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name="MAIN" sheetId="1" state="visible" r:id="rId1"/>
    <sheet name="By Code" sheetId="2" state="visible" r:id="rId2"/>
    <sheet name="By Processing Date" sheetId="3" state="visible" r:id="rId3"/>
    <sheet name="CCMS DATA" sheetId="4" state="visible" r:id="rId4"/>
    <sheet name="Files to import" sheetId="5" state="hidden" r:id="rId5"/>
  </sheets>
  <definedNames/>
  <calcPr calcId="191028" fullCalcOnLoad="1"/>
  <pivotCaches>
    <pivotCache cacheId="7841" r:id="rId6"/>
  </pivotCaches>
</workbook>
</file>

<file path=xl/styles.xml><?xml version="1.0" encoding="utf-8"?>
<styleSheet xmlns="http://schemas.openxmlformats.org/spreadsheetml/2006/main">
  <numFmts count="4">
    <numFmt numFmtId="164" formatCode="#,##0.00;\(#,##0.00\)"/>
    <numFmt numFmtId="165" formatCode="_(&quot;£&quot;* #,##0.00_);_(&quot;£&quot;* \(#,##0.00\);_(&quot;£&quot;* &quot;-&quot;??_);_(@_)"/>
    <numFmt numFmtId="166" formatCode="&quot;£&quot;#,##0.00_);[Red]\(&quot;£&quot;#,##0.00\)"/>
    <numFmt numFmtId="167" formatCode="dd\-mmm\-yyyy"/>
  </numFmts>
  <fonts count="11">
    <font>
      <name val="Arial"/>
      <sz val="10"/>
    </font>
    <font>
      <name val="Calibri"/>
      <family val="2"/>
      <color theme="1"/>
      <sz val="11"/>
      <scheme val="minor"/>
    </font>
    <font>
      <name val="Calibri"/>
      <family val="2"/>
      <color theme="1"/>
      <sz val="11"/>
      <scheme val="minor"/>
    </font>
    <font>
      <name val="Arial"/>
      <family val="2"/>
      <sz val="10"/>
    </font>
    <font>
      <name val="Arial"/>
      <family val="2"/>
      <b val="1"/>
      <sz val="10"/>
    </font>
    <font>
      <name val="Courier New"/>
      <family val="3"/>
      <b val="1"/>
      <sz val="8"/>
    </font>
    <font>
      <name val="Courier New"/>
      <family val="3"/>
      <sz val="10"/>
    </font>
    <font>
      <name val="Calibri"/>
      <family val="2"/>
      <b val="1"/>
      <color theme="1"/>
      <sz val="11"/>
      <scheme val="minor"/>
    </font>
    <font>
      <name val="Courier New"/>
      <family val="3"/>
      <b val="1"/>
      <sz val="10"/>
    </font>
    <font>
      <name val="Arial"/>
      <family val="2"/>
      <color theme="0"/>
      <sz val="10"/>
    </font>
    <font>
      <name val="Arial"/>
      <family val="2"/>
      <color rgb="FFFF0000"/>
      <sz val="10"/>
    </font>
  </fonts>
  <fills count="3">
    <fill>
      <patternFill/>
    </fill>
    <fill>
      <patternFill patternType="gray125"/>
    </fill>
    <fill>
      <patternFill patternType="solid">
        <fgColor indexed="42"/>
        <bgColor indexed="64"/>
      </patternFill>
    </fill>
  </fills>
  <borders count="12">
    <border>
      <left/>
      <right/>
      <top/>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s>
  <cellStyleXfs count="5">
    <xf numFmtId="0" fontId="0" fillId="0" borderId="0"/>
    <xf numFmtId="43" fontId="3" fillId="0" borderId="0"/>
    <xf numFmtId="165" fontId="3" fillId="0" borderId="0"/>
    <xf numFmtId="0" fontId="2" fillId="0" borderId="0"/>
    <xf numFmtId="0" fontId="2" fillId="0" borderId="0"/>
  </cellStyleXfs>
  <cellXfs count="64">
    <xf numFmtId="0" fontId="0" fillId="0" borderId="0" pivotButton="0" quotePrefix="0" xfId="0"/>
    <xf numFmtId="1" fontId="0" fillId="0" borderId="0" pivotButton="0" quotePrefix="0" xfId="0"/>
    <xf numFmtId="0" fontId="0" fillId="2" borderId="0" pivotButton="0" quotePrefix="0" xfId="0"/>
    <xf numFmtId="0" fontId="0" fillId="2" borderId="1" pivotButton="0" quotePrefix="0" xfId="0"/>
    <xf numFmtId="1" fontId="0" fillId="2" borderId="1" pivotButton="0" quotePrefix="0" xfId="0"/>
    <xf numFmtId="0" fontId="4" fillId="0" borderId="0" pivotButton="0" quotePrefix="0" xfId="0"/>
    <xf numFmtId="164" fontId="6" fillId="0" borderId="3" pivotButton="0" quotePrefix="0" xfId="1"/>
    <xf numFmtId="0" fontId="6" fillId="0" borderId="3" pivotButton="0" quotePrefix="0" xfId="0"/>
    <xf numFmtId="164" fontId="6" fillId="0" borderId="4" pivotButton="0" quotePrefix="0" xfId="1"/>
    <xf numFmtId="0" fontId="5" fillId="0" borderId="6" applyAlignment="1" pivotButton="0" quotePrefix="0" xfId="0">
      <alignment wrapText="1"/>
    </xf>
    <xf numFmtId="0" fontId="5" fillId="0" borderId="7" applyAlignment="1" pivotButton="0" quotePrefix="0" xfId="0">
      <alignment horizontal="center" wrapText="1"/>
    </xf>
    <xf numFmtId="0" fontId="0" fillId="0" borderId="0" applyAlignment="1" pivotButton="0" quotePrefix="0" xfId="0">
      <alignment wrapText="1"/>
    </xf>
    <xf numFmtId="165" fontId="4" fillId="0" borderId="0" pivotButton="0" quotePrefix="0" xfId="2"/>
    <xf numFmtId="0" fontId="3" fillId="0" borderId="0" pivotButton="0" quotePrefix="0" xfId="0"/>
    <xf numFmtId="164" fontId="4" fillId="0" borderId="8" applyAlignment="1" pivotButton="0" quotePrefix="0" xfId="1">
      <alignment horizontal="right" vertical="center"/>
    </xf>
    <xf numFmtId="166" fontId="4" fillId="0" borderId="0" applyAlignment="1" pivotButton="0" quotePrefix="0" xfId="0">
      <alignment horizontal="left"/>
    </xf>
    <xf numFmtId="0" fontId="3" fillId="2" borderId="0" pivotButton="0" quotePrefix="0" xfId="0"/>
    <xf numFmtId="0" fontId="7" fillId="0" borderId="1" applyAlignment="1" pivotButton="0" quotePrefix="0" xfId="0">
      <alignment vertical="top" wrapText="1"/>
    </xf>
    <xf numFmtId="164" fontId="8" fillId="0" borderId="0" pivotButton="0" quotePrefix="0" xfId="1"/>
    <xf numFmtId="166" fontId="6" fillId="0" borderId="0" pivotButton="0" quotePrefix="0" xfId="2"/>
    <xf numFmtId="166" fontId="6" fillId="0" borderId="5" pivotButton="0" quotePrefix="0" xfId="2"/>
    <xf numFmtId="166" fontId="0" fillId="0" borderId="0" pivotButton="0" quotePrefix="0" xfId="0"/>
    <xf numFmtId="166" fontId="9" fillId="0" borderId="0" pivotButton="0" quotePrefix="0" xfId="0"/>
    <xf numFmtId="166" fontId="10" fillId="0" borderId="0" pivotButton="0" quotePrefix="0" xfId="0"/>
    <xf numFmtId="0" fontId="5" fillId="0" borderId="10" applyAlignment="1" pivotButton="0" quotePrefix="0" xfId="0">
      <alignment horizontal="center" wrapText="1"/>
    </xf>
    <xf numFmtId="166" fontId="6" fillId="0" borderId="3" pivotButton="0" quotePrefix="0" xfId="2"/>
    <xf numFmtId="166" fontId="6" fillId="0" borderId="4" pivotButton="0" quotePrefix="0" xfId="2"/>
    <xf numFmtId="0" fontId="0" fillId="0" borderId="3" pivotButton="0" quotePrefix="0" xfId="0"/>
    <xf numFmtId="166" fontId="6" fillId="0" borderId="2" pivotButton="0" quotePrefix="0" xfId="2"/>
    <xf numFmtId="166" fontId="0" fillId="0" borderId="2" pivotButton="0" quotePrefix="0" xfId="0"/>
    <xf numFmtId="166" fontId="6" fillId="0" borderId="9" pivotButton="0" quotePrefix="0" xfId="2"/>
    <xf numFmtId="0" fontId="4" fillId="0" borderId="0" pivotButton="1" quotePrefix="0" xfId="0"/>
    <xf numFmtId="165" fontId="0" fillId="0" borderId="0" pivotButton="0" quotePrefix="0" xfId="2"/>
    <xf numFmtId="0" fontId="7" fillId="0" borderId="8" applyAlignment="1" pivotButton="0" quotePrefix="0" xfId="0">
      <alignment vertical="top" wrapText="1"/>
    </xf>
    <xf numFmtId="0" fontId="0" fillId="0" borderId="0" pivotButton="1" quotePrefix="0" xfId="0"/>
    <xf numFmtId="14" fontId="0" fillId="0" borderId="0" applyAlignment="1" pivotButton="0" quotePrefix="0" xfId="0">
      <alignment horizontal="left"/>
    </xf>
    <xf numFmtId="14" fontId="0" fillId="0" borderId="0" pivotButton="0" quotePrefix="0" xfId="0"/>
    <xf numFmtId="0" fontId="0" fillId="0" borderId="0" applyAlignment="1" pivotButton="0" quotePrefix="0" xfId="0">
      <alignment horizontal="left"/>
    </xf>
    <xf numFmtId="0" fontId="0" fillId="0" borderId="0" applyAlignment="1" pivotButton="0" quotePrefix="0" xfId="0">
      <alignment horizontal="right"/>
    </xf>
    <xf numFmtId="166" fontId="6" fillId="0" borderId="11" pivotButton="0" quotePrefix="0" xfId="2"/>
    <xf numFmtId="0" fontId="4" fillId="2" borderId="0" applyAlignment="1" pivotButton="0" quotePrefix="0" xfId="0">
      <alignment horizontal="right"/>
    </xf>
    <xf numFmtId="167" fontId="4" fillId="2" borderId="0" applyAlignment="1" pivotButton="0" quotePrefix="0" xfId="0">
      <alignment horizontal="left"/>
    </xf>
    <xf numFmtId="0" fontId="7" fillId="0" borderId="8" pivotButton="0" quotePrefix="0" xfId="4"/>
    <xf numFmtId="0" fontId="1" fillId="0" borderId="0" pivotButton="0" quotePrefix="0" xfId="4"/>
    <xf numFmtId="15" fontId="0" fillId="0" borderId="0" pivotButton="0" quotePrefix="0" xfId="0"/>
    <xf numFmtId="0" fontId="3" fillId="0" borderId="0" applyAlignment="1" pivotButton="0" quotePrefix="0" xfId="0">
      <alignment horizontal="left"/>
    </xf>
    <xf numFmtId="20" fontId="0" fillId="0" borderId="0" pivotButton="0" quotePrefix="0" xfId="0"/>
    <xf numFmtId="9" fontId="0" fillId="0" borderId="0" pivotButton="0" quotePrefix="0" xfId="0"/>
    <xf numFmtId="164" fontId="6" fillId="0" borderId="3" pivotButton="0" quotePrefix="0" xfId="1"/>
    <xf numFmtId="166" fontId="6" fillId="0" borderId="0" pivotButton="0" quotePrefix="0" xfId="2"/>
    <xf numFmtId="166" fontId="6" fillId="0" borderId="3" pivotButton="0" quotePrefix="0" xfId="2"/>
    <xf numFmtId="164" fontId="6" fillId="0" borderId="4" pivotButton="0" quotePrefix="0" xfId="1"/>
    <xf numFmtId="166" fontId="6" fillId="0" borderId="5" pivotButton="0" quotePrefix="0" xfId="2"/>
    <xf numFmtId="166" fontId="6" fillId="0" borderId="4" pivotButton="0" quotePrefix="0" xfId="2"/>
    <xf numFmtId="166" fontId="0" fillId="0" borderId="0" pivotButton="0" quotePrefix="0" xfId="0"/>
    <xf numFmtId="164" fontId="8" fillId="0" borderId="0" pivotButton="0" quotePrefix="0" xfId="1"/>
    <xf numFmtId="166" fontId="10" fillId="0" borderId="0" pivotButton="0" quotePrefix="0" xfId="0"/>
    <xf numFmtId="166" fontId="9" fillId="0" borderId="0" pivotButton="0" quotePrefix="0" xfId="0"/>
    <xf numFmtId="166" fontId="6" fillId="0" borderId="2" pivotButton="0" quotePrefix="0" xfId="2"/>
    <xf numFmtId="166" fontId="6" fillId="0" borderId="11" pivotButton="0" quotePrefix="0" xfId="2"/>
    <xf numFmtId="166" fontId="0" fillId="0" borderId="2" pivotButton="0" quotePrefix="0" xfId="0"/>
    <xf numFmtId="166" fontId="6" fillId="0" borderId="9" pivotButton="0" quotePrefix="0" xfId="2"/>
    <xf numFmtId="164" fontId="4" fillId="0" borderId="8" applyAlignment="1" pivotButton="0" quotePrefix="0" xfId="1">
      <alignment horizontal="right" vertical="center"/>
    </xf>
    <xf numFmtId="166" fontId="4" fillId="0" borderId="0" applyAlignment="1" pivotButton="0" quotePrefix="0" xfId="0">
      <alignment horizontal="left"/>
    </xf>
  </cellXfs>
  <cellStyles count="5">
    <cellStyle name="Normal" xfId="0" builtinId="0"/>
    <cellStyle name="Comma" xfId="1" builtinId="3"/>
    <cellStyle name="Currency" xfId="2" builtinId="4"/>
    <cellStyle name="Normal 2" xfId="3"/>
    <cellStyle name="Normal 3" xfId="4"/>
  </cellStyles>
  <dxfs count="2">
    <dxf>
      <fill>
        <patternFill>
          <bgColor indexed="10"/>
        </patternFill>
      </fill>
    </dxf>
    <dxf>
      <font>
        <color theme="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1" refreshedBy="DefaultProfileUser" refreshedDate="45139.49833900463" createdVersion="3" refreshedVersion="3" minRefreshableVersion="3" recordCount="28265" r:id="rId1">
  <cacheSource type="worksheet">
    <worksheetSource ref="A1:AX28266" sheet="CCMS DATA"/>
  </cacheSource>
  <cacheFields count="51">
    <cacheField name="CASE_PARTY_ID" uniqueList="1" numFmtId="0" sqlType="0" hierarchy="0" level="0" databaseField="1">
      <sharedItems count="0" containsInteger="1" containsNumber="1" containsSemiMixedTypes="0" containsString="0" minValue="591560" maxValue="62505835"/>
    </cacheField>
    <cacheField name="MIGRATED" uniqueList="1" numFmtId="0" sqlType="0" hierarchy="0" level="0" databaseField="1">
      <sharedItems count="0"/>
    </cacheField>
    <cacheField name="INVOICE_ID" uniqueList="1" numFmtId="0" sqlType="0" hierarchy="0" level="0" databaseField="1">
      <sharedItems count="0" containsInteger="1" containsNumber="1" containsSemiMixedTypes="0" containsString="0" minValue="3422645" maxValue="21412860"/>
    </cacheField>
    <cacheField name="INVOICE_NUM" uniqueList="1" numFmtId="0" sqlType="0" hierarchy="0" level="0" databaseField="1">
      <sharedItems count="0"/>
    </cacheField>
    <cacheField name="PAYMENT_GROUP" uniqueList="1" numFmtId="0" sqlType="0" hierarchy="0" level="0" databaseField="1">
      <sharedItems count="0"/>
    </cacheField>
    <cacheField name="INVOICE_DATE" uniqueList="1" numFmtId="14" sqlType="0" hierarchy="0" level="0" databaseField="1">
      <sharedItems count="0" containsDate="1" containsNonDate="0" containsSemiMixedTypes="0" containsString="0" minDate="2014-03-11T00:00:00" maxDate="2023-07-01T00:00:00"/>
    </cacheField>
    <cacheField name="INVOICE_CREATED_DATE" uniqueList="1" numFmtId="14" sqlType="0" hierarchy="0" level="0" databaseField="1">
      <sharedItems count="0" containsDate="1" containsNonDate="0" containsSemiMixedTypes="0" containsString="0" minDate="2014-03-11T13:16:32" maxDate="2023-07-21T19:28:38"/>
    </cacheField>
    <cacheField name="INVOICE_RECEIVED_DATE" uniqueList="1" numFmtId="14" sqlType="0" hierarchy="0" level="0" databaseField="1">
      <sharedItems count="0" containsBlank="1" containsNonDate="0" containsString="0"/>
    </cacheField>
    <cacheField name="INVOICE_GL_DATE" uniqueList="1" numFmtId="14" sqlType="0" hierarchy="0" level="0" databaseField="1">
      <sharedItems count="0" containsDate="1" containsNonDate="0" containsSemiMixedTypes="0" containsString="0" minDate="2014-03-11T00:00:00" maxDate="2023-07-22T00:00:00"/>
    </cacheField>
    <cacheField name="INVOICE_VENDOR_SITE_ID" uniqueList="1" numFmtId="0" sqlType="0" hierarchy="0" level="0" databaseField="1">
      <sharedItems count="0" containsInteger="1" containsNumber="1" containsSemiMixedTypes="0" containsString="0" minValue="2" maxValue="2032"/>
    </cacheField>
    <cacheField name="INVOICE_VENDOR_ID" uniqueList="1" numFmtId="0" sqlType="0" hierarchy="0" level="0" databaseField="1">
      <sharedItems count="0" containsInteger="1" containsNumber="1" containsSemiMixedTypes="0" containsString="0" minValue="15" maxValue="21317"/>
    </cacheField>
    <cacheField name="INV_CASE_REF" uniqueList="1" numFmtId="0" sqlType="0" hierarchy="0" level="0" databaseField="1">
      <sharedItems count="0"/>
    </cacheField>
    <cacheField name="CASE_REFERENCE_NUMBER" uniqueList="1" numFmtId="0" sqlType="0" hierarchy="0" level="0" databaseField="1">
      <sharedItems count="0"/>
    </cacheField>
    <cacheField name="CIS_CASE_REFERENCE_NUMBER" uniqueList="1" numFmtId="0" sqlType="0" hierarchy="0" level="0" databaseField="1">
      <sharedItems count="0" containsBlank="1" containsNonDate="0" containsString="0"/>
    </cacheField>
    <cacheField name="PROVIDER_CASE_REFERENCE_NO" uniqueList="1" numFmtId="0" sqlType="0" hierarchy="0" level="0" databaseField="1">
      <sharedItems count="0" containsBlank="1" containsNonDate="0" containsString="0"/>
    </cacheField>
    <cacheField name="INCIDENT_ID" uniqueList="1" numFmtId="0" sqlType="0" hierarchy="0" level="0" databaseField="1">
      <sharedItems count="0" containsBlank="1" containsInteger="1" containsNumber="1" containsString="0" minValue="3647762" maxValue="22801768"/>
    </cacheField>
    <cacheField name="CLIENT_NAME" uniqueList="1" numFmtId="0" sqlType="0" hierarchy="0" level="0" databaseField="1">
      <sharedItems count="0" containsBlank="1" containsNonDate="0" containsString="0"/>
    </cacheField>
    <cacheField name="REQUESTED_AMOUNT" uniqueList="1" numFmtId="0" sqlType="0" hierarchy="0" level="0" databaseField="1">
      <sharedItems count="0" containsBlank="1" containsNonDate="0" containsString="0"/>
    </cacheField>
    <cacheField name="SOURCE" uniqueList="1" numFmtId="0" sqlType="0" hierarchy="0" level="0" databaseField="1">
      <sharedItems count="0" containsBlank="1" containsNonDate="0" containsString="0"/>
    </cacheField>
    <cacheField name="ORIGINAL_DOC_CATEGORY" uniqueList="1" numFmtId="0" sqlType="0" hierarchy="0" level="0" databaseField="1">
      <sharedItems count="0"/>
    </cacheField>
    <cacheField name="INVOICE_DOC_CATEGORY" uniqueList="1" numFmtId="0" sqlType="0" hierarchy="0" level="0" databaseField="1">
      <sharedItems count="0"/>
    </cacheField>
    <cacheField name="INVOICE_SOURCE" uniqueList="1" numFmtId="0" sqlType="0" hierarchy="0" level="0" databaseField="1">
      <sharedItems count="0"/>
    </cacheField>
    <cacheField name="ORIGINAL_INVOICE_ID" uniqueList="1" numFmtId="0" sqlType="0" hierarchy="0" level="0" databaseField="1">
      <sharedItems count="0" containsInteger="1" containsNumber="1" containsSemiMixedTypes="0" containsString="0" minValue="3422645" maxValue="21412860"/>
    </cacheField>
    <cacheField name="INVOICE_AMOUNT" uniqueList="1" numFmtId="0" sqlType="0" hierarchy="0" level="0" databaseField="1">
      <sharedItems count="0" containsNumber="1" containsSemiMixedTypes="0" containsString="0" minValue="-16718.4" maxValue="79459.92"/>
    </cacheField>
    <cacheField name="PREPAY_INVOICE_ID" uniqueList="1" numFmtId="0" sqlType="0" hierarchy="0" level="0" databaseField="1">
      <sharedItems count="0" containsBlank="1" containsNonDate="0" containsString="0"/>
    </cacheField>
    <cacheField name="RECOUPED_PRE_PAY" uniqueList="1" numFmtId="0" sqlType="0" hierarchy="0" level="0" databaseField="1">
      <sharedItems count="0"/>
    </cacheField>
    <cacheField name="LINE_NUMBER" uniqueList="1" numFmtId="0" sqlType="0" hierarchy="0" level="0" databaseField="1">
      <sharedItems count="0" containsInteger="1" containsNumber="1" containsSemiMixedTypes="0" containsString="0" minValue="1" maxValue="710"/>
    </cacheField>
    <cacheField name="LINE_CREATED_DATE" uniqueList="1" numFmtId="14" sqlType="0" hierarchy="0" level="0" databaseField="1">
      <sharedItems count="0" containsDate="1" containsNonDate="0" containsSemiMixedTypes="0" containsString="0" minDate="2014-03-11T13:18:27" maxDate="2023-07-21T19:28:38"/>
    </cacheField>
    <cacheField name="AGAINST_PO" uniqueList="1" numFmtId="0" sqlType="0" hierarchy="0" level="0" databaseField="1">
      <sharedItems count="0"/>
    </cacheField>
    <cacheField name="SERIAL_NUMBER" uniqueList="1" numFmtId="0" sqlType="0" hierarchy="0" level="0" databaseField="1">
      <sharedItems count="0" containsBlank="1"/>
    </cacheField>
    <cacheField name="MANUFACTURER" uniqueList="1" numFmtId="0" sqlType="0" hierarchy="0" level="0" databaseField="1">
      <sharedItems count="0" containsBlank="1"/>
    </cacheField>
    <cacheField name="MODEL_NUMBER" uniqueList="1" numFmtId="0" sqlType="0" hierarchy="0" level="0" databaseField="1">
      <sharedItems count="0" containsBlank="1"/>
    </cacheField>
    <cacheField name="LINE_FEE_EARNER" uniqueList="1" numFmtId="0" sqlType="0" hierarchy="0" level="0" databaseField="1">
      <sharedItems count="0" containsBlank="1"/>
    </cacheField>
    <cacheField name="LINE_RECOVERABLE" uniqueList="1" numFmtId="0" sqlType="0" hierarchy="0" level="0" databaseField="1">
      <sharedItems count="0"/>
    </cacheField>
    <cacheField name="LINE_NET" uniqueList="1" numFmtId="0" sqlType="0" hierarchy="0" level="0" databaseField="1">
      <sharedItems count="0" containsNumber="1" containsSemiMixedTypes="0" containsString="0" minValue="-13932" maxValue="30289.15"/>
    </cacheField>
    <cacheField name="LINE_VAT" uniqueList="1" numFmtId="0" sqlType="0" hierarchy="0" level="0" databaseField="1">
      <sharedItems count="0" containsNumber="1" containsSemiMixedTypes="0" containsString="0" minValue="-2786.4" maxValue="6057.83"/>
    </cacheField>
    <cacheField name="GL_ACCOUNTING_DATE" uniqueList="1" numFmtId="14" sqlType="0" hierarchy="0" level="0" databaseField="1">
      <sharedItems count="90" containsDate="1" containsNonDate="0" containsSemiMixedTypes="0" containsString="0" minDate="2016-06-01T00:00:00" maxDate="2023-07-22T00:00:00">
        <d v="2023-07-12T00:00:00"/>
        <d v="2023-07-04T00:00:00"/>
        <d v="2023-07-10T00:00:00"/>
        <d v="2023-07-03T00:00:00"/>
        <d v="2023-07-06T00:00:00"/>
        <d v="2023-07-19T00:00:00"/>
        <d v="2023-07-05T00:00:00"/>
        <d v="2023-07-11T00:00:00"/>
        <d v="2023-07-17T00:00:00"/>
        <d v="2023-07-07T00:00:00"/>
        <d v="2023-07-14T00:00:00"/>
        <d v="2023-07-13T00:00:00"/>
        <d v="2023-07-21T00:00:00"/>
        <d v="2023-07-20T00:00:00"/>
        <d v="2023-07-18T00:00:00"/>
        <d v="2023-07-01T00:00:00"/>
        <d v="2017-02-09T00:00:00" u="1"/>
        <d v="2023-06-05T00:00:00" u="1"/>
        <d v="2016-06-10T00:00:00" u="1"/>
        <d v="2017-05-05T00:00:00" u="1"/>
        <d v="2017-04-19T00:00:00" u="1"/>
        <d v="2017-02-02T00:00:00" u="1"/>
        <d v="2016-06-03T00:00:00" u="1"/>
        <d v="2017-02-21T00:00:00" u="1"/>
        <d v="2017-04-12T00:00:00" u="1"/>
        <d v="2017-02-14T00:00:00" u="1"/>
        <d v="2017-04-05T00:00:00" u="1"/>
        <d v="2017-02-07T00:00:00" u="1"/>
        <d v="2023-06-03T00:00:00" u="1"/>
        <d v="2016-06-08T00:00:00" u="1"/>
        <d v="2017-05-03T00:00:00" u="1"/>
        <d v="2017-04-17T00:00:00" u="1"/>
        <d v="2016-06-01T00:00:00" u="1"/>
        <d v="2017-02-19T00:00:00" u="1"/>
        <d v="2017-04-10T00:00:00" u="1"/>
        <d v="2023-06-15T00:00:00" u="1"/>
        <d v="2017-02-12T00:00:00" u="1"/>
        <d v="2017-04-03T00:00:00" u="1"/>
        <d v="2023-06-08T00:00:00" u="1"/>
        <d v="2016-06-13T00:00:00" u="1"/>
        <d v="2017-05-08T00:00:00" u="1"/>
        <d v="2023-06-01T00:00:00" u="1"/>
        <d v="2016-06-06T00:00:00" u="1"/>
        <d v="2017-05-01T00:00:00" u="1"/>
        <d v="2017-04-15T00:00:00" u="1"/>
        <d v="2023-06-20T00:00:00" u="1"/>
        <d v="2017-02-17T00:00:00" u="1"/>
        <d v="2023-06-13T00:00:00" u="1"/>
        <d v="2017-02-10T00:00:00" u="1"/>
        <d v="2017-04-01T00:00:00" u="1"/>
        <d v="2023-06-06T00:00:00" u="1"/>
        <d v="2016-06-11T00:00:00" u="1"/>
        <d v="2017-05-06T00:00:00" u="1"/>
        <d v="2017-04-20T00:00:00" u="1"/>
        <d v="2017-02-03T00:00:00" u="1"/>
        <d v="2016-06-04T00:00:00" u="1"/>
        <d v="2017-04-13T00:00:00" u="1"/>
        <d v="2017-02-15T00:00:00" u="1"/>
        <d v="2017-04-06T00:00:00" u="1"/>
        <d v="2017-02-08T00:00:00" u="1"/>
        <d v="2016-06-09T00:00:00" u="1"/>
        <d v="2017-05-04T00:00:00" u="1"/>
        <d v="2017-04-18T00:00:00" u="1"/>
        <d v="2017-02-01T00:00:00" u="1"/>
        <d v="2016-06-02T00:00:00" u="1"/>
        <d v="2017-02-20T00:00:00" u="1"/>
        <d v="2017-04-11T00:00:00" u="1"/>
        <d v="2023-06-16T00:00:00" u="1"/>
        <d v="2017-02-13T00:00:00" u="1"/>
        <d v="2017-04-04T00:00:00" u="1"/>
        <d v="2023-06-09T00:00:00" u="1"/>
        <d v="2016-06-14T00:00:00" u="1"/>
        <d v="2017-02-06T00:00:00" u="1"/>
        <d v="2023-06-02T00:00:00" u="1"/>
        <d v="2016-06-07T00:00:00" u="1"/>
        <d v="2017-05-02T00:00:00" u="1"/>
        <d v="2023-06-21T00:00:00" u="1"/>
        <d v="2017-02-18T00:00:00" u="1"/>
        <d v="2017-04-09T00:00:00" u="1"/>
        <d v="2023-06-14T00:00:00" u="1"/>
        <d v="2017-02-11T00:00:00" u="1"/>
        <d v="2023-06-07T00:00:00" u="1"/>
        <d v="2017-04-21T00:00:00" u="1"/>
        <d v="2017-02-04T00:00:00" u="1"/>
        <d v="2016-06-05T00:00:00" u="1"/>
        <d v="2017-04-14T00:00:00" u="1"/>
        <d v="2023-06-19T00:00:00" u="1"/>
        <d v="2017-02-16T00:00:00" u="1"/>
        <d v="2017-04-07T00:00:00" u="1"/>
        <d v="2023-06-12T00:00:00" u="1"/>
      </sharedItems>
    </cacheField>
    <cacheField name="GL_MATCH_STATUS" uniqueList="1" numFmtId="0" sqlType="0" hierarchy="0" level="0" databaseField="1">
      <sharedItems count="0"/>
    </cacheField>
    <cacheField name="GL_LINE_NUMBER" uniqueList="1" numFmtId="0" sqlType="0" hierarchy="0" level="0" databaseField="1">
      <sharedItems count="0" containsInteger="1" containsNumber="1" containsSemiMixedTypes="0" containsString="0" minValue="1" maxValue="2"/>
    </cacheField>
    <cacheField name="GL_CODE_COMBO" uniqueList="1" numFmtId="0" sqlType="0" hierarchy="0" level="0" databaseField="1">
      <sharedItems count="0"/>
    </cacheField>
    <cacheField name="GL_LINE_AMOUNT" uniqueList="1" numFmtId="0" sqlType="0" hierarchy="0" level="0" databaseField="1">
      <sharedItems count="0" containsNumber="1" containsSemiMixedTypes="0" containsString="0" minValue="-13932" maxValue="30289.15"/>
    </cacheField>
    <cacheField name="SEGMENT2" uniqueList="1" numFmtId="0" sqlType="0" hierarchy="0" level="0" databaseField="1">
      <sharedItems count="0"/>
    </cacheField>
    <cacheField name="SEGMENT5" uniqueList="1" numFmtId="0" sqlType="0" hierarchy="0" level="0" databaseField="1">
      <sharedItems count="0"/>
    </cacheField>
    <cacheField name="TOTAL_OFFICE" uniqueList="1" numFmtId="0" sqlType="0" hierarchy="0" level="0" databaseField="1">
      <sharedItems count="0" containsNumber="1" containsSemiMixedTypes="0" containsString="0" minValue="-32425.63" maxValue="87471.74000000001"/>
    </cacheField>
    <cacheField name="AMOUNT" uniqueList="1" numFmtId="0" sqlType="0" hierarchy="0" level="0" databaseField="1">
      <sharedItems count="0" containsNumber="1" containsSemiMixedTypes="0" containsString="0" minValue="-13932" maxValue="30289.15"/>
    </cacheField>
    <cacheField name="CREDITOR" uniqueList="1" numFmtId="0" sqlType="0" hierarchy="0" level="0" databaseField="1">
      <sharedItems count="0"/>
    </cacheField>
    <cacheField name="CCMS_POA" uniqueList="1" numFmtId="0" sqlType="0" hierarchy="0" level="0" databaseField="1">
      <sharedItems count="0" containsNumber="1" containsSemiMixedTypes="0" containsString="0" minValue="0" maxValue="22979.75"/>
    </cacheField>
    <cacheField name="CCMS_NON_DISB_POA_ADJ" uniqueList="1" numFmtId="0" sqlType="0" hierarchy="0" level="0" databaseField="1">
      <sharedItems count="0" containsNumber="1" containsSemiMixedTypes="0" containsString="0" minValue="0" maxValue="3162.45"/>
    </cacheField>
    <cacheField name="CRED_REC_POA" uniqueList="1" numFmtId="0" sqlType="0" hierarchy="0" level="0" databaseField="1">
      <sharedItems count="0" containsNumber="1" containsSemiMixedTypes="0" containsString="0" minValue="-12683.56" maxValue="0"/>
    </cacheField>
    <cacheField name="CRED_NON_DISB_REC_POA_ADJ" uniqueList="1" numFmtId="0" sqlType="0" hierarchy="0" level="0" databaseField="1">
      <sharedItems count="0" containsNumber="1" containsSemiMixedTypes="0" containsString="0" minValue="-3170.89" maxValue="0"/>
    </cacheField>
    <cacheField name="CCMS_BILLS" uniqueList="1" numFmtId="0" sqlType="0" hierarchy="0" level="0" databaseField="1">
      <sharedItems count="0" containsNumber="1" containsSemiMixedTypes="0" containsString="0" minValue="-3502.63" maxValue="30289.15"/>
    </cacheField>
  </cacheFields>
</pivotCacheDefinition>
</file>

<file path=xl/pivotCache/pivotCacheRecords1.xml><?xml version="1.0" encoding="utf-8"?>
<pivotCacheRecords xmlns="http://schemas.openxmlformats.org/spreadsheetml/2006/main" count="28265">
  <r>
    <n v="62230879"/>
    <s v="N"/>
    <n v="21363182"/>
    <s v="3000016228180001"/>
    <s v="CIVIL"/>
    <d v="2023-06-29T00:00:00"/>
    <d v="2023-07-12T19:01:49"/>
    <m/>
    <d v="2023-07-12T00:00:00"/>
    <n v="2"/>
    <n v="1113"/>
    <s v="62230879"/>
    <s v="62230879"/>
    <m/>
    <m/>
    <n v="22792808"/>
    <m/>
    <m/>
    <m/>
    <s v="SOLFIN"/>
    <s v="SOLFIN"/>
    <s v="CCMS"/>
    <n v="21363182"/>
    <n v="194.47"/>
    <m/>
    <s v="N"/>
    <n v="2"/>
    <d v="2023-07-12T19:01:56"/>
    <s v="Y"/>
    <s v="Preparation - drafting bill/claim f"/>
    <s v="Care Remuneration Hourly Rates"/>
    <s v="Profit Cost"/>
    <s v="Gemma Duckworth"/>
    <s v="Y"/>
    <n v="20.15"/>
    <n v="4.03"/>
    <x v="0"/>
    <s v="VALIDATED"/>
    <n v="1"/>
    <s v="01.11.80.308.6100.0000"/>
    <n v="20.15"/>
    <s v="11"/>
    <s v="6100"/>
    <n v="836.0599999999999"/>
    <n v="20.15"/>
    <s v="CREDITOR"/>
    <n v="0"/>
    <n v="0"/>
    <n v="0"/>
    <n v="0"/>
    <n v="20.15"/>
  </r>
  <r>
    <n v="62230916"/>
    <s v="N"/>
    <n v="21363404"/>
    <s v="3000016228140001"/>
    <s v="CIVIL"/>
    <d v="2023-06-29T00:00:00"/>
    <d v="2023-07-12T19:01:49"/>
    <m/>
    <d v="2023-07-12T00:00:00"/>
    <n v="2"/>
    <n v="1113"/>
    <s v="62230916"/>
    <s v="62230916"/>
    <m/>
    <m/>
    <n v="22792792"/>
    <m/>
    <m/>
    <m/>
    <s v="SOLFIN"/>
    <s v="SOLFIN"/>
    <s v="CCMS"/>
    <n v="21363404"/>
    <n v="0"/>
    <m/>
    <s v="N"/>
    <n v="1"/>
    <d v="2023-07-12T19:02:00"/>
    <s v="N"/>
    <s v="NIL BILL"/>
    <s v="Care Remuneration Hourly Rates"/>
    <s v="Profit Cost"/>
    <s v="Gemma Duckworth"/>
    <s v="N"/>
    <n v="0"/>
    <n v="0"/>
    <x v="0"/>
    <s v="VALIDATED"/>
    <n v="1"/>
    <s v="01.11.80.308.6100.0000"/>
    <n v="0"/>
    <s v="11"/>
    <s v="6100"/>
    <n v="836.0599999999999"/>
    <n v="0"/>
    <s v="CREDITOR"/>
    <n v="0"/>
    <n v="0"/>
    <n v="0"/>
    <n v="0"/>
    <n v="0"/>
  </r>
  <r>
    <n v="59941645"/>
    <s v="N"/>
    <n v="21327775"/>
    <s v="3000014293910007"/>
    <s v="CIVIL"/>
    <d v="2023-06-22T00:00:00"/>
    <d v="2023-07-04T19:00:44"/>
    <m/>
    <d v="2023-07-04T00:00:00"/>
    <n v="2"/>
    <n v="1113"/>
    <s v="59941645"/>
    <s v="59941645"/>
    <m/>
    <m/>
    <n v="22745096"/>
    <m/>
    <m/>
    <m/>
    <s v="SOLINT"/>
    <s v="SOLINT"/>
    <s v="CCMS"/>
    <n v="21327775"/>
    <n v="775.4"/>
    <m/>
    <s v="N"/>
    <n v="1"/>
    <d v="2023-07-04T19:00:54"/>
    <s v="Y"/>
    <s v="Court Fee"/>
    <s v="Domestic Abuse"/>
    <s v="Non Expert Disbursement"/>
    <s v="Ashleigh McCotter"/>
    <s v="Y"/>
    <n v="167"/>
    <n v="0"/>
    <x v="1"/>
    <s v="VALIDATED"/>
    <n v="1"/>
    <s v="01.11.80.302.6300.0000"/>
    <n v="167"/>
    <s v="11"/>
    <s v="6300"/>
    <n v="836.0599999999999"/>
    <n v="167"/>
    <s v="CREDITOR"/>
    <n v="0"/>
    <n v="0"/>
    <n v="0"/>
    <n v="0"/>
    <n v="167"/>
  </r>
  <r>
    <n v="62230879"/>
    <s v="N"/>
    <n v="21363182"/>
    <s v="3000016228180001"/>
    <s v="CIVIL"/>
    <d v="2023-06-29T00:00:00"/>
    <d v="2023-07-12T19:01:49"/>
    <m/>
    <d v="2023-07-12T00:00:00"/>
    <n v="2"/>
    <n v="1113"/>
    <s v="62230879"/>
    <s v="62230879"/>
    <m/>
    <m/>
    <n v="22792808"/>
    <m/>
    <m/>
    <m/>
    <s v="SOLFIN"/>
    <s v="SOLFIN"/>
    <s v="CCMS"/>
    <n v="21363182"/>
    <n v="194.47"/>
    <m/>
    <s v="N"/>
    <n v="5"/>
    <d v="2023-07-12T19:01:56"/>
    <s v="Y"/>
    <s v="Routine Letter Out"/>
    <s v="Care Remuneration Hourly Rates"/>
    <s v="Profit Cost"/>
    <s v="Gemma Duckworth"/>
    <s v="Y"/>
    <n v="21.22"/>
    <n v="4.24"/>
    <x v="0"/>
    <s v="VALIDATED"/>
    <n v="1"/>
    <s v="01.11.80.308.6100.0000"/>
    <n v="21.22"/>
    <s v="11"/>
    <s v="6100"/>
    <n v="836.0599999999999"/>
    <n v="21.22"/>
    <s v="CREDITOR"/>
    <n v="0"/>
    <n v="0"/>
    <n v="0"/>
    <n v="0"/>
    <n v="21.22"/>
  </r>
  <r>
    <n v="62230879"/>
    <s v="N"/>
    <n v="21363182"/>
    <s v="3000016228180001"/>
    <s v="CIVIL"/>
    <d v="2023-06-29T00:00:00"/>
    <d v="2023-07-12T19:01:49"/>
    <m/>
    <d v="2023-07-12T00:00:00"/>
    <n v="2"/>
    <n v="1113"/>
    <s v="62230879"/>
    <s v="62230879"/>
    <m/>
    <m/>
    <n v="22792808"/>
    <m/>
    <m/>
    <m/>
    <s v="SOLFIN"/>
    <s v="SOLFIN"/>
    <s v="CCMS"/>
    <n v="21363182"/>
    <n v="194.47"/>
    <m/>
    <s v="N"/>
    <n v="3"/>
    <d v="2023-07-12T19:01:56"/>
    <s v="Y"/>
    <s v="Report - other report"/>
    <s v="Care Remuneration Hourly Rates"/>
    <s v="Profit Cost"/>
    <s v="Gemma Duckworth"/>
    <s v="Y"/>
    <n v="20.15"/>
    <n v="4.03"/>
    <x v="0"/>
    <s v="VALIDATED"/>
    <n v="1"/>
    <s v="01.11.80.308.6100.0000"/>
    <n v="20.15"/>
    <s v="11"/>
    <s v="6100"/>
    <n v="836.0599999999999"/>
    <n v="20.15"/>
    <s v="CREDITOR"/>
    <n v="0"/>
    <n v="0"/>
    <n v="0"/>
    <n v="0"/>
    <n v="20.15"/>
  </r>
  <r>
    <n v="62230879"/>
    <s v="N"/>
    <n v="21363182"/>
    <s v="3000016228180001"/>
    <s v="CIVIL"/>
    <d v="2023-06-29T00:00:00"/>
    <d v="2023-07-12T19:01:49"/>
    <m/>
    <d v="2023-07-12T00:00:00"/>
    <n v="2"/>
    <n v="1113"/>
    <s v="62230879"/>
    <s v="62230879"/>
    <m/>
    <m/>
    <n v="22792808"/>
    <m/>
    <m/>
    <m/>
    <s v="SOLFIN"/>
    <s v="SOLFIN"/>
    <s v="CCMS"/>
    <n v="21363182"/>
    <n v="194.47"/>
    <m/>
    <s v="N"/>
    <n v="1"/>
    <d v="2023-07-12T19:01:56"/>
    <s v="Y"/>
    <s v="Preparation - other"/>
    <s v="Care Remuneration Hourly Rates"/>
    <s v="Profit Cost"/>
    <s v="Gemma Duckworth"/>
    <s v="Y"/>
    <n v="20.15"/>
    <n v="4.03"/>
    <x v="0"/>
    <s v="VALIDATED"/>
    <n v="1"/>
    <s v="01.11.80.308.6100.0000"/>
    <n v="20.15"/>
    <s v="11"/>
    <s v="6100"/>
    <n v="836.0599999999999"/>
    <n v="20.15"/>
    <s v="CREDITOR"/>
    <n v="0"/>
    <n v="0"/>
    <n v="0"/>
    <n v="0"/>
    <n v="20.15"/>
  </r>
  <r>
    <n v="62230879"/>
    <s v="N"/>
    <n v="21363182"/>
    <s v="3000016228180001"/>
    <s v="CIVIL"/>
    <d v="2023-06-29T00:00:00"/>
    <d v="2023-07-12T19:01:49"/>
    <m/>
    <d v="2023-07-12T00:00:00"/>
    <n v="2"/>
    <n v="1113"/>
    <s v="62230879"/>
    <s v="62230879"/>
    <m/>
    <m/>
    <n v="22792808"/>
    <m/>
    <m/>
    <m/>
    <s v="SOLFIN"/>
    <s v="SOLFIN"/>
    <s v="CCMS"/>
    <n v="21363182"/>
    <n v="194.47"/>
    <m/>
    <s v="N"/>
    <n v="8"/>
    <d v="2023-07-12T19:01:56"/>
    <s v="Y"/>
    <s v="Preparation - drafting application"/>
    <s v="Care Remuneration Hourly Rates"/>
    <s v="Profit Cost"/>
    <s v="Gemma Duckworth"/>
    <s v="Y"/>
    <n v="13.43"/>
    <n v="2.69"/>
    <x v="0"/>
    <s v="VALIDATED"/>
    <n v="1"/>
    <s v="01.11.80.308.6100.0000"/>
    <n v="13.43"/>
    <s v="11"/>
    <s v="6100"/>
    <n v="836.0599999999999"/>
    <n v="13.43"/>
    <s v="CREDITOR"/>
    <n v="0"/>
    <n v="0"/>
    <n v="0"/>
    <n v="0"/>
    <n v="13.43"/>
  </r>
  <r>
    <n v="59941645"/>
    <s v="N"/>
    <n v="21327775"/>
    <s v="3000014293910007"/>
    <s v="CIVIL"/>
    <d v="2023-06-22T00:00:00"/>
    <d v="2023-07-04T19:00:44"/>
    <m/>
    <d v="2023-07-04T00:00:00"/>
    <n v="2"/>
    <n v="1113"/>
    <s v="59941645"/>
    <s v="59941645"/>
    <m/>
    <m/>
    <n v="22745096"/>
    <m/>
    <m/>
    <m/>
    <s v="SOLINT"/>
    <s v="SOLINT"/>
    <s v="CCMS"/>
    <n v="21327775"/>
    <n v="775.4"/>
    <m/>
    <s v="N"/>
    <n v="2"/>
    <d v="2023-07-04T19:00:54"/>
    <s v="Y"/>
    <s v="Level 4 Fixed Fee"/>
    <s v="Domestic Abuse"/>
    <s v="Profit Cost"/>
    <s v="Ashleigh McCotter"/>
    <s v="Y"/>
    <n v="507"/>
    <n v="101.4"/>
    <x v="1"/>
    <s v="VALIDATED"/>
    <n v="1"/>
    <s v="01.11.80.302.6100.0000"/>
    <n v="507"/>
    <s v="11"/>
    <s v="6100"/>
    <n v="836.0599999999999"/>
    <n v="507"/>
    <s v="CREDITOR"/>
    <n v="0"/>
    <n v="0"/>
    <n v="0"/>
    <n v="0"/>
    <n v="507"/>
  </r>
  <r>
    <n v="62230879"/>
    <s v="N"/>
    <n v="21363182"/>
    <s v="3000016228180001"/>
    <s v="CIVIL"/>
    <d v="2023-06-29T00:00:00"/>
    <d v="2023-07-12T19:01:49"/>
    <m/>
    <d v="2023-07-12T00:00:00"/>
    <n v="2"/>
    <n v="1113"/>
    <s v="62230879"/>
    <s v="62230879"/>
    <m/>
    <m/>
    <n v="22792808"/>
    <m/>
    <m/>
    <m/>
    <s v="SOLFIN"/>
    <s v="SOLFIN"/>
    <s v="CCMS"/>
    <n v="21363182"/>
    <n v="194.47"/>
    <m/>
    <s v="N"/>
    <n v="4"/>
    <d v="2023-07-12T19:01:56"/>
    <s v="Y"/>
    <s v="Routine Letter In"/>
    <s v="Care Remuneration Hourly Rates"/>
    <s v="Profit Cost"/>
    <s v="Gemma Duckworth"/>
    <s v="Y"/>
    <n v="46.81"/>
    <n v="9.359999999999999"/>
    <x v="0"/>
    <s v="VALIDATED"/>
    <n v="1"/>
    <s v="01.11.80.308.6100.0000"/>
    <n v="46.81"/>
    <s v="11"/>
    <s v="6100"/>
    <n v="836.0599999999999"/>
    <n v="46.81"/>
    <s v="CREDITOR"/>
    <n v="0"/>
    <n v="0"/>
    <n v="0"/>
    <n v="0"/>
    <n v="46.81"/>
  </r>
  <r>
    <n v="62230879"/>
    <s v="N"/>
    <n v="21363182"/>
    <s v="3000016228180001"/>
    <s v="CIVIL"/>
    <d v="2023-06-29T00:00:00"/>
    <d v="2023-07-12T19:01:49"/>
    <m/>
    <d v="2023-07-12T00:00:00"/>
    <n v="2"/>
    <n v="1113"/>
    <s v="62230879"/>
    <s v="62230879"/>
    <m/>
    <m/>
    <n v="22792808"/>
    <m/>
    <m/>
    <m/>
    <s v="SOLFIN"/>
    <s v="SOLFIN"/>
    <s v="CCMS"/>
    <n v="21363182"/>
    <n v="194.47"/>
    <m/>
    <s v="N"/>
    <n v="7"/>
    <d v="2023-07-12T19:01:56"/>
    <s v="Y"/>
    <s v="Preparation - drafting consent orde"/>
    <s v="Care Remuneration Hourly Rates"/>
    <s v="Profit Cost"/>
    <s v="Gemma Duckworth"/>
    <s v="Y"/>
    <n v="6.72"/>
    <n v="1.34"/>
    <x v="0"/>
    <s v="VALIDATED"/>
    <n v="1"/>
    <s v="01.11.80.308.6100.0000"/>
    <n v="6.72"/>
    <s v="11"/>
    <s v="6100"/>
    <n v="836.0599999999999"/>
    <n v="6.72"/>
    <s v="CREDITOR"/>
    <n v="0"/>
    <n v="0"/>
    <n v="0"/>
    <n v="0"/>
    <n v="6.72"/>
  </r>
  <r>
    <n v="62230879"/>
    <s v="N"/>
    <n v="21363182"/>
    <s v="3000016228180001"/>
    <s v="CIVIL"/>
    <d v="2023-06-29T00:00:00"/>
    <d v="2023-07-12T19:01:49"/>
    <m/>
    <d v="2023-07-12T00:00:00"/>
    <n v="2"/>
    <n v="1113"/>
    <s v="62230879"/>
    <s v="62230879"/>
    <m/>
    <m/>
    <n v="22792808"/>
    <m/>
    <m/>
    <m/>
    <s v="SOLFIN"/>
    <s v="SOLFIN"/>
    <s v="CCMS"/>
    <n v="21363182"/>
    <n v="194.47"/>
    <m/>
    <s v="N"/>
    <n v="6"/>
    <d v="2023-07-12T19:01:56"/>
    <s v="Y"/>
    <s v="Report - other"/>
    <s v="Care Remuneration Hourly Rates"/>
    <s v="Profit Cost"/>
    <s v="Gemma Duckworth"/>
    <s v="Y"/>
    <n v="13.43"/>
    <n v="2.69"/>
    <x v="0"/>
    <s v="VALIDATED"/>
    <n v="1"/>
    <s v="01.11.80.308.6100.0000"/>
    <n v="13.43"/>
    <s v="11"/>
    <s v="6100"/>
    <n v="836.0599999999999"/>
    <n v="13.43"/>
    <s v="CREDITOR"/>
    <n v="0"/>
    <n v="0"/>
    <n v="0"/>
    <n v="0"/>
    <n v="13.43"/>
  </r>
  <r>
    <n v="61647584"/>
    <s v="N"/>
    <n v="21350135"/>
    <s v="3000015720010014"/>
    <s v="CIVIL"/>
    <d v="2023-06-30T00:00:00"/>
    <d v="2023-07-10T19:01:40"/>
    <m/>
    <d v="2023-07-10T00:00:00"/>
    <n v="12"/>
    <n v="8890"/>
    <s v="61647584"/>
    <s v="61647584"/>
    <m/>
    <m/>
    <n v="22801106"/>
    <m/>
    <m/>
    <m/>
    <s v="SOLFIN"/>
    <s v="SOLFIN"/>
    <s v="CCMS"/>
    <n v="21350135"/>
    <n v="12532.67"/>
    <m/>
    <s v="N"/>
    <n v="77"/>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4"/>
    <d v="2023-07-10T19:02:14"/>
    <s v="Y"/>
    <s v="Interpreter"/>
    <s v="Prescribed Hourly Rates"/>
    <s v="Expert Disbursement"/>
    <s v="LV"/>
    <s v="Y"/>
    <n v="60"/>
    <n v="12"/>
    <x v="2"/>
    <s v="VALIDATED"/>
    <n v="1"/>
    <s v="01.11.80.305.6300.0000"/>
    <n v="60"/>
    <s v="11"/>
    <s v="6300"/>
    <n v="12353.55"/>
    <n v="60"/>
    <s v="CREDITOR"/>
    <n v="0"/>
    <n v="0"/>
    <n v="0"/>
    <n v="0"/>
    <n v="60"/>
  </r>
  <r>
    <n v="61647584"/>
    <s v="N"/>
    <n v="21350135"/>
    <s v="3000015720010014"/>
    <s v="CIVIL"/>
    <d v="2023-06-30T00:00:00"/>
    <d v="2023-07-10T19:01:40"/>
    <m/>
    <d v="2023-07-10T00:00:00"/>
    <n v="12"/>
    <n v="8890"/>
    <s v="61647584"/>
    <s v="61647584"/>
    <m/>
    <m/>
    <n v="22801106"/>
    <m/>
    <m/>
    <m/>
    <s v="SOLFIN"/>
    <s v="SOLFIN"/>
    <s v="CCMS"/>
    <n v="21350135"/>
    <n v="12532.67"/>
    <m/>
    <s v="N"/>
    <n v="54"/>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73"/>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59"/>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6"/>
    <d v="2023-07-10T19:02:14"/>
    <s v="Y"/>
    <s v="Preparation - other"/>
    <s v="Prescribed Hourly Rates"/>
    <s v="Profit Cost"/>
    <s v="LV"/>
    <s v="Y"/>
    <n v="232.85"/>
    <n v="46.57"/>
    <x v="2"/>
    <s v="VALIDATED"/>
    <n v="1"/>
    <s v="01.11.80.305.6100.0000"/>
    <n v="232.85"/>
    <s v="11"/>
    <s v="6100"/>
    <n v="12353.55"/>
    <n v="232.85"/>
    <s v="CREDITOR"/>
    <n v="0"/>
    <n v="0"/>
    <n v="0"/>
    <n v="0"/>
    <n v="232.85"/>
  </r>
  <r>
    <n v="61647584"/>
    <s v="N"/>
    <n v="21350135"/>
    <s v="3000015720010014"/>
    <s v="CIVIL"/>
    <d v="2023-06-30T00:00:00"/>
    <d v="2023-07-10T19:01:40"/>
    <m/>
    <d v="2023-07-10T00:00:00"/>
    <n v="12"/>
    <n v="8890"/>
    <s v="61647584"/>
    <s v="61647584"/>
    <m/>
    <m/>
    <n v="22801106"/>
    <m/>
    <m/>
    <m/>
    <s v="SOLFIN"/>
    <s v="SOLFIN"/>
    <s v="CCMS"/>
    <n v="21350135"/>
    <n v="12532.67"/>
    <m/>
    <s v="N"/>
    <n v="46"/>
    <d v="2023-07-10T19:02:14"/>
    <s v="Y"/>
    <s v="Preparation - other"/>
    <s v="Prescribed Hourly Rates"/>
    <s v="Profit Cost"/>
    <s v="LV"/>
    <s v="Y"/>
    <n v="232.85"/>
    <n v="46.57"/>
    <x v="2"/>
    <s v="VALIDATED"/>
    <n v="1"/>
    <s v="01.11.80.305.6100.0000"/>
    <n v="232.85"/>
    <s v="11"/>
    <s v="6100"/>
    <n v="12353.55"/>
    <n v="232.85"/>
    <s v="CREDITOR"/>
    <n v="0"/>
    <n v="0"/>
    <n v="0"/>
    <n v="0"/>
    <n v="232.85"/>
  </r>
  <r>
    <n v="61647584"/>
    <s v="N"/>
    <n v="21350135"/>
    <s v="3000015720010014"/>
    <s v="CIVIL"/>
    <d v="2023-06-30T00:00:00"/>
    <d v="2023-07-10T19:01:40"/>
    <m/>
    <d v="2023-07-10T00:00:00"/>
    <n v="12"/>
    <n v="8890"/>
    <s v="61647584"/>
    <s v="61647584"/>
    <m/>
    <m/>
    <n v="22801106"/>
    <m/>
    <m/>
    <m/>
    <s v="SOLFIN"/>
    <s v="SOLFIN"/>
    <s v="CCMS"/>
    <n v="21350135"/>
    <n v="12532.67"/>
    <m/>
    <s v="N"/>
    <n v="64"/>
    <d v="2023-07-10T19:02:14"/>
    <s v="Y"/>
    <s v="Preparation - other"/>
    <s v="Prescribed Hourly Rates"/>
    <s v="Profit Cost"/>
    <s v="LV"/>
    <s v="Y"/>
    <n v="34.93"/>
    <n v="6.99"/>
    <x v="2"/>
    <s v="VALIDATED"/>
    <n v="1"/>
    <s v="01.11.80.305.6100.0000"/>
    <n v="34.93"/>
    <s v="11"/>
    <s v="6100"/>
    <n v="12353.55"/>
    <n v="34.93"/>
    <s v="CREDITOR"/>
    <n v="0"/>
    <n v="0"/>
    <n v="0"/>
    <n v="0"/>
    <n v="34.93"/>
  </r>
  <r>
    <n v="61347581"/>
    <s v="N"/>
    <n v="21323660"/>
    <s v="3000015497750013"/>
    <s v="CIVIL"/>
    <d v="2023-06-30T00:00:00"/>
    <d v="2023-07-03T19:05:56"/>
    <m/>
    <d v="2023-07-03T00:00:00"/>
    <n v="12"/>
    <n v="8890"/>
    <s v="61347581"/>
    <s v="61347581"/>
    <m/>
    <m/>
    <n v="22800920"/>
    <m/>
    <m/>
    <m/>
    <s v="SOLPOA"/>
    <s v="SOLPOA"/>
    <s v="CCMS"/>
    <n v="21323660"/>
    <n v="3950.23"/>
    <m/>
    <s v="N"/>
    <n v="1"/>
    <d v="2023-07-03T19:05:58"/>
    <s v="N"/>
    <s v="Solicitors Fixed Fee"/>
    <s v="Public Law Children"/>
    <s v="Profit Cost"/>
    <s v="AS"/>
    <s v="N"/>
    <n v="3291.86"/>
    <n v="658.37"/>
    <x v="3"/>
    <s v="VALIDATED"/>
    <n v="1"/>
    <s v="01.11.80.308.2012.0000"/>
    <n v="3291.86"/>
    <s v="11"/>
    <s v="2012"/>
    <n v="12353.55"/>
    <n v="3291.86"/>
    <s v="CREDITOR"/>
    <n v="3291.86"/>
    <n v="822.965"/>
    <n v="0"/>
    <n v="0"/>
    <n v="0"/>
  </r>
  <r>
    <n v="61647584"/>
    <s v="N"/>
    <n v="21350135"/>
    <s v="3000015720010014"/>
    <s v="CIVIL"/>
    <d v="2023-06-30T00:00:00"/>
    <d v="2023-07-10T19:01:40"/>
    <m/>
    <d v="2023-07-10T00:00:00"/>
    <n v="12"/>
    <n v="8890"/>
    <s v="61647584"/>
    <s v="61647584"/>
    <m/>
    <m/>
    <n v="22801106"/>
    <m/>
    <m/>
    <m/>
    <s v="SOLFIN"/>
    <s v="SOLFIN"/>
    <s v="CCMS"/>
    <n v="21350135"/>
    <n v="12532.67"/>
    <m/>
    <s v="N"/>
    <n v="61"/>
    <d v="2023-07-10T19:02:14"/>
    <s v="Y"/>
    <s v="Preparation - other"/>
    <s v="Prescribed Hourly Rates"/>
    <s v="Profit Cost"/>
    <s v="LV"/>
    <s v="Y"/>
    <n v="93.14"/>
    <n v="18.63"/>
    <x v="2"/>
    <s v="VALIDATED"/>
    <n v="1"/>
    <s v="01.11.80.305.6100.0000"/>
    <n v="93.14"/>
    <s v="11"/>
    <s v="6100"/>
    <n v="12353.55"/>
    <n v="93.14"/>
    <s v="CREDITOR"/>
    <n v="0"/>
    <n v="0"/>
    <n v="0"/>
    <n v="0"/>
    <n v="93.14"/>
  </r>
  <r>
    <n v="61647584"/>
    <s v="N"/>
    <n v="21350135"/>
    <s v="3000015720010014"/>
    <s v="CIVIL"/>
    <d v="2023-06-30T00:00:00"/>
    <d v="2023-07-10T19:01:40"/>
    <m/>
    <d v="2023-07-10T00:00:00"/>
    <n v="12"/>
    <n v="8890"/>
    <s v="61647584"/>
    <s v="61647584"/>
    <m/>
    <m/>
    <n v="22801106"/>
    <m/>
    <m/>
    <m/>
    <s v="SOLFIN"/>
    <s v="SOLFIN"/>
    <s v="CCMS"/>
    <n v="21350135"/>
    <n v="12532.67"/>
    <m/>
    <s v="N"/>
    <n v="72"/>
    <d v="2023-07-10T19:02:14"/>
    <s v="Y"/>
    <s v="Preparation - other"/>
    <s v="Prescribed Hourly Rates"/>
    <s v="Profit Cost"/>
    <s v="ZM"/>
    <s v="Y"/>
    <n v="11.65"/>
    <n v="2.33"/>
    <x v="2"/>
    <s v="VALIDATED"/>
    <n v="1"/>
    <s v="01.11.80.305.6100.0000"/>
    <n v="11.65"/>
    <s v="11"/>
    <s v="6100"/>
    <n v="12353.55"/>
    <n v="11.65"/>
    <s v="CREDITOR"/>
    <n v="0"/>
    <n v="0"/>
    <n v="0"/>
    <n v="0"/>
    <n v="11.65"/>
  </r>
  <r>
    <n v="61647584"/>
    <s v="N"/>
    <n v="21350135"/>
    <s v="3000015720010014"/>
    <s v="CIVIL"/>
    <d v="2023-06-30T00:00:00"/>
    <d v="2023-07-10T19:01:40"/>
    <m/>
    <d v="2023-07-10T00:00:00"/>
    <n v="12"/>
    <n v="8890"/>
    <s v="61647584"/>
    <s v="61647584"/>
    <m/>
    <m/>
    <n v="22801106"/>
    <m/>
    <m/>
    <m/>
    <s v="SOLFIN"/>
    <s v="SOLFIN"/>
    <s v="CCMS"/>
    <n v="21350135"/>
    <n v="12532.67"/>
    <m/>
    <s v="N"/>
    <n v="78"/>
    <d v="2023-07-10T19:02:14"/>
    <s v="Y"/>
    <s v="Attendance upon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7"/>
    <d v="2023-07-10T19:02:14"/>
    <s v="Y"/>
    <s v="Attendance upon client"/>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20"/>
    <d v="2023-07-10T19:02:14"/>
    <s v="Y"/>
    <s v="Preparation - other"/>
    <s v="Prescribed Hourly Rates"/>
    <s v="Profit Cost"/>
    <s v="LV"/>
    <s v="Y"/>
    <n v="46.56"/>
    <n v="9.31"/>
    <x v="2"/>
    <s v="VALIDATED"/>
    <n v="1"/>
    <s v="01.11.80.305.6100.0000"/>
    <n v="46.56"/>
    <s v="11"/>
    <s v="6100"/>
    <n v="12353.55"/>
    <n v="46.56"/>
    <s v="CREDITOR"/>
    <n v="0"/>
    <n v="0"/>
    <n v="0"/>
    <n v="0"/>
    <n v="46.56"/>
  </r>
  <r>
    <n v="61647584"/>
    <s v="N"/>
    <n v="21350135"/>
    <s v="3000015720010014"/>
    <s v="CIVIL"/>
    <d v="2023-06-30T00:00:00"/>
    <d v="2023-07-10T19:01:40"/>
    <m/>
    <d v="2023-07-10T00:00:00"/>
    <n v="12"/>
    <n v="8890"/>
    <s v="61647584"/>
    <s v="61647584"/>
    <m/>
    <m/>
    <n v="22801106"/>
    <m/>
    <m/>
    <m/>
    <s v="SOLFIN"/>
    <s v="SOLFIN"/>
    <s v="CCMS"/>
    <n v="21350135"/>
    <n v="12532.67"/>
    <m/>
    <s v="N"/>
    <n v="10"/>
    <d v="2023-07-10T19:02:14"/>
    <s v="Y"/>
    <s v="Attendance upon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4"/>
    <d v="2023-07-10T19:02:14"/>
    <s v="Y"/>
    <s v="Preparation - other"/>
    <s v="Prescribed Hourly Rates"/>
    <s v="Profit Cost"/>
    <s v="LV"/>
    <s v="Y"/>
    <n v="186.29"/>
    <n v="37.26"/>
    <x v="2"/>
    <s v="VALIDATED"/>
    <n v="1"/>
    <s v="01.11.80.305.6100.0000"/>
    <n v="186.29"/>
    <s v="11"/>
    <s v="6100"/>
    <n v="12353.55"/>
    <n v="186.29"/>
    <s v="CREDITOR"/>
    <n v="0"/>
    <n v="0"/>
    <n v="0"/>
    <n v="0"/>
    <n v="186.29"/>
  </r>
  <r>
    <n v="61647584"/>
    <s v="N"/>
    <n v="21350135"/>
    <s v="3000015720010014"/>
    <s v="CIVIL"/>
    <d v="2023-06-30T00:00:00"/>
    <d v="2023-07-10T19:01:40"/>
    <m/>
    <d v="2023-07-10T00:00:00"/>
    <n v="12"/>
    <n v="8890"/>
    <s v="61647584"/>
    <s v="61647584"/>
    <m/>
    <m/>
    <n v="22801106"/>
    <m/>
    <m/>
    <m/>
    <s v="SOLFIN"/>
    <s v="SOLFIN"/>
    <s v="CCMS"/>
    <n v="21350135"/>
    <n v="12532.67"/>
    <m/>
    <s v="N"/>
    <n v="55"/>
    <d v="2023-07-10T19:02:14"/>
    <s v="Y"/>
    <s v="Preparation - drafting application"/>
    <s v="Prescribed Hourly Rates"/>
    <s v="Profit Cost"/>
    <s v="LV"/>
    <s v="Y"/>
    <n v="69.86"/>
    <n v="13.97"/>
    <x v="2"/>
    <s v="VALIDATED"/>
    <n v="1"/>
    <s v="01.11.80.305.6100.0000"/>
    <n v="69.86"/>
    <s v="11"/>
    <s v="6100"/>
    <n v="12353.55"/>
    <n v="69.86"/>
    <s v="CREDITOR"/>
    <n v="0"/>
    <n v="0"/>
    <n v="0"/>
    <n v="0"/>
    <n v="69.86"/>
  </r>
  <r>
    <n v="61647584"/>
    <s v="N"/>
    <n v="21350135"/>
    <s v="3000015720010014"/>
    <s v="CIVIL"/>
    <d v="2023-06-30T00:00:00"/>
    <d v="2023-07-10T19:01:40"/>
    <m/>
    <d v="2023-07-10T00:00:00"/>
    <n v="12"/>
    <n v="8890"/>
    <s v="61647584"/>
    <s v="61647584"/>
    <m/>
    <m/>
    <n v="22801106"/>
    <m/>
    <m/>
    <m/>
    <s v="SOLFIN"/>
    <s v="SOLFIN"/>
    <s v="CCMS"/>
    <n v="21350135"/>
    <n v="12532.67"/>
    <m/>
    <s v="N"/>
    <n v="25"/>
    <d v="2023-07-10T19:02:14"/>
    <s v="Y"/>
    <s v="Preparation - other"/>
    <s v="Prescribed Hourly Rates"/>
    <s v="Profit Cost"/>
    <s v="LV"/>
    <s v="Y"/>
    <n v="139.71"/>
    <n v="27.94"/>
    <x v="2"/>
    <s v="VALIDATED"/>
    <n v="1"/>
    <s v="01.11.80.305.6100.0000"/>
    <n v="139.71"/>
    <s v="11"/>
    <s v="6100"/>
    <n v="12353.55"/>
    <n v="139.71"/>
    <s v="CREDITOR"/>
    <n v="0"/>
    <n v="0"/>
    <n v="0"/>
    <n v="0"/>
    <n v="139.71"/>
  </r>
  <r>
    <n v="61647584"/>
    <s v="N"/>
    <n v="21350135"/>
    <s v="3000015720010014"/>
    <s v="CIVIL"/>
    <d v="2023-06-30T00:00:00"/>
    <d v="2023-07-10T19:01:40"/>
    <m/>
    <d v="2023-07-10T00:00:00"/>
    <n v="12"/>
    <n v="8890"/>
    <s v="61647584"/>
    <s v="61647584"/>
    <m/>
    <m/>
    <n v="22801106"/>
    <m/>
    <m/>
    <m/>
    <s v="SOLFIN"/>
    <s v="SOLFIN"/>
    <s v="CCMS"/>
    <n v="21350135"/>
    <n v="12532.67"/>
    <m/>
    <s v="N"/>
    <n v="34"/>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76"/>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8"/>
    <d v="2023-07-10T19:02:14"/>
    <s v="Y"/>
    <s v="Preparation - other"/>
    <s v="Prescribed Hourly Rates"/>
    <s v="Profit Cost"/>
    <s v="LV"/>
    <s v="Y"/>
    <n v="93.14"/>
    <n v="18.63"/>
    <x v="2"/>
    <s v="VALIDATED"/>
    <n v="1"/>
    <s v="01.11.80.305.6100.0000"/>
    <n v="93.14"/>
    <s v="11"/>
    <s v="6100"/>
    <n v="12353.55"/>
    <n v="93.14"/>
    <s v="CREDITOR"/>
    <n v="0"/>
    <n v="0"/>
    <n v="0"/>
    <n v="0"/>
    <n v="93.14"/>
  </r>
  <r>
    <n v="61647584"/>
    <s v="N"/>
    <n v="21350135"/>
    <s v="3000015720010014"/>
    <s v="CIVIL"/>
    <d v="2023-06-30T00:00:00"/>
    <d v="2023-07-10T19:01:40"/>
    <m/>
    <d v="2023-07-10T00:00:00"/>
    <n v="12"/>
    <n v="8890"/>
    <s v="61647584"/>
    <s v="61647584"/>
    <m/>
    <m/>
    <n v="22801106"/>
    <m/>
    <m/>
    <m/>
    <s v="SOLFIN"/>
    <s v="SOLFIN"/>
    <s v="CCMS"/>
    <n v="21350135"/>
    <n v="12532.67"/>
    <m/>
    <s v="N"/>
    <n v="12"/>
    <d v="2023-07-10T19:02:14"/>
    <s v="Y"/>
    <s v="Preparation - drafting notice(s)"/>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03"/>
    <d v="2023-07-10T19:02:14"/>
    <s v="Y"/>
    <s v="Preparation - drafting bill/claim f"/>
    <s v="Prescribed Hourly Rates"/>
    <s v="Profit Cost"/>
    <s v="LV"/>
    <s v="Y"/>
    <n v="81.14"/>
    <n v="16.23"/>
    <x v="2"/>
    <s v="VALIDATED"/>
    <n v="1"/>
    <s v="01.11.80.305.6100.0000"/>
    <n v="81.14"/>
    <s v="11"/>
    <s v="6100"/>
    <n v="12353.55"/>
    <n v="81.14"/>
    <s v="CREDITOR"/>
    <n v="0"/>
    <n v="0"/>
    <n v="0"/>
    <n v="0"/>
    <n v="81.14"/>
  </r>
  <r>
    <n v="61647584"/>
    <s v="N"/>
    <n v="21350135"/>
    <s v="3000015720010014"/>
    <s v="CIVIL"/>
    <d v="2023-06-30T00:00:00"/>
    <d v="2023-07-10T19:01:40"/>
    <m/>
    <d v="2023-07-10T00:00:00"/>
    <n v="12"/>
    <n v="8890"/>
    <s v="61647584"/>
    <s v="61647584"/>
    <m/>
    <m/>
    <n v="22801106"/>
    <m/>
    <m/>
    <m/>
    <s v="SOLFIN"/>
    <s v="SOLFIN"/>
    <s v="CCMS"/>
    <n v="21350135"/>
    <n v="12532.67"/>
    <m/>
    <s v="N"/>
    <n v="39"/>
    <d v="2023-07-10T19:02:14"/>
    <s v="Y"/>
    <s v="Preparation - other"/>
    <s v="Prescribed Hourly Rates"/>
    <s v="Profit Cost"/>
    <s v="LV"/>
    <s v="Y"/>
    <n v="162.99"/>
    <n v="32.6"/>
    <x v="2"/>
    <s v="VALIDATED"/>
    <n v="1"/>
    <s v="01.11.80.305.6100.0000"/>
    <n v="162.99"/>
    <s v="11"/>
    <s v="6100"/>
    <n v="12353.55"/>
    <n v="162.99"/>
    <s v="CREDITOR"/>
    <n v="0"/>
    <n v="0"/>
    <n v="0"/>
    <n v="0"/>
    <n v="162.99"/>
  </r>
  <r>
    <n v="61647584"/>
    <s v="N"/>
    <n v="21350135"/>
    <s v="3000015720010014"/>
    <s v="CIVIL"/>
    <d v="2023-06-30T00:00:00"/>
    <d v="2023-07-10T19:01:40"/>
    <m/>
    <d v="2023-07-10T00:00:00"/>
    <n v="12"/>
    <n v="8890"/>
    <s v="61647584"/>
    <s v="61647584"/>
    <m/>
    <m/>
    <n v="22801106"/>
    <m/>
    <m/>
    <m/>
    <s v="SOLFIN"/>
    <s v="SOLFIN"/>
    <s v="CCMS"/>
    <n v="21350135"/>
    <n v="12532.67"/>
    <m/>
    <s v="N"/>
    <n v="27"/>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57"/>
    <d v="2023-07-10T19:02:14"/>
    <s v="Y"/>
    <s v="Preparation - other"/>
    <s v="Prescribed Hourly Rates"/>
    <s v="Profit Cost"/>
    <s v="LV"/>
    <s v="Y"/>
    <n v="46.56"/>
    <n v="9.31"/>
    <x v="2"/>
    <s v="VALIDATED"/>
    <n v="1"/>
    <s v="01.11.80.305.6100.0000"/>
    <n v="46.56"/>
    <s v="11"/>
    <s v="6100"/>
    <n v="12353.55"/>
    <n v="46.56"/>
    <s v="CREDITOR"/>
    <n v="0"/>
    <n v="0"/>
    <n v="0"/>
    <n v="0"/>
    <n v="46.56"/>
  </r>
  <r>
    <n v="62134582"/>
    <s v="N"/>
    <n v="21322194"/>
    <s v="3000016156290004"/>
    <s v="CIVIL"/>
    <d v="2023-06-29T00:00:00"/>
    <d v="2023-07-03T19:05:36"/>
    <m/>
    <d v="2023-07-03T00:00:00"/>
    <n v="12"/>
    <n v="8890"/>
    <s v="62134582"/>
    <s v="62134582"/>
    <m/>
    <m/>
    <n v="22791956"/>
    <m/>
    <m/>
    <m/>
    <s v="SOLPOA"/>
    <s v="SOLPOA"/>
    <s v="CCMS"/>
    <n v="21322194"/>
    <n v="4697.69"/>
    <m/>
    <s v="N"/>
    <n v="1"/>
    <d v="2023-07-03T19:05:36"/>
    <s v="N"/>
    <s v="Solicitors Fixed Fee"/>
    <s v="Public Law Children"/>
    <s v="Profit Cost"/>
    <s v="LV"/>
    <s v="N"/>
    <n v="3914.74"/>
    <n v="782.95"/>
    <x v="3"/>
    <s v="VALIDATED"/>
    <n v="1"/>
    <s v="01.11.80.308.2012.0000"/>
    <n v="3914.74"/>
    <s v="11"/>
    <s v="2012"/>
    <n v="12353.55"/>
    <n v="3914.74"/>
    <s v="CREDITOR"/>
    <n v="3914.74"/>
    <n v="978.6849999999999"/>
    <n v="0"/>
    <n v="0"/>
    <n v="0"/>
  </r>
  <r>
    <n v="61647584"/>
    <s v="N"/>
    <n v="21350135"/>
    <s v="3000015720010014"/>
    <s v="CIVIL"/>
    <d v="2023-06-30T00:00:00"/>
    <d v="2023-07-10T19:01:40"/>
    <m/>
    <d v="2023-07-10T00:00:00"/>
    <n v="12"/>
    <n v="8890"/>
    <s v="61647584"/>
    <s v="61647584"/>
    <m/>
    <m/>
    <n v="22801106"/>
    <m/>
    <m/>
    <m/>
    <s v="SOLFIN"/>
    <s v="SOLFIN"/>
    <s v="CCMS"/>
    <n v="21350135"/>
    <n v="12532.67"/>
    <m/>
    <s v="N"/>
    <n v="70"/>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94"/>
    <d v="2023-07-10T19:02:14"/>
    <s v="Y"/>
    <s v="Attendance upon client"/>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66"/>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32"/>
    <d v="2023-07-10T19:02:14"/>
    <s v="Y"/>
    <s v="Preparation - other"/>
    <s v="Prescribed Hourly Rates"/>
    <s v="Profit Cost"/>
    <s v="LV"/>
    <s v="Y"/>
    <n v="93.14"/>
    <n v="18.63"/>
    <x v="2"/>
    <s v="VALIDATED"/>
    <n v="1"/>
    <s v="01.11.80.305.6100.0000"/>
    <n v="93.14"/>
    <s v="11"/>
    <s v="6100"/>
    <n v="12353.55"/>
    <n v="93.14"/>
    <s v="CREDITOR"/>
    <n v="0"/>
    <n v="0"/>
    <n v="0"/>
    <n v="0"/>
    <n v="93.14"/>
  </r>
  <r>
    <n v="61647584"/>
    <s v="N"/>
    <n v="21350135"/>
    <s v="3000015720010014"/>
    <s v="CIVIL"/>
    <d v="2023-06-30T00:00:00"/>
    <d v="2023-07-10T19:01:40"/>
    <m/>
    <d v="2023-07-10T00:00:00"/>
    <n v="12"/>
    <n v="8890"/>
    <s v="61647584"/>
    <s v="61647584"/>
    <m/>
    <m/>
    <n v="22801106"/>
    <m/>
    <m/>
    <m/>
    <s v="SOLFIN"/>
    <s v="SOLFIN"/>
    <s v="CCMS"/>
    <n v="21350135"/>
    <n v="12532.67"/>
    <m/>
    <s v="N"/>
    <n v="35"/>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67"/>
    <d v="2023-07-10T19:02:14"/>
    <s v="Y"/>
    <s v="Preparation - other"/>
    <s v="Prescribed Hourly Rates"/>
    <s v="Profit Cost"/>
    <s v="LV"/>
    <s v="Y"/>
    <n v="46.56"/>
    <n v="9.31"/>
    <x v="2"/>
    <s v="VALIDATED"/>
    <n v="1"/>
    <s v="01.11.80.305.6100.0000"/>
    <n v="46.56"/>
    <s v="11"/>
    <s v="6100"/>
    <n v="12353.55"/>
    <n v="46.56"/>
    <s v="CREDITOR"/>
    <n v="0"/>
    <n v="0"/>
    <n v="0"/>
    <n v="0"/>
    <n v="46.56"/>
  </r>
  <r>
    <n v="61647584"/>
    <s v="N"/>
    <n v="21350135"/>
    <s v="3000015720010014"/>
    <s v="CIVIL"/>
    <d v="2023-06-30T00:00:00"/>
    <d v="2023-07-10T19:01:40"/>
    <m/>
    <d v="2023-07-10T00:00:00"/>
    <n v="12"/>
    <n v="8890"/>
    <s v="61647584"/>
    <s v="61647584"/>
    <m/>
    <m/>
    <n v="22801106"/>
    <m/>
    <m/>
    <m/>
    <s v="SOLFIN"/>
    <s v="SOLFIN"/>
    <s v="CCMS"/>
    <n v="21350135"/>
    <n v="12532.67"/>
    <m/>
    <s v="N"/>
    <n v="15"/>
    <d v="2023-07-10T19:02:14"/>
    <s v="Y"/>
    <s v="Preparation - other"/>
    <s v="Prescribed Hourly Rates"/>
    <s v="Profit Cost"/>
    <s v="LV"/>
    <s v="Y"/>
    <n v="232.85"/>
    <n v="46.57"/>
    <x v="2"/>
    <s v="VALIDATED"/>
    <n v="1"/>
    <s v="01.11.80.305.6100.0000"/>
    <n v="232.85"/>
    <s v="11"/>
    <s v="6100"/>
    <n v="12353.55"/>
    <n v="232.85"/>
    <s v="CREDITOR"/>
    <n v="0"/>
    <n v="0"/>
    <n v="0"/>
    <n v="0"/>
    <n v="232.85"/>
  </r>
  <r>
    <n v="61167281"/>
    <s v="N"/>
    <n v="21324093"/>
    <s v="3000015348680011"/>
    <s v="CIVIL"/>
    <d v="2023-06-30T00:00:00"/>
    <d v="2023-07-03T19:05:56"/>
    <m/>
    <d v="2023-07-03T00:00:00"/>
    <n v="12"/>
    <n v="8890"/>
    <s v="61167281"/>
    <s v="61167281"/>
    <m/>
    <m/>
    <n v="22797102"/>
    <m/>
    <m/>
    <m/>
    <s v="SOLPOA"/>
    <s v="SOLPOA"/>
    <s v="CCMS"/>
    <n v="21324093"/>
    <n v="4719.88"/>
    <m/>
    <s v="N"/>
    <n v="1"/>
    <d v="2023-07-03T19:06:00"/>
    <s v="N"/>
    <s v="Solicitors Fixed Fee"/>
    <s v="Public Law Children"/>
    <s v="Profit Cost"/>
    <s v="AS"/>
    <s v="N"/>
    <n v="3933.23"/>
    <n v="786.65"/>
    <x v="3"/>
    <s v="VALIDATED"/>
    <n v="1"/>
    <s v="01.11.80.308.2012.0000"/>
    <n v="3933.23"/>
    <s v="11"/>
    <s v="2012"/>
    <n v="12353.55"/>
    <n v="3933.23"/>
    <s v="CREDITOR"/>
    <n v="3933.23"/>
    <n v="983.3075"/>
    <n v="0"/>
    <n v="0"/>
    <n v="0"/>
  </r>
  <r>
    <n v="61647584"/>
    <s v="N"/>
    <n v="21350135"/>
    <s v="3000015720010014"/>
    <s v="CIVIL"/>
    <d v="2023-06-30T00:00:00"/>
    <d v="2023-07-10T19:01:40"/>
    <m/>
    <d v="2023-07-10T00:00:00"/>
    <n v="12"/>
    <n v="8890"/>
    <s v="61647584"/>
    <s v="61647584"/>
    <m/>
    <m/>
    <n v="22801106"/>
    <m/>
    <m/>
    <m/>
    <s v="SOLFIN"/>
    <s v="SOLFIN"/>
    <s v="CCMS"/>
    <n v="21350135"/>
    <n v="12532.67"/>
    <m/>
    <s v="N"/>
    <n v="26"/>
    <d v="2023-07-10T19:02:14"/>
    <s v="Y"/>
    <s v="Preparation - other"/>
    <s v="Prescribed Hourly Rates"/>
    <s v="Profit Cost"/>
    <s v="LV"/>
    <s v="Y"/>
    <n v="151.35"/>
    <n v="30.27"/>
    <x v="2"/>
    <s v="VALIDATED"/>
    <n v="1"/>
    <s v="01.11.80.305.6100.0000"/>
    <n v="151.35"/>
    <s v="11"/>
    <s v="6100"/>
    <n v="12353.55"/>
    <n v="151.35"/>
    <s v="CREDITOR"/>
    <n v="0"/>
    <n v="0"/>
    <n v="0"/>
    <n v="0"/>
    <n v="151.35"/>
  </r>
  <r>
    <n v="61647584"/>
    <s v="N"/>
    <n v="21350135"/>
    <s v="3000015720010014"/>
    <s v="CIVIL"/>
    <d v="2023-06-30T00:00:00"/>
    <d v="2023-07-10T19:01:40"/>
    <m/>
    <d v="2023-07-10T00:00:00"/>
    <n v="12"/>
    <n v="8890"/>
    <s v="61647584"/>
    <s v="61647584"/>
    <m/>
    <m/>
    <n v="22801106"/>
    <m/>
    <m/>
    <m/>
    <s v="SOLFIN"/>
    <s v="SOLFIN"/>
    <s v="CCMS"/>
    <n v="21350135"/>
    <n v="12532.67"/>
    <m/>
    <s v="N"/>
    <n v="48"/>
    <d v="2023-07-10T19:02:14"/>
    <s v="Y"/>
    <s v="Preparation - drafting statement"/>
    <s v="Prescribed Hourly Rates"/>
    <s v="Profit Cost"/>
    <s v="LV"/>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91"/>
    <d v="2023-07-10T19:02:14"/>
    <s v="Y"/>
    <s v="Preparation - other"/>
    <s v="Prescribed Hourly Rates"/>
    <s v="Profit Cost"/>
    <s v="LV"/>
    <s v="Y"/>
    <n v="116.42"/>
    <n v="23.29"/>
    <x v="2"/>
    <s v="VALIDATED"/>
    <n v="1"/>
    <s v="01.11.80.305.6100.0000"/>
    <n v="116.42"/>
    <s v="11"/>
    <s v="6100"/>
    <n v="12353.55"/>
    <n v="116.42"/>
    <s v="CREDITOR"/>
    <n v="0"/>
    <n v="0"/>
    <n v="0"/>
    <n v="0"/>
    <n v="116.42"/>
  </r>
  <r>
    <n v="61647584"/>
    <s v="N"/>
    <n v="21350135"/>
    <s v="3000015720010014"/>
    <s v="CIVIL"/>
    <d v="2023-06-30T00:00:00"/>
    <d v="2023-07-10T19:01:40"/>
    <m/>
    <d v="2023-07-10T00:00:00"/>
    <n v="12"/>
    <n v="8890"/>
    <s v="61647584"/>
    <s v="61647584"/>
    <m/>
    <m/>
    <n v="22801106"/>
    <m/>
    <m/>
    <m/>
    <s v="SOLFIN"/>
    <s v="SOLFIN"/>
    <s v="CCMS"/>
    <n v="21350135"/>
    <n v="12532.67"/>
    <m/>
    <s v="N"/>
    <n v="93"/>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36"/>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63"/>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9"/>
    <d v="2023-07-10T19:02:14"/>
    <s v="Y"/>
    <s v="Attendance upon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3"/>
    <d v="2023-07-10T19:02:14"/>
    <s v="Y"/>
    <s v="Attendance upon client"/>
    <s v="Prescribed Hourly Rates"/>
    <s v="Profit Cost"/>
    <s v="LV"/>
    <s v="Y"/>
    <n v="174.64"/>
    <n v="34.93"/>
    <x v="2"/>
    <s v="VALIDATED"/>
    <n v="1"/>
    <s v="01.11.80.305.6100.0000"/>
    <n v="174.64"/>
    <s v="11"/>
    <s v="6100"/>
    <n v="12353.55"/>
    <n v="174.64"/>
    <s v="CREDITOR"/>
    <n v="0"/>
    <n v="0"/>
    <n v="0"/>
    <n v="0"/>
    <n v="174.64"/>
  </r>
  <r>
    <n v="61647584"/>
    <s v="N"/>
    <n v="21350135"/>
    <s v="3000015720010014"/>
    <s v="CIVIL"/>
    <d v="2023-06-30T00:00:00"/>
    <d v="2023-07-10T19:01:40"/>
    <m/>
    <d v="2023-07-10T00:00:00"/>
    <n v="12"/>
    <n v="8890"/>
    <s v="61647584"/>
    <s v="61647584"/>
    <m/>
    <m/>
    <n v="22801106"/>
    <m/>
    <m/>
    <m/>
    <s v="SOLFIN"/>
    <s v="SOLFIN"/>
    <s v="CCMS"/>
    <n v="21350135"/>
    <n v="12532.67"/>
    <m/>
    <s v="N"/>
    <n v="99"/>
    <d v="2023-07-10T19:02:14"/>
    <s v="Y"/>
    <s v="Advocacy - In court behind counsel"/>
    <s v="Prescribed Hourly Rates"/>
    <s v="Advocacy"/>
    <s v="SB"/>
    <s v="Y"/>
    <n v="42.88"/>
    <n v="8.58"/>
    <x v="2"/>
    <s v="VALIDATED"/>
    <n v="1"/>
    <s v="01.11.80.305.6100.0000"/>
    <n v="42.88"/>
    <s v="11"/>
    <s v="6100"/>
    <n v="12353.55"/>
    <n v="42.88"/>
    <s v="CREDITOR"/>
    <n v="0"/>
    <n v="0"/>
    <n v="0"/>
    <n v="0"/>
    <n v="42.88"/>
  </r>
  <r>
    <n v="61647584"/>
    <s v="N"/>
    <n v="21350135"/>
    <s v="3000015720010014"/>
    <s v="CIVIL"/>
    <d v="2023-06-30T00:00:00"/>
    <d v="2023-07-10T19:01:40"/>
    <m/>
    <d v="2023-07-10T00:00:00"/>
    <n v="12"/>
    <n v="8890"/>
    <s v="61647584"/>
    <s v="61647584"/>
    <m/>
    <m/>
    <n v="22801106"/>
    <m/>
    <m/>
    <m/>
    <s v="SOLFIN"/>
    <s v="SOLFIN"/>
    <s v="CCMS"/>
    <n v="21350135"/>
    <n v="12532.67"/>
    <m/>
    <s v="N"/>
    <n v="105"/>
    <d v="2023-07-10T19:02:14"/>
    <s v="Y"/>
    <s v="Routine Telephone Call"/>
    <s v="Prescribed Hourly Rates"/>
    <s v="Profit Cost"/>
    <s v="LV"/>
    <s v="Y"/>
    <n v="131.45"/>
    <n v="26.29"/>
    <x v="2"/>
    <s v="VALIDATED"/>
    <n v="1"/>
    <s v="01.11.80.305.6100.0000"/>
    <n v="131.45"/>
    <s v="11"/>
    <s v="6100"/>
    <n v="12353.55"/>
    <n v="131.45"/>
    <s v="CREDITOR"/>
    <n v="0"/>
    <n v="0"/>
    <n v="0"/>
    <n v="0"/>
    <n v="131.45"/>
  </r>
  <r>
    <n v="61647584"/>
    <s v="N"/>
    <n v="21350135"/>
    <s v="3000015720010014"/>
    <s v="CIVIL"/>
    <d v="2023-06-30T00:00:00"/>
    <d v="2023-07-10T19:01:40"/>
    <m/>
    <d v="2023-07-10T00:00:00"/>
    <n v="12"/>
    <n v="8890"/>
    <s v="61647584"/>
    <s v="61647584"/>
    <m/>
    <m/>
    <n v="22801106"/>
    <m/>
    <m/>
    <m/>
    <s v="SOLFIN"/>
    <s v="SOLFIN"/>
    <s v="CCMS"/>
    <n v="21350135"/>
    <n v="12532.67"/>
    <m/>
    <s v="N"/>
    <n v="95"/>
    <d v="2023-07-10T19:02:14"/>
    <s v="Y"/>
    <s v="Preparation - other"/>
    <s v="Prescribed Hourly Rates"/>
    <s v="Profit Cost"/>
    <s v="LV"/>
    <s v="Y"/>
    <n v="139.71"/>
    <n v="27.94"/>
    <x v="2"/>
    <s v="VALIDATED"/>
    <n v="1"/>
    <s v="01.11.80.305.6100.0000"/>
    <n v="139.71"/>
    <s v="11"/>
    <s v="6100"/>
    <n v="12353.55"/>
    <n v="139.71"/>
    <s v="CREDITOR"/>
    <n v="0"/>
    <n v="0"/>
    <n v="0"/>
    <n v="0"/>
    <n v="139.71"/>
  </r>
  <r>
    <n v="61647584"/>
    <s v="N"/>
    <n v="21350135"/>
    <s v="3000015720010014"/>
    <s v="CIVIL"/>
    <d v="2023-06-30T00:00:00"/>
    <d v="2023-07-10T19:01:40"/>
    <m/>
    <d v="2023-07-10T00:00:00"/>
    <n v="12"/>
    <n v="8890"/>
    <s v="61647584"/>
    <s v="61647584"/>
    <m/>
    <m/>
    <n v="22801106"/>
    <m/>
    <m/>
    <m/>
    <s v="SOLFIN"/>
    <s v="SOLFIN"/>
    <s v="CCMS"/>
    <n v="21350135"/>
    <n v="12532.67"/>
    <m/>
    <s v="N"/>
    <n v="62"/>
    <d v="2023-07-10T19:02:14"/>
    <s v="Y"/>
    <s v="Attendance upon client"/>
    <s v="Prescribed Hourly Rates"/>
    <s v="Profit Cost"/>
    <s v="LV"/>
    <s v="Y"/>
    <n v="197.92"/>
    <n v="39.59"/>
    <x v="2"/>
    <s v="VALIDATED"/>
    <n v="1"/>
    <s v="01.11.80.305.6100.0000"/>
    <n v="197.92"/>
    <s v="11"/>
    <s v="6100"/>
    <n v="12353.55"/>
    <n v="197.92"/>
    <s v="CREDITOR"/>
    <n v="0"/>
    <n v="0"/>
    <n v="0"/>
    <n v="0"/>
    <n v="197.92"/>
  </r>
  <r>
    <n v="61647584"/>
    <s v="N"/>
    <n v="21350135"/>
    <s v="3000015720010014"/>
    <s v="CIVIL"/>
    <d v="2023-06-30T00:00:00"/>
    <d v="2023-07-10T19:01:40"/>
    <m/>
    <d v="2023-07-10T00:00:00"/>
    <n v="12"/>
    <n v="8890"/>
    <s v="61647584"/>
    <s v="61647584"/>
    <m/>
    <m/>
    <n v="22801106"/>
    <m/>
    <m/>
    <m/>
    <s v="SOLFIN"/>
    <s v="SOLFIN"/>
    <s v="CCMS"/>
    <n v="21350135"/>
    <n v="12532.67"/>
    <m/>
    <s v="N"/>
    <n v="101"/>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43"/>
    <d v="2023-07-10T19:02:14"/>
    <s v="Y"/>
    <s v="Preparation - drafting instructions"/>
    <s v="Prescribed Hourly Rates"/>
    <s v="Profit Cost"/>
    <s v="LV"/>
    <s v="Y"/>
    <n v="174.64"/>
    <n v="34.93"/>
    <x v="2"/>
    <s v="VALIDATED"/>
    <n v="1"/>
    <s v="01.11.80.305.6100.0000"/>
    <n v="174.64"/>
    <s v="11"/>
    <s v="6100"/>
    <n v="12353.55"/>
    <n v="174.64"/>
    <s v="CREDITOR"/>
    <n v="0"/>
    <n v="0"/>
    <n v="0"/>
    <n v="0"/>
    <n v="174.64"/>
  </r>
  <r>
    <n v="61647584"/>
    <s v="N"/>
    <n v="21350135"/>
    <s v="3000015720010014"/>
    <s v="CIVIL"/>
    <d v="2023-06-30T00:00:00"/>
    <d v="2023-07-10T19:01:40"/>
    <m/>
    <d v="2023-07-10T00:00:00"/>
    <n v="12"/>
    <n v="8890"/>
    <s v="61647584"/>
    <s v="61647584"/>
    <m/>
    <m/>
    <n v="22801106"/>
    <m/>
    <m/>
    <m/>
    <s v="SOLFIN"/>
    <s v="SOLFIN"/>
    <s v="CCMS"/>
    <n v="21350135"/>
    <n v="12532.67"/>
    <m/>
    <s v="N"/>
    <n v="29"/>
    <d v="2023-07-10T19:02:14"/>
    <s v="Y"/>
    <s v="Preparation - other"/>
    <s v="Prescribed Hourly Rates"/>
    <s v="Profit Cost"/>
    <s v="LV"/>
    <s v="Y"/>
    <n v="46.56"/>
    <n v="9.31"/>
    <x v="2"/>
    <s v="VALIDATED"/>
    <n v="1"/>
    <s v="01.11.80.305.6100.0000"/>
    <n v="46.56"/>
    <s v="11"/>
    <s v="6100"/>
    <n v="12353.55"/>
    <n v="46.56"/>
    <s v="CREDITOR"/>
    <n v="0"/>
    <n v="0"/>
    <n v="0"/>
    <n v="0"/>
    <n v="46.56"/>
  </r>
  <r>
    <n v="61647584"/>
    <s v="N"/>
    <n v="21350135"/>
    <s v="3000015720010014"/>
    <s v="CIVIL"/>
    <d v="2023-06-30T00:00:00"/>
    <d v="2023-07-10T19:01:40"/>
    <m/>
    <d v="2023-07-10T00:00:00"/>
    <n v="12"/>
    <n v="8890"/>
    <s v="61647584"/>
    <s v="61647584"/>
    <m/>
    <m/>
    <n v="22801106"/>
    <m/>
    <m/>
    <m/>
    <s v="SOLFIN"/>
    <s v="SOLFIN"/>
    <s v="CCMS"/>
    <n v="21350135"/>
    <n v="12532.67"/>
    <m/>
    <s v="N"/>
    <n v="38"/>
    <d v="2023-07-10T19:02:14"/>
    <s v="Y"/>
    <s v="Preparation - other"/>
    <s v="Prescribed Hourly Rates"/>
    <s v="Profit Cost"/>
    <s v="LV"/>
    <s v="Y"/>
    <n v="46.56"/>
    <n v="9.31"/>
    <x v="2"/>
    <s v="VALIDATED"/>
    <n v="1"/>
    <s v="01.11.80.305.6100.0000"/>
    <n v="46.56"/>
    <s v="11"/>
    <s v="6100"/>
    <n v="12353.55"/>
    <n v="46.56"/>
    <s v="CREDITOR"/>
    <n v="0"/>
    <n v="0"/>
    <n v="0"/>
    <n v="0"/>
    <n v="46.56"/>
  </r>
  <r>
    <n v="61647584"/>
    <s v="N"/>
    <n v="21350135"/>
    <s v="3000015720010014"/>
    <s v="CIVIL"/>
    <d v="2023-06-30T00:00:00"/>
    <d v="2023-07-10T19:01:40"/>
    <m/>
    <d v="2023-07-10T00:00:00"/>
    <n v="12"/>
    <n v="8890"/>
    <s v="61647584"/>
    <s v="61647584"/>
    <m/>
    <m/>
    <n v="22801106"/>
    <m/>
    <m/>
    <m/>
    <s v="SOLFIN"/>
    <s v="SOLFIN"/>
    <s v="CCMS"/>
    <n v="21350135"/>
    <n v="12532.67"/>
    <m/>
    <s v="N"/>
    <n v="89"/>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5"/>
    <d v="2023-07-10T19:02:14"/>
    <s v="Y"/>
    <s v="Attendance upon client"/>
    <s v="Prescribed Hourly Rates"/>
    <s v="Profit Cost"/>
    <s v="LV"/>
    <s v="Y"/>
    <n v="116.42"/>
    <n v="23.29"/>
    <x v="2"/>
    <s v="VALIDATED"/>
    <n v="1"/>
    <s v="01.11.80.305.6100.0000"/>
    <n v="116.42"/>
    <s v="11"/>
    <s v="6100"/>
    <n v="12353.55"/>
    <n v="116.42"/>
    <s v="CREDITOR"/>
    <n v="0"/>
    <n v="0"/>
    <n v="0"/>
    <n v="0"/>
    <n v="116.42"/>
  </r>
  <r>
    <n v="61647584"/>
    <s v="N"/>
    <n v="21350135"/>
    <s v="3000015720010014"/>
    <s v="CIVIL"/>
    <d v="2023-06-30T00:00:00"/>
    <d v="2023-07-10T19:01:40"/>
    <m/>
    <d v="2023-07-10T00:00:00"/>
    <n v="12"/>
    <n v="8890"/>
    <s v="61647584"/>
    <s v="61647584"/>
    <m/>
    <m/>
    <n v="22801106"/>
    <m/>
    <m/>
    <m/>
    <s v="SOLFIN"/>
    <s v="SOLFIN"/>
    <s v="CCMS"/>
    <n v="21350135"/>
    <n v="12532.67"/>
    <m/>
    <s v="N"/>
    <n v="53"/>
    <d v="2023-07-10T19:02:14"/>
    <s v="Y"/>
    <s v="Travel to court"/>
    <s v="Prescribed Hourly Rates"/>
    <s v="Profit Cost"/>
    <s v="LV"/>
    <s v="Y"/>
    <n v="37.01"/>
    <n v="7.4"/>
    <x v="2"/>
    <s v="VALIDATED"/>
    <n v="1"/>
    <s v="01.11.80.305.6100.0000"/>
    <n v="37.01"/>
    <s v="11"/>
    <s v="6100"/>
    <n v="12353.55"/>
    <n v="37.01"/>
    <s v="CREDITOR"/>
    <n v="0"/>
    <n v="0"/>
    <n v="0"/>
    <n v="0"/>
    <n v="37.01"/>
  </r>
  <r>
    <n v="61647584"/>
    <s v="N"/>
    <n v="21350135"/>
    <s v="3000015720010014"/>
    <s v="CIVIL"/>
    <d v="2023-06-30T00:00:00"/>
    <d v="2023-07-10T19:01:40"/>
    <m/>
    <d v="2023-07-10T00:00:00"/>
    <n v="12"/>
    <n v="8890"/>
    <s v="61647584"/>
    <s v="61647584"/>
    <m/>
    <m/>
    <n v="22801106"/>
    <m/>
    <m/>
    <m/>
    <s v="SOLFIN"/>
    <s v="SOLFIN"/>
    <s v="CCMS"/>
    <n v="21350135"/>
    <n v="12532.67"/>
    <m/>
    <s v="N"/>
    <n v="21"/>
    <d v="2023-07-10T19:02:14"/>
    <s v="Y"/>
    <s v="Attendance upon/with Counsel at Con"/>
    <s v="Prescribed Hourly Rates"/>
    <s v="Profit Cost"/>
    <s v="LV"/>
    <s v="Y"/>
    <n v="42.7"/>
    <n v="8.539999999999999"/>
    <x v="2"/>
    <s v="VALIDATED"/>
    <n v="1"/>
    <s v="01.11.80.305.6100.0000"/>
    <n v="42.7"/>
    <s v="11"/>
    <s v="6100"/>
    <n v="12353.55"/>
    <n v="42.7"/>
    <s v="CREDITOR"/>
    <n v="0"/>
    <n v="0"/>
    <n v="0"/>
    <n v="0"/>
    <n v="42.7"/>
  </r>
  <r>
    <n v="61647584"/>
    <s v="N"/>
    <n v="21350135"/>
    <s v="3000015720010014"/>
    <s v="CIVIL"/>
    <d v="2023-06-30T00:00:00"/>
    <d v="2023-07-10T19:01:40"/>
    <m/>
    <d v="2023-07-10T00:00:00"/>
    <n v="12"/>
    <n v="8890"/>
    <s v="61647584"/>
    <s v="61647584"/>
    <m/>
    <m/>
    <n v="22801106"/>
    <m/>
    <m/>
    <m/>
    <s v="SOLFIN"/>
    <s v="SOLFIN"/>
    <s v="CCMS"/>
    <n v="21350135"/>
    <n v="12532.67"/>
    <m/>
    <s v="N"/>
    <n v="96"/>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49"/>
    <d v="2023-07-10T19:02:14"/>
    <s v="Y"/>
    <s v="Preparation - other"/>
    <s v="Prescribed Hourly Rates"/>
    <s v="Profit Cost"/>
    <s v="LV"/>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9"/>
    <d v="2023-07-10T19:02:14"/>
    <s v="Y"/>
    <s v="Attendance upon other"/>
    <s v="Prescribed Hourly Rates"/>
    <s v="Profit Cost"/>
    <s v="LV"/>
    <s v="Y"/>
    <n v="23.28"/>
    <n v="4.66"/>
    <x v="2"/>
    <s v="VALIDATED"/>
    <n v="1"/>
    <s v="01.11.80.305.6100.0000"/>
    <n v="23.28"/>
    <s v="11"/>
    <s v="6100"/>
    <n v="12353.55"/>
    <n v="23.28"/>
    <s v="CREDITOR"/>
    <n v="0"/>
    <n v="0"/>
    <n v="0"/>
    <n v="0"/>
    <n v="23.28"/>
  </r>
  <r>
    <n v="61647584"/>
    <s v="N"/>
    <n v="21356225"/>
    <s v="3000015720010009RC"/>
    <s v="CIVIL"/>
    <d v="2023-06-30T00:00:00"/>
    <d v="2023-07-10T19:47:44"/>
    <m/>
    <d v="2023-07-10T00:00:00"/>
    <n v="12"/>
    <n v="8890"/>
    <s v="61647584"/>
    <s v="61647584"/>
    <m/>
    <m/>
    <m/>
    <m/>
    <m/>
    <m/>
    <s v="SOLRECOUP"/>
    <s v="SOLRECOUP"/>
    <s v="POARECOUP"/>
    <n v="21356225"/>
    <n v="-5566.18"/>
    <m/>
    <s v="Y"/>
    <n v="1"/>
    <d v="2023-07-10T19:47:44"/>
    <s v="N"/>
    <m/>
    <m/>
    <s v="Profit Cost"/>
    <m/>
    <s v="N"/>
    <n v="-4638.48"/>
    <n v="0"/>
    <x v="2"/>
    <s v="VALIDATED"/>
    <n v="1"/>
    <s v="01.11.80.305.2013.0000"/>
    <n v="-4638.48"/>
    <s v="11"/>
    <s v="2013"/>
    <n v="12353.55"/>
    <n v="-4638.48"/>
    <s v="CREDITOR"/>
    <n v="0"/>
    <n v="0"/>
    <n v="-4638.48"/>
    <n v="-1159.62"/>
    <n v="0"/>
  </r>
  <r>
    <n v="61647584"/>
    <s v="N"/>
    <n v="21356225"/>
    <s v="3000015720010009RC"/>
    <s v="CIVIL"/>
    <d v="2023-06-30T00:00:00"/>
    <d v="2023-07-10T19:47:44"/>
    <m/>
    <d v="2023-07-10T00:00:00"/>
    <n v="12"/>
    <n v="8890"/>
    <s v="61647584"/>
    <s v="61647584"/>
    <m/>
    <m/>
    <m/>
    <m/>
    <m/>
    <m/>
    <s v="SOLRECOUP"/>
    <s v="SOLRECOUP"/>
    <s v="POARECOUP"/>
    <n v="21356225"/>
    <n v="-5566.18"/>
    <m/>
    <s v="Y"/>
    <n v="2"/>
    <d v="2023-07-10T19:47:44"/>
    <s v="N"/>
    <m/>
    <m/>
    <s v="Profit Cost"/>
    <m/>
    <s v="N"/>
    <n v="0"/>
    <n v="-927.7"/>
    <x v="2"/>
    <s v="VALIDATED"/>
    <n v="1"/>
    <s v="01.11.80.305.2013.0000"/>
    <n v="-927.7"/>
    <s v="11"/>
    <s v="2013"/>
    <n v="12353.55"/>
    <n v="-927.7"/>
    <s v="CREDITOR"/>
    <n v="0"/>
    <n v="0"/>
    <n v="-927.7"/>
    <n v="-231.925"/>
    <n v="0"/>
  </r>
  <r>
    <n v="61647584"/>
    <s v="N"/>
    <n v="21356226"/>
    <s v="3000015720010001RC"/>
    <s v="CIVIL"/>
    <d v="2023-06-30T00:00:00"/>
    <d v="2023-07-10T19:47:44"/>
    <m/>
    <d v="2023-07-10T00:00:00"/>
    <n v="12"/>
    <n v="8890"/>
    <s v="61647584"/>
    <s v="61647584"/>
    <m/>
    <m/>
    <m/>
    <m/>
    <m/>
    <m/>
    <s v="SOLRECOUP"/>
    <s v="SOLRECOUP"/>
    <s v="POARECOUP"/>
    <n v="21356226"/>
    <n v="-486"/>
    <m/>
    <s v="Y"/>
    <n v="1"/>
    <d v="2023-07-10T19:47:44"/>
    <s v="N"/>
    <m/>
    <m/>
    <s v="Non Expert Disbursement"/>
    <m/>
    <s v="N"/>
    <n v="-405"/>
    <n v="0"/>
    <x v="2"/>
    <s v="VALIDATED"/>
    <n v="1"/>
    <s v="01.11.80.305.2013.0000"/>
    <n v="-405"/>
    <s v="11"/>
    <s v="2013"/>
    <n v="12353.55"/>
    <n v="-405"/>
    <s v="CREDITOR"/>
    <n v="0"/>
    <n v="0"/>
    <n v="-405"/>
    <n v="0"/>
    <n v="0"/>
  </r>
  <r>
    <n v="61647584"/>
    <s v="N"/>
    <n v="21356226"/>
    <s v="3000015720010001RC"/>
    <s v="CIVIL"/>
    <d v="2023-06-30T00:00:00"/>
    <d v="2023-07-10T19:47:44"/>
    <m/>
    <d v="2023-07-10T00:00:00"/>
    <n v="12"/>
    <n v="8890"/>
    <s v="61647584"/>
    <s v="61647584"/>
    <m/>
    <m/>
    <m/>
    <m/>
    <m/>
    <m/>
    <s v="SOLRECOUP"/>
    <s v="SOLRECOUP"/>
    <s v="POARECOUP"/>
    <n v="21356226"/>
    <n v="-486"/>
    <m/>
    <s v="Y"/>
    <n v="2"/>
    <d v="2023-07-10T19:47:44"/>
    <s v="N"/>
    <m/>
    <m/>
    <s v="Non Expert Disbursement"/>
    <m/>
    <s v="N"/>
    <n v="0"/>
    <n v="-81"/>
    <x v="2"/>
    <s v="VALIDATED"/>
    <n v="1"/>
    <s v="01.11.80.305.2013.0000"/>
    <n v="-81"/>
    <s v="11"/>
    <s v="2013"/>
    <n v="12353.55"/>
    <n v="-81"/>
    <s v="CREDITOR"/>
    <n v="0"/>
    <n v="0"/>
    <n v="-81"/>
    <n v="0"/>
    <n v="0"/>
  </r>
  <r>
    <n v="61647584"/>
    <s v="N"/>
    <n v="21356227"/>
    <s v="3000015720010002RC"/>
    <s v="CIVIL"/>
    <d v="2023-06-30T00:00:00"/>
    <d v="2023-07-10T19:47:44"/>
    <m/>
    <d v="2023-07-10T00:00:00"/>
    <n v="12"/>
    <n v="8890"/>
    <s v="61647584"/>
    <s v="61647584"/>
    <m/>
    <m/>
    <m/>
    <m/>
    <m/>
    <m/>
    <s v="SOLRECOUP"/>
    <s v="SOLRECOUP"/>
    <s v="POARECOUP"/>
    <n v="21356227"/>
    <n v="-72"/>
    <m/>
    <s v="Y"/>
    <n v="1"/>
    <d v="2023-07-10T19:47:44"/>
    <s v="N"/>
    <m/>
    <m/>
    <s v="Non Expert Disbursement"/>
    <m/>
    <s v="N"/>
    <n v="-60"/>
    <n v="0"/>
    <x v="2"/>
    <s v="VALIDATED"/>
    <n v="1"/>
    <s v="01.11.80.305.2013.0000"/>
    <n v="-60"/>
    <s v="11"/>
    <s v="2013"/>
    <n v="12353.55"/>
    <n v="-60"/>
    <s v="CREDITOR"/>
    <n v="0"/>
    <n v="0"/>
    <n v="-60"/>
    <n v="0"/>
    <n v="0"/>
  </r>
  <r>
    <n v="61647584"/>
    <s v="N"/>
    <n v="21356227"/>
    <s v="3000015720010002RC"/>
    <s v="CIVIL"/>
    <d v="2023-06-30T00:00:00"/>
    <d v="2023-07-10T19:47:44"/>
    <m/>
    <d v="2023-07-10T00:00:00"/>
    <n v="12"/>
    <n v="8890"/>
    <s v="61647584"/>
    <s v="61647584"/>
    <m/>
    <m/>
    <m/>
    <m/>
    <m/>
    <m/>
    <s v="SOLRECOUP"/>
    <s v="SOLRECOUP"/>
    <s v="POARECOUP"/>
    <n v="21356227"/>
    <n v="-72"/>
    <m/>
    <s v="Y"/>
    <n v="2"/>
    <d v="2023-07-10T19:47:44"/>
    <s v="N"/>
    <m/>
    <m/>
    <s v="Non Expert Disbursement"/>
    <m/>
    <s v="N"/>
    <n v="0"/>
    <n v="-12"/>
    <x v="2"/>
    <s v="VALIDATED"/>
    <n v="1"/>
    <s v="01.11.80.305.2013.0000"/>
    <n v="-12"/>
    <s v="11"/>
    <s v="2013"/>
    <n v="12353.55"/>
    <n v="-12"/>
    <s v="CREDITOR"/>
    <n v="0"/>
    <n v="0"/>
    <n v="-12"/>
    <n v="0"/>
    <n v="0"/>
  </r>
  <r>
    <n v="61647584"/>
    <s v="N"/>
    <n v="21356228"/>
    <s v="3000015720010003RC"/>
    <s v="CIVIL"/>
    <d v="2023-06-30T00:00:00"/>
    <d v="2023-07-10T19:47:44"/>
    <m/>
    <d v="2023-07-10T00:00:00"/>
    <n v="12"/>
    <n v="8890"/>
    <s v="61647584"/>
    <s v="61647584"/>
    <m/>
    <m/>
    <m/>
    <m/>
    <m/>
    <m/>
    <s v="SOLRECOUP"/>
    <s v="SOLRECOUP"/>
    <s v="POARECOUP"/>
    <n v="21356228"/>
    <n v="-72"/>
    <m/>
    <s v="Y"/>
    <n v="1"/>
    <d v="2023-07-10T19:47:44"/>
    <s v="N"/>
    <m/>
    <m/>
    <s v="Non Expert Disbursement"/>
    <m/>
    <s v="N"/>
    <n v="-60"/>
    <n v="0"/>
    <x v="2"/>
    <s v="VALIDATED"/>
    <n v="1"/>
    <s v="01.11.80.305.2013.0000"/>
    <n v="-60"/>
    <s v="11"/>
    <s v="2013"/>
    <n v="12353.55"/>
    <n v="-60"/>
    <s v="CREDITOR"/>
    <n v="0"/>
    <n v="0"/>
    <n v="-60"/>
    <n v="0"/>
    <n v="0"/>
  </r>
  <r>
    <n v="61647584"/>
    <s v="N"/>
    <n v="21356228"/>
    <s v="3000015720010003RC"/>
    <s v="CIVIL"/>
    <d v="2023-06-30T00:00:00"/>
    <d v="2023-07-10T19:47:44"/>
    <m/>
    <d v="2023-07-10T00:00:00"/>
    <n v="12"/>
    <n v="8890"/>
    <s v="61647584"/>
    <s v="61647584"/>
    <m/>
    <m/>
    <m/>
    <m/>
    <m/>
    <m/>
    <s v="SOLRECOUP"/>
    <s v="SOLRECOUP"/>
    <s v="POARECOUP"/>
    <n v="21356228"/>
    <n v="-72"/>
    <m/>
    <s v="Y"/>
    <n v="2"/>
    <d v="2023-07-10T19:47:44"/>
    <s v="N"/>
    <m/>
    <m/>
    <s v="Non Expert Disbursement"/>
    <m/>
    <s v="N"/>
    <n v="0"/>
    <n v="-12"/>
    <x v="2"/>
    <s v="VALIDATED"/>
    <n v="1"/>
    <s v="01.11.80.305.2013.0000"/>
    <n v="-12"/>
    <s v="11"/>
    <s v="2013"/>
    <n v="12353.55"/>
    <n v="-12"/>
    <s v="CREDITOR"/>
    <n v="0"/>
    <n v="0"/>
    <n v="-12"/>
    <n v="0"/>
    <n v="0"/>
  </r>
  <r>
    <n v="61647584"/>
    <s v="N"/>
    <n v="21356229"/>
    <s v="3000015720010006RC"/>
    <s v="CIVIL"/>
    <d v="2023-06-30T00:00:00"/>
    <d v="2023-07-10T19:47:44"/>
    <m/>
    <d v="2023-07-10T00:00:00"/>
    <n v="12"/>
    <n v="8890"/>
    <s v="61647584"/>
    <s v="61647584"/>
    <m/>
    <m/>
    <m/>
    <m/>
    <m/>
    <m/>
    <s v="SOLRECOUP"/>
    <s v="SOLRECOUP"/>
    <s v="POARECOUP"/>
    <n v="21356229"/>
    <n v="-4358.77"/>
    <m/>
    <s v="Y"/>
    <n v="1"/>
    <d v="2023-07-10T19:47:44"/>
    <s v="N"/>
    <m/>
    <m/>
    <s v="Profit Cost"/>
    <m/>
    <s v="N"/>
    <n v="-3632.31"/>
    <n v="0"/>
    <x v="2"/>
    <s v="VALIDATED"/>
    <n v="1"/>
    <s v="01.11.80.305.2013.0000"/>
    <n v="-3632.31"/>
    <s v="11"/>
    <s v="2013"/>
    <n v="12353.55"/>
    <n v="-3632.31"/>
    <s v="CREDITOR"/>
    <n v="0"/>
    <n v="0"/>
    <n v="-3632.31"/>
    <n v="-908.0775"/>
    <n v="0"/>
  </r>
  <r>
    <n v="61647584"/>
    <s v="N"/>
    <n v="21356229"/>
    <s v="3000015720010006RC"/>
    <s v="CIVIL"/>
    <d v="2023-06-30T00:00:00"/>
    <d v="2023-07-10T19:47:44"/>
    <m/>
    <d v="2023-07-10T00:00:00"/>
    <n v="12"/>
    <n v="8890"/>
    <s v="61647584"/>
    <s v="61647584"/>
    <m/>
    <m/>
    <m/>
    <m/>
    <m/>
    <m/>
    <s v="SOLRECOUP"/>
    <s v="SOLRECOUP"/>
    <s v="POARECOUP"/>
    <n v="21356229"/>
    <n v="-4358.77"/>
    <m/>
    <s v="Y"/>
    <n v="2"/>
    <d v="2023-07-10T19:47:44"/>
    <s v="N"/>
    <m/>
    <m/>
    <s v="Profit Cost"/>
    <m/>
    <s v="N"/>
    <n v="0"/>
    <n v="-726.46"/>
    <x v="2"/>
    <s v="VALIDATED"/>
    <n v="1"/>
    <s v="01.11.80.305.2013.0000"/>
    <n v="-726.46"/>
    <s v="11"/>
    <s v="2013"/>
    <n v="12353.55"/>
    <n v="-726.46"/>
    <s v="CREDITOR"/>
    <n v="0"/>
    <n v="0"/>
    <n v="-726.46"/>
    <n v="-181.615"/>
    <n v="0"/>
  </r>
  <r>
    <n v="61647584"/>
    <s v="N"/>
    <n v="21350135"/>
    <s v="3000015720010014"/>
    <s v="CIVIL"/>
    <d v="2023-06-30T00:00:00"/>
    <d v="2023-07-10T19:01:40"/>
    <m/>
    <d v="2023-07-10T00:00:00"/>
    <n v="12"/>
    <n v="8890"/>
    <s v="61647584"/>
    <s v="61647584"/>
    <m/>
    <m/>
    <n v="22801106"/>
    <m/>
    <m/>
    <m/>
    <s v="SOLFIN"/>
    <s v="SOLFIN"/>
    <s v="CCMS"/>
    <n v="21350135"/>
    <n v="12532.67"/>
    <m/>
    <s v="N"/>
    <n v="108"/>
    <d v="2023-07-10T19:02:14"/>
    <s v="N"/>
    <m/>
    <m/>
    <s v="Overall Adjustment"/>
    <m/>
    <s v="N"/>
    <n v="-381.13"/>
    <n v="-76.23"/>
    <x v="2"/>
    <s v="VALIDATED"/>
    <n v="1"/>
    <s v="01.11.80.305.6100.0000"/>
    <n v="-381.13"/>
    <s v="11"/>
    <s v="6100"/>
    <n v="12353.55"/>
    <n v="-381.13"/>
    <s v="CREDITOR"/>
    <n v="0"/>
    <n v="0"/>
    <n v="0"/>
    <n v="0"/>
    <n v="-381.13"/>
  </r>
  <r>
    <n v="61647584"/>
    <s v="N"/>
    <n v="21350135"/>
    <s v="3000015720010014"/>
    <s v="CIVIL"/>
    <d v="2023-06-30T00:00:00"/>
    <d v="2023-07-10T19:01:40"/>
    <m/>
    <d v="2023-07-10T00:00:00"/>
    <n v="12"/>
    <n v="8890"/>
    <s v="61647584"/>
    <s v="61647584"/>
    <m/>
    <m/>
    <n v="22801106"/>
    <m/>
    <m/>
    <m/>
    <s v="SOLFIN"/>
    <s v="SOLFIN"/>
    <s v="CCMS"/>
    <n v="21350135"/>
    <n v="12532.67"/>
    <m/>
    <s v="N"/>
    <n v="17"/>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22"/>
    <d v="2023-07-10T19:02:14"/>
    <s v="Y"/>
    <s v="Preparation - other"/>
    <s v="Prescribed Hourly Rates"/>
    <s v="Profit Cost"/>
    <s v="LV"/>
    <s v="Y"/>
    <n v="151.35"/>
    <n v="30.27"/>
    <x v="2"/>
    <s v="VALIDATED"/>
    <n v="1"/>
    <s v="01.11.80.305.6100.0000"/>
    <n v="151.35"/>
    <s v="11"/>
    <s v="6100"/>
    <n v="12353.55"/>
    <n v="151.35"/>
    <s v="CREDITOR"/>
    <n v="0"/>
    <n v="0"/>
    <n v="0"/>
    <n v="0"/>
    <n v="151.35"/>
  </r>
  <r>
    <n v="61647584"/>
    <s v="N"/>
    <n v="21350135"/>
    <s v="3000015720010014"/>
    <s v="CIVIL"/>
    <d v="2023-06-30T00:00:00"/>
    <d v="2023-07-10T19:01:40"/>
    <m/>
    <d v="2023-07-10T00:00:00"/>
    <n v="12"/>
    <n v="8890"/>
    <s v="61647584"/>
    <s v="61647584"/>
    <m/>
    <m/>
    <n v="22801106"/>
    <m/>
    <m/>
    <m/>
    <s v="SOLFIN"/>
    <s v="SOLFIN"/>
    <s v="CCMS"/>
    <n v="21350135"/>
    <n v="12532.67"/>
    <m/>
    <s v="N"/>
    <n v="90"/>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100"/>
    <d v="2023-07-10T19:02:14"/>
    <s v="Y"/>
    <s v="Preparation - other"/>
    <s v="Prescribed Hourly Rates"/>
    <s v="Profit Cost"/>
    <s v="SB"/>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45"/>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88"/>
    <d v="2023-07-10T19:02:14"/>
    <s v="Y"/>
    <s v="Advocacy - In court behind counsel"/>
    <s v="Prescribed Hourly Rates"/>
    <s v="Advocacy"/>
    <s v="LV"/>
    <s v="Y"/>
    <n v="102.48"/>
    <n v="20.5"/>
    <x v="2"/>
    <s v="VALIDATED"/>
    <n v="1"/>
    <s v="01.11.80.305.6100.0000"/>
    <n v="102.48"/>
    <s v="11"/>
    <s v="6100"/>
    <n v="12353.55"/>
    <n v="102.48"/>
    <s v="CREDITOR"/>
    <n v="0"/>
    <n v="0"/>
    <n v="0"/>
    <n v="0"/>
    <n v="102.48"/>
  </r>
  <r>
    <n v="61647584"/>
    <s v="N"/>
    <n v="21350135"/>
    <s v="3000015720010014"/>
    <s v="CIVIL"/>
    <d v="2023-06-30T00:00:00"/>
    <d v="2023-07-10T19:01:40"/>
    <m/>
    <d v="2023-07-10T00:00:00"/>
    <n v="12"/>
    <n v="8890"/>
    <s v="61647584"/>
    <s v="61647584"/>
    <m/>
    <m/>
    <n v="22801106"/>
    <m/>
    <m/>
    <m/>
    <s v="SOLFIN"/>
    <s v="SOLFIN"/>
    <s v="CCMS"/>
    <n v="21350135"/>
    <n v="12532.67"/>
    <m/>
    <s v="N"/>
    <n v="50"/>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69"/>
    <d v="2023-07-10T19:02:14"/>
    <s v="Y"/>
    <s v="Preparation - other"/>
    <s v="Prescribed Hourly Rates"/>
    <s v="Profit Cost"/>
    <s v="LV"/>
    <s v="Y"/>
    <n v="174.64"/>
    <n v="34.93"/>
    <x v="2"/>
    <s v="VALIDATED"/>
    <n v="1"/>
    <s v="01.11.80.305.6100.0000"/>
    <n v="174.64"/>
    <s v="11"/>
    <s v="6100"/>
    <n v="12353.55"/>
    <n v="174.64"/>
    <s v="CREDITOR"/>
    <n v="0"/>
    <n v="0"/>
    <n v="0"/>
    <n v="0"/>
    <n v="174.64"/>
  </r>
  <r>
    <n v="61647584"/>
    <s v="N"/>
    <n v="21350135"/>
    <s v="3000015720010014"/>
    <s v="CIVIL"/>
    <d v="2023-06-30T00:00:00"/>
    <d v="2023-07-10T19:01:40"/>
    <m/>
    <d v="2023-07-10T00:00:00"/>
    <n v="12"/>
    <n v="8890"/>
    <s v="61647584"/>
    <s v="61647584"/>
    <m/>
    <m/>
    <n v="22801106"/>
    <m/>
    <m/>
    <m/>
    <s v="SOLFIN"/>
    <s v="SOLFIN"/>
    <s v="CCMS"/>
    <n v="21350135"/>
    <n v="12532.67"/>
    <m/>
    <s v="N"/>
    <n v="79"/>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31"/>
    <d v="2023-07-10T19:02:14"/>
    <s v="Y"/>
    <s v="Preparation - drafting application"/>
    <s v="Prescribed Hourly Rates"/>
    <s v="Profit Cost"/>
    <s v="LV"/>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41"/>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44"/>
    <d v="2023-07-10T19:02:14"/>
    <s v="Y"/>
    <s v="Attendance upon client"/>
    <s v="Prescribed Hourly Rates"/>
    <s v="Profit Cost"/>
    <s v="LV"/>
    <s v="Y"/>
    <n v="162.99"/>
    <n v="32.6"/>
    <x v="2"/>
    <s v="VALIDATED"/>
    <n v="1"/>
    <s v="01.11.80.305.6100.0000"/>
    <n v="162.99"/>
    <s v="11"/>
    <s v="6100"/>
    <n v="12353.55"/>
    <n v="162.99"/>
    <s v="CREDITOR"/>
    <n v="0"/>
    <n v="0"/>
    <n v="0"/>
    <n v="0"/>
    <n v="162.99"/>
  </r>
  <r>
    <n v="61647584"/>
    <s v="N"/>
    <n v="21350135"/>
    <s v="3000015720010014"/>
    <s v="CIVIL"/>
    <d v="2023-06-30T00:00:00"/>
    <d v="2023-07-10T19:01:40"/>
    <m/>
    <d v="2023-07-10T00:00:00"/>
    <n v="12"/>
    <n v="8890"/>
    <s v="61647584"/>
    <s v="61647584"/>
    <m/>
    <m/>
    <n v="22801106"/>
    <m/>
    <m/>
    <m/>
    <s v="SOLFIN"/>
    <s v="SOLFIN"/>
    <s v="CCMS"/>
    <n v="21350135"/>
    <n v="12532.67"/>
    <m/>
    <s v="N"/>
    <n v="30"/>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65"/>
    <d v="2023-07-10T19:02:14"/>
    <s v="Y"/>
    <s v="Attendance upon witness"/>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83"/>
    <d v="2023-07-10T19:02:14"/>
    <s v="Y"/>
    <s v="Attendance upon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97"/>
    <d v="2023-07-10T19:02:14"/>
    <s v="Y"/>
    <s v="Preparation - other"/>
    <s v="Prescribed Hourly Rates"/>
    <s v="Profit Cost"/>
    <s v="LV"/>
    <s v="Y"/>
    <n v="46.56"/>
    <n v="9.31"/>
    <x v="2"/>
    <s v="VALIDATED"/>
    <n v="1"/>
    <s v="01.11.80.305.6100.0000"/>
    <n v="46.56"/>
    <s v="11"/>
    <s v="6100"/>
    <n v="12353.55"/>
    <n v="46.56"/>
    <s v="CREDITOR"/>
    <n v="0"/>
    <n v="0"/>
    <n v="0"/>
    <n v="0"/>
    <n v="46.56"/>
  </r>
  <r>
    <n v="61647584"/>
    <s v="N"/>
    <n v="21350135"/>
    <s v="3000015720010014"/>
    <s v="CIVIL"/>
    <d v="2023-06-30T00:00:00"/>
    <d v="2023-07-10T19:01:40"/>
    <m/>
    <d v="2023-07-10T00:00:00"/>
    <n v="12"/>
    <n v="8890"/>
    <s v="61647584"/>
    <s v="61647584"/>
    <m/>
    <m/>
    <n v="22801106"/>
    <m/>
    <m/>
    <m/>
    <s v="SOLFIN"/>
    <s v="SOLFIN"/>
    <s v="CCMS"/>
    <n v="21350135"/>
    <n v="12532.67"/>
    <m/>
    <s v="N"/>
    <n v="52"/>
    <d v="2023-07-10T19:02:14"/>
    <s v="Y"/>
    <s v="Advocacy - In court behind counsel"/>
    <s v="Prescribed Hourly Rates"/>
    <s v="Advocacy"/>
    <s v="LV"/>
    <s v="Y"/>
    <n v="115.29"/>
    <n v="23.06"/>
    <x v="2"/>
    <s v="VALIDATED"/>
    <n v="1"/>
    <s v="01.11.80.305.6100.0000"/>
    <n v="115.29"/>
    <s v="11"/>
    <s v="6100"/>
    <n v="12353.55"/>
    <n v="115.29"/>
    <s v="CREDITOR"/>
    <n v="0"/>
    <n v="0"/>
    <n v="0"/>
    <n v="0"/>
    <n v="115.29"/>
  </r>
  <r>
    <n v="61647584"/>
    <s v="N"/>
    <n v="21350135"/>
    <s v="3000015720010014"/>
    <s v="CIVIL"/>
    <d v="2023-06-30T00:00:00"/>
    <d v="2023-07-10T19:01:40"/>
    <m/>
    <d v="2023-07-10T00:00:00"/>
    <n v="12"/>
    <n v="8890"/>
    <s v="61647584"/>
    <s v="61647584"/>
    <m/>
    <m/>
    <n v="22801106"/>
    <m/>
    <m/>
    <m/>
    <s v="SOLFIN"/>
    <s v="SOLFIN"/>
    <s v="CCMS"/>
    <n v="21350135"/>
    <n v="12532.67"/>
    <m/>
    <s v="N"/>
    <n v="74"/>
    <d v="2023-07-10T19:02:14"/>
    <s v="Y"/>
    <s v="Preparation - drafting instructions"/>
    <s v="Prescribed Hourly Rates"/>
    <s v="Profit Cost"/>
    <s v="LV"/>
    <s v="Y"/>
    <n v="186.29"/>
    <n v="37.26"/>
    <x v="2"/>
    <s v="VALIDATED"/>
    <n v="1"/>
    <s v="01.11.80.305.6100.0000"/>
    <n v="186.29"/>
    <s v="11"/>
    <s v="6100"/>
    <n v="12353.55"/>
    <n v="186.29"/>
    <s v="CREDITOR"/>
    <n v="0"/>
    <n v="0"/>
    <n v="0"/>
    <n v="0"/>
    <n v="186.29"/>
  </r>
  <r>
    <n v="61647584"/>
    <s v="N"/>
    <n v="21350135"/>
    <s v="3000015720010014"/>
    <s v="CIVIL"/>
    <d v="2023-06-30T00:00:00"/>
    <d v="2023-07-10T19:01:40"/>
    <m/>
    <d v="2023-07-10T00:00:00"/>
    <n v="12"/>
    <n v="8890"/>
    <s v="61647584"/>
    <s v="61647584"/>
    <m/>
    <m/>
    <n v="22801106"/>
    <m/>
    <m/>
    <m/>
    <s v="SOLFIN"/>
    <s v="SOLFIN"/>
    <s v="CCMS"/>
    <n v="21350135"/>
    <n v="12532.67"/>
    <m/>
    <s v="N"/>
    <n v="56"/>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85"/>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8"/>
    <d v="2023-07-10T19:02:14"/>
    <s v="Y"/>
    <s v="Preparation - other"/>
    <s v="Prescribed Hourly Rates"/>
    <s v="Profit Cost"/>
    <s v="LV"/>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47"/>
    <d v="2023-07-10T19:02:14"/>
    <s v="Y"/>
    <s v="Preparation - drafting statement"/>
    <s v="Prescribed Hourly Rates"/>
    <s v="Profit Cost"/>
    <s v="LV"/>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86"/>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42"/>
    <d v="2023-07-10T19:02:14"/>
    <s v="Y"/>
    <s v="Preparation - other"/>
    <s v="Prescribed Hourly Rates"/>
    <s v="Profit Cost"/>
    <s v="LV"/>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23"/>
    <d v="2023-07-10T19:02:14"/>
    <s v="Y"/>
    <s v="Preparation - drafting application"/>
    <s v="Prescribed Hourly Rates"/>
    <s v="Profit Cost"/>
    <s v="LV"/>
    <s v="Y"/>
    <n v="104.78"/>
    <n v="20.96"/>
    <x v="2"/>
    <s v="VALIDATED"/>
    <n v="1"/>
    <s v="01.11.80.305.6100.0000"/>
    <n v="104.78"/>
    <s v="11"/>
    <s v="6100"/>
    <n v="12353.55"/>
    <n v="104.78"/>
    <s v="CREDITOR"/>
    <n v="0"/>
    <n v="0"/>
    <n v="0"/>
    <n v="0"/>
    <n v="104.78"/>
  </r>
  <r>
    <n v="61647584"/>
    <s v="N"/>
    <n v="21350135"/>
    <s v="3000015720010014"/>
    <s v="CIVIL"/>
    <d v="2023-06-30T00:00:00"/>
    <d v="2023-07-10T19:01:40"/>
    <m/>
    <d v="2023-07-10T00:00:00"/>
    <n v="12"/>
    <n v="8890"/>
    <s v="61647584"/>
    <s v="61647584"/>
    <m/>
    <m/>
    <n v="22801106"/>
    <m/>
    <m/>
    <m/>
    <s v="SOLFIN"/>
    <s v="SOLFIN"/>
    <s v="CCMS"/>
    <n v="21350135"/>
    <n v="12532.67"/>
    <m/>
    <s v="N"/>
    <n v="58"/>
    <d v="2023-07-10T19:02:14"/>
    <s v="Y"/>
    <s v="Preparation - other"/>
    <s v="Prescribed Hourly Rates"/>
    <s v="Profit Cost"/>
    <s v="LV"/>
    <s v="Y"/>
    <n v="221.2"/>
    <n v="44.24"/>
    <x v="2"/>
    <s v="VALIDATED"/>
    <n v="1"/>
    <s v="01.11.80.305.6100.0000"/>
    <n v="221.2"/>
    <s v="11"/>
    <s v="6100"/>
    <n v="12353.55"/>
    <n v="221.2"/>
    <s v="CREDITOR"/>
    <n v="0"/>
    <n v="0"/>
    <n v="0"/>
    <n v="0"/>
    <n v="221.2"/>
  </r>
  <r>
    <n v="61647584"/>
    <s v="N"/>
    <n v="21350135"/>
    <s v="3000015720010014"/>
    <s v="CIVIL"/>
    <d v="2023-06-30T00:00:00"/>
    <d v="2023-07-10T19:01:40"/>
    <m/>
    <d v="2023-07-10T00:00:00"/>
    <n v="12"/>
    <n v="8890"/>
    <s v="61647584"/>
    <s v="61647584"/>
    <m/>
    <m/>
    <n v="22801106"/>
    <m/>
    <m/>
    <m/>
    <s v="SOLFIN"/>
    <s v="SOLFIN"/>
    <s v="CCMS"/>
    <n v="21350135"/>
    <n v="12532.67"/>
    <m/>
    <s v="N"/>
    <n v="71"/>
    <d v="2023-07-10T19:02:14"/>
    <s v="Y"/>
    <s v="Preparation - other"/>
    <s v="Prescribed Hourly Rates"/>
    <s v="Profit Cost"/>
    <s v="ZM"/>
    <s v="Y"/>
    <n v="116.42"/>
    <n v="23.29"/>
    <x v="2"/>
    <s v="VALIDATED"/>
    <n v="1"/>
    <s v="01.11.80.305.6100.0000"/>
    <n v="116.42"/>
    <s v="11"/>
    <s v="6100"/>
    <n v="12353.55"/>
    <n v="116.42"/>
    <s v="CREDITOR"/>
    <n v="0"/>
    <n v="0"/>
    <n v="0"/>
    <n v="0"/>
    <n v="116.42"/>
  </r>
  <r>
    <n v="61647584"/>
    <s v="N"/>
    <n v="21350135"/>
    <s v="3000015720010014"/>
    <s v="CIVIL"/>
    <d v="2023-06-30T00:00:00"/>
    <d v="2023-07-10T19:01:40"/>
    <m/>
    <d v="2023-07-10T00:00:00"/>
    <n v="12"/>
    <n v="8890"/>
    <s v="61647584"/>
    <s v="61647584"/>
    <m/>
    <m/>
    <n v="22801106"/>
    <m/>
    <m/>
    <m/>
    <s v="SOLFIN"/>
    <s v="SOLFIN"/>
    <s v="CCMS"/>
    <n v="21350135"/>
    <n v="12532.67"/>
    <m/>
    <s v="N"/>
    <n v="24"/>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81"/>
    <d v="2023-07-10T19:02:14"/>
    <s v="Y"/>
    <s v="Attendance upon client"/>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2"/>
    <d v="2023-07-10T19:02:14"/>
    <s v="N"/>
    <s v="Interpreter"/>
    <s v="Prescribed Hourly Rates"/>
    <s v="Expert Disbursement"/>
    <s v="LV"/>
    <s v="N"/>
    <n v="381.13"/>
    <n v="76.23"/>
    <x v="2"/>
    <s v="VALIDATED"/>
    <n v="1"/>
    <s v="01.11.80.305.6300.0000"/>
    <n v="381.13"/>
    <s v="11"/>
    <s v="6300"/>
    <n v="12353.55"/>
    <n v="381.13"/>
    <s v="CREDITOR"/>
    <n v="0"/>
    <n v="0"/>
    <n v="0"/>
    <n v="0"/>
    <n v="381.13"/>
  </r>
  <r>
    <n v="61647584"/>
    <s v="N"/>
    <n v="21350135"/>
    <s v="3000015720010014"/>
    <s v="CIVIL"/>
    <d v="2023-06-30T00:00:00"/>
    <d v="2023-07-10T19:01:40"/>
    <m/>
    <d v="2023-07-10T00:00:00"/>
    <n v="12"/>
    <n v="8890"/>
    <s v="61647584"/>
    <s v="61647584"/>
    <m/>
    <m/>
    <n v="22801106"/>
    <m/>
    <m/>
    <m/>
    <s v="SOLFIN"/>
    <s v="SOLFIN"/>
    <s v="CCMS"/>
    <n v="21350135"/>
    <n v="12532.67"/>
    <m/>
    <s v="N"/>
    <n v="11"/>
    <d v="2023-07-10T19:02:14"/>
    <s v="Y"/>
    <s v="Preparation - drafting application"/>
    <s v="Prescribed Hourly Rates"/>
    <s v="Profit Cost"/>
    <s v="LV"/>
    <s v="Y"/>
    <n v="104.78"/>
    <n v="20.96"/>
    <x v="2"/>
    <s v="VALIDATED"/>
    <n v="1"/>
    <s v="01.11.80.305.6100.0000"/>
    <n v="104.78"/>
    <s v="11"/>
    <s v="6100"/>
    <n v="12353.55"/>
    <n v="104.78"/>
    <s v="CREDITOR"/>
    <n v="0"/>
    <n v="0"/>
    <n v="0"/>
    <n v="0"/>
    <n v="104.78"/>
  </r>
  <r>
    <n v="61647584"/>
    <s v="N"/>
    <n v="21350135"/>
    <s v="3000015720010014"/>
    <s v="CIVIL"/>
    <d v="2023-06-30T00:00:00"/>
    <d v="2023-07-10T19:01:40"/>
    <m/>
    <d v="2023-07-10T00:00:00"/>
    <n v="12"/>
    <n v="8890"/>
    <s v="61647584"/>
    <s v="61647584"/>
    <m/>
    <m/>
    <n v="22801106"/>
    <m/>
    <m/>
    <m/>
    <s v="SOLFIN"/>
    <s v="SOLFIN"/>
    <s v="CCMS"/>
    <n v="21350135"/>
    <n v="12532.67"/>
    <m/>
    <s v="N"/>
    <n v="106"/>
    <d v="2023-07-10T19:02:14"/>
    <s v="Y"/>
    <s v="Routine Letter Out"/>
    <s v="Prescribed Hourly Rates"/>
    <s v="Profit Cost"/>
    <s v="LV"/>
    <s v="Y"/>
    <n v="1825.63"/>
    <n v="365.06"/>
    <x v="2"/>
    <s v="VALIDATED"/>
    <n v="1"/>
    <s v="01.11.80.305.6100.0000"/>
    <n v="1825.63"/>
    <s v="11"/>
    <s v="6100"/>
    <n v="12353.55"/>
    <n v="1825.63"/>
    <s v="CREDITOR"/>
    <n v="0"/>
    <n v="0"/>
    <n v="0"/>
    <n v="0"/>
    <n v="1825.63"/>
  </r>
  <r>
    <n v="61647584"/>
    <s v="N"/>
    <n v="21350135"/>
    <s v="3000015720010014"/>
    <s v="CIVIL"/>
    <d v="2023-06-30T00:00:00"/>
    <d v="2023-07-10T19:01:40"/>
    <m/>
    <d v="2023-07-10T00:00:00"/>
    <n v="12"/>
    <n v="8890"/>
    <s v="61647584"/>
    <s v="61647584"/>
    <m/>
    <m/>
    <n v="22801106"/>
    <m/>
    <m/>
    <m/>
    <s v="SOLFIN"/>
    <s v="SOLFIN"/>
    <s v="CCMS"/>
    <n v="21350135"/>
    <n v="12532.67"/>
    <m/>
    <s v="N"/>
    <n v="1"/>
    <d v="2023-07-10T19:02:14"/>
    <s v="Y"/>
    <s v="Interpreter"/>
    <s v="Prescribed Hourly Rates"/>
    <s v="Expert Disbursement"/>
    <s v="LV"/>
    <s v="Y"/>
    <n v="23.87"/>
    <n v="4.77"/>
    <x v="2"/>
    <s v="VALIDATED"/>
    <n v="1"/>
    <s v="01.11.80.305.6300.0000"/>
    <n v="23.87"/>
    <s v="11"/>
    <s v="6300"/>
    <n v="12353.55"/>
    <n v="23.87"/>
    <s v="CREDITOR"/>
    <n v="0"/>
    <n v="0"/>
    <n v="0"/>
    <n v="0"/>
    <n v="23.87"/>
  </r>
  <r>
    <n v="61647584"/>
    <s v="N"/>
    <n v="21350135"/>
    <s v="3000015720010014"/>
    <s v="CIVIL"/>
    <d v="2023-06-30T00:00:00"/>
    <d v="2023-07-10T19:01:40"/>
    <m/>
    <d v="2023-07-10T00:00:00"/>
    <n v="12"/>
    <n v="8890"/>
    <s v="61647584"/>
    <s v="61647584"/>
    <m/>
    <m/>
    <n v="22801106"/>
    <m/>
    <m/>
    <m/>
    <s v="SOLFIN"/>
    <s v="SOLFIN"/>
    <s v="CCMS"/>
    <n v="21350135"/>
    <n v="12532.67"/>
    <m/>
    <s v="N"/>
    <n v="16"/>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75"/>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28"/>
    <d v="2023-07-10T19:02:14"/>
    <s v="Y"/>
    <s v="Preparation - drafting application"/>
    <s v="Prescribed Hourly Rates"/>
    <s v="Profit Cost"/>
    <s v="LV"/>
    <s v="Y"/>
    <n v="69.86"/>
    <n v="13.97"/>
    <x v="2"/>
    <s v="VALIDATED"/>
    <n v="1"/>
    <s v="01.11.80.305.6100.0000"/>
    <n v="69.86"/>
    <s v="11"/>
    <s v="6100"/>
    <n v="12353.55"/>
    <n v="69.86"/>
    <s v="CREDITOR"/>
    <n v="0"/>
    <n v="0"/>
    <n v="0"/>
    <n v="0"/>
    <n v="69.86"/>
  </r>
  <r>
    <n v="61647584"/>
    <s v="N"/>
    <n v="21350135"/>
    <s v="3000015720010014"/>
    <s v="CIVIL"/>
    <d v="2023-06-30T00:00:00"/>
    <d v="2023-07-10T19:01:40"/>
    <m/>
    <d v="2023-07-10T00:00:00"/>
    <n v="12"/>
    <n v="8890"/>
    <s v="61647584"/>
    <s v="61647584"/>
    <m/>
    <m/>
    <n v="22801106"/>
    <m/>
    <m/>
    <m/>
    <s v="SOLFIN"/>
    <s v="SOLFIN"/>
    <s v="CCMS"/>
    <n v="21350135"/>
    <n v="12532.67"/>
    <m/>
    <s v="N"/>
    <n v="33"/>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02"/>
    <d v="2023-07-10T19:02:14"/>
    <s v="Y"/>
    <s v="Preparation - other"/>
    <s v="Prescribed Hourly Rates"/>
    <s v="Profit Cost"/>
    <s v="LV"/>
    <s v="Y"/>
    <n v="46.56"/>
    <n v="9.31"/>
    <x v="2"/>
    <s v="VALIDATED"/>
    <n v="1"/>
    <s v="01.11.80.305.6100.0000"/>
    <n v="46.56"/>
    <s v="11"/>
    <s v="6100"/>
    <n v="12353.55"/>
    <n v="46.56"/>
    <s v="CREDITOR"/>
    <n v="0"/>
    <n v="0"/>
    <n v="0"/>
    <n v="0"/>
    <n v="46.56"/>
  </r>
  <r>
    <n v="61709982"/>
    <s v="N"/>
    <n v="21322775"/>
    <s v="3000015800030005"/>
    <s v="CIVIL"/>
    <d v="2023-06-29T00:00:00"/>
    <d v="2023-07-03T19:05:36"/>
    <m/>
    <d v="2023-07-03T00:00:00"/>
    <n v="12"/>
    <n v="8890"/>
    <s v="61709982"/>
    <s v="61709982"/>
    <m/>
    <m/>
    <n v="22793166"/>
    <m/>
    <m/>
    <m/>
    <s v="SOLPOA"/>
    <s v="SOLPOA"/>
    <s v="CCMS"/>
    <n v="21322775"/>
    <n v="1589.9"/>
    <m/>
    <s v="N"/>
    <n v="1"/>
    <d v="2023-07-03T19:05:40"/>
    <s v="N"/>
    <s v="Expert Cost"/>
    <s v="Expert Cost"/>
    <s v="Expert Disbursement"/>
    <s v="CS"/>
    <s v="N"/>
    <n v="1324.92"/>
    <n v="264.98"/>
    <x v="3"/>
    <s v="VALIDATED"/>
    <n v="1"/>
    <s v="01.11.80.308.2012.0000"/>
    <n v="1324.92"/>
    <s v="11"/>
    <s v="2012"/>
    <n v="12353.55"/>
    <n v="1324.92"/>
    <s v="CREDITOR"/>
    <n v="1324.92"/>
    <n v="0"/>
    <n v="0"/>
    <n v="0"/>
    <n v="0"/>
  </r>
  <r>
    <n v="61647584"/>
    <s v="N"/>
    <n v="21350135"/>
    <s v="3000015720010014"/>
    <s v="CIVIL"/>
    <d v="2023-06-30T00:00:00"/>
    <d v="2023-07-10T19:01:40"/>
    <m/>
    <d v="2023-07-10T00:00:00"/>
    <n v="12"/>
    <n v="8890"/>
    <s v="61647584"/>
    <s v="61647584"/>
    <m/>
    <m/>
    <n v="22801106"/>
    <m/>
    <m/>
    <m/>
    <s v="SOLFIN"/>
    <s v="SOLFIN"/>
    <s v="CCMS"/>
    <n v="21350135"/>
    <n v="12532.67"/>
    <m/>
    <s v="N"/>
    <n v="40"/>
    <d v="2023-07-10T19:02:14"/>
    <s v="Y"/>
    <s v="Preparation - other"/>
    <s v="Prescribed Hourly Rates"/>
    <s v="Profit Cost"/>
    <s v="LV"/>
    <s v="Y"/>
    <n v="162.99"/>
    <n v="32.6"/>
    <x v="2"/>
    <s v="VALIDATED"/>
    <n v="1"/>
    <s v="01.11.80.305.6100.0000"/>
    <n v="162.99"/>
    <s v="11"/>
    <s v="6100"/>
    <n v="12353.55"/>
    <n v="162.99"/>
    <s v="CREDITOR"/>
    <n v="0"/>
    <n v="0"/>
    <n v="0"/>
    <n v="0"/>
    <n v="162.99"/>
  </r>
  <r>
    <n v="61647584"/>
    <s v="N"/>
    <n v="21350135"/>
    <s v="3000015720010014"/>
    <s v="CIVIL"/>
    <d v="2023-06-30T00:00:00"/>
    <d v="2023-07-10T19:01:40"/>
    <m/>
    <d v="2023-07-10T00:00:00"/>
    <n v="12"/>
    <n v="8890"/>
    <s v="61647584"/>
    <s v="61647584"/>
    <m/>
    <m/>
    <n v="22801106"/>
    <m/>
    <m/>
    <m/>
    <s v="SOLFIN"/>
    <s v="SOLFIN"/>
    <s v="CCMS"/>
    <n v="21350135"/>
    <n v="12532.67"/>
    <m/>
    <s v="N"/>
    <n v="87"/>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98"/>
    <d v="2023-07-10T19:02:14"/>
    <s v="Y"/>
    <s v="Preparation - other"/>
    <s v="Prescribed Hourly Rates"/>
    <s v="Profit Cost"/>
    <s v="SB"/>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60"/>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68"/>
    <d v="2023-07-10T19:02:14"/>
    <s v="Y"/>
    <s v="Preparation - other"/>
    <s v="Prescribed Hourly Rates"/>
    <s v="Profit Cost"/>
    <s v="LV"/>
    <s v="Y"/>
    <n v="34.93"/>
    <n v="6.99"/>
    <x v="2"/>
    <s v="VALIDATED"/>
    <n v="1"/>
    <s v="01.11.80.305.6100.0000"/>
    <n v="34.93"/>
    <s v="11"/>
    <s v="6100"/>
    <n v="12353.55"/>
    <n v="34.93"/>
    <s v="CREDITOR"/>
    <n v="0"/>
    <n v="0"/>
    <n v="0"/>
    <n v="0"/>
    <n v="34.93"/>
  </r>
  <r>
    <n v="61647584"/>
    <s v="N"/>
    <n v="21350135"/>
    <s v="3000015720010014"/>
    <s v="CIVIL"/>
    <d v="2023-06-30T00:00:00"/>
    <d v="2023-07-10T19:01:40"/>
    <m/>
    <d v="2023-07-10T00:00:00"/>
    <n v="12"/>
    <n v="8890"/>
    <s v="61647584"/>
    <s v="61647584"/>
    <m/>
    <m/>
    <n v="22801106"/>
    <m/>
    <m/>
    <m/>
    <s v="SOLFIN"/>
    <s v="SOLFIN"/>
    <s v="CCMS"/>
    <n v="21350135"/>
    <n v="12532.67"/>
    <m/>
    <s v="N"/>
    <n v="82"/>
    <d v="2023-07-10T19:02:14"/>
    <s v="Y"/>
    <s v="Attendance upon/with Counsel at Con"/>
    <s v="Prescribed Hourly Rates"/>
    <s v="Profit Cost"/>
    <s v="LV"/>
    <s v="Y"/>
    <n v="34.16"/>
    <n v="6.83"/>
    <x v="2"/>
    <s v="VALIDATED"/>
    <n v="1"/>
    <s v="01.11.80.305.6100.0000"/>
    <n v="34.16"/>
    <s v="11"/>
    <s v="6100"/>
    <n v="12353.55"/>
    <n v="34.16"/>
    <s v="CREDITOR"/>
    <n v="0"/>
    <n v="0"/>
    <n v="0"/>
    <n v="0"/>
    <n v="34.16"/>
  </r>
  <r>
    <n v="61647584"/>
    <s v="N"/>
    <n v="21350135"/>
    <s v="3000015720010014"/>
    <s v="CIVIL"/>
    <d v="2023-06-30T00:00:00"/>
    <d v="2023-07-10T19:01:40"/>
    <m/>
    <d v="2023-07-10T00:00:00"/>
    <n v="12"/>
    <n v="8890"/>
    <s v="61647584"/>
    <s v="61647584"/>
    <m/>
    <m/>
    <n v="22801106"/>
    <m/>
    <m/>
    <m/>
    <s v="SOLFIN"/>
    <s v="SOLFIN"/>
    <s v="CCMS"/>
    <n v="21350135"/>
    <n v="12532.67"/>
    <m/>
    <s v="N"/>
    <n v="92"/>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04"/>
    <d v="2023-07-10T19:02:14"/>
    <s v="Y"/>
    <s v="Preparation - drafting bill/claim f"/>
    <s v="Prescribed Hourly Rates"/>
    <s v="Profit Cost"/>
    <s v="CD"/>
    <s v="Y"/>
    <n v="529.2"/>
    <n v="105.85"/>
    <x v="2"/>
    <s v="VALIDATED"/>
    <n v="1"/>
    <s v="01.11.80.305.6100.0000"/>
    <n v="529.2"/>
    <s v="11"/>
    <s v="6100"/>
    <n v="12353.55"/>
    <n v="529.2"/>
    <s v="CREDITOR"/>
    <n v="0"/>
    <n v="0"/>
    <n v="0"/>
    <n v="0"/>
    <n v="529.2"/>
  </r>
  <r>
    <n v="61647584"/>
    <s v="N"/>
    <n v="21350135"/>
    <s v="3000015720010014"/>
    <s v="CIVIL"/>
    <d v="2023-06-30T00:00:00"/>
    <d v="2023-07-10T19:01:40"/>
    <m/>
    <d v="2023-07-10T00:00:00"/>
    <n v="12"/>
    <n v="8890"/>
    <s v="61647584"/>
    <s v="61647584"/>
    <m/>
    <m/>
    <n v="22801106"/>
    <m/>
    <m/>
    <m/>
    <s v="SOLFIN"/>
    <s v="SOLFIN"/>
    <s v="CCMS"/>
    <n v="21350135"/>
    <n v="12532.67"/>
    <m/>
    <s v="N"/>
    <n v="37"/>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3"/>
    <d v="2023-07-10T19:02:14"/>
    <s v="Y"/>
    <s v="Interpreter"/>
    <s v="Prescribed Hourly Rates"/>
    <s v="Expert Disbursement"/>
    <s v="LV"/>
    <s v="Y"/>
    <n v="60"/>
    <n v="12"/>
    <x v="2"/>
    <s v="VALIDATED"/>
    <n v="1"/>
    <s v="01.11.80.305.6300.0000"/>
    <n v="60"/>
    <s v="11"/>
    <s v="6300"/>
    <n v="12353.55"/>
    <n v="60"/>
    <s v="CREDITOR"/>
    <n v="0"/>
    <n v="0"/>
    <n v="0"/>
    <n v="0"/>
    <n v="60"/>
  </r>
  <r>
    <n v="61647584"/>
    <s v="N"/>
    <n v="21350135"/>
    <s v="3000015720010014"/>
    <s v="CIVIL"/>
    <d v="2023-06-30T00:00:00"/>
    <d v="2023-07-10T19:01:40"/>
    <m/>
    <d v="2023-07-10T00:00:00"/>
    <n v="12"/>
    <n v="8890"/>
    <s v="61647584"/>
    <s v="61647584"/>
    <m/>
    <m/>
    <n v="22801106"/>
    <m/>
    <m/>
    <m/>
    <s v="SOLFIN"/>
    <s v="SOLFIN"/>
    <s v="CCMS"/>
    <n v="21350135"/>
    <n v="12532.67"/>
    <m/>
    <s v="N"/>
    <n v="51"/>
    <d v="2023-07-10T19:02:14"/>
    <s v="Y"/>
    <s v="Preparation - other"/>
    <s v="Prescribed Hourly Rates"/>
    <s v="Profit Cost"/>
    <s v="LV"/>
    <s v="Y"/>
    <n v="58.21"/>
    <n v="11.64"/>
    <x v="2"/>
    <s v="VALIDATED"/>
    <n v="1"/>
    <s v="01.11.80.305.6100.0000"/>
    <n v="58.21"/>
    <s v="11"/>
    <s v="6100"/>
    <n v="12353.55"/>
    <n v="58.21"/>
    <s v="CREDITOR"/>
    <n v="0"/>
    <n v="0"/>
    <n v="0"/>
    <n v="0"/>
    <n v="58.21"/>
  </r>
  <r>
    <n v="61647584"/>
    <s v="N"/>
    <n v="21350135"/>
    <s v="3000015720010014"/>
    <s v="CIVIL"/>
    <d v="2023-06-30T00:00:00"/>
    <d v="2023-07-10T19:01:40"/>
    <m/>
    <d v="2023-07-10T00:00:00"/>
    <n v="12"/>
    <n v="8890"/>
    <s v="61647584"/>
    <s v="61647584"/>
    <m/>
    <m/>
    <n v="22801106"/>
    <m/>
    <m/>
    <m/>
    <s v="SOLFIN"/>
    <s v="SOLFIN"/>
    <s v="CCMS"/>
    <n v="21350135"/>
    <n v="12532.67"/>
    <m/>
    <s v="N"/>
    <n v="84"/>
    <d v="2023-07-10T19:02:14"/>
    <s v="Y"/>
    <s v="Preparation - other"/>
    <s v="Prescribed Hourly Rates"/>
    <s v="Profit Cost"/>
    <s v="LV"/>
    <s v="Y"/>
    <n v="23.28"/>
    <n v="4.66"/>
    <x v="2"/>
    <s v="VALIDATED"/>
    <n v="1"/>
    <s v="01.11.80.305.6100.0000"/>
    <n v="23.28"/>
    <s v="11"/>
    <s v="6100"/>
    <n v="12353.55"/>
    <n v="23.28"/>
    <s v="CREDITOR"/>
    <n v="0"/>
    <n v="0"/>
    <n v="0"/>
    <n v="0"/>
    <n v="23.28"/>
  </r>
  <r>
    <n v="61647584"/>
    <s v="N"/>
    <n v="21350135"/>
    <s v="3000015720010014"/>
    <s v="CIVIL"/>
    <d v="2023-06-30T00:00:00"/>
    <d v="2023-07-10T19:01:40"/>
    <m/>
    <d v="2023-07-10T00:00:00"/>
    <n v="12"/>
    <n v="8890"/>
    <s v="61647584"/>
    <s v="61647584"/>
    <m/>
    <m/>
    <n v="22801106"/>
    <m/>
    <m/>
    <m/>
    <s v="SOLFIN"/>
    <s v="SOLFIN"/>
    <s v="CCMS"/>
    <n v="21350135"/>
    <n v="12532.67"/>
    <m/>
    <s v="N"/>
    <n v="107"/>
    <d v="2023-07-10T19:02:14"/>
    <s v="Y"/>
    <s v="Routine Letter In"/>
    <s v="Prescribed Hourly Rates"/>
    <s v="Profit Cost"/>
    <s v="LV"/>
    <s v="Y"/>
    <n v="1141.09"/>
    <n v="228.24"/>
    <x v="2"/>
    <s v="VALIDATED"/>
    <n v="1"/>
    <s v="01.11.80.305.6100.0000"/>
    <n v="1141.09"/>
    <s v="11"/>
    <s v="6100"/>
    <n v="12353.55"/>
    <n v="1141.09"/>
    <s v="CREDITOR"/>
    <n v="0"/>
    <n v="0"/>
    <n v="0"/>
    <n v="0"/>
    <n v="1141.09"/>
  </r>
  <r>
    <n v="61647584"/>
    <s v="N"/>
    <n v="21350135"/>
    <s v="3000015720010014"/>
    <s v="CIVIL"/>
    <d v="2023-06-30T00:00:00"/>
    <d v="2023-07-10T19:01:40"/>
    <m/>
    <d v="2023-07-10T00:00:00"/>
    <n v="12"/>
    <n v="8890"/>
    <s v="61647584"/>
    <s v="61647584"/>
    <m/>
    <m/>
    <n v="22801106"/>
    <m/>
    <m/>
    <m/>
    <s v="SOLFIN"/>
    <s v="SOLFIN"/>
    <s v="CCMS"/>
    <n v="21350135"/>
    <n v="12532.67"/>
    <m/>
    <s v="N"/>
    <n v="80"/>
    <d v="2023-07-10T19:02:14"/>
    <s v="Y"/>
    <s v="Preparation - other"/>
    <s v="Prescribed Hourly Rates"/>
    <s v="Profit Cost"/>
    <s v="LV"/>
    <s v="Y"/>
    <n v="58.21"/>
    <n v="11.64"/>
    <x v="2"/>
    <s v="VALIDATED"/>
    <n v="1"/>
    <s v="01.11.80.305.6100.0000"/>
    <n v="58.21"/>
    <s v="11"/>
    <s v="6100"/>
    <n v="12353.55"/>
    <n v="58.21"/>
    <s v="CREDITOR"/>
    <n v="0"/>
    <n v="0"/>
    <n v="0"/>
    <n v="0"/>
    <n v="58.21"/>
  </r>
  <r>
    <n v="61169666"/>
    <s v="N"/>
    <n v="21356230"/>
    <s v="3000015350060003RC"/>
    <s v="CIVIL"/>
    <d v="2023-06-29T00:00:00"/>
    <d v="2023-07-10T19:47:44"/>
    <m/>
    <d v="2023-07-10T00:00:00"/>
    <n v="16"/>
    <n v="14705"/>
    <s v="61169666"/>
    <s v="61169666"/>
    <m/>
    <m/>
    <m/>
    <m/>
    <m/>
    <m/>
    <s v="SOLRECOUP"/>
    <s v="SOLRECOUP"/>
    <s v="POARECOUP"/>
    <n v="21356230"/>
    <n v="-1703.02"/>
    <m/>
    <s v="Y"/>
    <n v="1"/>
    <d v="2023-07-10T19:47:44"/>
    <s v="N"/>
    <m/>
    <m/>
    <s v="Profit Cost"/>
    <m/>
    <s v="N"/>
    <n v="-1419.18"/>
    <n v="0"/>
    <x v="2"/>
    <s v="VALIDATED"/>
    <n v="1"/>
    <s v="01.11.80.308.2013.0000"/>
    <n v="-1419.18"/>
    <s v="11"/>
    <s v="2013"/>
    <n v="18695.16"/>
    <n v="-1419.18"/>
    <s v="CREDITOR"/>
    <n v="0"/>
    <n v="0"/>
    <n v="-1419.18"/>
    <n v="-354.795"/>
    <n v="0"/>
  </r>
  <r>
    <n v="45140555"/>
    <s v="N"/>
    <n v="21318398"/>
    <s v="3000011381450059"/>
    <s v="CIVIL"/>
    <d v="2023-06-23T00:00:00"/>
    <d v="2023-07-03T19:01:49"/>
    <m/>
    <d v="2023-07-03T00:00:00"/>
    <n v="16"/>
    <n v="14705"/>
    <s v="45140555"/>
    <s v="45140555"/>
    <m/>
    <m/>
    <n v="22752188"/>
    <m/>
    <m/>
    <m/>
    <s v="SOLPOA"/>
    <s v="SOLPOA"/>
    <s v="CCMS"/>
    <n v="21318398"/>
    <n v="25.4"/>
    <m/>
    <s v="N"/>
    <n v="1"/>
    <d v="2023-07-03T19:01:54"/>
    <s v="N"/>
    <s v="Non Expert Disbursement"/>
    <s v="Non Expert Disbursement"/>
    <s v="Non Expert Disbursement"/>
    <s v="Anna Gowen"/>
    <s v="N"/>
    <n v="25.4"/>
    <n v="0"/>
    <x v="3"/>
    <s v="VALIDATED"/>
    <n v="1"/>
    <s v="01.11.80.307.2012.0000"/>
    <n v="25.4"/>
    <s v="11"/>
    <s v="2012"/>
    <n v="18695.16"/>
    <n v="25.4"/>
    <s v="CREDITOR"/>
    <n v="25.4"/>
    <n v="0"/>
    <n v="0"/>
    <n v="0"/>
    <n v="0"/>
  </r>
  <r>
    <n v="61169666"/>
    <s v="N"/>
    <n v="21356231"/>
    <s v="3000015350060001RC"/>
    <s v="CIVIL"/>
    <d v="2023-06-29T00:00:00"/>
    <d v="2023-07-10T19:47:44"/>
    <m/>
    <d v="2023-07-10T00:00:00"/>
    <n v="16"/>
    <n v="14705"/>
    <s v="61169666"/>
    <s v="61169666"/>
    <m/>
    <m/>
    <m/>
    <m/>
    <m/>
    <m/>
    <s v="SOLRECOUP"/>
    <s v="SOLRECOUP"/>
    <s v="POARECOUP"/>
    <n v="21356231"/>
    <n v="-3087.28"/>
    <m/>
    <s v="Y"/>
    <n v="1"/>
    <d v="2023-07-10T19:47:44"/>
    <s v="N"/>
    <m/>
    <m/>
    <s v="Profit Cost"/>
    <m/>
    <s v="N"/>
    <n v="-2572.73"/>
    <n v="0"/>
    <x v="2"/>
    <s v="VALIDATED"/>
    <n v="1"/>
    <s v="01.11.80.308.2013.0000"/>
    <n v="-2572.73"/>
    <s v="11"/>
    <s v="2013"/>
    <n v="18695.16"/>
    <n v="-2572.73"/>
    <s v="CREDITOR"/>
    <n v="0"/>
    <n v="0"/>
    <n v="-2572.73"/>
    <n v="-643.1825"/>
    <n v="0"/>
  </r>
  <r>
    <n v="61169666"/>
    <s v="N"/>
    <n v="21356231"/>
    <s v="3000015350060001RC"/>
    <s v="CIVIL"/>
    <d v="2023-06-29T00:00:00"/>
    <d v="2023-07-10T19:47:44"/>
    <m/>
    <d v="2023-07-10T00:00:00"/>
    <n v="16"/>
    <n v="14705"/>
    <s v="61169666"/>
    <s v="61169666"/>
    <m/>
    <m/>
    <m/>
    <m/>
    <m/>
    <m/>
    <s v="SOLRECOUP"/>
    <s v="SOLRECOUP"/>
    <s v="POARECOUP"/>
    <n v="21356231"/>
    <n v="-3087.28"/>
    <m/>
    <s v="Y"/>
    <n v="2"/>
    <d v="2023-07-10T19:47:44"/>
    <s v="N"/>
    <m/>
    <m/>
    <s v="Profit Cost"/>
    <m/>
    <s v="N"/>
    <n v="0"/>
    <n v="-514.55"/>
    <x v="2"/>
    <s v="VALIDATED"/>
    <n v="1"/>
    <s v="01.11.80.308.2013.0000"/>
    <n v="-514.55"/>
    <s v="11"/>
    <s v="2013"/>
    <n v="18695.16"/>
    <n v="-514.55"/>
    <s v="CREDITOR"/>
    <n v="0"/>
    <n v="0"/>
    <n v="-514.55"/>
    <n v="-128.6375"/>
    <n v="0"/>
  </r>
  <r>
    <n v="61169666"/>
    <s v="N"/>
    <n v="21356232"/>
    <s v="3000015350060002RC"/>
    <s v="CIVIL"/>
    <d v="2023-06-29T00:00:00"/>
    <d v="2023-07-10T19:47:44"/>
    <m/>
    <d v="2023-07-10T00:00:00"/>
    <n v="16"/>
    <n v="14705"/>
    <s v="61169666"/>
    <s v="61169666"/>
    <m/>
    <m/>
    <m/>
    <m/>
    <m/>
    <m/>
    <s v="SOLRECOUP"/>
    <s v="SOLRECOUP"/>
    <s v="POARECOUP"/>
    <n v="21356232"/>
    <n v="-160.8"/>
    <m/>
    <s v="Y"/>
    <n v="1"/>
    <d v="2023-07-10T19:47:44"/>
    <s v="N"/>
    <m/>
    <m/>
    <s v="Expert Disbursement"/>
    <m/>
    <s v="N"/>
    <n v="-134"/>
    <n v="0"/>
    <x v="2"/>
    <s v="VALIDATED"/>
    <n v="1"/>
    <s v="01.11.80.308.2013.0000"/>
    <n v="-134"/>
    <s v="11"/>
    <s v="2013"/>
    <n v="18695.16"/>
    <n v="-134"/>
    <s v="CREDITOR"/>
    <n v="0"/>
    <n v="0"/>
    <n v="-134"/>
    <n v="0"/>
    <n v="0"/>
  </r>
  <r>
    <n v="61169666"/>
    <s v="N"/>
    <n v="21356232"/>
    <s v="3000015350060002RC"/>
    <s v="CIVIL"/>
    <d v="2023-06-29T00:00:00"/>
    <d v="2023-07-10T19:47:44"/>
    <m/>
    <d v="2023-07-10T00:00:00"/>
    <n v="16"/>
    <n v="14705"/>
    <s v="61169666"/>
    <s v="61169666"/>
    <m/>
    <m/>
    <m/>
    <m/>
    <m/>
    <m/>
    <s v="SOLRECOUP"/>
    <s v="SOLRECOUP"/>
    <s v="POARECOUP"/>
    <n v="21356232"/>
    <n v="-160.8"/>
    <m/>
    <s v="Y"/>
    <n v="2"/>
    <d v="2023-07-10T19:47:44"/>
    <s v="N"/>
    <m/>
    <m/>
    <s v="Expert Disbursement"/>
    <m/>
    <s v="N"/>
    <n v="0"/>
    <n v="-26.8"/>
    <x v="2"/>
    <s v="VALIDATED"/>
    <n v="1"/>
    <s v="01.11.80.308.2013.0000"/>
    <n v="-26.8"/>
    <s v="11"/>
    <s v="2013"/>
    <n v="18695.16"/>
    <n v="-26.8"/>
    <s v="CREDITOR"/>
    <n v="0"/>
    <n v="0"/>
    <n v="-26.8"/>
    <n v="0"/>
    <n v="0"/>
  </r>
  <r>
    <n v="60481328"/>
    <s v="N"/>
    <n v="21337824"/>
    <s v="3000014757450011"/>
    <s v="CIVIL"/>
    <d v="2023-06-29T00:00:00"/>
    <d v="2023-07-06T19:21:01"/>
    <m/>
    <d v="2023-07-06T00:00:00"/>
    <n v="16"/>
    <n v="14705"/>
    <s v="60481328"/>
    <s v="60481328"/>
    <m/>
    <m/>
    <n v="22789100"/>
    <m/>
    <m/>
    <m/>
    <s v="SOLPOA"/>
    <s v="SOLPOA"/>
    <s v="CCMS"/>
    <n v="21337824"/>
    <n v="136.39"/>
    <m/>
    <s v="N"/>
    <n v="1"/>
    <d v="2023-07-06T19:21:08"/>
    <s v="N"/>
    <s v="Expert Cost"/>
    <s v="Expert Cost"/>
    <s v="Expert Disbursement"/>
    <s v="Rokeya Dangor"/>
    <s v="N"/>
    <n v="113.66"/>
    <n v="22.73"/>
    <x v="4"/>
    <s v="VALIDATED"/>
    <n v="1"/>
    <s v="01.11.80.308.2012.0000"/>
    <n v="113.66"/>
    <s v="11"/>
    <s v="2012"/>
    <n v="18695.16"/>
    <n v="113.66"/>
    <s v="CREDITOR"/>
    <n v="113.66"/>
    <n v="0"/>
    <n v="0"/>
    <n v="0"/>
    <n v="0"/>
  </r>
  <r>
    <n v="61169666"/>
    <s v="N"/>
    <n v="21349918"/>
    <s v="3000015350060004"/>
    <s v="CIVIL"/>
    <d v="2023-06-29T00:00:00"/>
    <d v="2023-07-10T19:01:40"/>
    <m/>
    <d v="2023-07-10T00:00:00"/>
    <n v="16"/>
    <n v="14705"/>
    <s v="61169666"/>
    <s v="61169666"/>
    <m/>
    <m/>
    <n v="22792316"/>
    <m/>
    <m/>
    <m/>
    <s v="SOLFIN"/>
    <s v="SOLFIN"/>
    <s v="CCMS"/>
    <n v="21349918"/>
    <n v="6745.71"/>
    <m/>
    <s v="N"/>
    <n v="6"/>
    <d v="2023-07-10T19:02:03"/>
    <s v="Y"/>
    <s v="Advocates Meeting"/>
    <s v="Public Law Children"/>
    <s v="Advocacy"/>
    <s v="PP"/>
    <s v="Y"/>
    <n v="128.16"/>
    <n v="25.63"/>
    <x v="2"/>
    <s v="VALIDATED"/>
    <n v="1"/>
    <s v="01.11.80.308.6100.0000"/>
    <n v="128.16"/>
    <s v="11"/>
    <s v="6100"/>
    <n v="18695.16"/>
    <n v="128.16"/>
    <s v="CREDITOR"/>
    <n v="0"/>
    <n v="0"/>
    <n v="0"/>
    <n v="0"/>
    <n v="128.16"/>
  </r>
  <r>
    <n v="61553617"/>
    <s v="N"/>
    <n v="21350158"/>
    <s v="3000015645220001"/>
    <s v="CIVIL"/>
    <d v="2023-06-20T00:00:00"/>
    <d v="2023-07-10T19:01:40"/>
    <m/>
    <d v="2023-07-10T00:00:00"/>
    <n v="16"/>
    <n v="14705"/>
    <s v="61553617"/>
    <s v="61553617"/>
    <m/>
    <m/>
    <n v="22725208"/>
    <m/>
    <m/>
    <m/>
    <s v="SOLFIN"/>
    <s v="SOLFIN"/>
    <s v="CCMS"/>
    <n v="21350158"/>
    <n v="562.24"/>
    <m/>
    <s v="N"/>
    <n v="10"/>
    <d v="2023-07-10T19:02:16"/>
    <s v="Y"/>
    <s v="Routine Letter In"/>
    <s v="Prescribed Hourly Rates"/>
    <s v="Profit Cost"/>
    <s v="CY"/>
    <s v="Y"/>
    <n v="5.4"/>
    <n v="1.08"/>
    <x v="2"/>
    <s v="VALIDATED"/>
    <n v="1"/>
    <s v="01.11.80.307.6100.0000"/>
    <n v="5.4"/>
    <s v="11"/>
    <s v="6100"/>
    <n v="18695.16"/>
    <n v="5.4"/>
    <s v="CREDITOR"/>
    <n v="0"/>
    <n v="0"/>
    <n v="0"/>
    <n v="0"/>
    <n v="5.4"/>
  </r>
  <r>
    <n v="61169666"/>
    <s v="N"/>
    <n v="21349918"/>
    <s v="3000015350060004"/>
    <s v="CIVIL"/>
    <d v="2023-06-29T00:00:00"/>
    <d v="2023-07-10T19:01:40"/>
    <m/>
    <d v="2023-07-10T00:00:00"/>
    <n v="16"/>
    <n v="14705"/>
    <s v="61169666"/>
    <s v="61169666"/>
    <m/>
    <m/>
    <n v="22792316"/>
    <m/>
    <m/>
    <m/>
    <s v="SOLFIN"/>
    <s v="SOLFIN"/>
    <s v="CCMS"/>
    <n v="21349918"/>
    <n v="6745.71"/>
    <m/>
    <s v="N"/>
    <n v="8"/>
    <d v="2023-07-10T19:02:03"/>
    <s v="Y"/>
    <s v="Advocates Meeting"/>
    <s v="Public Law Children"/>
    <s v="Advocacy"/>
    <s v="PP"/>
    <s v="Y"/>
    <n v="128.16"/>
    <n v="25.63"/>
    <x v="2"/>
    <s v="VALIDATED"/>
    <n v="1"/>
    <s v="01.11.80.308.6100.0000"/>
    <n v="128.16"/>
    <s v="11"/>
    <s v="6100"/>
    <n v="18695.16"/>
    <n v="128.16"/>
    <s v="CREDITOR"/>
    <n v="0"/>
    <n v="0"/>
    <n v="0"/>
    <n v="0"/>
    <n v="128.16"/>
  </r>
  <r>
    <n v="61157018"/>
    <s v="N"/>
    <n v="21319694"/>
    <s v="3000015338050015"/>
    <s v="CIVIL"/>
    <d v="2023-06-27T00:00:00"/>
    <d v="2023-07-03T19:04:24"/>
    <m/>
    <d v="2023-07-03T00:00:00"/>
    <n v="16"/>
    <n v="14705"/>
    <s v="61157018"/>
    <s v="61157018"/>
    <m/>
    <m/>
    <n v="22769900"/>
    <m/>
    <m/>
    <m/>
    <s v="SOLPOA"/>
    <s v="SOLPOA"/>
    <s v="CCMS"/>
    <n v="21319694"/>
    <n v="217.6"/>
    <m/>
    <s v="N"/>
    <n v="1"/>
    <d v="2023-07-03T19:04:27"/>
    <s v="N"/>
    <s v="Expert Cost"/>
    <s v="Expert Cost"/>
    <s v="Expert Disbursement"/>
    <s v="Samantha Cook"/>
    <s v="N"/>
    <n v="181.33"/>
    <n v="36.27"/>
    <x v="3"/>
    <s v="VALIDATED"/>
    <n v="1"/>
    <s v="01.11.80.308.2012.0000"/>
    <n v="181.33"/>
    <s v="11"/>
    <s v="2012"/>
    <n v="18695.16"/>
    <n v="181.33"/>
    <s v="CREDITOR"/>
    <n v="181.33"/>
    <n v="0"/>
    <n v="0"/>
    <n v="0"/>
    <n v="0"/>
  </r>
  <r>
    <n v="61508466"/>
    <s v="N"/>
    <n v="21338822"/>
    <s v="3000015630800005"/>
    <s v="CIVIL"/>
    <d v="2023-06-30T00:00:00"/>
    <d v="2023-07-06T19:23:40"/>
    <m/>
    <d v="2023-07-06T00:00:00"/>
    <n v="16"/>
    <n v="14705"/>
    <s v="61508466"/>
    <s v="61508466"/>
    <m/>
    <m/>
    <n v="22801348"/>
    <m/>
    <m/>
    <m/>
    <s v="SOLPOA"/>
    <s v="SOLPOA"/>
    <s v="CCMS"/>
    <n v="21338822"/>
    <n v="3267.82"/>
    <m/>
    <s v="N"/>
    <n v="1"/>
    <d v="2023-07-06T19:23:41"/>
    <s v="N"/>
    <s v="Solicitors Fixed Fee"/>
    <s v="Public Law Children"/>
    <s v="Profit Cost"/>
    <s v="JB"/>
    <s v="N"/>
    <n v="2723.18"/>
    <n v="544.64"/>
    <x v="4"/>
    <s v="VALIDATED"/>
    <n v="1"/>
    <s v="01.11.80.308.2012.0000"/>
    <n v="2723.18"/>
    <s v="11"/>
    <s v="2012"/>
    <n v="18695.16"/>
    <n v="2723.18"/>
    <s v="CREDITOR"/>
    <n v="2723.18"/>
    <n v="680.795"/>
    <n v="0"/>
    <n v="0"/>
    <n v="0"/>
  </r>
  <r>
    <n v="62066099"/>
    <s v="N"/>
    <n v="21323288"/>
    <s v="3000016098040002"/>
    <s v="CIVIL"/>
    <d v="2023-06-30T00:00:00"/>
    <d v="2023-07-03T19:05:56"/>
    <m/>
    <d v="2023-07-03T00:00:00"/>
    <n v="16"/>
    <n v="14705"/>
    <s v="62066099"/>
    <s v="62066099"/>
    <m/>
    <m/>
    <n v="22800680"/>
    <m/>
    <m/>
    <m/>
    <s v="SOLPOA"/>
    <s v="SOLPOA"/>
    <s v="CCMS"/>
    <n v="21323288"/>
    <n v="2376.54"/>
    <m/>
    <s v="N"/>
    <n v="1"/>
    <d v="2023-07-03T19:05:56"/>
    <s v="N"/>
    <s v="Solicitors Fixed Fee"/>
    <s v="Public Law Children"/>
    <s v="Profit Cost"/>
    <s v="MEB"/>
    <s v="N"/>
    <n v="1980.45"/>
    <n v="396.09"/>
    <x v="3"/>
    <s v="VALIDATED"/>
    <n v="1"/>
    <s v="01.11.80.308.2012.0000"/>
    <n v="1980.45"/>
    <s v="11"/>
    <s v="2012"/>
    <n v="18695.16"/>
    <n v="1980.45"/>
    <s v="CREDITOR"/>
    <n v="1980.45"/>
    <n v="495.1125"/>
    <n v="0"/>
    <n v="0"/>
    <n v="0"/>
  </r>
  <r>
    <n v="62102986"/>
    <s v="N"/>
    <n v="21323654"/>
    <s v="3000016129370002"/>
    <s v="CIVIL"/>
    <d v="2023-06-30T00:00:00"/>
    <d v="2023-07-03T19:05:56"/>
    <m/>
    <d v="2023-07-03T00:00:00"/>
    <n v="16"/>
    <n v="14705"/>
    <s v="62102986"/>
    <s v="62102986"/>
    <m/>
    <m/>
    <n v="22800898"/>
    <m/>
    <m/>
    <m/>
    <s v="SOLPOA"/>
    <s v="SOLPOA"/>
    <s v="CCMS"/>
    <n v="21323654"/>
    <n v="167"/>
    <m/>
    <s v="N"/>
    <n v="1"/>
    <d v="2023-07-03T19:05:58"/>
    <s v="N"/>
    <s v="Non Expert Disbursement"/>
    <s v="Non Expert Disbursement"/>
    <s v="Non Expert Disbursement"/>
    <s v="RD"/>
    <s v="N"/>
    <n v="167"/>
    <n v="0"/>
    <x v="3"/>
    <s v="VALIDATED"/>
    <n v="1"/>
    <s v="01.11.80.308.2012.0000"/>
    <n v="167"/>
    <s v="11"/>
    <s v="2012"/>
    <n v="18695.16"/>
    <n v="167"/>
    <s v="CREDITOR"/>
    <n v="167"/>
    <n v="0"/>
    <n v="0"/>
    <n v="0"/>
    <n v="0"/>
  </r>
  <r>
    <n v="61553617"/>
    <s v="N"/>
    <n v="21350158"/>
    <s v="3000015645220001"/>
    <s v="CIVIL"/>
    <d v="2023-06-20T00:00:00"/>
    <d v="2023-07-10T19:01:40"/>
    <m/>
    <d v="2023-07-10T00:00:00"/>
    <n v="16"/>
    <n v="14705"/>
    <s v="61553617"/>
    <s v="61553617"/>
    <m/>
    <m/>
    <n v="22725208"/>
    <m/>
    <m/>
    <m/>
    <s v="SOLFIN"/>
    <s v="SOLFIN"/>
    <s v="CCMS"/>
    <n v="21350158"/>
    <n v="562.24"/>
    <m/>
    <s v="N"/>
    <n v="7"/>
    <d v="2023-07-10T19:02:16"/>
    <s v="Y"/>
    <s v="Routine Letter Out"/>
    <s v="Prescribed Hourly Rates"/>
    <s v="Profit Cost"/>
    <s v="JP"/>
    <s v="Y"/>
    <n v="155.25"/>
    <n v="31.05"/>
    <x v="2"/>
    <s v="VALIDATED"/>
    <n v="1"/>
    <s v="01.11.80.307.6100.0000"/>
    <n v="155.25"/>
    <s v="11"/>
    <s v="6100"/>
    <n v="18695.16"/>
    <n v="155.25"/>
    <s v="CREDITOR"/>
    <n v="0"/>
    <n v="0"/>
    <n v="0"/>
    <n v="0"/>
    <n v="155.25"/>
  </r>
  <r>
    <n v="61169666"/>
    <s v="N"/>
    <n v="21349918"/>
    <s v="3000015350060004"/>
    <s v="CIVIL"/>
    <d v="2023-06-29T00:00:00"/>
    <d v="2023-07-10T19:01:40"/>
    <m/>
    <d v="2023-07-10T00:00:00"/>
    <n v="16"/>
    <n v="14705"/>
    <s v="61169666"/>
    <s v="61169666"/>
    <m/>
    <m/>
    <n v="22792316"/>
    <m/>
    <m/>
    <m/>
    <s v="SOLFIN"/>
    <s v="SOLFIN"/>
    <s v="CCMS"/>
    <n v="21349918"/>
    <n v="6745.71"/>
    <m/>
    <s v="N"/>
    <n v="9"/>
    <d v="2023-07-10T19:02:03"/>
    <s v="Y"/>
    <s v="Hearing Unit 2.31 - 5.00 Hours"/>
    <s v="Public Law Children"/>
    <s v="Advocacy"/>
    <s v="JB"/>
    <s v="Y"/>
    <n v="433.62"/>
    <n v="86.72"/>
    <x v="2"/>
    <s v="VALIDATED"/>
    <n v="1"/>
    <s v="01.11.80.308.6100.0000"/>
    <n v="433.62"/>
    <s v="11"/>
    <s v="6100"/>
    <n v="18695.16"/>
    <n v="433.62"/>
    <s v="CREDITOR"/>
    <n v="0"/>
    <n v="0"/>
    <n v="0"/>
    <n v="0"/>
    <n v="433.62"/>
  </r>
  <r>
    <n v="61553617"/>
    <s v="N"/>
    <n v="21350158"/>
    <s v="3000015645220001"/>
    <s v="CIVIL"/>
    <d v="2023-06-20T00:00:00"/>
    <d v="2023-07-10T19:01:40"/>
    <m/>
    <d v="2023-07-10T00:00:00"/>
    <n v="16"/>
    <n v="14705"/>
    <s v="61553617"/>
    <s v="61553617"/>
    <m/>
    <m/>
    <n v="22725208"/>
    <m/>
    <m/>
    <m/>
    <s v="SOLFIN"/>
    <s v="SOLFIN"/>
    <s v="CCMS"/>
    <n v="21350158"/>
    <n v="562.24"/>
    <m/>
    <s v="N"/>
    <n v="6"/>
    <d v="2023-07-10T19:02:16"/>
    <s v="Y"/>
    <s v="Preparation - drafting bill/claim f"/>
    <s v="Prescribed Hourly Rates"/>
    <s v="Profit Cost"/>
    <s v="DC"/>
    <s v="Y"/>
    <n v="59.4"/>
    <n v="11.88"/>
    <x v="2"/>
    <s v="VALIDATED"/>
    <n v="1"/>
    <s v="01.11.80.307.6100.0000"/>
    <n v="59.4"/>
    <s v="11"/>
    <s v="6100"/>
    <n v="18695.16"/>
    <n v="59.4"/>
    <s v="CREDITOR"/>
    <n v="0"/>
    <n v="0"/>
    <n v="0"/>
    <n v="0"/>
    <n v="59.4"/>
  </r>
  <r>
    <n v="61169666"/>
    <s v="N"/>
    <n v="21349918"/>
    <s v="3000015350060004"/>
    <s v="CIVIL"/>
    <d v="2023-06-29T00:00:00"/>
    <d v="2023-07-10T19:01:40"/>
    <m/>
    <d v="2023-07-10T00:00:00"/>
    <n v="16"/>
    <n v="14705"/>
    <s v="61169666"/>
    <s v="61169666"/>
    <m/>
    <m/>
    <n v="22792316"/>
    <m/>
    <m/>
    <m/>
    <s v="SOLFIN"/>
    <s v="SOLFIN"/>
    <s v="CCMS"/>
    <n v="21349918"/>
    <n v="6745.71"/>
    <m/>
    <s v="N"/>
    <n v="7"/>
    <d v="2023-07-10T19:02:03"/>
    <s v="Y"/>
    <s v="Hearing Unit 2.31 - 5.00 Hours"/>
    <s v="Public Law Children"/>
    <s v="Advocacy"/>
    <s v="PP"/>
    <s v="Y"/>
    <n v="433.62"/>
    <n v="86.72"/>
    <x v="2"/>
    <s v="VALIDATED"/>
    <n v="1"/>
    <s v="01.11.80.308.6100.0000"/>
    <n v="433.62"/>
    <s v="11"/>
    <s v="6100"/>
    <n v="18695.16"/>
    <n v="433.62"/>
    <s v="CREDITOR"/>
    <n v="0"/>
    <n v="0"/>
    <n v="0"/>
    <n v="0"/>
    <n v="433.62"/>
  </r>
  <r>
    <n v="60648572"/>
    <s v="N"/>
    <n v="21320412"/>
    <s v="3000014900330004"/>
    <s v="CIVIL"/>
    <d v="2023-06-28T00:00:00"/>
    <d v="2023-07-03T19:04:52"/>
    <m/>
    <d v="2023-07-03T00:00:00"/>
    <n v="16"/>
    <n v="14705"/>
    <s v="60648572"/>
    <s v="60648572"/>
    <m/>
    <m/>
    <n v="22782466"/>
    <m/>
    <m/>
    <m/>
    <s v="SOLPOA"/>
    <s v="SOLPOA"/>
    <s v="CCMS"/>
    <n v="21320412"/>
    <n v="540"/>
    <m/>
    <s v="N"/>
    <n v="1"/>
    <d v="2023-07-03T19:04:54"/>
    <s v="N"/>
    <s v="Expert Cost"/>
    <s v="Expert Cost"/>
    <s v="Expert Disbursement"/>
    <s v="Caroline Little"/>
    <s v="N"/>
    <n v="540"/>
    <n v="0"/>
    <x v="3"/>
    <s v="VALIDATED"/>
    <n v="1"/>
    <s v="01.11.80.308.2012.0000"/>
    <n v="540"/>
    <s v="11"/>
    <s v="2012"/>
    <n v="18695.16"/>
    <n v="540"/>
    <s v="CREDITOR"/>
    <n v="540"/>
    <n v="0"/>
    <n v="0"/>
    <n v="0"/>
    <n v="0"/>
  </r>
  <r>
    <n v="60645869"/>
    <s v="N"/>
    <n v="21323881"/>
    <s v="3000014899320013"/>
    <s v="CIVIL"/>
    <d v="2023-06-30T00:00:00"/>
    <d v="2023-07-03T19:05:56"/>
    <m/>
    <d v="2023-07-03T00:00:00"/>
    <n v="16"/>
    <n v="14705"/>
    <s v="60645869"/>
    <s v="60645869"/>
    <m/>
    <m/>
    <n v="22801308"/>
    <m/>
    <m/>
    <m/>
    <s v="SOLPOA"/>
    <s v="SOLPOA"/>
    <s v="CCMS"/>
    <n v="21323881"/>
    <n v="4730.17"/>
    <m/>
    <s v="N"/>
    <n v="1"/>
    <d v="2023-07-03T19:05:59"/>
    <s v="N"/>
    <s v="Solicitors Fixed Fee"/>
    <s v="Public Law Children"/>
    <s v="Profit Cost"/>
    <s v="JB"/>
    <s v="N"/>
    <n v="3941.81"/>
    <n v="788.36"/>
    <x v="3"/>
    <s v="VALIDATED"/>
    <n v="1"/>
    <s v="01.11.80.308.2012.0000"/>
    <n v="3941.81"/>
    <s v="11"/>
    <s v="2012"/>
    <n v="18695.16"/>
    <n v="3941.81"/>
    <s v="CREDITOR"/>
    <n v="3941.81"/>
    <n v="985.4525"/>
    <n v="0"/>
    <n v="0"/>
    <n v="0"/>
  </r>
  <r>
    <n v="61553617"/>
    <s v="N"/>
    <n v="21350158"/>
    <s v="3000015645220001"/>
    <s v="CIVIL"/>
    <d v="2023-06-20T00:00:00"/>
    <d v="2023-07-10T19:01:40"/>
    <m/>
    <d v="2023-07-10T00:00:00"/>
    <n v="16"/>
    <n v="14705"/>
    <s v="61553617"/>
    <s v="61553617"/>
    <m/>
    <m/>
    <n v="22725208"/>
    <m/>
    <m/>
    <m/>
    <s v="SOLFIN"/>
    <s v="SOLFIN"/>
    <s v="CCMS"/>
    <n v="21350158"/>
    <n v="562.24"/>
    <m/>
    <s v="N"/>
    <n v="4"/>
    <d v="2023-07-10T19:02:16"/>
    <s v="Y"/>
    <s v="Preparation - drafting notice(s)"/>
    <s v="Prescribed Hourly Rates"/>
    <s v="Profit Cost"/>
    <s v="CY"/>
    <s v="Y"/>
    <n v="28.51"/>
    <n v="5.7"/>
    <x v="2"/>
    <s v="VALIDATED"/>
    <n v="1"/>
    <s v="01.11.80.307.6100.0000"/>
    <n v="28.51"/>
    <s v="11"/>
    <s v="6100"/>
    <n v="18695.16"/>
    <n v="28.51"/>
    <s v="CREDITOR"/>
    <n v="0"/>
    <n v="0"/>
    <n v="0"/>
    <n v="0"/>
    <n v="28.51"/>
  </r>
  <r>
    <n v="61169666"/>
    <s v="N"/>
    <n v="21349918"/>
    <s v="3000015350060004"/>
    <s v="CIVIL"/>
    <d v="2023-06-29T00:00:00"/>
    <d v="2023-07-10T19:01:40"/>
    <m/>
    <d v="2023-07-10T00:00:00"/>
    <n v="16"/>
    <n v="14705"/>
    <s v="61169666"/>
    <s v="61169666"/>
    <m/>
    <m/>
    <n v="22792316"/>
    <m/>
    <m/>
    <m/>
    <s v="SOLFIN"/>
    <s v="SOLFIN"/>
    <s v="CCMS"/>
    <n v="21349918"/>
    <n v="6745.71"/>
    <m/>
    <s v="N"/>
    <n v="2"/>
    <d v="2023-07-10T19:02:03"/>
    <s v="Y"/>
    <s v="Toxicologist"/>
    <s v="Public Law Children"/>
    <s v="Expert Disbursement"/>
    <s v="PP"/>
    <s v="Y"/>
    <n v="134"/>
    <n v="26.8"/>
    <x v="2"/>
    <s v="VALIDATED"/>
    <n v="1"/>
    <s v="01.11.80.308.6300.0000"/>
    <n v="134"/>
    <s v="11"/>
    <s v="6300"/>
    <n v="18695.16"/>
    <n v="134"/>
    <s v="CREDITOR"/>
    <n v="0"/>
    <n v="0"/>
    <n v="0"/>
    <n v="0"/>
    <n v="134"/>
  </r>
  <r>
    <n v="61553617"/>
    <s v="N"/>
    <n v="21350158"/>
    <s v="3000015645220001"/>
    <s v="CIVIL"/>
    <d v="2023-06-20T00:00:00"/>
    <d v="2023-07-10T19:01:40"/>
    <m/>
    <d v="2023-07-10T00:00:00"/>
    <n v="16"/>
    <n v="14705"/>
    <s v="61553617"/>
    <s v="61553617"/>
    <m/>
    <m/>
    <n v="22725208"/>
    <m/>
    <m/>
    <m/>
    <s v="SOLFIN"/>
    <s v="SOLFIN"/>
    <s v="CCMS"/>
    <n v="21350158"/>
    <n v="562.24"/>
    <m/>
    <s v="N"/>
    <n v="2"/>
    <d v="2023-07-10T19:02:16"/>
    <s v="Y"/>
    <s v="Attendance upon other side"/>
    <s v="Prescribed Hourly Rates"/>
    <s v="Profit Cost"/>
    <s v="JP"/>
    <s v="Y"/>
    <n v="57.02"/>
    <n v="11.4"/>
    <x v="2"/>
    <s v="VALIDATED"/>
    <n v="1"/>
    <s v="01.11.80.307.6100.0000"/>
    <n v="57.02"/>
    <s v="11"/>
    <s v="6100"/>
    <n v="18695.16"/>
    <n v="57.02"/>
    <s v="CREDITOR"/>
    <n v="0"/>
    <n v="0"/>
    <n v="0"/>
    <n v="0"/>
    <n v="57.02"/>
  </r>
  <r>
    <n v="61530062"/>
    <s v="N"/>
    <n v="21323245"/>
    <s v="3000015649110006"/>
    <s v="CIVIL"/>
    <d v="2023-06-30T00:00:00"/>
    <d v="2023-07-03T19:05:56"/>
    <m/>
    <d v="2023-07-03T00:00:00"/>
    <n v="16"/>
    <n v="14705"/>
    <s v="61530062"/>
    <s v="61530062"/>
    <m/>
    <m/>
    <n v="22801152"/>
    <m/>
    <m/>
    <m/>
    <s v="SOLPOA"/>
    <s v="SOLPOA"/>
    <s v="CCMS"/>
    <n v="21323245"/>
    <n v="1896.02"/>
    <m/>
    <s v="N"/>
    <n v="1"/>
    <d v="2023-07-03T19:05:56"/>
    <s v="N"/>
    <s v="Solicitors Fixed Fee"/>
    <s v="Public Law Children"/>
    <s v="Profit Cost"/>
    <s v="CL"/>
    <s v="N"/>
    <n v="1580.02"/>
    <n v="316"/>
    <x v="3"/>
    <s v="VALIDATED"/>
    <n v="1"/>
    <s v="01.11.80.308.2012.0000"/>
    <n v="1580.02"/>
    <s v="11"/>
    <s v="2012"/>
    <n v="18695.16"/>
    <n v="1580.02"/>
    <s v="CREDITOR"/>
    <n v="1580.02"/>
    <n v="395.005"/>
    <n v="0"/>
    <n v="0"/>
    <n v="0"/>
  </r>
  <r>
    <n v="61553617"/>
    <s v="N"/>
    <n v="21350158"/>
    <s v="3000015645220001"/>
    <s v="CIVIL"/>
    <d v="2023-06-20T00:00:00"/>
    <d v="2023-07-10T19:01:40"/>
    <m/>
    <d v="2023-07-10T00:00:00"/>
    <n v="16"/>
    <n v="14705"/>
    <s v="61553617"/>
    <s v="61553617"/>
    <m/>
    <m/>
    <n v="22725208"/>
    <m/>
    <m/>
    <m/>
    <s v="SOLFIN"/>
    <s v="SOLFIN"/>
    <s v="CCMS"/>
    <n v="21350158"/>
    <n v="562.24"/>
    <m/>
    <s v="N"/>
    <n v="5"/>
    <d v="2023-07-10T19:02:16"/>
    <s v="Y"/>
    <s v="Preparation - other"/>
    <s v="Prescribed Hourly Rates"/>
    <s v="Profit Cost"/>
    <s v="DC"/>
    <s v="Y"/>
    <n v="11.88"/>
    <n v="2.38"/>
    <x v="2"/>
    <s v="VALIDATED"/>
    <n v="1"/>
    <s v="01.11.80.307.6100.0000"/>
    <n v="11.88"/>
    <s v="11"/>
    <s v="6100"/>
    <n v="18695.16"/>
    <n v="11.88"/>
    <s v="CREDITOR"/>
    <n v="0"/>
    <n v="0"/>
    <n v="0"/>
    <n v="0"/>
    <n v="11.88"/>
  </r>
  <r>
    <n v="61553617"/>
    <s v="N"/>
    <n v="21350158"/>
    <s v="3000015645220001"/>
    <s v="CIVIL"/>
    <d v="2023-06-20T00:00:00"/>
    <d v="2023-07-10T19:01:40"/>
    <m/>
    <d v="2023-07-10T00:00:00"/>
    <n v="16"/>
    <n v="14705"/>
    <s v="61553617"/>
    <s v="61553617"/>
    <m/>
    <m/>
    <n v="22725208"/>
    <m/>
    <m/>
    <m/>
    <s v="SOLFIN"/>
    <s v="SOLFIN"/>
    <s v="CCMS"/>
    <n v="21350158"/>
    <n v="562.24"/>
    <m/>
    <s v="N"/>
    <n v="9"/>
    <d v="2023-07-10T19:02:16"/>
    <s v="Y"/>
    <s v="Routine Letter In"/>
    <s v="Prescribed Hourly Rates"/>
    <s v="Profit Cost"/>
    <s v="JP"/>
    <s v="Y"/>
    <n v="52.79"/>
    <n v="10.56"/>
    <x v="2"/>
    <s v="VALIDATED"/>
    <n v="1"/>
    <s v="01.11.80.307.6100.0000"/>
    <n v="52.79"/>
    <s v="11"/>
    <s v="6100"/>
    <n v="18695.16"/>
    <n v="52.79"/>
    <s v="CREDITOR"/>
    <n v="0"/>
    <n v="0"/>
    <n v="0"/>
    <n v="0"/>
    <n v="52.79"/>
  </r>
  <r>
    <n v="45140555"/>
    <s v="N"/>
    <n v="21318682"/>
    <s v="3000011381450061"/>
    <s v="CIVIL"/>
    <d v="2023-06-23T00:00:00"/>
    <d v="2023-07-03T19:01:49"/>
    <m/>
    <d v="2023-07-03T00:00:00"/>
    <n v="16"/>
    <n v="14705"/>
    <s v="45140555"/>
    <s v="45140555"/>
    <m/>
    <m/>
    <n v="22752220"/>
    <m/>
    <m/>
    <m/>
    <s v="SOLPOA"/>
    <s v="SOLPOA"/>
    <s v="CCMS"/>
    <n v="21318682"/>
    <n v="25.4"/>
    <m/>
    <s v="N"/>
    <n v="1"/>
    <d v="2023-07-03T19:02:01"/>
    <s v="N"/>
    <s v="Non Expert Disbursement"/>
    <s v="Non Expert Disbursement"/>
    <s v="Non Expert Disbursement"/>
    <s v="Anna Gowen"/>
    <s v="N"/>
    <n v="25.4"/>
    <n v="0"/>
    <x v="3"/>
    <s v="VALIDATED"/>
    <n v="1"/>
    <s v="01.11.80.307.2012.0000"/>
    <n v="25.4"/>
    <s v="11"/>
    <s v="2012"/>
    <n v="18695.16"/>
    <n v="25.4"/>
    <s v="CREDITOR"/>
    <n v="25.4"/>
    <n v="0"/>
    <n v="0"/>
    <n v="0"/>
    <n v="0"/>
  </r>
  <r>
    <n v="61169666"/>
    <s v="N"/>
    <n v="21349918"/>
    <s v="3000015350060004"/>
    <s v="CIVIL"/>
    <d v="2023-06-29T00:00:00"/>
    <d v="2023-07-10T19:01:40"/>
    <m/>
    <d v="2023-07-10T00:00:00"/>
    <n v="16"/>
    <n v="14705"/>
    <s v="61169666"/>
    <s v="61169666"/>
    <m/>
    <m/>
    <n v="22792316"/>
    <m/>
    <m/>
    <m/>
    <s v="SOLFIN"/>
    <s v="SOLFIN"/>
    <s v="CCMS"/>
    <n v="21349918"/>
    <n v="6745.71"/>
    <m/>
    <s v="N"/>
    <n v="12"/>
    <d v="2023-07-10T19:02:03"/>
    <s v="Y"/>
    <s v="Final Hearing - 1 Day"/>
    <s v="Public Law Children"/>
    <s v="Advocacy"/>
    <s v="RD"/>
    <s v="Y"/>
    <n v="506.25"/>
    <n v="101.25"/>
    <x v="2"/>
    <s v="VALIDATED"/>
    <n v="1"/>
    <s v="01.11.80.308.6100.0000"/>
    <n v="506.25"/>
    <s v="11"/>
    <s v="6100"/>
    <n v="18695.16"/>
    <n v="506.25"/>
    <s v="CREDITOR"/>
    <n v="0"/>
    <n v="0"/>
    <n v="0"/>
    <n v="0"/>
    <n v="506.25"/>
  </r>
  <r>
    <n v="61784798"/>
    <s v="N"/>
    <n v="21323296"/>
    <s v="3000015860750002"/>
    <s v="CIVIL"/>
    <d v="2023-06-30T00:00:00"/>
    <d v="2023-07-03T19:05:56"/>
    <m/>
    <d v="2023-07-03T00:00:00"/>
    <n v="16"/>
    <n v="14705"/>
    <s v="61784798"/>
    <s v="61784798"/>
    <m/>
    <m/>
    <n v="22800966"/>
    <m/>
    <m/>
    <m/>
    <s v="SOLPOA"/>
    <s v="SOLPOA"/>
    <s v="CCMS"/>
    <n v="21323296"/>
    <n v="1224.73"/>
    <m/>
    <s v="N"/>
    <n v="1"/>
    <d v="2023-07-03T19:05:56"/>
    <s v="N"/>
    <s v="Solicitors Fixed Fee"/>
    <s v="Public Law Children"/>
    <s v="Profit Cost"/>
    <s v="RD"/>
    <s v="N"/>
    <n v="1020.61"/>
    <n v="204.12"/>
    <x v="3"/>
    <s v="VALIDATED"/>
    <n v="1"/>
    <s v="01.11.80.308.2012.0000"/>
    <n v="1020.61"/>
    <s v="11"/>
    <s v="2012"/>
    <n v="18695.16"/>
    <n v="1020.61"/>
    <s v="CREDITOR"/>
    <n v="1020.61"/>
    <n v="255.1525"/>
    <n v="0"/>
    <n v="0"/>
    <n v="0"/>
  </r>
  <r>
    <n v="61169666"/>
    <s v="N"/>
    <n v="21349918"/>
    <s v="3000015350060004"/>
    <s v="CIVIL"/>
    <d v="2023-06-29T00:00:00"/>
    <d v="2023-07-10T19:01:40"/>
    <m/>
    <d v="2023-07-10T00:00:00"/>
    <n v="16"/>
    <n v="14705"/>
    <s v="61169666"/>
    <s v="61169666"/>
    <m/>
    <m/>
    <n v="22792316"/>
    <m/>
    <m/>
    <m/>
    <s v="SOLFIN"/>
    <s v="SOLFIN"/>
    <s v="CCMS"/>
    <n v="21349918"/>
    <n v="6745.71"/>
    <m/>
    <s v="N"/>
    <n v="4"/>
    <d v="2023-07-10T19:02:03"/>
    <s v="Y"/>
    <s v="Advocates Meeting"/>
    <s v="Public Law Children"/>
    <s v="Advocacy"/>
    <s v="PP"/>
    <s v="Y"/>
    <n v="128.16"/>
    <n v="25.63"/>
    <x v="2"/>
    <s v="VALIDATED"/>
    <n v="1"/>
    <s v="01.11.80.308.6100.0000"/>
    <n v="128.16"/>
    <s v="11"/>
    <s v="6100"/>
    <n v="18695.16"/>
    <n v="128.16"/>
    <s v="CREDITOR"/>
    <n v="0"/>
    <n v="0"/>
    <n v="0"/>
    <n v="0"/>
    <n v="128.16"/>
  </r>
  <r>
    <n v="61520840"/>
    <s v="N"/>
    <n v="21321920"/>
    <s v="3000015638970005"/>
    <s v="CIVIL"/>
    <d v="2023-06-28T00:00:00"/>
    <d v="2023-07-03T19:05:17"/>
    <m/>
    <d v="2023-07-03T00:00:00"/>
    <n v="16"/>
    <n v="14705"/>
    <s v="61520840"/>
    <s v="61520840"/>
    <m/>
    <m/>
    <n v="22784084"/>
    <m/>
    <m/>
    <m/>
    <s v="SOLPOA"/>
    <s v="SOLPOA"/>
    <s v="CCMS"/>
    <n v="21321920"/>
    <n v="237.84"/>
    <m/>
    <s v="N"/>
    <n v="1"/>
    <d v="2023-07-03T19:05:21"/>
    <s v="N"/>
    <s v="Expert Cost"/>
    <s v="Expert Cost"/>
    <s v="Expert Disbursement"/>
    <s v="Samantha Cook"/>
    <s v="N"/>
    <n v="198.2"/>
    <n v="39.64"/>
    <x v="3"/>
    <s v="VALIDATED"/>
    <n v="1"/>
    <s v="01.11.80.308.2012.0000"/>
    <n v="198.2"/>
    <s v="11"/>
    <s v="2012"/>
    <n v="18695.16"/>
    <n v="198.2"/>
    <s v="CREDITOR"/>
    <n v="198.2"/>
    <n v="0"/>
    <n v="0"/>
    <n v="0"/>
    <n v="0"/>
  </r>
  <r>
    <n v="61938625"/>
    <s v="N"/>
    <n v="21337774"/>
    <s v="3000015990000007"/>
    <s v="CIVIL"/>
    <d v="2023-06-29T00:00:00"/>
    <d v="2023-07-06T19:21:01"/>
    <m/>
    <d v="2023-07-06T00:00:00"/>
    <n v="16"/>
    <n v="14705"/>
    <s v="61938625"/>
    <s v="61938625"/>
    <m/>
    <m/>
    <n v="22789268"/>
    <m/>
    <m/>
    <m/>
    <s v="SOLPOA"/>
    <s v="SOLPOA"/>
    <s v="CCMS"/>
    <n v="21337774"/>
    <n v="44"/>
    <m/>
    <s v="N"/>
    <n v="1"/>
    <d v="2023-07-06T19:21:08"/>
    <s v="N"/>
    <s v="Expert Cost"/>
    <s v="Expert Cost"/>
    <s v="Expert Disbursement"/>
    <s v="Rokeya Dangor"/>
    <s v="N"/>
    <n v="36.67"/>
    <n v="7.33"/>
    <x v="4"/>
    <s v="VALIDATED"/>
    <n v="1"/>
    <s v="01.11.80.308.2012.0000"/>
    <n v="36.67"/>
    <s v="11"/>
    <s v="2012"/>
    <n v="18695.16"/>
    <n v="36.67"/>
    <s v="CREDITOR"/>
    <n v="36.67"/>
    <n v="0"/>
    <n v="0"/>
    <n v="0"/>
    <n v="0"/>
  </r>
  <r>
    <n v="61169666"/>
    <s v="N"/>
    <n v="21349918"/>
    <s v="3000015350060004"/>
    <s v="CIVIL"/>
    <d v="2023-06-29T00:00:00"/>
    <d v="2023-07-10T19:01:40"/>
    <m/>
    <d v="2023-07-10T00:00:00"/>
    <n v="16"/>
    <n v="14705"/>
    <s v="61169666"/>
    <s v="61169666"/>
    <m/>
    <m/>
    <n v="22792316"/>
    <m/>
    <m/>
    <m/>
    <s v="SOLFIN"/>
    <s v="SOLFIN"/>
    <s v="CCMS"/>
    <n v="21349918"/>
    <n v="6745.71"/>
    <m/>
    <s v="N"/>
    <n v="13"/>
    <d v="2023-07-10T19:02:03"/>
    <s v="Y"/>
    <s v="Advocates Meeting"/>
    <s v="Public Law Children"/>
    <s v="Advocacy"/>
    <s v="PP"/>
    <s v="Y"/>
    <n v="128.16"/>
    <n v="25.63"/>
    <x v="2"/>
    <s v="VALIDATED"/>
    <n v="1"/>
    <s v="01.11.80.308.6100.0000"/>
    <n v="128.16"/>
    <s v="11"/>
    <s v="6100"/>
    <n v="18695.16"/>
    <n v="128.16"/>
    <s v="CREDITOR"/>
    <n v="0"/>
    <n v="0"/>
    <n v="0"/>
    <n v="0"/>
    <n v="128.16"/>
  </r>
  <r>
    <n v="61169666"/>
    <s v="N"/>
    <n v="21349918"/>
    <s v="3000015350060004"/>
    <s v="CIVIL"/>
    <d v="2023-06-29T00:00:00"/>
    <d v="2023-07-10T19:01:40"/>
    <m/>
    <d v="2023-07-10T00:00:00"/>
    <n v="16"/>
    <n v="14705"/>
    <s v="61169666"/>
    <s v="61169666"/>
    <m/>
    <m/>
    <n v="22792316"/>
    <m/>
    <m/>
    <m/>
    <s v="SOLFIN"/>
    <s v="SOLFIN"/>
    <s v="CCMS"/>
    <n v="21349918"/>
    <n v="6745.71"/>
    <m/>
    <s v="N"/>
    <n v="3"/>
    <d v="2023-07-10T19:02:03"/>
    <s v="Y"/>
    <s v="Hearing Unit 2.31 - 5.00 Hours"/>
    <s v="Public Law Children"/>
    <s v="Advocacy"/>
    <s v="JB"/>
    <s v="Y"/>
    <n v="433.62"/>
    <n v="86.72"/>
    <x v="2"/>
    <s v="VALIDATED"/>
    <n v="1"/>
    <s v="01.11.80.308.6100.0000"/>
    <n v="433.62"/>
    <s v="11"/>
    <s v="6100"/>
    <n v="18695.16"/>
    <n v="433.62"/>
    <s v="CREDITOR"/>
    <n v="0"/>
    <n v="0"/>
    <n v="0"/>
    <n v="0"/>
    <n v="433.62"/>
  </r>
  <r>
    <n v="45140555"/>
    <s v="N"/>
    <n v="21318433"/>
    <s v="3000011381450060"/>
    <s v="CIVIL"/>
    <d v="2023-06-23T00:00:00"/>
    <d v="2023-07-03T19:01:49"/>
    <m/>
    <d v="2023-07-03T00:00:00"/>
    <n v="16"/>
    <n v="14705"/>
    <s v="45140555"/>
    <s v="45140555"/>
    <m/>
    <m/>
    <n v="22752160"/>
    <m/>
    <m/>
    <m/>
    <s v="SOLPOA"/>
    <s v="SOLPOA"/>
    <s v="CCMS"/>
    <n v="21318433"/>
    <n v="83.63"/>
    <m/>
    <s v="N"/>
    <n v="1"/>
    <d v="2023-07-03T19:01:55"/>
    <s v="N"/>
    <s v="Non Expert Disbursement"/>
    <s v="Non Expert Disbursement"/>
    <s v="Non Expert Disbursement"/>
    <s v="Anna Gowen"/>
    <s v="N"/>
    <n v="69.69"/>
    <n v="13.94"/>
    <x v="3"/>
    <s v="VALIDATED"/>
    <n v="1"/>
    <s v="01.11.80.307.2012.0000"/>
    <n v="69.69"/>
    <s v="11"/>
    <s v="2012"/>
    <n v="18695.16"/>
    <n v="69.69"/>
    <s v="CREDITOR"/>
    <n v="69.69"/>
    <n v="0"/>
    <n v="0"/>
    <n v="0"/>
    <n v="0"/>
  </r>
  <r>
    <n v="61169666"/>
    <s v="N"/>
    <n v="21349918"/>
    <s v="3000015350060004"/>
    <s v="CIVIL"/>
    <d v="2023-06-29T00:00:00"/>
    <d v="2023-07-10T19:01:40"/>
    <m/>
    <d v="2023-07-10T00:00:00"/>
    <n v="16"/>
    <n v="14705"/>
    <s v="61169666"/>
    <s v="61169666"/>
    <m/>
    <m/>
    <n v="22792316"/>
    <m/>
    <m/>
    <m/>
    <s v="SOLFIN"/>
    <s v="SOLFIN"/>
    <s v="CCMS"/>
    <n v="21349918"/>
    <n v="6745.71"/>
    <m/>
    <s v="N"/>
    <n v="14"/>
    <d v="2023-07-10T19:02:03"/>
    <s v="Y"/>
    <s v="Solicitors Fixed Fee"/>
    <s v="Public Law Children"/>
    <s v="Profit Cost"/>
    <s v="PP"/>
    <s v="Y"/>
    <n v="2013"/>
    <n v="402.6"/>
    <x v="2"/>
    <s v="VALIDATED"/>
    <n v="1"/>
    <s v="01.11.80.308.6100.0000"/>
    <n v="2013"/>
    <s v="11"/>
    <s v="6100"/>
    <n v="18695.16"/>
    <n v="2013"/>
    <s v="CREDITOR"/>
    <n v="0"/>
    <n v="0"/>
    <n v="0"/>
    <n v="0"/>
    <n v="2013"/>
  </r>
  <r>
    <n v="61553617"/>
    <s v="N"/>
    <n v="21350158"/>
    <s v="3000015645220001"/>
    <s v="CIVIL"/>
    <d v="2023-06-20T00:00:00"/>
    <d v="2023-07-10T19:01:40"/>
    <m/>
    <d v="2023-07-10T00:00:00"/>
    <n v="16"/>
    <n v="14705"/>
    <s v="61553617"/>
    <s v="61553617"/>
    <m/>
    <m/>
    <n v="22725208"/>
    <m/>
    <m/>
    <m/>
    <s v="SOLFIN"/>
    <s v="SOLFIN"/>
    <s v="CCMS"/>
    <n v="21350158"/>
    <n v="562.24"/>
    <m/>
    <s v="N"/>
    <n v="1"/>
    <d v="2023-07-10T19:02:16"/>
    <s v="Y"/>
    <s v="Preparation - drafting application"/>
    <s v="Prescribed Hourly Rates"/>
    <s v="Profit Cost"/>
    <s v="CY"/>
    <s v="Y"/>
    <n v="35.64"/>
    <n v="7.13"/>
    <x v="2"/>
    <s v="VALIDATED"/>
    <n v="1"/>
    <s v="01.11.80.307.6100.0000"/>
    <n v="35.64"/>
    <s v="11"/>
    <s v="6100"/>
    <n v="18695.16"/>
    <n v="35.64"/>
    <s v="CREDITOR"/>
    <n v="0"/>
    <n v="0"/>
    <n v="0"/>
    <n v="0"/>
    <n v="35.64"/>
  </r>
  <r>
    <n v="61169666"/>
    <s v="N"/>
    <n v="21349918"/>
    <s v="3000015350060004"/>
    <s v="CIVIL"/>
    <d v="2023-06-29T00:00:00"/>
    <d v="2023-07-10T19:01:40"/>
    <m/>
    <d v="2023-07-10T00:00:00"/>
    <n v="16"/>
    <n v="14705"/>
    <s v="61169666"/>
    <s v="61169666"/>
    <m/>
    <m/>
    <n v="22792316"/>
    <m/>
    <m/>
    <m/>
    <s v="SOLFIN"/>
    <s v="SOLFIN"/>
    <s v="CCMS"/>
    <n v="21349918"/>
    <n v="6745.71"/>
    <m/>
    <s v="N"/>
    <n v="10"/>
    <d v="2023-07-10T19:02:03"/>
    <s v="Y"/>
    <s v="Advocates Meeting"/>
    <s v="Public Law Children"/>
    <s v="Advocacy"/>
    <s v="JB"/>
    <s v="Y"/>
    <n v="128.16"/>
    <n v="25.63"/>
    <x v="2"/>
    <s v="VALIDATED"/>
    <n v="1"/>
    <s v="01.11.80.308.6100.0000"/>
    <n v="128.16"/>
    <s v="11"/>
    <s v="6100"/>
    <n v="18695.16"/>
    <n v="128.16"/>
    <s v="CREDITOR"/>
    <n v="0"/>
    <n v="0"/>
    <n v="0"/>
    <n v="0"/>
    <n v="128.16"/>
  </r>
  <r>
    <n v="61169666"/>
    <s v="N"/>
    <n v="21349918"/>
    <s v="3000015350060004"/>
    <s v="CIVIL"/>
    <d v="2023-06-29T00:00:00"/>
    <d v="2023-07-10T19:01:40"/>
    <m/>
    <d v="2023-07-10T00:00:00"/>
    <n v="16"/>
    <n v="14705"/>
    <s v="61169666"/>
    <s v="61169666"/>
    <m/>
    <m/>
    <n v="22792316"/>
    <m/>
    <m/>
    <m/>
    <s v="SOLFIN"/>
    <s v="SOLFIN"/>
    <s v="CCMS"/>
    <n v="21349918"/>
    <n v="6745.71"/>
    <m/>
    <s v="N"/>
    <n v="11"/>
    <d v="2023-07-10T19:02:03"/>
    <s v="Y"/>
    <s v="Hearing Unit 2.31 - 5.00 Hours"/>
    <s v="Public Law Children"/>
    <s v="Advocacy"/>
    <s v="PP"/>
    <s v="Y"/>
    <n v="433.62"/>
    <n v="86.72"/>
    <x v="2"/>
    <s v="VALIDATED"/>
    <n v="1"/>
    <s v="01.11.80.308.6100.0000"/>
    <n v="433.62"/>
    <s v="11"/>
    <s v="6100"/>
    <n v="18695.16"/>
    <n v="433.62"/>
    <s v="CREDITOR"/>
    <n v="0"/>
    <n v="0"/>
    <n v="0"/>
    <n v="0"/>
    <n v="433.62"/>
  </r>
  <r>
    <n v="61553617"/>
    <s v="N"/>
    <n v="21350158"/>
    <s v="3000015645220001"/>
    <s v="CIVIL"/>
    <d v="2023-06-20T00:00:00"/>
    <d v="2023-07-10T19:01:40"/>
    <m/>
    <d v="2023-07-10T00:00:00"/>
    <n v="16"/>
    <n v="14705"/>
    <s v="61553617"/>
    <s v="61553617"/>
    <m/>
    <m/>
    <n v="22725208"/>
    <m/>
    <m/>
    <m/>
    <s v="SOLFIN"/>
    <s v="SOLFIN"/>
    <s v="CCMS"/>
    <n v="21350158"/>
    <n v="562.24"/>
    <m/>
    <s v="N"/>
    <n v="8"/>
    <d v="2023-07-10T19:02:16"/>
    <s v="Y"/>
    <s v="Routine Letter Out"/>
    <s v="Prescribed Hourly Rates"/>
    <s v="Profit Cost"/>
    <s v="CY"/>
    <s v="Y"/>
    <n v="27"/>
    <n v="5.4"/>
    <x v="2"/>
    <s v="VALIDATED"/>
    <n v="1"/>
    <s v="01.11.80.307.6100.0000"/>
    <n v="27"/>
    <s v="11"/>
    <s v="6100"/>
    <n v="18695.16"/>
    <n v="27"/>
    <s v="CREDITOR"/>
    <n v="0"/>
    <n v="0"/>
    <n v="0"/>
    <n v="0"/>
    <n v="27"/>
  </r>
  <r>
    <n v="61169666"/>
    <s v="N"/>
    <n v="21349918"/>
    <s v="3000015350060004"/>
    <s v="CIVIL"/>
    <d v="2023-06-29T00:00:00"/>
    <d v="2023-07-10T19:01:40"/>
    <m/>
    <d v="2023-07-10T00:00:00"/>
    <n v="16"/>
    <n v="14705"/>
    <s v="61169666"/>
    <s v="61169666"/>
    <m/>
    <m/>
    <n v="22792316"/>
    <m/>
    <m/>
    <m/>
    <s v="SOLFIN"/>
    <s v="SOLFIN"/>
    <s v="CCMS"/>
    <n v="21349918"/>
    <n v="6745.71"/>
    <m/>
    <s v="N"/>
    <n v="5"/>
    <d v="2023-07-10T19:02:03"/>
    <s v="Y"/>
    <s v="Hearing Unit 2.31 - 5.00 Hours"/>
    <s v="Public Law Children"/>
    <s v="Advocacy"/>
    <s v="JP"/>
    <s v="Y"/>
    <n v="433.62"/>
    <n v="86.72"/>
    <x v="2"/>
    <s v="VALIDATED"/>
    <n v="1"/>
    <s v="01.11.80.308.6100.0000"/>
    <n v="433.62"/>
    <s v="11"/>
    <s v="6100"/>
    <n v="18695.16"/>
    <n v="433.62"/>
    <s v="CREDITOR"/>
    <n v="0"/>
    <n v="0"/>
    <n v="0"/>
    <n v="0"/>
    <n v="433.62"/>
  </r>
  <r>
    <n v="61553617"/>
    <s v="N"/>
    <n v="21350158"/>
    <s v="3000015645220001"/>
    <s v="CIVIL"/>
    <d v="2023-06-20T00:00:00"/>
    <d v="2023-07-10T19:01:40"/>
    <m/>
    <d v="2023-07-10T00:00:00"/>
    <n v="16"/>
    <n v="14705"/>
    <s v="61553617"/>
    <s v="61553617"/>
    <m/>
    <m/>
    <n v="22725208"/>
    <m/>
    <m/>
    <m/>
    <s v="SOLFIN"/>
    <s v="SOLFIN"/>
    <s v="CCMS"/>
    <n v="21350158"/>
    <n v="562.24"/>
    <m/>
    <s v="N"/>
    <n v="3"/>
    <d v="2023-07-10T19:02:16"/>
    <s v="Y"/>
    <s v="Advocacy - Final Hearing"/>
    <s v="Prescribed Hourly Rates"/>
    <s v="Advocacy"/>
    <s v="JP"/>
    <s v="Y"/>
    <n v="35.64"/>
    <n v="7.13"/>
    <x v="2"/>
    <s v="VALIDATED"/>
    <n v="1"/>
    <s v="01.11.80.307.6100.0000"/>
    <n v="35.64"/>
    <s v="11"/>
    <s v="6100"/>
    <n v="18695.16"/>
    <n v="35.64"/>
    <s v="CREDITOR"/>
    <n v="0"/>
    <n v="0"/>
    <n v="0"/>
    <n v="0"/>
    <n v="35.64"/>
  </r>
  <r>
    <n v="62102986"/>
    <s v="N"/>
    <n v="21323310"/>
    <s v="3000016129370001"/>
    <s v="CIVIL"/>
    <d v="2023-06-30T00:00:00"/>
    <d v="2023-07-03T19:05:56"/>
    <m/>
    <d v="2023-07-03T00:00:00"/>
    <n v="16"/>
    <n v="14705"/>
    <s v="62102986"/>
    <s v="62102986"/>
    <m/>
    <m/>
    <n v="22800800"/>
    <m/>
    <m/>
    <m/>
    <s v="SOLPOA"/>
    <s v="SOLPOA"/>
    <s v="CCMS"/>
    <n v="21323310"/>
    <n v="5943.43"/>
    <m/>
    <s v="N"/>
    <n v="1"/>
    <d v="2023-07-03T19:05:56"/>
    <s v="N"/>
    <s v="Solicitors Fixed Fee"/>
    <s v="Public Law Children"/>
    <s v="Profit Cost"/>
    <s v="RD"/>
    <s v="N"/>
    <n v="4952.86"/>
    <n v="990.5700000000001"/>
    <x v="3"/>
    <s v="VALIDATED"/>
    <n v="1"/>
    <s v="01.11.80.308.2012.0000"/>
    <n v="4952.86"/>
    <s v="11"/>
    <s v="2012"/>
    <n v="18695.16"/>
    <n v="4952.86"/>
    <s v="CREDITOR"/>
    <n v="4952.86"/>
    <n v="1238.215"/>
    <n v="0"/>
    <n v="0"/>
    <n v="0"/>
  </r>
  <r>
    <n v="61169666"/>
    <s v="N"/>
    <n v="21349918"/>
    <s v="3000015350060004"/>
    <s v="CIVIL"/>
    <d v="2023-06-29T00:00:00"/>
    <d v="2023-07-10T19:01:40"/>
    <m/>
    <d v="2023-07-10T00:00:00"/>
    <n v="16"/>
    <n v="14705"/>
    <s v="61169666"/>
    <s v="61169666"/>
    <m/>
    <m/>
    <n v="22792316"/>
    <m/>
    <m/>
    <m/>
    <s v="SOLFIN"/>
    <s v="SOLFIN"/>
    <s v="CCMS"/>
    <n v="21349918"/>
    <n v="6745.71"/>
    <m/>
    <s v="N"/>
    <n v="1"/>
    <d v="2023-07-10T19:02:03"/>
    <s v="Y"/>
    <s v="Final Hearing Court Bundle/Advocate"/>
    <s v="Public Law Children"/>
    <s v="Advocacy"/>
    <s v="RD"/>
    <s v="Y"/>
    <n v="159.3"/>
    <n v="31.86"/>
    <x v="2"/>
    <s v="VALIDATED"/>
    <n v="1"/>
    <s v="01.11.80.308.6100.0000"/>
    <n v="159.3"/>
    <s v="11"/>
    <s v="6100"/>
    <n v="18695.16"/>
    <n v="159.3"/>
    <s v="CREDITOR"/>
    <n v="0"/>
    <n v="0"/>
    <n v="0"/>
    <n v="0"/>
    <n v="159.3"/>
  </r>
  <r>
    <n v="61169666"/>
    <s v="N"/>
    <n v="21356230"/>
    <s v="3000015350060003RC"/>
    <s v="CIVIL"/>
    <d v="2023-06-29T00:00:00"/>
    <d v="2023-07-10T19:47:44"/>
    <m/>
    <d v="2023-07-10T00:00:00"/>
    <n v="16"/>
    <n v="14705"/>
    <s v="61169666"/>
    <s v="61169666"/>
    <m/>
    <m/>
    <m/>
    <m/>
    <m/>
    <m/>
    <s v="SOLRECOUP"/>
    <s v="SOLRECOUP"/>
    <s v="POARECOUP"/>
    <n v="21356230"/>
    <n v="-1703.02"/>
    <m/>
    <s v="Y"/>
    <n v="2"/>
    <d v="2023-07-10T19:47:44"/>
    <s v="N"/>
    <m/>
    <m/>
    <s v="Profit Cost"/>
    <m/>
    <s v="N"/>
    <n v="0"/>
    <n v="-283.84"/>
    <x v="2"/>
    <s v="VALIDATED"/>
    <n v="1"/>
    <s v="01.11.80.308.2013.0000"/>
    <n v="-283.84"/>
    <s v="11"/>
    <s v="2013"/>
    <n v="18695.16"/>
    <n v="-283.84"/>
    <s v="CREDITOR"/>
    <n v="0"/>
    <n v="0"/>
    <n v="-283.84"/>
    <n v="-70.95999999999999"/>
    <n v="0"/>
  </r>
  <r>
    <n v="61186230"/>
    <s v="N"/>
    <n v="21339834"/>
    <s v="3000015353750002RC"/>
    <s v="CIVIL"/>
    <d v="2023-06-28T00:00:00"/>
    <d v="2023-07-06T19:54:22"/>
    <m/>
    <d v="2023-07-06T00:00:00"/>
    <n v="48"/>
    <n v="15651"/>
    <s v="61186230"/>
    <s v="61186230"/>
    <m/>
    <m/>
    <m/>
    <m/>
    <m/>
    <m/>
    <s v="SOLRECOUP"/>
    <s v="SOLRECOUP"/>
    <s v="POARECOUP"/>
    <n v="21339834"/>
    <n v="-194"/>
    <m/>
    <s v="Y"/>
    <n v="2"/>
    <d v="2023-07-06T19:54:22"/>
    <s v="N"/>
    <m/>
    <m/>
    <s v="Expert Disbursement"/>
    <m/>
    <s v="N"/>
    <n v="0"/>
    <n v="-32.33"/>
    <x v="4"/>
    <s v="VALIDATED"/>
    <n v="1"/>
    <s v="01.11.80.308.2013.0000"/>
    <n v="-32.33"/>
    <s v="11"/>
    <s v="2013"/>
    <n v="4256.59"/>
    <n v="-32.33"/>
    <s v="CREDITOR"/>
    <n v="0"/>
    <n v="0"/>
    <n v="-32.33"/>
    <n v="0"/>
    <n v="0"/>
  </r>
  <r>
    <n v="60883990"/>
    <s v="N"/>
    <n v="21349434"/>
    <s v="3000015107500015"/>
    <s v="CIVIL"/>
    <d v="2023-06-30T00:00:00"/>
    <d v="2023-07-10T19:01:40"/>
    <m/>
    <d v="2023-07-10T00:00:00"/>
    <n v="48"/>
    <n v="15651"/>
    <s v="60883990"/>
    <s v="60883990"/>
    <m/>
    <m/>
    <n v="22798786"/>
    <m/>
    <m/>
    <m/>
    <s v="SOLPOA"/>
    <s v="SOLPOA"/>
    <s v="CCMS"/>
    <n v="21349434"/>
    <n v="108.9"/>
    <m/>
    <s v="N"/>
    <n v="1"/>
    <d v="2023-07-10T19:01:50"/>
    <s v="N"/>
    <s v="Expert Cost"/>
    <s v="Expert Cost"/>
    <s v="Expert Disbursement"/>
    <s v="LP"/>
    <s v="N"/>
    <n v="90.75"/>
    <n v="18.15"/>
    <x v="2"/>
    <s v="VALIDATED"/>
    <n v="1"/>
    <s v="01.11.80.308.2012.0000"/>
    <n v="90.75"/>
    <s v="11"/>
    <s v="2012"/>
    <n v="4256.59"/>
    <n v="90.75"/>
    <s v="CREDITOR"/>
    <n v="90.75"/>
    <n v="0"/>
    <n v="0"/>
    <n v="0"/>
    <n v="0"/>
  </r>
  <r>
    <n v="61186230"/>
    <s v="N"/>
    <n v="21339835"/>
    <s v="3000015353750003RC"/>
    <s v="CIVIL"/>
    <d v="2023-06-28T00:00:00"/>
    <d v="2023-07-06T19:54:22"/>
    <m/>
    <d v="2023-07-06T00:00:00"/>
    <n v="48"/>
    <n v="15651"/>
    <s v="61186230"/>
    <s v="61186230"/>
    <m/>
    <m/>
    <m/>
    <m/>
    <m/>
    <m/>
    <s v="SOLRECOUP"/>
    <s v="SOLRECOUP"/>
    <s v="POARECOUP"/>
    <n v="21339835"/>
    <n v="-194"/>
    <m/>
    <s v="Y"/>
    <n v="1"/>
    <d v="2023-07-06T19:54:22"/>
    <s v="N"/>
    <m/>
    <m/>
    <s v="Expert Disbursement"/>
    <m/>
    <s v="N"/>
    <n v="-161.67"/>
    <n v="0"/>
    <x v="4"/>
    <s v="VALIDATED"/>
    <n v="1"/>
    <s v="01.11.80.308.2013.0000"/>
    <n v="-161.67"/>
    <s v="11"/>
    <s v="2013"/>
    <n v="4256.59"/>
    <n v="-161.67"/>
    <s v="CREDITOR"/>
    <n v="0"/>
    <n v="0"/>
    <n v="-161.67"/>
    <n v="0"/>
    <n v="0"/>
  </r>
  <r>
    <n v="61186230"/>
    <s v="N"/>
    <n v="21339835"/>
    <s v="3000015353750003RC"/>
    <s v="CIVIL"/>
    <d v="2023-06-28T00:00:00"/>
    <d v="2023-07-06T19:54:22"/>
    <m/>
    <d v="2023-07-06T00:00:00"/>
    <n v="48"/>
    <n v="15651"/>
    <s v="61186230"/>
    <s v="61186230"/>
    <m/>
    <m/>
    <m/>
    <m/>
    <m/>
    <m/>
    <s v="SOLRECOUP"/>
    <s v="SOLRECOUP"/>
    <s v="POARECOUP"/>
    <n v="21339835"/>
    <n v="-194"/>
    <m/>
    <s v="Y"/>
    <n v="2"/>
    <d v="2023-07-06T19:54:22"/>
    <s v="N"/>
    <m/>
    <m/>
    <s v="Expert Disbursement"/>
    <m/>
    <s v="N"/>
    <n v="0"/>
    <n v="-32.33"/>
    <x v="4"/>
    <s v="VALIDATED"/>
    <n v="1"/>
    <s v="01.11.80.308.2013.0000"/>
    <n v="-32.33"/>
    <s v="11"/>
    <s v="2013"/>
    <n v="4256.59"/>
    <n v="-32.33"/>
    <s v="CREDITOR"/>
    <n v="0"/>
    <n v="0"/>
    <n v="-32.33"/>
    <n v="0"/>
    <n v="0"/>
  </r>
  <r>
    <n v="61186230"/>
    <s v="N"/>
    <n v="21339836"/>
    <s v="3000015353750005RC"/>
    <s v="CIVIL"/>
    <d v="2023-06-28T00:00:00"/>
    <d v="2023-07-06T19:54:22"/>
    <m/>
    <d v="2023-07-06T00:00:00"/>
    <n v="48"/>
    <n v="15651"/>
    <s v="61186230"/>
    <s v="61186230"/>
    <m/>
    <m/>
    <m/>
    <m/>
    <m/>
    <m/>
    <s v="SOLRECOUP"/>
    <s v="SOLRECOUP"/>
    <s v="POARECOUP"/>
    <n v="21339836"/>
    <n v="-118"/>
    <m/>
    <s v="Y"/>
    <n v="2"/>
    <d v="2023-07-06T19:54:22"/>
    <s v="N"/>
    <m/>
    <m/>
    <s v="Expert Disbursement"/>
    <m/>
    <s v="N"/>
    <n v="0"/>
    <n v="-19.67"/>
    <x v="4"/>
    <s v="VALIDATED"/>
    <n v="1"/>
    <s v="01.11.80.308.2013.0000"/>
    <n v="-19.67"/>
    <s v="11"/>
    <s v="2013"/>
    <n v="4256.59"/>
    <n v="-19.67"/>
    <s v="CREDITOR"/>
    <n v="0"/>
    <n v="0"/>
    <n v="-19.67"/>
    <n v="0"/>
    <n v="0"/>
  </r>
  <r>
    <n v="61186230"/>
    <s v="N"/>
    <n v="21339836"/>
    <s v="3000015353750005RC"/>
    <s v="CIVIL"/>
    <d v="2023-06-28T00:00:00"/>
    <d v="2023-07-06T19:54:22"/>
    <m/>
    <d v="2023-07-06T00:00:00"/>
    <n v="48"/>
    <n v="15651"/>
    <s v="61186230"/>
    <s v="61186230"/>
    <m/>
    <m/>
    <m/>
    <m/>
    <m/>
    <m/>
    <s v="SOLRECOUP"/>
    <s v="SOLRECOUP"/>
    <s v="POARECOUP"/>
    <n v="21339836"/>
    <n v="-118"/>
    <m/>
    <s v="Y"/>
    <n v="1"/>
    <d v="2023-07-06T19:54:22"/>
    <s v="N"/>
    <m/>
    <m/>
    <s v="Expert Disbursement"/>
    <m/>
    <s v="N"/>
    <n v="-98.33"/>
    <n v="0"/>
    <x v="4"/>
    <s v="VALIDATED"/>
    <n v="1"/>
    <s v="01.11.80.308.2013.0000"/>
    <n v="-98.33"/>
    <s v="11"/>
    <s v="2013"/>
    <n v="4256.59"/>
    <n v="-98.33"/>
    <s v="CREDITOR"/>
    <n v="0"/>
    <n v="0"/>
    <n v="-98.33"/>
    <n v="0"/>
    <n v="0"/>
  </r>
  <r>
    <n v="61164010"/>
    <s v="N"/>
    <n v="21323604"/>
    <s v="3000015345430011"/>
    <s v="CIVIL"/>
    <d v="2023-06-30T00:00:00"/>
    <d v="2023-07-03T19:05:56"/>
    <m/>
    <d v="2023-07-03T00:00:00"/>
    <n v="48"/>
    <n v="15651"/>
    <s v="61164010"/>
    <s v="61164010"/>
    <m/>
    <m/>
    <n v="22798536"/>
    <m/>
    <m/>
    <m/>
    <s v="SOLPOA"/>
    <s v="SOLPOA"/>
    <s v="CCMS"/>
    <n v="21323604"/>
    <n v="657.6799999999999"/>
    <m/>
    <s v="N"/>
    <n v="1"/>
    <d v="2023-07-03T19:05:58"/>
    <s v="N"/>
    <s v="Expert Cost"/>
    <s v="Expert Cost"/>
    <s v="Expert Disbursement"/>
    <s v="SS"/>
    <s v="N"/>
    <n v="548.0700000000001"/>
    <n v="109.61"/>
    <x v="3"/>
    <s v="VALIDATED"/>
    <n v="1"/>
    <s v="01.11.80.308.2012.0000"/>
    <n v="548.0700000000001"/>
    <s v="11"/>
    <s v="2012"/>
    <n v="4256.59"/>
    <n v="548.0700000000001"/>
    <s v="CREDITOR"/>
    <n v="548.0700000000001"/>
    <n v="0"/>
    <n v="0"/>
    <n v="0"/>
    <n v="0"/>
  </r>
  <r>
    <n v="59846602"/>
    <s v="N"/>
    <n v="21322603"/>
    <s v="3000014189440027"/>
    <s v="CIVIL"/>
    <d v="2023-06-29T00:00:00"/>
    <d v="2023-07-03T19:05:36"/>
    <m/>
    <d v="2023-07-03T00:00:00"/>
    <n v="48"/>
    <n v="15651"/>
    <s v="59846602"/>
    <s v="59846602"/>
    <m/>
    <m/>
    <n v="22789558"/>
    <m/>
    <m/>
    <m/>
    <s v="SOLPOA"/>
    <s v="SOLPOA"/>
    <s v="CCMS"/>
    <n v="21322603"/>
    <n v="33.6"/>
    <m/>
    <s v="N"/>
    <n v="1"/>
    <d v="2023-07-03T19:05:39"/>
    <s v="N"/>
    <s v="Expert Cost"/>
    <s v="Expert Cost"/>
    <s v="Expert Disbursement"/>
    <s v="SS"/>
    <s v="N"/>
    <n v="28"/>
    <n v="5.6"/>
    <x v="3"/>
    <s v="VALIDATED"/>
    <n v="1"/>
    <s v="01.11.80.308.2012.0000"/>
    <n v="28"/>
    <s v="11"/>
    <s v="2012"/>
    <n v="4256.59"/>
    <n v="28"/>
    <s v="CREDITOR"/>
    <n v="28"/>
    <n v="0"/>
    <n v="0"/>
    <n v="0"/>
    <n v="0"/>
  </r>
  <r>
    <n v="62155815"/>
    <s v="N"/>
    <n v="21322572"/>
    <s v="3000016172660002"/>
    <s v="CIVIL"/>
    <d v="2023-06-29T00:00:00"/>
    <d v="2023-07-03T19:05:36"/>
    <m/>
    <d v="2023-07-03T00:00:00"/>
    <n v="48"/>
    <n v="15651"/>
    <s v="62155815"/>
    <s v="62155815"/>
    <m/>
    <m/>
    <n v="22789710"/>
    <m/>
    <m/>
    <m/>
    <s v="SOLPOA"/>
    <s v="SOLPOA"/>
    <s v="CCMS"/>
    <n v="21322572"/>
    <n v="199.12"/>
    <m/>
    <s v="N"/>
    <n v="1"/>
    <d v="2023-07-03T19:05:38"/>
    <s v="N"/>
    <s v="Expert Cost"/>
    <s v="Expert Cost"/>
    <s v="Expert Disbursement"/>
    <s v="SS"/>
    <s v="N"/>
    <n v="165.93"/>
    <n v="33.19"/>
    <x v="3"/>
    <s v="VALIDATED"/>
    <n v="1"/>
    <s v="01.11.80.308.2012.0000"/>
    <n v="165.93"/>
    <s v="11"/>
    <s v="2012"/>
    <n v="4256.59"/>
    <n v="165.93"/>
    <s v="CREDITOR"/>
    <n v="165.93"/>
    <n v="0"/>
    <n v="0"/>
    <n v="0"/>
    <n v="0"/>
  </r>
  <r>
    <n v="61186230"/>
    <s v="N"/>
    <n v="21338286"/>
    <s v="3000015353750006"/>
    <s v="CIVIL"/>
    <d v="2023-06-28T00:00:00"/>
    <d v="2023-07-06T19:21:01"/>
    <m/>
    <d v="2023-07-06T00:00:00"/>
    <n v="48"/>
    <n v="15651"/>
    <s v="61186230"/>
    <s v="61186230"/>
    <m/>
    <m/>
    <n v="22777428"/>
    <m/>
    <m/>
    <m/>
    <s v="SOLFIN"/>
    <s v="SOLFIN"/>
    <s v="CCMS"/>
    <n v="21338286"/>
    <n v="4673.81"/>
    <m/>
    <s v="N"/>
    <n v="3"/>
    <d v="2023-07-06T19:21:17"/>
    <s v="Y"/>
    <s v="Toxicologist"/>
    <s v="Public Law Children"/>
    <s v="Expert Disbursement"/>
    <s v="LR"/>
    <s v="Y"/>
    <n v="161.67"/>
    <n v="32.33"/>
    <x v="4"/>
    <s v="VALIDATED"/>
    <n v="1"/>
    <s v="01.11.80.308.6300.0000"/>
    <n v="161.67"/>
    <s v="11"/>
    <s v="6300"/>
    <n v="4256.59"/>
    <n v="161.67"/>
    <s v="CREDITOR"/>
    <n v="0"/>
    <n v="0"/>
    <n v="0"/>
    <n v="0"/>
    <n v="161.67"/>
  </r>
  <r>
    <n v="61186230"/>
    <s v="N"/>
    <n v="21338286"/>
    <s v="3000015353750006"/>
    <s v="CIVIL"/>
    <d v="2023-06-28T00:00:00"/>
    <d v="2023-07-06T19:21:01"/>
    <m/>
    <d v="2023-07-06T00:00:00"/>
    <n v="48"/>
    <n v="15651"/>
    <s v="61186230"/>
    <s v="61186230"/>
    <m/>
    <m/>
    <n v="22777428"/>
    <m/>
    <m/>
    <m/>
    <s v="SOLFIN"/>
    <s v="SOLFIN"/>
    <s v="CCMS"/>
    <n v="21338286"/>
    <n v="4673.81"/>
    <m/>
    <s v="N"/>
    <n v="6"/>
    <d v="2023-07-06T19:21:17"/>
    <s v="Y"/>
    <s v="Final Hearing - 1 Day"/>
    <s v="Public Law Children"/>
    <s v="Advocacy"/>
    <s v="PGM"/>
    <s v="Y"/>
    <n v="556.88"/>
    <n v="111.38"/>
    <x v="4"/>
    <s v="VALIDATED"/>
    <n v="1"/>
    <s v="01.11.80.308.6100.0000"/>
    <n v="556.88"/>
    <s v="11"/>
    <s v="6100"/>
    <n v="4256.59"/>
    <n v="556.88"/>
    <s v="CREDITOR"/>
    <n v="0"/>
    <n v="0"/>
    <n v="0"/>
    <n v="0"/>
    <n v="556.88"/>
  </r>
  <r>
    <n v="61186230"/>
    <s v="N"/>
    <n v="21338286"/>
    <s v="3000015353750006"/>
    <s v="CIVIL"/>
    <d v="2023-06-28T00:00:00"/>
    <d v="2023-07-06T19:21:01"/>
    <m/>
    <d v="2023-07-06T00:00:00"/>
    <n v="48"/>
    <n v="15651"/>
    <s v="61186230"/>
    <s v="61186230"/>
    <m/>
    <m/>
    <n v="22777428"/>
    <m/>
    <m/>
    <m/>
    <s v="SOLFIN"/>
    <s v="SOLFIN"/>
    <s v="CCMS"/>
    <n v="21338286"/>
    <n v="4673.81"/>
    <m/>
    <s v="N"/>
    <n v="4"/>
    <d v="2023-07-06T19:21:17"/>
    <s v="Y"/>
    <s v="Toxicologist"/>
    <s v="Public Law Children"/>
    <s v="Expert Disbursement"/>
    <s v="LR"/>
    <s v="Y"/>
    <n v="98.33"/>
    <n v="19.67"/>
    <x v="4"/>
    <s v="VALIDATED"/>
    <n v="1"/>
    <s v="01.11.80.308.6300.0000"/>
    <n v="98.33"/>
    <s v="11"/>
    <s v="6300"/>
    <n v="4256.59"/>
    <n v="98.33"/>
    <s v="CREDITOR"/>
    <n v="0"/>
    <n v="0"/>
    <n v="0"/>
    <n v="0"/>
    <n v="98.33"/>
  </r>
  <r>
    <n v="61186230"/>
    <s v="N"/>
    <n v="21338286"/>
    <s v="3000015353750006"/>
    <s v="CIVIL"/>
    <d v="2023-06-28T00:00:00"/>
    <d v="2023-07-06T19:21:01"/>
    <m/>
    <d v="2023-07-06T00:00:00"/>
    <n v="48"/>
    <n v="15651"/>
    <s v="61186230"/>
    <s v="61186230"/>
    <m/>
    <m/>
    <n v="22777428"/>
    <m/>
    <m/>
    <m/>
    <s v="SOLFIN"/>
    <s v="SOLFIN"/>
    <s v="CCMS"/>
    <n v="21338286"/>
    <n v="4673.81"/>
    <m/>
    <s v="N"/>
    <n v="2"/>
    <d v="2023-07-06T19:21:17"/>
    <s v="Y"/>
    <s v="Toxicologist"/>
    <s v="Public Law Children"/>
    <s v="Expert Disbursement"/>
    <s v="LR"/>
    <s v="Y"/>
    <n v="161.67"/>
    <n v="32.33"/>
    <x v="4"/>
    <s v="VALIDATED"/>
    <n v="1"/>
    <s v="01.11.80.308.6300.0000"/>
    <n v="161.67"/>
    <s v="11"/>
    <s v="6300"/>
    <n v="4256.59"/>
    <n v="161.67"/>
    <s v="CREDITOR"/>
    <n v="0"/>
    <n v="0"/>
    <n v="0"/>
    <n v="0"/>
    <n v="161.67"/>
  </r>
  <r>
    <n v="61186230"/>
    <s v="N"/>
    <n v="21338286"/>
    <s v="3000015353750006"/>
    <s v="CIVIL"/>
    <d v="2023-06-28T00:00:00"/>
    <d v="2023-07-06T19:21:01"/>
    <m/>
    <d v="2023-07-06T00:00:00"/>
    <n v="48"/>
    <n v="15651"/>
    <s v="61186230"/>
    <s v="61186230"/>
    <m/>
    <m/>
    <n v="22777428"/>
    <m/>
    <m/>
    <m/>
    <s v="SOLFIN"/>
    <s v="SOLFIN"/>
    <s v="CCMS"/>
    <n v="21338286"/>
    <n v="4673.81"/>
    <m/>
    <s v="N"/>
    <n v="5"/>
    <d v="2023-07-06T19:21:17"/>
    <s v="Y"/>
    <s v="Advocates Meeting"/>
    <s v="Public Law Children"/>
    <s v="Advocacy"/>
    <s v="LR"/>
    <s v="Y"/>
    <n v="140.99"/>
    <n v="28.2"/>
    <x v="4"/>
    <s v="VALIDATED"/>
    <n v="1"/>
    <s v="01.11.80.308.6100.0000"/>
    <n v="140.99"/>
    <s v="11"/>
    <s v="6100"/>
    <n v="4256.59"/>
    <n v="140.99"/>
    <s v="CREDITOR"/>
    <n v="0"/>
    <n v="0"/>
    <n v="0"/>
    <n v="0"/>
    <n v="140.99"/>
  </r>
  <r>
    <n v="59846602"/>
    <s v="N"/>
    <n v="21349398"/>
    <s v="3000014189440028"/>
    <s v="CIVIL"/>
    <d v="2023-06-30T00:00:00"/>
    <d v="2023-07-10T19:01:40"/>
    <m/>
    <d v="2023-07-10T00:00:00"/>
    <n v="48"/>
    <n v="15651"/>
    <s v="59846602"/>
    <s v="59846602"/>
    <m/>
    <m/>
    <n v="22798844"/>
    <m/>
    <m/>
    <m/>
    <s v="SOLPOA"/>
    <s v="SOLPOA"/>
    <s v="CCMS"/>
    <n v="21349398"/>
    <n v="42"/>
    <m/>
    <s v="N"/>
    <n v="1"/>
    <d v="2023-07-10T19:01:48"/>
    <s v="N"/>
    <s v="Expert Cost"/>
    <s v="Expert Cost"/>
    <s v="Expert Disbursement"/>
    <s v="SS"/>
    <s v="N"/>
    <n v="35"/>
    <n v="7"/>
    <x v="2"/>
    <s v="VALIDATED"/>
    <n v="1"/>
    <s v="01.11.80.308.2012.0000"/>
    <n v="35"/>
    <s v="11"/>
    <s v="2012"/>
    <n v="4256.59"/>
    <n v="35"/>
    <s v="CREDITOR"/>
    <n v="35"/>
    <n v="0"/>
    <n v="0"/>
    <n v="0"/>
    <n v="0"/>
  </r>
  <r>
    <n v="61186230"/>
    <s v="N"/>
    <n v="21338286"/>
    <s v="3000015353750006"/>
    <s v="CIVIL"/>
    <d v="2023-06-28T00:00:00"/>
    <d v="2023-07-06T19:21:01"/>
    <m/>
    <d v="2023-07-06T00:00:00"/>
    <n v="48"/>
    <n v="15651"/>
    <s v="61186230"/>
    <s v="61186230"/>
    <m/>
    <m/>
    <n v="22777428"/>
    <m/>
    <m/>
    <m/>
    <s v="SOLFIN"/>
    <s v="SOLFIN"/>
    <s v="CCMS"/>
    <n v="21338286"/>
    <n v="4673.81"/>
    <m/>
    <s v="N"/>
    <n v="1"/>
    <d v="2023-07-06T19:21:17"/>
    <s v="Y"/>
    <s v="Solicitors Fixed Fee"/>
    <s v="Public Law Children"/>
    <s v="Profit Cost"/>
    <s v="LR"/>
    <s v="Y"/>
    <n v="2616"/>
    <n v="523.2"/>
    <x v="4"/>
    <s v="VALIDATED"/>
    <n v="1"/>
    <s v="01.11.80.308.6100.0000"/>
    <n v="2616"/>
    <s v="11"/>
    <s v="6100"/>
    <n v="4256.59"/>
    <n v="2616"/>
    <s v="CREDITOR"/>
    <n v="0"/>
    <n v="0"/>
    <n v="0"/>
    <n v="0"/>
    <n v="2616"/>
  </r>
  <r>
    <n v="61186230"/>
    <s v="N"/>
    <n v="21338286"/>
    <s v="3000015353750006"/>
    <s v="CIVIL"/>
    <d v="2023-06-28T00:00:00"/>
    <d v="2023-07-06T19:21:01"/>
    <m/>
    <d v="2023-07-06T00:00:00"/>
    <n v="48"/>
    <n v="15651"/>
    <s v="61186230"/>
    <s v="61186230"/>
    <m/>
    <m/>
    <n v="22777428"/>
    <m/>
    <m/>
    <m/>
    <s v="SOLFIN"/>
    <s v="SOLFIN"/>
    <s v="CCMS"/>
    <n v="21338286"/>
    <n v="4673.81"/>
    <m/>
    <s v="N"/>
    <n v="7"/>
    <d v="2023-07-06T19:21:17"/>
    <s v="Y"/>
    <s v="Final Hearing Court Bundle/Advocate"/>
    <s v="Public Law Children"/>
    <s v="Advocacy"/>
    <s v="PGM"/>
    <s v="Y"/>
    <n v="159.3"/>
    <n v="31.86"/>
    <x v="4"/>
    <s v="VALIDATED"/>
    <n v="1"/>
    <s v="01.11.80.308.6100.0000"/>
    <n v="159.3"/>
    <s v="11"/>
    <s v="6100"/>
    <n v="4256.59"/>
    <n v="159.3"/>
    <s v="CREDITOR"/>
    <n v="0"/>
    <n v="0"/>
    <n v="0"/>
    <n v="0"/>
    <n v="159.3"/>
  </r>
  <r>
    <n v="61186230"/>
    <s v="N"/>
    <n v="21339834"/>
    <s v="3000015353750002RC"/>
    <s v="CIVIL"/>
    <d v="2023-06-28T00:00:00"/>
    <d v="2023-07-06T19:54:22"/>
    <m/>
    <d v="2023-07-06T00:00:00"/>
    <n v="48"/>
    <n v="15651"/>
    <s v="61186230"/>
    <s v="61186230"/>
    <m/>
    <m/>
    <m/>
    <m/>
    <m/>
    <m/>
    <s v="SOLRECOUP"/>
    <s v="SOLRECOUP"/>
    <s v="POARECOUP"/>
    <n v="21339834"/>
    <n v="-194"/>
    <m/>
    <s v="Y"/>
    <n v="1"/>
    <d v="2023-07-06T19:54:22"/>
    <s v="N"/>
    <m/>
    <m/>
    <s v="Expert Disbursement"/>
    <m/>
    <s v="N"/>
    <n v="-161.67"/>
    <n v="0"/>
    <x v="4"/>
    <s v="VALIDATED"/>
    <n v="1"/>
    <s v="01.11.80.308.2013.0000"/>
    <n v="-161.67"/>
    <s v="11"/>
    <s v="2013"/>
    <n v="4256.59"/>
    <n v="-161.67"/>
    <s v="CREDITOR"/>
    <n v="0"/>
    <n v="0"/>
    <n v="-161.67"/>
    <n v="0"/>
    <n v="0"/>
  </r>
  <r>
    <n v="60735859"/>
    <s v="N"/>
    <n v="21399239"/>
    <s v="3000014979000002RC"/>
    <s v="CIVIL"/>
    <d v="2023-06-29T00:00:00"/>
    <d v="2023-07-19T19:43:58"/>
    <m/>
    <d v="2023-07-19T00:00:00"/>
    <n v="52"/>
    <n v="13019"/>
    <s v="60735859"/>
    <s v="60735859"/>
    <m/>
    <m/>
    <m/>
    <m/>
    <m/>
    <m/>
    <s v="SOLRECOUP"/>
    <s v="SOLRECOUP"/>
    <s v="POARECOUP"/>
    <n v="21399239"/>
    <n v="-144"/>
    <m/>
    <s v="Y"/>
    <n v="2"/>
    <d v="2023-07-19T19:44:02"/>
    <s v="N"/>
    <m/>
    <m/>
    <s v="Expert Disbursement"/>
    <m/>
    <s v="N"/>
    <n v="0"/>
    <n v="-24"/>
    <x v="5"/>
    <s v="VALIDATED"/>
    <n v="1"/>
    <s v="01.11.80.308.2013.0000"/>
    <n v="-24"/>
    <s v="11"/>
    <s v="2013"/>
    <n v="9401.35"/>
    <n v="-24"/>
    <s v="CREDITOR"/>
    <n v="0"/>
    <n v="0"/>
    <n v="-24"/>
    <n v="0"/>
    <n v="0"/>
  </r>
  <r>
    <n v="59878712"/>
    <s v="N"/>
    <n v="21349645"/>
    <s v="3000014238690011"/>
    <s v="CIVIL"/>
    <d v="2023-06-29T00:00:00"/>
    <d v="2023-07-10T19:01:40"/>
    <m/>
    <d v="2023-07-10T00:00:00"/>
    <n v="52"/>
    <n v="13019"/>
    <s v="59878712"/>
    <s v="59878712"/>
    <m/>
    <m/>
    <n v="22789292"/>
    <m/>
    <m/>
    <m/>
    <s v="SOLFIN"/>
    <s v="SOLFIN"/>
    <s v="CCMS"/>
    <n v="21349645"/>
    <n v="12824.08"/>
    <m/>
    <s v="N"/>
    <n v="1"/>
    <d v="2023-07-10T19:01:55"/>
    <s v="Y"/>
    <s v="Profit Costs (Summary)"/>
    <s v="Public Law Children"/>
    <s v="Profit Cost"/>
    <s v="Sandra Tadhunter"/>
    <s v="Y"/>
    <n v="8050.16"/>
    <n v="1610.03"/>
    <x v="2"/>
    <s v="VALIDATED"/>
    <n v="1"/>
    <s v="01.11.80.308.6100.0000"/>
    <n v="8050.16"/>
    <s v="11"/>
    <s v="6100"/>
    <n v="9401.35"/>
    <n v="8050.16"/>
    <s v="CREDITOR"/>
    <n v="0"/>
    <n v="0"/>
    <n v="0"/>
    <n v="0"/>
    <n v="8050.16"/>
  </r>
  <r>
    <n v="60735859"/>
    <s v="N"/>
    <n v="21399794"/>
    <s v="3000014979000003RC"/>
    <s v="CIVIL"/>
    <d v="2023-06-29T00:00:00"/>
    <d v="2023-07-19T19:44:15"/>
    <m/>
    <d v="2023-07-19T00:00:00"/>
    <n v="52"/>
    <n v="13019"/>
    <s v="60735859"/>
    <s v="60735859"/>
    <m/>
    <m/>
    <m/>
    <m/>
    <m/>
    <m/>
    <s v="SOLRECOUP"/>
    <s v="SOLRECOUP"/>
    <s v="POARECOUP"/>
    <n v="21399794"/>
    <n v="-761.4"/>
    <m/>
    <s v="Y"/>
    <n v="2"/>
    <d v="2023-07-19T19:44:16"/>
    <s v="N"/>
    <m/>
    <m/>
    <s v="Expert Disbursement"/>
    <m/>
    <s v="N"/>
    <n v="0"/>
    <n v="-126.9"/>
    <x v="5"/>
    <s v="VALIDATED"/>
    <n v="1"/>
    <s v="01.11.80.308.2013.0000"/>
    <n v="-126.9"/>
    <s v="11"/>
    <s v="2013"/>
    <n v="9401.35"/>
    <n v="-126.9"/>
    <s v="CREDITOR"/>
    <n v="0"/>
    <n v="0"/>
    <n v="-126.9"/>
    <n v="0"/>
    <n v="0"/>
  </r>
  <r>
    <n v="60735859"/>
    <s v="N"/>
    <n v="21399794"/>
    <s v="3000014979000003RC"/>
    <s v="CIVIL"/>
    <d v="2023-06-29T00:00:00"/>
    <d v="2023-07-19T19:44:15"/>
    <m/>
    <d v="2023-07-19T00:00:00"/>
    <n v="52"/>
    <n v="13019"/>
    <s v="60735859"/>
    <s v="60735859"/>
    <m/>
    <m/>
    <m/>
    <m/>
    <m/>
    <m/>
    <s v="SOLRECOUP"/>
    <s v="SOLRECOUP"/>
    <s v="POARECOUP"/>
    <n v="21399794"/>
    <n v="-761.4"/>
    <m/>
    <s v="Y"/>
    <n v="1"/>
    <d v="2023-07-19T19:44:16"/>
    <s v="N"/>
    <m/>
    <m/>
    <s v="Expert Disbursement"/>
    <m/>
    <s v="N"/>
    <n v="-634.5"/>
    <n v="0"/>
    <x v="5"/>
    <s v="VALIDATED"/>
    <n v="1"/>
    <s v="01.11.80.308.2013.0000"/>
    <n v="-634.5"/>
    <s v="11"/>
    <s v="2013"/>
    <n v="9401.35"/>
    <n v="-634.5"/>
    <s v="CREDITOR"/>
    <n v="0"/>
    <n v="0"/>
    <n v="-634.5"/>
    <n v="0"/>
    <n v="0"/>
  </r>
  <r>
    <n v="59878712"/>
    <s v="N"/>
    <n v="21356233"/>
    <s v="3000014238690004RC"/>
    <s v="CIVIL"/>
    <d v="2023-06-29T00:00:00"/>
    <d v="2023-07-10T19:47:44"/>
    <m/>
    <d v="2023-07-10T00:00:00"/>
    <n v="52"/>
    <n v="13019"/>
    <s v="59878712"/>
    <s v="59878712"/>
    <m/>
    <m/>
    <m/>
    <m/>
    <m/>
    <m/>
    <s v="SOLRECOUP"/>
    <s v="SOLRECOUP"/>
    <s v="POARECOUP"/>
    <n v="21356233"/>
    <n v="-280.4"/>
    <m/>
    <s v="Y"/>
    <n v="1"/>
    <d v="2023-07-10T19:47:44"/>
    <s v="N"/>
    <m/>
    <m/>
    <s v="Expert Disbursement"/>
    <m/>
    <s v="N"/>
    <n v="-233.67"/>
    <n v="0"/>
    <x v="2"/>
    <s v="VALIDATED"/>
    <n v="1"/>
    <s v="01.11.80.308.2013.0000"/>
    <n v="-233.67"/>
    <s v="11"/>
    <s v="2013"/>
    <n v="9401.35"/>
    <n v="-233.67"/>
    <s v="CREDITOR"/>
    <n v="0"/>
    <n v="0"/>
    <n v="-233.67"/>
    <n v="0"/>
    <n v="0"/>
  </r>
  <r>
    <n v="59878712"/>
    <s v="N"/>
    <n v="21356233"/>
    <s v="3000014238690004RC"/>
    <s v="CIVIL"/>
    <d v="2023-06-29T00:00:00"/>
    <d v="2023-07-10T19:47:44"/>
    <m/>
    <d v="2023-07-10T00:00:00"/>
    <n v="52"/>
    <n v="13019"/>
    <s v="59878712"/>
    <s v="59878712"/>
    <m/>
    <m/>
    <m/>
    <m/>
    <m/>
    <m/>
    <s v="SOLRECOUP"/>
    <s v="SOLRECOUP"/>
    <s v="POARECOUP"/>
    <n v="21356233"/>
    <n v="-280.4"/>
    <m/>
    <s v="Y"/>
    <n v="2"/>
    <d v="2023-07-10T19:47:44"/>
    <s v="N"/>
    <m/>
    <m/>
    <s v="Expert Disbursement"/>
    <m/>
    <s v="N"/>
    <n v="0"/>
    <n v="-46.73"/>
    <x v="2"/>
    <s v="VALIDATED"/>
    <n v="1"/>
    <s v="01.11.80.308.2013.0000"/>
    <n v="-46.73"/>
    <s v="11"/>
    <s v="2013"/>
    <n v="9401.35"/>
    <n v="-46.73"/>
    <s v="CREDITOR"/>
    <n v="0"/>
    <n v="0"/>
    <n v="-46.73"/>
    <n v="0"/>
    <n v="0"/>
  </r>
  <r>
    <n v="59878712"/>
    <s v="N"/>
    <n v="21356234"/>
    <s v="3000014238690001RC"/>
    <s v="CIVIL"/>
    <d v="2023-06-29T00:00:00"/>
    <d v="2023-07-10T19:47:44"/>
    <m/>
    <d v="2023-07-10T00:00:00"/>
    <n v="52"/>
    <n v="13019"/>
    <s v="59878712"/>
    <s v="59878712"/>
    <m/>
    <m/>
    <m/>
    <m/>
    <m/>
    <m/>
    <s v="SOLRECOUP"/>
    <s v="SOLRECOUP"/>
    <s v="POARECOUP"/>
    <n v="21356234"/>
    <n v="-300"/>
    <m/>
    <s v="Y"/>
    <n v="1"/>
    <d v="2023-07-10T19:47:44"/>
    <s v="N"/>
    <m/>
    <m/>
    <s v="Expert Disbursement"/>
    <m/>
    <s v="N"/>
    <n v="-250"/>
    <n v="0"/>
    <x v="2"/>
    <s v="VALIDATED"/>
    <n v="1"/>
    <s v="01.11.80.308.2013.0000"/>
    <n v="-250"/>
    <s v="11"/>
    <s v="2013"/>
    <n v="9401.35"/>
    <n v="-250"/>
    <s v="CREDITOR"/>
    <n v="0"/>
    <n v="0"/>
    <n v="-250"/>
    <n v="0"/>
    <n v="0"/>
  </r>
  <r>
    <n v="59878712"/>
    <s v="N"/>
    <n v="21356234"/>
    <s v="3000014238690001RC"/>
    <s v="CIVIL"/>
    <d v="2023-06-29T00:00:00"/>
    <d v="2023-07-10T19:47:44"/>
    <m/>
    <d v="2023-07-10T00:00:00"/>
    <n v="52"/>
    <n v="13019"/>
    <s v="59878712"/>
    <s v="59878712"/>
    <m/>
    <m/>
    <m/>
    <m/>
    <m/>
    <m/>
    <s v="SOLRECOUP"/>
    <s v="SOLRECOUP"/>
    <s v="POARECOUP"/>
    <n v="21356234"/>
    <n v="-300"/>
    <m/>
    <s v="Y"/>
    <n v="2"/>
    <d v="2023-07-10T19:47:44"/>
    <s v="N"/>
    <m/>
    <m/>
    <s v="Expert Disbursement"/>
    <m/>
    <s v="N"/>
    <n v="0"/>
    <n v="-50"/>
    <x v="2"/>
    <s v="VALIDATED"/>
    <n v="1"/>
    <s v="01.11.80.308.2013.0000"/>
    <n v="-50"/>
    <s v="11"/>
    <s v="2013"/>
    <n v="9401.35"/>
    <n v="-50"/>
    <s v="CREDITOR"/>
    <n v="0"/>
    <n v="0"/>
    <n v="-50"/>
    <n v="0"/>
    <n v="0"/>
  </r>
  <r>
    <n v="59878712"/>
    <s v="N"/>
    <n v="21356235"/>
    <s v="3000014238690003RC"/>
    <s v="CIVIL"/>
    <d v="2023-06-29T00:00:00"/>
    <d v="2023-07-10T19:47:44"/>
    <m/>
    <d v="2023-07-10T00:00:00"/>
    <n v="52"/>
    <n v="13019"/>
    <s v="59878712"/>
    <s v="59878712"/>
    <m/>
    <m/>
    <m/>
    <m/>
    <m/>
    <m/>
    <s v="SOLRECOUP"/>
    <s v="SOLRECOUP"/>
    <s v="POARECOUP"/>
    <n v="21356235"/>
    <n v="-648.13"/>
    <m/>
    <s v="Y"/>
    <n v="1"/>
    <d v="2023-07-10T19:47:44"/>
    <s v="N"/>
    <m/>
    <m/>
    <s v="Expert Disbursement"/>
    <m/>
    <s v="N"/>
    <n v="-540.11"/>
    <n v="0"/>
    <x v="2"/>
    <s v="VALIDATED"/>
    <n v="1"/>
    <s v="01.11.80.308.2013.0000"/>
    <n v="-540.11"/>
    <s v="11"/>
    <s v="2013"/>
    <n v="9401.35"/>
    <n v="-540.11"/>
    <s v="CREDITOR"/>
    <n v="0"/>
    <n v="0"/>
    <n v="-540.11"/>
    <n v="0"/>
    <n v="0"/>
  </r>
  <r>
    <n v="59878712"/>
    <s v="N"/>
    <n v="21356235"/>
    <s v="3000014238690003RC"/>
    <s v="CIVIL"/>
    <d v="2023-06-29T00:00:00"/>
    <d v="2023-07-10T19:47:44"/>
    <m/>
    <d v="2023-07-10T00:00:00"/>
    <n v="52"/>
    <n v="13019"/>
    <s v="59878712"/>
    <s v="59878712"/>
    <m/>
    <m/>
    <m/>
    <m/>
    <m/>
    <m/>
    <s v="SOLRECOUP"/>
    <s v="SOLRECOUP"/>
    <s v="POARECOUP"/>
    <n v="21356235"/>
    <n v="-648.13"/>
    <m/>
    <s v="Y"/>
    <n v="2"/>
    <d v="2023-07-10T19:47:44"/>
    <s v="N"/>
    <m/>
    <m/>
    <s v="Expert Disbursement"/>
    <m/>
    <s v="N"/>
    <n v="0"/>
    <n v="-108.02"/>
    <x v="2"/>
    <s v="VALIDATED"/>
    <n v="1"/>
    <s v="01.11.80.308.2013.0000"/>
    <n v="-108.02"/>
    <s v="11"/>
    <s v="2013"/>
    <n v="9401.35"/>
    <n v="-108.02"/>
    <s v="CREDITOR"/>
    <n v="0"/>
    <n v="0"/>
    <n v="-108.02"/>
    <n v="0"/>
    <n v="0"/>
  </r>
  <r>
    <n v="59878712"/>
    <s v="N"/>
    <n v="21356236"/>
    <s v="3000014238690005RC"/>
    <s v="CIVIL"/>
    <d v="2023-06-29T00:00:00"/>
    <d v="2023-07-10T19:47:44"/>
    <m/>
    <d v="2023-07-10T00:00:00"/>
    <n v="52"/>
    <n v="13019"/>
    <s v="59878712"/>
    <s v="59878712"/>
    <m/>
    <m/>
    <m/>
    <m/>
    <m/>
    <m/>
    <s v="SOLRECOUP"/>
    <s v="SOLRECOUP"/>
    <s v="POARECOUP"/>
    <n v="21356236"/>
    <n v="-1935.36"/>
    <m/>
    <s v="Y"/>
    <n v="1"/>
    <d v="2023-07-10T19:47:44"/>
    <s v="N"/>
    <m/>
    <m/>
    <s v="Expert Disbursement"/>
    <m/>
    <s v="N"/>
    <n v="-1612.8"/>
    <n v="0"/>
    <x v="2"/>
    <s v="VALIDATED"/>
    <n v="1"/>
    <s v="01.11.80.308.2013.0000"/>
    <n v="-1612.8"/>
    <s v="11"/>
    <s v="2013"/>
    <n v="9401.35"/>
    <n v="-1612.8"/>
    <s v="CREDITOR"/>
    <n v="0"/>
    <n v="0"/>
    <n v="-1612.8"/>
    <n v="0"/>
    <n v="0"/>
  </r>
  <r>
    <n v="59878712"/>
    <s v="N"/>
    <n v="21356236"/>
    <s v="3000014238690005RC"/>
    <s v="CIVIL"/>
    <d v="2023-06-29T00:00:00"/>
    <d v="2023-07-10T19:47:44"/>
    <m/>
    <d v="2023-07-10T00:00:00"/>
    <n v="52"/>
    <n v="13019"/>
    <s v="59878712"/>
    <s v="59878712"/>
    <m/>
    <m/>
    <m/>
    <m/>
    <m/>
    <m/>
    <s v="SOLRECOUP"/>
    <s v="SOLRECOUP"/>
    <s v="POARECOUP"/>
    <n v="21356236"/>
    <n v="-1935.36"/>
    <m/>
    <s v="Y"/>
    <n v="2"/>
    <d v="2023-07-10T19:47:44"/>
    <s v="N"/>
    <m/>
    <m/>
    <s v="Expert Disbursement"/>
    <m/>
    <s v="N"/>
    <n v="0"/>
    <n v="-322.56"/>
    <x v="2"/>
    <s v="VALIDATED"/>
    <n v="1"/>
    <s v="01.11.80.308.2013.0000"/>
    <n v="-322.56"/>
    <s v="11"/>
    <s v="2013"/>
    <n v="9401.35"/>
    <n v="-322.56"/>
    <s v="CREDITOR"/>
    <n v="0"/>
    <n v="0"/>
    <n v="-322.56"/>
    <n v="0"/>
    <n v="0"/>
  </r>
  <r>
    <n v="59878712"/>
    <s v="N"/>
    <n v="21349645"/>
    <s v="3000014238690011"/>
    <s v="CIVIL"/>
    <d v="2023-06-29T00:00:00"/>
    <d v="2023-07-10T19:01:40"/>
    <m/>
    <d v="2023-07-10T00:00:00"/>
    <n v="52"/>
    <n v="13019"/>
    <s v="59878712"/>
    <s v="59878712"/>
    <m/>
    <m/>
    <n v="22789292"/>
    <m/>
    <m/>
    <m/>
    <s v="SOLFIN"/>
    <s v="SOLFIN"/>
    <s v="CCMS"/>
    <n v="21349645"/>
    <n v="12824.08"/>
    <m/>
    <s v="N"/>
    <n v="4"/>
    <d v="2023-07-10T19:01:55"/>
    <s v="Y"/>
    <s v="Cardiologist"/>
    <s v="Public Law Children"/>
    <s v="Expert Disbursement"/>
    <s v="Sandra Tadhunter"/>
    <s v="Y"/>
    <n v="1612.8"/>
    <n v="322.56"/>
    <x v="2"/>
    <s v="VALIDATED"/>
    <n v="1"/>
    <s v="01.11.80.308.6300.0000"/>
    <n v="1612.8"/>
    <s v="11"/>
    <s v="6300"/>
    <n v="9401.35"/>
    <n v="1612.8"/>
    <s v="CREDITOR"/>
    <n v="0"/>
    <n v="0"/>
    <n v="0"/>
    <n v="0"/>
    <n v="1612.8"/>
  </r>
  <r>
    <n v="61899834"/>
    <s v="N"/>
    <n v="21319374"/>
    <s v="3000015957570005"/>
    <s v="CIVIL"/>
    <d v="2023-06-28T00:00:00"/>
    <d v="2023-07-03T19:04:24"/>
    <m/>
    <d v="2023-07-03T00:00:00"/>
    <n v="52"/>
    <n v="13019"/>
    <s v="61899834"/>
    <s v="61899834"/>
    <m/>
    <m/>
    <n v="22776054"/>
    <m/>
    <m/>
    <m/>
    <s v="SOLPOA"/>
    <s v="SOLPOA"/>
    <s v="CCMS"/>
    <n v="21319374"/>
    <n v="112.32"/>
    <m/>
    <s v="N"/>
    <n v="1"/>
    <d v="2023-07-03T19:04:25"/>
    <s v="N"/>
    <s v="Expert Cost"/>
    <s v="Expert Cost"/>
    <s v="Expert Disbursement"/>
    <s v="Sandra Tadhunter"/>
    <s v="N"/>
    <n v="93.59999999999999"/>
    <n v="18.72"/>
    <x v="3"/>
    <s v="VALIDATED"/>
    <n v="1"/>
    <s v="01.11.80.308.2012.0000"/>
    <n v="93.59999999999999"/>
    <s v="11"/>
    <s v="2012"/>
    <n v="9401.35"/>
    <n v="93.59999999999999"/>
    <s v="CREDITOR"/>
    <n v="93.59999999999999"/>
    <n v="0"/>
    <n v="0"/>
    <n v="0"/>
    <n v="0"/>
  </r>
  <r>
    <n v="59878712"/>
    <s v="N"/>
    <n v="21349645"/>
    <s v="3000014238690011"/>
    <s v="CIVIL"/>
    <d v="2023-06-29T00:00:00"/>
    <d v="2023-07-10T19:01:40"/>
    <m/>
    <d v="2023-07-10T00:00:00"/>
    <n v="52"/>
    <n v="13019"/>
    <s v="59878712"/>
    <s v="59878712"/>
    <m/>
    <m/>
    <n v="22789292"/>
    <m/>
    <m/>
    <m/>
    <s v="SOLFIN"/>
    <s v="SOLFIN"/>
    <s v="CCMS"/>
    <n v="21349645"/>
    <n v="12824.08"/>
    <m/>
    <s v="N"/>
    <n v="2"/>
    <d v="2023-07-10T19:01:55"/>
    <s v="Y"/>
    <s v="Psychiatrist"/>
    <s v="Public Law Children"/>
    <s v="Expert Disbursement"/>
    <s v="Sandra Tadhunter"/>
    <s v="Y"/>
    <n v="540.11"/>
    <n v="108.02"/>
    <x v="2"/>
    <s v="VALIDATED"/>
    <n v="1"/>
    <s v="01.11.80.308.6300.0000"/>
    <n v="540.11"/>
    <s v="11"/>
    <s v="6300"/>
    <n v="9401.35"/>
    <n v="540.11"/>
    <s v="CREDITOR"/>
    <n v="0"/>
    <n v="0"/>
    <n v="0"/>
    <n v="0"/>
    <n v="540.11"/>
  </r>
  <r>
    <n v="61899834"/>
    <s v="N"/>
    <n v="21319426"/>
    <s v="3000015957570006"/>
    <s v="CIVIL"/>
    <d v="2023-06-28T00:00:00"/>
    <d v="2023-07-03T19:04:24"/>
    <m/>
    <d v="2023-07-03T00:00:00"/>
    <n v="52"/>
    <n v="13019"/>
    <s v="61899834"/>
    <s v="61899834"/>
    <m/>
    <m/>
    <n v="22776006"/>
    <m/>
    <m/>
    <m/>
    <s v="SOLPOA"/>
    <s v="SOLPOA"/>
    <s v="CCMS"/>
    <n v="21319426"/>
    <n v="800.28"/>
    <m/>
    <s v="N"/>
    <n v="1"/>
    <d v="2023-07-03T19:04:25"/>
    <s v="N"/>
    <s v="Expert Cost"/>
    <s v="Expert Cost"/>
    <s v="Expert Disbursement"/>
    <s v="Sandra Tadhunter"/>
    <s v="N"/>
    <n v="666.9"/>
    <n v="133.38"/>
    <x v="3"/>
    <s v="VALIDATED"/>
    <n v="1"/>
    <s v="01.11.80.308.2012.0000"/>
    <n v="666.9"/>
    <s v="11"/>
    <s v="2012"/>
    <n v="9401.35"/>
    <n v="666.9"/>
    <s v="CREDITOR"/>
    <n v="666.9"/>
    <n v="0"/>
    <n v="0"/>
    <n v="0"/>
    <n v="0"/>
  </r>
  <r>
    <n v="59878712"/>
    <s v="N"/>
    <n v="21349645"/>
    <s v="3000014238690011"/>
    <s v="CIVIL"/>
    <d v="2023-06-29T00:00:00"/>
    <d v="2023-07-10T19:01:40"/>
    <m/>
    <d v="2023-07-10T00:00:00"/>
    <n v="52"/>
    <n v="13019"/>
    <s v="59878712"/>
    <s v="59878712"/>
    <m/>
    <m/>
    <n v="22789292"/>
    <m/>
    <m/>
    <m/>
    <s v="SOLFIN"/>
    <s v="SOLFIN"/>
    <s v="CCMS"/>
    <n v="21349645"/>
    <n v="12824.08"/>
    <m/>
    <s v="N"/>
    <n v="5"/>
    <d v="2023-07-10T19:01:55"/>
    <s v="Y"/>
    <s v="Toxicologist"/>
    <s v="Public Law Children"/>
    <s v="Expert Disbursement"/>
    <s v="Sandra Tadhunter"/>
    <s v="Y"/>
    <n v="233.67"/>
    <n v="46.73"/>
    <x v="2"/>
    <s v="VALIDATED"/>
    <n v="1"/>
    <s v="01.11.80.308.6300.0000"/>
    <n v="233.67"/>
    <s v="11"/>
    <s v="6300"/>
    <n v="9401.35"/>
    <n v="233.67"/>
    <s v="CREDITOR"/>
    <n v="0"/>
    <n v="0"/>
    <n v="0"/>
    <n v="0"/>
    <n v="233.67"/>
  </r>
  <r>
    <n v="59878712"/>
    <s v="N"/>
    <n v="21349645"/>
    <s v="3000014238690011"/>
    <s v="CIVIL"/>
    <d v="2023-06-29T00:00:00"/>
    <d v="2023-07-10T19:01:40"/>
    <m/>
    <d v="2023-07-10T00:00:00"/>
    <n v="52"/>
    <n v="13019"/>
    <s v="59878712"/>
    <s v="59878712"/>
    <m/>
    <m/>
    <n v="22789292"/>
    <m/>
    <m/>
    <m/>
    <s v="SOLFIN"/>
    <s v="SOLFIN"/>
    <s v="CCMS"/>
    <n v="21349645"/>
    <n v="12824.08"/>
    <m/>
    <s v="N"/>
    <n v="3"/>
    <d v="2023-07-10T19:01:55"/>
    <s v="Y"/>
    <s v="Toxicologist"/>
    <s v="Public Law Children"/>
    <s v="Expert Disbursement"/>
    <s v="Sandra Tadhunter"/>
    <s v="Y"/>
    <n v="250"/>
    <n v="50"/>
    <x v="2"/>
    <s v="VALIDATED"/>
    <n v="1"/>
    <s v="01.11.80.308.6300.0000"/>
    <n v="250"/>
    <s v="11"/>
    <s v="6300"/>
    <n v="9401.35"/>
    <n v="250"/>
    <s v="CREDITOR"/>
    <n v="0"/>
    <n v="0"/>
    <n v="0"/>
    <n v="0"/>
    <n v="250"/>
  </r>
  <r>
    <n v="61437051"/>
    <s v="N"/>
    <n v="21330844"/>
    <s v="3000015571300006"/>
    <s v="CIVIL"/>
    <d v="2023-06-30T00:00:00"/>
    <d v="2023-07-05T19:01:47"/>
    <m/>
    <d v="2023-07-05T00:00:00"/>
    <n v="52"/>
    <n v="13019"/>
    <s v="61437051"/>
    <s v="61437051"/>
    <m/>
    <m/>
    <n v="22797964"/>
    <m/>
    <m/>
    <m/>
    <s v="SOLPOA"/>
    <s v="SOLPOA"/>
    <s v="CCMS"/>
    <n v="21330844"/>
    <n v="2428.08"/>
    <m/>
    <s v="N"/>
    <n v="1"/>
    <d v="2023-07-05T19:01:55"/>
    <s v="N"/>
    <s v="Expert Cost"/>
    <s v="Expert Cost"/>
    <s v="Expert Disbursement"/>
    <s v="Sandra Tadhunter"/>
    <s v="N"/>
    <n v="2023.4"/>
    <n v="404.68"/>
    <x v="6"/>
    <s v="VALIDATED"/>
    <n v="1"/>
    <s v="01.11.80.308.2012.0000"/>
    <n v="2023.4"/>
    <s v="11"/>
    <s v="2012"/>
    <n v="9401.35"/>
    <n v="2023.4"/>
    <s v="CREDITOR"/>
    <n v="2023.4"/>
    <n v="0"/>
    <n v="0"/>
    <n v="0"/>
    <n v="0"/>
  </r>
  <r>
    <n v="60735859"/>
    <s v="N"/>
    <n v="21399239"/>
    <s v="3000014979000002RC"/>
    <s v="CIVIL"/>
    <d v="2023-06-29T00:00:00"/>
    <d v="2023-07-19T19:43:58"/>
    <m/>
    <d v="2023-07-19T00:00:00"/>
    <n v="52"/>
    <n v="13019"/>
    <s v="60735859"/>
    <s v="60735859"/>
    <m/>
    <m/>
    <m/>
    <m/>
    <m/>
    <m/>
    <s v="SOLRECOUP"/>
    <s v="SOLRECOUP"/>
    <s v="POARECOUP"/>
    <n v="21399239"/>
    <n v="-144"/>
    <m/>
    <s v="Y"/>
    <n v="1"/>
    <d v="2023-07-19T19:44:02"/>
    <s v="N"/>
    <m/>
    <m/>
    <s v="Expert Disbursement"/>
    <m/>
    <s v="N"/>
    <n v="-120"/>
    <n v="0"/>
    <x v="5"/>
    <s v="VALIDATED"/>
    <n v="1"/>
    <s v="01.11.80.308.2013.0000"/>
    <n v="-120"/>
    <s v="11"/>
    <s v="2013"/>
    <n v="9401.35"/>
    <n v="-120"/>
    <s v="CREDITOR"/>
    <n v="0"/>
    <n v="0"/>
    <n v="-120"/>
    <n v="0"/>
    <n v="0"/>
  </r>
  <r>
    <n v="10264697"/>
    <s v="N"/>
    <n v="21361284"/>
    <s v="3000006132750003RC"/>
    <s v="CIVIL"/>
    <d v="2023-06-29T00:00:00"/>
    <d v="2023-07-11T19:38:00"/>
    <m/>
    <d v="2023-07-11T00:00:00"/>
    <n v="53"/>
    <n v="13019"/>
    <s v="10264697"/>
    <s v="10264697"/>
    <m/>
    <m/>
    <m/>
    <m/>
    <m/>
    <m/>
    <s v="SOLRECOUP"/>
    <s v="SOLRECOUP"/>
    <s v="POARECOUP"/>
    <n v="21361284"/>
    <n v="-384"/>
    <m/>
    <s v="Y"/>
    <n v="1"/>
    <d v="2023-07-11T19:38:00"/>
    <s v="N"/>
    <m/>
    <m/>
    <s v="Expert Disbursement"/>
    <m/>
    <s v="N"/>
    <n v="-320"/>
    <n v="0"/>
    <x v="7"/>
    <s v="VALIDATED"/>
    <n v="1"/>
    <s v="01.11.80.307.2013.0000"/>
    <n v="-320"/>
    <s v="11"/>
    <s v="2013"/>
    <n v="8775.040000000001"/>
    <n v="-320"/>
    <s v="CREDITOR"/>
    <n v="0"/>
    <n v="0"/>
    <n v="-320"/>
    <n v="0"/>
    <n v="0"/>
  </r>
  <r>
    <n v="10264697"/>
    <s v="N"/>
    <n v="21361284"/>
    <s v="3000006132750003RC"/>
    <s v="CIVIL"/>
    <d v="2023-06-29T00:00:00"/>
    <d v="2023-07-11T19:38:00"/>
    <m/>
    <d v="2023-07-11T00:00:00"/>
    <n v="53"/>
    <n v="13019"/>
    <s v="10264697"/>
    <s v="10264697"/>
    <m/>
    <m/>
    <m/>
    <m/>
    <m/>
    <m/>
    <s v="SOLRECOUP"/>
    <s v="SOLRECOUP"/>
    <s v="POARECOUP"/>
    <n v="21361284"/>
    <n v="-384"/>
    <m/>
    <s v="Y"/>
    <n v="2"/>
    <d v="2023-07-11T19:38:00"/>
    <s v="N"/>
    <m/>
    <m/>
    <s v="Expert Disbursement"/>
    <m/>
    <s v="N"/>
    <n v="0"/>
    <n v="-64"/>
    <x v="7"/>
    <s v="VALIDATED"/>
    <n v="1"/>
    <s v="01.11.80.307.2013.0000"/>
    <n v="-64"/>
    <s v="11"/>
    <s v="2013"/>
    <n v="8775.040000000001"/>
    <n v="-64"/>
    <s v="CREDITOR"/>
    <n v="0"/>
    <n v="0"/>
    <n v="-64"/>
    <n v="0"/>
    <n v="0"/>
  </r>
  <r>
    <n v="10264697"/>
    <s v="N"/>
    <n v="21361285"/>
    <s v="3000006132750008RC"/>
    <s v="CIVIL"/>
    <d v="2023-06-29T00:00:00"/>
    <d v="2023-07-11T19:38:00"/>
    <m/>
    <d v="2023-07-11T00:00:00"/>
    <n v="53"/>
    <n v="13019"/>
    <s v="10264697"/>
    <s v="10264697"/>
    <m/>
    <m/>
    <m/>
    <m/>
    <m/>
    <m/>
    <s v="SOLRECOUP"/>
    <s v="SOLRECOUP"/>
    <s v="POARECOUP"/>
    <n v="21361285"/>
    <n v="-162"/>
    <m/>
    <s v="Y"/>
    <n v="2"/>
    <d v="2023-07-11T19:38:00"/>
    <s v="N"/>
    <m/>
    <m/>
    <s v="Expert Disbursement"/>
    <m/>
    <s v="N"/>
    <n v="0"/>
    <n v="-27"/>
    <x v="7"/>
    <s v="VALIDATED"/>
    <n v="1"/>
    <s v="01.11.80.307.2013.0000"/>
    <n v="-27"/>
    <s v="11"/>
    <s v="2013"/>
    <n v="8775.040000000001"/>
    <n v="-27"/>
    <s v="CREDITOR"/>
    <n v="0"/>
    <n v="0"/>
    <n v="-27"/>
    <n v="0"/>
    <n v="0"/>
  </r>
  <r>
    <n v="10264697"/>
    <s v="N"/>
    <n v="21360948"/>
    <s v="3000006132750012"/>
    <s v="CIVIL"/>
    <d v="2023-06-29T00:00:00"/>
    <d v="2023-07-11T19:00:25"/>
    <m/>
    <d v="2023-07-11T00:00:00"/>
    <n v="53"/>
    <n v="13019"/>
    <s v="10264697"/>
    <s v="10264697"/>
    <m/>
    <m/>
    <n v="22789472"/>
    <m/>
    <m/>
    <m/>
    <s v="SOLFIN"/>
    <s v="SOLFIN"/>
    <s v="CCMS"/>
    <n v="21360948"/>
    <n v="608.4"/>
    <m/>
    <s v="N"/>
    <n v="1"/>
    <d v="2023-07-11T19:00:40"/>
    <s v="Y"/>
    <s v="Level 4 Fixed Fee"/>
    <s v="Domestic Abuse"/>
    <s v="Profit Cost"/>
    <s v="Sandra Tadhunter"/>
    <s v="Y"/>
    <n v="507"/>
    <n v="101.4"/>
    <x v="7"/>
    <s v="VALIDATED"/>
    <n v="1"/>
    <s v="01.11.80.307.6100.0000"/>
    <n v="507"/>
    <s v="11"/>
    <s v="6100"/>
    <n v="8775.040000000001"/>
    <n v="507"/>
    <s v="CREDITOR"/>
    <n v="0"/>
    <n v="0"/>
    <n v="0"/>
    <n v="0"/>
    <n v="507"/>
  </r>
  <r>
    <n v="10264697"/>
    <s v="N"/>
    <n v="21363480"/>
    <s v="3000006132750013"/>
    <s v="CIVIL"/>
    <d v="2023-06-29T00:00:00"/>
    <d v="2023-07-12T19:01:49"/>
    <m/>
    <d v="2023-07-12T00:00:00"/>
    <n v="53"/>
    <n v="13019"/>
    <s v="10264697"/>
    <s v="10264697"/>
    <m/>
    <m/>
    <n v="22790572"/>
    <m/>
    <m/>
    <m/>
    <s v="SOLFIN"/>
    <s v="SOLFIN"/>
    <s v="CCMS"/>
    <n v="21363480"/>
    <n v="10576.85"/>
    <m/>
    <s v="N"/>
    <n v="1"/>
    <d v="2023-07-12T19:02:02"/>
    <s v="Y"/>
    <s v="Toxicologist"/>
    <s v="Private Law Children"/>
    <s v="Expert Disbursement"/>
    <s v="Sandra Tadhunter"/>
    <s v="Y"/>
    <n v="135"/>
    <n v="27"/>
    <x v="0"/>
    <s v="VALIDATED"/>
    <n v="1"/>
    <s v="01.11.80.307.6300.0000"/>
    <n v="135"/>
    <s v="11"/>
    <s v="6300"/>
    <n v="8775.040000000001"/>
    <n v="135"/>
    <s v="CREDITOR"/>
    <n v="0"/>
    <n v="0"/>
    <n v="0"/>
    <n v="0"/>
    <n v="135"/>
  </r>
  <r>
    <n v="10264697"/>
    <s v="N"/>
    <n v="21363480"/>
    <s v="3000006132750013"/>
    <s v="CIVIL"/>
    <d v="2023-06-29T00:00:00"/>
    <d v="2023-07-12T19:01:49"/>
    <m/>
    <d v="2023-07-12T00:00:00"/>
    <n v="53"/>
    <n v="13019"/>
    <s v="10264697"/>
    <s v="10264697"/>
    <m/>
    <m/>
    <n v="22790572"/>
    <m/>
    <m/>
    <m/>
    <s v="SOLFIN"/>
    <s v="SOLFIN"/>
    <s v="CCMS"/>
    <n v="21363480"/>
    <n v="10576.85"/>
    <m/>
    <s v="N"/>
    <n v="2"/>
    <d v="2023-07-12T19:02:02"/>
    <s v="Y"/>
    <s v="Toxicologist"/>
    <s v="Private Law Children"/>
    <s v="Expert Disbursement"/>
    <s v="Sandra Tadhunter"/>
    <s v="Y"/>
    <n v="320"/>
    <n v="64"/>
    <x v="0"/>
    <s v="VALIDATED"/>
    <n v="1"/>
    <s v="01.11.80.307.6300.0000"/>
    <n v="320"/>
    <s v="11"/>
    <s v="6300"/>
    <n v="8775.040000000001"/>
    <n v="320"/>
    <s v="CREDITOR"/>
    <n v="0"/>
    <n v="0"/>
    <n v="0"/>
    <n v="0"/>
    <n v="320"/>
  </r>
  <r>
    <n v="10264697"/>
    <s v="N"/>
    <n v="21363480"/>
    <s v="3000006132750013"/>
    <s v="CIVIL"/>
    <d v="2023-06-29T00:00:00"/>
    <d v="2023-07-12T19:01:49"/>
    <m/>
    <d v="2023-07-12T00:00:00"/>
    <n v="53"/>
    <n v="13019"/>
    <s v="10264697"/>
    <s v="10264697"/>
    <m/>
    <m/>
    <n v="22790572"/>
    <m/>
    <m/>
    <m/>
    <s v="SOLFIN"/>
    <s v="SOLFIN"/>
    <s v="CCMS"/>
    <n v="21363480"/>
    <n v="10576.85"/>
    <m/>
    <s v="N"/>
    <n v="3"/>
    <d v="2023-07-12T19:02:02"/>
    <s v="Y"/>
    <s v="Profit Costs (Summary)"/>
    <s v="Private Law Children"/>
    <s v="Profit Cost"/>
    <s v="Sandra Tadhunter"/>
    <s v="Y"/>
    <n v="8359.040000000001"/>
    <n v="1671.81"/>
    <x v="0"/>
    <s v="VALIDATED"/>
    <n v="1"/>
    <s v="01.11.80.307.6100.0000"/>
    <n v="8359.040000000001"/>
    <s v="11"/>
    <s v="6100"/>
    <n v="8775.040000000001"/>
    <n v="8359.040000000001"/>
    <s v="CREDITOR"/>
    <n v="0"/>
    <n v="0"/>
    <n v="0"/>
    <n v="0"/>
    <n v="8359.040000000001"/>
  </r>
  <r>
    <n v="10264697"/>
    <s v="N"/>
    <n v="21361285"/>
    <s v="3000006132750008RC"/>
    <s v="CIVIL"/>
    <d v="2023-06-29T00:00:00"/>
    <d v="2023-07-11T19:38:00"/>
    <m/>
    <d v="2023-07-11T00:00:00"/>
    <n v="53"/>
    <n v="13019"/>
    <s v="10264697"/>
    <s v="10264697"/>
    <m/>
    <m/>
    <m/>
    <m/>
    <m/>
    <m/>
    <s v="SOLRECOUP"/>
    <s v="SOLRECOUP"/>
    <s v="POARECOUP"/>
    <n v="21361285"/>
    <n v="-162"/>
    <m/>
    <s v="Y"/>
    <n v="1"/>
    <d v="2023-07-11T19:38:00"/>
    <s v="N"/>
    <m/>
    <m/>
    <s v="Expert Disbursement"/>
    <m/>
    <s v="N"/>
    <n v="-135"/>
    <n v="0"/>
    <x v="7"/>
    <s v="VALIDATED"/>
    <n v="1"/>
    <s v="01.11.80.307.2013.0000"/>
    <n v="-135"/>
    <s v="11"/>
    <s v="2013"/>
    <n v="8775.040000000001"/>
    <n v="-135"/>
    <s v="CREDITOR"/>
    <n v="0"/>
    <n v="0"/>
    <n v="-135"/>
    <n v="0"/>
    <n v="0"/>
  </r>
  <r>
    <n v="61107093"/>
    <s v="N"/>
    <n v="21339837"/>
    <s v="3000015297900001RC"/>
    <s v="CIVIL"/>
    <d v="2023-06-28T00:00:00"/>
    <d v="2023-07-06T19:54:22"/>
    <m/>
    <d v="2023-07-06T00:00:00"/>
    <n v="62"/>
    <n v="13097"/>
    <s v="61107093"/>
    <s v="61107093"/>
    <m/>
    <m/>
    <m/>
    <m/>
    <m/>
    <m/>
    <s v="SOLRECOUP"/>
    <s v="SOLRECOUP"/>
    <s v="POARECOUP"/>
    <n v="21339837"/>
    <n v="-61.99"/>
    <m/>
    <s v="Y"/>
    <n v="2"/>
    <d v="2023-07-06T19:54:22"/>
    <s v="N"/>
    <m/>
    <m/>
    <s v="Expert Disbursement"/>
    <m/>
    <s v="N"/>
    <n v="0"/>
    <n v="-10.33"/>
    <x v="4"/>
    <s v="VALIDATED"/>
    <n v="1"/>
    <s v="01.11.80.308.2013.0000"/>
    <n v="-10.33"/>
    <s v="11"/>
    <s v="2013"/>
    <n v="6716.79"/>
    <n v="-10.33"/>
    <s v="CREDITOR"/>
    <n v="0"/>
    <n v="0"/>
    <n v="-10.33"/>
    <n v="0"/>
    <n v="0"/>
  </r>
  <r>
    <n v="60886984"/>
    <s v="N"/>
    <n v="21349570"/>
    <s v="3000015110760003"/>
    <s v="CIVIL"/>
    <d v="2023-06-28T00:00:00"/>
    <d v="2023-07-10T19:01:40"/>
    <m/>
    <d v="2023-07-10T00:00:00"/>
    <n v="62"/>
    <n v="13097"/>
    <s v="60886984"/>
    <s v="60886984"/>
    <m/>
    <m/>
    <n v="22777582"/>
    <m/>
    <m/>
    <m/>
    <s v="SOLFIN"/>
    <s v="SOLFIN"/>
    <s v="CCMS"/>
    <n v="21349570"/>
    <n v="5002.67"/>
    <m/>
    <s v="N"/>
    <n v="8"/>
    <d v="2023-07-10T19:01:53"/>
    <s v="Y"/>
    <s v="Solicitors Fixed Fee"/>
    <s v="Public Law Children"/>
    <s v="Profit Cost"/>
    <s v="sa"/>
    <s v="Y"/>
    <n v="2013"/>
    <n v="402.6"/>
    <x v="2"/>
    <s v="VALIDATED"/>
    <n v="1"/>
    <s v="01.11.80.308.6100.0000"/>
    <n v="2013"/>
    <s v="11"/>
    <s v="6100"/>
    <n v="6716.79"/>
    <n v="2013"/>
    <s v="CREDITOR"/>
    <n v="0"/>
    <n v="0"/>
    <n v="0"/>
    <n v="0"/>
    <n v="2013"/>
  </r>
  <r>
    <n v="60886984"/>
    <s v="N"/>
    <n v="21356237"/>
    <s v="3000015110760002RC"/>
    <s v="CIVIL"/>
    <d v="2023-06-28T00:00:00"/>
    <d v="2023-07-10T19:47:44"/>
    <m/>
    <d v="2023-07-10T00:00:00"/>
    <n v="62"/>
    <n v="13097"/>
    <s v="60886984"/>
    <s v="60886984"/>
    <m/>
    <m/>
    <m/>
    <m/>
    <m/>
    <m/>
    <s v="SOLRECOUP"/>
    <s v="SOLRECOUP"/>
    <s v="POARECOUP"/>
    <n v="21356237"/>
    <n v="-651.76"/>
    <m/>
    <s v="Y"/>
    <n v="1"/>
    <d v="2023-07-10T19:47:44"/>
    <s v="N"/>
    <m/>
    <m/>
    <s v="Expert Disbursement"/>
    <m/>
    <s v="N"/>
    <n v="-543.13"/>
    <n v="0"/>
    <x v="2"/>
    <s v="VALIDATED"/>
    <n v="1"/>
    <s v="01.11.80.308.2013.0000"/>
    <n v="-543.13"/>
    <s v="11"/>
    <s v="2013"/>
    <n v="6716.79"/>
    <n v="-543.13"/>
    <s v="CREDITOR"/>
    <n v="0"/>
    <n v="0"/>
    <n v="-543.13"/>
    <n v="0"/>
    <n v="0"/>
  </r>
  <r>
    <n v="60886984"/>
    <s v="N"/>
    <n v="21356237"/>
    <s v="3000015110760002RC"/>
    <s v="CIVIL"/>
    <d v="2023-06-28T00:00:00"/>
    <d v="2023-07-10T19:47:44"/>
    <m/>
    <d v="2023-07-10T00:00:00"/>
    <n v="62"/>
    <n v="13097"/>
    <s v="60886984"/>
    <s v="60886984"/>
    <m/>
    <m/>
    <m/>
    <m/>
    <m/>
    <m/>
    <s v="SOLRECOUP"/>
    <s v="SOLRECOUP"/>
    <s v="POARECOUP"/>
    <n v="21356237"/>
    <n v="-651.76"/>
    <m/>
    <s v="Y"/>
    <n v="2"/>
    <d v="2023-07-10T19:47:44"/>
    <s v="N"/>
    <m/>
    <m/>
    <s v="Expert Disbursement"/>
    <m/>
    <s v="N"/>
    <n v="0"/>
    <n v="-108.63"/>
    <x v="2"/>
    <s v="VALIDATED"/>
    <n v="1"/>
    <s v="01.11.80.308.2013.0000"/>
    <n v="-108.63"/>
    <s v="11"/>
    <s v="2013"/>
    <n v="6716.79"/>
    <n v="-108.63"/>
    <s v="CREDITOR"/>
    <n v="0"/>
    <n v="0"/>
    <n v="-108.63"/>
    <n v="0"/>
    <n v="0"/>
  </r>
  <r>
    <n v="61940520"/>
    <s v="N"/>
    <n v="21328562"/>
    <s v="3000015992070002RC"/>
    <s v="CIVIL"/>
    <d v="2023-06-20T00:00:00"/>
    <d v="2023-07-04T19:38:21"/>
    <m/>
    <d v="2023-07-04T00:00:00"/>
    <n v="62"/>
    <n v="13097"/>
    <s v="61940520"/>
    <s v="61940520"/>
    <m/>
    <m/>
    <m/>
    <m/>
    <m/>
    <m/>
    <s v="SOLRECOUP"/>
    <s v="SOLRECOUP"/>
    <s v="POARECOUP"/>
    <n v="21328562"/>
    <n v="-489.89"/>
    <m/>
    <s v="Y"/>
    <n v="1"/>
    <d v="2023-07-04T19:38:22"/>
    <s v="N"/>
    <m/>
    <m/>
    <s v="Expert Disbursement"/>
    <m/>
    <s v="N"/>
    <n v="-408.24"/>
    <n v="0"/>
    <x v="1"/>
    <s v="VALIDATED"/>
    <n v="1"/>
    <s v="01.11.80.308.2013.0000"/>
    <n v="-408.24"/>
    <s v="11"/>
    <s v="2013"/>
    <n v="6716.79"/>
    <n v="-408.24"/>
    <s v="CREDITOR"/>
    <n v="0"/>
    <n v="0"/>
    <n v="-408.24"/>
    <n v="0"/>
    <n v="0"/>
  </r>
  <r>
    <n v="61940520"/>
    <s v="N"/>
    <n v="21328562"/>
    <s v="3000015992070002RC"/>
    <s v="CIVIL"/>
    <d v="2023-06-20T00:00:00"/>
    <d v="2023-07-04T19:38:21"/>
    <m/>
    <d v="2023-07-04T00:00:00"/>
    <n v="62"/>
    <n v="13097"/>
    <s v="61940520"/>
    <s v="61940520"/>
    <m/>
    <m/>
    <m/>
    <m/>
    <m/>
    <m/>
    <s v="SOLRECOUP"/>
    <s v="SOLRECOUP"/>
    <s v="POARECOUP"/>
    <n v="21328562"/>
    <n v="-489.89"/>
    <m/>
    <s v="Y"/>
    <n v="2"/>
    <d v="2023-07-04T19:38:22"/>
    <s v="N"/>
    <m/>
    <m/>
    <s v="Expert Disbursement"/>
    <m/>
    <s v="N"/>
    <n v="0"/>
    <n v="-81.65000000000001"/>
    <x v="1"/>
    <s v="VALIDATED"/>
    <n v="1"/>
    <s v="01.11.80.308.2013.0000"/>
    <n v="-81.65000000000001"/>
    <s v="11"/>
    <s v="2013"/>
    <n v="6716.79"/>
    <n v="-81.65000000000001"/>
    <s v="CREDITOR"/>
    <n v="0"/>
    <n v="0"/>
    <n v="-81.65000000000001"/>
    <n v="0"/>
    <n v="0"/>
  </r>
  <r>
    <n v="61107093"/>
    <s v="N"/>
    <n v="21338511"/>
    <s v="3000015297900003"/>
    <s v="CIVIL"/>
    <d v="2023-06-28T00:00:00"/>
    <d v="2023-07-06T19:21:01"/>
    <m/>
    <d v="2023-07-06T00:00:00"/>
    <n v="62"/>
    <n v="13097"/>
    <s v="61107093"/>
    <s v="61107093"/>
    <m/>
    <m/>
    <n v="22777576"/>
    <m/>
    <m/>
    <m/>
    <s v="SOLFIN"/>
    <s v="SOLFIN"/>
    <s v="CCMS"/>
    <n v="21338511"/>
    <n v="4468.44"/>
    <m/>
    <s v="N"/>
    <n v="3"/>
    <d v="2023-07-06T19:21:27"/>
    <s v="Y"/>
    <s v="Solicitor Travel Mileage"/>
    <s v="Public Law Children"/>
    <s v="Non Expert Disbursement"/>
    <s v="sa"/>
    <s v="Y"/>
    <n v="27.9"/>
    <n v="5.58"/>
    <x v="4"/>
    <s v="VALIDATED"/>
    <n v="1"/>
    <s v="01.11.80.308.6300.0000"/>
    <n v="27.9"/>
    <s v="11"/>
    <s v="6300"/>
    <n v="6716.79"/>
    <n v="27.9"/>
    <s v="CREDITOR"/>
    <n v="0"/>
    <n v="0"/>
    <n v="0"/>
    <n v="0"/>
    <n v="27.9"/>
  </r>
  <r>
    <n v="61107093"/>
    <s v="N"/>
    <n v="21338511"/>
    <s v="3000015297900003"/>
    <s v="CIVIL"/>
    <d v="2023-06-28T00:00:00"/>
    <d v="2023-07-06T19:21:01"/>
    <m/>
    <d v="2023-07-06T00:00:00"/>
    <n v="62"/>
    <n v="13097"/>
    <s v="61107093"/>
    <s v="61107093"/>
    <m/>
    <m/>
    <n v="22777576"/>
    <m/>
    <m/>
    <m/>
    <s v="SOLFIN"/>
    <s v="SOLFIN"/>
    <s v="CCMS"/>
    <n v="21338511"/>
    <n v="4468.44"/>
    <m/>
    <s v="N"/>
    <n v="2"/>
    <d v="2023-07-06T19:21:27"/>
    <s v="Y"/>
    <s v="Toxicologist"/>
    <s v="Public Law Children"/>
    <s v="Expert Disbursement"/>
    <s v="sa"/>
    <s v="Y"/>
    <n v="51.66"/>
    <n v="10.33"/>
    <x v="4"/>
    <s v="VALIDATED"/>
    <n v="1"/>
    <s v="01.11.80.308.6300.0000"/>
    <n v="51.66"/>
    <s v="11"/>
    <s v="6300"/>
    <n v="6716.79"/>
    <n v="51.66"/>
    <s v="CREDITOR"/>
    <n v="0"/>
    <n v="0"/>
    <n v="0"/>
    <n v="0"/>
    <n v="51.66"/>
  </r>
  <r>
    <n v="60886984"/>
    <s v="N"/>
    <n v="21349570"/>
    <s v="3000015110760003"/>
    <s v="CIVIL"/>
    <d v="2023-06-28T00:00:00"/>
    <d v="2023-07-10T19:01:40"/>
    <m/>
    <d v="2023-07-10T00:00:00"/>
    <n v="62"/>
    <n v="13097"/>
    <s v="60886984"/>
    <s v="60886984"/>
    <m/>
    <m/>
    <n v="22777582"/>
    <m/>
    <m/>
    <m/>
    <s v="SOLFIN"/>
    <s v="SOLFIN"/>
    <s v="CCMS"/>
    <n v="21349570"/>
    <n v="5002.67"/>
    <m/>
    <s v="N"/>
    <n v="6"/>
    <d v="2023-07-10T19:01:53"/>
    <s v="Y"/>
    <s v="Final Hearing - 1 Day"/>
    <s v="Public Law Children"/>
    <s v="Advocacy"/>
    <s v="sa"/>
    <s v="Y"/>
    <n v="556.88"/>
    <n v="111.38"/>
    <x v="2"/>
    <s v="VALIDATED"/>
    <n v="1"/>
    <s v="01.11.80.308.6100.0000"/>
    <n v="556.88"/>
    <s v="11"/>
    <s v="6100"/>
    <n v="6716.79"/>
    <n v="556.88"/>
    <s v="CREDITOR"/>
    <n v="0"/>
    <n v="0"/>
    <n v="0"/>
    <n v="0"/>
    <n v="556.88"/>
  </r>
  <r>
    <n v="60886984"/>
    <s v="N"/>
    <n v="21349570"/>
    <s v="3000015110760003"/>
    <s v="CIVIL"/>
    <d v="2023-06-28T00:00:00"/>
    <d v="2023-07-10T19:01:40"/>
    <m/>
    <d v="2023-07-10T00:00:00"/>
    <n v="62"/>
    <n v="13097"/>
    <s v="60886984"/>
    <s v="60886984"/>
    <m/>
    <m/>
    <n v="22777582"/>
    <m/>
    <m/>
    <m/>
    <s v="SOLFIN"/>
    <s v="SOLFIN"/>
    <s v="CCMS"/>
    <n v="21349570"/>
    <n v="5002.67"/>
    <m/>
    <s v="N"/>
    <n v="1"/>
    <d v="2023-07-10T19:01:53"/>
    <s v="Y"/>
    <s v="Interim Hearing Court Bundle/Advoca"/>
    <s v="Public Law Children"/>
    <s v="Advocacy"/>
    <s v="sa"/>
    <s v="Y"/>
    <n v="59.4"/>
    <n v="11.88"/>
    <x v="2"/>
    <s v="VALIDATED"/>
    <n v="1"/>
    <s v="01.11.80.308.6100.0000"/>
    <n v="59.4"/>
    <s v="11"/>
    <s v="6100"/>
    <n v="6716.79"/>
    <n v="59.4"/>
    <s v="CREDITOR"/>
    <n v="0"/>
    <n v="0"/>
    <n v="0"/>
    <n v="0"/>
    <n v="59.4"/>
  </r>
  <r>
    <n v="60886984"/>
    <s v="N"/>
    <n v="21349570"/>
    <s v="3000015110760003"/>
    <s v="CIVIL"/>
    <d v="2023-06-28T00:00:00"/>
    <d v="2023-07-10T19:01:40"/>
    <m/>
    <d v="2023-07-10T00:00:00"/>
    <n v="62"/>
    <n v="13097"/>
    <s v="60886984"/>
    <s v="60886984"/>
    <m/>
    <m/>
    <n v="22777582"/>
    <m/>
    <m/>
    <m/>
    <s v="SOLFIN"/>
    <s v="SOLFIN"/>
    <s v="CCMS"/>
    <n v="21349570"/>
    <n v="5002.67"/>
    <m/>
    <s v="N"/>
    <n v="4"/>
    <d v="2023-07-10T19:01:53"/>
    <s v="Y"/>
    <s v="Psychiatrist"/>
    <s v="Public Law Children"/>
    <s v="Expert Disbursement"/>
    <s v="sa"/>
    <s v="Y"/>
    <n v="543.13"/>
    <n v="108.63"/>
    <x v="2"/>
    <s v="VALIDATED"/>
    <n v="1"/>
    <s v="01.11.80.308.6300.0000"/>
    <n v="543.13"/>
    <s v="11"/>
    <s v="6300"/>
    <n v="6716.79"/>
    <n v="543.13"/>
    <s v="CREDITOR"/>
    <n v="0"/>
    <n v="0"/>
    <n v="0"/>
    <n v="0"/>
    <n v="543.13"/>
  </r>
  <r>
    <n v="60886984"/>
    <s v="N"/>
    <n v="21349570"/>
    <s v="3000015110760003"/>
    <s v="CIVIL"/>
    <d v="2023-06-28T00:00:00"/>
    <d v="2023-07-10T19:01:40"/>
    <m/>
    <d v="2023-07-10T00:00:00"/>
    <n v="62"/>
    <n v="13097"/>
    <s v="60886984"/>
    <s v="60886984"/>
    <m/>
    <m/>
    <n v="22777582"/>
    <m/>
    <m/>
    <m/>
    <s v="SOLFIN"/>
    <s v="SOLFIN"/>
    <s v="CCMS"/>
    <n v="21349570"/>
    <n v="5002.67"/>
    <m/>
    <s v="N"/>
    <n v="2"/>
    <d v="2023-07-10T19:01:53"/>
    <s v="Y"/>
    <s v="Final Hearing Court Bundle/Advocate"/>
    <s v="Public Law Children"/>
    <s v="Advocacy"/>
    <s v="sa"/>
    <s v="Y"/>
    <n v="239.4"/>
    <n v="47.88"/>
    <x v="2"/>
    <s v="VALIDATED"/>
    <n v="1"/>
    <s v="01.11.80.308.6100.0000"/>
    <n v="239.4"/>
    <s v="11"/>
    <s v="6100"/>
    <n v="6716.79"/>
    <n v="239.4"/>
    <s v="CREDITOR"/>
    <n v="0"/>
    <n v="0"/>
    <n v="0"/>
    <n v="0"/>
    <n v="239.4"/>
  </r>
  <r>
    <n v="61107093"/>
    <s v="N"/>
    <n v="21338511"/>
    <s v="3000015297900003"/>
    <s v="CIVIL"/>
    <d v="2023-06-28T00:00:00"/>
    <d v="2023-07-06T19:21:01"/>
    <m/>
    <d v="2023-07-06T00:00:00"/>
    <n v="62"/>
    <n v="13097"/>
    <s v="61107093"/>
    <s v="61107093"/>
    <m/>
    <m/>
    <n v="22777576"/>
    <m/>
    <m/>
    <m/>
    <s v="SOLFIN"/>
    <s v="SOLFIN"/>
    <s v="CCMS"/>
    <n v="21338511"/>
    <n v="4468.44"/>
    <m/>
    <s v="N"/>
    <n v="8"/>
    <d v="2023-07-06T19:21:27"/>
    <s v="Y"/>
    <s v="Solicitors Fixed Fee"/>
    <s v="Public Law Children"/>
    <s v="Profit Cost"/>
    <s v="sa"/>
    <s v="Y"/>
    <n v="2013"/>
    <n v="402.6"/>
    <x v="4"/>
    <s v="VALIDATED"/>
    <n v="1"/>
    <s v="01.11.80.308.6100.0000"/>
    <n v="2013"/>
    <s v="11"/>
    <s v="6100"/>
    <n v="6716.79"/>
    <n v="2013"/>
    <s v="CREDITOR"/>
    <n v="0"/>
    <n v="0"/>
    <n v="0"/>
    <n v="0"/>
    <n v="2013"/>
  </r>
  <r>
    <n v="61107093"/>
    <s v="N"/>
    <n v="21338511"/>
    <s v="3000015297900003"/>
    <s v="CIVIL"/>
    <d v="2023-06-28T00:00:00"/>
    <d v="2023-07-06T19:21:01"/>
    <m/>
    <d v="2023-07-06T00:00:00"/>
    <n v="62"/>
    <n v="13097"/>
    <s v="61107093"/>
    <s v="61107093"/>
    <m/>
    <m/>
    <n v="22777576"/>
    <m/>
    <m/>
    <m/>
    <s v="SOLFIN"/>
    <s v="SOLFIN"/>
    <s v="CCMS"/>
    <n v="21338511"/>
    <n v="4468.44"/>
    <m/>
    <s v="N"/>
    <n v="6"/>
    <d v="2023-07-06T19:21:27"/>
    <s v="Y"/>
    <s v="Hearing Unit 2.31 - 5.00 Hours"/>
    <s v="Public Law Children"/>
    <s v="Advocacy"/>
    <s v="sa"/>
    <s v="Y"/>
    <n v="476.92"/>
    <n v="95.38"/>
    <x v="4"/>
    <s v="VALIDATED"/>
    <n v="1"/>
    <s v="01.11.80.308.6100.0000"/>
    <n v="476.92"/>
    <s v="11"/>
    <s v="6100"/>
    <n v="6716.79"/>
    <n v="476.92"/>
    <s v="CREDITOR"/>
    <n v="0"/>
    <n v="0"/>
    <n v="0"/>
    <n v="0"/>
    <n v="476.92"/>
  </r>
  <r>
    <n v="61107093"/>
    <s v="N"/>
    <n v="21338511"/>
    <s v="3000015297900003"/>
    <s v="CIVIL"/>
    <d v="2023-06-28T00:00:00"/>
    <d v="2023-07-06T19:21:01"/>
    <m/>
    <d v="2023-07-06T00:00:00"/>
    <n v="62"/>
    <n v="13097"/>
    <s v="61107093"/>
    <s v="61107093"/>
    <m/>
    <m/>
    <n v="22777576"/>
    <m/>
    <m/>
    <m/>
    <s v="SOLFIN"/>
    <s v="SOLFIN"/>
    <s v="CCMS"/>
    <n v="21338511"/>
    <n v="4468.44"/>
    <m/>
    <s v="N"/>
    <n v="5"/>
    <d v="2023-07-06T19:21:27"/>
    <s v="Y"/>
    <s v="Advocates Meeting"/>
    <s v="Public Law Children"/>
    <s v="Advocacy"/>
    <s v="sa"/>
    <s v="Y"/>
    <n v="140.99"/>
    <n v="28.2"/>
    <x v="4"/>
    <s v="VALIDATED"/>
    <n v="1"/>
    <s v="01.11.80.308.6100.0000"/>
    <n v="140.99"/>
    <s v="11"/>
    <s v="6100"/>
    <n v="6716.79"/>
    <n v="140.99"/>
    <s v="CREDITOR"/>
    <n v="0"/>
    <n v="0"/>
    <n v="0"/>
    <n v="0"/>
    <n v="140.99"/>
  </r>
  <r>
    <n v="61940520"/>
    <s v="N"/>
    <n v="21327656"/>
    <s v="3000015992070003"/>
    <s v="CIVIL"/>
    <d v="2023-06-20T00:00:00"/>
    <d v="2023-07-04T19:00:44"/>
    <m/>
    <d v="2023-07-04T00:00:00"/>
    <n v="62"/>
    <n v="13097"/>
    <s v="61940520"/>
    <s v="61940520"/>
    <m/>
    <m/>
    <n v="22721824"/>
    <m/>
    <m/>
    <m/>
    <s v="SOLINT"/>
    <s v="SOLINT"/>
    <s v="CCMS"/>
    <n v="21327656"/>
    <n v="0"/>
    <m/>
    <s v="N"/>
    <n v="1"/>
    <d v="2023-07-04T19:00:51"/>
    <s v="N"/>
    <s v="NIL BILL"/>
    <s v="Public Law Children"/>
    <s v="Profit Cost"/>
    <s v="sa"/>
    <s v="N"/>
    <n v="0"/>
    <n v="0"/>
    <x v="1"/>
    <s v="VALIDATED"/>
    <n v="1"/>
    <s v="01.11.80.308.6100.0000"/>
    <n v="0"/>
    <s v="11"/>
    <s v="6100"/>
    <n v="6716.79"/>
    <n v="0"/>
    <s v="CREDITOR"/>
    <n v="0"/>
    <n v="0"/>
    <n v="0"/>
    <n v="0"/>
    <n v="0"/>
  </r>
  <r>
    <n v="61107093"/>
    <s v="N"/>
    <n v="21338511"/>
    <s v="3000015297900003"/>
    <s v="CIVIL"/>
    <d v="2023-06-28T00:00:00"/>
    <d v="2023-07-06T19:21:01"/>
    <m/>
    <d v="2023-07-06T00:00:00"/>
    <n v="62"/>
    <n v="13097"/>
    <s v="61107093"/>
    <s v="61107093"/>
    <m/>
    <m/>
    <n v="22777576"/>
    <m/>
    <m/>
    <m/>
    <s v="SOLFIN"/>
    <s v="SOLFIN"/>
    <s v="CCMS"/>
    <n v="21338511"/>
    <n v="4468.44"/>
    <m/>
    <s v="N"/>
    <n v="7"/>
    <d v="2023-07-06T19:21:27"/>
    <s v="Y"/>
    <s v="Hearing Unit 2.31 - 5.00 Hours"/>
    <s v="Public Law Children"/>
    <s v="Advocacy"/>
    <s v="sa"/>
    <s v="Y"/>
    <n v="476.92"/>
    <n v="95.38"/>
    <x v="4"/>
    <s v="VALIDATED"/>
    <n v="1"/>
    <s v="01.11.80.308.6100.0000"/>
    <n v="476.92"/>
    <s v="11"/>
    <s v="6100"/>
    <n v="6716.79"/>
    <n v="476.92"/>
    <s v="CREDITOR"/>
    <n v="0"/>
    <n v="0"/>
    <n v="0"/>
    <n v="0"/>
    <n v="476.92"/>
  </r>
  <r>
    <n v="61107093"/>
    <s v="N"/>
    <n v="21338511"/>
    <s v="3000015297900003"/>
    <s v="CIVIL"/>
    <d v="2023-06-28T00:00:00"/>
    <d v="2023-07-06T19:21:01"/>
    <m/>
    <d v="2023-07-06T00:00:00"/>
    <n v="62"/>
    <n v="13097"/>
    <s v="61107093"/>
    <s v="61107093"/>
    <m/>
    <m/>
    <n v="22777576"/>
    <m/>
    <m/>
    <m/>
    <s v="SOLFIN"/>
    <s v="SOLFIN"/>
    <s v="CCMS"/>
    <n v="21338511"/>
    <n v="4468.44"/>
    <m/>
    <s v="N"/>
    <n v="4"/>
    <d v="2023-07-06T19:21:27"/>
    <s v="Y"/>
    <s v="Hearing Unit 2.31 - 5.00 Hours"/>
    <s v="Public Law Children"/>
    <s v="Advocacy"/>
    <s v="sa"/>
    <s v="Y"/>
    <n v="476.92"/>
    <n v="95.38"/>
    <x v="4"/>
    <s v="VALIDATED"/>
    <n v="1"/>
    <s v="01.11.80.308.6100.0000"/>
    <n v="476.92"/>
    <s v="11"/>
    <s v="6100"/>
    <n v="6716.79"/>
    <n v="476.92"/>
    <s v="CREDITOR"/>
    <n v="0"/>
    <n v="0"/>
    <n v="0"/>
    <n v="0"/>
    <n v="476.92"/>
  </r>
  <r>
    <n v="61107093"/>
    <s v="N"/>
    <n v="21338511"/>
    <s v="3000015297900003"/>
    <s v="CIVIL"/>
    <d v="2023-06-28T00:00:00"/>
    <d v="2023-07-06T19:21:01"/>
    <m/>
    <d v="2023-07-06T00:00:00"/>
    <n v="62"/>
    <n v="13097"/>
    <s v="61107093"/>
    <s v="61107093"/>
    <m/>
    <m/>
    <n v="22777576"/>
    <m/>
    <m/>
    <m/>
    <s v="SOLFIN"/>
    <s v="SOLFIN"/>
    <s v="CCMS"/>
    <n v="21338511"/>
    <n v="4468.44"/>
    <m/>
    <s v="N"/>
    <n v="1"/>
    <d v="2023-07-06T19:21:27"/>
    <s v="Y"/>
    <s v="Interim Hearing Court Bundle/Advoca"/>
    <s v="Public Law Children"/>
    <s v="Advocacy"/>
    <s v="sa"/>
    <s v="Y"/>
    <n v="59.4"/>
    <n v="11.88"/>
    <x v="4"/>
    <s v="VALIDATED"/>
    <n v="1"/>
    <s v="01.11.80.308.6100.0000"/>
    <n v="59.4"/>
    <s v="11"/>
    <s v="6100"/>
    <n v="6716.79"/>
    <n v="59.4"/>
    <s v="CREDITOR"/>
    <n v="0"/>
    <n v="0"/>
    <n v="0"/>
    <n v="0"/>
    <n v="59.4"/>
  </r>
  <r>
    <n v="60886984"/>
    <s v="N"/>
    <n v="21349570"/>
    <s v="3000015110760003"/>
    <s v="CIVIL"/>
    <d v="2023-06-28T00:00:00"/>
    <d v="2023-07-10T19:01:40"/>
    <m/>
    <d v="2023-07-10T00:00:00"/>
    <n v="62"/>
    <n v="13097"/>
    <s v="60886984"/>
    <s v="60886984"/>
    <m/>
    <m/>
    <n v="22777582"/>
    <m/>
    <m/>
    <m/>
    <s v="SOLFIN"/>
    <s v="SOLFIN"/>
    <s v="CCMS"/>
    <n v="21349570"/>
    <n v="5002.67"/>
    <m/>
    <s v="N"/>
    <n v="7"/>
    <d v="2023-07-10T19:01:53"/>
    <s v="Y"/>
    <s v="Hearing Unit 2.31 - 5.00 Hours"/>
    <s v="Public Law Children"/>
    <s v="Advocacy"/>
    <s v="sa"/>
    <s v="Y"/>
    <n v="476.92"/>
    <n v="95.38"/>
    <x v="2"/>
    <s v="VALIDATED"/>
    <n v="1"/>
    <s v="01.11.80.308.6100.0000"/>
    <n v="476.92"/>
    <s v="11"/>
    <s v="6100"/>
    <n v="6716.79"/>
    <n v="476.92"/>
    <s v="CREDITOR"/>
    <n v="0"/>
    <n v="0"/>
    <n v="0"/>
    <n v="0"/>
    <n v="476.92"/>
  </r>
  <r>
    <n v="60886984"/>
    <s v="N"/>
    <n v="21349570"/>
    <s v="3000015110760003"/>
    <s v="CIVIL"/>
    <d v="2023-06-28T00:00:00"/>
    <d v="2023-07-10T19:01:40"/>
    <m/>
    <d v="2023-07-10T00:00:00"/>
    <n v="62"/>
    <n v="13097"/>
    <s v="60886984"/>
    <s v="60886984"/>
    <m/>
    <m/>
    <n v="22777582"/>
    <m/>
    <m/>
    <m/>
    <s v="SOLFIN"/>
    <s v="SOLFIN"/>
    <s v="CCMS"/>
    <n v="21349570"/>
    <n v="5002.67"/>
    <m/>
    <s v="N"/>
    <n v="3"/>
    <d v="2023-07-10T19:01:53"/>
    <s v="Y"/>
    <s v="Court Fee"/>
    <s v="Public Law Children"/>
    <s v="Non Expert Disbursement"/>
    <s v="sa"/>
    <s v="Y"/>
    <n v="167"/>
    <n v="0"/>
    <x v="2"/>
    <s v="VALIDATED"/>
    <n v="1"/>
    <s v="01.11.80.308.6300.0000"/>
    <n v="167"/>
    <s v="11"/>
    <s v="6300"/>
    <n v="6716.79"/>
    <n v="167"/>
    <s v="CREDITOR"/>
    <n v="0"/>
    <n v="0"/>
    <n v="0"/>
    <n v="0"/>
    <n v="167"/>
  </r>
  <r>
    <n v="60886984"/>
    <s v="N"/>
    <n v="21349570"/>
    <s v="3000015110760003"/>
    <s v="CIVIL"/>
    <d v="2023-06-28T00:00:00"/>
    <d v="2023-07-10T19:01:40"/>
    <m/>
    <d v="2023-07-10T00:00:00"/>
    <n v="62"/>
    <n v="13097"/>
    <s v="60886984"/>
    <s v="60886984"/>
    <m/>
    <m/>
    <n v="22777582"/>
    <m/>
    <m/>
    <m/>
    <s v="SOLFIN"/>
    <s v="SOLFIN"/>
    <s v="CCMS"/>
    <n v="21349570"/>
    <n v="5002.67"/>
    <m/>
    <s v="N"/>
    <n v="5"/>
    <d v="2023-07-10T19:01:53"/>
    <s v="Y"/>
    <s v="Advocates Meeting"/>
    <s v="Public Law Children"/>
    <s v="Advocacy"/>
    <s v="sa"/>
    <s v="Y"/>
    <n v="140.99"/>
    <n v="28.2"/>
    <x v="2"/>
    <s v="VALIDATED"/>
    <n v="1"/>
    <s v="01.11.80.308.6100.0000"/>
    <n v="140.99"/>
    <s v="11"/>
    <s v="6100"/>
    <n v="6716.79"/>
    <n v="140.99"/>
    <s v="CREDITOR"/>
    <n v="0"/>
    <n v="0"/>
    <n v="0"/>
    <n v="0"/>
    <n v="140.99"/>
  </r>
  <r>
    <n v="61107093"/>
    <s v="N"/>
    <n v="21339837"/>
    <s v="3000015297900001RC"/>
    <s v="CIVIL"/>
    <d v="2023-06-28T00:00:00"/>
    <d v="2023-07-06T19:54:22"/>
    <m/>
    <d v="2023-07-06T00:00:00"/>
    <n v="62"/>
    <n v="13097"/>
    <s v="61107093"/>
    <s v="61107093"/>
    <m/>
    <m/>
    <m/>
    <m/>
    <m/>
    <m/>
    <s v="SOLRECOUP"/>
    <s v="SOLRECOUP"/>
    <s v="POARECOUP"/>
    <n v="21339837"/>
    <n v="-61.99"/>
    <m/>
    <s v="Y"/>
    <n v="1"/>
    <d v="2023-07-06T19:54:22"/>
    <s v="N"/>
    <m/>
    <m/>
    <s v="Expert Disbursement"/>
    <m/>
    <s v="N"/>
    <n v="-51.66"/>
    <n v="0"/>
    <x v="4"/>
    <s v="VALIDATED"/>
    <n v="1"/>
    <s v="01.11.80.308.2013.0000"/>
    <n v="-51.66"/>
    <s v="11"/>
    <s v="2013"/>
    <n v="6716.79"/>
    <n v="-51.66"/>
    <s v="CREDITOR"/>
    <n v="0"/>
    <n v="0"/>
    <n v="-51.66"/>
    <n v="0"/>
    <n v="0"/>
  </r>
  <r>
    <n v="62493202"/>
    <s v="N"/>
    <n v="21323161"/>
    <s v="3000016452020001"/>
    <s v="CIVIL"/>
    <d v="2023-06-29T00:00:00"/>
    <d v="2023-07-03T19:05:36"/>
    <m/>
    <d v="2023-07-03T00:00:00"/>
    <n v="64"/>
    <n v="13119"/>
    <s v="62493202"/>
    <s v="62493202"/>
    <m/>
    <m/>
    <n v="22793960"/>
    <m/>
    <m/>
    <m/>
    <s v="SOLPOA"/>
    <s v="SOLPOA"/>
    <s v="CCMS"/>
    <n v="21323161"/>
    <n v="572.27"/>
    <m/>
    <s v="N"/>
    <n v="1"/>
    <d v="2023-07-03T19:05:41"/>
    <s v="N"/>
    <s v="Non Expert Disbursement"/>
    <s v="Non Expert Disbursement"/>
    <s v="Non Expert Disbursement"/>
    <s v="Susan Watler"/>
    <s v="N"/>
    <n v="476.89"/>
    <n v="95.38"/>
    <x v="3"/>
    <s v="VALIDATED"/>
    <n v="1"/>
    <s v="01.11.80.308.2012.0000"/>
    <n v="476.89"/>
    <s v="11"/>
    <s v="2012"/>
    <n v="3364.36"/>
    <n v="476.89"/>
    <s v="CREDITOR"/>
    <n v="476.89"/>
    <n v="0"/>
    <n v="0"/>
    <n v="0"/>
    <n v="0"/>
  </r>
  <r>
    <n v="61787688"/>
    <s v="N"/>
    <n v="21323125"/>
    <s v="3000015863310008"/>
    <s v="CIVIL"/>
    <d v="2023-06-29T00:00:00"/>
    <d v="2023-07-03T19:05:36"/>
    <m/>
    <d v="2023-07-03T00:00:00"/>
    <n v="64"/>
    <n v="13119"/>
    <s v="61787688"/>
    <s v="61787688"/>
    <m/>
    <m/>
    <n v="22793982"/>
    <m/>
    <m/>
    <m/>
    <s v="SOLPOA"/>
    <s v="SOLPOA"/>
    <s v="CCMS"/>
    <n v="21323125"/>
    <n v="64.8"/>
    <m/>
    <s v="N"/>
    <n v="1"/>
    <d v="2023-07-03T19:05:41"/>
    <s v="N"/>
    <s v="Expert Cost"/>
    <s v="Expert Cost"/>
    <s v="Expert Disbursement"/>
    <s v="Susan Watler"/>
    <s v="N"/>
    <n v="54"/>
    <n v="10.8"/>
    <x v="3"/>
    <s v="VALIDATED"/>
    <n v="1"/>
    <s v="01.11.80.308.2012.0000"/>
    <n v="54"/>
    <s v="11"/>
    <s v="2012"/>
    <n v="3364.36"/>
    <n v="54"/>
    <s v="CREDITOR"/>
    <n v="54"/>
    <n v="0"/>
    <n v="0"/>
    <n v="0"/>
    <n v="0"/>
  </r>
  <r>
    <n v="61813225"/>
    <s v="N"/>
    <n v="21322452"/>
    <s v="3000015884630007"/>
    <s v="CIVIL"/>
    <d v="2023-06-29T00:00:00"/>
    <d v="2023-07-03T19:05:36"/>
    <m/>
    <d v="2023-07-03T00:00:00"/>
    <n v="64"/>
    <n v="13119"/>
    <s v="61813225"/>
    <s v="61813225"/>
    <m/>
    <m/>
    <n v="22791778"/>
    <m/>
    <m/>
    <m/>
    <s v="SOLPOA"/>
    <s v="SOLPOA"/>
    <s v="CCMS"/>
    <n v="21322452"/>
    <n v="15.3"/>
    <m/>
    <s v="N"/>
    <n v="1"/>
    <d v="2023-07-03T19:05:38"/>
    <s v="N"/>
    <s v="Non Expert Disbursement"/>
    <s v="Non Expert Disbursement"/>
    <s v="Non Expert Disbursement"/>
    <s v="JLB"/>
    <s v="N"/>
    <n v="15.3"/>
    <n v="0"/>
    <x v="3"/>
    <s v="VALIDATED"/>
    <n v="1"/>
    <s v="01.11.80.308.2012.0000"/>
    <n v="15.3"/>
    <s v="11"/>
    <s v="2012"/>
    <n v="3364.36"/>
    <n v="15.3"/>
    <s v="CREDITOR"/>
    <n v="15.3"/>
    <n v="0"/>
    <n v="0"/>
    <n v="0"/>
    <n v="0"/>
  </r>
  <r>
    <n v="61813225"/>
    <s v="N"/>
    <n v="21322131"/>
    <s v="3000015884630008"/>
    <s v="CIVIL"/>
    <d v="2023-06-29T00:00:00"/>
    <d v="2023-07-03T19:05:17"/>
    <m/>
    <d v="2023-07-03T00:00:00"/>
    <n v="64"/>
    <n v="13119"/>
    <s v="61813225"/>
    <s v="61813225"/>
    <m/>
    <m/>
    <n v="22786994"/>
    <m/>
    <m/>
    <m/>
    <s v="SOLPOA"/>
    <s v="SOLPOA"/>
    <s v="CCMS"/>
    <n v="21322131"/>
    <n v="837.4400000000001"/>
    <m/>
    <s v="N"/>
    <n v="1"/>
    <d v="2023-07-03T19:05:22"/>
    <s v="N"/>
    <s v="Non Expert Disbursement"/>
    <s v="Non Expert Disbursement"/>
    <s v="Non Expert Disbursement"/>
    <s v="JLB"/>
    <s v="N"/>
    <n v="697.87"/>
    <n v="139.57"/>
    <x v="3"/>
    <s v="VALIDATED"/>
    <n v="1"/>
    <s v="01.11.80.308.2012.0000"/>
    <n v="697.87"/>
    <s v="11"/>
    <s v="2012"/>
    <n v="3364.36"/>
    <n v="697.87"/>
    <s v="CREDITOR"/>
    <n v="697.87"/>
    <n v="0"/>
    <n v="0"/>
    <n v="0"/>
    <n v="0"/>
  </r>
  <r>
    <n v="62108042"/>
    <s v="N"/>
    <n v="21322797"/>
    <s v="3000016134210002"/>
    <s v="CIVIL"/>
    <d v="2023-06-29T00:00:00"/>
    <d v="2023-07-03T19:05:36"/>
    <m/>
    <d v="2023-07-03T00:00:00"/>
    <n v="64"/>
    <n v="13119"/>
    <s v="62108042"/>
    <s v="62108042"/>
    <m/>
    <m/>
    <n v="22793942"/>
    <m/>
    <m/>
    <m/>
    <s v="SOLPOA"/>
    <s v="SOLPOA"/>
    <s v="CCMS"/>
    <n v="21322797"/>
    <n v="2511.36"/>
    <m/>
    <s v="N"/>
    <n v="1"/>
    <d v="2023-07-03T19:05:40"/>
    <s v="N"/>
    <s v="Solicitors Fixed Fee"/>
    <s v="Public Law Children"/>
    <s v="Profit Cost"/>
    <s v="JLB"/>
    <s v="N"/>
    <n v="2092.8"/>
    <n v="418.56"/>
    <x v="3"/>
    <s v="VALIDATED"/>
    <n v="1"/>
    <s v="01.11.80.308.2012.0000"/>
    <n v="2092.8"/>
    <s v="11"/>
    <s v="2012"/>
    <n v="3364.36"/>
    <n v="2092.8"/>
    <s v="CREDITOR"/>
    <n v="2092.8"/>
    <n v="523.2"/>
    <n v="0"/>
    <n v="0"/>
    <n v="0"/>
  </r>
  <r>
    <n v="61846023"/>
    <s v="N"/>
    <n v="21323183"/>
    <s v="3000015912350007"/>
    <s v="CIVIL"/>
    <d v="2023-06-29T00:00:00"/>
    <d v="2023-07-03T19:05:36"/>
    <m/>
    <d v="2023-07-03T00:00:00"/>
    <n v="64"/>
    <n v="13119"/>
    <s v="61846023"/>
    <s v="61846023"/>
    <m/>
    <m/>
    <n v="22793976"/>
    <m/>
    <m/>
    <m/>
    <s v="SOLPOA"/>
    <s v="SOLPOA"/>
    <s v="CCMS"/>
    <n v="21323183"/>
    <n v="33"/>
    <m/>
    <s v="N"/>
    <n v="1"/>
    <d v="2023-07-03T19:05:42"/>
    <s v="N"/>
    <s v="Expert Cost"/>
    <s v="Expert Cost"/>
    <s v="Expert Disbursement"/>
    <s v="Susan Watler"/>
    <s v="N"/>
    <n v="27.5"/>
    <n v="5.5"/>
    <x v="3"/>
    <s v="VALIDATED"/>
    <n v="1"/>
    <s v="01.11.80.308.2012.0000"/>
    <n v="27.5"/>
    <s v="11"/>
    <s v="2012"/>
    <n v="3364.36"/>
    <n v="27.5"/>
    <s v="CREDITOR"/>
    <n v="27.5"/>
    <n v="0"/>
    <n v="0"/>
    <n v="0"/>
    <n v="0"/>
  </r>
  <r>
    <n v="61634450"/>
    <s v="N"/>
    <n v="21381800"/>
    <s v="3000015738140003"/>
    <s v="CIVIL"/>
    <d v="2023-06-27T00:00:00"/>
    <d v="2023-07-17T19:01:46"/>
    <m/>
    <d v="2023-07-17T00:00:00"/>
    <n v="67"/>
    <n v="13152"/>
    <s v="61634450"/>
    <s v="61634450"/>
    <m/>
    <m/>
    <n v="22774768"/>
    <m/>
    <m/>
    <m/>
    <s v="SOLFIN"/>
    <s v="SOLFIN"/>
    <s v="CCMS"/>
    <n v="21381800"/>
    <n v="764.4"/>
    <m/>
    <s v="N"/>
    <n v="2"/>
    <d v="2023-07-17T19:01:53"/>
    <s v="Y"/>
    <s v="Level 3 Fixed Fee"/>
    <s v="Finance"/>
    <s v="Profit Cost"/>
    <s v="SB"/>
    <s v="Y"/>
    <n v="392"/>
    <n v="78.40000000000001"/>
    <x v="8"/>
    <s v="VALIDATED"/>
    <n v="1"/>
    <s v="01.11.80.303.6100.0000"/>
    <n v="392"/>
    <s v="11"/>
    <s v="6100"/>
    <n v="3796.8"/>
    <n v="392"/>
    <s v="CREDITOR"/>
    <n v="0"/>
    <n v="0"/>
    <n v="0"/>
    <n v="0"/>
    <n v="392"/>
  </r>
  <r>
    <n v="9409822"/>
    <s v="N"/>
    <n v="21382382"/>
    <s v="3000005371070038"/>
    <s v="CIVIL"/>
    <d v="2023-06-30T00:00:00"/>
    <d v="2023-07-17T19:01:46"/>
    <m/>
    <d v="2023-07-17T00:00:00"/>
    <n v="67"/>
    <n v="13152"/>
    <s v="9409822"/>
    <s v="9409822"/>
    <m/>
    <m/>
    <n v="22799750"/>
    <m/>
    <m/>
    <m/>
    <s v="SOLFIN"/>
    <s v="SOLFIN"/>
    <s v="CCMS"/>
    <n v="21382382"/>
    <n v="17293.6"/>
    <m/>
    <s v="N"/>
    <n v="3"/>
    <d v="2023-07-17T19:02:08"/>
    <s v="Y"/>
    <s v="Disbursements (Summary)"/>
    <s v="VHCC"/>
    <s v="Non Expert Disbursement"/>
    <s v="SB"/>
    <s v="Y"/>
    <n v="1538.17"/>
    <n v="307.63"/>
    <x v="8"/>
    <s v="VALIDATED"/>
    <n v="1"/>
    <s v="01.11.80.308.6300.0000"/>
    <n v="1538.17"/>
    <s v="11"/>
    <s v="6300"/>
    <n v="3796.8"/>
    <n v="1538.17"/>
    <s v="CREDITOR"/>
    <n v="0"/>
    <n v="0"/>
    <n v="0"/>
    <n v="0"/>
    <n v="1538.17"/>
  </r>
  <r>
    <n v="9409822"/>
    <s v="N"/>
    <n v="21382382"/>
    <s v="3000005371070038"/>
    <s v="CIVIL"/>
    <d v="2023-06-30T00:00:00"/>
    <d v="2023-07-17T19:01:46"/>
    <m/>
    <d v="2023-07-17T00:00:00"/>
    <n v="67"/>
    <n v="13152"/>
    <s v="9409822"/>
    <s v="9409822"/>
    <m/>
    <m/>
    <n v="22799750"/>
    <m/>
    <m/>
    <m/>
    <s v="SOLFIN"/>
    <s v="SOLFIN"/>
    <s v="CCMS"/>
    <n v="21382382"/>
    <n v="17293.6"/>
    <m/>
    <s v="N"/>
    <n v="4"/>
    <d v="2023-07-17T19:02:08"/>
    <s v="Y"/>
    <s v="Overrun Payment (Events Model)"/>
    <s v="VHCC"/>
    <s v="Profit Cost"/>
    <s v="SB"/>
    <s v="Y"/>
    <n v="211.5"/>
    <n v="42.3"/>
    <x v="8"/>
    <s v="VALIDATED"/>
    <n v="1"/>
    <s v="01.11.80.308.6100.0000"/>
    <n v="211.5"/>
    <s v="11"/>
    <s v="6100"/>
    <n v="3796.8"/>
    <n v="211.5"/>
    <s v="CREDITOR"/>
    <n v="0"/>
    <n v="0"/>
    <n v="0"/>
    <n v="0"/>
    <n v="211.5"/>
  </r>
  <r>
    <n v="9409822"/>
    <s v="N"/>
    <n v="21387947"/>
    <s v="3000005371070027RC"/>
    <s v="CIVIL"/>
    <d v="2023-06-30T00:00:00"/>
    <d v="2023-07-17T19:42:13"/>
    <m/>
    <d v="2023-07-17T00:00:00"/>
    <n v="67"/>
    <n v="13152"/>
    <s v="9409822"/>
    <s v="9409822"/>
    <m/>
    <m/>
    <m/>
    <m/>
    <m/>
    <m/>
    <s v="SOLRECOUP"/>
    <s v="SOLRECOUP"/>
    <s v="POARECOUP"/>
    <n v="21387947"/>
    <n v="-17.4"/>
    <m/>
    <s v="Y"/>
    <n v="1"/>
    <d v="2023-07-17T19:42:13"/>
    <s v="N"/>
    <m/>
    <m/>
    <s v="Non Expert Disbursement"/>
    <m/>
    <s v="N"/>
    <n v="-17.4"/>
    <n v="0"/>
    <x v="8"/>
    <s v="VALIDATED"/>
    <n v="1"/>
    <s v="01.11.80.308.2013.0000"/>
    <n v="-17.4"/>
    <s v="11"/>
    <s v="2013"/>
    <n v="3796.8"/>
    <n v="-17.4"/>
    <s v="CREDITOR"/>
    <n v="0"/>
    <n v="0"/>
    <n v="-17.4"/>
    <n v="0"/>
    <n v="0"/>
  </r>
  <r>
    <n v="9409822"/>
    <s v="N"/>
    <n v="21387947"/>
    <s v="3000005371070027RC"/>
    <s v="CIVIL"/>
    <d v="2023-06-30T00:00:00"/>
    <d v="2023-07-17T19:42:13"/>
    <m/>
    <d v="2023-07-17T00:00:00"/>
    <n v="67"/>
    <n v="13152"/>
    <s v="9409822"/>
    <s v="9409822"/>
    <m/>
    <m/>
    <m/>
    <m/>
    <m/>
    <m/>
    <s v="SOLRECOUP"/>
    <s v="SOLRECOUP"/>
    <s v="POARECOUP"/>
    <n v="21387947"/>
    <n v="-17.4"/>
    <m/>
    <s v="Y"/>
    <n v="2"/>
    <d v="2023-07-17T19:42:13"/>
    <s v="N"/>
    <m/>
    <m/>
    <s v="Non Expert Disbursement"/>
    <m/>
    <s v="N"/>
    <n v="0"/>
    <n v="0"/>
    <x v="8"/>
    <s v="VALIDATED"/>
    <n v="1"/>
    <s v="01.11.80.000.0000.0000"/>
    <n v="0"/>
    <s v="11"/>
    <s v="0000"/>
    <n v="3796.8"/>
    <n v="0"/>
    <s v="CREDITOR"/>
    <n v="0"/>
    <n v="0"/>
    <n v="0"/>
    <n v="0"/>
    <n v="0"/>
  </r>
  <r>
    <n v="9409822"/>
    <s v="N"/>
    <n v="21387948"/>
    <s v="3000005371070028RC"/>
    <s v="CIVIL"/>
    <d v="2023-06-30T00:00:00"/>
    <d v="2023-07-17T19:42:13"/>
    <m/>
    <d v="2023-07-17T00:00:00"/>
    <n v="67"/>
    <n v="13152"/>
    <s v="9409822"/>
    <s v="9409822"/>
    <m/>
    <m/>
    <m/>
    <m/>
    <m/>
    <m/>
    <s v="SOLRECOUP"/>
    <s v="SOLRECOUP"/>
    <s v="POARECOUP"/>
    <n v="21387948"/>
    <n v="-233.28"/>
    <m/>
    <s v="Y"/>
    <n v="2"/>
    <d v="2023-07-17T19:42:13"/>
    <s v="N"/>
    <m/>
    <m/>
    <s v="Expert Disbursement"/>
    <m/>
    <s v="N"/>
    <n v="0"/>
    <n v="-38.88"/>
    <x v="8"/>
    <s v="VALIDATED"/>
    <n v="1"/>
    <s v="01.11.80.308.2013.0000"/>
    <n v="-38.88"/>
    <s v="11"/>
    <s v="2013"/>
    <n v="3796.8"/>
    <n v="-38.88"/>
    <s v="CREDITOR"/>
    <n v="0"/>
    <n v="0"/>
    <n v="-38.88"/>
    <n v="0"/>
    <n v="0"/>
  </r>
  <r>
    <n v="9409822"/>
    <s v="N"/>
    <n v="21387948"/>
    <s v="3000005371070028RC"/>
    <s v="CIVIL"/>
    <d v="2023-06-30T00:00:00"/>
    <d v="2023-07-17T19:42:13"/>
    <m/>
    <d v="2023-07-17T00:00:00"/>
    <n v="67"/>
    <n v="13152"/>
    <s v="9409822"/>
    <s v="9409822"/>
    <m/>
    <m/>
    <m/>
    <m/>
    <m/>
    <m/>
    <s v="SOLRECOUP"/>
    <s v="SOLRECOUP"/>
    <s v="POARECOUP"/>
    <n v="21387948"/>
    <n v="-233.28"/>
    <m/>
    <s v="Y"/>
    <n v="1"/>
    <d v="2023-07-17T19:42:13"/>
    <s v="N"/>
    <m/>
    <m/>
    <s v="Expert Disbursement"/>
    <m/>
    <s v="N"/>
    <n v="-194.4"/>
    <n v="0"/>
    <x v="8"/>
    <s v="VALIDATED"/>
    <n v="1"/>
    <s v="01.11.80.308.2013.0000"/>
    <n v="-194.4"/>
    <s v="11"/>
    <s v="2013"/>
    <n v="3796.8"/>
    <n v="-194.4"/>
    <s v="CREDITOR"/>
    <n v="0"/>
    <n v="0"/>
    <n v="-194.4"/>
    <n v="0"/>
    <n v="0"/>
  </r>
  <r>
    <n v="9409822"/>
    <s v="N"/>
    <n v="21387949"/>
    <s v="3000005371070030RC"/>
    <s v="CIVIL"/>
    <d v="2023-06-30T00:00:00"/>
    <d v="2023-07-17T19:42:13"/>
    <m/>
    <d v="2023-07-17T00:00:00"/>
    <n v="67"/>
    <n v="13152"/>
    <s v="9409822"/>
    <s v="9409822"/>
    <m/>
    <m/>
    <m/>
    <m/>
    <m/>
    <m/>
    <s v="SOLRECOUP"/>
    <s v="SOLRECOUP"/>
    <s v="POARECOUP"/>
    <n v="21387949"/>
    <n v="-96"/>
    <m/>
    <s v="Y"/>
    <n v="2"/>
    <d v="2023-07-17T19:42:13"/>
    <s v="N"/>
    <m/>
    <m/>
    <s v="Expert Disbursement"/>
    <m/>
    <s v="N"/>
    <n v="0"/>
    <n v="-16"/>
    <x v="8"/>
    <s v="VALIDATED"/>
    <n v="1"/>
    <s v="01.11.80.308.2013.0000"/>
    <n v="-16"/>
    <s v="11"/>
    <s v="2013"/>
    <n v="3796.8"/>
    <n v="-16"/>
    <s v="CREDITOR"/>
    <n v="0"/>
    <n v="0"/>
    <n v="-16"/>
    <n v="0"/>
    <n v="0"/>
  </r>
  <r>
    <n v="9409822"/>
    <s v="N"/>
    <n v="21387949"/>
    <s v="3000005371070030RC"/>
    <s v="CIVIL"/>
    <d v="2023-06-30T00:00:00"/>
    <d v="2023-07-17T19:42:13"/>
    <m/>
    <d v="2023-07-17T00:00:00"/>
    <n v="67"/>
    <n v="13152"/>
    <s v="9409822"/>
    <s v="9409822"/>
    <m/>
    <m/>
    <m/>
    <m/>
    <m/>
    <m/>
    <s v="SOLRECOUP"/>
    <s v="SOLRECOUP"/>
    <s v="POARECOUP"/>
    <n v="21387949"/>
    <n v="-96"/>
    <m/>
    <s v="Y"/>
    <n v="1"/>
    <d v="2023-07-17T19:42:13"/>
    <s v="N"/>
    <m/>
    <m/>
    <s v="Expert Disbursement"/>
    <m/>
    <s v="N"/>
    <n v="-80"/>
    <n v="0"/>
    <x v="8"/>
    <s v="VALIDATED"/>
    <n v="1"/>
    <s v="01.11.80.308.2013.0000"/>
    <n v="-80"/>
    <s v="11"/>
    <s v="2013"/>
    <n v="3796.8"/>
    <n v="-80"/>
    <s v="CREDITOR"/>
    <n v="0"/>
    <n v="0"/>
    <n v="-80"/>
    <n v="0"/>
    <n v="0"/>
  </r>
  <r>
    <n v="9409822"/>
    <s v="N"/>
    <n v="21387950"/>
    <s v="3000005371070033RC"/>
    <s v="CIVIL"/>
    <d v="2023-06-30T00:00:00"/>
    <d v="2023-07-17T19:42:13"/>
    <m/>
    <d v="2023-07-17T00:00:00"/>
    <n v="67"/>
    <n v="13152"/>
    <s v="9409822"/>
    <s v="9409822"/>
    <m/>
    <m/>
    <m/>
    <m/>
    <m/>
    <m/>
    <s v="SOLRECOUP"/>
    <s v="SOLRECOUP"/>
    <s v="POARECOUP"/>
    <n v="21387950"/>
    <n v="-897.02"/>
    <m/>
    <s v="Y"/>
    <n v="1"/>
    <d v="2023-07-17T19:42:13"/>
    <s v="N"/>
    <m/>
    <m/>
    <s v="Non Expert Disbursement"/>
    <m/>
    <s v="N"/>
    <n v="-747.52"/>
    <n v="0"/>
    <x v="8"/>
    <s v="VALIDATED"/>
    <n v="1"/>
    <s v="01.11.80.308.2013.0000"/>
    <n v="-747.52"/>
    <s v="11"/>
    <s v="2013"/>
    <n v="3796.8"/>
    <n v="-747.52"/>
    <s v="CREDITOR"/>
    <n v="0"/>
    <n v="0"/>
    <n v="-747.52"/>
    <n v="0"/>
    <n v="0"/>
  </r>
  <r>
    <n v="9409822"/>
    <s v="N"/>
    <n v="21387950"/>
    <s v="3000005371070033RC"/>
    <s v="CIVIL"/>
    <d v="2023-06-30T00:00:00"/>
    <d v="2023-07-17T19:42:13"/>
    <m/>
    <d v="2023-07-17T00:00:00"/>
    <n v="67"/>
    <n v="13152"/>
    <s v="9409822"/>
    <s v="9409822"/>
    <m/>
    <m/>
    <m/>
    <m/>
    <m/>
    <m/>
    <s v="SOLRECOUP"/>
    <s v="SOLRECOUP"/>
    <s v="POARECOUP"/>
    <n v="21387950"/>
    <n v="-897.02"/>
    <m/>
    <s v="Y"/>
    <n v="2"/>
    <d v="2023-07-17T19:42:13"/>
    <s v="N"/>
    <m/>
    <m/>
    <s v="Non Expert Disbursement"/>
    <m/>
    <s v="N"/>
    <n v="0"/>
    <n v="-149.5"/>
    <x v="8"/>
    <s v="VALIDATED"/>
    <n v="1"/>
    <s v="01.11.80.308.2013.0000"/>
    <n v="-149.5"/>
    <s v="11"/>
    <s v="2013"/>
    <n v="3796.8"/>
    <n v="-149.5"/>
    <s v="CREDITOR"/>
    <n v="0"/>
    <n v="0"/>
    <n v="-149.5"/>
    <n v="0"/>
    <n v="0"/>
  </r>
  <r>
    <n v="9409822"/>
    <s v="N"/>
    <n v="21387951"/>
    <s v="3000005371070034RC"/>
    <s v="CIVIL"/>
    <d v="2023-06-30T00:00:00"/>
    <d v="2023-07-17T19:42:13"/>
    <m/>
    <d v="2023-07-17T00:00:00"/>
    <n v="67"/>
    <n v="13152"/>
    <s v="9409822"/>
    <s v="9409822"/>
    <m/>
    <m/>
    <m/>
    <m/>
    <m/>
    <m/>
    <s v="SOLRECOUP"/>
    <s v="SOLRECOUP"/>
    <s v="POARECOUP"/>
    <n v="21387951"/>
    <n v="-650.12"/>
    <m/>
    <s v="Y"/>
    <n v="1"/>
    <d v="2023-07-17T19:42:13"/>
    <s v="N"/>
    <m/>
    <m/>
    <s v="Non Expert Disbursement"/>
    <m/>
    <s v="N"/>
    <n v="-541.77"/>
    <n v="0"/>
    <x v="8"/>
    <s v="VALIDATED"/>
    <n v="1"/>
    <s v="01.11.80.308.2013.0000"/>
    <n v="-541.77"/>
    <s v="11"/>
    <s v="2013"/>
    <n v="3796.8"/>
    <n v="-541.77"/>
    <s v="CREDITOR"/>
    <n v="0"/>
    <n v="0"/>
    <n v="-541.77"/>
    <n v="0"/>
    <n v="0"/>
  </r>
  <r>
    <n v="9409822"/>
    <s v="N"/>
    <n v="21387951"/>
    <s v="3000005371070034RC"/>
    <s v="CIVIL"/>
    <d v="2023-06-30T00:00:00"/>
    <d v="2023-07-17T19:42:13"/>
    <m/>
    <d v="2023-07-17T00:00:00"/>
    <n v="67"/>
    <n v="13152"/>
    <s v="9409822"/>
    <s v="9409822"/>
    <m/>
    <m/>
    <m/>
    <m/>
    <m/>
    <m/>
    <s v="SOLRECOUP"/>
    <s v="SOLRECOUP"/>
    <s v="POARECOUP"/>
    <n v="21387951"/>
    <n v="-650.12"/>
    <m/>
    <s v="Y"/>
    <n v="2"/>
    <d v="2023-07-17T19:42:13"/>
    <s v="N"/>
    <m/>
    <m/>
    <s v="Non Expert Disbursement"/>
    <m/>
    <s v="N"/>
    <n v="0"/>
    <n v="-108.35"/>
    <x v="8"/>
    <s v="VALIDATED"/>
    <n v="1"/>
    <s v="01.11.80.308.2013.0000"/>
    <n v="-108.35"/>
    <s v="11"/>
    <s v="2013"/>
    <n v="3796.8"/>
    <n v="-108.35"/>
    <s v="CREDITOR"/>
    <n v="0"/>
    <n v="0"/>
    <n v="-108.35"/>
    <n v="0"/>
    <n v="0"/>
  </r>
  <r>
    <n v="61634450"/>
    <s v="N"/>
    <n v="21387952"/>
    <s v="3000015738140001RC"/>
    <s v="CIVIL"/>
    <d v="2023-06-27T00:00:00"/>
    <d v="2023-07-17T19:42:13"/>
    <m/>
    <d v="2023-07-17T00:00:00"/>
    <n v="67"/>
    <n v="13152"/>
    <s v="61634450"/>
    <s v="61634450"/>
    <m/>
    <m/>
    <m/>
    <m/>
    <m/>
    <m/>
    <s v="SOLRECOUP"/>
    <s v="SOLRECOUP"/>
    <s v="POARECOUP"/>
    <n v="21387952"/>
    <n v="-245"/>
    <m/>
    <s v="Y"/>
    <n v="2"/>
    <d v="2023-07-17T19:42:13"/>
    <s v="N"/>
    <m/>
    <m/>
    <s v="Non Expert Disbursement"/>
    <m/>
    <s v="N"/>
    <n v="0"/>
    <n v="0"/>
    <x v="8"/>
    <s v="VALIDATED"/>
    <n v="1"/>
    <s v="01.11.80.000.0000.0000"/>
    <n v="0"/>
    <s v="11"/>
    <s v="0000"/>
    <n v="3796.8"/>
    <n v="0"/>
    <s v="CREDITOR"/>
    <n v="0"/>
    <n v="0"/>
    <n v="0"/>
    <n v="0"/>
    <n v="0"/>
  </r>
  <r>
    <n v="61634450"/>
    <s v="N"/>
    <n v="21387952"/>
    <s v="3000015738140001RC"/>
    <s v="CIVIL"/>
    <d v="2023-06-27T00:00:00"/>
    <d v="2023-07-17T19:42:13"/>
    <m/>
    <d v="2023-07-17T00:00:00"/>
    <n v="67"/>
    <n v="13152"/>
    <s v="61634450"/>
    <s v="61634450"/>
    <m/>
    <m/>
    <m/>
    <m/>
    <m/>
    <m/>
    <s v="SOLRECOUP"/>
    <s v="SOLRECOUP"/>
    <s v="POARECOUP"/>
    <n v="21387952"/>
    <n v="-245"/>
    <m/>
    <s v="Y"/>
    <n v="1"/>
    <d v="2023-07-17T19:42:13"/>
    <s v="N"/>
    <m/>
    <m/>
    <s v="Non Expert Disbursement"/>
    <m/>
    <s v="N"/>
    <n v="-245"/>
    <n v="0"/>
    <x v="8"/>
    <s v="VALIDATED"/>
    <n v="1"/>
    <s v="01.11.80.303.2013.0000"/>
    <n v="-245"/>
    <s v="11"/>
    <s v="2013"/>
    <n v="3796.8"/>
    <n v="-245"/>
    <s v="CREDITOR"/>
    <n v="0"/>
    <n v="0"/>
    <n v="-245"/>
    <n v="0"/>
    <n v="0"/>
  </r>
  <r>
    <n v="9409822"/>
    <s v="N"/>
    <n v="21387927"/>
    <s v="3000005371070001RC"/>
    <s v="CIVIL"/>
    <d v="2023-06-30T00:00:00"/>
    <d v="2023-07-17T19:42:13"/>
    <m/>
    <d v="2023-07-17T00:00:00"/>
    <n v="67"/>
    <n v="13152"/>
    <s v="9409822"/>
    <s v="9409822"/>
    <m/>
    <m/>
    <m/>
    <m/>
    <m/>
    <m/>
    <s v="SOLRECOUP"/>
    <s v="SOLRECOUP"/>
    <s v="POARECOUP"/>
    <n v="21387927"/>
    <n v="-155"/>
    <m/>
    <s v="Y"/>
    <n v="1"/>
    <d v="2023-07-17T19:42:13"/>
    <s v="N"/>
    <m/>
    <m/>
    <s v="Non Expert Disbursement"/>
    <m/>
    <s v="N"/>
    <n v="-155"/>
    <n v="0"/>
    <x v="8"/>
    <s v="VALIDATED"/>
    <n v="1"/>
    <s v="01.11.80.308.2013.0000"/>
    <n v="-155"/>
    <s v="11"/>
    <s v="2013"/>
    <n v="3796.8"/>
    <n v="-155"/>
    <s v="CREDITOR"/>
    <n v="0"/>
    <n v="0"/>
    <n v="-155"/>
    <n v="0"/>
    <n v="0"/>
  </r>
  <r>
    <n v="9409822"/>
    <s v="N"/>
    <n v="21387927"/>
    <s v="3000005371070001RC"/>
    <s v="CIVIL"/>
    <d v="2023-06-30T00:00:00"/>
    <d v="2023-07-17T19:42:13"/>
    <m/>
    <d v="2023-07-17T00:00:00"/>
    <n v="67"/>
    <n v="13152"/>
    <s v="9409822"/>
    <s v="9409822"/>
    <m/>
    <m/>
    <m/>
    <m/>
    <m/>
    <m/>
    <s v="SOLRECOUP"/>
    <s v="SOLRECOUP"/>
    <s v="POARECOUP"/>
    <n v="21387927"/>
    <n v="-155"/>
    <m/>
    <s v="Y"/>
    <n v="2"/>
    <d v="2023-07-17T19:42:13"/>
    <s v="N"/>
    <m/>
    <m/>
    <s v="Non Expert Disbursement"/>
    <m/>
    <s v="N"/>
    <n v="0"/>
    <n v="0"/>
    <x v="8"/>
    <s v="VALIDATED"/>
    <n v="1"/>
    <s v="01.11.80.000.0000.0000"/>
    <n v="0"/>
    <s v="11"/>
    <s v="0000"/>
    <n v="3796.8"/>
    <n v="0"/>
    <s v="CREDITOR"/>
    <n v="0"/>
    <n v="0"/>
    <n v="0"/>
    <n v="0"/>
    <n v="0"/>
  </r>
  <r>
    <n v="9409822"/>
    <s v="N"/>
    <n v="21387928"/>
    <s v="3000005371070003RC"/>
    <s v="CIVIL"/>
    <d v="2023-06-30T00:00:00"/>
    <d v="2023-07-17T19:42:13"/>
    <m/>
    <d v="2023-07-17T00:00:00"/>
    <n v="67"/>
    <n v="13152"/>
    <s v="9409822"/>
    <s v="9409822"/>
    <m/>
    <m/>
    <m/>
    <m/>
    <m/>
    <m/>
    <s v="SOLRECOUP"/>
    <s v="SOLRECOUP"/>
    <s v="POARECOUP"/>
    <n v="21387928"/>
    <n v="-273.3"/>
    <m/>
    <s v="Y"/>
    <n v="2"/>
    <d v="2023-07-17T19:42:13"/>
    <s v="N"/>
    <m/>
    <m/>
    <s v="Expert Disbursement"/>
    <m/>
    <s v="N"/>
    <n v="0"/>
    <n v="-45.55"/>
    <x v="8"/>
    <s v="VALIDATED"/>
    <n v="1"/>
    <s v="01.11.80.308.2013.0000"/>
    <n v="-45.55"/>
    <s v="11"/>
    <s v="2013"/>
    <n v="3796.8"/>
    <n v="-45.55"/>
    <s v="CREDITOR"/>
    <n v="0"/>
    <n v="0"/>
    <n v="-45.55"/>
    <n v="0"/>
    <n v="0"/>
  </r>
  <r>
    <n v="9409822"/>
    <s v="N"/>
    <n v="21387928"/>
    <s v="3000005371070003RC"/>
    <s v="CIVIL"/>
    <d v="2023-06-30T00:00:00"/>
    <d v="2023-07-17T19:42:13"/>
    <m/>
    <d v="2023-07-17T00:00:00"/>
    <n v="67"/>
    <n v="13152"/>
    <s v="9409822"/>
    <s v="9409822"/>
    <m/>
    <m/>
    <m/>
    <m/>
    <m/>
    <m/>
    <s v="SOLRECOUP"/>
    <s v="SOLRECOUP"/>
    <s v="POARECOUP"/>
    <n v="21387928"/>
    <n v="-273.3"/>
    <m/>
    <s v="Y"/>
    <n v="1"/>
    <d v="2023-07-17T19:42:13"/>
    <s v="N"/>
    <m/>
    <m/>
    <s v="Expert Disbursement"/>
    <m/>
    <s v="N"/>
    <n v="-227.75"/>
    <n v="0"/>
    <x v="8"/>
    <s v="VALIDATED"/>
    <n v="1"/>
    <s v="01.11.80.308.2013.0000"/>
    <n v="-227.75"/>
    <s v="11"/>
    <s v="2013"/>
    <n v="3796.8"/>
    <n v="-227.75"/>
    <s v="CREDITOR"/>
    <n v="0"/>
    <n v="0"/>
    <n v="-227.75"/>
    <n v="0"/>
    <n v="0"/>
  </r>
  <r>
    <n v="9409822"/>
    <s v="N"/>
    <n v="21387929"/>
    <s v="3000005371070005RC"/>
    <s v="CIVIL"/>
    <d v="2023-06-30T00:00:00"/>
    <d v="2023-07-17T19:42:13"/>
    <m/>
    <d v="2023-07-17T00:00:00"/>
    <n v="67"/>
    <n v="13152"/>
    <s v="9409822"/>
    <s v="9409822"/>
    <m/>
    <m/>
    <m/>
    <m/>
    <m/>
    <m/>
    <s v="SOLRECOUP"/>
    <s v="SOLRECOUP"/>
    <s v="POARECOUP"/>
    <n v="21387929"/>
    <n v="-17.4"/>
    <m/>
    <s v="Y"/>
    <n v="1"/>
    <d v="2023-07-17T19:42:13"/>
    <s v="N"/>
    <m/>
    <m/>
    <s v="Non Expert Disbursement"/>
    <m/>
    <s v="N"/>
    <n v="-17.4"/>
    <n v="0"/>
    <x v="8"/>
    <s v="VALIDATED"/>
    <n v="1"/>
    <s v="01.11.80.308.2013.0000"/>
    <n v="-17.4"/>
    <s v="11"/>
    <s v="2013"/>
    <n v="3796.8"/>
    <n v="-17.4"/>
    <s v="CREDITOR"/>
    <n v="0"/>
    <n v="0"/>
    <n v="-17.4"/>
    <n v="0"/>
    <n v="0"/>
  </r>
  <r>
    <n v="9409822"/>
    <s v="N"/>
    <n v="21387929"/>
    <s v="3000005371070005RC"/>
    <s v="CIVIL"/>
    <d v="2023-06-30T00:00:00"/>
    <d v="2023-07-17T19:42:13"/>
    <m/>
    <d v="2023-07-17T00:00:00"/>
    <n v="67"/>
    <n v="13152"/>
    <s v="9409822"/>
    <s v="9409822"/>
    <m/>
    <m/>
    <m/>
    <m/>
    <m/>
    <m/>
    <s v="SOLRECOUP"/>
    <s v="SOLRECOUP"/>
    <s v="POARECOUP"/>
    <n v="21387929"/>
    <n v="-17.4"/>
    <m/>
    <s v="Y"/>
    <n v="2"/>
    <d v="2023-07-17T19:42:13"/>
    <s v="N"/>
    <m/>
    <m/>
    <s v="Non Expert Disbursement"/>
    <m/>
    <s v="N"/>
    <n v="0"/>
    <n v="0"/>
    <x v="8"/>
    <s v="VALIDATED"/>
    <n v="1"/>
    <s v="01.11.80.000.0000.0000"/>
    <n v="0"/>
    <s v="11"/>
    <s v="0000"/>
    <n v="3796.8"/>
    <n v="0"/>
    <s v="CREDITOR"/>
    <n v="0"/>
    <n v="0"/>
    <n v="0"/>
    <n v="0"/>
    <n v="0"/>
  </r>
  <r>
    <n v="9409822"/>
    <s v="N"/>
    <n v="21387930"/>
    <s v="3000005371070008RC"/>
    <s v="CIVIL"/>
    <d v="2023-06-30T00:00:00"/>
    <d v="2023-07-17T19:42:13"/>
    <m/>
    <d v="2023-07-17T00:00:00"/>
    <n v="67"/>
    <n v="13152"/>
    <s v="9409822"/>
    <s v="9409822"/>
    <m/>
    <m/>
    <m/>
    <m/>
    <m/>
    <m/>
    <s v="SOLRECOUP"/>
    <s v="SOLRECOUP"/>
    <s v="POARECOUP"/>
    <n v="21387930"/>
    <n v="-17.4"/>
    <m/>
    <s v="Y"/>
    <n v="1"/>
    <d v="2023-07-17T19:42:13"/>
    <s v="N"/>
    <m/>
    <m/>
    <s v="Non Expert Disbursement"/>
    <m/>
    <s v="N"/>
    <n v="-17.4"/>
    <n v="0"/>
    <x v="8"/>
    <s v="VALIDATED"/>
    <n v="1"/>
    <s v="01.11.80.308.2013.0000"/>
    <n v="-17.4"/>
    <s v="11"/>
    <s v="2013"/>
    <n v="3796.8"/>
    <n v="-17.4"/>
    <s v="CREDITOR"/>
    <n v="0"/>
    <n v="0"/>
    <n v="-17.4"/>
    <n v="0"/>
    <n v="0"/>
  </r>
  <r>
    <n v="9409822"/>
    <s v="N"/>
    <n v="21387930"/>
    <s v="3000005371070008RC"/>
    <s v="CIVIL"/>
    <d v="2023-06-30T00:00:00"/>
    <d v="2023-07-17T19:42:13"/>
    <m/>
    <d v="2023-07-17T00:00:00"/>
    <n v="67"/>
    <n v="13152"/>
    <s v="9409822"/>
    <s v="9409822"/>
    <m/>
    <m/>
    <m/>
    <m/>
    <m/>
    <m/>
    <s v="SOLRECOUP"/>
    <s v="SOLRECOUP"/>
    <s v="POARECOUP"/>
    <n v="21387930"/>
    <n v="-17.4"/>
    <m/>
    <s v="Y"/>
    <n v="2"/>
    <d v="2023-07-17T19:42:13"/>
    <s v="N"/>
    <m/>
    <m/>
    <s v="Non Expert Disbursement"/>
    <m/>
    <s v="N"/>
    <n v="0"/>
    <n v="0"/>
    <x v="8"/>
    <s v="VALIDATED"/>
    <n v="1"/>
    <s v="01.11.80.000.0000.0000"/>
    <n v="0"/>
    <s v="11"/>
    <s v="0000"/>
    <n v="3796.8"/>
    <n v="0"/>
    <s v="CREDITOR"/>
    <n v="0"/>
    <n v="0"/>
    <n v="0"/>
    <n v="0"/>
    <n v="0"/>
  </r>
  <r>
    <n v="9409822"/>
    <s v="N"/>
    <n v="21387931"/>
    <s v="3000005371070010RC"/>
    <s v="CIVIL"/>
    <d v="2023-06-30T00:00:00"/>
    <d v="2023-07-17T19:42:13"/>
    <m/>
    <d v="2023-07-17T00:00:00"/>
    <n v="67"/>
    <n v="13152"/>
    <s v="9409822"/>
    <s v="9409822"/>
    <m/>
    <m/>
    <m/>
    <m/>
    <m/>
    <m/>
    <s v="SOLRECOUP"/>
    <s v="SOLRECOUP"/>
    <s v="POARECOUP"/>
    <n v="21387931"/>
    <n v="-1582.2"/>
    <m/>
    <s v="Y"/>
    <n v="2"/>
    <d v="2023-07-17T19:42:13"/>
    <s v="N"/>
    <m/>
    <m/>
    <s v="Profit Cost"/>
    <m/>
    <s v="N"/>
    <n v="0"/>
    <n v="-263.7"/>
    <x v="8"/>
    <s v="VALIDATED"/>
    <n v="1"/>
    <s v="01.11.80.308.2013.0000"/>
    <n v="-263.7"/>
    <s v="11"/>
    <s v="2013"/>
    <n v="3796.8"/>
    <n v="-263.7"/>
    <s v="CREDITOR"/>
    <n v="0"/>
    <n v="0"/>
    <n v="-263.7"/>
    <n v="-65.925"/>
    <n v="0"/>
  </r>
  <r>
    <n v="9409822"/>
    <s v="N"/>
    <n v="21387931"/>
    <s v="3000005371070010RC"/>
    <s v="CIVIL"/>
    <d v="2023-06-30T00:00:00"/>
    <d v="2023-07-17T19:42:13"/>
    <m/>
    <d v="2023-07-17T00:00:00"/>
    <n v="67"/>
    <n v="13152"/>
    <s v="9409822"/>
    <s v="9409822"/>
    <m/>
    <m/>
    <m/>
    <m/>
    <m/>
    <m/>
    <s v="SOLRECOUP"/>
    <s v="SOLRECOUP"/>
    <s v="POARECOUP"/>
    <n v="21387931"/>
    <n v="-1582.2"/>
    <m/>
    <s v="Y"/>
    <n v="1"/>
    <d v="2023-07-17T19:42:13"/>
    <s v="N"/>
    <m/>
    <m/>
    <s v="Profit Cost"/>
    <m/>
    <s v="N"/>
    <n v="-1318.5"/>
    <n v="0"/>
    <x v="8"/>
    <s v="VALIDATED"/>
    <n v="1"/>
    <s v="01.11.80.308.2013.0000"/>
    <n v="-1318.5"/>
    <s v="11"/>
    <s v="2013"/>
    <n v="3796.8"/>
    <n v="-1318.5"/>
    <s v="CREDITOR"/>
    <n v="0"/>
    <n v="0"/>
    <n v="-1318.5"/>
    <n v="-329.625"/>
    <n v="0"/>
  </r>
  <r>
    <n v="9409822"/>
    <s v="N"/>
    <n v="21387932"/>
    <s v="3000005371070011RC"/>
    <s v="CIVIL"/>
    <d v="2023-06-30T00:00:00"/>
    <d v="2023-07-17T19:42:13"/>
    <m/>
    <d v="2023-07-17T00:00:00"/>
    <n v="67"/>
    <n v="13152"/>
    <s v="9409822"/>
    <s v="9409822"/>
    <m/>
    <m/>
    <m/>
    <m/>
    <m/>
    <m/>
    <s v="SOLRECOUP"/>
    <s v="SOLRECOUP"/>
    <s v="POARECOUP"/>
    <n v="21387932"/>
    <n v="-17.4"/>
    <m/>
    <s v="Y"/>
    <n v="2"/>
    <d v="2023-07-17T19:42:13"/>
    <s v="N"/>
    <m/>
    <m/>
    <s v="Non Expert Disbursement"/>
    <m/>
    <s v="N"/>
    <n v="0"/>
    <n v="0"/>
    <x v="8"/>
    <s v="VALIDATED"/>
    <n v="1"/>
    <s v="01.11.80.000.0000.0000"/>
    <n v="0"/>
    <s v="11"/>
    <s v="0000"/>
    <n v="3796.8"/>
    <n v="0"/>
    <s v="CREDITOR"/>
    <n v="0"/>
    <n v="0"/>
    <n v="0"/>
    <n v="0"/>
    <n v="0"/>
  </r>
  <r>
    <n v="9409822"/>
    <s v="N"/>
    <n v="21387932"/>
    <s v="3000005371070011RC"/>
    <s v="CIVIL"/>
    <d v="2023-06-30T00:00:00"/>
    <d v="2023-07-17T19:42:13"/>
    <m/>
    <d v="2023-07-17T00:00:00"/>
    <n v="67"/>
    <n v="13152"/>
    <s v="9409822"/>
    <s v="9409822"/>
    <m/>
    <m/>
    <m/>
    <m/>
    <m/>
    <m/>
    <s v="SOLRECOUP"/>
    <s v="SOLRECOUP"/>
    <s v="POARECOUP"/>
    <n v="21387932"/>
    <n v="-17.4"/>
    <m/>
    <s v="Y"/>
    <n v="1"/>
    <d v="2023-07-17T19:42:13"/>
    <s v="N"/>
    <m/>
    <m/>
    <s v="Non Expert Disbursement"/>
    <m/>
    <s v="N"/>
    <n v="-17.4"/>
    <n v="0"/>
    <x v="8"/>
    <s v="VALIDATED"/>
    <n v="1"/>
    <s v="01.11.80.308.2013.0000"/>
    <n v="-17.4"/>
    <s v="11"/>
    <s v="2013"/>
    <n v="3796.8"/>
    <n v="-17.4"/>
    <s v="CREDITOR"/>
    <n v="0"/>
    <n v="0"/>
    <n v="-17.4"/>
    <n v="0"/>
    <n v="0"/>
  </r>
  <r>
    <n v="9409822"/>
    <s v="N"/>
    <n v="21387933"/>
    <s v="3000005371070012RC"/>
    <s v="CIVIL"/>
    <d v="2023-06-30T00:00:00"/>
    <d v="2023-07-17T19:42:13"/>
    <m/>
    <d v="2023-07-17T00:00:00"/>
    <n v="67"/>
    <n v="13152"/>
    <s v="9409822"/>
    <s v="9409822"/>
    <m/>
    <m/>
    <m/>
    <m/>
    <m/>
    <m/>
    <s v="SOLRECOUP"/>
    <s v="SOLRECOUP"/>
    <s v="POARECOUP"/>
    <n v="21387933"/>
    <n v="-388.8"/>
    <m/>
    <s v="Y"/>
    <n v="1"/>
    <d v="2023-07-17T19:42:13"/>
    <s v="N"/>
    <m/>
    <m/>
    <s v="Expert Disbursement"/>
    <m/>
    <s v="N"/>
    <n v="-324"/>
    <n v="0"/>
    <x v="8"/>
    <s v="VALIDATED"/>
    <n v="1"/>
    <s v="01.11.80.308.2013.0000"/>
    <n v="-324"/>
    <s v="11"/>
    <s v="2013"/>
    <n v="3796.8"/>
    <n v="-324"/>
    <s v="CREDITOR"/>
    <n v="0"/>
    <n v="0"/>
    <n v="-324"/>
    <n v="0"/>
    <n v="0"/>
  </r>
  <r>
    <n v="9409822"/>
    <s v="N"/>
    <n v="21387933"/>
    <s v="3000005371070012RC"/>
    <s v="CIVIL"/>
    <d v="2023-06-30T00:00:00"/>
    <d v="2023-07-17T19:42:13"/>
    <m/>
    <d v="2023-07-17T00:00:00"/>
    <n v="67"/>
    <n v="13152"/>
    <s v="9409822"/>
    <s v="9409822"/>
    <m/>
    <m/>
    <m/>
    <m/>
    <m/>
    <m/>
    <s v="SOLRECOUP"/>
    <s v="SOLRECOUP"/>
    <s v="POARECOUP"/>
    <n v="21387933"/>
    <n v="-388.8"/>
    <m/>
    <s v="Y"/>
    <n v="2"/>
    <d v="2023-07-17T19:42:13"/>
    <s v="N"/>
    <m/>
    <m/>
    <s v="Expert Disbursement"/>
    <m/>
    <s v="N"/>
    <n v="0"/>
    <n v="-64.8"/>
    <x v="8"/>
    <s v="VALIDATED"/>
    <n v="1"/>
    <s v="01.11.80.308.2013.0000"/>
    <n v="-64.8"/>
    <s v="11"/>
    <s v="2013"/>
    <n v="3796.8"/>
    <n v="-64.8"/>
    <s v="CREDITOR"/>
    <n v="0"/>
    <n v="0"/>
    <n v="-64.8"/>
    <n v="0"/>
    <n v="0"/>
  </r>
  <r>
    <n v="9409822"/>
    <s v="N"/>
    <n v="21387934"/>
    <s v="3000005371070017RC"/>
    <s v="CIVIL"/>
    <d v="2023-06-30T00:00:00"/>
    <d v="2023-07-17T19:42:13"/>
    <m/>
    <d v="2023-07-17T00:00:00"/>
    <n v="67"/>
    <n v="13152"/>
    <s v="9409822"/>
    <s v="9409822"/>
    <m/>
    <m/>
    <m/>
    <m/>
    <m/>
    <m/>
    <s v="SOLRECOUP"/>
    <s v="SOLRECOUP"/>
    <s v="POARECOUP"/>
    <n v="21387934"/>
    <n v="-60.2"/>
    <m/>
    <s v="Y"/>
    <n v="2"/>
    <d v="2023-07-17T19:42:13"/>
    <s v="N"/>
    <m/>
    <m/>
    <s v="Non Expert Disbursement"/>
    <m/>
    <s v="N"/>
    <n v="0"/>
    <n v="0"/>
    <x v="8"/>
    <s v="VALIDATED"/>
    <n v="1"/>
    <s v="01.11.80.000.0000.0000"/>
    <n v="0"/>
    <s v="11"/>
    <s v="0000"/>
    <n v="3796.8"/>
    <n v="0"/>
    <s v="CREDITOR"/>
    <n v="0"/>
    <n v="0"/>
    <n v="0"/>
    <n v="0"/>
    <n v="0"/>
  </r>
  <r>
    <n v="9409822"/>
    <s v="N"/>
    <n v="21387934"/>
    <s v="3000005371070017RC"/>
    <s v="CIVIL"/>
    <d v="2023-06-30T00:00:00"/>
    <d v="2023-07-17T19:42:13"/>
    <m/>
    <d v="2023-07-17T00:00:00"/>
    <n v="67"/>
    <n v="13152"/>
    <s v="9409822"/>
    <s v="9409822"/>
    <m/>
    <m/>
    <m/>
    <m/>
    <m/>
    <m/>
    <s v="SOLRECOUP"/>
    <s v="SOLRECOUP"/>
    <s v="POARECOUP"/>
    <n v="21387934"/>
    <n v="-60.2"/>
    <m/>
    <s v="Y"/>
    <n v="1"/>
    <d v="2023-07-17T19:42:13"/>
    <s v="N"/>
    <m/>
    <m/>
    <s v="Non Expert Disbursement"/>
    <m/>
    <s v="N"/>
    <n v="-60.2"/>
    <n v="0"/>
    <x v="8"/>
    <s v="VALIDATED"/>
    <n v="1"/>
    <s v="01.11.80.308.2013.0000"/>
    <n v="-60.2"/>
    <s v="11"/>
    <s v="2013"/>
    <n v="3796.8"/>
    <n v="-60.2"/>
    <s v="CREDITOR"/>
    <n v="0"/>
    <n v="0"/>
    <n v="-60.2"/>
    <n v="0"/>
    <n v="0"/>
  </r>
  <r>
    <n v="9409822"/>
    <s v="N"/>
    <n v="21387935"/>
    <s v="3000005371070018RC"/>
    <s v="CIVIL"/>
    <d v="2023-06-30T00:00:00"/>
    <d v="2023-07-17T19:42:13"/>
    <m/>
    <d v="2023-07-17T00:00:00"/>
    <n v="67"/>
    <n v="13152"/>
    <s v="9409822"/>
    <s v="9409822"/>
    <m/>
    <m/>
    <m/>
    <m/>
    <m/>
    <m/>
    <s v="SOLRECOUP"/>
    <s v="SOLRECOUP"/>
    <s v="POARECOUP"/>
    <n v="21387935"/>
    <n v="-60.2"/>
    <m/>
    <s v="Y"/>
    <n v="2"/>
    <d v="2023-07-17T19:42:13"/>
    <s v="N"/>
    <m/>
    <m/>
    <s v="Non Expert Disbursement"/>
    <m/>
    <s v="N"/>
    <n v="0"/>
    <n v="0"/>
    <x v="8"/>
    <s v="VALIDATED"/>
    <n v="1"/>
    <s v="01.11.80.000.0000.0000"/>
    <n v="0"/>
    <s v="11"/>
    <s v="0000"/>
    <n v="3796.8"/>
    <n v="0"/>
    <s v="CREDITOR"/>
    <n v="0"/>
    <n v="0"/>
    <n v="0"/>
    <n v="0"/>
    <n v="0"/>
  </r>
  <r>
    <n v="9409822"/>
    <s v="N"/>
    <n v="21387935"/>
    <s v="3000005371070018RC"/>
    <s v="CIVIL"/>
    <d v="2023-06-30T00:00:00"/>
    <d v="2023-07-17T19:42:13"/>
    <m/>
    <d v="2023-07-17T00:00:00"/>
    <n v="67"/>
    <n v="13152"/>
    <s v="9409822"/>
    <s v="9409822"/>
    <m/>
    <m/>
    <m/>
    <m/>
    <m/>
    <m/>
    <s v="SOLRECOUP"/>
    <s v="SOLRECOUP"/>
    <s v="POARECOUP"/>
    <n v="21387935"/>
    <n v="-60.2"/>
    <m/>
    <s v="Y"/>
    <n v="1"/>
    <d v="2023-07-17T19:42:13"/>
    <s v="N"/>
    <m/>
    <m/>
    <s v="Non Expert Disbursement"/>
    <m/>
    <s v="N"/>
    <n v="-60.2"/>
    <n v="0"/>
    <x v="8"/>
    <s v="VALIDATED"/>
    <n v="1"/>
    <s v="01.11.80.308.2013.0000"/>
    <n v="-60.2"/>
    <s v="11"/>
    <s v="2013"/>
    <n v="3796.8"/>
    <n v="-60.2"/>
    <s v="CREDITOR"/>
    <n v="0"/>
    <n v="0"/>
    <n v="-60.2"/>
    <n v="0"/>
    <n v="0"/>
  </r>
  <r>
    <n v="9409822"/>
    <s v="N"/>
    <n v="21387936"/>
    <s v="3000005371070020RC"/>
    <s v="CIVIL"/>
    <d v="2023-06-30T00:00:00"/>
    <d v="2023-07-17T19:42:13"/>
    <m/>
    <d v="2023-07-17T00:00:00"/>
    <n v="67"/>
    <n v="13152"/>
    <s v="9409822"/>
    <s v="9409822"/>
    <m/>
    <m/>
    <m/>
    <m/>
    <m/>
    <m/>
    <s v="SOLRECOUP"/>
    <s v="SOLRECOUP"/>
    <s v="POARECOUP"/>
    <n v="21387936"/>
    <n v="-135.7"/>
    <m/>
    <s v="Y"/>
    <n v="1"/>
    <d v="2023-07-17T19:42:13"/>
    <s v="N"/>
    <m/>
    <m/>
    <s v="Expert Disbursement"/>
    <m/>
    <s v="N"/>
    <n v="-113.08"/>
    <n v="0"/>
    <x v="8"/>
    <s v="VALIDATED"/>
    <n v="1"/>
    <s v="01.11.80.308.2013.0000"/>
    <n v="-113.08"/>
    <s v="11"/>
    <s v="2013"/>
    <n v="3796.8"/>
    <n v="-113.08"/>
    <s v="CREDITOR"/>
    <n v="0"/>
    <n v="0"/>
    <n v="-113.08"/>
    <n v="0"/>
    <n v="0"/>
  </r>
  <r>
    <n v="9409822"/>
    <s v="N"/>
    <n v="21387936"/>
    <s v="3000005371070020RC"/>
    <s v="CIVIL"/>
    <d v="2023-06-30T00:00:00"/>
    <d v="2023-07-17T19:42:13"/>
    <m/>
    <d v="2023-07-17T00:00:00"/>
    <n v="67"/>
    <n v="13152"/>
    <s v="9409822"/>
    <s v="9409822"/>
    <m/>
    <m/>
    <m/>
    <m/>
    <m/>
    <m/>
    <s v="SOLRECOUP"/>
    <s v="SOLRECOUP"/>
    <s v="POARECOUP"/>
    <n v="21387936"/>
    <n v="-135.7"/>
    <m/>
    <s v="Y"/>
    <n v="2"/>
    <d v="2023-07-17T19:42:13"/>
    <s v="N"/>
    <m/>
    <m/>
    <s v="Expert Disbursement"/>
    <m/>
    <s v="N"/>
    <n v="0"/>
    <n v="-22.62"/>
    <x v="8"/>
    <s v="VALIDATED"/>
    <n v="1"/>
    <s v="01.11.80.308.2013.0000"/>
    <n v="-22.62"/>
    <s v="11"/>
    <s v="2013"/>
    <n v="3796.8"/>
    <n v="-22.62"/>
    <s v="CREDITOR"/>
    <n v="0"/>
    <n v="0"/>
    <n v="-22.62"/>
    <n v="0"/>
    <n v="0"/>
  </r>
  <r>
    <n v="9409822"/>
    <s v="N"/>
    <n v="21387937"/>
    <s v="3000005371070021RC"/>
    <s v="CIVIL"/>
    <d v="2023-06-30T00:00:00"/>
    <d v="2023-07-17T19:42:13"/>
    <m/>
    <d v="2023-07-17T00:00:00"/>
    <n v="67"/>
    <n v="13152"/>
    <s v="9409822"/>
    <s v="9409822"/>
    <m/>
    <m/>
    <m/>
    <m/>
    <m/>
    <m/>
    <s v="SOLRECOUP"/>
    <s v="SOLRECOUP"/>
    <s v="POARECOUP"/>
    <n v="21387937"/>
    <n v="-109.78"/>
    <m/>
    <s v="Y"/>
    <n v="1"/>
    <d v="2023-07-17T19:42:13"/>
    <s v="N"/>
    <m/>
    <m/>
    <s v="Expert Disbursement"/>
    <m/>
    <s v="N"/>
    <n v="-91.48"/>
    <n v="0"/>
    <x v="8"/>
    <s v="VALIDATED"/>
    <n v="1"/>
    <s v="01.11.80.308.2013.0000"/>
    <n v="-91.48"/>
    <s v="11"/>
    <s v="2013"/>
    <n v="3796.8"/>
    <n v="-91.48"/>
    <s v="CREDITOR"/>
    <n v="0"/>
    <n v="0"/>
    <n v="-91.48"/>
    <n v="0"/>
    <n v="0"/>
  </r>
  <r>
    <n v="9409822"/>
    <s v="N"/>
    <n v="21387937"/>
    <s v="3000005371070021RC"/>
    <s v="CIVIL"/>
    <d v="2023-06-30T00:00:00"/>
    <d v="2023-07-17T19:42:13"/>
    <m/>
    <d v="2023-07-17T00:00:00"/>
    <n v="67"/>
    <n v="13152"/>
    <s v="9409822"/>
    <s v="9409822"/>
    <m/>
    <m/>
    <m/>
    <m/>
    <m/>
    <m/>
    <s v="SOLRECOUP"/>
    <s v="SOLRECOUP"/>
    <s v="POARECOUP"/>
    <n v="21387937"/>
    <n v="-109.78"/>
    <m/>
    <s v="Y"/>
    <n v="2"/>
    <d v="2023-07-17T19:42:13"/>
    <s v="N"/>
    <m/>
    <m/>
    <s v="Expert Disbursement"/>
    <m/>
    <s v="N"/>
    <n v="0"/>
    <n v="-18.3"/>
    <x v="8"/>
    <s v="VALIDATED"/>
    <n v="1"/>
    <s v="01.11.80.308.2013.0000"/>
    <n v="-18.3"/>
    <s v="11"/>
    <s v="2013"/>
    <n v="3796.8"/>
    <n v="-18.3"/>
    <s v="CREDITOR"/>
    <n v="0"/>
    <n v="0"/>
    <n v="-18.3"/>
    <n v="0"/>
    <n v="0"/>
  </r>
  <r>
    <n v="9409822"/>
    <s v="N"/>
    <n v="21387938"/>
    <s v="3000005371070024RC"/>
    <s v="CIVIL"/>
    <d v="2023-06-30T00:00:00"/>
    <d v="2023-07-17T19:42:13"/>
    <m/>
    <d v="2023-07-17T00:00:00"/>
    <n v="67"/>
    <n v="13152"/>
    <s v="9409822"/>
    <s v="9409822"/>
    <m/>
    <m/>
    <m/>
    <m/>
    <m/>
    <m/>
    <s v="SOLRECOUP"/>
    <s v="SOLRECOUP"/>
    <s v="POARECOUP"/>
    <n v="21387938"/>
    <n v="-2307.59"/>
    <m/>
    <s v="Y"/>
    <n v="1"/>
    <d v="2023-07-17T19:42:13"/>
    <s v="N"/>
    <m/>
    <m/>
    <s v="Profit Cost"/>
    <m/>
    <s v="N"/>
    <n v="-1922.99"/>
    <n v="0"/>
    <x v="8"/>
    <s v="VALIDATED"/>
    <n v="1"/>
    <s v="01.11.80.308.2013.0000"/>
    <n v="-1922.99"/>
    <s v="11"/>
    <s v="2013"/>
    <n v="3796.8"/>
    <n v="-1922.99"/>
    <s v="CREDITOR"/>
    <n v="0"/>
    <n v="0"/>
    <n v="-1922.99"/>
    <n v="-480.7475"/>
    <n v="0"/>
  </r>
  <r>
    <n v="9409822"/>
    <s v="N"/>
    <n v="21387938"/>
    <s v="3000005371070024RC"/>
    <s v="CIVIL"/>
    <d v="2023-06-30T00:00:00"/>
    <d v="2023-07-17T19:42:13"/>
    <m/>
    <d v="2023-07-17T00:00:00"/>
    <n v="67"/>
    <n v="13152"/>
    <s v="9409822"/>
    <s v="9409822"/>
    <m/>
    <m/>
    <m/>
    <m/>
    <m/>
    <m/>
    <s v="SOLRECOUP"/>
    <s v="SOLRECOUP"/>
    <s v="POARECOUP"/>
    <n v="21387938"/>
    <n v="-2307.59"/>
    <m/>
    <s v="Y"/>
    <n v="2"/>
    <d v="2023-07-17T19:42:13"/>
    <s v="N"/>
    <m/>
    <m/>
    <s v="Profit Cost"/>
    <m/>
    <s v="N"/>
    <n v="0"/>
    <n v="-384.6"/>
    <x v="8"/>
    <s v="VALIDATED"/>
    <n v="1"/>
    <s v="01.11.80.308.2013.0000"/>
    <n v="-384.6"/>
    <s v="11"/>
    <s v="2013"/>
    <n v="3796.8"/>
    <n v="-384.6"/>
    <s v="CREDITOR"/>
    <n v="0"/>
    <n v="0"/>
    <n v="-384.6"/>
    <n v="-96.15000000000001"/>
    <n v="0"/>
  </r>
  <r>
    <n v="9409822"/>
    <s v="N"/>
    <n v="21387939"/>
    <s v="3000005371070023RC"/>
    <s v="CIVIL"/>
    <d v="2023-06-30T00:00:00"/>
    <d v="2023-07-17T19:42:13"/>
    <m/>
    <d v="2023-07-17T00:00:00"/>
    <n v="67"/>
    <n v="13152"/>
    <s v="9409822"/>
    <s v="9409822"/>
    <m/>
    <m/>
    <m/>
    <m/>
    <m/>
    <m/>
    <s v="SOLRECOUP"/>
    <s v="SOLRECOUP"/>
    <s v="POARECOUP"/>
    <n v="21387939"/>
    <n v="-17.4"/>
    <m/>
    <s v="Y"/>
    <n v="1"/>
    <d v="2023-07-17T19:42:13"/>
    <s v="N"/>
    <m/>
    <m/>
    <s v="Non Expert Disbursement"/>
    <m/>
    <s v="N"/>
    <n v="-17.4"/>
    <n v="0"/>
    <x v="8"/>
    <s v="VALIDATED"/>
    <n v="1"/>
    <s v="01.11.80.308.2013.0000"/>
    <n v="-17.4"/>
    <s v="11"/>
    <s v="2013"/>
    <n v="3796.8"/>
    <n v="-17.4"/>
    <s v="CREDITOR"/>
    <n v="0"/>
    <n v="0"/>
    <n v="-17.4"/>
    <n v="0"/>
    <n v="0"/>
  </r>
  <r>
    <n v="9409822"/>
    <s v="N"/>
    <n v="21387939"/>
    <s v="3000005371070023RC"/>
    <s v="CIVIL"/>
    <d v="2023-06-30T00:00:00"/>
    <d v="2023-07-17T19:42:13"/>
    <m/>
    <d v="2023-07-17T00:00:00"/>
    <n v="67"/>
    <n v="13152"/>
    <s v="9409822"/>
    <s v="9409822"/>
    <m/>
    <m/>
    <m/>
    <m/>
    <m/>
    <m/>
    <s v="SOLRECOUP"/>
    <s v="SOLRECOUP"/>
    <s v="POARECOUP"/>
    <n v="21387939"/>
    <n v="-17.4"/>
    <m/>
    <s v="Y"/>
    <n v="2"/>
    <d v="2023-07-17T19:42:13"/>
    <s v="N"/>
    <m/>
    <m/>
    <s v="Non Expert Disbursement"/>
    <m/>
    <s v="N"/>
    <n v="0"/>
    <n v="0"/>
    <x v="8"/>
    <s v="VALIDATED"/>
    <n v="1"/>
    <s v="01.11.80.000.0000.0000"/>
    <n v="0"/>
    <s v="11"/>
    <s v="0000"/>
    <n v="3796.8"/>
    <n v="0"/>
    <s v="CREDITOR"/>
    <n v="0"/>
    <n v="0"/>
    <n v="0"/>
    <n v="0"/>
    <n v="0"/>
  </r>
  <r>
    <n v="9409822"/>
    <s v="N"/>
    <n v="21387940"/>
    <s v="3000005371070006RC"/>
    <s v="CIVIL"/>
    <d v="2023-06-30T00:00:00"/>
    <d v="2023-07-17T19:42:13"/>
    <m/>
    <d v="2023-07-17T00:00:00"/>
    <n v="67"/>
    <n v="13152"/>
    <s v="9409822"/>
    <s v="9409822"/>
    <m/>
    <m/>
    <m/>
    <m/>
    <m/>
    <m/>
    <s v="SOLRECOUP"/>
    <s v="SOLRECOUP"/>
    <s v="POARECOUP"/>
    <n v="21387940"/>
    <n v="-14.4"/>
    <m/>
    <s v="Y"/>
    <n v="2"/>
    <d v="2023-07-17T19:42:13"/>
    <s v="N"/>
    <m/>
    <m/>
    <s v="Non Expert Disbursement"/>
    <m/>
    <s v="N"/>
    <n v="0"/>
    <n v="0"/>
    <x v="8"/>
    <s v="VALIDATED"/>
    <n v="1"/>
    <s v="01.11.80.000.0000.0000"/>
    <n v="0"/>
    <s v="11"/>
    <s v="0000"/>
    <n v="3796.8"/>
    <n v="0"/>
    <s v="CREDITOR"/>
    <n v="0"/>
    <n v="0"/>
    <n v="0"/>
    <n v="0"/>
    <n v="0"/>
  </r>
  <r>
    <n v="9409822"/>
    <s v="N"/>
    <n v="21387940"/>
    <s v="3000005371070006RC"/>
    <s v="CIVIL"/>
    <d v="2023-06-30T00:00:00"/>
    <d v="2023-07-17T19:42:13"/>
    <m/>
    <d v="2023-07-17T00:00:00"/>
    <n v="67"/>
    <n v="13152"/>
    <s v="9409822"/>
    <s v="9409822"/>
    <m/>
    <m/>
    <m/>
    <m/>
    <m/>
    <m/>
    <s v="SOLRECOUP"/>
    <s v="SOLRECOUP"/>
    <s v="POARECOUP"/>
    <n v="21387940"/>
    <n v="-14.4"/>
    <m/>
    <s v="Y"/>
    <n v="1"/>
    <d v="2023-07-17T19:42:13"/>
    <s v="N"/>
    <m/>
    <m/>
    <s v="Non Expert Disbursement"/>
    <m/>
    <s v="N"/>
    <n v="-14.4"/>
    <n v="0"/>
    <x v="8"/>
    <s v="VALIDATED"/>
    <n v="1"/>
    <s v="01.11.80.308.2013.0000"/>
    <n v="-14.4"/>
    <s v="11"/>
    <s v="2013"/>
    <n v="3796.8"/>
    <n v="-14.4"/>
    <s v="CREDITOR"/>
    <n v="0"/>
    <n v="0"/>
    <n v="-14.4"/>
    <n v="0"/>
    <n v="0"/>
  </r>
  <r>
    <n v="9409822"/>
    <s v="N"/>
    <n v="21387941"/>
    <s v="3000005371070007RC"/>
    <s v="CIVIL"/>
    <d v="2023-06-30T00:00:00"/>
    <d v="2023-07-17T19:42:13"/>
    <m/>
    <d v="2023-07-17T00:00:00"/>
    <n v="67"/>
    <n v="13152"/>
    <s v="9409822"/>
    <s v="9409822"/>
    <m/>
    <m/>
    <m/>
    <m/>
    <m/>
    <m/>
    <s v="SOLRECOUP"/>
    <s v="SOLRECOUP"/>
    <s v="POARECOUP"/>
    <n v="21387941"/>
    <n v="-14.4"/>
    <m/>
    <s v="Y"/>
    <n v="2"/>
    <d v="2023-07-17T19:42:13"/>
    <s v="N"/>
    <m/>
    <m/>
    <s v="Non Expert Disbursement"/>
    <m/>
    <s v="N"/>
    <n v="0"/>
    <n v="0"/>
    <x v="8"/>
    <s v="VALIDATED"/>
    <n v="1"/>
    <s v="01.11.80.000.0000.0000"/>
    <n v="0"/>
    <s v="11"/>
    <s v="0000"/>
    <n v="3796.8"/>
    <n v="0"/>
    <s v="CREDITOR"/>
    <n v="0"/>
    <n v="0"/>
    <n v="0"/>
    <n v="0"/>
    <n v="0"/>
  </r>
  <r>
    <n v="9409822"/>
    <s v="N"/>
    <n v="21387941"/>
    <s v="3000005371070007RC"/>
    <s v="CIVIL"/>
    <d v="2023-06-30T00:00:00"/>
    <d v="2023-07-17T19:42:13"/>
    <m/>
    <d v="2023-07-17T00:00:00"/>
    <n v="67"/>
    <n v="13152"/>
    <s v="9409822"/>
    <s v="9409822"/>
    <m/>
    <m/>
    <m/>
    <m/>
    <m/>
    <m/>
    <s v="SOLRECOUP"/>
    <s v="SOLRECOUP"/>
    <s v="POARECOUP"/>
    <n v="21387941"/>
    <n v="-14.4"/>
    <m/>
    <s v="Y"/>
    <n v="1"/>
    <d v="2023-07-17T19:42:13"/>
    <s v="N"/>
    <m/>
    <m/>
    <s v="Non Expert Disbursement"/>
    <m/>
    <s v="N"/>
    <n v="-14.4"/>
    <n v="0"/>
    <x v="8"/>
    <s v="VALIDATED"/>
    <n v="1"/>
    <s v="01.11.80.308.2013.0000"/>
    <n v="-14.4"/>
    <s v="11"/>
    <s v="2013"/>
    <n v="3796.8"/>
    <n v="-14.4"/>
    <s v="CREDITOR"/>
    <n v="0"/>
    <n v="0"/>
    <n v="-14.4"/>
    <n v="0"/>
    <n v="0"/>
  </r>
  <r>
    <n v="9409822"/>
    <s v="N"/>
    <n v="21387942"/>
    <s v="3000005371070009RC"/>
    <s v="CIVIL"/>
    <d v="2023-06-30T00:00:00"/>
    <d v="2023-07-17T19:42:13"/>
    <m/>
    <d v="2023-07-17T00:00:00"/>
    <n v="67"/>
    <n v="13152"/>
    <s v="9409822"/>
    <s v="9409822"/>
    <m/>
    <m/>
    <m/>
    <m/>
    <m/>
    <m/>
    <s v="SOLRECOUP"/>
    <s v="SOLRECOUP"/>
    <s v="POARECOUP"/>
    <n v="21387942"/>
    <n v="-14.4"/>
    <m/>
    <s v="Y"/>
    <n v="1"/>
    <d v="2023-07-17T19:42:13"/>
    <s v="N"/>
    <m/>
    <m/>
    <s v="Non Expert Disbursement"/>
    <m/>
    <s v="N"/>
    <n v="-14.4"/>
    <n v="0"/>
    <x v="8"/>
    <s v="VALIDATED"/>
    <n v="1"/>
    <s v="01.11.80.308.2013.0000"/>
    <n v="-14.4"/>
    <s v="11"/>
    <s v="2013"/>
    <n v="3796.8"/>
    <n v="-14.4"/>
    <s v="CREDITOR"/>
    <n v="0"/>
    <n v="0"/>
    <n v="-14.4"/>
    <n v="0"/>
    <n v="0"/>
  </r>
  <r>
    <n v="9409822"/>
    <s v="N"/>
    <n v="21387942"/>
    <s v="3000005371070009RC"/>
    <s v="CIVIL"/>
    <d v="2023-06-30T00:00:00"/>
    <d v="2023-07-17T19:42:13"/>
    <m/>
    <d v="2023-07-17T00:00:00"/>
    <n v="67"/>
    <n v="13152"/>
    <s v="9409822"/>
    <s v="9409822"/>
    <m/>
    <m/>
    <m/>
    <m/>
    <m/>
    <m/>
    <s v="SOLRECOUP"/>
    <s v="SOLRECOUP"/>
    <s v="POARECOUP"/>
    <n v="21387942"/>
    <n v="-14.4"/>
    <m/>
    <s v="Y"/>
    <n v="2"/>
    <d v="2023-07-17T19:42:13"/>
    <s v="N"/>
    <m/>
    <m/>
    <s v="Non Expert Disbursement"/>
    <m/>
    <s v="N"/>
    <n v="0"/>
    <n v="0"/>
    <x v="8"/>
    <s v="VALIDATED"/>
    <n v="1"/>
    <s v="01.11.80.000.0000.0000"/>
    <n v="0"/>
    <s v="11"/>
    <s v="0000"/>
    <n v="3796.8"/>
    <n v="0"/>
    <s v="CREDITOR"/>
    <n v="0"/>
    <n v="0"/>
    <n v="0"/>
    <n v="0"/>
    <n v="0"/>
  </r>
  <r>
    <n v="9409822"/>
    <s v="N"/>
    <n v="21387943"/>
    <s v="3000005371070031RC"/>
    <s v="CIVIL"/>
    <d v="2023-06-30T00:00:00"/>
    <d v="2023-07-17T19:42:13"/>
    <m/>
    <d v="2023-07-17T00:00:00"/>
    <n v="67"/>
    <n v="13152"/>
    <s v="9409822"/>
    <s v="9409822"/>
    <m/>
    <m/>
    <m/>
    <m/>
    <m/>
    <m/>
    <s v="SOLRECOUP"/>
    <s v="SOLRECOUP"/>
    <s v="POARECOUP"/>
    <n v="21387943"/>
    <n v="-1060.93"/>
    <m/>
    <s v="Y"/>
    <n v="1"/>
    <d v="2023-07-17T19:42:13"/>
    <s v="N"/>
    <m/>
    <m/>
    <s v="Non Expert Disbursement"/>
    <m/>
    <s v="N"/>
    <n v="-884.11"/>
    <n v="0"/>
    <x v="8"/>
    <s v="VALIDATED"/>
    <n v="1"/>
    <s v="01.11.80.308.2013.0000"/>
    <n v="-884.11"/>
    <s v="11"/>
    <s v="2013"/>
    <n v="3796.8"/>
    <n v="-884.11"/>
    <s v="CREDITOR"/>
    <n v="0"/>
    <n v="0"/>
    <n v="-884.11"/>
    <n v="0"/>
    <n v="0"/>
  </r>
  <r>
    <n v="9409822"/>
    <s v="N"/>
    <n v="21387943"/>
    <s v="3000005371070031RC"/>
    <s v="CIVIL"/>
    <d v="2023-06-30T00:00:00"/>
    <d v="2023-07-17T19:42:13"/>
    <m/>
    <d v="2023-07-17T00:00:00"/>
    <n v="67"/>
    <n v="13152"/>
    <s v="9409822"/>
    <s v="9409822"/>
    <m/>
    <m/>
    <m/>
    <m/>
    <m/>
    <m/>
    <s v="SOLRECOUP"/>
    <s v="SOLRECOUP"/>
    <s v="POARECOUP"/>
    <n v="21387943"/>
    <n v="-1060.93"/>
    <m/>
    <s v="Y"/>
    <n v="2"/>
    <d v="2023-07-17T19:42:13"/>
    <s v="N"/>
    <m/>
    <m/>
    <s v="Non Expert Disbursement"/>
    <m/>
    <s v="N"/>
    <n v="0"/>
    <n v="-176.82"/>
    <x v="8"/>
    <s v="VALIDATED"/>
    <n v="1"/>
    <s v="01.11.80.308.2013.0000"/>
    <n v="-176.82"/>
    <s v="11"/>
    <s v="2013"/>
    <n v="3796.8"/>
    <n v="-176.82"/>
    <s v="CREDITOR"/>
    <n v="0"/>
    <n v="0"/>
    <n v="-176.82"/>
    <n v="0"/>
    <n v="0"/>
  </r>
  <r>
    <n v="9409822"/>
    <s v="N"/>
    <n v="21387944"/>
    <s v="3000005371070016RC"/>
    <s v="CIVIL"/>
    <d v="2023-06-30T00:00:00"/>
    <d v="2023-07-17T19:42:13"/>
    <m/>
    <d v="2023-07-17T00:00:00"/>
    <n v="67"/>
    <n v="13152"/>
    <s v="9409822"/>
    <s v="9409822"/>
    <m/>
    <m/>
    <m/>
    <m/>
    <m/>
    <m/>
    <s v="SOLRECOUP"/>
    <s v="SOLRECOUP"/>
    <s v="POARECOUP"/>
    <n v="21387944"/>
    <n v="-207.36"/>
    <m/>
    <s v="Y"/>
    <n v="2"/>
    <d v="2023-07-17T19:42:13"/>
    <s v="N"/>
    <m/>
    <m/>
    <s v="Expert Disbursement"/>
    <m/>
    <s v="N"/>
    <n v="0"/>
    <n v="-34.56"/>
    <x v="8"/>
    <s v="VALIDATED"/>
    <n v="1"/>
    <s v="01.11.80.308.2013.0000"/>
    <n v="-34.56"/>
    <s v="11"/>
    <s v="2013"/>
    <n v="3796.8"/>
    <n v="-34.56"/>
    <s v="CREDITOR"/>
    <n v="0"/>
    <n v="0"/>
    <n v="-34.56"/>
    <n v="0"/>
    <n v="0"/>
  </r>
  <r>
    <n v="9409822"/>
    <s v="N"/>
    <n v="21387944"/>
    <s v="3000005371070016RC"/>
    <s v="CIVIL"/>
    <d v="2023-06-30T00:00:00"/>
    <d v="2023-07-17T19:42:13"/>
    <m/>
    <d v="2023-07-17T00:00:00"/>
    <n v="67"/>
    <n v="13152"/>
    <s v="9409822"/>
    <s v="9409822"/>
    <m/>
    <m/>
    <m/>
    <m/>
    <m/>
    <m/>
    <s v="SOLRECOUP"/>
    <s v="SOLRECOUP"/>
    <s v="POARECOUP"/>
    <n v="21387944"/>
    <n v="-207.36"/>
    <m/>
    <s v="Y"/>
    <n v="1"/>
    <d v="2023-07-17T19:42:13"/>
    <s v="N"/>
    <m/>
    <m/>
    <s v="Expert Disbursement"/>
    <m/>
    <s v="N"/>
    <n v="-172.8"/>
    <n v="0"/>
    <x v="8"/>
    <s v="VALIDATED"/>
    <n v="1"/>
    <s v="01.11.80.308.2013.0000"/>
    <n v="-172.8"/>
    <s v="11"/>
    <s v="2013"/>
    <n v="3796.8"/>
    <n v="-172.8"/>
    <s v="CREDITOR"/>
    <n v="0"/>
    <n v="0"/>
    <n v="-172.8"/>
    <n v="0"/>
    <n v="0"/>
  </r>
  <r>
    <n v="9409822"/>
    <s v="N"/>
    <n v="21387945"/>
    <s v="3000005371070019RC"/>
    <s v="CIVIL"/>
    <d v="2023-06-30T00:00:00"/>
    <d v="2023-07-17T19:42:13"/>
    <m/>
    <d v="2023-07-17T00:00:00"/>
    <n v="67"/>
    <n v="13152"/>
    <s v="9409822"/>
    <s v="9409822"/>
    <m/>
    <m/>
    <m/>
    <m/>
    <m/>
    <m/>
    <s v="SOLRECOUP"/>
    <s v="SOLRECOUP"/>
    <s v="POARECOUP"/>
    <n v="21387945"/>
    <n v="-25.92"/>
    <m/>
    <s v="Y"/>
    <n v="2"/>
    <d v="2023-07-17T19:42:13"/>
    <s v="N"/>
    <m/>
    <m/>
    <s v="Expert Disbursement"/>
    <m/>
    <s v="N"/>
    <n v="0"/>
    <n v="-4.32"/>
    <x v="8"/>
    <s v="VALIDATED"/>
    <n v="1"/>
    <s v="01.11.80.308.2013.0000"/>
    <n v="-4.32"/>
    <s v="11"/>
    <s v="2013"/>
    <n v="3796.8"/>
    <n v="-4.32"/>
    <s v="CREDITOR"/>
    <n v="0"/>
    <n v="0"/>
    <n v="-4.32"/>
    <n v="0"/>
    <n v="0"/>
  </r>
  <r>
    <n v="9409822"/>
    <s v="N"/>
    <n v="21387945"/>
    <s v="3000005371070019RC"/>
    <s v="CIVIL"/>
    <d v="2023-06-30T00:00:00"/>
    <d v="2023-07-17T19:42:13"/>
    <m/>
    <d v="2023-07-17T00:00:00"/>
    <n v="67"/>
    <n v="13152"/>
    <s v="9409822"/>
    <s v="9409822"/>
    <m/>
    <m/>
    <m/>
    <m/>
    <m/>
    <m/>
    <s v="SOLRECOUP"/>
    <s v="SOLRECOUP"/>
    <s v="POARECOUP"/>
    <n v="21387945"/>
    <n v="-25.92"/>
    <m/>
    <s v="Y"/>
    <n v="1"/>
    <d v="2023-07-17T19:42:13"/>
    <s v="N"/>
    <m/>
    <m/>
    <s v="Expert Disbursement"/>
    <m/>
    <s v="N"/>
    <n v="-21.6"/>
    <n v="0"/>
    <x v="8"/>
    <s v="VALIDATED"/>
    <n v="1"/>
    <s v="01.11.80.308.2013.0000"/>
    <n v="-21.6"/>
    <s v="11"/>
    <s v="2013"/>
    <n v="3796.8"/>
    <n v="-21.6"/>
    <s v="CREDITOR"/>
    <n v="0"/>
    <n v="0"/>
    <n v="-21.6"/>
    <n v="0"/>
    <n v="0"/>
  </r>
  <r>
    <n v="9409822"/>
    <s v="N"/>
    <n v="21387946"/>
    <s v="3000005371070025RC"/>
    <s v="CIVIL"/>
    <d v="2023-06-30T00:00:00"/>
    <d v="2023-07-17T19:42:13"/>
    <m/>
    <d v="2023-07-17T00:00:00"/>
    <n v="67"/>
    <n v="13152"/>
    <s v="9409822"/>
    <s v="9409822"/>
    <m/>
    <m/>
    <m/>
    <m/>
    <m/>
    <m/>
    <s v="SOLRECOUP"/>
    <s v="SOLRECOUP"/>
    <s v="POARECOUP"/>
    <n v="21387946"/>
    <n v="-245.21"/>
    <m/>
    <s v="Y"/>
    <n v="2"/>
    <d v="2023-07-17T19:42:13"/>
    <s v="N"/>
    <m/>
    <m/>
    <s v="Expert Disbursement"/>
    <m/>
    <s v="N"/>
    <n v="0"/>
    <n v="-40.87"/>
    <x v="8"/>
    <s v="VALIDATED"/>
    <n v="1"/>
    <s v="01.11.80.308.2013.0000"/>
    <n v="-40.87"/>
    <s v="11"/>
    <s v="2013"/>
    <n v="3796.8"/>
    <n v="-40.87"/>
    <s v="CREDITOR"/>
    <n v="0"/>
    <n v="0"/>
    <n v="-40.87"/>
    <n v="0"/>
    <n v="0"/>
  </r>
  <r>
    <n v="9409822"/>
    <s v="N"/>
    <n v="21387946"/>
    <s v="3000005371070025RC"/>
    <s v="CIVIL"/>
    <d v="2023-06-30T00:00:00"/>
    <d v="2023-07-17T19:42:13"/>
    <m/>
    <d v="2023-07-17T00:00:00"/>
    <n v="67"/>
    <n v="13152"/>
    <s v="9409822"/>
    <s v="9409822"/>
    <m/>
    <m/>
    <m/>
    <m/>
    <m/>
    <m/>
    <s v="SOLRECOUP"/>
    <s v="SOLRECOUP"/>
    <s v="POARECOUP"/>
    <n v="21387946"/>
    <n v="-245.21"/>
    <m/>
    <s v="Y"/>
    <n v="1"/>
    <d v="2023-07-17T19:42:13"/>
    <s v="N"/>
    <m/>
    <m/>
    <s v="Expert Disbursement"/>
    <m/>
    <s v="N"/>
    <n v="-204.34"/>
    <n v="0"/>
    <x v="8"/>
    <s v="VALIDATED"/>
    <n v="1"/>
    <s v="01.11.80.308.2013.0000"/>
    <n v="-204.34"/>
    <s v="11"/>
    <s v="2013"/>
    <n v="3796.8"/>
    <n v="-204.34"/>
    <s v="CREDITOR"/>
    <n v="0"/>
    <n v="0"/>
    <n v="-204.34"/>
    <n v="0"/>
    <n v="0"/>
  </r>
  <r>
    <n v="9409822"/>
    <s v="N"/>
    <n v="21382382"/>
    <s v="3000005371070038"/>
    <s v="CIVIL"/>
    <d v="2023-06-30T00:00:00"/>
    <d v="2023-07-17T19:01:46"/>
    <m/>
    <d v="2023-07-17T00:00:00"/>
    <n v="67"/>
    <n v="13152"/>
    <s v="9409822"/>
    <s v="9409822"/>
    <m/>
    <m/>
    <n v="22799750"/>
    <m/>
    <m/>
    <m/>
    <s v="SOLFIN"/>
    <s v="SOLFIN"/>
    <s v="CCMS"/>
    <n v="21382382"/>
    <n v="17293.6"/>
    <m/>
    <s v="N"/>
    <n v="2"/>
    <d v="2023-07-17T19:02:08"/>
    <s v="Y"/>
    <s v="Interim/Directions/Review Hearing ("/>
    <s v="VHCC"/>
    <s v="Profit Cost"/>
    <s v="SB"/>
    <s v="Y"/>
    <n v="12213"/>
    <n v="2442.6"/>
    <x v="8"/>
    <s v="VALIDATED"/>
    <n v="1"/>
    <s v="01.11.80.308.6100.0000"/>
    <n v="12213"/>
    <s v="11"/>
    <s v="6100"/>
    <n v="3796.8"/>
    <n v="12213"/>
    <s v="CREDITOR"/>
    <n v="0"/>
    <n v="0"/>
    <n v="0"/>
    <n v="0"/>
    <n v="12213"/>
  </r>
  <r>
    <n v="56249076"/>
    <s v="N"/>
    <n v="21328563"/>
    <s v="3000013347950001RC"/>
    <s v="CIVIL"/>
    <d v="2023-06-24T00:00:00"/>
    <d v="2023-07-04T19:38:21"/>
    <m/>
    <d v="2023-07-04T00:00:00"/>
    <n v="67"/>
    <n v="13152"/>
    <s v="56249076"/>
    <s v="56249076"/>
    <m/>
    <m/>
    <m/>
    <m/>
    <m/>
    <m/>
    <s v="SOLRECOUP"/>
    <s v="SOLRECOUP"/>
    <s v="POARECOUP"/>
    <n v="21328563"/>
    <n v="-90"/>
    <m/>
    <s v="Y"/>
    <n v="2"/>
    <d v="2023-07-04T19:38:22"/>
    <s v="N"/>
    <m/>
    <m/>
    <s v="Expert Disbursement"/>
    <m/>
    <s v="N"/>
    <n v="0"/>
    <n v="0"/>
    <x v="1"/>
    <s v="VALIDATED"/>
    <n v="1"/>
    <s v="01.11.80.000.0000.0000"/>
    <n v="0"/>
    <s v="11"/>
    <s v="0000"/>
    <n v="3796.8"/>
    <n v="0"/>
    <s v="CREDITOR"/>
    <n v="0"/>
    <n v="0"/>
    <n v="0"/>
    <n v="0"/>
    <n v="0"/>
  </r>
  <r>
    <n v="56249076"/>
    <s v="N"/>
    <n v="21328563"/>
    <s v="3000013347950001RC"/>
    <s v="CIVIL"/>
    <d v="2023-06-24T00:00:00"/>
    <d v="2023-07-04T19:38:21"/>
    <m/>
    <d v="2023-07-04T00:00:00"/>
    <n v="67"/>
    <n v="13152"/>
    <s v="56249076"/>
    <s v="56249076"/>
    <m/>
    <m/>
    <m/>
    <m/>
    <m/>
    <m/>
    <s v="SOLRECOUP"/>
    <s v="SOLRECOUP"/>
    <s v="POARECOUP"/>
    <n v="21328563"/>
    <n v="-90"/>
    <m/>
    <s v="Y"/>
    <n v="1"/>
    <d v="2023-07-04T19:38:22"/>
    <s v="N"/>
    <m/>
    <m/>
    <s v="Expert Disbursement"/>
    <m/>
    <s v="N"/>
    <n v="-90"/>
    <n v="0"/>
    <x v="1"/>
    <s v="VALIDATED"/>
    <n v="1"/>
    <s v="01.11.80.307.2013.0000"/>
    <n v="-90"/>
    <s v="11"/>
    <s v="2013"/>
    <n v="3796.8"/>
    <n v="-90"/>
    <s v="CREDITOR"/>
    <n v="0"/>
    <n v="0"/>
    <n v="-90"/>
    <n v="0"/>
    <n v="0"/>
  </r>
  <r>
    <n v="56249076"/>
    <s v="N"/>
    <n v="21328564"/>
    <s v="3000013347950003RC"/>
    <s v="CIVIL"/>
    <d v="2023-06-24T00:00:00"/>
    <d v="2023-07-04T19:38:21"/>
    <m/>
    <d v="2023-07-04T00:00:00"/>
    <n v="67"/>
    <n v="13152"/>
    <s v="56249076"/>
    <s v="56249076"/>
    <m/>
    <m/>
    <m/>
    <m/>
    <m/>
    <m/>
    <s v="SOLRECOUP"/>
    <s v="SOLRECOUP"/>
    <s v="POARECOUP"/>
    <n v="21328564"/>
    <n v="-167"/>
    <m/>
    <s v="Y"/>
    <n v="2"/>
    <d v="2023-07-04T19:38:22"/>
    <s v="N"/>
    <m/>
    <m/>
    <s v="Non Expert Disbursement"/>
    <m/>
    <s v="N"/>
    <n v="0"/>
    <n v="0"/>
    <x v="1"/>
    <s v="VALIDATED"/>
    <n v="1"/>
    <s v="01.11.80.000.0000.0000"/>
    <n v="0"/>
    <s v="11"/>
    <s v="0000"/>
    <n v="3796.8"/>
    <n v="0"/>
    <s v="CREDITOR"/>
    <n v="0"/>
    <n v="0"/>
    <n v="0"/>
    <n v="0"/>
    <n v="0"/>
  </r>
  <r>
    <n v="56249076"/>
    <s v="N"/>
    <n v="21328564"/>
    <s v="3000013347950003RC"/>
    <s v="CIVIL"/>
    <d v="2023-06-24T00:00:00"/>
    <d v="2023-07-04T19:38:21"/>
    <m/>
    <d v="2023-07-04T00:00:00"/>
    <n v="67"/>
    <n v="13152"/>
    <s v="56249076"/>
    <s v="56249076"/>
    <m/>
    <m/>
    <m/>
    <m/>
    <m/>
    <m/>
    <s v="SOLRECOUP"/>
    <s v="SOLRECOUP"/>
    <s v="POARECOUP"/>
    <n v="21328564"/>
    <n v="-167"/>
    <m/>
    <s v="Y"/>
    <n v="1"/>
    <d v="2023-07-04T19:38:22"/>
    <s v="N"/>
    <m/>
    <m/>
    <s v="Non Expert Disbursement"/>
    <m/>
    <s v="N"/>
    <n v="-167"/>
    <n v="0"/>
    <x v="1"/>
    <s v="VALIDATED"/>
    <n v="1"/>
    <s v="01.11.80.307.2013.0000"/>
    <n v="-167"/>
    <s v="11"/>
    <s v="2013"/>
    <n v="3796.8"/>
    <n v="-167"/>
    <s v="CREDITOR"/>
    <n v="0"/>
    <n v="0"/>
    <n v="-167"/>
    <n v="0"/>
    <n v="0"/>
  </r>
  <r>
    <n v="56249076"/>
    <s v="N"/>
    <n v="21328565"/>
    <s v="3000013347950005RC"/>
    <s v="CIVIL"/>
    <d v="2023-06-24T00:00:00"/>
    <d v="2023-07-04T19:38:21"/>
    <m/>
    <d v="2023-07-04T00:00:00"/>
    <n v="67"/>
    <n v="13152"/>
    <s v="56249076"/>
    <s v="56249076"/>
    <m/>
    <m/>
    <m/>
    <m/>
    <m/>
    <m/>
    <s v="SOLRECOUP"/>
    <s v="SOLRECOUP"/>
    <s v="POARECOUP"/>
    <n v="21328565"/>
    <n v="-2026.56"/>
    <m/>
    <s v="Y"/>
    <n v="1"/>
    <d v="2023-07-04T19:38:22"/>
    <s v="N"/>
    <m/>
    <m/>
    <s v="Profit Cost"/>
    <m/>
    <s v="N"/>
    <n v="-1688.8"/>
    <n v="0"/>
    <x v="1"/>
    <s v="VALIDATED"/>
    <n v="1"/>
    <s v="01.11.80.307.2013.0000"/>
    <n v="-1688.8"/>
    <s v="11"/>
    <s v="2013"/>
    <n v="3796.8"/>
    <n v="-1688.8"/>
    <s v="CREDITOR"/>
    <n v="0"/>
    <n v="0"/>
    <n v="-1688.8"/>
    <n v="-422.2"/>
    <n v="0"/>
  </r>
  <r>
    <n v="56249076"/>
    <s v="N"/>
    <n v="21328565"/>
    <s v="3000013347950005RC"/>
    <s v="CIVIL"/>
    <d v="2023-06-24T00:00:00"/>
    <d v="2023-07-04T19:38:21"/>
    <m/>
    <d v="2023-07-04T00:00:00"/>
    <n v="67"/>
    <n v="13152"/>
    <s v="56249076"/>
    <s v="56249076"/>
    <m/>
    <m/>
    <m/>
    <m/>
    <m/>
    <m/>
    <s v="SOLRECOUP"/>
    <s v="SOLRECOUP"/>
    <s v="POARECOUP"/>
    <n v="21328565"/>
    <n v="-2026.56"/>
    <m/>
    <s v="Y"/>
    <n v="2"/>
    <d v="2023-07-04T19:38:22"/>
    <s v="N"/>
    <m/>
    <m/>
    <s v="Profit Cost"/>
    <m/>
    <s v="N"/>
    <n v="0"/>
    <n v="-337.76"/>
    <x v="1"/>
    <s v="VALIDATED"/>
    <n v="1"/>
    <s v="01.11.80.307.2013.0000"/>
    <n v="-337.76"/>
    <s v="11"/>
    <s v="2013"/>
    <n v="3796.8"/>
    <n v="-337.76"/>
    <s v="CREDITOR"/>
    <n v="0"/>
    <n v="0"/>
    <n v="-337.76"/>
    <n v="-84.44"/>
    <n v="0"/>
  </r>
  <r>
    <n v="56249076"/>
    <s v="N"/>
    <n v="21328566"/>
    <s v="3000013347950006RC"/>
    <s v="CIVIL"/>
    <d v="2023-06-24T00:00:00"/>
    <d v="2023-07-04T19:38:21"/>
    <m/>
    <d v="2023-07-04T00:00:00"/>
    <n v="67"/>
    <n v="13152"/>
    <s v="56249076"/>
    <s v="56249076"/>
    <m/>
    <m/>
    <m/>
    <m/>
    <m/>
    <m/>
    <s v="SOLRECOUP"/>
    <s v="SOLRECOUP"/>
    <s v="POARECOUP"/>
    <n v="21328566"/>
    <n v="-130"/>
    <m/>
    <s v="Y"/>
    <n v="2"/>
    <d v="2023-07-04T19:38:22"/>
    <s v="N"/>
    <m/>
    <m/>
    <s v="Expert Disbursement"/>
    <m/>
    <s v="N"/>
    <n v="0"/>
    <n v="0"/>
    <x v="1"/>
    <s v="VALIDATED"/>
    <n v="1"/>
    <s v="01.11.80.000.0000.0000"/>
    <n v="0"/>
    <s v="11"/>
    <s v="0000"/>
    <n v="3796.8"/>
    <n v="0"/>
    <s v="CREDITOR"/>
    <n v="0"/>
    <n v="0"/>
    <n v="0"/>
    <n v="0"/>
    <n v="0"/>
  </r>
  <r>
    <n v="56249076"/>
    <s v="N"/>
    <n v="21328566"/>
    <s v="3000013347950006RC"/>
    <s v="CIVIL"/>
    <d v="2023-06-24T00:00:00"/>
    <d v="2023-07-04T19:38:21"/>
    <m/>
    <d v="2023-07-04T00:00:00"/>
    <n v="67"/>
    <n v="13152"/>
    <s v="56249076"/>
    <s v="56249076"/>
    <m/>
    <m/>
    <m/>
    <m/>
    <m/>
    <m/>
    <s v="SOLRECOUP"/>
    <s v="SOLRECOUP"/>
    <s v="POARECOUP"/>
    <n v="21328566"/>
    <n v="-130"/>
    <m/>
    <s v="Y"/>
    <n v="1"/>
    <d v="2023-07-04T19:38:22"/>
    <s v="N"/>
    <m/>
    <m/>
    <s v="Expert Disbursement"/>
    <m/>
    <s v="N"/>
    <n v="-130"/>
    <n v="0"/>
    <x v="1"/>
    <s v="VALIDATED"/>
    <n v="1"/>
    <s v="01.11.80.307.2013.0000"/>
    <n v="-130"/>
    <s v="11"/>
    <s v="2013"/>
    <n v="3796.8"/>
    <n v="-130"/>
    <s v="CREDITOR"/>
    <n v="0"/>
    <n v="0"/>
    <n v="-130"/>
    <n v="0"/>
    <n v="0"/>
  </r>
  <r>
    <n v="61634450"/>
    <s v="N"/>
    <n v="21381800"/>
    <s v="3000015738140003"/>
    <s v="CIVIL"/>
    <d v="2023-06-27T00:00:00"/>
    <d v="2023-07-17T19:01:46"/>
    <m/>
    <d v="2023-07-17T00:00:00"/>
    <n v="67"/>
    <n v="13152"/>
    <s v="61634450"/>
    <s v="61634450"/>
    <m/>
    <m/>
    <n v="22774768"/>
    <m/>
    <m/>
    <m/>
    <s v="SOLFIN"/>
    <s v="SOLFIN"/>
    <s v="CCMS"/>
    <n v="21381800"/>
    <n v="764.4"/>
    <m/>
    <s v="N"/>
    <n v="1"/>
    <d v="2023-07-17T19:01:53"/>
    <s v="Y"/>
    <s v="Court Fee"/>
    <s v="Finance"/>
    <s v="Non Expert Disbursement"/>
    <s v="SB"/>
    <s v="Y"/>
    <n v="245"/>
    <n v="49"/>
    <x v="8"/>
    <s v="VALIDATED"/>
    <n v="1"/>
    <s v="01.11.80.303.6300.0000"/>
    <n v="245"/>
    <s v="11"/>
    <s v="6300"/>
    <n v="3796.8"/>
    <n v="245"/>
    <s v="CREDITOR"/>
    <n v="0"/>
    <n v="0"/>
    <n v="0"/>
    <n v="0"/>
    <n v="245"/>
  </r>
  <r>
    <n v="9409822"/>
    <s v="N"/>
    <n v="21382382"/>
    <s v="3000005371070038"/>
    <s v="CIVIL"/>
    <d v="2023-06-30T00:00:00"/>
    <d v="2023-07-17T19:01:46"/>
    <m/>
    <d v="2023-07-17T00:00:00"/>
    <n v="67"/>
    <n v="13152"/>
    <s v="9409822"/>
    <s v="9409822"/>
    <m/>
    <m/>
    <n v="22799750"/>
    <m/>
    <m/>
    <m/>
    <s v="SOLFIN"/>
    <s v="SOLFIN"/>
    <s v="CCMS"/>
    <n v="21382382"/>
    <n v="17293.6"/>
    <m/>
    <s v="N"/>
    <n v="1"/>
    <d v="2023-07-17T19:02:08"/>
    <s v="Y"/>
    <s v="Disbursements (Summary)"/>
    <s v="VHCC"/>
    <s v="Non Expert Disbursement"/>
    <s v="SB"/>
    <s v="Y"/>
    <n v="155"/>
    <n v="0"/>
    <x v="8"/>
    <s v="VALIDATED"/>
    <n v="1"/>
    <s v="01.11.80.308.6300.0000"/>
    <n v="155"/>
    <s v="11"/>
    <s v="6300"/>
    <n v="3796.8"/>
    <n v="155"/>
    <s v="CREDITOR"/>
    <n v="0"/>
    <n v="0"/>
    <n v="0"/>
    <n v="0"/>
    <n v="155"/>
  </r>
  <r>
    <n v="9409822"/>
    <s v="N"/>
    <n v="21382382"/>
    <s v="3000005371070038"/>
    <s v="CIVIL"/>
    <d v="2023-06-30T00:00:00"/>
    <d v="2023-07-17T19:01:46"/>
    <m/>
    <d v="2023-07-17T00:00:00"/>
    <n v="67"/>
    <n v="13152"/>
    <s v="9409822"/>
    <s v="9409822"/>
    <m/>
    <m/>
    <n v="22799750"/>
    <m/>
    <m/>
    <m/>
    <s v="SOLFIN"/>
    <s v="SOLFIN"/>
    <s v="CCMS"/>
    <n v="21382382"/>
    <n v="17293.6"/>
    <m/>
    <s v="N"/>
    <n v="5"/>
    <d v="2023-07-17T19:02:08"/>
    <s v="Y"/>
    <s v="Under-Run Payment (Events Model)"/>
    <s v="VHCC"/>
    <s v="Profit Cost"/>
    <s v="SB"/>
    <s v="Y"/>
    <n v="319.5"/>
    <n v="63.9"/>
    <x v="8"/>
    <s v="VALIDATED"/>
    <n v="1"/>
    <s v="01.11.80.308.6100.0000"/>
    <n v="319.5"/>
    <s v="11"/>
    <s v="6100"/>
    <n v="3796.8"/>
    <n v="319.5"/>
    <s v="CREDITOR"/>
    <n v="0"/>
    <n v="0"/>
    <n v="0"/>
    <n v="0"/>
    <n v="319.5"/>
  </r>
  <r>
    <n v="62400487"/>
    <s v="N"/>
    <n v="21324134"/>
    <s v="3000016375410004"/>
    <s v="CIVIL"/>
    <d v="2023-06-30T00:00:00"/>
    <d v="2023-07-03T19:05:56"/>
    <m/>
    <d v="2023-07-03T00:00:00"/>
    <n v="68"/>
    <n v="13152"/>
    <s v="62400487"/>
    <s v="62400487"/>
    <m/>
    <m/>
    <n v="22800484"/>
    <m/>
    <m/>
    <m/>
    <s v="SOLPOA"/>
    <s v="SOLPOA"/>
    <s v="CCMS"/>
    <n v="21324134"/>
    <n v="535.5"/>
    <m/>
    <s v="N"/>
    <n v="1"/>
    <d v="2023-07-03T19:06:00"/>
    <s v="N"/>
    <s v="Expert Cost"/>
    <s v="Expert Cost"/>
    <s v="Expert Disbursement"/>
    <s v="SB"/>
    <s v="N"/>
    <n v="446.25"/>
    <n v="89.25"/>
    <x v="3"/>
    <s v="VALIDATED"/>
    <n v="1"/>
    <s v="01.11.80.308.2012.0000"/>
    <n v="446.25"/>
    <s v="11"/>
    <s v="2012"/>
    <n v="446.25"/>
    <n v="446.25"/>
    <s v="CREDITOR"/>
    <n v="446.25"/>
    <n v="0"/>
    <n v="0"/>
    <n v="0"/>
    <n v="0"/>
  </r>
  <r>
    <n v="10357729"/>
    <s v="N"/>
    <n v="21366213"/>
    <s v="3000006217170005RC"/>
    <s v="CIVIL"/>
    <d v="2023-06-30T00:00:00"/>
    <d v="2023-07-12T19:45:17"/>
    <m/>
    <d v="2023-07-12T00:00:00"/>
    <n v="69"/>
    <n v="13163"/>
    <s v="10357729"/>
    <s v="10357729"/>
    <m/>
    <m/>
    <m/>
    <m/>
    <m/>
    <m/>
    <s v="SOLRECOUP"/>
    <s v="SOLRECOUP"/>
    <s v="POARECOUP"/>
    <n v="21366213"/>
    <n v="-255"/>
    <m/>
    <s v="Y"/>
    <n v="2"/>
    <d v="2023-07-12T19:45:17"/>
    <s v="N"/>
    <m/>
    <m/>
    <s v="Non Expert Disbursement"/>
    <m/>
    <s v="N"/>
    <n v="0"/>
    <n v="0"/>
    <x v="0"/>
    <s v="VALIDATED"/>
    <n v="1"/>
    <s v="01.11.80.000.0000.0000"/>
    <n v="0"/>
    <s v="11"/>
    <s v="0000"/>
    <n v="4307.58"/>
    <n v="0"/>
    <s v="CREDITOR"/>
    <n v="0"/>
    <n v="0"/>
    <n v="0"/>
    <n v="0"/>
    <n v="0"/>
  </r>
  <r>
    <n v="10357729"/>
    <s v="N"/>
    <n v="21366213"/>
    <s v="3000006217170005RC"/>
    <s v="CIVIL"/>
    <d v="2023-06-30T00:00:00"/>
    <d v="2023-07-12T19:45:17"/>
    <m/>
    <d v="2023-07-12T00:00:00"/>
    <n v="69"/>
    <n v="13163"/>
    <s v="10357729"/>
    <s v="10357729"/>
    <m/>
    <m/>
    <m/>
    <m/>
    <m/>
    <m/>
    <s v="SOLRECOUP"/>
    <s v="SOLRECOUP"/>
    <s v="POARECOUP"/>
    <n v="21366213"/>
    <n v="-255"/>
    <m/>
    <s v="Y"/>
    <n v="1"/>
    <d v="2023-07-12T19:45:17"/>
    <s v="N"/>
    <m/>
    <m/>
    <s v="Non Expert Disbursement"/>
    <m/>
    <s v="N"/>
    <n v="-255"/>
    <n v="0"/>
    <x v="0"/>
    <s v="VALIDATED"/>
    <n v="1"/>
    <s v="01.11.80.307.2013.0000"/>
    <n v="-255"/>
    <s v="11"/>
    <s v="2013"/>
    <n v="4307.58"/>
    <n v="-255"/>
    <s v="CREDITOR"/>
    <n v="0"/>
    <n v="0"/>
    <n v="-255"/>
    <n v="0"/>
    <n v="0"/>
  </r>
  <r>
    <n v="10357729"/>
    <s v="N"/>
    <n v="21366214"/>
    <s v="3000006217170006RC"/>
    <s v="CIVIL"/>
    <d v="2023-06-30T00:00:00"/>
    <d v="2023-07-12T19:45:17"/>
    <m/>
    <d v="2023-07-12T00:00:00"/>
    <n v="69"/>
    <n v="13163"/>
    <s v="10357729"/>
    <s v="10357729"/>
    <m/>
    <m/>
    <m/>
    <m/>
    <m/>
    <m/>
    <s v="SOLRECOUP"/>
    <s v="SOLRECOUP"/>
    <s v="POARECOUP"/>
    <n v="21366214"/>
    <n v="-376.32"/>
    <m/>
    <s v="Y"/>
    <n v="2"/>
    <d v="2023-07-12T19:45:17"/>
    <s v="N"/>
    <m/>
    <m/>
    <s v="Profit Cost"/>
    <m/>
    <s v="N"/>
    <n v="0"/>
    <n v="-62.72"/>
    <x v="0"/>
    <s v="VALIDATED"/>
    <n v="1"/>
    <s v="01.11.80.307.2013.0000"/>
    <n v="-62.72"/>
    <s v="11"/>
    <s v="2013"/>
    <n v="4307.58"/>
    <n v="-62.72"/>
    <s v="CREDITOR"/>
    <n v="0"/>
    <n v="0"/>
    <n v="-62.72"/>
    <n v="-15.68"/>
    <n v="0"/>
  </r>
  <r>
    <n v="10357729"/>
    <s v="N"/>
    <n v="21366214"/>
    <s v="3000006217170006RC"/>
    <s v="CIVIL"/>
    <d v="2023-06-30T00:00:00"/>
    <d v="2023-07-12T19:45:17"/>
    <m/>
    <d v="2023-07-12T00:00:00"/>
    <n v="69"/>
    <n v="13163"/>
    <s v="10357729"/>
    <s v="10357729"/>
    <m/>
    <m/>
    <m/>
    <m/>
    <m/>
    <m/>
    <s v="SOLRECOUP"/>
    <s v="SOLRECOUP"/>
    <s v="POARECOUP"/>
    <n v="21366214"/>
    <n v="-376.32"/>
    <m/>
    <s v="Y"/>
    <n v="1"/>
    <d v="2023-07-12T19:45:17"/>
    <s v="N"/>
    <m/>
    <m/>
    <s v="Profit Cost"/>
    <m/>
    <s v="N"/>
    <n v="-313.6"/>
    <n v="0"/>
    <x v="0"/>
    <s v="VALIDATED"/>
    <n v="1"/>
    <s v="01.11.80.307.2013.0000"/>
    <n v="-313.6"/>
    <s v="11"/>
    <s v="2013"/>
    <n v="4307.58"/>
    <n v="-313.6"/>
    <s v="CREDITOR"/>
    <n v="0"/>
    <n v="0"/>
    <n v="-313.6"/>
    <n v="-78.40000000000001"/>
    <n v="0"/>
  </r>
  <r>
    <n v="10357729"/>
    <s v="N"/>
    <n v="21363456"/>
    <s v="3000006217170013"/>
    <s v="CIVIL"/>
    <d v="2023-06-30T00:00:00"/>
    <d v="2023-07-12T19:01:49"/>
    <m/>
    <d v="2023-07-12T00:00:00"/>
    <n v="69"/>
    <n v="13163"/>
    <s v="10357729"/>
    <s v="10357729"/>
    <m/>
    <m/>
    <n v="22794582"/>
    <m/>
    <m/>
    <m/>
    <s v="SOLFIN"/>
    <s v="SOLFIN"/>
    <s v="CCMS"/>
    <n v="21363456"/>
    <n v="2312.92"/>
    <m/>
    <s v="N"/>
    <n v="27"/>
    <d v="2023-07-12T19:02:01"/>
    <s v="Y"/>
    <s v="Preparation - drafting pleadings"/>
    <s v="Prescribed Hourly Rates"/>
    <s v="Profit Cost"/>
    <s v="CV (Post)"/>
    <s v="Y"/>
    <n v="5.49"/>
    <n v="1.1"/>
    <x v="0"/>
    <s v="VALIDATED"/>
    <n v="1"/>
    <s v="01.11.80.307.6100.0000"/>
    <n v="5.49"/>
    <s v="11"/>
    <s v="6100"/>
    <n v="4307.58"/>
    <n v="5.49"/>
    <s v="CREDITOR"/>
    <n v="0"/>
    <n v="0"/>
    <n v="0"/>
    <n v="0"/>
    <n v="5.49"/>
  </r>
  <r>
    <n v="10357729"/>
    <s v="N"/>
    <n v="21363456"/>
    <s v="3000006217170013"/>
    <s v="CIVIL"/>
    <d v="2023-06-30T00:00:00"/>
    <d v="2023-07-12T19:01:49"/>
    <m/>
    <d v="2023-07-12T00:00:00"/>
    <n v="69"/>
    <n v="13163"/>
    <s v="10357729"/>
    <s v="10357729"/>
    <m/>
    <m/>
    <n v="22794582"/>
    <m/>
    <m/>
    <m/>
    <s v="SOLFIN"/>
    <s v="SOLFIN"/>
    <s v="CCMS"/>
    <n v="21363456"/>
    <n v="2312.92"/>
    <m/>
    <s v="N"/>
    <n v="29"/>
    <d v="2023-07-12T19:02:01"/>
    <s v="Y"/>
    <s v="Preparation - other"/>
    <s v="Prescribed Hourly Rates"/>
    <s v="Profit Cost"/>
    <s v="CV (Post)"/>
    <s v="Y"/>
    <n v="10.98"/>
    <n v="2.2"/>
    <x v="0"/>
    <s v="VALIDATED"/>
    <n v="1"/>
    <s v="01.11.80.307.6100.0000"/>
    <n v="10.98"/>
    <s v="11"/>
    <s v="6100"/>
    <n v="4307.58"/>
    <n v="10.98"/>
    <s v="CREDITOR"/>
    <n v="0"/>
    <n v="0"/>
    <n v="0"/>
    <n v="0"/>
    <n v="10.98"/>
  </r>
  <r>
    <n v="10357729"/>
    <s v="N"/>
    <n v="21363456"/>
    <s v="3000006217170013"/>
    <s v="CIVIL"/>
    <d v="2023-06-30T00:00:00"/>
    <d v="2023-07-12T19:01:49"/>
    <m/>
    <d v="2023-07-12T00:00:00"/>
    <n v="69"/>
    <n v="13163"/>
    <s v="10357729"/>
    <s v="10357729"/>
    <m/>
    <m/>
    <n v="22794582"/>
    <m/>
    <m/>
    <m/>
    <s v="SOLFIN"/>
    <s v="SOLFIN"/>
    <s v="CCMS"/>
    <n v="21363456"/>
    <n v="2312.92"/>
    <m/>
    <s v="N"/>
    <n v="6"/>
    <d v="2023-07-12T19:02:01"/>
    <s v="Y"/>
    <s v="Attendance upon client"/>
    <s v="Prescribed Hourly Rates"/>
    <s v="Profit Cost"/>
    <s v="SC"/>
    <s v="Y"/>
    <n v="25.25"/>
    <n v="5.05"/>
    <x v="0"/>
    <s v="VALIDATED"/>
    <n v="1"/>
    <s v="01.11.80.307.6100.0000"/>
    <n v="25.25"/>
    <s v="11"/>
    <s v="6100"/>
    <n v="4307.58"/>
    <n v="25.25"/>
    <s v="CREDITOR"/>
    <n v="0"/>
    <n v="0"/>
    <n v="0"/>
    <n v="0"/>
    <n v="25.25"/>
  </r>
  <r>
    <n v="10357729"/>
    <s v="N"/>
    <n v="21363456"/>
    <s v="3000006217170013"/>
    <s v="CIVIL"/>
    <d v="2023-06-30T00:00:00"/>
    <d v="2023-07-12T19:01:49"/>
    <m/>
    <d v="2023-07-12T00:00:00"/>
    <n v="69"/>
    <n v="13163"/>
    <s v="10357729"/>
    <s v="10357729"/>
    <m/>
    <m/>
    <n v="22794582"/>
    <m/>
    <m/>
    <m/>
    <s v="SOLFIN"/>
    <s v="SOLFIN"/>
    <s v="CCMS"/>
    <n v="21363456"/>
    <n v="2312.92"/>
    <m/>
    <s v="N"/>
    <n v="21"/>
    <d v="2023-07-12T19:02:01"/>
    <s v="Y"/>
    <s v="Preparation - other"/>
    <s v="Prescribed Hourly Rates"/>
    <s v="Profit Cost"/>
    <s v="AC"/>
    <s v="Y"/>
    <n v="32.94"/>
    <n v="6.59"/>
    <x v="0"/>
    <s v="VALIDATED"/>
    <n v="1"/>
    <s v="01.11.80.307.6100.0000"/>
    <n v="32.94"/>
    <s v="11"/>
    <s v="6100"/>
    <n v="4307.58"/>
    <n v="32.94"/>
    <s v="CREDITOR"/>
    <n v="0"/>
    <n v="0"/>
    <n v="0"/>
    <n v="0"/>
    <n v="32.94"/>
  </r>
  <r>
    <n v="10357729"/>
    <s v="N"/>
    <n v="21363456"/>
    <s v="3000006217170013"/>
    <s v="CIVIL"/>
    <d v="2023-06-30T00:00:00"/>
    <d v="2023-07-12T19:01:49"/>
    <m/>
    <d v="2023-07-12T00:00:00"/>
    <n v="69"/>
    <n v="13163"/>
    <s v="10357729"/>
    <s v="10357729"/>
    <m/>
    <m/>
    <n v="22794582"/>
    <m/>
    <m/>
    <m/>
    <s v="SOLFIN"/>
    <s v="SOLFIN"/>
    <s v="CCMS"/>
    <n v="21363456"/>
    <n v="2312.92"/>
    <m/>
    <s v="N"/>
    <n v="8"/>
    <d v="2023-07-12T19:02:01"/>
    <s v="Y"/>
    <s v="Attendance upon other"/>
    <s v="Prescribed Hourly Rates"/>
    <s v="Profit Cost"/>
    <s v="SC"/>
    <s v="Y"/>
    <n v="12.63"/>
    <n v="2.53"/>
    <x v="0"/>
    <s v="VALIDATED"/>
    <n v="1"/>
    <s v="01.11.80.307.6100.0000"/>
    <n v="12.63"/>
    <s v="11"/>
    <s v="6100"/>
    <n v="4307.58"/>
    <n v="12.63"/>
    <s v="CREDITOR"/>
    <n v="0"/>
    <n v="0"/>
    <n v="0"/>
    <n v="0"/>
    <n v="12.63"/>
  </r>
  <r>
    <n v="10357729"/>
    <s v="N"/>
    <n v="21363456"/>
    <s v="3000006217170013"/>
    <s v="CIVIL"/>
    <d v="2023-06-30T00:00:00"/>
    <d v="2023-07-12T19:01:49"/>
    <m/>
    <d v="2023-07-12T00:00:00"/>
    <n v="69"/>
    <n v="13163"/>
    <s v="10357729"/>
    <s v="10357729"/>
    <m/>
    <m/>
    <n v="22794582"/>
    <m/>
    <m/>
    <m/>
    <s v="SOLFIN"/>
    <s v="SOLFIN"/>
    <s v="CCMS"/>
    <n v="21363456"/>
    <n v="2312.92"/>
    <m/>
    <s v="N"/>
    <n v="31"/>
    <d v="2023-07-12T19:02:01"/>
    <s v="Y"/>
    <s v="Preparation - other"/>
    <s v="Prescribed Hourly Rates"/>
    <s v="Profit Cost"/>
    <s v="FE"/>
    <s v="Y"/>
    <n v="82.34999999999999"/>
    <n v="16.47"/>
    <x v="0"/>
    <s v="VALIDATED"/>
    <n v="1"/>
    <s v="01.11.80.307.6100.0000"/>
    <n v="82.34999999999999"/>
    <s v="11"/>
    <s v="6100"/>
    <n v="4307.58"/>
    <n v="82.34999999999999"/>
    <s v="CREDITOR"/>
    <n v="0"/>
    <n v="0"/>
    <n v="0"/>
    <n v="0"/>
    <n v="82.34999999999999"/>
  </r>
  <r>
    <n v="10357729"/>
    <s v="N"/>
    <n v="21363456"/>
    <s v="3000006217170013"/>
    <s v="CIVIL"/>
    <d v="2023-06-30T00:00:00"/>
    <d v="2023-07-12T19:01:49"/>
    <m/>
    <d v="2023-07-12T00:00:00"/>
    <n v="69"/>
    <n v="13163"/>
    <s v="10357729"/>
    <s v="10357729"/>
    <m/>
    <m/>
    <n v="22794582"/>
    <m/>
    <m/>
    <m/>
    <s v="SOLFIN"/>
    <s v="SOLFIN"/>
    <s v="CCMS"/>
    <n v="21363456"/>
    <n v="2312.92"/>
    <m/>
    <s v="N"/>
    <n v="34"/>
    <d v="2023-07-12T19:02:01"/>
    <s v="Y"/>
    <s v="Routine Letter Out"/>
    <s v="Prescribed Hourly Rates"/>
    <s v="Profit Cost"/>
    <s v="SC"/>
    <s v="Y"/>
    <n v="279.45"/>
    <n v="55.9"/>
    <x v="0"/>
    <s v="VALIDATED"/>
    <n v="1"/>
    <s v="01.11.80.307.6100.0000"/>
    <n v="279.45"/>
    <s v="11"/>
    <s v="6100"/>
    <n v="4307.58"/>
    <n v="279.45"/>
    <s v="CREDITOR"/>
    <n v="0"/>
    <n v="0"/>
    <n v="0"/>
    <n v="0"/>
    <n v="279.45"/>
  </r>
  <r>
    <n v="10357729"/>
    <s v="N"/>
    <n v="21363456"/>
    <s v="3000006217170013"/>
    <s v="CIVIL"/>
    <d v="2023-06-30T00:00:00"/>
    <d v="2023-07-12T19:01:49"/>
    <m/>
    <d v="2023-07-12T00:00:00"/>
    <n v="69"/>
    <n v="13163"/>
    <s v="10357729"/>
    <s v="10357729"/>
    <m/>
    <m/>
    <n v="22794582"/>
    <m/>
    <m/>
    <m/>
    <s v="SOLFIN"/>
    <s v="SOLFIN"/>
    <s v="CCMS"/>
    <n v="21363456"/>
    <n v="2312.92"/>
    <m/>
    <s v="N"/>
    <n v="20"/>
    <d v="2023-07-12T19:02:01"/>
    <s v="Y"/>
    <s v="Preparation - drafting pleadings"/>
    <s v="Prescribed Hourly Rates"/>
    <s v="Profit Cost"/>
    <s v="AC"/>
    <s v="Y"/>
    <n v="10.98"/>
    <n v="2.2"/>
    <x v="0"/>
    <s v="VALIDATED"/>
    <n v="1"/>
    <s v="01.11.80.307.6100.0000"/>
    <n v="10.98"/>
    <s v="11"/>
    <s v="6100"/>
    <n v="4307.58"/>
    <n v="10.98"/>
    <s v="CREDITOR"/>
    <n v="0"/>
    <n v="0"/>
    <n v="0"/>
    <n v="0"/>
    <n v="10.98"/>
  </r>
  <r>
    <n v="10357729"/>
    <s v="N"/>
    <n v="21363456"/>
    <s v="3000006217170013"/>
    <s v="CIVIL"/>
    <d v="2023-06-30T00:00:00"/>
    <d v="2023-07-12T19:01:49"/>
    <m/>
    <d v="2023-07-12T00:00:00"/>
    <n v="69"/>
    <n v="13163"/>
    <s v="10357729"/>
    <s v="10357729"/>
    <m/>
    <m/>
    <n v="22794582"/>
    <m/>
    <m/>
    <m/>
    <s v="SOLFIN"/>
    <s v="SOLFIN"/>
    <s v="CCMS"/>
    <n v="21363456"/>
    <n v="2312.92"/>
    <m/>
    <s v="N"/>
    <n v="30"/>
    <d v="2023-07-12T19:02:01"/>
    <s v="Y"/>
    <s v="Preparation - other"/>
    <s v="Prescribed Hourly Rates"/>
    <s v="Profit Cost"/>
    <s v="CV (Post)"/>
    <s v="Y"/>
    <n v="16.47"/>
    <n v="3.29"/>
    <x v="0"/>
    <s v="VALIDATED"/>
    <n v="1"/>
    <s v="01.11.80.307.6100.0000"/>
    <n v="16.47"/>
    <s v="11"/>
    <s v="6100"/>
    <n v="4307.58"/>
    <n v="16.47"/>
    <s v="CREDITOR"/>
    <n v="0"/>
    <n v="0"/>
    <n v="0"/>
    <n v="0"/>
    <n v="16.47"/>
  </r>
  <r>
    <n v="10357729"/>
    <s v="N"/>
    <n v="21363456"/>
    <s v="3000006217170013"/>
    <s v="CIVIL"/>
    <d v="2023-06-30T00:00:00"/>
    <d v="2023-07-12T19:01:49"/>
    <m/>
    <d v="2023-07-12T00:00:00"/>
    <n v="69"/>
    <n v="13163"/>
    <s v="10357729"/>
    <s v="10357729"/>
    <m/>
    <m/>
    <n v="22794582"/>
    <m/>
    <m/>
    <m/>
    <s v="SOLFIN"/>
    <s v="SOLFIN"/>
    <s v="CCMS"/>
    <n v="21363456"/>
    <n v="2312.92"/>
    <m/>
    <s v="N"/>
    <n v="4"/>
    <d v="2023-07-12T19:02:01"/>
    <s v="Y"/>
    <s v="Preparation - other"/>
    <s v="Prescribed Hourly Rates"/>
    <s v="Profit Cost"/>
    <s v="SC"/>
    <s v="Y"/>
    <n v="31.57"/>
    <n v="6.31"/>
    <x v="0"/>
    <s v="VALIDATED"/>
    <n v="1"/>
    <s v="01.11.80.307.6100.0000"/>
    <n v="31.57"/>
    <s v="11"/>
    <s v="6100"/>
    <n v="4307.58"/>
    <n v="31.57"/>
    <s v="CREDITOR"/>
    <n v="0"/>
    <n v="0"/>
    <n v="0"/>
    <n v="0"/>
    <n v="31.57"/>
  </r>
  <r>
    <n v="10357729"/>
    <s v="N"/>
    <n v="21363456"/>
    <s v="3000006217170013"/>
    <s v="CIVIL"/>
    <d v="2023-06-30T00:00:00"/>
    <d v="2023-07-12T19:01:49"/>
    <m/>
    <d v="2023-07-12T00:00:00"/>
    <n v="69"/>
    <n v="13163"/>
    <s v="10357729"/>
    <s v="10357729"/>
    <m/>
    <m/>
    <n v="22794582"/>
    <m/>
    <m/>
    <m/>
    <s v="SOLFIN"/>
    <s v="SOLFIN"/>
    <s v="CCMS"/>
    <n v="21363456"/>
    <n v="2312.92"/>
    <m/>
    <s v="N"/>
    <n v="36"/>
    <d v="2023-07-12T19:02:01"/>
    <s v="Y"/>
    <s v="Routine Letter In"/>
    <s v="Prescribed Hourly Rates"/>
    <s v="Profit Cost"/>
    <s v="SC"/>
    <s v="Y"/>
    <n v="111.78"/>
    <n v="22.36"/>
    <x v="0"/>
    <s v="VALIDATED"/>
    <n v="1"/>
    <s v="01.11.80.307.6100.0000"/>
    <n v="111.78"/>
    <s v="11"/>
    <s v="6100"/>
    <n v="4307.58"/>
    <n v="111.78"/>
    <s v="CREDITOR"/>
    <n v="0"/>
    <n v="0"/>
    <n v="0"/>
    <n v="0"/>
    <n v="111.78"/>
  </r>
  <r>
    <n v="10357729"/>
    <s v="N"/>
    <n v="21363456"/>
    <s v="3000006217170013"/>
    <s v="CIVIL"/>
    <d v="2023-06-30T00:00:00"/>
    <d v="2023-07-12T19:01:49"/>
    <m/>
    <d v="2023-07-12T00:00:00"/>
    <n v="69"/>
    <n v="13163"/>
    <s v="10357729"/>
    <s v="10357729"/>
    <m/>
    <m/>
    <n v="22794582"/>
    <m/>
    <m/>
    <m/>
    <s v="SOLFIN"/>
    <s v="SOLFIN"/>
    <s v="CCMS"/>
    <n v="21363456"/>
    <n v="2312.92"/>
    <m/>
    <s v="N"/>
    <n v="32"/>
    <d v="2023-07-12T19:02:01"/>
    <s v="Y"/>
    <s v="Routine Telephone Call"/>
    <s v="Prescribed Hourly Rates"/>
    <s v="Profit Cost"/>
    <s v="SC"/>
    <s v="Y"/>
    <n v="68.31"/>
    <n v="13.66"/>
    <x v="0"/>
    <s v="VALIDATED"/>
    <n v="1"/>
    <s v="01.11.80.307.6100.0000"/>
    <n v="68.31"/>
    <s v="11"/>
    <s v="6100"/>
    <n v="4307.58"/>
    <n v="68.31"/>
    <s v="CREDITOR"/>
    <n v="0"/>
    <n v="0"/>
    <n v="0"/>
    <n v="0"/>
    <n v="68.31"/>
  </r>
  <r>
    <n v="10357729"/>
    <s v="N"/>
    <n v="21363456"/>
    <s v="3000006217170013"/>
    <s v="CIVIL"/>
    <d v="2023-06-30T00:00:00"/>
    <d v="2023-07-12T19:01:49"/>
    <m/>
    <d v="2023-07-12T00:00:00"/>
    <n v="69"/>
    <n v="13163"/>
    <s v="10357729"/>
    <s v="10357729"/>
    <m/>
    <m/>
    <n v="22794582"/>
    <m/>
    <m/>
    <m/>
    <s v="SOLFIN"/>
    <s v="SOLFIN"/>
    <s v="CCMS"/>
    <n v="21363456"/>
    <n v="2312.92"/>
    <m/>
    <s v="N"/>
    <n v="14"/>
    <d v="2023-07-12T19:02:01"/>
    <s v="Y"/>
    <s v="Preparation - drafting instructions"/>
    <s v="Prescribed Hourly Rates"/>
    <s v="Profit Cost"/>
    <s v="AC"/>
    <s v="Y"/>
    <n v="32.94"/>
    <n v="6.59"/>
    <x v="0"/>
    <s v="VALIDATED"/>
    <n v="1"/>
    <s v="01.11.80.307.6100.0000"/>
    <n v="32.94"/>
    <s v="11"/>
    <s v="6100"/>
    <n v="4307.58"/>
    <n v="32.94"/>
    <s v="CREDITOR"/>
    <n v="0"/>
    <n v="0"/>
    <n v="0"/>
    <n v="0"/>
    <n v="32.94"/>
  </r>
  <r>
    <n v="10357729"/>
    <s v="N"/>
    <n v="21363456"/>
    <s v="3000006217170013"/>
    <s v="CIVIL"/>
    <d v="2023-06-30T00:00:00"/>
    <d v="2023-07-12T19:01:49"/>
    <m/>
    <d v="2023-07-12T00:00:00"/>
    <n v="69"/>
    <n v="13163"/>
    <s v="10357729"/>
    <s v="10357729"/>
    <m/>
    <m/>
    <n v="22794582"/>
    <m/>
    <m/>
    <m/>
    <s v="SOLFIN"/>
    <s v="SOLFIN"/>
    <s v="CCMS"/>
    <n v="21363456"/>
    <n v="2312.92"/>
    <m/>
    <s v="N"/>
    <n v="28"/>
    <d v="2023-07-12T19:02:01"/>
    <s v="Y"/>
    <s v="Preparation - drafting pleadings"/>
    <s v="Prescribed Hourly Rates"/>
    <s v="Profit Cost"/>
    <s v="CV (Post)"/>
    <s v="Y"/>
    <n v="5.49"/>
    <n v="1.1"/>
    <x v="0"/>
    <s v="VALIDATED"/>
    <n v="1"/>
    <s v="01.11.80.307.6100.0000"/>
    <n v="5.49"/>
    <s v="11"/>
    <s v="6100"/>
    <n v="4307.58"/>
    <n v="5.49"/>
    <s v="CREDITOR"/>
    <n v="0"/>
    <n v="0"/>
    <n v="0"/>
    <n v="0"/>
    <n v="5.49"/>
  </r>
  <r>
    <n v="10357729"/>
    <s v="N"/>
    <n v="21363456"/>
    <s v="3000006217170013"/>
    <s v="CIVIL"/>
    <d v="2023-06-30T00:00:00"/>
    <d v="2023-07-12T19:01:49"/>
    <m/>
    <d v="2023-07-12T00:00:00"/>
    <n v="69"/>
    <n v="13163"/>
    <s v="10357729"/>
    <s v="10357729"/>
    <m/>
    <m/>
    <n v="22794582"/>
    <m/>
    <m/>
    <m/>
    <s v="SOLFIN"/>
    <s v="SOLFIN"/>
    <s v="CCMS"/>
    <n v="21363456"/>
    <n v="2312.92"/>
    <m/>
    <s v="N"/>
    <n v="13"/>
    <d v="2023-07-12T19:02:01"/>
    <s v="Y"/>
    <s v="Preparation - other"/>
    <s v="Prescribed Hourly Rates"/>
    <s v="Profit Cost"/>
    <s v="SC"/>
    <s v="Y"/>
    <n v="25.25"/>
    <n v="5.05"/>
    <x v="0"/>
    <s v="VALIDATED"/>
    <n v="1"/>
    <s v="01.11.80.307.6100.0000"/>
    <n v="25.25"/>
    <s v="11"/>
    <s v="6100"/>
    <n v="4307.58"/>
    <n v="25.25"/>
    <s v="CREDITOR"/>
    <n v="0"/>
    <n v="0"/>
    <n v="0"/>
    <n v="0"/>
    <n v="25.25"/>
  </r>
  <r>
    <n v="10357729"/>
    <s v="N"/>
    <n v="21363456"/>
    <s v="3000006217170013"/>
    <s v="CIVIL"/>
    <d v="2023-06-30T00:00:00"/>
    <d v="2023-07-12T19:01:49"/>
    <m/>
    <d v="2023-07-12T00:00:00"/>
    <n v="69"/>
    <n v="13163"/>
    <s v="10357729"/>
    <s v="10357729"/>
    <m/>
    <m/>
    <n v="22794582"/>
    <m/>
    <m/>
    <m/>
    <s v="SOLFIN"/>
    <s v="SOLFIN"/>
    <s v="CCMS"/>
    <n v="21363456"/>
    <n v="2312.92"/>
    <m/>
    <s v="N"/>
    <n v="25"/>
    <d v="2023-07-12T19:02:01"/>
    <s v="Y"/>
    <s v="Preparation - other"/>
    <s v="Prescribed Hourly Rates"/>
    <s v="Profit Cost"/>
    <s v="CV (Post)"/>
    <s v="Y"/>
    <n v="16.47"/>
    <n v="3.29"/>
    <x v="0"/>
    <s v="VALIDATED"/>
    <n v="1"/>
    <s v="01.11.80.307.6100.0000"/>
    <n v="16.47"/>
    <s v="11"/>
    <s v="6100"/>
    <n v="4307.58"/>
    <n v="16.47"/>
    <s v="CREDITOR"/>
    <n v="0"/>
    <n v="0"/>
    <n v="0"/>
    <n v="0"/>
    <n v="16.47"/>
  </r>
  <r>
    <n v="10357729"/>
    <s v="N"/>
    <n v="21363456"/>
    <s v="3000006217170013"/>
    <s v="CIVIL"/>
    <d v="2023-06-30T00:00:00"/>
    <d v="2023-07-12T19:01:49"/>
    <m/>
    <d v="2023-07-12T00:00:00"/>
    <n v="69"/>
    <n v="13163"/>
    <s v="10357729"/>
    <s v="10357729"/>
    <m/>
    <m/>
    <n v="22794582"/>
    <m/>
    <m/>
    <m/>
    <s v="SOLFIN"/>
    <s v="SOLFIN"/>
    <s v="CCMS"/>
    <n v="21363456"/>
    <n v="2312.92"/>
    <m/>
    <s v="N"/>
    <n v="2"/>
    <d v="2023-07-12T19:02:01"/>
    <s v="Y"/>
    <s v="Land Registry Fees"/>
    <s v="Prescribed Hourly Rates"/>
    <s v="Non Expert Disbursement"/>
    <s v="SC"/>
    <s v="Y"/>
    <n v="3"/>
    <n v="0.6"/>
    <x v="0"/>
    <s v="VALIDATED"/>
    <n v="1"/>
    <s v="01.11.80.307.6300.0000"/>
    <n v="3"/>
    <s v="11"/>
    <s v="6300"/>
    <n v="4307.58"/>
    <n v="3"/>
    <s v="CREDITOR"/>
    <n v="0"/>
    <n v="0"/>
    <n v="0"/>
    <n v="0"/>
    <n v="3"/>
  </r>
  <r>
    <n v="10357729"/>
    <s v="N"/>
    <n v="21363456"/>
    <s v="3000006217170013"/>
    <s v="CIVIL"/>
    <d v="2023-06-30T00:00:00"/>
    <d v="2023-07-12T19:01:49"/>
    <m/>
    <d v="2023-07-12T00:00:00"/>
    <n v="69"/>
    <n v="13163"/>
    <s v="10357729"/>
    <s v="10357729"/>
    <m/>
    <m/>
    <n v="22794582"/>
    <m/>
    <m/>
    <m/>
    <s v="SOLFIN"/>
    <s v="SOLFIN"/>
    <s v="CCMS"/>
    <n v="21363456"/>
    <n v="2312.92"/>
    <m/>
    <s v="N"/>
    <n v="11"/>
    <d v="2023-07-12T19:02:01"/>
    <s v="Y"/>
    <s v="Preparation - other"/>
    <s v="Prescribed Hourly Rates"/>
    <s v="Profit Cost"/>
    <s v="SC"/>
    <s v="Y"/>
    <n v="94.7"/>
    <n v="18.94"/>
    <x v="0"/>
    <s v="VALIDATED"/>
    <n v="1"/>
    <s v="01.11.80.307.6100.0000"/>
    <n v="94.7"/>
    <s v="11"/>
    <s v="6100"/>
    <n v="4307.58"/>
    <n v="94.7"/>
    <s v="CREDITOR"/>
    <n v="0"/>
    <n v="0"/>
    <n v="0"/>
    <n v="0"/>
    <n v="94.7"/>
  </r>
  <r>
    <n v="10357729"/>
    <s v="N"/>
    <n v="21363456"/>
    <s v="3000006217170013"/>
    <s v="CIVIL"/>
    <d v="2023-06-30T00:00:00"/>
    <d v="2023-07-12T19:01:49"/>
    <m/>
    <d v="2023-07-12T00:00:00"/>
    <n v="69"/>
    <n v="13163"/>
    <s v="10357729"/>
    <s v="10357729"/>
    <m/>
    <m/>
    <n v="22794582"/>
    <m/>
    <m/>
    <m/>
    <s v="SOLFIN"/>
    <s v="SOLFIN"/>
    <s v="CCMS"/>
    <n v="21363456"/>
    <n v="2312.92"/>
    <m/>
    <s v="N"/>
    <n v="24"/>
    <d v="2023-07-12T19:02:01"/>
    <s v="Y"/>
    <s v="Preparation - drafting pleadings"/>
    <s v="Prescribed Hourly Rates"/>
    <s v="Profit Cost"/>
    <s v="AC"/>
    <s v="Y"/>
    <n v="10.98"/>
    <n v="2.2"/>
    <x v="0"/>
    <s v="VALIDATED"/>
    <n v="1"/>
    <s v="01.11.80.307.6100.0000"/>
    <n v="10.98"/>
    <s v="11"/>
    <s v="6100"/>
    <n v="4307.58"/>
    <n v="10.98"/>
    <s v="CREDITOR"/>
    <n v="0"/>
    <n v="0"/>
    <n v="0"/>
    <n v="0"/>
    <n v="10.98"/>
  </r>
  <r>
    <n v="10357729"/>
    <s v="N"/>
    <n v="21363456"/>
    <s v="3000006217170013"/>
    <s v="CIVIL"/>
    <d v="2023-06-30T00:00:00"/>
    <d v="2023-07-12T19:01:49"/>
    <m/>
    <d v="2023-07-12T00:00:00"/>
    <n v="69"/>
    <n v="13163"/>
    <s v="10357729"/>
    <s v="10357729"/>
    <m/>
    <m/>
    <n v="22794582"/>
    <m/>
    <m/>
    <m/>
    <s v="SOLFIN"/>
    <s v="SOLFIN"/>
    <s v="CCMS"/>
    <n v="21363456"/>
    <n v="2312.92"/>
    <m/>
    <s v="N"/>
    <n v="1"/>
    <d v="2023-07-12T19:02:01"/>
    <s v="Y"/>
    <s v="Court Fee"/>
    <s v="Prescribed Hourly Rates"/>
    <s v="Non Expert Disbursement"/>
    <s v="SC"/>
    <s v="Y"/>
    <n v="255"/>
    <n v="0"/>
    <x v="0"/>
    <s v="VALIDATED"/>
    <n v="1"/>
    <s v="01.11.80.307.6300.0000"/>
    <n v="255"/>
    <s v="11"/>
    <s v="6300"/>
    <n v="4307.58"/>
    <n v="255"/>
    <s v="CREDITOR"/>
    <n v="0"/>
    <n v="0"/>
    <n v="0"/>
    <n v="0"/>
    <n v="255"/>
  </r>
  <r>
    <n v="10357729"/>
    <s v="N"/>
    <n v="21363456"/>
    <s v="3000006217170013"/>
    <s v="CIVIL"/>
    <d v="2023-06-30T00:00:00"/>
    <d v="2023-07-12T19:01:49"/>
    <m/>
    <d v="2023-07-12T00:00:00"/>
    <n v="69"/>
    <n v="13163"/>
    <s v="10357729"/>
    <s v="10357729"/>
    <m/>
    <m/>
    <n v="22794582"/>
    <m/>
    <m/>
    <m/>
    <s v="SOLFIN"/>
    <s v="SOLFIN"/>
    <s v="CCMS"/>
    <n v="21363456"/>
    <n v="2312.92"/>
    <m/>
    <s v="N"/>
    <n v="19"/>
    <d v="2023-07-12T19:02:01"/>
    <s v="Y"/>
    <s v="Attendance upon client"/>
    <s v="Prescribed Hourly Rates"/>
    <s v="Profit Cost"/>
    <s v="AC"/>
    <s v="Y"/>
    <n v="32.94"/>
    <n v="6.59"/>
    <x v="0"/>
    <s v="VALIDATED"/>
    <n v="1"/>
    <s v="01.11.80.307.6100.0000"/>
    <n v="32.94"/>
    <s v="11"/>
    <s v="6100"/>
    <n v="4307.58"/>
    <n v="32.94"/>
    <s v="CREDITOR"/>
    <n v="0"/>
    <n v="0"/>
    <n v="0"/>
    <n v="0"/>
    <n v="32.94"/>
  </r>
  <r>
    <n v="10357729"/>
    <s v="N"/>
    <n v="21363456"/>
    <s v="3000006217170013"/>
    <s v="CIVIL"/>
    <d v="2023-06-30T00:00:00"/>
    <d v="2023-07-12T19:01:49"/>
    <m/>
    <d v="2023-07-12T00:00:00"/>
    <n v="69"/>
    <n v="13163"/>
    <s v="10357729"/>
    <s v="10357729"/>
    <m/>
    <m/>
    <n v="22794582"/>
    <m/>
    <m/>
    <m/>
    <s v="SOLFIN"/>
    <s v="SOLFIN"/>
    <s v="CCMS"/>
    <n v="21363456"/>
    <n v="2312.92"/>
    <m/>
    <s v="N"/>
    <n v="3"/>
    <d v="2023-07-12T19:02:01"/>
    <s v="N"/>
    <s v="Level 3 Fixed Fee"/>
    <s v="Finance"/>
    <s v="Profit Cost"/>
    <s v="SC"/>
    <s v="N"/>
    <n v="0"/>
    <n v="0"/>
    <x v="0"/>
    <s v="VALIDATED"/>
    <n v="1"/>
    <s v="01.11.80.307.6100.0000"/>
    <n v="0"/>
    <s v="11"/>
    <s v="6100"/>
    <n v="4307.58"/>
    <n v="0"/>
    <s v="CREDITOR"/>
    <n v="0"/>
    <n v="0"/>
    <n v="0"/>
    <n v="0"/>
    <n v="0"/>
  </r>
  <r>
    <n v="10357729"/>
    <s v="N"/>
    <n v="21363456"/>
    <s v="3000006217170013"/>
    <s v="CIVIL"/>
    <d v="2023-06-30T00:00:00"/>
    <d v="2023-07-12T19:01:49"/>
    <m/>
    <d v="2023-07-12T00:00:00"/>
    <n v="69"/>
    <n v="13163"/>
    <s v="10357729"/>
    <s v="10357729"/>
    <m/>
    <m/>
    <n v="22794582"/>
    <m/>
    <m/>
    <m/>
    <s v="SOLFIN"/>
    <s v="SOLFIN"/>
    <s v="CCMS"/>
    <n v="21363456"/>
    <n v="2312.92"/>
    <m/>
    <s v="N"/>
    <n v="7"/>
    <d v="2023-07-12T19:02:01"/>
    <s v="Y"/>
    <s v="Attendance upon client"/>
    <s v="Prescribed Hourly Rates"/>
    <s v="Profit Cost"/>
    <s v="SC"/>
    <s v="Y"/>
    <n v="18.94"/>
    <n v="3.79"/>
    <x v="0"/>
    <s v="VALIDATED"/>
    <n v="1"/>
    <s v="01.11.80.307.6100.0000"/>
    <n v="18.94"/>
    <s v="11"/>
    <s v="6100"/>
    <n v="4307.58"/>
    <n v="18.94"/>
    <s v="CREDITOR"/>
    <n v="0"/>
    <n v="0"/>
    <n v="0"/>
    <n v="0"/>
    <n v="18.94"/>
  </r>
  <r>
    <n v="61854197"/>
    <s v="N"/>
    <n v="21338550"/>
    <s v="3000015919400003"/>
    <s v="CIVIL"/>
    <d v="2023-06-28T00:00:00"/>
    <d v="2023-07-06T19:21:01"/>
    <m/>
    <d v="2023-07-06T00:00:00"/>
    <n v="69"/>
    <n v="13163"/>
    <s v="61854197"/>
    <s v="61854197"/>
    <m/>
    <m/>
    <n v="22777992"/>
    <m/>
    <m/>
    <m/>
    <s v="SOLFIN"/>
    <s v="SOLFIN"/>
    <s v="CCMS"/>
    <n v="21338550"/>
    <n v="3139.2"/>
    <m/>
    <s v="N"/>
    <n v="1"/>
    <d v="2023-07-06T19:21:28"/>
    <s v="Y"/>
    <s v="Solicitors Fixed Fee"/>
    <s v="Public Law Children"/>
    <s v="Profit Cost"/>
    <s v="CHARLOTTE VASSALL"/>
    <s v="Y"/>
    <n v="2616"/>
    <n v="523.2"/>
    <x v="4"/>
    <s v="VALIDATED"/>
    <n v="1"/>
    <s v="01.11.80.308.6100.0000"/>
    <n v="2616"/>
    <s v="11"/>
    <s v="6100"/>
    <n v="4307.58"/>
    <n v="2616"/>
    <s v="CREDITOR"/>
    <n v="0"/>
    <n v="0"/>
    <n v="0"/>
    <n v="0"/>
    <n v="2616"/>
  </r>
  <r>
    <n v="10357729"/>
    <s v="N"/>
    <n v="21363456"/>
    <s v="3000006217170013"/>
    <s v="CIVIL"/>
    <d v="2023-06-30T00:00:00"/>
    <d v="2023-07-12T19:01:49"/>
    <m/>
    <d v="2023-07-12T00:00:00"/>
    <n v="69"/>
    <n v="13163"/>
    <s v="10357729"/>
    <s v="10357729"/>
    <m/>
    <m/>
    <n v="22794582"/>
    <m/>
    <m/>
    <m/>
    <s v="SOLFIN"/>
    <s v="SOLFIN"/>
    <s v="CCMS"/>
    <n v="21363456"/>
    <n v="2312.92"/>
    <m/>
    <s v="N"/>
    <n v="35"/>
    <d v="2023-07-12T19:02:01"/>
    <s v="Y"/>
    <s v="Routine Letter Out"/>
    <s v="Prescribed Hourly Rates"/>
    <s v="Profit Cost"/>
    <s v="AC"/>
    <s v="Y"/>
    <n v="307.8"/>
    <n v="61.54"/>
    <x v="0"/>
    <s v="VALIDATED"/>
    <n v="1"/>
    <s v="01.11.80.307.6100.0000"/>
    <n v="307.8"/>
    <s v="11"/>
    <s v="6100"/>
    <n v="4307.58"/>
    <n v="307.8"/>
    <s v="CREDITOR"/>
    <n v="0"/>
    <n v="0"/>
    <n v="0"/>
    <n v="0"/>
    <n v="307.8"/>
  </r>
  <r>
    <n v="10357729"/>
    <s v="N"/>
    <n v="21363456"/>
    <s v="3000006217170013"/>
    <s v="CIVIL"/>
    <d v="2023-06-30T00:00:00"/>
    <d v="2023-07-12T19:01:49"/>
    <m/>
    <d v="2023-07-12T00:00:00"/>
    <n v="69"/>
    <n v="13163"/>
    <s v="10357729"/>
    <s v="10357729"/>
    <m/>
    <m/>
    <n v="22794582"/>
    <m/>
    <m/>
    <m/>
    <s v="SOLFIN"/>
    <s v="SOLFIN"/>
    <s v="CCMS"/>
    <n v="21363456"/>
    <n v="2312.92"/>
    <m/>
    <s v="N"/>
    <n v="12"/>
    <d v="2023-07-12T19:02:01"/>
    <s v="Y"/>
    <s v="Preparation - drafting instructions"/>
    <s v="Prescribed Hourly Rates"/>
    <s v="Profit Cost"/>
    <s v="SC"/>
    <s v="Y"/>
    <n v="31.57"/>
    <n v="6.31"/>
    <x v="0"/>
    <s v="VALIDATED"/>
    <n v="1"/>
    <s v="01.11.80.307.6100.0000"/>
    <n v="31.57"/>
    <s v="11"/>
    <s v="6100"/>
    <n v="4307.58"/>
    <n v="31.57"/>
    <s v="CREDITOR"/>
    <n v="0"/>
    <n v="0"/>
    <n v="0"/>
    <n v="0"/>
    <n v="31.57"/>
  </r>
  <r>
    <n v="10357729"/>
    <s v="N"/>
    <n v="21363456"/>
    <s v="3000006217170013"/>
    <s v="CIVIL"/>
    <d v="2023-06-30T00:00:00"/>
    <d v="2023-07-12T19:01:49"/>
    <m/>
    <d v="2023-07-12T00:00:00"/>
    <n v="69"/>
    <n v="13163"/>
    <s v="10357729"/>
    <s v="10357729"/>
    <m/>
    <m/>
    <n v="22794582"/>
    <m/>
    <m/>
    <m/>
    <s v="SOLFIN"/>
    <s v="SOLFIN"/>
    <s v="CCMS"/>
    <n v="21363456"/>
    <n v="2312.92"/>
    <m/>
    <s v="N"/>
    <n v="5"/>
    <d v="2023-07-12T19:02:01"/>
    <s v="Y"/>
    <s v="Preparation - drafting application"/>
    <s v="Prescribed Hourly Rates"/>
    <s v="Profit Cost"/>
    <s v="SC"/>
    <s v="Y"/>
    <n v="63.14"/>
    <n v="12.63"/>
    <x v="0"/>
    <s v="VALIDATED"/>
    <n v="1"/>
    <s v="01.11.80.307.6100.0000"/>
    <n v="63.14"/>
    <s v="11"/>
    <s v="6100"/>
    <n v="4307.58"/>
    <n v="63.14"/>
    <s v="CREDITOR"/>
    <n v="0"/>
    <n v="0"/>
    <n v="0"/>
    <n v="0"/>
    <n v="63.14"/>
  </r>
  <r>
    <n v="10357729"/>
    <s v="N"/>
    <n v="21363456"/>
    <s v="3000006217170013"/>
    <s v="CIVIL"/>
    <d v="2023-06-30T00:00:00"/>
    <d v="2023-07-12T19:01:49"/>
    <m/>
    <d v="2023-07-12T00:00:00"/>
    <n v="69"/>
    <n v="13163"/>
    <s v="10357729"/>
    <s v="10357729"/>
    <m/>
    <m/>
    <n v="22794582"/>
    <m/>
    <m/>
    <m/>
    <s v="SOLFIN"/>
    <s v="SOLFIN"/>
    <s v="CCMS"/>
    <n v="21363456"/>
    <n v="2312.92"/>
    <m/>
    <s v="N"/>
    <n v="18"/>
    <d v="2023-07-12T19:02:01"/>
    <s v="Y"/>
    <s v="Attendance upon client"/>
    <s v="Prescribed Hourly Rates"/>
    <s v="Profit Cost"/>
    <s v="AC"/>
    <s v="Y"/>
    <n v="43.92"/>
    <n v="8.789999999999999"/>
    <x v="0"/>
    <s v="VALIDATED"/>
    <n v="1"/>
    <s v="01.11.80.307.6100.0000"/>
    <n v="43.92"/>
    <s v="11"/>
    <s v="6100"/>
    <n v="4307.58"/>
    <n v="43.92"/>
    <s v="CREDITOR"/>
    <n v="0"/>
    <n v="0"/>
    <n v="0"/>
    <n v="0"/>
    <n v="43.92"/>
  </r>
  <r>
    <n v="10357729"/>
    <s v="N"/>
    <n v="21363456"/>
    <s v="3000006217170013"/>
    <s v="CIVIL"/>
    <d v="2023-06-30T00:00:00"/>
    <d v="2023-07-12T19:01:49"/>
    <m/>
    <d v="2023-07-12T00:00:00"/>
    <n v="69"/>
    <n v="13163"/>
    <s v="10357729"/>
    <s v="10357729"/>
    <m/>
    <m/>
    <n v="22794582"/>
    <m/>
    <m/>
    <m/>
    <s v="SOLFIN"/>
    <s v="SOLFIN"/>
    <s v="CCMS"/>
    <n v="21363456"/>
    <n v="2312.92"/>
    <m/>
    <s v="N"/>
    <n v="10"/>
    <d v="2023-07-12T19:02:01"/>
    <s v="Y"/>
    <s v="Attendance upon client"/>
    <s v="Prescribed Hourly Rates"/>
    <s v="Profit Cost"/>
    <s v="SC"/>
    <s v="Y"/>
    <n v="12.63"/>
    <n v="2.53"/>
    <x v="0"/>
    <s v="VALIDATED"/>
    <n v="1"/>
    <s v="01.11.80.307.6100.0000"/>
    <n v="12.63"/>
    <s v="11"/>
    <s v="6100"/>
    <n v="4307.58"/>
    <n v="12.63"/>
    <s v="CREDITOR"/>
    <n v="0"/>
    <n v="0"/>
    <n v="0"/>
    <n v="0"/>
    <n v="12.63"/>
  </r>
  <r>
    <n v="10357729"/>
    <s v="N"/>
    <n v="21363456"/>
    <s v="3000006217170013"/>
    <s v="CIVIL"/>
    <d v="2023-06-30T00:00:00"/>
    <d v="2023-07-12T19:01:49"/>
    <m/>
    <d v="2023-07-12T00:00:00"/>
    <n v="69"/>
    <n v="13163"/>
    <s v="10357729"/>
    <s v="10357729"/>
    <m/>
    <m/>
    <n v="22794582"/>
    <m/>
    <m/>
    <m/>
    <s v="SOLFIN"/>
    <s v="SOLFIN"/>
    <s v="CCMS"/>
    <n v="21363456"/>
    <n v="2312.92"/>
    <m/>
    <s v="N"/>
    <n v="33"/>
    <d v="2023-07-12T19:02:01"/>
    <s v="Y"/>
    <s v="Routine Telephone Call"/>
    <s v="Prescribed Hourly Rates"/>
    <s v="Profit Cost"/>
    <s v="AC"/>
    <s v="Y"/>
    <n v="32.4"/>
    <n v="6.48"/>
    <x v="0"/>
    <s v="VALIDATED"/>
    <n v="1"/>
    <s v="01.11.80.307.6100.0000"/>
    <n v="32.4"/>
    <s v="11"/>
    <s v="6100"/>
    <n v="4307.58"/>
    <n v="32.4"/>
    <s v="CREDITOR"/>
    <n v="0"/>
    <n v="0"/>
    <n v="0"/>
    <n v="0"/>
    <n v="32.4"/>
  </r>
  <r>
    <n v="10357729"/>
    <s v="N"/>
    <n v="21363456"/>
    <s v="3000006217170013"/>
    <s v="CIVIL"/>
    <d v="2023-06-30T00:00:00"/>
    <d v="2023-07-12T19:01:49"/>
    <m/>
    <d v="2023-07-12T00:00:00"/>
    <n v="69"/>
    <n v="13163"/>
    <s v="10357729"/>
    <s v="10357729"/>
    <m/>
    <m/>
    <n v="22794582"/>
    <m/>
    <m/>
    <m/>
    <s v="SOLFIN"/>
    <s v="SOLFIN"/>
    <s v="CCMS"/>
    <n v="21363456"/>
    <n v="2312.92"/>
    <m/>
    <s v="N"/>
    <n v="26"/>
    <d v="2023-07-12T19:02:01"/>
    <s v="Y"/>
    <s v="Preparation - other"/>
    <s v="Prescribed Hourly Rates"/>
    <s v="Profit Cost"/>
    <s v="CV (Post)"/>
    <s v="Y"/>
    <n v="5.49"/>
    <n v="1.1"/>
    <x v="0"/>
    <s v="VALIDATED"/>
    <n v="1"/>
    <s v="01.11.80.307.6100.0000"/>
    <n v="5.49"/>
    <s v="11"/>
    <s v="6100"/>
    <n v="4307.58"/>
    <n v="5.49"/>
    <s v="CREDITOR"/>
    <n v="0"/>
    <n v="0"/>
    <n v="0"/>
    <n v="0"/>
    <n v="5.49"/>
  </r>
  <r>
    <n v="10357729"/>
    <s v="N"/>
    <n v="21363456"/>
    <s v="3000006217170013"/>
    <s v="CIVIL"/>
    <d v="2023-06-30T00:00:00"/>
    <d v="2023-07-12T19:01:49"/>
    <m/>
    <d v="2023-07-12T00:00:00"/>
    <n v="69"/>
    <n v="13163"/>
    <s v="10357729"/>
    <s v="10357729"/>
    <m/>
    <m/>
    <n v="22794582"/>
    <m/>
    <m/>
    <m/>
    <s v="SOLFIN"/>
    <s v="SOLFIN"/>
    <s v="CCMS"/>
    <n v="21363456"/>
    <n v="2312.92"/>
    <m/>
    <s v="N"/>
    <n v="23"/>
    <d v="2023-07-12T19:02:01"/>
    <s v="Y"/>
    <s v="Preparation - drafting pleadings"/>
    <s v="Prescribed Hourly Rates"/>
    <s v="Profit Cost"/>
    <s v="AC"/>
    <s v="Y"/>
    <n v="10.98"/>
    <n v="2.2"/>
    <x v="0"/>
    <s v="VALIDATED"/>
    <n v="1"/>
    <s v="01.11.80.307.6100.0000"/>
    <n v="10.98"/>
    <s v="11"/>
    <s v="6100"/>
    <n v="4307.58"/>
    <n v="10.98"/>
    <s v="CREDITOR"/>
    <n v="0"/>
    <n v="0"/>
    <n v="0"/>
    <n v="0"/>
    <n v="10.98"/>
  </r>
  <r>
    <n v="10357729"/>
    <s v="N"/>
    <n v="21363456"/>
    <s v="3000006217170013"/>
    <s v="CIVIL"/>
    <d v="2023-06-30T00:00:00"/>
    <d v="2023-07-12T19:01:49"/>
    <m/>
    <d v="2023-07-12T00:00:00"/>
    <n v="69"/>
    <n v="13163"/>
    <s v="10357729"/>
    <s v="10357729"/>
    <m/>
    <m/>
    <n v="22794582"/>
    <m/>
    <m/>
    <m/>
    <s v="SOLFIN"/>
    <s v="SOLFIN"/>
    <s v="CCMS"/>
    <n v="21363456"/>
    <n v="2312.92"/>
    <m/>
    <s v="N"/>
    <n v="16"/>
    <d v="2023-07-12T19:02:01"/>
    <s v="Y"/>
    <s v="Preparation - drafting application"/>
    <s v="Prescribed Hourly Rates"/>
    <s v="Profit Cost"/>
    <s v="AC"/>
    <s v="Y"/>
    <n v="10.98"/>
    <n v="2.2"/>
    <x v="0"/>
    <s v="VALIDATED"/>
    <n v="1"/>
    <s v="01.11.80.307.6100.0000"/>
    <n v="10.98"/>
    <s v="11"/>
    <s v="6100"/>
    <n v="4307.58"/>
    <n v="10.98"/>
    <s v="CREDITOR"/>
    <n v="0"/>
    <n v="0"/>
    <n v="0"/>
    <n v="0"/>
    <n v="10.98"/>
  </r>
  <r>
    <n v="61978943"/>
    <s v="N"/>
    <n v="21327588"/>
    <s v="3000016024910002"/>
    <s v="CIVIL"/>
    <d v="2023-06-26T00:00:00"/>
    <d v="2023-07-04T19:00:44"/>
    <m/>
    <d v="2023-07-04T00:00:00"/>
    <n v="69"/>
    <n v="13163"/>
    <s v="61978943"/>
    <s v="61978943"/>
    <m/>
    <m/>
    <n v="22760534"/>
    <m/>
    <m/>
    <m/>
    <s v="SOLFIN"/>
    <s v="SOLFIN"/>
    <s v="CCMS"/>
    <n v="21327588"/>
    <n v="423.6"/>
    <m/>
    <s v="N"/>
    <n v="1"/>
    <d v="2023-07-04T19:00:50"/>
    <s v="Y"/>
    <s v="Level 3 Fixed Fee"/>
    <s v="Private Law Children"/>
    <s v="Profit Cost"/>
    <s v="susan crockford"/>
    <s v="Y"/>
    <n v="353"/>
    <n v="70.59999999999999"/>
    <x v="1"/>
    <s v="VALIDATED"/>
    <n v="1"/>
    <s v="01.11.80.307.6100.0000"/>
    <n v="353"/>
    <s v="11"/>
    <s v="6100"/>
    <n v="4307.58"/>
    <n v="353"/>
    <s v="CREDITOR"/>
    <n v="0"/>
    <n v="0"/>
    <n v="0"/>
    <n v="0"/>
    <n v="353"/>
  </r>
  <r>
    <n v="10357729"/>
    <s v="N"/>
    <n v="21363456"/>
    <s v="3000006217170013"/>
    <s v="CIVIL"/>
    <d v="2023-06-30T00:00:00"/>
    <d v="2023-07-12T19:01:49"/>
    <m/>
    <d v="2023-07-12T00:00:00"/>
    <n v="69"/>
    <n v="13163"/>
    <s v="10357729"/>
    <s v="10357729"/>
    <m/>
    <m/>
    <n v="22794582"/>
    <m/>
    <m/>
    <m/>
    <s v="SOLFIN"/>
    <s v="SOLFIN"/>
    <s v="CCMS"/>
    <n v="21363456"/>
    <n v="2312.92"/>
    <m/>
    <s v="N"/>
    <n v="22"/>
    <d v="2023-07-12T19:02:01"/>
    <s v="Y"/>
    <s v="Preparation - other"/>
    <s v="Prescribed Hourly Rates"/>
    <s v="Profit Cost"/>
    <s v="AC"/>
    <s v="Y"/>
    <n v="10.98"/>
    <n v="2.2"/>
    <x v="0"/>
    <s v="VALIDATED"/>
    <n v="1"/>
    <s v="01.11.80.307.6100.0000"/>
    <n v="10.98"/>
    <s v="11"/>
    <s v="6100"/>
    <n v="4307.58"/>
    <n v="10.98"/>
    <s v="CREDITOR"/>
    <n v="0"/>
    <n v="0"/>
    <n v="0"/>
    <n v="0"/>
    <n v="10.98"/>
  </r>
  <r>
    <n v="10357729"/>
    <s v="N"/>
    <n v="21363456"/>
    <s v="3000006217170013"/>
    <s v="CIVIL"/>
    <d v="2023-06-30T00:00:00"/>
    <d v="2023-07-12T19:01:49"/>
    <m/>
    <d v="2023-07-12T00:00:00"/>
    <n v="69"/>
    <n v="13163"/>
    <s v="10357729"/>
    <s v="10357729"/>
    <m/>
    <m/>
    <n v="22794582"/>
    <m/>
    <m/>
    <m/>
    <s v="SOLFIN"/>
    <s v="SOLFIN"/>
    <s v="CCMS"/>
    <n v="21363456"/>
    <n v="2312.92"/>
    <m/>
    <s v="N"/>
    <n v="17"/>
    <d v="2023-07-12T19:02:01"/>
    <s v="Y"/>
    <s v="Preparation - other"/>
    <s v="Prescribed Hourly Rates"/>
    <s v="Profit Cost"/>
    <s v="AC"/>
    <s v="Y"/>
    <n v="10.98"/>
    <n v="2.2"/>
    <x v="0"/>
    <s v="VALIDATED"/>
    <n v="1"/>
    <s v="01.11.80.307.6100.0000"/>
    <n v="10.98"/>
    <s v="11"/>
    <s v="6100"/>
    <n v="4307.58"/>
    <n v="10.98"/>
    <s v="CREDITOR"/>
    <n v="0"/>
    <n v="0"/>
    <n v="0"/>
    <n v="0"/>
    <n v="10.98"/>
  </r>
  <r>
    <n v="10357729"/>
    <s v="N"/>
    <n v="21363456"/>
    <s v="3000006217170013"/>
    <s v="CIVIL"/>
    <d v="2023-06-30T00:00:00"/>
    <d v="2023-07-12T19:01:49"/>
    <m/>
    <d v="2023-07-12T00:00:00"/>
    <n v="69"/>
    <n v="13163"/>
    <s v="10357729"/>
    <s v="10357729"/>
    <m/>
    <m/>
    <n v="22794582"/>
    <m/>
    <m/>
    <m/>
    <s v="SOLFIN"/>
    <s v="SOLFIN"/>
    <s v="CCMS"/>
    <n v="21363456"/>
    <n v="2312.92"/>
    <m/>
    <s v="N"/>
    <n v="37"/>
    <d v="2023-07-12T19:02:01"/>
    <s v="Y"/>
    <s v="Routine Letter In"/>
    <s v="Prescribed Hourly Rates"/>
    <s v="Profit Cost"/>
    <s v="AC"/>
    <s v="Y"/>
    <n v="116.1"/>
    <n v="23.22"/>
    <x v="0"/>
    <s v="VALIDATED"/>
    <n v="1"/>
    <s v="01.11.80.307.6100.0000"/>
    <n v="116.1"/>
    <s v="11"/>
    <s v="6100"/>
    <n v="4307.58"/>
    <n v="116.1"/>
    <s v="CREDITOR"/>
    <n v="0"/>
    <n v="0"/>
    <n v="0"/>
    <n v="0"/>
    <n v="116.1"/>
  </r>
  <r>
    <n v="10357729"/>
    <s v="N"/>
    <n v="21363456"/>
    <s v="3000006217170013"/>
    <s v="CIVIL"/>
    <d v="2023-06-30T00:00:00"/>
    <d v="2023-07-12T19:01:49"/>
    <m/>
    <d v="2023-07-12T00:00:00"/>
    <n v="69"/>
    <n v="13163"/>
    <s v="10357729"/>
    <s v="10357729"/>
    <m/>
    <m/>
    <n v="22794582"/>
    <m/>
    <m/>
    <m/>
    <s v="SOLFIN"/>
    <s v="SOLFIN"/>
    <s v="CCMS"/>
    <n v="21363456"/>
    <n v="2312.92"/>
    <m/>
    <s v="N"/>
    <n v="9"/>
    <d v="2023-07-12T19:02:01"/>
    <s v="Y"/>
    <s v="Preparation - drafting instructions"/>
    <s v="Prescribed Hourly Rates"/>
    <s v="Profit Cost"/>
    <s v="SC"/>
    <s v="Y"/>
    <n v="63.14"/>
    <n v="12.63"/>
    <x v="0"/>
    <s v="VALIDATED"/>
    <n v="1"/>
    <s v="01.11.80.307.6100.0000"/>
    <n v="63.14"/>
    <s v="11"/>
    <s v="6100"/>
    <n v="4307.58"/>
    <n v="63.14"/>
    <s v="CREDITOR"/>
    <n v="0"/>
    <n v="0"/>
    <n v="0"/>
    <n v="0"/>
    <n v="63.14"/>
  </r>
  <r>
    <n v="10357729"/>
    <s v="N"/>
    <n v="21363456"/>
    <s v="3000006217170013"/>
    <s v="CIVIL"/>
    <d v="2023-06-30T00:00:00"/>
    <d v="2023-07-12T19:01:49"/>
    <m/>
    <d v="2023-07-12T00:00:00"/>
    <n v="69"/>
    <n v="13163"/>
    <s v="10357729"/>
    <s v="10357729"/>
    <m/>
    <m/>
    <n v="22794582"/>
    <m/>
    <m/>
    <m/>
    <s v="SOLFIN"/>
    <s v="SOLFIN"/>
    <s v="CCMS"/>
    <n v="21363456"/>
    <n v="2312.92"/>
    <m/>
    <s v="N"/>
    <n v="15"/>
    <d v="2023-07-12T19:02:01"/>
    <s v="Y"/>
    <s v="Preparation - drafting pleadings"/>
    <s v="Prescribed Hourly Rates"/>
    <s v="Profit Cost"/>
    <s v="AC"/>
    <s v="Y"/>
    <n v="65.88"/>
    <n v="13.18"/>
    <x v="0"/>
    <s v="VALIDATED"/>
    <n v="1"/>
    <s v="01.11.80.307.6100.0000"/>
    <n v="65.88"/>
    <s v="11"/>
    <s v="6100"/>
    <n v="4307.58"/>
    <n v="65.88"/>
    <s v="CREDITOR"/>
    <n v="0"/>
    <n v="0"/>
    <n v="0"/>
    <n v="0"/>
    <n v="65.88"/>
  </r>
  <r>
    <n v="19754562"/>
    <s v="N"/>
    <n v="21366218"/>
    <s v="3000008323110001RC"/>
    <s v="CIVIL"/>
    <d v="2023-06-28T00:00:00"/>
    <d v="2023-07-12T19:45:17"/>
    <m/>
    <d v="2023-07-12T00:00:00"/>
    <n v="74"/>
    <n v="13208"/>
    <s v="19754562"/>
    <s v="19754562"/>
    <m/>
    <m/>
    <m/>
    <m/>
    <m/>
    <m/>
    <s v="SOLRECOUP"/>
    <s v="SOLRECOUP"/>
    <s v="POARECOUP"/>
    <n v="21366218"/>
    <n v="-191.28"/>
    <m/>
    <s v="Y"/>
    <n v="2"/>
    <d v="2023-07-12T19:45:17"/>
    <s v="N"/>
    <m/>
    <m/>
    <s v="Expert Disbursement"/>
    <m/>
    <s v="N"/>
    <n v="0"/>
    <n v="-31.88"/>
    <x v="0"/>
    <s v="VALIDATED"/>
    <n v="1"/>
    <s v="01.11.80.308.2013.0000"/>
    <n v="-31.88"/>
    <s v="11"/>
    <s v="2013"/>
    <n v="4198.72"/>
    <n v="-31.88"/>
    <s v="CREDITOR"/>
    <n v="0"/>
    <n v="0"/>
    <n v="-31.88"/>
    <n v="0"/>
    <n v="0"/>
  </r>
  <r>
    <n v="61784763"/>
    <s v="N"/>
    <n v="21343278"/>
    <s v="3000015859870002"/>
    <s v="CIVIL"/>
    <d v="2023-06-29T00:00:00"/>
    <d v="2023-07-07T19:03:00"/>
    <m/>
    <d v="2023-07-07T00:00:00"/>
    <n v="74"/>
    <n v="13208"/>
    <s v="61784763"/>
    <s v="61784763"/>
    <m/>
    <m/>
    <n v="22788478"/>
    <m/>
    <m/>
    <m/>
    <s v="SOLFIN"/>
    <s v="SOLFIN"/>
    <s v="CCMS"/>
    <n v="21343278"/>
    <n v="4219.18"/>
    <m/>
    <s v="N"/>
    <n v="6"/>
    <d v="2023-07-07T19:03:06"/>
    <s v="Y"/>
    <s v="Final Hearing - 1 Day"/>
    <s v="Public Law Children"/>
    <s v="Advocacy"/>
    <s v="Helen Cojeen"/>
    <s v="Y"/>
    <n v="556.88"/>
    <n v="111.38"/>
    <x v="9"/>
    <s v="VALIDATED"/>
    <n v="1"/>
    <s v="01.11.80.308.6100.0000"/>
    <n v="556.88"/>
    <s v="11"/>
    <s v="6100"/>
    <n v="4198.72"/>
    <n v="556.88"/>
    <s v="CREDITOR"/>
    <n v="0"/>
    <n v="0"/>
    <n v="0"/>
    <n v="0"/>
    <n v="556.88"/>
  </r>
  <r>
    <n v="19754562"/>
    <s v="N"/>
    <n v="21366219"/>
    <s v="3000008323110002RC"/>
    <s v="CIVIL"/>
    <d v="2023-06-28T00:00:00"/>
    <d v="2023-07-12T19:45:17"/>
    <m/>
    <d v="2023-07-12T00:00:00"/>
    <n v="74"/>
    <n v="13208"/>
    <s v="19754562"/>
    <s v="19754562"/>
    <m/>
    <m/>
    <m/>
    <m/>
    <m/>
    <m/>
    <s v="SOLRECOUP"/>
    <s v="SOLRECOUP"/>
    <s v="POARECOUP"/>
    <n v="21366219"/>
    <n v="-145.2"/>
    <m/>
    <s v="Y"/>
    <n v="2"/>
    <d v="2023-07-12T19:45:17"/>
    <s v="N"/>
    <m/>
    <m/>
    <s v="Expert Disbursement"/>
    <m/>
    <s v="N"/>
    <n v="0"/>
    <n v="-24.2"/>
    <x v="0"/>
    <s v="VALIDATED"/>
    <n v="1"/>
    <s v="01.11.80.308.2013.0000"/>
    <n v="-24.2"/>
    <s v="11"/>
    <s v="2013"/>
    <n v="4198.72"/>
    <n v="-24.2"/>
    <s v="CREDITOR"/>
    <n v="0"/>
    <n v="0"/>
    <n v="-24.2"/>
    <n v="0"/>
    <n v="0"/>
  </r>
  <r>
    <n v="19754562"/>
    <s v="N"/>
    <n v="21366219"/>
    <s v="3000008323110002RC"/>
    <s v="CIVIL"/>
    <d v="2023-06-28T00:00:00"/>
    <d v="2023-07-12T19:45:17"/>
    <m/>
    <d v="2023-07-12T00:00:00"/>
    <n v="74"/>
    <n v="13208"/>
    <s v="19754562"/>
    <s v="19754562"/>
    <m/>
    <m/>
    <m/>
    <m/>
    <m/>
    <m/>
    <s v="SOLRECOUP"/>
    <s v="SOLRECOUP"/>
    <s v="POARECOUP"/>
    <n v="21366219"/>
    <n v="-145.2"/>
    <m/>
    <s v="Y"/>
    <n v="1"/>
    <d v="2023-07-12T19:45:17"/>
    <s v="N"/>
    <m/>
    <m/>
    <s v="Expert Disbursement"/>
    <m/>
    <s v="N"/>
    <n v="-121"/>
    <n v="0"/>
    <x v="0"/>
    <s v="VALIDATED"/>
    <n v="1"/>
    <s v="01.11.80.308.2013.0000"/>
    <n v="-121"/>
    <s v="11"/>
    <s v="2013"/>
    <n v="4198.72"/>
    <n v="-121"/>
    <s v="CREDITOR"/>
    <n v="0"/>
    <n v="0"/>
    <n v="-121"/>
    <n v="0"/>
    <n v="0"/>
  </r>
  <r>
    <n v="19754562"/>
    <s v="N"/>
    <n v="21366220"/>
    <s v="3000008323110003RC"/>
    <s v="CIVIL"/>
    <d v="2023-06-28T00:00:00"/>
    <d v="2023-07-12T19:45:17"/>
    <m/>
    <d v="2023-07-12T00:00:00"/>
    <n v="74"/>
    <n v="13208"/>
    <s v="19754562"/>
    <s v="19754562"/>
    <m/>
    <m/>
    <m/>
    <m/>
    <m/>
    <m/>
    <s v="SOLRECOUP"/>
    <s v="SOLRECOUP"/>
    <s v="POARECOUP"/>
    <n v="21366220"/>
    <n v="-124.38"/>
    <m/>
    <s v="Y"/>
    <n v="2"/>
    <d v="2023-07-12T19:45:17"/>
    <s v="N"/>
    <m/>
    <m/>
    <s v="Expert Disbursement"/>
    <m/>
    <s v="N"/>
    <n v="0"/>
    <n v="-20.73"/>
    <x v="0"/>
    <s v="VALIDATED"/>
    <n v="1"/>
    <s v="01.11.80.308.2013.0000"/>
    <n v="-20.73"/>
    <s v="11"/>
    <s v="2013"/>
    <n v="4198.72"/>
    <n v="-20.73"/>
    <s v="CREDITOR"/>
    <n v="0"/>
    <n v="0"/>
    <n v="-20.73"/>
    <n v="0"/>
    <n v="0"/>
  </r>
  <r>
    <n v="19754562"/>
    <s v="N"/>
    <n v="21366220"/>
    <s v="3000008323110003RC"/>
    <s v="CIVIL"/>
    <d v="2023-06-28T00:00:00"/>
    <d v="2023-07-12T19:45:17"/>
    <m/>
    <d v="2023-07-12T00:00:00"/>
    <n v="74"/>
    <n v="13208"/>
    <s v="19754562"/>
    <s v="19754562"/>
    <m/>
    <m/>
    <m/>
    <m/>
    <m/>
    <m/>
    <s v="SOLRECOUP"/>
    <s v="SOLRECOUP"/>
    <s v="POARECOUP"/>
    <n v="21366220"/>
    <n v="-124.38"/>
    <m/>
    <s v="Y"/>
    <n v="1"/>
    <d v="2023-07-12T19:45:17"/>
    <s v="N"/>
    <m/>
    <m/>
    <s v="Expert Disbursement"/>
    <m/>
    <s v="N"/>
    <n v="-103.65"/>
    <n v="0"/>
    <x v="0"/>
    <s v="VALIDATED"/>
    <n v="1"/>
    <s v="01.11.80.308.2013.0000"/>
    <n v="-103.65"/>
    <s v="11"/>
    <s v="2013"/>
    <n v="4198.72"/>
    <n v="-103.65"/>
    <s v="CREDITOR"/>
    <n v="0"/>
    <n v="0"/>
    <n v="-103.65"/>
    <n v="0"/>
    <n v="0"/>
  </r>
  <r>
    <n v="19754562"/>
    <s v="N"/>
    <n v="21366221"/>
    <s v="3000008323110004RC"/>
    <s v="CIVIL"/>
    <d v="2023-06-28T00:00:00"/>
    <d v="2023-07-12T19:45:17"/>
    <m/>
    <d v="2023-07-12T00:00:00"/>
    <n v="74"/>
    <n v="13208"/>
    <s v="19754562"/>
    <s v="19754562"/>
    <m/>
    <m/>
    <m/>
    <m/>
    <m/>
    <m/>
    <s v="SOLRECOUP"/>
    <s v="SOLRECOUP"/>
    <s v="POARECOUP"/>
    <n v="21366221"/>
    <n v="-156.58"/>
    <m/>
    <s v="Y"/>
    <n v="1"/>
    <d v="2023-07-12T19:45:17"/>
    <s v="N"/>
    <m/>
    <m/>
    <s v="Expert Disbursement"/>
    <m/>
    <s v="N"/>
    <n v="-130.48"/>
    <n v="0"/>
    <x v="0"/>
    <s v="VALIDATED"/>
    <n v="1"/>
    <s v="01.11.80.308.2013.0000"/>
    <n v="-130.48"/>
    <s v="11"/>
    <s v="2013"/>
    <n v="4198.72"/>
    <n v="-130.48"/>
    <s v="CREDITOR"/>
    <n v="0"/>
    <n v="0"/>
    <n v="-130.48"/>
    <n v="0"/>
    <n v="0"/>
  </r>
  <r>
    <n v="19754562"/>
    <s v="N"/>
    <n v="21366221"/>
    <s v="3000008323110004RC"/>
    <s v="CIVIL"/>
    <d v="2023-06-28T00:00:00"/>
    <d v="2023-07-12T19:45:17"/>
    <m/>
    <d v="2023-07-12T00:00:00"/>
    <n v="74"/>
    <n v="13208"/>
    <s v="19754562"/>
    <s v="19754562"/>
    <m/>
    <m/>
    <m/>
    <m/>
    <m/>
    <m/>
    <s v="SOLRECOUP"/>
    <s v="SOLRECOUP"/>
    <s v="POARECOUP"/>
    <n v="21366221"/>
    <n v="-156.58"/>
    <m/>
    <s v="Y"/>
    <n v="2"/>
    <d v="2023-07-12T19:45:17"/>
    <s v="N"/>
    <m/>
    <m/>
    <s v="Expert Disbursement"/>
    <m/>
    <s v="N"/>
    <n v="0"/>
    <n v="-26.1"/>
    <x v="0"/>
    <s v="VALIDATED"/>
    <n v="1"/>
    <s v="01.11.80.308.2013.0000"/>
    <n v="-26.1"/>
    <s v="11"/>
    <s v="2013"/>
    <n v="4198.72"/>
    <n v="-26.1"/>
    <s v="CREDITOR"/>
    <n v="0"/>
    <n v="0"/>
    <n v="-26.1"/>
    <n v="0"/>
    <n v="0"/>
  </r>
  <r>
    <n v="19754562"/>
    <s v="N"/>
    <n v="21366222"/>
    <s v="3000008323110005RC"/>
    <s v="CIVIL"/>
    <d v="2023-06-28T00:00:00"/>
    <d v="2023-07-12T19:45:17"/>
    <m/>
    <d v="2023-07-12T00:00:00"/>
    <n v="74"/>
    <n v="13208"/>
    <s v="19754562"/>
    <s v="19754562"/>
    <m/>
    <m/>
    <m/>
    <m/>
    <m/>
    <m/>
    <s v="SOLRECOUP"/>
    <s v="SOLRECOUP"/>
    <s v="POARECOUP"/>
    <n v="21366222"/>
    <n v="-70.68000000000001"/>
    <m/>
    <s v="Y"/>
    <n v="1"/>
    <d v="2023-07-12T19:45:17"/>
    <s v="N"/>
    <m/>
    <m/>
    <s v="Expert Disbursement"/>
    <m/>
    <s v="N"/>
    <n v="-58.9"/>
    <n v="0"/>
    <x v="0"/>
    <s v="VALIDATED"/>
    <n v="1"/>
    <s v="01.11.80.308.2013.0000"/>
    <n v="-58.9"/>
    <s v="11"/>
    <s v="2013"/>
    <n v="4198.72"/>
    <n v="-58.9"/>
    <s v="CREDITOR"/>
    <n v="0"/>
    <n v="0"/>
    <n v="-58.9"/>
    <n v="0"/>
    <n v="0"/>
  </r>
  <r>
    <n v="19754562"/>
    <s v="N"/>
    <n v="21366222"/>
    <s v="3000008323110005RC"/>
    <s v="CIVIL"/>
    <d v="2023-06-28T00:00:00"/>
    <d v="2023-07-12T19:45:17"/>
    <m/>
    <d v="2023-07-12T00:00:00"/>
    <n v="74"/>
    <n v="13208"/>
    <s v="19754562"/>
    <s v="19754562"/>
    <m/>
    <m/>
    <m/>
    <m/>
    <m/>
    <m/>
    <s v="SOLRECOUP"/>
    <s v="SOLRECOUP"/>
    <s v="POARECOUP"/>
    <n v="21366222"/>
    <n v="-70.68000000000001"/>
    <m/>
    <s v="Y"/>
    <n v="2"/>
    <d v="2023-07-12T19:45:17"/>
    <s v="N"/>
    <m/>
    <m/>
    <s v="Expert Disbursement"/>
    <m/>
    <s v="N"/>
    <n v="0"/>
    <n v="-11.78"/>
    <x v="0"/>
    <s v="VALIDATED"/>
    <n v="1"/>
    <s v="01.11.80.308.2013.0000"/>
    <n v="-11.78"/>
    <s v="11"/>
    <s v="2013"/>
    <n v="4198.72"/>
    <n v="-11.78"/>
    <s v="CREDITOR"/>
    <n v="0"/>
    <n v="0"/>
    <n v="-11.78"/>
    <n v="0"/>
    <n v="0"/>
  </r>
  <r>
    <n v="19754562"/>
    <s v="N"/>
    <n v="21366223"/>
    <s v="3000008323110006RC"/>
    <s v="CIVIL"/>
    <d v="2023-06-28T00:00:00"/>
    <d v="2023-07-12T19:45:17"/>
    <m/>
    <d v="2023-07-12T00:00:00"/>
    <n v="74"/>
    <n v="13208"/>
    <s v="19754562"/>
    <s v="19754562"/>
    <m/>
    <m/>
    <m/>
    <m/>
    <m/>
    <m/>
    <s v="SOLRECOUP"/>
    <s v="SOLRECOUP"/>
    <s v="POARECOUP"/>
    <n v="21366223"/>
    <n v="-40.73"/>
    <m/>
    <s v="Y"/>
    <n v="2"/>
    <d v="2023-07-12T19:45:17"/>
    <s v="N"/>
    <m/>
    <m/>
    <s v="Expert Disbursement"/>
    <m/>
    <s v="N"/>
    <n v="0"/>
    <n v="-6.79"/>
    <x v="0"/>
    <s v="VALIDATED"/>
    <n v="1"/>
    <s v="01.11.80.308.2013.0000"/>
    <n v="-6.79"/>
    <s v="11"/>
    <s v="2013"/>
    <n v="4198.72"/>
    <n v="-6.79"/>
    <s v="CREDITOR"/>
    <n v="0"/>
    <n v="0"/>
    <n v="-6.79"/>
    <n v="0"/>
    <n v="0"/>
  </r>
  <r>
    <n v="19754562"/>
    <s v="N"/>
    <n v="21366223"/>
    <s v="3000008323110006RC"/>
    <s v="CIVIL"/>
    <d v="2023-06-28T00:00:00"/>
    <d v="2023-07-12T19:45:17"/>
    <m/>
    <d v="2023-07-12T00:00:00"/>
    <n v="74"/>
    <n v="13208"/>
    <s v="19754562"/>
    <s v="19754562"/>
    <m/>
    <m/>
    <m/>
    <m/>
    <m/>
    <m/>
    <s v="SOLRECOUP"/>
    <s v="SOLRECOUP"/>
    <s v="POARECOUP"/>
    <n v="21366223"/>
    <n v="-40.73"/>
    <m/>
    <s v="Y"/>
    <n v="1"/>
    <d v="2023-07-12T19:45:17"/>
    <s v="N"/>
    <m/>
    <m/>
    <s v="Expert Disbursement"/>
    <m/>
    <s v="N"/>
    <n v="-33.94"/>
    <n v="0"/>
    <x v="0"/>
    <s v="VALIDATED"/>
    <n v="1"/>
    <s v="01.11.80.308.2013.0000"/>
    <n v="-33.94"/>
    <s v="11"/>
    <s v="2013"/>
    <n v="4198.72"/>
    <n v="-33.94"/>
    <s v="CREDITOR"/>
    <n v="0"/>
    <n v="0"/>
    <n v="-33.94"/>
    <n v="0"/>
    <n v="0"/>
  </r>
  <r>
    <n v="19754562"/>
    <s v="N"/>
    <n v="21366224"/>
    <s v="3000008323110007RC"/>
    <s v="CIVIL"/>
    <d v="2023-06-28T00:00:00"/>
    <d v="2023-07-12T19:45:17"/>
    <m/>
    <d v="2023-07-12T00:00:00"/>
    <n v="74"/>
    <n v="13208"/>
    <s v="19754562"/>
    <s v="19754562"/>
    <m/>
    <m/>
    <m/>
    <m/>
    <m/>
    <m/>
    <s v="SOLRECOUP"/>
    <s v="SOLRECOUP"/>
    <s v="POARECOUP"/>
    <n v="21366224"/>
    <n v="-105.12"/>
    <m/>
    <s v="Y"/>
    <n v="1"/>
    <d v="2023-07-12T19:45:17"/>
    <s v="N"/>
    <m/>
    <m/>
    <s v="Expert Disbursement"/>
    <m/>
    <s v="N"/>
    <n v="-87.59999999999999"/>
    <n v="0"/>
    <x v="0"/>
    <s v="VALIDATED"/>
    <n v="1"/>
    <s v="01.11.80.308.2013.0000"/>
    <n v="-87.59999999999999"/>
    <s v="11"/>
    <s v="2013"/>
    <n v="4198.72"/>
    <n v="-87.59999999999999"/>
    <s v="CREDITOR"/>
    <n v="0"/>
    <n v="0"/>
    <n v="-87.59999999999999"/>
    <n v="0"/>
    <n v="0"/>
  </r>
  <r>
    <n v="19754562"/>
    <s v="N"/>
    <n v="21366224"/>
    <s v="3000008323110007RC"/>
    <s v="CIVIL"/>
    <d v="2023-06-28T00:00:00"/>
    <d v="2023-07-12T19:45:17"/>
    <m/>
    <d v="2023-07-12T00:00:00"/>
    <n v="74"/>
    <n v="13208"/>
    <s v="19754562"/>
    <s v="19754562"/>
    <m/>
    <m/>
    <m/>
    <m/>
    <m/>
    <m/>
    <s v="SOLRECOUP"/>
    <s v="SOLRECOUP"/>
    <s v="POARECOUP"/>
    <n v="21366224"/>
    <n v="-105.12"/>
    <m/>
    <s v="Y"/>
    <n v="2"/>
    <d v="2023-07-12T19:45:17"/>
    <s v="N"/>
    <m/>
    <m/>
    <s v="Expert Disbursement"/>
    <m/>
    <s v="N"/>
    <n v="0"/>
    <n v="-17.52"/>
    <x v="0"/>
    <s v="VALIDATED"/>
    <n v="1"/>
    <s v="01.11.80.308.2013.0000"/>
    <n v="-17.52"/>
    <s v="11"/>
    <s v="2013"/>
    <n v="4198.72"/>
    <n v="-17.52"/>
    <s v="CREDITOR"/>
    <n v="0"/>
    <n v="0"/>
    <n v="-17.52"/>
    <n v="0"/>
    <n v="0"/>
  </r>
  <r>
    <n v="19754562"/>
    <s v="N"/>
    <n v="21366225"/>
    <s v="3000008323110010RC"/>
    <s v="CIVIL"/>
    <d v="2023-06-28T00:00:00"/>
    <d v="2023-07-12T19:45:17"/>
    <m/>
    <d v="2023-07-12T00:00:00"/>
    <n v="74"/>
    <n v="13208"/>
    <s v="19754562"/>
    <s v="19754562"/>
    <m/>
    <m/>
    <m/>
    <m/>
    <m/>
    <m/>
    <s v="SOLRECOUP"/>
    <s v="SOLRECOUP"/>
    <s v="POARECOUP"/>
    <n v="21366225"/>
    <n v="-534.8"/>
    <m/>
    <s v="Y"/>
    <n v="1"/>
    <d v="2023-07-12T19:45:17"/>
    <s v="N"/>
    <m/>
    <m/>
    <s v="Expert Disbursement"/>
    <m/>
    <s v="N"/>
    <n v="-445.67"/>
    <n v="0"/>
    <x v="0"/>
    <s v="VALIDATED"/>
    <n v="1"/>
    <s v="01.11.80.308.2013.0000"/>
    <n v="-445.67"/>
    <s v="11"/>
    <s v="2013"/>
    <n v="4198.72"/>
    <n v="-445.67"/>
    <s v="CREDITOR"/>
    <n v="0"/>
    <n v="0"/>
    <n v="-445.67"/>
    <n v="0"/>
    <n v="0"/>
  </r>
  <r>
    <n v="19754562"/>
    <s v="N"/>
    <n v="21366225"/>
    <s v="3000008323110010RC"/>
    <s v="CIVIL"/>
    <d v="2023-06-28T00:00:00"/>
    <d v="2023-07-12T19:45:17"/>
    <m/>
    <d v="2023-07-12T00:00:00"/>
    <n v="74"/>
    <n v="13208"/>
    <s v="19754562"/>
    <s v="19754562"/>
    <m/>
    <m/>
    <m/>
    <m/>
    <m/>
    <m/>
    <s v="SOLRECOUP"/>
    <s v="SOLRECOUP"/>
    <s v="POARECOUP"/>
    <n v="21366225"/>
    <n v="-534.8"/>
    <m/>
    <s v="Y"/>
    <n v="2"/>
    <d v="2023-07-12T19:45:17"/>
    <s v="N"/>
    <m/>
    <m/>
    <s v="Expert Disbursement"/>
    <m/>
    <s v="N"/>
    <n v="0"/>
    <n v="-89.13"/>
    <x v="0"/>
    <s v="VALIDATED"/>
    <n v="1"/>
    <s v="01.11.80.308.2013.0000"/>
    <n v="-89.13"/>
    <s v="11"/>
    <s v="2013"/>
    <n v="4198.72"/>
    <n v="-89.13"/>
    <s v="CREDITOR"/>
    <n v="0"/>
    <n v="0"/>
    <n v="-89.13"/>
    <n v="0"/>
    <n v="0"/>
  </r>
  <r>
    <n v="19754562"/>
    <s v="N"/>
    <n v="21366226"/>
    <s v="3000008323110011RC"/>
    <s v="CIVIL"/>
    <d v="2023-06-28T00:00:00"/>
    <d v="2023-07-12T19:45:17"/>
    <m/>
    <d v="2023-07-12T00:00:00"/>
    <n v="74"/>
    <n v="13208"/>
    <s v="19754562"/>
    <s v="19754562"/>
    <m/>
    <m/>
    <m/>
    <m/>
    <m/>
    <m/>
    <s v="SOLRECOUP"/>
    <s v="SOLRECOUP"/>
    <s v="POARECOUP"/>
    <n v="21366226"/>
    <n v="-398.02"/>
    <m/>
    <s v="Y"/>
    <n v="1"/>
    <d v="2023-07-12T19:45:17"/>
    <s v="N"/>
    <m/>
    <m/>
    <s v="Expert Disbursement"/>
    <m/>
    <s v="N"/>
    <n v="-331.68"/>
    <n v="0"/>
    <x v="0"/>
    <s v="VALIDATED"/>
    <n v="1"/>
    <s v="01.11.80.308.2013.0000"/>
    <n v="-331.68"/>
    <s v="11"/>
    <s v="2013"/>
    <n v="4198.72"/>
    <n v="-331.68"/>
    <s v="CREDITOR"/>
    <n v="0"/>
    <n v="0"/>
    <n v="-331.68"/>
    <n v="0"/>
    <n v="0"/>
  </r>
  <r>
    <n v="19754562"/>
    <s v="N"/>
    <n v="21366226"/>
    <s v="3000008323110011RC"/>
    <s v="CIVIL"/>
    <d v="2023-06-28T00:00:00"/>
    <d v="2023-07-12T19:45:17"/>
    <m/>
    <d v="2023-07-12T00:00:00"/>
    <n v="74"/>
    <n v="13208"/>
    <s v="19754562"/>
    <s v="19754562"/>
    <m/>
    <m/>
    <m/>
    <m/>
    <m/>
    <m/>
    <s v="SOLRECOUP"/>
    <s v="SOLRECOUP"/>
    <s v="POARECOUP"/>
    <n v="21366226"/>
    <n v="-398.02"/>
    <m/>
    <s v="Y"/>
    <n v="2"/>
    <d v="2023-07-12T19:45:17"/>
    <s v="N"/>
    <m/>
    <m/>
    <s v="Expert Disbursement"/>
    <m/>
    <s v="N"/>
    <n v="0"/>
    <n v="-66.34"/>
    <x v="0"/>
    <s v="VALIDATED"/>
    <n v="1"/>
    <s v="01.11.80.308.2013.0000"/>
    <n v="-66.34"/>
    <s v="11"/>
    <s v="2013"/>
    <n v="4198.72"/>
    <n v="-66.34"/>
    <s v="CREDITOR"/>
    <n v="0"/>
    <n v="0"/>
    <n v="-66.34"/>
    <n v="0"/>
    <n v="0"/>
  </r>
  <r>
    <n v="19754562"/>
    <s v="N"/>
    <n v="21366227"/>
    <s v="3000008323110014RC"/>
    <s v="CIVIL"/>
    <d v="2023-06-28T00:00:00"/>
    <d v="2023-07-12T19:45:17"/>
    <m/>
    <d v="2023-07-12T00:00:00"/>
    <n v="74"/>
    <n v="13208"/>
    <s v="19754562"/>
    <s v="19754562"/>
    <m/>
    <m/>
    <m/>
    <m/>
    <m/>
    <m/>
    <s v="SOLRECOUP"/>
    <s v="SOLRECOUP"/>
    <s v="POARECOUP"/>
    <n v="21366227"/>
    <n v="-585.6"/>
    <m/>
    <s v="Y"/>
    <n v="1"/>
    <d v="2023-07-12T19:45:17"/>
    <s v="N"/>
    <m/>
    <m/>
    <s v="Expert Disbursement"/>
    <m/>
    <s v="N"/>
    <n v="-488"/>
    <n v="0"/>
    <x v="0"/>
    <s v="VALIDATED"/>
    <n v="1"/>
    <s v="01.11.80.308.2013.0000"/>
    <n v="-488"/>
    <s v="11"/>
    <s v="2013"/>
    <n v="4198.72"/>
    <n v="-488"/>
    <s v="CREDITOR"/>
    <n v="0"/>
    <n v="0"/>
    <n v="-488"/>
    <n v="0"/>
    <n v="0"/>
  </r>
  <r>
    <n v="19754562"/>
    <s v="N"/>
    <n v="21366227"/>
    <s v="3000008323110014RC"/>
    <s v="CIVIL"/>
    <d v="2023-06-28T00:00:00"/>
    <d v="2023-07-12T19:45:17"/>
    <m/>
    <d v="2023-07-12T00:00:00"/>
    <n v="74"/>
    <n v="13208"/>
    <s v="19754562"/>
    <s v="19754562"/>
    <m/>
    <m/>
    <m/>
    <m/>
    <m/>
    <m/>
    <s v="SOLRECOUP"/>
    <s v="SOLRECOUP"/>
    <s v="POARECOUP"/>
    <n v="21366227"/>
    <n v="-585.6"/>
    <m/>
    <s v="Y"/>
    <n v="2"/>
    <d v="2023-07-12T19:45:17"/>
    <s v="N"/>
    <m/>
    <m/>
    <s v="Expert Disbursement"/>
    <m/>
    <s v="N"/>
    <n v="0"/>
    <n v="-97.59999999999999"/>
    <x v="0"/>
    <s v="VALIDATED"/>
    <n v="1"/>
    <s v="01.11.80.308.2013.0000"/>
    <n v="-97.59999999999999"/>
    <s v="11"/>
    <s v="2013"/>
    <n v="4198.72"/>
    <n v="-97.59999999999999"/>
    <s v="CREDITOR"/>
    <n v="0"/>
    <n v="0"/>
    <n v="-97.59999999999999"/>
    <n v="0"/>
    <n v="0"/>
  </r>
  <r>
    <n v="19754562"/>
    <s v="N"/>
    <n v="21366228"/>
    <s v="3000008323110008RC"/>
    <s v="CIVIL"/>
    <d v="2023-06-28T00:00:00"/>
    <d v="2023-07-12T19:45:17"/>
    <m/>
    <d v="2023-07-12T00:00:00"/>
    <n v="74"/>
    <n v="13208"/>
    <s v="19754562"/>
    <s v="19754562"/>
    <m/>
    <m/>
    <m/>
    <m/>
    <m/>
    <m/>
    <s v="SOLRECOUP"/>
    <s v="SOLRECOUP"/>
    <s v="POARECOUP"/>
    <n v="21366228"/>
    <n v="-55.2"/>
    <m/>
    <s v="Y"/>
    <n v="1"/>
    <d v="2023-07-12T19:45:17"/>
    <s v="N"/>
    <m/>
    <m/>
    <s v="Expert Disbursement"/>
    <m/>
    <s v="N"/>
    <n v="-46"/>
    <n v="0"/>
    <x v="0"/>
    <s v="VALIDATED"/>
    <n v="1"/>
    <s v="01.11.80.308.2013.0000"/>
    <n v="-46"/>
    <s v="11"/>
    <s v="2013"/>
    <n v="4198.72"/>
    <n v="-46"/>
    <s v="CREDITOR"/>
    <n v="0"/>
    <n v="0"/>
    <n v="-46"/>
    <n v="0"/>
    <n v="0"/>
  </r>
  <r>
    <n v="19754562"/>
    <s v="N"/>
    <n v="21366228"/>
    <s v="3000008323110008RC"/>
    <s v="CIVIL"/>
    <d v="2023-06-28T00:00:00"/>
    <d v="2023-07-12T19:45:17"/>
    <m/>
    <d v="2023-07-12T00:00:00"/>
    <n v="74"/>
    <n v="13208"/>
    <s v="19754562"/>
    <s v="19754562"/>
    <m/>
    <m/>
    <m/>
    <m/>
    <m/>
    <m/>
    <s v="SOLRECOUP"/>
    <s v="SOLRECOUP"/>
    <s v="POARECOUP"/>
    <n v="21366228"/>
    <n v="-55.2"/>
    <m/>
    <s v="Y"/>
    <n v="2"/>
    <d v="2023-07-12T19:45:17"/>
    <s v="N"/>
    <m/>
    <m/>
    <s v="Expert Disbursement"/>
    <m/>
    <s v="N"/>
    <n v="0"/>
    <n v="-9.199999999999999"/>
    <x v="0"/>
    <s v="VALIDATED"/>
    <n v="1"/>
    <s v="01.11.80.308.2013.0000"/>
    <n v="-9.199999999999999"/>
    <s v="11"/>
    <s v="2013"/>
    <n v="4198.72"/>
    <n v="-9.199999999999999"/>
    <s v="CREDITOR"/>
    <n v="0"/>
    <n v="0"/>
    <n v="-9.199999999999999"/>
    <n v="0"/>
    <n v="0"/>
  </r>
  <r>
    <n v="19754562"/>
    <s v="N"/>
    <n v="21366229"/>
    <s v="3000008323110009RC"/>
    <s v="CIVIL"/>
    <d v="2023-06-28T00:00:00"/>
    <d v="2023-07-12T19:45:17"/>
    <m/>
    <d v="2023-07-12T00:00:00"/>
    <n v="74"/>
    <n v="13208"/>
    <s v="19754562"/>
    <s v="19754562"/>
    <m/>
    <m/>
    <m/>
    <m/>
    <m/>
    <m/>
    <s v="SOLRECOUP"/>
    <s v="SOLRECOUP"/>
    <s v="POARECOUP"/>
    <n v="21366229"/>
    <n v="-102.6"/>
    <m/>
    <s v="Y"/>
    <n v="2"/>
    <d v="2023-07-12T19:45:17"/>
    <s v="N"/>
    <m/>
    <m/>
    <s v="Expert Disbursement"/>
    <m/>
    <s v="N"/>
    <n v="0"/>
    <n v="-17.1"/>
    <x v="0"/>
    <s v="VALIDATED"/>
    <n v="1"/>
    <s v="01.11.80.308.2013.0000"/>
    <n v="-17.1"/>
    <s v="11"/>
    <s v="2013"/>
    <n v="4198.72"/>
    <n v="-17.1"/>
    <s v="CREDITOR"/>
    <n v="0"/>
    <n v="0"/>
    <n v="-17.1"/>
    <n v="0"/>
    <n v="0"/>
  </r>
  <r>
    <n v="19754562"/>
    <s v="N"/>
    <n v="21366229"/>
    <s v="3000008323110009RC"/>
    <s v="CIVIL"/>
    <d v="2023-06-28T00:00:00"/>
    <d v="2023-07-12T19:45:17"/>
    <m/>
    <d v="2023-07-12T00:00:00"/>
    <n v="74"/>
    <n v="13208"/>
    <s v="19754562"/>
    <s v="19754562"/>
    <m/>
    <m/>
    <m/>
    <m/>
    <m/>
    <m/>
    <s v="SOLRECOUP"/>
    <s v="SOLRECOUP"/>
    <s v="POARECOUP"/>
    <n v="21366229"/>
    <n v="-102.6"/>
    <m/>
    <s v="Y"/>
    <n v="1"/>
    <d v="2023-07-12T19:45:17"/>
    <s v="N"/>
    <m/>
    <m/>
    <s v="Expert Disbursement"/>
    <m/>
    <s v="N"/>
    <n v="-85.5"/>
    <n v="0"/>
    <x v="0"/>
    <s v="VALIDATED"/>
    <n v="1"/>
    <s v="01.11.80.308.2013.0000"/>
    <n v="-85.5"/>
    <s v="11"/>
    <s v="2013"/>
    <n v="4198.72"/>
    <n v="-85.5"/>
    <s v="CREDITOR"/>
    <n v="0"/>
    <n v="0"/>
    <n v="-85.5"/>
    <n v="0"/>
    <n v="0"/>
  </r>
  <r>
    <n v="59643729"/>
    <s v="N"/>
    <n v="21361287"/>
    <s v="3000014040650002RC"/>
    <s v="CIVIL"/>
    <d v="2023-06-23T00:00:00"/>
    <d v="2023-07-11T19:38:00"/>
    <m/>
    <d v="2023-07-11T00:00:00"/>
    <n v="74"/>
    <n v="13208"/>
    <s v="59643729"/>
    <s v="59643729"/>
    <m/>
    <m/>
    <m/>
    <m/>
    <m/>
    <m/>
    <s v="SOLRECOUP"/>
    <s v="SOLRECOUP"/>
    <s v="POARECOUP"/>
    <n v="21361287"/>
    <n v="-32.4"/>
    <m/>
    <s v="Y"/>
    <n v="2"/>
    <d v="2023-07-11T19:38:00"/>
    <s v="N"/>
    <m/>
    <m/>
    <s v="Expert Disbursement"/>
    <m/>
    <s v="N"/>
    <n v="0"/>
    <n v="-5.4"/>
    <x v="7"/>
    <s v="VALIDATED"/>
    <n v="1"/>
    <s v="01.11.80.308.2013.0000"/>
    <n v="-5.4"/>
    <s v="11"/>
    <s v="2013"/>
    <n v="4198.72"/>
    <n v="-5.4"/>
    <s v="CREDITOR"/>
    <n v="0"/>
    <n v="0"/>
    <n v="-5.4"/>
    <n v="0"/>
    <n v="0"/>
  </r>
  <r>
    <n v="59643729"/>
    <s v="N"/>
    <n v="21361287"/>
    <s v="3000014040650002RC"/>
    <s v="CIVIL"/>
    <d v="2023-06-23T00:00:00"/>
    <d v="2023-07-11T19:38:00"/>
    <m/>
    <d v="2023-07-11T00:00:00"/>
    <n v="74"/>
    <n v="13208"/>
    <s v="59643729"/>
    <s v="59643729"/>
    <m/>
    <m/>
    <m/>
    <m/>
    <m/>
    <m/>
    <s v="SOLRECOUP"/>
    <s v="SOLRECOUP"/>
    <s v="POARECOUP"/>
    <n v="21361287"/>
    <n v="-32.4"/>
    <m/>
    <s v="Y"/>
    <n v="1"/>
    <d v="2023-07-11T19:38:00"/>
    <s v="N"/>
    <m/>
    <m/>
    <s v="Expert Disbursement"/>
    <m/>
    <s v="N"/>
    <n v="-27"/>
    <n v="0"/>
    <x v="7"/>
    <s v="VALIDATED"/>
    <n v="1"/>
    <s v="01.11.80.308.2013.0000"/>
    <n v="-27"/>
    <s v="11"/>
    <s v="2013"/>
    <n v="4198.72"/>
    <n v="-27"/>
    <s v="CREDITOR"/>
    <n v="0"/>
    <n v="0"/>
    <n v="-27"/>
    <n v="0"/>
    <n v="0"/>
  </r>
  <r>
    <n v="59643729"/>
    <s v="N"/>
    <n v="21361288"/>
    <s v="3000014040650004RC"/>
    <s v="CIVIL"/>
    <d v="2023-06-23T00:00:00"/>
    <d v="2023-07-11T19:38:00"/>
    <m/>
    <d v="2023-07-11T00:00:00"/>
    <n v="74"/>
    <n v="13208"/>
    <s v="59643729"/>
    <s v="59643729"/>
    <m/>
    <m/>
    <m/>
    <m/>
    <m/>
    <m/>
    <s v="SOLRECOUP"/>
    <s v="SOLRECOUP"/>
    <s v="POARECOUP"/>
    <n v="21361288"/>
    <n v="-97.2"/>
    <m/>
    <s v="Y"/>
    <n v="2"/>
    <d v="2023-07-11T19:38:00"/>
    <s v="N"/>
    <m/>
    <m/>
    <s v="Expert Disbursement"/>
    <m/>
    <s v="N"/>
    <n v="0"/>
    <n v="-16.2"/>
    <x v="7"/>
    <s v="VALIDATED"/>
    <n v="1"/>
    <s v="01.11.80.308.2013.0000"/>
    <n v="-16.2"/>
    <s v="11"/>
    <s v="2013"/>
    <n v="4198.72"/>
    <n v="-16.2"/>
    <s v="CREDITOR"/>
    <n v="0"/>
    <n v="0"/>
    <n v="-16.2"/>
    <n v="0"/>
    <n v="0"/>
  </r>
  <r>
    <n v="59643729"/>
    <s v="N"/>
    <n v="21361288"/>
    <s v="3000014040650004RC"/>
    <s v="CIVIL"/>
    <d v="2023-06-23T00:00:00"/>
    <d v="2023-07-11T19:38:00"/>
    <m/>
    <d v="2023-07-11T00:00:00"/>
    <n v="74"/>
    <n v="13208"/>
    <s v="59643729"/>
    <s v="59643729"/>
    <m/>
    <m/>
    <m/>
    <m/>
    <m/>
    <m/>
    <s v="SOLRECOUP"/>
    <s v="SOLRECOUP"/>
    <s v="POARECOUP"/>
    <n v="21361288"/>
    <n v="-97.2"/>
    <m/>
    <s v="Y"/>
    <n v="1"/>
    <d v="2023-07-11T19:38:00"/>
    <s v="N"/>
    <m/>
    <m/>
    <s v="Expert Disbursement"/>
    <m/>
    <s v="N"/>
    <n v="-81"/>
    <n v="0"/>
    <x v="7"/>
    <s v="VALIDATED"/>
    <n v="1"/>
    <s v="01.11.80.308.2013.0000"/>
    <n v="-81"/>
    <s v="11"/>
    <s v="2013"/>
    <n v="4198.72"/>
    <n v="-81"/>
    <s v="CREDITOR"/>
    <n v="0"/>
    <n v="0"/>
    <n v="-81"/>
    <n v="0"/>
    <n v="0"/>
  </r>
  <r>
    <n v="59643729"/>
    <s v="N"/>
    <n v="21361289"/>
    <s v="3000014040650005RC"/>
    <s v="CIVIL"/>
    <d v="2023-06-23T00:00:00"/>
    <d v="2023-07-11T19:38:00"/>
    <m/>
    <d v="2023-07-11T00:00:00"/>
    <n v="74"/>
    <n v="13208"/>
    <s v="59643729"/>
    <s v="59643729"/>
    <m/>
    <m/>
    <m/>
    <m/>
    <m/>
    <m/>
    <s v="SOLRECOUP"/>
    <s v="SOLRECOUP"/>
    <s v="POARECOUP"/>
    <n v="21361289"/>
    <n v="-248.4"/>
    <m/>
    <s v="Y"/>
    <n v="2"/>
    <d v="2023-07-11T19:38:00"/>
    <s v="N"/>
    <m/>
    <m/>
    <s v="Expert Disbursement"/>
    <m/>
    <s v="N"/>
    <n v="0"/>
    <n v="-41.4"/>
    <x v="7"/>
    <s v="VALIDATED"/>
    <n v="1"/>
    <s v="01.11.80.308.2013.0000"/>
    <n v="-41.4"/>
    <s v="11"/>
    <s v="2013"/>
    <n v="4198.72"/>
    <n v="-41.4"/>
    <s v="CREDITOR"/>
    <n v="0"/>
    <n v="0"/>
    <n v="-41.4"/>
    <n v="0"/>
    <n v="0"/>
  </r>
  <r>
    <n v="59643729"/>
    <s v="N"/>
    <n v="21361289"/>
    <s v="3000014040650005RC"/>
    <s v="CIVIL"/>
    <d v="2023-06-23T00:00:00"/>
    <d v="2023-07-11T19:38:00"/>
    <m/>
    <d v="2023-07-11T00:00:00"/>
    <n v="74"/>
    <n v="13208"/>
    <s v="59643729"/>
    <s v="59643729"/>
    <m/>
    <m/>
    <m/>
    <m/>
    <m/>
    <m/>
    <s v="SOLRECOUP"/>
    <s v="SOLRECOUP"/>
    <s v="POARECOUP"/>
    <n v="21361289"/>
    <n v="-248.4"/>
    <m/>
    <s v="Y"/>
    <n v="1"/>
    <d v="2023-07-11T19:38:00"/>
    <s v="N"/>
    <m/>
    <m/>
    <s v="Expert Disbursement"/>
    <m/>
    <s v="N"/>
    <n v="-207"/>
    <n v="0"/>
    <x v="7"/>
    <s v="VALIDATED"/>
    <n v="1"/>
    <s v="01.11.80.308.2013.0000"/>
    <n v="-207"/>
    <s v="11"/>
    <s v="2013"/>
    <n v="4198.72"/>
    <n v="-207"/>
    <s v="CREDITOR"/>
    <n v="0"/>
    <n v="0"/>
    <n v="-207"/>
    <n v="0"/>
    <n v="0"/>
  </r>
  <r>
    <n v="59643729"/>
    <s v="N"/>
    <n v="21361290"/>
    <s v="3000014040650003RC"/>
    <s v="CIVIL"/>
    <d v="2023-06-23T00:00:00"/>
    <d v="2023-07-11T19:38:00"/>
    <m/>
    <d v="2023-07-11T00:00:00"/>
    <n v="74"/>
    <n v="13208"/>
    <s v="59643729"/>
    <s v="59643729"/>
    <m/>
    <m/>
    <m/>
    <m/>
    <m/>
    <m/>
    <s v="SOLRECOUP"/>
    <s v="SOLRECOUP"/>
    <s v="POARECOUP"/>
    <n v="21361290"/>
    <n v="-972"/>
    <m/>
    <s v="Y"/>
    <n v="2"/>
    <d v="2023-07-11T19:38:00"/>
    <s v="N"/>
    <m/>
    <m/>
    <s v="Expert Disbursement"/>
    <m/>
    <s v="N"/>
    <n v="0"/>
    <n v="-162"/>
    <x v="7"/>
    <s v="VALIDATED"/>
    <n v="1"/>
    <s v="01.11.80.308.2013.0000"/>
    <n v="-162"/>
    <s v="11"/>
    <s v="2013"/>
    <n v="4198.72"/>
    <n v="-162"/>
    <s v="CREDITOR"/>
    <n v="0"/>
    <n v="0"/>
    <n v="-162"/>
    <n v="0"/>
    <n v="0"/>
  </r>
  <r>
    <n v="59643729"/>
    <s v="N"/>
    <n v="21361290"/>
    <s v="3000014040650003RC"/>
    <s v="CIVIL"/>
    <d v="2023-06-23T00:00:00"/>
    <d v="2023-07-11T19:38:00"/>
    <m/>
    <d v="2023-07-11T00:00:00"/>
    <n v="74"/>
    <n v="13208"/>
    <s v="59643729"/>
    <s v="59643729"/>
    <m/>
    <m/>
    <m/>
    <m/>
    <m/>
    <m/>
    <s v="SOLRECOUP"/>
    <s v="SOLRECOUP"/>
    <s v="POARECOUP"/>
    <n v="21361290"/>
    <n v="-972"/>
    <m/>
    <s v="Y"/>
    <n v="1"/>
    <d v="2023-07-11T19:38:00"/>
    <s v="N"/>
    <m/>
    <m/>
    <s v="Expert Disbursement"/>
    <m/>
    <s v="N"/>
    <n v="-810"/>
    <n v="0"/>
    <x v="7"/>
    <s v="VALIDATED"/>
    <n v="1"/>
    <s v="01.11.80.308.2013.0000"/>
    <n v="-810"/>
    <s v="11"/>
    <s v="2013"/>
    <n v="4198.72"/>
    <n v="-810"/>
    <s v="CREDITOR"/>
    <n v="0"/>
    <n v="0"/>
    <n v="-810"/>
    <n v="0"/>
    <n v="0"/>
  </r>
  <r>
    <n v="59643729"/>
    <s v="N"/>
    <n v="21361291"/>
    <s v="3000014040650006RC"/>
    <s v="CIVIL"/>
    <d v="2023-06-23T00:00:00"/>
    <d v="2023-07-11T19:38:00"/>
    <m/>
    <d v="2023-07-11T00:00:00"/>
    <n v="74"/>
    <n v="13208"/>
    <s v="59643729"/>
    <s v="59643729"/>
    <m/>
    <m/>
    <m/>
    <m/>
    <m/>
    <m/>
    <s v="SOLRECOUP"/>
    <s v="SOLRECOUP"/>
    <s v="POARECOUP"/>
    <n v="21361291"/>
    <n v="-86.40000000000001"/>
    <m/>
    <s v="Y"/>
    <n v="2"/>
    <d v="2023-07-11T19:38:00"/>
    <s v="N"/>
    <m/>
    <m/>
    <s v="Expert Disbursement"/>
    <m/>
    <s v="N"/>
    <n v="0"/>
    <n v="-14.4"/>
    <x v="7"/>
    <s v="VALIDATED"/>
    <n v="1"/>
    <s v="01.11.80.308.2013.0000"/>
    <n v="-14.4"/>
    <s v="11"/>
    <s v="2013"/>
    <n v="4198.72"/>
    <n v="-14.4"/>
    <s v="CREDITOR"/>
    <n v="0"/>
    <n v="0"/>
    <n v="-14.4"/>
    <n v="0"/>
    <n v="0"/>
  </r>
  <r>
    <n v="59643729"/>
    <s v="N"/>
    <n v="21361291"/>
    <s v="3000014040650006RC"/>
    <s v="CIVIL"/>
    <d v="2023-06-23T00:00:00"/>
    <d v="2023-07-11T19:38:00"/>
    <m/>
    <d v="2023-07-11T00:00:00"/>
    <n v="74"/>
    <n v="13208"/>
    <s v="59643729"/>
    <s v="59643729"/>
    <m/>
    <m/>
    <m/>
    <m/>
    <m/>
    <m/>
    <s v="SOLRECOUP"/>
    <s v="SOLRECOUP"/>
    <s v="POARECOUP"/>
    <n v="21361291"/>
    <n v="-86.40000000000001"/>
    <m/>
    <s v="Y"/>
    <n v="1"/>
    <d v="2023-07-11T19:38:00"/>
    <s v="N"/>
    <m/>
    <m/>
    <s v="Expert Disbursement"/>
    <m/>
    <s v="N"/>
    <n v="-72"/>
    <n v="0"/>
    <x v="7"/>
    <s v="VALIDATED"/>
    <n v="1"/>
    <s v="01.11.80.308.2013.0000"/>
    <n v="-72"/>
    <s v="11"/>
    <s v="2013"/>
    <n v="4198.72"/>
    <n v="-72"/>
    <s v="CREDITOR"/>
    <n v="0"/>
    <n v="0"/>
    <n v="-72"/>
    <n v="0"/>
    <n v="0"/>
  </r>
  <r>
    <n v="59643729"/>
    <s v="N"/>
    <n v="21361292"/>
    <s v="3000014040650001RC"/>
    <s v="CIVIL"/>
    <d v="2023-06-23T00:00:00"/>
    <d v="2023-07-11T19:38:00"/>
    <m/>
    <d v="2023-07-11T00:00:00"/>
    <n v="74"/>
    <n v="13208"/>
    <s v="59643729"/>
    <s v="59643729"/>
    <m/>
    <m/>
    <m/>
    <m/>
    <m/>
    <m/>
    <s v="SOLRECOUP"/>
    <s v="SOLRECOUP"/>
    <s v="POARECOUP"/>
    <n v="21361292"/>
    <n v="-216"/>
    <m/>
    <s v="Y"/>
    <n v="1"/>
    <d v="2023-07-11T19:38:00"/>
    <s v="N"/>
    <m/>
    <m/>
    <s v="Expert Disbursement"/>
    <m/>
    <s v="N"/>
    <n v="-180"/>
    <n v="0"/>
    <x v="7"/>
    <s v="VALIDATED"/>
    <n v="1"/>
    <s v="01.11.80.308.2013.0000"/>
    <n v="-180"/>
    <s v="11"/>
    <s v="2013"/>
    <n v="4198.72"/>
    <n v="-180"/>
    <s v="CREDITOR"/>
    <n v="0"/>
    <n v="0"/>
    <n v="-180"/>
    <n v="0"/>
    <n v="0"/>
  </r>
  <r>
    <n v="59643729"/>
    <s v="N"/>
    <n v="21361292"/>
    <s v="3000014040650001RC"/>
    <s v="CIVIL"/>
    <d v="2023-06-23T00:00:00"/>
    <d v="2023-07-11T19:38:00"/>
    <m/>
    <d v="2023-07-11T00:00:00"/>
    <n v="74"/>
    <n v="13208"/>
    <s v="59643729"/>
    <s v="59643729"/>
    <m/>
    <m/>
    <m/>
    <m/>
    <m/>
    <m/>
    <s v="SOLRECOUP"/>
    <s v="SOLRECOUP"/>
    <s v="POARECOUP"/>
    <n v="21361292"/>
    <n v="-216"/>
    <m/>
    <s v="Y"/>
    <n v="2"/>
    <d v="2023-07-11T19:38:00"/>
    <s v="N"/>
    <m/>
    <m/>
    <s v="Expert Disbursement"/>
    <m/>
    <s v="N"/>
    <n v="0"/>
    <n v="-36"/>
    <x v="7"/>
    <s v="VALIDATED"/>
    <n v="1"/>
    <s v="01.11.80.308.2013.0000"/>
    <n v="-36"/>
    <s v="11"/>
    <s v="2013"/>
    <n v="4198.72"/>
    <n v="-36"/>
    <s v="CREDITOR"/>
    <n v="0"/>
    <n v="0"/>
    <n v="-36"/>
    <n v="0"/>
    <n v="0"/>
  </r>
  <r>
    <n v="59643729"/>
    <s v="N"/>
    <n v="21361293"/>
    <s v="3000014040650011RC"/>
    <s v="CIVIL"/>
    <d v="2023-06-23T00:00:00"/>
    <d v="2023-07-11T19:38:00"/>
    <m/>
    <d v="2023-07-11T00:00:00"/>
    <n v="74"/>
    <n v="13208"/>
    <s v="59643729"/>
    <s v="59643729"/>
    <m/>
    <m/>
    <m/>
    <m/>
    <m/>
    <m/>
    <s v="SOLRECOUP"/>
    <s v="SOLRECOUP"/>
    <s v="POARECOUP"/>
    <n v="21361293"/>
    <n v="-220"/>
    <m/>
    <s v="Y"/>
    <n v="2"/>
    <d v="2023-07-11T19:38:00"/>
    <s v="N"/>
    <m/>
    <m/>
    <s v="Expert Disbursement"/>
    <m/>
    <s v="N"/>
    <n v="0"/>
    <n v="-36.67"/>
    <x v="7"/>
    <s v="VALIDATED"/>
    <n v="1"/>
    <s v="01.11.80.308.2013.0000"/>
    <n v="-36.67"/>
    <s v="11"/>
    <s v="2013"/>
    <n v="4198.72"/>
    <n v="-36.67"/>
    <s v="CREDITOR"/>
    <n v="0"/>
    <n v="0"/>
    <n v="-36.67"/>
    <n v="0"/>
    <n v="0"/>
  </r>
  <r>
    <n v="59643729"/>
    <s v="N"/>
    <n v="21361293"/>
    <s v="3000014040650011RC"/>
    <s v="CIVIL"/>
    <d v="2023-06-23T00:00:00"/>
    <d v="2023-07-11T19:38:00"/>
    <m/>
    <d v="2023-07-11T00:00:00"/>
    <n v="74"/>
    <n v="13208"/>
    <s v="59643729"/>
    <s v="59643729"/>
    <m/>
    <m/>
    <m/>
    <m/>
    <m/>
    <m/>
    <s v="SOLRECOUP"/>
    <s v="SOLRECOUP"/>
    <s v="POARECOUP"/>
    <n v="21361293"/>
    <n v="-220"/>
    <m/>
    <s v="Y"/>
    <n v="1"/>
    <d v="2023-07-11T19:38:00"/>
    <s v="N"/>
    <m/>
    <m/>
    <s v="Expert Disbursement"/>
    <m/>
    <s v="N"/>
    <n v="-183.33"/>
    <n v="0"/>
    <x v="7"/>
    <s v="VALIDATED"/>
    <n v="1"/>
    <s v="01.11.80.308.2013.0000"/>
    <n v="-183.33"/>
    <s v="11"/>
    <s v="2013"/>
    <n v="4198.72"/>
    <n v="-183.33"/>
    <s v="CREDITOR"/>
    <n v="0"/>
    <n v="0"/>
    <n v="-183.33"/>
    <n v="0"/>
    <n v="0"/>
  </r>
  <r>
    <n v="61784763"/>
    <s v="N"/>
    <n v="21343278"/>
    <s v="3000015859870002"/>
    <s v="CIVIL"/>
    <d v="2023-06-29T00:00:00"/>
    <d v="2023-07-07T19:03:00"/>
    <m/>
    <d v="2023-07-07T00:00:00"/>
    <n v="74"/>
    <n v="13208"/>
    <s v="61784763"/>
    <s v="61784763"/>
    <m/>
    <m/>
    <n v="22788478"/>
    <m/>
    <m/>
    <m/>
    <s v="SOLFIN"/>
    <s v="SOLFIN"/>
    <s v="CCMS"/>
    <n v="21343278"/>
    <n v="4219.18"/>
    <m/>
    <s v="N"/>
    <n v="8"/>
    <d v="2023-07-07T19:03:06"/>
    <s v="Y"/>
    <s v="Solicitors Fixed Fee"/>
    <s v="Public Law Children"/>
    <s v="Profit Cost"/>
    <s v="Alex hughes"/>
    <s v="Y"/>
    <n v="2013"/>
    <n v="402.6"/>
    <x v="9"/>
    <s v="VALIDATED"/>
    <n v="1"/>
    <s v="01.11.80.308.6100.0000"/>
    <n v="2013"/>
    <s v="11"/>
    <s v="6100"/>
    <n v="4198.72"/>
    <n v="2013"/>
    <s v="CREDITOR"/>
    <n v="0"/>
    <n v="0"/>
    <n v="0"/>
    <n v="0"/>
    <n v="2013"/>
  </r>
  <r>
    <n v="61784763"/>
    <s v="N"/>
    <n v="21343278"/>
    <s v="3000015859870002"/>
    <s v="CIVIL"/>
    <d v="2023-06-29T00:00:00"/>
    <d v="2023-07-07T19:03:00"/>
    <m/>
    <d v="2023-07-07T00:00:00"/>
    <n v="74"/>
    <n v="13208"/>
    <s v="61784763"/>
    <s v="61784763"/>
    <m/>
    <m/>
    <n v="22788478"/>
    <m/>
    <m/>
    <m/>
    <s v="SOLFIN"/>
    <s v="SOLFIN"/>
    <s v="CCMS"/>
    <n v="21343278"/>
    <n v="4219.18"/>
    <m/>
    <s v="N"/>
    <n v="2"/>
    <d v="2023-07-07T19:03:06"/>
    <s v="Y"/>
    <s v="Solicitor Travel Mileage"/>
    <s v="Public Law Children"/>
    <s v="Non Expert Disbursement"/>
    <s v="Helen Cojeen"/>
    <s v="Y"/>
    <n v="13.95"/>
    <n v="2.79"/>
    <x v="9"/>
    <s v="VALIDATED"/>
    <n v="1"/>
    <s v="01.11.80.308.6300.0000"/>
    <n v="13.95"/>
    <s v="11"/>
    <s v="6300"/>
    <n v="4198.72"/>
    <n v="13.95"/>
    <s v="CREDITOR"/>
    <n v="0"/>
    <n v="0"/>
    <n v="0"/>
    <n v="0"/>
    <n v="13.95"/>
  </r>
  <r>
    <n v="59643729"/>
    <s v="N"/>
    <n v="21361007"/>
    <s v="3000014040650012"/>
    <s v="CIVIL"/>
    <d v="2023-06-23T00:00:00"/>
    <d v="2023-07-11T19:00:25"/>
    <m/>
    <d v="2023-07-11T00:00:00"/>
    <n v="74"/>
    <n v="13208"/>
    <s v="59643729"/>
    <s v="59643729"/>
    <m/>
    <m/>
    <n v="22752390"/>
    <m/>
    <m/>
    <m/>
    <s v="SOLFIN"/>
    <s v="SOLFIN"/>
    <s v="CCMS"/>
    <n v="21361007"/>
    <n v="6001.39"/>
    <m/>
    <s v="N"/>
    <n v="2"/>
    <d v="2023-07-11T19:00:42"/>
    <s v="Y"/>
    <s v="Independent Social Worker"/>
    <s v="Public Law Children"/>
    <s v="Expert Disbursement"/>
    <s v="Marian McNeil"/>
    <s v="Y"/>
    <n v="220"/>
    <n v="0"/>
    <x v="7"/>
    <s v="VALIDATED"/>
    <n v="1"/>
    <s v="01.11.80.308.6300.0000"/>
    <n v="220"/>
    <s v="11"/>
    <s v="6300"/>
    <n v="4198.72"/>
    <n v="220"/>
    <s v="CREDITOR"/>
    <n v="0"/>
    <n v="0"/>
    <n v="0"/>
    <n v="0"/>
    <n v="220"/>
  </r>
  <r>
    <n v="59643729"/>
    <s v="N"/>
    <n v="21361007"/>
    <s v="3000014040650012"/>
    <s v="CIVIL"/>
    <d v="2023-06-23T00:00:00"/>
    <d v="2023-07-11T19:00:25"/>
    <m/>
    <d v="2023-07-11T00:00:00"/>
    <n v="74"/>
    <n v="13208"/>
    <s v="59643729"/>
    <s v="59643729"/>
    <m/>
    <m/>
    <n v="22752390"/>
    <m/>
    <m/>
    <m/>
    <s v="SOLFIN"/>
    <s v="SOLFIN"/>
    <s v="CCMS"/>
    <n v="21361007"/>
    <n v="6001.39"/>
    <m/>
    <s v="N"/>
    <n v="8"/>
    <d v="2023-07-11T19:00:42"/>
    <s v="Y"/>
    <s v="Hearing Unit 2.31 - 5.00 Hours"/>
    <s v="Public Law Children"/>
    <s v="Advocacy"/>
    <s v="Marian McNeil"/>
    <s v="Y"/>
    <n v="476.92"/>
    <n v="95.38"/>
    <x v="7"/>
    <s v="VALIDATED"/>
    <n v="1"/>
    <s v="01.11.80.308.6100.0000"/>
    <n v="476.92"/>
    <s v="11"/>
    <s v="6100"/>
    <n v="4198.72"/>
    <n v="476.92"/>
    <s v="CREDITOR"/>
    <n v="0"/>
    <n v="0"/>
    <n v="0"/>
    <n v="0"/>
    <n v="476.92"/>
  </r>
  <r>
    <n v="61784763"/>
    <s v="N"/>
    <n v="21343278"/>
    <s v="3000015859870002"/>
    <s v="CIVIL"/>
    <d v="2023-06-29T00:00:00"/>
    <d v="2023-07-07T19:03:00"/>
    <m/>
    <d v="2023-07-07T00:00:00"/>
    <n v="74"/>
    <n v="13208"/>
    <s v="61784763"/>
    <s v="61784763"/>
    <m/>
    <m/>
    <n v="22788478"/>
    <m/>
    <m/>
    <m/>
    <s v="SOLFIN"/>
    <s v="SOLFIN"/>
    <s v="CCMS"/>
    <n v="21343278"/>
    <n v="4219.18"/>
    <m/>
    <s v="N"/>
    <n v="7"/>
    <d v="2023-07-07T19:03:06"/>
    <s v="Y"/>
    <s v="Advocates Meeting"/>
    <s v="Public Law Children"/>
    <s v="Advocacy"/>
    <s v="Alex Hughes"/>
    <s v="Y"/>
    <n v="140.99"/>
    <n v="28.2"/>
    <x v="9"/>
    <s v="VALIDATED"/>
    <n v="1"/>
    <s v="01.11.80.308.6100.0000"/>
    <n v="140.99"/>
    <s v="11"/>
    <s v="6100"/>
    <n v="4198.72"/>
    <n v="140.99"/>
    <s v="CREDITOR"/>
    <n v="0"/>
    <n v="0"/>
    <n v="0"/>
    <n v="0"/>
    <n v="140.99"/>
  </r>
  <r>
    <n v="59643729"/>
    <s v="N"/>
    <n v="21361007"/>
    <s v="3000014040650012"/>
    <s v="CIVIL"/>
    <d v="2023-06-23T00:00:00"/>
    <d v="2023-07-11T19:00:25"/>
    <m/>
    <d v="2023-07-11T00:00:00"/>
    <n v="74"/>
    <n v="13208"/>
    <s v="59643729"/>
    <s v="59643729"/>
    <m/>
    <m/>
    <n v="22752390"/>
    <m/>
    <m/>
    <m/>
    <s v="SOLFIN"/>
    <s v="SOLFIN"/>
    <s v="CCMS"/>
    <n v="21361007"/>
    <n v="6001.39"/>
    <m/>
    <s v="N"/>
    <n v="7"/>
    <d v="2023-07-11T19:00:42"/>
    <s v="Y"/>
    <s v="Paediatrician"/>
    <s v="Public Law Children"/>
    <s v="Expert Disbursement"/>
    <s v="Marian McNeil"/>
    <s v="Y"/>
    <n v="540"/>
    <n v="108"/>
    <x v="7"/>
    <s v="VALIDATED"/>
    <n v="1"/>
    <s v="01.11.80.308.6300.0000"/>
    <n v="540"/>
    <s v="11"/>
    <s v="6300"/>
    <n v="4198.72"/>
    <n v="540"/>
    <s v="CREDITOR"/>
    <n v="0"/>
    <n v="0"/>
    <n v="0"/>
    <n v="0"/>
    <n v="540"/>
  </r>
  <r>
    <n v="62148374"/>
    <s v="N"/>
    <n v="21375504"/>
    <s v="3000016164680002"/>
    <s v="CIVIL"/>
    <d v="2023-06-27T00:00:00"/>
    <d v="2023-07-14T10:00:03"/>
    <m/>
    <d v="2023-07-14T00:00:00"/>
    <n v="74"/>
    <n v="13208"/>
    <s v="62148374"/>
    <s v="62148374"/>
    <m/>
    <m/>
    <n v="22773716"/>
    <m/>
    <m/>
    <m/>
    <s v="SOLPOA"/>
    <s v="SOLPOA"/>
    <s v="CCMS"/>
    <n v="21375504"/>
    <n v="33"/>
    <m/>
    <s v="N"/>
    <n v="1"/>
    <d v="2023-07-14T10:00:15"/>
    <s v="N"/>
    <s v="Expert Cost"/>
    <s v="Expert Cost"/>
    <s v="Expert Disbursement"/>
    <s v="marian mcneil"/>
    <s v="N"/>
    <n v="27.5"/>
    <n v="5.5"/>
    <x v="10"/>
    <s v="VALIDATED"/>
    <n v="1"/>
    <s v="01.11.80.308.2012.0000"/>
    <n v="27.5"/>
    <s v="11"/>
    <s v="2012"/>
    <n v="4198.72"/>
    <n v="27.5"/>
    <s v="CREDITOR"/>
    <n v="27.5"/>
    <n v="0"/>
    <n v="0"/>
    <n v="0"/>
    <n v="0"/>
  </r>
  <r>
    <n v="61784763"/>
    <s v="N"/>
    <n v="21343278"/>
    <s v="3000015859870002"/>
    <s v="CIVIL"/>
    <d v="2023-06-29T00:00:00"/>
    <d v="2023-07-07T19:03:00"/>
    <m/>
    <d v="2023-07-07T00:00:00"/>
    <n v="74"/>
    <n v="13208"/>
    <s v="61784763"/>
    <s v="61784763"/>
    <m/>
    <m/>
    <n v="22788478"/>
    <m/>
    <m/>
    <m/>
    <s v="SOLFIN"/>
    <s v="SOLFIN"/>
    <s v="CCMS"/>
    <n v="21343278"/>
    <n v="4219.18"/>
    <m/>
    <s v="N"/>
    <n v="1"/>
    <d v="2023-07-07T19:03:06"/>
    <s v="Y"/>
    <s v="Final Hearing Court Bundle/Advocate"/>
    <s v="Public Law Children"/>
    <s v="Advocacy"/>
    <s v="Helen Cojeen"/>
    <s v="Y"/>
    <n v="159.3"/>
    <n v="31.86"/>
    <x v="9"/>
    <s v="VALIDATED"/>
    <n v="1"/>
    <s v="01.11.80.308.6100.0000"/>
    <n v="159.3"/>
    <s v="11"/>
    <s v="6100"/>
    <n v="4198.72"/>
    <n v="159.3"/>
    <s v="CREDITOR"/>
    <n v="0"/>
    <n v="0"/>
    <n v="0"/>
    <n v="0"/>
    <n v="159.3"/>
  </r>
  <r>
    <n v="59643729"/>
    <s v="N"/>
    <n v="21361007"/>
    <s v="3000014040650012"/>
    <s v="CIVIL"/>
    <d v="2023-06-23T00:00:00"/>
    <d v="2023-07-11T19:00:25"/>
    <m/>
    <d v="2023-07-11T00:00:00"/>
    <n v="74"/>
    <n v="13208"/>
    <s v="59643729"/>
    <s v="59643729"/>
    <m/>
    <m/>
    <n v="22752390"/>
    <m/>
    <m/>
    <m/>
    <s v="SOLFIN"/>
    <s v="SOLFIN"/>
    <s v="CCMS"/>
    <n v="21361007"/>
    <n v="6001.39"/>
    <m/>
    <s v="N"/>
    <n v="9"/>
    <d v="2023-07-11T19:00:42"/>
    <s v="Y"/>
    <s v="Advocates Meeting"/>
    <s v="Public Law Children"/>
    <s v="Advocacy"/>
    <s v="Marian McNeil"/>
    <s v="Y"/>
    <n v="140.99"/>
    <n v="28.2"/>
    <x v="7"/>
    <s v="VALIDATED"/>
    <n v="1"/>
    <s v="01.11.80.308.6100.0000"/>
    <n v="140.99"/>
    <s v="11"/>
    <s v="6100"/>
    <n v="4198.72"/>
    <n v="140.99"/>
    <s v="CREDITOR"/>
    <n v="0"/>
    <n v="0"/>
    <n v="0"/>
    <n v="0"/>
    <n v="140.99"/>
  </r>
  <r>
    <n v="61784763"/>
    <s v="N"/>
    <n v="21343278"/>
    <s v="3000015859870002"/>
    <s v="CIVIL"/>
    <d v="2023-06-29T00:00:00"/>
    <d v="2023-07-07T19:03:00"/>
    <m/>
    <d v="2023-07-07T00:00:00"/>
    <n v="74"/>
    <n v="13208"/>
    <s v="61784763"/>
    <s v="61784763"/>
    <m/>
    <m/>
    <n v="22788478"/>
    <m/>
    <m/>
    <m/>
    <s v="SOLFIN"/>
    <s v="SOLFIN"/>
    <s v="CCMS"/>
    <n v="21343278"/>
    <n v="4219.18"/>
    <m/>
    <s v="N"/>
    <n v="3"/>
    <d v="2023-07-07T19:03:06"/>
    <s v="Y"/>
    <s v="Solicitor Travel Mileage"/>
    <s v="Public Law Children"/>
    <s v="Non Expert Disbursement"/>
    <s v="Helen Cojeen"/>
    <s v="Y"/>
    <n v="13.95"/>
    <n v="2.79"/>
    <x v="9"/>
    <s v="VALIDATED"/>
    <n v="1"/>
    <s v="01.11.80.308.6300.0000"/>
    <n v="13.95"/>
    <s v="11"/>
    <s v="6300"/>
    <n v="4198.72"/>
    <n v="13.95"/>
    <s v="CREDITOR"/>
    <n v="0"/>
    <n v="0"/>
    <n v="0"/>
    <n v="0"/>
    <n v="13.95"/>
  </r>
  <r>
    <n v="59643729"/>
    <s v="N"/>
    <n v="21361007"/>
    <s v="3000014040650012"/>
    <s v="CIVIL"/>
    <d v="2023-06-23T00:00:00"/>
    <d v="2023-07-11T19:00:25"/>
    <m/>
    <d v="2023-07-11T00:00:00"/>
    <n v="74"/>
    <n v="13208"/>
    <s v="59643729"/>
    <s v="59643729"/>
    <m/>
    <m/>
    <n v="22752390"/>
    <m/>
    <m/>
    <m/>
    <s v="SOLFIN"/>
    <s v="SOLFIN"/>
    <s v="CCMS"/>
    <n v="21361007"/>
    <n v="6001.39"/>
    <m/>
    <s v="N"/>
    <n v="3"/>
    <d v="2023-07-11T19:00:42"/>
    <s v="Y"/>
    <s v="Radiologist"/>
    <s v="Public Law Children"/>
    <s v="Expert Disbursement"/>
    <s v="Marian McNeil"/>
    <s v="Y"/>
    <n v="27"/>
    <n v="5.4"/>
    <x v="7"/>
    <s v="VALIDATED"/>
    <n v="1"/>
    <s v="01.11.80.308.6300.0000"/>
    <n v="27"/>
    <s v="11"/>
    <s v="6300"/>
    <n v="4198.72"/>
    <n v="27"/>
    <s v="CREDITOR"/>
    <n v="0"/>
    <n v="0"/>
    <n v="0"/>
    <n v="0"/>
    <n v="27"/>
  </r>
  <r>
    <n v="59643729"/>
    <s v="N"/>
    <n v="21361007"/>
    <s v="3000014040650012"/>
    <s v="CIVIL"/>
    <d v="2023-06-23T00:00:00"/>
    <d v="2023-07-11T19:00:25"/>
    <m/>
    <d v="2023-07-11T00:00:00"/>
    <n v="74"/>
    <n v="13208"/>
    <s v="59643729"/>
    <s v="59643729"/>
    <m/>
    <m/>
    <n v="22752390"/>
    <m/>
    <m/>
    <m/>
    <s v="SOLFIN"/>
    <s v="SOLFIN"/>
    <s v="CCMS"/>
    <n v="21361007"/>
    <n v="6001.39"/>
    <m/>
    <s v="N"/>
    <n v="1"/>
    <d v="2023-07-11T19:00:42"/>
    <s v="Y"/>
    <s v="Radiologist"/>
    <s v="Public Law Children"/>
    <s v="Expert Disbursement"/>
    <s v="Marian MCneil"/>
    <s v="Y"/>
    <n v="180"/>
    <n v="36"/>
    <x v="7"/>
    <s v="VALIDATED"/>
    <n v="1"/>
    <s v="01.11.80.308.6300.0000"/>
    <n v="180"/>
    <s v="11"/>
    <s v="6300"/>
    <n v="4198.72"/>
    <n v="180"/>
    <s v="CREDITOR"/>
    <n v="0"/>
    <n v="0"/>
    <n v="0"/>
    <n v="0"/>
    <n v="180"/>
  </r>
  <r>
    <n v="61784763"/>
    <s v="N"/>
    <n v="21343278"/>
    <s v="3000015859870002"/>
    <s v="CIVIL"/>
    <d v="2023-06-29T00:00:00"/>
    <d v="2023-07-07T19:03:00"/>
    <m/>
    <d v="2023-07-07T00:00:00"/>
    <n v="74"/>
    <n v="13208"/>
    <s v="61784763"/>
    <s v="61784763"/>
    <m/>
    <m/>
    <n v="22788478"/>
    <m/>
    <m/>
    <m/>
    <s v="SOLFIN"/>
    <s v="SOLFIN"/>
    <s v="CCMS"/>
    <n v="21343278"/>
    <n v="4219.18"/>
    <m/>
    <s v="N"/>
    <n v="4"/>
    <d v="2023-07-07T19:03:06"/>
    <s v="Y"/>
    <s v="Advocates Meeting"/>
    <s v="Public Law Children"/>
    <s v="Advocacy"/>
    <s v="Alex Hughes"/>
    <s v="Y"/>
    <n v="140.99"/>
    <n v="28.2"/>
    <x v="9"/>
    <s v="VALIDATED"/>
    <n v="1"/>
    <s v="01.11.80.308.6100.0000"/>
    <n v="140.99"/>
    <s v="11"/>
    <s v="6100"/>
    <n v="4198.72"/>
    <n v="140.99"/>
    <s v="CREDITOR"/>
    <n v="0"/>
    <n v="0"/>
    <n v="0"/>
    <n v="0"/>
    <n v="140.99"/>
  </r>
  <r>
    <n v="59643729"/>
    <s v="N"/>
    <n v="21361007"/>
    <s v="3000014040650012"/>
    <s v="CIVIL"/>
    <d v="2023-06-23T00:00:00"/>
    <d v="2023-07-11T19:00:25"/>
    <m/>
    <d v="2023-07-11T00:00:00"/>
    <n v="74"/>
    <n v="13208"/>
    <s v="59643729"/>
    <s v="59643729"/>
    <m/>
    <m/>
    <n v="22752390"/>
    <m/>
    <m/>
    <m/>
    <s v="SOLFIN"/>
    <s v="SOLFIN"/>
    <s v="CCMS"/>
    <n v="21361007"/>
    <n v="6001.39"/>
    <m/>
    <s v="N"/>
    <n v="11"/>
    <d v="2023-07-11T19:00:42"/>
    <s v="Y"/>
    <s v="Solicitors Fixed Fee"/>
    <s v="Public Law Children"/>
    <s v="Profit Cost"/>
    <s v="Marian McNeil"/>
    <s v="Y"/>
    <n v="2616"/>
    <n v="523.2"/>
    <x v="7"/>
    <s v="VALIDATED"/>
    <n v="1"/>
    <s v="01.11.80.308.6100.0000"/>
    <n v="2616"/>
    <s v="11"/>
    <s v="6100"/>
    <n v="4198.72"/>
    <n v="2616"/>
    <s v="CREDITOR"/>
    <n v="0"/>
    <n v="0"/>
    <n v="0"/>
    <n v="0"/>
    <n v="2616"/>
  </r>
  <r>
    <n v="59643729"/>
    <s v="N"/>
    <n v="21361007"/>
    <s v="3000014040650012"/>
    <s v="CIVIL"/>
    <d v="2023-06-23T00:00:00"/>
    <d v="2023-07-11T19:00:25"/>
    <m/>
    <d v="2023-07-11T00:00:00"/>
    <n v="74"/>
    <n v="13208"/>
    <s v="59643729"/>
    <s v="59643729"/>
    <m/>
    <m/>
    <n v="22752390"/>
    <m/>
    <m/>
    <m/>
    <s v="SOLFIN"/>
    <s v="SOLFIN"/>
    <s v="CCMS"/>
    <n v="21361007"/>
    <n v="6001.39"/>
    <m/>
    <s v="N"/>
    <n v="4"/>
    <d v="2023-07-11T19:00:42"/>
    <s v="Y"/>
    <s v="Paediatrician"/>
    <s v="Public Law Children"/>
    <s v="Expert Disbursement"/>
    <s v="Marian McNeil"/>
    <s v="Y"/>
    <n v="81"/>
    <n v="16.2"/>
    <x v="7"/>
    <s v="VALIDATED"/>
    <n v="1"/>
    <s v="01.11.80.308.6300.0000"/>
    <n v="81"/>
    <s v="11"/>
    <s v="6300"/>
    <n v="4198.72"/>
    <n v="81"/>
    <s v="CREDITOR"/>
    <n v="0"/>
    <n v="0"/>
    <n v="0"/>
    <n v="0"/>
    <n v="81"/>
  </r>
  <r>
    <n v="59643729"/>
    <s v="N"/>
    <n v="21361007"/>
    <s v="3000014040650012"/>
    <s v="CIVIL"/>
    <d v="2023-06-23T00:00:00"/>
    <d v="2023-07-11T19:00:25"/>
    <m/>
    <d v="2023-07-11T00:00:00"/>
    <n v="74"/>
    <n v="13208"/>
    <s v="59643729"/>
    <s v="59643729"/>
    <m/>
    <m/>
    <n v="22752390"/>
    <m/>
    <m/>
    <m/>
    <s v="SOLFIN"/>
    <s v="SOLFIN"/>
    <s v="CCMS"/>
    <n v="21361007"/>
    <n v="6001.39"/>
    <m/>
    <s v="N"/>
    <n v="5"/>
    <d v="2023-07-11T19:00:42"/>
    <s v="Y"/>
    <s v="Paediatrician"/>
    <s v="Public Law Children"/>
    <s v="Expert Disbursement"/>
    <s v="Marian Mcneil"/>
    <s v="Y"/>
    <n v="207"/>
    <n v="41.4"/>
    <x v="7"/>
    <s v="VALIDATED"/>
    <n v="1"/>
    <s v="01.11.80.308.6300.0000"/>
    <n v="207"/>
    <s v="11"/>
    <s v="6300"/>
    <n v="4198.72"/>
    <n v="207"/>
    <s v="CREDITOR"/>
    <n v="0"/>
    <n v="0"/>
    <n v="0"/>
    <n v="0"/>
    <n v="207"/>
  </r>
  <r>
    <n v="61784763"/>
    <s v="N"/>
    <n v="21343278"/>
    <s v="3000015859870002"/>
    <s v="CIVIL"/>
    <d v="2023-06-29T00:00:00"/>
    <d v="2023-07-07T19:03:00"/>
    <m/>
    <d v="2023-07-07T00:00:00"/>
    <n v="74"/>
    <n v="13208"/>
    <s v="61784763"/>
    <s v="61784763"/>
    <m/>
    <m/>
    <n v="22788478"/>
    <m/>
    <m/>
    <m/>
    <s v="SOLFIN"/>
    <s v="SOLFIN"/>
    <s v="CCMS"/>
    <n v="21343278"/>
    <n v="4219.18"/>
    <m/>
    <s v="N"/>
    <n v="5"/>
    <d v="2023-07-07T19:03:06"/>
    <s v="Y"/>
    <s v="Hearing Unit 2.31 - 5.00 Hours"/>
    <s v="Public Law Children"/>
    <s v="Advocacy"/>
    <s v="Helen Cojeen"/>
    <s v="Y"/>
    <n v="476.92"/>
    <n v="95.38"/>
    <x v="9"/>
    <s v="VALIDATED"/>
    <n v="1"/>
    <s v="01.11.80.308.6100.0000"/>
    <n v="476.92"/>
    <s v="11"/>
    <s v="6100"/>
    <n v="4198.72"/>
    <n v="476.92"/>
    <s v="CREDITOR"/>
    <n v="0"/>
    <n v="0"/>
    <n v="0"/>
    <n v="0"/>
    <n v="476.92"/>
  </r>
  <r>
    <n v="59643729"/>
    <s v="N"/>
    <n v="21361007"/>
    <s v="3000014040650012"/>
    <s v="CIVIL"/>
    <d v="2023-06-23T00:00:00"/>
    <d v="2023-07-11T19:00:25"/>
    <m/>
    <d v="2023-07-11T00:00:00"/>
    <n v="74"/>
    <n v="13208"/>
    <s v="59643729"/>
    <s v="59643729"/>
    <m/>
    <m/>
    <n v="22752390"/>
    <m/>
    <m/>
    <m/>
    <s v="SOLFIN"/>
    <s v="SOLFIN"/>
    <s v="CCMS"/>
    <n v="21361007"/>
    <n v="6001.39"/>
    <m/>
    <s v="N"/>
    <n v="6"/>
    <d v="2023-07-11T19:00:42"/>
    <s v="Y"/>
    <s v="Radiologist"/>
    <s v="Public Law Children"/>
    <s v="Expert Disbursement"/>
    <s v="Marian mcmneil"/>
    <s v="Y"/>
    <n v="72"/>
    <n v="14.4"/>
    <x v="7"/>
    <s v="VALIDATED"/>
    <n v="1"/>
    <s v="01.11.80.308.6300.0000"/>
    <n v="72"/>
    <s v="11"/>
    <s v="6300"/>
    <n v="4198.72"/>
    <n v="72"/>
    <s v="CREDITOR"/>
    <n v="0"/>
    <n v="0"/>
    <n v="0"/>
    <n v="0"/>
    <n v="72"/>
  </r>
  <r>
    <n v="59643729"/>
    <s v="N"/>
    <n v="21361007"/>
    <s v="3000014040650012"/>
    <s v="CIVIL"/>
    <d v="2023-06-23T00:00:00"/>
    <d v="2023-07-11T19:00:25"/>
    <m/>
    <d v="2023-07-11T00:00:00"/>
    <n v="74"/>
    <n v="13208"/>
    <s v="59643729"/>
    <s v="59643729"/>
    <m/>
    <m/>
    <n v="22752390"/>
    <m/>
    <m/>
    <m/>
    <s v="SOLFIN"/>
    <s v="SOLFIN"/>
    <s v="CCMS"/>
    <n v="21361007"/>
    <n v="6001.39"/>
    <m/>
    <s v="N"/>
    <n v="10"/>
    <d v="2023-07-11T19:00:42"/>
    <s v="Y"/>
    <s v="Hearing Unit 2.31 - 5.00 Hours"/>
    <s v="Public Law Children"/>
    <s v="Advocacy"/>
    <s v="Marian McNeil"/>
    <s v="Y"/>
    <n v="476.92"/>
    <n v="95.38"/>
    <x v="7"/>
    <s v="VALIDATED"/>
    <n v="1"/>
    <s v="01.11.80.308.6100.0000"/>
    <n v="476.92"/>
    <s v="11"/>
    <s v="6100"/>
    <n v="4198.72"/>
    <n v="476.92"/>
    <s v="CREDITOR"/>
    <n v="0"/>
    <n v="0"/>
    <n v="0"/>
    <n v="0"/>
    <n v="476.92"/>
  </r>
  <r>
    <n v="19754562"/>
    <s v="N"/>
    <n v="21366218"/>
    <s v="3000008323110001RC"/>
    <s v="CIVIL"/>
    <d v="2023-06-28T00:00:00"/>
    <d v="2023-07-12T19:45:17"/>
    <m/>
    <d v="2023-07-12T00:00:00"/>
    <n v="74"/>
    <n v="13208"/>
    <s v="19754562"/>
    <s v="19754562"/>
    <m/>
    <m/>
    <m/>
    <m/>
    <m/>
    <m/>
    <s v="SOLRECOUP"/>
    <s v="SOLRECOUP"/>
    <s v="POARECOUP"/>
    <n v="21366218"/>
    <n v="-191.28"/>
    <m/>
    <s v="Y"/>
    <n v="1"/>
    <d v="2023-07-12T19:45:17"/>
    <s v="N"/>
    <m/>
    <m/>
    <s v="Expert Disbursement"/>
    <m/>
    <s v="N"/>
    <n v="-159.4"/>
    <n v="0"/>
    <x v="0"/>
    <s v="VALIDATED"/>
    <n v="1"/>
    <s v="01.11.80.308.2013.0000"/>
    <n v="-159.4"/>
    <s v="11"/>
    <s v="2013"/>
    <n v="4198.72"/>
    <n v="-159.4"/>
    <s v="CREDITOR"/>
    <n v="0"/>
    <n v="0"/>
    <n v="-159.4"/>
    <n v="0"/>
    <n v="0"/>
  </r>
  <r>
    <n v="59658783"/>
    <s v="N"/>
    <n v="21319030"/>
    <s v="3000014037350004"/>
    <s v="CIVIL"/>
    <d v="2023-06-23T00:00:00"/>
    <d v="2023-07-03T19:01:49"/>
    <m/>
    <d v="2023-07-03T00:00:00"/>
    <n v="86"/>
    <n v="13296"/>
    <s v="59658783"/>
    <s v="59658783"/>
    <m/>
    <m/>
    <n v="22750356"/>
    <m/>
    <m/>
    <m/>
    <s v="SOLFIN"/>
    <s v="SOLFIN"/>
    <s v="CCMS"/>
    <n v="21319030"/>
    <n v="9119.74"/>
    <m/>
    <s v="N"/>
    <n v="1"/>
    <d v="2023-07-03T19:02:08"/>
    <s v="Y"/>
    <s v="Police Records"/>
    <s v="Prescribed Hourly Rates"/>
    <s v="Non Expert Disbursement"/>
    <s v="LS"/>
    <s v="Y"/>
    <n v="91.8"/>
    <n v="0"/>
    <x v="3"/>
    <s v="VALIDATED"/>
    <n v="1"/>
    <s v="01.11.80.307.6300.0000"/>
    <n v="91.8"/>
    <s v="11"/>
    <s v="6300"/>
    <n v="13812.43"/>
    <n v="91.8"/>
    <s v="CREDITOR"/>
    <n v="0"/>
    <n v="0"/>
    <n v="0"/>
    <n v="0"/>
    <n v="91.8"/>
  </r>
  <r>
    <n v="59658783"/>
    <s v="N"/>
    <n v="21319030"/>
    <s v="3000014037350004"/>
    <s v="CIVIL"/>
    <d v="2023-06-23T00:00:00"/>
    <d v="2023-07-03T19:01:49"/>
    <m/>
    <d v="2023-07-03T00:00:00"/>
    <n v="86"/>
    <n v="13296"/>
    <s v="59658783"/>
    <s v="59658783"/>
    <m/>
    <m/>
    <n v="22750356"/>
    <m/>
    <m/>
    <m/>
    <s v="SOLFIN"/>
    <s v="SOLFIN"/>
    <s v="CCMS"/>
    <n v="21319030"/>
    <n v="9119.74"/>
    <m/>
    <s v="N"/>
    <n v="85"/>
    <d v="2023-07-03T19:02:08"/>
    <s v="Y"/>
    <s v="Preparation - other"/>
    <s v="Prescribed Hourly Rates"/>
    <s v="Profit Cost"/>
    <s v="LS"/>
    <s v="Y"/>
    <n v="27.45"/>
    <n v="5.49"/>
    <x v="3"/>
    <s v="VALIDATED"/>
    <n v="1"/>
    <s v="01.11.80.307.6100.0000"/>
    <n v="27.45"/>
    <s v="11"/>
    <s v="6100"/>
    <n v="13812.43"/>
    <n v="27.45"/>
    <s v="CREDITOR"/>
    <n v="0"/>
    <n v="0"/>
    <n v="0"/>
    <n v="0"/>
    <n v="27.45"/>
  </r>
  <r>
    <n v="59658783"/>
    <s v="N"/>
    <n v="21319030"/>
    <s v="3000014037350004"/>
    <s v="CIVIL"/>
    <d v="2023-06-23T00:00:00"/>
    <d v="2023-07-03T19:01:49"/>
    <m/>
    <d v="2023-07-03T00:00:00"/>
    <n v="86"/>
    <n v="13296"/>
    <s v="59658783"/>
    <s v="59658783"/>
    <m/>
    <m/>
    <n v="22750356"/>
    <m/>
    <m/>
    <m/>
    <s v="SOLFIN"/>
    <s v="SOLFIN"/>
    <s v="CCMS"/>
    <n v="21319030"/>
    <n v="9119.74"/>
    <m/>
    <s v="N"/>
    <n v="3"/>
    <d v="2023-07-03T19:02:08"/>
    <s v="N"/>
    <s v="Level 3 &amp; Level 4 Fixed Fee"/>
    <s v="Private Law Children"/>
    <s v="Profit Cost"/>
    <s v="LS"/>
    <s v="N"/>
    <n v="0"/>
    <n v="0"/>
    <x v="3"/>
    <s v="VALIDATED"/>
    <n v="1"/>
    <s v="01.11.80.307.6100.0000"/>
    <n v="0"/>
    <s v="11"/>
    <s v="6100"/>
    <n v="13812.43"/>
    <n v="0"/>
    <s v="CREDITOR"/>
    <n v="0"/>
    <n v="0"/>
    <n v="0"/>
    <n v="0"/>
    <n v="0"/>
  </r>
  <r>
    <n v="59658783"/>
    <s v="N"/>
    <n v="21319030"/>
    <s v="3000014037350004"/>
    <s v="CIVIL"/>
    <d v="2023-06-23T00:00:00"/>
    <d v="2023-07-03T19:01:49"/>
    <m/>
    <d v="2023-07-03T00:00:00"/>
    <n v="86"/>
    <n v="13296"/>
    <s v="59658783"/>
    <s v="59658783"/>
    <m/>
    <m/>
    <n v="22750356"/>
    <m/>
    <m/>
    <m/>
    <s v="SOLFIN"/>
    <s v="SOLFIN"/>
    <s v="CCMS"/>
    <n v="21319030"/>
    <n v="9119.74"/>
    <m/>
    <s v="N"/>
    <n v="19"/>
    <d v="2023-07-03T19:02:08"/>
    <s v="Y"/>
    <s v="Preparation - other"/>
    <s v="Prescribed Hourly Rates"/>
    <s v="Profit Cost"/>
    <s v="LS"/>
    <s v="Y"/>
    <n v="13.73"/>
    <n v="2.75"/>
    <x v="3"/>
    <s v="VALIDATED"/>
    <n v="1"/>
    <s v="01.11.80.307.6100.0000"/>
    <n v="13.73"/>
    <s v="11"/>
    <s v="6100"/>
    <n v="13812.43"/>
    <n v="13.73"/>
    <s v="CREDITOR"/>
    <n v="0"/>
    <n v="0"/>
    <n v="0"/>
    <n v="0"/>
    <n v="13.73"/>
  </r>
  <r>
    <n v="59855538"/>
    <s v="N"/>
    <n v="21331006"/>
    <s v="3000014217750007"/>
    <s v="CIVIL"/>
    <d v="2023-06-23T00:00:00"/>
    <d v="2023-07-05T19:01:47"/>
    <m/>
    <d v="2023-07-05T00:00:00"/>
    <n v="86"/>
    <n v="13296"/>
    <s v="59855538"/>
    <s v="59855538"/>
    <m/>
    <m/>
    <n v="22749192"/>
    <m/>
    <m/>
    <m/>
    <s v="SOLFIN"/>
    <s v="SOLFIN"/>
    <s v="CCMS"/>
    <n v="21331006"/>
    <n v="10147.2"/>
    <m/>
    <s v="N"/>
    <n v="12"/>
    <d v="2023-07-05T19:02:01"/>
    <s v="Y"/>
    <s v="Hearing Unit 2.31 - 5.00 Hours"/>
    <s v="Public Law Children"/>
    <s v="Advocacy"/>
    <s v="Patsy Sayers"/>
    <s v="Y"/>
    <n v="596.15"/>
    <n v="119.23"/>
    <x v="6"/>
    <s v="VALIDATED"/>
    <n v="1"/>
    <s v="01.11.80.308.6100.0000"/>
    <n v="596.15"/>
    <s v="11"/>
    <s v="6100"/>
    <n v="13812.43"/>
    <n v="596.15"/>
    <s v="CREDITOR"/>
    <n v="0"/>
    <n v="0"/>
    <n v="0"/>
    <n v="0"/>
    <n v="596.15"/>
  </r>
  <r>
    <n v="59658783"/>
    <s v="N"/>
    <n v="21319030"/>
    <s v="3000014037350004"/>
    <s v="CIVIL"/>
    <d v="2023-06-23T00:00:00"/>
    <d v="2023-07-03T19:01:49"/>
    <m/>
    <d v="2023-07-03T00:00:00"/>
    <n v="86"/>
    <n v="13296"/>
    <s v="59658783"/>
    <s v="59658783"/>
    <m/>
    <m/>
    <n v="22750356"/>
    <m/>
    <m/>
    <m/>
    <s v="SOLFIN"/>
    <s v="SOLFIN"/>
    <s v="CCMS"/>
    <n v="21319030"/>
    <n v="9119.74"/>
    <m/>
    <s v="N"/>
    <n v="52"/>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111"/>
    <d v="2023-07-03T19:02:08"/>
    <s v="Y"/>
    <s v="Routine Letter Out"/>
    <s v="Prescribed Hourly Rates"/>
    <s v="Profit Cost"/>
    <s v="LS"/>
    <s v="Y"/>
    <n v="1215"/>
    <n v="242.96"/>
    <x v="3"/>
    <s v="VALIDATED"/>
    <n v="1"/>
    <s v="01.11.80.307.6100.0000"/>
    <n v="1215"/>
    <s v="11"/>
    <s v="6100"/>
    <n v="13812.43"/>
    <n v="1215"/>
    <s v="CREDITOR"/>
    <n v="0"/>
    <n v="0"/>
    <n v="0"/>
    <n v="0"/>
    <n v="1215"/>
  </r>
  <r>
    <n v="59658783"/>
    <s v="N"/>
    <n v="21319030"/>
    <s v="3000014037350004"/>
    <s v="CIVIL"/>
    <d v="2023-06-23T00:00:00"/>
    <d v="2023-07-03T19:01:49"/>
    <m/>
    <d v="2023-07-03T00:00:00"/>
    <n v="86"/>
    <n v="13296"/>
    <s v="59658783"/>
    <s v="59658783"/>
    <m/>
    <m/>
    <n v="22750356"/>
    <m/>
    <m/>
    <m/>
    <s v="SOLFIN"/>
    <s v="SOLFIN"/>
    <s v="CCMS"/>
    <n v="21319030"/>
    <n v="9119.74"/>
    <m/>
    <s v="N"/>
    <n v="45"/>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6"/>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0"/>
    <d v="2023-07-03T19:02:08"/>
    <s v="Y"/>
    <s v="Preparation - other"/>
    <s v="Prescribed Hourly Rates"/>
    <s v="Profit Cost"/>
    <s v="LS"/>
    <s v="Y"/>
    <n v="27.45"/>
    <n v="5.49"/>
    <x v="3"/>
    <s v="VALIDATED"/>
    <n v="1"/>
    <s v="01.11.80.307.6100.0000"/>
    <n v="27.45"/>
    <s v="11"/>
    <s v="6100"/>
    <n v="13812.43"/>
    <n v="27.45"/>
    <s v="CREDITOR"/>
    <n v="0"/>
    <n v="0"/>
    <n v="0"/>
    <n v="0"/>
    <n v="27.45"/>
  </r>
  <r>
    <n v="59855538"/>
    <s v="N"/>
    <n v="21331006"/>
    <s v="3000014217750007"/>
    <s v="CIVIL"/>
    <d v="2023-06-23T00:00:00"/>
    <d v="2023-07-05T19:01:47"/>
    <m/>
    <d v="2023-07-05T00:00:00"/>
    <n v="86"/>
    <n v="13296"/>
    <s v="59855538"/>
    <s v="59855538"/>
    <m/>
    <m/>
    <n v="22749192"/>
    <m/>
    <m/>
    <m/>
    <s v="SOLFIN"/>
    <s v="SOLFIN"/>
    <s v="CCMS"/>
    <n v="21331006"/>
    <n v="10147.2"/>
    <m/>
    <s v="N"/>
    <n v="4"/>
    <d v="2023-07-05T19:02:01"/>
    <s v="Y"/>
    <s v="Final Hearing Court Bundle/Advocate"/>
    <s v="Public Law Children"/>
    <s v="Advocacy"/>
    <s v="Patsy Sayers"/>
    <s v="Y"/>
    <n v="318.6"/>
    <n v="63.72"/>
    <x v="6"/>
    <s v="VALIDATED"/>
    <n v="1"/>
    <s v="01.11.80.308.6100.0000"/>
    <n v="318.6"/>
    <s v="11"/>
    <s v="6100"/>
    <n v="13812.43"/>
    <n v="318.6"/>
    <s v="CREDITOR"/>
    <n v="0"/>
    <n v="0"/>
    <n v="0"/>
    <n v="0"/>
    <n v="318.6"/>
  </r>
  <r>
    <n v="59855538"/>
    <s v="N"/>
    <n v="21331006"/>
    <s v="3000014217750007"/>
    <s v="CIVIL"/>
    <d v="2023-06-23T00:00:00"/>
    <d v="2023-07-05T19:01:47"/>
    <m/>
    <d v="2023-07-05T00:00:00"/>
    <n v="86"/>
    <n v="13296"/>
    <s v="59855538"/>
    <s v="59855538"/>
    <m/>
    <m/>
    <n v="22749192"/>
    <m/>
    <m/>
    <m/>
    <s v="SOLFIN"/>
    <s v="SOLFIN"/>
    <s v="CCMS"/>
    <n v="21331006"/>
    <n v="10147.2"/>
    <m/>
    <s v="N"/>
    <n v="6"/>
    <d v="2023-07-05T19:02:01"/>
    <s v="Y"/>
    <s v="Radiologist"/>
    <s v="Public Law Children"/>
    <s v="Expert Disbursement"/>
    <s v="Patsy Sayers"/>
    <s v="Y"/>
    <n v="270"/>
    <n v="54"/>
    <x v="6"/>
    <s v="VALIDATED"/>
    <n v="1"/>
    <s v="01.11.80.308.6300.0000"/>
    <n v="270"/>
    <s v="11"/>
    <s v="6300"/>
    <n v="13812.43"/>
    <n v="270"/>
    <s v="CREDITOR"/>
    <n v="0"/>
    <n v="0"/>
    <n v="0"/>
    <n v="0"/>
    <n v="270"/>
  </r>
  <r>
    <n v="59658783"/>
    <s v="N"/>
    <n v="21319030"/>
    <s v="3000014037350004"/>
    <s v="CIVIL"/>
    <d v="2023-06-23T00:00:00"/>
    <d v="2023-07-03T19:01:49"/>
    <m/>
    <d v="2023-07-03T00:00:00"/>
    <n v="86"/>
    <n v="13296"/>
    <s v="59658783"/>
    <s v="59658783"/>
    <m/>
    <m/>
    <n v="22750356"/>
    <m/>
    <m/>
    <m/>
    <s v="SOLFIN"/>
    <s v="SOLFIN"/>
    <s v="CCMS"/>
    <n v="21319030"/>
    <n v="9119.74"/>
    <m/>
    <s v="N"/>
    <n v="63"/>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64"/>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16"/>
    <d v="2023-07-03T19:02:08"/>
    <s v="Y"/>
    <s v="Preparation - other"/>
    <s v="Prescribed Hourly Rates"/>
    <s v="Profit Cost"/>
    <s v="LS"/>
    <s v="Y"/>
    <n v="34.31"/>
    <n v="6.86"/>
    <x v="3"/>
    <s v="VALIDATED"/>
    <n v="1"/>
    <s v="01.11.80.307.6100.0000"/>
    <n v="34.31"/>
    <s v="11"/>
    <s v="6100"/>
    <n v="13812.43"/>
    <n v="34.31"/>
    <s v="CREDITOR"/>
    <n v="0"/>
    <n v="0"/>
    <n v="0"/>
    <n v="0"/>
    <n v="34.31"/>
  </r>
  <r>
    <n v="59658783"/>
    <s v="N"/>
    <n v="21319030"/>
    <s v="3000014037350004"/>
    <s v="CIVIL"/>
    <d v="2023-06-23T00:00:00"/>
    <d v="2023-07-03T19:01:49"/>
    <m/>
    <d v="2023-07-03T00:00:00"/>
    <n v="86"/>
    <n v="13296"/>
    <s v="59658783"/>
    <s v="59658783"/>
    <m/>
    <m/>
    <n v="22750356"/>
    <m/>
    <m/>
    <m/>
    <s v="SOLFIN"/>
    <s v="SOLFIN"/>
    <s v="CCMS"/>
    <n v="21319030"/>
    <n v="9119.74"/>
    <m/>
    <s v="N"/>
    <n v="24"/>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80"/>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90"/>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105"/>
    <d v="2023-07-03T19:02:08"/>
    <s v="Y"/>
    <s v="Preparation - other"/>
    <s v="Prescribed Hourly Rates"/>
    <s v="Profit Cost"/>
    <s v="LS"/>
    <s v="Y"/>
    <n v="34.31"/>
    <n v="6.86"/>
    <x v="3"/>
    <s v="VALIDATED"/>
    <n v="1"/>
    <s v="01.11.80.307.6100.0000"/>
    <n v="34.31"/>
    <s v="11"/>
    <s v="6100"/>
    <n v="13812.43"/>
    <n v="34.31"/>
    <s v="CREDITOR"/>
    <n v="0"/>
    <n v="0"/>
    <n v="0"/>
    <n v="0"/>
    <n v="34.31"/>
  </r>
  <r>
    <n v="59658783"/>
    <s v="N"/>
    <n v="21319030"/>
    <s v="3000014037350004"/>
    <s v="CIVIL"/>
    <d v="2023-06-23T00:00:00"/>
    <d v="2023-07-03T19:01:49"/>
    <m/>
    <d v="2023-07-03T00:00:00"/>
    <n v="86"/>
    <n v="13296"/>
    <s v="59658783"/>
    <s v="59658783"/>
    <m/>
    <m/>
    <n v="22750356"/>
    <m/>
    <m/>
    <m/>
    <s v="SOLFIN"/>
    <s v="SOLFIN"/>
    <s v="CCMS"/>
    <n v="21319030"/>
    <n v="9119.74"/>
    <m/>
    <s v="N"/>
    <n v="59"/>
    <d v="2023-07-03T19:02:08"/>
    <s v="Y"/>
    <s v="Preparation - other"/>
    <s v="Prescribed Hourly Rates"/>
    <s v="Profit Cost"/>
    <s v="LS"/>
    <s v="Y"/>
    <n v="20.59"/>
    <n v="4.12"/>
    <x v="3"/>
    <s v="VALIDATED"/>
    <n v="1"/>
    <s v="01.11.80.307.6100.0000"/>
    <n v="20.59"/>
    <s v="11"/>
    <s v="6100"/>
    <n v="13812.43"/>
    <n v="20.59"/>
    <s v="CREDITOR"/>
    <n v="0"/>
    <n v="0"/>
    <n v="0"/>
    <n v="0"/>
    <n v="20.59"/>
  </r>
  <r>
    <n v="59855538"/>
    <s v="N"/>
    <n v="21331006"/>
    <s v="3000014217750007"/>
    <s v="CIVIL"/>
    <d v="2023-06-23T00:00:00"/>
    <d v="2023-07-05T19:01:47"/>
    <m/>
    <d v="2023-07-05T00:00:00"/>
    <n v="86"/>
    <n v="13296"/>
    <s v="59855538"/>
    <s v="59855538"/>
    <m/>
    <m/>
    <n v="22749192"/>
    <m/>
    <m/>
    <m/>
    <s v="SOLFIN"/>
    <s v="SOLFIN"/>
    <s v="CCMS"/>
    <n v="21331006"/>
    <n v="10147.2"/>
    <m/>
    <s v="N"/>
    <n v="1"/>
    <d v="2023-07-05T19:02:01"/>
    <s v="Y"/>
    <s v="Interim Hearing Court Bundle/Advoca"/>
    <s v="Public Law Children"/>
    <s v="Advocacy"/>
    <s v="Patsy Sayers"/>
    <s v="Y"/>
    <n v="89.09999999999999"/>
    <n v="17.82"/>
    <x v="6"/>
    <s v="VALIDATED"/>
    <n v="1"/>
    <s v="01.11.80.308.6100.0000"/>
    <n v="89.09999999999999"/>
    <s v="11"/>
    <s v="6100"/>
    <n v="13812.43"/>
    <n v="89.09999999999999"/>
    <s v="CREDITOR"/>
    <n v="0"/>
    <n v="0"/>
    <n v="0"/>
    <n v="0"/>
    <n v="89.09999999999999"/>
  </r>
  <r>
    <n v="59658783"/>
    <s v="N"/>
    <n v="21319030"/>
    <s v="3000014037350004"/>
    <s v="CIVIL"/>
    <d v="2023-06-23T00:00:00"/>
    <d v="2023-07-03T19:01:49"/>
    <m/>
    <d v="2023-07-03T00:00:00"/>
    <n v="86"/>
    <n v="13296"/>
    <s v="59658783"/>
    <s v="59658783"/>
    <m/>
    <m/>
    <n v="22750356"/>
    <m/>
    <m/>
    <m/>
    <s v="SOLFIN"/>
    <s v="SOLFIN"/>
    <s v="CCMS"/>
    <n v="21319030"/>
    <n v="9119.74"/>
    <m/>
    <s v="N"/>
    <n v="25"/>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38"/>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9"/>
    <d v="2023-07-03T19:02:08"/>
    <s v="Y"/>
    <s v="Preparation - other"/>
    <s v="Prescribed Hourly Rates"/>
    <s v="Profit Cost"/>
    <s v="LS"/>
    <s v="Y"/>
    <n v="27.45"/>
    <n v="5.49"/>
    <x v="3"/>
    <s v="VALIDATED"/>
    <n v="1"/>
    <s v="01.11.80.307.6100.0000"/>
    <n v="27.45"/>
    <s v="11"/>
    <s v="6100"/>
    <n v="13812.43"/>
    <n v="27.45"/>
    <s v="CREDITOR"/>
    <n v="0"/>
    <n v="0"/>
    <n v="0"/>
    <n v="0"/>
    <n v="27.45"/>
  </r>
  <r>
    <n v="59658783"/>
    <s v="N"/>
    <n v="21319030"/>
    <s v="3000014037350004"/>
    <s v="CIVIL"/>
    <d v="2023-06-23T00:00:00"/>
    <d v="2023-07-03T19:01:49"/>
    <m/>
    <d v="2023-07-03T00:00:00"/>
    <n v="86"/>
    <n v="13296"/>
    <s v="59658783"/>
    <s v="59658783"/>
    <m/>
    <m/>
    <n v="22750356"/>
    <m/>
    <m/>
    <m/>
    <s v="SOLFIN"/>
    <s v="SOLFIN"/>
    <s v="CCMS"/>
    <n v="21319030"/>
    <n v="9119.74"/>
    <m/>
    <s v="N"/>
    <n v="44"/>
    <d v="2023-07-03T19:02:08"/>
    <s v="Y"/>
    <s v="Preparation - other"/>
    <s v="Prescribed Hourly Rates"/>
    <s v="Profit Cost"/>
    <s v="LS"/>
    <s v="Y"/>
    <n v="34.31"/>
    <n v="6.86"/>
    <x v="3"/>
    <s v="VALIDATED"/>
    <n v="1"/>
    <s v="01.11.80.307.6100.0000"/>
    <n v="34.31"/>
    <s v="11"/>
    <s v="6100"/>
    <n v="13812.43"/>
    <n v="34.31"/>
    <s v="CREDITOR"/>
    <n v="0"/>
    <n v="0"/>
    <n v="0"/>
    <n v="0"/>
    <n v="34.31"/>
  </r>
  <r>
    <n v="59658783"/>
    <s v="N"/>
    <n v="21319030"/>
    <s v="3000014037350004"/>
    <s v="CIVIL"/>
    <d v="2023-06-23T00:00:00"/>
    <d v="2023-07-03T19:01:49"/>
    <m/>
    <d v="2023-07-03T00:00:00"/>
    <n v="86"/>
    <n v="13296"/>
    <s v="59658783"/>
    <s v="59658783"/>
    <m/>
    <m/>
    <n v="22750356"/>
    <m/>
    <m/>
    <m/>
    <s v="SOLFIN"/>
    <s v="SOLFIN"/>
    <s v="CCMS"/>
    <n v="21319030"/>
    <n v="9119.74"/>
    <m/>
    <s v="N"/>
    <n v="53"/>
    <d v="2023-07-03T19:02:08"/>
    <s v="Y"/>
    <s v="Preparation - drafting instructions"/>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65"/>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78"/>
    <d v="2023-07-03T19:02:08"/>
    <s v="Y"/>
    <s v="Preparation - drafting statement"/>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12"/>
    <d v="2023-07-03T19:02:08"/>
    <s v="Y"/>
    <s v="Routine Letter In"/>
    <s v="Prescribed Hourly Rates"/>
    <s v="Profit Cost"/>
    <s v="LS"/>
    <s v="Y"/>
    <n v="774.9"/>
    <n v="155"/>
    <x v="3"/>
    <s v="VALIDATED"/>
    <n v="1"/>
    <s v="01.11.80.307.6100.0000"/>
    <n v="774.9"/>
    <s v="11"/>
    <s v="6100"/>
    <n v="13812.43"/>
    <n v="774.9"/>
    <s v="CREDITOR"/>
    <n v="0"/>
    <n v="0"/>
    <n v="0"/>
    <n v="0"/>
    <n v="774.9"/>
  </r>
  <r>
    <n v="59658783"/>
    <s v="N"/>
    <n v="21319030"/>
    <s v="3000014037350004"/>
    <s v="CIVIL"/>
    <d v="2023-06-23T00:00:00"/>
    <d v="2023-07-03T19:01:49"/>
    <m/>
    <d v="2023-07-03T00:00:00"/>
    <n v="86"/>
    <n v="13296"/>
    <s v="59658783"/>
    <s v="59658783"/>
    <m/>
    <m/>
    <n v="22750356"/>
    <m/>
    <m/>
    <m/>
    <s v="SOLFIN"/>
    <s v="SOLFIN"/>
    <s v="CCMS"/>
    <n v="21319030"/>
    <n v="9119.74"/>
    <m/>
    <s v="N"/>
    <n v="33"/>
    <d v="2023-07-03T19:02:08"/>
    <s v="Y"/>
    <s v="Preparation - other"/>
    <s v="Prescribed Hourly Rates"/>
    <s v="Profit Cost"/>
    <s v="LS"/>
    <s v="Y"/>
    <n v="48.04"/>
    <n v="9.609999999999999"/>
    <x v="3"/>
    <s v="VALIDATED"/>
    <n v="1"/>
    <s v="01.11.80.307.6100.0000"/>
    <n v="48.04"/>
    <s v="11"/>
    <s v="6100"/>
    <n v="13812.43"/>
    <n v="48.04"/>
    <s v="CREDITOR"/>
    <n v="0"/>
    <n v="0"/>
    <n v="0"/>
    <n v="0"/>
    <n v="48.04"/>
  </r>
  <r>
    <n v="59658783"/>
    <s v="N"/>
    <n v="21319030"/>
    <s v="3000014037350004"/>
    <s v="CIVIL"/>
    <d v="2023-06-23T00:00:00"/>
    <d v="2023-07-03T19:01:49"/>
    <m/>
    <d v="2023-07-03T00:00:00"/>
    <n v="86"/>
    <n v="13296"/>
    <s v="59658783"/>
    <s v="59658783"/>
    <m/>
    <m/>
    <n v="22750356"/>
    <m/>
    <m/>
    <m/>
    <s v="SOLFIN"/>
    <s v="SOLFIN"/>
    <s v="CCMS"/>
    <n v="21319030"/>
    <n v="9119.74"/>
    <m/>
    <s v="N"/>
    <n v="66"/>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99"/>
    <d v="2023-07-03T19:02:08"/>
    <s v="Y"/>
    <s v="Preparation - other"/>
    <s v="Prescribed Hourly Rates"/>
    <s v="Profit Cost"/>
    <s v="LS"/>
    <s v="Y"/>
    <n v="20.59"/>
    <n v="4.12"/>
    <x v="3"/>
    <s v="VALIDATED"/>
    <n v="1"/>
    <s v="01.11.80.307.6100.0000"/>
    <n v="20.59"/>
    <s v="11"/>
    <s v="6100"/>
    <n v="13812.43"/>
    <n v="20.59"/>
    <s v="CREDITOR"/>
    <n v="0"/>
    <n v="0"/>
    <n v="0"/>
    <n v="0"/>
    <n v="20.59"/>
  </r>
  <r>
    <n v="59855538"/>
    <s v="N"/>
    <n v="21331006"/>
    <s v="3000014217750007"/>
    <s v="CIVIL"/>
    <d v="2023-06-23T00:00:00"/>
    <d v="2023-07-05T19:01:47"/>
    <m/>
    <d v="2023-07-05T00:00:00"/>
    <n v="86"/>
    <n v="13296"/>
    <s v="59855538"/>
    <s v="59855538"/>
    <m/>
    <m/>
    <n v="22749192"/>
    <m/>
    <m/>
    <m/>
    <s v="SOLFIN"/>
    <s v="SOLFIN"/>
    <s v="CCMS"/>
    <n v="21331006"/>
    <n v="10147.2"/>
    <m/>
    <s v="N"/>
    <n v="11"/>
    <d v="2023-07-05T19:02:01"/>
    <s v="Y"/>
    <s v="Advocates Meeting"/>
    <s v="Public Law Children"/>
    <s v="Advocacy"/>
    <s v="Patsy Sayers"/>
    <s v="Y"/>
    <n v="140.99"/>
    <n v="28.2"/>
    <x v="6"/>
    <s v="VALIDATED"/>
    <n v="1"/>
    <s v="01.11.80.308.6100.0000"/>
    <n v="140.99"/>
    <s v="11"/>
    <s v="6100"/>
    <n v="13812.43"/>
    <n v="140.99"/>
    <s v="CREDITOR"/>
    <n v="0"/>
    <n v="0"/>
    <n v="0"/>
    <n v="0"/>
    <n v="140.99"/>
  </r>
  <r>
    <n v="59658783"/>
    <s v="N"/>
    <n v="21319030"/>
    <s v="3000014037350004"/>
    <s v="CIVIL"/>
    <d v="2023-06-23T00:00:00"/>
    <d v="2023-07-03T19:01:49"/>
    <m/>
    <d v="2023-07-03T00:00:00"/>
    <n v="86"/>
    <n v="13296"/>
    <s v="59658783"/>
    <s v="59658783"/>
    <m/>
    <m/>
    <n v="22750356"/>
    <m/>
    <m/>
    <m/>
    <s v="SOLFIN"/>
    <s v="SOLFIN"/>
    <s v="CCMS"/>
    <n v="21319030"/>
    <n v="9119.74"/>
    <m/>
    <s v="N"/>
    <n v="37"/>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93"/>
    <d v="2023-07-03T19:02:08"/>
    <s v="Y"/>
    <s v="Preparation - other"/>
    <s v="Prescribed Hourly Rates"/>
    <s v="Profit Cost"/>
    <s v="LS"/>
    <s v="Y"/>
    <n v="137.25"/>
    <n v="27.45"/>
    <x v="3"/>
    <s v="VALIDATED"/>
    <n v="1"/>
    <s v="01.11.80.307.6100.0000"/>
    <n v="137.25"/>
    <s v="11"/>
    <s v="6100"/>
    <n v="13812.43"/>
    <n v="137.25"/>
    <s v="CREDITOR"/>
    <n v="0"/>
    <n v="0"/>
    <n v="0"/>
    <n v="0"/>
    <n v="137.25"/>
  </r>
  <r>
    <n v="59658783"/>
    <s v="N"/>
    <n v="21319030"/>
    <s v="3000014037350004"/>
    <s v="CIVIL"/>
    <d v="2023-06-23T00:00:00"/>
    <d v="2023-07-03T19:01:49"/>
    <m/>
    <d v="2023-07-03T00:00:00"/>
    <n v="86"/>
    <n v="13296"/>
    <s v="59658783"/>
    <s v="59658783"/>
    <m/>
    <m/>
    <n v="22750356"/>
    <m/>
    <m/>
    <m/>
    <s v="SOLFIN"/>
    <s v="SOLFIN"/>
    <s v="CCMS"/>
    <n v="21319030"/>
    <n v="9119.74"/>
    <m/>
    <s v="N"/>
    <n v="13"/>
    <d v="2023-07-03T19:02:08"/>
    <s v="Y"/>
    <s v="Preparation - other"/>
    <s v="Prescribed Hourly Rates"/>
    <s v="Profit Cost"/>
    <s v="LS"/>
    <s v="Y"/>
    <n v="34.31"/>
    <n v="6.86"/>
    <x v="3"/>
    <s v="VALIDATED"/>
    <n v="1"/>
    <s v="01.11.80.307.6100.0000"/>
    <n v="34.31"/>
    <s v="11"/>
    <s v="6100"/>
    <n v="13812.43"/>
    <n v="34.31"/>
    <s v="CREDITOR"/>
    <n v="0"/>
    <n v="0"/>
    <n v="0"/>
    <n v="0"/>
    <n v="34.31"/>
  </r>
  <r>
    <n v="59658783"/>
    <s v="N"/>
    <n v="21319030"/>
    <s v="3000014037350004"/>
    <s v="CIVIL"/>
    <d v="2023-06-23T00:00:00"/>
    <d v="2023-07-03T19:01:49"/>
    <m/>
    <d v="2023-07-03T00:00:00"/>
    <n v="86"/>
    <n v="13296"/>
    <s v="59658783"/>
    <s v="59658783"/>
    <m/>
    <m/>
    <n v="22750356"/>
    <m/>
    <m/>
    <m/>
    <s v="SOLFIN"/>
    <s v="SOLFIN"/>
    <s v="CCMS"/>
    <n v="21319030"/>
    <n v="9119.74"/>
    <m/>
    <s v="N"/>
    <n v="83"/>
    <d v="2023-07-03T19:02:08"/>
    <s v="Y"/>
    <s v="Preparation - other"/>
    <s v="Prescribed Hourly Rates"/>
    <s v="Profit Cost"/>
    <s v="LS"/>
    <s v="Y"/>
    <n v="27.45"/>
    <n v="5.49"/>
    <x v="3"/>
    <s v="VALIDATED"/>
    <n v="1"/>
    <s v="01.11.80.307.6100.0000"/>
    <n v="27.45"/>
    <s v="11"/>
    <s v="6100"/>
    <n v="13812.43"/>
    <n v="27.45"/>
    <s v="CREDITOR"/>
    <n v="0"/>
    <n v="0"/>
    <n v="0"/>
    <n v="0"/>
    <n v="27.45"/>
  </r>
  <r>
    <n v="59658783"/>
    <s v="N"/>
    <n v="21319030"/>
    <s v="3000014037350004"/>
    <s v="CIVIL"/>
    <d v="2023-06-23T00:00:00"/>
    <d v="2023-07-03T19:01:49"/>
    <m/>
    <d v="2023-07-03T00:00:00"/>
    <n v="86"/>
    <n v="13296"/>
    <s v="59658783"/>
    <s v="59658783"/>
    <m/>
    <m/>
    <n v="22750356"/>
    <m/>
    <m/>
    <m/>
    <s v="SOLFIN"/>
    <s v="SOLFIN"/>
    <s v="CCMS"/>
    <n v="21319030"/>
    <n v="9119.74"/>
    <m/>
    <s v="N"/>
    <n v="102"/>
    <d v="2023-07-03T19:02:08"/>
    <s v="Y"/>
    <s v="Preparation - other"/>
    <s v="Prescribed Hourly Rates"/>
    <s v="Profit Cost"/>
    <s v="LS"/>
    <s v="Y"/>
    <n v="13.73"/>
    <n v="2.75"/>
    <x v="3"/>
    <s v="VALIDATED"/>
    <n v="1"/>
    <s v="01.11.80.307.6100.0000"/>
    <n v="13.73"/>
    <s v="11"/>
    <s v="6100"/>
    <n v="13812.43"/>
    <n v="13.73"/>
    <s v="CREDITOR"/>
    <n v="0"/>
    <n v="0"/>
    <n v="0"/>
    <n v="0"/>
    <n v="13.73"/>
  </r>
  <r>
    <n v="59855538"/>
    <s v="N"/>
    <n v="21331006"/>
    <s v="3000014217750007"/>
    <s v="CIVIL"/>
    <d v="2023-06-23T00:00:00"/>
    <d v="2023-07-05T19:01:47"/>
    <m/>
    <d v="2023-07-05T00:00:00"/>
    <n v="86"/>
    <n v="13296"/>
    <s v="59855538"/>
    <s v="59855538"/>
    <m/>
    <m/>
    <n v="22749192"/>
    <m/>
    <m/>
    <m/>
    <s v="SOLFIN"/>
    <s v="SOLFIN"/>
    <s v="CCMS"/>
    <n v="21331006"/>
    <n v="10147.2"/>
    <m/>
    <s v="N"/>
    <n v="13"/>
    <d v="2023-07-05T19:02:01"/>
    <s v="Y"/>
    <s v="Advocates Meeting"/>
    <s v="Public Law Children"/>
    <s v="Advocacy"/>
    <s v="Patsy Sayers"/>
    <s v="Y"/>
    <n v="140.99"/>
    <n v="28.2"/>
    <x v="6"/>
    <s v="VALIDATED"/>
    <n v="1"/>
    <s v="01.11.80.308.6100.0000"/>
    <n v="140.99"/>
    <s v="11"/>
    <s v="6100"/>
    <n v="13812.43"/>
    <n v="140.99"/>
    <s v="CREDITOR"/>
    <n v="0"/>
    <n v="0"/>
    <n v="0"/>
    <n v="0"/>
    <n v="140.99"/>
  </r>
  <r>
    <n v="59658783"/>
    <s v="N"/>
    <n v="21319030"/>
    <s v="3000014037350004"/>
    <s v="CIVIL"/>
    <d v="2023-06-23T00:00:00"/>
    <d v="2023-07-03T19:01:49"/>
    <m/>
    <d v="2023-07-03T00:00:00"/>
    <n v="86"/>
    <n v="13296"/>
    <s v="59658783"/>
    <s v="59658783"/>
    <m/>
    <m/>
    <n v="22750356"/>
    <m/>
    <m/>
    <m/>
    <s v="SOLFIN"/>
    <s v="SOLFIN"/>
    <s v="CCMS"/>
    <n v="21319030"/>
    <n v="9119.74"/>
    <m/>
    <s v="N"/>
    <n v="34"/>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97"/>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88"/>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30"/>
    <d v="2023-07-03T19:02:08"/>
    <s v="Y"/>
    <s v="Preparation - drafting statement"/>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98"/>
    <d v="2023-07-03T19:02:08"/>
    <s v="Y"/>
    <s v="Preparation - drafting instructions"/>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14"/>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79"/>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96"/>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26"/>
    <d v="2023-07-03T19:02:08"/>
    <s v="Y"/>
    <s v="Preparation - other"/>
    <s v="Prescribed Hourly Rates"/>
    <s v="Profit Cost"/>
    <s v="LS"/>
    <s v="Y"/>
    <n v="68.63"/>
    <n v="13.73"/>
    <x v="3"/>
    <s v="VALIDATED"/>
    <n v="1"/>
    <s v="01.11.80.307.6100.0000"/>
    <n v="68.63"/>
    <s v="11"/>
    <s v="6100"/>
    <n v="13812.43"/>
    <n v="68.63"/>
    <s v="CREDITOR"/>
    <n v="0"/>
    <n v="0"/>
    <n v="0"/>
    <n v="0"/>
    <n v="68.63"/>
  </r>
  <r>
    <n v="59658783"/>
    <s v="N"/>
    <n v="21319030"/>
    <s v="3000014037350004"/>
    <s v="CIVIL"/>
    <d v="2023-06-23T00:00:00"/>
    <d v="2023-07-03T19:01:49"/>
    <m/>
    <d v="2023-07-03T00:00:00"/>
    <n v="86"/>
    <n v="13296"/>
    <s v="59658783"/>
    <s v="59658783"/>
    <m/>
    <m/>
    <n v="22750356"/>
    <m/>
    <m/>
    <m/>
    <s v="SOLFIN"/>
    <s v="SOLFIN"/>
    <s v="CCMS"/>
    <n v="21319030"/>
    <n v="9119.74"/>
    <m/>
    <s v="N"/>
    <n v="2"/>
    <d v="2023-07-03T19:02:08"/>
    <s v="Y"/>
    <s v="Police Records"/>
    <s v="Prescribed Hourly Rates"/>
    <s v="Non Expert Disbursement"/>
    <s v="LS"/>
    <s v="Y"/>
    <n v="591.1"/>
    <n v="0"/>
    <x v="3"/>
    <s v="VALIDATED"/>
    <n v="1"/>
    <s v="01.11.80.307.6300.0000"/>
    <n v="591.1"/>
    <s v="11"/>
    <s v="6300"/>
    <n v="13812.43"/>
    <n v="591.1"/>
    <s v="CREDITOR"/>
    <n v="0"/>
    <n v="0"/>
    <n v="0"/>
    <n v="0"/>
    <n v="591.1"/>
  </r>
  <r>
    <n v="59658783"/>
    <s v="N"/>
    <n v="21319030"/>
    <s v="3000014037350004"/>
    <s v="CIVIL"/>
    <d v="2023-06-23T00:00:00"/>
    <d v="2023-07-03T19:01:49"/>
    <m/>
    <d v="2023-07-03T00:00:00"/>
    <n v="86"/>
    <n v="13296"/>
    <s v="59658783"/>
    <s v="59658783"/>
    <m/>
    <m/>
    <n v="22750356"/>
    <m/>
    <m/>
    <m/>
    <s v="SOLFIN"/>
    <s v="SOLFIN"/>
    <s v="CCMS"/>
    <n v="21319030"/>
    <n v="9119.74"/>
    <m/>
    <s v="N"/>
    <n v="55"/>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94"/>
    <d v="2023-07-03T19:02:08"/>
    <s v="Y"/>
    <s v="Preparation - drafting instructions"/>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95"/>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20"/>
    <d v="2023-07-03T19:02:08"/>
    <s v="Y"/>
    <s v="Preparation - other"/>
    <s v="Prescribed Hourly Rates"/>
    <s v="Profit Cost"/>
    <s v="LS"/>
    <s v="Y"/>
    <n v="205.88"/>
    <n v="41.18"/>
    <x v="3"/>
    <s v="VALIDATED"/>
    <n v="1"/>
    <s v="01.11.80.307.6100.0000"/>
    <n v="205.88"/>
    <s v="11"/>
    <s v="6100"/>
    <n v="13812.43"/>
    <n v="205.88"/>
    <s v="CREDITOR"/>
    <n v="0"/>
    <n v="0"/>
    <n v="0"/>
    <n v="0"/>
    <n v="205.88"/>
  </r>
  <r>
    <n v="59855538"/>
    <s v="N"/>
    <n v="21331006"/>
    <s v="3000014217750007"/>
    <s v="CIVIL"/>
    <d v="2023-06-23T00:00:00"/>
    <d v="2023-07-05T19:01:47"/>
    <m/>
    <d v="2023-07-05T00:00:00"/>
    <n v="86"/>
    <n v="13296"/>
    <s v="59855538"/>
    <s v="59855538"/>
    <m/>
    <m/>
    <n v="22749192"/>
    <m/>
    <m/>
    <m/>
    <s v="SOLFIN"/>
    <s v="SOLFIN"/>
    <s v="CCMS"/>
    <n v="21331006"/>
    <n v="10147.2"/>
    <m/>
    <s v="N"/>
    <n v="18"/>
    <d v="2023-07-05T19:02:01"/>
    <s v="Y"/>
    <s v="Hearing Unit 2.31 - 5.00 Hours"/>
    <s v="Public Law Children"/>
    <s v="Advocacy"/>
    <s v="Patsy Sayers"/>
    <s v="Y"/>
    <n v="596.15"/>
    <n v="119.23"/>
    <x v="6"/>
    <s v="VALIDATED"/>
    <n v="1"/>
    <s v="01.11.80.308.6100.0000"/>
    <n v="596.15"/>
    <s v="11"/>
    <s v="6100"/>
    <n v="13812.43"/>
    <n v="596.15"/>
    <s v="CREDITOR"/>
    <n v="0"/>
    <n v="0"/>
    <n v="0"/>
    <n v="0"/>
    <n v="596.15"/>
  </r>
  <r>
    <n v="59855538"/>
    <s v="N"/>
    <n v="21331006"/>
    <s v="3000014217750007"/>
    <s v="CIVIL"/>
    <d v="2023-06-23T00:00:00"/>
    <d v="2023-07-05T19:01:47"/>
    <m/>
    <d v="2023-07-05T00:00:00"/>
    <n v="86"/>
    <n v="13296"/>
    <s v="59855538"/>
    <s v="59855538"/>
    <m/>
    <m/>
    <n v="22749192"/>
    <m/>
    <m/>
    <m/>
    <s v="SOLFIN"/>
    <s v="SOLFIN"/>
    <s v="CCMS"/>
    <n v="21331006"/>
    <n v="10147.2"/>
    <m/>
    <s v="N"/>
    <n v="5"/>
    <d v="2023-07-05T19:02:01"/>
    <s v="Y"/>
    <s v="Radiologist"/>
    <s v="Public Law Children"/>
    <s v="Expert Disbursement"/>
    <s v="Patsy Sayers"/>
    <s v="Y"/>
    <n v="135"/>
    <n v="27"/>
    <x v="6"/>
    <s v="VALIDATED"/>
    <n v="1"/>
    <s v="01.11.80.308.6300.0000"/>
    <n v="135"/>
    <s v="11"/>
    <s v="6300"/>
    <n v="13812.43"/>
    <n v="135"/>
    <s v="CREDITOR"/>
    <n v="0"/>
    <n v="0"/>
    <n v="0"/>
    <n v="0"/>
    <n v="135"/>
  </r>
  <r>
    <n v="59658783"/>
    <s v="N"/>
    <n v="21319030"/>
    <s v="3000014037350004"/>
    <s v="CIVIL"/>
    <d v="2023-06-23T00:00:00"/>
    <d v="2023-07-03T19:01:49"/>
    <m/>
    <d v="2023-07-03T00:00:00"/>
    <n v="86"/>
    <n v="13296"/>
    <s v="59658783"/>
    <s v="59658783"/>
    <m/>
    <m/>
    <n v="22750356"/>
    <m/>
    <m/>
    <m/>
    <s v="SOLFIN"/>
    <s v="SOLFIN"/>
    <s v="CCMS"/>
    <n v="21319030"/>
    <n v="9119.74"/>
    <m/>
    <s v="N"/>
    <n v="28"/>
    <d v="2023-07-03T19:02:08"/>
    <s v="Y"/>
    <s v="Preparation - drafting statement"/>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36"/>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89"/>
    <d v="2023-07-03T19:02:08"/>
    <s v="Y"/>
    <s v="Preparation - drafting statement"/>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06"/>
    <d v="2023-07-03T19:02:08"/>
    <s v="Y"/>
    <s v="Preparation - drafting consent orde"/>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10"/>
    <d v="2023-07-03T19:02:08"/>
    <s v="Y"/>
    <s v="Routine Telephone Call"/>
    <s v="Prescribed Hourly Rates"/>
    <s v="Profit Cost"/>
    <s v="LS"/>
    <s v="Y"/>
    <n v="129.6"/>
    <n v="25.92"/>
    <x v="3"/>
    <s v="VALIDATED"/>
    <n v="1"/>
    <s v="01.11.80.307.6100.0000"/>
    <n v="129.6"/>
    <s v="11"/>
    <s v="6100"/>
    <n v="13812.43"/>
    <n v="129.6"/>
    <s v="CREDITOR"/>
    <n v="0"/>
    <n v="0"/>
    <n v="0"/>
    <n v="0"/>
    <n v="129.6"/>
  </r>
  <r>
    <n v="59658783"/>
    <s v="N"/>
    <n v="21319030"/>
    <s v="3000014037350004"/>
    <s v="CIVIL"/>
    <d v="2023-06-23T00:00:00"/>
    <d v="2023-07-03T19:01:49"/>
    <m/>
    <d v="2023-07-03T00:00:00"/>
    <n v="86"/>
    <n v="13296"/>
    <s v="59658783"/>
    <s v="59658783"/>
    <m/>
    <m/>
    <n v="22750356"/>
    <m/>
    <m/>
    <m/>
    <s v="SOLFIN"/>
    <s v="SOLFIN"/>
    <s v="CCMS"/>
    <n v="21319030"/>
    <n v="9119.74"/>
    <m/>
    <s v="N"/>
    <n v="7"/>
    <d v="2023-07-03T19:02:08"/>
    <s v="Y"/>
    <s v="Preparation - drafting notice(s)"/>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18"/>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31"/>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84"/>
    <d v="2023-07-03T19:02:08"/>
    <s v="Y"/>
    <s v="Preparation - drafting consent orde"/>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32"/>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58"/>
    <d v="2023-07-03T19:02:08"/>
    <s v="Y"/>
    <s v="Preparation - other"/>
    <s v="Prescribed Hourly Rates"/>
    <s v="Profit Cost"/>
    <s v="LS"/>
    <s v="Y"/>
    <n v="34.31"/>
    <n v="6.86"/>
    <x v="3"/>
    <s v="VALIDATED"/>
    <n v="1"/>
    <s v="01.11.80.307.6100.0000"/>
    <n v="34.31"/>
    <s v="11"/>
    <s v="6100"/>
    <n v="13812.43"/>
    <n v="34.31"/>
    <s v="CREDITOR"/>
    <n v="0"/>
    <n v="0"/>
    <n v="0"/>
    <n v="0"/>
    <n v="34.31"/>
  </r>
  <r>
    <n v="59658783"/>
    <s v="N"/>
    <n v="21319030"/>
    <s v="3000014037350004"/>
    <s v="CIVIL"/>
    <d v="2023-06-23T00:00:00"/>
    <d v="2023-07-03T19:01:49"/>
    <m/>
    <d v="2023-07-03T00:00:00"/>
    <n v="86"/>
    <n v="13296"/>
    <s v="59658783"/>
    <s v="59658783"/>
    <m/>
    <m/>
    <n v="22750356"/>
    <m/>
    <m/>
    <m/>
    <s v="SOLFIN"/>
    <s v="SOLFIN"/>
    <s v="CCMS"/>
    <n v="21319030"/>
    <n v="9119.74"/>
    <m/>
    <s v="N"/>
    <n v="91"/>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35"/>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68"/>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21"/>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76"/>
    <d v="2023-07-03T19:02:08"/>
    <s v="Y"/>
    <s v="Preparation - other"/>
    <s v="Prescribed Hourly Rates"/>
    <s v="Profit Cost"/>
    <s v="LS"/>
    <s v="Y"/>
    <n v="68.63"/>
    <n v="13.73"/>
    <x v="3"/>
    <s v="VALIDATED"/>
    <n v="1"/>
    <s v="01.11.80.307.6100.0000"/>
    <n v="68.63"/>
    <s v="11"/>
    <s v="6100"/>
    <n v="13812.43"/>
    <n v="68.63"/>
    <s v="CREDITOR"/>
    <n v="0"/>
    <n v="0"/>
    <n v="0"/>
    <n v="0"/>
    <n v="68.63"/>
  </r>
  <r>
    <n v="59658783"/>
    <s v="N"/>
    <n v="21319030"/>
    <s v="3000014037350004"/>
    <s v="CIVIL"/>
    <d v="2023-06-23T00:00:00"/>
    <d v="2023-07-03T19:01:49"/>
    <m/>
    <d v="2023-07-03T00:00:00"/>
    <n v="86"/>
    <n v="13296"/>
    <s v="59658783"/>
    <s v="59658783"/>
    <m/>
    <m/>
    <n v="22750356"/>
    <m/>
    <m/>
    <m/>
    <s v="SOLFIN"/>
    <s v="SOLFIN"/>
    <s v="CCMS"/>
    <n v="21319030"/>
    <n v="9119.74"/>
    <m/>
    <s v="N"/>
    <n v="46"/>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74"/>
    <d v="2023-07-03T19:02:08"/>
    <s v="Y"/>
    <s v="Preparation - drafting instructions"/>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75"/>
    <d v="2023-07-03T19:02:08"/>
    <s v="Y"/>
    <s v="Preparation - drafting instructions"/>
    <s v="Prescribed Hourly Rates"/>
    <s v="Profit Cost"/>
    <s v="LS"/>
    <s v="Y"/>
    <n v="20.59"/>
    <n v="4.12"/>
    <x v="3"/>
    <s v="VALIDATED"/>
    <n v="1"/>
    <s v="01.11.80.307.6100.0000"/>
    <n v="20.59"/>
    <s v="11"/>
    <s v="6100"/>
    <n v="13812.43"/>
    <n v="20.59"/>
    <s v="CREDITOR"/>
    <n v="0"/>
    <n v="0"/>
    <n v="0"/>
    <n v="0"/>
    <n v="20.59"/>
  </r>
  <r>
    <n v="62343939"/>
    <s v="N"/>
    <n v="21319861"/>
    <s v="3000016323500003"/>
    <s v="CIVIL"/>
    <d v="2023-06-28T00:00:00"/>
    <d v="2023-07-03T19:04:24"/>
    <m/>
    <d v="2023-07-03T00:00:00"/>
    <n v="86"/>
    <n v="13296"/>
    <s v="62343939"/>
    <s v="62343939"/>
    <m/>
    <m/>
    <n v="22777570"/>
    <m/>
    <m/>
    <m/>
    <s v="SOLPOA"/>
    <s v="SOLPOA"/>
    <s v="CCMS"/>
    <n v="21319861"/>
    <n v="223.68"/>
    <m/>
    <s v="N"/>
    <n v="1"/>
    <d v="2023-07-03T19:04:28"/>
    <s v="N"/>
    <s v="Non Expert Disbursement"/>
    <s v="Non Expert Disbursement"/>
    <s v="Non Expert Disbursement"/>
    <s v="DNA Legal"/>
    <s v="N"/>
    <n v="186.4"/>
    <n v="37.28"/>
    <x v="3"/>
    <s v="VALIDATED"/>
    <n v="1"/>
    <s v="01.11.80.308.2012.0000"/>
    <n v="186.4"/>
    <s v="11"/>
    <s v="2012"/>
    <n v="13812.43"/>
    <n v="186.4"/>
    <s v="CREDITOR"/>
    <n v="186.4"/>
    <n v="0"/>
    <n v="0"/>
    <n v="0"/>
    <n v="0"/>
  </r>
  <r>
    <n v="59658783"/>
    <s v="N"/>
    <n v="21319030"/>
    <s v="3000014037350004"/>
    <s v="CIVIL"/>
    <d v="2023-06-23T00:00:00"/>
    <d v="2023-07-03T19:01:49"/>
    <m/>
    <d v="2023-07-03T00:00:00"/>
    <n v="86"/>
    <n v="13296"/>
    <s v="59658783"/>
    <s v="59658783"/>
    <m/>
    <m/>
    <n v="22750356"/>
    <m/>
    <m/>
    <m/>
    <s v="SOLFIN"/>
    <s v="SOLFIN"/>
    <s v="CCMS"/>
    <n v="21319030"/>
    <n v="9119.74"/>
    <m/>
    <s v="N"/>
    <n v="60"/>
    <d v="2023-07-03T19:02:08"/>
    <s v="Y"/>
    <s v="Preparation - drafting statement"/>
    <s v="Prescribed Hourly Rates"/>
    <s v="Profit Cost"/>
    <s v="LS"/>
    <s v="Y"/>
    <n v="68.63"/>
    <n v="13.73"/>
    <x v="3"/>
    <s v="VALIDATED"/>
    <n v="1"/>
    <s v="01.11.80.307.6100.0000"/>
    <n v="68.63"/>
    <s v="11"/>
    <s v="6100"/>
    <n v="13812.43"/>
    <n v="68.63"/>
    <s v="CREDITOR"/>
    <n v="0"/>
    <n v="0"/>
    <n v="0"/>
    <n v="0"/>
    <n v="68.63"/>
  </r>
  <r>
    <n v="59855538"/>
    <s v="N"/>
    <n v="21331006"/>
    <s v="3000014217750007"/>
    <s v="CIVIL"/>
    <d v="2023-06-23T00:00:00"/>
    <d v="2023-07-05T19:01:47"/>
    <m/>
    <d v="2023-07-05T00:00:00"/>
    <n v="86"/>
    <n v="13296"/>
    <s v="59855538"/>
    <s v="59855538"/>
    <m/>
    <m/>
    <n v="22749192"/>
    <m/>
    <m/>
    <m/>
    <s v="SOLFIN"/>
    <s v="SOLFIN"/>
    <s v="CCMS"/>
    <n v="21331006"/>
    <n v="10147.2"/>
    <m/>
    <s v="N"/>
    <n v="20"/>
    <d v="2023-07-05T19:02:01"/>
    <s v="Y"/>
    <s v="Final Hearing - 1 Day"/>
    <s v="Public Law Children"/>
    <s v="Advocacy"/>
    <s v="Patsy Sayers"/>
    <s v="Y"/>
    <n v="696.1"/>
    <n v="139.22"/>
    <x v="6"/>
    <s v="VALIDATED"/>
    <n v="1"/>
    <s v="01.11.80.308.6100.0000"/>
    <n v="696.1"/>
    <s v="11"/>
    <s v="6100"/>
    <n v="13812.43"/>
    <n v="696.1"/>
    <s v="CREDITOR"/>
    <n v="0"/>
    <n v="0"/>
    <n v="0"/>
    <n v="0"/>
    <n v="696.1"/>
  </r>
  <r>
    <n v="59658783"/>
    <s v="N"/>
    <n v="21319030"/>
    <s v="3000014037350004"/>
    <s v="CIVIL"/>
    <d v="2023-06-23T00:00:00"/>
    <d v="2023-07-03T19:01:49"/>
    <m/>
    <d v="2023-07-03T00:00:00"/>
    <n v="86"/>
    <n v="13296"/>
    <s v="59658783"/>
    <s v="59658783"/>
    <m/>
    <m/>
    <n v="22750356"/>
    <m/>
    <m/>
    <m/>
    <s v="SOLFIN"/>
    <s v="SOLFIN"/>
    <s v="CCMS"/>
    <n v="21319030"/>
    <n v="9119.74"/>
    <m/>
    <s v="N"/>
    <n v="49"/>
    <d v="2023-07-03T19:02:08"/>
    <s v="Y"/>
    <s v="Preparation - drafting statement"/>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2"/>
    <d v="2023-07-03T19:02:08"/>
    <s v="Y"/>
    <s v="Preparation - other"/>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40"/>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67"/>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92"/>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23"/>
    <d v="2023-07-03T19:02:08"/>
    <s v="Y"/>
    <s v="Preparation - drafting instructions"/>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56"/>
    <d v="2023-07-03T19:02:08"/>
    <s v="Y"/>
    <s v="Attendance upon client"/>
    <s v="Prescribed Hourly Rates"/>
    <s v="Profit Cost"/>
    <s v="LS"/>
    <s v="Y"/>
    <n v="102.94"/>
    <n v="20.59"/>
    <x v="3"/>
    <s v="VALIDATED"/>
    <n v="1"/>
    <s v="01.11.80.307.6100.0000"/>
    <n v="102.94"/>
    <s v="11"/>
    <s v="6100"/>
    <n v="13812.43"/>
    <n v="102.94"/>
    <s v="CREDITOR"/>
    <n v="0"/>
    <n v="0"/>
    <n v="0"/>
    <n v="0"/>
    <n v="102.94"/>
  </r>
  <r>
    <n v="59658783"/>
    <s v="N"/>
    <n v="21319030"/>
    <s v="3000014037350004"/>
    <s v="CIVIL"/>
    <d v="2023-06-23T00:00:00"/>
    <d v="2023-07-03T19:01:49"/>
    <m/>
    <d v="2023-07-03T00:00:00"/>
    <n v="86"/>
    <n v="13296"/>
    <s v="59658783"/>
    <s v="59658783"/>
    <m/>
    <m/>
    <n v="22750356"/>
    <m/>
    <m/>
    <m/>
    <s v="SOLFIN"/>
    <s v="SOLFIN"/>
    <s v="CCMS"/>
    <n v="21319030"/>
    <n v="9119.74"/>
    <m/>
    <s v="N"/>
    <n v="11"/>
    <d v="2023-07-03T19:02:08"/>
    <s v="Y"/>
    <s v="Preparation - other"/>
    <s v="Prescribed Hourly Rates"/>
    <s v="Profit Cost"/>
    <s v="LD"/>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08"/>
    <d v="2023-07-03T19:02:08"/>
    <s v="Y"/>
    <s v="Preparation - drafting bill/claim f"/>
    <s v="Prescribed Hourly Rates"/>
    <s v="Profit Cost"/>
    <s v="LS"/>
    <s v="Y"/>
    <n v="38.43"/>
    <n v="7.69"/>
    <x v="3"/>
    <s v="VALIDATED"/>
    <n v="1"/>
    <s v="01.11.80.307.6100.0000"/>
    <n v="38.43"/>
    <s v="11"/>
    <s v="6100"/>
    <n v="13812.43"/>
    <n v="38.43"/>
    <s v="CREDITOR"/>
    <n v="0"/>
    <n v="0"/>
    <n v="0"/>
    <n v="0"/>
    <n v="38.43"/>
  </r>
  <r>
    <n v="59658783"/>
    <s v="N"/>
    <n v="21319030"/>
    <s v="3000014037350004"/>
    <s v="CIVIL"/>
    <d v="2023-06-23T00:00:00"/>
    <d v="2023-07-03T19:01:49"/>
    <m/>
    <d v="2023-07-03T00:00:00"/>
    <n v="86"/>
    <n v="13296"/>
    <s v="59658783"/>
    <s v="59658783"/>
    <m/>
    <m/>
    <n v="22750356"/>
    <m/>
    <m/>
    <m/>
    <s v="SOLFIN"/>
    <s v="SOLFIN"/>
    <s v="CCMS"/>
    <n v="21319030"/>
    <n v="9119.74"/>
    <m/>
    <s v="N"/>
    <n v="17"/>
    <d v="2023-07-03T19:02:08"/>
    <s v="Y"/>
    <s v="Preparation - other"/>
    <s v="Prescribed Hourly Rates"/>
    <s v="Profit Cost"/>
    <s v="LS"/>
    <s v="Y"/>
    <n v="34.31"/>
    <n v="6.86"/>
    <x v="3"/>
    <s v="VALIDATED"/>
    <n v="1"/>
    <s v="01.11.80.307.6100.0000"/>
    <n v="34.31"/>
    <s v="11"/>
    <s v="6100"/>
    <n v="13812.43"/>
    <n v="34.31"/>
    <s v="CREDITOR"/>
    <n v="0"/>
    <n v="0"/>
    <n v="0"/>
    <n v="0"/>
    <n v="34.31"/>
  </r>
  <r>
    <n v="59855538"/>
    <s v="N"/>
    <n v="21331006"/>
    <s v="3000014217750007"/>
    <s v="CIVIL"/>
    <d v="2023-06-23T00:00:00"/>
    <d v="2023-07-05T19:01:47"/>
    <m/>
    <d v="2023-07-05T00:00:00"/>
    <n v="86"/>
    <n v="13296"/>
    <s v="59855538"/>
    <s v="59855538"/>
    <m/>
    <m/>
    <n v="22749192"/>
    <m/>
    <m/>
    <m/>
    <s v="SOLFIN"/>
    <s v="SOLFIN"/>
    <s v="CCMS"/>
    <n v="21331006"/>
    <n v="10147.2"/>
    <m/>
    <s v="N"/>
    <n v="10"/>
    <d v="2023-07-05T19:02:01"/>
    <s v="Y"/>
    <s v="Paediatrician"/>
    <s v="Public Law Children"/>
    <s v="Expert Disbursement"/>
    <s v="Patsy Sayers"/>
    <s v="Y"/>
    <n v="135"/>
    <n v="27"/>
    <x v="6"/>
    <s v="VALIDATED"/>
    <n v="1"/>
    <s v="01.11.80.308.6300.0000"/>
    <n v="135"/>
    <s v="11"/>
    <s v="6300"/>
    <n v="13812.43"/>
    <n v="135"/>
    <s v="CREDITOR"/>
    <n v="0"/>
    <n v="0"/>
    <n v="0"/>
    <n v="0"/>
    <n v="135"/>
  </r>
  <r>
    <n v="59658783"/>
    <s v="N"/>
    <n v="21319030"/>
    <s v="3000014037350004"/>
    <s v="CIVIL"/>
    <d v="2023-06-23T00:00:00"/>
    <d v="2023-07-03T19:01:49"/>
    <m/>
    <d v="2023-07-03T00:00:00"/>
    <n v="86"/>
    <n v="13296"/>
    <s v="59658783"/>
    <s v="59658783"/>
    <m/>
    <m/>
    <n v="22750356"/>
    <m/>
    <m/>
    <m/>
    <s v="SOLFIN"/>
    <s v="SOLFIN"/>
    <s v="CCMS"/>
    <n v="21319030"/>
    <n v="9119.74"/>
    <m/>
    <s v="N"/>
    <n v="15"/>
    <d v="2023-07-03T19:02:08"/>
    <s v="Y"/>
    <s v="Preparation - other"/>
    <s v="Prescribed Hourly Rates"/>
    <s v="Profit Cost"/>
    <s v="LS"/>
    <s v="Y"/>
    <n v="54.9"/>
    <n v="10.98"/>
    <x v="3"/>
    <s v="VALIDATED"/>
    <n v="1"/>
    <s v="01.11.80.307.6100.0000"/>
    <n v="54.9"/>
    <s v="11"/>
    <s v="6100"/>
    <n v="13812.43"/>
    <n v="54.9"/>
    <s v="CREDITOR"/>
    <n v="0"/>
    <n v="0"/>
    <n v="0"/>
    <n v="0"/>
    <n v="54.9"/>
  </r>
  <r>
    <n v="59855538"/>
    <s v="N"/>
    <n v="21333696"/>
    <s v="3000014217750006RC"/>
    <s v="CIVIL"/>
    <d v="2023-06-23T00:00:00"/>
    <d v="2023-07-05T19:42:28"/>
    <m/>
    <d v="2023-07-05T00:00:00"/>
    <n v="86"/>
    <n v="13296"/>
    <s v="59855538"/>
    <s v="59855538"/>
    <m/>
    <m/>
    <m/>
    <m/>
    <m/>
    <m/>
    <s v="SOLRECOUP"/>
    <s v="SOLRECOUP"/>
    <s v="POARECOUP"/>
    <n v="21333696"/>
    <n v="-162"/>
    <m/>
    <s v="Y"/>
    <n v="2"/>
    <d v="2023-07-05T19:42:28"/>
    <s v="N"/>
    <m/>
    <m/>
    <s v="Expert Disbursement"/>
    <m/>
    <s v="N"/>
    <n v="0"/>
    <n v="-27"/>
    <x v="6"/>
    <s v="VALIDATED"/>
    <n v="1"/>
    <s v="01.11.80.308.2013.0000"/>
    <n v="-27"/>
    <s v="11"/>
    <s v="2013"/>
    <n v="13812.43"/>
    <n v="-27"/>
    <s v="CREDITOR"/>
    <n v="0"/>
    <n v="0"/>
    <n v="-27"/>
    <n v="0"/>
    <n v="0"/>
  </r>
  <r>
    <n v="59855538"/>
    <s v="N"/>
    <n v="21333696"/>
    <s v="3000014217750006RC"/>
    <s v="CIVIL"/>
    <d v="2023-06-23T00:00:00"/>
    <d v="2023-07-05T19:42:28"/>
    <m/>
    <d v="2023-07-05T00:00:00"/>
    <n v="86"/>
    <n v="13296"/>
    <s v="59855538"/>
    <s v="59855538"/>
    <m/>
    <m/>
    <m/>
    <m/>
    <m/>
    <m/>
    <s v="SOLRECOUP"/>
    <s v="SOLRECOUP"/>
    <s v="POARECOUP"/>
    <n v="21333696"/>
    <n v="-162"/>
    <m/>
    <s v="Y"/>
    <n v="1"/>
    <d v="2023-07-05T19:42:28"/>
    <s v="N"/>
    <m/>
    <m/>
    <s v="Expert Disbursement"/>
    <m/>
    <s v="N"/>
    <n v="-135"/>
    <n v="0"/>
    <x v="6"/>
    <s v="VALIDATED"/>
    <n v="1"/>
    <s v="01.11.80.308.2013.0000"/>
    <n v="-135"/>
    <s v="11"/>
    <s v="2013"/>
    <n v="13812.43"/>
    <n v="-135"/>
    <s v="CREDITOR"/>
    <n v="0"/>
    <n v="0"/>
    <n v="-135"/>
    <n v="0"/>
    <n v="0"/>
  </r>
  <r>
    <n v="59855538"/>
    <s v="N"/>
    <n v="21333697"/>
    <s v="3000014217750002RC"/>
    <s v="CIVIL"/>
    <d v="2023-06-23T00:00:00"/>
    <d v="2023-07-05T19:42:28"/>
    <m/>
    <d v="2023-07-05T00:00:00"/>
    <n v="86"/>
    <n v="13296"/>
    <s v="59855538"/>
    <s v="59855538"/>
    <m/>
    <m/>
    <m/>
    <m/>
    <m/>
    <m/>
    <s v="SOLRECOUP"/>
    <s v="SOLRECOUP"/>
    <s v="POARECOUP"/>
    <n v="21333697"/>
    <n v="-329.4"/>
    <m/>
    <s v="Y"/>
    <n v="1"/>
    <d v="2023-07-05T19:42:28"/>
    <s v="N"/>
    <m/>
    <m/>
    <s v="Expert Disbursement"/>
    <m/>
    <s v="N"/>
    <n v="-274.5"/>
    <n v="0"/>
    <x v="6"/>
    <s v="VALIDATED"/>
    <n v="1"/>
    <s v="01.11.80.308.2013.0000"/>
    <n v="-274.5"/>
    <s v="11"/>
    <s v="2013"/>
    <n v="13812.43"/>
    <n v="-274.5"/>
    <s v="CREDITOR"/>
    <n v="0"/>
    <n v="0"/>
    <n v="-274.5"/>
    <n v="0"/>
    <n v="0"/>
  </r>
  <r>
    <n v="59855538"/>
    <s v="N"/>
    <n v="21333697"/>
    <s v="3000014217750002RC"/>
    <s v="CIVIL"/>
    <d v="2023-06-23T00:00:00"/>
    <d v="2023-07-05T19:42:28"/>
    <m/>
    <d v="2023-07-05T00:00:00"/>
    <n v="86"/>
    <n v="13296"/>
    <s v="59855538"/>
    <s v="59855538"/>
    <m/>
    <m/>
    <m/>
    <m/>
    <m/>
    <m/>
    <s v="SOLRECOUP"/>
    <s v="SOLRECOUP"/>
    <s v="POARECOUP"/>
    <n v="21333697"/>
    <n v="-329.4"/>
    <m/>
    <s v="Y"/>
    <n v="2"/>
    <d v="2023-07-05T19:42:28"/>
    <s v="N"/>
    <m/>
    <m/>
    <s v="Expert Disbursement"/>
    <m/>
    <s v="N"/>
    <n v="0"/>
    <n v="-54.9"/>
    <x v="6"/>
    <s v="VALIDATED"/>
    <n v="1"/>
    <s v="01.11.80.308.2013.0000"/>
    <n v="-54.9"/>
    <s v="11"/>
    <s v="2013"/>
    <n v="13812.43"/>
    <n v="-54.9"/>
    <s v="CREDITOR"/>
    <n v="0"/>
    <n v="0"/>
    <n v="-54.9"/>
    <n v="0"/>
    <n v="0"/>
  </r>
  <r>
    <n v="59855538"/>
    <s v="N"/>
    <n v="21333698"/>
    <s v="3000014217750005RC"/>
    <s v="CIVIL"/>
    <d v="2023-06-23T00:00:00"/>
    <d v="2023-07-05T19:42:28"/>
    <m/>
    <d v="2023-07-05T00:00:00"/>
    <n v="86"/>
    <n v="13296"/>
    <s v="59855538"/>
    <s v="59855538"/>
    <m/>
    <m/>
    <m/>
    <m/>
    <m/>
    <m/>
    <s v="SOLRECOUP"/>
    <s v="SOLRECOUP"/>
    <s v="POARECOUP"/>
    <n v="21333698"/>
    <n v="-1080"/>
    <m/>
    <s v="Y"/>
    <n v="2"/>
    <d v="2023-07-05T19:42:28"/>
    <s v="N"/>
    <m/>
    <m/>
    <s v="Expert Disbursement"/>
    <m/>
    <s v="N"/>
    <n v="0"/>
    <n v="-180"/>
    <x v="6"/>
    <s v="VALIDATED"/>
    <n v="1"/>
    <s v="01.11.80.308.2013.0000"/>
    <n v="-180"/>
    <s v="11"/>
    <s v="2013"/>
    <n v="13812.43"/>
    <n v="-180"/>
    <s v="CREDITOR"/>
    <n v="0"/>
    <n v="0"/>
    <n v="-180"/>
    <n v="0"/>
    <n v="0"/>
  </r>
  <r>
    <n v="59855538"/>
    <s v="N"/>
    <n v="21333698"/>
    <s v="3000014217750005RC"/>
    <s v="CIVIL"/>
    <d v="2023-06-23T00:00:00"/>
    <d v="2023-07-05T19:42:28"/>
    <m/>
    <d v="2023-07-05T00:00:00"/>
    <n v="86"/>
    <n v="13296"/>
    <s v="59855538"/>
    <s v="59855538"/>
    <m/>
    <m/>
    <m/>
    <m/>
    <m/>
    <m/>
    <s v="SOLRECOUP"/>
    <s v="SOLRECOUP"/>
    <s v="POARECOUP"/>
    <n v="21333698"/>
    <n v="-1080"/>
    <m/>
    <s v="Y"/>
    <n v="1"/>
    <d v="2023-07-05T19:42:28"/>
    <s v="N"/>
    <m/>
    <m/>
    <s v="Expert Disbursement"/>
    <m/>
    <s v="N"/>
    <n v="-900"/>
    <n v="0"/>
    <x v="6"/>
    <s v="VALIDATED"/>
    <n v="1"/>
    <s v="01.11.80.308.2013.0000"/>
    <n v="-900"/>
    <s v="11"/>
    <s v="2013"/>
    <n v="13812.43"/>
    <n v="-900"/>
    <s v="CREDITOR"/>
    <n v="0"/>
    <n v="0"/>
    <n v="-900"/>
    <n v="0"/>
    <n v="0"/>
  </r>
  <r>
    <n v="59855538"/>
    <s v="N"/>
    <n v="21333699"/>
    <s v="3000014217750003RC"/>
    <s v="CIVIL"/>
    <d v="2023-06-23T00:00:00"/>
    <d v="2023-07-05T19:42:28"/>
    <m/>
    <d v="2023-07-05T00:00:00"/>
    <n v="86"/>
    <n v="13296"/>
    <s v="59855538"/>
    <s v="59855538"/>
    <m/>
    <m/>
    <m/>
    <m/>
    <m/>
    <m/>
    <s v="SOLRECOUP"/>
    <s v="SOLRECOUP"/>
    <s v="POARECOUP"/>
    <n v="21333699"/>
    <n v="-810"/>
    <m/>
    <s v="Y"/>
    <n v="2"/>
    <d v="2023-07-05T19:42:28"/>
    <s v="N"/>
    <m/>
    <m/>
    <s v="Expert Disbursement"/>
    <m/>
    <s v="N"/>
    <n v="0"/>
    <n v="-135"/>
    <x v="6"/>
    <s v="VALIDATED"/>
    <n v="1"/>
    <s v="01.11.80.308.2013.0000"/>
    <n v="-135"/>
    <s v="11"/>
    <s v="2013"/>
    <n v="13812.43"/>
    <n v="-135"/>
    <s v="CREDITOR"/>
    <n v="0"/>
    <n v="0"/>
    <n v="-135"/>
    <n v="0"/>
    <n v="0"/>
  </r>
  <r>
    <n v="59855538"/>
    <s v="N"/>
    <n v="21333699"/>
    <s v="3000014217750003RC"/>
    <s v="CIVIL"/>
    <d v="2023-06-23T00:00:00"/>
    <d v="2023-07-05T19:42:28"/>
    <m/>
    <d v="2023-07-05T00:00:00"/>
    <n v="86"/>
    <n v="13296"/>
    <s v="59855538"/>
    <s v="59855538"/>
    <m/>
    <m/>
    <m/>
    <m/>
    <m/>
    <m/>
    <s v="SOLRECOUP"/>
    <s v="SOLRECOUP"/>
    <s v="POARECOUP"/>
    <n v="21333699"/>
    <n v="-810"/>
    <m/>
    <s v="Y"/>
    <n v="1"/>
    <d v="2023-07-05T19:42:28"/>
    <s v="N"/>
    <m/>
    <m/>
    <s v="Expert Disbursement"/>
    <m/>
    <s v="N"/>
    <n v="-675"/>
    <n v="0"/>
    <x v="6"/>
    <s v="VALIDATED"/>
    <n v="1"/>
    <s v="01.11.80.308.2013.0000"/>
    <n v="-675"/>
    <s v="11"/>
    <s v="2013"/>
    <n v="13812.43"/>
    <n v="-675"/>
    <s v="CREDITOR"/>
    <n v="0"/>
    <n v="0"/>
    <n v="-675"/>
    <n v="0"/>
    <n v="0"/>
  </r>
  <r>
    <n v="59855538"/>
    <s v="N"/>
    <n v="21333700"/>
    <s v="3000014217750004RC"/>
    <s v="CIVIL"/>
    <d v="2023-06-23T00:00:00"/>
    <d v="2023-07-05T19:42:28"/>
    <m/>
    <d v="2023-07-05T00:00:00"/>
    <n v="86"/>
    <n v="13296"/>
    <s v="59855538"/>
    <s v="59855538"/>
    <m/>
    <m/>
    <m/>
    <m/>
    <m/>
    <m/>
    <s v="SOLRECOUP"/>
    <s v="SOLRECOUP"/>
    <s v="POARECOUP"/>
    <n v="21333700"/>
    <n v="-162"/>
    <m/>
    <s v="Y"/>
    <n v="2"/>
    <d v="2023-07-05T19:42:28"/>
    <s v="N"/>
    <m/>
    <m/>
    <s v="Expert Disbursement"/>
    <m/>
    <s v="N"/>
    <n v="0"/>
    <n v="-27"/>
    <x v="6"/>
    <s v="VALIDATED"/>
    <n v="1"/>
    <s v="01.11.80.308.2013.0000"/>
    <n v="-27"/>
    <s v="11"/>
    <s v="2013"/>
    <n v="13812.43"/>
    <n v="-27"/>
    <s v="CREDITOR"/>
    <n v="0"/>
    <n v="0"/>
    <n v="-27"/>
    <n v="0"/>
    <n v="0"/>
  </r>
  <r>
    <n v="59855538"/>
    <s v="N"/>
    <n v="21333700"/>
    <s v="3000014217750004RC"/>
    <s v="CIVIL"/>
    <d v="2023-06-23T00:00:00"/>
    <d v="2023-07-05T19:42:28"/>
    <m/>
    <d v="2023-07-05T00:00:00"/>
    <n v="86"/>
    <n v="13296"/>
    <s v="59855538"/>
    <s v="59855538"/>
    <m/>
    <m/>
    <m/>
    <m/>
    <m/>
    <m/>
    <s v="SOLRECOUP"/>
    <s v="SOLRECOUP"/>
    <s v="POARECOUP"/>
    <n v="21333700"/>
    <n v="-162"/>
    <m/>
    <s v="Y"/>
    <n v="1"/>
    <d v="2023-07-05T19:42:28"/>
    <s v="N"/>
    <m/>
    <m/>
    <s v="Expert Disbursement"/>
    <m/>
    <s v="N"/>
    <n v="-135"/>
    <n v="0"/>
    <x v="6"/>
    <s v="VALIDATED"/>
    <n v="1"/>
    <s v="01.11.80.308.2013.0000"/>
    <n v="-135"/>
    <s v="11"/>
    <s v="2013"/>
    <n v="13812.43"/>
    <n v="-135"/>
    <s v="CREDITOR"/>
    <n v="0"/>
    <n v="0"/>
    <n v="-135"/>
    <n v="0"/>
    <n v="0"/>
  </r>
  <r>
    <n v="59658783"/>
    <s v="N"/>
    <n v="21319030"/>
    <s v="3000014037350004"/>
    <s v="CIVIL"/>
    <d v="2023-06-23T00:00:00"/>
    <d v="2023-07-03T19:01:49"/>
    <m/>
    <d v="2023-07-03T00:00:00"/>
    <n v="86"/>
    <n v="13296"/>
    <s v="59658783"/>
    <s v="59658783"/>
    <m/>
    <m/>
    <n v="22750356"/>
    <m/>
    <m/>
    <m/>
    <s v="SOLFIN"/>
    <s v="SOLFIN"/>
    <s v="CCMS"/>
    <n v="21319030"/>
    <n v="9119.74"/>
    <m/>
    <s v="N"/>
    <n v="29"/>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82"/>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81"/>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87"/>
    <d v="2023-07-03T19:02:08"/>
    <s v="Y"/>
    <s v="Attendance upon client"/>
    <s v="Prescribed Hourly Rates"/>
    <s v="Profit Cost"/>
    <s v="LS"/>
    <s v="Y"/>
    <n v="27.45"/>
    <n v="5.49"/>
    <x v="3"/>
    <s v="VALIDATED"/>
    <n v="1"/>
    <s v="01.11.80.307.6100.0000"/>
    <n v="27.45"/>
    <s v="11"/>
    <s v="6100"/>
    <n v="13812.43"/>
    <n v="27.45"/>
    <s v="CREDITOR"/>
    <n v="0"/>
    <n v="0"/>
    <n v="0"/>
    <n v="0"/>
    <n v="27.45"/>
  </r>
  <r>
    <n v="59658783"/>
    <s v="N"/>
    <n v="21319030"/>
    <s v="3000014037350004"/>
    <s v="CIVIL"/>
    <d v="2023-06-23T00:00:00"/>
    <d v="2023-07-03T19:01:49"/>
    <m/>
    <d v="2023-07-03T00:00:00"/>
    <n v="86"/>
    <n v="13296"/>
    <s v="59658783"/>
    <s v="59658783"/>
    <m/>
    <m/>
    <n v="22750356"/>
    <m/>
    <m/>
    <m/>
    <s v="SOLFIN"/>
    <s v="SOLFIN"/>
    <s v="CCMS"/>
    <n v="21319030"/>
    <n v="9119.74"/>
    <m/>
    <s v="N"/>
    <n v="101"/>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04"/>
    <d v="2023-07-03T19:02:08"/>
    <s v="Y"/>
    <s v="Preparation - other"/>
    <s v="Prescribed Hourly Rates"/>
    <s v="Profit Cost"/>
    <s v="LS"/>
    <s v="Y"/>
    <n v="13.73"/>
    <n v="2.75"/>
    <x v="3"/>
    <s v="VALIDATED"/>
    <n v="1"/>
    <s v="01.11.80.307.6100.0000"/>
    <n v="13.73"/>
    <s v="11"/>
    <s v="6100"/>
    <n v="13812.43"/>
    <n v="13.73"/>
    <s v="CREDITOR"/>
    <n v="0"/>
    <n v="0"/>
    <n v="0"/>
    <n v="0"/>
    <n v="13.73"/>
  </r>
  <r>
    <n v="59855538"/>
    <s v="N"/>
    <n v="21331006"/>
    <s v="3000014217750007"/>
    <s v="CIVIL"/>
    <d v="2023-06-23T00:00:00"/>
    <d v="2023-07-05T19:01:47"/>
    <m/>
    <d v="2023-07-05T00:00:00"/>
    <n v="86"/>
    <n v="13296"/>
    <s v="59855538"/>
    <s v="59855538"/>
    <m/>
    <m/>
    <n v="22749192"/>
    <m/>
    <m/>
    <m/>
    <s v="SOLFIN"/>
    <s v="SOLFIN"/>
    <s v="CCMS"/>
    <n v="21331006"/>
    <n v="10147.2"/>
    <m/>
    <s v="N"/>
    <n v="21"/>
    <d v="2023-07-05T19:02:01"/>
    <s v="Y"/>
    <s v="Solicitors Fixed Fee"/>
    <s v="Public Law Children"/>
    <s v="Profit Cost"/>
    <s v="Patsy Sayers"/>
    <s v="Y"/>
    <n v="2616"/>
    <n v="523.2"/>
    <x v="6"/>
    <s v="VALIDATED"/>
    <n v="1"/>
    <s v="01.11.80.308.6100.0000"/>
    <n v="2616"/>
    <s v="11"/>
    <s v="6100"/>
    <n v="13812.43"/>
    <n v="2616"/>
    <s v="CREDITOR"/>
    <n v="0"/>
    <n v="0"/>
    <n v="0"/>
    <n v="0"/>
    <n v="2616"/>
  </r>
  <r>
    <n v="59658783"/>
    <s v="N"/>
    <n v="21319030"/>
    <s v="3000014037350004"/>
    <s v="CIVIL"/>
    <d v="2023-06-23T00:00:00"/>
    <d v="2023-07-03T19:01:49"/>
    <m/>
    <d v="2023-07-03T00:00:00"/>
    <n v="86"/>
    <n v="13296"/>
    <s v="59658783"/>
    <s v="59658783"/>
    <m/>
    <m/>
    <n v="22750356"/>
    <m/>
    <m/>
    <m/>
    <s v="SOLFIN"/>
    <s v="SOLFIN"/>
    <s v="CCMS"/>
    <n v="21319030"/>
    <n v="9119.74"/>
    <m/>
    <s v="N"/>
    <n v="47"/>
    <d v="2023-07-03T19:02:08"/>
    <s v="Y"/>
    <s v="Preparation - drafting statement"/>
    <s v="Prescribed Hourly Rates"/>
    <s v="Profit Cost"/>
    <s v="LS"/>
    <s v="Y"/>
    <n v="6.86"/>
    <n v="1.37"/>
    <x v="3"/>
    <s v="VALIDATED"/>
    <n v="1"/>
    <s v="01.11.80.307.6100.0000"/>
    <n v="6.86"/>
    <s v="11"/>
    <s v="6100"/>
    <n v="13812.43"/>
    <n v="6.86"/>
    <s v="CREDITOR"/>
    <n v="0"/>
    <n v="0"/>
    <n v="0"/>
    <n v="0"/>
    <n v="6.86"/>
  </r>
  <r>
    <n v="59658783"/>
    <s v="N"/>
    <n v="21319030"/>
    <s v="3000014037350004"/>
    <s v="CIVIL"/>
    <d v="2023-06-23T00:00:00"/>
    <d v="2023-07-03T19:01:49"/>
    <m/>
    <d v="2023-07-03T00:00:00"/>
    <n v="86"/>
    <n v="13296"/>
    <s v="59658783"/>
    <s v="59658783"/>
    <m/>
    <m/>
    <n v="22750356"/>
    <m/>
    <m/>
    <m/>
    <s v="SOLFIN"/>
    <s v="SOLFIN"/>
    <s v="CCMS"/>
    <n v="21319030"/>
    <n v="9119.74"/>
    <m/>
    <s v="N"/>
    <n v="57"/>
    <d v="2023-07-03T19:02:08"/>
    <s v="Y"/>
    <s v="Preparation - other"/>
    <s v="Prescribed Hourly Rates"/>
    <s v="Profit Cost"/>
    <s v="LS"/>
    <s v="Y"/>
    <n v="34.31"/>
    <n v="6.86"/>
    <x v="3"/>
    <s v="VALIDATED"/>
    <n v="1"/>
    <s v="01.11.80.307.6100.0000"/>
    <n v="34.31"/>
    <s v="11"/>
    <s v="6100"/>
    <n v="13812.43"/>
    <n v="34.31"/>
    <s v="CREDITOR"/>
    <n v="0"/>
    <n v="0"/>
    <n v="0"/>
    <n v="0"/>
    <n v="34.31"/>
  </r>
  <r>
    <n v="59855538"/>
    <s v="N"/>
    <n v="21331006"/>
    <s v="3000014217750007"/>
    <s v="CIVIL"/>
    <d v="2023-06-23T00:00:00"/>
    <d v="2023-07-05T19:01:47"/>
    <m/>
    <d v="2023-07-05T00:00:00"/>
    <n v="86"/>
    <n v="13296"/>
    <s v="59855538"/>
    <s v="59855538"/>
    <m/>
    <m/>
    <n v="22749192"/>
    <m/>
    <m/>
    <m/>
    <s v="SOLFIN"/>
    <s v="SOLFIN"/>
    <s v="CCMS"/>
    <n v="21331006"/>
    <n v="10147.2"/>
    <m/>
    <s v="N"/>
    <n v="7"/>
    <d v="2023-07-05T19:02:01"/>
    <s v="Y"/>
    <s v="Solicitor Travel Mileage"/>
    <s v="Public Law Children"/>
    <s v="Non Expert Disbursement"/>
    <s v="Patsy Sayers"/>
    <s v="Y"/>
    <n v="36"/>
    <n v="7.2"/>
    <x v="6"/>
    <s v="VALIDATED"/>
    <n v="1"/>
    <s v="01.11.80.308.6300.0000"/>
    <n v="36"/>
    <s v="11"/>
    <s v="6300"/>
    <n v="13812.43"/>
    <n v="36"/>
    <s v="CREDITOR"/>
    <n v="0"/>
    <n v="0"/>
    <n v="0"/>
    <n v="0"/>
    <n v="36"/>
  </r>
  <r>
    <n v="59658783"/>
    <s v="N"/>
    <n v="21319030"/>
    <s v="3000014037350004"/>
    <s v="CIVIL"/>
    <d v="2023-06-23T00:00:00"/>
    <d v="2023-07-03T19:01:49"/>
    <m/>
    <d v="2023-07-03T00:00:00"/>
    <n v="86"/>
    <n v="13296"/>
    <s v="59658783"/>
    <s v="59658783"/>
    <m/>
    <m/>
    <n v="22750356"/>
    <m/>
    <m/>
    <m/>
    <s v="SOLFIN"/>
    <s v="SOLFIN"/>
    <s v="CCMS"/>
    <n v="21319030"/>
    <n v="9119.74"/>
    <m/>
    <s v="N"/>
    <n v="71"/>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86"/>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107"/>
    <d v="2023-07-03T19:02:08"/>
    <s v="Y"/>
    <s v="Preparation - other"/>
    <s v="Prescribed Hourly Rates"/>
    <s v="Profit Cost"/>
    <s v="LS"/>
    <s v="Y"/>
    <n v="48.04"/>
    <n v="9.609999999999999"/>
    <x v="3"/>
    <s v="VALIDATED"/>
    <n v="1"/>
    <s v="01.11.80.307.6100.0000"/>
    <n v="48.04"/>
    <s v="11"/>
    <s v="6100"/>
    <n v="13812.43"/>
    <n v="48.04"/>
    <s v="CREDITOR"/>
    <n v="0"/>
    <n v="0"/>
    <n v="0"/>
    <n v="0"/>
    <n v="48.04"/>
  </r>
  <r>
    <n v="59658783"/>
    <s v="N"/>
    <n v="21319030"/>
    <s v="3000014037350004"/>
    <s v="CIVIL"/>
    <d v="2023-06-23T00:00:00"/>
    <d v="2023-07-03T19:01:49"/>
    <m/>
    <d v="2023-07-03T00:00:00"/>
    <n v="86"/>
    <n v="13296"/>
    <s v="59658783"/>
    <s v="59658783"/>
    <m/>
    <m/>
    <n v="22750356"/>
    <m/>
    <m/>
    <m/>
    <s v="SOLFIN"/>
    <s v="SOLFIN"/>
    <s v="CCMS"/>
    <n v="21319030"/>
    <n v="9119.74"/>
    <m/>
    <s v="N"/>
    <n v="41"/>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48"/>
    <d v="2023-07-03T19:02:08"/>
    <s v="Y"/>
    <s v="Preparation - drafting statement"/>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69"/>
    <d v="2023-07-03T19:02:08"/>
    <s v="Y"/>
    <s v="Preparation - other"/>
    <s v="Prescribed Hourly Rates"/>
    <s v="Profit Cost"/>
    <s v="LS"/>
    <s v="Y"/>
    <n v="205.88"/>
    <n v="41.18"/>
    <x v="3"/>
    <s v="VALIDATED"/>
    <n v="1"/>
    <s v="01.11.80.307.6100.0000"/>
    <n v="205.88"/>
    <s v="11"/>
    <s v="6100"/>
    <n v="13812.43"/>
    <n v="205.88"/>
    <s v="CREDITOR"/>
    <n v="0"/>
    <n v="0"/>
    <n v="0"/>
    <n v="0"/>
    <n v="205.88"/>
  </r>
  <r>
    <n v="59855538"/>
    <s v="N"/>
    <n v="21331006"/>
    <s v="3000014217750007"/>
    <s v="CIVIL"/>
    <d v="2023-06-23T00:00:00"/>
    <d v="2023-07-05T19:01:47"/>
    <m/>
    <d v="2023-07-05T00:00:00"/>
    <n v="86"/>
    <n v="13296"/>
    <s v="59855538"/>
    <s v="59855538"/>
    <m/>
    <m/>
    <n v="22749192"/>
    <m/>
    <m/>
    <m/>
    <s v="SOLFIN"/>
    <s v="SOLFIN"/>
    <s v="CCMS"/>
    <n v="21331006"/>
    <n v="10147.2"/>
    <m/>
    <s v="N"/>
    <n v="3"/>
    <d v="2023-07-05T19:02:01"/>
    <s v="Y"/>
    <s v="Exceptional Travel"/>
    <s v="Public Law Children"/>
    <s v="Advocacy"/>
    <s v="Patsy Sayers"/>
    <s v="Y"/>
    <n v="32.04"/>
    <n v="6.41"/>
    <x v="6"/>
    <s v="VALIDATED"/>
    <n v="1"/>
    <s v="01.11.80.308.6100.0000"/>
    <n v="32.04"/>
    <s v="11"/>
    <s v="6100"/>
    <n v="13812.43"/>
    <n v="32.04"/>
    <s v="CREDITOR"/>
    <n v="0"/>
    <n v="0"/>
    <n v="0"/>
    <n v="0"/>
    <n v="32.04"/>
  </r>
  <r>
    <n v="59658783"/>
    <s v="N"/>
    <n v="21319030"/>
    <s v="3000014037350004"/>
    <s v="CIVIL"/>
    <d v="2023-06-23T00:00:00"/>
    <d v="2023-07-03T19:01:49"/>
    <m/>
    <d v="2023-07-03T00:00:00"/>
    <n v="86"/>
    <n v="13296"/>
    <s v="59658783"/>
    <s v="59658783"/>
    <m/>
    <m/>
    <n v="22750356"/>
    <m/>
    <m/>
    <m/>
    <s v="SOLFIN"/>
    <s v="SOLFIN"/>
    <s v="CCMS"/>
    <n v="21319030"/>
    <n v="9119.74"/>
    <m/>
    <s v="N"/>
    <n v="51"/>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61"/>
    <d v="2023-07-03T19:02:08"/>
    <s v="Y"/>
    <s v="Preparation - drafting statement"/>
    <s v="Prescribed Hourly Rates"/>
    <s v="Profit Cost"/>
    <s v="LS"/>
    <s v="Y"/>
    <n v="34.31"/>
    <n v="6.86"/>
    <x v="3"/>
    <s v="VALIDATED"/>
    <n v="1"/>
    <s v="01.11.80.307.6100.0000"/>
    <n v="34.31"/>
    <s v="11"/>
    <s v="6100"/>
    <n v="13812.43"/>
    <n v="34.31"/>
    <s v="CREDITOR"/>
    <n v="0"/>
    <n v="0"/>
    <n v="0"/>
    <n v="0"/>
    <n v="34.31"/>
  </r>
  <r>
    <n v="59658783"/>
    <s v="N"/>
    <n v="21319030"/>
    <s v="3000014037350004"/>
    <s v="CIVIL"/>
    <d v="2023-06-23T00:00:00"/>
    <d v="2023-07-03T19:01:49"/>
    <m/>
    <d v="2023-07-03T00:00:00"/>
    <n v="86"/>
    <n v="13296"/>
    <s v="59658783"/>
    <s v="59658783"/>
    <m/>
    <m/>
    <n v="22750356"/>
    <m/>
    <m/>
    <m/>
    <s v="SOLFIN"/>
    <s v="SOLFIN"/>
    <s v="CCMS"/>
    <n v="21319030"/>
    <n v="9119.74"/>
    <m/>
    <s v="N"/>
    <n v="5"/>
    <d v="2023-07-03T19:02:08"/>
    <s v="Y"/>
    <s v="Preparation - other"/>
    <s v="Prescribed Hourly Rates"/>
    <s v="Profit Cost"/>
    <s v="LS"/>
    <s v="Y"/>
    <n v="68.63"/>
    <n v="13.73"/>
    <x v="3"/>
    <s v="VALIDATED"/>
    <n v="1"/>
    <s v="01.11.80.307.6100.0000"/>
    <n v="68.63"/>
    <s v="11"/>
    <s v="6100"/>
    <n v="13812.43"/>
    <n v="68.63"/>
    <s v="CREDITOR"/>
    <n v="0"/>
    <n v="0"/>
    <n v="0"/>
    <n v="0"/>
    <n v="68.63"/>
  </r>
  <r>
    <n v="59855538"/>
    <s v="N"/>
    <n v="21331006"/>
    <s v="3000014217750007"/>
    <s v="CIVIL"/>
    <d v="2023-06-23T00:00:00"/>
    <d v="2023-07-05T19:01:47"/>
    <m/>
    <d v="2023-07-05T00:00:00"/>
    <n v="86"/>
    <n v="13296"/>
    <s v="59855538"/>
    <s v="59855538"/>
    <m/>
    <m/>
    <n v="22749192"/>
    <m/>
    <m/>
    <m/>
    <s v="SOLFIN"/>
    <s v="SOLFIN"/>
    <s v="CCMS"/>
    <n v="21331006"/>
    <n v="10147.2"/>
    <m/>
    <s v="N"/>
    <n v="17"/>
    <d v="2023-07-05T19:02:01"/>
    <s v="Y"/>
    <s v="Advocates Meeting"/>
    <s v="Public Law Children"/>
    <s v="Advocacy"/>
    <s v="Patsy Sayers"/>
    <s v="Y"/>
    <n v="140.99"/>
    <n v="28.2"/>
    <x v="6"/>
    <s v="VALIDATED"/>
    <n v="1"/>
    <s v="01.11.80.308.6100.0000"/>
    <n v="140.99"/>
    <s v="11"/>
    <s v="6100"/>
    <n v="13812.43"/>
    <n v="140.99"/>
    <s v="CREDITOR"/>
    <n v="0"/>
    <n v="0"/>
    <n v="0"/>
    <n v="0"/>
    <n v="140.99"/>
  </r>
  <r>
    <n v="59658783"/>
    <s v="N"/>
    <n v="21319030"/>
    <s v="3000014037350004"/>
    <s v="CIVIL"/>
    <d v="2023-06-23T00:00:00"/>
    <d v="2023-07-03T19:01:49"/>
    <m/>
    <d v="2023-07-03T00:00:00"/>
    <n v="86"/>
    <n v="13296"/>
    <s v="59658783"/>
    <s v="59658783"/>
    <m/>
    <m/>
    <n v="22750356"/>
    <m/>
    <m/>
    <m/>
    <s v="SOLFIN"/>
    <s v="SOLFIN"/>
    <s v="CCMS"/>
    <n v="21319030"/>
    <n v="9119.74"/>
    <m/>
    <s v="N"/>
    <n v="42"/>
    <d v="2023-07-03T19:02:08"/>
    <s v="Y"/>
    <s v="Preparation - drafting instructions"/>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103"/>
    <d v="2023-07-03T19:02:08"/>
    <s v="Y"/>
    <s v="Preparation - other"/>
    <s v="Prescribed Hourly Rates"/>
    <s v="Profit Cost"/>
    <s v="LS"/>
    <s v="Y"/>
    <n v="6.86"/>
    <n v="1.37"/>
    <x v="3"/>
    <s v="VALIDATED"/>
    <n v="1"/>
    <s v="01.11.80.307.6100.0000"/>
    <n v="6.86"/>
    <s v="11"/>
    <s v="6100"/>
    <n v="13812.43"/>
    <n v="6.86"/>
    <s v="CREDITOR"/>
    <n v="0"/>
    <n v="0"/>
    <n v="0"/>
    <n v="0"/>
    <n v="6.86"/>
  </r>
  <r>
    <n v="59855538"/>
    <s v="N"/>
    <n v="21331006"/>
    <s v="3000014217750007"/>
    <s v="CIVIL"/>
    <d v="2023-06-23T00:00:00"/>
    <d v="2023-07-05T19:01:47"/>
    <m/>
    <d v="2023-07-05T00:00:00"/>
    <n v="86"/>
    <n v="13296"/>
    <s v="59855538"/>
    <s v="59855538"/>
    <m/>
    <m/>
    <n v="22749192"/>
    <m/>
    <m/>
    <m/>
    <s v="SOLFIN"/>
    <s v="SOLFIN"/>
    <s v="CCMS"/>
    <n v="21331006"/>
    <n v="10147.2"/>
    <m/>
    <s v="N"/>
    <n v="8"/>
    <d v="2023-07-05T19:02:01"/>
    <s v="Y"/>
    <s v="Pharmacologist"/>
    <s v="Public Law Children"/>
    <s v="Expert Disbursement"/>
    <s v="Patsy Sayers"/>
    <s v="Y"/>
    <n v="274.5"/>
    <n v="54.9"/>
    <x v="6"/>
    <s v="VALIDATED"/>
    <n v="1"/>
    <s v="01.11.80.308.6300.0000"/>
    <n v="274.5"/>
    <s v="11"/>
    <s v="6300"/>
    <n v="13812.43"/>
    <n v="274.5"/>
    <s v="CREDITOR"/>
    <n v="0"/>
    <n v="0"/>
    <n v="0"/>
    <n v="0"/>
    <n v="274.5"/>
  </r>
  <r>
    <n v="59855538"/>
    <s v="N"/>
    <n v="21331006"/>
    <s v="3000014217750007"/>
    <s v="CIVIL"/>
    <d v="2023-06-23T00:00:00"/>
    <d v="2023-07-05T19:01:47"/>
    <m/>
    <d v="2023-07-05T00:00:00"/>
    <n v="86"/>
    <n v="13296"/>
    <s v="59855538"/>
    <s v="59855538"/>
    <m/>
    <m/>
    <n v="22749192"/>
    <m/>
    <m/>
    <m/>
    <s v="SOLFIN"/>
    <s v="SOLFIN"/>
    <s v="CCMS"/>
    <n v="21331006"/>
    <n v="10147.2"/>
    <m/>
    <s v="N"/>
    <n v="15"/>
    <d v="2023-07-05T19:02:01"/>
    <s v="Y"/>
    <s v="Advocates Meeting"/>
    <s v="Public Law Children"/>
    <s v="Advocacy"/>
    <s v="Patsy Sayers"/>
    <s v="Y"/>
    <n v="140.99"/>
    <n v="28.2"/>
    <x v="6"/>
    <s v="VALIDATED"/>
    <n v="1"/>
    <s v="01.11.80.308.6100.0000"/>
    <n v="140.99"/>
    <s v="11"/>
    <s v="6100"/>
    <n v="13812.43"/>
    <n v="140.99"/>
    <s v="CREDITOR"/>
    <n v="0"/>
    <n v="0"/>
    <n v="0"/>
    <n v="0"/>
    <n v="140.99"/>
  </r>
  <r>
    <n v="59658783"/>
    <s v="N"/>
    <n v="21319030"/>
    <s v="3000014037350004"/>
    <s v="CIVIL"/>
    <d v="2023-06-23T00:00:00"/>
    <d v="2023-07-03T19:01:49"/>
    <m/>
    <d v="2023-07-03T00:00:00"/>
    <n v="86"/>
    <n v="13296"/>
    <s v="59658783"/>
    <s v="59658783"/>
    <m/>
    <m/>
    <n v="22750356"/>
    <m/>
    <m/>
    <m/>
    <s v="SOLFIN"/>
    <s v="SOLFIN"/>
    <s v="CCMS"/>
    <n v="21319030"/>
    <n v="9119.74"/>
    <m/>
    <s v="N"/>
    <n v="50"/>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54"/>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77"/>
    <d v="2023-07-03T19:02:08"/>
    <s v="Y"/>
    <s v="Preparation - other"/>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73"/>
    <d v="2023-07-03T19:02:08"/>
    <s v="Y"/>
    <s v="Preparation - other"/>
    <s v="Prescribed Hourly Rates"/>
    <s v="Profit Cost"/>
    <s v="LS"/>
    <s v="Y"/>
    <n v="171.56"/>
    <n v="34.32"/>
    <x v="3"/>
    <s v="VALIDATED"/>
    <n v="1"/>
    <s v="01.11.80.307.6100.0000"/>
    <n v="171.56"/>
    <s v="11"/>
    <s v="6100"/>
    <n v="13812.43"/>
    <n v="171.56"/>
    <s v="CREDITOR"/>
    <n v="0"/>
    <n v="0"/>
    <n v="0"/>
    <n v="0"/>
    <n v="171.56"/>
  </r>
  <r>
    <n v="59658783"/>
    <s v="N"/>
    <n v="21319030"/>
    <s v="3000014037350004"/>
    <s v="CIVIL"/>
    <d v="2023-06-23T00:00:00"/>
    <d v="2023-07-03T19:01:49"/>
    <m/>
    <d v="2023-07-03T00:00:00"/>
    <n v="86"/>
    <n v="13296"/>
    <s v="59658783"/>
    <s v="59658783"/>
    <m/>
    <m/>
    <n v="22750356"/>
    <m/>
    <m/>
    <m/>
    <s v="SOLFIN"/>
    <s v="SOLFIN"/>
    <s v="CCMS"/>
    <n v="21319030"/>
    <n v="9119.74"/>
    <m/>
    <s v="N"/>
    <n v="100"/>
    <d v="2023-07-03T19:02:08"/>
    <s v="Y"/>
    <s v="Attendance upon client"/>
    <s v="Prescribed Hourly Rates"/>
    <s v="Profit Cost"/>
    <s v="LS"/>
    <s v="Y"/>
    <n v="41.18"/>
    <n v="8.24"/>
    <x v="3"/>
    <s v="VALIDATED"/>
    <n v="1"/>
    <s v="01.11.80.307.6100.0000"/>
    <n v="41.18"/>
    <s v="11"/>
    <s v="6100"/>
    <n v="13812.43"/>
    <n v="41.18"/>
    <s v="CREDITOR"/>
    <n v="0"/>
    <n v="0"/>
    <n v="0"/>
    <n v="0"/>
    <n v="41.18"/>
  </r>
  <r>
    <n v="59658783"/>
    <s v="N"/>
    <n v="21319030"/>
    <s v="3000014037350004"/>
    <s v="CIVIL"/>
    <d v="2023-06-23T00:00:00"/>
    <d v="2023-07-03T19:01:49"/>
    <m/>
    <d v="2023-07-03T00:00:00"/>
    <n v="86"/>
    <n v="13296"/>
    <s v="59658783"/>
    <s v="59658783"/>
    <m/>
    <m/>
    <n v="22750356"/>
    <m/>
    <m/>
    <m/>
    <s v="SOLFIN"/>
    <s v="SOLFIN"/>
    <s v="CCMS"/>
    <n v="21319030"/>
    <n v="9119.74"/>
    <m/>
    <s v="N"/>
    <n v="109"/>
    <d v="2023-07-03T19:02:08"/>
    <s v="Y"/>
    <s v="Preparation - drafting bill/claim f"/>
    <s v="Prescribed Hourly Rates"/>
    <s v="Profit Cost"/>
    <s v="CD"/>
    <s v="Y"/>
    <n v="466.65"/>
    <n v="93.34"/>
    <x v="3"/>
    <s v="VALIDATED"/>
    <n v="1"/>
    <s v="01.11.80.307.6100.0000"/>
    <n v="466.65"/>
    <s v="11"/>
    <s v="6100"/>
    <n v="13812.43"/>
    <n v="466.65"/>
    <s v="CREDITOR"/>
    <n v="0"/>
    <n v="0"/>
    <n v="0"/>
    <n v="0"/>
    <n v="466.65"/>
  </r>
  <r>
    <n v="59855538"/>
    <s v="N"/>
    <n v="21331006"/>
    <s v="3000014217750007"/>
    <s v="CIVIL"/>
    <d v="2023-06-23T00:00:00"/>
    <d v="2023-07-05T19:01:47"/>
    <m/>
    <d v="2023-07-05T00:00:00"/>
    <n v="86"/>
    <n v="13296"/>
    <s v="59855538"/>
    <s v="59855538"/>
    <m/>
    <m/>
    <n v="22749192"/>
    <m/>
    <m/>
    <m/>
    <s v="SOLFIN"/>
    <s v="SOLFIN"/>
    <s v="CCMS"/>
    <n v="21331006"/>
    <n v="10147.2"/>
    <m/>
    <s v="N"/>
    <n v="14"/>
    <d v="2023-07-05T19:02:01"/>
    <s v="Y"/>
    <s v="Hearing Unit 2.31 - 5.00 Hours"/>
    <s v="Public Law Children"/>
    <s v="Advocacy"/>
    <s v="Patsy Sayers"/>
    <s v="Y"/>
    <n v="596.15"/>
    <n v="119.23"/>
    <x v="6"/>
    <s v="VALIDATED"/>
    <n v="1"/>
    <s v="01.11.80.308.6100.0000"/>
    <n v="596.15"/>
    <s v="11"/>
    <s v="6100"/>
    <n v="13812.43"/>
    <n v="596.15"/>
    <s v="CREDITOR"/>
    <n v="0"/>
    <n v="0"/>
    <n v="0"/>
    <n v="0"/>
    <n v="596.15"/>
  </r>
  <r>
    <n v="59658783"/>
    <s v="N"/>
    <n v="21319030"/>
    <s v="3000014037350004"/>
    <s v="CIVIL"/>
    <d v="2023-06-23T00:00:00"/>
    <d v="2023-07-03T19:01:49"/>
    <m/>
    <d v="2023-07-03T00:00:00"/>
    <n v="86"/>
    <n v="13296"/>
    <s v="59658783"/>
    <s v="59658783"/>
    <m/>
    <m/>
    <n v="22750356"/>
    <m/>
    <m/>
    <m/>
    <s v="SOLFIN"/>
    <s v="SOLFIN"/>
    <s v="CCMS"/>
    <n v="21319030"/>
    <n v="9119.74"/>
    <m/>
    <s v="N"/>
    <n v="62"/>
    <d v="2023-07-03T19:02:08"/>
    <s v="Y"/>
    <s v="Preparation - drafting statement"/>
    <s v="Prescribed Hourly Rates"/>
    <s v="Profit Cost"/>
    <s v="LS"/>
    <s v="Y"/>
    <n v="48.04"/>
    <n v="9.609999999999999"/>
    <x v="3"/>
    <s v="VALIDATED"/>
    <n v="1"/>
    <s v="01.11.80.307.6100.0000"/>
    <n v="48.04"/>
    <s v="11"/>
    <s v="6100"/>
    <n v="13812.43"/>
    <n v="48.04"/>
    <s v="CREDITOR"/>
    <n v="0"/>
    <n v="0"/>
    <n v="0"/>
    <n v="0"/>
    <n v="48.04"/>
  </r>
  <r>
    <n v="59658783"/>
    <s v="N"/>
    <n v="21319030"/>
    <s v="3000014037350004"/>
    <s v="CIVIL"/>
    <d v="2023-06-23T00:00:00"/>
    <d v="2023-07-03T19:01:49"/>
    <m/>
    <d v="2023-07-03T00:00:00"/>
    <n v="86"/>
    <n v="13296"/>
    <s v="59658783"/>
    <s v="59658783"/>
    <m/>
    <m/>
    <n v="22750356"/>
    <m/>
    <m/>
    <m/>
    <s v="SOLFIN"/>
    <s v="SOLFIN"/>
    <s v="CCMS"/>
    <n v="21319030"/>
    <n v="9119.74"/>
    <m/>
    <s v="N"/>
    <n v="70"/>
    <d v="2023-07-03T19:02:08"/>
    <s v="Y"/>
    <s v="Preparation - other"/>
    <s v="Prescribed Hourly Rates"/>
    <s v="Profit Cost"/>
    <s v="LS"/>
    <s v="Y"/>
    <n v="205.88"/>
    <n v="41.18"/>
    <x v="3"/>
    <s v="VALIDATED"/>
    <n v="1"/>
    <s v="01.11.80.307.6100.0000"/>
    <n v="205.88"/>
    <s v="11"/>
    <s v="6100"/>
    <n v="13812.43"/>
    <n v="205.88"/>
    <s v="CREDITOR"/>
    <n v="0"/>
    <n v="0"/>
    <n v="0"/>
    <n v="0"/>
    <n v="205.88"/>
  </r>
  <r>
    <n v="59658783"/>
    <s v="N"/>
    <n v="21319030"/>
    <s v="3000014037350004"/>
    <s v="CIVIL"/>
    <d v="2023-06-23T00:00:00"/>
    <d v="2023-07-03T19:01:49"/>
    <m/>
    <d v="2023-07-03T00:00:00"/>
    <n v="86"/>
    <n v="13296"/>
    <s v="59658783"/>
    <s v="59658783"/>
    <m/>
    <m/>
    <n v="22750356"/>
    <m/>
    <m/>
    <m/>
    <s v="SOLFIN"/>
    <s v="SOLFIN"/>
    <s v="CCMS"/>
    <n v="21319030"/>
    <n v="9119.74"/>
    <m/>
    <s v="N"/>
    <n v="8"/>
    <d v="2023-07-03T19:02:08"/>
    <s v="Y"/>
    <s v="Preparation - other"/>
    <s v="Prescribed Hourly Rates"/>
    <s v="Profit Cost"/>
    <s v="LS"/>
    <s v="Y"/>
    <n v="6.86"/>
    <n v="1.37"/>
    <x v="3"/>
    <s v="VALIDATED"/>
    <n v="1"/>
    <s v="01.11.80.307.6100.0000"/>
    <n v="6.86"/>
    <s v="11"/>
    <s v="6100"/>
    <n v="13812.43"/>
    <n v="6.86"/>
    <s v="CREDITOR"/>
    <n v="0"/>
    <n v="0"/>
    <n v="0"/>
    <n v="0"/>
    <n v="6.86"/>
  </r>
  <r>
    <n v="59855538"/>
    <s v="N"/>
    <n v="21331006"/>
    <s v="3000014217750007"/>
    <s v="CIVIL"/>
    <d v="2023-06-23T00:00:00"/>
    <d v="2023-07-05T19:01:47"/>
    <m/>
    <d v="2023-07-05T00:00:00"/>
    <n v="86"/>
    <n v="13296"/>
    <s v="59855538"/>
    <s v="59855538"/>
    <m/>
    <m/>
    <n v="22749192"/>
    <m/>
    <m/>
    <m/>
    <s v="SOLFIN"/>
    <s v="SOLFIN"/>
    <s v="CCMS"/>
    <n v="21331006"/>
    <n v="10147.2"/>
    <m/>
    <s v="N"/>
    <n v="19"/>
    <d v="2023-07-05T19:02:01"/>
    <s v="Y"/>
    <s v="Advocates Meeting"/>
    <s v="Public Law Children"/>
    <s v="Advocacy"/>
    <s v="Patsy Sayers"/>
    <s v="Y"/>
    <n v="140.99"/>
    <n v="28.2"/>
    <x v="6"/>
    <s v="VALIDATED"/>
    <n v="1"/>
    <s v="01.11.80.308.6100.0000"/>
    <n v="140.99"/>
    <s v="11"/>
    <s v="6100"/>
    <n v="13812.43"/>
    <n v="140.99"/>
    <s v="CREDITOR"/>
    <n v="0"/>
    <n v="0"/>
    <n v="0"/>
    <n v="0"/>
    <n v="140.99"/>
  </r>
  <r>
    <n v="59855538"/>
    <s v="N"/>
    <n v="21331006"/>
    <s v="3000014217750007"/>
    <s v="CIVIL"/>
    <d v="2023-06-23T00:00:00"/>
    <d v="2023-07-05T19:01:47"/>
    <m/>
    <d v="2023-07-05T00:00:00"/>
    <n v="86"/>
    <n v="13296"/>
    <s v="59855538"/>
    <s v="59855538"/>
    <m/>
    <m/>
    <n v="22749192"/>
    <m/>
    <m/>
    <m/>
    <s v="SOLFIN"/>
    <s v="SOLFIN"/>
    <s v="CCMS"/>
    <n v="21331006"/>
    <n v="10147.2"/>
    <m/>
    <s v="N"/>
    <n v="9"/>
    <d v="2023-07-05T19:02:01"/>
    <s v="Y"/>
    <s v="Paediatrician"/>
    <s v="Public Law Children"/>
    <s v="Expert Disbursement"/>
    <s v="Patsy Sayers"/>
    <s v="Y"/>
    <n v="675"/>
    <n v="135"/>
    <x v="6"/>
    <s v="VALIDATED"/>
    <n v="1"/>
    <s v="01.11.80.308.6300.0000"/>
    <n v="675"/>
    <s v="11"/>
    <s v="6300"/>
    <n v="13812.43"/>
    <n v="675"/>
    <s v="CREDITOR"/>
    <n v="0"/>
    <n v="0"/>
    <n v="0"/>
    <n v="0"/>
    <n v="675"/>
  </r>
  <r>
    <n v="59855538"/>
    <s v="N"/>
    <n v="21331006"/>
    <s v="3000014217750007"/>
    <s v="CIVIL"/>
    <d v="2023-06-23T00:00:00"/>
    <d v="2023-07-05T19:01:47"/>
    <m/>
    <d v="2023-07-05T00:00:00"/>
    <n v="86"/>
    <n v="13296"/>
    <s v="59855538"/>
    <s v="59855538"/>
    <m/>
    <m/>
    <n v="22749192"/>
    <m/>
    <m/>
    <m/>
    <s v="SOLFIN"/>
    <s v="SOLFIN"/>
    <s v="CCMS"/>
    <n v="21331006"/>
    <n v="10147.2"/>
    <m/>
    <s v="N"/>
    <n v="16"/>
    <d v="2023-07-05T19:02:01"/>
    <s v="Y"/>
    <s v="Hearing Unit 2.31 - 5.00 Hours"/>
    <s v="Public Law Children"/>
    <s v="Advocacy"/>
    <s v="Patsy Sayers"/>
    <s v="Y"/>
    <n v="596.15"/>
    <n v="119.23"/>
    <x v="6"/>
    <s v="VALIDATED"/>
    <n v="1"/>
    <s v="01.11.80.308.6100.0000"/>
    <n v="596.15"/>
    <s v="11"/>
    <s v="6100"/>
    <n v="13812.43"/>
    <n v="596.15"/>
    <s v="CREDITOR"/>
    <n v="0"/>
    <n v="0"/>
    <n v="0"/>
    <n v="0"/>
    <n v="596.15"/>
  </r>
  <r>
    <n v="59658783"/>
    <s v="N"/>
    <n v="21319030"/>
    <s v="3000014037350004"/>
    <s v="CIVIL"/>
    <d v="2023-06-23T00:00:00"/>
    <d v="2023-07-03T19:01:49"/>
    <m/>
    <d v="2023-07-03T00:00:00"/>
    <n v="86"/>
    <n v="13296"/>
    <s v="59658783"/>
    <s v="59658783"/>
    <m/>
    <m/>
    <n v="22750356"/>
    <m/>
    <m/>
    <m/>
    <s v="SOLFIN"/>
    <s v="SOLFIN"/>
    <s v="CCMS"/>
    <n v="21319030"/>
    <n v="9119.74"/>
    <m/>
    <s v="N"/>
    <n v="43"/>
    <d v="2023-07-03T19:02:08"/>
    <s v="Y"/>
    <s v="Preparation - drafting instructions"/>
    <s v="Prescribed Hourly Rates"/>
    <s v="Profit Cost"/>
    <s v="LS"/>
    <s v="Y"/>
    <n v="20.59"/>
    <n v="4.12"/>
    <x v="3"/>
    <s v="VALIDATED"/>
    <n v="1"/>
    <s v="01.11.80.307.6100.0000"/>
    <n v="20.59"/>
    <s v="11"/>
    <s v="6100"/>
    <n v="13812.43"/>
    <n v="20.59"/>
    <s v="CREDITOR"/>
    <n v="0"/>
    <n v="0"/>
    <n v="0"/>
    <n v="0"/>
    <n v="20.59"/>
  </r>
  <r>
    <n v="59658783"/>
    <s v="N"/>
    <n v="21319030"/>
    <s v="3000014037350004"/>
    <s v="CIVIL"/>
    <d v="2023-06-23T00:00:00"/>
    <d v="2023-07-03T19:01:49"/>
    <m/>
    <d v="2023-07-03T00:00:00"/>
    <n v="86"/>
    <n v="13296"/>
    <s v="59658783"/>
    <s v="59658783"/>
    <m/>
    <m/>
    <n v="22750356"/>
    <m/>
    <m/>
    <m/>
    <s v="SOLFIN"/>
    <s v="SOLFIN"/>
    <s v="CCMS"/>
    <n v="21319030"/>
    <n v="9119.74"/>
    <m/>
    <s v="N"/>
    <n v="39"/>
    <d v="2023-07-03T19:02:08"/>
    <s v="Y"/>
    <s v="Preparation - other"/>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4"/>
    <d v="2023-07-03T19:02:08"/>
    <s v="Y"/>
    <s v="Attendance upon court"/>
    <s v="Prescribed Hourly Rates"/>
    <s v="Profit Cost"/>
    <s v="LS"/>
    <s v="Y"/>
    <n v="13.73"/>
    <n v="2.75"/>
    <x v="3"/>
    <s v="VALIDATED"/>
    <n v="1"/>
    <s v="01.11.80.307.6100.0000"/>
    <n v="13.73"/>
    <s v="11"/>
    <s v="6100"/>
    <n v="13812.43"/>
    <n v="13.73"/>
    <s v="CREDITOR"/>
    <n v="0"/>
    <n v="0"/>
    <n v="0"/>
    <n v="0"/>
    <n v="13.73"/>
  </r>
  <r>
    <n v="59658783"/>
    <s v="N"/>
    <n v="21319030"/>
    <s v="3000014037350004"/>
    <s v="CIVIL"/>
    <d v="2023-06-23T00:00:00"/>
    <d v="2023-07-03T19:01:49"/>
    <m/>
    <d v="2023-07-03T00:00:00"/>
    <n v="86"/>
    <n v="13296"/>
    <s v="59658783"/>
    <s v="59658783"/>
    <m/>
    <m/>
    <n v="22750356"/>
    <m/>
    <m/>
    <m/>
    <s v="SOLFIN"/>
    <s v="SOLFIN"/>
    <s v="CCMS"/>
    <n v="21319030"/>
    <n v="9119.74"/>
    <m/>
    <s v="N"/>
    <n v="22"/>
    <d v="2023-07-03T19:02:08"/>
    <s v="Y"/>
    <s v="Preparation - drafting instructions"/>
    <s v="Prescribed Hourly Rates"/>
    <s v="Profit Cost"/>
    <s v="LS"/>
    <s v="Y"/>
    <n v="27.45"/>
    <n v="5.49"/>
    <x v="3"/>
    <s v="VALIDATED"/>
    <n v="1"/>
    <s v="01.11.80.307.6100.0000"/>
    <n v="27.45"/>
    <s v="11"/>
    <s v="6100"/>
    <n v="13812.43"/>
    <n v="27.45"/>
    <s v="CREDITOR"/>
    <n v="0"/>
    <n v="0"/>
    <n v="0"/>
    <n v="0"/>
    <n v="27.45"/>
  </r>
  <r>
    <n v="59855538"/>
    <s v="N"/>
    <n v="21331006"/>
    <s v="3000014217750007"/>
    <s v="CIVIL"/>
    <d v="2023-06-23T00:00:00"/>
    <d v="2023-07-05T19:01:47"/>
    <m/>
    <d v="2023-07-05T00:00:00"/>
    <n v="86"/>
    <n v="13296"/>
    <s v="59855538"/>
    <s v="59855538"/>
    <m/>
    <m/>
    <n v="22749192"/>
    <m/>
    <m/>
    <m/>
    <s v="SOLFIN"/>
    <s v="SOLFIN"/>
    <s v="CCMS"/>
    <n v="21331006"/>
    <n v="10147.2"/>
    <m/>
    <s v="N"/>
    <n v="2"/>
    <d v="2023-07-05T19:02:01"/>
    <s v="Y"/>
    <s v="Interim Hearing Court Bundle/Advoca"/>
    <s v="Public Law Children"/>
    <s v="Advocacy"/>
    <s v="Patsy Sayers"/>
    <s v="Y"/>
    <n v="89.09999999999999"/>
    <n v="17.82"/>
    <x v="6"/>
    <s v="VALIDATED"/>
    <n v="1"/>
    <s v="01.11.80.308.6100.0000"/>
    <n v="89.09999999999999"/>
    <s v="11"/>
    <s v="6100"/>
    <n v="13812.43"/>
    <n v="89.09999999999999"/>
    <s v="CREDITOR"/>
    <n v="0"/>
    <n v="0"/>
    <n v="0"/>
    <n v="0"/>
    <n v="89.09999999999999"/>
  </r>
  <r>
    <n v="59658783"/>
    <s v="N"/>
    <n v="21319030"/>
    <s v="3000014037350004"/>
    <s v="CIVIL"/>
    <d v="2023-06-23T00:00:00"/>
    <d v="2023-07-03T19:01:49"/>
    <m/>
    <d v="2023-07-03T00:00:00"/>
    <n v="86"/>
    <n v="13296"/>
    <s v="59658783"/>
    <s v="59658783"/>
    <m/>
    <m/>
    <n v="22750356"/>
    <m/>
    <m/>
    <m/>
    <s v="SOLFIN"/>
    <s v="SOLFIN"/>
    <s v="CCMS"/>
    <n v="21319030"/>
    <n v="9119.74"/>
    <m/>
    <s v="N"/>
    <n v="27"/>
    <d v="2023-07-03T19:02:08"/>
    <s v="Y"/>
    <s v="Preparation - other"/>
    <s v="Prescribed Hourly Rates"/>
    <s v="Profit Cost"/>
    <s v="LS"/>
    <s v="Y"/>
    <n v="34.31"/>
    <n v="6.86"/>
    <x v="3"/>
    <s v="VALIDATED"/>
    <n v="1"/>
    <s v="01.11.80.307.6100.0000"/>
    <n v="34.31"/>
    <s v="11"/>
    <s v="6100"/>
    <n v="13812.43"/>
    <n v="34.31"/>
    <s v="CREDITOR"/>
    <n v="0"/>
    <n v="0"/>
    <n v="0"/>
    <n v="0"/>
    <n v="34.31"/>
  </r>
  <r>
    <n v="59658783"/>
    <s v="N"/>
    <n v="21319030"/>
    <s v="3000014037350004"/>
    <s v="CIVIL"/>
    <d v="2023-06-23T00:00:00"/>
    <d v="2023-07-03T19:01:49"/>
    <m/>
    <d v="2023-07-03T00:00:00"/>
    <n v="86"/>
    <n v="13296"/>
    <s v="59658783"/>
    <s v="59658783"/>
    <m/>
    <m/>
    <n v="22750356"/>
    <m/>
    <m/>
    <m/>
    <s v="SOLFIN"/>
    <s v="SOLFIN"/>
    <s v="CCMS"/>
    <n v="21319030"/>
    <n v="9119.74"/>
    <m/>
    <s v="N"/>
    <n v="72"/>
    <d v="2023-07-03T19:02:08"/>
    <s v="Y"/>
    <s v="Preparation - other"/>
    <s v="Prescribed Hourly Rates"/>
    <s v="Profit Cost"/>
    <s v="LS"/>
    <s v="Y"/>
    <n v="13.73"/>
    <n v="2.75"/>
    <x v="3"/>
    <s v="VALIDATED"/>
    <n v="1"/>
    <s v="01.11.80.307.6100.0000"/>
    <n v="13.73"/>
    <s v="11"/>
    <s v="6100"/>
    <n v="13812.43"/>
    <n v="13.73"/>
    <s v="CREDITOR"/>
    <n v="0"/>
    <n v="0"/>
    <n v="0"/>
    <n v="0"/>
    <n v="13.73"/>
  </r>
  <r>
    <n v="60651574"/>
    <s v="N"/>
    <n v="21356238"/>
    <s v="3000014905880004RC"/>
    <s v="CIVIL"/>
    <d v="2023-06-30T00:00:00"/>
    <d v="2023-07-10T19:47:44"/>
    <m/>
    <d v="2023-07-10T00:00:00"/>
    <n v="89"/>
    <n v="13319"/>
    <s v="60651574"/>
    <s v="60651574"/>
    <m/>
    <m/>
    <m/>
    <m/>
    <m/>
    <m/>
    <s v="SOLRECOUP"/>
    <s v="SOLRECOUP"/>
    <s v="POARECOUP"/>
    <n v="21356238"/>
    <n v="-1255.68"/>
    <m/>
    <s v="Y"/>
    <n v="1"/>
    <d v="2023-07-10T19:47:44"/>
    <s v="N"/>
    <m/>
    <m/>
    <s v="Profit Cost"/>
    <m/>
    <s v="N"/>
    <n v="-1046.4"/>
    <n v="0"/>
    <x v="2"/>
    <s v="VALIDATED"/>
    <n v="1"/>
    <s v="01.11.80.308.2013.0000"/>
    <n v="-1046.4"/>
    <s v="11"/>
    <s v="2013"/>
    <n v="1290.46"/>
    <n v="-1046.4"/>
    <s v="CREDITOR"/>
    <n v="0"/>
    <n v="0"/>
    <n v="-1046.4"/>
    <n v="-261.6"/>
    <n v="0"/>
  </r>
  <r>
    <n v="61834922"/>
    <s v="N"/>
    <n v="21318597"/>
    <s v="3000015902580005"/>
    <s v="CIVIL"/>
    <d v="2023-06-23T00:00:00"/>
    <d v="2023-07-03T19:01:49"/>
    <m/>
    <d v="2023-07-03T00:00:00"/>
    <n v="89"/>
    <n v="13319"/>
    <s v="61834922"/>
    <s v="61834922"/>
    <m/>
    <m/>
    <n v="22755480"/>
    <m/>
    <m/>
    <m/>
    <s v="SOLPOA"/>
    <s v="SOLPOA"/>
    <s v="CCMS"/>
    <n v="21318597"/>
    <n v="651"/>
    <m/>
    <s v="N"/>
    <n v="1"/>
    <d v="2023-07-03T19:02:00"/>
    <s v="N"/>
    <s v="Expert Cost"/>
    <s v="Expert Cost"/>
    <s v="Expert Disbursement"/>
    <s v="Lucinda Parker"/>
    <s v="N"/>
    <n v="651"/>
    <n v="0"/>
    <x v="3"/>
    <s v="VALIDATED"/>
    <n v="1"/>
    <s v="01.11.80.308.2012.0000"/>
    <n v="651"/>
    <s v="11"/>
    <s v="2012"/>
    <n v="1290.46"/>
    <n v="651"/>
    <s v="CREDITOR"/>
    <n v="651"/>
    <n v="0"/>
    <n v="0"/>
    <n v="0"/>
    <n v="0"/>
  </r>
  <r>
    <n v="26392542"/>
    <s v="N"/>
    <n v="21324249"/>
    <s v="3000009085310003RC"/>
    <s v="CIVIL"/>
    <d v="2023-06-23T00:00:00"/>
    <d v="2023-07-03T19:42:50"/>
    <m/>
    <d v="2023-07-03T00:00:00"/>
    <n v="89"/>
    <n v="13319"/>
    <s v="26392542"/>
    <s v="26392542"/>
    <m/>
    <m/>
    <m/>
    <m/>
    <m/>
    <m/>
    <s v="SOLRECOUP"/>
    <s v="SOLRECOUP"/>
    <s v="POARECOUP"/>
    <n v="21324249"/>
    <n v="-2511.36"/>
    <m/>
    <s v="Y"/>
    <n v="1"/>
    <d v="2023-07-03T19:42:50"/>
    <s v="N"/>
    <m/>
    <m/>
    <s v="Profit Cost"/>
    <m/>
    <s v="N"/>
    <n v="-2092.8"/>
    <n v="0"/>
    <x v="3"/>
    <s v="VALIDATED"/>
    <n v="1"/>
    <s v="01.11.80.308.2013.0000"/>
    <n v="-2092.8"/>
    <s v="11"/>
    <s v="2013"/>
    <n v="1290.46"/>
    <n v="-2092.8"/>
    <s v="CREDITOR"/>
    <n v="0"/>
    <n v="0"/>
    <n v="-2092.8"/>
    <n v="-523.2"/>
    <n v="0"/>
  </r>
  <r>
    <n v="26392542"/>
    <s v="N"/>
    <n v="21324249"/>
    <s v="3000009085310003RC"/>
    <s v="CIVIL"/>
    <d v="2023-06-23T00:00:00"/>
    <d v="2023-07-03T19:42:50"/>
    <m/>
    <d v="2023-07-03T00:00:00"/>
    <n v="89"/>
    <n v="13319"/>
    <s v="26392542"/>
    <s v="26392542"/>
    <m/>
    <m/>
    <m/>
    <m/>
    <m/>
    <m/>
    <s v="SOLRECOUP"/>
    <s v="SOLRECOUP"/>
    <s v="POARECOUP"/>
    <n v="21324249"/>
    <n v="-2511.36"/>
    <m/>
    <s v="Y"/>
    <n v="2"/>
    <d v="2023-07-03T19:42:50"/>
    <s v="N"/>
    <m/>
    <m/>
    <s v="Profit Cost"/>
    <m/>
    <s v="N"/>
    <n v="0"/>
    <n v="-418.56"/>
    <x v="3"/>
    <s v="VALIDATED"/>
    <n v="1"/>
    <s v="01.11.80.308.2013.0000"/>
    <n v="-418.56"/>
    <s v="11"/>
    <s v="2013"/>
    <n v="1290.46"/>
    <n v="-418.56"/>
    <s v="CREDITOR"/>
    <n v="0"/>
    <n v="0"/>
    <n v="-418.56"/>
    <n v="-104.64"/>
    <n v="0"/>
  </r>
  <r>
    <n v="26392542"/>
    <s v="N"/>
    <n v="21324250"/>
    <s v="3000009085310002RC"/>
    <s v="CIVIL"/>
    <d v="2023-06-23T00:00:00"/>
    <d v="2023-07-03T19:42:50"/>
    <m/>
    <d v="2023-07-03T00:00:00"/>
    <n v="89"/>
    <n v="13319"/>
    <s v="26392542"/>
    <s v="26392542"/>
    <m/>
    <m/>
    <m/>
    <m/>
    <m/>
    <m/>
    <s v="SOLRECOUP"/>
    <s v="SOLRECOUP"/>
    <s v="POARECOUP"/>
    <n v="21324250"/>
    <n v="-570.24"/>
    <m/>
    <s v="Y"/>
    <n v="1"/>
    <d v="2023-07-03T19:42:50"/>
    <s v="N"/>
    <m/>
    <m/>
    <s v="Expert Disbursement"/>
    <m/>
    <s v="N"/>
    <n v="-475.2"/>
    <n v="0"/>
    <x v="3"/>
    <s v="VALIDATED"/>
    <n v="1"/>
    <s v="01.11.80.308.2013.0000"/>
    <n v="-475.2"/>
    <s v="11"/>
    <s v="2013"/>
    <n v="1290.46"/>
    <n v="-475.2"/>
    <s v="CREDITOR"/>
    <n v="0"/>
    <n v="0"/>
    <n v="-475.2"/>
    <n v="0"/>
    <n v="0"/>
  </r>
  <r>
    <n v="26392542"/>
    <s v="N"/>
    <n v="21324250"/>
    <s v="3000009085310002RC"/>
    <s v="CIVIL"/>
    <d v="2023-06-23T00:00:00"/>
    <d v="2023-07-03T19:42:50"/>
    <m/>
    <d v="2023-07-03T00:00:00"/>
    <n v="89"/>
    <n v="13319"/>
    <s v="26392542"/>
    <s v="26392542"/>
    <m/>
    <m/>
    <m/>
    <m/>
    <m/>
    <m/>
    <s v="SOLRECOUP"/>
    <s v="SOLRECOUP"/>
    <s v="POARECOUP"/>
    <n v="21324250"/>
    <n v="-570.24"/>
    <m/>
    <s v="Y"/>
    <n v="2"/>
    <d v="2023-07-03T19:42:50"/>
    <s v="N"/>
    <m/>
    <m/>
    <s v="Expert Disbursement"/>
    <m/>
    <s v="N"/>
    <n v="0"/>
    <n v="-95.04000000000001"/>
    <x v="3"/>
    <s v="VALIDATED"/>
    <n v="1"/>
    <s v="01.11.80.308.2013.0000"/>
    <n v="-95.04000000000001"/>
    <s v="11"/>
    <s v="2013"/>
    <n v="1290.46"/>
    <n v="-95.04000000000001"/>
    <s v="CREDITOR"/>
    <n v="0"/>
    <n v="0"/>
    <n v="-95.04000000000001"/>
    <n v="0"/>
    <n v="0"/>
  </r>
  <r>
    <n v="26392542"/>
    <s v="N"/>
    <n v="21324251"/>
    <s v="3000009085310004RC"/>
    <s v="CIVIL"/>
    <d v="2023-06-23T00:00:00"/>
    <d v="2023-07-03T19:42:50"/>
    <m/>
    <d v="2023-07-03T00:00:00"/>
    <n v="89"/>
    <n v="13319"/>
    <s v="26392542"/>
    <s v="26392542"/>
    <m/>
    <m/>
    <m/>
    <m/>
    <m/>
    <m/>
    <s v="SOLRECOUP"/>
    <s v="SOLRECOUP"/>
    <s v="POARECOUP"/>
    <n v="21324251"/>
    <n v="-899.52"/>
    <m/>
    <s v="Y"/>
    <n v="1"/>
    <d v="2023-07-03T19:42:50"/>
    <s v="N"/>
    <m/>
    <m/>
    <s v="Profit Cost"/>
    <m/>
    <s v="N"/>
    <n v="-749.6"/>
    <n v="0"/>
    <x v="3"/>
    <s v="VALIDATED"/>
    <n v="1"/>
    <s v="01.11.80.308.2013.0000"/>
    <n v="-749.6"/>
    <s v="11"/>
    <s v="2013"/>
    <n v="1290.46"/>
    <n v="-749.6"/>
    <s v="CREDITOR"/>
    <n v="0"/>
    <n v="0"/>
    <n v="-749.6"/>
    <n v="-187.4"/>
    <n v="0"/>
  </r>
  <r>
    <n v="26392542"/>
    <s v="N"/>
    <n v="21324251"/>
    <s v="3000009085310004RC"/>
    <s v="CIVIL"/>
    <d v="2023-06-23T00:00:00"/>
    <d v="2023-07-03T19:42:50"/>
    <m/>
    <d v="2023-07-03T00:00:00"/>
    <n v="89"/>
    <n v="13319"/>
    <s v="26392542"/>
    <s v="26392542"/>
    <m/>
    <m/>
    <m/>
    <m/>
    <m/>
    <m/>
    <s v="SOLRECOUP"/>
    <s v="SOLRECOUP"/>
    <s v="POARECOUP"/>
    <n v="21324251"/>
    <n v="-899.52"/>
    <m/>
    <s v="Y"/>
    <n v="2"/>
    <d v="2023-07-03T19:42:50"/>
    <s v="N"/>
    <m/>
    <m/>
    <s v="Profit Cost"/>
    <m/>
    <s v="N"/>
    <n v="0"/>
    <n v="-149.92"/>
    <x v="3"/>
    <s v="VALIDATED"/>
    <n v="1"/>
    <s v="01.11.80.308.2013.0000"/>
    <n v="-149.92"/>
    <s v="11"/>
    <s v="2013"/>
    <n v="1290.46"/>
    <n v="-149.92"/>
    <s v="CREDITOR"/>
    <n v="0"/>
    <n v="0"/>
    <n v="-149.92"/>
    <n v="-37.48"/>
    <n v="0"/>
  </r>
  <r>
    <n v="26392542"/>
    <s v="N"/>
    <n v="21318455"/>
    <s v="3000009085310005"/>
    <s v="CIVIL"/>
    <d v="2023-06-23T00:00:00"/>
    <d v="2023-07-03T19:01:49"/>
    <m/>
    <d v="2023-07-03T00:00:00"/>
    <n v="89"/>
    <n v="13319"/>
    <s v="26392542"/>
    <s v="26392542"/>
    <m/>
    <m/>
    <n v="22751964"/>
    <m/>
    <m/>
    <m/>
    <s v="SOLFIN"/>
    <s v="SOLFIN"/>
    <s v="CCMS"/>
    <n v="21318455"/>
    <n v="4738.05"/>
    <m/>
    <s v="N"/>
    <n v="1"/>
    <d v="2023-07-03T19:01:56"/>
    <s v="Y"/>
    <s v="Final Hearing Court Bundle/Advocate"/>
    <s v="Public Law Children"/>
    <s v="Advocacy"/>
    <s v="Max Konarek"/>
    <s v="Y"/>
    <n v="159.3"/>
    <n v="31.86"/>
    <x v="3"/>
    <s v="VALIDATED"/>
    <n v="1"/>
    <s v="01.11.80.308.6100.0000"/>
    <n v="159.3"/>
    <s v="11"/>
    <s v="6100"/>
    <n v="1290.46"/>
    <n v="159.3"/>
    <s v="CREDITOR"/>
    <n v="0"/>
    <n v="0"/>
    <n v="0"/>
    <n v="0"/>
    <n v="159.3"/>
  </r>
  <r>
    <n v="60651574"/>
    <s v="N"/>
    <n v="21350079"/>
    <s v="3000014905880008"/>
    <s v="CIVIL"/>
    <d v="2023-06-30T00:00:00"/>
    <d v="2023-07-10T19:01:40"/>
    <m/>
    <d v="2023-07-10T00:00:00"/>
    <n v="89"/>
    <n v="13319"/>
    <s v="60651574"/>
    <s v="60651574"/>
    <m/>
    <m/>
    <n v="22796002"/>
    <m/>
    <m/>
    <m/>
    <s v="SOLFIN"/>
    <s v="SOLFIN"/>
    <s v="CCMS"/>
    <n v="21350079"/>
    <n v="1738.79"/>
    <m/>
    <s v="N"/>
    <n v="2"/>
    <d v="2023-07-10T19:02:13"/>
    <s v="Y"/>
    <s v="Solicitors Fixed Fee"/>
    <s v="Public Law Children"/>
    <s v="Profit Cost"/>
    <s v="Lucinda Parker"/>
    <s v="Y"/>
    <n v="1308"/>
    <n v="261.6"/>
    <x v="2"/>
    <s v="VALIDATED"/>
    <n v="1"/>
    <s v="01.11.80.308.6100.0000"/>
    <n v="1308"/>
    <s v="11"/>
    <s v="6100"/>
    <n v="1290.46"/>
    <n v="1308"/>
    <s v="CREDITOR"/>
    <n v="0"/>
    <n v="0"/>
    <n v="0"/>
    <n v="0"/>
    <n v="1308"/>
  </r>
  <r>
    <n v="61592105"/>
    <s v="N"/>
    <n v="21321128"/>
    <s v="3000015701210011"/>
    <s v="CIVIL"/>
    <d v="2023-06-28T00:00:00"/>
    <d v="2023-07-03T19:04:52"/>
    <m/>
    <d v="2023-07-03T00:00:00"/>
    <n v="89"/>
    <n v="13319"/>
    <s v="61592105"/>
    <s v="61592105"/>
    <m/>
    <m/>
    <n v="22783656"/>
    <m/>
    <m/>
    <m/>
    <s v="SOLPOA"/>
    <s v="SOLPOA"/>
    <s v="CCMS"/>
    <n v="21321128"/>
    <n v="33"/>
    <m/>
    <s v="N"/>
    <n v="1"/>
    <d v="2023-07-03T19:04:58"/>
    <s v="N"/>
    <s v="Expert Cost"/>
    <s v="Expert Cost"/>
    <s v="Expert Disbursement"/>
    <s v="Shakeel Malik"/>
    <s v="N"/>
    <n v="27.5"/>
    <n v="5.5"/>
    <x v="3"/>
    <s v="VALIDATED"/>
    <n v="1"/>
    <s v="01.11.80.308.2012.0000"/>
    <n v="27.5"/>
    <s v="11"/>
    <s v="2012"/>
    <n v="1290.46"/>
    <n v="27.5"/>
    <s v="CREDITOR"/>
    <n v="27.5"/>
    <n v="0"/>
    <n v="0"/>
    <n v="0"/>
    <n v="0"/>
  </r>
  <r>
    <n v="26392542"/>
    <s v="N"/>
    <n v="21318455"/>
    <s v="3000009085310005"/>
    <s v="CIVIL"/>
    <d v="2023-06-23T00:00:00"/>
    <d v="2023-07-03T19:01:49"/>
    <m/>
    <d v="2023-07-03T00:00:00"/>
    <n v="89"/>
    <n v="13319"/>
    <s v="26392542"/>
    <s v="26392542"/>
    <m/>
    <m/>
    <n v="22751964"/>
    <m/>
    <m/>
    <m/>
    <s v="SOLFIN"/>
    <s v="SOLFIN"/>
    <s v="CCMS"/>
    <n v="21318455"/>
    <n v="4738.05"/>
    <m/>
    <s v="N"/>
    <n v="2"/>
    <d v="2023-07-03T19:01:56"/>
    <s v="Y"/>
    <s v="Psychiatrist"/>
    <s v="Public Law Children"/>
    <s v="Expert Disbursement"/>
    <s v="Max Konarek"/>
    <s v="Y"/>
    <n v="475.2"/>
    <n v="95.04000000000001"/>
    <x v="3"/>
    <s v="VALIDATED"/>
    <n v="1"/>
    <s v="01.11.80.308.6300.0000"/>
    <n v="475.2"/>
    <s v="11"/>
    <s v="6300"/>
    <n v="1290.46"/>
    <n v="475.2"/>
    <s v="CREDITOR"/>
    <n v="0"/>
    <n v="0"/>
    <n v="0"/>
    <n v="0"/>
    <n v="475.2"/>
  </r>
  <r>
    <n v="61168405"/>
    <s v="N"/>
    <n v="21323847"/>
    <s v="3000015349940009"/>
    <s v="CIVIL"/>
    <d v="2023-06-30T00:00:00"/>
    <d v="2023-07-03T19:05:56"/>
    <m/>
    <d v="2023-07-03T00:00:00"/>
    <n v="89"/>
    <n v="13319"/>
    <s v="61168405"/>
    <s v="61168405"/>
    <m/>
    <m/>
    <n v="22799968"/>
    <m/>
    <m/>
    <m/>
    <s v="SOLPOA"/>
    <s v="SOLPOA"/>
    <s v="CCMS"/>
    <n v="21323847"/>
    <n v="453.6"/>
    <m/>
    <s v="N"/>
    <n v="1"/>
    <d v="2023-07-03T19:05:59"/>
    <s v="N"/>
    <s v="Expert Cost"/>
    <s v="Expert Cost"/>
    <s v="Expert Disbursement"/>
    <s v="Lucinda Parker"/>
    <s v="N"/>
    <n v="378"/>
    <n v="75.59999999999999"/>
    <x v="3"/>
    <s v="VALIDATED"/>
    <n v="1"/>
    <s v="01.11.80.308.2012.0000"/>
    <n v="378"/>
    <s v="11"/>
    <s v="2012"/>
    <n v="1290.46"/>
    <n v="378"/>
    <s v="CREDITOR"/>
    <n v="378"/>
    <n v="0"/>
    <n v="0"/>
    <n v="0"/>
    <n v="0"/>
  </r>
  <r>
    <n v="26392542"/>
    <s v="N"/>
    <n v="21318455"/>
    <s v="3000009085310005"/>
    <s v="CIVIL"/>
    <d v="2023-06-23T00:00:00"/>
    <d v="2023-07-03T19:01:49"/>
    <m/>
    <d v="2023-07-03T00:00:00"/>
    <n v="89"/>
    <n v="13319"/>
    <s v="26392542"/>
    <s v="26392542"/>
    <m/>
    <m/>
    <n v="22751964"/>
    <m/>
    <m/>
    <m/>
    <s v="SOLFIN"/>
    <s v="SOLFIN"/>
    <s v="CCMS"/>
    <n v="21318455"/>
    <n v="4738.05"/>
    <m/>
    <s v="N"/>
    <n v="5"/>
    <d v="2023-07-03T19:01:56"/>
    <s v="Y"/>
    <s v="Solicitors Fixed Fee"/>
    <s v="Public Law Children"/>
    <s v="Profit Cost"/>
    <s v="Max Konarek"/>
    <s v="Y"/>
    <n v="2616"/>
    <n v="523.2"/>
    <x v="3"/>
    <s v="VALIDATED"/>
    <n v="1"/>
    <s v="01.11.80.308.6100.0000"/>
    <n v="2616"/>
    <s v="11"/>
    <s v="6100"/>
    <n v="1290.46"/>
    <n v="2616"/>
    <s v="CREDITOR"/>
    <n v="0"/>
    <n v="0"/>
    <n v="0"/>
    <n v="0"/>
    <n v="2616"/>
  </r>
  <r>
    <n v="61426577"/>
    <s v="N"/>
    <n v="21337839"/>
    <s v="3000015563470009"/>
    <s v="CIVIL"/>
    <d v="2023-06-22T00:00:00"/>
    <d v="2023-07-06T19:21:01"/>
    <m/>
    <d v="2023-07-06T00:00:00"/>
    <n v="89"/>
    <n v="13319"/>
    <s v="61426577"/>
    <s v="61426577"/>
    <m/>
    <m/>
    <n v="22744424"/>
    <m/>
    <m/>
    <m/>
    <s v="SOLPOA"/>
    <s v="SOLPOA"/>
    <s v="CCMS"/>
    <n v="21337839"/>
    <n v="88.08"/>
    <m/>
    <s v="N"/>
    <n v="1"/>
    <d v="2023-07-06T19:21:09"/>
    <s v="N"/>
    <s v="Expert Cost"/>
    <s v="Expert Cost"/>
    <s v="Expert Disbursement"/>
    <s v="Lucinda Parker"/>
    <s v="N"/>
    <n v="73.40000000000001"/>
    <n v="14.68"/>
    <x v="4"/>
    <s v="VALIDATED"/>
    <n v="1"/>
    <s v="01.11.80.308.2012.0000"/>
    <n v="73.40000000000001"/>
    <s v="11"/>
    <s v="2012"/>
    <n v="1290.46"/>
    <n v="73.40000000000001"/>
    <s v="CREDITOR"/>
    <n v="73.40000000000001"/>
    <n v="0"/>
    <n v="0"/>
    <n v="0"/>
    <n v="0"/>
  </r>
  <r>
    <n v="26392542"/>
    <s v="N"/>
    <n v="21318455"/>
    <s v="3000009085310005"/>
    <s v="CIVIL"/>
    <d v="2023-06-23T00:00:00"/>
    <d v="2023-07-03T19:01:49"/>
    <m/>
    <d v="2023-07-03T00:00:00"/>
    <n v="89"/>
    <n v="13319"/>
    <s v="26392542"/>
    <s v="26392542"/>
    <m/>
    <m/>
    <n v="22751964"/>
    <m/>
    <m/>
    <m/>
    <s v="SOLFIN"/>
    <s v="SOLFIN"/>
    <s v="CCMS"/>
    <n v="21318455"/>
    <n v="4738.05"/>
    <m/>
    <s v="N"/>
    <n v="4"/>
    <d v="2023-07-03T19:01:56"/>
    <s v="Y"/>
    <s v="Advocates Meeting"/>
    <s v="Public Law Children"/>
    <s v="Advocacy"/>
    <s v="Max Konarek"/>
    <s v="Y"/>
    <n v="140.99"/>
    <n v="28.2"/>
    <x v="3"/>
    <s v="VALIDATED"/>
    <n v="1"/>
    <s v="01.11.80.308.6100.0000"/>
    <n v="140.99"/>
    <s v="11"/>
    <s v="6100"/>
    <n v="1290.46"/>
    <n v="140.99"/>
    <s v="CREDITOR"/>
    <n v="0"/>
    <n v="0"/>
    <n v="0"/>
    <n v="0"/>
    <n v="140.99"/>
  </r>
  <r>
    <n v="60651574"/>
    <s v="N"/>
    <n v="21350079"/>
    <s v="3000014905880008"/>
    <s v="CIVIL"/>
    <d v="2023-06-30T00:00:00"/>
    <d v="2023-07-10T19:01:40"/>
    <m/>
    <d v="2023-07-10T00:00:00"/>
    <n v="89"/>
    <n v="13319"/>
    <s v="60651574"/>
    <s v="60651574"/>
    <m/>
    <m/>
    <n v="22796002"/>
    <m/>
    <m/>
    <m/>
    <s v="SOLFIN"/>
    <s v="SOLFIN"/>
    <s v="CCMS"/>
    <n v="21350079"/>
    <n v="1738.79"/>
    <m/>
    <s v="N"/>
    <n v="1"/>
    <d v="2023-07-10T19:02:13"/>
    <s v="Y"/>
    <s v="Advocates Meeting"/>
    <s v="Public Law Children"/>
    <s v="Advocacy"/>
    <s v="Lucinda Parker"/>
    <s v="Y"/>
    <n v="140.99"/>
    <n v="28.2"/>
    <x v="2"/>
    <s v="VALIDATED"/>
    <n v="1"/>
    <s v="01.11.80.308.6100.0000"/>
    <n v="140.99"/>
    <s v="11"/>
    <s v="6100"/>
    <n v="1290.46"/>
    <n v="140.99"/>
    <s v="CREDITOR"/>
    <n v="0"/>
    <n v="0"/>
    <n v="0"/>
    <n v="0"/>
    <n v="140.99"/>
  </r>
  <r>
    <n v="26392542"/>
    <s v="N"/>
    <n v="21318455"/>
    <s v="3000009085310005"/>
    <s v="CIVIL"/>
    <d v="2023-06-23T00:00:00"/>
    <d v="2023-07-03T19:01:49"/>
    <m/>
    <d v="2023-07-03T00:00:00"/>
    <n v="89"/>
    <n v="13319"/>
    <s v="26392542"/>
    <s v="26392542"/>
    <m/>
    <m/>
    <n v="22751964"/>
    <m/>
    <m/>
    <m/>
    <s v="SOLFIN"/>
    <s v="SOLFIN"/>
    <s v="CCMS"/>
    <n v="21318455"/>
    <n v="4738.05"/>
    <m/>
    <s v="N"/>
    <n v="3"/>
    <d v="2023-07-03T19:01:56"/>
    <s v="Y"/>
    <s v="Final Hearing - 1 Day"/>
    <s v="Public Law Children"/>
    <s v="Advocacy"/>
    <s v="Max Konarek"/>
    <s v="Y"/>
    <n v="556.88"/>
    <n v="111.38"/>
    <x v="3"/>
    <s v="VALIDATED"/>
    <n v="1"/>
    <s v="01.11.80.308.6100.0000"/>
    <n v="556.88"/>
    <s v="11"/>
    <s v="6100"/>
    <n v="1290.46"/>
    <n v="556.88"/>
    <s v="CREDITOR"/>
    <n v="0"/>
    <n v="0"/>
    <n v="0"/>
    <n v="0"/>
    <n v="556.88"/>
  </r>
  <r>
    <n v="60651574"/>
    <s v="N"/>
    <n v="21356238"/>
    <s v="3000014905880004RC"/>
    <s v="CIVIL"/>
    <d v="2023-06-30T00:00:00"/>
    <d v="2023-07-10T19:47:44"/>
    <m/>
    <d v="2023-07-10T00:00:00"/>
    <n v="89"/>
    <n v="13319"/>
    <s v="60651574"/>
    <s v="60651574"/>
    <m/>
    <m/>
    <m/>
    <m/>
    <m/>
    <m/>
    <s v="SOLRECOUP"/>
    <s v="SOLRECOUP"/>
    <s v="POARECOUP"/>
    <n v="21356238"/>
    <n v="-1255.68"/>
    <m/>
    <s v="Y"/>
    <n v="2"/>
    <d v="2023-07-10T19:47:44"/>
    <s v="N"/>
    <m/>
    <m/>
    <s v="Profit Cost"/>
    <m/>
    <s v="N"/>
    <n v="0"/>
    <n v="-209.28"/>
    <x v="2"/>
    <s v="VALIDATED"/>
    <n v="1"/>
    <s v="01.11.80.308.2013.0000"/>
    <n v="-209.28"/>
    <s v="11"/>
    <s v="2013"/>
    <n v="1290.46"/>
    <n v="-209.28"/>
    <s v="CREDITOR"/>
    <n v="0"/>
    <n v="0"/>
    <n v="-209.28"/>
    <n v="-52.32"/>
    <n v="0"/>
  </r>
  <r>
    <n v="60651574"/>
    <s v="N"/>
    <n v="21356239"/>
    <s v="3000014905880002RC"/>
    <s v="CIVIL"/>
    <d v="2023-06-30T00:00:00"/>
    <d v="2023-07-10T19:47:44"/>
    <m/>
    <d v="2023-07-10T00:00:00"/>
    <n v="94"/>
    <n v="13352"/>
    <s v="60651574"/>
    <s v="60651574"/>
    <m/>
    <m/>
    <m/>
    <m/>
    <m/>
    <m/>
    <s v="SOLRECOUP"/>
    <s v="SOLRECOUP"/>
    <s v="POARECOUP"/>
    <n v="21356239"/>
    <n v="-52.8"/>
    <m/>
    <s v="Y"/>
    <n v="1"/>
    <d v="2023-07-10T19:47:44"/>
    <s v="N"/>
    <m/>
    <m/>
    <s v="Expert Disbursement"/>
    <m/>
    <s v="N"/>
    <n v="-44"/>
    <n v="0"/>
    <x v="2"/>
    <s v="VALIDATED"/>
    <n v="1"/>
    <s v="01.11.80.308.2013.0000"/>
    <n v="-44"/>
    <s v="11"/>
    <s v="2013"/>
    <n v="-736.92"/>
    <n v="-44"/>
    <s v="DEBTOR"/>
    <n v="0"/>
    <n v="0"/>
    <n v="0"/>
    <n v="0"/>
    <n v="0"/>
  </r>
  <r>
    <n v="60651574"/>
    <s v="N"/>
    <n v="21356239"/>
    <s v="3000014905880002RC"/>
    <s v="CIVIL"/>
    <d v="2023-06-30T00:00:00"/>
    <d v="2023-07-10T19:47:44"/>
    <m/>
    <d v="2023-07-10T00:00:00"/>
    <n v="94"/>
    <n v="13352"/>
    <s v="60651574"/>
    <s v="60651574"/>
    <m/>
    <m/>
    <m/>
    <m/>
    <m/>
    <m/>
    <s v="SOLRECOUP"/>
    <s v="SOLRECOUP"/>
    <s v="POARECOUP"/>
    <n v="21356239"/>
    <n v="-52.8"/>
    <m/>
    <s v="Y"/>
    <n v="2"/>
    <d v="2023-07-10T19:47:44"/>
    <s v="N"/>
    <m/>
    <m/>
    <s v="Expert Disbursement"/>
    <m/>
    <s v="N"/>
    <n v="0"/>
    <n v="-8.800000000000001"/>
    <x v="2"/>
    <s v="VALIDATED"/>
    <n v="1"/>
    <s v="01.11.80.308.2013.0000"/>
    <n v="-8.800000000000001"/>
    <s v="11"/>
    <s v="2013"/>
    <n v="-736.92"/>
    <n v="-8.800000000000001"/>
    <s v="DEBTOR"/>
    <n v="0"/>
    <n v="0"/>
    <n v="0"/>
    <n v="0"/>
    <n v="0"/>
  </r>
  <r>
    <n v="60651574"/>
    <s v="N"/>
    <n v="21356240"/>
    <s v="3000014905880001RC"/>
    <s v="CIVIL"/>
    <d v="2023-06-30T00:00:00"/>
    <d v="2023-07-10T19:47:44"/>
    <m/>
    <d v="2023-07-10T00:00:00"/>
    <n v="94"/>
    <n v="13352"/>
    <s v="60651574"/>
    <s v="60651574"/>
    <m/>
    <m/>
    <m/>
    <m/>
    <m/>
    <m/>
    <s v="SOLRECOUP"/>
    <s v="SOLRECOUP"/>
    <s v="POARECOUP"/>
    <n v="21356240"/>
    <n v="-277.92"/>
    <m/>
    <s v="Y"/>
    <n v="1"/>
    <d v="2023-07-10T19:47:44"/>
    <s v="N"/>
    <m/>
    <m/>
    <s v="Expert Disbursement"/>
    <m/>
    <s v="N"/>
    <n v="-231.6"/>
    <n v="0"/>
    <x v="2"/>
    <s v="VALIDATED"/>
    <n v="1"/>
    <s v="01.11.80.308.2013.0000"/>
    <n v="-231.6"/>
    <s v="11"/>
    <s v="2013"/>
    <n v="-736.92"/>
    <n v="-231.6"/>
    <s v="DEBTOR"/>
    <n v="0"/>
    <n v="0"/>
    <n v="0"/>
    <n v="0"/>
    <n v="0"/>
  </r>
  <r>
    <n v="59923302"/>
    <s v="N"/>
    <n v="21338008"/>
    <s v="3000014277620018"/>
    <s v="CIVIL"/>
    <d v="2023-06-30T00:00:00"/>
    <d v="2023-07-06T19:21:01"/>
    <m/>
    <d v="2023-07-06T00:00:00"/>
    <n v="94"/>
    <n v="13352"/>
    <s v="59923302"/>
    <s v="59923302"/>
    <m/>
    <m/>
    <n v="22795310"/>
    <m/>
    <m/>
    <m/>
    <s v="SOLPOA"/>
    <s v="SOLPOA"/>
    <s v="CCMS"/>
    <n v="21338008"/>
    <n v="186.48"/>
    <m/>
    <s v="N"/>
    <n v="1"/>
    <d v="2023-07-06T19:21:11"/>
    <s v="N"/>
    <s v="Expert Cost"/>
    <s v="Expert Cost"/>
    <s v="Expert Disbursement"/>
    <s v="Zena Hill"/>
    <s v="N"/>
    <n v="155.4"/>
    <n v="31.08"/>
    <x v="4"/>
    <s v="VALIDATED"/>
    <n v="1"/>
    <s v="01.11.80.308.2012.0000"/>
    <n v="155.4"/>
    <s v="11"/>
    <s v="2012"/>
    <n v="-736.92"/>
    <n v="155.4"/>
    <s v="DEBTOR"/>
    <n v="0"/>
    <n v="0"/>
    <n v="0"/>
    <n v="0"/>
    <n v="0"/>
  </r>
  <r>
    <n v="60651574"/>
    <s v="N"/>
    <n v="21356241"/>
    <s v="3000014905880003RC"/>
    <s v="CIVIL"/>
    <d v="2023-06-30T00:00:00"/>
    <d v="2023-07-10T19:47:44"/>
    <m/>
    <d v="2023-07-10T00:00:00"/>
    <n v="94"/>
    <n v="13352"/>
    <s v="60651574"/>
    <s v="60651574"/>
    <m/>
    <m/>
    <m/>
    <m/>
    <m/>
    <m/>
    <s v="SOLRECOUP"/>
    <s v="SOLRECOUP"/>
    <s v="POARECOUP"/>
    <n v="21356241"/>
    <n v="-561.6"/>
    <m/>
    <s v="Y"/>
    <n v="1"/>
    <d v="2023-07-10T19:47:44"/>
    <s v="N"/>
    <m/>
    <m/>
    <s v="Expert Disbursement"/>
    <m/>
    <s v="N"/>
    <n v="-468"/>
    <n v="0"/>
    <x v="2"/>
    <s v="VALIDATED"/>
    <n v="1"/>
    <s v="01.11.80.308.2013.0000"/>
    <n v="-468"/>
    <s v="11"/>
    <s v="2013"/>
    <n v="-736.92"/>
    <n v="-468"/>
    <s v="DEBTOR"/>
    <n v="0"/>
    <n v="0"/>
    <n v="0"/>
    <n v="0"/>
    <n v="0"/>
  </r>
  <r>
    <n v="60651574"/>
    <s v="N"/>
    <n v="21356241"/>
    <s v="3000014905880003RC"/>
    <s v="CIVIL"/>
    <d v="2023-06-30T00:00:00"/>
    <d v="2023-07-10T19:47:44"/>
    <m/>
    <d v="2023-07-10T00:00:00"/>
    <n v="94"/>
    <n v="13352"/>
    <s v="60651574"/>
    <s v="60651574"/>
    <m/>
    <m/>
    <m/>
    <m/>
    <m/>
    <m/>
    <s v="SOLRECOUP"/>
    <s v="SOLRECOUP"/>
    <s v="POARECOUP"/>
    <n v="21356241"/>
    <n v="-561.6"/>
    <m/>
    <s v="Y"/>
    <n v="2"/>
    <d v="2023-07-10T19:47:44"/>
    <s v="N"/>
    <m/>
    <m/>
    <s v="Expert Disbursement"/>
    <m/>
    <s v="N"/>
    <n v="0"/>
    <n v="-93.59999999999999"/>
    <x v="2"/>
    <s v="VALIDATED"/>
    <n v="1"/>
    <s v="01.11.80.308.2013.0000"/>
    <n v="-93.59999999999999"/>
    <s v="11"/>
    <s v="2013"/>
    <n v="-736.92"/>
    <n v="-93.59999999999999"/>
    <s v="DEBTOR"/>
    <n v="0"/>
    <n v="0"/>
    <n v="0"/>
    <n v="0"/>
    <n v="0"/>
  </r>
  <r>
    <n v="60651574"/>
    <s v="N"/>
    <n v="21356240"/>
    <s v="3000014905880001RC"/>
    <s v="CIVIL"/>
    <d v="2023-06-30T00:00:00"/>
    <d v="2023-07-10T19:47:44"/>
    <m/>
    <d v="2023-07-10T00:00:00"/>
    <n v="94"/>
    <n v="13352"/>
    <s v="60651574"/>
    <s v="60651574"/>
    <m/>
    <m/>
    <m/>
    <m/>
    <m/>
    <m/>
    <s v="SOLRECOUP"/>
    <s v="SOLRECOUP"/>
    <s v="POARECOUP"/>
    <n v="21356240"/>
    <n v="-277.92"/>
    <m/>
    <s v="Y"/>
    <n v="2"/>
    <d v="2023-07-10T19:47:44"/>
    <s v="N"/>
    <m/>
    <m/>
    <s v="Expert Disbursement"/>
    <m/>
    <s v="N"/>
    <n v="0"/>
    <n v="-46.32"/>
    <x v="2"/>
    <s v="VALIDATED"/>
    <n v="1"/>
    <s v="01.11.80.308.2013.0000"/>
    <n v="-46.32"/>
    <s v="11"/>
    <s v="2013"/>
    <n v="-736.92"/>
    <n v="-46.32"/>
    <s v="DEBTOR"/>
    <n v="0"/>
    <n v="0"/>
    <n v="0"/>
    <n v="0"/>
    <n v="0"/>
  </r>
  <r>
    <n v="29604542"/>
    <s v="N"/>
    <n v="21339851"/>
    <s v="3000009459110003RC"/>
    <s v="CIVIL"/>
    <d v="2023-06-29T00:00:00"/>
    <d v="2023-07-06T19:54:22"/>
    <m/>
    <d v="2023-07-06T00:00:00"/>
    <n v="102"/>
    <n v="13418"/>
    <s v="29604542"/>
    <s v="29604542"/>
    <m/>
    <m/>
    <m/>
    <m/>
    <m/>
    <m/>
    <s v="SOLRECOUP"/>
    <s v="SOLRECOUP"/>
    <s v="POARECOUP"/>
    <n v="21339851"/>
    <n v="-127.5"/>
    <m/>
    <s v="Y"/>
    <n v="1"/>
    <d v="2023-07-06T19:54:22"/>
    <s v="N"/>
    <m/>
    <m/>
    <s v="Non Expert Disbursement"/>
    <m/>
    <s v="N"/>
    <n v="-127.5"/>
    <n v="0"/>
    <x v="4"/>
    <s v="VALIDATED"/>
    <n v="1"/>
    <s v="01.11.80.201.2013.0000"/>
    <n v="-127.5"/>
    <s v="11"/>
    <s v="2013"/>
    <n v="8598.58"/>
    <n v="-127.5"/>
    <s v="CREDITOR"/>
    <n v="0"/>
    <n v="0"/>
    <n v="-127.5"/>
    <n v="0"/>
    <n v="0"/>
  </r>
  <r>
    <n v="29604542"/>
    <s v="N"/>
    <n v="21339851"/>
    <s v="3000009459110003RC"/>
    <s v="CIVIL"/>
    <d v="2023-06-29T00:00:00"/>
    <d v="2023-07-06T19:54:22"/>
    <m/>
    <d v="2023-07-06T00:00:00"/>
    <n v="102"/>
    <n v="13418"/>
    <s v="29604542"/>
    <s v="29604542"/>
    <m/>
    <m/>
    <m/>
    <m/>
    <m/>
    <m/>
    <s v="SOLRECOUP"/>
    <s v="SOLRECOUP"/>
    <s v="POARECOUP"/>
    <n v="21339851"/>
    <n v="-127.5"/>
    <m/>
    <s v="Y"/>
    <n v="2"/>
    <d v="2023-07-06T19:54:22"/>
    <s v="N"/>
    <m/>
    <m/>
    <s v="Non Expert Disbursement"/>
    <m/>
    <s v="N"/>
    <n v="0"/>
    <n v="0"/>
    <x v="4"/>
    <s v="VALIDATED"/>
    <n v="1"/>
    <s v="01.11.80.000.0000.0000"/>
    <n v="0"/>
    <s v="11"/>
    <s v="0000"/>
    <n v="8598.58"/>
    <n v="0"/>
    <s v="CREDITOR"/>
    <n v="0"/>
    <n v="0"/>
    <n v="0"/>
    <n v="0"/>
    <n v="0"/>
  </r>
  <r>
    <n v="10152535"/>
    <s v="N"/>
    <n v="21346135"/>
    <s v="3000006029890001RC"/>
    <s v="CIVIL"/>
    <d v="2023-06-29T00:00:00"/>
    <d v="2023-07-07T19:34:21"/>
    <m/>
    <d v="2023-07-07T00:00:00"/>
    <n v="102"/>
    <n v="13418"/>
    <s v="10152535"/>
    <s v="10152535"/>
    <m/>
    <m/>
    <m/>
    <m/>
    <m/>
    <m/>
    <s v="SOLRECOUP"/>
    <s v="SOLRECOUP"/>
    <s v="POARECOUP"/>
    <n v="21346135"/>
    <n v="-9.6"/>
    <m/>
    <s v="Y"/>
    <n v="2"/>
    <d v="2023-07-07T19:34:22"/>
    <s v="N"/>
    <m/>
    <m/>
    <s v="Non Expert Disbursement"/>
    <m/>
    <s v="N"/>
    <n v="0"/>
    <n v="0"/>
    <x v="9"/>
    <s v="VALIDATED"/>
    <n v="1"/>
    <s v="01.11.80.000.0000.0000"/>
    <n v="0"/>
    <s v="11"/>
    <s v="0000"/>
    <n v="8598.58"/>
    <n v="0"/>
    <s v="CREDITOR"/>
    <n v="0"/>
    <n v="0"/>
    <n v="0"/>
    <n v="0"/>
    <n v="0"/>
  </r>
  <r>
    <n v="10152535"/>
    <s v="N"/>
    <n v="21346135"/>
    <s v="3000006029890001RC"/>
    <s v="CIVIL"/>
    <d v="2023-06-29T00:00:00"/>
    <d v="2023-07-07T19:34:21"/>
    <m/>
    <d v="2023-07-07T00:00:00"/>
    <n v="102"/>
    <n v="13418"/>
    <s v="10152535"/>
    <s v="10152535"/>
    <m/>
    <m/>
    <m/>
    <m/>
    <m/>
    <m/>
    <s v="SOLRECOUP"/>
    <s v="SOLRECOUP"/>
    <s v="POARECOUP"/>
    <n v="21346135"/>
    <n v="-9.6"/>
    <m/>
    <s v="Y"/>
    <n v="1"/>
    <d v="2023-07-07T19:34:22"/>
    <s v="N"/>
    <m/>
    <m/>
    <s v="Non Expert Disbursement"/>
    <m/>
    <s v="N"/>
    <n v="-9.6"/>
    <n v="0"/>
    <x v="9"/>
    <s v="VALIDATED"/>
    <n v="1"/>
    <s v="01.11.80.201.2013.0000"/>
    <n v="-9.6"/>
    <s v="11"/>
    <s v="2013"/>
    <n v="8598.58"/>
    <n v="-9.6"/>
    <s v="CREDITOR"/>
    <n v="0"/>
    <n v="0"/>
    <n v="-9.6"/>
    <n v="0"/>
    <n v="0"/>
  </r>
  <r>
    <n v="10152535"/>
    <s v="N"/>
    <n v="21346136"/>
    <s v="3000006029890005RC"/>
    <s v="CIVIL"/>
    <d v="2023-06-29T00:00:00"/>
    <d v="2023-07-07T19:34:21"/>
    <m/>
    <d v="2023-07-07T00:00:00"/>
    <n v="102"/>
    <n v="13418"/>
    <s v="10152535"/>
    <s v="10152535"/>
    <m/>
    <m/>
    <m/>
    <m/>
    <m/>
    <m/>
    <s v="SOLRECOUP"/>
    <s v="SOLRECOUP"/>
    <s v="POARECOUP"/>
    <n v="21346136"/>
    <n v="-19.8"/>
    <m/>
    <s v="Y"/>
    <n v="2"/>
    <d v="2023-07-07T19:34:22"/>
    <s v="N"/>
    <m/>
    <m/>
    <s v="Non Expert Disbursement"/>
    <m/>
    <s v="N"/>
    <n v="0"/>
    <n v="0"/>
    <x v="9"/>
    <s v="VALIDATED"/>
    <n v="1"/>
    <s v="01.11.80.000.0000.0000"/>
    <n v="0"/>
    <s v="11"/>
    <s v="0000"/>
    <n v="8598.58"/>
    <n v="0"/>
    <s v="CREDITOR"/>
    <n v="0"/>
    <n v="0"/>
    <n v="0"/>
    <n v="0"/>
    <n v="0"/>
  </r>
  <r>
    <n v="10152535"/>
    <s v="N"/>
    <n v="21346136"/>
    <s v="3000006029890005RC"/>
    <s v="CIVIL"/>
    <d v="2023-06-29T00:00:00"/>
    <d v="2023-07-07T19:34:21"/>
    <m/>
    <d v="2023-07-07T00:00:00"/>
    <n v="102"/>
    <n v="13418"/>
    <s v="10152535"/>
    <s v="10152535"/>
    <m/>
    <m/>
    <m/>
    <m/>
    <m/>
    <m/>
    <s v="SOLRECOUP"/>
    <s v="SOLRECOUP"/>
    <s v="POARECOUP"/>
    <n v="21346136"/>
    <n v="-19.8"/>
    <m/>
    <s v="Y"/>
    <n v="1"/>
    <d v="2023-07-07T19:34:22"/>
    <s v="N"/>
    <m/>
    <m/>
    <s v="Non Expert Disbursement"/>
    <m/>
    <s v="N"/>
    <n v="-19.8"/>
    <n v="0"/>
    <x v="9"/>
    <s v="VALIDATED"/>
    <n v="1"/>
    <s v="01.11.80.201.2013.0000"/>
    <n v="-19.8"/>
    <s v="11"/>
    <s v="2013"/>
    <n v="8598.58"/>
    <n v="-19.8"/>
    <s v="CREDITOR"/>
    <n v="0"/>
    <n v="0"/>
    <n v="-19.8"/>
    <n v="0"/>
    <n v="0"/>
  </r>
  <r>
    <n v="10152535"/>
    <s v="N"/>
    <n v="21346137"/>
    <s v="3000006029890002RC"/>
    <s v="CIVIL"/>
    <d v="2023-06-29T00:00:00"/>
    <d v="2023-07-07T19:34:21"/>
    <m/>
    <d v="2023-07-07T00:00:00"/>
    <n v="102"/>
    <n v="13418"/>
    <s v="10152535"/>
    <s v="10152535"/>
    <m/>
    <m/>
    <m/>
    <m/>
    <m/>
    <m/>
    <s v="SOLRECOUP"/>
    <s v="SOLRECOUP"/>
    <s v="POARECOUP"/>
    <n v="21346137"/>
    <n v="-1308"/>
    <m/>
    <s v="Y"/>
    <n v="1"/>
    <d v="2023-07-07T19:34:22"/>
    <s v="N"/>
    <m/>
    <m/>
    <s v="Non Expert Disbursement"/>
    <m/>
    <s v="N"/>
    <n v="-1308"/>
    <n v="0"/>
    <x v="9"/>
    <s v="VALIDATED"/>
    <n v="1"/>
    <s v="01.11.80.201.2013.0000"/>
    <n v="-1308"/>
    <s v="11"/>
    <s v="2013"/>
    <n v="8598.58"/>
    <n v="-1308"/>
    <s v="CREDITOR"/>
    <n v="0"/>
    <n v="0"/>
    <n v="-1308"/>
    <n v="0"/>
    <n v="0"/>
  </r>
  <r>
    <n v="10152535"/>
    <s v="N"/>
    <n v="21346137"/>
    <s v="3000006029890002RC"/>
    <s v="CIVIL"/>
    <d v="2023-06-29T00:00:00"/>
    <d v="2023-07-07T19:34:21"/>
    <m/>
    <d v="2023-07-07T00:00:00"/>
    <n v="102"/>
    <n v="13418"/>
    <s v="10152535"/>
    <s v="10152535"/>
    <m/>
    <m/>
    <m/>
    <m/>
    <m/>
    <m/>
    <s v="SOLRECOUP"/>
    <s v="SOLRECOUP"/>
    <s v="POARECOUP"/>
    <n v="21346137"/>
    <n v="-1308"/>
    <m/>
    <s v="Y"/>
    <n v="2"/>
    <d v="2023-07-07T19:34:22"/>
    <s v="N"/>
    <m/>
    <m/>
    <s v="Non Expert Disbursement"/>
    <m/>
    <s v="N"/>
    <n v="0"/>
    <n v="0"/>
    <x v="9"/>
    <s v="VALIDATED"/>
    <n v="1"/>
    <s v="01.11.80.000.0000.0000"/>
    <n v="0"/>
    <s v="11"/>
    <s v="0000"/>
    <n v="8598.58"/>
    <n v="0"/>
    <s v="CREDITOR"/>
    <n v="0"/>
    <n v="0"/>
    <n v="0"/>
    <n v="0"/>
    <n v="0"/>
  </r>
  <r>
    <n v="10152535"/>
    <s v="N"/>
    <n v="21346138"/>
    <s v="3000006029890003RC"/>
    <s v="CIVIL"/>
    <d v="2023-06-29T00:00:00"/>
    <d v="2023-07-07T19:34:21"/>
    <m/>
    <d v="2023-07-07T00:00:00"/>
    <n v="102"/>
    <n v="13418"/>
    <s v="10152535"/>
    <s v="10152535"/>
    <m/>
    <m/>
    <m/>
    <m/>
    <m/>
    <m/>
    <s v="SOLRECOUP"/>
    <s v="SOLRECOUP"/>
    <s v="POARECOUP"/>
    <n v="21346138"/>
    <n v="-100"/>
    <m/>
    <s v="Y"/>
    <n v="1"/>
    <d v="2023-07-07T19:34:22"/>
    <s v="N"/>
    <m/>
    <m/>
    <s v="Non Expert Disbursement"/>
    <m/>
    <s v="N"/>
    <n v="-100"/>
    <n v="0"/>
    <x v="9"/>
    <s v="VALIDATED"/>
    <n v="1"/>
    <s v="01.11.80.201.2013.0000"/>
    <n v="-100"/>
    <s v="11"/>
    <s v="2013"/>
    <n v="8598.58"/>
    <n v="-100"/>
    <s v="CREDITOR"/>
    <n v="0"/>
    <n v="0"/>
    <n v="-100"/>
    <n v="0"/>
    <n v="0"/>
  </r>
  <r>
    <n v="10152535"/>
    <s v="N"/>
    <n v="21346138"/>
    <s v="3000006029890003RC"/>
    <s v="CIVIL"/>
    <d v="2023-06-29T00:00:00"/>
    <d v="2023-07-07T19:34:21"/>
    <m/>
    <d v="2023-07-07T00:00:00"/>
    <n v="102"/>
    <n v="13418"/>
    <s v="10152535"/>
    <s v="10152535"/>
    <m/>
    <m/>
    <m/>
    <m/>
    <m/>
    <m/>
    <s v="SOLRECOUP"/>
    <s v="SOLRECOUP"/>
    <s v="POARECOUP"/>
    <n v="21346138"/>
    <n v="-100"/>
    <m/>
    <s v="Y"/>
    <n v="2"/>
    <d v="2023-07-07T19:34:22"/>
    <s v="N"/>
    <m/>
    <m/>
    <s v="Non Expert Disbursement"/>
    <m/>
    <s v="N"/>
    <n v="0"/>
    <n v="0"/>
    <x v="9"/>
    <s v="VALIDATED"/>
    <n v="1"/>
    <s v="01.11.80.000.0000.0000"/>
    <n v="0"/>
    <s v="11"/>
    <s v="0000"/>
    <n v="8598.58"/>
    <n v="0"/>
    <s v="CREDITOR"/>
    <n v="0"/>
    <n v="0"/>
    <n v="0"/>
    <n v="0"/>
    <n v="0"/>
  </r>
  <r>
    <n v="61743671"/>
    <s v="N"/>
    <n v="21319392"/>
    <s v="3000015824070013"/>
    <s v="CIVIL"/>
    <d v="2023-06-27T00:00:00"/>
    <d v="2023-07-03T19:04:24"/>
    <m/>
    <d v="2023-07-03T00:00:00"/>
    <n v="102"/>
    <n v="13418"/>
    <s v="61743671"/>
    <s v="61743671"/>
    <m/>
    <m/>
    <n v="22774862"/>
    <m/>
    <m/>
    <m/>
    <s v="SOLPOA"/>
    <s v="SOLPOA"/>
    <s v="CCMS"/>
    <n v="21319392"/>
    <n v="30"/>
    <m/>
    <s v="N"/>
    <n v="1"/>
    <d v="2023-07-03T19:04:25"/>
    <s v="N"/>
    <s v="Non Expert Disbursement"/>
    <s v="Non Expert Disbursement"/>
    <s v="Non Expert Disbursement"/>
    <s v="CPG"/>
    <s v="N"/>
    <n v="25"/>
    <n v="5"/>
    <x v="3"/>
    <s v="VALIDATED"/>
    <n v="1"/>
    <s v="01.11.80.201.2012.0000"/>
    <n v="25"/>
    <s v="11"/>
    <s v="2012"/>
    <n v="8598.58"/>
    <n v="25"/>
    <s v="CREDITOR"/>
    <n v="25"/>
    <n v="0"/>
    <n v="0"/>
    <n v="0"/>
    <n v="0"/>
  </r>
  <r>
    <n v="62107133"/>
    <s v="N"/>
    <n v="21322795"/>
    <s v="3000016133100002"/>
    <s v="CIVIL"/>
    <d v="2023-06-29T00:00:00"/>
    <d v="2023-07-03T19:05:36"/>
    <m/>
    <d v="2023-07-03T00:00:00"/>
    <n v="102"/>
    <n v="13418"/>
    <s v="62107133"/>
    <s v="62107133"/>
    <m/>
    <m/>
    <n v="22790472"/>
    <m/>
    <m/>
    <m/>
    <s v="SOLPOA"/>
    <s v="SOLPOA"/>
    <s v="CCMS"/>
    <n v="21322795"/>
    <n v="60.8"/>
    <m/>
    <s v="N"/>
    <n v="1"/>
    <d v="2023-07-03T19:05:40"/>
    <s v="N"/>
    <s v="Non Expert Disbursement"/>
    <s v="Non Expert Disbursement"/>
    <s v="Non Expert Disbursement"/>
    <s v="JANET FARRELL"/>
    <s v="N"/>
    <n v="50.67"/>
    <n v="10.13"/>
    <x v="3"/>
    <s v="VALIDATED"/>
    <n v="1"/>
    <s v="01.11.80.212.2012.0000"/>
    <n v="50.67"/>
    <s v="11"/>
    <s v="2012"/>
    <n v="8598.58"/>
    <n v="50.67"/>
    <s v="CREDITOR"/>
    <n v="50.67"/>
    <n v="0"/>
    <n v="0"/>
    <n v="0"/>
    <n v="0"/>
  </r>
  <r>
    <n v="61898219"/>
    <s v="N"/>
    <n v="21322327"/>
    <s v="3000015925860001"/>
    <s v="CIVIL"/>
    <d v="2023-06-29T00:00:00"/>
    <d v="2023-07-03T19:05:36"/>
    <m/>
    <d v="2023-07-03T00:00:00"/>
    <n v="102"/>
    <n v="13418"/>
    <s v="61898219"/>
    <s v="61898219"/>
    <m/>
    <m/>
    <n v="22790330"/>
    <m/>
    <m/>
    <m/>
    <s v="SOLPOA"/>
    <s v="SOLPOA"/>
    <s v="CCMS"/>
    <n v="21322327"/>
    <n v="77"/>
    <m/>
    <s v="N"/>
    <n v="1"/>
    <d v="2023-07-03T19:05:37"/>
    <s v="N"/>
    <s v="Non Expert Disbursement"/>
    <s v="Non Expert Disbursement"/>
    <s v="Non Expert Disbursement"/>
    <s v="JANET FARRELL"/>
    <s v="N"/>
    <n v="77"/>
    <n v="0"/>
    <x v="3"/>
    <s v="VALIDATED"/>
    <n v="1"/>
    <s v="01.11.80.212.2012.0000"/>
    <n v="77"/>
    <s v="11"/>
    <s v="2012"/>
    <n v="8598.58"/>
    <n v="77"/>
    <s v="CREDITOR"/>
    <n v="77"/>
    <n v="0"/>
    <n v="0"/>
    <n v="0"/>
    <n v="0"/>
  </r>
  <r>
    <n v="61898219"/>
    <s v="N"/>
    <n v="21322819"/>
    <s v="3000015925860002"/>
    <s v="CIVIL"/>
    <d v="2023-06-29T00:00:00"/>
    <d v="2023-07-03T19:05:36"/>
    <m/>
    <d v="2023-07-03T00:00:00"/>
    <n v="102"/>
    <n v="13418"/>
    <s v="61898219"/>
    <s v="61898219"/>
    <m/>
    <m/>
    <n v="22790438"/>
    <m/>
    <m/>
    <m/>
    <s v="SOLPOA"/>
    <s v="SOLPOA"/>
    <s v="CCMS"/>
    <n v="21322819"/>
    <n v="60.79"/>
    <m/>
    <s v="N"/>
    <n v="1"/>
    <d v="2023-07-03T19:05:40"/>
    <s v="N"/>
    <s v="Non Expert Disbursement"/>
    <s v="Non Expert Disbursement"/>
    <s v="Non Expert Disbursement"/>
    <s v="JANET FARRELL"/>
    <s v="N"/>
    <n v="50.66"/>
    <n v="10.13"/>
    <x v="3"/>
    <s v="VALIDATED"/>
    <n v="1"/>
    <s v="01.11.80.212.2012.0000"/>
    <n v="50.66"/>
    <s v="11"/>
    <s v="2012"/>
    <n v="8598.58"/>
    <n v="50.66"/>
    <s v="CREDITOR"/>
    <n v="50.66"/>
    <n v="0"/>
    <n v="0"/>
    <n v="0"/>
    <n v="0"/>
  </r>
  <r>
    <n v="10152535"/>
    <s v="N"/>
    <n v="21343289"/>
    <s v="3000006029890026"/>
    <s v="CIVIL"/>
    <d v="2023-06-29T00:00:00"/>
    <d v="2023-07-07T19:03:00"/>
    <m/>
    <d v="2023-07-07T00:00:00"/>
    <n v="102"/>
    <n v="13418"/>
    <s v="10152535"/>
    <s v="10152535"/>
    <m/>
    <m/>
    <n v="22790386"/>
    <m/>
    <m/>
    <m/>
    <s v="SOLFIN"/>
    <s v="SOLFIN"/>
    <s v="CCMS"/>
    <n v="21343289"/>
    <n v="12680.2"/>
    <m/>
    <s v="N"/>
    <n v="1"/>
    <d v="2023-07-07T19:03:07"/>
    <s v="Y"/>
    <s v="Profit Costs (Summary)"/>
    <s v="Non Family Hourly Rates"/>
    <s v="Profit Cost"/>
    <s v="JANE RYAN"/>
    <s v="Y"/>
    <n v="8283.5"/>
    <n v="1656.7"/>
    <x v="9"/>
    <s v="VALIDATED"/>
    <n v="1"/>
    <s v="01.11.80.201.6100.0000"/>
    <n v="8283.5"/>
    <s v="11"/>
    <s v="6100"/>
    <n v="8598.58"/>
    <n v="8283.5"/>
    <s v="CREDITOR"/>
    <n v="0"/>
    <n v="0"/>
    <n v="0"/>
    <n v="0"/>
    <n v="8283.5"/>
  </r>
  <r>
    <n v="62114927"/>
    <s v="N"/>
    <n v="21343377"/>
    <s v="3000016112980001"/>
    <s v="CIVIL"/>
    <d v="2023-06-28T00:00:00"/>
    <d v="2023-07-07T19:03:00"/>
    <m/>
    <d v="2023-07-07T00:00:00"/>
    <n v="102"/>
    <n v="13418"/>
    <s v="62114927"/>
    <s v="62114927"/>
    <m/>
    <m/>
    <n v="22780544"/>
    <m/>
    <m/>
    <m/>
    <s v="SOLPOA"/>
    <s v="SOLPOA"/>
    <s v="CCMS"/>
    <n v="21343377"/>
    <n v="1250"/>
    <m/>
    <s v="N"/>
    <n v="1"/>
    <d v="2023-07-07T19:03:08"/>
    <s v="N"/>
    <s v="Non Expert Disbursement"/>
    <s v="Non Expert Disbursement"/>
    <s v="Non Expert Disbursement"/>
    <s v="MJP"/>
    <s v="N"/>
    <n v="1250"/>
    <n v="0"/>
    <x v="9"/>
    <s v="VALIDATED"/>
    <n v="1"/>
    <s v="01.11.80.201.2012.0000"/>
    <n v="1250"/>
    <s v="11"/>
    <s v="2012"/>
    <n v="8598.58"/>
    <n v="1250"/>
    <s v="CREDITOR"/>
    <n v="1250"/>
    <n v="0"/>
    <n v="0"/>
    <n v="0"/>
    <n v="0"/>
  </r>
  <r>
    <n v="29603545"/>
    <s v="N"/>
    <n v="21330968"/>
    <s v="3000008583750002"/>
    <s v="CIVIL"/>
    <d v="2023-06-29T00:00:00"/>
    <d v="2023-07-05T19:01:47"/>
    <m/>
    <d v="2023-07-05T00:00:00"/>
    <n v="102"/>
    <n v="13418"/>
    <s v="29603545"/>
    <s v="29603545"/>
    <m/>
    <m/>
    <n v="22793768"/>
    <m/>
    <m/>
    <m/>
    <s v="SOLFIN"/>
    <s v="SOLFIN"/>
    <s v="CCMS"/>
    <n v="21330968"/>
    <n v="0"/>
    <m/>
    <s v="N"/>
    <n v="1"/>
    <d v="2023-07-05T19:02:00"/>
    <s v="N"/>
    <s v="NIL BILL"/>
    <s v="Non Family Hourly Rates"/>
    <s v="Profit Cost"/>
    <s v="J Farrell"/>
    <s v="N"/>
    <n v="0"/>
    <n v="0"/>
    <x v="6"/>
    <s v="VALIDATED"/>
    <n v="1"/>
    <s v="01.11.80.201.6100.0000"/>
    <n v="0"/>
    <s v="11"/>
    <s v="6100"/>
    <n v="8598.58"/>
    <n v="0"/>
    <s v="CREDITOR"/>
    <n v="0"/>
    <n v="0"/>
    <n v="0"/>
    <n v="0"/>
    <n v="0"/>
  </r>
  <r>
    <n v="62147159"/>
    <s v="N"/>
    <n v="21322533"/>
    <s v="3000016158010002"/>
    <s v="CIVIL"/>
    <d v="2023-06-29T00:00:00"/>
    <d v="2023-07-03T19:05:36"/>
    <m/>
    <d v="2023-07-03T00:00:00"/>
    <n v="102"/>
    <n v="13418"/>
    <s v="62147159"/>
    <s v="62147159"/>
    <m/>
    <m/>
    <n v="22792336"/>
    <m/>
    <m/>
    <m/>
    <s v="SOLPOA"/>
    <s v="SOLPOA"/>
    <s v="CCMS"/>
    <n v="21322533"/>
    <n v="30"/>
    <m/>
    <s v="N"/>
    <n v="1"/>
    <d v="2023-07-03T19:05:38"/>
    <s v="N"/>
    <s v="Non Expert Disbursement"/>
    <s v="Non Expert Disbursement"/>
    <s v="Non Expert Disbursement"/>
    <s v="JANET FARRELL"/>
    <s v="N"/>
    <n v="25"/>
    <n v="5"/>
    <x v="3"/>
    <s v="VALIDATED"/>
    <n v="1"/>
    <s v="01.11.80.212.2012.0000"/>
    <n v="25"/>
    <s v="11"/>
    <s v="2012"/>
    <n v="8598.58"/>
    <n v="25"/>
    <s v="CREDITOR"/>
    <n v="25"/>
    <n v="0"/>
    <n v="0"/>
    <n v="0"/>
    <n v="0"/>
  </r>
  <r>
    <n v="29605553"/>
    <s v="N"/>
    <n v="21330987"/>
    <s v="3000008918710003"/>
    <s v="CIVIL"/>
    <d v="2023-06-29T00:00:00"/>
    <d v="2023-07-05T19:01:47"/>
    <m/>
    <d v="2023-07-05T00:00:00"/>
    <n v="102"/>
    <n v="13418"/>
    <s v="29605553"/>
    <s v="29605553"/>
    <m/>
    <m/>
    <n v="22793752"/>
    <m/>
    <m/>
    <m/>
    <s v="SOLFIN"/>
    <s v="SOLFIN"/>
    <s v="CCMS"/>
    <n v="21330987"/>
    <n v="0"/>
    <m/>
    <s v="N"/>
    <n v="1"/>
    <d v="2023-07-05T19:02:01"/>
    <s v="N"/>
    <s v="NIL BILL"/>
    <s v="Non Family Hourly Rates"/>
    <s v="Profit Cost"/>
    <s v="J Farrell"/>
    <s v="N"/>
    <n v="0"/>
    <n v="0"/>
    <x v="6"/>
    <s v="VALIDATED"/>
    <n v="1"/>
    <s v="01.11.80.201.6100.0000"/>
    <n v="0"/>
    <s v="11"/>
    <s v="6100"/>
    <n v="8598.58"/>
    <n v="0"/>
    <s v="CREDITOR"/>
    <n v="0"/>
    <n v="0"/>
    <n v="0"/>
    <n v="0"/>
    <n v="0"/>
  </r>
  <r>
    <n v="62429382"/>
    <s v="N"/>
    <n v="21343410"/>
    <s v="3000016398730001"/>
    <s v="CIVIL"/>
    <d v="2023-06-28T00:00:00"/>
    <d v="2023-07-07T19:03:00"/>
    <m/>
    <d v="2023-07-07T00:00:00"/>
    <n v="102"/>
    <n v="13418"/>
    <s v="62429382"/>
    <s v="62429382"/>
    <m/>
    <m/>
    <n v="22780434"/>
    <m/>
    <m/>
    <m/>
    <s v="SOLPOA"/>
    <s v="SOLPOA"/>
    <s v="CCMS"/>
    <n v="21343410"/>
    <n v="2000"/>
    <m/>
    <s v="N"/>
    <n v="1"/>
    <d v="2023-07-07T19:03:09"/>
    <s v="N"/>
    <s v="Non Expert Disbursement"/>
    <s v="Non Expert Disbursement"/>
    <s v="Non Expert Disbursement"/>
    <s v="CPG"/>
    <s v="N"/>
    <n v="2000"/>
    <n v="0"/>
    <x v="9"/>
    <s v="VALIDATED"/>
    <n v="1"/>
    <s v="01.11.80.201.2012.0000"/>
    <n v="2000"/>
    <s v="11"/>
    <s v="2012"/>
    <n v="8598.58"/>
    <n v="2000"/>
    <s v="CREDITOR"/>
    <n v="2000"/>
    <n v="0"/>
    <n v="0"/>
    <n v="0"/>
    <n v="0"/>
  </r>
  <r>
    <n v="10152535"/>
    <s v="N"/>
    <n v="21343289"/>
    <s v="3000006029890026"/>
    <s v="CIVIL"/>
    <d v="2023-06-29T00:00:00"/>
    <d v="2023-07-07T19:03:00"/>
    <m/>
    <d v="2023-07-07T00:00:00"/>
    <n v="102"/>
    <n v="13418"/>
    <s v="10152535"/>
    <s v="10152535"/>
    <m/>
    <m/>
    <n v="22790386"/>
    <m/>
    <m/>
    <m/>
    <s v="SOLFIN"/>
    <s v="SOLFIN"/>
    <s v="CCMS"/>
    <n v="21343289"/>
    <n v="12680.2"/>
    <m/>
    <s v="N"/>
    <n v="2"/>
    <d v="2023-07-07T19:03:07"/>
    <s v="Y"/>
    <s v="Disbursements (Summary)"/>
    <s v="Non Family Hourly Rates"/>
    <s v="Non Expert Disbursement"/>
    <s v="JANE RYAN"/>
    <s v="Y"/>
    <n v="2740"/>
    <n v="0"/>
    <x v="9"/>
    <s v="VALIDATED"/>
    <n v="1"/>
    <s v="01.11.80.201.6300.0000"/>
    <n v="2740"/>
    <s v="11"/>
    <s v="6300"/>
    <n v="8598.58"/>
    <n v="2740"/>
    <s v="CREDITOR"/>
    <n v="0"/>
    <n v="0"/>
    <n v="0"/>
    <n v="0"/>
    <n v="2740"/>
  </r>
  <r>
    <n v="61782552"/>
    <s v="N"/>
    <n v="21323105"/>
    <s v="3000015854680006"/>
    <s v="CIVIL"/>
    <d v="2023-06-29T00:00:00"/>
    <d v="2023-07-03T19:05:36"/>
    <m/>
    <d v="2023-07-03T00:00:00"/>
    <n v="102"/>
    <n v="13418"/>
    <s v="61782552"/>
    <s v="61782552"/>
    <m/>
    <m/>
    <n v="22792098"/>
    <m/>
    <m/>
    <m/>
    <s v="SOLPOA"/>
    <s v="SOLPOA"/>
    <s v="CCMS"/>
    <n v="21323105"/>
    <n v="819.3"/>
    <m/>
    <s v="N"/>
    <n v="1"/>
    <d v="2023-07-03T19:05:41"/>
    <s v="N"/>
    <s v="Expert Cost"/>
    <s v="Expert Cost"/>
    <s v="Expert Disbursement"/>
    <s v="Hamish Arnott"/>
    <s v="N"/>
    <n v="819.3"/>
    <n v="0"/>
    <x v="3"/>
    <s v="VALIDATED"/>
    <n v="1"/>
    <s v="01.11.80.212.2012.0000"/>
    <n v="819.3"/>
    <s v="11"/>
    <s v="2012"/>
    <n v="8598.58"/>
    <n v="819.3"/>
    <s v="CREDITOR"/>
    <n v="819.3"/>
    <n v="0"/>
    <n v="0"/>
    <n v="0"/>
    <n v="0"/>
  </r>
  <r>
    <n v="30888866"/>
    <s v="N"/>
    <n v="21337735"/>
    <s v="3000009618510004"/>
    <s v="CIVIL"/>
    <d v="2023-06-29T00:00:00"/>
    <d v="2023-07-06T19:21:01"/>
    <m/>
    <d v="2023-07-06T00:00:00"/>
    <n v="102"/>
    <n v="13418"/>
    <s v="30888866"/>
    <s v="30888866"/>
    <m/>
    <m/>
    <n v="22793764"/>
    <m/>
    <m/>
    <m/>
    <s v="SOLFIN"/>
    <s v="SOLFIN"/>
    <s v="CCMS"/>
    <n v="21337735"/>
    <n v="0"/>
    <m/>
    <s v="N"/>
    <n v="1"/>
    <d v="2023-07-06T19:21:06"/>
    <s v="N"/>
    <s v="NIL BILL"/>
    <s v="Non Family Hourly Rates"/>
    <s v="Profit Cost"/>
    <s v="J Farrell"/>
    <s v="N"/>
    <n v="0"/>
    <n v="0"/>
    <x v="4"/>
    <s v="VALIDATED"/>
    <n v="1"/>
    <s v="01.11.80.201.6100.0000"/>
    <n v="0"/>
    <s v="11"/>
    <s v="6100"/>
    <n v="8598.58"/>
    <n v="0"/>
    <s v="CREDITOR"/>
    <n v="0"/>
    <n v="0"/>
    <n v="0"/>
    <n v="0"/>
    <n v="0"/>
  </r>
  <r>
    <n v="62147159"/>
    <s v="N"/>
    <n v="21322708"/>
    <s v="3000016158010003"/>
    <s v="CIVIL"/>
    <d v="2023-06-29T00:00:00"/>
    <d v="2023-07-03T19:05:36"/>
    <m/>
    <d v="2023-07-03T00:00:00"/>
    <n v="102"/>
    <n v="13418"/>
    <s v="62147159"/>
    <s v="62147159"/>
    <m/>
    <m/>
    <n v="22792398"/>
    <m/>
    <m/>
    <m/>
    <s v="SOLPOA"/>
    <s v="SOLPOA"/>
    <s v="CCMS"/>
    <n v="21322708"/>
    <n v="30"/>
    <m/>
    <s v="N"/>
    <n v="1"/>
    <d v="2023-07-03T19:05:39"/>
    <s v="N"/>
    <s v="Non Expert Disbursement"/>
    <s v="Non Expert Disbursement"/>
    <s v="Non Expert Disbursement"/>
    <s v="JANET FARRELL"/>
    <s v="N"/>
    <n v="25"/>
    <n v="5"/>
    <x v="3"/>
    <s v="VALIDATED"/>
    <n v="1"/>
    <s v="01.11.80.212.2012.0000"/>
    <n v="25"/>
    <s v="11"/>
    <s v="2012"/>
    <n v="8598.58"/>
    <n v="25"/>
    <s v="CREDITOR"/>
    <n v="25"/>
    <n v="0"/>
    <n v="0"/>
    <n v="0"/>
    <n v="0"/>
  </r>
  <r>
    <n v="62114927"/>
    <s v="N"/>
    <n v="21343469"/>
    <s v="3000016112980002"/>
    <s v="CIVIL"/>
    <d v="2023-06-28T00:00:00"/>
    <d v="2023-07-07T19:03:00"/>
    <m/>
    <d v="2023-07-07T00:00:00"/>
    <n v="102"/>
    <n v="13418"/>
    <s v="62114927"/>
    <s v="62114927"/>
    <m/>
    <m/>
    <n v="22780590"/>
    <m/>
    <m/>
    <m/>
    <s v="SOLPOA"/>
    <s v="SOLPOA"/>
    <s v="CCMS"/>
    <n v="21343469"/>
    <n v="108"/>
    <m/>
    <s v="N"/>
    <n v="1"/>
    <d v="2023-07-07T19:03:09"/>
    <s v="N"/>
    <s v="Non Expert Disbursement"/>
    <s v="Non Expert Disbursement"/>
    <s v="Non Expert Disbursement"/>
    <s v="MJP"/>
    <s v="N"/>
    <n v="108"/>
    <n v="0"/>
    <x v="9"/>
    <s v="VALIDATED"/>
    <n v="1"/>
    <s v="01.11.80.201.2012.0000"/>
    <n v="108"/>
    <s v="11"/>
    <s v="2012"/>
    <n v="8598.58"/>
    <n v="108"/>
    <s v="CREDITOR"/>
    <n v="108"/>
    <n v="0"/>
    <n v="0"/>
    <n v="0"/>
    <n v="0"/>
  </r>
  <r>
    <n v="59528492"/>
    <s v="N"/>
    <n v="21322161"/>
    <s v="3000013502060007"/>
    <s v="CIVIL"/>
    <d v="2023-06-29T00:00:00"/>
    <d v="2023-07-03T19:05:17"/>
    <m/>
    <d v="2023-07-03T00:00:00"/>
    <n v="102"/>
    <n v="13418"/>
    <s v="59528492"/>
    <s v="59528492"/>
    <m/>
    <m/>
    <n v="22787052"/>
    <m/>
    <m/>
    <m/>
    <s v="SOLPOA"/>
    <s v="SOLPOA"/>
    <s v="CCMS"/>
    <n v="21322161"/>
    <n v="4000"/>
    <m/>
    <s v="N"/>
    <n v="1"/>
    <d v="2023-07-03T19:05:22"/>
    <s v="N"/>
    <s v="Expert Cost"/>
    <s v="Expert Cost"/>
    <s v="Expert Disbursement"/>
    <s v="Chanel Dolcy"/>
    <s v="N"/>
    <n v="4000"/>
    <n v="0"/>
    <x v="3"/>
    <s v="VALIDATED"/>
    <n v="1"/>
    <s v="01.11.80.201.2012.0000"/>
    <n v="4000"/>
    <s v="11"/>
    <s v="2012"/>
    <n v="8598.58"/>
    <n v="4000"/>
    <s v="CREDITOR"/>
    <n v="4000"/>
    <n v="0"/>
    <n v="0"/>
    <n v="0"/>
    <n v="0"/>
  </r>
  <r>
    <n v="61323917"/>
    <s v="N"/>
    <n v="21375610"/>
    <s v="3000015434560003"/>
    <s v="CIVIL"/>
    <d v="2023-06-30T00:00:00"/>
    <d v="2023-07-14T10:00:03"/>
    <m/>
    <d v="2023-07-14T00:00:00"/>
    <n v="102"/>
    <n v="13418"/>
    <s v="61323917"/>
    <s v="61323917"/>
    <m/>
    <m/>
    <n v="22800616"/>
    <m/>
    <m/>
    <m/>
    <s v="SOLPOA"/>
    <s v="SOLPOA"/>
    <s v="CCMS"/>
    <n v="21375610"/>
    <n v="108"/>
    <m/>
    <s v="N"/>
    <n v="1"/>
    <d v="2023-07-14T10:00:16"/>
    <s v="N"/>
    <s v="Non Expert Disbursement"/>
    <s v="Non Expert Disbursement"/>
    <s v="Non Expert Disbursement"/>
    <s v="Eva Roszykiewicz"/>
    <s v="N"/>
    <n v="108"/>
    <n v="0"/>
    <x v="10"/>
    <s v="VALIDATED"/>
    <n v="1"/>
    <s v="01.11.80.201.2012.0000"/>
    <n v="108"/>
    <s v="11"/>
    <s v="2012"/>
    <n v="8598.58"/>
    <n v="108"/>
    <s v="CREDITOR"/>
    <n v="108"/>
    <n v="0"/>
    <n v="0"/>
    <n v="0"/>
    <n v="0"/>
  </r>
  <r>
    <n v="62107133"/>
    <s v="N"/>
    <n v="21322555"/>
    <s v="3000016133100001"/>
    <s v="CIVIL"/>
    <d v="2023-06-29T00:00:00"/>
    <d v="2023-07-03T19:05:36"/>
    <m/>
    <d v="2023-07-03T00:00:00"/>
    <n v="102"/>
    <n v="13418"/>
    <s v="62107133"/>
    <s v="62107133"/>
    <m/>
    <m/>
    <n v="22790350"/>
    <m/>
    <m/>
    <m/>
    <s v="SOLPOA"/>
    <s v="SOLPOA"/>
    <s v="CCMS"/>
    <n v="21322555"/>
    <n v="77"/>
    <m/>
    <s v="N"/>
    <n v="1"/>
    <d v="2023-07-03T19:05:38"/>
    <s v="N"/>
    <s v="Non Expert Disbursement"/>
    <s v="Non Expert Disbursement"/>
    <s v="Non Expert Disbursement"/>
    <s v="JANET FARRELL"/>
    <s v="N"/>
    <n v="77"/>
    <n v="0"/>
    <x v="3"/>
    <s v="VALIDATED"/>
    <n v="1"/>
    <s v="01.11.80.212.2012.0000"/>
    <n v="77"/>
    <s v="11"/>
    <s v="2012"/>
    <n v="8598.58"/>
    <n v="77"/>
    <s v="CREDITOR"/>
    <n v="77"/>
    <n v="0"/>
    <n v="0"/>
    <n v="0"/>
    <n v="0"/>
  </r>
  <r>
    <n v="29604563"/>
    <s v="N"/>
    <n v="21337726"/>
    <s v="3000009465320002"/>
    <s v="CIVIL"/>
    <d v="2023-06-29T00:00:00"/>
    <d v="2023-07-06T19:21:01"/>
    <m/>
    <d v="2023-07-06T00:00:00"/>
    <n v="102"/>
    <n v="13418"/>
    <s v="29604563"/>
    <s v="29604563"/>
    <m/>
    <m/>
    <n v="22793756"/>
    <m/>
    <m/>
    <m/>
    <s v="SOLFIN"/>
    <s v="SOLFIN"/>
    <s v="CCMS"/>
    <n v="21337726"/>
    <n v="0"/>
    <m/>
    <s v="N"/>
    <n v="1"/>
    <d v="2023-07-06T19:21:05"/>
    <s v="N"/>
    <s v="NIL BILL"/>
    <s v="Non Family Hourly Rates"/>
    <s v="Profit Cost"/>
    <s v="J Farrell"/>
    <s v="N"/>
    <n v="0"/>
    <n v="0"/>
    <x v="4"/>
    <s v="VALIDATED"/>
    <n v="1"/>
    <s v="01.11.80.201.6100.0000"/>
    <n v="0"/>
    <s v="11"/>
    <s v="6100"/>
    <n v="8598.58"/>
    <n v="0"/>
    <s v="CREDITOR"/>
    <n v="0"/>
    <n v="0"/>
    <n v="0"/>
    <n v="0"/>
    <n v="0"/>
  </r>
  <r>
    <n v="29604542"/>
    <s v="N"/>
    <n v="21337731"/>
    <s v="3000009459110004"/>
    <s v="CIVIL"/>
    <d v="2023-06-29T00:00:00"/>
    <d v="2023-07-06T19:21:01"/>
    <m/>
    <d v="2023-07-06T00:00:00"/>
    <n v="102"/>
    <n v="13418"/>
    <s v="29604542"/>
    <s v="29604542"/>
    <m/>
    <m/>
    <n v="22793740"/>
    <m/>
    <m/>
    <m/>
    <s v="SOLFIN"/>
    <s v="SOLFIN"/>
    <s v="CCMS"/>
    <n v="21337731"/>
    <n v="0"/>
    <m/>
    <s v="N"/>
    <n v="1"/>
    <d v="2023-07-06T19:21:06"/>
    <s v="N"/>
    <s v="NIL BILL"/>
    <s v="Non Family Hourly Rates"/>
    <s v="Profit Cost"/>
    <s v="J Farrell"/>
    <s v="N"/>
    <n v="0"/>
    <n v="0"/>
    <x v="4"/>
    <s v="VALIDATED"/>
    <n v="1"/>
    <s v="01.11.80.201.6100.0000"/>
    <n v="0"/>
    <s v="11"/>
    <s v="6100"/>
    <n v="8598.58"/>
    <n v="0"/>
    <s v="CREDITOR"/>
    <n v="0"/>
    <n v="0"/>
    <n v="0"/>
    <n v="0"/>
    <n v="0"/>
  </r>
  <r>
    <n v="29603545"/>
    <s v="N"/>
    <n v="21333701"/>
    <s v="3000008583750001RC"/>
    <s v="CIVIL"/>
    <d v="2023-06-29T00:00:00"/>
    <d v="2023-07-05T19:42:28"/>
    <m/>
    <d v="2023-07-05T00:00:00"/>
    <n v="102"/>
    <n v="13418"/>
    <s v="29603545"/>
    <s v="29603545"/>
    <m/>
    <m/>
    <m/>
    <m/>
    <m/>
    <m/>
    <s v="SOLRECOUP"/>
    <s v="SOLRECOUP"/>
    <s v="POARECOUP"/>
    <n v="21333701"/>
    <n v="-672"/>
    <m/>
    <s v="Y"/>
    <n v="2"/>
    <d v="2023-07-05T19:42:28"/>
    <s v="N"/>
    <m/>
    <m/>
    <s v="Profit Cost"/>
    <m/>
    <s v="N"/>
    <n v="0"/>
    <n v="-112"/>
    <x v="6"/>
    <s v="VALIDATED"/>
    <n v="1"/>
    <s v="01.11.80.201.2013.0000"/>
    <n v="-112"/>
    <s v="11"/>
    <s v="2013"/>
    <n v="8598.58"/>
    <n v="-112"/>
    <s v="CREDITOR"/>
    <n v="0"/>
    <n v="0"/>
    <n v="-112"/>
    <n v="-28"/>
    <n v="0"/>
  </r>
  <r>
    <n v="29603545"/>
    <s v="N"/>
    <n v="21333701"/>
    <s v="3000008583750001RC"/>
    <s v="CIVIL"/>
    <d v="2023-06-29T00:00:00"/>
    <d v="2023-07-05T19:42:28"/>
    <m/>
    <d v="2023-07-05T00:00:00"/>
    <n v="102"/>
    <n v="13418"/>
    <s v="29603545"/>
    <s v="29603545"/>
    <m/>
    <m/>
    <m/>
    <m/>
    <m/>
    <m/>
    <s v="SOLRECOUP"/>
    <s v="SOLRECOUP"/>
    <s v="POARECOUP"/>
    <n v="21333701"/>
    <n v="-672"/>
    <m/>
    <s v="Y"/>
    <n v="1"/>
    <d v="2023-07-05T19:42:28"/>
    <s v="N"/>
    <m/>
    <m/>
    <s v="Profit Cost"/>
    <m/>
    <s v="N"/>
    <n v="-560"/>
    <n v="0"/>
    <x v="6"/>
    <s v="VALIDATED"/>
    <n v="1"/>
    <s v="01.11.80.201.2013.0000"/>
    <n v="-560"/>
    <s v="11"/>
    <s v="2013"/>
    <n v="8598.58"/>
    <n v="-560"/>
    <s v="CREDITOR"/>
    <n v="0"/>
    <n v="0"/>
    <n v="-560"/>
    <n v="-140"/>
    <n v="0"/>
  </r>
  <r>
    <n v="29605553"/>
    <s v="N"/>
    <n v="21333702"/>
    <s v="3000008918710001RC"/>
    <s v="CIVIL"/>
    <d v="2023-06-29T00:00:00"/>
    <d v="2023-07-05T19:42:28"/>
    <m/>
    <d v="2023-07-05T00:00:00"/>
    <n v="102"/>
    <n v="13418"/>
    <s v="29605553"/>
    <s v="29605553"/>
    <m/>
    <m/>
    <m/>
    <m/>
    <m/>
    <m/>
    <s v="SOLRECOUP"/>
    <s v="SOLRECOUP"/>
    <s v="POARECOUP"/>
    <n v="21333702"/>
    <n v="-250"/>
    <m/>
    <s v="Y"/>
    <n v="2"/>
    <d v="2023-07-05T19:42:28"/>
    <s v="N"/>
    <m/>
    <m/>
    <s v="Non Expert Disbursement"/>
    <m/>
    <s v="N"/>
    <n v="0"/>
    <n v="0"/>
    <x v="6"/>
    <s v="VALIDATED"/>
    <n v="1"/>
    <s v="01.11.80.000.0000.0000"/>
    <n v="0"/>
    <s v="11"/>
    <s v="0000"/>
    <n v="8598.58"/>
    <n v="0"/>
    <s v="CREDITOR"/>
    <n v="0"/>
    <n v="0"/>
    <n v="0"/>
    <n v="0"/>
    <n v="0"/>
  </r>
  <r>
    <n v="29605553"/>
    <s v="N"/>
    <n v="21333702"/>
    <s v="3000008918710001RC"/>
    <s v="CIVIL"/>
    <d v="2023-06-29T00:00:00"/>
    <d v="2023-07-05T19:42:28"/>
    <m/>
    <d v="2023-07-05T00:00:00"/>
    <n v="102"/>
    <n v="13418"/>
    <s v="29605553"/>
    <s v="29605553"/>
    <m/>
    <m/>
    <m/>
    <m/>
    <m/>
    <m/>
    <s v="SOLRECOUP"/>
    <s v="SOLRECOUP"/>
    <s v="POARECOUP"/>
    <n v="21333702"/>
    <n v="-250"/>
    <m/>
    <s v="Y"/>
    <n v="1"/>
    <d v="2023-07-05T19:42:28"/>
    <s v="N"/>
    <m/>
    <m/>
    <s v="Non Expert Disbursement"/>
    <m/>
    <s v="N"/>
    <n v="-250"/>
    <n v="0"/>
    <x v="6"/>
    <s v="VALIDATED"/>
    <n v="1"/>
    <s v="01.11.80.201.2013.0000"/>
    <n v="-250"/>
    <s v="11"/>
    <s v="2013"/>
    <n v="8598.58"/>
    <n v="-250"/>
    <s v="CREDITOR"/>
    <n v="0"/>
    <n v="0"/>
    <n v="-250"/>
    <n v="0"/>
    <n v="0"/>
  </r>
  <r>
    <n v="29605553"/>
    <s v="N"/>
    <n v="21333703"/>
    <s v="3000008918710002RC"/>
    <s v="CIVIL"/>
    <d v="2023-06-29T00:00:00"/>
    <d v="2023-07-05T19:42:28"/>
    <m/>
    <d v="2023-07-05T00:00:00"/>
    <n v="102"/>
    <n v="13418"/>
    <s v="29605553"/>
    <s v="29605553"/>
    <m/>
    <m/>
    <m/>
    <m/>
    <m/>
    <m/>
    <s v="SOLRECOUP"/>
    <s v="SOLRECOUP"/>
    <s v="POARECOUP"/>
    <n v="21333703"/>
    <n v="-672"/>
    <m/>
    <s v="Y"/>
    <n v="2"/>
    <d v="2023-07-05T19:42:28"/>
    <s v="N"/>
    <m/>
    <m/>
    <s v="Profit Cost"/>
    <m/>
    <s v="N"/>
    <n v="0"/>
    <n v="-112"/>
    <x v="6"/>
    <s v="VALIDATED"/>
    <n v="1"/>
    <s v="01.11.80.201.2013.0000"/>
    <n v="-112"/>
    <s v="11"/>
    <s v="2013"/>
    <n v="8598.58"/>
    <n v="-112"/>
    <s v="CREDITOR"/>
    <n v="0"/>
    <n v="0"/>
    <n v="-112"/>
    <n v="-28"/>
    <n v="0"/>
  </r>
  <r>
    <n v="29605553"/>
    <s v="N"/>
    <n v="21333703"/>
    <s v="3000008918710002RC"/>
    <s v="CIVIL"/>
    <d v="2023-06-29T00:00:00"/>
    <d v="2023-07-05T19:42:28"/>
    <m/>
    <d v="2023-07-05T00:00:00"/>
    <n v="102"/>
    <n v="13418"/>
    <s v="29605553"/>
    <s v="29605553"/>
    <m/>
    <m/>
    <m/>
    <m/>
    <m/>
    <m/>
    <s v="SOLRECOUP"/>
    <s v="SOLRECOUP"/>
    <s v="POARECOUP"/>
    <n v="21333703"/>
    <n v="-672"/>
    <m/>
    <s v="Y"/>
    <n v="1"/>
    <d v="2023-07-05T19:42:28"/>
    <s v="N"/>
    <m/>
    <m/>
    <s v="Profit Cost"/>
    <m/>
    <s v="N"/>
    <n v="-560"/>
    <n v="0"/>
    <x v="6"/>
    <s v="VALIDATED"/>
    <n v="1"/>
    <s v="01.11.80.201.2013.0000"/>
    <n v="-560"/>
    <s v="11"/>
    <s v="2013"/>
    <n v="8598.58"/>
    <n v="-560"/>
    <s v="CREDITOR"/>
    <n v="0"/>
    <n v="0"/>
    <n v="-560"/>
    <n v="-140"/>
    <n v="0"/>
  </r>
  <r>
    <n v="10152535"/>
    <s v="N"/>
    <n v="21346139"/>
    <s v="3000006029890004RC"/>
    <s v="CIVIL"/>
    <d v="2023-06-29T00:00:00"/>
    <d v="2023-07-07T19:34:21"/>
    <m/>
    <d v="2023-07-07T00:00:00"/>
    <n v="102"/>
    <n v="13418"/>
    <s v="10152535"/>
    <s v="10152535"/>
    <m/>
    <m/>
    <m/>
    <m/>
    <m/>
    <m/>
    <s v="SOLRECOUP"/>
    <s v="SOLRECOUP"/>
    <s v="POARECOUP"/>
    <n v="21346139"/>
    <n v="-100"/>
    <m/>
    <s v="Y"/>
    <n v="1"/>
    <d v="2023-07-07T19:34:22"/>
    <s v="N"/>
    <m/>
    <m/>
    <s v="Non Expert Disbursement"/>
    <m/>
    <s v="N"/>
    <n v="-100"/>
    <n v="0"/>
    <x v="9"/>
    <s v="VALIDATED"/>
    <n v="1"/>
    <s v="01.11.80.201.2013.0000"/>
    <n v="-100"/>
    <s v="11"/>
    <s v="2013"/>
    <n v="8598.58"/>
    <n v="-100"/>
    <s v="CREDITOR"/>
    <n v="0"/>
    <n v="0"/>
    <n v="-100"/>
    <n v="0"/>
    <n v="0"/>
  </r>
  <r>
    <n v="10152535"/>
    <s v="N"/>
    <n v="21346139"/>
    <s v="3000006029890004RC"/>
    <s v="CIVIL"/>
    <d v="2023-06-29T00:00:00"/>
    <d v="2023-07-07T19:34:21"/>
    <m/>
    <d v="2023-07-07T00:00:00"/>
    <n v="102"/>
    <n v="13418"/>
    <s v="10152535"/>
    <s v="10152535"/>
    <m/>
    <m/>
    <m/>
    <m/>
    <m/>
    <m/>
    <s v="SOLRECOUP"/>
    <s v="SOLRECOUP"/>
    <s v="POARECOUP"/>
    <n v="21346139"/>
    <n v="-100"/>
    <m/>
    <s v="Y"/>
    <n v="2"/>
    <d v="2023-07-07T19:34:22"/>
    <s v="N"/>
    <m/>
    <m/>
    <s v="Non Expert Disbursement"/>
    <m/>
    <s v="N"/>
    <n v="0"/>
    <n v="0"/>
    <x v="9"/>
    <s v="VALIDATED"/>
    <n v="1"/>
    <s v="01.11.80.000.0000.0000"/>
    <n v="0"/>
    <s v="11"/>
    <s v="0000"/>
    <n v="8598.58"/>
    <n v="0"/>
    <s v="CREDITOR"/>
    <n v="0"/>
    <n v="0"/>
    <n v="0"/>
    <n v="0"/>
    <n v="0"/>
  </r>
  <r>
    <n v="10152535"/>
    <s v="N"/>
    <n v="21346140"/>
    <s v="3000006029890006RC"/>
    <s v="CIVIL"/>
    <d v="2023-06-29T00:00:00"/>
    <d v="2023-07-07T19:34:21"/>
    <m/>
    <d v="2023-07-07T00:00:00"/>
    <n v="102"/>
    <n v="13418"/>
    <s v="10152535"/>
    <s v="10152535"/>
    <m/>
    <m/>
    <m/>
    <m/>
    <m/>
    <m/>
    <s v="SOLRECOUP"/>
    <s v="SOLRECOUP"/>
    <s v="POARECOUP"/>
    <n v="21346140"/>
    <n v="-100"/>
    <m/>
    <s v="Y"/>
    <n v="2"/>
    <d v="2023-07-07T19:34:22"/>
    <s v="N"/>
    <m/>
    <m/>
    <s v="Non Expert Disbursement"/>
    <m/>
    <s v="N"/>
    <n v="0"/>
    <n v="0"/>
    <x v="9"/>
    <s v="VALIDATED"/>
    <n v="1"/>
    <s v="01.11.80.000.0000.0000"/>
    <n v="0"/>
    <s v="11"/>
    <s v="0000"/>
    <n v="8598.58"/>
    <n v="0"/>
    <s v="CREDITOR"/>
    <n v="0"/>
    <n v="0"/>
    <n v="0"/>
    <n v="0"/>
    <n v="0"/>
  </r>
  <r>
    <n v="10152535"/>
    <s v="N"/>
    <n v="21346140"/>
    <s v="3000006029890006RC"/>
    <s v="CIVIL"/>
    <d v="2023-06-29T00:00:00"/>
    <d v="2023-07-07T19:34:21"/>
    <m/>
    <d v="2023-07-07T00:00:00"/>
    <n v="102"/>
    <n v="13418"/>
    <s v="10152535"/>
    <s v="10152535"/>
    <m/>
    <m/>
    <m/>
    <m/>
    <m/>
    <m/>
    <s v="SOLRECOUP"/>
    <s v="SOLRECOUP"/>
    <s v="POARECOUP"/>
    <n v="21346140"/>
    <n v="-100"/>
    <m/>
    <s v="Y"/>
    <n v="1"/>
    <d v="2023-07-07T19:34:22"/>
    <s v="N"/>
    <m/>
    <m/>
    <s v="Non Expert Disbursement"/>
    <m/>
    <s v="N"/>
    <n v="-100"/>
    <n v="0"/>
    <x v="9"/>
    <s v="VALIDATED"/>
    <n v="1"/>
    <s v="01.11.80.201.2013.0000"/>
    <n v="-100"/>
    <s v="11"/>
    <s v="2013"/>
    <n v="8598.58"/>
    <n v="-100"/>
    <s v="CREDITOR"/>
    <n v="0"/>
    <n v="0"/>
    <n v="-100"/>
    <n v="0"/>
    <n v="0"/>
  </r>
  <r>
    <n v="10152535"/>
    <s v="N"/>
    <n v="21346158"/>
    <s v="3000006029890008RC"/>
    <s v="CIVIL"/>
    <d v="2023-06-29T00:00:00"/>
    <d v="2023-07-07T19:34:21"/>
    <m/>
    <d v="2023-07-07T00:00:00"/>
    <n v="102"/>
    <n v="13418"/>
    <s v="10152535"/>
    <s v="10152535"/>
    <m/>
    <m/>
    <m/>
    <m/>
    <m/>
    <m/>
    <s v="SOLRECOUP"/>
    <s v="SOLRECOUP"/>
    <s v="POARECOUP"/>
    <n v="21346158"/>
    <n v="-700"/>
    <m/>
    <s v="Y"/>
    <n v="2"/>
    <d v="2023-07-07T19:34:22"/>
    <s v="N"/>
    <m/>
    <m/>
    <s v="Expert Disbursement"/>
    <m/>
    <s v="N"/>
    <n v="0"/>
    <n v="0"/>
    <x v="9"/>
    <s v="VALIDATED"/>
    <n v="1"/>
    <s v="01.11.80.000.0000.0000"/>
    <n v="0"/>
    <s v="11"/>
    <s v="0000"/>
    <n v="8598.58"/>
    <n v="0"/>
    <s v="CREDITOR"/>
    <n v="0"/>
    <n v="0"/>
    <n v="0"/>
    <n v="0"/>
    <n v="0"/>
  </r>
  <r>
    <n v="10152535"/>
    <s v="N"/>
    <n v="21346158"/>
    <s v="3000006029890008RC"/>
    <s v="CIVIL"/>
    <d v="2023-06-29T00:00:00"/>
    <d v="2023-07-07T19:34:21"/>
    <m/>
    <d v="2023-07-07T00:00:00"/>
    <n v="102"/>
    <n v="13418"/>
    <s v="10152535"/>
    <s v="10152535"/>
    <m/>
    <m/>
    <m/>
    <m/>
    <m/>
    <m/>
    <s v="SOLRECOUP"/>
    <s v="SOLRECOUP"/>
    <s v="POARECOUP"/>
    <n v="21346158"/>
    <n v="-700"/>
    <m/>
    <s v="Y"/>
    <n v="1"/>
    <d v="2023-07-07T19:34:22"/>
    <s v="N"/>
    <m/>
    <m/>
    <s v="Expert Disbursement"/>
    <m/>
    <s v="N"/>
    <n v="-700"/>
    <n v="0"/>
    <x v="9"/>
    <s v="VALIDATED"/>
    <n v="1"/>
    <s v="01.11.80.201.2013.0000"/>
    <n v="-700"/>
    <s v="11"/>
    <s v="2013"/>
    <n v="8598.58"/>
    <n v="-700"/>
    <s v="CREDITOR"/>
    <n v="0"/>
    <n v="0"/>
    <n v="-700"/>
    <n v="0"/>
    <n v="0"/>
  </r>
  <r>
    <n v="10152535"/>
    <s v="N"/>
    <n v="21346164"/>
    <s v="3000006029890009RC"/>
    <s v="CIVIL"/>
    <d v="2023-06-29T00:00:00"/>
    <d v="2023-07-07T19:34:21"/>
    <m/>
    <d v="2023-07-07T00:00:00"/>
    <n v="102"/>
    <n v="13418"/>
    <s v="10152535"/>
    <s v="10152535"/>
    <m/>
    <m/>
    <m/>
    <m/>
    <m/>
    <m/>
    <s v="SOLRECOUP"/>
    <s v="SOLRECOUP"/>
    <s v="POARECOUP"/>
    <n v="21346164"/>
    <n v="-15"/>
    <m/>
    <s v="Y"/>
    <n v="1"/>
    <d v="2023-07-07T19:34:22"/>
    <s v="N"/>
    <m/>
    <m/>
    <s v="Non Expert Disbursement"/>
    <m/>
    <s v="N"/>
    <n v="-15"/>
    <n v="0"/>
    <x v="9"/>
    <s v="VALIDATED"/>
    <n v="1"/>
    <s v="01.11.80.201.2013.0000"/>
    <n v="-15"/>
    <s v="11"/>
    <s v="2013"/>
    <n v="8598.58"/>
    <n v="-15"/>
    <s v="CREDITOR"/>
    <n v="0"/>
    <n v="0"/>
    <n v="-15"/>
    <n v="0"/>
    <n v="0"/>
  </r>
  <r>
    <n v="10152535"/>
    <s v="N"/>
    <n v="21346164"/>
    <s v="3000006029890009RC"/>
    <s v="CIVIL"/>
    <d v="2023-06-29T00:00:00"/>
    <d v="2023-07-07T19:34:21"/>
    <m/>
    <d v="2023-07-07T00:00:00"/>
    <n v="102"/>
    <n v="13418"/>
    <s v="10152535"/>
    <s v="10152535"/>
    <m/>
    <m/>
    <m/>
    <m/>
    <m/>
    <m/>
    <s v="SOLRECOUP"/>
    <s v="SOLRECOUP"/>
    <s v="POARECOUP"/>
    <n v="21346164"/>
    <n v="-15"/>
    <m/>
    <s v="Y"/>
    <n v="2"/>
    <d v="2023-07-07T19:34:22"/>
    <s v="N"/>
    <m/>
    <m/>
    <s v="Non Expert Disbursement"/>
    <m/>
    <s v="N"/>
    <n v="0"/>
    <n v="0"/>
    <x v="9"/>
    <s v="VALIDATED"/>
    <n v="1"/>
    <s v="01.11.80.000.0000.0000"/>
    <n v="0"/>
    <s v="11"/>
    <s v="0000"/>
    <n v="8598.58"/>
    <n v="0"/>
    <s v="CREDITOR"/>
    <n v="0"/>
    <n v="0"/>
    <n v="0"/>
    <n v="0"/>
    <n v="0"/>
  </r>
  <r>
    <n v="10152535"/>
    <s v="N"/>
    <n v="21346165"/>
    <s v="3000006029890010RC"/>
    <s v="CIVIL"/>
    <d v="2023-06-29T00:00:00"/>
    <d v="2023-07-07T19:34:21"/>
    <m/>
    <d v="2023-07-07T00:00:00"/>
    <n v="102"/>
    <n v="13418"/>
    <s v="10152535"/>
    <s v="10152535"/>
    <m/>
    <m/>
    <m/>
    <m/>
    <m/>
    <m/>
    <s v="SOLRECOUP"/>
    <s v="SOLRECOUP"/>
    <s v="POARECOUP"/>
    <n v="21346165"/>
    <n v="-1440"/>
    <m/>
    <s v="Y"/>
    <n v="2"/>
    <d v="2023-07-07T19:34:22"/>
    <s v="N"/>
    <m/>
    <m/>
    <s v="Profit Cost"/>
    <m/>
    <s v="N"/>
    <n v="0"/>
    <n v="-240"/>
    <x v="9"/>
    <s v="VALIDATED"/>
    <n v="1"/>
    <s v="01.11.80.201.2013.0000"/>
    <n v="-240"/>
    <s v="11"/>
    <s v="2013"/>
    <n v="8598.58"/>
    <n v="-240"/>
    <s v="CREDITOR"/>
    <n v="0"/>
    <n v="0"/>
    <n v="-240"/>
    <n v="-60"/>
    <n v="0"/>
  </r>
  <r>
    <n v="10152535"/>
    <s v="N"/>
    <n v="21346165"/>
    <s v="3000006029890010RC"/>
    <s v="CIVIL"/>
    <d v="2023-06-29T00:00:00"/>
    <d v="2023-07-07T19:34:21"/>
    <m/>
    <d v="2023-07-07T00:00:00"/>
    <n v="102"/>
    <n v="13418"/>
    <s v="10152535"/>
    <s v="10152535"/>
    <m/>
    <m/>
    <m/>
    <m/>
    <m/>
    <m/>
    <s v="SOLRECOUP"/>
    <s v="SOLRECOUP"/>
    <s v="POARECOUP"/>
    <n v="21346165"/>
    <n v="-1440"/>
    <m/>
    <s v="Y"/>
    <n v="1"/>
    <d v="2023-07-07T19:34:22"/>
    <s v="N"/>
    <m/>
    <m/>
    <s v="Profit Cost"/>
    <m/>
    <s v="N"/>
    <n v="-1200"/>
    <n v="0"/>
    <x v="9"/>
    <s v="VALIDATED"/>
    <n v="1"/>
    <s v="01.11.80.201.2013.0000"/>
    <n v="-1200"/>
    <s v="11"/>
    <s v="2013"/>
    <n v="8598.58"/>
    <n v="-1200"/>
    <s v="CREDITOR"/>
    <n v="0"/>
    <n v="0"/>
    <n v="-1200"/>
    <n v="-300"/>
    <n v="0"/>
  </r>
  <r>
    <n v="10152535"/>
    <s v="N"/>
    <n v="21346169"/>
    <s v="3000006029890016RC"/>
    <s v="CIVIL"/>
    <d v="2023-06-29T00:00:00"/>
    <d v="2023-07-07T19:34:21"/>
    <m/>
    <d v="2023-07-07T00:00:00"/>
    <n v="102"/>
    <n v="13418"/>
    <s v="10152535"/>
    <s v="10152535"/>
    <m/>
    <m/>
    <m/>
    <m/>
    <m/>
    <m/>
    <s v="SOLRECOUP"/>
    <s v="SOLRECOUP"/>
    <s v="POARECOUP"/>
    <n v="21346169"/>
    <n v="-2400"/>
    <m/>
    <s v="Y"/>
    <n v="2"/>
    <d v="2023-07-07T19:34:22"/>
    <s v="N"/>
    <m/>
    <m/>
    <s v="Profit Cost"/>
    <m/>
    <s v="N"/>
    <n v="0"/>
    <n v="-400"/>
    <x v="9"/>
    <s v="VALIDATED"/>
    <n v="1"/>
    <s v="01.11.80.201.2013.0000"/>
    <n v="-400"/>
    <s v="11"/>
    <s v="2013"/>
    <n v="8598.58"/>
    <n v="-400"/>
    <s v="CREDITOR"/>
    <n v="0"/>
    <n v="0"/>
    <n v="-400"/>
    <n v="-100"/>
    <n v="0"/>
  </r>
  <r>
    <n v="10152535"/>
    <s v="N"/>
    <n v="21346169"/>
    <s v="3000006029890016RC"/>
    <s v="CIVIL"/>
    <d v="2023-06-29T00:00:00"/>
    <d v="2023-07-07T19:34:21"/>
    <m/>
    <d v="2023-07-07T00:00:00"/>
    <n v="102"/>
    <n v="13418"/>
    <s v="10152535"/>
    <s v="10152535"/>
    <m/>
    <m/>
    <m/>
    <m/>
    <m/>
    <m/>
    <s v="SOLRECOUP"/>
    <s v="SOLRECOUP"/>
    <s v="POARECOUP"/>
    <n v="21346169"/>
    <n v="-2400"/>
    <m/>
    <s v="Y"/>
    <n v="1"/>
    <d v="2023-07-07T19:34:22"/>
    <s v="N"/>
    <m/>
    <m/>
    <s v="Profit Cost"/>
    <m/>
    <s v="N"/>
    <n v="-2000"/>
    <n v="0"/>
    <x v="9"/>
    <s v="VALIDATED"/>
    <n v="1"/>
    <s v="01.11.80.201.2013.0000"/>
    <n v="-2000"/>
    <s v="11"/>
    <s v="2013"/>
    <n v="8598.58"/>
    <n v="-2000"/>
    <s v="CREDITOR"/>
    <n v="0"/>
    <n v="0"/>
    <n v="-2000"/>
    <n v="-500"/>
    <n v="0"/>
  </r>
  <r>
    <n v="10152535"/>
    <s v="N"/>
    <n v="21346173"/>
    <s v="3000006029890013RC"/>
    <s v="CIVIL"/>
    <d v="2023-06-29T00:00:00"/>
    <d v="2023-07-07T19:34:21"/>
    <m/>
    <d v="2023-07-07T00:00:00"/>
    <n v="102"/>
    <n v="13418"/>
    <s v="10152535"/>
    <s v="10152535"/>
    <m/>
    <m/>
    <m/>
    <m/>
    <m/>
    <m/>
    <s v="SOLRECOUP"/>
    <s v="SOLRECOUP"/>
    <s v="POARECOUP"/>
    <n v="21346173"/>
    <n v="-15"/>
    <m/>
    <s v="Y"/>
    <n v="1"/>
    <d v="2023-07-07T19:34:22"/>
    <s v="N"/>
    <m/>
    <m/>
    <s v="Non Expert Disbursement"/>
    <m/>
    <s v="N"/>
    <n v="-15"/>
    <n v="0"/>
    <x v="9"/>
    <s v="VALIDATED"/>
    <n v="1"/>
    <s v="01.11.80.201.2013.0000"/>
    <n v="-15"/>
    <s v="11"/>
    <s v="2013"/>
    <n v="8598.58"/>
    <n v="-15"/>
    <s v="CREDITOR"/>
    <n v="0"/>
    <n v="0"/>
    <n v="-15"/>
    <n v="0"/>
    <n v="0"/>
  </r>
  <r>
    <n v="10152535"/>
    <s v="N"/>
    <n v="21346173"/>
    <s v="3000006029890013RC"/>
    <s v="CIVIL"/>
    <d v="2023-06-29T00:00:00"/>
    <d v="2023-07-07T19:34:21"/>
    <m/>
    <d v="2023-07-07T00:00:00"/>
    <n v="102"/>
    <n v="13418"/>
    <s v="10152535"/>
    <s v="10152535"/>
    <m/>
    <m/>
    <m/>
    <m/>
    <m/>
    <m/>
    <s v="SOLRECOUP"/>
    <s v="SOLRECOUP"/>
    <s v="POARECOUP"/>
    <n v="21346173"/>
    <n v="-15"/>
    <m/>
    <s v="Y"/>
    <n v="2"/>
    <d v="2023-07-07T19:34:22"/>
    <s v="N"/>
    <m/>
    <m/>
    <s v="Non Expert Disbursement"/>
    <m/>
    <s v="N"/>
    <n v="0"/>
    <n v="0"/>
    <x v="9"/>
    <s v="VALIDATED"/>
    <n v="1"/>
    <s v="01.11.80.000.0000.0000"/>
    <n v="0"/>
    <s v="11"/>
    <s v="0000"/>
    <n v="8598.58"/>
    <n v="0"/>
    <s v="CREDITOR"/>
    <n v="0"/>
    <n v="0"/>
    <n v="0"/>
    <n v="0"/>
    <n v="0"/>
  </r>
  <r>
    <n v="10152535"/>
    <s v="N"/>
    <n v="21346174"/>
    <s v="3000006029890015RC"/>
    <s v="CIVIL"/>
    <d v="2023-06-29T00:00:00"/>
    <d v="2023-07-07T19:34:21"/>
    <m/>
    <d v="2023-07-07T00:00:00"/>
    <n v="102"/>
    <n v="13418"/>
    <s v="10152535"/>
    <s v="10152535"/>
    <m/>
    <m/>
    <m/>
    <m/>
    <m/>
    <m/>
    <s v="SOLRECOUP"/>
    <s v="SOLRECOUP"/>
    <s v="POARECOUP"/>
    <n v="21346174"/>
    <n v="-108"/>
    <m/>
    <s v="Y"/>
    <n v="1"/>
    <d v="2023-07-07T19:34:22"/>
    <s v="N"/>
    <m/>
    <m/>
    <s v="Non Expert Disbursement"/>
    <m/>
    <s v="N"/>
    <n v="-108"/>
    <n v="0"/>
    <x v="9"/>
    <s v="VALIDATED"/>
    <n v="1"/>
    <s v="01.11.80.201.2013.0000"/>
    <n v="-108"/>
    <s v="11"/>
    <s v="2013"/>
    <n v="8598.58"/>
    <n v="-108"/>
    <s v="CREDITOR"/>
    <n v="0"/>
    <n v="0"/>
    <n v="-108"/>
    <n v="0"/>
    <n v="0"/>
  </r>
  <r>
    <n v="10152535"/>
    <s v="N"/>
    <n v="21346174"/>
    <s v="3000006029890015RC"/>
    <s v="CIVIL"/>
    <d v="2023-06-29T00:00:00"/>
    <d v="2023-07-07T19:34:21"/>
    <m/>
    <d v="2023-07-07T00:00:00"/>
    <n v="102"/>
    <n v="13418"/>
    <s v="10152535"/>
    <s v="10152535"/>
    <m/>
    <m/>
    <m/>
    <m/>
    <m/>
    <m/>
    <s v="SOLRECOUP"/>
    <s v="SOLRECOUP"/>
    <s v="POARECOUP"/>
    <n v="21346174"/>
    <n v="-108"/>
    <m/>
    <s v="Y"/>
    <n v="2"/>
    <d v="2023-07-07T19:34:22"/>
    <s v="N"/>
    <m/>
    <m/>
    <s v="Non Expert Disbursement"/>
    <m/>
    <s v="N"/>
    <n v="0"/>
    <n v="0"/>
    <x v="9"/>
    <s v="VALIDATED"/>
    <n v="1"/>
    <s v="01.11.80.000.0000.0000"/>
    <n v="0"/>
    <s v="11"/>
    <s v="0000"/>
    <n v="8598.58"/>
    <n v="0"/>
    <s v="CREDITOR"/>
    <n v="0"/>
    <n v="0"/>
    <n v="0"/>
    <n v="0"/>
    <n v="0"/>
  </r>
  <r>
    <n v="10152535"/>
    <s v="N"/>
    <n v="21346175"/>
    <s v="3000006029890018RC"/>
    <s v="CIVIL"/>
    <d v="2023-06-29T00:00:00"/>
    <d v="2023-07-07T19:34:21"/>
    <m/>
    <d v="2023-07-07T00:00:00"/>
    <n v="102"/>
    <n v="13418"/>
    <s v="10152535"/>
    <s v="10152535"/>
    <m/>
    <m/>
    <m/>
    <m/>
    <m/>
    <m/>
    <s v="SOLRECOUP"/>
    <s v="SOLRECOUP"/>
    <s v="POARECOUP"/>
    <n v="21346175"/>
    <n v="-108"/>
    <m/>
    <s v="Y"/>
    <n v="1"/>
    <d v="2023-07-07T19:34:22"/>
    <s v="N"/>
    <m/>
    <m/>
    <s v="Non Expert Disbursement"/>
    <m/>
    <s v="N"/>
    <n v="-108"/>
    <n v="0"/>
    <x v="9"/>
    <s v="VALIDATED"/>
    <n v="1"/>
    <s v="01.11.80.201.2013.0000"/>
    <n v="-108"/>
    <s v="11"/>
    <s v="2013"/>
    <n v="8598.58"/>
    <n v="-108"/>
    <s v="CREDITOR"/>
    <n v="0"/>
    <n v="0"/>
    <n v="-108"/>
    <n v="0"/>
    <n v="0"/>
  </r>
  <r>
    <n v="10152535"/>
    <s v="N"/>
    <n v="21346175"/>
    <s v="3000006029890018RC"/>
    <s v="CIVIL"/>
    <d v="2023-06-29T00:00:00"/>
    <d v="2023-07-07T19:34:21"/>
    <m/>
    <d v="2023-07-07T00:00:00"/>
    <n v="102"/>
    <n v="13418"/>
    <s v="10152535"/>
    <s v="10152535"/>
    <m/>
    <m/>
    <m/>
    <m/>
    <m/>
    <m/>
    <s v="SOLRECOUP"/>
    <s v="SOLRECOUP"/>
    <s v="POARECOUP"/>
    <n v="21346175"/>
    <n v="-108"/>
    <m/>
    <s v="Y"/>
    <n v="2"/>
    <d v="2023-07-07T19:34:22"/>
    <s v="N"/>
    <m/>
    <m/>
    <s v="Non Expert Disbursement"/>
    <m/>
    <s v="N"/>
    <n v="0"/>
    <n v="0"/>
    <x v="9"/>
    <s v="VALIDATED"/>
    <n v="1"/>
    <s v="01.11.80.000.0000.0000"/>
    <n v="0"/>
    <s v="11"/>
    <s v="0000"/>
    <n v="8598.58"/>
    <n v="0"/>
    <s v="CREDITOR"/>
    <n v="0"/>
    <n v="0"/>
    <n v="0"/>
    <n v="0"/>
    <n v="0"/>
  </r>
  <r>
    <n v="10152535"/>
    <s v="N"/>
    <n v="21346177"/>
    <s v="3000006029890020RC"/>
    <s v="CIVIL"/>
    <d v="2023-06-29T00:00:00"/>
    <d v="2023-07-07T19:34:21"/>
    <m/>
    <d v="2023-07-07T00:00:00"/>
    <n v="102"/>
    <n v="13418"/>
    <s v="10152535"/>
    <s v="10152535"/>
    <m/>
    <m/>
    <m/>
    <m/>
    <m/>
    <m/>
    <s v="SOLRECOUP"/>
    <s v="SOLRECOUP"/>
    <s v="POARECOUP"/>
    <n v="21346177"/>
    <n v="-108"/>
    <m/>
    <s v="Y"/>
    <n v="1"/>
    <d v="2023-07-07T19:34:22"/>
    <s v="N"/>
    <m/>
    <m/>
    <s v="Non Expert Disbursement"/>
    <m/>
    <s v="N"/>
    <n v="-108"/>
    <n v="0"/>
    <x v="9"/>
    <s v="VALIDATED"/>
    <n v="1"/>
    <s v="01.11.80.201.2013.0000"/>
    <n v="-108"/>
    <s v="11"/>
    <s v="2013"/>
    <n v="8598.58"/>
    <n v="-108"/>
    <s v="CREDITOR"/>
    <n v="0"/>
    <n v="0"/>
    <n v="-108"/>
    <n v="0"/>
    <n v="0"/>
  </r>
  <r>
    <n v="10152535"/>
    <s v="N"/>
    <n v="21346177"/>
    <s v="3000006029890020RC"/>
    <s v="CIVIL"/>
    <d v="2023-06-29T00:00:00"/>
    <d v="2023-07-07T19:34:21"/>
    <m/>
    <d v="2023-07-07T00:00:00"/>
    <n v="102"/>
    <n v="13418"/>
    <s v="10152535"/>
    <s v="10152535"/>
    <m/>
    <m/>
    <m/>
    <m/>
    <m/>
    <m/>
    <s v="SOLRECOUP"/>
    <s v="SOLRECOUP"/>
    <s v="POARECOUP"/>
    <n v="21346177"/>
    <n v="-108"/>
    <m/>
    <s v="Y"/>
    <n v="2"/>
    <d v="2023-07-07T19:34:22"/>
    <s v="N"/>
    <m/>
    <m/>
    <s v="Non Expert Disbursement"/>
    <m/>
    <s v="N"/>
    <n v="0"/>
    <n v="0"/>
    <x v="9"/>
    <s v="VALIDATED"/>
    <n v="1"/>
    <s v="01.11.80.000.0000.0000"/>
    <n v="0"/>
    <s v="11"/>
    <s v="0000"/>
    <n v="8598.58"/>
    <n v="0"/>
    <s v="CREDITOR"/>
    <n v="0"/>
    <n v="0"/>
    <n v="0"/>
    <n v="0"/>
    <n v="0"/>
  </r>
  <r>
    <n v="10152535"/>
    <s v="N"/>
    <n v="21346178"/>
    <s v="3000006029890019RC"/>
    <s v="CIVIL"/>
    <d v="2023-06-29T00:00:00"/>
    <d v="2023-07-07T19:34:21"/>
    <m/>
    <d v="2023-07-07T00:00:00"/>
    <n v="102"/>
    <n v="13418"/>
    <s v="10152535"/>
    <s v="10152535"/>
    <m/>
    <m/>
    <m/>
    <m/>
    <m/>
    <m/>
    <s v="SOLRECOUP"/>
    <s v="SOLRECOUP"/>
    <s v="POARECOUP"/>
    <n v="21346178"/>
    <n v="-15"/>
    <m/>
    <s v="Y"/>
    <n v="2"/>
    <d v="2023-07-07T19:34:22"/>
    <s v="N"/>
    <m/>
    <m/>
    <s v="Non Expert Disbursement"/>
    <m/>
    <s v="N"/>
    <n v="0"/>
    <n v="0"/>
    <x v="9"/>
    <s v="VALIDATED"/>
    <n v="1"/>
    <s v="01.11.80.000.0000.0000"/>
    <n v="0"/>
    <s v="11"/>
    <s v="0000"/>
    <n v="8598.58"/>
    <n v="0"/>
    <s v="CREDITOR"/>
    <n v="0"/>
    <n v="0"/>
    <n v="0"/>
    <n v="0"/>
    <n v="0"/>
  </r>
  <r>
    <n v="10152535"/>
    <s v="N"/>
    <n v="21346178"/>
    <s v="3000006029890019RC"/>
    <s v="CIVIL"/>
    <d v="2023-06-29T00:00:00"/>
    <d v="2023-07-07T19:34:21"/>
    <m/>
    <d v="2023-07-07T00:00:00"/>
    <n v="102"/>
    <n v="13418"/>
    <s v="10152535"/>
    <s v="10152535"/>
    <m/>
    <m/>
    <m/>
    <m/>
    <m/>
    <m/>
    <s v="SOLRECOUP"/>
    <s v="SOLRECOUP"/>
    <s v="POARECOUP"/>
    <n v="21346178"/>
    <n v="-15"/>
    <m/>
    <s v="Y"/>
    <n v="1"/>
    <d v="2023-07-07T19:34:22"/>
    <s v="N"/>
    <m/>
    <m/>
    <s v="Non Expert Disbursement"/>
    <m/>
    <s v="N"/>
    <n v="-15"/>
    <n v="0"/>
    <x v="9"/>
    <s v="VALIDATED"/>
    <n v="1"/>
    <s v="01.11.80.201.2013.0000"/>
    <n v="-15"/>
    <s v="11"/>
    <s v="2013"/>
    <n v="8598.58"/>
    <n v="-15"/>
    <s v="CREDITOR"/>
    <n v="0"/>
    <n v="0"/>
    <n v="-15"/>
    <n v="0"/>
    <n v="0"/>
  </r>
  <r>
    <n v="10152535"/>
    <s v="N"/>
    <n v="21346179"/>
    <s v="3000006029890021RC"/>
    <s v="CIVIL"/>
    <d v="2023-06-29T00:00:00"/>
    <d v="2023-07-07T19:34:21"/>
    <m/>
    <d v="2023-07-07T00:00:00"/>
    <n v="102"/>
    <n v="13418"/>
    <s v="10152535"/>
    <s v="10152535"/>
    <m/>
    <m/>
    <m/>
    <m/>
    <m/>
    <m/>
    <s v="SOLRECOUP"/>
    <s v="SOLRECOUP"/>
    <s v="POARECOUP"/>
    <n v="21346179"/>
    <n v="-21.15"/>
    <m/>
    <s v="Y"/>
    <n v="1"/>
    <d v="2023-07-07T19:34:22"/>
    <s v="N"/>
    <m/>
    <m/>
    <s v="Non Expert Disbursement"/>
    <m/>
    <s v="N"/>
    <n v="-21.15"/>
    <n v="0"/>
    <x v="9"/>
    <s v="VALIDATED"/>
    <n v="1"/>
    <s v="01.11.80.201.2013.0000"/>
    <n v="-21.15"/>
    <s v="11"/>
    <s v="2013"/>
    <n v="8598.58"/>
    <n v="-21.15"/>
    <s v="CREDITOR"/>
    <n v="0"/>
    <n v="0"/>
    <n v="-21.15"/>
    <n v="0"/>
    <n v="0"/>
  </r>
  <r>
    <n v="10152535"/>
    <s v="N"/>
    <n v="21346179"/>
    <s v="3000006029890021RC"/>
    <s v="CIVIL"/>
    <d v="2023-06-29T00:00:00"/>
    <d v="2023-07-07T19:34:21"/>
    <m/>
    <d v="2023-07-07T00:00:00"/>
    <n v="102"/>
    <n v="13418"/>
    <s v="10152535"/>
    <s v="10152535"/>
    <m/>
    <m/>
    <m/>
    <m/>
    <m/>
    <m/>
    <s v="SOLRECOUP"/>
    <s v="SOLRECOUP"/>
    <s v="POARECOUP"/>
    <n v="21346179"/>
    <n v="-21.15"/>
    <m/>
    <s v="Y"/>
    <n v="2"/>
    <d v="2023-07-07T19:34:22"/>
    <s v="N"/>
    <m/>
    <m/>
    <s v="Non Expert Disbursement"/>
    <m/>
    <s v="N"/>
    <n v="0"/>
    <n v="0"/>
    <x v="9"/>
    <s v="VALIDATED"/>
    <n v="1"/>
    <s v="01.11.80.000.0000.0000"/>
    <n v="0"/>
    <s v="11"/>
    <s v="0000"/>
    <n v="8598.58"/>
    <n v="0"/>
    <s v="CREDITOR"/>
    <n v="0"/>
    <n v="0"/>
    <n v="0"/>
    <n v="0"/>
    <n v="0"/>
  </r>
  <r>
    <n v="10152535"/>
    <s v="N"/>
    <n v="21346180"/>
    <s v="3000006029890022RC"/>
    <s v="CIVIL"/>
    <d v="2023-06-29T00:00:00"/>
    <d v="2023-07-07T19:34:21"/>
    <m/>
    <d v="2023-07-07T00:00:00"/>
    <n v="102"/>
    <n v="13418"/>
    <s v="10152535"/>
    <s v="10152535"/>
    <m/>
    <m/>
    <m/>
    <m/>
    <m/>
    <m/>
    <s v="SOLRECOUP"/>
    <s v="SOLRECOUP"/>
    <s v="POARECOUP"/>
    <n v="21346180"/>
    <n v="-108"/>
    <m/>
    <s v="Y"/>
    <n v="2"/>
    <d v="2023-07-07T19:34:22"/>
    <s v="N"/>
    <m/>
    <m/>
    <s v="Non Expert Disbursement"/>
    <m/>
    <s v="N"/>
    <n v="0"/>
    <n v="0"/>
    <x v="9"/>
    <s v="VALIDATED"/>
    <n v="1"/>
    <s v="01.11.80.000.0000.0000"/>
    <n v="0"/>
    <s v="11"/>
    <s v="0000"/>
    <n v="8598.58"/>
    <n v="0"/>
    <s v="CREDITOR"/>
    <n v="0"/>
    <n v="0"/>
    <n v="0"/>
    <n v="0"/>
    <n v="0"/>
  </r>
  <r>
    <n v="10152535"/>
    <s v="N"/>
    <n v="21346180"/>
    <s v="3000006029890022RC"/>
    <s v="CIVIL"/>
    <d v="2023-06-29T00:00:00"/>
    <d v="2023-07-07T19:34:21"/>
    <m/>
    <d v="2023-07-07T00:00:00"/>
    <n v="102"/>
    <n v="13418"/>
    <s v="10152535"/>
    <s v="10152535"/>
    <m/>
    <m/>
    <m/>
    <m/>
    <m/>
    <m/>
    <s v="SOLRECOUP"/>
    <s v="SOLRECOUP"/>
    <s v="POARECOUP"/>
    <n v="21346180"/>
    <n v="-108"/>
    <m/>
    <s v="Y"/>
    <n v="1"/>
    <d v="2023-07-07T19:34:22"/>
    <s v="N"/>
    <m/>
    <m/>
    <s v="Non Expert Disbursement"/>
    <m/>
    <s v="N"/>
    <n v="-108"/>
    <n v="0"/>
    <x v="9"/>
    <s v="VALIDATED"/>
    <n v="1"/>
    <s v="01.11.80.201.2013.0000"/>
    <n v="-108"/>
    <s v="11"/>
    <s v="2013"/>
    <n v="8598.58"/>
    <n v="-108"/>
    <s v="CREDITOR"/>
    <n v="0"/>
    <n v="0"/>
    <n v="-108"/>
    <n v="0"/>
    <n v="0"/>
  </r>
  <r>
    <n v="29604542"/>
    <s v="N"/>
    <n v="21339839"/>
    <s v="3000009459110001RC"/>
    <s v="CIVIL"/>
    <d v="2023-06-29T00:00:00"/>
    <d v="2023-07-06T19:54:22"/>
    <m/>
    <d v="2023-07-06T00:00:00"/>
    <n v="102"/>
    <n v="13418"/>
    <s v="29604542"/>
    <s v="29604542"/>
    <m/>
    <m/>
    <m/>
    <m/>
    <m/>
    <m/>
    <s v="SOLRECOUP"/>
    <s v="SOLRECOUP"/>
    <s v="POARECOUP"/>
    <n v="21339839"/>
    <n v="-250"/>
    <m/>
    <s v="Y"/>
    <n v="1"/>
    <d v="2023-07-06T19:54:22"/>
    <s v="N"/>
    <m/>
    <m/>
    <s v="Non Expert Disbursement"/>
    <m/>
    <s v="N"/>
    <n v="-250"/>
    <n v="0"/>
    <x v="4"/>
    <s v="VALIDATED"/>
    <n v="1"/>
    <s v="01.11.80.201.2013.0000"/>
    <n v="-250"/>
    <s v="11"/>
    <s v="2013"/>
    <n v="8598.58"/>
    <n v="-250"/>
    <s v="CREDITOR"/>
    <n v="0"/>
    <n v="0"/>
    <n v="-250"/>
    <n v="0"/>
    <n v="0"/>
  </r>
  <r>
    <n v="29604542"/>
    <s v="N"/>
    <n v="21339839"/>
    <s v="3000009459110001RC"/>
    <s v="CIVIL"/>
    <d v="2023-06-29T00:00:00"/>
    <d v="2023-07-06T19:54:22"/>
    <m/>
    <d v="2023-07-06T00:00:00"/>
    <n v="102"/>
    <n v="13418"/>
    <s v="29604542"/>
    <s v="29604542"/>
    <m/>
    <m/>
    <m/>
    <m/>
    <m/>
    <m/>
    <s v="SOLRECOUP"/>
    <s v="SOLRECOUP"/>
    <s v="POARECOUP"/>
    <n v="21339839"/>
    <n v="-250"/>
    <m/>
    <s v="Y"/>
    <n v="2"/>
    <d v="2023-07-06T19:54:22"/>
    <s v="N"/>
    <m/>
    <m/>
    <s v="Non Expert Disbursement"/>
    <m/>
    <s v="N"/>
    <n v="0"/>
    <n v="0"/>
    <x v="4"/>
    <s v="VALIDATED"/>
    <n v="1"/>
    <s v="01.11.80.000.0000.0000"/>
    <n v="0"/>
    <s v="11"/>
    <s v="0000"/>
    <n v="8598.58"/>
    <n v="0"/>
    <s v="CREDITOR"/>
    <n v="0"/>
    <n v="0"/>
    <n v="0"/>
    <n v="0"/>
    <n v="0"/>
  </r>
  <r>
    <n v="30888866"/>
    <s v="N"/>
    <n v="21339840"/>
    <s v="3000009618510001RC"/>
    <s v="CIVIL"/>
    <d v="2023-06-29T00:00:00"/>
    <d v="2023-07-06T19:54:22"/>
    <m/>
    <d v="2023-07-06T00:00:00"/>
    <n v="102"/>
    <n v="13418"/>
    <s v="30888866"/>
    <s v="30888866"/>
    <m/>
    <m/>
    <m/>
    <m/>
    <m/>
    <m/>
    <s v="SOLRECOUP"/>
    <s v="SOLRECOUP"/>
    <s v="POARECOUP"/>
    <n v="21339840"/>
    <n v="-250"/>
    <m/>
    <s v="Y"/>
    <n v="2"/>
    <d v="2023-07-06T19:54:22"/>
    <s v="N"/>
    <m/>
    <m/>
    <s v="Non Expert Disbursement"/>
    <m/>
    <s v="N"/>
    <n v="0"/>
    <n v="0"/>
    <x v="4"/>
    <s v="VALIDATED"/>
    <n v="1"/>
    <s v="01.11.80.000.0000.0000"/>
    <n v="0"/>
    <s v="11"/>
    <s v="0000"/>
    <n v="8598.58"/>
    <n v="0"/>
    <s v="CREDITOR"/>
    <n v="0"/>
    <n v="0"/>
    <n v="0"/>
    <n v="0"/>
    <n v="0"/>
  </r>
  <r>
    <n v="30888866"/>
    <s v="N"/>
    <n v="21339840"/>
    <s v="3000009618510001RC"/>
    <s v="CIVIL"/>
    <d v="2023-06-29T00:00:00"/>
    <d v="2023-07-06T19:54:22"/>
    <m/>
    <d v="2023-07-06T00:00:00"/>
    <n v="102"/>
    <n v="13418"/>
    <s v="30888866"/>
    <s v="30888866"/>
    <m/>
    <m/>
    <m/>
    <m/>
    <m/>
    <m/>
    <s v="SOLRECOUP"/>
    <s v="SOLRECOUP"/>
    <s v="POARECOUP"/>
    <n v="21339840"/>
    <n v="-250"/>
    <m/>
    <s v="Y"/>
    <n v="1"/>
    <d v="2023-07-06T19:54:22"/>
    <s v="N"/>
    <m/>
    <m/>
    <s v="Non Expert Disbursement"/>
    <m/>
    <s v="N"/>
    <n v="-250"/>
    <n v="0"/>
    <x v="4"/>
    <s v="VALIDATED"/>
    <n v="1"/>
    <s v="01.11.80.201.2013.0000"/>
    <n v="-250"/>
    <s v="11"/>
    <s v="2013"/>
    <n v="8598.58"/>
    <n v="-250"/>
    <s v="CREDITOR"/>
    <n v="0"/>
    <n v="0"/>
    <n v="-250"/>
    <n v="0"/>
    <n v="0"/>
  </r>
  <r>
    <n v="30888866"/>
    <s v="N"/>
    <n v="21339842"/>
    <s v="3000009618510002RC"/>
    <s v="CIVIL"/>
    <d v="2023-06-29T00:00:00"/>
    <d v="2023-07-06T19:54:22"/>
    <m/>
    <d v="2023-07-06T00:00:00"/>
    <n v="102"/>
    <n v="13418"/>
    <s v="30888866"/>
    <s v="30888866"/>
    <m/>
    <m/>
    <m/>
    <m/>
    <m/>
    <m/>
    <s v="SOLRECOUP"/>
    <s v="SOLRECOUP"/>
    <s v="POARECOUP"/>
    <n v="21339842"/>
    <n v="-672"/>
    <m/>
    <s v="Y"/>
    <n v="2"/>
    <d v="2023-07-06T19:54:22"/>
    <s v="N"/>
    <m/>
    <m/>
    <s v="Profit Cost"/>
    <m/>
    <s v="N"/>
    <n v="0"/>
    <n v="-112"/>
    <x v="4"/>
    <s v="VALIDATED"/>
    <n v="1"/>
    <s v="01.11.80.201.2013.0000"/>
    <n v="-112"/>
    <s v="11"/>
    <s v="2013"/>
    <n v="8598.58"/>
    <n v="-112"/>
    <s v="CREDITOR"/>
    <n v="0"/>
    <n v="0"/>
    <n v="-112"/>
    <n v="-28"/>
    <n v="0"/>
  </r>
  <r>
    <n v="30888866"/>
    <s v="N"/>
    <n v="21339842"/>
    <s v="3000009618510002RC"/>
    <s v="CIVIL"/>
    <d v="2023-06-29T00:00:00"/>
    <d v="2023-07-06T19:54:22"/>
    <m/>
    <d v="2023-07-06T00:00:00"/>
    <n v="102"/>
    <n v="13418"/>
    <s v="30888866"/>
    <s v="30888866"/>
    <m/>
    <m/>
    <m/>
    <m/>
    <m/>
    <m/>
    <s v="SOLRECOUP"/>
    <s v="SOLRECOUP"/>
    <s v="POARECOUP"/>
    <n v="21339842"/>
    <n v="-672"/>
    <m/>
    <s v="Y"/>
    <n v="1"/>
    <d v="2023-07-06T19:54:22"/>
    <s v="N"/>
    <m/>
    <m/>
    <s v="Profit Cost"/>
    <m/>
    <s v="N"/>
    <n v="-560"/>
    <n v="0"/>
    <x v="4"/>
    <s v="VALIDATED"/>
    <n v="1"/>
    <s v="01.11.80.201.2013.0000"/>
    <n v="-560"/>
    <s v="11"/>
    <s v="2013"/>
    <n v="8598.58"/>
    <n v="-560"/>
    <s v="CREDITOR"/>
    <n v="0"/>
    <n v="0"/>
    <n v="-560"/>
    <n v="-140"/>
    <n v="0"/>
  </r>
  <r>
    <n v="30888866"/>
    <s v="N"/>
    <n v="21339846"/>
    <s v="3000009618510003RC"/>
    <s v="CIVIL"/>
    <d v="2023-06-29T00:00:00"/>
    <d v="2023-07-06T19:54:22"/>
    <m/>
    <d v="2023-07-06T00:00:00"/>
    <n v="102"/>
    <n v="13418"/>
    <s v="30888866"/>
    <s v="30888866"/>
    <m/>
    <m/>
    <m/>
    <m/>
    <m/>
    <m/>
    <s v="SOLRECOUP"/>
    <s v="SOLRECOUP"/>
    <s v="POARECOUP"/>
    <n v="21339846"/>
    <n v="-127.5"/>
    <m/>
    <s v="Y"/>
    <n v="1"/>
    <d v="2023-07-06T19:54:22"/>
    <s v="N"/>
    <m/>
    <m/>
    <s v="Non Expert Disbursement"/>
    <m/>
    <s v="N"/>
    <n v="-127.5"/>
    <n v="0"/>
    <x v="4"/>
    <s v="VALIDATED"/>
    <n v="1"/>
    <s v="01.11.80.201.2013.0000"/>
    <n v="-127.5"/>
    <s v="11"/>
    <s v="2013"/>
    <n v="8598.58"/>
    <n v="-127.5"/>
    <s v="CREDITOR"/>
    <n v="0"/>
    <n v="0"/>
    <n v="-127.5"/>
    <n v="0"/>
    <n v="0"/>
  </r>
  <r>
    <n v="30888866"/>
    <s v="N"/>
    <n v="21339846"/>
    <s v="3000009618510003RC"/>
    <s v="CIVIL"/>
    <d v="2023-06-29T00:00:00"/>
    <d v="2023-07-06T19:54:22"/>
    <m/>
    <d v="2023-07-06T00:00:00"/>
    <n v="102"/>
    <n v="13418"/>
    <s v="30888866"/>
    <s v="30888866"/>
    <m/>
    <m/>
    <m/>
    <m/>
    <m/>
    <m/>
    <s v="SOLRECOUP"/>
    <s v="SOLRECOUP"/>
    <s v="POARECOUP"/>
    <n v="21339846"/>
    <n v="-127.5"/>
    <m/>
    <s v="Y"/>
    <n v="2"/>
    <d v="2023-07-06T19:54:22"/>
    <s v="N"/>
    <m/>
    <m/>
    <s v="Non Expert Disbursement"/>
    <m/>
    <s v="N"/>
    <n v="0"/>
    <n v="0"/>
    <x v="4"/>
    <s v="VALIDATED"/>
    <n v="1"/>
    <s v="01.11.80.000.0000.0000"/>
    <n v="0"/>
    <s v="11"/>
    <s v="0000"/>
    <n v="8598.58"/>
    <n v="0"/>
    <s v="CREDITOR"/>
    <n v="0"/>
    <n v="0"/>
    <n v="0"/>
    <n v="0"/>
    <n v="0"/>
  </r>
  <r>
    <n v="29604542"/>
    <s v="N"/>
    <n v="21339847"/>
    <s v="3000009459110002RC"/>
    <s v="CIVIL"/>
    <d v="2023-06-29T00:00:00"/>
    <d v="2023-07-06T19:54:22"/>
    <m/>
    <d v="2023-07-06T00:00:00"/>
    <n v="102"/>
    <n v="13418"/>
    <s v="29604542"/>
    <s v="29604542"/>
    <m/>
    <m/>
    <m/>
    <m/>
    <m/>
    <m/>
    <s v="SOLRECOUP"/>
    <s v="SOLRECOUP"/>
    <s v="POARECOUP"/>
    <n v="21339847"/>
    <n v="-672"/>
    <m/>
    <s v="Y"/>
    <n v="1"/>
    <d v="2023-07-06T19:54:22"/>
    <s v="N"/>
    <m/>
    <m/>
    <s v="Profit Cost"/>
    <m/>
    <s v="N"/>
    <n v="-560"/>
    <n v="0"/>
    <x v="4"/>
    <s v="VALIDATED"/>
    <n v="1"/>
    <s v="01.11.80.201.2013.0000"/>
    <n v="-560"/>
    <s v="11"/>
    <s v="2013"/>
    <n v="8598.58"/>
    <n v="-560"/>
    <s v="CREDITOR"/>
    <n v="0"/>
    <n v="0"/>
    <n v="-560"/>
    <n v="-140"/>
    <n v="0"/>
  </r>
  <r>
    <n v="29604542"/>
    <s v="N"/>
    <n v="21339847"/>
    <s v="3000009459110002RC"/>
    <s v="CIVIL"/>
    <d v="2023-06-29T00:00:00"/>
    <d v="2023-07-06T19:54:22"/>
    <m/>
    <d v="2023-07-06T00:00:00"/>
    <n v="102"/>
    <n v="13418"/>
    <s v="29604542"/>
    <s v="29604542"/>
    <m/>
    <m/>
    <m/>
    <m/>
    <m/>
    <m/>
    <s v="SOLRECOUP"/>
    <s v="SOLRECOUP"/>
    <s v="POARECOUP"/>
    <n v="21339847"/>
    <n v="-672"/>
    <m/>
    <s v="Y"/>
    <n v="2"/>
    <d v="2023-07-06T19:54:22"/>
    <s v="N"/>
    <m/>
    <m/>
    <s v="Profit Cost"/>
    <m/>
    <s v="N"/>
    <n v="0"/>
    <n v="-112"/>
    <x v="4"/>
    <s v="VALIDATED"/>
    <n v="1"/>
    <s v="01.11.80.201.2013.0000"/>
    <n v="-112"/>
    <s v="11"/>
    <s v="2013"/>
    <n v="8598.58"/>
    <n v="-112"/>
    <s v="CREDITOR"/>
    <n v="0"/>
    <n v="0"/>
    <n v="-112"/>
    <n v="-28"/>
    <n v="0"/>
  </r>
  <r>
    <n v="29604563"/>
    <s v="N"/>
    <n v="21339848"/>
    <s v="3000009465320001RC"/>
    <s v="CIVIL"/>
    <d v="2023-06-29T00:00:00"/>
    <d v="2023-07-06T19:54:22"/>
    <m/>
    <d v="2023-07-06T00:00:00"/>
    <n v="102"/>
    <n v="13418"/>
    <s v="29604563"/>
    <s v="29604563"/>
    <m/>
    <m/>
    <m/>
    <m/>
    <m/>
    <m/>
    <s v="SOLRECOUP"/>
    <s v="SOLRECOUP"/>
    <s v="POARECOUP"/>
    <n v="21339848"/>
    <n v="-672"/>
    <m/>
    <s v="Y"/>
    <n v="1"/>
    <d v="2023-07-06T19:54:22"/>
    <s v="N"/>
    <m/>
    <m/>
    <s v="Profit Cost"/>
    <m/>
    <s v="N"/>
    <n v="-560"/>
    <n v="0"/>
    <x v="4"/>
    <s v="VALIDATED"/>
    <n v="1"/>
    <s v="01.11.80.201.2013.0000"/>
    <n v="-560"/>
    <s v="11"/>
    <s v="2013"/>
    <n v="8598.58"/>
    <n v="-560"/>
    <s v="CREDITOR"/>
    <n v="0"/>
    <n v="0"/>
    <n v="-560"/>
    <n v="-140"/>
    <n v="0"/>
  </r>
  <r>
    <n v="29604563"/>
    <s v="N"/>
    <n v="21339848"/>
    <s v="3000009465320001RC"/>
    <s v="CIVIL"/>
    <d v="2023-06-29T00:00:00"/>
    <d v="2023-07-06T19:54:22"/>
    <m/>
    <d v="2023-07-06T00:00:00"/>
    <n v="102"/>
    <n v="13418"/>
    <s v="29604563"/>
    <s v="29604563"/>
    <m/>
    <m/>
    <m/>
    <m/>
    <m/>
    <m/>
    <s v="SOLRECOUP"/>
    <s v="SOLRECOUP"/>
    <s v="POARECOUP"/>
    <n v="21339848"/>
    <n v="-672"/>
    <m/>
    <s v="Y"/>
    <n v="2"/>
    <d v="2023-07-06T19:54:22"/>
    <s v="N"/>
    <m/>
    <m/>
    <s v="Profit Cost"/>
    <m/>
    <s v="N"/>
    <n v="0"/>
    <n v="-112"/>
    <x v="4"/>
    <s v="VALIDATED"/>
    <n v="1"/>
    <s v="01.11.80.201.2013.0000"/>
    <n v="-112"/>
    <s v="11"/>
    <s v="2013"/>
    <n v="8598.58"/>
    <n v="-112"/>
    <s v="CREDITOR"/>
    <n v="0"/>
    <n v="0"/>
    <n v="-112"/>
    <n v="-28"/>
    <n v="0"/>
  </r>
  <r>
    <n v="61053254"/>
    <s v="N"/>
    <n v="21320087"/>
    <s v="3000015251910003"/>
    <s v="CIVIL"/>
    <d v="2023-06-28T00:00:00"/>
    <d v="2023-07-03T19:04:24"/>
    <m/>
    <d v="2023-07-03T00:00:00"/>
    <n v="112"/>
    <n v="18429"/>
    <s v="61053254"/>
    <s v="61053254"/>
    <m/>
    <m/>
    <n v="22777268"/>
    <m/>
    <m/>
    <m/>
    <s v="SOLPOA"/>
    <s v="SOLPOA"/>
    <s v="CCMS"/>
    <n v="21320087"/>
    <n v="112.32"/>
    <m/>
    <s v="N"/>
    <n v="1"/>
    <d v="2023-07-03T19:04:29"/>
    <s v="N"/>
    <s v="Expert Cost"/>
    <s v="Expert Cost"/>
    <s v="Expert Disbursement"/>
    <s v="CJS"/>
    <s v="N"/>
    <n v="93.59999999999999"/>
    <n v="18.72"/>
    <x v="3"/>
    <s v="VALIDATED"/>
    <n v="1"/>
    <s v="01.11.80.308.2012.0000"/>
    <n v="93.59999999999999"/>
    <s v="11"/>
    <s v="2012"/>
    <n v="93.59999999999999"/>
    <n v="93.59999999999999"/>
    <s v="CREDITOR"/>
    <n v="93.59999999999999"/>
    <n v="0"/>
    <n v="0"/>
    <n v="0"/>
    <n v="0"/>
  </r>
  <r>
    <n v="61847170"/>
    <s v="N"/>
    <n v="21360448"/>
    <s v="3000015913380007"/>
    <s v="CIVIL"/>
    <d v="2023-06-29T00:00:00"/>
    <d v="2023-07-11T11:50:54"/>
    <m/>
    <d v="2023-07-11T00:00:00"/>
    <n v="114"/>
    <n v="18429"/>
    <s v="61847170"/>
    <s v="61847170"/>
    <m/>
    <m/>
    <n v="22789530"/>
    <m/>
    <m/>
    <m/>
    <s v="SOLFIN"/>
    <s v="SOLFIN"/>
    <s v="CCMS"/>
    <n v="21360448"/>
    <n v="6140.17"/>
    <m/>
    <s v="N"/>
    <n v="5"/>
    <d v="2023-07-11T11:51:05"/>
    <s v="Y"/>
    <s v="Expert - Other"/>
    <s v="Public Law Children"/>
    <s v="Expert Disbursement"/>
    <s v="CJS"/>
    <s v="Y"/>
    <n v="542.42"/>
    <n v="108.48"/>
    <x v="7"/>
    <s v="VALIDATED"/>
    <n v="1"/>
    <s v="01.11.80.308.6300.0000"/>
    <n v="542.42"/>
    <s v="11"/>
    <s v="6300"/>
    <n v="4685.23"/>
    <n v="542.42"/>
    <s v="CREDITOR"/>
    <n v="0"/>
    <n v="0"/>
    <n v="0"/>
    <n v="0"/>
    <n v="542.42"/>
  </r>
  <r>
    <n v="61023649"/>
    <s v="N"/>
    <n v="21319483"/>
    <s v="3000015226600007"/>
    <s v="CIVIL"/>
    <d v="2023-06-27T00:00:00"/>
    <d v="2023-07-03T19:04:24"/>
    <m/>
    <d v="2023-07-03T00:00:00"/>
    <n v="114"/>
    <n v="18429"/>
    <s v="61023649"/>
    <s v="61023649"/>
    <m/>
    <m/>
    <n v="22770162"/>
    <m/>
    <m/>
    <m/>
    <s v="SOLPOA"/>
    <s v="SOLPOA"/>
    <s v="CCMS"/>
    <n v="21319483"/>
    <n v="222.48"/>
    <m/>
    <s v="N"/>
    <n v="1"/>
    <d v="2023-07-03T19:04:26"/>
    <s v="N"/>
    <s v="Expert Cost"/>
    <s v="Expert Cost"/>
    <s v="Expert Disbursement"/>
    <s v="Christine Nwaokolo"/>
    <s v="N"/>
    <n v="185.4"/>
    <n v="37.08"/>
    <x v="3"/>
    <s v="VALIDATED"/>
    <n v="1"/>
    <s v="01.11.80.308.2012.0000"/>
    <n v="185.4"/>
    <s v="11"/>
    <s v="2012"/>
    <n v="4685.23"/>
    <n v="185.4"/>
    <s v="CREDITOR"/>
    <n v="185.4"/>
    <n v="0"/>
    <n v="0"/>
    <n v="0"/>
    <n v="0"/>
  </r>
  <r>
    <n v="61847170"/>
    <s v="N"/>
    <n v="21360448"/>
    <s v="3000015913380007"/>
    <s v="CIVIL"/>
    <d v="2023-06-29T00:00:00"/>
    <d v="2023-07-11T11:50:54"/>
    <m/>
    <d v="2023-07-11T00:00:00"/>
    <n v="114"/>
    <n v="18429"/>
    <s v="61847170"/>
    <s v="61847170"/>
    <m/>
    <m/>
    <n v="22789530"/>
    <m/>
    <m/>
    <m/>
    <s v="SOLFIN"/>
    <s v="SOLFIN"/>
    <s v="CCMS"/>
    <n v="21360448"/>
    <n v="6140.17"/>
    <m/>
    <s v="N"/>
    <n v="1"/>
    <d v="2023-07-11T11:51:05"/>
    <s v="Y"/>
    <s v="Solicitors Fixed Fee"/>
    <s v="Public Law Children"/>
    <s v="Profit Cost"/>
    <s v="CJS"/>
    <s v="Y"/>
    <n v="2616"/>
    <n v="523.2"/>
    <x v="7"/>
    <s v="VALIDATED"/>
    <n v="1"/>
    <s v="01.11.80.308.6100.0000"/>
    <n v="2616"/>
    <s v="11"/>
    <s v="6100"/>
    <n v="4685.23"/>
    <n v="2616"/>
    <s v="CREDITOR"/>
    <n v="0"/>
    <n v="0"/>
    <n v="0"/>
    <n v="0"/>
    <n v="2616"/>
  </r>
  <r>
    <n v="61420610"/>
    <s v="N"/>
    <n v="21319267"/>
    <s v="3000015558950009"/>
    <s v="CIVIL"/>
    <d v="2023-06-28T00:00:00"/>
    <d v="2023-07-03T19:04:24"/>
    <m/>
    <d v="2023-07-03T00:00:00"/>
    <n v="114"/>
    <n v="18429"/>
    <s v="61420610"/>
    <s v="61420610"/>
    <m/>
    <m/>
    <n v="22776820"/>
    <m/>
    <m/>
    <m/>
    <s v="SOLPOA"/>
    <s v="SOLPOA"/>
    <s v="CCMS"/>
    <n v="21319267"/>
    <n v="324"/>
    <m/>
    <s v="N"/>
    <n v="1"/>
    <d v="2023-07-03T19:04:25"/>
    <s v="N"/>
    <s v="Expert Cost"/>
    <s v="Expert Cost"/>
    <s v="Expert Disbursement"/>
    <s v="CJS"/>
    <s v="N"/>
    <n v="270"/>
    <n v="54"/>
    <x v="3"/>
    <s v="VALIDATED"/>
    <n v="1"/>
    <s v="01.11.80.308.2012.0000"/>
    <n v="270"/>
    <s v="11"/>
    <s v="2012"/>
    <n v="4685.23"/>
    <n v="270"/>
    <s v="CREDITOR"/>
    <n v="270"/>
    <n v="0"/>
    <n v="0"/>
    <n v="0"/>
    <n v="0"/>
  </r>
  <r>
    <n v="61420610"/>
    <s v="N"/>
    <n v="21320923"/>
    <s v="3000015558950010"/>
    <s v="CIVIL"/>
    <d v="2023-06-28T00:00:00"/>
    <d v="2023-07-03T19:04:52"/>
    <m/>
    <d v="2023-07-03T00:00:00"/>
    <n v="114"/>
    <n v="18429"/>
    <s v="61420610"/>
    <s v="61420610"/>
    <m/>
    <m/>
    <n v="22781614"/>
    <m/>
    <m/>
    <m/>
    <s v="SOLPOA"/>
    <s v="SOLPOA"/>
    <s v="CCMS"/>
    <n v="21320923"/>
    <n v="324"/>
    <m/>
    <s v="N"/>
    <n v="1"/>
    <d v="2023-07-03T19:04:57"/>
    <s v="N"/>
    <s v="Expert Cost"/>
    <s v="Expert Cost"/>
    <s v="Expert Disbursement"/>
    <s v="Christine Nwaokolo"/>
    <s v="N"/>
    <n v="270"/>
    <n v="54"/>
    <x v="3"/>
    <s v="VALIDATED"/>
    <n v="1"/>
    <s v="01.11.80.308.2012.0000"/>
    <n v="270"/>
    <s v="11"/>
    <s v="2012"/>
    <n v="4685.23"/>
    <n v="270"/>
    <s v="CREDITOR"/>
    <n v="270"/>
    <n v="0"/>
    <n v="0"/>
    <n v="0"/>
    <n v="0"/>
  </r>
  <r>
    <n v="61847170"/>
    <s v="N"/>
    <n v="21360448"/>
    <s v="3000015913380007"/>
    <s v="CIVIL"/>
    <d v="2023-06-29T00:00:00"/>
    <d v="2023-07-11T11:50:54"/>
    <m/>
    <d v="2023-07-11T00:00:00"/>
    <n v="114"/>
    <n v="18429"/>
    <s v="61847170"/>
    <s v="61847170"/>
    <m/>
    <m/>
    <n v="22789530"/>
    <m/>
    <m/>
    <m/>
    <s v="SOLFIN"/>
    <s v="SOLFIN"/>
    <s v="CCMS"/>
    <n v="21360448"/>
    <n v="6140.17"/>
    <m/>
    <s v="N"/>
    <n v="8"/>
    <d v="2023-07-11T11:51:05"/>
    <s v="Y"/>
    <s v="Final Hearing Court Bundle/Advocate"/>
    <s v="Public Law Children"/>
    <s v="Advocacy"/>
    <s v="CJS"/>
    <s v="Y"/>
    <n v="239.4"/>
    <n v="47.88"/>
    <x v="7"/>
    <s v="VALIDATED"/>
    <n v="1"/>
    <s v="01.11.80.308.6100.0000"/>
    <n v="239.4"/>
    <s v="11"/>
    <s v="6100"/>
    <n v="4685.23"/>
    <n v="239.4"/>
    <s v="CREDITOR"/>
    <n v="0"/>
    <n v="0"/>
    <n v="0"/>
    <n v="0"/>
    <n v="239.4"/>
  </r>
  <r>
    <n v="60914692"/>
    <s v="N"/>
    <n v="21320046"/>
    <s v="3000015134160012"/>
    <s v="CIVIL"/>
    <d v="2023-06-27T00:00:00"/>
    <d v="2023-07-03T19:04:24"/>
    <m/>
    <d v="2023-07-03T00:00:00"/>
    <n v="114"/>
    <n v="18429"/>
    <s v="60914692"/>
    <s v="60914692"/>
    <m/>
    <m/>
    <n v="22766506"/>
    <m/>
    <m/>
    <m/>
    <s v="SOLPOA"/>
    <s v="SOLPOA"/>
    <s v="CCMS"/>
    <n v="21320046"/>
    <n v="86.5"/>
    <m/>
    <s v="N"/>
    <n v="1"/>
    <d v="2023-07-03T19:04:29"/>
    <s v="N"/>
    <s v="Expert Cost"/>
    <s v="Expert Cost"/>
    <s v="Expert Disbursement"/>
    <s v="CJS"/>
    <s v="N"/>
    <n v="72.08"/>
    <n v="14.42"/>
    <x v="3"/>
    <s v="VALIDATED"/>
    <n v="1"/>
    <s v="01.11.80.308.2012.0000"/>
    <n v="72.08"/>
    <s v="11"/>
    <s v="2012"/>
    <n v="4685.23"/>
    <n v="72.08"/>
    <s v="CREDITOR"/>
    <n v="72.08"/>
    <n v="0"/>
    <n v="0"/>
    <n v="0"/>
    <n v="0"/>
  </r>
  <r>
    <n v="61847170"/>
    <s v="N"/>
    <n v="21360448"/>
    <s v="3000015913380007"/>
    <s v="CIVIL"/>
    <d v="2023-06-29T00:00:00"/>
    <d v="2023-07-11T11:50:54"/>
    <m/>
    <d v="2023-07-11T00:00:00"/>
    <n v="114"/>
    <n v="18429"/>
    <s v="61847170"/>
    <s v="61847170"/>
    <m/>
    <m/>
    <n v="22789530"/>
    <m/>
    <m/>
    <m/>
    <s v="SOLFIN"/>
    <s v="SOLFIN"/>
    <s v="CCMS"/>
    <n v="21360448"/>
    <n v="6140.17"/>
    <m/>
    <s v="N"/>
    <n v="3"/>
    <d v="2023-07-11T11:51:05"/>
    <s v="Y"/>
    <s v="Expert - Other"/>
    <s v="Public Law Children"/>
    <s v="Expert Disbursement"/>
    <s v="CJS"/>
    <s v="Y"/>
    <n v="167.11"/>
    <n v="33.42"/>
    <x v="7"/>
    <s v="VALIDATED"/>
    <n v="1"/>
    <s v="01.11.80.308.6300.0000"/>
    <n v="167.11"/>
    <s v="11"/>
    <s v="6300"/>
    <n v="4685.23"/>
    <n v="167.11"/>
    <s v="CREDITOR"/>
    <n v="0"/>
    <n v="0"/>
    <n v="0"/>
    <n v="0"/>
    <n v="167.11"/>
  </r>
  <r>
    <n v="62407784"/>
    <s v="N"/>
    <n v="21320750"/>
    <s v="3000016381240001"/>
    <s v="CIVIL"/>
    <d v="2023-06-28T00:00:00"/>
    <d v="2023-07-03T19:04:52"/>
    <m/>
    <d v="2023-07-03T00:00:00"/>
    <n v="114"/>
    <n v="18429"/>
    <s v="62407784"/>
    <s v="62407784"/>
    <m/>
    <m/>
    <n v="22782568"/>
    <m/>
    <m/>
    <m/>
    <s v="SOLPOA"/>
    <s v="SOLPOA"/>
    <s v="CCMS"/>
    <n v="21320750"/>
    <n v="518"/>
    <m/>
    <s v="N"/>
    <n v="1"/>
    <d v="2023-07-03T19:04:56"/>
    <s v="N"/>
    <s v="Expert Cost"/>
    <s v="Expert Cost"/>
    <s v="Expert Disbursement"/>
    <s v="Nikita Patel"/>
    <s v="N"/>
    <n v="431.67"/>
    <n v="86.33"/>
    <x v="3"/>
    <s v="VALIDATED"/>
    <n v="1"/>
    <s v="01.11.80.308.2012.0000"/>
    <n v="431.67"/>
    <s v="11"/>
    <s v="2012"/>
    <n v="4685.23"/>
    <n v="431.67"/>
    <s v="CREDITOR"/>
    <n v="431.67"/>
    <n v="0"/>
    <n v="0"/>
    <n v="0"/>
    <n v="0"/>
  </r>
  <r>
    <n v="61539116"/>
    <s v="N"/>
    <n v="21324124"/>
    <s v="3000015657990015"/>
    <s v="CIVIL"/>
    <d v="2023-06-30T00:00:00"/>
    <d v="2023-07-03T19:05:56"/>
    <m/>
    <d v="2023-07-03T00:00:00"/>
    <n v="114"/>
    <n v="18429"/>
    <s v="61539116"/>
    <s v="61539116"/>
    <m/>
    <m/>
    <n v="22799290"/>
    <m/>
    <m/>
    <m/>
    <s v="SOLPOA"/>
    <s v="SOLPOA"/>
    <s v="CCMS"/>
    <n v="21324124"/>
    <n v="177"/>
    <m/>
    <s v="N"/>
    <n v="1"/>
    <d v="2023-07-03T19:06:00"/>
    <s v="N"/>
    <s v="Expert Cost"/>
    <s v="Expert Cost"/>
    <s v="Expert Disbursement"/>
    <s v="Nikita Patel"/>
    <s v="N"/>
    <n v="147.5"/>
    <n v="29.5"/>
    <x v="3"/>
    <s v="VALIDATED"/>
    <n v="1"/>
    <s v="01.11.80.308.2012.0000"/>
    <n v="147.5"/>
    <s v="11"/>
    <s v="2012"/>
    <n v="4685.23"/>
    <n v="147.5"/>
    <s v="CREDITOR"/>
    <n v="147.5"/>
    <n v="0"/>
    <n v="0"/>
    <n v="0"/>
    <n v="0"/>
  </r>
  <r>
    <n v="61847170"/>
    <s v="N"/>
    <n v="21360448"/>
    <s v="3000015913380007"/>
    <s v="CIVIL"/>
    <d v="2023-06-29T00:00:00"/>
    <d v="2023-07-11T11:50:54"/>
    <m/>
    <d v="2023-07-11T00:00:00"/>
    <n v="114"/>
    <n v="18429"/>
    <s v="61847170"/>
    <s v="61847170"/>
    <m/>
    <m/>
    <n v="22789530"/>
    <m/>
    <m/>
    <m/>
    <s v="SOLFIN"/>
    <s v="SOLFIN"/>
    <s v="CCMS"/>
    <n v="21360448"/>
    <n v="6140.17"/>
    <m/>
    <s v="N"/>
    <n v="4"/>
    <d v="2023-07-11T11:51:05"/>
    <s v="Y"/>
    <s v="Radiologist"/>
    <s v="Public Law Children"/>
    <s v="Expert Disbursement"/>
    <s v="CJS"/>
    <s v="Y"/>
    <n v="270"/>
    <n v="54"/>
    <x v="7"/>
    <s v="VALIDATED"/>
    <n v="1"/>
    <s v="01.11.80.308.6300.0000"/>
    <n v="270"/>
    <s v="11"/>
    <s v="6300"/>
    <n v="4685.23"/>
    <n v="270"/>
    <s v="CREDITOR"/>
    <n v="0"/>
    <n v="0"/>
    <n v="0"/>
    <n v="0"/>
    <n v="270"/>
  </r>
  <r>
    <n v="61847170"/>
    <s v="N"/>
    <n v="21360448"/>
    <s v="3000015913380007"/>
    <s v="CIVIL"/>
    <d v="2023-06-29T00:00:00"/>
    <d v="2023-07-11T11:50:54"/>
    <m/>
    <d v="2023-07-11T00:00:00"/>
    <n v="114"/>
    <n v="18429"/>
    <s v="61847170"/>
    <s v="61847170"/>
    <m/>
    <m/>
    <n v="22789530"/>
    <m/>
    <m/>
    <m/>
    <s v="SOLFIN"/>
    <s v="SOLFIN"/>
    <s v="CCMS"/>
    <n v="21360448"/>
    <n v="6140.17"/>
    <m/>
    <s v="N"/>
    <n v="2"/>
    <d v="2023-07-11T11:51:05"/>
    <s v="Y"/>
    <s v="Interpreter"/>
    <s v="Public Law Children"/>
    <s v="Expert Disbursement"/>
    <s v="CJS"/>
    <s v="Y"/>
    <n v="50"/>
    <n v="10"/>
    <x v="7"/>
    <s v="VALIDATED"/>
    <n v="1"/>
    <s v="01.11.80.308.6300.0000"/>
    <n v="50"/>
    <s v="11"/>
    <s v="6300"/>
    <n v="4685.23"/>
    <n v="50"/>
    <s v="CREDITOR"/>
    <n v="0"/>
    <n v="0"/>
    <n v="0"/>
    <n v="0"/>
    <n v="50"/>
  </r>
  <r>
    <n v="61847170"/>
    <s v="N"/>
    <n v="21360448"/>
    <s v="3000015913380007"/>
    <s v="CIVIL"/>
    <d v="2023-06-29T00:00:00"/>
    <d v="2023-07-11T11:50:54"/>
    <m/>
    <d v="2023-07-11T00:00:00"/>
    <n v="114"/>
    <n v="18429"/>
    <s v="61847170"/>
    <s v="61847170"/>
    <m/>
    <m/>
    <n v="22789530"/>
    <m/>
    <m/>
    <m/>
    <s v="SOLFIN"/>
    <s v="SOLFIN"/>
    <s v="CCMS"/>
    <n v="21360448"/>
    <n v="6140.17"/>
    <m/>
    <s v="N"/>
    <n v="6"/>
    <d v="2023-07-11T11:51:05"/>
    <s v="Y"/>
    <s v="Paediatrician"/>
    <s v="Public Law Children"/>
    <s v="Expert Disbursement"/>
    <s v="CJS"/>
    <s v="Y"/>
    <n v="675"/>
    <n v="135"/>
    <x v="7"/>
    <s v="VALIDATED"/>
    <n v="1"/>
    <s v="01.11.80.308.6300.0000"/>
    <n v="675"/>
    <s v="11"/>
    <s v="6300"/>
    <n v="4685.23"/>
    <n v="675"/>
    <s v="CREDITOR"/>
    <n v="0"/>
    <n v="0"/>
    <n v="0"/>
    <n v="0"/>
    <n v="675"/>
  </r>
  <r>
    <n v="61180045"/>
    <s v="N"/>
    <n v="21320410"/>
    <s v="3000015284690002"/>
    <s v="CIVIL"/>
    <d v="2023-06-28T00:00:00"/>
    <d v="2023-07-03T19:04:52"/>
    <m/>
    <d v="2023-07-03T00:00:00"/>
    <n v="114"/>
    <n v="18429"/>
    <s v="61180045"/>
    <s v="61180045"/>
    <m/>
    <m/>
    <n v="22780024"/>
    <m/>
    <m/>
    <m/>
    <s v="SOLPOA"/>
    <s v="SOLPOA"/>
    <s v="CCMS"/>
    <n v="21320410"/>
    <n v="167"/>
    <m/>
    <s v="N"/>
    <n v="1"/>
    <d v="2023-07-03T19:04:54"/>
    <s v="N"/>
    <s v="Non Expert Disbursement - Private L"/>
    <s v="Non Expert Disbursement - Priv"/>
    <s v="Non Expert Disbursement"/>
    <s v="Christine Nwaokolo"/>
    <s v="N"/>
    <n v="167"/>
    <n v="0"/>
    <x v="3"/>
    <s v="VALIDATED"/>
    <n v="1"/>
    <s v="01.11.80.307.2012.0000"/>
    <n v="167"/>
    <s v="11"/>
    <s v="2012"/>
    <n v="4685.23"/>
    <n v="167"/>
    <s v="CREDITOR"/>
    <n v="167"/>
    <n v="0"/>
    <n v="0"/>
    <n v="0"/>
    <n v="0"/>
  </r>
  <r>
    <n v="61420610"/>
    <s v="N"/>
    <n v="21321032"/>
    <s v="3000015558950011"/>
    <s v="CIVIL"/>
    <d v="2023-06-28T00:00:00"/>
    <d v="2023-07-03T19:04:52"/>
    <m/>
    <d v="2023-07-03T00:00:00"/>
    <n v="114"/>
    <n v="18429"/>
    <s v="61420610"/>
    <s v="61420610"/>
    <m/>
    <m/>
    <n v="22781736"/>
    <m/>
    <m/>
    <m/>
    <s v="SOLPOA"/>
    <s v="SOLPOA"/>
    <s v="CCMS"/>
    <n v="21321032"/>
    <n v="84.23999999999999"/>
    <m/>
    <s v="N"/>
    <n v="1"/>
    <d v="2023-07-03T19:04:57"/>
    <s v="N"/>
    <s v="Expert Cost"/>
    <s v="Expert Cost"/>
    <s v="Expert Disbursement"/>
    <s v="Christine Nwaokolo"/>
    <s v="N"/>
    <n v="70.2"/>
    <n v="14.04"/>
    <x v="3"/>
    <s v="VALIDATED"/>
    <n v="1"/>
    <s v="01.11.80.308.2012.0000"/>
    <n v="70.2"/>
    <s v="11"/>
    <s v="2012"/>
    <n v="4685.23"/>
    <n v="70.2"/>
    <s v="CREDITOR"/>
    <n v="70.2"/>
    <n v="0"/>
    <n v="0"/>
    <n v="0"/>
    <n v="0"/>
  </r>
  <r>
    <n v="61847170"/>
    <s v="N"/>
    <n v="21360448"/>
    <s v="3000015913380007"/>
    <s v="CIVIL"/>
    <d v="2023-06-29T00:00:00"/>
    <d v="2023-07-11T11:50:54"/>
    <m/>
    <d v="2023-07-11T00:00:00"/>
    <n v="114"/>
    <n v="18429"/>
    <s v="61847170"/>
    <s v="61847170"/>
    <m/>
    <m/>
    <n v="22789530"/>
    <m/>
    <m/>
    <m/>
    <s v="SOLFIN"/>
    <s v="SOLFIN"/>
    <s v="CCMS"/>
    <n v="21360448"/>
    <n v="6140.17"/>
    <m/>
    <s v="N"/>
    <n v="7"/>
    <d v="2023-07-11T11:51:05"/>
    <s v="Y"/>
    <s v="Final Hearing - 1 Day"/>
    <s v="Public Law Children"/>
    <s v="Advocacy"/>
    <s v="CJS"/>
    <s v="Y"/>
    <n v="556.88"/>
    <n v="111.38"/>
    <x v="7"/>
    <s v="VALIDATED"/>
    <n v="1"/>
    <s v="01.11.80.308.6100.0000"/>
    <n v="556.88"/>
    <s v="11"/>
    <s v="6100"/>
    <n v="4685.23"/>
    <n v="556.88"/>
    <s v="CREDITOR"/>
    <n v="0"/>
    <n v="0"/>
    <n v="0"/>
    <n v="0"/>
    <n v="556.88"/>
  </r>
  <r>
    <n v="61847170"/>
    <s v="N"/>
    <n v="21361294"/>
    <s v="3000015913380003RC"/>
    <s v="CIVIL"/>
    <d v="2023-06-29T00:00:00"/>
    <d v="2023-07-11T19:38:00"/>
    <m/>
    <d v="2023-07-11T00:00:00"/>
    <n v="114"/>
    <n v="18429"/>
    <s v="61847170"/>
    <s v="61847170"/>
    <m/>
    <m/>
    <m/>
    <m/>
    <m/>
    <m/>
    <s v="SOLRECOUP"/>
    <s v="SOLRECOUP"/>
    <s v="POARECOUP"/>
    <n v="21361294"/>
    <n v="-200.53"/>
    <m/>
    <s v="Y"/>
    <n v="2"/>
    <d v="2023-07-11T19:38:00"/>
    <s v="N"/>
    <m/>
    <m/>
    <s v="Non Expert Disbursement"/>
    <m/>
    <s v="N"/>
    <n v="0"/>
    <n v="-33.42"/>
    <x v="7"/>
    <s v="VALIDATED"/>
    <n v="1"/>
    <s v="01.11.80.308.2013.0000"/>
    <n v="-33.42"/>
    <s v="11"/>
    <s v="2013"/>
    <n v="4685.23"/>
    <n v="-33.42"/>
    <s v="CREDITOR"/>
    <n v="0"/>
    <n v="0"/>
    <n v="-33.42"/>
    <n v="0"/>
    <n v="0"/>
  </r>
  <r>
    <n v="61847170"/>
    <s v="N"/>
    <n v="21361294"/>
    <s v="3000015913380003RC"/>
    <s v="CIVIL"/>
    <d v="2023-06-29T00:00:00"/>
    <d v="2023-07-11T19:38:00"/>
    <m/>
    <d v="2023-07-11T00:00:00"/>
    <n v="114"/>
    <n v="18429"/>
    <s v="61847170"/>
    <s v="61847170"/>
    <m/>
    <m/>
    <m/>
    <m/>
    <m/>
    <m/>
    <s v="SOLRECOUP"/>
    <s v="SOLRECOUP"/>
    <s v="POARECOUP"/>
    <n v="21361294"/>
    <n v="-200.53"/>
    <m/>
    <s v="Y"/>
    <n v="1"/>
    <d v="2023-07-11T19:38:00"/>
    <s v="N"/>
    <m/>
    <m/>
    <s v="Non Expert Disbursement"/>
    <m/>
    <s v="N"/>
    <n v="-167.11"/>
    <n v="0"/>
    <x v="7"/>
    <s v="VALIDATED"/>
    <n v="1"/>
    <s v="01.11.80.308.2013.0000"/>
    <n v="-167.11"/>
    <s v="11"/>
    <s v="2013"/>
    <n v="4685.23"/>
    <n v="-167.11"/>
    <s v="CREDITOR"/>
    <n v="0"/>
    <n v="0"/>
    <n v="-167.11"/>
    <n v="0"/>
    <n v="0"/>
  </r>
  <r>
    <n v="61847170"/>
    <s v="N"/>
    <n v="21361295"/>
    <s v="3000015913380001RC"/>
    <s v="CIVIL"/>
    <d v="2023-06-29T00:00:00"/>
    <d v="2023-07-11T19:38:00"/>
    <m/>
    <d v="2023-07-11T00:00:00"/>
    <n v="114"/>
    <n v="18429"/>
    <s v="61847170"/>
    <s v="61847170"/>
    <m/>
    <m/>
    <m/>
    <m/>
    <m/>
    <m/>
    <s v="SOLRECOUP"/>
    <s v="SOLRECOUP"/>
    <s v="POARECOUP"/>
    <n v="21361295"/>
    <n v="-60"/>
    <m/>
    <s v="Y"/>
    <n v="2"/>
    <d v="2023-07-11T19:38:00"/>
    <s v="N"/>
    <m/>
    <m/>
    <s v="Expert Disbursement"/>
    <m/>
    <s v="N"/>
    <n v="0"/>
    <n v="-10"/>
    <x v="7"/>
    <s v="VALIDATED"/>
    <n v="1"/>
    <s v="01.11.80.308.2013.0000"/>
    <n v="-10"/>
    <s v="11"/>
    <s v="2013"/>
    <n v="4685.23"/>
    <n v="-10"/>
    <s v="CREDITOR"/>
    <n v="0"/>
    <n v="0"/>
    <n v="-10"/>
    <n v="0"/>
    <n v="0"/>
  </r>
  <r>
    <n v="61847170"/>
    <s v="N"/>
    <n v="21361295"/>
    <s v="3000015913380001RC"/>
    <s v="CIVIL"/>
    <d v="2023-06-29T00:00:00"/>
    <d v="2023-07-11T19:38:00"/>
    <m/>
    <d v="2023-07-11T00:00:00"/>
    <n v="114"/>
    <n v="18429"/>
    <s v="61847170"/>
    <s v="61847170"/>
    <m/>
    <m/>
    <m/>
    <m/>
    <m/>
    <m/>
    <s v="SOLRECOUP"/>
    <s v="SOLRECOUP"/>
    <s v="POARECOUP"/>
    <n v="21361295"/>
    <n v="-60"/>
    <m/>
    <s v="Y"/>
    <n v="1"/>
    <d v="2023-07-11T19:38:00"/>
    <s v="N"/>
    <m/>
    <m/>
    <s v="Expert Disbursement"/>
    <m/>
    <s v="N"/>
    <n v="-50"/>
    <n v="0"/>
    <x v="7"/>
    <s v="VALIDATED"/>
    <n v="1"/>
    <s v="01.11.80.308.2013.0000"/>
    <n v="-50"/>
    <s v="11"/>
    <s v="2013"/>
    <n v="4685.23"/>
    <n v="-50"/>
    <s v="CREDITOR"/>
    <n v="0"/>
    <n v="0"/>
    <n v="-50"/>
    <n v="0"/>
    <n v="0"/>
  </r>
  <r>
    <n v="61847170"/>
    <s v="N"/>
    <n v="21361296"/>
    <s v="3000015913380004RC"/>
    <s v="CIVIL"/>
    <d v="2023-06-29T00:00:00"/>
    <d v="2023-07-11T19:38:00"/>
    <m/>
    <d v="2023-07-11T00:00:00"/>
    <n v="114"/>
    <n v="18429"/>
    <s v="61847170"/>
    <s v="61847170"/>
    <m/>
    <m/>
    <m/>
    <m/>
    <m/>
    <m/>
    <s v="SOLRECOUP"/>
    <s v="SOLRECOUP"/>
    <s v="POARECOUP"/>
    <n v="21361296"/>
    <n v="-650.9"/>
    <m/>
    <s v="Y"/>
    <n v="2"/>
    <d v="2023-07-11T19:38:00"/>
    <s v="N"/>
    <m/>
    <m/>
    <s v="Non Expert Disbursement"/>
    <m/>
    <s v="N"/>
    <n v="0"/>
    <n v="-108.48"/>
    <x v="7"/>
    <s v="VALIDATED"/>
    <n v="1"/>
    <s v="01.11.80.308.2013.0000"/>
    <n v="-108.48"/>
    <s v="11"/>
    <s v="2013"/>
    <n v="4685.23"/>
    <n v="-108.48"/>
    <s v="CREDITOR"/>
    <n v="0"/>
    <n v="0"/>
    <n v="-108.48"/>
    <n v="0"/>
    <n v="0"/>
  </r>
  <r>
    <n v="61847170"/>
    <s v="N"/>
    <n v="21361296"/>
    <s v="3000015913380004RC"/>
    <s v="CIVIL"/>
    <d v="2023-06-29T00:00:00"/>
    <d v="2023-07-11T19:38:00"/>
    <m/>
    <d v="2023-07-11T00:00:00"/>
    <n v="114"/>
    <n v="18429"/>
    <s v="61847170"/>
    <s v="61847170"/>
    <m/>
    <m/>
    <m/>
    <m/>
    <m/>
    <m/>
    <s v="SOLRECOUP"/>
    <s v="SOLRECOUP"/>
    <s v="POARECOUP"/>
    <n v="21361296"/>
    <n v="-650.9"/>
    <m/>
    <s v="Y"/>
    <n v="1"/>
    <d v="2023-07-11T19:38:00"/>
    <s v="N"/>
    <m/>
    <m/>
    <s v="Non Expert Disbursement"/>
    <m/>
    <s v="N"/>
    <n v="-542.42"/>
    <n v="0"/>
    <x v="7"/>
    <s v="VALIDATED"/>
    <n v="1"/>
    <s v="01.11.80.308.2013.0000"/>
    <n v="-542.42"/>
    <s v="11"/>
    <s v="2013"/>
    <n v="4685.23"/>
    <n v="-542.42"/>
    <s v="CREDITOR"/>
    <n v="0"/>
    <n v="0"/>
    <n v="-542.42"/>
    <n v="0"/>
    <n v="0"/>
  </r>
  <r>
    <n v="61847170"/>
    <s v="N"/>
    <n v="21361297"/>
    <s v="3000015913380006RC"/>
    <s v="CIVIL"/>
    <d v="2023-06-29T00:00:00"/>
    <d v="2023-07-11T19:38:00"/>
    <m/>
    <d v="2023-07-11T00:00:00"/>
    <n v="114"/>
    <n v="18429"/>
    <s v="61847170"/>
    <s v="61847170"/>
    <m/>
    <m/>
    <m/>
    <m/>
    <m/>
    <m/>
    <s v="SOLRECOUP"/>
    <s v="SOLRECOUP"/>
    <s v="POARECOUP"/>
    <n v="21361297"/>
    <n v="-324"/>
    <m/>
    <s v="Y"/>
    <n v="1"/>
    <d v="2023-07-11T19:38:00"/>
    <s v="N"/>
    <m/>
    <m/>
    <s v="Expert Disbursement"/>
    <m/>
    <s v="N"/>
    <n v="-270"/>
    <n v="0"/>
    <x v="7"/>
    <s v="VALIDATED"/>
    <n v="1"/>
    <s v="01.11.80.308.2013.0000"/>
    <n v="-270"/>
    <s v="11"/>
    <s v="2013"/>
    <n v="4685.23"/>
    <n v="-270"/>
    <s v="CREDITOR"/>
    <n v="0"/>
    <n v="0"/>
    <n v="-270"/>
    <n v="0"/>
    <n v="0"/>
  </r>
  <r>
    <n v="61847170"/>
    <s v="N"/>
    <n v="21361297"/>
    <s v="3000015913380006RC"/>
    <s v="CIVIL"/>
    <d v="2023-06-29T00:00:00"/>
    <d v="2023-07-11T19:38:00"/>
    <m/>
    <d v="2023-07-11T00:00:00"/>
    <n v="114"/>
    <n v="18429"/>
    <s v="61847170"/>
    <s v="61847170"/>
    <m/>
    <m/>
    <m/>
    <m/>
    <m/>
    <m/>
    <s v="SOLRECOUP"/>
    <s v="SOLRECOUP"/>
    <s v="POARECOUP"/>
    <n v="21361297"/>
    <n v="-324"/>
    <m/>
    <s v="Y"/>
    <n v="2"/>
    <d v="2023-07-11T19:38:00"/>
    <s v="N"/>
    <m/>
    <m/>
    <s v="Expert Disbursement"/>
    <m/>
    <s v="N"/>
    <n v="0"/>
    <n v="-54"/>
    <x v="7"/>
    <s v="VALIDATED"/>
    <n v="1"/>
    <s v="01.11.80.308.2013.0000"/>
    <n v="-54"/>
    <s v="11"/>
    <s v="2013"/>
    <n v="4685.23"/>
    <n v="-54"/>
    <s v="CREDITOR"/>
    <n v="0"/>
    <n v="0"/>
    <n v="-54"/>
    <n v="0"/>
    <n v="0"/>
  </r>
  <r>
    <n v="61847170"/>
    <s v="N"/>
    <n v="21361298"/>
    <s v="3000015913380005RC"/>
    <s v="CIVIL"/>
    <d v="2023-06-29T00:00:00"/>
    <d v="2023-07-11T19:38:00"/>
    <m/>
    <d v="2023-07-11T00:00:00"/>
    <n v="114"/>
    <n v="18429"/>
    <s v="61847170"/>
    <s v="61847170"/>
    <m/>
    <m/>
    <m/>
    <m/>
    <m/>
    <m/>
    <s v="SOLRECOUP"/>
    <s v="SOLRECOUP"/>
    <s v="POARECOUP"/>
    <n v="21361298"/>
    <n v="-810"/>
    <m/>
    <s v="Y"/>
    <n v="2"/>
    <d v="2023-07-11T19:38:00"/>
    <s v="N"/>
    <m/>
    <m/>
    <s v="Expert Disbursement"/>
    <m/>
    <s v="N"/>
    <n v="0"/>
    <n v="-135"/>
    <x v="7"/>
    <s v="VALIDATED"/>
    <n v="1"/>
    <s v="01.11.80.308.2013.0000"/>
    <n v="-135"/>
    <s v="11"/>
    <s v="2013"/>
    <n v="4685.23"/>
    <n v="-135"/>
    <s v="CREDITOR"/>
    <n v="0"/>
    <n v="0"/>
    <n v="-135"/>
    <n v="0"/>
    <n v="0"/>
  </r>
  <r>
    <n v="61847170"/>
    <s v="N"/>
    <n v="21361298"/>
    <s v="3000015913380005RC"/>
    <s v="CIVIL"/>
    <d v="2023-06-29T00:00:00"/>
    <d v="2023-07-11T19:38:00"/>
    <m/>
    <d v="2023-07-11T00:00:00"/>
    <n v="114"/>
    <n v="18429"/>
    <s v="61847170"/>
    <s v="61847170"/>
    <m/>
    <m/>
    <m/>
    <m/>
    <m/>
    <m/>
    <s v="SOLRECOUP"/>
    <s v="SOLRECOUP"/>
    <s v="POARECOUP"/>
    <n v="21361298"/>
    <n v="-810"/>
    <m/>
    <s v="Y"/>
    <n v="1"/>
    <d v="2023-07-11T19:38:00"/>
    <s v="N"/>
    <m/>
    <m/>
    <s v="Expert Disbursement"/>
    <m/>
    <s v="N"/>
    <n v="-675"/>
    <n v="0"/>
    <x v="7"/>
    <s v="VALIDATED"/>
    <n v="1"/>
    <s v="01.11.80.308.2013.0000"/>
    <n v="-675"/>
    <s v="11"/>
    <s v="2013"/>
    <n v="4685.23"/>
    <n v="-675"/>
    <s v="CREDITOR"/>
    <n v="0"/>
    <n v="0"/>
    <n v="-675"/>
    <n v="0"/>
    <n v="0"/>
  </r>
  <r>
    <n v="61919198"/>
    <s v="N"/>
    <n v="21328079"/>
    <s v="3000015959470002"/>
    <s v="CIVIL"/>
    <d v="2023-06-26T00:00:00"/>
    <d v="2023-07-04T19:00:44"/>
    <m/>
    <d v="2023-07-04T00:00:00"/>
    <n v="131"/>
    <n v="19873"/>
    <s v="61919198"/>
    <s v="61919198"/>
    <m/>
    <m/>
    <n v="22761752"/>
    <m/>
    <m/>
    <m/>
    <s v="SOLFIN"/>
    <s v="SOLFIN"/>
    <s v="CCMS"/>
    <n v="21328079"/>
    <n v="729.83"/>
    <m/>
    <s v="N"/>
    <n v="4"/>
    <d v="2023-07-04T19:01:03"/>
    <s v="Y"/>
    <s v="Preparation - drafting bill/claim f"/>
    <s v="Non Family Hourly Rates"/>
    <s v="Profit Cost"/>
    <s v="PP"/>
    <s v="Y"/>
    <n v="23.85"/>
    <n v="4.77"/>
    <x v="1"/>
    <s v="VALIDATED"/>
    <n v="1"/>
    <s v="01.11.80.208.6100.0000"/>
    <n v="23.85"/>
    <s v="11"/>
    <s v="6100"/>
    <n v="780.29"/>
    <n v="23.85"/>
    <s v="CREDITOR"/>
    <n v="0"/>
    <n v="0"/>
    <n v="0"/>
    <n v="0"/>
    <n v="23.85"/>
  </r>
  <r>
    <n v="61919198"/>
    <s v="N"/>
    <n v="21328079"/>
    <s v="3000015959470002"/>
    <s v="CIVIL"/>
    <d v="2023-06-26T00:00:00"/>
    <d v="2023-07-04T19:00:44"/>
    <m/>
    <d v="2023-07-04T00:00:00"/>
    <n v="131"/>
    <n v="19873"/>
    <s v="61919198"/>
    <s v="61919198"/>
    <m/>
    <m/>
    <n v="22761752"/>
    <m/>
    <m/>
    <m/>
    <s v="SOLFIN"/>
    <s v="SOLFIN"/>
    <s v="CCMS"/>
    <n v="21328079"/>
    <n v="729.83"/>
    <m/>
    <s v="N"/>
    <n v="6"/>
    <d v="2023-07-04T19:01:03"/>
    <s v="Y"/>
    <s v="Routine Telephone Call"/>
    <s v="Non Family Hourly Rates"/>
    <s v="Profit Cost"/>
    <s v="RW"/>
    <s v="Y"/>
    <n v="29.92"/>
    <n v="5.98"/>
    <x v="1"/>
    <s v="VALIDATED"/>
    <n v="1"/>
    <s v="01.11.80.208.6100.0000"/>
    <n v="29.92"/>
    <s v="11"/>
    <s v="6100"/>
    <n v="780.29"/>
    <n v="29.92"/>
    <s v="CREDITOR"/>
    <n v="0"/>
    <n v="0"/>
    <n v="0"/>
    <n v="0"/>
    <n v="29.92"/>
  </r>
  <r>
    <n v="61685726"/>
    <s v="N"/>
    <n v="21349723"/>
    <s v="3000015779570004"/>
    <s v="CIVIL"/>
    <d v="2023-06-29T00:00:00"/>
    <d v="2023-07-10T19:01:40"/>
    <m/>
    <d v="2023-07-10T00:00:00"/>
    <n v="131"/>
    <n v="19873"/>
    <s v="61685726"/>
    <s v="61685726"/>
    <m/>
    <m/>
    <n v="22789154"/>
    <m/>
    <m/>
    <m/>
    <s v="SOLFIN"/>
    <s v="SOLFIN"/>
    <s v="CCMS"/>
    <n v="21349723"/>
    <n v="239.4"/>
    <m/>
    <s v="N"/>
    <n v="7"/>
    <d v="2023-07-10T19:01:56"/>
    <s v="Y"/>
    <s v="Preparation - other"/>
    <s v="Non Family Hourly Rates"/>
    <s v="Profit Cost"/>
    <s v="SR"/>
    <s v="Y"/>
    <n v="6.3"/>
    <n v="1.26"/>
    <x v="2"/>
    <s v="VALIDATED"/>
    <n v="1"/>
    <s v="01.11.80.208.6100.0000"/>
    <n v="6.3"/>
    <s v="11"/>
    <s v="6100"/>
    <n v="780.29"/>
    <n v="6.3"/>
    <s v="CREDITOR"/>
    <n v="0"/>
    <n v="0"/>
    <n v="0"/>
    <n v="0"/>
    <n v="6.3"/>
  </r>
  <r>
    <n v="61919198"/>
    <s v="N"/>
    <n v="21328079"/>
    <s v="3000015959470002"/>
    <s v="CIVIL"/>
    <d v="2023-06-26T00:00:00"/>
    <d v="2023-07-04T19:00:44"/>
    <m/>
    <d v="2023-07-04T00:00:00"/>
    <n v="131"/>
    <n v="19873"/>
    <s v="61919198"/>
    <s v="61919198"/>
    <m/>
    <m/>
    <n v="22761752"/>
    <m/>
    <m/>
    <m/>
    <s v="SOLFIN"/>
    <s v="SOLFIN"/>
    <s v="CCMS"/>
    <n v="21328079"/>
    <n v="729.83"/>
    <m/>
    <s v="N"/>
    <n v="11"/>
    <d v="2023-07-04T19:01:03"/>
    <s v="Y"/>
    <s v="Preparation - other"/>
    <s v="Non Family Hourly Rates"/>
    <s v="Profit Cost"/>
    <s v="PP"/>
    <s v="Y"/>
    <n v="23.85"/>
    <n v="4.77"/>
    <x v="1"/>
    <s v="VALIDATED"/>
    <n v="1"/>
    <s v="01.11.80.208.6100.0000"/>
    <n v="23.85"/>
    <s v="11"/>
    <s v="6100"/>
    <n v="780.29"/>
    <n v="23.85"/>
    <s v="CREDITOR"/>
    <n v="0"/>
    <n v="0"/>
    <n v="0"/>
    <n v="0"/>
    <n v="23.85"/>
  </r>
  <r>
    <n v="61685726"/>
    <s v="N"/>
    <n v="21349723"/>
    <s v="3000015779570004"/>
    <s v="CIVIL"/>
    <d v="2023-06-29T00:00:00"/>
    <d v="2023-07-10T19:01:40"/>
    <m/>
    <d v="2023-07-10T00:00:00"/>
    <n v="131"/>
    <n v="19873"/>
    <s v="61685726"/>
    <s v="61685726"/>
    <m/>
    <m/>
    <n v="22789154"/>
    <m/>
    <m/>
    <m/>
    <s v="SOLFIN"/>
    <s v="SOLFIN"/>
    <s v="CCMS"/>
    <n v="21349723"/>
    <n v="239.4"/>
    <m/>
    <s v="N"/>
    <n v="9"/>
    <d v="2023-07-10T19:01:56"/>
    <s v="Y"/>
    <s v="Preparation - other"/>
    <s v="Non Family Hourly Rates"/>
    <s v="Profit Cost"/>
    <s v="SR"/>
    <s v="Y"/>
    <n v="21"/>
    <n v="4.2"/>
    <x v="2"/>
    <s v="VALIDATED"/>
    <n v="1"/>
    <s v="01.11.80.208.6100.0000"/>
    <n v="21"/>
    <s v="11"/>
    <s v="6100"/>
    <n v="780.29"/>
    <n v="21"/>
    <s v="CREDITOR"/>
    <n v="0"/>
    <n v="0"/>
    <n v="0"/>
    <n v="0"/>
    <n v="21"/>
  </r>
  <r>
    <n v="61919198"/>
    <s v="N"/>
    <n v="21328079"/>
    <s v="3000015959470002"/>
    <s v="CIVIL"/>
    <d v="2023-06-26T00:00:00"/>
    <d v="2023-07-04T19:00:44"/>
    <m/>
    <d v="2023-07-04T00:00:00"/>
    <n v="131"/>
    <n v="19873"/>
    <s v="61919198"/>
    <s v="61919198"/>
    <m/>
    <m/>
    <n v="22761752"/>
    <m/>
    <m/>
    <m/>
    <s v="SOLFIN"/>
    <s v="SOLFIN"/>
    <s v="CCMS"/>
    <n v="21328079"/>
    <n v="729.83"/>
    <m/>
    <s v="N"/>
    <n v="16"/>
    <d v="2023-07-04T19:01:03"/>
    <s v="Y"/>
    <s v="Attendance upon client"/>
    <s v="Non Family Hourly Rates"/>
    <s v="Profit Cost"/>
    <s v="RW"/>
    <s v="Y"/>
    <n v="71.55"/>
    <n v="14.31"/>
    <x v="1"/>
    <s v="VALIDATED"/>
    <n v="1"/>
    <s v="01.11.80.208.6100.0000"/>
    <n v="71.55"/>
    <s v="11"/>
    <s v="6100"/>
    <n v="780.29"/>
    <n v="71.55"/>
    <s v="CREDITOR"/>
    <n v="0"/>
    <n v="0"/>
    <n v="0"/>
    <n v="0"/>
    <n v="71.55"/>
  </r>
  <r>
    <n v="61685726"/>
    <s v="N"/>
    <n v="21349723"/>
    <s v="3000015779570004"/>
    <s v="CIVIL"/>
    <d v="2023-06-29T00:00:00"/>
    <d v="2023-07-10T19:01:40"/>
    <m/>
    <d v="2023-07-10T00:00:00"/>
    <n v="131"/>
    <n v="19873"/>
    <s v="61685726"/>
    <s v="61685726"/>
    <m/>
    <m/>
    <n v="22789154"/>
    <m/>
    <m/>
    <m/>
    <s v="SOLFIN"/>
    <s v="SOLFIN"/>
    <s v="CCMS"/>
    <n v="21349723"/>
    <n v="239.4"/>
    <m/>
    <s v="N"/>
    <n v="1"/>
    <d v="2023-07-10T19:01:56"/>
    <s v="Y"/>
    <s v="Preparation - other"/>
    <s v="Non Family Hourly Rates"/>
    <s v="Profit Cost"/>
    <s v="SR"/>
    <s v="Y"/>
    <n v="21"/>
    <n v="4.2"/>
    <x v="2"/>
    <s v="VALIDATED"/>
    <n v="1"/>
    <s v="01.11.80.208.6100.0000"/>
    <n v="21"/>
    <s v="11"/>
    <s v="6100"/>
    <n v="780.29"/>
    <n v="21"/>
    <s v="CREDITOR"/>
    <n v="0"/>
    <n v="0"/>
    <n v="0"/>
    <n v="0"/>
    <n v="21"/>
  </r>
  <r>
    <n v="62213015"/>
    <s v="N"/>
    <n v="21321812"/>
    <s v="3000016216420006"/>
    <s v="CIVIL"/>
    <d v="2023-06-29T00:00:00"/>
    <d v="2023-07-03T19:05:17"/>
    <m/>
    <d v="2023-07-03T00:00:00"/>
    <n v="131"/>
    <n v="19873"/>
    <s v="62213015"/>
    <s v="62213015"/>
    <m/>
    <m/>
    <n v="22787804"/>
    <m/>
    <m/>
    <m/>
    <s v="SOLPOA"/>
    <s v="SOLPOA"/>
    <s v="CCMS"/>
    <n v="21321812"/>
    <n v="149.52"/>
    <m/>
    <s v="N"/>
    <n v="1"/>
    <d v="2023-07-03T19:05:21"/>
    <s v="N"/>
    <s v="Non Expert Disbursement"/>
    <s v="Non Expert Disbursement"/>
    <s v="Non Expert Disbursement"/>
    <s v="ma"/>
    <s v="N"/>
    <n v="124.6"/>
    <n v="24.92"/>
    <x v="3"/>
    <s v="VALIDATED"/>
    <n v="1"/>
    <s v="01.11.80.208.2012.0000"/>
    <n v="124.6"/>
    <s v="11"/>
    <s v="2012"/>
    <n v="780.29"/>
    <n v="124.6"/>
    <s v="CREDITOR"/>
    <n v="124.6"/>
    <n v="0"/>
    <n v="0"/>
    <n v="0"/>
    <n v="0"/>
  </r>
  <r>
    <n v="61919198"/>
    <s v="N"/>
    <n v="21328079"/>
    <s v="3000015959470002"/>
    <s v="CIVIL"/>
    <d v="2023-06-26T00:00:00"/>
    <d v="2023-07-04T19:00:44"/>
    <m/>
    <d v="2023-07-04T00:00:00"/>
    <n v="131"/>
    <n v="19873"/>
    <s v="61919198"/>
    <s v="61919198"/>
    <m/>
    <m/>
    <n v="22761752"/>
    <m/>
    <m/>
    <m/>
    <s v="SOLFIN"/>
    <s v="SOLFIN"/>
    <s v="CCMS"/>
    <n v="21328079"/>
    <n v="729.83"/>
    <m/>
    <s v="N"/>
    <n v="3"/>
    <d v="2023-07-04T19:01:03"/>
    <s v="Y"/>
    <s v="Preparation - other"/>
    <s v="Non Family Hourly Rates"/>
    <s v="Profit Cost"/>
    <s v="RW"/>
    <s v="Y"/>
    <n v="35.78"/>
    <n v="7.16"/>
    <x v="1"/>
    <s v="VALIDATED"/>
    <n v="1"/>
    <s v="01.11.80.208.6100.0000"/>
    <n v="35.78"/>
    <s v="11"/>
    <s v="6100"/>
    <n v="780.29"/>
    <n v="35.78"/>
    <s v="CREDITOR"/>
    <n v="0"/>
    <n v="0"/>
    <n v="0"/>
    <n v="0"/>
    <n v="35.78"/>
  </r>
  <r>
    <n v="61919198"/>
    <s v="N"/>
    <n v="21328079"/>
    <s v="3000015959470002"/>
    <s v="CIVIL"/>
    <d v="2023-06-26T00:00:00"/>
    <d v="2023-07-04T19:00:44"/>
    <m/>
    <d v="2023-07-04T00:00:00"/>
    <n v="131"/>
    <n v="19873"/>
    <s v="61919198"/>
    <s v="61919198"/>
    <m/>
    <m/>
    <n v="22761752"/>
    <m/>
    <m/>
    <m/>
    <s v="SOLFIN"/>
    <s v="SOLFIN"/>
    <s v="CCMS"/>
    <n v="21328079"/>
    <n v="729.83"/>
    <m/>
    <s v="N"/>
    <n v="8"/>
    <d v="2023-07-04T19:01:03"/>
    <s v="Y"/>
    <s v="Routine Letter Out"/>
    <s v="Non Family Hourly Rates"/>
    <s v="Profit Cost"/>
    <s v="RW"/>
    <s v="Y"/>
    <n v="101.25"/>
    <n v="20.25"/>
    <x v="1"/>
    <s v="VALIDATED"/>
    <n v="1"/>
    <s v="01.11.80.208.6100.0000"/>
    <n v="101.25"/>
    <s v="11"/>
    <s v="6100"/>
    <n v="780.29"/>
    <n v="101.25"/>
    <s v="CREDITOR"/>
    <n v="0"/>
    <n v="0"/>
    <n v="0"/>
    <n v="0"/>
    <n v="101.25"/>
  </r>
  <r>
    <n v="61685726"/>
    <s v="N"/>
    <n v="21349723"/>
    <s v="3000015779570004"/>
    <s v="CIVIL"/>
    <d v="2023-06-29T00:00:00"/>
    <d v="2023-07-10T19:01:40"/>
    <m/>
    <d v="2023-07-10T00:00:00"/>
    <n v="131"/>
    <n v="19873"/>
    <s v="61685726"/>
    <s v="61685726"/>
    <m/>
    <m/>
    <n v="22789154"/>
    <m/>
    <m/>
    <m/>
    <s v="SOLFIN"/>
    <s v="SOLFIN"/>
    <s v="CCMS"/>
    <n v="21349723"/>
    <n v="239.4"/>
    <m/>
    <s v="N"/>
    <n v="2"/>
    <d v="2023-07-10T19:01:56"/>
    <s v="Y"/>
    <s v="Preparation - other"/>
    <s v="Non Family Hourly Rates"/>
    <s v="Profit Cost"/>
    <s v="SR"/>
    <s v="Y"/>
    <n v="10.5"/>
    <n v="2.1"/>
    <x v="2"/>
    <s v="VALIDATED"/>
    <n v="1"/>
    <s v="01.11.80.208.6100.0000"/>
    <n v="10.5"/>
    <s v="11"/>
    <s v="6100"/>
    <n v="780.29"/>
    <n v="10.5"/>
    <s v="CREDITOR"/>
    <n v="0"/>
    <n v="0"/>
    <n v="0"/>
    <n v="0"/>
    <n v="10.5"/>
  </r>
  <r>
    <n v="62213015"/>
    <s v="N"/>
    <n v="21321329"/>
    <s v="3000016216420005"/>
    <s v="CIVIL"/>
    <d v="2023-06-29T00:00:00"/>
    <d v="2023-07-03T19:05:17"/>
    <m/>
    <d v="2023-07-03T00:00:00"/>
    <n v="131"/>
    <n v="19873"/>
    <s v="62213015"/>
    <s v="62213015"/>
    <m/>
    <m/>
    <n v="22787688"/>
    <m/>
    <m/>
    <m/>
    <s v="SOLPOA"/>
    <s v="SOLPOA"/>
    <s v="CCMS"/>
    <n v="21321329"/>
    <n v="128.4"/>
    <m/>
    <s v="N"/>
    <n v="1"/>
    <d v="2023-07-03T19:05:18"/>
    <s v="N"/>
    <s v="Non Expert Disbursement"/>
    <s v="Non Expert Disbursement"/>
    <s v="Non Expert Disbursement"/>
    <s v="MA"/>
    <s v="N"/>
    <n v="107"/>
    <n v="21.4"/>
    <x v="3"/>
    <s v="VALIDATED"/>
    <n v="1"/>
    <s v="01.11.80.208.2012.0000"/>
    <n v="107"/>
    <s v="11"/>
    <s v="2012"/>
    <n v="780.29"/>
    <n v="107"/>
    <s v="CREDITOR"/>
    <n v="107"/>
    <n v="0"/>
    <n v="0"/>
    <n v="0"/>
    <n v="0"/>
  </r>
  <r>
    <n v="61919198"/>
    <s v="N"/>
    <n v="21328079"/>
    <s v="3000015959470002"/>
    <s v="CIVIL"/>
    <d v="2023-06-26T00:00:00"/>
    <d v="2023-07-04T19:00:44"/>
    <m/>
    <d v="2023-07-04T00:00:00"/>
    <n v="131"/>
    <n v="19873"/>
    <s v="61919198"/>
    <s v="61919198"/>
    <m/>
    <m/>
    <n v="22761752"/>
    <m/>
    <m/>
    <m/>
    <s v="SOLFIN"/>
    <s v="SOLFIN"/>
    <s v="CCMS"/>
    <n v="21328079"/>
    <n v="729.83"/>
    <m/>
    <s v="N"/>
    <n v="12"/>
    <d v="2023-07-04T19:01:03"/>
    <s v="Y"/>
    <s v="Preparation - other"/>
    <s v="Non Family Hourly Rates"/>
    <s v="Profit Cost"/>
    <s v="PP"/>
    <s v="Y"/>
    <n v="14.31"/>
    <n v="2.86"/>
    <x v="1"/>
    <s v="VALIDATED"/>
    <n v="1"/>
    <s v="01.11.80.208.6100.0000"/>
    <n v="14.31"/>
    <s v="11"/>
    <s v="6100"/>
    <n v="780.29"/>
    <n v="14.31"/>
    <s v="CREDITOR"/>
    <n v="0"/>
    <n v="0"/>
    <n v="0"/>
    <n v="0"/>
    <n v="14.31"/>
  </r>
  <r>
    <n v="61919198"/>
    <s v="N"/>
    <n v="21328079"/>
    <s v="3000015959470002"/>
    <s v="CIVIL"/>
    <d v="2023-06-26T00:00:00"/>
    <d v="2023-07-04T19:00:44"/>
    <m/>
    <d v="2023-07-04T00:00:00"/>
    <n v="131"/>
    <n v="19873"/>
    <s v="61919198"/>
    <s v="61919198"/>
    <m/>
    <m/>
    <n v="22761752"/>
    <m/>
    <m/>
    <m/>
    <s v="SOLFIN"/>
    <s v="SOLFIN"/>
    <s v="CCMS"/>
    <n v="21328079"/>
    <n v="729.83"/>
    <m/>
    <s v="N"/>
    <n v="13"/>
    <d v="2023-07-04T19:01:03"/>
    <s v="Y"/>
    <s v="Preparation - other"/>
    <s v="Non Family Hourly Rates"/>
    <s v="Profit Cost"/>
    <s v="RW"/>
    <s v="Y"/>
    <n v="23.85"/>
    <n v="4.77"/>
    <x v="1"/>
    <s v="VALIDATED"/>
    <n v="1"/>
    <s v="01.11.80.208.6100.0000"/>
    <n v="23.85"/>
    <s v="11"/>
    <s v="6100"/>
    <n v="780.29"/>
    <n v="23.85"/>
    <s v="CREDITOR"/>
    <n v="0"/>
    <n v="0"/>
    <n v="0"/>
    <n v="0"/>
    <n v="23.85"/>
  </r>
  <r>
    <n v="61685726"/>
    <s v="N"/>
    <n v="21349723"/>
    <s v="3000015779570004"/>
    <s v="CIVIL"/>
    <d v="2023-06-29T00:00:00"/>
    <d v="2023-07-10T19:01:40"/>
    <m/>
    <d v="2023-07-10T00:00:00"/>
    <n v="131"/>
    <n v="19873"/>
    <s v="61685726"/>
    <s v="61685726"/>
    <m/>
    <m/>
    <n v="22789154"/>
    <m/>
    <m/>
    <m/>
    <s v="SOLFIN"/>
    <s v="SOLFIN"/>
    <s v="CCMS"/>
    <n v="21349723"/>
    <n v="239.4"/>
    <m/>
    <s v="N"/>
    <n v="5"/>
    <d v="2023-07-10T19:01:56"/>
    <s v="Y"/>
    <s v="Preparation - other"/>
    <s v="Non Family Hourly Rates"/>
    <s v="Profit Cost"/>
    <s v="SR"/>
    <s v="Y"/>
    <n v="12.6"/>
    <n v="2.52"/>
    <x v="2"/>
    <s v="VALIDATED"/>
    <n v="1"/>
    <s v="01.11.80.208.6100.0000"/>
    <n v="12.6"/>
    <s v="11"/>
    <s v="6100"/>
    <n v="780.29"/>
    <n v="12.6"/>
    <s v="CREDITOR"/>
    <n v="0"/>
    <n v="0"/>
    <n v="0"/>
    <n v="0"/>
    <n v="12.6"/>
  </r>
  <r>
    <n v="61919198"/>
    <s v="N"/>
    <n v="21328079"/>
    <s v="3000015959470002"/>
    <s v="CIVIL"/>
    <d v="2023-06-26T00:00:00"/>
    <d v="2023-07-04T19:00:44"/>
    <m/>
    <d v="2023-07-04T00:00:00"/>
    <n v="131"/>
    <n v="19873"/>
    <s v="61919198"/>
    <s v="61919198"/>
    <m/>
    <m/>
    <n v="22761752"/>
    <m/>
    <m/>
    <m/>
    <s v="SOLFIN"/>
    <s v="SOLFIN"/>
    <s v="CCMS"/>
    <n v="21328079"/>
    <n v="729.83"/>
    <m/>
    <s v="N"/>
    <n v="10"/>
    <d v="2023-07-04T19:01:03"/>
    <s v="Y"/>
    <s v="Preparation - other"/>
    <s v="Non Family Hourly Rates"/>
    <s v="Profit Cost"/>
    <s v="PP"/>
    <s v="Y"/>
    <n v="71.55"/>
    <n v="14.31"/>
    <x v="1"/>
    <s v="VALIDATED"/>
    <n v="1"/>
    <s v="01.11.80.208.6100.0000"/>
    <n v="71.55"/>
    <s v="11"/>
    <s v="6100"/>
    <n v="780.29"/>
    <n v="71.55"/>
    <s v="CREDITOR"/>
    <n v="0"/>
    <n v="0"/>
    <n v="0"/>
    <n v="0"/>
    <n v="71.55"/>
  </r>
  <r>
    <n v="61685726"/>
    <s v="N"/>
    <n v="21349723"/>
    <s v="3000015779570004"/>
    <s v="CIVIL"/>
    <d v="2023-06-29T00:00:00"/>
    <d v="2023-07-10T19:01:40"/>
    <m/>
    <d v="2023-07-10T00:00:00"/>
    <n v="131"/>
    <n v="19873"/>
    <s v="61685726"/>
    <s v="61685726"/>
    <m/>
    <m/>
    <n v="22789154"/>
    <m/>
    <m/>
    <m/>
    <s v="SOLFIN"/>
    <s v="SOLFIN"/>
    <s v="CCMS"/>
    <n v="21349723"/>
    <n v="239.4"/>
    <m/>
    <s v="N"/>
    <n v="4"/>
    <d v="2023-07-10T19:01:56"/>
    <s v="Y"/>
    <s v="Preparation - other"/>
    <s v="Non Family Hourly Rates"/>
    <s v="Profit Cost"/>
    <s v="SR"/>
    <s v="Y"/>
    <n v="63"/>
    <n v="12.6"/>
    <x v="2"/>
    <s v="VALIDATED"/>
    <n v="1"/>
    <s v="01.11.80.208.6100.0000"/>
    <n v="63"/>
    <s v="11"/>
    <s v="6100"/>
    <n v="780.29"/>
    <n v="63"/>
    <s v="CREDITOR"/>
    <n v="0"/>
    <n v="0"/>
    <n v="0"/>
    <n v="0"/>
    <n v="63"/>
  </r>
  <r>
    <n v="61919198"/>
    <s v="N"/>
    <n v="21328079"/>
    <s v="3000015959470002"/>
    <s v="CIVIL"/>
    <d v="2023-06-26T00:00:00"/>
    <d v="2023-07-04T19:00:44"/>
    <m/>
    <d v="2023-07-04T00:00:00"/>
    <n v="131"/>
    <n v="19873"/>
    <s v="61919198"/>
    <s v="61919198"/>
    <m/>
    <m/>
    <n v="22761752"/>
    <m/>
    <m/>
    <m/>
    <s v="SOLFIN"/>
    <s v="SOLFIN"/>
    <s v="CCMS"/>
    <n v="21328079"/>
    <n v="729.83"/>
    <m/>
    <s v="N"/>
    <n v="15"/>
    <d v="2023-07-04T19:01:03"/>
    <s v="Y"/>
    <s v="Preparation - drafting attendance n"/>
    <s v="Non Family Hourly Rates"/>
    <s v="Profit Cost"/>
    <s v="RW"/>
    <s v="Y"/>
    <n v="11.93"/>
    <n v="2.39"/>
    <x v="1"/>
    <s v="VALIDATED"/>
    <n v="1"/>
    <s v="01.11.80.208.6100.0000"/>
    <n v="11.93"/>
    <s v="11"/>
    <s v="6100"/>
    <n v="780.29"/>
    <n v="11.93"/>
    <s v="CREDITOR"/>
    <n v="0"/>
    <n v="0"/>
    <n v="0"/>
    <n v="0"/>
    <n v="11.93"/>
  </r>
  <r>
    <n v="61919198"/>
    <s v="N"/>
    <n v="21328079"/>
    <s v="3000015959470002"/>
    <s v="CIVIL"/>
    <d v="2023-06-26T00:00:00"/>
    <d v="2023-07-04T19:00:44"/>
    <m/>
    <d v="2023-07-04T00:00:00"/>
    <n v="131"/>
    <n v="19873"/>
    <s v="61919198"/>
    <s v="61919198"/>
    <m/>
    <m/>
    <n v="22761752"/>
    <m/>
    <m/>
    <m/>
    <s v="SOLFIN"/>
    <s v="SOLFIN"/>
    <s v="CCMS"/>
    <n v="21328079"/>
    <n v="729.83"/>
    <m/>
    <s v="N"/>
    <n v="7"/>
    <d v="2023-07-04T19:01:03"/>
    <s v="Y"/>
    <s v="Preparation - drafting instructions"/>
    <s v="Non Family Hourly Rates"/>
    <s v="Profit Cost"/>
    <s v="RW"/>
    <s v="Y"/>
    <n v="107.33"/>
    <n v="21.47"/>
    <x v="1"/>
    <s v="VALIDATED"/>
    <n v="1"/>
    <s v="01.11.80.208.6100.0000"/>
    <n v="107.33"/>
    <s v="11"/>
    <s v="6100"/>
    <n v="780.29"/>
    <n v="107.33"/>
    <s v="CREDITOR"/>
    <n v="0"/>
    <n v="0"/>
    <n v="0"/>
    <n v="0"/>
    <n v="107.33"/>
  </r>
  <r>
    <n v="61919198"/>
    <s v="N"/>
    <n v="21328079"/>
    <s v="3000015959470002"/>
    <s v="CIVIL"/>
    <d v="2023-06-26T00:00:00"/>
    <d v="2023-07-04T19:00:44"/>
    <m/>
    <d v="2023-07-04T00:00:00"/>
    <n v="131"/>
    <n v="19873"/>
    <s v="61919198"/>
    <s v="61919198"/>
    <m/>
    <m/>
    <n v="22761752"/>
    <m/>
    <m/>
    <m/>
    <s v="SOLFIN"/>
    <s v="SOLFIN"/>
    <s v="CCMS"/>
    <n v="21328079"/>
    <n v="729.83"/>
    <m/>
    <s v="N"/>
    <n v="9"/>
    <d v="2023-07-04T19:01:03"/>
    <s v="Y"/>
    <s v="Preparation - other"/>
    <s v="Non Family Hourly Rates"/>
    <s v="Profit Cost"/>
    <s v="RW"/>
    <s v="Y"/>
    <n v="23.85"/>
    <n v="4.77"/>
    <x v="1"/>
    <s v="VALIDATED"/>
    <n v="1"/>
    <s v="01.11.80.208.6100.0000"/>
    <n v="23.85"/>
    <s v="11"/>
    <s v="6100"/>
    <n v="780.29"/>
    <n v="23.85"/>
    <s v="CREDITOR"/>
    <n v="0"/>
    <n v="0"/>
    <n v="0"/>
    <n v="0"/>
    <n v="23.85"/>
  </r>
  <r>
    <n v="61685726"/>
    <s v="N"/>
    <n v="21349723"/>
    <s v="3000015779570004"/>
    <s v="CIVIL"/>
    <d v="2023-06-29T00:00:00"/>
    <d v="2023-07-10T19:01:40"/>
    <m/>
    <d v="2023-07-10T00:00:00"/>
    <n v="131"/>
    <n v="19873"/>
    <s v="61685726"/>
    <s v="61685726"/>
    <m/>
    <m/>
    <n v="22789154"/>
    <m/>
    <m/>
    <m/>
    <s v="SOLFIN"/>
    <s v="SOLFIN"/>
    <s v="CCMS"/>
    <n v="21349723"/>
    <n v="239.4"/>
    <m/>
    <s v="N"/>
    <n v="3"/>
    <d v="2023-07-10T19:01:56"/>
    <s v="Y"/>
    <s v="Attendance upon client"/>
    <s v="Non Family Hourly Rates"/>
    <s v="Profit Cost"/>
    <s v="SR"/>
    <s v="Y"/>
    <n v="21"/>
    <n v="4.2"/>
    <x v="2"/>
    <s v="VALIDATED"/>
    <n v="1"/>
    <s v="01.11.80.208.6100.0000"/>
    <n v="21"/>
    <s v="11"/>
    <s v="6100"/>
    <n v="780.29"/>
    <n v="21"/>
    <s v="CREDITOR"/>
    <n v="0"/>
    <n v="0"/>
    <n v="0"/>
    <n v="0"/>
    <n v="21"/>
  </r>
  <r>
    <n v="61919198"/>
    <s v="N"/>
    <n v="21328079"/>
    <s v="3000015959470002"/>
    <s v="CIVIL"/>
    <d v="2023-06-26T00:00:00"/>
    <d v="2023-07-04T19:00:44"/>
    <m/>
    <d v="2023-07-04T00:00:00"/>
    <n v="131"/>
    <n v="19873"/>
    <s v="61919198"/>
    <s v="61919198"/>
    <m/>
    <m/>
    <n v="22761752"/>
    <m/>
    <m/>
    <m/>
    <s v="SOLFIN"/>
    <s v="SOLFIN"/>
    <s v="CCMS"/>
    <n v="21328079"/>
    <n v="729.83"/>
    <m/>
    <s v="N"/>
    <n v="2"/>
    <d v="2023-07-04T19:01:03"/>
    <s v="Y"/>
    <s v="Preparation - other"/>
    <s v="Non Family Hourly Rates"/>
    <s v="Profit Cost"/>
    <s v="PP"/>
    <s v="Y"/>
    <n v="7.16"/>
    <n v="1.43"/>
    <x v="1"/>
    <s v="VALIDATED"/>
    <n v="1"/>
    <s v="01.11.80.208.6100.0000"/>
    <n v="7.16"/>
    <s v="11"/>
    <s v="6100"/>
    <n v="780.29"/>
    <n v="7.16"/>
    <s v="CREDITOR"/>
    <n v="0"/>
    <n v="0"/>
    <n v="0"/>
    <n v="0"/>
    <n v="7.16"/>
  </r>
  <r>
    <n v="61685726"/>
    <s v="N"/>
    <n v="21349723"/>
    <s v="3000015779570004"/>
    <s v="CIVIL"/>
    <d v="2023-06-29T00:00:00"/>
    <d v="2023-07-10T19:01:40"/>
    <m/>
    <d v="2023-07-10T00:00:00"/>
    <n v="131"/>
    <n v="19873"/>
    <s v="61685726"/>
    <s v="61685726"/>
    <m/>
    <m/>
    <n v="22789154"/>
    <m/>
    <m/>
    <m/>
    <s v="SOLFIN"/>
    <s v="SOLFIN"/>
    <s v="CCMS"/>
    <n v="21349723"/>
    <n v="239.4"/>
    <m/>
    <s v="N"/>
    <n v="8"/>
    <d v="2023-07-10T19:01:56"/>
    <s v="Y"/>
    <s v="Preparation - other"/>
    <s v="Non Family Hourly Rates"/>
    <s v="Profit Cost"/>
    <s v="SR"/>
    <s v="Y"/>
    <n v="12.6"/>
    <n v="2.52"/>
    <x v="2"/>
    <s v="VALIDATED"/>
    <n v="1"/>
    <s v="01.11.80.208.6100.0000"/>
    <n v="12.6"/>
    <s v="11"/>
    <s v="6100"/>
    <n v="780.29"/>
    <n v="12.6"/>
    <s v="CREDITOR"/>
    <n v="0"/>
    <n v="0"/>
    <n v="0"/>
    <n v="0"/>
    <n v="12.6"/>
  </r>
  <r>
    <n v="61919198"/>
    <s v="N"/>
    <n v="21328079"/>
    <s v="3000015959470002"/>
    <s v="CIVIL"/>
    <d v="2023-06-26T00:00:00"/>
    <d v="2023-07-04T19:00:44"/>
    <m/>
    <d v="2023-07-04T00:00:00"/>
    <n v="131"/>
    <n v="19873"/>
    <s v="61919198"/>
    <s v="61919198"/>
    <m/>
    <m/>
    <n v="22761752"/>
    <m/>
    <m/>
    <m/>
    <s v="SOLFIN"/>
    <s v="SOLFIN"/>
    <s v="CCMS"/>
    <n v="21328079"/>
    <n v="729.83"/>
    <m/>
    <s v="N"/>
    <n v="5"/>
    <d v="2023-07-04T19:01:03"/>
    <s v="Y"/>
    <s v="Attendance upon client"/>
    <s v="Non Family Hourly Rates"/>
    <s v="Profit Cost"/>
    <s v="RW"/>
    <s v="Y"/>
    <n v="14.31"/>
    <n v="2.86"/>
    <x v="1"/>
    <s v="VALIDATED"/>
    <n v="1"/>
    <s v="01.11.80.208.6100.0000"/>
    <n v="14.31"/>
    <s v="11"/>
    <s v="6100"/>
    <n v="780.29"/>
    <n v="14.31"/>
    <s v="CREDITOR"/>
    <n v="0"/>
    <n v="0"/>
    <n v="0"/>
    <n v="0"/>
    <n v="14.31"/>
  </r>
  <r>
    <n v="61919198"/>
    <s v="N"/>
    <n v="21328079"/>
    <s v="3000015959470002"/>
    <s v="CIVIL"/>
    <d v="2023-06-26T00:00:00"/>
    <d v="2023-07-04T19:00:44"/>
    <m/>
    <d v="2023-07-04T00:00:00"/>
    <n v="131"/>
    <n v="19873"/>
    <s v="61919198"/>
    <s v="61919198"/>
    <m/>
    <m/>
    <n v="22761752"/>
    <m/>
    <m/>
    <m/>
    <s v="SOLFIN"/>
    <s v="SOLFIN"/>
    <s v="CCMS"/>
    <n v="21328079"/>
    <n v="729.83"/>
    <m/>
    <s v="N"/>
    <n v="1"/>
    <d v="2023-07-04T19:01:03"/>
    <s v="Y"/>
    <s v="Attendance upon client"/>
    <s v="Non Family Hourly Rates"/>
    <s v="Profit Cost"/>
    <s v="RW"/>
    <s v="Y"/>
    <n v="23.85"/>
    <n v="4.77"/>
    <x v="1"/>
    <s v="VALIDATED"/>
    <n v="1"/>
    <s v="01.11.80.208.6100.0000"/>
    <n v="23.85"/>
    <s v="11"/>
    <s v="6100"/>
    <n v="780.29"/>
    <n v="23.85"/>
    <s v="CREDITOR"/>
    <n v="0"/>
    <n v="0"/>
    <n v="0"/>
    <n v="0"/>
    <n v="23.85"/>
  </r>
  <r>
    <n v="61685726"/>
    <s v="N"/>
    <n v="21349723"/>
    <s v="3000015779570004"/>
    <s v="CIVIL"/>
    <d v="2023-06-29T00:00:00"/>
    <d v="2023-07-10T19:01:40"/>
    <m/>
    <d v="2023-07-10T00:00:00"/>
    <n v="131"/>
    <n v="19873"/>
    <s v="61685726"/>
    <s v="61685726"/>
    <m/>
    <m/>
    <n v="22789154"/>
    <m/>
    <m/>
    <m/>
    <s v="SOLFIN"/>
    <s v="SOLFIN"/>
    <s v="CCMS"/>
    <n v="21349723"/>
    <n v="239.4"/>
    <m/>
    <s v="N"/>
    <n v="6"/>
    <d v="2023-07-10T19:01:56"/>
    <s v="Y"/>
    <s v="Preparation - other"/>
    <s v="Non Family Hourly Rates"/>
    <s v="Profit Cost"/>
    <s v="SR"/>
    <s v="Y"/>
    <n v="31.5"/>
    <n v="6.3"/>
    <x v="2"/>
    <s v="VALIDATED"/>
    <n v="1"/>
    <s v="01.11.80.208.6100.0000"/>
    <n v="31.5"/>
    <s v="11"/>
    <s v="6100"/>
    <n v="780.29"/>
    <n v="31.5"/>
    <s v="CREDITOR"/>
    <n v="0"/>
    <n v="0"/>
    <n v="0"/>
    <n v="0"/>
    <n v="31.5"/>
  </r>
  <r>
    <n v="61919198"/>
    <s v="N"/>
    <n v="21328079"/>
    <s v="3000015959470002"/>
    <s v="CIVIL"/>
    <d v="2023-06-26T00:00:00"/>
    <d v="2023-07-04T19:00:44"/>
    <m/>
    <d v="2023-07-04T00:00:00"/>
    <n v="131"/>
    <n v="19873"/>
    <s v="61919198"/>
    <s v="61919198"/>
    <m/>
    <m/>
    <n v="22761752"/>
    <m/>
    <m/>
    <m/>
    <s v="SOLFIN"/>
    <s v="SOLFIN"/>
    <s v="CCMS"/>
    <n v="21328079"/>
    <n v="729.83"/>
    <m/>
    <s v="N"/>
    <n v="14"/>
    <d v="2023-07-04T19:01:03"/>
    <s v="Y"/>
    <s v="Attendance upon client"/>
    <s v="Non Family Hourly Rates"/>
    <s v="Profit Cost"/>
    <s v="RW"/>
    <s v="Y"/>
    <n v="23.85"/>
    <n v="4.77"/>
    <x v="1"/>
    <s v="VALIDATED"/>
    <n v="1"/>
    <s v="01.11.80.208.6100.0000"/>
    <n v="23.85"/>
    <s v="11"/>
    <s v="6100"/>
    <n v="780.29"/>
    <n v="23.85"/>
    <s v="CREDITOR"/>
    <n v="0"/>
    <n v="0"/>
    <n v="0"/>
    <n v="0"/>
    <n v="23.85"/>
  </r>
  <r>
    <n v="61685726"/>
    <s v="N"/>
    <n v="21356242"/>
    <s v="3000015779570001RC"/>
    <s v="CIVIL"/>
    <d v="2023-06-29T00:00:00"/>
    <d v="2023-07-10T19:47:44"/>
    <m/>
    <d v="2023-07-10T00:00:00"/>
    <n v="131"/>
    <n v="19873"/>
    <s v="61685726"/>
    <s v="61685726"/>
    <m/>
    <m/>
    <m/>
    <m/>
    <m/>
    <m/>
    <s v="SOLRECOUP"/>
    <s v="SOLRECOUP"/>
    <s v="POARECOUP"/>
    <n v="21356242"/>
    <n v="-151"/>
    <m/>
    <s v="Y"/>
    <n v="1"/>
    <d v="2023-07-10T19:47:44"/>
    <s v="N"/>
    <m/>
    <m/>
    <s v="Non Expert Disbursement"/>
    <m/>
    <s v="N"/>
    <n v="-151"/>
    <n v="0"/>
    <x v="2"/>
    <s v="VALIDATED"/>
    <n v="1"/>
    <s v="01.11.80.208.2013.0000"/>
    <n v="-151"/>
    <s v="11"/>
    <s v="2013"/>
    <n v="780.29"/>
    <n v="-151"/>
    <s v="CREDITOR"/>
    <n v="0"/>
    <n v="0"/>
    <n v="-151"/>
    <n v="0"/>
    <n v="0"/>
  </r>
  <r>
    <n v="61685726"/>
    <s v="N"/>
    <n v="21356242"/>
    <s v="3000015779570001RC"/>
    <s v="CIVIL"/>
    <d v="2023-06-29T00:00:00"/>
    <d v="2023-07-10T19:47:44"/>
    <m/>
    <d v="2023-07-10T00:00:00"/>
    <n v="131"/>
    <n v="19873"/>
    <s v="61685726"/>
    <s v="61685726"/>
    <m/>
    <m/>
    <m/>
    <m/>
    <m/>
    <m/>
    <s v="SOLRECOUP"/>
    <s v="SOLRECOUP"/>
    <s v="POARECOUP"/>
    <n v="21356242"/>
    <n v="-151"/>
    <m/>
    <s v="Y"/>
    <n v="2"/>
    <d v="2023-07-10T19:47:44"/>
    <s v="N"/>
    <m/>
    <m/>
    <s v="Non Expert Disbursement"/>
    <m/>
    <s v="N"/>
    <n v="0"/>
    <n v="0"/>
    <x v="2"/>
    <s v="VALIDATED"/>
    <n v="1"/>
    <s v="01.11.80.000.0000.0000"/>
    <n v="0"/>
    <s v="11"/>
    <s v="0000"/>
    <n v="780.29"/>
    <n v="0"/>
    <s v="CREDITOR"/>
    <n v="0"/>
    <n v="0"/>
    <n v="0"/>
    <n v="0"/>
    <n v="0"/>
  </r>
  <r>
    <n v="61685726"/>
    <s v="N"/>
    <n v="21356243"/>
    <s v="3000015779570002RC"/>
    <s v="CIVIL"/>
    <d v="2023-06-29T00:00:00"/>
    <d v="2023-07-10T19:47:44"/>
    <m/>
    <d v="2023-07-10T00:00:00"/>
    <n v="131"/>
    <n v="19873"/>
    <s v="61685726"/>
    <s v="61685726"/>
    <m/>
    <m/>
    <m/>
    <m/>
    <m/>
    <m/>
    <s v="SOLRECOUP"/>
    <s v="SOLRECOUP"/>
    <s v="POARECOUP"/>
    <n v="21356243"/>
    <n v="-108"/>
    <m/>
    <s v="Y"/>
    <n v="1"/>
    <d v="2023-07-10T19:47:44"/>
    <s v="N"/>
    <m/>
    <m/>
    <s v="Non Expert Disbursement"/>
    <m/>
    <s v="N"/>
    <n v="-108"/>
    <n v="0"/>
    <x v="2"/>
    <s v="VALIDATED"/>
    <n v="1"/>
    <s v="01.11.80.208.2013.0000"/>
    <n v="-108"/>
    <s v="11"/>
    <s v="2013"/>
    <n v="780.29"/>
    <n v="-108"/>
    <s v="CREDITOR"/>
    <n v="0"/>
    <n v="0"/>
    <n v="-108"/>
    <n v="0"/>
    <n v="0"/>
  </r>
  <r>
    <n v="61685726"/>
    <s v="N"/>
    <n v="21356243"/>
    <s v="3000015779570002RC"/>
    <s v="CIVIL"/>
    <d v="2023-06-29T00:00:00"/>
    <d v="2023-07-10T19:47:44"/>
    <m/>
    <d v="2023-07-10T00:00:00"/>
    <n v="131"/>
    <n v="19873"/>
    <s v="61685726"/>
    <s v="61685726"/>
    <m/>
    <m/>
    <m/>
    <m/>
    <m/>
    <m/>
    <s v="SOLRECOUP"/>
    <s v="SOLRECOUP"/>
    <s v="POARECOUP"/>
    <n v="21356243"/>
    <n v="-108"/>
    <m/>
    <s v="Y"/>
    <n v="2"/>
    <d v="2023-07-10T19:47:44"/>
    <s v="N"/>
    <m/>
    <m/>
    <s v="Non Expert Disbursement"/>
    <m/>
    <s v="N"/>
    <n v="0"/>
    <n v="0"/>
    <x v="2"/>
    <s v="VALIDATED"/>
    <n v="1"/>
    <s v="01.11.80.000.0000.0000"/>
    <n v="0"/>
    <s v="11"/>
    <s v="0000"/>
    <n v="780.29"/>
    <n v="0"/>
    <s v="CREDITOR"/>
    <n v="0"/>
    <n v="0"/>
    <n v="0"/>
    <n v="0"/>
    <n v="0"/>
  </r>
  <r>
    <n v="59805452"/>
    <s v="N"/>
    <n v="21338281"/>
    <s v="3000014178150012"/>
    <s v="CIVIL"/>
    <d v="2023-06-28T00:00:00"/>
    <d v="2023-07-06T19:21:01"/>
    <m/>
    <d v="2023-07-06T00:00:00"/>
    <n v="141"/>
    <n v="20651"/>
    <s v="59805452"/>
    <s v="59805452"/>
    <m/>
    <m/>
    <n v="22775350"/>
    <m/>
    <m/>
    <m/>
    <s v="SOLFIN"/>
    <s v="SOLFIN"/>
    <s v="CCMS"/>
    <n v="21338281"/>
    <n v="11141.22"/>
    <m/>
    <s v="N"/>
    <n v="5"/>
    <d v="2023-07-06T19:21:17"/>
    <s v="Y"/>
    <s v="Hearing Unit 2.31 - 5.00 Hours"/>
    <s v="Public Law Children"/>
    <s v="Advocacy"/>
    <s v="SD"/>
    <s v="Y"/>
    <n v="476.92"/>
    <n v="95.38"/>
    <x v="4"/>
    <s v="VALIDATED"/>
    <n v="1"/>
    <s v="01.11.80.308.6100.0000"/>
    <n v="476.92"/>
    <s v="11"/>
    <s v="6100"/>
    <n v="4810.14"/>
    <n v="476.92"/>
    <s v="CREDITOR"/>
    <n v="0"/>
    <n v="0"/>
    <n v="0"/>
    <n v="0"/>
    <n v="476.92"/>
  </r>
  <r>
    <n v="59805452"/>
    <s v="N"/>
    <n v="21338281"/>
    <s v="3000014178150012"/>
    <s v="CIVIL"/>
    <d v="2023-06-28T00:00:00"/>
    <d v="2023-07-06T19:21:01"/>
    <m/>
    <d v="2023-07-06T00:00:00"/>
    <n v="141"/>
    <n v="20651"/>
    <s v="59805452"/>
    <s v="59805452"/>
    <m/>
    <m/>
    <n v="22775350"/>
    <m/>
    <m/>
    <m/>
    <s v="SOLFIN"/>
    <s v="SOLFIN"/>
    <s v="CCMS"/>
    <n v="21338281"/>
    <n v="11141.22"/>
    <m/>
    <s v="N"/>
    <n v="8"/>
    <d v="2023-07-06T19:21:17"/>
    <s v="N"/>
    <m/>
    <m/>
    <s v="Overall Adjustment"/>
    <m/>
    <s v="N"/>
    <n v="-390.21"/>
    <n v="-78.04000000000001"/>
    <x v="4"/>
    <s v="VALIDATED"/>
    <n v="1"/>
    <s v="01.11.80.308.6100.0000"/>
    <n v="-390.21"/>
    <s v="11"/>
    <s v="6100"/>
    <n v="4810.14"/>
    <n v="-390.21"/>
    <s v="CREDITOR"/>
    <n v="0"/>
    <n v="0"/>
    <n v="0"/>
    <n v="0"/>
    <n v="-390.21"/>
  </r>
  <r>
    <n v="59805452"/>
    <s v="N"/>
    <n v="21338281"/>
    <s v="3000014178150012"/>
    <s v="CIVIL"/>
    <d v="2023-06-28T00:00:00"/>
    <d v="2023-07-06T19:21:01"/>
    <m/>
    <d v="2023-07-06T00:00:00"/>
    <n v="141"/>
    <n v="20651"/>
    <s v="59805452"/>
    <s v="59805452"/>
    <m/>
    <m/>
    <n v="22775350"/>
    <m/>
    <m/>
    <m/>
    <s v="SOLFIN"/>
    <s v="SOLFIN"/>
    <s v="CCMS"/>
    <n v="21338281"/>
    <n v="11141.22"/>
    <m/>
    <s v="N"/>
    <n v="2"/>
    <d v="2023-07-06T19:21:17"/>
    <s v="N"/>
    <s v="Profit Costs (Summary)"/>
    <s v="Public Law Children"/>
    <s v="Profit Cost"/>
    <s v="SD"/>
    <s v="N"/>
    <n v="390.21"/>
    <n v="78.04000000000001"/>
    <x v="4"/>
    <s v="VALIDATED"/>
    <n v="1"/>
    <s v="01.11.80.308.6100.0000"/>
    <n v="390.21"/>
    <s v="11"/>
    <s v="6100"/>
    <n v="4810.14"/>
    <n v="390.21"/>
    <s v="CREDITOR"/>
    <n v="0"/>
    <n v="0"/>
    <n v="0"/>
    <n v="0"/>
    <n v="390.21"/>
  </r>
  <r>
    <n v="59805452"/>
    <s v="N"/>
    <n v="21338281"/>
    <s v="3000014178150012"/>
    <s v="CIVIL"/>
    <d v="2023-06-28T00:00:00"/>
    <d v="2023-07-06T19:21:01"/>
    <m/>
    <d v="2023-07-06T00:00:00"/>
    <n v="141"/>
    <n v="20651"/>
    <s v="59805452"/>
    <s v="59805452"/>
    <m/>
    <m/>
    <n v="22775350"/>
    <m/>
    <m/>
    <m/>
    <s v="SOLFIN"/>
    <s v="SOLFIN"/>
    <s v="CCMS"/>
    <n v="21338281"/>
    <n v="11141.22"/>
    <m/>
    <s v="N"/>
    <n v="3"/>
    <d v="2023-07-06T19:21:17"/>
    <s v="Y"/>
    <s v="Disbursements (Summary)"/>
    <s v="Public Law Children"/>
    <s v="Non Expert Disbursement"/>
    <s v="SD"/>
    <s v="Y"/>
    <n v="2528.51"/>
    <n v="505.7"/>
    <x v="4"/>
    <s v="VALIDATED"/>
    <n v="1"/>
    <s v="01.11.80.308.6300.0000"/>
    <n v="2528.51"/>
    <s v="11"/>
    <s v="6300"/>
    <n v="4810.14"/>
    <n v="2528.51"/>
    <s v="CREDITOR"/>
    <n v="0"/>
    <n v="0"/>
    <n v="0"/>
    <n v="0"/>
    <n v="2528.51"/>
  </r>
  <r>
    <n v="59805452"/>
    <s v="N"/>
    <n v="21338281"/>
    <s v="3000014178150012"/>
    <s v="CIVIL"/>
    <d v="2023-06-28T00:00:00"/>
    <d v="2023-07-06T19:21:01"/>
    <m/>
    <d v="2023-07-06T00:00:00"/>
    <n v="141"/>
    <n v="20651"/>
    <s v="59805452"/>
    <s v="59805452"/>
    <m/>
    <m/>
    <n v="22775350"/>
    <m/>
    <m/>
    <m/>
    <s v="SOLFIN"/>
    <s v="SOLFIN"/>
    <s v="CCMS"/>
    <n v="21338281"/>
    <n v="11141.22"/>
    <m/>
    <s v="N"/>
    <n v="6"/>
    <d v="2023-07-06T19:21:17"/>
    <s v="Y"/>
    <s v="Advocates Meeting"/>
    <s v="Public Law Children"/>
    <s v="Advocacy"/>
    <s v="SD"/>
    <s v="Y"/>
    <n v="140.99"/>
    <n v="28.2"/>
    <x v="4"/>
    <s v="VALIDATED"/>
    <n v="1"/>
    <s v="01.11.80.308.6100.0000"/>
    <n v="140.99"/>
    <s v="11"/>
    <s v="6100"/>
    <n v="4810.14"/>
    <n v="140.99"/>
    <s v="CREDITOR"/>
    <n v="0"/>
    <n v="0"/>
    <n v="0"/>
    <n v="0"/>
    <n v="140.99"/>
  </r>
  <r>
    <n v="59805452"/>
    <s v="N"/>
    <n v="21338281"/>
    <s v="3000014178150012"/>
    <s v="CIVIL"/>
    <d v="2023-06-28T00:00:00"/>
    <d v="2023-07-06T19:21:01"/>
    <m/>
    <d v="2023-07-06T00:00:00"/>
    <n v="141"/>
    <n v="20651"/>
    <s v="59805452"/>
    <s v="59805452"/>
    <m/>
    <m/>
    <n v="22775350"/>
    <m/>
    <m/>
    <m/>
    <s v="SOLFIN"/>
    <s v="SOLFIN"/>
    <s v="CCMS"/>
    <n v="21338281"/>
    <n v="11141.22"/>
    <m/>
    <s v="N"/>
    <n v="7"/>
    <d v="2023-07-06T19:21:17"/>
    <s v="Y"/>
    <s v="Advocates Meeting"/>
    <s v="Public Law Children"/>
    <s v="Advocacy"/>
    <s v="SD"/>
    <s v="Y"/>
    <n v="140.99"/>
    <n v="28.2"/>
    <x v="4"/>
    <s v="VALIDATED"/>
    <n v="1"/>
    <s v="01.11.80.308.6100.0000"/>
    <n v="140.99"/>
    <s v="11"/>
    <s v="6100"/>
    <n v="4810.14"/>
    <n v="140.99"/>
    <s v="CREDITOR"/>
    <n v="0"/>
    <n v="0"/>
    <n v="0"/>
    <n v="0"/>
    <n v="140.99"/>
  </r>
  <r>
    <n v="59805452"/>
    <s v="N"/>
    <n v="21338281"/>
    <s v="3000014178150012"/>
    <s v="CIVIL"/>
    <d v="2023-06-28T00:00:00"/>
    <d v="2023-07-06T19:21:01"/>
    <m/>
    <d v="2023-07-06T00:00:00"/>
    <n v="141"/>
    <n v="20651"/>
    <s v="59805452"/>
    <s v="59805452"/>
    <m/>
    <m/>
    <n v="22775350"/>
    <m/>
    <m/>
    <m/>
    <s v="SOLFIN"/>
    <s v="SOLFIN"/>
    <s v="CCMS"/>
    <n v="21338281"/>
    <n v="11141.22"/>
    <m/>
    <s v="N"/>
    <n v="4"/>
    <d v="2023-07-06T19:21:17"/>
    <s v="Y"/>
    <s v="Advocates Meeting"/>
    <s v="Public Law Children"/>
    <s v="Advocacy"/>
    <s v="SD"/>
    <s v="Y"/>
    <n v="140.99"/>
    <n v="28.2"/>
    <x v="4"/>
    <s v="VALIDATED"/>
    <n v="1"/>
    <s v="01.11.80.308.6100.0000"/>
    <n v="140.99"/>
    <s v="11"/>
    <s v="6100"/>
    <n v="4810.14"/>
    <n v="140.99"/>
    <s v="CREDITOR"/>
    <n v="0"/>
    <n v="0"/>
    <n v="0"/>
    <n v="0"/>
    <n v="140.99"/>
  </r>
  <r>
    <n v="59805452"/>
    <s v="N"/>
    <n v="21338281"/>
    <s v="3000014178150012"/>
    <s v="CIVIL"/>
    <d v="2023-06-28T00:00:00"/>
    <d v="2023-07-06T19:21:01"/>
    <m/>
    <d v="2023-07-06T00:00:00"/>
    <n v="141"/>
    <n v="20651"/>
    <s v="59805452"/>
    <s v="59805452"/>
    <m/>
    <m/>
    <n v="22775350"/>
    <m/>
    <m/>
    <m/>
    <s v="SOLFIN"/>
    <s v="SOLFIN"/>
    <s v="CCMS"/>
    <n v="21338281"/>
    <n v="11141.22"/>
    <m/>
    <s v="N"/>
    <n v="1"/>
    <d v="2023-07-06T19:21:17"/>
    <s v="Y"/>
    <s v="Profit Costs (Summary)"/>
    <s v="Public Law Children"/>
    <s v="Profit Cost"/>
    <s v="SD"/>
    <s v="Y"/>
    <n v="5855.95"/>
    <n v="1171.19"/>
    <x v="4"/>
    <s v="VALIDATED"/>
    <n v="1"/>
    <s v="01.11.80.308.6100.0000"/>
    <n v="5855.95"/>
    <s v="11"/>
    <s v="6100"/>
    <n v="4810.14"/>
    <n v="5855.95"/>
    <s v="CREDITOR"/>
    <n v="0"/>
    <n v="0"/>
    <n v="0"/>
    <n v="0"/>
    <n v="5855.95"/>
  </r>
  <r>
    <n v="59805452"/>
    <s v="N"/>
    <n v="21339860"/>
    <s v="3000014178150005RC"/>
    <s v="CIVIL"/>
    <d v="2023-06-28T00:00:00"/>
    <d v="2023-07-06T19:54:22"/>
    <m/>
    <d v="2023-07-06T00:00:00"/>
    <n v="141"/>
    <n v="20651"/>
    <s v="59805452"/>
    <s v="59805452"/>
    <m/>
    <m/>
    <m/>
    <m/>
    <m/>
    <m/>
    <s v="SOLRECOUP"/>
    <s v="SOLRECOUP"/>
    <s v="POARECOUP"/>
    <n v="21339860"/>
    <n v="-1440"/>
    <m/>
    <s v="Y"/>
    <n v="1"/>
    <d v="2023-07-06T19:54:22"/>
    <s v="N"/>
    <m/>
    <m/>
    <s v="Profit Cost"/>
    <m/>
    <s v="N"/>
    <n v="-1200"/>
    <n v="0"/>
    <x v="4"/>
    <s v="VALIDATED"/>
    <n v="1"/>
    <s v="01.11.80.308.2013.0000"/>
    <n v="-1200"/>
    <s v="11"/>
    <s v="2013"/>
    <n v="4810.14"/>
    <n v="-1200"/>
    <s v="CREDITOR"/>
    <n v="0"/>
    <n v="0"/>
    <n v="-1200"/>
    <n v="-300"/>
    <n v="0"/>
  </r>
  <r>
    <n v="59805452"/>
    <s v="N"/>
    <n v="21339860"/>
    <s v="3000014178150005RC"/>
    <s v="CIVIL"/>
    <d v="2023-06-28T00:00:00"/>
    <d v="2023-07-06T19:54:22"/>
    <m/>
    <d v="2023-07-06T00:00:00"/>
    <n v="141"/>
    <n v="20651"/>
    <s v="59805452"/>
    <s v="59805452"/>
    <m/>
    <m/>
    <m/>
    <m/>
    <m/>
    <m/>
    <s v="SOLRECOUP"/>
    <s v="SOLRECOUP"/>
    <s v="POARECOUP"/>
    <n v="21339860"/>
    <n v="-1440"/>
    <m/>
    <s v="Y"/>
    <n v="2"/>
    <d v="2023-07-06T19:54:22"/>
    <s v="N"/>
    <m/>
    <m/>
    <s v="Profit Cost"/>
    <m/>
    <s v="N"/>
    <n v="0"/>
    <n v="-240"/>
    <x v="4"/>
    <s v="VALIDATED"/>
    <n v="1"/>
    <s v="01.11.80.308.2013.0000"/>
    <n v="-240"/>
    <s v="11"/>
    <s v="2013"/>
    <n v="4810.14"/>
    <n v="-240"/>
    <s v="CREDITOR"/>
    <n v="0"/>
    <n v="0"/>
    <n v="-240"/>
    <n v="-60"/>
    <n v="0"/>
  </r>
  <r>
    <n v="59805452"/>
    <s v="N"/>
    <n v="21339861"/>
    <s v="3000014178150003RC"/>
    <s v="CIVIL"/>
    <d v="2023-06-28T00:00:00"/>
    <d v="2023-07-06T19:54:22"/>
    <m/>
    <d v="2023-07-06T00:00:00"/>
    <n v="141"/>
    <n v="20651"/>
    <s v="59805452"/>
    <s v="59805452"/>
    <m/>
    <m/>
    <m/>
    <m/>
    <m/>
    <m/>
    <s v="SOLRECOUP"/>
    <s v="SOLRECOUP"/>
    <s v="POARECOUP"/>
    <n v="21339861"/>
    <n v="-468.25"/>
    <m/>
    <s v="Y"/>
    <n v="1"/>
    <d v="2023-07-06T19:54:22"/>
    <s v="N"/>
    <m/>
    <m/>
    <s v="Expert Disbursement"/>
    <m/>
    <s v="N"/>
    <n v="-390.21"/>
    <n v="0"/>
    <x v="4"/>
    <s v="VALIDATED"/>
    <n v="1"/>
    <s v="01.11.80.308.2013.0000"/>
    <n v="-390.21"/>
    <s v="11"/>
    <s v="2013"/>
    <n v="4810.14"/>
    <n v="-390.21"/>
    <s v="CREDITOR"/>
    <n v="0"/>
    <n v="0"/>
    <n v="-390.21"/>
    <n v="0"/>
    <n v="0"/>
  </r>
  <r>
    <n v="59805452"/>
    <s v="N"/>
    <n v="21339861"/>
    <s v="3000014178150003RC"/>
    <s v="CIVIL"/>
    <d v="2023-06-28T00:00:00"/>
    <d v="2023-07-06T19:54:22"/>
    <m/>
    <d v="2023-07-06T00:00:00"/>
    <n v="141"/>
    <n v="20651"/>
    <s v="59805452"/>
    <s v="59805452"/>
    <m/>
    <m/>
    <m/>
    <m/>
    <m/>
    <m/>
    <s v="SOLRECOUP"/>
    <s v="SOLRECOUP"/>
    <s v="POARECOUP"/>
    <n v="21339861"/>
    <n v="-468.25"/>
    <m/>
    <s v="Y"/>
    <n v="2"/>
    <d v="2023-07-06T19:54:22"/>
    <s v="N"/>
    <m/>
    <m/>
    <s v="Expert Disbursement"/>
    <m/>
    <s v="N"/>
    <n v="0"/>
    <n v="-78.04000000000001"/>
    <x v="4"/>
    <s v="VALIDATED"/>
    <n v="1"/>
    <s v="01.11.80.308.2013.0000"/>
    <n v="-78.04000000000001"/>
    <s v="11"/>
    <s v="2013"/>
    <n v="4810.14"/>
    <n v="-78.04000000000001"/>
    <s v="CREDITOR"/>
    <n v="0"/>
    <n v="0"/>
    <n v="-78.04000000000001"/>
    <n v="0"/>
    <n v="0"/>
  </r>
  <r>
    <n v="59805452"/>
    <s v="N"/>
    <n v="21339862"/>
    <s v="3000014178150011RC"/>
    <s v="CIVIL"/>
    <d v="2023-06-28T00:00:00"/>
    <d v="2023-07-06T19:54:22"/>
    <m/>
    <d v="2023-07-06T00:00:00"/>
    <n v="141"/>
    <n v="20651"/>
    <s v="59805452"/>
    <s v="59805452"/>
    <m/>
    <m/>
    <m/>
    <m/>
    <m/>
    <m/>
    <s v="SOLRECOUP"/>
    <s v="SOLRECOUP"/>
    <s v="POARECOUP"/>
    <n v="21339862"/>
    <n v="-2187.96"/>
    <m/>
    <s v="Y"/>
    <n v="1"/>
    <d v="2023-07-06T19:54:22"/>
    <s v="N"/>
    <m/>
    <m/>
    <s v="Expert Disbursement"/>
    <m/>
    <s v="N"/>
    <n v="-1823.3"/>
    <n v="0"/>
    <x v="4"/>
    <s v="VALIDATED"/>
    <n v="1"/>
    <s v="01.11.80.308.2013.0000"/>
    <n v="-1823.3"/>
    <s v="11"/>
    <s v="2013"/>
    <n v="4810.14"/>
    <n v="-1823.3"/>
    <s v="CREDITOR"/>
    <n v="0"/>
    <n v="0"/>
    <n v="-1823.3"/>
    <n v="0"/>
    <n v="0"/>
  </r>
  <r>
    <n v="59805452"/>
    <s v="N"/>
    <n v="21339862"/>
    <s v="3000014178150011RC"/>
    <s v="CIVIL"/>
    <d v="2023-06-28T00:00:00"/>
    <d v="2023-07-06T19:54:22"/>
    <m/>
    <d v="2023-07-06T00:00:00"/>
    <n v="141"/>
    <n v="20651"/>
    <s v="59805452"/>
    <s v="59805452"/>
    <m/>
    <m/>
    <m/>
    <m/>
    <m/>
    <m/>
    <s v="SOLRECOUP"/>
    <s v="SOLRECOUP"/>
    <s v="POARECOUP"/>
    <n v="21339862"/>
    <n v="-2187.96"/>
    <m/>
    <s v="Y"/>
    <n v="2"/>
    <d v="2023-07-06T19:54:22"/>
    <s v="N"/>
    <m/>
    <m/>
    <s v="Expert Disbursement"/>
    <m/>
    <s v="N"/>
    <n v="0"/>
    <n v="-364.66"/>
    <x v="4"/>
    <s v="VALIDATED"/>
    <n v="1"/>
    <s v="01.11.80.308.2013.0000"/>
    <n v="-364.66"/>
    <s v="11"/>
    <s v="2013"/>
    <n v="4810.14"/>
    <n v="-364.66"/>
    <s v="CREDITOR"/>
    <n v="0"/>
    <n v="0"/>
    <n v="-364.66"/>
    <n v="0"/>
    <n v="0"/>
  </r>
  <r>
    <n v="59805452"/>
    <s v="N"/>
    <n v="21339863"/>
    <s v="3000014178150010RC"/>
    <s v="CIVIL"/>
    <d v="2023-06-28T00:00:00"/>
    <d v="2023-07-06T19:54:22"/>
    <m/>
    <d v="2023-07-06T00:00:00"/>
    <n v="141"/>
    <n v="20651"/>
    <s v="59805452"/>
    <s v="59805452"/>
    <m/>
    <m/>
    <m/>
    <m/>
    <m/>
    <m/>
    <s v="SOLRECOUP"/>
    <s v="SOLRECOUP"/>
    <s v="POARECOUP"/>
    <n v="21339863"/>
    <n v="-332.64"/>
    <m/>
    <s v="Y"/>
    <n v="1"/>
    <d v="2023-07-06T19:54:22"/>
    <s v="N"/>
    <m/>
    <m/>
    <s v="Expert Disbursement"/>
    <m/>
    <s v="N"/>
    <n v="-277.2"/>
    <n v="0"/>
    <x v="4"/>
    <s v="VALIDATED"/>
    <n v="1"/>
    <s v="01.11.80.308.2013.0000"/>
    <n v="-277.2"/>
    <s v="11"/>
    <s v="2013"/>
    <n v="4810.14"/>
    <n v="-277.2"/>
    <s v="CREDITOR"/>
    <n v="0"/>
    <n v="0"/>
    <n v="-277.2"/>
    <n v="0"/>
    <n v="0"/>
  </r>
  <r>
    <n v="59805452"/>
    <s v="N"/>
    <n v="21339863"/>
    <s v="3000014178150010RC"/>
    <s v="CIVIL"/>
    <d v="2023-06-28T00:00:00"/>
    <d v="2023-07-06T19:54:22"/>
    <m/>
    <d v="2023-07-06T00:00:00"/>
    <n v="141"/>
    <n v="20651"/>
    <s v="59805452"/>
    <s v="59805452"/>
    <m/>
    <m/>
    <m/>
    <m/>
    <m/>
    <m/>
    <s v="SOLRECOUP"/>
    <s v="SOLRECOUP"/>
    <s v="POARECOUP"/>
    <n v="21339863"/>
    <n v="-332.64"/>
    <m/>
    <s v="Y"/>
    <n v="2"/>
    <d v="2023-07-06T19:54:22"/>
    <s v="N"/>
    <m/>
    <m/>
    <s v="Expert Disbursement"/>
    <m/>
    <s v="N"/>
    <n v="0"/>
    <n v="-55.44"/>
    <x v="4"/>
    <s v="VALIDATED"/>
    <n v="1"/>
    <s v="01.11.80.308.2013.0000"/>
    <n v="-55.44"/>
    <s v="11"/>
    <s v="2013"/>
    <n v="4810.14"/>
    <n v="-55.44"/>
    <s v="CREDITOR"/>
    <n v="0"/>
    <n v="0"/>
    <n v="-55.44"/>
    <n v="0"/>
    <n v="0"/>
  </r>
  <r>
    <n v="59805452"/>
    <s v="N"/>
    <n v="21339864"/>
    <s v="3000014178150009RC"/>
    <s v="CIVIL"/>
    <d v="2023-06-28T00:00:00"/>
    <d v="2023-07-06T19:54:22"/>
    <m/>
    <d v="2023-07-06T00:00:00"/>
    <n v="141"/>
    <n v="20651"/>
    <s v="59805452"/>
    <s v="59805452"/>
    <m/>
    <m/>
    <m/>
    <m/>
    <m/>
    <m/>
    <s v="SOLRECOUP"/>
    <s v="SOLRECOUP"/>
    <s v="POARECOUP"/>
    <n v="21339864"/>
    <n v="-45.36"/>
    <m/>
    <s v="Y"/>
    <n v="1"/>
    <d v="2023-07-06T19:54:22"/>
    <s v="N"/>
    <m/>
    <m/>
    <s v="Expert Disbursement"/>
    <m/>
    <s v="N"/>
    <n v="-37.8"/>
    <n v="0"/>
    <x v="4"/>
    <s v="VALIDATED"/>
    <n v="1"/>
    <s v="01.11.80.308.2013.0000"/>
    <n v="-37.8"/>
    <s v="11"/>
    <s v="2013"/>
    <n v="4810.14"/>
    <n v="-37.8"/>
    <s v="CREDITOR"/>
    <n v="0"/>
    <n v="0"/>
    <n v="-37.8"/>
    <n v="0"/>
    <n v="0"/>
  </r>
  <r>
    <n v="59805452"/>
    <s v="N"/>
    <n v="21339864"/>
    <s v="3000014178150009RC"/>
    <s v="CIVIL"/>
    <d v="2023-06-28T00:00:00"/>
    <d v="2023-07-06T19:54:22"/>
    <m/>
    <d v="2023-07-06T00:00:00"/>
    <n v="141"/>
    <n v="20651"/>
    <s v="59805452"/>
    <s v="59805452"/>
    <m/>
    <m/>
    <m/>
    <m/>
    <m/>
    <m/>
    <s v="SOLRECOUP"/>
    <s v="SOLRECOUP"/>
    <s v="POARECOUP"/>
    <n v="21339864"/>
    <n v="-45.36"/>
    <m/>
    <s v="Y"/>
    <n v="2"/>
    <d v="2023-07-06T19:54:22"/>
    <s v="N"/>
    <m/>
    <m/>
    <s v="Expert Disbursement"/>
    <m/>
    <s v="N"/>
    <n v="0"/>
    <n v="-7.56"/>
    <x v="4"/>
    <s v="VALIDATED"/>
    <n v="1"/>
    <s v="01.11.80.308.2013.0000"/>
    <n v="-7.56"/>
    <s v="11"/>
    <s v="2013"/>
    <n v="4810.14"/>
    <n v="-7.56"/>
    <s v="CREDITOR"/>
    <n v="0"/>
    <n v="0"/>
    <n v="-7.56"/>
    <n v="0"/>
    <n v="0"/>
  </r>
  <r>
    <n v="11340084"/>
    <s v="N"/>
    <n v="21360405"/>
    <s v="3000006841030002"/>
    <s v="CIVIL"/>
    <d v="2023-06-30T00:00:00"/>
    <d v="2023-07-11T11:50:54"/>
    <m/>
    <d v="2023-07-11T00:00:00"/>
    <n v="143"/>
    <n v="20762"/>
    <s v="11340084"/>
    <s v="11340084"/>
    <m/>
    <m/>
    <n v="22800368"/>
    <m/>
    <m/>
    <m/>
    <s v="SOLFIN"/>
    <s v="SOLFIN"/>
    <s v="CCMS"/>
    <n v="21360405"/>
    <n v="3273.96"/>
    <m/>
    <s v="N"/>
    <n v="1"/>
    <d v="2023-07-11T11:51:03"/>
    <s v="Y"/>
    <s v="Profit Costs (Summary)"/>
    <s v="Non Family Hourly Rates"/>
    <s v="Profit Cost"/>
    <s v="NARINDER MOSS"/>
    <s v="Y"/>
    <n v="2728.3"/>
    <n v="545.66"/>
    <x v="7"/>
    <s v="VALIDATED"/>
    <n v="1"/>
    <s v="01.11.80.208.6100.0000"/>
    <n v="2728.3"/>
    <s v="11"/>
    <s v="6100"/>
    <n v="2728.3"/>
    <n v="2728.3"/>
    <s v="CREDITOR"/>
    <n v="0"/>
    <n v="0"/>
    <n v="0"/>
    <n v="0"/>
    <n v="2728.3"/>
  </r>
  <r>
    <n v="9598147"/>
    <s v="N"/>
    <n v="21328031"/>
    <s v="3000005536710023"/>
    <s v="CIVIL"/>
    <d v="2023-06-29T00:00:00"/>
    <d v="2023-07-04T19:00:44"/>
    <m/>
    <d v="2023-07-04T00:00:00"/>
    <n v="147"/>
    <n v="14717"/>
    <s v="9598147"/>
    <s v="9598147"/>
    <m/>
    <m/>
    <n v="22784860"/>
    <m/>
    <m/>
    <m/>
    <s v="SOLFIN"/>
    <s v="SOLFIN"/>
    <s v="CCMS"/>
    <n v="21328031"/>
    <n v="45228.01"/>
    <m/>
    <s v="N"/>
    <n v="8"/>
    <d v="2023-07-04T19:01:02"/>
    <s v="Y"/>
    <s v="Advocates Meeting (Events Model)"/>
    <s v="VHCC"/>
    <s v="Profit Cost"/>
    <s v="Cara Sheridan"/>
    <s v="Y"/>
    <n v="6192"/>
    <n v="1238.4"/>
    <x v="1"/>
    <s v="VALIDATED"/>
    <n v="1"/>
    <s v="01.11.80.308.6100.0000"/>
    <n v="6192"/>
    <s v="11"/>
    <s v="6100"/>
    <n v="32081.43"/>
    <n v="6192"/>
    <s v="CREDITOR"/>
    <n v="0"/>
    <n v="0"/>
    <n v="0"/>
    <n v="0"/>
    <n v="6192"/>
  </r>
  <r>
    <n v="9598147"/>
    <s v="N"/>
    <n v="21328031"/>
    <s v="3000005536710023"/>
    <s v="CIVIL"/>
    <d v="2023-06-29T00:00:00"/>
    <d v="2023-07-04T19:00:44"/>
    <m/>
    <d v="2023-07-04T00:00:00"/>
    <n v="147"/>
    <n v="14717"/>
    <s v="9598147"/>
    <s v="9598147"/>
    <m/>
    <m/>
    <n v="22784860"/>
    <m/>
    <m/>
    <m/>
    <s v="SOLFIN"/>
    <s v="SOLFIN"/>
    <s v="CCMS"/>
    <n v="21328031"/>
    <n v="45228.01"/>
    <m/>
    <s v="N"/>
    <n v="6"/>
    <d v="2023-07-04T19:01:02"/>
    <s v="Y"/>
    <s v="Court Fee"/>
    <s v="VHCC"/>
    <s v="Non Expert Disbursement"/>
    <s v="Cara Sheridan"/>
    <s v="Y"/>
    <n v="155"/>
    <n v="0"/>
    <x v="1"/>
    <s v="VALIDATED"/>
    <n v="1"/>
    <s v="01.11.80.308.6300.0000"/>
    <n v="155"/>
    <s v="11"/>
    <s v="6300"/>
    <n v="32081.43"/>
    <n v="155"/>
    <s v="CREDITOR"/>
    <n v="0"/>
    <n v="0"/>
    <n v="0"/>
    <n v="0"/>
    <n v="155"/>
  </r>
  <r>
    <n v="9598147"/>
    <s v="N"/>
    <n v="21328031"/>
    <s v="3000005536710023"/>
    <s v="CIVIL"/>
    <d v="2023-06-29T00:00:00"/>
    <d v="2023-07-04T19:00:44"/>
    <m/>
    <d v="2023-07-04T00:00:00"/>
    <n v="147"/>
    <n v="14717"/>
    <s v="9598147"/>
    <s v="9598147"/>
    <m/>
    <m/>
    <n v="22784860"/>
    <m/>
    <m/>
    <m/>
    <s v="SOLFIN"/>
    <s v="SOLFIN"/>
    <s v="CCMS"/>
    <n v="21328031"/>
    <n v="45228.01"/>
    <m/>
    <s v="N"/>
    <n v="2"/>
    <d v="2023-07-04T19:01:02"/>
    <s v="Y"/>
    <s v="Psychologist"/>
    <s v="VHCC"/>
    <s v="Expert Disbursement"/>
    <s v="Cara Sheridan"/>
    <s v="Y"/>
    <n v="890.36"/>
    <n v="178.07"/>
    <x v="1"/>
    <s v="VALIDATED"/>
    <n v="1"/>
    <s v="01.11.80.308.6300.0000"/>
    <n v="890.36"/>
    <s v="11"/>
    <s v="6300"/>
    <n v="32081.43"/>
    <n v="890.36"/>
    <s v="CREDITOR"/>
    <n v="0"/>
    <n v="0"/>
    <n v="0"/>
    <n v="0"/>
    <n v="890.36"/>
  </r>
  <r>
    <n v="9598147"/>
    <s v="N"/>
    <n v="21328031"/>
    <s v="3000005536710023"/>
    <s v="CIVIL"/>
    <d v="2023-06-29T00:00:00"/>
    <d v="2023-07-04T19:00:44"/>
    <m/>
    <d v="2023-07-04T00:00:00"/>
    <n v="147"/>
    <n v="14717"/>
    <s v="9598147"/>
    <s v="9598147"/>
    <m/>
    <m/>
    <n v="22784860"/>
    <m/>
    <m/>
    <m/>
    <s v="SOLFIN"/>
    <s v="SOLFIN"/>
    <s v="CCMS"/>
    <n v="21328031"/>
    <n v="45228.01"/>
    <m/>
    <s v="N"/>
    <n v="10"/>
    <d v="2023-07-04T19:01:02"/>
    <s v="Y"/>
    <s v="Court Fee"/>
    <s v="VHCC"/>
    <s v="Non Expert Disbursement"/>
    <s v="Cara Sheridan"/>
    <s v="Y"/>
    <n v="155"/>
    <n v="0"/>
    <x v="1"/>
    <s v="VALIDATED"/>
    <n v="1"/>
    <s v="01.11.80.308.6300.0000"/>
    <n v="155"/>
    <s v="11"/>
    <s v="6300"/>
    <n v="32081.43"/>
    <n v="155"/>
    <s v="CREDITOR"/>
    <n v="0"/>
    <n v="0"/>
    <n v="0"/>
    <n v="0"/>
    <n v="155"/>
  </r>
  <r>
    <n v="9598147"/>
    <s v="N"/>
    <n v="21328031"/>
    <s v="3000005536710023"/>
    <s v="CIVIL"/>
    <d v="2023-06-29T00:00:00"/>
    <d v="2023-07-04T19:00:44"/>
    <m/>
    <d v="2023-07-04T00:00:00"/>
    <n v="147"/>
    <n v="14717"/>
    <s v="9598147"/>
    <s v="9598147"/>
    <m/>
    <m/>
    <n v="22784860"/>
    <m/>
    <m/>
    <m/>
    <s v="SOLFIN"/>
    <s v="SOLFIN"/>
    <s v="CCMS"/>
    <n v="21328031"/>
    <n v="45228.01"/>
    <m/>
    <s v="N"/>
    <n v="12"/>
    <d v="2023-07-04T19:01:02"/>
    <s v="Y"/>
    <s v="Final Hearing (Events Model)"/>
    <s v="VHCC"/>
    <s v="Profit Cost"/>
    <s v="Cara Sheridan"/>
    <s v="Y"/>
    <n v="6192"/>
    <n v="1238.4"/>
    <x v="1"/>
    <s v="VALIDATED"/>
    <n v="1"/>
    <s v="01.11.80.308.6100.0000"/>
    <n v="6192"/>
    <s v="11"/>
    <s v="6100"/>
    <n v="32081.43"/>
    <n v="6192"/>
    <s v="CREDITOR"/>
    <n v="0"/>
    <n v="0"/>
    <n v="0"/>
    <n v="0"/>
    <n v="6192"/>
  </r>
  <r>
    <n v="9598147"/>
    <s v="N"/>
    <n v="21328031"/>
    <s v="3000005536710023"/>
    <s v="CIVIL"/>
    <d v="2023-06-29T00:00:00"/>
    <d v="2023-07-04T19:00:44"/>
    <m/>
    <d v="2023-07-04T00:00:00"/>
    <n v="147"/>
    <n v="14717"/>
    <s v="9598147"/>
    <s v="9598147"/>
    <m/>
    <m/>
    <n v="22784860"/>
    <m/>
    <m/>
    <m/>
    <s v="SOLFIN"/>
    <s v="SOLFIN"/>
    <s v="CCMS"/>
    <n v="21328031"/>
    <n v="45228.01"/>
    <m/>
    <s v="N"/>
    <n v="16"/>
    <d v="2023-07-04T19:01:02"/>
    <s v="Y"/>
    <s v="Interim/Directions/Review Hearing ("/>
    <s v="VHCC"/>
    <s v="Profit Cost"/>
    <s v="Cara Sheridan"/>
    <s v="Y"/>
    <n v="20124"/>
    <n v="4024.8"/>
    <x v="1"/>
    <s v="VALIDATED"/>
    <n v="1"/>
    <s v="01.11.80.308.6100.0000"/>
    <n v="20124"/>
    <s v="11"/>
    <s v="6100"/>
    <n v="32081.43"/>
    <n v="20124"/>
    <s v="CREDITOR"/>
    <n v="0"/>
    <n v="0"/>
    <n v="0"/>
    <n v="0"/>
    <n v="20124"/>
  </r>
  <r>
    <n v="9598147"/>
    <s v="N"/>
    <n v="21328031"/>
    <s v="3000005536710023"/>
    <s v="CIVIL"/>
    <d v="2023-06-29T00:00:00"/>
    <d v="2023-07-04T19:00:44"/>
    <m/>
    <d v="2023-07-04T00:00:00"/>
    <n v="147"/>
    <n v="14717"/>
    <s v="9598147"/>
    <s v="9598147"/>
    <m/>
    <m/>
    <n v="22784860"/>
    <m/>
    <m/>
    <m/>
    <s v="SOLFIN"/>
    <s v="SOLFIN"/>
    <s v="CCMS"/>
    <n v="21328031"/>
    <n v="45228.01"/>
    <m/>
    <s v="N"/>
    <n v="13"/>
    <d v="2023-07-04T19:01:02"/>
    <s v="Y"/>
    <s v="Psychologist"/>
    <s v="VHCC"/>
    <s v="Expert Disbursement"/>
    <s v="Cara Sheridan"/>
    <s v="Y"/>
    <n v="126"/>
    <n v="25.2"/>
    <x v="1"/>
    <s v="VALIDATED"/>
    <n v="1"/>
    <s v="01.11.80.308.6300.0000"/>
    <n v="126"/>
    <s v="11"/>
    <s v="6300"/>
    <n v="32081.43"/>
    <n v="126"/>
    <s v="CREDITOR"/>
    <n v="0"/>
    <n v="0"/>
    <n v="0"/>
    <n v="0"/>
    <n v="126"/>
  </r>
  <r>
    <n v="9598147"/>
    <s v="N"/>
    <n v="21328031"/>
    <s v="3000005536710023"/>
    <s v="CIVIL"/>
    <d v="2023-06-29T00:00:00"/>
    <d v="2023-07-04T19:00:44"/>
    <m/>
    <d v="2023-07-04T00:00:00"/>
    <n v="147"/>
    <n v="14717"/>
    <s v="9598147"/>
    <s v="9598147"/>
    <m/>
    <m/>
    <n v="22784860"/>
    <m/>
    <m/>
    <m/>
    <s v="SOLFIN"/>
    <s v="SOLFIN"/>
    <s v="CCMS"/>
    <n v="21328031"/>
    <n v="45228.01"/>
    <m/>
    <s v="N"/>
    <n v="11"/>
    <d v="2023-07-04T19:01:02"/>
    <s v="Y"/>
    <s v="Psychologist"/>
    <s v="VHCC"/>
    <s v="Expert Disbursement"/>
    <s v="Cara Sheridan"/>
    <s v="Y"/>
    <n v="539.98"/>
    <n v="108"/>
    <x v="1"/>
    <s v="VALIDATED"/>
    <n v="1"/>
    <s v="01.11.80.308.6300.0000"/>
    <n v="539.98"/>
    <s v="11"/>
    <s v="6300"/>
    <n v="32081.43"/>
    <n v="539.98"/>
    <s v="CREDITOR"/>
    <n v="0"/>
    <n v="0"/>
    <n v="0"/>
    <n v="0"/>
    <n v="539.98"/>
  </r>
  <r>
    <n v="9598147"/>
    <s v="N"/>
    <n v="21328031"/>
    <s v="3000005536710023"/>
    <s v="CIVIL"/>
    <d v="2023-06-29T00:00:00"/>
    <d v="2023-07-04T19:00:44"/>
    <m/>
    <d v="2023-07-04T00:00:00"/>
    <n v="147"/>
    <n v="14717"/>
    <s v="9598147"/>
    <s v="9598147"/>
    <m/>
    <m/>
    <n v="22784860"/>
    <m/>
    <m/>
    <m/>
    <s v="SOLFIN"/>
    <s v="SOLFIN"/>
    <s v="CCMS"/>
    <n v="21328031"/>
    <n v="45228.01"/>
    <m/>
    <s v="N"/>
    <n v="15"/>
    <d v="2023-07-04T19:01:02"/>
    <s v="Y"/>
    <s v="Psychologist"/>
    <s v="VHCC"/>
    <s v="Expert Disbursement"/>
    <s v="Cara Sheridan"/>
    <s v="Y"/>
    <n v="151.2"/>
    <n v="30.24"/>
    <x v="1"/>
    <s v="VALIDATED"/>
    <n v="1"/>
    <s v="01.11.80.308.6300.0000"/>
    <n v="151.2"/>
    <s v="11"/>
    <s v="6300"/>
    <n v="32081.43"/>
    <n v="151.2"/>
    <s v="CREDITOR"/>
    <n v="0"/>
    <n v="0"/>
    <n v="0"/>
    <n v="0"/>
    <n v="151.2"/>
  </r>
  <r>
    <n v="9598147"/>
    <s v="N"/>
    <n v="21328031"/>
    <s v="3000005536710023"/>
    <s v="CIVIL"/>
    <d v="2023-06-29T00:00:00"/>
    <d v="2023-07-04T19:00:44"/>
    <m/>
    <d v="2023-07-04T00:00:00"/>
    <n v="147"/>
    <n v="14717"/>
    <s v="9598147"/>
    <s v="9598147"/>
    <m/>
    <m/>
    <n v="22784860"/>
    <m/>
    <m/>
    <m/>
    <s v="SOLFIN"/>
    <s v="SOLFIN"/>
    <s v="CCMS"/>
    <n v="21328031"/>
    <n v="45228.01"/>
    <m/>
    <s v="N"/>
    <n v="3"/>
    <d v="2023-07-04T19:01:02"/>
    <s v="Y"/>
    <s v="Court Fee"/>
    <s v="VHCC"/>
    <s v="Non Expert Disbursement"/>
    <s v="Cara Sheridan"/>
    <s v="Y"/>
    <n v="215"/>
    <n v="0"/>
    <x v="1"/>
    <s v="VALIDATED"/>
    <n v="1"/>
    <s v="01.11.80.308.6300.0000"/>
    <n v="215"/>
    <s v="11"/>
    <s v="6300"/>
    <n v="32081.43"/>
    <n v="215"/>
    <s v="CREDITOR"/>
    <n v="0"/>
    <n v="0"/>
    <n v="0"/>
    <n v="0"/>
    <n v="215"/>
  </r>
  <r>
    <n v="9598147"/>
    <s v="N"/>
    <n v="21328031"/>
    <s v="3000005536710023"/>
    <s v="CIVIL"/>
    <d v="2023-06-29T00:00:00"/>
    <d v="2023-07-04T19:00:44"/>
    <m/>
    <d v="2023-07-04T00:00:00"/>
    <n v="147"/>
    <n v="14717"/>
    <s v="9598147"/>
    <s v="9598147"/>
    <m/>
    <m/>
    <n v="22784860"/>
    <m/>
    <m/>
    <m/>
    <s v="SOLFIN"/>
    <s v="SOLFIN"/>
    <s v="CCMS"/>
    <n v="21328031"/>
    <n v="45228.01"/>
    <m/>
    <s v="N"/>
    <n v="9"/>
    <d v="2023-07-04T19:01:02"/>
    <s v="Y"/>
    <s v="Toxicologist"/>
    <s v="VHCC"/>
    <s v="Expert Disbursement"/>
    <s v="Cara Sheridan"/>
    <s v="Y"/>
    <n v="27.5"/>
    <n v="5.5"/>
    <x v="1"/>
    <s v="VALIDATED"/>
    <n v="1"/>
    <s v="01.11.80.308.6300.0000"/>
    <n v="27.5"/>
    <s v="11"/>
    <s v="6300"/>
    <n v="32081.43"/>
    <n v="27.5"/>
    <s v="CREDITOR"/>
    <n v="0"/>
    <n v="0"/>
    <n v="0"/>
    <n v="0"/>
    <n v="27.5"/>
  </r>
  <r>
    <n v="9598147"/>
    <s v="N"/>
    <n v="21328031"/>
    <s v="3000005536710023"/>
    <s v="CIVIL"/>
    <d v="2023-06-29T00:00:00"/>
    <d v="2023-07-04T19:00:44"/>
    <m/>
    <d v="2023-07-04T00:00:00"/>
    <n v="147"/>
    <n v="14717"/>
    <s v="9598147"/>
    <s v="9598147"/>
    <m/>
    <m/>
    <n v="22784860"/>
    <m/>
    <m/>
    <m/>
    <s v="SOLFIN"/>
    <s v="SOLFIN"/>
    <s v="CCMS"/>
    <n v="21328031"/>
    <n v="45228.01"/>
    <m/>
    <s v="N"/>
    <n v="5"/>
    <d v="2023-07-04T19:01:02"/>
    <s v="Y"/>
    <s v="Court Fee"/>
    <s v="VHCC"/>
    <s v="Non Expert Disbursement"/>
    <s v="Cara Sheridan"/>
    <s v="Y"/>
    <n v="155"/>
    <n v="0"/>
    <x v="1"/>
    <s v="VALIDATED"/>
    <n v="1"/>
    <s v="01.11.80.308.6300.0000"/>
    <n v="155"/>
    <s v="11"/>
    <s v="6300"/>
    <n v="32081.43"/>
    <n v="155"/>
    <s v="CREDITOR"/>
    <n v="0"/>
    <n v="0"/>
    <n v="0"/>
    <n v="0"/>
    <n v="155"/>
  </r>
  <r>
    <n v="9598147"/>
    <s v="N"/>
    <n v="21328031"/>
    <s v="3000005536710023"/>
    <s v="CIVIL"/>
    <d v="2023-06-29T00:00:00"/>
    <d v="2023-07-04T19:00:44"/>
    <m/>
    <d v="2023-07-04T00:00:00"/>
    <n v="147"/>
    <n v="14717"/>
    <s v="9598147"/>
    <s v="9598147"/>
    <m/>
    <m/>
    <n v="22784860"/>
    <m/>
    <m/>
    <m/>
    <s v="SOLFIN"/>
    <s v="SOLFIN"/>
    <s v="CCMS"/>
    <n v="21328031"/>
    <n v="45228.01"/>
    <m/>
    <s v="N"/>
    <n v="7"/>
    <d v="2023-07-04T19:01:02"/>
    <s v="Y"/>
    <s v="Court Fee"/>
    <s v="VHCC"/>
    <s v="Non Expert Disbursement"/>
    <s v="Cara Sheridan"/>
    <s v="Y"/>
    <n v="155"/>
    <n v="0"/>
    <x v="1"/>
    <s v="VALIDATED"/>
    <n v="1"/>
    <s v="01.11.80.308.6300.0000"/>
    <n v="155"/>
    <s v="11"/>
    <s v="6300"/>
    <n v="32081.43"/>
    <n v="155"/>
    <s v="CREDITOR"/>
    <n v="0"/>
    <n v="0"/>
    <n v="0"/>
    <n v="0"/>
    <n v="155"/>
  </r>
  <r>
    <n v="9598147"/>
    <s v="N"/>
    <n v="21328031"/>
    <s v="3000005536710023"/>
    <s v="CIVIL"/>
    <d v="2023-06-29T00:00:00"/>
    <d v="2023-07-04T19:00:44"/>
    <m/>
    <d v="2023-07-04T00:00:00"/>
    <n v="147"/>
    <n v="14717"/>
    <s v="9598147"/>
    <s v="9598147"/>
    <m/>
    <m/>
    <n v="22784860"/>
    <m/>
    <m/>
    <m/>
    <s v="SOLFIN"/>
    <s v="SOLFIN"/>
    <s v="CCMS"/>
    <n v="21328031"/>
    <n v="45228.01"/>
    <m/>
    <s v="N"/>
    <n v="4"/>
    <d v="2023-07-04T19:01:02"/>
    <s v="Y"/>
    <s v="Client Travel Expenses"/>
    <s v="VHCC"/>
    <s v="Non Expert Disbursement"/>
    <s v="Cara Sheridan"/>
    <s v="Y"/>
    <n v="37.6"/>
    <n v="0"/>
    <x v="1"/>
    <s v="VALIDATED"/>
    <n v="1"/>
    <s v="01.11.80.308.6300.0000"/>
    <n v="37.6"/>
    <s v="11"/>
    <s v="6300"/>
    <n v="32081.43"/>
    <n v="37.6"/>
    <s v="CREDITOR"/>
    <n v="0"/>
    <n v="0"/>
    <n v="0"/>
    <n v="0"/>
    <n v="37.6"/>
  </r>
  <r>
    <n v="9598147"/>
    <s v="N"/>
    <n v="21328031"/>
    <s v="3000005536710023"/>
    <s v="CIVIL"/>
    <d v="2023-06-29T00:00:00"/>
    <d v="2023-07-04T19:00:44"/>
    <m/>
    <d v="2023-07-04T00:00:00"/>
    <n v="147"/>
    <n v="14717"/>
    <s v="9598147"/>
    <s v="9598147"/>
    <m/>
    <m/>
    <n v="22784860"/>
    <m/>
    <m/>
    <m/>
    <s v="SOLFIN"/>
    <s v="SOLFIN"/>
    <s v="CCMS"/>
    <n v="21328031"/>
    <n v="45228.01"/>
    <m/>
    <s v="N"/>
    <n v="17"/>
    <d v="2023-07-04T19:01:02"/>
    <s v="Y"/>
    <s v="Psychologist"/>
    <s v="VHCC"/>
    <s v="Expert Disbursement"/>
    <s v="Cara Sheridan"/>
    <s v="Y"/>
    <n v="210.6"/>
    <n v="42.12"/>
    <x v="1"/>
    <s v="VALIDATED"/>
    <n v="1"/>
    <s v="01.11.80.308.6300.0000"/>
    <n v="210.6"/>
    <s v="11"/>
    <s v="6300"/>
    <n v="32081.43"/>
    <n v="210.6"/>
    <s v="CREDITOR"/>
    <n v="0"/>
    <n v="0"/>
    <n v="0"/>
    <n v="0"/>
    <n v="210.6"/>
  </r>
  <r>
    <n v="9598147"/>
    <s v="N"/>
    <n v="21328031"/>
    <s v="3000005536710023"/>
    <s v="CIVIL"/>
    <d v="2023-06-29T00:00:00"/>
    <d v="2023-07-04T19:00:44"/>
    <m/>
    <d v="2023-07-04T00:00:00"/>
    <n v="147"/>
    <n v="14717"/>
    <s v="9598147"/>
    <s v="9598147"/>
    <m/>
    <m/>
    <n v="22784860"/>
    <m/>
    <m/>
    <m/>
    <s v="SOLFIN"/>
    <s v="SOLFIN"/>
    <s v="CCMS"/>
    <n v="21328031"/>
    <n v="45228.01"/>
    <m/>
    <s v="N"/>
    <n v="1"/>
    <d v="2023-07-04T19:01:02"/>
    <s v="Y"/>
    <s v="Psychologist"/>
    <s v="VHCC"/>
    <s v="Expert Disbursement"/>
    <s v="Cara Sheridan"/>
    <s v="Y"/>
    <n v="187.2"/>
    <n v="37.44"/>
    <x v="1"/>
    <s v="VALIDATED"/>
    <n v="1"/>
    <s v="01.11.80.308.6300.0000"/>
    <n v="187.2"/>
    <s v="11"/>
    <s v="6300"/>
    <n v="32081.43"/>
    <n v="187.2"/>
    <s v="CREDITOR"/>
    <n v="0"/>
    <n v="0"/>
    <n v="0"/>
    <n v="0"/>
    <n v="187.2"/>
  </r>
  <r>
    <n v="9598147"/>
    <s v="N"/>
    <n v="21328031"/>
    <s v="3000005536710023"/>
    <s v="CIVIL"/>
    <d v="2023-06-29T00:00:00"/>
    <d v="2023-07-04T19:00:44"/>
    <m/>
    <d v="2023-07-04T00:00:00"/>
    <n v="147"/>
    <n v="14717"/>
    <s v="9598147"/>
    <s v="9598147"/>
    <m/>
    <m/>
    <n v="22784860"/>
    <m/>
    <m/>
    <m/>
    <s v="SOLFIN"/>
    <s v="SOLFIN"/>
    <s v="CCMS"/>
    <n v="21328031"/>
    <n v="45228.01"/>
    <m/>
    <s v="N"/>
    <n v="14"/>
    <d v="2023-07-04T19:01:02"/>
    <s v="Y"/>
    <s v="Issues Resolution Hearing (Events M"/>
    <s v="VHCC"/>
    <s v="Profit Cost"/>
    <s v="Cara Sheridan"/>
    <s v="Y"/>
    <n v="2322"/>
    <n v="464.4"/>
    <x v="1"/>
    <s v="VALIDATED"/>
    <n v="1"/>
    <s v="01.11.80.308.6100.0000"/>
    <n v="2322"/>
    <s v="11"/>
    <s v="6100"/>
    <n v="32081.43"/>
    <n v="2322"/>
    <s v="CREDITOR"/>
    <n v="0"/>
    <n v="0"/>
    <n v="0"/>
    <n v="0"/>
    <n v="2322"/>
  </r>
  <r>
    <n v="9598147"/>
    <s v="N"/>
    <n v="21328569"/>
    <s v="3000005536710010RC"/>
    <s v="CIVIL"/>
    <d v="2023-06-28T00:00:00"/>
    <d v="2023-07-04T19:38:21"/>
    <m/>
    <d v="2023-07-04T00:00:00"/>
    <n v="147"/>
    <n v="14717"/>
    <s v="9598147"/>
    <s v="9598147"/>
    <m/>
    <m/>
    <m/>
    <m/>
    <m/>
    <m/>
    <s v="SOLRECOUP"/>
    <s v="SOLRECOUP"/>
    <s v="POARECOUP"/>
    <n v="21328569"/>
    <n v="-33"/>
    <m/>
    <s v="Y"/>
    <n v="2"/>
    <d v="2023-07-04T19:38:22"/>
    <s v="N"/>
    <m/>
    <m/>
    <s v="Expert Disbursement"/>
    <m/>
    <s v="N"/>
    <n v="0"/>
    <n v="-5.5"/>
    <x v="1"/>
    <s v="VALIDATED"/>
    <n v="1"/>
    <s v="01.11.80.308.2013.0000"/>
    <n v="-5.5"/>
    <s v="11"/>
    <s v="2013"/>
    <n v="32081.43"/>
    <n v="-5.5"/>
    <s v="CREDITOR"/>
    <n v="0"/>
    <n v="0"/>
    <n v="-5.5"/>
    <n v="0"/>
    <n v="0"/>
  </r>
  <r>
    <n v="9598147"/>
    <s v="N"/>
    <n v="21328569"/>
    <s v="3000005536710010RC"/>
    <s v="CIVIL"/>
    <d v="2023-06-28T00:00:00"/>
    <d v="2023-07-04T19:38:21"/>
    <m/>
    <d v="2023-07-04T00:00:00"/>
    <n v="147"/>
    <n v="14717"/>
    <s v="9598147"/>
    <s v="9598147"/>
    <m/>
    <m/>
    <m/>
    <m/>
    <m/>
    <m/>
    <s v="SOLRECOUP"/>
    <s v="SOLRECOUP"/>
    <s v="POARECOUP"/>
    <n v="21328569"/>
    <n v="-33"/>
    <m/>
    <s v="Y"/>
    <n v="1"/>
    <d v="2023-07-04T19:38:22"/>
    <s v="N"/>
    <m/>
    <m/>
    <s v="Expert Disbursement"/>
    <m/>
    <s v="N"/>
    <n v="-27.5"/>
    <n v="0"/>
    <x v="1"/>
    <s v="VALIDATED"/>
    <n v="1"/>
    <s v="01.11.80.308.2013.0000"/>
    <n v="-27.5"/>
    <s v="11"/>
    <s v="2013"/>
    <n v="32081.43"/>
    <n v="-27.5"/>
    <s v="CREDITOR"/>
    <n v="0"/>
    <n v="0"/>
    <n v="-27.5"/>
    <n v="0"/>
    <n v="0"/>
  </r>
  <r>
    <n v="9598147"/>
    <s v="N"/>
    <n v="21328570"/>
    <s v="3000005536710008RC"/>
    <s v="CIVIL"/>
    <d v="2023-06-28T00:00:00"/>
    <d v="2023-07-04T19:38:21"/>
    <m/>
    <d v="2023-07-04T00:00:00"/>
    <n v="147"/>
    <n v="14717"/>
    <s v="9598147"/>
    <s v="9598147"/>
    <m/>
    <m/>
    <m/>
    <m/>
    <m/>
    <m/>
    <s v="SOLRECOUP"/>
    <s v="SOLRECOUP"/>
    <s v="POARECOUP"/>
    <n v="21328570"/>
    <n v="-647.98"/>
    <m/>
    <s v="Y"/>
    <n v="2"/>
    <d v="2023-07-04T19:38:22"/>
    <s v="N"/>
    <m/>
    <m/>
    <s v="Expert Disbursement"/>
    <m/>
    <s v="N"/>
    <n v="0"/>
    <n v="-108"/>
    <x v="1"/>
    <s v="VALIDATED"/>
    <n v="1"/>
    <s v="01.11.80.308.2013.0000"/>
    <n v="-108"/>
    <s v="11"/>
    <s v="2013"/>
    <n v="32081.43"/>
    <n v="-108"/>
    <s v="CREDITOR"/>
    <n v="0"/>
    <n v="0"/>
    <n v="-108"/>
    <n v="0"/>
    <n v="0"/>
  </r>
  <r>
    <n v="9598147"/>
    <s v="N"/>
    <n v="21328570"/>
    <s v="3000005536710008RC"/>
    <s v="CIVIL"/>
    <d v="2023-06-28T00:00:00"/>
    <d v="2023-07-04T19:38:21"/>
    <m/>
    <d v="2023-07-04T00:00:00"/>
    <n v="147"/>
    <n v="14717"/>
    <s v="9598147"/>
    <s v="9598147"/>
    <m/>
    <m/>
    <m/>
    <m/>
    <m/>
    <m/>
    <s v="SOLRECOUP"/>
    <s v="SOLRECOUP"/>
    <s v="POARECOUP"/>
    <n v="21328570"/>
    <n v="-647.98"/>
    <m/>
    <s v="Y"/>
    <n v="1"/>
    <d v="2023-07-04T19:38:22"/>
    <s v="N"/>
    <m/>
    <m/>
    <s v="Expert Disbursement"/>
    <m/>
    <s v="N"/>
    <n v="-539.98"/>
    <n v="0"/>
    <x v="1"/>
    <s v="VALIDATED"/>
    <n v="1"/>
    <s v="01.11.80.308.2013.0000"/>
    <n v="-539.98"/>
    <s v="11"/>
    <s v="2013"/>
    <n v="32081.43"/>
    <n v="-539.98"/>
    <s v="CREDITOR"/>
    <n v="0"/>
    <n v="0"/>
    <n v="-539.98"/>
    <n v="0"/>
    <n v="0"/>
  </r>
  <r>
    <n v="9598147"/>
    <s v="N"/>
    <n v="21328571"/>
    <s v="3000005536710009RC"/>
    <s v="CIVIL"/>
    <d v="2023-06-28T00:00:00"/>
    <d v="2023-07-04T19:38:21"/>
    <m/>
    <d v="2023-07-04T00:00:00"/>
    <n v="147"/>
    <n v="14717"/>
    <s v="9598147"/>
    <s v="9598147"/>
    <m/>
    <m/>
    <m/>
    <m/>
    <m/>
    <m/>
    <s v="SOLRECOUP"/>
    <s v="SOLRECOUP"/>
    <s v="POARECOUP"/>
    <n v="21328571"/>
    <n v="-2537"/>
    <m/>
    <s v="Y"/>
    <n v="2"/>
    <d v="2023-07-04T19:38:22"/>
    <s v="N"/>
    <m/>
    <m/>
    <s v="Profit Cost"/>
    <m/>
    <s v="N"/>
    <n v="0"/>
    <n v="-422.83"/>
    <x v="1"/>
    <s v="VALIDATED"/>
    <n v="1"/>
    <s v="01.11.80.308.2013.0000"/>
    <n v="-422.83"/>
    <s v="11"/>
    <s v="2013"/>
    <n v="32081.43"/>
    <n v="-422.83"/>
    <s v="CREDITOR"/>
    <n v="0"/>
    <n v="0"/>
    <n v="-422.83"/>
    <n v="-105.7075"/>
    <n v="0"/>
  </r>
  <r>
    <n v="9598147"/>
    <s v="N"/>
    <n v="21328571"/>
    <s v="3000005536710009RC"/>
    <s v="CIVIL"/>
    <d v="2023-06-28T00:00:00"/>
    <d v="2023-07-04T19:38:21"/>
    <m/>
    <d v="2023-07-04T00:00:00"/>
    <n v="147"/>
    <n v="14717"/>
    <s v="9598147"/>
    <s v="9598147"/>
    <m/>
    <m/>
    <m/>
    <m/>
    <m/>
    <m/>
    <s v="SOLRECOUP"/>
    <s v="SOLRECOUP"/>
    <s v="POARECOUP"/>
    <n v="21328571"/>
    <n v="-2537"/>
    <m/>
    <s v="Y"/>
    <n v="1"/>
    <d v="2023-07-04T19:38:22"/>
    <s v="N"/>
    <m/>
    <m/>
    <s v="Profit Cost"/>
    <m/>
    <s v="N"/>
    <n v="-2114.17"/>
    <n v="0"/>
    <x v="1"/>
    <s v="VALIDATED"/>
    <n v="1"/>
    <s v="01.11.80.308.2013.0000"/>
    <n v="-2114.17"/>
    <s v="11"/>
    <s v="2013"/>
    <n v="32081.43"/>
    <n v="-2114.17"/>
    <s v="CREDITOR"/>
    <n v="0"/>
    <n v="0"/>
    <n v="-2114.17"/>
    <n v="-528.5425"/>
    <n v="0"/>
  </r>
  <r>
    <n v="9598147"/>
    <s v="N"/>
    <n v="21328572"/>
    <s v="3000005536710012RC"/>
    <s v="CIVIL"/>
    <d v="2023-06-28T00:00:00"/>
    <d v="2023-07-04T19:38:21"/>
    <m/>
    <d v="2023-07-04T00:00:00"/>
    <n v="147"/>
    <n v="14717"/>
    <s v="9598147"/>
    <s v="9598147"/>
    <m/>
    <m/>
    <m/>
    <m/>
    <m/>
    <m/>
    <s v="SOLRECOUP"/>
    <s v="SOLRECOUP"/>
    <s v="POARECOUP"/>
    <n v="21328572"/>
    <n v="-155"/>
    <m/>
    <s v="Y"/>
    <n v="1"/>
    <d v="2023-07-04T19:38:22"/>
    <s v="N"/>
    <m/>
    <m/>
    <s v="Non Expert Disbursement"/>
    <m/>
    <s v="N"/>
    <n v="-155"/>
    <n v="0"/>
    <x v="1"/>
    <s v="VALIDATED"/>
    <n v="1"/>
    <s v="01.11.80.308.2013.0000"/>
    <n v="-155"/>
    <s v="11"/>
    <s v="2013"/>
    <n v="32081.43"/>
    <n v="-155"/>
    <s v="CREDITOR"/>
    <n v="0"/>
    <n v="0"/>
    <n v="-155"/>
    <n v="0"/>
    <n v="0"/>
  </r>
  <r>
    <n v="9598147"/>
    <s v="N"/>
    <n v="21328572"/>
    <s v="3000005536710012RC"/>
    <s v="CIVIL"/>
    <d v="2023-06-28T00:00:00"/>
    <d v="2023-07-04T19:38:21"/>
    <m/>
    <d v="2023-07-04T00:00:00"/>
    <n v="147"/>
    <n v="14717"/>
    <s v="9598147"/>
    <s v="9598147"/>
    <m/>
    <m/>
    <m/>
    <m/>
    <m/>
    <m/>
    <s v="SOLRECOUP"/>
    <s v="SOLRECOUP"/>
    <s v="POARECOUP"/>
    <n v="21328572"/>
    <n v="-155"/>
    <m/>
    <s v="Y"/>
    <n v="2"/>
    <d v="2023-07-04T19:38:22"/>
    <s v="N"/>
    <m/>
    <m/>
    <s v="Non Expert Disbursement"/>
    <m/>
    <s v="N"/>
    <n v="0"/>
    <n v="0"/>
    <x v="1"/>
    <s v="VALIDATED"/>
    <n v="1"/>
    <s v="01.11.80.000.0000.0000"/>
    <n v="0"/>
    <s v="11"/>
    <s v="0000"/>
    <n v="32081.43"/>
    <n v="0"/>
    <s v="CREDITOR"/>
    <n v="0"/>
    <n v="0"/>
    <n v="0"/>
    <n v="0"/>
    <n v="0"/>
  </r>
  <r>
    <n v="9598147"/>
    <s v="N"/>
    <n v="21328573"/>
    <s v="3000005536710014RC"/>
    <s v="CIVIL"/>
    <d v="2023-06-28T00:00:00"/>
    <d v="2023-07-04T19:38:21"/>
    <m/>
    <d v="2023-07-04T00:00:00"/>
    <n v="147"/>
    <n v="14717"/>
    <s v="9598147"/>
    <s v="9598147"/>
    <m/>
    <m/>
    <m/>
    <m/>
    <m/>
    <m/>
    <s v="SOLRECOUP"/>
    <s v="SOLRECOUP"/>
    <s v="POARECOUP"/>
    <n v="21328573"/>
    <n v="-155"/>
    <m/>
    <s v="Y"/>
    <n v="2"/>
    <d v="2023-07-04T19:38:22"/>
    <s v="N"/>
    <m/>
    <m/>
    <s v="Non Expert Disbursement"/>
    <m/>
    <s v="N"/>
    <n v="0"/>
    <n v="0"/>
    <x v="1"/>
    <s v="VALIDATED"/>
    <n v="1"/>
    <s v="01.11.80.000.0000.0000"/>
    <n v="0"/>
    <s v="11"/>
    <s v="0000"/>
    <n v="32081.43"/>
    <n v="0"/>
    <s v="CREDITOR"/>
    <n v="0"/>
    <n v="0"/>
    <n v="0"/>
    <n v="0"/>
    <n v="0"/>
  </r>
  <r>
    <n v="9598147"/>
    <s v="N"/>
    <n v="21328573"/>
    <s v="3000005536710014RC"/>
    <s v="CIVIL"/>
    <d v="2023-06-28T00:00:00"/>
    <d v="2023-07-04T19:38:21"/>
    <m/>
    <d v="2023-07-04T00:00:00"/>
    <n v="147"/>
    <n v="14717"/>
    <s v="9598147"/>
    <s v="9598147"/>
    <m/>
    <m/>
    <m/>
    <m/>
    <m/>
    <m/>
    <s v="SOLRECOUP"/>
    <s v="SOLRECOUP"/>
    <s v="POARECOUP"/>
    <n v="21328573"/>
    <n v="-155"/>
    <m/>
    <s v="Y"/>
    <n v="1"/>
    <d v="2023-07-04T19:38:22"/>
    <s v="N"/>
    <m/>
    <m/>
    <s v="Non Expert Disbursement"/>
    <m/>
    <s v="N"/>
    <n v="-155"/>
    <n v="0"/>
    <x v="1"/>
    <s v="VALIDATED"/>
    <n v="1"/>
    <s v="01.11.80.308.2013.0000"/>
    <n v="-155"/>
    <s v="11"/>
    <s v="2013"/>
    <n v="32081.43"/>
    <n v="-155"/>
    <s v="CREDITOR"/>
    <n v="0"/>
    <n v="0"/>
    <n v="-155"/>
    <n v="0"/>
    <n v="0"/>
  </r>
  <r>
    <n v="9598147"/>
    <s v="N"/>
    <n v="21328574"/>
    <s v="3000005536710016RC"/>
    <s v="CIVIL"/>
    <d v="2023-06-28T00:00:00"/>
    <d v="2023-07-04T19:38:21"/>
    <m/>
    <d v="2023-07-04T00:00:00"/>
    <n v="147"/>
    <n v="14717"/>
    <s v="9598147"/>
    <s v="9598147"/>
    <m/>
    <m/>
    <m/>
    <m/>
    <m/>
    <m/>
    <s v="SOLRECOUP"/>
    <s v="SOLRECOUP"/>
    <s v="POARECOUP"/>
    <n v="21328574"/>
    <n v="-181.44"/>
    <m/>
    <s v="Y"/>
    <n v="2"/>
    <d v="2023-07-04T19:38:22"/>
    <s v="N"/>
    <m/>
    <m/>
    <s v="Expert Disbursement"/>
    <m/>
    <s v="N"/>
    <n v="0"/>
    <n v="-30.24"/>
    <x v="1"/>
    <s v="VALIDATED"/>
    <n v="1"/>
    <s v="01.11.80.308.2013.0000"/>
    <n v="-30.24"/>
    <s v="11"/>
    <s v="2013"/>
    <n v="32081.43"/>
    <n v="-30.24"/>
    <s v="CREDITOR"/>
    <n v="0"/>
    <n v="0"/>
    <n v="-30.24"/>
    <n v="0"/>
    <n v="0"/>
  </r>
  <r>
    <n v="9598147"/>
    <s v="N"/>
    <n v="21328574"/>
    <s v="3000005536710016RC"/>
    <s v="CIVIL"/>
    <d v="2023-06-28T00:00:00"/>
    <d v="2023-07-04T19:38:21"/>
    <m/>
    <d v="2023-07-04T00:00:00"/>
    <n v="147"/>
    <n v="14717"/>
    <s v="9598147"/>
    <s v="9598147"/>
    <m/>
    <m/>
    <m/>
    <m/>
    <m/>
    <m/>
    <s v="SOLRECOUP"/>
    <s v="SOLRECOUP"/>
    <s v="POARECOUP"/>
    <n v="21328574"/>
    <n v="-181.44"/>
    <m/>
    <s v="Y"/>
    <n v="1"/>
    <d v="2023-07-04T19:38:22"/>
    <s v="N"/>
    <m/>
    <m/>
    <s v="Expert Disbursement"/>
    <m/>
    <s v="N"/>
    <n v="-151.2"/>
    <n v="0"/>
    <x v="1"/>
    <s v="VALIDATED"/>
    <n v="1"/>
    <s v="01.11.80.308.2013.0000"/>
    <n v="-151.2"/>
    <s v="11"/>
    <s v="2013"/>
    <n v="32081.43"/>
    <n v="-151.2"/>
    <s v="CREDITOR"/>
    <n v="0"/>
    <n v="0"/>
    <n v="-151.2"/>
    <n v="0"/>
    <n v="0"/>
  </r>
  <r>
    <n v="9598147"/>
    <s v="N"/>
    <n v="21328575"/>
    <s v="3000005536710013RC"/>
    <s v="CIVIL"/>
    <d v="2023-06-28T00:00:00"/>
    <d v="2023-07-04T19:38:21"/>
    <m/>
    <d v="2023-07-04T00:00:00"/>
    <n v="147"/>
    <n v="14717"/>
    <s v="9598147"/>
    <s v="9598147"/>
    <m/>
    <m/>
    <m/>
    <m/>
    <m/>
    <m/>
    <s v="SOLRECOUP"/>
    <s v="SOLRECOUP"/>
    <s v="POARECOUP"/>
    <n v="21328575"/>
    <n v="-155"/>
    <m/>
    <s v="Y"/>
    <n v="2"/>
    <d v="2023-07-04T19:38:22"/>
    <s v="N"/>
    <m/>
    <m/>
    <s v="Non Expert Disbursement"/>
    <m/>
    <s v="N"/>
    <n v="0"/>
    <n v="0"/>
    <x v="1"/>
    <s v="VALIDATED"/>
    <n v="1"/>
    <s v="01.11.80.000.0000.0000"/>
    <n v="0"/>
    <s v="11"/>
    <s v="0000"/>
    <n v="32081.43"/>
    <n v="0"/>
    <s v="CREDITOR"/>
    <n v="0"/>
    <n v="0"/>
    <n v="0"/>
    <n v="0"/>
    <n v="0"/>
  </r>
  <r>
    <n v="9598147"/>
    <s v="N"/>
    <n v="21328575"/>
    <s v="3000005536710013RC"/>
    <s v="CIVIL"/>
    <d v="2023-06-28T00:00:00"/>
    <d v="2023-07-04T19:38:21"/>
    <m/>
    <d v="2023-07-04T00:00:00"/>
    <n v="147"/>
    <n v="14717"/>
    <s v="9598147"/>
    <s v="9598147"/>
    <m/>
    <m/>
    <m/>
    <m/>
    <m/>
    <m/>
    <s v="SOLRECOUP"/>
    <s v="SOLRECOUP"/>
    <s v="POARECOUP"/>
    <n v="21328575"/>
    <n v="-155"/>
    <m/>
    <s v="Y"/>
    <n v="1"/>
    <d v="2023-07-04T19:38:22"/>
    <s v="N"/>
    <m/>
    <m/>
    <s v="Non Expert Disbursement"/>
    <m/>
    <s v="N"/>
    <n v="-155"/>
    <n v="0"/>
    <x v="1"/>
    <s v="VALIDATED"/>
    <n v="1"/>
    <s v="01.11.80.308.2013.0000"/>
    <n v="-155"/>
    <s v="11"/>
    <s v="2013"/>
    <n v="32081.43"/>
    <n v="-155"/>
    <s v="CREDITOR"/>
    <n v="0"/>
    <n v="0"/>
    <n v="-155"/>
    <n v="0"/>
    <n v="0"/>
  </r>
  <r>
    <n v="9598147"/>
    <s v="N"/>
    <n v="21328576"/>
    <s v="3000005536710015RC"/>
    <s v="CIVIL"/>
    <d v="2023-06-28T00:00:00"/>
    <d v="2023-07-04T19:38:21"/>
    <m/>
    <d v="2023-07-04T00:00:00"/>
    <n v="147"/>
    <n v="14717"/>
    <s v="9598147"/>
    <s v="9598147"/>
    <m/>
    <m/>
    <m/>
    <m/>
    <m/>
    <m/>
    <s v="SOLRECOUP"/>
    <s v="SOLRECOUP"/>
    <s v="POARECOUP"/>
    <n v="21328576"/>
    <n v="-151.2"/>
    <m/>
    <s v="Y"/>
    <n v="2"/>
    <d v="2023-07-04T19:38:22"/>
    <s v="N"/>
    <m/>
    <m/>
    <s v="Expert Disbursement"/>
    <m/>
    <s v="N"/>
    <n v="0"/>
    <n v="-25.2"/>
    <x v="1"/>
    <s v="VALIDATED"/>
    <n v="1"/>
    <s v="01.11.80.308.2013.0000"/>
    <n v="-25.2"/>
    <s v="11"/>
    <s v="2013"/>
    <n v="32081.43"/>
    <n v="-25.2"/>
    <s v="CREDITOR"/>
    <n v="0"/>
    <n v="0"/>
    <n v="-25.2"/>
    <n v="0"/>
    <n v="0"/>
  </r>
  <r>
    <n v="9598147"/>
    <s v="N"/>
    <n v="21328576"/>
    <s v="3000005536710015RC"/>
    <s v="CIVIL"/>
    <d v="2023-06-28T00:00:00"/>
    <d v="2023-07-04T19:38:21"/>
    <m/>
    <d v="2023-07-04T00:00:00"/>
    <n v="147"/>
    <n v="14717"/>
    <s v="9598147"/>
    <s v="9598147"/>
    <m/>
    <m/>
    <m/>
    <m/>
    <m/>
    <m/>
    <s v="SOLRECOUP"/>
    <s v="SOLRECOUP"/>
    <s v="POARECOUP"/>
    <n v="21328576"/>
    <n v="-151.2"/>
    <m/>
    <s v="Y"/>
    <n v="1"/>
    <d v="2023-07-04T19:38:22"/>
    <s v="N"/>
    <m/>
    <m/>
    <s v="Expert Disbursement"/>
    <m/>
    <s v="N"/>
    <n v="-126"/>
    <n v="0"/>
    <x v="1"/>
    <s v="VALIDATED"/>
    <n v="1"/>
    <s v="01.11.80.308.2013.0000"/>
    <n v="-126"/>
    <s v="11"/>
    <s v="2013"/>
    <n v="32081.43"/>
    <n v="-126"/>
    <s v="CREDITOR"/>
    <n v="0"/>
    <n v="0"/>
    <n v="-126"/>
    <n v="0"/>
    <n v="0"/>
  </r>
  <r>
    <n v="9598147"/>
    <s v="N"/>
    <n v="21328577"/>
    <s v="3000005536710018RC"/>
    <s v="CIVIL"/>
    <d v="2023-06-28T00:00:00"/>
    <d v="2023-07-04T19:38:21"/>
    <m/>
    <d v="2023-07-04T00:00:00"/>
    <n v="147"/>
    <n v="14717"/>
    <s v="9598147"/>
    <s v="9598147"/>
    <m/>
    <m/>
    <m/>
    <m/>
    <m/>
    <m/>
    <s v="SOLRECOUP"/>
    <s v="SOLRECOUP"/>
    <s v="POARECOUP"/>
    <n v="21328577"/>
    <n v="-155"/>
    <m/>
    <s v="Y"/>
    <n v="1"/>
    <d v="2023-07-04T19:38:22"/>
    <s v="N"/>
    <m/>
    <m/>
    <s v="Non Expert Disbursement"/>
    <m/>
    <s v="N"/>
    <n v="-155"/>
    <n v="0"/>
    <x v="1"/>
    <s v="VALIDATED"/>
    <n v="1"/>
    <s v="01.11.80.308.2013.0000"/>
    <n v="-155"/>
    <s v="11"/>
    <s v="2013"/>
    <n v="32081.43"/>
    <n v="-155"/>
    <s v="CREDITOR"/>
    <n v="0"/>
    <n v="0"/>
    <n v="-155"/>
    <n v="0"/>
    <n v="0"/>
  </r>
  <r>
    <n v="9598147"/>
    <s v="N"/>
    <n v="21328577"/>
    <s v="3000005536710018RC"/>
    <s v="CIVIL"/>
    <d v="2023-06-28T00:00:00"/>
    <d v="2023-07-04T19:38:21"/>
    <m/>
    <d v="2023-07-04T00:00:00"/>
    <n v="147"/>
    <n v="14717"/>
    <s v="9598147"/>
    <s v="9598147"/>
    <m/>
    <m/>
    <m/>
    <m/>
    <m/>
    <m/>
    <s v="SOLRECOUP"/>
    <s v="SOLRECOUP"/>
    <s v="POARECOUP"/>
    <n v="21328577"/>
    <n v="-155"/>
    <m/>
    <s v="Y"/>
    <n v="2"/>
    <d v="2023-07-04T19:38:22"/>
    <s v="N"/>
    <m/>
    <m/>
    <s v="Non Expert Disbursement"/>
    <m/>
    <s v="N"/>
    <n v="0"/>
    <n v="0"/>
    <x v="1"/>
    <s v="VALIDATED"/>
    <n v="1"/>
    <s v="01.11.80.000.0000.0000"/>
    <n v="0"/>
    <s v="11"/>
    <s v="0000"/>
    <n v="32081.43"/>
    <n v="0"/>
    <s v="CREDITOR"/>
    <n v="0"/>
    <n v="0"/>
    <n v="0"/>
    <n v="0"/>
    <n v="0"/>
  </r>
  <r>
    <n v="9598147"/>
    <s v="N"/>
    <n v="21328578"/>
    <s v="3000005536710019RC"/>
    <s v="CIVIL"/>
    <d v="2023-06-28T00:00:00"/>
    <d v="2023-07-04T19:38:21"/>
    <m/>
    <d v="2023-07-04T00:00:00"/>
    <n v="147"/>
    <n v="14717"/>
    <s v="9598147"/>
    <s v="9598147"/>
    <m/>
    <m/>
    <m/>
    <m/>
    <m/>
    <m/>
    <s v="SOLRECOUP"/>
    <s v="SOLRECOUP"/>
    <s v="POARECOUP"/>
    <n v="21328578"/>
    <n v="-252.72"/>
    <m/>
    <s v="Y"/>
    <n v="1"/>
    <d v="2023-07-04T19:38:22"/>
    <s v="N"/>
    <m/>
    <m/>
    <s v="Expert Disbursement"/>
    <m/>
    <s v="N"/>
    <n v="-210.6"/>
    <n v="0"/>
    <x v="1"/>
    <s v="VALIDATED"/>
    <n v="1"/>
    <s v="01.11.80.308.2013.0000"/>
    <n v="-210.6"/>
    <s v="11"/>
    <s v="2013"/>
    <n v="32081.43"/>
    <n v="-210.6"/>
    <s v="CREDITOR"/>
    <n v="0"/>
    <n v="0"/>
    <n v="-210.6"/>
    <n v="0"/>
    <n v="0"/>
  </r>
  <r>
    <n v="9598147"/>
    <s v="N"/>
    <n v="21328578"/>
    <s v="3000005536710019RC"/>
    <s v="CIVIL"/>
    <d v="2023-06-28T00:00:00"/>
    <d v="2023-07-04T19:38:21"/>
    <m/>
    <d v="2023-07-04T00:00:00"/>
    <n v="147"/>
    <n v="14717"/>
    <s v="9598147"/>
    <s v="9598147"/>
    <m/>
    <m/>
    <m/>
    <m/>
    <m/>
    <m/>
    <s v="SOLRECOUP"/>
    <s v="SOLRECOUP"/>
    <s v="POARECOUP"/>
    <n v="21328578"/>
    <n v="-252.72"/>
    <m/>
    <s v="Y"/>
    <n v="2"/>
    <d v="2023-07-04T19:38:22"/>
    <s v="N"/>
    <m/>
    <m/>
    <s v="Expert Disbursement"/>
    <m/>
    <s v="N"/>
    <n v="0"/>
    <n v="-42.12"/>
    <x v="1"/>
    <s v="VALIDATED"/>
    <n v="1"/>
    <s v="01.11.80.308.2013.0000"/>
    <n v="-42.12"/>
    <s v="11"/>
    <s v="2013"/>
    <n v="32081.43"/>
    <n v="-42.12"/>
    <s v="CREDITOR"/>
    <n v="0"/>
    <n v="0"/>
    <n v="-42.12"/>
    <n v="0"/>
    <n v="0"/>
  </r>
  <r>
    <n v="9598147"/>
    <s v="N"/>
    <n v="21328579"/>
    <s v="3000005536710020RC"/>
    <s v="CIVIL"/>
    <d v="2023-06-28T00:00:00"/>
    <d v="2023-07-04T19:38:21"/>
    <m/>
    <d v="2023-07-04T00:00:00"/>
    <n v="147"/>
    <n v="14717"/>
    <s v="9598147"/>
    <s v="9598147"/>
    <m/>
    <m/>
    <m/>
    <m/>
    <m/>
    <m/>
    <s v="SOLRECOUP"/>
    <s v="SOLRECOUP"/>
    <s v="POARECOUP"/>
    <n v="21328579"/>
    <n v="-224.64"/>
    <m/>
    <s v="Y"/>
    <n v="1"/>
    <d v="2023-07-04T19:38:22"/>
    <s v="N"/>
    <m/>
    <m/>
    <s v="Expert Disbursement"/>
    <m/>
    <s v="N"/>
    <n v="-187.2"/>
    <n v="0"/>
    <x v="1"/>
    <s v="VALIDATED"/>
    <n v="1"/>
    <s v="01.11.80.308.2013.0000"/>
    <n v="-187.2"/>
    <s v="11"/>
    <s v="2013"/>
    <n v="32081.43"/>
    <n v="-187.2"/>
    <s v="CREDITOR"/>
    <n v="0"/>
    <n v="0"/>
    <n v="-187.2"/>
    <n v="0"/>
    <n v="0"/>
  </r>
  <r>
    <n v="9598147"/>
    <s v="N"/>
    <n v="21328579"/>
    <s v="3000005536710020RC"/>
    <s v="CIVIL"/>
    <d v="2023-06-28T00:00:00"/>
    <d v="2023-07-04T19:38:21"/>
    <m/>
    <d v="2023-07-04T00:00:00"/>
    <n v="147"/>
    <n v="14717"/>
    <s v="9598147"/>
    <s v="9598147"/>
    <m/>
    <m/>
    <m/>
    <m/>
    <m/>
    <m/>
    <s v="SOLRECOUP"/>
    <s v="SOLRECOUP"/>
    <s v="POARECOUP"/>
    <n v="21328579"/>
    <n v="-224.64"/>
    <m/>
    <s v="Y"/>
    <n v="2"/>
    <d v="2023-07-04T19:38:22"/>
    <s v="N"/>
    <m/>
    <m/>
    <s v="Expert Disbursement"/>
    <m/>
    <s v="N"/>
    <n v="0"/>
    <n v="-37.44"/>
    <x v="1"/>
    <s v="VALIDATED"/>
    <n v="1"/>
    <s v="01.11.80.308.2013.0000"/>
    <n v="-37.44"/>
    <s v="11"/>
    <s v="2013"/>
    <n v="32081.43"/>
    <n v="-37.44"/>
    <s v="CREDITOR"/>
    <n v="0"/>
    <n v="0"/>
    <n v="-37.44"/>
    <n v="0"/>
    <n v="0"/>
  </r>
  <r>
    <n v="9598147"/>
    <s v="N"/>
    <n v="21328567"/>
    <s v="3000005536710003RC"/>
    <s v="CIVIL"/>
    <d v="2023-06-28T00:00:00"/>
    <d v="2023-07-04T19:38:21"/>
    <m/>
    <d v="2023-07-04T00:00:00"/>
    <n v="147"/>
    <n v="14717"/>
    <s v="9598147"/>
    <s v="9598147"/>
    <m/>
    <m/>
    <m/>
    <m/>
    <m/>
    <m/>
    <s v="SOLRECOUP"/>
    <s v="SOLRECOUP"/>
    <s v="POARECOUP"/>
    <n v="21328567"/>
    <n v="-1068.43"/>
    <m/>
    <s v="Y"/>
    <n v="1"/>
    <d v="2023-07-04T19:38:22"/>
    <s v="N"/>
    <m/>
    <m/>
    <s v="Expert Disbursement"/>
    <m/>
    <s v="N"/>
    <n v="-890.36"/>
    <n v="0"/>
    <x v="1"/>
    <s v="VALIDATED"/>
    <n v="1"/>
    <s v="01.11.80.308.2013.0000"/>
    <n v="-890.36"/>
    <s v="11"/>
    <s v="2013"/>
    <n v="32081.43"/>
    <n v="-890.36"/>
    <s v="CREDITOR"/>
    <n v="0"/>
    <n v="0"/>
    <n v="-890.36"/>
    <n v="0"/>
    <n v="0"/>
  </r>
  <r>
    <n v="9598147"/>
    <s v="N"/>
    <n v="21328567"/>
    <s v="3000005536710003RC"/>
    <s v="CIVIL"/>
    <d v="2023-06-28T00:00:00"/>
    <d v="2023-07-04T19:38:21"/>
    <m/>
    <d v="2023-07-04T00:00:00"/>
    <n v="147"/>
    <n v="14717"/>
    <s v="9598147"/>
    <s v="9598147"/>
    <m/>
    <m/>
    <m/>
    <m/>
    <m/>
    <m/>
    <s v="SOLRECOUP"/>
    <s v="SOLRECOUP"/>
    <s v="POARECOUP"/>
    <n v="21328567"/>
    <n v="-1068.43"/>
    <m/>
    <s v="Y"/>
    <n v="2"/>
    <d v="2023-07-04T19:38:22"/>
    <s v="N"/>
    <m/>
    <m/>
    <s v="Expert Disbursement"/>
    <m/>
    <s v="N"/>
    <n v="0"/>
    <n v="-178.07"/>
    <x v="1"/>
    <s v="VALIDATED"/>
    <n v="1"/>
    <s v="01.11.80.308.2013.0000"/>
    <n v="-178.07"/>
    <s v="11"/>
    <s v="2013"/>
    <n v="32081.43"/>
    <n v="-178.07"/>
    <s v="CREDITOR"/>
    <n v="0"/>
    <n v="0"/>
    <n v="-178.07"/>
    <n v="0"/>
    <n v="0"/>
  </r>
  <r>
    <n v="9598147"/>
    <s v="N"/>
    <n v="21328568"/>
    <s v="3000005536710007RC"/>
    <s v="CIVIL"/>
    <d v="2023-06-28T00:00:00"/>
    <d v="2023-07-04T19:38:21"/>
    <m/>
    <d v="2023-07-04T00:00:00"/>
    <n v="147"/>
    <n v="14717"/>
    <s v="9598147"/>
    <s v="9598147"/>
    <m/>
    <m/>
    <m/>
    <m/>
    <m/>
    <m/>
    <s v="SOLRECOUP"/>
    <s v="SOLRECOUP"/>
    <s v="POARECOUP"/>
    <n v="21328568"/>
    <n v="-37.6"/>
    <m/>
    <s v="Y"/>
    <n v="2"/>
    <d v="2023-07-04T19:38:22"/>
    <s v="N"/>
    <m/>
    <m/>
    <s v="Non Expert Disbursement"/>
    <m/>
    <s v="N"/>
    <n v="0"/>
    <n v="0"/>
    <x v="1"/>
    <s v="VALIDATED"/>
    <n v="1"/>
    <s v="01.11.80.000.0000.0000"/>
    <n v="0"/>
    <s v="11"/>
    <s v="0000"/>
    <n v="32081.43"/>
    <n v="0"/>
    <s v="CREDITOR"/>
    <n v="0"/>
    <n v="0"/>
    <n v="0"/>
    <n v="0"/>
    <n v="0"/>
  </r>
  <r>
    <n v="9598147"/>
    <s v="N"/>
    <n v="21328568"/>
    <s v="3000005536710007RC"/>
    <s v="CIVIL"/>
    <d v="2023-06-28T00:00:00"/>
    <d v="2023-07-04T19:38:21"/>
    <m/>
    <d v="2023-07-04T00:00:00"/>
    <n v="147"/>
    <n v="14717"/>
    <s v="9598147"/>
    <s v="9598147"/>
    <m/>
    <m/>
    <m/>
    <m/>
    <m/>
    <m/>
    <s v="SOLRECOUP"/>
    <s v="SOLRECOUP"/>
    <s v="POARECOUP"/>
    <n v="21328568"/>
    <n v="-37.6"/>
    <m/>
    <s v="Y"/>
    <n v="1"/>
    <d v="2023-07-04T19:38:22"/>
    <s v="N"/>
    <m/>
    <m/>
    <s v="Non Expert Disbursement"/>
    <m/>
    <s v="N"/>
    <n v="-37.6"/>
    <n v="0"/>
    <x v="1"/>
    <s v="VALIDATED"/>
    <n v="1"/>
    <s v="01.11.80.308.2013.0000"/>
    <n v="-37.6"/>
    <s v="11"/>
    <s v="2013"/>
    <n v="32081.43"/>
    <n v="-37.6"/>
    <s v="CREDITOR"/>
    <n v="0"/>
    <n v="0"/>
    <n v="-37.6"/>
    <n v="0"/>
    <n v="0"/>
  </r>
  <r>
    <n v="60329182"/>
    <s v="N"/>
    <n v="21361042"/>
    <s v="3000014628760011"/>
    <s v="CIVIL"/>
    <d v="2023-06-29T00:00:00"/>
    <d v="2023-07-11T19:00:25"/>
    <m/>
    <d v="2023-07-11T00:00:00"/>
    <n v="149"/>
    <n v="14717"/>
    <s v="60329182"/>
    <s v="60329182"/>
    <m/>
    <m/>
    <n v="22791358"/>
    <m/>
    <m/>
    <m/>
    <s v="SOLINT"/>
    <s v="SOLINT"/>
    <s v="CCMS"/>
    <n v="21361042"/>
    <n v="7006.23"/>
    <m/>
    <s v="N"/>
    <n v="9"/>
    <d v="2023-07-11T19:00:43"/>
    <s v="Y"/>
    <s v="Toxicologist"/>
    <s v="Public Law Children"/>
    <s v="Expert Disbursement"/>
    <s v="Anna-Marie Whelan"/>
    <s v="Y"/>
    <n v="197"/>
    <n v="39.4"/>
    <x v="7"/>
    <s v="VALIDATED"/>
    <n v="1"/>
    <s v="01.11.80.308.6300.0000"/>
    <n v="197"/>
    <s v="11"/>
    <s v="6300"/>
    <n v="7170.43"/>
    <n v="197"/>
    <s v="CREDITOR"/>
    <n v="0"/>
    <n v="0"/>
    <n v="0"/>
    <n v="0"/>
    <n v="197"/>
  </r>
  <r>
    <n v="60329182"/>
    <s v="N"/>
    <n v="21361042"/>
    <s v="3000014628760011"/>
    <s v="CIVIL"/>
    <d v="2023-06-29T00:00:00"/>
    <d v="2023-07-11T19:00:25"/>
    <m/>
    <d v="2023-07-11T00:00:00"/>
    <n v="149"/>
    <n v="14717"/>
    <s v="60329182"/>
    <s v="60329182"/>
    <m/>
    <m/>
    <n v="22791358"/>
    <m/>
    <m/>
    <m/>
    <s v="SOLINT"/>
    <s v="SOLINT"/>
    <s v="CCMS"/>
    <n v="21361042"/>
    <n v="7006.23"/>
    <m/>
    <s v="N"/>
    <n v="5"/>
    <d v="2023-07-11T19:00:43"/>
    <s v="Y"/>
    <s v="Toxicologist"/>
    <s v="Public Law Children"/>
    <s v="Expert Disbursement"/>
    <s v="Anna-Marie Whelan"/>
    <s v="Y"/>
    <n v="84.5"/>
    <n v="16.9"/>
    <x v="7"/>
    <s v="VALIDATED"/>
    <n v="1"/>
    <s v="01.11.80.308.6300.0000"/>
    <n v="84.5"/>
    <s v="11"/>
    <s v="6300"/>
    <n v="7170.43"/>
    <n v="84.5"/>
    <s v="CREDITOR"/>
    <n v="0"/>
    <n v="0"/>
    <n v="0"/>
    <n v="0"/>
    <n v="84.5"/>
  </r>
  <r>
    <n v="60445817"/>
    <s v="N"/>
    <n v="21337721"/>
    <s v="3000014729490003"/>
    <s v="CIVIL"/>
    <d v="2023-06-21T00:00:00"/>
    <d v="2023-07-06T19:21:01"/>
    <m/>
    <d v="2023-07-06T00:00:00"/>
    <n v="149"/>
    <n v="14717"/>
    <s v="60445817"/>
    <s v="60445817"/>
    <m/>
    <m/>
    <n v="22730534"/>
    <m/>
    <m/>
    <m/>
    <s v="SOLINT"/>
    <s v="SOLINT"/>
    <s v="CCMS"/>
    <n v="21337721"/>
    <n v="903.88"/>
    <m/>
    <s v="N"/>
    <n v="2"/>
    <d v="2023-07-06T19:21:05"/>
    <s v="Y"/>
    <s v="Process server"/>
    <s v="Private Law Children"/>
    <s v="Expert Disbursement"/>
    <s v="Khadiza Ahad"/>
    <s v="Y"/>
    <n v="100"/>
    <n v="20"/>
    <x v="4"/>
    <s v="VALIDATED"/>
    <n v="1"/>
    <s v="01.11.80.307.6300.0000"/>
    <n v="100"/>
    <s v="11"/>
    <s v="6300"/>
    <n v="7170.43"/>
    <n v="100"/>
    <s v="CREDITOR"/>
    <n v="0"/>
    <n v="0"/>
    <n v="0"/>
    <n v="0"/>
    <n v="100"/>
  </r>
  <r>
    <n v="60329182"/>
    <s v="N"/>
    <n v="21361042"/>
    <s v="3000014628760011"/>
    <s v="CIVIL"/>
    <d v="2023-06-29T00:00:00"/>
    <d v="2023-07-11T19:00:25"/>
    <m/>
    <d v="2023-07-11T00:00:00"/>
    <n v="149"/>
    <n v="14717"/>
    <s v="60329182"/>
    <s v="60329182"/>
    <m/>
    <m/>
    <n v="22791358"/>
    <m/>
    <m/>
    <m/>
    <s v="SOLINT"/>
    <s v="SOLINT"/>
    <s v="CCMS"/>
    <n v="21361042"/>
    <n v="7006.23"/>
    <m/>
    <s v="N"/>
    <n v="7"/>
    <d v="2023-07-11T19:00:43"/>
    <s v="Y"/>
    <s v="Toxicologist"/>
    <s v="Public Law Children"/>
    <s v="Expert Disbursement"/>
    <s v="Anna-Marie Whelan"/>
    <s v="Y"/>
    <n v="98"/>
    <n v="19.6"/>
    <x v="7"/>
    <s v="VALIDATED"/>
    <n v="1"/>
    <s v="01.11.80.308.6300.0000"/>
    <n v="98"/>
    <s v="11"/>
    <s v="6300"/>
    <n v="7170.43"/>
    <n v="98"/>
    <s v="CREDITOR"/>
    <n v="0"/>
    <n v="0"/>
    <n v="0"/>
    <n v="0"/>
    <n v="98"/>
  </r>
  <r>
    <n v="60329182"/>
    <s v="N"/>
    <n v="21361042"/>
    <s v="3000014628760011"/>
    <s v="CIVIL"/>
    <d v="2023-06-29T00:00:00"/>
    <d v="2023-07-11T19:00:25"/>
    <m/>
    <d v="2023-07-11T00:00:00"/>
    <n v="149"/>
    <n v="14717"/>
    <s v="60329182"/>
    <s v="60329182"/>
    <m/>
    <m/>
    <n v="22791358"/>
    <m/>
    <m/>
    <m/>
    <s v="SOLINT"/>
    <s v="SOLINT"/>
    <s v="CCMS"/>
    <n v="21361042"/>
    <n v="7006.23"/>
    <m/>
    <s v="N"/>
    <n v="12"/>
    <d v="2023-07-11T19:00:43"/>
    <s v="Y"/>
    <s v="Hearing Unit 2.31 - 5.00 Hours"/>
    <s v="Public Law Children"/>
    <s v="Advocacy"/>
    <s v="Anna-Marie Whelan"/>
    <s v="Y"/>
    <n v="476.92"/>
    <n v="95.38"/>
    <x v="7"/>
    <s v="VALIDATED"/>
    <n v="1"/>
    <s v="01.11.80.308.6100.0000"/>
    <n v="476.92"/>
    <s v="11"/>
    <s v="6100"/>
    <n v="7170.43"/>
    <n v="476.92"/>
    <s v="CREDITOR"/>
    <n v="0"/>
    <n v="0"/>
    <n v="0"/>
    <n v="0"/>
    <n v="476.92"/>
  </r>
  <r>
    <n v="60445817"/>
    <s v="N"/>
    <n v="21337721"/>
    <s v="3000014729490003"/>
    <s v="CIVIL"/>
    <d v="2023-06-21T00:00:00"/>
    <d v="2023-07-06T19:21:01"/>
    <m/>
    <d v="2023-07-06T00:00:00"/>
    <n v="149"/>
    <n v="14717"/>
    <s v="60445817"/>
    <s v="60445817"/>
    <m/>
    <m/>
    <n v="22730534"/>
    <m/>
    <m/>
    <m/>
    <s v="SOLINT"/>
    <s v="SOLINT"/>
    <s v="CCMS"/>
    <n v="21337721"/>
    <n v="903.88"/>
    <m/>
    <s v="N"/>
    <n v="4"/>
    <d v="2023-07-06T19:21:05"/>
    <s v="Y"/>
    <s v="Level 3 &amp; Enforcement Fixed Fee"/>
    <s v="Private Law Children"/>
    <s v="Profit Cost"/>
    <s v="Khadiza Ahad"/>
    <s v="Y"/>
    <n v="287.5"/>
    <n v="57.5"/>
    <x v="4"/>
    <s v="VALIDATED"/>
    <n v="1"/>
    <s v="01.11.80.307.6100.0000"/>
    <n v="287.5"/>
    <s v="11"/>
    <s v="6100"/>
    <n v="7170.43"/>
    <n v="287.5"/>
    <s v="CREDITOR"/>
    <n v="0"/>
    <n v="0"/>
    <n v="0"/>
    <n v="0"/>
    <n v="287.5"/>
  </r>
  <r>
    <n v="60329182"/>
    <s v="N"/>
    <n v="21361042"/>
    <s v="3000014628760011"/>
    <s v="CIVIL"/>
    <d v="2023-06-29T00:00:00"/>
    <d v="2023-07-11T19:00:25"/>
    <m/>
    <d v="2023-07-11T00:00:00"/>
    <n v="149"/>
    <n v="14717"/>
    <s v="60329182"/>
    <s v="60329182"/>
    <m/>
    <m/>
    <n v="22791358"/>
    <m/>
    <m/>
    <m/>
    <s v="SOLINT"/>
    <s v="SOLINT"/>
    <s v="CCMS"/>
    <n v="21361042"/>
    <n v="7006.23"/>
    <m/>
    <s v="N"/>
    <n v="3"/>
    <d v="2023-07-11T19:00:43"/>
    <s v="Y"/>
    <s v="Toxicologist"/>
    <s v="Public Law Children"/>
    <s v="Expert Disbursement"/>
    <s v="Anna-Marie Whelan"/>
    <s v="Y"/>
    <n v="191"/>
    <n v="38.2"/>
    <x v="7"/>
    <s v="VALIDATED"/>
    <n v="1"/>
    <s v="01.11.80.308.6300.0000"/>
    <n v="191"/>
    <s v="11"/>
    <s v="6300"/>
    <n v="7170.43"/>
    <n v="191"/>
    <s v="CREDITOR"/>
    <n v="0"/>
    <n v="0"/>
    <n v="0"/>
    <n v="0"/>
    <n v="191"/>
  </r>
  <r>
    <n v="60329182"/>
    <s v="N"/>
    <n v="21361042"/>
    <s v="3000014628760011"/>
    <s v="CIVIL"/>
    <d v="2023-06-29T00:00:00"/>
    <d v="2023-07-11T19:00:25"/>
    <m/>
    <d v="2023-07-11T00:00:00"/>
    <n v="149"/>
    <n v="14717"/>
    <s v="60329182"/>
    <s v="60329182"/>
    <m/>
    <m/>
    <n v="22791358"/>
    <m/>
    <m/>
    <m/>
    <s v="SOLINT"/>
    <s v="SOLINT"/>
    <s v="CCMS"/>
    <n v="21361042"/>
    <n v="7006.23"/>
    <m/>
    <s v="N"/>
    <n v="2"/>
    <d v="2023-07-11T19:00:43"/>
    <s v="Y"/>
    <s v="DNA - test of sample"/>
    <s v="Public Law Children"/>
    <s v="Expert Disbursement"/>
    <s v="Anna-Marie Whelan"/>
    <s v="Y"/>
    <n v="138"/>
    <n v="27.6"/>
    <x v="7"/>
    <s v="VALIDATED"/>
    <n v="1"/>
    <s v="01.11.80.308.6300.0000"/>
    <n v="138"/>
    <s v="11"/>
    <s v="6300"/>
    <n v="7170.43"/>
    <n v="138"/>
    <s v="CREDITOR"/>
    <n v="0"/>
    <n v="0"/>
    <n v="0"/>
    <n v="0"/>
    <n v="138"/>
  </r>
  <r>
    <n v="56741920"/>
    <s v="N"/>
    <n v="21319311"/>
    <s v="3000013504840002"/>
    <s v="CIVIL"/>
    <d v="2023-06-27T00:00:00"/>
    <d v="2023-07-03T19:04:24"/>
    <m/>
    <d v="2023-07-03T00:00:00"/>
    <n v="149"/>
    <n v="14717"/>
    <s v="56741920"/>
    <s v="56741920"/>
    <m/>
    <m/>
    <n v="22773614"/>
    <m/>
    <m/>
    <m/>
    <s v="SOLPOA"/>
    <s v="SOLPOA"/>
    <s v="CCMS"/>
    <n v="21319311"/>
    <n v="102"/>
    <m/>
    <s v="N"/>
    <n v="1"/>
    <d v="2023-07-03T19:04:25"/>
    <s v="N"/>
    <s v="Non Expert Disbursement"/>
    <s v="Non Expert Disbursement"/>
    <s v="Non Expert Disbursement"/>
    <s v="Anna-Marie Whelan"/>
    <s v="N"/>
    <n v="85"/>
    <n v="17"/>
    <x v="3"/>
    <s v="VALIDATED"/>
    <n v="1"/>
    <s v="01.11.80.308.2012.0000"/>
    <n v="85"/>
    <s v="11"/>
    <s v="2012"/>
    <n v="7170.43"/>
    <n v="85"/>
    <s v="CREDITOR"/>
    <n v="85"/>
    <n v="0"/>
    <n v="0"/>
    <n v="0"/>
    <n v="0"/>
  </r>
  <r>
    <n v="60329182"/>
    <s v="N"/>
    <n v="21361042"/>
    <s v="3000014628760011"/>
    <s v="CIVIL"/>
    <d v="2023-06-29T00:00:00"/>
    <d v="2023-07-11T19:00:25"/>
    <m/>
    <d v="2023-07-11T00:00:00"/>
    <n v="149"/>
    <n v="14717"/>
    <s v="60329182"/>
    <s v="60329182"/>
    <m/>
    <m/>
    <n v="22791358"/>
    <m/>
    <m/>
    <m/>
    <s v="SOLINT"/>
    <s v="SOLINT"/>
    <s v="CCMS"/>
    <n v="21361042"/>
    <n v="7006.23"/>
    <m/>
    <s v="N"/>
    <n v="4"/>
    <d v="2023-07-11T19:00:43"/>
    <s v="Y"/>
    <s v="Toxicologist"/>
    <s v="Public Law Children"/>
    <s v="Expert Disbursement"/>
    <s v="Anna-Marie Whelan"/>
    <s v="Y"/>
    <n v="84.5"/>
    <n v="16.9"/>
    <x v="7"/>
    <s v="VALIDATED"/>
    <n v="1"/>
    <s v="01.11.80.308.6300.0000"/>
    <n v="84.5"/>
    <s v="11"/>
    <s v="6300"/>
    <n v="7170.43"/>
    <n v="84.5"/>
    <s v="CREDITOR"/>
    <n v="0"/>
    <n v="0"/>
    <n v="0"/>
    <n v="0"/>
    <n v="84.5"/>
  </r>
  <r>
    <n v="60329182"/>
    <s v="N"/>
    <n v="21361042"/>
    <s v="3000014628760011"/>
    <s v="CIVIL"/>
    <d v="2023-06-29T00:00:00"/>
    <d v="2023-07-11T19:00:25"/>
    <m/>
    <d v="2023-07-11T00:00:00"/>
    <n v="149"/>
    <n v="14717"/>
    <s v="60329182"/>
    <s v="60329182"/>
    <m/>
    <m/>
    <n v="22791358"/>
    <m/>
    <m/>
    <m/>
    <s v="SOLINT"/>
    <s v="SOLINT"/>
    <s v="CCMS"/>
    <n v="21361042"/>
    <n v="7006.23"/>
    <m/>
    <s v="N"/>
    <n v="8"/>
    <d v="2023-07-11T19:00:43"/>
    <s v="Y"/>
    <s v="Psychiatrist"/>
    <s v="Public Law Children"/>
    <s v="Expert Disbursement"/>
    <s v="Anna-Marie Whelan"/>
    <s v="Y"/>
    <n v="135"/>
    <n v="27"/>
    <x v="7"/>
    <s v="VALIDATED"/>
    <n v="1"/>
    <s v="01.11.80.308.6300.0000"/>
    <n v="135"/>
    <s v="11"/>
    <s v="6300"/>
    <n v="7170.43"/>
    <n v="135"/>
    <s v="CREDITOR"/>
    <n v="0"/>
    <n v="0"/>
    <n v="0"/>
    <n v="0"/>
    <n v="135"/>
  </r>
  <r>
    <n v="60329182"/>
    <s v="N"/>
    <n v="21361042"/>
    <s v="3000014628760011"/>
    <s v="CIVIL"/>
    <d v="2023-06-29T00:00:00"/>
    <d v="2023-07-11T19:00:25"/>
    <m/>
    <d v="2023-07-11T00:00:00"/>
    <n v="149"/>
    <n v="14717"/>
    <s v="60329182"/>
    <s v="60329182"/>
    <m/>
    <m/>
    <n v="22791358"/>
    <m/>
    <m/>
    <m/>
    <s v="SOLINT"/>
    <s v="SOLINT"/>
    <s v="CCMS"/>
    <n v="21361042"/>
    <n v="7006.23"/>
    <m/>
    <s v="N"/>
    <n v="6"/>
    <d v="2023-07-11T19:00:43"/>
    <s v="Y"/>
    <s v="Psychiatrist"/>
    <s v="Public Law Children"/>
    <s v="Expert Disbursement"/>
    <s v="Anna-Marie Whelan"/>
    <s v="Y"/>
    <n v="513"/>
    <n v="102.6"/>
    <x v="7"/>
    <s v="VALIDATED"/>
    <n v="1"/>
    <s v="01.11.80.308.6300.0000"/>
    <n v="513"/>
    <s v="11"/>
    <s v="6300"/>
    <n v="7170.43"/>
    <n v="513"/>
    <s v="CREDITOR"/>
    <n v="0"/>
    <n v="0"/>
    <n v="0"/>
    <n v="0"/>
    <n v="513"/>
  </r>
  <r>
    <n v="60329182"/>
    <s v="N"/>
    <n v="21361042"/>
    <s v="3000014628760011"/>
    <s v="CIVIL"/>
    <d v="2023-06-29T00:00:00"/>
    <d v="2023-07-11T19:00:25"/>
    <m/>
    <d v="2023-07-11T00:00:00"/>
    <n v="149"/>
    <n v="14717"/>
    <s v="60329182"/>
    <s v="60329182"/>
    <m/>
    <m/>
    <n v="22791358"/>
    <m/>
    <m/>
    <m/>
    <s v="SOLINT"/>
    <s v="SOLINT"/>
    <s v="CCMS"/>
    <n v="21361042"/>
    <n v="7006.23"/>
    <m/>
    <s v="N"/>
    <n v="13"/>
    <d v="2023-07-11T19:00:43"/>
    <s v="Y"/>
    <s v="Hearing Unit 1.01 - 2.30 Hours"/>
    <s v="Public Law Children"/>
    <s v="Advocacy"/>
    <s v="Anna-Marie Whelan"/>
    <s v="Y"/>
    <n v="238.46"/>
    <n v="47.69"/>
    <x v="7"/>
    <s v="VALIDATED"/>
    <n v="1"/>
    <s v="01.11.80.308.6100.0000"/>
    <n v="238.46"/>
    <s v="11"/>
    <s v="6100"/>
    <n v="7170.43"/>
    <n v="238.46"/>
    <s v="CREDITOR"/>
    <n v="0"/>
    <n v="0"/>
    <n v="0"/>
    <n v="0"/>
    <n v="238.46"/>
  </r>
  <r>
    <n v="60329182"/>
    <s v="N"/>
    <n v="21361042"/>
    <s v="3000014628760011"/>
    <s v="CIVIL"/>
    <d v="2023-06-29T00:00:00"/>
    <d v="2023-07-11T19:00:25"/>
    <m/>
    <d v="2023-07-11T00:00:00"/>
    <n v="149"/>
    <n v="14717"/>
    <s v="60329182"/>
    <s v="60329182"/>
    <m/>
    <m/>
    <n v="22791358"/>
    <m/>
    <m/>
    <m/>
    <s v="SOLINT"/>
    <s v="SOLINT"/>
    <s v="CCMS"/>
    <n v="21361042"/>
    <n v="7006.23"/>
    <m/>
    <s v="N"/>
    <n v="1"/>
    <d v="2023-07-11T19:00:43"/>
    <s v="Y"/>
    <s v="Toxicologist"/>
    <s v="Public Law Children"/>
    <s v="Expert Disbursement"/>
    <s v="Anna-Marie Whelan"/>
    <s v="Y"/>
    <n v="164.75"/>
    <n v="32.95"/>
    <x v="7"/>
    <s v="VALIDATED"/>
    <n v="1"/>
    <s v="01.11.80.308.6300.0000"/>
    <n v="164.75"/>
    <s v="11"/>
    <s v="6300"/>
    <n v="7170.43"/>
    <n v="164.75"/>
    <s v="CREDITOR"/>
    <n v="0"/>
    <n v="0"/>
    <n v="0"/>
    <n v="0"/>
    <n v="164.75"/>
  </r>
  <r>
    <n v="60329182"/>
    <s v="N"/>
    <n v="21361042"/>
    <s v="3000014628760011"/>
    <s v="CIVIL"/>
    <d v="2023-06-29T00:00:00"/>
    <d v="2023-07-11T19:00:25"/>
    <m/>
    <d v="2023-07-11T00:00:00"/>
    <n v="149"/>
    <n v="14717"/>
    <s v="60329182"/>
    <s v="60329182"/>
    <m/>
    <m/>
    <n v="22791358"/>
    <m/>
    <m/>
    <m/>
    <s v="SOLINT"/>
    <s v="SOLINT"/>
    <s v="CCMS"/>
    <n v="21361042"/>
    <n v="7006.23"/>
    <m/>
    <s v="N"/>
    <n v="14"/>
    <d v="2023-07-11T19:00:43"/>
    <s v="Y"/>
    <s v="Advocates Meeting"/>
    <s v="Public Law Children"/>
    <s v="Advocacy"/>
    <s v="Anna-Marie Whelan"/>
    <s v="Y"/>
    <n v="140.99"/>
    <n v="28.2"/>
    <x v="7"/>
    <s v="VALIDATED"/>
    <n v="1"/>
    <s v="01.11.80.308.6100.0000"/>
    <n v="140.99"/>
    <s v="11"/>
    <s v="6100"/>
    <n v="7170.43"/>
    <n v="140.99"/>
    <s v="CREDITOR"/>
    <n v="0"/>
    <n v="0"/>
    <n v="0"/>
    <n v="0"/>
    <n v="140.99"/>
  </r>
  <r>
    <n v="60445817"/>
    <s v="N"/>
    <n v="21337721"/>
    <s v="3000014729490003"/>
    <s v="CIVIL"/>
    <d v="2023-06-21T00:00:00"/>
    <d v="2023-07-06T19:21:01"/>
    <m/>
    <d v="2023-07-06T00:00:00"/>
    <n v="149"/>
    <n v="14717"/>
    <s v="60445817"/>
    <s v="60445817"/>
    <m/>
    <m/>
    <n v="22730534"/>
    <m/>
    <m/>
    <m/>
    <s v="SOLINT"/>
    <s v="SOLINT"/>
    <s v="CCMS"/>
    <n v="21337721"/>
    <n v="903.88"/>
    <m/>
    <s v="N"/>
    <n v="3"/>
    <d v="2023-07-06T19:21:05"/>
    <s v="Y"/>
    <s v="Hearing Unit 1.01 - 2.30 Hours"/>
    <s v="Private Law Children"/>
    <s v="Advocacy"/>
    <s v="Khadiza Ahad"/>
    <s v="Y"/>
    <n v="172.4"/>
    <n v="34.48"/>
    <x v="4"/>
    <s v="VALIDATED"/>
    <n v="1"/>
    <s v="01.11.80.307.6100.0000"/>
    <n v="172.4"/>
    <s v="11"/>
    <s v="6100"/>
    <n v="7170.43"/>
    <n v="172.4"/>
    <s v="CREDITOR"/>
    <n v="0"/>
    <n v="0"/>
    <n v="0"/>
    <n v="0"/>
    <n v="172.4"/>
  </r>
  <r>
    <n v="60329182"/>
    <s v="N"/>
    <n v="21361042"/>
    <s v="3000014628760011"/>
    <s v="CIVIL"/>
    <d v="2023-06-29T00:00:00"/>
    <d v="2023-07-11T19:00:25"/>
    <m/>
    <d v="2023-07-11T00:00:00"/>
    <n v="149"/>
    <n v="14717"/>
    <s v="60329182"/>
    <s v="60329182"/>
    <m/>
    <m/>
    <n v="22791358"/>
    <m/>
    <m/>
    <m/>
    <s v="SOLINT"/>
    <s v="SOLINT"/>
    <s v="CCMS"/>
    <n v="21361042"/>
    <n v="7006.23"/>
    <m/>
    <s v="N"/>
    <n v="16"/>
    <d v="2023-07-11T19:00:43"/>
    <s v="Y"/>
    <s v="Solicitors Fixed Fee"/>
    <s v="Public Law Children"/>
    <s v="Profit Cost"/>
    <s v="Anna-Marie Whelan"/>
    <s v="Y"/>
    <n v="2616"/>
    <n v="523.2"/>
    <x v="7"/>
    <s v="VALIDATED"/>
    <n v="1"/>
    <s v="01.11.80.308.6100.0000"/>
    <n v="2616"/>
    <s v="11"/>
    <s v="6100"/>
    <n v="7170.43"/>
    <n v="2616"/>
    <s v="CREDITOR"/>
    <n v="0"/>
    <n v="0"/>
    <n v="0"/>
    <n v="0"/>
    <n v="2616"/>
  </r>
  <r>
    <n v="60443994"/>
    <s v="N"/>
    <n v="21360808"/>
    <s v="3000014637410001"/>
    <s v="CIVIL"/>
    <d v="2023-06-29T00:00:00"/>
    <d v="2023-07-11T19:00:25"/>
    <m/>
    <d v="2023-07-11T00:00:00"/>
    <n v="149"/>
    <n v="14717"/>
    <s v="60443994"/>
    <s v="60443994"/>
    <m/>
    <m/>
    <n v="22784806"/>
    <m/>
    <m/>
    <m/>
    <s v="SOLFIN"/>
    <s v="SOLFIN"/>
    <s v="CCMS"/>
    <n v="21360808"/>
    <n v="690"/>
    <m/>
    <s v="N"/>
    <n v="1"/>
    <d v="2023-07-11T19:00:35"/>
    <s v="Y"/>
    <s v="Level 3 &amp; Enforcement Fixed Fee"/>
    <s v="Private Law Children"/>
    <s v="Profit Cost"/>
    <s v="Khadiza Ahad"/>
    <s v="Y"/>
    <n v="575"/>
    <n v="115"/>
    <x v="7"/>
    <s v="VALIDATED"/>
    <n v="1"/>
    <s v="01.11.80.307.6100.0000"/>
    <n v="575"/>
    <s v="11"/>
    <s v="6100"/>
    <n v="7170.43"/>
    <n v="575"/>
    <s v="CREDITOR"/>
    <n v="0"/>
    <n v="0"/>
    <n v="0"/>
    <n v="0"/>
    <n v="575"/>
  </r>
  <r>
    <n v="60445817"/>
    <s v="N"/>
    <n v="21337721"/>
    <s v="3000014729490003"/>
    <s v="CIVIL"/>
    <d v="2023-06-21T00:00:00"/>
    <d v="2023-07-06T19:21:01"/>
    <m/>
    <d v="2023-07-06T00:00:00"/>
    <n v="149"/>
    <n v="14717"/>
    <s v="60445817"/>
    <s v="60445817"/>
    <m/>
    <m/>
    <n v="22730534"/>
    <m/>
    <m/>
    <m/>
    <s v="SOLINT"/>
    <s v="SOLINT"/>
    <s v="CCMS"/>
    <n v="21337721"/>
    <n v="903.88"/>
    <m/>
    <s v="N"/>
    <n v="1"/>
    <d v="2023-07-06T19:21:05"/>
    <s v="Y"/>
    <s v="Court Fee"/>
    <s v="Private Law Children"/>
    <s v="Non Expert Disbursement"/>
    <s v="Khadiza Ahad"/>
    <s v="Y"/>
    <n v="232"/>
    <n v="0"/>
    <x v="4"/>
    <s v="VALIDATED"/>
    <n v="1"/>
    <s v="01.11.80.307.6300.0000"/>
    <n v="232"/>
    <s v="11"/>
    <s v="6300"/>
    <n v="7170.43"/>
    <n v="232"/>
    <s v="CREDITOR"/>
    <n v="0"/>
    <n v="0"/>
    <n v="0"/>
    <n v="0"/>
    <n v="232"/>
  </r>
  <r>
    <n v="60329182"/>
    <s v="N"/>
    <n v="21361042"/>
    <s v="3000014628760011"/>
    <s v="CIVIL"/>
    <d v="2023-06-29T00:00:00"/>
    <d v="2023-07-11T19:00:25"/>
    <m/>
    <d v="2023-07-11T00:00:00"/>
    <n v="149"/>
    <n v="14717"/>
    <s v="60329182"/>
    <s v="60329182"/>
    <m/>
    <m/>
    <n v="22791358"/>
    <m/>
    <m/>
    <m/>
    <s v="SOLINT"/>
    <s v="SOLINT"/>
    <s v="CCMS"/>
    <n v="21361042"/>
    <n v="7006.23"/>
    <m/>
    <s v="N"/>
    <n v="11"/>
    <d v="2023-07-11T19:00:43"/>
    <s v="Y"/>
    <s v="Advocates Meeting"/>
    <s v="Public Law Children"/>
    <s v="Advocacy"/>
    <s v="Anna-Marie Whelan"/>
    <s v="Y"/>
    <n v="140.99"/>
    <n v="28.2"/>
    <x v="7"/>
    <s v="VALIDATED"/>
    <n v="1"/>
    <s v="01.11.80.308.6100.0000"/>
    <n v="140.99"/>
    <s v="11"/>
    <s v="6100"/>
    <n v="7170.43"/>
    <n v="140.99"/>
    <s v="CREDITOR"/>
    <n v="0"/>
    <n v="0"/>
    <n v="0"/>
    <n v="0"/>
    <n v="140.99"/>
  </r>
  <r>
    <n v="60329182"/>
    <s v="N"/>
    <n v="21361042"/>
    <s v="3000014628760011"/>
    <s v="CIVIL"/>
    <d v="2023-06-29T00:00:00"/>
    <d v="2023-07-11T19:00:25"/>
    <m/>
    <d v="2023-07-11T00:00:00"/>
    <n v="149"/>
    <n v="14717"/>
    <s v="60329182"/>
    <s v="60329182"/>
    <m/>
    <m/>
    <n v="22791358"/>
    <m/>
    <m/>
    <m/>
    <s v="SOLINT"/>
    <s v="SOLINT"/>
    <s v="CCMS"/>
    <n v="21361042"/>
    <n v="7006.23"/>
    <m/>
    <s v="N"/>
    <n v="15"/>
    <d v="2023-07-11T19:00:43"/>
    <s v="Y"/>
    <s v="Hearing Unit 2.31 - 5.00 Hours"/>
    <s v="Public Law Children"/>
    <s v="Advocacy"/>
    <s v="Anna-Marie Whelan"/>
    <s v="Y"/>
    <n v="476.92"/>
    <n v="95.38"/>
    <x v="7"/>
    <s v="VALIDATED"/>
    <n v="1"/>
    <s v="01.11.80.308.6100.0000"/>
    <n v="476.92"/>
    <s v="11"/>
    <s v="6100"/>
    <n v="7170.43"/>
    <n v="476.92"/>
    <s v="CREDITOR"/>
    <n v="0"/>
    <n v="0"/>
    <n v="0"/>
    <n v="0"/>
    <n v="476.92"/>
  </r>
  <r>
    <n v="60329182"/>
    <s v="N"/>
    <n v="21361042"/>
    <s v="3000014628760011"/>
    <s v="CIVIL"/>
    <d v="2023-06-29T00:00:00"/>
    <d v="2023-07-11T19:00:25"/>
    <m/>
    <d v="2023-07-11T00:00:00"/>
    <n v="149"/>
    <n v="14717"/>
    <s v="60329182"/>
    <s v="60329182"/>
    <m/>
    <m/>
    <n v="22791358"/>
    <m/>
    <m/>
    <m/>
    <s v="SOLINT"/>
    <s v="SOLINT"/>
    <s v="CCMS"/>
    <n v="21361042"/>
    <n v="7006.23"/>
    <m/>
    <s v="N"/>
    <n v="10"/>
    <d v="2023-07-11T19:00:43"/>
    <s v="Y"/>
    <s v="Psychologist"/>
    <s v="Public Law Children"/>
    <s v="Expert Disbursement"/>
    <s v="Anna-Marie Whelan"/>
    <s v="Y"/>
    <n v="142.5"/>
    <n v="28.5"/>
    <x v="7"/>
    <s v="VALIDATED"/>
    <n v="1"/>
    <s v="01.11.80.308.6300.0000"/>
    <n v="142.5"/>
    <s v="11"/>
    <s v="6300"/>
    <n v="7170.43"/>
    <n v="142.5"/>
    <s v="CREDITOR"/>
    <n v="0"/>
    <n v="0"/>
    <n v="0"/>
    <n v="0"/>
    <n v="142.5"/>
  </r>
  <r>
    <n v="60445817"/>
    <s v="N"/>
    <n v="21339865"/>
    <s v="3000014729490001RC"/>
    <s v="CIVIL"/>
    <d v="2023-06-21T00:00:00"/>
    <d v="2023-07-06T19:54:22"/>
    <m/>
    <d v="2023-07-06T00:00:00"/>
    <n v="149"/>
    <n v="14717"/>
    <s v="60445817"/>
    <s v="60445817"/>
    <m/>
    <m/>
    <m/>
    <m/>
    <m/>
    <m/>
    <s v="SOLRECOUP"/>
    <s v="SOLRECOUP"/>
    <s v="POARECOUP"/>
    <n v="21339865"/>
    <n v="-120"/>
    <m/>
    <s v="Y"/>
    <n v="1"/>
    <d v="2023-07-06T19:54:22"/>
    <s v="N"/>
    <m/>
    <m/>
    <s v="Non Expert Disbursement"/>
    <m/>
    <s v="N"/>
    <n v="-100"/>
    <n v="0"/>
    <x v="4"/>
    <s v="VALIDATED"/>
    <n v="1"/>
    <s v="01.11.80.307.2013.0000"/>
    <n v="-100"/>
    <s v="11"/>
    <s v="2013"/>
    <n v="7170.43"/>
    <n v="-100"/>
    <s v="CREDITOR"/>
    <n v="0"/>
    <n v="0"/>
    <n v="-100"/>
    <n v="0"/>
    <n v="0"/>
  </r>
  <r>
    <n v="60445817"/>
    <s v="N"/>
    <n v="21339865"/>
    <s v="3000014729490001RC"/>
    <s v="CIVIL"/>
    <d v="2023-06-21T00:00:00"/>
    <d v="2023-07-06T19:54:22"/>
    <m/>
    <d v="2023-07-06T00:00:00"/>
    <n v="149"/>
    <n v="14717"/>
    <s v="60445817"/>
    <s v="60445817"/>
    <m/>
    <m/>
    <m/>
    <m/>
    <m/>
    <m/>
    <s v="SOLRECOUP"/>
    <s v="SOLRECOUP"/>
    <s v="POARECOUP"/>
    <n v="21339865"/>
    <n v="-120"/>
    <m/>
    <s v="Y"/>
    <n v="2"/>
    <d v="2023-07-06T19:54:22"/>
    <s v="N"/>
    <m/>
    <m/>
    <s v="Non Expert Disbursement"/>
    <m/>
    <s v="N"/>
    <n v="0"/>
    <n v="-20"/>
    <x v="4"/>
    <s v="VALIDATED"/>
    <n v="1"/>
    <s v="01.11.80.307.2013.0000"/>
    <n v="-20"/>
    <s v="11"/>
    <s v="2013"/>
    <n v="7170.43"/>
    <n v="-20"/>
    <s v="CREDITOR"/>
    <n v="0"/>
    <n v="0"/>
    <n v="-20"/>
    <n v="0"/>
    <n v="0"/>
  </r>
  <r>
    <n v="43539773"/>
    <s v="N"/>
    <n v="21328535"/>
    <s v="3000011481210001RC"/>
    <s v="CIVIL"/>
    <d v="2023-06-27T00:00:00"/>
    <d v="2023-07-04T19:38:21"/>
    <m/>
    <d v="2023-07-04T00:00:00"/>
    <n v="152"/>
    <n v="21317"/>
    <s v="43539773"/>
    <s v="43539773"/>
    <m/>
    <m/>
    <m/>
    <m/>
    <m/>
    <m/>
    <s v="SOLRECOUP"/>
    <s v="SOLRECOUP"/>
    <s v="POARECOUP"/>
    <n v="21328535"/>
    <n v="-1651.93"/>
    <m/>
    <s v="Y"/>
    <n v="1"/>
    <d v="2023-07-04T19:38:21"/>
    <s v="N"/>
    <m/>
    <m/>
    <s v="Profit Cost"/>
    <m/>
    <s v="N"/>
    <n v="-1376.61"/>
    <n v="0"/>
    <x v="1"/>
    <s v="VALIDATED"/>
    <n v="1"/>
    <s v="01.11.80.212.2013.0000"/>
    <n v="-1376.61"/>
    <s v="11"/>
    <s v="2013"/>
    <n v="5034.48"/>
    <n v="-1376.61"/>
    <s v="CREDITOR"/>
    <n v="0"/>
    <n v="0"/>
    <n v="-1376.61"/>
    <n v="-344.1525"/>
    <n v="0"/>
  </r>
  <r>
    <n v="43539773"/>
    <s v="N"/>
    <n v="21328536"/>
    <s v="3000011481210002RC"/>
    <s v="CIVIL"/>
    <d v="2023-06-27T00:00:00"/>
    <d v="2023-07-04T19:38:21"/>
    <m/>
    <d v="2023-07-04T00:00:00"/>
    <n v="152"/>
    <n v="21317"/>
    <s v="43539773"/>
    <s v="43539773"/>
    <m/>
    <m/>
    <m/>
    <m/>
    <m/>
    <m/>
    <s v="SOLRECOUP"/>
    <s v="SOLRECOUP"/>
    <s v="POARECOUP"/>
    <n v="21328536"/>
    <n v="-1900.07"/>
    <m/>
    <s v="Y"/>
    <n v="1"/>
    <d v="2023-07-04T19:38:21"/>
    <s v="N"/>
    <m/>
    <m/>
    <s v="Profit Cost"/>
    <m/>
    <s v="N"/>
    <n v="-1583.39"/>
    <n v="0"/>
    <x v="1"/>
    <s v="VALIDATED"/>
    <n v="1"/>
    <s v="01.11.80.212.2013.0000"/>
    <n v="-1583.39"/>
    <s v="11"/>
    <s v="2013"/>
    <n v="5034.48"/>
    <n v="-1583.39"/>
    <s v="CREDITOR"/>
    <n v="0"/>
    <n v="0"/>
    <n v="-1583.39"/>
    <n v="-395.8475"/>
    <n v="0"/>
  </r>
  <r>
    <n v="43539773"/>
    <s v="N"/>
    <n v="21328536"/>
    <s v="3000011481210002RC"/>
    <s v="CIVIL"/>
    <d v="2023-06-27T00:00:00"/>
    <d v="2023-07-04T19:38:21"/>
    <m/>
    <d v="2023-07-04T00:00:00"/>
    <n v="152"/>
    <n v="21317"/>
    <s v="43539773"/>
    <s v="43539773"/>
    <m/>
    <m/>
    <m/>
    <m/>
    <m/>
    <m/>
    <s v="SOLRECOUP"/>
    <s v="SOLRECOUP"/>
    <s v="POARECOUP"/>
    <n v="21328536"/>
    <n v="-1900.07"/>
    <m/>
    <s v="Y"/>
    <n v="2"/>
    <d v="2023-07-04T19:38:21"/>
    <s v="N"/>
    <m/>
    <m/>
    <s v="Profit Cost"/>
    <m/>
    <s v="N"/>
    <n v="0"/>
    <n v="-316.68"/>
    <x v="1"/>
    <s v="VALIDATED"/>
    <n v="1"/>
    <s v="01.11.80.212.2013.0000"/>
    <n v="-316.68"/>
    <s v="11"/>
    <s v="2013"/>
    <n v="5034.48"/>
    <n v="-316.68"/>
    <s v="CREDITOR"/>
    <n v="0"/>
    <n v="0"/>
    <n v="-316.68"/>
    <n v="-79.17"/>
    <n v="0"/>
  </r>
  <r>
    <n v="43539773"/>
    <s v="N"/>
    <n v="21328537"/>
    <s v="3000011481210003RC"/>
    <s v="CIVIL"/>
    <d v="2023-06-27T00:00:00"/>
    <d v="2023-07-04T19:38:21"/>
    <m/>
    <d v="2023-07-04T00:00:00"/>
    <n v="152"/>
    <n v="21317"/>
    <s v="43539773"/>
    <s v="43539773"/>
    <m/>
    <m/>
    <m/>
    <m/>
    <m/>
    <m/>
    <s v="SOLRECOUP"/>
    <s v="SOLRECOUP"/>
    <s v="POARECOUP"/>
    <n v="21328537"/>
    <n v="-1485"/>
    <m/>
    <s v="Y"/>
    <n v="2"/>
    <d v="2023-07-04T19:38:21"/>
    <s v="N"/>
    <m/>
    <m/>
    <s v="Expert Disbursement"/>
    <m/>
    <s v="N"/>
    <n v="0"/>
    <n v="0"/>
    <x v="1"/>
    <s v="VALIDATED"/>
    <n v="1"/>
    <s v="01.11.80.000.0000.0000"/>
    <n v="0"/>
    <s v="11"/>
    <s v="0000"/>
    <n v="5034.48"/>
    <n v="0"/>
    <s v="CREDITOR"/>
    <n v="0"/>
    <n v="0"/>
    <n v="0"/>
    <n v="0"/>
    <n v="0"/>
  </r>
  <r>
    <n v="43539773"/>
    <s v="N"/>
    <n v="21328537"/>
    <s v="3000011481210003RC"/>
    <s v="CIVIL"/>
    <d v="2023-06-27T00:00:00"/>
    <d v="2023-07-04T19:38:21"/>
    <m/>
    <d v="2023-07-04T00:00:00"/>
    <n v="152"/>
    <n v="21317"/>
    <s v="43539773"/>
    <s v="43539773"/>
    <m/>
    <m/>
    <m/>
    <m/>
    <m/>
    <m/>
    <s v="SOLRECOUP"/>
    <s v="SOLRECOUP"/>
    <s v="POARECOUP"/>
    <n v="21328537"/>
    <n v="-1485"/>
    <m/>
    <s v="Y"/>
    <n v="1"/>
    <d v="2023-07-04T19:38:21"/>
    <s v="N"/>
    <m/>
    <m/>
    <s v="Expert Disbursement"/>
    <m/>
    <s v="N"/>
    <n v="-1485"/>
    <n v="0"/>
    <x v="1"/>
    <s v="VALIDATED"/>
    <n v="1"/>
    <s v="01.11.80.212.2013.0000"/>
    <n v="-1485"/>
    <s v="11"/>
    <s v="2013"/>
    <n v="5034.48"/>
    <n v="-1485"/>
    <s v="CREDITOR"/>
    <n v="0"/>
    <n v="0"/>
    <n v="-1485"/>
    <n v="0"/>
    <n v="0"/>
  </r>
  <r>
    <n v="43539773"/>
    <s v="N"/>
    <n v="21328538"/>
    <s v="3000011481210005RC"/>
    <s v="CIVIL"/>
    <d v="2023-06-27T00:00:00"/>
    <d v="2023-07-04T19:38:21"/>
    <m/>
    <d v="2023-07-04T00:00:00"/>
    <n v="152"/>
    <n v="21317"/>
    <s v="43539773"/>
    <s v="43539773"/>
    <m/>
    <m/>
    <m/>
    <m/>
    <m/>
    <m/>
    <s v="SOLRECOUP"/>
    <s v="SOLRECOUP"/>
    <s v="POARECOUP"/>
    <n v="21328538"/>
    <n v="-4878.72"/>
    <m/>
    <s v="Y"/>
    <n v="2"/>
    <d v="2023-07-04T19:38:21"/>
    <s v="N"/>
    <m/>
    <m/>
    <s v="Profit Cost"/>
    <m/>
    <s v="N"/>
    <n v="0"/>
    <n v="-813.12"/>
    <x v="1"/>
    <s v="VALIDATED"/>
    <n v="1"/>
    <s v="01.11.80.212.2013.0000"/>
    <n v="-813.12"/>
    <s v="11"/>
    <s v="2013"/>
    <n v="5034.48"/>
    <n v="-813.12"/>
    <s v="CREDITOR"/>
    <n v="0"/>
    <n v="0"/>
    <n v="-813.12"/>
    <n v="-203.28"/>
    <n v="0"/>
  </r>
  <r>
    <n v="43539773"/>
    <s v="N"/>
    <n v="21328538"/>
    <s v="3000011481210005RC"/>
    <s v="CIVIL"/>
    <d v="2023-06-27T00:00:00"/>
    <d v="2023-07-04T19:38:21"/>
    <m/>
    <d v="2023-07-04T00:00:00"/>
    <n v="152"/>
    <n v="21317"/>
    <s v="43539773"/>
    <s v="43539773"/>
    <m/>
    <m/>
    <m/>
    <m/>
    <m/>
    <m/>
    <s v="SOLRECOUP"/>
    <s v="SOLRECOUP"/>
    <s v="POARECOUP"/>
    <n v="21328538"/>
    <n v="-4878.72"/>
    <m/>
    <s v="Y"/>
    <n v="1"/>
    <d v="2023-07-04T19:38:21"/>
    <s v="N"/>
    <m/>
    <m/>
    <s v="Profit Cost"/>
    <m/>
    <s v="N"/>
    <n v="-4065.6"/>
    <n v="0"/>
    <x v="1"/>
    <s v="VALIDATED"/>
    <n v="1"/>
    <s v="01.11.80.212.2013.0000"/>
    <n v="-4065.6"/>
    <s v="11"/>
    <s v="2013"/>
    <n v="5034.48"/>
    <n v="-4065.6"/>
    <s v="CREDITOR"/>
    <n v="0"/>
    <n v="0"/>
    <n v="-4065.6"/>
    <n v="-1016.4"/>
    <n v="0"/>
  </r>
  <r>
    <n v="61553102"/>
    <s v="N"/>
    <n v="21346132"/>
    <s v="3000015667470001RC"/>
    <s v="CIVIL"/>
    <d v="2023-05-25T00:00:00"/>
    <d v="2023-07-07T19:34:21"/>
    <m/>
    <d v="2023-07-07T00:00:00"/>
    <n v="152"/>
    <n v="21317"/>
    <s v="61553102"/>
    <s v="61553102"/>
    <m/>
    <m/>
    <m/>
    <m/>
    <m/>
    <m/>
    <s v="SOLRECOUP"/>
    <s v="SOLRECOUP"/>
    <s v="POARECOUP"/>
    <n v="21346132"/>
    <n v="-4692.48"/>
    <m/>
    <s v="Y"/>
    <n v="2"/>
    <d v="2023-07-07T19:34:22"/>
    <s v="N"/>
    <m/>
    <m/>
    <s v="Profit Cost"/>
    <m/>
    <s v="N"/>
    <n v="0"/>
    <n v="-782.08"/>
    <x v="9"/>
    <s v="VALIDATED"/>
    <n v="1"/>
    <s v="01.11.80.212.2013.0000"/>
    <n v="-782.08"/>
    <s v="11"/>
    <s v="2013"/>
    <n v="5034.48"/>
    <n v="-782.08"/>
    <s v="CREDITOR"/>
    <n v="0"/>
    <n v="0"/>
    <n v="-782.08"/>
    <n v="-195.52"/>
    <n v="0"/>
  </r>
  <r>
    <n v="61553102"/>
    <s v="N"/>
    <n v="21346132"/>
    <s v="3000015667470001RC"/>
    <s v="CIVIL"/>
    <d v="2023-05-25T00:00:00"/>
    <d v="2023-07-07T19:34:21"/>
    <m/>
    <d v="2023-07-07T00:00:00"/>
    <n v="152"/>
    <n v="21317"/>
    <s v="61553102"/>
    <s v="61553102"/>
    <m/>
    <m/>
    <m/>
    <m/>
    <m/>
    <m/>
    <s v="SOLRECOUP"/>
    <s v="SOLRECOUP"/>
    <s v="POARECOUP"/>
    <n v="21346132"/>
    <n v="-4692.48"/>
    <m/>
    <s v="Y"/>
    <n v="1"/>
    <d v="2023-07-07T19:34:22"/>
    <s v="N"/>
    <m/>
    <m/>
    <s v="Profit Cost"/>
    <m/>
    <s v="N"/>
    <n v="-3910.4"/>
    <n v="0"/>
    <x v="9"/>
    <s v="VALIDATED"/>
    <n v="1"/>
    <s v="01.11.80.212.2013.0000"/>
    <n v="-3910.4"/>
    <s v="11"/>
    <s v="2013"/>
    <n v="5034.48"/>
    <n v="-3910.4"/>
    <s v="CREDITOR"/>
    <n v="0"/>
    <n v="0"/>
    <n v="-3910.4"/>
    <n v="-977.6"/>
    <n v="0"/>
  </r>
  <r>
    <n v="43539773"/>
    <s v="N"/>
    <n v="21327745"/>
    <s v="3000011481210009"/>
    <s v="CIVIL"/>
    <d v="2023-06-27T00:00:00"/>
    <d v="2023-07-04T19:00:44"/>
    <m/>
    <d v="2023-07-04T00:00:00"/>
    <n v="152"/>
    <n v="21317"/>
    <s v="43539773"/>
    <s v="43539773"/>
    <m/>
    <m/>
    <n v="22766686"/>
    <m/>
    <m/>
    <m/>
    <s v="SOLFIN"/>
    <s v="SOLFIN"/>
    <s v="CCMS"/>
    <n v="21327745"/>
    <n v="7960.32"/>
    <m/>
    <s v="N"/>
    <n v="84"/>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65"/>
    <d v="2023-07-07T19:03:18"/>
    <s v="Y"/>
    <s v="Attendance upon client"/>
    <s v="Non Family Hourly Rates"/>
    <s v="Profit Cost"/>
    <s v="AR"/>
    <s v="Y"/>
    <n v="48.65"/>
    <n v="9.73"/>
    <x v="9"/>
    <s v="VALIDATED"/>
    <n v="1"/>
    <s v="01.11.80.212.6100.0000"/>
    <n v="48.65"/>
    <s v="11"/>
    <s v="6100"/>
    <n v="5034.48"/>
    <n v="48.65"/>
    <s v="CREDITOR"/>
    <n v="0"/>
    <n v="0"/>
    <n v="0"/>
    <n v="0"/>
    <n v="48.65"/>
  </r>
  <r>
    <n v="43539773"/>
    <s v="N"/>
    <n v="21327745"/>
    <s v="3000011481210009"/>
    <s v="CIVIL"/>
    <d v="2023-06-27T00:00:00"/>
    <d v="2023-07-04T19:00:44"/>
    <m/>
    <d v="2023-07-04T00:00:00"/>
    <n v="152"/>
    <n v="21317"/>
    <s v="43539773"/>
    <s v="43539773"/>
    <m/>
    <m/>
    <n v="22766686"/>
    <m/>
    <m/>
    <m/>
    <s v="SOLFIN"/>
    <s v="SOLFIN"/>
    <s v="CCMS"/>
    <n v="21327745"/>
    <n v="7960.32"/>
    <m/>
    <s v="N"/>
    <n v="143"/>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47"/>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68"/>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06"/>
    <d v="2023-07-04T19:00:53"/>
    <s v="Y"/>
    <s v="Preparation - other"/>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73"/>
    <d v="2023-07-07T19:03:18"/>
    <s v="Y"/>
    <s v="Preparation - other"/>
    <s v="Non Family Hourly Rates"/>
    <s v="Profit Cost"/>
    <s v="AR"/>
    <s v="Y"/>
    <n v="21.47"/>
    <n v="4.29"/>
    <x v="9"/>
    <s v="VALIDATED"/>
    <n v="1"/>
    <s v="01.11.80.212.6100.0000"/>
    <n v="21.47"/>
    <s v="11"/>
    <s v="6100"/>
    <n v="5034.48"/>
    <n v="21.47"/>
    <s v="CREDITOR"/>
    <n v="0"/>
    <n v="0"/>
    <n v="0"/>
    <n v="0"/>
    <n v="21.47"/>
  </r>
  <r>
    <n v="61553102"/>
    <s v="N"/>
    <n v="21343967"/>
    <s v="3000015667470002"/>
    <s v="CIVIL"/>
    <d v="2023-05-25T00:00:00"/>
    <d v="2023-07-07T19:03:00"/>
    <m/>
    <d v="2023-07-07T00:00:00"/>
    <n v="152"/>
    <n v="21317"/>
    <s v="61553102"/>
    <s v="61553102"/>
    <m/>
    <m/>
    <n v="22578258"/>
    <m/>
    <m/>
    <m/>
    <s v="SOLFIN"/>
    <s v="SOLFIN"/>
    <s v="CCMS"/>
    <n v="21343967"/>
    <n v="8228.379999999999"/>
    <m/>
    <s v="N"/>
    <n v="29"/>
    <d v="2023-07-07T19:03:18"/>
    <s v="Y"/>
    <s v="Preparation - other"/>
    <s v="Non Family Hourly Rates"/>
    <s v="Profit Cost"/>
    <s v="AR"/>
    <s v="Y"/>
    <n v="36.5"/>
    <n v="7.3"/>
    <x v="9"/>
    <s v="VALIDATED"/>
    <n v="1"/>
    <s v="01.11.80.212.6100.0000"/>
    <n v="36.5"/>
    <s v="11"/>
    <s v="6100"/>
    <n v="5034.48"/>
    <n v="36.5"/>
    <s v="CREDITOR"/>
    <n v="0"/>
    <n v="0"/>
    <n v="0"/>
    <n v="0"/>
    <n v="36.5"/>
  </r>
  <r>
    <n v="61553102"/>
    <s v="N"/>
    <n v="21343967"/>
    <s v="3000015667470002"/>
    <s v="CIVIL"/>
    <d v="2023-05-25T00:00:00"/>
    <d v="2023-07-07T19:03:00"/>
    <m/>
    <d v="2023-07-07T00:00:00"/>
    <n v="152"/>
    <n v="21317"/>
    <s v="61553102"/>
    <s v="61553102"/>
    <m/>
    <m/>
    <n v="22578258"/>
    <m/>
    <m/>
    <m/>
    <s v="SOLFIN"/>
    <s v="SOLFIN"/>
    <s v="CCMS"/>
    <n v="21343967"/>
    <n v="8228.379999999999"/>
    <m/>
    <s v="N"/>
    <n v="54"/>
    <d v="2023-07-07T19:03:18"/>
    <s v="Y"/>
    <s v="Attendance upon client"/>
    <s v="Non Family Hourly Rates"/>
    <s v="Profit Cost"/>
    <s v="AR"/>
    <s v="Y"/>
    <n v="85.15000000000001"/>
    <n v="17.03"/>
    <x v="9"/>
    <s v="VALIDATED"/>
    <n v="1"/>
    <s v="01.11.80.212.6100.0000"/>
    <n v="85.15000000000001"/>
    <s v="11"/>
    <s v="6100"/>
    <n v="5034.48"/>
    <n v="85.15000000000001"/>
    <s v="CREDITOR"/>
    <n v="0"/>
    <n v="0"/>
    <n v="0"/>
    <n v="0"/>
    <n v="85.15000000000001"/>
  </r>
  <r>
    <n v="43539773"/>
    <s v="N"/>
    <n v="21327745"/>
    <s v="3000011481210009"/>
    <s v="CIVIL"/>
    <d v="2023-06-27T00:00:00"/>
    <d v="2023-07-04T19:00:44"/>
    <m/>
    <d v="2023-07-04T00:00:00"/>
    <n v="152"/>
    <n v="21317"/>
    <s v="43539773"/>
    <s v="43539773"/>
    <m/>
    <m/>
    <n v="22766686"/>
    <m/>
    <m/>
    <m/>
    <s v="SOLFIN"/>
    <s v="SOLFIN"/>
    <s v="CCMS"/>
    <n v="21327745"/>
    <n v="7960.32"/>
    <m/>
    <s v="N"/>
    <n v="125"/>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3"/>
    <d v="2023-07-04T19:00:53"/>
    <s v="Y"/>
    <s v="Preparation - drafting attendance n"/>
    <s v="VHCC"/>
    <s v="Profit Cost"/>
    <s v="CB"/>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40"/>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01"/>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33"/>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62"/>
    <d v="2023-07-07T19:03:18"/>
    <s v="Y"/>
    <s v="Preparation - other"/>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77"/>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30"/>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75"/>
    <d v="2023-07-07T19:03:18"/>
    <s v="Y"/>
    <s v="Routine Letter Out"/>
    <s v="Non Family Hourly Rates"/>
    <s v="Profit Cost"/>
    <s v="AR"/>
    <s v="Y"/>
    <n v="756"/>
    <n v="151.2"/>
    <x v="9"/>
    <s v="VALIDATED"/>
    <n v="1"/>
    <s v="01.11.80.212.6100.0000"/>
    <n v="756"/>
    <s v="11"/>
    <s v="6100"/>
    <n v="5034.48"/>
    <n v="756"/>
    <s v="CREDITOR"/>
    <n v="0"/>
    <n v="0"/>
    <n v="0"/>
    <n v="0"/>
    <n v="756"/>
  </r>
  <r>
    <n v="61553102"/>
    <s v="N"/>
    <n v="21343967"/>
    <s v="3000015667470002"/>
    <s v="CIVIL"/>
    <d v="2023-05-25T00:00:00"/>
    <d v="2023-07-07T19:03:00"/>
    <m/>
    <d v="2023-07-07T00:00:00"/>
    <n v="152"/>
    <n v="21317"/>
    <s v="61553102"/>
    <s v="61553102"/>
    <m/>
    <m/>
    <n v="22578258"/>
    <m/>
    <m/>
    <m/>
    <s v="SOLFIN"/>
    <s v="SOLFIN"/>
    <s v="CCMS"/>
    <n v="21343967"/>
    <n v="8228.379999999999"/>
    <m/>
    <s v="N"/>
    <n v="21"/>
    <d v="2023-07-07T19:03:18"/>
    <s v="Y"/>
    <s v="Preparation - other"/>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24"/>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65"/>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23"/>
    <d v="2023-07-07T19:03:18"/>
    <s v="Y"/>
    <s v="Preparation - other"/>
    <s v="Non Family Hourly Rates"/>
    <s v="Profit Cost"/>
    <s v="AR"/>
    <s v="Y"/>
    <n v="24.33"/>
    <n v="4.87"/>
    <x v="9"/>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25"/>
    <d v="2023-07-07T19:03:18"/>
    <s v="Y"/>
    <s v="Preparation - other"/>
    <s v="Non Family Hourly Rates"/>
    <s v="Profit Cost"/>
    <s v="AR"/>
    <s v="Y"/>
    <n v="60.83"/>
    <n v="12.17"/>
    <x v="9"/>
    <s v="VALIDATED"/>
    <n v="1"/>
    <s v="01.11.80.212.6100.0000"/>
    <n v="60.83"/>
    <s v="11"/>
    <s v="6100"/>
    <n v="5034.48"/>
    <n v="60.83"/>
    <s v="CREDITOR"/>
    <n v="0"/>
    <n v="0"/>
    <n v="0"/>
    <n v="0"/>
    <n v="60.83"/>
  </r>
  <r>
    <n v="43539773"/>
    <s v="N"/>
    <n v="21327745"/>
    <s v="3000011481210009"/>
    <s v="CIVIL"/>
    <d v="2023-06-27T00:00:00"/>
    <d v="2023-07-04T19:00:44"/>
    <m/>
    <d v="2023-07-04T00:00:00"/>
    <n v="152"/>
    <n v="21317"/>
    <s v="43539773"/>
    <s v="43539773"/>
    <m/>
    <m/>
    <n v="22766686"/>
    <m/>
    <m/>
    <m/>
    <s v="SOLFIN"/>
    <s v="SOLFIN"/>
    <s v="CCMS"/>
    <n v="21327745"/>
    <n v="7960.32"/>
    <m/>
    <s v="N"/>
    <n v="116"/>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5"/>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37"/>
    <d v="2023-07-04T19:00:53"/>
    <s v="Y"/>
    <s v="Preparation - drafting attendance n"/>
    <s v="VHCC"/>
    <s v="Profit Cost"/>
    <s v="CB"/>
    <s v="Y"/>
    <n v="21.47"/>
    <n v="4.29"/>
    <x v="1"/>
    <s v="VALIDATED"/>
    <n v="1"/>
    <s v="01.11.80.212.6100.0000"/>
    <n v="21.47"/>
    <s v="11"/>
    <s v="6100"/>
    <n v="5034.48"/>
    <n v="21.47"/>
    <s v="CREDITOR"/>
    <n v="0"/>
    <n v="0"/>
    <n v="0"/>
    <n v="0"/>
    <n v="21.47"/>
  </r>
  <r>
    <n v="43539773"/>
    <s v="N"/>
    <n v="21327745"/>
    <s v="3000011481210009"/>
    <s v="CIVIL"/>
    <d v="2023-06-27T00:00:00"/>
    <d v="2023-07-04T19:00:44"/>
    <m/>
    <d v="2023-07-04T00:00:00"/>
    <n v="152"/>
    <n v="21317"/>
    <s v="43539773"/>
    <s v="43539773"/>
    <m/>
    <m/>
    <n v="22766686"/>
    <m/>
    <m/>
    <m/>
    <s v="SOLFIN"/>
    <s v="SOLFIN"/>
    <s v="CCMS"/>
    <n v="21327745"/>
    <n v="7960.32"/>
    <m/>
    <s v="N"/>
    <n v="26"/>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47"/>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54"/>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56"/>
    <d v="2023-07-04T19:00:53"/>
    <s v="Y"/>
    <s v="Preparation - other"/>
    <s v="VHCC"/>
    <s v="Profit Cost"/>
    <s v="RC"/>
    <s v="Y"/>
    <n v="36.49"/>
    <n v="7.3"/>
    <x v="1"/>
    <s v="VALIDATED"/>
    <n v="1"/>
    <s v="01.11.80.212.6100.0000"/>
    <n v="36.49"/>
    <s v="11"/>
    <s v="6100"/>
    <n v="5034.48"/>
    <n v="36.49"/>
    <s v="CREDITOR"/>
    <n v="0"/>
    <n v="0"/>
    <n v="0"/>
    <n v="0"/>
    <n v="36.49"/>
  </r>
  <r>
    <n v="10212732"/>
    <s v="N"/>
    <n v="21319919"/>
    <s v="3000006086300009"/>
    <s v="CIVIL"/>
    <d v="2023-06-28T00:00:00"/>
    <d v="2023-07-03T19:04:24"/>
    <m/>
    <d v="2023-07-03T00:00:00"/>
    <n v="152"/>
    <n v="21317"/>
    <s v="10212732"/>
    <s v="10212732"/>
    <m/>
    <m/>
    <n v="22777002"/>
    <m/>
    <m/>
    <m/>
    <s v="SOLPOA"/>
    <s v="SOLPOA"/>
    <s v="CCMS"/>
    <n v="21319919"/>
    <n v="275"/>
    <m/>
    <s v="N"/>
    <n v="1"/>
    <d v="2023-07-03T19:04:28"/>
    <s v="N"/>
    <s v="Non Expert Disbursement"/>
    <s v="Non Expert Disbursement"/>
    <s v="Non Expert Disbursement"/>
    <s v="David Shaw"/>
    <s v="N"/>
    <n v="275"/>
    <n v="0"/>
    <x v="3"/>
    <s v="VALIDATED"/>
    <n v="1"/>
    <s v="01.11.80.201.2012.0000"/>
    <n v="275"/>
    <s v="11"/>
    <s v="2012"/>
    <n v="5034.48"/>
    <n v="275"/>
    <s v="CREDITOR"/>
    <n v="275"/>
    <n v="0"/>
    <n v="0"/>
    <n v="0"/>
    <n v="0"/>
  </r>
  <r>
    <n v="61553102"/>
    <s v="N"/>
    <n v="21343967"/>
    <s v="3000015667470002"/>
    <s v="CIVIL"/>
    <d v="2023-05-25T00:00:00"/>
    <d v="2023-07-07T19:03:00"/>
    <m/>
    <d v="2023-07-07T00:00:00"/>
    <n v="152"/>
    <n v="21317"/>
    <s v="61553102"/>
    <s v="61553102"/>
    <m/>
    <m/>
    <n v="22578258"/>
    <m/>
    <m/>
    <m/>
    <s v="SOLFIN"/>
    <s v="SOLFIN"/>
    <s v="CCMS"/>
    <n v="21343967"/>
    <n v="8228.379999999999"/>
    <m/>
    <s v="N"/>
    <n v="68"/>
    <d v="2023-07-07T19:03:18"/>
    <s v="Y"/>
    <s v="Preparation - other"/>
    <s v="Non Family Hourly Rates"/>
    <s v="Profit Cost"/>
    <s v="AR"/>
    <s v="Y"/>
    <n v="14.31"/>
    <n v="2.86"/>
    <x v="9"/>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43"/>
    <d v="2023-07-07T19:03:18"/>
    <s v="N"/>
    <s v="Preparation - Periodic file review"/>
    <s v="Non Family Hourly Rates"/>
    <s v="Profit Cost"/>
    <s v="AR"/>
    <s v="N"/>
    <n v="0"/>
    <n v="0"/>
    <x v="9"/>
    <s v="VALIDATED"/>
    <n v="1"/>
    <s v="01.11.80.212.6100.0000"/>
    <n v="0"/>
    <s v="11"/>
    <s v="6100"/>
    <n v="5034.48"/>
    <n v="0"/>
    <s v="CREDITOR"/>
    <n v="0"/>
    <n v="0"/>
    <n v="0"/>
    <n v="0"/>
    <n v="0"/>
  </r>
  <r>
    <n v="61553102"/>
    <s v="N"/>
    <n v="21343967"/>
    <s v="3000015667470002"/>
    <s v="CIVIL"/>
    <d v="2023-05-25T00:00:00"/>
    <d v="2023-07-07T19:03:00"/>
    <m/>
    <d v="2023-07-07T00:00:00"/>
    <n v="152"/>
    <n v="21317"/>
    <s v="61553102"/>
    <s v="61553102"/>
    <m/>
    <m/>
    <n v="22578258"/>
    <m/>
    <m/>
    <m/>
    <s v="SOLFIN"/>
    <s v="SOLFIN"/>
    <s v="CCMS"/>
    <n v="21343967"/>
    <n v="8228.379999999999"/>
    <m/>
    <s v="N"/>
    <n v="50"/>
    <d v="2023-07-07T19:03:18"/>
    <s v="Y"/>
    <s v="Preparation - drafting statement"/>
    <s v="Non Family Hourly Rates"/>
    <s v="Profit Cost"/>
    <s v="AR"/>
    <s v="Y"/>
    <n v="681.16"/>
    <n v="136.24"/>
    <x v="9"/>
    <s v="VALIDATED"/>
    <n v="1"/>
    <s v="01.11.80.212.6100.0000"/>
    <n v="681.16"/>
    <s v="11"/>
    <s v="6100"/>
    <n v="5034.48"/>
    <n v="681.16"/>
    <s v="CREDITOR"/>
    <n v="0"/>
    <n v="0"/>
    <n v="0"/>
    <n v="0"/>
    <n v="681.16"/>
  </r>
  <r>
    <n v="43539773"/>
    <s v="N"/>
    <n v="21327745"/>
    <s v="3000011481210009"/>
    <s v="CIVIL"/>
    <d v="2023-06-27T00:00:00"/>
    <d v="2023-07-04T19:00:44"/>
    <m/>
    <d v="2023-07-04T00:00:00"/>
    <n v="152"/>
    <n v="21317"/>
    <s v="43539773"/>
    <s v="43539773"/>
    <m/>
    <m/>
    <n v="22766686"/>
    <m/>
    <m/>
    <m/>
    <s v="SOLFIN"/>
    <s v="SOLFIN"/>
    <s v="CCMS"/>
    <n v="21327745"/>
    <n v="7960.32"/>
    <m/>
    <s v="N"/>
    <n v="134"/>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59"/>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67"/>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29"/>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93"/>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41"/>
    <d v="2023-07-04T19:00:53"/>
    <s v="Y"/>
    <s v="Preparation - other"/>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58"/>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97"/>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8"/>
    <d v="2023-07-07T19:03:18"/>
    <s v="N"/>
    <s v="Preparation - other"/>
    <s v="Non Family Hourly Rates"/>
    <s v="Profit Cost"/>
    <s v="AR"/>
    <s v="N"/>
    <n v="48.65"/>
    <n v="9.73"/>
    <x v="9"/>
    <s v="VALIDATED"/>
    <n v="1"/>
    <s v="01.11.80.212.6100.0000"/>
    <n v="48.65"/>
    <s v="11"/>
    <s v="6100"/>
    <n v="5034.48"/>
    <n v="48.65"/>
    <s v="CREDITOR"/>
    <n v="0"/>
    <n v="0"/>
    <n v="0"/>
    <n v="0"/>
    <n v="48.65"/>
  </r>
  <r>
    <n v="43539773"/>
    <s v="N"/>
    <n v="21327745"/>
    <s v="3000011481210009"/>
    <s v="CIVIL"/>
    <d v="2023-06-27T00:00:00"/>
    <d v="2023-07-04T19:00:44"/>
    <m/>
    <d v="2023-07-04T00:00:00"/>
    <n v="152"/>
    <n v="21317"/>
    <s v="43539773"/>
    <s v="43539773"/>
    <m/>
    <m/>
    <n v="22766686"/>
    <m/>
    <m/>
    <m/>
    <s v="SOLFIN"/>
    <s v="SOLFIN"/>
    <s v="CCMS"/>
    <n v="21327745"/>
    <n v="7960.32"/>
    <m/>
    <s v="N"/>
    <n v="23"/>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169"/>
    <d v="2023-07-04T19:00:53"/>
    <s v="Y"/>
    <s v="Preparation - drafting bill/claim f"/>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36"/>
    <d v="2023-07-07T19:03:18"/>
    <s v="Y"/>
    <s v="Attendance upon client"/>
    <s v="Non Family Hourly Rates"/>
    <s v="Profit Cost"/>
    <s v="AR"/>
    <s v="Y"/>
    <n v="48.65"/>
    <n v="9.73"/>
    <x v="9"/>
    <s v="VALIDATED"/>
    <n v="1"/>
    <s v="01.11.80.212.6100.0000"/>
    <n v="48.65"/>
    <s v="11"/>
    <s v="6100"/>
    <n v="5034.48"/>
    <n v="48.65"/>
    <s v="CREDITOR"/>
    <n v="0"/>
    <n v="0"/>
    <n v="0"/>
    <n v="0"/>
    <n v="48.65"/>
  </r>
  <r>
    <n v="61553102"/>
    <s v="N"/>
    <n v="21343967"/>
    <s v="3000015667470002"/>
    <s v="CIVIL"/>
    <d v="2023-05-25T00:00:00"/>
    <d v="2023-07-07T19:03:00"/>
    <m/>
    <d v="2023-07-07T00:00:00"/>
    <n v="152"/>
    <n v="21317"/>
    <s v="61553102"/>
    <s v="61553102"/>
    <m/>
    <m/>
    <n v="22578258"/>
    <m/>
    <m/>
    <m/>
    <s v="SOLFIN"/>
    <s v="SOLFIN"/>
    <s v="CCMS"/>
    <n v="21343967"/>
    <n v="8228.379999999999"/>
    <m/>
    <s v="N"/>
    <n v="37"/>
    <d v="2023-07-07T19:03:18"/>
    <s v="Y"/>
    <s v="Preparation - other"/>
    <s v="Non Family Hourly Rates"/>
    <s v="Profit Cost"/>
    <s v="AR"/>
    <s v="Y"/>
    <n v="194.62"/>
    <n v="38.93"/>
    <x v="9"/>
    <s v="VALIDATED"/>
    <n v="1"/>
    <s v="01.11.80.212.6100.0000"/>
    <n v="194.62"/>
    <s v="11"/>
    <s v="6100"/>
    <n v="5034.48"/>
    <n v="194.62"/>
    <s v="CREDITOR"/>
    <n v="0"/>
    <n v="0"/>
    <n v="0"/>
    <n v="0"/>
    <n v="194.62"/>
  </r>
  <r>
    <n v="61553102"/>
    <s v="N"/>
    <n v="21343967"/>
    <s v="3000015667470002"/>
    <s v="CIVIL"/>
    <d v="2023-05-25T00:00:00"/>
    <d v="2023-07-07T19:03:00"/>
    <m/>
    <d v="2023-07-07T00:00:00"/>
    <n v="152"/>
    <n v="21317"/>
    <s v="61553102"/>
    <s v="61553102"/>
    <m/>
    <m/>
    <n v="22578258"/>
    <m/>
    <m/>
    <m/>
    <s v="SOLFIN"/>
    <s v="SOLFIN"/>
    <s v="CCMS"/>
    <n v="21343967"/>
    <n v="8228.379999999999"/>
    <m/>
    <s v="N"/>
    <n v="38"/>
    <d v="2023-07-07T19:03:18"/>
    <s v="Y"/>
    <s v="Preparation - drafting instructions"/>
    <s v="Non Family Hourly Rates"/>
    <s v="Profit Cost"/>
    <s v="AR"/>
    <s v="Y"/>
    <n v="24.33"/>
    <n v="4.87"/>
    <x v="9"/>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48"/>
    <d v="2023-07-07T19:03:18"/>
    <s v="Y"/>
    <s v="Preparation - drafting statement"/>
    <s v="Non Family Hourly Rates"/>
    <s v="Profit Cost"/>
    <s v="AR"/>
    <s v="Y"/>
    <n v="170.29"/>
    <n v="34.06"/>
    <x v="9"/>
    <s v="VALIDATED"/>
    <n v="1"/>
    <s v="01.11.80.212.6100.0000"/>
    <n v="170.29"/>
    <s v="11"/>
    <s v="6100"/>
    <n v="5034.48"/>
    <n v="170.29"/>
    <s v="CREDITOR"/>
    <n v="0"/>
    <n v="0"/>
    <n v="0"/>
    <n v="0"/>
    <n v="170.29"/>
  </r>
  <r>
    <n v="43539773"/>
    <s v="N"/>
    <n v="21327745"/>
    <s v="3000011481210009"/>
    <s v="CIVIL"/>
    <d v="2023-06-27T00:00:00"/>
    <d v="2023-07-04T19:00:44"/>
    <m/>
    <d v="2023-07-04T00:00:00"/>
    <n v="152"/>
    <n v="21317"/>
    <s v="43539773"/>
    <s v="43539773"/>
    <m/>
    <m/>
    <n v="22766686"/>
    <m/>
    <m/>
    <m/>
    <s v="SOLFIN"/>
    <s v="SOLFIN"/>
    <s v="CCMS"/>
    <n v="21327745"/>
    <n v="7960.32"/>
    <m/>
    <s v="N"/>
    <n v="16"/>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19"/>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146"/>
    <d v="2023-07-04T19:00:53"/>
    <s v="Y"/>
    <s v="Attendance upon other"/>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10"/>
    <d v="2023-07-07T19:03:18"/>
    <s v="N"/>
    <s v="Attendance upon client"/>
    <s v="Non Family Hourly Rates"/>
    <s v="Profit Cost"/>
    <s v="RC"/>
    <s v="N"/>
    <n v="85.15000000000001"/>
    <n v="17.03"/>
    <x v="9"/>
    <s v="VALIDATED"/>
    <n v="1"/>
    <s v="01.11.80.212.6100.0000"/>
    <n v="85.15000000000001"/>
    <s v="11"/>
    <s v="6100"/>
    <n v="5034.48"/>
    <n v="85.15000000000001"/>
    <s v="CREDITOR"/>
    <n v="0"/>
    <n v="0"/>
    <n v="0"/>
    <n v="0"/>
    <n v="85.15000000000001"/>
  </r>
  <r>
    <n v="61553102"/>
    <s v="N"/>
    <n v="21343967"/>
    <s v="3000015667470002"/>
    <s v="CIVIL"/>
    <d v="2023-05-25T00:00:00"/>
    <d v="2023-07-07T19:03:00"/>
    <m/>
    <d v="2023-07-07T00:00:00"/>
    <n v="152"/>
    <n v="21317"/>
    <s v="61553102"/>
    <s v="61553102"/>
    <m/>
    <m/>
    <n v="22578258"/>
    <m/>
    <m/>
    <m/>
    <s v="SOLFIN"/>
    <s v="SOLFIN"/>
    <s v="CCMS"/>
    <n v="21343967"/>
    <n v="8228.379999999999"/>
    <m/>
    <s v="N"/>
    <n v="51"/>
    <d v="2023-07-07T19:03:18"/>
    <s v="Y"/>
    <s v="Preparation - drafting statement"/>
    <s v="Non Family Hourly Rates"/>
    <s v="Profit Cost"/>
    <s v="AR"/>
    <s v="Y"/>
    <n v="109.48"/>
    <n v="21.9"/>
    <x v="9"/>
    <s v="VALIDATED"/>
    <n v="1"/>
    <s v="01.11.80.212.6100.0000"/>
    <n v="109.48"/>
    <s v="11"/>
    <s v="6100"/>
    <n v="5034.48"/>
    <n v="109.48"/>
    <s v="CREDITOR"/>
    <n v="0"/>
    <n v="0"/>
    <n v="0"/>
    <n v="0"/>
    <n v="109.48"/>
  </r>
  <r>
    <n v="43539773"/>
    <s v="N"/>
    <n v="21327745"/>
    <s v="3000011481210009"/>
    <s v="CIVIL"/>
    <d v="2023-06-27T00:00:00"/>
    <d v="2023-07-04T19:00:44"/>
    <m/>
    <d v="2023-07-04T00:00:00"/>
    <n v="152"/>
    <n v="21317"/>
    <s v="43539773"/>
    <s v="43539773"/>
    <m/>
    <m/>
    <n v="22766686"/>
    <m/>
    <m/>
    <m/>
    <s v="SOLFIN"/>
    <s v="SOLFIN"/>
    <s v="CCMS"/>
    <n v="21327745"/>
    <n v="7960.32"/>
    <m/>
    <s v="N"/>
    <n v="137"/>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44"/>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46"/>
    <d v="2023-07-04T19:00:53"/>
    <s v="Y"/>
    <s v="Preparation - other"/>
    <s v="VHCC"/>
    <s v="Profit Cost"/>
    <s v="RC"/>
    <s v="Y"/>
    <n v="36.49"/>
    <n v="7.3"/>
    <x v="1"/>
    <s v="VALIDATED"/>
    <n v="1"/>
    <s v="01.11.80.212.6100.0000"/>
    <n v="36.49"/>
    <s v="11"/>
    <s v="6100"/>
    <n v="5034.48"/>
    <n v="36.49"/>
    <s v="CREDITOR"/>
    <n v="0"/>
    <n v="0"/>
    <n v="0"/>
    <n v="0"/>
    <n v="36.49"/>
  </r>
  <r>
    <n v="61553102"/>
    <s v="N"/>
    <n v="21343967"/>
    <s v="3000015667470002"/>
    <s v="CIVIL"/>
    <d v="2023-05-25T00:00:00"/>
    <d v="2023-07-07T19:03:00"/>
    <m/>
    <d v="2023-07-07T00:00:00"/>
    <n v="152"/>
    <n v="21317"/>
    <s v="61553102"/>
    <s v="61553102"/>
    <m/>
    <m/>
    <n v="22578258"/>
    <m/>
    <m/>
    <m/>
    <s v="SOLFIN"/>
    <s v="SOLFIN"/>
    <s v="CCMS"/>
    <n v="21343967"/>
    <n v="8228.379999999999"/>
    <m/>
    <s v="N"/>
    <n v="76"/>
    <d v="2023-07-07T19:03:18"/>
    <s v="N"/>
    <m/>
    <m/>
    <s v="Overall Adjustment"/>
    <m/>
    <s v="N"/>
    <n v="-793.16"/>
    <n v="-158.68"/>
    <x v="9"/>
    <s v="VALIDATED"/>
    <n v="1"/>
    <s v="01.11.80.212.6100.0000"/>
    <n v="-793.16"/>
    <s v="11"/>
    <s v="6100"/>
    <n v="5034.48"/>
    <n v="-793.16"/>
    <s v="CREDITOR"/>
    <n v="0"/>
    <n v="0"/>
    <n v="0"/>
    <n v="0"/>
    <n v="-793.16"/>
  </r>
  <r>
    <n v="61553102"/>
    <s v="N"/>
    <n v="21343967"/>
    <s v="3000015667470002"/>
    <s v="CIVIL"/>
    <d v="2023-05-25T00:00:00"/>
    <d v="2023-07-07T19:03:00"/>
    <m/>
    <d v="2023-07-07T00:00:00"/>
    <n v="152"/>
    <n v="21317"/>
    <s v="61553102"/>
    <s v="61553102"/>
    <m/>
    <m/>
    <n v="22578258"/>
    <m/>
    <m/>
    <m/>
    <s v="SOLFIN"/>
    <s v="SOLFIN"/>
    <s v="CCMS"/>
    <n v="21343967"/>
    <n v="8228.379999999999"/>
    <m/>
    <s v="N"/>
    <n v="16"/>
    <d v="2023-07-07T19:03:18"/>
    <s v="Y"/>
    <s v="Preparation - other"/>
    <s v="Non Family Hourly Rates"/>
    <s v="Profit Cost"/>
    <s v="AR"/>
    <s v="Y"/>
    <n v="24.33"/>
    <n v="4.87"/>
    <x v="9"/>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32"/>
    <d v="2023-07-07T19:03:18"/>
    <s v="Y"/>
    <s v="Preparation - other"/>
    <s v="Non Family Hourly Rates"/>
    <s v="Profit Cost"/>
    <s v="AR"/>
    <s v="Y"/>
    <n v="48.65"/>
    <n v="9.73"/>
    <x v="9"/>
    <s v="VALIDATED"/>
    <n v="1"/>
    <s v="01.11.80.212.6100.0000"/>
    <n v="48.65"/>
    <s v="11"/>
    <s v="6100"/>
    <n v="5034.48"/>
    <n v="48.65"/>
    <s v="CREDITOR"/>
    <n v="0"/>
    <n v="0"/>
    <n v="0"/>
    <n v="0"/>
    <n v="48.65"/>
  </r>
  <r>
    <n v="43539773"/>
    <s v="N"/>
    <n v="21327745"/>
    <s v="3000011481210009"/>
    <s v="CIVIL"/>
    <d v="2023-06-27T00:00:00"/>
    <d v="2023-07-04T19:00:44"/>
    <m/>
    <d v="2023-07-04T00:00:00"/>
    <n v="152"/>
    <n v="21317"/>
    <s v="43539773"/>
    <s v="43539773"/>
    <m/>
    <m/>
    <n v="22766686"/>
    <m/>
    <m/>
    <m/>
    <s v="SOLFIN"/>
    <s v="SOLFIN"/>
    <s v="CCMS"/>
    <n v="21327745"/>
    <n v="7960.32"/>
    <m/>
    <s v="N"/>
    <n v="177"/>
    <d v="2023-07-04T19:00:53"/>
    <s v="Y"/>
    <s v="Expert - Other"/>
    <s v="VHCC"/>
    <s v="Expert Disbursement"/>
    <s v="XXX"/>
    <s v="Y"/>
    <n v="405"/>
    <n v="0"/>
    <x v="1"/>
    <s v="VALIDATED"/>
    <n v="1"/>
    <s v="01.11.80.212.6300.0000"/>
    <n v="405"/>
    <s v="11"/>
    <s v="6300"/>
    <n v="5034.48"/>
    <n v="405"/>
    <s v="CREDITOR"/>
    <n v="0"/>
    <n v="0"/>
    <n v="0"/>
    <n v="0"/>
    <n v="405"/>
  </r>
  <r>
    <n v="43539773"/>
    <s v="N"/>
    <n v="21327745"/>
    <s v="3000011481210009"/>
    <s v="CIVIL"/>
    <d v="2023-06-27T00:00:00"/>
    <d v="2023-07-04T19:00:44"/>
    <m/>
    <d v="2023-07-04T00:00:00"/>
    <n v="152"/>
    <n v="21317"/>
    <s v="43539773"/>
    <s v="43539773"/>
    <m/>
    <m/>
    <n v="22766686"/>
    <m/>
    <m/>
    <m/>
    <s v="SOLFIN"/>
    <s v="SOLFIN"/>
    <s v="CCMS"/>
    <n v="21327745"/>
    <n v="7960.32"/>
    <m/>
    <s v="N"/>
    <n v="21"/>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148"/>
    <d v="2023-07-04T19:00:53"/>
    <s v="Y"/>
    <s v="Attendance upon other"/>
    <s v="VHCC"/>
    <s v="Profit Cost"/>
    <s v="RC"/>
    <s v="Y"/>
    <n v="14.31"/>
    <n v="2.86"/>
    <x v="1"/>
    <s v="VALIDATED"/>
    <n v="1"/>
    <s v="01.11.80.212.6100.0000"/>
    <n v="14.31"/>
    <s v="11"/>
    <s v="6100"/>
    <n v="5034.48"/>
    <n v="14.31"/>
    <s v="CREDITOR"/>
    <n v="0"/>
    <n v="0"/>
    <n v="0"/>
    <n v="0"/>
    <n v="14.31"/>
  </r>
  <r>
    <n v="43539773"/>
    <s v="N"/>
    <n v="21328535"/>
    <s v="3000011481210001RC"/>
    <s v="CIVIL"/>
    <d v="2023-06-27T00:00:00"/>
    <d v="2023-07-04T19:38:21"/>
    <m/>
    <d v="2023-07-04T00:00:00"/>
    <n v="152"/>
    <n v="21317"/>
    <s v="43539773"/>
    <s v="43539773"/>
    <m/>
    <m/>
    <m/>
    <m/>
    <m/>
    <m/>
    <s v="SOLRECOUP"/>
    <s v="SOLRECOUP"/>
    <s v="POARECOUP"/>
    <n v="21328535"/>
    <n v="-1651.93"/>
    <m/>
    <s v="Y"/>
    <n v="2"/>
    <d v="2023-07-04T19:38:21"/>
    <s v="N"/>
    <m/>
    <m/>
    <s v="Profit Cost"/>
    <m/>
    <s v="N"/>
    <n v="0"/>
    <n v="-275.32"/>
    <x v="1"/>
    <s v="VALIDATED"/>
    <n v="1"/>
    <s v="01.11.80.212.2013.0000"/>
    <n v="-275.32"/>
    <s v="11"/>
    <s v="2013"/>
    <n v="5034.48"/>
    <n v="-275.32"/>
    <s v="CREDITOR"/>
    <n v="0"/>
    <n v="0"/>
    <n v="-275.32"/>
    <n v="-68.83"/>
    <n v="0"/>
  </r>
  <r>
    <n v="43539773"/>
    <s v="N"/>
    <n v="21327745"/>
    <s v="3000011481210009"/>
    <s v="CIVIL"/>
    <d v="2023-06-27T00:00:00"/>
    <d v="2023-07-04T19:00:44"/>
    <m/>
    <d v="2023-07-04T00:00:00"/>
    <n v="152"/>
    <n v="21317"/>
    <s v="43539773"/>
    <s v="43539773"/>
    <m/>
    <m/>
    <n v="22766686"/>
    <m/>
    <m/>
    <m/>
    <s v="SOLFIN"/>
    <s v="SOLFIN"/>
    <s v="CCMS"/>
    <n v="21327745"/>
    <n v="7960.32"/>
    <m/>
    <s v="N"/>
    <n v="92"/>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63"/>
    <d v="2023-07-07T19:03:18"/>
    <s v="Y"/>
    <s v="Preparation - other"/>
    <s v="Non Family Hourly Rates"/>
    <s v="Profit Cost"/>
    <s v="AR"/>
    <s v="Y"/>
    <n v="109.48"/>
    <n v="21.9"/>
    <x v="9"/>
    <s v="VALIDATED"/>
    <n v="1"/>
    <s v="01.11.80.212.6100.0000"/>
    <n v="109.48"/>
    <s v="11"/>
    <s v="6100"/>
    <n v="5034.48"/>
    <n v="109.48"/>
    <s v="CREDITOR"/>
    <n v="0"/>
    <n v="0"/>
    <n v="0"/>
    <n v="0"/>
    <n v="109.48"/>
  </r>
  <r>
    <n v="61553102"/>
    <s v="N"/>
    <n v="21343967"/>
    <s v="3000015667470002"/>
    <s v="CIVIL"/>
    <d v="2023-05-25T00:00:00"/>
    <d v="2023-07-07T19:03:00"/>
    <m/>
    <d v="2023-07-07T00:00:00"/>
    <n v="152"/>
    <n v="21317"/>
    <s v="61553102"/>
    <s v="61553102"/>
    <m/>
    <m/>
    <n v="22578258"/>
    <m/>
    <m/>
    <m/>
    <s v="SOLFIN"/>
    <s v="SOLFIN"/>
    <s v="CCMS"/>
    <n v="21343967"/>
    <n v="8228.379999999999"/>
    <m/>
    <s v="N"/>
    <n v="71"/>
    <d v="2023-07-07T19:03:18"/>
    <s v="Y"/>
    <s v="Preparation - other"/>
    <s v="Non Family Hourly Rates"/>
    <s v="Profit Cost"/>
    <s v="AR"/>
    <s v="Y"/>
    <n v="14.31"/>
    <n v="2.86"/>
    <x v="9"/>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32"/>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
    <d v="2023-07-04T19:00:53"/>
    <s v="Y"/>
    <s v="Preparation - drafting application"/>
    <s v="VHCC"/>
    <s v="Profit Cost"/>
    <s v="RC"/>
    <s v="Y"/>
    <n v="57.24"/>
    <n v="11.45"/>
    <x v="1"/>
    <s v="VALIDATED"/>
    <n v="1"/>
    <s v="01.11.80.212.6100.0000"/>
    <n v="57.24"/>
    <s v="11"/>
    <s v="6100"/>
    <n v="5034.48"/>
    <n v="57.24"/>
    <s v="CREDITOR"/>
    <n v="0"/>
    <n v="0"/>
    <n v="0"/>
    <n v="0"/>
    <n v="57.24"/>
  </r>
  <r>
    <n v="43539773"/>
    <s v="N"/>
    <n v="21327745"/>
    <s v="3000011481210009"/>
    <s v="CIVIL"/>
    <d v="2023-06-27T00:00:00"/>
    <d v="2023-07-04T19:00:44"/>
    <m/>
    <d v="2023-07-04T00:00:00"/>
    <n v="152"/>
    <n v="21317"/>
    <s v="43539773"/>
    <s v="43539773"/>
    <m/>
    <m/>
    <n v="22766686"/>
    <m/>
    <m/>
    <m/>
    <s v="SOLFIN"/>
    <s v="SOLFIN"/>
    <s v="CCMS"/>
    <n v="21327745"/>
    <n v="7960.32"/>
    <m/>
    <s v="N"/>
    <n v="104"/>
    <d v="2023-07-04T19:00:53"/>
    <s v="Y"/>
    <s v="Attendance upon other"/>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28"/>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166"/>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68"/>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99"/>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20"/>
    <d v="2023-07-07T19:03:18"/>
    <s v="Y"/>
    <s v="Preparation - other"/>
    <s v="Non Family Hourly Rates"/>
    <s v="Profit Cost"/>
    <s v="AR"/>
    <s v="Y"/>
    <n v="36.5"/>
    <n v="7.3"/>
    <x v="9"/>
    <s v="VALIDATED"/>
    <n v="1"/>
    <s v="01.11.80.212.6100.0000"/>
    <n v="36.5"/>
    <s v="11"/>
    <s v="6100"/>
    <n v="5034.48"/>
    <n v="36.5"/>
    <s v="CREDITOR"/>
    <n v="0"/>
    <n v="0"/>
    <n v="0"/>
    <n v="0"/>
    <n v="36.5"/>
  </r>
  <r>
    <n v="43539773"/>
    <s v="N"/>
    <n v="21327745"/>
    <s v="3000011481210009"/>
    <s v="CIVIL"/>
    <d v="2023-06-27T00:00:00"/>
    <d v="2023-07-04T19:00:44"/>
    <m/>
    <d v="2023-07-04T00:00:00"/>
    <n v="152"/>
    <n v="21317"/>
    <s v="43539773"/>
    <s v="43539773"/>
    <m/>
    <m/>
    <n v="22766686"/>
    <m/>
    <m/>
    <m/>
    <s v="SOLFIN"/>
    <s v="SOLFIN"/>
    <s v="CCMS"/>
    <n v="21327745"/>
    <n v="7960.32"/>
    <m/>
    <s v="N"/>
    <n v="73"/>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22"/>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57"/>
    <d v="2023-07-04T19:00:53"/>
    <s v="Y"/>
    <s v="Preparation - other"/>
    <s v="VHCC"/>
    <s v="Profit Cost"/>
    <s v="RC"/>
    <s v="Y"/>
    <n v="36.49"/>
    <n v="7.3"/>
    <x v="1"/>
    <s v="VALIDATED"/>
    <n v="1"/>
    <s v="01.11.80.212.6100.0000"/>
    <n v="36.49"/>
    <s v="11"/>
    <s v="6100"/>
    <n v="5034.48"/>
    <n v="36.49"/>
    <s v="CREDITOR"/>
    <n v="0"/>
    <n v="0"/>
    <n v="0"/>
    <n v="0"/>
    <n v="36.49"/>
  </r>
  <r>
    <n v="61553102"/>
    <s v="N"/>
    <n v="21343967"/>
    <s v="3000015667470002"/>
    <s v="CIVIL"/>
    <d v="2023-05-25T00:00:00"/>
    <d v="2023-07-07T19:03:00"/>
    <m/>
    <d v="2023-07-07T00:00:00"/>
    <n v="152"/>
    <n v="21317"/>
    <s v="61553102"/>
    <s v="61553102"/>
    <m/>
    <m/>
    <n v="22578258"/>
    <m/>
    <m/>
    <m/>
    <s v="SOLFIN"/>
    <s v="SOLFIN"/>
    <s v="CCMS"/>
    <n v="21343967"/>
    <n v="8228.379999999999"/>
    <m/>
    <s v="N"/>
    <n v="3"/>
    <d v="2023-07-07T19:03:18"/>
    <s v="N"/>
    <s v="Attendance upon/with Counsel at Con"/>
    <s v="Non Family Hourly Rates"/>
    <s v="Profit Cost"/>
    <s v="AR"/>
    <s v="N"/>
    <n v="13.32"/>
    <n v="2.66"/>
    <x v="9"/>
    <s v="VALIDATED"/>
    <n v="1"/>
    <s v="01.11.80.212.6100.0000"/>
    <n v="13.32"/>
    <s v="11"/>
    <s v="6100"/>
    <n v="5034.48"/>
    <n v="13.32"/>
    <s v="CREDITOR"/>
    <n v="0"/>
    <n v="0"/>
    <n v="0"/>
    <n v="0"/>
    <n v="13.32"/>
  </r>
  <r>
    <n v="61553102"/>
    <s v="N"/>
    <n v="21343967"/>
    <s v="3000015667470002"/>
    <s v="CIVIL"/>
    <d v="2023-05-25T00:00:00"/>
    <d v="2023-07-07T19:03:00"/>
    <m/>
    <d v="2023-07-07T00:00:00"/>
    <n v="152"/>
    <n v="21317"/>
    <s v="61553102"/>
    <s v="61553102"/>
    <m/>
    <m/>
    <n v="22578258"/>
    <m/>
    <m/>
    <m/>
    <s v="SOLFIN"/>
    <s v="SOLFIN"/>
    <s v="CCMS"/>
    <n v="21343967"/>
    <n v="8228.379999999999"/>
    <m/>
    <s v="N"/>
    <n v="9"/>
    <d v="2023-07-07T19:03:18"/>
    <s v="N"/>
    <s v="Preparation - other"/>
    <s v="Non Family Hourly Rates"/>
    <s v="Profit Cost"/>
    <s v="AR"/>
    <s v="N"/>
    <n v="158.13"/>
    <n v="31.63"/>
    <x v="9"/>
    <s v="VALIDATED"/>
    <n v="1"/>
    <s v="01.11.80.212.6100.0000"/>
    <n v="158.13"/>
    <s v="11"/>
    <s v="6100"/>
    <n v="5034.48"/>
    <n v="158.13"/>
    <s v="CREDITOR"/>
    <n v="0"/>
    <n v="0"/>
    <n v="0"/>
    <n v="0"/>
    <n v="158.13"/>
  </r>
  <r>
    <n v="43539773"/>
    <s v="N"/>
    <n v="21327745"/>
    <s v="3000011481210009"/>
    <s v="CIVIL"/>
    <d v="2023-06-27T00:00:00"/>
    <d v="2023-07-04T19:00:44"/>
    <m/>
    <d v="2023-07-04T00:00:00"/>
    <n v="152"/>
    <n v="21317"/>
    <s v="43539773"/>
    <s v="43539773"/>
    <m/>
    <m/>
    <n v="22766686"/>
    <m/>
    <m/>
    <m/>
    <s v="SOLFIN"/>
    <s v="SOLFIN"/>
    <s v="CCMS"/>
    <n v="21327745"/>
    <n v="7960.32"/>
    <m/>
    <s v="N"/>
    <n v="50"/>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165"/>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72"/>
    <d v="2023-07-04T19:00:53"/>
    <s v="Y"/>
    <s v="Preparation - drafting bill/claim f"/>
    <s v="VHCC"/>
    <s v="Profit Cost"/>
    <s v="MSK"/>
    <s v="Y"/>
    <n v="329.13"/>
    <n v="65.81999999999999"/>
    <x v="1"/>
    <s v="VALIDATED"/>
    <n v="1"/>
    <s v="01.11.80.212.6100.0000"/>
    <n v="329.13"/>
    <s v="11"/>
    <s v="6100"/>
    <n v="5034.48"/>
    <n v="329.13"/>
    <s v="CREDITOR"/>
    <n v="0"/>
    <n v="0"/>
    <n v="0"/>
    <n v="0"/>
    <n v="329.13"/>
  </r>
  <r>
    <n v="43539773"/>
    <s v="N"/>
    <n v="21327745"/>
    <s v="3000011481210009"/>
    <s v="CIVIL"/>
    <d v="2023-06-27T00:00:00"/>
    <d v="2023-07-04T19:00:44"/>
    <m/>
    <d v="2023-07-04T00:00:00"/>
    <n v="152"/>
    <n v="21317"/>
    <s v="43539773"/>
    <s v="43539773"/>
    <m/>
    <m/>
    <n v="22766686"/>
    <m/>
    <m/>
    <m/>
    <s v="SOLFIN"/>
    <s v="SOLFIN"/>
    <s v="CCMS"/>
    <n v="21327745"/>
    <n v="7960.32"/>
    <m/>
    <s v="N"/>
    <n v="95"/>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12"/>
    <d v="2023-07-07T19:03:18"/>
    <s v="Y"/>
    <s v="Preparation - other"/>
    <s v="Non Family Hourly Rates"/>
    <s v="Profit Cost"/>
    <s v="RC"/>
    <s v="Y"/>
    <n v="165.36"/>
    <n v="33.07"/>
    <x v="9"/>
    <s v="VALIDATED"/>
    <n v="1"/>
    <s v="01.11.80.212.6100.0000"/>
    <n v="165.36"/>
    <s v="11"/>
    <s v="6100"/>
    <n v="5034.48"/>
    <n v="165.36"/>
    <s v="CREDITOR"/>
    <n v="0"/>
    <n v="0"/>
    <n v="0"/>
    <n v="0"/>
    <n v="165.36"/>
  </r>
  <r>
    <n v="43539773"/>
    <s v="N"/>
    <n v="21327745"/>
    <s v="3000011481210009"/>
    <s v="CIVIL"/>
    <d v="2023-06-27T00:00:00"/>
    <d v="2023-07-04T19:00:44"/>
    <m/>
    <d v="2023-07-04T00:00:00"/>
    <n v="152"/>
    <n v="21317"/>
    <s v="43539773"/>
    <s v="43539773"/>
    <m/>
    <m/>
    <n v="22766686"/>
    <m/>
    <m/>
    <m/>
    <s v="SOLFIN"/>
    <s v="SOLFIN"/>
    <s v="CCMS"/>
    <n v="21327745"/>
    <n v="7960.32"/>
    <m/>
    <s v="N"/>
    <n v="124"/>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62"/>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63"/>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64"/>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52"/>
    <d v="2023-07-07T19:03:18"/>
    <s v="Y"/>
    <s v="Preparation - other"/>
    <s v="Non Family Hourly Rates"/>
    <s v="Profit Cost"/>
    <s v="AR"/>
    <s v="Y"/>
    <n v="231.12"/>
    <n v="46.23"/>
    <x v="9"/>
    <s v="VALIDATED"/>
    <n v="1"/>
    <s v="01.11.80.212.6100.0000"/>
    <n v="231.12"/>
    <s v="11"/>
    <s v="6100"/>
    <n v="5034.48"/>
    <n v="231.12"/>
    <s v="CREDITOR"/>
    <n v="0"/>
    <n v="0"/>
    <n v="0"/>
    <n v="0"/>
    <n v="231.12"/>
  </r>
  <r>
    <n v="43539773"/>
    <s v="N"/>
    <n v="21327745"/>
    <s v="3000011481210009"/>
    <s v="CIVIL"/>
    <d v="2023-06-27T00:00:00"/>
    <d v="2023-07-04T19:00:44"/>
    <m/>
    <d v="2023-07-04T00:00:00"/>
    <n v="152"/>
    <n v="21317"/>
    <s v="43539773"/>
    <s v="43539773"/>
    <m/>
    <m/>
    <n v="22766686"/>
    <m/>
    <m/>
    <m/>
    <s v="SOLFIN"/>
    <s v="SOLFIN"/>
    <s v="CCMS"/>
    <n v="21327745"/>
    <n v="7960.32"/>
    <m/>
    <s v="N"/>
    <n v="114"/>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26"/>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96"/>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63"/>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70"/>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09"/>
    <d v="2023-07-04T19:00:53"/>
    <s v="Y"/>
    <s v="Preparation - other"/>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44"/>
    <d v="2023-07-07T19:03:18"/>
    <s v="Y"/>
    <s v="Preparation - drafting attendance n"/>
    <s v="Non Family Hourly Rates"/>
    <s v="Profit Cost"/>
    <s v="AR"/>
    <s v="Y"/>
    <n v="7.16"/>
    <n v="1.43"/>
    <x v="9"/>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49"/>
    <d v="2023-07-07T19:03:18"/>
    <s v="Y"/>
    <s v="Attendance upon client"/>
    <s v="Non Family Hourly Rates"/>
    <s v="Profit Cost"/>
    <s v="AR"/>
    <s v="Y"/>
    <n v="121.64"/>
    <n v="24.33"/>
    <x v="9"/>
    <s v="VALIDATED"/>
    <n v="1"/>
    <s v="01.11.80.212.6100.0000"/>
    <n v="121.64"/>
    <s v="11"/>
    <s v="6100"/>
    <n v="5034.48"/>
    <n v="121.64"/>
    <s v="CREDITOR"/>
    <n v="0"/>
    <n v="0"/>
    <n v="0"/>
    <n v="0"/>
    <n v="121.64"/>
  </r>
  <r>
    <n v="43539773"/>
    <s v="N"/>
    <n v="21327745"/>
    <s v="3000011481210009"/>
    <s v="CIVIL"/>
    <d v="2023-06-27T00:00:00"/>
    <d v="2023-07-04T19:00:44"/>
    <m/>
    <d v="2023-07-04T00:00:00"/>
    <n v="152"/>
    <n v="21317"/>
    <s v="43539773"/>
    <s v="43539773"/>
    <m/>
    <m/>
    <n v="22766686"/>
    <m/>
    <m/>
    <m/>
    <s v="SOLFIN"/>
    <s v="SOLFIN"/>
    <s v="CCMS"/>
    <n v="21327745"/>
    <n v="7960.32"/>
    <m/>
    <s v="N"/>
    <n v="20"/>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157"/>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61"/>
    <d v="2023-07-04T19:00:53"/>
    <s v="Y"/>
    <s v="Preparation - drafting bill/claim f"/>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74"/>
    <d v="2023-07-07T19:03:18"/>
    <s v="Y"/>
    <s v="Routine Telephone Call"/>
    <s v="Non Family Hourly Rates"/>
    <s v="Profit Cost"/>
    <s v="AR"/>
    <s v="Y"/>
    <n v="11.22"/>
    <n v="2.24"/>
    <x v="9"/>
    <s v="VALIDATED"/>
    <n v="1"/>
    <s v="01.11.80.212.6100.0000"/>
    <n v="11.22"/>
    <s v="11"/>
    <s v="6100"/>
    <n v="5034.48"/>
    <n v="11.22"/>
    <s v="CREDITOR"/>
    <n v="0"/>
    <n v="0"/>
    <n v="0"/>
    <n v="0"/>
    <n v="11.22"/>
  </r>
  <r>
    <n v="61553102"/>
    <s v="N"/>
    <n v="21343967"/>
    <s v="3000015667470002"/>
    <s v="CIVIL"/>
    <d v="2023-05-25T00:00:00"/>
    <d v="2023-07-07T19:03:00"/>
    <m/>
    <d v="2023-07-07T00:00:00"/>
    <n v="152"/>
    <n v="21317"/>
    <s v="61553102"/>
    <s v="61553102"/>
    <m/>
    <m/>
    <n v="22578258"/>
    <m/>
    <m/>
    <m/>
    <s v="SOLFIN"/>
    <s v="SOLFIN"/>
    <s v="CCMS"/>
    <n v="21343967"/>
    <n v="8228.379999999999"/>
    <m/>
    <s v="N"/>
    <n v="46"/>
    <d v="2023-07-07T19:03:18"/>
    <s v="Y"/>
    <s v="Preparation - other"/>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94"/>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78"/>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03"/>
    <d v="2023-07-04T19:00:53"/>
    <s v="Y"/>
    <s v="Preparation - other"/>
    <s v="VHCC"/>
    <s v="Profit Cost"/>
    <s v="RC"/>
    <s v="Y"/>
    <n v="143.1"/>
    <n v="28.62"/>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33"/>
    <d v="2023-07-07T19:03:18"/>
    <s v="Y"/>
    <s v="Preparation - other"/>
    <s v="Non Family Hourly Rates"/>
    <s v="Profit Cost"/>
    <s v="AR"/>
    <s v="Y"/>
    <n v="12.17"/>
    <n v="2.43"/>
    <x v="9"/>
    <s v="VALIDATED"/>
    <n v="1"/>
    <s v="01.11.80.212.6100.0000"/>
    <n v="12.17"/>
    <s v="11"/>
    <s v="6100"/>
    <n v="5034.48"/>
    <n v="12.17"/>
    <s v="CREDITOR"/>
    <n v="0"/>
    <n v="0"/>
    <n v="0"/>
    <n v="0"/>
    <n v="12.17"/>
  </r>
  <r>
    <n v="43539773"/>
    <s v="N"/>
    <n v="21327745"/>
    <s v="3000011481210009"/>
    <s v="CIVIL"/>
    <d v="2023-06-27T00:00:00"/>
    <d v="2023-07-04T19:00:44"/>
    <m/>
    <d v="2023-07-04T00:00:00"/>
    <n v="152"/>
    <n v="21317"/>
    <s v="43539773"/>
    <s v="43539773"/>
    <m/>
    <m/>
    <n v="22766686"/>
    <m/>
    <m/>
    <m/>
    <s v="SOLFIN"/>
    <s v="SOLFIN"/>
    <s v="CCMS"/>
    <n v="21327745"/>
    <n v="7960.32"/>
    <m/>
    <s v="N"/>
    <n v="102"/>
    <d v="2023-07-04T19:00:53"/>
    <s v="Y"/>
    <s v="Attendance upon other"/>
    <s v="VHCC"/>
    <s v="Profit Cost"/>
    <s v="RC"/>
    <s v="Y"/>
    <n v="35.78"/>
    <n v="7.16"/>
    <x v="1"/>
    <s v="VALIDATED"/>
    <n v="1"/>
    <s v="01.11.80.212.6100.0000"/>
    <n v="35.78"/>
    <s v="11"/>
    <s v="6100"/>
    <n v="5034.48"/>
    <n v="35.78"/>
    <s v="CREDITOR"/>
    <n v="0"/>
    <n v="0"/>
    <n v="0"/>
    <n v="0"/>
    <n v="35.78"/>
  </r>
  <r>
    <n v="43539773"/>
    <s v="N"/>
    <n v="21327745"/>
    <s v="3000011481210009"/>
    <s v="CIVIL"/>
    <d v="2023-06-27T00:00:00"/>
    <d v="2023-07-04T19:00:44"/>
    <m/>
    <d v="2023-07-04T00:00:00"/>
    <n v="152"/>
    <n v="21317"/>
    <s v="43539773"/>
    <s v="43539773"/>
    <m/>
    <m/>
    <n v="22766686"/>
    <m/>
    <m/>
    <m/>
    <s v="SOLFIN"/>
    <s v="SOLFIN"/>
    <s v="CCMS"/>
    <n v="21327745"/>
    <n v="7960.32"/>
    <m/>
    <s v="N"/>
    <n v="120"/>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50"/>
    <d v="2023-07-04T19:00:53"/>
    <s v="Y"/>
    <s v="Preparation - drafting bill/claim f"/>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53"/>
    <d v="2023-07-07T19:03:18"/>
    <s v="Y"/>
    <s v="Attendance upon/with Counsel at Con"/>
    <s v="Non Family Hourly Rates"/>
    <s v="Profit Cost"/>
    <s v="AR"/>
    <s v="Y"/>
    <n v="33.3"/>
    <n v="6.66"/>
    <x v="9"/>
    <s v="VALIDATED"/>
    <n v="1"/>
    <s v="01.11.80.212.6100.0000"/>
    <n v="33.3"/>
    <s v="11"/>
    <s v="6100"/>
    <n v="5034.48"/>
    <n v="33.3"/>
    <s v="CREDITOR"/>
    <n v="0"/>
    <n v="0"/>
    <n v="0"/>
    <n v="0"/>
    <n v="33.3"/>
  </r>
  <r>
    <n v="43539773"/>
    <s v="N"/>
    <n v="21327745"/>
    <s v="3000011481210009"/>
    <s v="CIVIL"/>
    <d v="2023-06-27T00:00:00"/>
    <d v="2023-07-04T19:00:44"/>
    <m/>
    <d v="2023-07-04T00:00:00"/>
    <n v="152"/>
    <n v="21317"/>
    <s v="43539773"/>
    <s v="43539773"/>
    <m/>
    <m/>
    <n v="22766686"/>
    <m/>
    <m/>
    <m/>
    <s v="SOLFIN"/>
    <s v="SOLFIN"/>
    <s v="CCMS"/>
    <n v="21327745"/>
    <n v="7960.32"/>
    <m/>
    <s v="N"/>
    <n v="32"/>
    <d v="2023-07-04T19:00:53"/>
    <s v="Y"/>
    <s v="Preparation - other"/>
    <s v="VHCC"/>
    <s v="Profit Cost"/>
    <s v="RC"/>
    <s v="Y"/>
    <n v="12.16"/>
    <n v="2.43"/>
    <x v="1"/>
    <s v="VALIDATED"/>
    <n v="1"/>
    <s v="01.11.80.212.6100.0000"/>
    <n v="12.16"/>
    <s v="11"/>
    <s v="6100"/>
    <n v="5034.48"/>
    <n v="12.16"/>
    <s v="CREDITOR"/>
    <n v="0"/>
    <n v="0"/>
    <n v="0"/>
    <n v="0"/>
    <n v="12.16"/>
  </r>
  <r>
    <n v="61553102"/>
    <s v="N"/>
    <n v="21343967"/>
    <s v="3000015667470002"/>
    <s v="CIVIL"/>
    <d v="2023-05-25T00:00:00"/>
    <d v="2023-07-07T19:03:00"/>
    <m/>
    <d v="2023-07-07T00:00:00"/>
    <n v="152"/>
    <n v="21317"/>
    <s v="61553102"/>
    <s v="61553102"/>
    <m/>
    <m/>
    <n v="22578258"/>
    <m/>
    <m/>
    <m/>
    <s v="SOLFIN"/>
    <s v="SOLFIN"/>
    <s v="CCMS"/>
    <n v="21343967"/>
    <n v="8228.379999999999"/>
    <m/>
    <s v="N"/>
    <n v="70"/>
    <d v="2023-07-07T19:03:18"/>
    <s v="Y"/>
    <s v="Preparation - other"/>
    <s v="Non Family Hourly Rates"/>
    <s v="Profit Cost"/>
    <s v="AR"/>
    <s v="Y"/>
    <n v="14.31"/>
    <n v="2.86"/>
    <x v="9"/>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18"/>
    <d v="2023-07-07T19:03:18"/>
    <s v="Y"/>
    <s v="Preparation - drafting notice(s)"/>
    <s v="Non Family Hourly Rates"/>
    <s v="Profit Cost"/>
    <s v="AR"/>
    <s v="Y"/>
    <n v="12.17"/>
    <n v="2.43"/>
    <x v="9"/>
    <s v="VALIDATED"/>
    <n v="1"/>
    <s v="01.11.80.212.6100.0000"/>
    <n v="12.17"/>
    <s v="11"/>
    <s v="6100"/>
    <n v="5034.48"/>
    <n v="12.17"/>
    <s v="CREDITOR"/>
    <n v="0"/>
    <n v="0"/>
    <n v="0"/>
    <n v="0"/>
    <n v="12.17"/>
  </r>
  <r>
    <n v="61553102"/>
    <s v="N"/>
    <n v="21343967"/>
    <s v="3000015667470002"/>
    <s v="CIVIL"/>
    <d v="2023-05-25T00:00:00"/>
    <d v="2023-07-07T19:03:00"/>
    <m/>
    <d v="2023-07-07T00:00:00"/>
    <n v="152"/>
    <n v="21317"/>
    <s v="61553102"/>
    <s v="61553102"/>
    <m/>
    <m/>
    <n v="22578258"/>
    <m/>
    <m/>
    <m/>
    <s v="SOLFIN"/>
    <s v="SOLFIN"/>
    <s v="CCMS"/>
    <n v="21343967"/>
    <n v="8228.379999999999"/>
    <m/>
    <s v="N"/>
    <n v="28"/>
    <d v="2023-07-07T19:03:18"/>
    <s v="Y"/>
    <s v="Preparation - other"/>
    <s v="Non Family Hourly Rates"/>
    <s v="Profit Cost"/>
    <s v="AR"/>
    <s v="Y"/>
    <n v="291.92"/>
    <n v="58.39"/>
    <x v="9"/>
    <s v="VALIDATED"/>
    <n v="1"/>
    <s v="01.11.80.212.6100.0000"/>
    <n v="291.92"/>
    <s v="11"/>
    <s v="6100"/>
    <n v="5034.48"/>
    <n v="291.92"/>
    <s v="CREDITOR"/>
    <n v="0"/>
    <n v="0"/>
    <n v="0"/>
    <n v="0"/>
    <n v="291.92"/>
  </r>
  <r>
    <n v="43539773"/>
    <s v="N"/>
    <n v="21327745"/>
    <s v="3000011481210009"/>
    <s v="CIVIL"/>
    <d v="2023-06-27T00:00:00"/>
    <d v="2023-07-04T19:00:44"/>
    <m/>
    <d v="2023-07-04T00:00:00"/>
    <n v="152"/>
    <n v="21317"/>
    <s v="43539773"/>
    <s v="43539773"/>
    <m/>
    <m/>
    <n v="22766686"/>
    <m/>
    <m/>
    <m/>
    <s v="SOLFIN"/>
    <s v="SOLFIN"/>
    <s v="CCMS"/>
    <n v="21327745"/>
    <n v="7960.32"/>
    <m/>
    <s v="N"/>
    <n v="115"/>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38"/>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29"/>
    <d v="2023-07-04T19:00:53"/>
    <s v="Y"/>
    <s v="Preparation - other"/>
    <s v="VHCC"/>
    <s v="Profit Cost"/>
    <s v="RC"/>
    <s v="Y"/>
    <n v="12.16"/>
    <n v="2.43"/>
    <x v="1"/>
    <s v="VALIDATED"/>
    <n v="1"/>
    <s v="01.11.80.212.6100.0000"/>
    <n v="12.16"/>
    <s v="11"/>
    <s v="6100"/>
    <n v="5034.48"/>
    <n v="12.16"/>
    <s v="CREDITOR"/>
    <n v="0"/>
    <n v="0"/>
    <n v="0"/>
    <n v="0"/>
    <n v="12.16"/>
  </r>
  <r>
    <n v="60263787"/>
    <s v="N"/>
    <n v="21320002"/>
    <s v="3000014565810005"/>
    <s v="CIVIL"/>
    <d v="2023-06-27T00:00:00"/>
    <d v="2023-07-03T19:04:24"/>
    <m/>
    <d v="2023-07-03T00:00:00"/>
    <n v="152"/>
    <n v="21317"/>
    <s v="60263787"/>
    <s v="60263787"/>
    <m/>
    <m/>
    <n v="22766598"/>
    <m/>
    <m/>
    <m/>
    <s v="SOLPOA"/>
    <s v="SOLPOA"/>
    <s v="CCMS"/>
    <n v="21320002"/>
    <n v="6674.45"/>
    <m/>
    <s v="N"/>
    <n v="1"/>
    <d v="2023-07-03T19:04:28"/>
    <s v="N"/>
    <s v="Profit Cost"/>
    <s v="Profit Cost"/>
    <s v="Profit Cost"/>
    <s v="MWOOLF@SCOMO.COM"/>
    <s v="N"/>
    <n v="5562.04"/>
    <n v="1112.41"/>
    <x v="3"/>
    <s v="VALIDATED"/>
    <n v="1"/>
    <s v="01.11.80.203.2012.0000"/>
    <n v="5562.04"/>
    <s v="11"/>
    <s v="2012"/>
    <n v="5034.48"/>
    <n v="5562.04"/>
    <s v="CREDITOR"/>
    <n v="5562.04"/>
    <n v="1390.51"/>
    <n v="0"/>
    <n v="0"/>
    <n v="0"/>
  </r>
  <r>
    <n v="61553102"/>
    <s v="N"/>
    <n v="21343967"/>
    <s v="3000015667470002"/>
    <s v="CIVIL"/>
    <d v="2023-05-25T00:00:00"/>
    <d v="2023-07-07T19:03:00"/>
    <m/>
    <d v="2023-07-07T00:00:00"/>
    <n v="152"/>
    <n v="21317"/>
    <s v="61553102"/>
    <s v="61553102"/>
    <m/>
    <m/>
    <n v="22578258"/>
    <m/>
    <m/>
    <m/>
    <s v="SOLFIN"/>
    <s v="SOLFIN"/>
    <s v="CCMS"/>
    <n v="21343967"/>
    <n v="8228.379999999999"/>
    <m/>
    <s v="N"/>
    <n v="26"/>
    <d v="2023-07-07T19:03:18"/>
    <s v="Y"/>
    <s v="Attendance upon client"/>
    <s v="Non Family Hourly Rates"/>
    <s v="Profit Cost"/>
    <s v="AR"/>
    <s v="Y"/>
    <n v="218.94"/>
    <n v="43.79"/>
    <x v="9"/>
    <s v="VALIDATED"/>
    <n v="1"/>
    <s v="01.11.80.212.6100.0000"/>
    <n v="218.94"/>
    <s v="11"/>
    <s v="6100"/>
    <n v="5034.48"/>
    <n v="218.94"/>
    <s v="CREDITOR"/>
    <n v="0"/>
    <n v="0"/>
    <n v="0"/>
    <n v="0"/>
    <n v="218.94"/>
  </r>
  <r>
    <n v="43539773"/>
    <s v="N"/>
    <n v="21327745"/>
    <s v="3000011481210009"/>
    <s v="CIVIL"/>
    <d v="2023-06-27T00:00:00"/>
    <d v="2023-07-04T19:00:44"/>
    <m/>
    <d v="2023-07-04T00:00:00"/>
    <n v="152"/>
    <n v="21317"/>
    <s v="43539773"/>
    <s v="43539773"/>
    <m/>
    <m/>
    <n v="22766686"/>
    <m/>
    <m/>
    <m/>
    <s v="SOLFIN"/>
    <s v="SOLFIN"/>
    <s v="CCMS"/>
    <n v="21327745"/>
    <n v="7960.32"/>
    <m/>
    <s v="N"/>
    <n v="145"/>
    <d v="2023-07-04T19:00:53"/>
    <s v="Y"/>
    <s v="Preparation - drafting pleadings"/>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48"/>
    <d v="2023-07-04T19:00:53"/>
    <s v="Y"/>
    <s v="Preparation - other"/>
    <s v="VHCC"/>
    <s v="Profit Cost"/>
    <s v="RC"/>
    <s v="Y"/>
    <n v="36.49"/>
    <n v="7.3"/>
    <x v="1"/>
    <s v="VALIDATED"/>
    <n v="1"/>
    <s v="01.11.80.212.6100.0000"/>
    <n v="36.49"/>
    <s v="11"/>
    <s v="6100"/>
    <n v="5034.48"/>
    <n v="36.49"/>
    <s v="CREDITOR"/>
    <n v="0"/>
    <n v="0"/>
    <n v="0"/>
    <n v="0"/>
    <n v="36.49"/>
  </r>
  <r>
    <n v="61553102"/>
    <s v="N"/>
    <n v="21343967"/>
    <s v="3000015667470002"/>
    <s v="CIVIL"/>
    <d v="2023-05-25T00:00:00"/>
    <d v="2023-07-07T19:03:00"/>
    <m/>
    <d v="2023-07-07T00:00:00"/>
    <n v="152"/>
    <n v="21317"/>
    <s v="61553102"/>
    <s v="61553102"/>
    <m/>
    <m/>
    <n v="22578258"/>
    <m/>
    <m/>
    <m/>
    <s v="SOLFIN"/>
    <s v="SOLFIN"/>
    <s v="CCMS"/>
    <n v="21343967"/>
    <n v="8228.379999999999"/>
    <m/>
    <s v="N"/>
    <n v="5"/>
    <d v="2023-07-07T19:03:18"/>
    <s v="N"/>
    <s v="Report - Counsel's opinion"/>
    <s v="Non Family Hourly Rates"/>
    <s v="Profit Cost"/>
    <s v="AR"/>
    <s v="N"/>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74"/>
    <d v="2023-07-04T19:00:53"/>
    <s v="Y"/>
    <s v="Item - Routine Telephone Call"/>
    <s v="VHCC"/>
    <s v="Profit Cost"/>
    <s v="CB"/>
    <s v="Y"/>
    <n v="11.22"/>
    <n v="2.24"/>
    <x v="1"/>
    <s v="VALIDATED"/>
    <n v="1"/>
    <s v="01.11.80.212.6100.0000"/>
    <n v="11.22"/>
    <s v="11"/>
    <s v="6100"/>
    <n v="5034.48"/>
    <n v="11.22"/>
    <s v="CREDITOR"/>
    <n v="0"/>
    <n v="0"/>
    <n v="0"/>
    <n v="0"/>
    <n v="11.22"/>
  </r>
  <r>
    <n v="43539773"/>
    <s v="N"/>
    <n v="21327745"/>
    <s v="3000011481210009"/>
    <s v="CIVIL"/>
    <d v="2023-06-27T00:00:00"/>
    <d v="2023-07-04T19:00:44"/>
    <m/>
    <d v="2023-07-04T00:00:00"/>
    <n v="152"/>
    <n v="21317"/>
    <s v="43539773"/>
    <s v="43539773"/>
    <m/>
    <m/>
    <n v="22766686"/>
    <m/>
    <m/>
    <m/>
    <s v="SOLFIN"/>
    <s v="SOLFIN"/>
    <s v="CCMS"/>
    <n v="21327745"/>
    <n v="7960.32"/>
    <m/>
    <s v="N"/>
    <n v="91"/>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45"/>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66"/>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76"/>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83"/>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85"/>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08"/>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25"/>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58"/>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110"/>
    <d v="2023-07-04T19:00:53"/>
    <s v="Y"/>
    <s v="Preparation - other"/>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40"/>
    <d v="2023-07-07T19:03:18"/>
    <s v="Y"/>
    <s v="Attendance upon/with Counsel at Con"/>
    <s v="Non Family Hourly Rates"/>
    <s v="Profit Cost"/>
    <s v="AR"/>
    <s v="Y"/>
    <n v="19.98"/>
    <n v="4"/>
    <x v="9"/>
    <s v="VALIDATED"/>
    <n v="1"/>
    <s v="01.11.80.212.6100.0000"/>
    <n v="19.98"/>
    <s v="11"/>
    <s v="6100"/>
    <n v="5034.48"/>
    <n v="19.98"/>
    <s v="CREDITOR"/>
    <n v="0"/>
    <n v="0"/>
    <n v="0"/>
    <n v="0"/>
    <n v="19.98"/>
  </r>
  <r>
    <n v="43539773"/>
    <s v="N"/>
    <n v="21327745"/>
    <s v="3000011481210009"/>
    <s v="CIVIL"/>
    <d v="2023-06-27T00:00:00"/>
    <d v="2023-07-04T19:00:44"/>
    <m/>
    <d v="2023-07-04T00:00:00"/>
    <n v="152"/>
    <n v="21317"/>
    <s v="43539773"/>
    <s v="43539773"/>
    <m/>
    <m/>
    <n v="22766686"/>
    <m/>
    <m/>
    <m/>
    <s v="SOLFIN"/>
    <s v="SOLFIN"/>
    <s v="CCMS"/>
    <n v="21327745"/>
    <n v="7960.32"/>
    <m/>
    <s v="N"/>
    <n v="122"/>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8"/>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70"/>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81"/>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64"/>
    <d v="2023-07-07T19:03:18"/>
    <s v="Y"/>
    <s v="Preparation - other"/>
    <s v="Non Family Hourly Rates"/>
    <s v="Profit Cost"/>
    <s v="AR"/>
    <s v="Y"/>
    <n v="109.48"/>
    <n v="21.9"/>
    <x v="9"/>
    <s v="VALIDATED"/>
    <n v="1"/>
    <s v="01.11.80.212.6100.0000"/>
    <n v="109.48"/>
    <s v="11"/>
    <s v="6100"/>
    <n v="5034.48"/>
    <n v="109.48"/>
    <s v="CREDITOR"/>
    <n v="0"/>
    <n v="0"/>
    <n v="0"/>
    <n v="0"/>
    <n v="109.48"/>
  </r>
  <r>
    <n v="43539773"/>
    <s v="N"/>
    <n v="21327745"/>
    <s v="3000011481210009"/>
    <s v="CIVIL"/>
    <d v="2023-06-27T00:00:00"/>
    <d v="2023-07-04T19:00:44"/>
    <m/>
    <d v="2023-07-04T00:00:00"/>
    <n v="152"/>
    <n v="21317"/>
    <s v="43539773"/>
    <s v="43539773"/>
    <m/>
    <m/>
    <n v="22766686"/>
    <m/>
    <m/>
    <m/>
    <s v="SOLFIN"/>
    <s v="SOLFIN"/>
    <s v="CCMS"/>
    <n v="21327745"/>
    <n v="7960.32"/>
    <m/>
    <s v="N"/>
    <n v="127"/>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43"/>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153"/>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52"/>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136"/>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75"/>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33"/>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31"/>
    <d v="2023-07-04T19:00:53"/>
    <s v="Y"/>
    <s v="Preparation - other"/>
    <s v="VHCC"/>
    <s v="Profit Cost"/>
    <s v="RC"/>
    <s v="Y"/>
    <n v="12.16"/>
    <n v="2.43"/>
    <x v="1"/>
    <s v="VALIDATED"/>
    <n v="1"/>
    <s v="01.11.80.212.6100.0000"/>
    <n v="12.16"/>
    <s v="11"/>
    <s v="6100"/>
    <n v="5034.48"/>
    <n v="12.16"/>
    <s v="CREDITOR"/>
    <n v="0"/>
    <n v="0"/>
    <n v="0"/>
    <n v="0"/>
    <n v="12.16"/>
  </r>
  <r>
    <n v="61553102"/>
    <s v="N"/>
    <n v="21343967"/>
    <s v="3000015667470002"/>
    <s v="CIVIL"/>
    <d v="2023-05-25T00:00:00"/>
    <d v="2023-07-07T19:03:00"/>
    <m/>
    <d v="2023-07-07T00:00:00"/>
    <n v="152"/>
    <n v="21317"/>
    <s v="61553102"/>
    <s v="61553102"/>
    <m/>
    <m/>
    <n v="22578258"/>
    <m/>
    <m/>
    <m/>
    <s v="SOLFIN"/>
    <s v="SOLFIN"/>
    <s v="CCMS"/>
    <n v="21343967"/>
    <n v="8228.379999999999"/>
    <m/>
    <s v="N"/>
    <n v="30"/>
    <d v="2023-07-07T19:03:18"/>
    <s v="Y"/>
    <s v="Preparation - other"/>
    <s v="Non Family Hourly Rates"/>
    <s v="Profit Cost"/>
    <s v="AR"/>
    <s v="Y"/>
    <n v="14.31"/>
    <n v="2.86"/>
    <x v="9"/>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51"/>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30"/>
    <d v="2023-07-04T19:00:53"/>
    <s v="Y"/>
    <s v="Preparation - other"/>
    <s v="VHCC"/>
    <s v="Profit Cost"/>
    <s v="RC"/>
    <s v="Y"/>
    <n v="12.16"/>
    <n v="2.43"/>
    <x v="1"/>
    <s v="VALIDATED"/>
    <n v="1"/>
    <s v="01.11.80.212.6100.0000"/>
    <n v="12.16"/>
    <s v="11"/>
    <s v="6100"/>
    <n v="5034.48"/>
    <n v="12.16"/>
    <s v="CREDITOR"/>
    <n v="0"/>
    <n v="0"/>
    <n v="0"/>
    <n v="0"/>
    <n v="12.16"/>
  </r>
  <r>
    <n v="61553102"/>
    <s v="N"/>
    <n v="21343967"/>
    <s v="3000015667470002"/>
    <s v="CIVIL"/>
    <d v="2023-05-25T00:00:00"/>
    <d v="2023-07-07T19:03:00"/>
    <m/>
    <d v="2023-07-07T00:00:00"/>
    <n v="152"/>
    <n v="21317"/>
    <s v="61553102"/>
    <s v="61553102"/>
    <m/>
    <m/>
    <n v="22578258"/>
    <m/>
    <m/>
    <m/>
    <s v="SOLFIN"/>
    <s v="SOLFIN"/>
    <s v="CCMS"/>
    <n v="21343967"/>
    <n v="8228.379999999999"/>
    <m/>
    <s v="N"/>
    <n v="58"/>
    <d v="2023-07-07T19:03:18"/>
    <s v="Y"/>
    <s v="Attendance upon/with Counsel at Con"/>
    <s v="Non Family Hourly Rates"/>
    <s v="Profit Cost"/>
    <s v="AR"/>
    <s v="Y"/>
    <n v="16.65"/>
    <n v="3.33"/>
    <x v="9"/>
    <s v="VALIDATED"/>
    <n v="1"/>
    <s v="01.11.80.212.6100.0000"/>
    <n v="16.65"/>
    <s v="11"/>
    <s v="6100"/>
    <n v="5034.48"/>
    <n v="16.65"/>
    <s v="CREDITOR"/>
    <n v="0"/>
    <n v="0"/>
    <n v="0"/>
    <n v="0"/>
    <n v="16.65"/>
  </r>
  <r>
    <n v="61553102"/>
    <s v="N"/>
    <n v="21343967"/>
    <s v="3000015667470002"/>
    <s v="CIVIL"/>
    <d v="2023-05-25T00:00:00"/>
    <d v="2023-07-07T19:03:00"/>
    <m/>
    <d v="2023-07-07T00:00:00"/>
    <n v="152"/>
    <n v="21317"/>
    <s v="61553102"/>
    <s v="61553102"/>
    <m/>
    <m/>
    <n v="22578258"/>
    <m/>
    <m/>
    <m/>
    <s v="SOLFIN"/>
    <s v="SOLFIN"/>
    <s v="CCMS"/>
    <n v="21343967"/>
    <n v="8228.379999999999"/>
    <m/>
    <s v="N"/>
    <n v="14"/>
    <d v="2023-07-07T19:03:18"/>
    <s v="Y"/>
    <s v="Preparation - other"/>
    <s v="Non Family Hourly Rates"/>
    <s v="Profit Cost"/>
    <s v="AR"/>
    <s v="Y"/>
    <n v="24.33"/>
    <n v="4.87"/>
    <x v="9"/>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34"/>
    <d v="2023-07-07T19:03:18"/>
    <s v="Y"/>
    <s v="Preparation - other"/>
    <s v="Non Family Hourly Rates"/>
    <s v="Profit Cost"/>
    <s v="AR"/>
    <s v="Y"/>
    <n v="85.15000000000001"/>
    <n v="17.03"/>
    <x v="9"/>
    <s v="VALIDATED"/>
    <n v="1"/>
    <s v="01.11.80.212.6100.0000"/>
    <n v="85.15000000000001"/>
    <s v="11"/>
    <s v="6100"/>
    <n v="5034.48"/>
    <n v="85.15000000000001"/>
    <s v="CREDITOR"/>
    <n v="0"/>
    <n v="0"/>
    <n v="0"/>
    <n v="0"/>
    <n v="85.15000000000001"/>
  </r>
  <r>
    <n v="43539773"/>
    <s v="N"/>
    <n v="21327745"/>
    <s v="3000011481210009"/>
    <s v="CIVIL"/>
    <d v="2023-06-27T00:00:00"/>
    <d v="2023-07-04T19:00:44"/>
    <m/>
    <d v="2023-07-04T00:00:00"/>
    <n v="152"/>
    <n v="21317"/>
    <s v="43539773"/>
    <s v="43539773"/>
    <m/>
    <m/>
    <n v="22766686"/>
    <m/>
    <m/>
    <m/>
    <s v="SOLFIN"/>
    <s v="SOLFIN"/>
    <s v="CCMS"/>
    <n v="21327745"/>
    <n v="7960.32"/>
    <m/>
    <s v="N"/>
    <n v="6"/>
    <d v="2023-07-04T19:00:53"/>
    <s v="Y"/>
    <s v="Preparation - other"/>
    <s v="VHCC"/>
    <s v="Profit Cost"/>
    <s v="CB"/>
    <s v="Y"/>
    <n v="85.15000000000001"/>
    <n v="17.03"/>
    <x v="1"/>
    <s v="VALIDATED"/>
    <n v="1"/>
    <s v="01.11.80.212.6100.0000"/>
    <n v="85.15000000000001"/>
    <s v="11"/>
    <s v="6100"/>
    <n v="5034.48"/>
    <n v="85.15000000000001"/>
    <s v="CREDITOR"/>
    <n v="0"/>
    <n v="0"/>
    <n v="0"/>
    <n v="0"/>
    <n v="85.15000000000001"/>
  </r>
  <r>
    <n v="43539773"/>
    <s v="N"/>
    <n v="21327745"/>
    <s v="3000011481210009"/>
    <s v="CIVIL"/>
    <d v="2023-06-27T00:00:00"/>
    <d v="2023-07-04T19:00:44"/>
    <m/>
    <d v="2023-07-04T00:00:00"/>
    <n v="152"/>
    <n v="21317"/>
    <s v="43539773"/>
    <s v="43539773"/>
    <m/>
    <m/>
    <n v="22766686"/>
    <m/>
    <m/>
    <m/>
    <s v="SOLFIN"/>
    <s v="SOLFIN"/>
    <s v="CCMS"/>
    <n v="21327745"/>
    <n v="7960.32"/>
    <m/>
    <s v="N"/>
    <n v="175"/>
    <d v="2023-07-04T19:00:53"/>
    <s v="Y"/>
    <s v="Item - Routine Outgoing letter"/>
    <s v="VHCC"/>
    <s v="Profit Cost"/>
    <s v="CB"/>
    <s v="Y"/>
    <n v="1167.75"/>
    <n v="233.58"/>
    <x v="1"/>
    <s v="VALIDATED"/>
    <n v="1"/>
    <s v="01.11.80.212.6100.0000"/>
    <n v="1167.75"/>
    <s v="11"/>
    <s v="6100"/>
    <n v="5034.48"/>
    <n v="1167.75"/>
    <s v="CREDITOR"/>
    <n v="0"/>
    <n v="0"/>
    <n v="0"/>
    <n v="0"/>
    <n v="1167.75"/>
  </r>
  <r>
    <n v="43539773"/>
    <s v="N"/>
    <n v="21327745"/>
    <s v="3000011481210009"/>
    <s v="CIVIL"/>
    <d v="2023-06-27T00:00:00"/>
    <d v="2023-07-04T19:00:44"/>
    <m/>
    <d v="2023-07-04T00:00:00"/>
    <n v="152"/>
    <n v="21317"/>
    <s v="43539773"/>
    <s v="43539773"/>
    <m/>
    <m/>
    <n v="22766686"/>
    <m/>
    <m/>
    <m/>
    <s v="SOLFIN"/>
    <s v="SOLFIN"/>
    <s v="CCMS"/>
    <n v="21327745"/>
    <n v="7960.32"/>
    <m/>
    <s v="N"/>
    <n v="12"/>
    <d v="2023-07-04T19:00:53"/>
    <s v="Y"/>
    <s v="Attendance upon other"/>
    <s v="VHCC"/>
    <s v="Profit Cost"/>
    <s v="CB"/>
    <s v="Y"/>
    <n v="35.78"/>
    <n v="7.16"/>
    <x v="1"/>
    <s v="VALIDATED"/>
    <n v="1"/>
    <s v="01.11.80.212.6100.0000"/>
    <n v="35.78"/>
    <s v="11"/>
    <s v="6100"/>
    <n v="5034.48"/>
    <n v="35.78"/>
    <s v="CREDITOR"/>
    <n v="0"/>
    <n v="0"/>
    <n v="0"/>
    <n v="0"/>
    <n v="35.78"/>
  </r>
  <r>
    <n v="61553102"/>
    <s v="N"/>
    <n v="21343967"/>
    <s v="3000015667470002"/>
    <s v="CIVIL"/>
    <d v="2023-05-25T00:00:00"/>
    <d v="2023-07-07T19:03:00"/>
    <m/>
    <d v="2023-07-07T00:00:00"/>
    <n v="152"/>
    <n v="21317"/>
    <s v="61553102"/>
    <s v="61553102"/>
    <m/>
    <m/>
    <n v="22578258"/>
    <m/>
    <m/>
    <m/>
    <s v="SOLFIN"/>
    <s v="SOLFIN"/>
    <s v="CCMS"/>
    <n v="21343967"/>
    <n v="8228.379999999999"/>
    <m/>
    <s v="N"/>
    <n v="55"/>
    <d v="2023-07-07T19:03:18"/>
    <s v="Y"/>
    <s v="Preparation - other"/>
    <s v="Non Family Hourly Rates"/>
    <s v="Profit Cost"/>
    <s v="AR"/>
    <s v="Y"/>
    <n v="72.98"/>
    <n v="14.6"/>
    <x v="9"/>
    <s v="VALIDATED"/>
    <n v="1"/>
    <s v="01.11.80.212.6100.0000"/>
    <n v="72.98"/>
    <s v="11"/>
    <s v="6100"/>
    <n v="5034.48"/>
    <n v="72.98"/>
    <s v="CREDITOR"/>
    <n v="0"/>
    <n v="0"/>
    <n v="0"/>
    <n v="0"/>
    <n v="72.98"/>
  </r>
  <r>
    <n v="61553102"/>
    <s v="N"/>
    <n v="21343967"/>
    <s v="3000015667470002"/>
    <s v="CIVIL"/>
    <d v="2023-05-25T00:00:00"/>
    <d v="2023-07-07T19:03:00"/>
    <m/>
    <d v="2023-07-07T00:00:00"/>
    <n v="152"/>
    <n v="21317"/>
    <s v="61553102"/>
    <s v="61553102"/>
    <m/>
    <m/>
    <n v="22578258"/>
    <m/>
    <m/>
    <m/>
    <s v="SOLFIN"/>
    <s v="SOLFIN"/>
    <s v="CCMS"/>
    <n v="21343967"/>
    <n v="8228.379999999999"/>
    <m/>
    <s v="N"/>
    <n v="1"/>
    <d v="2023-07-07T19:03:18"/>
    <s v="N"/>
    <s v="Report - other expert's report"/>
    <s v="Non Family Hourly Rates"/>
    <s v="Profit Cost"/>
    <s v="AR"/>
    <s v="N"/>
    <n v="36.5"/>
    <n v="7.3"/>
    <x v="9"/>
    <s v="VALIDATED"/>
    <n v="1"/>
    <s v="01.11.80.212.6100.0000"/>
    <n v="36.5"/>
    <s v="11"/>
    <s v="6100"/>
    <n v="5034.48"/>
    <n v="36.5"/>
    <s v="CREDITOR"/>
    <n v="0"/>
    <n v="0"/>
    <n v="0"/>
    <n v="0"/>
    <n v="36.5"/>
  </r>
  <r>
    <n v="61553102"/>
    <s v="N"/>
    <n v="21343967"/>
    <s v="3000015667470002"/>
    <s v="CIVIL"/>
    <d v="2023-05-25T00:00:00"/>
    <d v="2023-07-07T19:03:00"/>
    <m/>
    <d v="2023-07-07T00:00:00"/>
    <n v="152"/>
    <n v="21317"/>
    <s v="61553102"/>
    <s v="61553102"/>
    <m/>
    <m/>
    <n v="22578258"/>
    <m/>
    <m/>
    <m/>
    <s v="SOLFIN"/>
    <s v="SOLFIN"/>
    <s v="CCMS"/>
    <n v="21343967"/>
    <n v="8228.379999999999"/>
    <m/>
    <s v="N"/>
    <n v="22"/>
    <d v="2023-07-07T19:03:18"/>
    <s v="Y"/>
    <s v="Preparation - other"/>
    <s v="Non Family Hourly Rates"/>
    <s v="Profit Cost"/>
    <s v="AR"/>
    <s v="Y"/>
    <n v="36.5"/>
    <n v="7.3"/>
    <x v="9"/>
    <s v="VALIDATED"/>
    <n v="1"/>
    <s v="01.11.80.212.6100.0000"/>
    <n v="36.5"/>
    <s v="11"/>
    <s v="6100"/>
    <n v="5034.48"/>
    <n v="36.5"/>
    <s v="CREDITOR"/>
    <n v="0"/>
    <n v="0"/>
    <n v="0"/>
    <n v="0"/>
    <n v="36.5"/>
  </r>
  <r>
    <n v="43539773"/>
    <s v="N"/>
    <n v="21327745"/>
    <s v="3000011481210009"/>
    <s v="CIVIL"/>
    <d v="2023-06-27T00:00:00"/>
    <d v="2023-07-04T19:00:44"/>
    <m/>
    <d v="2023-07-04T00:00:00"/>
    <n v="152"/>
    <n v="21317"/>
    <s v="43539773"/>
    <s v="43539773"/>
    <m/>
    <m/>
    <n v="22766686"/>
    <m/>
    <m/>
    <m/>
    <s v="SOLFIN"/>
    <s v="SOLFIN"/>
    <s v="CCMS"/>
    <n v="21327745"/>
    <n v="7960.32"/>
    <m/>
    <s v="N"/>
    <n v="8"/>
    <d v="2023-07-04T19:00:53"/>
    <s v="Y"/>
    <s v="Preparation - other"/>
    <s v="VHCC"/>
    <s v="Profit Cost"/>
    <s v="CB"/>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41"/>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88"/>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2"/>
    <d v="2023-07-07T19:03:18"/>
    <s v="N"/>
    <s v="Preparation - drafting instructions"/>
    <s v="Non Family Hourly Rates"/>
    <s v="Profit Cost"/>
    <s v="AR"/>
    <s v="N"/>
    <n v="48.65"/>
    <n v="9.73"/>
    <x v="9"/>
    <s v="VALIDATED"/>
    <n v="1"/>
    <s v="01.11.80.212.6100.0000"/>
    <n v="48.65"/>
    <s v="11"/>
    <s v="6100"/>
    <n v="5034.48"/>
    <n v="48.65"/>
    <s v="CREDITOR"/>
    <n v="0"/>
    <n v="0"/>
    <n v="0"/>
    <n v="0"/>
    <n v="48.65"/>
  </r>
  <r>
    <n v="43539773"/>
    <s v="N"/>
    <n v="21327745"/>
    <s v="3000011481210009"/>
    <s v="CIVIL"/>
    <d v="2023-06-27T00:00:00"/>
    <d v="2023-07-04T19:00:44"/>
    <m/>
    <d v="2023-07-04T00:00:00"/>
    <n v="152"/>
    <n v="21317"/>
    <s v="43539773"/>
    <s v="43539773"/>
    <m/>
    <m/>
    <n v="22766686"/>
    <m/>
    <m/>
    <m/>
    <s v="SOLFIN"/>
    <s v="SOLFIN"/>
    <s v="CCMS"/>
    <n v="21327745"/>
    <n v="7960.32"/>
    <m/>
    <s v="N"/>
    <n v="59"/>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69"/>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72"/>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98"/>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05"/>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19"/>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4"/>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49"/>
    <d v="2023-07-04T19:00:53"/>
    <s v="Y"/>
    <s v="Preparation - other"/>
    <s v="VHCC"/>
    <s v="Profit Cost"/>
    <s v="RC"/>
    <s v="Y"/>
    <n v="36.49"/>
    <n v="7.3"/>
    <x v="1"/>
    <s v="VALIDATED"/>
    <n v="1"/>
    <s v="01.11.80.212.6100.0000"/>
    <n v="36.49"/>
    <s v="11"/>
    <s v="6100"/>
    <n v="5034.48"/>
    <n v="36.49"/>
    <s v="CREDITOR"/>
    <n v="0"/>
    <n v="0"/>
    <n v="0"/>
    <n v="0"/>
    <n v="36.49"/>
  </r>
  <r>
    <n v="61553102"/>
    <s v="N"/>
    <n v="21343967"/>
    <s v="3000015667470002"/>
    <s v="CIVIL"/>
    <d v="2023-05-25T00:00:00"/>
    <d v="2023-07-07T19:03:00"/>
    <m/>
    <d v="2023-07-07T00:00:00"/>
    <n v="152"/>
    <n v="21317"/>
    <s v="61553102"/>
    <s v="61553102"/>
    <m/>
    <m/>
    <n v="22578258"/>
    <m/>
    <m/>
    <m/>
    <s v="SOLFIN"/>
    <s v="SOLFIN"/>
    <s v="CCMS"/>
    <n v="21343967"/>
    <n v="8228.379999999999"/>
    <m/>
    <s v="N"/>
    <n v="67"/>
    <d v="2023-07-07T19:03:18"/>
    <s v="Y"/>
    <s v="Preparation - other"/>
    <s v="Non Family Hourly Rates"/>
    <s v="Profit Cost"/>
    <s v="AR"/>
    <s v="Y"/>
    <n v="36.5"/>
    <n v="7.3"/>
    <x v="9"/>
    <s v="VALIDATED"/>
    <n v="1"/>
    <s v="01.11.80.212.6100.0000"/>
    <n v="36.5"/>
    <s v="11"/>
    <s v="6100"/>
    <n v="5034.48"/>
    <n v="36.5"/>
    <s v="CREDITOR"/>
    <n v="0"/>
    <n v="0"/>
    <n v="0"/>
    <n v="0"/>
    <n v="36.5"/>
  </r>
  <r>
    <n v="61553102"/>
    <s v="N"/>
    <n v="21343967"/>
    <s v="3000015667470002"/>
    <s v="CIVIL"/>
    <d v="2023-05-25T00:00:00"/>
    <d v="2023-07-07T19:03:00"/>
    <m/>
    <d v="2023-07-07T00:00:00"/>
    <n v="152"/>
    <n v="21317"/>
    <s v="61553102"/>
    <s v="61553102"/>
    <m/>
    <m/>
    <n v="22578258"/>
    <m/>
    <m/>
    <m/>
    <s v="SOLFIN"/>
    <s v="SOLFIN"/>
    <s v="CCMS"/>
    <n v="21343967"/>
    <n v="8228.379999999999"/>
    <m/>
    <s v="N"/>
    <n v="72"/>
    <d v="2023-07-07T19:03:18"/>
    <s v="Y"/>
    <s v="Preparation - drafting bill/claim f"/>
    <s v="Non Family Hourly Rates"/>
    <s v="Profit Cost"/>
    <s v="CD"/>
    <s v="Y"/>
    <n v="486.54"/>
    <n v="97.31"/>
    <x v="9"/>
    <s v="VALIDATED"/>
    <n v="1"/>
    <s v="01.11.80.212.6100.0000"/>
    <n v="486.54"/>
    <s v="11"/>
    <s v="6100"/>
    <n v="5034.48"/>
    <n v="486.54"/>
    <s v="CREDITOR"/>
    <n v="0"/>
    <n v="0"/>
    <n v="0"/>
    <n v="0"/>
    <n v="486.54"/>
  </r>
  <r>
    <n v="43539773"/>
    <s v="N"/>
    <n v="21327745"/>
    <s v="3000011481210009"/>
    <s v="CIVIL"/>
    <d v="2023-06-27T00:00:00"/>
    <d v="2023-07-04T19:00:44"/>
    <m/>
    <d v="2023-07-04T00:00:00"/>
    <n v="152"/>
    <n v="21317"/>
    <s v="43539773"/>
    <s v="43539773"/>
    <m/>
    <m/>
    <n v="22766686"/>
    <m/>
    <m/>
    <m/>
    <s v="SOLFIN"/>
    <s v="SOLFIN"/>
    <s v="CCMS"/>
    <n v="21327745"/>
    <n v="7960.32"/>
    <m/>
    <s v="N"/>
    <n v="117"/>
    <d v="2023-07-04T19:00:53"/>
    <s v="Y"/>
    <s v="Preparation - other"/>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42"/>
    <d v="2023-07-07T19:03:18"/>
    <s v="Y"/>
    <s v="Preparation - drafting statement"/>
    <s v="Non Family Hourly Rates"/>
    <s v="Profit Cost"/>
    <s v="AR"/>
    <s v="Y"/>
    <n v="133.81"/>
    <n v="26.76"/>
    <x v="9"/>
    <s v="VALIDATED"/>
    <n v="1"/>
    <s v="01.11.80.212.6100.0000"/>
    <n v="133.81"/>
    <s v="11"/>
    <s v="6100"/>
    <n v="5034.48"/>
    <n v="133.81"/>
    <s v="CREDITOR"/>
    <n v="0"/>
    <n v="0"/>
    <n v="0"/>
    <n v="0"/>
    <n v="133.81"/>
  </r>
  <r>
    <n v="43539773"/>
    <s v="N"/>
    <n v="21327745"/>
    <s v="3000011481210009"/>
    <s v="CIVIL"/>
    <d v="2023-06-27T00:00:00"/>
    <d v="2023-07-04T19:00:44"/>
    <m/>
    <d v="2023-07-04T00:00:00"/>
    <n v="152"/>
    <n v="21317"/>
    <s v="43539773"/>
    <s v="43539773"/>
    <m/>
    <m/>
    <n v="22766686"/>
    <m/>
    <m/>
    <m/>
    <s v="SOLFIN"/>
    <s v="SOLFIN"/>
    <s v="CCMS"/>
    <n v="21327745"/>
    <n v="7960.32"/>
    <m/>
    <s v="N"/>
    <n v="55"/>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123"/>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42"/>
    <d v="2023-07-04T19:00:53"/>
    <s v="Y"/>
    <s v="Preparation - other"/>
    <s v="VHCC"/>
    <s v="Profit Cost"/>
    <s v="RC"/>
    <s v="Y"/>
    <n v="21.47"/>
    <n v="4.29"/>
    <x v="1"/>
    <s v="VALIDATED"/>
    <n v="1"/>
    <s v="01.11.80.212.6100.0000"/>
    <n v="21.47"/>
    <s v="11"/>
    <s v="6100"/>
    <n v="5034.48"/>
    <n v="21.47"/>
    <s v="CREDITOR"/>
    <n v="0"/>
    <n v="0"/>
    <n v="0"/>
    <n v="0"/>
    <n v="21.47"/>
  </r>
  <r>
    <n v="61553102"/>
    <s v="N"/>
    <n v="21343967"/>
    <s v="3000015667470002"/>
    <s v="CIVIL"/>
    <d v="2023-05-25T00:00:00"/>
    <d v="2023-07-07T19:03:00"/>
    <m/>
    <d v="2023-07-07T00:00:00"/>
    <n v="152"/>
    <n v="21317"/>
    <s v="61553102"/>
    <s v="61553102"/>
    <m/>
    <m/>
    <n v="22578258"/>
    <m/>
    <m/>
    <m/>
    <s v="SOLFIN"/>
    <s v="SOLFIN"/>
    <s v="CCMS"/>
    <n v="21343967"/>
    <n v="8228.379999999999"/>
    <m/>
    <s v="N"/>
    <n v="13"/>
    <d v="2023-07-07T19:03:18"/>
    <s v="N"/>
    <s v="Preparation - other"/>
    <s v="Non Family Hourly Rates"/>
    <s v="Profit Cost"/>
    <s v="RC"/>
    <s v="N"/>
    <n v="199.55"/>
    <n v="39.91"/>
    <x v="9"/>
    <s v="VALIDATED"/>
    <n v="1"/>
    <s v="01.11.80.212.6100.0000"/>
    <n v="199.55"/>
    <s v="11"/>
    <s v="6100"/>
    <n v="5034.48"/>
    <n v="199.55"/>
    <s v="CREDITOR"/>
    <n v="0"/>
    <n v="0"/>
    <n v="0"/>
    <n v="0"/>
    <n v="199.55"/>
  </r>
  <r>
    <n v="61553102"/>
    <s v="N"/>
    <n v="21343967"/>
    <s v="3000015667470002"/>
    <s v="CIVIL"/>
    <d v="2023-05-25T00:00:00"/>
    <d v="2023-07-07T19:03:00"/>
    <m/>
    <d v="2023-07-07T00:00:00"/>
    <n v="152"/>
    <n v="21317"/>
    <s v="61553102"/>
    <s v="61553102"/>
    <m/>
    <m/>
    <n v="22578258"/>
    <m/>
    <m/>
    <m/>
    <s v="SOLFIN"/>
    <s v="SOLFIN"/>
    <s v="CCMS"/>
    <n v="21343967"/>
    <n v="8228.379999999999"/>
    <m/>
    <s v="N"/>
    <n v="24"/>
    <d v="2023-07-07T19:03:18"/>
    <s v="Y"/>
    <s v="Attendance upon client"/>
    <s v="Non Family Hourly Rates"/>
    <s v="Profit Cost"/>
    <s v="AR"/>
    <s v="Y"/>
    <n v="182.46"/>
    <n v="36.49"/>
    <x v="9"/>
    <s v="VALIDATED"/>
    <n v="1"/>
    <s v="01.11.80.212.6100.0000"/>
    <n v="182.46"/>
    <s v="11"/>
    <s v="6100"/>
    <n v="5034.48"/>
    <n v="182.46"/>
    <s v="CREDITOR"/>
    <n v="0"/>
    <n v="0"/>
    <n v="0"/>
    <n v="0"/>
    <n v="182.46"/>
  </r>
  <r>
    <n v="43539773"/>
    <s v="N"/>
    <n v="21327745"/>
    <s v="3000011481210009"/>
    <s v="CIVIL"/>
    <d v="2023-06-27T00:00:00"/>
    <d v="2023-07-04T19:00:44"/>
    <m/>
    <d v="2023-07-04T00:00:00"/>
    <n v="152"/>
    <n v="21317"/>
    <s v="43539773"/>
    <s v="43539773"/>
    <m/>
    <m/>
    <n v="22766686"/>
    <m/>
    <m/>
    <m/>
    <s v="SOLFIN"/>
    <s v="SOLFIN"/>
    <s v="CCMS"/>
    <n v="21327745"/>
    <n v="7960.32"/>
    <m/>
    <s v="N"/>
    <n v="11"/>
    <d v="2023-07-04T19:00:53"/>
    <s v="Y"/>
    <s v="Attendance upon other"/>
    <s v="VHCC"/>
    <s v="Profit Cost"/>
    <s v="PS"/>
    <s v="Y"/>
    <n v="35.78"/>
    <n v="7.16"/>
    <x v="1"/>
    <s v="VALIDATED"/>
    <n v="1"/>
    <s v="01.11.80.212.6100.0000"/>
    <n v="35.78"/>
    <s v="11"/>
    <s v="6100"/>
    <n v="5034.48"/>
    <n v="35.78"/>
    <s v="CREDITOR"/>
    <n v="0"/>
    <n v="0"/>
    <n v="0"/>
    <n v="0"/>
    <n v="35.78"/>
  </r>
  <r>
    <n v="61553102"/>
    <s v="N"/>
    <n v="21343967"/>
    <s v="3000015667470002"/>
    <s v="CIVIL"/>
    <d v="2023-05-25T00:00:00"/>
    <d v="2023-07-07T19:03:00"/>
    <m/>
    <d v="2023-07-07T00:00:00"/>
    <n v="152"/>
    <n v="21317"/>
    <s v="61553102"/>
    <s v="61553102"/>
    <m/>
    <m/>
    <n v="22578258"/>
    <m/>
    <m/>
    <m/>
    <s v="SOLFIN"/>
    <s v="SOLFIN"/>
    <s v="CCMS"/>
    <n v="21343967"/>
    <n v="8228.379999999999"/>
    <m/>
    <s v="N"/>
    <n v="59"/>
    <d v="2023-07-07T19:03:18"/>
    <s v="Y"/>
    <s v="Preparation - other"/>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38"/>
    <d v="2023-07-04T19:00:53"/>
    <s v="Y"/>
    <s v="Preparation - other"/>
    <s v="VHCC"/>
    <s v="Profit Cost"/>
    <s v="CB"/>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74"/>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11"/>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52"/>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00"/>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56"/>
    <d v="2023-07-07T19:03:18"/>
    <s v="Y"/>
    <s v="Preparation - other"/>
    <s v="Non Family Hourly Rates"/>
    <s v="Profit Cost"/>
    <s v="AR"/>
    <s v="Y"/>
    <n v="24.33"/>
    <n v="4.87"/>
    <x v="9"/>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15"/>
    <d v="2023-07-07T19:03:18"/>
    <s v="Y"/>
    <s v="Preparation - drafting statement"/>
    <s v="Non Family Hourly Rates"/>
    <s v="Profit Cost"/>
    <s v="RC"/>
    <s v="Y"/>
    <n v="267.6"/>
    <n v="53.52"/>
    <x v="9"/>
    <s v="VALIDATED"/>
    <n v="1"/>
    <s v="01.11.80.212.6100.0000"/>
    <n v="267.6"/>
    <s v="11"/>
    <s v="6100"/>
    <n v="5034.48"/>
    <n v="267.6"/>
    <s v="CREDITOR"/>
    <n v="0"/>
    <n v="0"/>
    <n v="0"/>
    <n v="0"/>
    <n v="267.6"/>
  </r>
  <r>
    <n v="61553102"/>
    <s v="N"/>
    <n v="21343967"/>
    <s v="3000015667470002"/>
    <s v="CIVIL"/>
    <d v="2023-05-25T00:00:00"/>
    <d v="2023-07-07T19:03:00"/>
    <m/>
    <d v="2023-07-07T00:00:00"/>
    <n v="152"/>
    <n v="21317"/>
    <s v="61553102"/>
    <s v="61553102"/>
    <m/>
    <m/>
    <n v="22578258"/>
    <m/>
    <m/>
    <m/>
    <s v="SOLFIN"/>
    <s v="SOLFIN"/>
    <s v="CCMS"/>
    <n v="21343967"/>
    <n v="8228.379999999999"/>
    <m/>
    <s v="N"/>
    <n v="60"/>
    <d v="2023-07-07T19:03:18"/>
    <s v="Y"/>
    <s v="Preparation - other"/>
    <s v="Non Family Hourly Rates"/>
    <s v="Profit Cost"/>
    <s v="AR"/>
    <s v="Y"/>
    <n v="21.47"/>
    <n v="4.29"/>
    <x v="9"/>
    <s v="VALIDATED"/>
    <n v="1"/>
    <s v="01.11.80.212.6100.0000"/>
    <n v="21.47"/>
    <s v="11"/>
    <s v="6100"/>
    <n v="5034.48"/>
    <n v="21.47"/>
    <s v="CREDITOR"/>
    <n v="0"/>
    <n v="0"/>
    <n v="0"/>
    <n v="0"/>
    <n v="21.47"/>
  </r>
  <r>
    <n v="61553102"/>
    <s v="N"/>
    <n v="21343967"/>
    <s v="3000015667470002"/>
    <s v="CIVIL"/>
    <d v="2023-05-25T00:00:00"/>
    <d v="2023-07-07T19:03:00"/>
    <m/>
    <d v="2023-07-07T00:00:00"/>
    <n v="152"/>
    <n v="21317"/>
    <s v="61553102"/>
    <s v="61553102"/>
    <m/>
    <m/>
    <n v="22578258"/>
    <m/>
    <m/>
    <m/>
    <s v="SOLFIN"/>
    <s v="SOLFIN"/>
    <s v="CCMS"/>
    <n v="21343967"/>
    <n v="8228.379999999999"/>
    <m/>
    <s v="N"/>
    <n v="61"/>
    <d v="2023-07-07T19:03:18"/>
    <s v="Y"/>
    <s v="Preparation - other"/>
    <s v="Non Family Hourly Rates"/>
    <s v="Profit Cost"/>
    <s v="AR"/>
    <s v="Y"/>
    <n v="450.06"/>
    <n v="90.01000000000001"/>
    <x v="9"/>
    <s v="VALIDATED"/>
    <n v="1"/>
    <s v="01.11.80.212.6100.0000"/>
    <n v="450.06"/>
    <s v="11"/>
    <s v="6100"/>
    <n v="5034.48"/>
    <n v="450.06"/>
    <s v="CREDITOR"/>
    <n v="0"/>
    <n v="0"/>
    <n v="0"/>
    <n v="0"/>
    <n v="450.06"/>
  </r>
  <r>
    <n v="61553102"/>
    <s v="N"/>
    <n v="21343967"/>
    <s v="3000015667470002"/>
    <s v="CIVIL"/>
    <d v="2023-05-25T00:00:00"/>
    <d v="2023-07-07T19:03:00"/>
    <m/>
    <d v="2023-07-07T00:00:00"/>
    <n v="152"/>
    <n v="21317"/>
    <s v="61553102"/>
    <s v="61553102"/>
    <m/>
    <m/>
    <n v="22578258"/>
    <m/>
    <m/>
    <m/>
    <s v="SOLFIN"/>
    <s v="SOLFIN"/>
    <s v="CCMS"/>
    <n v="21343967"/>
    <n v="8228.379999999999"/>
    <m/>
    <s v="N"/>
    <n v="17"/>
    <d v="2023-07-07T19:03:18"/>
    <s v="Y"/>
    <s v="Preparation - other"/>
    <s v="Non Family Hourly Rates"/>
    <s v="Profit Cost"/>
    <s v="AR"/>
    <s v="Y"/>
    <n v="48.65"/>
    <n v="9.73"/>
    <x v="9"/>
    <s v="VALIDATED"/>
    <n v="1"/>
    <s v="01.11.80.212.6100.0000"/>
    <n v="48.65"/>
    <s v="11"/>
    <s v="6100"/>
    <n v="5034.48"/>
    <n v="48.65"/>
    <s v="CREDITOR"/>
    <n v="0"/>
    <n v="0"/>
    <n v="0"/>
    <n v="0"/>
    <n v="48.65"/>
  </r>
  <r>
    <n v="61553102"/>
    <s v="N"/>
    <n v="21343967"/>
    <s v="3000015667470002"/>
    <s v="CIVIL"/>
    <d v="2023-05-25T00:00:00"/>
    <d v="2023-07-07T19:03:00"/>
    <m/>
    <d v="2023-07-07T00:00:00"/>
    <n v="152"/>
    <n v="21317"/>
    <s v="61553102"/>
    <s v="61553102"/>
    <m/>
    <m/>
    <n v="22578258"/>
    <m/>
    <m/>
    <m/>
    <s v="SOLFIN"/>
    <s v="SOLFIN"/>
    <s v="CCMS"/>
    <n v="21343967"/>
    <n v="8228.379999999999"/>
    <m/>
    <s v="N"/>
    <n v="39"/>
    <d v="2023-07-07T19:03:18"/>
    <s v="Y"/>
    <s v="Preparation - other"/>
    <s v="Non Family Hourly Rates"/>
    <s v="Profit Cost"/>
    <s v="AR"/>
    <s v="Y"/>
    <n v="57.24"/>
    <n v="11.45"/>
    <x v="9"/>
    <s v="VALIDATED"/>
    <n v="1"/>
    <s v="01.11.80.212.6100.0000"/>
    <n v="57.24"/>
    <s v="11"/>
    <s v="6100"/>
    <n v="5034.48"/>
    <n v="57.24"/>
    <s v="CREDITOR"/>
    <n v="0"/>
    <n v="0"/>
    <n v="0"/>
    <n v="0"/>
    <n v="57.24"/>
  </r>
  <r>
    <n v="43539773"/>
    <s v="N"/>
    <n v="21327745"/>
    <s v="3000011481210009"/>
    <s v="CIVIL"/>
    <d v="2023-06-27T00:00:00"/>
    <d v="2023-07-04T19:00:44"/>
    <m/>
    <d v="2023-07-04T00:00:00"/>
    <n v="152"/>
    <n v="21317"/>
    <s v="43539773"/>
    <s v="43539773"/>
    <m/>
    <m/>
    <n v="22766686"/>
    <m/>
    <m/>
    <m/>
    <s v="SOLFIN"/>
    <s v="SOLFIN"/>
    <s v="CCMS"/>
    <n v="21327745"/>
    <n v="7960.32"/>
    <m/>
    <s v="N"/>
    <n v="3"/>
    <d v="2023-07-04T19:00:53"/>
    <s v="Y"/>
    <s v="Preparation - other"/>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31"/>
    <d v="2023-07-07T19:03:18"/>
    <s v="Y"/>
    <s v="Attendance upon client"/>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71"/>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79"/>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31"/>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47"/>
    <d v="2023-07-07T19:03:18"/>
    <s v="Y"/>
    <s v="Preparation - drafting statement"/>
    <s v="Non Family Hourly Rates"/>
    <s v="Profit Cost"/>
    <s v="AR"/>
    <s v="Y"/>
    <n v="97.31"/>
    <n v="19.46"/>
    <x v="9"/>
    <s v="VALIDATED"/>
    <n v="1"/>
    <s v="01.11.80.212.6100.0000"/>
    <n v="97.31"/>
    <s v="11"/>
    <s v="6100"/>
    <n v="5034.48"/>
    <n v="97.31"/>
    <s v="CREDITOR"/>
    <n v="0"/>
    <n v="0"/>
    <n v="0"/>
    <n v="0"/>
    <n v="97.31"/>
  </r>
  <r>
    <n v="43539773"/>
    <s v="N"/>
    <n v="21327745"/>
    <s v="3000011481210009"/>
    <s v="CIVIL"/>
    <d v="2023-06-27T00:00:00"/>
    <d v="2023-07-04T19:00:44"/>
    <m/>
    <d v="2023-07-04T00:00:00"/>
    <n v="152"/>
    <n v="21317"/>
    <s v="43539773"/>
    <s v="43539773"/>
    <m/>
    <m/>
    <n v="22766686"/>
    <m/>
    <m/>
    <m/>
    <s v="SOLFIN"/>
    <s v="SOLFIN"/>
    <s v="CCMS"/>
    <n v="21327745"/>
    <n v="7960.32"/>
    <m/>
    <s v="N"/>
    <n v="17"/>
    <d v="2023-07-04T19:00:53"/>
    <s v="Y"/>
    <s v="Preparation - other"/>
    <s v="VHCC"/>
    <s v="Profit Cost"/>
    <s v="RC"/>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107"/>
    <d v="2023-07-04T19:00:53"/>
    <s v="Y"/>
    <s v="Preparation - other"/>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41"/>
    <d v="2023-07-07T19:03:18"/>
    <s v="Y"/>
    <s v="Preparation - drafting statement"/>
    <s v="Non Family Hourly Rates"/>
    <s v="Profit Cost"/>
    <s v="RC"/>
    <s v="Y"/>
    <n v="510.87"/>
    <n v="102.18"/>
    <x v="9"/>
    <s v="VALIDATED"/>
    <n v="1"/>
    <s v="01.11.80.212.6100.0000"/>
    <n v="510.87"/>
    <s v="11"/>
    <s v="6100"/>
    <n v="5034.48"/>
    <n v="510.87"/>
    <s v="CREDITOR"/>
    <n v="0"/>
    <n v="0"/>
    <n v="0"/>
    <n v="0"/>
    <n v="510.87"/>
  </r>
  <r>
    <n v="43539773"/>
    <s v="N"/>
    <n v="21327745"/>
    <s v="3000011481210009"/>
    <s v="CIVIL"/>
    <d v="2023-06-27T00:00:00"/>
    <d v="2023-07-04T19:00:44"/>
    <m/>
    <d v="2023-07-04T00:00:00"/>
    <n v="152"/>
    <n v="21317"/>
    <s v="43539773"/>
    <s v="43539773"/>
    <m/>
    <m/>
    <n v="22766686"/>
    <m/>
    <m/>
    <m/>
    <s v="SOLFIN"/>
    <s v="SOLFIN"/>
    <s v="CCMS"/>
    <n v="21327745"/>
    <n v="7960.32"/>
    <m/>
    <s v="N"/>
    <n v="9"/>
    <d v="2023-07-04T19:00:53"/>
    <s v="Y"/>
    <s v="Other"/>
    <s v="VHCC"/>
    <s v="Profit Cost"/>
    <s v="CB"/>
    <s v="Y"/>
    <n v="143.1"/>
    <n v="28.62"/>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56"/>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86"/>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66"/>
    <d v="2023-07-07T19:03:18"/>
    <s v="Y"/>
    <s v="Report - Counsel's opinion"/>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73"/>
    <d v="2023-07-04T19:00:53"/>
    <s v="Y"/>
    <s v="Preparation - drafting pleadings"/>
    <s v="VHCC"/>
    <s v="Profit Cost"/>
    <s v="CB"/>
    <s v="Y"/>
    <n v="35.78"/>
    <n v="7.16"/>
    <x v="1"/>
    <s v="VALIDATED"/>
    <n v="1"/>
    <s v="01.11.80.212.6100.0000"/>
    <n v="35.78"/>
    <s v="11"/>
    <s v="6100"/>
    <n v="5034.48"/>
    <n v="35.78"/>
    <s v="CREDITOR"/>
    <n v="0"/>
    <n v="0"/>
    <n v="0"/>
    <n v="0"/>
    <n v="35.78"/>
  </r>
  <r>
    <n v="43539773"/>
    <s v="N"/>
    <n v="21327745"/>
    <s v="3000011481210009"/>
    <s v="CIVIL"/>
    <d v="2023-06-27T00:00:00"/>
    <d v="2023-07-04T19:00:44"/>
    <m/>
    <d v="2023-07-04T00:00:00"/>
    <n v="152"/>
    <n v="21317"/>
    <s v="43539773"/>
    <s v="43539773"/>
    <m/>
    <m/>
    <n v="22766686"/>
    <m/>
    <m/>
    <m/>
    <s v="SOLFIN"/>
    <s v="SOLFIN"/>
    <s v="CCMS"/>
    <n v="21327745"/>
    <n v="7960.32"/>
    <m/>
    <s v="N"/>
    <n v="44"/>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71"/>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82"/>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45"/>
    <d v="2023-07-07T19:03:18"/>
    <s v="Y"/>
    <s v="Preparation - other"/>
    <s v="Non Family Hourly Rates"/>
    <s v="Profit Cost"/>
    <s v="AR"/>
    <s v="Y"/>
    <n v="206.79"/>
    <n v="41.36"/>
    <x v="9"/>
    <s v="VALIDATED"/>
    <n v="1"/>
    <s v="01.11.80.212.6100.0000"/>
    <n v="206.79"/>
    <s v="11"/>
    <s v="6100"/>
    <n v="5034.48"/>
    <n v="206.79"/>
    <s v="CREDITOR"/>
    <n v="0"/>
    <n v="0"/>
    <n v="0"/>
    <n v="0"/>
    <n v="206.79"/>
  </r>
  <r>
    <n v="43539773"/>
    <s v="N"/>
    <n v="21327745"/>
    <s v="3000011481210009"/>
    <s v="CIVIL"/>
    <d v="2023-06-27T00:00:00"/>
    <d v="2023-07-04T19:00:44"/>
    <m/>
    <d v="2023-07-04T00:00:00"/>
    <n v="152"/>
    <n v="21317"/>
    <s v="43539773"/>
    <s v="43539773"/>
    <m/>
    <m/>
    <n v="22766686"/>
    <m/>
    <m/>
    <m/>
    <s v="SOLFIN"/>
    <s v="SOLFIN"/>
    <s v="CCMS"/>
    <n v="21327745"/>
    <n v="7960.32"/>
    <m/>
    <s v="N"/>
    <n v="14"/>
    <d v="2023-07-04T19:00:53"/>
    <s v="Y"/>
    <s v="Preparation - other"/>
    <s v="VHCC"/>
    <s v="Profit Cost"/>
    <s v="RC"/>
    <s v="Y"/>
    <n v="60.82"/>
    <n v="12.16"/>
    <x v="1"/>
    <s v="VALIDATED"/>
    <n v="1"/>
    <s v="01.11.80.212.6100.0000"/>
    <n v="60.82"/>
    <s v="11"/>
    <s v="6100"/>
    <n v="5034.48"/>
    <n v="60.82"/>
    <s v="CREDITOR"/>
    <n v="0"/>
    <n v="0"/>
    <n v="0"/>
    <n v="0"/>
    <n v="60.82"/>
  </r>
  <r>
    <n v="43539773"/>
    <s v="N"/>
    <n v="21327745"/>
    <s v="3000011481210009"/>
    <s v="CIVIL"/>
    <d v="2023-06-27T00:00:00"/>
    <d v="2023-07-04T19:00:44"/>
    <m/>
    <d v="2023-07-04T00:00:00"/>
    <n v="152"/>
    <n v="21317"/>
    <s v="43539773"/>
    <s v="43539773"/>
    <m/>
    <m/>
    <n v="22766686"/>
    <m/>
    <m/>
    <m/>
    <s v="SOLFIN"/>
    <s v="SOLFIN"/>
    <s v="CCMS"/>
    <n v="21327745"/>
    <n v="7960.32"/>
    <m/>
    <s v="N"/>
    <n v="27"/>
    <d v="2023-07-04T19:00:53"/>
    <s v="Y"/>
    <s v="Preparation - other"/>
    <s v="VHCC"/>
    <s v="Profit Cost"/>
    <s v="RC"/>
    <s v="Y"/>
    <n v="12.16"/>
    <n v="2.43"/>
    <x v="1"/>
    <s v="VALIDATED"/>
    <n v="1"/>
    <s v="01.11.80.212.6100.0000"/>
    <n v="12.16"/>
    <s v="11"/>
    <s v="6100"/>
    <n v="5034.48"/>
    <n v="12.16"/>
    <s v="CREDITOR"/>
    <n v="0"/>
    <n v="0"/>
    <n v="0"/>
    <n v="0"/>
    <n v="12.16"/>
  </r>
  <r>
    <n v="61553102"/>
    <s v="N"/>
    <n v="21343967"/>
    <s v="3000015667470002"/>
    <s v="CIVIL"/>
    <d v="2023-05-25T00:00:00"/>
    <d v="2023-07-07T19:03:00"/>
    <m/>
    <d v="2023-07-07T00:00:00"/>
    <n v="152"/>
    <n v="21317"/>
    <s v="61553102"/>
    <s v="61553102"/>
    <m/>
    <m/>
    <n v="22578258"/>
    <m/>
    <m/>
    <m/>
    <s v="SOLFIN"/>
    <s v="SOLFIN"/>
    <s v="CCMS"/>
    <n v="21343967"/>
    <n v="8228.379999999999"/>
    <m/>
    <s v="N"/>
    <n v="6"/>
    <d v="2023-07-07T19:03:18"/>
    <s v="N"/>
    <s v="Preparation - other"/>
    <s v="Non Family Hourly Rates"/>
    <s v="Profit Cost"/>
    <s v="AR"/>
    <s v="N"/>
    <n v="14.31"/>
    <n v="2.86"/>
    <x v="9"/>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13"/>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42"/>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35"/>
    <d v="2023-07-04T19:00:53"/>
    <s v="Y"/>
    <s v="Attendance upon client"/>
    <s v="VHCC"/>
    <s v="Profit Cost"/>
    <s v="PS"/>
    <s v="Y"/>
    <n v="109.48"/>
    <n v="21.89"/>
    <x v="1"/>
    <s v="VALIDATED"/>
    <n v="1"/>
    <s v="01.11.80.212.6100.0000"/>
    <n v="109.48"/>
    <s v="11"/>
    <s v="6100"/>
    <n v="5034.48"/>
    <n v="109.48"/>
    <s v="CREDITOR"/>
    <n v="0"/>
    <n v="0"/>
    <n v="0"/>
    <n v="0"/>
    <n v="109.48"/>
  </r>
  <r>
    <n v="43539773"/>
    <s v="N"/>
    <n v="21327745"/>
    <s v="3000011481210009"/>
    <s v="CIVIL"/>
    <d v="2023-06-27T00:00:00"/>
    <d v="2023-07-04T19:00:44"/>
    <m/>
    <d v="2023-07-04T00:00:00"/>
    <n v="152"/>
    <n v="21317"/>
    <s v="43539773"/>
    <s v="43539773"/>
    <m/>
    <m/>
    <n v="22766686"/>
    <m/>
    <m/>
    <m/>
    <s v="SOLFIN"/>
    <s v="SOLFIN"/>
    <s v="CCMS"/>
    <n v="21327745"/>
    <n v="7960.32"/>
    <m/>
    <s v="N"/>
    <n v="51"/>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67"/>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89"/>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39"/>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54"/>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62"/>
    <d v="2023-07-04T19:00:53"/>
    <s v="Y"/>
    <s v="Preparation - drafting bill/claim f"/>
    <s v="VHCC"/>
    <s v="Profit Cost"/>
    <s v="RC"/>
    <s v="Y"/>
    <n v="7.16"/>
    <n v="1.43"/>
    <x v="1"/>
    <s v="VALIDATED"/>
    <n v="1"/>
    <s v="01.11.80.212.6100.0000"/>
    <n v="7.16"/>
    <s v="11"/>
    <s v="6100"/>
    <n v="5034.48"/>
    <n v="7.16"/>
    <s v="CREDITOR"/>
    <n v="0"/>
    <n v="0"/>
    <n v="0"/>
    <n v="0"/>
    <n v="7.16"/>
  </r>
  <r>
    <n v="61553102"/>
    <s v="N"/>
    <n v="21343967"/>
    <s v="3000015667470002"/>
    <s v="CIVIL"/>
    <d v="2023-05-25T00:00:00"/>
    <d v="2023-07-07T19:03:00"/>
    <m/>
    <d v="2023-07-07T00:00:00"/>
    <n v="152"/>
    <n v="21317"/>
    <s v="61553102"/>
    <s v="61553102"/>
    <m/>
    <m/>
    <n v="22578258"/>
    <m/>
    <m/>
    <m/>
    <s v="SOLFIN"/>
    <s v="SOLFIN"/>
    <s v="CCMS"/>
    <n v="21343967"/>
    <n v="8228.379999999999"/>
    <m/>
    <s v="N"/>
    <n v="11"/>
    <d v="2023-07-07T19:03:18"/>
    <s v="N"/>
    <s v="Preparation - other"/>
    <s v="Non Family Hourly Rates"/>
    <s v="Profit Cost"/>
    <s v="AR"/>
    <s v="N"/>
    <n v="24.33"/>
    <n v="4.87"/>
    <x v="9"/>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35"/>
    <d v="2023-07-07T19:03:18"/>
    <s v="Y"/>
    <s v="Preparation - other"/>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5"/>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55"/>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61"/>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76"/>
    <d v="2023-07-04T19:00:53"/>
    <s v="Y"/>
    <s v="Expert - Other"/>
    <s v="VHCC"/>
    <s v="Expert Disbursement"/>
    <s v="XXX"/>
    <s v="Y"/>
    <n v="1485"/>
    <n v="0"/>
    <x v="1"/>
    <s v="VALIDATED"/>
    <n v="1"/>
    <s v="01.11.80.212.6300.0000"/>
    <n v="1485"/>
    <s v="11"/>
    <s v="6300"/>
    <n v="5034.48"/>
    <n v="1485"/>
    <s v="CREDITOR"/>
    <n v="0"/>
    <n v="0"/>
    <n v="0"/>
    <n v="0"/>
    <n v="1485"/>
  </r>
  <r>
    <n v="61553102"/>
    <s v="N"/>
    <n v="21343967"/>
    <s v="3000015667470002"/>
    <s v="CIVIL"/>
    <d v="2023-05-25T00:00:00"/>
    <d v="2023-07-07T19:03:00"/>
    <m/>
    <d v="2023-07-07T00:00:00"/>
    <n v="152"/>
    <n v="21317"/>
    <s v="61553102"/>
    <s v="61553102"/>
    <m/>
    <m/>
    <n v="22578258"/>
    <m/>
    <m/>
    <m/>
    <s v="SOLFIN"/>
    <s v="SOLFIN"/>
    <s v="CCMS"/>
    <n v="21343967"/>
    <n v="8228.379999999999"/>
    <m/>
    <s v="N"/>
    <n v="57"/>
    <d v="2023-07-07T19:03:18"/>
    <s v="Y"/>
    <s v="Preparation - other"/>
    <s v="Non Family Hourly Rates"/>
    <s v="Profit Cost"/>
    <s v="AR"/>
    <s v="Y"/>
    <n v="36.5"/>
    <n v="7.3"/>
    <x v="9"/>
    <s v="VALIDATED"/>
    <n v="1"/>
    <s v="01.11.80.212.6100.0000"/>
    <n v="36.5"/>
    <s v="11"/>
    <s v="6100"/>
    <n v="5034.48"/>
    <n v="36.5"/>
    <s v="CREDITOR"/>
    <n v="0"/>
    <n v="0"/>
    <n v="0"/>
    <n v="0"/>
    <n v="36.5"/>
  </r>
  <r>
    <n v="61553102"/>
    <s v="N"/>
    <n v="21343967"/>
    <s v="3000015667470002"/>
    <s v="CIVIL"/>
    <d v="2023-05-25T00:00:00"/>
    <d v="2023-07-07T19:03:00"/>
    <m/>
    <d v="2023-07-07T00:00:00"/>
    <n v="152"/>
    <n v="21317"/>
    <s v="61553102"/>
    <s v="61553102"/>
    <m/>
    <m/>
    <n v="22578258"/>
    <m/>
    <m/>
    <m/>
    <s v="SOLFIN"/>
    <s v="SOLFIN"/>
    <s v="CCMS"/>
    <n v="21343967"/>
    <n v="8228.379999999999"/>
    <m/>
    <s v="N"/>
    <n v="19"/>
    <d v="2023-07-07T19:03:18"/>
    <s v="Y"/>
    <s v="Preparation - other"/>
    <s v="Non Family Hourly Rates"/>
    <s v="Profit Cost"/>
    <s v="AR"/>
    <s v="Y"/>
    <n v="24.33"/>
    <n v="4.87"/>
    <x v="9"/>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28"/>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149"/>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34"/>
    <d v="2023-07-04T19:00:53"/>
    <s v="Y"/>
    <s v="Preparation - drafting instructions"/>
    <s v="VHCC"/>
    <s v="Profit Cost"/>
    <s v="CB"/>
    <s v="Y"/>
    <n v="97.31"/>
    <n v="19.46"/>
    <x v="1"/>
    <s v="VALIDATED"/>
    <n v="1"/>
    <s v="01.11.80.212.6100.0000"/>
    <n v="97.31"/>
    <s v="11"/>
    <s v="6100"/>
    <n v="5034.48"/>
    <n v="97.31"/>
    <s v="CREDITOR"/>
    <n v="0"/>
    <n v="0"/>
    <n v="0"/>
    <n v="0"/>
    <n v="97.31"/>
  </r>
  <r>
    <n v="43539773"/>
    <s v="N"/>
    <n v="21327745"/>
    <s v="3000011481210009"/>
    <s v="CIVIL"/>
    <d v="2023-06-27T00:00:00"/>
    <d v="2023-07-04T19:00:44"/>
    <m/>
    <d v="2023-07-04T00:00:00"/>
    <n v="152"/>
    <n v="21317"/>
    <s v="43539773"/>
    <s v="43539773"/>
    <m/>
    <m/>
    <n v="22766686"/>
    <m/>
    <m/>
    <m/>
    <s v="SOLFIN"/>
    <s v="SOLFIN"/>
    <s v="CCMS"/>
    <n v="21327745"/>
    <n v="7960.32"/>
    <m/>
    <s v="N"/>
    <n v="36"/>
    <d v="2023-07-04T19:00:53"/>
    <s v="Y"/>
    <s v="Preparation - drafting pleadings"/>
    <s v="VHCC"/>
    <s v="Profit Cost"/>
    <s v="CB"/>
    <s v="Y"/>
    <n v="64.40000000000001"/>
    <n v="12.88"/>
    <x v="1"/>
    <s v="VALIDATED"/>
    <n v="1"/>
    <s v="01.11.80.212.6100.0000"/>
    <n v="64.40000000000001"/>
    <s v="11"/>
    <s v="6100"/>
    <n v="5034.48"/>
    <n v="64.40000000000001"/>
    <s v="CREDITOR"/>
    <n v="0"/>
    <n v="0"/>
    <n v="0"/>
    <n v="0"/>
    <n v="64.40000000000001"/>
  </r>
  <r>
    <n v="43539773"/>
    <s v="N"/>
    <n v="21327745"/>
    <s v="3000011481210009"/>
    <s v="CIVIL"/>
    <d v="2023-06-27T00:00:00"/>
    <d v="2023-07-04T19:00:44"/>
    <m/>
    <d v="2023-07-04T00:00:00"/>
    <n v="152"/>
    <n v="21317"/>
    <s v="43539773"/>
    <s v="43539773"/>
    <m/>
    <m/>
    <n v="22766686"/>
    <m/>
    <m/>
    <m/>
    <s v="SOLFIN"/>
    <s v="SOLFIN"/>
    <s v="CCMS"/>
    <n v="21327745"/>
    <n v="7960.32"/>
    <m/>
    <s v="N"/>
    <n v="7"/>
    <d v="2023-07-04T19:00:53"/>
    <s v="Y"/>
    <s v="Preparation - drafting instructions"/>
    <s v="VHCC"/>
    <s v="Profit Cost"/>
    <s v="CB"/>
    <s v="Y"/>
    <n v="72.98"/>
    <n v="14.59"/>
    <x v="1"/>
    <s v="VALIDATED"/>
    <n v="1"/>
    <s v="01.11.80.212.6100.0000"/>
    <n v="72.98"/>
    <s v="11"/>
    <s v="6100"/>
    <n v="5034.48"/>
    <n v="72.98"/>
    <s v="CREDITOR"/>
    <n v="0"/>
    <n v="0"/>
    <n v="0"/>
    <n v="0"/>
    <n v="72.98"/>
  </r>
  <r>
    <n v="43539773"/>
    <s v="N"/>
    <n v="21327745"/>
    <s v="3000011481210009"/>
    <s v="CIVIL"/>
    <d v="2023-06-27T00:00:00"/>
    <d v="2023-07-04T19:00:44"/>
    <m/>
    <d v="2023-07-04T00:00:00"/>
    <n v="152"/>
    <n v="21317"/>
    <s v="43539773"/>
    <s v="43539773"/>
    <m/>
    <m/>
    <n v="22766686"/>
    <m/>
    <m/>
    <m/>
    <s v="SOLFIN"/>
    <s v="SOLFIN"/>
    <s v="CCMS"/>
    <n v="21327745"/>
    <n v="7960.32"/>
    <m/>
    <s v="N"/>
    <n v="40"/>
    <d v="2023-07-04T19:00:53"/>
    <s v="Y"/>
    <s v="Preparation - other"/>
    <s v="VHCC"/>
    <s v="Profit Cost"/>
    <s v="CB"/>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80"/>
    <d v="2023-07-04T19:00:53"/>
    <s v="Y"/>
    <s v="Preparation - drafting application"/>
    <s v="VHCC"/>
    <s v="Profit Cost"/>
    <s v="RC"/>
    <s v="Y"/>
    <n v="14.31"/>
    <n v="2.86"/>
    <x v="1"/>
    <s v="VALIDATED"/>
    <n v="1"/>
    <s v="01.11.80.212.6100.0000"/>
    <n v="14.31"/>
    <s v="11"/>
    <s v="6100"/>
    <n v="5034.48"/>
    <n v="14.31"/>
    <s v="CREDITOR"/>
    <n v="0"/>
    <n v="0"/>
    <n v="0"/>
    <n v="0"/>
    <n v="14.31"/>
  </r>
  <r>
    <n v="61553102"/>
    <s v="N"/>
    <n v="21343967"/>
    <s v="3000015667470002"/>
    <s v="CIVIL"/>
    <d v="2023-05-25T00:00:00"/>
    <d v="2023-07-07T19:03:00"/>
    <m/>
    <d v="2023-07-07T00:00:00"/>
    <n v="152"/>
    <n v="21317"/>
    <s v="61553102"/>
    <s v="61553102"/>
    <m/>
    <m/>
    <n v="22578258"/>
    <m/>
    <m/>
    <m/>
    <s v="SOLFIN"/>
    <s v="SOLFIN"/>
    <s v="CCMS"/>
    <n v="21343967"/>
    <n v="8228.379999999999"/>
    <m/>
    <s v="N"/>
    <n v="4"/>
    <d v="2023-07-07T19:03:18"/>
    <s v="N"/>
    <s v="Attendance upon client"/>
    <s v="Non Family Hourly Rates"/>
    <s v="Profit Cost"/>
    <s v="AR"/>
    <s v="N"/>
    <n v="97.31"/>
    <n v="19.46"/>
    <x v="9"/>
    <s v="VALIDATED"/>
    <n v="1"/>
    <s v="01.11.80.212.6100.0000"/>
    <n v="97.31"/>
    <s v="11"/>
    <s v="6100"/>
    <n v="5034.48"/>
    <n v="97.31"/>
    <s v="CREDITOR"/>
    <n v="0"/>
    <n v="0"/>
    <n v="0"/>
    <n v="0"/>
    <n v="97.31"/>
  </r>
  <r>
    <n v="61553102"/>
    <s v="N"/>
    <n v="21343967"/>
    <s v="3000015667470002"/>
    <s v="CIVIL"/>
    <d v="2023-05-25T00:00:00"/>
    <d v="2023-07-07T19:03:00"/>
    <m/>
    <d v="2023-07-07T00:00:00"/>
    <n v="152"/>
    <n v="21317"/>
    <s v="61553102"/>
    <s v="61553102"/>
    <m/>
    <m/>
    <n v="22578258"/>
    <m/>
    <m/>
    <m/>
    <s v="SOLFIN"/>
    <s v="SOLFIN"/>
    <s v="CCMS"/>
    <n v="21343967"/>
    <n v="8228.379999999999"/>
    <m/>
    <s v="N"/>
    <n v="7"/>
    <d v="2023-07-07T19:03:18"/>
    <s v="N"/>
    <s v="Preparation - drafting application"/>
    <s v="Non Family Hourly Rates"/>
    <s v="Profit Cost"/>
    <s v="AR"/>
    <s v="N"/>
    <n v="42.93"/>
    <n v="8.59"/>
    <x v="9"/>
    <s v="VALIDATED"/>
    <n v="1"/>
    <s v="01.11.80.212.6100.0000"/>
    <n v="42.93"/>
    <s v="11"/>
    <s v="6100"/>
    <n v="5034.48"/>
    <n v="42.93"/>
    <s v="CREDITOR"/>
    <n v="0"/>
    <n v="0"/>
    <n v="0"/>
    <n v="0"/>
    <n v="42.93"/>
  </r>
  <r>
    <n v="61553102"/>
    <s v="N"/>
    <n v="21343967"/>
    <s v="3000015667470002"/>
    <s v="CIVIL"/>
    <d v="2023-05-25T00:00:00"/>
    <d v="2023-07-07T19:03:00"/>
    <m/>
    <d v="2023-07-07T00:00:00"/>
    <n v="152"/>
    <n v="21317"/>
    <s v="61553102"/>
    <s v="61553102"/>
    <m/>
    <m/>
    <n v="22578258"/>
    <m/>
    <m/>
    <m/>
    <s v="SOLFIN"/>
    <s v="SOLFIN"/>
    <s v="CCMS"/>
    <n v="21343967"/>
    <n v="8228.379999999999"/>
    <m/>
    <s v="N"/>
    <n v="27"/>
    <d v="2023-07-07T19:03:18"/>
    <s v="Y"/>
    <s v="Preparation - drafting instructions"/>
    <s v="Non Family Hourly Rates"/>
    <s v="Profit Cost"/>
    <s v="AR"/>
    <s v="Y"/>
    <n v="72.98"/>
    <n v="14.6"/>
    <x v="9"/>
    <s v="VALIDATED"/>
    <n v="1"/>
    <s v="01.11.80.212.6100.0000"/>
    <n v="72.98"/>
    <s v="11"/>
    <s v="6100"/>
    <n v="5034.48"/>
    <n v="72.98"/>
    <s v="CREDITOR"/>
    <n v="0"/>
    <n v="0"/>
    <n v="0"/>
    <n v="0"/>
    <n v="72.98"/>
  </r>
  <r>
    <n v="43539773"/>
    <s v="N"/>
    <n v="21327745"/>
    <s v="3000011481210009"/>
    <s v="CIVIL"/>
    <d v="2023-06-27T00:00:00"/>
    <d v="2023-07-04T19:00:44"/>
    <m/>
    <d v="2023-07-04T00:00:00"/>
    <n v="152"/>
    <n v="21317"/>
    <s v="43539773"/>
    <s v="43539773"/>
    <m/>
    <m/>
    <n v="22766686"/>
    <m/>
    <m/>
    <m/>
    <s v="SOLFIN"/>
    <s v="SOLFIN"/>
    <s v="CCMS"/>
    <n v="21327745"/>
    <n v="7960.32"/>
    <m/>
    <s v="N"/>
    <n v="112"/>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2"/>
    <d v="2023-07-04T19:00:53"/>
    <s v="Y"/>
    <s v="Preparation - other"/>
    <s v="VHCC"/>
    <s v="Profit Cost"/>
    <s v="RC"/>
    <s v="Y"/>
    <n v="35.78"/>
    <n v="7.16"/>
    <x v="1"/>
    <s v="VALIDATED"/>
    <n v="1"/>
    <s v="01.11.80.212.6100.0000"/>
    <n v="35.78"/>
    <s v="11"/>
    <s v="6100"/>
    <n v="5034.48"/>
    <n v="35.78"/>
    <s v="CREDITOR"/>
    <n v="0"/>
    <n v="0"/>
    <n v="0"/>
    <n v="0"/>
    <n v="35.78"/>
  </r>
  <r>
    <n v="43539773"/>
    <s v="N"/>
    <n v="21327745"/>
    <s v="3000011481210009"/>
    <s v="CIVIL"/>
    <d v="2023-06-27T00:00:00"/>
    <d v="2023-07-04T19:00:44"/>
    <m/>
    <d v="2023-07-04T00:00:00"/>
    <n v="152"/>
    <n v="21317"/>
    <s v="43539773"/>
    <s v="43539773"/>
    <m/>
    <m/>
    <n v="22766686"/>
    <m/>
    <m/>
    <m/>
    <s v="SOLFIN"/>
    <s v="SOLFIN"/>
    <s v="CCMS"/>
    <n v="21327745"/>
    <n v="7960.32"/>
    <m/>
    <s v="N"/>
    <n v="10"/>
    <d v="2023-07-04T19:00:53"/>
    <s v="Y"/>
    <s v="Report - other expert's report"/>
    <s v="VHCC"/>
    <s v="Profit Cost"/>
    <s v="CB"/>
    <s v="Y"/>
    <n v="60.82"/>
    <n v="12.16"/>
    <x v="1"/>
    <s v="VALIDATED"/>
    <n v="1"/>
    <s v="01.11.80.212.6100.0000"/>
    <n v="60.82"/>
    <s v="11"/>
    <s v="6100"/>
    <n v="5034.48"/>
    <n v="60.82"/>
    <s v="CREDITOR"/>
    <n v="0"/>
    <n v="0"/>
    <n v="0"/>
    <n v="0"/>
    <n v="60.82"/>
  </r>
  <r>
    <n v="43539773"/>
    <s v="N"/>
    <n v="21327745"/>
    <s v="3000011481210009"/>
    <s v="CIVIL"/>
    <d v="2023-06-27T00:00:00"/>
    <d v="2023-07-04T19:00:44"/>
    <m/>
    <d v="2023-07-04T00:00:00"/>
    <n v="152"/>
    <n v="21317"/>
    <s v="43539773"/>
    <s v="43539773"/>
    <m/>
    <m/>
    <n v="22766686"/>
    <m/>
    <m/>
    <m/>
    <s v="SOLFIN"/>
    <s v="SOLFIN"/>
    <s v="CCMS"/>
    <n v="21327745"/>
    <n v="7960.32"/>
    <m/>
    <s v="N"/>
    <n v="160"/>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87"/>
    <d v="2023-07-04T19:00:53"/>
    <s v="Y"/>
    <s v="Preparation - other"/>
    <s v="VHCC"/>
    <s v="Profit Cost"/>
    <s v="RC"/>
    <s v="Y"/>
    <n v="24.33"/>
    <n v="4.87"/>
    <x v="1"/>
    <s v="VALIDATED"/>
    <n v="1"/>
    <s v="01.11.80.212.6100.0000"/>
    <n v="24.33"/>
    <s v="11"/>
    <s v="6100"/>
    <n v="5034.48"/>
    <n v="24.33"/>
    <s v="CREDITOR"/>
    <n v="0"/>
    <n v="0"/>
    <n v="0"/>
    <n v="0"/>
    <n v="24.33"/>
  </r>
  <r>
    <n v="61553102"/>
    <s v="N"/>
    <n v="21343967"/>
    <s v="3000015667470002"/>
    <s v="CIVIL"/>
    <d v="2023-05-25T00:00:00"/>
    <d v="2023-07-07T19:03:00"/>
    <m/>
    <d v="2023-07-07T00:00:00"/>
    <n v="152"/>
    <n v="21317"/>
    <s v="61553102"/>
    <s v="61553102"/>
    <m/>
    <m/>
    <n v="22578258"/>
    <m/>
    <m/>
    <m/>
    <s v="SOLFIN"/>
    <s v="SOLFIN"/>
    <s v="CCMS"/>
    <n v="21343967"/>
    <n v="8228.379999999999"/>
    <m/>
    <s v="N"/>
    <n v="69"/>
    <d v="2023-07-07T19:03:18"/>
    <s v="Y"/>
    <s v="Preparation - drafting application"/>
    <s v="Non Family Hourly Rates"/>
    <s v="Profit Cost"/>
    <s v="AR"/>
    <s v="Y"/>
    <n v="21.47"/>
    <n v="4.29"/>
    <x v="9"/>
    <s v="VALIDATED"/>
    <n v="1"/>
    <s v="01.11.80.212.6100.0000"/>
    <n v="21.47"/>
    <s v="11"/>
    <s v="6100"/>
    <n v="5034.48"/>
    <n v="21.47"/>
    <s v="CREDITOR"/>
    <n v="0"/>
    <n v="0"/>
    <n v="0"/>
    <n v="0"/>
    <n v="21.47"/>
  </r>
  <r>
    <n v="43539773"/>
    <s v="N"/>
    <n v="21327745"/>
    <s v="3000011481210009"/>
    <s v="CIVIL"/>
    <d v="2023-06-27T00:00:00"/>
    <d v="2023-07-04T19:00:44"/>
    <m/>
    <d v="2023-07-04T00:00:00"/>
    <n v="152"/>
    <n v="21317"/>
    <s v="43539773"/>
    <s v="43539773"/>
    <m/>
    <m/>
    <n v="22766686"/>
    <m/>
    <m/>
    <m/>
    <s v="SOLFIN"/>
    <s v="SOLFIN"/>
    <s v="CCMS"/>
    <n v="21327745"/>
    <n v="7960.32"/>
    <m/>
    <s v="N"/>
    <n v="118"/>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121"/>
    <d v="2023-07-04T19:00:53"/>
    <s v="Y"/>
    <s v="Preparation - other"/>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90"/>
    <d v="2023-07-04T19:00:53"/>
    <s v="Y"/>
    <s v="Preparation - other"/>
    <s v="VHCC"/>
    <s v="Profit Cost"/>
    <s v="RC"/>
    <s v="Y"/>
    <n v="24.33"/>
    <n v="4.87"/>
    <x v="1"/>
    <s v="VALIDATED"/>
    <n v="1"/>
    <s v="01.11.80.212.6100.0000"/>
    <n v="24.33"/>
    <s v="11"/>
    <s v="6100"/>
    <n v="5034.48"/>
    <n v="24.33"/>
    <s v="CREDITOR"/>
    <n v="0"/>
    <n v="0"/>
    <n v="0"/>
    <n v="0"/>
    <n v="24.33"/>
  </r>
  <r>
    <n v="43539773"/>
    <s v="N"/>
    <n v="21327745"/>
    <s v="3000011481210009"/>
    <s v="CIVIL"/>
    <d v="2023-06-27T00:00:00"/>
    <d v="2023-07-04T19:00:44"/>
    <m/>
    <d v="2023-07-04T00:00:00"/>
    <n v="152"/>
    <n v="21317"/>
    <s v="43539773"/>
    <s v="43539773"/>
    <m/>
    <m/>
    <n v="22766686"/>
    <m/>
    <m/>
    <m/>
    <s v="SOLFIN"/>
    <s v="SOLFIN"/>
    <s v="CCMS"/>
    <n v="21327745"/>
    <n v="7960.32"/>
    <m/>
    <s v="N"/>
    <n v="135"/>
    <d v="2023-07-04T19:00:53"/>
    <s v="Y"/>
    <s v="Preparation - drafting application"/>
    <s v="VHCC"/>
    <s v="Profit Cost"/>
    <s v="RC"/>
    <s v="Y"/>
    <n v="14.31"/>
    <n v="2.86"/>
    <x v="1"/>
    <s v="VALIDATED"/>
    <n v="1"/>
    <s v="01.11.80.212.6100.0000"/>
    <n v="14.31"/>
    <s v="11"/>
    <s v="6100"/>
    <n v="5034.48"/>
    <n v="14.31"/>
    <s v="CREDITOR"/>
    <n v="0"/>
    <n v="0"/>
    <n v="0"/>
    <n v="0"/>
    <n v="14.31"/>
  </r>
  <r>
    <n v="43539773"/>
    <s v="N"/>
    <n v="21327745"/>
    <s v="3000011481210009"/>
    <s v="CIVIL"/>
    <d v="2023-06-27T00:00:00"/>
    <d v="2023-07-04T19:00:44"/>
    <m/>
    <d v="2023-07-04T00:00:00"/>
    <n v="152"/>
    <n v="21317"/>
    <s v="43539773"/>
    <s v="43539773"/>
    <m/>
    <m/>
    <n v="22766686"/>
    <m/>
    <m/>
    <m/>
    <s v="SOLFIN"/>
    <s v="SOLFIN"/>
    <s v="CCMS"/>
    <n v="21327745"/>
    <n v="7960.32"/>
    <m/>
    <s v="N"/>
    <n v="53"/>
    <d v="2023-07-04T19:00:53"/>
    <s v="Y"/>
    <s v="Preparation - other"/>
    <s v="VHCC"/>
    <s v="Profit Cost"/>
    <s v="RC"/>
    <s v="Y"/>
    <n v="36.49"/>
    <n v="7.3"/>
    <x v="1"/>
    <s v="VALIDATED"/>
    <n v="1"/>
    <s v="01.11.80.212.6100.0000"/>
    <n v="36.49"/>
    <s v="11"/>
    <s v="6100"/>
    <n v="5034.48"/>
    <n v="36.49"/>
    <s v="CREDITOR"/>
    <n v="0"/>
    <n v="0"/>
    <n v="0"/>
    <n v="0"/>
    <n v="36.49"/>
  </r>
  <r>
    <n v="43539773"/>
    <s v="N"/>
    <n v="21327745"/>
    <s v="3000011481210009"/>
    <s v="CIVIL"/>
    <d v="2023-06-27T00:00:00"/>
    <d v="2023-07-04T19:00:44"/>
    <m/>
    <d v="2023-07-04T00:00:00"/>
    <n v="152"/>
    <n v="21317"/>
    <s v="43539773"/>
    <s v="43539773"/>
    <m/>
    <m/>
    <n v="22766686"/>
    <m/>
    <m/>
    <m/>
    <s v="SOLFIN"/>
    <s v="SOLFIN"/>
    <s v="CCMS"/>
    <n v="21327745"/>
    <n v="7960.32"/>
    <m/>
    <s v="N"/>
    <n v="164"/>
    <d v="2023-07-04T19:00:53"/>
    <s v="Y"/>
    <s v="Preparation - drafting bill/claim f"/>
    <s v="VHCC"/>
    <s v="Profit Cost"/>
    <s v="RC"/>
    <s v="Y"/>
    <n v="7.16"/>
    <n v="1.43"/>
    <x v="1"/>
    <s v="VALIDATED"/>
    <n v="1"/>
    <s v="01.11.80.212.6100.0000"/>
    <n v="7.16"/>
    <s v="11"/>
    <s v="6100"/>
    <n v="5034.48"/>
    <n v="7.16"/>
    <s v="CREDITOR"/>
    <n v="0"/>
    <n v="0"/>
    <n v="0"/>
    <n v="0"/>
    <n v="7.16"/>
  </r>
  <r>
    <n v="43539773"/>
    <s v="N"/>
    <n v="21327745"/>
    <s v="3000011481210009"/>
    <s v="CIVIL"/>
    <d v="2023-06-27T00:00:00"/>
    <d v="2023-07-04T19:00:44"/>
    <m/>
    <d v="2023-07-04T00:00:00"/>
    <n v="152"/>
    <n v="21317"/>
    <s v="43539773"/>
    <s v="43539773"/>
    <m/>
    <m/>
    <n v="22766686"/>
    <m/>
    <m/>
    <m/>
    <s v="SOLFIN"/>
    <s v="SOLFIN"/>
    <s v="CCMS"/>
    <n v="21327745"/>
    <n v="7960.32"/>
    <m/>
    <s v="N"/>
    <n v="39"/>
    <d v="2023-07-04T19:00:53"/>
    <s v="Y"/>
    <s v="Report - other expert's report"/>
    <s v="VHCC"/>
    <s v="Profit Cost"/>
    <s v="PS"/>
    <s v="Y"/>
    <n v="12.16"/>
    <n v="2.43"/>
    <x v="1"/>
    <s v="VALIDATED"/>
    <n v="1"/>
    <s v="01.11.80.212.6100.0000"/>
    <n v="12.16"/>
    <s v="11"/>
    <s v="6100"/>
    <n v="5034.48"/>
    <n v="12.16"/>
    <s v="CREDITOR"/>
    <n v="0"/>
    <n v="0"/>
    <n v="0"/>
    <n v="0"/>
    <n v="12.16"/>
  </r>
  <r>
    <n v="43539773"/>
    <s v="N"/>
    <n v="21327745"/>
    <s v="3000011481210009"/>
    <s v="CIVIL"/>
    <d v="2023-06-27T00:00:00"/>
    <d v="2023-07-04T19:00:44"/>
    <m/>
    <d v="2023-07-04T00:00:00"/>
    <n v="152"/>
    <n v="21317"/>
    <s v="43539773"/>
    <s v="43539773"/>
    <m/>
    <m/>
    <n v="22766686"/>
    <m/>
    <m/>
    <m/>
    <s v="SOLFIN"/>
    <s v="SOLFIN"/>
    <s v="CCMS"/>
    <n v="21327745"/>
    <n v="7960.32"/>
    <m/>
    <s v="N"/>
    <n v="60"/>
    <d v="2023-07-04T19:00:53"/>
    <s v="Y"/>
    <s v="Preparation - other"/>
    <s v="VHCC"/>
    <s v="Profit Cost"/>
    <s v="RC"/>
    <s v="Y"/>
    <n v="36.49"/>
    <n v="7.3"/>
    <x v="1"/>
    <s v="VALIDATED"/>
    <n v="1"/>
    <s v="01.11.80.212.6100.0000"/>
    <n v="36.49"/>
    <s v="11"/>
    <s v="6100"/>
    <n v="5034.48"/>
    <n v="36.49"/>
    <s v="CREDITOR"/>
    <n v="0"/>
    <n v="0"/>
    <n v="0"/>
    <n v="0"/>
    <n v="36.49"/>
  </r>
  <r>
    <n v="43877254"/>
    <s v="N"/>
    <n v="21398672"/>
    <s v="3000011618150004RC"/>
    <s v="CIVIL"/>
    <d v="2023-06-29T00:00:00"/>
    <d v="2023-07-19T19:43:58"/>
    <m/>
    <d v="2023-07-19T00:00:00"/>
    <n v="157"/>
    <n v="114"/>
    <s v="43877254"/>
    <s v="43877254"/>
    <m/>
    <m/>
    <m/>
    <m/>
    <m/>
    <m/>
    <s v="SOLRECOUP"/>
    <s v="SOLRECOUP"/>
    <s v="POARECOUP"/>
    <n v="21398672"/>
    <n v="-727"/>
    <m/>
    <s v="Y"/>
    <n v="1"/>
    <d v="2023-07-19T19:43:59"/>
    <s v="N"/>
    <m/>
    <m/>
    <s v="Expert Disbursement"/>
    <m/>
    <s v="N"/>
    <n v="-727"/>
    <n v="0"/>
    <x v="5"/>
    <s v="VALIDATED"/>
    <n v="1"/>
    <s v="01.11.80.308.2013.0000"/>
    <n v="-727"/>
    <s v="11"/>
    <s v="2013"/>
    <n v="27362.93"/>
    <n v="-727"/>
    <s v="CREDITOR"/>
    <n v="0"/>
    <n v="0"/>
    <n v="-727"/>
    <n v="0"/>
    <n v="0"/>
  </r>
  <r>
    <n v="43877254"/>
    <s v="N"/>
    <n v="21398672"/>
    <s v="3000011618150004RC"/>
    <s v="CIVIL"/>
    <d v="2023-06-29T00:00:00"/>
    <d v="2023-07-19T19:43:58"/>
    <m/>
    <d v="2023-07-19T00:00:00"/>
    <n v="157"/>
    <n v="114"/>
    <s v="43877254"/>
    <s v="43877254"/>
    <m/>
    <m/>
    <m/>
    <m/>
    <m/>
    <m/>
    <s v="SOLRECOUP"/>
    <s v="SOLRECOUP"/>
    <s v="POARECOUP"/>
    <n v="21398672"/>
    <n v="-727"/>
    <m/>
    <s v="Y"/>
    <n v="2"/>
    <d v="2023-07-19T19:43:59"/>
    <s v="N"/>
    <m/>
    <m/>
    <s v="Expert Disbursement"/>
    <m/>
    <s v="N"/>
    <n v="0"/>
    <n v="0"/>
    <x v="5"/>
    <s v="VALIDATED"/>
    <n v="1"/>
    <s v="01.11.80.000.0000.0000"/>
    <n v="0"/>
    <s v="11"/>
    <s v="0000"/>
    <n v="27362.93"/>
    <n v="0"/>
    <s v="CREDITOR"/>
    <n v="0"/>
    <n v="0"/>
    <n v="0"/>
    <n v="0"/>
    <n v="0"/>
  </r>
  <r>
    <n v="43877254"/>
    <s v="N"/>
    <n v="21398748"/>
    <s v="3000011618150007RC"/>
    <s v="CIVIL"/>
    <d v="2023-06-29T00:00:00"/>
    <d v="2023-07-19T19:43:58"/>
    <m/>
    <d v="2023-07-19T00:00:00"/>
    <n v="157"/>
    <n v="114"/>
    <s v="43877254"/>
    <s v="43877254"/>
    <m/>
    <m/>
    <m/>
    <m/>
    <m/>
    <m/>
    <s v="SOLRECOUP"/>
    <s v="SOLRECOUP"/>
    <s v="POARECOUP"/>
    <n v="21398748"/>
    <n v="-226.8"/>
    <m/>
    <s v="Y"/>
    <n v="2"/>
    <d v="2023-07-19T19:44:00"/>
    <s v="N"/>
    <m/>
    <m/>
    <s v="Expert Disbursement"/>
    <m/>
    <s v="N"/>
    <n v="0"/>
    <n v="-37.8"/>
    <x v="5"/>
    <s v="VALIDATED"/>
    <n v="1"/>
    <s v="01.11.80.308.2013.0000"/>
    <n v="-37.8"/>
    <s v="11"/>
    <s v="2013"/>
    <n v="27362.93"/>
    <n v="-37.8"/>
    <s v="CREDITOR"/>
    <n v="0"/>
    <n v="0"/>
    <n v="-37.8"/>
    <n v="0"/>
    <n v="0"/>
  </r>
  <r>
    <n v="43877254"/>
    <s v="N"/>
    <n v="21398748"/>
    <s v="3000011618150007RC"/>
    <s v="CIVIL"/>
    <d v="2023-06-29T00:00:00"/>
    <d v="2023-07-19T19:43:58"/>
    <m/>
    <d v="2023-07-19T00:00:00"/>
    <n v="157"/>
    <n v="114"/>
    <s v="43877254"/>
    <s v="43877254"/>
    <m/>
    <m/>
    <m/>
    <m/>
    <m/>
    <m/>
    <s v="SOLRECOUP"/>
    <s v="SOLRECOUP"/>
    <s v="POARECOUP"/>
    <n v="21398748"/>
    <n v="-226.8"/>
    <m/>
    <s v="Y"/>
    <n v="1"/>
    <d v="2023-07-19T19:44:00"/>
    <s v="N"/>
    <m/>
    <m/>
    <s v="Expert Disbursement"/>
    <m/>
    <s v="N"/>
    <n v="-189"/>
    <n v="0"/>
    <x v="5"/>
    <s v="VALIDATED"/>
    <n v="1"/>
    <s v="01.11.80.308.2013.0000"/>
    <n v="-189"/>
    <s v="11"/>
    <s v="2013"/>
    <n v="27362.93"/>
    <n v="-189"/>
    <s v="CREDITOR"/>
    <n v="0"/>
    <n v="0"/>
    <n v="-189"/>
    <n v="0"/>
    <n v="0"/>
  </r>
  <r>
    <n v="60411448"/>
    <s v="N"/>
    <n v="21322534"/>
    <s v="3000014698680015"/>
    <s v="CIVIL"/>
    <d v="2023-06-29T00:00:00"/>
    <d v="2023-07-03T19:05:36"/>
    <m/>
    <d v="2023-07-03T00:00:00"/>
    <n v="157"/>
    <n v="114"/>
    <s v="60411448"/>
    <s v="60411448"/>
    <m/>
    <m/>
    <n v="22791802"/>
    <m/>
    <m/>
    <m/>
    <s v="SOLPOA"/>
    <s v="SOLPOA"/>
    <s v="CCMS"/>
    <n v="21322534"/>
    <n v="15179.76"/>
    <m/>
    <s v="N"/>
    <n v="1"/>
    <d v="2023-07-03T19:05:38"/>
    <s v="N"/>
    <s v="Profit Cost"/>
    <s v="Profit Cost"/>
    <s v="Profit Cost"/>
    <s v="DAVID DIAMOND"/>
    <s v="N"/>
    <n v="12649.8"/>
    <n v="2529.96"/>
    <x v="3"/>
    <s v="VALIDATED"/>
    <n v="1"/>
    <s v="01.11.80.308.2012.0000"/>
    <n v="12649.8"/>
    <s v="11"/>
    <s v="2012"/>
    <n v="27362.93"/>
    <n v="12649.8"/>
    <s v="CREDITOR"/>
    <n v="12649.8"/>
    <n v="3162.45"/>
    <n v="0"/>
    <n v="0"/>
    <n v="0"/>
  </r>
  <r>
    <n v="42699103"/>
    <s v="N"/>
    <n v="21328101"/>
    <s v="3000011351260038"/>
    <s v="CIVIL"/>
    <d v="2023-06-27T00:00:00"/>
    <d v="2023-07-04T19:00:44"/>
    <m/>
    <d v="2023-07-04T00:00:00"/>
    <n v="157"/>
    <n v="114"/>
    <s v="42699103"/>
    <s v="42699103"/>
    <m/>
    <m/>
    <n v="22769890"/>
    <m/>
    <m/>
    <m/>
    <s v="SOLINT"/>
    <s v="SOLINT"/>
    <s v="CCMS"/>
    <n v="21328101"/>
    <n v="42451.16"/>
    <m/>
    <s v="N"/>
    <n v="1"/>
    <d v="2023-07-04T19:01:04"/>
    <s v="Y"/>
    <s v="Profit Costs (Summary)"/>
    <s v="VHCC"/>
    <s v="Profit Cost"/>
    <s v="DAVID DIAMOND"/>
    <s v="Y"/>
    <n v="30289.15"/>
    <n v="6057.83"/>
    <x v="1"/>
    <s v="VALIDATED"/>
    <n v="1"/>
    <s v="01.11.80.308.6100.0000"/>
    <n v="30289.15"/>
    <s v="11"/>
    <s v="6100"/>
    <n v="27362.93"/>
    <n v="30289.15"/>
    <s v="CREDITOR"/>
    <n v="0"/>
    <n v="0"/>
    <n v="0"/>
    <n v="0"/>
    <n v="30289.15"/>
  </r>
  <r>
    <n v="42699103"/>
    <s v="N"/>
    <n v="21328101"/>
    <s v="3000011351260038"/>
    <s v="CIVIL"/>
    <d v="2023-06-27T00:00:00"/>
    <d v="2023-07-04T19:00:44"/>
    <m/>
    <d v="2023-07-04T00:00:00"/>
    <n v="157"/>
    <n v="114"/>
    <s v="42699103"/>
    <s v="42699103"/>
    <m/>
    <m/>
    <n v="22769890"/>
    <m/>
    <m/>
    <m/>
    <s v="SOLINT"/>
    <s v="SOLINT"/>
    <s v="CCMS"/>
    <n v="21328101"/>
    <n v="42451.16"/>
    <m/>
    <s v="N"/>
    <n v="2"/>
    <d v="2023-07-04T19:01:04"/>
    <s v="Y"/>
    <s v="Disbursements (Summary)"/>
    <s v="VHCC"/>
    <s v="Non Expert Disbursement"/>
    <s v="DAVID DIAMOND"/>
    <s v="Y"/>
    <n v="736"/>
    <n v="0"/>
    <x v="1"/>
    <s v="VALIDATED"/>
    <n v="1"/>
    <s v="01.11.80.308.6300.0000"/>
    <n v="736"/>
    <s v="11"/>
    <s v="6300"/>
    <n v="27362.93"/>
    <n v="736"/>
    <s v="CREDITOR"/>
    <n v="0"/>
    <n v="0"/>
    <n v="0"/>
    <n v="0"/>
    <n v="736"/>
  </r>
  <r>
    <n v="42699103"/>
    <s v="N"/>
    <n v="21328101"/>
    <s v="3000011351260038"/>
    <s v="CIVIL"/>
    <d v="2023-06-27T00:00:00"/>
    <d v="2023-07-04T19:00:44"/>
    <m/>
    <d v="2023-07-04T00:00:00"/>
    <n v="157"/>
    <n v="114"/>
    <s v="42699103"/>
    <s v="42699103"/>
    <m/>
    <m/>
    <n v="22769890"/>
    <m/>
    <m/>
    <m/>
    <s v="SOLINT"/>
    <s v="SOLINT"/>
    <s v="CCMS"/>
    <n v="21328101"/>
    <n v="42451.16"/>
    <m/>
    <s v="N"/>
    <n v="3"/>
    <d v="2023-07-04T19:01:04"/>
    <s v="Y"/>
    <s v="Disbursements (Summary)"/>
    <s v="VHCC"/>
    <s v="Non Expert Disbursement"/>
    <s v="DAVID DIAMOND"/>
    <s v="Y"/>
    <n v="4473.48"/>
    <n v="894.7"/>
    <x v="1"/>
    <s v="VALIDATED"/>
    <n v="1"/>
    <s v="01.11.80.308.6300.0000"/>
    <n v="4473.48"/>
    <s v="11"/>
    <s v="6300"/>
    <n v="27362.93"/>
    <n v="4473.48"/>
    <s v="CREDITOR"/>
    <n v="0"/>
    <n v="0"/>
    <n v="0"/>
    <n v="0"/>
    <n v="4473.48"/>
  </r>
  <r>
    <n v="42699103"/>
    <s v="N"/>
    <n v="21328551"/>
    <s v="3000011351260006RC"/>
    <s v="CIVIL"/>
    <d v="2023-06-27T00:00:00"/>
    <d v="2023-07-04T19:38:21"/>
    <m/>
    <d v="2023-07-04T00:00:00"/>
    <n v="157"/>
    <n v="114"/>
    <s v="42699103"/>
    <s v="42699103"/>
    <m/>
    <m/>
    <m/>
    <m/>
    <m/>
    <m/>
    <s v="SOLRECOUP"/>
    <s v="SOLRECOUP"/>
    <s v="POARECOUP"/>
    <n v="21328551"/>
    <n v="-288.68"/>
    <m/>
    <s v="Y"/>
    <n v="1"/>
    <d v="2023-07-04T19:38:22"/>
    <s v="N"/>
    <m/>
    <m/>
    <s v="Expert Disbursement"/>
    <m/>
    <s v="N"/>
    <n v="-240.57"/>
    <n v="0"/>
    <x v="1"/>
    <s v="VALIDATED"/>
    <n v="1"/>
    <s v="01.11.80.308.2013.0000"/>
    <n v="-240.57"/>
    <s v="11"/>
    <s v="2013"/>
    <n v="27362.93"/>
    <n v="-240.57"/>
    <s v="CREDITOR"/>
    <n v="0"/>
    <n v="0"/>
    <n v="-240.57"/>
    <n v="0"/>
    <n v="0"/>
  </r>
  <r>
    <n v="42699103"/>
    <s v="N"/>
    <n v="21328552"/>
    <s v="3000011351260007RC"/>
    <s v="CIVIL"/>
    <d v="2023-06-27T00:00:00"/>
    <d v="2023-07-04T19:38:21"/>
    <m/>
    <d v="2023-07-04T00:00:00"/>
    <n v="157"/>
    <n v="114"/>
    <s v="42699103"/>
    <s v="42699103"/>
    <m/>
    <m/>
    <m/>
    <m/>
    <m/>
    <m/>
    <s v="SOLRECOUP"/>
    <s v="SOLRECOUP"/>
    <s v="POARECOUP"/>
    <n v="21328552"/>
    <n v="-30"/>
    <m/>
    <s v="Y"/>
    <n v="2"/>
    <d v="2023-07-04T19:38:22"/>
    <s v="N"/>
    <m/>
    <m/>
    <s v="Expert Disbursement"/>
    <m/>
    <s v="N"/>
    <n v="0"/>
    <n v="-5"/>
    <x v="1"/>
    <s v="VALIDATED"/>
    <n v="1"/>
    <s v="01.11.80.308.2013.0000"/>
    <n v="-5"/>
    <s v="11"/>
    <s v="2013"/>
    <n v="27362.93"/>
    <n v="-5"/>
    <s v="CREDITOR"/>
    <n v="0"/>
    <n v="0"/>
    <n v="-5"/>
    <n v="0"/>
    <n v="0"/>
  </r>
  <r>
    <n v="42699103"/>
    <s v="N"/>
    <n v="21328552"/>
    <s v="3000011351260007RC"/>
    <s v="CIVIL"/>
    <d v="2023-06-27T00:00:00"/>
    <d v="2023-07-04T19:38:21"/>
    <m/>
    <d v="2023-07-04T00:00:00"/>
    <n v="157"/>
    <n v="114"/>
    <s v="42699103"/>
    <s v="42699103"/>
    <m/>
    <m/>
    <m/>
    <m/>
    <m/>
    <m/>
    <s v="SOLRECOUP"/>
    <s v="SOLRECOUP"/>
    <s v="POARECOUP"/>
    <n v="21328552"/>
    <n v="-30"/>
    <m/>
    <s v="Y"/>
    <n v="1"/>
    <d v="2023-07-04T19:38:22"/>
    <s v="N"/>
    <m/>
    <m/>
    <s v="Expert Disbursement"/>
    <m/>
    <s v="N"/>
    <n v="-25"/>
    <n v="0"/>
    <x v="1"/>
    <s v="VALIDATED"/>
    <n v="1"/>
    <s v="01.11.80.308.2013.0000"/>
    <n v="-25"/>
    <s v="11"/>
    <s v="2013"/>
    <n v="27362.93"/>
    <n v="-25"/>
    <s v="CREDITOR"/>
    <n v="0"/>
    <n v="0"/>
    <n v="-25"/>
    <n v="0"/>
    <n v="0"/>
  </r>
  <r>
    <n v="42699103"/>
    <s v="N"/>
    <n v="21328553"/>
    <s v="3000011351260010RC"/>
    <s v="CIVIL"/>
    <d v="2023-06-27T00:00:00"/>
    <d v="2023-07-04T19:38:21"/>
    <m/>
    <d v="2023-07-04T00:00:00"/>
    <n v="157"/>
    <n v="114"/>
    <s v="42699103"/>
    <s v="42699103"/>
    <m/>
    <m/>
    <m/>
    <m/>
    <m/>
    <m/>
    <s v="SOLRECOUP"/>
    <s v="SOLRECOUP"/>
    <s v="POARECOUP"/>
    <n v="21328553"/>
    <n v="-90"/>
    <m/>
    <s v="Y"/>
    <n v="1"/>
    <d v="2023-07-04T19:38:22"/>
    <s v="N"/>
    <m/>
    <m/>
    <s v="Expert Disbursement"/>
    <m/>
    <s v="N"/>
    <n v="-75"/>
    <n v="0"/>
    <x v="1"/>
    <s v="VALIDATED"/>
    <n v="1"/>
    <s v="01.11.80.308.2013.0000"/>
    <n v="-75"/>
    <s v="11"/>
    <s v="2013"/>
    <n v="27362.93"/>
    <n v="-75"/>
    <s v="CREDITOR"/>
    <n v="0"/>
    <n v="0"/>
    <n v="-75"/>
    <n v="0"/>
    <n v="0"/>
  </r>
  <r>
    <n v="42699103"/>
    <s v="N"/>
    <n v="21328553"/>
    <s v="3000011351260010RC"/>
    <s v="CIVIL"/>
    <d v="2023-06-27T00:00:00"/>
    <d v="2023-07-04T19:38:21"/>
    <m/>
    <d v="2023-07-04T00:00:00"/>
    <n v="157"/>
    <n v="114"/>
    <s v="42699103"/>
    <s v="42699103"/>
    <m/>
    <m/>
    <m/>
    <m/>
    <m/>
    <m/>
    <s v="SOLRECOUP"/>
    <s v="SOLRECOUP"/>
    <s v="POARECOUP"/>
    <n v="21328553"/>
    <n v="-90"/>
    <m/>
    <s v="Y"/>
    <n v="2"/>
    <d v="2023-07-04T19:38:22"/>
    <s v="N"/>
    <m/>
    <m/>
    <s v="Expert Disbursement"/>
    <m/>
    <s v="N"/>
    <n v="0"/>
    <n v="-15"/>
    <x v="1"/>
    <s v="VALIDATED"/>
    <n v="1"/>
    <s v="01.11.80.308.2013.0000"/>
    <n v="-15"/>
    <s v="11"/>
    <s v="2013"/>
    <n v="27362.93"/>
    <n v="-15"/>
    <s v="CREDITOR"/>
    <n v="0"/>
    <n v="0"/>
    <n v="-15"/>
    <n v="0"/>
    <n v="0"/>
  </r>
  <r>
    <n v="42699103"/>
    <s v="N"/>
    <n v="21328554"/>
    <s v="3000011351260008RC"/>
    <s v="CIVIL"/>
    <d v="2023-06-27T00:00:00"/>
    <d v="2023-07-04T19:38:21"/>
    <m/>
    <d v="2023-07-04T00:00:00"/>
    <n v="157"/>
    <n v="114"/>
    <s v="42699103"/>
    <s v="42699103"/>
    <m/>
    <m/>
    <m/>
    <m/>
    <m/>
    <m/>
    <s v="SOLRECOUP"/>
    <s v="SOLRECOUP"/>
    <s v="POARECOUP"/>
    <n v="21328554"/>
    <n v="-30"/>
    <m/>
    <s v="Y"/>
    <n v="2"/>
    <d v="2023-07-04T19:38:22"/>
    <s v="N"/>
    <m/>
    <m/>
    <s v="Expert Disbursement"/>
    <m/>
    <s v="N"/>
    <n v="0"/>
    <n v="-5"/>
    <x v="1"/>
    <s v="VALIDATED"/>
    <n v="1"/>
    <s v="01.11.80.308.2013.0000"/>
    <n v="-5"/>
    <s v="11"/>
    <s v="2013"/>
    <n v="27362.93"/>
    <n v="-5"/>
    <s v="CREDITOR"/>
    <n v="0"/>
    <n v="0"/>
    <n v="-5"/>
    <n v="0"/>
    <n v="0"/>
  </r>
  <r>
    <n v="42699103"/>
    <s v="N"/>
    <n v="21328539"/>
    <s v="3000011351260005RC"/>
    <s v="CIVIL"/>
    <d v="2023-06-27T00:00:00"/>
    <d v="2023-07-04T19:38:21"/>
    <m/>
    <d v="2023-07-04T00:00:00"/>
    <n v="157"/>
    <n v="114"/>
    <s v="42699103"/>
    <s v="42699103"/>
    <m/>
    <m/>
    <m/>
    <m/>
    <m/>
    <m/>
    <s v="SOLRECOUP"/>
    <s v="SOLRECOUP"/>
    <s v="POARECOUP"/>
    <n v="21328539"/>
    <n v="-30"/>
    <m/>
    <s v="Y"/>
    <n v="1"/>
    <d v="2023-07-04T19:38:21"/>
    <s v="N"/>
    <m/>
    <m/>
    <s v="Expert Disbursement"/>
    <m/>
    <s v="N"/>
    <n v="-25"/>
    <n v="0"/>
    <x v="1"/>
    <s v="VALIDATED"/>
    <n v="1"/>
    <s v="01.11.80.308.2013.0000"/>
    <n v="-25"/>
    <s v="11"/>
    <s v="2013"/>
    <n v="27362.93"/>
    <n v="-25"/>
    <s v="CREDITOR"/>
    <n v="0"/>
    <n v="0"/>
    <n v="-25"/>
    <n v="0"/>
    <n v="0"/>
  </r>
  <r>
    <n v="42699103"/>
    <s v="N"/>
    <n v="21328539"/>
    <s v="3000011351260005RC"/>
    <s v="CIVIL"/>
    <d v="2023-06-27T00:00:00"/>
    <d v="2023-07-04T19:38:21"/>
    <m/>
    <d v="2023-07-04T00:00:00"/>
    <n v="157"/>
    <n v="114"/>
    <s v="42699103"/>
    <s v="42699103"/>
    <m/>
    <m/>
    <m/>
    <m/>
    <m/>
    <m/>
    <s v="SOLRECOUP"/>
    <s v="SOLRECOUP"/>
    <s v="POARECOUP"/>
    <n v="21328539"/>
    <n v="-30"/>
    <m/>
    <s v="Y"/>
    <n v="2"/>
    <d v="2023-07-04T19:38:21"/>
    <s v="N"/>
    <m/>
    <m/>
    <s v="Expert Disbursement"/>
    <m/>
    <s v="N"/>
    <n v="0"/>
    <n v="-5"/>
    <x v="1"/>
    <s v="VALIDATED"/>
    <n v="1"/>
    <s v="01.11.80.308.2013.0000"/>
    <n v="-5"/>
    <s v="11"/>
    <s v="2013"/>
    <n v="27362.93"/>
    <n v="-5"/>
    <s v="CREDITOR"/>
    <n v="0"/>
    <n v="0"/>
    <n v="-5"/>
    <n v="0"/>
    <n v="0"/>
  </r>
  <r>
    <n v="42699103"/>
    <s v="N"/>
    <n v="21328540"/>
    <s v="3000011351260004RC"/>
    <s v="CIVIL"/>
    <d v="2023-06-27T00:00:00"/>
    <d v="2023-07-04T19:38:21"/>
    <m/>
    <d v="2023-07-04T00:00:00"/>
    <n v="157"/>
    <n v="114"/>
    <s v="42699103"/>
    <s v="42699103"/>
    <m/>
    <m/>
    <m/>
    <m/>
    <m/>
    <m/>
    <s v="SOLRECOUP"/>
    <s v="SOLRECOUP"/>
    <s v="POARECOUP"/>
    <n v="21328540"/>
    <n v="-90"/>
    <m/>
    <s v="Y"/>
    <n v="2"/>
    <d v="2023-07-04T19:38:21"/>
    <s v="N"/>
    <m/>
    <m/>
    <s v="Expert Disbursement"/>
    <m/>
    <s v="N"/>
    <n v="0"/>
    <n v="-15"/>
    <x v="1"/>
    <s v="VALIDATED"/>
    <n v="1"/>
    <s v="01.11.80.308.2013.0000"/>
    <n v="-15"/>
    <s v="11"/>
    <s v="2013"/>
    <n v="27362.93"/>
    <n v="-15"/>
    <s v="CREDITOR"/>
    <n v="0"/>
    <n v="0"/>
    <n v="-15"/>
    <n v="0"/>
    <n v="0"/>
  </r>
  <r>
    <n v="42699103"/>
    <s v="N"/>
    <n v="21328540"/>
    <s v="3000011351260004RC"/>
    <s v="CIVIL"/>
    <d v="2023-06-27T00:00:00"/>
    <d v="2023-07-04T19:38:21"/>
    <m/>
    <d v="2023-07-04T00:00:00"/>
    <n v="157"/>
    <n v="114"/>
    <s v="42699103"/>
    <s v="42699103"/>
    <m/>
    <m/>
    <m/>
    <m/>
    <m/>
    <m/>
    <s v="SOLRECOUP"/>
    <s v="SOLRECOUP"/>
    <s v="POARECOUP"/>
    <n v="21328540"/>
    <n v="-90"/>
    <m/>
    <s v="Y"/>
    <n v="1"/>
    <d v="2023-07-04T19:38:21"/>
    <s v="N"/>
    <m/>
    <m/>
    <s v="Expert Disbursement"/>
    <m/>
    <s v="N"/>
    <n v="-75"/>
    <n v="0"/>
    <x v="1"/>
    <s v="VALIDATED"/>
    <n v="1"/>
    <s v="01.11.80.308.2013.0000"/>
    <n v="-75"/>
    <s v="11"/>
    <s v="2013"/>
    <n v="27362.93"/>
    <n v="-75"/>
    <s v="CREDITOR"/>
    <n v="0"/>
    <n v="0"/>
    <n v="-75"/>
    <n v="0"/>
    <n v="0"/>
  </r>
  <r>
    <n v="42699103"/>
    <s v="N"/>
    <n v="21328541"/>
    <s v="3000011351260001RC"/>
    <s v="CIVIL"/>
    <d v="2023-06-27T00:00:00"/>
    <d v="2023-07-04T19:38:21"/>
    <m/>
    <d v="2023-07-04T00:00:00"/>
    <n v="157"/>
    <n v="114"/>
    <s v="42699103"/>
    <s v="42699103"/>
    <m/>
    <m/>
    <m/>
    <m/>
    <m/>
    <m/>
    <s v="SOLRECOUP"/>
    <s v="SOLRECOUP"/>
    <s v="POARECOUP"/>
    <n v="21328541"/>
    <n v="-810"/>
    <m/>
    <s v="Y"/>
    <n v="2"/>
    <d v="2023-07-04T19:38:21"/>
    <s v="N"/>
    <m/>
    <m/>
    <s v="Expert Disbursement"/>
    <m/>
    <s v="N"/>
    <n v="0"/>
    <n v="-135"/>
    <x v="1"/>
    <s v="VALIDATED"/>
    <n v="1"/>
    <s v="01.11.80.308.2013.0000"/>
    <n v="-135"/>
    <s v="11"/>
    <s v="2013"/>
    <n v="27362.93"/>
    <n v="-135"/>
    <s v="CREDITOR"/>
    <n v="0"/>
    <n v="0"/>
    <n v="-135"/>
    <n v="0"/>
    <n v="0"/>
  </r>
  <r>
    <n v="42699103"/>
    <s v="N"/>
    <n v="21328541"/>
    <s v="3000011351260001RC"/>
    <s v="CIVIL"/>
    <d v="2023-06-27T00:00:00"/>
    <d v="2023-07-04T19:38:21"/>
    <m/>
    <d v="2023-07-04T00:00:00"/>
    <n v="157"/>
    <n v="114"/>
    <s v="42699103"/>
    <s v="42699103"/>
    <m/>
    <m/>
    <m/>
    <m/>
    <m/>
    <m/>
    <s v="SOLRECOUP"/>
    <s v="SOLRECOUP"/>
    <s v="POARECOUP"/>
    <n v="21328541"/>
    <n v="-810"/>
    <m/>
    <s v="Y"/>
    <n v="1"/>
    <d v="2023-07-04T19:38:21"/>
    <s v="N"/>
    <m/>
    <m/>
    <s v="Expert Disbursement"/>
    <m/>
    <s v="N"/>
    <n v="-675"/>
    <n v="0"/>
    <x v="1"/>
    <s v="VALIDATED"/>
    <n v="1"/>
    <s v="01.11.80.308.2013.0000"/>
    <n v="-675"/>
    <s v="11"/>
    <s v="2013"/>
    <n v="27362.93"/>
    <n v="-675"/>
    <s v="CREDITOR"/>
    <n v="0"/>
    <n v="0"/>
    <n v="-675"/>
    <n v="0"/>
    <n v="0"/>
  </r>
  <r>
    <n v="42699103"/>
    <s v="N"/>
    <n v="21328542"/>
    <s v="3000011351260002RC"/>
    <s v="CIVIL"/>
    <d v="2023-06-27T00:00:00"/>
    <d v="2023-07-04T19:38:21"/>
    <m/>
    <d v="2023-07-04T00:00:00"/>
    <n v="157"/>
    <n v="114"/>
    <s v="42699103"/>
    <s v="42699103"/>
    <m/>
    <m/>
    <m/>
    <m/>
    <m/>
    <m/>
    <s v="SOLRECOUP"/>
    <s v="SOLRECOUP"/>
    <s v="POARECOUP"/>
    <n v="21328542"/>
    <n v="-38.88"/>
    <m/>
    <s v="Y"/>
    <n v="2"/>
    <d v="2023-07-04T19:38:22"/>
    <s v="N"/>
    <m/>
    <m/>
    <s v="Expert Disbursement"/>
    <m/>
    <s v="N"/>
    <n v="0"/>
    <n v="-6.48"/>
    <x v="1"/>
    <s v="VALIDATED"/>
    <n v="1"/>
    <s v="01.11.80.308.2013.0000"/>
    <n v="-6.48"/>
    <s v="11"/>
    <s v="2013"/>
    <n v="27362.93"/>
    <n v="-6.48"/>
    <s v="CREDITOR"/>
    <n v="0"/>
    <n v="0"/>
    <n v="-6.48"/>
    <n v="0"/>
    <n v="0"/>
  </r>
  <r>
    <n v="42699103"/>
    <s v="N"/>
    <n v="21328542"/>
    <s v="3000011351260002RC"/>
    <s v="CIVIL"/>
    <d v="2023-06-27T00:00:00"/>
    <d v="2023-07-04T19:38:21"/>
    <m/>
    <d v="2023-07-04T00:00:00"/>
    <n v="157"/>
    <n v="114"/>
    <s v="42699103"/>
    <s v="42699103"/>
    <m/>
    <m/>
    <m/>
    <m/>
    <m/>
    <m/>
    <s v="SOLRECOUP"/>
    <s v="SOLRECOUP"/>
    <s v="POARECOUP"/>
    <n v="21328542"/>
    <n v="-38.88"/>
    <m/>
    <s v="Y"/>
    <n v="1"/>
    <d v="2023-07-04T19:38:22"/>
    <s v="N"/>
    <m/>
    <m/>
    <s v="Expert Disbursement"/>
    <m/>
    <s v="N"/>
    <n v="-32.4"/>
    <n v="0"/>
    <x v="1"/>
    <s v="VALIDATED"/>
    <n v="1"/>
    <s v="01.11.80.308.2013.0000"/>
    <n v="-32.4"/>
    <s v="11"/>
    <s v="2013"/>
    <n v="27362.93"/>
    <n v="-32.4"/>
    <s v="CREDITOR"/>
    <n v="0"/>
    <n v="0"/>
    <n v="-32.4"/>
    <n v="0"/>
    <n v="0"/>
  </r>
  <r>
    <n v="42699103"/>
    <s v="N"/>
    <n v="21328543"/>
    <s v="3000011351260012RC"/>
    <s v="CIVIL"/>
    <d v="2023-06-27T00:00:00"/>
    <d v="2023-07-04T19:38:21"/>
    <m/>
    <d v="2023-07-04T00:00:00"/>
    <n v="157"/>
    <n v="114"/>
    <s v="42699103"/>
    <s v="42699103"/>
    <m/>
    <m/>
    <m/>
    <m/>
    <m/>
    <m/>
    <s v="SOLRECOUP"/>
    <s v="SOLRECOUP"/>
    <s v="POARECOUP"/>
    <n v="21328543"/>
    <n v="-60"/>
    <m/>
    <s v="Y"/>
    <n v="2"/>
    <d v="2023-07-04T19:38:22"/>
    <s v="N"/>
    <m/>
    <m/>
    <s v="Expert Disbursement"/>
    <m/>
    <s v="N"/>
    <n v="0"/>
    <n v="-10"/>
    <x v="1"/>
    <s v="VALIDATED"/>
    <n v="1"/>
    <s v="01.11.80.308.2013.0000"/>
    <n v="-10"/>
    <s v="11"/>
    <s v="2013"/>
    <n v="27362.93"/>
    <n v="-10"/>
    <s v="CREDITOR"/>
    <n v="0"/>
    <n v="0"/>
    <n v="-10"/>
    <n v="0"/>
    <n v="0"/>
  </r>
  <r>
    <n v="42699103"/>
    <s v="N"/>
    <n v="21328543"/>
    <s v="3000011351260012RC"/>
    <s v="CIVIL"/>
    <d v="2023-06-27T00:00:00"/>
    <d v="2023-07-04T19:38:21"/>
    <m/>
    <d v="2023-07-04T00:00:00"/>
    <n v="157"/>
    <n v="114"/>
    <s v="42699103"/>
    <s v="42699103"/>
    <m/>
    <m/>
    <m/>
    <m/>
    <m/>
    <m/>
    <s v="SOLRECOUP"/>
    <s v="SOLRECOUP"/>
    <s v="POARECOUP"/>
    <n v="21328543"/>
    <n v="-60"/>
    <m/>
    <s v="Y"/>
    <n v="1"/>
    <d v="2023-07-04T19:38:22"/>
    <s v="N"/>
    <m/>
    <m/>
    <s v="Expert Disbursement"/>
    <m/>
    <s v="N"/>
    <n v="-50"/>
    <n v="0"/>
    <x v="1"/>
    <s v="VALIDATED"/>
    <n v="1"/>
    <s v="01.11.80.308.2013.0000"/>
    <n v="-50"/>
    <s v="11"/>
    <s v="2013"/>
    <n v="27362.93"/>
    <n v="-50"/>
    <s v="CREDITOR"/>
    <n v="0"/>
    <n v="0"/>
    <n v="-50"/>
    <n v="0"/>
    <n v="0"/>
  </r>
  <r>
    <n v="42699103"/>
    <s v="N"/>
    <n v="21328544"/>
    <s v="3000011351260011RC"/>
    <s v="CIVIL"/>
    <d v="2023-06-27T00:00:00"/>
    <d v="2023-07-04T19:38:21"/>
    <m/>
    <d v="2023-07-04T00:00:00"/>
    <n v="157"/>
    <n v="114"/>
    <s v="42699103"/>
    <s v="42699103"/>
    <m/>
    <m/>
    <m/>
    <m/>
    <m/>
    <m/>
    <s v="SOLRECOUP"/>
    <s v="SOLRECOUP"/>
    <s v="POARECOUP"/>
    <n v="21328544"/>
    <n v="-60"/>
    <m/>
    <s v="Y"/>
    <n v="2"/>
    <d v="2023-07-04T19:38:22"/>
    <s v="N"/>
    <m/>
    <m/>
    <s v="Expert Disbursement"/>
    <m/>
    <s v="N"/>
    <n v="0"/>
    <n v="-10"/>
    <x v="1"/>
    <s v="VALIDATED"/>
    <n v="1"/>
    <s v="01.11.80.308.2013.0000"/>
    <n v="-10"/>
    <s v="11"/>
    <s v="2013"/>
    <n v="27362.93"/>
    <n v="-10"/>
    <s v="CREDITOR"/>
    <n v="0"/>
    <n v="0"/>
    <n v="-10"/>
    <n v="0"/>
    <n v="0"/>
  </r>
  <r>
    <n v="42699103"/>
    <s v="N"/>
    <n v="21328544"/>
    <s v="3000011351260011RC"/>
    <s v="CIVIL"/>
    <d v="2023-06-27T00:00:00"/>
    <d v="2023-07-04T19:38:21"/>
    <m/>
    <d v="2023-07-04T00:00:00"/>
    <n v="157"/>
    <n v="114"/>
    <s v="42699103"/>
    <s v="42699103"/>
    <m/>
    <m/>
    <m/>
    <m/>
    <m/>
    <m/>
    <s v="SOLRECOUP"/>
    <s v="SOLRECOUP"/>
    <s v="POARECOUP"/>
    <n v="21328544"/>
    <n v="-60"/>
    <m/>
    <s v="Y"/>
    <n v="1"/>
    <d v="2023-07-04T19:38:22"/>
    <s v="N"/>
    <m/>
    <m/>
    <s v="Expert Disbursement"/>
    <m/>
    <s v="N"/>
    <n v="-50"/>
    <n v="0"/>
    <x v="1"/>
    <s v="VALIDATED"/>
    <n v="1"/>
    <s v="01.11.80.308.2013.0000"/>
    <n v="-50"/>
    <s v="11"/>
    <s v="2013"/>
    <n v="27362.93"/>
    <n v="-50"/>
    <s v="CREDITOR"/>
    <n v="0"/>
    <n v="0"/>
    <n v="-50"/>
    <n v="0"/>
    <n v="0"/>
  </r>
  <r>
    <n v="42699103"/>
    <s v="N"/>
    <n v="21328545"/>
    <s v="3000011351260018RC"/>
    <s v="CIVIL"/>
    <d v="2023-06-27T00:00:00"/>
    <d v="2023-07-04T19:38:21"/>
    <m/>
    <d v="2023-07-04T00:00:00"/>
    <n v="157"/>
    <n v="114"/>
    <s v="42699103"/>
    <s v="42699103"/>
    <m/>
    <m/>
    <m/>
    <m/>
    <m/>
    <m/>
    <s v="SOLRECOUP"/>
    <s v="SOLRECOUP"/>
    <s v="POARECOUP"/>
    <n v="21328545"/>
    <n v="-60"/>
    <m/>
    <s v="Y"/>
    <n v="1"/>
    <d v="2023-07-04T19:38:22"/>
    <s v="N"/>
    <m/>
    <m/>
    <s v="Expert Disbursement"/>
    <m/>
    <s v="N"/>
    <n v="-50"/>
    <n v="0"/>
    <x v="1"/>
    <s v="VALIDATED"/>
    <n v="1"/>
    <s v="01.11.80.308.2013.0000"/>
    <n v="-50"/>
    <s v="11"/>
    <s v="2013"/>
    <n v="27362.93"/>
    <n v="-50"/>
    <s v="CREDITOR"/>
    <n v="0"/>
    <n v="0"/>
    <n v="-50"/>
    <n v="0"/>
    <n v="0"/>
  </r>
  <r>
    <n v="42699103"/>
    <s v="N"/>
    <n v="21328545"/>
    <s v="3000011351260018RC"/>
    <s v="CIVIL"/>
    <d v="2023-06-27T00:00:00"/>
    <d v="2023-07-04T19:38:21"/>
    <m/>
    <d v="2023-07-04T00:00:00"/>
    <n v="157"/>
    <n v="114"/>
    <s v="42699103"/>
    <s v="42699103"/>
    <m/>
    <m/>
    <m/>
    <m/>
    <m/>
    <m/>
    <s v="SOLRECOUP"/>
    <s v="SOLRECOUP"/>
    <s v="POARECOUP"/>
    <n v="21328545"/>
    <n v="-60"/>
    <m/>
    <s v="Y"/>
    <n v="2"/>
    <d v="2023-07-04T19:38:22"/>
    <s v="N"/>
    <m/>
    <m/>
    <s v="Expert Disbursement"/>
    <m/>
    <s v="N"/>
    <n v="0"/>
    <n v="-10"/>
    <x v="1"/>
    <s v="VALIDATED"/>
    <n v="1"/>
    <s v="01.11.80.308.2013.0000"/>
    <n v="-10"/>
    <s v="11"/>
    <s v="2013"/>
    <n v="27362.93"/>
    <n v="-10"/>
    <s v="CREDITOR"/>
    <n v="0"/>
    <n v="0"/>
    <n v="-10"/>
    <n v="0"/>
    <n v="0"/>
  </r>
  <r>
    <n v="42699103"/>
    <s v="N"/>
    <n v="21328546"/>
    <s v="3000011351260019RC"/>
    <s v="CIVIL"/>
    <d v="2023-06-27T00:00:00"/>
    <d v="2023-07-04T19:38:21"/>
    <m/>
    <d v="2023-07-04T00:00:00"/>
    <n v="157"/>
    <n v="114"/>
    <s v="42699103"/>
    <s v="42699103"/>
    <m/>
    <m/>
    <m/>
    <m/>
    <m/>
    <m/>
    <s v="SOLRECOUP"/>
    <s v="SOLRECOUP"/>
    <s v="POARECOUP"/>
    <n v="21328546"/>
    <n v="-30"/>
    <m/>
    <s v="Y"/>
    <n v="1"/>
    <d v="2023-07-04T19:38:22"/>
    <s v="N"/>
    <m/>
    <m/>
    <s v="Expert Disbursement"/>
    <m/>
    <s v="N"/>
    <n v="-25"/>
    <n v="0"/>
    <x v="1"/>
    <s v="VALIDATED"/>
    <n v="1"/>
    <s v="01.11.80.308.2013.0000"/>
    <n v="-25"/>
    <s v="11"/>
    <s v="2013"/>
    <n v="27362.93"/>
    <n v="-25"/>
    <s v="CREDITOR"/>
    <n v="0"/>
    <n v="0"/>
    <n v="-25"/>
    <n v="0"/>
    <n v="0"/>
  </r>
  <r>
    <n v="42699103"/>
    <s v="N"/>
    <n v="21328546"/>
    <s v="3000011351260019RC"/>
    <s v="CIVIL"/>
    <d v="2023-06-27T00:00:00"/>
    <d v="2023-07-04T19:38:21"/>
    <m/>
    <d v="2023-07-04T00:00:00"/>
    <n v="157"/>
    <n v="114"/>
    <s v="42699103"/>
    <s v="42699103"/>
    <m/>
    <m/>
    <m/>
    <m/>
    <m/>
    <m/>
    <s v="SOLRECOUP"/>
    <s v="SOLRECOUP"/>
    <s v="POARECOUP"/>
    <n v="21328546"/>
    <n v="-30"/>
    <m/>
    <s v="Y"/>
    <n v="2"/>
    <d v="2023-07-04T19:38:22"/>
    <s v="N"/>
    <m/>
    <m/>
    <s v="Expert Disbursement"/>
    <m/>
    <s v="N"/>
    <n v="0"/>
    <n v="-5"/>
    <x v="1"/>
    <s v="VALIDATED"/>
    <n v="1"/>
    <s v="01.11.80.308.2013.0000"/>
    <n v="-5"/>
    <s v="11"/>
    <s v="2013"/>
    <n v="27362.93"/>
    <n v="-5"/>
    <s v="CREDITOR"/>
    <n v="0"/>
    <n v="0"/>
    <n v="-5"/>
    <n v="0"/>
    <n v="0"/>
  </r>
  <r>
    <n v="42699103"/>
    <s v="N"/>
    <n v="21328547"/>
    <s v="3000011351260020RC"/>
    <s v="CIVIL"/>
    <d v="2023-06-27T00:00:00"/>
    <d v="2023-07-04T19:38:21"/>
    <m/>
    <d v="2023-07-04T00:00:00"/>
    <n v="157"/>
    <n v="114"/>
    <s v="42699103"/>
    <s v="42699103"/>
    <m/>
    <m/>
    <m/>
    <m/>
    <m/>
    <m/>
    <s v="SOLRECOUP"/>
    <s v="SOLRECOUP"/>
    <s v="POARECOUP"/>
    <n v="21328547"/>
    <n v="-90"/>
    <m/>
    <s v="Y"/>
    <n v="1"/>
    <d v="2023-07-04T19:38:22"/>
    <s v="N"/>
    <m/>
    <m/>
    <s v="Expert Disbursement"/>
    <m/>
    <s v="N"/>
    <n v="-75"/>
    <n v="0"/>
    <x v="1"/>
    <s v="VALIDATED"/>
    <n v="1"/>
    <s v="01.11.80.308.2013.0000"/>
    <n v="-75"/>
    <s v="11"/>
    <s v="2013"/>
    <n v="27362.93"/>
    <n v="-75"/>
    <s v="CREDITOR"/>
    <n v="0"/>
    <n v="0"/>
    <n v="-75"/>
    <n v="0"/>
    <n v="0"/>
  </r>
  <r>
    <n v="42699103"/>
    <s v="N"/>
    <n v="21328547"/>
    <s v="3000011351260020RC"/>
    <s v="CIVIL"/>
    <d v="2023-06-27T00:00:00"/>
    <d v="2023-07-04T19:38:21"/>
    <m/>
    <d v="2023-07-04T00:00:00"/>
    <n v="157"/>
    <n v="114"/>
    <s v="42699103"/>
    <s v="42699103"/>
    <m/>
    <m/>
    <m/>
    <m/>
    <m/>
    <m/>
    <s v="SOLRECOUP"/>
    <s v="SOLRECOUP"/>
    <s v="POARECOUP"/>
    <n v="21328547"/>
    <n v="-90"/>
    <m/>
    <s v="Y"/>
    <n v="2"/>
    <d v="2023-07-04T19:38:22"/>
    <s v="N"/>
    <m/>
    <m/>
    <s v="Expert Disbursement"/>
    <m/>
    <s v="N"/>
    <n v="0"/>
    <n v="-15"/>
    <x v="1"/>
    <s v="VALIDATED"/>
    <n v="1"/>
    <s v="01.11.80.308.2013.0000"/>
    <n v="-15"/>
    <s v="11"/>
    <s v="2013"/>
    <n v="27362.93"/>
    <n v="-15"/>
    <s v="CREDITOR"/>
    <n v="0"/>
    <n v="0"/>
    <n v="-15"/>
    <n v="0"/>
    <n v="0"/>
  </r>
  <r>
    <n v="42699103"/>
    <s v="N"/>
    <n v="21328548"/>
    <s v="3000011351260021RC"/>
    <s v="CIVIL"/>
    <d v="2023-06-27T00:00:00"/>
    <d v="2023-07-04T19:38:21"/>
    <m/>
    <d v="2023-07-04T00:00:00"/>
    <n v="157"/>
    <n v="114"/>
    <s v="42699103"/>
    <s v="42699103"/>
    <m/>
    <m/>
    <m/>
    <m/>
    <m/>
    <m/>
    <s v="SOLRECOUP"/>
    <s v="SOLRECOUP"/>
    <s v="POARECOUP"/>
    <n v="21328548"/>
    <n v="-90"/>
    <m/>
    <s v="Y"/>
    <n v="2"/>
    <d v="2023-07-04T19:38:22"/>
    <s v="N"/>
    <m/>
    <m/>
    <s v="Expert Disbursement"/>
    <m/>
    <s v="N"/>
    <n v="0"/>
    <n v="-15"/>
    <x v="1"/>
    <s v="VALIDATED"/>
    <n v="1"/>
    <s v="01.11.80.308.2013.0000"/>
    <n v="-15"/>
    <s v="11"/>
    <s v="2013"/>
    <n v="27362.93"/>
    <n v="-15"/>
    <s v="CREDITOR"/>
    <n v="0"/>
    <n v="0"/>
    <n v="-15"/>
    <n v="0"/>
    <n v="0"/>
  </r>
  <r>
    <n v="42699103"/>
    <s v="N"/>
    <n v="21328548"/>
    <s v="3000011351260021RC"/>
    <s v="CIVIL"/>
    <d v="2023-06-27T00:00:00"/>
    <d v="2023-07-04T19:38:21"/>
    <m/>
    <d v="2023-07-04T00:00:00"/>
    <n v="157"/>
    <n v="114"/>
    <s v="42699103"/>
    <s v="42699103"/>
    <m/>
    <m/>
    <m/>
    <m/>
    <m/>
    <m/>
    <s v="SOLRECOUP"/>
    <s v="SOLRECOUP"/>
    <s v="POARECOUP"/>
    <n v="21328548"/>
    <n v="-90"/>
    <m/>
    <s v="Y"/>
    <n v="1"/>
    <d v="2023-07-04T19:38:22"/>
    <s v="N"/>
    <m/>
    <m/>
    <s v="Expert Disbursement"/>
    <m/>
    <s v="N"/>
    <n v="-75"/>
    <n v="0"/>
    <x v="1"/>
    <s v="VALIDATED"/>
    <n v="1"/>
    <s v="01.11.80.308.2013.0000"/>
    <n v="-75"/>
    <s v="11"/>
    <s v="2013"/>
    <n v="27362.93"/>
    <n v="-75"/>
    <s v="CREDITOR"/>
    <n v="0"/>
    <n v="0"/>
    <n v="-75"/>
    <n v="0"/>
    <n v="0"/>
  </r>
  <r>
    <n v="42699103"/>
    <s v="N"/>
    <n v="21328549"/>
    <s v="3000011351260017RC"/>
    <s v="CIVIL"/>
    <d v="2023-06-27T00:00:00"/>
    <d v="2023-07-04T19:38:21"/>
    <m/>
    <d v="2023-07-04T00:00:00"/>
    <n v="157"/>
    <n v="114"/>
    <s v="42699103"/>
    <s v="42699103"/>
    <m/>
    <m/>
    <m/>
    <m/>
    <m/>
    <m/>
    <s v="SOLRECOUP"/>
    <s v="SOLRECOUP"/>
    <s v="POARECOUP"/>
    <n v="21328549"/>
    <n v="-60"/>
    <m/>
    <s v="Y"/>
    <n v="1"/>
    <d v="2023-07-04T19:38:22"/>
    <s v="N"/>
    <m/>
    <m/>
    <s v="Expert Disbursement"/>
    <m/>
    <s v="N"/>
    <n v="-50"/>
    <n v="0"/>
    <x v="1"/>
    <s v="VALIDATED"/>
    <n v="1"/>
    <s v="01.11.80.308.2013.0000"/>
    <n v="-50"/>
    <s v="11"/>
    <s v="2013"/>
    <n v="27362.93"/>
    <n v="-50"/>
    <s v="CREDITOR"/>
    <n v="0"/>
    <n v="0"/>
    <n v="-50"/>
    <n v="0"/>
    <n v="0"/>
  </r>
  <r>
    <n v="42699103"/>
    <s v="N"/>
    <n v="21328549"/>
    <s v="3000011351260017RC"/>
    <s v="CIVIL"/>
    <d v="2023-06-27T00:00:00"/>
    <d v="2023-07-04T19:38:21"/>
    <m/>
    <d v="2023-07-04T00:00:00"/>
    <n v="157"/>
    <n v="114"/>
    <s v="42699103"/>
    <s v="42699103"/>
    <m/>
    <m/>
    <m/>
    <m/>
    <m/>
    <m/>
    <s v="SOLRECOUP"/>
    <s v="SOLRECOUP"/>
    <s v="POARECOUP"/>
    <n v="21328549"/>
    <n v="-60"/>
    <m/>
    <s v="Y"/>
    <n v="2"/>
    <d v="2023-07-04T19:38:22"/>
    <s v="N"/>
    <m/>
    <m/>
    <s v="Expert Disbursement"/>
    <m/>
    <s v="N"/>
    <n v="0"/>
    <n v="-10"/>
    <x v="1"/>
    <s v="VALIDATED"/>
    <n v="1"/>
    <s v="01.11.80.308.2013.0000"/>
    <n v="-10"/>
    <s v="11"/>
    <s v="2013"/>
    <n v="27362.93"/>
    <n v="-10"/>
    <s v="CREDITOR"/>
    <n v="0"/>
    <n v="0"/>
    <n v="-10"/>
    <n v="0"/>
    <n v="0"/>
  </r>
  <r>
    <n v="42699103"/>
    <s v="N"/>
    <n v="21328550"/>
    <s v="3000011351260016RC"/>
    <s v="CIVIL"/>
    <d v="2023-06-27T00:00:00"/>
    <d v="2023-07-04T19:38:21"/>
    <m/>
    <d v="2023-07-04T00:00:00"/>
    <n v="157"/>
    <n v="114"/>
    <s v="42699103"/>
    <s v="42699103"/>
    <m/>
    <m/>
    <m/>
    <m/>
    <m/>
    <m/>
    <s v="SOLRECOUP"/>
    <s v="SOLRECOUP"/>
    <s v="POARECOUP"/>
    <n v="21328550"/>
    <n v="-30"/>
    <m/>
    <s v="Y"/>
    <n v="1"/>
    <d v="2023-07-04T19:38:22"/>
    <s v="N"/>
    <m/>
    <m/>
    <s v="Expert Disbursement"/>
    <m/>
    <s v="N"/>
    <n v="-25"/>
    <n v="0"/>
    <x v="1"/>
    <s v="VALIDATED"/>
    <n v="1"/>
    <s v="01.11.80.308.2013.0000"/>
    <n v="-25"/>
    <s v="11"/>
    <s v="2013"/>
    <n v="27362.93"/>
    <n v="-25"/>
    <s v="CREDITOR"/>
    <n v="0"/>
    <n v="0"/>
    <n v="-25"/>
    <n v="0"/>
    <n v="0"/>
  </r>
  <r>
    <n v="42699103"/>
    <s v="N"/>
    <n v="21328550"/>
    <s v="3000011351260016RC"/>
    <s v="CIVIL"/>
    <d v="2023-06-27T00:00:00"/>
    <d v="2023-07-04T19:38:21"/>
    <m/>
    <d v="2023-07-04T00:00:00"/>
    <n v="157"/>
    <n v="114"/>
    <s v="42699103"/>
    <s v="42699103"/>
    <m/>
    <m/>
    <m/>
    <m/>
    <m/>
    <m/>
    <s v="SOLRECOUP"/>
    <s v="SOLRECOUP"/>
    <s v="POARECOUP"/>
    <n v="21328550"/>
    <n v="-30"/>
    <m/>
    <s v="Y"/>
    <n v="2"/>
    <d v="2023-07-04T19:38:22"/>
    <s v="N"/>
    <m/>
    <m/>
    <s v="Expert Disbursement"/>
    <m/>
    <s v="N"/>
    <n v="0"/>
    <n v="-5"/>
    <x v="1"/>
    <s v="VALIDATED"/>
    <n v="1"/>
    <s v="01.11.80.308.2013.0000"/>
    <n v="-5"/>
    <s v="11"/>
    <s v="2013"/>
    <n v="27362.93"/>
    <n v="-5"/>
    <s v="CREDITOR"/>
    <n v="0"/>
    <n v="0"/>
    <n v="-5"/>
    <n v="0"/>
    <n v="0"/>
  </r>
  <r>
    <n v="42699103"/>
    <s v="N"/>
    <n v="21328551"/>
    <s v="3000011351260006RC"/>
    <s v="CIVIL"/>
    <d v="2023-06-27T00:00:00"/>
    <d v="2023-07-04T19:38:21"/>
    <m/>
    <d v="2023-07-04T00:00:00"/>
    <n v="157"/>
    <n v="114"/>
    <s v="42699103"/>
    <s v="42699103"/>
    <m/>
    <m/>
    <m/>
    <m/>
    <m/>
    <m/>
    <s v="SOLRECOUP"/>
    <s v="SOLRECOUP"/>
    <s v="POARECOUP"/>
    <n v="21328551"/>
    <n v="-288.68"/>
    <m/>
    <s v="Y"/>
    <n v="2"/>
    <d v="2023-07-04T19:38:22"/>
    <s v="N"/>
    <m/>
    <m/>
    <s v="Expert Disbursement"/>
    <m/>
    <s v="N"/>
    <n v="0"/>
    <n v="-48.11"/>
    <x v="1"/>
    <s v="VALIDATED"/>
    <n v="1"/>
    <s v="01.11.80.308.2013.0000"/>
    <n v="-48.11"/>
    <s v="11"/>
    <s v="2013"/>
    <n v="27362.93"/>
    <n v="-48.11"/>
    <s v="CREDITOR"/>
    <n v="0"/>
    <n v="0"/>
    <n v="-48.11"/>
    <n v="0"/>
    <n v="0"/>
  </r>
  <r>
    <n v="42699103"/>
    <s v="N"/>
    <n v="21328554"/>
    <s v="3000011351260008RC"/>
    <s v="CIVIL"/>
    <d v="2023-06-27T00:00:00"/>
    <d v="2023-07-04T19:38:21"/>
    <m/>
    <d v="2023-07-04T00:00:00"/>
    <n v="157"/>
    <n v="114"/>
    <s v="42699103"/>
    <s v="42699103"/>
    <m/>
    <m/>
    <m/>
    <m/>
    <m/>
    <m/>
    <s v="SOLRECOUP"/>
    <s v="SOLRECOUP"/>
    <s v="POARECOUP"/>
    <n v="21328554"/>
    <n v="-30"/>
    <m/>
    <s v="Y"/>
    <n v="1"/>
    <d v="2023-07-04T19:38:22"/>
    <s v="N"/>
    <m/>
    <m/>
    <s v="Expert Disbursement"/>
    <m/>
    <s v="N"/>
    <n v="-25"/>
    <n v="0"/>
    <x v="1"/>
    <s v="VALIDATED"/>
    <n v="1"/>
    <s v="01.11.80.308.2013.0000"/>
    <n v="-25"/>
    <s v="11"/>
    <s v="2013"/>
    <n v="27362.93"/>
    <n v="-25"/>
    <s v="CREDITOR"/>
    <n v="0"/>
    <n v="0"/>
    <n v="-25"/>
    <n v="0"/>
    <n v="0"/>
  </r>
  <r>
    <n v="42699103"/>
    <s v="N"/>
    <n v="21328555"/>
    <s v="3000011351260009RC"/>
    <s v="CIVIL"/>
    <d v="2023-06-27T00:00:00"/>
    <d v="2023-07-04T19:38:21"/>
    <m/>
    <d v="2023-07-04T00:00:00"/>
    <n v="157"/>
    <n v="114"/>
    <s v="42699103"/>
    <s v="42699103"/>
    <m/>
    <m/>
    <m/>
    <m/>
    <m/>
    <m/>
    <s v="SOLRECOUP"/>
    <s v="SOLRECOUP"/>
    <s v="POARECOUP"/>
    <n v="21328555"/>
    <n v="-60"/>
    <m/>
    <s v="Y"/>
    <n v="2"/>
    <d v="2023-07-04T19:38:22"/>
    <s v="N"/>
    <m/>
    <m/>
    <s v="Expert Disbursement"/>
    <m/>
    <s v="N"/>
    <n v="0"/>
    <n v="-10"/>
    <x v="1"/>
    <s v="VALIDATED"/>
    <n v="1"/>
    <s v="01.11.80.308.2013.0000"/>
    <n v="-10"/>
    <s v="11"/>
    <s v="2013"/>
    <n v="27362.93"/>
    <n v="-10"/>
    <s v="CREDITOR"/>
    <n v="0"/>
    <n v="0"/>
    <n v="-10"/>
    <n v="0"/>
    <n v="0"/>
  </r>
  <r>
    <n v="42699103"/>
    <s v="N"/>
    <n v="21328555"/>
    <s v="3000011351260009RC"/>
    <s v="CIVIL"/>
    <d v="2023-06-27T00:00:00"/>
    <d v="2023-07-04T19:38:21"/>
    <m/>
    <d v="2023-07-04T00:00:00"/>
    <n v="157"/>
    <n v="114"/>
    <s v="42699103"/>
    <s v="42699103"/>
    <m/>
    <m/>
    <m/>
    <m/>
    <m/>
    <m/>
    <s v="SOLRECOUP"/>
    <s v="SOLRECOUP"/>
    <s v="POARECOUP"/>
    <n v="21328555"/>
    <n v="-60"/>
    <m/>
    <s v="Y"/>
    <n v="1"/>
    <d v="2023-07-04T19:38:22"/>
    <s v="N"/>
    <m/>
    <m/>
    <s v="Expert Disbursement"/>
    <m/>
    <s v="N"/>
    <n v="-50"/>
    <n v="0"/>
    <x v="1"/>
    <s v="VALIDATED"/>
    <n v="1"/>
    <s v="01.11.80.308.2013.0000"/>
    <n v="-50"/>
    <s v="11"/>
    <s v="2013"/>
    <n v="27362.93"/>
    <n v="-50"/>
    <s v="CREDITOR"/>
    <n v="0"/>
    <n v="0"/>
    <n v="-50"/>
    <n v="0"/>
    <n v="0"/>
  </r>
  <r>
    <n v="42699103"/>
    <s v="N"/>
    <n v="21328556"/>
    <s v="3000011351260003RC"/>
    <s v="CIVIL"/>
    <d v="2023-06-27T00:00:00"/>
    <d v="2023-07-04T19:38:21"/>
    <m/>
    <d v="2023-07-04T00:00:00"/>
    <n v="157"/>
    <n v="114"/>
    <s v="42699103"/>
    <s v="42699103"/>
    <m/>
    <m/>
    <m/>
    <m/>
    <m/>
    <m/>
    <s v="SOLRECOUP"/>
    <s v="SOLRECOUP"/>
    <s v="POARECOUP"/>
    <n v="21328556"/>
    <n v="-178.6"/>
    <m/>
    <s v="Y"/>
    <n v="1"/>
    <d v="2023-07-04T19:38:22"/>
    <s v="N"/>
    <m/>
    <m/>
    <s v="Expert Disbursement"/>
    <m/>
    <s v="N"/>
    <n v="-148.83"/>
    <n v="0"/>
    <x v="1"/>
    <s v="VALIDATED"/>
    <n v="1"/>
    <s v="01.11.80.308.2013.0000"/>
    <n v="-148.83"/>
    <s v="11"/>
    <s v="2013"/>
    <n v="27362.93"/>
    <n v="-148.83"/>
    <s v="CREDITOR"/>
    <n v="0"/>
    <n v="0"/>
    <n v="-148.83"/>
    <n v="0"/>
    <n v="0"/>
  </r>
  <r>
    <n v="42699103"/>
    <s v="N"/>
    <n v="21328556"/>
    <s v="3000011351260003RC"/>
    <s v="CIVIL"/>
    <d v="2023-06-27T00:00:00"/>
    <d v="2023-07-04T19:38:21"/>
    <m/>
    <d v="2023-07-04T00:00:00"/>
    <n v="157"/>
    <n v="114"/>
    <s v="42699103"/>
    <s v="42699103"/>
    <m/>
    <m/>
    <m/>
    <m/>
    <m/>
    <m/>
    <s v="SOLRECOUP"/>
    <s v="SOLRECOUP"/>
    <s v="POARECOUP"/>
    <n v="21328556"/>
    <n v="-178.6"/>
    <m/>
    <s v="Y"/>
    <n v="2"/>
    <d v="2023-07-04T19:38:22"/>
    <s v="N"/>
    <m/>
    <m/>
    <s v="Expert Disbursement"/>
    <m/>
    <s v="N"/>
    <n v="0"/>
    <n v="-29.77"/>
    <x v="1"/>
    <s v="VALIDATED"/>
    <n v="1"/>
    <s v="01.11.80.308.2013.0000"/>
    <n v="-29.77"/>
    <s v="11"/>
    <s v="2013"/>
    <n v="27362.93"/>
    <n v="-29.77"/>
    <s v="CREDITOR"/>
    <n v="0"/>
    <n v="0"/>
    <n v="-29.77"/>
    <n v="0"/>
    <n v="0"/>
  </r>
  <r>
    <n v="42699103"/>
    <s v="N"/>
    <n v="21328557"/>
    <s v="3000011351260014RC"/>
    <s v="CIVIL"/>
    <d v="2023-06-27T00:00:00"/>
    <d v="2023-07-04T19:38:21"/>
    <m/>
    <d v="2023-07-04T00:00:00"/>
    <n v="157"/>
    <n v="114"/>
    <s v="42699103"/>
    <s v="42699103"/>
    <m/>
    <m/>
    <m/>
    <m/>
    <m/>
    <m/>
    <s v="SOLRECOUP"/>
    <s v="SOLRECOUP"/>
    <s v="POARECOUP"/>
    <n v="21328557"/>
    <n v="-30"/>
    <m/>
    <s v="Y"/>
    <n v="1"/>
    <d v="2023-07-04T19:38:22"/>
    <s v="N"/>
    <m/>
    <m/>
    <s v="Expert Disbursement"/>
    <m/>
    <s v="N"/>
    <n v="-25"/>
    <n v="0"/>
    <x v="1"/>
    <s v="VALIDATED"/>
    <n v="1"/>
    <s v="01.11.80.308.2013.0000"/>
    <n v="-25"/>
    <s v="11"/>
    <s v="2013"/>
    <n v="27362.93"/>
    <n v="-25"/>
    <s v="CREDITOR"/>
    <n v="0"/>
    <n v="0"/>
    <n v="-25"/>
    <n v="0"/>
    <n v="0"/>
  </r>
  <r>
    <n v="42699103"/>
    <s v="N"/>
    <n v="21328557"/>
    <s v="3000011351260014RC"/>
    <s v="CIVIL"/>
    <d v="2023-06-27T00:00:00"/>
    <d v="2023-07-04T19:38:21"/>
    <m/>
    <d v="2023-07-04T00:00:00"/>
    <n v="157"/>
    <n v="114"/>
    <s v="42699103"/>
    <s v="42699103"/>
    <m/>
    <m/>
    <m/>
    <m/>
    <m/>
    <m/>
    <s v="SOLRECOUP"/>
    <s v="SOLRECOUP"/>
    <s v="POARECOUP"/>
    <n v="21328557"/>
    <n v="-30"/>
    <m/>
    <s v="Y"/>
    <n v="2"/>
    <d v="2023-07-04T19:38:22"/>
    <s v="N"/>
    <m/>
    <m/>
    <s v="Expert Disbursement"/>
    <m/>
    <s v="N"/>
    <n v="0"/>
    <n v="-5"/>
    <x v="1"/>
    <s v="VALIDATED"/>
    <n v="1"/>
    <s v="01.11.80.308.2013.0000"/>
    <n v="-5"/>
    <s v="11"/>
    <s v="2013"/>
    <n v="27362.93"/>
    <n v="-5"/>
    <s v="CREDITOR"/>
    <n v="0"/>
    <n v="0"/>
    <n v="-5"/>
    <n v="0"/>
    <n v="0"/>
  </r>
  <r>
    <n v="42699103"/>
    <s v="N"/>
    <n v="21328558"/>
    <s v="3000011351260015RC"/>
    <s v="CIVIL"/>
    <d v="2023-06-27T00:00:00"/>
    <d v="2023-07-04T19:38:21"/>
    <m/>
    <d v="2023-07-04T00:00:00"/>
    <n v="157"/>
    <n v="114"/>
    <s v="42699103"/>
    <s v="42699103"/>
    <m/>
    <m/>
    <m/>
    <m/>
    <m/>
    <m/>
    <s v="SOLRECOUP"/>
    <s v="SOLRECOUP"/>
    <s v="POARECOUP"/>
    <n v="21328558"/>
    <n v="-210.72"/>
    <m/>
    <s v="Y"/>
    <n v="2"/>
    <d v="2023-07-04T19:38:22"/>
    <s v="N"/>
    <m/>
    <m/>
    <s v="Expert Disbursement"/>
    <m/>
    <s v="N"/>
    <n v="0"/>
    <n v="-35.12"/>
    <x v="1"/>
    <s v="VALIDATED"/>
    <n v="1"/>
    <s v="01.11.80.308.2013.0000"/>
    <n v="-35.12"/>
    <s v="11"/>
    <s v="2013"/>
    <n v="27362.93"/>
    <n v="-35.12"/>
    <s v="CREDITOR"/>
    <n v="0"/>
    <n v="0"/>
    <n v="-35.12"/>
    <n v="0"/>
    <n v="0"/>
  </r>
  <r>
    <n v="42699103"/>
    <s v="N"/>
    <n v="21328558"/>
    <s v="3000011351260015RC"/>
    <s v="CIVIL"/>
    <d v="2023-06-27T00:00:00"/>
    <d v="2023-07-04T19:38:21"/>
    <m/>
    <d v="2023-07-04T00:00:00"/>
    <n v="157"/>
    <n v="114"/>
    <s v="42699103"/>
    <s v="42699103"/>
    <m/>
    <m/>
    <m/>
    <m/>
    <m/>
    <m/>
    <s v="SOLRECOUP"/>
    <s v="SOLRECOUP"/>
    <s v="POARECOUP"/>
    <n v="21328558"/>
    <n v="-210.72"/>
    <m/>
    <s v="Y"/>
    <n v="1"/>
    <d v="2023-07-04T19:38:22"/>
    <s v="N"/>
    <m/>
    <m/>
    <s v="Expert Disbursement"/>
    <m/>
    <s v="N"/>
    <n v="-175.6"/>
    <n v="0"/>
    <x v="1"/>
    <s v="VALIDATED"/>
    <n v="1"/>
    <s v="01.11.80.308.2013.0000"/>
    <n v="-175.6"/>
    <s v="11"/>
    <s v="2013"/>
    <n v="27362.93"/>
    <n v="-175.6"/>
    <s v="CREDITOR"/>
    <n v="0"/>
    <n v="0"/>
    <n v="-175.6"/>
    <n v="0"/>
    <n v="0"/>
  </r>
  <r>
    <n v="42699103"/>
    <s v="N"/>
    <n v="21328559"/>
    <s v="3000011351260013RC"/>
    <s v="CIVIL"/>
    <d v="2023-06-27T00:00:00"/>
    <d v="2023-07-04T19:38:21"/>
    <m/>
    <d v="2023-07-04T00:00:00"/>
    <n v="157"/>
    <n v="114"/>
    <s v="42699103"/>
    <s v="42699103"/>
    <m/>
    <m/>
    <m/>
    <m/>
    <m/>
    <m/>
    <s v="SOLRECOUP"/>
    <s v="SOLRECOUP"/>
    <s v="POARECOUP"/>
    <n v="21328559"/>
    <n v="-30"/>
    <m/>
    <s v="Y"/>
    <n v="2"/>
    <d v="2023-07-04T19:38:22"/>
    <s v="N"/>
    <m/>
    <m/>
    <s v="Expert Disbursement"/>
    <m/>
    <s v="N"/>
    <n v="0"/>
    <n v="-5"/>
    <x v="1"/>
    <s v="VALIDATED"/>
    <n v="1"/>
    <s v="01.11.80.308.2013.0000"/>
    <n v="-5"/>
    <s v="11"/>
    <s v="2013"/>
    <n v="27362.93"/>
    <n v="-5"/>
    <s v="CREDITOR"/>
    <n v="0"/>
    <n v="0"/>
    <n v="-5"/>
    <n v="0"/>
    <n v="0"/>
  </r>
  <r>
    <n v="42699103"/>
    <s v="N"/>
    <n v="21328559"/>
    <s v="3000011351260013RC"/>
    <s v="CIVIL"/>
    <d v="2023-06-27T00:00:00"/>
    <d v="2023-07-04T19:38:21"/>
    <m/>
    <d v="2023-07-04T00:00:00"/>
    <n v="157"/>
    <n v="114"/>
    <s v="42699103"/>
    <s v="42699103"/>
    <m/>
    <m/>
    <m/>
    <m/>
    <m/>
    <m/>
    <s v="SOLRECOUP"/>
    <s v="SOLRECOUP"/>
    <s v="POARECOUP"/>
    <n v="21328559"/>
    <n v="-30"/>
    <m/>
    <s v="Y"/>
    <n v="1"/>
    <d v="2023-07-04T19:38:22"/>
    <s v="N"/>
    <m/>
    <m/>
    <s v="Expert Disbursement"/>
    <m/>
    <s v="N"/>
    <n v="-25"/>
    <n v="0"/>
    <x v="1"/>
    <s v="VALIDATED"/>
    <n v="1"/>
    <s v="01.11.80.308.2013.0000"/>
    <n v="-25"/>
    <s v="11"/>
    <s v="2013"/>
    <n v="27362.93"/>
    <n v="-25"/>
    <s v="CREDITOR"/>
    <n v="0"/>
    <n v="0"/>
    <n v="-25"/>
    <n v="0"/>
    <n v="0"/>
  </r>
  <r>
    <n v="42699103"/>
    <s v="N"/>
    <n v="21328560"/>
    <s v="3000011351260023RC"/>
    <s v="CIVIL"/>
    <d v="2023-06-27T00:00:00"/>
    <d v="2023-07-04T19:38:21"/>
    <m/>
    <d v="2023-07-04T00:00:00"/>
    <n v="157"/>
    <n v="114"/>
    <s v="42699103"/>
    <s v="42699103"/>
    <m/>
    <m/>
    <m/>
    <m/>
    <m/>
    <m/>
    <s v="SOLRECOUP"/>
    <s v="SOLRECOUP"/>
    <s v="POARECOUP"/>
    <n v="21328560"/>
    <n v="-60"/>
    <m/>
    <s v="Y"/>
    <n v="2"/>
    <d v="2023-07-04T19:38:22"/>
    <s v="N"/>
    <m/>
    <m/>
    <s v="Expert Disbursement"/>
    <m/>
    <s v="N"/>
    <n v="0"/>
    <n v="-10"/>
    <x v="1"/>
    <s v="VALIDATED"/>
    <n v="1"/>
    <s v="01.11.80.308.2013.0000"/>
    <n v="-10"/>
    <s v="11"/>
    <s v="2013"/>
    <n v="27362.93"/>
    <n v="-10"/>
    <s v="CREDITOR"/>
    <n v="0"/>
    <n v="0"/>
    <n v="-10"/>
    <n v="0"/>
    <n v="0"/>
  </r>
  <r>
    <n v="42699103"/>
    <s v="N"/>
    <n v="21328560"/>
    <s v="3000011351260023RC"/>
    <s v="CIVIL"/>
    <d v="2023-06-27T00:00:00"/>
    <d v="2023-07-04T19:38:21"/>
    <m/>
    <d v="2023-07-04T00:00:00"/>
    <n v="157"/>
    <n v="114"/>
    <s v="42699103"/>
    <s v="42699103"/>
    <m/>
    <m/>
    <m/>
    <m/>
    <m/>
    <m/>
    <s v="SOLRECOUP"/>
    <s v="SOLRECOUP"/>
    <s v="POARECOUP"/>
    <n v="21328560"/>
    <n v="-60"/>
    <m/>
    <s v="Y"/>
    <n v="1"/>
    <d v="2023-07-04T19:38:22"/>
    <s v="N"/>
    <m/>
    <m/>
    <s v="Expert Disbursement"/>
    <m/>
    <s v="N"/>
    <n v="-50"/>
    <n v="0"/>
    <x v="1"/>
    <s v="VALIDATED"/>
    <n v="1"/>
    <s v="01.11.80.308.2013.0000"/>
    <n v="-50"/>
    <s v="11"/>
    <s v="2013"/>
    <n v="27362.93"/>
    <n v="-50"/>
    <s v="CREDITOR"/>
    <n v="0"/>
    <n v="0"/>
    <n v="-50"/>
    <n v="0"/>
    <n v="0"/>
  </r>
  <r>
    <n v="42699103"/>
    <s v="N"/>
    <n v="21328561"/>
    <s v="3000011351260022RC"/>
    <s v="CIVIL"/>
    <d v="2023-06-27T00:00:00"/>
    <d v="2023-07-04T19:38:21"/>
    <m/>
    <d v="2023-07-04T00:00:00"/>
    <n v="157"/>
    <n v="114"/>
    <s v="42699103"/>
    <s v="42699103"/>
    <m/>
    <m/>
    <m/>
    <m/>
    <m/>
    <m/>
    <s v="SOLRECOUP"/>
    <s v="SOLRECOUP"/>
    <s v="POARECOUP"/>
    <n v="21328561"/>
    <n v="-69.59999999999999"/>
    <m/>
    <s v="Y"/>
    <n v="2"/>
    <d v="2023-07-04T19:38:22"/>
    <s v="N"/>
    <m/>
    <m/>
    <s v="Expert Disbursement"/>
    <m/>
    <s v="N"/>
    <n v="0"/>
    <n v="-11.6"/>
    <x v="1"/>
    <s v="VALIDATED"/>
    <n v="1"/>
    <s v="01.11.80.308.2013.0000"/>
    <n v="-11.6"/>
    <s v="11"/>
    <s v="2013"/>
    <n v="27362.93"/>
    <n v="-11.6"/>
    <s v="CREDITOR"/>
    <n v="0"/>
    <n v="0"/>
    <n v="-11.6"/>
    <n v="0"/>
    <n v="0"/>
  </r>
  <r>
    <n v="42699103"/>
    <s v="N"/>
    <n v="21328561"/>
    <s v="3000011351260022RC"/>
    <s v="CIVIL"/>
    <d v="2023-06-27T00:00:00"/>
    <d v="2023-07-04T19:38:21"/>
    <m/>
    <d v="2023-07-04T00:00:00"/>
    <n v="157"/>
    <n v="114"/>
    <s v="42699103"/>
    <s v="42699103"/>
    <m/>
    <m/>
    <m/>
    <m/>
    <m/>
    <m/>
    <s v="SOLRECOUP"/>
    <s v="SOLRECOUP"/>
    <s v="POARECOUP"/>
    <n v="21328561"/>
    <n v="-69.59999999999999"/>
    <m/>
    <s v="Y"/>
    <n v="1"/>
    <d v="2023-07-04T19:38:22"/>
    <s v="N"/>
    <m/>
    <m/>
    <s v="Expert Disbursement"/>
    <m/>
    <s v="N"/>
    <n v="-58"/>
    <n v="0"/>
    <x v="1"/>
    <s v="VALIDATED"/>
    <n v="1"/>
    <s v="01.11.80.308.2013.0000"/>
    <n v="-58"/>
    <s v="11"/>
    <s v="2013"/>
    <n v="27362.93"/>
    <n v="-58"/>
    <s v="CREDITOR"/>
    <n v="0"/>
    <n v="0"/>
    <n v="-58"/>
    <n v="0"/>
    <n v="0"/>
  </r>
  <r>
    <n v="43877254"/>
    <s v="N"/>
    <n v="21399647"/>
    <s v="3000011618150013RC"/>
    <s v="CIVIL"/>
    <d v="2023-06-29T00:00:00"/>
    <d v="2023-07-19T19:44:15"/>
    <m/>
    <d v="2023-07-19T00:00:00"/>
    <n v="157"/>
    <n v="114"/>
    <s v="43877254"/>
    <s v="43877254"/>
    <m/>
    <m/>
    <m/>
    <m/>
    <m/>
    <m/>
    <s v="SOLRECOUP"/>
    <s v="SOLRECOUP"/>
    <s v="POARECOUP"/>
    <n v="21399647"/>
    <n v="-12894.14"/>
    <m/>
    <s v="Y"/>
    <n v="1"/>
    <d v="2023-07-19T19:44:16"/>
    <s v="N"/>
    <m/>
    <m/>
    <s v="Profit Cost"/>
    <m/>
    <s v="N"/>
    <n v="-10745.12"/>
    <n v="0"/>
    <x v="5"/>
    <s v="VALIDATED"/>
    <n v="1"/>
    <s v="01.11.80.308.2013.0000"/>
    <n v="-10745.12"/>
    <s v="11"/>
    <s v="2013"/>
    <n v="27362.93"/>
    <n v="-10745.12"/>
    <s v="CREDITOR"/>
    <n v="0"/>
    <n v="0"/>
    <n v="-10745.12"/>
    <n v="-2686.28"/>
    <n v="0"/>
  </r>
  <r>
    <n v="43877254"/>
    <s v="N"/>
    <n v="21399647"/>
    <s v="3000011618150013RC"/>
    <s v="CIVIL"/>
    <d v="2023-06-29T00:00:00"/>
    <d v="2023-07-19T19:44:15"/>
    <m/>
    <d v="2023-07-19T00:00:00"/>
    <n v="157"/>
    <n v="114"/>
    <s v="43877254"/>
    <s v="43877254"/>
    <m/>
    <m/>
    <m/>
    <m/>
    <m/>
    <m/>
    <s v="SOLRECOUP"/>
    <s v="SOLRECOUP"/>
    <s v="POARECOUP"/>
    <n v="21399647"/>
    <n v="-12894.14"/>
    <m/>
    <s v="Y"/>
    <n v="2"/>
    <d v="2023-07-19T19:44:16"/>
    <s v="N"/>
    <m/>
    <m/>
    <s v="Profit Cost"/>
    <m/>
    <s v="N"/>
    <n v="0"/>
    <n v="-2149.02"/>
    <x v="5"/>
    <s v="VALIDATED"/>
    <n v="1"/>
    <s v="01.11.80.308.2013.0000"/>
    <n v="-2149.02"/>
    <s v="11"/>
    <s v="2013"/>
    <n v="27362.93"/>
    <n v="-2149.02"/>
    <s v="CREDITOR"/>
    <n v="0"/>
    <n v="0"/>
    <n v="-2149.02"/>
    <n v="-537.255"/>
    <n v="0"/>
  </r>
  <r>
    <n v="43877254"/>
    <s v="N"/>
    <n v="21398832"/>
    <s v="3000011618150008RC"/>
    <s v="CIVIL"/>
    <d v="2023-06-29T00:00:00"/>
    <d v="2023-07-19T19:43:58"/>
    <m/>
    <d v="2023-07-19T00:00:00"/>
    <n v="157"/>
    <n v="114"/>
    <s v="43877254"/>
    <s v="43877254"/>
    <m/>
    <m/>
    <m/>
    <m/>
    <m/>
    <m/>
    <s v="SOLRECOUP"/>
    <s v="SOLRECOUP"/>
    <s v="POARECOUP"/>
    <n v="21398832"/>
    <n v="-2915.14"/>
    <m/>
    <s v="Y"/>
    <n v="2"/>
    <d v="2023-07-19T19:44:00"/>
    <s v="N"/>
    <m/>
    <m/>
    <s v="Profit Cost"/>
    <m/>
    <s v="N"/>
    <n v="0"/>
    <n v="-485.86"/>
    <x v="5"/>
    <s v="VALIDATED"/>
    <n v="1"/>
    <s v="01.11.80.308.2013.0000"/>
    <n v="-485.86"/>
    <s v="11"/>
    <s v="2013"/>
    <n v="27362.93"/>
    <n v="-485.86"/>
    <s v="CREDITOR"/>
    <n v="0"/>
    <n v="0"/>
    <n v="-485.86"/>
    <n v="-121.465"/>
    <n v="0"/>
  </r>
  <r>
    <n v="43877254"/>
    <s v="N"/>
    <n v="21398832"/>
    <s v="3000011618150008RC"/>
    <s v="CIVIL"/>
    <d v="2023-06-29T00:00:00"/>
    <d v="2023-07-19T19:43:58"/>
    <m/>
    <d v="2023-07-19T00:00:00"/>
    <n v="157"/>
    <n v="114"/>
    <s v="43877254"/>
    <s v="43877254"/>
    <m/>
    <m/>
    <m/>
    <m/>
    <m/>
    <m/>
    <s v="SOLRECOUP"/>
    <s v="SOLRECOUP"/>
    <s v="POARECOUP"/>
    <n v="21398832"/>
    <n v="-2915.14"/>
    <m/>
    <s v="Y"/>
    <n v="1"/>
    <d v="2023-07-19T19:44:00"/>
    <s v="N"/>
    <m/>
    <m/>
    <s v="Profit Cost"/>
    <m/>
    <s v="N"/>
    <n v="-2429.28"/>
    <n v="0"/>
    <x v="5"/>
    <s v="VALIDATED"/>
    <n v="1"/>
    <s v="01.11.80.308.2013.0000"/>
    <n v="-2429.28"/>
    <s v="11"/>
    <s v="2013"/>
    <n v="27362.93"/>
    <n v="-2429.28"/>
    <s v="CREDITOR"/>
    <n v="0"/>
    <n v="0"/>
    <n v="-2429.28"/>
    <n v="-607.3200000000001"/>
    <n v="0"/>
  </r>
  <r>
    <n v="43877254"/>
    <s v="N"/>
    <n v="21398833"/>
    <s v="3000011618150009RC"/>
    <s v="CIVIL"/>
    <d v="2023-06-29T00:00:00"/>
    <d v="2023-07-19T19:43:58"/>
    <m/>
    <d v="2023-07-19T00:00:00"/>
    <n v="157"/>
    <n v="114"/>
    <s v="43877254"/>
    <s v="43877254"/>
    <m/>
    <m/>
    <m/>
    <m/>
    <m/>
    <m/>
    <s v="SOLRECOUP"/>
    <s v="SOLRECOUP"/>
    <s v="POARECOUP"/>
    <n v="21398833"/>
    <n v="-59.94"/>
    <m/>
    <s v="Y"/>
    <n v="1"/>
    <d v="2023-07-19T19:44:00"/>
    <s v="N"/>
    <m/>
    <m/>
    <s v="Expert Disbursement"/>
    <m/>
    <s v="N"/>
    <n v="-49.95"/>
    <n v="0"/>
    <x v="5"/>
    <s v="VALIDATED"/>
    <n v="1"/>
    <s v="01.11.80.308.2013.0000"/>
    <n v="-49.95"/>
    <s v="11"/>
    <s v="2013"/>
    <n v="27362.93"/>
    <n v="-49.95"/>
    <s v="CREDITOR"/>
    <n v="0"/>
    <n v="0"/>
    <n v="-49.95"/>
    <n v="0"/>
    <n v="0"/>
  </r>
  <r>
    <n v="43877254"/>
    <s v="N"/>
    <n v="21398833"/>
    <s v="3000011618150009RC"/>
    <s v="CIVIL"/>
    <d v="2023-06-29T00:00:00"/>
    <d v="2023-07-19T19:43:58"/>
    <m/>
    <d v="2023-07-19T00:00:00"/>
    <n v="157"/>
    <n v="114"/>
    <s v="43877254"/>
    <s v="43877254"/>
    <m/>
    <m/>
    <m/>
    <m/>
    <m/>
    <m/>
    <s v="SOLRECOUP"/>
    <s v="SOLRECOUP"/>
    <s v="POARECOUP"/>
    <n v="21398833"/>
    <n v="-59.94"/>
    <m/>
    <s v="Y"/>
    <n v="2"/>
    <d v="2023-07-19T19:44:00"/>
    <s v="N"/>
    <m/>
    <m/>
    <s v="Expert Disbursement"/>
    <m/>
    <s v="N"/>
    <n v="0"/>
    <n v="-9.99"/>
    <x v="5"/>
    <s v="VALIDATED"/>
    <n v="1"/>
    <s v="01.11.80.308.2013.0000"/>
    <n v="-9.99"/>
    <s v="11"/>
    <s v="2013"/>
    <n v="27362.93"/>
    <n v="-9.99"/>
    <s v="CREDITOR"/>
    <n v="0"/>
    <n v="0"/>
    <n v="-9.99"/>
    <n v="0"/>
    <n v="0"/>
  </r>
  <r>
    <n v="43877254"/>
    <s v="N"/>
    <n v="21398880"/>
    <s v="3000011618150010RC"/>
    <s v="CIVIL"/>
    <d v="2023-06-29T00:00:00"/>
    <d v="2023-07-19T19:43:58"/>
    <m/>
    <d v="2023-07-19T00:00:00"/>
    <n v="157"/>
    <n v="114"/>
    <s v="43877254"/>
    <s v="43877254"/>
    <m/>
    <m/>
    <m/>
    <m/>
    <m/>
    <m/>
    <s v="SOLRECOUP"/>
    <s v="SOLRECOUP"/>
    <s v="POARECOUP"/>
    <n v="21398880"/>
    <n v="-216"/>
    <m/>
    <s v="Y"/>
    <n v="2"/>
    <d v="2023-07-19T19:44:00"/>
    <s v="N"/>
    <m/>
    <m/>
    <s v="Expert Disbursement"/>
    <m/>
    <s v="N"/>
    <n v="0"/>
    <n v="0"/>
    <x v="5"/>
    <s v="VALIDATED"/>
    <n v="1"/>
    <s v="01.11.80.000.0000.0000"/>
    <n v="0"/>
    <s v="11"/>
    <s v="0000"/>
    <n v="27362.93"/>
    <n v="0"/>
    <s v="CREDITOR"/>
    <n v="0"/>
    <n v="0"/>
    <n v="0"/>
    <n v="0"/>
    <n v="0"/>
  </r>
  <r>
    <n v="43877254"/>
    <s v="N"/>
    <n v="21398880"/>
    <s v="3000011618150010RC"/>
    <s v="CIVIL"/>
    <d v="2023-06-29T00:00:00"/>
    <d v="2023-07-19T19:43:58"/>
    <m/>
    <d v="2023-07-19T00:00:00"/>
    <n v="157"/>
    <n v="114"/>
    <s v="43877254"/>
    <s v="43877254"/>
    <m/>
    <m/>
    <m/>
    <m/>
    <m/>
    <m/>
    <s v="SOLRECOUP"/>
    <s v="SOLRECOUP"/>
    <s v="POARECOUP"/>
    <n v="21398880"/>
    <n v="-216"/>
    <m/>
    <s v="Y"/>
    <n v="1"/>
    <d v="2023-07-19T19:44:00"/>
    <s v="N"/>
    <m/>
    <m/>
    <s v="Expert Disbursement"/>
    <m/>
    <s v="N"/>
    <n v="-216"/>
    <n v="0"/>
    <x v="5"/>
    <s v="VALIDATED"/>
    <n v="1"/>
    <s v="01.11.80.308.2013.0000"/>
    <n v="-216"/>
    <s v="11"/>
    <s v="2013"/>
    <n v="27362.93"/>
    <n v="-216"/>
    <s v="CREDITOR"/>
    <n v="0"/>
    <n v="0"/>
    <n v="-216"/>
    <n v="0"/>
    <n v="0"/>
  </r>
  <r>
    <n v="43877254"/>
    <s v="N"/>
    <n v="21398651"/>
    <s v="3000011618150001RC"/>
    <s v="CIVIL"/>
    <d v="2023-06-29T00:00:00"/>
    <d v="2023-07-19T19:43:58"/>
    <m/>
    <d v="2023-07-19T00:00:00"/>
    <n v="157"/>
    <n v="114"/>
    <s v="43877254"/>
    <s v="43877254"/>
    <m/>
    <m/>
    <m/>
    <m/>
    <m/>
    <m/>
    <s v="SOLRECOUP"/>
    <s v="SOLRECOUP"/>
    <s v="POARECOUP"/>
    <n v="21398651"/>
    <n v="-648"/>
    <m/>
    <s v="Y"/>
    <n v="2"/>
    <d v="2023-07-19T19:43:59"/>
    <s v="N"/>
    <m/>
    <m/>
    <s v="Expert Disbursement"/>
    <m/>
    <s v="N"/>
    <n v="0"/>
    <n v="-108"/>
    <x v="5"/>
    <s v="VALIDATED"/>
    <n v="1"/>
    <s v="01.11.80.308.2013.0000"/>
    <n v="-108"/>
    <s v="11"/>
    <s v="2013"/>
    <n v="27362.93"/>
    <n v="-108"/>
    <s v="CREDITOR"/>
    <n v="0"/>
    <n v="0"/>
    <n v="-108"/>
    <n v="0"/>
    <n v="0"/>
  </r>
  <r>
    <n v="43877254"/>
    <s v="N"/>
    <n v="21398651"/>
    <s v="3000011618150001RC"/>
    <s v="CIVIL"/>
    <d v="2023-06-29T00:00:00"/>
    <d v="2023-07-19T19:43:58"/>
    <m/>
    <d v="2023-07-19T00:00:00"/>
    <n v="157"/>
    <n v="114"/>
    <s v="43877254"/>
    <s v="43877254"/>
    <m/>
    <m/>
    <m/>
    <m/>
    <m/>
    <m/>
    <s v="SOLRECOUP"/>
    <s v="SOLRECOUP"/>
    <s v="POARECOUP"/>
    <n v="21398651"/>
    <n v="-648"/>
    <m/>
    <s v="Y"/>
    <n v="1"/>
    <d v="2023-07-19T19:43:59"/>
    <s v="N"/>
    <m/>
    <m/>
    <s v="Expert Disbursement"/>
    <m/>
    <s v="N"/>
    <n v="-540"/>
    <n v="0"/>
    <x v="5"/>
    <s v="VALIDATED"/>
    <n v="1"/>
    <s v="01.11.80.308.2013.0000"/>
    <n v="-540"/>
    <s v="11"/>
    <s v="2013"/>
    <n v="27362.93"/>
    <n v="-540"/>
    <s v="CREDITOR"/>
    <n v="0"/>
    <n v="0"/>
    <n v="-540"/>
    <n v="0"/>
    <n v="0"/>
  </r>
  <r>
    <n v="43877254"/>
    <s v="N"/>
    <n v="21398670"/>
    <s v="3000011618150003RC"/>
    <s v="CIVIL"/>
    <d v="2023-06-29T00:00:00"/>
    <d v="2023-07-19T19:43:58"/>
    <m/>
    <d v="2023-07-19T00:00:00"/>
    <n v="157"/>
    <n v="114"/>
    <s v="43877254"/>
    <s v="43877254"/>
    <m/>
    <m/>
    <m/>
    <m/>
    <m/>
    <m/>
    <s v="SOLRECOUP"/>
    <s v="SOLRECOUP"/>
    <s v="POARECOUP"/>
    <n v="21398670"/>
    <n v="-405"/>
    <m/>
    <s v="Y"/>
    <n v="2"/>
    <d v="2023-07-19T19:43:59"/>
    <s v="N"/>
    <m/>
    <m/>
    <s v="Expert Disbursement"/>
    <m/>
    <s v="N"/>
    <n v="0"/>
    <n v="0"/>
    <x v="5"/>
    <s v="VALIDATED"/>
    <n v="1"/>
    <s v="01.11.80.000.0000.0000"/>
    <n v="0"/>
    <s v="11"/>
    <s v="0000"/>
    <n v="27362.93"/>
    <n v="0"/>
    <s v="CREDITOR"/>
    <n v="0"/>
    <n v="0"/>
    <n v="0"/>
    <n v="0"/>
    <n v="0"/>
  </r>
  <r>
    <n v="43877254"/>
    <s v="N"/>
    <n v="21398670"/>
    <s v="3000011618150003RC"/>
    <s v="CIVIL"/>
    <d v="2023-06-29T00:00:00"/>
    <d v="2023-07-19T19:43:58"/>
    <m/>
    <d v="2023-07-19T00:00:00"/>
    <n v="157"/>
    <n v="114"/>
    <s v="43877254"/>
    <s v="43877254"/>
    <m/>
    <m/>
    <m/>
    <m/>
    <m/>
    <m/>
    <s v="SOLRECOUP"/>
    <s v="SOLRECOUP"/>
    <s v="POARECOUP"/>
    <n v="21398670"/>
    <n v="-405"/>
    <m/>
    <s v="Y"/>
    <n v="1"/>
    <d v="2023-07-19T19:43:59"/>
    <s v="N"/>
    <m/>
    <m/>
    <s v="Expert Disbursement"/>
    <m/>
    <s v="N"/>
    <n v="-405"/>
    <n v="0"/>
    <x v="5"/>
    <s v="VALIDATED"/>
    <n v="1"/>
    <s v="01.11.80.308.2013.0000"/>
    <n v="-405"/>
    <s v="11"/>
    <s v="2013"/>
    <n v="27362.93"/>
    <n v="-405"/>
    <s v="CREDITOR"/>
    <n v="0"/>
    <n v="0"/>
    <n v="-405"/>
    <n v="0"/>
    <n v="0"/>
  </r>
  <r>
    <n v="43877254"/>
    <s v="N"/>
    <n v="21398671"/>
    <s v="3000011618150002RC"/>
    <s v="CIVIL"/>
    <d v="2023-06-29T00:00:00"/>
    <d v="2023-07-19T19:43:58"/>
    <m/>
    <d v="2023-07-19T00:00:00"/>
    <n v="157"/>
    <n v="114"/>
    <s v="43877254"/>
    <s v="43877254"/>
    <m/>
    <m/>
    <m/>
    <m/>
    <m/>
    <m/>
    <s v="SOLRECOUP"/>
    <s v="SOLRECOUP"/>
    <s v="POARECOUP"/>
    <n v="21398671"/>
    <n v="-167"/>
    <m/>
    <s v="Y"/>
    <n v="1"/>
    <d v="2023-07-19T19:43:59"/>
    <s v="N"/>
    <m/>
    <m/>
    <s v="Expert Disbursement"/>
    <m/>
    <s v="N"/>
    <n v="-167"/>
    <n v="0"/>
    <x v="5"/>
    <s v="VALIDATED"/>
    <n v="1"/>
    <s v="01.11.80.308.2013.0000"/>
    <n v="-167"/>
    <s v="11"/>
    <s v="2013"/>
    <n v="27362.93"/>
    <n v="-167"/>
    <s v="CREDITOR"/>
    <n v="0"/>
    <n v="0"/>
    <n v="-167"/>
    <n v="0"/>
    <n v="0"/>
  </r>
  <r>
    <n v="43877254"/>
    <s v="N"/>
    <n v="21398671"/>
    <s v="3000011618150002RC"/>
    <s v="CIVIL"/>
    <d v="2023-06-29T00:00:00"/>
    <d v="2023-07-19T19:43:58"/>
    <m/>
    <d v="2023-07-19T00:00:00"/>
    <n v="157"/>
    <n v="114"/>
    <s v="43877254"/>
    <s v="43877254"/>
    <m/>
    <m/>
    <m/>
    <m/>
    <m/>
    <m/>
    <s v="SOLRECOUP"/>
    <s v="SOLRECOUP"/>
    <s v="POARECOUP"/>
    <n v="21398671"/>
    <n v="-167"/>
    <m/>
    <s v="Y"/>
    <n v="2"/>
    <d v="2023-07-19T19:43:59"/>
    <s v="N"/>
    <m/>
    <m/>
    <s v="Expert Disbursement"/>
    <m/>
    <s v="N"/>
    <n v="0"/>
    <n v="0"/>
    <x v="5"/>
    <s v="VALIDATED"/>
    <n v="1"/>
    <s v="01.11.80.000.0000.0000"/>
    <n v="0"/>
    <s v="11"/>
    <s v="0000"/>
    <n v="27362.93"/>
    <n v="0"/>
    <s v="CREDITOR"/>
    <n v="0"/>
    <n v="0"/>
    <n v="0"/>
    <n v="0"/>
    <n v="0"/>
  </r>
  <r>
    <n v="59744067"/>
    <s v="N"/>
    <n v="21370386"/>
    <s v="3000014111280004"/>
    <s v="CIVIL"/>
    <d v="2023-06-28T00:00:00"/>
    <d v="2023-07-13T19:21:05"/>
    <m/>
    <d v="2023-07-13T00:00:00"/>
    <n v="180"/>
    <n v="6780"/>
    <s v="59744067"/>
    <s v="59744067"/>
    <m/>
    <m/>
    <n v="22784080"/>
    <m/>
    <m/>
    <m/>
    <s v="SOLFIN"/>
    <s v="SOLFIN"/>
    <s v="CCMS"/>
    <n v="21370386"/>
    <n v="6653.93"/>
    <m/>
    <s v="N"/>
    <n v="63"/>
    <d v="2023-07-13T19:21:23"/>
    <s v="Y"/>
    <s v="Preparation - drafting instructions"/>
    <s v="Non Family Hourly Rates"/>
    <s v="Profit Cost"/>
    <s v="SL"/>
    <s v="Y"/>
    <n v="21.47"/>
    <n v="4.29"/>
    <x v="11"/>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54"/>
    <d v="2023-07-13T19:21:23"/>
    <s v="Y"/>
    <s v="Preparation - other"/>
    <s v="Non Family Hourly Rates"/>
    <s v="Profit Cost"/>
    <s v="SL"/>
    <s v="Y"/>
    <n v="100.17"/>
    <n v="20.03"/>
    <x v="11"/>
    <s v="VALIDATED"/>
    <n v="1"/>
    <s v="01.11.80.212.6100.0000"/>
    <n v="100.17"/>
    <s v="11"/>
    <s v="6100"/>
    <n v="1945.47"/>
    <n v="100.17"/>
    <s v="CREDITOR"/>
    <n v="0"/>
    <n v="0"/>
    <n v="0"/>
    <n v="0"/>
    <n v="100.17"/>
  </r>
  <r>
    <n v="61295334"/>
    <s v="N"/>
    <n v="21319064"/>
    <s v="3000015391000002"/>
    <s v="CIVIL"/>
    <d v="2023-06-21T00:00:00"/>
    <d v="2023-07-03T19:01:49"/>
    <m/>
    <d v="2023-07-03T00:00:00"/>
    <n v="180"/>
    <n v="6780"/>
    <s v="61295334"/>
    <s v="61295334"/>
    <m/>
    <m/>
    <n v="22736734"/>
    <m/>
    <m/>
    <m/>
    <s v="SOLFIN"/>
    <s v="SOLFIN"/>
    <s v="CCMS"/>
    <n v="21319064"/>
    <n v="2068.39"/>
    <m/>
    <s v="N"/>
    <n v="8"/>
    <d v="2023-07-03T19:02:09"/>
    <s v="Y"/>
    <s v="Attendance upon client"/>
    <s v="Non Family Hourly Rates"/>
    <s v="Profit Cost"/>
    <s v="MC"/>
    <s v="Y"/>
    <n v="21.47"/>
    <n v="4.29"/>
    <x v="3"/>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50"/>
    <d v="2023-07-13T19:21:23"/>
    <s v="Y"/>
    <s v="Preparation - other"/>
    <s v="Non Family Hourly Rates"/>
    <s v="Profit Cost"/>
    <s v="SL"/>
    <s v="Y"/>
    <n v="193.19"/>
    <n v="38.64"/>
    <x v="11"/>
    <s v="VALIDATED"/>
    <n v="1"/>
    <s v="01.11.80.212.6100.0000"/>
    <n v="193.19"/>
    <s v="11"/>
    <s v="6100"/>
    <n v="1945.47"/>
    <n v="193.19"/>
    <s v="CREDITOR"/>
    <n v="0"/>
    <n v="0"/>
    <n v="0"/>
    <n v="0"/>
    <n v="193.19"/>
  </r>
  <r>
    <n v="59744067"/>
    <s v="N"/>
    <n v="21370386"/>
    <s v="3000014111280004"/>
    <s v="CIVIL"/>
    <d v="2023-06-28T00:00:00"/>
    <d v="2023-07-13T19:21:05"/>
    <m/>
    <d v="2023-07-13T00:00:00"/>
    <n v="180"/>
    <n v="6780"/>
    <s v="59744067"/>
    <s v="59744067"/>
    <m/>
    <m/>
    <n v="22784080"/>
    <m/>
    <m/>
    <m/>
    <s v="SOLFIN"/>
    <s v="SOLFIN"/>
    <s v="CCMS"/>
    <n v="21370386"/>
    <n v="6653.93"/>
    <m/>
    <s v="N"/>
    <n v="20"/>
    <d v="2023-07-13T19:21:23"/>
    <s v="Y"/>
    <s v="Attendance upon other"/>
    <s v="Non Family Hourly Rates"/>
    <s v="Profit Cost"/>
    <s v="BH"/>
    <s v="Y"/>
    <n v="35.78"/>
    <n v="7.16"/>
    <x v="11"/>
    <s v="VALIDATED"/>
    <n v="1"/>
    <s v="01.11.80.212.6100.0000"/>
    <n v="35.78"/>
    <s v="11"/>
    <s v="6100"/>
    <n v="1945.47"/>
    <n v="35.78"/>
    <s v="CREDITOR"/>
    <n v="0"/>
    <n v="0"/>
    <n v="0"/>
    <n v="0"/>
    <n v="35.78"/>
  </r>
  <r>
    <n v="61295334"/>
    <s v="N"/>
    <n v="21319064"/>
    <s v="3000015391000002"/>
    <s v="CIVIL"/>
    <d v="2023-06-21T00:00:00"/>
    <d v="2023-07-03T19:01:49"/>
    <m/>
    <d v="2023-07-03T00:00:00"/>
    <n v="180"/>
    <n v="6780"/>
    <s v="61295334"/>
    <s v="61295334"/>
    <m/>
    <m/>
    <n v="22736734"/>
    <m/>
    <m/>
    <m/>
    <s v="SOLFIN"/>
    <s v="SOLFIN"/>
    <s v="CCMS"/>
    <n v="21319064"/>
    <n v="2068.39"/>
    <m/>
    <s v="N"/>
    <n v="22"/>
    <d v="2023-07-03T19:02:09"/>
    <s v="Y"/>
    <s v="Preparation - other"/>
    <s v="Non Family Hourly Rates"/>
    <s v="Profit Cost"/>
    <s v="MC"/>
    <s v="Y"/>
    <n v="7.16"/>
    <n v="1.43"/>
    <x v="3"/>
    <s v="VALIDATED"/>
    <n v="1"/>
    <s v="01.11.80.212.6100.0000"/>
    <n v="7.16"/>
    <s v="11"/>
    <s v="6100"/>
    <n v="1945.47"/>
    <n v="7.16"/>
    <s v="CREDITOR"/>
    <n v="0"/>
    <n v="0"/>
    <n v="0"/>
    <n v="0"/>
    <n v="7.16"/>
  </r>
  <r>
    <n v="59744067"/>
    <s v="N"/>
    <n v="21370386"/>
    <s v="3000014111280004"/>
    <s v="CIVIL"/>
    <d v="2023-06-28T00:00:00"/>
    <d v="2023-07-13T19:21:05"/>
    <m/>
    <d v="2023-07-13T00:00:00"/>
    <n v="180"/>
    <n v="6780"/>
    <s v="59744067"/>
    <s v="59744067"/>
    <m/>
    <m/>
    <n v="22784080"/>
    <m/>
    <m/>
    <m/>
    <s v="SOLFIN"/>
    <s v="SOLFIN"/>
    <s v="CCMS"/>
    <n v="21370386"/>
    <n v="6653.93"/>
    <m/>
    <s v="N"/>
    <n v="29"/>
    <d v="2023-07-13T19:21:23"/>
    <s v="Y"/>
    <s v="Preparation - other"/>
    <s v="Non Family Hourly Rates"/>
    <s v="Profit Cost"/>
    <s v="BH"/>
    <s v="Y"/>
    <n v="443.61"/>
    <n v="88.72"/>
    <x v="11"/>
    <s v="VALIDATED"/>
    <n v="1"/>
    <s v="01.11.80.212.6100.0000"/>
    <n v="443.61"/>
    <s v="11"/>
    <s v="6100"/>
    <n v="1945.47"/>
    <n v="443.61"/>
    <s v="CREDITOR"/>
    <n v="0"/>
    <n v="0"/>
    <n v="0"/>
    <n v="0"/>
    <n v="443.61"/>
  </r>
  <r>
    <n v="59744067"/>
    <s v="N"/>
    <n v="21370386"/>
    <s v="3000014111280004"/>
    <s v="CIVIL"/>
    <d v="2023-06-28T00:00:00"/>
    <d v="2023-07-13T19:21:05"/>
    <m/>
    <d v="2023-07-13T00:00:00"/>
    <n v="180"/>
    <n v="6780"/>
    <s v="59744067"/>
    <s v="59744067"/>
    <m/>
    <m/>
    <n v="22784080"/>
    <m/>
    <m/>
    <m/>
    <s v="SOLFIN"/>
    <s v="SOLFIN"/>
    <s v="CCMS"/>
    <n v="21370386"/>
    <n v="6653.93"/>
    <m/>
    <s v="N"/>
    <n v="80"/>
    <d v="2023-07-13T19:21:23"/>
    <s v="N"/>
    <m/>
    <m/>
    <s v="Overall Adjustment"/>
    <m/>
    <s v="N"/>
    <n v="-2187.13"/>
    <n v="-437.38"/>
    <x v="11"/>
    <s v="VALIDATED"/>
    <n v="1"/>
    <s v="01.11.80.212.6100.0000"/>
    <n v="-2187.13"/>
    <s v="11"/>
    <s v="6100"/>
    <n v="1945.47"/>
    <n v="-2187.13"/>
    <s v="CREDITOR"/>
    <n v="0"/>
    <n v="0"/>
    <n v="0"/>
    <n v="0"/>
    <n v="-2187.13"/>
  </r>
  <r>
    <n v="59744067"/>
    <s v="N"/>
    <n v="21370386"/>
    <s v="3000014111280004"/>
    <s v="CIVIL"/>
    <d v="2023-06-28T00:00:00"/>
    <d v="2023-07-13T19:21:05"/>
    <m/>
    <d v="2023-07-13T00:00:00"/>
    <n v="180"/>
    <n v="6780"/>
    <s v="59744067"/>
    <s v="59744067"/>
    <m/>
    <m/>
    <n v="22784080"/>
    <m/>
    <m/>
    <m/>
    <s v="SOLFIN"/>
    <s v="SOLFIN"/>
    <s v="CCMS"/>
    <n v="21370386"/>
    <n v="6653.93"/>
    <m/>
    <s v="N"/>
    <n v="24"/>
    <d v="2023-07-13T19:21:23"/>
    <s v="Y"/>
    <s v="Preparation - other"/>
    <s v="Non Family Hourly Rates"/>
    <s v="Profit Cost"/>
    <s v="BH"/>
    <s v="Y"/>
    <n v="436.46"/>
    <n v="87.29000000000001"/>
    <x v="11"/>
    <s v="VALIDATED"/>
    <n v="1"/>
    <s v="01.11.80.212.6100.0000"/>
    <n v="436.46"/>
    <s v="11"/>
    <s v="6100"/>
    <n v="1945.47"/>
    <n v="436.46"/>
    <s v="CREDITOR"/>
    <n v="0"/>
    <n v="0"/>
    <n v="0"/>
    <n v="0"/>
    <n v="436.46"/>
  </r>
  <r>
    <n v="59744067"/>
    <s v="N"/>
    <n v="21370386"/>
    <s v="3000014111280004"/>
    <s v="CIVIL"/>
    <d v="2023-06-28T00:00:00"/>
    <d v="2023-07-13T19:21:05"/>
    <m/>
    <d v="2023-07-13T00:00:00"/>
    <n v="180"/>
    <n v="6780"/>
    <s v="59744067"/>
    <s v="59744067"/>
    <m/>
    <m/>
    <n v="22784080"/>
    <m/>
    <m/>
    <m/>
    <s v="SOLFIN"/>
    <s v="SOLFIN"/>
    <s v="CCMS"/>
    <n v="21370386"/>
    <n v="6653.93"/>
    <m/>
    <s v="N"/>
    <n v="14"/>
    <d v="2023-07-13T19:21:23"/>
    <s v="N"/>
    <s v="Preparation - other"/>
    <s v="Non Family Hourly Rates"/>
    <s v="Profit Cost"/>
    <s v="SL"/>
    <s v="N"/>
    <n v="71.55"/>
    <n v="14.31"/>
    <x v="11"/>
    <s v="VALIDATED"/>
    <n v="1"/>
    <s v="01.11.80.212.6100.0000"/>
    <n v="71.55"/>
    <s v="11"/>
    <s v="6100"/>
    <n v="1945.47"/>
    <n v="71.55"/>
    <s v="CREDITOR"/>
    <n v="0"/>
    <n v="0"/>
    <n v="0"/>
    <n v="0"/>
    <n v="71.55"/>
  </r>
  <r>
    <n v="59744067"/>
    <s v="N"/>
    <n v="21370386"/>
    <s v="3000014111280004"/>
    <s v="CIVIL"/>
    <d v="2023-06-28T00:00:00"/>
    <d v="2023-07-13T19:21:05"/>
    <m/>
    <d v="2023-07-13T00:00:00"/>
    <n v="180"/>
    <n v="6780"/>
    <s v="59744067"/>
    <s v="59744067"/>
    <m/>
    <m/>
    <n v="22784080"/>
    <m/>
    <m/>
    <m/>
    <s v="SOLFIN"/>
    <s v="SOLFIN"/>
    <s v="CCMS"/>
    <n v="21370386"/>
    <n v="6653.93"/>
    <m/>
    <s v="N"/>
    <n v="17"/>
    <d v="2023-07-13T19:21:23"/>
    <s v="N"/>
    <s v="Preparation - other"/>
    <s v="Non Family Hourly Rates"/>
    <s v="Profit Cost"/>
    <s v="BH"/>
    <s v="N"/>
    <n v="135.95"/>
    <n v="27.19"/>
    <x v="11"/>
    <s v="VALIDATED"/>
    <n v="1"/>
    <s v="01.11.80.212.6100.0000"/>
    <n v="135.95"/>
    <s v="11"/>
    <s v="6100"/>
    <n v="1945.47"/>
    <n v="135.95"/>
    <s v="CREDITOR"/>
    <n v="0"/>
    <n v="0"/>
    <n v="0"/>
    <n v="0"/>
    <n v="135.95"/>
  </r>
  <r>
    <n v="59744067"/>
    <s v="N"/>
    <n v="21370386"/>
    <s v="3000014111280004"/>
    <s v="CIVIL"/>
    <d v="2023-06-28T00:00:00"/>
    <d v="2023-07-13T19:21:05"/>
    <m/>
    <d v="2023-07-13T00:00:00"/>
    <n v="180"/>
    <n v="6780"/>
    <s v="59744067"/>
    <s v="59744067"/>
    <m/>
    <m/>
    <n v="22784080"/>
    <m/>
    <m/>
    <m/>
    <s v="SOLFIN"/>
    <s v="SOLFIN"/>
    <s v="CCMS"/>
    <n v="21370386"/>
    <n v="6653.93"/>
    <m/>
    <s v="N"/>
    <n v="26"/>
    <d v="2023-07-13T19:21:23"/>
    <s v="Y"/>
    <s v="Preparation - other"/>
    <s v="Non Family Hourly Rates"/>
    <s v="Profit Cost"/>
    <s v="BH"/>
    <s v="Y"/>
    <n v="372.06"/>
    <n v="74.41"/>
    <x v="11"/>
    <s v="VALIDATED"/>
    <n v="1"/>
    <s v="01.11.80.212.6100.0000"/>
    <n v="372.06"/>
    <s v="11"/>
    <s v="6100"/>
    <n v="1945.47"/>
    <n v="372.06"/>
    <s v="CREDITOR"/>
    <n v="0"/>
    <n v="0"/>
    <n v="0"/>
    <n v="0"/>
    <n v="372.06"/>
  </r>
  <r>
    <n v="59744067"/>
    <s v="N"/>
    <n v="21370386"/>
    <s v="3000014111280004"/>
    <s v="CIVIL"/>
    <d v="2023-06-28T00:00:00"/>
    <d v="2023-07-13T19:21:05"/>
    <m/>
    <d v="2023-07-13T00:00:00"/>
    <n v="180"/>
    <n v="6780"/>
    <s v="59744067"/>
    <s v="59744067"/>
    <m/>
    <m/>
    <n v="22784080"/>
    <m/>
    <m/>
    <m/>
    <s v="SOLFIN"/>
    <s v="SOLFIN"/>
    <s v="CCMS"/>
    <n v="21370386"/>
    <n v="6653.93"/>
    <m/>
    <s v="N"/>
    <n v="56"/>
    <d v="2023-07-13T19:21:23"/>
    <s v="Y"/>
    <s v="Preparation - other"/>
    <s v="Non Family Hourly Rates"/>
    <s v="Profit Cost"/>
    <s v="SL"/>
    <s v="Y"/>
    <n v="42.93"/>
    <n v="8.59"/>
    <x v="11"/>
    <s v="VALIDATED"/>
    <n v="1"/>
    <s v="01.11.80.212.6100.0000"/>
    <n v="42.93"/>
    <s v="11"/>
    <s v="6100"/>
    <n v="1945.47"/>
    <n v="42.93"/>
    <s v="CREDITOR"/>
    <n v="0"/>
    <n v="0"/>
    <n v="0"/>
    <n v="0"/>
    <n v="42.93"/>
  </r>
  <r>
    <n v="59744067"/>
    <s v="N"/>
    <n v="21370386"/>
    <s v="3000014111280004"/>
    <s v="CIVIL"/>
    <d v="2023-06-28T00:00:00"/>
    <d v="2023-07-13T19:21:05"/>
    <m/>
    <d v="2023-07-13T00:00:00"/>
    <n v="180"/>
    <n v="6780"/>
    <s v="59744067"/>
    <s v="59744067"/>
    <m/>
    <m/>
    <n v="22784080"/>
    <m/>
    <m/>
    <m/>
    <s v="SOLFIN"/>
    <s v="SOLFIN"/>
    <s v="CCMS"/>
    <n v="21370386"/>
    <n v="6653.93"/>
    <m/>
    <s v="N"/>
    <n v="7"/>
    <d v="2023-07-13T19:21:23"/>
    <s v="N"/>
    <s v="Preparation - other"/>
    <s v="Non Family Hourly Rates"/>
    <s v="Profit Cost"/>
    <s v="SL"/>
    <s v="N"/>
    <n v="71.55"/>
    <n v="14.31"/>
    <x v="11"/>
    <s v="VALIDATED"/>
    <n v="1"/>
    <s v="01.11.80.212.6100.0000"/>
    <n v="71.55"/>
    <s v="11"/>
    <s v="6100"/>
    <n v="1945.47"/>
    <n v="71.55"/>
    <s v="CREDITOR"/>
    <n v="0"/>
    <n v="0"/>
    <n v="0"/>
    <n v="0"/>
    <n v="71.55"/>
  </r>
  <r>
    <n v="59744067"/>
    <s v="N"/>
    <n v="21370386"/>
    <s v="3000014111280004"/>
    <s v="CIVIL"/>
    <d v="2023-06-28T00:00:00"/>
    <d v="2023-07-13T19:21:05"/>
    <m/>
    <d v="2023-07-13T00:00:00"/>
    <n v="180"/>
    <n v="6780"/>
    <s v="59744067"/>
    <s v="59744067"/>
    <m/>
    <m/>
    <n v="22784080"/>
    <m/>
    <m/>
    <m/>
    <s v="SOLFIN"/>
    <s v="SOLFIN"/>
    <s v="CCMS"/>
    <n v="21370386"/>
    <n v="6653.93"/>
    <m/>
    <s v="N"/>
    <n v="78"/>
    <d v="2023-07-13T19:21:23"/>
    <s v="Y"/>
    <s v="Routine Telephone Call"/>
    <s v="Non Family Hourly Rates"/>
    <s v="Profit Cost"/>
    <s v="SL"/>
    <s v="Y"/>
    <n v="11.22"/>
    <n v="2.24"/>
    <x v="11"/>
    <s v="VALIDATED"/>
    <n v="1"/>
    <s v="01.11.80.212.6100.0000"/>
    <n v="11.22"/>
    <s v="11"/>
    <s v="6100"/>
    <n v="1945.47"/>
    <n v="11.22"/>
    <s v="CREDITOR"/>
    <n v="0"/>
    <n v="0"/>
    <n v="0"/>
    <n v="0"/>
    <n v="11.22"/>
  </r>
  <r>
    <n v="59744067"/>
    <s v="N"/>
    <n v="21370386"/>
    <s v="3000014111280004"/>
    <s v="CIVIL"/>
    <d v="2023-06-28T00:00:00"/>
    <d v="2023-07-13T19:21:05"/>
    <m/>
    <d v="2023-07-13T00:00:00"/>
    <n v="180"/>
    <n v="6780"/>
    <s v="59744067"/>
    <s v="59744067"/>
    <m/>
    <m/>
    <n v="22784080"/>
    <m/>
    <m/>
    <m/>
    <s v="SOLFIN"/>
    <s v="SOLFIN"/>
    <s v="CCMS"/>
    <n v="21370386"/>
    <n v="6653.93"/>
    <m/>
    <s v="N"/>
    <n v="23"/>
    <d v="2023-07-13T19:21:23"/>
    <s v="Y"/>
    <s v="Preparation - other"/>
    <s v="Non Family Hourly Rates"/>
    <s v="Profit Cost"/>
    <s v="SL"/>
    <s v="Y"/>
    <n v="35.78"/>
    <n v="7.16"/>
    <x v="11"/>
    <s v="VALIDATED"/>
    <n v="1"/>
    <s v="01.11.80.212.6100.0000"/>
    <n v="35.78"/>
    <s v="11"/>
    <s v="6100"/>
    <n v="1945.47"/>
    <n v="35.78"/>
    <s v="CREDITOR"/>
    <n v="0"/>
    <n v="0"/>
    <n v="0"/>
    <n v="0"/>
    <n v="35.78"/>
  </r>
  <r>
    <n v="61295334"/>
    <s v="N"/>
    <n v="21319064"/>
    <s v="3000015391000002"/>
    <s v="CIVIL"/>
    <d v="2023-06-21T00:00:00"/>
    <d v="2023-07-03T19:01:49"/>
    <m/>
    <d v="2023-07-03T00:00:00"/>
    <n v="180"/>
    <n v="6780"/>
    <s v="61295334"/>
    <s v="61295334"/>
    <m/>
    <m/>
    <n v="22736734"/>
    <m/>
    <m/>
    <m/>
    <s v="SOLFIN"/>
    <s v="SOLFIN"/>
    <s v="CCMS"/>
    <n v="21319064"/>
    <n v="2068.39"/>
    <m/>
    <s v="N"/>
    <n v="16"/>
    <d v="2023-07-03T19:02:09"/>
    <s v="Y"/>
    <s v="Preparation - other"/>
    <s v="Non Family Hourly Rates"/>
    <s v="Profit Cost"/>
    <s v="MC"/>
    <s v="Y"/>
    <n v="107.33"/>
    <n v="21.47"/>
    <x v="3"/>
    <s v="VALIDATED"/>
    <n v="1"/>
    <s v="01.11.80.212.6100.0000"/>
    <n v="107.33"/>
    <s v="11"/>
    <s v="6100"/>
    <n v="1945.47"/>
    <n v="107.33"/>
    <s v="CREDITOR"/>
    <n v="0"/>
    <n v="0"/>
    <n v="0"/>
    <n v="0"/>
    <n v="107.33"/>
  </r>
  <r>
    <n v="61295334"/>
    <s v="N"/>
    <n v="21319064"/>
    <s v="3000015391000002"/>
    <s v="CIVIL"/>
    <d v="2023-06-21T00:00:00"/>
    <d v="2023-07-03T19:01:49"/>
    <m/>
    <d v="2023-07-03T00:00:00"/>
    <n v="180"/>
    <n v="6780"/>
    <s v="61295334"/>
    <s v="61295334"/>
    <m/>
    <m/>
    <n v="22736734"/>
    <m/>
    <m/>
    <m/>
    <s v="SOLFIN"/>
    <s v="SOLFIN"/>
    <s v="CCMS"/>
    <n v="21319064"/>
    <n v="2068.39"/>
    <m/>
    <s v="N"/>
    <n v="5"/>
    <d v="2023-07-03T19:02:09"/>
    <s v="Y"/>
    <s v="Preparation - other"/>
    <s v="Non Family Hourly Rates"/>
    <s v="Profit Cost"/>
    <s v="MC"/>
    <s v="Y"/>
    <n v="53.67"/>
    <n v="10.73"/>
    <x v="3"/>
    <s v="VALIDATED"/>
    <n v="1"/>
    <s v="01.11.80.212.6100.0000"/>
    <n v="53.67"/>
    <s v="11"/>
    <s v="6100"/>
    <n v="1945.47"/>
    <n v="53.67"/>
    <s v="CREDITOR"/>
    <n v="0"/>
    <n v="0"/>
    <n v="0"/>
    <n v="0"/>
    <n v="53.67"/>
  </r>
  <r>
    <n v="61295334"/>
    <s v="N"/>
    <n v="21319064"/>
    <s v="3000015391000002"/>
    <s v="CIVIL"/>
    <d v="2023-06-21T00:00:00"/>
    <d v="2023-07-03T19:01:49"/>
    <m/>
    <d v="2023-07-03T00:00:00"/>
    <n v="180"/>
    <n v="6780"/>
    <s v="61295334"/>
    <s v="61295334"/>
    <m/>
    <m/>
    <n v="22736734"/>
    <m/>
    <m/>
    <m/>
    <s v="SOLFIN"/>
    <s v="SOLFIN"/>
    <s v="CCMS"/>
    <n v="21319064"/>
    <n v="2068.39"/>
    <m/>
    <s v="N"/>
    <n v="11"/>
    <d v="2023-07-03T19:02:09"/>
    <s v="Y"/>
    <s v="Preparation - drafting statement"/>
    <s v="Non Family Hourly Rates"/>
    <s v="Profit Cost"/>
    <s v="MC"/>
    <s v="Y"/>
    <n v="75.14"/>
    <n v="15.03"/>
    <x v="3"/>
    <s v="VALIDATED"/>
    <n v="1"/>
    <s v="01.11.80.212.6100.0000"/>
    <n v="75.14"/>
    <s v="11"/>
    <s v="6100"/>
    <n v="1945.47"/>
    <n v="75.14"/>
    <s v="CREDITOR"/>
    <n v="0"/>
    <n v="0"/>
    <n v="0"/>
    <n v="0"/>
    <n v="75.14"/>
  </r>
  <r>
    <n v="59744067"/>
    <s v="N"/>
    <n v="21370386"/>
    <s v="3000014111280004"/>
    <s v="CIVIL"/>
    <d v="2023-06-28T00:00:00"/>
    <d v="2023-07-13T19:21:05"/>
    <m/>
    <d v="2023-07-13T00:00:00"/>
    <n v="180"/>
    <n v="6780"/>
    <s v="59744067"/>
    <s v="59744067"/>
    <m/>
    <m/>
    <n v="22784080"/>
    <m/>
    <m/>
    <m/>
    <s v="SOLFIN"/>
    <s v="SOLFIN"/>
    <s v="CCMS"/>
    <n v="21370386"/>
    <n v="6653.93"/>
    <m/>
    <s v="N"/>
    <n v="13"/>
    <d v="2023-07-13T19:21:23"/>
    <s v="N"/>
    <s v="Preparation - other"/>
    <s v="Non Family Hourly Rates"/>
    <s v="Profit Cost"/>
    <s v="BH"/>
    <s v="N"/>
    <n v="243.27"/>
    <n v="48.65"/>
    <x v="11"/>
    <s v="VALIDATED"/>
    <n v="1"/>
    <s v="01.11.80.212.6100.0000"/>
    <n v="243.27"/>
    <s v="11"/>
    <s v="6100"/>
    <n v="1945.47"/>
    <n v="243.27"/>
    <s v="CREDITOR"/>
    <n v="0"/>
    <n v="0"/>
    <n v="0"/>
    <n v="0"/>
    <n v="243.27"/>
  </r>
  <r>
    <n v="59744067"/>
    <s v="N"/>
    <n v="21370386"/>
    <s v="3000014111280004"/>
    <s v="CIVIL"/>
    <d v="2023-06-28T00:00:00"/>
    <d v="2023-07-13T19:21:05"/>
    <m/>
    <d v="2023-07-13T00:00:00"/>
    <n v="180"/>
    <n v="6780"/>
    <s v="59744067"/>
    <s v="59744067"/>
    <m/>
    <m/>
    <n v="22784080"/>
    <m/>
    <m/>
    <m/>
    <s v="SOLFIN"/>
    <s v="SOLFIN"/>
    <s v="CCMS"/>
    <n v="21370386"/>
    <n v="6653.93"/>
    <m/>
    <s v="N"/>
    <n v="68"/>
    <d v="2023-07-13T19:21:23"/>
    <s v="Y"/>
    <s v="Preparation - other"/>
    <s v="Non Family Hourly Rates"/>
    <s v="Profit Cost"/>
    <s v="BH"/>
    <s v="Y"/>
    <n v="14.31"/>
    <n v="2.86"/>
    <x v="11"/>
    <s v="VALIDATED"/>
    <n v="1"/>
    <s v="01.11.80.212.6100.0000"/>
    <n v="14.31"/>
    <s v="11"/>
    <s v="6100"/>
    <n v="1945.47"/>
    <n v="14.31"/>
    <s v="CREDITOR"/>
    <n v="0"/>
    <n v="0"/>
    <n v="0"/>
    <n v="0"/>
    <n v="14.31"/>
  </r>
  <r>
    <n v="59744067"/>
    <s v="N"/>
    <n v="21370386"/>
    <s v="3000014111280004"/>
    <s v="CIVIL"/>
    <d v="2023-06-28T00:00:00"/>
    <d v="2023-07-13T19:21:05"/>
    <m/>
    <d v="2023-07-13T00:00:00"/>
    <n v="180"/>
    <n v="6780"/>
    <s v="59744067"/>
    <s v="59744067"/>
    <m/>
    <m/>
    <n v="22784080"/>
    <m/>
    <m/>
    <m/>
    <s v="SOLFIN"/>
    <s v="SOLFIN"/>
    <s v="CCMS"/>
    <n v="21370386"/>
    <n v="6653.93"/>
    <m/>
    <s v="N"/>
    <n v="70"/>
    <d v="2023-07-13T19:21:23"/>
    <s v="Y"/>
    <s v="Preparation - drafting application"/>
    <s v="Non Family Hourly Rates"/>
    <s v="Profit Cost"/>
    <s v="SL"/>
    <s v="Y"/>
    <n v="50.09"/>
    <n v="10.02"/>
    <x v="11"/>
    <s v="VALIDATED"/>
    <n v="1"/>
    <s v="01.11.80.212.6100.0000"/>
    <n v="50.09"/>
    <s v="11"/>
    <s v="6100"/>
    <n v="1945.47"/>
    <n v="50.09"/>
    <s v="CREDITOR"/>
    <n v="0"/>
    <n v="0"/>
    <n v="0"/>
    <n v="0"/>
    <n v="50.09"/>
  </r>
  <r>
    <n v="59744067"/>
    <s v="N"/>
    <n v="21370386"/>
    <s v="3000014111280004"/>
    <s v="CIVIL"/>
    <d v="2023-06-28T00:00:00"/>
    <d v="2023-07-13T19:21:05"/>
    <m/>
    <d v="2023-07-13T00:00:00"/>
    <n v="180"/>
    <n v="6780"/>
    <s v="59744067"/>
    <s v="59744067"/>
    <m/>
    <m/>
    <n v="22784080"/>
    <m/>
    <m/>
    <m/>
    <s v="SOLFIN"/>
    <s v="SOLFIN"/>
    <s v="CCMS"/>
    <n v="21370386"/>
    <n v="6653.93"/>
    <m/>
    <s v="N"/>
    <n v="74"/>
    <d v="2023-07-13T19:21:23"/>
    <s v="Y"/>
    <s v="Preparation - other"/>
    <s v="Non Family Hourly Rates"/>
    <s v="Profit Cost"/>
    <s v="SL"/>
    <s v="Y"/>
    <n v="14.31"/>
    <n v="2.86"/>
    <x v="11"/>
    <s v="VALIDATED"/>
    <n v="1"/>
    <s v="01.11.80.212.6100.0000"/>
    <n v="14.31"/>
    <s v="11"/>
    <s v="6100"/>
    <n v="1945.47"/>
    <n v="14.31"/>
    <s v="CREDITOR"/>
    <n v="0"/>
    <n v="0"/>
    <n v="0"/>
    <n v="0"/>
    <n v="14.31"/>
  </r>
  <r>
    <n v="59744067"/>
    <s v="N"/>
    <n v="21370386"/>
    <s v="3000014111280004"/>
    <s v="CIVIL"/>
    <d v="2023-06-28T00:00:00"/>
    <d v="2023-07-13T19:21:05"/>
    <m/>
    <d v="2023-07-13T00:00:00"/>
    <n v="180"/>
    <n v="6780"/>
    <s v="59744067"/>
    <s v="59744067"/>
    <m/>
    <m/>
    <n v="22784080"/>
    <m/>
    <m/>
    <m/>
    <s v="SOLFIN"/>
    <s v="SOLFIN"/>
    <s v="CCMS"/>
    <n v="21370386"/>
    <n v="6653.93"/>
    <m/>
    <s v="N"/>
    <n v="51"/>
    <d v="2023-07-13T19:21:23"/>
    <s v="Y"/>
    <s v="Preparation - other"/>
    <s v="Non Family Hourly Rates"/>
    <s v="Profit Cost"/>
    <s v="SL"/>
    <s v="Y"/>
    <n v="21.47"/>
    <n v="4.29"/>
    <x v="11"/>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1"/>
    <d v="2023-07-13T19:21:23"/>
    <s v="N"/>
    <s v="Preparation - other"/>
    <s v="Non Family Hourly Rates"/>
    <s v="Profit Cost"/>
    <s v="BH"/>
    <s v="N"/>
    <n v="28.62"/>
    <n v="5.72"/>
    <x v="11"/>
    <s v="VALIDATED"/>
    <n v="1"/>
    <s v="01.11.80.212.6100.0000"/>
    <n v="28.62"/>
    <s v="11"/>
    <s v="6100"/>
    <n v="1945.47"/>
    <n v="28.62"/>
    <s v="CREDITOR"/>
    <n v="0"/>
    <n v="0"/>
    <n v="0"/>
    <n v="0"/>
    <n v="28.62"/>
  </r>
  <r>
    <n v="61295334"/>
    <s v="N"/>
    <n v="21319064"/>
    <s v="3000015391000002"/>
    <s v="CIVIL"/>
    <d v="2023-06-21T00:00:00"/>
    <d v="2023-07-03T19:01:49"/>
    <m/>
    <d v="2023-07-03T00:00:00"/>
    <n v="180"/>
    <n v="6780"/>
    <s v="61295334"/>
    <s v="61295334"/>
    <m/>
    <m/>
    <n v="22736734"/>
    <m/>
    <m/>
    <m/>
    <s v="SOLFIN"/>
    <s v="SOLFIN"/>
    <s v="CCMS"/>
    <n v="21319064"/>
    <n v="2068.39"/>
    <m/>
    <s v="N"/>
    <n v="25"/>
    <d v="2023-07-03T19:02:09"/>
    <s v="Y"/>
    <s v="Routine Telephone Call"/>
    <s v="Non Family Hourly Rates"/>
    <s v="Profit Cost"/>
    <s v="MC"/>
    <s v="Y"/>
    <n v="14.96"/>
    <n v="2.99"/>
    <x v="3"/>
    <s v="VALIDATED"/>
    <n v="1"/>
    <s v="01.11.80.212.6100.0000"/>
    <n v="14.96"/>
    <s v="11"/>
    <s v="6100"/>
    <n v="1945.47"/>
    <n v="14.96"/>
    <s v="CREDITOR"/>
    <n v="0"/>
    <n v="0"/>
    <n v="0"/>
    <n v="0"/>
    <n v="14.96"/>
  </r>
  <r>
    <n v="59744067"/>
    <s v="N"/>
    <n v="21370386"/>
    <s v="3000014111280004"/>
    <s v="CIVIL"/>
    <d v="2023-06-28T00:00:00"/>
    <d v="2023-07-13T19:21:05"/>
    <m/>
    <d v="2023-07-13T00:00:00"/>
    <n v="180"/>
    <n v="6780"/>
    <s v="59744067"/>
    <s v="59744067"/>
    <m/>
    <m/>
    <n v="22784080"/>
    <m/>
    <m/>
    <m/>
    <s v="SOLFIN"/>
    <s v="SOLFIN"/>
    <s v="CCMS"/>
    <n v="21370386"/>
    <n v="6653.93"/>
    <m/>
    <s v="N"/>
    <n v="25"/>
    <d v="2023-07-13T19:21:23"/>
    <s v="Y"/>
    <s v="Preparation - other"/>
    <s v="Non Family Hourly Rates"/>
    <s v="Profit Cost"/>
    <s v="BH"/>
    <s v="Y"/>
    <n v="28.62"/>
    <n v="5.72"/>
    <x v="11"/>
    <s v="VALIDATED"/>
    <n v="1"/>
    <s v="01.11.80.212.6100.0000"/>
    <n v="28.62"/>
    <s v="11"/>
    <s v="6100"/>
    <n v="1945.47"/>
    <n v="28.62"/>
    <s v="CREDITOR"/>
    <n v="0"/>
    <n v="0"/>
    <n v="0"/>
    <n v="0"/>
    <n v="28.62"/>
  </r>
  <r>
    <n v="59744067"/>
    <s v="N"/>
    <n v="21370386"/>
    <s v="3000014111280004"/>
    <s v="CIVIL"/>
    <d v="2023-06-28T00:00:00"/>
    <d v="2023-07-13T19:21:05"/>
    <m/>
    <d v="2023-07-13T00:00:00"/>
    <n v="180"/>
    <n v="6780"/>
    <s v="59744067"/>
    <s v="59744067"/>
    <m/>
    <m/>
    <n v="22784080"/>
    <m/>
    <m/>
    <m/>
    <s v="SOLFIN"/>
    <s v="SOLFIN"/>
    <s v="CCMS"/>
    <n v="21370386"/>
    <n v="6653.93"/>
    <m/>
    <s v="N"/>
    <n v="61"/>
    <d v="2023-07-13T19:21:23"/>
    <s v="Y"/>
    <s v="Preparation - other"/>
    <s v="Non Family Hourly Rates"/>
    <s v="Profit Cost"/>
    <s v="SL"/>
    <s v="Y"/>
    <n v="28.62"/>
    <n v="5.72"/>
    <x v="11"/>
    <s v="VALIDATED"/>
    <n v="1"/>
    <s v="01.11.80.212.6100.0000"/>
    <n v="28.62"/>
    <s v="11"/>
    <s v="6100"/>
    <n v="1945.47"/>
    <n v="28.62"/>
    <s v="CREDITOR"/>
    <n v="0"/>
    <n v="0"/>
    <n v="0"/>
    <n v="0"/>
    <n v="28.62"/>
  </r>
  <r>
    <n v="59744067"/>
    <s v="N"/>
    <n v="21370386"/>
    <s v="3000014111280004"/>
    <s v="CIVIL"/>
    <d v="2023-06-28T00:00:00"/>
    <d v="2023-07-13T19:21:05"/>
    <m/>
    <d v="2023-07-13T00:00:00"/>
    <n v="180"/>
    <n v="6780"/>
    <s v="59744067"/>
    <s v="59744067"/>
    <m/>
    <m/>
    <n v="22784080"/>
    <m/>
    <m/>
    <m/>
    <s v="SOLFIN"/>
    <s v="SOLFIN"/>
    <s v="CCMS"/>
    <n v="21370386"/>
    <n v="6653.93"/>
    <m/>
    <s v="N"/>
    <n v="66"/>
    <d v="2023-07-13T19:21:23"/>
    <s v="Y"/>
    <s v="Preparation - other"/>
    <s v="Non Family Hourly Rates"/>
    <s v="Profit Cost"/>
    <s v="SL"/>
    <s v="Y"/>
    <n v="14.31"/>
    <n v="2.86"/>
    <x v="11"/>
    <s v="VALIDATED"/>
    <n v="1"/>
    <s v="01.11.80.212.6100.0000"/>
    <n v="14.31"/>
    <s v="11"/>
    <s v="6100"/>
    <n v="1945.47"/>
    <n v="14.31"/>
    <s v="CREDITOR"/>
    <n v="0"/>
    <n v="0"/>
    <n v="0"/>
    <n v="0"/>
    <n v="14.31"/>
  </r>
  <r>
    <n v="61295334"/>
    <s v="N"/>
    <n v="21319064"/>
    <s v="3000015391000002"/>
    <s v="CIVIL"/>
    <d v="2023-06-21T00:00:00"/>
    <d v="2023-07-03T19:01:49"/>
    <m/>
    <d v="2023-07-03T00:00:00"/>
    <n v="180"/>
    <n v="6780"/>
    <s v="61295334"/>
    <s v="61295334"/>
    <m/>
    <m/>
    <n v="22736734"/>
    <m/>
    <m/>
    <m/>
    <s v="SOLFIN"/>
    <s v="SOLFIN"/>
    <s v="CCMS"/>
    <n v="21319064"/>
    <n v="2068.39"/>
    <m/>
    <s v="N"/>
    <n v="9"/>
    <d v="2023-07-03T19:02:09"/>
    <s v="Y"/>
    <s v="Preparation - drafting statement"/>
    <s v="Non Family Hourly Rates"/>
    <s v="Profit Cost"/>
    <s v="MC"/>
    <s v="Y"/>
    <n v="161"/>
    <n v="32.2"/>
    <x v="3"/>
    <s v="VALIDATED"/>
    <n v="1"/>
    <s v="01.11.80.212.6100.0000"/>
    <n v="161"/>
    <s v="11"/>
    <s v="6100"/>
    <n v="1945.47"/>
    <n v="161"/>
    <s v="CREDITOR"/>
    <n v="0"/>
    <n v="0"/>
    <n v="0"/>
    <n v="0"/>
    <n v="161"/>
  </r>
  <r>
    <n v="61295334"/>
    <s v="N"/>
    <n v="21319064"/>
    <s v="3000015391000002"/>
    <s v="CIVIL"/>
    <d v="2023-06-21T00:00:00"/>
    <d v="2023-07-03T19:01:49"/>
    <m/>
    <d v="2023-07-03T00:00:00"/>
    <n v="180"/>
    <n v="6780"/>
    <s v="61295334"/>
    <s v="61295334"/>
    <m/>
    <m/>
    <n v="22736734"/>
    <m/>
    <m/>
    <m/>
    <s v="SOLFIN"/>
    <s v="SOLFIN"/>
    <s v="CCMS"/>
    <n v="21319064"/>
    <n v="2068.39"/>
    <m/>
    <s v="N"/>
    <n v="12"/>
    <d v="2023-07-03T19:02:09"/>
    <s v="Y"/>
    <s v="Preparation - drafting statement"/>
    <s v="Non Family Hourly Rates"/>
    <s v="Profit Cost"/>
    <s v="MC"/>
    <s v="Y"/>
    <n v="107.33"/>
    <n v="21.47"/>
    <x v="3"/>
    <s v="VALIDATED"/>
    <n v="1"/>
    <s v="01.11.80.212.6100.0000"/>
    <n v="107.33"/>
    <s v="11"/>
    <s v="6100"/>
    <n v="1945.47"/>
    <n v="107.33"/>
    <s v="CREDITOR"/>
    <n v="0"/>
    <n v="0"/>
    <n v="0"/>
    <n v="0"/>
    <n v="107.33"/>
  </r>
  <r>
    <n v="59744067"/>
    <s v="N"/>
    <n v="21370386"/>
    <s v="3000014111280004"/>
    <s v="CIVIL"/>
    <d v="2023-06-28T00:00:00"/>
    <d v="2023-07-13T19:21:05"/>
    <m/>
    <d v="2023-07-13T00:00:00"/>
    <n v="180"/>
    <n v="6780"/>
    <s v="59744067"/>
    <s v="59744067"/>
    <m/>
    <m/>
    <n v="22784080"/>
    <m/>
    <m/>
    <m/>
    <s v="SOLFIN"/>
    <s v="SOLFIN"/>
    <s v="CCMS"/>
    <n v="21370386"/>
    <n v="6653.93"/>
    <m/>
    <s v="N"/>
    <n v="73"/>
    <d v="2023-07-13T19:21:23"/>
    <s v="Y"/>
    <s v="Preparation - other"/>
    <s v="Non Family Hourly Rates"/>
    <s v="Profit Cost"/>
    <s v="SL"/>
    <s v="Y"/>
    <n v="100.17"/>
    <n v="20.03"/>
    <x v="11"/>
    <s v="VALIDATED"/>
    <n v="1"/>
    <s v="01.11.80.212.6100.0000"/>
    <n v="100.17"/>
    <s v="11"/>
    <s v="6100"/>
    <n v="1945.47"/>
    <n v="100.17"/>
    <s v="CREDITOR"/>
    <n v="0"/>
    <n v="0"/>
    <n v="0"/>
    <n v="0"/>
    <n v="100.17"/>
  </r>
  <r>
    <n v="61295334"/>
    <s v="N"/>
    <n v="21319064"/>
    <s v="3000015391000002"/>
    <s v="CIVIL"/>
    <d v="2023-06-21T00:00:00"/>
    <d v="2023-07-03T19:01:49"/>
    <m/>
    <d v="2023-07-03T00:00:00"/>
    <n v="180"/>
    <n v="6780"/>
    <s v="61295334"/>
    <s v="61295334"/>
    <m/>
    <m/>
    <n v="22736734"/>
    <m/>
    <m/>
    <m/>
    <s v="SOLFIN"/>
    <s v="SOLFIN"/>
    <s v="CCMS"/>
    <n v="21319064"/>
    <n v="2068.39"/>
    <m/>
    <s v="N"/>
    <n v="24"/>
    <d v="2023-07-03T19:02:09"/>
    <s v="Y"/>
    <s v="Preparation - other"/>
    <s v="Non Family Hourly Rates"/>
    <s v="Profit Cost"/>
    <s v="MC"/>
    <s v="Y"/>
    <n v="21.47"/>
    <n v="4.29"/>
    <x v="3"/>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33"/>
    <d v="2023-07-13T19:21:23"/>
    <s v="Y"/>
    <s v="Report - Counsel's opinion"/>
    <s v="Non Family Hourly Rates"/>
    <s v="Profit Cost"/>
    <s v="SL"/>
    <s v="Y"/>
    <n v="107.33"/>
    <n v="21.46"/>
    <x v="11"/>
    <s v="VALIDATED"/>
    <n v="1"/>
    <s v="01.11.80.212.6100.0000"/>
    <n v="107.33"/>
    <s v="11"/>
    <s v="6100"/>
    <n v="1945.47"/>
    <n v="107.33"/>
    <s v="CREDITOR"/>
    <n v="0"/>
    <n v="0"/>
    <n v="0"/>
    <n v="0"/>
    <n v="107.33"/>
  </r>
  <r>
    <n v="61295334"/>
    <s v="N"/>
    <n v="21319064"/>
    <s v="3000015391000002"/>
    <s v="CIVIL"/>
    <d v="2023-06-21T00:00:00"/>
    <d v="2023-07-03T19:01:49"/>
    <m/>
    <d v="2023-07-03T00:00:00"/>
    <n v="180"/>
    <n v="6780"/>
    <s v="61295334"/>
    <s v="61295334"/>
    <m/>
    <m/>
    <n v="22736734"/>
    <m/>
    <m/>
    <m/>
    <s v="SOLFIN"/>
    <s v="SOLFIN"/>
    <s v="CCMS"/>
    <n v="21319064"/>
    <n v="2068.39"/>
    <m/>
    <s v="N"/>
    <n v="6"/>
    <d v="2023-07-03T19:02:09"/>
    <s v="Y"/>
    <s v="Attendance upon client"/>
    <s v="Non Family Hourly Rates"/>
    <s v="Profit Cost"/>
    <s v="MC"/>
    <s v="Y"/>
    <n v="107.33"/>
    <n v="21.47"/>
    <x v="3"/>
    <s v="VALIDATED"/>
    <n v="1"/>
    <s v="01.11.80.212.6100.0000"/>
    <n v="107.33"/>
    <s v="11"/>
    <s v="6100"/>
    <n v="1945.47"/>
    <n v="107.33"/>
    <s v="CREDITOR"/>
    <n v="0"/>
    <n v="0"/>
    <n v="0"/>
    <n v="0"/>
    <n v="107.33"/>
  </r>
  <r>
    <n v="59744067"/>
    <s v="N"/>
    <n v="21370386"/>
    <s v="3000014111280004"/>
    <s v="CIVIL"/>
    <d v="2023-06-28T00:00:00"/>
    <d v="2023-07-13T19:21:05"/>
    <m/>
    <d v="2023-07-13T00:00:00"/>
    <n v="180"/>
    <n v="6780"/>
    <s v="59744067"/>
    <s v="59744067"/>
    <m/>
    <m/>
    <n v="22784080"/>
    <m/>
    <m/>
    <m/>
    <s v="SOLFIN"/>
    <s v="SOLFIN"/>
    <s v="CCMS"/>
    <n v="21370386"/>
    <n v="6653.93"/>
    <m/>
    <s v="N"/>
    <n v="48"/>
    <d v="2023-07-13T19:21:23"/>
    <s v="Y"/>
    <s v="Preparation - other"/>
    <s v="Non Family Hourly Rates"/>
    <s v="Profit Cost"/>
    <s v="BH"/>
    <s v="Y"/>
    <n v="42.93"/>
    <n v="8.59"/>
    <x v="11"/>
    <s v="VALIDATED"/>
    <n v="1"/>
    <s v="01.11.80.212.6100.0000"/>
    <n v="42.93"/>
    <s v="11"/>
    <s v="6100"/>
    <n v="1945.47"/>
    <n v="42.93"/>
    <s v="CREDITOR"/>
    <n v="0"/>
    <n v="0"/>
    <n v="0"/>
    <n v="0"/>
    <n v="42.93"/>
  </r>
  <r>
    <n v="61295334"/>
    <s v="N"/>
    <n v="21319064"/>
    <s v="3000015391000002"/>
    <s v="CIVIL"/>
    <d v="2023-06-21T00:00:00"/>
    <d v="2023-07-03T19:01:49"/>
    <m/>
    <d v="2023-07-03T00:00:00"/>
    <n v="180"/>
    <n v="6780"/>
    <s v="61295334"/>
    <s v="61295334"/>
    <m/>
    <m/>
    <n v="22736734"/>
    <m/>
    <m/>
    <m/>
    <s v="SOLFIN"/>
    <s v="SOLFIN"/>
    <s v="CCMS"/>
    <n v="21319064"/>
    <n v="2068.39"/>
    <m/>
    <s v="N"/>
    <n v="15"/>
    <d v="2023-07-03T19:02:09"/>
    <s v="Y"/>
    <s v="Preparation - other"/>
    <s v="Non Family Hourly Rates"/>
    <s v="Profit Cost"/>
    <s v="MC"/>
    <s v="Y"/>
    <n v="42.93"/>
    <n v="8.59"/>
    <x v="3"/>
    <s v="VALIDATED"/>
    <n v="1"/>
    <s v="01.11.80.212.6100.0000"/>
    <n v="42.93"/>
    <s v="11"/>
    <s v="6100"/>
    <n v="1945.47"/>
    <n v="42.93"/>
    <s v="CREDITOR"/>
    <n v="0"/>
    <n v="0"/>
    <n v="0"/>
    <n v="0"/>
    <n v="42.93"/>
  </r>
  <r>
    <n v="59744067"/>
    <s v="N"/>
    <n v="21370386"/>
    <s v="3000014111280004"/>
    <s v="CIVIL"/>
    <d v="2023-06-28T00:00:00"/>
    <d v="2023-07-13T19:21:05"/>
    <m/>
    <d v="2023-07-13T00:00:00"/>
    <n v="180"/>
    <n v="6780"/>
    <s v="59744067"/>
    <s v="59744067"/>
    <m/>
    <m/>
    <n v="22784080"/>
    <m/>
    <m/>
    <m/>
    <s v="SOLFIN"/>
    <s v="SOLFIN"/>
    <s v="CCMS"/>
    <n v="21370386"/>
    <n v="6653.93"/>
    <m/>
    <s v="N"/>
    <n v="52"/>
    <d v="2023-07-13T19:21:23"/>
    <s v="Y"/>
    <s v="Preparation - other"/>
    <s v="Non Family Hourly Rates"/>
    <s v="Profit Cost"/>
    <s v="SL"/>
    <s v="Y"/>
    <n v="100.17"/>
    <n v="20.03"/>
    <x v="11"/>
    <s v="VALIDATED"/>
    <n v="1"/>
    <s v="01.11.80.212.6100.0000"/>
    <n v="100.17"/>
    <s v="11"/>
    <s v="6100"/>
    <n v="1945.47"/>
    <n v="100.17"/>
    <s v="CREDITOR"/>
    <n v="0"/>
    <n v="0"/>
    <n v="0"/>
    <n v="0"/>
    <n v="100.17"/>
  </r>
  <r>
    <n v="61295334"/>
    <s v="N"/>
    <n v="21319064"/>
    <s v="3000015391000002"/>
    <s v="CIVIL"/>
    <d v="2023-06-21T00:00:00"/>
    <d v="2023-07-03T19:01:49"/>
    <m/>
    <d v="2023-07-03T00:00:00"/>
    <n v="180"/>
    <n v="6780"/>
    <s v="61295334"/>
    <s v="61295334"/>
    <m/>
    <m/>
    <n v="22736734"/>
    <m/>
    <m/>
    <m/>
    <s v="SOLFIN"/>
    <s v="SOLFIN"/>
    <s v="CCMS"/>
    <n v="21319064"/>
    <n v="2068.39"/>
    <m/>
    <s v="N"/>
    <n v="19"/>
    <d v="2023-07-03T19:02:09"/>
    <s v="Y"/>
    <s v="Preparation - drafting attendance n"/>
    <s v="Non Family Hourly Rates"/>
    <s v="Profit Cost"/>
    <s v="MC"/>
    <s v="Y"/>
    <n v="7.16"/>
    <n v="1.43"/>
    <x v="3"/>
    <s v="VALIDATED"/>
    <n v="1"/>
    <s v="01.11.80.212.6100.0000"/>
    <n v="7.16"/>
    <s v="11"/>
    <s v="6100"/>
    <n v="1945.47"/>
    <n v="7.16"/>
    <s v="CREDITOR"/>
    <n v="0"/>
    <n v="0"/>
    <n v="0"/>
    <n v="0"/>
    <n v="7.16"/>
  </r>
  <r>
    <n v="59744067"/>
    <s v="N"/>
    <n v="21370386"/>
    <s v="3000014111280004"/>
    <s v="CIVIL"/>
    <d v="2023-06-28T00:00:00"/>
    <d v="2023-07-13T19:21:05"/>
    <m/>
    <d v="2023-07-13T00:00:00"/>
    <n v="180"/>
    <n v="6780"/>
    <s v="59744067"/>
    <s v="59744067"/>
    <m/>
    <m/>
    <n v="22784080"/>
    <m/>
    <m/>
    <m/>
    <s v="SOLFIN"/>
    <s v="SOLFIN"/>
    <s v="CCMS"/>
    <n v="21370386"/>
    <n v="6653.93"/>
    <m/>
    <s v="N"/>
    <n v="69"/>
    <d v="2023-07-13T19:21:23"/>
    <s v="Y"/>
    <s v="Preparation - other"/>
    <s v="Non Family Hourly Rates"/>
    <s v="Profit Cost"/>
    <s v="SL"/>
    <s v="Y"/>
    <n v="28.62"/>
    <n v="5.72"/>
    <x v="11"/>
    <s v="VALIDATED"/>
    <n v="1"/>
    <s v="01.11.80.212.6100.0000"/>
    <n v="28.62"/>
    <s v="11"/>
    <s v="6100"/>
    <n v="1945.47"/>
    <n v="28.62"/>
    <s v="CREDITOR"/>
    <n v="0"/>
    <n v="0"/>
    <n v="0"/>
    <n v="0"/>
    <n v="28.62"/>
  </r>
  <r>
    <n v="59744067"/>
    <s v="N"/>
    <n v="21370386"/>
    <s v="3000014111280004"/>
    <s v="CIVIL"/>
    <d v="2023-06-28T00:00:00"/>
    <d v="2023-07-13T19:21:05"/>
    <m/>
    <d v="2023-07-13T00:00:00"/>
    <n v="180"/>
    <n v="6780"/>
    <s v="59744067"/>
    <s v="59744067"/>
    <m/>
    <m/>
    <n v="22784080"/>
    <m/>
    <m/>
    <m/>
    <s v="SOLFIN"/>
    <s v="SOLFIN"/>
    <s v="CCMS"/>
    <n v="21370386"/>
    <n v="6653.93"/>
    <m/>
    <s v="N"/>
    <n v="6"/>
    <d v="2023-07-13T19:21:23"/>
    <s v="N"/>
    <s v="Preparation - other"/>
    <s v="Non Family Hourly Rates"/>
    <s v="Profit Cost"/>
    <s v="BH"/>
    <s v="N"/>
    <n v="450.77"/>
    <n v="90.15000000000001"/>
    <x v="11"/>
    <s v="VALIDATED"/>
    <n v="1"/>
    <s v="01.11.80.212.6100.0000"/>
    <n v="450.77"/>
    <s v="11"/>
    <s v="6100"/>
    <n v="1945.47"/>
    <n v="450.77"/>
    <s v="CREDITOR"/>
    <n v="0"/>
    <n v="0"/>
    <n v="0"/>
    <n v="0"/>
    <n v="450.77"/>
  </r>
  <r>
    <n v="61295334"/>
    <s v="N"/>
    <n v="21319064"/>
    <s v="3000015391000002"/>
    <s v="CIVIL"/>
    <d v="2023-06-21T00:00:00"/>
    <d v="2023-07-03T19:01:49"/>
    <m/>
    <d v="2023-07-03T00:00:00"/>
    <n v="180"/>
    <n v="6780"/>
    <s v="61295334"/>
    <s v="61295334"/>
    <m/>
    <m/>
    <n v="22736734"/>
    <m/>
    <m/>
    <m/>
    <s v="SOLFIN"/>
    <s v="SOLFIN"/>
    <s v="CCMS"/>
    <n v="21319064"/>
    <n v="2068.39"/>
    <m/>
    <s v="N"/>
    <n v="4"/>
    <d v="2023-07-03T19:02:09"/>
    <s v="Y"/>
    <s v="Attendance upon client"/>
    <s v="Non Family Hourly Rates"/>
    <s v="Profit Cost"/>
    <s v="MC"/>
    <s v="Y"/>
    <n v="139.53"/>
    <n v="27.9"/>
    <x v="3"/>
    <s v="VALIDATED"/>
    <n v="1"/>
    <s v="01.11.80.212.6100.0000"/>
    <n v="139.53"/>
    <s v="11"/>
    <s v="6100"/>
    <n v="1945.47"/>
    <n v="139.53"/>
    <s v="CREDITOR"/>
    <n v="0"/>
    <n v="0"/>
    <n v="0"/>
    <n v="0"/>
    <n v="139.53"/>
  </r>
  <r>
    <n v="59744067"/>
    <s v="N"/>
    <n v="21370386"/>
    <s v="3000014111280004"/>
    <s v="CIVIL"/>
    <d v="2023-06-28T00:00:00"/>
    <d v="2023-07-13T19:21:05"/>
    <m/>
    <d v="2023-07-13T00:00:00"/>
    <n v="180"/>
    <n v="6780"/>
    <s v="59744067"/>
    <s v="59744067"/>
    <m/>
    <m/>
    <n v="22784080"/>
    <m/>
    <m/>
    <m/>
    <s v="SOLFIN"/>
    <s v="SOLFIN"/>
    <s v="CCMS"/>
    <n v="21370386"/>
    <n v="6653.93"/>
    <m/>
    <s v="N"/>
    <n v="40"/>
    <d v="2023-07-13T19:21:23"/>
    <s v="Y"/>
    <s v="Preparation - other"/>
    <s v="Non Family Hourly Rates"/>
    <s v="Profit Cost"/>
    <s v="SL"/>
    <s v="Y"/>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9"/>
    <d v="2023-07-13T19:21:23"/>
    <s v="N"/>
    <s v="Preparation - drafting statement"/>
    <s v="Non Family Hourly Rates"/>
    <s v="Profit Cost"/>
    <s v="SL"/>
    <s v="N"/>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28"/>
    <d v="2023-07-13T19:21:23"/>
    <s v="Y"/>
    <s v="Preparation - other"/>
    <s v="Non Family Hourly Rates"/>
    <s v="Profit Cost"/>
    <s v="SL"/>
    <s v="Y"/>
    <n v="171.72"/>
    <n v="34.34"/>
    <x v="11"/>
    <s v="VALIDATED"/>
    <n v="1"/>
    <s v="01.11.80.212.6100.0000"/>
    <n v="171.72"/>
    <s v="11"/>
    <s v="6100"/>
    <n v="1945.47"/>
    <n v="171.72"/>
    <s v="CREDITOR"/>
    <n v="0"/>
    <n v="0"/>
    <n v="0"/>
    <n v="0"/>
    <n v="171.72"/>
  </r>
  <r>
    <n v="59744067"/>
    <s v="N"/>
    <n v="21370386"/>
    <s v="3000014111280004"/>
    <s v="CIVIL"/>
    <d v="2023-06-28T00:00:00"/>
    <d v="2023-07-13T19:21:05"/>
    <m/>
    <d v="2023-07-13T00:00:00"/>
    <n v="180"/>
    <n v="6780"/>
    <s v="59744067"/>
    <s v="59744067"/>
    <m/>
    <m/>
    <n v="22784080"/>
    <m/>
    <m/>
    <m/>
    <s v="SOLFIN"/>
    <s v="SOLFIN"/>
    <s v="CCMS"/>
    <n v="21370386"/>
    <n v="6653.93"/>
    <m/>
    <s v="N"/>
    <n v="75"/>
    <d v="2023-07-13T19:21:23"/>
    <s v="Y"/>
    <s v="Preparation - other"/>
    <s v="Non Family Hourly Rates"/>
    <s v="Profit Cost"/>
    <s v="SL"/>
    <s v="Y"/>
    <n v="21.47"/>
    <n v="4.29"/>
    <x v="11"/>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4"/>
    <d v="2023-07-13T19:21:23"/>
    <s v="N"/>
    <s v="Preparation - drafting application"/>
    <s v="Non Family Hourly Rates"/>
    <s v="Profit Cost"/>
    <s v="SL"/>
    <s v="N"/>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38"/>
    <d v="2023-07-13T19:21:23"/>
    <s v="Y"/>
    <s v="Preparation - other"/>
    <s v="Non Family Hourly Rates"/>
    <s v="Profit Cost"/>
    <s v="BH"/>
    <s v="Y"/>
    <n v="21.47"/>
    <n v="4.29"/>
    <x v="11"/>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55"/>
    <d v="2023-07-13T19:21:23"/>
    <s v="Y"/>
    <s v="Preparation - drafting attendance n"/>
    <s v="Non Family Hourly Rates"/>
    <s v="Profit Cost"/>
    <s v="SL"/>
    <s v="Y"/>
    <n v="7.16"/>
    <n v="1.43"/>
    <x v="11"/>
    <s v="VALIDATED"/>
    <n v="1"/>
    <s v="01.11.80.212.6100.0000"/>
    <n v="7.16"/>
    <s v="11"/>
    <s v="6100"/>
    <n v="1945.47"/>
    <n v="7.16"/>
    <s v="CREDITOR"/>
    <n v="0"/>
    <n v="0"/>
    <n v="0"/>
    <n v="0"/>
    <n v="7.16"/>
  </r>
  <r>
    <n v="59744067"/>
    <s v="N"/>
    <n v="21370386"/>
    <s v="3000014111280004"/>
    <s v="CIVIL"/>
    <d v="2023-06-28T00:00:00"/>
    <d v="2023-07-13T19:21:05"/>
    <m/>
    <d v="2023-07-13T00:00:00"/>
    <n v="180"/>
    <n v="6780"/>
    <s v="59744067"/>
    <s v="59744067"/>
    <m/>
    <m/>
    <n v="22784080"/>
    <m/>
    <m/>
    <m/>
    <s v="SOLFIN"/>
    <s v="SOLFIN"/>
    <s v="CCMS"/>
    <n v="21370386"/>
    <n v="6653.93"/>
    <m/>
    <s v="N"/>
    <n v="2"/>
    <d v="2023-07-13T19:21:23"/>
    <s v="N"/>
    <s v="Preparation - other"/>
    <s v="Non Family Hourly Rates"/>
    <s v="Profit Cost"/>
    <s v="SL"/>
    <s v="N"/>
    <n v="14.31"/>
    <n v="2.86"/>
    <x v="11"/>
    <s v="VALIDATED"/>
    <n v="1"/>
    <s v="01.11.80.212.6100.0000"/>
    <n v="14.31"/>
    <s v="11"/>
    <s v="6100"/>
    <n v="1945.47"/>
    <n v="14.31"/>
    <s v="CREDITOR"/>
    <n v="0"/>
    <n v="0"/>
    <n v="0"/>
    <n v="0"/>
    <n v="14.31"/>
  </r>
  <r>
    <n v="59744067"/>
    <s v="N"/>
    <n v="21370386"/>
    <s v="3000014111280004"/>
    <s v="CIVIL"/>
    <d v="2023-06-28T00:00:00"/>
    <d v="2023-07-13T19:21:05"/>
    <m/>
    <d v="2023-07-13T00:00:00"/>
    <n v="180"/>
    <n v="6780"/>
    <s v="59744067"/>
    <s v="59744067"/>
    <m/>
    <m/>
    <n v="22784080"/>
    <m/>
    <m/>
    <m/>
    <s v="SOLFIN"/>
    <s v="SOLFIN"/>
    <s v="CCMS"/>
    <n v="21370386"/>
    <n v="6653.93"/>
    <m/>
    <s v="N"/>
    <n v="3"/>
    <d v="2023-07-13T19:21:23"/>
    <s v="N"/>
    <s v="Preparation - other"/>
    <s v="Non Family Hourly Rates"/>
    <s v="Profit Cost"/>
    <s v="SL"/>
    <s v="N"/>
    <n v="100.17"/>
    <n v="20.03"/>
    <x v="11"/>
    <s v="VALIDATED"/>
    <n v="1"/>
    <s v="01.11.80.212.6100.0000"/>
    <n v="100.17"/>
    <s v="11"/>
    <s v="6100"/>
    <n v="1945.47"/>
    <n v="100.17"/>
    <s v="CREDITOR"/>
    <n v="0"/>
    <n v="0"/>
    <n v="0"/>
    <n v="0"/>
    <n v="100.17"/>
  </r>
  <r>
    <n v="61295334"/>
    <s v="N"/>
    <n v="21319064"/>
    <s v="3000015391000002"/>
    <s v="CIVIL"/>
    <d v="2023-06-21T00:00:00"/>
    <d v="2023-07-03T19:01:49"/>
    <m/>
    <d v="2023-07-03T00:00:00"/>
    <n v="180"/>
    <n v="6780"/>
    <s v="61295334"/>
    <s v="61295334"/>
    <m/>
    <m/>
    <n v="22736734"/>
    <m/>
    <m/>
    <m/>
    <s v="SOLFIN"/>
    <s v="SOLFIN"/>
    <s v="CCMS"/>
    <n v="21319064"/>
    <n v="2068.39"/>
    <m/>
    <s v="N"/>
    <n v="10"/>
    <d v="2023-07-03T19:02:09"/>
    <s v="Y"/>
    <s v="Preparation - drafting statement"/>
    <s v="Non Family Hourly Rates"/>
    <s v="Profit Cost"/>
    <s v="MC"/>
    <s v="Y"/>
    <n v="214.65"/>
    <n v="42.93"/>
    <x v="3"/>
    <s v="VALIDATED"/>
    <n v="1"/>
    <s v="01.11.80.212.6100.0000"/>
    <n v="214.65"/>
    <s v="11"/>
    <s v="6100"/>
    <n v="1945.47"/>
    <n v="214.65"/>
    <s v="CREDITOR"/>
    <n v="0"/>
    <n v="0"/>
    <n v="0"/>
    <n v="0"/>
    <n v="214.65"/>
  </r>
  <r>
    <n v="59744067"/>
    <s v="N"/>
    <n v="21370386"/>
    <s v="3000014111280004"/>
    <s v="CIVIL"/>
    <d v="2023-06-28T00:00:00"/>
    <d v="2023-07-13T19:21:05"/>
    <m/>
    <d v="2023-07-13T00:00:00"/>
    <n v="180"/>
    <n v="6780"/>
    <s v="59744067"/>
    <s v="59744067"/>
    <m/>
    <m/>
    <n v="22784080"/>
    <m/>
    <m/>
    <m/>
    <s v="SOLFIN"/>
    <s v="SOLFIN"/>
    <s v="CCMS"/>
    <n v="21370386"/>
    <n v="6653.93"/>
    <m/>
    <s v="N"/>
    <n v="36"/>
    <d v="2023-07-13T19:21:23"/>
    <s v="Y"/>
    <s v="Attendance upon/with Counsel at Con"/>
    <s v="Non Family Hourly Rates"/>
    <s v="Profit Cost"/>
    <s v="BH"/>
    <s v="Y"/>
    <n v="13.32"/>
    <n v="2.66"/>
    <x v="11"/>
    <s v="VALIDATED"/>
    <n v="1"/>
    <s v="01.11.80.212.6100.0000"/>
    <n v="13.32"/>
    <s v="11"/>
    <s v="6100"/>
    <n v="1945.47"/>
    <n v="13.32"/>
    <s v="CREDITOR"/>
    <n v="0"/>
    <n v="0"/>
    <n v="0"/>
    <n v="0"/>
    <n v="13.32"/>
  </r>
  <r>
    <n v="59744067"/>
    <s v="N"/>
    <n v="21370386"/>
    <s v="3000014111280004"/>
    <s v="CIVIL"/>
    <d v="2023-06-28T00:00:00"/>
    <d v="2023-07-13T19:21:05"/>
    <m/>
    <d v="2023-07-13T00:00:00"/>
    <n v="180"/>
    <n v="6780"/>
    <s v="59744067"/>
    <s v="59744067"/>
    <m/>
    <m/>
    <n v="22784080"/>
    <m/>
    <m/>
    <m/>
    <s v="SOLFIN"/>
    <s v="SOLFIN"/>
    <s v="CCMS"/>
    <n v="21370386"/>
    <n v="6653.93"/>
    <m/>
    <s v="N"/>
    <n v="62"/>
    <d v="2023-07-13T19:21:23"/>
    <s v="Y"/>
    <s v="Attendance upon client"/>
    <s v="Non Family Hourly Rates"/>
    <s v="Profit Cost"/>
    <s v="SL"/>
    <s v="Y"/>
    <n v="28.62"/>
    <n v="5.72"/>
    <x v="11"/>
    <s v="VALIDATED"/>
    <n v="1"/>
    <s v="01.11.80.212.6100.0000"/>
    <n v="28.62"/>
    <s v="11"/>
    <s v="6100"/>
    <n v="1945.47"/>
    <n v="28.62"/>
    <s v="CREDITOR"/>
    <n v="0"/>
    <n v="0"/>
    <n v="0"/>
    <n v="0"/>
    <n v="28.62"/>
  </r>
  <r>
    <n v="59744067"/>
    <s v="N"/>
    <n v="21370386"/>
    <s v="3000014111280004"/>
    <s v="CIVIL"/>
    <d v="2023-06-28T00:00:00"/>
    <d v="2023-07-13T19:21:05"/>
    <m/>
    <d v="2023-07-13T00:00:00"/>
    <n v="180"/>
    <n v="6780"/>
    <s v="59744067"/>
    <s v="59744067"/>
    <m/>
    <m/>
    <n v="22784080"/>
    <m/>
    <m/>
    <m/>
    <s v="SOLFIN"/>
    <s v="SOLFIN"/>
    <s v="CCMS"/>
    <n v="21370386"/>
    <n v="6653.93"/>
    <m/>
    <s v="N"/>
    <n v="43"/>
    <d v="2023-07-13T19:21:23"/>
    <s v="Y"/>
    <s v="Preparation - other"/>
    <s v="Non Family Hourly Rates"/>
    <s v="Profit Cost"/>
    <s v="BH"/>
    <s v="Y"/>
    <n v="21.47"/>
    <n v="4.29"/>
    <x v="11"/>
    <s v="VALIDATED"/>
    <n v="1"/>
    <s v="01.11.80.212.6100.0000"/>
    <n v="21.47"/>
    <s v="11"/>
    <s v="6100"/>
    <n v="1945.47"/>
    <n v="21.47"/>
    <s v="CREDITOR"/>
    <n v="0"/>
    <n v="0"/>
    <n v="0"/>
    <n v="0"/>
    <n v="21.47"/>
  </r>
  <r>
    <n v="61295334"/>
    <s v="N"/>
    <n v="21319064"/>
    <s v="3000015391000002"/>
    <s v="CIVIL"/>
    <d v="2023-06-21T00:00:00"/>
    <d v="2023-07-03T19:01:49"/>
    <m/>
    <d v="2023-07-03T00:00:00"/>
    <n v="180"/>
    <n v="6780"/>
    <s v="61295334"/>
    <s v="61295334"/>
    <m/>
    <m/>
    <n v="22736734"/>
    <m/>
    <m/>
    <m/>
    <s v="SOLFIN"/>
    <s v="SOLFIN"/>
    <s v="CCMS"/>
    <n v="21319064"/>
    <n v="2068.39"/>
    <m/>
    <s v="N"/>
    <n v="13"/>
    <d v="2023-07-03T19:02:09"/>
    <s v="Y"/>
    <s v="Preparation - drafting application"/>
    <s v="Non Family Hourly Rates"/>
    <s v="Profit Cost"/>
    <s v="MC"/>
    <s v="Y"/>
    <n v="21.47"/>
    <n v="4.29"/>
    <x v="3"/>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67"/>
    <d v="2023-07-13T19:21:23"/>
    <s v="Y"/>
    <s v="Preparation - other"/>
    <s v="Non Family Hourly Rates"/>
    <s v="Profit Cost"/>
    <s v="SL"/>
    <s v="Y"/>
    <n v="14.31"/>
    <n v="2.86"/>
    <x v="11"/>
    <s v="VALIDATED"/>
    <n v="1"/>
    <s v="01.11.80.212.6100.0000"/>
    <n v="14.31"/>
    <s v="11"/>
    <s v="6100"/>
    <n v="1945.47"/>
    <n v="14.31"/>
    <s v="CREDITOR"/>
    <n v="0"/>
    <n v="0"/>
    <n v="0"/>
    <n v="0"/>
    <n v="14.31"/>
  </r>
  <r>
    <n v="59744067"/>
    <s v="N"/>
    <n v="21370386"/>
    <s v="3000014111280004"/>
    <s v="CIVIL"/>
    <d v="2023-06-28T00:00:00"/>
    <d v="2023-07-13T19:21:05"/>
    <m/>
    <d v="2023-07-13T00:00:00"/>
    <n v="180"/>
    <n v="6780"/>
    <s v="59744067"/>
    <s v="59744067"/>
    <m/>
    <m/>
    <n v="22784080"/>
    <m/>
    <m/>
    <m/>
    <s v="SOLFIN"/>
    <s v="SOLFIN"/>
    <s v="CCMS"/>
    <n v="21370386"/>
    <n v="6653.93"/>
    <m/>
    <s v="N"/>
    <n v="44"/>
    <d v="2023-07-13T19:21:23"/>
    <s v="Y"/>
    <s v="Preparation - other"/>
    <s v="Non Family Hourly Rates"/>
    <s v="Profit Cost"/>
    <s v="SL"/>
    <s v="Y"/>
    <n v="93.02"/>
    <n v="18.6"/>
    <x v="11"/>
    <s v="VALIDATED"/>
    <n v="1"/>
    <s v="01.11.80.212.6100.0000"/>
    <n v="93.02"/>
    <s v="11"/>
    <s v="6100"/>
    <n v="1945.47"/>
    <n v="93.02"/>
    <s v="CREDITOR"/>
    <n v="0"/>
    <n v="0"/>
    <n v="0"/>
    <n v="0"/>
    <n v="93.02"/>
  </r>
  <r>
    <n v="59744067"/>
    <s v="N"/>
    <n v="21370386"/>
    <s v="3000014111280004"/>
    <s v="CIVIL"/>
    <d v="2023-06-28T00:00:00"/>
    <d v="2023-07-13T19:21:05"/>
    <m/>
    <d v="2023-07-13T00:00:00"/>
    <n v="180"/>
    <n v="6780"/>
    <s v="59744067"/>
    <s v="59744067"/>
    <m/>
    <m/>
    <n v="22784080"/>
    <m/>
    <m/>
    <m/>
    <s v="SOLFIN"/>
    <s v="SOLFIN"/>
    <s v="CCMS"/>
    <n v="21370386"/>
    <n v="6653.93"/>
    <m/>
    <s v="N"/>
    <n v="27"/>
    <d v="2023-07-13T19:21:23"/>
    <s v="Y"/>
    <s v="Preparation - other"/>
    <s v="Non Family Hourly Rates"/>
    <s v="Profit Cost"/>
    <s v="SL"/>
    <s v="Y"/>
    <n v="14.31"/>
    <n v="2.86"/>
    <x v="11"/>
    <s v="VALIDATED"/>
    <n v="1"/>
    <s v="01.11.80.212.6100.0000"/>
    <n v="14.31"/>
    <s v="11"/>
    <s v="6100"/>
    <n v="1945.47"/>
    <n v="14.31"/>
    <s v="CREDITOR"/>
    <n v="0"/>
    <n v="0"/>
    <n v="0"/>
    <n v="0"/>
    <n v="14.31"/>
  </r>
  <r>
    <n v="61295334"/>
    <s v="N"/>
    <n v="21319064"/>
    <s v="3000015391000002"/>
    <s v="CIVIL"/>
    <d v="2023-06-21T00:00:00"/>
    <d v="2023-07-03T19:01:49"/>
    <m/>
    <d v="2023-07-03T00:00:00"/>
    <n v="180"/>
    <n v="6780"/>
    <s v="61295334"/>
    <s v="61295334"/>
    <m/>
    <m/>
    <n v="22736734"/>
    <m/>
    <m/>
    <m/>
    <s v="SOLFIN"/>
    <s v="SOLFIN"/>
    <s v="CCMS"/>
    <n v="21319064"/>
    <n v="2068.39"/>
    <m/>
    <s v="N"/>
    <n v="23"/>
    <d v="2023-07-03T19:02:09"/>
    <s v="Y"/>
    <s v="Preparation - drafting bill/claim f"/>
    <s v="Non Family Hourly Rates"/>
    <s v="Profit Cost"/>
    <s v="CD"/>
    <s v="Y"/>
    <n v="100.17"/>
    <n v="20.03"/>
    <x v="3"/>
    <s v="VALIDATED"/>
    <n v="1"/>
    <s v="01.11.80.212.6100.0000"/>
    <n v="100.17"/>
    <s v="11"/>
    <s v="6100"/>
    <n v="1945.47"/>
    <n v="100.17"/>
    <s v="CREDITOR"/>
    <n v="0"/>
    <n v="0"/>
    <n v="0"/>
    <n v="0"/>
    <n v="100.17"/>
  </r>
  <r>
    <n v="59744067"/>
    <s v="N"/>
    <n v="21370386"/>
    <s v="3000014111280004"/>
    <s v="CIVIL"/>
    <d v="2023-06-28T00:00:00"/>
    <d v="2023-07-13T19:21:05"/>
    <m/>
    <d v="2023-07-13T00:00:00"/>
    <n v="180"/>
    <n v="6780"/>
    <s v="59744067"/>
    <s v="59744067"/>
    <m/>
    <m/>
    <n v="22784080"/>
    <m/>
    <m/>
    <m/>
    <s v="SOLFIN"/>
    <s v="SOLFIN"/>
    <s v="CCMS"/>
    <n v="21370386"/>
    <n v="6653.93"/>
    <m/>
    <s v="N"/>
    <n v="42"/>
    <d v="2023-07-13T19:21:23"/>
    <s v="Y"/>
    <s v="Preparation - other"/>
    <s v="Non Family Hourly Rates"/>
    <s v="Profit Cost"/>
    <s v="BH"/>
    <s v="Y"/>
    <n v="364.91"/>
    <n v="72.98"/>
    <x v="11"/>
    <s v="VALIDATED"/>
    <n v="1"/>
    <s v="01.11.80.212.6100.0000"/>
    <n v="364.91"/>
    <s v="11"/>
    <s v="6100"/>
    <n v="1945.47"/>
    <n v="364.91"/>
    <s v="CREDITOR"/>
    <n v="0"/>
    <n v="0"/>
    <n v="0"/>
    <n v="0"/>
    <n v="364.91"/>
  </r>
  <r>
    <n v="59744067"/>
    <s v="N"/>
    <n v="21370386"/>
    <s v="3000014111280004"/>
    <s v="CIVIL"/>
    <d v="2023-06-28T00:00:00"/>
    <d v="2023-07-13T19:21:05"/>
    <m/>
    <d v="2023-07-13T00:00:00"/>
    <n v="180"/>
    <n v="6780"/>
    <s v="59744067"/>
    <s v="59744067"/>
    <m/>
    <m/>
    <n v="22784080"/>
    <m/>
    <m/>
    <m/>
    <s v="SOLFIN"/>
    <s v="SOLFIN"/>
    <s v="CCMS"/>
    <n v="21370386"/>
    <n v="6653.93"/>
    <m/>
    <s v="N"/>
    <n v="46"/>
    <d v="2023-07-13T19:21:23"/>
    <s v="Y"/>
    <s v="Attendance upon client"/>
    <s v="Non Family Hourly Rates"/>
    <s v="Profit Cost"/>
    <s v="SL"/>
    <s v="Y"/>
    <n v="50.09"/>
    <n v="10.02"/>
    <x v="11"/>
    <s v="VALIDATED"/>
    <n v="1"/>
    <s v="01.11.80.212.6100.0000"/>
    <n v="50.09"/>
    <s v="11"/>
    <s v="6100"/>
    <n v="1945.47"/>
    <n v="50.09"/>
    <s v="CREDITOR"/>
    <n v="0"/>
    <n v="0"/>
    <n v="0"/>
    <n v="0"/>
    <n v="50.09"/>
  </r>
  <r>
    <n v="59744067"/>
    <s v="N"/>
    <n v="21370386"/>
    <s v="3000014111280004"/>
    <s v="CIVIL"/>
    <d v="2023-06-28T00:00:00"/>
    <d v="2023-07-13T19:21:05"/>
    <m/>
    <d v="2023-07-13T00:00:00"/>
    <n v="180"/>
    <n v="6780"/>
    <s v="59744067"/>
    <s v="59744067"/>
    <m/>
    <m/>
    <n v="22784080"/>
    <m/>
    <m/>
    <m/>
    <s v="SOLFIN"/>
    <s v="SOLFIN"/>
    <s v="CCMS"/>
    <n v="21370386"/>
    <n v="6653.93"/>
    <m/>
    <s v="N"/>
    <n v="76"/>
    <d v="2023-07-13T19:21:23"/>
    <s v="Y"/>
    <s v="Preparation - drafting bill/claim f"/>
    <s v="Non Family Hourly Rates"/>
    <s v="Profit Cost"/>
    <s v="CD"/>
    <s v="Y"/>
    <n v="472.23"/>
    <n v="94.44"/>
    <x v="11"/>
    <s v="VALIDATED"/>
    <n v="1"/>
    <s v="01.11.80.212.6100.0000"/>
    <n v="472.23"/>
    <s v="11"/>
    <s v="6100"/>
    <n v="1945.47"/>
    <n v="472.23"/>
    <s v="CREDITOR"/>
    <n v="0"/>
    <n v="0"/>
    <n v="0"/>
    <n v="0"/>
    <n v="472.23"/>
  </r>
  <r>
    <n v="61295334"/>
    <s v="N"/>
    <n v="21319064"/>
    <s v="3000015391000002"/>
    <s v="CIVIL"/>
    <d v="2023-06-21T00:00:00"/>
    <d v="2023-07-03T19:01:49"/>
    <m/>
    <d v="2023-07-03T00:00:00"/>
    <n v="180"/>
    <n v="6780"/>
    <s v="61295334"/>
    <s v="61295334"/>
    <m/>
    <m/>
    <n v="22736734"/>
    <m/>
    <m/>
    <m/>
    <s v="SOLFIN"/>
    <s v="SOLFIN"/>
    <s v="CCMS"/>
    <n v="21319064"/>
    <n v="2068.39"/>
    <m/>
    <s v="N"/>
    <n v="7"/>
    <d v="2023-07-03T19:02:09"/>
    <s v="Y"/>
    <s v="Preparation - other"/>
    <s v="Non Family Hourly Rates"/>
    <s v="Profit Cost"/>
    <s v="MC"/>
    <s v="Y"/>
    <n v="53.67"/>
    <n v="10.73"/>
    <x v="3"/>
    <s v="VALIDATED"/>
    <n v="1"/>
    <s v="01.11.80.212.6100.0000"/>
    <n v="53.67"/>
    <s v="11"/>
    <s v="6100"/>
    <n v="1945.47"/>
    <n v="53.67"/>
    <s v="CREDITOR"/>
    <n v="0"/>
    <n v="0"/>
    <n v="0"/>
    <n v="0"/>
    <n v="53.67"/>
  </r>
  <r>
    <n v="59744067"/>
    <s v="N"/>
    <n v="21370386"/>
    <s v="3000014111280004"/>
    <s v="CIVIL"/>
    <d v="2023-06-28T00:00:00"/>
    <d v="2023-07-13T19:21:05"/>
    <m/>
    <d v="2023-07-13T00:00:00"/>
    <n v="180"/>
    <n v="6780"/>
    <s v="59744067"/>
    <s v="59744067"/>
    <m/>
    <m/>
    <n v="22784080"/>
    <m/>
    <m/>
    <m/>
    <s v="SOLFIN"/>
    <s v="SOLFIN"/>
    <s v="CCMS"/>
    <n v="21370386"/>
    <n v="6653.93"/>
    <m/>
    <s v="N"/>
    <n v="79"/>
    <d v="2023-07-13T19:21:23"/>
    <s v="Y"/>
    <s v="Routine Letter Out"/>
    <s v="Non Family Hourly Rates"/>
    <s v="Profit Cost"/>
    <s v="SL"/>
    <s v="Y"/>
    <n v="425.25"/>
    <n v="85.04000000000001"/>
    <x v="11"/>
    <s v="VALIDATED"/>
    <n v="1"/>
    <s v="01.11.80.212.6100.0000"/>
    <n v="425.25"/>
    <s v="11"/>
    <s v="6100"/>
    <n v="1945.47"/>
    <n v="425.25"/>
    <s v="CREDITOR"/>
    <n v="0"/>
    <n v="0"/>
    <n v="0"/>
    <n v="0"/>
    <n v="425.25"/>
  </r>
  <r>
    <n v="61295334"/>
    <s v="N"/>
    <n v="21319064"/>
    <s v="3000015391000002"/>
    <s v="CIVIL"/>
    <d v="2023-06-21T00:00:00"/>
    <d v="2023-07-03T19:01:49"/>
    <m/>
    <d v="2023-07-03T00:00:00"/>
    <n v="180"/>
    <n v="6780"/>
    <s v="61295334"/>
    <s v="61295334"/>
    <m/>
    <m/>
    <n v="22736734"/>
    <m/>
    <m/>
    <m/>
    <s v="SOLFIN"/>
    <s v="SOLFIN"/>
    <s v="CCMS"/>
    <n v="21319064"/>
    <n v="2068.39"/>
    <m/>
    <s v="N"/>
    <n v="18"/>
    <d v="2023-07-03T19:02:09"/>
    <s v="Y"/>
    <s v="Report - Counsel's opinion"/>
    <s v="Non Family Hourly Rates"/>
    <s v="Profit Cost"/>
    <s v="MC"/>
    <s v="Y"/>
    <n v="21.47"/>
    <n v="4.29"/>
    <x v="3"/>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57"/>
    <d v="2023-07-13T19:21:23"/>
    <s v="Y"/>
    <s v="Preparation - other"/>
    <s v="Non Family Hourly Rates"/>
    <s v="Profit Cost"/>
    <s v="SL"/>
    <s v="Y"/>
    <n v="85.86"/>
    <n v="17.17"/>
    <x v="11"/>
    <s v="VALIDATED"/>
    <n v="1"/>
    <s v="01.11.80.212.6100.0000"/>
    <n v="85.86"/>
    <s v="11"/>
    <s v="6100"/>
    <n v="1945.47"/>
    <n v="85.86"/>
    <s v="CREDITOR"/>
    <n v="0"/>
    <n v="0"/>
    <n v="0"/>
    <n v="0"/>
    <n v="85.86"/>
  </r>
  <r>
    <n v="59744067"/>
    <s v="N"/>
    <n v="21370386"/>
    <s v="3000014111280004"/>
    <s v="CIVIL"/>
    <d v="2023-06-28T00:00:00"/>
    <d v="2023-07-13T19:21:05"/>
    <m/>
    <d v="2023-07-13T00:00:00"/>
    <n v="180"/>
    <n v="6780"/>
    <s v="59744067"/>
    <s v="59744067"/>
    <m/>
    <m/>
    <n v="22784080"/>
    <m/>
    <m/>
    <m/>
    <s v="SOLFIN"/>
    <s v="SOLFIN"/>
    <s v="CCMS"/>
    <n v="21370386"/>
    <n v="6653.93"/>
    <m/>
    <s v="N"/>
    <n v="32"/>
    <d v="2023-07-13T19:21:23"/>
    <s v="Y"/>
    <s v="Preparation - other"/>
    <s v="Non Family Hourly Rates"/>
    <s v="Profit Cost"/>
    <s v="BH"/>
    <s v="Y"/>
    <n v="35.78"/>
    <n v="7.16"/>
    <x v="11"/>
    <s v="VALIDATED"/>
    <n v="1"/>
    <s v="01.11.80.212.6100.0000"/>
    <n v="35.78"/>
    <s v="11"/>
    <s v="6100"/>
    <n v="1945.47"/>
    <n v="35.78"/>
    <s v="CREDITOR"/>
    <n v="0"/>
    <n v="0"/>
    <n v="0"/>
    <n v="0"/>
    <n v="35.78"/>
  </r>
  <r>
    <n v="61295334"/>
    <s v="N"/>
    <n v="21319064"/>
    <s v="3000015391000002"/>
    <s v="CIVIL"/>
    <d v="2023-06-21T00:00:00"/>
    <d v="2023-07-03T19:01:49"/>
    <m/>
    <d v="2023-07-03T00:00:00"/>
    <n v="180"/>
    <n v="6780"/>
    <s v="61295334"/>
    <s v="61295334"/>
    <m/>
    <m/>
    <n v="22736734"/>
    <m/>
    <m/>
    <m/>
    <s v="SOLFIN"/>
    <s v="SOLFIN"/>
    <s v="CCMS"/>
    <n v="21319064"/>
    <n v="2068.39"/>
    <m/>
    <s v="N"/>
    <n v="17"/>
    <d v="2023-07-03T19:02:09"/>
    <s v="Y"/>
    <s v="Preparation - other"/>
    <s v="Non Family Hourly Rates"/>
    <s v="Profit Cost"/>
    <s v="MC"/>
    <s v="Y"/>
    <n v="21.47"/>
    <n v="4.29"/>
    <x v="3"/>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10"/>
    <d v="2023-07-13T19:21:23"/>
    <s v="N"/>
    <s v="Preparation - drafting instructions"/>
    <s v="Non Family Hourly Rates"/>
    <s v="Profit Cost"/>
    <s v="SL"/>
    <s v="N"/>
    <n v="186.03"/>
    <n v="37.2"/>
    <x v="11"/>
    <s v="VALIDATED"/>
    <n v="1"/>
    <s v="01.11.80.212.6100.0000"/>
    <n v="186.03"/>
    <s v="11"/>
    <s v="6100"/>
    <n v="1945.47"/>
    <n v="186.03"/>
    <s v="CREDITOR"/>
    <n v="0"/>
    <n v="0"/>
    <n v="0"/>
    <n v="0"/>
    <n v="186.03"/>
  </r>
  <r>
    <n v="59744067"/>
    <s v="N"/>
    <n v="21370386"/>
    <s v="3000014111280004"/>
    <s v="CIVIL"/>
    <d v="2023-06-28T00:00:00"/>
    <d v="2023-07-13T19:21:05"/>
    <m/>
    <d v="2023-07-13T00:00:00"/>
    <n v="180"/>
    <n v="6780"/>
    <s v="59744067"/>
    <s v="59744067"/>
    <m/>
    <m/>
    <n v="22784080"/>
    <m/>
    <m/>
    <m/>
    <s v="SOLFIN"/>
    <s v="SOLFIN"/>
    <s v="CCMS"/>
    <n v="21370386"/>
    <n v="6653.93"/>
    <m/>
    <s v="N"/>
    <n v="22"/>
    <d v="2023-07-13T19:21:23"/>
    <s v="Y"/>
    <s v="Preparation - other"/>
    <s v="Non Family Hourly Rates"/>
    <s v="Profit Cost"/>
    <s v="BH"/>
    <s v="Y"/>
    <n v="443.61"/>
    <n v="88.72"/>
    <x v="11"/>
    <s v="VALIDATED"/>
    <n v="1"/>
    <s v="01.11.80.212.6100.0000"/>
    <n v="443.61"/>
    <s v="11"/>
    <s v="6100"/>
    <n v="1945.47"/>
    <n v="443.61"/>
    <s v="CREDITOR"/>
    <n v="0"/>
    <n v="0"/>
    <n v="0"/>
    <n v="0"/>
    <n v="443.61"/>
  </r>
  <r>
    <n v="59744067"/>
    <s v="N"/>
    <n v="21370386"/>
    <s v="3000014111280004"/>
    <s v="CIVIL"/>
    <d v="2023-06-28T00:00:00"/>
    <d v="2023-07-13T19:21:05"/>
    <m/>
    <d v="2023-07-13T00:00:00"/>
    <n v="180"/>
    <n v="6780"/>
    <s v="59744067"/>
    <s v="59744067"/>
    <m/>
    <m/>
    <n v="22784080"/>
    <m/>
    <m/>
    <m/>
    <s v="SOLFIN"/>
    <s v="SOLFIN"/>
    <s v="CCMS"/>
    <n v="21370386"/>
    <n v="6653.93"/>
    <m/>
    <s v="N"/>
    <n v="65"/>
    <d v="2023-07-13T19:21:23"/>
    <s v="Y"/>
    <s v="Preparation - other"/>
    <s v="Non Family Hourly Rates"/>
    <s v="Profit Cost"/>
    <s v="BH"/>
    <s v="Y"/>
    <n v="121.64"/>
    <n v="24.33"/>
    <x v="11"/>
    <s v="VALIDATED"/>
    <n v="1"/>
    <s v="01.11.80.212.6100.0000"/>
    <n v="121.64"/>
    <s v="11"/>
    <s v="6100"/>
    <n v="1945.47"/>
    <n v="121.64"/>
    <s v="CREDITOR"/>
    <n v="0"/>
    <n v="0"/>
    <n v="0"/>
    <n v="0"/>
    <n v="121.64"/>
  </r>
  <r>
    <n v="59744067"/>
    <s v="N"/>
    <n v="21370386"/>
    <s v="3000014111280004"/>
    <s v="CIVIL"/>
    <d v="2023-06-28T00:00:00"/>
    <d v="2023-07-13T19:21:05"/>
    <m/>
    <d v="2023-07-13T00:00:00"/>
    <n v="180"/>
    <n v="6780"/>
    <s v="59744067"/>
    <s v="59744067"/>
    <m/>
    <m/>
    <n v="22784080"/>
    <m/>
    <m/>
    <m/>
    <s v="SOLFIN"/>
    <s v="SOLFIN"/>
    <s v="CCMS"/>
    <n v="21370386"/>
    <n v="6653.93"/>
    <m/>
    <s v="N"/>
    <n v="31"/>
    <d v="2023-07-13T19:21:23"/>
    <s v="Y"/>
    <s v="Preparation - other"/>
    <s v="Non Family Hourly Rates"/>
    <s v="Profit Cost"/>
    <s v="BH"/>
    <s v="Y"/>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58"/>
    <d v="2023-07-13T19:21:23"/>
    <s v="Y"/>
    <s v="Preparation - other"/>
    <s v="Non Family Hourly Rates"/>
    <s v="Profit Cost"/>
    <s v="BH"/>
    <s v="Y"/>
    <n v="100.17"/>
    <n v="20.03"/>
    <x v="11"/>
    <s v="VALIDATED"/>
    <n v="1"/>
    <s v="01.11.80.212.6100.0000"/>
    <n v="100.17"/>
    <s v="11"/>
    <s v="6100"/>
    <n v="1945.47"/>
    <n v="100.17"/>
    <s v="CREDITOR"/>
    <n v="0"/>
    <n v="0"/>
    <n v="0"/>
    <n v="0"/>
    <n v="100.17"/>
  </r>
  <r>
    <n v="59744067"/>
    <s v="N"/>
    <n v="21370386"/>
    <s v="3000014111280004"/>
    <s v="CIVIL"/>
    <d v="2023-06-28T00:00:00"/>
    <d v="2023-07-13T19:21:05"/>
    <m/>
    <d v="2023-07-13T00:00:00"/>
    <n v="180"/>
    <n v="6780"/>
    <s v="59744067"/>
    <s v="59744067"/>
    <m/>
    <m/>
    <n v="22784080"/>
    <m/>
    <m/>
    <m/>
    <s v="SOLFIN"/>
    <s v="SOLFIN"/>
    <s v="CCMS"/>
    <n v="21370386"/>
    <n v="6653.93"/>
    <m/>
    <s v="N"/>
    <n v="5"/>
    <d v="2023-07-13T19:21:23"/>
    <s v="N"/>
    <s v="Preparation - other"/>
    <s v="Non Family Hourly Rates"/>
    <s v="Profit Cost"/>
    <s v="BH"/>
    <s v="N"/>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15"/>
    <d v="2023-07-13T19:21:23"/>
    <s v="N"/>
    <s v="Preparation - other"/>
    <s v="Non Family Hourly Rates"/>
    <s v="Profit Cost"/>
    <s v="SL"/>
    <s v="N"/>
    <n v="21.47"/>
    <n v="4.29"/>
    <x v="11"/>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77"/>
    <d v="2023-07-13T19:21:23"/>
    <s v="Y"/>
    <s v="Preparation - other"/>
    <s v="Non Family Hourly Rates"/>
    <s v="Profit Cost"/>
    <s v="SL"/>
    <s v="Y"/>
    <n v="21.47"/>
    <n v="4.29"/>
    <x v="11"/>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59"/>
    <d v="2023-07-13T19:21:23"/>
    <s v="Y"/>
    <s v="Attendance upon/with Counsel at Con"/>
    <s v="Non Family Hourly Rates"/>
    <s v="Profit Cost"/>
    <s v="BH"/>
    <s v="Y"/>
    <n v="23.31"/>
    <n v="4.66"/>
    <x v="11"/>
    <s v="VALIDATED"/>
    <n v="1"/>
    <s v="01.11.80.212.6100.0000"/>
    <n v="23.31"/>
    <s v="11"/>
    <s v="6100"/>
    <n v="1945.47"/>
    <n v="23.31"/>
    <s v="CREDITOR"/>
    <n v="0"/>
    <n v="0"/>
    <n v="0"/>
    <n v="0"/>
    <n v="23.31"/>
  </r>
  <r>
    <n v="59744067"/>
    <s v="N"/>
    <n v="21370386"/>
    <s v="3000014111280004"/>
    <s v="CIVIL"/>
    <d v="2023-06-28T00:00:00"/>
    <d v="2023-07-13T19:21:05"/>
    <m/>
    <d v="2023-07-13T00:00:00"/>
    <n v="180"/>
    <n v="6780"/>
    <s v="59744067"/>
    <s v="59744067"/>
    <m/>
    <m/>
    <n v="22784080"/>
    <m/>
    <m/>
    <m/>
    <s v="SOLFIN"/>
    <s v="SOLFIN"/>
    <s v="CCMS"/>
    <n v="21370386"/>
    <n v="6653.93"/>
    <m/>
    <s v="N"/>
    <n v="30"/>
    <d v="2023-07-13T19:21:23"/>
    <s v="Y"/>
    <s v="Attendance upon/with Counsel at Con"/>
    <s v="Non Family Hourly Rates"/>
    <s v="Profit Cost"/>
    <s v="BH"/>
    <s v="Y"/>
    <n v="13.32"/>
    <n v="2.66"/>
    <x v="11"/>
    <s v="VALIDATED"/>
    <n v="1"/>
    <s v="01.11.80.212.6100.0000"/>
    <n v="13.32"/>
    <s v="11"/>
    <s v="6100"/>
    <n v="1945.47"/>
    <n v="13.32"/>
    <s v="CREDITOR"/>
    <n v="0"/>
    <n v="0"/>
    <n v="0"/>
    <n v="0"/>
    <n v="13.32"/>
  </r>
  <r>
    <n v="59744067"/>
    <s v="N"/>
    <n v="21370386"/>
    <s v="3000014111280004"/>
    <s v="CIVIL"/>
    <d v="2023-06-28T00:00:00"/>
    <d v="2023-07-13T19:21:05"/>
    <m/>
    <d v="2023-07-13T00:00:00"/>
    <n v="180"/>
    <n v="6780"/>
    <s v="59744067"/>
    <s v="59744067"/>
    <m/>
    <m/>
    <n v="22784080"/>
    <m/>
    <m/>
    <m/>
    <s v="SOLFIN"/>
    <s v="SOLFIN"/>
    <s v="CCMS"/>
    <n v="21370386"/>
    <n v="6653.93"/>
    <m/>
    <s v="N"/>
    <n v="11"/>
    <d v="2023-07-13T19:21:23"/>
    <s v="N"/>
    <s v="Attendance upon/with Counsel at Con"/>
    <s v="Non Family Hourly Rates"/>
    <s v="Profit Cost"/>
    <s v="BH"/>
    <s v="N"/>
    <n v="16.65"/>
    <n v="3.33"/>
    <x v="11"/>
    <s v="VALIDATED"/>
    <n v="1"/>
    <s v="01.11.80.212.6100.0000"/>
    <n v="16.65"/>
    <s v="11"/>
    <s v="6100"/>
    <n v="1945.47"/>
    <n v="16.65"/>
    <s v="CREDITOR"/>
    <n v="0"/>
    <n v="0"/>
    <n v="0"/>
    <n v="0"/>
    <n v="16.65"/>
  </r>
  <r>
    <n v="59744067"/>
    <s v="N"/>
    <n v="21370386"/>
    <s v="3000014111280004"/>
    <s v="CIVIL"/>
    <d v="2023-06-28T00:00:00"/>
    <d v="2023-07-13T19:21:05"/>
    <m/>
    <d v="2023-07-13T00:00:00"/>
    <n v="180"/>
    <n v="6780"/>
    <s v="59744067"/>
    <s v="59744067"/>
    <m/>
    <m/>
    <n v="22784080"/>
    <m/>
    <m/>
    <m/>
    <s v="SOLFIN"/>
    <s v="SOLFIN"/>
    <s v="CCMS"/>
    <n v="21370386"/>
    <n v="6653.93"/>
    <m/>
    <s v="N"/>
    <n v="16"/>
    <d v="2023-07-13T19:21:23"/>
    <s v="N"/>
    <s v="Preparation - other"/>
    <s v="Non Family Hourly Rates"/>
    <s v="Profit Cost"/>
    <s v="SL"/>
    <s v="N"/>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21"/>
    <d v="2023-07-13T19:21:23"/>
    <s v="Y"/>
    <s v="Preparation - other"/>
    <s v="Non Family Hourly Rates"/>
    <s v="Profit Cost"/>
    <s v="SL"/>
    <s v="Y"/>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12"/>
    <d v="2023-07-13T19:21:23"/>
    <s v="N"/>
    <s v="Preparation - other"/>
    <s v="Non Family Hourly Rates"/>
    <s v="Profit Cost"/>
    <s v="BH"/>
    <s v="N"/>
    <n v="14.31"/>
    <n v="2.86"/>
    <x v="11"/>
    <s v="VALIDATED"/>
    <n v="1"/>
    <s v="01.11.80.212.6100.0000"/>
    <n v="14.31"/>
    <s v="11"/>
    <s v="6100"/>
    <n v="1945.47"/>
    <n v="14.31"/>
    <s v="CREDITOR"/>
    <n v="0"/>
    <n v="0"/>
    <n v="0"/>
    <n v="0"/>
    <n v="14.31"/>
  </r>
  <r>
    <n v="61295334"/>
    <s v="N"/>
    <n v="21319064"/>
    <s v="3000015391000002"/>
    <s v="CIVIL"/>
    <d v="2023-06-21T00:00:00"/>
    <d v="2023-07-03T19:01:49"/>
    <m/>
    <d v="2023-07-03T00:00:00"/>
    <n v="180"/>
    <n v="6780"/>
    <s v="61295334"/>
    <s v="61295334"/>
    <m/>
    <m/>
    <n v="22736734"/>
    <m/>
    <m/>
    <m/>
    <s v="SOLFIN"/>
    <s v="SOLFIN"/>
    <s v="CCMS"/>
    <n v="21319064"/>
    <n v="2068.39"/>
    <m/>
    <s v="N"/>
    <n v="21"/>
    <d v="2023-07-03T19:02:09"/>
    <s v="Y"/>
    <s v="Preparation - other"/>
    <s v="Non Family Hourly Rates"/>
    <s v="Profit Cost"/>
    <s v="MC"/>
    <s v="Y"/>
    <n v="14.31"/>
    <n v="2.86"/>
    <x v="3"/>
    <s v="VALIDATED"/>
    <n v="1"/>
    <s v="01.11.80.212.6100.0000"/>
    <n v="14.31"/>
    <s v="11"/>
    <s v="6100"/>
    <n v="1945.47"/>
    <n v="14.31"/>
    <s v="CREDITOR"/>
    <n v="0"/>
    <n v="0"/>
    <n v="0"/>
    <n v="0"/>
    <n v="14.31"/>
  </r>
  <r>
    <n v="61295334"/>
    <s v="N"/>
    <n v="21319064"/>
    <s v="3000015391000002"/>
    <s v="CIVIL"/>
    <d v="2023-06-21T00:00:00"/>
    <d v="2023-07-03T19:01:49"/>
    <m/>
    <d v="2023-07-03T00:00:00"/>
    <n v="180"/>
    <n v="6780"/>
    <s v="61295334"/>
    <s v="61295334"/>
    <m/>
    <m/>
    <n v="22736734"/>
    <m/>
    <m/>
    <m/>
    <s v="SOLFIN"/>
    <s v="SOLFIN"/>
    <s v="CCMS"/>
    <n v="21319064"/>
    <n v="2068.39"/>
    <m/>
    <s v="N"/>
    <n v="2"/>
    <d v="2023-07-03T19:02:09"/>
    <s v="Y"/>
    <s v="Interpreter"/>
    <s v="Non Family Hourly Rates"/>
    <s v="Expert Disbursement"/>
    <s v="MC"/>
    <s v="Y"/>
    <n v="31.25"/>
    <n v="6.25"/>
    <x v="3"/>
    <s v="VALIDATED"/>
    <n v="1"/>
    <s v="01.11.80.212.6300.0000"/>
    <n v="31.25"/>
    <s v="11"/>
    <s v="6300"/>
    <n v="1945.47"/>
    <n v="31.25"/>
    <s v="CREDITOR"/>
    <n v="0"/>
    <n v="0"/>
    <n v="0"/>
    <n v="0"/>
    <n v="31.25"/>
  </r>
  <r>
    <n v="61295334"/>
    <s v="N"/>
    <n v="21319064"/>
    <s v="3000015391000002"/>
    <s v="CIVIL"/>
    <d v="2023-06-21T00:00:00"/>
    <d v="2023-07-03T19:01:49"/>
    <m/>
    <d v="2023-07-03T00:00:00"/>
    <n v="180"/>
    <n v="6780"/>
    <s v="61295334"/>
    <s v="61295334"/>
    <m/>
    <m/>
    <n v="22736734"/>
    <m/>
    <m/>
    <m/>
    <s v="SOLFIN"/>
    <s v="SOLFIN"/>
    <s v="CCMS"/>
    <n v="21319064"/>
    <n v="2068.39"/>
    <m/>
    <s v="N"/>
    <n v="3"/>
    <d v="2023-07-03T19:02:09"/>
    <s v="Y"/>
    <s v="Interpreter"/>
    <s v="Non Family Hourly Rates"/>
    <s v="Expert Disbursement"/>
    <s v="MC"/>
    <s v="Y"/>
    <n v="6.23"/>
    <n v="1.25"/>
    <x v="3"/>
    <s v="VALIDATED"/>
    <n v="1"/>
    <s v="01.11.80.212.6300.0000"/>
    <n v="6.23"/>
    <s v="11"/>
    <s v="6300"/>
    <n v="1945.47"/>
    <n v="6.23"/>
    <s v="CREDITOR"/>
    <n v="0"/>
    <n v="0"/>
    <n v="0"/>
    <n v="0"/>
    <n v="6.23"/>
  </r>
  <r>
    <n v="59744067"/>
    <s v="N"/>
    <n v="21370386"/>
    <s v="3000014111280004"/>
    <s v="CIVIL"/>
    <d v="2023-06-28T00:00:00"/>
    <d v="2023-07-13T19:21:05"/>
    <m/>
    <d v="2023-07-13T00:00:00"/>
    <n v="180"/>
    <n v="6780"/>
    <s v="59744067"/>
    <s v="59744067"/>
    <m/>
    <m/>
    <n v="22784080"/>
    <m/>
    <m/>
    <m/>
    <s v="SOLFIN"/>
    <s v="SOLFIN"/>
    <s v="CCMS"/>
    <n v="21370386"/>
    <n v="6653.93"/>
    <m/>
    <s v="N"/>
    <n v="37"/>
    <d v="2023-07-13T19:21:23"/>
    <s v="Y"/>
    <s v="Preparation - other"/>
    <s v="Non Family Hourly Rates"/>
    <s v="Profit Cost"/>
    <s v="BH"/>
    <s v="Y"/>
    <n v="35.78"/>
    <n v="7.16"/>
    <x v="11"/>
    <s v="VALIDATED"/>
    <n v="1"/>
    <s v="01.11.80.212.6100.0000"/>
    <n v="35.78"/>
    <s v="11"/>
    <s v="6100"/>
    <n v="1945.47"/>
    <n v="35.78"/>
    <s v="CREDITOR"/>
    <n v="0"/>
    <n v="0"/>
    <n v="0"/>
    <n v="0"/>
    <n v="35.78"/>
  </r>
  <r>
    <n v="59744067"/>
    <s v="N"/>
    <n v="21370386"/>
    <s v="3000014111280004"/>
    <s v="CIVIL"/>
    <d v="2023-06-28T00:00:00"/>
    <d v="2023-07-13T19:21:05"/>
    <m/>
    <d v="2023-07-13T00:00:00"/>
    <n v="180"/>
    <n v="6780"/>
    <s v="59744067"/>
    <s v="59744067"/>
    <m/>
    <m/>
    <n v="22784080"/>
    <m/>
    <m/>
    <m/>
    <s v="SOLFIN"/>
    <s v="SOLFIN"/>
    <s v="CCMS"/>
    <n v="21370386"/>
    <n v="6653.93"/>
    <m/>
    <s v="N"/>
    <n v="60"/>
    <d v="2023-07-13T19:21:23"/>
    <s v="Y"/>
    <s v="Preparation - other"/>
    <s v="Non Family Hourly Rates"/>
    <s v="Profit Cost"/>
    <s v="SL"/>
    <s v="Y"/>
    <n v="64.40000000000001"/>
    <n v="12.88"/>
    <x v="11"/>
    <s v="VALIDATED"/>
    <n v="1"/>
    <s v="01.11.80.212.6100.0000"/>
    <n v="64.40000000000001"/>
    <s v="11"/>
    <s v="6100"/>
    <n v="1945.47"/>
    <n v="64.40000000000001"/>
    <s v="CREDITOR"/>
    <n v="0"/>
    <n v="0"/>
    <n v="0"/>
    <n v="0"/>
    <n v="64.40000000000001"/>
  </r>
  <r>
    <n v="61295334"/>
    <s v="N"/>
    <n v="21319064"/>
    <s v="3000015391000002"/>
    <s v="CIVIL"/>
    <d v="2023-06-21T00:00:00"/>
    <d v="2023-07-03T19:01:49"/>
    <m/>
    <d v="2023-07-03T00:00:00"/>
    <n v="180"/>
    <n v="6780"/>
    <s v="61295334"/>
    <s v="61295334"/>
    <m/>
    <m/>
    <n v="22736734"/>
    <m/>
    <m/>
    <m/>
    <s v="SOLFIN"/>
    <s v="SOLFIN"/>
    <s v="CCMS"/>
    <n v="21319064"/>
    <n v="2068.39"/>
    <m/>
    <s v="N"/>
    <n v="20"/>
    <d v="2023-07-03T19:02:09"/>
    <s v="Y"/>
    <s v="Preparation - other"/>
    <s v="Non Family Hourly Rates"/>
    <s v="Profit Cost"/>
    <s v="MC"/>
    <s v="Y"/>
    <n v="21.47"/>
    <n v="4.29"/>
    <x v="3"/>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39"/>
    <d v="2023-07-13T19:21:23"/>
    <s v="Y"/>
    <s v="Preparation - drafting application"/>
    <s v="Non Family Hourly Rates"/>
    <s v="Profit Cost"/>
    <s v="SL"/>
    <s v="Y"/>
    <n v="42.93"/>
    <n v="8.59"/>
    <x v="11"/>
    <s v="VALIDATED"/>
    <n v="1"/>
    <s v="01.11.80.212.6100.0000"/>
    <n v="42.93"/>
    <s v="11"/>
    <s v="6100"/>
    <n v="1945.47"/>
    <n v="42.93"/>
    <s v="CREDITOR"/>
    <n v="0"/>
    <n v="0"/>
    <n v="0"/>
    <n v="0"/>
    <n v="42.93"/>
  </r>
  <r>
    <n v="59744067"/>
    <s v="N"/>
    <n v="21370386"/>
    <s v="3000014111280004"/>
    <s v="CIVIL"/>
    <d v="2023-06-28T00:00:00"/>
    <d v="2023-07-13T19:21:05"/>
    <m/>
    <d v="2023-07-13T00:00:00"/>
    <n v="180"/>
    <n v="6780"/>
    <s v="59744067"/>
    <s v="59744067"/>
    <m/>
    <m/>
    <n v="22784080"/>
    <m/>
    <m/>
    <m/>
    <s v="SOLFIN"/>
    <s v="SOLFIN"/>
    <s v="CCMS"/>
    <n v="21370386"/>
    <n v="6653.93"/>
    <m/>
    <s v="N"/>
    <n v="53"/>
    <d v="2023-07-13T19:21:23"/>
    <s v="Y"/>
    <s v="Preparation - other"/>
    <s v="Non Family Hourly Rates"/>
    <s v="Profit Cost"/>
    <s v="SL"/>
    <s v="Y"/>
    <n v="21.47"/>
    <n v="4.29"/>
    <x v="11"/>
    <s v="VALIDATED"/>
    <n v="1"/>
    <s v="01.11.80.212.6100.0000"/>
    <n v="21.47"/>
    <s v="11"/>
    <s v="6100"/>
    <n v="1945.47"/>
    <n v="21.47"/>
    <s v="CREDITOR"/>
    <n v="0"/>
    <n v="0"/>
    <n v="0"/>
    <n v="0"/>
    <n v="21.47"/>
  </r>
  <r>
    <n v="61295334"/>
    <s v="N"/>
    <n v="21319064"/>
    <s v="3000015391000002"/>
    <s v="CIVIL"/>
    <d v="2023-06-21T00:00:00"/>
    <d v="2023-07-03T19:01:49"/>
    <m/>
    <d v="2023-07-03T00:00:00"/>
    <n v="180"/>
    <n v="6780"/>
    <s v="61295334"/>
    <s v="61295334"/>
    <m/>
    <m/>
    <n v="22736734"/>
    <m/>
    <m/>
    <m/>
    <s v="SOLFIN"/>
    <s v="SOLFIN"/>
    <s v="CCMS"/>
    <n v="21319064"/>
    <n v="2068.39"/>
    <m/>
    <s v="N"/>
    <n v="26"/>
    <d v="2023-07-03T19:02:09"/>
    <s v="Y"/>
    <s v="Routine Letter Out"/>
    <s v="Non Family Hourly Rates"/>
    <s v="Profit Cost"/>
    <s v="MC"/>
    <s v="Y"/>
    <n v="290.25"/>
    <n v="58.06"/>
    <x v="3"/>
    <s v="VALIDATED"/>
    <n v="1"/>
    <s v="01.11.80.212.6100.0000"/>
    <n v="290.25"/>
    <s v="11"/>
    <s v="6100"/>
    <n v="1945.47"/>
    <n v="290.25"/>
    <s v="CREDITOR"/>
    <n v="0"/>
    <n v="0"/>
    <n v="0"/>
    <n v="0"/>
    <n v="290.25"/>
  </r>
  <r>
    <n v="59744067"/>
    <s v="N"/>
    <n v="21370386"/>
    <s v="3000014111280004"/>
    <s v="CIVIL"/>
    <d v="2023-06-28T00:00:00"/>
    <d v="2023-07-13T19:21:05"/>
    <m/>
    <d v="2023-07-13T00:00:00"/>
    <n v="180"/>
    <n v="6780"/>
    <s v="59744067"/>
    <s v="59744067"/>
    <m/>
    <m/>
    <n v="22784080"/>
    <m/>
    <m/>
    <m/>
    <s v="SOLFIN"/>
    <s v="SOLFIN"/>
    <s v="CCMS"/>
    <n v="21370386"/>
    <n v="6653.93"/>
    <m/>
    <s v="N"/>
    <n v="45"/>
    <d v="2023-07-13T19:21:23"/>
    <s v="Y"/>
    <s v="Attendance upon/with Counsel at Con"/>
    <s v="Non Family Hourly Rates"/>
    <s v="Profit Cost"/>
    <s v="BH"/>
    <s v="Y"/>
    <n v="6.66"/>
    <n v="1.33"/>
    <x v="11"/>
    <s v="VALIDATED"/>
    <n v="1"/>
    <s v="01.11.80.212.6100.0000"/>
    <n v="6.66"/>
    <s v="11"/>
    <s v="6100"/>
    <n v="1945.47"/>
    <n v="6.66"/>
    <s v="CREDITOR"/>
    <n v="0"/>
    <n v="0"/>
    <n v="0"/>
    <n v="0"/>
    <n v="6.66"/>
  </r>
  <r>
    <n v="59744067"/>
    <s v="N"/>
    <n v="21370386"/>
    <s v="3000014111280004"/>
    <s v="CIVIL"/>
    <d v="2023-06-28T00:00:00"/>
    <d v="2023-07-13T19:21:05"/>
    <m/>
    <d v="2023-07-13T00:00:00"/>
    <n v="180"/>
    <n v="6780"/>
    <s v="59744067"/>
    <s v="59744067"/>
    <m/>
    <m/>
    <n v="22784080"/>
    <m/>
    <m/>
    <m/>
    <s v="SOLFIN"/>
    <s v="SOLFIN"/>
    <s v="CCMS"/>
    <n v="21370386"/>
    <n v="6653.93"/>
    <m/>
    <s v="N"/>
    <n v="8"/>
    <d v="2023-07-13T19:21:23"/>
    <s v="N"/>
    <s v="Preparation - other"/>
    <s v="Non Family Hourly Rates"/>
    <s v="Profit Cost"/>
    <s v="SL"/>
    <s v="N"/>
    <n v="93.02"/>
    <n v="18.6"/>
    <x v="11"/>
    <s v="VALIDATED"/>
    <n v="1"/>
    <s v="01.11.80.212.6100.0000"/>
    <n v="93.02"/>
    <s v="11"/>
    <s v="6100"/>
    <n v="1945.47"/>
    <n v="93.02"/>
    <s v="CREDITOR"/>
    <n v="0"/>
    <n v="0"/>
    <n v="0"/>
    <n v="0"/>
    <n v="93.02"/>
  </r>
  <r>
    <n v="59744067"/>
    <s v="N"/>
    <n v="21370386"/>
    <s v="3000014111280004"/>
    <s v="CIVIL"/>
    <d v="2023-06-28T00:00:00"/>
    <d v="2023-07-13T19:21:05"/>
    <m/>
    <d v="2023-07-13T00:00:00"/>
    <n v="180"/>
    <n v="6780"/>
    <s v="59744067"/>
    <s v="59744067"/>
    <m/>
    <m/>
    <n v="22784080"/>
    <m/>
    <m/>
    <m/>
    <s v="SOLFIN"/>
    <s v="SOLFIN"/>
    <s v="CCMS"/>
    <n v="21370386"/>
    <n v="6653.93"/>
    <m/>
    <s v="N"/>
    <n v="18"/>
    <d v="2023-07-13T19:21:23"/>
    <s v="Y"/>
    <s v="Preparation - other"/>
    <s v="Non Family Hourly Rates"/>
    <s v="Profit Cost"/>
    <s v="BH"/>
    <s v="Y"/>
    <n v="183.56"/>
    <n v="36.71"/>
    <x v="11"/>
    <s v="VALIDATED"/>
    <n v="1"/>
    <s v="01.11.80.212.6100.0000"/>
    <n v="183.56"/>
    <s v="11"/>
    <s v="6100"/>
    <n v="1945.47"/>
    <n v="183.56"/>
    <s v="CREDITOR"/>
    <n v="0"/>
    <n v="0"/>
    <n v="0"/>
    <n v="0"/>
    <n v="183.56"/>
  </r>
  <r>
    <n v="59744067"/>
    <s v="N"/>
    <n v="21370386"/>
    <s v="3000014111280004"/>
    <s v="CIVIL"/>
    <d v="2023-06-28T00:00:00"/>
    <d v="2023-07-13T19:21:05"/>
    <m/>
    <d v="2023-07-13T00:00:00"/>
    <n v="180"/>
    <n v="6780"/>
    <s v="59744067"/>
    <s v="59744067"/>
    <m/>
    <m/>
    <n v="22784080"/>
    <m/>
    <m/>
    <m/>
    <s v="SOLFIN"/>
    <s v="SOLFIN"/>
    <s v="CCMS"/>
    <n v="21370386"/>
    <n v="6653.93"/>
    <m/>
    <s v="N"/>
    <n v="35"/>
    <d v="2023-07-13T19:21:23"/>
    <s v="Y"/>
    <s v="Preparation - other"/>
    <s v="Non Family Hourly Rates"/>
    <s v="Profit Cost"/>
    <s v="SL"/>
    <s v="Y"/>
    <n v="71.55"/>
    <n v="14.31"/>
    <x v="11"/>
    <s v="VALIDATED"/>
    <n v="1"/>
    <s v="01.11.80.212.6100.0000"/>
    <n v="71.55"/>
    <s v="11"/>
    <s v="6100"/>
    <n v="1945.47"/>
    <n v="71.55"/>
    <s v="CREDITOR"/>
    <n v="0"/>
    <n v="0"/>
    <n v="0"/>
    <n v="0"/>
    <n v="71.55"/>
  </r>
  <r>
    <n v="59744067"/>
    <s v="N"/>
    <n v="21370386"/>
    <s v="3000014111280004"/>
    <s v="CIVIL"/>
    <d v="2023-06-28T00:00:00"/>
    <d v="2023-07-13T19:21:05"/>
    <m/>
    <d v="2023-07-13T00:00:00"/>
    <n v="180"/>
    <n v="6780"/>
    <s v="59744067"/>
    <s v="59744067"/>
    <m/>
    <m/>
    <n v="22784080"/>
    <m/>
    <m/>
    <m/>
    <s v="SOLFIN"/>
    <s v="SOLFIN"/>
    <s v="CCMS"/>
    <n v="21370386"/>
    <n v="6653.93"/>
    <m/>
    <s v="N"/>
    <n v="41"/>
    <d v="2023-07-13T19:21:23"/>
    <s v="Y"/>
    <s v="Attendance upon/with Counsel at Con"/>
    <s v="Non Family Hourly Rates"/>
    <s v="Profit Cost"/>
    <s v="BH"/>
    <s v="Y"/>
    <n v="9.99"/>
    <n v="2"/>
    <x v="11"/>
    <s v="VALIDATED"/>
    <n v="1"/>
    <s v="01.11.80.212.6100.0000"/>
    <n v="9.99"/>
    <s v="11"/>
    <s v="6100"/>
    <n v="1945.47"/>
    <n v="9.99"/>
    <s v="CREDITOR"/>
    <n v="0"/>
    <n v="0"/>
    <n v="0"/>
    <n v="0"/>
    <n v="9.99"/>
  </r>
  <r>
    <n v="59744067"/>
    <s v="N"/>
    <n v="21370386"/>
    <s v="3000014111280004"/>
    <s v="CIVIL"/>
    <d v="2023-06-28T00:00:00"/>
    <d v="2023-07-13T19:21:05"/>
    <m/>
    <d v="2023-07-13T00:00:00"/>
    <n v="180"/>
    <n v="6780"/>
    <s v="59744067"/>
    <s v="59744067"/>
    <m/>
    <m/>
    <n v="22784080"/>
    <m/>
    <m/>
    <m/>
    <s v="SOLFIN"/>
    <s v="SOLFIN"/>
    <s v="CCMS"/>
    <n v="21370386"/>
    <n v="6653.93"/>
    <m/>
    <s v="N"/>
    <n v="34"/>
    <d v="2023-07-13T19:21:23"/>
    <s v="Y"/>
    <s v="Preparation - drafting application"/>
    <s v="Non Family Hourly Rates"/>
    <s v="Profit Cost"/>
    <s v="SL"/>
    <s v="Y"/>
    <n v="57.24"/>
    <n v="11.45"/>
    <x v="11"/>
    <s v="VALIDATED"/>
    <n v="1"/>
    <s v="01.11.80.212.6100.0000"/>
    <n v="57.24"/>
    <s v="11"/>
    <s v="6100"/>
    <n v="1945.47"/>
    <n v="57.24"/>
    <s v="CREDITOR"/>
    <n v="0"/>
    <n v="0"/>
    <n v="0"/>
    <n v="0"/>
    <n v="57.24"/>
  </r>
  <r>
    <n v="59744067"/>
    <s v="N"/>
    <n v="21370386"/>
    <s v="3000014111280004"/>
    <s v="CIVIL"/>
    <d v="2023-06-28T00:00:00"/>
    <d v="2023-07-13T19:21:05"/>
    <m/>
    <d v="2023-07-13T00:00:00"/>
    <n v="180"/>
    <n v="6780"/>
    <s v="59744067"/>
    <s v="59744067"/>
    <m/>
    <m/>
    <n v="22784080"/>
    <m/>
    <m/>
    <m/>
    <s v="SOLFIN"/>
    <s v="SOLFIN"/>
    <s v="CCMS"/>
    <n v="21370386"/>
    <n v="6653.93"/>
    <m/>
    <s v="N"/>
    <n v="49"/>
    <d v="2023-07-13T19:21:23"/>
    <s v="Y"/>
    <s v="Preparation - other"/>
    <s v="Non Family Hourly Rates"/>
    <s v="Profit Cost"/>
    <s v="SL"/>
    <s v="Y"/>
    <n v="21.47"/>
    <n v="4.29"/>
    <x v="11"/>
    <s v="VALIDATED"/>
    <n v="1"/>
    <s v="01.11.80.212.6100.0000"/>
    <n v="21.47"/>
    <s v="11"/>
    <s v="6100"/>
    <n v="1945.47"/>
    <n v="21.47"/>
    <s v="CREDITOR"/>
    <n v="0"/>
    <n v="0"/>
    <n v="0"/>
    <n v="0"/>
    <n v="21.47"/>
  </r>
  <r>
    <n v="59744067"/>
    <s v="N"/>
    <n v="21370386"/>
    <s v="3000014111280004"/>
    <s v="CIVIL"/>
    <d v="2023-06-28T00:00:00"/>
    <d v="2023-07-13T19:21:05"/>
    <m/>
    <d v="2023-07-13T00:00:00"/>
    <n v="180"/>
    <n v="6780"/>
    <s v="59744067"/>
    <s v="59744067"/>
    <m/>
    <m/>
    <n v="22784080"/>
    <m/>
    <m/>
    <m/>
    <s v="SOLFIN"/>
    <s v="SOLFIN"/>
    <s v="CCMS"/>
    <n v="21370386"/>
    <n v="6653.93"/>
    <m/>
    <s v="N"/>
    <n v="72"/>
    <d v="2023-07-13T19:21:23"/>
    <s v="Y"/>
    <s v="Preparation - other"/>
    <s v="Non Family Hourly Rates"/>
    <s v="Profit Cost"/>
    <s v="SL"/>
    <s v="Y"/>
    <n v="28.62"/>
    <n v="5.72"/>
    <x v="11"/>
    <s v="VALIDATED"/>
    <n v="1"/>
    <s v="01.11.80.212.6100.0000"/>
    <n v="28.62"/>
    <s v="11"/>
    <s v="6100"/>
    <n v="1945.47"/>
    <n v="28.62"/>
    <s v="CREDITOR"/>
    <n v="0"/>
    <n v="0"/>
    <n v="0"/>
    <n v="0"/>
    <n v="28.62"/>
  </r>
  <r>
    <n v="61295334"/>
    <s v="N"/>
    <n v="21319064"/>
    <s v="3000015391000002"/>
    <s v="CIVIL"/>
    <d v="2023-06-21T00:00:00"/>
    <d v="2023-07-03T19:01:49"/>
    <m/>
    <d v="2023-07-03T00:00:00"/>
    <n v="180"/>
    <n v="6780"/>
    <s v="61295334"/>
    <s v="61295334"/>
    <m/>
    <m/>
    <n v="22736734"/>
    <m/>
    <m/>
    <m/>
    <s v="SOLFIN"/>
    <s v="SOLFIN"/>
    <s v="CCMS"/>
    <n v="21319064"/>
    <n v="2068.39"/>
    <m/>
    <s v="N"/>
    <n v="1"/>
    <d v="2023-07-03T19:02:09"/>
    <s v="Y"/>
    <s v="Interpreter"/>
    <s v="Non Family Hourly Rates"/>
    <s v="Expert Disbursement"/>
    <s v="MC"/>
    <s v="Y"/>
    <n v="25"/>
    <n v="5"/>
    <x v="3"/>
    <s v="VALIDATED"/>
    <n v="1"/>
    <s v="01.11.80.212.6300.0000"/>
    <n v="25"/>
    <s v="11"/>
    <s v="6300"/>
    <n v="1945.47"/>
    <n v="25"/>
    <s v="CREDITOR"/>
    <n v="0"/>
    <n v="0"/>
    <n v="0"/>
    <n v="0"/>
    <n v="25"/>
  </r>
  <r>
    <n v="59744067"/>
    <s v="N"/>
    <n v="21370386"/>
    <s v="3000014111280004"/>
    <s v="CIVIL"/>
    <d v="2023-06-28T00:00:00"/>
    <d v="2023-07-13T19:21:05"/>
    <m/>
    <d v="2023-07-13T00:00:00"/>
    <n v="180"/>
    <n v="6780"/>
    <s v="59744067"/>
    <s v="59744067"/>
    <m/>
    <m/>
    <n v="22784080"/>
    <m/>
    <m/>
    <m/>
    <s v="SOLFIN"/>
    <s v="SOLFIN"/>
    <s v="CCMS"/>
    <n v="21370386"/>
    <n v="6653.93"/>
    <m/>
    <s v="N"/>
    <n v="64"/>
    <d v="2023-07-13T19:21:23"/>
    <s v="Y"/>
    <s v="Preparation - other"/>
    <s v="Non Family Hourly Rates"/>
    <s v="Profit Cost"/>
    <s v="SL"/>
    <s v="Y"/>
    <n v="14.31"/>
    <n v="2.86"/>
    <x v="11"/>
    <s v="VALIDATED"/>
    <n v="1"/>
    <s v="01.11.80.212.6100.0000"/>
    <n v="14.31"/>
    <s v="11"/>
    <s v="6100"/>
    <n v="1945.47"/>
    <n v="14.31"/>
    <s v="CREDITOR"/>
    <n v="0"/>
    <n v="0"/>
    <n v="0"/>
    <n v="0"/>
    <n v="14.31"/>
  </r>
  <r>
    <n v="59744067"/>
    <s v="N"/>
    <n v="21370386"/>
    <s v="3000014111280004"/>
    <s v="CIVIL"/>
    <d v="2023-06-28T00:00:00"/>
    <d v="2023-07-13T19:21:05"/>
    <m/>
    <d v="2023-07-13T00:00:00"/>
    <n v="180"/>
    <n v="6780"/>
    <s v="59744067"/>
    <s v="59744067"/>
    <m/>
    <m/>
    <n v="22784080"/>
    <m/>
    <m/>
    <m/>
    <s v="SOLFIN"/>
    <s v="SOLFIN"/>
    <s v="CCMS"/>
    <n v="21370386"/>
    <n v="6653.93"/>
    <m/>
    <s v="N"/>
    <n v="19"/>
    <d v="2023-07-13T19:21:23"/>
    <s v="N"/>
    <s v="Preparation - other"/>
    <s v="Non Family Hourly Rates"/>
    <s v="Profit Cost"/>
    <s v="BH"/>
    <s v="N"/>
    <n v="596.34"/>
    <n v="119.26"/>
    <x v="11"/>
    <s v="VALIDATED"/>
    <n v="1"/>
    <s v="01.11.80.212.6100.0000"/>
    <n v="596.34"/>
    <s v="11"/>
    <s v="6100"/>
    <n v="1945.47"/>
    <n v="596.34"/>
    <s v="CREDITOR"/>
    <n v="0"/>
    <n v="0"/>
    <n v="0"/>
    <n v="0"/>
    <n v="596.34"/>
  </r>
  <r>
    <n v="59744067"/>
    <s v="N"/>
    <n v="21370386"/>
    <s v="3000014111280004"/>
    <s v="CIVIL"/>
    <d v="2023-06-28T00:00:00"/>
    <d v="2023-07-13T19:21:05"/>
    <m/>
    <d v="2023-07-13T00:00:00"/>
    <n v="180"/>
    <n v="6780"/>
    <s v="59744067"/>
    <s v="59744067"/>
    <m/>
    <m/>
    <n v="22784080"/>
    <m/>
    <m/>
    <m/>
    <s v="SOLFIN"/>
    <s v="SOLFIN"/>
    <s v="CCMS"/>
    <n v="21370386"/>
    <n v="6653.93"/>
    <m/>
    <s v="N"/>
    <n v="47"/>
    <d v="2023-07-13T19:21:23"/>
    <s v="Y"/>
    <s v="Preparation - other"/>
    <s v="Non Family Hourly Rates"/>
    <s v="Profit Cost"/>
    <s v="BH"/>
    <s v="Y"/>
    <n v="14.31"/>
    <n v="2.86"/>
    <x v="11"/>
    <s v="VALIDATED"/>
    <n v="1"/>
    <s v="01.11.80.212.6100.0000"/>
    <n v="14.31"/>
    <s v="11"/>
    <s v="6100"/>
    <n v="1945.47"/>
    <n v="14.31"/>
    <s v="CREDITOR"/>
    <n v="0"/>
    <n v="0"/>
    <n v="0"/>
    <n v="0"/>
    <n v="14.31"/>
  </r>
  <r>
    <n v="59744067"/>
    <s v="N"/>
    <n v="21370386"/>
    <s v="3000014111280004"/>
    <s v="CIVIL"/>
    <d v="2023-06-28T00:00:00"/>
    <d v="2023-07-13T19:21:05"/>
    <m/>
    <d v="2023-07-13T00:00:00"/>
    <n v="180"/>
    <n v="6780"/>
    <s v="59744067"/>
    <s v="59744067"/>
    <m/>
    <m/>
    <n v="22784080"/>
    <m/>
    <m/>
    <m/>
    <s v="SOLFIN"/>
    <s v="SOLFIN"/>
    <s v="CCMS"/>
    <n v="21370386"/>
    <n v="6653.93"/>
    <m/>
    <s v="N"/>
    <n v="71"/>
    <d v="2023-07-13T19:21:23"/>
    <s v="Y"/>
    <s v="Attendance upon other"/>
    <s v="Non Family Hourly Rates"/>
    <s v="Profit Cost"/>
    <s v="SL"/>
    <s v="Y"/>
    <n v="57.24"/>
    <n v="11.45"/>
    <x v="11"/>
    <s v="VALIDATED"/>
    <n v="1"/>
    <s v="01.11.80.212.6100.0000"/>
    <n v="57.24"/>
    <s v="11"/>
    <s v="6100"/>
    <n v="1945.47"/>
    <n v="57.24"/>
    <s v="CREDITOR"/>
    <n v="0"/>
    <n v="0"/>
    <n v="0"/>
    <n v="0"/>
    <n v="57.24"/>
  </r>
  <r>
    <n v="61295334"/>
    <s v="N"/>
    <n v="21319064"/>
    <s v="3000015391000002"/>
    <s v="CIVIL"/>
    <d v="2023-06-21T00:00:00"/>
    <d v="2023-07-03T19:01:49"/>
    <m/>
    <d v="2023-07-03T00:00:00"/>
    <n v="180"/>
    <n v="6780"/>
    <s v="61295334"/>
    <s v="61295334"/>
    <m/>
    <m/>
    <n v="22736734"/>
    <m/>
    <m/>
    <m/>
    <s v="SOLFIN"/>
    <s v="SOLFIN"/>
    <s v="CCMS"/>
    <n v="21319064"/>
    <n v="2068.39"/>
    <m/>
    <s v="N"/>
    <n v="14"/>
    <d v="2023-07-03T19:02:09"/>
    <s v="Y"/>
    <s v="Preparation - drafting application"/>
    <s v="Non Family Hourly Rates"/>
    <s v="Profit Cost"/>
    <s v="MC"/>
    <s v="Y"/>
    <n v="35.78"/>
    <n v="7.16"/>
    <x v="3"/>
    <s v="VALIDATED"/>
    <n v="1"/>
    <s v="01.11.80.212.6100.0000"/>
    <n v="35.78"/>
    <s v="11"/>
    <s v="6100"/>
    <n v="1945.47"/>
    <n v="35.78"/>
    <s v="CREDITOR"/>
    <n v="0"/>
    <n v="0"/>
    <n v="0"/>
    <n v="0"/>
    <n v="35.78"/>
  </r>
  <r>
    <n v="59744067"/>
    <s v="N"/>
    <n v="21371584"/>
    <s v="3000014111280001RC"/>
    <s v="CIVIL"/>
    <d v="2023-06-28T00:00:00"/>
    <d v="2023-07-13T19:53:16"/>
    <m/>
    <d v="2023-07-13T00:00:00"/>
    <n v="180"/>
    <n v="6780"/>
    <s v="59744067"/>
    <s v="59744067"/>
    <m/>
    <m/>
    <m/>
    <m/>
    <m/>
    <m/>
    <s v="SOLRECOUP"/>
    <s v="SOLRECOUP"/>
    <s v="POARECOUP"/>
    <n v="21371584"/>
    <n v="-5323.2"/>
    <m/>
    <s v="Y"/>
    <n v="2"/>
    <d v="2023-07-13T19:53:16"/>
    <s v="N"/>
    <m/>
    <m/>
    <s v="Profit Cost"/>
    <m/>
    <s v="N"/>
    <n v="0"/>
    <n v="-887.2"/>
    <x v="11"/>
    <s v="VALIDATED"/>
    <n v="1"/>
    <s v="01.11.80.212.2013.0000"/>
    <n v="-887.2"/>
    <s v="11"/>
    <s v="2013"/>
    <n v="1945.47"/>
    <n v="-887.2"/>
    <s v="CREDITOR"/>
    <n v="0"/>
    <n v="0"/>
    <n v="-887.2"/>
    <n v="-221.8"/>
    <n v="0"/>
  </r>
  <r>
    <n v="59744067"/>
    <s v="N"/>
    <n v="21371584"/>
    <s v="3000014111280001RC"/>
    <s v="CIVIL"/>
    <d v="2023-06-28T00:00:00"/>
    <d v="2023-07-13T19:53:16"/>
    <m/>
    <d v="2023-07-13T00:00:00"/>
    <n v="180"/>
    <n v="6780"/>
    <s v="59744067"/>
    <s v="59744067"/>
    <m/>
    <m/>
    <m/>
    <m/>
    <m/>
    <m/>
    <s v="SOLRECOUP"/>
    <s v="SOLRECOUP"/>
    <s v="POARECOUP"/>
    <n v="21371584"/>
    <n v="-5323.2"/>
    <m/>
    <s v="Y"/>
    <n v="1"/>
    <d v="2023-07-13T19:53:16"/>
    <s v="N"/>
    <m/>
    <m/>
    <s v="Profit Cost"/>
    <m/>
    <s v="N"/>
    <n v="-4436"/>
    <n v="0"/>
    <x v="11"/>
    <s v="VALIDATED"/>
    <n v="1"/>
    <s v="01.11.80.212.2013.0000"/>
    <n v="-4436"/>
    <s v="11"/>
    <s v="2013"/>
    <n v="1945.47"/>
    <n v="-4436"/>
    <s v="CREDITOR"/>
    <n v="0"/>
    <n v="0"/>
    <n v="-4436"/>
    <n v="-1109"/>
    <n v="0"/>
  </r>
  <r>
    <n v="32909542"/>
    <s v="N"/>
    <n v="21346201"/>
    <s v="3000009741710001RC"/>
    <s v="CIVIL"/>
    <d v="2023-06-29T00:00:00"/>
    <d v="2023-07-07T19:34:21"/>
    <m/>
    <d v="2023-07-07T00:00:00"/>
    <n v="181"/>
    <n v="6891"/>
    <s v="32909542"/>
    <s v="32909542"/>
    <m/>
    <m/>
    <m/>
    <m/>
    <m/>
    <m/>
    <s v="SOLRECOUP"/>
    <s v="SOLRECOUP"/>
    <s v="POARECOUP"/>
    <n v="21346201"/>
    <n v="-2034.23"/>
    <m/>
    <s v="Y"/>
    <n v="2"/>
    <d v="2023-07-07T19:34:22"/>
    <s v="N"/>
    <m/>
    <m/>
    <s v="Profit Cost"/>
    <m/>
    <s v="N"/>
    <n v="0"/>
    <n v="-339.04"/>
    <x v="9"/>
    <s v="VALIDATED"/>
    <n v="1"/>
    <s v="01.11.80.212.2013.0000"/>
    <n v="-339.04"/>
    <s v="11"/>
    <s v="2013"/>
    <n v="19452.43"/>
    <n v="-339.04"/>
    <s v="CREDITOR"/>
    <n v="0"/>
    <n v="0"/>
    <n v="-339.04"/>
    <n v="-84.76000000000001"/>
    <n v="0"/>
  </r>
  <r>
    <n v="42254849"/>
    <s v="N"/>
    <n v="21346202"/>
    <s v="3000010809500001RC"/>
    <s v="CIVIL"/>
    <d v="2023-06-29T00:00:00"/>
    <d v="2023-07-07T19:34:21"/>
    <m/>
    <d v="2023-07-07T00:00:00"/>
    <n v="181"/>
    <n v="6891"/>
    <s v="42254849"/>
    <s v="42254849"/>
    <m/>
    <m/>
    <m/>
    <m/>
    <m/>
    <m/>
    <s v="SOLRECOUP"/>
    <s v="SOLRECOUP"/>
    <s v="POARECOUP"/>
    <n v="21346202"/>
    <n v="-1612.74"/>
    <m/>
    <s v="Y"/>
    <n v="1"/>
    <d v="2023-07-07T19:34:22"/>
    <s v="N"/>
    <m/>
    <m/>
    <s v="Profit Cost"/>
    <m/>
    <s v="N"/>
    <n v="-1343.95"/>
    <n v="0"/>
    <x v="9"/>
    <s v="VALIDATED"/>
    <n v="1"/>
    <s v="01.11.80.307.2013.0000"/>
    <n v="-1343.95"/>
    <s v="11"/>
    <s v="2013"/>
    <n v="19452.43"/>
    <n v="-1343.95"/>
    <s v="CREDITOR"/>
    <n v="0"/>
    <n v="0"/>
    <n v="-1343.95"/>
    <n v="-335.9875"/>
    <n v="0"/>
  </r>
  <r>
    <n v="42254849"/>
    <s v="N"/>
    <n v="21346202"/>
    <s v="3000010809500001RC"/>
    <s v="CIVIL"/>
    <d v="2023-06-29T00:00:00"/>
    <d v="2023-07-07T19:34:21"/>
    <m/>
    <d v="2023-07-07T00:00:00"/>
    <n v="181"/>
    <n v="6891"/>
    <s v="42254849"/>
    <s v="42254849"/>
    <m/>
    <m/>
    <m/>
    <m/>
    <m/>
    <m/>
    <s v="SOLRECOUP"/>
    <s v="SOLRECOUP"/>
    <s v="POARECOUP"/>
    <n v="21346202"/>
    <n v="-1612.74"/>
    <m/>
    <s v="Y"/>
    <n v="2"/>
    <d v="2023-07-07T19:34:22"/>
    <s v="N"/>
    <m/>
    <m/>
    <s v="Profit Cost"/>
    <m/>
    <s v="N"/>
    <n v="0"/>
    <n v="-268.79"/>
    <x v="9"/>
    <s v="VALIDATED"/>
    <n v="1"/>
    <s v="01.11.80.307.2013.0000"/>
    <n v="-268.79"/>
    <s v="11"/>
    <s v="2013"/>
    <n v="19452.43"/>
    <n v="-268.79"/>
    <s v="CREDITOR"/>
    <n v="0"/>
    <n v="0"/>
    <n v="-268.79"/>
    <n v="-67.19750000000001"/>
    <n v="0"/>
  </r>
  <r>
    <n v="42254849"/>
    <s v="N"/>
    <n v="21346203"/>
    <s v="3000010809500002RC"/>
    <s v="CIVIL"/>
    <d v="2023-06-29T00:00:00"/>
    <d v="2023-07-07T19:34:21"/>
    <m/>
    <d v="2023-07-07T00:00:00"/>
    <n v="181"/>
    <n v="6891"/>
    <s v="42254849"/>
    <s v="42254849"/>
    <m/>
    <m/>
    <m/>
    <m/>
    <m/>
    <m/>
    <s v="SOLRECOUP"/>
    <s v="SOLRECOUP"/>
    <s v="POARECOUP"/>
    <n v="21346203"/>
    <n v="-252"/>
    <m/>
    <s v="Y"/>
    <n v="1"/>
    <d v="2023-07-07T19:34:22"/>
    <s v="N"/>
    <m/>
    <m/>
    <s v="Expert Disbursement"/>
    <m/>
    <s v="N"/>
    <n v="-210"/>
    <n v="0"/>
    <x v="9"/>
    <s v="VALIDATED"/>
    <n v="1"/>
    <s v="01.11.80.307.2013.0000"/>
    <n v="-210"/>
    <s v="11"/>
    <s v="2013"/>
    <n v="19452.43"/>
    <n v="-210"/>
    <s v="CREDITOR"/>
    <n v="0"/>
    <n v="0"/>
    <n v="-210"/>
    <n v="0"/>
    <n v="0"/>
  </r>
  <r>
    <n v="42254849"/>
    <s v="N"/>
    <n v="21346203"/>
    <s v="3000010809500002RC"/>
    <s v="CIVIL"/>
    <d v="2023-06-29T00:00:00"/>
    <d v="2023-07-07T19:34:21"/>
    <m/>
    <d v="2023-07-07T00:00:00"/>
    <n v="181"/>
    <n v="6891"/>
    <s v="42254849"/>
    <s v="42254849"/>
    <m/>
    <m/>
    <m/>
    <m/>
    <m/>
    <m/>
    <s v="SOLRECOUP"/>
    <s v="SOLRECOUP"/>
    <s v="POARECOUP"/>
    <n v="21346203"/>
    <n v="-252"/>
    <m/>
    <s v="Y"/>
    <n v="2"/>
    <d v="2023-07-07T19:34:22"/>
    <s v="N"/>
    <m/>
    <m/>
    <s v="Expert Disbursement"/>
    <m/>
    <s v="N"/>
    <n v="0"/>
    <n v="-42"/>
    <x v="9"/>
    <s v="VALIDATED"/>
    <n v="1"/>
    <s v="01.11.80.307.2013.0000"/>
    <n v="-42"/>
    <s v="11"/>
    <s v="2013"/>
    <n v="19452.43"/>
    <n v="-42"/>
    <s v="CREDITOR"/>
    <n v="0"/>
    <n v="0"/>
    <n v="-42"/>
    <n v="0"/>
    <n v="0"/>
  </r>
  <r>
    <n v="42254849"/>
    <s v="N"/>
    <n v="21346204"/>
    <s v="3000010809500010RC"/>
    <s v="CIVIL"/>
    <d v="2023-06-29T00:00:00"/>
    <d v="2023-07-07T19:34:21"/>
    <m/>
    <d v="2023-07-07T00:00:00"/>
    <n v="181"/>
    <n v="6891"/>
    <s v="42254849"/>
    <s v="42254849"/>
    <m/>
    <m/>
    <m/>
    <m/>
    <m/>
    <m/>
    <s v="SOLRECOUP"/>
    <s v="SOLRECOUP"/>
    <s v="POARECOUP"/>
    <n v="21346204"/>
    <n v="-1422.49"/>
    <m/>
    <s v="Y"/>
    <n v="1"/>
    <d v="2023-07-07T19:34:22"/>
    <s v="N"/>
    <m/>
    <m/>
    <s v="Profit Cost"/>
    <m/>
    <s v="N"/>
    <n v="-1185.41"/>
    <n v="0"/>
    <x v="9"/>
    <s v="VALIDATED"/>
    <n v="1"/>
    <s v="01.11.80.307.2013.0000"/>
    <n v="-1185.41"/>
    <s v="11"/>
    <s v="2013"/>
    <n v="19452.43"/>
    <n v="-1185.41"/>
    <s v="CREDITOR"/>
    <n v="0"/>
    <n v="0"/>
    <n v="-1185.41"/>
    <n v="-296.3525"/>
    <n v="0"/>
  </r>
  <r>
    <n v="42254849"/>
    <s v="N"/>
    <n v="21346204"/>
    <s v="3000010809500010RC"/>
    <s v="CIVIL"/>
    <d v="2023-06-29T00:00:00"/>
    <d v="2023-07-07T19:34:21"/>
    <m/>
    <d v="2023-07-07T00:00:00"/>
    <n v="181"/>
    <n v="6891"/>
    <s v="42254849"/>
    <s v="42254849"/>
    <m/>
    <m/>
    <m/>
    <m/>
    <m/>
    <m/>
    <s v="SOLRECOUP"/>
    <s v="SOLRECOUP"/>
    <s v="POARECOUP"/>
    <n v="21346204"/>
    <n v="-1422.49"/>
    <m/>
    <s v="Y"/>
    <n v="2"/>
    <d v="2023-07-07T19:34:22"/>
    <s v="N"/>
    <m/>
    <m/>
    <s v="Profit Cost"/>
    <m/>
    <s v="N"/>
    <n v="0"/>
    <n v="-237.08"/>
    <x v="9"/>
    <s v="VALIDATED"/>
    <n v="1"/>
    <s v="01.11.80.307.2013.0000"/>
    <n v="-237.08"/>
    <s v="11"/>
    <s v="2013"/>
    <n v="19452.43"/>
    <n v="-237.08"/>
    <s v="CREDITOR"/>
    <n v="0"/>
    <n v="0"/>
    <n v="-237.08"/>
    <n v="-59.27"/>
    <n v="0"/>
  </r>
  <r>
    <n v="42254849"/>
    <s v="N"/>
    <n v="21346205"/>
    <s v="3000010809500007RC"/>
    <s v="CIVIL"/>
    <d v="2023-06-29T00:00:00"/>
    <d v="2023-07-07T19:34:21"/>
    <m/>
    <d v="2023-07-07T00:00:00"/>
    <n v="181"/>
    <n v="6891"/>
    <s v="42254849"/>
    <s v="42254849"/>
    <m/>
    <m/>
    <m/>
    <m/>
    <m/>
    <m/>
    <s v="SOLRECOUP"/>
    <s v="SOLRECOUP"/>
    <s v="POARECOUP"/>
    <n v="21346205"/>
    <n v="-167"/>
    <m/>
    <s v="Y"/>
    <n v="1"/>
    <d v="2023-07-07T19:34:22"/>
    <s v="N"/>
    <m/>
    <m/>
    <s v="Non Expert Disbursement"/>
    <m/>
    <s v="N"/>
    <n v="-167"/>
    <n v="0"/>
    <x v="9"/>
    <s v="VALIDATED"/>
    <n v="1"/>
    <s v="01.11.80.307.2013.0000"/>
    <n v="-167"/>
    <s v="11"/>
    <s v="2013"/>
    <n v="19452.43"/>
    <n v="-167"/>
    <s v="CREDITOR"/>
    <n v="0"/>
    <n v="0"/>
    <n v="-167"/>
    <n v="0"/>
    <n v="0"/>
  </r>
  <r>
    <n v="42254849"/>
    <s v="N"/>
    <n v="21346205"/>
    <s v="3000010809500007RC"/>
    <s v="CIVIL"/>
    <d v="2023-06-29T00:00:00"/>
    <d v="2023-07-07T19:34:21"/>
    <m/>
    <d v="2023-07-07T00:00:00"/>
    <n v="181"/>
    <n v="6891"/>
    <s v="42254849"/>
    <s v="42254849"/>
    <m/>
    <m/>
    <m/>
    <m/>
    <m/>
    <m/>
    <s v="SOLRECOUP"/>
    <s v="SOLRECOUP"/>
    <s v="POARECOUP"/>
    <n v="21346205"/>
    <n v="-167"/>
    <m/>
    <s v="Y"/>
    <n v="2"/>
    <d v="2023-07-07T19:34:22"/>
    <s v="N"/>
    <m/>
    <m/>
    <s v="Non Expert Disbursement"/>
    <m/>
    <s v="N"/>
    <n v="0"/>
    <n v="0"/>
    <x v="9"/>
    <s v="VALIDATED"/>
    <n v="1"/>
    <s v="01.11.80.000.0000.0000"/>
    <n v="0"/>
    <s v="11"/>
    <s v="0000"/>
    <n v="19452.43"/>
    <n v="0"/>
    <s v="CREDITOR"/>
    <n v="0"/>
    <n v="0"/>
    <n v="0"/>
    <n v="0"/>
    <n v="0"/>
  </r>
  <r>
    <n v="42254849"/>
    <s v="N"/>
    <n v="21346206"/>
    <s v="3000010809500003RC"/>
    <s v="CIVIL"/>
    <d v="2023-06-29T00:00:00"/>
    <d v="2023-07-07T19:34:21"/>
    <m/>
    <d v="2023-07-07T00:00:00"/>
    <n v="181"/>
    <n v="6891"/>
    <s v="42254849"/>
    <s v="42254849"/>
    <m/>
    <m/>
    <m/>
    <m/>
    <m/>
    <m/>
    <s v="SOLRECOUP"/>
    <s v="SOLRECOUP"/>
    <s v="POARECOUP"/>
    <n v="21346206"/>
    <n v="-2224.45"/>
    <m/>
    <s v="Y"/>
    <n v="1"/>
    <d v="2023-07-07T19:34:22"/>
    <s v="N"/>
    <m/>
    <m/>
    <s v="Profit Cost"/>
    <m/>
    <s v="N"/>
    <n v="-1853.71"/>
    <n v="0"/>
    <x v="9"/>
    <s v="VALIDATED"/>
    <n v="1"/>
    <s v="01.11.80.307.2013.0000"/>
    <n v="-1853.71"/>
    <s v="11"/>
    <s v="2013"/>
    <n v="19452.43"/>
    <n v="-1853.71"/>
    <s v="CREDITOR"/>
    <n v="0"/>
    <n v="0"/>
    <n v="-1853.71"/>
    <n v="-463.4275"/>
    <n v="0"/>
  </r>
  <r>
    <n v="42254849"/>
    <s v="N"/>
    <n v="21346206"/>
    <s v="3000010809500003RC"/>
    <s v="CIVIL"/>
    <d v="2023-06-29T00:00:00"/>
    <d v="2023-07-07T19:34:21"/>
    <m/>
    <d v="2023-07-07T00:00:00"/>
    <n v="181"/>
    <n v="6891"/>
    <s v="42254849"/>
    <s v="42254849"/>
    <m/>
    <m/>
    <m/>
    <m/>
    <m/>
    <m/>
    <s v="SOLRECOUP"/>
    <s v="SOLRECOUP"/>
    <s v="POARECOUP"/>
    <n v="21346206"/>
    <n v="-2224.45"/>
    <m/>
    <s v="Y"/>
    <n v="2"/>
    <d v="2023-07-07T19:34:22"/>
    <s v="N"/>
    <m/>
    <m/>
    <s v="Profit Cost"/>
    <m/>
    <s v="N"/>
    <n v="0"/>
    <n v="-370.74"/>
    <x v="9"/>
    <s v="VALIDATED"/>
    <n v="1"/>
    <s v="01.11.80.307.2013.0000"/>
    <n v="-370.74"/>
    <s v="11"/>
    <s v="2013"/>
    <n v="19452.43"/>
    <n v="-370.74"/>
    <s v="CREDITOR"/>
    <n v="0"/>
    <n v="0"/>
    <n v="-370.74"/>
    <n v="-92.685"/>
    <n v="0"/>
  </r>
  <r>
    <n v="42254849"/>
    <s v="N"/>
    <n v="21346207"/>
    <s v="3000010809500008RC"/>
    <s v="CIVIL"/>
    <d v="2023-06-29T00:00:00"/>
    <d v="2023-07-07T19:34:21"/>
    <m/>
    <d v="2023-07-07T00:00:00"/>
    <n v="181"/>
    <n v="6891"/>
    <s v="42254849"/>
    <s v="42254849"/>
    <m/>
    <m/>
    <m/>
    <m/>
    <m/>
    <m/>
    <s v="SOLRECOUP"/>
    <s v="SOLRECOUP"/>
    <s v="POARECOUP"/>
    <n v="21346207"/>
    <n v="-300"/>
    <m/>
    <s v="Y"/>
    <n v="1"/>
    <d v="2023-07-07T19:34:22"/>
    <s v="N"/>
    <m/>
    <m/>
    <s v="Expert Disbursement"/>
    <m/>
    <s v="N"/>
    <n v="-250"/>
    <n v="0"/>
    <x v="9"/>
    <s v="VALIDATED"/>
    <n v="1"/>
    <s v="01.11.80.307.2013.0000"/>
    <n v="-250"/>
    <s v="11"/>
    <s v="2013"/>
    <n v="19452.43"/>
    <n v="-250"/>
    <s v="CREDITOR"/>
    <n v="0"/>
    <n v="0"/>
    <n v="-250"/>
    <n v="0"/>
    <n v="0"/>
  </r>
  <r>
    <n v="42254849"/>
    <s v="N"/>
    <n v="21346207"/>
    <s v="3000010809500008RC"/>
    <s v="CIVIL"/>
    <d v="2023-06-29T00:00:00"/>
    <d v="2023-07-07T19:34:21"/>
    <m/>
    <d v="2023-07-07T00:00:00"/>
    <n v="181"/>
    <n v="6891"/>
    <s v="42254849"/>
    <s v="42254849"/>
    <m/>
    <m/>
    <m/>
    <m/>
    <m/>
    <m/>
    <s v="SOLRECOUP"/>
    <s v="SOLRECOUP"/>
    <s v="POARECOUP"/>
    <n v="21346207"/>
    <n v="-300"/>
    <m/>
    <s v="Y"/>
    <n v="2"/>
    <d v="2023-07-07T19:34:22"/>
    <s v="N"/>
    <m/>
    <m/>
    <s v="Expert Disbursement"/>
    <m/>
    <s v="N"/>
    <n v="0"/>
    <n v="-50"/>
    <x v="9"/>
    <s v="VALIDATED"/>
    <n v="1"/>
    <s v="01.11.80.307.2013.0000"/>
    <n v="-50"/>
    <s v="11"/>
    <s v="2013"/>
    <n v="19452.43"/>
    <n v="-50"/>
    <s v="CREDITOR"/>
    <n v="0"/>
    <n v="0"/>
    <n v="-50"/>
    <n v="0"/>
    <n v="0"/>
  </r>
  <r>
    <n v="42254849"/>
    <s v="N"/>
    <n v="21346208"/>
    <s v="3000010809500016RC"/>
    <s v="CIVIL"/>
    <d v="2023-06-29T00:00:00"/>
    <d v="2023-07-07T19:34:21"/>
    <m/>
    <d v="2023-07-07T00:00:00"/>
    <n v="181"/>
    <n v="6891"/>
    <s v="42254849"/>
    <s v="42254849"/>
    <m/>
    <m/>
    <m/>
    <m/>
    <m/>
    <m/>
    <s v="SOLRECOUP"/>
    <s v="SOLRECOUP"/>
    <s v="POARECOUP"/>
    <n v="21346208"/>
    <n v="-1241.57"/>
    <m/>
    <s v="Y"/>
    <n v="1"/>
    <d v="2023-07-07T19:34:22"/>
    <s v="N"/>
    <m/>
    <m/>
    <s v="Profit Cost"/>
    <m/>
    <s v="N"/>
    <n v="-1034.64"/>
    <n v="0"/>
    <x v="9"/>
    <s v="VALIDATED"/>
    <n v="1"/>
    <s v="01.11.80.307.2013.0000"/>
    <n v="-1034.64"/>
    <s v="11"/>
    <s v="2013"/>
    <n v="19452.43"/>
    <n v="-1034.64"/>
    <s v="CREDITOR"/>
    <n v="0"/>
    <n v="0"/>
    <n v="-1034.64"/>
    <n v="-258.66"/>
    <n v="0"/>
  </r>
  <r>
    <n v="42254849"/>
    <s v="N"/>
    <n v="21346208"/>
    <s v="3000010809500016RC"/>
    <s v="CIVIL"/>
    <d v="2023-06-29T00:00:00"/>
    <d v="2023-07-07T19:34:21"/>
    <m/>
    <d v="2023-07-07T00:00:00"/>
    <n v="181"/>
    <n v="6891"/>
    <s v="42254849"/>
    <s v="42254849"/>
    <m/>
    <m/>
    <m/>
    <m/>
    <m/>
    <m/>
    <s v="SOLRECOUP"/>
    <s v="SOLRECOUP"/>
    <s v="POARECOUP"/>
    <n v="21346208"/>
    <n v="-1241.57"/>
    <m/>
    <s v="Y"/>
    <n v="2"/>
    <d v="2023-07-07T19:34:22"/>
    <s v="N"/>
    <m/>
    <m/>
    <s v="Profit Cost"/>
    <m/>
    <s v="N"/>
    <n v="0"/>
    <n v="-206.93"/>
    <x v="9"/>
    <s v="VALIDATED"/>
    <n v="1"/>
    <s v="01.11.80.307.2013.0000"/>
    <n v="-206.93"/>
    <s v="11"/>
    <s v="2013"/>
    <n v="19452.43"/>
    <n v="-206.93"/>
    <s v="CREDITOR"/>
    <n v="0"/>
    <n v="0"/>
    <n v="-206.93"/>
    <n v="-51.7325"/>
    <n v="0"/>
  </r>
  <r>
    <n v="42254849"/>
    <s v="N"/>
    <n v="21346209"/>
    <s v="3000010809500009RC"/>
    <s v="CIVIL"/>
    <d v="2023-06-29T00:00:00"/>
    <d v="2023-07-07T19:34:21"/>
    <m/>
    <d v="2023-07-07T00:00:00"/>
    <n v="181"/>
    <n v="6891"/>
    <s v="42254849"/>
    <s v="42254849"/>
    <m/>
    <m/>
    <m/>
    <m/>
    <m/>
    <m/>
    <s v="SOLRECOUP"/>
    <s v="SOLRECOUP"/>
    <s v="POARECOUP"/>
    <n v="21346209"/>
    <n v="-907.2"/>
    <m/>
    <s v="Y"/>
    <n v="1"/>
    <d v="2023-07-07T19:34:22"/>
    <s v="N"/>
    <m/>
    <m/>
    <s v="Expert Disbursement"/>
    <m/>
    <s v="N"/>
    <n v="-756"/>
    <n v="0"/>
    <x v="9"/>
    <s v="VALIDATED"/>
    <n v="1"/>
    <s v="01.11.80.307.2013.0000"/>
    <n v="-756"/>
    <s v="11"/>
    <s v="2013"/>
    <n v="19452.43"/>
    <n v="-756"/>
    <s v="CREDITOR"/>
    <n v="0"/>
    <n v="0"/>
    <n v="-756"/>
    <n v="0"/>
    <n v="0"/>
  </r>
  <r>
    <n v="42254849"/>
    <s v="N"/>
    <n v="21346209"/>
    <s v="3000010809500009RC"/>
    <s v="CIVIL"/>
    <d v="2023-06-29T00:00:00"/>
    <d v="2023-07-07T19:34:21"/>
    <m/>
    <d v="2023-07-07T00:00:00"/>
    <n v="181"/>
    <n v="6891"/>
    <s v="42254849"/>
    <s v="42254849"/>
    <m/>
    <m/>
    <m/>
    <m/>
    <m/>
    <m/>
    <s v="SOLRECOUP"/>
    <s v="SOLRECOUP"/>
    <s v="POARECOUP"/>
    <n v="21346209"/>
    <n v="-907.2"/>
    <m/>
    <s v="Y"/>
    <n v="2"/>
    <d v="2023-07-07T19:34:22"/>
    <s v="N"/>
    <m/>
    <m/>
    <s v="Expert Disbursement"/>
    <m/>
    <s v="N"/>
    <n v="0"/>
    <n v="-151.2"/>
    <x v="9"/>
    <s v="VALIDATED"/>
    <n v="1"/>
    <s v="01.11.80.307.2013.0000"/>
    <n v="-151.2"/>
    <s v="11"/>
    <s v="2013"/>
    <n v="19452.43"/>
    <n v="-151.2"/>
    <s v="CREDITOR"/>
    <n v="0"/>
    <n v="0"/>
    <n v="-151.2"/>
    <n v="0"/>
    <n v="0"/>
  </r>
  <r>
    <n v="42254849"/>
    <s v="N"/>
    <n v="21346210"/>
    <s v="3000010809500014RC"/>
    <s v="CIVIL"/>
    <d v="2023-06-29T00:00:00"/>
    <d v="2023-07-07T19:34:21"/>
    <m/>
    <d v="2023-07-07T00:00:00"/>
    <n v="181"/>
    <n v="6891"/>
    <s v="42254849"/>
    <s v="42254849"/>
    <m/>
    <m/>
    <m/>
    <m/>
    <m/>
    <m/>
    <s v="SOLRECOUP"/>
    <s v="SOLRECOUP"/>
    <s v="POARECOUP"/>
    <n v="21346210"/>
    <n v="-314.4"/>
    <m/>
    <s v="Y"/>
    <n v="1"/>
    <d v="2023-07-07T19:34:22"/>
    <s v="N"/>
    <m/>
    <m/>
    <s v="Expert Disbursement"/>
    <m/>
    <s v="N"/>
    <n v="-262"/>
    <n v="0"/>
    <x v="9"/>
    <s v="VALIDATED"/>
    <n v="1"/>
    <s v="01.11.80.307.2013.0000"/>
    <n v="-262"/>
    <s v="11"/>
    <s v="2013"/>
    <n v="19452.43"/>
    <n v="-262"/>
    <s v="CREDITOR"/>
    <n v="0"/>
    <n v="0"/>
    <n v="-262"/>
    <n v="0"/>
    <n v="0"/>
  </r>
  <r>
    <n v="42254849"/>
    <s v="N"/>
    <n v="21346210"/>
    <s v="3000010809500014RC"/>
    <s v="CIVIL"/>
    <d v="2023-06-29T00:00:00"/>
    <d v="2023-07-07T19:34:21"/>
    <m/>
    <d v="2023-07-07T00:00:00"/>
    <n v="181"/>
    <n v="6891"/>
    <s v="42254849"/>
    <s v="42254849"/>
    <m/>
    <m/>
    <m/>
    <m/>
    <m/>
    <m/>
    <s v="SOLRECOUP"/>
    <s v="SOLRECOUP"/>
    <s v="POARECOUP"/>
    <n v="21346210"/>
    <n v="-314.4"/>
    <m/>
    <s v="Y"/>
    <n v="2"/>
    <d v="2023-07-07T19:34:22"/>
    <s v="N"/>
    <m/>
    <m/>
    <s v="Expert Disbursement"/>
    <m/>
    <s v="N"/>
    <n v="0"/>
    <n v="-52.4"/>
    <x v="9"/>
    <s v="VALIDATED"/>
    <n v="1"/>
    <s v="01.11.80.307.2013.0000"/>
    <n v="-52.4"/>
    <s v="11"/>
    <s v="2013"/>
    <n v="19452.43"/>
    <n v="-52.4"/>
    <s v="CREDITOR"/>
    <n v="0"/>
    <n v="0"/>
    <n v="-52.4"/>
    <n v="0"/>
    <n v="0"/>
  </r>
  <r>
    <n v="42254849"/>
    <s v="N"/>
    <n v="21346211"/>
    <s v="3000010809500012RC"/>
    <s v="CIVIL"/>
    <d v="2023-06-29T00:00:00"/>
    <d v="2023-07-07T19:34:21"/>
    <m/>
    <d v="2023-07-07T00:00:00"/>
    <n v="181"/>
    <n v="6891"/>
    <s v="42254849"/>
    <s v="42254849"/>
    <m/>
    <m/>
    <m/>
    <m/>
    <m/>
    <m/>
    <s v="SOLRECOUP"/>
    <s v="SOLRECOUP"/>
    <s v="POARECOUP"/>
    <n v="21346211"/>
    <n v="-167"/>
    <m/>
    <s v="Y"/>
    <n v="2"/>
    <d v="2023-07-07T19:34:22"/>
    <s v="N"/>
    <m/>
    <m/>
    <s v="Non Expert Disbursement"/>
    <m/>
    <s v="N"/>
    <n v="0"/>
    <n v="0"/>
    <x v="9"/>
    <s v="VALIDATED"/>
    <n v="1"/>
    <s v="01.11.80.000.0000.0000"/>
    <n v="0"/>
    <s v="11"/>
    <s v="0000"/>
    <n v="19452.43"/>
    <n v="0"/>
    <s v="CREDITOR"/>
    <n v="0"/>
    <n v="0"/>
    <n v="0"/>
    <n v="0"/>
    <n v="0"/>
  </r>
  <r>
    <n v="42254849"/>
    <s v="N"/>
    <n v="21346211"/>
    <s v="3000010809500012RC"/>
    <s v="CIVIL"/>
    <d v="2023-06-29T00:00:00"/>
    <d v="2023-07-07T19:34:21"/>
    <m/>
    <d v="2023-07-07T00:00:00"/>
    <n v="181"/>
    <n v="6891"/>
    <s v="42254849"/>
    <s v="42254849"/>
    <m/>
    <m/>
    <m/>
    <m/>
    <m/>
    <m/>
    <s v="SOLRECOUP"/>
    <s v="SOLRECOUP"/>
    <s v="POARECOUP"/>
    <n v="21346211"/>
    <n v="-167"/>
    <m/>
    <s v="Y"/>
    <n v="1"/>
    <d v="2023-07-07T19:34:22"/>
    <s v="N"/>
    <m/>
    <m/>
    <s v="Non Expert Disbursement"/>
    <m/>
    <s v="N"/>
    <n v="-167"/>
    <n v="0"/>
    <x v="9"/>
    <s v="VALIDATED"/>
    <n v="1"/>
    <s v="01.11.80.307.2013.0000"/>
    <n v="-167"/>
    <s v="11"/>
    <s v="2013"/>
    <n v="19452.43"/>
    <n v="-167"/>
    <s v="CREDITOR"/>
    <n v="0"/>
    <n v="0"/>
    <n v="-167"/>
    <n v="0"/>
    <n v="0"/>
  </r>
  <r>
    <n v="42254849"/>
    <s v="N"/>
    <n v="21346212"/>
    <s v="3000010809500013RC"/>
    <s v="CIVIL"/>
    <d v="2023-06-29T00:00:00"/>
    <d v="2023-07-07T19:34:21"/>
    <m/>
    <d v="2023-07-07T00:00:00"/>
    <n v="181"/>
    <n v="6891"/>
    <s v="42254849"/>
    <s v="42254849"/>
    <m/>
    <m/>
    <m/>
    <m/>
    <m/>
    <m/>
    <s v="SOLRECOUP"/>
    <s v="SOLRECOUP"/>
    <s v="POARECOUP"/>
    <n v="21346212"/>
    <n v="-1226.02"/>
    <m/>
    <s v="Y"/>
    <n v="2"/>
    <d v="2023-07-07T19:34:22"/>
    <s v="N"/>
    <m/>
    <m/>
    <s v="Profit Cost"/>
    <m/>
    <s v="N"/>
    <n v="0"/>
    <n v="-204.34"/>
    <x v="9"/>
    <s v="VALIDATED"/>
    <n v="1"/>
    <s v="01.11.80.307.2013.0000"/>
    <n v="-204.34"/>
    <s v="11"/>
    <s v="2013"/>
    <n v="19452.43"/>
    <n v="-204.34"/>
    <s v="CREDITOR"/>
    <n v="0"/>
    <n v="0"/>
    <n v="-204.34"/>
    <n v="-51.085"/>
    <n v="0"/>
  </r>
  <r>
    <n v="42254849"/>
    <s v="N"/>
    <n v="21346212"/>
    <s v="3000010809500013RC"/>
    <s v="CIVIL"/>
    <d v="2023-06-29T00:00:00"/>
    <d v="2023-07-07T19:34:21"/>
    <m/>
    <d v="2023-07-07T00:00:00"/>
    <n v="181"/>
    <n v="6891"/>
    <s v="42254849"/>
    <s v="42254849"/>
    <m/>
    <m/>
    <m/>
    <m/>
    <m/>
    <m/>
    <s v="SOLRECOUP"/>
    <s v="SOLRECOUP"/>
    <s v="POARECOUP"/>
    <n v="21346212"/>
    <n v="-1226.02"/>
    <m/>
    <s v="Y"/>
    <n v="1"/>
    <d v="2023-07-07T19:34:22"/>
    <s v="N"/>
    <m/>
    <m/>
    <s v="Profit Cost"/>
    <m/>
    <s v="N"/>
    <n v="-1021.68"/>
    <n v="0"/>
    <x v="9"/>
    <s v="VALIDATED"/>
    <n v="1"/>
    <s v="01.11.80.307.2013.0000"/>
    <n v="-1021.68"/>
    <s v="11"/>
    <s v="2013"/>
    <n v="19452.43"/>
    <n v="-1021.68"/>
    <s v="CREDITOR"/>
    <n v="0"/>
    <n v="0"/>
    <n v="-1021.68"/>
    <n v="-255.42"/>
    <n v="0"/>
  </r>
  <r>
    <n v="42254849"/>
    <s v="N"/>
    <n v="21346200"/>
    <s v="3000010809500006RC"/>
    <s v="CIVIL"/>
    <d v="2023-06-29T00:00:00"/>
    <d v="2023-07-07T19:34:21"/>
    <m/>
    <d v="2023-07-07T00:00:00"/>
    <n v="181"/>
    <n v="6891"/>
    <s v="42254849"/>
    <s v="42254849"/>
    <m/>
    <m/>
    <m/>
    <m/>
    <m/>
    <m/>
    <s v="SOLRECOUP"/>
    <s v="SOLRECOUP"/>
    <s v="POARECOUP"/>
    <n v="21346200"/>
    <n v="-1258.68"/>
    <m/>
    <s v="Y"/>
    <n v="2"/>
    <d v="2023-07-07T19:34:22"/>
    <s v="N"/>
    <m/>
    <m/>
    <s v="Profit Cost"/>
    <m/>
    <s v="N"/>
    <n v="0"/>
    <n v="-209.78"/>
    <x v="9"/>
    <s v="VALIDATED"/>
    <n v="1"/>
    <s v="01.11.80.307.2013.0000"/>
    <n v="-209.78"/>
    <s v="11"/>
    <s v="2013"/>
    <n v="19452.43"/>
    <n v="-209.78"/>
    <s v="CREDITOR"/>
    <n v="0"/>
    <n v="0"/>
    <n v="-209.78"/>
    <n v="-52.445"/>
    <n v="0"/>
  </r>
  <r>
    <n v="42254849"/>
    <s v="N"/>
    <n v="21346200"/>
    <s v="3000010809500006RC"/>
    <s v="CIVIL"/>
    <d v="2023-06-29T00:00:00"/>
    <d v="2023-07-07T19:34:21"/>
    <m/>
    <d v="2023-07-07T00:00:00"/>
    <n v="181"/>
    <n v="6891"/>
    <s v="42254849"/>
    <s v="42254849"/>
    <m/>
    <m/>
    <m/>
    <m/>
    <m/>
    <m/>
    <s v="SOLRECOUP"/>
    <s v="SOLRECOUP"/>
    <s v="POARECOUP"/>
    <n v="21346200"/>
    <n v="-1258.68"/>
    <m/>
    <s v="Y"/>
    <n v="1"/>
    <d v="2023-07-07T19:34:22"/>
    <s v="N"/>
    <m/>
    <m/>
    <s v="Profit Cost"/>
    <m/>
    <s v="N"/>
    <n v="-1048.9"/>
    <n v="0"/>
    <x v="9"/>
    <s v="VALIDATED"/>
    <n v="1"/>
    <s v="01.11.80.307.2013.0000"/>
    <n v="-1048.9"/>
    <s v="11"/>
    <s v="2013"/>
    <n v="19452.43"/>
    <n v="-1048.9"/>
    <s v="CREDITOR"/>
    <n v="0"/>
    <n v="0"/>
    <n v="-1048.9"/>
    <n v="-262.225"/>
    <n v="0"/>
  </r>
  <r>
    <n v="32909542"/>
    <s v="N"/>
    <n v="21346201"/>
    <s v="3000009741710001RC"/>
    <s v="CIVIL"/>
    <d v="2023-06-29T00:00:00"/>
    <d v="2023-07-07T19:34:21"/>
    <m/>
    <d v="2023-07-07T00:00:00"/>
    <n v="181"/>
    <n v="6891"/>
    <s v="32909542"/>
    <s v="32909542"/>
    <m/>
    <m/>
    <m/>
    <m/>
    <m/>
    <m/>
    <s v="SOLRECOUP"/>
    <s v="SOLRECOUP"/>
    <s v="POARECOUP"/>
    <n v="21346201"/>
    <n v="-2034.23"/>
    <m/>
    <s v="Y"/>
    <n v="1"/>
    <d v="2023-07-07T19:34:22"/>
    <s v="N"/>
    <m/>
    <m/>
    <s v="Profit Cost"/>
    <m/>
    <s v="N"/>
    <n v="-1695.19"/>
    <n v="0"/>
    <x v="9"/>
    <s v="VALIDATED"/>
    <n v="1"/>
    <s v="01.11.80.212.2013.0000"/>
    <n v="-1695.19"/>
    <s v="11"/>
    <s v="2013"/>
    <n v="19452.43"/>
    <n v="-1695.19"/>
    <s v="CREDITOR"/>
    <n v="0"/>
    <n v="0"/>
    <n v="-1695.19"/>
    <n v="-423.7975"/>
    <n v="0"/>
  </r>
  <r>
    <n v="7915578"/>
    <s v="N"/>
    <n v="21387970"/>
    <s v="3000004032790001RC"/>
    <s v="CIVIL"/>
    <d v="2023-06-29T00:00:00"/>
    <d v="2023-07-17T19:42:13"/>
    <m/>
    <d v="2023-07-17T00:00:00"/>
    <n v="181"/>
    <n v="6891"/>
    <s v="7915578"/>
    <s v="7915578"/>
    <m/>
    <m/>
    <m/>
    <m/>
    <m/>
    <m/>
    <s v="SOLRECOUP"/>
    <s v="SOLRECOUP"/>
    <s v="POARECOUP"/>
    <n v="21387970"/>
    <n v="-1908.55"/>
    <m/>
    <s v="Y"/>
    <n v="1"/>
    <d v="2023-07-17T19:42:14"/>
    <s v="N"/>
    <m/>
    <m/>
    <s v="Profit Cost"/>
    <m/>
    <s v="N"/>
    <n v="-1590.46"/>
    <n v="0"/>
    <x v="8"/>
    <s v="VALIDATED"/>
    <n v="1"/>
    <s v="01.11.80.212.2013.0000"/>
    <n v="-1590.46"/>
    <s v="11"/>
    <s v="2013"/>
    <n v="19452.43"/>
    <n v="-1590.46"/>
    <s v="CREDITOR"/>
    <n v="0"/>
    <n v="0"/>
    <n v="-1590.46"/>
    <n v="-397.615"/>
    <n v="0"/>
  </r>
  <r>
    <n v="7915578"/>
    <s v="N"/>
    <n v="21387970"/>
    <s v="3000004032790001RC"/>
    <s v="CIVIL"/>
    <d v="2023-06-29T00:00:00"/>
    <d v="2023-07-17T19:42:13"/>
    <m/>
    <d v="2023-07-17T00:00:00"/>
    <n v="181"/>
    <n v="6891"/>
    <s v="7915578"/>
    <s v="7915578"/>
    <m/>
    <m/>
    <m/>
    <m/>
    <m/>
    <m/>
    <s v="SOLRECOUP"/>
    <s v="SOLRECOUP"/>
    <s v="POARECOUP"/>
    <n v="21387970"/>
    <n v="-1908.55"/>
    <m/>
    <s v="Y"/>
    <n v="2"/>
    <d v="2023-07-17T19:42:14"/>
    <s v="N"/>
    <m/>
    <m/>
    <s v="Profit Cost"/>
    <m/>
    <s v="N"/>
    <n v="0"/>
    <n v="-318.09"/>
    <x v="8"/>
    <s v="VALIDATED"/>
    <n v="1"/>
    <s v="01.11.80.212.2013.0000"/>
    <n v="-318.09"/>
    <s v="11"/>
    <s v="2013"/>
    <n v="19452.43"/>
    <n v="-318.09"/>
    <s v="CREDITOR"/>
    <n v="0"/>
    <n v="0"/>
    <n v="-318.09"/>
    <n v="-79.52249999999999"/>
    <n v="0"/>
  </r>
  <r>
    <n v="7915578"/>
    <s v="N"/>
    <n v="21387971"/>
    <s v="3000004032790002RC"/>
    <s v="CIVIL"/>
    <d v="2023-06-29T00:00:00"/>
    <d v="2023-07-17T19:42:13"/>
    <m/>
    <d v="2023-07-17T00:00:00"/>
    <n v="181"/>
    <n v="6891"/>
    <s v="7915578"/>
    <s v="7915578"/>
    <m/>
    <m/>
    <m/>
    <m/>
    <m/>
    <m/>
    <s v="SOLRECOUP"/>
    <s v="SOLRECOUP"/>
    <s v="POARECOUP"/>
    <n v="21387971"/>
    <n v="-385"/>
    <m/>
    <s v="Y"/>
    <n v="2"/>
    <d v="2023-07-17T19:42:14"/>
    <s v="N"/>
    <m/>
    <m/>
    <s v="Non Expert Disbursement"/>
    <m/>
    <s v="N"/>
    <n v="0"/>
    <n v="0"/>
    <x v="8"/>
    <s v="VALIDATED"/>
    <n v="1"/>
    <s v="01.11.80.000.0000.0000"/>
    <n v="0"/>
    <s v="11"/>
    <s v="0000"/>
    <n v="19452.43"/>
    <n v="0"/>
    <s v="CREDITOR"/>
    <n v="0"/>
    <n v="0"/>
    <n v="0"/>
    <n v="0"/>
    <n v="0"/>
  </r>
  <r>
    <n v="7915578"/>
    <s v="N"/>
    <n v="21387971"/>
    <s v="3000004032790002RC"/>
    <s v="CIVIL"/>
    <d v="2023-06-29T00:00:00"/>
    <d v="2023-07-17T19:42:13"/>
    <m/>
    <d v="2023-07-17T00:00:00"/>
    <n v="181"/>
    <n v="6891"/>
    <s v="7915578"/>
    <s v="7915578"/>
    <m/>
    <m/>
    <m/>
    <m/>
    <m/>
    <m/>
    <s v="SOLRECOUP"/>
    <s v="SOLRECOUP"/>
    <s v="POARECOUP"/>
    <n v="21387971"/>
    <n v="-385"/>
    <m/>
    <s v="Y"/>
    <n v="1"/>
    <d v="2023-07-17T19:42:14"/>
    <s v="N"/>
    <m/>
    <m/>
    <s v="Non Expert Disbursement"/>
    <m/>
    <s v="N"/>
    <n v="-385"/>
    <n v="0"/>
    <x v="8"/>
    <s v="VALIDATED"/>
    <n v="1"/>
    <s v="01.11.80.212.2013.0000"/>
    <n v="-385"/>
    <s v="11"/>
    <s v="2013"/>
    <n v="19452.43"/>
    <n v="-385"/>
    <s v="CREDITOR"/>
    <n v="0"/>
    <n v="0"/>
    <n v="-385"/>
    <n v="0"/>
    <n v="0"/>
  </r>
  <r>
    <n v="7915578"/>
    <s v="N"/>
    <n v="21387972"/>
    <s v="3000004032790004RC"/>
    <s v="CIVIL"/>
    <d v="2023-06-29T00:00:00"/>
    <d v="2023-07-17T19:42:13"/>
    <m/>
    <d v="2023-07-17T00:00:00"/>
    <n v="181"/>
    <n v="6891"/>
    <s v="7915578"/>
    <s v="7915578"/>
    <m/>
    <m/>
    <m/>
    <m/>
    <m/>
    <m/>
    <s v="SOLRECOUP"/>
    <s v="SOLRECOUP"/>
    <s v="POARECOUP"/>
    <n v="21387972"/>
    <n v="-1936.13"/>
    <m/>
    <s v="Y"/>
    <n v="1"/>
    <d v="2023-07-17T19:42:14"/>
    <s v="N"/>
    <m/>
    <m/>
    <s v="Profit Cost"/>
    <m/>
    <s v="N"/>
    <n v="-1613.44"/>
    <n v="0"/>
    <x v="8"/>
    <s v="VALIDATED"/>
    <n v="1"/>
    <s v="01.11.80.212.2013.0000"/>
    <n v="-1613.44"/>
    <s v="11"/>
    <s v="2013"/>
    <n v="19452.43"/>
    <n v="-1613.44"/>
    <s v="CREDITOR"/>
    <n v="0"/>
    <n v="0"/>
    <n v="-1613.44"/>
    <n v="-403.36"/>
    <n v="0"/>
  </r>
  <r>
    <n v="7915578"/>
    <s v="N"/>
    <n v="21387972"/>
    <s v="3000004032790004RC"/>
    <s v="CIVIL"/>
    <d v="2023-06-29T00:00:00"/>
    <d v="2023-07-17T19:42:13"/>
    <m/>
    <d v="2023-07-17T00:00:00"/>
    <n v="181"/>
    <n v="6891"/>
    <s v="7915578"/>
    <s v="7915578"/>
    <m/>
    <m/>
    <m/>
    <m/>
    <m/>
    <m/>
    <s v="SOLRECOUP"/>
    <s v="SOLRECOUP"/>
    <s v="POARECOUP"/>
    <n v="21387972"/>
    <n v="-1936.13"/>
    <m/>
    <s v="Y"/>
    <n v="2"/>
    <d v="2023-07-17T19:42:14"/>
    <s v="N"/>
    <m/>
    <m/>
    <s v="Profit Cost"/>
    <m/>
    <s v="N"/>
    <n v="0"/>
    <n v="-322.69"/>
    <x v="8"/>
    <s v="VALIDATED"/>
    <n v="1"/>
    <s v="01.11.80.212.2013.0000"/>
    <n v="-322.69"/>
    <s v="11"/>
    <s v="2013"/>
    <n v="19452.43"/>
    <n v="-322.69"/>
    <s v="CREDITOR"/>
    <n v="0"/>
    <n v="0"/>
    <n v="-322.69"/>
    <n v="-80.6725"/>
    <n v="0"/>
  </r>
  <r>
    <n v="7915578"/>
    <s v="N"/>
    <n v="21387973"/>
    <s v="3000004032790005RC"/>
    <s v="CIVIL"/>
    <d v="2023-06-29T00:00:00"/>
    <d v="2023-07-17T19:42:13"/>
    <m/>
    <d v="2023-07-17T00:00:00"/>
    <n v="181"/>
    <n v="6891"/>
    <s v="7915578"/>
    <s v="7915578"/>
    <m/>
    <m/>
    <m/>
    <m/>
    <m/>
    <m/>
    <s v="SOLRECOUP"/>
    <s v="SOLRECOUP"/>
    <s v="POARECOUP"/>
    <n v="21387973"/>
    <n v="-154"/>
    <m/>
    <s v="Y"/>
    <n v="1"/>
    <d v="2023-07-17T19:42:14"/>
    <s v="N"/>
    <m/>
    <m/>
    <s v="Non Expert Disbursement"/>
    <m/>
    <s v="N"/>
    <n v="-154"/>
    <n v="0"/>
    <x v="8"/>
    <s v="VALIDATED"/>
    <n v="1"/>
    <s v="01.11.80.212.2013.0000"/>
    <n v="-154"/>
    <s v="11"/>
    <s v="2013"/>
    <n v="19452.43"/>
    <n v="-154"/>
    <s v="CREDITOR"/>
    <n v="0"/>
    <n v="0"/>
    <n v="-154"/>
    <n v="0"/>
    <n v="0"/>
  </r>
  <r>
    <n v="7915578"/>
    <s v="N"/>
    <n v="21387973"/>
    <s v="3000004032790005RC"/>
    <s v="CIVIL"/>
    <d v="2023-06-29T00:00:00"/>
    <d v="2023-07-17T19:42:13"/>
    <m/>
    <d v="2023-07-17T00:00:00"/>
    <n v="181"/>
    <n v="6891"/>
    <s v="7915578"/>
    <s v="7915578"/>
    <m/>
    <m/>
    <m/>
    <m/>
    <m/>
    <m/>
    <s v="SOLRECOUP"/>
    <s v="SOLRECOUP"/>
    <s v="POARECOUP"/>
    <n v="21387973"/>
    <n v="-154"/>
    <m/>
    <s v="Y"/>
    <n v="2"/>
    <d v="2023-07-17T19:42:14"/>
    <s v="N"/>
    <m/>
    <m/>
    <s v="Non Expert Disbursement"/>
    <m/>
    <s v="N"/>
    <n v="0"/>
    <n v="0"/>
    <x v="8"/>
    <s v="VALIDATED"/>
    <n v="1"/>
    <s v="01.11.80.000.0000.0000"/>
    <n v="0"/>
    <s v="11"/>
    <s v="0000"/>
    <n v="19452.43"/>
    <n v="0"/>
    <s v="CREDITOR"/>
    <n v="0"/>
    <n v="0"/>
    <n v="0"/>
    <n v="0"/>
    <n v="0"/>
  </r>
  <r>
    <n v="10154155"/>
    <s v="N"/>
    <n v="21371585"/>
    <s v="3000006019380001RC"/>
    <s v="CIVIL"/>
    <d v="2023-06-29T00:00:00"/>
    <d v="2023-07-13T19:53:16"/>
    <m/>
    <d v="2023-07-13T00:00:00"/>
    <n v="181"/>
    <n v="6891"/>
    <s v="10154155"/>
    <s v="10154155"/>
    <m/>
    <m/>
    <m/>
    <m/>
    <m/>
    <m/>
    <s v="SOLRECOUP"/>
    <s v="SOLRECOUP"/>
    <s v="POARECOUP"/>
    <n v="21371585"/>
    <n v="-2724.24"/>
    <m/>
    <s v="Y"/>
    <n v="1"/>
    <d v="2023-07-13T19:53:16"/>
    <s v="N"/>
    <m/>
    <m/>
    <s v="Profit Cost"/>
    <m/>
    <s v="N"/>
    <n v="-2270.2"/>
    <n v="0"/>
    <x v="11"/>
    <s v="VALIDATED"/>
    <n v="1"/>
    <s v="01.11.80.208.2013.0000"/>
    <n v="-2270.2"/>
    <s v="11"/>
    <s v="2013"/>
    <n v="19452.43"/>
    <n v="-2270.2"/>
    <s v="CREDITOR"/>
    <n v="0"/>
    <n v="0"/>
    <n v="-2270.2"/>
    <n v="-567.55"/>
    <n v="0"/>
  </r>
  <r>
    <n v="10154155"/>
    <s v="N"/>
    <n v="21371585"/>
    <s v="3000006019380001RC"/>
    <s v="CIVIL"/>
    <d v="2023-06-29T00:00:00"/>
    <d v="2023-07-13T19:53:16"/>
    <m/>
    <d v="2023-07-13T00:00:00"/>
    <n v="181"/>
    <n v="6891"/>
    <s v="10154155"/>
    <s v="10154155"/>
    <m/>
    <m/>
    <m/>
    <m/>
    <m/>
    <m/>
    <s v="SOLRECOUP"/>
    <s v="SOLRECOUP"/>
    <s v="POARECOUP"/>
    <n v="21371585"/>
    <n v="-2724.24"/>
    <m/>
    <s v="Y"/>
    <n v="2"/>
    <d v="2023-07-13T19:53:16"/>
    <s v="N"/>
    <m/>
    <m/>
    <s v="Profit Cost"/>
    <m/>
    <s v="N"/>
    <n v="0"/>
    <n v="-454.04"/>
    <x v="11"/>
    <s v="VALIDATED"/>
    <n v="1"/>
    <s v="01.11.80.208.2013.0000"/>
    <n v="-454.04"/>
    <s v="11"/>
    <s v="2013"/>
    <n v="19452.43"/>
    <n v="-454.04"/>
    <s v="CREDITOR"/>
    <n v="0"/>
    <n v="0"/>
    <n v="-454.04"/>
    <n v="-113.51"/>
    <n v="0"/>
  </r>
  <r>
    <n v="42254849"/>
    <s v="N"/>
    <n v="21344076"/>
    <s v="3000010809500017"/>
    <s v="CIVIL"/>
    <d v="2023-06-29T00:00:00"/>
    <d v="2023-07-07T19:03:00"/>
    <m/>
    <d v="2023-07-07T00:00:00"/>
    <n v="181"/>
    <n v="6891"/>
    <s v="42254849"/>
    <s v="42254849"/>
    <m/>
    <m/>
    <n v="22786054"/>
    <m/>
    <m/>
    <m/>
    <s v="SOLFIN"/>
    <s v="SOLFIN"/>
    <s v="CCMS"/>
    <n v="21344076"/>
    <n v="16655.86"/>
    <m/>
    <s v="N"/>
    <n v="2"/>
    <d v="2023-07-07T19:03:22"/>
    <s v="Y"/>
    <s v="Court Fee"/>
    <s v="Private Law Children"/>
    <s v="Non Expert Disbursement"/>
    <s v="HMCTS"/>
    <s v="Y"/>
    <n v="167"/>
    <n v="0"/>
    <x v="9"/>
    <s v="VALIDATED"/>
    <n v="1"/>
    <s v="01.11.80.307.6300.0000"/>
    <n v="167"/>
    <s v="11"/>
    <s v="6300"/>
    <n v="19452.43"/>
    <n v="167"/>
    <s v="CREDITOR"/>
    <n v="0"/>
    <n v="0"/>
    <n v="0"/>
    <n v="0"/>
    <n v="167"/>
  </r>
  <r>
    <n v="60218761"/>
    <s v="N"/>
    <n v="21331079"/>
    <s v="3000014528270001"/>
    <s v="CIVIL"/>
    <d v="2023-06-22T00:00:00"/>
    <d v="2023-07-05T19:01:47"/>
    <m/>
    <d v="2023-07-05T00:00:00"/>
    <n v="181"/>
    <n v="6891"/>
    <s v="60218761"/>
    <s v="60218761"/>
    <m/>
    <m/>
    <n v="22746170"/>
    <m/>
    <m/>
    <m/>
    <s v="SOLFIN"/>
    <s v="SOLFIN"/>
    <s v="CCMS"/>
    <n v="21331079"/>
    <n v="455.82"/>
    <m/>
    <s v="N"/>
    <n v="6"/>
    <d v="2023-07-05T19:02:05"/>
    <s v="Y"/>
    <s v="Routine Letter Out"/>
    <s v="Non Family Hourly Rates"/>
    <s v="Profit Cost"/>
    <s v="RC"/>
    <s v="Y"/>
    <n v="114.75"/>
    <n v="22.95"/>
    <x v="6"/>
    <s v="VALIDATED"/>
    <n v="1"/>
    <s v="01.11.80.212.6100.0000"/>
    <n v="114.75"/>
    <s v="11"/>
    <s v="6100"/>
    <n v="19452.43"/>
    <n v="114.75"/>
    <s v="CREDITOR"/>
    <n v="0"/>
    <n v="0"/>
    <n v="0"/>
    <n v="0"/>
    <n v="114.75"/>
  </r>
  <r>
    <n v="32882543"/>
    <s v="N"/>
    <n v="21395454"/>
    <s v="3000009753710001"/>
    <s v="CIVIL"/>
    <d v="2023-06-29T00:00:00"/>
    <d v="2023-07-19T19:02:01"/>
    <m/>
    <d v="2023-07-19T00:00:00"/>
    <n v="181"/>
    <n v="6891"/>
    <s v="32882543"/>
    <s v="32882543"/>
    <m/>
    <m/>
    <n v="22784976"/>
    <m/>
    <m/>
    <m/>
    <s v="SOLFIN"/>
    <s v="SOLFIN"/>
    <s v="CCMS"/>
    <n v="21395454"/>
    <n v="1620.05"/>
    <m/>
    <s v="N"/>
    <n v="57"/>
    <d v="2023-07-19T19:02:27"/>
    <s v="Y"/>
    <s v="Routine Letter Out"/>
    <s v="Non Family Hourly Rates"/>
    <s v="Profit Cost"/>
    <s v="BP"/>
    <s v="Y"/>
    <n v="162"/>
    <n v="32.4"/>
    <x v="5"/>
    <s v="VALIDATED"/>
    <n v="1"/>
    <s v="01.11.80.212.6100.0000"/>
    <n v="162"/>
    <s v="11"/>
    <s v="6100"/>
    <n v="19452.43"/>
    <n v="162"/>
    <s v="CREDITOR"/>
    <n v="0"/>
    <n v="0"/>
    <n v="0"/>
    <n v="0"/>
    <n v="162"/>
  </r>
  <r>
    <n v="32909542"/>
    <s v="N"/>
    <n v="21344011"/>
    <s v="3000009741710002"/>
    <s v="CIVIL"/>
    <d v="2023-06-29T00:00:00"/>
    <d v="2023-07-07T19:03:00"/>
    <m/>
    <d v="2023-07-07T00:00:00"/>
    <n v="181"/>
    <n v="6891"/>
    <s v="32909542"/>
    <s v="32909542"/>
    <m/>
    <m/>
    <n v="22784974"/>
    <m/>
    <m/>
    <m/>
    <s v="SOLFIN"/>
    <s v="SOLFIN"/>
    <s v="CCMS"/>
    <n v="21344011"/>
    <n v="1833.19"/>
    <m/>
    <s v="N"/>
    <n v="36"/>
    <d v="2023-07-07T19:03:20"/>
    <s v="Y"/>
    <s v="Preparation - other"/>
    <s v="Non Family Hourly Rates"/>
    <s v="Profit Cost"/>
    <s v="BP 2"/>
    <s v="Y"/>
    <n v="35.78"/>
    <n v="7.16"/>
    <x v="9"/>
    <s v="VALIDATED"/>
    <n v="1"/>
    <s v="01.11.80.212.6100.0000"/>
    <n v="35.78"/>
    <s v="11"/>
    <s v="6100"/>
    <n v="19452.43"/>
    <n v="35.78"/>
    <s v="CREDITOR"/>
    <n v="0"/>
    <n v="0"/>
    <n v="0"/>
    <n v="0"/>
    <n v="35.78"/>
  </r>
  <r>
    <n v="16200400"/>
    <s v="N"/>
    <n v="21327852"/>
    <s v="3000007820060001"/>
    <s v="CIVIL"/>
    <d v="2023-06-23T00:00:00"/>
    <d v="2023-07-04T19:00:44"/>
    <m/>
    <d v="2023-07-04T00:00:00"/>
    <n v="181"/>
    <n v="6891"/>
    <s v="16200400"/>
    <s v="16200400"/>
    <m/>
    <m/>
    <n v="22749524"/>
    <m/>
    <m/>
    <m/>
    <s v="SOLFIN"/>
    <s v="SOLFIN"/>
    <s v="CCMS"/>
    <n v="21327852"/>
    <n v="1087.97"/>
    <m/>
    <s v="N"/>
    <n v="37"/>
    <d v="2023-07-04T19:00:56"/>
    <s v="Y"/>
    <s v="Preparation - drafting bill/claim f"/>
    <s v="Non Family Hourly Rates"/>
    <s v="Profit Cost"/>
    <s v="MH"/>
    <s v="Y"/>
    <n v="14.31"/>
    <n v="2.86"/>
    <x v="1"/>
    <s v="VALIDATED"/>
    <n v="1"/>
    <s v="01.11.80.212.6100.0000"/>
    <n v="14.31"/>
    <s v="11"/>
    <s v="6100"/>
    <n v="19452.43"/>
    <n v="14.31"/>
    <s v="CREDITOR"/>
    <n v="0"/>
    <n v="0"/>
    <n v="0"/>
    <n v="0"/>
    <n v="14.31"/>
  </r>
  <r>
    <n v="62078696"/>
    <s v="N"/>
    <n v="21323095"/>
    <s v="3000016093530001"/>
    <s v="CIVIL"/>
    <d v="2023-06-30T00:00:00"/>
    <d v="2023-07-03T19:05:36"/>
    <m/>
    <d v="2023-07-03T00:00:00"/>
    <n v="181"/>
    <n v="6891"/>
    <s v="62078696"/>
    <s v="62078696"/>
    <m/>
    <m/>
    <n v="22794218"/>
    <m/>
    <m/>
    <m/>
    <s v="SOLPOA"/>
    <s v="SOLPOA"/>
    <s v="CCMS"/>
    <n v="21323095"/>
    <n v="1954.72"/>
    <m/>
    <s v="N"/>
    <n v="1"/>
    <d v="2023-07-03T19:05:41"/>
    <s v="N"/>
    <s v="Profit Cost"/>
    <s v="Profit Cost"/>
    <s v="Profit Cost"/>
    <s v="HM"/>
    <s v="N"/>
    <n v="1628.93"/>
    <n v="325.79"/>
    <x v="3"/>
    <s v="VALIDATED"/>
    <n v="1"/>
    <s v="01.11.80.307.2012.0000"/>
    <n v="1628.93"/>
    <s v="11"/>
    <s v="2012"/>
    <n v="19452.43"/>
    <n v="1628.93"/>
    <s v="CREDITOR"/>
    <n v="1628.93"/>
    <n v="407.2325"/>
    <n v="0"/>
    <n v="0"/>
    <n v="0"/>
  </r>
  <r>
    <n v="32882543"/>
    <s v="N"/>
    <n v="21395454"/>
    <s v="3000009753710001"/>
    <s v="CIVIL"/>
    <d v="2023-06-29T00:00:00"/>
    <d v="2023-07-19T19:02:01"/>
    <m/>
    <d v="2023-07-19T00:00:00"/>
    <n v="181"/>
    <n v="6891"/>
    <s v="32882543"/>
    <s v="32882543"/>
    <m/>
    <m/>
    <n v="22784976"/>
    <m/>
    <m/>
    <m/>
    <s v="SOLFIN"/>
    <s v="SOLFIN"/>
    <s v="CCMS"/>
    <n v="21395454"/>
    <n v="1620.05"/>
    <m/>
    <s v="N"/>
    <n v="24"/>
    <d v="2023-07-19T19:02:27"/>
    <s v="Y"/>
    <s v="Preparation - other"/>
    <s v="Non Family Hourly Rates"/>
    <s v="Profit Cost"/>
    <s v="RC"/>
    <s v="Y"/>
    <n v="17.89"/>
    <n v="3.58"/>
    <x v="5"/>
    <s v="VALIDATED"/>
    <n v="1"/>
    <s v="01.11.80.212.6100.0000"/>
    <n v="17.89"/>
    <s v="11"/>
    <s v="6100"/>
    <n v="19452.43"/>
    <n v="17.89"/>
    <s v="CREDITOR"/>
    <n v="0"/>
    <n v="0"/>
    <n v="0"/>
    <n v="0"/>
    <n v="17.89"/>
  </r>
  <r>
    <n v="42254849"/>
    <s v="N"/>
    <n v="21344076"/>
    <s v="3000010809500017"/>
    <s v="CIVIL"/>
    <d v="2023-06-29T00:00:00"/>
    <d v="2023-07-07T19:03:00"/>
    <m/>
    <d v="2023-07-07T00:00:00"/>
    <n v="181"/>
    <n v="6891"/>
    <s v="42254849"/>
    <s v="42254849"/>
    <m/>
    <m/>
    <n v="22786054"/>
    <m/>
    <m/>
    <m/>
    <s v="SOLFIN"/>
    <s v="SOLFIN"/>
    <s v="CCMS"/>
    <n v="21344076"/>
    <n v="16655.86"/>
    <m/>
    <s v="N"/>
    <n v="6"/>
    <d v="2023-07-07T19:03:22"/>
    <s v="Y"/>
    <s v="Toxicologist"/>
    <s v="Private Law Children"/>
    <s v="Expert Disbursement"/>
    <s v="LEXTOX"/>
    <s v="Y"/>
    <n v="210"/>
    <n v="42"/>
    <x v="9"/>
    <s v="VALIDATED"/>
    <n v="1"/>
    <s v="01.11.80.307.6300.0000"/>
    <n v="210"/>
    <s v="11"/>
    <s v="6300"/>
    <n v="19452.43"/>
    <n v="210"/>
    <s v="CREDITOR"/>
    <n v="0"/>
    <n v="0"/>
    <n v="0"/>
    <n v="0"/>
    <n v="210"/>
  </r>
  <r>
    <n v="62104822"/>
    <s v="N"/>
    <n v="21323063"/>
    <s v="3000016104100003"/>
    <s v="CIVIL"/>
    <d v="2023-06-29T00:00:00"/>
    <d v="2023-07-03T19:05:36"/>
    <m/>
    <d v="2023-07-03T00:00:00"/>
    <n v="181"/>
    <n v="6891"/>
    <s v="62104822"/>
    <s v="62104822"/>
    <m/>
    <m/>
    <n v="22793834"/>
    <m/>
    <m/>
    <m/>
    <s v="SOLPOA"/>
    <s v="SOLPOA"/>
    <s v="CCMS"/>
    <n v="21323063"/>
    <n v="2690.42"/>
    <m/>
    <s v="N"/>
    <n v="1"/>
    <d v="2023-07-03T19:05:41"/>
    <s v="N"/>
    <s v="Profit Cost"/>
    <s v="Profit Cost"/>
    <s v="Profit Cost"/>
    <s v="AB"/>
    <s v="N"/>
    <n v="2242.02"/>
    <n v="448.4"/>
    <x v="3"/>
    <s v="VALIDATED"/>
    <n v="1"/>
    <s v="01.11.80.208.2012.0000"/>
    <n v="2242.02"/>
    <s v="11"/>
    <s v="2012"/>
    <n v="19452.43"/>
    <n v="2242.02"/>
    <s v="CREDITOR"/>
    <n v="2242.02"/>
    <n v="560.505"/>
    <n v="0"/>
    <n v="0"/>
    <n v="0"/>
  </r>
  <r>
    <n v="32882543"/>
    <s v="N"/>
    <n v="21395454"/>
    <s v="3000009753710001"/>
    <s v="CIVIL"/>
    <d v="2023-06-29T00:00:00"/>
    <d v="2023-07-19T19:02:01"/>
    <m/>
    <d v="2023-07-19T00:00:00"/>
    <n v="181"/>
    <n v="6891"/>
    <s v="32882543"/>
    <s v="32882543"/>
    <m/>
    <m/>
    <n v="22784976"/>
    <m/>
    <m/>
    <m/>
    <s v="SOLFIN"/>
    <s v="SOLFIN"/>
    <s v="CCMS"/>
    <n v="21395454"/>
    <n v="1620.05"/>
    <m/>
    <s v="N"/>
    <n v="36"/>
    <d v="2023-07-19T19:02:27"/>
    <s v="Y"/>
    <s v="Preparation - other"/>
    <s v="Non Family Hourly Rates"/>
    <s v="Profit Cost"/>
    <s v="BP"/>
    <s v="Y"/>
    <n v="35.78"/>
    <n v="7.16"/>
    <x v="5"/>
    <s v="VALIDATED"/>
    <n v="1"/>
    <s v="01.11.80.212.6100.0000"/>
    <n v="35.78"/>
    <s v="11"/>
    <s v="6100"/>
    <n v="19452.43"/>
    <n v="35.78"/>
    <s v="CREDITOR"/>
    <n v="0"/>
    <n v="0"/>
    <n v="0"/>
    <n v="0"/>
    <n v="35.78"/>
  </r>
  <r>
    <n v="32882543"/>
    <s v="N"/>
    <n v="21395454"/>
    <s v="3000009753710001"/>
    <s v="CIVIL"/>
    <d v="2023-06-29T00:00:00"/>
    <d v="2023-07-19T19:02:01"/>
    <m/>
    <d v="2023-07-19T00:00:00"/>
    <n v="181"/>
    <n v="6891"/>
    <s v="32882543"/>
    <s v="32882543"/>
    <m/>
    <m/>
    <n v="22784976"/>
    <m/>
    <m/>
    <m/>
    <s v="SOLFIN"/>
    <s v="SOLFIN"/>
    <s v="CCMS"/>
    <n v="21395454"/>
    <n v="1620.05"/>
    <m/>
    <s v="N"/>
    <n v="44"/>
    <d v="2023-07-19T19:02:27"/>
    <s v="Y"/>
    <s v="Preparation - other"/>
    <s v="Non Family Hourly Rates"/>
    <s v="Profit Cost"/>
    <s v="BP"/>
    <s v="Y"/>
    <n v="17.89"/>
    <n v="3.58"/>
    <x v="5"/>
    <s v="VALIDATED"/>
    <n v="1"/>
    <s v="01.11.80.212.6100.0000"/>
    <n v="17.89"/>
    <s v="11"/>
    <s v="6100"/>
    <n v="19452.43"/>
    <n v="17.89"/>
    <s v="CREDITOR"/>
    <n v="0"/>
    <n v="0"/>
    <n v="0"/>
    <n v="0"/>
    <n v="17.89"/>
  </r>
  <r>
    <n v="32882543"/>
    <s v="N"/>
    <n v="21395454"/>
    <s v="3000009753710001"/>
    <s v="CIVIL"/>
    <d v="2023-06-29T00:00:00"/>
    <d v="2023-07-19T19:02:01"/>
    <m/>
    <d v="2023-07-19T00:00:00"/>
    <n v="181"/>
    <n v="6891"/>
    <s v="32882543"/>
    <s v="32882543"/>
    <m/>
    <m/>
    <n v="22784976"/>
    <m/>
    <m/>
    <m/>
    <s v="SOLFIN"/>
    <s v="SOLFIN"/>
    <s v="CCMS"/>
    <n v="21395454"/>
    <n v="1620.05"/>
    <m/>
    <s v="N"/>
    <n v="13"/>
    <d v="2023-07-19T19:02:27"/>
    <s v="Y"/>
    <s v="Preparation - other"/>
    <s v="Non Family Hourly Rates"/>
    <s v="Profit Cost"/>
    <s v="RC"/>
    <s v="Y"/>
    <n v="35.78"/>
    <n v="7.16"/>
    <x v="5"/>
    <s v="VALIDATED"/>
    <n v="1"/>
    <s v="01.11.80.212.6100.0000"/>
    <n v="35.78"/>
    <s v="11"/>
    <s v="6100"/>
    <n v="19452.43"/>
    <n v="35.78"/>
    <s v="CREDITOR"/>
    <n v="0"/>
    <n v="0"/>
    <n v="0"/>
    <n v="0"/>
    <n v="35.78"/>
  </r>
  <r>
    <n v="32882543"/>
    <s v="N"/>
    <n v="21395454"/>
    <s v="3000009753710001"/>
    <s v="CIVIL"/>
    <d v="2023-06-29T00:00:00"/>
    <d v="2023-07-19T19:02:01"/>
    <m/>
    <d v="2023-07-19T00:00:00"/>
    <n v="181"/>
    <n v="6891"/>
    <s v="32882543"/>
    <s v="32882543"/>
    <m/>
    <m/>
    <n v="22784976"/>
    <m/>
    <m/>
    <m/>
    <s v="SOLFIN"/>
    <s v="SOLFIN"/>
    <s v="CCMS"/>
    <n v="21395454"/>
    <n v="1620.05"/>
    <m/>
    <s v="N"/>
    <n v="18"/>
    <d v="2023-07-19T19:02:27"/>
    <s v="Y"/>
    <s v="Preparation - drafting notice(s)"/>
    <s v="Non Family Hourly Rates"/>
    <s v="Profit Cost"/>
    <s v="BP 2"/>
    <s v="Y"/>
    <n v="3.58"/>
    <n v="0.72"/>
    <x v="5"/>
    <s v="VALIDATED"/>
    <n v="1"/>
    <s v="01.11.80.212.6100.0000"/>
    <n v="3.58"/>
    <s v="11"/>
    <s v="6100"/>
    <n v="19452.43"/>
    <n v="3.58"/>
    <s v="CREDITOR"/>
    <n v="0"/>
    <n v="0"/>
    <n v="0"/>
    <n v="0"/>
    <n v="3.58"/>
  </r>
  <r>
    <n v="32909542"/>
    <s v="N"/>
    <n v="21344011"/>
    <s v="3000009741710002"/>
    <s v="CIVIL"/>
    <d v="2023-06-29T00:00:00"/>
    <d v="2023-07-07T19:03:00"/>
    <m/>
    <d v="2023-07-07T00:00:00"/>
    <n v="181"/>
    <n v="6891"/>
    <s v="32909542"/>
    <s v="32909542"/>
    <m/>
    <m/>
    <n v="22784974"/>
    <m/>
    <m/>
    <m/>
    <s v="SOLFIN"/>
    <s v="SOLFIN"/>
    <s v="CCMS"/>
    <n v="21344011"/>
    <n v="1833.19"/>
    <m/>
    <s v="N"/>
    <n v="12"/>
    <d v="2023-07-07T19:03:20"/>
    <s v="Y"/>
    <s v="Preparation - drafting notice(s)"/>
    <s v="Non Family Hourly Rates"/>
    <s v="Profit Cost"/>
    <s v="BP 2"/>
    <s v="Y"/>
    <n v="3.58"/>
    <n v="0.72"/>
    <x v="9"/>
    <s v="VALIDATED"/>
    <n v="1"/>
    <s v="01.11.80.212.6100.0000"/>
    <n v="3.58"/>
    <s v="11"/>
    <s v="6100"/>
    <n v="19452.43"/>
    <n v="3.58"/>
    <s v="CREDITOR"/>
    <n v="0"/>
    <n v="0"/>
    <n v="0"/>
    <n v="0"/>
    <n v="3.58"/>
  </r>
  <r>
    <n v="32882543"/>
    <s v="N"/>
    <n v="21395454"/>
    <s v="3000009753710001"/>
    <s v="CIVIL"/>
    <d v="2023-06-29T00:00:00"/>
    <d v="2023-07-19T19:02:01"/>
    <m/>
    <d v="2023-07-19T00:00:00"/>
    <n v="181"/>
    <n v="6891"/>
    <s v="32882543"/>
    <s v="32882543"/>
    <m/>
    <m/>
    <n v="22784976"/>
    <m/>
    <m/>
    <m/>
    <s v="SOLFIN"/>
    <s v="SOLFIN"/>
    <s v="CCMS"/>
    <n v="21395454"/>
    <n v="1620.05"/>
    <m/>
    <s v="N"/>
    <n v="37"/>
    <d v="2023-07-19T19:02:27"/>
    <s v="Y"/>
    <s v="Attendance upon other"/>
    <s v="Non Family Hourly Rates"/>
    <s v="Profit Cost"/>
    <s v="BP"/>
    <s v="Y"/>
    <n v="21.47"/>
    <n v="4.29"/>
    <x v="5"/>
    <s v="VALIDATED"/>
    <n v="1"/>
    <s v="01.11.80.212.6100.0000"/>
    <n v="21.47"/>
    <s v="11"/>
    <s v="6100"/>
    <n v="19452.43"/>
    <n v="21.47"/>
    <s v="CREDITOR"/>
    <n v="0"/>
    <n v="0"/>
    <n v="0"/>
    <n v="0"/>
    <n v="21.47"/>
  </r>
  <r>
    <n v="32882543"/>
    <s v="N"/>
    <n v="21395454"/>
    <s v="3000009753710001"/>
    <s v="CIVIL"/>
    <d v="2023-06-29T00:00:00"/>
    <d v="2023-07-19T19:02:01"/>
    <m/>
    <d v="2023-07-19T00:00:00"/>
    <n v="181"/>
    <n v="6891"/>
    <s v="32882543"/>
    <s v="32882543"/>
    <m/>
    <m/>
    <n v="22784976"/>
    <m/>
    <m/>
    <m/>
    <s v="SOLFIN"/>
    <s v="SOLFIN"/>
    <s v="CCMS"/>
    <n v="21395454"/>
    <n v="1620.05"/>
    <m/>
    <s v="N"/>
    <n v="54"/>
    <d v="2023-07-19T19:02:27"/>
    <s v="Y"/>
    <s v="Preparation - other"/>
    <s v="Non Family Hourly Rates"/>
    <s v="Profit Cost"/>
    <s v="BP 2"/>
    <s v="Y"/>
    <n v="7.16"/>
    <n v="1.43"/>
    <x v="5"/>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11"/>
    <d v="2023-07-04T19:00:56"/>
    <s v="Y"/>
    <s v="Preparation - drafting notice(s)"/>
    <s v="Non Family Hourly Rates"/>
    <s v="Profit Cost"/>
    <s v="MH"/>
    <s v="Y"/>
    <n v="14.31"/>
    <n v="2.86"/>
    <x v="1"/>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39"/>
    <d v="2023-07-19T19:02:27"/>
    <s v="Y"/>
    <s v="Report - Counsel's opinion"/>
    <s v="Non Family Hourly Rates"/>
    <s v="Profit Cost"/>
    <s v="RC 2"/>
    <s v="Y"/>
    <n v="17.89"/>
    <n v="3.58"/>
    <x v="5"/>
    <s v="VALIDATED"/>
    <n v="1"/>
    <s v="01.11.80.212.6100.0000"/>
    <n v="17.89"/>
    <s v="11"/>
    <s v="6100"/>
    <n v="19452.43"/>
    <n v="17.89"/>
    <s v="CREDITOR"/>
    <n v="0"/>
    <n v="0"/>
    <n v="0"/>
    <n v="0"/>
    <n v="17.89"/>
  </r>
  <r>
    <n v="32882543"/>
    <s v="N"/>
    <n v="21395454"/>
    <s v="3000009753710001"/>
    <s v="CIVIL"/>
    <d v="2023-06-29T00:00:00"/>
    <d v="2023-07-19T19:02:01"/>
    <m/>
    <d v="2023-07-19T00:00:00"/>
    <n v="181"/>
    <n v="6891"/>
    <s v="32882543"/>
    <s v="32882543"/>
    <m/>
    <m/>
    <n v="22784976"/>
    <m/>
    <m/>
    <m/>
    <s v="SOLFIN"/>
    <s v="SOLFIN"/>
    <s v="CCMS"/>
    <n v="21395454"/>
    <n v="1620.05"/>
    <m/>
    <s v="N"/>
    <n v="32"/>
    <d v="2023-07-19T19:02:27"/>
    <s v="Y"/>
    <s v="Preparation - drafting statement"/>
    <s v="Non Family Hourly Rates"/>
    <s v="Profit Cost"/>
    <s v="RC"/>
    <s v="Y"/>
    <n v="17.89"/>
    <n v="3.58"/>
    <x v="5"/>
    <s v="VALIDATED"/>
    <n v="1"/>
    <s v="01.11.80.212.6100.0000"/>
    <n v="17.89"/>
    <s v="11"/>
    <s v="6100"/>
    <n v="19452.43"/>
    <n v="17.89"/>
    <s v="CREDITOR"/>
    <n v="0"/>
    <n v="0"/>
    <n v="0"/>
    <n v="0"/>
    <n v="17.89"/>
  </r>
  <r>
    <n v="32909542"/>
    <s v="N"/>
    <n v="21344011"/>
    <s v="3000009741710002"/>
    <s v="CIVIL"/>
    <d v="2023-06-29T00:00:00"/>
    <d v="2023-07-07T19:03:00"/>
    <m/>
    <d v="2023-07-07T00:00:00"/>
    <n v="181"/>
    <n v="6891"/>
    <s v="32909542"/>
    <s v="32909542"/>
    <m/>
    <m/>
    <n v="22784974"/>
    <m/>
    <m/>
    <m/>
    <s v="SOLFIN"/>
    <s v="SOLFIN"/>
    <s v="CCMS"/>
    <n v="21344011"/>
    <n v="1833.19"/>
    <m/>
    <s v="N"/>
    <n v="9"/>
    <d v="2023-07-07T19:03:20"/>
    <s v="Y"/>
    <s v="Attendance upon/with Counsel at Con"/>
    <s v="Non Family Hourly Rates"/>
    <s v="Profit Cost"/>
    <s v="BP"/>
    <s v="Y"/>
    <n v="5"/>
    <n v="1"/>
    <x v="9"/>
    <s v="VALIDATED"/>
    <n v="1"/>
    <s v="01.11.80.212.6100.0000"/>
    <n v="5"/>
    <s v="11"/>
    <s v="6100"/>
    <n v="19452.43"/>
    <n v="5"/>
    <s v="CREDITOR"/>
    <n v="0"/>
    <n v="0"/>
    <n v="0"/>
    <n v="0"/>
    <n v="5"/>
  </r>
  <r>
    <n v="16200400"/>
    <s v="N"/>
    <n v="21327852"/>
    <s v="3000007820060001"/>
    <s v="CIVIL"/>
    <d v="2023-06-23T00:00:00"/>
    <d v="2023-07-04T19:00:44"/>
    <m/>
    <d v="2023-07-04T00:00:00"/>
    <n v="181"/>
    <n v="6891"/>
    <s v="16200400"/>
    <s v="16200400"/>
    <m/>
    <m/>
    <n v="22749524"/>
    <m/>
    <m/>
    <m/>
    <s v="SOLFIN"/>
    <s v="SOLFIN"/>
    <s v="CCMS"/>
    <n v="21327852"/>
    <n v="1087.97"/>
    <m/>
    <s v="N"/>
    <n v="27"/>
    <d v="2023-07-04T19:00:56"/>
    <s v="Y"/>
    <s v="Preparation - other"/>
    <s v="Non Family Hourly Rates"/>
    <s v="Profit Cost"/>
    <s v="MH"/>
    <s v="Y"/>
    <n v="8.949999999999999"/>
    <n v="1.79"/>
    <x v="1"/>
    <s v="VALIDATED"/>
    <n v="1"/>
    <s v="01.11.80.212.6100.0000"/>
    <n v="8.949999999999999"/>
    <s v="11"/>
    <s v="6100"/>
    <n v="19452.43"/>
    <n v="8.949999999999999"/>
    <s v="CREDITOR"/>
    <n v="0"/>
    <n v="0"/>
    <n v="0"/>
    <n v="0"/>
    <n v="8.949999999999999"/>
  </r>
  <r>
    <n v="42254849"/>
    <s v="N"/>
    <n v="21344076"/>
    <s v="3000010809500017"/>
    <s v="CIVIL"/>
    <d v="2023-06-29T00:00:00"/>
    <d v="2023-07-07T19:03:00"/>
    <m/>
    <d v="2023-07-07T00:00:00"/>
    <n v="181"/>
    <n v="6891"/>
    <s v="42254849"/>
    <s v="42254849"/>
    <m/>
    <m/>
    <n v="22786054"/>
    <m/>
    <m/>
    <m/>
    <s v="SOLFIN"/>
    <s v="SOLFIN"/>
    <s v="CCMS"/>
    <n v="21344076"/>
    <n v="16655.86"/>
    <m/>
    <s v="N"/>
    <n v="3"/>
    <d v="2023-07-07T19:03:22"/>
    <s v="Y"/>
    <s v="Court Fee"/>
    <s v="Private Law Children"/>
    <s v="Non Expert Disbursement"/>
    <s v="HMCTS"/>
    <s v="Y"/>
    <n v="167"/>
    <n v="0"/>
    <x v="9"/>
    <s v="VALIDATED"/>
    <n v="1"/>
    <s v="01.11.80.307.6300.0000"/>
    <n v="167"/>
    <s v="11"/>
    <s v="6300"/>
    <n v="19452.43"/>
    <n v="167"/>
    <s v="CREDITOR"/>
    <n v="0"/>
    <n v="0"/>
    <n v="0"/>
    <n v="0"/>
    <n v="167"/>
  </r>
  <r>
    <n v="32882543"/>
    <s v="N"/>
    <n v="21395454"/>
    <s v="3000009753710001"/>
    <s v="CIVIL"/>
    <d v="2023-06-29T00:00:00"/>
    <d v="2023-07-19T19:02:01"/>
    <m/>
    <d v="2023-07-19T00:00:00"/>
    <n v="181"/>
    <n v="6891"/>
    <s v="32882543"/>
    <s v="32882543"/>
    <m/>
    <m/>
    <n v="22784976"/>
    <m/>
    <m/>
    <m/>
    <s v="SOLFIN"/>
    <s v="SOLFIN"/>
    <s v="CCMS"/>
    <n v="21395454"/>
    <n v="1620.05"/>
    <m/>
    <s v="N"/>
    <n v="21"/>
    <d v="2023-07-19T19:02:27"/>
    <s v="Y"/>
    <s v="Attendance upon client"/>
    <s v="Non Family Hourly Rates"/>
    <s v="Profit Cost"/>
    <s v="BP"/>
    <s v="Y"/>
    <n v="7.16"/>
    <n v="1.43"/>
    <x v="5"/>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13"/>
    <d v="2023-07-07T19:03:20"/>
    <s v="Y"/>
    <s v="Preparation - other"/>
    <s v="Non Family Hourly Rates"/>
    <s v="Profit Cost"/>
    <s v="BP 2"/>
    <s v="Y"/>
    <n v="21.47"/>
    <n v="4.29"/>
    <x v="9"/>
    <s v="VALIDATED"/>
    <n v="1"/>
    <s v="01.11.80.212.6100.0000"/>
    <n v="21.47"/>
    <s v="11"/>
    <s v="6100"/>
    <n v="19452.43"/>
    <n v="21.47"/>
    <s v="CREDITOR"/>
    <n v="0"/>
    <n v="0"/>
    <n v="0"/>
    <n v="0"/>
    <n v="21.47"/>
  </r>
  <r>
    <n v="16200400"/>
    <s v="N"/>
    <n v="21327852"/>
    <s v="3000007820060001"/>
    <s v="CIVIL"/>
    <d v="2023-06-23T00:00:00"/>
    <d v="2023-07-04T19:00:44"/>
    <m/>
    <d v="2023-07-04T00:00:00"/>
    <n v="181"/>
    <n v="6891"/>
    <s v="16200400"/>
    <s v="16200400"/>
    <m/>
    <m/>
    <n v="22749524"/>
    <m/>
    <m/>
    <m/>
    <s v="SOLFIN"/>
    <s v="SOLFIN"/>
    <s v="CCMS"/>
    <n v="21327852"/>
    <n v="1087.97"/>
    <m/>
    <s v="N"/>
    <n v="1"/>
    <d v="2023-07-04T19:00:56"/>
    <s v="Y"/>
    <s v="Preparation - other"/>
    <s v="Non Family Hourly Rates"/>
    <s v="Profit Cost"/>
    <s v="MH"/>
    <s v="Y"/>
    <n v="21.47"/>
    <n v="4.29"/>
    <x v="1"/>
    <s v="VALIDATED"/>
    <n v="1"/>
    <s v="01.11.80.212.6100.0000"/>
    <n v="21.47"/>
    <s v="11"/>
    <s v="6100"/>
    <n v="19452.43"/>
    <n v="21.47"/>
    <s v="CREDITOR"/>
    <n v="0"/>
    <n v="0"/>
    <n v="0"/>
    <n v="0"/>
    <n v="21.47"/>
  </r>
  <r>
    <n v="32882543"/>
    <s v="N"/>
    <n v="21395454"/>
    <s v="3000009753710001"/>
    <s v="CIVIL"/>
    <d v="2023-06-29T00:00:00"/>
    <d v="2023-07-19T19:02:01"/>
    <m/>
    <d v="2023-07-19T00:00:00"/>
    <n v="181"/>
    <n v="6891"/>
    <s v="32882543"/>
    <s v="32882543"/>
    <m/>
    <m/>
    <n v="22784976"/>
    <m/>
    <m/>
    <m/>
    <s v="SOLFIN"/>
    <s v="SOLFIN"/>
    <s v="CCMS"/>
    <n v="21395454"/>
    <n v="1620.05"/>
    <m/>
    <s v="N"/>
    <n v="7"/>
    <d v="2023-07-19T19:02:27"/>
    <s v="Y"/>
    <s v="Report - Counsel's opinion"/>
    <s v="Non Family Hourly Rates"/>
    <s v="Profit Cost"/>
    <s v="RC 2"/>
    <s v="Y"/>
    <n v="14.31"/>
    <n v="2.86"/>
    <x v="5"/>
    <s v="VALIDATED"/>
    <n v="1"/>
    <s v="01.11.80.212.6100.0000"/>
    <n v="14.31"/>
    <s v="11"/>
    <s v="6100"/>
    <n v="19452.43"/>
    <n v="14.31"/>
    <s v="CREDITOR"/>
    <n v="0"/>
    <n v="0"/>
    <n v="0"/>
    <n v="0"/>
    <n v="14.31"/>
  </r>
  <r>
    <n v="62041977"/>
    <s v="N"/>
    <n v="21349408"/>
    <s v="3000016077920002"/>
    <s v="CIVIL"/>
    <d v="2023-06-30T00:00:00"/>
    <d v="2023-07-10T19:01:40"/>
    <m/>
    <d v="2023-07-10T00:00:00"/>
    <n v="181"/>
    <n v="6891"/>
    <s v="62041977"/>
    <s v="62041977"/>
    <m/>
    <m/>
    <n v="22794318"/>
    <m/>
    <m/>
    <m/>
    <s v="SOLINT"/>
    <s v="SOLINT"/>
    <s v="CCMS"/>
    <n v="21349408"/>
    <n v="2839.64"/>
    <m/>
    <s v="N"/>
    <n v="1"/>
    <d v="2023-07-10T19:01:49"/>
    <s v="Y"/>
    <s v="Hearing Unit 1.01 - 2.30 Hours"/>
    <s v="Public Law Children"/>
    <s v="Advocacy"/>
    <s v="SU"/>
    <s v="Y"/>
    <n v="238.46"/>
    <n v="47.69"/>
    <x v="2"/>
    <s v="VALIDATED"/>
    <n v="1"/>
    <s v="01.11.80.308.6100.0000"/>
    <n v="238.46"/>
    <s v="11"/>
    <s v="6100"/>
    <n v="19452.43"/>
    <n v="238.46"/>
    <s v="CREDITOR"/>
    <n v="0"/>
    <n v="0"/>
    <n v="0"/>
    <n v="0"/>
    <n v="238.46"/>
  </r>
  <r>
    <n v="32909542"/>
    <s v="N"/>
    <n v="21344011"/>
    <s v="3000009741710002"/>
    <s v="CIVIL"/>
    <d v="2023-06-29T00:00:00"/>
    <d v="2023-07-07T19:03:00"/>
    <m/>
    <d v="2023-07-07T00:00:00"/>
    <n v="181"/>
    <n v="6891"/>
    <s v="32909542"/>
    <s v="32909542"/>
    <m/>
    <m/>
    <n v="22784974"/>
    <m/>
    <m/>
    <m/>
    <s v="SOLFIN"/>
    <s v="SOLFIN"/>
    <s v="CCMS"/>
    <n v="21344011"/>
    <n v="1833.19"/>
    <m/>
    <s v="N"/>
    <n v="27"/>
    <d v="2023-07-07T19:03:20"/>
    <s v="Y"/>
    <s v="Preparation - other"/>
    <s v="Non Family Hourly Rates"/>
    <s v="Profit Cost"/>
    <s v="RC"/>
    <s v="Y"/>
    <n v="42.94"/>
    <n v="8.59"/>
    <x v="9"/>
    <s v="VALIDATED"/>
    <n v="1"/>
    <s v="01.11.80.212.6100.0000"/>
    <n v="42.94"/>
    <s v="11"/>
    <s v="6100"/>
    <n v="19452.43"/>
    <n v="42.94"/>
    <s v="CREDITOR"/>
    <n v="0"/>
    <n v="0"/>
    <n v="0"/>
    <n v="0"/>
    <n v="42.94"/>
  </r>
  <r>
    <n v="32909542"/>
    <s v="N"/>
    <n v="21344011"/>
    <s v="3000009741710002"/>
    <s v="CIVIL"/>
    <d v="2023-06-29T00:00:00"/>
    <d v="2023-07-07T19:03:00"/>
    <m/>
    <d v="2023-07-07T00:00:00"/>
    <n v="181"/>
    <n v="6891"/>
    <s v="32909542"/>
    <s v="32909542"/>
    <m/>
    <m/>
    <n v="22784974"/>
    <m/>
    <m/>
    <m/>
    <s v="SOLFIN"/>
    <s v="SOLFIN"/>
    <s v="CCMS"/>
    <n v="21344011"/>
    <n v="1833.19"/>
    <m/>
    <s v="N"/>
    <n v="21"/>
    <d v="2023-07-07T19:03:20"/>
    <s v="Y"/>
    <s v="Attendance upon client"/>
    <s v="Non Family Hourly Rates"/>
    <s v="Profit Cost"/>
    <s v="RC"/>
    <s v="Y"/>
    <n v="51.52"/>
    <n v="10.3"/>
    <x v="9"/>
    <s v="VALIDATED"/>
    <n v="1"/>
    <s v="01.11.80.212.6100.0000"/>
    <n v="51.52"/>
    <s v="11"/>
    <s v="6100"/>
    <n v="19452.43"/>
    <n v="51.52"/>
    <s v="CREDITOR"/>
    <n v="0"/>
    <n v="0"/>
    <n v="0"/>
    <n v="0"/>
    <n v="51.52"/>
  </r>
  <r>
    <n v="60218761"/>
    <s v="N"/>
    <n v="21331079"/>
    <s v="3000014528270001"/>
    <s v="CIVIL"/>
    <d v="2023-06-22T00:00:00"/>
    <d v="2023-07-05T19:01:47"/>
    <m/>
    <d v="2023-07-05T00:00:00"/>
    <n v="181"/>
    <n v="6891"/>
    <s v="60218761"/>
    <s v="60218761"/>
    <m/>
    <m/>
    <n v="22746170"/>
    <m/>
    <m/>
    <m/>
    <s v="SOLFIN"/>
    <s v="SOLFIN"/>
    <s v="CCMS"/>
    <n v="21331079"/>
    <n v="455.82"/>
    <m/>
    <s v="N"/>
    <n v="1"/>
    <d v="2023-07-05T19:02:05"/>
    <s v="Y"/>
    <s v="Preparation - other"/>
    <s v="Non Family Hourly Rates"/>
    <s v="Profit Cost"/>
    <s v="RC"/>
    <s v="Y"/>
    <n v="35.78"/>
    <n v="7.16"/>
    <x v="6"/>
    <s v="VALIDATED"/>
    <n v="1"/>
    <s v="01.11.80.212.6100.0000"/>
    <n v="35.78"/>
    <s v="11"/>
    <s v="6100"/>
    <n v="19452.43"/>
    <n v="35.78"/>
    <s v="CREDITOR"/>
    <n v="0"/>
    <n v="0"/>
    <n v="0"/>
    <n v="0"/>
    <n v="35.78"/>
  </r>
  <r>
    <n v="32882543"/>
    <s v="N"/>
    <n v="21395454"/>
    <s v="3000009753710001"/>
    <s v="CIVIL"/>
    <d v="2023-06-29T00:00:00"/>
    <d v="2023-07-19T19:02:01"/>
    <m/>
    <d v="2023-07-19T00:00:00"/>
    <n v="181"/>
    <n v="6891"/>
    <s v="32882543"/>
    <s v="32882543"/>
    <m/>
    <m/>
    <n v="22784976"/>
    <m/>
    <m/>
    <m/>
    <s v="SOLFIN"/>
    <s v="SOLFIN"/>
    <s v="CCMS"/>
    <n v="21395454"/>
    <n v="1620.05"/>
    <m/>
    <s v="N"/>
    <n v="47"/>
    <d v="2023-07-19T19:02:27"/>
    <s v="Y"/>
    <s v="Attendance upon other"/>
    <s v="Non Family Hourly Rates"/>
    <s v="Profit Cost"/>
    <s v="BP 2"/>
    <s v="Y"/>
    <n v="14.31"/>
    <n v="2.86"/>
    <x v="5"/>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26"/>
    <d v="2023-07-19T19:02:27"/>
    <s v="Y"/>
    <s v="Preparation - drafting statement"/>
    <s v="Non Family Hourly Rates"/>
    <s v="Profit Cost"/>
    <s v="RC"/>
    <s v="Y"/>
    <n v="53.66"/>
    <n v="10.73"/>
    <x v="5"/>
    <s v="VALIDATED"/>
    <n v="1"/>
    <s v="01.11.80.212.6100.0000"/>
    <n v="53.66"/>
    <s v="11"/>
    <s v="6100"/>
    <n v="19452.43"/>
    <n v="53.66"/>
    <s v="CREDITOR"/>
    <n v="0"/>
    <n v="0"/>
    <n v="0"/>
    <n v="0"/>
    <n v="53.66"/>
  </r>
  <r>
    <n v="32909542"/>
    <s v="N"/>
    <n v="21344011"/>
    <s v="3000009741710002"/>
    <s v="CIVIL"/>
    <d v="2023-06-29T00:00:00"/>
    <d v="2023-07-07T19:03:00"/>
    <m/>
    <d v="2023-07-07T00:00:00"/>
    <n v="181"/>
    <n v="6891"/>
    <s v="32909542"/>
    <s v="32909542"/>
    <m/>
    <m/>
    <n v="22784974"/>
    <m/>
    <m/>
    <m/>
    <s v="SOLFIN"/>
    <s v="SOLFIN"/>
    <s v="CCMS"/>
    <n v="21344011"/>
    <n v="1833.19"/>
    <m/>
    <s v="N"/>
    <n v="30"/>
    <d v="2023-07-07T19:03:20"/>
    <s v="Y"/>
    <s v="Preparation - other"/>
    <s v="Non Family Hourly Rates"/>
    <s v="Profit Cost"/>
    <s v="BP 2"/>
    <s v="Y"/>
    <n v="14.31"/>
    <n v="2.86"/>
    <x v="9"/>
    <s v="VALIDATED"/>
    <n v="1"/>
    <s v="01.11.80.212.6100.0000"/>
    <n v="14.31"/>
    <s v="11"/>
    <s v="6100"/>
    <n v="19452.43"/>
    <n v="14.31"/>
    <s v="CREDITOR"/>
    <n v="0"/>
    <n v="0"/>
    <n v="0"/>
    <n v="0"/>
    <n v="14.31"/>
  </r>
  <r>
    <n v="32909542"/>
    <s v="N"/>
    <n v="21344011"/>
    <s v="3000009741710002"/>
    <s v="CIVIL"/>
    <d v="2023-06-29T00:00:00"/>
    <d v="2023-07-07T19:03:00"/>
    <m/>
    <d v="2023-07-07T00:00:00"/>
    <n v="181"/>
    <n v="6891"/>
    <s v="32909542"/>
    <s v="32909542"/>
    <m/>
    <m/>
    <n v="22784974"/>
    <m/>
    <m/>
    <m/>
    <s v="SOLFIN"/>
    <s v="SOLFIN"/>
    <s v="CCMS"/>
    <n v="21344011"/>
    <n v="1833.19"/>
    <m/>
    <s v="N"/>
    <n v="46"/>
    <d v="2023-07-07T19:03:20"/>
    <s v="Y"/>
    <s v="Preparation - other"/>
    <s v="Non Family Hourly Rates"/>
    <s v="Profit Cost"/>
    <s v="BP 2"/>
    <s v="Y"/>
    <n v="7.16"/>
    <n v="1.43"/>
    <x v="9"/>
    <s v="VALIDATED"/>
    <n v="1"/>
    <s v="01.11.80.212.6100.0000"/>
    <n v="7.16"/>
    <s v="11"/>
    <s v="6100"/>
    <n v="19452.43"/>
    <n v="7.16"/>
    <s v="CREDITOR"/>
    <n v="0"/>
    <n v="0"/>
    <n v="0"/>
    <n v="0"/>
    <n v="7.16"/>
  </r>
  <r>
    <n v="60218761"/>
    <s v="N"/>
    <n v="21331079"/>
    <s v="3000014528270001"/>
    <s v="CIVIL"/>
    <d v="2023-06-22T00:00:00"/>
    <d v="2023-07-05T19:01:47"/>
    <m/>
    <d v="2023-07-05T00:00:00"/>
    <n v="181"/>
    <n v="6891"/>
    <s v="60218761"/>
    <s v="60218761"/>
    <m/>
    <m/>
    <n v="22746170"/>
    <m/>
    <m/>
    <m/>
    <s v="SOLFIN"/>
    <s v="SOLFIN"/>
    <s v="CCMS"/>
    <n v="21331079"/>
    <n v="455.82"/>
    <m/>
    <s v="N"/>
    <n v="11"/>
    <d v="2023-07-05T19:02:05"/>
    <s v="Y"/>
    <s v="Preparation - other"/>
    <s v="Non Family Hourly Rates"/>
    <s v="Profit Cost"/>
    <s v="JG"/>
    <s v="Y"/>
    <n v="7.16"/>
    <n v="1.43"/>
    <x v="6"/>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35"/>
    <d v="2023-07-04T19:00:56"/>
    <s v="Y"/>
    <s v="Preparation - other"/>
    <s v="Non Family Hourly Rates"/>
    <s v="Profit Cost"/>
    <s v="MH"/>
    <s v="Y"/>
    <n v="7.16"/>
    <n v="1.43"/>
    <x v="1"/>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12"/>
    <d v="2023-07-04T19:00:56"/>
    <s v="Y"/>
    <s v="Preparation - other"/>
    <s v="Non Family Hourly Rates"/>
    <s v="Profit Cost"/>
    <s v="MH"/>
    <s v="Y"/>
    <n v="7.16"/>
    <n v="1.43"/>
    <x v="1"/>
    <s v="VALIDATED"/>
    <n v="1"/>
    <s v="01.11.80.212.6100.0000"/>
    <n v="7.16"/>
    <s v="11"/>
    <s v="6100"/>
    <n v="19452.43"/>
    <n v="7.16"/>
    <s v="CREDITOR"/>
    <n v="0"/>
    <n v="0"/>
    <n v="0"/>
    <n v="0"/>
    <n v="7.16"/>
  </r>
  <r>
    <n v="32882543"/>
    <s v="N"/>
    <n v="21395454"/>
    <s v="3000009753710001"/>
    <s v="CIVIL"/>
    <d v="2023-06-29T00:00:00"/>
    <d v="2023-07-19T19:02:01"/>
    <m/>
    <d v="2023-07-19T00:00:00"/>
    <n v="181"/>
    <n v="6891"/>
    <s v="32882543"/>
    <s v="32882543"/>
    <m/>
    <m/>
    <n v="22784976"/>
    <m/>
    <m/>
    <m/>
    <s v="SOLFIN"/>
    <s v="SOLFIN"/>
    <s v="CCMS"/>
    <n v="21395454"/>
    <n v="1620.05"/>
    <m/>
    <s v="N"/>
    <n v="20"/>
    <d v="2023-07-19T19:02:27"/>
    <s v="Y"/>
    <s v="Preparation - other"/>
    <s v="Non Family Hourly Rates"/>
    <s v="Profit Cost"/>
    <s v="BP 2"/>
    <s v="Y"/>
    <n v="21.47"/>
    <n v="4.29"/>
    <x v="5"/>
    <s v="VALIDATED"/>
    <n v="1"/>
    <s v="01.11.80.212.6100.0000"/>
    <n v="21.47"/>
    <s v="11"/>
    <s v="6100"/>
    <n v="19452.43"/>
    <n v="21.47"/>
    <s v="CREDITOR"/>
    <n v="0"/>
    <n v="0"/>
    <n v="0"/>
    <n v="0"/>
    <n v="21.47"/>
  </r>
  <r>
    <n v="32909542"/>
    <s v="N"/>
    <n v="21344011"/>
    <s v="3000009741710002"/>
    <s v="CIVIL"/>
    <d v="2023-06-29T00:00:00"/>
    <d v="2023-07-07T19:03:00"/>
    <m/>
    <d v="2023-07-07T00:00:00"/>
    <n v="181"/>
    <n v="6891"/>
    <s v="32909542"/>
    <s v="32909542"/>
    <m/>
    <m/>
    <n v="22784974"/>
    <m/>
    <m/>
    <m/>
    <s v="SOLFIN"/>
    <s v="SOLFIN"/>
    <s v="CCMS"/>
    <n v="21344011"/>
    <n v="1833.19"/>
    <m/>
    <s v="N"/>
    <n v="29"/>
    <d v="2023-07-07T19:03:20"/>
    <s v="Y"/>
    <s v="Preparation - other"/>
    <s v="Non Family Hourly Rates"/>
    <s v="Profit Cost"/>
    <s v="BP"/>
    <s v="Y"/>
    <n v="42.94"/>
    <n v="8.59"/>
    <x v="9"/>
    <s v="VALIDATED"/>
    <n v="1"/>
    <s v="01.11.80.212.6100.0000"/>
    <n v="42.94"/>
    <s v="11"/>
    <s v="6100"/>
    <n v="19452.43"/>
    <n v="42.94"/>
    <s v="CREDITOR"/>
    <n v="0"/>
    <n v="0"/>
    <n v="0"/>
    <n v="0"/>
    <n v="42.94"/>
  </r>
  <r>
    <n v="60218761"/>
    <s v="N"/>
    <n v="21331079"/>
    <s v="3000014528270001"/>
    <s v="CIVIL"/>
    <d v="2023-06-22T00:00:00"/>
    <d v="2023-07-05T19:01:47"/>
    <m/>
    <d v="2023-07-05T00:00:00"/>
    <n v="181"/>
    <n v="6891"/>
    <s v="60218761"/>
    <s v="60218761"/>
    <m/>
    <m/>
    <n v="22746170"/>
    <m/>
    <m/>
    <m/>
    <s v="SOLFIN"/>
    <s v="SOLFIN"/>
    <s v="CCMS"/>
    <n v="21331079"/>
    <n v="455.82"/>
    <m/>
    <s v="N"/>
    <n v="5"/>
    <d v="2023-07-05T19:02:05"/>
    <s v="Y"/>
    <s v="Preparation - other"/>
    <s v="Non Family Hourly Rates"/>
    <s v="Profit Cost"/>
    <s v="JG"/>
    <s v="Y"/>
    <n v="7.16"/>
    <n v="1.43"/>
    <x v="6"/>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33"/>
    <d v="2023-07-04T19:00:56"/>
    <s v="Y"/>
    <s v="Preparation - other"/>
    <s v="Non Family Hourly Rates"/>
    <s v="Profit Cost"/>
    <s v="MH"/>
    <s v="Y"/>
    <n v="7.16"/>
    <n v="1.43"/>
    <x v="1"/>
    <s v="VALIDATED"/>
    <n v="1"/>
    <s v="01.11.80.212.6100.0000"/>
    <n v="7.16"/>
    <s v="11"/>
    <s v="6100"/>
    <n v="19452.43"/>
    <n v="7.16"/>
    <s v="CREDITOR"/>
    <n v="0"/>
    <n v="0"/>
    <n v="0"/>
    <n v="0"/>
    <n v="7.16"/>
  </r>
  <r>
    <n v="32882543"/>
    <s v="N"/>
    <n v="21395454"/>
    <s v="3000009753710001"/>
    <s v="CIVIL"/>
    <d v="2023-06-29T00:00:00"/>
    <d v="2023-07-19T19:02:01"/>
    <m/>
    <d v="2023-07-19T00:00:00"/>
    <n v="181"/>
    <n v="6891"/>
    <s v="32882543"/>
    <s v="32882543"/>
    <m/>
    <m/>
    <n v="22784976"/>
    <m/>
    <m/>
    <m/>
    <s v="SOLFIN"/>
    <s v="SOLFIN"/>
    <s v="CCMS"/>
    <n v="21395454"/>
    <n v="1620.05"/>
    <m/>
    <s v="N"/>
    <n v="27"/>
    <d v="2023-07-19T19:02:27"/>
    <s v="Y"/>
    <s v="Attendance upon client"/>
    <s v="Non Family Hourly Rates"/>
    <s v="Profit Cost"/>
    <s v="RC"/>
    <s v="Y"/>
    <n v="10.73"/>
    <n v="2.15"/>
    <x v="5"/>
    <s v="VALIDATED"/>
    <n v="1"/>
    <s v="01.11.80.212.6100.0000"/>
    <n v="10.73"/>
    <s v="11"/>
    <s v="6100"/>
    <n v="19452.43"/>
    <n v="10.73"/>
    <s v="CREDITOR"/>
    <n v="0"/>
    <n v="0"/>
    <n v="0"/>
    <n v="0"/>
    <n v="10.73"/>
  </r>
  <r>
    <n v="32882543"/>
    <s v="N"/>
    <n v="21395454"/>
    <s v="3000009753710001"/>
    <s v="CIVIL"/>
    <d v="2023-06-29T00:00:00"/>
    <d v="2023-07-19T19:02:01"/>
    <m/>
    <d v="2023-07-19T00:00:00"/>
    <n v="181"/>
    <n v="6891"/>
    <s v="32882543"/>
    <s v="32882543"/>
    <m/>
    <m/>
    <n v="22784976"/>
    <m/>
    <m/>
    <m/>
    <s v="SOLFIN"/>
    <s v="SOLFIN"/>
    <s v="CCMS"/>
    <n v="21395454"/>
    <n v="1620.05"/>
    <m/>
    <s v="N"/>
    <n v="34"/>
    <d v="2023-07-19T19:02:27"/>
    <s v="Y"/>
    <s v="Preparation - other"/>
    <s v="Non Family Hourly Rates"/>
    <s v="Profit Cost"/>
    <s v="RC"/>
    <s v="Y"/>
    <n v="35.78"/>
    <n v="7.16"/>
    <x v="5"/>
    <s v="VALIDATED"/>
    <n v="1"/>
    <s v="01.11.80.212.6100.0000"/>
    <n v="35.78"/>
    <s v="11"/>
    <s v="6100"/>
    <n v="19452.43"/>
    <n v="35.78"/>
    <s v="CREDITOR"/>
    <n v="0"/>
    <n v="0"/>
    <n v="0"/>
    <n v="0"/>
    <n v="35.78"/>
  </r>
  <r>
    <n v="10154155"/>
    <s v="N"/>
    <n v="21370219"/>
    <s v="3000006019380004"/>
    <s v="CIVIL"/>
    <d v="2023-06-29T00:00:00"/>
    <d v="2023-07-13T19:21:05"/>
    <m/>
    <d v="2023-07-13T00:00:00"/>
    <n v="181"/>
    <n v="6891"/>
    <s v="10154155"/>
    <s v="10154155"/>
    <m/>
    <m/>
    <n v="22787182"/>
    <m/>
    <m/>
    <m/>
    <s v="SOLFIN"/>
    <s v="SOLFIN"/>
    <s v="CCMS"/>
    <n v="21370219"/>
    <n v="1029.55"/>
    <m/>
    <s v="N"/>
    <n v="1"/>
    <d v="2023-07-13T19:21:17"/>
    <s v="Y"/>
    <s v="Profit Costs (Summary)"/>
    <s v="Non Family Hourly Rates"/>
    <s v="Profit Cost"/>
    <s v="Rebekah Carrier"/>
    <s v="Y"/>
    <n v="857.96"/>
    <n v="171.59"/>
    <x v="11"/>
    <s v="VALIDATED"/>
    <n v="1"/>
    <s v="01.11.80.208.6100.0000"/>
    <n v="857.96"/>
    <s v="11"/>
    <s v="6100"/>
    <n v="19452.43"/>
    <n v="857.96"/>
    <s v="CREDITOR"/>
    <n v="0"/>
    <n v="0"/>
    <n v="0"/>
    <n v="0"/>
    <n v="857.96"/>
  </r>
  <r>
    <n v="32909542"/>
    <s v="N"/>
    <n v="21344011"/>
    <s v="3000009741710002"/>
    <s v="CIVIL"/>
    <d v="2023-06-29T00:00:00"/>
    <d v="2023-07-07T19:03:00"/>
    <m/>
    <d v="2023-07-07T00:00:00"/>
    <n v="181"/>
    <n v="6891"/>
    <s v="32909542"/>
    <s v="32909542"/>
    <m/>
    <m/>
    <n v="22784974"/>
    <m/>
    <m/>
    <m/>
    <s v="SOLFIN"/>
    <s v="SOLFIN"/>
    <s v="CCMS"/>
    <n v="21344011"/>
    <n v="1833.19"/>
    <m/>
    <s v="N"/>
    <n v="32"/>
    <d v="2023-07-07T19:03:20"/>
    <s v="Y"/>
    <s v="Attendance upon other"/>
    <s v="Non Family Hourly Rates"/>
    <s v="Profit Cost"/>
    <s v="BP"/>
    <s v="Y"/>
    <n v="25.76"/>
    <n v="5.15"/>
    <x v="9"/>
    <s v="VALIDATED"/>
    <n v="1"/>
    <s v="01.11.80.212.6100.0000"/>
    <n v="25.76"/>
    <s v="11"/>
    <s v="6100"/>
    <n v="19452.43"/>
    <n v="25.76"/>
    <s v="CREDITOR"/>
    <n v="0"/>
    <n v="0"/>
    <n v="0"/>
    <n v="0"/>
    <n v="25.76"/>
  </r>
  <r>
    <n v="32882543"/>
    <s v="N"/>
    <n v="21395454"/>
    <s v="3000009753710001"/>
    <s v="CIVIL"/>
    <d v="2023-06-29T00:00:00"/>
    <d v="2023-07-19T19:02:01"/>
    <m/>
    <d v="2023-07-19T00:00:00"/>
    <n v="181"/>
    <n v="6891"/>
    <s v="32882543"/>
    <s v="32882543"/>
    <m/>
    <m/>
    <n v="22784976"/>
    <m/>
    <m/>
    <m/>
    <s v="SOLFIN"/>
    <s v="SOLFIN"/>
    <s v="CCMS"/>
    <n v="21395454"/>
    <n v="1620.05"/>
    <m/>
    <s v="N"/>
    <n v="45"/>
    <d v="2023-07-19T19:02:27"/>
    <s v="Y"/>
    <s v="Attendance upon client"/>
    <s v="Non Family Hourly Rates"/>
    <s v="Profit Cost"/>
    <s v="BP"/>
    <s v="Y"/>
    <n v="10.73"/>
    <n v="2.15"/>
    <x v="5"/>
    <s v="VALIDATED"/>
    <n v="1"/>
    <s v="01.11.80.212.6100.0000"/>
    <n v="10.73"/>
    <s v="11"/>
    <s v="6100"/>
    <n v="19452.43"/>
    <n v="10.73"/>
    <s v="CREDITOR"/>
    <n v="0"/>
    <n v="0"/>
    <n v="0"/>
    <n v="0"/>
    <n v="10.73"/>
  </r>
  <r>
    <n v="32882543"/>
    <s v="N"/>
    <n v="21395454"/>
    <s v="3000009753710001"/>
    <s v="CIVIL"/>
    <d v="2023-06-29T00:00:00"/>
    <d v="2023-07-19T19:02:01"/>
    <m/>
    <d v="2023-07-19T00:00:00"/>
    <n v="181"/>
    <n v="6891"/>
    <s v="32882543"/>
    <s v="32882543"/>
    <m/>
    <m/>
    <n v="22784976"/>
    <m/>
    <m/>
    <m/>
    <s v="SOLFIN"/>
    <s v="SOLFIN"/>
    <s v="CCMS"/>
    <n v="21395454"/>
    <n v="1620.05"/>
    <m/>
    <s v="N"/>
    <n v="49"/>
    <d v="2023-07-19T19:02:27"/>
    <s v="Y"/>
    <s v="Preparation - other"/>
    <s v="Non Family Hourly Rates"/>
    <s v="Profit Cost"/>
    <s v="BP 2"/>
    <s v="Y"/>
    <n v="7.16"/>
    <n v="1.43"/>
    <x v="5"/>
    <s v="VALIDATED"/>
    <n v="1"/>
    <s v="01.11.80.212.6100.0000"/>
    <n v="7.16"/>
    <s v="11"/>
    <s v="6100"/>
    <n v="19452.43"/>
    <n v="7.16"/>
    <s v="CREDITOR"/>
    <n v="0"/>
    <n v="0"/>
    <n v="0"/>
    <n v="0"/>
    <n v="7.16"/>
  </r>
  <r>
    <n v="32882543"/>
    <s v="N"/>
    <n v="21395454"/>
    <s v="3000009753710001"/>
    <s v="CIVIL"/>
    <d v="2023-06-29T00:00:00"/>
    <d v="2023-07-19T19:02:01"/>
    <m/>
    <d v="2023-07-19T00:00:00"/>
    <n v="181"/>
    <n v="6891"/>
    <s v="32882543"/>
    <s v="32882543"/>
    <m/>
    <m/>
    <n v="22784976"/>
    <m/>
    <m/>
    <m/>
    <s v="SOLFIN"/>
    <s v="SOLFIN"/>
    <s v="CCMS"/>
    <n v="21395454"/>
    <n v="1620.05"/>
    <m/>
    <s v="N"/>
    <n v="19"/>
    <d v="2023-07-19T19:02:27"/>
    <s v="Y"/>
    <s v="Preparation - drafting notice(s)"/>
    <s v="Non Family Hourly Rates"/>
    <s v="Profit Cost"/>
    <s v="BP 2"/>
    <s v="Y"/>
    <n v="3.58"/>
    <n v="0.72"/>
    <x v="5"/>
    <s v="VALIDATED"/>
    <n v="1"/>
    <s v="01.11.80.212.6100.0000"/>
    <n v="3.58"/>
    <s v="11"/>
    <s v="6100"/>
    <n v="19452.43"/>
    <n v="3.58"/>
    <s v="CREDITOR"/>
    <n v="0"/>
    <n v="0"/>
    <n v="0"/>
    <n v="0"/>
    <n v="3.58"/>
  </r>
  <r>
    <n v="32909542"/>
    <s v="N"/>
    <n v="21344011"/>
    <s v="3000009741710002"/>
    <s v="CIVIL"/>
    <d v="2023-06-29T00:00:00"/>
    <d v="2023-07-07T19:03:00"/>
    <m/>
    <d v="2023-07-07T00:00:00"/>
    <n v="181"/>
    <n v="6891"/>
    <s v="32909542"/>
    <s v="32909542"/>
    <m/>
    <m/>
    <n v="22784974"/>
    <m/>
    <m/>
    <m/>
    <s v="SOLFIN"/>
    <s v="SOLFIN"/>
    <s v="CCMS"/>
    <n v="21344011"/>
    <n v="1833.19"/>
    <m/>
    <s v="N"/>
    <n v="11"/>
    <d v="2023-07-07T19:03:20"/>
    <s v="Y"/>
    <s v="Preparation - drafting notice(s)"/>
    <s v="Non Family Hourly Rates"/>
    <s v="Profit Cost"/>
    <s v="BP 2"/>
    <s v="Y"/>
    <n v="3.58"/>
    <n v="0.72"/>
    <x v="9"/>
    <s v="VALIDATED"/>
    <n v="1"/>
    <s v="01.11.80.212.6100.0000"/>
    <n v="3.58"/>
    <s v="11"/>
    <s v="6100"/>
    <n v="19452.43"/>
    <n v="3.58"/>
    <s v="CREDITOR"/>
    <n v="0"/>
    <n v="0"/>
    <n v="0"/>
    <n v="0"/>
    <n v="3.58"/>
  </r>
  <r>
    <n v="32882543"/>
    <s v="N"/>
    <n v="21395454"/>
    <s v="3000009753710001"/>
    <s v="CIVIL"/>
    <d v="2023-06-29T00:00:00"/>
    <d v="2023-07-19T19:02:01"/>
    <m/>
    <d v="2023-07-19T00:00:00"/>
    <n v="181"/>
    <n v="6891"/>
    <s v="32882543"/>
    <s v="32882543"/>
    <m/>
    <m/>
    <n v="22784976"/>
    <m/>
    <m/>
    <m/>
    <s v="SOLFIN"/>
    <s v="SOLFIN"/>
    <s v="CCMS"/>
    <n v="21395454"/>
    <n v="1620.05"/>
    <m/>
    <s v="N"/>
    <n v="4"/>
    <d v="2023-07-19T19:02:27"/>
    <s v="N"/>
    <s v="Preparation - other"/>
    <s v="Non Family Hourly Rates"/>
    <s v="Profit Cost"/>
    <s v="RC"/>
    <s v="N"/>
    <n v="29.3"/>
    <n v="5.86"/>
    <x v="5"/>
    <s v="VALIDATED"/>
    <n v="1"/>
    <s v="01.11.80.212.6100.0000"/>
    <n v="29.3"/>
    <s v="11"/>
    <s v="6100"/>
    <n v="19452.43"/>
    <n v="29.3"/>
    <s v="CREDITOR"/>
    <n v="0"/>
    <n v="0"/>
    <n v="0"/>
    <n v="0"/>
    <n v="29.3"/>
  </r>
  <r>
    <n v="16200400"/>
    <s v="N"/>
    <n v="21327852"/>
    <s v="3000007820060001"/>
    <s v="CIVIL"/>
    <d v="2023-06-23T00:00:00"/>
    <d v="2023-07-04T19:00:44"/>
    <m/>
    <d v="2023-07-04T00:00:00"/>
    <n v="181"/>
    <n v="6891"/>
    <s v="16200400"/>
    <s v="16200400"/>
    <m/>
    <m/>
    <n v="22749524"/>
    <m/>
    <m/>
    <m/>
    <s v="SOLFIN"/>
    <s v="SOLFIN"/>
    <s v="CCMS"/>
    <n v="21327852"/>
    <n v="1087.97"/>
    <m/>
    <s v="N"/>
    <n v="7"/>
    <d v="2023-07-04T19:00:56"/>
    <s v="Y"/>
    <s v="Preparation - other"/>
    <s v="Non Family Hourly Rates"/>
    <s v="Profit Cost"/>
    <s v="MH"/>
    <s v="Y"/>
    <n v="35.78"/>
    <n v="7.15"/>
    <x v="1"/>
    <s v="VALIDATED"/>
    <n v="1"/>
    <s v="01.11.80.212.6100.0000"/>
    <n v="35.78"/>
    <s v="11"/>
    <s v="6100"/>
    <n v="19452.43"/>
    <n v="35.78"/>
    <s v="CREDITOR"/>
    <n v="0"/>
    <n v="0"/>
    <n v="0"/>
    <n v="0"/>
    <n v="35.78"/>
  </r>
  <r>
    <n v="32909542"/>
    <s v="N"/>
    <n v="21344011"/>
    <s v="3000009741710002"/>
    <s v="CIVIL"/>
    <d v="2023-06-29T00:00:00"/>
    <d v="2023-07-07T19:03:00"/>
    <m/>
    <d v="2023-07-07T00:00:00"/>
    <n v="181"/>
    <n v="6891"/>
    <s v="32909542"/>
    <s v="32909542"/>
    <m/>
    <m/>
    <n v="22784974"/>
    <m/>
    <m/>
    <m/>
    <s v="SOLFIN"/>
    <s v="SOLFIN"/>
    <s v="CCMS"/>
    <n v="21344011"/>
    <n v="1833.19"/>
    <m/>
    <s v="N"/>
    <n v="43"/>
    <d v="2023-07-07T19:03:20"/>
    <s v="Y"/>
    <s v="Preparation - other"/>
    <s v="Non Family Hourly Rates"/>
    <s v="Profit Cost"/>
    <s v="BP 2"/>
    <s v="Y"/>
    <n v="7.16"/>
    <n v="1.43"/>
    <x v="9"/>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50"/>
    <d v="2023-07-07T19:03:20"/>
    <s v="Y"/>
    <s v="Preparation - drafting bill/claim f"/>
    <s v="Non Family Hourly Rates"/>
    <s v="Profit Cost"/>
    <s v="BP 2"/>
    <s v="Y"/>
    <n v="186.03"/>
    <n v="37.21"/>
    <x v="9"/>
    <s v="VALIDATED"/>
    <n v="1"/>
    <s v="01.11.80.212.6100.0000"/>
    <n v="186.03"/>
    <s v="11"/>
    <s v="6100"/>
    <n v="19452.43"/>
    <n v="186.03"/>
    <s v="CREDITOR"/>
    <n v="0"/>
    <n v="0"/>
    <n v="0"/>
    <n v="0"/>
    <n v="186.03"/>
  </r>
  <r>
    <n v="32882543"/>
    <s v="N"/>
    <n v="21395454"/>
    <s v="3000009753710001"/>
    <s v="CIVIL"/>
    <d v="2023-06-29T00:00:00"/>
    <d v="2023-07-19T19:02:01"/>
    <m/>
    <d v="2023-07-19T00:00:00"/>
    <n v="181"/>
    <n v="6891"/>
    <s v="32882543"/>
    <s v="32882543"/>
    <m/>
    <m/>
    <n v="22784976"/>
    <m/>
    <m/>
    <m/>
    <s v="SOLFIN"/>
    <s v="SOLFIN"/>
    <s v="CCMS"/>
    <n v="21395454"/>
    <n v="1620.05"/>
    <m/>
    <s v="N"/>
    <n v="46"/>
    <d v="2023-07-19T19:02:27"/>
    <s v="Y"/>
    <s v="Preparation - other"/>
    <s v="Non Family Hourly Rates"/>
    <s v="Profit Cost"/>
    <s v="BP 2"/>
    <s v="Y"/>
    <n v="7.16"/>
    <n v="1.43"/>
    <x v="5"/>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19"/>
    <d v="2023-07-07T19:03:20"/>
    <s v="Y"/>
    <s v="Preparation - drafting statement"/>
    <s v="Non Family Hourly Rates"/>
    <s v="Profit Cost"/>
    <s v="RC"/>
    <s v="Y"/>
    <n v="64.39"/>
    <n v="12.88"/>
    <x v="9"/>
    <s v="VALIDATED"/>
    <n v="1"/>
    <s v="01.11.80.212.6100.0000"/>
    <n v="64.39"/>
    <s v="11"/>
    <s v="6100"/>
    <n v="19452.43"/>
    <n v="64.39"/>
    <s v="CREDITOR"/>
    <n v="0"/>
    <n v="0"/>
    <n v="0"/>
    <n v="0"/>
    <n v="64.39"/>
  </r>
  <r>
    <n v="16200400"/>
    <s v="N"/>
    <n v="21327852"/>
    <s v="3000007820060001"/>
    <s v="CIVIL"/>
    <d v="2023-06-23T00:00:00"/>
    <d v="2023-07-04T19:00:44"/>
    <m/>
    <d v="2023-07-04T00:00:00"/>
    <n v="181"/>
    <n v="6891"/>
    <s v="16200400"/>
    <s v="16200400"/>
    <m/>
    <m/>
    <n v="22749524"/>
    <m/>
    <m/>
    <m/>
    <s v="SOLFIN"/>
    <s v="SOLFIN"/>
    <s v="CCMS"/>
    <n v="21327852"/>
    <n v="1087.97"/>
    <m/>
    <s v="N"/>
    <n v="29"/>
    <d v="2023-07-04T19:00:56"/>
    <s v="Y"/>
    <s v="Preparation - other"/>
    <s v="Non Family Hourly Rates"/>
    <s v="Profit Cost"/>
    <s v="MH"/>
    <s v="Y"/>
    <n v="7.16"/>
    <n v="1.43"/>
    <x v="1"/>
    <s v="VALIDATED"/>
    <n v="1"/>
    <s v="01.11.80.212.6100.0000"/>
    <n v="7.16"/>
    <s v="11"/>
    <s v="6100"/>
    <n v="19452.43"/>
    <n v="7.16"/>
    <s v="CREDITOR"/>
    <n v="0"/>
    <n v="0"/>
    <n v="0"/>
    <n v="0"/>
    <n v="7.16"/>
  </r>
  <r>
    <n v="42254849"/>
    <s v="N"/>
    <n v="21344076"/>
    <s v="3000010809500017"/>
    <s v="CIVIL"/>
    <d v="2023-06-29T00:00:00"/>
    <d v="2023-07-07T19:03:00"/>
    <m/>
    <d v="2023-07-07T00:00:00"/>
    <n v="181"/>
    <n v="6891"/>
    <s v="42254849"/>
    <s v="42254849"/>
    <m/>
    <m/>
    <n v="22786054"/>
    <m/>
    <m/>
    <m/>
    <s v="SOLFIN"/>
    <s v="SOLFIN"/>
    <s v="CCMS"/>
    <n v="21344076"/>
    <n v="16655.86"/>
    <m/>
    <s v="N"/>
    <n v="5"/>
    <d v="2023-07-07T19:03:22"/>
    <s v="Y"/>
    <s v="Psychiatrist"/>
    <s v="Private Law Children"/>
    <s v="Expert Disbursement"/>
    <s v="DR MCCLINTOCK"/>
    <s v="Y"/>
    <n v="756"/>
    <n v="151.2"/>
    <x v="9"/>
    <s v="VALIDATED"/>
    <n v="1"/>
    <s v="01.11.80.307.6300.0000"/>
    <n v="756"/>
    <s v="11"/>
    <s v="6300"/>
    <n v="19452.43"/>
    <n v="756"/>
    <s v="CREDITOR"/>
    <n v="0"/>
    <n v="0"/>
    <n v="0"/>
    <n v="0"/>
    <n v="756"/>
  </r>
  <r>
    <n v="16200400"/>
    <s v="N"/>
    <n v="21327852"/>
    <s v="3000007820060001"/>
    <s v="CIVIL"/>
    <d v="2023-06-23T00:00:00"/>
    <d v="2023-07-04T19:00:44"/>
    <m/>
    <d v="2023-07-04T00:00:00"/>
    <n v="181"/>
    <n v="6891"/>
    <s v="16200400"/>
    <s v="16200400"/>
    <m/>
    <m/>
    <n v="22749524"/>
    <m/>
    <m/>
    <m/>
    <s v="SOLFIN"/>
    <s v="SOLFIN"/>
    <s v="CCMS"/>
    <n v="21327852"/>
    <n v="1087.97"/>
    <m/>
    <s v="N"/>
    <n v="36"/>
    <d v="2023-07-04T19:00:56"/>
    <s v="Y"/>
    <s v="Preparation - drafting bill/claim f"/>
    <s v="Non Family Hourly Rates"/>
    <s v="Profit Cost"/>
    <s v="CD"/>
    <s v="Y"/>
    <n v="64.40000000000001"/>
    <n v="12.88"/>
    <x v="1"/>
    <s v="VALIDATED"/>
    <n v="1"/>
    <s v="01.11.80.212.6100.0000"/>
    <n v="64.40000000000001"/>
    <s v="11"/>
    <s v="6100"/>
    <n v="19452.43"/>
    <n v="64.40000000000001"/>
    <s v="CREDITOR"/>
    <n v="0"/>
    <n v="0"/>
    <n v="0"/>
    <n v="0"/>
    <n v="64.40000000000001"/>
  </r>
  <r>
    <n v="16200400"/>
    <s v="N"/>
    <n v="21327852"/>
    <s v="3000007820060001"/>
    <s v="CIVIL"/>
    <d v="2023-06-23T00:00:00"/>
    <d v="2023-07-04T19:00:44"/>
    <m/>
    <d v="2023-07-04T00:00:00"/>
    <n v="181"/>
    <n v="6891"/>
    <s v="16200400"/>
    <s v="16200400"/>
    <m/>
    <m/>
    <n v="22749524"/>
    <m/>
    <m/>
    <m/>
    <s v="SOLFIN"/>
    <s v="SOLFIN"/>
    <s v="CCMS"/>
    <n v="21327852"/>
    <n v="1087.97"/>
    <m/>
    <s v="N"/>
    <n v="31"/>
    <d v="2023-07-04T19:00:56"/>
    <s v="Y"/>
    <s v="Preparation - other"/>
    <s v="Non Family Hourly Rates"/>
    <s v="Profit Cost"/>
    <s v="MH"/>
    <s v="Y"/>
    <n v="8.949999999999999"/>
    <n v="1.79"/>
    <x v="1"/>
    <s v="VALIDATED"/>
    <n v="1"/>
    <s v="01.11.80.212.6100.0000"/>
    <n v="8.949999999999999"/>
    <s v="11"/>
    <s v="6100"/>
    <n v="19452.43"/>
    <n v="8.949999999999999"/>
    <s v="CREDITOR"/>
    <n v="0"/>
    <n v="0"/>
    <n v="0"/>
    <n v="0"/>
    <n v="8.949999999999999"/>
  </r>
  <r>
    <n v="32882543"/>
    <s v="N"/>
    <n v="21395454"/>
    <s v="3000009753710001"/>
    <s v="CIVIL"/>
    <d v="2023-06-29T00:00:00"/>
    <d v="2023-07-19T19:02:01"/>
    <m/>
    <d v="2023-07-19T00:00:00"/>
    <n v="181"/>
    <n v="6891"/>
    <s v="32882543"/>
    <s v="32882543"/>
    <m/>
    <m/>
    <n v="22784976"/>
    <m/>
    <m/>
    <m/>
    <s v="SOLFIN"/>
    <s v="SOLFIN"/>
    <s v="CCMS"/>
    <n v="21395454"/>
    <n v="1620.05"/>
    <m/>
    <s v="N"/>
    <n v="31"/>
    <d v="2023-07-19T19:02:27"/>
    <s v="Y"/>
    <s v="Preparation - drafting statement"/>
    <s v="Non Family Hourly Rates"/>
    <s v="Profit Cost"/>
    <s v="RC"/>
    <s v="Y"/>
    <n v="107.33"/>
    <n v="21.47"/>
    <x v="5"/>
    <s v="VALIDATED"/>
    <n v="1"/>
    <s v="01.11.80.212.6100.0000"/>
    <n v="107.33"/>
    <s v="11"/>
    <s v="6100"/>
    <n v="19452.43"/>
    <n v="107.33"/>
    <s v="CREDITOR"/>
    <n v="0"/>
    <n v="0"/>
    <n v="0"/>
    <n v="0"/>
    <n v="107.33"/>
  </r>
  <r>
    <n v="32882543"/>
    <s v="N"/>
    <n v="21395454"/>
    <s v="3000009753710001"/>
    <s v="CIVIL"/>
    <d v="2023-06-29T00:00:00"/>
    <d v="2023-07-19T19:02:01"/>
    <m/>
    <d v="2023-07-19T00:00:00"/>
    <n v="181"/>
    <n v="6891"/>
    <s v="32882543"/>
    <s v="32882543"/>
    <m/>
    <m/>
    <n v="22784976"/>
    <m/>
    <m/>
    <m/>
    <s v="SOLFIN"/>
    <s v="SOLFIN"/>
    <s v="CCMS"/>
    <n v="21395454"/>
    <n v="1620.05"/>
    <m/>
    <s v="N"/>
    <n v="10"/>
    <d v="2023-07-19T19:02:27"/>
    <s v="Y"/>
    <s v="Preparation - other"/>
    <s v="Non Family Hourly Rates"/>
    <s v="Profit Cost"/>
    <s v="BP"/>
    <s v="Y"/>
    <n v="89.44"/>
    <n v="17.89"/>
    <x v="5"/>
    <s v="VALIDATED"/>
    <n v="1"/>
    <s v="01.11.80.212.6100.0000"/>
    <n v="89.44"/>
    <s v="11"/>
    <s v="6100"/>
    <n v="19452.43"/>
    <n v="89.44"/>
    <s v="CREDITOR"/>
    <n v="0"/>
    <n v="0"/>
    <n v="0"/>
    <n v="0"/>
    <n v="89.44"/>
  </r>
  <r>
    <n v="60218761"/>
    <s v="N"/>
    <n v="21331079"/>
    <s v="3000014528270001"/>
    <s v="CIVIL"/>
    <d v="2023-06-22T00:00:00"/>
    <d v="2023-07-05T19:01:47"/>
    <m/>
    <d v="2023-07-05T00:00:00"/>
    <n v="181"/>
    <n v="6891"/>
    <s v="60218761"/>
    <s v="60218761"/>
    <m/>
    <m/>
    <n v="22746170"/>
    <m/>
    <m/>
    <m/>
    <s v="SOLFIN"/>
    <s v="SOLFIN"/>
    <s v="CCMS"/>
    <n v="21331079"/>
    <n v="455.82"/>
    <m/>
    <s v="N"/>
    <n v="3"/>
    <d v="2023-07-05T19:02:05"/>
    <s v="Y"/>
    <s v="Preparation - other"/>
    <s v="Non Family Hourly Rates"/>
    <s v="Profit Cost"/>
    <s v="RC"/>
    <s v="Y"/>
    <n v="7.16"/>
    <n v="1.43"/>
    <x v="6"/>
    <s v="VALIDATED"/>
    <n v="1"/>
    <s v="01.11.80.212.6100.0000"/>
    <n v="7.16"/>
    <s v="11"/>
    <s v="6100"/>
    <n v="19452.43"/>
    <n v="7.16"/>
    <s v="CREDITOR"/>
    <n v="0"/>
    <n v="0"/>
    <n v="0"/>
    <n v="0"/>
    <n v="7.16"/>
  </r>
  <r>
    <n v="16198548"/>
    <s v="N"/>
    <n v="21333718"/>
    <s v="3000007817440001RC"/>
    <s v="CIVIL"/>
    <d v="2023-06-23T00:00:00"/>
    <d v="2023-07-05T19:42:28"/>
    <m/>
    <d v="2023-07-05T00:00:00"/>
    <n v="181"/>
    <n v="6891"/>
    <s v="16198548"/>
    <s v="16198548"/>
    <m/>
    <m/>
    <m/>
    <m/>
    <m/>
    <m/>
    <s v="SOLRECOUP"/>
    <s v="SOLRECOUP"/>
    <s v="POARECOUP"/>
    <n v="21333718"/>
    <n v="-711.26"/>
    <m/>
    <s v="Y"/>
    <n v="2"/>
    <d v="2023-07-05T19:42:28"/>
    <s v="N"/>
    <m/>
    <m/>
    <s v="Profit Cost"/>
    <m/>
    <s v="N"/>
    <n v="0"/>
    <n v="-118.54"/>
    <x v="6"/>
    <s v="VALIDATED"/>
    <n v="1"/>
    <s v="01.11.80.212.2013.0000"/>
    <n v="-118.54"/>
    <s v="11"/>
    <s v="2013"/>
    <n v="19452.43"/>
    <n v="-118.54"/>
    <s v="CREDITOR"/>
    <n v="0"/>
    <n v="0"/>
    <n v="-118.54"/>
    <n v="-29.635"/>
    <n v="0"/>
  </r>
  <r>
    <n v="16198548"/>
    <s v="N"/>
    <n v="21333718"/>
    <s v="3000007817440001RC"/>
    <s v="CIVIL"/>
    <d v="2023-06-23T00:00:00"/>
    <d v="2023-07-05T19:42:28"/>
    <m/>
    <d v="2023-07-05T00:00:00"/>
    <n v="181"/>
    <n v="6891"/>
    <s v="16198548"/>
    <s v="16198548"/>
    <m/>
    <m/>
    <m/>
    <m/>
    <m/>
    <m/>
    <s v="SOLRECOUP"/>
    <s v="SOLRECOUP"/>
    <s v="POARECOUP"/>
    <n v="21333718"/>
    <n v="-711.26"/>
    <m/>
    <s v="Y"/>
    <n v="1"/>
    <d v="2023-07-05T19:42:28"/>
    <s v="N"/>
    <m/>
    <m/>
    <s v="Profit Cost"/>
    <m/>
    <s v="N"/>
    <n v="-592.72"/>
    <n v="0"/>
    <x v="6"/>
    <s v="VALIDATED"/>
    <n v="1"/>
    <s v="01.11.80.212.2013.0000"/>
    <n v="-592.72"/>
    <s v="11"/>
    <s v="2013"/>
    <n v="19452.43"/>
    <n v="-592.72"/>
    <s v="CREDITOR"/>
    <n v="0"/>
    <n v="0"/>
    <n v="-592.72"/>
    <n v="-148.18"/>
    <n v="0"/>
  </r>
  <r>
    <n v="16200400"/>
    <s v="N"/>
    <n v="21327852"/>
    <s v="3000007820060001"/>
    <s v="CIVIL"/>
    <d v="2023-06-23T00:00:00"/>
    <d v="2023-07-04T19:00:44"/>
    <m/>
    <d v="2023-07-04T00:00:00"/>
    <n v="181"/>
    <n v="6891"/>
    <s v="16200400"/>
    <s v="16200400"/>
    <m/>
    <m/>
    <n v="22749524"/>
    <m/>
    <m/>
    <m/>
    <s v="SOLFIN"/>
    <s v="SOLFIN"/>
    <s v="CCMS"/>
    <n v="21327852"/>
    <n v="1087.97"/>
    <m/>
    <s v="N"/>
    <n v="28"/>
    <d v="2023-07-04T19:00:56"/>
    <s v="Y"/>
    <s v="Preparation - other"/>
    <s v="Non Family Hourly Rates"/>
    <s v="Profit Cost"/>
    <s v="MH"/>
    <s v="Y"/>
    <n v="14.31"/>
    <n v="2.86"/>
    <x v="1"/>
    <s v="VALIDATED"/>
    <n v="1"/>
    <s v="01.11.80.212.6100.0000"/>
    <n v="14.31"/>
    <s v="11"/>
    <s v="6100"/>
    <n v="19452.43"/>
    <n v="14.31"/>
    <s v="CREDITOR"/>
    <n v="0"/>
    <n v="0"/>
    <n v="0"/>
    <n v="0"/>
    <n v="14.31"/>
  </r>
  <r>
    <n v="62096703"/>
    <s v="N"/>
    <n v="21323257"/>
    <s v="3000016123780006"/>
    <s v="CIVIL"/>
    <d v="2023-06-30T00:00:00"/>
    <d v="2023-07-03T19:05:56"/>
    <m/>
    <d v="2023-07-03T00:00:00"/>
    <n v="181"/>
    <n v="6891"/>
    <s v="62096703"/>
    <s v="62096703"/>
    <m/>
    <m/>
    <n v="22799774"/>
    <m/>
    <m/>
    <m/>
    <s v="SOLPOA"/>
    <s v="SOLPOA"/>
    <s v="CCMS"/>
    <n v="21323257"/>
    <n v="2511.36"/>
    <m/>
    <s v="N"/>
    <n v="1"/>
    <d v="2023-07-03T19:05:56"/>
    <s v="N"/>
    <s v="Solicitors Fixed Fee"/>
    <s v="Public Law Children"/>
    <s v="Profit Cost"/>
    <s v="JA"/>
    <s v="N"/>
    <n v="2092.8"/>
    <n v="418.56"/>
    <x v="3"/>
    <s v="VALIDATED"/>
    <n v="1"/>
    <s v="01.11.80.308.2012.0000"/>
    <n v="2092.8"/>
    <s v="11"/>
    <s v="2012"/>
    <n v="19452.43"/>
    <n v="2092.8"/>
    <s v="CREDITOR"/>
    <n v="2092.8"/>
    <n v="523.2"/>
    <n v="0"/>
    <n v="0"/>
    <n v="0"/>
  </r>
  <r>
    <n v="32909542"/>
    <s v="N"/>
    <n v="21344011"/>
    <s v="3000009741710002"/>
    <s v="CIVIL"/>
    <d v="2023-06-29T00:00:00"/>
    <d v="2023-07-07T19:03:00"/>
    <m/>
    <d v="2023-07-07T00:00:00"/>
    <n v="181"/>
    <n v="6891"/>
    <s v="32909542"/>
    <s v="32909542"/>
    <m/>
    <m/>
    <n v="22784974"/>
    <m/>
    <m/>
    <m/>
    <s v="SOLFIN"/>
    <s v="SOLFIN"/>
    <s v="CCMS"/>
    <n v="21344011"/>
    <n v="1833.19"/>
    <m/>
    <s v="N"/>
    <n v="7"/>
    <d v="2023-07-07T19:03:20"/>
    <s v="Y"/>
    <s v="Report - Counsel's opinion"/>
    <s v="Non Family Hourly Rates"/>
    <s v="Profit Cost"/>
    <s v="RC 2"/>
    <s v="Y"/>
    <n v="7.16"/>
    <n v="1.43"/>
    <x v="9"/>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35"/>
    <d v="2023-07-07T19:03:20"/>
    <s v="Y"/>
    <s v="Preparation - other"/>
    <s v="Non Family Hourly Rates"/>
    <s v="Profit Cost"/>
    <s v="BP 2"/>
    <s v="Y"/>
    <n v="7.16"/>
    <n v="1.43"/>
    <x v="9"/>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28"/>
    <d v="2023-07-07T19:03:20"/>
    <s v="Y"/>
    <s v="Preparation - other"/>
    <s v="Non Family Hourly Rates"/>
    <s v="Profit Cost"/>
    <s v="BP"/>
    <s v="Y"/>
    <n v="42.94"/>
    <n v="8.59"/>
    <x v="9"/>
    <s v="VALIDATED"/>
    <n v="1"/>
    <s v="01.11.80.212.6100.0000"/>
    <n v="42.94"/>
    <s v="11"/>
    <s v="6100"/>
    <n v="19452.43"/>
    <n v="42.94"/>
    <s v="CREDITOR"/>
    <n v="0"/>
    <n v="0"/>
    <n v="0"/>
    <n v="0"/>
    <n v="42.94"/>
  </r>
  <r>
    <n v="7915442"/>
    <s v="N"/>
    <n v="21382195"/>
    <s v="3000004046600001"/>
    <s v="CIVIL"/>
    <d v="2023-06-29T00:00:00"/>
    <d v="2023-07-17T19:01:46"/>
    <m/>
    <d v="2023-07-17T00:00:00"/>
    <n v="181"/>
    <n v="6891"/>
    <s v="7915442"/>
    <s v="7915442"/>
    <m/>
    <m/>
    <n v="22788618"/>
    <m/>
    <m/>
    <m/>
    <s v="SOLFIN"/>
    <s v="SOLFIN"/>
    <s v="CCMS"/>
    <n v="21382195"/>
    <n v="3000"/>
    <m/>
    <s v="N"/>
    <n v="2"/>
    <d v="2023-07-17T19:02:04"/>
    <s v="N"/>
    <s v="Profit Costs (Summary)"/>
    <s v="Non Family Hourly Rates"/>
    <s v="Profit Cost"/>
    <s v="RC"/>
    <s v="N"/>
    <n v="47.72"/>
    <n v="9.539999999999999"/>
    <x v="8"/>
    <s v="VALIDATED"/>
    <n v="1"/>
    <s v="01.11.80.212.6100.0000"/>
    <n v="47.72"/>
    <s v="11"/>
    <s v="6100"/>
    <n v="19452.43"/>
    <n v="47.72"/>
    <s v="CREDITOR"/>
    <n v="0"/>
    <n v="0"/>
    <n v="0"/>
    <n v="0"/>
    <n v="47.72"/>
  </r>
  <r>
    <n v="32882543"/>
    <s v="N"/>
    <n v="21395454"/>
    <s v="3000009753710001"/>
    <s v="CIVIL"/>
    <d v="2023-06-29T00:00:00"/>
    <d v="2023-07-19T19:02:01"/>
    <m/>
    <d v="2023-07-19T00:00:00"/>
    <n v="181"/>
    <n v="6891"/>
    <s v="32882543"/>
    <s v="32882543"/>
    <m/>
    <m/>
    <n v="22784976"/>
    <m/>
    <m/>
    <m/>
    <s v="SOLFIN"/>
    <s v="SOLFIN"/>
    <s v="CCMS"/>
    <n v="21395454"/>
    <n v="1620.05"/>
    <m/>
    <s v="N"/>
    <n v="25"/>
    <d v="2023-07-19T19:02:27"/>
    <s v="Y"/>
    <s v="Preparation - other"/>
    <s v="Non Family Hourly Rates"/>
    <s v="Profit Cost"/>
    <s v="BP"/>
    <s v="Y"/>
    <n v="35.78"/>
    <n v="7.16"/>
    <x v="5"/>
    <s v="VALIDATED"/>
    <n v="1"/>
    <s v="01.11.80.212.6100.0000"/>
    <n v="35.78"/>
    <s v="11"/>
    <s v="6100"/>
    <n v="19452.43"/>
    <n v="35.78"/>
    <s v="CREDITOR"/>
    <n v="0"/>
    <n v="0"/>
    <n v="0"/>
    <n v="0"/>
    <n v="35.78"/>
  </r>
  <r>
    <n v="32882543"/>
    <s v="N"/>
    <n v="21395454"/>
    <s v="3000009753710001"/>
    <s v="CIVIL"/>
    <d v="2023-06-29T00:00:00"/>
    <d v="2023-07-19T19:02:01"/>
    <m/>
    <d v="2023-07-19T00:00:00"/>
    <n v="181"/>
    <n v="6891"/>
    <s v="32882543"/>
    <s v="32882543"/>
    <m/>
    <m/>
    <n v="22784976"/>
    <m/>
    <m/>
    <m/>
    <s v="SOLFIN"/>
    <s v="SOLFIN"/>
    <s v="CCMS"/>
    <n v="21395454"/>
    <n v="1620.05"/>
    <m/>
    <s v="N"/>
    <n v="8"/>
    <d v="2023-07-19T19:02:27"/>
    <s v="Y"/>
    <s v="Preparation - other"/>
    <s v="Non Family Hourly Rates"/>
    <s v="Profit Cost"/>
    <s v="BP 2"/>
    <s v="Y"/>
    <n v="35.78"/>
    <n v="7.16"/>
    <x v="5"/>
    <s v="VALIDATED"/>
    <n v="1"/>
    <s v="01.11.80.212.6100.0000"/>
    <n v="35.78"/>
    <s v="11"/>
    <s v="6100"/>
    <n v="19452.43"/>
    <n v="35.78"/>
    <s v="CREDITOR"/>
    <n v="0"/>
    <n v="0"/>
    <n v="0"/>
    <n v="0"/>
    <n v="35.78"/>
  </r>
  <r>
    <n v="32882543"/>
    <s v="N"/>
    <n v="21395454"/>
    <s v="3000009753710001"/>
    <s v="CIVIL"/>
    <d v="2023-06-29T00:00:00"/>
    <d v="2023-07-19T19:02:01"/>
    <m/>
    <d v="2023-07-19T00:00:00"/>
    <n v="181"/>
    <n v="6891"/>
    <s v="32882543"/>
    <s v="32882543"/>
    <m/>
    <m/>
    <n v="22784976"/>
    <m/>
    <m/>
    <m/>
    <s v="SOLFIN"/>
    <s v="SOLFIN"/>
    <s v="CCMS"/>
    <n v="21395454"/>
    <n v="1620.05"/>
    <m/>
    <s v="N"/>
    <n v="9"/>
    <d v="2023-07-19T19:02:27"/>
    <s v="Y"/>
    <s v="Attendance upon client"/>
    <s v="Non Family Hourly Rates"/>
    <s v="Profit Cost"/>
    <s v="BP"/>
    <s v="Y"/>
    <n v="14.31"/>
    <n v="2.86"/>
    <x v="5"/>
    <s v="VALIDATED"/>
    <n v="1"/>
    <s v="01.11.80.212.6100.0000"/>
    <n v="14.31"/>
    <s v="11"/>
    <s v="6100"/>
    <n v="19452.43"/>
    <n v="14.31"/>
    <s v="CREDITOR"/>
    <n v="0"/>
    <n v="0"/>
    <n v="0"/>
    <n v="0"/>
    <n v="14.31"/>
  </r>
  <r>
    <n v="32909542"/>
    <s v="N"/>
    <n v="21344011"/>
    <s v="3000009741710002"/>
    <s v="CIVIL"/>
    <d v="2023-06-29T00:00:00"/>
    <d v="2023-07-07T19:03:00"/>
    <m/>
    <d v="2023-07-07T00:00:00"/>
    <n v="181"/>
    <n v="6891"/>
    <s v="32909542"/>
    <s v="32909542"/>
    <m/>
    <m/>
    <n v="22784974"/>
    <m/>
    <m/>
    <m/>
    <s v="SOLFIN"/>
    <s v="SOLFIN"/>
    <s v="CCMS"/>
    <n v="21344011"/>
    <n v="1833.19"/>
    <m/>
    <s v="N"/>
    <n v="16"/>
    <d v="2023-07-07T19:03:20"/>
    <s v="Y"/>
    <s v="Attendance upon client"/>
    <s v="Non Family Hourly Rates"/>
    <s v="Profit Cost"/>
    <s v="BP"/>
    <s v="Y"/>
    <n v="12.88"/>
    <n v="2.58"/>
    <x v="9"/>
    <s v="VALIDATED"/>
    <n v="1"/>
    <s v="01.11.80.212.6100.0000"/>
    <n v="12.88"/>
    <s v="11"/>
    <s v="6100"/>
    <n v="19452.43"/>
    <n v="12.88"/>
    <s v="CREDITOR"/>
    <n v="0"/>
    <n v="0"/>
    <n v="0"/>
    <n v="0"/>
    <n v="12.88"/>
  </r>
  <r>
    <n v="16200400"/>
    <s v="N"/>
    <n v="21327852"/>
    <s v="3000007820060001"/>
    <s v="CIVIL"/>
    <d v="2023-06-23T00:00:00"/>
    <d v="2023-07-04T19:00:44"/>
    <m/>
    <d v="2023-07-04T00:00:00"/>
    <n v="181"/>
    <n v="6891"/>
    <s v="16200400"/>
    <s v="16200400"/>
    <m/>
    <m/>
    <n v="22749524"/>
    <m/>
    <m/>
    <m/>
    <s v="SOLFIN"/>
    <s v="SOLFIN"/>
    <s v="CCMS"/>
    <n v="21327852"/>
    <n v="1087.97"/>
    <m/>
    <s v="N"/>
    <n v="39"/>
    <d v="2023-07-04T19:00:56"/>
    <s v="Y"/>
    <s v="Routine Letter Out"/>
    <s v="Non Family Hourly Rates"/>
    <s v="Profit Cost"/>
    <s v="MH"/>
    <s v="Y"/>
    <n v="114.75"/>
    <n v="22.95"/>
    <x v="1"/>
    <s v="VALIDATED"/>
    <n v="1"/>
    <s v="01.11.80.212.6100.0000"/>
    <n v="114.75"/>
    <s v="11"/>
    <s v="6100"/>
    <n v="19452.43"/>
    <n v="114.75"/>
    <s v="CREDITOR"/>
    <n v="0"/>
    <n v="0"/>
    <n v="0"/>
    <n v="0"/>
    <n v="114.75"/>
  </r>
  <r>
    <n v="32882543"/>
    <s v="N"/>
    <n v="21395454"/>
    <s v="3000009753710001"/>
    <s v="CIVIL"/>
    <d v="2023-06-29T00:00:00"/>
    <d v="2023-07-19T19:02:01"/>
    <m/>
    <d v="2023-07-19T00:00:00"/>
    <n v="181"/>
    <n v="6891"/>
    <s v="32882543"/>
    <s v="32882543"/>
    <m/>
    <m/>
    <n v="22784976"/>
    <m/>
    <m/>
    <m/>
    <s v="SOLFIN"/>
    <s v="SOLFIN"/>
    <s v="CCMS"/>
    <n v="21395454"/>
    <n v="1620.05"/>
    <m/>
    <s v="N"/>
    <n v="5"/>
    <d v="2023-07-19T19:02:27"/>
    <s v="Y"/>
    <s v="Preparation - other"/>
    <s v="Non Family Hourly Rates"/>
    <s v="Profit Cost"/>
    <s v="BP 2"/>
    <s v="Y"/>
    <n v="21.47"/>
    <n v="4.29"/>
    <x v="5"/>
    <s v="VALIDATED"/>
    <n v="1"/>
    <s v="01.11.80.212.6100.0000"/>
    <n v="21.47"/>
    <s v="11"/>
    <s v="6100"/>
    <n v="19452.43"/>
    <n v="21.47"/>
    <s v="CREDITOR"/>
    <n v="0"/>
    <n v="0"/>
    <n v="0"/>
    <n v="0"/>
    <n v="21.47"/>
  </r>
  <r>
    <n v="32882543"/>
    <s v="N"/>
    <n v="21395454"/>
    <s v="3000009753710001"/>
    <s v="CIVIL"/>
    <d v="2023-06-29T00:00:00"/>
    <d v="2023-07-19T19:02:01"/>
    <m/>
    <d v="2023-07-19T00:00:00"/>
    <n v="181"/>
    <n v="6891"/>
    <s v="32882543"/>
    <s v="32882543"/>
    <m/>
    <m/>
    <n v="22784976"/>
    <m/>
    <m/>
    <m/>
    <s v="SOLFIN"/>
    <s v="SOLFIN"/>
    <s v="CCMS"/>
    <n v="21395454"/>
    <n v="1620.05"/>
    <m/>
    <s v="N"/>
    <n v="1"/>
    <d v="2023-07-19T19:02:27"/>
    <s v="N"/>
    <s v="Attendance upon/with Counsel at Con"/>
    <s v="Non Family Hourly Rates"/>
    <s v="Profit Cost"/>
    <s v="RC"/>
    <s v="N"/>
    <n v="6.66"/>
    <n v="1.33"/>
    <x v="5"/>
    <s v="VALIDATED"/>
    <n v="1"/>
    <s v="01.11.80.212.6100.0000"/>
    <n v="6.66"/>
    <s v="11"/>
    <s v="6100"/>
    <n v="19452.43"/>
    <n v="6.66"/>
    <s v="CREDITOR"/>
    <n v="0"/>
    <n v="0"/>
    <n v="0"/>
    <n v="0"/>
    <n v="6.66"/>
  </r>
  <r>
    <n v="42254849"/>
    <s v="N"/>
    <n v="21344076"/>
    <s v="3000010809500017"/>
    <s v="CIVIL"/>
    <d v="2023-06-29T00:00:00"/>
    <d v="2023-07-07T19:03:00"/>
    <m/>
    <d v="2023-07-07T00:00:00"/>
    <n v="181"/>
    <n v="6891"/>
    <s v="42254849"/>
    <s v="42254849"/>
    <m/>
    <m/>
    <n v="22786054"/>
    <m/>
    <m/>
    <m/>
    <s v="SOLFIN"/>
    <s v="SOLFIN"/>
    <s v="CCMS"/>
    <n v="21344076"/>
    <n v="16655.86"/>
    <m/>
    <s v="N"/>
    <n v="8"/>
    <d v="2023-07-07T19:03:22"/>
    <s v="Y"/>
    <s v="Hearing Unit 0.00 - 1.00 Hours"/>
    <s v="Private Law Children"/>
    <s v="Advocacy"/>
    <s v="AP"/>
    <s v="Y"/>
    <n v="62.69"/>
    <n v="12.54"/>
    <x v="9"/>
    <s v="VALIDATED"/>
    <n v="1"/>
    <s v="01.11.80.307.6100.0000"/>
    <n v="62.69"/>
    <s v="11"/>
    <s v="6100"/>
    <n v="19452.43"/>
    <n v="62.69"/>
    <s v="CREDITOR"/>
    <n v="0"/>
    <n v="0"/>
    <n v="0"/>
    <n v="0"/>
    <n v="62.69"/>
  </r>
  <r>
    <n v="32909542"/>
    <s v="N"/>
    <n v="21344011"/>
    <s v="3000009741710002"/>
    <s v="CIVIL"/>
    <d v="2023-06-29T00:00:00"/>
    <d v="2023-07-07T19:03:00"/>
    <m/>
    <d v="2023-07-07T00:00:00"/>
    <n v="181"/>
    <n v="6891"/>
    <s v="32909542"/>
    <s v="32909542"/>
    <m/>
    <m/>
    <n v="22784974"/>
    <m/>
    <m/>
    <m/>
    <s v="SOLFIN"/>
    <s v="SOLFIN"/>
    <s v="CCMS"/>
    <n v="21344011"/>
    <n v="1833.19"/>
    <m/>
    <s v="N"/>
    <n v="25"/>
    <d v="2023-07-07T19:03:20"/>
    <s v="Y"/>
    <s v="Preparation - drafting statement"/>
    <s v="Non Family Hourly Rates"/>
    <s v="Profit Cost"/>
    <s v="RC"/>
    <s v="Y"/>
    <n v="21.47"/>
    <n v="4.29"/>
    <x v="9"/>
    <s v="VALIDATED"/>
    <n v="1"/>
    <s v="01.11.80.212.6100.0000"/>
    <n v="21.47"/>
    <s v="11"/>
    <s v="6100"/>
    <n v="19452.43"/>
    <n v="21.47"/>
    <s v="CREDITOR"/>
    <n v="0"/>
    <n v="0"/>
    <n v="0"/>
    <n v="0"/>
    <n v="21.47"/>
  </r>
  <r>
    <n v="16200400"/>
    <s v="N"/>
    <n v="21327852"/>
    <s v="3000007820060001"/>
    <s v="CIVIL"/>
    <d v="2023-06-23T00:00:00"/>
    <d v="2023-07-04T19:00:44"/>
    <m/>
    <d v="2023-07-04T00:00:00"/>
    <n v="181"/>
    <n v="6891"/>
    <s v="16200400"/>
    <s v="16200400"/>
    <m/>
    <m/>
    <n v="22749524"/>
    <m/>
    <m/>
    <m/>
    <s v="SOLFIN"/>
    <s v="SOLFIN"/>
    <s v="CCMS"/>
    <n v="21327852"/>
    <n v="1087.97"/>
    <m/>
    <s v="N"/>
    <n v="21"/>
    <d v="2023-07-04T19:00:56"/>
    <s v="Y"/>
    <s v="Preparation - other"/>
    <s v="Non Family Hourly Rates"/>
    <s v="Profit Cost"/>
    <s v="MH"/>
    <s v="Y"/>
    <n v="8.949999999999999"/>
    <n v="1.79"/>
    <x v="1"/>
    <s v="VALIDATED"/>
    <n v="1"/>
    <s v="01.11.80.212.6100.0000"/>
    <n v="8.949999999999999"/>
    <s v="11"/>
    <s v="6100"/>
    <n v="19452.43"/>
    <n v="8.949999999999999"/>
    <s v="CREDITOR"/>
    <n v="0"/>
    <n v="0"/>
    <n v="0"/>
    <n v="0"/>
    <n v="8.949999999999999"/>
  </r>
  <r>
    <n v="16200400"/>
    <s v="N"/>
    <n v="21327852"/>
    <s v="3000007820060001"/>
    <s v="CIVIL"/>
    <d v="2023-06-23T00:00:00"/>
    <d v="2023-07-04T19:00:44"/>
    <m/>
    <d v="2023-07-04T00:00:00"/>
    <n v="181"/>
    <n v="6891"/>
    <s v="16200400"/>
    <s v="16200400"/>
    <m/>
    <m/>
    <n v="22749524"/>
    <m/>
    <m/>
    <m/>
    <s v="SOLFIN"/>
    <s v="SOLFIN"/>
    <s v="CCMS"/>
    <n v="21327852"/>
    <n v="1087.97"/>
    <m/>
    <s v="N"/>
    <n v="16"/>
    <d v="2023-07-04T19:00:56"/>
    <s v="Y"/>
    <s v="Preparation - other"/>
    <s v="Non Family Hourly Rates"/>
    <s v="Profit Cost"/>
    <s v="MH"/>
    <s v="Y"/>
    <n v="26.84"/>
    <n v="5.37"/>
    <x v="1"/>
    <s v="VALIDATED"/>
    <n v="1"/>
    <s v="01.11.80.212.6100.0000"/>
    <n v="26.84"/>
    <s v="11"/>
    <s v="6100"/>
    <n v="19452.43"/>
    <n v="26.84"/>
    <s v="CREDITOR"/>
    <n v="0"/>
    <n v="0"/>
    <n v="0"/>
    <n v="0"/>
    <n v="26.84"/>
  </r>
  <r>
    <n v="32882543"/>
    <s v="N"/>
    <n v="21395454"/>
    <s v="3000009753710001"/>
    <s v="CIVIL"/>
    <d v="2023-06-29T00:00:00"/>
    <d v="2023-07-19T19:02:01"/>
    <m/>
    <d v="2023-07-19T00:00:00"/>
    <n v="181"/>
    <n v="6891"/>
    <s v="32882543"/>
    <s v="32882543"/>
    <m/>
    <m/>
    <n v="22784976"/>
    <m/>
    <m/>
    <m/>
    <s v="SOLFIN"/>
    <s v="SOLFIN"/>
    <s v="CCMS"/>
    <n v="21395454"/>
    <n v="1620.05"/>
    <m/>
    <s v="N"/>
    <n v="38"/>
    <d v="2023-07-19T19:02:27"/>
    <s v="Y"/>
    <s v="Preparation - other"/>
    <s v="Non Family Hourly Rates"/>
    <s v="Profit Cost"/>
    <s v="RC 2"/>
    <s v="Y"/>
    <n v="10.73"/>
    <n v="2.15"/>
    <x v="5"/>
    <s v="VALIDATED"/>
    <n v="1"/>
    <s v="01.11.80.212.6100.0000"/>
    <n v="10.73"/>
    <s v="11"/>
    <s v="6100"/>
    <n v="19452.43"/>
    <n v="10.73"/>
    <s v="CREDITOR"/>
    <n v="0"/>
    <n v="0"/>
    <n v="0"/>
    <n v="0"/>
    <n v="10.73"/>
  </r>
  <r>
    <n v="32882543"/>
    <s v="N"/>
    <n v="21395454"/>
    <s v="3000009753710001"/>
    <s v="CIVIL"/>
    <d v="2023-06-29T00:00:00"/>
    <d v="2023-07-19T19:02:01"/>
    <m/>
    <d v="2023-07-19T00:00:00"/>
    <n v="181"/>
    <n v="6891"/>
    <s v="32882543"/>
    <s v="32882543"/>
    <m/>
    <m/>
    <n v="22784976"/>
    <m/>
    <m/>
    <m/>
    <s v="SOLFIN"/>
    <s v="SOLFIN"/>
    <s v="CCMS"/>
    <n v="21395454"/>
    <n v="1620.05"/>
    <m/>
    <s v="N"/>
    <n v="33"/>
    <d v="2023-07-19T19:02:27"/>
    <s v="Y"/>
    <s v="Attendance upon/with Counsel at Con"/>
    <s v="Non Family Hourly Rates"/>
    <s v="Profit Cost"/>
    <s v="RC"/>
    <s v="Y"/>
    <n v="16.65"/>
    <n v="3.33"/>
    <x v="5"/>
    <s v="VALIDATED"/>
    <n v="1"/>
    <s v="01.11.80.212.6100.0000"/>
    <n v="16.65"/>
    <s v="11"/>
    <s v="6100"/>
    <n v="19452.43"/>
    <n v="16.65"/>
    <s v="CREDITOR"/>
    <n v="0"/>
    <n v="0"/>
    <n v="0"/>
    <n v="0"/>
    <n v="16.65"/>
  </r>
  <r>
    <n v="32882543"/>
    <s v="N"/>
    <n v="21395454"/>
    <s v="3000009753710001"/>
    <s v="CIVIL"/>
    <d v="2023-06-29T00:00:00"/>
    <d v="2023-07-19T19:02:01"/>
    <m/>
    <d v="2023-07-19T00:00:00"/>
    <n v="181"/>
    <n v="6891"/>
    <s v="32882543"/>
    <s v="32882543"/>
    <m/>
    <m/>
    <n v="22784976"/>
    <m/>
    <m/>
    <m/>
    <s v="SOLFIN"/>
    <s v="SOLFIN"/>
    <s v="CCMS"/>
    <n v="21395454"/>
    <n v="1620.05"/>
    <m/>
    <s v="N"/>
    <n v="58"/>
    <d v="2023-07-19T19:02:27"/>
    <s v="N"/>
    <m/>
    <m/>
    <s v="Overall Adjustment"/>
    <m/>
    <s v="N"/>
    <n v="-43.12"/>
    <n v="-8.630000000000001"/>
    <x v="5"/>
    <s v="VALIDATED"/>
    <n v="1"/>
    <s v="01.11.80.212.6100.0000"/>
    <n v="-43.12"/>
    <s v="11"/>
    <s v="6100"/>
    <n v="19452.43"/>
    <n v="-43.12"/>
    <s v="CREDITOR"/>
    <n v="0"/>
    <n v="0"/>
    <n v="0"/>
    <n v="0"/>
    <n v="-43.12"/>
  </r>
  <r>
    <n v="32882543"/>
    <s v="N"/>
    <n v="21395454"/>
    <s v="3000009753710001"/>
    <s v="CIVIL"/>
    <d v="2023-06-29T00:00:00"/>
    <d v="2023-07-19T19:02:01"/>
    <m/>
    <d v="2023-07-19T00:00:00"/>
    <n v="181"/>
    <n v="6891"/>
    <s v="32882543"/>
    <s v="32882543"/>
    <m/>
    <m/>
    <n v="22784976"/>
    <m/>
    <m/>
    <m/>
    <s v="SOLFIN"/>
    <s v="SOLFIN"/>
    <s v="CCMS"/>
    <n v="21395454"/>
    <n v="1620.05"/>
    <m/>
    <s v="N"/>
    <n v="30"/>
    <d v="2023-07-19T19:02:27"/>
    <s v="Y"/>
    <s v="Preparation - other"/>
    <s v="Non Family Hourly Rates"/>
    <s v="Profit Cost"/>
    <s v="RC"/>
    <s v="Y"/>
    <n v="35.78"/>
    <n v="7.16"/>
    <x v="5"/>
    <s v="VALIDATED"/>
    <n v="1"/>
    <s v="01.11.80.212.6100.0000"/>
    <n v="35.78"/>
    <s v="11"/>
    <s v="6100"/>
    <n v="19452.43"/>
    <n v="35.78"/>
    <s v="CREDITOR"/>
    <n v="0"/>
    <n v="0"/>
    <n v="0"/>
    <n v="0"/>
    <n v="35.78"/>
  </r>
  <r>
    <n v="62091957"/>
    <s v="N"/>
    <n v="21322960"/>
    <s v="3000016094050001"/>
    <s v="CIVIL"/>
    <d v="2023-06-30T00:00:00"/>
    <d v="2023-07-03T19:05:36"/>
    <m/>
    <d v="2023-07-03T00:00:00"/>
    <n v="181"/>
    <n v="6891"/>
    <s v="62091957"/>
    <s v="62091957"/>
    <m/>
    <m/>
    <n v="22794242"/>
    <m/>
    <m/>
    <m/>
    <s v="SOLPOA"/>
    <s v="SOLPOA"/>
    <s v="CCMS"/>
    <n v="21322960"/>
    <n v="779.33"/>
    <m/>
    <s v="N"/>
    <n v="1"/>
    <d v="2023-07-03T19:05:41"/>
    <s v="N"/>
    <s v="Profit Cost"/>
    <s v="Profit Cost"/>
    <s v="Profit Cost"/>
    <s v="HM"/>
    <s v="N"/>
    <n v="649.4400000000001"/>
    <n v="129.89"/>
    <x v="3"/>
    <s v="VALIDATED"/>
    <n v="1"/>
    <s v="01.11.80.307.2012.0000"/>
    <n v="649.4400000000001"/>
    <s v="11"/>
    <s v="2012"/>
    <n v="19452.43"/>
    <n v="649.4400000000001"/>
    <s v="CREDITOR"/>
    <n v="649.4400000000001"/>
    <n v="162.36"/>
    <n v="0"/>
    <n v="0"/>
    <n v="0"/>
  </r>
  <r>
    <n v="42254849"/>
    <s v="N"/>
    <n v="21344076"/>
    <s v="3000010809500017"/>
    <s v="CIVIL"/>
    <d v="2023-06-29T00:00:00"/>
    <d v="2023-07-07T19:03:00"/>
    <m/>
    <d v="2023-07-07T00:00:00"/>
    <n v="181"/>
    <n v="6891"/>
    <s v="42254849"/>
    <s v="42254849"/>
    <m/>
    <m/>
    <n v="22786054"/>
    <m/>
    <m/>
    <m/>
    <s v="SOLFIN"/>
    <s v="SOLFIN"/>
    <s v="CCMS"/>
    <n v="21344076"/>
    <n v="16655.86"/>
    <m/>
    <s v="N"/>
    <n v="7"/>
    <d v="2023-07-07T19:03:22"/>
    <s v="Y"/>
    <s v="Toxicologist"/>
    <s v="Private Law Children"/>
    <s v="Expert Disbursement"/>
    <s v="LEXTOX"/>
    <s v="Y"/>
    <n v="250"/>
    <n v="50"/>
    <x v="9"/>
    <s v="VALIDATED"/>
    <n v="1"/>
    <s v="01.11.80.307.6300.0000"/>
    <n v="250"/>
    <s v="11"/>
    <s v="6300"/>
    <n v="19452.43"/>
    <n v="250"/>
    <s v="CREDITOR"/>
    <n v="0"/>
    <n v="0"/>
    <n v="0"/>
    <n v="0"/>
    <n v="250"/>
  </r>
  <r>
    <n v="32909542"/>
    <s v="N"/>
    <n v="21344011"/>
    <s v="3000009741710002"/>
    <s v="CIVIL"/>
    <d v="2023-06-29T00:00:00"/>
    <d v="2023-07-07T19:03:00"/>
    <m/>
    <d v="2023-07-07T00:00:00"/>
    <n v="181"/>
    <n v="6891"/>
    <s v="32909542"/>
    <s v="32909542"/>
    <m/>
    <m/>
    <n v="22784974"/>
    <m/>
    <m/>
    <m/>
    <s v="SOLFIN"/>
    <s v="SOLFIN"/>
    <s v="CCMS"/>
    <n v="21344011"/>
    <n v="1833.19"/>
    <m/>
    <s v="N"/>
    <n v="10"/>
    <d v="2023-07-07T19:03:20"/>
    <s v="Y"/>
    <s v="Preparation - other"/>
    <s v="Non Family Hourly Rates"/>
    <s v="Profit Cost"/>
    <s v="BP 2"/>
    <s v="Y"/>
    <n v="3.58"/>
    <n v="0.72"/>
    <x v="9"/>
    <s v="VALIDATED"/>
    <n v="1"/>
    <s v="01.11.80.212.6100.0000"/>
    <n v="3.58"/>
    <s v="11"/>
    <s v="6100"/>
    <n v="19452.43"/>
    <n v="3.58"/>
    <s v="CREDITOR"/>
    <n v="0"/>
    <n v="0"/>
    <n v="0"/>
    <n v="0"/>
    <n v="3.58"/>
  </r>
  <r>
    <n v="60218761"/>
    <s v="N"/>
    <n v="21331079"/>
    <s v="3000014528270001"/>
    <s v="CIVIL"/>
    <d v="2023-06-22T00:00:00"/>
    <d v="2023-07-05T19:01:47"/>
    <m/>
    <d v="2023-07-05T00:00:00"/>
    <n v="181"/>
    <n v="6891"/>
    <s v="60218761"/>
    <s v="60218761"/>
    <m/>
    <m/>
    <n v="22746170"/>
    <m/>
    <m/>
    <m/>
    <s v="SOLFIN"/>
    <s v="SOLFIN"/>
    <s v="CCMS"/>
    <n v="21331079"/>
    <n v="455.82"/>
    <m/>
    <s v="N"/>
    <n v="7"/>
    <d v="2023-07-05T19:02:05"/>
    <s v="Y"/>
    <s v="Attendance upon client"/>
    <s v="Non Family Hourly Rates"/>
    <s v="Profit Cost"/>
    <s v="RC"/>
    <s v="Y"/>
    <n v="21.47"/>
    <n v="4.29"/>
    <x v="6"/>
    <s v="VALIDATED"/>
    <n v="1"/>
    <s v="01.11.80.212.6100.0000"/>
    <n v="21.47"/>
    <s v="11"/>
    <s v="6100"/>
    <n v="19452.43"/>
    <n v="21.47"/>
    <s v="CREDITOR"/>
    <n v="0"/>
    <n v="0"/>
    <n v="0"/>
    <n v="0"/>
    <n v="21.47"/>
  </r>
  <r>
    <n v="16200400"/>
    <s v="N"/>
    <n v="21327852"/>
    <s v="3000007820060001"/>
    <s v="CIVIL"/>
    <d v="2023-06-23T00:00:00"/>
    <d v="2023-07-04T19:00:44"/>
    <m/>
    <d v="2023-07-04T00:00:00"/>
    <n v="181"/>
    <n v="6891"/>
    <s v="16200400"/>
    <s v="16200400"/>
    <m/>
    <m/>
    <n v="22749524"/>
    <m/>
    <m/>
    <m/>
    <s v="SOLFIN"/>
    <s v="SOLFIN"/>
    <s v="CCMS"/>
    <n v="21327852"/>
    <n v="1087.97"/>
    <m/>
    <s v="N"/>
    <n v="30"/>
    <d v="2023-07-04T19:00:56"/>
    <s v="Y"/>
    <s v="Preparation - other"/>
    <s v="Non Family Hourly Rates"/>
    <s v="Profit Cost"/>
    <s v="MH"/>
    <s v="Y"/>
    <n v="8.949999999999999"/>
    <n v="1.79"/>
    <x v="1"/>
    <s v="VALIDATED"/>
    <n v="1"/>
    <s v="01.11.80.212.6100.0000"/>
    <n v="8.949999999999999"/>
    <s v="11"/>
    <s v="6100"/>
    <n v="19452.43"/>
    <n v="8.949999999999999"/>
    <s v="CREDITOR"/>
    <n v="0"/>
    <n v="0"/>
    <n v="0"/>
    <n v="0"/>
    <n v="8.949999999999999"/>
  </r>
  <r>
    <n v="16200400"/>
    <s v="N"/>
    <n v="21327852"/>
    <s v="3000007820060001"/>
    <s v="CIVIL"/>
    <d v="2023-06-23T00:00:00"/>
    <d v="2023-07-04T19:00:44"/>
    <m/>
    <d v="2023-07-04T00:00:00"/>
    <n v="181"/>
    <n v="6891"/>
    <s v="16200400"/>
    <s v="16200400"/>
    <m/>
    <m/>
    <n v="22749524"/>
    <m/>
    <m/>
    <m/>
    <s v="SOLFIN"/>
    <s v="SOLFIN"/>
    <s v="CCMS"/>
    <n v="21327852"/>
    <n v="1087.97"/>
    <m/>
    <s v="N"/>
    <n v="9"/>
    <d v="2023-07-04T19:00:56"/>
    <s v="Y"/>
    <s v="Preparation - other"/>
    <s v="Non Family Hourly Rates"/>
    <s v="Profit Cost"/>
    <s v="MH"/>
    <s v="Y"/>
    <n v="14.31"/>
    <n v="2.86"/>
    <x v="1"/>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2"/>
    <d v="2023-07-19T19:02:27"/>
    <s v="N"/>
    <s v="Preparation - other"/>
    <s v="Non Family Hourly Rates"/>
    <s v="Profit Cost"/>
    <s v="BP 2"/>
    <s v="N"/>
    <n v="7.16"/>
    <n v="1.43"/>
    <x v="5"/>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37"/>
    <d v="2023-07-07T19:03:20"/>
    <s v="Y"/>
    <s v="Preparation - other"/>
    <s v="Non Family Hourly Rates"/>
    <s v="Profit Cost"/>
    <s v="BP"/>
    <s v="Y"/>
    <n v="17.17"/>
    <n v="3.43"/>
    <x v="9"/>
    <s v="VALIDATED"/>
    <n v="1"/>
    <s v="01.11.80.212.6100.0000"/>
    <n v="17.17"/>
    <s v="11"/>
    <s v="6100"/>
    <n v="19452.43"/>
    <n v="17.17"/>
    <s v="CREDITOR"/>
    <n v="0"/>
    <n v="0"/>
    <n v="0"/>
    <n v="0"/>
    <n v="17.17"/>
  </r>
  <r>
    <n v="62051687"/>
    <s v="N"/>
    <n v="21323292"/>
    <s v="3000016086110004"/>
    <s v="CIVIL"/>
    <d v="2023-06-30T00:00:00"/>
    <d v="2023-07-03T19:05:56"/>
    <m/>
    <d v="2023-07-03T00:00:00"/>
    <n v="181"/>
    <n v="6891"/>
    <s v="62051687"/>
    <s v="62051687"/>
    <m/>
    <m/>
    <n v="22797958"/>
    <m/>
    <m/>
    <m/>
    <s v="SOLPOA"/>
    <s v="SOLPOA"/>
    <s v="CCMS"/>
    <n v="21323292"/>
    <n v="2505.07"/>
    <m/>
    <s v="N"/>
    <n v="1"/>
    <d v="2023-07-03T19:05:56"/>
    <s v="N"/>
    <s v="Solicitors Fixed Fee"/>
    <s v="Public Law Children"/>
    <s v="Profit Cost"/>
    <s v="CB"/>
    <s v="N"/>
    <n v="2087.56"/>
    <n v="417.51"/>
    <x v="3"/>
    <s v="VALIDATED"/>
    <n v="1"/>
    <s v="01.11.80.308.2012.0000"/>
    <n v="2087.56"/>
    <s v="11"/>
    <s v="2012"/>
    <n v="19452.43"/>
    <n v="2087.56"/>
    <s v="CREDITOR"/>
    <n v="2087.56"/>
    <n v="521.89"/>
    <n v="0"/>
    <n v="0"/>
    <n v="0"/>
  </r>
  <r>
    <n v="32882543"/>
    <s v="N"/>
    <n v="21395454"/>
    <s v="3000009753710001"/>
    <s v="CIVIL"/>
    <d v="2023-06-29T00:00:00"/>
    <d v="2023-07-19T19:02:01"/>
    <m/>
    <d v="2023-07-19T00:00:00"/>
    <n v="181"/>
    <n v="6891"/>
    <s v="32882543"/>
    <s v="32882543"/>
    <m/>
    <m/>
    <n v="22784976"/>
    <m/>
    <m/>
    <m/>
    <s v="SOLFIN"/>
    <s v="SOLFIN"/>
    <s v="CCMS"/>
    <n v="21395454"/>
    <n v="1620.05"/>
    <m/>
    <s v="N"/>
    <n v="56"/>
    <d v="2023-07-19T19:02:27"/>
    <s v="Y"/>
    <s v="Routine Telephone Call"/>
    <s v="Non Family Hourly Rates"/>
    <s v="Profit Cost"/>
    <s v="BP"/>
    <s v="Y"/>
    <n v="14.96"/>
    <n v="2.99"/>
    <x v="5"/>
    <s v="VALIDATED"/>
    <n v="1"/>
    <s v="01.11.80.212.6100.0000"/>
    <n v="14.96"/>
    <s v="11"/>
    <s v="6100"/>
    <n v="19452.43"/>
    <n v="14.96"/>
    <s v="CREDITOR"/>
    <n v="0"/>
    <n v="0"/>
    <n v="0"/>
    <n v="0"/>
    <n v="14.96"/>
  </r>
  <r>
    <n v="32882543"/>
    <s v="N"/>
    <n v="21395454"/>
    <s v="3000009753710001"/>
    <s v="CIVIL"/>
    <d v="2023-06-29T00:00:00"/>
    <d v="2023-07-19T19:02:01"/>
    <m/>
    <d v="2023-07-19T00:00:00"/>
    <n v="181"/>
    <n v="6891"/>
    <s v="32882543"/>
    <s v="32882543"/>
    <m/>
    <m/>
    <n v="22784976"/>
    <m/>
    <m/>
    <m/>
    <s v="SOLFIN"/>
    <s v="SOLFIN"/>
    <s v="CCMS"/>
    <n v="21395454"/>
    <n v="1620.05"/>
    <m/>
    <s v="N"/>
    <n v="11"/>
    <d v="2023-07-19T19:02:27"/>
    <s v="Y"/>
    <s v="Preparation - other"/>
    <s v="Non Family Hourly Rates"/>
    <s v="Profit Cost"/>
    <s v="BP"/>
    <s v="Y"/>
    <n v="10.73"/>
    <n v="2.15"/>
    <x v="5"/>
    <s v="VALIDATED"/>
    <n v="1"/>
    <s v="01.11.80.212.6100.0000"/>
    <n v="10.73"/>
    <s v="11"/>
    <s v="6100"/>
    <n v="19452.43"/>
    <n v="10.73"/>
    <s v="CREDITOR"/>
    <n v="0"/>
    <n v="0"/>
    <n v="0"/>
    <n v="0"/>
    <n v="10.73"/>
  </r>
  <r>
    <n v="62041977"/>
    <s v="N"/>
    <n v="21349408"/>
    <s v="3000016077920002"/>
    <s v="CIVIL"/>
    <d v="2023-06-30T00:00:00"/>
    <d v="2023-07-10T19:01:40"/>
    <m/>
    <d v="2023-07-10T00:00:00"/>
    <n v="181"/>
    <n v="6891"/>
    <s v="62041977"/>
    <s v="62041977"/>
    <m/>
    <m/>
    <n v="22794318"/>
    <m/>
    <m/>
    <m/>
    <s v="SOLINT"/>
    <s v="SOLINT"/>
    <s v="CCMS"/>
    <n v="21349408"/>
    <n v="2839.64"/>
    <m/>
    <s v="N"/>
    <n v="2"/>
    <d v="2023-07-10T19:01:49"/>
    <s v="Y"/>
    <s v="Advocates Meeting"/>
    <s v="Public Law Children"/>
    <s v="Advocacy"/>
    <s v="SU"/>
    <s v="Y"/>
    <n v="140.99"/>
    <n v="28.2"/>
    <x v="2"/>
    <s v="VALIDATED"/>
    <n v="1"/>
    <s v="01.11.80.308.6100.0000"/>
    <n v="140.99"/>
    <s v="11"/>
    <s v="6100"/>
    <n v="19452.43"/>
    <n v="140.99"/>
    <s v="CREDITOR"/>
    <n v="0"/>
    <n v="0"/>
    <n v="0"/>
    <n v="0"/>
    <n v="140.99"/>
  </r>
  <r>
    <n v="32909542"/>
    <s v="N"/>
    <n v="21344011"/>
    <s v="3000009741710002"/>
    <s v="CIVIL"/>
    <d v="2023-06-29T00:00:00"/>
    <d v="2023-07-07T19:03:00"/>
    <m/>
    <d v="2023-07-07T00:00:00"/>
    <n v="181"/>
    <n v="6891"/>
    <s v="32909542"/>
    <s v="32909542"/>
    <m/>
    <m/>
    <n v="22784974"/>
    <m/>
    <m/>
    <m/>
    <s v="SOLFIN"/>
    <s v="SOLFIN"/>
    <s v="CCMS"/>
    <n v="21344011"/>
    <n v="1833.19"/>
    <m/>
    <s v="N"/>
    <n v="38"/>
    <d v="2023-07-07T19:03:20"/>
    <s v="Y"/>
    <s v="Preparation - other"/>
    <s v="Non Family Hourly Rates"/>
    <s v="Profit Cost"/>
    <s v="BP"/>
    <s v="Y"/>
    <n v="21.47"/>
    <n v="4.29"/>
    <x v="9"/>
    <s v="VALIDATED"/>
    <n v="1"/>
    <s v="01.11.80.212.6100.0000"/>
    <n v="21.47"/>
    <s v="11"/>
    <s v="6100"/>
    <n v="19452.43"/>
    <n v="21.47"/>
    <s v="CREDITOR"/>
    <n v="0"/>
    <n v="0"/>
    <n v="0"/>
    <n v="0"/>
    <n v="21.47"/>
  </r>
  <r>
    <n v="32909542"/>
    <s v="N"/>
    <n v="21344011"/>
    <s v="3000009741710002"/>
    <s v="CIVIL"/>
    <d v="2023-06-29T00:00:00"/>
    <d v="2023-07-07T19:03:00"/>
    <m/>
    <d v="2023-07-07T00:00:00"/>
    <n v="181"/>
    <n v="6891"/>
    <s v="32909542"/>
    <s v="32909542"/>
    <m/>
    <m/>
    <n v="22784974"/>
    <m/>
    <m/>
    <m/>
    <s v="SOLFIN"/>
    <s v="SOLFIN"/>
    <s v="CCMS"/>
    <n v="21344011"/>
    <n v="1833.19"/>
    <m/>
    <s v="N"/>
    <n v="42"/>
    <d v="2023-07-07T19:03:20"/>
    <s v="Y"/>
    <s v="Attendance upon client"/>
    <s v="Non Family Hourly Rates"/>
    <s v="Profit Cost"/>
    <s v="BP"/>
    <s v="Y"/>
    <n v="12.88"/>
    <n v="2.58"/>
    <x v="9"/>
    <s v="VALIDATED"/>
    <n v="1"/>
    <s v="01.11.80.212.6100.0000"/>
    <n v="12.88"/>
    <s v="11"/>
    <s v="6100"/>
    <n v="19452.43"/>
    <n v="12.88"/>
    <s v="CREDITOR"/>
    <n v="0"/>
    <n v="0"/>
    <n v="0"/>
    <n v="0"/>
    <n v="12.88"/>
  </r>
  <r>
    <n v="32909542"/>
    <s v="N"/>
    <n v="21344011"/>
    <s v="3000009741710002"/>
    <s v="CIVIL"/>
    <d v="2023-06-29T00:00:00"/>
    <d v="2023-07-07T19:03:00"/>
    <m/>
    <d v="2023-07-07T00:00:00"/>
    <n v="181"/>
    <n v="6891"/>
    <s v="32909542"/>
    <s v="32909542"/>
    <m/>
    <m/>
    <n v="22784974"/>
    <m/>
    <m/>
    <m/>
    <s v="SOLFIN"/>
    <s v="SOLFIN"/>
    <s v="CCMS"/>
    <n v="21344011"/>
    <n v="1833.19"/>
    <m/>
    <s v="N"/>
    <n v="2"/>
    <d v="2023-07-07T19:03:20"/>
    <s v="Y"/>
    <s v="Preparation - other"/>
    <s v="Non Family Hourly Rates"/>
    <s v="Profit Cost"/>
    <s v="BP"/>
    <s v="Y"/>
    <n v="107.33"/>
    <n v="21.47"/>
    <x v="9"/>
    <s v="VALIDATED"/>
    <n v="1"/>
    <s v="01.11.80.212.6100.0000"/>
    <n v="107.33"/>
    <s v="11"/>
    <s v="6100"/>
    <n v="19452.43"/>
    <n v="107.33"/>
    <s v="CREDITOR"/>
    <n v="0"/>
    <n v="0"/>
    <n v="0"/>
    <n v="0"/>
    <n v="107.33"/>
  </r>
  <r>
    <n v="16200400"/>
    <s v="N"/>
    <n v="21327852"/>
    <s v="3000007820060001"/>
    <s v="CIVIL"/>
    <d v="2023-06-23T00:00:00"/>
    <d v="2023-07-04T19:00:44"/>
    <m/>
    <d v="2023-07-04T00:00:00"/>
    <n v="181"/>
    <n v="6891"/>
    <s v="16200400"/>
    <s v="16200400"/>
    <m/>
    <m/>
    <n v="22749524"/>
    <m/>
    <m/>
    <m/>
    <s v="SOLFIN"/>
    <s v="SOLFIN"/>
    <s v="CCMS"/>
    <n v="21327852"/>
    <n v="1087.97"/>
    <m/>
    <s v="N"/>
    <n v="15"/>
    <d v="2023-07-04T19:00:56"/>
    <s v="Y"/>
    <s v="Preparation - other"/>
    <s v="Non Family Hourly Rates"/>
    <s v="Profit Cost"/>
    <s v="MH"/>
    <s v="Y"/>
    <n v="7.16"/>
    <n v="1.43"/>
    <x v="1"/>
    <s v="VALIDATED"/>
    <n v="1"/>
    <s v="01.11.80.212.6100.0000"/>
    <n v="7.16"/>
    <s v="11"/>
    <s v="6100"/>
    <n v="19452.43"/>
    <n v="7.16"/>
    <s v="CREDITOR"/>
    <n v="0"/>
    <n v="0"/>
    <n v="0"/>
    <n v="0"/>
    <n v="7.16"/>
  </r>
  <r>
    <n v="16198548"/>
    <s v="N"/>
    <n v="21331288"/>
    <s v="3000007817440002"/>
    <s v="CIVIL"/>
    <d v="2023-06-23T00:00:00"/>
    <d v="2023-07-05T19:01:47"/>
    <m/>
    <d v="2023-07-05T00:00:00"/>
    <n v="181"/>
    <n v="6891"/>
    <s v="16198548"/>
    <s v="16198548"/>
    <m/>
    <m/>
    <n v="22750174"/>
    <m/>
    <m/>
    <m/>
    <s v="SOLFIN"/>
    <s v="SOLFIN"/>
    <s v="CCMS"/>
    <n v="21331288"/>
    <n v="0"/>
    <m/>
    <s v="N"/>
    <n v="1"/>
    <d v="2023-07-05T19:02:13"/>
    <s v="N"/>
    <s v="NIL BILL"/>
    <s v="Non Family Hourly Rates"/>
    <s v="Profit Cost"/>
    <s v="RC"/>
    <s v="N"/>
    <n v="0"/>
    <n v="0"/>
    <x v="6"/>
    <s v="VALIDATED"/>
    <n v="1"/>
    <s v="01.11.80.212.6100.0000"/>
    <n v="0"/>
    <s v="11"/>
    <s v="6100"/>
    <n v="19452.43"/>
    <n v="0"/>
    <s v="CREDITOR"/>
    <n v="0"/>
    <n v="0"/>
    <n v="0"/>
    <n v="0"/>
    <n v="0"/>
  </r>
  <r>
    <n v="60218761"/>
    <s v="N"/>
    <n v="21331079"/>
    <s v="3000014528270001"/>
    <s v="CIVIL"/>
    <d v="2023-06-22T00:00:00"/>
    <d v="2023-07-05T19:01:47"/>
    <m/>
    <d v="2023-07-05T00:00:00"/>
    <n v="181"/>
    <n v="6891"/>
    <s v="60218761"/>
    <s v="60218761"/>
    <m/>
    <m/>
    <n v="22746170"/>
    <m/>
    <m/>
    <m/>
    <s v="SOLFIN"/>
    <s v="SOLFIN"/>
    <s v="CCMS"/>
    <n v="21331079"/>
    <n v="455.82"/>
    <m/>
    <s v="N"/>
    <n v="12"/>
    <d v="2023-07-05T19:02:05"/>
    <s v="Y"/>
    <s v="Routine Telephone Call"/>
    <s v="Non Family Hourly Rates"/>
    <s v="Profit Cost"/>
    <s v="RC"/>
    <s v="Y"/>
    <n v="7.48"/>
    <n v="1.5"/>
    <x v="6"/>
    <s v="VALIDATED"/>
    <n v="1"/>
    <s v="01.11.80.212.6100.0000"/>
    <n v="7.48"/>
    <s v="11"/>
    <s v="6100"/>
    <n v="19452.43"/>
    <n v="7.48"/>
    <s v="CREDITOR"/>
    <n v="0"/>
    <n v="0"/>
    <n v="0"/>
    <n v="0"/>
    <n v="7.48"/>
  </r>
  <r>
    <n v="32882543"/>
    <s v="N"/>
    <n v="21395454"/>
    <s v="3000009753710001"/>
    <s v="CIVIL"/>
    <d v="2023-06-29T00:00:00"/>
    <d v="2023-07-19T19:02:01"/>
    <m/>
    <d v="2023-07-19T00:00:00"/>
    <n v="181"/>
    <n v="6891"/>
    <s v="32882543"/>
    <s v="32882543"/>
    <m/>
    <m/>
    <n v="22784976"/>
    <m/>
    <m/>
    <m/>
    <s v="SOLFIN"/>
    <s v="SOLFIN"/>
    <s v="CCMS"/>
    <n v="21395454"/>
    <n v="1620.05"/>
    <m/>
    <s v="N"/>
    <n v="16"/>
    <d v="2023-07-19T19:02:27"/>
    <s v="Y"/>
    <s v="Attendance upon/with Counsel at Con"/>
    <s v="Non Family Hourly Rates"/>
    <s v="Profit Cost"/>
    <s v="BP"/>
    <s v="Y"/>
    <n v="5"/>
    <n v="1"/>
    <x v="5"/>
    <s v="VALIDATED"/>
    <n v="1"/>
    <s v="01.11.80.212.6100.0000"/>
    <n v="5"/>
    <s v="11"/>
    <s v="6100"/>
    <n v="19452.43"/>
    <n v="5"/>
    <s v="CREDITOR"/>
    <n v="0"/>
    <n v="0"/>
    <n v="0"/>
    <n v="0"/>
    <n v="5"/>
  </r>
  <r>
    <n v="16200400"/>
    <s v="N"/>
    <n v="21327852"/>
    <s v="3000007820060001"/>
    <s v="CIVIL"/>
    <d v="2023-06-23T00:00:00"/>
    <d v="2023-07-04T19:00:44"/>
    <m/>
    <d v="2023-07-04T00:00:00"/>
    <n v="181"/>
    <n v="6891"/>
    <s v="16200400"/>
    <s v="16200400"/>
    <m/>
    <m/>
    <n v="22749524"/>
    <m/>
    <m/>
    <m/>
    <s v="SOLFIN"/>
    <s v="SOLFIN"/>
    <s v="CCMS"/>
    <n v="21327852"/>
    <n v="1087.97"/>
    <m/>
    <s v="N"/>
    <n v="10"/>
    <d v="2023-07-04T19:00:56"/>
    <s v="Y"/>
    <s v="Preparation - other"/>
    <s v="Non Family Hourly Rates"/>
    <s v="Profit Cost"/>
    <s v="MH"/>
    <s v="Y"/>
    <n v="26.84"/>
    <n v="5.37"/>
    <x v="1"/>
    <s v="VALIDATED"/>
    <n v="1"/>
    <s v="01.11.80.212.6100.0000"/>
    <n v="26.84"/>
    <s v="11"/>
    <s v="6100"/>
    <n v="19452.43"/>
    <n v="26.84"/>
    <s v="CREDITOR"/>
    <n v="0"/>
    <n v="0"/>
    <n v="0"/>
    <n v="0"/>
    <n v="26.84"/>
  </r>
  <r>
    <n v="32882543"/>
    <s v="N"/>
    <n v="21395454"/>
    <s v="3000009753710001"/>
    <s v="CIVIL"/>
    <d v="2023-06-29T00:00:00"/>
    <d v="2023-07-19T19:02:01"/>
    <m/>
    <d v="2023-07-19T00:00:00"/>
    <n v="181"/>
    <n v="6891"/>
    <s v="32882543"/>
    <s v="32882543"/>
    <m/>
    <m/>
    <n v="22784976"/>
    <m/>
    <m/>
    <m/>
    <s v="SOLFIN"/>
    <s v="SOLFIN"/>
    <s v="CCMS"/>
    <n v="21395454"/>
    <n v="1620.05"/>
    <m/>
    <s v="N"/>
    <n v="6"/>
    <d v="2023-07-19T19:02:27"/>
    <s v="Y"/>
    <s v="Preparation - other"/>
    <s v="Non Family Hourly Rates"/>
    <s v="Profit Cost"/>
    <s v="BP"/>
    <s v="Y"/>
    <n v="28.62"/>
    <n v="5.73"/>
    <x v="5"/>
    <s v="VALIDATED"/>
    <n v="1"/>
    <s v="01.11.80.212.6100.0000"/>
    <n v="28.62"/>
    <s v="11"/>
    <s v="6100"/>
    <n v="19452.43"/>
    <n v="28.62"/>
    <s v="CREDITOR"/>
    <n v="0"/>
    <n v="0"/>
    <n v="0"/>
    <n v="0"/>
    <n v="28.62"/>
  </r>
  <r>
    <n v="42254849"/>
    <s v="N"/>
    <n v="21344076"/>
    <s v="3000010809500017"/>
    <s v="CIVIL"/>
    <d v="2023-06-29T00:00:00"/>
    <d v="2023-07-07T19:03:00"/>
    <m/>
    <d v="2023-07-07T00:00:00"/>
    <n v="181"/>
    <n v="6891"/>
    <s v="42254849"/>
    <s v="42254849"/>
    <m/>
    <m/>
    <n v="22786054"/>
    <m/>
    <m/>
    <m/>
    <s v="SOLFIN"/>
    <s v="SOLFIN"/>
    <s v="CCMS"/>
    <n v="21344076"/>
    <n v="16655.86"/>
    <m/>
    <s v="N"/>
    <n v="1"/>
    <d v="2023-07-07T19:03:22"/>
    <s v="Y"/>
    <s v="Toxicologist"/>
    <s v="Private Law Children"/>
    <s v="Expert Disbursement"/>
    <s v="LEXTOX"/>
    <s v="Y"/>
    <n v="262"/>
    <n v="52.4"/>
    <x v="9"/>
    <s v="VALIDATED"/>
    <n v="1"/>
    <s v="01.11.80.307.6300.0000"/>
    <n v="262"/>
    <s v="11"/>
    <s v="6300"/>
    <n v="19452.43"/>
    <n v="262"/>
    <s v="CREDITOR"/>
    <n v="0"/>
    <n v="0"/>
    <n v="0"/>
    <n v="0"/>
    <n v="262"/>
  </r>
  <r>
    <n v="32909542"/>
    <s v="N"/>
    <n v="21344011"/>
    <s v="3000009741710002"/>
    <s v="CIVIL"/>
    <d v="2023-06-29T00:00:00"/>
    <d v="2023-07-07T19:03:00"/>
    <m/>
    <d v="2023-07-07T00:00:00"/>
    <n v="181"/>
    <n v="6891"/>
    <s v="32909542"/>
    <s v="32909542"/>
    <m/>
    <m/>
    <n v="22784974"/>
    <m/>
    <m/>
    <m/>
    <s v="SOLFIN"/>
    <s v="SOLFIN"/>
    <s v="CCMS"/>
    <n v="21344011"/>
    <n v="1833.19"/>
    <m/>
    <s v="N"/>
    <n v="4"/>
    <d v="2023-07-07T19:03:20"/>
    <s v="Y"/>
    <s v="Preparation - other"/>
    <s v="Non Family Hourly Rates"/>
    <s v="Profit Cost"/>
    <s v="BP 2"/>
    <s v="Y"/>
    <n v="7.16"/>
    <n v="1.43"/>
    <x v="9"/>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33"/>
    <d v="2023-07-07T19:03:20"/>
    <s v="Y"/>
    <s v="Preparation - other"/>
    <s v="Non Family Hourly Rates"/>
    <s v="Profit Cost"/>
    <s v="RC 2"/>
    <s v="Y"/>
    <n v="10.73"/>
    <n v="2.15"/>
    <x v="9"/>
    <s v="VALIDATED"/>
    <n v="1"/>
    <s v="01.11.80.212.6100.0000"/>
    <n v="10.73"/>
    <s v="11"/>
    <s v="6100"/>
    <n v="19452.43"/>
    <n v="10.73"/>
    <s v="CREDITOR"/>
    <n v="0"/>
    <n v="0"/>
    <n v="0"/>
    <n v="0"/>
    <n v="10.73"/>
  </r>
  <r>
    <n v="32909542"/>
    <s v="N"/>
    <n v="21344011"/>
    <s v="3000009741710002"/>
    <s v="CIVIL"/>
    <d v="2023-06-29T00:00:00"/>
    <d v="2023-07-07T19:03:00"/>
    <m/>
    <d v="2023-07-07T00:00:00"/>
    <n v="181"/>
    <n v="6891"/>
    <s v="32909542"/>
    <s v="32909542"/>
    <m/>
    <m/>
    <n v="22784974"/>
    <m/>
    <m/>
    <m/>
    <s v="SOLFIN"/>
    <s v="SOLFIN"/>
    <s v="CCMS"/>
    <n v="21344011"/>
    <n v="1833.19"/>
    <m/>
    <s v="N"/>
    <n v="44"/>
    <d v="2023-07-07T19:03:20"/>
    <s v="Y"/>
    <s v="Preparation - other"/>
    <s v="Non Family Hourly Rates"/>
    <s v="Profit Cost"/>
    <s v="BP 2"/>
    <s v="Y"/>
    <n v="21.47"/>
    <n v="4.29"/>
    <x v="9"/>
    <s v="VALIDATED"/>
    <n v="1"/>
    <s v="01.11.80.212.6100.0000"/>
    <n v="21.47"/>
    <s v="11"/>
    <s v="6100"/>
    <n v="19452.43"/>
    <n v="21.47"/>
    <s v="CREDITOR"/>
    <n v="0"/>
    <n v="0"/>
    <n v="0"/>
    <n v="0"/>
    <n v="21.47"/>
  </r>
  <r>
    <n v="60218761"/>
    <s v="N"/>
    <n v="21331079"/>
    <s v="3000014528270001"/>
    <s v="CIVIL"/>
    <d v="2023-06-22T00:00:00"/>
    <d v="2023-07-05T19:01:47"/>
    <m/>
    <d v="2023-07-05T00:00:00"/>
    <n v="181"/>
    <n v="6891"/>
    <s v="60218761"/>
    <s v="60218761"/>
    <m/>
    <m/>
    <n v="22746170"/>
    <m/>
    <m/>
    <m/>
    <s v="SOLFIN"/>
    <s v="SOLFIN"/>
    <s v="CCMS"/>
    <n v="21331079"/>
    <n v="455.82"/>
    <m/>
    <s v="N"/>
    <n v="4"/>
    <d v="2023-07-05T19:02:05"/>
    <s v="Y"/>
    <s v="Preparation - other"/>
    <s v="Non Family Hourly Rates"/>
    <s v="Profit Cost"/>
    <s v="JG"/>
    <s v="Y"/>
    <n v="21.47"/>
    <n v="4.29"/>
    <x v="6"/>
    <s v="VALIDATED"/>
    <n v="1"/>
    <s v="01.11.80.212.6100.0000"/>
    <n v="21.47"/>
    <s v="11"/>
    <s v="6100"/>
    <n v="19452.43"/>
    <n v="21.47"/>
    <s v="CREDITOR"/>
    <n v="0"/>
    <n v="0"/>
    <n v="0"/>
    <n v="0"/>
    <n v="21.47"/>
  </r>
  <r>
    <n v="16200400"/>
    <s v="N"/>
    <n v="21327852"/>
    <s v="3000007820060001"/>
    <s v="CIVIL"/>
    <d v="2023-06-23T00:00:00"/>
    <d v="2023-07-04T19:00:44"/>
    <m/>
    <d v="2023-07-04T00:00:00"/>
    <n v="181"/>
    <n v="6891"/>
    <s v="16200400"/>
    <s v="16200400"/>
    <m/>
    <m/>
    <n v="22749524"/>
    <m/>
    <m/>
    <m/>
    <s v="SOLFIN"/>
    <s v="SOLFIN"/>
    <s v="CCMS"/>
    <n v="21327852"/>
    <n v="1087.97"/>
    <m/>
    <s v="N"/>
    <n v="23"/>
    <d v="2023-07-04T19:00:56"/>
    <s v="Y"/>
    <s v="Preparation - other"/>
    <s v="Non Family Hourly Rates"/>
    <s v="Profit Cost"/>
    <s v="MH"/>
    <s v="Y"/>
    <n v="8.949999999999999"/>
    <n v="1.79"/>
    <x v="1"/>
    <s v="VALIDATED"/>
    <n v="1"/>
    <s v="01.11.80.212.6100.0000"/>
    <n v="8.949999999999999"/>
    <s v="11"/>
    <s v="6100"/>
    <n v="19452.43"/>
    <n v="8.949999999999999"/>
    <s v="CREDITOR"/>
    <n v="0"/>
    <n v="0"/>
    <n v="0"/>
    <n v="0"/>
    <n v="8.949999999999999"/>
  </r>
  <r>
    <n v="32909542"/>
    <s v="N"/>
    <n v="21344011"/>
    <s v="3000009741710002"/>
    <s v="CIVIL"/>
    <d v="2023-06-29T00:00:00"/>
    <d v="2023-07-07T19:03:00"/>
    <m/>
    <d v="2023-07-07T00:00:00"/>
    <n v="181"/>
    <n v="6891"/>
    <s v="32909542"/>
    <s v="32909542"/>
    <m/>
    <m/>
    <n v="22784974"/>
    <m/>
    <m/>
    <m/>
    <s v="SOLFIN"/>
    <s v="SOLFIN"/>
    <s v="CCMS"/>
    <n v="21344011"/>
    <n v="1833.19"/>
    <m/>
    <s v="N"/>
    <n v="31"/>
    <d v="2023-07-07T19:03:20"/>
    <s v="Y"/>
    <s v="Preparation - other"/>
    <s v="Non Family Hourly Rates"/>
    <s v="Profit Cost"/>
    <s v="BP 2"/>
    <s v="Y"/>
    <n v="7.16"/>
    <n v="1.43"/>
    <x v="9"/>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3"/>
    <d v="2023-07-04T19:00:56"/>
    <s v="Y"/>
    <s v="Preparation - other"/>
    <s v="Non Family Hourly Rates"/>
    <s v="Profit Cost"/>
    <s v="MH"/>
    <s v="Y"/>
    <n v="28.62"/>
    <n v="5.72"/>
    <x v="1"/>
    <s v="VALIDATED"/>
    <n v="1"/>
    <s v="01.11.80.212.6100.0000"/>
    <n v="28.62"/>
    <s v="11"/>
    <s v="6100"/>
    <n v="19452.43"/>
    <n v="28.62"/>
    <s v="CREDITOR"/>
    <n v="0"/>
    <n v="0"/>
    <n v="0"/>
    <n v="0"/>
    <n v="28.62"/>
  </r>
  <r>
    <n v="7915442"/>
    <s v="N"/>
    <n v="21382195"/>
    <s v="3000004046600001"/>
    <s v="CIVIL"/>
    <d v="2023-06-29T00:00:00"/>
    <d v="2023-07-17T19:01:46"/>
    <m/>
    <d v="2023-07-17T00:00:00"/>
    <n v="181"/>
    <n v="6891"/>
    <s v="7915442"/>
    <s v="7915442"/>
    <m/>
    <m/>
    <n v="22788618"/>
    <m/>
    <m/>
    <m/>
    <s v="SOLFIN"/>
    <s v="SOLFIN"/>
    <s v="CCMS"/>
    <n v="21382195"/>
    <n v="3000"/>
    <m/>
    <s v="N"/>
    <n v="1"/>
    <d v="2023-07-17T19:02:04"/>
    <s v="Y"/>
    <s v="Profit Costs (Summary)"/>
    <s v="Non Family Hourly Rates"/>
    <s v="Profit Cost"/>
    <s v="RC"/>
    <s v="Y"/>
    <n v="2500"/>
    <n v="500"/>
    <x v="8"/>
    <s v="VALIDATED"/>
    <n v="1"/>
    <s v="01.11.80.212.6100.0000"/>
    <n v="2500"/>
    <s v="11"/>
    <s v="6100"/>
    <n v="19452.43"/>
    <n v="2500"/>
    <s v="CREDITOR"/>
    <n v="0"/>
    <n v="0"/>
    <n v="0"/>
    <n v="0"/>
    <n v="2500"/>
  </r>
  <r>
    <n v="32882543"/>
    <s v="N"/>
    <n v="21395454"/>
    <s v="3000009753710001"/>
    <s v="CIVIL"/>
    <d v="2023-06-29T00:00:00"/>
    <d v="2023-07-19T19:02:01"/>
    <m/>
    <d v="2023-07-19T00:00:00"/>
    <n v="181"/>
    <n v="6891"/>
    <s v="32882543"/>
    <s v="32882543"/>
    <m/>
    <m/>
    <n v="22784976"/>
    <m/>
    <m/>
    <m/>
    <s v="SOLFIN"/>
    <s v="SOLFIN"/>
    <s v="CCMS"/>
    <n v="21395454"/>
    <n v="1620.05"/>
    <m/>
    <s v="N"/>
    <n v="50"/>
    <d v="2023-07-19T19:02:27"/>
    <s v="Y"/>
    <s v="Preparation - other"/>
    <s v="Non Family Hourly Rates"/>
    <s v="Profit Cost"/>
    <s v="BP 2"/>
    <s v="Y"/>
    <n v="14.31"/>
    <n v="2.86"/>
    <x v="5"/>
    <s v="VALIDATED"/>
    <n v="1"/>
    <s v="01.11.80.212.6100.0000"/>
    <n v="14.31"/>
    <s v="11"/>
    <s v="6100"/>
    <n v="19452.43"/>
    <n v="14.31"/>
    <s v="CREDITOR"/>
    <n v="0"/>
    <n v="0"/>
    <n v="0"/>
    <n v="0"/>
    <n v="14.31"/>
  </r>
  <r>
    <n v="32909542"/>
    <s v="N"/>
    <n v="21344011"/>
    <s v="3000009741710002"/>
    <s v="CIVIL"/>
    <d v="2023-06-29T00:00:00"/>
    <d v="2023-07-07T19:03:00"/>
    <m/>
    <d v="2023-07-07T00:00:00"/>
    <n v="181"/>
    <n v="6891"/>
    <s v="32909542"/>
    <s v="32909542"/>
    <m/>
    <m/>
    <n v="22784974"/>
    <m/>
    <m/>
    <m/>
    <s v="SOLFIN"/>
    <s v="SOLFIN"/>
    <s v="CCMS"/>
    <n v="21344011"/>
    <n v="1833.19"/>
    <m/>
    <s v="N"/>
    <n v="5"/>
    <d v="2023-07-07T19:03:20"/>
    <s v="Y"/>
    <s v="Attendance upon client"/>
    <s v="Non Family Hourly Rates"/>
    <s v="Profit Cost"/>
    <s v="BP"/>
    <s v="Y"/>
    <n v="17.17"/>
    <n v="3.43"/>
    <x v="9"/>
    <s v="VALIDATED"/>
    <n v="1"/>
    <s v="01.11.80.212.6100.0000"/>
    <n v="17.17"/>
    <s v="11"/>
    <s v="6100"/>
    <n v="19452.43"/>
    <n v="17.17"/>
    <s v="CREDITOR"/>
    <n v="0"/>
    <n v="0"/>
    <n v="0"/>
    <n v="0"/>
    <n v="17.17"/>
  </r>
  <r>
    <n v="16200400"/>
    <s v="N"/>
    <n v="21327852"/>
    <s v="3000007820060001"/>
    <s v="CIVIL"/>
    <d v="2023-06-23T00:00:00"/>
    <d v="2023-07-04T19:00:44"/>
    <m/>
    <d v="2023-07-04T00:00:00"/>
    <n v="181"/>
    <n v="6891"/>
    <s v="16200400"/>
    <s v="16200400"/>
    <m/>
    <m/>
    <n v="22749524"/>
    <m/>
    <m/>
    <m/>
    <s v="SOLFIN"/>
    <s v="SOLFIN"/>
    <s v="CCMS"/>
    <n v="21327852"/>
    <n v="1087.97"/>
    <m/>
    <s v="N"/>
    <n v="4"/>
    <d v="2023-07-04T19:00:56"/>
    <s v="Y"/>
    <s v="Preparation - other"/>
    <s v="Non Family Hourly Rates"/>
    <s v="Profit Cost"/>
    <s v="MH"/>
    <s v="Y"/>
    <n v="28.62"/>
    <n v="5.72"/>
    <x v="1"/>
    <s v="VALIDATED"/>
    <n v="1"/>
    <s v="01.11.80.212.6100.0000"/>
    <n v="28.62"/>
    <s v="11"/>
    <s v="6100"/>
    <n v="19452.43"/>
    <n v="28.62"/>
    <s v="CREDITOR"/>
    <n v="0"/>
    <n v="0"/>
    <n v="0"/>
    <n v="0"/>
    <n v="28.62"/>
  </r>
  <r>
    <n v="16200400"/>
    <s v="N"/>
    <n v="21327852"/>
    <s v="3000007820060001"/>
    <s v="CIVIL"/>
    <d v="2023-06-23T00:00:00"/>
    <d v="2023-07-04T19:00:44"/>
    <m/>
    <d v="2023-07-04T00:00:00"/>
    <n v="181"/>
    <n v="6891"/>
    <s v="16200400"/>
    <s v="16200400"/>
    <m/>
    <m/>
    <n v="22749524"/>
    <m/>
    <m/>
    <m/>
    <s v="SOLFIN"/>
    <s v="SOLFIN"/>
    <s v="CCMS"/>
    <n v="21327852"/>
    <n v="1087.97"/>
    <m/>
    <s v="N"/>
    <n v="5"/>
    <d v="2023-07-04T19:00:56"/>
    <s v="Y"/>
    <s v="Preparation - other"/>
    <s v="Non Family Hourly Rates"/>
    <s v="Profit Cost"/>
    <s v="MH"/>
    <s v="Y"/>
    <n v="14.31"/>
    <n v="2.86"/>
    <x v="1"/>
    <s v="VALIDATED"/>
    <n v="1"/>
    <s v="01.11.80.212.6100.0000"/>
    <n v="14.31"/>
    <s v="11"/>
    <s v="6100"/>
    <n v="19452.43"/>
    <n v="14.31"/>
    <s v="CREDITOR"/>
    <n v="0"/>
    <n v="0"/>
    <n v="0"/>
    <n v="0"/>
    <n v="14.31"/>
  </r>
  <r>
    <n v="32909542"/>
    <s v="N"/>
    <n v="21344011"/>
    <s v="3000009741710002"/>
    <s v="CIVIL"/>
    <d v="2023-06-29T00:00:00"/>
    <d v="2023-07-07T19:03:00"/>
    <m/>
    <d v="2023-07-07T00:00:00"/>
    <n v="181"/>
    <n v="6891"/>
    <s v="32909542"/>
    <s v="32909542"/>
    <m/>
    <m/>
    <n v="22784974"/>
    <m/>
    <m/>
    <m/>
    <s v="SOLFIN"/>
    <s v="SOLFIN"/>
    <s v="CCMS"/>
    <n v="21344011"/>
    <n v="1833.19"/>
    <m/>
    <s v="N"/>
    <n v="6"/>
    <d v="2023-07-07T19:03:20"/>
    <s v="Y"/>
    <s v="Preparation - other"/>
    <s v="Non Family Hourly Rates"/>
    <s v="Profit Cost"/>
    <s v="RC"/>
    <s v="Y"/>
    <n v="42.94"/>
    <n v="8.59"/>
    <x v="9"/>
    <s v="VALIDATED"/>
    <n v="1"/>
    <s v="01.11.80.212.6100.0000"/>
    <n v="42.94"/>
    <s v="11"/>
    <s v="6100"/>
    <n v="19452.43"/>
    <n v="42.94"/>
    <s v="CREDITOR"/>
    <n v="0"/>
    <n v="0"/>
    <n v="0"/>
    <n v="0"/>
    <n v="42.94"/>
  </r>
  <r>
    <n v="32882543"/>
    <s v="N"/>
    <n v="21395454"/>
    <s v="3000009753710001"/>
    <s v="CIVIL"/>
    <d v="2023-06-29T00:00:00"/>
    <d v="2023-07-19T19:02:01"/>
    <m/>
    <d v="2023-07-19T00:00:00"/>
    <n v="181"/>
    <n v="6891"/>
    <s v="32882543"/>
    <s v="32882543"/>
    <m/>
    <m/>
    <n v="22784976"/>
    <m/>
    <m/>
    <m/>
    <s v="SOLFIN"/>
    <s v="SOLFIN"/>
    <s v="CCMS"/>
    <n v="21395454"/>
    <n v="1620.05"/>
    <m/>
    <s v="N"/>
    <n v="28"/>
    <d v="2023-07-19T19:02:27"/>
    <s v="Y"/>
    <s v="Attendance upon client"/>
    <s v="Non Family Hourly Rates"/>
    <s v="Profit Cost"/>
    <s v="RC"/>
    <s v="Y"/>
    <n v="42.93"/>
    <n v="8.59"/>
    <x v="5"/>
    <s v="VALIDATED"/>
    <n v="1"/>
    <s v="01.11.80.212.6100.0000"/>
    <n v="42.93"/>
    <s v="11"/>
    <s v="6100"/>
    <n v="19452.43"/>
    <n v="42.93"/>
    <s v="CREDITOR"/>
    <n v="0"/>
    <n v="0"/>
    <n v="0"/>
    <n v="0"/>
    <n v="42.93"/>
  </r>
  <r>
    <n v="32882543"/>
    <s v="N"/>
    <n v="21395454"/>
    <s v="3000009753710001"/>
    <s v="CIVIL"/>
    <d v="2023-06-29T00:00:00"/>
    <d v="2023-07-19T19:02:01"/>
    <m/>
    <d v="2023-07-19T00:00:00"/>
    <n v="181"/>
    <n v="6891"/>
    <s v="32882543"/>
    <s v="32882543"/>
    <m/>
    <m/>
    <n v="22784976"/>
    <m/>
    <m/>
    <m/>
    <s v="SOLFIN"/>
    <s v="SOLFIN"/>
    <s v="CCMS"/>
    <n v="21395454"/>
    <n v="1620.05"/>
    <m/>
    <s v="N"/>
    <n v="14"/>
    <d v="2023-07-19T19:02:27"/>
    <s v="Y"/>
    <s v="Report - Counsel's opinion"/>
    <s v="Non Family Hourly Rates"/>
    <s v="Profit Cost"/>
    <s v="RC 2"/>
    <s v="Y"/>
    <n v="7.16"/>
    <n v="1.43"/>
    <x v="5"/>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39"/>
    <d v="2023-07-07T19:03:20"/>
    <s v="Y"/>
    <s v="Attendance upon client"/>
    <s v="Non Family Hourly Rates"/>
    <s v="Profit Cost"/>
    <s v="RC"/>
    <s v="Y"/>
    <n v="12.88"/>
    <n v="2.58"/>
    <x v="9"/>
    <s v="VALIDATED"/>
    <n v="1"/>
    <s v="01.11.80.212.6100.0000"/>
    <n v="12.88"/>
    <s v="11"/>
    <s v="6100"/>
    <n v="19452.43"/>
    <n v="12.88"/>
    <s v="CREDITOR"/>
    <n v="0"/>
    <n v="0"/>
    <n v="0"/>
    <n v="0"/>
    <n v="12.88"/>
  </r>
  <r>
    <n v="32909542"/>
    <s v="N"/>
    <n v="21344011"/>
    <s v="3000009741710002"/>
    <s v="CIVIL"/>
    <d v="2023-06-29T00:00:00"/>
    <d v="2023-07-07T19:03:00"/>
    <m/>
    <d v="2023-07-07T00:00:00"/>
    <n v="181"/>
    <n v="6891"/>
    <s v="32909542"/>
    <s v="32909542"/>
    <m/>
    <m/>
    <n v="22784974"/>
    <m/>
    <m/>
    <m/>
    <s v="SOLFIN"/>
    <s v="SOLFIN"/>
    <s v="CCMS"/>
    <n v="21344011"/>
    <n v="1833.19"/>
    <m/>
    <s v="N"/>
    <n v="41"/>
    <d v="2023-07-07T19:03:20"/>
    <s v="Y"/>
    <s v="Preparation - other"/>
    <s v="Non Family Hourly Rates"/>
    <s v="Profit Cost"/>
    <s v="BP"/>
    <s v="Y"/>
    <n v="21.47"/>
    <n v="4.29"/>
    <x v="9"/>
    <s v="VALIDATED"/>
    <n v="1"/>
    <s v="01.11.80.212.6100.0000"/>
    <n v="21.47"/>
    <s v="11"/>
    <s v="6100"/>
    <n v="19452.43"/>
    <n v="21.47"/>
    <s v="CREDITOR"/>
    <n v="0"/>
    <n v="0"/>
    <n v="0"/>
    <n v="0"/>
    <n v="21.47"/>
  </r>
  <r>
    <n v="32909542"/>
    <s v="N"/>
    <n v="21344011"/>
    <s v="3000009741710002"/>
    <s v="CIVIL"/>
    <d v="2023-06-29T00:00:00"/>
    <d v="2023-07-07T19:03:00"/>
    <m/>
    <d v="2023-07-07T00:00:00"/>
    <n v="181"/>
    <n v="6891"/>
    <s v="32909542"/>
    <s v="32909542"/>
    <m/>
    <m/>
    <n v="22784974"/>
    <m/>
    <m/>
    <m/>
    <s v="SOLFIN"/>
    <s v="SOLFIN"/>
    <s v="CCMS"/>
    <n v="21344011"/>
    <n v="1833.19"/>
    <m/>
    <s v="N"/>
    <n v="45"/>
    <d v="2023-07-07T19:03:20"/>
    <s v="Y"/>
    <s v="Preparation - other"/>
    <s v="Non Family Hourly Rates"/>
    <s v="Profit Cost"/>
    <s v="BP 2"/>
    <s v="Y"/>
    <n v="14.31"/>
    <n v="2.86"/>
    <x v="9"/>
    <s v="VALIDATED"/>
    <n v="1"/>
    <s v="01.11.80.212.6100.0000"/>
    <n v="14.31"/>
    <s v="11"/>
    <s v="6100"/>
    <n v="19452.43"/>
    <n v="14.31"/>
    <s v="CREDITOR"/>
    <n v="0"/>
    <n v="0"/>
    <n v="0"/>
    <n v="0"/>
    <n v="14.31"/>
  </r>
  <r>
    <n v="16200400"/>
    <s v="N"/>
    <n v="21327852"/>
    <s v="3000007820060001"/>
    <s v="CIVIL"/>
    <d v="2023-06-23T00:00:00"/>
    <d v="2023-07-04T19:00:44"/>
    <m/>
    <d v="2023-07-04T00:00:00"/>
    <n v="181"/>
    <n v="6891"/>
    <s v="16200400"/>
    <s v="16200400"/>
    <m/>
    <m/>
    <n v="22749524"/>
    <m/>
    <m/>
    <m/>
    <s v="SOLFIN"/>
    <s v="SOLFIN"/>
    <s v="CCMS"/>
    <n v="21327852"/>
    <n v="1087.97"/>
    <m/>
    <s v="N"/>
    <n v="38"/>
    <d v="2023-07-04T19:00:56"/>
    <s v="Y"/>
    <s v="Routine Telephone Call"/>
    <s v="Non Family Hourly Rates"/>
    <s v="Profit Cost"/>
    <s v="MH"/>
    <s v="Y"/>
    <n v="149.6"/>
    <n v="29.96"/>
    <x v="1"/>
    <s v="VALIDATED"/>
    <n v="1"/>
    <s v="01.11.80.212.6100.0000"/>
    <n v="149.6"/>
    <s v="11"/>
    <s v="6100"/>
    <n v="19452.43"/>
    <n v="149.6"/>
    <s v="CREDITOR"/>
    <n v="0"/>
    <n v="0"/>
    <n v="0"/>
    <n v="0"/>
    <n v="149.6"/>
  </r>
  <r>
    <n v="62080986"/>
    <s v="N"/>
    <n v="21323142"/>
    <s v="3000016093310001"/>
    <s v="CIVIL"/>
    <d v="2023-06-29T00:00:00"/>
    <d v="2023-07-03T19:05:36"/>
    <m/>
    <d v="2023-07-03T00:00:00"/>
    <n v="181"/>
    <n v="6891"/>
    <s v="62080986"/>
    <s v="62080986"/>
    <m/>
    <m/>
    <n v="22793852"/>
    <m/>
    <m/>
    <m/>
    <s v="SOLPOA"/>
    <s v="SOLPOA"/>
    <s v="CCMS"/>
    <n v="21323142"/>
    <n v="1667.69"/>
    <m/>
    <s v="N"/>
    <n v="1"/>
    <d v="2023-07-03T19:05:41"/>
    <s v="N"/>
    <s v="Profit Cost"/>
    <s v="Profit Cost"/>
    <s v="Profit Cost"/>
    <s v="HM"/>
    <s v="N"/>
    <n v="1389.74"/>
    <n v="277.95"/>
    <x v="3"/>
    <s v="VALIDATED"/>
    <n v="1"/>
    <s v="01.11.80.307.2012.0000"/>
    <n v="1389.74"/>
    <s v="11"/>
    <s v="2012"/>
    <n v="19452.43"/>
    <n v="1389.74"/>
    <s v="CREDITOR"/>
    <n v="1389.74"/>
    <n v="347.435"/>
    <n v="0"/>
    <n v="0"/>
    <n v="0"/>
  </r>
  <r>
    <n v="32882543"/>
    <s v="N"/>
    <n v="21395454"/>
    <s v="3000009753710001"/>
    <s v="CIVIL"/>
    <d v="2023-06-29T00:00:00"/>
    <d v="2023-07-19T19:02:01"/>
    <m/>
    <d v="2023-07-19T00:00:00"/>
    <n v="181"/>
    <n v="6891"/>
    <s v="32882543"/>
    <s v="32882543"/>
    <m/>
    <m/>
    <n v="22784976"/>
    <m/>
    <m/>
    <m/>
    <s v="SOLFIN"/>
    <s v="SOLFIN"/>
    <s v="CCMS"/>
    <n v="21395454"/>
    <n v="1620.05"/>
    <m/>
    <s v="N"/>
    <n v="40"/>
    <d v="2023-07-19T19:02:27"/>
    <s v="Y"/>
    <s v="Preparation - other"/>
    <s v="Non Family Hourly Rates"/>
    <s v="Profit Cost"/>
    <s v="BP"/>
    <s v="Y"/>
    <n v="14.31"/>
    <n v="2.86"/>
    <x v="5"/>
    <s v="VALIDATED"/>
    <n v="1"/>
    <s v="01.11.80.212.6100.0000"/>
    <n v="14.31"/>
    <s v="11"/>
    <s v="6100"/>
    <n v="19452.43"/>
    <n v="14.31"/>
    <s v="CREDITOR"/>
    <n v="0"/>
    <n v="0"/>
    <n v="0"/>
    <n v="0"/>
    <n v="14.31"/>
  </r>
  <r>
    <n v="32909542"/>
    <s v="N"/>
    <n v="21344011"/>
    <s v="3000009741710002"/>
    <s v="CIVIL"/>
    <d v="2023-06-29T00:00:00"/>
    <d v="2023-07-07T19:03:00"/>
    <m/>
    <d v="2023-07-07T00:00:00"/>
    <n v="181"/>
    <n v="6891"/>
    <s v="32909542"/>
    <s v="32909542"/>
    <m/>
    <m/>
    <n v="22784974"/>
    <m/>
    <m/>
    <m/>
    <s v="SOLFIN"/>
    <s v="SOLFIN"/>
    <s v="CCMS"/>
    <n v="21344011"/>
    <n v="1833.19"/>
    <m/>
    <s v="N"/>
    <n v="23"/>
    <d v="2023-07-07T19:03:20"/>
    <s v="Y"/>
    <s v="Preparation - other"/>
    <s v="Non Family Hourly Rates"/>
    <s v="Profit Cost"/>
    <s v="RC"/>
    <s v="Y"/>
    <n v="42.94"/>
    <n v="8.59"/>
    <x v="9"/>
    <s v="VALIDATED"/>
    <n v="1"/>
    <s v="01.11.80.212.6100.0000"/>
    <n v="42.94"/>
    <s v="11"/>
    <s v="6100"/>
    <n v="19452.43"/>
    <n v="42.94"/>
    <s v="CREDITOR"/>
    <n v="0"/>
    <n v="0"/>
    <n v="0"/>
    <n v="0"/>
    <n v="42.94"/>
  </r>
  <r>
    <n v="32909542"/>
    <s v="N"/>
    <n v="21344011"/>
    <s v="3000009741710002"/>
    <s v="CIVIL"/>
    <d v="2023-06-29T00:00:00"/>
    <d v="2023-07-07T19:03:00"/>
    <m/>
    <d v="2023-07-07T00:00:00"/>
    <n v="181"/>
    <n v="6891"/>
    <s v="32909542"/>
    <s v="32909542"/>
    <m/>
    <m/>
    <n v="22784974"/>
    <m/>
    <m/>
    <m/>
    <s v="SOLFIN"/>
    <s v="SOLFIN"/>
    <s v="CCMS"/>
    <n v="21344011"/>
    <n v="1833.19"/>
    <m/>
    <s v="N"/>
    <n v="47"/>
    <d v="2023-07-07T19:03:20"/>
    <s v="Y"/>
    <s v="Preparation - other"/>
    <s v="Non Family Hourly Rates"/>
    <s v="Profit Cost"/>
    <s v="BP 2"/>
    <s v="Y"/>
    <n v="7.16"/>
    <n v="1.43"/>
    <x v="9"/>
    <s v="VALIDATED"/>
    <n v="1"/>
    <s v="01.11.80.212.6100.0000"/>
    <n v="7.16"/>
    <s v="11"/>
    <s v="6100"/>
    <n v="19452.43"/>
    <n v="7.16"/>
    <s v="CREDITOR"/>
    <n v="0"/>
    <n v="0"/>
    <n v="0"/>
    <n v="0"/>
    <n v="7.16"/>
  </r>
  <r>
    <n v="62113205"/>
    <s v="N"/>
    <n v="21324021"/>
    <s v="3000016093680002"/>
    <s v="CIVIL"/>
    <d v="2023-06-30T00:00:00"/>
    <d v="2023-07-03T19:05:56"/>
    <m/>
    <d v="2023-07-03T00:00:00"/>
    <n v="181"/>
    <n v="6891"/>
    <s v="62113205"/>
    <s v="62113205"/>
    <m/>
    <m/>
    <n v="22794608"/>
    <m/>
    <m/>
    <m/>
    <s v="SOLPOA"/>
    <s v="SOLPOA"/>
    <s v="CCMS"/>
    <n v="21324021"/>
    <n v="1773.96"/>
    <m/>
    <s v="N"/>
    <n v="1"/>
    <d v="2023-07-03T19:06:00"/>
    <s v="N"/>
    <s v="Profit Cost"/>
    <s v="Profit Cost"/>
    <s v="Profit Cost"/>
    <s v="HM"/>
    <s v="N"/>
    <n v="1478.3"/>
    <n v="295.66"/>
    <x v="3"/>
    <s v="VALIDATED"/>
    <n v="1"/>
    <s v="01.11.80.307.2012.0000"/>
    <n v="1478.3"/>
    <s v="11"/>
    <s v="2012"/>
    <n v="19452.43"/>
    <n v="1478.3"/>
    <s v="CREDITOR"/>
    <n v="1478.3"/>
    <n v="369.575"/>
    <n v="0"/>
    <n v="0"/>
    <n v="0"/>
  </r>
  <r>
    <n v="32909542"/>
    <s v="N"/>
    <n v="21344011"/>
    <s v="3000009741710002"/>
    <s v="CIVIL"/>
    <d v="2023-06-29T00:00:00"/>
    <d v="2023-07-07T19:03:00"/>
    <m/>
    <d v="2023-07-07T00:00:00"/>
    <n v="181"/>
    <n v="6891"/>
    <s v="32909542"/>
    <s v="32909542"/>
    <m/>
    <m/>
    <n v="22784974"/>
    <m/>
    <m/>
    <m/>
    <s v="SOLFIN"/>
    <s v="SOLFIN"/>
    <s v="CCMS"/>
    <n v="21344011"/>
    <n v="1833.19"/>
    <m/>
    <s v="N"/>
    <n v="8"/>
    <d v="2023-07-07T19:03:20"/>
    <s v="Y"/>
    <s v="Preparation - other"/>
    <s v="Non Family Hourly Rates"/>
    <s v="Profit Cost"/>
    <s v="RC"/>
    <s v="Y"/>
    <n v="42.94"/>
    <n v="8.59"/>
    <x v="9"/>
    <s v="VALIDATED"/>
    <n v="1"/>
    <s v="01.11.80.212.6100.0000"/>
    <n v="42.94"/>
    <s v="11"/>
    <s v="6100"/>
    <n v="19452.43"/>
    <n v="42.94"/>
    <s v="CREDITOR"/>
    <n v="0"/>
    <n v="0"/>
    <n v="0"/>
    <n v="0"/>
    <n v="42.94"/>
  </r>
  <r>
    <n v="32909542"/>
    <s v="N"/>
    <n v="21344011"/>
    <s v="3000009741710002"/>
    <s v="CIVIL"/>
    <d v="2023-06-29T00:00:00"/>
    <d v="2023-07-07T19:03:00"/>
    <m/>
    <d v="2023-07-07T00:00:00"/>
    <n v="181"/>
    <n v="6891"/>
    <s v="32909542"/>
    <s v="32909542"/>
    <m/>
    <m/>
    <n v="22784974"/>
    <m/>
    <m/>
    <m/>
    <s v="SOLFIN"/>
    <s v="SOLFIN"/>
    <s v="CCMS"/>
    <n v="21344011"/>
    <n v="1833.19"/>
    <m/>
    <s v="N"/>
    <n v="15"/>
    <d v="2023-07-07T19:03:20"/>
    <s v="Y"/>
    <s v="Attendance upon client"/>
    <s v="Non Family Hourly Rates"/>
    <s v="Profit Cost"/>
    <s v="BP"/>
    <s v="Y"/>
    <n v="8.59"/>
    <n v="1.72"/>
    <x v="9"/>
    <s v="VALIDATED"/>
    <n v="1"/>
    <s v="01.11.80.212.6100.0000"/>
    <n v="8.59"/>
    <s v="11"/>
    <s v="6100"/>
    <n v="19452.43"/>
    <n v="8.59"/>
    <s v="CREDITOR"/>
    <n v="0"/>
    <n v="0"/>
    <n v="0"/>
    <n v="0"/>
    <n v="8.59"/>
  </r>
  <r>
    <n v="32909542"/>
    <s v="N"/>
    <n v="21344011"/>
    <s v="3000009741710002"/>
    <s v="CIVIL"/>
    <d v="2023-06-29T00:00:00"/>
    <d v="2023-07-07T19:03:00"/>
    <m/>
    <d v="2023-07-07T00:00:00"/>
    <n v="181"/>
    <n v="6891"/>
    <s v="32909542"/>
    <s v="32909542"/>
    <m/>
    <m/>
    <n v="22784974"/>
    <m/>
    <m/>
    <m/>
    <s v="SOLFIN"/>
    <s v="SOLFIN"/>
    <s v="CCMS"/>
    <n v="21344011"/>
    <n v="1833.19"/>
    <m/>
    <s v="N"/>
    <n v="52"/>
    <d v="2023-07-07T19:03:20"/>
    <s v="Y"/>
    <s v="Routine Letter Out"/>
    <s v="Non Family Hourly Rates"/>
    <s v="Profit Cost"/>
    <s v="BP"/>
    <s v="Y"/>
    <n v="135"/>
    <n v="27"/>
    <x v="9"/>
    <s v="VALIDATED"/>
    <n v="1"/>
    <s v="01.11.80.212.6100.0000"/>
    <n v="135"/>
    <s v="11"/>
    <s v="6100"/>
    <n v="19452.43"/>
    <n v="135"/>
    <s v="CREDITOR"/>
    <n v="0"/>
    <n v="0"/>
    <n v="0"/>
    <n v="0"/>
    <n v="135"/>
  </r>
  <r>
    <n v="16200400"/>
    <s v="N"/>
    <n v="21327852"/>
    <s v="3000007820060001"/>
    <s v="CIVIL"/>
    <d v="2023-06-23T00:00:00"/>
    <d v="2023-07-04T19:00:44"/>
    <m/>
    <d v="2023-07-04T00:00:00"/>
    <n v="181"/>
    <n v="6891"/>
    <s v="16200400"/>
    <s v="16200400"/>
    <m/>
    <m/>
    <n v="22749524"/>
    <m/>
    <m/>
    <m/>
    <s v="SOLFIN"/>
    <s v="SOLFIN"/>
    <s v="CCMS"/>
    <n v="21327852"/>
    <n v="1087.97"/>
    <m/>
    <s v="N"/>
    <n v="8"/>
    <d v="2023-07-04T19:00:56"/>
    <s v="Y"/>
    <s v="Preparation - other"/>
    <s v="Non Family Hourly Rates"/>
    <s v="Profit Cost"/>
    <s v="MH"/>
    <s v="Y"/>
    <n v="44.73"/>
    <n v="8.94"/>
    <x v="1"/>
    <s v="VALIDATED"/>
    <n v="1"/>
    <s v="01.11.80.212.6100.0000"/>
    <n v="44.73"/>
    <s v="11"/>
    <s v="6100"/>
    <n v="19452.43"/>
    <n v="44.73"/>
    <s v="CREDITOR"/>
    <n v="0"/>
    <n v="0"/>
    <n v="0"/>
    <n v="0"/>
    <n v="44.73"/>
  </r>
  <r>
    <n v="7915578"/>
    <s v="N"/>
    <n v="21382346"/>
    <s v="3000004032790008"/>
    <s v="CIVIL"/>
    <d v="2023-06-29T00:00:00"/>
    <d v="2023-07-17T19:01:46"/>
    <m/>
    <d v="2023-07-17T00:00:00"/>
    <n v="181"/>
    <n v="6891"/>
    <s v="7915578"/>
    <s v="7915578"/>
    <m/>
    <m/>
    <n v="22788488"/>
    <m/>
    <m/>
    <m/>
    <s v="SOLFIN"/>
    <s v="SOLFIN"/>
    <s v="CCMS"/>
    <n v="21382346"/>
    <n v="3974.05"/>
    <m/>
    <s v="N"/>
    <n v="2"/>
    <d v="2023-07-17T19:02:07"/>
    <s v="Y"/>
    <s v="Court Fee"/>
    <s v="Non Family Hourly Rates"/>
    <s v="Non Expert Disbursement"/>
    <s v="HMCTS"/>
    <s v="Y"/>
    <n v="385"/>
    <n v="0"/>
    <x v="8"/>
    <s v="VALIDATED"/>
    <n v="1"/>
    <s v="01.11.80.212.6300.0000"/>
    <n v="385"/>
    <s v="11"/>
    <s v="6300"/>
    <n v="19452.43"/>
    <n v="385"/>
    <s v="CREDITOR"/>
    <n v="0"/>
    <n v="0"/>
    <n v="0"/>
    <n v="0"/>
    <n v="385"/>
  </r>
  <r>
    <n v="62041977"/>
    <s v="N"/>
    <n v="21349408"/>
    <s v="3000016077920002"/>
    <s v="CIVIL"/>
    <d v="2023-06-30T00:00:00"/>
    <d v="2023-07-10T19:01:40"/>
    <m/>
    <d v="2023-07-10T00:00:00"/>
    <n v="181"/>
    <n v="6891"/>
    <s v="62041977"/>
    <s v="62041977"/>
    <m/>
    <m/>
    <n v="22794318"/>
    <m/>
    <m/>
    <m/>
    <s v="SOLINT"/>
    <s v="SOLINT"/>
    <s v="CCMS"/>
    <n v="21349408"/>
    <n v="2839.64"/>
    <m/>
    <s v="N"/>
    <n v="3"/>
    <d v="2023-07-10T19:01:49"/>
    <s v="Y"/>
    <s v="Hearing Unit 2.31 - 5.00 Hours"/>
    <s v="Public Law Children"/>
    <s v="Advocacy"/>
    <s v="SU"/>
    <s v="Y"/>
    <n v="476.92"/>
    <n v="95.38"/>
    <x v="2"/>
    <s v="VALIDATED"/>
    <n v="1"/>
    <s v="01.11.80.308.6100.0000"/>
    <n v="476.92"/>
    <s v="11"/>
    <s v="6100"/>
    <n v="19452.43"/>
    <n v="476.92"/>
    <s v="CREDITOR"/>
    <n v="0"/>
    <n v="0"/>
    <n v="0"/>
    <n v="0"/>
    <n v="476.92"/>
  </r>
  <r>
    <n v="16200400"/>
    <s v="N"/>
    <n v="21327852"/>
    <s v="3000007820060001"/>
    <s v="CIVIL"/>
    <d v="2023-06-23T00:00:00"/>
    <d v="2023-07-04T19:00:44"/>
    <m/>
    <d v="2023-07-04T00:00:00"/>
    <n v="181"/>
    <n v="6891"/>
    <s v="16200400"/>
    <s v="16200400"/>
    <m/>
    <m/>
    <n v="22749524"/>
    <m/>
    <m/>
    <m/>
    <s v="SOLFIN"/>
    <s v="SOLFIN"/>
    <s v="CCMS"/>
    <n v="21327852"/>
    <n v="1087.97"/>
    <m/>
    <s v="N"/>
    <n v="19"/>
    <d v="2023-07-04T19:00:56"/>
    <s v="Y"/>
    <s v="Preparation - other"/>
    <s v="Non Family Hourly Rates"/>
    <s v="Profit Cost"/>
    <s v="MH"/>
    <s v="Y"/>
    <n v="7.16"/>
    <n v="1.43"/>
    <x v="1"/>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24"/>
    <d v="2023-07-04T19:00:56"/>
    <s v="Y"/>
    <s v="Preparation - other"/>
    <s v="Non Family Hourly Rates"/>
    <s v="Profit Cost"/>
    <s v="MH"/>
    <s v="Y"/>
    <n v="7.16"/>
    <n v="1.43"/>
    <x v="1"/>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13"/>
    <d v="2023-07-04T19:00:56"/>
    <s v="Y"/>
    <s v="Preparation - other"/>
    <s v="Non Family Hourly Rates"/>
    <s v="Profit Cost"/>
    <s v="MH"/>
    <s v="Y"/>
    <n v="44.73"/>
    <n v="8.94"/>
    <x v="1"/>
    <s v="VALIDATED"/>
    <n v="1"/>
    <s v="01.11.80.212.6100.0000"/>
    <n v="44.73"/>
    <s v="11"/>
    <s v="6100"/>
    <n v="19452.43"/>
    <n v="44.73"/>
    <s v="CREDITOR"/>
    <n v="0"/>
    <n v="0"/>
    <n v="0"/>
    <n v="0"/>
    <n v="44.73"/>
  </r>
  <r>
    <n v="16200400"/>
    <s v="N"/>
    <n v="21327852"/>
    <s v="3000007820060001"/>
    <s v="CIVIL"/>
    <d v="2023-06-23T00:00:00"/>
    <d v="2023-07-04T19:00:44"/>
    <m/>
    <d v="2023-07-04T00:00:00"/>
    <n v="181"/>
    <n v="6891"/>
    <s v="16200400"/>
    <s v="16200400"/>
    <m/>
    <m/>
    <n v="22749524"/>
    <m/>
    <m/>
    <m/>
    <s v="SOLFIN"/>
    <s v="SOLFIN"/>
    <s v="CCMS"/>
    <n v="21327852"/>
    <n v="1087.97"/>
    <m/>
    <s v="N"/>
    <n v="17"/>
    <d v="2023-07-04T19:00:56"/>
    <s v="Y"/>
    <s v="Preparation - other"/>
    <s v="Non Family Hourly Rates"/>
    <s v="Profit Cost"/>
    <s v="MH"/>
    <s v="Y"/>
    <n v="7.16"/>
    <n v="1.43"/>
    <x v="1"/>
    <s v="VALIDATED"/>
    <n v="1"/>
    <s v="01.11.80.212.6100.0000"/>
    <n v="7.16"/>
    <s v="11"/>
    <s v="6100"/>
    <n v="19452.43"/>
    <n v="7.16"/>
    <s v="CREDITOR"/>
    <n v="0"/>
    <n v="0"/>
    <n v="0"/>
    <n v="0"/>
    <n v="7.16"/>
  </r>
  <r>
    <n v="62115421"/>
    <s v="N"/>
    <n v="21323834"/>
    <s v="3000016110590002"/>
    <s v="CIVIL"/>
    <d v="2023-06-30T00:00:00"/>
    <d v="2023-07-03T19:05:56"/>
    <m/>
    <d v="2023-07-03T00:00:00"/>
    <n v="181"/>
    <n v="6891"/>
    <s v="62115421"/>
    <s v="62115421"/>
    <m/>
    <m/>
    <n v="22800442"/>
    <m/>
    <m/>
    <m/>
    <s v="SOLPOA"/>
    <s v="SOLPOA"/>
    <s v="CCMS"/>
    <n v="21323834"/>
    <n v="1866"/>
    <m/>
    <s v="N"/>
    <n v="1"/>
    <d v="2023-07-03T19:05:59"/>
    <s v="N"/>
    <s v="Profit Cost"/>
    <s v="Profit Cost"/>
    <s v="Profit Cost"/>
    <s v="LAC"/>
    <s v="N"/>
    <n v="1555"/>
    <n v="311"/>
    <x v="3"/>
    <s v="VALIDATED"/>
    <n v="1"/>
    <s v="01.11.80.208.2012.0000"/>
    <n v="1555"/>
    <s v="11"/>
    <s v="2012"/>
    <n v="19452.43"/>
    <n v="1555"/>
    <s v="CREDITOR"/>
    <n v="1555"/>
    <n v="388.75"/>
    <n v="0"/>
    <n v="0"/>
    <n v="0"/>
  </r>
  <r>
    <n v="32909542"/>
    <s v="N"/>
    <n v="21344011"/>
    <s v="3000009741710002"/>
    <s v="CIVIL"/>
    <d v="2023-06-29T00:00:00"/>
    <d v="2023-07-07T19:03:00"/>
    <m/>
    <d v="2023-07-07T00:00:00"/>
    <n v="181"/>
    <n v="6891"/>
    <s v="32909542"/>
    <s v="32909542"/>
    <m/>
    <m/>
    <n v="22784974"/>
    <m/>
    <m/>
    <m/>
    <s v="SOLFIN"/>
    <s v="SOLFIN"/>
    <s v="CCMS"/>
    <n v="21344011"/>
    <n v="1833.19"/>
    <m/>
    <s v="N"/>
    <n v="18"/>
    <d v="2023-07-07T19:03:20"/>
    <s v="Y"/>
    <s v="Preparation - other"/>
    <s v="Non Family Hourly Rates"/>
    <s v="Profit Cost"/>
    <s v="BP"/>
    <s v="Y"/>
    <n v="42.94"/>
    <n v="8.59"/>
    <x v="9"/>
    <s v="VALIDATED"/>
    <n v="1"/>
    <s v="01.11.80.212.6100.0000"/>
    <n v="42.94"/>
    <s v="11"/>
    <s v="6100"/>
    <n v="19452.43"/>
    <n v="42.94"/>
    <s v="CREDITOR"/>
    <n v="0"/>
    <n v="0"/>
    <n v="0"/>
    <n v="0"/>
    <n v="42.94"/>
  </r>
  <r>
    <n v="32909542"/>
    <s v="N"/>
    <n v="21344011"/>
    <s v="3000009741710002"/>
    <s v="CIVIL"/>
    <d v="2023-06-29T00:00:00"/>
    <d v="2023-07-07T19:03:00"/>
    <m/>
    <d v="2023-07-07T00:00:00"/>
    <n v="181"/>
    <n v="6891"/>
    <s v="32909542"/>
    <s v="32909542"/>
    <m/>
    <m/>
    <n v="22784974"/>
    <m/>
    <m/>
    <m/>
    <s v="SOLFIN"/>
    <s v="SOLFIN"/>
    <s v="CCMS"/>
    <n v="21344011"/>
    <n v="1833.19"/>
    <m/>
    <s v="N"/>
    <n v="51"/>
    <d v="2023-07-07T19:03:20"/>
    <s v="Y"/>
    <s v="Routine Telephone Call"/>
    <s v="Non Family Hourly Rates"/>
    <s v="Profit Cost"/>
    <s v="BP"/>
    <s v="Y"/>
    <n v="14.96"/>
    <n v="2.99"/>
    <x v="9"/>
    <s v="VALIDATED"/>
    <n v="1"/>
    <s v="01.11.80.212.6100.0000"/>
    <n v="14.96"/>
    <s v="11"/>
    <s v="6100"/>
    <n v="19452.43"/>
    <n v="14.96"/>
    <s v="CREDITOR"/>
    <n v="0"/>
    <n v="0"/>
    <n v="0"/>
    <n v="0"/>
    <n v="14.96"/>
  </r>
  <r>
    <n v="60218761"/>
    <s v="N"/>
    <n v="21331079"/>
    <s v="3000014528270001"/>
    <s v="CIVIL"/>
    <d v="2023-06-22T00:00:00"/>
    <d v="2023-07-05T19:01:47"/>
    <m/>
    <d v="2023-07-05T00:00:00"/>
    <n v="181"/>
    <n v="6891"/>
    <s v="60218761"/>
    <s v="60218761"/>
    <m/>
    <m/>
    <n v="22746170"/>
    <m/>
    <m/>
    <m/>
    <s v="SOLFIN"/>
    <s v="SOLFIN"/>
    <s v="CCMS"/>
    <n v="21331079"/>
    <n v="455.82"/>
    <m/>
    <s v="N"/>
    <n v="10"/>
    <d v="2023-07-05T19:02:05"/>
    <s v="Y"/>
    <s v="Preparation - drafting bill/claim f"/>
    <s v="Non Family Hourly Rates"/>
    <s v="Profit Cost"/>
    <s v="RC"/>
    <s v="Y"/>
    <n v="14.31"/>
    <n v="2.86"/>
    <x v="6"/>
    <s v="VALIDATED"/>
    <n v="1"/>
    <s v="01.11.80.212.6100.0000"/>
    <n v="14.31"/>
    <s v="11"/>
    <s v="6100"/>
    <n v="19452.43"/>
    <n v="14.31"/>
    <s v="CREDITOR"/>
    <n v="0"/>
    <n v="0"/>
    <n v="0"/>
    <n v="0"/>
    <n v="14.31"/>
  </r>
  <r>
    <n v="16200400"/>
    <s v="N"/>
    <n v="21327852"/>
    <s v="3000007820060001"/>
    <s v="CIVIL"/>
    <d v="2023-06-23T00:00:00"/>
    <d v="2023-07-04T19:00:44"/>
    <m/>
    <d v="2023-07-04T00:00:00"/>
    <n v="181"/>
    <n v="6891"/>
    <s v="16200400"/>
    <s v="16200400"/>
    <m/>
    <m/>
    <n v="22749524"/>
    <m/>
    <m/>
    <m/>
    <s v="SOLFIN"/>
    <s v="SOLFIN"/>
    <s v="CCMS"/>
    <n v="21327852"/>
    <n v="1087.97"/>
    <m/>
    <s v="N"/>
    <n v="34"/>
    <d v="2023-07-04T19:00:56"/>
    <s v="Y"/>
    <s v="Preparation - other"/>
    <s v="Non Family Hourly Rates"/>
    <s v="Profit Cost"/>
    <s v="MH"/>
    <s v="Y"/>
    <n v="14.31"/>
    <n v="2.86"/>
    <x v="1"/>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48"/>
    <d v="2023-07-19T19:02:27"/>
    <s v="Y"/>
    <s v="Attendance upon other"/>
    <s v="Non Family Hourly Rates"/>
    <s v="Profit Cost"/>
    <s v="BP 2"/>
    <s v="Y"/>
    <n v="14.31"/>
    <n v="2.86"/>
    <x v="5"/>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22"/>
    <d v="2023-07-19T19:02:27"/>
    <s v="Y"/>
    <s v="Preparation - other"/>
    <s v="Non Family Hourly Rates"/>
    <s v="Profit Cost"/>
    <s v="BP 2"/>
    <s v="Y"/>
    <n v="7.16"/>
    <n v="1.43"/>
    <x v="5"/>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14"/>
    <d v="2023-07-07T19:03:20"/>
    <s v="Y"/>
    <s v="Preparation - other"/>
    <s v="Non Family Hourly Rates"/>
    <s v="Profit Cost"/>
    <s v="BP 2"/>
    <s v="Y"/>
    <n v="28.62"/>
    <n v="5.72"/>
    <x v="9"/>
    <s v="VALIDATED"/>
    <n v="1"/>
    <s v="01.11.80.212.6100.0000"/>
    <n v="28.62"/>
    <s v="11"/>
    <s v="6100"/>
    <n v="19452.43"/>
    <n v="28.62"/>
    <s v="CREDITOR"/>
    <n v="0"/>
    <n v="0"/>
    <n v="0"/>
    <n v="0"/>
    <n v="28.62"/>
  </r>
  <r>
    <n v="60218761"/>
    <s v="N"/>
    <n v="21331079"/>
    <s v="3000014528270001"/>
    <s v="CIVIL"/>
    <d v="2023-06-22T00:00:00"/>
    <d v="2023-07-05T19:01:47"/>
    <m/>
    <d v="2023-07-05T00:00:00"/>
    <n v="181"/>
    <n v="6891"/>
    <s v="60218761"/>
    <s v="60218761"/>
    <m/>
    <m/>
    <n v="22746170"/>
    <m/>
    <m/>
    <m/>
    <s v="SOLFIN"/>
    <s v="SOLFIN"/>
    <s v="CCMS"/>
    <n v="21331079"/>
    <n v="455.82"/>
    <m/>
    <s v="N"/>
    <n v="8"/>
    <d v="2023-07-05T19:02:05"/>
    <s v="Y"/>
    <s v="Preparation - drafting bill/claim f"/>
    <s v="Non Family Hourly Rates"/>
    <s v="Profit Cost"/>
    <s v="JMP"/>
    <s v="Y"/>
    <n v="71.55"/>
    <n v="14.31"/>
    <x v="6"/>
    <s v="VALIDATED"/>
    <n v="1"/>
    <s v="01.11.80.212.6100.0000"/>
    <n v="71.55"/>
    <s v="11"/>
    <s v="6100"/>
    <n v="19452.43"/>
    <n v="71.55"/>
    <s v="CREDITOR"/>
    <n v="0"/>
    <n v="0"/>
    <n v="0"/>
    <n v="0"/>
    <n v="71.55"/>
  </r>
  <r>
    <n v="16200400"/>
    <s v="N"/>
    <n v="21327852"/>
    <s v="3000007820060001"/>
    <s v="CIVIL"/>
    <d v="2023-06-23T00:00:00"/>
    <d v="2023-07-04T19:00:44"/>
    <m/>
    <d v="2023-07-04T00:00:00"/>
    <n v="181"/>
    <n v="6891"/>
    <s v="16200400"/>
    <s v="16200400"/>
    <m/>
    <m/>
    <n v="22749524"/>
    <m/>
    <m/>
    <m/>
    <s v="SOLFIN"/>
    <s v="SOLFIN"/>
    <s v="CCMS"/>
    <n v="21327852"/>
    <n v="1087.97"/>
    <m/>
    <s v="N"/>
    <n v="25"/>
    <d v="2023-07-04T19:00:56"/>
    <s v="Y"/>
    <s v="Preparation - other"/>
    <s v="Non Family Hourly Rates"/>
    <s v="Profit Cost"/>
    <s v="MH"/>
    <s v="Y"/>
    <n v="14.31"/>
    <n v="2.86"/>
    <x v="1"/>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41"/>
    <d v="2023-07-19T19:02:27"/>
    <s v="Y"/>
    <s v="Preparation - other"/>
    <s v="Non Family Hourly Rates"/>
    <s v="Profit Cost"/>
    <s v="BP"/>
    <s v="Y"/>
    <n v="17.89"/>
    <n v="3.58"/>
    <x v="5"/>
    <s v="VALIDATED"/>
    <n v="1"/>
    <s v="01.11.80.212.6100.0000"/>
    <n v="17.89"/>
    <s v="11"/>
    <s v="6100"/>
    <n v="19452.43"/>
    <n v="17.89"/>
    <s v="CREDITOR"/>
    <n v="0"/>
    <n v="0"/>
    <n v="0"/>
    <n v="0"/>
    <n v="17.89"/>
  </r>
  <r>
    <n v="32909542"/>
    <s v="N"/>
    <n v="21344011"/>
    <s v="3000009741710002"/>
    <s v="CIVIL"/>
    <d v="2023-06-29T00:00:00"/>
    <d v="2023-07-07T19:03:00"/>
    <m/>
    <d v="2023-07-07T00:00:00"/>
    <n v="181"/>
    <n v="6891"/>
    <s v="32909542"/>
    <s v="32909542"/>
    <m/>
    <m/>
    <n v="22784974"/>
    <m/>
    <m/>
    <m/>
    <s v="SOLFIN"/>
    <s v="SOLFIN"/>
    <s v="CCMS"/>
    <n v="21344011"/>
    <n v="1833.19"/>
    <m/>
    <s v="N"/>
    <n v="22"/>
    <d v="2023-07-07T19:03:20"/>
    <s v="Y"/>
    <s v="Preparation - other"/>
    <s v="Non Family Hourly Rates"/>
    <s v="Profit Cost"/>
    <s v="RC"/>
    <s v="Y"/>
    <n v="21.47"/>
    <n v="4.29"/>
    <x v="9"/>
    <s v="VALIDATED"/>
    <n v="1"/>
    <s v="01.11.80.212.6100.0000"/>
    <n v="21.47"/>
    <s v="11"/>
    <s v="6100"/>
    <n v="19452.43"/>
    <n v="21.47"/>
    <s v="CREDITOR"/>
    <n v="0"/>
    <n v="0"/>
    <n v="0"/>
    <n v="0"/>
    <n v="21.47"/>
  </r>
  <r>
    <n v="32909542"/>
    <s v="N"/>
    <n v="21344011"/>
    <s v="3000009741710002"/>
    <s v="CIVIL"/>
    <d v="2023-06-29T00:00:00"/>
    <d v="2023-07-07T19:03:00"/>
    <m/>
    <d v="2023-07-07T00:00:00"/>
    <n v="181"/>
    <n v="6891"/>
    <s v="32909542"/>
    <s v="32909542"/>
    <m/>
    <m/>
    <n v="22784974"/>
    <m/>
    <m/>
    <m/>
    <s v="SOLFIN"/>
    <s v="SOLFIN"/>
    <s v="CCMS"/>
    <n v="21344011"/>
    <n v="1833.19"/>
    <m/>
    <s v="N"/>
    <n v="17"/>
    <d v="2023-07-07T19:03:20"/>
    <s v="Y"/>
    <s v="Preparation - other"/>
    <s v="Non Family Hourly Rates"/>
    <s v="Profit Cost"/>
    <s v="RC"/>
    <s v="Y"/>
    <n v="21.47"/>
    <n v="4.29"/>
    <x v="9"/>
    <s v="VALIDATED"/>
    <n v="1"/>
    <s v="01.11.80.212.6100.0000"/>
    <n v="21.47"/>
    <s v="11"/>
    <s v="6100"/>
    <n v="19452.43"/>
    <n v="21.47"/>
    <s v="CREDITOR"/>
    <n v="0"/>
    <n v="0"/>
    <n v="0"/>
    <n v="0"/>
    <n v="21.47"/>
  </r>
  <r>
    <n v="16200400"/>
    <s v="N"/>
    <n v="21327852"/>
    <s v="3000007820060001"/>
    <s v="CIVIL"/>
    <d v="2023-06-23T00:00:00"/>
    <d v="2023-07-04T19:00:44"/>
    <m/>
    <d v="2023-07-04T00:00:00"/>
    <n v="181"/>
    <n v="6891"/>
    <s v="16200400"/>
    <s v="16200400"/>
    <m/>
    <m/>
    <n v="22749524"/>
    <m/>
    <m/>
    <m/>
    <s v="SOLFIN"/>
    <s v="SOLFIN"/>
    <s v="CCMS"/>
    <n v="21327852"/>
    <n v="1087.97"/>
    <m/>
    <s v="N"/>
    <n v="18"/>
    <d v="2023-07-04T19:00:56"/>
    <s v="Y"/>
    <s v="Preparation - other"/>
    <s v="Non Family Hourly Rates"/>
    <s v="Profit Cost"/>
    <s v="MH"/>
    <s v="Y"/>
    <n v="7.16"/>
    <n v="1.43"/>
    <x v="1"/>
    <s v="VALIDATED"/>
    <n v="1"/>
    <s v="01.11.80.212.6100.0000"/>
    <n v="7.16"/>
    <s v="11"/>
    <s v="6100"/>
    <n v="19452.43"/>
    <n v="7.16"/>
    <s v="CREDITOR"/>
    <n v="0"/>
    <n v="0"/>
    <n v="0"/>
    <n v="0"/>
    <n v="7.16"/>
  </r>
  <r>
    <n v="32882543"/>
    <s v="N"/>
    <n v="21395454"/>
    <s v="3000009753710001"/>
    <s v="CIVIL"/>
    <d v="2023-06-29T00:00:00"/>
    <d v="2023-07-19T19:02:01"/>
    <m/>
    <d v="2023-07-19T00:00:00"/>
    <n v="181"/>
    <n v="6891"/>
    <s v="32882543"/>
    <s v="32882543"/>
    <m/>
    <m/>
    <n v="22784976"/>
    <m/>
    <m/>
    <m/>
    <s v="SOLFIN"/>
    <s v="SOLFIN"/>
    <s v="CCMS"/>
    <n v="21395454"/>
    <n v="1620.05"/>
    <m/>
    <s v="N"/>
    <n v="3"/>
    <d v="2023-07-19T19:02:27"/>
    <s v="Y"/>
    <s v="Preparation - other"/>
    <s v="Non Family Hourly Rates"/>
    <s v="Profit Cost"/>
    <s v="RC"/>
    <s v="Y"/>
    <n v="6.48"/>
    <n v="1.3"/>
    <x v="5"/>
    <s v="VALIDATED"/>
    <n v="1"/>
    <s v="01.11.80.212.6100.0000"/>
    <n v="6.48"/>
    <s v="11"/>
    <s v="6100"/>
    <n v="19452.43"/>
    <n v="6.48"/>
    <s v="CREDITOR"/>
    <n v="0"/>
    <n v="0"/>
    <n v="0"/>
    <n v="0"/>
    <n v="6.48"/>
  </r>
  <r>
    <n v="32909542"/>
    <s v="N"/>
    <n v="21344011"/>
    <s v="3000009741710002"/>
    <s v="CIVIL"/>
    <d v="2023-06-29T00:00:00"/>
    <d v="2023-07-07T19:03:00"/>
    <m/>
    <d v="2023-07-07T00:00:00"/>
    <n v="181"/>
    <n v="6891"/>
    <s v="32909542"/>
    <s v="32909542"/>
    <m/>
    <m/>
    <n v="22784974"/>
    <m/>
    <m/>
    <m/>
    <s v="SOLFIN"/>
    <s v="SOLFIN"/>
    <s v="CCMS"/>
    <n v="21344011"/>
    <n v="1833.19"/>
    <m/>
    <s v="N"/>
    <n v="1"/>
    <d v="2023-07-07T19:03:20"/>
    <s v="Y"/>
    <s v="Attendance upon client"/>
    <s v="Non Family Hourly Rates"/>
    <s v="Profit Cost"/>
    <s v="BP"/>
    <s v="Y"/>
    <n v="17.17"/>
    <n v="3.43"/>
    <x v="9"/>
    <s v="VALIDATED"/>
    <n v="1"/>
    <s v="01.11.80.212.6100.0000"/>
    <n v="17.17"/>
    <s v="11"/>
    <s v="6100"/>
    <n v="19452.43"/>
    <n v="17.17"/>
    <s v="CREDITOR"/>
    <n v="0"/>
    <n v="0"/>
    <n v="0"/>
    <n v="0"/>
    <n v="17.17"/>
  </r>
  <r>
    <n v="32909542"/>
    <s v="N"/>
    <n v="21344011"/>
    <s v="3000009741710002"/>
    <s v="CIVIL"/>
    <d v="2023-06-29T00:00:00"/>
    <d v="2023-07-07T19:03:00"/>
    <m/>
    <d v="2023-07-07T00:00:00"/>
    <n v="181"/>
    <n v="6891"/>
    <s v="32909542"/>
    <s v="32909542"/>
    <m/>
    <m/>
    <n v="22784974"/>
    <m/>
    <m/>
    <m/>
    <s v="SOLFIN"/>
    <s v="SOLFIN"/>
    <s v="CCMS"/>
    <n v="21344011"/>
    <n v="1833.19"/>
    <m/>
    <s v="N"/>
    <n v="26"/>
    <d v="2023-07-07T19:03:20"/>
    <s v="Y"/>
    <s v="Attendance upon/with Counsel at Con"/>
    <s v="Non Family Hourly Rates"/>
    <s v="Profit Cost"/>
    <s v="RC"/>
    <s v="Y"/>
    <n v="16.65"/>
    <n v="3.33"/>
    <x v="9"/>
    <s v="VALIDATED"/>
    <n v="1"/>
    <s v="01.11.80.212.6100.0000"/>
    <n v="16.65"/>
    <s v="11"/>
    <s v="6100"/>
    <n v="19452.43"/>
    <n v="16.65"/>
    <s v="CREDITOR"/>
    <n v="0"/>
    <n v="0"/>
    <n v="0"/>
    <n v="0"/>
    <n v="16.65"/>
  </r>
  <r>
    <n v="60218761"/>
    <s v="N"/>
    <n v="21331079"/>
    <s v="3000014528270001"/>
    <s v="CIVIL"/>
    <d v="2023-06-22T00:00:00"/>
    <d v="2023-07-05T19:01:47"/>
    <m/>
    <d v="2023-07-05T00:00:00"/>
    <n v="181"/>
    <n v="6891"/>
    <s v="60218761"/>
    <s v="60218761"/>
    <m/>
    <m/>
    <n v="22746170"/>
    <m/>
    <m/>
    <m/>
    <s v="SOLFIN"/>
    <s v="SOLFIN"/>
    <s v="CCMS"/>
    <n v="21331079"/>
    <n v="455.82"/>
    <m/>
    <s v="N"/>
    <n v="9"/>
    <d v="2023-07-05T19:02:05"/>
    <s v="Y"/>
    <s v="Preparation - other"/>
    <s v="Non Family Hourly Rates"/>
    <s v="Profit Cost"/>
    <s v="JG"/>
    <s v="Y"/>
    <n v="35.78"/>
    <n v="7.16"/>
    <x v="6"/>
    <s v="VALIDATED"/>
    <n v="1"/>
    <s v="01.11.80.212.6100.0000"/>
    <n v="35.78"/>
    <s v="11"/>
    <s v="6100"/>
    <n v="19452.43"/>
    <n v="35.78"/>
    <s v="CREDITOR"/>
    <n v="0"/>
    <n v="0"/>
    <n v="0"/>
    <n v="0"/>
    <n v="35.78"/>
  </r>
  <r>
    <n v="16200400"/>
    <s v="N"/>
    <n v="21327852"/>
    <s v="3000007820060001"/>
    <s v="CIVIL"/>
    <d v="2023-06-23T00:00:00"/>
    <d v="2023-07-04T19:00:44"/>
    <m/>
    <d v="2023-07-04T00:00:00"/>
    <n v="181"/>
    <n v="6891"/>
    <s v="16200400"/>
    <s v="16200400"/>
    <m/>
    <m/>
    <n v="22749524"/>
    <m/>
    <m/>
    <m/>
    <s v="SOLFIN"/>
    <s v="SOLFIN"/>
    <s v="CCMS"/>
    <n v="21327852"/>
    <n v="1087.97"/>
    <m/>
    <s v="N"/>
    <n v="32"/>
    <d v="2023-07-04T19:00:56"/>
    <s v="Y"/>
    <s v="Preparation - other"/>
    <s v="Non Family Hourly Rates"/>
    <s v="Profit Cost"/>
    <s v="WO"/>
    <s v="Y"/>
    <n v="21.47"/>
    <n v="4.29"/>
    <x v="1"/>
    <s v="VALIDATED"/>
    <n v="1"/>
    <s v="01.11.80.212.6100.0000"/>
    <n v="21.47"/>
    <s v="11"/>
    <s v="6100"/>
    <n v="19452.43"/>
    <n v="21.47"/>
    <s v="CREDITOR"/>
    <n v="0"/>
    <n v="0"/>
    <n v="0"/>
    <n v="0"/>
    <n v="21.47"/>
  </r>
  <r>
    <n v="60943430"/>
    <s v="N"/>
    <n v="21320324"/>
    <s v="3000015153470004"/>
    <s v="CIVIL"/>
    <d v="2023-06-28T00:00:00"/>
    <d v="2023-07-03T19:04:52"/>
    <m/>
    <d v="2023-07-03T00:00:00"/>
    <n v="181"/>
    <n v="6891"/>
    <s v="60943430"/>
    <s v="60943430"/>
    <m/>
    <m/>
    <n v="22780802"/>
    <m/>
    <m/>
    <m/>
    <s v="SOLPOA"/>
    <s v="SOLPOA"/>
    <s v="CCMS"/>
    <n v="21320324"/>
    <n v="60"/>
    <m/>
    <s v="N"/>
    <n v="1"/>
    <d v="2023-07-03T19:04:53"/>
    <s v="N"/>
    <s v="Expert Cost"/>
    <s v="Expert Cost"/>
    <s v="Expert Disbursement"/>
    <s v="GLOBAL"/>
    <s v="N"/>
    <n v="50"/>
    <n v="10"/>
    <x v="3"/>
    <s v="VALIDATED"/>
    <n v="1"/>
    <s v="01.11.80.208.2012.0000"/>
    <n v="50"/>
    <s v="11"/>
    <s v="2012"/>
    <n v="19452.43"/>
    <n v="50"/>
    <s v="CREDITOR"/>
    <n v="50"/>
    <n v="0"/>
    <n v="0"/>
    <n v="0"/>
    <n v="0"/>
  </r>
  <r>
    <n v="7915578"/>
    <s v="N"/>
    <n v="21382346"/>
    <s v="3000004032790008"/>
    <s v="CIVIL"/>
    <d v="2023-06-29T00:00:00"/>
    <d v="2023-07-17T19:01:46"/>
    <m/>
    <d v="2023-07-17T00:00:00"/>
    <n v="181"/>
    <n v="6891"/>
    <s v="7915578"/>
    <s v="7915578"/>
    <m/>
    <m/>
    <n v="22788488"/>
    <m/>
    <m/>
    <m/>
    <s v="SOLFIN"/>
    <s v="SOLFIN"/>
    <s v="CCMS"/>
    <n v="21382346"/>
    <n v="3974.05"/>
    <m/>
    <s v="N"/>
    <n v="3"/>
    <d v="2023-07-17T19:02:07"/>
    <s v="Y"/>
    <s v="Court Fee"/>
    <s v="Non Family Hourly Rates"/>
    <s v="Non Expert Disbursement"/>
    <s v="HMCTS"/>
    <s v="Y"/>
    <n v="154"/>
    <n v="0"/>
    <x v="8"/>
    <s v="VALIDATED"/>
    <n v="1"/>
    <s v="01.11.80.212.6300.0000"/>
    <n v="154"/>
    <s v="11"/>
    <s v="6300"/>
    <n v="19452.43"/>
    <n v="154"/>
    <s v="CREDITOR"/>
    <n v="0"/>
    <n v="0"/>
    <n v="0"/>
    <n v="0"/>
    <n v="154"/>
  </r>
  <r>
    <n v="32882543"/>
    <s v="N"/>
    <n v="21395454"/>
    <s v="3000009753710001"/>
    <s v="CIVIL"/>
    <d v="2023-06-29T00:00:00"/>
    <d v="2023-07-19T19:02:01"/>
    <m/>
    <d v="2023-07-19T00:00:00"/>
    <n v="181"/>
    <n v="6891"/>
    <s v="32882543"/>
    <s v="32882543"/>
    <m/>
    <m/>
    <n v="22784976"/>
    <m/>
    <m/>
    <m/>
    <s v="SOLFIN"/>
    <s v="SOLFIN"/>
    <s v="CCMS"/>
    <n v="21395454"/>
    <n v="1620.05"/>
    <m/>
    <s v="N"/>
    <n v="42"/>
    <d v="2023-07-19T19:02:27"/>
    <s v="Y"/>
    <s v="Attendance upon client"/>
    <s v="Non Family Hourly Rates"/>
    <s v="Profit Cost"/>
    <s v="RC"/>
    <s v="Y"/>
    <n v="10.73"/>
    <n v="2.15"/>
    <x v="5"/>
    <s v="VALIDATED"/>
    <n v="1"/>
    <s v="01.11.80.212.6100.0000"/>
    <n v="10.73"/>
    <s v="11"/>
    <s v="6100"/>
    <n v="19452.43"/>
    <n v="10.73"/>
    <s v="CREDITOR"/>
    <n v="0"/>
    <n v="0"/>
    <n v="0"/>
    <n v="0"/>
    <n v="10.73"/>
  </r>
  <r>
    <n v="32882543"/>
    <s v="N"/>
    <n v="21395454"/>
    <s v="3000009753710001"/>
    <s v="CIVIL"/>
    <d v="2023-06-29T00:00:00"/>
    <d v="2023-07-19T19:02:01"/>
    <m/>
    <d v="2023-07-19T00:00:00"/>
    <n v="181"/>
    <n v="6891"/>
    <s v="32882543"/>
    <s v="32882543"/>
    <m/>
    <m/>
    <n v="22784976"/>
    <m/>
    <m/>
    <m/>
    <s v="SOLFIN"/>
    <s v="SOLFIN"/>
    <s v="CCMS"/>
    <n v="21395454"/>
    <n v="1620.05"/>
    <m/>
    <s v="N"/>
    <n v="55"/>
    <d v="2023-07-19T19:02:27"/>
    <s v="Y"/>
    <s v="Preparation - drafting bill/claim f"/>
    <s v="Non Family Hourly Rates"/>
    <s v="Profit Cost"/>
    <s v="BP 2"/>
    <s v="Y"/>
    <n v="107.33"/>
    <n v="21.47"/>
    <x v="5"/>
    <s v="VALIDATED"/>
    <n v="1"/>
    <s v="01.11.80.212.6100.0000"/>
    <n v="107.33"/>
    <s v="11"/>
    <s v="6100"/>
    <n v="19452.43"/>
    <n v="107.33"/>
    <s v="CREDITOR"/>
    <n v="0"/>
    <n v="0"/>
    <n v="0"/>
    <n v="0"/>
    <n v="107.33"/>
  </r>
  <r>
    <n v="32909542"/>
    <s v="N"/>
    <n v="21344011"/>
    <s v="3000009741710002"/>
    <s v="CIVIL"/>
    <d v="2023-06-29T00:00:00"/>
    <d v="2023-07-07T19:03:00"/>
    <m/>
    <d v="2023-07-07T00:00:00"/>
    <n v="181"/>
    <n v="6891"/>
    <s v="32909542"/>
    <s v="32909542"/>
    <m/>
    <m/>
    <n v="22784974"/>
    <m/>
    <m/>
    <m/>
    <s v="SOLFIN"/>
    <s v="SOLFIN"/>
    <s v="CCMS"/>
    <n v="21344011"/>
    <n v="1833.19"/>
    <m/>
    <s v="N"/>
    <n v="49"/>
    <d v="2023-07-07T19:03:20"/>
    <s v="Y"/>
    <s v="Preparation - other"/>
    <s v="Non Family Hourly Rates"/>
    <s v="Profit Cost"/>
    <s v="BP 2"/>
    <s v="Y"/>
    <n v="7.16"/>
    <n v="1.43"/>
    <x v="9"/>
    <s v="VALIDATED"/>
    <n v="1"/>
    <s v="01.11.80.212.6100.0000"/>
    <n v="7.16"/>
    <s v="11"/>
    <s v="6100"/>
    <n v="19452.43"/>
    <n v="7.16"/>
    <s v="CREDITOR"/>
    <n v="0"/>
    <n v="0"/>
    <n v="0"/>
    <n v="0"/>
    <n v="7.16"/>
  </r>
  <r>
    <n v="32909542"/>
    <s v="N"/>
    <n v="21344011"/>
    <s v="3000009741710002"/>
    <s v="CIVIL"/>
    <d v="2023-06-29T00:00:00"/>
    <d v="2023-07-07T19:03:00"/>
    <m/>
    <d v="2023-07-07T00:00:00"/>
    <n v="181"/>
    <n v="6891"/>
    <s v="32909542"/>
    <s v="32909542"/>
    <m/>
    <m/>
    <n v="22784974"/>
    <m/>
    <m/>
    <m/>
    <s v="SOLFIN"/>
    <s v="SOLFIN"/>
    <s v="CCMS"/>
    <n v="21344011"/>
    <n v="1833.19"/>
    <m/>
    <s v="N"/>
    <n v="24"/>
    <d v="2023-07-07T19:03:20"/>
    <s v="Y"/>
    <s v="Preparation - drafting statement"/>
    <s v="Non Family Hourly Rates"/>
    <s v="Profit Cost"/>
    <s v="RC"/>
    <s v="Y"/>
    <n v="128.8"/>
    <n v="25.76"/>
    <x v="9"/>
    <s v="VALIDATED"/>
    <n v="1"/>
    <s v="01.11.80.212.6100.0000"/>
    <n v="128.8"/>
    <s v="11"/>
    <s v="6100"/>
    <n v="19452.43"/>
    <n v="128.8"/>
    <s v="CREDITOR"/>
    <n v="0"/>
    <n v="0"/>
    <n v="0"/>
    <n v="0"/>
    <n v="128.8"/>
  </r>
  <r>
    <n v="32909542"/>
    <s v="N"/>
    <n v="21344011"/>
    <s v="3000009741710002"/>
    <s v="CIVIL"/>
    <d v="2023-06-29T00:00:00"/>
    <d v="2023-07-07T19:03:00"/>
    <m/>
    <d v="2023-07-07T00:00:00"/>
    <n v="181"/>
    <n v="6891"/>
    <s v="32909542"/>
    <s v="32909542"/>
    <m/>
    <m/>
    <n v="22784974"/>
    <m/>
    <m/>
    <m/>
    <s v="SOLFIN"/>
    <s v="SOLFIN"/>
    <s v="CCMS"/>
    <n v="21344011"/>
    <n v="1833.19"/>
    <m/>
    <s v="N"/>
    <n v="40"/>
    <d v="2023-07-07T19:03:20"/>
    <s v="Y"/>
    <s v="Attendance upon client"/>
    <s v="Non Family Hourly Rates"/>
    <s v="Profit Cost"/>
    <s v="RC"/>
    <s v="Y"/>
    <n v="12.88"/>
    <n v="2.58"/>
    <x v="9"/>
    <s v="VALIDATED"/>
    <n v="1"/>
    <s v="01.11.80.212.6100.0000"/>
    <n v="12.88"/>
    <s v="11"/>
    <s v="6100"/>
    <n v="19452.43"/>
    <n v="12.88"/>
    <s v="CREDITOR"/>
    <n v="0"/>
    <n v="0"/>
    <n v="0"/>
    <n v="0"/>
    <n v="12.88"/>
  </r>
  <r>
    <n v="16200400"/>
    <s v="N"/>
    <n v="21327852"/>
    <s v="3000007820060001"/>
    <s v="CIVIL"/>
    <d v="2023-06-23T00:00:00"/>
    <d v="2023-07-04T19:00:44"/>
    <m/>
    <d v="2023-07-04T00:00:00"/>
    <n v="181"/>
    <n v="6891"/>
    <s v="16200400"/>
    <s v="16200400"/>
    <m/>
    <m/>
    <n v="22749524"/>
    <m/>
    <m/>
    <m/>
    <s v="SOLFIN"/>
    <s v="SOLFIN"/>
    <s v="CCMS"/>
    <n v="21327852"/>
    <n v="1087.97"/>
    <m/>
    <s v="N"/>
    <n v="22"/>
    <d v="2023-07-04T19:00:56"/>
    <s v="Y"/>
    <s v="Preparation - other"/>
    <s v="Non Family Hourly Rates"/>
    <s v="Profit Cost"/>
    <s v="MH"/>
    <s v="Y"/>
    <n v="14.31"/>
    <n v="2.86"/>
    <x v="1"/>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51"/>
    <d v="2023-07-19T19:02:27"/>
    <s v="Y"/>
    <s v="Preparation - other"/>
    <s v="Non Family Hourly Rates"/>
    <s v="Profit Cost"/>
    <s v="BP 2"/>
    <s v="Y"/>
    <n v="7.16"/>
    <n v="1.43"/>
    <x v="5"/>
    <s v="VALIDATED"/>
    <n v="1"/>
    <s v="01.11.80.212.6100.0000"/>
    <n v="7.16"/>
    <s v="11"/>
    <s v="6100"/>
    <n v="19452.43"/>
    <n v="7.16"/>
    <s v="CREDITOR"/>
    <n v="0"/>
    <n v="0"/>
    <n v="0"/>
    <n v="0"/>
    <n v="7.16"/>
  </r>
  <r>
    <n v="32882543"/>
    <s v="N"/>
    <n v="21395454"/>
    <s v="3000009753710001"/>
    <s v="CIVIL"/>
    <d v="2023-06-29T00:00:00"/>
    <d v="2023-07-19T19:02:01"/>
    <m/>
    <d v="2023-07-19T00:00:00"/>
    <n v="181"/>
    <n v="6891"/>
    <s v="32882543"/>
    <s v="32882543"/>
    <m/>
    <m/>
    <n v="22784976"/>
    <m/>
    <m/>
    <m/>
    <s v="SOLFIN"/>
    <s v="SOLFIN"/>
    <s v="CCMS"/>
    <n v="21395454"/>
    <n v="1620.05"/>
    <m/>
    <s v="N"/>
    <n v="15"/>
    <d v="2023-07-19T19:02:27"/>
    <s v="Y"/>
    <s v="Preparation - other"/>
    <s v="Non Family Hourly Rates"/>
    <s v="Profit Cost"/>
    <s v="RC"/>
    <s v="Y"/>
    <n v="35.78"/>
    <n v="7.16"/>
    <x v="5"/>
    <s v="VALIDATED"/>
    <n v="1"/>
    <s v="01.11.80.212.6100.0000"/>
    <n v="35.78"/>
    <s v="11"/>
    <s v="6100"/>
    <n v="19452.43"/>
    <n v="35.78"/>
    <s v="CREDITOR"/>
    <n v="0"/>
    <n v="0"/>
    <n v="0"/>
    <n v="0"/>
    <n v="35.78"/>
  </r>
  <r>
    <n v="32882543"/>
    <s v="N"/>
    <n v="21395454"/>
    <s v="3000009753710001"/>
    <s v="CIVIL"/>
    <d v="2023-06-29T00:00:00"/>
    <d v="2023-07-19T19:02:01"/>
    <m/>
    <d v="2023-07-19T00:00:00"/>
    <n v="181"/>
    <n v="6891"/>
    <s v="32882543"/>
    <s v="32882543"/>
    <m/>
    <m/>
    <n v="22784976"/>
    <m/>
    <m/>
    <m/>
    <s v="SOLFIN"/>
    <s v="SOLFIN"/>
    <s v="CCMS"/>
    <n v="21395454"/>
    <n v="1620.05"/>
    <m/>
    <s v="N"/>
    <n v="17"/>
    <d v="2023-07-19T19:02:27"/>
    <s v="Y"/>
    <s v="Preparation - other"/>
    <s v="Non Family Hourly Rates"/>
    <s v="Profit Cost"/>
    <s v="BP 2"/>
    <s v="Y"/>
    <n v="3.58"/>
    <n v="0.72"/>
    <x v="5"/>
    <s v="VALIDATED"/>
    <n v="1"/>
    <s v="01.11.80.212.6100.0000"/>
    <n v="3.58"/>
    <s v="11"/>
    <s v="6100"/>
    <n v="19452.43"/>
    <n v="3.58"/>
    <s v="CREDITOR"/>
    <n v="0"/>
    <n v="0"/>
    <n v="0"/>
    <n v="0"/>
    <n v="3.58"/>
  </r>
  <r>
    <n v="42254849"/>
    <s v="N"/>
    <n v="21344076"/>
    <s v="3000010809500017"/>
    <s v="CIVIL"/>
    <d v="2023-06-29T00:00:00"/>
    <d v="2023-07-07T19:03:00"/>
    <m/>
    <d v="2023-07-07T00:00:00"/>
    <n v="181"/>
    <n v="6891"/>
    <s v="42254849"/>
    <s v="42254849"/>
    <m/>
    <m/>
    <n v="22786054"/>
    <m/>
    <m/>
    <m/>
    <s v="SOLFIN"/>
    <s v="SOLFIN"/>
    <s v="CCMS"/>
    <n v="21344076"/>
    <n v="16655.86"/>
    <m/>
    <s v="N"/>
    <n v="4"/>
    <d v="2023-07-07T19:03:22"/>
    <s v="Y"/>
    <s v="Profit Costs (Summary)"/>
    <s v="Private Law Children"/>
    <s v="Profit Cost"/>
    <s v="CT"/>
    <s v="Y"/>
    <n v="12060.86"/>
    <n v="2412.17"/>
    <x v="9"/>
    <s v="VALIDATED"/>
    <n v="1"/>
    <s v="01.11.80.307.6100.0000"/>
    <n v="12060.86"/>
    <s v="11"/>
    <s v="6100"/>
    <n v="19452.43"/>
    <n v="12060.86"/>
    <s v="CREDITOR"/>
    <n v="0"/>
    <n v="0"/>
    <n v="0"/>
    <n v="0"/>
    <n v="12060.86"/>
  </r>
  <r>
    <n v="32909542"/>
    <s v="N"/>
    <n v="21344011"/>
    <s v="3000009741710002"/>
    <s v="CIVIL"/>
    <d v="2023-06-29T00:00:00"/>
    <d v="2023-07-07T19:03:00"/>
    <m/>
    <d v="2023-07-07T00:00:00"/>
    <n v="181"/>
    <n v="6891"/>
    <s v="32909542"/>
    <s v="32909542"/>
    <m/>
    <m/>
    <n v="22784974"/>
    <m/>
    <m/>
    <m/>
    <s v="SOLFIN"/>
    <s v="SOLFIN"/>
    <s v="CCMS"/>
    <n v="21344011"/>
    <n v="1833.19"/>
    <m/>
    <s v="N"/>
    <n v="3"/>
    <d v="2023-07-07T19:03:20"/>
    <s v="Y"/>
    <s v="Preparation - other"/>
    <s v="Non Family Hourly Rates"/>
    <s v="Profit Cost"/>
    <s v="BP"/>
    <s v="Y"/>
    <n v="12.88"/>
    <n v="2.58"/>
    <x v="9"/>
    <s v="VALIDATED"/>
    <n v="1"/>
    <s v="01.11.80.212.6100.0000"/>
    <n v="12.88"/>
    <s v="11"/>
    <s v="6100"/>
    <n v="19452.43"/>
    <n v="12.88"/>
    <s v="CREDITOR"/>
    <n v="0"/>
    <n v="0"/>
    <n v="0"/>
    <n v="0"/>
    <n v="12.88"/>
  </r>
  <r>
    <n v="32882543"/>
    <s v="N"/>
    <n v="21395454"/>
    <s v="3000009753710001"/>
    <s v="CIVIL"/>
    <d v="2023-06-29T00:00:00"/>
    <d v="2023-07-19T19:02:01"/>
    <m/>
    <d v="2023-07-19T00:00:00"/>
    <n v="181"/>
    <n v="6891"/>
    <s v="32882543"/>
    <s v="32882543"/>
    <m/>
    <m/>
    <n v="22784976"/>
    <m/>
    <m/>
    <m/>
    <s v="SOLFIN"/>
    <s v="SOLFIN"/>
    <s v="CCMS"/>
    <n v="21395454"/>
    <n v="1620.05"/>
    <m/>
    <s v="N"/>
    <n v="52"/>
    <d v="2023-07-19T19:02:27"/>
    <s v="Y"/>
    <s v="Preparation - other"/>
    <s v="Non Family Hourly Rates"/>
    <s v="Profit Cost"/>
    <s v="BP 2"/>
    <s v="Y"/>
    <n v="7.16"/>
    <n v="1.43"/>
    <x v="5"/>
    <s v="VALIDATED"/>
    <n v="1"/>
    <s v="01.11.80.212.6100.0000"/>
    <n v="7.16"/>
    <s v="11"/>
    <s v="6100"/>
    <n v="19452.43"/>
    <n v="7.16"/>
    <s v="CREDITOR"/>
    <n v="0"/>
    <n v="0"/>
    <n v="0"/>
    <n v="0"/>
    <n v="7.16"/>
  </r>
  <r>
    <n v="32882543"/>
    <s v="N"/>
    <n v="21395454"/>
    <s v="3000009753710001"/>
    <s v="CIVIL"/>
    <d v="2023-06-29T00:00:00"/>
    <d v="2023-07-19T19:02:01"/>
    <m/>
    <d v="2023-07-19T00:00:00"/>
    <n v="181"/>
    <n v="6891"/>
    <s v="32882543"/>
    <s v="32882543"/>
    <m/>
    <m/>
    <n v="22784976"/>
    <m/>
    <m/>
    <m/>
    <s v="SOLFIN"/>
    <s v="SOLFIN"/>
    <s v="CCMS"/>
    <n v="21395454"/>
    <n v="1620.05"/>
    <m/>
    <s v="N"/>
    <n v="53"/>
    <d v="2023-07-19T19:02:27"/>
    <s v="Y"/>
    <s v="Preparation - other"/>
    <s v="Non Family Hourly Rates"/>
    <s v="Profit Cost"/>
    <s v="BP 2"/>
    <s v="Y"/>
    <n v="14.31"/>
    <n v="2.86"/>
    <x v="5"/>
    <s v="VALIDATED"/>
    <n v="1"/>
    <s v="01.11.80.212.6100.0000"/>
    <n v="14.31"/>
    <s v="11"/>
    <s v="6100"/>
    <n v="19452.43"/>
    <n v="14.31"/>
    <s v="CREDITOR"/>
    <n v="0"/>
    <n v="0"/>
    <n v="0"/>
    <n v="0"/>
    <n v="14.31"/>
  </r>
  <r>
    <n v="32882543"/>
    <s v="N"/>
    <n v="21395454"/>
    <s v="3000009753710001"/>
    <s v="CIVIL"/>
    <d v="2023-06-29T00:00:00"/>
    <d v="2023-07-19T19:02:01"/>
    <m/>
    <d v="2023-07-19T00:00:00"/>
    <n v="181"/>
    <n v="6891"/>
    <s v="32882543"/>
    <s v="32882543"/>
    <m/>
    <m/>
    <n v="22784976"/>
    <m/>
    <m/>
    <m/>
    <s v="SOLFIN"/>
    <s v="SOLFIN"/>
    <s v="CCMS"/>
    <n v="21395454"/>
    <n v="1620.05"/>
    <m/>
    <s v="N"/>
    <n v="23"/>
    <d v="2023-07-19T19:02:27"/>
    <s v="Y"/>
    <s v="Attendance upon client"/>
    <s v="Non Family Hourly Rates"/>
    <s v="Profit Cost"/>
    <s v="BP"/>
    <s v="Y"/>
    <n v="10.73"/>
    <n v="2.15"/>
    <x v="5"/>
    <s v="VALIDATED"/>
    <n v="1"/>
    <s v="01.11.80.212.6100.0000"/>
    <n v="10.73"/>
    <s v="11"/>
    <s v="6100"/>
    <n v="19452.43"/>
    <n v="10.73"/>
    <s v="CREDITOR"/>
    <n v="0"/>
    <n v="0"/>
    <n v="0"/>
    <n v="0"/>
    <n v="10.73"/>
  </r>
  <r>
    <n v="7915442"/>
    <s v="N"/>
    <n v="21382195"/>
    <s v="3000004046600001"/>
    <s v="CIVIL"/>
    <d v="2023-06-29T00:00:00"/>
    <d v="2023-07-17T19:01:46"/>
    <m/>
    <d v="2023-07-17T00:00:00"/>
    <n v="181"/>
    <n v="6891"/>
    <s v="7915442"/>
    <s v="7915442"/>
    <m/>
    <m/>
    <n v="22788618"/>
    <m/>
    <m/>
    <m/>
    <s v="SOLFIN"/>
    <s v="SOLFIN"/>
    <s v="CCMS"/>
    <n v="21382195"/>
    <n v="3000"/>
    <m/>
    <s v="N"/>
    <n v="3"/>
    <d v="2023-07-17T19:02:04"/>
    <s v="N"/>
    <m/>
    <m/>
    <s v="Overall Adjustment"/>
    <m/>
    <s v="N"/>
    <n v="-47.72"/>
    <n v="-9.539999999999999"/>
    <x v="8"/>
    <s v="VALIDATED"/>
    <n v="1"/>
    <s v="01.11.80.212.6100.0000"/>
    <n v="-47.72"/>
    <s v="11"/>
    <s v="6100"/>
    <n v="19452.43"/>
    <n v="-47.72"/>
    <s v="CREDITOR"/>
    <n v="0"/>
    <n v="0"/>
    <n v="0"/>
    <n v="0"/>
    <n v="-47.72"/>
  </r>
  <r>
    <n v="62041977"/>
    <s v="N"/>
    <n v="21349408"/>
    <s v="3000016077920002"/>
    <s v="CIVIL"/>
    <d v="2023-06-30T00:00:00"/>
    <d v="2023-07-10T19:01:40"/>
    <m/>
    <d v="2023-07-10T00:00:00"/>
    <n v="181"/>
    <n v="6891"/>
    <s v="62041977"/>
    <s v="62041977"/>
    <m/>
    <m/>
    <n v="22794318"/>
    <m/>
    <m/>
    <m/>
    <s v="SOLINT"/>
    <s v="SOLINT"/>
    <s v="CCMS"/>
    <n v="21349408"/>
    <n v="2839.64"/>
    <m/>
    <s v="N"/>
    <n v="4"/>
    <d v="2023-07-10T19:01:49"/>
    <s v="Y"/>
    <s v="Solicitors Fixed Fee"/>
    <s v="Public Law Children"/>
    <s v="Profit Cost"/>
    <s v="SU"/>
    <s v="Y"/>
    <n v="1510"/>
    <n v="302"/>
    <x v="2"/>
    <s v="VALIDATED"/>
    <n v="1"/>
    <s v="01.11.80.308.6100.0000"/>
    <n v="1510"/>
    <s v="11"/>
    <s v="6100"/>
    <n v="19452.43"/>
    <n v="1510"/>
    <s v="CREDITOR"/>
    <n v="0"/>
    <n v="0"/>
    <n v="0"/>
    <n v="0"/>
    <n v="1510"/>
  </r>
  <r>
    <n v="32909542"/>
    <s v="N"/>
    <n v="21344011"/>
    <s v="3000009741710002"/>
    <s v="CIVIL"/>
    <d v="2023-06-29T00:00:00"/>
    <d v="2023-07-07T19:03:00"/>
    <m/>
    <d v="2023-07-07T00:00:00"/>
    <n v="181"/>
    <n v="6891"/>
    <s v="32909542"/>
    <s v="32909542"/>
    <m/>
    <m/>
    <n v="22784974"/>
    <m/>
    <m/>
    <m/>
    <s v="SOLFIN"/>
    <s v="SOLFIN"/>
    <s v="CCMS"/>
    <n v="21344011"/>
    <n v="1833.19"/>
    <m/>
    <s v="N"/>
    <n v="20"/>
    <d v="2023-07-07T19:03:20"/>
    <s v="Y"/>
    <s v="Attendance upon client"/>
    <s v="Non Family Hourly Rates"/>
    <s v="Profit Cost"/>
    <s v="RC"/>
    <s v="Y"/>
    <n v="12.88"/>
    <n v="2.58"/>
    <x v="9"/>
    <s v="VALIDATED"/>
    <n v="1"/>
    <s v="01.11.80.212.6100.0000"/>
    <n v="12.88"/>
    <s v="11"/>
    <s v="6100"/>
    <n v="19452.43"/>
    <n v="12.88"/>
    <s v="CREDITOR"/>
    <n v="0"/>
    <n v="0"/>
    <n v="0"/>
    <n v="0"/>
    <n v="12.88"/>
  </r>
  <r>
    <n v="32909542"/>
    <s v="N"/>
    <n v="21344011"/>
    <s v="3000009741710002"/>
    <s v="CIVIL"/>
    <d v="2023-06-29T00:00:00"/>
    <d v="2023-07-07T19:03:00"/>
    <m/>
    <d v="2023-07-07T00:00:00"/>
    <n v="181"/>
    <n v="6891"/>
    <s v="32909542"/>
    <s v="32909542"/>
    <m/>
    <m/>
    <n v="22784974"/>
    <m/>
    <m/>
    <m/>
    <s v="SOLFIN"/>
    <s v="SOLFIN"/>
    <s v="CCMS"/>
    <n v="21344011"/>
    <n v="1833.19"/>
    <m/>
    <s v="N"/>
    <n v="48"/>
    <d v="2023-07-07T19:03:20"/>
    <s v="Y"/>
    <s v="Preparation - other"/>
    <s v="Non Family Hourly Rates"/>
    <s v="Profit Cost"/>
    <s v="BP 2"/>
    <s v="Y"/>
    <n v="14.31"/>
    <n v="2.86"/>
    <x v="9"/>
    <s v="VALIDATED"/>
    <n v="1"/>
    <s v="01.11.80.212.6100.0000"/>
    <n v="14.31"/>
    <s v="11"/>
    <s v="6100"/>
    <n v="19452.43"/>
    <n v="14.31"/>
    <s v="CREDITOR"/>
    <n v="0"/>
    <n v="0"/>
    <n v="0"/>
    <n v="0"/>
    <n v="14.31"/>
  </r>
  <r>
    <n v="16200400"/>
    <s v="N"/>
    <n v="21327852"/>
    <s v="3000007820060001"/>
    <s v="CIVIL"/>
    <d v="2023-06-23T00:00:00"/>
    <d v="2023-07-04T19:00:44"/>
    <m/>
    <d v="2023-07-04T00:00:00"/>
    <n v="181"/>
    <n v="6891"/>
    <s v="16200400"/>
    <s v="16200400"/>
    <m/>
    <m/>
    <n v="22749524"/>
    <m/>
    <m/>
    <m/>
    <s v="SOLFIN"/>
    <s v="SOLFIN"/>
    <s v="CCMS"/>
    <n v="21327852"/>
    <n v="1087.97"/>
    <m/>
    <s v="N"/>
    <n v="2"/>
    <d v="2023-07-04T19:00:56"/>
    <s v="Y"/>
    <s v="Preparation - other"/>
    <s v="Non Family Hourly Rates"/>
    <s v="Profit Cost"/>
    <s v="MH"/>
    <s v="Y"/>
    <n v="42.93"/>
    <n v="8.58"/>
    <x v="1"/>
    <s v="VALIDATED"/>
    <n v="1"/>
    <s v="01.11.80.212.6100.0000"/>
    <n v="42.93"/>
    <s v="11"/>
    <s v="6100"/>
    <n v="19452.43"/>
    <n v="42.93"/>
    <s v="CREDITOR"/>
    <n v="0"/>
    <n v="0"/>
    <n v="0"/>
    <n v="0"/>
    <n v="42.93"/>
  </r>
  <r>
    <n v="32882543"/>
    <s v="N"/>
    <n v="21395454"/>
    <s v="3000009753710001"/>
    <s v="CIVIL"/>
    <d v="2023-06-29T00:00:00"/>
    <d v="2023-07-19T19:02:01"/>
    <m/>
    <d v="2023-07-19T00:00:00"/>
    <n v="181"/>
    <n v="6891"/>
    <s v="32882543"/>
    <s v="32882543"/>
    <m/>
    <m/>
    <n v="22784976"/>
    <m/>
    <m/>
    <m/>
    <s v="SOLFIN"/>
    <s v="SOLFIN"/>
    <s v="CCMS"/>
    <n v="21395454"/>
    <n v="1620.05"/>
    <m/>
    <s v="N"/>
    <n v="12"/>
    <d v="2023-07-19T19:02:27"/>
    <s v="Y"/>
    <s v="Attendance upon client"/>
    <s v="Non Family Hourly Rates"/>
    <s v="Profit Cost"/>
    <s v="BP"/>
    <s v="Y"/>
    <n v="14.31"/>
    <n v="2.86"/>
    <x v="5"/>
    <s v="VALIDATED"/>
    <n v="1"/>
    <s v="01.11.80.212.6100.0000"/>
    <n v="14.31"/>
    <s v="11"/>
    <s v="6100"/>
    <n v="19452.43"/>
    <n v="14.31"/>
    <s v="CREDITOR"/>
    <n v="0"/>
    <n v="0"/>
    <n v="0"/>
    <n v="0"/>
    <n v="14.31"/>
  </r>
  <r>
    <n v="16200400"/>
    <s v="N"/>
    <n v="21327852"/>
    <s v="3000007820060001"/>
    <s v="CIVIL"/>
    <d v="2023-06-23T00:00:00"/>
    <d v="2023-07-04T19:00:44"/>
    <m/>
    <d v="2023-07-04T00:00:00"/>
    <n v="181"/>
    <n v="6891"/>
    <s v="16200400"/>
    <s v="16200400"/>
    <m/>
    <m/>
    <n v="22749524"/>
    <m/>
    <m/>
    <m/>
    <s v="SOLFIN"/>
    <s v="SOLFIN"/>
    <s v="CCMS"/>
    <n v="21327852"/>
    <n v="1087.97"/>
    <m/>
    <s v="N"/>
    <n v="6"/>
    <d v="2023-07-04T19:00:56"/>
    <s v="Y"/>
    <s v="Preparation - other"/>
    <s v="Non Family Hourly Rates"/>
    <s v="Profit Cost"/>
    <s v="MH"/>
    <s v="Y"/>
    <n v="7.16"/>
    <n v="1.43"/>
    <x v="1"/>
    <s v="VALIDATED"/>
    <n v="1"/>
    <s v="01.11.80.212.6100.0000"/>
    <n v="7.16"/>
    <s v="11"/>
    <s v="6100"/>
    <n v="19452.43"/>
    <n v="7.16"/>
    <s v="CREDITOR"/>
    <n v="0"/>
    <n v="0"/>
    <n v="0"/>
    <n v="0"/>
    <n v="7.16"/>
  </r>
  <r>
    <n v="7915578"/>
    <s v="N"/>
    <n v="21382346"/>
    <s v="3000004032790008"/>
    <s v="CIVIL"/>
    <d v="2023-06-29T00:00:00"/>
    <d v="2023-07-17T19:01:46"/>
    <m/>
    <d v="2023-07-17T00:00:00"/>
    <n v="181"/>
    <n v="6891"/>
    <s v="7915578"/>
    <s v="7915578"/>
    <m/>
    <m/>
    <n v="22788488"/>
    <m/>
    <m/>
    <m/>
    <s v="SOLFIN"/>
    <s v="SOLFIN"/>
    <s v="CCMS"/>
    <n v="21382346"/>
    <n v="3974.05"/>
    <m/>
    <s v="N"/>
    <n v="1"/>
    <d v="2023-07-17T19:02:07"/>
    <s v="Y"/>
    <s v="Profit Costs (Summary)"/>
    <s v="Non Family Hourly Rates"/>
    <s v="Profit Cost"/>
    <s v="RC"/>
    <s v="Y"/>
    <n v="2862.54"/>
    <n v="572.51"/>
    <x v="8"/>
    <s v="VALIDATED"/>
    <n v="1"/>
    <s v="01.11.80.212.6100.0000"/>
    <n v="2862.54"/>
    <s v="11"/>
    <s v="6100"/>
    <n v="19452.43"/>
    <n v="2862.54"/>
    <s v="CREDITOR"/>
    <n v="0"/>
    <n v="0"/>
    <n v="0"/>
    <n v="0"/>
    <n v="2862.54"/>
  </r>
  <r>
    <n v="32882543"/>
    <s v="N"/>
    <n v="21395454"/>
    <s v="3000009753710001"/>
    <s v="CIVIL"/>
    <d v="2023-06-29T00:00:00"/>
    <d v="2023-07-19T19:02:01"/>
    <m/>
    <d v="2023-07-19T00:00:00"/>
    <n v="181"/>
    <n v="6891"/>
    <s v="32882543"/>
    <s v="32882543"/>
    <m/>
    <m/>
    <n v="22784976"/>
    <m/>
    <m/>
    <m/>
    <s v="SOLFIN"/>
    <s v="SOLFIN"/>
    <s v="CCMS"/>
    <n v="21395454"/>
    <n v="1620.05"/>
    <m/>
    <s v="N"/>
    <n v="35"/>
    <d v="2023-07-19T19:02:27"/>
    <s v="Y"/>
    <s v="Preparation - other"/>
    <s v="Non Family Hourly Rates"/>
    <s v="Profit Cost"/>
    <s v="BP"/>
    <s v="Y"/>
    <n v="35.78"/>
    <n v="7.16"/>
    <x v="5"/>
    <s v="VALIDATED"/>
    <n v="1"/>
    <s v="01.11.80.212.6100.0000"/>
    <n v="35.78"/>
    <s v="11"/>
    <s v="6100"/>
    <n v="19452.43"/>
    <n v="35.78"/>
    <s v="CREDITOR"/>
    <n v="0"/>
    <n v="0"/>
    <n v="0"/>
    <n v="0"/>
    <n v="35.78"/>
  </r>
  <r>
    <n v="16200400"/>
    <s v="N"/>
    <n v="21327852"/>
    <s v="3000007820060001"/>
    <s v="CIVIL"/>
    <d v="2023-06-23T00:00:00"/>
    <d v="2023-07-04T19:00:44"/>
    <m/>
    <d v="2023-07-04T00:00:00"/>
    <n v="181"/>
    <n v="6891"/>
    <s v="16200400"/>
    <s v="16200400"/>
    <m/>
    <m/>
    <n v="22749524"/>
    <m/>
    <m/>
    <m/>
    <s v="SOLFIN"/>
    <s v="SOLFIN"/>
    <s v="CCMS"/>
    <n v="21327852"/>
    <n v="1087.97"/>
    <m/>
    <s v="N"/>
    <n v="20"/>
    <d v="2023-07-04T19:00:56"/>
    <s v="Y"/>
    <s v="Preparation - other"/>
    <s v="Non Family Hourly Rates"/>
    <s v="Profit Cost"/>
    <s v="MH"/>
    <s v="Y"/>
    <n v="7.16"/>
    <n v="1.43"/>
    <x v="1"/>
    <s v="VALIDATED"/>
    <n v="1"/>
    <s v="01.11.80.212.6100.0000"/>
    <n v="7.16"/>
    <s v="11"/>
    <s v="6100"/>
    <n v="19452.43"/>
    <n v="7.16"/>
    <s v="CREDITOR"/>
    <n v="0"/>
    <n v="0"/>
    <n v="0"/>
    <n v="0"/>
    <n v="7.16"/>
  </r>
  <r>
    <n v="16200400"/>
    <s v="N"/>
    <n v="21327852"/>
    <s v="3000007820060001"/>
    <s v="CIVIL"/>
    <d v="2023-06-23T00:00:00"/>
    <d v="2023-07-04T19:00:44"/>
    <m/>
    <d v="2023-07-04T00:00:00"/>
    <n v="181"/>
    <n v="6891"/>
    <s v="16200400"/>
    <s v="16200400"/>
    <m/>
    <m/>
    <n v="22749524"/>
    <m/>
    <m/>
    <m/>
    <s v="SOLFIN"/>
    <s v="SOLFIN"/>
    <s v="CCMS"/>
    <n v="21327852"/>
    <n v="1087.97"/>
    <m/>
    <s v="N"/>
    <n v="26"/>
    <d v="2023-07-04T19:00:56"/>
    <s v="Y"/>
    <s v="Preparation - other"/>
    <s v="Non Family Hourly Rates"/>
    <s v="Profit Cost"/>
    <s v="MH"/>
    <s v="Y"/>
    <n v="8.949999999999999"/>
    <n v="1.79"/>
    <x v="1"/>
    <s v="VALIDATED"/>
    <n v="1"/>
    <s v="01.11.80.212.6100.0000"/>
    <n v="8.949999999999999"/>
    <s v="11"/>
    <s v="6100"/>
    <n v="19452.43"/>
    <n v="8.949999999999999"/>
    <s v="CREDITOR"/>
    <n v="0"/>
    <n v="0"/>
    <n v="0"/>
    <n v="0"/>
    <n v="8.949999999999999"/>
  </r>
  <r>
    <n v="16200400"/>
    <s v="N"/>
    <n v="21327852"/>
    <s v="3000007820060001"/>
    <s v="CIVIL"/>
    <d v="2023-06-23T00:00:00"/>
    <d v="2023-07-04T19:00:44"/>
    <m/>
    <d v="2023-07-04T00:00:00"/>
    <n v="181"/>
    <n v="6891"/>
    <s v="16200400"/>
    <s v="16200400"/>
    <m/>
    <m/>
    <n v="22749524"/>
    <m/>
    <m/>
    <m/>
    <s v="SOLFIN"/>
    <s v="SOLFIN"/>
    <s v="CCMS"/>
    <n v="21327852"/>
    <n v="1087.97"/>
    <m/>
    <s v="N"/>
    <n v="14"/>
    <d v="2023-07-04T19:00:56"/>
    <s v="Y"/>
    <s v="Preparation - other"/>
    <s v="Non Family Hourly Rates"/>
    <s v="Profit Cost"/>
    <s v="MH"/>
    <s v="Y"/>
    <n v="8.949999999999999"/>
    <n v="1.79"/>
    <x v="1"/>
    <s v="VALIDATED"/>
    <n v="1"/>
    <s v="01.11.80.212.6100.0000"/>
    <n v="8.949999999999999"/>
    <s v="11"/>
    <s v="6100"/>
    <n v="19452.43"/>
    <n v="8.949999999999999"/>
    <s v="CREDITOR"/>
    <n v="0"/>
    <n v="0"/>
    <n v="0"/>
    <n v="0"/>
    <n v="8.949999999999999"/>
  </r>
  <r>
    <n v="32882543"/>
    <s v="N"/>
    <n v="21395454"/>
    <s v="3000009753710001"/>
    <s v="CIVIL"/>
    <d v="2023-06-29T00:00:00"/>
    <d v="2023-07-19T19:02:01"/>
    <m/>
    <d v="2023-07-19T00:00:00"/>
    <n v="181"/>
    <n v="6891"/>
    <s v="32882543"/>
    <s v="32882543"/>
    <m/>
    <m/>
    <n v="22784976"/>
    <m/>
    <m/>
    <m/>
    <s v="SOLFIN"/>
    <s v="SOLFIN"/>
    <s v="CCMS"/>
    <n v="21395454"/>
    <n v="1620.05"/>
    <m/>
    <s v="N"/>
    <n v="29"/>
    <d v="2023-07-19T19:02:27"/>
    <s v="Y"/>
    <s v="Preparation - other"/>
    <s v="Non Family Hourly Rates"/>
    <s v="Profit Cost"/>
    <s v="RC"/>
    <s v="Y"/>
    <n v="17.89"/>
    <n v="3.58"/>
    <x v="5"/>
    <s v="VALIDATED"/>
    <n v="1"/>
    <s v="01.11.80.212.6100.0000"/>
    <n v="17.89"/>
    <s v="11"/>
    <s v="6100"/>
    <n v="19452.43"/>
    <n v="17.89"/>
    <s v="CREDITOR"/>
    <n v="0"/>
    <n v="0"/>
    <n v="0"/>
    <n v="0"/>
    <n v="17.89"/>
  </r>
  <r>
    <n v="32882543"/>
    <s v="N"/>
    <n v="21395454"/>
    <s v="3000009753710001"/>
    <s v="CIVIL"/>
    <d v="2023-06-29T00:00:00"/>
    <d v="2023-07-19T19:02:01"/>
    <m/>
    <d v="2023-07-19T00:00:00"/>
    <n v="181"/>
    <n v="6891"/>
    <s v="32882543"/>
    <s v="32882543"/>
    <m/>
    <m/>
    <n v="22784976"/>
    <m/>
    <m/>
    <m/>
    <s v="SOLFIN"/>
    <s v="SOLFIN"/>
    <s v="CCMS"/>
    <n v="21395454"/>
    <n v="1620.05"/>
    <m/>
    <s v="N"/>
    <n v="43"/>
    <d v="2023-07-19T19:02:27"/>
    <s v="Y"/>
    <s v="Attendance upon client"/>
    <s v="Non Family Hourly Rates"/>
    <s v="Profit Cost"/>
    <s v="RC"/>
    <s v="Y"/>
    <n v="10.73"/>
    <n v="2.15"/>
    <x v="5"/>
    <s v="VALIDATED"/>
    <n v="1"/>
    <s v="01.11.80.212.6100.0000"/>
    <n v="10.73"/>
    <s v="11"/>
    <s v="6100"/>
    <n v="19452.43"/>
    <n v="10.73"/>
    <s v="CREDITOR"/>
    <n v="0"/>
    <n v="0"/>
    <n v="0"/>
    <n v="0"/>
    <n v="10.73"/>
  </r>
  <r>
    <n v="32909542"/>
    <s v="N"/>
    <n v="21344011"/>
    <s v="3000009741710002"/>
    <s v="CIVIL"/>
    <d v="2023-06-29T00:00:00"/>
    <d v="2023-07-07T19:03:00"/>
    <m/>
    <d v="2023-07-07T00:00:00"/>
    <n v="181"/>
    <n v="6891"/>
    <s v="32909542"/>
    <s v="32909542"/>
    <m/>
    <m/>
    <n v="22784974"/>
    <m/>
    <m/>
    <m/>
    <s v="SOLFIN"/>
    <s v="SOLFIN"/>
    <s v="CCMS"/>
    <n v="21344011"/>
    <n v="1833.19"/>
    <m/>
    <s v="N"/>
    <n v="34"/>
    <d v="2023-07-07T19:03:20"/>
    <s v="Y"/>
    <s v="Report - Counsel's opinion"/>
    <s v="Non Family Hourly Rates"/>
    <s v="Profit Cost"/>
    <s v="RC 2"/>
    <s v="Y"/>
    <n v="17.89"/>
    <n v="3.58"/>
    <x v="9"/>
    <s v="VALIDATED"/>
    <n v="1"/>
    <s v="01.11.80.212.6100.0000"/>
    <n v="17.89"/>
    <s v="11"/>
    <s v="6100"/>
    <n v="19452.43"/>
    <n v="17.89"/>
    <s v="CREDITOR"/>
    <n v="0"/>
    <n v="0"/>
    <n v="0"/>
    <n v="0"/>
    <n v="17.89"/>
  </r>
  <r>
    <n v="60218761"/>
    <s v="N"/>
    <n v="21331079"/>
    <s v="3000014528270001"/>
    <s v="CIVIL"/>
    <d v="2023-06-22T00:00:00"/>
    <d v="2023-07-05T19:01:47"/>
    <m/>
    <d v="2023-07-05T00:00:00"/>
    <n v="181"/>
    <n v="6891"/>
    <s v="60218761"/>
    <s v="60218761"/>
    <m/>
    <m/>
    <n v="22746170"/>
    <m/>
    <m/>
    <m/>
    <s v="SOLFIN"/>
    <s v="SOLFIN"/>
    <s v="CCMS"/>
    <n v="21331079"/>
    <n v="455.82"/>
    <m/>
    <s v="N"/>
    <n v="2"/>
    <d v="2023-07-05T19:02:05"/>
    <s v="Y"/>
    <s v="Preparation - other"/>
    <s v="Non Family Hourly Rates"/>
    <s v="Profit Cost"/>
    <s v="RC"/>
    <s v="Y"/>
    <n v="35.78"/>
    <n v="7.16"/>
    <x v="6"/>
    <s v="VALIDATED"/>
    <n v="1"/>
    <s v="01.11.80.212.6100.0000"/>
    <n v="35.78"/>
    <s v="11"/>
    <s v="6100"/>
    <n v="19452.43"/>
    <n v="35.78"/>
    <s v="CREDITOR"/>
    <n v="0"/>
    <n v="0"/>
    <n v="0"/>
    <n v="0"/>
    <n v="35.78"/>
  </r>
  <r>
    <n v="60766938"/>
    <s v="N"/>
    <n v="21328593"/>
    <s v="3000015006180005RC"/>
    <s v="CIVIL"/>
    <d v="2023-06-19T00:00:00"/>
    <d v="2023-07-04T19:38:21"/>
    <m/>
    <d v="2023-07-04T00:00:00"/>
    <n v="182"/>
    <n v="7002"/>
    <s v="60766938"/>
    <s v="60766938"/>
    <m/>
    <m/>
    <m/>
    <m/>
    <m/>
    <m/>
    <s v="SOLRECOUP"/>
    <s v="SOLRECOUP"/>
    <s v="POARECOUP"/>
    <n v="21328593"/>
    <n v="-330.9"/>
    <m/>
    <s v="Y"/>
    <n v="1"/>
    <d v="2023-07-04T19:38:22"/>
    <s v="N"/>
    <m/>
    <m/>
    <s v="Expert Disbursement"/>
    <m/>
    <s v="N"/>
    <n v="-275.75"/>
    <n v="0"/>
    <x v="1"/>
    <s v="VALIDATED"/>
    <n v="1"/>
    <s v="01.11.80.308.2013.0000"/>
    <n v="-275.75"/>
    <s v="11"/>
    <s v="2013"/>
    <n v="12869.96"/>
    <n v="-275.75"/>
    <s v="CREDITOR"/>
    <n v="0"/>
    <n v="0"/>
    <n v="-275.75"/>
    <n v="0"/>
    <n v="0"/>
  </r>
  <r>
    <n v="16136978"/>
    <s v="N"/>
    <n v="21346213"/>
    <s v="3000007728880001RC"/>
    <s v="CIVIL"/>
    <d v="2023-06-28T00:00:00"/>
    <d v="2023-07-07T19:34:21"/>
    <m/>
    <d v="2023-07-07T00:00:00"/>
    <n v="182"/>
    <n v="7002"/>
    <s v="16136978"/>
    <s v="16136978"/>
    <m/>
    <m/>
    <m/>
    <m/>
    <m/>
    <m/>
    <s v="SOLRECOUP"/>
    <s v="SOLRECOUP"/>
    <s v="POARECOUP"/>
    <n v="21346213"/>
    <n v="-215"/>
    <m/>
    <s v="Y"/>
    <n v="2"/>
    <d v="2023-07-07T19:34:22"/>
    <s v="N"/>
    <m/>
    <m/>
    <s v="Non Expert Disbursement"/>
    <m/>
    <s v="N"/>
    <n v="0"/>
    <n v="0"/>
    <x v="9"/>
    <s v="VALIDATED"/>
    <n v="1"/>
    <s v="01.11.80.000.0000.0000"/>
    <n v="0"/>
    <s v="11"/>
    <s v="0000"/>
    <n v="12869.96"/>
    <n v="0"/>
    <s v="CREDITOR"/>
    <n v="0"/>
    <n v="0"/>
    <n v="0"/>
    <n v="0"/>
    <n v="0"/>
  </r>
  <r>
    <n v="16136978"/>
    <s v="N"/>
    <n v="21346213"/>
    <s v="3000007728880001RC"/>
    <s v="CIVIL"/>
    <d v="2023-06-28T00:00:00"/>
    <d v="2023-07-07T19:34:21"/>
    <m/>
    <d v="2023-07-07T00:00:00"/>
    <n v="182"/>
    <n v="7002"/>
    <s v="16136978"/>
    <s v="16136978"/>
    <m/>
    <m/>
    <m/>
    <m/>
    <m/>
    <m/>
    <s v="SOLRECOUP"/>
    <s v="SOLRECOUP"/>
    <s v="POARECOUP"/>
    <n v="21346213"/>
    <n v="-215"/>
    <m/>
    <s v="Y"/>
    <n v="1"/>
    <d v="2023-07-07T19:34:22"/>
    <s v="N"/>
    <m/>
    <m/>
    <s v="Non Expert Disbursement"/>
    <m/>
    <s v="N"/>
    <n v="-215"/>
    <n v="0"/>
    <x v="9"/>
    <s v="VALIDATED"/>
    <n v="1"/>
    <s v="01.11.80.307.2013.0000"/>
    <n v="-215"/>
    <s v="11"/>
    <s v="2013"/>
    <n v="12869.96"/>
    <n v="-215"/>
    <s v="CREDITOR"/>
    <n v="0"/>
    <n v="0"/>
    <n v="-215"/>
    <n v="0"/>
    <n v="0"/>
  </r>
  <r>
    <n v="16136978"/>
    <s v="N"/>
    <n v="21346214"/>
    <s v="3000007728880004RC"/>
    <s v="CIVIL"/>
    <d v="2023-06-28T00:00:00"/>
    <d v="2023-07-07T19:34:21"/>
    <m/>
    <d v="2023-07-07T00:00:00"/>
    <n v="182"/>
    <n v="7002"/>
    <s v="16136978"/>
    <s v="16136978"/>
    <m/>
    <m/>
    <m/>
    <m/>
    <m/>
    <m/>
    <s v="SOLRECOUP"/>
    <s v="SOLRECOUP"/>
    <s v="POARECOUP"/>
    <n v="21346214"/>
    <n v="-60"/>
    <m/>
    <s v="Y"/>
    <n v="2"/>
    <d v="2023-07-07T19:34:22"/>
    <s v="N"/>
    <m/>
    <m/>
    <s v="Expert Disbursement"/>
    <m/>
    <s v="N"/>
    <n v="0"/>
    <n v="-10"/>
    <x v="9"/>
    <s v="VALIDATED"/>
    <n v="1"/>
    <s v="01.11.80.307.2013.0000"/>
    <n v="-10"/>
    <s v="11"/>
    <s v="2013"/>
    <n v="12869.96"/>
    <n v="-10"/>
    <s v="CREDITOR"/>
    <n v="0"/>
    <n v="0"/>
    <n v="-10"/>
    <n v="0"/>
    <n v="0"/>
  </r>
  <r>
    <n v="16136978"/>
    <s v="N"/>
    <n v="21346214"/>
    <s v="3000007728880004RC"/>
    <s v="CIVIL"/>
    <d v="2023-06-28T00:00:00"/>
    <d v="2023-07-07T19:34:21"/>
    <m/>
    <d v="2023-07-07T00:00:00"/>
    <n v="182"/>
    <n v="7002"/>
    <s v="16136978"/>
    <s v="16136978"/>
    <m/>
    <m/>
    <m/>
    <m/>
    <m/>
    <m/>
    <s v="SOLRECOUP"/>
    <s v="SOLRECOUP"/>
    <s v="POARECOUP"/>
    <n v="21346214"/>
    <n v="-60"/>
    <m/>
    <s v="Y"/>
    <n v="1"/>
    <d v="2023-07-07T19:34:22"/>
    <s v="N"/>
    <m/>
    <m/>
    <s v="Expert Disbursement"/>
    <m/>
    <s v="N"/>
    <n v="-50"/>
    <n v="0"/>
    <x v="9"/>
    <s v="VALIDATED"/>
    <n v="1"/>
    <s v="01.11.80.307.2013.0000"/>
    <n v="-50"/>
    <s v="11"/>
    <s v="2013"/>
    <n v="12869.96"/>
    <n v="-50"/>
    <s v="CREDITOR"/>
    <n v="0"/>
    <n v="0"/>
    <n v="-50"/>
    <n v="0"/>
    <n v="0"/>
  </r>
  <r>
    <n v="16136978"/>
    <s v="N"/>
    <n v="21346215"/>
    <s v="3000007728880003RC"/>
    <s v="CIVIL"/>
    <d v="2023-06-28T00:00:00"/>
    <d v="2023-07-07T19:34:21"/>
    <m/>
    <d v="2023-07-07T00:00:00"/>
    <n v="182"/>
    <n v="7002"/>
    <s v="16136978"/>
    <s v="16136978"/>
    <m/>
    <m/>
    <m/>
    <m/>
    <m/>
    <m/>
    <s v="SOLRECOUP"/>
    <s v="SOLRECOUP"/>
    <s v="POARECOUP"/>
    <n v="21346215"/>
    <n v="-84"/>
    <m/>
    <s v="Y"/>
    <n v="1"/>
    <d v="2023-07-07T19:34:22"/>
    <s v="N"/>
    <m/>
    <m/>
    <s v="Expert Disbursement"/>
    <m/>
    <s v="N"/>
    <n v="-70"/>
    <n v="0"/>
    <x v="9"/>
    <s v="VALIDATED"/>
    <n v="1"/>
    <s v="01.11.80.307.2013.0000"/>
    <n v="-70"/>
    <s v="11"/>
    <s v="2013"/>
    <n v="12869.96"/>
    <n v="-70"/>
    <s v="CREDITOR"/>
    <n v="0"/>
    <n v="0"/>
    <n v="-70"/>
    <n v="0"/>
    <n v="0"/>
  </r>
  <r>
    <n v="16136978"/>
    <s v="N"/>
    <n v="21346215"/>
    <s v="3000007728880003RC"/>
    <s v="CIVIL"/>
    <d v="2023-06-28T00:00:00"/>
    <d v="2023-07-07T19:34:21"/>
    <m/>
    <d v="2023-07-07T00:00:00"/>
    <n v="182"/>
    <n v="7002"/>
    <s v="16136978"/>
    <s v="16136978"/>
    <m/>
    <m/>
    <m/>
    <m/>
    <m/>
    <m/>
    <s v="SOLRECOUP"/>
    <s v="SOLRECOUP"/>
    <s v="POARECOUP"/>
    <n v="21346215"/>
    <n v="-84"/>
    <m/>
    <s v="Y"/>
    <n v="2"/>
    <d v="2023-07-07T19:34:22"/>
    <s v="N"/>
    <m/>
    <m/>
    <s v="Expert Disbursement"/>
    <m/>
    <s v="N"/>
    <n v="0"/>
    <n v="-14"/>
    <x v="9"/>
    <s v="VALIDATED"/>
    <n v="1"/>
    <s v="01.11.80.307.2013.0000"/>
    <n v="-14"/>
    <s v="11"/>
    <s v="2013"/>
    <n v="12869.96"/>
    <n v="-14"/>
    <s v="CREDITOR"/>
    <n v="0"/>
    <n v="0"/>
    <n v="-14"/>
    <n v="0"/>
    <n v="0"/>
  </r>
  <r>
    <n v="16136978"/>
    <s v="N"/>
    <n v="21346216"/>
    <s v="3000007728880002RC"/>
    <s v="CIVIL"/>
    <d v="2023-06-28T00:00:00"/>
    <d v="2023-07-07T19:34:21"/>
    <m/>
    <d v="2023-07-07T00:00:00"/>
    <n v="182"/>
    <n v="7002"/>
    <s v="16136978"/>
    <s v="16136978"/>
    <m/>
    <m/>
    <m/>
    <m/>
    <m/>
    <m/>
    <s v="SOLRECOUP"/>
    <s v="SOLRECOUP"/>
    <s v="POARECOUP"/>
    <n v="21346216"/>
    <n v="-45"/>
    <m/>
    <s v="Y"/>
    <n v="1"/>
    <d v="2023-07-07T19:34:22"/>
    <s v="N"/>
    <m/>
    <m/>
    <s v="Expert Disbursement"/>
    <m/>
    <s v="N"/>
    <n v="-37.5"/>
    <n v="0"/>
    <x v="9"/>
    <s v="VALIDATED"/>
    <n v="1"/>
    <s v="01.11.80.307.2013.0000"/>
    <n v="-37.5"/>
    <s v="11"/>
    <s v="2013"/>
    <n v="12869.96"/>
    <n v="-37.5"/>
    <s v="CREDITOR"/>
    <n v="0"/>
    <n v="0"/>
    <n v="-37.5"/>
    <n v="0"/>
    <n v="0"/>
  </r>
  <r>
    <n v="16136978"/>
    <s v="N"/>
    <n v="21346216"/>
    <s v="3000007728880002RC"/>
    <s v="CIVIL"/>
    <d v="2023-06-28T00:00:00"/>
    <d v="2023-07-07T19:34:21"/>
    <m/>
    <d v="2023-07-07T00:00:00"/>
    <n v="182"/>
    <n v="7002"/>
    <s v="16136978"/>
    <s v="16136978"/>
    <m/>
    <m/>
    <m/>
    <m/>
    <m/>
    <m/>
    <s v="SOLRECOUP"/>
    <s v="SOLRECOUP"/>
    <s v="POARECOUP"/>
    <n v="21346216"/>
    <n v="-45"/>
    <m/>
    <s v="Y"/>
    <n v="2"/>
    <d v="2023-07-07T19:34:22"/>
    <s v="N"/>
    <m/>
    <m/>
    <s v="Expert Disbursement"/>
    <m/>
    <s v="N"/>
    <n v="0"/>
    <n v="-7.5"/>
    <x v="9"/>
    <s v="VALIDATED"/>
    <n v="1"/>
    <s v="01.11.80.307.2013.0000"/>
    <n v="-7.5"/>
    <s v="11"/>
    <s v="2013"/>
    <n v="12869.96"/>
    <n v="-7.5"/>
    <s v="CREDITOR"/>
    <n v="0"/>
    <n v="0"/>
    <n v="-7.5"/>
    <n v="0"/>
    <n v="0"/>
  </r>
  <r>
    <n v="16136978"/>
    <s v="N"/>
    <n v="21346217"/>
    <s v="3000007728880005RC"/>
    <s v="CIVIL"/>
    <d v="2023-06-28T00:00:00"/>
    <d v="2023-07-07T19:34:21"/>
    <m/>
    <d v="2023-07-07T00:00:00"/>
    <n v="182"/>
    <n v="7002"/>
    <s v="16136978"/>
    <s v="16136978"/>
    <m/>
    <m/>
    <m/>
    <m/>
    <m/>
    <m/>
    <s v="SOLRECOUP"/>
    <s v="SOLRECOUP"/>
    <s v="POARECOUP"/>
    <n v="21346217"/>
    <n v="-121.56"/>
    <m/>
    <s v="Y"/>
    <n v="1"/>
    <d v="2023-07-07T19:34:22"/>
    <s v="N"/>
    <m/>
    <m/>
    <s v="Non Expert Disbursement"/>
    <m/>
    <s v="N"/>
    <n v="-101.3"/>
    <n v="0"/>
    <x v="9"/>
    <s v="VALIDATED"/>
    <n v="1"/>
    <s v="01.11.80.307.2013.0000"/>
    <n v="-101.3"/>
    <s v="11"/>
    <s v="2013"/>
    <n v="12869.96"/>
    <n v="-101.3"/>
    <s v="CREDITOR"/>
    <n v="0"/>
    <n v="0"/>
    <n v="-101.3"/>
    <n v="0"/>
    <n v="0"/>
  </r>
  <r>
    <n v="16136978"/>
    <s v="N"/>
    <n v="21346217"/>
    <s v="3000007728880005RC"/>
    <s v="CIVIL"/>
    <d v="2023-06-28T00:00:00"/>
    <d v="2023-07-07T19:34:21"/>
    <m/>
    <d v="2023-07-07T00:00:00"/>
    <n v="182"/>
    <n v="7002"/>
    <s v="16136978"/>
    <s v="16136978"/>
    <m/>
    <m/>
    <m/>
    <m/>
    <m/>
    <m/>
    <s v="SOLRECOUP"/>
    <s v="SOLRECOUP"/>
    <s v="POARECOUP"/>
    <n v="21346217"/>
    <n v="-121.56"/>
    <m/>
    <s v="Y"/>
    <n v="2"/>
    <d v="2023-07-07T19:34:22"/>
    <s v="N"/>
    <m/>
    <m/>
    <s v="Non Expert Disbursement"/>
    <m/>
    <s v="N"/>
    <n v="0"/>
    <n v="-20.26"/>
    <x v="9"/>
    <s v="VALIDATED"/>
    <n v="1"/>
    <s v="01.11.80.307.2013.0000"/>
    <n v="-20.26"/>
    <s v="11"/>
    <s v="2013"/>
    <n v="12869.96"/>
    <n v="-20.26"/>
    <s v="CREDITOR"/>
    <n v="0"/>
    <n v="0"/>
    <n v="-20.26"/>
    <n v="0"/>
    <n v="0"/>
  </r>
  <r>
    <n v="16136978"/>
    <s v="N"/>
    <n v="21346218"/>
    <s v="3000007728880007RC"/>
    <s v="CIVIL"/>
    <d v="2023-06-28T00:00:00"/>
    <d v="2023-07-07T19:34:21"/>
    <m/>
    <d v="2023-07-07T00:00:00"/>
    <n v="182"/>
    <n v="7002"/>
    <s v="16136978"/>
    <s v="16136978"/>
    <m/>
    <m/>
    <m/>
    <m/>
    <m/>
    <m/>
    <s v="SOLRECOUP"/>
    <s v="SOLRECOUP"/>
    <s v="POARECOUP"/>
    <n v="21346218"/>
    <n v="-273.72"/>
    <m/>
    <s v="Y"/>
    <n v="1"/>
    <d v="2023-07-07T19:34:22"/>
    <s v="N"/>
    <m/>
    <m/>
    <s v="Non Expert Disbursement"/>
    <m/>
    <s v="N"/>
    <n v="-228.1"/>
    <n v="0"/>
    <x v="9"/>
    <s v="VALIDATED"/>
    <n v="1"/>
    <s v="01.11.80.307.2013.0000"/>
    <n v="-228.1"/>
    <s v="11"/>
    <s v="2013"/>
    <n v="12869.96"/>
    <n v="-228.1"/>
    <s v="CREDITOR"/>
    <n v="0"/>
    <n v="0"/>
    <n v="-228.1"/>
    <n v="0"/>
    <n v="0"/>
  </r>
  <r>
    <n v="16136978"/>
    <s v="N"/>
    <n v="21346218"/>
    <s v="3000007728880007RC"/>
    <s v="CIVIL"/>
    <d v="2023-06-28T00:00:00"/>
    <d v="2023-07-07T19:34:21"/>
    <m/>
    <d v="2023-07-07T00:00:00"/>
    <n v="182"/>
    <n v="7002"/>
    <s v="16136978"/>
    <s v="16136978"/>
    <m/>
    <m/>
    <m/>
    <m/>
    <m/>
    <m/>
    <s v="SOLRECOUP"/>
    <s v="SOLRECOUP"/>
    <s v="POARECOUP"/>
    <n v="21346218"/>
    <n v="-273.72"/>
    <m/>
    <s v="Y"/>
    <n v="2"/>
    <d v="2023-07-07T19:34:22"/>
    <s v="N"/>
    <m/>
    <m/>
    <s v="Non Expert Disbursement"/>
    <m/>
    <s v="N"/>
    <n v="0"/>
    <n v="-45.62"/>
    <x v="9"/>
    <s v="VALIDATED"/>
    <n v="1"/>
    <s v="01.11.80.307.2013.0000"/>
    <n v="-45.62"/>
    <s v="11"/>
    <s v="2013"/>
    <n v="12869.96"/>
    <n v="-45.62"/>
    <s v="CREDITOR"/>
    <n v="0"/>
    <n v="0"/>
    <n v="-45.62"/>
    <n v="0"/>
    <n v="0"/>
  </r>
  <r>
    <n v="16136978"/>
    <s v="N"/>
    <n v="21346219"/>
    <s v="3000007728880006RC"/>
    <s v="CIVIL"/>
    <d v="2023-06-28T00:00:00"/>
    <d v="2023-07-07T19:34:21"/>
    <m/>
    <d v="2023-07-07T00:00:00"/>
    <n v="182"/>
    <n v="7002"/>
    <s v="16136978"/>
    <s v="16136978"/>
    <m/>
    <m/>
    <m/>
    <m/>
    <m/>
    <m/>
    <s v="SOLRECOUP"/>
    <s v="SOLRECOUP"/>
    <s v="POARECOUP"/>
    <n v="21346219"/>
    <n v="-155"/>
    <m/>
    <s v="Y"/>
    <n v="1"/>
    <d v="2023-07-07T19:34:22"/>
    <s v="N"/>
    <m/>
    <m/>
    <s v="Non Expert Disbursement"/>
    <m/>
    <s v="N"/>
    <n v="-155"/>
    <n v="0"/>
    <x v="9"/>
    <s v="VALIDATED"/>
    <n v="1"/>
    <s v="01.11.80.307.2013.0000"/>
    <n v="-155"/>
    <s v="11"/>
    <s v="2013"/>
    <n v="12869.96"/>
    <n v="-155"/>
    <s v="CREDITOR"/>
    <n v="0"/>
    <n v="0"/>
    <n v="-155"/>
    <n v="0"/>
    <n v="0"/>
  </r>
  <r>
    <n v="16136978"/>
    <s v="N"/>
    <n v="21346219"/>
    <s v="3000007728880006RC"/>
    <s v="CIVIL"/>
    <d v="2023-06-28T00:00:00"/>
    <d v="2023-07-07T19:34:21"/>
    <m/>
    <d v="2023-07-07T00:00:00"/>
    <n v="182"/>
    <n v="7002"/>
    <s v="16136978"/>
    <s v="16136978"/>
    <m/>
    <m/>
    <m/>
    <m/>
    <m/>
    <m/>
    <s v="SOLRECOUP"/>
    <s v="SOLRECOUP"/>
    <s v="POARECOUP"/>
    <n v="21346219"/>
    <n v="-155"/>
    <m/>
    <s v="Y"/>
    <n v="2"/>
    <d v="2023-07-07T19:34:22"/>
    <s v="N"/>
    <m/>
    <m/>
    <s v="Non Expert Disbursement"/>
    <m/>
    <s v="N"/>
    <n v="0"/>
    <n v="0"/>
    <x v="9"/>
    <s v="VALIDATED"/>
    <n v="1"/>
    <s v="01.11.80.000.0000.0000"/>
    <n v="0"/>
    <s v="11"/>
    <s v="0000"/>
    <n v="12869.96"/>
    <n v="0"/>
    <s v="CREDITOR"/>
    <n v="0"/>
    <n v="0"/>
    <n v="0"/>
    <n v="0"/>
    <n v="0"/>
  </r>
  <r>
    <n v="16136978"/>
    <s v="N"/>
    <n v="21346220"/>
    <s v="3000007728880016RC"/>
    <s v="CIVIL"/>
    <d v="2023-06-28T00:00:00"/>
    <d v="2023-07-07T19:34:21"/>
    <m/>
    <d v="2023-07-07T00:00:00"/>
    <n v="182"/>
    <n v="7002"/>
    <s v="16136978"/>
    <s v="16136978"/>
    <m/>
    <m/>
    <m/>
    <m/>
    <m/>
    <m/>
    <s v="SOLRECOUP"/>
    <s v="SOLRECOUP"/>
    <s v="POARECOUP"/>
    <n v="21346220"/>
    <n v="-50"/>
    <m/>
    <s v="Y"/>
    <n v="1"/>
    <d v="2023-07-07T19:34:22"/>
    <s v="N"/>
    <m/>
    <m/>
    <s v="Expert Disbursement"/>
    <m/>
    <s v="N"/>
    <n v="-50"/>
    <n v="0"/>
    <x v="9"/>
    <s v="VALIDATED"/>
    <n v="1"/>
    <s v="01.11.80.307.2013.0000"/>
    <n v="-50"/>
    <s v="11"/>
    <s v="2013"/>
    <n v="12869.96"/>
    <n v="-50"/>
    <s v="CREDITOR"/>
    <n v="0"/>
    <n v="0"/>
    <n v="-50"/>
    <n v="0"/>
    <n v="0"/>
  </r>
  <r>
    <n v="16136978"/>
    <s v="N"/>
    <n v="21346220"/>
    <s v="3000007728880016RC"/>
    <s v="CIVIL"/>
    <d v="2023-06-28T00:00:00"/>
    <d v="2023-07-07T19:34:21"/>
    <m/>
    <d v="2023-07-07T00:00:00"/>
    <n v="182"/>
    <n v="7002"/>
    <s v="16136978"/>
    <s v="16136978"/>
    <m/>
    <m/>
    <m/>
    <m/>
    <m/>
    <m/>
    <s v="SOLRECOUP"/>
    <s v="SOLRECOUP"/>
    <s v="POARECOUP"/>
    <n v="21346220"/>
    <n v="-50"/>
    <m/>
    <s v="Y"/>
    <n v="2"/>
    <d v="2023-07-07T19:34:22"/>
    <s v="N"/>
    <m/>
    <m/>
    <s v="Expert Disbursement"/>
    <m/>
    <s v="N"/>
    <n v="0"/>
    <n v="0"/>
    <x v="9"/>
    <s v="VALIDATED"/>
    <n v="1"/>
    <s v="01.11.80.000.0000.0000"/>
    <n v="0"/>
    <s v="11"/>
    <s v="0000"/>
    <n v="12869.96"/>
    <n v="0"/>
    <s v="CREDITOR"/>
    <n v="0"/>
    <n v="0"/>
    <n v="0"/>
    <n v="0"/>
    <n v="0"/>
  </r>
  <r>
    <n v="16136978"/>
    <s v="N"/>
    <n v="21346221"/>
    <s v="3000007728880017RC"/>
    <s v="CIVIL"/>
    <d v="2023-06-28T00:00:00"/>
    <d v="2023-07-07T19:34:21"/>
    <m/>
    <d v="2023-07-07T00:00:00"/>
    <n v="182"/>
    <n v="7002"/>
    <s v="16136978"/>
    <s v="16136978"/>
    <m/>
    <m/>
    <m/>
    <m/>
    <m/>
    <m/>
    <s v="SOLRECOUP"/>
    <s v="SOLRECOUP"/>
    <s v="POARECOUP"/>
    <n v="21346221"/>
    <n v="-426.6"/>
    <m/>
    <s v="Y"/>
    <n v="1"/>
    <d v="2023-07-07T19:34:22"/>
    <s v="N"/>
    <m/>
    <m/>
    <s v="Expert Disbursement"/>
    <m/>
    <s v="N"/>
    <n v="-355.5"/>
    <n v="0"/>
    <x v="9"/>
    <s v="VALIDATED"/>
    <n v="1"/>
    <s v="01.11.80.307.2013.0000"/>
    <n v="-355.5"/>
    <s v="11"/>
    <s v="2013"/>
    <n v="12869.96"/>
    <n v="-355.5"/>
    <s v="CREDITOR"/>
    <n v="0"/>
    <n v="0"/>
    <n v="-355.5"/>
    <n v="0"/>
    <n v="0"/>
  </r>
  <r>
    <n v="16136978"/>
    <s v="N"/>
    <n v="21346221"/>
    <s v="3000007728880017RC"/>
    <s v="CIVIL"/>
    <d v="2023-06-28T00:00:00"/>
    <d v="2023-07-07T19:34:21"/>
    <m/>
    <d v="2023-07-07T00:00:00"/>
    <n v="182"/>
    <n v="7002"/>
    <s v="16136978"/>
    <s v="16136978"/>
    <m/>
    <m/>
    <m/>
    <m/>
    <m/>
    <m/>
    <s v="SOLRECOUP"/>
    <s v="SOLRECOUP"/>
    <s v="POARECOUP"/>
    <n v="21346221"/>
    <n v="-426.6"/>
    <m/>
    <s v="Y"/>
    <n v="2"/>
    <d v="2023-07-07T19:34:22"/>
    <s v="N"/>
    <m/>
    <m/>
    <s v="Expert Disbursement"/>
    <m/>
    <s v="N"/>
    <n v="0"/>
    <n v="-71.09999999999999"/>
    <x v="9"/>
    <s v="VALIDATED"/>
    <n v="1"/>
    <s v="01.11.80.307.2013.0000"/>
    <n v="-71.09999999999999"/>
    <s v="11"/>
    <s v="2013"/>
    <n v="12869.96"/>
    <n v="-71.09999999999999"/>
    <s v="CREDITOR"/>
    <n v="0"/>
    <n v="0"/>
    <n v="-71.09999999999999"/>
    <n v="0"/>
    <n v="0"/>
  </r>
  <r>
    <n v="16136978"/>
    <s v="N"/>
    <n v="21346222"/>
    <s v="3000007728880009RC"/>
    <s v="CIVIL"/>
    <d v="2023-06-28T00:00:00"/>
    <d v="2023-07-07T19:34:21"/>
    <m/>
    <d v="2023-07-07T00:00:00"/>
    <n v="182"/>
    <n v="7002"/>
    <s v="16136978"/>
    <s v="16136978"/>
    <m/>
    <m/>
    <m/>
    <m/>
    <m/>
    <m/>
    <s v="SOLRECOUP"/>
    <s v="SOLRECOUP"/>
    <s v="POARECOUP"/>
    <n v="21346222"/>
    <n v="-25"/>
    <m/>
    <s v="Y"/>
    <n v="1"/>
    <d v="2023-07-07T19:34:22"/>
    <s v="N"/>
    <m/>
    <m/>
    <s v="Expert Disbursement"/>
    <m/>
    <s v="N"/>
    <n v="-25"/>
    <n v="0"/>
    <x v="9"/>
    <s v="VALIDATED"/>
    <n v="1"/>
    <s v="01.11.80.307.2013.0000"/>
    <n v="-25"/>
    <s v="11"/>
    <s v="2013"/>
    <n v="12869.96"/>
    <n v="-25"/>
    <s v="CREDITOR"/>
    <n v="0"/>
    <n v="0"/>
    <n v="-25"/>
    <n v="0"/>
    <n v="0"/>
  </r>
  <r>
    <n v="16136978"/>
    <s v="N"/>
    <n v="21346222"/>
    <s v="3000007728880009RC"/>
    <s v="CIVIL"/>
    <d v="2023-06-28T00:00:00"/>
    <d v="2023-07-07T19:34:21"/>
    <m/>
    <d v="2023-07-07T00:00:00"/>
    <n v="182"/>
    <n v="7002"/>
    <s v="16136978"/>
    <s v="16136978"/>
    <m/>
    <m/>
    <m/>
    <m/>
    <m/>
    <m/>
    <s v="SOLRECOUP"/>
    <s v="SOLRECOUP"/>
    <s v="POARECOUP"/>
    <n v="21346222"/>
    <n v="-25"/>
    <m/>
    <s v="Y"/>
    <n v="2"/>
    <d v="2023-07-07T19:34:22"/>
    <s v="N"/>
    <m/>
    <m/>
    <s v="Expert Disbursement"/>
    <m/>
    <s v="N"/>
    <n v="0"/>
    <n v="0"/>
    <x v="9"/>
    <s v="VALIDATED"/>
    <n v="1"/>
    <s v="01.11.80.000.0000.0000"/>
    <n v="0"/>
    <s v="11"/>
    <s v="0000"/>
    <n v="12869.96"/>
    <n v="0"/>
    <s v="CREDITOR"/>
    <n v="0"/>
    <n v="0"/>
    <n v="0"/>
    <n v="0"/>
    <n v="0"/>
  </r>
  <r>
    <n v="16136978"/>
    <s v="N"/>
    <n v="21346223"/>
    <s v="3000007728880015RC"/>
    <s v="CIVIL"/>
    <d v="2023-06-28T00:00:00"/>
    <d v="2023-07-07T19:34:21"/>
    <m/>
    <d v="2023-07-07T00:00:00"/>
    <n v="182"/>
    <n v="7002"/>
    <s v="16136978"/>
    <s v="16136978"/>
    <m/>
    <m/>
    <m/>
    <m/>
    <m/>
    <m/>
    <s v="SOLRECOUP"/>
    <s v="SOLRECOUP"/>
    <s v="POARECOUP"/>
    <n v="21346223"/>
    <n v="-174"/>
    <m/>
    <s v="Y"/>
    <n v="1"/>
    <d v="2023-07-07T19:34:22"/>
    <s v="N"/>
    <m/>
    <m/>
    <s v="Expert Disbursement"/>
    <m/>
    <s v="N"/>
    <n v="-145"/>
    <n v="0"/>
    <x v="9"/>
    <s v="VALIDATED"/>
    <n v="1"/>
    <s v="01.11.80.307.2013.0000"/>
    <n v="-145"/>
    <s v="11"/>
    <s v="2013"/>
    <n v="12869.96"/>
    <n v="-145"/>
    <s v="CREDITOR"/>
    <n v="0"/>
    <n v="0"/>
    <n v="-145"/>
    <n v="0"/>
    <n v="0"/>
  </r>
  <r>
    <n v="16136978"/>
    <s v="N"/>
    <n v="21346223"/>
    <s v="3000007728880015RC"/>
    <s v="CIVIL"/>
    <d v="2023-06-28T00:00:00"/>
    <d v="2023-07-07T19:34:21"/>
    <m/>
    <d v="2023-07-07T00:00:00"/>
    <n v="182"/>
    <n v="7002"/>
    <s v="16136978"/>
    <s v="16136978"/>
    <m/>
    <m/>
    <m/>
    <m/>
    <m/>
    <m/>
    <s v="SOLRECOUP"/>
    <s v="SOLRECOUP"/>
    <s v="POARECOUP"/>
    <n v="21346223"/>
    <n v="-174"/>
    <m/>
    <s v="Y"/>
    <n v="2"/>
    <d v="2023-07-07T19:34:22"/>
    <s v="N"/>
    <m/>
    <m/>
    <s v="Expert Disbursement"/>
    <m/>
    <s v="N"/>
    <n v="0"/>
    <n v="-29"/>
    <x v="9"/>
    <s v="VALIDATED"/>
    <n v="1"/>
    <s v="01.11.80.307.2013.0000"/>
    <n v="-29"/>
    <s v="11"/>
    <s v="2013"/>
    <n v="12869.96"/>
    <n v="-29"/>
    <s v="CREDITOR"/>
    <n v="0"/>
    <n v="0"/>
    <n v="-29"/>
    <n v="0"/>
    <n v="0"/>
  </r>
  <r>
    <n v="16136978"/>
    <s v="N"/>
    <n v="21346224"/>
    <s v="3000007728880011RC"/>
    <s v="CIVIL"/>
    <d v="2023-06-28T00:00:00"/>
    <d v="2023-07-07T19:34:21"/>
    <m/>
    <d v="2023-07-07T00:00:00"/>
    <n v="182"/>
    <n v="7002"/>
    <s v="16136978"/>
    <s v="16136978"/>
    <m/>
    <m/>
    <m/>
    <m/>
    <m/>
    <m/>
    <s v="SOLRECOUP"/>
    <s v="SOLRECOUP"/>
    <s v="POARECOUP"/>
    <n v="21346224"/>
    <n v="-174.36"/>
    <m/>
    <s v="Y"/>
    <n v="1"/>
    <d v="2023-07-07T19:34:22"/>
    <s v="N"/>
    <m/>
    <m/>
    <s v="Expert Disbursement"/>
    <m/>
    <s v="N"/>
    <n v="-145.3"/>
    <n v="0"/>
    <x v="9"/>
    <s v="VALIDATED"/>
    <n v="1"/>
    <s v="01.11.80.307.2013.0000"/>
    <n v="-145.3"/>
    <s v="11"/>
    <s v="2013"/>
    <n v="12869.96"/>
    <n v="-145.3"/>
    <s v="CREDITOR"/>
    <n v="0"/>
    <n v="0"/>
    <n v="-145.3"/>
    <n v="0"/>
    <n v="0"/>
  </r>
  <r>
    <n v="16136978"/>
    <s v="N"/>
    <n v="21346224"/>
    <s v="3000007728880011RC"/>
    <s v="CIVIL"/>
    <d v="2023-06-28T00:00:00"/>
    <d v="2023-07-07T19:34:21"/>
    <m/>
    <d v="2023-07-07T00:00:00"/>
    <n v="182"/>
    <n v="7002"/>
    <s v="16136978"/>
    <s v="16136978"/>
    <m/>
    <m/>
    <m/>
    <m/>
    <m/>
    <m/>
    <s v="SOLRECOUP"/>
    <s v="SOLRECOUP"/>
    <s v="POARECOUP"/>
    <n v="21346224"/>
    <n v="-174.36"/>
    <m/>
    <s v="Y"/>
    <n v="2"/>
    <d v="2023-07-07T19:34:22"/>
    <s v="N"/>
    <m/>
    <m/>
    <s v="Expert Disbursement"/>
    <m/>
    <s v="N"/>
    <n v="0"/>
    <n v="-29.06"/>
    <x v="9"/>
    <s v="VALIDATED"/>
    <n v="1"/>
    <s v="01.11.80.307.2013.0000"/>
    <n v="-29.06"/>
    <s v="11"/>
    <s v="2013"/>
    <n v="12869.96"/>
    <n v="-29.06"/>
    <s v="CREDITOR"/>
    <n v="0"/>
    <n v="0"/>
    <n v="-29.06"/>
    <n v="0"/>
    <n v="0"/>
  </r>
  <r>
    <n v="16136978"/>
    <s v="N"/>
    <n v="21346225"/>
    <s v="3000007728880012RC"/>
    <s v="CIVIL"/>
    <d v="2023-06-28T00:00:00"/>
    <d v="2023-07-07T19:34:21"/>
    <m/>
    <d v="2023-07-07T00:00:00"/>
    <n v="182"/>
    <n v="7002"/>
    <s v="16136978"/>
    <s v="16136978"/>
    <m/>
    <m/>
    <m/>
    <m/>
    <m/>
    <m/>
    <s v="SOLRECOUP"/>
    <s v="SOLRECOUP"/>
    <s v="POARECOUP"/>
    <n v="21346225"/>
    <n v="-42.08"/>
    <m/>
    <s v="Y"/>
    <n v="1"/>
    <d v="2023-07-07T19:34:22"/>
    <s v="N"/>
    <m/>
    <m/>
    <s v="Expert Disbursement"/>
    <m/>
    <s v="N"/>
    <n v="-42.08"/>
    <n v="0"/>
    <x v="9"/>
    <s v="VALIDATED"/>
    <n v="1"/>
    <s v="01.11.80.307.2013.0000"/>
    <n v="-42.08"/>
    <s v="11"/>
    <s v="2013"/>
    <n v="12869.96"/>
    <n v="-42.08"/>
    <s v="CREDITOR"/>
    <n v="0"/>
    <n v="0"/>
    <n v="-42.08"/>
    <n v="0"/>
    <n v="0"/>
  </r>
  <r>
    <n v="16136978"/>
    <s v="N"/>
    <n v="21346225"/>
    <s v="3000007728880012RC"/>
    <s v="CIVIL"/>
    <d v="2023-06-28T00:00:00"/>
    <d v="2023-07-07T19:34:21"/>
    <m/>
    <d v="2023-07-07T00:00:00"/>
    <n v="182"/>
    <n v="7002"/>
    <s v="16136978"/>
    <s v="16136978"/>
    <m/>
    <m/>
    <m/>
    <m/>
    <m/>
    <m/>
    <s v="SOLRECOUP"/>
    <s v="SOLRECOUP"/>
    <s v="POARECOUP"/>
    <n v="21346225"/>
    <n v="-42.08"/>
    <m/>
    <s v="Y"/>
    <n v="2"/>
    <d v="2023-07-07T19:34:22"/>
    <s v="N"/>
    <m/>
    <m/>
    <s v="Expert Disbursement"/>
    <m/>
    <s v="N"/>
    <n v="0"/>
    <n v="0"/>
    <x v="9"/>
    <s v="VALIDATED"/>
    <n v="1"/>
    <s v="01.11.80.000.0000.0000"/>
    <n v="0"/>
    <s v="11"/>
    <s v="0000"/>
    <n v="12869.96"/>
    <n v="0"/>
    <s v="CREDITOR"/>
    <n v="0"/>
    <n v="0"/>
    <n v="0"/>
    <n v="0"/>
    <n v="0"/>
  </r>
  <r>
    <n v="16136978"/>
    <s v="N"/>
    <n v="21346226"/>
    <s v="3000007728880018RC"/>
    <s v="CIVIL"/>
    <d v="2023-06-28T00:00:00"/>
    <d v="2023-07-07T19:34:21"/>
    <m/>
    <d v="2023-07-07T00:00:00"/>
    <n v="182"/>
    <n v="7002"/>
    <s v="16136978"/>
    <s v="16136978"/>
    <m/>
    <m/>
    <m/>
    <m/>
    <m/>
    <m/>
    <s v="SOLRECOUP"/>
    <s v="SOLRECOUP"/>
    <s v="POARECOUP"/>
    <n v="21346226"/>
    <n v="-18.75"/>
    <m/>
    <s v="Y"/>
    <n v="1"/>
    <d v="2023-07-07T19:34:22"/>
    <s v="N"/>
    <m/>
    <m/>
    <s v="Expert Disbursement"/>
    <m/>
    <s v="N"/>
    <n v="-18.75"/>
    <n v="0"/>
    <x v="9"/>
    <s v="VALIDATED"/>
    <n v="1"/>
    <s v="01.11.80.307.2013.0000"/>
    <n v="-18.75"/>
    <s v="11"/>
    <s v="2013"/>
    <n v="12869.96"/>
    <n v="-18.75"/>
    <s v="CREDITOR"/>
    <n v="0"/>
    <n v="0"/>
    <n v="-18.75"/>
    <n v="0"/>
    <n v="0"/>
  </r>
  <r>
    <n v="16136978"/>
    <s v="N"/>
    <n v="21346226"/>
    <s v="3000007728880018RC"/>
    <s v="CIVIL"/>
    <d v="2023-06-28T00:00:00"/>
    <d v="2023-07-07T19:34:21"/>
    <m/>
    <d v="2023-07-07T00:00:00"/>
    <n v="182"/>
    <n v="7002"/>
    <s v="16136978"/>
    <s v="16136978"/>
    <m/>
    <m/>
    <m/>
    <m/>
    <m/>
    <m/>
    <s v="SOLRECOUP"/>
    <s v="SOLRECOUP"/>
    <s v="POARECOUP"/>
    <n v="21346226"/>
    <n v="-18.75"/>
    <m/>
    <s v="Y"/>
    <n v="2"/>
    <d v="2023-07-07T19:34:22"/>
    <s v="N"/>
    <m/>
    <m/>
    <s v="Expert Disbursement"/>
    <m/>
    <s v="N"/>
    <n v="0"/>
    <n v="0"/>
    <x v="9"/>
    <s v="VALIDATED"/>
    <n v="1"/>
    <s v="01.11.80.000.0000.0000"/>
    <n v="0"/>
    <s v="11"/>
    <s v="0000"/>
    <n v="12869.96"/>
    <n v="0"/>
    <s v="CREDITOR"/>
    <n v="0"/>
    <n v="0"/>
    <n v="0"/>
    <n v="0"/>
    <n v="0"/>
  </r>
  <r>
    <n v="16136978"/>
    <s v="N"/>
    <n v="21346227"/>
    <s v="3000007728880019RC"/>
    <s v="CIVIL"/>
    <d v="2023-06-28T00:00:00"/>
    <d v="2023-07-07T19:34:21"/>
    <m/>
    <d v="2023-07-07T00:00:00"/>
    <n v="182"/>
    <n v="7002"/>
    <s v="16136978"/>
    <s v="16136978"/>
    <m/>
    <m/>
    <m/>
    <m/>
    <m/>
    <m/>
    <s v="SOLRECOUP"/>
    <s v="SOLRECOUP"/>
    <s v="POARECOUP"/>
    <n v="21346227"/>
    <n v="-232"/>
    <m/>
    <s v="Y"/>
    <n v="1"/>
    <d v="2023-07-07T19:34:22"/>
    <s v="N"/>
    <m/>
    <m/>
    <s v="Non Expert Disbursement"/>
    <m/>
    <s v="N"/>
    <n v="-232"/>
    <n v="0"/>
    <x v="9"/>
    <s v="VALIDATED"/>
    <n v="1"/>
    <s v="01.11.80.307.2013.0000"/>
    <n v="-232"/>
    <s v="11"/>
    <s v="2013"/>
    <n v="12869.96"/>
    <n v="-232"/>
    <s v="CREDITOR"/>
    <n v="0"/>
    <n v="0"/>
    <n v="-232"/>
    <n v="0"/>
    <n v="0"/>
  </r>
  <r>
    <n v="16136978"/>
    <s v="N"/>
    <n v="21346227"/>
    <s v="3000007728880019RC"/>
    <s v="CIVIL"/>
    <d v="2023-06-28T00:00:00"/>
    <d v="2023-07-07T19:34:21"/>
    <m/>
    <d v="2023-07-07T00:00:00"/>
    <n v="182"/>
    <n v="7002"/>
    <s v="16136978"/>
    <s v="16136978"/>
    <m/>
    <m/>
    <m/>
    <m/>
    <m/>
    <m/>
    <s v="SOLRECOUP"/>
    <s v="SOLRECOUP"/>
    <s v="POARECOUP"/>
    <n v="21346227"/>
    <n v="-232"/>
    <m/>
    <s v="Y"/>
    <n v="2"/>
    <d v="2023-07-07T19:34:22"/>
    <s v="N"/>
    <m/>
    <m/>
    <s v="Non Expert Disbursement"/>
    <m/>
    <s v="N"/>
    <n v="0"/>
    <n v="0"/>
    <x v="9"/>
    <s v="VALIDATED"/>
    <n v="1"/>
    <s v="01.11.80.000.0000.0000"/>
    <n v="0"/>
    <s v="11"/>
    <s v="0000"/>
    <n v="12869.96"/>
    <n v="0"/>
    <s v="CREDITOR"/>
    <n v="0"/>
    <n v="0"/>
    <n v="0"/>
    <n v="0"/>
    <n v="0"/>
  </r>
  <r>
    <n v="16136978"/>
    <s v="N"/>
    <n v="21346228"/>
    <s v="3000007728880013RC"/>
    <s v="CIVIL"/>
    <d v="2023-06-28T00:00:00"/>
    <d v="2023-07-07T19:34:21"/>
    <m/>
    <d v="2023-07-07T00:00:00"/>
    <n v="182"/>
    <n v="7002"/>
    <s v="16136978"/>
    <s v="16136978"/>
    <m/>
    <m/>
    <m/>
    <m/>
    <m/>
    <m/>
    <s v="SOLRECOUP"/>
    <s v="SOLRECOUP"/>
    <s v="POARECOUP"/>
    <n v="21346228"/>
    <n v="-129.7"/>
    <m/>
    <s v="Y"/>
    <n v="1"/>
    <d v="2023-07-07T19:34:22"/>
    <s v="N"/>
    <m/>
    <m/>
    <s v="Expert Disbursement"/>
    <m/>
    <s v="N"/>
    <n v="-129.7"/>
    <n v="0"/>
    <x v="9"/>
    <s v="VALIDATED"/>
    <n v="1"/>
    <s v="01.11.80.307.2013.0000"/>
    <n v="-129.7"/>
    <s v="11"/>
    <s v="2013"/>
    <n v="12869.96"/>
    <n v="-129.7"/>
    <s v="CREDITOR"/>
    <n v="0"/>
    <n v="0"/>
    <n v="-129.7"/>
    <n v="0"/>
    <n v="0"/>
  </r>
  <r>
    <n v="16136978"/>
    <s v="N"/>
    <n v="21346228"/>
    <s v="3000007728880013RC"/>
    <s v="CIVIL"/>
    <d v="2023-06-28T00:00:00"/>
    <d v="2023-07-07T19:34:21"/>
    <m/>
    <d v="2023-07-07T00:00:00"/>
    <n v="182"/>
    <n v="7002"/>
    <s v="16136978"/>
    <s v="16136978"/>
    <m/>
    <m/>
    <m/>
    <m/>
    <m/>
    <m/>
    <s v="SOLRECOUP"/>
    <s v="SOLRECOUP"/>
    <s v="POARECOUP"/>
    <n v="21346228"/>
    <n v="-129.7"/>
    <m/>
    <s v="Y"/>
    <n v="2"/>
    <d v="2023-07-07T19:34:22"/>
    <s v="N"/>
    <m/>
    <m/>
    <s v="Expert Disbursement"/>
    <m/>
    <s v="N"/>
    <n v="0"/>
    <n v="0"/>
    <x v="9"/>
    <s v="VALIDATED"/>
    <n v="1"/>
    <s v="01.11.80.000.0000.0000"/>
    <n v="0"/>
    <s v="11"/>
    <s v="0000"/>
    <n v="12869.96"/>
    <n v="0"/>
    <s v="CREDITOR"/>
    <n v="0"/>
    <n v="0"/>
    <n v="0"/>
    <n v="0"/>
    <n v="0"/>
  </r>
  <r>
    <n v="16136978"/>
    <s v="N"/>
    <n v="21346229"/>
    <s v="3000007728880014RC"/>
    <s v="CIVIL"/>
    <d v="2023-06-28T00:00:00"/>
    <d v="2023-07-07T19:34:21"/>
    <m/>
    <d v="2023-07-07T00:00:00"/>
    <n v="182"/>
    <n v="7002"/>
    <s v="16136978"/>
    <s v="16136978"/>
    <m/>
    <m/>
    <m/>
    <m/>
    <m/>
    <m/>
    <s v="SOLRECOUP"/>
    <s v="SOLRECOUP"/>
    <s v="POARECOUP"/>
    <n v="21346229"/>
    <n v="-31.25"/>
    <m/>
    <s v="Y"/>
    <n v="1"/>
    <d v="2023-07-07T19:34:22"/>
    <s v="N"/>
    <m/>
    <m/>
    <s v="Expert Disbursement"/>
    <m/>
    <s v="N"/>
    <n v="-31.25"/>
    <n v="0"/>
    <x v="9"/>
    <s v="VALIDATED"/>
    <n v="1"/>
    <s v="01.11.80.307.2013.0000"/>
    <n v="-31.25"/>
    <s v="11"/>
    <s v="2013"/>
    <n v="12869.96"/>
    <n v="-31.25"/>
    <s v="CREDITOR"/>
    <n v="0"/>
    <n v="0"/>
    <n v="-31.25"/>
    <n v="0"/>
    <n v="0"/>
  </r>
  <r>
    <n v="16136978"/>
    <s v="N"/>
    <n v="21346229"/>
    <s v="3000007728880014RC"/>
    <s v="CIVIL"/>
    <d v="2023-06-28T00:00:00"/>
    <d v="2023-07-07T19:34:21"/>
    <m/>
    <d v="2023-07-07T00:00:00"/>
    <n v="182"/>
    <n v="7002"/>
    <s v="16136978"/>
    <s v="16136978"/>
    <m/>
    <m/>
    <m/>
    <m/>
    <m/>
    <m/>
    <s v="SOLRECOUP"/>
    <s v="SOLRECOUP"/>
    <s v="POARECOUP"/>
    <n v="21346229"/>
    <n v="-31.25"/>
    <m/>
    <s v="Y"/>
    <n v="2"/>
    <d v="2023-07-07T19:34:22"/>
    <s v="N"/>
    <m/>
    <m/>
    <s v="Expert Disbursement"/>
    <m/>
    <s v="N"/>
    <n v="0"/>
    <n v="0"/>
    <x v="9"/>
    <s v="VALIDATED"/>
    <n v="1"/>
    <s v="01.11.80.000.0000.0000"/>
    <n v="0"/>
    <s v="11"/>
    <s v="0000"/>
    <n v="12869.96"/>
    <n v="0"/>
    <s v="CREDITOR"/>
    <n v="0"/>
    <n v="0"/>
    <n v="0"/>
    <n v="0"/>
    <n v="0"/>
  </r>
  <r>
    <n v="16136978"/>
    <s v="N"/>
    <n v="21346230"/>
    <s v="3000007728880021RC"/>
    <s v="CIVIL"/>
    <d v="2023-06-28T00:00:00"/>
    <d v="2023-07-07T19:34:21"/>
    <m/>
    <d v="2023-07-07T00:00:00"/>
    <n v="182"/>
    <n v="7002"/>
    <s v="16136978"/>
    <s v="16136978"/>
    <m/>
    <m/>
    <m/>
    <m/>
    <m/>
    <m/>
    <s v="SOLRECOUP"/>
    <s v="SOLRECOUP"/>
    <s v="POARECOUP"/>
    <n v="21346230"/>
    <n v="-37.5"/>
    <m/>
    <s v="Y"/>
    <n v="1"/>
    <d v="2023-07-07T19:34:22"/>
    <s v="N"/>
    <m/>
    <m/>
    <s v="Expert Disbursement"/>
    <m/>
    <s v="N"/>
    <n v="-37.5"/>
    <n v="0"/>
    <x v="9"/>
    <s v="VALIDATED"/>
    <n v="1"/>
    <s v="01.11.80.307.2013.0000"/>
    <n v="-37.5"/>
    <s v="11"/>
    <s v="2013"/>
    <n v="12869.96"/>
    <n v="-37.5"/>
    <s v="CREDITOR"/>
    <n v="0"/>
    <n v="0"/>
    <n v="-37.5"/>
    <n v="0"/>
    <n v="0"/>
  </r>
  <r>
    <n v="16136978"/>
    <s v="N"/>
    <n v="21346230"/>
    <s v="3000007728880021RC"/>
    <s v="CIVIL"/>
    <d v="2023-06-28T00:00:00"/>
    <d v="2023-07-07T19:34:21"/>
    <m/>
    <d v="2023-07-07T00:00:00"/>
    <n v="182"/>
    <n v="7002"/>
    <s v="16136978"/>
    <s v="16136978"/>
    <m/>
    <m/>
    <m/>
    <m/>
    <m/>
    <m/>
    <s v="SOLRECOUP"/>
    <s v="SOLRECOUP"/>
    <s v="POARECOUP"/>
    <n v="21346230"/>
    <n v="-37.5"/>
    <m/>
    <s v="Y"/>
    <n v="2"/>
    <d v="2023-07-07T19:34:22"/>
    <s v="N"/>
    <m/>
    <m/>
    <s v="Expert Disbursement"/>
    <m/>
    <s v="N"/>
    <n v="0"/>
    <n v="0"/>
    <x v="9"/>
    <s v="VALIDATED"/>
    <n v="1"/>
    <s v="01.11.80.000.0000.0000"/>
    <n v="0"/>
    <s v="11"/>
    <s v="0000"/>
    <n v="12869.96"/>
    <n v="0"/>
    <s v="CREDITOR"/>
    <n v="0"/>
    <n v="0"/>
    <n v="0"/>
    <n v="0"/>
    <n v="0"/>
  </r>
  <r>
    <n v="16136978"/>
    <s v="N"/>
    <n v="21346231"/>
    <s v="3000007728880023RC"/>
    <s v="CIVIL"/>
    <d v="2023-06-28T00:00:00"/>
    <d v="2023-07-07T19:34:21"/>
    <m/>
    <d v="2023-07-07T00:00:00"/>
    <n v="182"/>
    <n v="7002"/>
    <s v="16136978"/>
    <s v="16136978"/>
    <m/>
    <m/>
    <m/>
    <m/>
    <m/>
    <m/>
    <s v="SOLRECOUP"/>
    <s v="SOLRECOUP"/>
    <s v="POARECOUP"/>
    <n v="21346231"/>
    <n v="-54.17"/>
    <m/>
    <s v="Y"/>
    <n v="1"/>
    <d v="2023-07-07T19:34:22"/>
    <s v="N"/>
    <m/>
    <m/>
    <s v="Expert Disbursement"/>
    <m/>
    <s v="N"/>
    <n v="-54.17"/>
    <n v="0"/>
    <x v="9"/>
    <s v="VALIDATED"/>
    <n v="1"/>
    <s v="01.11.80.307.2013.0000"/>
    <n v="-54.17"/>
    <s v="11"/>
    <s v="2013"/>
    <n v="12869.96"/>
    <n v="-54.17"/>
    <s v="CREDITOR"/>
    <n v="0"/>
    <n v="0"/>
    <n v="-54.17"/>
    <n v="0"/>
    <n v="0"/>
  </r>
  <r>
    <n v="16136978"/>
    <s v="N"/>
    <n v="21346231"/>
    <s v="3000007728880023RC"/>
    <s v="CIVIL"/>
    <d v="2023-06-28T00:00:00"/>
    <d v="2023-07-07T19:34:21"/>
    <m/>
    <d v="2023-07-07T00:00:00"/>
    <n v="182"/>
    <n v="7002"/>
    <s v="16136978"/>
    <s v="16136978"/>
    <m/>
    <m/>
    <m/>
    <m/>
    <m/>
    <m/>
    <s v="SOLRECOUP"/>
    <s v="SOLRECOUP"/>
    <s v="POARECOUP"/>
    <n v="21346231"/>
    <n v="-54.17"/>
    <m/>
    <s v="Y"/>
    <n v="2"/>
    <d v="2023-07-07T19:34:22"/>
    <s v="N"/>
    <m/>
    <m/>
    <s v="Expert Disbursement"/>
    <m/>
    <s v="N"/>
    <n v="0"/>
    <n v="0"/>
    <x v="9"/>
    <s v="VALIDATED"/>
    <n v="1"/>
    <s v="01.11.80.000.0000.0000"/>
    <n v="0"/>
    <s v="11"/>
    <s v="0000"/>
    <n v="12869.96"/>
    <n v="0"/>
    <s v="CREDITOR"/>
    <n v="0"/>
    <n v="0"/>
    <n v="0"/>
    <n v="0"/>
    <n v="0"/>
  </r>
  <r>
    <n v="16136978"/>
    <s v="N"/>
    <n v="21346232"/>
    <s v="3000007728880022RC"/>
    <s v="CIVIL"/>
    <d v="2023-06-28T00:00:00"/>
    <d v="2023-07-07T19:34:21"/>
    <m/>
    <d v="2023-07-07T00:00:00"/>
    <n v="182"/>
    <n v="7002"/>
    <s v="16136978"/>
    <s v="16136978"/>
    <m/>
    <m/>
    <m/>
    <m/>
    <m/>
    <m/>
    <s v="SOLRECOUP"/>
    <s v="SOLRECOUP"/>
    <s v="POARECOUP"/>
    <n v="21346232"/>
    <n v="-40"/>
    <m/>
    <s v="Y"/>
    <n v="1"/>
    <d v="2023-07-07T19:34:22"/>
    <s v="N"/>
    <m/>
    <m/>
    <s v="Expert Disbursement"/>
    <m/>
    <s v="N"/>
    <n v="-40"/>
    <n v="0"/>
    <x v="9"/>
    <s v="VALIDATED"/>
    <n v="1"/>
    <s v="01.11.80.307.2013.0000"/>
    <n v="-40"/>
    <s v="11"/>
    <s v="2013"/>
    <n v="12869.96"/>
    <n v="-40"/>
    <s v="CREDITOR"/>
    <n v="0"/>
    <n v="0"/>
    <n v="-40"/>
    <n v="0"/>
    <n v="0"/>
  </r>
  <r>
    <n v="16136978"/>
    <s v="N"/>
    <n v="21346232"/>
    <s v="3000007728880022RC"/>
    <s v="CIVIL"/>
    <d v="2023-06-28T00:00:00"/>
    <d v="2023-07-07T19:34:21"/>
    <m/>
    <d v="2023-07-07T00:00:00"/>
    <n v="182"/>
    <n v="7002"/>
    <s v="16136978"/>
    <s v="16136978"/>
    <m/>
    <m/>
    <m/>
    <m/>
    <m/>
    <m/>
    <s v="SOLRECOUP"/>
    <s v="SOLRECOUP"/>
    <s v="POARECOUP"/>
    <n v="21346232"/>
    <n v="-40"/>
    <m/>
    <s v="Y"/>
    <n v="2"/>
    <d v="2023-07-07T19:34:22"/>
    <s v="N"/>
    <m/>
    <m/>
    <s v="Expert Disbursement"/>
    <m/>
    <s v="N"/>
    <n v="0"/>
    <n v="0"/>
    <x v="9"/>
    <s v="VALIDATED"/>
    <n v="1"/>
    <s v="01.11.80.000.0000.0000"/>
    <n v="0"/>
    <s v="11"/>
    <s v="0000"/>
    <n v="12869.96"/>
    <n v="0"/>
    <s v="CREDITOR"/>
    <n v="0"/>
    <n v="0"/>
    <n v="0"/>
    <n v="0"/>
    <n v="0"/>
  </r>
  <r>
    <n v="16136978"/>
    <s v="N"/>
    <n v="21346233"/>
    <s v="3000007728880024RC"/>
    <s v="CIVIL"/>
    <d v="2023-06-28T00:00:00"/>
    <d v="2023-07-07T19:34:21"/>
    <m/>
    <d v="2023-07-07T00:00:00"/>
    <n v="182"/>
    <n v="7002"/>
    <s v="16136978"/>
    <s v="16136978"/>
    <m/>
    <m/>
    <m/>
    <m/>
    <m/>
    <m/>
    <s v="SOLRECOUP"/>
    <s v="SOLRECOUP"/>
    <s v="POARECOUP"/>
    <n v="21346233"/>
    <n v="-25"/>
    <m/>
    <s v="Y"/>
    <n v="1"/>
    <d v="2023-07-07T19:34:22"/>
    <s v="N"/>
    <m/>
    <m/>
    <s v="Expert Disbursement"/>
    <m/>
    <s v="N"/>
    <n v="-25"/>
    <n v="0"/>
    <x v="9"/>
    <s v="VALIDATED"/>
    <n v="1"/>
    <s v="01.11.80.307.2013.0000"/>
    <n v="-25"/>
    <s v="11"/>
    <s v="2013"/>
    <n v="12869.96"/>
    <n v="-25"/>
    <s v="CREDITOR"/>
    <n v="0"/>
    <n v="0"/>
    <n v="-25"/>
    <n v="0"/>
    <n v="0"/>
  </r>
  <r>
    <n v="16136978"/>
    <s v="N"/>
    <n v="21346233"/>
    <s v="3000007728880024RC"/>
    <s v="CIVIL"/>
    <d v="2023-06-28T00:00:00"/>
    <d v="2023-07-07T19:34:21"/>
    <m/>
    <d v="2023-07-07T00:00:00"/>
    <n v="182"/>
    <n v="7002"/>
    <s v="16136978"/>
    <s v="16136978"/>
    <m/>
    <m/>
    <m/>
    <m/>
    <m/>
    <m/>
    <s v="SOLRECOUP"/>
    <s v="SOLRECOUP"/>
    <s v="POARECOUP"/>
    <n v="21346233"/>
    <n v="-25"/>
    <m/>
    <s v="Y"/>
    <n v="2"/>
    <d v="2023-07-07T19:34:22"/>
    <s v="N"/>
    <m/>
    <m/>
    <s v="Expert Disbursement"/>
    <m/>
    <s v="N"/>
    <n v="0"/>
    <n v="0"/>
    <x v="9"/>
    <s v="VALIDATED"/>
    <n v="1"/>
    <s v="01.11.80.000.0000.0000"/>
    <n v="0"/>
    <s v="11"/>
    <s v="0000"/>
    <n v="12869.96"/>
    <n v="0"/>
    <s v="CREDITOR"/>
    <n v="0"/>
    <n v="0"/>
    <n v="0"/>
    <n v="0"/>
    <n v="0"/>
  </r>
  <r>
    <n v="60766938"/>
    <s v="N"/>
    <n v="21327967"/>
    <s v="3000015006180008"/>
    <s v="CIVIL"/>
    <d v="2023-06-19T00:00:00"/>
    <d v="2023-07-04T19:00:44"/>
    <m/>
    <d v="2023-07-04T00:00:00"/>
    <n v="182"/>
    <n v="7002"/>
    <s v="60766938"/>
    <s v="60766938"/>
    <m/>
    <m/>
    <n v="22717928"/>
    <m/>
    <m/>
    <m/>
    <s v="SOLFIN"/>
    <s v="SOLFIN"/>
    <s v="CCMS"/>
    <n v="21327967"/>
    <n v="9724.02"/>
    <m/>
    <s v="N"/>
    <n v="22"/>
    <d v="2023-07-04T19:01:00"/>
    <s v="Y"/>
    <s v="Advocates Meeting"/>
    <s v="Public Law Children"/>
    <s v="Advocacy"/>
    <s v="Shanthi Balakrishnan"/>
    <s v="Y"/>
    <n v="140.99"/>
    <n v="28.2"/>
    <x v="1"/>
    <s v="VALIDATED"/>
    <n v="1"/>
    <s v="01.11.80.308.6100.0000"/>
    <n v="140.99"/>
    <s v="11"/>
    <s v="6100"/>
    <n v="12869.96"/>
    <n v="140.99"/>
    <s v="CREDITOR"/>
    <n v="0"/>
    <n v="0"/>
    <n v="0"/>
    <n v="0"/>
    <n v="140.99"/>
  </r>
  <r>
    <n v="16136978"/>
    <s v="N"/>
    <n v="21344016"/>
    <s v="3000007728880026"/>
    <s v="CIVIL"/>
    <d v="2023-06-28T00:00:00"/>
    <d v="2023-07-07T19:03:00"/>
    <m/>
    <d v="2023-07-07T00:00:00"/>
    <n v="182"/>
    <n v="7002"/>
    <s v="16136978"/>
    <s v="16136978"/>
    <m/>
    <m/>
    <n v="22782192"/>
    <m/>
    <m/>
    <m/>
    <s v="SOLFIN"/>
    <s v="SOLFIN"/>
    <s v="CCMS"/>
    <n v="21344016"/>
    <n v="9404.790000000001"/>
    <m/>
    <s v="N"/>
    <n v="6"/>
    <d v="2023-07-07T19:03:21"/>
    <s v="Y"/>
    <s v="Process server"/>
    <s v="Private Law Children"/>
    <s v="Expert Disbursement"/>
    <s v="SB"/>
    <s v="Y"/>
    <n v="355.5"/>
    <n v="71.09999999999999"/>
    <x v="9"/>
    <s v="VALIDATED"/>
    <n v="1"/>
    <s v="01.11.80.307.6300.0000"/>
    <n v="355.5"/>
    <s v="11"/>
    <s v="6300"/>
    <n v="12869.96"/>
    <n v="355.5"/>
    <s v="CREDITOR"/>
    <n v="0"/>
    <n v="0"/>
    <n v="0"/>
    <n v="0"/>
    <n v="355.5"/>
  </r>
  <r>
    <n v="16136978"/>
    <s v="N"/>
    <n v="21344016"/>
    <s v="3000007728880026"/>
    <s v="CIVIL"/>
    <d v="2023-06-28T00:00:00"/>
    <d v="2023-07-07T19:03:00"/>
    <m/>
    <d v="2023-07-07T00:00:00"/>
    <n v="182"/>
    <n v="7002"/>
    <s v="16136978"/>
    <s v="16136978"/>
    <m/>
    <m/>
    <n v="22782192"/>
    <m/>
    <m/>
    <m/>
    <s v="SOLFIN"/>
    <s v="SOLFIN"/>
    <s v="CCMS"/>
    <n v="21344016"/>
    <n v="9404.790000000001"/>
    <m/>
    <s v="N"/>
    <n v="12"/>
    <d v="2023-07-07T19:03:21"/>
    <s v="Y"/>
    <s v="Interpreter"/>
    <s v="Private Law Children"/>
    <s v="Expert Disbursement"/>
    <s v="SB"/>
    <s v="Y"/>
    <n v="25"/>
    <n v="5"/>
    <x v="9"/>
    <s v="VALIDATED"/>
    <n v="1"/>
    <s v="01.11.80.307.6300.0000"/>
    <n v="25"/>
    <s v="11"/>
    <s v="6300"/>
    <n v="12869.96"/>
    <n v="25"/>
    <s v="CREDITOR"/>
    <n v="0"/>
    <n v="0"/>
    <n v="0"/>
    <n v="0"/>
    <n v="25"/>
  </r>
  <r>
    <n v="60766938"/>
    <s v="N"/>
    <n v="21327967"/>
    <s v="3000015006180008"/>
    <s v="CIVIL"/>
    <d v="2023-06-19T00:00:00"/>
    <d v="2023-07-04T19:00:44"/>
    <m/>
    <d v="2023-07-04T00:00:00"/>
    <n v="182"/>
    <n v="7002"/>
    <s v="60766938"/>
    <s v="60766938"/>
    <m/>
    <m/>
    <n v="22717928"/>
    <m/>
    <m/>
    <m/>
    <s v="SOLFIN"/>
    <s v="SOLFIN"/>
    <s v="CCMS"/>
    <n v="21327967"/>
    <n v="9724.02"/>
    <m/>
    <s v="N"/>
    <n v="4"/>
    <d v="2023-07-04T19:01:00"/>
    <s v="Y"/>
    <s v="Psychologist"/>
    <s v="Public Law Children"/>
    <s v="Expert Disbursement"/>
    <s v="Shanthi Balakrishnan"/>
    <s v="Y"/>
    <n v="150.4"/>
    <n v="0"/>
    <x v="1"/>
    <s v="VALIDATED"/>
    <n v="1"/>
    <s v="01.11.80.308.6300.0000"/>
    <n v="150.4"/>
    <s v="11"/>
    <s v="6300"/>
    <n v="12869.96"/>
    <n v="150.4"/>
    <s v="CREDITOR"/>
    <n v="0"/>
    <n v="0"/>
    <n v="0"/>
    <n v="0"/>
    <n v="150.4"/>
  </r>
  <r>
    <n v="60766938"/>
    <s v="N"/>
    <n v="21327967"/>
    <s v="3000015006180008"/>
    <s v="CIVIL"/>
    <d v="2023-06-19T00:00:00"/>
    <d v="2023-07-04T19:00:44"/>
    <m/>
    <d v="2023-07-04T00:00:00"/>
    <n v="182"/>
    <n v="7002"/>
    <s v="60766938"/>
    <s v="60766938"/>
    <m/>
    <m/>
    <n v="22717928"/>
    <m/>
    <m/>
    <m/>
    <s v="SOLFIN"/>
    <s v="SOLFIN"/>
    <s v="CCMS"/>
    <n v="21327967"/>
    <n v="9724.02"/>
    <m/>
    <s v="N"/>
    <n v="8"/>
    <d v="2023-07-04T19:01:00"/>
    <s v="Y"/>
    <s v="Solicitor Travel Expenses"/>
    <s v="Public Law Children"/>
    <s v="Non Expert Disbursement"/>
    <s v="Shanthi Balakrishnan"/>
    <s v="Y"/>
    <n v="4.3"/>
    <n v="0.86"/>
    <x v="1"/>
    <s v="VALIDATED"/>
    <n v="1"/>
    <s v="01.11.80.308.6300.0000"/>
    <n v="4.3"/>
    <s v="11"/>
    <s v="6300"/>
    <n v="12869.96"/>
    <n v="4.3"/>
    <s v="CREDITOR"/>
    <n v="0"/>
    <n v="0"/>
    <n v="0"/>
    <n v="0"/>
    <n v="4.3"/>
  </r>
  <r>
    <n v="60766938"/>
    <s v="N"/>
    <n v="21327967"/>
    <s v="3000015006180008"/>
    <s v="CIVIL"/>
    <d v="2023-06-19T00:00:00"/>
    <d v="2023-07-04T19:00:44"/>
    <m/>
    <d v="2023-07-04T00:00:00"/>
    <n v="182"/>
    <n v="7002"/>
    <s v="60766938"/>
    <s v="60766938"/>
    <m/>
    <m/>
    <n v="22717928"/>
    <m/>
    <m/>
    <m/>
    <s v="SOLFIN"/>
    <s v="SOLFIN"/>
    <s v="CCMS"/>
    <n v="21327967"/>
    <n v="9724.02"/>
    <m/>
    <s v="N"/>
    <n v="9"/>
    <d v="2023-07-04T19:01:00"/>
    <s v="Y"/>
    <s v="Expert - Other"/>
    <s v="Public Law Children"/>
    <s v="Expert Disbursement"/>
    <s v="Shanthi Balakrishnan"/>
    <s v="Y"/>
    <n v="23.75"/>
    <n v="4.75"/>
    <x v="1"/>
    <s v="VALIDATED"/>
    <n v="1"/>
    <s v="01.11.80.308.6300.0000"/>
    <n v="23.75"/>
    <s v="11"/>
    <s v="6300"/>
    <n v="12869.96"/>
    <n v="23.75"/>
    <s v="CREDITOR"/>
    <n v="0"/>
    <n v="0"/>
    <n v="0"/>
    <n v="0"/>
    <n v="23.75"/>
  </r>
  <r>
    <n v="16136978"/>
    <s v="N"/>
    <n v="21344016"/>
    <s v="3000007728880026"/>
    <s v="CIVIL"/>
    <d v="2023-06-28T00:00:00"/>
    <d v="2023-07-07T19:03:00"/>
    <m/>
    <d v="2023-07-07T00:00:00"/>
    <n v="182"/>
    <n v="7002"/>
    <s v="16136978"/>
    <s v="16136978"/>
    <m/>
    <m/>
    <n v="22782192"/>
    <m/>
    <m/>
    <m/>
    <s v="SOLFIN"/>
    <s v="SOLFIN"/>
    <s v="CCMS"/>
    <n v="21344016"/>
    <n v="9404.790000000001"/>
    <m/>
    <s v="N"/>
    <n v="21"/>
    <d v="2023-07-07T19:03:21"/>
    <s v="Y"/>
    <s v="Court Fee"/>
    <s v="Private Law Children"/>
    <s v="Non Expert Disbursement"/>
    <s v="SB"/>
    <s v="Y"/>
    <n v="155"/>
    <n v="0"/>
    <x v="9"/>
    <s v="VALIDATED"/>
    <n v="1"/>
    <s v="01.11.80.307.6300.0000"/>
    <n v="155"/>
    <s v="11"/>
    <s v="6300"/>
    <n v="12869.96"/>
    <n v="155"/>
    <s v="CREDITOR"/>
    <n v="0"/>
    <n v="0"/>
    <n v="0"/>
    <n v="0"/>
    <n v="155"/>
  </r>
  <r>
    <n v="60766938"/>
    <s v="N"/>
    <n v="21327967"/>
    <s v="3000015006180008"/>
    <s v="CIVIL"/>
    <d v="2023-06-19T00:00:00"/>
    <d v="2023-07-04T19:00:44"/>
    <m/>
    <d v="2023-07-04T00:00:00"/>
    <n v="182"/>
    <n v="7002"/>
    <s v="60766938"/>
    <s v="60766938"/>
    <m/>
    <m/>
    <n v="22717928"/>
    <m/>
    <m/>
    <m/>
    <s v="SOLFIN"/>
    <s v="SOLFIN"/>
    <s v="CCMS"/>
    <n v="21327967"/>
    <n v="9724.02"/>
    <m/>
    <s v="N"/>
    <n v="16"/>
    <d v="2023-07-04T19:01:00"/>
    <s v="Y"/>
    <s v="Hearing Unit 2.31 - 5.00 Hours"/>
    <s v="Public Law Children"/>
    <s v="Advocacy"/>
    <s v="Shanthi Balakrishnan"/>
    <s v="Y"/>
    <n v="476.92"/>
    <n v="95.38"/>
    <x v="1"/>
    <s v="VALIDATED"/>
    <n v="1"/>
    <s v="01.11.80.308.6100.0000"/>
    <n v="476.92"/>
    <s v="11"/>
    <s v="6100"/>
    <n v="12869.96"/>
    <n v="476.92"/>
    <s v="CREDITOR"/>
    <n v="0"/>
    <n v="0"/>
    <n v="0"/>
    <n v="0"/>
    <n v="476.92"/>
  </r>
  <r>
    <n v="60766938"/>
    <s v="N"/>
    <n v="21327967"/>
    <s v="3000015006180008"/>
    <s v="CIVIL"/>
    <d v="2023-06-19T00:00:00"/>
    <d v="2023-07-04T19:00:44"/>
    <m/>
    <d v="2023-07-04T00:00:00"/>
    <n v="182"/>
    <n v="7002"/>
    <s v="60766938"/>
    <s v="60766938"/>
    <m/>
    <m/>
    <n v="22717928"/>
    <m/>
    <m/>
    <m/>
    <s v="SOLFIN"/>
    <s v="SOLFIN"/>
    <s v="CCMS"/>
    <n v="21327967"/>
    <n v="9724.02"/>
    <m/>
    <s v="N"/>
    <n v="20"/>
    <d v="2023-07-04T19:01:00"/>
    <s v="Y"/>
    <s v="Hearing Unit 2.31 - 5.00 Hours"/>
    <s v="Public Law Children"/>
    <s v="Advocacy"/>
    <s v="Shanthi Balakrishnan"/>
    <s v="Y"/>
    <n v="476.92"/>
    <n v="95.38"/>
    <x v="1"/>
    <s v="VALIDATED"/>
    <n v="1"/>
    <s v="01.11.80.308.6100.0000"/>
    <n v="476.92"/>
    <s v="11"/>
    <s v="6100"/>
    <n v="12869.96"/>
    <n v="476.92"/>
    <s v="CREDITOR"/>
    <n v="0"/>
    <n v="0"/>
    <n v="0"/>
    <n v="0"/>
    <n v="476.92"/>
  </r>
  <r>
    <n v="62089419"/>
    <s v="N"/>
    <n v="21321936"/>
    <s v="3000016115730003"/>
    <s v="CIVIL"/>
    <d v="2023-06-29T00:00:00"/>
    <d v="2023-07-03T19:05:17"/>
    <m/>
    <d v="2023-07-03T00:00:00"/>
    <n v="182"/>
    <n v="7002"/>
    <s v="62089419"/>
    <s v="62089419"/>
    <m/>
    <m/>
    <n v="22785846"/>
    <m/>
    <m/>
    <m/>
    <s v="SOLPOA"/>
    <s v="SOLPOA"/>
    <s v="CCMS"/>
    <n v="21321936"/>
    <n v="86.40000000000001"/>
    <m/>
    <s v="N"/>
    <n v="1"/>
    <d v="2023-07-03T19:05:21"/>
    <s v="N"/>
    <s v="Expert Cost"/>
    <s v="Expert Cost"/>
    <s v="Expert Disbursement"/>
    <s v="Shanthi Balakrishnan"/>
    <s v="N"/>
    <n v="72"/>
    <n v="14.4"/>
    <x v="3"/>
    <s v="VALIDATED"/>
    <n v="1"/>
    <s v="01.11.80.305.2012.0000"/>
    <n v="72"/>
    <s v="11"/>
    <s v="2012"/>
    <n v="12869.96"/>
    <n v="72"/>
    <s v="CREDITOR"/>
    <n v="72"/>
    <n v="0"/>
    <n v="0"/>
    <n v="0"/>
    <n v="0"/>
  </r>
  <r>
    <n v="60766938"/>
    <s v="N"/>
    <n v="21327967"/>
    <s v="3000015006180008"/>
    <s v="CIVIL"/>
    <d v="2023-06-19T00:00:00"/>
    <d v="2023-07-04T19:00:44"/>
    <m/>
    <d v="2023-07-04T00:00:00"/>
    <n v="182"/>
    <n v="7002"/>
    <s v="60766938"/>
    <s v="60766938"/>
    <m/>
    <m/>
    <n v="22717928"/>
    <m/>
    <m/>
    <m/>
    <s v="SOLFIN"/>
    <s v="SOLFIN"/>
    <s v="CCMS"/>
    <n v="21327967"/>
    <n v="9724.02"/>
    <m/>
    <s v="N"/>
    <n v="25"/>
    <d v="2023-07-04T19:01:00"/>
    <s v="Y"/>
    <s v="Solicitors Fixed Fee"/>
    <s v="Public Law Children"/>
    <s v="Profit Cost"/>
    <s v="Shanthi Balakrishnan"/>
    <s v="Y"/>
    <n v="3020"/>
    <n v="604"/>
    <x v="1"/>
    <s v="VALIDATED"/>
    <n v="1"/>
    <s v="01.11.80.308.6100.0000"/>
    <n v="3020"/>
    <s v="11"/>
    <s v="6100"/>
    <n v="12869.96"/>
    <n v="3020"/>
    <s v="CREDITOR"/>
    <n v="0"/>
    <n v="0"/>
    <n v="0"/>
    <n v="0"/>
    <n v="3020"/>
  </r>
  <r>
    <n v="60766938"/>
    <s v="N"/>
    <n v="21327967"/>
    <s v="3000015006180008"/>
    <s v="CIVIL"/>
    <d v="2023-06-19T00:00:00"/>
    <d v="2023-07-04T19:00:44"/>
    <m/>
    <d v="2023-07-04T00:00:00"/>
    <n v="182"/>
    <n v="7002"/>
    <s v="60766938"/>
    <s v="60766938"/>
    <m/>
    <m/>
    <n v="22717928"/>
    <m/>
    <m/>
    <m/>
    <s v="SOLFIN"/>
    <s v="SOLFIN"/>
    <s v="CCMS"/>
    <n v="21327967"/>
    <n v="9724.02"/>
    <m/>
    <s v="N"/>
    <n v="21"/>
    <d v="2023-07-04T19:01:00"/>
    <s v="Y"/>
    <s v="Advocates Meeting"/>
    <s v="Public Law Children"/>
    <s v="Advocacy"/>
    <s v="Shanthi Balakrishnan"/>
    <s v="Y"/>
    <n v="140.99"/>
    <n v="28.2"/>
    <x v="1"/>
    <s v="VALIDATED"/>
    <n v="1"/>
    <s v="01.11.80.308.6100.0000"/>
    <n v="140.99"/>
    <s v="11"/>
    <s v="6100"/>
    <n v="12869.96"/>
    <n v="140.99"/>
    <s v="CREDITOR"/>
    <n v="0"/>
    <n v="0"/>
    <n v="0"/>
    <n v="0"/>
    <n v="140.99"/>
  </r>
  <r>
    <n v="16136978"/>
    <s v="N"/>
    <n v="21344016"/>
    <s v="3000007728880026"/>
    <s v="CIVIL"/>
    <d v="2023-06-28T00:00:00"/>
    <d v="2023-07-07T19:03:00"/>
    <m/>
    <d v="2023-07-07T00:00:00"/>
    <n v="182"/>
    <n v="7002"/>
    <s v="16136978"/>
    <s v="16136978"/>
    <m/>
    <m/>
    <n v="22782192"/>
    <m/>
    <m/>
    <m/>
    <s v="SOLFIN"/>
    <s v="SOLFIN"/>
    <s v="CCMS"/>
    <n v="21344016"/>
    <n v="9404.790000000001"/>
    <m/>
    <s v="N"/>
    <n v="3"/>
    <d v="2023-07-07T19:03:21"/>
    <s v="Y"/>
    <s v="Expert - Other"/>
    <s v="Private Law Children"/>
    <s v="Expert Disbursement"/>
    <s v="SB"/>
    <s v="Y"/>
    <n v="50"/>
    <n v="0"/>
    <x v="9"/>
    <s v="VALIDATED"/>
    <n v="1"/>
    <s v="01.11.80.307.6300.0000"/>
    <n v="50"/>
    <s v="11"/>
    <s v="6300"/>
    <n v="12869.96"/>
    <n v="50"/>
    <s v="CREDITOR"/>
    <n v="0"/>
    <n v="0"/>
    <n v="0"/>
    <n v="0"/>
    <n v="50"/>
  </r>
  <r>
    <n v="16136978"/>
    <s v="N"/>
    <n v="21344016"/>
    <s v="3000007728880026"/>
    <s v="CIVIL"/>
    <d v="2023-06-28T00:00:00"/>
    <d v="2023-07-07T19:03:00"/>
    <m/>
    <d v="2023-07-07T00:00:00"/>
    <n v="182"/>
    <n v="7002"/>
    <s v="16136978"/>
    <s v="16136978"/>
    <m/>
    <m/>
    <n v="22782192"/>
    <m/>
    <m/>
    <m/>
    <s v="SOLFIN"/>
    <s v="SOLFIN"/>
    <s v="CCMS"/>
    <n v="21344016"/>
    <n v="9404.790000000001"/>
    <m/>
    <s v="N"/>
    <n v="15"/>
    <d v="2023-07-07T19:03:21"/>
    <s v="Y"/>
    <s v="Interpreter"/>
    <s v="Private Law Children"/>
    <s v="Expert Disbursement"/>
    <s v="SB"/>
    <s v="Y"/>
    <n v="42.08"/>
    <n v="0"/>
    <x v="9"/>
    <s v="VALIDATED"/>
    <n v="1"/>
    <s v="01.11.80.307.6300.0000"/>
    <n v="42.08"/>
    <s v="11"/>
    <s v="6300"/>
    <n v="12869.96"/>
    <n v="42.08"/>
    <s v="CREDITOR"/>
    <n v="0"/>
    <n v="0"/>
    <n v="0"/>
    <n v="0"/>
    <n v="42.08"/>
  </r>
  <r>
    <n v="16136978"/>
    <s v="N"/>
    <n v="21344016"/>
    <s v="3000007728880026"/>
    <s v="CIVIL"/>
    <d v="2023-06-28T00:00:00"/>
    <d v="2023-07-07T19:03:00"/>
    <m/>
    <d v="2023-07-07T00:00:00"/>
    <n v="182"/>
    <n v="7002"/>
    <s v="16136978"/>
    <s v="16136978"/>
    <m/>
    <m/>
    <n v="22782192"/>
    <m/>
    <m/>
    <m/>
    <s v="SOLFIN"/>
    <s v="SOLFIN"/>
    <s v="CCMS"/>
    <n v="21344016"/>
    <n v="9404.790000000001"/>
    <m/>
    <s v="N"/>
    <n v="19"/>
    <d v="2023-07-07T19:03:21"/>
    <s v="Y"/>
    <s v="Profit Costs (Summary)"/>
    <s v="Private Law Children"/>
    <s v="Profit Cost"/>
    <s v="SB"/>
    <s v="Y"/>
    <n v="5217.08"/>
    <n v="1043.42"/>
    <x v="9"/>
    <s v="VALIDATED"/>
    <n v="1"/>
    <s v="01.11.80.307.6100.0000"/>
    <n v="5217.08"/>
    <s v="11"/>
    <s v="6100"/>
    <n v="12869.96"/>
    <n v="5217.08"/>
    <s v="CREDITOR"/>
    <n v="0"/>
    <n v="0"/>
    <n v="0"/>
    <n v="0"/>
    <n v="5217.08"/>
  </r>
  <r>
    <n v="60766938"/>
    <s v="N"/>
    <n v="21327967"/>
    <s v="3000015006180008"/>
    <s v="CIVIL"/>
    <d v="2023-06-19T00:00:00"/>
    <d v="2023-07-04T19:00:44"/>
    <m/>
    <d v="2023-07-04T00:00:00"/>
    <n v="182"/>
    <n v="7002"/>
    <s v="60766938"/>
    <s v="60766938"/>
    <m/>
    <m/>
    <n v="22717928"/>
    <m/>
    <m/>
    <m/>
    <s v="SOLFIN"/>
    <s v="SOLFIN"/>
    <s v="CCMS"/>
    <n v="21327967"/>
    <n v="9724.02"/>
    <m/>
    <s v="N"/>
    <n v="14"/>
    <d v="2023-07-04T19:01:00"/>
    <s v="Y"/>
    <s v="Hearing Unit 2.31 - 5.00 Hours"/>
    <s v="Public Law Children"/>
    <s v="Advocacy"/>
    <s v="Shanthi Balakrishnan"/>
    <s v="Y"/>
    <n v="476.92"/>
    <n v="95.38"/>
    <x v="1"/>
    <s v="VALIDATED"/>
    <n v="1"/>
    <s v="01.11.80.308.6100.0000"/>
    <n v="476.92"/>
    <s v="11"/>
    <s v="6100"/>
    <n v="12869.96"/>
    <n v="476.92"/>
    <s v="CREDITOR"/>
    <n v="0"/>
    <n v="0"/>
    <n v="0"/>
    <n v="0"/>
    <n v="476.92"/>
  </r>
  <r>
    <n v="16136978"/>
    <s v="N"/>
    <n v="21344016"/>
    <s v="3000007728880026"/>
    <s v="CIVIL"/>
    <d v="2023-06-28T00:00:00"/>
    <d v="2023-07-07T19:03:00"/>
    <m/>
    <d v="2023-07-07T00:00:00"/>
    <n v="182"/>
    <n v="7002"/>
    <s v="16136978"/>
    <s v="16136978"/>
    <m/>
    <m/>
    <n v="22782192"/>
    <m/>
    <m/>
    <m/>
    <s v="SOLFIN"/>
    <s v="SOLFIN"/>
    <s v="CCMS"/>
    <n v="21344016"/>
    <n v="9404.790000000001"/>
    <m/>
    <s v="N"/>
    <n v="17"/>
    <d v="2023-07-07T19:03:21"/>
    <s v="Y"/>
    <s v="Interpreter"/>
    <s v="Private Law Children"/>
    <s v="Expert Disbursement"/>
    <s v="SB"/>
    <s v="Y"/>
    <n v="25"/>
    <n v="0"/>
    <x v="9"/>
    <s v="VALIDATED"/>
    <n v="1"/>
    <s v="01.11.80.307.6300.0000"/>
    <n v="25"/>
    <s v="11"/>
    <s v="6300"/>
    <n v="12869.96"/>
    <n v="25"/>
    <s v="CREDITOR"/>
    <n v="0"/>
    <n v="0"/>
    <n v="0"/>
    <n v="0"/>
    <n v="25"/>
  </r>
  <r>
    <n v="16136978"/>
    <s v="N"/>
    <n v="21344016"/>
    <s v="3000007728880026"/>
    <s v="CIVIL"/>
    <d v="2023-06-28T00:00:00"/>
    <d v="2023-07-07T19:03:00"/>
    <m/>
    <d v="2023-07-07T00:00:00"/>
    <n v="182"/>
    <n v="7002"/>
    <s v="16136978"/>
    <s v="16136978"/>
    <m/>
    <m/>
    <n v="22782192"/>
    <m/>
    <m/>
    <m/>
    <s v="SOLFIN"/>
    <s v="SOLFIN"/>
    <s v="CCMS"/>
    <n v="21344016"/>
    <n v="9404.790000000001"/>
    <m/>
    <s v="N"/>
    <n v="2"/>
    <d v="2023-07-07T19:03:21"/>
    <s v="Y"/>
    <s v="Expert - Other"/>
    <s v="Private Law Children"/>
    <s v="Expert Disbursement"/>
    <s v="SB"/>
    <s v="Y"/>
    <n v="129.7"/>
    <n v="0"/>
    <x v="9"/>
    <s v="VALIDATED"/>
    <n v="1"/>
    <s v="01.11.80.307.6300.0000"/>
    <n v="129.7"/>
    <s v="11"/>
    <s v="6300"/>
    <n v="12869.96"/>
    <n v="129.7"/>
    <s v="CREDITOR"/>
    <n v="0"/>
    <n v="0"/>
    <n v="0"/>
    <n v="0"/>
    <n v="129.7"/>
  </r>
  <r>
    <n v="16136978"/>
    <s v="N"/>
    <n v="21344016"/>
    <s v="3000007728880026"/>
    <s v="CIVIL"/>
    <d v="2023-06-28T00:00:00"/>
    <d v="2023-07-07T19:03:00"/>
    <m/>
    <d v="2023-07-07T00:00:00"/>
    <n v="182"/>
    <n v="7002"/>
    <s v="16136978"/>
    <s v="16136978"/>
    <m/>
    <m/>
    <n v="22782192"/>
    <m/>
    <m/>
    <m/>
    <s v="SOLFIN"/>
    <s v="SOLFIN"/>
    <s v="CCMS"/>
    <n v="21344016"/>
    <n v="9404.790000000001"/>
    <m/>
    <s v="N"/>
    <n v="1"/>
    <d v="2023-07-07T19:03:21"/>
    <s v="Y"/>
    <s v="Process server"/>
    <s v="Private Law Children"/>
    <s v="Expert Disbursement"/>
    <s v="SB"/>
    <s v="Y"/>
    <n v="145"/>
    <n v="29"/>
    <x v="9"/>
    <s v="VALIDATED"/>
    <n v="1"/>
    <s v="01.11.80.307.6300.0000"/>
    <n v="145"/>
    <s v="11"/>
    <s v="6300"/>
    <n v="12869.96"/>
    <n v="145"/>
    <s v="CREDITOR"/>
    <n v="0"/>
    <n v="0"/>
    <n v="0"/>
    <n v="0"/>
    <n v="145"/>
  </r>
  <r>
    <n v="60766938"/>
    <s v="N"/>
    <n v="21327967"/>
    <s v="3000015006180008"/>
    <s v="CIVIL"/>
    <d v="2023-06-19T00:00:00"/>
    <d v="2023-07-04T19:00:44"/>
    <m/>
    <d v="2023-07-04T00:00:00"/>
    <n v="182"/>
    <n v="7002"/>
    <s v="60766938"/>
    <s v="60766938"/>
    <m/>
    <m/>
    <n v="22717928"/>
    <m/>
    <m/>
    <m/>
    <s v="SOLFIN"/>
    <s v="SOLFIN"/>
    <s v="CCMS"/>
    <n v="21327967"/>
    <n v="9724.02"/>
    <m/>
    <s v="N"/>
    <n v="7"/>
    <d v="2023-07-04T19:01:00"/>
    <s v="Y"/>
    <s v="Solicitor Travel Expenses"/>
    <s v="Public Law Children"/>
    <s v="Non Expert Disbursement"/>
    <s v="Shanthi Balakrishnan"/>
    <s v="Y"/>
    <n v="8"/>
    <n v="1.6"/>
    <x v="1"/>
    <s v="VALIDATED"/>
    <n v="1"/>
    <s v="01.11.80.308.6300.0000"/>
    <n v="8"/>
    <s v="11"/>
    <s v="6300"/>
    <n v="12869.96"/>
    <n v="8"/>
    <s v="CREDITOR"/>
    <n v="0"/>
    <n v="0"/>
    <n v="0"/>
    <n v="0"/>
    <n v="8"/>
  </r>
  <r>
    <n v="16136978"/>
    <s v="N"/>
    <n v="21344016"/>
    <s v="3000007728880026"/>
    <s v="CIVIL"/>
    <d v="2023-06-28T00:00:00"/>
    <d v="2023-07-07T19:03:00"/>
    <m/>
    <d v="2023-07-07T00:00:00"/>
    <n v="182"/>
    <n v="7002"/>
    <s v="16136978"/>
    <s v="16136978"/>
    <m/>
    <m/>
    <n v="22782192"/>
    <m/>
    <m/>
    <m/>
    <s v="SOLFIN"/>
    <s v="SOLFIN"/>
    <s v="CCMS"/>
    <n v="21344016"/>
    <n v="9404.790000000001"/>
    <m/>
    <s v="N"/>
    <n v="7"/>
    <d v="2023-07-07T19:03:21"/>
    <s v="Y"/>
    <s v="Interpreter"/>
    <s v="Private Law Children"/>
    <s v="Expert Disbursement"/>
    <s v="SB"/>
    <s v="Y"/>
    <n v="37.5"/>
    <n v="0"/>
    <x v="9"/>
    <s v="VALIDATED"/>
    <n v="1"/>
    <s v="01.11.80.307.6300.0000"/>
    <n v="37.5"/>
    <s v="11"/>
    <s v="6300"/>
    <n v="12869.96"/>
    <n v="37.5"/>
    <s v="CREDITOR"/>
    <n v="0"/>
    <n v="0"/>
    <n v="0"/>
    <n v="0"/>
    <n v="37.5"/>
  </r>
  <r>
    <n v="60312582"/>
    <s v="N"/>
    <n v="21320022"/>
    <s v="3000014614460037"/>
    <s v="CIVIL"/>
    <d v="2023-06-28T00:00:00"/>
    <d v="2023-07-03T19:04:24"/>
    <m/>
    <d v="2023-07-03T00:00:00"/>
    <n v="182"/>
    <n v="7002"/>
    <s v="60312582"/>
    <s v="60312582"/>
    <m/>
    <m/>
    <n v="22776972"/>
    <m/>
    <m/>
    <m/>
    <s v="SOLPOA"/>
    <s v="SOLPOA"/>
    <s v="CCMS"/>
    <n v="21320022"/>
    <n v="324"/>
    <m/>
    <s v="N"/>
    <n v="1"/>
    <d v="2023-07-03T19:04:28"/>
    <s v="N"/>
    <s v="Expert Cost"/>
    <s v="Expert Cost"/>
    <s v="Expert Disbursement"/>
    <s v="Shanthi Balakrishnan"/>
    <s v="N"/>
    <n v="270"/>
    <n v="54"/>
    <x v="3"/>
    <s v="VALIDATED"/>
    <n v="1"/>
    <s v="01.11.80.308.2012.0000"/>
    <n v="270"/>
    <s v="11"/>
    <s v="2012"/>
    <n v="12869.96"/>
    <n v="270"/>
    <s v="CREDITOR"/>
    <n v="270"/>
    <n v="0"/>
    <n v="0"/>
    <n v="0"/>
    <n v="0"/>
  </r>
  <r>
    <n v="16136978"/>
    <s v="N"/>
    <n v="21344016"/>
    <s v="3000007728880026"/>
    <s v="CIVIL"/>
    <d v="2023-06-28T00:00:00"/>
    <d v="2023-07-07T19:03:00"/>
    <m/>
    <d v="2023-07-07T00:00:00"/>
    <n v="182"/>
    <n v="7002"/>
    <s v="16136978"/>
    <s v="16136978"/>
    <m/>
    <m/>
    <n v="22782192"/>
    <m/>
    <m/>
    <m/>
    <s v="SOLFIN"/>
    <s v="SOLFIN"/>
    <s v="CCMS"/>
    <n v="21344016"/>
    <n v="9404.790000000001"/>
    <m/>
    <s v="N"/>
    <n v="18"/>
    <d v="2023-07-07T19:03:21"/>
    <s v="Y"/>
    <s v="Interpreter"/>
    <s v="Private Law Children"/>
    <s v="Expert Disbursement"/>
    <s v="SB"/>
    <s v="Y"/>
    <n v="25"/>
    <n v="0"/>
    <x v="9"/>
    <s v="VALIDATED"/>
    <n v="1"/>
    <s v="01.11.80.307.6300.0000"/>
    <n v="25"/>
    <s v="11"/>
    <s v="6300"/>
    <n v="12869.96"/>
    <n v="25"/>
    <s v="CREDITOR"/>
    <n v="0"/>
    <n v="0"/>
    <n v="0"/>
    <n v="0"/>
    <n v="25"/>
  </r>
  <r>
    <n v="60766938"/>
    <s v="N"/>
    <n v="21327967"/>
    <s v="3000015006180008"/>
    <s v="CIVIL"/>
    <d v="2023-06-19T00:00:00"/>
    <d v="2023-07-04T19:00:44"/>
    <m/>
    <d v="2023-07-04T00:00:00"/>
    <n v="182"/>
    <n v="7002"/>
    <s v="60766938"/>
    <s v="60766938"/>
    <m/>
    <m/>
    <n v="22717928"/>
    <m/>
    <m/>
    <m/>
    <s v="SOLFIN"/>
    <s v="SOLFIN"/>
    <s v="CCMS"/>
    <n v="21327967"/>
    <n v="9724.02"/>
    <m/>
    <s v="N"/>
    <n v="11"/>
    <d v="2023-07-04T19:01:00"/>
    <s v="Y"/>
    <s v="Psychiatrist"/>
    <s v="Public Law Children"/>
    <s v="Expert Disbursement"/>
    <s v="Shanthi Balakrishnan"/>
    <s v="Y"/>
    <n v="405"/>
    <n v="81"/>
    <x v="1"/>
    <s v="VALIDATED"/>
    <n v="1"/>
    <s v="01.11.80.308.6300.0000"/>
    <n v="405"/>
    <s v="11"/>
    <s v="6300"/>
    <n v="12869.96"/>
    <n v="405"/>
    <s v="CREDITOR"/>
    <n v="0"/>
    <n v="0"/>
    <n v="0"/>
    <n v="0"/>
    <n v="405"/>
  </r>
  <r>
    <n v="60766938"/>
    <s v="N"/>
    <n v="21327967"/>
    <s v="3000015006180008"/>
    <s v="CIVIL"/>
    <d v="2023-06-19T00:00:00"/>
    <d v="2023-07-04T19:00:44"/>
    <m/>
    <d v="2023-07-04T00:00:00"/>
    <n v="182"/>
    <n v="7002"/>
    <s v="60766938"/>
    <s v="60766938"/>
    <m/>
    <m/>
    <n v="22717928"/>
    <m/>
    <m/>
    <m/>
    <s v="SOLFIN"/>
    <s v="SOLFIN"/>
    <s v="CCMS"/>
    <n v="21327967"/>
    <n v="9724.02"/>
    <m/>
    <s v="N"/>
    <n v="19"/>
    <d v="2023-07-04T19:01:00"/>
    <s v="Y"/>
    <s v="Advocates Meeting"/>
    <s v="Public Law Children"/>
    <s v="Advocacy"/>
    <s v="Shanthi Balakrishnan"/>
    <s v="Y"/>
    <n v="140.99"/>
    <n v="28.2"/>
    <x v="1"/>
    <s v="VALIDATED"/>
    <n v="1"/>
    <s v="01.11.80.308.6100.0000"/>
    <n v="140.99"/>
    <s v="11"/>
    <s v="6100"/>
    <n v="12869.96"/>
    <n v="140.99"/>
    <s v="CREDITOR"/>
    <n v="0"/>
    <n v="0"/>
    <n v="0"/>
    <n v="0"/>
    <n v="140.99"/>
  </r>
  <r>
    <n v="60766938"/>
    <s v="N"/>
    <n v="21327967"/>
    <s v="3000015006180008"/>
    <s v="CIVIL"/>
    <d v="2023-06-19T00:00:00"/>
    <d v="2023-07-04T19:00:44"/>
    <m/>
    <d v="2023-07-04T00:00:00"/>
    <n v="182"/>
    <n v="7002"/>
    <s v="60766938"/>
    <s v="60766938"/>
    <m/>
    <m/>
    <n v="22717928"/>
    <m/>
    <m/>
    <m/>
    <s v="SOLFIN"/>
    <s v="SOLFIN"/>
    <s v="CCMS"/>
    <n v="21327967"/>
    <n v="9724.02"/>
    <m/>
    <s v="N"/>
    <n v="23"/>
    <d v="2023-07-04T19:01:00"/>
    <s v="Y"/>
    <s v="Final Hearing - 1 Day"/>
    <s v="Public Law Children"/>
    <s v="Advocacy"/>
    <s v="Shanthi Balakrishnan"/>
    <s v="Y"/>
    <n v="556.88"/>
    <n v="111.38"/>
    <x v="1"/>
    <s v="VALIDATED"/>
    <n v="1"/>
    <s v="01.11.80.308.6100.0000"/>
    <n v="556.88"/>
    <s v="11"/>
    <s v="6100"/>
    <n v="12869.96"/>
    <n v="556.88"/>
    <s v="CREDITOR"/>
    <n v="0"/>
    <n v="0"/>
    <n v="0"/>
    <n v="0"/>
    <n v="556.88"/>
  </r>
  <r>
    <n v="16136978"/>
    <s v="N"/>
    <n v="21344016"/>
    <s v="3000007728880026"/>
    <s v="CIVIL"/>
    <d v="2023-06-28T00:00:00"/>
    <d v="2023-07-07T19:03:00"/>
    <m/>
    <d v="2023-07-07T00:00:00"/>
    <n v="182"/>
    <n v="7002"/>
    <s v="16136978"/>
    <s v="16136978"/>
    <m/>
    <m/>
    <n v="22782192"/>
    <m/>
    <m/>
    <m/>
    <s v="SOLFIN"/>
    <s v="SOLFIN"/>
    <s v="CCMS"/>
    <n v="21344016"/>
    <n v="9404.790000000001"/>
    <m/>
    <s v="N"/>
    <n v="11"/>
    <d v="2023-07-07T19:03:21"/>
    <s v="Y"/>
    <s v="Interpreter"/>
    <s v="Domestic Abuse"/>
    <s v="Expert Disbursement"/>
    <s v="SB"/>
    <s v="Y"/>
    <n v="70"/>
    <n v="14"/>
    <x v="9"/>
    <s v="VALIDATED"/>
    <n v="1"/>
    <s v="01.11.80.307.6300.0000"/>
    <n v="70"/>
    <s v="11"/>
    <s v="6300"/>
    <n v="12869.96"/>
    <n v="70"/>
    <s v="CREDITOR"/>
    <n v="0"/>
    <n v="0"/>
    <n v="0"/>
    <n v="0"/>
    <n v="70"/>
  </r>
  <r>
    <n v="16136978"/>
    <s v="N"/>
    <n v="21344016"/>
    <s v="3000007728880026"/>
    <s v="CIVIL"/>
    <d v="2023-06-28T00:00:00"/>
    <d v="2023-07-07T19:03:00"/>
    <m/>
    <d v="2023-07-07T00:00:00"/>
    <n v="182"/>
    <n v="7002"/>
    <s v="16136978"/>
    <s v="16136978"/>
    <m/>
    <m/>
    <n v="22782192"/>
    <m/>
    <m/>
    <m/>
    <s v="SOLFIN"/>
    <s v="SOLFIN"/>
    <s v="CCMS"/>
    <n v="21344016"/>
    <n v="9404.790000000001"/>
    <m/>
    <s v="N"/>
    <n v="24"/>
    <d v="2023-07-07T19:03:21"/>
    <s v="Y"/>
    <s v="Level 4 Fixed Fee"/>
    <s v="Domestic Abuse"/>
    <s v="Profit Cost"/>
    <s v="SB"/>
    <s v="Y"/>
    <n v="608"/>
    <n v="121.6"/>
    <x v="9"/>
    <s v="VALIDATED"/>
    <n v="1"/>
    <s v="01.11.80.307.6100.0000"/>
    <n v="608"/>
    <s v="11"/>
    <s v="6100"/>
    <n v="12869.96"/>
    <n v="608"/>
    <s v="CREDITOR"/>
    <n v="0"/>
    <n v="0"/>
    <n v="0"/>
    <n v="0"/>
    <n v="608"/>
  </r>
  <r>
    <n v="60766938"/>
    <s v="N"/>
    <n v="21327967"/>
    <s v="3000015006180008"/>
    <s v="CIVIL"/>
    <d v="2023-06-19T00:00:00"/>
    <d v="2023-07-04T19:00:44"/>
    <m/>
    <d v="2023-07-04T00:00:00"/>
    <n v="182"/>
    <n v="7002"/>
    <s v="60766938"/>
    <s v="60766938"/>
    <m/>
    <m/>
    <n v="22717928"/>
    <m/>
    <m/>
    <m/>
    <s v="SOLFIN"/>
    <s v="SOLFIN"/>
    <s v="CCMS"/>
    <n v="21327967"/>
    <n v="9724.02"/>
    <m/>
    <s v="N"/>
    <n v="24"/>
    <d v="2023-07-04T19:01:00"/>
    <s v="Y"/>
    <s v="Hearing Unit 2.31 - 5.00 Hours"/>
    <s v="Public Law Children"/>
    <s v="Advocacy"/>
    <s v="Shanthi Balakrishnan"/>
    <s v="Y"/>
    <n v="476.92"/>
    <n v="95.38"/>
    <x v="1"/>
    <s v="VALIDATED"/>
    <n v="1"/>
    <s v="01.11.80.308.6100.0000"/>
    <n v="476.92"/>
    <s v="11"/>
    <s v="6100"/>
    <n v="12869.96"/>
    <n v="476.92"/>
    <s v="CREDITOR"/>
    <n v="0"/>
    <n v="0"/>
    <n v="0"/>
    <n v="0"/>
    <n v="476.92"/>
  </r>
  <r>
    <n v="16136978"/>
    <s v="N"/>
    <n v="21344016"/>
    <s v="3000007728880026"/>
    <s v="CIVIL"/>
    <d v="2023-06-28T00:00:00"/>
    <d v="2023-07-07T19:03:00"/>
    <m/>
    <d v="2023-07-07T00:00:00"/>
    <n v="182"/>
    <n v="7002"/>
    <s v="16136978"/>
    <s v="16136978"/>
    <m/>
    <m/>
    <n v="22782192"/>
    <m/>
    <m/>
    <m/>
    <s v="SOLFIN"/>
    <s v="SOLFIN"/>
    <s v="CCMS"/>
    <n v="21344016"/>
    <n v="9404.790000000001"/>
    <m/>
    <s v="N"/>
    <n v="16"/>
    <d v="2023-07-07T19:03:21"/>
    <s v="Y"/>
    <s v="Process server"/>
    <s v="Domestic Abuse"/>
    <s v="Expert Disbursement"/>
    <s v="SB"/>
    <s v="Y"/>
    <n v="228.1"/>
    <n v="45.62"/>
    <x v="9"/>
    <s v="VALIDATED"/>
    <n v="1"/>
    <s v="01.11.80.307.6300.0000"/>
    <n v="228.1"/>
    <s v="11"/>
    <s v="6300"/>
    <n v="12869.96"/>
    <n v="228.1"/>
    <s v="CREDITOR"/>
    <n v="0"/>
    <n v="0"/>
    <n v="0"/>
    <n v="0"/>
    <n v="228.1"/>
  </r>
  <r>
    <n v="60766938"/>
    <s v="N"/>
    <n v="21327967"/>
    <s v="3000015006180008"/>
    <s v="CIVIL"/>
    <d v="2023-06-19T00:00:00"/>
    <d v="2023-07-04T19:00:44"/>
    <m/>
    <d v="2023-07-04T00:00:00"/>
    <n v="182"/>
    <n v="7002"/>
    <s v="60766938"/>
    <s v="60766938"/>
    <m/>
    <m/>
    <n v="22717928"/>
    <m/>
    <m/>
    <m/>
    <s v="SOLFIN"/>
    <s v="SOLFIN"/>
    <s v="CCMS"/>
    <n v="21327967"/>
    <n v="9724.02"/>
    <m/>
    <s v="N"/>
    <n v="2"/>
    <d v="2023-07-04T19:01:00"/>
    <s v="Y"/>
    <s v="Interim Hearing Court Bundle/Advoca"/>
    <s v="Public Law Children"/>
    <s v="Advocacy"/>
    <s v="Shanthi Balakrishnan"/>
    <s v="Y"/>
    <n v="59.4"/>
    <n v="11.88"/>
    <x v="1"/>
    <s v="VALIDATED"/>
    <n v="1"/>
    <s v="01.11.80.308.6100.0000"/>
    <n v="59.4"/>
    <s v="11"/>
    <s v="6100"/>
    <n v="12869.96"/>
    <n v="59.4"/>
    <s v="CREDITOR"/>
    <n v="0"/>
    <n v="0"/>
    <n v="0"/>
    <n v="0"/>
    <n v="59.4"/>
  </r>
  <r>
    <n v="60766938"/>
    <s v="N"/>
    <n v="21327967"/>
    <s v="3000015006180008"/>
    <s v="CIVIL"/>
    <d v="2023-06-19T00:00:00"/>
    <d v="2023-07-04T19:00:44"/>
    <m/>
    <d v="2023-07-04T00:00:00"/>
    <n v="182"/>
    <n v="7002"/>
    <s v="60766938"/>
    <s v="60766938"/>
    <m/>
    <m/>
    <n v="22717928"/>
    <m/>
    <m/>
    <m/>
    <s v="SOLFIN"/>
    <s v="SOLFIN"/>
    <s v="CCMS"/>
    <n v="21327967"/>
    <n v="9724.02"/>
    <m/>
    <s v="N"/>
    <n v="6"/>
    <d v="2023-07-04T19:01:00"/>
    <s v="Y"/>
    <s v="Solicitor Travel Expenses"/>
    <s v="Public Law Children"/>
    <s v="Non Expert Disbursement"/>
    <s v="Shanthi Balakrishnan"/>
    <s v="Y"/>
    <n v="7.6"/>
    <n v="1.52"/>
    <x v="1"/>
    <s v="VALIDATED"/>
    <n v="1"/>
    <s v="01.11.80.308.6300.0000"/>
    <n v="7.6"/>
    <s v="11"/>
    <s v="6300"/>
    <n v="12869.96"/>
    <n v="7.6"/>
    <s v="CREDITOR"/>
    <n v="0"/>
    <n v="0"/>
    <n v="0"/>
    <n v="0"/>
    <n v="7.6"/>
  </r>
  <r>
    <n v="16136978"/>
    <s v="N"/>
    <n v="21344016"/>
    <s v="3000007728880026"/>
    <s v="CIVIL"/>
    <d v="2023-06-28T00:00:00"/>
    <d v="2023-07-07T19:03:00"/>
    <m/>
    <d v="2023-07-07T00:00:00"/>
    <n v="182"/>
    <n v="7002"/>
    <s v="16136978"/>
    <s v="16136978"/>
    <m/>
    <m/>
    <n v="22782192"/>
    <m/>
    <m/>
    <m/>
    <s v="SOLFIN"/>
    <s v="SOLFIN"/>
    <s v="CCMS"/>
    <n v="21344016"/>
    <n v="9404.790000000001"/>
    <m/>
    <s v="N"/>
    <n v="4"/>
    <d v="2023-07-07T19:03:21"/>
    <s v="Y"/>
    <s v="Interpreter"/>
    <s v="Private Law Children"/>
    <s v="Expert Disbursement"/>
    <s v="SB"/>
    <s v="Y"/>
    <n v="31.25"/>
    <n v="0"/>
    <x v="9"/>
    <s v="VALIDATED"/>
    <n v="1"/>
    <s v="01.11.80.307.6300.0000"/>
    <n v="31.25"/>
    <s v="11"/>
    <s v="6300"/>
    <n v="12869.96"/>
    <n v="31.25"/>
    <s v="CREDITOR"/>
    <n v="0"/>
    <n v="0"/>
    <n v="0"/>
    <n v="0"/>
    <n v="31.25"/>
  </r>
  <r>
    <n v="16136978"/>
    <s v="N"/>
    <n v="21344016"/>
    <s v="3000007728880026"/>
    <s v="CIVIL"/>
    <d v="2023-06-28T00:00:00"/>
    <d v="2023-07-07T19:03:00"/>
    <m/>
    <d v="2023-07-07T00:00:00"/>
    <n v="182"/>
    <n v="7002"/>
    <s v="16136978"/>
    <s v="16136978"/>
    <m/>
    <m/>
    <n v="22782192"/>
    <m/>
    <m/>
    <m/>
    <s v="SOLFIN"/>
    <s v="SOLFIN"/>
    <s v="CCMS"/>
    <n v="21344016"/>
    <n v="9404.790000000001"/>
    <m/>
    <s v="N"/>
    <n v="8"/>
    <d v="2023-07-07T19:03:21"/>
    <s v="Y"/>
    <s v="Interpreter"/>
    <s v="Domestic Abuse"/>
    <s v="Expert Disbursement"/>
    <s v="SB"/>
    <s v="Y"/>
    <n v="37.5"/>
    <n v="7.5"/>
    <x v="9"/>
    <s v="VALIDATED"/>
    <n v="1"/>
    <s v="01.11.80.307.6300.0000"/>
    <n v="37.5"/>
    <s v="11"/>
    <s v="6300"/>
    <n v="12869.96"/>
    <n v="37.5"/>
    <s v="CREDITOR"/>
    <n v="0"/>
    <n v="0"/>
    <n v="0"/>
    <n v="0"/>
    <n v="37.5"/>
  </r>
  <r>
    <n v="60766938"/>
    <s v="N"/>
    <n v="21327967"/>
    <s v="3000015006180008"/>
    <s v="CIVIL"/>
    <d v="2023-06-19T00:00:00"/>
    <d v="2023-07-04T19:00:44"/>
    <m/>
    <d v="2023-07-04T00:00:00"/>
    <n v="182"/>
    <n v="7002"/>
    <s v="60766938"/>
    <s v="60766938"/>
    <m/>
    <m/>
    <n v="22717928"/>
    <m/>
    <m/>
    <m/>
    <s v="SOLFIN"/>
    <s v="SOLFIN"/>
    <s v="CCMS"/>
    <n v="21327967"/>
    <n v="9724.02"/>
    <m/>
    <s v="N"/>
    <n v="13"/>
    <d v="2023-07-04T19:01:00"/>
    <s v="Y"/>
    <s v="Advocates Meeting"/>
    <s v="Public Law Children"/>
    <s v="Advocacy"/>
    <s v="Shanthi Balakrishnan"/>
    <s v="Y"/>
    <n v="140.99"/>
    <n v="28.2"/>
    <x v="1"/>
    <s v="VALIDATED"/>
    <n v="1"/>
    <s v="01.11.80.308.6100.0000"/>
    <n v="140.99"/>
    <s v="11"/>
    <s v="6100"/>
    <n v="12869.96"/>
    <n v="140.99"/>
    <s v="CREDITOR"/>
    <n v="0"/>
    <n v="0"/>
    <n v="0"/>
    <n v="0"/>
    <n v="140.99"/>
  </r>
  <r>
    <n v="60766938"/>
    <s v="N"/>
    <n v="21327967"/>
    <s v="3000015006180008"/>
    <s v="CIVIL"/>
    <d v="2023-06-19T00:00:00"/>
    <d v="2023-07-04T19:00:44"/>
    <m/>
    <d v="2023-07-04T00:00:00"/>
    <n v="182"/>
    <n v="7002"/>
    <s v="60766938"/>
    <s v="60766938"/>
    <m/>
    <m/>
    <n v="22717928"/>
    <m/>
    <m/>
    <m/>
    <s v="SOLFIN"/>
    <s v="SOLFIN"/>
    <s v="CCMS"/>
    <n v="21327967"/>
    <n v="9724.02"/>
    <m/>
    <s v="N"/>
    <n v="12"/>
    <d v="2023-07-04T19:01:00"/>
    <s v="Y"/>
    <s v="Psychiatrist"/>
    <s v="Public Law Children"/>
    <s v="Expert Disbursement"/>
    <s v="Shanthi Balakrishnan"/>
    <s v="Y"/>
    <n v="54"/>
    <n v="10.8"/>
    <x v="1"/>
    <s v="VALIDATED"/>
    <n v="1"/>
    <s v="01.11.80.308.6300.0000"/>
    <n v="54"/>
    <s v="11"/>
    <s v="6300"/>
    <n v="12869.96"/>
    <n v="54"/>
    <s v="CREDITOR"/>
    <n v="0"/>
    <n v="0"/>
    <n v="0"/>
    <n v="0"/>
    <n v="54"/>
  </r>
  <r>
    <n v="16136978"/>
    <s v="N"/>
    <n v="21344016"/>
    <s v="3000007728880026"/>
    <s v="CIVIL"/>
    <d v="2023-06-28T00:00:00"/>
    <d v="2023-07-07T19:03:00"/>
    <m/>
    <d v="2023-07-07T00:00:00"/>
    <n v="182"/>
    <n v="7002"/>
    <s v="16136978"/>
    <s v="16136978"/>
    <m/>
    <m/>
    <n v="22782192"/>
    <m/>
    <m/>
    <m/>
    <s v="SOLFIN"/>
    <s v="SOLFIN"/>
    <s v="CCMS"/>
    <n v="21344016"/>
    <n v="9404.790000000001"/>
    <m/>
    <s v="N"/>
    <n v="14"/>
    <d v="2023-07-07T19:03:21"/>
    <s v="Y"/>
    <s v="Expert - Other"/>
    <s v="Domestic Abuse"/>
    <s v="Expert Disbursement"/>
    <s v="SB"/>
    <s v="Y"/>
    <n v="101.3"/>
    <n v="20.26"/>
    <x v="9"/>
    <s v="VALIDATED"/>
    <n v="1"/>
    <s v="01.11.80.307.6300.0000"/>
    <n v="101.3"/>
    <s v="11"/>
    <s v="6300"/>
    <n v="12869.96"/>
    <n v="101.3"/>
    <s v="CREDITOR"/>
    <n v="0"/>
    <n v="0"/>
    <n v="0"/>
    <n v="0"/>
    <n v="101.3"/>
  </r>
  <r>
    <n v="16136978"/>
    <s v="N"/>
    <n v="21344016"/>
    <s v="3000007728880026"/>
    <s v="CIVIL"/>
    <d v="2023-06-28T00:00:00"/>
    <d v="2023-07-07T19:03:00"/>
    <m/>
    <d v="2023-07-07T00:00:00"/>
    <n v="182"/>
    <n v="7002"/>
    <s v="16136978"/>
    <s v="16136978"/>
    <m/>
    <m/>
    <n v="22782192"/>
    <m/>
    <m/>
    <m/>
    <s v="SOLFIN"/>
    <s v="SOLFIN"/>
    <s v="CCMS"/>
    <n v="21344016"/>
    <n v="9404.790000000001"/>
    <m/>
    <s v="N"/>
    <n v="13"/>
    <d v="2023-07-07T19:03:21"/>
    <s v="Y"/>
    <s v="Interpreter"/>
    <s v="Private Law Children"/>
    <s v="Expert Disbursement"/>
    <s v="SB"/>
    <s v="Y"/>
    <n v="54.17"/>
    <n v="0"/>
    <x v="9"/>
    <s v="VALIDATED"/>
    <n v="1"/>
    <s v="01.11.80.307.6300.0000"/>
    <n v="54.17"/>
    <s v="11"/>
    <s v="6300"/>
    <n v="12869.96"/>
    <n v="54.17"/>
    <s v="CREDITOR"/>
    <n v="0"/>
    <n v="0"/>
    <n v="0"/>
    <n v="0"/>
    <n v="54.17"/>
  </r>
  <r>
    <n v="60766938"/>
    <s v="N"/>
    <n v="21327967"/>
    <s v="3000015006180008"/>
    <s v="CIVIL"/>
    <d v="2023-06-19T00:00:00"/>
    <d v="2023-07-04T19:00:44"/>
    <m/>
    <d v="2023-07-04T00:00:00"/>
    <n v="182"/>
    <n v="7002"/>
    <s v="60766938"/>
    <s v="60766938"/>
    <m/>
    <m/>
    <n v="22717928"/>
    <m/>
    <m/>
    <m/>
    <s v="SOLFIN"/>
    <s v="SOLFIN"/>
    <s v="CCMS"/>
    <n v="21327967"/>
    <n v="9724.02"/>
    <m/>
    <s v="N"/>
    <n v="1"/>
    <d v="2023-07-04T19:01:00"/>
    <s v="Y"/>
    <s v="Interim Hearing Court Bundle/Advoca"/>
    <s v="Public Law Children"/>
    <s v="Advocacy"/>
    <s v="Shanthi Balakrishnan"/>
    <s v="Y"/>
    <n v="89.09999999999999"/>
    <n v="17.82"/>
    <x v="1"/>
    <s v="VALIDATED"/>
    <n v="1"/>
    <s v="01.11.80.308.6100.0000"/>
    <n v="89.09999999999999"/>
    <s v="11"/>
    <s v="6100"/>
    <n v="12869.96"/>
    <n v="89.09999999999999"/>
    <s v="CREDITOR"/>
    <n v="0"/>
    <n v="0"/>
    <n v="0"/>
    <n v="0"/>
    <n v="89.09999999999999"/>
  </r>
  <r>
    <n v="60766938"/>
    <s v="N"/>
    <n v="21327967"/>
    <s v="3000015006180008"/>
    <s v="CIVIL"/>
    <d v="2023-06-19T00:00:00"/>
    <d v="2023-07-04T19:00:44"/>
    <m/>
    <d v="2023-07-04T00:00:00"/>
    <n v="182"/>
    <n v="7002"/>
    <s v="60766938"/>
    <s v="60766938"/>
    <m/>
    <m/>
    <n v="22717928"/>
    <m/>
    <m/>
    <m/>
    <s v="SOLFIN"/>
    <s v="SOLFIN"/>
    <s v="CCMS"/>
    <n v="21327967"/>
    <n v="9724.02"/>
    <m/>
    <s v="N"/>
    <n v="5"/>
    <d v="2023-07-04T19:01:00"/>
    <s v="Y"/>
    <s v="Solicitor Travel Expenses"/>
    <s v="Public Law Children"/>
    <s v="Non Expert Disbursement"/>
    <s v="Shanthi Balakrishnan"/>
    <s v="Y"/>
    <n v="4.3"/>
    <n v="0.86"/>
    <x v="1"/>
    <s v="VALIDATED"/>
    <n v="1"/>
    <s v="01.11.80.308.6300.0000"/>
    <n v="4.3"/>
    <s v="11"/>
    <s v="6300"/>
    <n v="12869.96"/>
    <n v="4.3"/>
    <s v="CREDITOR"/>
    <n v="0"/>
    <n v="0"/>
    <n v="0"/>
    <n v="0"/>
    <n v="4.3"/>
  </r>
  <r>
    <n v="60766938"/>
    <s v="N"/>
    <n v="21327967"/>
    <s v="3000015006180008"/>
    <s v="CIVIL"/>
    <d v="2023-06-19T00:00:00"/>
    <d v="2023-07-04T19:00:44"/>
    <m/>
    <d v="2023-07-04T00:00:00"/>
    <n v="182"/>
    <n v="7002"/>
    <s v="60766938"/>
    <s v="60766938"/>
    <m/>
    <m/>
    <n v="22717928"/>
    <m/>
    <m/>
    <m/>
    <s v="SOLFIN"/>
    <s v="SOLFIN"/>
    <s v="CCMS"/>
    <n v="21327967"/>
    <n v="9724.02"/>
    <m/>
    <s v="N"/>
    <n v="18"/>
    <d v="2023-07-04T19:01:00"/>
    <s v="Y"/>
    <s v="Hearing Unit 2.31 - 5.00 Hours"/>
    <s v="Public Law Children"/>
    <s v="Advocacy"/>
    <s v="Shanthi Balakrishnan"/>
    <s v="Y"/>
    <n v="476.92"/>
    <n v="95.38"/>
    <x v="1"/>
    <s v="VALIDATED"/>
    <n v="1"/>
    <s v="01.11.80.308.6100.0000"/>
    <n v="476.92"/>
    <s v="11"/>
    <s v="6100"/>
    <n v="12869.96"/>
    <n v="476.92"/>
    <s v="CREDITOR"/>
    <n v="0"/>
    <n v="0"/>
    <n v="0"/>
    <n v="0"/>
    <n v="476.92"/>
  </r>
  <r>
    <n v="16136978"/>
    <s v="N"/>
    <n v="21344016"/>
    <s v="3000007728880026"/>
    <s v="CIVIL"/>
    <d v="2023-06-28T00:00:00"/>
    <d v="2023-07-07T19:03:00"/>
    <m/>
    <d v="2023-07-07T00:00:00"/>
    <n v="182"/>
    <n v="7002"/>
    <s v="16136978"/>
    <s v="16136978"/>
    <m/>
    <m/>
    <n v="22782192"/>
    <m/>
    <m/>
    <m/>
    <s v="SOLFIN"/>
    <s v="SOLFIN"/>
    <s v="CCMS"/>
    <n v="21344016"/>
    <n v="9404.790000000001"/>
    <m/>
    <s v="N"/>
    <n v="9"/>
    <d v="2023-07-07T19:03:21"/>
    <s v="Y"/>
    <s v="Process server"/>
    <s v="Private Law Children"/>
    <s v="Expert Disbursement"/>
    <s v="SB"/>
    <s v="Y"/>
    <n v="145.3"/>
    <n v="29.06"/>
    <x v="9"/>
    <s v="VALIDATED"/>
    <n v="1"/>
    <s v="01.11.80.307.6300.0000"/>
    <n v="145.3"/>
    <s v="11"/>
    <s v="6300"/>
    <n v="12869.96"/>
    <n v="145.3"/>
    <s v="CREDITOR"/>
    <n v="0"/>
    <n v="0"/>
    <n v="0"/>
    <n v="0"/>
    <n v="145.3"/>
  </r>
  <r>
    <n v="60766938"/>
    <s v="N"/>
    <n v="21327967"/>
    <s v="3000015006180008"/>
    <s v="CIVIL"/>
    <d v="2023-06-19T00:00:00"/>
    <d v="2023-07-04T19:00:44"/>
    <m/>
    <d v="2023-07-04T00:00:00"/>
    <n v="182"/>
    <n v="7002"/>
    <s v="60766938"/>
    <s v="60766938"/>
    <m/>
    <m/>
    <n v="22717928"/>
    <m/>
    <m/>
    <m/>
    <s v="SOLFIN"/>
    <s v="SOLFIN"/>
    <s v="CCMS"/>
    <n v="21327967"/>
    <n v="9724.02"/>
    <m/>
    <s v="N"/>
    <n v="3"/>
    <d v="2023-07-04T19:01:00"/>
    <s v="Y"/>
    <s v="Final Hearing Court Bundle/Advocate"/>
    <s v="Public Law Children"/>
    <s v="Advocacy"/>
    <s v="Shanthi Balakrishnan"/>
    <s v="Y"/>
    <n v="239.4"/>
    <n v="47.88"/>
    <x v="1"/>
    <s v="VALIDATED"/>
    <n v="1"/>
    <s v="01.11.80.308.6100.0000"/>
    <n v="239.4"/>
    <s v="11"/>
    <s v="6100"/>
    <n v="12869.96"/>
    <n v="239.4"/>
    <s v="CREDITOR"/>
    <n v="0"/>
    <n v="0"/>
    <n v="0"/>
    <n v="0"/>
    <n v="239.4"/>
  </r>
  <r>
    <n v="60766938"/>
    <s v="N"/>
    <n v="21327967"/>
    <s v="3000015006180008"/>
    <s v="CIVIL"/>
    <d v="2023-06-19T00:00:00"/>
    <d v="2023-07-04T19:00:44"/>
    <m/>
    <d v="2023-07-04T00:00:00"/>
    <n v="182"/>
    <n v="7002"/>
    <s v="60766938"/>
    <s v="60766938"/>
    <m/>
    <m/>
    <n v="22717928"/>
    <m/>
    <m/>
    <m/>
    <s v="SOLFIN"/>
    <s v="SOLFIN"/>
    <s v="CCMS"/>
    <n v="21327967"/>
    <n v="9724.02"/>
    <m/>
    <s v="N"/>
    <n v="15"/>
    <d v="2023-07-04T19:01:00"/>
    <s v="Y"/>
    <s v="Advocates Meeting"/>
    <s v="Public Law Children"/>
    <s v="Advocacy"/>
    <s v="Shanthi Balakrishnan"/>
    <s v="Y"/>
    <n v="140.99"/>
    <n v="28.2"/>
    <x v="1"/>
    <s v="VALIDATED"/>
    <n v="1"/>
    <s v="01.11.80.308.6100.0000"/>
    <n v="140.99"/>
    <s v="11"/>
    <s v="6100"/>
    <n v="12869.96"/>
    <n v="140.99"/>
    <s v="CREDITOR"/>
    <n v="0"/>
    <n v="0"/>
    <n v="0"/>
    <n v="0"/>
    <n v="140.99"/>
  </r>
  <r>
    <n v="16136978"/>
    <s v="N"/>
    <n v="21344016"/>
    <s v="3000007728880026"/>
    <s v="CIVIL"/>
    <d v="2023-06-28T00:00:00"/>
    <d v="2023-07-07T19:03:00"/>
    <m/>
    <d v="2023-07-07T00:00:00"/>
    <n v="182"/>
    <n v="7002"/>
    <s v="16136978"/>
    <s v="16136978"/>
    <m/>
    <m/>
    <n v="22782192"/>
    <m/>
    <m/>
    <m/>
    <s v="SOLFIN"/>
    <s v="SOLFIN"/>
    <s v="CCMS"/>
    <n v="21344016"/>
    <n v="9404.790000000001"/>
    <m/>
    <s v="N"/>
    <n v="23"/>
    <d v="2023-07-07T19:03:21"/>
    <s v="Y"/>
    <s v="Interpreter"/>
    <s v="Private Law Children"/>
    <s v="Expert Disbursement"/>
    <s v="SB"/>
    <s v="Y"/>
    <n v="25"/>
    <n v="5"/>
    <x v="9"/>
    <s v="VALIDATED"/>
    <n v="1"/>
    <s v="01.11.80.307.6300.0000"/>
    <n v="25"/>
    <s v="11"/>
    <s v="6300"/>
    <n v="12869.96"/>
    <n v="25"/>
    <s v="CREDITOR"/>
    <n v="0"/>
    <n v="0"/>
    <n v="0"/>
    <n v="0"/>
    <n v="25"/>
  </r>
  <r>
    <n v="16136978"/>
    <s v="N"/>
    <n v="21344016"/>
    <s v="3000007728880026"/>
    <s v="CIVIL"/>
    <d v="2023-06-28T00:00:00"/>
    <d v="2023-07-07T19:03:00"/>
    <m/>
    <d v="2023-07-07T00:00:00"/>
    <n v="182"/>
    <n v="7002"/>
    <s v="16136978"/>
    <s v="16136978"/>
    <m/>
    <m/>
    <n v="22782192"/>
    <m/>
    <m/>
    <m/>
    <s v="SOLFIN"/>
    <s v="SOLFIN"/>
    <s v="CCMS"/>
    <n v="21344016"/>
    <n v="9404.790000000001"/>
    <m/>
    <s v="N"/>
    <n v="20"/>
    <d v="2023-07-07T19:03:21"/>
    <s v="Y"/>
    <s v="Court Fee"/>
    <s v="Private Law Children"/>
    <s v="Non Expert Disbursement"/>
    <s v="SB"/>
    <s v="Y"/>
    <n v="215"/>
    <n v="0"/>
    <x v="9"/>
    <s v="VALIDATED"/>
    <n v="1"/>
    <s v="01.11.80.307.6300.0000"/>
    <n v="215"/>
    <s v="11"/>
    <s v="6300"/>
    <n v="12869.96"/>
    <n v="215"/>
    <s v="CREDITOR"/>
    <n v="0"/>
    <n v="0"/>
    <n v="0"/>
    <n v="0"/>
    <n v="215"/>
  </r>
  <r>
    <n v="16136978"/>
    <s v="N"/>
    <n v="21344016"/>
    <s v="3000007728880026"/>
    <s v="CIVIL"/>
    <d v="2023-06-28T00:00:00"/>
    <d v="2023-07-07T19:03:00"/>
    <m/>
    <d v="2023-07-07T00:00:00"/>
    <n v="182"/>
    <n v="7002"/>
    <s v="16136978"/>
    <s v="16136978"/>
    <m/>
    <m/>
    <n v="22782192"/>
    <m/>
    <m/>
    <m/>
    <s v="SOLFIN"/>
    <s v="SOLFIN"/>
    <s v="CCMS"/>
    <n v="21344016"/>
    <n v="9404.790000000001"/>
    <m/>
    <s v="N"/>
    <n v="5"/>
    <d v="2023-07-07T19:03:21"/>
    <s v="Y"/>
    <s v="Interpreter"/>
    <s v="Private Law Children"/>
    <s v="Expert Disbursement"/>
    <s v="SB"/>
    <s v="Y"/>
    <n v="18.75"/>
    <n v="0"/>
    <x v="9"/>
    <s v="VALIDATED"/>
    <n v="1"/>
    <s v="01.11.80.307.6300.0000"/>
    <n v="18.75"/>
    <s v="11"/>
    <s v="6300"/>
    <n v="12869.96"/>
    <n v="18.75"/>
    <s v="CREDITOR"/>
    <n v="0"/>
    <n v="0"/>
    <n v="0"/>
    <n v="0"/>
    <n v="18.75"/>
  </r>
  <r>
    <n v="60766938"/>
    <s v="N"/>
    <n v="21327967"/>
    <s v="3000015006180008"/>
    <s v="CIVIL"/>
    <d v="2023-06-19T00:00:00"/>
    <d v="2023-07-04T19:00:44"/>
    <m/>
    <d v="2023-07-04T00:00:00"/>
    <n v="182"/>
    <n v="7002"/>
    <s v="60766938"/>
    <s v="60766938"/>
    <m/>
    <m/>
    <n v="22717928"/>
    <m/>
    <m/>
    <m/>
    <s v="SOLFIN"/>
    <s v="SOLFIN"/>
    <s v="CCMS"/>
    <n v="21327967"/>
    <n v="9724.02"/>
    <m/>
    <s v="N"/>
    <n v="17"/>
    <d v="2023-07-04T19:01:00"/>
    <s v="Y"/>
    <s v="Advocates Meeting"/>
    <s v="Public Law Children"/>
    <s v="Advocacy"/>
    <s v="Shanthi Balakrishnan"/>
    <s v="Y"/>
    <n v="140.99"/>
    <n v="28.2"/>
    <x v="1"/>
    <s v="VALIDATED"/>
    <n v="1"/>
    <s v="01.11.80.308.6100.0000"/>
    <n v="140.99"/>
    <s v="11"/>
    <s v="6100"/>
    <n v="12869.96"/>
    <n v="140.99"/>
    <s v="CREDITOR"/>
    <n v="0"/>
    <n v="0"/>
    <n v="0"/>
    <n v="0"/>
    <n v="140.99"/>
  </r>
  <r>
    <n v="16136978"/>
    <s v="N"/>
    <n v="21344016"/>
    <s v="3000007728880026"/>
    <s v="CIVIL"/>
    <d v="2023-06-28T00:00:00"/>
    <d v="2023-07-07T19:03:00"/>
    <m/>
    <d v="2023-07-07T00:00:00"/>
    <n v="182"/>
    <n v="7002"/>
    <s v="16136978"/>
    <s v="16136978"/>
    <m/>
    <m/>
    <n v="22782192"/>
    <m/>
    <m/>
    <m/>
    <s v="SOLFIN"/>
    <s v="SOLFIN"/>
    <s v="CCMS"/>
    <n v="21344016"/>
    <n v="9404.790000000001"/>
    <m/>
    <s v="N"/>
    <n v="10"/>
    <d v="2023-07-07T19:03:21"/>
    <s v="Y"/>
    <s v="Expert - Other"/>
    <s v="Private Law Children"/>
    <s v="Expert Disbursement"/>
    <s v="SB"/>
    <s v="Y"/>
    <n v="40"/>
    <n v="0"/>
    <x v="9"/>
    <s v="VALIDATED"/>
    <n v="1"/>
    <s v="01.11.80.307.6300.0000"/>
    <n v="40"/>
    <s v="11"/>
    <s v="6300"/>
    <n v="12869.96"/>
    <n v="40"/>
    <s v="CREDITOR"/>
    <n v="0"/>
    <n v="0"/>
    <n v="0"/>
    <n v="0"/>
    <n v="40"/>
  </r>
  <r>
    <n v="16136978"/>
    <s v="N"/>
    <n v="21344016"/>
    <s v="3000007728880026"/>
    <s v="CIVIL"/>
    <d v="2023-06-28T00:00:00"/>
    <d v="2023-07-07T19:03:00"/>
    <m/>
    <d v="2023-07-07T00:00:00"/>
    <n v="182"/>
    <n v="7002"/>
    <s v="16136978"/>
    <s v="16136978"/>
    <m/>
    <m/>
    <n v="22782192"/>
    <m/>
    <m/>
    <m/>
    <s v="SOLFIN"/>
    <s v="SOLFIN"/>
    <s v="CCMS"/>
    <n v="21344016"/>
    <n v="9404.790000000001"/>
    <m/>
    <s v="N"/>
    <n v="22"/>
    <d v="2023-07-07T19:03:21"/>
    <s v="Y"/>
    <s v="Court Fee"/>
    <s v="Private Law Children"/>
    <s v="Non Expert Disbursement"/>
    <s v="SB"/>
    <s v="Y"/>
    <n v="232"/>
    <n v="0"/>
    <x v="9"/>
    <s v="VALIDATED"/>
    <n v="1"/>
    <s v="01.11.80.307.6300.0000"/>
    <n v="232"/>
    <s v="11"/>
    <s v="6300"/>
    <n v="12869.96"/>
    <n v="232"/>
    <s v="CREDITOR"/>
    <n v="0"/>
    <n v="0"/>
    <n v="0"/>
    <n v="0"/>
    <n v="232"/>
  </r>
  <r>
    <n v="60766938"/>
    <s v="N"/>
    <n v="21327967"/>
    <s v="3000015006180008"/>
    <s v="CIVIL"/>
    <d v="2023-06-19T00:00:00"/>
    <d v="2023-07-04T19:00:44"/>
    <m/>
    <d v="2023-07-04T00:00:00"/>
    <n v="182"/>
    <n v="7002"/>
    <s v="60766938"/>
    <s v="60766938"/>
    <m/>
    <m/>
    <n v="22717928"/>
    <m/>
    <m/>
    <m/>
    <s v="SOLFIN"/>
    <s v="SOLFIN"/>
    <s v="CCMS"/>
    <n v="21327967"/>
    <n v="9724.02"/>
    <m/>
    <s v="N"/>
    <n v="10"/>
    <d v="2023-07-04T19:01:00"/>
    <s v="Y"/>
    <s v="Expert - Other"/>
    <s v="Public Law Children"/>
    <s v="Expert Disbursement"/>
    <s v="Shanthi Balakrishnan"/>
    <s v="Y"/>
    <n v="275.75"/>
    <n v="55.15"/>
    <x v="1"/>
    <s v="VALIDATED"/>
    <n v="1"/>
    <s v="01.11.80.308.6300.0000"/>
    <n v="275.75"/>
    <s v="11"/>
    <s v="6300"/>
    <n v="12869.96"/>
    <n v="275.75"/>
    <s v="CREDITOR"/>
    <n v="0"/>
    <n v="0"/>
    <n v="0"/>
    <n v="0"/>
    <n v="275.75"/>
  </r>
  <r>
    <n v="60766938"/>
    <s v="N"/>
    <n v="21328587"/>
    <s v="3000015006180002RC"/>
    <s v="CIVIL"/>
    <d v="2023-06-19T00:00:00"/>
    <d v="2023-07-04T19:38:21"/>
    <m/>
    <d v="2023-07-04T00:00:00"/>
    <n v="182"/>
    <n v="7002"/>
    <s v="60766938"/>
    <s v="60766938"/>
    <m/>
    <m/>
    <m/>
    <m/>
    <m/>
    <m/>
    <s v="SOLRECOUP"/>
    <s v="SOLRECOUP"/>
    <s v="POARECOUP"/>
    <n v="21328587"/>
    <n v="-486"/>
    <m/>
    <s v="Y"/>
    <n v="1"/>
    <d v="2023-07-04T19:38:22"/>
    <s v="N"/>
    <m/>
    <m/>
    <s v="Expert Disbursement"/>
    <m/>
    <s v="N"/>
    <n v="-405"/>
    <n v="0"/>
    <x v="1"/>
    <s v="VALIDATED"/>
    <n v="1"/>
    <s v="01.11.80.308.2013.0000"/>
    <n v="-405"/>
    <s v="11"/>
    <s v="2013"/>
    <n v="12869.96"/>
    <n v="-405"/>
    <s v="CREDITOR"/>
    <n v="0"/>
    <n v="0"/>
    <n v="-405"/>
    <n v="0"/>
    <n v="0"/>
  </r>
  <r>
    <n v="60766938"/>
    <s v="N"/>
    <n v="21328587"/>
    <s v="3000015006180002RC"/>
    <s v="CIVIL"/>
    <d v="2023-06-19T00:00:00"/>
    <d v="2023-07-04T19:38:21"/>
    <m/>
    <d v="2023-07-04T00:00:00"/>
    <n v="182"/>
    <n v="7002"/>
    <s v="60766938"/>
    <s v="60766938"/>
    <m/>
    <m/>
    <m/>
    <m/>
    <m/>
    <m/>
    <s v="SOLRECOUP"/>
    <s v="SOLRECOUP"/>
    <s v="POARECOUP"/>
    <n v="21328587"/>
    <n v="-486"/>
    <m/>
    <s v="Y"/>
    <n v="2"/>
    <d v="2023-07-04T19:38:22"/>
    <s v="N"/>
    <m/>
    <m/>
    <s v="Expert Disbursement"/>
    <m/>
    <s v="N"/>
    <n v="0"/>
    <n v="-81"/>
    <x v="1"/>
    <s v="VALIDATED"/>
    <n v="1"/>
    <s v="01.11.80.308.2013.0000"/>
    <n v="-81"/>
    <s v="11"/>
    <s v="2013"/>
    <n v="12869.96"/>
    <n v="-81"/>
    <s v="CREDITOR"/>
    <n v="0"/>
    <n v="0"/>
    <n v="-81"/>
    <n v="0"/>
    <n v="0"/>
  </r>
  <r>
    <n v="60766938"/>
    <s v="N"/>
    <n v="21328588"/>
    <s v="3000015006180003RC"/>
    <s v="CIVIL"/>
    <d v="2023-06-19T00:00:00"/>
    <d v="2023-07-04T19:38:21"/>
    <m/>
    <d v="2023-07-04T00:00:00"/>
    <n v="182"/>
    <n v="7002"/>
    <s v="60766938"/>
    <s v="60766938"/>
    <m/>
    <m/>
    <m/>
    <m/>
    <m/>
    <m/>
    <s v="SOLRECOUP"/>
    <s v="SOLRECOUP"/>
    <s v="POARECOUP"/>
    <n v="21328588"/>
    <n v="-64.8"/>
    <m/>
    <s v="Y"/>
    <n v="1"/>
    <d v="2023-07-04T19:38:22"/>
    <s v="N"/>
    <m/>
    <m/>
    <s v="Expert Disbursement"/>
    <m/>
    <s v="N"/>
    <n v="-54"/>
    <n v="0"/>
    <x v="1"/>
    <s v="VALIDATED"/>
    <n v="1"/>
    <s v="01.11.80.308.2013.0000"/>
    <n v="-54"/>
    <s v="11"/>
    <s v="2013"/>
    <n v="12869.96"/>
    <n v="-54"/>
    <s v="CREDITOR"/>
    <n v="0"/>
    <n v="0"/>
    <n v="-54"/>
    <n v="0"/>
    <n v="0"/>
  </r>
  <r>
    <n v="60766938"/>
    <s v="N"/>
    <n v="21328588"/>
    <s v="3000015006180003RC"/>
    <s v="CIVIL"/>
    <d v="2023-06-19T00:00:00"/>
    <d v="2023-07-04T19:38:21"/>
    <m/>
    <d v="2023-07-04T00:00:00"/>
    <n v="182"/>
    <n v="7002"/>
    <s v="60766938"/>
    <s v="60766938"/>
    <m/>
    <m/>
    <m/>
    <m/>
    <m/>
    <m/>
    <s v="SOLRECOUP"/>
    <s v="SOLRECOUP"/>
    <s v="POARECOUP"/>
    <n v="21328588"/>
    <n v="-64.8"/>
    <m/>
    <s v="Y"/>
    <n v="2"/>
    <d v="2023-07-04T19:38:22"/>
    <s v="N"/>
    <m/>
    <m/>
    <s v="Expert Disbursement"/>
    <m/>
    <s v="N"/>
    <n v="0"/>
    <n v="-10.8"/>
    <x v="1"/>
    <s v="VALIDATED"/>
    <n v="1"/>
    <s v="01.11.80.308.2013.0000"/>
    <n v="-10.8"/>
    <s v="11"/>
    <s v="2013"/>
    <n v="12869.96"/>
    <n v="-10.8"/>
    <s v="CREDITOR"/>
    <n v="0"/>
    <n v="0"/>
    <n v="-10.8"/>
    <n v="0"/>
    <n v="0"/>
  </r>
  <r>
    <n v="60766938"/>
    <s v="N"/>
    <n v="21328589"/>
    <s v="3000015006180004RC"/>
    <s v="CIVIL"/>
    <d v="2023-06-19T00:00:00"/>
    <d v="2023-07-04T19:38:21"/>
    <m/>
    <d v="2023-07-04T00:00:00"/>
    <n v="182"/>
    <n v="7002"/>
    <s v="60766938"/>
    <s v="60766938"/>
    <m/>
    <m/>
    <m/>
    <m/>
    <m/>
    <m/>
    <s v="SOLRECOUP"/>
    <s v="SOLRECOUP"/>
    <s v="POARECOUP"/>
    <n v="21328589"/>
    <n v="-33"/>
    <m/>
    <s v="Y"/>
    <n v="1"/>
    <d v="2023-07-04T19:38:22"/>
    <s v="N"/>
    <m/>
    <m/>
    <s v="Expert Disbursement"/>
    <m/>
    <s v="N"/>
    <n v="-27.5"/>
    <n v="0"/>
    <x v="1"/>
    <s v="VALIDATED"/>
    <n v="1"/>
    <s v="01.11.80.308.2013.0000"/>
    <n v="-27.5"/>
    <s v="11"/>
    <s v="2013"/>
    <n v="12869.96"/>
    <n v="-27.5"/>
    <s v="CREDITOR"/>
    <n v="0"/>
    <n v="0"/>
    <n v="-27.5"/>
    <n v="0"/>
    <n v="0"/>
  </r>
  <r>
    <n v="60766938"/>
    <s v="N"/>
    <n v="21328589"/>
    <s v="3000015006180004RC"/>
    <s v="CIVIL"/>
    <d v="2023-06-19T00:00:00"/>
    <d v="2023-07-04T19:38:21"/>
    <m/>
    <d v="2023-07-04T00:00:00"/>
    <n v="182"/>
    <n v="7002"/>
    <s v="60766938"/>
    <s v="60766938"/>
    <m/>
    <m/>
    <m/>
    <m/>
    <m/>
    <m/>
    <s v="SOLRECOUP"/>
    <s v="SOLRECOUP"/>
    <s v="POARECOUP"/>
    <n v="21328589"/>
    <n v="-33"/>
    <m/>
    <s v="Y"/>
    <n v="2"/>
    <d v="2023-07-04T19:38:22"/>
    <s v="N"/>
    <m/>
    <m/>
    <s v="Expert Disbursement"/>
    <m/>
    <s v="N"/>
    <n v="0"/>
    <n v="-5.5"/>
    <x v="1"/>
    <s v="VALIDATED"/>
    <n v="1"/>
    <s v="01.11.80.308.2013.0000"/>
    <n v="-5.5"/>
    <s v="11"/>
    <s v="2013"/>
    <n v="12869.96"/>
    <n v="-5.5"/>
    <s v="CREDITOR"/>
    <n v="0"/>
    <n v="0"/>
    <n v="-5.5"/>
    <n v="0"/>
    <n v="0"/>
  </r>
  <r>
    <n v="60766938"/>
    <s v="N"/>
    <n v="21328590"/>
    <s v="3000015006180001RC"/>
    <s v="CIVIL"/>
    <d v="2023-06-19T00:00:00"/>
    <d v="2023-07-04T19:38:21"/>
    <m/>
    <d v="2023-07-04T00:00:00"/>
    <n v="182"/>
    <n v="7002"/>
    <s v="60766938"/>
    <s v="60766938"/>
    <m/>
    <m/>
    <m/>
    <m/>
    <m/>
    <m/>
    <s v="SOLRECOUP"/>
    <s v="SOLRECOUP"/>
    <s v="POARECOUP"/>
    <n v="21328590"/>
    <n v="-28.5"/>
    <m/>
    <s v="Y"/>
    <n v="1"/>
    <d v="2023-07-04T19:38:22"/>
    <s v="N"/>
    <m/>
    <m/>
    <s v="Expert Disbursement"/>
    <m/>
    <s v="N"/>
    <n v="-23.75"/>
    <n v="0"/>
    <x v="1"/>
    <s v="VALIDATED"/>
    <n v="1"/>
    <s v="01.11.80.308.2013.0000"/>
    <n v="-23.75"/>
    <s v="11"/>
    <s v="2013"/>
    <n v="12869.96"/>
    <n v="-23.75"/>
    <s v="CREDITOR"/>
    <n v="0"/>
    <n v="0"/>
    <n v="-23.75"/>
    <n v="0"/>
    <n v="0"/>
  </r>
  <r>
    <n v="60766938"/>
    <s v="N"/>
    <n v="21328590"/>
    <s v="3000015006180001RC"/>
    <s v="CIVIL"/>
    <d v="2023-06-19T00:00:00"/>
    <d v="2023-07-04T19:38:21"/>
    <m/>
    <d v="2023-07-04T00:00:00"/>
    <n v="182"/>
    <n v="7002"/>
    <s v="60766938"/>
    <s v="60766938"/>
    <m/>
    <m/>
    <m/>
    <m/>
    <m/>
    <m/>
    <s v="SOLRECOUP"/>
    <s v="SOLRECOUP"/>
    <s v="POARECOUP"/>
    <n v="21328590"/>
    <n v="-28.5"/>
    <m/>
    <s v="Y"/>
    <n v="2"/>
    <d v="2023-07-04T19:38:22"/>
    <s v="N"/>
    <m/>
    <m/>
    <s v="Expert Disbursement"/>
    <m/>
    <s v="N"/>
    <n v="0"/>
    <n v="-4.75"/>
    <x v="1"/>
    <s v="VALIDATED"/>
    <n v="1"/>
    <s v="01.11.80.308.2013.0000"/>
    <n v="-4.75"/>
    <s v="11"/>
    <s v="2013"/>
    <n v="12869.96"/>
    <n v="-4.75"/>
    <s v="CREDITOR"/>
    <n v="0"/>
    <n v="0"/>
    <n v="-4.75"/>
    <n v="0"/>
    <n v="0"/>
  </r>
  <r>
    <n v="60766938"/>
    <s v="N"/>
    <n v="21328591"/>
    <s v="3000015006180006RC"/>
    <s v="CIVIL"/>
    <d v="2023-06-19T00:00:00"/>
    <d v="2023-07-04T19:38:21"/>
    <m/>
    <d v="2023-07-04T00:00:00"/>
    <n v="182"/>
    <n v="7002"/>
    <s v="60766938"/>
    <s v="60766938"/>
    <m/>
    <m/>
    <m/>
    <m/>
    <m/>
    <m/>
    <s v="SOLRECOUP"/>
    <s v="SOLRECOUP"/>
    <s v="POARECOUP"/>
    <n v="21328591"/>
    <n v="-105.4"/>
    <m/>
    <s v="Y"/>
    <n v="1"/>
    <d v="2023-07-04T19:38:22"/>
    <s v="N"/>
    <m/>
    <m/>
    <s v="Expert Disbursement"/>
    <m/>
    <s v="N"/>
    <n v="-105.4"/>
    <n v="0"/>
    <x v="1"/>
    <s v="VALIDATED"/>
    <n v="1"/>
    <s v="01.11.80.308.2013.0000"/>
    <n v="-105.4"/>
    <s v="11"/>
    <s v="2013"/>
    <n v="12869.96"/>
    <n v="-105.4"/>
    <s v="CREDITOR"/>
    <n v="0"/>
    <n v="0"/>
    <n v="-105.4"/>
    <n v="0"/>
    <n v="0"/>
  </r>
  <r>
    <n v="60766938"/>
    <s v="N"/>
    <n v="21328591"/>
    <s v="3000015006180006RC"/>
    <s v="CIVIL"/>
    <d v="2023-06-19T00:00:00"/>
    <d v="2023-07-04T19:38:21"/>
    <m/>
    <d v="2023-07-04T00:00:00"/>
    <n v="182"/>
    <n v="7002"/>
    <s v="60766938"/>
    <s v="60766938"/>
    <m/>
    <m/>
    <m/>
    <m/>
    <m/>
    <m/>
    <s v="SOLRECOUP"/>
    <s v="SOLRECOUP"/>
    <s v="POARECOUP"/>
    <n v="21328591"/>
    <n v="-105.4"/>
    <m/>
    <s v="Y"/>
    <n v="2"/>
    <d v="2023-07-04T19:38:22"/>
    <s v="N"/>
    <m/>
    <m/>
    <s v="Expert Disbursement"/>
    <m/>
    <s v="N"/>
    <n v="0"/>
    <n v="0"/>
    <x v="1"/>
    <s v="VALIDATED"/>
    <n v="1"/>
    <s v="01.11.80.000.0000.0000"/>
    <n v="0"/>
    <s v="11"/>
    <s v="0000"/>
    <n v="12869.96"/>
    <n v="0"/>
    <s v="CREDITOR"/>
    <n v="0"/>
    <n v="0"/>
    <n v="0"/>
    <n v="0"/>
    <n v="0"/>
  </r>
  <r>
    <n v="60766938"/>
    <s v="N"/>
    <n v="21328592"/>
    <s v="3000015006180007RC"/>
    <s v="CIVIL"/>
    <d v="2023-06-19T00:00:00"/>
    <d v="2023-07-04T19:38:21"/>
    <m/>
    <d v="2023-07-04T00:00:00"/>
    <n v="182"/>
    <n v="7002"/>
    <s v="60766938"/>
    <s v="60766938"/>
    <m/>
    <m/>
    <m/>
    <m/>
    <m/>
    <m/>
    <s v="SOLRECOUP"/>
    <s v="SOLRECOUP"/>
    <s v="POARECOUP"/>
    <n v="21328592"/>
    <n v="-150.4"/>
    <m/>
    <s v="Y"/>
    <n v="1"/>
    <d v="2023-07-04T19:38:22"/>
    <s v="N"/>
    <m/>
    <m/>
    <s v="Expert Disbursement"/>
    <m/>
    <s v="N"/>
    <n v="-150.4"/>
    <n v="0"/>
    <x v="1"/>
    <s v="VALIDATED"/>
    <n v="1"/>
    <s v="01.11.80.308.2013.0000"/>
    <n v="-150.4"/>
    <s v="11"/>
    <s v="2013"/>
    <n v="12869.96"/>
    <n v="-150.4"/>
    <s v="CREDITOR"/>
    <n v="0"/>
    <n v="0"/>
    <n v="-150.4"/>
    <n v="0"/>
    <n v="0"/>
  </r>
  <r>
    <n v="60766938"/>
    <s v="N"/>
    <n v="21328592"/>
    <s v="3000015006180007RC"/>
    <s v="CIVIL"/>
    <d v="2023-06-19T00:00:00"/>
    <d v="2023-07-04T19:38:21"/>
    <m/>
    <d v="2023-07-04T00:00:00"/>
    <n v="182"/>
    <n v="7002"/>
    <s v="60766938"/>
    <s v="60766938"/>
    <m/>
    <m/>
    <m/>
    <m/>
    <m/>
    <m/>
    <s v="SOLRECOUP"/>
    <s v="SOLRECOUP"/>
    <s v="POARECOUP"/>
    <n v="21328592"/>
    <n v="-150.4"/>
    <m/>
    <s v="Y"/>
    <n v="2"/>
    <d v="2023-07-04T19:38:22"/>
    <s v="N"/>
    <m/>
    <m/>
    <s v="Expert Disbursement"/>
    <m/>
    <s v="N"/>
    <n v="0"/>
    <n v="0"/>
    <x v="1"/>
    <s v="VALIDATED"/>
    <n v="1"/>
    <s v="01.11.80.000.0000.0000"/>
    <n v="0"/>
    <s v="11"/>
    <s v="0000"/>
    <n v="12869.96"/>
    <n v="0"/>
    <s v="CREDITOR"/>
    <n v="0"/>
    <n v="0"/>
    <n v="0"/>
    <n v="0"/>
    <n v="0"/>
  </r>
  <r>
    <n v="60766938"/>
    <s v="N"/>
    <n v="21328593"/>
    <s v="3000015006180005RC"/>
    <s v="CIVIL"/>
    <d v="2023-06-19T00:00:00"/>
    <d v="2023-07-04T19:38:21"/>
    <m/>
    <d v="2023-07-04T00:00:00"/>
    <n v="182"/>
    <n v="7002"/>
    <s v="60766938"/>
    <s v="60766938"/>
    <m/>
    <m/>
    <m/>
    <m/>
    <m/>
    <m/>
    <s v="SOLRECOUP"/>
    <s v="SOLRECOUP"/>
    <s v="POARECOUP"/>
    <n v="21328593"/>
    <n v="-330.9"/>
    <m/>
    <s v="Y"/>
    <n v="2"/>
    <d v="2023-07-04T19:38:22"/>
    <s v="N"/>
    <m/>
    <m/>
    <s v="Expert Disbursement"/>
    <m/>
    <s v="N"/>
    <n v="0"/>
    <n v="-55.15"/>
    <x v="1"/>
    <s v="VALIDATED"/>
    <n v="1"/>
    <s v="01.11.80.308.2013.0000"/>
    <n v="-55.15"/>
    <s v="11"/>
    <s v="2013"/>
    <n v="12869.96"/>
    <n v="-55.15"/>
    <s v="CREDITOR"/>
    <n v="0"/>
    <n v="0"/>
    <n v="-55.15"/>
    <n v="0"/>
    <n v="0"/>
  </r>
  <r>
    <n v="60575760"/>
    <s v="N"/>
    <n v="21356275"/>
    <s v="3000014840730005RC"/>
    <s v="CIVIL"/>
    <d v="2023-06-29T00:00:00"/>
    <d v="2023-07-10T19:47:44"/>
    <m/>
    <d v="2023-07-10T00:00:00"/>
    <n v="183"/>
    <n v="7113"/>
    <s v="60575760"/>
    <s v="60575760"/>
    <m/>
    <m/>
    <m/>
    <m/>
    <m/>
    <m/>
    <s v="SOLRECOUP"/>
    <s v="SOLRECOUP"/>
    <s v="POARECOUP"/>
    <n v="21356275"/>
    <n v="-64.8"/>
    <m/>
    <s v="Y"/>
    <n v="2"/>
    <d v="2023-07-10T19:47:44"/>
    <s v="N"/>
    <m/>
    <m/>
    <s v="Expert Disbursement"/>
    <m/>
    <s v="N"/>
    <n v="0"/>
    <n v="-10.8"/>
    <x v="2"/>
    <s v="VALIDATED"/>
    <n v="1"/>
    <s v="01.11.80.308.2013.0000"/>
    <n v="-10.8"/>
    <s v="11"/>
    <s v="2013"/>
    <n v="25191.78"/>
    <n v="-10.8"/>
    <s v="CREDITOR"/>
    <n v="0"/>
    <n v="0"/>
    <n v="-10.8"/>
    <n v="0"/>
    <n v="0"/>
  </r>
  <r>
    <n v="60575760"/>
    <s v="N"/>
    <n v="21356275"/>
    <s v="3000014840730005RC"/>
    <s v="CIVIL"/>
    <d v="2023-06-29T00:00:00"/>
    <d v="2023-07-10T19:47:44"/>
    <m/>
    <d v="2023-07-10T00:00:00"/>
    <n v="183"/>
    <n v="7113"/>
    <s v="60575760"/>
    <s v="60575760"/>
    <m/>
    <m/>
    <m/>
    <m/>
    <m/>
    <m/>
    <s v="SOLRECOUP"/>
    <s v="SOLRECOUP"/>
    <s v="POARECOUP"/>
    <n v="21356275"/>
    <n v="-64.8"/>
    <m/>
    <s v="Y"/>
    <n v="1"/>
    <d v="2023-07-10T19:47:44"/>
    <s v="N"/>
    <m/>
    <m/>
    <s v="Expert Disbursement"/>
    <m/>
    <s v="N"/>
    <n v="-54"/>
    <n v="0"/>
    <x v="2"/>
    <s v="VALIDATED"/>
    <n v="1"/>
    <s v="01.11.80.308.2013.0000"/>
    <n v="-54"/>
    <s v="11"/>
    <s v="2013"/>
    <n v="25191.78"/>
    <n v="-54"/>
    <s v="CREDITOR"/>
    <n v="0"/>
    <n v="0"/>
    <n v="-54"/>
    <n v="0"/>
    <n v="0"/>
  </r>
  <r>
    <n v="60575760"/>
    <s v="N"/>
    <n v="21356276"/>
    <s v="3000014840730006RC"/>
    <s v="CIVIL"/>
    <d v="2023-06-29T00:00:00"/>
    <d v="2023-07-10T19:47:44"/>
    <m/>
    <d v="2023-07-10T00:00:00"/>
    <n v="183"/>
    <n v="7113"/>
    <s v="60575760"/>
    <s v="60575760"/>
    <m/>
    <m/>
    <m/>
    <m/>
    <m/>
    <m/>
    <s v="SOLRECOUP"/>
    <s v="SOLRECOUP"/>
    <s v="POARECOUP"/>
    <n v="21356276"/>
    <n v="-518.7"/>
    <m/>
    <s v="Y"/>
    <n v="2"/>
    <d v="2023-07-10T19:47:44"/>
    <s v="N"/>
    <m/>
    <m/>
    <s v="Expert Disbursement"/>
    <m/>
    <s v="N"/>
    <n v="0"/>
    <n v="-86.45"/>
    <x v="2"/>
    <s v="VALIDATED"/>
    <n v="1"/>
    <s v="01.11.80.308.2013.0000"/>
    <n v="-86.45"/>
    <s v="11"/>
    <s v="2013"/>
    <n v="25191.78"/>
    <n v="-86.45"/>
    <s v="CREDITOR"/>
    <n v="0"/>
    <n v="0"/>
    <n v="-86.45"/>
    <n v="0"/>
    <n v="0"/>
  </r>
  <r>
    <n v="60575760"/>
    <s v="N"/>
    <n v="21356276"/>
    <s v="3000014840730006RC"/>
    <s v="CIVIL"/>
    <d v="2023-06-29T00:00:00"/>
    <d v="2023-07-10T19:47:44"/>
    <m/>
    <d v="2023-07-10T00:00:00"/>
    <n v="183"/>
    <n v="7113"/>
    <s v="60575760"/>
    <s v="60575760"/>
    <m/>
    <m/>
    <m/>
    <m/>
    <m/>
    <m/>
    <s v="SOLRECOUP"/>
    <s v="SOLRECOUP"/>
    <s v="POARECOUP"/>
    <n v="21356276"/>
    <n v="-518.7"/>
    <m/>
    <s v="Y"/>
    <n v="1"/>
    <d v="2023-07-10T19:47:44"/>
    <s v="N"/>
    <m/>
    <m/>
    <s v="Expert Disbursement"/>
    <m/>
    <s v="N"/>
    <n v="-432.25"/>
    <n v="0"/>
    <x v="2"/>
    <s v="VALIDATED"/>
    <n v="1"/>
    <s v="01.11.80.308.2013.0000"/>
    <n v="-432.25"/>
    <s v="11"/>
    <s v="2013"/>
    <n v="25191.78"/>
    <n v="-432.25"/>
    <s v="CREDITOR"/>
    <n v="0"/>
    <n v="0"/>
    <n v="-432.25"/>
    <n v="0"/>
    <n v="0"/>
  </r>
  <r>
    <n v="11534132"/>
    <s v="N"/>
    <n v="21346234"/>
    <s v="3000006913160020RC"/>
    <s v="CIVIL"/>
    <d v="2023-06-27T00:00:00"/>
    <d v="2023-07-07T19:34:21"/>
    <m/>
    <d v="2023-07-07T00:00:00"/>
    <n v="183"/>
    <n v="7113"/>
    <s v="11534132"/>
    <s v="11534132"/>
    <m/>
    <m/>
    <m/>
    <m/>
    <m/>
    <m/>
    <s v="SOLRECOUP"/>
    <s v="SOLRECOUP"/>
    <s v="POARECOUP"/>
    <n v="21346234"/>
    <n v="-24.04"/>
    <m/>
    <s v="Y"/>
    <n v="1"/>
    <d v="2023-07-07T19:34:22"/>
    <s v="N"/>
    <m/>
    <m/>
    <s v="Non Expert Disbursement"/>
    <m/>
    <s v="N"/>
    <n v="-20.03"/>
    <n v="0"/>
    <x v="9"/>
    <s v="VALIDATED"/>
    <n v="1"/>
    <s v="01.11.80.302.2013.0000"/>
    <n v="-20.03"/>
    <s v="11"/>
    <s v="2013"/>
    <n v="25191.78"/>
    <n v="-20.03"/>
    <s v="CREDITOR"/>
    <n v="0"/>
    <n v="0"/>
    <n v="-20.03"/>
    <n v="0"/>
    <n v="0"/>
  </r>
  <r>
    <n v="11534132"/>
    <s v="N"/>
    <n v="21346234"/>
    <s v="3000006913160020RC"/>
    <s v="CIVIL"/>
    <d v="2023-06-27T00:00:00"/>
    <d v="2023-07-07T19:34:21"/>
    <m/>
    <d v="2023-07-07T00:00:00"/>
    <n v="183"/>
    <n v="7113"/>
    <s v="11534132"/>
    <s v="11534132"/>
    <m/>
    <m/>
    <m/>
    <m/>
    <m/>
    <m/>
    <s v="SOLRECOUP"/>
    <s v="SOLRECOUP"/>
    <s v="POARECOUP"/>
    <n v="21346234"/>
    <n v="-24.04"/>
    <m/>
    <s v="Y"/>
    <n v="2"/>
    <d v="2023-07-07T19:34:22"/>
    <s v="N"/>
    <m/>
    <m/>
    <s v="Non Expert Disbursement"/>
    <m/>
    <s v="N"/>
    <n v="0"/>
    <n v="-4.01"/>
    <x v="9"/>
    <s v="VALIDATED"/>
    <n v="1"/>
    <s v="01.11.80.302.2013.0000"/>
    <n v="-4.01"/>
    <s v="11"/>
    <s v="2013"/>
    <n v="25191.78"/>
    <n v="-4.01"/>
    <s v="CREDITOR"/>
    <n v="0"/>
    <n v="0"/>
    <n v="-4.01"/>
    <n v="0"/>
    <n v="0"/>
  </r>
  <r>
    <n v="11534132"/>
    <s v="N"/>
    <n v="21346235"/>
    <s v="3000006913160002RC"/>
    <s v="CIVIL"/>
    <d v="2023-06-27T00:00:00"/>
    <d v="2023-07-07T19:34:21"/>
    <m/>
    <d v="2023-07-07T00:00:00"/>
    <n v="183"/>
    <n v="7113"/>
    <s v="11534132"/>
    <s v="11534132"/>
    <m/>
    <m/>
    <m/>
    <m/>
    <m/>
    <m/>
    <s v="SOLRECOUP"/>
    <s v="SOLRECOUP"/>
    <s v="POARECOUP"/>
    <n v="21346235"/>
    <n v="-379.92"/>
    <m/>
    <s v="Y"/>
    <n v="1"/>
    <d v="2023-07-07T19:34:22"/>
    <s v="N"/>
    <m/>
    <m/>
    <s v="Expert Disbursement"/>
    <m/>
    <s v="N"/>
    <n v="-316.6"/>
    <n v="0"/>
    <x v="9"/>
    <s v="VALIDATED"/>
    <n v="1"/>
    <s v="01.11.80.302.2013.0000"/>
    <n v="-316.6"/>
    <s v="11"/>
    <s v="2013"/>
    <n v="25191.78"/>
    <n v="-316.6"/>
    <s v="CREDITOR"/>
    <n v="0"/>
    <n v="0"/>
    <n v="-316.6"/>
    <n v="0"/>
    <n v="0"/>
  </r>
  <r>
    <n v="11534132"/>
    <s v="N"/>
    <n v="21346235"/>
    <s v="3000006913160002RC"/>
    <s v="CIVIL"/>
    <d v="2023-06-27T00:00:00"/>
    <d v="2023-07-07T19:34:21"/>
    <m/>
    <d v="2023-07-07T00:00:00"/>
    <n v="183"/>
    <n v="7113"/>
    <s v="11534132"/>
    <s v="11534132"/>
    <m/>
    <m/>
    <m/>
    <m/>
    <m/>
    <m/>
    <s v="SOLRECOUP"/>
    <s v="SOLRECOUP"/>
    <s v="POARECOUP"/>
    <n v="21346235"/>
    <n v="-379.92"/>
    <m/>
    <s v="Y"/>
    <n v="2"/>
    <d v="2023-07-07T19:34:22"/>
    <s v="N"/>
    <m/>
    <m/>
    <s v="Expert Disbursement"/>
    <m/>
    <s v="N"/>
    <n v="0"/>
    <n v="-63.32"/>
    <x v="9"/>
    <s v="VALIDATED"/>
    <n v="1"/>
    <s v="01.11.80.302.2013.0000"/>
    <n v="-63.32"/>
    <s v="11"/>
    <s v="2013"/>
    <n v="25191.78"/>
    <n v="-63.32"/>
    <s v="CREDITOR"/>
    <n v="0"/>
    <n v="0"/>
    <n v="-63.32"/>
    <n v="0"/>
    <n v="0"/>
  </r>
  <r>
    <n v="11534132"/>
    <s v="N"/>
    <n v="21346236"/>
    <s v="3000006913160003RC"/>
    <s v="CIVIL"/>
    <d v="2023-06-27T00:00:00"/>
    <d v="2023-07-07T19:34:21"/>
    <m/>
    <d v="2023-07-07T00:00:00"/>
    <n v="183"/>
    <n v="7113"/>
    <s v="11534132"/>
    <s v="11534132"/>
    <m/>
    <m/>
    <m/>
    <m/>
    <m/>
    <m/>
    <s v="SOLRECOUP"/>
    <s v="SOLRECOUP"/>
    <s v="POARECOUP"/>
    <n v="21346236"/>
    <n v="-85"/>
    <m/>
    <s v="Y"/>
    <n v="1"/>
    <d v="2023-07-07T19:34:22"/>
    <s v="N"/>
    <m/>
    <m/>
    <s v="Expert Disbursement"/>
    <m/>
    <s v="N"/>
    <n v="-70.83"/>
    <n v="0"/>
    <x v="9"/>
    <s v="VALIDATED"/>
    <n v="1"/>
    <s v="01.11.80.302.2013.0000"/>
    <n v="-70.83"/>
    <s v="11"/>
    <s v="2013"/>
    <n v="25191.78"/>
    <n v="-70.83"/>
    <s v="CREDITOR"/>
    <n v="0"/>
    <n v="0"/>
    <n v="-70.83"/>
    <n v="0"/>
    <n v="0"/>
  </r>
  <r>
    <n v="11534132"/>
    <s v="N"/>
    <n v="21346236"/>
    <s v="3000006913160003RC"/>
    <s v="CIVIL"/>
    <d v="2023-06-27T00:00:00"/>
    <d v="2023-07-07T19:34:21"/>
    <m/>
    <d v="2023-07-07T00:00:00"/>
    <n v="183"/>
    <n v="7113"/>
    <s v="11534132"/>
    <s v="11534132"/>
    <m/>
    <m/>
    <m/>
    <m/>
    <m/>
    <m/>
    <s v="SOLRECOUP"/>
    <s v="SOLRECOUP"/>
    <s v="POARECOUP"/>
    <n v="21346236"/>
    <n v="-85"/>
    <m/>
    <s v="Y"/>
    <n v="2"/>
    <d v="2023-07-07T19:34:22"/>
    <s v="N"/>
    <m/>
    <m/>
    <s v="Expert Disbursement"/>
    <m/>
    <s v="N"/>
    <n v="0"/>
    <n v="-14.17"/>
    <x v="9"/>
    <s v="VALIDATED"/>
    <n v="1"/>
    <s v="01.11.80.302.2013.0000"/>
    <n v="-14.17"/>
    <s v="11"/>
    <s v="2013"/>
    <n v="25191.78"/>
    <n v="-14.17"/>
    <s v="CREDITOR"/>
    <n v="0"/>
    <n v="0"/>
    <n v="-14.17"/>
    <n v="0"/>
    <n v="0"/>
  </r>
  <r>
    <n v="11534132"/>
    <s v="N"/>
    <n v="21346237"/>
    <s v="3000006913160004RC"/>
    <s v="CIVIL"/>
    <d v="2023-06-27T00:00:00"/>
    <d v="2023-07-07T19:34:21"/>
    <m/>
    <d v="2023-07-07T00:00:00"/>
    <n v="183"/>
    <n v="7113"/>
    <s v="11534132"/>
    <s v="11534132"/>
    <m/>
    <m/>
    <m/>
    <m/>
    <m/>
    <m/>
    <s v="SOLRECOUP"/>
    <s v="SOLRECOUP"/>
    <s v="POARECOUP"/>
    <n v="21346237"/>
    <n v="-9.31"/>
    <m/>
    <s v="Y"/>
    <n v="1"/>
    <d v="2023-07-07T19:34:22"/>
    <s v="N"/>
    <m/>
    <m/>
    <s v="Non Expert Disbursement"/>
    <m/>
    <s v="N"/>
    <n v="-7.76"/>
    <n v="0"/>
    <x v="9"/>
    <s v="VALIDATED"/>
    <n v="1"/>
    <s v="01.11.80.302.2013.0000"/>
    <n v="-7.76"/>
    <s v="11"/>
    <s v="2013"/>
    <n v="25191.78"/>
    <n v="-7.76"/>
    <s v="CREDITOR"/>
    <n v="0"/>
    <n v="0"/>
    <n v="-7.76"/>
    <n v="0"/>
    <n v="0"/>
  </r>
  <r>
    <n v="11534132"/>
    <s v="N"/>
    <n v="21346237"/>
    <s v="3000006913160004RC"/>
    <s v="CIVIL"/>
    <d v="2023-06-27T00:00:00"/>
    <d v="2023-07-07T19:34:21"/>
    <m/>
    <d v="2023-07-07T00:00:00"/>
    <n v="183"/>
    <n v="7113"/>
    <s v="11534132"/>
    <s v="11534132"/>
    <m/>
    <m/>
    <m/>
    <m/>
    <m/>
    <m/>
    <s v="SOLRECOUP"/>
    <s v="SOLRECOUP"/>
    <s v="POARECOUP"/>
    <n v="21346237"/>
    <n v="-9.31"/>
    <m/>
    <s v="Y"/>
    <n v="2"/>
    <d v="2023-07-07T19:34:22"/>
    <s v="N"/>
    <m/>
    <m/>
    <s v="Non Expert Disbursement"/>
    <m/>
    <s v="N"/>
    <n v="0"/>
    <n v="-1.55"/>
    <x v="9"/>
    <s v="VALIDATED"/>
    <n v="1"/>
    <s v="01.11.80.302.2013.0000"/>
    <n v="-1.55"/>
    <s v="11"/>
    <s v="2013"/>
    <n v="25191.78"/>
    <n v="-1.55"/>
    <s v="CREDITOR"/>
    <n v="0"/>
    <n v="0"/>
    <n v="-1.55"/>
    <n v="0"/>
    <n v="0"/>
  </r>
  <r>
    <n v="11534132"/>
    <s v="N"/>
    <n v="21346238"/>
    <s v="3000006913160007RC"/>
    <s v="CIVIL"/>
    <d v="2023-06-27T00:00:00"/>
    <d v="2023-07-07T19:34:21"/>
    <m/>
    <d v="2023-07-07T00:00:00"/>
    <n v="183"/>
    <n v="7113"/>
    <s v="11534132"/>
    <s v="11534132"/>
    <m/>
    <m/>
    <m/>
    <m/>
    <m/>
    <m/>
    <s v="SOLRECOUP"/>
    <s v="SOLRECOUP"/>
    <s v="POARECOUP"/>
    <n v="21346238"/>
    <n v="-97.2"/>
    <m/>
    <s v="Y"/>
    <n v="1"/>
    <d v="2023-07-07T19:34:22"/>
    <s v="N"/>
    <m/>
    <m/>
    <s v="Expert Disbursement"/>
    <m/>
    <s v="N"/>
    <n v="-81"/>
    <n v="0"/>
    <x v="9"/>
    <s v="VALIDATED"/>
    <n v="1"/>
    <s v="01.11.80.302.2013.0000"/>
    <n v="-81"/>
    <s v="11"/>
    <s v="2013"/>
    <n v="25191.78"/>
    <n v="-81"/>
    <s v="CREDITOR"/>
    <n v="0"/>
    <n v="0"/>
    <n v="-81"/>
    <n v="0"/>
    <n v="0"/>
  </r>
  <r>
    <n v="11534132"/>
    <s v="N"/>
    <n v="21346238"/>
    <s v="3000006913160007RC"/>
    <s v="CIVIL"/>
    <d v="2023-06-27T00:00:00"/>
    <d v="2023-07-07T19:34:21"/>
    <m/>
    <d v="2023-07-07T00:00:00"/>
    <n v="183"/>
    <n v="7113"/>
    <s v="11534132"/>
    <s v="11534132"/>
    <m/>
    <m/>
    <m/>
    <m/>
    <m/>
    <m/>
    <s v="SOLRECOUP"/>
    <s v="SOLRECOUP"/>
    <s v="POARECOUP"/>
    <n v="21346238"/>
    <n v="-97.2"/>
    <m/>
    <s v="Y"/>
    <n v="2"/>
    <d v="2023-07-07T19:34:22"/>
    <s v="N"/>
    <m/>
    <m/>
    <s v="Expert Disbursement"/>
    <m/>
    <s v="N"/>
    <n v="0"/>
    <n v="-16.2"/>
    <x v="9"/>
    <s v="VALIDATED"/>
    <n v="1"/>
    <s v="01.11.80.302.2013.0000"/>
    <n v="-16.2"/>
    <s v="11"/>
    <s v="2013"/>
    <n v="25191.78"/>
    <n v="-16.2"/>
    <s v="CREDITOR"/>
    <n v="0"/>
    <n v="0"/>
    <n v="-16.2"/>
    <n v="0"/>
    <n v="0"/>
  </r>
  <r>
    <n v="11534132"/>
    <s v="N"/>
    <n v="21346239"/>
    <s v="3000006913160010RC"/>
    <s v="CIVIL"/>
    <d v="2023-06-27T00:00:00"/>
    <d v="2023-07-07T19:34:21"/>
    <m/>
    <d v="2023-07-07T00:00:00"/>
    <n v="183"/>
    <n v="7113"/>
    <s v="11534132"/>
    <s v="11534132"/>
    <m/>
    <m/>
    <m/>
    <m/>
    <m/>
    <m/>
    <s v="SOLRECOUP"/>
    <s v="SOLRECOUP"/>
    <s v="POARECOUP"/>
    <n v="21346239"/>
    <n v="-30"/>
    <m/>
    <s v="Y"/>
    <n v="1"/>
    <d v="2023-07-07T19:34:22"/>
    <s v="N"/>
    <m/>
    <m/>
    <s v="Expert Disbursement"/>
    <m/>
    <s v="N"/>
    <n v="-25"/>
    <n v="0"/>
    <x v="9"/>
    <s v="VALIDATED"/>
    <n v="1"/>
    <s v="01.11.80.302.2013.0000"/>
    <n v="-25"/>
    <s v="11"/>
    <s v="2013"/>
    <n v="25191.78"/>
    <n v="-25"/>
    <s v="CREDITOR"/>
    <n v="0"/>
    <n v="0"/>
    <n v="-25"/>
    <n v="0"/>
    <n v="0"/>
  </r>
  <r>
    <n v="11534132"/>
    <s v="N"/>
    <n v="21346239"/>
    <s v="3000006913160010RC"/>
    <s v="CIVIL"/>
    <d v="2023-06-27T00:00:00"/>
    <d v="2023-07-07T19:34:21"/>
    <m/>
    <d v="2023-07-07T00:00:00"/>
    <n v="183"/>
    <n v="7113"/>
    <s v="11534132"/>
    <s v="11534132"/>
    <m/>
    <m/>
    <m/>
    <m/>
    <m/>
    <m/>
    <s v="SOLRECOUP"/>
    <s v="SOLRECOUP"/>
    <s v="POARECOUP"/>
    <n v="21346239"/>
    <n v="-30"/>
    <m/>
    <s v="Y"/>
    <n v="2"/>
    <d v="2023-07-07T19:34:22"/>
    <s v="N"/>
    <m/>
    <m/>
    <s v="Expert Disbursement"/>
    <m/>
    <s v="N"/>
    <n v="0"/>
    <n v="-5"/>
    <x v="9"/>
    <s v="VALIDATED"/>
    <n v="1"/>
    <s v="01.11.80.302.2013.0000"/>
    <n v="-5"/>
    <s v="11"/>
    <s v="2013"/>
    <n v="25191.78"/>
    <n v="-5"/>
    <s v="CREDITOR"/>
    <n v="0"/>
    <n v="0"/>
    <n v="-5"/>
    <n v="0"/>
    <n v="0"/>
  </r>
  <r>
    <n v="11534132"/>
    <s v="N"/>
    <n v="21346240"/>
    <s v="3000006913160005RC"/>
    <s v="CIVIL"/>
    <d v="2023-06-27T00:00:00"/>
    <d v="2023-07-07T19:34:21"/>
    <m/>
    <d v="2023-07-07T00:00:00"/>
    <n v="183"/>
    <n v="7113"/>
    <s v="11534132"/>
    <s v="11534132"/>
    <m/>
    <m/>
    <m/>
    <m/>
    <m/>
    <m/>
    <s v="SOLRECOUP"/>
    <s v="SOLRECOUP"/>
    <s v="POARECOUP"/>
    <n v="21346240"/>
    <n v="-288.72"/>
    <m/>
    <s v="Y"/>
    <n v="1"/>
    <d v="2023-07-07T19:34:22"/>
    <s v="N"/>
    <m/>
    <m/>
    <s v="Expert Disbursement"/>
    <m/>
    <s v="N"/>
    <n v="-240.6"/>
    <n v="0"/>
    <x v="9"/>
    <s v="VALIDATED"/>
    <n v="1"/>
    <s v="01.11.80.302.2013.0000"/>
    <n v="-240.6"/>
    <s v="11"/>
    <s v="2013"/>
    <n v="25191.78"/>
    <n v="-240.6"/>
    <s v="CREDITOR"/>
    <n v="0"/>
    <n v="0"/>
    <n v="-240.6"/>
    <n v="0"/>
    <n v="0"/>
  </r>
  <r>
    <n v="11534132"/>
    <s v="N"/>
    <n v="21346240"/>
    <s v="3000006913160005RC"/>
    <s v="CIVIL"/>
    <d v="2023-06-27T00:00:00"/>
    <d v="2023-07-07T19:34:21"/>
    <m/>
    <d v="2023-07-07T00:00:00"/>
    <n v="183"/>
    <n v="7113"/>
    <s v="11534132"/>
    <s v="11534132"/>
    <m/>
    <m/>
    <m/>
    <m/>
    <m/>
    <m/>
    <s v="SOLRECOUP"/>
    <s v="SOLRECOUP"/>
    <s v="POARECOUP"/>
    <n v="21346240"/>
    <n v="-288.72"/>
    <m/>
    <s v="Y"/>
    <n v="2"/>
    <d v="2023-07-07T19:34:22"/>
    <s v="N"/>
    <m/>
    <m/>
    <s v="Expert Disbursement"/>
    <m/>
    <s v="N"/>
    <n v="0"/>
    <n v="-48.12"/>
    <x v="9"/>
    <s v="VALIDATED"/>
    <n v="1"/>
    <s v="01.11.80.302.2013.0000"/>
    <n v="-48.12"/>
    <s v="11"/>
    <s v="2013"/>
    <n v="25191.78"/>
    <n v="-48.12"/>
    <s v="CREDITOR"/>
    <n v="0"/>
    <n v="0"/>
    <n v="-48.12"/>
    <n v="0"/>
    <n v="0"/>
  </r>
  <r>
    <n v="11534132"/>
    <s v="N"/>
    <n v="21346241"/>
    <s v="3000006913160011RC"/>
    <s v="CIVIL"/>
    <d v="2023-06-27T00:00:00"/>
    <d v="2023-07-07T19:34:21"/>
    <m/>
    <d v="2023-07-07T00:00:00"/>
    <n v="183"/>
    <n v="7113"/>
    <s v="11534132"/>
    <s v="11534132"/>
    <m/>
    <m/>
    <m/>
    <m/>
    <m/>
    <m/>
    <s v="SOLRECOUP"/>
    <s v="SOLRECOUP"/>
    <s v="POARECOUP"/>
    <n v="21346241"/>
    <n v="-10.45"/>
    <m/>
    <s v="Y"/>
    <n v="2"/>
    <d v="2023-07-07T19:34:22"/>
    <s v="N"/>
    <m/>
    <m/>
    <s v="Non Expert Disbursement"/>
    <m/>
    <s v="N"/>
    <n v="0"/>
    <n v="-1.74"/>
    <x v="9"/>
    <s v="VALIDATED"/>
    <n v="1"/>
    <s v="01.11.80.302.2013.0000"/>
    <n v="-1.74"/>
    <s v="11"/>
    <s v="2013"/>
    <n v="25191.78"/>
    <n v="-1.74"/>
    <s v="CREDITOR"/>
    <n v="0"/>
    <n v="0"/>
    <n v="-1.74"/>
    <n v="0"/>
    <n v="0"/>
  </r>
  <r>
    <n v="11534132"/>
    <s v="N"/>
    <n v="21346241"/>
    <s v="3000006913160011RC"/>
    <s v="CIVIL"/>
    <d v="2023-06-27T00:00:00"/>
    <d v="2023-07-07T19:34:21"/>
    <m/>
    <d v="2023-07-07T00:00:00"/>
    <n v="183"/>
    <n v="7113"/>
    <s v="11534132"/>
    <s v="11534132"/>
    <m/>
    <m/>
    <m/>
    <m/>
    <m/>
    <m/>
    <s v="SOLRECOUP"/>
    <s v="SOLRECOUP"/>
    <s v="POARECOUP"/>
    <n v="21346241"/>
    <n v="-10.45"/>
    <m/>
    <s v="Y"/>
    <n v="1"/>
    <d v="2023-07-07T19:34:22"/>
    <s v="N"/>
    <m/>
    <m/>
    <s v="Non Expert Disbursement"/>
    <m/>
    <s v="N"/>
    <n v="-8.710000000000001"/>
    <n v="0"/>
    <x v="9"/>
    <s v="VALIDATED"/>
    <n v="1"/>
    <s v="01.11.80.302.2013.0000"/>
    <n v="-8.710000000000001"/>
    <s v="11"/>
    <s v="2013"/>
    <n v="25191.78"/>
    <n v="-8.710000000000001"/>
    <s v="CREDITOR"/>
    <n v="0"/>
    <n v="0"/>
    <n v="-8.710000000000001"/>
    <n v="0"/>
    <n v="0"/>
  </r>
  <r>
    <n v="11534132"/>
    <s v="N"/>
    <n v="21346242"/>
    <s v="3000006913160013RC"/>
    <s v="CIVIL"/>
    <d v="2023-06-27T00:00:00"/>
    <d v="2023-07-07T19:34:21"/>
    <m/>
    <d v="2023-07-07T00:00:00"/>
    <n v="183"/>
    <n v="7113"/>
    <s v="11534132"/>
    <s v="11534132"/>
    <m/>
    <m/>
    <m/>
    <m/>
    <m/>
    <m/>
    <s v="SOLRECOUP"/>
    <s v="SOLRECOUP"/>
    <s v="POARECOUP"/>
    <n v="21346242"/>
    <n v="-124.71"/>
    <m/>
    <s v="Y"/>
    <n v="2"/>
    <d v="2023-07-07T19:34:22"/>
    <s v="N"/>
    <m/>
    <m/>
    <s v="Non Expert Disbursement"/>
    <m/>
    <s v="N"/>
    <n v="0"/>
    <n v="0"/>
    <x v="9"/>
    <s v="VALIDATED"/>
    <n v="1"/>
    <s v="01.11.80.000.0000.0000"/>
    <n v="0"/>
    <s v="11"/>
    <s v="0000"/>
    <n v="25191.78"/>
    <n v="0"/>
    <s v="CREDITOR"/>
    <n v="0"/>
    <n v="0"/>
    <n v="0"/>
    <n v="0"/>
    <n v="0"/>
  </r>
  <r>
    <n v="11534132"/>
    <s v="N"/>
    <n v="21346242"/>
    <s v="3000006913160013RC"/>
    <s v="CIVIL"/>
    <d v="2023-06-27T00:00:00"/>
    <d v="2023-07-07T19:34:21"/>
    <m/>
    <d v="2023-07-07T00:00:00"/>
    <n v="183"/>
    <n v="7113"/>
    <s v="11534132"/>
    <s v="11534132"/>
    <m/>
    <m/>
    <m/>
    <m/>
    <m/>
    <m/>
    <s v="SOLRECOUP"/>
    <s v="SOLRECOUP"/>
    <s v="POARECOUP"/>
    <n v="21346242"/>
    <n v="-124.71"/>
    <m/>
    <s v="Y"/>
    <n v="1"/>
    <d v="2023-07-07T19:34:22"/>
    <s v="N"/>
    <m/>
    <m/>
    <s v="Non Expert Disbursement"/>
    <m/>
    <s v="N"/>
    <n v="-124.71"/>
    <n v="0"/>
    <x v="9"/>
    <s v="VALIDATED"/>
    <n v="1"/>
    <s v="01.11.80.302.2013.0000"/>
    <n v="-124.71"/>
    <s v="11"/>
    <s v="2013"/>
    <n v="25191.78"/>
    <n v="-124.71"/>
    <s v="CREDITOR"/>
    <n v="0"/>
    <n v="0"/>
    <n v="-124.71"/>
    <n v="0"/>
    <n v="0"/>
  </r>
  <r>
    <n v="11534132"/>
    <s v="N"/>
    <n v="21346243"/>
    <s v="3000006913160014RC"/>
    <s v="CIVIL"/>
    <d v="2023-06-27T00:00:00"/>
    <d v="2023-07-07T19:34:21"/>
    <m/>
    <d v="2023-07-07T00:00:00"/>
    <n v="183"/>
    <n v="7113"/>
    <s v="11534132"/>
    <s v="11534132"/>
    <m/>
    <m/>
    <m/>
    <m/>
    <m/>
    <m/>
    <s v="SOLRECOUP"/>
    <s v="SOLRECOUP"/>
    <s v="POARECOUP"/>
    <n v="21346243"/>
    <n v="-30"/>
    <m/>
    <s v="Y"/>
    <n v="2"/>
    <d v="2023-07-07T19:34:22"/>
    <s v="N"/>
    <m/>
    <m/>
    <s v="Expert Disbursement"/>
    <m/>
    <s v="N"/>
    <n v="0"/>
    <n v="-5"/>
    <x v="9"/>
    <s v="VALIDATED"/>
    <n v="1"/>
    <s v="01.11.80.302.2013.0000"/>
    <n v="-5"/>
    <s v="11"/>
    <s v="2013"/>
    <n v="25191.78"/>
    <n v="-5"/>
    <s v="CREDITOR"/>
    <n v="0"/>
    <n v="0"/>
    <n v="-5"/>
    <n v="0"/>
    <n v="0"/>
  </r>
  <r>
    <n v="11534132"/>
    <s v="N"/>
    <n v="21346243"/>
    <s v="3000006913160014RC"/>
    <s v="CIVIL"/>
    <d v="2023-06-27T00:00:00"/>
    <d v="2023-07-07T19:34:21"/>
    <m/>
    <d v="2023-07-07T00:00:00"/>
    <n v="183"/>
    <n v="7113"/>
    <s v="11534132"/>
    <s v="11534132"/>
    <m/>
    <m/>
    <m/>
    <m/>
    <m/>
    <m/>
    <s v="SOLRECOUP"/>
    <s v="SOLRECOUP"/>
    <s v="POARECOUP"/>
    <n v="21346243"/>
    <n v="-30"/>
    <m/>
    <s v="Y"/>
    <n v="1"/>
    <d v="2023-07-07T19:34:22"/>
    <s v="N"/>
    <m/>
    <m/>
    <s v="Expert Disbursement"/>
    <m/>
    <s v="N"/>
    <n v="-25"/>
    <n v="0"/>
    <x v="9"/>
    <s v="VALIDATED"/>
    <n v="1"/>
    <s v="01.11.80.302.2013.0000"/>
    <n v="-25"/>
    <s v="11"/>
    <s v="2013"/>
    <n v="25191.78"/>
    <n v="-25"/>
    <s v="CREDITOR"/>
    <n v="0"/>
    <n v="0"/>
    <n v="-25"/>
    <n v="0"/>
    <n v="0"/>
  </r>
  <r>
    <n v="11534132"/>
    <s v="N"/>
    <n v="21346244"/>
    <s v="3000006913160021RC"/>
    <s v="CIVIL"/>
    <d v="2023-06-27T00:00:00"/>
    <d v="2023-07-07T19:34:21"/>
    <m/>
    <d v="2023-07-07T00:00:00"/>
    <n v="183"/>
    <n v="7113"/>
    <s v="11534132"/>
    <s v="11534132"/>
    <m/>
    <m/>
    <m/>
    <m/>
    <m/>
    <m/>
    <s v="SOLRECOUP"/>
    <s v="SOLRECOUP"/>
    <s v="POARECOUP"/>
    <n v="21346244"/>
    <n v="-30"/>
    <m/>
    <s v="Y"/>
    <n v="1"/>
    <d v="2023-07-07T19:34:22"/>
    <s v="N"/>
    <m/>
    <m/>
    <s v="Expert Disbursement"/>
    <m/>
    <s v="N"/>
    <n v="-25"/>
    <n v="0"/>
    <x v="9"/>
    <s v="VALIDATED"/>
    <n v="1"/>
    <s v="01.11.80.302.2013.0000"/>
    <n v="-25"/>
    <s v="11"/>
    <s v="2013"/>
    <n v="25191.78"/>
    <n v="-25"/>
    <s v="CREDITOR"/>
    <n v="0"/>
    <n v="0"/>
    <n v="-25"/>
    <n v="0"/>
    <n v="0"/>
  </r>
  <r>
    <n v="11534132"/>
    <s v="N"/>
    <n v="21346244"/>
    <s v="3000006913160021RC"/>
    <s v="CIVIL"/>
    <d v="2023-06-27T00:00:00"/>
    <d v="2023-07-07T19:34:21"/>
    <m/>
    <d v="2023-07-07T00:00:00"/>
    <n v="183"/>
    <n v="7113"/>
    <s v="11534132"/>
    <s v="11534132"/>
    <m/>
    <m/>
    <m/>
    <m/>
    <m/>
    <m/>
    <s v="SOLRECOUP"/>
    <s v="SOLRECOUP"/>
    <s v="POARECOUP"/>
    <n v="21346244"/>
    <n v="-30"/>
    <m/>
    <s v="Y"/>
    <n v="2"/>
    <d v="2023-07-07T19:34:22"/>
    <s v="N"/>
    <m/>
    <m/>
    <s v="Expert Disbursement"/>
    <m/>
    <s v="N"/>
    <n v="0"/>
    <n v="-5"/>
    <x v="9"/>
    <s v="VALIDATED"/>
    <n v="1"/>
    <s v="01.11.80.302.2013.0000"/>
    <n v="-5"/>
    <s v="11"/>
    <s v="2013"/>
    <n v="25191.78"/>
    <n v="-5"/>
    <s v="CREDITOR"/>
    <n v="0"/>
    <n v="0"/>
    <n v="-5"/>
    <n v="0"/>
    <n v="0"/>
  </r>
  <r>
    <n v="11534132"/>
    <s v="N"/>
    <n v="21346245"/>
    <s v="3000006913160019RC"/>
    <s v="CIVIL"/>
    <d v="2023-06-27T00:00:00"/>
    <d v="2023-07-07T19:34:21"/>
    <m/>
    <d v="2023-07-07T00:00:00"/>
    <n v="183"/>
    <n v="7113"/>
    <s v="11534132"/>
    <s v="11534132"/>
    <m/>
    <m/>
    <m/>
    <m/>
    <m/>
    <m/>
    <s v="SOLRECOUP"/>
    <s v="SOLRECOUP"/>
    <s v="POARECOUP"/>
    <n v="21346245"/>
    <n v="-30"/>
    <m/>
    <s v="Y"/>
    <n v="1"/>
    <d v="2023-07-07T19:34:22"/>
    <s v="N"/>
    <m/>
    <m/>
    <s v="Expert Disbursement"/>
    <m/>
    <s v="N"/>
    <n v="-25"/>
    <n v="0"/>
    <x v="9"/>
    <s v="VALIDATED"/>
    <n v="1"/>
    <s v="01.11.80.302.2013.0000"/>
    <n v="-25"/>
    <s v="11"/>
    <s v="2013"/>
    <n v="25191.78"/>
    <n v="-25"/>
    <s v="CREDITOR"/>
    <n v="0"/>
    <n v="0"/>
    <n v="-25"/>
    <n v="0"/>
    <n v="0"/>
  </r>
  <r>
    <n v="11534132"/>
    <s v="N"/>
    <n v="21346245"/>
    <s v="3000006913160019RC"/>
    <s v="CIVIL"/>
    <d v="2023-06-27T00:00:00"/>
    <d v="2023-07-07T19:34:21"/>
    <m/>
    <d v="2023-07-07T00:00:00"/>
    <n v="183"/>
    <n v="7113"/>
    <s v="11534132"/>
    <s v="11534132"/>
    <m/>
    <m/>
    <m/>
    <m/>
    <m/>
    <m/>
    <s v="SOLRECOUP"/>
    <s v="SOLRECOUP"/>
    <s v="POARECOUP"/>
    <n v="21346245"/>
    <n v="-30"/>
    <m/>
    <s v="Y"/>
    <n v="2"/>
    <d v="2023-07-07T19:34:22"/>
    <s v="N"/>
    <m/>
    <m/>
    <s v="Expert Disbursement"/>
    <m/>
    <s v="N"/>
    <n v="0"/>
    <n v="-5"/>
    <x v="9"/>
    <s v="VALIDATED"/>
    <n v="1"/>
    <s v="01.11.80.302.2013.0000"/>
    <n v="-5"/>
    <s v="11"/>
    <s v="2013"/>
    <n v="25191.78"/>
    <n v="-5"/>
    <s v="CREDITOR"/>
    <n v="0"/>
    <n v="0"/>
    <n v="-5"/>
    <n v="0"/>
    <n v="0"/>
  </r>
  <r>
    <n v="11534132"/>
    <s v="N"/>
    <n v="21346246"/>
    <s v="3000006913160017RC"/>
    <s v="CIVIL"/>
    <d v="2023-06-27T00:00:00"/>
    <d v="2023-07-07T19:34:21"/>
    <m/>
    <d v="2023-07-07T00:00:00"/>
    <n v="183"/>
    <n v="7113"/>
    <s v="11534132"/>
    <s v="11534132"/>
    <m/>
    <m/>
    <m/>
    <m/>
    <m/>
    <m/>
    <s v="SOLRECOUP"/>
    <s v="SOLRECOUP"/>
    <s v="POARECOUP"/>
    <n v="21346246"/>
    <n v="-30"/>
    <m/>
    <s v="Y"/>
    <n v="1"/>
    <d v="2023-07-07T19:34:22"/>
    <s v="N"/>
    <m/>
    <m/>
    <s v="Expert Disbursement"/>
    <m/>
    <s v="N"/>
    <n v="-25"/>
    <n v="0"/>
    <x v="9"/>
    <s v="VALIDATED"/>
    <n v="1"/>
    <s v="01.11.80.302.2013.0000"/>
    <n v="-25"/>
    <s v="11"/>
    <s v="2013"/>
    <n v="25191.78"/>
    <n v="-25"/>
    <s v="CREDITOR"/>
    <n v="0"/>
    <n v="0"/>
    <n v="-25"/>
    <n v="0"/>
    <n v="0"/>
  </r>
  <r>
    <n v="11534132"/>
    <s v="N"/>
    <n v="21346246"/>
    <s v="3000006913160017RC"/>
    <s v="CIVIL"/>
    <d v="2023-06-27T00:00:00"/>
    <d v="2023-07-07T19:34:21"/>
    <m/>
    <d v="2023-07-07T00:00:00"/>
    <n v="183"/>
    <n v="7113"/>
    <s v="11534132"/>
    <s v="11534132"/>
    <m/>
    <m/>
    <m/>
    <m/>
    <m/>
    <m/>
    <s v="SOLRECOUP"/>
    <s v="SOLRECOUP"/>
    <s v="POARECOUP"/>
    <n v="21346246"/>
    <n v="-30"/>
    <m/>
    <s v="Y"/>
    <n v="2"/>
    <d v="2023-07-07T19:34:22"/>
    <s v="N"/>
    <m/>
    <m/>
    <s v="Expert Disbursement"/>
    <m/>
    <s v="N"/>
    <n v="0"/>
    <n v="-5"/>
    <x v="9"/>
    <s v="VALIDATED"/>
    <n v="1"/>
    <s v="01.11.80.302.2013.0000"/>
    <n v="-5"/>
    <s v="11"/>
    <s v="2013"/>
    <n v="25191.78"/>
    <n v="-5"/>
    <s v="CREDITOR"/>
    <n v="0"/>
    <n v="0"/>
    <n v="-5"/>
    <n v="0"/>
    <n v="0"/>
  </r>
  <r>
    <n v="11534132"/>
    <s v="N"/>
    <n v="21346247"/>
    <s v="3000006913160018RC"/>
    <s v="CIVIL"/>
    <d v="2023-06-27T00:00:00"/>
    <d v="2023-07-07T19:34:21"/>
    <m/>
    <d v="2023-07-07T00:00:00"/>
    <n v="183"/>
    <n v="7113"/>
    <s v="11534132"/>
    <s v="11534132"/>
    <m/>
    <m/>
    <m/>
    <m/>
    <m/>
    <m/>
    <s v="SOLRECOUP"/>
    <s v="SOLRECOUP"/>
    <s v="POARECOUP"/>
    <n v="21346247"/>
    <n v="-95.88"/>
    <m/>
    <s v="Y"/>
    <n v="1"/>
    <d v="2023-07-07T19:34:22"/>
    <s v="N"/>
    <m/>
    <m/>
    <s v="Expert Disbursement"/>
    <m/>
    <s v="N"/>
    <n v="-79.90000000000001"/>
    <n v="0"/>
    <x v="9"/>
    <s v="VALIDATED"/>
    <n v="1"/>
    <s v="01.11.80.302.2013.0000"/>
    <n v="-79.90000000000001"/>
    <s v="11"/>
    <s v="2013"/>
    <n v="25191.78"/>
    <n v="-79.90000000000001"/>
    <s v="CREDITOR"/>
    <n v="0"/>
    <n v="0"/>
    <n v="-79.90000000000001"/>
    <n v="0"/>
    <n v="0"/>
  </r>
  <r>
    <n v="11534132"/>
    <s v="N"/>
    <n v="21346247"/>
    <s v="3000006913160018RC"/>
    <s v="CIVIL"/>
    <d v="2023-06-27T00:00:00"/>
    <d v="2023-07-07T19:34:21"/>
    <m/>
    <d v="2023-07-07T00:00:00"/>
    <n v="183"/>
    <n v="7113"/>
    <s v="11534132"/>
    <s v="11534132"/>
    <m/>
    <m/>
    <m/>
    <m/>
    <m/>
    <m/>
    <s v="SOLRECOUP"/>
    <s v="SOLRECOUP"/>
    <s v="POARECOUP"/>
    <n v="21346247"/>
    <n v="-95.88"/>
    <m/>
    <s v="Y"/>
    <n v="2"/>
    <d v="2023-07-07T19:34:22"/>
    <s v="N"/>
    <m/>
    <m/>
    <s v="Expert Disbursement"/>
    <m/>
    <s v="N"/>
    <n v="0"/>
    <n v="-15.98"/>
    <x v="9"/>
    <s v="VALIDATED"/>
    <n v="1"/>
    <s v="01.11.80.302.2013.0000"/>
    <n v="-15.98"/>
    <s v="11"/>
    <s v="2013"/>
    <n v="25191.78"/>
    <n v="-15.98"/>
    <s v="CREDITOR"/>
    <n v="0"/>
    <n v="0"/>
    <n v="-15.98"/>
    <n v="0"/>
    <n v="0"/>
  </r>
  <r>
    <n v="11534132"/>
    <s v="N"/>
    <n v="21346248"/>
    <s v="3000006913160015RC"/>
    <s v="CIVIL"/>
    <d v="2023-06-27T00:00:00"/>
    <d v="2023-07-07T19:34:21"/>
    <m/>
    <d v="2023-07-07T00:00:00"/>
    <n v="183"/>
    <n v="7113"/>
    <s v="11534132"/>
    <s v="11534132"/>
    <m/>
    <m/>
    <m/>
    <m/>
    <m/>
    <m/>
    <s v="SOLRECOUP"/>
    <s v="SOLRECOUP"/>
    <s v="POARECOUP"/>
    <n v="21346248"/>
    <n v="-34.8"/>
    <m/>
    <s v="Y"/>
    <n v="1"/>
    <d v="2023-07-07T19:34:22"/>
    <s v="N"/>
    <m/>
    <m/>
    <s v="Expert Disbursement"/>
    <m/>
    <s v="N"/>
    <n v="-29"/>
    <n v="0"/>
    <x v="9"/>
    <s v="VALIDATED"/>
    <n v="1"/>
    <s v="01.11.80.302.2013.0000"/>
    <n v="-29"/>
    <s v="11"/>
    <s v="2013"/>
    <n v="25191.78"/>
    <n v="-29"/>
    <s v="CREDITOR"/>
    <n v="0"/>
    <n v="0"/>
    <n v="-29"/>
    <n v="0"/>
    <n v="0"/>
  </r>
  <r>
    <n v="11534132"/>
    <s v="N"/>
    <n v="21346248"/>
    <s v="3000006913160015RC"/>
    <s v="CIVIL"/>
    <d v="2023-06-27T00:00:00"/>
    <d v="2023-07-07T19:34:21"/>
    <m/>
    <d v="2023-07-07T00:00:00"/>
    <n v="183"/>
    <n v="7113"/>
    <s v="11534132"/>
    <s v="11534132"/>
    <m/>
    <m/>
    <m/>
    <m/>
    <m/>
    <m/>
    <s v="SOLRECOUP"/>
    <s v="SOLRECOUP"/>
    <s v="POARECOUP"/>
    <n v="21346248"/>
    <n v="-34.8"/>
    <m/>
    <s v="Y"/>
    <n v="2"/>
    <d v="2023-07-07T19:34:22"/>
    <s v="N"/>
    <m/>
    <m/>
    <s v="Expert Disbursement"/>
    <m/>
    <s v="N"/>
    <n v="0"/>
    <n v="-5.8"/>
    <x v="9"/>
    <s v="VALIDATED"/>
    <n v="1"/>
    <s v="01.11.80.302.2013.0000"/>
    <n v="-5.8"/>
    <s v="11"/>
    <s v="2013"/>
    <n v="25191.78"/>
    <n v="-5.8"/>
    <s v="CREDITOR"/>
    <n v="0"/>
    <n v="0"/>
    <n v="-5.8"/>
    <n v="0"/>
    <n v="0"/>
  </r>
  <r>
    <n v="59548439"/>
    <s v="N"/>
    <n v="21346249"/>
    <s v="3000013957510001RC"/>
    <s v="CIVIL"/>
    <d v="2023-06-29T00:00:00"/>
    <d v="2023-07-07T19:34:21"/>
    <m/>
    <d v="2023-07-07T00:00:00"/>
    <n v="183"/>
    <n v="7113"/>
    <s v="59548439"/>
    <s v="59548439"/>
    <m/>
    <m/>
    <m/>
    <m/>
    <m/>
    <m/>
    <s v="SOLRECOUP"/>
    <s v="SOLRECOUP"/>
    <s v="POARECOUP"/>
    <n v="21346249"/>
    <n v="-2511.36"/>
    <m/>
    <s v="Y"/>
    <n v="1"/>
    <d v="2023-07-07T19:34:22"/>
    <s v="N"/>
    <m/>
    <m/>
    <s v="Profit Cost"/>
    <m/>
    <s v="N"/>
    <n v="-2092.8"/>
    <n v="0"/>
    <x v="9"/>
    <s v="VALIDATED"/>
    <n v="1"/>
    <s v="01.11.80.308.2013.0000"/>
    <n v="-2092.8"/>
    <s v="11"/>
    <s v="2013"/>
    <n v="25191.78"/>
    <n v="-2092.8"/>
    <s v="CREDITOR"/>
    <n v="0"/>
    <n v="0"/>
    <n v="-2092.8"/>
    <n v="-523.2"/>
    <n v="0"/>
  </r>
  <r>
    <n v="59548439"/>
    <s v="N"/>
    <n v="21346249"/>
    <s v="3000013957510001RC"/>
    <s v="CIVIL"/>
    <d v="2023-06-29T00:00:00"/>
    <d v="2023-07-07T19:34:21"/>
    <m/>
    <d v="2023-07-07T00:00:00"/>
    <n v="183"/>
    <n v="7113"/>
    <s v="59548439"/>
    <s v="59548439"/>
    <m/>
    <m/>
    <m/>
    <m/>
    <m/>
    <m/>
    <s v="SOLRECOUP"/>
    <s v="SOLRECOUP"/>
    <s v="POARECOUP"/>
    <n v="21346249"/>
    <n v="-2511.36"/>
    <m/>
    <s v="Y"/>
    <n v="2"/>
    <d v="2023-07-07T19:34:22"/>
    <s v="N"/>
    <m/>
    <m/>
    <s v="Profit Cost"/>
    <m/>
    <s v="N"/>
    <n v="0"/>
    <n v="-418.56"/>
    <x v="9"/>
    <s v="VALIDATED"/>
    <n v="1"/>
    <s v="01.11.80.308.2013.0000"/>
    <n v="-418.56"/>
    <s v="11"/>
    <s v="2013"/>
    <n v="25191.78"/>
    <n v="-418.56"/>
    <s v="CREDITOR"/>
    <n v="0"/>
    <n v="0"/>
    <n v="-418.56"/>
    <n v="-104.64"/>
    <n v="0"/>
  </r>
  <r>
    <n v="10157025"/>
    <s v="N"/>
    <n v="21411984"/>
    <s v="3000005977070004RC"/>
    <s v="CIVIL"/>
    <d v="2023-06-07T00:00:00"/>
    <d v="2023-07-21T19:28:22"/>
    <m/>
    <d v="2023-07-21T00:00:00"/>
    <n v="183"/>
    <n v="7113"/>
    <s v="10157025"/>
    <s v="10157025"/>
    <m/>
    <m/>
    <m/>
    <m/>
    <m/>
    <m/>
    <s v="SOLRECOUP"/>
    <s v="SOLRECOUP"/>
    <s v="POARECOUP"/>
    <n v="21411984"/>
    <n v="-1014.66"/>
    <m/>
    <s v="Y"/>
    <n v="1"/>
    <d v="2023-07-21T19:28:22"/>
    <s v="N"/>
    <m/>
    <m/>
    <s v="Profit Cost"/>
    <m/>
    <s v="N"/>
    <n v="-845.55"/>
    <n v="0"/>
    <x v="12"/>
    <s v="VALIDATED"/>
    <n v="1"/>
    <s v="01.11.80.303.2013.0000"/>
    <n v="-845.55"/>
    <s v="11"/>
    <s v="2013"/>
    <n v="25191.78"/>
    <n v="-845.55"/>
    <s v="CREDITOR"/>
    <n v="0"/>
    <n v="0"/>
    <n v="-845.55"/>
    <n v="-211.3875"/>
    <n v="0"/>
  </r>
  <r>
    <n v="10157025"/>
    <s v="N"/>
    <n v="21411984"/>
    <s v="3000005977070004RC"/>
    <s v="CIVIL"/>
    <d v="2023-06-07T00:00:00"/>
    <d v="2023-07-21T19:28:22"/>
    <m/>
    <d v="2023-07-21T00:00:00"/>
    <n v="183"/>
    <n v="7113"/>
    <s v="10157025"/>
    <s v="10157025"/>
    <m/>
    <m/>
    <m/>
    <m/>
    <m/>
    <m/>
    <s v="SOLRECOUP"/>
    <s v="SOLRECOUP"/>
    <s v="POARECOUP"/>
    <n v="21411984"/>
    <n v="-1014.66"/>
    <m/>
    <s v="Y"/>
    <n v="2"/>
    <d v="2023-07-21T19:28:22"/>
    <s v="N"/>
    <m/>
    <m/>
    <s v="Profit Cost"/>
    <m/>
    <s v="N"/>
    <n v="0"/>
    <n v="-169.11"/>
    <x v="12"/>
    <s v="VALIDATED"/>
    <n v="1"/>
    <s v="01.11.80.303.2013.0000"/>
    <n v="-169.11"/>
    <s v="11"/>
    <s v="2013"/>
    <n v="25191.78"/>
    <n v="-169.11"/>
    <s v="CREDITOR"/>
    <n v="0"/>
    <n v="0"/>
    <n v="-169.11"/>
    <n v="-42.2775"/>
    <n v="0"/>
  </r>
  <r>
    <n v="10157025"/>
    <s v="N"/>
    <n v="21412074"/>
    <s v="3000005977070005RC"/>
    <s v="CIVIL"/>
    <d v="2023-06-07T00:00:00"/>
    <d v="2023-07-21T19:28:22"/>
    <m/>
    <d v="2023-07-21T00:00:00"/>
    <n v="183"/>
    <n v="7113"/>
    <s v="10157025"/>
    <s v="10157025"/>
    <m/>
    <m/>
    <m/>
    <m/>
    <m/>
    <m/>
    <s v="SOLRECOUP"/>
    <s v="SOLRECOUP"/>
    <s v="POARECOUP"/>
    <n v="21412074"/>
    <n v="-583.72"/>
    <m/>
    <s v="Y"/>
    <n v="1"/>
    <d v="2023-07-21T19:28:23"/>
    <s v="N"/>
    <m/>
    <m/>
    <s v="Profit Cost"/>
    <m/>
    <s v="N"/>
    <n v="-486.43"/>
    <n v="0"/>
    <x v="12"/>
    <s v="VALIDATED"/>
    <n v="1"/>
    <s v="01.11.80.303.2013.0000"/>
    <n v="-486.43"/>
    <s v="11"/>
    <s v="2013"/>
    <n v="25191.78"/>
    <n v="-486.43"/>
    <s v="CREDITOR"/>
    <n v="0"/>
    <n v="0"/>
    <n v="-486.43"/>
    <n v="-121.6075"/>
    <n v="0"/>
  </r>
  <r>
    <n v="10157025"/>
    <s v="N"/>
    <n v="21412074"/>
    <s v="3000005977070005RC"/>
    <s v="CIVIL"/>
    <d v="2023-06-07T00:00:00"/>
    <d v="2023-07-21T19:28:22"/>
    <m/>
    <d v="2023-07-21T00:00:00"/>
    <n v="183"/>
    <n v="7113"/>
    <s v="10157025"/>
    <s v="10157025"/>
    <m/>
    <m/>
    <m/>
    <m/>
    <m/>
    <m/>
    <s v="SOLRECOUP"/>
    <s v="SOLRECOUP"/>
    <s v="POARECOUP"/>
    <n v="21412074"/>
    <n v="-583.72"/>
    <m/>
    <s v="Y"/>
    <n v="2"/>
    <d v="2023-07-21T19:28:23"/>
    <s v="N"/>
    <m/>
    <m/>
    <s v="Profit Cost"/>
    <m/>
    <s v="N"/>
    <n v="0"/>
    <n v="-97.29000000000001"/>
    <x v="12"/>
    <s v="VALIDATED"/>
    <n v="1"/>
    <s v="01.11.80.303.2013.0000"/>
    <n v="-97.29000000000001"/>
    <s v="11"/>
    <s v="2013"/>
    <n v="25191.78"/>
    <n v="-97.29000000000001"/>
    <s v="CREDITOR"/>
    <n v="0"/>
    <n v="0"/>
    <n v="-97.29000000000001"/>
    <n v="-24.3225"/>
    <n v="0"/>
  </r>
  <r>
    <n v="10157025"/>
    <s v="N"/>
    <n v="21412144"/>
    <s v="3000005977070007RC"/>
    <s v="CIVIL"/>
    <d v="2023-06-07T00:00:00"/>
    <d v="2023-07-21T19:28:22"/>
    <m/>
    <d v="2023-07-21T00:00:00"/>
    <n v="183"/>
    <n v="7113"/>
    <s v="10157025"/>
    <s v="10157025"/>
    <m/>
    <m/>
    <m/>
    <m/>
    <m/>
    <m/>
    <s v="SOLRECOUP"/>
    <s v="SOLRECOUP"/>
    <s v="POARECOUP"/>
    <n v="21412144"/>
    <n v="-53"/>
    <m/>
    <s v="Y"/>
    <n v="2"/>
    <d v="2023-07-21T19:28:23"/>
    <s v="N"/>
    <m/>
    <m/>
    <s v="Non Expert Disbursement"/>
    <m/>
    <s v="N"/>
    <n v="0"/>
    <n v="0"/>
    <x v="12"/>
    <s v="VALIDATED"/>
    <n v="1"/>
    <s v="01.11.80.000.0000.0000"/>
    <n v="0"/>
    <s v="11"/>
    <s v="0000"/>
    <n v="25191.78"/>
    <n v="0"/>
    <s v="CREDITOR"/>
    <n v="0"/>
    <n v="0"/>
    <n v="0"/>
    <n v="0"/>
    <n v="0"/>
  </r>
  <r>
    <n v="10157025"/>
    <s v="N"/>
    <n v="21412144"/>
    <s v="3000005977070007RC"/>
    <s v="CIVIL"/>
    <d v="2023-06-07T00:00:00"/>
    <d v="2023-07-21T19:28:22"/>
    <m/>
    <d v="2023-07-21T00:00:00"/>
    <n v="183"/>
    <n v="7113"/>
    <s v="10157025"/>
    <s v="10157025"/>
    <m/>
    <m/>
    <m/>
    <m/>
    <m/>
    <m/>
    <s v="SOLRECOUP"/>
    <s v="SOLRECOUP"/>
    <s v="POARECOUP"/>
    <n v="21412144"/>
    <n v="-53"/>
    <m/>
    <s v="Y"/>
    <n v="1"/>
    <d v="2023-07-21T19:28:23"/>
    <s v="N"/>
    <m/>
    <m/>
    <s v="Non Expert Disbursement"/>
    <m/>
    <s v="N"/>
    <n v="-53"/>
    <n v="0"/>
    <x v="12"/>
    <s v="VALIDATED"/>
    <n v="1"/>
    <s v="01.11.80.303.2013.0000"/>
    <n v="-53"/>
    <s v="11"/>
    <s v="2013"/>
    <n v="25191.78"/>
    <n v="-53"/>
    <s v="CREDITOR"/>
    <n v="0"/>
    <n v="0"/>
    <n v="-53"/>
    <n v="0"/>
    <n v="0"/>
  </r>
  <r>
    <n v="10157025"/>
    <s v="N"/>
    <n v="21411889"/>
    <s v="3000005977070001RC"/>
    <s v="CIVIL"/>
    <d v="2023-06-07T00:00:00"/>
    <d v="2023-07-21T19:28:22"/>
    <m/>
    <d v="2023-07-21T00:00:00"/>
    <n v="183"/>
    <n v="7113"/>
    <s v="10157025"/>
    <s v="10157025"/>
    <m/>
    <m/>
    <m/>
    <m/>
    <m/>
    <m/>
    <s v="SOLRECOUP"/>
    <s v="SOLRECOUP"/>
    <s v="POARECOUP"/>
    <n v="21411889"/>
    <n v="-255"/>
    <m/>
    <s v="Y"/>
    <n v="2"/>
    <d v="2023-07-21T19:28:22"/>
    <s v="N"/>
    <m/>
    <m/>
    <s v="Expert Disbursement"/>
    <m/>
    <s v="N"/>
    <n v="0"/>
    <n v="0"/>
    <x v="12"/>
    <s v="VALIDATED"/>
    <n v="1"/>
    <s v="01.11.80.000.0000.0000"/>
    <n v="0"/>
    <s v="11"/>
    <s v="0000"/>
    <n v="25191.78"/>
    <n v="0"/>
    <s v="CREDITOR"/>
    <n v="0"/>
    <n v="0"/>
    <n v="0"/>
    <n v="0"/>
    <n v="0"/>
  </r>
  <r>
    <n v="10157025"/>
    <s v="N"/>
    <n v="21411889"/>
    <s v="3000005977070001RC"/>
    <s v="CIVIL"/>
    <d v="2023-06-07T00:00:00"/>
    <d v="2023-07-21T19:28:22"/>
    <m/>
    <d v="2023-07-21T00:00:00"/>
    <n v="183"/>
    <n v="7113"/>
    <s v="10157025"/>
    <s v="10157025"/>
    <m/>
    <m/>
    <m/>
    <m/>
    <m/>
    <m/>
    <s v="SOLRECOUP"/>
    <s v="SOLRECOUP"/>
    <s v="POARECOUP"/>
    <n v="21411889"/>
    <n v="-255"/>
    <m/>
    <s v="Y"/>
    <n v="1"/>
    <d v="2023-07-21T19:28:22"/>
    <s v="N"/>
    <m/>
    <m/>
    <s v="Expert Disbursement"/>
    <m/>
    <s v="N"/>
    <n v="-255"/>
    <n v="0"/>
    <x v="12"/>
    <s v="VALIDATED"/>
    <n v="1"/>
    <s v="01.11.80.303.2013.0000"/>
    <n v="-255"/>
    <s v="11"/>
    <s v="2013"/>
    <n v="25191.78"/>
    <n v="-255"/>
    <s v="CREDITOR"/>
    <n v="0"/>
    <n v="0"/>
    <n v="-255"/>
    <n v="0"/>
    <n v="0"/>
  </r>
  <r>
    <n v="10157025"/>
    <s v="N"/>
    <n v="21411891"/>
    <s v="3000005977070002RC"/>
    <s v="CIVIL"/>
    <d v="2023-06-07T00:00:00"/>
    <d v="2023-07-21T19:28:22"/>
    <m/>
    <d v="2023-07-21T00:00:00"/>
    <n v="183"/>
    <n v="7113"/>
    <s v="10157025"/>
    <s v="10157025"/>
    <m/>
    <m/>
    <m/>
    <m/>
    <m/>
    <m/>
    <s v="SOLRECOUP"/>
    <s v="SOLRECOUP"/>
    <s v="POARECOUP"/>
    <n v="21411891"/>
    <n v="-40"/>
    <m/>
    <s v="Y"/>
    <n v="2"/>
    <d v="2023-07-21T19:28:22"/>
    <s v="N"/>
    <m/>
    <m/>
    <s v="Non Expert Disbursement"/>
    <m/>
    <s v="N"/>
    <n v="0"/>
    <n v="0"/>
    <x v="12"/>
    <s v="VALIDATED"/>
    <n v="1"/>
    <s v="01.11.80.000.0000.0000"/>
    <n v="0"/>
    <s v="11"/>
    <s v="0000"/>
    <n v="25191.78"/>
    <n v="0"/>
    <s v="CREDITOR"/>
    <n v="0"/>
    <n v="0"/>
    <n v="0"/>
    <n v="0"/>
    <n v="0"/>
  </r>
  <r>
    <n v="10157025"/>
    <s v="N"/>
    <n v="21411891"/>
    <s v="3000005977070002RC"/>
    <s v="CIVIL"/>
    <d v="2023-06-07T00:00:00"/>
    <d v="2023-07-21T19:28:22"/>
    <m/>
    <d v="2023-07-21T00:00:00"/>
    <n v="183"/>
    <n v="7113"/>
    <s v="10157025"/>
    <s v="10157025"/>
    <m/>
    <m/>
    <m/>
    <m/>
    <m/>
    <m/>
    <s v="SOLRECOUP"/>
    <s v="SOLRECOUP"/>
    <s v="POARECOUP"/>
    <n v="21411891"/>
    <n v="-40"/>
    <m/>
    <s v="Y"/>
    <n v="1"/>
    <d v="2023-07-21T19:28:22"/>
    <s v="N"/>
    <m/>
    <m/>
    <s v="Non Expert Disbursement"/>
    <m/>
    <s v="N"/>
    <n v="-40"/>
    <n v="0"/>
    <x v="12"/>
    <s v="VALIDATED"/>
    <n v="1"/>
    <s v="01.11.80.303.2013.0000"/>
    <n v="-40"/>
    <s v="11"/>
    <s v="2013"/>
    <n v="25191.78"/>
    <n v="-40"/>
    <s v="CREDITOR"/>
    <n v="0"/>
    <n v="0"/>
    <n v="-40"/>
    <n v="0"/>
    <n v="0"/>
  </r>
  <r>
    <n v="10157025"/>
    <s v="N"/>
    <n v="21411902"/>
    <s v="3000005977070003RC"/>
    <s v="CIVIL"/>
    <d v="2023-06-07T00:00:00"/>
    <d v="2023-07-21T19:28:22"/>
    <m/>
    <d v="2023-07-21T00:00:00"/>
    <n v="183"/>
    <n v="7113"/>
    <s v="10157025"/>
    <s v="10157025"/>
    <m/>
    <m/>
    <m/>
    <m/>
    <m/>
    <m/>
    <s v="SOLRECOUP"/>
    <s v="SOLRECOUP"/>
    <s v="POARECOUP"/>
    <n v="21411902"/>
    <n v="-423.9"/>
    <m/>
    <s v="Y"/>
    <n v="1"/>
    <d v="2023-07-21T19:28:22"/>
    <s v="N"/>
    <m/>
    <m/>
    <s v="Profit Cost"/>
    <m/>
    <s v="N"/>
    <n v="-353.25"/>
    <n v="0"/>
    <x v="12"/>
    <s v="VALIDATED"/>
    <n v="1"/>
    <s v="01.11.80.303.2013.0000"/>
    <n v="-353.25"/>
    <s v="11"/>
    <s v="2013"/>
    <n v="25191.78"/>
    <n v="-353.25"/>
    <s v="CREDITOR"/>
    <n v="0"/>
    <n v="0"/>
    <n v="-353.25"/>
    <n v="-88.3125"/>
    <n v="0"/>
  </r>
  <r>
    <n v="10157025"/>
    <s v="N"/>
    <n v="21411902"/>
    <s v="3000005977070003RC"/>
    <s v="CIVIL"/>
    <d v="2023-06-07T00:00:00"/>
    <d v="2023-07-21T19:28:22"/>
    <m/>
    <d v="2023-07-21T00:00:00"/>
    <n v="183"/>
    <n v="7113"/>
    <s v="10157025"/>
    <s v="10157025"/>
    <m/>
    <m/>
    <m/>
    <m/>
    <m/>
    <m/>
    <s v="SOLRECOUP"/>
    <s v="SOLRECOUP"/>
    <s v="POARECOUP"/>
    <n v="21411902"/>
    <n v="-423.9"/>
    <m/>
    <s v="Y"/>
    <n v="2"/>
    <d v="2023-07-21T19:28:22"/>
    <s v="N"/>
    <m/>
    <m/>
    <s v="Profit Cost"/>
    <m/>
    <s v="N"/>
    <n v="0"/>
    <n v="-70.65000000000001"/>
    <x v="12"/>
    <s v="VALIDATED"/>
    <n v="1"/>
    <s v="01.11.80.303.2013.0000"/>
    <n v="-70.65000000000001"/>
    <s v="11"/>
    <s v="2013"/>
    <n v="25191.78"/>
    <n v="-70.65000000000001"/>
    <s v="CREDITOR"/>
    <n v="0"/>
    <n v="0"/>
    <n v="-70.65000000000001"/>
    <n v="-17.6625"/>
    <n v="0"/>
  </r>
  <r>
    <n v="59674107"/>
    <s v="N"/>
    <n v="21356268"/>
    <s v="3000014066380002RC"/>
    <s v="CIVIL"/>
    <d v="2023-06-29T00:00:00"/>
    <d v="2023-07-10T19:47:44"/>
    <m/>
    <d v="2023-07-10T00:00:00"/>
    <n v="183"/>
    <n v="7113"/>
    <s v="59674107"/>
    <s v="59674107"/>
    <m/>
    <m/>
    <m/>
    <m/>
    <m/>
    <m/>
    <s v="SOLRECOUP"/>
    <s v="SOLRECOUP"/>
    <s v="POARECOUP"/>
    <n v="21356268"/>
    <n v="-939.6"/>
    <m/>
    <s v="Y"/>
    <n v="1"/>
    <d v="2023-07-10T19:47:44"/>
    <s v="N"/>
    <m/>
    <m/>
    <s v="Expert Disbursement"/>
    <m/>
    <s v="N"/>
    <n v="-783"/>
    <n v="0"/>
    <x v="2"/>
    <s v="VALIDATED"/>
    <n v="1"/>
    <s v="01.11.80.308.2013.0000"/>
    <n v="-783"/>
    <s v="11"/>
    <s v="2013"/>
    <n v="25191.78"/>
    <n v="-783"/>
    <s v="CREDITOR"/>
    <n v="0"/>
    <n v="0"/>
    <n v="-783"/>
    <n v="0"/>
    <n v="0"/>
  </r>
  <r>
    <n v="59674107"/>
    <s v="N"/>
    <n v="21356268"/>
    <s v="3000014066380002RC"/>
    <s v="CIVIL"/>
    <d v="2023-06-29T00:00:00"/>
    <d v="2023-07-10T19:47:44"/>
    <m/>
    <d v="2023-07-10T00:00:00"/>
    <n v="183"/>
    <n v="7113"/>
    <s v="59674107"/>
    <s v="59674107"/>
    <m/>
    <m/>
    <m/>
    <m/>
    <m/>
    <m/>
    <s v="SOLRECOUP"/>
    <s v="SOLRECOUP"/>
    <s v="POARECOUP"/>
    <n v="21356268"/>
    <n v="-939.6"/>
    <m/>
    <s v="Y"/>
    <n v="2"/>
    <d v="2023-07-10T19:47:44"/>
    <s v="N"/>
    <m/>
    <m/>
    <s v="Expert Disbursement"/>
    <m/>
    <s v="N"/>
    <n v="0"/>
    <n v="-156.6"/>
    <x v="2"/>
    <s v="VALIDATED"/>
    <n v="1"/>
    <s v="01.11.80.308.2013.0000"/>
    <n v="-156.6"/>
    <s v="11"/>
    <s v="2013"/>
    <n v="25191.78"/>
    <n v="-156.6"/>
    <s v="CREDITOR"/>
    <n v="0"/>
    <n v="0"/>
    <n v="-156.6"/>
    <n v="0"/>
    <n v="0"/>
  </r>
  <r>
    <n v="59674107"/>
    <s v="N"/>
    <n v="21356269"/>
    <s v="3000014066380007RC"/>
    <s v="CIVIL"/>
    <d v="2023-06-29T00:00:00"/>
    <d v="2023-07-10T19:47:44"/>
    <m/>
    <d v="2023-07-10T00:00:00"/>
    <n v="183"/>
    <n v="7113"/>
    <s v="59674107"/>
    <s v="59674107"/>
    <m/>
    <m/>
    <m/>
    <m/>
    <m/>
    <m/>
    <s v="SOLRECOUP"/>
    <s v="SOLRECOUP"/>
    <s v="POARECOUP"/>
    <n v="21356269"/>
    <n v="-753.9400000000001"/>
    <m/>
    <s v="Y"/>
    <n v="1"/>
    <d v="2023-07-10T19:47:44"/>
    <s v="N"/>
    <m/>
    <m/>
    <s v="Expert Disbursement"/>
    <m/>
    <s v="N"/>
    <n v="-628.28"/>
    <n v="0"/>
    <x v="2"/>
    <s v="VALIDATED"/>
    <n v="1"/>
    <s v="01.11.80.308.2013.0000"/>
    <n v="-628.28"/>
    <s v="11"/>
    <s v="2013"/>
    <n v="25191.78"/>
    <n v="-628.28"/>
    <s v="CREDITOR"/>
    <n v="0"/>
    <n v="0"/>
    <n v="-628.28"/>
    <n v="0"/>
    <n v="0"/>
  </r>
  <r>
    <n v="59674107"/>
    <s v="N"/>
    <n v="21356269"/>
    <s v="3000014066380007RC"/>
    <s v="CIVIL"/>
    <d v="2023-06-29T00:00:00"/>
    <d v="2023-07-10T19:47:44"/>
    <m/>
    <d v="2023-07-10T00:00:00"/>
    <n v="183"/>
    <n v="7113"/>
    <s v="59674107"/>
    <s v="59674107"/>
    <m/>
    <m/>
    <m/>
    <m/>
    <m/>
    <m/>
    <s v="SOLRECOUP"/>
    <s v="SOLRECOUP"/>
    <s v="POARECOUP"/>
    <n v="21356269"/>
    <n v="-753.9400000000001"/>
    <m/>
    <s v="Y"/>
    <n v="2"/>
    <d v="2023-07-10T19:47:44"/>
    <s v="N"/>
    <m/>
    <m/>
    <s v="Expert Disbursement"/>
    <m/>
    <s v="N"/>
    <n v="0"/>
    <n v="-125.66"/>
    <x v="2"/>
    <s v="VALIDATED"/>
    <n v="1"/>
    <s v="01.11.80.308.2013.0000"/>
    <n v="-125.66"/>
    <s v="11"/>
    <s v="2013"/>
    <n v="25191.78"/>
    <n v="-125.66"/>
    <s v="CREDITOR"/>
    <n v="0"/>
    <n v="0"/>
    <n v="-125.66"/>
    <n v="0"/>
    <n v="0"/>
  </r>
  <r>
    <n v="11534132"/>
    <s v="N"/>
    <n v="21343997"/>
    <s v="3000006913160024"/>
    <s v="CIVIL"/>
    <d v="2023-06-27T00:00:00"/>
    <d v="2023-07-07T19:03:00"/>
    <m/>
    <d v="2023-07-07T00:00:00"/>
    <n v="183"/>
    <n v="7113"/>
    <s v="11534132"/>
    <s v="11534132"/>
    <m/>
    <m/>
    <n v="22772570"/>
    <m/>
    <m/>
    <m/>
    <s v="SOLFIN"/>
    <s v="SOLFIN"/>
    <s v="CCMS"/>
    <n v="21343997"/>
    <n v="2900.83"/>
    <m/>
    <s v="N"/>
    <n v="2"/>
    <d v="2023-07-07T19:03:20"/>
    <s v="Y"/>
    <s v="Interpreter"/>
    <s v="Private Law Children"/>
    <s v="Expert Disbursement"/>
    <s v="Lexicon Linguistics"/>
    <s v="Y"/>
    <n v="70.83"/>
    <n v="14.17"/>
    <x v="9"/>
    <s v="VALIDATED"/>
    <n v="1"/>
    <s v="01.11.80.302.6300.0000"/>
    <n v="70.83"/>
    <s v="11"/>
    <s v="6300"/>
    <n v="25191.78"/>
    <n v="70.83"/>
    <s v="CREDITOR"/>
    <n v="0"/>
    <n v="0"/>
    <n v="0"/>
    <n v="0"/>
    <n v="70.83"/>
  </r>
  <r>
    <n v="9261231"/>
    <s v="N"/>
    <n v="21330518"/>
    <s v="3000005240270016"/>
    <s v="CIVIL"/>
    <d v="2023-06-26T00:00:00"/>
    <d v="2023-07-05T19:01:47"/>
    <m/>
    <d v="2023-07-05T00:00:00"/>
    <n v="183"/>
    <n v="7113"/>
    <s v="9261231"/>
    <s v="9261231"/>
    <m/>
    <m/>
    <n v="22759414"/>
    <m/>
    <m/>
    <m/>
    <s v="SOLFIN"/>
    <s v="SOLFIN"/>
    <s v="CCMS"/>
    <n v="21330518"/>
    <n v="5805.07"/>
    <m/>
    <s v="N"/>
    <n v="13"/>
    <d v="2023-07-05T19:01:50"/>
    <s v="Y"/>
    <s v="Solicitors Fixed Fee"/>
    <s v="Public Law Children"/>
    <s v="Profit Cost"/>
    <s v="Philip Wilkins"/>
    <s v="Y"/>
    <n v="2616"/>
    <n v="523.2"/>
    <x v="6"/>
    <s v="VALIDATED"/>
    <n v="1"/>
    <s v="01.11.80.308.6100.0000"/>
    <n v="2616"/>
    <s v="11"/>
    <s v="6100"/>
    <n v="25191.78"/>
    <n v="2616"/>
    <s v="CREDITOR"/>
    <n v="0"/>
    <n v="0"/>
    <n v="0"/>
    <n v="0"/>
    <n v="2616"/>
  </r>
  <r>
    <n v="9261231"/>
    <s v="N"/>
    <n v="21330518"/>
    <s v="3000005240270016"/>
    <s v="CIVIL"/>
    <d v="2023-06-26T00:00:00"/>
    <d v="2023-07-05T19:01:47"/>
    <m/>
    <d v="2023-07-05T00:00:00"/>
    <n v="183"/>
    <n v="7113"/>
    <s v="9261231"/>
    <s v="9261231"/>
    <m/>
    <m/>
    <n v="22759414"/>
    <m/>
    <m/>
    <m/>
    <s v="SOLFIN"/>
    <s v="SOLFIN"/>
    <s v="CCMS"/>
    <n v="21330518"/>
    <n v="5805.07"/>
    <m/>
    <s v="N"/>
    <n v="6"/>
    <d v="2023-07-05T19:01:50"/>
    <s v="Y"/>
    <s v="Toxicologist"/>
    <s v="Public Law Children"/>
    <s v="Expert Disbursement"/>
    <s v="Lextox"/>
    <s v="Y"/>
    <n v="94.59999999999999"/>
    <n v="18.92"/>
    <x v="6"/>
    <s v="VALIDATED"/>
    <n v="1"/>
    <s v="01.11.80.308.6300.0000"/>
    <n v="94.59999999999999"/>
    <s v="11"/>
    <s v="6300"/>
    <n v="25191.78"/>
    <n v="94.59999999999999"/>
    <s v="CREDITOR"/>
    <n v="0"/>
    <n v="0"/>
    <n v="0"/>
    <n v="0"/>
    <n v="94.59999999999999"/>
  </r>
  <r>
    <n v="9261231"/>
    <s v="N"/>
    <n v="21330518"/>
    <s v="3000005240270016"/>
    <s v="CIVIL"/>
    <d v="2023-06-26T00:00:00"/>
    <d v="2023-07-05T19:01:47"/>
    <m/>
    <d v="2023-07-05T00:00:00"/>
    <n v="183"/>
    <n v="7113"/>
    <s v="9261231"/>
    <s v="9261231"/>
    <m/>
    <m/>
    <n v="22759414"/>
    <m/>
    <m/>
    <m/>
    <s v="SOLFIN"/>
    <s v="SOLFIN"/>
    <s v="CCMS"/>
    <n v="21330518"/>
    <n v="5805.07"/>
    <m/>
    <s v="N"/>
    <n v="1"/>
    <d v="2023-07-05T19:01:50"/>
    <s v="Y"/>
    <s v="Client Travel Expenses"/>
    <s v="Public Law Children"/>
    <s v="Non Expert Disbursement"/>
    <s v="Philip Wilkins"/>
    <s v="Y"/>
    <n v="21.8"/>
    <n v="0"/>
    <x v="6"/>
    <s v="VALIDATED"/>
    <n v="1"/>
    <s v="01.11.80.308.6300.0000"/>
    <n v="21.8"/>
    <s v="11"/>
    <s v="6300"/>
    <n v="25191.78"/>
    <n v="21.8"/>
    <s v="CREDITOR"/>
    <n v="0"/>
    <n v="0"/>
    <n v="0"/>
    <n v="0"/>
    <n v="21.8"/>
  </r>
  <r>
    <n v="11525164"/>
    <s v="N"/>
    <n v="21324258"/>
    <s v="3000006951050002RC"/>
    <s v="CIVIL"/>
    <d v="2023-06-22T00:00:00"/>
    <d v="2023-07-03T19:42:50"/>
    <m/>
    <d v="2023-07-03T00:00:00"/>
    <n v="183"/>
    <n v="7113"/>
    <s v="11525164"/>
    <s v="11525164"/>
    <m/>
    <m/>
    <m/>
    <m/>
    <m/>
    <m/>
    <s v="SOLRECOUP"/>
    <s v="SOLRECOUP"/>
    <s v="POARECOUP"/>
    <n v="21324258"/>
    <n v="-102.4"/>
    <m/>
    <s v="Y"/>
    <n v="2"/>
    <d v="2023-07-03T19:42:50"/>
    <s v="N"/>
    <m/>
    <m/>
    <s v="Expert Disbursement"/>
    <m/>
    <s v="N"/>
    <n v="0"/>
    <n v="0"/>
    <x v="3"/>
    <s v="VALIDATED"/>
    <n v="1"/>
    <s v="01.11.80.000.0000.0000"/>
    <n v="0"/>
    <s v="11"/>
    <s v="0000"/>
    <n v="25191.78"/>
    <n v="0"/>
    <s v="CREDITOR"/>
    <n v="0"/>
    <n v="0"/>
    <n v="0"/>
    <n v="0"/>
    <n v="0"/>
  </r>
  <r>
    <n v="11525164"/>
    <s v="N"/>
    <n v="21324258"/>
    <s v="3000006951050002RC"/>
    <s v="CIVIL"/>
    <d v="2023-06-22T00:00:00"/>
    <d v="2023-07-03T19:42:50"/>
    <m/>
    <d v="2023-07-03T00:00:00"/>
    <n v="183"/>
    <n v="7113"/>
    <s v="11525164"/>
    <s v="11525164"/>
    <m/>
    <m/>
    <m/>
    <m/>
    <m/>
    <m/>
    <s v="SOLRECOUP"/>
    <s v="SOLRECOUP"/>
    <s v="POARECOUP"/>
    <n v="21324258"/>
    <n v="-102.4"/>
    <m/>
    <s v="Y"/>
    <n v="1"/>
    <d v="2023-07-03T19:42:50"/>
    <s v="N"/>
    <m/>
    <m/>
    <s v="Expert Disbursement"/>
    <m/>
    <s v="N"/>
    <n v="-102.4"/>
    <n v="0"/>
    <x v="3"/>
    <s v="VALIDATED"/>
    <n v="1"/>
    <s v="01.11.80.308.2013.0000"/>
    <n v="-102.4"/>
    <s v="11"/>
    <s v="2013"/>
    <n v="25191.78"/>
    <n v="-102.4"/>
    <s v="CREDITOR"/>
    <n v="0"/>
    <n v="0"/>
    <n v="-102.4"/>
    <n v="0"/>
    <n v="0"/>
  </r>
  <r>
    <n v="11525164"/>
    <s v="N"/>
    <n v="21324259"/>
    <s v="3000006951050001RC"/>
    <s v="CIVIL"/>
    <d v="2023-06-22T00:00:00"/>
    <d v="2023-07-03T19:42:50"/>
    <m/>
    <d v="2023-07-03T00:00:00"/>
    <n v="183"/>
    <n v="7113"/>
    <s v="11525164"/>
    <s v="11525164"/>
    <m/>
    <m/>
    <m/>
    <m/>
    <m/>
    <m/>
    <s v="SOLRECOUP"/>
    <s v="SOLRECOUP"/>
    <s v="POARECOUP"/>
    <n v="21324259"/>
    <n v="-80.8"/>
    <m/>
    <s v="Y"/>
    <n v="1"/>
    <d v="2023-07-03T19:42:50"/>
    <s v="N"/>
    <m/>
    <m/>
    <s v="Expert Disbursement"/>
    <m/>
    <s v="N"/>
    <n v="-80.8"/>
    <n v="0"/>
    <x v="3"/>
    <s v="VALIDATED"/>
    <n v="1"/>
    <s v="01.11.80.308.2013.0000"/>
    <n v="-80.8"/>
    <s v="11"/>
    <s v="2013"/>
    <n v="25191.78"/>
    <n v="-80.8"/>
    <s v="CREDITOR"/>
    <n v="0"/>
    <n v="0"/>
    <n v="-80.8"/>
    <n v="0"/>
    <n v="0"/>
  </r>
  <r>
    <n v="11525164"/>
    <s v="N"/>
    <n v="21324259"/>
    <s v="3000006951050001RC"/>
    <s v="CIVIL"/>
    <d v="2023-06-22T00:00:00"/>
    <d v="2023-07-03T19:42:50"/>
    <m/>
    <d v="2023-07-03T00:00:00"/>
    <n v="183"/>
    <n v="7113"/>
    <s v="11525164"/>
    <s v="11525164"/>
    <m/>
    <m/>
    <m/>
    <m/>
    <m/>
    <m/>
    <s v="SOLRECOUP"/>
    <s v="SOLRECOUP"/>
    <s v="POARECOUP"/>
    <n v="21324259"/>
    <n v="-80.8"/>
    <m/>
    <s v="Y"/>
    <n v="2"/>
    <d v="2023-07-03T19:42:50"/>
    <s v="N"/>
    <m/>
    <m/>
    <s v="Expert Disbursement"/>
    <m/>
    <s v="N"/>
    <n v="0"/>
    <n v="0"/>
    <x v="3"/>
    <s v="VALIDATED"/>
    <n v="1"/>
    <s v="01.11.80.000.0000.0000"/>
    <n v="0"/>
    <s v="11"/>
    <s v="0000"/>
    <n v="25191.78"/>
    <n v="0"/>
    <s v="CREDITOR"/>
    <n v="0"/>
    <n v="0"/>
    <n v="0"/>
    <n v="0"/>
    <n v="0"/>
  </r>
  <r>
    <n v="10157025"/>
    <s v="N"/>
    <n v="21411715"/>
    <s v="3000005977070008"/>
    <s v="CIVIL"/>
    <d v="2023-06-07T00:00:00"/>
    <d v="2023-07-21T19:03:21"/>
    <m/>
    <d v="2023-07-21T00:00:00"/>
    <n v="183"/>
    <n v="7113"/>
    <s v="10157025"/>
    <s v="10157025"/>
    <m/>
    <m/>
    <n v="22642152"/>
    <m/>
    <m/>
    <m/>
    <s v="SOLFIN"/>
    <s v="SOLFIN"/>
    <s v="CCMS"/>
    <n v="21411715"/>
    <n v="3697.45"/>
    <m/>
    <s v="N"/>
    <n v="46"/>
    <d v="2023-07-21T19:03:34"/>
    <s v="N"/>
    <s v="Level 3 &amp; Settlement Fixed Fee"/>
    <s v="Finance"/>
    <s v="Profit Cost"/>
    <s v="Angela Simpson"/>
    <s v="N"/>
    <n v="0"/>
    <n v="0"/>
    <x v="12"/>
    <s v="VALIDATED"/>
    <n v="1"/>
    <s v="01.11.80.303.6100.0000"/>
    <n v="0"/>
    <s v="11"/>
    <s v="6100"/>
    <n v="25191.78"/>
    <n v="0"/>
    <s v="CREDITOR"/>
    <n v="0"/>
    <n v="0"/>
    <n v="0"/>
    <n v="0"/>
    <n v="0"/>
  </r>
  <r>
    <n v="59674107"/>
    <s v="N"/>
    <n v="21349421"/>
    <s v="3000014066380008"/>
    <s v="CIVIL"/>
    <d v="2023-06-29T00:00:00"/>
    <d v="2023-07-10T19:01:40"/>
    <m/>
    <d v="2023-07-10T00:00:00"/>
    <n v="183"/>
    <n v="7113"/>
    <s v="59674107"/>
    <s v="59674107"/>
    <m/>
    <m/>
    <n v="22789610"/>
    <m/>
    <m/>
    <m/>
    <s v="SOLFIN"/>
    <s v="SOLFIN"/>
    <s v="CCMS"/>
    <n v="21349421"/>
    <n v="8443.67"/>
    <m/>
    <s v="N"/>
    <n v="7"/>
    <d v="2023-07-10T19:01:49"/>
    <s v="Y"/>
    <s v="Advocates Meeting"/>
    <s v="Public Law Children"/>
    <s v="Advocacy"/>
    <s v="Philip Wilkins"/>
    <s v="Y"/>
    <n v="140.99"/>
    <n v="28.2"/>
    <x v="2"/>
    <s v="VALIDATED"/>
    <n v="1"/>
    <s v="01.11.80.308.6100.0000"/>
    <n v="140.99"/>
    <s v="11"/>
    <s v="6100"/>
    <n v="25191.78"/>
    <n v="140.99"/>
    <s v="CREDITOR"/>
    <n v="0"/>
    <n v="0"/>
    <n v="0"/>
    <n v="0"/>
    <n v="140.99"/>
  </r>
  <r>
    <n v="11099426"/>
    <s v="N"/>
    <n v="21330696"/>
    <s v="3000006772850014"/>
    <s v="CIVIL"/>
    <d v="2023-06-26T00:00:00"/>
    <d v="2023-07-05T19:01:47"/>
    <m/>
    <d v="2023-07-05T00:00:00"/>
    <n v="183"/>
    <n v="7113"/>
    <s v="11099426"/>
    <s v="11099426"/>
    <m/>
    <m/>
    <n v="22760586"/>
    <m/>
    <m/>
    <m/>
    <s v="SOLFIN"/>
    <s v="SOLFIN"/>
    <s v="CCMS"/>
    <n v="21330696"/>
    <n v="4200.24"/>
    <m/>
    <s v="N"/>
    <n v="5"/>
    <d v="2023-07-05T19:01:53"/>
    <s v="Y"/>
    <s v="Toxicologist"/>
    <s v="Public Law Children"/>
    <s v="Expert Disbursement"/>
    <s v="Lextox"/>
    <s v="Y"/>
    <n v="73"/>
    <n v="14.6"/>
    <x v="6"/>
    <s v="VALIDATED"/>
    <n v="1"/>
    <s v="01.11.80.308.6300.0000"/>
    <n v="73"/>
    <s v="11"/>
    <s v="6300"/>
    <n v="25191.78"/>
    <n v="73"/>
    <s v="CREDITOR"/>
    <n v="0"/>
    <n v="0"/>
    <n v="0"/>
    <n v="0"/>
    <n v="73"/>
  </r>
  <r>
    <n v="11534132"/>
    <s v="N"/>
    <n v="21343997"/>
    <s v="3000006913160024"/>
    <s v="CIVIL"/>
    <d v="2023-06-27T00:00:00"/>
    <d v="2023-07-07T19:03:00"/>
    <m/>
    <d v="2023-07-07T00:00:00"/>
    <n v="183"/>
    <n v="7113"/>
    <s v="11534132"/>
    <s v="11534132"/>
    <m/>
    <m/>
    <n v="22772570"/>
    <m/>
    <m/>
    <m/>
    <s v="SOLFIN"/>
    <s v="SOLFIN"/>
    <s v="CCMS"/>
    <n v="21343997"/>
    <n v="2900.83"/>
    <m/>
    <s v="N"/>
    <n v="9"/>
    <d v="2023-07-07T19:03:20"/>
    <s v="Y"/>
    <s v="Interpreter"/>
    <s v="Private Law Children"/>
    <s v="Expert Disbursement"/>
    <s v="Lexicon Linguistics"/>
    <s v="Y"/>
    <n v="25"/>
    <n v="5"/>
    <x v="9"/>
    <s v="VALIDATED"/>
    <n v="1"/>
    <s v="01.11.80.302.6300.0000"/>
    <n v="25"/>
    <s v="11"/>
    <s v="6300"/>
    <n v="25191.78"/>
    <n v="25"/>
    <s v="CREDITOR"/>
    <n v="0"/>
    <n v="0"/>
    <n v="0"/>
    <n v="0"/>
    <n v="25"/>
  </r>
  <r>
    <n v="10157025"/>
    <s v="N"/>
    <n v="21411715"/>
    <s v="3000005977070008"/>
    <s v="CIVIL"/>
    <d v="2023-06-07T00:00:00"/>
    <d v="2023-07-21T19:03:21"/>
    <m/>
    <d v="2023-07-21T00:00:00"/>
    <n v="183"/>
    <n v="7113"/>
    <s v="10157025"/>
    <s v="10157025"/>
    <m/>
    <m/>
    <n v="22642152"/>
    <m/>
    <m/>
    <m/>
    <s v="SOLFIN"/>
    <s v="SOLFIN"/>
    <s v="CCMS"/>
    <n v="21411715"/>
    <n v="3697.45"/>
    <m/>
    <s v="N"/>
    <n v="15"/>
    <d v="2023-07-21T19:03:34"/>
    <s v="Y"/>
    <s v="Attendance upon client"/>
    <s v="Prescribed Hourly Rates"/>
    <s v="Profit Cost"/>
    <s v="Angela Simpson"/>
    <s v="Y"/>
    <n v="102.47"/>
    <n v="20.49"/>
    <x v="12"/>
    <s v="VALIDATED"/>
    <n v="1"/>
    <s v="01.11.80.303.6100.0000"/>
    <n v="102.47"/>
    <s v="11"/>
    <s v="6100"/>
    <n v="25191.78"/>
    <n v="102.47"/>
    <s v="CREDITOR"/>
    <n v="0"/>
    <n v="0"/>
    <n v="0"/>
    <n v="0"/>
    <n v="102.47"/>
  </r>
  <r>
    <n v="10157025"/>
    <s v="N"/>
    <n v="21411715"/>
    <s v="3000005977070008"/>
    <s v="CIVIL"/>
    <d v="2023-06-07T00:00:00"/>
    <d v="2023-07-21T19:03:21"/>
    <m/>
    <d v="2023-07-21T00:00:00"/>
    <n v="183"/>
    <n v="7113"/>
    <s v="10157025"/>
    <s v="10157025"/>
    <m/>
    <m/>
    <n v="22642152"/>
    <m/>
    <m/>
    <m/>
    <s v="SOLFIN"/>
    <s v="SOLFIN"/>
    <s v="CCMS"/>
    <n v="21411715"/>
    <n v="3697.45"/>
    <m/>
    <s v="N"/>
    <n v="18"/>
    <d v="2023-07-21T19:03:34"/>
    <s v="Y"/>
    <s v="Attendance upon client"/>
    <s v="Prescribed Hourly Rates"/>
    <s v="Profit Cost"/>
    <s v="Angela Simpson"/>
    <s v="Y"/>
    <n v="27.32"/>
    <n v="5.46"/>
    <x v="12"/>
    <s v="VALIDATED"/>
    <n v="1"/>
    <s v="01.11.80.303.6100.0000"/>
    <n v="27.32"/>
    <s v="11"/>
    <s v="6100"/>
    <n v="25191.78"/>
    <n v="27.32"/>
    <s v="CREDITOR"/>
    <n v="0"/>
    <n v="0"/>
    <n v="0"/>
    <n v="0"/>
    <n v="27.32"/>
  </r>
  <r>
    <n v="9261231"/>
    <s v="N"/>
    <n v="21333722"/>
    <s v="3000005240270004RC"/>
    <s v="CIVIL"/>
    <d v="2023-06-26T00:00:00"/>
    <d v="2023-07-05T19:42:28"/>
    <m/>
    <d v="2023-07-05T00:00:00"/>
    <n v="183"/>
    <n v="7113"/>
    <s v="9261231"/>
    <s v="9261231"/>
    <m/>
    <m/>
    <m/>
    <m/>
    <m/>
    <m/>
    <s v="SOLRECOUP"/>
    <s v="SOLRECOUP"/>
    <s v="POARECOUP"/>
    <n v="21333722"/>
    <n v="-349.66"/>
    <m/>
    <s v="Y"/>
    <n v="2"/>
    <d v="2023-07-05T19:42:28"/>
    <s v="N"/>
    <m/>
    <m/>
    <s v="Expert Disbursement"/>
    <m/>
    <s v="N"/>
    <n v="0"/>
    <n v="-58.28"/>
    <x v="6"/>
    <s v="VALIDATED"/>
    <n v="1"/>
    <s v="01.11.80.308.2013.0000"/>
    <n v="-58.28"/>
    <s v="11"/>
    <s v="2013"/>
    <n v="25191.78"/>
    <n v="-58.28"/>
    <s v="CREDITOR"/>
    <n v="0"/>
    <n v="0"/>
    <n v="-58.28"/>
    <n v="0"/>
    <n v="0"/>
  </r>
  <r>
    <n v="9261231"/>
    <s v="N"/>
    <n v="21333722"/>
    <s v="3000005240270004RC"/>
    <s v="CIVIL"/>
    <d v="2023-06-26T00:00:00"/>
    <d v="2023-07-05T19:42:28"/>
    <m/>
    <d v="2023-07-05T00:00:00"/>
    <n v="183"/>
    <n v="7113"/>
    <s v="9261231"/>
    <s v="9261231"/>
    <m/>
    <m/>
    <m/>
    <m/>
    <m/>
    <m/>
    <s v="SOLRECOUP"/>
    <s v="SOLRECOUP"/>
    <s v="POARECOUP"/>
    <n v="21333722"/>
    <n v="-349.66"/>
    <m/>
    <s v="Y"/>
    <n v="1"/>
    <d v="2023-07-05T19:42:28"/>
    <s v="N"/>
    <m/>
    <m/>
    <s v="Expert Disbursement"/>
    <m/>
    <s v="N"/>
    <n v="-291.38"/>
    <n v="0"/>
    <x v="6"/>
    <s v="VALIDATED"/>
    <n v="1"/>
    <s v="01.11.80.308.2013.0000"/>
    <n v="-291.38"/>
    <s v="11"/>
    <s v="2013"/>
    <n v="25191.78"/>
    <n v="-291.38"/>
    <s v="CREDITOR"/>
    <n v="0"/>
    <n v="0"/>
    <n v="-291.38"/>
    <n v="0"/>
    <n v="0"/>
  </r>
  <r>
    <n v="9261231"/>
    <s v="N"/>
    <n v="21333723"/>
    <s v="3000005240270006RC"/>
    <s v="CIVIL"/>
    <d v="2023-06-26T00:00:00"/>
    <d v="2023-07-05T19:42:28"/>
    <m/>
    <d v="2023-07-05T00:00:00"/>
    <n v="183"/>
    <n v="7113"/>
    <s v="9261231"/>
    <s v="9261231"/>
    <m/>
    <m/>
    <m/>
    <m/>
    <m/>
    <m/>
    <s v="SOLRECOUP"/>
    <s v="SOLRECOUP"/>
    <s v="POARECOUP"/>
    <n v="21333723"/>
    <n v="-56"/>
    <m/>
    <s v="Y"/>
    <n v="2"/>
    <d v="2023-07-05T19:42:28"/>
    <s v="N"/>
    <m/>
    <m/>
    <s v="Non Expert Disbursement"/>
    <m/>
    <s v="N"/>
    <n v="0"/>
    <n v="0"/>
    <x v="6"/>
    <s v="VALIDATED"/>
    <n v="1"/>
    <s v="01.11.80.000.0000.0000"/>
    <n v="0"/>
    <s v="11"/>
    <s v="0000"/>
    <n v="25191.78"/>
    <n v="0"/>
    <s v="CREDITOR"/>
    <n v="0"/>
    <n v="0"/>
    <n v="0"/>
    <n v="0"/>
    <n v="0"/>
  </r>
  <r>
    <n v="9261231"/>
    <s v="N"/>
    <n v="21333723"/>
    <s v="3000005240270006RC"/>
    <s v="CIVIL"/>
    <d v="2023-06-26T00:00:00"/>
    <d v="2023-07-05T19:42:28"/>
    <m/>
    <d v="2023-07-05T00:00:00"/>
    <n v="183"/>
    <n v="7113"/>
    <s v="9261231"/>
    <s v="9261231"/>
    <m/>
    <m/>
    <m/>
    <m/>
    <m/>
    <m/>
    <s v="SOLRECOUP"/>
    <s v="SOLRECOUP"/>
    <s v="POARECOUP"/>
    <n v="21333723"/>
    <n v="-56"/>
    <m/>
    <s v="Y"/>
    <n v="1"/>
    <d v="2023-07-05T19:42:28"/>
    <s v="N"/>
    <m/>
    <m/>
    <s v="Non Expert Disbursement"/>
    <m/>
    <s v="N"/>
    <n v="-56"/>
    <n v="0"/>
    <x v="6"/>
    <s v="VALIDATED"/>
    <n v="1"/>
    <s v="01.11.80.308.2013.0000"/>
    <n v="-56"/>
    <s v="11"/>
    <s v="2013"/>
    <n v="25191.78"/>
    <n v="-56"/>
    <s v="CREDITOR"/>
    <n v="0"/>
    <n v="0"/>
    <n v="-56"/>
    <n v="0"/>
    <n v="0"/>
  </r>
  <r>
    <n v="9261231"/>
    <s v="N"/>
    <n v="21333724"/>
    <s v="3000005240270009RC"/>
    <s v="CIVIL"/>
    <d v="2023-06-26T00:00:00"/>
    <d v="2023-07-05T19:42:28"/>
    <m/>
    <d v="2023-07-05T00:00:00"/>
    <n v="183"/>
    <n v="7113"/>
    <s v="9261231"/>
    <s v="9261231"/>
    <m/>
    <m/>
    <m/>
    <m/>
    <m/>
    <m/>
    <s v="SOLRECOUP"/>
    <s v="SOLRECOUP"/>
    <s v="POARECOUP"/>
    <n v="21333724"/>
    <n v="-201.6"/>
    <m/>
    <s v="Y"/>
    <n v="2"/>
    <d v="2023-07-05T19:42:28"/>
    <s v="N"/>
    <m/>
    <m/>
    <s v="Expert Disbursement"/>
    <m/>
    <s v="N"/>
    <n v="0"/>
    <n v="-33.6"/>
    <x v="6"/>
    <s v="VALIDATED"/>
    <n v="1"/>
    <s v="01.11.80.308.2013.0000"/>
    <n v="-33.6"/>
    <s v="11"/>
    <s v="2013"/>
    <n v="25191.78"/>
    <n v="-33.6"/>
    <s v="CREDITOR"/>
    <n v="0"/>
    <n v="0"/>
    <n v="-33.6"/>
    <n v="0"/>
    <n v="0"/>
  </r>
  <r>
    <n v="9261231"/>
    <s v="N"/>
    <n v="21333724"/>
    <s v="3000005240270009RC"/>
    <s v="CIVIL"/>
    <d v="2023-06-26T00:00:00"/>
    <d v="2023-07-05T19:42:28"/>
    <m/>
    <d v="2023-07-05T00:00:00"/>
    <n v="183"/>
    <n v="7113"/>
    <s v="9261231"/>
    <s v="9261231"/>
    <m/>
    <m/>
    <m/>
    <m/>
    <m/>
    <m/>
    <s v="SOLRECOUP"/>
    <s v="SOLRECOUP"/>
    <s v="POARECOUP"/>
    <n v="21333724"/>
    <n v="-201.6"/>
    <m/>
    <s v="Y"/>
    <n v="1"/>
    <d v="2023-07-05T19:42:28"/>
    <s v="N"/>
    <m/>
    <m/>
    <s v="Expert Disbursement"/>
    <m/>
    <s v="N"/>
    <n v="-168"/>
    <n v="0"/>
    <x v="6"/>
    <s v="VALIDATED"/>
    <n v="1"/>
    <s v="01.11.80.308.2013.0000"/>
    <n v="-168"/>
    <s v="11"/>
    <s v="2013"/>
    <n v="25191.78"/>
    <n v="-168"/>
    <s v="CREDITOR"/>
    <n v="0"/>
    <n v="0"/>
    <n v="-168"/>
    <n v="0"/>
    <n v="0"/>
  </r>
  <r>
    <n v="11099426"/>
    <s v="N"/>
    <n v="21333725"/>
    <s v="3000006772850001RC"/>
    <s v="CIVIL"/>
    <d v="2023-06-26T00:00:00"/>
    <d v="2023-07-05T19:42:28"/>
    <m/>
    <d v="2023-07-05T00:00:00"/>
    <n v="183"/>
    <n v="7113"/>
    <s v="11099426"/>
    <s v="11099426"/>
    <m/>
    <m/>
    <m/>
    <m/>
    <m/>
    <m/>
    <s v="SOLRECOUP"/>
    <s v="SOLRECOUP"/>
    <s v="POARECOUP"/>
    <n v="21333725"/>
    <n v="-142.08"/>
    <m/>
    <s v="Y"/>
    <n v="2"/>
    <d v="2023-07-05T19:42:28"/>
    <s v="N"/>
    <m/>
    <m/>
    <s v="Expert Disbursement"/>
    <m/>
    <s v="N"/>
    <n v="0"/>
    <n v="-23.68"/>
    <x v="6"/>
    <s v="VALIDATED"/>
    <n v="1"/>
    <s v="01.11.80.308.2013.0000"/>
    <n v="-23.68"/>
    <s v="11"/>
    <s v="2013"/>
    <n v="25191.78"/>
    <n v="-23.68"/>
    <s v="CREDITOR"/>
    <n v="0"/>
    <n v="0"/>
    <n v="-23.68"/>
    <n v="0"/>
    <n v="0"/>
  </r>
  <r>
    <n v="11099426"/>
    <s v="N"/>
    <n v="21333725"/>
    <s v="3000006772850001RC"/>
    <s v="CIVIL"/>
    <d v="2023-06-26T00:00:00"/>
    <d v="2023-07-05T19:42:28"/>
    <m/>
    <d v="2023-07-05T00:00:00"/>
    <n v="183"/>
    <n v="7113"/>
    <s v="11099426"/>
    <s v="11099426"/>
    <m/>
    <m/>
    <m/>
    <m/>
    <m/>
    <m/>
    <s v="SOLRECOUP"/>
    <s v="SOLRECOUP"/>
    <s v="POARECOUP"/>
    <n v="21333725"/>
    <n v="-142.08"/>
    <m/>
    <s v="Y"/>
    <n v="1"/>
    <d v="2023-07-05T19:42:28"/>
    <s v="N"/>
    <m/>
    <m/>
    <s v="Expert Disbursement"/>
    <m/>
    <s v="N"/>
    <n v="-118.4"/>
    <n v="0"/>
    <x v="6"/>
    <s v="VALIDATED"/>
    <n v="1"/>
    <s v="01.11.80.308.2013.0000"/>
    <n v="-118.4"/>
    <s v="11"/>
    <s v="2013"/>
    <n v="25191.78"/>
    <n v="-118.4"/>
    <s v="CREDITOR"/>
    <n v="0"/>
    <n v="0"/>
    <n v="-118.4"/>
    <n v="0"/>
    <n v="0"/>
  </r>
  <r>
    <n v="9261231"/>
    <s v="N"/>
    <n v="21333726"/>
    <s v="3000005240270011RC"/>
    <s v="CIVIL"/>
    <d v="2023-06-26T00:00:00"/>
    <d v="2023-07-05T19:42:28"/>
    <m/>
    <d v="2023-07-05T00:00:00"/>
    <n v="183"/>
    <n v="7113"/>
    <s v="9261231"/>
    <s v="9261231"/>
    <m/>
    <m/>
    <m/>
    <m/>
    <m/>
    <m/>
    <s v="SOLRECOUP"/>
    <s v="SOLRECOUP"/>
    <s v="POARECOUP"/>
    <n v="21333726"/>
    <n v="-2354.4"/>
    <m/>
    <s v="Y"/>
    <n v="2"/>
    <d v="2023-07-05T19:42:28"/>
    <s v="N"/>
    <m/>
    <m/>
    <s v="Profit Cost"/>
    <m/>
    <s v="N"/>
    <n v="0"/>
    <n v="-392.4"/>
    <x v="6"/>
    <s v="VALIDATED"/>
    <n v="1"/>
    <s v="01.11.80.308.2013.0000"/>
    <n v="-392.4"/>
    <s v="11"/>
    <s v="2013"/>
    <n v="25191.78"/>
    <n v="-392.4"/>
    <s v="CREDITOR"/>
    <n v="0"/>
    <n v="0"/>
    <n v="-392.4"/>
    <n v="-98.09999999999999"/>
    <n v="0"/>
  </r>
  <r>
    <n v="9261231"/>
    <s v="N"/>
    <n v="21333726"/>
    <s v="3000005240270011RC"/>
    <s v="CIVIL"/>
    <d v="2023-06-26T00:00:00"/>
    <d v="2023-07-05T19:42:28"/>
    <m/>
    <d v="2023-07-05T00:00:00"/>
    <n v="183"/>
    <n v="7113"/>
    <s v="9261231"/>
    <s v="9261231"/>
    <m/>
    <m/>
    <m/>
    <m/>
    <m/>
    <m/>
    <s v="SOLRECOUP"/>
    <s v="SOLRECOUP"/>
    <s v="POARECOUP"/>
    <n v="21333726"/>
    <n v="-2354.4"/>
    <m/>
    <s v="Y"/>
    <n v="1"/>
    <d v="2023-07-05T19:42:28"/>
    <s v="N"/>
    <m/>
    <m/>
    <s v="Profit Cost"/>
    <m/>
    <s v="N"/>
    <n v="-1962"/>
    <n v="0"/>
    <x v="6"/>
    <s v="VALIDATED"/>
    <n v="1"/>
    <s v="01.11.80.308.2013.0000"/>
    <n v="-1962"/>
    <s v="11"/>
    <s v="2013"/>
    <n v="25191.78"/>
    <n v="-1962"/>
    <s v="CREDITOR"/>
    <n v="0"/>
    <n v="0"/>
    <n v="-1962"/>
    <n v="-490.5"/>
    <n v="0"/>
  </r>
  <r>
    <n v="11099426"/>
    <s v="N"/>
    <n v="21333727"/>
    <s v="3000006772850004RC"/>
    <s v="CIVIL"/>
    <d v="2023-06-26T00:00:00"/>
    <d v="2023-07-05T19:42:28"/>
    <m/>
    <d v="2023-07-05T00:00:00"/>
    <n v="183"/>
    <n v="7113"/>
    <s v="11099426"/>
    <s v="11099426"/>
    <m/>
    <m/>
    <m/>
    <m/>
    <m/>
    <m/>
    <s v="SOLRECOUP"/>
    <s v="SOLRECOUP"/>
    <s v="POARECOUP"/>
    <n v="21333727"/>
    <n v="-168"/>
    <m/>
    <s v="Y"/>
    <n v="1"/>
    <d v="2023-07-05T19:42:28"/>
    <s v="N"/>
    <m/>
    <m/>
    <s v="Expert Disbursement"/>
    <m/>
    <s v="N"/>
    <n v="-140"/>
    <n v="0"/>
    <x v="6"/>
    <s v="VALIDATED"/>
    <n v="1"/>
    <s v="01.11.80.308.2013.0000"/>
    <n v="-140"/>
    <s v="11"/>
    <s v="2013"/>
    <n v="25191.78"/>
    <n v="-140"/>
    <s v="CREDITOR"/>
    <n v="0"/>
    <n v="0"/>
    <n v="-140"/>
    <n v="0"/>
    <n v="0"/>
  </r>
  <r>
    <n v="11099426"/>
    <s v="N"/>
    <n v="21333727"/>
    <s v="3000006772850004RC"/>
    <s v="CIVIL"/>
    <d v="2023-06-26T00:00:00"/>
    <d v="2023-07-05T19:42:28"/>
    <m/>
    <d v="2023-07-05T00:00:00"/>
    <n v="183"/>
    <n v="7113"/>
    <s v="11099426"/>
    <s v="11099426"/>
    <m/>
    <m/>
    <m/>
    <m/>
    <m/>
    <m/>
    <s v="SOLRECOUP"/>
    <s v="SOLRECOUP"/>
    <s v="POARECOUP"/>
    <n v="21333727"/>
    <n v="-168"/>
    <m/>
    <s v="Y"/>
    <n v="2"/>
    <d v="2023-07-05T19:42:28"/>
    <s v="N"/>
    <m/>
    <m/>
    <s v="Expert Disbursement"/>
    <m/>
    <s v="N"/>
    <n v="0"/>
    <n v="-28"/>
    <x v="6"/>
    <s v="VALIDATED"/>
    <n v="1"/>
    <s v="01.11.80.308.2013.0000"/>
    <n v="-28"/>
    <s v="11"/>
    <s v="2013"/>
    <n v="25191.78"/>
    <n v="-28"/>
    <s v="CREDITOR"/>
    <n v="0"/>
    <n v="0"/>
    <n v="-28"/>
    <n v="0"/>
    <n v="0"/>
  </r>
  <r>
    <n v="11099426"/>
    <s v="N"/>
    <n v="21333728"/>
    <s v="3000006772850007RC"/>
    <s v="CIVIL"/>
    <d v="2023-06-26T00:00:00"/>
    <d v="2023-07-05T19:42:28"/>
    <m/>
    <d v="2023-07-05T00:00:00"/>
    <n v="183"/>
    <n v="7113"/>
    <s v="11099426"/>
    <s v="11099426"/>
    <m/>
    <m/>
    <m/>
    <m/>
    <m/>
    <m/>
    <s v="SOLRECOUP"/>
    <s v="SOLRECOUP"/>
    <s v="POARECOUP"/>
    <n v="21333728"/>
    <n v="-386.16"/>
    <m/>
    <s v="Y"/>
    <n v="1"/>
    <d v="2023-07-05T19:42:28"/>
    <s v="N"/>
    <m/>
    <m/>
    <s v="Expert Disbursement"/>
    <m/>
    <s v="N"/>
    <n v="-321.8"/>
    <n v="0"/>
    <x v="6"/>
    <s v="VALIDATED"/>
    <n v="1"/>
    <s v="01.11.80.308.2013.0000"/>
    <n v="-321.8"/>
    <s v="11"/>
    <s v="2013"/>
    <n v="25191.78"/>
    <n v="-321.8"/>
    <s v="CREDITOR"/>
    <n v="0"/>
    <n v="0"/>
    <n v="-321.8"/>
    <n v="0"/>
    <n v="0"/>
  </r>
  <r>
    <n v="11099426"/>
    <s v="N"/>
    <n v="21333728"/>
    <s v="3000006772850007RC"/>
    <s v="CIVIL"/>
    <d v="2023-06-26T00:00:00"/>
    <d v="2023-07-05T19:42:28"/>
    <m/>
    <d v="2023-07-05T00:00:00"/>
    <n v="183"/>
    <n v="7113"/>
    <s v="11099426"/>
    <s v="11099426"/>
    <m/>
    <m/>
    <m/>
    <m/>
    <m/>
    <m/>
    <s v="SOLRECOUP"/>
    <s v="SOLRECOUP"/>
    <s v="POARECOUP"/>
    <n v="21333728"/>
    <n v="-386.16"/>
    <m/>
    <s v="Y"/>
    <n v="2"/>
    <d v="2023-07-05T19:42:28"/>
    <s v="N"/>
    <m/>
    <m/>
    <s v="Expert Disbursement"/>
    <m/>
    <s v="N"/>
    <n v="0"/>
    <n v="-64.36"/>
    <x v="6"/>
    <s v="VALIDATED"/>
    <n v="1"/>
    <s v="01.11.80.308.2013.0000"/>
    <n v="-64.36"/>
    <s v="11"/>
    <s v="2013"/>
    <n v="25191.78"/>
    <n v="-64.36"/>
    <s v="CREDITOR"/>
    <n v="0"/>
    <n v="0"/>
    <n v="-64.36"/>
    <n v="0"/>
    <n v="0"/>
  </r>
  <r>
    <n v="11099426"/>
    <s v="N"/>
    <n v="21333729"/>
    <s v="3000006772850010RC"/>
    <s v="CIVIL"/>
    <d v="2023-06-26T00:00:00"/>
    <d v="2023-07-05T19:42:28"/>
    <m/>
    <d v="2023-07-05T00:00:00"/>
    <n v="183"/>
    <n v="7113"/>
    <s v="11099426"/>
    <s v="11099426"/>
    <m/>
    <m/>
    <m/>
    <m/>
    <m/>
    <m/>
    <s v="SOLRECOUP"/>
    <s v="SOLRECOUP"/>
    <s v="POARECOUP"/>
    <n v="21333729"/>
    <n v="-50"/>
    <m/>
    <s v="Y"/>
    <n v="1"/>
    <d v="2023-07-05T19:42:28"/>
    <s v="N"/>
    <m/>
    <m/>
    <s v="Non Expert Disbursement"/>
    <m/>
    <s v="N"/>
    <n v="-50"/>
    <n v="0"/>
    <x v="6"/>
    <s v="VALIDATED"/>
    <n v="1"/>
    <s v="01.11.80.308.2013.0000"/>
    <n v="-50"/>
    <s v="11"/>
    <s v="2013"/>
    <n v="25191.78"/>
    <n v="-50"/>
    <s v="CREDITOR"/>
    <n v="0"/>
    <n v="0"/>
    <n v="-50"/>
    <n v="0"/>
    <n v="0"/>
  </r>
  <r>
    <n v="11099426"/>
    <s v="N"/>
    <n v="21333729"/>
    <s v="3000006772850010RC"/>
    <s v="CIVIL"/>
    <d v="2023-06-26T00:00:00"/>
    <d v="2023-07-05T19:42:28"/>
    <m/>
    <d v="2023-07-05T00:00:00"/>
    <n v="183"/>
    <n v="7113"/>
    <s v="11099426"/>
    <s v="11099426"/>
    <m/>
    <m/>
    <m/>
    <m/>
    <m/>
    <m/>
    <s v="SOLRECOUP"/>
    <s v="SOLRECOUP"/>
    <s v="POARECOUP"/>
    <n v="21333729"/>
    <n v="-50"/>
    <m/>
    <s v="Y"/>
    <n v="2"/>
    <d v="2023-07-05T19:42:28"/>
    <s v="N"/>
    <m/>
    <m/>
    <s v="Non Expert Disbursement"/>
    <m/>
    <s v="N"/>
    <n v="0"/>
    <n v="0"/>
    <x v="6"/>
    <s v="VALIDATED"/>
    <n v="1"/>
    <s v="01.11.80.000.0000.0000"/>
    <n v="0"/>
    <s v="11"/>
    <s v="0000"/>
    <n v="25191.78"/>
    <n v="0"/>
    <s v="CREDITOR"/>
    <n v="0"/>
    <n v="0"/>
    <n v="0"/>
    <n v="0"/>
    <n v="0"/>
  </r>
  <r>
    <n v="9261231"/>
    <s v="N"/>
    <n v="21333730"/>
    <s v="3000005240270015RC"/>
    <s v="CIVIL"/>
    <d v="2023-06-26T00:00:00"/>
    <d v="2023-07-05T19:42:28"/>
    <m/>
    <d v="2023-07-05T00:00:00"/>
    <n v="183"/>
    <n v="7113"/>
    <s v="9261231"/>
    <s v="9261231"/>
    <m/>
    <m/>
    <m/>
    <m/>
    <m/>
    <m/>
    <s v="SOLRECOUP"/>
    <s v="SOLRECOUP"/>
    <s v="POARECOUP"/>
    <n v="21333730"/>
    <n v="-156.96"/>
    <m/>
    <s v="Y"/>
    <n v="1"/>
    <d v="2023-07-05T19:42:28"/>
    <s v="N"/>
    <m/>
    <m/>
    <s v="Profit Cost"/>
    <m/>
    <s v="N"/>
    <n v="-130.8"/>
    <n v="0"/>
    <x v="6"/>
    <s v="VALIDATED"/>
    <n v="1"/>
    <s v="01.11.80.308.2013.0000"/>
    <n v="-130.8"/>
    <s v="11"/>
    <s v="2013"/>
    <n v="25191.78"/>
    <n v="-130.8"/>
    <s v="CREDITOR"/>
    <n v="0"/>
    <n v="0"/>
    <n v="-130.8"/>
    <n v="-32.7"/>
    <n v="0"/>
  </r>
  <r>
    <n v="9261231"/>
    <s v="N"/>
    <n v="21333730"/>
    <s v="3000005240270015RC"/>
    <s v="CIVIL"/>
    <d v="2023-06-26T00:00:00"/>
    <d v="2023-07-05T19:42:28"/>
    <m/>
    <d v="2023-07-05T00:00:00"/>
    <n v="183"/>
    <n v="7113"/>
    <s v="9261231"/>
    <s v="9261231"/>
    <m/>
    <m/>
    <m/>
    <m/>
    <m/>
    <m/>
    <s v="SOLRECOUP"/>
    <s v="SOLRECOUP"/>
    <s v="POARECOUP"/>
    <n v="21333730"/>
    <n v="-156.96"/>
    <m/>
    <s v="Y"/>
    <n v="2"/>
    <d v="2023-07-05T19:42:28"/>
    <s v="N"/>
    <m/>
    <m/>
    <s v="Profit Cost"/>
    <m/>
    <s v="N"/>
    <n v="0"/>
    <n v="-26.16"/>
    <x v="6"/>
    <s v="VALIDATED"/>
    <n v="1"/>
    <s v="01.11.80.308.2013.0000"/>
    <n v="-26.16"/>
    <s v="11"/>
    <s v="2013"/>
    <n v="25191.78"/>
    <n v="-26.16"/>
    <s v="CREDITOR"/>
    <n v="0"/>
    <n v="0"/>
    <n v="-26.16"/>
    <n v="-6.54"/>
    <n v="0"/>
  </r>
  <r>
    <n v="11099426"/>
    <s v="N"/>
    <n v="21333731"/>
    <s v="3000006772850005RC"/>
    <s v="CIVIL"/>
    <d v="2023-06-26T00:00:00"/>
    <d v="2023-07-05T19:42:28"/>
    <m/>
    <d v="2023-07-05T00:00:00"/>
    <n v="183"/>
    <n v="7113"/>
    <s v="11099426"/>
    <s v="11099426"/>
    <m/>
    <m/>
    <m/>
    <m/>
    <m/>
    <m/>
    <s v="SOLRECOUP"/>
    <s v="SOLRECOUP"/>
    <s v="POARECOUP"/>
    <n v="21333731"/>
    <n v="-87.59999999999999"/>
    <m/>
    <s v="Y"/>
    <n v="1"/>
    <d v="2023-07-05T19:42:28"/>
    <s v="N"/>
    <m/>
    <m/>
    <s v="Expert Disbursement"/>
    <m/>
    <s v="N"/>
    <n v="-73"/>
    <n v="0"/>
    <x v="6"/>
    <s v="VALIDATED"/>
    <n v="1"/>
    <s v="01.11.80.308.2013.0000"/>
    <n v="-73"/>
    <s v="11"/>
    <s v="2013"/>
    <n v="25191.78"/>
    <n v="-73"/>
    <s v="CREDITOR"/>
    <n v="0"/>
    <n v="0"/>
    <n v="-73"/>
    <n v="0"/>
    <n v="0"/>
  </r>
  <r>
    <n v="11099426"/>
    <s v="N"/>
    <n v="21333731"/>
    <s v="3000006772850005RC"/>
    <s v="CIVIL"/>
    <d v="2023-06-26T00:00:00"/>
    <d v="2023-07-05T19:42:28"/>
    <m/>
    <d v="2023-07-05T00:00:00"/>
    <n v="183"/>
    <n v="7113"/>
    <s v="11099426"/>
    <s v="11099426"/>
    <m/>
    <m/>
    <m/>
    <m/>
    <m/>
    <m/>
    <s v="SOLRECOUP"/>
    <s v="SOLRECOUP"/>
    <s v="POARECOUP"/>
    <n v="21333731"/>
    <n v="-87.59999999999999"/>
    <m/>
    <s v="Y"/>
    <n v="2"/>
    <d v="2023-07-05T19:42:28"/>
    <s v="N"/>
    <m/>
    <m/>
    <s v="Expert Disbursement"/>
    <m/>
    <s v="N"/>
    <n v="0"/>
    <n v="-14.6"/>
    <x v="6"/>
    <s v="VALIDATED"/>
    <n v="1"/>
    <s v="01.11.80.308.2013.0000"/>
    <n v="-14.6"/>
    <s v="11"/>
    <s v="2013"/>
    <n v="25191.78"/>
    <n v="-14.6"/>
    <s v="CREDITOR"/>
    <n v="0"/>
    <n v="0"/>
    <n v="-14.6"/>
    <n v="0"/>
    <n v="0"/>
  </r>
  <r>
    <n v="11099426"/>
    <s v="N"/>
    <n v="21333732"/>
    <s v="3000006772850006RC"/>
    <s v="CIVIL"/>
    <d v="2023-06-26T00:00:00"/>
    <d v="2023-07-05T19:42:28"/>
    <m/>
    <d v="2023-07-05T00:00:00"/>
    <n v="183"/>
    <n v="7113"/>
    <s v="11099426"/>
    <s v="11099426"/>
    <m/>
    <m/>
    <m/>
    <m/>
    <m/>
    <m/>
    <s v="SOLRECOUP"/>
    <s v="SOLRECOUP"/>
    <s v="POARECOUP"/>
    <n v="21333732"/>
    <n v="-106.8"/>
    <m/>
    <s v="Y"/>
    <n v="1"/>
    <d v="2023-07-05T19:42:28"/>
    <s v="N"/>
    <m/>
    <m/>
    <s v="Expert Disbursement"/>
    <m/>
    <s v="N"/>
    <n v="-89"/>
    <n v="0"/>
    <x v="6"/>
    <s v="VALIDATED"/>
    <n v="1"/>
    <s v="01.11.80.308.2013.0000"/>
    <n v="-89"/>
    <s v="11"/>
    <s v="2013"/>
    <n v="25191.78"/>
    <n v="-89"/>
    <s v="CREDITOR"/>
    <n v="0"/>
    <n v="0"/>
    <n v="-89"/>
    <n v="0"/>
    <n v="0"/>
  </r>
  <r>
    <n v="11099426"/>
    <s v="N"/>
    <n v="21333732"/>
    <s v="3000006772850006RC"/>
    <s v="CIVIL"/>
    <d v="2023-06-26T00:00:00"/>
    <d v="2023-07-05T19:42:28"/>
    <m/>
    <d v="2023-07-05T00:00:00"/>
    <n v="183"/>
    <n v="7113"/>
    <s v="11099426"/>
    <s v="11099426"/>
    <m/>
    <m/>
    <m/>
    <m/>
    <m/>
    <m/>
    <s v="SOLRECOUP"/>
    <s v="SOLRECOUP"/>
    <s v="POARECOUP"/>
    <n v="21333732"/>
    <n v="-106.8"/>
    <m/>
    <s v="Y"/>
    <n v="2"/>
    <d v="2023-07-05T19:42:28"/>
    <s v="N"/>
    <m/>
    <m/>
    <s v="Expert Disbursement"/>
    <m/>
    <s v="N"/>
    <n v="0"/>
    <n v="-17.8"/>
    <x v="6"/>
    <s v="VALIDATED"/>
    <n v="1"/>
    <s v="01.11.80.308.2013.0000"/>
    <n v="-17.8"/>
    <s v="11"/>
    <s v="2013"/>
    <n v="25191.78"/>
    <n v="-17.8"/>
    <s v="CREDITOR"/>
    <n v="0"/>
    <n v="0"/>
    <n v="-17.8"/>
    <n v="0"/>
    <n v="0"/>
  </r>
  <r>
    <n v="11099426"/>
    <s v="N"/>
    <n v="21333733"/>
    <s v="3000006772850009RC"/>
    <s v="CIVIL"/>
    <d v="2023-06-26T00:00:00"/>
    <d v="2023-07-05T19:42:28"/>
    <m/>
    <d v="2023-07-05T00:00:00"/>
    <n v="183"/>
    <n v="7113"/>
    <s v="11099426"/>
    <s v="11099426"/>
    <m/>
    <m/>
    <m/>
    <m/>
    <m/>
    <m/>
    <s v="SOLRECOUP"/>
    <s v="SOLRECOUP"/>
    <s v="POARECOUP"/>
    <n v="21333733"/>
    <n v="-124.8"/>
    <m/>
    <s v="Y"/>
    <n v="1"/>
    <d v="2023-07-05T19:42:28"/>
    <s v="N"/>
    <m/>
    <m/>
    <s v="Expert Disbursement"/>
    <m/>
    <s v="N"/>
    <n v="-104"/>
    <n v="0"/>
    <x v="6"/>
    <s v="VALIDATED"/>
    <n v="1"/>
    <s v="01.11.80.308.2013.0000"/>
    <n v="-104"/>
    <s v="11"/>
    <s v="2013"/>
    <n v="25191.78"/>
    <n v="-104"/>
    <s v="CREDITOR"/>
    <n v="0"/>
    <n v="0"/>
    <n v="-104"/>
    <n v="0"/>
    <n v="0"/>
  </r>
  <r>
    <n v="11099426"/>
    <s v="N"/>
    <n v="21333733"/>
    <s v="3000006772850009RC"/>
    <s v="CIVIL"/>
    <d v="2023-06-26T00:00:00"/>
    <d v="2023-07-05T19:42:28"/>
    <m/>
    <d v="2023-07-05T00:00:00"/>
    <n v="183"/>
    <n v="7113"/>
    <s v="11099426"/>
    <s v="11099426"/>
    <m/>
    <m/>
    <m/>
    <m/>
    <m/>
    <m/>
    <s v="SOLRECOUP"/>
    <s v="SOLRECOUP"/>
    <s v="POARECOUP"/>
    <n v="21333733"/>
    <n v="-124.8"/>
    <m/>
    <s v="Y"/>
    <n v="2"/>
    <d v="2023-07-05T19:42:28"/>
    <s v="N"/>
    <m/>
    <m/>
    <s v="Expert Disbursement"/>
    <m/>
    <s v="N"/>
    <n v="0"/>
    <n v="-20.8"/>
    <x v="6"/>
    <s v="VALIDATED"/>
    <n v="1"/>
    <s v="01.11.80.308.2013.0000"/>
    <n v="-20.8"/>
    <s v="11"/>
    <s v="2013"/>
    <n v="25191.78"/>
    <n v="-20.8"/>
    <s v="CREDITOR"/>
    <n v="0"/>
    <n v="0"/>
    <n v="-20.8"/>
    <n v="0"/>
    <n v="0"/>
  </r>
  <r>
    <n v="11099426"/>
    <s v="N"/>
    <n v="21333734"/>
    <s v="3000006772850008RC"/>
    <s v="CIVIL"/>
    <d v="2023-06-26T00:00:00"/>
    <d v="2023-07-05T19:42:28"/>
    <m/>
    <d v="2023-07-05T00:00:00"/>
    <n v="183"/>
    <n v="7113"/>
    <s v="11099426"/>
    <s v="11099426"/>
    <m/>
    <m/>
    <m/>
    <m/>
    <m/>
    <m/>
    <s v="SOLRECOUP"/>
    <s v="SOLRECOUP"/>
    <s v="POARECOUP"/>
    <n v="21333734"/>
    <n v="-54"/>
    <m/>
    <s v="Y"/>
    <n v="1"/>
    <d v="2023-07-05T19:42:28"/>
    <s v="N"/>
    <m/>
    <m/>
    <s v="Expert Disbursement"/>
    <m/>
    <s v="N"/>
    <n v="-45"/>
    <n v="0"/>
    <x v="6"/>
    <s v="VALIDATED"/>
    <n v="1"/>
    <s v="01.11.80.308.2013.0000"/>
    <n v="-45"/>
    <s v="11"/>
    <s v="2013"/>
    <n v="25191.78"/>
    <n v="-45"/>
    <s v="CREDITOR"/>
    <n v="0"/>
    <n v="0"/>
    <n v="-45"/>
    <n v="0"/>
    <n v="0"/>
  </r>
  <r>
    <n v="11099426"/>
    <s v="N"/>
    <n v="21333734"/>
    <s v="3000006772850008RC"/>
    <s v="CIVIL"/>
    <d v="2023-06-26T00:00:00"/>
    <d v="2023-07-05T19:42:28"/>
    <m/>
    <d v="2023-07-05T00:00:00"/>
    <n v="183"/>
    <n v="7113"/>
    <s v="11099426"/>
    <s v="11099426"/>
    <m/>
    <m/>
    <m/>
    <m/>
    <m/>
    <m/>
    <s v="SOLRECOUP"/>
    <s v="SOLRECOUP"/>
    <s v="POARECOUP"/>
    <n v="21333734"/>
    <n v="-54"/>
    <m/>
    <s v="Y"/>
    <n v="2"/>
    <d v="2023-07-05T19:42:28"/>
    <s v="N"/>
    <m/>
    <m/>
    <s v="Expert Disbursement"/>
    <m/>
    <s v="N"/>
    <n v="0"/>
    <n v="-9"/>
    <x v="6"/>
    <s v="VALIDATED"/>
    <n v="1"/>
    <s v="01.11.80.308.2013.0000"/>
    <n v="-9"/>
    <s v="11"/>
    <s v="2013"/>
    <n v="25191.78"/>
    <n v="-9"/>
    <s v="CREDITOR"/>
    <n v="0"/>
    <n v="0"/>
    <n v="-9"/>
    <n v="0"/>
    <n v="0"/>
  </r>
  <r>
    <n v="11099426"/>
    <s v="N"/>
    <n v="21333735"/>
    <s v="3000006772850013RC"/>
    <s v="CIVIL"/>
    <d v="2023-06-26T00:00:00"/>
    <d v="2023-07-05T19:42:28"/>
    <m/>
    <d v="2023-07-05T00:00:00"/>
    <n v="183"/>
    <n v="7113"/>
    <s v="11099426"/>
    <s v="11099426"/>
    <m/>
    <m/>
    <m/>
    <m/>
    <m/>
    <m/>
    <s v="SOLRECOUP"/>
    <s v="SOLRECOUP"/>
    <s v="POARECOUP"/>
    <n v="21333735"/>
    <n v="-209.76"/>
    <m/>
    <s v="Y"/>
    <n v="1"/>
    <d v="2023-07-05T19:42:28"/>
    <s v="N"/>
    <m/>
    <m/>
    <s v="Expert Disbursement"/>
    <m/>
    <s v="N"/>
    <n v="-174.8"/>
    <n v="0"/>
    <x v="6"/>
    <s v="VALIDATED"/>
    <n v="1"/>
    <s v="01.11.80.308.2013.0000"/>
    <n v="-174.8"/>
    <s v="11"/>
    <s v="2013"/>
    <n v="25191.78"/>
    <n v="-174.8"/>
    <s v="CREDITOR"/>
    <n v="0"/>
    <n v="0"/>
    <n v="-174.8"/>
    <n v="0"/>
    <n v="0"/>
  </r>
  <r>
    <n v="11099426"/>
    <s v="N"/>
    <n v="21333735"/>
    <s v="3000006772850013RC"/>
    <s v="CIVIL"/>
    <d v="2023-06-26T00:00:00"/>
    <d v="2023-07-05T19:42:28"/>
    <m/>
    <d v="2023-07-05T00:00:00"/>
    <n v="183"/>
    <n v="7113"/>
    <s v="11099426"/>
    <s v="11099426"/>
    <m/>
    <m/>
    <m/>
    <m/>
    <m/>
    <m/>
    <s v="SOLRECOUP"/>
    <s v="SOLRECOUP"/>
    <s v="POARECOUP"/>
    <n v="21333735"/>
    <n v="-209.76"/>
    <m/>
    <s v="Y"/>
    <n v="2"/>
    <d v="2023-07-05T19:42:28"/>
    <s v="N"/>
    <m/>
    <m/>
    <s v="Expert Disbursement"/>
    <m/>
    <s v="N"/>
    <n v="0"/>
    <n v="-34.96"/>
    <x v="6"/>
    <s v="VALIDATED"/>
    <n v="1"/>
    <s v="01.11.80.308.2013.0000"/>
    <n v="-34.96"/>
    <s v="11"/>
    <s v="2013"/>
    <n v="25191.78"/>
    <n v="-34.96"/>
    <s v="CREDITOR"/>
    <n v="0"/>
    <n v="0"/>
    <n v="-34.96"/>
    <n v="0"/>
    <n v="0"/>
  </r>
  <r>
    <n v="40954654"/>
    <s v="N"/>
    <n v="21328594"/>
    <s v="3000010939120002RC"/>
    <s v="CIVIL"/>
    <d v="2023-06-22T00:00:00"/>
    <d v="2023-07-04T19:38:21"/>
    <m/>
    <d v="2023-07-04T00:00:00"/>
    <n v="183"/>
    <n v="7113"/>
    <s v="40954654"/>
    <s v="40954654"/>
    <m/>
    <m/>
    <m/>
    <m/>
    <m/>
    <m/>
    <s v="SOLRECOUP"/>
    <s v="SOLRECOUP"/>
    <s v="POARECOUP"/>
    <n v="21328594"/>
    <n v="-452.25"/>
    <m/>
    <s v="Y"/>
    <n v="1"/>
    <d v="2023-07-04T19:38:22"/>
    <s v="N"/>
    <m/>
    <m/>
    <s v="Expert Disbursement"/>
    <m/>
    <s v="N"/>
    <n v="-452.25"/>
    <n v="0"/>
    <x v="1"/>
    <s v="VALIDATED"/>
    <n v="1"/>
    <s v="01.11.80.308.2013.0000"/>
    <n v="-452.25"/>
    <s v="11"/>
    <s v="2013"/>
    <n v="25191.78"/>
    <n v="-452.25"/>
    <s v="CREDITOR"/>
    <n v="0"/>
    <n v="0"/>
    <n v="-452.25"/>
    <n v="0"/>
    <n v="0"/>
  </r>
  <r>
    <n v="40954654"/>
    <s v="N"/>
    <n v="21328594"/>
    <s v="3000010939120002RC"/>
    <s v="CIVIL"/>
    <d v="2023-06-22T00:00:00"/>
    <d v="2023-07-04T19:38:21"/>
    <m/>
    <d v="2023-07-04T00:00:00"/>
    <n v="183"/>
    <n v="7113"/>
    <s v="40954654"/>
    <s v="40954654"/>
    <m/>
    <m/>
    <m/>
    <m/>
    <m/>
    <m/>
    <s v="SOLRECOUP"/>
    <s v="SOLRECOUP"/>
    <s v="POARECOUP"/>
    <n v="21328594"/>
    <n v="-452.25"/>
    <m/>
    <s v="Y"/>
    <n v="2"/>
    <d v="2023-07-04T19:38:22"/>
    <s v="N"/>
    <m/>
    <m/>
    <s v="Expert Disbursement"/>
    <m/>
    <s v="N"/>
    <n v="0"/>
    <n v="0"/>
    <x v="1"/>
    <s v="VALIDATED"/>
    <n v="1"/>
    <s v="01.11.80.000.0000.0000"/>
    <n v="0"/>
    <s v="11"/>
    <s v="0000"/>
    <n v="25191.78"/>
    <n v="0"/>
    <s v="CREDITOR"/>
    <n v="0"/>
    <n v="0"/>
    <n v="0"/>
    <n v="0"/>
    <n v="0"/>
  </r>
  <r>
    <n v="40954654"/>
    <s v="N"/>
    <n v="21328595"/>
    <s v="3000010939120003RC"/>
    <s v="CIVIL"/>
    <d v="2023-06-22T00:00:00"/>
    <d v="2023-07-04T19:38:21"/>
    <m/>
    <d v="2023-07-04T00:00:00"/>
    <n v="183"/>
    <n v="7113"/>
    <s v="40954654"/>
    <s v="40954654"/>
    <m/>
    <m/>
    <m/>
    <m/>
    <m/>
    <m/>
    <s v="SOLRECOUP"/>
    <s v="SOLRECOUP"/>
    <s v="POARECOUP"/>
    <n v="21328595"/>
    <n v="-266.14"/>
    <m/>
    <s v="Y"/>
    <n v="1"/>
    <d v="2023-07-04T19:38:22"/>
    <s v="N"/>
    <m/>
    <m/>
    <s v="Expert Disbursement"/>
    <m/>
    <s v="N"/>
    <n v="-221.78"/>
    <n v="0"/>
    <x v="1"/>
    <s v="VALIDATED"/>
    <n v="1"/>
    <s v="01.11.80.308.2013.0000"/>
    <n v="-221.78"/>
    <s v="11"/>
    <s v="2013"/>
    <n v="25191.78"/>
    <n v="-221.78"/>
    <s v="CREDITOR"/>
    <n v="0"/>
    <n v="0"/>
    <n v="-221.78"/>
    <n v="0"/>
    <n v="0"/>
  </r>
  <r>
    <n v="40954654"/>
    <s v="N"/>
    <n v="21328595"/>
    <s v="3000010939120003RC"/>
    <s v="CIVIL"/>
    <d v="2023-06-22T00:00:00"/>
    <d v="2023-07-04T19:38:21"/>
    <m/>
    <d v="2023-07-04T00:00:00"/>
    <n v="183"/>
    <n v="7113"/>
    <s v="40954654"/>
    <s v="40954654"/>
    <m/>
    <m/>
    <m/>
    <m/>
    <m/>
    <m/>
    <s v="SOLRECOUP"/>
    <s v="SOLRECOUP"/>
    <s v="POARECOUP"/>
    <n v="21328595"/>
    <n v="-266.14"/>
    <m/>
    <s v="Y"/>
    <n v="2"/>
    <d v="2023-07-04T19:38:22"/>
    <s v="N"/>
    <m/>
    <m/>
    <s v="Expert Disbursement"/>
    <m/>
    <s v="N"/>
    <n v="0"/>
    <n v="-44.36"/>
    <x v="1"/>
    <s v="VALIDATED"/>
    <n v="1"/>
    <s v="01.11.80.308.2013.0000"/>
    <n v="-44.36"/>
    <s v="11"/>
    <s v="2013"/>
    <n v="25191.78"/>
    <n v="-44.36"/>
    <s v="CREDITOR"/>
    <n v="0"/>
    <n v="0"/>
    <n v="-44.36"/>
    <n v="0"/>
    <n v="0"/>
  </r>
  <r>
    <n v="40954654"/>
    <s v="N"/>
    <n v="21328596"/>
    <s v="3000010939120004RC"/>
    <s v="CIVIL"/>
    <d v="2023-06-22T00:00:00"/>
    <d v="2023-07-04T19:38:21"/>
    <m/>
    <d v="2023-07-04T00:00:00"/>
    <n v="183"/>
    <n v="7113"/>
    <s v="40954654"/>
    <s v="40954654"/>
    <m/>
    <m/>
    <m/>
    <m/>
    <m/>
    <m/>
    <s v="SOLRECOUP"/>
    <s v="SOLRECOUP"/>
    <s v="POARECOUP"/>
    <n v="21328596"/>
    <n v="-45.36"/>
    <m/>
    <s v="Y"/>
    <n v="2"/>
    <d v="2023-07-04T19:38:22"/>
    <s v="N"/>
    <m/>
    <m/>
    <s v="Expert Disbursement"/>
    <m/>
    <s v="N"/>
    <n v="0"/>
    <n v="-7.56"/>
    <x v="1"/>
    <s v="VALIDATED"/>
    <n v="1"/>
    <s v="01.11.80.308.2013.0000"/>
    <n v="-7.56"/>
    <s v="11"/>
    <s v="2013"/>
    <n v="25191.78"/>
    <n v="-7.56"/>
    <s v="CREDITOR"/>
    <n v="0"/>
    <n v="0"/>
    <n v="-7.56"/>
    <n v="0"/>
    <n v="0"/>
  </r>
  <r>
    <n v="40954654"/>
    <s v="N"/>
    <n v="21328596"/>
    <s v="3000010939120004RC"/>
    <s v="CIVIL"/>
    <d v="2023-06-22T00:00:00"/>
    <d v="2023-07-04T19:38:21"/>
    <m/>
    <d v="2023-07-04T00:00:00"/>
    <n v="183"/>
    <n v="7113"/>
    <s v="40954654"/>
    <s v="40954654"/>
    <m/>
    <m/>
    <m/>
    <m/>
    <m/>
    <m/>
    <s v="SOLRECOUP"/>
    <s v="SOLRECOUP"/>
    <s v="POARECOUP"/>
    <n v="21328596"/>
    <n v="-45.36"/>
    <m/>
    <s v="Y"/>
    <n v="1"/>
    <d v="2023-07-04T19:38:22"/>
    <s v="N"/>
    <m/>
    <m/>
    <s v="Expert Disbursement"/>
    <m/>
    <s v="N"/>
    <n v="-37.8"/>
    <n v="0"/>
    <x v="1"/>
    <s v="VALIDATED"/>
    <n v="1"/>
    <s v="01.11.80.308.2013.0000"/>
    <n v="-37.8"/>
    <s v="11"/>
    <s v="2013"/>
    <n v="25191.78"/>
    <n v="-37.8"/>
    <s v="CREDITOR"/>
    <n v="0"/>
    <n v="0"/>
    <n v="-37.8"/>
    <n v="0"/>
    <n v="0"/>
  </r>
  <r>
    <n v="9261231"/>
    <s v="N"/>
    <n v="21333719"/>
    <s v="3000005240270008RC"/>
    <s v="CIVIL"/>
    <d v="2023-06-26T00:00:00"/>
    <d v="2023-07-05T19:42:28"/>
    <m/>
    <d v="2023-07-05T00:00:00"/>
    <n v="183"/>
    <n v="7113"/>
    <s v="9261231"/>
    <s v="9261231"/>
    <m/>
    <m/>
    <m/>
    <m/>
    <m/>
    <m/>
    <s v="SOLRECOUP"/>
    <s v="SOLRECOUP"/>
    <s v="POARECOUP"/>
    <n v="21333719"/>
    <n v="-113.52"/>
    <m/>
    <s v="Y"/>
    <n v="2"/>
    <d v="2023-07-05T19:42:28"/>
    <s v="N"/>
    <m/>
    <m/>
    <s v="Expert Disbursement"/>
    <m/>
    <s v="N"/>
    <n v="0"/>
    <n v="-18.92"/>
    <x v="6"/>
    <s v="VALIDATED"/>
    <n v="1"/>
    <s v="01.11.80.308.2013.0000"/>
    <n v="-18.92"/>
    <s v="11"/>
    <s v="2013"/>
    <n v="25191.78"/>
    <n v="-18.92"/>
    <s v="CREDITOR"/>
    <n v="0"/>
    <n v="0"/>
    <n v="-18.92"/>
    <n v="0"/>
    <n v="0"/>
  </r>
  <r>
    <n v="9261231"/>
    <s v="N"/>
    <n v="21333719"/>
    <s v="3000005240270008RC"/>
    <s v="CIVIL"/>
    <d v="2023-06-26T00:00:00"/>
    <d v="2023-07-05T19:42:28"/>
    <m/>
    <d v="2023-07-05T00:00:00"/>
    <n v="183"/>
    <n v="7113"/>
    <s v="9261231"/>
    <s v="9261231"/>
    <m/>
    <m/>
    <m/>
    <m/>
    <m/>
    <m/>
    <s v="SOLRECOUP"/>
    <s v="SOLRECOUP"/>
    <s v="POARECOUP"/>
    <n v="21333719"/>
    <n v="-113.52"/>
    <m/>
    <s v="Y"/>
    <n v="1"/>
    <d v="2023-07-05T19:42:28"/>
    <s v="N"/>
    <m/>
    <m/>
    <s v="Expert Disbursement"/>
    <m/>
    <s v="N"/>
    <n v="-94.59999999999999"/>
    <n v="0"/>
    <x v="6"/>
    <s v="VALIDATED"/>
    <n v="1"/>
    <s v="01.11.80.308.2013.0000"/>
    <n v="-94.59999999999999"/>
    <s v="11"/>
    <s v="2013"/>
    <n v="25191.78"/>
    <n v="-94.59999999999999"/>
    <s v="CREDITOR"/>
    <n v="0"/>
    <n v="0"/>
    <n v="-94.59999999999999"/>
    <n v="0"/>
    <n v="0"/>
  </r>
  <r>
    <n v="9261231"/>
    <s v="N"/>
    <n v="21333720"/>
    <s v="3000005240270001RC"/>
    <s v="CIVIL"/>
    <d v="2023-06-26T00:00:00"/>
    <d v="2023-07-05T19:42:28"/>
    <m/>
    <d v="2023-07-05T00:00:00"/>
    <n v="183"/>
    <n v="7113"/>
    <s v="9261231"/>
    <s v="9261231"/>
    <m/>
    <m/>
    <m/>
    <m/>
    <m/>
    <m/>
    <s v="SOLRECOUP"/>
    <s v="SOLRECOUP"/>
    <s v="POARECOUP"/>
    <n v="21333720"/>
    <n v="-275.45"/>
    <m/>
    <s v="Y"/>
    <n v="2"/>
    <d v="2023-07-05T19:42:28"/>
    <s v="N"/>
    <m/>
    <m/>
    <s v="Expert Disbursement"/>
    <m/>
    <s v="N"/>
    <n v="0"/>
    <n v="-45.91"/>
    <x v="6"/>
    <s v="VALIDATED"/>
    <n v="1"/>
    <s v="01.11.80.308.2013.0000"/>
    <n v="-45.91"/>
    <s v="11"/>
    <s v="2013"/>
    <n v="25191.78"/>
    <n v="-45.91"/>
    <s v="CREDITOR"/>
    <n v="0"/>
    <n v="0"/>
    <n v="-45.91"/>
    <n v="0"/>
    <n v="0"/>
  </r>
  <r>
    <n v="9261231"/>
    <s v="N"/>
    <n v="21333720"/>
    <s v="3000005240270001RC"/>
    <s v="CIVIL"/>
    <d v="2023-06-26T00:00:00"/>
    <d v="2023-07-05T19:42:28"/>
    <m/>
    <d v="2023-07-05T00:00:00"/>
    <n v="183"/>
    <n v="7113"/>
    <s v="9261231"/>
    <s v="9261231"/>
    <m/>
    <m/>
    <m/>
    <m/>
    <m/>
    <m/>
    <s v="SOLRECOUP"/>
    <s v="SOLRECOUP"/>
    <s v="POARECOUP"/>
    <n v="21333720"/>
    <n v="-275.45"/>
    <m/>
    <s v="Y"/>
    <n v="1"/>
    <d v="2023-07-05T19:42:28"/>
    <s v="N"/>
    <m/>
    <m/>
    <s v="Expert Disbursement"/>
    <m/>
    <s v="N"/>
    <n v="-229.54"/>
    <n v="0"/>
    <x v="6"/>
    <s v="VALIDATED"/>
    <n v="1"/>
    <s v="01.11.80.308.2013.0000"/>
    <n v="-229.54"/>
    <s v="11"/>
    <s v="2013"/>
    <n v="25191.78"/>
    <n v="-229.54"/>
    <s v="CREDITOR"/>
    <n v="0"/>
    <n v="0"/>
    <n v="-229.54"/>
    <n v="0"/>
    <n v="0"/>
  </r>
  <r>
    <n v="9261231"/>
    <s v="N"/>
    <n v="21333721"/>
    <s v="3000005240270003RC"/>
    <s v="CIVIL"/>
    <d v="2023-06-26T00:00:00"/>
    <d v="2023-07-05T19:42:28"/>
    <m/>
    <d v="2023-07-05T00:00:00"/>
    <n v="183"/>
    <n v="7113"/>
    <s v="9261231"/>
    <s v="9261231"/>
    <m/>
    <m/>
    <m/>
    <m/>
    <m/>
    <m/>
    <s v="SOLRECOUP"/>
    <s v="SOLRECOUP"/>
    <s v="POARECOUP"/>
    <n v="21333721"/>
    <n v="-113.52"/>
    <m/>
    <s v="Y"/>
    <n v="2"/>
    <d v="2023-07-05T19:42:28"/>
    <s v="N"/>
    <m/>
    <m/>
    <s v="Expert Disbursement"/>
    <m/>
    <s v="N"/>
    <n v="0"/>
    <n v="-18.92"/>
    <x v="6"/>
    <s v="VALIDATED"/>
    <n v="1"/>
    <s v="01.11.80.308.2013.0000"/>
    <n v="-18.92"/>
    <s v="11"/>
    <s v="2013"/>
    <n v="25191.78"/>
    <n v="-18.92"/>
    <s v="CREDITOR"/>
    <n v="0"/>
    <n v="0"/>
    <n v="-18.92"/>
    <n v="0"/>
    <n v="0"/>
  </r>
  <r>
    <n v="9261231"/>
    <s v="N"/>
    <n v="21333721"/>
    <s v="3000005240270003RC"/>
    <s v="CIVIL"/>
    <d v="2023-06-26T00:00:00"/>
    <d v="2023-07-05T19:42:28"/>
    <m/>
    <d v="2023-07-05T00:00:00"/>
    <n v="183"/>
    <n v="7113"/>
    <s v="9261231"/>
    <s v="9261231"/>
    <m/>
    <m/>
    <m/>
    <m/>
    <m/>
    <m/>
    <s v="SOLRECOUP"/>
    <s v="SOLRECOUP"/>
    <s v="POARECOUP"/>
    <n v="21333721"/>
    <n v="-113.52"/>
    <m/>
    <s v="Y"/>
    <n v="1"/>
    <d v="2023-07-05T19:42:28"/>
    <s v="N"/>
    <m/>
    <m/>
    <s v="Expert Disbursement"/>
    <m/>
    <s v="N"/>
    <n v="-94.59999999999999"/>
    <n v="0"/>
    <x v="6"/>
    <s v="VALIDATED"/>
    <n v="1"/>
    <s v="01.11.80.308.2013.0000"/>
    <n v="-94.59999999999999"/>
    <s v="11"/>
    <s v="2013"/>
    <n v="25191.78"/>
    <n v="-94.59999999999999"/>
    <s v="CREDITOR"/>
    <n v="0"/>
    <n v="0"/>
    <n v="-94.59999999999999"/>
    <n v="0"/>
    <n v="0"/>
  </r>
  <r>
    <n v="59674107"/>
    <s v="N"/>
    <n v="21356270"/>
    <s v="3000014066380004RC"/>
    <s v="CIVIL"/>
    <d v="2023-06-29T00:00:00"/>
    <d v="2023-07-10T19:47:44"/>
    <m/>
    <d v="2023-07-10T00:00:00"/>
    <n v="183"/>
    <n v="7113"/>
    <s v="59674107"/>
    <s v="59674107"/>
    <m/>
    <m/>
    <m/>
    <m/>
    <m/>
    <m/>
    <s v="SOLRECOUP"/>
    <s v="SOLRECOUP"/>
    <s v="POARECOUP"/>
    <n v="21356270"/>
    <n v="-770.02"/>
    <m/>
    <s v="Y"/>
    <n v="1"/>
    <d v="2023-07-10T19:47:44"/>
    <s v="N"/>
    <m/>
    <m/>
    <s v="Expert Disbursement"/>
    <m/>
    <s v="N"/>
    <n v="-641.6799999999999"/>
    <n v="0"/>
    <x v="2"/>
    <s v="VALIDATED"/>
    <n v="1"/>
    <s v="01.11.80.308.2013.0000"/>
    <n v="-641.6799999999999"/>
    <s v="11"/>
    <s v="2013"/>
    <n v="25191.78"/>
    <n v="-641.6799999999999"/>
    <s v="CREDITOR"/>
    <n v="0"/>
    <n v="0"/>
    <n v="-641.6799999999999"/>
    <n v="0"/>
    <n v="0"/>
  </r>
  <r>
    <n v="59674107"/>
    <s v="N"/>
    <n v="21356270"/>
    <s v="3000014066380004RC"/>
    <s v="CIVIL"/>
    <d v="2023-06-29T00:00:00"/>
    <d v="2023-07-10T19:47:44"/>
    <m/>
    <d v="2023-07-10T00:00:00"/>
    <n v="183"/>
    <n v="7113"/>
    <s v="59674107"/>
    <s v="59674107"/>
    <m/>
    <m/>
    <m/>
    <m/>
    <m/>
    <m/>
    <s v="SOLRECOUP"/>
    <s v="SOLRECOUP"/>
    <s v="POARECOUP"/>
    <n v="21356270"/>
    <n v="-770.02"/>
    <m/>
    <s v="Y"/>
    <n v="2"/>
    <d v="2023-07-10T19:47:44"/>
    <s v="N"/>
    <m/>
    <m/>
    <s v="Expert Disbursement"/>
    <m/>
    <s v="N"/>
    <n v="0"/>
    <n v="-128.34"/>
    <x v="2"/>
    <s v="VALIDATED"/>
    <n v="1"/>
    <s v="01.11.80.308.2013.0000"/>
    <n v="-128.34"/>
    <s v="11"/>
    <s v="2013"/>
    <n v="25191.78"/>
    <n v="-128.34"/>
    <s v="CREDITOR"/>
    <n v="0"/>
    <n v="0"/>
    <n v="-128.34"/>
    <n v="0"/>
    <n v="0"/>
  </r>
  <r>
    <n v="59674107"/>
    <s v="N"/>
    <n v="21356271"/>
    <s v="3000014066380005RC"/>
    <s v="CIVIL"/>
    <d v="2023-06-29T00:00:00"/>
    <d v="2023-07-10T19:47:44"/>
    <m/>
    <d v="2023-07-10T00:00:00"/>
    <n v="183"/>
    <n v="7113"/>
    <s v="59674107"/>
    <s v="59674107"/>
    <m/>
    <m/>
    <m/>
    <m/>
    <m/>
    <m/>
    <s v="SOLRECOUP"/>
    <s v="SOLRECOUP"/>
    <s v="POARECOUP"/>
    <n v="21356271"/>
    <n v="-897.12"/>
    <m/>
    <s v="Y"/>
    <n v="1"/>
    <d v="2023-07-10T19:47:44"/>
    <s v="N"/>
    <m/>
    <m/>
    <s v="Expert Disbursement"/>
    <m/>
    <s v="N"/>
    <n v="-747.6"/>
    <n v="0"/>
    <x v="2"/>
    <s v="VALIDATED"/>
    <n v="1"/>
    <s v="01.11.80.308.2013.0000"/>
    <n v="-747.6"/>
    <s v="11"/>
    <s v="2013"/>
    <n v="25191.78"/>
    <n v="-747.6"/>
    <s v="CREDITOR"/>
    <n v="0"/>
    <n v="0"/>
    <n v="-747.6"/>
    <n v="0"/>
    <n v="0"/>
  </r>
  <r>
    <n v="59674107"/>
    <s v="N"/>
    <n v="21356271"/>
    <s v="3000014066380005RC"/>
    <s v="CIVIL"/>
    <d v="2023-06-29T00:00:00"/>
    <d v="2023-07-10T19:47:44"/>
    <m/>
    <d v="2023-07-10T00:00:00"/>
    <n v="183"/>
    <n v="7113"/>
    <s v="59674107"/>
    <s v="59674107"/>
    <m/>
    <m/>
    <m/>
    <m/>
    <m/>
    <m/>
    <s v="SOLRECOUP"/>
    <s v="SOLRECOUP"/>
    <s v="POARECOUP"/>
    <n v="21356271"/>
    <n v="-897.12"/>
    <m/>
    <s v="Y"/>
    <n v="2"/>
    <d v="2023-07-10T19:47:44"/>
    <s v="N"/>
    <m/>
    <m/>
    <s v="Expert Disbursement"/>
    <m/>
    <s v="N"/>
    <n v="0"/>
    <n v="-149.52"/>
    <x v="2"/>
    <s v="VALIDATED"/>
    <n v="1"/>
    <s v="01.11.80.308.2013.0000"/>
    <n v="-149.52"/>
    <s v="11"/>
    <s v="2013"/>
    <n v="25191.78"/>
    <n v="-149.52"/>
    <s v="CREDITOR"/>
    <n v="0"/>
    <n v="0"/>
    <n v="-149.52"/>
    <n v="0"/>
    <n v="0"/>
  </r>
  <r>
    <n v="59674107"/>
    <s v="N"/>
    <n v="21356272"/>
    <s v="3000014066380006RC"/>
    <s v="CIVIL"/>
    <d v="2023-06-29T00:00:00"/>
    <d v="2023-07-10T19:47:44"/>
    <m/>
    <d v="2023-07-10T00:00:00"/>
    <n v="183"/>
    <n v="7113"/>
    <s v="59674107"/>
    <s v="59674107"/>
    <m/>
    <m/>
    <m/>
    <m/>
    <m/>
    <m/>
    <s v="SOLRECOUP"/>
    <s v="SOLRECOUP"/>
    <s v="POARECOUP"/>
    <n v="21356272"/>
    <n v="-630"/>
    <m/>
    <s v="Y"/>
    <n v="1"/>
    <d v="2023-07-10T19:47:44"/>
    <s v="N"/>
    <m/>
    <m/>
    <s v="Expert Disbursement"/>
    <m/>
    <s v="N"/>
    <n v="-525"/>
    <n v="0"/>
    <x v="2"/>
    <s v="VALIDATED"/>
    <n v="1"/>
    <s v="01.11.80.308.2013.0000"/>
    <n v="-525"/>
    <s v="11"/>
    <s v="2013"/>
    <n v="25191.78"/>
    <n v="-525"/>
    <s v="CREDITOR"/>
    <n v="0"/>
    <n v="0"/>
    <n v="-525"/>
    <n v="0"/>
    <n v="0"/>
  </r>
  <r>
    <n v="59674107"/>
    <s v="N"/>
    <n v="21356272"/>
    <s v="3000014066380006RC"/>
    <s v="CIVIL"/>
    <d v="2023-06-29T00:00:00"/>
    <d v="2023-07-10T19:47:44"/>
    <m/>
    <d v="2023-07-10T00:00:00"/>
    <n v="183"/>
    <n v="7113"/>
    <s v="59674107"/>
    <s v="59674107"/>
    <m/>
    <m/>
    <m/>
    <m/>
    <m/>
    <m/>
    <s v="SOLRECOUP"/>
    <s v="SOLRECOUP"/>
    <s v="POARECOUP"/>
    <n v="21356272"/>
    <n v="-630"/>
    <m/>
    <s v="Y"/>
    <n v="2"/>
    <d v="2023-07-10T19:47:44"/>
    <s v="N"/>
    <m/>
    <m/>
    <s v="Expert Disbursement"/>
    <m/>
    <s v="N"/>
    <n v="0"/>
    <n v="-105"/>
    <x v="2"/>
    <s v="VALIDATED"/>
    <n v="1"/>
    <s v="01.11.80.308.2013.0000"/>
    <n v="-105"/>
    <s v="11"/>
    <s v="2013"/>
    <n v="25191.78"/>
    <n v="-105"/>
    <s v="CREDITOR"/>
    <n v="0"/>
    <n v="0"/>
    <n v="-105"/>
    <n v="0"/>
    <n v="0"/>
  </r>
  <r>
    <n v="60575760"/>
    <s v="N"/>
    <n v="21356273"/>
    <s v="3000014840730003RC"/>
    <s v="CIVIL"/>
    <d v="2023-06-29T00:00:00"/>
    <d v="2023-07-10T19:47:44"/>
    <m/>
    <d v="2023-07-10T00:00:00"/>
    <n v="183"/>
    <n v="7113"/>
    <s v="60575760"/>
    <s v="60575760"/>
    <m/>
    <m/>
    <m/>
    <m/>
    <m/>
    <m/>
    <s v="SOLRECOUP"/>
    <s v="SOLRECOUP"/>
    <s v="POARECOUP"/>
    <n v="21356273"/>
    <n v="-486"/>
    <m/>
    <s v="Y"/>
    <n v="2"/>
    <d v="2023-07-10T19:47:44"/>
    <s v="N"/>
    <m/>
    <m/>
    <s v="Expert Disbursement"/>
    <m/>
    <s v="N"/>
    <n v="0"/>
    <n v="-81"/>
    <x v="2"/>
    <s v="VALIDATED"/>
    <n v="1"/>
    <s v="01.11.80.308.2013.0000"/>
    <n v="-81"/>
    <s v="11"/>
    <s v="2013"/>
    <n v="25191.78"/>
    <n v="-81"/>
    <s v="CREDITOR"/>
    <n v="0"/>
    <n v="0"/>
    <n v="-81"/>
    <n v="0"/>
    <n v="0"/>
  </r>
  <r>
    <n v="60575760"/>
    <s v="N"/>
    <n v="21356273"/>
    <s v="3000014840730003RC"/>
    <s v="CIVIL"/>
    <d v="2023-06-29T00:00:00"/>
    <d v="2023-07-10T19:47:44"/>
    <m/>
    <d v="2023-07-10T00:00:00"/>
    <n v="183"/>
    <n v="7113"/>
    <s v="60575760"/>
    <s v="60575760"/>
    <m/>
    <m/>
    <m/>
    <m/>
    <m/>
    <m/>
    <s v="SOLRECOUP"/>
    <s v="SOLRECOUP"/>
    <s v="POARECOUP"/>
    <n v="21356273"/>
    <n v="-486"/>
    <m/>
    <s v="Y"/>
    <n v="1"/>
    <d v="2023-07-10T19:47:44"/>
    <s v="N"/>
    <m/>
    <m/>
    <s v="Expert Disbursement"/>
    <m/>
    <s v="N"/>
    <n v="-405"/>
    <n v="0"/>
    <x v="2"/>
    <s v="VALIDATED"/>
    <n v="1"/>
    <s v="01.11.80.308.2013.0000"/>
    <n v="-405"/>
    <s v="11"/>
    <s v="2013"/>
    <n v="25191.78"/>
    <n v="-405"/>
    <s v="CREDITOR"/>
    <n v="0"/>
    <n v="0"/>
    <n v="-405"/>
    <n v="0"/>
    <n v="0"/>
  </r>
  <r>
    <n v="60575760"/>
    <s v="N"/>
    <n v="21356274"/>
    <s v="3000014840730004RC"/>
    <s v="CIVIL"/>
    <d v="2023-06-29T00:00:00"/>
    <d v="2023-07-10T19:47:44"/>
    <m/>
    <d v="2023-07-10T00:00:00"/>
    <n v="183"/>
    <n v="7113"/>
    <s v="60575760"/>
    <s v="60575760"/>
    <m/>
    <m/>
    <m/>
    <m/>
    <m/>
    <m/>
    <s v="SOLRECOUP"/>
    <s v="SOLRECOUP"/>
    <s v="POARECOUP"/>
    <n v="21356274"/>
    <n v="-99"/>
    <m/>
    <s v="Y"/>
    <n v="2"/>
    <d v="2023-07-10T19:47:44"/>
    <s v="N"/>
    <m/>
    <m/>
    <s v="Expert Disbursement"/>
    <m/>
    <s v="N"/>
    <n v="0"/>
    <n v="-16.5"/>
    <x v="2"/>
    <s v="VALIDATED"/>
    <n v="1"/>
    <s v="01.11.80.308.2013.0000"/>
    <n v="-16.5"/>
    <s v="11"/>
    <s v="2013"/>
    <n v="25191.78"/>
    <n v="-16.5"/>
    <s v="CREDITOR"/>
    <n v="0"/>
    <n v="0"/>
    <n v="-16.5"/>
    <n v="0"/>
    <n v="0"/>
  </r>
  <r>
    <n v="60575760"/>
    <s v="N"/>
    <n v="21356274"/>
    <s v="3000014840730004RC"/>
    <s v="CIVIL"/>
    <d v="2023-06-29T00:00:00"/>
    <d v="2023-07-10T19:47:44"/>
    <m/>
    <d v="2023-07-10T00:00:00"/>
    <n v="183"/>
    <n v="7113"/>
    <s v="60575760"/>
    <s v="60575760"/>
    <m/>
    <m/>
    <m/>
    <m/>
    <m/>
    <m/>
    <s v="SOLRECOUP"/>
    <s v="SOLRECOUP"/>
    <s v="POARECOUP"/>
    <n v="21356274"/>
    <n v="-99"/>
    <m/>
    <s v="Y"/>
    <n v="1"/>
    <d v="2023-07-10T19:47:44"/>
    <s v="N"/>
    <m/>
    <m/>
    <s v="Expert Disbursement"/>
    <m/>
    <s v="N"/>
    <n v="-82.5"/>
    <n v="0"/>
    <x v="2"/>
    <s v="VALIDATED"/>
    <n v="1"/>
    <s v="01.11.80.308.2013.0000"/>
    <n v="-82.5"/>
    <s v="11"/>
    <s v="2013"/>
    <n v="25191.78"/>
    <n v="-82.5"/>
    <s v="CREDITOR"/>
    <n v="0"/>
    <n v="0"/>
    <n v="-82.5"/>
    <n v="0"/>
    <n v="0"/>
  </r>
  <r>
    <n v="11525164"/>
    <s v="N"/>
    <n v="21319137"/>
    <s v="3000006951050003"/>
    <s v="CIVIL"/>
    <d v="2023-06-22T00:00:00"/>
    <d v="2023-07-03T19:01:49"/>
    <m/>
    <d v="2023-07-03T00:00:00"/>
    <n v="183"/>
    <n v="7113"/>
    <s v="11525164"/>
    <s v="11525164"/>
    <m/>
    <m/>
    <n v="22745680"/>
    <m/>
    <m/>
    <m/>
    <s v="SOLFIN"/>
    <s v="SOLFIN"/>
    <s v="CCMS"/>
    <n v="21319137"/>
    <n v="7073.87"/>
    <m/>
    <s v="N"/>
    <n v="4"/>
    <d v="2023-07-03T19:02:12"/>
    <s v="Y"/>
    <s v="Psychiatrist"/>
    <s v="Public Law Children"/>
    <s v="Expert Disbursement"/>
    <s v="Dr Stein"/>
    <s v="Y"/>
    <n v="102.4"/>
    <n v="0"/>
    <x v="3"/>
    <s v="VALIDATED"/>
    <n v="1"/>
    <s v="01.11.80.308.6300.0000"/>
    <n v="102.4"/>
    <s v="11"/>
    <s v="6300"/>
    <n v="25191.78"/>
    <n v="102.4"/>
    <s v="CREDITOR"/>
    <n v="0"/>
    <n v="0"/>
    <n v="0"/>
    <n v="0"/>
    <n v="102.4"/>
  </r>
  <r>
    <n v="11525164"/>
    <s v="N"/>
    <n v="21319137"/>
    <s v="3000006951050003"/>
    <s v="CIVIL"/>
    <d v="2023-06-22T00:00:00"/>
    <d v="2023-07-03T19:01:49"/>
    <m/>
    <d v="2023-07-03T00:00:00"/>
    <n v="183"/>
    <n v="7113"/>
    <s v="11525164"/>
    <s v="11525164"/>
    <m/>
    <m/>
    <n v="22745680"/>
    <m/>
    <m/>
    <m/>
    <s v="SOLFIN"/>
    <s v="SOLFIN"/>
    <s v="CCMS"/>
    <n v="21319137"/>
    <n v="7073.87"/>
    <m/>
    <s v="N"/>
    <n v="11"/>
    <d v="2023-07-03T19:02:12"/>
    <s v="Y"/>
    <s v="Advocates Meeting"/>
    <s v="Public Law Children"/>
    <s v="Advocacy"/>
    <s v="Philip Wilkins"/>
    <s v="Y"/>
    <n v="140.99"/>
    <n v="28.2"/>
    <x v="3"/>
    <s v="VALIDATED"/>
    <n v="1"/>
    <s v="01.11.80.308.6100.0000"/>
    <n v="140.99"/>
    <s v="11"/>
    <s v="6100"/>
    <n v="25191.78"/>
    <n v="140.99"/>
    <s v="CREDITOR"/>
    <n v="0"/>
    <n v="0"/>
    <n v="0"/>
    <n v="0"/>
    <n v="140.99"/>
  </r>
  <r>
    <n v="11099426"/>
    <s v="N"/>
    <n v="21330696"/>
    <s v="3000006772850014"/>
    <s v="CIVIL"/>
    <d v="2023-06-26T00:00:00"/>
    <d v="2023-07-05T19:01:47"/>
    <m/>
    <d v="2023-07-05T00:00:00"/>
    <n v="183"/>
    <n v="7113"/>
    <s v="11099426"/>
    <s v="11099426"/>
    <m/>
    <m/>
    <n v="22760586"/>
    <m/>
    <m/>
    <m/>
    <s v="SOLFIN"/>
    <s v="SOLFIN"/>
    <s v="CCMS"/>
    <n v="21330696"/>
    <n v="4200.24"/>
    <m/>
    <s v="N"/>
    <n v="2"/>
    <d v="2023-07-05T19:01:53"/>
    <s v="Y"/>
    <s v="Toxicologist"/>
    <s v="Public Law Children"/>
    <s v="Expert Disbursement"/>
    <s v="AlphaBiolabs"/>
    <s v="Y"/>
    <n v="118.4"/>
    <n v="23.68"/>
    <x v="6"/>
    <s v="VALIDATED"/>
    <n v="1"/>
    <s v="01.11.80.308.6300.0000"/>
    <n v="118.4"/>
    <s v="11"/>
    <s v="6300"/>
    <n v="25191.78"/>
    <n v="118.4"/>
    <s v="CREDITOR"/>
    <n v="0"/>
    <n v="0"/>
    <n v="0"/>
    <n v="0"/>
    <n v="118.4"/>
  </r>
  <r>
    <n v="40954654"/>
    <s v="N"/>
    <n v="21327836"/>
    <s v="3000010939120005"/>
    <s v="CIVIL"/>
    <d v="2023-06-22T00:00:00"/>
    <d v="2023-07-04T19:00:44"/>
    <m/>
    <d v="2023-07-04T00:00:00"/>
    <n v="183"/>
    <n v="7113"/>
    <s v="40954654"/>
    <s v="40954654"/>
    <m/>
    <m/>
    <n v="22746118"/>
    <m/>
    <m/>
    <m/>
    <s v="SOLFIN"/>
    <s v="SOLFIN"/>
    <s v="CCMS"/>
    <n v="21327836"/>
    <n v="6795.68"/>
    <m/>
    <s v="N"/>
    <n v="2"/>
    <d v="2023-07-04T19:00:56"/>
    <s v="Y"/>
    <s v="Child psychologist"/>
    <s v="Public Law Children"/>
    <s v="Expert Disbursement"/>
    <s v="Dr Conning"/>
    <s v="Y"/>
    <n v="221.78"/>
    <n v="44.36"/>
    <x v="1"/>
    <s v="VALIDATED"/>
    <n v="1"/>
    <s v="01.11.80.308.6300.0000"/>
    <n v="221.78"/>
    <s v="11"/>
    <s v="6300"/>
    <n v="25191.78"/>
    <n v="221.78"/>
    <s v="CREDITOR"/>
    <n v="0"/>
    <n v="0"/>
    <n v="0"/>
    <n v="0"/>
    <n v="221.78"/>
  </r>
  <r>
    <n v="11534132"/>
    <s v="N"/>
    <n v="21343997"/>
    <s v="3000006913160024"/>
    <s v="CIVIL"/>
    <d v="2023-06-27T00:00:00"/>
    <d v="2023-07-07T19:03:00"/>
    <m/>
    <d v="2023-07-07T00:00:00"/>
    <n v="183"/>
    <n v="7113"/>
    <s v="11534132"/>
    <s v="11534132"/>
    <m/>
    <m/>
    <n v="22772570"/>
    <m/>
    <m/>
    <m/>
    <s v="SOLFIN"/>
    <s v="SOLFIN"/>
    <s v="CCMS"/>
    <n v="21343997"/>
    <n v="2900.83"/>
    <m/>
    <s v="N"/>
    <n v="4"/>
    <d v="2023-07-07T19:03:20"/>
    <s v="Y"/>
    <s v="Interpreter"/>
    <s v="Private Law Children"/>
    <s v="Expert Disbursement"/>
    <s v="Lexicon Linguistics"/>
    <s v="Y"/>
    <n v="79.90000000000001"/>
    <n v="15.98"/>
    <x v="9"/>
    <s v="VALIDATED"/>
    <n v="1"/>
    <s v="01.11.80.302.6300.0000"/>
    <n v="79.90000000000001"/>
    <s v="11"/>
    <s v="6300"/>
    <n v="25191.78"/>
    <n v="79.90000000000001"/>
    <s v="CREDITOR"/>
    <n v="0"/>
    <n v="0"/>
    <n v="0"/>
    <n v="0"/>
    <n v="79.90000000000001"/>
  </r>
  <r>
    <n v="11534132"/>
    <s v="N"/>
    <n v="21343997"/>
    <s v="3000006913160024"/>
    <s v="CIVIL"/>
    <d v="2023-06-27T00:00:00"/>
    <d v="2023-07-07T19:03:00"/>
    <m/>
    <d v="2023-07-07T00:00:00"/>
    <n v="183"/>
    <n v="7113"/>
    <s v="11534132"/>
    <s v="11534132"/>
    <m/>
    <m/>
    <n v="22772570"/>
    <m/>
    <m/>
    <m/>
    <s v="SOLFIN"/>
    <s v="SOLFIN"/>
    <s v="CCMS"/>
    <n v="21343997"/>
    <n v="2900.83"/>
    <m/>
    <s v="N"/>
    <n v="10"/>
    <d v="2023-07-07T19:03:20"/>
    <s v="Y"/>
    <s v="Other"/>
    <s v="Private Law Children"/>
    <s v="Non Expert Disbursement"/>
    <s v="BT Conferencing"/>
    <s v="Y"/>
    <n v="8.710000000000001"/>
    <n v="1.74"/>
    <x v="9"/>
    <s v="VALIDATED"/>
    <n v="1"/>
    <s v="01.11.80.302.6300.0000"/>
    <n v="8.710000000000001"/>
    <s v="11"/>
    <s v="6300"/>
    <n v="25191.78"/>
    <n v="8.710000000000001"/>
    <s v="CREDITOR"/>
    <n v="0"/>
    <n v="0"/>
    <n v="0"/>
    <n v="0"/>
    <n v="8.710000000000001"/>
  </r>
  <r>
    <n v="9261231"/>
    <s v="N"/>
    <n v="21330518"/>
    <s v="3000005240270016"/>
    <s v="CIVIL"/>
    <d v="2023-06-26T00:00:00"/>
    <d v="2023-07-05T19:01:47"/>
    <m/>
    <d v="2023-07-05T00:00:00"/>
    <n v="183"/>
    <n v="7113"/>
    <s v="9261231"/>
    <s v="9261231"/>
    <m/>
    <m/>
    <n v="22759414"/>
    <m/>
    <m/>
    <m/>
    <s v="SOLFIN"/>
    <s v="SOLFIN"/>
    <s v="CCMS"/>
    <n v="21330518"/>
    <n v="5805.07"/>
    <m/>
    <s v="N"/>
    <n v="9"/>
    <d v="2023-07-05T19:01:50"/>
    <s v="Y"/>
    <s v="Toxicologist"/>
    <s v="Public Law Children"/>
    <s v="Expert Disbursement"/>
    <s v="Lextox"/>
    <s v="Y"/>
    <n v="168"/>
    <n v="33.6"/>
    <x v="6"/>
    <s v="VALIDATED"/>
    <n v="1"/>
    <s v="01.11.80.308.6300.0000"/>
    <n v="168"/>
    <s v="11"/>
    <s v="6300"/>
    <n v="25191.78"/>
    <n v="168"/>
    <s v="CREDITOR"/>
    <n v="0"/>
    <n v="0"/>
    <n v="0"/>
    <n v="0"/>
    <n v="168"/>
  </r>
  <r>
    <n v="10157025"/>
    <s v="N"/>
    <n v="21411715"/>
    <s v="3000005977070008"/>
    <s v="CIVIL"/>
    <d v="2023-06-07T00:00:00"/>
    <d v="2023-07-21T19:03:21"/>
    <m/>
    <d v="2023-07-21T00:00:00"/>
    <n v="183"/>
    <n v="7113"/>
    <s v="10157025"/>
    <s v="10157025"/>
    <m/>
    <m/>
    <n v="22642152"/>
    <m/>
    <m/>
    <m/>
    <s v="SOLFIN"/>
    <s v="SOLFIN"/>
    <s v="CCMS"/>
    <n v="21411715"/>
    <n v="3697.45"/>
    <m/>
    <s v="N"/>
    <n v="35"/>
    <d v="2023-07-21T19:03:34"/>
    <s v="Y"/>
    <s v="Attendance upon client"/>
    <s v="Prescribed Hourly Rates"/>
    <s v="Profit Cost"/>
    <s v="Angela Simpson"/>
    <s v="Y"/>
    <n v="88.8"/>
    <n v="17.76"/>
    <x v="12"/>
    <s v="VALIDATED"/>
    <n v="1"/>
    <s v="01.11.80.303.6100.0000"/>
    <n v="88.8"/>
    <s v="11"/>
    <s v="6100"/>
    <n v="25191.78"/>
    <n v="88.8"/>
    <s v="CREDITOR"/>
    <n v="0"/>
    <n v="0"/>
    <n v="0"/>
    <n v="0"/>
    <n v="88.8"/>
  </r>
  <r>
    <n v="11534132"/>
    <s v="N"/>
    <n v="21343997"/>
    <s v="3000006913160024"/>
    <s v="CIVIL"/>
    <d v="2023-06-27T00:00:00"/>
    <d v="2023-07-07T19:03:00"/>
    <m/>
    <d v="2023-07-07T00:00:00"/>
    <n v="183"/>
    <n v="7113"/>
    <s v="11534132"/>
    <s v="11534132"/>
    <m/>
    <m/>
    <n v="22772570"/>
    <m/>
    <m/>
    <m/>
    <s v="SOLFIN"/>
    <s v="SOLFIN"/>
    <s v="CCMS"/>
    <n v="21343997"/>
    <n v="2900.83"/>
    <m/>
    <s v="N"/>
    <n v="14"/>
    <d v="2023-07-07T19:03:20"/>
    <s v="Y"/>
    <s v="Interpreter"/>
    <s v="Private Law Children"/>
    <s v="Expert Disbursement"/>
    <s v="Lexicon Linguistics"/>
    <s v="Y"/>
    <n v="29"/>
    <n v="5.8"/>
    <x v="9"/>
    <s v="VALIDATED"/>
    <n v="1"/>
    <s v="01.11.80.302.6300.0000"/>
    <n v="29"/>
    <s v="11"/>
    <s v="6300"/>
    <n v="25191.78"/>
    <n v="29"/>
    <s v="CREDITOR"/>
    <n v="0"/>
    <n v="0"/>
    <n v="0"/>
    <n v="0"/>
    <n v="29"/>
  </r>
  <r>
    <n v="11534132"/>
    <s v="N"/>
    <n v="21343997"/>
    <s v="3000006913160024"/>
    <s v="CIVIL"/>
    <d v="2023-06-27T00:00:00"/>
    <d v="2023-07-07T19:03:00"/>
    <m/>
    <d v="2023-07-07T00:00:00"/>
    <n v="183"/>
    <n v="7113"/>
    <s v="11534132"/>
    <s v="11534132"/>
    <m/>
    <m/>
    <n v="22772570"/>
    <m/>
    <m/>
    <m/>
    <s v="SOLFIN"/>
    <s v="SOLFIN"/>
    <s v="CCMS"/>
    <n v="21343997"/>
    <n v="2900.83"/>
    <m/>
    <s v="N"/>
    <n v="3"/>
    <d v="2023-07-07T19:03:20"/>
    <s v="Y"/>
    <s v="Police Records"/>
    <s v="Private Law Children"/>
    <s v="Non Expert Disbursement"/>
    <s v="Metropolitan Police"/>
    <s v="Y"/>
    <n v="124.71"/>
    <n v="0"/>
    <x v="9"/>
    <s v="VALIDATED"/>
    <n v="1"/>
    <s v="01.11.80.302.6300.0000"/>
    <n v="124.71"/>
    <s v="11"/>
    <s v="6300"/>
    <n v="25191.78"/>
    <n v="124.71"/>
    <s v="CREDITOR"/>
    <n v="0"/>
    <n v="0"/>
    <n v="0"/>
    <n v="0"/>
    <n v="124.71"/>
  </r>
  <r>
    <n v="59674107"/>
    <s v="N"/>
    <n v="21349421"/>
    <s v="3000014066380008"/>
    <s v="CIVIL"/>
    <d v="2023-06-29T00:00:00"/>
    <d v="2023-07-10T19:01:40"/>
    <m/>
    <d v="2023-07-10T00:00:00"/>
    <n v="183"/>
    <n v="7113"/>
    <s v="59674107"/>
    <s v="59674107"/>
    <m/>
    <m/>
    <n v="22789610"/>
    <m/>
    <m/>
    <m/>
    <s v="SOLFIN"/>
    <s v="SOLFIN"/>
    <s v="CCMS"/>
    <n v="21349421"/>
    <n v="8443.67"/>
    <m/>
    <s v="N"/>
    <n v="4"/>
    <d v="2023-07-10T19:01:49"/>
    <s v="Y"/>
    <s v="Psychologist"/>
    <s v="Public Law Children"/>
    <s v="Expert Disbursement"/>
    <s v="The Cambridge London Group"/>
    <s v="Y"/>
    <n v="628.28"/>
    <n v="125.66"/>
    <x v="2"/>
    <s v="VALIDATED"/>
    <n v="1"/>
    <s v="01.11.80.308.6300.0000"/>
    <n v="628.28"/>
    <s v="11"/>
    <s v="6300"/>
    <n v="25191.78"/>
    <n v="628.28"/>
    <s v="CREDITOR"/>
    <n v="0"/>
    <n v="0"/>
    <n v="0"/>
    <n v="0"/>
    <n v="628.28"/>
  </r>
  <r>
    <n v="16097755"/>
    <s v="N"/>
    <n v="21319133"/>
    <s v="3000007729580001"/>
    <s v="CIVIL"/>
    <d v="2023-06-22T00:00:00"/>
    <d v="2023-07-03T19:01:49"/>
    <m/>
    <d v="2023-07-03T00:00:00"/>
    <n v="183"/>
    <n v="7113"/>
    <s v="16097755"/>
    <s v="16097755"/>
    <m/>
    <m/>
    <n v="22745752"/>
    <m/>
    <m/>
    <m/>
    <s v="SOLFIN"/>
    <s v="SOLFIN"/>
    <s v="CCMS"/>
    <n v="21319133"/>
    <n v="0"/>
    <m/>
    <s v="N"/>
    <n v="1"/>
    <d v="2023-07-03T19:02:12"/>
    <s v="N"/>
    <s v="NIL BILL"/>
    <s v="Public Law Children"/>
    <s v="Profit Cost"/>
    <s v="Philip Wilkins"/>
    <s v="N"/>
    <n v="0"/>
    <n v="0"/>
    <x v="3"/>
    <s v="VALIDATED"/>
    <n v="1"/>
    <s v="01.11.80.308.6100.0000"/>
    <n v="0"/>
    <s v="11"/>
    <s v="6100"/>
    <n v="25191.78"/>
    <n v="0"/>
    <s v="CREDITOR"/>
    <n v="0"/>
    <n v="0"/>
    <n v="0"/>
    <n v="0"/>
    <n v="0"/>
  </r>
  <r>
    <n v="10157025"/>
    <s v="N"/>
    <n v="21411715"/>
    <s v="3000005977070008"/>
    <s v="CIVIL"/>
    <d v="2023-06-07T00:00:00"/>
    <d v="2023-07-21T19:03:21"/>
    <m/>
    <d v="2023-07-21T00:00:00"/>
    <n v="183"/>
    <n v="7113"/>
    <s v="10157025"/>
    <s v="10157025"/>
    <m/>
    <m/>
    <n v="22642152"/>
    <m/>
    <m/>
    <m/>
    <s v="SOLFIN"/>
    <s v="SOLFIN"/>
    <s v="CCMS"/>
    <n v="21411715"/>
    <n v="3697.45"/>
    <m/>
    <s v="N"/>
    <n v="31"/>
    <d v="2023-07-21T19:03:34"/>
    <s v="Y"/>
    <s v="Attendance upon client"/>
    <s v="Prescribed Hourly Rates"/>
    <s v="Profit Cost"/>
    <s v="Angela Simpson"/>
    <s v="Y"/>
    <n v="54.65"/>
    <n v="10.93"/>
    <x v="12"/>
    <s v="VALIDATED"/>
    <n v="1"/>
    <s v="01.11.80.303.6100.0000"/>
    <n v="54.65"/>
    <s v="11"/>
    <s v="6100"/>
    <n v="25191.78"/>
    <n v="54.65"/>
    <s v="CREDITOR"/>
    <n v="0"/>
    <n v="0"/>
    <n v="0"/>
    <n v="0"/>
    <n v="54.65"/>
  </r>
  <r>
    <n v="60575760"/>
    <s v="N"/>
    <n v="21349436"/>
    <s v="3000014840730007"/>
    <s v="CIVIL"/>
    <d v="2023-06-29T00:00:00"/>
    <d v="2023-07-10T19:01:40"/>
    <m/>
    <d v="2023-07-10T00:00:00"/>
    <n v="183"/>
    <n v="7113"/>
    <s v="60575760"/>
    <s v="60575760"/>
    <m/>
    <m/>
    <n v="22787198"/>
    <m/>
    <m/>
    <m/>
    <s v="SOLFIN"/>
    <s v="SOLFIN"/>
    <s v="CCMS"/>
    <n v="21349436"/>
    <n v="6646.81"/>
    <m/>
    <s v="N"/>
    <n v="1"/>
    <d v="2023-07-10T19:01:50"/>
    <s v="Y"/>
    <s v="Interim Hearing Court Bundle/Advoca"/>
    <s v="Public Law Children"/>
    <s v="Advocacy"/>
    <s v="Philip Wilkins"/>
    <s v="Y"/>
    <n v="59.4"/>
    <n v="11.88"/>
    <x v="2"/>
    <s v="VALIDATED"/>
    <n v="1"/>
    <s v="01.11.80.308.6100.0000"/>
    <n v="59.4"/>
    <s v="11"/>
    <s v="6100"/>
    <n v="25191.78"/>
    <n v="59.4"/>
    <s v="CREDITOR"/>
    <n v="0"/>
    <n v="0"/>
    <n v="0"/>
    <n v="0"/>
    <n v="59.4"/>
  </r>
  <r>
    <n v="60575760"/>
    <s v="N"/>
    <n v="21349436"/>
    <s v="3000014840730007"/>
    <s v="CIVIL"/>
    <d v="2023-06-29T00:00:00"/>
    <d v="2023-07-10T19:01:40"/>
    <m/>
    <d v="2023-07-10T00:00:00"/>
    <n v="183"/>
    <n v="7113"/>
    <s v="60575760"/>
    <s v="60575760"/>
    <m/>
    <m/>
    <n v="22787198"/>
    <m/>
    <m/>
    <m/>
    <s v="SOLFIN"/>
    <s v="SOLFIN"/>
    <s v="CCMS"/>
    <n v="21349436"/>
    <n v="6646.81"/>
    <m/>
    <s v="N"/>
    <n v="4"/>
    <d v="2023-07-10T19:01:50"/>
    <s v="Y"/>
    <s v="Toxicologist"/>
    <s v="Public Law Children"/>
    <s v="Expert Disbursement"/>
    <s v="Lextox"/>
    <s v="Y"/>
    <n v="82.5"/>
    <n v="16.5"/>
    <x v="2"/>
    <s v="VALIDATED"/>
    <n v="1"/>
    <s v="01.11.80.308.6300.0000"/>
    <n v="82.5"/>
    <s v="11"/>
    <s v="6300"/>
    <n v="25191.78"/>
    <n v="82.5"/>
    <s v="CREDITOR"/>
    <n v="0"/>
    <n v="0"/>
    <n v="0"/>
    <n v="0"/>
    <n v="82.5"/>
  </r>
  <r>
    <n v="59548439"/>
    <s v="N"/>
    <n v="21344108"/>
    <s v="3000013957510002"/>
    <s v="CIVIL"/>
    <d v="2023-06-29T00:00:00"/>
    <d v="2023-07-07T19:03:00"/>
    <m/>
    <d v="2023-07-07T00:00:00"/>
    <n v="183"/>
    <n v="7113"/>
    <s v="59548439"/>
    <s v="59548439"/>
    <m/>
    <m/>
    <n v="22788540"/>
    <m/>
    <m/>
    <m/>
    <s v="SOLFIN"/>
    <s v="SOLFIN"/>
    <s v="CCMS"/>
    <n v="21344108"/>
    <n v="5112.34"/>
    <m/>
    <s v="N"/>
    <n v="4"/>
    <d v="2023-07-07T19:03:23"/>
    <s v="Y"/>
    <s v="Hearing Unit 2.31 - 5.00 Hours"/>
    <s v="Public Law Children"/>
    <s v="Advocacy"/>
    <s v="Philip Wilkins"/>
    <s v="Y"/>
    <n v="476.92"/>
    <n v="95.38"/>
    <x v="9"/>
    <s v="VALIDATED"/>
    <n v="1"/>
    <s v="01.11.80.308.6100.0000"/>
    <n v="476.92"/>
    <s v="11"/>
    <s v="6100"/>
    <n v="25191.78"/>
    <n v="476.92"/>
    <s v="CREDITOR"/>
    <n v="0"/>
    <n v="0"/>
    <n v="0"/>
    <n v="0"/>
    <n v="476.92"/>
  </r>
  <r>
    <n v="10157025"/>
    <s v="N"/>
    <n v="21411715"/>
    <s v="3000005977070008"/>
    <s v="CIVIL"/>
    <d v="2023-06-07T00:00:00"/>
    <d v="2023-07-21T19:03:21"/>
    <m/>
    <d v="2023-07-21T00:00:00"/>
    <n v="183"/>
    <n v="7113"/>
    <s v="10157025"/>
    <s v="10157025"/>
    <m/>
    <m/>
    <n v="22642152"/>
    <m/>
    <m/>
    <m/>
    <s v="SOLFIN"/>
    <s v="SOLFIN"/>
    <s v="CCMS"/>
    <n v="21411715"/>
    <n v="3697.45"/>
    <m/>
    <s v="N"/>
    <n v="42"/>
    <d v="2023-07-21T19:03:34"/>
    <s v="Y"/>
    <s v="Court Fee"/>
    <s v="Finance"/>
    <s v="Non Expert Disbursement"/>
    <s v="Angela Simpson"/>
    <s v="Y"/>
    <n v="53"/>
    <n v="0"/>
    <x v="12"/>
    <s v="VALIDATED"/>
    <n v="1"/>
    <s v="01.11.80.303.6300.0000"/>
    <n v="53"/>
    <s v="11"/>
    <s v="6300"/>
    <n v="25191.78"/>
    <n v="53"/>
    <s v="CREDITOR"/>
    <n v="0"/>
    <n v="0"/>
    <n v="0"/>
    <n v="0"/>
    <n v="53"/>
  </r>
  <r>
    <n v="9261231"/>
    <s v="N"/>
    <n v="21330518"/>
    <s v="3000005240270016"/>
    <s v="CIVIL"/>
    <d v="2023-06-26T00:00:00"/>
    <d v="2023-07-05T19:01:47"/>
    <m/>
    <d v="2023-07-05T00:00:00"/>
    <n v="183"/>
    <n v="7113"/>
    <s v="9261231"/>
    <s v="9261231"/>
    <m/>
    <m/>
    <n v="22759414"/>
    <m/>
    <m/>
    <m/>
    <s v="SOLFIN"/>
    <s v="SOLFIN"/>
    <s v="CCMS"/>
    <n v="21330518"/>
    <n v="5805.07"/>
    <m/>
    <s v="N"/>
    <n v="10"/>
    <d v="2023-07-05T19:01:50"/>
    <s v="Y"/>
    <s v="Client Travel Expenses"/>
    <s v="Public Law Children"/>
    <s v="Non Expert Disbursement"/>
    <s v="Philip Wilkins"/>
    <s v="Y"/>
    <n v="9"/>
    <n v="0"/>
    <x v="6"/>
    <s v="VALIDATED"/>
    <n v="1"/>
    <s v="01.11.80.308.6300.0000"/>
    <n v="9"/>
    <s v="11"/>
    <s v="6300"/>
    <n v="25191.78"/>
    <n v="9"/>
    <s v="CREDITOR"/>
    <n v="0"/>
    <n v="0"/>
    <n v="0"/>
    <n v="0"/>
    <n v="9"/>
  </r>
  <r>
    <n v="11099426"/>
    <s v="N"/>
    <n v="21330696"/>
    <s v="3000006772850014"/>
    <s v="CIVIL"/>
    <d v="2023-06-26T00:00:00"/>
    <d v="2023-07-05T19:01:47"/>
    <m/>
    <d v="2023-07-05T00:00:00"/>
    <n v="183"/>
    <n v="7113"/>
    <s v="11099426"/>
    <s v="11099426"/>
    <m/>
    <m/>
    <n v="22760586"/>
    <m/>
    <m/>
    <m/>
    <s v="SOLFIN"/>
    <s v="SOLFIN"/>
    <s v="CCMS"/>
    <n v="21330696"/>
    <n v="4200.24"/>
    <m/>
    <s v="N"/>
    <n v="4"/>
    <d v="2023-07-05T19:01:53"/>
    <s v="Y"/>
    <s v="Toxicologist"/>
    <s v="Public Law Children"/>
    <s v="Expert Disbursement"/>
    <s v="Lextox"/>
    <s v="Y"/>
    <n v="140"/>
    <n v="28"/>
    <x v="6"/>
    <s v="VALIDATED"/>
    <n v="1"/>
    <s v="01.11.80.308.6300.0000"/>
    <n v="140"/>
    <s v="11"/>
    <s v="6300"/>
    <n v="25191.78"/>
    <n v="140"/>
    <s v="CREDITOR"/>
    <n v="0"/>
    <n v="0"/>
    <n v="0"/>
    <n v="0"/>
    <n v="140"/>
  </r>
  <r>
    <n v="59674107"/>
    <s v="N"/>
    <n v="21349421"/>
    <s v="3000014066380008"/>
    <s v="CIVIL"/>
    <d v="2023-06-29T00:00:00"/>
    <d v="2023-07-10T19:01:40"/>
    <m/>
    <d v="2023-07-10T00:00:00"/>
    <n v="183"/>
    <n v="7113"/>
    <s v="59674107"/>
    <s v="59674107"/>
    <m/>
    <m/>
    <n v="22789610"/>
    <m/>
    <m/>
    <m/>
    <s v="SOLFIN"/>
    <s v="SOLFIN"/>
    <s v="CCMS"/>
    <n v="21349421"/>
    <n v="8443.67"/>
    <m/>
    <s v="N"/>
    <n v="1"/>
    <d v="2023-07-10T19:01:49"/>
    <s v="Y"/>
    <s v="Psychologist"/>
    <s v="Public Law Children"/>
    <s v="Expert Disbursement"/>
    <s v="The Cambridge London Group"/>
    <s v="Y"/>
    <n v="747.6"/>
    <n v="149.52"/>
    <x v="2"/>
    <s v="VALIDATED"/>
    <n v="1"/>
    <s v="01.11.80.308.6300.0000"/>
    <n v="747.6"/>
    <s v="11"/>
    <s v="6300"/>
    <n v="25191.78"/>
    <n v="747.6"/>
    <s v="CREDITOR"/>
    <n v="0"/>
    <n v="0"/>
    <n v="0"/>
    <n v="0"/>
    <n v="747.6"/>
  </r>
  <r>
    <n v="60575760"/>
    <s v="N"/>
    <n v="21349436"/>
    <s v="3000014840730007"/>
    <s v="CIVIL"/>
    <d v="2023-06-29T00:00:00"/>
    <d v="2023-07-10T19:01:40"/>
    <m/>
    <d v="2023-07-10T00:00:00"/>
    <n v="183"/>
    <n v="7113"/>
    <s v="60575760"/>
    <s v="60575760"/>
    <m/>
    <m/>
    <n v="22787198"/>
    <m/>
    <m/>
    <m/>
    <s v="SOLFIN"/>
    <s v="SOLFIN"/>
    <s v="CCMS"/>
    <n v="21349436"/>
    <n v="6646.81"/>
    <m/>
    <s v="N"/>
    <n v="3"/>
    <d v="2023-07-10T19:01:50"/>
    <s v="Y"/>
    <s v="Solicitor Travel Expenses"/>
    <s v="Public Law Children"/>
    <s v="Non Expert Disbursement"/>
    <s v="Philip Wilkins"/>
    <s v="Y"/>
    <n v="12.1"/>
    <n v="2.42"/>
    <x v="2"/>
    <s v="VALIDATED"/>
    <n v="1"/>
    <s v="01.11.80.308.6300.0000"/>
    <n v="12.1"/>
    <s v="11"/>
    <s v="6300"/>
    <n v="25191.78"/>
    <n v="12.1"/>
    <s v="CREDITOR"/>
    <n v="0"/>
    <n v="0"/>
    <n v="0"/>
    <n v="0"/>
    <n v="12.1"/>
  </r>
  <r>
    <n v="11525164"/>
    <s v="N"/>
    <n v="21319137"/>
    <s v="3000006951050003"/>
    <s v="CIVIL"/>
    <d v="2023-06-22T00:00:00"/>
    <d v="2023-07-03T19:01:49"/>
    <m/>
    <d v="2023-07-03T00:00:00"/>
    <n v="183"/>
    <n v="7113"/>
    <s v="11525164"/>
    <s v="11525164"/>
    <m/>
    <m/>
    <n v="22745680"/>
    <m/>
    <m/>
    <m/>
    <s v="SOLFIN"/>
    <s v="SOLFIN"/>
    <s v="CCMS"/>
    <n v="21319137"/>
    <n v="7073.87"/>
    <m/>
    <s v="N"/>
    <n v="7"/>
    <d v="2023-07-03T19:02:12"/>
    <s v="Y"/>
    <s v="Hearing Unit 2.31 - 5.00 Hours"/>
    <s v="Public Law Children"/>
    <s v="Advocacy"/>
    <s v="Philip Wilkins"/>
    <s v="Y"/>
    <n v="596.15"/>
    <n v="119.23"/>
    <x v="3"/>
    <s v="VALIDATED"/>
    <n v="1"/>
    <s v="01.11.80.308.6100.0000"/>
    <n v="596.15"/>
    <s v="11"/>
    <s v="6100"/>
    <n v="25191.78"/>
    <n v="596.15"/>
    <s v="CREDITOR"/>
    <n v="0"/>
    <n v="0"/>
    <n v="0"/>
    <n v="0"/>
    <n v="596.15"/>
  </r>
  <r>
    <n v="59674107"/>
    <s v="N"/>
    <n v="21349421"/>
    <s v="3000014066380008"/>
    <s v="CIVIL"/>
    <d v="2023-06-29T00:00:00"/>
    <d v="2023-07-10T19:01:40"/>
    <m/>
    <d v="2023-07-10T00:00:00"/>
    <n v="183"/>
    <n v="7113"/>
    <s v="59674107"/>
    <s v="59674107"/>
    <m/>
    <m/>
    <n v="22789610"/>
    <m/>
    <m/>
    <m/>
    <s v="SOLFIN"/>
    <s v="SOLFIN"/>
    <s v="CCMS"/>
    <n v="21349421"/>
    <n v="8443.67"/>
    <m/>
    <s v="N"/>
    <n v="2"/>
    <d v="2023-07-10T19:01:49"/>
    <s v="Y"/>
    <s v="Psychiatrist"/>
    <s v="Public Law Children"/>
    <s v="Expert Disbursement"/>
    <s v="Expert in Mind"/>
    <s v="Y"/>
    <n v="783"/>
    <n v="156.6"/>
    <x v="2"/>
    <s v="VALIDATED"/>
    <n v="1"/>
    <s v="01.11.80.308.6300.0000"/>
    <n v="783"/>
    <s v="11"/>
    <s v="6300"/>
    <n v="25191.78"/>
    <n v="783"/>
    <s v="CREDITOR"/>
    <n v="0"/>
    <n v="0"/>
    <n v="0"/>
    <n v="0"/>
    <n v="783"/>
  </r>
  <r>
    <n v="10157025"/>
    <s v="N"/>
    <n v="21411715"/>
    <s v="3000005977070008"/>
    <s v="CIVIL"/>
    <d v="2023-06-07T00:00:00"/>
    <d v="2023-07-21T19:03:21"/>
    <m/>
    <d v="2023-07-21T00:00:00"/>
    <n v="183"/>
    <n v="7113"/>
    <s v="10157025"/>
    <s v="10157025"/>
    <m/>
    <m/>
    <n v="22642152"/>
    <m/>
    <m/>
    <m/>
    <s v="SOLFIN"/>
    <s v="SOLFIN"/>
    <s v="CCMS"/>
    <n v="21411715"/>
    <n v="3697.45"/>
    <m/>
    <s v="N"/>
    <n v="25"/>
    <d v="2023-07-21T19:03:34"/>
    <s v="Y"/>
    <s v="Routine Letter Out"/>
    <s v="Prescribed Hourly Rates"/>
    <s v="Profit Cost"/>
    <s v="Angela Simpson"/>
    <s v="Y"/>
    <n v="875.61"/>
    <n v="175.12"/>
    <x v="12"/>
    <s v="VALIDATED"/>
    <n v="1"/>
    <s v="01.11.80.303.6100.0000"/>
    <n v="875.61"/>
    <s v="11"/>
    <s v="6100"/>
    <n v="25191.78"/>
    <n v="875.61"/>
    <s v="CREDITOR"/>
    <n v="0"/>
    <n v="0"/>
    <n v="0"/>
    <n v="0"/>
    <n v="875.61"/>
  </r>
  <r>
    <n v="10157025"/>
    <s v="N"/>
    <n v="21411715"/>
    <s v="3000005977070008"/>
    <s v="CIVIL"/>
    <d v="2023-06-07T00:00:00"/>
    <d v="2023-07-21T19:03:21"/>
    <m/>
    <d v="2023-07-21T00:00:00"/>
    <n v="183"/>
    <n v="7113"/>
    <s v="10157025"/>
    <s v="10157025"/>
    <m/>
    <m/>
    <n v="22642152"/>
    <m/>
    <m/>
    <m/>
    <s v="SOLFIN"/>
    <s v="SOLFIN"/>
    <s v="CCMS"/>
    <n v="21411715"/>
    <n v="3697.45"/>
    <m/>
    <s v="N"/>
    <n v="11"/>
    <d v="2023-07-21T19:03:34"/>
    <s v="Y"/>
    <s v="Preparation - drafting application"/>
    <s v="Prescribed Hourly Rates"/>
    <s v="Profit Cost"/>
    <s v="Angela Simpson"/>
    <s v="Y"/>
    <n v="13.66"/>
    <n v="2.73"/>
    <x v="12"/>
    <s v="VALIDATED"/>
    <n v="1"/>
    <s v="01.11.80.303.6100.0000"/>
    <n v="13.66"/>
    <s v="11"/>
    <s v="6100"/>
    <n v="25191.78"/>
    <n v="13.66"/>
    <s v="CREDITOR"/>
    <n v="0"/>
    <n v="0"/>
    <n v="0"/>
    <n v="0"/>
    <n v="13.66"/>
  </r>
  <r>
    <n v="10157025"/>
    <s v="N"/>
    <n v="21411715"/>
    <s v="3000005977070008"/>
    <s v="CIVIL"/>
    <d v="2023-06-07T00:00:00"/>
    <d v="2023-07-21T19:03:21"/>
    <m/>
    <d v="2023-07-21T00:00:00"/>
    <n v="183"/>
    <n v="7113"/>
    <s v="10157025"/>
    <s v="10157025"/>
    <m/>
    <m/>
    <n v="22642152"/>
    <m/>
    <m/>
    <m/>
    <s v="SOLFIN"/>
    <s v="SOLFIN"/>
    <s v="CCMS"/>
    <n v="21411715"/>
    <n v="3697.45"/>
    <m/>
    <s v="N"/>
    <n v="13"/>
    <d v="2023-07-21T19:03:34"/>
    <s v="Y"/>
    <s v="Preparation - drafting pleadings"/>
    <s v="Prescribed Hourly Rates"/>
    <s v="Profit Cost"/>
    <s v="Angela Simpson"/>
    <s v="Y"/>
    <n v="34.16"/>
    <n v="6.83"/>
    <x v="12"/>
    <s v="VALIDATED"/>
    <n v="1"/>
    <s v="01.11.80.303.6100.0000"/>
    <n v="34.16"/>
    <s v="11"/>
    <s v="6100"/>
    <n v="25191.78"/>
    <n v="34.16"/>
    <s v="CREDITOR"/>
    <n v="0"/>
    <n v="0"/>
    <n v="0"/>
    <n v="0"/>
    <n v="34.16"/>
  </r>
  <r>
    <n v="10157025"/>
    <s v="N"/>
    <n v="21411715"/>
    <s v="3000005977070008"/>
    <s v="CIVIL"/>
    <d v="2023-06-07T00:00:00"/>
    <d v="2023-07-21T19:03:21"/>
    <m/>
    <d v="2023-07-21T00:00:00"/>
    <n v="183"/>
    <n v="7113"/>
    <s v="10157025"/>
    <s v="10157025"/>
    <m/>
    <m/>
    <n v="22642152"/>
    <m/>
    <m/>
    <m/>
    <s v="SOLFIN"/>
    <s v="SOLFIN"/>
    <s v="CCMS"/>
    <n v="21411715"/>
    <n v="3697.45"/>
    <m/>
    <s v="N"/>
    <n v="36"/>
    <d v="2023-07-21T19:03:34"/>
    <s v="Y"/>
    <s v="Preparation - drafting pleadings"/>
    <s v="Prescribed Hourly Rates"/>
    <s v="Profit Cost"/>
    <s v="Angela Simpson"/>
    <s v="Y"/>
    <n v="20.49"/>
    <n v="4.1"/>
    <x v="12"/>
    <s v="VALIDATED"/>
    <n v="1"/>
    <s v="01.11.80.303.6100.0000"/>
    <n v="20.49"/>
    <s v="11"/>
    <s v="6100"/>
    <n v="25191.78"/>
    <n v="20.49"/>
    <s v="CREDITOR"/>
    <n v="0"/>
    <n v="0"/>
    <n v="0"/>
    <n v="0"/>
    <n v="20.49"/>
  </r>
  <r>
    <n v="10157025"/>
    <s v="N"/>
    <n v="21411715"/>
    <s v="3000005977070008"/>
    <s v="CIVIL"/>
    <d v="2023-06-07T00:00:00"/>
    <d v="2023-07-21T19:03:21"/>
    <m/>
    <d v="2023-07-21T00:00:00"/>
    <n v="183"/>
    <n v="7113"/>
    <s v="10157025"/>
    <s v="10157025"/>
    <m/>
    <m/>
    <n v="22642152"/>
    <m/>
    <m/>
    <m/>
    <s v="SOLFIN"/>
    <s v="SOLFIN"/>
    <s v="CCMS"/>
    <n v="21411715"/>
    <n v="3697.45"/>
    <m/>
    <s v="N"/>
    <n v="4"/>
    <d v="2023-07-21T19:03:34"/>
    <s v="Y"/>
    <s v="Preparation - drafting pleadings"/>
    <s v="Prescribed Hourly Rates"/>
    <s v="Profit Cost"/>
    <s v="Angela Simpson"/>
    <s v="Y"/>
    <n v="13.66"/>
    <n v="2.73"/>
    <x v="12"/>
    <s v="VALIDATED"/>
    <n v="1"/>
    <s v="01.11.80.303.6100.0000"/>
    <n v="13.66"/>
    <s v="11"/>
    <s v="6100"/>
    <n v="25191.78"/>
    <n v="13.66"/>
    <s v="CREDITOR"/>
    <n v="0"/>
    <n v="0"/>
    <n v="0"/>
    <n v="0"/>
    <n v="13.66"/>
  </r>
  <r>
    <n v="11534132"/>
    <s v="N"/>
    <n v="21343997"/>
    <s v="3000006913160024"/>
    <s v="CIVIL"/>
    <d v="2023-06-27T00:00:00"/>
    <d v="2023-07-07T19:03:00"/>
    <m/>
    <d v="2023-07-07T00:00:00"/>
    <n v="183"/>
    <n v="7113"/>
    <s v="11534132"/>
    <s v="11534132"/>
    <m/>
    <m/>
    <n v="22772570"/>
    <m/>
    <m/>
    <m/>
    <s v="SOLFIN"/>
    <s v="SOLFIN"/>
    <s v="CCMS"/>
    <n v="21343997"/>
    <n v="2900.83"/>
    <m/>
    <s v="N"/>
    <n v="7"/>
    <d v="2023-07-07T19:03:20"/>
    <s v="Y"/>
    <s v="Process server"/>
    <s v="Domestic Abuse"/>
    <s v="Expert Disbursement"/>
    <s v="Fox Investigation Services"/>
    <s v="Y"/>
    <n v="316.6"/>
    <n v="63.32"/>
    <x v="9"/>
    <s v="VALIDATED"/>
    <n v="1"/>
    <s v="01.11.80.302.6300.0000"/>
    <n v="316.6"/>
    <s v="11"/>
    <s v="6300"/>
    <n v="25191.78"/>
    <n v="316.6"/>
    <s v="CREDITOR"/>
    <n v="0"/>
    <n v="0"/>
    <n v="0"/>
    <n v="0"/>
    <n v="316.6"/>
  </r>
  <r>
    <n v="60575760"/>
    <s v="N"/>
    <n v="21349436"/>
    <s v="3000014840730007"/>
    <s v="CIVIL"/>
    <d v="2023-06-29T00:00:00"/>
    <d v="2023-07-10T19:01:40"/>
    <m/>
    <d v="2023-07-10T00:00:00"/>
    <n v="183"/>
    <n v="7113"/>
    <s v="60575760"/>
    <s v="60575760"/>
    <m/>
    <m/>
    <n v="22787198"/>
    <m/>
    <m/>
    <m/>
    <s v="SOLFIN"/>
    <s v="SOLFIN"/>
    <s v="CCMS"/>
    <n v="21349436"/>
    <n v="6646.81"/>
    <m/>
    <s v="N"/>
    <n v="7"/>
    <d v="2023-07-10T19:01:50"/>
    <s v="Y"/>
    <s v="Psychiatrist"/>
    <s v="Public Law Children"/>
    <s v="Expert Disbursement"/>
    <s v="Expert in Mind"/>
    <s v="Y"/>
    <n v="54"/>
    <n v="10.8"/>
    <x v="2"/>
    <s v="VALIDATED"/>
    <n v="1"/>
    <s v="01.11.80.308.6300.0000"/>
    <n v="54"/>
    <s v="11"/>
    <s v="6300"/>
    <n v="25191.78"/>
    <n v="54"/>
    <s v="CREDITOR"/>
    <n v="0"/>
    <n v="0"/>
    <n v="0"/>
    <n v="0"/>
    <n v="54"/>
  </r>
  <r>
    <n v="10157025"/>
    <s v="N"/>
    <n v="21411715"/>
    <s v="3000005977070008"/>
    <s v="CIVIL"/>
    <d v="2023-06-07T00:00:00"/>
    <d v="2023-07-21T19:03:21"/>
    <m/>
    <d v="2023-07-21T00:00:00"/>
    <n v="183"/>
    <n v="7113"/>
    <s v="10157025"/>
    <s v="10157025"/>
    <m/>
    <m/>
    <n v="22642152"/>
    <m/>
    <m/>
    <m/>
    <s v="SOLFIN"/>
    <s v="SOLFIN"/>
    <s v="CCMS"/>
    <n v="21411715"/>
    <n v="3697.45"/>
    <m/>
    <s v="N"/>
    <n v="41"/>
    <d v="2023-07-21T19:03:34"/>
    <s v="Y"/>
    <s v="Preparation - drafting statement"/>
    <s v="Prescribed Hourly Rates"/>
    <s v="Profit Cost"/>
    <s v="Angela Simpson"/>
    <s v="Y"/>
    <n v="27.32"/>
    <n v="5.46"/>
    <x v="12"/>
    <s v="VALIDATED"/>
    <n v="1"/>
    <s v="01.11.80.303.6100.0000"/>
    <n v="27.32"/>
    <s v="11"/>
    <s v="6100"/>
    <n v="25191.78"/>
    <n v="27.32"/>
    <s v="CREDITOR"/>
    <n v="0"/>
    <n v="0"/>
    <n v="0"/>
    <n v="0"/>
    <n v="27.32"/>
  </r>
  <r>
    <n v="9261231"/>
    <s v="N"/>
    <n v="21330518"/>
    <s v="3000005240270016"/>
    <s v="CIVIL"/>
    <d v="2023-06-26T00:00:00"/>
    <d v="2023-07-05T19:01:47"/>
    <m/>
    <d v="2023-07-05T00:00:00"/>
    <n v="183"/>
    <n v="7113"/>
    <s v="9261231"/>
    <s v="9261231"/>
    <m/>
    <m/>
    <n v="22759414"/>
    <m/>
    <m/>
    <m/>
    <s v="SOLFIN"/>
    <s v="SOLFIN"/>
    <s v="CCMS"/>
    <n v="21330518"/>
    <n v="5805.07"/>
    <m/>
    <s v="N"/>
    <n v="12"/>
    <d v="2023-07-05T19:01:50"/>
    <s v="Y"/>
    <s v="Hearing Unit 5.01 - 7.30 Hours"/>
    <s v="Public Law Children"/>
    <s v="Advocacy"/>
    <s v="Philip Wilkins"/>
    <s v="Y"/>
    <n v="715.38"/>
    <n v="143.08"/>
    <x v="6"/>
    <s v="VALIDATED"/>
    <n v="1"/>
    <s v="01.11.80.308.6100.0000"/>
    <n v="715.38"/>
    <s v="11"/>
    <s v="6100"/>
    <n v="25191.78"/>
    <n v="715.38"/>
    <s v="CREDITOR"/>
    <n v="0"/>
    <n v="0"/>
    <n v="0"/>
    <n v="0"/>
    <n v="715.38"/>
  </r>
  <r>
    <n v="40954654"/>
    <s v="N"/>
    <n v="21327836"/>
    <s v="3000010939120005"/>
    <s v="CIVIL"/>
    <d v="2023-06-22T00:00:00"/>
    <d v="2023-07-04T19:00:44"/>
    <m/>
    <d v="2023-07-04T00:00:00"/>
    <n v="183"/>
    <n v="7113"/>
    <s v="40954654"/>
    <s v="40954654"/>
    <m/>
    <m/>
    <n v="22746118"/>
    <m/>
    <m/>
    <m/>
    <s v="SOLFIN"/>
    <s v="SOLFIN"/>
    <s v="CCMS"/>
    <n v="21327836"/>
    <n v="6795.68"/>
    <m/>
    <s v="N"/>
    <n v="3"/>
    <d v="2023-07-04T19:00:56"/>
    <s v="Y"/>
    <s v="Child psychologist"/>
    <s v="Public Law Children"/>
    <s v="Expert Disbursement"/>
    <s v="Dr Conning"/>
    <s v="Y"/>
    <n v="37.8"/>
    <n v="7.56"/>
    <x v="1"/>
    <s v="VALIDATED"/>
    <n v="1"/>
    <s v="01.11.80.308.6300.0000"/>
    <n v="37.8"/>
    <s v="11"/>
    <s v="6300"/>
    <n v="25191.78"/>
    <n v="37.8"/>
    <s v="CREDITOR"/>
    <n v="0"/>
    <n v="0"/>
    <n v="0"/>
    <n v="0"/>
    <n v="37.8"/>
  </r>
  <r>
    <n v="10157025"/>
    <s v="N"/>
    <n v="21411715"/>
    <s v="3000005977070008"/>
    <s v="CIVIL"/>
    <d v="2023-06-07T00:00:00"/>
    <d v="2023-07-21T19:03:21"/>
    <m/>
    <d v="2023-07-21T00:00:00"/>
    <n v="183"/>
    <n v="7113"/>
    <s v="10157025"/>
    <s v="10157025"/>
    <m/>
    <m/>
    <n v="22642152"/>
    <m/>
    <m/>
    <m/>
    <s v="SOLFIN"/>
    <s v="SOLFIN"/>
    <s v="CCMS"/>
    <n v="21411715"/>
    <n v="3697.45"/>
    <m/>
    <s v="N"/>
    <n v="8"/>
    <d v="2023-07-21T19:03:34"/>
    <s v="Y"/>
    <s v="Preparation - drafting pleadings"/>
    <s v="Prescribed Hourly Rates"/>
    <s v="Profit Cost"/>
    <s v="Angela Simpson"/>
    <s v="Y"/>
    <n v="54.65"/>
    <n v="10.93"/>
    <x v="12"/>
    <s v="VALIDATED"/>
    <n v="1"/>
    <s v="01.11.80.303.6100.0000"/>
    <n v="54.65"/>
    <s v="11"/>
    <s v="6100"/>
    <n v="25191.78"/>
    <n v="54.65"/>
    <s v="CREDITOR"/>
    <n v="0"/>
    <n v="0"/>
    <n v="0"/>
    <n v="0"/>
    <n v="54.65"/>
  </r>
  <r>
    <n v="40954654"/>
    <s v="N"/>
    <n v="21327836"/>
    <s v="3000010939120005"/>
    <s v="CIVIL"/>
    <d v="2023-06-22T00:00:00"/>
    <d v="2023-07-04T19:00:44"/>
    <m/>
    <d v="2023-07-04T00:00:00"/>
    <n v="183"/>
    <n v="7113"/>
    <s v="40954654"/>
    <s v="40954654"/>
    <m/>
    <m/>
    <n v="22746118"/>
    <m/>
    <m/>
    <m/>
    <s v="SOLFIN"/>
    <s v="SOLFIN"/>
    <s v="CCMS"/>
    <n v="21327836"/>
    <n v="6795.68"/>
    <m/>
    <s v="N"/>
    <n v="1"/>
    <d v="2023-07-04T19:00:56"/>
    <s v="Y"/>
    <s v="Psychiatrist"/>
    <s v="Public Law Children"/>
    <s v="Expert Disbursement"/>
    <s v="Dr James"/>
    <s v="Y"/>
    <n v="452.25"/>
    <n v="0"/>
    <x v="1"/>
    <s v="VALIDATED"/>
    <n v="1"/>
    <s v="01.11.80.308.6300.0000"/>
    <n v="452.25"/>
    <s v="11"/>
    <s v="6300"/>
    <n v="25191.78"/>
    <n v="452.25"/>
    <s v="CREDITOR"/>
    <n v="0"/>
    <n v="0"/>
    <n v="0"/>
    <n v="0"/>
    <n v="452.25"/>
  </r>
  <r>
    <n v="10157025"/>
    <s v="N"/>
    <n v="21411715"/>
    <s v="3000005977070008"/>
    <s v="CIVIL"/>
    <d v="2023-06-07T00:00:00"/>
    <d v="2023-07-21T19:03:21"/>
    <m/>
    <d v="2023-07-21T00:00:00"/>
    <n v="183"/>
    <n v="7113"/>
    <s v="10157025"/>
    <s v="10157025"/>
    <m/>
    <m/>
    <n v="22642152"/>
    <m/>
    <m/>
    <m/>
    <s v="SOLFIN"/>
    <s v="SOLFIN"/>
    <s v="CCMS"/>
    <n v="21411715"/>
    <n v="3697.45"/>
    <m/>
    <s v="N"/>
    <n v="17"/>
    <d v="2023-07-21T19:03:34"/>
    <s v="Y"/>
    <s v="Preparation - drafting statement"/>
    <s v="Prescribed Hourly Rates"/>
    <s v="Profit Cost"/>
    <s v="Angela Simpson"/>
    <s v="Y"/>
    <n v="68.31"/>
    <n v="13.66"/>
    <x v="12"/>
    <s v="VALIDATED"/>
    <n v="1"/>
    <s v="01.11.80.303.6100.0000"/>
    <n v="68.31"/>
    <s v="11"/>
    <s v="6100"/>
    <n v="25191.78"/>
    <n v="68.31"/>
    <s v="CREDITOR"/>
    <n v="0"/>
    <n v="0"/>
    <n v="0"/>
    <n v="0"/>
    <n v="68.31"/>
  </r>
  <r>
    <n v="10157025"/>
    <s v="N"/>
    <n v="21411715"/>
    <s v="3000005977070008"/>
    <s v="CIVIL"/>
    <d v="2023-06-07T00:00:00"/>
    <d v="2023-07-21T19:03:21"/>
    <m/>
    <d v="2023-07-21T00:00:00"/>
    <n v="183"/>
    <n v="7113"/>
    <s v="10157025"/>
    <s v="10157025"/>
    <m/>
    <m/>
    <n v="22642152"/>
    <m/>
    <m/>
    <m/>
    <s v="SOLFIN"/>
    <s v="SOLFIN"/>
    <s v="CCMS"/>
    <n v="21411715"/>
    <n v="3697.45"/>
    <m/>
    <s v="N"/>
    <n v="22"/>
    <d v="2023-07-21T19:03:34"/>
    <s v="Y"/>
    <s v="Attendance upon client"/>
    <s v="Prescribed Hourly Rates"/>
    <s v="Profit Cost"/>
    <s v="Angela Simpson"/>
    <s v="Y"/>
    <n v="61.48"/>
    <n v="12.3"/>
    <x v="12"/>
    <s v="VALIDATED"/>
    <n v="1"/>
    <s v="01.11.80.303.6100.0000"/>
    <n v="61.48"/>
    <s v="11"/>
    <s v="6100"/>
    <n v="25191.78"/>
    <n v="61.48"/>
    <s v="CREDITOR"/>
    <n v="0"/>
    <n v="0"/>
    <n v="0"/>
    <n v="0"/>
    <n v="61.48"/>
  </r>
  <r>
    <n v="40954654"/>
    <s v="N"/>
    <n v="21327836"/>
    <s v="3000010939120005"/>
    <s v="CIVIL"/>
    <d v="2023-06-22T00:00:00"/>
    <d v="2023-07-04T19:00:44"/>
    <m/>
    <d v="2023-07-04T00:00:00"/>
    <n v="183"/>
    <n v="7113"/>
    <s v="40954654"/>
    <s v="40954654"/>
    <m/>
    <m/>
    <n v="22746118"/>
    <m/>
    <m/>
    <m/>
    <s v="SOLFIN"/>
    <s v="SOLFIN"/>
    <s v="CCMS"/>
    <n v="21327836"/>
    <n v="6795.68"/>
    <m/>
    <s v="N"/>
    <n v="11"/>
    <d v="2023-07-04T19:00:56"/>
    <s v="Y"/>
    <s v="Solicitors Fixed Fee"/>
    <s v="Public Law Children"/>
    <s v="Profit Cost"/>
    <s v="Philip Wilkins"/>
    <s v="Y"/>
    <n v="2616"/>
    <n v="523.2"/>
    <x v="1"/>
    <s v="VALIDATED"/>
    <n v="1"/>
    <s v="01.11.80.308.6100.0000"/>
    <n v="2616"/>
    <s v="11"/>
    <s v="6100"/>
    <n v="25191.78"/>
    <n v="2616"/>
    <s v="CREDITOR"/>
    <n v="0"/>
    <n v="0"/>
    <n v="0"/>
    <n v="0"/>
    <n v="2616"/>
  </r>
  <r>
    <n v="10157025"/>
    <s v="N"/>
    <n v="21411715"/>
    <s v="3000005977070008"/>
    <s v="CIVIL"/>
    <d v="2023-06-07T00:00:00"/>
    <d v="2023-07-21T19:03:21"/>
    <m/>
    <d v="2023-07-21T00:00:00"/>
    <n v="183"/>
    <n v="7113"/>
    <s v="10157025"/>
    <s v="10157025"/>
    <m/>
    <m/>
    <n v="22642152"/>
    <m/>
    <m/>
    <m/>
    <s v="SOLFIN"/>
    <s v="SOLFIN"/>
    <s v="CCMS"/>
    <n v="21411715"/>
    <n v="3697.45"/>
    <m/>
    <s v="N"/>
    <n v="33"/>
    <d v="2023-07-21T19:03:34"/>
    <s v="Y"/>
    <s v="Preparation - drafting statement"/>
    <s v="Prescribed Hourly Rates"/>
    <s v="Profit Cost"/>
    <s v="Angela Simpson"/>
    <s v="Y"/>
    <n v="20.49"/>
    <n v="4.1"/>
    <x v="12"/>
    <s v="VALIDATED"/>
    <n v="1"/>
    <s v="01.11.80.303.6100.0000"/>
    <n v="20.49"/>
    <s v="11"/>
    <s v="6100"/>
    <n v="25191.78"/>
    <n v="20.49"/>
    <s v="CREDITOR"/>
    <n v="0"/>
    <n v="0"/>
    <n v="0"/>
    <n v="0"/>
    <n v="20.49"/>
  </r>
  <r>
    <n v="60575760"/>
    <s v="N"/>
    <n v="21349436"/>
    <s v="3000014840730007"/>
    <s v="CIVIL"/>
    <d v="2023-06-29T00:00:00"/>
    <d v="2023-07-10T19:01:40"/>
    <m/>
    <d v="2023-07-10T00:00:00"/>
    <n v="183"/>
    <n v="7113"/>
    <s v="60575760"/>
    <s v="60575760"/>
    <m/>
    <m/>
    <n v="22787198"/>
    <m/>
    <m/>
    <m/>
    <s v="SOLFIN"/>
    <s v="SOLFIN"/>
    <s v="CCMS"/>
    <n v="21349436"/>
    <n v="6646.81"/>
    <m/>
    <s v="N"/>
    <n v="12"/>
    <d v="2023-07-10T19:01:50"/>
    <s v="Y"/>
    <s v="Solicitors Fixed Fee"/>
    <s v="Public Law Children"/>
    <s v="Profit Cost"/>
    <s v="Philip Wilkins"/>
    <s v="Y"/>
    <n v="2616"/>
    <n v="523.2"/>
    <x v="2"/>
    <s v="VALIDATED"/>
    <n v="1"/>
    <s v="01.11.80.308.6100.0000"/>
    <n v="2616"/>
    <s v="11"/>
    <s v="6100"/>
    <n v="25191.78"/>
    <n v="2616"/>
    <s v="CREDITOR"/>
    <n v="0"/>
    <n v="0"/>
    <n v="0"/>
    <n v="0"/>
    <n v="2616"/>
  </r>
  <r>
    <n v="60575760"/>
    <s v="N"/>
    <n v="21349436"/>
    <s v="3000014840730007"/>
    <s v="CIVIL"/>
    <d v="2023-06-29T00:00:00"/>
    <d v="2023-07-10T19:01:40"/>
    <m/>
    <d v="2023-07-10T00:00:00"/>
    <n v="183"/>
    <n v="7113"/>
    <s v="60575760"/>
    <s v="60575760"/>
    <m/>
    <m/>
    <n v="22787198"/>
    <m/>
    <m/>
    <m/>
    <s v="SOLFIN"/>
    <s v="SOLFIN"/>
    <s v="CCMS"/>
    <n v="21349436"/>
    <n v="6646.81"/>
    <m/>
    <s v="N"/>
    <n v="6"/>
    <d v="2023-07-10T19:01:50"/>
    <s v="Y"/>
    <s v="Psychiatrist"/>
    <s v="Public Law Children"/>
    <s v="Expert Disbursement"/>
    <s v="Expert in Mind"/>
    <s v="Y"/>
    <n v="405"/>
    <n v="81"/>
    <x v="2"/>
    <s v="VALIDATED"/>
    <n v="1"/>
    <s v="01.11.80.308.6300.0000"/>
    <n v="405"/>
    <s v="11"/>
    <s v="6300"/>
    <n v="25191.78"/>
    <n v="405"/>
    <s v="CREDITOR"/>
    <n v="0"/>
    <n v="0"/>
    <n v="0"/>
    <n v="0"/>
    <n v="405"/>
  </r>
  <r>
    <n v="10157025"/>
    <s v="N"/>
    <n v="21411715"/>
    <s v="3000005977070008"/>
    <s v="CIVIL"/>
    <d v="2023-06-07T00:00:00"/>
    <d v="2023-07-21T19:03:21"/>
    <m/>
    <d v="2023-07-21T00:00:00"/>
    <n v="183"/>
    <n v="7113"/>
    <s v="10157025"/>
    <s v="10157025"/>
    <m/>
    <m/>
    <n v="22642152"/>
    <m/>
    <m/>
    <m/>
    <s v="SOLFIN"/>
    <s v="SOLFIN"/>
    <s v="CCMS"/>
    <n v="21411715"/>
    <n v="3697.45"/>
    <m/>
    <s v="N"/>
    <n v="28"/>
    <d v="2023-07-21T19:03:34"/>
    <s v="Y"/>
    <s v="Attendance upon client"/>
    <s v="Prescribed Hourly Rates"/>
    <s v="Profit Cost"/>
    <s v="Angela Simpson"/>
    <s v="Y"/>
    <n v="54.65"/>
    <n v="10.93"/>
    <x v="12"/>
    <s v="VALIDATED"/>
    <n v="1"/>
    <s v="01.11.80.303.6100.0000"/>
    <n v="54.65"/>
    <s v="11"/>
    <s v="6100"/>
    <n v="25191.78"/>
    <n v="54.65"/>
    <s v="CREDITOR"/>
    <n v="0"/>
    <n v="0"/>
    <n v="0"/>
    <n v="0"/>
    <n v="54.65"/>
  </r>
  <r>
    <n v="10157025"/>
    <s v="N"/>
    <n v="21411715"/>
    <s v="3000005977070008"/>
    <s v="CIVIL"/>
    <d v="2023-06-07T00:00:00"/>
    <d v="2023-07-21T19:03:21"/>
    <m/>
    <d v="2023-07-21T00:00:00"/>
    <n v="183"/>
    <n v="7113"/>
    <s v="10157025"/>
    <s v="10157025"/>
    <m/>
    <m/>
    <n v="22642152"/>
    <m/>
    <m/>
    <m/>
    <s v="SOLFIN"/>
    <s v="SOLFIN"/>
    <s v="CCMS"/>
    <n v="21411715"/>
    <n v="3697.45"/>
    <m/>
    <s v="N"/>
    <n v="16"/>
    <d v="2023-07-21T19:03:34"/>
    <s v="Y"/>
    <s v="Preparation - drafting pleadings"/>
    <s v="Prescribed Hourly Rates"/>
    <s v="Profit Cost"/>
    <s v="Angela Simpson"/>
    <s v="Y"/>
    <n v="68.31"/>
    <n v="13.66"/>
    <x v="12"/>
    <s v="VALIDATED"/>
    <n v="1"/>
    <s v="01.11.80.303.6100.0000"/>
    <n v="68.31"/>
    <s v="11"/>
    <s v="6100"/>
    <n v="25191.78"/>
    <n v="68.31"/>
    <s v="CREDITOR"/>
    <n v="0"/>
    <n v="0"/>
    <n v="0"/>
    <n v="0"/>
    <n v="68.31"/>
  </r>
  <r>
    <n v="60575760"/>
    <s v="N"/>
    <n v="21349436"/>
    <s v="3000014840730007"/>
    <s v="CIVIL"/>
    <d v="2023-06-29T00:00:00"/>
    <d v="2023-07-10T19:01:40"/>
    <m/>
    <d v="2023-07-10T00:00:00"/>
    <n v="183"/>
    <n v="7113"/>
    <s v="60575760"/>
    <s v="60575760"/>
    <m/>
    <m/>
    <n v="22787198"/>
    <m/>
    <m/>
    <m/>
    <s v="SOLFIN"/>
    <s v="SOLFIN"/>
    <s v="CCMS"/>
    <n v="21349436"/>
    <n v="6646.81"/>
    <m/>
    <s v="N"/>
    <n v="5"/>
    <d v="2023-07-10T19:01:50"/>
    <s v="Y"/>
    <s v="Toxicologist"/>
    <s v="Public Law Children"/>
    <s v="Expert Disbursement"/>
    <s v="Lextox"/>
    <s v="Y"/>
    <n v="432.25"/>
    <n v="86.45"/>
    <x v="2"/>
    <s v="VALIDATED"/>
    <n v="1"/>
    <s v="01.11.80.308.6300.0000"/>
    <n v="432.25"/>
    <s v="11"/>
    <s v="6300"/>
    <n v="25191.78"/>
    <n v="432.25"/>
    <s v="CREDITOR"/>
    <n v="0"/>
    <n v="0"/>
    <n v="0"/>
    <n v="0"/>
    <n v="432.25"/>
  </r>
  <r>
    <n v="11099426"/>
    <s v="N"/>
    <n v="21330696"/>
    <s v="3000006772850014"/>
    <s v="CIVIL"/>
    <d v="2023-06-26T00:00:00"/>
    <d v="2023-07-05T19:01:47"/>
    <m/>
    <d v="2023-07-05T00:00:00"/>
    <n v="183"/>
    <n v="7113"/>
    <s v="11099426"/>
    <s v="11099426"/>
    <m/>
    <m/>
    <n v="22760586"/>
    <m/>
    <m/>
    <m/>
    <s v="SOLFIN"/>
    <s v="SOLFIN"/>
    <s v="CCMS"/>
    <n v="21330696"/>
    <n v="4200.24"/>
    <m/>
    <s v="N"/>
    <n v="7"/>
    <d v="2023-07-05T19:01:53"/>
    <s v="Y"/>
    <s v="Toxicologist"/>
    <s v="Public Law Children"/>
    <s v="Expert Disbursement"/>
    <s v="Lextox"/>
    <s v="Y"/>
    <n v="45"/>
    <n v="9"/>
    <x v="6"/>
    <s v="VALIDATED"/>
    <n v="1"/>
    <s v="01.11.80.308.6300.0000"/>
    <n v="45"/>
    <s v="11"/>
    <s v="6300"/>
    <n v="25191.78"/>
    <n v="45"/>
    <s v="CREDITOR"/>
    <n v="0"/>
    <n v="0"/>
    <n v="0"/>
    <n v="0"/>
    <n v="45"/>
  </r>
  <r>
    <n v="59548439"/>
    <s v="N"/>
    <n v="21344108"/>
    <s v="3000013957510002"/>
    <s v="CIVIL"/>
    <d v="2023-06-29T00:00:00"/>
    <d v="2023-07-07T19:03:00"/>
    <m/>
    <d v="2023-07-07T00:00:00"/>
    <n v="183"/>
    <n v="7113"/>
    <s v="59548439"/>
    <s v="59548439"/>
    <m/>
    <m/>
    <n v="22788540"/>
    <m/>
    <m/>
    <m/>
    <s v="SOLFIN"/>
    <s v="SOLFIN"/>
    <s v="CCMS"/>
    <n v="21344108"/>
    <n v="5112.34"/>
    <m/>
    <s v="N"/>
    <n v="1"/>
    <d v="2023-07-07T19:03:23"/>
    <s v="Y"/>
    <s v="Final Hearing Court Bundle/Advocate"/>
    <s v="Public Law Children"/>
    <s v="Advocacy"/>
    <s v="Philip Wilkins"/>
    <s v="Y"/>
    <n v="239.4"/>
    <n v="47.88"/>
    <x v="9"/>
    <s v="VALIDATED"/>
    <n v="1"/>
    <s v="01.11.80.308.6100.0000"/>
    <n v="239.4"/>
    <s v="11"/>
    <s v="6100"/>
    <n v="25191.78"/>
    <n v="239.4"/>
    <s v="CREDITOR"/>
    <n v="0"/>
    <n v="0"/>
    <n v="0"/>
    <n v="0"/>
    <n v="239.4"/>
  </r>
  <r>
    <n v="40954654"/>
    <s v="N"/>
    <n v="21327836"/>
    <s v="3000010939120005"/>
    <s v="CIVIL"/>
    <d v="2023-06-22T00:00:00"/>
    <d v="2023-07-04T19:00:44"/>
    <m/>
    <d v="2023-07-04T00:00:00"/>
    <n v="183"/>
    <n v="7113"/>
    <s v="40954654"/>
    <s v="40954654"/>
    <m/>
    <m/>
    <n v="22746118"/>
    <m/>
    <m/>
    <m/>
    <s v="SOLFIN"/>
    <s v="SOLFIN"/>
    <s v="CCMS"/>
    <n v="21327836"/>
    <n v="6795.68"/>
    <m/>
    <s v="N"/>
    <n v="7"/>
    <d v="2023-07-04T19:00:56"/>
    <s v="Y"/>
    <s v="Hearing Unit 2.31 - 5.00 Hours"/>
    <s v="Public Law Children"/>
    <s v="Advocacy"/>
    <s v="Philip Wilkins"/>
    <s v="Y"/>
    <n v="476.92"/>
    <n v="95.38"/>
    <x v="1"/>
    <s v="VALIDATED"/>
    <n v="1"/>
    <s v="01.11.80.308.6100.0000"/>
    <n v="476.92"/>
    <s v="11"/>
    <s v="6100"/>
    <n v="25191.78"/>
    <n v="476.92"/>
    <s v="CREDITOR"/>
    <n v="0"/>
    <n v="0"/>
    <n v="0"/>
    <n v="0"/>
    <n v="476.92"/>
  </r>
  <r>
    <n v="60575760"/>
    <s v="N"/>
    <n v="21349436"/>
    <s v="3000014840730007"/>
    <s v="CIVIL"/>
    <d v="2023-06-29T00:00:00"/>
    <d v="2023-07-10T19:01:40"/>
    <m/>
    <d v="2023-07-10T00:00:00"/>
    <n v="183"/>
    <n v="7113"/>
    <s v="60575760"/>
    <s v="60575760"/>
    <m/>
    <m/>
    <n v="22787198"/>
    <m/>
    <m/>
    <m/>
    <s v="SOLFIN"/>
    <s v="SOLFIN"/>
    <s v="CCMS"/>
    <n v="21349436"/>
    <n v="6646.81"/>
    <m/>
    <s v="N"/>
    <n v="10"/>
    <d v="2023-07-10T19:01:50"/>
    <s v="Y"/>
    <s v="Final Hearing - 1 Day"/>
    <s v="Public Law Children"/>
    <s v="Advocacy"/>
    <s v="Philip Wilkins"/>
    <s v="Y"/>
    <n v="506.25"/>
    <n v="101.25"/>
    <x v="2"/>
    <s v="VALIDATED"/>
    <n v="1"/>
    <s v="01.11.80.308.6100.0000"/>
    <n v="506.25"/>
    <s v="11"/>
    <s v="6100"/>
    <n v="25191.78"/>
    <n v="506.25"/>
    <s v="CREDITOR"/>
    <n v="0"/>
    <n v="0"/>
    <n v="0"/>
    <n v="0"/>
    <n v="506.25"/>
  </r>
  <r>
    <n v="59674107"/>
    <s v="N"/>
    <n v="21349421"/>
    <s v="3000014066380008"/>
    <s v="CIVIL"/>
    <d v="2023-06-29T00:00:00"/>
    <d v="2023-07-10T19:01:40"/>
    <m/>
    <d v="2023-07-10T00:00:00"/>
    <n v="183"/>
    <n v="7113"/>
    <s v="59674107"/>
    <s v="59674107"/>
    <m/>
    <m/>
    <n v="22789610"/>
    <m/>
    <m/>
    <m/>
    <s v="SOLFIN"/>
    <s v="SOLFIN"/>
    <s v="CCMS"/>
    <n v="21349421"/>
    <n v="8443.67"/>
    <m/>
    <s v="N"/>
    <n v="5"/>
    <d v="2023-07-10T19:01:49"/>
    <s v="Y"/>
    <s v="Psychologist"/>
    <s v="Public Law Children"/>
    <s v="Expert Disbursement"/>
    <s v="The Cambridge London Group"/>
    <s v="Y"/>
    <n v="525"/>
    <n v="105"/>
    <x v="2"/>
    <s v="VALIDATED"/>
    <n v="1"/>
    <s v="01.11.80.308.6300.0000"/>
    <n v="525"/>
    <s v="11"/>
    <s v="6300"/>
    <n v="25191.78"/>
    <n v="525"/>
    <s v="CREDITOR"/>
    <n v="0"/>
    <n v="0"/>
    <n v="0"/>
    <n v="0"/>
    <n v="525"/>
  </r>
  <r>
    <n v="60575760"/>
    <s v="N"/>
    <n v="21349436"/>
    <s v="3000014840730007"/>
    <s v="CIVIL"/>
    <d v="2023-06-29T00:00:00"/>
    <d v="2023-07-10T19:01:40"/>
    <m/>
    <d v="2023-07-10T00:00:00"/>
    <n v="183"/>
    <n v="7113"/>
    <s v="60575760"/>
    <s v="60575760"/>
    <m/>
    <m/>
    <n v="22787198"/>
    <m/>
    <m/>
    <m/>
    <s v="SOLFIN"/>
    <s v="SOLFIN"/>
    <s v="CCMS"/>
    <n v="21349436"/>
    <n v="6646.81"/>
    <m/>
    <s v="N"/>
    <n v="11"/>
    <d v="2023-07-10T19:01:50"/>
    <s v="Y"/>
    <s v="Hearing Unit 5.01 - 7.30 Hours"/>
    <s v="Public Law Children"/>
    <s v="Advocacy"/>
    <s v="Philip Wilkins"/>
    <s v="Y"/>
    <n v="650.4299999999999"/>
    <n v="130.09"/>
    <x v="2"/>
    <s v="VALIDATED"/>
    <n v="1"/>
    <s v="01.11.80.308.6100.0000"/>
    <n v="650.4299999999999"/>
    <s v="11"/>
    <s v="6100"/>
    <n v="25191.78"/>
    <n v="650.4299999999999"/>
    <s v="CREDITOR"/>
    <n v="0"/>
    <n v="0"/>
    <n v="0"/>
    <n v="0"/>
    <n v="650.4299999999999"/>
  </r>
  <r>
    <n v="10157025"/>
    <s v="N"/>
    <n v="21411715"/>
    <s v="3000005977070008"/>
    <s v="CIVIL"/>
    <d v="2023-06-07T00:00:00"/>
    <d v="2023-07-21T19:03:21"/>
    <m/>
    <d v="2023-07-21T00:00:00"/>
    <n v="183"/>
    <n v="7113"/>
    <s v="10157025"/>
    <s v="10157025"/>
    <m/>
    <m/>
    <n v="22642152"/>
    <m/>
    <m/>
    <m/>
    <s v="SOLFIN"/>
    <s v="SOLFIN"/>
    <s v="CCMS"/>
    <n v="21411715"/>
    <n v="3697.45"/>
    <m/>
    <s v="N"/>
    <n v="24"/>
    <d v="2023-07-21T19:03:34"/>
    <s v="Y"/>
    <s v="Preparation - drafting pleadings"/>
    <s v="Prescribed Hourly Rates"/>
    <s v="Profit Cost"/>
    <s v="Angela Simpson"/>
    <s v="Y"/>
    <n v="34.16"/>
    <n v="6.83"/>
    <x v="12"/>
    <s v="VALIDATED"/>
    <n v="1"/>
    <s v="01.11.80.303.6100.0000"/>
    <n v="34.16"/>
    <s v="11"/>
    <s v="6100"/>
    <n v="25191.78"/>
    <n v="34.16"/>
    <s v="CREDITOR"/>
    <n v="0"/>
    <n v="0"/>
    <n v="0"/>
    <n v="0"/>
    <n v="34.16"/>
  </r>
  <r>
    <n v="59674107"/>
    <s v="N"/>
    <n v="21349421"/>
    <s v="3000014066380008"/>
    <s v="CIVIL"/>
    <d v="2023-06-29T00:00:00"/>
    <d v="2023-07-10T19:01:40"/>
    <m/>
    <d v="2023-07-10T00:00:00"/>
    <n v="183"/>
    <n v="7113"/>
    <s v="59674107"/>
    <s v="59674107"/>
    <m/>
    <m/>
    <n v="22789610"/>
    <m/>
    <m/>
    <m/>
    <s v="SOLFIN"/>
    <s v="SOLFIN"/>
    <s v="CCMS"/>
    <n v="21349421"/>
    <n v="8443.67"/>
    <m/>
    <s v="N"/>
    <n v="6"/>
    <d v="2023-07-10T19:01:49"/>
    <s v="Y"/>
    <s v="Hearing Unit 2.31 - 5.00 Hours"/>
    <s v="Public Law Children"/>
    <s v="Advocacy"/>
    <s v="Philip Wilkins"/>
    <s v="Y"/>
    <n v="476.92"/>
    <n v="95.38"/>
    <x v="2"/>
    <s v="VALIDATED"/>
    <n v="1"/>
    <s v="01.11.80.308.6100.0000"/>
    <n v="476.92"/>
    <s v="11"/>
    <s v="6100"/>
    <n v="25191.78"/>
    <n v="476.92"/>
    <s v="CREDITOR"/>
    <n v="0"/>
    <n v="0"/>
    <n v="0"/>
    <n v="0"/>
    <n v="476.92"/>
  </r>
  <r>
    <n v="40954654"/>
    <s v="N"/>
    <n v="21327836"/>
    <s v="3000010939120005"/>
    <s v="CIVIL"/>
    <d v="2023-06-22T00:00:00"/>
    <d v="2023-07-04T19:00:44"/>
    <m/>
    <d v="2023-07-04T00:00:00"/>
    <n v="183"/>
    <n v="7113"/>
    <s v="40954654"/>
    <s v="40954654"/>
    <m/>
    <m/>
    <n v="22746118"/>
    <m/>
    <m/>
    <m/>
    <s v="SOLFIN"/>
    <s v="SOLFIN"/>
    <s v="CCMS"/>
    <n v="21327836"/>
    <n v="6795.68"/>
    <m/>
    <s v="N"/>
    <n v="4"/>
    <d v="2023-07-04T19:00:56"/>
    <s v="Y"/>
    <s v="Final Hearing - 1 Day"/>
    <s v="Public Law Children"/>
    <s v="Advocacy"/>
    <s v="Philip Wilkins"/>
    <s v="Y"/>
    <n v="556.88"/>
    <n v="111.38"/>
    <x v="1"/>
    <s v="VALIDATED"/>
    <n v="1"/>
    <s v="01.11.80.308.6100.0000"/>
    <n v="556.88"/>
    <s v="11"/>
    <s v="6100"/>
    <n v="25191.78"/>
    <n v="556.88"/>
    <s v="CREDITOR"/>
    <n v="0"/>
    <n v="0"/>
    <n v="0"/>
    <n v="0"/>
    <n v="556.88"/>
  </r>
  <r>
    <n v="10157025"/>
    <s v="N"/>
    <n v="21411715"/>
    <s v="3000005977070008"/>
    <s v="CIVIL"/>
    <d v="2023-06-07T00:00:00"/>
    <d v="2023-07-21T19:03:21"/>
    <m/>
    <d v="2023-07-21T00:00:00"/>
    <n v="183"/>
    <n v="7113"/>
    <s v="10157025"/>
    <s v="10157025"/>
    <m/>
    <m/>
    <n v="22642152"/>
    <m/>
    <m/>
    <m/>
    <s v="SOLFIN"/>
    <s v="SOLFIN"/>
    <s v="CCMS"/>
    <n v="21411715"/>
    <n v="3697.45"/>
    <m/>
    <s v="N"/>
    <n v="14"/>
    <d v="2023-07-21T19:03:34"/>
    <s v="Y"/>
    <s v="Preparation - drafting instructions"/>
    <s v="Prescribed Hourly Rates"/>
    <s v="Profit Cost"/>
    <s v="Angela Simpson"/>
    <s v="Y"/>
    <n v="20.49"/>
    <n v="4.1"/>
    <x v="12"/>
    <s v="VALIDATED"/>
    <n v="1"/>
    <s v="01.11.80.303.6100.0000"/>
    <n v="20.49"/>
    <s v="11"/>
    <s v="6100"/>
    <n v="25191.78"/>
    <n v="20.49"/>
    <s v="CREDITOR"/>
    <n v="0"/>
    <n v="0"/>
    <n v="0"/>
    <n v="0"/>
    <n v="20.49"/>
  </r>
  <r>
    <n v="11525164"/>
    <s v="N"/>
    <n v="21319137"/>
    <s v="3000006951050003"/>
    <s v="CIVIL"/>
    <d v="2023-06-22T00:00:00"/>
    <d v="2023-07-03T19:01:49"/>
    <m/>
    <d v="2023-07-03T00:00:00"/>
    <n v="183"/>
    <n v="7113"/>
    <s v="11525164"/>
    <s v="11525164"/>
    <m/>
    <m/>
    <n v="22745680"/>
    <m/>
    <m/>
    <m/>
    <s v="SOLFIN"/>
    <s v="SOLFIN"/>
    <s v="CCMS"/>
    <n v="21319137"/>
    <n v="7073.87"/>
    <m/>
    <s v="N"/>
    <n v="3"/>
    <d v="2023-07-03T19:02:12"/>
    <s v="Y"/>
    <s v="Psychiatrist"/>
    <s v="Public Law Children"/>
    <s v="Expert Disbursement"/>
    <s v="Dr Stein"/>
    <s v="Y"/>
    <n v="80.8"/>
    <n v="0"/>
    <x v="3"/>
    <s v="VALIDATED"/>
    <n v="1"/>
    <s v="01.11.80.308.6300.0000"/>
    <n v="80.8"/>
    <s v="11"/>
    <s v="6300"/>
    <n v="25191.78"/>
    <n v="80.8"/>
    <s v="CREDITOR"/>
    <n v="0"/>
    <n v="0"/>
    <n v="0"/>
    <n v="0"/>
    <n v="80.8"/>
  </r>
  <r>
    <n v="10157025"/>
    <s v="N"/>
    <n v="21411715"/>
    <s v="3000005977070008"/>
    <s v="CIVIL"/>
    <d v="2023-06-07T00:00:00"/>
    <d v="2023-07-21T19:03:21"/>
    <m/>
    <d v="2023-07-21T00:00:00"/>
    <n v="183"/>
    <n v="7113"/>
    <s v="10157025"/>
    <s v="10157025"/>
    <m/>
    <m/>
    <n v="22642152"/>
    <m/>
    <m/>
    <m/>
    <s v="SOLFIN"/>
    <s v="SOLFIN"/>
    <s v="CCMS"/>
    <n v="21411715"/>
    <n v="3697.45"/>
    <m/>
    <s v="N"/>
    <n v="26"/>
    <d v="2023-07-21T19:03:34"/>
    <s v="Y"/>
    <s v="Preparation - drafting pleadings"/>
    <s v="Prescribed Hourly Rates"/>
    <s v="Profit Cost"/>
    <s v="Angela Simpson"/>
    <s v="Y"/>
    <n v="20.49"/>
    <n v="4.1"/>
    <x v="12"/>
    <s v="VALIDATED"/>
    <n v="1"/>
    <s v="01.11.80.303.6100.0000"/>
    <n v="20.49"/>
    <s v="11"/>
    <s v="6100"/>
    <n v="25191.78"/>
    <n v="20.49"/>
    <s v="CREDITOR"/>
    <n v="0"/>
    <n v="0"/>
    <n v="0"/>
    <n v="0"/>
    <n v="20.49"/>
  </r>
  <r>
    <n v="60575760"/>
    <s v="N"/>
    <n v="21349436"/>
    <s v="3000014840730007"/>
    <s v="CIVIL"/>
    <d v="2023-06-29T00:00:00"/>
    <d v="2023-07-10T19:01:40"/>
    <m/>
    <d v="2023-07-10T00:00:00"/>
    <n v="183"/>
    <n v="7113"/>
    <s v="60575760"/>
    <s v="60575760"/>
    <m/>
    <m/>
    <n v="22787198"/>
    <m/>
    <m/>
    <m/>
    <s v="SOLFIN"/>
    <s v="SOLFIN"/>
    <s v="CCMS"/>
    <n v="21349436"/>
    <n v="6646.81"/>
    <m/>
    <s v="N"/>
    <n v="9"/>
    <d v="2023-07-10T19:01:50"/>
    <s v="Y"/>
    <s v="Advocates Meeting"/>
    <s v="Public Law Children"/>
    <s v="Advocacy"/>
    <s v="Philip Wilkins"/>
    <s v="Y"/>
    <n v="128.16"/>
    <n v="25.63"/>
    <x v="2"/>
    <s v="VALIDATED"/>
    <n v="1"/>
    <s v="01.11.80.308.6100.0000"/>
    <n v="128.16"/>
    <s v="11"/>
    <s v="6100"/>
    <n v="25191.78"/>
    <n v="128.16"/>
    <s v="CREDITOR"/>
    <n v="0"/>
    <n v="0"/>
    <n v="0"/>
    <n v="0"/>
    <n v="128.16"/>
  </r>
  <r>
    <n v="40954654"/>
    <s v="N"/>
    <n v="21327836"/>
    <s v="3000010939120005"/>
    <s v="CIVIL"/>
    <d v="2023-06-22T00:00:00"/>
    <d v="2023-07-04T19:00:44"/>
    <m/>
    <d v="2023-07-04T00:00:00"/>
    <n v="183"/>
    <n v="7113"/>
    <s v="40954654"/>
    <s v="40954654"/>
    <m/>
    <m/>
    <n v="22746118"/>
    <m/>
    <m/>
    <m/>
    <s v="SOLFIN"/>
    <s v="SOLFIN"/>
    <s v="CCMS"/>
    <n v="21327836"/>
    <n v="6795.68"/>
    <m/>
    <s v="N"/>
    <n v="10"/>
    <d v="2023-07-04T19:00:56"/>
    <s v="Y"/>
    <s v="Advocates Meeting"/>
    <s v="Public Law Children"/>
    <s v="Advocacy"/>
    <s v="Philip Wilkins"/>
    <s v="Y"/>
    <n v="140.99"/>
    <n v="28.2"/>
    <x v="1"/>
    <s v="VALIDATED"/>
    <n v="1"/>
    <s v="01.11.80.308.6100.0000"/>
    <n v="140.99"/>
    <s v="11"/>
    <s v="6100"/>
    <n v="25191.78"/>
    <n v="140.99"/>
    <s v="CREDITOR"/>
    <n v="0"/>
    <n v="0"/>
    <n v="0"/>
    <n v="0"/>
    <n v="140.99"/>
  </r>
  <r>
    <n v="10157025"/>
    <s v="N"/>
    <n v="21411715"/>
    <s v="3000005977070008"/>
    <s v="CIVIL"/>
    <d v="2023-06-07T00:00:00"/>
    <d v="2023-07-21T19:03:21"/>
    <m/>
    <d v="2023-07-21T00:00:00"/>
    <n v="183"/>
    <n v="7113"/>
    <s v="10157025"/>
    <s v="10157025"/>
    <m/>
    <m/>
    <n v="22642152"/>
    <m/>
    <m/>
    <m/>
    <s v="SOLFIN"/>
    <s v="SOLFIN"/>
    <s v="CCMS"/>
    <n v="21411715"/>
    <n v="3697.45"/>
    <m/>
    <s v="N"/>
    <n v="5"/>
    <d v="2023-07-21T19:03:34"/>
    <s v="Y"/>
    <s v="Preparation - drafting pleadings"/>
    <s v="Prescribed Hourly Rates"/>
    <s v="Profit Cost"/>
    <s v="Angela Simpson"/>
    <s v="Y"/>
    <n v="54.65"/>
    <n v="10.93"/>
    <x v="12"/>
    <s v="VALIDATED"/>
    <n v="1"/>
    <s v="01.11.80.303.6100.0000"/>
    <n v="54.65"/>
    <s v="11"/>
    <s v="6100"/>
    <n v="25191.78"/>
    <n v="54.65"/>
    <s v="CREDITOR"/>
    <n v="0"/>
    <n v="0"/>
    <n v="0"/>
    <n v="0"/>
    <n v="54.65"/>
  </r>
  <r>
    <n v="59674107"/>
    <s v="N"/>
    <n v="21349421"/>
    <s v="3000014066380008"/>
    <s v="CIVIL"/>
    <d v="2023-06-29T00:00:00"/>
    <d v="2023-07-10T19:01:40"/>
    <m/>
    <d v="2023-07-10T00:00:00"/>
    <n v="183"/>
    <n v="7113"/>
    <s v="59674107"/>
    <s v="59674107"/>
    <m/>
    <m/>
    <n v="22789610"/>
    <m/>
    <m/>
    <m/>
    <s v="SOLFIN"/>
    <s v="SOLFIN"/>
    <s v="CCMS"/>
    <n v="21349421"/>
    <n v="8443.67"/>
    <m/>
    <s v="N"/>
    <n v="9"/>
    <d v="2023-07-10T19:01:49"/>
    <s v="Y"/>
    <s v="Solicitors Fixed Fee"/>
    <s v="Public Law Children"/>
    <s v="Profit Cost"/>
    <s v="Philip Wilkins"/>
    <s v="Y"/>
    <n v="2616"/>
    <n v="523.2"/>
    <x v="2"/>
    <s v="VALIDATED"/>
    <n v="1"/>
    <s v="01.11.80.308.6100.0000"/>
    <n v="2616"/>
    <s v="11"/>
    <s v="6100"/>
    <n v="25191.78"/>
    <n v="2616"/>
    <s v="CREDITOR"/>
    <n v="0"/>
    <n v="0"/>
    <n v="0"/>
    <n v="0"/>
    <n v="2616"/>
  </r>
  <r>
    <n v="40954654"/>
    <s v="N"/>
    <n v="21327836"/>
    <s v="3000010939120005"/>
    <s v="CIVIL"/>
    <d v="2023-06-22T00:00:00"/>
    <d v="2023-07-04T19:00:44"/>
    <m/>
    <d v="2023-07-04T00:00:00"/>
    <n v="183"/>
    <n v="7113"/>
    <s v="40954654"/>
    <s v="40954654"/>
    <m/>
    <m/>
    <n v="22746118"/>
    <m/>
    <m/>
    <m/>
    <s v="SOLFIN"/>
    <s v="SOLFIN"/>
    <s v="CCMS"/>
    <n v="21327836"/>
    <n v="6795.68"/>
    <m/>
    <s v="N"/>
    <n v="9"/>
    <d v="2023-07-04T19:00:56"/>
    <s v="Y"/>
    <s v="Advocates Meeting"/>
    <s v="Public Law Children"/>
    <s v="Advocacy"/>
    <s v="Philip Wilkins"/>
    <s v="Y"/>
    <n v="140.99"/>
    <n v="28.2"/>
    <x v="1"/>
    <s v="VALIDATED"/>
    <n v="1"/>
    <s v="01.11.80.308.6100.0000"/>
    <n v="140.99"/>
    <s v="11"/>
    <s v="6100"/>
    <n v="25191.78"/>
    <n v="140.99"/>
    <s v="CREDITOR"/>
    <n v="0"/>
    <n v="0"/>
    <n v="0"/>
    <n v="0"/>
    <n v="140.99"/>
  </r>
  <r>
    <n v="11099426"/>
    <s v="N"/>
    <n v="21330696"/>
    <s v="3000006772850014"/>
    <s v="CIVIL"/>
    <d v="2023-06-26T00:00:00"/>
    <d v="2023-07-05T19:01:47"/>
    <m/>
    <d v="2023-07-05T00:00:00"/>
    <n v="183"/>
    <n v="7113"/>
    <s v="11099426"/>
    <s v="11099426"/>
    <m/>
    <m/>
    <n v="22760586"/>
    <m/>
    <m/>
    <m/>
    <s v="SOLFIN"/>
    <s v="SOLFIN"/>
    <s v="CCMS"/>
    <n v="21330696"/>
    <n v="4200.24"/>
    <m/>
    <s v="N"/>
    <n v="6"/>
    <d v="2023-07-05T19:01:53"/>
    <s v="N"/>
    <s v="Client Travel Expenses"/>
    <s v="Public Law Children"/>
    <s v="Non Expert Disbursement"/>
    <s v="Philip Wilkins"/>
    <s v="N"/>
    <n v="0"/>
    <n v="0"/>
    <x v="6"/>
    <s v="VALIDATED"/>
    <n v="1"/>
    <s v="01.11.80.308.6300.0000"/>
    <n v="0"/>
    <s v="11"/>
    <s v="6300"/>
    <n v="25191.78"/>
    <n v="0"/>
    <s v="CREDITOR"/>
    <n v="0"/>
    <n v="0"/>
    <n v="0"/>
    <n v="0"/>
    <n v="0"/>
  </r>
  <r>
    <n v="11525164"/>
    <s v="N"/>
    <n v="21319137"/>
    <s v="3000006951050003"/>
    <s v="CIVIL"/>
    <d v="2023-06-22T00:00:00"/>
    <d v="2023-07-03T19:01:49"/>
    <m/>
    <d v="2023-07-03T00:00:00"/>
    <n v="183"/>
    <n v="7113"/>
    <s v="11525164"/>
    <s v="11525164"/>
    <m/>
    <m/>
    <n v="22745680"/>
    <m/>
    <m/>
    <m/>
    <s v="SOLFIN"/>
    <s v="SOLFIN"/>
    <s v="CCMS"/>
    <n v="21319137"/>
    <n v="7073.87"/>
    <m/>
    <s v="N"/>
    <n v="2"/>
    <d v="2023-07-03T19:02:12"/>
    <s v="Y"/>
    <s v="Interim Hearing Court Bundle/Advoca"/>
    <s v="Public Law Children"/>
    <s v="Advocacy"/>
    <s v="Philip Wilkins"/>
    <s v="Y"/>
    <n v="59.4"/>
    <n v="11.88"/>
    <x v="3"/>
    <s v="VALIDATED"/>
    <n v="1"/>
    <s v="01.11.80.308.6100.0000"/>
    <n v="59.4"/>
    <s v="11"/>
    <s v="6100"/>
    <n v="25191.78"/>
    <n v="59.4"/>
    <s v="CREDITOR"/>
    <n v="0"/>
    <n v="0"/>
    <n v="0"/>
    <n v="0"/>
    <n v="59.4"/>
  </r>
  <r>
    <n v="11525164"/>
    <s v="N"/>
    <n v="21319137"/>
    <s v="3000006951050003"/>
    <s v="CIVIL"/>
    <d v="2023-06-22T00:00:00"/>
    <d v="2023-07-03T19:01:49"/>
    <m/>
    <d v="2023-07-03T00:00:00"/>
    <n v="183"/>
    <n v="7113"/>
    <s v="11525164"/>
    <s v="11525164"/>
    <m/>
    <m/>
    <n v="22745680"/>
    <m/>
    <m/>
    <m/>
    <s v="SOLFIN"/>
    <s v="SOLFIN"/>
    <s v="CCMS"/>
    <n v="21319137"/>
    <n v="7073.87"/>
    <m/>
    <s v="N"/>
    <n v="8"/>
    <d v="2023-07-03T19:02:12"/>
    <s v="Y"/>
    <s v="Hearing Unit 2.31 - 5.00 Hours"/>
    <s v="Public Law Children"/>
    <s v="Advocacy"/>
    <s v="Philip Wilkins"/>
    <s v="Y"/>
    <n v="596.15"/>
    <n v="119.23"/>
    <x v="3"/>
    <s v="VALIDATED"/>
    <n v="1"/>
    <s v="01.11.80.308.6100.0000"/>
    <n v="596.15"/>
    <s v="11"/>
    <s v="6100"/>
    <n v="25191.78"/>
    <n v="596.15"/>
    <s v="CREDITOR"/>
    <n v="0"/>
    <n v="0"/>
    <n v="0"/>
    <n v="0"/>
    <n v="596.15"/>
  </r>
  <r>
    <n v="10157025"/>
    <s v="N"/>
    <n v="21411715"/>
    <s v="3000005977070008"/>
    <s v="CIVIL"/>
    <d v="2023-06-07T00:00:00"/>
    <d v="2023-07-21T19:03:21"/>
    <m/>
    <d v="2023-07-21T00:00:00"/>
    <n v="183"/>
    <n v="7113"/>
    <s v="10157025"/>
    <s v="10157025"/>
    <m/>
    <m/>
    <n v="22642152"/>
    <m/>
    <m/>
    <m/>
    <s v="SOLFIN"/>
    <s v="SOLFIN"/>
    <s v="CCMS"/>
    <n v="21411715"/>
    <n v="3697.45"/>
    <m/>
    <s v="N"/>
    <n v="6"/>
    <d v="2023-07-21T19:03:34"/>
    <s v="Y"/>
    <s v="Preparation - drafting pleadings"/>
    <s v="Prescribed Hourly Rates"/>
    <s v="Profit Cost"/>
    <s v="Angela Simpson"/>
    <s v="Y"/>
    <n v="13.66"/>
    <n v="2.73"/>
    <x v="12"/>
    <s v="VALIDATED"/>
    <n v="1"/>
    <s v="01.11.80.303.6100.0000"/>
    <n v="13.66"/>
    <s v="11"/>
    <s v="6100"/>
    <n v="25191.78"/>
    <n v="13.66"/>
    <s v="CREDITOR"/>
    <n v="0"/>
    <n v="0"/>
    <n v="0"/>
    <n v="0"/>
    <n v="13.66"/>
  </r>
  <r>
    <n v="11534132"/>
    <s v="N"/>
    <n v="21343997"/>
    <s v="3000006913160024"/>
    <s v="CIVIL"/>
    <d v="2023-06-27T00:00:00"/>
    <d v="2023-07-07T19:03:00"/>
    <m/>
    <d v="2023-07-07T00:00:00"/>
    <n v="183"/>
    <n v="7113"/>
    <s v="11534132"/>
    <s v="11534132"/>
    <m/>
    <m/>
    <n v="22772570"/>
    <m/>
    <m/>
    <m/>
    <s v="SOLFIN"/>
    <s v="SOLFIN"/>
    <s v="CCMS"/>
    <n v="21343997"/>
    <n v="2900.83"/>
    <m/>
    <s v="N"/>
    <n v="15"/>
    <d v="2023-07-07T19:03:20"/>
    <s v="Y"/>
    <s v="Interpreter"/>
    <s v="Private Law Children"/>
    <s v="Expert Disbursement"/>
    <s v="Lexicon Linguistics"/>
    <s v="Y"/>
    <n v="25"/>
    <n v="5"/>
    <x v="9"/>
    <s v="VALIDATED"/>
    <n v="1"/>
    <s v="01.11.80.302.6300.0000"/>
    <n v="25"/>
    <s v="11"/>
    <s v="6300"/>
    <n v="25191.78"/>
    <n v="25"/>
    <s v="CREDITOR"/>
    <n v="0"/>
    <n v="0"/>
    <n v="0"/>
    <n v="0"/>
    <n v="25"/>
  </r>
  <r>
    <n v="11534132"/>
    <s v="N"/>
    <n v="21343997"/>
    <s v="3000006913160024"/>
    <s v="CIVIL"/>
    <d v="2023-06-27T00:00:00"/>
    <d v="2023-07-07T19:03:00"/>
    <m/>
    <d v="2023-07-07T00:00:00"/>
    <n v="183"/>
    <n v="7113"/>
    <s v="11534132"/>
    <s v="11534132"/>
    <m/>
    <m/>
    <n v="22772570"/>
    <m/>
    <m/>
    <m/>
    <s v="SOLFIN"/>
    <s v="SOLFIN"/>
    <s v="CCMS"/>
    <n v="21343997"/>
    <n v="2900.83"/>
    <m/>
    <s v="N"/>
    <n v="1"/>
    <d v="2023-07-07T19:03:20"/>
    <s v="Y"/>
    <s v="Other"/>
    <s v="Private Law Children"/>
    <s v="Non Expert Disbursement"/>
    <s v="BT Conferencing"/>
    <s v="Y"/>
    <n v="7.76"/>
    <n v="1.55"/>
    <x v="9"/>
    <s v="VALIDATED"/>
    <n v="1"/>
    <s v="01.11.80.302.6300.0000"/>
    <n v="7.76"/>
    <s v="11"/>
    <s v="6300"/>
    <n v="25191.78"/>
    <n v="7.76"/>
    <s v="CREDITOR"/>
    <n v="0"/>
    <n v="0"/>
    <n v="0"/>
    <n v="0"/>
    <n v="7.76"/>
  </r>
  <r>
    <n v="11099426"/>
    <s v="N"/>
    <n v="21330696"/>
    <s v="3000006772850014"/>
    <s v="CIVIL"/>
    <d v="2023-06-26T00:00:00"/>
    <d v="2023-07-05T19:01:47"/>
    <m/>
    <d v="2023-07-05T00:00:00"/>
    <n v="183"/>
    <n v="7113"/>
    <s v="11099426"/>
    <s v="11099426"/>
    <m/>
    <m/>
    <n v="22760586"/>
    <m/>
    <m/>
    <m/>
    <s v="SOLFIN"/>
    <s v="SOLFIN"/>
    <s v="CCMS"/>
    <n v="21330696"/>
    <n v="4200.24"/>
    <m/>
    <s v="N"/>
    <n v="10"/>
    <d v="2023-07-05T19:01:53"/>
    <s v="Y"/>
    <s v="Solicitors Fixed Fee"/>
    <s v="Public Law Children"/>
    <s v="Profit Cost"/>
    <s v="Philip Wilkins"/>
    <s v="Y"/>
    <n v="2616"/>
    <n v="523.2"/>
    <x v="6"/>
    <s v="VALIDATED"/>
    <n v="1"/>
    <s v="01.11.80.308.6100.0000"/>
    <n v="2616"/>
    <s v="11"/>
    <s v="6100"/>
    <n v="25191.78"/>
    <n v="2616"/>
    <s v="CREDITOR"/>
    <n v="0"/>
    <n v="0"/>
    <n v="0"/>
    <n v="0"/>
    <n v="2616"/>
  </r>
  <r>
    <n v="11099426"/>
    <s v="N"/>
    <n v="21330696"/>
    <s v="3000006772850014"/>
    <s v="CIVIL"/>
    <d v="2023-06-26T00:00:00"/>
    <d v="2023-07-05T19:01:47"/>
    <m/>
    <d v="2023-07-05T00:00:00"/>
    <n v="183"/>
    <n v="7113"/>
    <s v="11099426"/>
    <s v="11099426"/>
    <m/>
    <m/>
    <n v="22760586"/>
    <m/>
    <m/>
    <m/>
    <s v="SOLFIN"/>
    <s v="SOLFIN"/>
    <s v="CCMS"/>
    <n v="21330696"/>
    <n v="4200.24"/>
    <m/>
    <s v="N"/>
    <n v="9"/>
    <d v="2023-07-05T19:01:53"/>
    <s v="Y"/>
    <s v="Toxicologist"/>
    <s v="Public Law Children"/>
    <s v="Expert Disbursement"/>
    <s v="AlphaBiolabs"/>
    <s v="Y"/>
    <n v="104"/>
    <n v="20.8"/>
    <x v="6"/>
    <s v="VALIDATED"/>
    <n v="1"/>
    <s v="01.11.80.308.6300.0000"/>
    <n v="104"/>
    <s v="11"/>
    <s v="6300"/>
    <n v="25191.78"/>
    <n v="104"/>
    <s v="CREDITOR"/>
    <n v="0"/>
    <n v="0"/>
    <n v="0"/>
    <n v="0"/>
    <n v="104"/>
  </r>
  <r>
    <n v="11525164"/>
    <s v="N"/>
    <n v="21319137"/>
    <s v="3000006951050003"/>
    <s v="CIVIL"/>
    <d v="2023-06-22T00:00:00"/>
    <d v="2023-07-03T19:01:49"/>
    <m/>
    <d v="2023-07-03T00:00:00"/>
    <n v="183"/>
    <n v="7113"/>
    <s v="11525164"/>
    <s v="11525164"/>
    <m/>
    <m/>
    <n v="22745680"/>
    <m/>
    <m/>
    <m/>
    <s v="SOLFIN"/>
    <s v="SOLFIN"/>
    <s v="CCMS"/>
    <n v="21319137"/>
    <n v="7073.87"/>
    <m/>
    <s v="N"/>
    <n v="10"/>
    <d v="2023-07-03T19:02:12"/>
    <s v="Y"/>
    <s v="Advocates Meeting"/>
    <s v="Public Law Children"/>
    <s v="Advocacy"/>
    <s v="Philip Wilkins"/>
    <s v="Y"/>
    <n v="140.99"/>
    <n v="28.2"/>
    <x v="3"/>
    <s v="VALIDATED"/>
    <n v="1"/>
    <s v="01.11.80.308.6100.0000"/>
    <n v="140.99"/>
    <s v="11"/>
    <s v="6100"/>
    <n v="25191.78"/>
    <n v="140.99"/>
    <s v="CREDITOR"/>
    <n v="0"/>
    <n v="0"/>
    <n v="0"/>
    <n v="0"/>
    <n v="140.99"/>
  </r>
  <r>
    <n v="11534132"/>
    <s v="N"/>
    <n v="21343997"/>
    <s v="3000006913160024"/>
    <s v="CIVIL"/>
    <d v="2023-06-27T00:00:00"/>
    <d v="2023-07-07T19:03:00"/>
    <m/>
    <d v="2023-07-07T00:00:00"/>
    <n v="183"/>
    <n v="7113"/>
    <s v="11534132"/>
    <s v="11534132"/>
    <m/>
    <m/>
    <n v="22772570"/>
    <m/>
    <m/>
    <m/>
    <s v="SOLFIN"/>
    <s v="SOLFIN"/>
    <s v="CCMS"/>
    <n v="21343997"/>
    <n v="2900.83"/>
    <m/>
    <s v="N"/>
    <n v="6"/>
    <d v="2023-07-07T19:03:20"/>
    <s v="Y"/>
    <s v="Process server"/>
    <s v="Domestic Abuse"/>
    <s v="Expert Disbursement"/>
    <s v="Fox Investigation Services"/>
    <s v="Y"/>
    <n v="240.6"/>
    <n v="48.12"/>
    <x v="9"/>
    <s v="VALIDATED"/>
    <n v="1"/>
    <s v="01.11.80.302.6300.0000"/>
    <n v="240.6"/>
    <s v="11"/>
    <s v="6300"/>
    <n v="25191.78"/>
    <n v="240.6"/>
    <s v="CREDITOR"/>
    <n v="0"/>
    <n v="0"/>
    <n v="0"/>
    <n v="0"/>
    <n v="240.6"/>
  </r>
  <r>
    <n v="10157025"/>
    <s v="N"/>
    <n v="21411715"/>
    <s v="3000005977070008"/>
    <s v="CIVIL"/>
    <d v="2023-06-07T00:00:00"/>
    <d v="2023-07-21T19:03:21"/>
    <m/>
    <d v="2023-07-21T00:00:00"/>
    <n v="183"/>
    <n v="7113"/>
    <s v="10157025"/>
    <s v="10157025"/>
    <m/>
    <m/>
    <n v="22642152"/>
    <m/>
    <m/>
    <m/>
    <s v="SOLFIN"/>
    <s v="SOLFIN"/>
    <s v="CCMS"/>
    <n v="21411715"/>
    <n v="3697.45"/>
    <m/>
    <s v="N"/>
    <n v="34"/>
    <d v="2023-07-21T19:03:34"/>
    <s v="Y"/>
    <s v="Preparation - other"/>
    <s v="Prescribed Hourly Rates"/>
    <s v="Profit Cost"/>
    <s v="Angela Simpson"/>
    <s v="Y"/>
    <n v="20.49"/>
    <n v="4.1"/>
    <x v="12"/>
    <s v="VALIDATED"/>
    <n v="1"/>
    <s v="01.11.80.303.6100.0000"/>
    <n v="20.49"/>
    <s v="11"/>
    <s v="6100"/>
    <n v="25191.78"/>
    <n v="20.49"/>
    <s v="CREDITOR"/>
    <n v="0"/>
    <n v="0"/>
    <n v="0"/>
    <n v="0"/>
    <n v="20.49"/>
  </r>
  <r>
    <n v="9261231"/>
    <s v="N"/>
    <n v="21330518"/>
    <s v="3000005240270016"/>
    <s v="CIVIL"/>
    <d v="2023-06-26T00:00:00"/>
    <d v="2023-07-05T19:01:47"/>
    <m/>
    <d v="2023-07-05T00:00:00"/>
    <n v="183"/>
    <n v="7113"/>
    <s v="9261231"/>
    <s v="9261231"/>
    <m/>
    <m/>
    <n v="22759414"/>
    <m/>
    <m/>
    <m/>
    <s v="SOLFIN"/>
    <s v="SOLFIN"/>
    <s v="CCMS"/>
    <n v="21330518"/>
    <n v="5805.07"/>
    <m/>
    <s v="N"/>
    <n v="11"/>
    <d v="2023-07-05T19:01:50"/>
    <s v="Y"/>
    <s v="Final Hearing - 1 Day"/>
    <s v="Public Law Children"/>
    <s v="Advocacy"/>
    <s v="Philip Wilkins"/>
    <s v="Y"/>
    <n v="556.88"/>
    <n v="111.38"/>
    <x v="6"/>
    <s v="VALIDATED"/>
    <n v="1"/>
    <s v="01.11.80.308.6100.0000"/>
    <n v="556.88"/>
    <s v="11"/>
    <s v="6100"/>
    <n v="25191.78"/>
    <n v="556.88"/>
    <s v="CREDITOR"/>
    <n v="0"/>
    <n v="0"/>
    <n v="0"/>
    <n v="0"/>
    <n v="556.88"/>
  </r>
  <r>
    <n v="9261231"/>
    <s v="N"/>
    <n v="21330518"/>
    <s v="3000005240270016"/>
    <s v="CIVIL"/>
    <d v="2023-06-26T00:00:00"/>
    <d v="2023-07-05T19:01:47"/>
    <m/>
    <d v="2023-07-05T00:00:00"/>
    <n v="183"/>
    <n v="7113"/>
    <s v="9261231"/>
    <s v="9261231"/>
    <m/>
    <m/>
    <n v="22759414"/>
    <m/>
    <m/>
    <m/>
    <s v="SOLFIN"/>
    <s v="SOLFIN"/>
    <s v="CCMS"/>
    <n v="21330518"/>
    <n v="5805.07"/>
    <m/>
    <s v="N"/>
    <n v="2"/>
    <d v="2023-07-05T19:01:50"/>
    <s v="Y"/>
    <s v="Client Travel Expenses"/>
    <s v="Public Law Children"/>
    <s v="Non Expert Disbursement"/>
    <s v="Philip Wilkins"/>
    <s v="Y"/>
    <n v="14.6"/>
    <n v="0"/>
    <x v="6"/>
    <s v="VALIDATED"/>
    <n v="1"/>
    <s v="01.11.80.308.6300.0000"/>
    <n v="14.6"/>
    <s v="11"/>
    <s v="6300"/>
    <n v="25191.78"/>
    <n v="14.6"/>
    <s v="CREDITOR"/>
    <n v="0"/>
    <n v="0"/>
    <n v="0"/>
    <n v="0"/>
    <n v="14.6"/>
  </r>
  <r>
    <n v="11534132"/>
    <s v="N"/>
    <n v="21343997"/>
    <s v="3000006913160024"/>
    <s v="CIVIL"/>
    <d v="2023-06-27T00:00:00"/>
    <d v="2023-07-07T19:03:00"/>
    <m/>
    <d v="2023-07-07T00:00:00"/>
    <n v="183"/>
    <n v="7113"/>
    <s v="11534132"/>
    <s v="11534132"/>
    <m/>
    <m/>
    <n v="22772570"/>
    <m/>
    <m/>
    <m/>
    <s v="SOLFIN"/>
    <s v="SOLFIN"/>
    <s v="CCMS"/>
    <n v="21343997"/>
    <n v="2900.83"/>
    <m/>
    <s v="N"/>
    <n v="17"/>
    <d v="2023-07-07T19:03:20"/>
    <s v="Y"/>
    <s v="Level 3 &amp; Level 4 Fixed Fee"/>
    <s v="Private Law Children"/>
    <s v="Profit Cost"/>
    <s v="Angela Simpson"/>
    <s v="Y"/>
    <n v="726"/>
    <n v="145.2"/>
    <x v="9"/>
    <s v="VALIDATED"/>
    <n v="1"/>
    <s v="01.11.80.302.6100.0000"/>
    <n v="726"/>
    <s v="11"/>
    <s v="6100"/>
    <n v="25191.78"/>
    <n v="726"/>
    <s v="CREDITOR"/>
    <n v="0"/>
    <n v="0"/>
    <n v="0"/>
    <n v="0"/>
    <n v="726"/>
  </r>
  <r>
    <n v="10157025"/>
    <s v="N"/>
    <n v="21411715"/>
    <s v="3000005977070008"/>
    <s v="CIVIL"/>
    <d v="2023-06-07T00:00:00"/>
    <d v="2023-07-21T19:03:21"/>
    <m/>
    <d v="2023-07-21T00:00:00"/>
    <n v="183"/>
    <n v="7113"/>
    <s v="10157025"/>
    <s v="10157025"/>
    <m/>
    <m/>
    <n v="22642152"/>
    <m/>
    <m/>
    <m/>
    <s v="SOLFIN"/>
    <s v="SOLFIN"/>
    <s v="CCMS"/>
    <n v="21411715"/>
    <n v="3697.45"/>
    <m/>
    <s v="N"/>
    <n v="38"/>
    <d v="2023-07-21T19:03:34"/>
    <s v="Y"/>
    <s v="Attendance upon client"/>
    <s v="Prescribed Hourly Rates"/>
    <s v="Profit Cost"/>
    <s v="Angela Simpson"/>
    <s v="Y"/>
    <n v="61.48"/>
    <n v="12.3"/>
    <x v="12"/>
    <s v="VALIDATED"/>
    <n v="1"/>
    <s v="01.11.80.303.6100.0000"/>
    <n v="61.48"/>
    <s v="11"/>
    <s v="6100"/>
    <n v="25191.78"/>
    <n v="61.48"/>
    <s v="CREDITOR"/>
    <n v="0"/>
    <n v="0"/>
    <n v="0"/>
    <n v="0"/>
    <n v="61.48"/>
  </r>
  <r>
    <n v="60575760"/>
    <s v="N"/>
    <n v="21349436"/>
    <s v="3000014840730007"/>
    <s v="CIVIL"/>
    <d v="2023-06-29T00:00:00"/>
    <d v="2023-07-10T19:01:40"/>
    <m/>
    <d v="2023-07-10T00:00:00"/>
    <n v="183"/>
    <n v="7113"/>
    <s v="60575760"/>
    <s v="60575760"/>
    <m/>
    <m/>
    <n v="22787198"/>
    <m/>
    <m/>
    <m/>
    <s v="SOLFIN"/>
    <s v="SOLFIN"/>
    <s v="CCMS"/>
    <n v="21349436"/>
    <n v="6646.81"/>
    <m/>
    <s v="N"/>
    <n v="8"/>
    <d v="2023-07-10T19:01:50"/>
    <s v="Y"/>
    <s v="Hearing Unit 2.31 - 5.00 Hours"/>
    <s v="Public Law Children"/>
    <s v="Advocacy"/>
    <s v="Philip Wilkins"/>
    <s v="Y"/>
    <n v="433.62"/>
    <n v="86.72"/>
    <x v="2"/>
    <s v="VALIDATED"/>
    <n v="1"/>
    <s v="01.11.80.308.6100.0000"/>
    <n v="433.62"/>
    <s v="11"/>
    <s v="6100"/>
    <n v="25191.78"/>
    <n v="433.62"/>
    <s v="CREDITOR"/>
    <n v="0"/>
    <n v="0"/>
    <n v="0"/>
    <n v="0"/>
    <n v="433.62"/>
  </r>
  <r>
    <n v="9261231"/>
    <s v="N"/>
    <n v="21330518"/>
    <s v="3000005240270016"/>
    <s v="CIVIL"/>
    <d v="2023-06-26T00:00:00"/>
    <d v="2023-07-05T19:01:47"/>
    <m/>
    <d v="2023-07-05T00:00:00"/>
    <n v="183"/>
    <n v="7113"/>
    <s v="9261231"/>
    <s v="9261231"/>
    <m/>
    <m/>
    <n v="22759414"/>
    <m/>
    <m/>
    <m/>
    <s v="SOLFIN"/>
    <s v="SOLFIN"/>
    <s v="CCMS"/>
    <n v="21330518"/>
    <n v="5805.07"/>
    <m/>
    <s v="N"/>
    <n v="8"/>
    <d v="2023-07-05T19:01:50"/>
    <s v="Y"/>
    <s v="Client Travel Expenses"/>
    <s v="Public Law Children"/>
    <s v="Non Expert Disbursement"/>
    <s v="Philip Wilkins"/>
    <s v="Y"/>
    <n v="30"/>
    <n v="0"/>
    <x v="6"/>
    <s v="VALIDATED"/>
    <n v="1"/>
    <s v="01.11.80.308.6300.0000"/>
    <n v="30"/>
    <s v="11"/>
    <s v="6300"/>
    <n v="25191.78"/>
    <n v="30"/>
    <s v="CREDITOR"/>
    <n v="0"/>
    <n v="0"/>
    <n v="0"/>
    <n v="0"/>
    <n v="30"/>
  </r>
  <r>
    <n v="59548439"/>
    <s v="N"/>
    <n v="21344108"/>
    <s v="3000013957510002"/>
    <s v="CIVIL"/>
    <d v="2023-06-29T00:00:00"/>
    <d v="2023-07-07T19:03:00"/>
    <m/>
    <d v="2023-07-07T00:00:00"/>
    <n v="183"/>
    <n v="7113"/>
    <s v="59548439"/>
    <s v="59548439"/>
    <m/>
    <m/>
    <n v="22788540"/>
    <m/>
    <m/>
    <m/>
    <s v="SOLFIN"/>
    <s v="SOLFIN"/>
    <s v="CCMS"/>
    <n v="21344108"/>
    <n v="5112.34"/>
    <m/>
    <s v="N"/>
    <n v="6"/>
    <d v="2023-07-07T19:03:23"/>
    <s v="Y"/>
    <s v="Advocates Meeting"/>
    <s v="Public Law Children"/>
    <s v="Advocacy"/>
    <s v="Philip Wilkins"/>
    <s v="Y"/>
    <n v="140.99"/>
    <n v="28.2"/>
    <x v="9"/>
    <s v="VALIDATED"/>
    <n v="1"/>
    <s v="01.11.80.308.6100.0000"/>
    <n v="140.99"/>
    <s v="11"/>
    <s v="6100"/>
    <n v="25191.78"/>
    <n v="140.99"/>
    <s v="CREDITOR"/>
    <n v="0"/>
    <n v="0"/>
    <n v="0"/>
    <n v="0"/>
    <n v="140.99"/>
  </r>
  <r>
    <n v="11525164"/>
    <s v="N"/>
    <n v="21319137"/>
    <s v="3000006951050003"/>
    <s v="CIVIL"/>
    <d v="2023-06-22T00:00:00"/>
    <d v="2023-07-03T19:01:49"/>
    <m/>
    <d v="2023-07-03T00:00:00"/>
    <n v="183"/>
    <n v="7113"/>
    <s v="11525164"/>
    <s v="11525164"/>
    <m/>
    <m/>
    <n v="22745680"/>
    <m/>
    <m/>
    <m/>
    <s v="SOLFIN"/>
    <s v="SOLFIN"/>
    <s v="CCMS"/>
    <n v="21319137"/>
    <n v="7073.87"/>
    <m/>
    <s v="N"/>
    <n v="5"/>
    <d v="2023-07-03T19:02:12"/>
    <s v="Y"/>
    <s v="Final Hearing - 1 Day"/>
    <s v="Public Law Children"/>
    <s v="Advocacy"/>
    <s v="Philip Wilkins"/>
    <s v="Y"/>
    <n v="696.1"/>
    <n v="139.22"/>
    <x v="3"/>
    <s v="VALIDATED"/>
    <n v="1"/>
    <s v="01.11.80.308.6100.0000"/>
    <n v="696.1"/>
    <s v="11"/>
    <s v="6100"/>
    <n v="25191.78"/>
    <n v="696.1"/>
    <s v="CREDITOR"/>
    <n v="0"/>
    <n v="0"/>
    <n v="0"/>
    <n v="0"/>
    <n v="696.1"/>
  </r>
  <r>
    <n v="10157025"/>
    <s v="N"/>
    <n v="21411715"/>
    <s v="3000005977070008"/>
    <s v="CIVIL"/>
    <d v="2023-06-07T00:00:00"/>
    <d v="2023-07-21T19:03:21"/>
    <m/>
    <d v="2023-07-21T00:00:00"/>
    <n v="183"/>
    <n v="7113"/>
    <s v="10157025"/>
    <s v="10157025"/>
    <m/>
    <m/>
    <n v="22642152"/>
    <m/>
    <m/>
    <m/>
    <s v="SOLFIN"/>
    <s v="SOLFIN"/>
    <s v="CCMS"/>
    <n v="21411715"/>
    <n v="3697.45"/>
    <m/>
    <s v="N"/>
    <n v="2"/>
    <d v="2023-07-21T19:03:34"/>
    <s v="Y"/>
    <s v="Preparation - drafting statement"/>
    <s v="Prescribed Hourly Rates"/>
    <s v="Profit Cost"/>
    <s v="Angela Simpson"/>
    <s v="Y"/>
    <n v="47.82"/>
    <n v="9.56"/>
    <x v="12"/>
    <s v="VALIDATED"/>
    <n v="1"/>
    <s v="01.11.80.303.6100.0000"/>
    <n v="47.82"/>
    <s v="11"/>
    <s v="6100"/>
    <n v="25191.78"/>
    <n v="47.82"/>
    <s v="CREDITOR"/>
    <n v="0"/>
    <n v="0"/>
    <n v="0"/>
    <n v="0"/>
    <n v="47.82"/>
  </r>
  <r>
    <n v="59674107"/>
    <s v="N"/>
    <n v="21349421"/>
    <s v="3000014066380008"/>
    <s v="CIVIL"/>
    <d v="2023-06-29T00:00:00"/>
    <d v="2023-07-10T19:01:40"/>
    <m/>
    <d v="2023-07-10T00:00:00"/>
    <n v="183"/>
    <n v="7113"/>
    <s v="59674107"/>
    <s v="59674107"/>
    <m/>
    <m/>
    <n v="22789610"/>
    <m/>
    <m/>
    <m/>
    <s v="SOLFIN"/>
    <s v="SOLFIN"/>
    <s v="CCMS"/>
    <n v="21349421"/>
    <n v="8443.67"/>
    <m/>
    <s v="N"/>
    <n v="8"/>
    <d v="2023-07-10T19:01:49"/>
    <s v="Y"/>
    <s v="Hearing Unit 2.31 - 5.00 Hours"/>
    <s v="Public Law Children"/>
    <s v="Advocacy"/>
    <s v="Philip Wilkins"/>
    <s v="Y"/>
    <n v="476.92"/>
    <n v="95.38"/>
    <x v="2"/>
    <s v="VALIDATED"/>
    <n v="1"/>
    <s v="01.11.80.308.6100.0000"/>
    <n v="476.92"/>
    <s v="11"/>
    <s v="6100"/>
    <n v="25191.78"/>
    <n v="476.92"/>
    <s v="CREDITOR"/>
    <n v="0"/>
    <n v="0"/>
    <n v="0"/>
    <n v="0"/>
    <n v="476.92"/>
  </r>
  <r>
    <n v="11534132"/>
    <s v="N"/>
    <n v="21343997"/>
    <s v="3000006913160024"/>
    <s v="CIVIL"/>
    <d v="2023-06-27T00:00:00"/>
    <d v="2023-07-07T19:03:00"/>
    <m/>
    <d v="2023-07-07T00:00:00"/>
    <n v="183"/>
    <n v="7113"/>
    <s v="11534132"/>
    <s v="11534132"/>
    <m/>
    <m/>
    <n v="22772570"/>
    <m/>
    <m/>
    <m/>
    <s v="SOLFIN"/>
    <s v="SOLFIN"/>
    <s v="CCMS"/>
    <n v="21343997"/>
    <n v="2900.83"/>
    <m/>
    <s v="N"/>
    <n v="11"/>
    <d v="2023-07-07T19:03:20"/>
    <s v="Y"/>
    <s v="Interpreter"/>
    <s v="Private Law Children"/>
    <s v="Expert Disbursement"/>
    <s v="Lexicon Linguistics"/>
    <s v="Y"/>
    <n v="81"/>
    <n v="16.2"/>
    <x v="9"/>
    <s v="VALIDATED"/>
    <n v="1"/>
    <s v="01.11.80.302.6300.0000"/>
    <n v="81"/>
    <s v="11"/>
    <s v="6300"/>
    <n v="25191.78"/>
    <n v="81"/>
    <s v="CREDITOR"/>
    <n v="0"/>
    <n v="0"/>
    <n v="0"/>
    <n v="0"/>
    <n v="81"/>
  </r>
  <r>
    <n v="11099426"/>
    <s v="N"/>
    <n v="21330696"/>
    <s v="3000006772850014"/>
    <s v="CIVIL"/>
    <d v="2023-06-26T00:00:00"/>
    <d v="2023-07-05T19:01:47"/>
    <m/>
    <d v="2023-07-05T00:00:00"/>
    <n v="183"/>
    <n v="7113"/>
    <s v="11099426"/>
    <s v="11099426"/>
    <m/>
    <m/>
    <n v="22760586"/>
    <m/>
    <m/>
    <m/>
    <s v="SOLFIN"/>
    <s v="SOLFIN"/>
    <s v="CCMS"/>
    <n v="21330696"/>
    <n v="4200.24"/>
    <m/>
    <s v="N"/>
    <n v="8"/>
    <d v="2023-07-05T19:01:53"/>
    <s v="Y"/>
    <s v="Toxicologist"/>
    <s v="Public Law Children"/>
    <s v="Expert Disbursement"/>
    <s v="Lextox"/>
    <s v="Y"/>
    <n v="140"/>
    <n v="28"/>
    <x v="6"/>
    <s v="VALIDATED"/>
    <n v="1"/>
    <s v="01.11.80.308.6300.0000"/>
    <n v="140"/>
    <s v="11"/>
    <s v="6300"/>
    <n v="25191.78"/>
    <n v="140"/>
    <s v="CREDITOR"/>
    <n v="0"/>
    <n v="0"/>
    <n v="0"/>
    <n v="0"/>
    <n v="140"/>
  </r>
  <r>
    <n v="40954654"/>
    <s v="N"/>
    <n v="21327836"/>
    <s v="3000010939120005"/>
    <s v="CIVIL"/>
    <d v="2023-06-22T00:00:00"/>
    <d v="2023-07-04T19:00:44"/>
    <m/>
    <d v="2023-07-04T00:00:00"/>
    <n v="183"/>
    <n v="7113"/>
    <s v="40954654"/>
    <s v="40954654"/>
    <m/>
    <m/>
    <n v="22746118"/>
    <m/>
    <m/>
    <m/>
    <s v="SOLFIN"/>
    <s v="SOLFIN"/>
    <s v="CCMS"/>
    <n v="21327836"/>
    <n v="6795.68"/>
    <m/>
    <s v="N"/>
    <n v="6"/>
    <d v="2023-07-04T19:00:56"/>
    <s v="Y"/>
    <s v="Hearing Unit 2.31 - 5.00 Hours"/>
    <s v="Public Law Children"/>
    <s v="Advocacy"/>
    <s v="Philip Wilkins"/>
    <s v="Y"/>
    <n v="476.92"/>
    <n v="95.38"/>
    <x v="1"/>
    <s v="VALIDATED"/>
    <n v="1"/>
    <s v="01.11.80.308.6100.0000"/>
    <n v="476.92"/>
    <s v="11"/>
    <s v="6100"/>
    <n v="25191.78"/>
    <n v="476.92"/>
    <s v="CREDITOR"/>
    <n v="0"/>
    <n v="0"/>
    <n v="0"/>
    <n v="0"/>
    <n v="476.92"/>
  </r>
  <r>
    <n v="10157025"/>
    <s v="N"/>
    <n v="21411715"/>
    <s v="3000005977070008"/>
    <s v="CIVIL"/>
    <d v="2023-06-07T00:00:00"/>
    <d v="2023-07-21T19:03:21"/>
    <m/>
    <d v="2023-07-21T00:00:00"/>
    <n v="183"/>
    <n v="7113"/>
    <s v="10157025"/>
    <s v="10157025"/>
    <m/>
    <m/>
    <n v="22642152"/>
    <m/>
    <m/>
    <m/>
    <s v="SOLFIN"/>
    <s v="SOLFIN"/>
    <s v="CCMS"/>
    <n v="21411715"/>
    <n v="3697.45"/>
    <m/>
    <s v="N"/>
    <n v="29"/>
    <d v="2023-07-21T19:03:34"/>
    <s v="Y"/>
    <s v="Preparation - drafting statement"/>
    <s v="Prescribed Hourly Rates"/>
    <s v="Profit Cost"/>
    <s v="Angela Simpson"/>
    <s v="Y"/>
    <n v="13.66"/>
    <n v="2.73"/>
    <x v="12"/>
    <s v="VALIDATED"/>
    <n v="1"/>
    <s v="01.11.80.303.6100.0000"/>
    <n v="13.66"/>
    <s v="11"/>
    <s v="6100"/>
    <n v="25191.78"/>
    <n v="13.66"/>
    <s v="CREDITOR"/>
    <n v="0"/>
    <n v="0"/>
    <n v="0"/>
    <n v="0"/>
    <n v="13.66"/>
  </r>
  <r>
    <n v="10157025"/>
    <s v="N"/>
    <n v="21411715"/>
    <s v="3000005977070008"/>
    <s v="CIVIL"/>
    <d v="2023-06-07T00:00:00"/>
    <d v="2023-07-21T19:03:21"/>
    <m/>
    <d v="2023-07-21T00:00:00"/>
    <n v="183"/>
    <n v="7113"/>
    <s v="10157025"/>
    <s v="10157025"/>
    <m/>
    <m/>
    <n v="22642152"/>
    <m/>
    <m/>
    <m/>
    <s v="SOLFIN"/>
    <s v="SOLFIN"/>
    <s v="CCMS"/>
    <n v="21411715"/>
    <n v="3697.45"/>
    <m/>
    <s v="N"/>
    <n v="39"/>
    <d v="2023-07-21T19:03:34"/>
    <s v="Y"/>
    <s v="Preparation - other"/>
    <s v="Prescribed Hourly Rates"/>
    <s v="Profit Cost"/>
    <s v="Angela Simpson"/>
    <s v="Y"/>
    <n v="6.83"/>
    <n v="1.37"/>
    <x v="12"/>
    <s v="VALIDATED"/>
    <n v="1"/>
    <s v="01.11.80.303.6100.0000"/>
    <n v="6.83"/>
    <s v="11"/>
    <s v="6100"/>
    <n v="25191.78"/>
    <n v="6.83"/>
    <s v="CREDITOR"/>
    <n v="0"/>
    <n v="0"/>
    <n v="0"/>
    <n v="0"/>
    <n v="6.83"/>
  </r>
  <r>
    <n v="10157025"/>
    <s v="N"/>
    <n v="21411715"/>
    <s v="3000005977070008"/>
    <s v="CIVIL"/>
    <d v="2023-06-07T00:00:00"/>
    <d v="2023-07-21T19:03:21"/>
    <m/>
    <d v="2023-07-21T00:00:00"/>
    <n v="183"/>
    <n v="7113"/>
    <s v="10157025"/>
    <s v="10157025"/>
    <m/>
    <m/>
    <n v="22642152"/>
    <m/>
    <m/>
    <m/>
    <s v="SOLFIN"/>
    <s v="SOLFIN"/>
    <s v="CCMS"/>
    <n v="21411715"/>
    <n v="3697.45"/>
    <m/>
    <s v="N"/>
    <n v="20"/>
    <d v="2023-07-21T19:03:34"/>
    <s v="Y"/>
    <s v="Preparation - drafting bill/claim f"/>
    <s v="Prescribed Hourly Rates"/>
    <s v="Profit Cost"/>
    <s v="Angela Simpson"/>
    <s v="Y"/>
    <n v="34.16"/>
    <n v="6.83"/>
    <x v="12"/>
    <s v="VALIDATED"/>
    <n v="1"/>
    <s v="01.11.80.303.6100.0000"/>
    <n v="34.16"/>
    <s v="11"/>
    <s v="6100"/>
    <n v="25191.78"/>
    <n v="34.16"/>
    <s v="CREDITOR"/>
    <n v="0"/>
    <n v="0"/>
    <n v="0"/>
    <n v="0"/>
    <n v="34.16"/>
  </r>
  <r>
    <n v="10157025"/>
    <s v="N"/>
    <n v="21411715"/>
    <s v="3000005977070008"/>
    <s v="CIVIL"/>
    <d v="2023-06-07T00:00:00"/>
    <d v="2023-07-21T19:03:21"/>
    <m/>
    <d v="2023-07-21T00:00:00"/>
    <n v="183"/>
    <n v="7113"/>
    <s v="10157025"/>
    <s v="10157025"/>
    <m/>
    <m/>
    <n v="22642152"/>
    <m/>
    <m/>
    <m/>
    <s v="SOLFIN"/>
    <s v="SOLFIN"/>
    <s v="CCMS"/>
    <n v="21411715"/>
    <n v="3697.45"/>
    <m/>
    <s v="N"/>
    <n v="44"/>
    <d v="2023-07-21T19:03:34"/>
    <s v="Y"/>
    <s v="Land Registry Fees"/>
    <s v="Finance"/>
    <s v="Non Expert Disbursement"/>
    <s v="Angela Simpson"/>
    <s v="Y"/>
    <n v="40"/>
    <n v="0"/>
    <x v="12"/>
    <s v="VALIDATED"/>
    <n v="1"/>
    <s v="01.11.80.303.6300.0000"/>
    <n v="40"/>
    <s v="11"/>
    <s v="6300"/>
    <n v="25191.78"/>
    <n v="40"/>
    <s v="CREDITOR"/>
    <n v="0"/>
    <n v="0"/>
    <n v="0"/>
    <n v="0"/>
    <n v="40"/>
  </r>
  <r>
    <n v="11534132"/>
    <s v="N"/>
    <n v="21343997"/>
    <s v="3000006913160024"/>
    <s v="CIVIL"/>
    <d v="2023-06-27T00:00:00"/>
    <d v="2023-07-07T19:03:00"/>
    <m/>
    <d v="2023-07-07T00:00:00"/>
    <n v="183"/>
    <n v="7113"/>
    <s v="11534132"/>
    <s v="11534132"/>
    <m/>
    <m/>
    <n v="22772570"/>
    <m/>
    <m/>
    <m/>
    <s v="SOLFIN"/>
    <s v="SOLFIN"/>
    <s v="CCMS"/>
    <n v="21343997"/>
    <n v="2900.83"/>
    <m/>
    <s v="N"/>
    <n v="8"/>
    <d v="2023-07-07T19:03:20"/>
    <s v="Y"/>
    <s v="Other"/>
    <s v="Private Law Children"/>
    <s v="Non Expert Disbursement"/>
    <s v="BT Conferencing"/>
    <s v="Y"/>
    <n v="20.03"/>
    <n v="4.01"/>
    <x v="9"/>
    <s v="VALIDATED"/>
    <n v="1"/>
    <s v="01.11.80.302.6300.0000"/>
    <n v="20.03"/>
    <s v="11"/>
    <s v="6300"/>
    <n v="25191.78"/>
    <n v="20.03"/>
    <s v="CREDITOR"/>
    <n v="0"/>
    <n v="0"/>
    <n v="0"/>
    <n v="0"/>
    <n v="20.03"/>
  </r>
  <r>
    <n v="59548439"/>
    <s v="N"/>
    <n v="21344108"/>
    <s v="3000013957510002"/>
    <s v="CIVIL"/>
    <d v="2023-06-29T00:00:00"/>
    <d v="2023-07-07T19:03:00"/>
    <m/>
    <d v="2023-07-07T00:00:00"/>
    <n v="183"/>
    <n v="7113"/>
    <s v="59548439"/>
    <s v="59548439"/>
    <m/>
    <m/>
    <n v="22788540"/>
    <m/>
    <m/>
    <m/>
    <s v="SOLFIN"/>
    <s v="SOLFIN"/>
    <s v="CCMS"/>
    <n v="21344108"/>
    <n v="5112.34"/>
    <m/>
    <s v="N"/>
    <n v="5"/>
    <d v="2023-07-07T19:03:23"/>
    <s v="Y"/>
    <s v="Final Hearing - 1 Day"/>
    <s v="Public Law Children"/>
    <s v="Advocacy"/>
    <s v="Philip Wilkins"/>
    <s v="Y"/>
    <n v="556.88"/>
    <n v="111.38"/>
    <x v="9"/>
    <s v="VALIDATED"/>
    <n v="1"/>
    <s v="01.11.80.308.6100.0000"/>
    <n v="556.88"/>
    <s v="11"/>
    <s v="6100"/>
    <n v="25191.78"/>
    <n v="556.88"/>
    <s v="CREDITOR"/>
    <n v="0"/>
    <n v="0"/>
    <n v="0"/>
    <n v="0"/>
    <n v="556.88"/>
  </r>
  <r>
    <n v="10157025"/>
    <s v="N"/>
    <n v="21411715"/>
    <s v="3000005977070008"/>
    <s v="CIVIL"/>
    <d v="2023-06-07T00:00:00"/>
    <d v="2023-07-21T19:03:21"/>
    <m/>
    <d v="2023-07-21T00:00:00"/>
    <n v="183"/>
    <n v="7113"/>
    <s v="10157025"/>
    <s v="10157025"/>
    <m/>
    <m/>
    <n v="22642152"/>
    <m/>
    <m/>
    <m/>
    <s v="SOLFIN"/>
    <s v="SOLFIN"/>
    <s v="CCMS"/>
    <n v="21411715"/>
    <n v="3697.45"/>
    <m/>
    <s v="N"/>
    <n v="10"/>
    <d v="2023-07-21T19:03:34"/>
    <s v="Y"/>
    <s v="Preparation - drafting pleadings"/>
    <s v="Prescribed Hourly Rates"/>
    <s v="Profit Cost"/>
    <s v="Angela Simpson"/>
    <s v="Y"/>
    <n v="13.66"/>
    <n v="2.73"/>
    <x v="12"/>
    <s v="VALIDATED"/>
    <n v="1"/>
    <s v="01.11.80.303.6100.0000"/>
    <n v="13.66"/>
    <s v="11"/>
    <s v="6100"/>
    <n v="25191.78"/>
    <n v="13.66"/>
    <s v="CREDITOR"/>
    <n v="0"/>
    <n v="0"/>
    <n v="0"/>
    <n v="0"/>
    <n v="13.66"/>
  </r>
  <r>
    <n v="10157025"/>
    <s v="N"/>
    <n v="21411715"/>
    <s v="3000005977070008"/>
    <s v="CIVIL"/>
    <d v="2023-06-07T00:00:00"/>
    <d v="2023-07-21T19:03:21"/>
    <m/>
    <d v="2023-07-21T00:00:00"/>
    <n v="183"/>
    <n v="7113"/>
    <s v="10157025"/>
    <s v="10157025"/>
    <m/>
    <m/>
    <n v="22642152"/>
    <m/>
    <m/>
    <m/>
    <s v="SOLFIN"/>
    <s v="SOLFIN"/>
    <s v="CCMS"/>
    <n v="21411715"/>
    <n v="3697.45"/>
    <m/>
    <s v="N"/>
    <n v="43"/>
    <d v="2023-07-21T19:03:34"/>
    <s v="Y"/>
    <s v="Court Fee"/>
    <s v="Finance"/>
    <s v="Non Expert Disbursement"/>
    <s v="Angela Simpson"/>
    <s v="Y"/>
    <n v="255"/>
    <n v="0"/>
    <x v="12"/>
    <s v="VALIDATED"/>
    <n v="1"/>
    <s v="01.11.80.303.6300.0000"/>
    <n v="255"/>
    <s v="11"/>
    <s v="6300"/>
    <n v="25191.78"/>
    <n v="255"/>
    <s v="CREDITOR"/>
    <n v="0"/>
    <n v="0"/>
    <n v="0"/>
    <n v="0"/>
    <n v="255"/>
  </r>
  <r>
    <n v="11525164"/>
    <s v="N"/>
    <n v="21319137"/>
    <s v="3000006951050003"/>
    <s v="CIVIL"/>
    <d v="2023-06-22T00:00:00"/>
    <d v="2023-07-03T19:01:49"/>
    <m/>
    <d v="2023-07-03T00:00:00"/>
    <n v="183"/>
    <n v="7113"/>
    <s v="11525164"/>
    <s v="11525164"/>
    <m/>
    <m/>
    <n v="22745680"/>
    <m/>
    <m/>
    <m/>
    <s v="SOLFIN"/>
    <s v="SOLFIN"/>
    <s v="CCMS"/>
    <n v="21319137"/>
    <n v="7073.87"/>
    <m/>
    <s v="N"/>
    <n v="1"/>
    <d v="2023-07-03T19:02:12"/>
    <s v="Y"/>
    <s v="Final Hearing Court Bundle/Advocate"/>
    <s v="Public Law Children"/>
    <s v="Advocacy"/>
    <s v="Philip Wilkins"/>
    <s v="Y"/>
    <n v="159.3"/>
    <n v="31.86"/>
    <x v="3"/>
    <s v="VALIDATED"/>
    <n v="1"/>
    <s v="01.11.80.308.6100.0000"/>
    <n v="159.3"/>
    <s v="11"/>
    <s v="6100"/>
    <n v="25191.78"/>
    <n v="159.3"/>
    <s v="CREDITOR"/>
    <n v="0"/>
    <n v="0"/>
    <n v="0"/>
    <n v="0"/>
    <n v="159.3"/>
  </r>
  <r>
    <n v="9261231"/>
    <s v="N"/>
    <n v="21330518"/>
    <s v="3000005240270016"/>
    <s v="CIVIL"/>
    <d v="2023-06-26T00:00:00"/>
    <d v="2023-07-05T19:01:47"/>
    <m/>
    <d v="2023-07-05T00:00:00"/>
    <n v="183"/>
    <n v="7113"/>
    <s v="9261231"/>
    <s v="9261231"/>
    <m/>
    <m/>
    <n v="22759414"/>
    <m/>
    <m/>
    <m/>
    <s v="SOLFIN"/>
    <s v="SOLFIN"/>
    <s v="CCMS"/>
    <n v="21330518"/>
    <n v="5805.07"/>
    <m/>
    <s v="N"/>
    <n v="5"/>
    <d v="2023-07-05T19:01:50"/>
    <s v="Y"/>
    <s v="Psychologist"/>
    <s v="Public Law Children"/>
    <s v="Expert Disbursement"/>
    <s v="Psychology Experts"/>
    <s v="Y"/>
    <n v="229.54"/>
    <n v="45.91"/>
    <x v="6"/>
    <s v="VALIDATED"/>
    <n v="1"/>
    <s v="01.11.80.308.6300.0000"/>
    <n v="229.54"/>
    <s v="11"/>
    <s v="6300"/>
    <n v="25191.78"/>
    <n v="229.54"/>
    <s v="CREDITOR"/>
    <n v="0"/>
    <n v="0"/>
    <n v="0"/>
    <n v="0"/>
    <n v="229.54"/>
  </r>
  <r>
    <n v="10157025"/>
    <s v="N"/>
    <n v="21411715"/>
    <s v="3000005977070008"/>
    <s v="CIVIL"/>
    <d v="2023-06-07T00:00:00"/>
    <d v="2023-07-21T19:03:21"/>
    <m/>
    <d v="2023-07-21T00:00:00"/>
    <n v="183"/>
    <n v="7113"/>
    <s v="10157025"/>
    <s v="10157025"/>
    <m/>
    <m/>
    <n v="22642152"/>
    <m/>
    <m/>
    <m/>
    <s v="SOLFIN"/>
    <s v="SOLFIN"/>
    <s v="CCMS"/>
    <n v="21411715"/>
    <n v="3697.45"/>
    <m/>
    <s v="N"/>
    <n v="40"/>
    <d v="2023-07-21T19:03:34"/>
    <s v="Y"/>
    <s v="Preparation - drafting pleadings"/>
    <s v="Prescribed Hourly Rates"/>
    <s v="Profit Cost"/>
    <s v="Angela Simpson"/>
    <s v="Y"/>
    <n v="13.66"/>
    <n v="2.73"/>
    <x v="12"/>
    <s v="VALIDATED"/>
    <n v="1"/>
    <s v="01.11.80.303.6100.0000"/>
    <n v="13.66"/>
    <s v="11"/>
    <s v="6100"/>
    <n v="25191.78"/>
    <n v="13.66"/>
    <s v="CREDITOR"/>
    <n v="0"/>
    <n v="0"/>
    <n v="0"/>
    <n v="0"/>
    <n v="13.66"/>
  </r>
  <r>
    <n v="11534132"/>
    <s v="N"/>
    <n v="21343997"/>
    <s v="3000006913160024"/>
    <s v="CIVIL"/>
    <d v="2023-06-27T00:00:00"/>
    <d v="2023-07-07T19:03:00"/>
    <m/>
    <d v="2023-07-07T00:00:00"/>
    <n v="183"/>
    <n v="7113"/>
    <s v="11534132"/>
    <s v="11534132"/>
    <m/>
    <m/>
    <n v="22772570"/>
    <m/>
    <m/>
    <m/>
    <s v="SOLFIN"/>
    <s v="SOLFIN"/>
    <s v="CCMS"/>
    <n v="21343997"/>
    <n v="2900.83"/>
    <m/>
    <s v="N"/>
    <n v="5"/>
    <d v="2023-07-07T19:03:20"/>
    <s v="Y"/>
    <s v="Interpreter"/>
    <s v="Private Law Children"/>
    <s v="Expert Disbursement"/>
    <s v="Lexicon Linguistics"/>
    <s v="Y"/>
    <n v="25"/>
    <n v="5"/>
    <x v="9"/>
    <s v="VALIDATED"/>
    <n v="1"/>
    <s v="01.11.80.302.6300.0000"/>
    <n v="25"/>
    <s v="11"/>
    <s v="6300"/>
    <n v="25191.78"/>
    <n v="25"/>
    <s v="CREDITOR"/>
    <n v="0"/>
    <n v="0"/>
    <n v="0"/>
    <n v="0"/>
    <n v="25"/>
  </r>
  <r>
    <n v="11525164"/>
    <s v="N"/>
    <n v="21319137"/>
    <s v="3000006951050003"/>
    <s v="CIVIL"/>
    <d v="2023-06-22T00:00:00"/>
    <d v="2023-07-03T19:01:49"/>
    <m/>
    <d v="2023-07-03T00:00:00"/>
    <n v="183"/>
    <n v="7113"/>
    <s v="11525164"/>
    <s v="11525164"/>
    <m/>
    <m/>
    <n v="22745680"/>
    <m/>
    <m/>
    <m/>
    <s v="SOLFIN"/>
    <s v="SOLFIN"/>
    <s v="CCMS"/>
    <n v="21319137"/>
    <n v="7073.87"/>
    <m/>
    <s v="N"/>
    <n v="12"/>
    <d v="2023-07-03T19:02:12"/>
    <s v="Y"/>
    <s v="Solicitors Fixed Fee"/>
    <s v="Public Law Children"/>
    <s v="Profit Cost"/>
    <s v="Philip Wilkins"/>
    <s v="Y"/>
    <n v="2616"/>
    <n v="523.2"/>
    <x v="3"/>
    <s v="VALIDATED"/>
    <n v="1"/>
    <s v="01.11.80.308.6100.0000"/>
    <n v="2616"/>
    <s v="11"/>
    <s v="6100"/>
    <n v="25191.78"/>
    <n v="2616"/>
    <s v="CREDITOR"/>
    <n v="0"/>
    <n v="0"/>
    <n v="0"/>
    <n v="0"/>
    <n v="2616"/>
  </r>
  <r>
    <n v="10157025"/>
    <s v="N"/>
    <n v="21411715"/>
    <s v="3000005977070008"/>
    <s v="CIVIL"/>
    <d v="2023-06-07T00:00:00"/>
    <d v="2023-07-21T19:03:21"/>
    <m/>
    <d v="2023-07-21T00:00:00"/>
    <n v="183"/>
    <n v="7113"/>
    <s v="10157025"/>
    <s v="10157025"/>
    <m/>
    <m/>
    <n v="22642152"/>
    <m/>
    <m/>
    <m/>
    <s v="SOLFIN"/>
    <s v="SOLFIN"/>
    <s v="CCMS"/>
    <n v="21411715"/>
    <n v="3697.45"/>
    <m/>
    <s v="N"/>
    <n v="27"/>
    <d v="2023-07-21T19:03:34"/>
    <s v="Y"/>
    <s v="Routine Letter In"/>
    <s v="Prescribed Hourly Rates"/>
    <s v="Profit Cost"/>
    <s v="Angela Simpson"/>
    <s v="Y"/>
    <n v="229.77"/>
    <n v="45.95"/>
    <x v="12"/>
    <s v="VALIDATED"/>
    <n v="1"/>
    <s v="01.11.80.303.6100.0000"/>
    <n v="229.77"/>
    <s v="11"/>
    <s v="6100"/>
    <n v="25191.78"/>
    <n v="229.77"/>
    <s v="CREDITOR"/>
    <n v="0"/>
    <n v="0"/>
    <n v="0"/>
    <n v="0"/>
    <n v="229.77"/>
  </r>
  <r>
    <n v="10157025"/>
    <s v="N"/>
    <n v="21411715"/>
    <s v="3000005977070008"/>
    <s v="CIVIL"/>
    <d v="2023-06-07T00:00:00"/>
    <d v="2023-07-21T19:03:21"/>
    <m/>
    <d v="2023-07-21T00:00:00"/>
    <n v="183"/>
    <n v="7113"/>
    <s v="10157025"/>
    <s v="10157025"/>
    <m/>
    <m/>
    <n v="22642152"/>
    <m/>
    <m/>
    <m/>
    <s v="SOLFIN"/>
    <s v="SOLFIN"/>
    <s v="CCMS"/>
    <n v="21411715"/>
    <n v="3697.45"/>
    <m/>
    <s v="N"/>
    <n v="45"/>
    <d v="2023-07-21T19:03:34"/>
    <s v="Y"/>
    <s v="Land Registry Fees"/>
    <s v="Finance"/>
    <s v="Non Expert Disbursement"/>
    <s v="Angela Simpson"/>
    <s v="Y"/>
    <n v="6"/>
    <n v="0"/>
    <x v="12"/>
    <s v="VALIDATED"/>
    <n v="1"/>
    <s v="01.11.80.303.6300.0000"/>
    <n v="6"/>
    <s v="11"/>
    <s v="6300"/>
    <n v="25191.78"/>
    <n v="6"/>
    <s v="CREDITOR"/>
    <n v="0"/>
    <n v="0"/>
    <n v="0"/>
    <n v="0"/>
    <n v="6"/>
  </r>
  <r>
    <n v="60575760"/>
    <s v="N"/>
    <n v="21349436"/>
    <s v="3000014840730007"/>
    <s v="CIVIL"/>
    <d v="2023-06-29T00:00:00"/>
    <d v="2023-07-10T19:01:40"/>
    <m/>
    <d v="2023-07-10T00:00:00"/>
    <n v="183"/>
    <n v="7113"/>
    <s v="60575760"/>
    <s v="60575760"/>
    <m/>
    <m/>
    <n v="22787198"/>
    <m/>
    <m/>
    <m/>
    <s v="SOLFIN"/>
    <s v="SOLFIN"/>
    <s v="CCMS"/>
    <n v="21349436"/>
    <n v="6646.81"/>
    <m/>
    <s v="N"/>
    <n v="2"/>
    <d v="2023-07-10T19:01:50"/>
    <s v="Y"/>
    <s v="Final Hearing Court Bundle/Advocate"/>
    <s v="Public Law Children"/>
    <s v="Advocacy"/>
    <s v="Philip Wilkins"/>
    <s v="Y"/>
    <n v="159.3"/>
    <n v="31.86"/>
    <x v="2"/>
    <s v="VALIDATED"/>
    <n v="1"/>
    <s v="01.11.80.308.6100.0000"/>
    <n v="159.3"/>
    <s v="11"/>
    <s v="6100"/>
    <n v="25191.78"/>
    <n v="159.3"/>
    <s v="CREDITOR"/>
    <n v="0"/>
    <n v="0"/>
    <n v="0"/>
    <n v="0"/>
    <n v="159.3"/>
  </r>
  <r>
    <n v="10157025"/>
    <s v="N"/>
    <n v="21411715"/>
    <s v="3000005977070008"/>
    <s v="CIVIL"/>
    <d v="2023-06-07T00:00:00"/>
    <d v="2023-07-21T19:03:21"/>
    <m/>
    <d v="2023-07-21T00:00:00"/>
    <n v="183"/>
    <n v="7113"/>
    <s v="10157025"/>
    <s v="10157025"/>
    <m/>
    <m/>
    <n v="22642152"/>
    <m/>
    <m/>
    <m/>
    <s v="SOLFIN"/>
    <s v="SOLFIN"/>
    <s v="CCMS"/>
    <n v="21411715"/>
    <n v="3697.45"/>
    <m/>
    <s v="N"/>
    <n v="21"/>
    <d v="2023-07-21T19:03:34"/>
    <s v="Y"/>
    <s v="Preparation - drafting bill/claim f"/>
    <s v="Prescribed Hourly Rates"/>
    <s v="Profit Cost"/>
    <s v="Paul Gasson"/>
    <s v="Y"/>
    <n v="154.44"/>
    <n v="30.89"/>
    <x v="12"/>
    <s v="VALIDATED"/>
    <n v="1"/>
    <s v="01.11.80.303.6100.0000"/>
    <n v="154.44"/>
    <s v="11"/>
    <s v="6100"/>
    <n v="25191.78"/>
    <n v="154.44"/>
    <s v="CREDITOR"/>
    <n v="0"/>
    <n v="0"/>
    <n v="0"/>
    <n v="0"/>
    <n v="154.44"/>
  </r>
  <r>
    <n v="10157025"/>
    <s v="N"/>
    <n v="21411715"/>
    <s v="3000005977070008"/>
    <s v="CIVIL"/>
    <d v="2023-06-07T00:00:00"/>
    <d v="2023-07-21T19:03:21"/>
    <m/>
    <d v="2023-07-21T00:00:00"/>
    <n v="183"/>
    <n v="7113"/>
    <s v="10157025"/>
    <s v="10157025"/>
    <m/>
    <m/>
    <n v="22642152"/>
    <m/>
    <m/>
    <m/>
    <s v="SOLFIN"/>
    <s v="SOLFIN"/>
    <s v="CCMS"/>
    <n v="21411715"/>
    <n v="3697.45"/>
    <m/>
    <s v="N"/>
    <n v="23"/>
    <d v="2023-07-21T19:03:34"/>
    <s v="Y"/>
    <s v="Routine Telephone Call"/>
    <s v="Prescribed Hourly Rates"/>
    <s v="Profit Cost"/>
    <s v="Angela Simpson"/>
    <s v="Y"/>
    <n v="37.26"/>
    <n v="7.45"/>
    <x v="12"/>
    <s v="VALIDATED"/>
    <n v="1"/>
    <s v="01.11.80.303.6100.0000"/>
    <n v="37.26"/>
    <s v="11"/>
    <s v="6100"/>
    <n v="25191.78"/>
    <n v="37.26"/>
    <s v="CREDITOR"/>
    <n v="0"/>
    <n v="0"/>
    <n v="0"/>
    <n v="0"/>
    <n v="37.26"/>
  </r>
  <r>
    <n v="11534132"/>
    <s v="N"/>
    <n v="21343997"/>
    <s v="3000006913160024"/>
    <s v="CIVIL"/>
    <d v="2023-06-27T00:00:00"/>
    <d v="2023-07-07T19:03:00"/>
    <m/>
    <d v="2023-07-07T00:00:00"/>
    <n v="183"/>
    <n v="7113"/>
    <s v="11534132"/>
    <s v="11534132"/>
    <m/>
    <m/>
    <n v="22772570"/>
    <m/>
    <m/>
    <m/>
    <s v="SOLFIN"/>
    <s v="SOLFIN"/>
    <s v="CCMS"/>
    <n v="21343997"/>
    <n v="2900.83"/>
    <m/>
    <s v="N"/>
    <n v="16"/>
    <d v="2023-07-07T19:03:20"/>
    <s v="Y"/>
    <s v="Level 4 Fixed Fee"/>
    <s v="Domestic Abuse"/>
    <s v="Profit Cost"/>
    <s v="Angela Simpson"/>
    <s v="Y"/>
    <n v="608"/>
    <n v="121.6"/>
    <x v="9"/>
    <s v="VALIDATED"/>
    <n v="1"/>
    <s v="01.11.80.302.6100.0000"/>
    <n v="608"/>
    <s v="11"/>
    <s v="6100"/>
    <n v="25191.78"/>
    <n v="608"/>
    <s v="CREDITOR"/>
    <n v="0"/>
    <n v="0"/>
    <n v="0"/>
    <n v="0"/>
    <n v="608"/>
  </r>
  <r>
    <n v="10157025"/>
    <s v="N"/>
    <n v="21411715"/>
    <s v="3000005977070008"/>
    <s v="CIVIL"/>
    <d v="2023-06-07T00:00:00"/>
    <d v="2023-07-21T19:03:21"/>
    <m/>
    <d v="2023-07-21T00:00:00"/>
    <n v="183"/>
    <n v="7113"/>
    <s v="10157025"/>
    <s v="10157025"/>
    <m/>
    <m/>
    <n v="22642152"/>
    <m/>
    <m/>
    <m/>
    <s v="SOLFIN"/>
    <s v="SOLFIN"/>
    <s v="CCMS"/>
    <n v="21411715"/>
    <n v="3697.45"/>
    <m/>
    <s v="N"/>
    <n v="30"/>
    <d v="2023-07-21T19:03:34"/>
    <s v="Y"/>
    <s v="Preparation - drafting pleadings"/>
    <s v="Prescribed Hourly Rates"/>
    <s v="Profit Cost"/>
    <s v="Angela Simpson"/>
    <s v="Y"/>
    <n v="68.31"/>
    <n v="13.66"/>
    <x v="12"/>
    <s v="VALIDATED"/>
    <n v="1"/>
    <s v="01.11.80.303.6100.0000"/>
    <n v="68.31"/>
    <s v="11"/>
    <s v="6100"/>
    <n v="25191.78"/>
    <n v="68.31"/>
    <s v="CREDITOR"/>
    <n v="0"/>
    <n v="0"/>
    <n v="0"/>
    <n v="0"/>
    <n v="68.31"/>
  </r>
  <r>
    <n v="59548439"/>
    <s v="N"/>
    <n v="21344108"/>
    <s v="3000013957510002"/>
    <s v="CIVIL"/>
    <d v="2023-06-29T00:00:00"/>
    <d v="2023-07-07T19:03:00"/>
    <m/>
    <d v="2023-07-07T00:00:00"/>
    <n v="183"/>
    <n v="7113"/>
    <s v="59548439"/>
    <s v="59548439"/>
    <m/>
    <m/>
    <n v="22788540"/>
    <m/>
    <m/>
    <m/>
    <s v="SOLFIN"/>
    <s v="SOLFIN"/>
    <s v="CCMS"/>
    <n v="21344108"/>
    <n v="5112.34"/>
    <m/>
    <s v="N"/>
    <n v="2"/>
    <d v="2023-07-07T19:03:23"/>
    <s v="Y"/>
    <s v="Interim Hearing Court Bundle/Advoca"/>
    <s v="Public Law Children"/>
    <s v="Advocacy"/>
    <s v="Philip Wilkins"/>
    <s v="Y"/>
    <n v="89.09999999999999"/>
    <n v="17.82"/>
    <x v="9"/>
    <s v="VALIDATED"/>
    <n v="1"/>
    <s v="01.11.80.308.6100.0000"/>
    <n v="89.09999999999999"/>
    <s v="11"/>
    <s v="6100"/>
    <n v="25191.78"/>
    <n v="89.09999999999999"/>
    <s v="CREDITOR"/>
    <n v="0"/>
    <n v="0"/>
    <n v="0"/>
    <n v="0"/>
    <n v="89.09999999999999"/>
  </r>
  <r>
    <n v="9261231"/>
    <s v="N"/>
    <n v="21330518"/>
    <s v="3000005240270016"/>
    <s v="CIVIL"/>
    <d v="2023-06-26T00:00:00"/>
    <d v="2023-07-05T19:01:47"/>
    <m/>
    <d v="2023-07-05T00:00:00"/>
    <n v="183"/>
    <n v="7113"/>
    <s v="9261231"/>
    <s v="9261231"/>
    <m/>
    <m/>
    <n v="22759414"/>
    <m/>
    <m/>
    <m/>
    <s v="SOLFIN"/>
    <s v="SOLFIN"/>
    <s v="CCMS"/>
    <n v="21330518"/>
    <n v="5805.07"/>
    <m/>
    <s v="N"/>
    <n v="3"/>
    <d v="2023-07-05T19:01:50"/>
    <s v="Y"/>
    <s v="Client Travel Expenses"/>
    <s v="Public Law Children"/>
    <s v="Non Expert Disbursement"/>
    <s v="Philip Wilkins"/>
    <s v="Y"/>
    <n v="10"/>
    <n v="0"/>
    <x v="6"/>
    <s v="VALIDATED"/>
    <n v="1"/>
    <s v="01.11.80.308.6300.0000"/>
    <n v="10"/>
    <s v="11"/>
    <s v="6300"/>
    <n v="25191.78"/>
    <n v="10"/>
    <s v="CREDITOR"/>
    <n v="0"/>
    <n v="0"/>
    <n v="0"/>
    <n v="0"/>
    <n v="10"/>
  </r>
  <r>
    <n v="40954654"/>
    <s v="N"/>
    <n v="21327836"/>
    <s v="3000010939120005"/>
    <s v="CIVIL"/>
    <d v="2023-06-22T00:00:00"/>
    <d v="2023-07-04T19:00:44"/>
    <m/>
    <d v="2023-07-04T00:00:00"/>
    <n v="183"/>
    <n v="7113"/>
    <s v="40954654"/>
    <s v="40954654"/>
    <m/>
    <m/>
    <n v="22746118"/>
    <m/>
    <m/>
    <m/>
    <s v="SOLFIN"/>
    <s v="SOLFIN"/>
    <s v="CCMS"/>
    <n v="21327836"/>
    <n v="6795.68"/>
    <m/>
    <s v="N"/>
    <n v="8"/>
    <d v="2023-07-04T19:00:56"/>
    <s v="Y"/>
    <s v="Hearing Unit 2.31 - 5.00 Hours"/>
    <s v="Public Law Children"/>
    <s v="Advocacy"/>
    <s v="Philip Wilkins"/>
    <s v="Y"/>
    <n v="476.92"/>
    <n v="95.38"/>
    <x v="1"/>
    <s v="VALIDATED"/>
    <n v="1"/>
    <s v="01.11.80.308.6100.0000"/>
    <n v="476.92"/>
    <s v="11"/>
    <s v="6100"/>
    <n v="25191.78"/>
    <n v="476.92"/>
    <s v="CREDITOR"/>
    <n v="0"/>
    <n v="0"/>
    <n v="0"/>
    <n v="0"/>
    <n v="476.92"/>
  </r>
  <r>
    <n v="10157025"/>
    <s v="N"/>
    <n v="21411715"/>
    <s v="3000005977070008"/>
    <s v="CIVIL"/>
    <d v="2023-06-07T00:00:00"/>
    <d v="2023-07-21T19:03:21"/>
    <m/>
    <d v="2023-07-21T00:00:00"/>
    <n v="183"/>
    <n v="7113"/>
    <s v="10157025"/>
    <s v="10157025"/>
    <m/>
    <m/>
    <n v="22642152"/>
    <m/>
    <m/>
    <m/>
    <s v="SOLFIN"/>
    <s v="SOLFIN"/>
    <s v="CCMS"/>
    <n v="21411715"/>
    <n v="3697.45"/>
    <m/>
    <s v="N"/>
    <n v="19"/>
    <d v="2023-07-21T19:03:34"/>
    <s v="Y"/>
    <s v="Preparation - drafting pleadings"/>
    <s v="Prescribed Hourly Rates"/>
    <s v="Profit Cost"/>
    <s v="Angela Simpson"/>
    <s v="Y"/>
    <n v="20.49"/>
    <n v="4.1"/>
    <x v="12"/>
    <s v="VALIDATED"/>
    <n v="1"/>
    <s v="01.11.80.303.6100.0000"/>
    <n v="20.49"/>
    <s v="11"/>
    <s v="6100"/>
    <n v="25191.78"/>
    <n v="20.49"/>
    <s v="CREDITOR"/>
    <n v="0"/>
    <n v="0"/>
    <n v="0"/>
    <n v="0"/>
    <n v="20.49"/>
  </r>
  <r>
    <n v="10157025"/>
    <s v="N"/>
    <n v="21411715"/>
    <s v="3000005977070008"/>
    <s v="CIVIL"/>
    <d v="2023-06-07T00:00:00"/>
    <d v="2023-07-21T19:03:21"/>
    <m/>
    <d v="2023-07-21T00:00:00"/>
    <n v="183"/>
    <n v="7113"/>
    <s v="10157025"/>
    <s v="10157025"/>
    <m/>
    <m/>
    <n v="22642152"/>
    <m/>
    <m/>
    <m/>
    <s v="SOLFIN"/>
    <s v="SOLFIN"/>
    <s v="CCMS"/>
    <n v="21411715"/>
    <n v="3697.45"/>
    <m/>
    <s v="N"/>
    <n v="1"/>
    <d v="2023-07-21T19:03:34"/>
    <s v="Y"/>
    <s v="Attendance upon client"/>
    <s v="Prescribed Hourly Rates"/>
    <s v="Profit Cost"/>
    <s v="Angela Simpson"/>
    <s v="Y"/>
    <n v="88.8"/>
    <n v="17.76"/>
    <x v="12"/>
    <s v="VALIDATED"/>
    <n v="1"/>
    <s v="01.11.80.303.6100.0000"/>
    <n v="88.8"/>
    <s v="11"/>
    <s v="6100"/>
    <n v="25191.78"/>
    <n v="88.8"/>
    <s v="CREDITOR"/>
    <n v="0"/>
    <n v="0"/>
    <n v="0"/>
    <n v="0"/>
    <n v="88.8"/>
  </r>
  <r>
    <n v="59674107"/>
    <s v="N"/>
    <n v="21349421"/>
    <s v="3000014066380008"/>
    <s v="CIVIL"/>
    <d v="2023-06-29T00:00:00"/>
    <d v="2023-07-10T19:01:40"/>
    <m/>
    <d v="2023-07-10T00:00:00"/>
    <n v="183"/>
    <n v="7113"/>
    <s v="59674107"/>
    <s v="59674107"/>
    <m/>
    <m/>
    <n v="22789610"/>
    <m/>
    <m/>
    <m/>
    <s v="SOLFIN"/>
    <s v="SOLFIN"/>
    <s v="CCMS"/>
    <n v="21349421"/>
    <n v="8443.67"/>
    <m/>
    <s v="N"/>
    <n v="3"/>
    <d v="2023-07-10T19:01:49"/>
    <s v="Y"/>
    <s v="Psychologist"/>
    <s v="Public Law Children"/>
    <s v="Expert Disbursement"/>
    <s v="The Cambridge London Group"/>
    <s v="Y"/>
    <n v="641.6799999999999"/>
    <n v="128.34"/>
    <x v="2"/>
    <s v="VALIDATED"/>
    <n v="1"/>
    <s v="01.11.80.308.6300.0000"/>
    <n v="641.6799999999999"/>
    <s v="11"/>
    <s v="6300"/>
    <n v="25191.78"/>
    <n v="641.6799999999999"/>
    <s v="CREDITOR"/>
    <n v="0"/>
    <n v="0"/>
    <n v="0"/>
    <n v="0"/>
    <n v="641.6799999999999"/>
  </r>
  <r>
    <n v="11534132"/>
    <s v="N"/>
    <n v="21343997"/>
    <s v="3000006913160024"/>
    <s v="CIVIL"/>
    <d v="2023-06-27T00:00:00"/>
    <d v="2023-07-07T19:03:00"/>
    <m/>
    <d v="2023-07-07T00:00:00"/>
    <n v="183"/>
    <n v="7113"/>
    <s v="11534132"/>
    <s v="11534132"/>
    <m/>
    <m/>
    <n v="22772570"/>
    <m/>
    <m/>
    <m/>
    <s v="SOLFIN"/>
    <s v="SOLFIN"/>
    <s v="CCMS"/>
    <n v="21343997"/>
    <n v="2900.83"/>
    <m/>
    <s v="N"/>
    <n v="13"/>
    <d v="2023-07-07T19:03:20"/>
    <s v="Y"/>
    <s v="Interpreter"/>
    <s v="Private Law Children"/>
    <s v="Expert Disbursement"/>
    <s v="Lexicon Linguistics"/>
    <s v="Y"/>
    <n v="25"/>
    <n v="5"/>
    <x v="9"/>
    <s v="VALIDATED"/>
    <n v="1"/>
    <s v="01.11.80.302.6300.0000"/>
    <n v="25"/>
    <s v="11"/>
    <s v="6300"/>
    <n v="25191.78"/>
    <n v="25"/>
    <s v="CREDITOR"/>
    <n v="0"/>
    <n v="0"/>
    <n v="0"/>
    <n v="0"/>
    <n v="25"/>
  </r>
  <r>
    <n v="10157025"/>
    <s v="N"/>
    <n v="21411715"/>
    <s v="3000005977070008"/>
    <s v="CIVIL"/>
    <d v="2023-06-07T00:00:00"/>
    <d v="2023-07-21T19:03:21"/>
    <m/>
    <d v="2023-07-21T00:00:00"/>
    <n v="183"/>
    <n v="7113"/>
    <s v="10157025"/>
    <s v="10157025"/>
    <m/>
    <m/>
    <n v="22642152"/>
    <m/>
    <m/>
    <m/>
    <s v="SOLFIN"/>
    <s v="SOLFIN"/>
    <s v="CCMS"/>
    <n v="21411715"/>
    <n v="3697.45"/>
    <m/>
    <s v="N"/>
    <n v="32"/>
    <d v="2023-07-21T19:03:34"/>
    <s v="Y"/>
    <s v="Preparation - drafting pleadings"/>
    <s v="Prescribed Hourly Rates"/>
    <s v="Profit Cost"/>
    <s v="Angela Simpson"/>
    <s v="Y"/>
    <n v="13.66"/>
    <n v="2.73"/>
    <x v="12"/>
    <s v="VALIDATED"/>
    <n v="1"/>
    <s v="01.11.80.303.6100.0000"/>
    <n v="13.66"/>
    <s v="11"/>
    <s v="6100"/>
    <n v="25191.78"/>
    <n v="13.66"/>
    <s v="CREDITOR"/>
    <n v="0"/>
    <n v="0"/>
    <n v="0"/>
    <n v="0"/>
    <n v="13.66"/>
  </r>
  <r>
    <n v="59548439"/>
    <s v="N"/>
    <n v="21344108"/>
    <s v="3000013957510002"/>
    <s v="CIVIL"/>
    <d v="2023-06-29T00:00:00"/>
    <d v="2023-07-07T19:03:00"/>
    <m/>
    <d v="2023-07-07T00:00:00"/>
    <n v="183"/>
    <n v="7113"/>
    <s v="59548439"/>
    <s v="59548439"/>
    <m/>
    <m/>
    <n v="22788540"/>
    <m/>
    <m/>
    <m/>
    <s v="SOLFIN"/>
    <s v="SOLFIN"/>
    <s v="CCMS"/>
    <n v="21344108"/>
    <n v="5112.34"/>
    <m/>
    <s v="N"/>
    <n v="7"/>
    <d v="2023-07-07T19:03:23"/>
    <s v="Y"/>
    <s v="Solicitors Fixed Fee"/>
    <s v="Public Law Children"/>
    <s v="Profit Cost"/>
    <s v="Philip Wilkins"/>
    <s v="Y"/>
    <n v="2616"/>
    <n v="523.2"/>
    <x v="9"/>
    <s v="VALIDATED"/>
    <n v="1"/>
    <s v="01.11.80.308.6100.0000"/>
    <n v="2616"/>
    <s v="11"/>
    <s v="6100"/>
    <n v="25191.78"/>
    <n v="2616"/>
    <s v="CREDITOR"/>
    <n v="0"/>
    <n v="0"/>
    <n v="0"/>
    <n v="0"/>
    <n v="2616"/>
  </r>
  <r>
    <n v="9261231"/>
    <s v="N"/>
    <n v="21330518"/>
    <s v="3000005240270016"/>
    <s v="CIVIL"/>
    <d v="2023-06-26T00:00:00"/>
    <d v="2023-07-05T19:01:47"/>
    <m/>
    <d v="2023-07-05T00:00:00"/>
    <n v="183"/>
    <n v="7113"/>
    <s v="9261231"/>
    <s v="9261231"/>
    <m/>
    <m/>
    <n v="22759414"/>
    <m/>
    <m/>
    <m/>
    <s v="SOLFIN"/>
    <s v="SOLFIN"/>
    <s v="CCMS"/>
    <n v="21330518"/>
    <n v="5805.07"/>
    <m/>
    <s v="N"/>
    <n v="4"/>
    <d v="2023-07-05T19:01:50"/>
    <s v="Y"/>
    <s v="Psychologist"/>
    <s v="Public Law Children"/>
    <s v="Expert Disbursement"/>
    <s v="Psychology Experts"/>
    <s v="Y"/>
    <n v="291.38"/>
    <n v="58.28"/>
    <x v="6"/>
    <s v="VALIDATED"/>
    <n v="1"/>
    <s v="01.11.80.308.6300.0000"/>
    <n v="291.38"/>
    <s v="11"/>
    <s v="6300"/>
    <n v="25191.78"/>
    <n v="291.38"/>
    <s v="CREDITOR"/>
    <n v="0"/>
    <n v="0"/>
    <n v="0"/>
    <n v="0"/>
    <n v="291.38"/>
  </r>
  <r>
    <n v="11099426"/>
    <s v="N"/>
    <n v="21330696"/>
    <s v="3000006772850014"/>
    <s v="CIVIL"/>
    <d v="2023-06-26T00:00:00"/>
    <d v="2023-07-05T19:01:47"/>
    <m/>
    <d v="2023-07-05T00:00:00"/>
    <n v="183"/>
    <n v="7113"/>
    <s v="11099426"/>
    <s v="11099426"/>
    <m/>
    <m/>
    <n v="22760586"/>
    <m/>
    <m/>
    <m/>
    <s v="SOLFIN"/>
    <s v="SOLFIN"/>
    <s v="CCMS"/>
    <n v="21330696"/>
    <n v="4200.24"/>
    <m/>
    <s v="N"/>
    <n v="1"/>
    <d v="2023-07-05T19:01:53"/>
    <s v="Y"/>
    <s v="Toxicologist"/>
    <s v="Public Law Children"/>
    <s v="Expert Disbursement"/>
    <s v="AlphaBiolabs"/>
    <s v="Y"/>
    <n v="174.8"/>
    <n v="34.96"/>
    <x v="6"/>
    <s v="VALIDATED"/>
    <n v="1"/>
    <s v="01.11.80.308.6300.0000"/>
    <n v="174.8"/>
    <s v="11"/>
    <s v="6300"/>
    <n v="25191.78"/>
    <n v="174.8"/>
    <s v="CREDITOR"/>
    <n v="0"/>
    <n v="0"/>
    <n v="0"/>
    <n v="0"/>
    <n v="174.8"/>
  </r>
  <r>
    <n v="10157025"/>
    <s v="N"/>
    <n v="21411715"/>
    <s v="3000005977070008"/>
    <s v="CIVIL"/>
    <d v="2023-06-07T00:00:00"/>
    <d v="2023-07-21T19:03:21"/>
    <m/>
    <d v="2023-07-21T00:00:00"/>
    <n v="183"/>
    <n v="7113"/>
    <s v="10157025"/>
    <s v="10157025"/>
    <m/>
    <m/>
    <n v="22642152"/>
    <m/>
    <m/>
    <m/>
    <s v="SOLFIN"/>
    <s v="SOLFIN"/>
    <s v="CCMS"/>
    <n v="21411715"/>
    <n v="3697.45"/>
    <m/>
    <s v="N"/>
    <n v="7"/>
    <d v="2023-07-21T19:03:34"/>
    <s v="Y"/>
    <s v="Preparation - drafting statement"/>
    <s v="Prescribed Hourly Rates"/>
    <s v="Profit Cost"/>
    <s v="Angela Simpson"/>
    <s v="Y"/>
    <n v="20.49"/>
    <n v="4.1"/>
    <x v="12"/>
    <s v="VALIDATED"/>
    <n v="1"/>
    <s v="01.11.80.303.6100.0000"/>
    <n v="20.49"/>
    <s v="11"/>
    <s v="6100"/>
    <n v="25191.78"/>
    <n v="20.49"/>
    <s v="CREDITOR"/>
    <n v="0"/>
    <n v="0"/>
    <n v="0"/>
    <n v="0"/>
    <n v="20.49"/>
  </r>
  <r>
    <n v="11534132"/>
    <s v="N"/>
    <n v="21343997"/>
    <s v="3000006913160024"/>
    <s v="CIVIL"/>
    <d v="2023-06-27T00:00:00"/>
    <d v="2023-07-07T19:03:00"/>
    <m/>
    <d v="2023-07-07T00:00:00"/>
    <n v="183"/>
    <n v="7113"/>
    <s v="11534132"/>
    <s v="11534132"/>
    <m/>
    <m/>
    <n v="22772570"/>
    <m/>
    <m/>
    <m/>
    <s v="SOLFIN"/>
    <s v="SOLFIN"/>
    <s v="CCMS"/>
    <n v="21343997"/>
    <n v="2900.83"/>
    <m/>
    <s v="N"/>
    <n v="12"/>
    <d v="2023-07-07T19:03:20"/>
    <s v="Y"/>
    <s v="Interpreter"/>
    <s v="Private Law Children"/>
    <s v="Expert Disbursement"/>
    <s v="Lexicon Linguistics"/>
    <s v="Y"/>
    <n v="25"/>
    <n v="5"/>
    <x v="9"/>
    <s v="VALIDATED"/>
    <n v="1"/>
    <s v="01.11.80.302.6300.0000"/>
    <n v="25"/>
    <s v="11"/>
    <s v="6300"/>
    <n v="25191.78"/>
    <n v="25"/>
    <s v="CREDITOR"/>
    <n v="0"/>
    <n v="0"/>
    <n v="0"/>
    <n v="0"/>
    <n v="25"/>
  </r>
  <r>
    <n v="59548439"/>
    <s v="N"/>
    <n v="21344108"/>
    <s v="3000013957510002"/>
    <s v="CIVIL"/>
    <d v="2023-06-29T00:00:00"/>
    <d v="2023-07-07T19:03:00"/>
    <m/>
    <d v="2023-07-07T00:00:00"/>
    <n v="183"/>
    <n v="7113"/>
    <s v="59548439"/>
    <s v="59548439"/>
    <m/>
    <m/>
    <n v="22788540"/>
    <m/>
    <m/>
    <m/>
    <s v="SOLFIN"/>
    <s v="SOLFIN"/>
    <s v="CCMS"/>
    <n v="21344108"/>
    <n v="5112.34"/>
    <m/>
    <s v="N"/>
    <n v="3"/>
    <d v="2023-07-07T19:03:23"/>
    <s v="Y"/>
    <s v="Advocates Meeting"/>
    <s v="Public Law Children"/>
    <s v="Advocacy"/>
    <s v="Philip Wilkins"/>
    <s v="Y"/>
    <n v="140.99"/>
    <n v="28.2"/>
    <x v="9"/>
    <s v="VALIDATED"/>
    <n v="1"/>
    <s v="01.11.80.308.6100.0000"/>
    <n v="140.99"/>
    <s v="11"/>
    <s v="6100"/>
    <n v="25191.78"/>
    <n v="140.99"/>
    <s v="CREDITOR"/>
    <n v="0"/>
    <n v="0"/>
    <n v="0"/>
    <n v="0"/>
    <n v="140.99"/>
  </r>
  <r>
    <n v="10157025"/>
    <s v="N"/>
    <n v="21411715"/>
    <s v="3000005977070008"/>
    <s v="CIVIL"/>
    <d v="2023-06-07T00:00:00"/>
    <d v="2023-07-21T19:03:21"/>
    <m/>
    <d v="2023-07-21T00:00:00"/>
    <n v="183"/>
    <n v="7113"/>
    <s v="10157025"/>
    <s v="10157025"/>
    <m/>
    <m/>
    <n v="22642152"/>
    <m/>
    <m/>
    <m/>
    <s v="SOLFIN"/>
    <s v="SOLFIN"/>
    <s v="CCMS"/>
    <n v="21411715"/>
    <n v="3697.45"/>
    <m/>
    <s v="N"/>
    <n v="37"/>
    <d v="2023-07-21T19:03:34"/>
    <s v="Y"/>
    <s v="Attendance upon client"/>
    <s v="Prescribed Hourly Rates"/>
    <s v="Profit Cost"/>
    <s v="Angela Simpson"/>
    <s v="Y"/>
    <n v="54.65"/>
    <n v="10.93"/>
    <x v="12"/>
    <s v="VALIDATED"/>
    <n v="1"/>
    <s v="01.11.80.303.6100.0000"/>
    <n v="54.65"/>
    <s v="11"/>
    <s v="6100"/>
    <n v="25191.78"/>
    <n v="54.65"/>
    <s v="CREDITOR"/>
    <n v="0"/>
    <n v="0"/>
    <n v="0"/>
    <n v="0"/>
    <n v="54.65"/>
  </r>
  <r>
    <n v="40954654"/>
    <s v="N"/>
    <n v="21327836"/>
    <s v="3000010939120005"/>
    <s v="CIVIL"/>
    <d v="2023-06-22T00:00:00"/>
    <d v="2023-07-04T19:00:44"/>
    <m/>
    <d v="2023-07-04T00:00:00"/>
    <n v="183"/>
    <n v="7113"/>
    <s v="40954654"/>
    <s v="40954654"/>
    <m/>
    <m/>
    <n v="22746118"/>
    <m/>
    <m/>
    <m/>
    <s v="SOLFIN"/>
    <s v="SOLFIN"/>
    <s v="CCMS"/>
    <n v="21327836"/>
    <n v="6795.68"/>
    <m/>
    <s v="N"/>
    <n v="5"/>
    <d v="2023-07-04T19:00:56"/>
    <s v="Y"/>
    <s v="Advocates Meeting"/>
    <s v="Public Law Children"/>
    <s v="Advocacy"/>
    <s v="Philip Wilkins"/>
    <s v="Y"/>
    <n v="140.99"/>
    <n v="28.2"/>
    <x v="1"/>
    <s v="VALIDATED"/>
    <n v="1"/>
    <s v="01.11.80.308.6100.0000"/>
    <n v="140.99"/>
    <s v="11"/>
    <s v="6100"/>
    <n v="25191.78"/>
    <n v="140.99"/>
    <s v="CREDITOR"/>
    <n v="0"/>
    <n v="0"/>
    <n v="0"/>
    <n v="0"/>
    <n v="140.99"/>
  </r>
  <r>
    <n v="11099426"/>
    <s v="N"/>
    <n v="21330696"/>
    <s v="3000006772850014"/>
    <s v="CIVIL"/>
    <d v="2023-06-26T00:00:00"/>
    <d v="2023-07-05T19:01:47"/>
    <m/>
    <d v="2023-07-05T00:00:00"/>
    <n v="183"/>
    <n v="7113"/>
    <s v="11099426"/>
    <s v="11099426"/>
    <m/>
    <m/>
    <n v="22760586"/>
    <m/>
    <m/>
    <m/>
    <s v="SOLFIN"/>
    <s v="SOLFIN"/>
    <s v="CCMS"/>
    <n v="21330696"/>
    <n v="4200.24"/>
    <m/>
    <s v="N"/>
    <n v="3"/>
    <d v="2023-07-05T19:01:53"/>
    <s v="Y"/>
    <s v="Toxicologist"/>
    <s v="Public Law Children"/>
    <s v="Expert Disbursement"/>
    <s v="AlphaBiolabs"/>
    <s v="Y"/>
    <n v="89"/>
    <n v="17.8"/>
    <x v="6"/>
    <s v="VALIDATED"/>
    <n v="1"/>
    <s v="01.11.80.308.6300.0000"/>
    <n v="89"/>
    <s v="11"/>
    <s v="6300"/>
    <n v="25191.78"/>
    <n v="89"/>
    <s v="CREDITOR"/>
    <n v="0"/>
    <n v="0"/>
    <n v="0"/>
    <n v="0"/>
    <n v="89"/>
  </r>
  <r>
    <n v="10157025"/>
    <s v="N"/>
    <n v="21411715"/>
    <s v="3000005977070008"/>
    <s v="CIVIL"/>
    <d v="2023-06-07T00:00:00"/>
    <d v="2023-07-21T19:03:21"/>
    <m/>
    <d v="2023-07-21T00:00:00"/>
    <n v="183"/>
    <n v="7113"/>
    <s v="10157025"/>
    <s v="10157025"/>
    <m/>
    <m/>
    <n v="22642152"/>
    <m/>
    <m/>
    <m/>
    <s v="SOLFIN"/>
    <s v="SOLFIN"/>
    <s v="CCMS"/>
    <n v="21411715"/>
    <n v="3697.45"/>
    <m/>
    <s v="N"/>
    <n v="9"/>
    <d v="2023-07-21T19:03:34"/>
    <s v="Y"/>
    <s v="Attendance upon client"/>
    <s v="Prescribed Hourly Rates"/>
    <s v="Profit Cost"/>
    <s v="Angela Simpson"/>
    <s v="Y"/>
    <n v="102.47"/>
    <n v="20.49"/>
    <x v="12"/>
    <s v="VALIDATED"/>
    <n v="1"/>
    <s v="01.11.80.303.6100.0000"/>
    <n v="102.47"/>
    <s v="11"/>
    <s v="6100"/>
    <n v="25191.78"/>
    <n v="102.47"/>
    <s v="CREDITOR"/>
    <n v="0"/>
    <n v="0"/>
    <n v="0"/>
    <n v="0"/>
    <n v="102.47"/>
  </r>
  <r>
    <n v="10157025"/>
    <s v="N"/>
    <n v="21411715"/>
    <s v="3000005977070008"/>
    <s v="CIVIL"/>
    <d v="2023-06-07T00:00:00"/>
    <d v="2023-07-21T19:03:21"/>
    <m/>
    <d v="2023-07-21T00:00:00"/>
    <n v="183"/>
    <n v="7113"/>
    <s v="10157025"/>
    <s v="10157025"/>
    <m/>
    <m/>
    <n v="22642152"/>
    <m/>
    <m/>
    <m/>
    <s v="SOLFIN"/>
    <s v="SOLFIN"/>
    <s v="CCMS"/>
    <n v="21411715"/>
    <n v="3697.45"/>
    <m/>
    <s v="N"/>
    <n v="3"/>
    <d v="2023-07-21T19:03:34"/>
    <s v="Y"/>
    <s v="Preparation - drafting pleadings"/>
    <s v="Prescribed Hourly Rates"/>
    <s v="Profit Cost"/>
    <s v="Angela Simpson"/>
    <s v="Y"/>
    <n v="20.49"/>
    <n v="4.1"/>
    <x v="12"/>
    <s v="VALIDATED"/>
    <n v="1"/>
    <s v="01.11.80.303.6100.0000"/>
    <n v="20.49"/>
    <s v="11"/>
    <s v="6100"/>
    <n v="25191.78"/>
    <n v="20.49"/>
    <s v="CREDITOR"/>
    <n v="0"/>
    <n v="0"/>
    <n v="0"/>
    <n v="0"/>
    <n v="20.49"/>
  </r>
  <r>
    <n v="11525164"/>
    <s v="N"/>
    <n v="21319137"/>
    <s v="3000006951050003"/>
    <s v="CIVIL"/>
    <d v="2023-06-22T00:00:00"/>
    <d v="2023-07-03T19:01:49"/>
    <m/>
    <d v="2023-07-03T00:00:00"/>
    <n v="183"/>
    <n v="7113"/>
    <s v="11525164"/>
    <s v="11525164"/>
    <m/>
    <m/>
    <n v="22745680"/>
    <m/>
    <m/>
    <m/>
    <s v="SOLFIN"/>
    <s v="SOLFIN"/>
    <s v="CCMS"/>
    <n v="21319137"/>
    <n v="7073.87"/>
    <m/>
    <s v="N"/>
    <n v="9"/>
    <d v="2023-07-03T19:02:12"/>
    <s v="Y"/>
    <s v="Hearing Unit 2.31 - 5.00 Hours"/>
    <s v="Public Law Children"/>
    <s v="Advocacy"/>
    <s v="Philip Wilkins"/>
    <s v="Y"/>
    <n v="596.15"/>
    <n v="119.23"/>
    <x v="3"/>
    <s v="VALIDATED"/>
    <n v="1"/>
    <s v="01.11.80.308.6100.0000"/>
    <n v="596.15"/>
    <s v="11"/>
    <s v="6100"/>
    <n v="25191.78"/>
    <n v="596.15"/>
    <s v="CREDITOR"/>
    <n v="0"/>
    <n v="0"/>
    <n v="0"/>
    <n v="0"/>
    <n v="596.15"/>
  </r>
  <r>
    <n v="10157025"/>
    <s v="N"/>
    <n v="21411715"/>
    <s v="3000005977070008"/>
    <s v="CIVIL"/>
    <d v="2023-06-07T00:00:00"/>
    <d v="2023-07-21T19:03:21"/>
    <m/>
    <d v="2023-07-21T00:00:00"/>
    <n v="183"/>
    <n v="7113"/>
    <s v="10157025"/>
    <s v="10157025"/>
    <m/>
    <m/>
    <n v="22642152"/>
    <m/>
    <m/>
    <m/>
    <s v="SOLFIN"/>
    <s v="SOLFIN"/>
    <s v="CCMS"/>
    <n v="21411715"/>
    <n v="3697.45"/>
    <m/>
    <s v="N"/>
    <n v="12"/>
    <d v="2023-07-21T19:03:34"/>
    <s v="Y"/>
    <s v="Attendance upon client"/>
    <s v="Prescribed Hourly Rates"/>
    <s v="Profit Cost"/>
    <s v="Angela Simpson"/>
    <s v="Y"/>
    <n v="34.16"/>
    <n v="6.83"/>
    <x v="12"/>
    <s v="VALIDATED"/>
    <n v="1"/>
    <s v="01.11.80.303.6100.0000"/>
    <n v="34.16"/>
    <s v="11"/>
    <s v="6100"/>
    <n v="25191.78"/>
    <n v="34.16"/>
    <s v="CREDITOR"/>
    <n v="0"/>
    <n v="0"/>
    <n v="0"/>
    <n v="0"/>
    <n v="34.16"/>
  </r>
  <r>
    <n v="11525164"/>
    <s v="N"/>
    <n v="21319137"/>
    <s v="3000006951050003"/>
    <s v="CIVIL"/>
    <d v="2023-06-22T00:00:00"/>
    <d v="2023-07-03T19:01:49"/>
    <m/>
    <d v="2023-07-03T00:00:00"/>
    <n v="183"/>
    <n v="7113"/>
    <s v="11525164"/>
    <s v="11525164"/>
    <m/>
    <m/>
    <n v="22745680"/>
    <m/>
    <m/>
    <m/>
    <s v="SOLFIN"/>
    <s v="SOLFIN"/>
    <s v="CCMS"/>
    <n v="21319137"/>
    <n v="7073.87"/>
    <m/>
    <s v="N"/>
    <n v="6"/>
    <d v="2023-07-03T19:02:12"/>
    <s v="Y"/>
    <s v="Advocates Meeting"/>
    <s v="Public Law Children"/>
    <s v="Advocacy"/>
    <s v="Philip Wilkins"/>
    <s v="Y"/>
    <n v="140.99"/>
    <n v="28.2"/>
    <x v="3"/>
    <s v="VALIDATED"/>
    <n v="1"/>
    <s v="01.11.80.308.6100.0000"/>
    <n v="140.99"/>
    <s v="11"/>
    <s v="6100"/>
    <n v="25191.78"/>
    <n v="140.99"/>
    <s v="CREDITOR"/>
    <n v="0"/>
    <n v="0"/>
    <n v="0"/>
    <n v="0"/>
    <n v="140.99"/>
  </r>
  <r>
    <n v="9261231"/>
    <s v="N"/>
    <n v="21330518"/>
    <s v="3000005240270016"/>
    <s v="CIVIL"/>
    <d v="2023-06-26T00:00:00"/>
    <d v="2023-07-05T19:01:47"/>
    <m/>
    <d v="2023-07-05T00:00:00"/>
    <n v="183"/>
    <n v="7113"/>
    <s v="9261231"/>
    <s v="9261231"/>
    <m/>
    <m/>
    <n v="22759414"/>
    <m/>
    <m/>
    <m/>
    <s v="SOLFIN"/>
    <s v="SOLFIN"/>
    <s v="CCMS"/>
    <n v="21330518"/>
    <n v="5805.07"/>
    <m/>
    <s v="N"/>
    <n v="7"/>
    <d v="2023-07-05T19:01:50"/>
    <s v="Y"/>
    <s v="Toxicologist"/>
    <s v="Public Law Children"/>
    <s v="Expert Disbursement"/>
    <s v="Lextox"/>
    <s v="Y"/>
    <n v="94.59999999999999"/>
    <n v="18.92"/>
    <x v="6"/>
    <s v="VALIDATED"/>
    <n v="1"/>
    <s v="01.11.80.308.6300.0000"/>
    <n v="94.59999999999999"/>
    <s v="11"/>
    <s v="6300"/>
    <n v="25191.78"/>
    <n v="94.59999999999999"/>
    <s v="CREDITOR"/>
    <n v="0"/>
    <n v="0"/>
    <n v="0"/>
    <n v="0"/>
    <n v="94.59999999999999"/>
  </r>
  <r>
    <n v="62282082"/>
    <s v="N"/>
    <n v="21318884"/>
    <s v="3000016276970003"/>
    <s v="CIVIL"/>
    <d v="2023-06-21T00:00:00"/>
    <d v="2023-07-03T19:01:49"/>
    <m/>
    <d v="2023-07-03T00:00:00"/>
    <n v="190"/>
    <n v="12002"/>
    <s v="62282082"/>
    <s v="62282082"/>
    <m/>
    <m/>
    <n v="22735076"/>
    <m/>
    <m/>
    <m/>
    <s v="SOLPOA"/>
    <s v="SOLPOA"/>
    <s v="CCMS"/>
    <n v="21318884"/>
    <n v="270.3"/>
    <m/>
    <s v="N"/>
    <n v="1"/>
    <d v="2023-07-03T19:02:04"/>
    <s v="N"/>
    <s v="Expert Cost"/>
    <s v="Expert Cost"/>
    <s v="Expert Disbursement"/>
    <s v="SJ"/>
    <s v="N"/>
    <n v="225.25"/>
    <n v="45.05"/>
    <x v="3"/>
    <s v="VALIDATED"/>
    <n v="1"/>
    <s v="01.11.80.308.2012.0000"/>
    <n v="225.25"/>
    <s v="11"/>
    <s v="2012"/>
    <n v="225.25"/>
    <n v="225.25"/>
    <s v="CREDITOR"/>
    <n v="225.25"/>
    <n v="0"/>
    <n v="0"/>
    <n v="0"/>
    <n v="0"/>
  </r>
  <r>
    <n v="61329417"/>
    <s v="N"/>
    <n v="21320567"/>
    <s v="3000015481890004"/>
    <s v="CIVIL"/>
    <d v="2023-06-28T00:00:00"/>
    <d v="2023-07-03T19:04:52"/>
    <m/>
    <d v="2023-07-03T00:00:00"/>
    <n v="192"/>
    <n v="12225"/>
    <s v="61329417"/>
    <s v="61329417"/>
    <m/>
    <m/>
    <n v="22779042"/>
    <m/>
    <m/>
    <m/>
    <s v="SOLPOA"/>
    <s v="SOLPOA"/>
    <s v="CCMS"/>
    <n v="21320567"/>
    <n v="219.9"/>
    <m/>
    <s v="N"/>
    <n v="1"/>
    <d v="2023-07-03T19:04:55"/>
    <s v="N"/>
    <s v="Non Expert Disbursement"/>
    <s v="Non Expert Disbursement"/>
    <s v="Non Expert Disbursement"/>
    <s v="06/MCG0185/2"/>
    <s v="N"/>
    <n v="183.25"/>
    <n v="36.65"/>
    <x v="3"/>
    <s v="VALIDATED"/>
    <n v="1"/>
    <s v="01.11.80.308.2012.0000"/>
    <n v="183.25"/>
    <s v="11"/>
    <s v="2012"/>
    <n v="815.08"/>
    <n v="183.25"/>
    <s v="CREDITOR"/>
    <n v="183.25"/>
    <n v="0"/>
    <n v="0"/>
    <n v="0"/>
    <n v="0"/>
  </r>
  <r>
    <n v="61808648"/>
    <s v="N"/>
    <n v="21343507"/>
    <s v="3000015880610004"/>
    <s v="CIVIL"/>
    <d v="2023-06-21T00:00:00"/>
    <d v="2023-07-07T19:03:00"/>
    <m/>
    <d v="2023-07-07T00:00:00"/>
    <n v="192"/>
    <n v="12225"/>
    <s v="61808648"/>
    <s v="61808648"/>
    <m/>
    <m/>
    <n v="22737092"/>
    <m/>
    <m/>
    <m/>
    <s v="SOLPOA"/>
    <s v="SOLPOA"/>
    <s v="CCMS"/>
    <n v="21343507"/>
    <n v="76.2"/>
    <m/>
    <s v="N"/>
    <n v="1"/>
    <d v="2023-07-07T19:03:10"/>
    <s v="N"/>
    <s v="Non Expert Disbursement"/>
    <s v="Non Expert Disbursement"/>
    <s v="Non Expert Disbursement"/>
    <s v="06/WHI0168/1"/>
    <s v="N"/>
    <n v="76.2"/>
    <n v="0"/>
    <x v="9"/>
    <s v="VALIDATED"/>
    <n v="1"/>
    <s v="01.11.80.308.2012.0000"/>
    <n v="76.2"/>
    <s v="11"/>
    <s v="2012"/>
    <n v="815.08"/>
    <n v="76.2"/>
    <s v="CREDITOR"/>
    <n v="76.2"/>
    <n v="0"/>
    <n v="0"/>
    <n v="0"/>
    <n v="0"/>
  </r>
  <r>
    <n v="61756942"/>
    <s v="N"/>
    <n v="21338228"/>
    <s v="3000015836160004"/>
    <s v="CIVIL"/>
    <d v="2023-06-30T00:00:00"/>
    <d v="2023-07-06T19:21:01"/>
    <m/>
    <d v="2023-07-06T00:00:00"/>
    <n v="192"/>
    <n v="12225"/>
    <s v="61756942"/>
    <s v="61756942"/>
    <m/>
    <m/>
    <n v="22798156"/>
    <m/>
    <m/>
    <m/>
    <s v="SOLPOA"/>
    <s v="SOLPOA"/>
    <s v="CCMS"/>
    <n v="21338228"/>
    <n v="466.36"/>
    <m/>
    <s v="N"/>
    <n v="1"/>
    <d v="2023-07-06T19:21:12"/>
    <s v="N"/>
    <s v="Non Expert Disbursement"/>
    <s v="Non Expert Disbursement"/>
    <s v="Non Expert Disbursement"/>
    <s v="06/RAS0071/1"/>
    <s v="N"/>
    <n v="388.63"/>
    <n v="77.73"/>
    <x v="4"/>
    <s v="VALIDATED"/>
    <n v="1"/>
    <s v="01.11.80.308.2012.0000"/>
    <n v="388.63"/>
    <s v="11"/>
    <s v="2012"/>
    <n v="815.08"/>
    <n v="388.63"/>
    <s v="CREDITOR"/>
    <n v="388.63"/>
    <n v="0"/>
    <n v="0"/>
    <n v="0"/>
    <n v="0"/>
  </r>
  <r>
    <n v="62081200"/>
    <s v="N"/>
    <n v="21337805"/>
    <s v="3000016111120004"/>
    <s v="CIVIL"/>
    <d v="2023-06-29T00:00:00"/>
    <d v="2023-07-06T19:21:01"/>
    <m/>
    <d v="2023-07-06T00:00:00"/>
    <n v="192"/>
    <n v="12225"/>
    <s v="62081200"/>
    <s v="62081200"/>
    <m/>
    <m/>
    <n v="22785764"/>
    <m/>
    <m/>
    <m/>
    <s v="SOLPOA"/>
    <s v="SOLPOA"/>
    <s v="CCMS"/>
    <n v="21337805"/>
    <n v="167"/>
    <m/>
    <s v="N"/>
    <n v="1"/>
    <d v="2023-07-06T19:21:08"/>
    <s v="N"/>
    <s v="Non Expert Disbursement"/>
    <s v="Non Expert Disbursement"/>
    <s v="Non Expert Disbursement"/>
    <s v="06/LIS0082/4"/>
    <s v="N"/>
    <n v="167"/>
    <n v="0"/>
    <x v="4"/>
    <s v="VALIDATED"/>
    <n v="1"/>
    <s v="01.11.80.308.2012.0000"/>
    <n v="167"/>
    <s v="11"/>
    <s v="2012"/>
    <n v="815.08"/>
    <n v="167"/>
    <s v="CREDITOR"/>
    <n v="167"/>
    <n v="0"/>
    <n v="0"/>
    <n v="0"/>
    <n v="0"/>
  </r>
  <r>
    <n v="61130472"/>
    <s v="N"/>
    <n v="21387975"/>
    <s v="3000015317490002RC"/>
    <s v="CIVIL"/>
    <d v="2023-06-28T00:00:00"/>
    <d v="2023-07-17T19:42:13"/>
    <m/>
    <d v="2023-07-17T00:00:00"/>
    <n v="194"/>
    <n v="12447"/>
    <s v="61130472"/>
    <s v="61130472"/>
    <m/>
    <m/>
    <m/>
    <m/>
    <m/>
    <m/>
    <s v="SOLRECOUP"/>
    <s v="SOLRECOUP"/>
    <s v="POARECOUP"/>
    <n v="21387975"/>
    <n v="-120"/>
    <m/>
    <s v="Y"/>
    <n v="1"/>
    <d v="2023-07-17T19:42:14"/>
    <s v="N"/>
    <m/>
    <m/>
    <s v="Expert Disbursement"/>
    <m/>
    <s v="N"/>
    <n v="-100"/>
    <n v="0"/>
    <x v="8"/>
    <s v="VALIDATED"/>
    <n v="1"/>
    <s v="01.11.80.302.2013.0000"/>
    <n v="-100"/>
    <s v="11"/>
    <s v="2013"/>
    <n v="34318.95"/>
    <n v="-100"/>
    <s v="CREDITOR"/>
    <n v="0"/>
    <n v="0"/>
    <n v="-100"/>
    <n v="0"/>
    <n v="0"/>
  </r>
  <r>
    <n v="62291739"/>
    <s v="N"/>
    <n v="21378053"/>
    <s v="3000016284260001RC"/>
    <s v="CIVIL"/>
    <d v="2023-06-30T00:00:00"/>
    <d v="2023-07-14T19:33:52"/>
    <m/>
    <d v="2023-07-14T00:00:00"/>
    <n v="194"/>
    <n v="12447"/>
    <s v="62291739"/>
    <s v="62291739"/>
    <m/>
    <m/>
    <m/>
    <m/>
    <m/>
    <m/>
    <s v="SOLRECOUP"/>
    <s v="SOLRECOUP"/>
    <s v="POARECOUP"/>
    <n v="21378053"/>
    <n v="-120"/>
    <m/>
    <s v="Y"/>
    <n v="1"/>
    <d v="2023-07-14T19:33:52"/>
    <s v="N"/>
    <m/>
    <m/>
    <s v="Expert Disbursement"/>
    <m/>
    <s v="N"/>
    <n v="-100"/>
    <n v="0"/>
    <x v="10"/>
    <s v="VALIDATED"/>
    <n v="1"/>
    <s v="01.11.80.302.2013.0000"/>
    <n v="-100"/>
    <s v="11"/>
    <s v="2013"/>
    <n v="34318.95"/>
    <n v="-100"/>
    <s v="CREDITOR"/>
    <n v="0"/>
    <n v="0"/>
    <n v="-100"/>
    <n v="0"/>
    <n v="0"/>
  </r>
  <r>
    <n v="62291739"/>
    <s v="N"/>
    <n v="21378053"/>
    <s v="3000016284260001RC"/>
    <s v="CIVIL"/>
    <d v="2023-06-30T00:00:00"/>
    <d v="2023-07-14T19:33:52"/>
    <m/>
    <d v="2023-07-14T00:00:00"/>
    <n v="194"/>
    <n v="12447"/>
    <s v="62291739"/>
    <s v="62291739"/>
    <m/>
    <m/>
    <m/>
    <m/>
    <m/>
    <m/>
    <s v="SOLRECOUP"/>
    <s v="SOLRECOUP"/>
    <s v="POARECOUP"/>
    <n v="21378053"/>
    <n v="-120"/>
    <m/>
    <s v="Y"/>
    <n v="2"/>
    <d v="2023-07-14T19:33:52"/>
    <s v="N"/>
    <m/>
    <m/>
    <s v="Expert Disbursement"/>
    <m/>
    <s v="N"/>
    <n v="0"/>
    <n v="-20"/>
    <x v="10"/>
    <s v="VALIDATED"/>
    <n v="1"/>
    <s v="01.11.80.302.2013.0000"/>
    <n v="-20"/>
    <s v="11"/>
    <s v="2013"/>
    <n v="34318.95"/>
    <n v="-20"/>
    <s v="CREDITOR"/>
    <n v="0"/>
    <n v="0"/>
    <n v="-20"/>
    <n v="0"/>
    <n v="0"/>
  </r>
  <r>
    <n v="62309851"/>
    <s v="N"/>
    <n v="21330932"/>
    <s v="3000016300730003"/>
    <s v="CIVIL"/>
    <d v="2023-06-28T00:00:00"/>
    <d v="2023-07-05T19:01:47"/>
    <m/>
    <d v="2023-07-05T00:00:00"/>
    <n v="194"/>
    <n v="12447"/>
    <s v="62309851"/>
    <s v="62309851"/>
    <m/>
    <m/>
    <n v="22775378"/>
    <m/>
    <m/>
    <m/>
    <s v="SOLFIN"/>
    <s v="SOLFIN"/>
    <s v="CCMS"/>
    <n v="21330932"/>
    <n v="4181.19"/>
    <m/>
    <s v="N"/>
    <n v="46"/>
    <d v="2023-07-05T19:01:57"/>
    <s v="Y"/>
    <s v="Preparation - other"/>
    <s v="Prescribed Hourly Rates"/>
    <s v="Profit Cost"/>
    <s v="YR"/>
    <s v="Y"/>
    <n v="16.63"/>
    <n v="3.33"/>
    <x v="6"/>
    <s v="VALIDATED"/>
    <n v="1"/>
    <s v="01.11.80.302.6100.0000"/>
    <n v="16.63"/>
    <s v="11"/>
    <s v="6100"/>
    <n v="34318.95"/>
    <n v="16.63"/>
    <s v="CREDITOR"/>
    <n v="0"/>
    <n v="0"/>
    <n v="0"/>
    <n v="0"/>
    <n v="16.63"/>
  </r>
  <r>
    <n v="61080230"/>
    <s v="N"/>
    <n v="21330559"/>
    <s v="3000015275730002"/>
    <s v="CIVIL"/>
    <d v="2023-06-23T00:00:00"/>
    <d v="2023-07-05T19:01:47"/>
    <m/>
    <d v="2023-07-05T00:00:00"/>
    <n v="194"/>
    <n v="12447"/>
    <s v="61080230"/>
    <s v="61080230"/>
    <m/>
    <m/>
    <n v="22755936"/>
    <m/>
    <m/>
    <m/>
    <s v="SOLFIN"/>
    <s v="SOLFIN"/>
    <s v="CCMS"/>
    <n v="21330559"/>
    <n v="3599.14"/>
    <m/>
    <s v="N"/>
    <n v="11"/>
    <d v="2023-07-05T19:01:51"/>
    <s v="Y"/>
    <s v="Attendance upon client"/>
    <s v="Prescribed Hourly Rates"/>
    <s v="Profit Cost"/>
    <s v="DF1"/>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35"/>
    <d v="2023-07-05T19:01:57"/>
    <s v="Y"/>
    <s v="Preparation - other"/>
    <s v="Prescribed Hourly Rates"/>
    <s v="Profit Cost"/>
    <s v="YR"/>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87"/>
    <d v="2023-07-04T19:00:48"/>
    <s v="Y"/>
    <s v="Preparation - other"/>
    <s v="Prescribed Hourly Rates"/>
    <s v="Profit Cost"/>
    <s v="FAH"/>
    <s v="Y"/>
    <n v="16.63"/>
    <n v="3.33"/>
    <x v="1"/>
    <s v="VALIDATED"/>
    <n v="1"/>
    <s v="01.11.80.302.6100.0000"/>
    <n v="16.63"/>
    <s v="11"/>
    <s v="6100"/>
    <n v="34318.95"/>
    <n v="16.63"/>
    <s v="CREDITOR"/>
    <n v="0"/>
    <n v="0"/>
    <n v="0"/>
    <n v="0"/>
    <n v="16.63"/>
  </r>
  <r>
    <n v="61464958"/>
    <s v="N"/>
    <n v="21318984"/>
    <s v="3000015543270001"/>
    <s v="CIVIL"/>
    <d v="2023-06-23T00:00:00"/>
    <d v="2023-07-03T19:01:49"/>
    <m/>
    <d v="2023-07-03T00:00:00"/>
    <n v="194"/>
    <n v="12447"/>
    <s v="61464958"/>
    <s v="61464958"/>
    <m/>
    <m/>
    <n v="22755938"/>
    <m/>
    <m/>
    <m/>
    <s v="SOLFIN"/>
    <s v="SOLFIN"/>
    <s v="CCMS"/>
    <n v="21318984"/>
    <n v="2903.56"/>
    <m/>
    <s v="N"/>
    <n v="9"/>
    <d v="2023-07-03T19:02:05"/>
    <s v="Y"/>
    <s v="Preparation - other"/>
    <s v="Prescribed Hourly Rates"/>
    <s v="Profit Cost"/>
    <s v="FA"/>
    <s v="Y"/>
    <n v="172.26"/>
    <n v="34.45"/>
    <x v="3"/>
    <s v="VALIDATED"/>
    <n v="1"/>
    <s v="01.11.80.307.6100.0000"/>
    <n v="172.26"/>
    <s v="11"/>
    <s v="6100"/>
    <n v="34318.95"/>
    <n v="172.26"/>
    <s v="CREDITOR"/>
    <n v="0"/>
    <n v="0"/>
    <n v="0"/>
    <n v="0"/>
    <n v="172.26"/>
  </r>
  <r>
    <n v="62309851"/>
    <s v="N"/>
    <n v="21330932"/>
    <s v="3000016300730003"/>
    <s v="CIVIL"/>
    <d v="2023-06-28T00:00:00"/>
    <d v="2023-07-05T19:01:47"/>
    <m/>
    <d v="2023-07-05T00:00:00"/>
    <n v="194"/>
    <n v="12447"/>
    <s v="62309851"/>
    <s v="62309851"/>
    <m/>
    <m/>
    <n v="22775378"/>
    <m/>
    <m/>
    <m/>
    <s v="SOLFIN"/>
    <s v="SOLFIN"/>
    <s v="CCMS"/>
    <n v="21330932"/>
    <n v="4181.19"/>
    <m/>
    <s v="N"/>
    <n v="12"/>
    <d v="2023-07-05T19:01:57"/>
    <s v="Y"/>
    <s v="Preparation - other"/>
    <s v="Prescribed Hourly Rates"/>
    <s v="Profit Cost"/>
    <s v="SP"/>
    <s v="Y"/>
    <n v="99.79000000000001"/>
    <n v="19.96"/>
    <x v="6"/>
    <s v="VALIDATED"/>
    <n v="1"/>
    <s v="01.11.80.302.6100.0000"/>
    <n v="99.79000000000001"/>
    <s v="11"/>
    <s v="6100"/>
    <n v="34318.95"/>
    <n v="99.79000000000001"/>
    <s v="CREDITOR"/>
    <n v="0"/>
    <n v="0"/>
    <n v="0"/>
    <n v="0"/>
    <n v="99.79000000000001"/>
  </r>
  <r>
    <n v="62260478"/>
    <s v="N"/>
    <n v="21330952"/>
    <s v="3000016258320003"/>
    <s v="CIVIL"/>
    <d v="2023-06-28T00:00:00"/>
    <d v="2023-07-05T19:01:47"/>
    <m/>
    <d v="2023-07-05T00:00:00"/>
    <n v="194"/>
    <n v="12447"/>
    <s v="62260478"/>
    <s v="62260478"/>
    <m/>
    <m/>
    <n v="22775374"/>
    <m/>
    <m/>
    <m/>
    <s v="SOLFIN"/>
    <s v="SOLFIN"/>
    <s v="CCMS"/>
    <n v="21330952"/>
    <n v="3936.68"/>
    <m/>
    <s v="N"/>
    <n v="31"/>
    <d v="2023-07-05T19:01:59"/>
    <s v="Y"/>
    <s v="Preparation - other"/>
    <s v="Prescribed Hourly Rates"/>
    <s v="Profit Cost"/>
    <s v="DB"/>
    <s v="Y"/>
    <n v="16.63"/>
    <n v="3.33"/>
    <x v="6"/>
    <s v="VALIDATED"/>
    <n v="1"/>
    <s v="01.11.80.302.6100.0000"/>
    <n v="16.63"/>
    <s v="11"/>
    <s v="6100"/>
    <n v="34318.95"/>
    <n v="16.63"/>
    <s v="CREDITOR"/>
    <n v="0"/>
    <n v="0"/>
    <n v="0"/>
    <n v="0"/>
    <n v="16.63"/>
  </r>
  <r>
    <n v="62260478"/>
    <s v="N"/>
    <n v="21330952"/>
    <s v="3000016258320003"/>
    <s v="CIVIL"/>
    <d v="2023-06-28T00:00:00"/>
    <d v="2023-07-05T19:01:47"/>
    <m/>
    <d v="2023-07-05T00:00:00"/>
    <n v="194"/>
    <n v="12447"/>
    <s v="62260478"/>
    <s v="62260478"/>
    <m/>
    <m/>
    <n v="22775374"/>
    <m/>
    <m/>
    <m/>
    <s v="SOLFIN"/>
    <s v="SOLFIN"/>
    <s v="CCMS"/>
    <n v="21330952"/>
    <n v="3936.68"/>
    <m/>
    <s v="N"/>
    <n v="52"/>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34"/>
    <d v="2023-07-05T19:01:57"/>
    <s v="Y"/>
    <s v="Preparation - other"/>
    <s v="Prescribed Hourly Rates"/>
    <s v="Profit Cost"/>
    <s v="YR"/>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14"/>
    <d v="2023-07-05T19:01:59"/>
    <s v="Y"/>
    <s v="Preparation - other"/>
    <s v="Prescribed Hourly Rates"/>
    <s v="Profit Cost"/>
    <s v="FH"/>
    <s v="Y"/>
    <n v="124.74"/>
    <n v="24.95"/>
    <x v="6"/>
    <s v="VALIDATED"/>
    <n v="1"/>
    <s v="01.11.80.302.6100.0000"/>
    <n v="124.74"/>
    <s v="11"/>
    <s v="6100"/>
    <n v="34318.95"/>
    <n v="124.74"/>
    <s v="CREDITOR"/>
    <n v="0"/>
    <n v="0"/>
    <n v="0"/>
    <n v="0"/>
    <n v="124.74"/>
  </r>
  <r>
    <n v="60678163"/>
    <s v="N"/>
    <n v="21327492"/>
    <s v="3000014928670004"/>
    <s v="CIVIL"/>
    <d v="2023-06-22T00:00:00"/>
    <d v="2023-07-04T19:00:44"/>
    <m/>
    <d v="2023-07-04T00:00:00"/>
    <n v="194"/>
    <n v="12447"/>
    <s v="60678163"/>
    <s v="60678163"/>
    <m/>
    <m/>
    <n v="22744814"/>
    <m/>
    <m/>
    <m/>
    <s v="SOLFIN"/>
    <s v="SOLFIN"/>
    <s v="CCMS"/>
    <n v="21327492"/>
    <n v="7348.42"/>
    <m/>
    <s v="N"/>
    <n v="68"/>
    <d v="2023-07-04T19:00:48"/>
    <s v="Y"/>
    <s v="Attendance upon client"/>
    <s v="Prescribed Hourly Rates"/>
    <s v="Profit Cost"/>
    <s v="FH1"/>
    <s v="Y"/>
    <n v="8.32"/>
    <n v="1.66"/>
    <x v="1"/>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24"/>
    <d v="2023-07-17T19:02:09"/>
    <s v="Y"/>
    <s v="Attendance upon client"/>
    <s v="Prescribed Hourly Rates"/>
    <s v="Profit Cost"/>
    <s v="FAH"/>
    <s v="Y"/>
    <n v="49.9"/>
    <n v="9.98"/>
    <x v="8"/>
    <s v="VALIDATED"/>
    <n v="1"/>
    <s v="01.11.80.302.6100.0000"/>
    <n v="49.9"/>
    <s v="11"/>
    <s v="6100"/>
    <n v="34318.95"/>
    <n v="49.9"/>
    <s v="CREDITOR"/>
    <n v="0"/>
    <n v="0"/>
    <n v="0"/>
    <n v="0"/>
    <n v="49.9"/>
  </r>
  <r>
    <n v="61788720"/>
    <s v="N"/>
    <n v="21382042"/>
    <s v="3000015864570002"/>
    <s v="CIVIL"/>
    <d v="2023-06-28T00:00:00"/>
    <d v="2023-07-17T19:01:46"/>
    <m/>
    <d v="2023-07-17T00:00:00"/>
    <n v="194"/>
    <n v="12447"/>
    <s v="61788720"/>
    <s v="61788720"/>
    <m/>
    <m/>
    <n v="22781892"/>
    <m/>
    <m/>
    <m/>
    <s v="SOLFIN"/>
    <s v="SOLFIN"/>
    <s v="CCMS"/>
    <n v="21382042"/>
    <n v="4185.9"/>
    <m/>
    <s v="N"/>
    <n v="34"/>
    <d v="2023-07-17T19:02:00"/>
    <s v="Y"/>
    <s v="Preparation - other"/>
    <s v="Prescribed Hourly Rates"/>
    <s v="Profit Cost"/>
    <s v="FA"/>
    <s v="Y"/>
    <n v="83.16"/>
    <n v="16.63"/>
    <x v="8"/>
    <s v="VALIDATED"/>
    <n v="1"/>
    <s v="01.11.80.302.6100.0000"/>
    <n v="83.16"/>
    <s v="11"/>
    <s v="6100"/>
    <n v="34318.95"/>
    <n v="83.16"/>
    <s v="CREDITOR"/>
    <n v="0"/>
    <n v="0"/>
    <n v="0"/>
    <n v="0"/>
    <n v="83.16"/>
  </r>
  <r>
    <n v="61788720"/>
    <s v="N"/>
    <n v="21382042"/>
    <s v="3000015864570002"/>
    <s v="CIVIL"/>
    <d v="2023-06-28T00:00:00"/>
    <d v="2023-07-17T19:01:46"/>
    <m/>
    <d v="2023-07-17T00:00:00"/>
    <n v="194"/>
    <n v="12447"/>
    <s v="61788720"/>
    <s v="61788720"/>
    <m/>
    <m/>
    <n v="22781892"/>
    <m/>
    <m/>
    <m/>
    <s v="SOLFIN"/>
    <s v="SOLFIN"/>
    <s v="CCMS"/>
    <n v="21382042"/>
    <n v="4185.9"/>
    <m/>
    <s v="N"/>
    <n v="39"/>
    <d v="2023-07-17T19:02:00"/>
    <s v="Y"/>
    <s v="Preparation - other"/>
    <s v="Prescribed Hourly Rates"/>
    <s v="Profit Cost"/>
    <s v="FH"/>
    <s v="Y"/>
    <n v="8.32"/>
    <n v="1.66"/>
    <x v="8"/>
    <s v="VALIDATED"/>
    <n v="1"/>
    <s v="01.11.80.302.6100.0000"/>
    <n v="8.32"/>
    <s v="11"/>
    <s v="6100"/>
    <n v="34318.95"/>
    <n v="8.32"/>
    <s v="CREDITOR"/>
    <n v="0"/>
    <n v="0"/>
    <n v="0"/>
    <n v="0"/>
    <n v="8.32"/>
  </r>
  <r>
    <n v="61080230"/>
    <s v="N"/>
    <n v="21330559"/>
    <s v="3000015275730002"/>
    <s v="CIVIL"/>
    <d v="2023-06-23T00:00:00"/>
    <d v="2023-07-05T19:01:47"/>
    <m/>
    <d v="2023-07-05T00:00:00"/>
    <n v="194"/>
    <n v="12447"/>
    <s v="61080230"/>
    <s v="61080230"/>
    <m/>
    <m/>
    <n v="22755936"/>
    <m/>
    <m/>
    <m/>
    <s v="SOLFIN"/>
    <s v="SOLFIN"/>
    <s v="CCMS"/>
    <n v="21330559"/>
    <n v="3599.14"/>
    <m/>
    <s v="N"/>
    <n v="22"/>
    <d v="2023-07-05T19:01:51"/>
    <s v="Y"/>
    <s v="Preparation - other"/>
    <s v="Prescribed Hourly Rates"/>
    <s v="Profit Cost"/>
    <s v="DF1"/>
    <s v="Y"/>
    <n v="8.32"/>
    <n v="1.66"/>
    <x v="6"/>
    <s v="VALIDATED"/>
    <n v="1"/>
    <s v="01.11.80.302.6100.0000"/>
    <n v="8.32"/>
    <s v="11"/>
    <s v="6100"/>
    <n v="34318.95"/>
    <n v="8.32"/>
    <s v="CREDITOR"/>
    <n v="0"/>
    <n v="0"/>
    <n v="0"/>
    <n v="0"/>
    <n v="8.32"/>
  </r>
  <r>
    <n v="61080230"/>
    <s v="N"/>
    <n v="21330559"/>
    <s v="3000015275730002"/>
    <s v="CIVIL"/>
    <d v="2023-06-23T00:00:00"/>
    <d v="2023-07-05T19:01:47"/>
    <m/>
    <d v="2023-07-05T00:00:00"/>
    <n v="194"/>
    <n v="12447"/>
    <s v="61080230"/>
    <s v="61080230"/>
    <m/>
    <m/>
    <n v="22755936"/>
    <m/>
    <m/>
    <m/>
    <s v="SOLFIN"/>
    <s v="SOLFIN"/>
    <s v="CCMS"/>
    <n v="21330559"/>
    <n v="3599.14"/>
    <m/>
    <s v="N"/>
    <n v="31"/>
    <d v="2023-07-05T19:01:51"/>
    <s v="Y"/>
    <s v="Preparation - other"/>
    <s v="Prescribed Hourly Rates"/>
    <s v="Profit Cost"/>
    <s v="DF1"/>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74"/>
    <d v="2023-07-05T19:01:59"/>
    <s v="Y"/>
    <s v="Routine Letter Out"/>
    <s v="Prescribed Hourly Rates"/>
    <s v="Profit Cost"/>
    <s v="DB"/>
    <s v="Y"/>
    <n v="136.08"/>
    <n v="27.21"/>
    <x v="6"/>
    <s v="VALIDATED"/>
    <n v="1"/>
    <s v="01.11.80.302.6100.0000"/>
    <n v="136.08"/>
    <s v="11"/>
    <s v="6100"/>
    <n v="34318.95"/>
    <n v="136.08"/>
    <s v="CREDITOR"/>
    <n v="0"/>
    <n v="0"/>
    <n v="0"/>
    <n v="0"/>
    <n v="136.08"/>
  </r>
  <r>
    <n v="60678163"/>
    <s v="N"/>
    <n v="21327492"/>
    <s v="3000014928670004"/>
    <s v="CIVIL"/>
    <d v="2023-06-22T00:00:00"/>
    <d v="2023-07-04T19:00:44"/>
    <m/>
    <d v="2023-07-04T00:00:00"/>
    <n v="194"/>
    <n v="12447"/>
    <s v="60678163"/>
    <s v="60678163"/>
    <m/>
    <m/>
    <n v="22744814"/>
    <m/>
    <m/>
    <m/>
    <s v="SOLFIN"/>
    <s v="SOLFIN"/>
    <s v="CCMS"/>
    <n v="21327492"/>
    <n v="7348.42"/>
    <m/>
    <s v="N"/>
    <n v="81"/>
    <d v="2023-07-04T19:00:48"/>
    <s v="Y"/>
    <s v="Preparation - other"/>
    <s v="Prescribed Hourly Rates"/>
    <s v="Profit Cost"/>
    <s v="FAH"/>
    <s v="Y"/>
    <n v="74.84"/>
    <n v="14.97"/>
    <x v="1"/>
    <s v="VALIDATED"/>
    <n v="1"/>
    <s v="01.11.80.302.6100.0000"/>
    <n v="74.84"/>
    <s v="11"/>
    <s v="6100"/>
    <n v="34318.95"/>
    <n v="74.84"/>
    <s v="CREDITOR"/>
    <n v="0"/>
    <n v="0"/>
    <n v="0"/>
    <n v="0"/>
    <n v="74.84"/>
  </r>
  <r>
    <n v="61464958"/>
    <s v="N"/>
    <n v="21318984"/>
    <s v="3000015543270001"/>
    <s v="CIVIL"/>
    <d v="2023-06-23T00:00:00"/>
    <d v="2023-07-03T19:01:49"/>
    <m/>
    <d v="2023-07-03T00:00:00"/>
    <n v="194"/>
    <n v="12447"/>
    <s v="61464958"/>
    <s v="61464958"/>
    <m/>
    <m/>
    <n v="22755938"/>
    <m/>
    <m/>
    <m/>
    <s v="SOLFIN"/>
    <s v="SOLFIN"/>
    <s v="CCMS"/>
    <n v="21318984"/>
    <n v="2903.56"/>
    <m/>
    <s v="N"/>
    <n v="27"/>
    <d v="2023-07-03T19:02:05"/>
    <s v="Y"/>
    <s v="Preparation - other"/>
    <s v="Prescribed Hourly Rates"/>
    <s v="Profit Cost"/>
    <s v="FA"/>
    <s v="Y"/>
    <n v="68.90000000000001"/>
    <n v="13.78"/>
    <x v="3"/>
    <s v="VALIDATED"/>
    <n v="1"/>
    <s v="01.11.80.307.6100.0000"/>
    <n v="68.90000000000001"/>
    <s v="11"/>
    <s v="6100"/>
    <n v="34318.95"/>
    <n v="68.90000000000001"/>
    <s v="CREDITOR"/>
    <n v="0"/>
    <n v="0"/>
    <n v="0"/>
    <n v="0"/>
    <n v="68.90000000000001"/>
  </r>
  <r>
    <n v="61080230"/>
    <s v="N"/>
    <n v="21330559"/>
    <s v="3000015275730002"/>
    <s v="CIVIL"/>
    <d v="2023-06-23T00:00:00"/>
    <d v="2023-07-05T19:01:47"/>
    <m/>
    <d v="2023-07-05T00:00:00"/>
    <n v="194"/>
    <n v="12447"/>
    <s v="61080230"/>
    <s v="61080230"/>
    <m/>
    <m/>
    <n v="22755936"/>
    <m/>
    <m/>
    <m/>
    <s v="SOLFIN"/>
    <s v="SOLFIN"/>
    <s v="CCMS"/>
    <n v="21330559"/>
    <n v="3599.14"/>
    <m/>
    <s v="N"/>
    <n v="9"/>
    <d v="2023-07-05T19:01:51"/>
    <s v="Y"/>
    <s v="Preparation - other"/>
    <s v="Prescribed Hourly Rates"/>
    <s v="Profit Cost"/>
    <s v="DF1"/>
    <s v="Y"/>
    <n v="83.16"/>
    <n v="16.63"/>
    <x v="6"/>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60"/>
    <d v="2023-07-05T19:01:59"/>
    <s v="Y"/>
    <s v="Preparation - other"/>
    <s v="Prescribed Hourly Rates"/>
    <s v="Profit Cost"/>
    <s v="CR"/>
    <s v="Y"/>
    <n v="24.95"/>
    <n v="4.99"/>
    <x v="6"/>
    <s v="VALIDATED"/>
    <n v="1"/>
    <s v="01.11.80.302.6100.0000"/>
    <n v="24.95"/>
    <s v="11"/>
    <s v="6100"/>
    <n v="34318.95"/>
    <n v="24.95"/>
    <s v="CREDITOR"/>
    <n v="0"/>
    <n v="0"/>
    <n v="0"/>
    <n v="0"/>
    <n v="24.95"/>
  </r>
  <r>
    <n v="60678163"/>
    <s v="N"/>
    <n v="21327492"/>
    <s v="3000014928670004"/>
    <s v="CIVIL"/>
    <d v="2023-06-22T00:00:00"/>
    <d v="2023-07-04T19:00:44"/>
    <m/>
    <d v="2023-07-04T00:00:00"/>
    <n v="194"/>
    <n v="12447"/>
    <s v="60678163"/>
    <s v="60678163"/>
    <m/>
    <m/>
    <n v="22744814"/>
    <m/>
    <m/>
    <m/>
    <s v="SOLFIN"/>
    <s v="SOLFIN"/>
    <s v="CCMS"/>
    <n v="21327492"/>
    <n v="7348.42"/>
    <m/>
    <s v="N"/>
    <n v="28"/>
    <d v="2023-07-04T19:00:48"/>
    <s v="Y"/>
    <s v="Attendance upon client"/>
    <s v="Prescribed Hourly Rates"/>
    <s v="Profit Cost"/>
    <s v="NAB"/>
    <s v="Y"/>
    <n v="8.32"/>
    <n v="1.66"/>
    <x v="1"/>
    <s v="VALIDATED"/>
    <n v="1"/>
    <s v="01.11.80.302.6100.0000"/>
    <n v="8.32"/>
    <s v="11"/>
    <s v="6100"/>
    <n v="34318.95"/>
    <n v="8.32"/>
    <s v="CREDITOR"/>
    <n v="0"/>
    <n v="0"/>
    <n v="0"/>
    <n v="0"/>
    <n v="8.32"/>
  </r>
  <r>
    <n v="61788720"/>
    <s v="N"/>
    <n v="21382042"/>
    <s v="3000015864570002"/>
    <s v="CIVIL"/>
    <d v="2023-06-28T00:00:00"/>
    <d v="2023-07-17T19:01:46"/>
    <m/>
    <d v="2023-07-17T00:00:00"/>
    <n v="194"/>
    <n v="12447"/>
    <s v="61788720"/>
    <s v="61788720"/>
    <m/>
    <m/>
    <n v="22781892"/>
    <m/>
    <m/>
    <m/>
    <s v="SOLFIN"/>
    <s v="SOLFIN"/>
    <s v="CCMS"/>
    <n v="21382042"/>
    <n v="4185.9"/>
    <m/>
    <s v="N"/>
    <n v="47"/>
    <d v="2023-07-17T19:02:00"/>
    <s v="Y"/>
    <s v="Routine Telephone Call"/>
    <s v="Prescribed Hourly Rates"/>
    <s v="Profit Cost"/>
    <s v="FH"/>
    <s v="Y"/>
    <n v="68.04000000000001"/>
    <n v="13.61"/>
    <x v="8"/>
    <s v="VALIDATED"/>
    <n v="1"/>
    <s v="01.11.80.302.6100.0000"/>
    <n v="68.04000000000001"/>
    <s v="11"/>
    <s v="6100"/>
    <n v="34318.95"/>
    <n v="68.04000000000001"/>
    <s v="CREDITOR"/>
    <n v="0"/>
    <n v="0"/>
    <n v="0"/>
    <n v="0"/>
    <n v="68.04000000000001"/>
  </r>
  <r>
    <n v="61080230"/>
    <s v="N"/>
    <n v="21330559"/>
    <s v="3000015275730002"/>
    <s v="CIVIL"/>
    <d v="2023-06-23T00:00:00"/>
    <d v="2023-07-05T19:01:47"/>
    <m/>
    <d v="2023-07-05T00:00:00"/>
    <n v="194"/>
    <n v="12447"/>
    <s v="61080230"/>
    <s v="61080230"/>
    <m/>
    <m/>
    <n v="22755936"/>
    <m/>
    <m/>
    <m/>
    <s v="SOLFIN"/>
    <s v="SOLFIN"/>
    <s v="CCMS"/>
    <n v="21330559"/>
    <n v="3599.14"/>
    <m/>
    <s v="N"/>
    <n v="24"/>
    <d v="2023-07-05T19:01:51"/>
    <s v="Y"/>
    <s v="Preparation - other"/>
    <s v="Prescribed Hourly Rates"/>
    <s v="Profit Cost"/>
    <s v="DF1"/>
    <s v="Y"/>
    <n v="66.53"/>
    <n v="13.3"/>
    <x v="6"/>
    <s v="VALIDATED"/>
    <n v="1"/>
    <s v="01.11.80.302.6100.0000"/>
    <n v="66.53"/>
    <s v="11"/>
    <s v="6100"/>
    <n v="34318.95"/>
    <n v="66.53"/>
    <s v="CREDITOR"/>
    <n v="0"/>
    <n v="0"/>
    <n v="0"/>
    <n v="0"/>
    <n v="66.53"/>
  </r>
  <r>
    <n v="61080230"/>
    <s v="N"/>
    <n v="21330559"/>
    <s v="3000015275730002"/>
    <s v="CIVIL"/>
    <d v="2023-06-23T00:00:00"/>
    <d v="2023-07-05T19:01:47"/>
    <m/>
    <d v="2023-07-05T00:00:00"/>
    <n v="194"/>
    <n v="12447"/>
    <s v="61080230"/>
    <s v="61080230"/>
    <m/>
    <m/>
    <n v="22755936"/>
    <m/>
    <m/>
    <m/>
    <s v="SOLFIN"/>
    <s v="SOLFIN"/>
    <s v="CCMS"/>
    <n v="21330559"/>
    <n v="3599.14"/>
    <m/>
    <s v="N"/>
    <n v="50"/>
    <d v="2023-07-05T19:01:51"/>
    <s v="Y"/>
    <s v="Routine Letter Out"/>
    <s v="Prescribed Hourly Rates"/>
    <s v="Profit Cost"/>
    <s v="DF1"/>
    <s v="Y"/>
    <n v="257.04"/>
    <n v="51.4"/>
    <x v="6"/>
    <s v="VALIDATED"/>
    <n v="1"/>
    <s v="01.11.80.302.6100.0000"/>
    <n v="257.04"/>
    <s v="11"/>
    <s v="6100"/>
    <n v="34318.95"/>
    <n v="257.04"/>
    <s v="CREDITOR"/>
    <n v="0"/>
    <n v="0"/>
    <n v="0"/>
    <n v="0"/>
    <n v="257.04"/>
  </r>
  <r>
    <n v="62309851"/>
    <s v="N"/>
    <n v="21330932"/>
    <s v="3000016300730003"/>
    <s v="CIVIL"/>
    <d v="2023-06-28T00:00:00"/>
    <d v="2023-07-05T19:01:47"/>
    <m/>
    <d v="2023-07-05T00:00:00"/>
    <n v="194"/>
    <n v="12447"/>
    <s v="62309851"/>
    <s v="62309851"/>
    <m/>
    <m/>
    <n v="22775378"/>
    <m/>
    <m/>
    <m/>
    <s v="SOLFIN"/>
    <s v="SOLFIN"/>
    <s v="CCMS"/>
    <n v="21330932"/>
    <n v="4181.19"/>
    <m/>
    <s v="N"/>
    <n v="60"/>
    <d v="2023-07-05T19:01:57"/>
    <s v="Y"/>
    <s v="Preparation - other"/>
    <s v="Prescribed Hourly Rates"/>
    <s v="Profit Cost"/>
    <s v="YR"/>
    <s v="Y"/>
    <n v="16.63"/>
    <n v="3.33"/>
    <x v="6"/>
    <s v="VALIDATED"/>
    <n v="1"/>
    <s v="01.11.80.302.6100.0000"/>
    <n v="16.63"/>
    <s v="11"/>
    <s v="6100"/>
    <n v="34318.95"/>
    <n v="16.63"/>
    <s v="CREDITOR"/>
    <n v="0"/>
    <n v="0"/>
    <n v="0"/>
    <n v="0"/>
    <n v="16.63"/>
  </r>
  <r>
    <n v="62309851"/>
    <s v="N"/>
    <n v="21330932"/>
    <s v="3000016300730003"/>
    <s v="CIVIL"/>
    <d v="2023-06-28T00:00:00"/>
    <d v="2023-07-05T19:01:47"/>
    <m/>
    <d v="2023-07-05T00:00:00"/>
    <n v="194"/>
    <n v="12447"/>
    <s v="62309851"/>
    <s v="62309851"/>
    <m/>
    <m/>
    <n v="22775378"/>
    <m/>
    <m/>
    <m/>
    <s v="SOLFIN"/>
    <s v="SOLFIN"/>
    <s v="CCMS"/>
    <n v="21330932"/>
    <n v="4181.19"/>
    <m/>
    <s v="N"/>
    <n v="64"/>
    <d v="2023-07-05T19:01:57"/>
    <s v="Y"/>
    <s v="Preparation - other"/>
    <s v="Prescribed Hourly Rates"/>
    <s v="Profit Cost"/>
    <s v="CD"/>
    <s v="Y"/>
    <n v="33.26"/>
    <n v="6.65"/>
    <x v="6"/>
    <s v="VALIDATED"/>
    <n v="1"/>
    <s v="01.11.80.302.6100.0000"/>
    <n v="33.26"/>
    <s v="11"/>
    <s v="6100"/>
    <n v="34318.95"/>
    <n v="33.26"/>
    <s v="CREDITOR"/>
    <n v="0"/>
    <n v="0"/>
    <n v="0"/>
    <n v="0"/>
    <n v="33.26"/>
  </r>
  <r>
    <n v="62309851"/>
    <s v="N"/>
    <n v="21330932"/>
    <s v="3000016300730003"/>
    <s v="CIVIL"/>
    <d v="2023-06-28T00:00:00"/>
    <d v="2023-07-05T19:01:47"/>
    <m/>
    <d v="2023-07-05T00:00:00"/>
    <n v="194"/>
    <n v="12447"/>
    <s v="62309851"/>
    <s v="62309851"/>
    <m/>
    <m/>
    <n v="22775378"/>
    <m/>
    <m/>
    <m/>
    <s v="SOLFIN"/>
    <s v="SOLFIN"/>
    <s v="CCMS"/>
    <n v="21330932"/>
    <n v="4181.19"/>
    <m/>
    <s v="N"/>
    <n v="38"/>
    <d v="2023-07-05T19:01:57"/>
    <s v="Y"/>
    <s v="Attendance upon client"/>
    <s v="Prescribed Hourly Rates"/>
    <s v="Profit Cost"/>
    <s v="YR"/>
    <s v="Y"/>
    <n v="41.58"/>
    <n v="8.32"/>
    <x v="6"/>
    <s v="VALIDATED"/>
    <n v="1"/>
    <s v="01.11.80.302.6100.0000"/>
    <n v="41.58"/>
    <s v="11"/>
    <s v="6100"/>
    <n v="34318.95"/>
    <n v="41.58"/>
    <s v="CREDITOR"/>
    <n v="0"/>
    <n v="0"/>
    <n v="0"/>
    <n v="0"/>
    <n v="41.58"/>
  </r>
  <r>
    <n v="60678163"/>
    <s v="N"/>
    <n v="21327492"/>
    <s v="3000014928670004"/>
    <s v="CIVIL"/>
    <d v="2023-06-22T00:00:00"/>
    <d v="2023-07-04T19:00:44"/>
    <m/>
    <d v="2023-07-04T00:00:00"/>
    <n v="194"/>
    <n v="12447"/>
    <s v="60678163"/>
    <s v="60678163"/>
    <m/>
    <m/>
    <n v="22744814"/>
    <m/>
    <m/>
    <m/>
    <s v="SOLFIN"/>
    <s v="SOLFIN"/>
    <s v="CCMS"/>
    <n v="21327492"/>
    <n v="7348.42"/>
    <m/>
    <s v="N"/>
    <n v="36"/>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64"/>
    <d v="2023-07-04T19:00:48"/>
    <s v="Y"/>
    <s v="Preparation - other"/>
    <s v="Prescribed Hourly Rates"/>
    <s v="Profit Cost"/>
    <s v="FAH"/>
    <s v="Y"/>
    <n v="83.16"/>
    <n v="16.63"/>
    <x v="1"/>
    <s v="VALIDATED"/>
    <n v="1"/>
    <s v="01.11.80.302.6100.0000"/>
    <n v="83.16"/>
    <s v="11"/>
    <s v="6100"/>
    <n v="34318.95"/>
    <n v="83.16"/>
    <s v="CREDITOR"/>
    <n v="0"/>
    <n v="0"/>
    <n v="0"/>
    <n v="0"/>
    <n v="83.16"/>
  </r>
  <r>
    <n v="61464958"/>
    <s v="N"/>
    <n v="21318984"/>
    <s v="3000015543270001"/>
    <s v="CIVIL"/>
    <d v="2023-06-23T00:00:00"/>
    <d v="2023-07-03T19:01:49"/>
    <m/>
    <d v="2023-07-03T00:00:00"/>
    <n v="194"/>
    <n v="12447"/>
    <s v="61464958"/>
    <s v="61464958"/>
    <m/>
    <m/>
    <n v="22755938"/>
    <m/>
    <m/>
    <m/>
    <s v="SOLFIN"/>
    <s v="SOLFIN"/>
    <s v="CCMS"/>
    <n v="21318984"/>
    <n v="2903.56"/>
    <m/>
    <s v="N"/>
    <n v="31"/>
    <d v="2023-07-03T19:02:05"/>
    <s v="Y"/>
    <s v="Routine Telephone Call"/>
    <s v="Prescribed Hourly Rates"/>
    <s v="Profit Cost"/>
    <s v="FA"/>
    <s v="Y"/>
    <n v="54.81"/>
    <n v="10.96"/>
    <x v="3"/>
    <s v="VALIDATED"/>
    <n v="1"/>
    <s v="01.11.80.307.6100.0000"/>
    <n v="54.81"/>
    <s v="11"/>
    <s v="6100"/>
    <n v="34318.95"/>
    <n v="54.81"/>
    <s v="CREDITOR"/>
    <n v="0"/>
    <n v="0"/>
    <n v="0"/>
    <n v="0"/>
    <n v="54.81"/>
  </r>
  <r>
    <n v="61080230"/>
    <s v="N"/>
    <n v="21330559"/>
    <s v="3000015275730002"/>
    <s v="CIVIL"/>
    <d v="2023-06-23T00:00:00"/>
    <d v="2023-07-05T19:01:47"/>
    <m/>
    <d v="2023-07-05T00:00:00"/>
    <n v="194"/>
    <n v="12447"/>
    <s v="61080230"/>
    <s v="61080230"/>
    <m/>
    <m/>
    <n v="22755936"/>
    <m/>
    <m/>
    <m/>
    <s v="SOLFIN"/>
    <s v="SOLFIN"/>
    <s v="CCMS"/>
    <n v="21330559"/>
    <n v="3599.14"/>
    <m/>
    <s v="N"/>
    <n v="5"/>
    <d v="2023-07-05T19:01:51"/>
    <s v="Y"/>
    <s v="Preparation - other"/>
    <s v="Prescribed Hourly Rates"/>
    <s v="Profit Cost"/>
    <s v="DF1"/>
    <s v="Y"/>
    <n v="58.21"/>
    <n v="11.64"/>
    <x v="6"/>
    <s v="VALIDATED"/>
    <n v="1"/>
    <s v="01.11.80.302.6100.0000"/>
    <n v="58.21"/>
    <s v="11"/>
    <s v="6100"/>
    <n v="34318.95"/>
    <n v="58.21"/>
    <s v="CREDITOR"/>
    <n v="0"/>
    <n v="0"/>
    <n v="0"/>
    <n v="0"/>
    <n v="58.21"/>
  </r>
  <r>
    <n v="61080230"/>
    <s v="N"/>
    <n v="21330559"/>
    <s v="3000015275730002"/>
    <s v="CIVIL"/>
    <d v="2023-06-23T00:00:00"/>
    <d v="2023-07-05T19:01:47"/>
    <m/>
    <d v="2023-07-05T00:00:00"/>
    <n v="194"/>
    <n v="12447"/>
    <s v="61080230"/>
    <s v="61080230"/>
    <m/>
    <m/>
    <n v="22755936"/>
    <m/>
    <m/>
    <m/>
    <s v="SOLFIN"/>
    <s v="SOLFIN"/>
    <s v="CCMS"/>
    <n v="21330559"/>
    <n v="3599.14"/>
    <m/>
    <s v="N"/>
    <n v="7"/>
    <d v="2023-07-05T19:01:51"/>
    <s v="Y"/>
    <s v="Preparation - other"/>
    <s v="Prescribed Hourly Rates"/>
    <s v="Profit Cost"/>
    <s v="DF1"/>
    <s v="Y"/>
    <n v="83.16"/>
    <n v="16.63"/>
    <x v="6"/>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44"/>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63"/>
    <d v="2023-07-05T19:01:59"/>
    <s v="Y"/>
    <s v="Preparation - other"/>
    <s v="Prescribed Hourly Rates"/>
    <s v="Profit Cost"/>
    <s v="DB"/>
    <s v="Y"/>
    <n v="16.63"/>
    <n v="3.33"/>
    <x v="6"/>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2"/>
    <d v="2023-07-04T19:00:48"/>
    <s v="Y"/>
    <s v="Enquiry Agent"/>
    <s v="Prescribed Hourly Rates"/>
    <s v="Expert Disbursement"/>
    <s v="XXX"/>
    <s v="Y"/>
    <n v="100"/>
    <n v="20"/>
    <x v="1"/>
    <s v="VALIDATED"/>
    <n v="1"/>
    <s v="01.11.80.302.6300.0000"/>
    <n v="100"/>
    <s v="11"/>
    <s v="6300"/>
    <n v="34318.95"/>
    <n v="100"/>
    <s v="CREDITOR"/>
    <n v="0"/>
    <n v="0"/>
    <n v="0"/>
    <n v="0"/>
    <n v="100"/>
  </r>
  <r>
    <n v="60823195"/>
    <s v="N"/>
    <n v="21363558"/>
    <s v="3000015055440002"/>
    <s v="CIVIL"/>
    <d v="2023-06-30T00:00:00"/>
    <d v="2023-07-12T19:01:49"/>
    <m/>
    <d v="2023-07-12T00:00:00"/>
    <n v="194"/>
    <n v="12447"/>
    <s v="60823195"/>
    <s v="60823195"/>
    <m/>
    <m/>
    <n v="22798784"/>
    <m/>
    <m/>
    <m/>
    <s v="SOLFIN"/>
    <s v="SOLFIN"/>
    <s v="CCMS"/>
    <n v="21363558"/>
    <n v="835.8200000000001"/>
    <m/>
    <s v="N"/>
    <n v="2"/>
    <d v="2023-07-12T19:02:04"/>
    <s v="Y"/>
    <s v="Level 4 Fixed Fee"/>
    <s v="Domestic Abuse"/>
    <s v="Profit Cost"/>
    <s v="KK"/>
    <s v="Y"/>
    <n v="608"/>
    <n v="121.6"/>
    <x v="0"/>
    <s v="VALIDATED"/>
    <n v="1"/>
    <s v="01.11.80.302.6100.0000"/>
    <n v="608"/>
    <s v="11"/>
    <s v="6100"/>
    <n v="34318.95"/>
    <n v="608"/>
    <s v="CREDITOR"/>
    <n v="0"/>
    <n v="0"/>
    <n v="0"/>
    <n v="0"/>
    <n v="608"/>
  </r>
  <r>
    <n v="62309851"/>
    <s v="N"/>
    <n v="21330932"/>
    <s v="3000016300730003"/>
    <s v="CIVIL"/>
    <d v="2023-06-28T00:00:00"/>
    <d v="2023-07-05T19:01:47"/>
    <m/>
    <d v="2023-07-05T00:00:00"/>
    <n v="194"/>
    <n v="12447"/>
    <s v="62309851"/>
    <s v="62309851"/>
    <m/>
    <m/>
    <n v="22775378"/>
    <m/>
    <m/>
    <m/>
    <s v="SOLFIN"/>
    <s v="SOLFIN"/>
    <s v="CCMS"/>
    <n v="21330932"/>
    <n v="4181.19"/>
    <m/>
    <s v="N"/>
    <n v="55"/>
    <d v="2023-07-05T19:01:57"/>
    <s v="Y"/>
    <s v="Preparation - other"/>
    <s v="Prescribed Hourly Rates"/>
    <s v="Profit Cost"/>
    <s v="YR"/>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48"/>
    <d v="2023-07-05T19:01:59"/>
    <s v="Y"/>
    <s v="Preparation - other"/>
    <s v="Prescribed Hourly Rates"/>
    <s v="Profit Cost"/>
    <s v="MC"/>
    <s v="Y"/>
    <n v="99.79000000000001"/>
    <n v="19.96"/>
    <x v="6"/>
    <s v="VALIDATED"/>
    <n v="1"/>
    <s v="01.11.80.302.6100.0000"/>
    <n v="99.79000000000001"/>
    <s v="11"/>
    <s v="6100"/>
    <n v="34318.95"/>
    <n v="99.79000000000001"/>
    <s v="CREDITOR"/>
    <n v="0"/>
    <n v="0"/>
    <n v="0"/>
    <n v="0"/>
    <n v="99.79000000000001"/>
  </r>
  <r>
    <n v="62309851"/>
    <s v="N"/>
    <n v="21330932"/>
    <s v="3000016300730003"/>
    <s v="CIVIL"/>
    <d v="2023-06-28T00:00:00"/>
    <d v="2023-07-05T19:01:47"/>
    <m/>
    <d v="2023-07-05T00:00:00"/>
    <n v="194"/>
    <n v="12447"/>
    <s v="62309851"/>
    <s v="62309851"/>
    <m/>
    <m/>
    <n v="22775378"/>
    <m/>
    <m/>
    <m/>
    <s v="SOLFIN"/>
    <s v="SOLFIN"/>
    <s v="CCMS"/>
    <n v="21330932"/>
    <n v="4181.19"/>
    <m/>
    <s v="N"/>
    <n v="4"/>
    <d v="2023-07-05T19:01:57"/>
    <s v="N"/>
    <s v="Level 4 Fixed Fee"/>
    <s v="Domestic Abuse"/>
    <s v="Profit Cost"/>
    <s v="XXX"/>
    <s v="N"/>
    <n v="0"/>
    <n v="0"/>
    <x v="6"/>
    <s v="VALIDATED"/>
    <n v="1"/>
    <s v="01.11.80.302.6100.0000"/>
    <n v="0"/>
    <s v="11"/>
    <s v="6100"/>
    <n v="34318.95"/>
    <n v="0"/>
    <s v="CREDITOR"/>
    <n v="0"/>
    <n v="0"/>
    <n v="0"/>
    <n v="0"/>
    <n v="0"/>
  </r>
  <r>
    <n v="60678163"/>
    <s v="N"/>
    <n v="21327492"/>
    <s v="3000014928670004"/>
    <s v="CIVIL"/>
    <d v="2023-06-22T00:00:00"/>
    <d v="2023-07-04T19:00:44"/>
    <m/>
    <d v="2023-07-04T00:00:00"/>
    <n v="194"/>
    <n v="12447"/>
    <s v="60678163"/>
    <s v="60678163"/>
    <m/>
    <m/>
    <n v="22744814"/>
    <m/>
    <m/>
    <m/>
    <s v="SOLFIN"/>
    <s v="SOLFIN"/>
    <s v="CCMS"/>
    <n v="21327492"/>
    <n v="7348.42"/>
    <m/>
    <s v="N"/>
    <n v="67"/>
    <d v="2023-07-04T19:00:48"/>
    <s v="Y"/>
    <s v="Attendance upon client"/>
    <s v="Prescribed Hourly Rates"/>
    <s v="Profit Cost"/>
    <s v="FAH"/>
    <s v="Y"/>
    <n v="16.63"/>
    <n v="3.33"/>
    <x v="1"/>
    <s v="VALIDATED"/>
    <n v="1"/>
    <s v="01.11.80.302.6100.0000"/>
    <n v="16.63"/>
    <s v="11"/>
    <s v="6100"/>
    <n v="34318.95"/>
    <n v="16.63"/>
    <s v="CREDITOR"/>
    <n v="0"/>
    <n v="0"/>
    <n v="0"/>
    <n v="0"/>
    <n v="16.63"/>
  </r>
  <r>
    <n v="61130472"/>
    <s v="N"/>
    <n v="21382407"/>
    <s v="3000015317490003"/>
    <s v="CIVIL"/>
    <d v="2023-06-28T00:00:00"/>
    <d v="2023-07-17T19:01:46"/>
    <m/>
    <d v="2023-07-17T00:00:00"/>
    <n v="194"/>
    <n v="12447"/>
    <s v="61130472"/>
    <s v="61130472"/>
    <m/>
    <m/>
    <n v="22775508"/>
    <m/>
    <m/>
    <m/>
    <s v="SOLFIN"/>
    <s v="SOLFIN"/>
    <s v="CCMS"/>
    <n v="21382407"/>
    <n v="4109"/>
    <m/>
    <s v="N"/>
    <n v="13"/>
    <d v="2023-07-17T19:02:09"/>
    <s v="Y"/>
    <s v="Preparation - other"/>
    <s v="Prescribed Hourly Rates"/>
    <s v="Profit Cost"/>
    <s v="FAH"/>
    <s v="Y"/>
    <n v="83.16"/>
    <n v="16.63"/>
    <x v="8"/>
    <s v="VALIDATED"/>
    <n v="1"/>
    <s v="01.11.80.302.6100.0000"/>
    <n v="83.16"/>
    <s v="11"/>
    <s v="6100"/>
    <n v="34318.95"/>
    <n v="83.16"/>
    <s v="CREDITOR"/>
    <n v="0"/>
    <n v="0"/>
    <n v="0"/>
    <n v="0"/>
    <n v="83.16"/>
  </r>
  <r>
    <n v="61788720"/>
    <s v="N"/>
    <n v="21382042"/>
    <s v="3000015864570002"/>
    <s v="CIVIL"/>
    <d v="2023-06-28T00:00:00"/>
    <d v="2023-07-17T19:01:46"/>
    <m/>
    <d v="2023-07-17T00:00:00"/>
    <n v="194"/>
    <n v="12447"/>
    <s v="61788720"/>
    <s v="61788720"/>
    <m/>
    <m/>
    <n v="22781892"/>
    <m/>
    <m/>
    <m/>
    <s v="SOLFIN"/>
    <s v="SOLFIN"/>
    <s v="CCMS"/>
    <n v="21382042"/>
    <n v="4185.9"/>
    <m/>
    <s v="N"/>
    <n v="11"/>
    <d v="2023-07-17T19:02:00"/>
    <s v="Y"/>
    <s v="Preparation - other"/>
    <s v="Prescribed Hourly Rates"/>
    <s v="Profit Cost"/>
    <s v="FH"/>
    <s v="Y"/>
    <n v="249.48"/>
    <n v="49.89"/>
    <x v="8"/>
    <s v="VALIDATED"/>
    <n v="1"/>
    <s v="01.11.80.302.6100.0000"/>
    <n v="249.48"/>
    <s v="11"/>
    <s v="6100"/>
    <n v="34318.95"/>
    <n v="249.48"/>
    <s v="CREDITOR"/>
    <n v="0"/>
    <n v="0"/>
    <n v="0"/>
    <n v="0"/>
    <n v="249.48"/>
  </r>
  <r>
    <n v="62260478"/>
    <s v="N"/>
    <n v="21330952"/>
    <s v="3000016258320003"/>
    <s v="CIVIL"/>
    <d v="2023-06-28T00:00:00"/>
    <d v="2023-07-05T19:01:47"/>
    <m/>
    <d v="2023-07-05T00:00:00"/>
    <n v="194"/>
    <n v="12447"/>
    <s v="62260478"/>
    <s v="62260478"/>
    <m/>
    <m/>
    <n v="22775374"/>
    <m/>
    <m/>
    <m/>
    <s v="SOLFIN"/>
    <s v="SOLFIN"/>
    <s v="CCMS"/>
    <n v="21330952"/>
    <n v="3936.68"/>
    <m/>
    <s v="N"/>
    <n v="70"/>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33"/>
    <d v="2023-07-05T19:01:57"/>
    <s v="Y"/>
    <s v="Preparation - other"/>
    <s v="Prescribed Hourly Rates"/>
    <s v="Profit Cost"/>
    <s v="MC"/>
    <s v="Y"/>
    <n v="49.9"/>
    <n v="9.98"/>
    <x v="6"/>
    <s v="VALIDATED"/>
    <n v="1"/>
    <s v="01.11.80.302.6100.0000"/>
    <n v="49.9"/>
    <s v="11"/>
    <s v="6100"/>
    <n v="34318.95"/>
    <n v="49.9"/>
    <s v="CREDITOR"/>
    <n v="0"/>
    <n v="0"/>
    <n v="0"/>
    <n v="0"/>
    <n v="49.9"/>
  </r>
  <r>
    <n v="60678163"/>
    <s v="N"/>
    <n v="21327492"/>
    <s v="3000014928670004"/>
    <s v="CIVIL"/>
    <d v="2023-06-22T00:00:00"/>
    <d v="2023-07-04T19:00:44"/>
    <m/>
    <d v="2023-07-04T00:00:00"/>
    <n v="194"/>
    <n v="12447"/>
    <s v="60678163"/>
    <s v="60678163"/>
    <m/>
    <m/>
    <n v="22744814"/>
    <m/>
    <m/>
    <m/>
    <s v="SOLFIN"/>
    <s v="SOLFIN"/>
    <s v="CCMS"/>
    <n v="21327492"/>
    <n v="7348.42"/>
    <m/>
    <s v="N"/>
    <n v="23"/>
    <d v="2023-07-04T19:00:48"/>
    <s v="Y"/>
    <s v="Preparation - other"/>
    <s v="Prescribed Hourly Rates"/>
    <s v="Profit Cost"/>
    <s v="NAB"/>
    <s v="Y"/>
    <n v="24.95"/>
    <n v="4.99"/>
    <x v="1"/>
    <s v="VALIDATED"/>
    <n v="1"/>
    <s v="01.11.80.302.6100.0000"/>
    <n v="24.95"/>
    <s v="11"/>
    <s v="6100"/>
    <n v="34318.95"/>
    <n v="24.95"/>
    <s v="CREDITOR"/>
    <n v="0"/>
    <n v="0"/>
    <n v="0"/>
    <n v="0"/>
    <n v="24.95"/>
  </r>
  <r>
    <n v="60678163"/>
    <s v="N"/>
    <n v="21327492"/>
    <s v="3000014928670004"/>
    <s v="CIVIL"/>
    <d v="2023-06-22T00:00:00"/>
    <d v="2023-07-04T19:00:44"/>
    <m/>
    <d v="2023-07-04T00:00:00"/>
    <n v="194"/>
    <n v="12447"/>
    <s v="60678163"/>
    <s v="60678163"/>
    <m/>
    <m/>
    <n v="22744814"/>
    <m/>
    <m/>
    <m/>
    <s v="SOLFIN"/>
    <s v="SOLFIN"/>
    <s v="CCMS"/>
    <n v="21327492"/>
    <n v="7348.42"/>
    <m/>
    <s v="N"/>
    <n v="19"/>
    <d v="2023-07-04T19:00:48"/>
    <s v="Y"/>
    <s v="Preparation - other"/>
    <s v="Prescribed Hourly Rates"/>
    <s v="Profit Cost"/>
    <s v="FAH"/>
    <s v="Y"/>
    <n v="33.26"/>
    <n v="6.65"/>
    <x v="1"/>
    <s v="VALIDATED"/>
    <n v="1"/>
    <s v="01.11.80.302.6100.0000"/>
    <n v="33.26"/>
    <s v="11"/>
    <s v="6100"/>
    <n v="34318.95"/>
    <n v="33.26"/>
    <s v="CREDITOR"/>
    <n v="0"/>
    <n v="0"/>
    <n v="0"/>
    <n v="0"/>
    <n v="33.26"/>
  </r>
  <r>
    <n v="61080230"/>
    <s v="N"/>
    <n v="21330559"/>
    <s v="3000015275730002"/>
    <s v="CIVIL"/>
    <d v="2023-06-23T00:00:00"/>
    <d v="2023-07-05T19:01:47"/>
    <m/>
    <d v="2023-07-05T00:00:00"/>
    <n v="194"/>
    <n v="12447"/>
    <s v="61080230"/>
    <s v="61080230"/>
    <m/>
    <m/>
    <n v="22755936"/>
    <m/>
    <m/>
    <m/>
    <s v="SOLFIN"/>
    <s v="SOLFIN"/>
    <s v="CCMS"/>
    <n v="21330559"/>
    <n v="3599.14"/>
    <m/>
    <s v="N"/>
    <n v="10"/>
    <d v="2023-07-05T19:01:51"/>
    <s v="Y"/>
    <s v="Preparation - other"/>
    <s v="Prescribed Hourly Rates"/>
    <s v="Profit Cost"/>
    <s v="DF1"/>
    <s v="Y"/>
    <n v="232.85"/>
    <n v="46.57"/>
    <x v="6"/>
    <s v="VALIDATED"/>
    <n v="1"/>
    <s v="01.11.80.302.6100.0000"/>
    <n v="232.85"/>
    <s v="11"/>
    <s v="6100"/>
    <n v="34318.95"/>
    <n v="232.85"/>
    <s v="CREDITOR"/>
    <n v="0"/>
    <n v="0"/>
    <n v="0"/>
    <n v="0"/>
    <n v="232.85"/>
  </r>
  <r>
    <n v="62260478"/>
    <s v="N"/>
    <n v="21330952"/>
    <s v="3000016258320003"/>
    <s v="CIVIL"/>
    <d v="2023-06-28T00:00:00"/>
    <d v="2023-07-05T19:01:47"/>
    <m/>
    <d v="2023-07-05T00:00:00"/>
    <n v="194"/>
    <n v="12447"/>
    <s v="62260478"/>
    <s v="62260478"/>
    <m/>
    <m/>
    <n v="22775374"/>
    <m/>
    <m/>
    <m/>
    <s v="SOLFIN"/>
    <s v="SOLFIN"/>
    <s v="CCMS"/>
    <n v="21330952"/>
    <n v="3936.68"/>
    <m/>
    <s v="N"/>
    <n v="24"/>
    <d v="2023-07-05T19:01:59"/>
    <s v="Y"/>
    <s v="Preparation - other"/>
    <s v="Prescribed Hourly Rates"/>
    <s v="Profit Cost"/>
    <s v="DB"/>
    <s v="Y"/>
    <n v="16.63"/>
    <n v="3.33"/>
    <x v="6"/>
    <s v="VALIDATED"/>
    <n v="1"/>
    <s v="01.11.80.302.6100.0000"/>
    <n v="16.63"/>
    <s v="11"/>
    <s v="6100"/>
    <n v="34318.95"/>
    <n v="16.63"/>
    <s v="CREDITOR"/>
    <n v="0"/>
    <n v="0"/>
    <n v="0"/>
    <n v="0"/>
    <n v="16.63"/>
  </r>
  <r>
    <n v="62260478"/>
    <s v="N"/>
    <n v="21330952"/>
    <s v="3000016258320003"/>
    <s v="CIVIL"/>
    <d v="2023-06-28T00:00:00"/>
    <d v="2023-07-05T19:01:47"/>
    <m/>
    <d v="2023-07-05T00:00:00"/>
    <n v="194"/>
    <n v="12447"/>
    <s v="62260478"/>
    <s v="62260478"/>
    <m/>
    <m/>
    <n v="22775374"/>
    <m/>
    <m/>
    <m/>
    <s v="SOLFIN"/>
    <s v="SOLFIN"/>
    <s v="CCMS"/>
    <n v="21330952"/>
    <n v="3936.68"/>
    <m/>
    <s v="N"/>
    <n v="50"/>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37"/>
    <d v="2023-07-05T19:01:57"/>
    <s v="Y"/>
    <s v="Preparation - other"/>
    <s v="Prescribed Hourly Rates"/>
    <s v="Profit Cost"/>
    <s v="YR"/>
    <s v="Y"/>
    <n v="8.32"/>
    <n v="1.66"/>
    <x v="6"/>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22"/>
    <d v="2023-07-03T19:02:05"/>
    <s v="Y"/>
    <s v="Attendance upon client"/>
    <s v="Prescribed Hourly Rates"/>
    <s v="Profit Cost"/>
    <s v="FA"/>
    <s v="Y"/>
    <n v="86.13"/>
    <n v="17.23"/>
    <x v="3"/>
    <s v="VALIDATED"/>
    <n v="1"/>
    <s v="01.11.80.307.6100.0000"/>
    <n v="86.13"/>
    <s v="11"/>
    <s v="6100"/>
    <n v="34318.95"/>
    <n v="86.13"/>
    <s v="CREDITOR"/>
    <n v="0"/>
    <n v="0"/>
    <n v="0"/>
    <n v="0"/>
    <n v="86.13"/>
  </r>
  <r>
    <n v="61496719"/>
    <s v="N"/>
    <n v="21318506"/>
    <s v="3000015615070001"/>
    <s v="CIVIL"/>
    <d v="2023-06-16T00:00:00"/>
    <d v="2023-07-03T19:01:49"/>
    <m/>
    <d v="2023-07-03T00:00:00"/>
    <n v="194"/>
    <n v="12447"/>
    <s v="61496719"/>
    <s v="61496719"/>
    <m/>
    <m/>
    <n v="22710344"/>
    <m/>
    <m/>
    <m/>
    <s v="SOLFIN"/>
    <s v="SOLFIN"/>
    <s v="CCMS"/>
    <n v="21318506"/>
    <n v="1283"/>
    <m/>
    <s v="N"/>
    <n v="3"/>
    <d v="2023-07-03T19:01:57"/>
    <s v="Y"/>
    <s v="Level 4 Fixed Fee"/>
    <s v="Domestic Abuse"/>
    <s v="Profit Cost"/>
    <s v="mc"/>
    <s v="Y"/>
    <n v="608"/>
    <n v="121.6"/>
    <x v="3"/>
    <s v="VALIDATED"/>
    <n v="1"/>
    <s v="01.11.80.302.6100.0000"/>
    <n v="608"/>
    <s v="11"/>
    <s v="6100"/>
    <n v="34318.95"/>
    <n v="608"/>
    <s v="CREDITOR"/>
    <n v="0"/>
    <n v="0"/>
    <n v="0"/>
    <n v="0"/>
    <n v="608"/>
  </r>
  <r>
    <n v="61130472"/>
    <s v="N"/>
    <n v="21382407"/>
    <s v="3000015317490003"/>
    <s v="CIVIL"/>
    <d v="2023-06-28T00:00:00"/>
    <d v="2023-07-17T19:01:46"/>
    <m/>
    <d v="2023-07-17T00:00:00"/>
    <n v="194"/>
    <n v="12447"/>
    <s v="61130472"/>
    <s v="61130472"/>
    <m/>
    <m/>
    <n v="22775508"/>
    <m/>
    <m/>
    <m/>
    <s v="SOLFIN"/>
    <s v="SOLFIN"/>
    <s v="CCMS"/>
    <n v="21382407"/>
    <n v="4109"/>
    <m/>
    <s v="N"/>
    <n v="1"/>
    <d v="2023-07-17T19:02:09"/>
    <s v="Y"/>
    <s v="Enquiry Agent"/>
    <s v="Prescribed Hourly Rates"/>
    <s v="Expert Disbursement"/>
    <s v="XXX"/>
    <s v="Y"/>
    <n v="100"/>
    <n v="20"/>
    <x v="8"/>
    <s v="VALIDATED"/>
    <n v="1"/>
    <s v="01.11.80.302.6300.0000"/>
    <n v="100"/>
    <s v="11"/>
    <s v="6300"/>
    <n v="34318.95"/>
    <n v="100"/>
    <s v="CREDITOR"/>
    <n v="0"/>
    <n v="0"/>
    <n v="0"/>
    <n v="0"/>
    <n v="100"/>
  </r>
  <r>
    <n v="61130472"/>
    <s v="N"/>
    <n v="21382407"/>
    <s v="3000015317490003"/>
    <s v="CIVIL"/>
    <d v="2023-06-28T00:00:00"/>
    <d v="2023-07-17T19:01:46"/>
    <m/>
    <d v="2023-07-17T00:00:00"/>
    <n v="194"/>
    <n v="12447"/>
    <s v="61130472"/>
    <s v="61130472"/>
    <m/>
    <m/>
    <n v="22775508"/>
    <m/>
    <m/>
    <m/>
    <s v="SOLFIN"/>
    <s v="SOLFIN"/>
    <s v="CCMS"/>
    <n v="21382407"/>
    <n v="4109"/>
    <m/>
    <s v="N"/>
    <n v="15"/>
    <d v="2023-07-17T19:02:09"/>
    <s v="Y"/>
    <s v="Preparation - other"/>
    <s v="Prescribed Hourly Rates"/>
    <s v="Profit Cost"/>
    <s v="FAH"/>
    <s v="Y"/>
    <n v="207.9"/>
    <n v="41.58"/>
    <x v="8"/>
    <s v="VALIDATED"/>
    <n v="1"/>
    <s v="01.11.80.302.6100.0000"/>
    <n v="207.9"/>
    <s v="11"/>
    <s v="6100"/>
    <n v="34318.95"/>
    <n v="207.9"/>
    <s v="CREDITOR"/>
    <n v="0"/>
    <n v="0"/>
    <n v="0"/>
    <n v="0"/>
    <n v="207.9"/>
  </r>
  <r>
    <n v="61135216"/>
    <s v="N"/>
    <n v="21339868"/>
    <s v="3000015321310004RC"/>
    <s v="CIVIL"/>
    <d v="2023-06-27T00:00:00"/>
    <d v="2023-07-06T19:54:22"/>
    <m/>
    <d v="2023-07-06T00:00:00"/>
    <n v="194"/>
    <n v="12447"/>
    <s v="61135216"/>
    <s v="61135216"/>
    <m/>
    <m/>
    <m/>
    <m/>
    <m/>
    <m/>
    <s v="SOLRECOUP"/>
    <s v="SOLRECOUP"/>
    <s v="POARECOUP"/>
    <n v="21339868"/>
    <n v="-557.52"/>
    <m/>
    <s v="Y"/>
    <n v="1"/>
    <d v="2023-07-06T19:54:22"/>
    <s v="N"/>
    <m/>
    <m/>
    <s v="Non Expert Disbursement"/>
    <m/>
    <s v="N"/>
    <n v="-464.6"/>
    <n v="0"/>
    <x v="4"/>
    <s v="VALIDATED"/>
    <n v="1"/>
    <s v="01.11.80.302.2013.0000"/>
    <n v="-464.6"/>
    <s v="11"/>
    <s v="2013"/>
    <n v="34318.95"/>
    <n v="-464.6"/>
    <s v="CREDITOR"/>
    <n v="0"/>
    <n v="0"/>
    <n v="-464.6"/>
    <n v="0"/>
    <n v="0"/>
  </r>
  <r>
    <n v="61135216"/>
    <s v="N"/>
    <n v="21339868"/>
    <s v="3000015321310004RC"/>
    <s v="CIVIL"/>
    <d v="2023-06-27T00:00:00"/>
    <d v="2023-07-06T19:54:22"/>
    <m/>
    <d v="2023-07-06T00:00:00"/>
    <n v="194"/>
    <n v="12447"/>
    <s v="61135216"/>
    <s v="61135216"/>
    <m/>
    <m/>
    <m/>
    <m/>
    <m/>
    <m/>
    <s v="SOLRECOUP"/>
    <s v="SOLRECOUP"/>
    <s v="POARECOUP"/>
    <n v="21339868"/>
    <n v="-557.52"/>
    <m/>
    <s v="Y"/>
    <n v="2"/>
    <d v="2023-07-06T19:54:22"/>
    <s v="N"/>
    <m/>
    <m/>
    <s v="Non Expert Disbursement"/>
    <m/>
    <s v="N"/>
    <n v="0"/>
    <n v="-92.92"/>
    <x v="4"/>
    <s v="VALIDATED"/>
    <n v="1"/>
    <s v="01.11.80.302.2013.0000"/>
    <n v="-92.92"/>
    <s v="11"/>
    <s v="2013"/>
    <n v="34318.95"/>
    <n v="-92.92"/>
    <s v="CREDITOR"/>
    <n v="0"/>
    <n v="0"/>
    <n v="-92.92"/>
    <n v="0"/>
    <n v="0"/>
  </r>
  <r>
    <n v="61135216"/>
    <s v="N"/>
    <n v="21339869"/>
    <s v="3000015321310005RC"/>
    <s v="CIVIL"/>
    <d v="2023-06-27T00:00:00"/>
    <d v="2023-07-06T19:54:22"/>
    <m/>
    <d v="2023-07-06T00:00:00"/>
    <n v="194"/>
    <n v="12447"/>
    <s v="61135216"/>
    <s v="61135216"/>
    <m/>
    <m/>
    <m/>
    <m/>
    <m/>
    <m/>
    <s v="SOLRECOUP"/>
    <s v="SOLRECOUP"/>
    <s v="POARECOUP"/>
    <n v="21339869"/>
    <n v="-3009.24"/>
    <m/>
    <s v="Y"/>
    <n v="1"/>
    <d v="2023-07-06T19:54:22"/>
    <s v="N"/>
    <m/>
    <m/>
    <s v="Non Expert Disbursement"/>
    <m/>
    <s v="N"/>
    <n v="-2507.7"/>
    <n v="0"/>
    <x v="4"/>
    <s v="VALIDATED"/>
    <n v="1"/>
    <s v="01.11.80.302.2013.0000"/>
    <n v="-2507.7"/>
    <s v="11"/>
    <s v="2013"/>
    <n v="34318.95"/>
    <n v="-2507.7"/>
    <s v="CREDITOR"/>
    <n v="0"/>
    <n v="0"/>
    <n v="-2507.7"/>
    <n v="0"/>
    <n v="0"/>
  </r>
  <r>
    <n v="61135216"/>
    <s v="N"/>
    <n v="21339869"/>
    <s v="3000015321310005RC"/>
    <s v="CIVIL"/>
    <d v="2023-06-27T00:00:00"/>
    <d v="2023-07-06T19:54:22"/>
    <m/>
    <d v="2023-07-06T00:00:00"/>
    <n v="194"/>
    <n v="12447"/>
    <s v="61135216"/>
    <s v="61135216"/>
    <m/>
    <m/>
    <m/>
    <m/>
    <m/>
    <m/>
    <s v="SOLRECOUP"/>
    <s v="SOLRECOUP"/>
    <s v="POARECOUP"/>
    <n v="21339869"/>
    <n v="-3009.24"/>
    <m/>
    <s v="Y"/>
    <n v="2"/>
    <d v="2023-07-06T19:54:22"/>
    <s v="N"/>
    <m/>
    <m/>
    <s v="Non Expert Disbursement"/>
    <m/>
    <s v="N"/>
    <n v="0"/>
    <n v="-501.54"/>
    <x v="4"/>
    <s v="VALIDATED"/>
    <n v="1"/>
    <s v="01.11.80.302.2013.0000"/>
    <n v="-501.54"/>
    <s v="11"/>
    <s v="2013"/>
    <n v="34318.95"/>
    <n v="-501.54"/>
    <s v="CREDITOR"/>
    <n v="0"/>
    <n v="0"/>
    <n v="-501.54"/>
    <n v="0"/>
    <n v="0"/>
  </r>
  <r>
    <n v="62372606"/>
    <s v="N"/>
    <n v="21406382"/>
    <s v="3000016352510001RC"/>
    <s v="CIVIL"/>
    <d v="2023-06-29T00:00:00"/>
    <d v="2023-07-20T19:48:18"/>
    <m/>
    <d v="2023-07-20T00:00:00"/>
    <n v="194"/>
    <n v="12447"/>
    <s v="62372606"/>
    <s v="62372606"/>
    <m/>
    <m/>
    <m/>
    <m/>
    <m/>
    <m/>
    <s v="SOLRECOUP"/>
    <s v="SOLRECOUP"/>
    <s v="POARECOUP"/>
    <n v="21406382"/>
    <n v="-120"/>
    <m/>
    <s v="Y"/>
    <n v="2"/>
    <d v="2023-07-20T19:48:20"/>
    <s v="N"/>
    <m/>
    <m/>
    <s v="Non Expert Disbursement"/>
    <m/>
    <s v="N"/>
    <n v="0"/>
    <n v="-20"/>
    <x v="13"/>
    <s v="VALIDATED"/>
    <n v="1"/>
    <s v="01.11.80.302.2013.0000"/>
    <n v="-20"/>
    <s v="11"/>
    <s v="2013"/>
    <n v="34318.95"/>
    <n v="-20"/>
    <s v="CREDITOR"/>
    <n v="0"/>
    <n v="0"/>
    <n v="-20"/>
    <n v="0"/>
    <n v="0"/>
  </r>
  <r>
    <n v="62372606"/>
    <s v="N"/>
    <n v="21406382"/>
    <s v="3000016352510001RC"/>
    <s v="CIVIL"/>
    <d v="2023-06-29T00:00:00"/>
    <d v="2023-07-20T19:48:18"/>
    <m/>
    <d v="2023-07-20T00:00:00"/>
    <n v="194"/>
    <n v="12447"/>
    <s v="62372606"/>
    <s v="62372606"/>
    <m/>
    <m/>
    <m/>
    <m/>
    <m/>
    <m/>
    <s v="SOLRECOUP"/>
    <s v="SOLRECOUP"/>
    <s v="POARECOUP"/>
    <n v="21406382"/>
    <n v="-120"/>
    <m/>
    <s v="Y"/>
    <n v="1"/>
    <d v="2023-07-20T19:48:20"/>
    <s v="N"/>
    <m/>
    <m/>
    <s v="Non Expert Disbursement"/>
    <m/>
    <s v="N"/>
    <n v="-100"/>
    <n v="0"/>
    <x v="13"/>
    <s v="VALIDATED"/>
    <n v="1"/>
    <s v="01.11.80.302.2013.0000"/>
    <n v="-100"/>
    <s v="11"/>
    <s v="2013"/>
    <n v="34318.95"/>
    <n v="-100"/>
    <s v="CREDITOR"/>
    <n v="0"/>
    <n v="0"/>
    <n v="-100"/>
    <n v="0"/>
    <n v="0"/>
  </r>
  <r>
    <n v="61130472"/>
    <s v="N"/>
    <n v="21387974"/>
    <s v="3000015317490001RC"/>
    <s v="CIVIL"/>
    <d v="2023-06-28T00:00:00"/>
    <d v="2023-07-17T19:42:13"/>
    <m/>
    <d v="2023-07-17T00:00:00"/>
    <n v="194"/>
    <n v="12447"/>
    <s v="61130472"/>
    <s v="61130472"/>
    <m/>
    <m/>
    <m/>
    <m/>
    <m/>
    <m/>
    <s v="SOLRECOUP"/>
    <s v="SOLRECOUP"/>
    <s v="POARECOUP"/>
    <n v="21387974"/>
    <n v="-120"/>
    <m/>
    <s v="Y"/>
    <n v="2"/>
    <d v="2023-07-17T19:42:14"/>
    <s v="N"/>
    <m/>
    <m/>
    <s v="Expert Disbursement"/>
    <m/>
    <s v="N"/>
    <n v="0"/>
    <n v="-20"/>
    <x v="8"/>
    <s v="VALIDATED"/>
    <n v="1"/>
    <s v="01.11.80.302.2013.0000"/>
    <n v="-20"/>
    <s v="11"/>
    <s v="2013"/>
    <n v="34318.95"/>
    <n v="-20"/>
    <s v="CREDITOR"/>
    <n v="0"/>
    <n v="0"/>
    <n v="-20"/>
    <n v="0"/>
    <n v="0"/>
  </r>
  <r>
    <n v="61130472"/>
    <s v="N"/>
    <n v="21387974"/>
    <s v="3000015317490001RC"/>
    <s v="CIVIL"/>
    <d v="2023-06-28T00:00:00"/>
    <d v="2023-07-17T19:42:13"/>
    <m/>
    <d v="2023-07-17T00:00:00"/>
    <n v="194"/>
    <n v="12447"/>
    <s v="61130472"/>
    <s v="61130472"/>
    <m/>
    <m/>
    <m/>
    <m/>
    <m/>
    <m/>
    <s v="SOLRECOUP"/>
    <s v="SOLRECOUP"/>
    <s v="POARECOUP"/>
    <n v="21387974"/>
    <n v="-120"/>
    <m/>
    <s v="Y"/>
    <n v="1"/>
    <d v="2023-07-17T19:42:14"/>
    <s v="N"/>
    <m/>
    <m/>
    <s v="Expert Disbursement"/>
    <m/>
    <s v="N"/>
    <n v="-100"/>
    <n v="0"/>
    <x v="8"/>
    <s v="VALIDATED"/>
    <n v="1"/>
    <s v="01.11.80.302.2013.0000"/>
    <n v="-100"/>
    <s v="11"/>
    <s v="2013"/>
    <n v="34318.95"/>
    <n v="-100"/>
    <s v="CREDITOR"/>
    <n v="0"/>
    <n v="0"/>
    <n v="-100"/>
    <n v="0"/>
    <n v="0"/>
  </r>
  <r>
    <n v="61130472"/>
    <s v="N"/>
    <n v="21387975"/>
    <s v="3000015317490002RC"/>
    <s v="CIVIL"/>
    <d v="2023-06-28T00:00:00"/>
    <d v="2023-07-17T19:42:13"/>
    <m/>
    <d v="2023-07-17T00:00:00"/>
    <n v="194"/>
    <n v="12447"/>
    <s v="61130472"/>
    <s v="61130472"/>
    <m/>
    <m/>
    <m/>
    <m/>
    <m/>
    <m/>
    <s v="SOLRECOUP"/>
    <s v="SOLRECOUP"/>
    <s v="POARECOUP"/>
    <n v="21387975"/>
    <n v="-120"/>
    <m/>
    <s v="Y"/>
    <n v="2"/>
    <d v="2023-07-17T19:42:14"/>
    <s v="N"/>
    <m/>
    <m/>
    <s v="Expert Disbursement"/>
    <m/>
    <s v="N"/>
    <n v="0"/>
    <n v="-20"/>
    <x v="8"/>
    <s v="VALIDATED"/>
    <n v="1"/>
    <s v="01.11.80.302.2013.0000"/>
    <n v="-20"/>
    <s v="11"/>
    <s v="2013"/>
    <n v="34318.95"/>
    <n v="-20"/>
    <s v="CREDITOR"/>
    <n v="0"/>
    <n v="0"/>
    <n v="-20"/>
    <n v="0"/>
    <n v="0"/>
  </r>
  <r>
    <n v="60678163"/>
    <s v="N"/>
    <n v="21327492"/>
    <s v="3000014928670004"/>
    <s v="CIVIL"/>
    <d v="2023-06-22T00:00:00"/>
    <d v="2023-07-04T19:00:44"/>
    <m/>
    <d v="2023-07-04T00:00:00"/>
    <n v="194"/>
    <n v="12447"/>
    <s v="60678163"/>
    <s v="60678163"/>
    <m/>
    <m/>
    <n v="22744814"/>
    <m/>
    <m/>
    <m/>
    <s v="SOLFIN"/>
    <s v="SOLFIN"/>
    <s v="CCMS"/>
    <n v="21327492"/>
    <n v="7348.42"/>
    <m/>
    <s v="N"/>
    <n v="34"/>
    <d v="2023-07-04T19:00:48"/>
    <s v="Y"/>
    <s v="Attendance upon client"/>
    <s v="Prescribed Hourly Rates"/>
    <s v="Profit Cost"/>
    <s v="NAB"/>
    <s v="Y"/>
    <n v="8.32"/>
    <n v="1.66"/>
    <x v="1"/>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17"/>
    <d v="2023-07-03T19:02:05"/>
    <s v="Y"/>
    <s v="Preparation - other"/>
    <s v="Prescribed Hourly Rates"/>
    <s v="Profit Cost"/>
    <s v="FA"/>
    <s v="Y"/>
    <n v="258.39"/>
    <n v="51.68"/>
    <x v="3"/>
    <s v="VALIDATED"/>
    <n v="1"/>
    <s v="01.11.80.307.6100.0000"/>
    <n v="258.39"/>
    <s v="11"/>
    <s v="6100"/>
    <n v="34318.95"/>
    <n v="258.39"/>
    <s v="CREDITOR"/>
    <n v="0"/>
    <n v="0"/>
    <n v="0"/>
    <n v="0"/>
    <n v="258.39"/>
  </r>
  <r>
    <n v="61464958"/>
    <s v="N"/>
    <n v="21318984"/>
    <s v="3000015543270001"/>
    <s v="CIVIL"/>
    <d v="2023-06-23T00:00:00"/>
    <d v="2023-07-03T19:01:49"/>
    <m/>
    <d v="2023-07-03T00:00:00"/>
    <n v="194"/>
    <n v="12447"/>
    <s v="61464958"/>
    <s v="61464958"/>
    <m/>
    <m/>
    <n v="22755938"/>
    <m/>
    <m/>
    <m/>
    <s v="SOLFIN"/>
    <s v="SOLFIN"/>
    <s v="CCMS"/>
    <n v="21318984"/>
    <n v="2903.56"/>
    <m/>
    <s v="N"/>
    <n v="21"/>
    <d v="2023-07-03T19:02:05"/>
    <s v="Y"/>
    <s v="Attendance upon client"/>
    <s v="Prescribed Hourly Rates"/>
    <s v="Profit Cost"/>
    <s v="FA"/>
    <s v="Y"/>
    <n v="68.90000000000001"/>
    <n v="13.78"/>
    <x v="3"/>
    <s v="VALIDATED"/>
    <n v="1"/>
    <s v="01.11.80.307.6100.0000"/>
    <n v="68.90000000000001"/>
    <s v="11"/>
    <s v="6100"/>
    <n v="34318.95"/>
    <n v="68.90000000000001"/>
    <s v="CREDITOR"/>
    <n v="0"/>
    <n v="0"/>
    <n v="0"/>
    <n v="0"/>
    <n v="68.90000000000001"/>
  </r>
  <r>
    <n v="61080230"/>
    <s v="N"/>
    <n v="21330559"/>
    <s v="3000015275730002"/>
    <s v="CIVIL"/>
    <d v="2023-06-23T00:00:00"/>
    <d v="2023-07-05T19:01:47"/>
    <m/>
    <d v="2023-07-05T00:00:00"/>
    <n v="194"/>
    <n v="12447"/>
    <s v="61080230"/>
    <s v="61080230"/>
    <m/>
    <m/>
    <n v="22755936"/>
    <m/>
    <m/>
    <m/>
    <s v="SOLFIN"/>
    <s v="SOLFIN"/>
    <s v="CCMS"/>
    <n v="21330559"/>
    <n v="3599.14"/>
    <m/>
    <s v="N"/>
    <n v="23"/>
    <d v="2023-07-05T19:01:51"/>
    <s v="Y"/>
    <s v="Preparation - other"/>
    <s v="Prescribed Hourly Rates"/>
    <s v="Profit Cost"/>
    <s v="DF1"/>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28"/>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65"/>
    <d v="2023-07-05T19:01:59"/>
    <s v="Y"/>
    <s v="Preparation - other"/>
    <s v="Prescribed Hourly Rates"/>
    <s v="Profit Cost"/>
    <s v="DB"/>
    <s v="Y"/>
    <n v="24.95"/>
    <n v="4.99"/>
    <x v="6"/>
    <s v="VALIDATED"/>
    <n v="1"/>
    <s v="01.11.80.302.6100.0000"/>
    <n v="24.95"/>
    <s v="11"/>
    <s v="6100"/>
    <n v="34318.95"/>
    <n v="24.95"/>
    <s v="CREDITOR"/>
    <n v="0"/>
    <n v="0"/>
    <n v="0"/>
    <n v="0"/>
    <n v="24.95"/>
  </r>
  <r>
    <n v="62309851"/>
    <s v="N"/>
    <n v="21330932"/>
    <s v="3000016300730003"/>
    <s v="CIVIL"/>
    <d v="2023-06-28T00:00:00"/>
    <d v="2023-07-05T19:01:47"/>
    <m/>
    <d v="2023-07-05T00:00:00"/>
    <n v="194"/>
    <n v="12447"/>
    <s v="62309851"/>
    <s v="62309851"/>
    <m/>
    <m/>
    <n v="22775378"/>
    <m/>
    <m/>
    <m/>
    <s v="SOLFIN"/>
    <s v="SOLFIN"/>
    <s v="CCMS"/>
    <n v="21330932"/>
    <n v="4181.19"/>
    <m/>
    <s v="N"/>
    <n v="43"/>
    <d v="2023-07-05T19:01:57"/>
    <s v="Y"/>
    <s v="Preparation - other"/>
    <s v="Prescribed Hourly Rates"/>
    <s v="Profit Cost"/>
    <s v="YR"/>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12"/>
    <d v="2023-07-05T19:01:59"/>
    <s v="Y"/>
    <s v="Preparation - other"/>
    <s v="Prescribed Hourly Rates"/>
    <s v="Profit Cost"/>
    <s v="FH"/>
    <s v="Y"/>
    <n v="41.58"/>
    <n v="8.32"/>
    <x v="6"/>
    <s v="VALIDATED"/>
    <n v="1"/>
    <s v="01.11.80.302.6100.0000"/>
    <n v="41.58"/>
    <s v="11"/>
    <s v="6100"/>
    <n v="34318.95"/>
    <n v="41.58"/>
    <s v="CREDITOR"/>
    <n v="0"/>
    <n v="0"/>
    <n v="0"/>
    <n v="0"/>
    <n v="41.58"/>
  </r>
  <r>
    <n v="61766009"/>
    <s v="N"/>
    <n v="21328257"/>
    <s v="3000015844440002"/>
    <s v="CIVIL"/>
    <d v="2023-06-23T00:00:00"/>
    <d v="2023-07-04T19:00:44"/>
    <m/>
    <d v="2023-07-04T00:00:00"/>
    <n v="194"/>
    <n v="12447"/>
    <s v="61766009"/>
    <s v="61766009"/>
    <m/>
    <m/>
    <n v="22754158"/>
    <m/>
    <m/>
    <m/>
    <s v="SOLFIN"/>
    <s v="SOLFIN"/>
    <s v="CCMS"/>
    <n v="21328257"/>
    <n v="1911.8"/>
    <m/>
    <s v="N"/>
    <n v="3"/>
    <d v="2023-07-04T19:01:10"/>
    <s v="Y"/>
    <s v="Final Hearing - 1 Day"/>
    <s v="Domestic Abuse"/>
    <s v="Advocacy"/>
    <s v="VK"/>
    <s v="Y"/>
    <n v="361.17"/>
    <n v="72.23"/>
    <x v="1"/>
    <s v="VALIDATED"/>
    <n v="1"/>
    <s v="01.11.80.302.6100.0000"/>
    <n v="361.17"/>
    <s v="11"/>
    <s v="6100"/>
    <n v="34318.95"/>
    <n v="361.17"/>
    <s v="CREDITOR"/>
    <n v="0"/>
    <n v="0"/>
    <n v="0"/>
    <n v="0"/>
    <n v="361.17"/>
  </r>
  <r>
    <n v="60678163"/>
    <s v="N"/>
    <n v="21327492"/>
    <s v="3000014928670004"/>
    <s v="CIVIL"/>
    <d v="2023-06-22T00:00:00"/>
    <d v="2023-07-04T19:00:44"/>
    <m/>
    <d v="2023-07-04T00:00:00"/>
    <n v="194"/>
    <n v="12447"/>
    <s v="60678163"/>
    <s v="60678163"/>
    <m/>
    <m/>
    <n v="22744814"/>
    <m/>
    <m/>
    <m/>
    <s v="SOLFIN"/>
    <s v="SOLFIN"/>
    <s v="CCMS"/>
    <n v="21327492"/>
    <n v="7348.42"/>
    <m/>
    <s v="N"/>
    <n v="60"/>
    <d v="2023-07-04T19:00:48"/>
    <s v="Y"/>
    <s v="Attendance upon client"/>
    <s v="Prescribed Hourly Rates"/>
    <s v="Profit Cost"/>
    <s v="FAH"/>
    <s v="Y"/>
    <n v="16.63"/>
    <n v="3.33"/>
    <x v="1"/>
    <s v="VALIDATED"/>
    <n v="1"/>
    <s v="01.11.80.302.6100.0000"/>
    <n v="16.63"/>
    <s v="11"/>
    <s v="6100"/>
    <n v="34318.95"/>
    <n v="16.63"/>
    <s v="CREDITOR"/>
    <n v="0"/>
    <n v="0"/>
    <n v="0"/>
    <n v="0"/>
    <n v="16.63"/>
  </r>
  <r>
    <n v="61464958"/>
    <s v="N"/>
    <n v="21318984"/>
    <s v="3000015543270001"/>
    <s v="CIVIL"/>
    <d v="2023-06-23T00:00:00"/>
    <d v="2023-07-03T19:01:49"/>
    <m/>
    <d v="2023-07-03T00:00:00"/>
    <n v="194"/>
    <n v="12447"/>
    <s v="61464958"/>
    <s v="61464958"/>
    <m/>
    <m/>
    <n v="22755938"/>
    <m/>
    <m/>
    <m/>
    <s v="SOLFIN"/>
    <s v="SOLFIN"/>
    <s v="CCMS"/>
    <n v="21318984"/>
    <n v="2903.56"/>
    <m/>
    <s v="N"/>
    <n v="13"/>
    <d v="2023-07-03T19:02:05"/>
    <s v="Y"/>
    <s v="Preparation - other"/>
    <s v="Prescribed Hourly Rates"/>
    <s v="Profit Cost"/>
    <s v="FA"/>
    <s v="Y"/>
    <n v="25.84"/>
    <n v="5.17"/>
    <x v="3"/>
    <s v="VALIDATED"/>
    <n v="1"/>
    <s v="01.11.80.307.6100.0000"/>
    <n v="25.84"/>
    <s v="11"/>
    <s v="6100"/>
    <n v="34318.95"/>
    <n v="25.84"/>
    <s v="CREDITOR"/>
    <n v="0"/>
    <n v="0"/>
    <n v="0"/>
    <n v="0"/>
    <n v="25.84"/>
  </r>
  <r>
    <n v="61464958"/>
    <s v="N"/>
    <n v="21318984"/>
    <s v="3000015543270001"/>
    <s v="CIVIL"/>
    <d v="2023-06-23T00:00:00"/>
    <d v="2023-07-03T19:01:49"/>
    <m/>
    <d v="2023-07-03T00:00:00"/>
    <n v="194"/>
    <n v="12447"/>
    <s v="61464958"/>
    <s v="61464958"/>
    <m/>
    <m/>
    <n v="22755938"/>
    <m/>
    <m/>
    <m/>
    <s v="SOLFIN"/>
    <s v="SOLFIN"/>
    <s v="CCMS"/>
    <n v="21318984"/>
    <n v="2903.56"/>
    <m/>
    <s v="N"/>
    <n v="24"/>
    <d v="2023-07-03T19:02:05"/>
    <s v="Y"/>
    <s v="Preparation - other"/>
    <s v="Prescribed Hourly Rates"/>
    <s v="Profit Cost"/>
    <s v="FA"/>
    <s v="Y"/>
    <n v="43.07"/>
    <n v="8.609999999999999"/>
    <x v="3"/>
    <s v="VALIDATED"/>
    <n v="1"/>
    <s v="01.11.80.307.6100.0000"/>
    <n v="43.07"/>
    <s v="11"/>
    <s v="6100"/>
    <n v="34318.95"/>
    <n v="43.07"/>
    <s v="CREDITOR"/>
    <n v="0"/>
    <n v="0"/>
    <n v="0"/>
    <n v="0"/>
    <n v="43.07"/>
  </r>
  <r>
    <n v="61779100"/>
    <s v="N"/>
    <n v="21319135"/>
    <s v="3000015855820002"/>
    <s v="CIVIL"/>
    <d v="2023-06-17T00:00:00"/>
    <d v="2023-07-03T19:01:49"/>
    <m/>
    <d v="2023-07-03T00:00:00"/>
    <n v="194"/>
    <n v="12447"/>
    <s v="61779100"/>
    <s v="61779100"/>
    <m/>
    <m/>
    <n v="22710354"/>
    <m/>
    <m/>
    <m/>
    <s v="SOLFIN"/>
    <s v="SOLFIN"/>
    <s v="CCMS"/>
    <n v="21319135"/>
    <n v="849.6"/>
    <m/>
    <s v="N"/>
    <n v="2"/>
    <d v="2023-07-03T19:02:12"/>
    <s v="Y"/>
    <s v="Level 4 Fixed Fee"/>
    <s v="Domestic Abuse"/>
    <s v="Profit Cost"/>
    <s v="kb"/>
    <s v="Y"/>
    <n v="608"/>
    <n v="121.6"/>
    <x v="3"/>
    <s v="VALIDATED"/>
    <n v="1"/>
    <s v="01.11.80.302.6100.0000"/>
    <n v="608"/>
    <s v="11"/>
    <s v="6100"/>
    <n v="34318.95"/>
    <n v="608"/>
    <s v="CREDITOR"/>
    <n v="0"/>
    <n v="0"/>
    <n v="0"/>
    <n v="0"/>
    <n v="608"/>
  </r>
  <r>
    <n v="61130472"/>
    <s v="N"/>
    <n v="21382407"/>
    <s v="3000015317490003"/>
    <s v="CIVIL"/>
    <d v="2023-06-28T00:00:00"/>
    <d v="2023-07-17T19:01:46"/>
    <m/>
    <d v="2023-07-17T00:00:00"/>
    <n v="194"/>
    <n v="12447"/>
    <s v="61130472"/>
    <s v="61130472"/>
    <m/>
    <m/>
    <n v="22775508"/>
    <m/>
    <m/>
    <m/>
    <s v="SOLFIN"/>
    <s v="SOLFIN"/>
    <s v="CCMS"/>
    <n v="21382407"/>
    <n v="4109"/>
    <m/>
    <s v="N"/>
    <n v="25"/>
    <d v="2023-07-17T19:02:09"/>
    <s v="Y"/>
    <s v="Preparation - other"/>
    <s v="Prescribed Hourly Rates"/>
    <s v="Profit Cost"/>
    <s v="FAH"/>
    <s v="Y"/>
    <n v="166.32"/>
    <n v="33.26"/>
    <x v="8"/>
    <s v="VALIDATED"/>
    <n v="1"/>
    <s v="01.11.80.302.6100.0000"/>
    <n v="166.32"/>
    <s v="11"/>
    <s v="6100"/>
    <n v="34318.95"/>
    <n v="166.32"/>
    <s v="CREDITOR"/>
    <n v="0"/>
    <n v="0"/>
    <n v="0"/>
    <n v="0"/>
    <n v="166.32"/>
  </r>
  <r>
    <n v="61788720"/>
    <s v="N"/>
    <n v="21382042"/>
    <s v="3000015864570002"/>
    <s v="CIVIL"/>
    <d v="2023-06-28T00:00:00"/>
    <d v="2023-07-17T19:01:46"/>
    <m/>
    <d v="2023-07-17T00:00:00"/>
    <n v="194"/>
    <n v="12447"/>
    <s v="61788720"/>
    <s v="61788720"/>
    <m/>
    <m/>
    <n v="22781892"/>
    <m/>
    <m/>
    <m/>
    <s v="SOLFIN"/>
    <s v="SOLFIN"/>
    <s v="CCMS"/>
    <n v="21382042"/>
    <n v="4185.9"/>
    <m/>
    <s v="N"/>
    <n v="21"/>
    <d v="2023-07-17T19:02:00"/>
    <s v="Y"/>
    <s v="Preparation - other"/>
    <s v="Prescribed Hourly Rates"/>
    <s v="Profit Cost"/>
    <s v="CR"/>
    <s v="Y"/>
    <n v="16.63"/>
    <n v="3.33"/>
    <x v="8"/>
    <s v="VALIDATED"/>
    <n v="1"/>
    <s v="01.11.80.302.6100.0000"/>
    <n v="16.63"/>
    <s v="11"/>
    <s v="6100"/>
    <n v="34318.95"/>
    <n v="16.63"/>
    <s v="CREDITOR"/>
    <n v="0"/>
    <n v="0"/>
    <n v="0"/>
    <n v="0"/>
    <n v="16.63"/>
  </r>
  <r>
    <n v="62106832"/>
    <s v="N"/>
    <n v="21343561"/>
    <s v="3000016133210002"/>
    <s v="CIVIL"/>
    <d v="2023-06-30T00:00:00"/>
    <d v="2023-07-07T19:03:00"/>
    <m/>
    <d v="2023-07-07T00:00:00"/>
    <n v="194"/>
    <n v="12447"/>
    <s v="62106832"/>
    <s v="62106832"/>
    <m/>
    <m/>
    <n v="22799014"/>
    <m/>
    <m/>
    <m/>
    <s v="SOLPOA"/>
    <s v="SOLPOA"/>
    <s v="CCMS"/>
    <n v="21343561"/>
    <n v="440.4"/>
    <m/>
    <s v="N"/>
    <n v="1"/>
    <d v="2023-07-07T19:03:10"/>
    <s v="N"/>
    <s v="Expert Cost - Private Law Children"/>
    <s v="Expert Cost - Private Law Chil"/>
    <s v="Expert Disbursement"/>
    <s v="GN"/>
    <s v="N"/>
    <n v="367"/>
    <n v="73.40000000000001"/>
    <x v="9"/>
    <s v="VALIDATED"/>
    <n v="1"/>
    <s v="01.11.80.307.2012.0000"/>
    <n v="367"/>
    <s v="11"/>
    <s v="2012"/>
    <n v="34318.95"/>
    <n v="367"/>
    <s v="CREDITOR"/>
    <n v="367"/>
    <n v="0"/>
    <n v="0"/>
    <n v="0"/>
    <n v="0"/>
  </r>
  <r>
    <n v="61534418"/>
    <s v="N"/>
    <n v="21343805"/>
    <s v="3000015566580006"/>
    <s v="CIVIL"/>
    <d v="2023-06-30T00:00:00"/>
    <d v="2023-07-07T19:03:00"/>
    <m/>
    <d v="2023-07-07T00:00:00"/>
    <n v="194"/>
    <n v="12447"/>
    <s v="61534418"/>
    <s v="61534418"/>
    <m/>
    <m/>
    <n v="22799212"/>
    <m/>
    <m/>
    <m/>
    <s v="SOLPOA"/>
    <s v="SOLPOA"/>
    <s v="CCMS"/>
    <n v="21343805"/>
    <n v="1295"/>
    <m/>
    <s v="N"/>
    <n v="1"/>
    <d v="2023-07-07T19:03:13"/>
    <s v="N"/>
    <s v="Non Expert Disbursement - Private L"/>
    <s v="Non Expert Disbursement - Priv"/>
    <s v="Non Expert Disbursement"/>
    <s v="AT"/>
    <s v="N"/>
    <n v="1295"/>
    <n v="0"/>
    <x v="9"/>
    <s v="VALIDATED"/>
    <n v="1"/>
    <s v="01.11.80.307.2012.0000"/>
    <n v="1295"/>
    <s v="11"/>
    <s v="2012"/>
    <n v="34318.95"/>
    <n v="1295"/>
    <s v="CREDITOR"/>
    <n v="1295"/>
    <n v="0"/>
    <n v="0"/>
    <n v="0"/>
    <n v="0"/>
  </r>
  <r>
    <n v="62260478"/>
    <s v="N"/>
    <n v="21330952"/>
    <s v="3000016258320003"/>
    <s v="CIVIL"/>
    <d v="2023-06-28T00:00:00"/>
    <d v="2023-07-05T19:01:47"/>
    <m/>
    <d v="2023-07-05T00:00:00"/>
    <n v="194"/>
    <n v="12447"/>
    <s v="62260478"/>
    <s v="62260478"/>
    <m/>
    <m/>
    <n v="22775374"/>
    <m/>
    <m/>
    <m/>
    <s v="SOLFIN"/>
    <s v="SOLFIN"/>
    <s v="CCMS"/>
    <n v="21330952"/>
    <n v="3936.68"/>
    <m/>
    <s v="N"/>
    <n v="58"/>
    <d v="2023-07-05T19:01:59"/>
    <s v="Y"/>
    <s v="Attendance upon client"/>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16"/>
    <d v="2023-07-05T19:01:57"/>
    <s v="Y"/>
    <s v="Preparation - other"/>
    <s v="Prescribed Hourly Rates"/>
    <s v="Profit Cost"/>
    <s v="YR"/>
    <s v="Y"/>
    <n v="33.26"/>
    <n v="6.65"/>
    <x v="6"/>
    <s v="VALIDATED"/>
    <n v="1"/>
    <s v="01.11.80.302.6100.0000"/>
    <n v="33.26"/>
    <s v="11"/>
    <s v="6100"/>
    <n v="34318.95"/>
    <n v="33.26"/>
    <s v="CREDITOR"/>
    <n v="0"/>
    <n v="0"/>
    <n v="0"/>
    <n v="0"/>
    <n v="33.26"/>
  </r>
  <r>
    <n v="62309851"/>
    <s v="N"/>
    <n v="21330932"/>
    <s v="3000016300730003"/>
    <s v="CIVIL"/>
    <d v="2023-06-28T00:00:00"/>
    <d v="2023-07-05T19:01:47"/>
    <m/>
    <d v="2023-07-05T00:00:00"/>
    <n v="194"/>
    <n v="12447"/>
    <s v="62309851"/>
    <s v="62309851"/>
    <m/>
    <m/>
    <n v="22775378"/>
    <m/>
    <m/>
    <m/>
    <s v="SOLFIN"/>
    <s v="SOLFIN"/>
    <s v="CCMS"/>
    <n v="21330932"/>
    <n v="4181.19"/>
    <m/>
    <s v="N"/>
    <n v="26"/>
    <d v="2023-07-05T19:01:57"/>
    <s v="Y"/>
    <s v="Preparation - other"/>
    <s v="Prescribed Hourly Rates"/>
    <s v="Profit Cost"/>
    <s v="YR"/>
    <s v="Y"/>
    <n v="66.53"/>
    <n v="13.31"/>
    <x v="6"/>
    <s v="VALIDATED"/>
    <n v="1"/>
    <s v="01.11.80.302.6100.0000"/>
    <n v="66.53"/>
    <s v="11"/>
    <s v="6100"/>
    <n v="34318.95"/>
    <n v="66.53"/>
    <s v="CREDITOR"/>
    <n v="0"/>
    <n v="0"/>
    <n v="0"/>
    <n v="0"/>
    <n v="66.53"/>
  </r>
  <r>
    <n v="62260478"/>
    <s v="N"/>
    <n v="21330952"/>
    <s v="3000016258320003"/>
    <s v="CIVIL"/>
    <d v="2023-06-28T00:00:00"/>
    <d v="2023-07-05T19:01:47"/>
    <m/>
    <d v="2023-07-05T00:00:00"/>
    <n v="194"/>
    <n v="12447"/>
    <s v="62260478"/>
    <s v="62260478"/>
    <m/>
    <m/>
    <n v="22775374"/>
    <m/>
    <m/>
    <m/>
    <s v="SOLFIN"/>
    <s v="SOLFIN"/>
    <s v="CCMS"/>
    <n v="21330952"/>
    <n v="3936.68"/>
    <m/>
    <s v="N"/>
    <n v="23"/>
    <d v="2023-07-05T19:01:59"/>
    <s v="Y"/>
    <s v="Preparation - other"/>
    <s v="Prescribed Hourly Rates"/>
    <s v="Profit Cost"/>
    <s v="MC"/>
    <s v="Y"/>
    <n v="66.53"/>
    <n v="13.31"/>
    <x v="6"/>
    <s v="VALIDATED"/>
    <n v="1"/>
    <s v="01.11.80.302.6100.0000"/>
    <n v="66.53"/>
    <s v="11"/>
    <s v="6100"/>
    <n v="34318.95"/>
    <n v="66.53"/>
    <s v="CREDITOR"/>
    <n v="0"/>
    <n v="0"/>
    <n v="0"/>
    <n v="0"/>
    <n v="66.53"/>
  </r>
  <r>
    <n v="61135216"/>
    <s v="N"/>
    <n v="21338535"/>
    <s v="3000015321310006"/>
    <s v="CIVIL"/>
    <d v="2023-06-27T00:00:00"/>
    <d v="2023-07-06T19:21:01"/>
    <m/>
    <d v="2023-07-06T00:00:00"/>
    <n v="194"/>
    <n v="12447"/>
    <s v="61135216"/>
    <s v="61135216"/>
    <m/>
    <m/>
    <n v="22768568"/>
    <m/>
    <m/>
    <m/>
    <s v="SOLFIN"/>
    <s v="SOLFIN"/>
    <s v="CCMS"/>
    <n v="21338535"/>
    <n v="3821.9"/>
    <m/>
    <s v="N"/>
    <n v="3"/>
    <d v="2023-07-06T19:21:28"/>
    <s v="Y"/>
    <s v="Police Records"/>
    <s v="Domestic Abuse"/>
    <s v="Non Expert Disbursement"/>
    <s v="KK"/>
    <s v="Y"/>
    <n v="464.6"/>
    <n v="0"/>
    <x v="4"/>
    <s v="VALIDATED"/>
    <n v="1"/>
    <s v="01.11.80.302.6300.0000"/>
    <n v="464.6"/>
    <s v="11"/>
    <s v="6300"/>
    <n v="34318.95"/>
    <n v="464.6"/>
    <s v="CREDITOR"/>
    <n v="0"/>
    <n v="0"/>
    <n v="0"/>
    <n v="0"/>
    <n v="464.6"/>
  </r>
  <r>
    <n v="61496719"/>
    <s v="N"/>
    <n v="21318506"/>
    <s v="3000015615070001"/>
    <s v="CIVIL"/>
    <d v="2023-06-16T00:00:00"/>
    <d v="2023-07-03T19:01:49"/>
    <m/>
    <d v="2023-07-03T00:00:00"/>
    <n v="194"/>
    <n v="12447"/>
    <s v="61496719"/>
    <s v="61496719"/>
    <m/>
    <m/>
    <n v="22710344"/>
    <m/>
    <m/>
    <m/>
    <s v="SOLFIN"/>
    <s v="SOLFIN"/>
    <s v="CCMS"/>
    <n v="21318506"/>
    <n v="1283"/>
    <m/>
    <s v="N"/>
    <n v="1"/>
    <d v="2023-07-03T19:01:57"/>
    <s v="Y"/>
    <s v="Process server"/>
    <s v="Domestic Abuse"/>
    <s v="Expert Disbursement"/>
    <s v="mc"/>
    <s v="Y"/>
    <n v="100"/>
    <n v="20"/>
    <x v="3"/>
    <s v="VALIDATED"/>
    <n v="1"/>
    <s v="01.11.80.302.6300.0000"/>
    <n v="100"/>
    <s v="11"/>
    <s v="6300"/>
    <n v="34318.95"/>
    <n v="100"/>
    <s v="CREDITOR"/>
    <n v="0"/>
    <n v="0"/>
    <n v="0"/>
    <n v="0"/>
    <n v="100"/>
  </r>
  <r>
    <n v="61130472"/>
    <s v="N"/>
    <n v="21382407"/>
    <s v="3000015317490003"/>
    <s v="CIVIL"/>
    <d v="2023-06-28T00:00:00"/>
    <d v="2023-07-17T19:01:46"/>
    <m/>
    <d v="2023-07-17T00:00:00"/>
    <n v="194"/>
    <n v="12447"/>
    <s v="61130472"/>
    <s v="61130472"/>
    <m/>
    <m/>
    <n v="22775508"/>
    <m/>
    <m/>
    <m/>
    <s v="SOLFIN"/>
    <s v="SOLFIN"/>
    <s v="CCMS"/>
    <n v="21382407"/>
    <n v="4109"/>
    <m/>
    <s v="N"/>
    <n v="19"/>
    <d v="2023-07-17T19:02:09"/>
    <s v="Y"/>
    <s v="Preparation - other"/>
    <s v="Prescribed Hourly Rates"/>
    <s v="Profit Cost"/>
    <s v="FAH"/>
    <s v="Y"/>
    <n v="58.21"/>
    <n v="11.64"/>
    <x v="8"/>
    <s v="VALIDATED"/>
    <n v="1"/>
    <s v="01.11.80.302.6100.0000"/>
    <n v="58.21"/>
    <s v="11"/>
    <s v="6100"/>
    <n v="34318.95"/>
    <n v="58.21"/>
    <s v="CREDITOR"/>
    <n v="0"/>
    <n v="0"/>
    <n v="0"/>
    <n v="0"/>
    <n v="58.21"/>
  </r>
  <r>
    <n v="60678163"/>
    <s v="N"/>
    <n v="21327492"/>
    <s v="3000014928670004"/>
    <s v="CIVIL"/>
    <d v="2023-06-22T00:00:00"/>
    <d v="2023-07-04T19:00:44"/>
    <m/>
    <d v="2023-07-04T00:00:00"/>
    <n v="194"/>
    <n v="12447"/>
    <s v="60678163"/>
    <s v="60678163"/>
    <m/>
    <m/>
    <n v="22744814"/>
    <m/>
    <m/>
    <m/>
    <s v="SOLFIN"/>
    <s v="SOLFIN"/>
    <s v="CCMS"/>
    <n v="21327492"/>
    <n v="7348.42"/>
    <m/>
    <s v="N"/>
    <n v="6"/>
    <d v="2023-07-04T19:00:48"/>
    <s v="Y"/>
    <s v="Enquiry Agent"/>
    <s v="Prescribed Hourly Rates"/>
    <s v="Expert Disbursement"/>
    <s v="XXX"/>
    <s v="Y"/>
    <n v="100"/>
    <n v="20"/>
    <x v="1"/>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76"/>
    <d v="2023-07-04T19:00:48"/>
    <s v="Y"/>
    <s v="Attendance upon client"/>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47"/>
    <d v="2023-07-04T19:00:48"/>
    <s v="Y"/>
    <s v="Attendance upon other"/>
    <s v="Prescribed Hourly Rates"/>
    <s v="Profit Cost"/>
    <s v="FAH"/>
    <s v="Y"/>
    <n v="16.63"/>
    <n v="3.33"/>
    <x v="1"/>
    <s v="VALIDATED"/>
    <n v="1"/>
    <s v="01.11.80.302.6100.0000"/>
    <n v="16.63"/>
    <s v="11"/>
    <s v="6100"/>
    <n v="34318.95"/>
    <n v="16.63"/>
    <s v="CREDITOR"/>
    <n v="0"/>
    <n v="0"/>
    <n v="0"/>
    <n v="0"/>
    <n v="16.63"/>
  </r>
  <r>
    <n v="61464958"/>
    <s v="N"/>
    <n v="21318984"/>
    <s v="3000015543270001"/>
    <s v="CIVIL"/>
    <d v="2023-06-23T00:00:00"/>
    <d v="2023-07-03T19:01:49"/>
    <m/>
    <d v="2023-07-03T00:00:00"/>
    <n v="194"/>
    <n v="12447"/>
    <s v="61464958"/>
    <s v="61464958"/>
    <m/>
    <m/>
    <n v="22755938"/>
    <m/>
    <m/>
    <m/>
    <s v="SOLFIN"/>
    <s v="SOLFIN"/>
    <s v="CCMS"/>
    <n v="21318984"/>
    <n v="2903.56"/>
    <m/>
    <s v="N"/>
    <n v="15"/>
    <d v="2023-07-03T19:02:05"/>
    <s v="Y"/>
    <s v="Preparation - other"/>
    <s v="Prescribed Hourly Rates"/>
    <s v="Profit Cost"/>
    <s v="FA"/>
    <s v="Y"/>
    <n v="68.90000000000001"/>
    <n v="13.78"/>
    <x v="3"/>
    <s v="VALIDATED"/>
    <n v="1"/>
    <s v="01.11.80.307.6100.0000"/>
    <n v="68.90000000000001"/>
    <s v="11"/>
    <s v="6100"/>
    <n v="34318.95"/>
    <n v="68.90000000000001"/>
    <s v="CREDITOR"/>
    <n v="0"/>
    <n v="0"/>
    <n v="0"/>
    <n v="0"/>
    <n v="68.90000000000001"/>
  </r>
  <r>
    <n v="61130472"/>
    <s v="N"/>
    <n v="21382407"/>
    <s v="3000015317490003"/>
    <s v="CIVIL"/>
    <d v="2023-06-28T00:00:00"/>
    <d v="2023-07-17T19:01:46"/>
    <m/>
    <d v="2023-07-17T00:00:00"/>
    <n v="194"/>
    <n v="12447"/>
    <s v="61130472"/>
    <s v="61130472"/>
    <m/>
    <m/>
    <n v="22775508"/>
    <m/>
    <m/>
    <m/>
    <s v="SOLFIN"/>
    <s v="SOLFIN"/>
    <s v="CCMS"/>
    <n v="21382407"/>
    <n v="4109"/>
    <m/>
    <s v="N"/>
    <n v="35"/>
    <d v="2023-07-17T19:02:09"/>
    <s v="Y"/>
    <s v="Preparation - drafting bill/claim f"/>
    <s v="Prescribed Hourly Rates"/>
    <s v="Profit Cost"/>
    <s v="CD"/>
    <s v="Y"/>
    <n v="291.06"/>
    <n v="58.21"/>
    <x v="8"/>
    <s v="VALIDATED"/>
    <n v="1"/>
    <s v="01.11.80.302.6100.0000"/>
    <n v="291.06"/>
    <s v="11"/>
    <s v="6100"/>
    <n v="34318.95"/>
    <n v="291.06"/>
    <s v="CREDITOR"/>
    <n v="0"/>
    <n v="0"/>
    <n v="0"/>
    <n v="0"/>
    <n v="291.06"/>
  </r>
  <r>
    <n v="61080230"/>
    <s v="N"/>
    <n v="21330559"/>
    <s v="3000015275730002"/>
    <s v="CIVIL"/>
    <d v="2023-06-23T00:00:00"/>
    <d v="2023-07-05T19:01:47"/>
    <m/>
    <d v="2023-07-05T00:00:00"/>
    <n v="194"/>
    <n v="12447"/>
    <s v="61080230"/>
    <s v="61080230"/>
    <m/>
    <m/>
    <n v="22755936"/>
    <m/>
    <m/>
    <m/>
    <s v="SOLFIN"/>
    <s v="SOLFIN"/>
    <s v="CCMS"/>
    <n v="21330559"/>
    <n v="3599.14"/>
    <m/>
    <s v="N"/>
    <n v="17"/>
    <d v="2023-07-05T19:01:51"/>
    <s v="Y"/>
    <s v="Preparation - other"/>
    <s v="Prescribed Hourly Rates"/>
    <s v="Profit Cost"/>
    <s v="DF1"/>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13"/>
    <d v="2023-07-05T19:01:59"/>
    <s v="Y"/>
    <s v="Preparation - other"/>
    <s v="Prescribed Hourly Rates"/>
    <s v="Profit Cost"/>
    <s v="MC"/>
    <s v="Y"/>
    <n v="74.84"/>
    <n v="14.97"/>
    <x v="6"/>
    <s v="VALIDATED"/>
    <n v="1"/>
    <s v="01.11.80.302.6100.0000"/>
    <n v="74.84"/>
    <s v="11"/>
    <s v="6100"/>
    <n v="34318.95"/>
    <n v="74.84"/>
    <s v="CREDITOR"/>
    <n v="0"/>
    <n v="0"/>
    <n v="0"/>
    <n v="0"/>
    <n v="74.84"/>
  </r>
  <r>
    <n v="62309851"/>
    <s v="N"/>
    <n v="21330932"/>
    <s v="3000016300730003"/>
    <s v="CIVIL"/>
    <d v="2023-06-28T00:00:00"/>
    <d v="2023-07-05T19:01:47"/>
    <m/>
    <d v="2023-07-05T00:00:00"/>
    <n v="194"/>
    <n v="12447"/>
    <s v="62309851"/>
    <s v="62309851"/>
    <m/>
    <m/>
    <n v="22775378"/>
    <m/>
    <m/>
    <m/>
    <s v="SOLFIN"/>
    <s v="SOLFIN"/>
    <s v="CCMS"/>
    <n v="21330932"/>
    <n v="4181.19"/>
    <m/>
    <s v="N"/>
    <n v="45"/>
    <d v="2023-07-05T19:01:57"/>
    <s v="Y"/>
    <s v="Preparation - other"/>
    <s v="Prescribed Hourly Rates"/>
    <s v="Profit Cost"/>
    <s v="YR"/>
    <s v="Y"/>
    <n v="8.32"/>
    <n v="1.66"/>
    <x v="6"/>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16"/>
    <d v="2023-07-03T19:02:05"/>
    <s v="Y"/>
    <s v="Preparation - other"/>
    <s v="Prescribed Hourly Rates"/>
    <s v="Profit Cost"/>
    <s v="FA"/>
    <s v="Y"/>
    <n v="17.23"/>
    <n v="3.45"/>
    <x v="3"/>
    <s v="VALIDATED"/>
    <n v="1"/>
    <s v="01.11.80.307.6100.0000"/>
    <n v="17.23"/>
    <s v="11"/>
    <s v="6100"/>
    <n v="34318.95"/>
    <n v="17.23"/>
    <s v="CREDITOR"/>
    <n v="0"/>
    <n v="0"/>
    <n v="0"/>
    <n v="0"/>
    <n v="17.23"/>
  </r>
  <r>
    <n v="62309851"/>
    <s v="N"/>
    <n v="21330932"/>
    <s v="3000016300730003"/>
    <s v="CIVIL"/>
    <d v="2023-06-28T00:00:00"/>
    <d v="2023-07-05T19:01:47"/>
    <m/>
    <d v="2023-07-05T00:00:00"/>
    <n v="194"/>
    <n v="12447"/>
    <s v="62309851"/>
    <s v="62309851"/>
    <m/>
    <m/>
    <n v="22775378"/>
    <m/>
    <m/>
    <m/>
    <s v="SOLFIN"/>
    <s v="SOLFIN"/>
    <s v="CCMS"/>
    <n v="21330932"/>
    <n v="4181.19"/>
    <m/>
    <s v="N"/>
    <n v="27"/>
    <d v="2023-07-05T19:01:57"/>
    <s v="Y"/>
    <s v="Preparation - other"/>
    <s v="Prescribed Hourly Rates"/>
    <s v="Profit Cost"/>
    <s v="YR"/>
    <s v="Y"/>
    <n v="74.84"/>
    <n v="14.97"/>
    <x v="6"/>
    <s v="VALIDATED"/>
    <n v="1"/>
    <s v="01.11.80.302.6100.0000"/>
    <n v="74.84"/>
    <s v="11"/>
    <s v="6100"/>
    <n v="34318.95"/>
    <n v="74.84"/>
    <s v="CREDITOR"/>
    <n v="0"/>
    <n v="0"/>
    <n v="0"/>
    <n v="0"/>
    <n v="74.84"/>
  </r>
  <r>
    <n v="62309851"/>
    <s v="N"/>
    <n v="21330932"/>
    <s v="3000016300730003"/>
    <s v="CIVIL"/>
    <d v="2023-06-28T00:00:00"/>
    <d v="2023-07-05T19:01:47"/>
    <m/>
    <d v="2023-07-05T00:00:00"/>
    <n v="194"/>
    <n v="12447"/>
    <s v="62309851"/>
    <s v="62309851"/>
    <m/>
    <m/>
    <n v="22775378"/>
    <m/>
    <m/>
    <m/>
    <s v="SOLFIN"/>
    <s v="SOLFIN"/>
    <s v="CCMS"/>
    <n v="21330932"/>
    <n v="4181.19"/>
    <m/>
    <s v="N"/>
    <n v="32"/>
    <d v="2023-07-05T19:01:57"/>
    <s v="Y"/>
    <s v="Preparation - other"/>
    <s v="Prescribed Hourly Rates"/>
    <s v="Profit Cost"/>
    <s v="YR"/>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82"/>
    <d v="2023-07-04T19:00:48"/>
    <s v="Y"/>
    <s v="Preparation - other"/>
    <s v="Prescribed Hourly Rates"/>
    <s v="Profit Cost"/>
    <s v="FAH"/>
    <s v="Y"/>
    <n v="74.84"/>
    <n v="14.97"/>
    <x v="1"/>
    <s v="VALIDATED"/>
    <n v="1"/>
    <s v="01.11.80.302.6100.0000"/>
    <n v="74.84"/>
    <s v="11"/>
    <s v="6100"/>
    <n v="34318.95"/>
    <n v="74.84"/>
    <s v="CREDITOR"/>
    <n v="0"/>
    <n v="0"/>
    <n v="0"/>
    <n v="0"/>
    <n v="74.84"/>
  </r>
  <r>
    <n v="60678163"/>
    <s v="N"/>
    <n v="21327492"/>
    <s v="3000014928670004"/>
    <s v="CIVIL"/>
    <d v="2023-06-22T00:00:00"/>
    <d v="2023-07-04T19:00:44"/>
    <m/>
    <d v="2023-07-04T00:00:00"/>
    <n v="194"/>
    <n v="12447"/>
    <s v="60678163"/>
    <s v="60678163"/>
    <m/>
    <m/>
    <n v="22744814"/>
    <m/>
    <m/>
    <m/>
    <s v="SOLFIN"/>
    <s v="SOLFIN"/>
    <s v="CCMS"/>
    <n v="21327492"/>
    <n v="7348.42"/>
    <m/>
    <s v="N"/>
    <n v="74"/>
    <d v="2023-07-04T19:00:48"/>
    <s v="Y"/>
    <s v="Preparation - other"/>
    <s v="Prescribed Hourly Rates"/>
    <s v="Profit Cost"/>
    <s v="FAH"/>
    <s v="Y"/>
    <n v="41.58"/>
    <n v="8.32"/>
    <x v="1"/>
    <s v="VALIDATED"/>
    <n v="1"/>
    <s v="01.11.80.302.6100.0000"/>
    <n v="41.58"/>
    <s v="11"/>
    <s v="6100"/>
    <n v="34318.95"/>
    <n v="41.58"/>
    <s v="CREDITOR"/>
    <n v="0"/>
    <n v="0"/>
    <n v="0"/>
    <n v="0"/>
    <n v="41.58"/>
  </r>
  <r>
    <n v="61464958"/>
    <s v="N"/>
    <n v="21318984"/>
    <s v="3000015543270001"/>
    <s v="CIVIL"/>
    <d v="2023-06-23T00:00:00"/>
    <d v="2023-07-03T19:01:49"/>
    <m/>
    <d v="2023-07-03T00:00:00"/>
    <n v="194"/>
    <n v="12447"/>
    <s v="61464958"/>
    <s v="61464958"/>
    <m/>
    <m/>
    <n v="22755938"/>
    <m/>
    <m/>
    <m/>
    <s v="SOLFIN"/>
    <s v="SOLFIN"/>
    <s v="CCMS"/>
    <n v="21318984"/>
    <n v="2903.56"/>
    <m/>
    <s v="N"/>
    <n v="14"/>
    <d v="2023-07-03T19:02:05"/>
    <s v="Y"/>
    <s v="Attendance upon client"/>
    <s v="Prescribed Hourly Rates"/>
    <s v="Profit Cost"/>
    <s v="FA"/>
    <s v="Y"/>
    <n v="25.84"/>
    <n v="5.17"/>
    <x v="3"/>
    <s v="VALIDATED"/>
    <n v="1"/>
    <s v="01.11.80.307.6100.0000"/>
    <n v="25.84"/>
    <s v="11"/>
    <s v="6100"/>
    <n v="34318.95"/>
    <n v="25.84"/>
    <s v="CREDITOR"/>
    <n v="0"/>
    <n v="0"/>
    <n v="0"/>
    <n v="0"/>
    <n v="25.84"/>
  </r>
  <r>
    <n v="61130472"/>
    <s v="N"/>
    <n v="21382407"/>
    <s v="3000015317490003"/>
    <s v="CIVIL"/>
    <d v="2023-06-28T00:00:00"/>
    <d v="2023-07-17T19:01:46"/>
    <m/>
    <d v="2023-07-17T00:00:00"/>
    <n v="194"/>
    <n v="12447"/>
    <s v="61130472"/>
    <s v="61130472"/>
    <m/>
    <m/>
    <n v="22775508"/>
    <m/>
    <m/>
    <m/>
    <s v="SOLFIN"/>
    <s v="SOLFIN"/>
    <s v="CCMS"/>
    <n v="21382407"/>
    <n v="4109"/>
    <m/>
    <s v="N"/>
    <n v="37"/>
    <d v="2023-07-17T19:02:09"/>
    <s v="Y"/>
    <s v="Routine Letter Out"/>
    <s v="Prescribed Hourly Rates"/>
    <s v="Profit Cost"/>
    <s v="FAH"/>
    <s v="Y"/>
    <n v="226.8"/>
    <n v="45.36"/>
    <x v="8"/>
    <s v="VALIDATED"/>
    <n v="1"/>
    <s v="01.11.80.302.6100.0000"/>
    <n v="226.8"/>
    <s v="11"/>
    <s v="6100"/>
    <n v="34318.95"/>
    <n v="226.8"/>
    <s v="CREDITOR"/>
    <n v="0"/>
    <n v="0"/>
    <n v="0"/>
    <n v="0"/>
    <n v="226.8"/>
  </r>
  <r>
    <n v="61788720"/>
    <s v="N"/>
    <n v="21382042"/>
    <s v="3000015864570002"/>
    <s v="CIVIL"/>
    <d v="2023-06-28T00:00:00"/>
    <d v="2023-07-17T19:01:46"/>
    <m/>
    <d v="2023-07-17T00:00:00"/>
    <n v="194"/>
    <n v="12447"/>
    <s v="61788720"/>
    <s v="61788720"/>
    <m/>
    <m/>
    <n v="22781892"/>
    <m/>
    <m/>
    <m/>
    <s v="SOLFIN"/>
    <s v="SOLFIN"/>
    <s v="CCMS"/>
    <n v="21382042"/>
    <n v="4185.9"/>
    <m/>
    <s v="N"/>
    <n v="5"/>
    <d v="2023-07-17T19:02:00"/>
    <s v="Y"/>
    <s v="Preparation - other"/>
    <s v="Prescribed Hourly Rates"/>
    <s v="Profit Cost"/>
    <s v="AD"/>
    <s v="Y"/>
    <n v="83.16"/>
    <n v="16.63"/>
    <x v="8"/>
    <s v="VALIDATED"/>
    <n v="1"/>
    <s v="01.11.80.302.6100.0000"/>
    <n v="83.16"/>
    <s v="11"/>
    <s v="6100"/>
    <n v="34318.95"/>
    <n v="83.16"/>
    <s v="CREDITOR"/>
    <n v="0"/>
    <n v="0"/>
    <n v="0"/>
    <n v="0"/>
    <n v="83.16"/>
  </r>
  <r>
    <n v="61788720"/>
    <s v="N"/>
    <n v="21382042"/>
    <s v="3000015864570002"/>
    <s v="CIVIL"/>
    <d v="2023-06-28T00:00:00"/>
    <d v="2023-07-17T19:01:46"/>
    <m/>
    <d v="2023-07-17T00:00:00"/>
    <n v="194"/>
    <n v="12447"/>
    <s v="61788720"/>
    <s v="61788720"/>
    <m/>
    <m/>
    <n v="22781892"/>
    <m/>
    <m/>
    <m/>
    <s v="SOLFIN"/>
    <s v="SOLFIN"/>
    <s v="CCMS"/>
    <n v="21382042"/>
    <n v="4185.9"/>
    <m/>
    <s v="N"/>
    <n v="35"/>
    <d v="2023-07-17T19:02:00"/>
    <s v="Y"/>
    <s v="Preparation - other"/>
    <s v="Prescribed Hourly Rates"/>
    <s v="Profit Cost"/>
    <s v="FH"/>
    <s v="Y"/>
    <n v="124.74"/>
    <n v="24.95"/>
    <x v="8"/>
    <s v="VALIDATED"/>
    <n v="1"/>
    <s v="01.11.80.302.6100.0000"/>
    <n v="124.74"/>
    <s v="11"/>
    <s v="6100"/>
    <n v="34318.95"/>
    <n v="124.74"/>
    <s v="CREDITOR"/>
    <n v="0"/>
    <n v="0"/>
    <n v="0"/>
    <n v="0"/>
    <n v="124.74"/>
  </r>
  <r>
    <n v="61788720"/>
    <s v="N"/>
    <n v="21382042"/>
    <s v="3000015864570002"/>
    <s v="CIVIL"/>
    <d v="2023-06-28T00:00:00"/>
    <d v="2023-07-17T19:01:46"/>
    <m/>
    <d v="2023-07-17T00:00:00"/>
    <n v="194"/>
    <n v="12447"/>
    <s v="61788720"/>
    <s v="61788720"/>
    <m/>
    <m/>
    <n v="22781892"/>
    <m/>
    <m/>
    <m/>
    <s v="SOLFIN"/>
    <s v="SOLFIN"/>
    <s v="CCMS"/>
    <n v="21382042"/>
    <n v="4185.9"/>
    <m/>
    <s v="N"/>
    <n v="16"/>
    <d v="2023-07-17T19:02:00"/>
    <s v="Y"/>
    <s v="Preparation - other"/>
    <s v="Prescribed Hourly Rates"/>
    <s v="Profit Cost"/>
    <s v="FH"/>
    <s v="Y"/>
    <n v="58.21"/>
    <n v="11.64"/>
    <x v="8"/>
    <s v="VALIDATED"/>
    <n v="1"/>
    <s v="01.11.80.302.6100.0000"/>
    <n v="58.21"/>
    <s v="11"/>
    <s v="6100"/>
    <n v="34318.95"/>
    <n v="58.21"/>
    <s v="CREDITOR"/>
    <n v="0"/>
    <n v="0"/>
    <n v="0"/>
    <n v="0"/>
    <n v="58.21"/>
  </r>
  <r>
    <n v="60678163"/>
    <s v="N"/>
    <n v="21327492"/>
    <s v="3000014928670004"/>
    <s v="CIVIL"/>
    <d v="2023-06-22T00:00:00"/>
    <d v="2023-07-04T19:00:44"/>
    <m/>
    <d v="2023-07-04T00:00:00"/>
    <n v="194"/>
    <n v="12447"/>
    <s v="60678163"/>
    <s v="60678163"/>
    <m/>
    <m/>
    <n v="22744814"/>
    <m/>
    <m/>
    <m/>
    <s v="SOLFIN"/>
    <s v="SOLFIN"/>
    <s v="CCMS"/>
    <n v="21327492"/>
    <n v="7348.42"/>
    <m/>
    <s v="N"/>
    <n v="32"/>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54"/>
    <d v="2023-07-04T19:00:48"/>
    <s v="Y"/>
    <s v="Attendance upon client"/>
    <s v="Prescribed Hourly Rates"/>
    <s v="Profit Cost"/>
    <s v="FAH"/>
    <s v="Y"/>
    <n v="8.32"/>
    <n v="1.66"/>
    <x v="1"/>
    <s v="VALIDATED"/>
    <n v="1"/>
    <s v="01.11.80.302.6100.0000"/>
    <n v="8.32"/>
    <s v="11"/>
    <s v="6100"/>
    <n v="34318.95"/>
    <n v="8.32"/>
    <s v="CREDITOR"/>
    <n v="0"/>
    <n v="0"/>
    <n v="0"/>
    <n v="0"/>
    <n v="8.32"/>
  </r>
  <r>
    <n v="61307755"/>
    <s v="N"/>
    <n v="21319013"/>
    <s v="3000015464800002"/>
    <s v="CIVIL"/>
    <d v="2023-06-17T00:00:00"/>
    <d v="2023-07-03T19:01:49"/>
    <m/>
    <d v="2023-07-03T00:00:00"/>
    <n v="194"/>
    <n v="12447"/>
    <s v="61307755"/>
    <s v="61307755"/>
    <m/>
    <m/>
    <n v="22710372"/>
    <m/>
    <m/>
    <m/>
    <s v="SOLFIN"/>
    <s v="SOLFIN"/>
    <s v="CCMS"/>
    <n v="21319013"/>
    <n v="829.6"/>
    <m/>
    <s v="N"/>
    <n v="1"/>
    <d v="2023-07-03T19:02:07"/>
    <s v="Y"/>
    <s v="Process server"/>
    <s v="Domestic Abuse"/>
    <s v="Expert Disbursement"/>
    <s v="fa"/>
    <s v="Y"/>
    <n v="100"/>
    <n v="0"/>
    <x v="3"/>
    <s v="VALIDATED"/>
    <n v="1"/>
    <s v="01.11.80.302.6300.0000"/>
    <n v="100"/>
    <s v="11"/>
    <s v="6300"/>
    <n v="34318.95"/>
    <n v="100"/>
    <s v="CREDITOR"/>
    <n v="0"/>
    <n v="0"/>
    <n v="0"/>
    <n v="0"/>
    <n v="100"/>
  </r>
  <r>
    <n v="61464958"/>
    <s v="N"/>
    <n v="21318984"/>
    <s v="3000015543270001"/>
    <s v="CIVIL"/>
    <d v="2023-06-23T00:00:00"/>
    <d v="2023-07-03T19:01:49"/>
    <m/>
    <d v="2023-07-03T00:00:00"/>
    <n v="194"/>
    <n v="12447"/>
    <s v="61464958"/>
    <s v="61464958"/>
    <m/>
    <m/>
    <n v="22755938"/>
    <m/>
    <m/>
    <m/>
    <s v="SOLFIN"/>
    <s v="SOLFIN"/>
    <s v="CCMS"/>
    <n v="21318984"/>
    <n v="2903.56"/>
    <m/>
    <s v="N"/>
    <n v="28"/>
    <d v="2023-07-03T19:02:05"/>
    <s v="Y"/>
    <s v="Preparation - other"/>
    <s v="Prescribed Hourly Rates"/>
    <s v="Profit Cost"/>
    <s v="FA"/>
    <s v="Y"/>
    <n v="8.609999999999999"/>
    <n v="1.72"/>
    <x v="3"/>
    <s v="VALIDATED"/>
    <n v="1"/>
    <s v="01.11.80.307.6100.0000"/>
    <n v="8.609999999999999"/>
    <s v="11"/>
    <s v="6100"/>
    <n v="34318.95"/>
    <n v="8.609999999999999"/>
    <s v="CREDITOR"/>
    <n v="0"/>
    <n v="0"/>
    <n v="0"/>
    <n v="0"/>
    <n v="8.609999999999999"/>
  </r>
  <r>
    <n v="61080230"/>
    <s v="N"/>
    <n v="21330559"/>
    <s v="3000015275730002"/>
    <s v="CIVIL"/>
    <d v="2023-06-23T00:00:00"/>
    <d v="2023-07-05T19:01:47"/>
    <m/>
    <d v="2023-07-05T00:00:00"/>
    <n v="194"/>
    <n v="12447"/>
    <s v="61080230"/>
    <s v="61080230"/>
    <m/>
    <m/>
    <n v="22755936"/>
    <m/>
    <m/>
    <m/>
    <s v="SOLFIN"/>
    <s v="SOLFIN"/>
    <s v="CCMS"/>
    <n v="21330559"/>
    <n v="3599.14"/>
    <m/>
    <s v="N"/>
    <n v="45"/>
    <d v="2023-07-05T19:01:51"/>
    <s v="Y"/>
    <s v="Preparation - other"/>
    <s v="Prescribed Hourly Rates"/>
    <s v="Profit Cost"/>
    <s v="DF1"/>
    <s v="Y"/>
    <n v="49.9"/>
    <n v="9.98"/>
    <x v="6"/>
    <s v="VALIDATED"/>
    <n v="1"/>
    <s v="01.11.80.302.6100.0000"/>
    <n v="49.9"/>
    <s v="11"/>
    <s v="6100"/>
    <n v="34318.95"/>
    <n v="49.9"/>
    <s v="CREDITOR"/>
    <n v="0"/>
    <n v="0"/>
    <n v="0"/>
    <n v="0"/>
    <n v="49.9"/>
  </r>
  <r>
    <n v="62260478"/>
    <s v="N"/>
    <n v="21330952"/>
    <s v="3000016258320003"/>
    <s v="CIVIL"/>
    <d v="2023-06-28T00:00:00"/>
    <d v="2023-07-05T19:01:47"/>
    <m/>
    <d v="2023-07-05T00:00:00"/>
    <n v="194"/>
    <n v="12447"/>
    <s v="62260478"/>
    <s v="62260478"/>
    <m/>
    <m/>
    <n v="22775374"/>
    <m/>
    <m/>
    <m/>
    <s v="SOLFIN"/>
    <s v="SOLFIN"/>
    <s v="CCMS"/>
    <n v="21330952"/>
    <n v="3936.68"/>
    <m/>
    <s v="N"/>
    <n v="47"/>
    <d v="2023-07-05T19:01:59"/>
    <s v="Y"/>
    <s v="Preparation - other"/>
    <s v="Prescribed Hourly Rates"/>
    <s v="Profit Cost"/>
    <s v="DB"/>
    <s v="Y"/>
    <n v="91.48"/>
    <n v="18.29"/>
    <x v="6"/>
    <s v="VALIDATED"/>
    <n v="1"/>
    <s v="01.11.80.302.6100.0000"/>
    <n v="91.48"/>
    <s v="11"/>
    <s v="6100"/>
    <n v="34318.95"/>
    <n v="91.48"/>
    <s v="CREDITOR"/>
    <n v="0"/>
    <n v="0"/>
    <n v="0"/>
    <n v="0"/>
    <n v="91.48"/>
  </r>
  <r>
    <n v="62260478"/>
    <s v="N"/>
    <n v="21330952"/>
    <s v="3000016258320003"/>
    <s v="CIVIL"/>
    <d v="2023-06-28T00:00:00"/>
    <d v="2023-07-05T19:01:47"/>
    <m/>
    <d v="2023-07-05T00:00:00"/>
    <n v="194"/>
    <n v="12447"/>
    <s v="62260478"/>
    <s v="62260478"/>
    <m/>
    <m/>
    <n v="22775374"/>
    <m/>
    <m/>
    <m/>
    <s v="SOLFIN"/>
    <s v="SOLFIN"/>
    <s v="CCMS"/>
    <n v="21330952"/>
    <n v="3936.68"/>
    <m/>
    <s v="N"/>
    <n v="5"/>
    <d v="2023-07-05T19:01:59"/>
    <s v="Y"/>
    <s v="Preparation - other"/>
    <s v="Prescribed Hourly Rates"/>
    <s v="Profit Cost"/>
    <s v="QS"/>
    <s v="Y"/>
    <n v="58.21"/>
    <n v="11.64"/>
    <x v="6"/>
    <s v="VALIDATED"/>
    <n v="1"/>
    <s v="01.11.80.302.6100.0000"/>
    <n v="58.21"/>
    <s v="11"/>
    <s v="6100"/>
    <n v="34318.95"/>
    <n v="58.21"/>
    <s v="CREDITOR"/>
    <n v="0"/>
    <n v="0"/>
    <n v="0"/>
    <n v="0"/>
    <n v="58.21"/>
  </r>
  <r>
    <n v="60678163"/>
    <s v="N"/>
    <n v="21327492"/>
    <s v="3000014928670004"/>
    <s v="CIVIL"/>
    <d v="2023-06-22T00:00:00"/>
    <d v="2023-07-04T19:00:44"/>
    <m/>
    <d v="2023-07-04T00:00:00"/>
    <n v="194"/>
    <n v="12447"/>
    <s v="60678163"/>
    <s v="60678163"/>
    <m/>
    <m/>
    <n v="22744814"/>
    <m/>
    <m/>
    <m/>
    <s v="SOLFIN"/>
    <s v="SOLFIN"/>
    <s v="CCMS"/>
    <n v="21327492"/>
    <n v="7348.42"/>
    <m/>
    <s v="N"/>
    <n v="20"/>
    <d v="2023-07-04T19:00:48"/>
    <s v="Y"/>
    <s v="Preparation - other"/>
    <s v="Prescribed Hourly Rates"/>
    <s v="Profit Cost"/>
    <s v="NAB"/>
    <s v="Y"/>
    <n v="16.63"/>
    <n v="3.33"/>
    <x v="1"/>
    <s v="VALIDATED"/>
    <n v="1"/>
    <s v="01.11.80.302.6100.0000"/>
    <n v="16.63"/>
    <s v="11"/>
    <s v="6100"/>
    <n v="34318.95"/>
    <n v="16.63"/>
    <s v="CREDITOR"/>
    <n v="0"/>
    <n v="0"/>
    <n v="0"/>
    <n v="0"/>
    <n v="16.63"/>
  </r>
  <r>
    <n v="61130472"/>
    <s v="N"/>
    <n v="21382407"/>
    <s v="3000015317490003"/>
    <s v="CIVIL"/>
    <d v="2023-06-28T00:00:00"/>
    <d v="2023-07-17T19:01:46"/>
    <m/>
    <d v="2023-07-17T00:00:00"/>
    <n v="194"/>
    <n v="12447"/>
    <s v="61130472"/>
    <s v="61130472"/>
    <m/>
    <m/>
    <n v="22775508"/>
    <m/>
    <m/>
    <m/>
    <s v="SOLFIN"/>
    <s v="SOLFIN"/>
    <s v="CCMS"/>
    <n v="21382407"/>
    <n v="4109"/>
    <m/>
    <s v="N"/>
    <n v="4"/>
    <d v="2023-07-17T19:02:09"/>
    <s v="N"/>
    <s v="Level 4 Fixed Fee"/>
    <s v="Domestic Abuse"/>
    <s v="Profit Cost"/>
    <s v="XXX"/>
    <s v="N"/>
    <n v="0"/>
    <n v="0"/>
    <x v="8"/>
    <s v="VALIDATED"/>
    <n v="1"/>
    <s v="01.11.80.302.6100.0000"/>
    <n v="0"/>
    <s v="11"/>
    <s v="6100"/>
    <n v="34318.95"/>
    <n v="0"/>
    <s v="CREDITOR"/>
    <n v="0"/>
    <n v="0"/>
    <n v="0"/>
    <n v="0"/>
    <n v="0"/>
  </r>
  <r>
    <n v="61135216"/>
    <s v="N"/>
    <n v="21338535"/>
    <s v="3000015321310006"/>
    <s v="CIVIL"/>
    <d v="2023-06-27T00:00:00"/>
    <d v="2023-07-06T19:21:01"/>
    <m/>
    <d v="2023-07-06T00:00:00"/>
    <n v="194"/>
    <n v="12447"/>
    <s v="61135216"/>
    <s v="61135216"/>
    <m/>
    <m/>
    <n v="22768568"/>
    <m/>
    <m/>
    <m/>
    <s v="SOLFIN"/>
    <s v="SOLFIN"/>
    <s v="CCMS"/>
    <n v="21338535"/>
    <n v="3821.9"/>
    <m/>
    <s v="N"/>
    <n v="2"/>
    <d v="2023-07-06T19:21:28"/>
    <s v="Y"/>
    <s v="Police Records"/>
    <s v="Domestic Abuse"/>
    <s v="Non Expert Disbursement"/>
    <s v="KK"/>
    <s v="Y"/>
    <n v="2507.7"/>
    <n v="0"/>
    <x v="4"/>
    <s v="VALIDATED"/>
    <n v="1"/>
    <s v="01.11.80.302.6300.0000"/>
    <n v="2507.7"/>
    <s v="11"/>
    <s v="6300"/>
    <n v="34318.95"/>
    <n v="2507.7"/>
    <s v="CREDITOR"/>
    <n v="0"/>
    <n v="0"/>
    <n v="0"/>
    <n v="0"/>
    <n v="2507.7"/>
  </r>
  <r>
    <n v="62309851"/>
    <s v="N"/>
    <n v="21330932"/>
    <s v="3000016300730003"/>
    <s v="CIVIL"/>
    <d v="2023-06-28T00:00:00"/>
    <d v="2023-07-05T19:01:47"/>
    <m/>
    <d v="2023-07-05T00:00:00"/>
    <n v="194"/>
    <n v="12447"/>
    <s v="62309851"/>
    <s v="62309851"/>
    <m/>
    <m/>
    <n v="22775378"/>
    <m/>
    <m/>
    <m/>
    <s v="SOLFIN"/>
    <s v="SOLFIN"/>
    <s v="CCMS"/>
    <n v="21330932"/>
    <n v="4181.19"/>
    <m/>
    <s v="N"/>
    <n v="29"/>
    <d v="2023-07-05T19:01:57"/>
    <s v="Y"/>
    <s v="Preparation - other"/>
    <s v="Prescribed Hourly Rates"/>
    <s v="Profit Cost"/>
    <s v="YR"/>
    <s v="Y"/>
    <n v="49.9"/>
    <n v="9.98"/>
    <x v="6"/>
    <s v="VALIDATED"/>
    <n v="1"/>
    <s v="01.11.80.302.6100.0000"/>
    <n v="49.9"/>
    <s v="11"/>
    <s v="6100"/>
    <n v="34318.95"/>
    <n v="49.9"/>
    <s v="CREDITOR"/>
    <n v="0"/>
    <n v="0"/>
    <n v="0"/>
    <n v="0"/>
    <n v="49.9"/>
  </r>
  <r>
    <n v="62260478"/>
    <s v="N"/>
    <n v="21330952"/>
    <s v="3000016258320003"/>
    <s v="CIVIL"/>
    <d v="2023-06-28T00:00:00"/>
    <d v="2023-07-05T19:01:47"/>
    <m/>
    <d v="2023-07-05T00:00:00"/>
    <n v="194"/>
    <n v="12447"/>
    <s v="62260478"/>
    <s v="62260478"/>
    <m/>
    <m/>
    <n v="22775374"/>
    <m/>
    <m/>
    <m/>
    <s v="SOLFIN"/>
    <s v="SOLFIN"/>
    <s v="CCMS"/>
    <n v="21330952"/>
    <n v="3936.68"/>
    <m/>
    <s v="N"/>
    <n v="30"/>
    <d v="2023-07-05T19:01:59"/>
    <s v="Y"/>
    <s v="Preparation - other"/>
    <s v="Prescribed Hourly Rates"/>
    <s v="Profit Cost"/>
    <s v="DB"/>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88"/>
    <d v="2023-07-04T19:00:48"/>
    <s v="Y"/>
    <s v="Preparation - other"/>
    <s v="Prescribed Hourly Rates"/>
    <s v="Profit Cost"/>
    <s v="FAH"/>
    <s v="Y"/>
    <n v="83.16"/>
    <n v="16.63"/>
    <x v="1"/>
    <s v="VALIDATED"/>
    <n v="1"/>
    <s v="01.11.80.302.6100.0000"/>
    <n v="83.16"/>
    <s v="11"/>
    <s v="6100"/>
    <n v="34318.95"/>
    <n v="83.16"/>
    <s v="CREDITOR"/>
    <n v="0"/>
    <n v="0"/>
    <n v="0"/>
    <n v="0"/>
    <n v="83.16"/>
  </r>
  <r>
    <n v="61080230"/>
    <s v="N"/>
    <n v="21330559"/>
    <s v="3000015275730002"/>
    <s v="CIVIL"/>
    <d v="2023-06-23T00:00:00"/>
    <d v="2023-07-05T19:01:47"/>
    <m/>
    <d v="2023-07-05T00:00:00"/>
    <n v="194"/>
    <n v="12447"/>
    <s v="61080230"/>
    <s v="61080230"/>
    <m/>
    <m/>
    <n v="22755936"/>
    <m/>
    <m/>
    <m/>
    <s v="SOLFIN"/>
    <s v="SOLFIN"/>
    <s v="CCMS"/>
    <n v="21330559"/>
    <n v="3599.14"/>
    <m/>
    <s v="N"/>
    <n v="1"/>
    <d v="2023-07-05T19:01:51"/>
    <s v="Y"/>
    <s v="Enquiry Agent"/>
    <s v="Prescribed Hourly Rates"/>
    <s v="Expert Disbursement"/>
    <s v="XXX"/>
    <s v="Y"/>
    <n v="100"/>
    <n v="20"/>
    <x v="6"/>
    <s v="VALIDATED"/>
    <n v="1"/>
    <s v="01.11.80.302.6300.0000"/>
    <n v="100"/>
    <s v="11"/>
    <s v="6300"/>
    <n v="34318.95"/>
    <n v="100"/>
    <s v="CREDITOR"/>
    <n v="0"/>
    <n v="0"/>
    <n v="0"/>
    <n v="0"/>
    <n v="100"/>
  </r>
  <r>
    <n v="61788720"/>
    <s v="N"/>
    <n v="21382042"/>
    <s v="3000015864570002"/>
    <s v="CIVIL"/>
    <d v="2023-06-28T00:00:00"/>
    <d v="2023-07-17T19:01:46"/>
    <m/>
    <d v="2023-07-17T00:00:00"/>
    <n v="194"/>
    <n v="12447"/>
    <s v="61788720"/>
    <s v="61788720"/>
    <m/>
    <m/>
    <n v="22781892"/>
    <m/>
    <m/>
    <m/>
    <s v="SOLFIN"/>
    <s v="SOLFIN"/>
    <s v="CCMS"/>
    <n v="21382042"/>
    <n v="4185.9"/>
    <m/>
    <s v="N"/>
    <n v="10"/>
    <d v="2023-07-17T19:02:00"/>
    <s v="Y"/>
    <s v="Preparation - other"/>
    <s v="Prescribed Hourly Rates"/>
    <s v="Profit Cost"/>
    <s v="FH"/>
    <s v="Y"/>
    <n v="83.16"/>
    <n v="16.63"/>
    <x v="8"/>
    <s v="VALIDATED"/>
    <n v="1"/>
    <s v="01.11.80.302.6100.0000"/>
    <n v="83.16"/>
    <s v="11"/>
    <s v="6100"/>
    <n v="34318.95"/>
    <n v="83.16"/>
    <s v="CREDITOR"/>
    <n v="0"/>
    <n v="0"/>
    <n v="0"/>
    <n v="0"/>
    <n v="83.16"/>
  </r>
  <r>
    <n v="61135216"/>
    <s v="N"/>
    <n v="21338535"/>
    <s v="3000015321310006"/>
    <s v="CIVIL"/>
    <d v="2023-06-27T00:00:00"/>
    <d v="2023-07-06T19:21:01"/>
    <m/>
    <d v="2023-07-06T00:00:00"/>
    <n v="194"/>
    <n v="12447"/>
    <s v="61135216"/>
    <s v="61135216"/>
    <m/>
    <m/>
    <n v="22768568"/>
    <m/>
    <m/>
    <m/>
    <s v="SOLFIN"/>
    <s v="SOLFIN"/>
    <s v="CCMS"/>
    <n v="21338535"/>
    <n v="3821.9"/>
    <m/>
    <s v="N"/>
    <n v="4"/>
    <d v="2023-07-06T19:21:28"/>
    <s v="Y"/>
    <s v="Level 4 Fixed Fee"/>
    <s v="Domestic Abuse"/>
    <s v="Profit Cost"/>
    <s v="KK"/>
    <s v="Y"/>
    <n v="608"/>
    <n v="121.6"/>
    <x v="4"/>
    <s v="VALIDATED"/>
    <n v="1"/>
    <s v="01.11.80.302.6100.0000"/>
    <n v="608"/>
    <s v="11"/>
    <s v="6100"/>
    <n v="34318.95"/>
    <n v="608"/>
    <s v="CREDITOR"/>
    <n v="0"/>
    <n v="0"/>
    <n v="0"/>
    <n v="0"/>
    <n v="608"/>
  </r>
  <r>
    <n v="61080230"/>
    <s v="N"/>
    <n v="21330559"/>
    <s v="3000015275730002"/>
    <s v="CIVIL"/>
    <d v="2023-06-23T00:00:00"/>
    <d v="2023-07-05T19:01:47"/>
    <m/>
    <d v="2023-07-05T00:00:00"/>
    <n v="194"/>
    <n v="12447"/>
    <s v="61080230"/>
    <s v="61080230"/>
    <m/>
    <m/>
    <n v="22755936"/>
    <m/>
    <m/>
    <m/>
    <s v="SOLFIN"/>
    <s v="SOLFIN"/>
    <s v="CCMS"/>
    <n v="21330559"/>
    <n v="3599.14"/>
    <m/>
    <s v="N"/>
    <n v="16"/>
    <d v="2023-07-05T19:01:51"/>
    <s v="Y"/>
    <s v="Preparation - other"/>
    <s v="Prescribed Hourly Rates"/>
    <s v="Profit Cost"/>
    <s v="DF1"/>
    <s v="Y"/>
    <n v="16.63"/>
    <n v="3.33"/>
    <x v="6"/>
    <s v="VALIDATED"/>
    <n v="1"/>
    <s v="01.11.80.302.6100.0000"/>
    <n v="16.63"/>
    <s v="11"/>
    <s v="6100"/>
    <n v="34318.95"/>
    <n v="16.63"/>
    <s v="CREDITOR"/>
    <n v="0"/>
    <n v="0"/>
    <n v="0"/>
    <n v="0"/>
    <n v="16.63"/>
  </r>
  <r>
    <n v="61080230"/>
    <s v="N"/>
    <n v="21330559"/>
    <s v="3000015275730002"/>
    <s v="CIVIL"/>
    <d v="2023-06-23T00:00:00"/>
    <d v="2023-07-05T19:01:47"/>
    <m/>
    <d v="2023-07-05T00:00:00"/>
    <n v="194"/>
    <n v="12447"/>
    <s v="61080230"/>
    <s v="61080230"/>
    <m/>
    <m/>
    <n v="22755936"/>
    <m/>
    <m/>
    <m/>
    <s v="SOLFIN"/>
    <s v="SOLFIN"/>
    <s v="CCMS"/>
    <n v="21330559"/>
    <n v="3599.14"/>
    <m/>
    <s v="N"/>
    <n v="44"/>
    <d v="2023-07-05T19:01:51"/>
    <s v="Y"/>
    <s v="Preparation - other"/>
    <s v="Prescribed Hourly Rates"/>
    <s v="Profit Cost"/>
    <s v="DF1"/>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3"/>
    <d v="2023-07-05T19:01:57"/>
    <s v="Y"/>
    <s v="Enquiry Agent"/>
    <s v="Prescribed Hourly Rates"/>
    <s v="Expert Disbursement"/>
    <s v="XXX"/>
    <s v="Y"/>
    <n v="100"/>
    <n v="20"/>
    <x v="6"/>
    <s v="VALIDATED"/>
    <n v="1"/>
    <s v="01.11.80.302.6300.0000"/>
    <n v="100"/>
    <s v="11"/>
    <s v="6300"/>
    <n v="34318.95"/>
    <n v="100"/>
    <s v="CREDITOR"/>
    <n v="0"/>
    <n v="0"/>
    <n v="0"/>
    <n v="0"/>
    <n v="100"/>
  </r>
  <r>
    <n v="62260478"/>
    <s v="N"/>
    <n v="21330952"/>
    <s v="3000016258320003"/>
    <s v="CIVIL"/>
    <d v="2023-06-28T00:00:00"/>
    <d v="2023-07-05T19:01:47"/>
    <m/>
    <d v="2023-07-05T00:00:00"/>
    <n v="194"/>
    <n v="12447"/>
    <s v="62260478"/>
    <s v="62260478"/>
    <m/>
    <m/>
    <n v="22775374"/>
    <m/>
    <m/>
    <m/>
    <s v="SOLFIN"/>
    <s v="SOLFIN"/>
    <s v="CCMS"/>
    <n v="21330952"/>
    <n v="3936.68"/>
    <m/>
    <s v="N"/>
    <n v="8"/>
    <d v="2023-07-05T19:01:59"/>
    <s v="Y"/>
    <s v="Preparation - other"/>
    <s v="Prescribed Hourly Rates"/>
    <s v="Profit Cost"/>
    <s v="QS"/>
    <s v="Y"/>
    <n v="83.16"/>
    <n v="16.63"/>
    <x v="6"/>
    <s v="VALIDATED"/>
    <n v="1"/>
    <s v="01.11.80.302.6100.0000"/>
    <n v="83.16"/>
    <s v="11"/>
    <s v="6100"/>
    <n v="34318.95"/>
    <n v="83.16"/>
    <s v="CREDITOR"/>
    <n v="0"/>
    <n v="0"/>
    <n v="0"/>
    <n v="0"/>
    <n v="83.16"/>
  </r>
  <r>
    <n v="62309851"/>
    <s v="N"/>
    <n v="21330932"/>
    <s v="3000016300730003"/>
    <s v="CIVIL"/>
    <d v="2023-06-28T00:00:00"/>
    <d v="2023-07-05T19:01:47"/>
    <m/>
    <d v="2023-07-05T00:00:00"/>
    <n v="194"/>
    <n v="12447"/>
    <s v="62309851"/>
    <s v="62309851"/>
    <m/>
    <m/>
    <n v="22775378"/>
    <m/>
    <m/>
    <m/>
    <s v="SOLFIN"/>
    <s v="SOLFIN"/>
    <s v="CCMS"/>
    <n v="21330932"/>
    <n v="4181.19"/>
    <m/>
    <s v="N"/>
    <n v="51"/>
    <d v="2023-07-05T19:01:57"/>
    <s v="Y"/>
    <s v="Preparation - other"/>
    <s v="Prescribed Hourly Rates"/>
    <s v="Profit Cost"/>
    <s v="YR"/>
    <s v="Y"/>
    <n v="49.9"/>
    <n v="9.98"/>
    <x v="6"/>
    <s v="VALIDATED"/>
    <n v="1"/>
    <s v="01.11.80.302.6100.0000"/>
    <n v="49.9"/>
    <s v="11"/>
    <s v="6100"/>
    <n v="34318.95"/>
    <n v="49.9"/>
    <s v="CREDITOR"/>
    <n v="0"/>
    <n v="0"/>
    <n v="0"/>
    <n v="0"/>
    <n v="49.9"/>
  </r>
  <r>
    <n v="60678163"/>
    <s v="N"/>
    <n v="21327492"/>
    <s v="3000014928670004"/>
    <s v="CIVIL"/>
    <d v="2023-06-22T00:00:00"/>
    <d v="2023-07-04T19:00:44"/>
    <m/>
    <d v="2023-07-04T00:00:00"/>
    <n v="194"/>
    <n v="12447"/>
    <s v="60678163"/>
    <s v="60678163"/>
    <m/>
    <m/>
    <n v="22744814"/>
    <m/>
    <m/>
    <m/>
    <s v="SOLFIN"/>
    <s v="SOLFIN"/>
    <s v="CCMS"/>
    <n v="21327492"/>
    <n v="7348.42"/>
    <m/>
    <s v="N"/>
    <n v="52"/>
    <d v="2023-07-04T19:00:48"/>
    <s v="Y"/>
    <s v="Attendance upon client"/>
    <s v="Prescribed Hourly Rates"/>
    <s v="Profit Cost"/>
    <s v="FAH"/>
    <s v="Y"/>
    <n v="16.63"/>
    <n v="3.33"/>
    <x v="1"/>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7"/>
    <d v="2023-07-04T19:00:48"/>
    <s v="Y"/>
    <s v="Hearing Unit 0.00 - 1.00 Hours"/>
    <s v="Domestic Abuse"/>
    <s v="Advocacy"/>
    <s v="NAB"/>
    <s v="Y"/>
    <n v="81.5"/>
    <n v="16.3"/>
    <x v="1"/>
    <s v="VALIDATED"/>
    <n v="1"/>
    <s v="01.11.80.302.6100.0000"/>
    <n v="81.5"/>
    <s v="11"/>
    <s v="6100"/>
    <n v="34318.95"/>
    <n v="81.5"/>
    <s v="CREDITOR"/>
    <n v="0"/>
    <n v="0"/>
    <n v="0"/>
    <n v="0"/>
    <n v="81.5"/>
  </r>
  <r>
    <n v="61130472"/>
    <s v="N"/>
    <n v="21382407"/>
    <s v="3000015317490003"/>
    <s v="CIVIL"/>
    <d v="2023-06-28T00:00:00"/>
    <d v="2023-07-17T19:01:46"/>
    <m/>
    <d v="2023-07-17T00:00:00"/>
    <n v="194"/>
    <n v="12447"/>
    <s v="61130472"/>
    <s v="61130472"/>
    <m/>
    <m/>
    <n v="22775508"/>
    <m/>
    <m/>
    <m/>
    <s v="SOLFIN"/>
    <s v="SOLFIN"/>
    <s v="CCMS"/>
    <n v="21382407"/>
    <n v="4109"/>
    <m/>
    <s v="N"/>
    <n v="20"/>
    <d v="2023-07-17T19:02:09"/>
    <s v="Y"/>
    <s v="Preparation - other"/>
    <s v="Prescribed Hourly Rates"/>
    <s v="Profit Cost"/>
    <s v="FAH"/>
    <s v="Y"/>
    <n v="8.32"/>
    <n v="1.66"/>
    <x v="8"/>
    <s v="VALIDATED"/>
    <n v="1"/>
    <s v="01.11.80.302.6100.0000"/>
    <n v="8.32"/>
    <s v="11"/>
    <s v="6100"/>
    <n v="34318.95"/>
    <n v="8.32"/>
    <s v="CREDITOR"/>
    <n v="0"/>
    <n v="0"/>
    <n v="0"/>
    <n v="0"/>
    <n v="8.32"/>
  </r>
  <r>
    <n v="61788720"/>
    <s v="N"/>
    <n v="21382042"/>
    <s v="3000015864570002"/>
    <s v="CIVIL"/>
    <d v="2023-06-28T00:00:00"/>
    <d v="2023-07-17T19:01:46"/>
    <m/>
    <d v="2023-07-17T00:00:00"/>
    <n v="194"/>
    <n v="12447"/>
    <s v="61788720"/>
    <s v="61788720"/>
    <m/>
    <m/>
    <n v="22781892"/>
    <m/>
    <m/>
    <m/>
    <s v="SOLFIN"/>
    <s v="SOLFIN"/>
    <s v="CCMS"/>
    <n v="21382042"/>
    <n v="4185.9"/>
    <m/>
    <s v="N"/>
    <n v="36"/>
    <d v="2023-07-17T19:02:00"/>
    <s v="Y"/>
    <s v="Preparation - other"/>
    <s v="Prescribed Hourly Rates"/>
    <s v="Profit Cost"/>
    <s v="FH"/>
    <s v="Y"/>
    <n v="141.37"/>
    <n v="28.27"/>
    <x v="8"/>
    <s v="VALIDATED"/>
    <n v="1"/>
    <s v="01.11.80.302.6100.0000"/>
    <n v="141.37"/>
    <s v="11"/>
    <s v="6100"/>
    <n v="34318.95"/>
    <n v="141.37"/>
    <s v="CREDITOR"/>
    <n v="0"/>
    <n v="0"/>
    <n v="0"/>
    <n v="0"/>
    <n v="141.37"/>
  </r>
  <r>
    <n v="62309851"/>
    <s v="N"/>
    <n v="21330932"/>
    <s v="3000016300730003"/>
    <s v="CIVIL"/>
    <d v="2023-06-28T00:00:00"/>
    <d v="2023-07-05T19:01:47"/>
    <m/>
    <d v="2023-07-05T00:00:00"/>
    <n v="194"/>
    <n v="12447"/>
    <s v="62309851"/>
    <s v="62309851"/>
    <m/>
    <m/>
    <n v="22775378"/>
    <m/>
    <m/>
    <m/>
    <s v="SOLFIN"/>
    <s v="SOLFIN"/>
    <s v="CCMS"/>
    <n v="21330932"/>
    <n v="4181.19"/>
    <m/>
    <s v="N"/>
    <n v="21"/>
    <d v="2023-07-05T19:01:57"/>
    <s v="Y"/>
    <s v="Preparation - other"/>
    <s v="Prescribed Hourly Rates"/>
    <s v="Profit Cost"/>
    <s v="YR"/>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9"/>
    <d v="2023-07-05T19:01:57"/>
    <s v="Y"/>
    <s v="Preparation - other"/>
    <s v="Prescribed Hourly Rates"/>
    <s v="Profit Cost"/>
    <s v="SP"/>
    <s v="Y"/>
    <n v="66.53"/>
    <n v="13.31"/>
    <x v="6"/>
    <s v="VALIDATED"/>
    <n v="1"/>
    <s v="01.11.80.302.6100.0000"/>
    <n v="66.53"/>
    <s v="11"/>
    <s v="6100"/>
    <n v="34318.95"/>
    <n v="66.53"/>
    <s v="CREDITOR"/>
    <n v="0"/>
    <n v="0"/>
    <n v="0"/>
    <n v="0"/>
    <n v="66.53"/>
  </r>
  <r>
    <n v="62260478"/>
    <s v="N"/>
    <n v="21330952"/>
    <s v="3000016258320003"/>
    <s v="CIVIL"/>
    <d v="2023-06-28T00:00:00"/>
    <d v="2023-07-05T19:01:47"/>
    <m/>
    <d v="2023-07-05T00:00:00"/>
    <n v="194"/>
    <n v="12447"/>
    <s v="62260478"/>
    <s v="62260478"/>
    <m/>
    <m/>
    <n v="22775374"/>
    <m/>
    <m/>
    <m/>
    <s v="SOLFIN"/>
    <s v="SOLFIN"/>
    <s v="CCMS"/>
    <n v="21330952"/>
    <n v="3936.68"/>
    <m/>
    <s v="N"/>
    <n v="7"/>
    <d v="2023-07-05T19:01:59"/>
    <s v="Y"/>
    <s v="Preparation - other"/>
    <s v="Prescribed Hourly Rates"/>
    <s v="Profit Cost"/>
    <s v="QS"/>
    <s v="Y"/>
    <n v="74.84"/>
    <n v="14.97"/>
    <x v="6"/>
    <s v="VALIDATED"/>
    <n v="1"/>
    <s v="01.11.80.302.6100.0000"/>
    <n v="74.84"/>
    <s v="11"/>
    <s v="6100"/>
    <n v="34318.95"/>
    <n v="74.84"/>
    <s v="CREDITOR"/>
    <n v="0"/>
    <n v="0"/>
    <n v="0"/>
    <n v="0"/>
    <n v="74.84"/>
  </r>
  <r>
    <n v="61788720"/>
    <s v="N"/>
    <n v="21382042"/>
    <s v="3000015864570002"/>
    <s v="CIVIL"/>
    <d v="2023-06-28T00:00:00"/>
    <d v="2023-07-17T19:01:46"/>
    <m/>
    <d v="2023-07-17T00:00:00"/>
    <n v="194"/>
    <n v="12447"/>
    <s v="61788720"/>
    <s v="61788720"/>
    <m/>
    <m/>
    <n v="22781892"/>
    <m/>
    <m/>
    <m/>
    <s v="SOLFIN"/>
    <s v="SOLFIN"/>
    <s v="CCMS"/>
    <n v="21382042"/>
    <n v="4185.9"/>
    <m/>
    <s v="N"/>
    <n v="8"/>
    <d v="2023-07-17T19:02:00"/>
    <s v="Y"/>
    <s v="Preparation - other"/>
    <s v="Prescribed Hourly Rates"/>
    <s v="Profit Cost"/>
    <s v="AD"/>
    <s v="Y"/>
    <n v="83.16"/>
    <n v="16.63"/>
    <x v="8"/>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67"/>
    <d v="2023-07-05T19:01:59"/>
    <s v="Y"/>
    <s v="Preparation - other"/>
    <s v="Prescribed Hourly Rates"/>
    <s v="Profit Cost"/>
    <s v="DB"/>
    <s v="Y"/>
    <n v="41.58"/>
    <n v="8.32"/>
    <x v="6"/>
    <s v="VALIDATED"/>
    <n v="1"/>
    <s v="01.11.80.302.6100.0000"/>
    <n v="41.58"/>
    <s v="11"/>
    <s v="6100"/>
    <n v="34318.95"/>
    <n v="41.58"/>
    <s v="CREDITOR"/>
    <n v="0"/>
    <n v="0"/>
    <n v="0"/>
    <n v="0"/>
    <n v="41.58"/>
  </r>
  <r>
    <n v="62260478"/>
    <s v="N"/>
    <n v="21330952"/>
    <s v="3000016258320003"/>
    <s v="CIVIL"/>
    <d v="2023-06-28T00:00:00"/>
    <d v="2023-07-05T19:01:47"/>
    <m/>
    <d v="2023-07-05T00:00:00"/>
    <n v="194"/>
    <n v="12447"/>
    <s v="62260478"/>
    <s v="62260478"/>
    <m/>
    <m/>
    <n v="22775374"/>
    <m/>
    <m/>
    <m/>
    <s v="SOLFIN"/>
    <s v="SOLFIN"/>
    <s v="CCMS"/>
    <n v="21330952"/>
    <n v="3936.68"/>
    <m/>
    <s v="N"/>
    <n v="75"/>
    <d v="2023-07-05T19:01:59"/>
    <s v="Y"/>
    <s v="Routine Letter In"/>
    <s v="Prescribed Hourly Rates"/>
    <s v="Profit Cost"/>
    <s v="DB"/>
    <s v="Y"/>
    <n v="113.4"/>
    <n v="22.68"/>
    <x v="6"/>
    <s v="VALIDATED"/>
    <n v="1"/>
    <s v="01.11.80.302.6100.0000"/>
    <n v="113.4"/>
    <s v="11"/>
    <s v="6100"/>
    <n v="34318.95"/>
    <n v="113.4"/>
    <s v="CREDITOR"/>
    <n v="0"/>
    <n v="0"/>
    <n v="0"/>
    <n v="0"/>
    <n v="113.4"/>
  </r>
  <r>
    <n v="62260478"/>
    <s v="N"/>
    <n v="21330952"/>
    <s v="3000016258320003"/>
    <s v="CIVIL"/>
    <d v="2023-06-28T00:00:00"/>
    <d v="2023-07-05T19:01:47"/>
    <m/>
    <d v="2023-07-05T00:00:00"/>
    <n v="194"/>
    <n v="12447"/>
    <s v="62260478"/>
    <s v="62260478"/>
    <m/>
    <m/>
    <n v="22775374"/>
    <m/>
    <m/>
    <m/>
    <s v="SOLFIN"/>
    <s v="SOLFIN"/>
    <s v="CCMS"/>
    <n v="21330952"/>
    <n v="3936.68"/>
    <m/>
    <s v="N"/>
    <n v="39"/>
    <d v="2023-07-05T19:01:59"/>
    <s v="Y"/>
    <s v="Preparation - other"/>
    <s v="Prescribed Hourly Rates"/>
    <s v="Profit Cost"/>
    <s v="DB"/>
    <s v="Y"/>
    <n v="16.63"/>
    <n v="3.33"/>
    <x v="6"/>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85"/>
    <d v="2023-07-04T19:00:48"/>
    <s v="Y"/>
    <s v="Preparation - other"/>
    <s v="Prescribed Hourly Rates"/>
    <s v="Profit Cost"/>
    <s v="FAH"/>
    <s v="Y"/>
    <n v="124.74"/>
    <n v="24.95"/>
    <x v="1"/>
    <s v="VALIDATED"/>
    <n v="1"/>
    <s v="01.11.80.302.6100.0000"/>
    <n v="124.74"/>
    <s v="11"/>
    <s v="6100"/>
    <n v="34318.95"/>
    <n v="124.74"/>
    <s v="CREDITOR"/>
    <n v="0"/>
    <n v="0"/>
    <n v="0"/>
    <n v="0"/>
    <n v="124.74"/>
  </r>
  <r>
    <n v="61464958"/>
    <s v="N"/>
    <n v="21318984"/>
    <s v="3000015543270001"/>
    <s v="CIVIL"/>
    <d v="2023-06-23T00:00:00"/>
    <d v="2023-07-03T19:01:49"/>
    <m/>
    <d v="2023-07-03T00:00:00"/>
    <n v="194"/>
    <n v="12447"/>
    <s v="61464958"/>
    <s v="61464958"/>
    <m/>
    <m/>
    <n v="22755938"/>
    <m/>
    <m/>
    <m/>
    <s v="SOLFIN"/>
    <s v="SOLFIN"/>
    <s v="CCMS"/>
    <n v="21318984"/>
    <n v="2903.56"/>
    <m/>
    <s v="N"/>
    <n v="12"/>
    <d v="2023-07-03T19:02:05"/>
    <s v="Y"/>
    <s v="Preparation - other"/>
    <s v="Prescribed Hourly Rates"/>
    <s v="Profit Cost"/>
    <s v="FA"/>
    <s v="Y"/>
    <n v="25.84"/>
    <n v="5.17"/>
    <x v="3"/>
    <s v="VALIDATED"/>
    <n v="1"/>
    <s v="01.11.80.307.6100.0000"/>
    <n v="25.84"/>
    <s v="11"/>
    <s v="6100"/>
    <n v="34318.95"/>
    <n v="25.84"/>
    <s v="CREDITOR"/>
    <n v="0"/>
    <n v="0"/>
    <n v="0"/>
    <n v="0"/>
    <n v="25.84"/>
  </r>
  <r>
    <n v="61130472"/>
    <s v="N"/>
    <n v="21382407"/>
    <s v="3000015317490003"/>
    <s v="CIVIL"/>
    <d v="2023-06-28T00:00:00"/>
    <d v="2023-07-17T19:01:46"/>
    <m/>
    <d v="2023-07-17T00:00:00"/>
    <n v="194"/>
    <n v="12447"/>
    <s v="61130472"/>
    <s v="61130472"/>
    <m/>
    <m/>
    <n v="22775508"/>
    <m/>
    <m/>
    <m/>
    <s v="SOLFIN"/>
    <s v="SOLFIN"/>
    <s v="CCMS"/>
    <n v="21382407"/>
    <n v="4109"/>
    <m/>
    <s v="N"/>
    <n v="34"/>
    <d v="2023-07-17T19:02:09"/>
    <s v="Y"/>
    <s v="Preparation - other"/>
    <s v="Prescribed Hourly Rates"/>
    <s v="Profit Cost"/>
    <s v="CD"/>
    <s v="Y"/>
    <n v="33.26"/>
    <n v="6.65"/>
    <x v="8"/>
    <s v="VALIDATED"/>
    <n v="1"/>
    <s v="01.11.80.302.6100.0000"/>
    <n v="33.26"/>
    <s v="11"/>
    <s v="6100"/>
    <n v="34318.95"/>
    <n v="33.26"/>
    <s v="CREDITOR"/>
    <n v="0"/>
    <n v="0"/>
    <n v="0"/>
    <n v="0"/>
    <n v="33.26"/>
  </r>
  <r>
    <n v="61130472"/>
    <s v="N"/>
    <n v="21382407"/>
    <s v="3000015317490003"/>
    <s v="CIVIL"/>
    <d v="2023-06-28T00:00:00"/>
    <d v="2023-07-17T19:01:46"/>
    <m/>
    <d v="2023-07-17T00:00:00"/>
    <n v="194"/>
    <n v="12447"/>
    <s v="61130472"/>
    <s v="61130472"/>
    <m/>
    <m/>
    <n v="22775508"/>
    <m/>
    <m/>
    <m/>
    <s v="SOLFIN"/>
    <s v="SOLFIN"/>
    <s v="CCMS"/>
    <n v="21382407"/>
    <n v="4109"/>
    <m/>
    <s v="N"/>
    <n v="31"/>
    <d v="2023-07-17T19:02:09"/>
    <s v="Y"/>
    <s v="Preparation - other"/>
    <s v="Prescribed Hourly Rates"/>
    <s v="Profit Cost"/>
    <s v="FAH"/>
    <s v="Y"/>
    <n v="99.79000000000001"/>
    <n v="19.96"/>
    <x v="8"/>
    <s v="VALIDATED"/>
    <n v="1"/>
    <s v="01.11.80.302.6100.0000"/>
    <n v="99.79000000000001"/>
    <s v="11"/>
    <s v="6100"/>
    <n v="34318.95"/>
    <n v="99.79000000000001"/>
    <s v="CREDITOR"/>
    <n v="0"/>
    <n v="0"/>
    <n v="0"/>
    <n v="0"/>
    <n v="99.79000000000001"/>
  </r>
  <r>
    <n v="61788720"/>
    <s v="N"/>
    <n v="21382042"/>
    <s v="3000015864570002"/>
    <s v="CIVIL"/>
    <d v="2023-06-28T00:00:00"/>
    <d v="2023-07-17T19:01:46"/>
    <m/>
    <d v="2023-07-17T00:00:00"/>
    <n v="194"/>
    <n v="12447"/>
    <s v="61788720"/>
    <s v="61788720"/>
    <m/>
    <m/>
    <n v="22781892"/>
    <m/>
    <m/>
    <m/>
    <s v="SOLFIN"/>
    <s v="SOLFIN"/>
    <s v="CCMS"/>
    <n v="21382042"/>
    <n v="4185.9"/>
    <m/>
    <s v="N"/>
    <n v="23"/>
    <d v="2023-07-17T19:02:00"/>
    <s v="Y"/>
    <s v="Preparation - other"/>
    <s v="Prescribed Hourly Rates"/>
    <s v="Profit Cost"/>
    <s v="FA"/>
    <s v="Y"/>
    <n v="66.53"/>
    <n v="13.31"/>
    <x v="8"/>
    <s v="VALIDATED"/>
    <n v="1"/>
    <s v="01.11.80.302.6100.0000"/>
    <n v="66.53"/>
    <s v="11"/>
    <s v="6100"/>
    <n v="34318.95"/>
    <n v="66.53"/>
    <s v="CREDITOR"/>
    <n v="0"/>
    <n v="0"/>
    <n v="0"/>
    <n v="0"/>
    <n v="66.53"/>
  </r>
  <r>
    <n v="61788720"/>
    <s v="N"/>
    <n v="21382042"/>
    <s v="3000015864570002"/>
    <s v="CIVIL"/>
    <d v="2023-06-28T00:00:00"/>
    <d v="2023-07-17T19:01:46"/>
    <m/>
    <d v="2023-07-17T00:00:00"/>
    <n v="194"/>
    <n v="12447"/>
    <s v="61788720"/>
    <s v="61788720"/>
    <m/>
    <m/>
    <n v="22781892"/>
    <m/>
    <m/>
    <m/>
    <s v="SOLFIN"/>
    <s v="SOLFIN"/>
    <s v="CCMS"/>
    <n v="21382042"/>
    <n v="4185.9"/>
    <m/>
    <s v="N"/>
    <n v="19"/>
    <d v="2023-07-17T19:02:00"/>
    <s v="Y"/>
    <s v="Preparation - other"/>
    <s v="Prescribed Hourly Rates"/>
    <s v="Profit Cost"/>
    <s v="FA"/>
    <s v="Y"/>
    <n v="83.16"/>
    <n v="16.63"/>
    <x v="8"/>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40"/>
    <d v="2023-07-05T19:01:59"/>
    <s v="Y"/>
    <s v="Preparation - other"/>
    <s v="Prescribed Hourly Rates"/>
    <s v="Profit Cost"/>
    <s v="DB"/>
    <s v="Y"/>
    <n v="16.63"/>
    <n v="3.33"/>
    <x v="6"/>
    <s v="VALIDATED"/>
    <n v="1"/>
    <s v="01.11.80.302.6100.0000"/>
    <n v="16.63"/>
    <s v="11"/>
    <s v="6100"/>
    <n v="34318.95"/>
    <n v="16.63"/>
    <s v="CREDITOR"/>
    <n v="0"/>
    <n v="0"/>
    <n v="0"/>
    <n v="0"/>
    <n v="16.63"/>
  </r>
  <r>
    <n v="62260478"/>
    <s v="N"/>
    <n v="21330952"/>
    <s v="3000016258320003"/>
    <s v="CIVIL"/>
    <d v="2023-06-28T00:00:00"/>
    <d v="2023-07-05T19:01:47"/>
    <m/>
    <d v="2023-07-05T00:00:00"/>
    <n v="194"/>
    <n v="12447"/>
    <s v="62260478"/>
    <s v="62260478"/>
    <m/>
    <m/>
    <n v="22775374"/>
    <m/>
    <m/>
    <m/>
    <s v="SOLFIN"/>
    <s v="SOLFIN"/>
    <s v="CCMS"/>
    <n v="21330952"/>
    <n v="3936.68"/>
    <m/>
    <s v="N"/>
    <n v="2"/>
    <d v="2023-07-05T19:01:59"/>
    <s v="N"/>
    <s v="Level 4 Fixed Fee"/>
    <s v="Domestic Abuse"/>
    <s v="Profit Cost"/>
    <s v="XXX"/>
    <s v="N"/>
    <n v="0"/>
    <n v="0"/>
    <x v="6"/>
    <s v="VALIDATED"/>
    <n v="1"/>
    <s v="01.11.80.302.6100.0000"/>
    <n v="0"/>
    <s v="11"/>
    <s v="6100"/>
    <n v="34318.95"/>
    <n v="0"/>
    <s v="CREDITOR"/>
    <n v="0"/>
    <n v="0"/>
    <n v="0"/>
    <n v="0"/>
    <n v="0"/>
  </r>
  <r>
    <n v="60678163"/>
    <s v="N"/>
    <n v="21327492"/>
    <s v="3000014928670004"/>
    <s v="CIVIL"/>
    <d v="2023-06-22T00:00:00"/>
    <d v="2023-07-04T19:00:44"/>
    <m/>
    <d v="2023-07-04T00:00:00"/>
    <n v="194"/>
    <n v="12447"/>
    <s v="60678163"/>
    <s v="60678163"/>
    <m/>
    <m/>
    <n v="22744814"/>
    <m/>
    <m/>
    <m/>
    <s v="SOLFIN"/>
    <s v="SOLFIN"/>
    <s v="CCMS"/>
    <n v="21327492"/>
    <n v="7348.42"/>
    <m/>
    <s v="N"/>
    <n v="84"/>
    <d v="2023-07-04T19:00:48"/>
    <s v="Y"/>
    <s v="Preparation - other"/>
    <s v="Prescribed Hourly Rates"/>
    <s v="Profit Cost"/>
    <s v="FAH"/>
    <s v="Y"/>
    <n v="166.32"/>
    <n v="33.26"/>
    <x v="1"/>
    <s v="VALIDATED"/>
    <n v="1"/>
    <s v="01.11.80.302.6100.0000"/>
    <n v="166.32"/>
    <s v="11"/>
    <s v="6100"/>
    <n v="34318.95"/>
    <n v="166.32"/>
    <s v="CREDITOR"/>
    <n v="0"/>
    <n v="0"/>
    <n v="0"/>
    <n v="0"/>
    <n v="166.32"/>
  </r>
  <r>
    <n v="60678163"/>
    <s v="N"/>
    <n v="21327492"/>
    <s v="3000014928670004"/>
    <s v="CIVIL"/>
    <d v="2023-06-22T00:00:00"/>
    <d v="2023-07-04T19:00:44"/>
    <m/>
    <d v="2023-07-04T00:00:00"/>
    <n v="194"/>
    <n v="12447"/>
    <s v="60678163"/>
    <s v="60678163"/>
    <m/>
    <m/>
    <n v="22744814"/>
    <m/>
    <m/>
    <m/>
    <s v="SOLFIN"/>
    <s v="SOLFIN"/>
    <s v="CCMS"/>
    <n v="21327492"/>
    <n v="7348.42"/>
    <m/>
    <s v="N"/>
    <n v="31"/>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69"/>
    <d v="2023-07-04T19:00:48"/>
    <s v="Y"/>
    <s v="Preparation - other"/>
    <s v="Prescribed Hourly Rates"/>
    <s v="Profit Cost"/>
    <s v="FAH"/>
    <s v="Y"/>
    <n v="207.9"/>
    <n v="41.58"/>
    <x v="1"/>
    <s v="VALIDATED"/>
    <n v="1"/>
    <s v="01.11.80.302.6100.0000"/>
    <n v="207.9"/>
    <s v="11"/>
    <s v="6100"/>
    <n v="34318.95"/>
    <n v="207.9"/>
    <s v="CREDITOR"/>
    <n v="0"/>
    <n v="0"/>
    <n v="0"/>
    <n v="0"/>
    <n v="207.9"/>
  </r>
  <r>
    <n v="61464958"/>
    <s v="N"/>
    <n v="21318984"/>
    <s v="3000015543270001"/>
    <s v="CIVIL"/>
    <d v="2023-06-23T00:00:00"/>
    <d v="2023-07-03T19:01:49"/>
    <m/>
    <d v="2023-07-03T00:00:00"/>
    <n v="194"/>
    <n v="12447"/>
    <s v="61464958"/>
    <s v="61464958"/>
    <m/>
    <m/>
    <n v="22755938"/>
    <m/>
    <m/>
    <m/>
    <s v="SOLFIN"/>
    <s v="SOLFIN"/>
    <s v="CCMS"/>
    <n v="21318984"/>
    <n v="2903.56"/>
    <m/>
    <s v="N"/>
    <n v="10"/>
    <d v="2023-07-03T19:02:05"/>
    <s v="Y"/>
    <s v="Preparation - other"/>
    <s v="Prescribed Hourly Rates"/>
    <s v="Profit Cost"/>
    <s v="FA"/>
    <s v="Y"/>
    <n v="8.609999999999999"/>
    <n v="1.72"/>
    <x v="3"/>
    <s v="VALIDATED"/>
    <n v="1"/>
    <s v="01.11.80.307.6100.0000"/>
    <n v="8.609999999999999"/>
    <s v="11"/>
    <s v="6100"/>
    <n v="34318.95"/>
    <n v="8.609999999999999"/>
    <s v="CREDITOR"/>
    <n v="0"/>
    <n v="0"/>
    <n v="0"/>
    <n v="0"/>
    <n v="8.609999999999999"/>
  </r>
  <r>
    <n v="61130472"/>
    <s v="N"/>
    <n v="21382407"/>
    <s v="3000015317490003"/>
    <s v="CIVIL"/>
    <d v="2023-06-28T00:00:00"/>
    <d v="2023-07-17T19:01:46"/>
    <m/>
    <d v="2023-07-17T00:00:00"/>
    <n v="194"/>
    <n v="12447"/>
    <s v="61130472"/>
    <s v="61130472"/>
    <m/>
    <m/>
    <n v="22775508"/>
    <m/>
    <m/>
    <m/>
    <s v="SOLFIN"/>
    <s v="SOLFIN"/>
    <s v="CCMS"/>
    <n v="21382407"/>
    <n v="4109"/>
    <m/>
    <s v="N"/>
    <n v="28"/>
    <d v="2023-07-17T19:02:09"/>
    <s v="Y"/>
    <s v="Preparation - other"/>
    <s v="Prescribed Hourly Rates"/>
    <s v="Profit Cost"/>
    <s v="FAH"/>
    <s v="Y"/>
    <n v="16.63"/>
    <n v="3.33"/>
    <x v="8"/>
    <s v="VALIDATED"/>
    <n v="1"/>
    <s v="01.11.80.302.6100.0000"/>
    <n v="16.63"/>
    <s v="11"/>
    <s v="6100"/>
    <n v="34318.95"/>
    <n v="16.63"/>
    <s v="CREDITOR"/>
    <n v="0"/>
    <n v="0"/>
    <n v="0"/>
    <n v="0"/>
    <n v="16.63"/>
  </r>
  <r>
    <n v="61788720"/>
    <s v="N"/>
    <n v="21382042"/>
    <s v="3000015864570002"/>
    <s v="CIVIL"/>
    <d v="2023-06-28T00:00:00"/>
    <d v="2023-07-17T19:01:46"/>
    <m/>
    <d v="2023-07-17T00:00:00"/>
    <n v="194"/>
    <n v="12447"/>
    <s v="61788720"/>
    <s v="61788720"/>
    <m/>
    <m/>
    <n v="22781892"/>
    <m/>
    <m/>
    <m/>
    <s v="SOLFIN"/>
    <s v="SOLFIN"/>
    <s v="CCMS"/>
    <n v="21382042"/>
    <n v="4185.9"/>
    <m/>
    <s v="N"/>
    <n v="38"/>
    <d v="2023-07-17T19:02:00"/>
    <s v="Y"/>
    <s v="Preparation - other"/>
    <s v="Prescribed Hourly Rates"/>
    <s v="Profit Cost"/>
    <s v="FH"/>
    <s v="Y"/>
    <n v="8.32"/>
    <n v="1.66"/>
    <x v="8"/>
    <s v="VALIDATED"/>
    <n v="1"/>
    <s v="01.11.80.302.6100.0000"/>
    <n v="8.32"/>
    <s v="11"/>
    <s v="6100"/>
    <n v="34318.95"/>
    <n v="8.32"/>
    <s v="CREDITOR"/>
    <n v="0"/>
    <n v="0"/>
    <n v="0"/>
    <n v="0"/>
    <n v="8.32"/>
  </r>
  <r>
    <n v="61788720"/>
    <s v="N"/>
    <n v="21382042"/>
    <s v="3000015864570002"/>
    <s v="CIVIL"/>
    <d v="2023-06-28T00:00:00"/>
    <d v="2023-07-17T19:01:46"/>
    <m/>
    <d v="2023-07-17T00:00:00"/>
    <n v="194"/>
    <n v="12447"/>
    <s v="61788720"/>
    <s v="61788720"/>
    <m/>
    <m/>
    <n v="22781892"/>
    <m/>
    <m/>
    <m/>
    <s v="SOLFIN"/>
    <s v="SOLFIN"/>
    <s v="CCMS"/>
    <n v="21382042"/>
    <n v="4185.9"/>
    <m/>
    <s v="N"/>
    <n v="40"/>
    <d v="2023-07-17T19:02:00"/>
    <s v="Y"/>
    <s v="Preparation - other"/>
    <s v="Prescribed Hourly Rates"/>
    <s v="Profit Cost"/>
    <s v="FH"/>
    <s v="Y"/>
    <n v="41.58"/>
    <n v="8.32"/>
    <x v="8"/>
    <s v="VALIDATED"/>
    <n v="1"/>
    <s v="01.11.80.302.6100.0000"/>
    <n v="41.58"/>
    <s v="11"/>
    <s v="6100"/>
    <n v="34318.95"/>
    <n v="41.58"/>
    <s v="CREDITOR"/>
    <n v="0"/>
    <n v="0"/>
    <n v="0"/>
    <n v="0"/>
    <n v="41.58"/>
  </r>
  <r>
    <n v="61080230"/>
    <s v="N"/>
    <n v="21330559"/>
    <s v="3000015275730002"/>
    <s v="CIVIL"/>
    <d v="2023-06-23T00:00:00"/>
    <d v="2023-07-05T19:01:47"/>
    <m/>
    <d v="2023-07-05T00:00:00"/>
    <n v="194"/>
    <n v="12447"/>
    <s v="61080230"/>
    <s v="61080230"/>
    <m/>
    <m/>
    <n v="22755936"/>
    <m/>
    <m/>
    <m/>
    <s v="SOLFIN"/>
    <s v="SOLFIN"/>
    <s v="CCMS"/>
    <n v="21330559"/>
    <n v="3599.14"/>
    <m/>
    <s v="N"/>
    <n v="21"/>
    <d v="2023-07-05T19:01:51"/>
    <s v="Y"/>
    <s v="Preparation - other"/>
    <s v="Prescribed Hourly Rates"/>
    <s v="Profit Cost"/>
    <s v="DF1"/>
    <s v="Y"/>
    <n v="124.74"/>
    <n v="24.95"/>
    <x v="6"/>
    <s v="VALIDATED"/>
    <n v="1"/>
    <s v="01.11.80.302.6100.0000"/>
    <n v="124.74"/>
    <s v="11"/>
    <s v="6100"/>
    <n v="34318.95"/>
    <n v="124.74"/>
    <s v="CREDITOR"/>
    <n v="0"/>
    <n v="0"/>
    <n v="0"/>
    <n v="0"/>
    <n v="124.74"/>
  </r>
  <r>
    <n v="62309851"/>
    <s v="N"/>
    <n v="21330932"/>
    <s v="3000016300730003"/>
    <s v="CIVIL"/>
    <d v="2023-06-28T00:00:00"/>
    <d v="2023-07-05T19:01:47"/>
    <m/>
    <d v="2023-07-05T00:00:00"/>
    <n v="194"/>
    <n v="12447"/>
    <s v="62309851"/>
    <s v="62309851"/>
    <m/>
    <m/>
    <n v="22775378"/>
    <m/>
    <m/>
    <m/>
    <s v="SOLFIN"/>
    <s v="SOLFIN"/>
    <s v="CCMS"/>
    <n v="21330932"/>
    <n v="4181.19"/>
    <m/>
    <s v="N"/>
    <n v="25"/>
    <d v="2023-07-05T19:01:57"/>
    <s v="Y"/>
    <s v="Preparation - other"/>
    <s v="Prescribed Hourly Rates"/>
    <s v="Profit Cost"/>
    <s v="MC"/>
    <s v="Y"/>
    <n v="66.53"/>
    <n v="13.31"/>
    <x v="6"/>
    <s v="VALIDATED"/>
    <n v="1"/>
    <s v="01.11.80.302.6100.0000"/>
    <n v="66.53"/>
    <s v="11"/>
    <s v="6100"/>
    <n v="34318.95"/>
    <n v="66.53"/>
    <s v="CREDITOR"/>
    <n v="0"/>
    <n v="0"/>
    <n v="0"/>
    <n v="0"/>
    <n v="66.53"/>
  </r>
  <r>
    <n v="62309851"/>
    <s v="N"/>
    <n v="21330932"/>
    <s v="3000016300730003"/>
    <s v="CIVIL"/>
    <d v="2023-06-28T00:00:00"/>
    <d v="2023-07-05T19:01:47"/>
    <m/>
    <d v="2023-07-05T00:00:00"/>
    <n v="194"/>
    <n v="12447"/>
    <s v="62309851"/>
    <s v="62309851"/>
    <m/>
    <m/>
    <n v="22775378"/>
    <m/>
    <m/>
    <m/>
    <s v="SOLFIN"/>
    <s v="SOLFIN"/>
    <s v="CCMS"/>
    <n v="21330932"/>
    <n v="4181.19"/>
    <m/>
    <s v="N"/>
    <n v="28"/>
    <d v="2023-07-05T19:01:57"/>
    <s v="Y"/>
    <s v="Preparation - other"/>
    <s v="Prescribed Hourly Rates"/>
    <s v="Profit Cost"/>
    <s v="YR"/>
    <s v="Y"/>
    <n v="83.16"/>
    <n v="16.63"/>
    <x v="6"/>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21"/>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43"/>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59"/>
    <d v="2023-07-05T19:01:59"/>
    <s v="Y"/>
    <s v="Preparation - other"/>
    <s v="Prescribed Hourly Rates"/>
    <s v="Profit Cost"/>
    <s v="DB"/>
    <s v="Y"/>
    <n v="16.63"/>
    <n v="3.33"/>
    <x v="6"/>
    <s v="VALIDATED"/>
    <n v="1"/>
    <s v="01.11.80.302.6100.0000"/>
    <n v="16.63"/>
    <s v="11"/>
    <s v="6100"/>
    <n v="34318.95"/>
    <n v="16.63"/>
    <s v="CREDITOR"/>
    <n v="0"/>
    <n v="0"/>
    <n v="0"/>
    <n v="0"/>
    <n v="16.63"/>
  </r>
  <r>
    <n v="62260478"/>
    <s v="N"/>
    <n v="21330952"/>
    <s v="3000016258320003"/>
    <s v="CIVIL"/>
    <d v="2023-06-28T00:00:00"/>
    <d v="2023-07-05T19:01:47"/>
    <m/>
    <d v="2023-07-05T00:00:00"/>
    <n v="194"/>
    <n v="12447"/>
    <s v="62260478"/>
    <s v="62260478"/>
    <m/>
    <m/>
    <n v="22775374"/>
    <m/>
    <m/>
    <m/>
    <s v="SOLFIN"/>
    <s v="SOLFIN"/>
    <s v="CCMS"/>
    <n v="21330952"/>
    <n v="3936.68"/>
    <m/>
    <s v="N"/>
    <n v="64"/>
    <d v="2023-07-05T19:01:59"/>
    <s v="Y"/>
    <s v="Preparation - other"/>
    <s v="Prescribed Hourly Rates"/>
    <s v="Profit Cost"/>
    <s v="MC"/>
    <s v="Y"/>
    <n v="16.63"/>
    <n v="3.33"/>
    <x v="6"/>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58"/>
    <d v="2023-07-04T19:00:48"/>
    <s v="Y"/>
    <s v="Preparation - other"/>
    <s v="Prescribed Hourly Rates"/>
    <s v="Profit Cost"/>
    <s v="FAH"/>
    <s v="Y"/>
    <n v="8.32"/>
    <n v="1.66"/>
    <x v="1"/>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11"/>
    <d v="2023-07-03T19:02:05"/>
    <s v="Y"/>
    <s v="Preparation - other"/>
    <s v="Prescribed Hourly Rates"/>
    <s v="Profit Cost"/>
    <s v="FA"/>
    <s v="Y"/>
    <n v="25.84"/>
    <n v="5.17"/>
    <x v="3"/>
    <s v="VALIDATED"/>
    <n v="1"/>
    <s v="01.11.80.307.6100.0000"/>
    <n v="25.84"/>
    <s v="11"/>
    <s v="6100"/>
    <n v="34318.95"/>
    <n v="25.84"/>
    <s v="CREDITOR"/>
    <n v="0"/>
    <n v="0"/>
    <n v="0"/>
    <n v="0"/>
    <n v="25.84"/>
  </r>
  <r>
    <n v="61307755"/>
    <s v="N"/>
    <n v="21319013"/>
    <s v="3000015464800002"/>
    <s v="CIVIL"/>
    <d v="2023-06-17T00:00:00"/>
    <d v="2023-07-03T19:01:49"/>
    <m/>
    <d v="2023-07-03T00:00:00"/>
    <n v="194"/>
    <n v="12447"/>
    <s v="61307755"/>
    <s v="61307755"/>
    <m/>
    <m/>
    <n v="22710372"/>
    <m/>
    <m/>
    <m/>
    <s v="SOLFIN"/>
    <s v="SOLFIN"/>
    <s v="CCMS"/>
    <n v="21319013"/>
    <n v="829.6"/>
    <m/>
    <s v="N"/>
    <n v="2"/>
    <d v="2023-07-03T19:02:07"/>
    <s v="Y"/>
    <s v="Level 4 Fixed Fee"/>
    <s v="Domestic Abuse"/>
    <s v="Profit Cost"/>
    <s v="fa"/>
    <s v="Y"/>
    <n v="608"/>
    <n v="121.6"/>
    <x v="3"/>
    <s v="VALIDATED"/>
    <n v="1"/>
    <s v="01.11.80.302.6100.0000"/>
    <n v="608"/>
    <s v="11"/>
    <s v="6100"/>
    <n v="34318.95"/>
    <n v="608"/>
    <s v="CREDITOR"/>
    <n v="0"/>
    <n v="0"/>
    <n v="0"/>
    <n v="0"/>
    <n v="608"/>
  </r>
  <r>
    <n v="62260478"/>
    <s v="N"/>
    <n v="21330952"/>
    <s v="3000016258320003"/>
    <s v="CIVIL"/>
    <d v="2023-06-28T00:00:00"/>
    <d v="2023-07-05T19:01:47"/>
    <m/>
    <d v="2023-07-05T00:00:00"/>
    <n v="194"/>
    <n v="12447"/>
    <s v="62260478"/>
    <s v="62260478"/>
    <m/>
    <m/>
    <n v="22775374"/>
    <m/>
    <m/>
    <m/>
    <s v="SOLFIN"/>
    <s v="SOLFIN"/>
    <s v="CCMS"/>
    <n v="21330952"/>
    <n v="3936.68"/>
    <m/>
    <s v="N"/>
    <n v="54"/>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40"/>
    <d v="2023-07-05T19:01:57"/>
    <s v="Y"/>
    <s v="Preparation - other"/>
    <s v="Prescribed Hourly Rates"/>
    <s v="Profit Cost"/>
    <s v="YR"/>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30"/>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33"/>
    <d v="2023-07-04T19:00:48"/>
    <s v="Y"/>
    <s v="Preparation - other"/>
    <s v="Prescribed Hourly Rates"/>
    <s v="Profit Cost"/>
    <s v="FAH"/>
    <s v="Y"/>
    <n v="8.32"/>
    <n v="1.66"/>
    <x v="1"/>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6"/>
    <d v="2023-07-03T19:02:05"/>
    <s v="Y"/>
    <s v="Preparation - other"/>
    <s v="Prescribed Hourly Rates"/>
    <s v="Profit Cost"/>
    <s v="FA"/>
    <s v="Y"/>
    <n v="8.609999999999999"/>
    <n v="1.72"/>
    <x v="3"/>
    <s v="VALIDATED"/>
    <n v="1"/>
    <s v="01.11.80.307.6100.0000"/>
    <n v="8.609999999999999"/>
    <s v="11"/>
    <s v="6100"/>
    <n v="34318.95"/>
    <n v="8.609999999999999"/>
    <s v="CREDITOR"/>
    <n v="0"/>
    <n v="0"/>
    <n v="0"/>
    <n v="0"/>
    <n v="8.609999999999999"/>
  </r>
  <r>
    <n v="61788720"/>
    <s v="N"/>
    <n v="21382042"/>
    <s v="3000015864570002"/>
    <s v="CIVIL"/>
    <d v="2023-06-28T00:00:00"/>
    <d v="2023-07-17T19:01:46"/>
    <m/>
    <d v="2023-07-17T00:00:00"/>
    <n v="194"/>
    <n v="12447"/>
    <s v="61788720"/>
    <s v="61788720"/>
    <m/>
    <m/>
    <n v="22781892"/>
    <m/>
    <m/>
    <m/>
    <s v="SOLFIN"/>
    <s v="SOLFIN"/>
    <s v="CCMS"/>
    <n v="21382042"/>
    <n v="4185.9"/>
    <m/>
    <s v="N"/>
    <n v="7"/>
    <d v="2023-07-17T19:02:00"/>
    <s v="Y"/>
    <s v="Preparation - other"/>
    <s v="Prescribed Hourly Rates"/>
    <s v="Profit Cost"/>
    <s v="AD"/>
    <s v="Y"/>
    <n v="58.21"/>
    <n v="11.64"/>
    <x v="8"/>
    <s v="VALIDATED"/>
    <n v="1"/>
    <s v="01.11.80.302.6100.0000"/>
    <n v="58.21"/>
    <s v="11"/>
    <s v="6100"/>
    <n v="34318.95"/>
    <n v="58.21"/>
    <s v="CREDITOR"/>
    <n v="0"/>
    <n v="0"/>
    <n v="0"/>
    <n v="0"/>
    <n v="58.21"/>
  </r>
  <r>
    <n v="61788720"/>
    <s v="N"/>
    <n v="21382042"/>
    <s v="3000015864570002"/>
    <s v="CIVIL"/>
    <d v="2023-06-28T00:00:00"/>
    <d v="2023-07-17T19:01:46"/>
    <m/>
    <d v="2023-07-17T00:00:00"/>
    <n v="194"/>
    <n v="12447"/>
    <s v="61788720"/>
    <s v="61788720"/>
    <m/>
    <m/>
    <n v="22781892"/>
    <m/>
    <m/>
    <m/>
    <s v="SOLFIN"/>
    <s v="SOLFIN"/>
    <s v="CCMS"/>
    <n v="21382042"/>
    <n v="4185.9"/>
    <m/>
    <s v="N"/>
    <n v="12"/>
    <d v="2023-07-17T19:02:00"/>
    <s v="Y"/>
    <s v="Preparation - other"/>
    <s v="Prescribed Hourly Rates"/>
    <s v="Profit Cost"/>
    <s v="FH"/>
    <s v="Y"/>
    <n v="83.16"/>
    <n v="16.63"/>
    <x v="8"/>
    <s v="VALIDATED"/>
    <n v="1"/>
    <s v="01.11.80.302.6100.0000"/>
    <n v="83.16"/>
    <s v="11"/>
    <s v="6100"/>
    <n v="34318.95"/>
    <n v="83.16"/>
    <s v="CREDITOR"/>
    <n v="0"/>
    <n v="0"/>
    <n v="0"/>
    <n v="0"/>
    <n v="83.16"/>
  </r>
  <r>
    <n v="61524785"/>
    <s v="N"/>
    <n v="21360488"/>
    <s v="3000015604540002"/>
    <s v="CIVIL"/>
    <d v="2023-06-26T00:00:00"/>
    <d v="2023-07-11T11:50:54"/>
    <m/>
    <d v="2023-07-11T00:00:00"/>
    <n v="194"/>
    <n v="12447"/>
    <s v="61524785"/>
    <s v="61524785"/>
    <m/>
    <m/>
    <n v="22762458"/>
    <m/>
    <m/>
    <m/>
    <s v="SOLFIN"/>
    <s v="SOLFIN"/>
    <s v="CCMS"/>
    <n v="21360488"/>
    <n v="849.6"/>
    <m/>
    <s v="N"/>
    <n v="1"/>
    <d v="2023-07-11T11:51:06"/>
    <s v="Y"/>
    <s v="Process server"/>
    <s v="Domestic Abuse"/>
    <s v="Expert Disbursement"/>
    <s v="KK"/>
    <s v="Y"/>
    <n v="100"/>
    <n v="20"/>
    <x v="7"/>
    <s v="VALIDATED"/>
    <n v="1"/>
    <s v="01.11.80.302.6300.0000"/>
    <n v="100"/>
    <s v="11"/>
    <s v="6300"/>
    <n v="34318.95"/>
    <n v="100"/>
    <s v="CREDITOR"/>
    <n v="0"/>
    <n v="0"/>
    <n v="0"/>
    <n v="0"/>
    <n v="100"/>
  </r>
  <r>
    <n v="62260478"/>
    <s v="N"/>
    <n v="21330952"/>
    <s v="3000016258320003"/>
    <s v="CIVIL"/>
    <d v="2023-06-28T00:00:00"/>
    <d v="2023-07-05T19:01:47"/>
    <m/>
    <d v="2023-07-05T00:00:00"/>
    <n v="194"/>
    <n v="12447"/>
    <s v="62260478"/>
    <s v="62260478"/>
    <m/>
    <m/>
    <n v="22775374"/>
    <m/>
    <m/>
    <m/>
    <s v="SOLFIN"/>
    <s v="SOLFIN"/>
    <s v="CCMS"/>
    <n v="21330952"/>
    <n v="3936.68"/>
    <m/>
    <s v="N"/>
    <n v="27"/>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66"/>
    <d v="2023-07-05T19:01:59"/>
    <s v="Y"/>
    <s v="Preparation - other"/>
    <s v="Prescribed Hourly Rates"/>
    <s v="Profit Cost"/>
    <s v="DB"/>
    <s v="Y"/>
    <n v="33.26"/>
    <n v="6.65"/>
    <x v="6"/>
    <s v="VALIDATED"/>
    <n v="1"/>
    <s v="01.11.80.302.6100.0000"/>
    <n v="33.26"/>
    <s v="11"/>
    <s v="6100"/>
    <n v="34318.95"/>
    <n v="33.26"/>
    <s v="CREDITOR"/>
    <n v="0"/>
    <n v="0"/>
    <n v="0"/>
    <n v="0"/>
    <n v="33.26"/>
  </r>
  <r>
    <n v="60678163"/>
    <s v="N"/>
    <n v="21327492"/>
    <s v="3000014928670004"/>
    <s v="CIVIL"/>
    <d v="2023-06-22T00:00:00"/>
    <d v="2023-07-04T19:00:44"/>
    <m/>
    <d v="2023-07-04T00:00:00"/>
    <n v="194"/>
    <n v="12447"/>
    <s v="60678163"/>
    <s v="60678163"/>
    <m/>
    <m/>
    <n v="22744814"/>
    <m/>
    <m/>
    <m/>
    <s v="SOLFIN"/>
    <s v="SOLFIN"/>
    <s v="CCMS"/>
    <n v="21327492"/>
    <n v="7348.42"/>
    <m/>
    <s v="N"/>
    <n v="10"/>
    <d v="2023-07-04T19:00:48"/>
    <s v="N"/>
    <s v="Level 4 Fixed Fee"/>
    <s v="Domestic Abuse"/>
    <s v="Profit Cost"/>
    <s v="XXX"/>
    <s v="N"/>
    <n v="0"/>
    <n v="0"/>
    <x v="1"/>
    <s v="VALIDATED"/>
    <n v="1"/>
    <s v="01.11.80.302.6100.0000"/>
    <n v="0"/>
    <s v="11"/>
    <s v="6100"/>
    <n v="34318.95"/>
    <n v="0"/>
    <s v="CREDITOR"/>
    <n v="0"/>
    <n v="0"/>
    <n v="0"/>
    <n v="0"/>
    <n v="0"/>
  </r>
  <r>
    <n v="61464958"/>
    <s v="N"/>
    <n v="21318984"/>
    <s v="3000015543270001"/>
    <s v="CIVIL"/>
    <d v="2023-06-23T00:00:00"/>
    <d v="2023-07-03T19:01:49"/>
    <m/>
    <d v="2023-07-03T00:00:00"/>
    <n v="194"/>
    <n v="12447"/>
    <s v="61464958"/>
    <s v="61464958"/>
    <m/>
    <m/>
    <n v="22755938"/>
    <m/>
    <m/>
    <m/>
    <s v="SOLFIN"/>
    <s v="SOLFIN"/>
    <s v="CCMS"/>
    <n v="21318984"/>
    <n v="2903.56"/>
    <m/>
    <s v="N"/>
    <n v="1"/>
    <d v="2023-07-03T19:02:05"/>
    <s v="Y"/>
    <s v="Hearing Unit 1.01 - 2.30 Hours"/>
    <s v="Private Law Children"/>
    <s v="Advocacy"/>
    <s v="FA"/>
    <s v="Y"/>
    <n v="172.4"/>
    <n v="34.48"/>
    <x v="3"/>
    <s v="VALIDATED"/>
    <n v="1"/>
    <s v="01.11.80.307.6100.0000"/>
    <n v="172.4"/>
    <s v="11"/>
    <s v="6100"/>
    <n v="34318.95"/>
    <n v="172.4"/>
    <s v="CREDITOR"/>
    <n v="0"/>
    <n v="0"/>
    <n v="0"/>
    <n v="0"/>
    <n v="172.4"/>
  </r>
  <r>
    <n v="61130472"/>
    <s v="N"/>
    <n v="21382407"/>
    <s v="3000015317490003"/>
    <s v="CIVIL"/>
    <d v="2023-06-28T00:00:00"/>
    <d v="2023-07-17T19:01:46"/>
    <m/>
    <d v="2023-07-17T00:00:00"/>
    <n v="194"/>
    <n v="12447"/>
    <s v="61130472"/>
    <s v="61130472"/>
    <m/>
    <m/>
    <n v="22775508"/>
    <m/>
    <m/>
    <m/>
    <s v="SOLFIN"/>
    <s v="SOLFIN"/>
    <s v="CCMS"/>
    <n v="21382407"/>
    <n v="4109"/>
    <m/>
    <s v="N"/>
    <n v="23"/>
    <d v="2023-07-17T19:02:09"/>
    <s v="Y"/>
    <s v="Preparation - other"/>
    <s v="Prescribed Hourly Rates"/>
    <s v="Profit Cost"/>
    <s v="FAH"/>
    <s v="Y"/>
    <n v="8.32"/>
    <n v="1.66"/>
    <x v="8"/>
    <s v="VALIDATED"/>
    <n v="1"/>
    <s v="01.11.80.302.6100.0000"/>
    <n v="8.32"/>
    <s v="11"/>
    <s v="6100"/>
    <n v="34318.95"/>
    <n v="8.32"/>
    <s v="CREDITOR"/>
    <n v="0"/>
    <n v="0"/>
    <n v="0"/>
    <n v="0"/>
    <n v="8.32"/>
  </r>
  <r>
    <n v="61788720"/>
    <s v="N"/>
    <n v="21382042"/>
    <s v="3000015864570002"/>
    <s v="CIVIL"/>
    <d v="2023-06-28T00:00:00"/>
    <d v="2023-07-17T19:01:46"/>
    <m/>
    <d v="2023-07-17T00:00:00"/>
    <n v="194"/>
    <n v="12447"/>
    <s v="61788720"/>
    <s v="61788720"/>
    <m/>
    <m/>
    <n v="22781892"/>
    <m/>
    <m/>
    <m/>
    <s v="SOLFIN"/>
    <s v="SOLFIN"/>
    <s v="CCMS"/>
    <n v="21382042"/>
    <n v="4185.9"/>
    <m/>
    <s v="N"/>
    <n v="15"/>
    <d v="2023-07-17T19:02:00"/>
    <s v="Y"/>
    <s v="Preparation - other"/>
    <s v="Prescribed Hourly Rates"/>
    <s v="Profit Cost"/>
    <s v="FH"/>
    <s v="Y"/>
    <n v="166.32"/>
    <n v="33.26"/>
    <x v="8"/>
    <s v="VALIDATED"/>
    <n v="1"/>
    <s v="01.11.80.302.6100.0000"/>
    <n v="166.32"/>
    <s v="11"/>
    <s v="6100"/>
    <n v="34318.95"/>
    <n v="166.32"/>
    <s v="CREDITOR"/>
    <n v="0"/>
    <n v="0"/>
    <n v="0"/>
    <n v="0"/>
    <n v="166.32"/>
  </r>
  <r>
    <n v="61788720"/>
    <s v="N"/>
    <n v="21382042"/>
    <s v="3000015864570002"/>
    <s v="CIVIL"/>
    <d v="2023-06-28T00:00:00"/>
    <d v="2023-07-17T19:01:46"/>
    <m/>
    <d v="2023-07-17T00:00:00"/>
    <n v="194"/>
    <n v="12447"/>
    <s v="61788720"/>
    <s v="61788720"/>
    <m/>
    <m/>
    <n v="22781892"/>
    <m/>
    <m/>
    <m/>
    <s v="SOLFIN"/>
    <s v="SOLFIN"/>
    <s v="CCMS"/>
    <n v="21382042"/>
    <n v="4185.9"/>
    <m/>
    <s v="N"/>
    <n v="46"/>
    <d v="2023-07-17T19:02:00"/>
    <s v="Y"/>
    <s v="Preparation - drafting bill/claim f"/>
    <s v="Prescribed Hourly Rates"/>
    <s v="Profit Cost"/>
    <s v="CD"/>
    <s v="Y"/>
    <n v="291.06"/>
    <n v="58.22"/>
    <x v="8"/>
    <s v="VALIDATED"/>
    <n v="1"/>
    <s v="01.11.80.302.6100.0000"/>
    <n v="291.06"/>
    <s v="11"/>
    <s v="6100"/>
    <n v="34318.95"/>
    <n v="291.06"/>
    <s v="CREDITOR"/>
    <n v="0"/>
    <n v="0"/>
    <n v="0"/>
    <n v="0"/>
    <n v="291.06"/>
  </r>
  <r>
    <n v="61080230"/>
    <s v="N"/>
    <n v="21330559"/>
    <s v="3000015275730002"/>
    <s v="CIVIL"/>
    <d v="2023-06-23T00:00:00"/>
    <d v="2023-07-05T19:01:47"/>
    <m/>
    <d v="2023-07-05T00:00:00"/>
    <n v="194"/>
    <n v="12447"/>
    <s v="61080230"/>
    <s v="61080230"/>
    <m/>
    <m/>
    <n v="22755936"/>
    <m/>
    <m/>
    <m/>
    <s v="SOLFIN"/>
    <s v="SOLFIN"/>
    <s v="CCMS"/>
    <n v="21330559"/>
    <n v="3599.14"/>
    <m/>
    <s v="N"/>
    <n v="8"/>
    <d v="2023-07-05T19:01:51"/>
    <s v="Y"/>
    <s v="Preparation - other"/>
    <s v="Prescribed Hourly Rates"/>
    <s v="Profit Cost"/>
    <s v="DF1"/>
    <s v="Y"/>
    <n v="83.16"/>
    <n v="16.63"/>
    <x v="6"/>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34"/>
    <d v="2023-07-05T19:01:59"/>
    <s v="Y"/>
    <s v="Preparation - other"/>
    <s v="Prescribed Hourly Rates"/>
    <s v="Profit Cost"/>
    <s v="DB"/>
    <s v="Y"/>
    <n v="49.9"/>
    <n v="9.98"/>
    <x v="6"/>
    <s v="VALIDATED"/>
    <n v="1"/>
    <s v="01.11.80.302.6100.0000"/>
    <n v="49.9"/>
    <s v="11"/>
    <s v="6100"/>
    <n v="34318.95"/>
    <n v="49.9"/>
    <s v="CREDITOR"/>
    <n v="0"/>
    <n v="0"/>
    <n v="0"/>
    <n v="0"/>
    <n v="49.9"/>
  </r>
  <r>
    <n v="60678163"/>
    <s v="N"/>
    <n v="21327492"/>
    <s v="3000014928670004"/>
    <s v="CIVIL"/>
    <d v="2023-06-22T00:00:00"/>
    <d v="2023-07-04T19:00:44"/>
    <m/>
    <d v="2023-07-04T00:00:00"/>
    <n v="194"/>
    <n v="12447"/>
    <s v="60678163"/>
    <s v="60678163"/>
    <m/>
    <m/>
    <n v="22744814"/>
    <m/>
    <m/>
    <m/>
    <s v="SOLFIN"/>
    <s v="SOLFIN"/>
    <s v="CCMS"/>
    <n v="21327492"/>
    <n v="7348.42"/>
    <m/>
    <s v="N"/>
    <n v="95"/>
    <d v="2023-07-04T19:00:48"/>
    <s v="Y"/>
    <s v="Routine Letter In"/>
    <s v="Prescribed Hourly Rates"/>
    <s v="Profit Cost"/>
    <s v="FAH"/>
    <s v="Y"/>
    <n v="321.3"/>
    <n v="64.26000000000001"/>
    <x v="1"/>
    <s v="VALIDATED"/>
    <n v="1"/>
    <s v="01.11.80.302.6100.0000"/>
    <n v="321.3"/>
    <s v="11"/>
    <s v="6100"/>
    <n v="34318.95"/>
    <n v="321.3"/>
    <s v="CREDITOR"/>
    <n v="0"/>
    <n v="0"/>
    <n v="0"/>
    <n v="0"/>
    <n v="321.3"/>
  </r>
  <r>
    <n v="60678163"/>
    <s v="N"/>
    <n v="21327492"/>
    <s v="3000014928670004"/>
    <s v="CIVIL"/>
    <d v="2023-06-22T00:00:00"/>
    <d v="2023-07-04T19:00:44"/>
    <m/>
    <d v="2023-07-04T00:00:00"/>
    <n v="194"/>
    <n v="12447"/>
    <s v="60678163"/>
    <s v="60678163"/>
    <m/>
    <m/>
    <n v="22744814"/>
    <m/>
    <m/>
    <m/>
    <s v="SOLFIN"/>
    <s v="SOLFIN"/>
    <s v="CCMS"/>
    <n v="21327492"/>
    <n v="7348.42"/>
    <m/>
    <s v="N"/>
    <n v="37"/>
    <d v="2023-07-04T19:00:48"/>
    <s v="Y"/>
    <s v="Attendance upon other"/>
    <s v="Prescribed Hourly Rates"/>
    <s v="Profit Cost"/>
    <s v="NAB"/>
    <s v="Y"/>
    <n v="33.26"/>
    <n v="6.65"/>
    <x v="1"/>
    <s v="VALIDATED"/>
    <n v="1"/>
    <s v="01.11.80.302.6100.0000"/>
    <n v="33.26"/>
    <s v="11"/>
    <s v="6100"/>
    <n v="34318.95"/>
    <n v="33.26"/>
    <s v="CREDITOR"/>
    <n v="0"/>
    <n v="0"/>
    <n v="0"/>
    <n v="0"/>
    <n v="33.26"/>
  </r>
  <r>
    <n v="60678163"/>
    <s v="N"/>
    <n v="21327492"/>
    <s v="3000014928670004"/>
    <s v="CIVIL"/>
    <d v="2023-06-22T00:00:00"/>
    <d v="2023-07-04T19:00:44"/>
    <m/>
    <d v="2023-07-04T00:00:00"/>
    <n v="194"/>
    <n v="12447"/>
    <s v="60678163"/>
    <s v="60678163"/>
    <m/>
    <m/>
    <n v="22744814"/>
    <m/>
    <m/>
    <m/>
    <s v="SOLFIN"/>
    <s v="SOLFIN"/>
    <s v="CCMS"/>
    <n v="21327492"/>
    <n v="7348.42"/>
    <m/>
    <s v="N"/>
    <n v="40"/>
    <d v="2023-07-04T19:00:48"/>
    <s v="Y"/>
    <s v="Attendance upon other"/>
    <s v="Prescribed Hourly Rates"/>
    <s v="Profit Cost"/>
    <s v="FAH"/>
    <s v="Y"/>
    <n v="16.63"/>
    <n v="3.33"/>
    <x v="1"/>
    <s v="VALIDATED"/>
    <n v="1"/>
    <s v="01.11.80.302.6100.0000"/>
    <n v="16.63"/>
    <s v="11"/>
    <s v="6100"/>
    <n v="34318.95"/>
    <n v="16.63"/>
    <s v="CREDITOR"/>
    <n v="0"/>
    <n v="0"/>
    <n v="0"/>
    <n v="0"/>
    <n v="16.63"/>
  </r>
  <r>
    <n v="62309851"/>
    <s v="N"/>
    <n v="21330932"/>
    <s v="3000016300730003"/>
    <s v="CIVIL"/>
    <d v="2023-06-28T00:00:00"/>
    <d v="2023-07-05T19:01:47"/>
    <m/>
    <d v="2023-07-05T00:00:00"/>
    <n v="194"/>
    <n v="12447"/>
    <s v="62309851"/>
    <s v="62309851"/>
    <m/>
    <m/>
    <n v="22775378"/>
    <m/>
    <m/>
    <m/>
    <s v="SOLFIN"/>
    <s v="SOLFIN"/>
    <s v="CCMS"/>
    <n v="21330932"/>
    <n v="4181.19"/>
    <m/>
    <s v="N"/>
    <n v="59"/>
    <d v="2023-07-05T19:01:57"/>
    <s v="Y"/>
    <s v="Preparation - other"/>
    <s v="Prescribed Hourly Rates"/>
    <s v="Profit Cost"/>
    <s v="YR"/>
    <s v="Y"/>
    <n v="33.26"/>
    <n v="6.65"/>
    <x v="6"/>
    <s v="VALIDATED"/>
    <n v="1"/>
    <s v="01.11.80.302.6100.0000"/>
    <n v="33.26"/>
    <s v="11"/>
    <s v="6100"/>
    <n v="34318.95"/>
    <n v="33.26"/>
    <s v="CREDITOR"/>
    <n v="0"/>
    <n v="0"/>
    <n v="0"/>
    <n v="0"/>
    <n v="33.26"/>
  </r>
  <r>
    <n v="62309851"/>
    <s v="N"/>
    <n v="21330932"/>
    <s v="3000016300730003"/>
    <s v="CIVIL"/>
    <d v="2023-06-28T00:00:00"/>
    <d v="2023-07-05T19:01:47"/>
    <m/>
    <d v="2023-07-05T00:00:00"/>
    <n v="194"/>
    <n v="12447"/>
    <s v="62309851"/>
    <s v="62309851"/>
    <m/>
    <m/>
    <n v="22775378"/>
    <m/>
    <m/>
    <m/>
    <s v="SOLFIN"/>
    <s v="SOLFIN"/>
    <s v="CCMS"/>
    <n v="21330932"/>
    <n v="4181.19"/>
    <m/>
    <s v="N"/>
    <n v="15"/>
    <d v="2023-07-05T19:01:57"/>
    <s v="Y"/>
    <s v="Preparation - other"/>
    <s v="Prescribed Hourly Rates"/>
    <s v="Profit Cost"/>
    <s v="YR"/>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2"/>
    <d v="2023-07-05T19:01:57"/>
    <s v="Y"/>
    <s v="Enquiry Agent"/>
    <s v="Prescribed Hourly Rates"/>
    <s v="Expert Disbursement"/>
    <s v="XXX"/>
    <s v="Y"/>
    <n v="100"/>
    <n v="20"/>
    <x v="6"/>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5"/>
    <d v="2023-07-04T19:00:48"/>
    <s v="Y"/>
    <s v="Enquiry Agent"/>
    <s v="Prescribed Hourly Rates"/>
    <s v="Expert Disbursement"/>
    <s v="XXX"/>
    <s v="Y"/>
    <n v="100"/>
    <n v="20"/>
    <x v="1"/>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78"/>
    <d v="2023-07-04T19:00:48"/>
    <s v="Y"/>
    <s v="Attendance upon client"/>
    <s v="Prescribed Hourly Rates"/>
    <s v="Profit Cost"/>
    <s v="FAH"/>
    <s v="Y"/>
    <n v="8.32"/>
    <n v="1.66"/>
    <x v="1"/>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13"/>
    <d v="2023-07-05T19:01:57"/>
    <s v="Y"/>
    <s v="Preparation - other"/>
    <s v="Prescribed Hourly Rates"/>
    <s v="Profit Cost"/>
    <s v="SP"/>
    <s v="Y"/>
    <n v="99.79000000000001"/>
    <n v="19.96"/>
    <x v="6"/>
    <s v="VALIDATED"/>
    <n v="1"/>
    <s v="01.11.80.302.6100.0000"/>
    <n v="99.79000000000001"/>
    <s v="11"/>
    <s v="6100"/>
    <n v="34318.95"/>
    <n v="99.79000000000001"/>
    <s v="CREDITOR"/>
    <n v="0"/>
    <n v="0"/>
    <n v="0"/>
    <n v="0"/>
    <n v="99.79000000000001"/>
  </r>
  <r>
    <n v="62309851"/>
    <s v="N"/>
    <n v="21330932"/>
    <s v="3000016300730003"/>
    <s v="CIVIL"/>
    <d v="2023-06-28T00:00:00"/>
    <d v="2023-07-05T19:01:47"/>
    <m/>
    <d v="2023-07-05T00:00:00"/>
    <n v="194"/>
    <n v="12447"/>
    <s v="62309851"/>
    <s v="62309851"/>
    <m/>
    <m/>
    <n v="22775378"/>
    <m/>
    <m/>
    <m/>
    <s v="SOLFIN"/>
    <s v="SOLFIN"/>
    <s v="CCMS"/>
    <n v="21330932"/>
    <n v="4181.19"/>
    <m/>
    <s v="N"/>
    <n v="8"/>
    <d v="2023-07-05T19:01:57"/>
    <s v="Y"/>
    <s v="Preparation - other"/>
    <s v="Prescribed Hourly Rates"/>
    <s v="Profit Cost"/>
    <s v="SP"/>
    <s v="Y"/>
    <n v="33.26"/>
    <n v="6.65"/>
    <x v="6"/>
    <s v="VALIDATED"/>
    <n v="1"/>
    <s v="01.11.80.302.6100.0000"/>
    <n v="33.26"/>
    <s v="11"/>
    <s v="6100"/>
    <n v="34318.95"/>
    <n v="33.26"/>
    <s v="CREDITOR"/>
    <n v="0"/>
    <n v="0"/>
    <n v="0"/>
    <n v="0"/>
    <n v="33.26"/>
  </r>
  <r>
    <n v="62260478"/>
    <s v="N"/>
    <n v="21330952"/>
    <s v="3000016258320003"/>
    <s v="CIVIL"/>
    <d v="2023-06-28T00:00:00"/>
    <d v="2023-07-05T19:01:47"/>
    <m/>
    <d v="2023-07-05T00:00:00"/>
    <n v="194"/>
    <n v="12447"/>
    <s v="62260478"/>
    <s v="62260478"/>
    <m/>
    <m/>
    <n v="22775374"/>
    <m/>
    <m/>
    <m/>
    <s v="SOLFIN"/>
    <s v="SOLFIN"/>
    <s v="CCMS"/>
    <n v="21330952"/>
    <n v="3936.68"/>
    <m/>
    <s v="N"/>
    <n v="37"/>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62"/>
    <d v="2023-07-05T19:01:59"/>
    <s v="Y"/>
    <s v="Preparation - other"/>
    <s v="Prescribed Hourly Rates"/>
    <s v="Profit Cost"/>
    <s v="DB"/>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3"/>
    <d v="2023-07-04T19:00:48"/>
    <s v="Y"/>
    <s v="Enquiry Agent"/>
    <s v="Prescribed Hourly Rates"/>
    <s v="Expert Disbursement"/>
    <s v="XXX"/>
    <s v="Y"/>
    <n v="100"/>
    <n v="20"/>
    <x v="1"/>
    <s v="VALIDATED"/>
    <n v="1"/>
    <s v="01.11.80.302.6300.0000"/>
    <n v="100"/>
    <s v="11"/>
    <s v="6300"/>
    <n v="34318.95"/>
    <n v="100"/>
    <s v="CREDITOR"/>
    <n v="0"/>
    <n v="0"/>
    <n v="0"/>
    <n v="0"/>
    <n v="100"/>
  </r>
  <r>
    <n v="62309851"/>
    <s v="N"/>
    <n v="21330932"/>
    <s v="3000016300730003"/>
    <s v="CIVIL"/>
    <d v="2023-06-28T00:00:00"/>
    <d v="2023-07-05T19:01:47"/>
    <m/>
    <d v="2023-07-05T00:00:00"/>
    <n v="194"/>
    <n v="12447"/>
    <s v="62309851"/>
    <s v="62309851"/>
    <m/>
    <m/>
    <n v="22775378"/>
    <m/>
    <m/>
    <m/>
    <s v="SOLFIN"/>
    <s v="SOLFIN"/>
    <s v="CCMS"/>
    <n v="21330932"/>
    <n v="4181.19"/>
    <m/>
    <s v="N"/>
    <n v="67"/>
    <d v="2023-07-05T19:01:57"/>
    <s v="Y"/>
    <s v="Routine Letter Out"/>
    <s v="Prescribed Hourly Rates"/>
    <s v="Profit Cost"/>
    <s v="YR"/>
    <s v="Y"/>
    <n v="272.16"/>
    <n v="54.43"/>
    <x v="6"/>
    <s v="VALIDATED"/>
    <n v="1"/>
    <s v="01.11.80.302.6100.0000"/>
    <n v="272.16"/>
    <s v="11"/>
    <s v="6100"/>
    <n v="34318.95"/>
    <n v="272.16"/>
    <s v="CREDITOR"/>
    <n v="0"/>
    <n v="0"/>
    <n v="0"/>
    <n v="0"/>
    <n v="272.16"/>
  </r>
  <r>
    <n v="62309851"/>
    <s v="N"/>
    <n v="21330932"/>
    <s v="3000016300730003"/>
    <s v="CIVIL"/>
    <d v="2023-06-28T00:00:00"/>
    <d v="2023-07-05T19:01:47"/>
    <m/>
    <d v="2023-07-05T00:00:00"/>
    <n v="194"/>
    <n v="12447"/>
    <s v="62309851"/>
    <s v="62309851"/>
    <m/>
    <m/>
    <n v="22775378"/>
    <m/>
    <m/>
    <m/>
    <s v="SOLFIN"/>
    <s v="SOLFIN"/>
    <s v="CCMS"/>
    <n v="21330932"/>
    <n v="4181.19"/>
    <m/>
    <s v="N"/>
    <n v="19"/>
    <d v="2023-07-05T19:01:57"/>
    <s v="Y"/>
    <s v="Preparation - other"/>
    <s v="Prescribed Hourly Rates"/>
    <s v="Profit Cost"/>
    <s v="MC"/>
    <s v="Y"/>
    <n v="74.84"/>
    <n v="14.97"/>
    <x v="6"/>
    <s v="VALIDATED"/>
    <n v="1"/>
    <s v="01.11.80.302.6100.0000"/>
    <n v="74.84"/>
    <s v="11"/>
    <s v="6100"/>
    <n v="34318.95"/>
    <n v="74.84"/>
    <s v="CREDITOR"/>
    <n v="0"/>
    <n v="0"/>
    <n v="0"/>
    <n v="0"/>
    <n v="74.84"/>
  </r>
  <r>
    <n v="62260478"/>
    <s v="N"/>
    <n v="21330952"/>
    <s v="3000016258320003"/>
    <s v="CIVIL"/>
    <d v="2023-06-28T00:00:00"/>
    <d v="2023-07-05T19:01:47"/>
    <m/>
    <d v="2023-07-05T00:00:00"/>
    <n v="194"/>
    <n v="12447"/>
    <s v="62260478"/>
    <s v="62260478"/>
    <m/>
    <m/>
    <n v="22775374"/>
    <m/>
    <m/>
    <m/>
    <s v="SOLFIN"/>
    <s v="SOLFIN"/>
    <s v="CCMS"/>
    <n v="21330952"/>
    <n v="3936.68"/>
    <m/>
    <s v="N"/>
    <n v="20"/>
    <d v="2023-07-05T19:01:59"/>
    <s v="Y"/>
    <s v="Preparation - other"/>
    <s v="Prescribed Hourly Rates"/>
    <s v="Profit Cost"/>
    <s v="DB"/>
    <s v="Y"/>
    <n v="124.74"/>
    <n v="24.95"/>
    <x v="6"/>
    <s v="VALIDATED"/>
    <n v="1"/>
    <s v="01.11.80.302.6100.0000"/>
    <n v="124.74"/>
    <s v="11"/>
    <s v="6100"/>
    <n v="34318.95"/>
    <n v="124.74"/>
    <s v="CREDITOR"/>
    <n v="0"/>
    <n v="0"/>
    <n v="0"/>
    <n v="0"/>
    <n v="124.74"/>
  </r>
  <r>
    <n v="62260478"/>
    <s v="N"/>
    <n v="21330952"/>
    <s v="3000016258320003"/>
    <s v="CIVIL"/>
    <d v="2023-06-28T00:00:00"/>
    <d v="2023-07-05T19:01:47"/>
    <m/>
    <d v="2023-07-05T00:00:00"/>
    <n v="194"/>
    <n v="12447"/>
    <s v="62260478"/>
    <s v="62260478"/>
    <m/>
    <m/>
    <n v="22775374"/>
    <m/>
    <m/>
    <m/>
    <s v="SOLFIN"/>
    <s v="SOLFIN"/>
    <s v="CCMS"/>
    <n v="21330952"/>
    <n v="3936.68"/>
    <m/>
    <s v="N"/>
    <n v="11"/>
    <d v="2023-07-05T19:01:59"/>
    <s v="Y"/>
    <s v="Preparation - other"/>
    <s v="Prescribed Hourly Rates"/>
    <s v="Profit Cost"/>
    <s v="FH"/>
    <s v="Y"/>
    <n v="41.58"/>
    <n v="8.32"/>
    <x v="6"/>
    <s v="VALIDATED"/>
    <n v="1"/>
    <s v="01.11.80.302.6100.0000"/>
    <n v="41.58"/>
    <s v="11"/>
    <s v="6100"/>
    <n v="34318.95"/>
    <n v="41.58"/>
    <s v="CREDITOR"/>
    <n v="0"/>
    <n v="0"/>
    <n v="0"/>
    <n v="0"/>
    <n v="41.58"/>
  </r>
  <r>
    <n v="60678163"/>
    <s v="N"/>
    <n v="21327492"/>
    <s v="3000014928670004"/>
    <s v="CIVIL"/>
    <d v="2023-06-22T00:00:00"/>
    <d v="2023-07-04T19:00:44"/>
    <m/>
    <d v="2023-07-04T00:00:00"/>
    <n v="194"/>
    <n v="12447"/>
    <s v="60678163"/>
    <s v="60678163"/>
    <m/>
    <m/>
    <n v="22744814"/>
    <m/>
    <m/>
    <m/>
    <s v="SOLFIN"/>
    <s v="SOLFIN"/>
    <s v="CCMS"/>
    <n v="21327492"/>
    <n v="7348.42"/>
    <m/>
    <s v="N"/>
    <n v="57"/>
    <d v="2023-07-04T19:00:48"/>
    <s v="Y"/>
    <s v="Preparation - other"/>
    <s v="Prescribed Hourly Rates"/>
    <s v="Profit Cost"/>
    <s v="FAH"/>
    <s v="Y"/>
    <n v="124.74"/>
    <n v="24.95"/>
    <x v="1"/>
    <s v="VALIDATED"/>
    <n v="1"/>
    <s v="01.11.80.302.6100.0000"/>
    <n v="124.74"/>
    <s v="11"/>
    <s v="6100"/>
    <n v="34318.95"/>
    <n v="124.74"/>
    <s v="CREDITOR"/>
    <n v="0"/>
    <n v="0"/>
    <n v="0"/>
    <n v="0"/>
    <n v="124.74"/>
  </r>
  <r>
    <n v="60678163"/>
    <s v="N"/>
    <n v="21327492"/>
    <s v="3000014928670004"/>
    <s v="CIVIL"/>
    <d v="2023-06-22T00:00:00"/>
    <d v="2023-07-04T19:00:44"/>
    <m/>
    <d v="2023-07-04T00:00:00"/>
    <n v="194"/>
    <n v="12447"/>
    <s v="60678163"/>
    <s v="60678163"/>
    <m/>
    <m/>
    <n v="22744814"/>
    <m/>
    <m/>
    <m/>
    <s v="SOLFIN"/>
    <s v="SOLFIN"/>
    <s v="CCMS"/>
    <n v="21327492"/>
    <n v="7348.42"/>
    <m/>
    <s v="N"/>
    <n v="15"/>
    <d v="2023-07-04T19:00:48"/>
    <s v="Y"/>
    <s v="Preparation - other"/>
    <s v="Prescribed Hourly Rates"/>
    <s v="Profit Cost"/>
    <s v="FAH"/>
    <s v="Y"/>
    <n v="16.63"/>
    <n v="3.33"/>
    <x v="1"/>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22"/>
    <d v="2023-07-04T19:00:48"/>
    <s v="Y"/>
    <s v="Preparation - other"/>
    <s v="Prescribed Hourly Rates"/>
    <s v="Profit Cost"/>
    <s v="FAH"/>
    <s v="Y"/>
    <n v="58.21"/>
    <n v="11.64"/>
    <x v="1"/>
    <s v="VALIDATED"/>
    <n v="1"/>
    <s v="01.11.80.302.6100.0000"/>
    <n v="58.21"/>
    <s v="11"/>
    <s v="6100"/>
    <n v="34318.95"/>
    <n v="58.21"/>
    <s v="CREDITOR"/>
    <n v="0"/>
    <n v="0"/>
    <n v="0"/>
    <n v="0"/>
    <n v="58.21"/>
  </r>
  <r>
    <n v="60678163"/>
    <s v="N"/>
    <n v="21327492"/>
    <s v="3000014928670004"/>
    <s v="CIVIL"/>
    <d v="2023-06-22T00:00:00"/>
    <d v="2023-07-04T19:00:44"/>
    <m/>
    <d v="2023-07-04T00:00:00"/>
    <n v="194"/>
    <n v="12447"/>
    <s v="60678163"/>
    <s v="60678163"/>
    <m/>
    <m/>
    <n v="22744814"/>
    <m/>
    <m/>
    <m/>
    <s v="SOLFIN"/>
    <s v="SOLFIN"/>
    <s v="CCMS"/>
    <n v="21327492"/>
    <n v="7348.42"/>
    <m/>
    <s v="N"/>
    <n v="79"/>
    <d v="2023-07-04T19:00:48"/>
    <s v="Y"/>
    <s v="Attendance upon client"/>
    <s v="Prescribed Hourly Rates"/>
    <s v="Profit Cost"/>
    <s v="FAH"/>
    <s v="Y"/>
    <n v="16.63"/>
    <n v="3.33"/>
    <x v="1"/>
    <s v="VALIDATED"/>
    <n v="1"/>
    <s v="01.11.80.302.6100.0000"/>
    <n v="16.63"/>
    <s v="11"/>
    <s v="6100"/>
    <n v="34318.95"/>
    <n v="16.63"/>
    <s v="CREDITOR"/>
    <n v="0"/>
    <n v="0"/>
    <n v="0"/>
    <n v="0"/>
    <n v="16.63"/>
  </r>
  <r>
    <n v="61788720"/>
    <s v="N"/>
    <n v="21382042"/>
    <s v="3000015864570002"/>
    <s v="CIVIL"/>
    <d v="2023-06-28T00:00:00"/>
    <d v="2023-07-17T19:01:46"/>
    <m/>
    <d v="2023-07-17T00:00:00"/>
    <n v="194"/>
    <n v="12447"/>
    <s v="61788720"/>
    <s v="61788720"/>
    <m/>
    <m/>
    <n v="22781892"/>
    <m/>
    <m/>
    <m/>
    <s v="SOLFIN"/>
    <s v="SOLFIN"/>
    <s v="CCMS"/>
    <n v="21382042"/>
    <n v="4185.9"/>
    <m/>
    <s v="N"/>
    <n v="4"/>
    <d v="2023-07-17T19:02:00"/>
    <s v="N"/>
    <s v="Level 4 Fixed Fee"/>
    <s v="Domestic Abuse"/>
    <s v="Profit Cost"/>
    <s v="XXX"/>
    <s v="N"/>
    <n v="0"/>
    <n v="0"/>
    <x v="8"/>
    <s v="VALIDATED"/>
    <n v="1"/>
    <s v="01.11.80.302.6100.0000"/>
    <n v="0"/>
    <s v="11"/>
    <s v="6100"/>
    <n v="34318.95"/>
    <n v="0"/>
    <s v="CREDITOR"/>
    <n v="0"/>
    <n v="0"/>
    <n v="0"/>
    <n v="0"/>
    <n v="0"/>
  </r>
  <r>
    <n v="61080230"/>
    <s v="N"/>
    <n v="21330559"/>
    <s v="3000015275730002"/>
    <s v="CIVIL"/>
    <d v="2023-06-23T00:00:00"/>
    <d v="2023-07-05T19:01:47"/>
    <m/>
    <d v="2023-07-05T00:00:00"/>
    <n v="194"/>
    <n v="12447"/>
    <s v="61080230"/>
    <s v="61080230"/>
    <m/>
    <m/>
    <n v="22755936"/>
    <m/>
    <m/>
    <m/>
    <s v="SOLFIN"/>
    <s v="SOLFIN"/>
    <s v="CCMS"/>
    <n v="21330559"/>
    <n v="3599.14"/>
    <m/>
    <s v="N"/>
    <n v="13"/>
    <d v="2023-07-05T19:01:51"/>
    <s v="Y"/>
    <s v="Preparation - other"/>
    <s v="Prescribed Hourly Rates"/>
    <s v="Profit Cost"/>
    <s v="DF1"/>
    <s v="Y"/>
    <n v="8.32"/>
    <n v="1.66"/>
    <x v="6"/>
    <s v="VALIDATED"/>
    <n v="1"/>
    <s v="01.11.80.302.6100.0000"/>
    <n v="8.32"/>
    <s v="11"/>
    <s v="6100"/>
    <n v="34318.95"/>
    <n v="8.32"/>
    <s v="CREDITOR"/>
    <n v="0"/>
    <n v="0"/>
    <n v="0"/>
    <n v="0"/>
    <n v="8.32"/>
  </r>
  <r>
    <n v="61080230"/>
    <s v="N"/>
    <n v="21330559"/>
    <s v="3000015275730002"/>
    <s v="CIVIL"/>
    <d v="2023-06-23T00:00:00"/>
    <d v="2023-07-05T19:01:47"/>
    <m/>
    <d v="2023-07-05T00:00:00"/>
    <n v="194"/>
    <n v="12447"/>
    <s v="61080230"/>
    <s v="61080230"/>
    <m/>
    <m/>
    <n v="22755936"/>
    <m/>
    <m/>
    <m/>
    <s v="SOLFIN"/>
    <s v="SOLFIN"/>
    <s v="CCMS"/>
    <n v="21330559"/>
    <n v="3599.14"/>
    <m/>
    <s v="N"/>
    <n v="19"/>
    <d v="2023-07-05T19:01:51"/>
    <s v="Y"/>
    <s v="Preparation - other"/>
    <s v="Prescribed Hourly Rates"/>
    <s v="Profit Cost"/>
    <s v="DF1"/>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56"/>
    <d v="2023-07-04T19:00:48"/>
    <s v="Y"/>
    <s v="Preparation - other"/>
    <s v="Prescribed Hourly Rates"/>
    <s v="Profit Cost"/>
    <s v="FAH"/>
    <s v="Y"/>
    <n v="191.27"/>
    <n v="38.25"/>
    <x v="1"/>
    <s v="VALIDATED"/>
    <n v="1"/>
    <s v="01.11.80.302.6100.0000"/>
    <n v="191.27"/>
    <s v="11"/>
    <s v="6100"/>
    <n v="34318.95"/>
    <n v="191.27"/>
    <s v="CREDITOR"/>
    <n v="0"/>
    <n v="0"/>
    <n v="0"/>
    <n v="0"/>
    <n v="191.27"/>
  </r>
  <r>
    <n v="60678163"/>
    <s v="N"/>
    <n v="21327492"/>
    <s v="3000014928670004"/>
    <s v="CIVIL"/>
    <d v="2023-06-22T00:00:00"/>
    <d v="2023-07-04T19:00:44"/>
    <m/>
    <d v="2023-07-04T00:00:00"/>
    <n v="194"/>
    <n v="12447"/>
    <s v="60678163"/>
    <s v="60678163"/>
    <m/>
    <m/>
    <n v="22744814"/>
    <m/>
    <m/>
    <m/>
    <s v="SOLFIN"/>
    <s v="SOLFIN"/>
    <s v="CCMS"/>
    <n v="21327492"/>
    <n v="7348.42"/>
    <m/>
    <s v="N"/>
    <n v="62"/>
    <d v="2023-07-04T19:00:48"/>
    <s v="Y"/>
    <s v="Attendance upon client"/>
    <s v="Prescribed Hourly Rates"/>
    <s v="Profit Cost"/>
    <s v="FAH"/>
    <s v="Y"/>
    <n v="8.32"/>
    <n v="1.66"/>
    <x v="1"/>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7"/>
    <d v="2023-07-17T19:02:09"/>
    <s v="Y"/>
    <s v="Preparation - other"/>
    <s v="Prescribed Hourly Rates"/>
    <s v="Profit Cost"/>
    <s v="FAH"/>
    <s v="Y"/>
    <n v="66.53"/>
    <n v="13.31"/>
    <x v="8"/>
    <s v="VALIDATED"/>
    <n v="1"/>
    <s v="01.11.80.302.6100.0000"/>
    <n v="66.53"/>
    <s v="11"/>
    <s v="6100"/>
    <n v="34318.95"/>
    <n v="66.53"/>
    <s v="CREDITOR"/>
    <n v="0"/>
    <n v="0"/>
    <n v="0"/>
    <n v="0"/>
    <n v="66.53"/>
  </r>
  <r>
    <n v="61788720"/>
    <s v="N"/>
    <n v="21382042"/>
    <s v="3000015864570002"/>
    <s v="CIVIL"/>
    <d v="2023-06-28T00:00:00"/>
    <d v="2023-07-17T19:01:46"/>
    <m/>
    <d v="2023-07-17T00:00:00"/>
    <n v="194"/>
    <n v="12447"/>
    <s v="61788720"/>
    <s v="61788720"/>
    <m/>
    <m/>
    <n v="22781892"/>
    <m/>
    <m/>
    <m/>
    <s v="SOLFIN"/>
    <s v="SOLFIN"/>
    <s v="CCMS"/>
    <n v="21382042"/>
    <n v="4185.9"/>
    <m/>
    <s v="N"/>
    <n v="49"/>
    <d v="2023-07-17T19:02:00"/>
    <s v="Y"/>
    <s v="Routine Letter In"/>
    <s v="Prescribed Hourly Rates"/>
    <s v="Profit Cost"/>
    <s v="FH"/>
    <s v="Y"/>
    <n v="79.38"/>
    <n v="15.88"/>
    <x v="8"/>
    <s v="VALIDATED"/>
    <n v="1"/>
    <s v="01.11.80.302.6100.0000"/>
    <n v="79.38"/>
    <s v="11"/>
    <s v="6100"/>
    <n v="34318.95"/>
    <n v="79.38"/>
    <s v="CREDITOR"/>
    <n v="0"/>
    <n v="0"/>
    <n v="0"/>
    <n v="0"/>
    <n v="79.38"/>
  </r>
  <r>
    <n v="61788720"/>
    <s v="N"/>
    <n v="21382042"/>
    <s v="3000015864570002"/>
    <s v="CIVIL"/>
    <d v="2023-06-28T00:00:00"/>
    <d v="2023-07-17T19:01:46"/>
    <m/>
    <d v="2023-07-17T00:00:00"/>
    <n v="194"/>
    <n v="12447"/>
    <s v="61788720"/>
    <s v="61788720"/>
    <m/>
    <m/>
    <n v="22781892"/>
    <m/>
    <m/>
    <m/>
    <s v="SOLFIN"/>
    <s v="SOLFIN"/>
    <s v="CCMS"/>
    <n v="21382042"/>
    <n v="4185.9"/>
    <m/>
    <s v="N"/>
    <n v="30"/>
    <d v="2023-07-17T19:02:00"/>
    <s v="Y"/>
    <s v="Preparation - other"/>
    <s v="Prescribed Hourly Rates"/>
    <s v="Profit Cost"/>
    <s v="FH"/>
    <s v="Y"/>
    <n v="66.53"/>
    <n v="13.31"/>
    <x v="8"/>
    <s v="VALIDATED"/>
    <n v="1"/>
    <s v="01.11.80.302.6100.0000"/>
    <n v="66.53"/>
    <s v="11"/>
    <s v="6100"/>
    <n v="34318.95"/>
    <n v="66.53"/>
    <s v="CREDITOR"/>
    <n v="0"/>
    <n v="0"/>
    <n v="0"/>
    <n v="0"/>
    <n v="66.53"/>
  </r>
  <r>
    <n v="61080230"/>
    <s v="N"/>
    <n v="21330559"/>
    <s v="3000015275730002"/>
    <s v="CIVIL"/>
    <d v="2023-06-23T00:00:00"/>
    <d v="2023-07-05T19:01:47"/>
    <m/>
    <d v="2023-07-05T00:00:00"/>
    <n v="194"/>
    <n v="12447"/>
    <s v="61080230"/>
    <s v="61080230"/>
    <m/>
    <m/>
    <n v="22755936"/>
    <m/>
    <m/>
    <m/>
    <s v="SOLFIN"/>
    <s v="SOLFIN"/>
    <s v="CCMS"/>
    <n v="21330559"/>
    <n v="3599.14"/>
    <m/>
    <s v="N"/>
    <n v="36"/>
    <d v="2023-07-05T19:01:51"/>
    <s v="Y"/>
    <s v="Preparation - other"/>
    <s v="Prescribed Hourly Rates"/>
    <s v="Profit Cost"/>
    <s v="DF1"/>
    <s v="Y"/>
    <n v="16.63"/>
    <n v="3.33"/>
    <x v="6"/>
    <s v="VALIDATED"/>
    <n v="1"/>
    <s v="01.11.80.302.6100.0000"/>
    <n v="16.63"/>
    <s v="11"/>
    <s v="6100"/>
    <n v="34318.95"/>
    <n v="16.63"/>
    <s v="CREDITOR"/>
    <n v="0"/>
    <n v="0"/>
    <n v="0"/>
    <n v="0"/>
    <n v="16.63"/>
  </r>
  <r>
    <n v="61080230"/>
    <s v="N"/>
    <n v="21330559"/>
    <s v="3000015275730002"/>
    <s v="CIVIL"/>
    <d v="2023-06-23T00:00:00"/>
    <d v="2023-07-05T19:01:47"/>
    <m/>
    <d v="2023-07-05T00:00:00"/>
    <n v="194"/>
    <n v="12447"/>
    <s v="61080230"/>
    <s v="61080230"/>
    <m/>
    <m/>
    <n v="22755936"/>
    <m/>
    <m/>
    <m/>
    <s v="SOLFIN"/>
    <s v="SOLFIN"/>
    <s v="CCMS"/>
    <n v="21330559"/>
    <n v="3599.14"/>
    <m/>
    <s v="N"/>
    <n v="49"/>
    <d v="2023-07-05T19:01:51"/>
    <s v="Y"/>
    <s v="Routine Telephone Call"/>
    <s v="Prescribed Hourly Rates"/>
    <s v="Profit Cost"/>
    <s v="DF1"/>
    <s v="Y"/>
    <n v="52.92"/>
    <n v="10.58"/>
    <x v="6"/>
    <s v="VALIDATED"/>
    <n v="1"/>
    <s v="01.11.80.302.6100.0000"/>
    <n v="52.92"/>
    <s v="11"/>
    <s v="6100"/>
    <n v="34318.95"/>
    <n v="52.92"/>
    <s v="CREDITOR"/>
    <n v="0"/>
    <n v="0"/>
    <n v="0"/>
    <n v="0"/>
    <n v="52.92"/>
  </r>
  <r>
    <n v="62260478"/>
    <s v="N"/>
    <n v="21330952"/>
    <s v="3000016258320003"/>
    <s v="CIVIL"/>
    <d v="2023-06-28T00:00:00"/>
    <d v="2023-07-05T19:01:47"/>
    <m/>
    <d v="2023-07-05T00:00:00"/>
    <n v="194"/>
    <n v="12447"/>
    <s v="62260478"/>
    <s v="62260478"/>
    <m/>
    <m/>
    <n v="22775374"/>
    <m/>
    <m/>
    <m/>
    <s v="SOLFIN"/>
    <s v="SOLFIN"/>
    <s v="CCMS"/>
    <n v="21330952"/>
    <n v="3936.68"/>
    <m/>
    <s v="N"/>
    <n v="29"/>
    <d v="2023-07-05T19:01:59"/>
    <s v="Y"/>
    <s v="Preparation - other"/>
    <s v="Prescribed Hourly Rates"/>
    <s v="Profit Cost"/>
    <s v="DB"/>
    <s v="Y"/>
    <n v="8.32"/>
    <n v="1.66"/>
    <x v="6"/>
    <s v="VALIDATED"/>
    <n v="1"/>
    <s v="01.11.80.302.6100.0000"/>
    <n v="8.32"/>
    <s v="11"/>
    <s v="6100"/>
    <n v="34318.95"/>
    <n v="8.32"/>
    <s v="CREDITOR"/>
    <n v="0"/>
    <n v="0"/>
    <n v="0"/>
    <n v="0"/>
    <n v="8.32"/>
  </r>
  <r>
    <n v="61788720"/>
    <s v="N"/>
    <n v="21382042"/>
    <s v="3000015864570002"/>
    <s v="CIVIL"/>
    <d v="2023-06-28T00:00:00"/>
    <d v="2023-07-17T19:01:46"/>
    <m/>
    <d v="2023-07-17T00:00:00"/>
    <n v="194"/>
    <n v="12447"/>
    <s v="61788720"/>
    <s v="61788720"/>
    <m/>
    <m/>
    <n v="22781892"/>
    <m/>
    <m/>
    <m/>
    <s v="SOLFIN"/>
    <s v="SOLFIN"/>
    <s v="CCMS"/>
    <n v="21382042"/>
    <n v="4185.9"/>
    <m/>
    <s v="N"/>
    <n v="3"/>
    <d v="2023-07-17T19:02:00"/>
    <s v="Y"/>
    <s v="Hearing Unit 1.01 - 2.30 Hours"/>
    <s v="Domestic Abuse"/>
    <s v="Advocacy"/>
    <s v="FH"/>
    <s v="Y"/>
    <n v="203.76"/>
    <n v="40.75"/>
    <x v="8"/>
    <s v="VALIDATED"/>
    <n v="1"/>
    <s v="01.11.80.302.6100.0000"/>
    <n v="203.76"/>
    <s v="11"/>
    <s v="6100"/>
    <n v="34318.95"/>
    <n v="203.76"/>
    <s v="CREDITOR"/>
    <n v="0"/>
    <n v="0"/>
    <n v="0"/>
    <n v="0"/>
    <n v="203.76"/>
  </r>
  <r>
    <n v="61130472"/>
    <s v="N"/>
    <n v="21382407"/>
    <s v="3000015317490003"/>
    <s v="CIVIL"/>
    <d v="2023-06-28T00:00:00"/>
    <d v="2023-07-17T19:01:46"/>
    <m/>
    <d v="2023-07-17T00:00:00"/>
    <n v="194"/>
    <n v="12447"/>
    <s v="61130472"/>
    <s v="61130472"/>
    <m/>
    <m/>
    <n v="22775508"/>
    <m/>
    <m/>
    <m/>
    <s v="SOLFIN"/>
    <s v="SOLFIN"/>
    <s v="CCMS"/>
    <n v="21382407"/>
    <n v="4109"/>
    <m/>
    <s v="N"/>
    <n v="12"/>
    <d v="2023-07-17T19:02:09"/>
    <s v="Y"/>
    <s v="Preparation - other"/>
    <s v="Prescribed Hourly Rates"/>
    <s v="Profit Cost"/>
    <s v="FAH"/>
    <s v="Y"/>
    <n v="124.74"/>
    <n v="24.95"/>
    <x v="8"/>
    <s v="VALIDATED"/>
    <n v="1"/>
    <s v="01.11.80.302.6100.0000"/>
    <n v="124.74"/>
    <s v="11"/>
    <s v="6100"/>
    <n v="34318.95"/>
    <n v="124.74"/>
    <s v="CREDITOR"/>
    <n v="0"/>
    <n v="0"/>
    <n v="0"/>
    <n v="0"/>
    <n v="124.74"/>
  </r>
  <r>
    <n v="61080230"/>
    <s v="N"/>
    <n v="21330559"/>
    <s v="3000015275730002"/>
    <s v="CIVIL"/>
    <d v="2023-06-23T00:00:00"/>
    <d v="2023-07-05T19:01:47"/>
    <m/>
    <d v="2023-07-05T00:00:00"/>
    <n v="194"/>
    <n v="12447"/>
    <s v="61080230"/>
    <s v="61080230"/>
    <m/>
    <m/>
    <n v="22755936"/>
    <m/>
    <m/>
    <m/>
    <s v="SOLFIN"/>
    <s v="SOLFIN"/>
    <s v="CCMS"/>
    <n v="21330559"/>
    <n v="3599.14"/>
    <m/>
    <s v="N"/>
    <n v="37"/>
    <d v="2023-07-05T19:01:51"/>
    <s v="Y"/>
    <s v="Preparation - other"/>
    <s v="Prescribed Hourly Rates"/>
    <s v="Profit Cost"/>
    <s v="DF1"/>
    <s v="Y"/>
    <n v="83.16"/>
    <n v="16.63"/>
    <x v="6"/>
    <s v="VALIDATED"/>
    <n v="1"/>
    <s v="01.11.80.302.6100.0000"/>
    <n v="83.16"/>
    <s v="11"/>
    <s v="6100"/>
    <n v="34318.95"/>
    <n v="83.16"/>
    <s v="CREDITOR"/>
    <n v="0"/>
    <n v="0"/>
    <n v="0"/>
    <n v="0"/>
    <n v="83.16"/>
  </r>
  <r>
    <n v="62309851"/>
    <s v="N"/>
    <n v="21330932"/>
    <s v="3000016300730003"/>
    <s v="CIVIL"/>
    <d v="2023-06-28T00:00:00"/>
    <d v="2023-07-05T19:01:47"/>
    <m/>
    <d v="2023-07-05T00:00:00"/>
    <n v="194"/>
    <n v="12447"/>
    <s v="62309851"/>
    <s v="62309851"/>
    <m/>
    <m/>
    <n v="22775378"/>
    <m/>
    <m/>
    <m/>
    <s v="SOLFIN"/>
    <s v="SOLFIN"/>
    <s v="CCMS"/>
    <n v="21330932"/>
    <n v="4181.19"/>
    <m/>
    <s v="N"/>
    <n v="62"/>
    <d v="2023-07-05T19:01:57"/>
    <s v="Y"/>
    <s v="Preparation - other"/>
    <s v="Prescribed Hourly Rates"/>
    <s v="Profit Cost"/>
    <s v="YR"/>
    <s v="Y"/>
    <n v="83.16"/>
    <n v="16.63"/>
    <x v="6"/>
    <s v="VALIDATED"/>
    <n v="1"/>
    <s v="01.11.80.302.6100.0000"/>
    <n v="83.16"/>
    <s v="11"/>
    <s v="6100"/>
    <n v="34318.95"/>
    <n v="83.16"/>
    <s v="CREDITOR"/>
    <n v="0"/>
    <n v="0"/>
    <n v="0"/>
    <n v="0"/>
    <n v="83.16"/>
  </r>
  <r>
    <n v="62309851"/>
    <s v="N"/>
    <n v="21330932"/>
    <s v="3000016300730003"/>
    <s v="CIVIL"/>
    <d v="2023-06-28T00:00:00"/>
    <d v="2023-07-05T19:01:47"/>
    <m/>
    <d v="2023-07-05T00:00:00"/>
    <n v="194"/>
    <n v="12447"/>
    <s v="62309851"/>
    <s v="62309851"/>
    <m/>
    <m/>
    <n v="22775378"/>
    <m/>
    <m/>
    <m/>
    <s v="SOLFIN"/>
    <s v="SOLFIN"/>
    <s v="CCMS"/>
    <n v="21330932"/>
    <n v="4181.19"/>
    <m/>
    <s v="N"/>
    <n v="49"/>
    <d v="2023-07-05T19:01:57"/>
    <s v="Y"/>
    <s v="Preparation - other"/>
    <s v="Prescribed Hourly Rates"/>
    <s v="Profit Cost"/>
    <s v="MC"/>
    <s v="Y"/>
    <n v="41.58"/>
    <n v="8.32"/>
    <x v="6"/>
    <s v="VALIDATED"/>
    <n v="1"/>
    <s v="01.11.80.302.6100.0000"/>
    <n v="41.58"/>
    <s v="11"/>
    <s v="6100"/>
    <n v="34318.95"/>
    <n v="41.58"/>
    <s v="CREDITOR"/>
    <n v="0"/>
    <n v="0"/>
    <n v="0"/>
    <n v="0"/>
    <n v="41.58"/>
  </r>
  <r>
    <n v="62260478"/>
    <s v="N"/>
    <n v="21330952"/>
    <s v="3000016258320003"/>
    <s v="CIVIL"/>
    <d v="2023-06-28T00:00:00"/>
    <d v="2023-07-05T19:01:47"/>
    <m/>
    <d v="2023-07-05T00:00:00"/>
    <n v="194"/>
    <n v="12447"/>
    <s v="62260478"/>
    <s v="62260478"/>
    <m/>
    <m/>
    <n v="22775374"/>
    <m/>
    <m/>
    <m/>
    <s v="SOLFIN"/>
    <s v="SOLFIN"/>
    <s v="CCMS"/>
    <n v="21330952"/>
    <n v="3936.68"/>
    <m/>
    <s v="N"/>
    <n v="35"/>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72"/>
    <d v="2023-07-05T19:01:59"/>
    <s v="Y"/>
    <s v="Preparation - drafting bill/claim f"/>
    <s v="Prescribed Hourly Rates"/>
    <s v="Profit Cost"/>
    <s v="CD"/>
    <s v="Y"/>
    <n v="457.38"/>
    <n v="91.52"/>
    <x v="6"/>
    <s v="VALIDATED"/>
    <n v="1"/>
    <s v="01.11.80.302.6100.0000"/>
    <n v="457.38"/>
    <s v="11"/>
    <s v="6100"/>
    <n v="34318.95"/>
    <n v="457.38"/>
    <s v="CREDITOR"/>
    <n v="0"/>
    <n v="0"/>
    <n v="0"/>
    <n v="0"/>
    <n v="457.38"/>
  </r>
  <r>
    <n v="62309851"/>
    <s v="N"/>
    <n v="21330932"/>
    <s v="3000016300730003"/>
    <s v="CIVIL"/>
    <d v="2023-06-28T00:00:00"/>
    <d v="2023-07-05T19:01:47"/>
    <m/>
    <d v="2023-07-05T00:00:00"/>
    <n v="194"/>
    <n v="12447"/>
    <s v="62309851"/>
    <s v="62309851"/>
    <m/>
    <m/>
    <n v="22775378"/>
    <m/>
    <m/>
    <m/>
    <s v="SOLFIN"/>
    <s v="SOLFIN"/>
    <s v="CCMS"/>
    <n v="21330932"/>
    <n v="4181.19"/>
    <m/>
    <s v="N"/>
    <n v="41"/>
    <d v="2023-07-05T19:01:57"/>
    <s v="Y"/>
    <s v="Attendance upon client"/>
    <s v="Prescribed Hourly Rates"/>
    <s v="Profit Cost"/>
    <s v="YR"/>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16"/>
    <d v="2023-07-04T19:00:48"/>
    <s v="Y"/>
    <s v="Preparation - other"/>
    <s v="Prescribed Hourly Rates"/>
    <s v="Profit Cost"/>
    <s v="NAB"/>
    <s v="Y"/>
    <n v="207.9"/>
    <n v="41.58"/>
    <x v="1"/>
    <s v="VALIDATED"/>
    <n v="1"/>
    <s v="01.11.80.302.6100.0000"/>
    <n v="207.9"/>
    <s v="11"/>
    <s v="6100"/>
    <n v="34318.95"/>
    <n v="207.9"/>
    <s v="CREDITOR"/>
    <n v="0"/>
    <n v="0"/>
    <n v="0"/>
    <n v="0"/>
    <n v="207.9"/>
  </r>
  <r>
    <n v="61130472"/>
    <s v="N"/>
    <n v="21382407"/>
    <s v="3000015317490003"/>
    <s v="CIVIL"/>
    <d v="2023-06-28T00:00:00"/>
    <d v="2023-07-17T19:01:46"/>
    <m/>
    <d v="2023-07-17T00:00:00"/>
    <n v="194"/>
    <n v="12447"/>
    <s v="61130472"/>
    <s v="61130472"/>
    <m/>
    <m/>
    <n v="22775508"/>
    <m/>
    <m/>
    <m/>
    <s v="SOLFIN"/>
    <s v="SOLFIN"/>
    <s v="CCMS"/>
    <n v="21382407"/>
    <n v="4109"/>
    <m/>
    <s v="N"/>
    <n v="3"/>
    <d v="2023-07-17T19:02:09"/>
    <s v="Y"/>
    <s v="Final Hearing - 1 Day"/>
    <s v="Domestic Abuse"/>
    <s v="Advocacy"/>
    <s v="KB"/>
    <s v="Y"/>
    <n v="361.17"/>
    <n v="72.23"/>
    <x v="8"/>
    <s v="VALIDATED"/>
    <n v="1"/>
    <s v="01.11.80.302.6100.0000"/>
    <n v="361.17"/>
    <s v="11"/>
    <s v="6100"/>
    <n v="34318.95"/>
    <n v="361.17"/>
    <s v="CREDITOR"/>
    <n v="0"/>
    <n v="0"/>
    <n v="0"/>
    <n v="0"/>
    <n v="361.17"/>
  </r>
  <r>
    <n v="61788720"/>
    <s v="N"/>
    <n v="21382042"/>
    <s v="3000015864570002"/>
    <s v="CIVIL"/>
    <d v="2023-06-28T00:00:00"/>
    <d v="2023-07-17T19:01:46"/>
    <m/>
    <d v="2023-07-17T00:00:00"/>
    <n v="194"/>
    <n v="12447"/>
    <s v="61788720"/>
    <s v="61788720"/>
    <m/>
    <m/>
    <n v="22781892"/>
    <m/>
    <m/>
    <m/>
    <s v="SOLFIN"/>
    <s v="SOLFIN"/>
    <s v="CCMS"/>
    <n v="21382042"/>
    <n v="4185.9"/>
    <m/>
    <s v="N"/>
    <n v="20"/>
    <d v="2023-07-17T19:02:00"/>
    <s v="Y"/>
    <s v="Preparation - other"/>
    <s v="Prescribed Hourly Rates"/>
    <s v="Profit Cost"/>
    <s v="FH"/>
    <s v="Y"/>
    <n v="8.32"/>
    <n v="1.66"/>
    <x v="8"/>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54"/>
    <d v="2023-07-05T19:01:57"/>
    <s v="Y"/>
    <s v="Preparation - other"/>
    <s v="Prescribed Hourly Rates"/>
    <s v="Profit Cost"/>
    <s v="YR"/>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17"/>
    <d v="2023-07-05T19:01:57"/>
    <s v="Y"/>
    <s v="Attendance upon client"/>
    <s v="Prescribed Hourly Rates"/>
    <s v="Profit Cost"/>
    <s v="YR"/>
    <s v="Y"/>
    <n v="166.32"/>
    <n v="33.26"/>
    <x v="6"/>
    <s v="VALIDATED"/>
    <n v="1"/>
    <s v="01.11.80.302.6100.0000"/>
    <n v="166.32"/>
    <s v="11"/>
    <s v="6100"/>
    <n v="34318.95"/>
    <n v="166.32"/>
    <s v="CREDITOR"/>
    <n v="0"/>
    <n v="0"/>
    <n v="0"/>
    <n v="0"/>
    <n v="166.32"/>
  </r>
  <r>
    <n v="62260478"/>
    <s v="N"/>
    <n v="21330952"/>
    <s v="3000016258320003"/>
    <s v="CIVIL"/>
    <d v="2023-06-28T00:00:00"/>
    <d v="2023-07-05T19:01:47"/>
    <m/>
    <d v="2023-07-05T00:00:00"/>
    <n v="194"/>
    <n v="12447"/>
    <s v="62260478"/>
    <s v="62260478"/>
    <m/>
    <m/>
    <n v="22775374"/>
    <m/>
    <m/>
    <m/>
    <s v="SOLFIN"/>
    <s v="SOLFIN"/>
    <s v="CCMS"/>
    <n v="21330952"/>
    <n v="3936.68"/>
    <m/>
    <s v="N"/>
    <n v="71"/>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39"/>
    <d v="2023-07-05T19:01:57"/>
    <s v="Y"/>
    <s v="Attendance upon client"/>
    <s v="Prescribed Hourly Rates"/>
    <s v="Profit Cost"/>
    <s v="YR"/>
    <s v="Y"/>
    <n v="24.95"/>
    <n v="4.99"/>
    <x v="6"/>
    <s v="VALIDATED"/>
    <n v="1"/>
    <s v="01.11.80.302.6100.0000"/>
    <n v="24.95"/>
    <s v="11"/>
    <s v="6100"/>
    <n v="34318.95"/>
    <n v="24.95"/>
    <s v="CREDITOR"/>
    <n v="0"/>
    <n v="0"/>
    <n v="0"/>
    <n v="0"/>
    <n v="24.95"/>
  </r>
  <r>
    <n v="61766009"/>
    <s v="N"/>
    <n v="21328257"/>
    <s v="3000015844440002"/>
    <s v="CIVIL"/>
    <d v="2023-06-23T00:00:00"/>
    <d v="2023-07-04T19:00:44"/>
    <m/>
    <d v="2023-07-04T00:00:00"/>
    <n v="194"/>
    <n v="12447"/>
    <s v="61766009"/>
    <s v="61766009"/>
    <m/>
    <m/>
    <n v="22754158"/>
    <m/>
    <m/>
    <m/>
    <s v="SOLFIN"/>
    <s v="SOLFIN"/>
    <s v="CCMS"/>
    <n v="21328257"/>
    <n v="1911.8"/>
    <m/>
    <s v="N"/>
    <n v="4"/>
    <d v="2023-07-04T19:01:10"/>
    <s v="Y"/>
    <s v="Level 3 Fixed Fee"/>
    <s v="Private Law Children"/>
    <s v="Profit Cost"/>
    <s v="NAB"/>
    <s v="Y"/>
    <n v="424"/>
    <n v="84.8"/>
    <x v="1"/>
    <s v="VALIDATED"/>
    <n v="1"/>
    <s v="01.11.80.302.6100.0000"/>
    <n v="424"/>
    <s v="11"/>
    <s v="6100"/>
    <n v="34318.95"/>
    <n v="424"/>
    <s v="CREDITOR"/>
    <n v="0"/>
    <n v="0"/>
    <n v="0"/>
    <n v="0"/>
    <n v="424"/>
  </r>
  <r>
    <n v="60678163"/>
    <s v="N"/>
    <n v="21327492"/>
    <s v="3000014928670004"/>
    <s v="CIVIL"/>
    <d v="2023-06-22T00:00:00"/>
    <d v="2023-07-04T19:00:44"/>
    <m/>
    <d v="2023-07-04T00:00:00"/>
    <n v="194"/>
    <n v="12447"/>
    <s v="60678163"/>
    <s v="60678163"/>
    <m/>
    <m/>
    <n v="22744814"/>
    <m/>
    <m/>
    <m/>
    <s v="SOLFIN"/>
    <s v="SOLFIN"/>
    <s v="CCMS"/>
    <n v="21327492"/>
    <n v="7348.42"/>
    <m/>
    <s v="N"/>
    <n v="75"/>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83"/>
    <d v="2023-07-04T19:00:48"/>
    <s v="Y"/>
    <s v="Attendance upon client"/>
    <s v="Prescribed Hourly Rates"/>
    <s v="Profit Cost"/>
    <s v="FAH"/>
    <s v="Y"/>
    <n v="8.32"/>
    <n v="1.66"/>
    <x v="1"/>
    <s v="VALIDATED"/>
    <n v="1"/>
    <s v="01.11.80.302.6100.0000"/>
    <n v="8.32"/>
    <s v="11"/>
    <s v="6100"/>
    <n v="34318.95"/>
    <n v="8.32"/>
    <s v="CREDITOR"/>
    <n v="0"/>
    <n v="0"/>
    <n v="0"/>
    <n v="0"/>
    <n v="8.32"/>
  </r>
  <r>
    <n v="61895447"/>
    <s v="N"/>
    <n v="21318965"/>
    <s v="3000015953910001"/>
    <s v="CIVIL"/>
    <d v="2023-06-17T00:00:00"/>
    <d v="2023-07-03T19:01:49"/>
    <m/>
    <d v="2023-07-03T00:00:00"/>
    <n v="194"/>
    <n v="12447"/>
    <s v="61895447"/>
    <s v="61895447"/>
    <m/>
    <m/>
    <n v="22710360"/>
    <m/>
    <m/>
    <m/>
    <s v="SOLFIN"/>
    <s v="SOLFIN"/>
    <s v="CCMS"/>
    <n v="21318965"/>
    <n v="849.6"/>
    <m/>
    <s v="N"/>
    <n v="1"/>
    <d v="2023-07-03T19:02:05"/>
    <s v="Y"/>
    <s v="Process server"/>
    <s v="Domestic Abuse"/>
    <s v="Expert Disbursement"/>
    <s v="df"/>
    <s v="Y"/>
    <n v="100"/>
    <n v="20"/>
    <x v="3"/>
    <s v="VALIDATED"/>
    <n v="1"/>
    <s v="01.11.80.302.6300.0000"/>
    <n v="100"/>
    <s v="11"/>
    <s v="6300"/>
    <n v="34318.95"/>
    <n v="100"/>
    <s v="CREDITOR"/>
    <n v="0"/>
    <n v="0"/>
    <n v="0"/>
    <n v="0"/>
    <n v="100"/>
  </r>
  <r>
    <n v="61130472"/>
    <s v="N"/>
    <n v="21382407"/>
    <s v="3000015317490003"/>
    <s v="CIVIL"/>
    <d v="2023-06-28T00:00:00"/>
    <d v="2023-07-17T19:01:46"/>
    <m/>
    <d v="2023-07-17T00:00:00"/>
    <n v="194"/>
    <n v="12447"/>
    <s v="61130472"/>
    <s v="61130472"/>
    <m/>
    <m/>
    <n v="22775508"/>
    <m/>
    <m/>
    <m/>
    <s v="SOLFIN"/>
    <s v="SOLFIN"/>
    <s v="CCMS"/>
    <n v="21382407"/>
    <n v="4109"/>
    <m/>
    <s v="N"/>
    <n v="27"/>
    <d v="2023-07-17T19:02:09"/>
    <s v="Y"/>
    <s v="Preparation - other"/>
    <s v="Prescribed Hourly Rates"/>
    <s v="Profit Cost"/>
    <s v="FAH"/>
    <s v="Y"/>
    <n v="166.32"/>
    <n v="33.26"/>
    <x v="8"/>
    <s v="VALIDATED"/>
    <n v="1"/>
    <s v="01.11.80.302.6100.0000"/>
    <n v="166.32"/>
    <s v="11"/>
    <s v="6100"/>
    <n v="34318.95"/>
    <n v="166.32"/>
    <s v="CREDITOR"/>
    <n v="0"/>
    <n v="0"/>
    <n v="0"/>
    <n v="0"/>
    <n v="166.32"/>
  </r>
  <r>
    <n v="61130472"/>
    <s v="N"/>
    <n v="21382407"/>
    <s v="3000015317490003"/>
    <s v="CIVIL"/>
    <d v="2023-06-28T00:00:00"/>
    <d v="2023-07-17T19:01:46"/>
    <m/>
    <d v="2023-07-17T00:00:00"/>
    <n v="194"/>
    <n v="12447"/>
    <s v="61130472"/>
    <s v="61130472"/>
    <m/>
    <m/>
    <n v="22775508"/>
    <m/>
    <m/>
    <m/>
    <s v="SOLFIN"/>
    <s v="SOLFIN"/>
    <s v="CCMS"/>
    <n v="21382407"/>
    <n v="4109"/>
    <m/>
    <s v="N"/>
    <n v="9"/>
    <d v="2023-07-17T19:02:09"/>
    <s v="Y"/>
    <s v="Preparation - other"/>
    <s v="Prescribed Hourly Rates"/>
    <s v="Profit Cost"/>
    <s v="FAH"/>
    <s v="Y"/>
    <n v="66.53"/>
    <n v="13.31"/>
    <x v="8"/>
    <s v="VALIDATED"/>
    <n v="1"/>
    <s v="01.11.80.302.6100.0000"/>
    <n v="66.53"/>
    <s v="11"/>
    <s v="6100"/>
    <n v="34318.95"/>
    <n v="66.53"/>
    <s v="CREDITOR"/>
    <n v="0"/>
    <n v="0"/>
    <n v="0"/>
    <n v="0"/>
    <n v="66.53"/>
  </r>
  <r>
    <n v="61788720"/>
    <s v="N"/>
    <n v="21382042"/>
    <s v="3000015864570002"/>
    <s v="CIVIL"/>
    <d v="2023-06-28T00:00:00"/>
    <d v="2023-07-17T19:01:46"/>
    <m/>
    <d v="2023-07-17T00:00:00"/>
    <n v="194"/>
    <n v="12447"/>
    <s v="61788720"/>
    <s v="61788720"/>
    <m/>
    <m/>
    <n v="22781892"/>
    <m/>
    <m/>
    <m/>
    <s v="SOLFIN"/>
    <s v="SOLFIN"/>
    <s v="CCMS"/>
    <n v="21382042"/>
    <n v="4185.9"/>
    <m/>
    <s v="N"/>
    <n v="13"/>
    <d v="2023-07-17T19:02:00"/>
    <s v="Y"/>
    <s v="Preparation - other"/>
    <s v="Prescribed Hourly Rates"/>
    <s v="Profit Cost"/>
    <s v="FH"/>
    <s v="Y"/>
    <n v="16.63"/>
    <n v="3.33"/>
    <x v="8"/>
    <s v="VALIDATED"/>
    <n v="1"/>
    <s v="01.11.80.302.6100.0000"/>
    <n v="16.63"/>
    <s v="11"/>
    <s v="6100"/>
    <n v="34318.95"/>
    <n v="16.63"/>
    <s v="CREDITOR"/>
    <n v="0"/>
    <n v="0"/>
    <n v="0"/>
    <n v="0"/>
    <n v="16.63"/>
  </r>
  <r>
    <n v="61788720"/>
    <s v="N"/>
    <n v="21382042"/>
    <s v="3000015864570002"/>
    <s v="CIVIL"/>
    <d v="2023-06-28T00:00:00"/>
    <d v="2023-07-17T19:01:46"/>
    <m/>
    <d v="2023-07-17T00:00:00"/>
    <n v="194"/>
    <n v="12447"/>
    <s v="61788720"/>
    <s v="61788720"/>
    <m/>
    <m/>
    <n v="22781892"/>
    <m/>
    <m/>
    <m/>
    <s v="SOLFIN"/>
    <s v="SOLFIN"/>
    <s v="CCMS"/>
    <n v="21382042"/>
    <n v="4185.9"/>
    <m/>
    <s v="N"/>
    <n v="22"/>
    <d v="2023-07-17T19:02:00"/>
    <s v="Y"/>
    <s v="Preparation - other"/>
    <s v="Prescribed Hourly Rates"/>
    <s v="Profit Cost"/>
    <s v="FA"/>
    <s v="Y"/>
    <n v="33.26"/>
    <n v="6.65"/>
    <x v="8"/>
    <s v="VALIDATED"/>
    <n v="1"/>
    <s v="01.11.80.302.6100.0000"/>
    <n v="33.26"/>
    <s v="11"/>
    <s v="6100"/>
    <n v="34318.95"/>
    <n v="33.26"/>
    <s v="CREDITOR"/>
    <n v="0"/>
    <n v="0"/>
    <n v="0"/>
    <n v="0"/>
    <n v="33.26"/>
  </r>
  <r>
    <n v="61080230"/>
    <s v="N"/>
    <n v="21330559"/>
    <s v="3000015275730002"/>
    <s v="CIVIL"/>
    <d v="2023-06-23T00:00:00"/>
    <d v="2023-07-05T19:01:47"/>
    <m/>
    <d v="2023-07-05T00:00:00"/>
    <n v="194"/>
    <n v="12447"/>
    <s v="61080230"/>
    <s v="61080230"/>
    <m/>
    <m/>
    <n v="22755936"/>
    <m/>
    <m/>
    <m/>
    <s v="SOLFIN"/>
    <s v="SOLFIN"/>
    <s v="CCMS"/>
    <n v="21330559"/>
    <n v="3599.14"/>
    <m/>
    <s v="N"/>
    <n v="4"/>
    <d v="2023-07-05T19:01:51"/>
    <s v="Y"/>
    <s v="Preparation - other"/>
    <s v="Prescribed Hourly Rates"/>
    <s v="Profit Cost"/>
    <s v="DF1"/>
    <s v="Y"/>
    <n v="33.26"/>
    <n v="6.65"/>
    <x v="6"/>
    <s v="VALIDATED"/>
    <n v="1"/>
    <s v="01.11.80.302.6100.0000"/>
    <n v="33.26"/>
    <s v="11"/>
    <s v="6100"/>
    <n v="34318.95"/>
    <n v="33.26"/>
    <s v="CREDITOR"/>
    <n v="0"/>
    <n v="0"/>
    <n v="0"/>
    <n v="0"/>
    <n v="33.26"/>
  </r>
  <r>
    <n v="61080230"/>
    <s v="N"/>
    <n v="21330559"/>
    <s v="3000015275730002"/>
    <s v="CIVIL"/>
    <d v="2023-06-23T00:00:00"/>
    <d v="2023-07-05T19:01:47"/>
    <m/>
    <d v="2023-07-05T00:00:00"/>
    <n v="194"/>
    <n v="12447"/>
    <s v="61080230"/>
    <s v="61080230"/>
    <m/>
    <m/>
    <n v="22755936"/>
    <m/>
    <m/>
    <m/>
    <s v="SOLFIN"/>
    <s v="SOLFIN"/>
    <s v="CCMS"/>
    <n v="21330559"/>
    <n v="3599.14"/>
    <m/>
    <s v="N"/>
    <n v="20"/>
    <d v="2023-07-05T19:01:51"/>
    <s v="Y"/>
    <s v="Attendance upon client"/>
    <s v="Prescribed Hourly Rates"/>
    <s v="Profit Cost"/>
    <s v="DF1"/>
    <s v="Y"/>
    <n v="8.32"/>
    <n v="1.66"/>
    <x v="6"/>
    <s v="VALIDATED"/>
    <n v="1"/>
    <s v="01.11.80.302.6100.0000"/>
    <n v="8.32"/>
    <s v="11"/>
    <s v="6100"/>
    <n v="34318.95"/>
    <n v="8.32"/>
    <s v="CREDITOR"/>
    <n v="0"/>
    <n v="0"/>
    <n v="0"/>
    <n v="0"/>
    <n v="8.32"/>
  </r>
  <r>
    <n v="61080230"/>
    <s v="N"/>
    <n v="21330559"/>
    <s v="3000015275730002"/>
    <s v="CIVIL"/>
    <d v="2023-06-23T00:00:00"/>
    <d v="2023-07-05T19:01:47"/>
    <m/>
    <d v="2023-07-05T00:00:00"/>
    <n v="194"/>
    <n v="12447"/>
    <s v="61080230"/>
    <s v="61080230"/>
    <m/>
    <m/>
    <n v="22755936"/>
    <m/>
    <m/>
    <m/>
    <s v="SOLFIN"/>
    <s v="SOLFIN"/>
    <s v="CCMS"/>
    <n v="21330559"/>
    <n v="3599.14"/>
    <m/>
    <s v="N"/>
    <n v="51"/>
    <d v="2023-07-05T19:01:51"/>
    <s v="Y"/>
    <s v="Routine Letter In"/>
    <s v="Prescribed Hourly Rates"/>
    <s v="Profit Cost"/>
    <s v="DF1"/>
    <s v="Y"/>
    <n v="302.4"/>
    <n v="60.47"/>
    <x v="6"/>
    <s v="VALIDATED"/>
    <n v="1"/>
    <s v="01.11.80.302.6100.0000"/>
    <n v="302.4"/>
    <s v="11"/>
    <s v="6100"/>
    <n v="34318.95"/>
    <n v="302.4"/>
    <s v="CREDITOR"/>
    <n v="0"/>
    <n v="0"/>
    <n v="0"/>
    <n v="0"/>
    <n v="302.4"/>
  </r>
  <r>
    <n v="62309851"/>
    <s v="N"/>
    <n v="21330932"/>
    <s v="3000016300730003"/>
    <s v="CIVIL"/>
    <d v="2023-06-28T00:00:00"/>
    <d v="2023-07-05T19:01:47"/>
    <m/>
    <d v="2023-07-05T00:00:00"/>
    <n v="194"/>
    <n v="12447"/>
    <s v="62309851"/>
    <s v="62309851"/>
    <m/>
    <m/>
    <n v="22775378"/>
    <m/>
    <m/>
    <m/>
    <s v="SOLFIN"/>
    <s v="SOLFIN"/>
    <s v="CCMS"/>
    <n v="21330932"/>
    <n v="4181.19"/>
    <m/>
    <s v="N"/>
    <n v="10"/>
    <d v="2023-07-05T19:01:57"/>
    <s v="Y"/>
    <s v="Preparation - other"/>
    <s v="Prescribed Hourly Rates"/>
    <s v="Profit Cost"/>
    <s v="SP"/>
    <s v="Y"/>
    <n v="124.74"/>
    <n v="24.95"/>
    <x v="6"/>
    <s v="VALIDATED"/>
    <n v="1"/>
    <s v="01.11.80.302.6100.0000"/>
    <n v="124.74"/>
    <s v="11"/>
    <s v="6100"/>
    <n v="34318.95"/>
    <n v="124.74"/>
    <s v="CREDITOR"/>
    <n v="0"/>
    <n v="0"/>
    <n v="0"/>
    <n v="0"/>
    <n v="124.74"/>
  </r>
  <r>
    <n v="62260478"/>
    <s v="N"/>
    <n v="21330952"/>
    <s v="3000016258320003"/>
    <s v="CIVIL"/>
    <d v="2023-06-28T00:00:00"/>
    <d v="2023-07-05T19:01:47"/>
    <m/>
    <d v="2023-07-05T00:00:00"/>
    <n v="194"/>
    <n v="12447"/>
    <s v="62260478"/>
    <s v="62260478"/>
    <m/>
    <m/>
    <n v="22775374"/>
    <m/>
    <m/>
    <m/>
    <s v="SOLFIN"/>
    <s v="SOLFIN"/>
    <s v="CCMS"/>
    <n v="21330952"/>
    <n v="3936.68"/>
    <m/>
    <s v="N"/>
    <n v="53"/>
    <d v="2023-07-05T19:01:59"/>
    <s v="Y"/>
    <s v="Preparation - other"/>
    <s v="Prescribed Hourly Rates"/>
    <s v="Profit Cost"/>
    <s v="DB"/>
    <s v="Y"/>
    <n v="8.32"/>
    <n v="1.66"/>
    <x v="6"/>
    <s v="VALIDATED"/>
    <n v="1"/>
    <s v="01.11.80.302.6100.0000"/>
    <n v="8.32"/>
    <s v="11"/>
    <s v="6100"/>
    <n v="34318.95"/>
    <n v="8.32"/>
    <s v="CREDITOR"/>
    <n v="0"/>
    <n v="0"/>
    <n v="0"/>
    <n v="0"/>
    <n v="8.32"/>
  </r>
  <r>
    <n v="61766009"/>
    <s v="N"/>
    <n v="21328257"/>
    <s v="3000015844440002"/>
    <s v="CIVIL"/>
    <d v="2023-06-23T00:00:00"/>
    <d v="2023-07-04T19:00:44"/>
    <m/>
    <d v="2023-07-04T00:00:00"/>
    <n v="194"/>
    <n v="12447"/>
    <s v="61766009"/>
    <s v="61766009"/>
    <m/>
    <m/>
    <n v="22754158"/>
    <m/>
    <m/>
    <m/>
    <s v="SOLFIN"/>
    <s v="SOLFIN"/>
    <s v="CCMS"/>
    <n v="21328257"/>
    <n v="1911.8"/>
    <m/>
    <s v="N"/>
    <n v="2"/>
    <d v="2023-07-04T19:01:10"/>
    <s v="Y"/>
    <s v="Process server"/>
    <s v="Domestic Abuse"/>
    <s v="Expert Disbursement"/>
    <s v="NAB"/>
    <s v="Y"/>
    <n v="100"/>
    <n v="20"/>
    <x v="1"/>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1"/>
    <d v="2023-07-04T19:00:48"/>
    <s v="Y"/>
    <s v="Enquiry Agent"/>
    <s v="Prescribed Hourly Rates"/>
    <s v="Expert Disbursement"/>
    <s v="XXX"/>
    <s v="Y"/>
    <n v="100"/>
    <n v="20"/>
    <x v="1"/>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43"/>
    <d v="2023-07-04T19:00:48"/>
    <s v="Y"/>
    <s v="Preparation - other"/>
    <s v="Prescribed Hourly Rates"/>
    <s v="Profit Cost"/>
    <s v="FAH"/>
    <s v="Y"/>
    <n v="41.58"/>
    <n v="8.32"/>
    <x v="1"/>
    <s v="VALIDATED"/>
    <n v="1"/>
    <s v="01.11.80.302.6100.0000"/>
    <n v="41.58"/>
    <s v="11"/>
    <s v="6100"/>
    <n v="34318.95"/>
    <n v="41.58"/>
    <s v="CREDITOR"/>
    <n v="0"/>
    <n v="0"/>
    <n v="0"/>
    <n v="0"/>
    <n v="41.58"/>
  </r>
  <r>
    <n v="61130472"/>
    <s v="N"/>
    <n v="21382407"/>
    <s v="3000015317490003"/>
    <s v="CIVIL"/>
    <d v="2023-06-28T00:00:00"/>
    <d v="2023-07-17T19:01:46"/>
    <m/>
    <d v="2023-07-17T00:00:00"/>
    <n v="194"/>
    <n v="12447"/>
    <s v="61130472"/>
    <s v="61130472"/>
    <m/>
    <m/>
    <n v="22775508"/>
    <m/>
    <m/>
    <m/>
    <s v="SOLFIN"/>
    <s v="SOLFIN"/>
    <s v="CCMS"/>
    <n v="21382407"/>
    <n v="4109"/>
    <m/>
    <s v="N"/>
    <n v="33"/>
    <d v="2023-07-17T19:02:09"/>
    <s v="Y"/>
    <s v="Preparation - other"/>
    <s v="Prescribed Hourly Rates"/>
    <s v="Profit Cost"/>
    <s v="CD"/>
    <s v="Y"/>
    <n v="24.95"/>
    <n v="4.99"/>
    <x v="8"/>
    <s v="VALIDATED"/>
    <n v="1"/>
    <s v="01.11.80.302.6100.0000"/>
    <n v="24.95"/>
    <s v="11"/>
    <s v="6100"/>
    <n v="34318.95"/>
    <n v="24.95"/>
    <s v="CREDITOR"/>
    <n v="0"/>
    <n v="0"/>
    <n v="0"/>
    <n v="0"/>
    <n v="24.95"/>
  </r>
  <r>
    <n v="61130472"/>
    <s v="N"/>
    <n v="21382407"/>
    <s v="3000015317490003"/>
    <s v="CIVIL"/>
    <d v="2023-06-28T00:00:00"/>
    <d v="2023-07-17T19:01:46"/>
    <m/>
    <d v="2023-07-17T00:00:00"/>
    <n v="194"/>
    <n v="12447"/>
    <s v="61130472"/>
    <s v="61130472"/>
    <m/>
    <m/>
    <n v="22775508"/>
    <m/>
    <m/>
    <m/>
    <s v="SOLFIN"/>
    <s v="SOLFIN"/>
    <s v="CCMS"/>
    <n v="21382407"/>
    <n v="4109"/>
    <m/>
    <s v="N"/>
    <n v="38"/>
    <d v="2023-07-17T19:02:09"/>
    <s v="Y"/>
    <s v="Routine Letter In"/>
    <s v="Prescribed Hourly Rates"/>
    <s v="Profit Cost"/>
    <s v="FAH"/>
    <s v="Y"/>
    <n v="177.66"/>
    <n v="35.53"/>
    <x v="8"/>
    <s v="VALIDATED"/>
    <n v="1"/>
    <s v="01.11.80.302.6100.0000"/>
    <n v="177.66"/>
    <s v="11"/>
    <s v="6100"/>
    <n v="34318.95"/>
    <n v="177.66"/>
    <s v="CREDITOR"/>
    <n v="0"/>
    <n v="0"/>
    <n v="0"/>
    <n v="0"/>
    <n v="177.66"/>
  </r>
  <r>
    <n v="61788720"/>
    <s v="N"/>
    <n v="21382042"/>
    <s v="3000015864570002"/>
    <s v="CIVIL"/>
    <d v="2023-06-28T00:00:00"/>
    <d v="2023-07-17T19:01:46"/>
    <m/>
    <d v="2023-07-17T00:00:00"/>
    <n v="194"/>
    <n v="12447"/>
    <s v="61788720"/>
    <s v="61788720"/>
    <m/>
    <m/>
    <n v="22781892"/>
    <m/>
    <m/>
    <m/>
    <s v="SOLFIN"/>
    <s v="SOLFIN"/>
    <s v="CCMS"/>
    <n v="21382042"/>
    <n v="4185.9"/>
    <m/>
    <s v="N"/>
    <n v="44"/>
    <d v="2023-07-17T19:02:00"/>
    <s v="Y"/>
    <s v="Preparation - other"/>
    <s v="Prescribed Hourly Rates"/>
    <s v="Profit Cost"/>
    <s v="CR"/>
    <s v="Y"/>
    <n v="8.32"/>
    <n v="1.66"/>
    <x v="8"/>
    <s v="VALIDATED"/>
    <n v="1"/>
    <s v="01.11.80.302.6100.0000"/>
    <n v="8.32"/>
    <s v="11"/>
    <s v="6100"/>
    <n v="34318.95"/>
    <n v="8.32"/>
    <s v="CREDITOR"/>
    <n v="0"/>
    <n v="0"/>
    <n v="0"/>
    <n v="0"/>
    <n v="8.32"/>
  </r>
  <r>
    <n v="60823195"/>
    <s v="N"/>
    <n v="21363558"/>
    <s v="3000015055440002"/>
    <s v="CIVIL"/>
    <d v="2023-06-30T00:00:00"/>
    <d v="2023-07-12T19:01:49"/>
    <m/>
    <d v="2023-07-12T00:00:00"/>
    <n v="194"/>
    <n v="12447"/>
    <s v="60823195"/>
    <s v="60823195"/>
    <m/>
    <m/>
    <n v="22798784"/>
    <m/>
    <m/>
    <m/>
    <s v="SOLFIN"/>
    <s v="SOLFIN"/>
    <s v="CCMS"/>
    <n v="21363558"/>
    <n v="835.8200000000001"/>
    <m/>
    <s v="N"/>
    <n v="1"/>
    <d v="2023-07-12T19:02:04"/>
    <s v="Y"/>
    <s v="Process server"/>
    <s v="Domestic Abuse"/>
    <s v="Expert Disbursement"/>
    <s v="KK"/>
    <s v="Y"/>
    <n v="88.52"/>
    <n v="17.7"/>
    <x v="0"/>
    <s v="VALIDATED"/>
    <n v="1"/>
    <s v="01.11.80.302.6300.0000"/>
    <n v="88.52"/>
    <s v="11"/>
    <s v="6300"/>
    <n v="34318.95"/>
    <n v="88.52"/>
    <s v="CREDITOR"/>
    <n v="0"/>
    <n v="0"/>
    <n v="0"/>
    <n v="0"/>
    <n v="88.52"/>
  </r>
  <r>
    <n v="61080230"/>
    <s v="N"/>
    <n v="21330559"/>
    <s v="3000015275730002"/>
    <s v="CIVIL"/>
    <d v="2023-06-23T00:00:00"/>
    <d v="2023-07-05T19:01:47"/>
    <m/>
    <d v="2023-07-05T00:00:00"/>
    <n v="194"/>
    <n v="12447"/>
    <s v="61080230"/>
    <s v="61080230"/>
    <m/>
    <m/>
    <n v="22755936"/>
    <m/>
    <m/>
    <m/>
    <s v="SOLFIN"/>
    <s v="SOLFIN"/>
    <s v="CCMS"/>
    <n v="21330559"/>
    <n v="3599.14"/>
    <m/>
    <s v="N"/>
    <n v="46"/>
    <d v="2023-07-05T19:01:51"/>
    <s v="Y"/>
    <s v="Preparation - other"/>
    <s v="Prescribed Hourly Rates"/>
    <s v="Profit Cost"/>
    <s v="DF1"/>
    <s v="Y"/>
    <n v="66.53"/>
    <n v="13.3"/>
    <x v="6"/>
    <s v="VALIDATED"/>
    <n v="1"/>
    <s v="01.11.80.302.6100.0000"/>
    <n v="66.53"/>
    <s v="11"/>
    <s v="6100"/>
    <n v="34318.95"/>
    <n v="66.53"/>
    <s v="CREDITOR"/>
    <n v="0"/>
    <n v="0"/>
    <n v="0"/>
    <n v="0"/>
    <n v="66.53"/>
  </r>
  <r>
    <n v="62260478"/>
    <s v="N"/>
    <n v="21330952"/>
    <s v="3000016258320003"/>
    <s v="CIVIL"/>
    <d v="2023-06-28T00:00:00"/>
    <d v="2023-07-05T19:01:47"/>
    <m/>
    <d v="2023-07-05T00:00:00"/>
    <n v="194"/>
    <n v="12447"/>
    <s v="62260478"/>
    <s v="62260478"/>
    <m/>
    <m/>
    <n v="22775374"/>
    <m/>
    <m/>
    <m/>
    <s v="SOLFIN"/>
    <s v="SOLFIN"/>
    <s v="CCMS"/>
    <n v="21330952"/>
    <n v="3936.68"/>
    <m/>
    <s v="N"/>
    <n v="4"/>
    <d v="2023-07-05T19:01:59"/>
    <s v="Y"/>
    <s v="Preparation - other"/>
    <s v="Prescribed Hourly Rates"/>
    <s v="Profit Cost"/>
    <s v="QS"/>
    <s v="Y"/>
    <n v="24.95"/>
    <n v="4.99"/>
    <x v="6"/>
    <s v="VALIDATED"/>
    <n v="1"/>
    <s v="01.11.80.302.6100.0000"/>
    <n v="24.95"/>
    <s v="11"/>
    <s v="6100"/>
    <n v="34318.95"/>
    <n v="24.95"/>
    <s v="CREDITOR"/>
    <n v="0"/>
    <n v="0"/>
    <n v="0"/>
    <n v="0"/>
    <n v="24.95"/>
  </r>
  <r>
    <n v="60678163"/>
    <s v="N"/>
    <n v="21327492"/>
    <s v="3000014928670004"/>
    <s v="CIVIL"/>
    <d v="2023-06-22T00:00:00"/>
    <d v="2023-07-04T19:00:44"/>
    <m/>
    <d v="2023-07-04T00:00:00"/>
    <n v="194"/>
    <n v="12447"/>
    <s v="60678163"/>
    <s v="60678163"/>
    <m/>
    <m/>
    <n v="22744814"/>
    <m/>
    <m/>
    <m/>
    <s v="SOLFIN"/>
    <s v="SOLFIN"/>
    <s v="CCMS"/>
    <n v="21327492"/>
    <n v="7348.42"/>
    <m/>
    <s v="N"/>
    <n v="92"/>
    <d v="2023-07-04T19:00:48"/>
    <s v="Y"/>
    <s v="Preparation - drafting bill/claim f"/>
    <s v="Prescribed Hourly Rates"/>
    <s v="Profit Cost"/>
    <s v="CD"/>
    <s v="Y"/>
    <n v="457.38"/>
    <n v="91.47"/>
    <x v="1"/>
    <s v="VALIDATED"/>
    <n v="1"/>
    <s v="01.11.80.302.6100.0000"/>
    <n v="457.38"/>
    <s v="11"/>
    <s v="6100"/>
    <n v="34318.95"/>
    <n v="457.38"/>
    <s v="CREDITOR"/>
    <n v="0"/>
    <n v="0"/>
    <n v="0"/>
    <n v="0"/>
    <n v="457.38"/>
  </r>
  <r>
    <n v="60678163"/>
    <s v="N"/>
    <n v="21327492"/>
    <s v="3000014928670004"/>
    <s v="CIVIL"/>
    <d v="2023-06-22T00:00:00"/>
    <d v="2023-07-04T19:00:44"/>
    <m/>
    <d v="2023-07-04T00:00:00"/>
    <n v="194"/>
    <n v="12447"/>
    <s v="60678163"/>
    <s v="60678163"/>
    <m/>
    <m/>
    <n v="22744814"/>
    <m/>
    <m/>
    <m/>
    <s v="SOLFIN"/>
    <s v="SOLFIN"/>
    <s v="CCMS"/>
    <n v="21327492"/>
    <n v="7348.42"/>
    <m/>
    <s v="N"/>
    <n v="41"/>
    <d v="2023-07-04T19:00:48"/>
    <s v="Y"/>
    <s v="Preparation - other"/>
    <s v="Prescribed Hourly Rates"/>
    <s v="Profit Cost"/>
    <s v="FAH"/>
    <s v="Y"/>
    <n v="8.32"/>
    <n v="1.66"/>
    <x v="1"/>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17"/>
    <d v="2023-07-17T19:02:09"/>
    <s v="Y"/>
    <s v="Attendance upon client"/>
    <s v="Prescribed Hourly Rates"/>
    <s v="Profit Cost"/>
    <s v="FAH"/>
    <s v="Y"/>
    <n v="8.32"/>
    <n v="1.66"/>
    <x v="8"/>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29"/>
    <d v="2023-07-17T19:02:09"/>
    <s v="Y"/>
    <s v="Attendance upon client"/>
    <s v="Prescribed Hourly Rates"/>
    <s v="Profit Cost"/>
    <s v="FAH"/>
    <s v="Y"/>
    <n v="16.63"/>
    <n v="3.33"/>
    <x v="8"/>
    <s v="VALIDATED"/>
    <n v="1"/>
    <s v="01.11.80.302.6100.0000"/>
    <n v="16.63"/>
    <s v="11"/>
    <s v="6100"/>
    <n v="34318.95"/>
    <n v="16.63"/>
    <s v="CREDITOR"/>
    <n v="0"/>
    <n v="0"/>
    <n v="0"/>
    <n v="0"/>
    <n v="16.63"/>
  </r>
  <r>
    <n v="61007916"/>
    <s v="N"/>
    <n v="21370323"/>
    <s v="3000015213680002"/>
    <s v="CIVIL"/>
    <d v="2023-06-30T00:00:00"/>
    <d v="2023-07-13T19:21:05"/>
    <m/>
    <d v="2023-07-13T00:00:00"/>
    <n v="194"/>
    <n v="12447"/>
    <s v="61007916"/>
    <s v="61007916"/>
    <m/>
    <m/>
    <n v="22795522"/>
    <m/>
    <m/>
    <m/>
    <s v="SOLFIN"/>
    <s v="SOLFIN"/>
    <s v="CCMS"/>
    <n v="21370323"/>
    <n v="849.6"/>
    <m/>
    <s v="N"/>
    <n v="2"/>
    <d v="2023-07-13T19:21:21"/>
    <s v="Y"/>
    <s v="Level 4 Fixed Fee"/>
    <s v="Domestic Abuse"/>
    <s v="Profit Cost"/>
    <s v="KK"/>
    <s v="Y"/>
    <n v="608"/>
    <n v="121.6"/>
    <x v="11"/>
    <s v="VALIDATED"/>
    <n v="1"/>
    <s v="01.11.80.302.6100.0000"/>
    <n v="608"/>
    <s v="11"/>
    <s v="6100"/>
    <n v="34318.95"/>
    <n v="608"/>
    <s v="CREDITOR"/>
    <n v="0"/>
    <n v="0"/>
    <n v="0"/>
    <n v="0"/>
    <n v="608"/>
  </r>
  <r>
    <n v="61080230"/>
    <s v="N"/>
    <n v="21330559"/>
    <s v="3000015275730002"/>
    <s v="CIVIL"/>
    <d v="2023-06-23T00:00:00"/>
    <d v="2023-07-05T19:01:47"/>
    <m/>
    <d v="2023-07-05T00:00:00"/>
    <n v="194"/>
    <n v="12447"/>
    <s v="61080230"/>
    <s v="61080230"/>
    <m/>
    <m/>
    <n v="22755936"/>
    <m/>
    <m/>
    <m/>
    <s v="SOLFIN"/>
    <s v="SOLFIN"/>
    <s v="CCMS"/>
    <n v="21330559"/>
    <n v="3599.14"/>
    <m/>
    <s v="N"/>
    <n v="38"/>
    <d v="2023-07-05T19:01:51"/>
    <s v="Y"/>
    <s v="Preparation - other"/>
    <s v="Prescribed Hourly Rates"/>
    <s v="Profit Cost"/>
    <s v="DF1"/>
    <s v="Y"/>
    <n v="83.16"/>
    <n v="16.63"/>
    <x v="6"/>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15"/>
    <d v="2023-07-05T19:01:59"/>
    <s v="Y"/>
    <s v="Preparation - other"/>
    <s v="Prescribed Hourly Rates"/>
    <s v="Profit Cost"/>
    <s v="FH"/>
    <s v="Y"/>
    <n v="124.74"/>
    <n v="24.95"/>
    <x v="6"/>
    <s v="VALIDATED"/>
    <n v="1"/>
    <s v="01.11.80.302.6100.0000"/>
    <n v="124.74"/>
    <s v="11"/>
    <s v="6100"/>
    <n v="34318.95"/>
    <n v="124.74"/>
    <s v="CREDITOR"/>
    <n v="0"/>
    <n v="0"/>
    <n v="0"/>
    <n v="0"/>
    <n v="124.74"/>
  </r>
  <r>
    <n v="61007916"/>
    <s v="N"/>
    <n v="21370323"/>
    <s v="3000015213680002"/>
    <s v="CIVIL"/>
    <d v="2023-06-30T00:00:00"/>
    <d v="2023-07-13T19:21:05"/>
    <m/>
    <d v="2023-07-13T00:00:00"/>
    <n v="194"/>
    <n v="12447"/>
    <s v="61007916"/>
    <s v="61007916"/>
    <m/>
    <m/>
    <n v="22795522"/>
    <m/>
    <m/>
    <m/>
    <s v="SOLFIN"/>
    <s v="SOLFIN"/>
    <s v="CCMS"/>
    <n v="21370323"/>
    <n v="849.6"/>
    <m/>
    <s v="N"/>
    <n v="1"/>
    <d v="2023-07-13T19:21:21"/>
    <s v="Y"/>
    <s v="Process server"/>
    <s v="Domestic Abuse"/>
    <s v="Expert Disbursement"/>
    <s v="KK"/>
    <s v="Y"/>
    <n v="100"/>
    <n v="20"/>
    <x v="11"/>
    <s v="VALIDATED"/>
    <n v="1"/>
    <s v="01.11.80.302.6300.0000"/>
    <n v="100"/>
    <s v="11"/>
    <s v="6300"/>
    <n v="34318.95"/>
    <n v="100"/>
    <s v="CREDITOR"/>
    <n v="0"/>
    <n v="0"/>
    <n v="0"/>
    <n v="0"/>
    <n v="100"/>
  </r>
  <r>
    <n v="61788720"/>
    <s v="N"/>
    <n v="21382042"/>
    <s v="3000015864570002"/>
    <s v="CIVIL"/>
    <d v="2023-06-28T00:00:00"/>
    <d v="2023-07-17T19:01:46"/>
    <m/>
    <d v="2023-07-17T00:00:00"/>
    <n v="194"/>
    <n v="12447"/>
    <s v="61788720"/>
    <s v="61788720"/>
    <m/>
    <m/>
    <n v="22781892"/>
    <m/>
    <m/>
    <m/>
    <s v="SOLFIN"/>
    <s v="SOLFIN"/>
    <s v="CCMS"/>
    <n v="21382042"/>
    <n v="4185.9"/>
    <m/>
    <s v="N"/>
    <n v="1"/>
    <d v="2023-07-17T19:02:00"/>
    <s v="Y"/>
    <s v="Enquiry Agent"/>
    <s v="Prescribed Hourly Rates"/>
    <s v="Expert Disbursement"/>
    <s v="XXX"/>
    <s v="Y"/>
    <n v="100"/>
    <n v="20"/>
    <x v="8"/>
    <s v="VALIDATED"/>
    <n v="1"/>
    <s v="01.11.80.302.6300.0000"/>
    <n v="100"/>
    <s v="11"/>
    <s v="6300"/>
    <n v="34318.95"/>
    <n v="100"/>
    <s v="CREDITOR"/>
    <n v="0"/>
    <n v="0"/>
    <n v="0"/>
    <n v="0"/>
    <n v="100"/>
  </r>
  <r>
    <n v="62309851"/>
    <s v="N"/>
    <n v="21330932"/>
    <s v="3000016300730003"/>
    <s v="CIVIL"/>
    <d v="2023-06-28T00:00:00"/>
    <d v="2023-07-05T19:01:47"/>
    <m/>
    <d v="2023-07-05T00:00:00"/>
    <n v="194"/>
    <n v="12447"/>
    <s v="62309851"/>
    <s v="62309851"/>
    <m/>
    <m/>
    <n v="22775378"/>
    <m/>
    <m/>
    <m/>
    <s v="SOLFIN"/>
    <s v="SOLFIN"/>
    <s v="CCMS"/>
    <n v="21330932"/>
    <n v="4181.19"/>
    <m/>
    <s v="N"/>
    <n v="20"/>
    <d v="2023-07-05T19:01:57"/>
    <s v="Y"/>
    <s v="Preparation - other"/>
    <s v="Prescribed Hourly Rates"/>
    <s v="Profit Cost"/>
    <s v="YR"/>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24"/>
    <d v="2023-07-05T19:01:57"/>
    <s v="Y"/>
    <s v="Preparation - other"/>
    <s v="Prescribed Hourly Rates"/>
    <s v="Profit Cost"/>
    <s v="YR"/>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51"/>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5"/>
    <d v="2023-07-05T19:01:57"/>
    <s v="Y"/>
    <s v="Preparation - other"/>
    <s v="Prescribed Hourly Rates"/>
    <s v="Profit Cost"/>
    <s v="SP"/>
    <s v="Y"/>
    <n v="124.74"/>
    <n v="24.95"/>
    <x v="6"/>
    <s v="VALIDATED"/>
    <n v="1"/>
    <s v="01.11.80.302.6100.0000"/>
    <n v="124.74"/>
    <s v="11"/>
    <s v="6100"/>
    <n v="34318.95"/>
    <n v="124.74"/>
    <s v="CREDITOR"/>
    <n v="0"/>
    <n v="0"/>
    <n v="0"/>
    <n v="0"/>
    <n v="124.74"/>
  </r>
  <r>
    <n v="62309851"/>
    <s v="N"/>
    <n v="21330932"/>
    <s v="3000016300730003"/>
    <s v="CIVIL"/>
    <d v="2023-06-28T00:00:00"/>
    <d v="2023-07-05T19:01:47"/>
    <m/>
    <d v="2023-07-05T00:00:00"/>
    <n v="194"/>
    <n v="12447"/>
    <s v="62309851"/>
    <s v="62309851"/>
    <m/>
    <m/>
    <n v="22775378"/>
    <m/>
    <m/>
    <m/>
    <s v="SOLFIN"/>
    <s v="SOLFIN"/>
    <s v="CCMS"/>
    <n v="21330932"/>
    <n v="4181.19"/>
    <m/>
    <s v="N"/>
    <n v="36"/>
    <d v="2023-07-05T19:01:57"/>
    <s v="Y"/>
    <s v="Preparation - other"/>
    <s v="Prescribed Hourly Rates"/>
    <s v="Profit Cost"/>
    <s v="YR"/>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48"/>
    <d v="2023-07-05T19:01:57"/>
    <s v="Y"/>
    <s v="Preparation - other"/>
    <s v="Prescribed Hourly Rates"/>
    <s v="Profit Cost"/>
    <s v="YR"/>
    <s v="Y"/>
    <n v="41.58"/>
    <n v="8.32"/>
    <x v="6"/>
    <s v="VALIDATED"/>
    <n v="1"/>
    <s v="01.11.80.302.6100.0000"/>
    <n v="41.58"/>
    <s v="11"/>
    <s v="6100"/>
    <n v="34318.95"/>
    <n v="41.58"/>
    <s v="CREDITOR"/>
    <n v="0"/>
    <n v="0"/>
    <n v="0"/>
    <n v="0"/>
    <n v="41.58"/>
  </r>
  <r>
    <n v="61080230"/>
    <s v="N"/>
    <n v="21330559"/>
    <s v="3000015275730002"/>
    <s v="CIVIL"/>
    <d v="2023-06-23T00:00:00"/>
    <d v="2023-07-05T19:01:47"/>
    <m/>
    <d v="2023-07-05T00:00:00"/>
    <n v="194"/>
    <n v="12447"/>
    <s v="61080230"/>
    <s v="61080230"/>
    <m/>
    <m/>
    <n v="22755936"/>
    <m/>
    <m/>
    <m/>
    <s v="SOLFIN"/>
    <s v="SOLFIN"/>
    <s v="CCMS"/>
    <n v="21330559"/>
    <n v="3599.14"/>
    <m/>
    <s v="N"/>
    <n v="43"/>
    <d v="2023-07-05T19:01:51"/>
    <s v="Y"/>
    <s v="Preparation - other"/>
    <s v="Prescribed Hourly Rates"/>
    <s v="Profit Cost"/>
    <s v="DF1"/>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1"/>
    <d v="2023-07-05T19:01:59"/>
    <s v="Y"/>
    <s v="Enquiry Agent"/>
    <s v="Prescribed Hourly Rates"/>
    <s v="Expert Disbursement"/>
    <s v="XXX"/>
    <s v="Y"/>
    <n v="100"/>
    <n v="20"/>
    <x v="6"/>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66"/>
    <d v="2023-07-04T19:00:48"/>
    <s v="Y"/>
    <s v="Preparation - other"/>
    <s v="Prescribed Hourly Rates"/>
    <s v="Profit Cost"/>
    <s v="FAH"/>
    <s v="Y"/>
    <n v="8.32"/>
    <n v="1.66"/>
    <x v="1"/>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30"/>
    <d v="2023-07-17T19:02:09"/>
    <s v="Y"/>
    <s v="Preparation - other"/>
    <s v="Prescribed Hourly Rates"/>
    <s v="Profit Cost"/>
    <s v="FAH"/>
    <s v="Y"/>
    <n v="66.53"/>
    <n v="13.31"/>
    <x v="8"/>
    <s v="VALIDATED"/>
    <n v="1"/>
    <s v="01.11.80.302.6100.0000"/>
    <n v="66.53"/>
    <s v="11"/>
    <s v="6100"/>
    <n v="34318.95"/>
    <n v="66.53"/>
    <s v="CREDITOR"/>
    <n v="0"/>
    <n v="0"/>
    <n v="0"/>
    <n v="0"/>
    <n v="66.53"/>
  </r>
  <r>
    <n v="61130472"/>
    <s v="N"/>
    <n v="21382407"/>
    <s v="3000015317490003"/>
    <s v="CIVIL"/>
    <d v="2023-06-28T00:00:00"/>
    <d v="2023-07-17T19:01:46"/>
    <m/>
    <d v="2023-07-17T00:00:00"/>
    <n v="194"/>
    <n v="12447"/>
    <s v="61130472"/>
    <s v="61130472"/>
    <m/>
    <m/>
    <n v="22775508"/>
    <m/>
    <m/>
    <m/>
    <s v="SOLFIN"/>
    <s v="SOLFIN"/>
    <s v="CCMS"/>
    <n v="21382407"/>
    <n v="4109"/>
    <m/>
    <s v="N"/>
    <n v="5"/>
    <d v="2023-07-17T19:02:09"/>
    <s v="Y"/>
    <s v="Preparation - other"/>
    <s v="Prescribed Hourly Rates"/>
    <s v="Profit Cost"/>
    <s v="QS"/>
    <s v="Y"/>
    <n v="49.9"/>
    <n v="9.98"/>
    <x v="8"/>
    <s v="VALIDATED"/>
    <n v="1"/>
    <s v="01.11.80.302.6100.0000"/>
    <n v="49.9"/>
    <s v="11"/>
    <s v="6100"/>
    <n v="34318.95"/>
    <n v="49.9"/>
    <s v="CREDITOR"/>
    <n v="0"/>
    <n v="0"/>
    <n v="0"/>
    <n v="0"/>
    <n v="49.9"/>
  </r>
  <r>
    <n v="61939405"/>
    <s v="N"/>
    <n v="21343578"/>
    <s v="3000015929410003"/>
    <s v="CIVIL"/>
    <d v="2023-06-30T00:00:00"/>
    <d v="2023-07-07T19:03:00"/>
    <m/>
    <d v="2023-07-07T00:00:00"/>
    <n v="194"/>
    <n v="12447"/>
    <s v="61939405"/>
    <s v="61939405"/>
    <m/>
    <m/>
    <n v="22795746"/>
    <m/>
    <m/>
    <m/>
    <s v="SOLPOA"/>
    <s v="SOLPOA"/>
    <s v="CCMS"/>
    <n v="21343578"/>
    <n v="115.8"/>
    <m/>
    <s v="N"/>
    <n v="1"/>
    <d v="2023-07-07T19:03:10"/>
    <s v="N"/>
    <s v="Non Expert Disbursement - Private L"/>
    <s v="Non Expert Disbursement - Priv"/>
    <s v="Non Expert Disbursement"/>
    <s v="FA"/>
    <s v="N"/>
    <n v="96.5"/>
    <n v="19.3"/>
    <x v="9"/>
    <s v="VALIDATED"/>
    <n v="1"/>
    <s v="01.11.80.307.2012.0000"/>
    <n v="96.5"/>
    <s v="11"/>
    <s v="2012"/>
    <n v="34318.95"/>
    <n v="96.5"/>
    <s v="CREDITOR"/>
    <n v="96.5"/>
    <n v="0"/>
    <n v="0"/>
    <n v="0"/>
    <n v="0"/>
  </r>
  <r>
    <n v="61080230"/>
    <s v="N"/>
    <n v="21330559"/>
    <s v="3000015275730002"/>
    <s v="CIVIL"/>
    <d v="2023-06-23T00:00:00"/>
    <d v="2023-07-05T19:01:47"/>
    <m/>
    <d v="2023-07-05T00:00:00"/>
    <n v="194"/>
    <n v="12447"/>
    <s v="61080230"/>
    <s v="61080230"/>
    <m/>
    <m/>
    <n v="22755936"/>
    <m/>
    <m/>
    <m/>
    <s v="SOLFIN"/>
    <s v="SOLFIN"/>
    <s v="CCMS"/>
    <n v="21330559"/>
    <n v="3599.14"/>
    <m/>
    <s v="N"/>
    <n v="47"/>
    <d v="2023-07-05T19:01:51"/>
    <s v="Y"/>
    <s v="Preparation - other"/>
    <s v="Prescribed Hourly Rates"/>
    <s v="Profit Cost"/>
    <s v="CD"/>
    <s v="Y"/>
    <n v="24.95"/>
    <n v="4.99"/>
    <x v="6"/>
    <s v="VALIDATED"/>
    <n v="1"/>
    <s v="01.11.80.302.6100.0000"/>
    <n v="24.95"/>
    <s v="11"/>
    <s v="6100"/>
    <n v="34318.95"/>
    <n v="24.95"/>
    <s v="CREDITOR"/>
    <n v="0"/>
    <n v="0"/>
    <n v="0"/>
    <n v="0"/>
    <n v="24.95"/>
  </r>
  <r>
    <n v="62309851"/>
    <s v="N"/>
    <n v="21330932"/>
    <s v="3000016300730003"/>
    <s v="CIVIL"/>
    <d v="2023-06-28T00:00:00"/>
    <d v="2023-07-05T19:01:47"/>
    <m/>
    <d v="2023-07-05T00:00:00"/>
    <n v="194"/>
    <n v="12447"/>
    <s v="62309851"/>
    <s v="62309851"/>
    <m/>
    <m/>
    <n v="22775378"/>
    <m/>
    <m/>
    <m/>
    <s v="SOLFIN"/>
    <s v="SOLFIN"/>
    <s v="CCMS"/>
    <n v="21330932"/>
    <n v="4181.19"/>
    <m/>
    <s v="N"/>
    <n v="56"/>
    <d v="2023-07-05T19:01:57"/>
    <s v="Y"/>
    <s v="Preparation - other"/>
    <s v="Prescribed Hourly Rates"/>
    <s v="Profit Cost"/>
    <s v="YR"/>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68"/>
    <d v="2023-07-05T19:01:57"/>
    <s v="Y"/>
    <s v="Routine Letter In"/>
    <s v="Prescribed Hourly Rates"/>
    <s v="Profit Cost"/>
    <s v="YR"/>
    <s v="Y"/>
    <n v="86.94"/>
    <n v="17.39"/>
    <x v="6"/>
    <s v="VALIDATED"/>
    <n v="1"/>
    <s v="01.11.80.302.6100.0000"/>
    <n v="86.94"/>
    <s v="11"/>
    <s v="6100"/>
    <n v="34318.95"/>
    <n v="86.94"/>
    <s v="CREDITOR"/>
    <n v="0"/>
    <n v="0"/>
    <n v="0"/>
    <n v="0"/>
    <n v="86.94"/>
  </r>
  <r>
    <n v="62260478"/>
    <s v="N"/>
    <n v="21330952"/>
    <s v="3000016258320003"/>
    <s v="CIVIL"/>
    <d v="2023-06-28T00:00:00"/>
    <d v="2023-07-05T19:01:47"/>
    <m/>
    <d v="2023-07-05T00:00:00"/>
    <n v="194"/>
    <n v="12447"/>
    <s v="62260478"/>
    <s v="62260478"/>
    <m/>
    <m/>
    <n v="22775374"/>
    <m/>
    <m/>
    <m/>
    <s v="SOLFIN"/>
    <s v="SOLFIN"/>
    <s v="CCMS"/>
    <n v="21330952"/>
    <n v="3936.68"/>
    <m/>
    <s v="N"/>
    <n v="17"/>
    <d v="2023-07-05T19:01:59"/>
    <s v="Y"/>
    <s v="Preparation - other"/>
    <s v="Prescribed Hourly Rates"/>
    <s v="Profit Cost"/>
    <s v="FH"/>
    <s v="Y"/>
    <n v="49.9"/>
    <n v="9.98"/>
    <x v="6"/>
    <s v="VALIDATED"/>
    <n v="1"/>
    <s v="01.11.80.302.6100.0000"/>
    <n v="49.9"/>
    <s v="11"/>
    <s v="6100"/>
    <n v="34318.95"/>
    <n v="49.9"/>
    <s v="CREDITOR"/>
    <n v="0"/>
    <n v="0"/>
    <n v="0"/>
    <n v="0"/>
    <n v="49.9"/>
  </r>
  <r>
    <n v="60678163"/>
    <s v="N"/>
    <n v="21327492"/>
    <s v="3000014928670004"/>
    <s v="CIVIL"/>
    <d v="2023-06-22T00:00:00"/>
    <d v="2023-07-04T19:00:44"/>
    <m/>
    <d v="2023-07-04T00:00:00"/>
    <n v="194"/>
    <n v="12447"/>
    <s v="60678163"/>
    <s v="60678163"/>
    <m/>
    <m/>
    <n v="22744814"/>
    <m/>
    <m/>
    <m/>
    <s v="SOLFIN"/>
    <s v="SOLFIN"/>
    <s v="CCMS"/>
    <n v="21327492"/>
    <n v="7348.42"/>
    <m/>
    <s v="N"/>
    <n v="25"/>
    <d v="2023-07-04T19:00:48"/>
    <s v="Y"/>
    <s v="Attendance upon other"/>
    <s v="Prescribed Hourly Rates"/>
    <s v="Profit Cost"/>
    <s v="NAB"/>
    <s v="Y"/>
    <n v="16.63"/>
    <n v="3.33"/>
    <x v="1"/>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27"/>
    <d v="2023-07-04T19:00:48"/>
    <s v="Y"/>
    <s v="Preparation - other"/>
    <s v="Prescribed Hourly Rates"/>
    <s v="Profit Cost"/>
    <s v="FAH"/>
    <s v="Y"/>
    <n v="8.32"/>
    <n v="1.66"/>
    <x v="1"/>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4"/>
    <d v="2023-07-03T19:02:05"/>
    <s v="Y"/>
    <s v="Preparation - other"/>
    <s v="Prescribed Hourly Rates"/>
    <s v="Profit Cost"/>
    <s v="FA"/>
    <s v="Y"/>
    <n v="34.45"/>
    <n v="6.89"/>
    <x v="3"/>
    <s v="VALIDATED"/>
    <n v="1"/>
    <s v="01.11.80.307.6100.0000"/>
    <n v="34.45"/>
    <s v="11"/>
    <s v="6100"/>
    <n v="34318.95"/>
    <n v="34.45"/>
    <s v="CREDITOR"/>
    <n v="0"/>
    <n v="0"/>
    <n v="0"/>
    <n v="0"/>
    <n v="34.45"/>
  </r>
  <r>
    <n v="61130472"/>
    <s v="N"/>
    <n v="21382407"/>
    <s v="3000015317490003"/>
    <s v="CIVIL"/>
    <d v="2023-06-28T00:00:00"/>
    <d v="2023-07-17T19:01:46"/>
    <m/>
    <d v="2023-07-17T00:00:00"/>
    <n v="194"/>
    <n v="12447"/>
    <s v="61130472"/>
    <s v="61130472"/>
    <m/>
    <m/>
    <n v="22775508"/>
    <m/>
    <m/>
    <m/>
    <s v="SOLFIN"/>
    <s v="SOLFIN"/>
    <s v="CCMS"/>
    <n v="21382407"/>
    <n v="4109"/>
    <m/>
    <s v="N"/>
    <n v="16"/>
    <d v="2023-07-17T19:02:09"/>
    <s v="Y"/>
    <s v="Preparation - other"/>
    <s v="Prescribed Hourly Rates"/>
    <s v="Profit Cost"/>
    <s v="FAH"/>
    <s v="Y"/>
    <n v="41.58"/>
    <n v="8.32"/>
    <x v="8"/>
    <s v="VALIDATED"/>
    <n v="1"/>
    <s v="01.11.80.302.6100.0000"/>
    <n v="41.58"/>
    <s v="11"/>
    <s v="6100"/>
    <n v="34318.95"/>
    <n v="41.58"/>
    <s v="CREDITOR"/>
    <n v="0"/>
    <n v="0"/>
    <n v="0"/>
    <n v="0"/>
    <n v="41.58"/>
  </r>
  <r>
    <n v="61130472"/>
    <s v="N"/>
    <n v="21382407"/>
    <s v="3000015317490003"/>
    <s v="CIVIL"/>
    <d v="2023-06-28T00:00:00"/>
    <d v="2023-07-17T19:01:46"/>
    <m/>
    <d v="2023-07-17T00:00:00"/>
    <n v="194"/>
    <n v="12447"/>
    <s v="61130472"/>
    <s v="61130472"/>
    <m/>
    <m/>
    <n v="22775508"/>
    <m/>
    <m/>
    <m/>
    <s v="SOLFIN"/>
    <s v="SOLFIN"/>
    <s v="CCMS"/>
    <n v="21382407"/>
    <n v="4109"/>
    <m/>
    <s v="N"/>
    <n v="6"/>
    <d v="2023-07-17T19:02:09"/>
    <s v="Y"/>
    <s v="Preparation - other"/>
    <s v="Prescribed Hourly Rates"/>
    <s v="Profit Cost"/>
    <s v="QS"/>
    <s v="Y"/>
    <n v="83.16"/>
    <n v="16.63"/>
    <x v="8"/>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3"/>
    <d v="2023-07-05T19:01:59"/>
    <s v="Y"/>
    <s v="Attendance upon client"/>
    <s v="Prescribed Hourly Rates"/>
    <s v="Profit Cost"/>
    <s v="QS"/>
    <s v="Y"/>
    <n v="24.95"/>
    <n v="4.99"/>
    <x v="6"/>
    <s v="VALIDATED"/>
    <n v="1"/>
    <s v="01.11.80.302.6100.0000"/>
    <n v="24.95"/>
    <s v="11"/>
    <s v="6100"/>
    <n v="34318.95"/>
    <n v="24.95"/>
    <s v="CREDITOR"/>
    <n v="0"/>
    <n v="0"/>
    <n v="0"/>
    <n v="0"/>
    <n v="24.95"/>
  </r>
  <r>
    <n v="62260478"/>
    <s v="N"/>
    <n v="21330952"/>
    <s v="3000016258320003"/>
    <s v="CIVIL"/>
    <d v="2023-06-28T00:00:00"/>
    <d v="2023-07-05T19:01:47"/>
    <m/>
    <d v="2023-07-05T00:00:00"/>
    <n v="194"/>
    <n v="12447"/>
    <s v="62260478"/>
    <s v="62260478"/>
    <m/>
    <m/>
    <n v="22775374"/>
    <m/>
    <m/>
    <m/>
    <s v="SOLFIN"/>
    <s v="SOLFIN"/>
    <s v="CCMS"/>
    <n v="21330952"/>
    <n v="3936.68"/>
    <m/>
    <s v="N"/>
    <n v="10"/>
    <d v="2023-07-05T19:01:59"/>
    <s v="Y"/>
    <s v="Preparation - other"/>
    <s v="Prescribed Hourly Rates"/>
    <s v="Profit Cost"/>
    <s v="FH"/>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8"/>
    <d v="2023-07-04T19:00:48"/>
    <s v="Y"/>
    <s v="Hearing Unit 0.00 - 1.00 Hours"/>
    <s v="Domestic Abuse"/>
    <s v="Advocacy"/>
    <s v="FA"/>
    <s v="Y"/>
    <n v="81.5"/>
    <n v="16.3"/>
    <x v="1"/>
    <s v="VALIDATED"/>
    <n v="1"/>
    <s v="01.11.80.302.6100.0000"/>
    <n v="81.5"/>
    <s v="11"/>
    <s v="6100"/>
    <n v="34318.95"/>
    <n v="81.5"/>
    <s v="CREDITOR"/>
    <n v="0"/>
    <n v="0"/>
    <n v="0"/>
    <n v="0"/>
    <n v="81.5"/>
  </r>
  <r>
    <n v="61464958"/>
    <s v="N"/>
    <n v="21318984"/>
    <s v="3000015543270001"/>
    <s v="CIVIL"/>
    <d v="2023-06-23T00:00:00"/>
    <d v="2023-07-03T19:01:49"/>
    <m/>
    <d v="2023-07-03T00:00:00"/>
    <n v="194"/>
    <n v="12447"/>
    <s v="61464958"/>
    <s v="61464958"/>
    <m/>
    <m/>
    <n v="22755938"/>
    <m/>
    <m/>
    <m/>
    <s v="SOLFIN"/>
    <s v="SOLFIN"/>
    <s v="CCMS"/>
    <n v="21318984"/>
    <n v="2903.56"/>
    <m/>
    <s v="N"/>
    <n v="3"/>
    <d v="2023-07-03T19:02:05"/>
    <s v="Y"/>
    <s v="Preparation - other"/>
    <s v="Prescribed Hourly Rates"/>
    <s v="Profit Cost"/>
    <s v="FA"/>
    <s v="Y"/>
    <n v="60.29"/>
    <n v="12.06"/>
    <x v="3"/>
    <s v="VALIDATED"/>
    <n v="1"/>
    <s v="01.11.80.307.6100.0000"/>
    <n v="60.29"/>
    <s v="11"/>
    <s v="6100"/>
    <n v="34318.95"/>
    <n v="60.29"/>
    <s v="CREDITOR"/>
    <n v="0"/>
    <n v="0"/>
    <n v="0"/>
    <n v="0"/>
    <n v="60.29"/>
  </r>
  <r>
    <n v="61464958"/>
    <s v="N"/>
    <n v="21318984"/>
    <s v="3000015543270001"/>
    <s v="CIVIL"/>
    <d v="2023-06-23T00:00:00"/>
    <d v="2023-07-03T19:01:49"/>
    <m/>
    <d v="2023-07-03T00:00:00"/>
    <n v="194"/>
    <n v="12447"/>
    <s v="61464958"/>
    <s v="61464958"/>
    <m/>
    <m/>
    <n v="22755938"/>
    <m/>
    <m/>
    <m/>
    <s v="SOLFIN"/>
    <s v="SOLFIN"/>
    <s v="CCMS"/>
    <n v="21318984"/>
    <n v="2903.56"/>
    <m/>
    <s v="N"/>
    <n v="32"/>
    <d v="2023-07-03T19:02:05"/>
    <s v="Y"/>
    <s v="Routine Letter Out"/>
    <s v="Prescribed Hourly Rates"/>
    <s v="Profit Cost"/>
    <s v="FA"/>
    <s v="Y"/>
    <n v="117.45"/>
    <n v="23.49"/>
    <x v="3"/>
    <s v="VALIDATED"/>
    <n v="1"/>
    <s v="01.11.80.307.6100.0000"/>
    <n v="117.45"/>
    <s v="11"/>
    <s v="6100"/>
    <n v="34318.95"/>
    <n v="117.45"/>
    <s v="CREDITOR"/>
    <n v="0"/>
    <n v="0"/>
    <n v="0"/>
    <n v="0"/>
    <n v="117.45"/>
  </r>
  <r>
    <n v="61464958"/>
    <s v="N"/>
    <n v="21318984"/>
    <s v="3000015543270001"/>
    <s v="CIVIL"/>
    <d v="2023-06-23T00:00:00"/>
    <d v="2023-07-03T19:01:49"/>
    <m/>
    <d v="2023-07-03T00:00:00"/>
    <n v="194"/>
    <n v="12447"/>
    <s v="61464958"/>
    <s v="61464958"/>
    <m/>
    <m/>
    <n v="22755938"/>
    <m/>
    <m/>
    <m/>
    <s v="SOLFIN"/>
    <s v="SOLFIN"/>
    <s v="CCMS"/>
    <n v="21318984"/>
    <n v="2903.56"/>
    <m/>
    <s v="N"/>
    <n v="25"/>
    <d v="2023-07-03T19:02:05"/>
    <s v="Y"/>
    <s v="Attendance upon client"/>
    <s v="Prescribed Hourly Rates"/>
    <s v="Profit Cost"/>
    <s v="FA"/>
    <s v="Y"/>
    <n v="17.23"/>
    <n v="3.45"/>
    <x v="3"/>
    <s v="VALIDATED"/>
    <n v="1"/>
    <s v="01.11.80.307.6100.0000"/>
    <n v="17.23"/>
    <s v="11"/>
    <s v="6100"/>
    <n v="34318.95"/>
    <n v="17.23"/>
    <s v="CREDITOR"/>
    <n v="0"/>
    <n v="0"/>
    <n v="0"/>
    <n v="0"/>
    <n v="17.23"/>
  </r>
  <r>
    <n v="61788720"/>
    <s v="N"/>
    <n v="21382042"/>
    <s v="3000015864570002"/>
    <s v="CIVIL"/>
    <d v="2023-06-28T00:00:00"/>
    <d v="2023-07-17T19:01:46"/>
    <m/>
    <d v="2023-07-17T00:00:00"/>
    <n v="194"/>
    <n v="12447"/>
    <s v="61788720"/>
    <s v="61788720"/>
    <m/>
    <m/>
    <n v="22781892"/>
    <m/>
    <m/>
    <m/>
    <s v="SOLFIN"/>
    <s v="SOLFIN"/>
    <s v="CCMS"/>
    <n v="21382042"/>
    <n v="4185.9"/>
    <m/>
    <s v="N"/>
    <n v="18"/>
    <d v="2023-07-17T19:02:00"/>
    <s v="Y"/>
    <s v="Preparation - other"/>
    <s v="Prescribed Hourly Rates"/>
    <s v="Profit Cost"/>
    <s v="FH"/>
    <s v="Y"/>
    <n v="49.9"/>
    <n v="9.98"/>
    <x v="8"/>
    <s v="VALIDATED"/>
    <n v="1"/>
    <s v="01.11.80.302.6100.0000"/>
    <n v="49.9"/>
    <s v="11"/>
    <s v="6100"/>
    <n v="34318.95"/>
    <n v="49.9"/>
    <s v="CREDITOR"/>
    <n v="0"/>
    <n v="0"/>
    <n v="0"/>
    <n v="0"/>
    <n v="49.9"/>
  </r>
  <r>
    <n v="61080230"/>
    <s v="N"/>
    <n v="21330559"/>
    <s v="3000015275730002"/>
    <s v="CIVIL"/>
    <d v="2023-06-23T00:00:00"/>
    <d v="2023-07-05T19:01:47"/>
    <m/>
    <d v="2023-07-05T00:00:00"/>
    <n v="194"/>
    <n v="12447"/>
    <s v="61080230"/>
    <s v="61080230"/>
    <m/>
    <m/>
    <n v="22755936"/>
    <m/>
    <m/>
    <m/>
    <s v="SOLFIN"/>
    <s v="SOLFIN"/>
    <s v="CCMS"/>
    <n v="21330559"/>
    <n v="3599.14"/>
    <m/>
    <s v="N"/>
    <n v="48"/>
    <d v="2023-07-05T19:01:51"/>
    <s v="Y"/>
    <s v="Preparation - drafting bill/claim f"/>
    <s v="Prescribed Hourly Rates"/>
    <s v="Profit Cost"/>
    <s v="CD"/>
    <s v="Y"/>
    <n v="332.64"/>
    <n v="66.58"/>
    <x v="6"/>
    <s v="VALIDATED"/>
    <n v="1"/>
    <s v="01.11.80.302.6100.0000"/>
    <n v="332.64"/>
    <s v="11"/>
    <s v="6100"/>
    <n v="34318.95"/>
    <n v="332.64"/>
    <s v="CREDITOR"/>
    <n v="0"/>
    <n v="0"/>
    <n v="0"/>
    <n v="0"/>
    <n v="332.64"/>
  </r>
  <r>
    <n v="62260478"/>
    <s v="N"/>
    <n v="21330952"/>
    <s v="3000016258320003"/>
    <s v="CIVIL"/>
    <d v="2023-06-28T00:00:00"/>
    <d v="2023-07-05T19:01:47"/>
    <m/>
    <d v="2023-07-05T00:00:00"/>
    <n v="194"/>
    <n v="12447"/>
    <s v="62260478"/>
    <s v="62260478"/>
    <m/>
    <m/>
    <n v="22775374"/>
    <m/>
    <m/>
    <m/>
    <s v="SOLFIN"/>
    <s v="SOLFIN"/>
    <s v="CCMS"/>
    <n v="21330952"/>
    <n v="3936.68"/>
    <m/>
    <s v="N"/>
    <n v="45"/>
    <d v="2023-07-05T19:01:59"/>
    <s v="Y"/>
    <s v="Preparation - other"/>
    <s v="Prescribed Hourly Rates"/>
    <s v="Profit Cost"/>
    <s v="DB"/>
    <s v="Y"/>
    <n v="49.9"/>
    <n v="9.98"/>
    <x v="6"/>
    <s v="VALIDATED"/>
    <n v="1"/>
    <s v="01.11.80.302.6100.0000"/>
    <n v="49.9"/>
    <s v="11"/>
    <s v="6100"/>
    <n v="34318.95"/>
    <n v="49.9"/>
    <s v="CREDITOR"/>
    <n v="0"/>
    <n v="0"/>
    <n v="0"/>
    <n v="0"/>
    <n v="49.9"/>
  </r>
  <r>
    <n v="60678163"/>
    <s v="N"/>
    <n v="21327492"/>
    <s v="3000014928670004"/>
    <s v="CIVIL"/>
    <d v="2023-06-22T00:00:00"/>
    <d v="2023-07-04T19:00:44"/>
    <m/>
    <d v="2023-07-04T00:00:00"/>
    <n v="194"/>
    <n v="12447"/>
    <s v="60678163"/>
    <s v="60678163"/>
    <m/>
    <m/>
    <n v="22744814"/>
    <m/>
    <m/>
    <m/>
    <s v="SOLFIN"/>
    <s v="SOLFIN"/>
    <s v="CCMS"/>
    <n v="21327492"/>
    <n v="7348.42"/>
    <m/>
    <s v="N"/>
    <n v="11"/>
    <d v="2023-07-04T19:00:48"/>
    <s v="Y"/>
    <s v="Preparation - other"/>
    <s v="Prescribed Hourly Rates"/>
    <s v="Profit Cost"/>
    <s v="FAH"/>
    <s v="Y"/>
    <n v="58.21"/>
    <n v="11.64"/>
    <x v="1"/>
    <s v="VALIDATED"/>
    <n v="1"/>
    <s v="01.11.80.302.6100.0000"/>
    <n v="58.21"/>
    <s v="11"/>
    <s v="6100"/>
    <n v="34318.95"/>
    <n v="58.21"/>
    <s v="CREDITOR"/>
    <n v="0"/>
    <n v="0"/>
    <n v="0"/>
    <n v="0"/>
    <n v="58.21"/>
  </r>
  <r>
    <n v="61788720"/>
    <s v="N"/>
    <n v="21382042"/>
    <s v="3000015864570002"/>
    <s v="CIVIL"/>
    <d v="2023-06-28T00:00:00"/>
    <d v="2023-07-17T19:01:46"/>
    <m/>
    <d v="2023-07-17T00:00:00"/>
    <n v="194"/>
    <n v="12447"/>
    <s v="61788720"/>
    <s v="61788720"/>
    <m/>
    <m/>
    <n v="22781892"/>
    <m/>
    <m/>
    <m/>
    <s v="SOLFIN"/>
    <s v="SOLFIN"/>
    <s v="CCMS"/>
    <n v="21382042"/>
    <n v="4185.9"/>
    <m/>
    <s v="N"/>
    <n v="29"/>
    <d v="2023-07-17T19:02:00"/>
    <s v="Y"/>
    <s v="Preparation - other"/>
    <s v="Prescribed Hourly Rates"/>
    <s v="Profit Cost"/>
    <s v="FA"/>
    <s v="Y"/>
    <n v="16.63"/>
    <n v="3.33"/>
    <x v="8"/>
    <s v="VALIDATED"/>
    <n v="1"/>
    <s v="01.11.80.302.6100.0000"/>
    <n v="16.63"/>
    <s v="11"/>
    <s v="6100"/>
    <n v="34318.95"/>
    <n v="16.63"/>
    <s v="CREDITOR"/>
    <n v="0"/>
    <n v="0"/>
    <n v="0"/>
    <n v="0"/>
    <n v="16.63"/>
  </r>
  <r>
    <n v="62291739"/>
    <s v="N"/>
    <n v="21349346"/>
    <s v="3000016284260001"/>
    <s v="CIVIL"/>
    <d v="2023-06-30T00:00:00"/>
    <d v="2023-07-10T19:01:40"/>
    <m/>
    <d v="2023-07-10T00:00:00"/>
    <n v="194"/>
    <n v="12447"/>
    <s v="62291739"/>
    <s v="62291739"/>
    <m/>
    <m/>
    <n v="22800282"/>
    <m/>
    <m/>
    <m/>
    <s v="SOLPOA"/>
    <s v="SOLPOA"/>
    <s v="CCMS"/>
    <n v="21349346"/>
    <n v="120"/>
    <m/>
    <s v="N"/>
    <n v="1"/>
    <d v="2023-07-10T19:01:47"/>
    <s v="N"/>
    <s v="Expert Cost - Domestic Abuse"/>
    <s v="Expert Cost - Domestic Abuse"/>
    <s v="Expert Disbursement"/>
    <s v="Adriana Silva"/>
    <s v="N"/>
    <n v="100"/>
    <n v="20"/>
    <x v="2"/>
    <s v="VALIDATED"/>
    <n v="1"/>
    <s v="01.11.80.302.2012.0000"/>
    <n v="100"/>
    <s v="11"/>
    <s v="2012"/>
    <n v="34318.95"/>
    <n v="100"/>
    <s v="CREDITOR"/>
    <n v="100"/>
    <n v="0"/>
    <n v="0"/>
    <n v="0"/>
    <n v="0"/>
  </r>
  <r>
    <n v="62309851"/>
    <s v="N"/>
    <n v="21330932"/>
    <s v="3000016300730003"/>
    <s v="CIVIL"/>
    <d v="2023-06-28T00:00:00"/>
    <d v="2023-07-05T19:01:47"/>
    <m/>
    <d v="2023-07-05T00:00:00"/>
    <n v="194"/>
    <n v="12447"/>
    <s v="62309851"/>
    <s v="62309851"/>
    <m/>
    <m/>
    <n v="22775378"/>
    <m/>
    <m/>
    <m/>
    <s v="SOLFIN"/>
    <s v="SOLFIN"/>
    <s v="CCMS"/>
    <n v="21330932"/>
    <n v="4181.19"/>
    <m/>
    <s v="N"/>
    <n v="14"/>
    <d v="2023-07-05T19:01:57"/>
    <s v="Y"/>
    <s v="Preparation - other"/>
    <s v="Prescribed Hourly Rates"/>
    <s v="Profit Cost"/>
    <s v="SP"/>
    <s v="Y"/>
    <n v="99.79000000000001"/>
    <n v="19.96"/>
    <x v="6"/>
    <s v="VALIDATED"/>
    <n v="1"/>
    <s v="01.11.80.302.6100.0000"/>
    <n v="99.79000000000001"/>
    <s v="11"/>
    <s v="6100"/>
    <n v="34318.95"/>
    <n v="99.79000000000001"/>
    <s v="CREDITOR"/>
    <n v="0"/>
    <n v="0"/>
    <n v="0"/>
    <n v="0"/>
    <n v="99.79000000000001"/>
  </r>
  <r>
    <n v="62260478"/>
    <s v="N"/>
    <n v="21330952"/>
    <s v="3000016258320003"/>
    <s v="CIVIL"/>
    <d v="2023-06-28T00:00:00"/>
    <d v="2023-07-05T19:01:47"/>
    <m/>
    <d v="2023-07-05T00:00:00"/>
    <n v="194"/>
    <n v="12447"/>
    <s v="62260478"/>
    <s v="62260478"/>
    <m/>
    <m/>
    <n v="22775374"/>
    <m/>
    <m/>
    <m/>
    <s v="SOLFIN"/>
    <s v="SOLFIN"/>
    <s v="CCMS"/>
    <n v="21330952"/>
    <n v="3936.68"/>
    <m/>
    <s v="N"/>
    <n v="61"/>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50"/>
    <d v="2023-07-05T19:01:57"/>
    <s v="Y"/>
    <s v="Preparation - other"/>
    <s v="Prescribed Hourly Rates"/>
    <s v="Profit Cost"/>
    <s v="YR"/>
    <s v="Y"/>
    <n v="66.53"/>
    <n v="13.31"/>
    <x v="6"/>
    <s v="VALIDATED"/>
    <n v="1"/>
    <s v="01.11.80.302.6100.0000"/>
    <n v="66.53"/>
    <s v="11"/>
    <s v="6100"/>
    <n v="34318.95"/>
    <n v="66.53"/>
    <s v="CREDITOR"/>
    <n v="0"/>
    <n v="0"/>
    <n v="0"/>
    <n v="0"/>
    <n v="66.53"/>
  </r>
  <r>
    <n v="60678163"/>
    <s v="N"/>
    <n v="21327492"/>
    <s v="3000014928670004"/>
    <s v="CIVIL"/>
    <d v="2023-06-22T00:00:00"/>
    <d v="2023-07-04T19:00:44"/>
    <m/>
    <d v="2023-07-04T00:00:00"/>
    <n v="194"/>
    <n v="12447"/>
    <s v="60678163"/>
    <s v="60678163"/>
    <m/>
    <m/>
    <n v="22744814"/>
    <m/>
    <m/>
    <m/>
    <s v="SOLFIN"/>
    <s v="SOLFIN"/>
    <s v="CCMS"/>
    <n v="21327492"/>
    <n v="7348.42"/>
    <m/>
    <s v="N"/>
    <n v="77"/>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63"/>
    <d v="2023-07-04T19:00:48"/>
    <s v="Y"/>
    <s v="Preparation - other"/>
    <s v="Prescribed Hourly Rates"/>
    <s v="Profit Cost"/>
    <s v="FAH"/>
    <s v="Y"/>
    <n v="41.58"/>
    <n v="8.32"/>
    <x v="1"/>
    <s v="VALIDATED"/>
    <n v="1"/>
    <s v="01.11.80.302.6100.0000"/>
    <n v="41.58"/>
    <s v="11"/>
    <s v="6100"/>
    <n v="34318.95"/>
    <n v="41.58"/>
    <s v="CREDITOR"/>
    <n v="0"/>
    <n v="0"/>
    <n v="0"/>
    <n v="0"/>
    <n v="41.58"/>
  </r>
  <r>
    <n v="61464958"/>
    <s v="N"/>
    <n v="21318984"/>
    <s v="3000015543270001"/>
    <s v="CIVIL"/>
    <d v="2023-06-23T00:00:00"/>
    <d v="2023-07-03T19:01:49"/>
    <m/>
    <d v="2023-07-03T00:00:00"/>
    <n v="194"/>
    <n v="12447"/>
    <s v="61464958"/>
    <s v="61464958"/>
    <m/>
    <m/>
    <n v="22755938"/>
    <m/>
    <m/>
    <m/>
    <s v="SOLFIN"/>
    <s v="SOLFIN"/>
    <s v="CCMS"/>
    <n v="21318984"/>
    <n v="2903.56"/>
    <m/>
    <s v="N"/>
    <n v="18"/>
    <d v="2023-07-03T19:02:05"/>
    <s v="Y"/>
    <s v="Preparation - other"/>
    <s v="Prescribed Hourly Rates"/>
    <s v="Profit Cost"/>
    <s v="FA"/>
    <s v="Y"/>
    <n v="172.26"/>
    <n v="34.45"/>
    <x v="3"/>
    <s v="VALIDATED"/>
    <n v="1"/>
    <s v="01.11.80.307.6100.0000"/>
    <n v="172.26"/>
    <s v="11"/>
    <s v="6100"/>
    <n v="34318.95"/>
    <n v="172.26"/>
    <s v="CREDITOR"/>
    <n v="0"/>
    <n v="0"/>
    <n v="0"/>
    <n v="0"/>
    <n v="172.26"/>
  </r>
  <r>
    <n v="61895447"/>
    <s v="N"/>
    <n v="21318965"/>
    <s v="3000015953910001"/>
    <s v="CIVIL"/>
    <d v="2023-06-17T00:00:00"/>
    <d v="2023-07-03T19:01:49"/>
    <m/>
    <d v="2023-07-03T00:00:00"/>
    <n v="194"/>
    <n v="12447"/>
    <s v="61895447"/>
    <s v="61895447"/>
    <m/>
    <m/>
    <n v="22710360"/>
    <m/>
    <m/>
    <m/>
    <s v="SOLFIN"/>
    <s v="SOLFIN"/>
    <s v="CCMS"/>
    <n v="21318965"/>
    <n v="849.6"/>
    <m/>
    <s v="N"/>
    <n v="2"/>
    <d v="2023-07-03T19:02:05"/>
    <s v="Y"/>
    <s v="Level 4 Fixed Fee"/>
    <s v="Domestic Abuse"/>
    <s v="Profit Cost"/>
    <s v="df"/>
    <s v="Y"/>
    <n v="608"/>
    <n v="121.6"/>
    <x v="3"/>
    <s v="VALIDATED"/>
    <n v="1"/>
    <s v="01.11.80.302.6100.0000"/>
    <n v="608"/>
    <s v="11"/>
    <s v="6100"/>
    <n v="34318.95"/>
    <n v="608"/>
    <s v="CREDITOR"/>
    <n v="0"/>
    <n v="0"/>
    <n v="0"/>
    <n v="0"/>
    <n v="608"/>
  </r>
  <r>
    <n v="61130472"/>
    <s v="N"/>
    <n v="21382407"/>
    <s v="3000015317490003"/>
    <s v="CIVIL"/>
    <d v="2023-06-28T00:00:00"/>
    <d v="2023-07-17T19:01:46"/>
    <m/>
    <d v="2023-07-17T00:00:00"/>
    <n v="194"/>
    <n v="12447"/>
    <s v="61130472"/>
    <s v="61130472"/>
    <m/>
    <m/>
    <n v="22775508"/>
    <m/>
    <m/>
    <m/>
    <s v="SOLFIN"/>
    <s v="SOLFIN"/>
    <s v="CCMS"/>
    <n v="21382407"/>
    <n v="4109"/>
    <m/>
    <s v="N"/>
    <n v="32"/>
    <d v="2023-07-17T19:02:09"/>
    <s v="Y"/>
    <s v="Preparation - other"/>
    <s v="Prescribed Hourly Rates"/>
    <s v="Profit Cost"/>
    <s v="CD"/>
    <s v="Y"/>
    <n v="24.95"/>
    <n v="4.99"/>
    <x v="8"/>
    <s v="VALIDATED"/>
    <n v="1"/>
    <s v="01.11.80.302.6100.0000"/>
    <n v="24.95"/>
    <s v="11"/>
    <s v="6100"/>
    <n v="34318.95"/>
    <n v="24.95"/>
    <s v="CREDITOR"/>
    <n v="0"/>
    <n v="0"/>
    <n v="0"/>
    <n v="0"/>
    <n v="24.95"/>
  </r>
  <r>
    <n v="61788720"/>
    <s v="N"/>
    <n v="21382042"/>
    <s v="3000015864570002"/>
    <s v="CIVIL"/>
    <d v="2023-06-28T00:00:00"/>
    <d v="2023-07-17T19:01:46"/>
    <m/>
    <d v="2023-07-17T00:00:00"/>
    <n v="194"/>
    <n v="12447"/>
    <s v="61788720"/>
    <s v="61788720"/>
    <m/>
    <m/>
    <n v="22781892"/>
    <m/>
    <m/>
    <m/>
    <s v="SOLFIN"/>
    <s v="SOLFIN"/>
    <s v="CCMS"/>
    <n v="21382042"/>
    <n v="4185.9"/>
    <m/>
    <s v="N"/>
    <n v="14"/>
    <d v="2023-07-17T19:02:00"/>
    <s v="Y"/>
    <s v="Preparation - other"/>
    <s v="Prescribed Hourly Rates"/>
    <s v="Profit Cost"/>
    <s v="FH"/>
    <s v="Y"/>
    <n v="74.84"/>
    <n v="14.97"/>
    <x v="8"/>
    <s v="VALIDATED"/>
    <n v="1"/>
    <s v="01.11.80.302.6100.0000"/>
    <n v="74.84"/>
    <s v="11"/>
    <s v="6100"/>
    <n v="34318.95"/>
    <n v="74.84"/>
    <s v="CREDITOR"/>
    <n v="0"/>
    <n v="0"/>
    <n v="0"/>
    <n v="0"/>
    <n v="74.84"/>
  </r>
  <r>
    <n v="61788720"/>
    <s v="N"/>
    <n v="21382042"/>
    <s v="3000015864570002"/>
    <s v="CIVIL"/>
    <d v="2023-06-28T00:00:00"/>
    <d v="2023-07-17T19:01:46"/>
    <m/>
    <d v="2023-07-17T00:00:00"/>
    <n v="194"/>
    <n v="12447"/>
    <s v="61788720"/>
    <s v="61788720"/>
    <m/>
    <m/>
    <n v="22781892"/>
    <m/>
    <m/>
    <m/>
    <s v="SOLFIN"/>
    <s v="SOLFIN"/>
    <s v="CCMS"/>
    <n v="21382042"/>
    <n v="4185.9"/>
    <m/>
    <s v="N"/>
    <n v="45"/>
    <d v="2023-07-17T19:02:00"/>
    <s v="Y"/>
    <s v="Preparation - other"/>
    <s v="Prescribed Hourly Rates"/>
    <s v="Profit Cost"/>
    <s v="CD"/>
    <s v="Y"/>
    <n v="33.26"/>
    <n v="6.65"/>
    <x v="8"/>
    <s v="VALIDATED"/>
    <n v="1"/>
    <s v="01.11.80.302.6100.0000"/>
    <n v="33.26"/>
    <s v="11"/>
    <s v="6100"/>
    <n v="34318.95"/>
    <n v="33.26"/>
    <s v="CREDITOR"/>
    <n v="0"/>
    <n v="0"/>
    <n v="0"/>
    <n v="0"/>
    <n v="33.26"/>
  </r>
  <r>
    <n v="60678163"/>
    <s v="N"/>
    <n v="21327492"/>
    <s v="3000014928670004"/>
    <s v="CIVIL"/>
    <d v="2023-06-22T00:00:00"/>
    <d v="2023-07-04T19:00:44"/>
    <m/>
    <d v="2023-07-04T00:00:00"/>
    <n v="194"/>
    <n v="12447"/>
    <s v="60678163"/>
    <s v="60678163"/>
    <m/>
    <m/>
    <n v="22744814"/>
    <m/>
    <m/>
    <m/>
    <s v="SOLFIN"/>
    <s v="SOLFIN"/>
    <s v="CCMS"/>
    <n v="21327492"/>
    <n v="7348.42"/>
    <m/>
    <s v="N"/>
    <n v="80"/>
    <d v="2023-07-04T19:00:48"/>
    <s v="Y"/>
    <s v="Preparation - other"/>
    <s v="Prescribed Hourly Rates"/>
    <s v="Profit Cost"/>
    <s v="FAH"/>
    <s v="Y"/>
    <n v="16.63"/>
    <n v="3.33"/>
    <x v="1"/>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93"/>
    <d v="2023-07-04T19:00:48"/>
    <s v="Y"/>
    <s v="Routine Telephone Call"/>
    <s v="Prescribed Hourly Rates"/>
    <s v="Profit Cost"/>
    <s v="FAH"/>
    <s v="Y"/>
    <n v="83.16"/>
    <n v="16.63"/>
    <x v="1"/>
    <s v="VALIDATED"/>
    <n v="1"/>
    <s v="01.11.80.302.6100.0000"/>
    <n v="83.16"/>
    <s v="11"/>
    <s v="6100"/>
    <n v="34318.95"/>
    <n v="83.16"/>
    <s v="CREDITOR"/>
    <n v="0"/>
    <n v="0"/>
    <n v="0"/>
    <n v="0"/>
    <n v="83.16"/>
  </r>
  <r>
    <n v="60678163"/>
    <s v="N"/>
    <n v="21327492"/>
    <s v="3000014928670004"/>
    <s v="CIVIL"/>
    <d v="2023-06-22T00:00:00"/>
    <d v="2023-07-04T19:00:44"/>
    <m/>
    <d v="2023-07-04T00:00:00"/>
    <n v="194"/>
    <n v="12447"/>
    <s v="60678163"/>
    <s v="60678163"/>
    <m/>
    <m/>
    <n v="22744814"/>
    <m/>
    <m/>
    <m/>
    <s v="SOLFIN"/>
    <s v="SOLFIN"/>
    <s v="CCMS"/>
    <n v="21327492"/>
    <n v="7348.42"/>
    <m/>
    <s v="N"/>
    <n v="46"/>
    <d v="2023-07-04T19:00:48"/>
    <s v="Y"/>
    <s v="Attendance upon other"/>
    <s v="Prescribed Hourly Rates"/>
    <s v="Profit Cost"/>
    <s v="FAH"/>
    <s v="Y"/>
    <n v="16.63"/>
    <n v="3.33"/>
    <x v="1"/>
    <s v="VALIDATED"/>
    <n v="1"/>
    <s v="01.11.80.302.6100.0000"/>
    <n v="16.63"/>
    <s v="11"/>
    <s v="6100"/>
    <n v="34318.95"/>
    <n v="16.63"/>
    <s v="CREDITOR"/>
    <n v="0"/>
    <n v="0"/>
    <n v="0"/>
    <n v="0"/>
    <n v="16.63"/>
  </r>
  <r>
    <n v="61080230"/>
    <s v="N"/>
    <n v="21330559"/>
    <s v="3000015275730002"/>
    <s v="CIVIL"/>
    <d v="2023-06-23T00:00:00"/>
    <d v="2023-07-05T19:01:47"/>
    <m/>
    <d v="2023-07-05T00:00:00"/>
    <n v="194"/>
    <n v="12447"/>
    <s v="61080230"/>
    <s v="61080230"/>
    <m/>
    <m/>
    <n v="22755936"/>
    <m/>
    <m/>
    <m/>
    <s v="SOLFIN"/>
    <s v="SOLFIN"/>
    <s v="CCMS"/>
    <n v="21330559"/>
    <n v="3599.14"/>
    <m/>
    <s v="N"/>
    <n v="18"/>
    <d v="2023-07-05T19:01:51"/>
    <s v="Y"/>
    <s v="Preparation - other"/>
    <s v="Prescribed Hourly Rates"/>
    <s v="Profit Cost"/>
    <s v="DF1"/>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19"/>
    <d v="2023-07-05T19:01:59"/>
    <s v="Y"/>
    <s v="Preparation - other"/>
    <s v="Prescribed Hourly Rates"/>
    <s v="Profit Cost"/>
    <s v="MC"/>
    <s v="Y"/>
    <n v="74.84"/>
    <n v="14.97"/>
    <x v="6"/>
    <s v="VALIDATED"/>
    <n v="1"/>
    <s v="01.11.80.302.6100.0000"/>
    <n v="74.84"/>
    <s v="11"/>
    <s v="6100"/>
    <n v="34318.95"/>
    <n v="74.84"/>
    <s v="CREDITOR"/>
    <n v="0"/>
    <n v="0"/>
    <n v="0"/>
    <n v="0"/>
    <n v="74.84"/>
  </r>
  <r>
    <n v="61464958"/>
    <s v="N"/>
    <n v="21318984"/>
    <s v="3000015543270001"/>
    <s v="CIVIL"/>
    <d v="2023-06-23T00:00:00"/>
    <d v="2023-07-03T19:01:49"/>
    <m/>
    <d v="2023-07-03T00:00:00"/>
    <n v="194"/>
    <n v="12447"/>
    <s v="61464958"/>
    <s v="61464958"/>
    <m/>
    <m/>
    <n v="22755938"/>
    <m/>
    <m/>
    <m/>
    <s v="SOLFIN"/>
    <s v="SOLFIN"/>
    <s v="CCMS"/>
    <n v="21318984"/>
    <n v="2903.56"/>
    <m/>
    <s v="N"/>
    <n v="20"/>
    <d v="2023-07-03T19:02:05"/>
    <s v="Y"/>
    <s v="Attendance upon client"/>
    <s v="Prescribed Hourly Rates"/>
    <s v="Profit Cost"/>
    <s v="FA"/>
    <s v="Y"/>
    <n v="8.609999999999999"/>
    <n v="1.72"/>
    <x v="3"/>
    <s v="VALIDATED"/>
    <n v="1"/>
    <s v="01.11.80.307.6100.0000"/>
    <n v="8.609999999999999"/>
    <s v="11"/>
    <s v="6100"/>
    <n v="34318.95"/>
    <n v="8.609999999999999"/>
    <s v="CREDITOR"/>
    <n v="0"/>
    <n v="0"/>
    <n v="0"/>
    <n v="0"/>
    <n v="8.609999999999999"/>
  </r>
  <r>
    <n v="61130472"/>
    <s v="N"/>
    <n v="21382407"/>
    <s v="3000015317490003"/>
    <s v="CIVIL"/>
    <d v="2023-06-28T00:00:00"/>
    <d v="2023-07-17T19:01:46"/>
    <m/>
    <d v="2023-07-17T00:00:00"/>
    <n v="194"/>
    <n v="12447"/>
    <s v="61130472"/>
    <s v="61130472"/>
    <m/>
    <m/>
    <n v="22775508"/>
    <m/>
    <m/>
    <m/>
    <s v="SOLFIN"/>
    <s v="SOLFIN"/>
    <s v="CCMS"/>
    <n v="21382407"/>
    <n v="4109"/>
    <m/>
    <s v="N"/>
    <n v="22"/>
    <d v="2023-07-17T19:02:09"/>
    <s v="Y"/>
    <s v="Preparation - other"/>
    <s v="Prescribed Hourly Rates"/>
    <s v="Profit Cost"/>
    <s v="FAH"/>
    <s v="Y"/>
    <n v="8.32"/>
    <n v="1.66"/>
    <x v="8"/>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8"/>
    <d v="2023-07-17T19:02:09"/>
    <s v="Y"/>
    <s v="Preparation - other"/>
    <s v="Prescribed Hourly Rates"/>
    <s v="Profit Cost"/>
    <s v="FAH"/>
    <s v="Y"/>
    <n v="66.53"/>
    <n v="13.31"/>
    <x v="8"/>
    <s v="VALIDATED"/>
    <n v="1"/>
    <s v="01.11.80.302.6100.0000"/>
    <n v="66.53"/>
    <s v="11"/>
    <s v="6100"/>
    <n v="34318.95"/>
    <n v="66.53"/>
    <s v="CREDITOR"/>
    <n v="0"/>
    <n v="0"/>
    <n v="0"/>
    <n v="0"/>
    <n v="66.53"/>
  </r>
  <r>
    <n v="61788720"/>
    <s v="N"/>
    <n v="21382042"/>
    <s v="3000015864570002"/>
    <s v="CIVIL"/>
    <d v="2023-06-28T00:00:00"/>
    <d v="2023-07-17T19:01:46"/>
    <m/>
    <d v="2023-07-17T00:00:00"/>
    <n v="194"/>
    <n v="12447"/>
    <s v="61788720"/>
    <s v="61788720"/>
    <m/>
    <m/>
    <n v="22781892"/>
    <m/>
    <m/>
    <m/>
    <s v="SOLFIN"/>
    <s v="SOLFIN"/>
    <s v="CCMS"/>
    <n v="21382042"/>
    <n v="4185.9"/>
    <m/>
    <s v="N"/>
    <n v="6"/>
    <d v="2023-07-17T19:02:00"/>
    <s v="Y"/>
    <s v="Preparation - other"/>
    <s v="Prescribed Hourly Rates"/>
    <s v="Profit Cost"/>
    <s v="AD"/>
    <s v="Y"/>
    <n v="16.63"/>
    <n v="3.33"/>
    <x v="8"/>
    <s v="VALIDATED"/>
    <n v="1"/>
    <s v="01.11.80.302.6100.0000"/>
    <n v="16.63"/>
    <s v="11"/>
    <s v="6100"/>
    <n v="34318.95"/>
    <n v="16.63"/>
    <s v="CREDITOR"/>
    <n v="0"/>
    <n v="0"/>
    <n v="0"/>
    <n v="0"/>
    <n v="16.63"/>
  </r>
  <r>
    <n v="62309851"/>
    <s v="N"/>
    <n v="21330932"/>
    <s v="3000016300730003"/>
    <s v="CIVIL"/>
    <d v="2023-06-28T00:00:00"/>
    <d v="2023-07-05T19:01:47"/>
    <m/>
    <d v="2023-07-05T00:00:00"/>
    <n v="194"/>
    <n v="12447"/>
    <s v="62309851"/>
    <s v="62309851"/>
    <m/>
    <m/>
    <n v="22775378"/>
    <m/>
    <m/>
    <m/>
    <s v="SOLFIN"/>
    <s v="SOLFIN"/>
    <s v="CCMS"/>
    <n v="21330932"/>
    <n v="4181.19"/>
    <m/>
    <s v="N"/>
    <n v="7"/>
    <d v="2023-07-05T19:01:57"/>
    <s v="Y"/>
    <s v="Preparation - other"/>
    <s v="Prescribed Hourly Rates"/>
    <s v="Profit Cost"/>
    <s v="SP"/>
    <s v="Y"/>
    <n v="16.63"/>
    <n v="3.33"/>
    <x v="6"/>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38"/>
    <d v="2023-07-04T19:00:48"/>
    <s v="Y"/>
    <s v="Preparation - other"/>
    <s v="Prescribed Hourly Rates"/>
    <s v="Profit Cost"/>
    <s v="FAH"/>
    <s v="Y"/>
    <n v="41.58"/>
    <n v="8.32"/>
    <x v="1"/>
    <s v="VALIDATED"/>
    <n v="1"/>
    <s v="01.11.80.302.6100.0000"/>
    <n v="41.58"/>
    <s v="11"/>
    <s v="6100"/>
    <n v="34318.95"/>
    <n v="41.58"/>
    <s v="CREDITOR"/>
    <n v="0"/>
    <n v="0"/>
    <n v="0"/>
    <n v="0"/>
    <n v="41.58"/>
  </r>
  <r>
    <n v="61788720"/>
    <s v="N"/>
    <n v="21382042"/>
    <s v="3000015864570002"/>
    <s v="CIVIL"/>
    <d v="2023-06-28T00:00:00"/>
    <d v="2023-07-17T19:01:46"/>
    <m/>
    <d v="2023-07-17T00:00:00"/>
    <n v="194"/>
    <n v="12447"/>
    <s v="61788720"/>
    <s v="61788720"/>
    <m/>
    <m/>
    <n v="22781892"/>
    <m/>
    <m/>
    <m/>
    <s v="SOLFIN"/>
    <s v="SOLFIN"/>
    <s v="CCMS"/>
    <n v="21382042"/>
    <n v="4185.9"/>
    <m/>
    <s v="N"/>
    <n v="31"/>
    <d v="2023-07-17T19:02:00"/>
    <s v="Y"/>
    <s v="Preparation - other"/>
    <s v="Prescribed Hourly Rates"/>
    <s v="Profit Cost"/>
    <s v="FH"/>
    <s v="Y"/>
    <n v="8.32"/>
    <n v="1.66"/>
    <x v="8"/>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57"/>
    <d v="2023-07-05T19:01:57"/>
    <s v="Y"/>
    <s v="Preparation - other"/>
    <s v="Prescribed Hourly Rates"/>
    <s v="Profit Cost"/>
    <s v="YR"/>
    <s v="Y"/>
    <n v="16.63"/>
    <n v="3.33"/>
    <x v="6"/>
    <s v="VALIDATED"/>
    <n v="1"/>
    <s v="01.11.80.302.6100.0000"/>
    <n v="16.63"/>
    <s v="11"/>
    <s v="6100"/>
    <n v="34318.95"/>
    <n v="16.63"/>
    <s v="CREDITOR"/>
    <n v="0"/>
    <n v="0"/>
    <n v="0"/>
    <n v="0"/>
    <n v="16.63"/>
  </r>
  <r>
    <n v="62309851"/>
    <s v="N"/>
    <n v="21330932"/>
    <s v="3000016300730003"/>
    <s v="CIVIL"/>
    <d v="2023-06-28T00:00:00"/>
    <d v="2023-07-05T19:01:47"/>
    <m/>
    <d v="2023-07-05T00:00:00"/>
    <n v="194"/>
    <n v="12447"/>
    <s v="62309851"/>
    <s v="62309851"/>
    <m/>
    <m/>
    <n v="22775378"/>
    <m/>
    <m/>
    <m/>
    <s v="SOLFIN"/>
    <s v="SOLFIN"/>
    <s v="CCMS"/>
    <n v="21330932"/>
    <n v="4181.19"/>
    <m/>
    <s v="N"/>
    <n v="1"/>
    <d v="2023-07-05T19:01:57"/>
    <s v="Y"/>
    <s v="Enquiry Agent"/>
    <s v="Prescribed Hourly Rates"/>
    <s v="Expert Disbursement"/>
    <s v="XXX"/>
    <s v="Y"/>
    <n v="100"/>
    <n v="20"/>
    <x v="6"/>
    <s v="VALIDATED"/>
    <n v="1"/>
    <s v="01.11.80.302.6300.0000"/>
    <n v="100"/>
    <s v="11"/>
    <s v="6300"/>
    <n v="34318.95"/>
    <n v="100"/>
    <s v="CREDITOR"/>
    <n v="0"/>
    <n v="0"/>
    <n v="0"/>
    <n v="0"/>
    <n v="100"/>
  </r>
  <r>
    <n v="62260478"/>
    <s v="N"/>
    <n v="21330952"/>
    <s v="3000016258320003"/>
    <s v="CIVIL"/>
    <d v="2023-06-28T00:00:00"/>
    <d v="2023-07-05T19:01:47"/>
    <m/>
    <d v="2023-07-05T00:00:00"/>
    <n v="194"/>
    <n v="12447"/>
    <s v="62260478"/>
    <s v="62260478"/>
    <m/>
    <m/>
    <n v="22775374"/>
    <m/>
    <m/>
    <m/>
    <s v="SOLFIN"/>
    <s v="SOLFIN"/>
    <s v="CCMS"/>
    <n v="21330952"/>
    <n v="3936.68"/>
    <m/>
    <s v="N"/>
    <n v="18"/>
    <d v="2023-07-05T19:01:59"/>
    <s v="Y"/>
    <s v="Preparation - other"/>
    <s v="Prescribed Hourly Rates"/>
    <s v="Profit Cost"/>
    <s v="MC"/>
    <s v="Y"/>
    <n v="58.21"/>
    <n v="11.64"/>
    <x v="6"/>
    <s v="VALIDATED"/>
    <n v="1"/>
    <s v="01.11.80.302.6100.0000"/>
    <n v="58.21"/>
    <s v="11"/>
    <s v="6100"/>
    <n v="34318.95"/>
    <n v="58.21"/>
    <s v="CREDITOR"/>
    <n v="0"/>
    <n v="0"/>
    <n v="0"/>
    <n v="0"/>
    <n v="58.21"/>
  </r>
  <r>
    <n v="62260478"/>
    <s v="N"/>
    <n v="21330952"/>
    <s v="3000016258320003"/>
    <s v="CIVIL"/>
    <d v="2023-06-28T00:00:00"/>
    <d v="2023-07-05T19:01:47"/>
    <m/>
    <d v="2023-07-05T00:00:00"/>
    <n v="194"/>
    <n v="12447"/>
    <s v="62260478"/>
    <s v="62260478"/>
    <m/>
    <m/>
    <n v="22775374"/>
    <m/>
    <m/>
    <m/>
    <s v="SOLFIN"/>
    <s v="SOLFIN"/>
    <s v="CCMS"/>
    <n v="21330952"/>
    <n v="3936.68"/>
    <m/>
    <s v="N"/>
    <n v="22"/>
    <d v="2023-07-05T19:01:59"/>
    <s v="Y"/>
    <s v="Preparation - other"/>
    <s v="Prescribed Hourly Rates"/>
    <s v="Profit Cost"/>
    <s v="DB"/>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51"/>
    <d v="2023-07-04T19:00:48"/>
    <s v="Y"/>
    <s v="Attendance upon other"/>
    <s v="Prescribed Hourly Rates"/>
    <s v="Profit Cost"/>
    <s v="FAH"/>
    <s v="Y"/>
    <n v="16.63"/>
    <n v="3.33"/>
    <x v="1"/>
    <s v="VALIDATED"/>
    <n v="1"/>
    <s v="01.11.80.302.6100.0000"/>
    <n v="16.63"/>
    <s v="11"/>
    <s v="6100"/>
    <n v="34318.95"/>
    <n v="16.63"/>
    <s v="CREDITOR"/>
    <n v="0"/>
    <n v="0"/>
    <n v="0"/>
    <n v="0"/>
    <n v="16.63"/>
  </r>
  <r>
    <n v="60678163"/>
    <s v="N"/>
    <n v="21327492"/>
    <s v="3000014928670004"/>
    <s v="CIVIL"/>
    <d v="2023-06-22T00:00:00"/>
    <d v="2023-07-04T19:00:44"/>
    <m/>
    <d v="2023-07-04T00:00:00"/>
    <n v="194"/>
    <n v="12447"/>
    <s v="60678163"/>
    <s v="60678163"/>
    <m/>
    <m/>
    <n v="22744814"/>
    <m/>
    <m/>
    <m/>
    <s v="SOLFIN"/>
    <s v="SOLFIN"/>
    <s v="CCMS"/>
    <n v="21327492"/>
    <n v="7348.42"/>
    <m/>
    <s v="N"/>
    <n v="89"/>
    <d v="2023-07-04T19:00:48"/>
    <s v="Y"/>
    <s v="Preparation - other"/>
    <s v="Prescribed Hourly Rates"/>
    <s v="Profit Cost"/>
    <s v="FAH"/>
    <s v="Y"/>
    <n v="149.69"/>
    <n v="29.94"/>
    <x v="1"/>
    <s v="VALIDATED"/>
    <n v="1"/>
    <s v="01.11.80.302.6100.0000"/>
    <n v="149.69"/>
    <s v="11"/>
    <s v="6100"/>
    <n v="34318.95"/>
    <n v="149.69"/>
    <s v="CREDITOR"/>
    <n v="0"/>
    <n v="0"/>
    <n v="0"/>
    <n v="0"/>
    <n v="149.69"/>
  </r>
  <r>
    <n v="60678163"/>
    <s v="N"/>
    <n v="21327492"/>
    <s v="3000014928670004"/>
    <s v="CIVIL"/>
    <d v="2023-06-22T00:00:00"/>
    <d v="2023-07-04T19:00:44"/>
    <m/>
    <d v="2023-07-04T00:00:00"/>
    <n v="194"/>
    <n v="12447"/>
    <s v="60678163"/>
    <s v="60678163"/>
    <m/>
    <m/>
    <n v="22744814"/>
    <m/>
    <m/>
    <m/>
    <s v="SOLFIN"/>
    <s v="SOLFIN"/>
    <s v="CCMS"/>
    <n v="21327492"/>
    <n v="7348.42"/>
    <m/>
    <s v="N"/>
    <n v="35"/>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91"/>
    <d v="2023-07-04T19:00:48"/>
    <s v="Y"/>
    <s v="Preparation - other"/>
    <s v="Prescribed Hourly Rates"/>
    <s v="Profit Cost"/>
    <s v="CD"/>
    <s v="Y"/>
    <n v="24.95"/>
    <n v="4.99"/>
    <x v="1"/>
    <s v="VALIDATED"/>
    <n v="1"/>
    <s v="01.11.80.302.6100.0000"/>
    <n v="24.95"/>
    <s v="11"/>
    <s v="6100"/>
    <n v="34318.95"/>
    <n v="24.95"/>
    <s v="CREDITOR"/>
    <n v="0"/>
    <n v="0"/>
    <n v="0"/>
    <n v="0"/>
    <n v="24.95"/>
  </r>
  <r>
    <n v="61080230"/>
    <s v="N"/>
    <n v="21330559"/>
    <s v="3000015275730002"/>
    <s v="CIVIL"/>
    <d v="2023-06-23T00:00:00"/>
    <d v="2023-07-05T19:01:47"/>
    <m/>
    <d v="2023-07-05T00:00:00"/>
    <n v="194"/>
    <n v="12447"/>
    <s v="61080230"/>
    <s v="61080230"/>
    <m/>
    <m/>
    <n v="22755936"/>
    <m/>
    <m/>
    <m/>
    <s v="SOLFIN"/>
    <s v="SOLFIN"/>
    <s v="CCMS"/>
    <n v="21330559"/>
    <n v="3599.14"/>
    <m/>
    <s v="N"/>
    <n v="41"/>
    <d v="2023-07-05T19:01:51"/>
    <s v="Y"/>
    <s v="Preparation - other"/>
    <s v="Prescribed Hourly Rates"/>
    <s v="Profit Cost"/>
    <s v="DF1"/>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30"/>
    <d v="2023-07-05T19:01:57"/>
    <s v="Y"/>
    <s v="Preparation - other"/>
    <s v="Prescribed Hourly Rates"/>
    <s v="Profit Cost"/>
    <s v="YR"/>
    <s v="Y"/>
    <n v="99.79000000000001"/>
    <n v="19.96"/>
    <x v="6"/>
    <s v="VALIDATED"/>
    <n v="1"/>
    <s v="01.11.80.302.6100.0000"/>
    <n v="99.79000000000001"/>
    <s v="11"/>
    <s v="6100"/>
    <n v="34318.95"/>
    <n v="99.79000000000001"/>
    <s v="CREDITOR"/>
    <n v="0"/>
    <n v="0"/>
    <n v="0"/>
    <n v="0"/>
    <n v="99.79000000000001"/>
  </r>
  <r>
    <n v="62372606"/>
    <s v="N"/>
    <n v="21349548"/>
    <s v="3000016352510001"/>
    <s v="CIVIL"/>
    <d v="2023-06-29T00:00:00"/>
    <d v="2023-07-10T19:01:40"/>
    <m/>
    <d v="2023-07-10T00:00:00"/>
    <n v="194"/>
    <n v="12447"/>
    <s v="62372606"/>
    <s v="62372606"/>
    <m/>
    <m/>
    <n v="22786218"/>
    <m/>
    <m/>
    <m/>
    <s v="SOLPOA"/>
    <s v="SOLPOA"/>
    <s v="CCMS"/>
    <n v="21349548"/>
    <n v="120"/>
    <m/>
    <s v="N"/>
    <n v="1"/>
    <d v="2023-07-10T19:01:53"/>
    <s v="N"/>
    <s v="Non Expert Disbursement - Domestic "/>
    <s v="Non Expert Disbursement - Dome"/>
    <s v="Non Expert Disbursement"/>
    <s v="Menaz Choudry"/>
    <s v="N"/>
    <n v="100"/>
    <n v="20"/>
    <x v="2"/>
    <s v="VALIDATED"/>
    <n v="1"/>
    <s v="01.11.80.302.2012.0000"/>
    <n v="100"/>
    <s v="11"/>
    <s v="2012"/>
    <n v="34318.95"/>
    <n v="100"/>
    <s v="CREDITOR"/>
    <n v="100"/>
    <n v="0"/>
    <n v="0"/>
    <n v="0"/>
    <n v="0"/>
  </r>
  <r>
    <n v="61080230"/>
    <s v="N"/>
    <n v="21330559"/>
    <s v="3000015275730002"/>
    <s v="CIVIL"/>
    <d v="2023-06-23T00:00:00"/>
    <d v="2023-07-05T19:01:47"/>
    <m/>
    <d v="2023-07-05T00:00:00"/>
    <n v="194"/>
    <n v="12447"/>
    <s v="61080230"/>
    <s v="61080230"/>
    <m/>
    <m/>
    <n v="22755936"/>
    <m/>
    <m/>
    <m/>
    <s v="SOLFIN"/>
    <s v="SOLFIN"/>
    <s v="CCMS"/>
    <n v="21330559"/>
    <n v="3599.14"/>
    <m/>
    <s v="N"/>
    <n v="28"/>
    <d v="2023-07-05T19:01:51"/>
    <s v="Y"/>
    <s v="Preparation - other"/>
    <s v="Prescribed Hourly Rates"/>
    <s v="Profit Cost"/>
    <s v="DF1"/>
    <s v="Y"/>
    <n v="99.79000000000001"/>
    <n v="19.96"/>
    <x v="6"/>
    <s v="VALIDATED"/>
    <n v="1"/>
    <s v="01.11.80.302.6100.0000"/>
    <n v="99.79000000000001"/>
    <s v="11"/>
    <s v="6100"/>
    <n v="34318.95"/>
    <n v="99.79000000000001"/>
    <s v="CREDITOR"/>
    <n v="0"/>
    <n v="0"/>
    <n v="0"/>
    <n v="0"/>
    <n v="99.79000000000001"/>
  </r>
  <r>
    <n v="61080230"/>
    <s v="N"/>
    <n v="21330559"/>
    <s v="3000015275730002"/>
    <s v="CIVIL"/>
    <d v="2023-06-23T00:00:00"/>
    <d v="2023-07-05T19:01:47"/>
    <m/>
    <d v="2023-07-05T00:00:00"/>
    <n v="194"/>
    <n v="12447"/>
    <s v="61080230"/>
    <s v="61080230"/>
    <m/>
    <m/>
    <n v="22755936"/>
    <m/>
    <m/>
    <m/>
    <s v="SOLFIN"/>
    <s v="SOLFIN"/>
    <s v="CCMS"/>
    <n v="21330559"/>
    <n v="3599.14"/>
    <m/>
    <s v="N"/>
    <n v="32"/>
    <d v="2023-07-05T19:01:51"/>
    <s v="Y"/>
    <s v="Preparation - other"/>
    <s v="Prescribed Hourly Rates"/>
    <s v="Profit Cost"/>
    <s v="DF1"/>
    <s v="Y"/>
    <n v="166.32"/>
    <n v="33.26"/>
    <x v="6"/>
    <s v="VALIDATED"/>
    <n v="1"/>
    <s v="01.11.80.302.6100.0000"/>
    <n v="166.32"/>
    <s v="11"/>
    <s v="6100"/>
    <n v="34318.95"/>
    <n v="166.32"/>
    <s v="CREDITOR"/>
    <n v="0"/>
    <n v="0"/>
    <n v="0"/>
    <n v="0"/>
    <n v="166.32"/>
  </r>
  <r>
    <n v="62309851"/>
    <s v="N"/>
    <n v="21330932"/>
    <s v="3000016300730003"/>
    <s v="CIVIL"/>
    <d v="2023-06-28T00:00:00"/>
    <d v="2023-07-05T19:01:47"/>
    <m/>
    <d v="2023-07-05T00:00:00"/>
    <n v="194"/>
    <n v="12447"/>
    <s v="62309851"/>
    <s v="62309851"/>
    <m/>
    <m/>
    <n v="22775378"/>
    <m/>
    <m/>
    <m/>
    <s v="SOLFIN"/>
    <s v="SOLFIN"/>
    <s v="CCMS"/>
    <n v="21330932"/>
    <n v="4181.19"/>
    <m/>
    <s v="N"/>
    <n v="53"/>
    <d v="2023-07-05T19:01:57"/>
    <s v="Y"/>
    <s v="Preparation - other"/>
    <s v="Prescribed Hourly Rates"/>
    <s v="Profit Cost"/>
    <s v="YR"/>
    <s v="Y"/>
    <n v="41.58"/>
    <n v="8.32"/>
    <x v="6"/>
    <s v="VALIDATED"/>
    <n v="1"/>
    <s v="01.11.80.302.6100.0000"/>
    <n v="41.58"/>
    <s v="11"/>
    <s v="6100"/>
    <n v="34318.95"/>
    <n v="41.58"/>
    <s v="CREDITOR"/>
    <n v="0"/>
    <n v="0"/>
    <n v="0"/>
    <n v="0"/>
    <n v="41.58"/>
  </r>
  <r>
    <n v="62260478"/>
    <s v="N"/>
    <n v="21330952"/>
    <s v="3000016258320003"/>
    <s v="CIVIL"/>
    <d v="2023-06-28T00:00:00"/>
    <d v="2023-07-05T19:01:47"/>
    <m/>
    <d v="2023-07-05T00:00:00"/>
    <n v="194"/>
    <n v="12447"/>
    <s v="62260478"/>
    <s v="62260478"/>
    <m/>
    <m/>
    <n v="22775374"/>
    <m/>
    <m/>
    <m/>
    <s v="SOLFIN"/>
    <s v="SOLFIN"/>
    <s v="CCMS"/>
    <n v="21330952"/>
    <n v="3936.68"/>
    <m/>
    <s v="N"/>
    <n v="16"/>
    <d v="2023-07-05T19:01:59"/>
    <s v="Y"/>
    <s v="Preparation - other"/>
    <s v="Prescribed Hourly Rates"/>
    <s v="Profit Cost"/>
    <s v="FH"/>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46"/>
    <d v="2023-07-05T19:01:59"/>
    <s v="Y"/>
    <s v="Preparation - other"/>
    <s v="Prescribed Hourly Rates"/>
    <s v="Profit Cost"/>
    <s v="DB"/>
    <s v="Y"/>
    <n v="83.16"/>
    <n v="16.63"/>
    <x v="6"/>
    <s v="VALIDATED"/>
    <n v="1"/>
    <s v="01.11.80.302.6100.0000"/>
    <n v="83.16"/>
    <s v="11"/>
    <s v="6100"/>
    <n v="34318.95"/>
    <n v="83.16"/>
    <s v="CREDITOR"/>
    <n v="0"/>
    <n v="0"/>
    <n v="0"/>
    <n v="0"/>
    <n v="83.16"/>
  </r>
  <r>
    <n v="62260478"/>
    <s v="N"/>
    <n v="21330952"/>
    <s v="3000016258320003"/>
    <s v="CIVIL"/>
    <d v="2023-06-28T00:00:00"/>
    <d v="2023-07-05T19:01:47"/>
    <m/>
    <d v="2023-07-05T00:00:00"/>
    <n v="194"/>
    <n v="12447"/>
    <s v="62260478"/>
    <s v="62260478"/>
    <m/>
    <m/>
    <n v="22775374"/>
    <m/>
    <m/>
    <m/>
    <s v="SOLFIN"/>
    <s v="SOLFIN"/>
    <s v="CCMS"/>
    <n v="21330952"/>
    <n v="3936.68"/>
    <m/>
    <s v="N"/>
    <n v="9"/>
    <d v="2023-07-05T19:01:59"/>
    <s v="Y"/>
    <s v="Preparation - other"/>
    <s v="Prescribed Hourly Rates"/>
    <s v="Profit Cost"/>
    <s v="MC"/>
    <s v="Y"/>
    <n v="91.48"/>
    <n v="18.29"/>
    <x v="6"/>
    <s v="VALIDATED"/>
    <n v="1"/>
    <s v="01.11.80.302.6100.0000"/>
    <n v="91.48"/>
    <s v="11"/>
    <s v="6100"/>
    <n v="34318.95"/>
    <n v="91.48"/>
    <s v="CREDITOR"/>
    <n v="0"/>
    <n v="0"/>
    <n v="0"/>
    <n v="0"/>
    <n v="91.48"/>
  </r>
  <r>
    <n v="60678163"/>
    <s v="N"/>
    <n v="21327492"/>
    <s v="3000014928670004"/>
    <s v="CIVIL"/>
    <d v="2023-06-22T00:00:00"/>
    <d v="2023-07-04T19:00:44"/>
    <m/>
    <d v="2023-07-04T00:00:00"/>
    <n v="194"/>
    <n v="12447"/>
    <s v="60678163"/>
    <s v="60678163"/>
    <m/>
    <m/>
    <n v="22744814"/>
    <m/>
    <m/>
    <m/>
    <s v="SOLFIN"/>
    <s v="SOLFIN"/>
    <s v="CCMS"/>
    <n v="21327492"/>
    <n v="7348.42"/>
    <m/>
    <s v="N"/>
    <n v="61"/>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70"/>
    <d v="2023-07-04T19:00:48"/>
    <s v="Y"/>
    <s v="Preparation - other"/>
    <s v="Prescribed Hourly Rates"/>
    <s v="Profit Cost"/>
    <s v="FAH"/>
    <s v="Y"/>
    <n v="207.9"/>
    <n v="41.58"/>
    <x v="1"/>
    <s v="VALIDATED"/>
    <n v="1"/>
    <s v="01.11.80.302.6100.0000"/>
    <n v="207.9"/>
    <s v="11"/>
    <s v="6100"/>
    <n v="34318.95"/>
    <n v="207.9"/>
    <s v="CREDITOR"/>
    <n v="0"/>
    <n v="0"/>
    <n v="0"/>
    <n v="0"/>
    <n v="207.9"/>
  </r>
  <r>
    <n v="60678163"/>
    <s v="N"/>
    <n v="21327492"/>
    <s v="3000014928670004"/>
    <s v="CIVIL"/>
    <d v="2023-06-22T00:00:00"/>
    <d v="2023-07-04T19:00:44"/>
    <m/>
    <d v="2023-07-04T00:00:00"/>
    <n v="194"/>
    <n v="12447"/>
    <s v="60678163"/>
    <s v="60678163"/>
    <m/>
    <m/>
    <n v="22744814"/>
    <m/>
    <m/>
    <m/>
    <s v="SOLFIN"/>
    <s v="SOLFIN"/>
    <s v="CCMS"/>
    <n v="21327492"/>
    <n v="7348.42"/>
    <m/>
    <s v="N"/>
    <n v="9"/>
    <d v="2023-07-04T19:00:48"/>
    <s v="Y"/>
    <s v="Hearing Unit 0.00 - 1.00 Hours"/>
    <s v="Domestic Abuse"/>
    <s v="Advocacy"/>
    <s v="FA"/>
    <s v="Y"/>
    <n v="81.5"/>
    <n v="16.3"/>
    <x v="1"/>
    <s v="VALIDATED"/>
    <n v="1"/>
    <s v="01.11.80.302.6100.0000"/>
    <n v="81.5"/>
    <s v="11"/>
    <s v="6100"/>
    <n v="34318.95"/>
    <n v="81.5"/>
    <s v="CREDITOR"/>
    <n v="0"/>
    <n v="0"/>
    <n v="0"/>
    <n v="0"/>
    <n v="81.5"/>
  </r>
  <r>
    <n v="60678163"/>
    <s v="N"/>
    <n v="21327492"/>
    <s v="3000014928670004"/>
    <s v="CIVIL"/>
    <d v="2023-06-22T00:00:00"/>
    <d v="2023-07-04T19:00:44"/>
    <m/>
    <d v="2023-07-04T00:00:00"/>
    <n v="194"/>
    <n v="12447"/>
    <s v="60678163"/>
    <s v="60678163"/>
    <m/>
    <m/>
    <n v="22744814"/>
    <m/>
    <m/>
    <m/>
    <s v="SOLFIN"/>
    <s v="SOLFIN"/>
    <s v="CCMS"/>
    <n v="21327492"/>
    <n v="7348.42"/>
    <m/>
    <s v="N"/>
    <n v="12"/>
    <d v="2023-07-04T19:00:48"/>
    <s v="Y"/>
    <s v="Preparation - other"/>
    <s v="Prescribed Hourly Rates"/>
    <s v="Profit Cost"/>
    <s v="NAB"/>
    <s v="Y"/>
    <n v="83.16"/>
    <n v="16.63"/>
    <x v="1"/>
    <s v="VALIDATED"/>
    <n v="1"/>
    <s v="01.11.80.302.6100.0000"/>
    <n v="83.16"/>
    <s v="11"/>
    <s v="6100"/>
    <n v="34318.95"/>
    <n v="83.16"/>
    <s v="CREDITOR"/>
    <n v="0"/>
    <n v="0"/>
    <n v="0"/>
    <n v="0"/>
    <n v="83.16"/>
  </r>
  <r>
    <n v="61788720"/>
    <s v="N"/>
    <n v="21382042"/>
    <s v="3000015864570002"/>
    <s v="CIVIL"/>
    <d v="2023-06-28T00:00:00"/>
    <d v="2023-07-17T19:01:46"/>
    <m/>
    <d v="2023-07-17T00:00:00"/>
    <n v="194"/>
    <n v="12447"/>
    <s v="61788720"/>
    <s v="61788720"/>
    <m/>
    <m/>
    <n v="22781892"/>
    <m/>
    <m/>
    <m/>
    <s v="SOLFIN"/>
    <s v="SOLFIN"/>
    <s v="CCMS"/>
    <n v="21382042"/>
    <n v="4185.9"/>
    <m/>
    <s v="N"/>
    <n v="26"/>
    <d v="2023-07-17T19:02:00"/>
    <s v="Y"/>
    <s v="Preparation - other"/>
    <s v="Prescribed Hourly Rates"/>
    <s v="Profit Cost"/>
    <s v="FA"/>
    <s v="Y"/>
    <n v="16.63"/>
    <n v="3.33"/>
    <x v="8"/>
    <s v="VALIDATED"/>
    <n v="1"/>
    <s v="01.11.80.302.6100.0000"/>
    <n v="16.63"/>
    <s v="11"/>
    <s v="6100"/>
    <n v="34318.95"/>
    <n v="16.63"/>
    <s v="CREDITOR"/>
    <n v="0"/>
    <n v="0"/>
    <n v="0"/>
    <n v="0"/>
    <n v="16.63"/>
  </r>
  <r>
    <n v="61788720"/>
    <s v="N"/>
    <n v="21382042"/>
    <s v="3000015864570002"/>
    <s v="CIVIL"/>
    <d v="2023-06-28T00:00:00"/>
    <d v="2023-07-17T19:01:46"/>
    <m/>
    <d v="2023-07-17T00:00:00"/>
    <n v="194"/>
    <n v="12447"/>
    <s v="61788720"/>
    <s v="61788720"/>
    <m/>
    <m/>
    <n v="22781892"/>
    <m/>
    <m/>
    <m/>
    <s v="SOLFIN"/>
    <s v="SOLFIN"/>
    <s v="CCMS"/>
    <n v="21382042"/>
    <n v="4185.9"/>
    <m/>
    <s v="N"/>
    <n v="43"/>
    <d v="2023-07-17T19:02:00"/>
    <s v="Y"/>
    <s v="Preparation - other"/>
    <s v="Prescribed Hourly Rates"/>
    <s v="Profit Cost"/>
    <s v="FA"/>
    <s v="Y"/>
    <n v="83.16"/>
    <n v="16.63"/>
    <x v="8"/>
    <s v="VALIDATED"/>
    <n v="1"/>
    <s v="01.11.80.302.6100.0000"/>
    <n v="83.16"/>
    <s v="11"/>
    <s v="6100"/>
    <n v="34318.95"/>
    <n v="83.16"/>
    <s v="CREDITOR"/>
    <n v="0"/>
    <n v="0"/>
    <n v="0"/>
    <n v="0"/>
    <n v="83.16"/>
  </r>
  <r>
    <n v="61135216"/>
    <s v="N"/>
    <n v="21338535"/>
    <s v="3000015321310006"/>
    <s v="CIVIL"/>
    <d v="2023-06-27T00:00:00"/>
    <d v="2023-07-06T19:21:01"/>
    <m/>
    <d v="2023-07-06T00:00:00"/>
    <n v="194"/>
    <n v="12447"/>
    <s v="61135216"/>
    <s v="61135216"/>
    <m/>
    <m/>
    <n v="22768568"/>
    <m/>
    <m/>
    <m/>
    <s v="SOLFIN"/>
    <s v="SOLFIN"/>
    <s v="CCMS"/>
    <n v="21338535"/>
    <n v="3821.9"/>
    <m/>
    <s v="N"/>
    <n v="1"/>
    <d v="2023-07-06T19:21:28"/>
    <s v="Y"/>
    <s v="Process server"/>
    <s v="Domestic Abuse"/>
    <s v="Expert Disbursement"/>
    <s v="KK"/>
    <s v="Y"/>
    <n v="100"/>
    <n v="20"/>
    <x v="4"/>
    <s v="VALIDATED"/>
    <n v="1"/>
    <s v="01.11.80.302.6300.0000"/>
    <n v="100"/>
    <s v="11"/>
    <s v="6300"/>
    <n v="34318.95"/>
    <n v="100"/>
    <s v="CREDITOR"/>
    <n v="0"/>
    <n v="0"/>
    <n v="0"/>
    <n v="0"/>
    <n v="100"/>
  </r>
  <r>
    <n v="61080230"/>
    <s v="N"/>
    <n v="21330559"/>
    <s v="3000015275730002"/>
    <s v="CIVIL"/>
    <d v="2023-06-23T00:00:00"/>
    <d v="2023-07-05T19:01:47"/>
    <m/>
    <d v="2023-07-05T00:00:00"/>
    <n v="194"/>
    <n v="12447"/>
    <s v="61080230"/>
    <s v="61080230"/>
    <m/>
    <m/>
    <n v="22755936"/>
    <m/>
    <m/>
    <m/>
    <s v="SOLFIN"/>
    <s v="SOLFIN"/>
    <s v="CCMS"/>
    <n v="21330559"/>
    <n v="3599.14"/>
    <m/>
    <s v="N"/>
    <n v="25"/>
    <d v="2023-07-05T19:01:51"/>
    <s v="Y"/>
    <s v="Preparation - other"/>
    <s v="Prescribed Hourly Rates"/>
    <s v="Profit Cost"/>
    <s v="DF1"/>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36"/>
    <d v="2023-07-05T19:01:59"/>
    <s v="Y"/>
    <s v="Preparation - other"/>
    <s v="Prescribed Hourly Rates"/>
    <s v="Profit Cost"/>
    <s v="DB"/>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68"/>
    <d v="2023-07-05T19:01:59"/>
    <s v="Y"/>
    <s v="Preparation - other"/>
    <s v="Prescribed Hourly Rates"/>
    <s v="Profit Cost"/>
    <s v="MC"/>
    <s v="Y"/>
    <n v="91.48"/>
    <n v="18.29"/>
    <x v="6"/>
    <s v="VALIDATED"/>
    <n v="1"/>
    <s v="01.11.80.302.6100.0000"/>
    <n v="91.48"/>
    <s v="11"/>
    <s v="6100"/>
    <n v="34318.95"/>
    <n v="91.48"/>
    <s v="CREDITOR"/>
    <n v="0"/>
    <n v="0"/>
    <n v="0"/>
    <n v="0"/>
    <n v="91.48"/>
  </r>
  <r>
    <n v="61766009"/>
    <s v="N"/>
    <n v="21328257"/>
    <s v="3000015844440002"/>
    <s v="CIVIL"/>
    <d v="2023-06-23T00:00:00"/>
    <d v="2023-07-04T19:00:44"/>
    <m/>
    <d v="2023-07-04T00:00:00"/>
    <n v="194"/>
    <n v="12447"/>
    <s v="61766009"/>
    <s v="61766009"/>
    <m/>
    <m/>
    <n v="22754158"/>
    <m/>
    <m/>
    <m/>
    <s v="SOLFIN"/>
    <s v="SOLFIN"/>
    <s v="CCMS"/>
    <n v="21328257"/>
    <n v="1911.8"/>
    <m/>
    <s v="N"/>
    <n v="1"/>
    <d v="2023-07-04T19:01:10"/>
    <s v="Y"/>
    <s v="Process server"/>
    <s v="Domestic Abuse"/>
    <s v="Expert Disbursement"/>
    <s v="NAB"/>
    <s v="Y"/>
    <n v="100"/>
    <n v="20"/>
    <x v="1"/>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21"/>
    <d v="2023-07-04T19:00:48"/>
    <s v="Y"/>
    <s v="Attendance upon client"/>
    <s v="Prescribed Hourly Rates"/>
    <s v="Profit Cost"/>
    <s v="NAB"/>
    <s v="Y"/>
    <n v="16.63"/>
    <n v="3.33"/>
    <x v="1"/>
    <s v="VALIDATED"/>
    <n v="1"/>
    <s v="01.11.80.302.6100.0000"/>
    <n v="16.63"/>
    <s v="11"/>
    <s v="6100"/>
    <n v="34318.95"/>
    <n v="16.63"/>
    <s v="CREDITOR"/>
    <n v="0"/>
    <n v="0"/>
    <n v="0"/>
    <n v="0"/>
    <n v="16.63"/>
  </r>
  <r>
    <n v="61080230"/>
    <s v="N"/>
    <n v="21330559"/>
    <s v="3000015275730002"/>
    <s v="CIVIL"/>
    <d v="2023-06-23T00:00:00"/>
    <d v="2023-07-05T19:01:47"/>
    <m/>
    <d v="2023-07-05T00:00:00"/>
    <n v="194"/>
    <n v="12447"/>
    <s v="61080230"/>
    <s v="61080230"/>
    <m/>
    <m/>
    <n v="22755936"/>
    <m/>
    <m/>
    <m/>
    <s v="SOLFIN"/>
    <s v="SOLFIN"/>
    <s v="CCMS"/>
    <n v="21330559"/>
    <n v="3599.14"/>
    <m/>
    <s v="N"/>
    <n v="3"/>
    <d v="2023-07-05T19:01:51"/>
    <s v="Y"/>
    <s v="Preparation - other"/>
    <s v="Prescribed Hourly Rates"/>
    <s v="Profit Cost"/>
    <s v="DF1"/>
    <s v="Y"/>
    <n v="8.32"/>
    <n v="1.66"/>
    <x v="6"/>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8"/>
    <d v="2023-07-03T19:02:05"/>
    <s v="Y"/>
    <s v="Preparation - other"/>
    <s v="Prescribed Hourly Rates"/>
    <s v="Profit Cost"/>
    <s v="FA"/>
    <s v="Y"/>
    <n v="241.16"/>
    <n v="48.23"/>
    <x v="3"/>
    <s v="VALIDATED"/>
    <n v="1"/>
    <s v="01.11.80.307.6100.0000"/>
    <n v="241.16"/>
    <s v="11"/>
    <s v="6100"/>
    <n v="34318.95"/>
    <n v="241.16"/>
    <s v="CREDITOR"/>
    <n v="0"/>
    <n v="0"/>
    <n v="0"/>
    <n v="0"/>
    <n v="241.16"/>
  </r>
  <r>
    <n v="61289268"/>
    <s v="N"/>
    <n v="21318322"/>
    <s v="3000015450840001"/>
    <s v="CIVIL"/>
    <d v="2023-06-17T00:00:00"/>
    <d v="2023-07-03T19:01:49"/>
    <m/>
    <d v="2023-07-03T00:00:00"/>
    <n v="194"/>
    <n v="12447"/>
    <s v="61289268"/>
    <s v="61289268"/>
    <m/>
    <m/>
    <n v="22710366"/>
    <m/>
    <m/>
    <m/>
    <s v="SOLFIN"/>
    <s v="SOLFIN"/>
    <s v="CCMS"/>
    <n v="21318322"/>
    <n v="729.6"/>
    <m/>
    <s v="N"/>
    <n v="1"/>
    <d v="2023-07-03T19:01:53"/>
    <s v="Y"/>
    <s v="Level 4 Fixed Fee"/>
    <s v="Domestic Abuse"/>
    <s v="Profit Cost"/>
    <s v="df"/>
    <s v="Y"/>
    <n v="608"/>
    <n v="121.6"/>
    <x v="3"/>
    <s v="VALIDATED"/>
    <n v="1"/>
    <s v="01.11.80.302.6100.0000"/>
    <n v="608"/>
    <s v="11"/>
    <s v="6100"/>
    <n v="34318.95"/>
    <n v="608"/>
    <s v="CREDITOR"/>
    <n v="0"/>
    <n v="0"/>
    <n v="0"/>
    <n v="0"/>
    <n v="608"/>
  </r>
  <r>
    <n v="61779100"/>
    <s v="N"/>
    <n v="21319135"/>
    <s v="3000015855820002"/>
    <s v="CIVIL"/>
    <d v="2023-06-17T00:00:00"/>
    <d v="2023-07-03T19:01:49"/>
    <m/>
    <d v="2023-07-03T00:00:00"/>
    <n v="194"/>
    <n v="12447"/>
    <s v="61779100"/>
    <s v="61779100"/>
    <m/>
    <m/>
    <n v="22710354"/>
    <m/>
    <m/>
    <m/>
    <s v="SOLFIN"/>
    <s v="SOLFIN"/>
    <s v="CCMS"/>
    <n v="21319135"/>
    <n v="849.6"/>
    <m/>
    <s v="N"/>
    <n v="1"/>
    <d v="2023-07-03T19:02:12"/>
    <s v="Y"/>
    <s v="Process server"/>
    <s v="Domestic Abuse"/>
    <s v="Expert Disbursement"/>
    <s v="kb"/>
    <s v="Y"/>
    <n v="100"/>
    <n v="20"/>
    <x v="3"/>
    <s v="VALIDATED"/>
    <n v="1"/>
    <s v="01.11.80.302.6300.0000"/>
    <n v="100"/>
    <s v="11"/>
    <s v="6300"/>
    <n v="34318.95"/>
    <n v="100"/>
    <s v="CREDITOR"/>
    <n v="0"/>
    <n v="0"/>
    <n v="0"/>
    <n v="0"/>
    <n v="100"/>
  </r>
  <r>
    <n v="61130472"/>
    <s v="N"/>
    <n v="21382407"/>
    <s v="3000015317490003"/>
    <s v="CIVIL"/>
    <d v="2023-06-28T00:00:00"/>
    <d v="2023-07-17T19:01:46"/>
    <m/>
    <d v="2023-07-17T00:00:00"/>
    <n v="194"/>
    <n v="12447"/>
    <s v="61130472"/>
    <s v="61130472"/>
    <m/>
    <m/>
    <n v="22775508"/>
    <m/>
    <m/>
    <m/>
    <s v="SOLFIN"/>
    <s v="SOLFIN"/>
    <s v="CCMS"/>
    <n v="21382407"/>
    <n v="4109"/>
    <m/>
    <s v="N"/>
    <n v="11"/>
    <d v="2023-07-17T19:02:09"/>
    <s v="Y"/>
    <s v="Preparation - other"/>
    <s v="Prescribed Hourly Rates"/>
    <s v="Profit Cost"/>
    <s v="FAH"/>
    <s v="Y"/>
    <n v="124.74"/>
    <n v="24.95"/>
    <x v="8"/>
    <s v="VALIDATED"/>
    <n v="1"/>
    <s v="01.11.80.302.6100.0000"/>
    <n v="124.74"/>
    <s v="11"/>
    <s v="6100"/>
    <n v="34318.95"/>
    <n v="124.74"/>
    <s v="CREDITOR"/>
    <n v="0"/>
    <n v="0"/>
    <n v="0"/>
    <n v="0"/>
    <n v="124.74"/>
  </r>
  <r>
    <n v="61788720"/>
    <s v="N"/>
    <n v="21382042"/>
    <s v="3000015864570002"/>
    <s v="CIVIL"/>
    <d v="2023-06-28T00:00:00"/>
    <d v="2023-07-17T19:01:46"/>
    <m/>
    <d v="2023-07-17T00:00:00"/>
    <n v="194"/>
    <n v="12447"/>
    <s v="61788720"/>
    <s v="61788720"/>
    <m/>
    <m/>
    <n v="22781892"/>
    <m/>
    <m/>
    <m/>
    <s v="SOLFIN"/>
    <s v="SOLFIN"/>
    <s v="CCMS"/>
    <n v="21382042"/>
    <n v="4185.9"/>
    <m/>
    <s v="N"/>
    <n v="42"/>
    <d v="2023-07-17T19:02:00"/>
    <s v="Y"/>
    <s v="Preparation - other"/>
    <s v="Prescribed Hourly Rates"/>
    <s v="Profit Cost"/>
    <s v="FH"/>
    <s v="Y"/>
    <n v="108.11"/>
    <n v="21.62"/>
    <x v="8"/>
    <s v="VALIDATED"/>
    <n v="1"/>
    <s v="01.11.80.302.6100.0000"/>
    <n v="108.11"/>
    <s v="11"/>
    <s v="6100"/>
    <n v="34318.95"/>
    <n v="108.11"/>
    <s v="CREDITOR"/>
    <n v="0"/>
    <n v="0"/>
    <n v="0"/>
    <n v="0"/>
    <n v="108.11"/>
  </r>
  <r>
    <n v="60678163"/>
    <s v="N"/>
    <n v="21327492"/>
    <s v="3000014928670004"/>
    <s v="CIVIL"/>
    <d v="2023-06-22T00:00:00"/>
    <d v="2023-07-04T19:00:44"/>
    <m/>
    <d v="2023-07-04T00:00:00"/>
    <n v="194"/>
    <n v="12447"/>
    <s v="60678163"/>
    <s v="60678163"/>
    <m/>
    <m/>
    <n v="22744814"/>
    <m/>
    <m/>
    <m/>
    <s v="SOLFIN"/>
    <s v="SOLFIN"/>
    <s v="CCMS"/>
    <n v="21327492"/>
    <n v="7348.42"/>
    <m/>
    <s v="N"/>
    <n v="86"/>
    <d v="2023-07-04T19:00:48"/>
    <s v="Y"/>
    <s v="Preparation - other"/>
    <s v="Prescribed Hourly Rates"/>
    <s v="Profit Cost"/>
    <s v="FAH"/>
    <s v="Y"/>
    <n v="8.32"/>
    <n v="1.66"/>
    <x v="1"/>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42"/>
    <d v="2023-07-05T19:01:59"/>
    <s v="Y"/>
    <s v="Attendance upon client"/>
    <s v="Prescribed Hourly Rates"/>
    <s v="Profit Cost"/>
    <s v="DB"/>
    <s v="Y"/>
    <n v="33.26"/>
    <n v="6.65"/>
    <x v="6"/>
    <s v="VALIDATED"/>
    <n v="1"/>
    <s v="01.11.80.302.6100.0000"/>
    <n v="33.26"/>
    <s v="11"/>
    <s v="6100"/>
    <n v="34318.95"/>
    <n v="33.26"/>
    <s v="CREDITOR"/>
    <n v="0"/>
    <n v="0"/>
    <n v="0"/>
    <n v="0"/>
    <n v="33.26"/>
  </r>
  <r>
    <n v="62260478"/>
    <s v="N"/>
    <n v="21330952"/>
    <s v="3000016258320003"/>
    <s v="CIVIL"/>
    <d v="2023-06-28T00:00:00"/>
    <d v="2023-07-05T19:01:47"/>
    <m/>
    <d v="2023-07-05T00:00:00"/>
    <n v="194"/>
    <n v="12447"/>
    <s v="62260478"/>
    <s v="62260478"/>
    <m/>
    <m/>
    <n v="22775374"/>
    <m/>
    <m/>
    <m/>
    <s v="SOLFIN"/>
    <s v="SOLFIN"/>
    <s v="CCMS"/>
    <n v="21330952"/>
    <n v="3936.68"/>
    <m/>
    <s v="N"/>
    <n v="55"/>
    <d v="2023-07-05T19:01:59"/>
    <s v="Y"/>
    <s v="Preparation - other"/>
    <s v="Prescribed Hourly Rates"/>
    <s v="Profit Cost"/>
    <s v="DB"/>
    <s v="Y"/>
    <n v="24.95"/>
    <n v="4.99"/>
    <x v="6"/>
    <s v="VALIDATED"/>
    <n v="1"/>
    <s v="01.11.80.302.6100.0000"/>
    <n v="24.95"/>
    <s v="11"/>
    <s v="6100"/>
    <n v="34318.95"/>
    <n v="24.95"/>
    <s v="CREDITOR"/>
    <n v="0"/>
    <n v="0"/>
    <n v="0"/>
    <n v="0"/>
    <n v="24.95"/>
  </r>
  <r>
    <n v="60678163"/>
    <s v="N"/>
    <n v="21327492"/>
    <s v="3000014928670004"/>
    <s v="CIVIL"/>
    <d v="2023-06-22T00:00:00"/>
    <d v="2023-07-04T19:00:44"/>
    <m/>
    <d v="2023-07-04T00:00:00"/>
    <n v="194"/>
    <n v="12447"/>
    <s v="60678163"/>
    <s v="60678163"/>
    <m/>
    <m/>
    <n v="22744814"/>
    <m/>
    <m/>
    <m/>
    <s v="SOLFIN"/>
    <s v="SOLFIN"/>
    <s v="CCMS"/>
    <n v="21327492"/>
    <n v="7348.42"/>
    <m/>
    <s v="N"/>
    <n v="29"/>
    <d v="2023-07-04T19:00:48"/>
    <s v="Y"/>
    <s v="Preparation - other"/>
    <s v="Prescribed Hourly Rates"/>
    <s v="Profit Cost"/>
    <s v="FAH"/>
    <s v="Y"/>
    <n v="41.58"/>
    <n v="8.32"/>
    <x v="1"/>
    <s v="VALIDATED"/>
    <n v="1"/>
    <s v="01.11.80.302.6100.0000"/>
    <n v="41.58"/>
    <s v="11"/>
    <s v="6100"/>
    <n v="34318.95"/>
    <n v="41.58"/>
    <s v="CREDITOR"/>
    <n v="0"/>
    <n v="0"/>
    <n v="0"/>
    <n v="0"/>
    <n v="41.58"/>
  </r>
  <r>
    <n v="60678163"/>
    <s v="N"/>
    <n v="21327492"/>
    <s v="3000014928670004"/>
    <s v="CIVIL"/>
    <d v="2023-06-22T00:00:00"/>
    <d v="2023-07-04T19:00:44"/>
    <m/>
    <d v="2023-07-04T00:00:00"/>
    <n v="194"/>
    <n v="12447"/>
    <s v="60678163"/>
    <s v="60678163"/>
    <m/>
    <m/>
    <n v="22744814"/>
    <m/>
    <m/>
    <m/>
    <s v="SOLFIN"/>
    <s v="SOLFIN"/>
    <s v="CCMS"/>
    <n v="21327492"/>
    <n v="7348.42"/>
    <m/>
    <s v="N"/>
    <n v="73"/>
    <d v="2023-07-04T19:00:48"/>
    <s v="Y"/>
    <s v="Preparation - other"/>
    <s v="Prescribed Hourly Rates"/>
    <s v="Profit Cost"/>
    <s v="FAH"/>
    <s v="Y"/>
    <n v="33.26"/>
    <n v="6.65"/>
    <x v="1"/>
    <s v="VALIDATED"/>
    <n v="1"/>
    <s v="01.11.80.302.6100.0000"/>
    <n v="33.26"/>
    <s v="11"/>
    <s v="6100"/>
    <n v="34318.95"/>
    <n v="33.26"/>
    <s v="CREDITOR"/>
    <n v="0"/>
    <n v="0"/>
    <n v="0"/>
    <n v="0"/>
    <n v="33.26"/>
  </r>
  <r>
    <n v="60678163"/>
    <s v="N"/>
    <n v="21327492"/>
    <s v="3000014928670004"/>
    <s v="CIVIL"/>
    <d v="2023-06-22T00:00:00"/>
    <d v="2023-07-04T19:00:44"/>
    <m/>
    <d v="2023-07-04T00:00:00"/>
    <n v="194"/>
    <n v="12447"/>
    <s v="60678163"/>
    <s v="60678163"/>
    <m/>
    <m/>
    <n v="22744814"/>
    <m/>
    <m/>
    <m/>
    <s v="SOLFIN"/>
    <s v="SOLFIN"/>
    <s v="CCMS"/>
    <n v="21327492"/>
    <n v="7348.42"/>
    <m/>
    <s v="N"/>
    <n v="4"/>
    <d v="2023-07-04T19:00:48"/>
    <s v="Y"/>
    <s v="Enquiry Agent"/>
    <s v="Prescribed Hourly Rates"/>
    <s v="Expert Disbursement"/>
    <s v="XXX"/>
    <s v="Y"/>
    <n v="100"/>
    <n v="20"/>
    <x v="1"/>
    <s v="VALIDATED"/>
    <n v="1"/>
    <s v="01.11.80.302.6300.0000"/>
    <n v="100"/>
    <s v="11"/>
    <s v="6300"/>
    <n v="34318.95"/>
    <n v="100"/>
    <s v="CREDITOR"/>
    <n v="0"/>
    <n v="0"/>
    <n v="0"/>
    <n v="0"/>
    <n v="100"/>
  </r>
  <r>
    <n v="60678163"/>
    <s v="N"/>
    <n v="21327492"/>
    <s v="3000014928670004"/>
    <s v="CIVIL"/>
    <d v="2023-06-22T00:00:00"/>
    <d v="2023-07-04T19:00:44"/>
    <m/>
    <d v="2023-07-04T00:00:00"/>
    <n v="194"/>
    <n v="12447"/>
    <s v="60678163"/>
    <s v="60678163"/>
    <m/>
    <m/>
    <n v="22744814"/>
    <m/>
    <m/>
    <m/>
    <s v="SOLFIN"/>
    <s v="SOLFIN"/>
    <s v="CCMS"/>
    <n v="21327492"/>
    <n v="7348.42"/>
    <m/>
    <s v="N"/>
    <n v="44"/>
    <d v="2023-07-04T19:00:48"/>
    <s v="Y"/>
    <s v="Preparation - other"/>
    <s v="Prescribed Hourly Rates"/>
    <s v="Profit Cost"/>
    <s v="FAH"/>
    <s v="Y"/>
    <n v="8.32"/>
    <n v="1.66"/>
    <x v="1"/>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2"/>
    <d v="2023-07-17T19:02:09"/>
    <s v="Y"/>
    <s v="Enquiry Agent"/>
    <s v="Prescribed Hourly Rates"/>
    <s v="Expert Disbursement"/>
    <s v="XXX"/>
    <s v="Y"/>
    <n v="100"/>
    <n v="20"/>
    <x v="8"/>
    <s v="VALIDATED"/>
    <n v="1"/>
    <s v="01.11.80.302.6300.0000"/>
    <n v="100"/>
    <s v="11"/>
    <s v="6300"/>
    <n v="34318.95"/>
    <n v="100"/>
    <s v="CREDITOR"/>
    <n v="0"/>
    <n v="0"/>
    <n v="0"/>
    <n v="0"/>
    <n v="100"/>
  </r>
  <r>
    <n v="61130472"/>
    <s v="N"/>
    <n v="21382407"/>
    <s v="3000015317490003"/>
    <s v="CIVIL"/>
    <d v="2023-06-28T00:00:00"/>
    <d v="2023-07-17T19:01:46"/>
    <m/>
    <d v="2023-07-17T00:00:00"/>
    <n v="194"/>
    <n v="12447"/>
    <s v="61130472"/>
    <s v="61130472"/>
    <m/>
    <m/>
    <n v="22775508"/>
    <m/>
    <m/>
    <m/>
    <s v="SOLFIN"/>
    <s v="SOLFIN"/>
    <s v="CCMS"/>
    <n v="21382407"/>
    <n v="4109"/>
    <m/>
    <s v="N"/>
    <n v="14"/>
    <d v="2023-07-17T19:02:09"/>
    <s v="Y"/>
    <s v="Preparation - other"/>
    <s v="Prescribed Hourly Rates"/>
    <s v="Profit Cost"/>
    <s v="FAH"/>
    <s v="Y"/>
    <n v="207.9"/>
    <n v="41.58"/>
    <x v="8"/>
    <s v="VALIDATED"/>
    <n v="1"/>
    <s v="01.11.80.302.6100.0000"/>
    <n v="207.9"/>
    <s v="11"/>
    <s v="6100"/>
    <n v="34318.95"/>
    <n v="207.9"/>
    <s v="CREDITOR"/>
    <n v="0"/>
    <n v="0"/>
    <n v="0"/>
    <n v="0"/>
    <n v="207.9"/>
  </r>
  <r>
    <n v="61080230"/>
    <s v="N"/>
    <n v="21330559"/>
    <s v="3000015275730002"/>
    <s v="CIVIL"/>
    <d v="2023-06-23T00:00:00"/>
    <d v="2023-07-05T19:01:47"/>
    <m/>
    <d v="2023-07-05T00:00:00"/>
    <n v="194"/>
    <n v="12447"/>
    <s v="61080230"/>
    <s v="61080230"/>
    <m/>
    <m/>
    <n v="22755936"/>
    <m/>
    <m/>
    <m/>
    <s v="SOLFIN"/>
    <s v="SOLFIN"/>
    <s v="CCMS"/>
    <n v="21330559"/>
    <n v="3599.14"/>
    <m/>
    <s v="N"/>
    <n v="33"/>
    <d v="2023-07-05T19:01:51"/>
    <s v="Y"/>
    <s v="Preparation - other"/>
    <s v="Prescribed Hourly Rates"/>
    <s v="Profit Cost"/>
    <s v="DF1"/>
    <s v="Y"/>
    <n v="16.63"/>
    <n v="3.33"/>
    <x v="6"/>
    <s v="VALIDATED"/>
    <n v="1"/>
    <s v="01.11.80.302.6100.0000"/>
    <n v="16.63"/>
    <s v="11"/>
    <s v="6100"/>
    <n v="34318.95"/>
    <n v="16.63"/>
    <s v="CREDITOR"/>
    <n v="0"/>
    <n v="0"/>
    <n v="0"/>
    <n v="0"/>
    <n v="16.63"/>
  </r>
  <r>
    <n v="62309851"/>
    <s v="N"/>
    <n v="21330932"/>
    <s v="3000016300730003"/>
    <s v="CIVIL"/>
    <d v="2023-06-28T00:00:00"/>
    <d v="2023-07-05T19:01:47"/>
    <m/>
    <d v="2023-07-05T00:00:00"/>
    <n v="194"/>
    <n v="12447"/>
    <s v="62309851"/>
    <s v="62309851"/>
    <m/>
    <m/>
    <n v="22775378"/>
    <m/>
    <m/>
    <m/>
    <s v="SOLFIN"/>
    <s v="SOLFIN"/>
    <s v="CCMS"/>
    <n v="21330932"/>
    <n v="4181.19"/>
    <m/>
    <s v="N"/>
    <n v="22"/>
    <d v="2023-07-05T19:01:57"/>
    <s v="Y"/>
    <s v="Preparation - other"/>
    <s v="Prescribed Hourly Rates"/>
    <s v="Profit Cost"/>
    <s v="YR"/>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23"/>
    <d v="2023-07-05T19:01:57"/>
    <s v="Y"/>
    <s v="Preparation - other"/>
    <s v="Prescribed Hourly Rates"/>
    <s v="Profit Cost"/>
    <s v="YR"/>
    <s v="Y"/>
    <n v="58.21"/>
    <n v="11.64"/>
    <x v="6"/>
    <s v="VALIDATED"/>
    <n v="1"/>
    <s v="01.11.80.302.6100.0000"/>
    <n v="58.21"/>
    <s v="11"/>
    <s v="6100"/>
    <n v="34318.95"/>
    <n v="58.21"/>
    <s v="CREDITOR"/>
    <n v="0"/>
    <n v="0"/>
    <n v="0"/>
    <n v="0"/>
    <n v="58.21"/>
  </r>
  <r>
    <n v="60678163"/>
    <s v="N"/>
    <n v="21327492"/>
    <s v="3000014928670004"/>
    <s v="CIVIL"/>
    <d v="2023-06-22T00:00:00"/>
    <d v="2023-07-04T19:00:44"/>
    <m/>
    <d v="2023-07-04T00:00:00"/>
    <n v="194"/>
    <n v="12447"/>
    <s v="60678163"/>
    <s v="60678163"/>
    <m/>
    <m/>
    <n v="22744814"/>
    <m/>
    <m/>
    <m/>
    <s v="SOLFIN"/>
    <s v="SOLFIN"/>
    <s v="CCMS"/>
    <n v="21327492"/>
    <n v="7348.42"/>
    <m/>
    <s v="N"/>
    <n v="53"/>
    <d v="2023-07-04T19:00:48"/>
    <s v="Y"/>
    <s v="Preparation - other"/>
    <s v="Prescribed Hourly Rates"/>
    <s v="Profit Cost"/>
    <s v="FAH"/>
    <s v="Y"/>
    <n v="166.32"/>
    <n v="33.26"/>
    <x v="1"/>
    <s v="VALIDATED"/>
    <n v="1"/>
    <s v="01.11.80.302.6100.0000"/>
    <n v="166.32"/>
    <s v="11"/>
    <s v="6100"/>
    <n v="34318.95"/>
    <n v="166.32"/>
    <s v="CREDITOR"/>
    <n v="0"/>
    <n v="0"/>
    <n v="0"/>
    <n v="0"/>
    <n v="166.32"/>
  </r>
  <r>
    <n v="60678163"/>
    <s v="N"/>
    <n v="21327492"/>
    <s v="3000014928670004"/>
    <s v="CIVIL"/>
    <d v="2023-06-22T00:00:00"/>
    <d v="2023-07-04T19:00:44"/>
    <m/>
    <d v="2023-07-04T00:00:00"/>
    <n v="194"/>
    <n v="12447"/>
    <s v="60678163"/>
    <s v="60678163"/>
    <m/>
    <m/>
    <n v="22744814"/>
    <m/>
    <m/>
    <m/>
    <s v="SOLFIN"/>
    <s v="SOLFIN"/>
    <s v="CCMS"/>
    <n v="21327492"/>
    <n v="7348.42"/>
    <m/>
    <s v="N"/>
    <n v="49"/>
    <d v="2023-07-04T19:00:48"/>
    <s v="Y"/>
    <s v="Preparation - other"/>
    <s v="Prescribed Hourly Rates"/>
    <s v="Profit Cost"/>
    <s v="FAH"/>
    <s v="Y"/>
    <n v="8.32"/>
    <n v="1.66"/>
    <x v="1"/>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33"/>
    <d v="2023-07-03T19:02:05"/>
    <s v="Y"/>
    <s v="Routine Letter In"/>
    <s v="Prescribed Hourly Rates"/>
    <s v="Profit Cost"/>
    <s v="FA"/>
    <s v="Y"/>
    <n v="50.9"/>
    <n v="10.18"/>
    <x v="3"/>
    <s v="VALIDATED"/>
    <n v="1"/>
    <s v="01.11.80.307.6100.0000"/>
    <n v="50.9"/>
    <s v="11"/>
    <s v="6100"/>
    <n v="34318.95"/>
    <n v="50.9"/>
    <s v="CREDITOR"/>
    <n v="0"/>
    <n v="0"/>
    <n v="0"/>
    <n v="0"/>
    <n v="50.9"/>
  </r>
  <r>
    <n v="61130472"/>
    <s v="N"/>
    <n v="21382407"/>
    <s v="3000015317490003"/>
    <s v="CIVIL"/>
    <d v="2023-06-28T00:00:00"/>
    <d v="2023-07-17T19:01:46"/>
    <m/>
    <d v="2023-07-17T00:00:00"/>
    <n v="194"/>
    <n v="12447"/>
    <s v="61130472"/>
    <s v="61130472"/>
    <m/>
    <m/>
    <n v="22775508"/>
    <m/>
    <m/>
    <m/>
    <s v="SOLFIN"/>
    <s v="SOLFIN"/>
    <s v="CCMS"/>
    <n v="21382407"/>
    <n v="4109"/>
    <m/>
    <s v="N"/>
    <n v="21"/>
    <d v="2023-07-17T19:02:09"/>
    <s v="Y"/>
    <s v="Attendance upon client"/>
    <s v="Prescribed Hourly Rates"/>
    <s v="Profit Cost"/>
    <s v="FAH"/>
    <s v="Y"/>
    <n v="16.63"/>
    <n v="3.33"/>
    <x v="8"/>
    <s v="VALIDATED"/>
    <n v="1"/>
    <s v="01.11.80.302.6100.0000"/>
    <n v="16.63"/>
    <s v="11"/>
    <s v="6100"/>
    <n v="34318.95"/>
    <n v="16.63"/>
    <s v="CREDITOR"/>
    <n v="0"/>
    <n v="0"/>
    <n v="0"/>
    <n v="0"/>
    <n v="16.63"/>
  </r>
  <r>
    <n v="61788720"/>
    <s v="N"/>
    <n v="21382042"/>
    <s v="3000015864570002"/>
    <s v="CIVIL"/>
    <d v="2023-06-28T00:00:00"/>
    <d v="2023-07-17T19:01:46"/>
    <m/>
    <d v="2023-07-17T00:00:00"/>
    <n v="194"/>
    <n v="12447"/>
    <s v="61788720"/>
    <s v="61788720"/>
    <m/>
    <m/>
    <n v="22781892"/>
    <m/>
    <m/>
    <m/>
    <s v="SOLFIN"/>
    <s v="SOLFIN"/>
    <s v="CCMS"/>
    <n v="21382042"/>
    <n v="4185.9"/>
    <m/>
    <s v="N"/>
    <n v="25"/>
    <d v="2023-07-17T19:02:00"/>
    <s v="Y"/>
    <s v="Preparation - other"/>
    <s v="Prescribed Hourly Rates"/>
    <s v="Profit Cost"/>
    <s v="FH"/>
    <s v="Y"/>
    <n v="8.32"/>
    <n v="1.66"/>
    <x v="8"/>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26"/>
    <d v="2023-07-03T19:02:05"/>
    <s v="Y"/>
    <s v="Preparation - other"/>
    <s v="Prescribed Hourly Rates"/>
    <s v="Profit Cost"/>
    <s v="FA"/>
    <s v="Y"/>
    <n v="86.13"/>
    <n v="17.23"/>
    <x v="3"/>
    <s v="VALIDATED"/>
    <n v="1"/>
    <s v="01.11.80.307.6100.0000"/>
    <n v="86.13"/>
    <s v="11"/>
    <s v="6100"/>
    <n v="34318.95"/>
    <n v="86.13"/>
    <s v="CREDITOR"/>
    <n v="0"/>
    <n v="0"/>
    <n v="0"/>
    <n v="0"/>
    <n v="86.13"/>
  </r>
  <r>
    <n v="61788720"/>
    <s v="N"/>
    <n v="21382042"/>
    <s v="3000015864570002"/>
    <s v="CIVIL"/>
    <d v="2023-06-28T00:00:00"/>
    <d v="2023-07-17T19:01:46"/>
    <m/>
    <d v="2023-07-17T00:00:00"/>
    <n v="194"/>
    <n v="12447"/>
    <s v="61788720"/>
    <s v="61788720"/>
    <m/>
    <m/>
    <n v="22781892"/>
    <m/>
    <m/>
    <m/>
    <s v="SOLFIN"/>
    <s v="SOLFIN"/>
    <s v="CCMS"/>
    <n v="21382042"/>
    <n v="4185.9"/>
    <m/>
    <s v="N"/>
    <n v="41"/>
    <d v="2023-07-17T19:02:00"/>
    <s v="Y"/>
    <s v="Preparation - other"/>
    <s v="Prescribed Hourly Rates"/>
    <s v="Profit Cost"/>
    <s v="FH"/>
    <s v="Y"/>
    <n v="8.32"/>
    <n v="1.66"/>
    <x v="8"/>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23"/>
    <d v="2023-07-03T19:02:05"/>
    <s v="Y"/>
    <s v="Attendance upon client"/>
    <s v="Prescribed Hourly Rates"/>
    <s v="Profit Cost"/>
    <s v="FA"/>
    <s v="Y"/>
    <n v="86.13"/>
    <n v="17.23"/>
    <x v="3"/>
    <s v="VALIDATED"/>
    <n v="1"/>
    <s v="01.11.80.307.6100.0000"/>
    <n v="86.13"/>
    <s v="11"/>
    <s v="6100"/>
    <n v="34318.95"/>
    <n v="86.13"/>
    <s v="CREDITOR"/>
    <n v="0"/>
    <n v="0"/>
    <n v="0"/>
    <n v="0"/>
    <n v="86.13"/>
  </r>
  <r>
    <n v="61496719"/>
    <s v="N"/>
    <n v="21318506"/>
    <s v="3000015615070001"/>
    <s v="CIVIL"/>
    <d v="2023-06-16T00:00:00"/>
    <d v="2023-07-03T19:01:49"/>
    <m/>
    <d v="2023-07-03T00:00:00"/>
    <n v="194"/>
    <n v="12447"/>
    <s v="61496719"/>
    <s v="61496719"/>
    <m/>
    <m/>
    <n v="22710344"/>
    <m/>
    <m/>
    <m/>
    <s v="SOLFIN"/>
    <s v="SOLFIN"/>
    <s v="CCMS"/>
    <n v="21318506"/>
    <n v="1283"/>
    <m/>
    <s v="N"/>
    <n v="2"/>
    <d v="2023-07-03T19:01:57"/>
    <s v="Y"/>
    <s v="Final Hearing - 1 Day"/>
    <s v="Domestic Abuse"/>
    <s v="Advocacy"/>
    <s v="mc"/>
    <s v="Y"/>
    <n v="361.17"/>
    <n v="72.23"/>
    <x v="3"/>
    <s v="VALIDATED"/>
    <n v="1"/>
    <s v="01.11.80.302.6100.0000"/>
    <n v="361.17"/>
    <s v="11"/>
    <s v="6100"/>
    <n v="34318.95"/>
    <n v="361.17"/>
    <s v="CREDITOR"/>
    <n v="0"/>
    <n v="0"/>
    <n v="0"/>
    <n v="0"/>
    <n v="361.17"/>
  </r>
  <r>
    <n v="61788720"/>
    <s v="N"/>
    <n v="21382042"/>
    <s v="3000015864570002"/>
    <s v="CIVIL"/>
    <d v="2023-06-28T00:00:00"/>
    <d v="2023-07-17T19:01:46"/>
    <m/>
    <d v="2023-07-17T00:00:00"/>
    <n v="194"/>
    <n v="12447"/>
    <s v="61788720"/>
    <s v="61788720"/>
    <m/>
    <m/>
    <n v="22781892"/>
    <m/>
    <m/>
    <m/>
    <s v="SOLFIN"/>
    <s v="SOLFIN"/>
    <s v="CCMS"/>
    <n v="21382042"/>
    <n v="4185.9"/>
    <m/>
    <s v="N"/>
    <n v="32"/>
    <d v="2023-07-17T19:02:00"/>
    <s v="Y"/>
    <s v="Preparation - other"/>
    <s v="Prescribed Hourly Rates"/>
    <s v="Profit Cost"/>
    <s v="FH"/>
    <s v="Y"/>
    <n v="8.32"/>
    <n v="1.66"/>
    <x v="8"/>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52"/>
    <d v="2023-07-05T19:01:57"/>
    <s v="Y"/>
    <s v="Preparation - other"/>
    <s v="Prescribed Hourly Rates"/>
    <s v="Profit Cost"/>
    <s v="YR"/>
    <s v="Y"/>
    <n v="49.9"/>
    <n v="9.98"/>
    <x v="6"/>
    <s v="VALIDATED"/>
    <n v="1"/>
    <s v="01.11.80.302.6100.0000"/>
    <n v="49.9"/>
    <s v="11"/>
    <s v="6100"/>
    <n v="34318.95"/>
    <n v="49.9"/>
    <s v="CREDITOR"/>
    <n v="0"/>
    <n v="0"/>
    <n v="0"/>
    <n v="0"/>
    <n v="49.9"/>
  </r>
  <r>
    <n v="60678163"/>
    <s v="N"/>
    <n v="21327492"/>
    <s v="3000014928670004"/>
    <s v="CIVIL"/>
    <d v="2023-06-22T00:00:00"/>
    <d v="2023-07-04T19:00:44"/>
    <m/>
    <d v="2023-07-04T00:00:00"/>
    <n v="194"/>
    <n v="12447"/>
    <s v="60678163"/>
    <s v="60678163"/>
    <m/>
    <m/>
    <n v="22744814"/>
    <m/>
    <m/>
    <m/>
    <s v="SOLFIN"/>
    <s v="SOLFIN"/>
    <s v="CCMS"/>
    <n v="21327492"/>
    <n v="7348.42"/>
    <m/>
    <s v="N"/>
    <n v="13"/>
    <d v="2023-07-04T19:00:48"/>
    <s v="Y"/>
    <s v="Preparation - drafting application"/>
    <s v="Prescribed Hourly Rates"/>
    <s v="Profit Cost"/>
    <s v="NAB"/>
    <s v="Y"/>
    <n v="83.16"/>
    <n v="16.63"/>
    <x v="1"/>
    <s v="VALIDATED"/>
    <n v="1"/>
    <s v="01.11.80.302.6100.0000"/>
    <n v="83.16"/>
    <s v="11"/>
    <s v="6100"/>
    <n v="34318.95"/>
    <n v="83.16"/>
    <s v="CREDITOR"/>
    <n v="0"/>
    <n v="0"/>
    <n v="0"/>
    <n v="0"/>
    <n v="83.16"/>
  </r>
  <r>
    <n v="61464958"/>
    <s v="N"/>
    <n v="21318984"/>
    <s v="3000015543270001"/>
    <s v="CIVIL"/>
    <d v="2023-06-23T00:00:00"/>
    <d v="2023-07-03T19:01:49"/>
    <m/>
    <d v="2023-07-03T00:00:00"/>
    <n v="194"/>
    <n v="12447"/>
    <s v="61464958"/>
    <s v="61464958"/>
    <m/>
    <m/>
    <n v="22755938"/>
    <m/>
    <m/>
    <m/>
    <s v="SOLFIN"/>
    <s v="SOLFIN"/>
    <s v="CCMS"/>
    <n v="21318984"/>
    <n v="2903.56"/>
    <m/>
    <s v="N"/>
    <n v="29"/>
    <d v="2023-07-03T19:02:05"/>
    <s v="Y"/>
    <s v="Preparation - other"/>
    <s v="Prescribed Hourly Rates"/>
    <s v="Profit Cost"/>
    <s v="CD"/>
    <s v="Y"/>
    <n v="25.84"/>
    <n v="5.17"/>
    <x v="3"/>
    <s v="VALIDATED"/>
    <n v="1"/>
    <s v="01.11.80.307.6100.0000"/>
    <n v="25.84"/>
    <s v="11"/>
    <s v="6100"/>
    <n v="34318.95"/>
    <n v="25.84"/>
    <s v="CREDITOR"/>
    <n v="0"/>
    <n v="0"/>
    <n v="0"/>
    <n v="0"/>
    <n v="25.84"/>
  </r>
  <r>
    <n v="61130472"/>
    <s v="N"/>
    <n v="21382407"/>
    <s v="3000015317490003"/>
    <s v="CIVIL"/>
    <d v="2023-06-28T00:00:00"/>
    <d v="2023-07-17T19:01:46"/>
    <m/>
    <d v="2023-07-17T00:00:00"/>
    <n v="194"/>
    <n v="12447"/>
    <s v="61130472"/>
    <s v="61130472"/>
    <m/>
    <m/>
    <n v="22775508"/>
    <m/>
    <m/>
    <m/>
    <s v="SOLFIN"/>
    <s v="SOLFIN"/>
    <s v="CCMS"/>
    <n v="21382407"/>
    <n v="4109"/>
    <m/>
    <s v="N"/>
    <n v="26"/>
    <d v="2023-07-17T19:02:09"/>
    <s v="Y"/>
    <s v="Preparation - other"/>
    <s v="Prescribed Hourly Rates"/>
    <s v="Profit Cost"/>
    <s v="FAH"/>
    <s v="Y"/>
    <n v="83.16"/>
    <n v="16.63"/>
    <x v="8"/>
    <s v="VALIDATED"/>
    <n v="1"/>
    <s v="01.11.80.302.6100.0000"/>
    <n v="83.16"/>
    <s v="11"/>
    <s v="6100"/>
    <n v="34318.95"/>
    <n v="83.16"/>
    <s v="CREDITOR"/>
    <n v="0"/>
    <n v="0"/>
    <n v="0"/>
    <n v="0"/>
    <n v="83.16"/>
  </r>
  <r>
    <n v="61788720"/>
    <s v="N"/>
    <n v="21382042"/>
    <s v="3000015864570002"/>
    <s v="CIVIL"/>
    <d v="2023-06-28T00:00:00"/>
    <d v="2023-07-17T19:01:46"/>
    <m/>
    <d v="2023-07-17T00:00:00"/>
    <n v="194"/>
    <n v="12447"/>
    <s v="61788720"/>
    <s v="61788720"/>
    <m/>
    <m/>
    <n v="22781892"/>
    <m/>
    <m/>
    <m/>
    <s v="SOLFIN"/>
    <s v="SOLFIN"/>
    <s v="CCMS"/>
    <n v="21382042"/>
    <n v="4185.9"/>
    <m/>
    <s v="N"/>
    <n v="28"/>
    <d v="2023-07-17T19:02:00"/>
    <s v="Y"/>
    <s v="Preparation - other"/>
    <s v="Prescribed Hourly Rates"/>
    <s v="Profit Cost"/>
    <s v="FH"/>
    <s v="Y"/>
    <n v="8.32"/>
    <n v="1.66"/>
    <x v="8"/>
    <s v="VALIDATED"/>
    <n v="1"/>
    <s v="01.11.80.302.6100.0000"/>
    <n v="8.32"/>
    <s v="11"/>
    <s v="6100"/>
    <n v="34318.95"/>
    <n v="8.32"/>
    <s v="CREDITOR"/>
    <n v="0"/>
    <n v="0"/>
    <n v="0"/>
    <n v="0"/>
    <n v="8.32"/>
  </r>
  <r>
    <n v="61080230"/>
    <s v="N"/>
    <n v="21330559"/>
    <s v="3000015275730002"/>
    <s v="CIVIL"/>
    <d v="2023-06-23T00:00:00"/>
    <d v="2023-07-05T19:01:47"/>
    <m/>
    <d v="2023-07-05T00:00:00"/>
    <n v="194"/>
    <n v="12447"/>
    <s v="61080230"/>
    <s v="61080230"/>
    <m/>
    <m/>
    <n v="22755936"/>
    <m/>
    <m/>
    <m/>
    <s v="SOLFIN"/>
    <s v="SOLFIN"/>
    <s v="CCMS"/>
    <n v="21330559"/>
    <n v="3599.14"/>
    <m/>
    <s v="N"/>
    <n v="14"/>
    <d v="2023-07-05T19:01:51"/>
    <s v="Y"/>
    <s v="Preparation - other"/>
    <s v="Prescribed Hourly Rates"/>
    <s v="Profit Cost"/>
    <s v="DF1"/>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61"/>
    <d v="2023-07-05T19:01:57"/>
    <s v="Y"/>
    <s v="Preparation - other"/>
    <s v="Prescribed Hourly Rates"/>
    <s v="Profit Cost"/>
    <s v="YR"/>
    <s v="Y"/>
    <n v="41.58"/>
    <n v="8.32"/>
    <x v="6"/>
    <s v="VALIDATED"/>
    <n v="1"/>
    <s v="01.11.80.302.6100.0000"/>
    <n v="41.58"/>
    <s v="11"/>
    <s v="6100"/>
    <n v="34318.95"/>
    <n v="41.58"/>
    <s v="CREDITOR"/>
    <n v="0"/>
    <n v="0"/>
    <n v="0"/>
    <n v="0"/>
    <n v="41.58"/>
  </r>
  <r>
    <n v="62309851"/>
    <s v="N"/>
    <n v="21330932"/>
    <s v="3000016300730003"/>
    <s v="CIVIL"/>
    <d v="2023-06-28T00:00:00"/>
    <d v="2023-07-05T19:01:47"/>
    <m/>
    <d v="2023-07-05T00:00:00"/>
    <n v="194"/>
    <n v="12447"/>
    <s v="62309851"/>
    <s v="62309851"/>
    <m/>
    <m/>
    <n v="22775378"/>
    <m/>
    <m/>
    <m/>
    <s v="SOLFIN"/>
    <s v="SOLFIN"/>
    <s v="CCMS"/>
    <n v="21330932"/>
    <n v="4181.19"/>
    <m/>
    <s v="N"/>
    <n v="18"/>
    <d v="2023-07-05T19:01:57"/>
    <s v="Y"/>
    <s v="Preparation - other"/>
    <s v="Prescribed Hourly Rates"/>
    <s v="Profit Cost"/>
    <s v="YR"/>
    <s v="Y"/>
    <n v="16.63"/>
    <n v="3.33"/>
    <x v="6"/>
    <s v="VALIDATED"/>
    <n v="1"/>
    <s v="01.11.80.302.6100.0000"/>
    <n v="16.63"/>
    <s v="11"/>
    <s v="6100"/>
    <n v="34318.95"/>
    <n v="16.63"/>
    <s v="CREDITOR"/>
    <n v="0"/>
    <n v="0"/>
    <n v="0"/>
    <n v="0"/>
    <n v="16.63"/>
  </r>
  <r>
    <n v="62309851"/>
    <s v="N"/>
    <n v="21330932"/>
    <s v="3000016300730003"/>
    <s v="CIVIL"/>
    <d v="2023-06-28T00:00:00"/>
    <d v="2023-07-05T19:01:47"/>
    <m/>
    <d v="2023-07-05T00:00:00"/>
    <n v="194"/>
    <n v="12447"/>
    <s v="62309851"/>
    <s v="62309851"/>
    <m/>
    <m/>
    <n v="22775378"/>
    <m/>
    <m/>
    <m/>
    <s v="SOLFIN"/>
    <s v="SOLFIN"/>
    <s v="CCMS"/>
    <n v="21330932"/>
    <n v="4181.19"/>
    <m/>
    <s v="N"/>
    <n v="11"/>
    <d v="2023-07-05T19:01:57"/>
    <s v="Y"/>
    <s v="Attendance upon client"/>
    <s v="Prescribed Hourly Rates"/>
    <s v="Profit Cost"/>
    <s v="SP"/>
    <s v="Y"/>
    <n v="24.95"/>
    <n v="4.99"/>
    <x v="6"/>
    <s v="VALIDATED"/>
    <n v="1"/>
    <s v="01.11.80.302.6100.0000"/>
    <n v="24.95"/>
    <s v="11"/>
    <s v="6100"/>
    <n v="34318.95"/>
    <n v="24.95"/>
    <s v="CREDITOR"/>
    <n v="0"/>
    <n v="0"/>
    <n v="0"/>
    <n v="0"/>
    <n v="24.95"/>
  </r>
  <r>
    <n v="62260478"/>
    <s v="N"/>
    <n v="21330952"/>
    <s v="3000016258320003"/>
    <s v="CIVIL"/>
    <d v="2023-06-28T00:00:00"/>
    <d v="2023-07-05T19:01:47"/>
    <m/>
    <d v="2023-07-05T00:00:00"/>
    <n v="194"/>
    <n v="12447"/>
    <s v="62260478"/>
    <s v="62260478"/>
    <m/>
    <m/>
    <n v="22775374"/>
    <m/>
    <m/>
    <m/>
    <s v="SOLFIN"/>
    <s v="SOLFIN"/>
    <s v="CCMS"/>
    <n v="21330952"/>
    <n v="3936.68"/>
    <m/>
    <s v="N"/>
    <n v="32"/>
    <d v="2023-07-05T19:01:59"/>
    <s v="Y"/>
    <s v="Preparation - other"/>
    <s v="Prescribed Hourly Rates"/>
    <s v="Profit Cost"/>
    <s v="DB"/>
    <s v="Y"/>
    <n v="24.95"/>
    <n v="4.99"/>
    <x v="6"/>
    <s v="VALIDATED"/>
    <n v="1"/>
    <s v="01.11.80.302.6100.0000"/>
    <n v="24.95"/>
    <s v="11"/>
    <s v="6100"/>
    <n v="34318.95"/>
    <n v="24.95"/>
    <s v="CREDITOR"/>
    <n v="0"/>
    <n v="0"/>
    <n v="0"/>
    <n v="0"/>
    <n v="24.95"/>
  </r>
  <r>
    <n v="62260478"/>
    <s v="N"/>
    <n v="21330952"/>
    <s v="3000016258320003"/>
    <s v="CIVIL"/>
    <d v="2023-06-28T00:00:00"/>
    <d v="2023-07-05T19:01:47"/>
    <m/>
    <d v="2023-07-05T00:00:00"/>
    <n v="194"/>
    <n v="12447"/>
    <s v="62260478"/>
    <s v="62260478"/>
    <m/>
    <m/>
    <n v="22775374"/>
    <m/>
    <m/>
    <m/>
    <s v="SOLFIN"/>
    <s v="SOLFIN"/>
    <s v="CCMS"/>
    <n v="21330952"/>
    <n v="3936.68"/>
    <m/>
    <s v="N"/>
    <n v="69"/>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44"/>
    <d v="2023-07-05T19:01:57"/>
    <s v="Y"/>
    <s v="Preparation - other"/>
    <s v="Prescribed Hourly Rates"/>
    <s v="Profit Cost"/>
    <s v="YR"/>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55"/>
    <d v="2023-07-04T19:00:48"/>
    <s v="Y"/>
    <s v="Preparation - other"/>
    <s v="Prescribed Hourly Rates"/>
    <s v="Profit Cost"/>
    <s v="FAH"/>
    <s v="Y"/>
    <n v="83.16"/>
    <n v="16.63"/>
    <x v="1"/>
    <s v="VALIDATED"/>
    <n v="1"/>
    <s v="01.11.80.302.6100.0000"/>
    <n v="83.16"/>
    <s v="11"/>
    <s v="6100"/>
    <n v="34318.95"/>
    <n v="83.16"/>
    <s v="CREDITOR"/>
    <n v="0"/>
    <n v="0"/>
    <n v="0"/>
    <n v="0"/>
    <n v="83.16"/>
  </r>
  <r>
    <n v="60678163"/>
    <s v="N"/>
    <n v="21327492"/>
    <s v="3000014928670004"/>
    <s v="CIVIL"/>
    <d v="2023-06-22T00:00:00"/>
    <d v="2023-07-04T19:00:44"/>
    <m/>
    <d v="2023-07-04T00:00:00"/>
    <n v="194"/>
    <n v="12447"/>
    <s v="60678163"/>
    <s v="60678163"/>
    <m/>
    <m/>
    <n v="22744814"/>
    <m/>
    <m/>
    <m/>
    <s v="SOLFIN"/>
    <s v="SOLFIN"/>
    <s v="CCMS"/>
    <n v="21327492"/>
    <n v="7348.42"/>
    <m/>
    <s v="N"/>
    <n v="18"/>
    <d v="2023-07-04T19:00:48"/>
    <s v="Y"/>
    <s v="Preparation - other"/>
    <s v="Prescribed Hourly Rates"/>
    <s v="Profit Cost"/>
    <s v="FAH"/>
    <s v="Y"/>
    <n v="41.58"/>
    <n v="8.32"/>
    <x v="1"/>
    <s v="VALIDATED"/>
    <n v="1"/>
    <s v="01.11.80.302.6100.0000"/>
    <n v="41.58"/>
    <s v="11"/>
    <s v="6100"/>
    <n v="34318.95"/>
    <n v="41.58"/>
    <s v="CREDITOR"/>
    <n v="0"/>
    <n v="0"/>
    <n v="0"/>
    <n v="0"/>
    <n v="41.58"/>
  </r>
  <r>
    <n v="61080230"/>
    <s v="N"/>
    <n v="21330559"/>
    <s v="3000015275730002"/>
    <s v="CIVIL"/>
    <d v="2023-06-23T00:00:00"/>
    <d v="2023-07-05T19:01:47"/>
    <m/>
    <d v="2023-07-05T00:00:00"/>
    <n v="194"/>
    <n v="12447"/>
    <s v="61080230"/>
    <s v="61080230"/>
    <m/>
    <m/>
    <n v="22755936"/>
    <m/>
    <m/>
    <m/>
    <s v="SOLFIN"/>
    <s v="SOLFIN"/>
    <s v="CCMS"/>
    <n v="21330559"/>
    <n v="3599.14"/>
    <m/>
    <s v="N"/>
    <n v="39"/>
    <d v="2023-07-05T19:01:51"/>
    <s v="Y"/>
    <s v="Preparation - other"/>
    <s v="Prescribed Hourly Rates"/>
    <s v="Profit Cost"/>
    <s v="DF1"/>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58"/>
    <d v="2023-07-05T19:01:57"/>
    <s v="Y"/>
    <s v="Preparation - other"/>
    <s v="Prescribed Hourly Rates"/>
    <s v="Profit Cost"/>
    <s v="YR"/>
    <s v="Y"/>
    <n v="33.26"/>
    <n v="6.65"/>
    <x v="6"/>
    <s v="VALIDATED"/>
    <n v="1"/>
    <s v="01.11.80.302.6100.0000"/>
    <n v="33.26"/>
    <s v="11"/>
    <s v="6100"/>
    <n v="34318.95"/>
    <n v="33.26"/>
    <s v="CREDITOR"/>
    <n v="0"/>
    <n v="0"/>
    <n v="0"/>
    <n v="0"/>
    <n v="33.26"/>
  </r>
  <r>
    <n v="62260478"/>
    <s v="N"/>
    <n v="21330952"/>
    <s v="3000016258320003"/>
    <s v="CIVIL"/>
    <d v="2023-06-28T00:00:00"/>
    <d v="2023-07-05T19:01:47"/>
    <m/>
    <d v="2023-07-05T00:00:00"/>
    <n v="194"/>
    <n v="12447"/>
    <s v="62260478"/>
    <s v="62260478"/>
    <m/>
    <m/>
    <n v="22775374"/>
    <m/>
    <m/>
    <m/>
    <s v="SOLFIN"/>
    <s v="SOLFIN"/>
    <s v="CCMS"/>
    <n v="21330952"/>
    <n v="3936.68"/>
    <m/>
    <s v="N"/>
    <n v="33"/>
    <d v="2023-07-05T19:01:59"/>
    <s v="Y"/>
    <s v="Preparation - other"/>
    <s v="Prescribed Hourly Rates"/>
    <s v="Profit Cost"/>
    <s v="MC"/>
    <s v="Y"/>
    <n v="24.95"/>
    <n v="4.99"/>
    <x v="6"/>
    <s v="VALIDATED"/>
    <n v="1"/>
    <s v="01.11.80.302.6100.0000"/>
    <n v="24.95"/>
    <s v="11"/>
    <s v="6100"/>
    <n v="34318.95"/>
    <n v="24.95"/>
    <s v="CREDITOR"/>
    <n v="0"/>
    <n v="0"/>
    <n v="0"/>
    <n v="0"/>
    <n v="24.95"/>
  </r>
  <r>
    <n v="60678163"/>
    <s v="N"/>
    <n v="21327492"/>
    <s v="3000014928670004"/>
    <s v="CIVIL"/>
    <d v="2023-06-22T00:00:00"/>
    <d v="2023-07-04T19:00:44"/>
    <m/>
    <d v="2023-07-04T00:00:00"/>
    <n v="194"/>
    <n v="12447"/>
    <s v="60678163"/>
    <s v="60678163"/>
    <m/>
    <m/>
    <n v="22744814"/>
    <m/>
    <m/>
    <m/>
    <s v="SOLFIN"/>
    <s v="SOLFIN"/>
    <s v="CCMS"/>
    <n v="21327492"/>
    <n v="7348.42"/>
    <m/>
    <s v="N"/>
    <n v="14"/>
    <d v="2023-07-04T19:00:48"/>
    <s v="Y"/>
    <s v="Preparation - other"/>
    <s v="Prescribed Hourly Rates"/>
    <s v="Profit Cost"/>
    <s v="NAB"/>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50"/>
    <d v="2023-07-04T19:00:48"/>
    <s v="Y"/>
    <s v="Preparation - other"/>
    <s v="Prescribed Hourly Rates"/>
    <s v="Profit Cost"/>
    <s v="FAH"/>
    <s v="Y"/>
    <n v="207.9"/>
    <n v="41.58"/>
    <x v="1"/>
    <s v="VALIDATED"/>
    <n v="1"/>
    <s v="01.11.80.302.6100.0000"/>
    <n v="207.9"/>
    <s v="11"/>
    <s v="6100"/>
    <n v="34318.95"/>
    <n v="207.9"/>
    <s v="CREDITOR"/>
    <n v="0"/>
    <n v="0"/>
    <n v="0"/>
    <n v="0"/>
    <n v="207.9"/>
  </r>
  <r>
    <n v="61766009"/>
    <s v="N"/>
    <n v="21328257"/>
    <s v="3000015844440002"/>
    <s v="CIVIL"/>
    <d v="2023-06-23T00:00:00"/>
    <d v="2023-07-04T19:00:44"/>
    <m/>
    <d v="2023-07-04T00:00:00"/>
    <n v="194"/>
    <n v="12447"/>
    <s v="61766009"/>
    <s v="61766009"/>
    <m/>
    <m/>
    <n v="22754158"/>
    <m/>
    <m/>
    <m/>
    <s v="SOLFIN"/>
    <s v="SOLFIN"/>
    <s v="CCMS"/>
    <n v="21328257"/>
    <n v="1911.8"/>
    <m/>
    <s v="N"/>
    <n v="5"/>
    <d v="2023-07-04T19:01:10"/>
    <s v="Y"/>
    <s v="Level 4 Fixed Fee"/>
    <s v="Domestic Abuse"/>
    <s v="Profit Cost"/>
    <s v="NAB"/>
    <s v="Y"/>
    <n v="608"/>
    <n v="121.6"/>
    <x v="1"/>
    <s v="VALIDATED"/>
    <n v="1"/>
    <s v="01.11.80.302.6100.0000"/>
    <n v="608"/>
    <s v="11"/>
    <s v="6100"/>
    <n v="34318.95"/>
    <n v="608"/>
    <s v="CREDITOR"/>
    <n v="0"/>
    <n v="0"/>
    <n v="0"/>
    <n v="0"/>
    <n v="608"/>
  </r>
  <r>
    <n v="61080230"/>
    <s v="N"/>
    <n v="21330559"/>
    <s v="3000015275730002"/>
    <s v="CIVIL"/>
    <d v="2023-06-23T00:00:00"/>
    <d v="2023-07-05T19:01:47"/>
    <m/>
    <d v="2023-07-05T00:00:00"/>
    <n v="194"/>
    <n v="12447"/>
    <s v="61080230"/>
    <s v="61080230"/>
    <m/>
    <m/>
    <n v="22755936"/>
    <m/>
    <m/>
    <m/>
    <s v="SOLFIN"/>
    <s v="SOLFIN"/>
    <s v="CCMS"/>
    <n v="21330559"/>
    <n v="3599.14"/>
    <m/>
    <s v="N"/>
    <n v="40"/>
    <d v="2023-07-05T19:01:51"/>
    <s v="Y"/>
    <s v="Preparation - other"/>
    <s v="Prescribed Hourly Rates"/>
    <s v="Profit Cost"/>
    <s v="DF1"/>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56"/>
    <d v="2023-07-05T19:01:59"/>
    <s v="Y"/>
    <s v="Preparation - other"/>
    <s v="Prescribed Hourly Rates"/>
    <s v="Profit Cost"/>
    <s v="CR"/>
    <s v="Y"/>
    <n v="24.95"/>
    <n v="4.99"/>
    <x v="6"/>
    <s v="VALIDATED"/>
    <n v="1"/>
    <s v="01.11.80.302.6100.0000"/>
    <n v="24.95"/>
    <s v="11"/>
    <s v="6100"/>
    <n v="34318.95"/>
    <n v="24.95"/>
    <s v="CREDITOR"/>
    <n v="0"/>
    <n v="0"/>
    <n v="0"/>
    <n v="0"/>
    <n v="24.95"/>
  </r>
  <r>
    <n v="60678163"/>
    <s v="N"/>
    <n v="21327492"/>
    <s v="3000014928670004"/>
    <s v="CIVIL"/>
    <d v="2023-06-22T00:00:00"/>
    <d v="2023-07-04T19:00:44"/>
    <m/>
    <d v="2023-07-04T00:00:00"/>
    <n v="194"/>
    <n v="12447"/>
    <s v="60678163"/>
    <s v="60678163"/>
    <m/>
    <m/>
    <n v="22744814"/>
    <m/>
    <m/>
    <m/>
    <s v="SOLFIN"/>
    <s v="SOLFIN"/>
    <s v="CCMS"/>
    <n v="21327492"/>
    <n v="7348.42"/>
    <m/>
    <s v="N"/>
    <n v="72"/>
    <d v="2023-07-04T19:00:48"/>
    <s v="Y"/>
    <s v="Preparation - other"/>
    <s v="Prescribed Hourly Rates"/>
    <s v="Profit Cost"/>
    <s v="FAH"/>
    <s v="Y"/>
    <n v="66.53"/>
    <n v="13.31"/>
    <x v="1"/>
    <s v="VALIDATED"/>
    <n v="1"/>
    <s v="01.11.80.302.6100.0000"/>
    <n v="66.53"/>
    <s v="11"/>
    <s v="6100"/>
    <n v="34318.95"/>
    <n v="66.53"/>
    <s v="CREDITOR"/>
    <n v="0"/>
    <n v="0"/>
    <n v="0"/>
    <n v="0"/>
    <n v="66.53"/>
  </r>
  <r>
    <n v="61080230"/>
    <s v="N"/>
    <n v="21330559"/>
    <s v="3000015275730002"/>
    <s v="CIVIL"/>
    <d v="2023-06-23T00:00:00"/>
    <d v="2023-07-05T19:01:47"/>
    <m/>
    <d v="2023-07-05T00:00:00"/>
    <n v="194"/>
    <n v="12447"/>
    <s v="61080230"/>
    <s v="61080230"/>
    <m/>
    <m/>
    <n v="22755936"/>
    <m/>
    <m/>
    <m/>
    <s v="SOLFIN"/>
    <s v="SOLFIN"/>
    <s v="CCMS"/>
    <n v="21330559"/>
    <n v="3599.14"/>
    <m/>
    <s v="N"/>
    <n v="15"/>
    <d v="2023-07-05T19:01:51"/>
    <s v="Y"/>
    <s v="Preparation - other"/>
    <s v="Prescribed Hourly Rates"/>
    <s v="Profit Cost"/>
    <s v="DF1"/>
    <s v="Y"/>
    <n v="16.63"/>
    <n v="3.33"/>
    <x v="6"/>
    <s v="VALIDATED"/>
    <n v="1"/>
    <s v="01.11.80.302.6100.0000"/>
    <n v="16.63"/>
    <s v="11"/>
    <s v="6100"/>
    <n v="34318.95"/>
    <n v="16.63"/>
    <s v="CREDITOR"/>
    <n v="0"/>
    <n v="0"/>
    <n v="0"/>
    <n v="0"/>
    <n v="16.63"/>
  </r>
  <r>
    <n v="61464958"/>
    <s v="N"/>
    <n v="21318984"/>
    <s v="3000015543270001"/>
    <s v="CIVIL"/>
    <d v="2023-06-23T00:00:00"/>
    <d v="2023-07-03T19:01:49"/>
    <m/>
    <d v="2023-07-03T00:00:00"/>
    <n v="194"/>
    <n v="12447"/>
    <s v="61464958"/>
    <s v="61464958"/>
    <m/>
    <m/>
    <n v="22755938"/>
    <m/>
    <m/>
    <m/>
    <s v="SOLFIN"/>
    <s v="SOLFIN"/>
    <s v="CCMS"/>
    <n v="21318984"/>
    <n v="2903.56"/>
    <m/>
    <s v="N"/>
    <n v="2"/>
    <d v="2023-07-03T19:02:05"/>
    <s v="N"/>
    <s v="Level 3 Fixed Fee"/>
    <s v="Private Law Children"/>
    <s v="Profit Cost"/>
    <s v="XXX"/>
    <s v="N"/>
    <n v="0"/>
    <n v="0"/>
    <x v="3"/>
    <s v="VALIDATED"/>
    <n v="1"/>
    <s v="01.11.80.307.6100.0000"/>
    <n v="0"/>
    <s v="11"/>
    <s v="6100"/>
    <n v="34318.95"/>
    <n v="0"/>
    <s v="CREDITOR"/>
    <n v="0"/>
    <n v="0"/>
    <n v="0"/>
    <n v="0"/>
    <n v="0"/>
  </r>
  <r>
    <n v="61464958"/>
    <s v="N"/>
    <n v="21318984"/>
    <s v="3000015543270001"/>
    <s v="CIVIL"/>
    <d v="2023-06-23T00:00:00"/>
    <d v="2023-07-03T19:01:49"/>
    <m/>
    <d v="2023-07-03T00:00:00"/>
    <n v="194"/>
    <n v="12447"/>
    <s v="61464958"/>
    <s v="61464958"/>
    <m/>
    <m/>
    <n v="22755938"/>
    <m/>
    <m/>
    <m/>
    <s v="SOLFIN"/>
    <s v="SOLFIN"/>
    <s v="CCMS"/>
    <n v="21318984"/>
    <n v="2903.56"/>
    <m/>
    <s v="N"/>
    <n v="19"/>
    <d v="2023-07-03T19:02:05"/>
    <s v="Y"/>
    <s v="Preparation - other"/>
    <s v="Prescribed Hourly Rates"/>
    <s v="Profit Cost"/>
    <s v="FA"/>
    <s v="Y"/>
    <n v="17.23"/>
    <n v="3.45"/>
    <x v="3"/>
    <s v="VALIDATED"/>
    <n v="1"/>
    <s v="01.11.80.307.6100.0000"/>
    <n v="17.23"/>
    <s v="11"/>
    <s v="6100"/>
    <n v="34318.95"/>
    <n v="17.23"/>
    <s v="CREDITOR"/>
    <n v="0"/>
    <n v="0"/>
    <n v="0"/>
    <n v="0"/>
    <n v="17.23"/>
  </r>
  <r>
    <n v="61130472"/>
    <s v="N"/>
    <n v="21382407"/>
    <s v="3000015317490003"/>
    <s v="CIVIL"/>
    <d v="2023-06-28T00:00:00"/>
    <d v="2023-07-17T19:01:46"/>
    <m/>
    <d v="2023-07-17T00:00:00"/>
    <n v="194"/>
    <n v="12447"/>
    <s v="61130472"/>
    <s v="61130472"/>
    <m/>
    <m/>
    <n v="22775508"/>
    <m/>
    <m/>
    <m/>
    <s v="SOLFIN"/>
    <s v="SOLFIN"/>
    <s v="CCMS"/>
    <n v="21382407"/>
    <n v="4109"/>
    <m/>
    <s v="N"/>
    <n v="36"/>
    <d v="2023-07-17T19:02:09"/>
    <s v="Y"/>
    <s v="Routine Telephone Call"/>
    <s v="Prescribed Hourly Rates"/>
    <s v="Profit Cost"/>
    <s v="FAH"/>
    <s v="Y"/>
    <n v="30.24"/>
    <n v="6.05"/>
    <x v="8"/>
    <s v="VALIDATED"/>
    <n v="1"/>
    <s v="01.11.80.302.6100.0000"/>
    <n v="30.24"/>
    <s v="11"/>
    <s v="6100"/>
    <n v="34318.95"/>
    <n v="30.24"/>
    <s v="CREDITOR"/>
    <n v="0"/>
    <n v="0"/>
    <n v="0"/>
    <n v="0"/>
    <n v="30.24"/>
  </r>
  <r>
    <n v="61788720"/>
    <s v="N"/>
    <n v="21382042"/>
    <s v="3000015864570002"/>
    <s v="CIVIL"/>
    <d v="2023-06-28T00:00:00"/>
    <d v="2023-07-17T19:01:46"/>
    <m/>
    <d v="2023-07-17T00:00:00"/>
    <n v="194"/>
    <n v="12447"/>
    <s v="61788720"/>
    <s v="61788720"/>
    <m/>
    <m/>
    <n v="22781892"/>
    <m/>
    <m/>
    <m/>
    <s v="SOLFIN"/>
    <s v="SOLFIN"/>
    <s v="CCMS"/>
    <n v="21382042"/>
    <n v="4185.9"/>
    <m/>
    <s v="N"/>
    <n v="2"/>
    <d v="2023-07-17T19:02:00"/>
    <s v="Y"/>
    <s v="Enquiry Agent"/>
    <s v="Prescribed Hourly Rates"/>
    <s v="Expert Disbursement"/>
    <s v="XXX"/>
    <s v="Y"/>
    <n v="100"/>
    <n v="20"/>
    <x v="8"/>
    <s v="VALIDATED"/>
    <n v="1"/>
    <s v="01.11.80.302.6300.0000"/>
    <n v="100"/>
    <s v="11"/>
    <s v="6300"/>
    <n v="34318.95"/>
    <n v="100"/>
    <s v="CREDITOR"/>
    <n v="0"/>
    <n v="0"/>
    <n v="0"/>
    <n v="0"/>
    <n v="100"/>
  </r>
  <r>
    <n v="62260478"/>
    <s v="N"/>
    <n v="21330952"/>
    <s v="3000016258320003"/>
    <s v="CIVIL"/>
    <d v="2023-06-28T00:00:00"/>
    <d v="2023-07-05T19:01:47"/>
    <m/>
    <d v="2023-07-05T00:00:00"/>
    <n v="194"/>
    <n v="12447"/>
    <s v="62260478"/>
    <s v="62260478"/>
    <m/>
    <m/>
    <n v="22775374"/>
    <m/>
    <m/>
    <m/>
    <s v="SOLFIN"/>
    <s v="SOLFIN"/>
    <s v="CCMS"/>
    <n v="21330952"/>
    <n v="3936.68"/>
    <m/>
    <s v="N"/>
    <n v="73"/>
    <d v="2023-07-05T19:01:59"/>
    <s v="Y"/>
    <s v="Routine Telephone Call"/>
    <s v="Prescribed Hourly Rates"/>
    <s v="Profit Cost"/>
    <s v="DB"/>
    <s v="Y"/>
    <n v="128.52"/>
    <n v="25.7"/>
    <x v="6"/>
    <s v="VALIDATED"/>
    <n v="1"/>
    <s v="01.11.80.302.6100.0000"/>
    <n v="128.52"/>
    <s v="11"/>
    <s v="6100"/>
    <n v="34318.95"/>
    <n v="128.52"/>
    <s v="CREDITOR"/>
    <n v="0"/>
    <n v="0"/>
    <n v="0"/>
    <n v="0"/>
    <n v="128.52"/>
  </r>
  <r>
    <n v="60678163"/>
    <s v="N"/>
    <n v="21327492"/>
    <s v="3000014928670004"/>
    <s v="CIVIL"/>
    <d v="2023-06-22T00:00:00"/>
    <d v="2023-07-04T19:00:44"/>
    <m/>
    <d v="2023-07-04T00:00:00"/>
    <n v="194"/>
    <n v="12447"/>
    <s v="60678163"/>
    <s v="60678163"/>
    <m/>
    <m/>
    <n v="22744814"/>
    <m/>
    <m/>
    <m/>
    <s v="SOLFIN"/>
    <s v="SOLFIN"/>
    <s v="CCMS"/>
    <n v="21327492"/>
    <n v="7348.42"/>
    <m/>
    <s v="N"/>
    <n v="24"/>
    <d v="2023-07-04T19:00:48"/>
    <s v="Y"/>
    <s v="Preparation - other"/>
    <s v="Prescribed Hourly Rates"/>
    <s v="Profit Cost"/>
    <s v="FAH"/>
    <s v="Y"/>
    <n v="8.32"/>
    <n v="1.66"/>
    <x v="1"/>
    <s v="VALIDATED"/>
    <n v="1"/>
    <s v="01.11.80.302.6100.0000"/>
    <n v="8.32"/>
    <s v="11"/>
    <s v="6100"/>
    <n v="34318.95"/>
    <n v="8.32"/>
    <s v="CREDITOR"/>
    <n v="0"/>
    <n v="0"/>
    <n v="0"/>
    <n v="0"/>
    <n v="8.32"/>
  </r>
  <r>
    <n v="61464958"/>
    <s v="N"/>
    <n v="21318984"/>
    <s v="3000015543270001"/>
    <s v="CIVIL"/>
    <d v="2023-06-23T00:00:00"/>
    <d v="2023-07-03T19:01:49"/>
    <m/>
    <d v="2023-07-03T00:00:00"/>
    <n v="194"/>
    <n v="12447"/>
    <s v="61464958"/>
    <s v="61464958"/>
    <m/>
    <m/>
    <n v="22755938"/>
    <m/>
    <m/>
    <m/>
    <s v="SOLFIN"/>
    <s v="SOLFIN"/>
    <s v="CCMS"/>
    <n v="21318984"/>
    <n v="2903.56"/>
    <m/>
    <s v="N"/>
    <n v="5"/>
    <d v="2023-07-03T19:02:05"/>
    <s v="Y"/>
    <s v="Preparation - other"/>
    <s v="Prescribed Hourly Rates"/>
    <s v="Profit Cost"/>
    <s v="FA"/>
    <s v="Y"/>
    <n v="43.07"/>
    <n v="8.609999999999999"/>
    <x v="3"/>
    <s v="VALIDATED"/>
    <n v="1"/>
    <s v="01.11.80.307.6100.0000"/>
    <n v="43.07"/>
    <s v="11"/>
    <s v="6100"/>
    <n v="34318.95"/>
    <n v="43.07"/>
    <s v="CREDITOR"/>
    <n v="0"/>
    <n v="0"/>
    <n v="0"/>
    <n v="0"/>
    <n v="43.07"/>
  </r>
  <r>
    <n v="61464958"/>
    <s v="N"/>
    <n v="21318984"/>
    <s v="3000015543270001"/>
    <s v="CIVIL"/>
    <d v="2023-06-23T00:00:00"/>
    <d v="2023-07-03T19:01:49"/>
    <m/>
    <d v="2023-07-03T00:00:00"/>
    <n v="194"/>
    <n v="12447"/>
    <s v="61464958"/>
    <s v="61464958"/>
    <m/>
    <m/>
    <n v="22755938"/>
    <m/>
    <m/>
    <m/>
    <s v="SOLFIN"/>
    <s v="SOLFIN"/>
    <s v="CCMS"/>
    <n v="21318984"/>
    <n v="2903.56"/>
    <m/>
    <s v="N"/>
    <n v="7"/>
    <d v="2023-07-03T19:02:05"/>
    <s v="Y"/>
    <s v="Preparation - other"/>
    <s v="Prescribed Hourly Rates"/>
    <s v="Profit Cost"/>
    <s v="FA"/>
    <s v="Y"/>
    <n v="17.23"/>
    <n v="3.45"/>
    <x v="3"/>
    <s v="VALIDATED"/>
    <n v="1"/>
    <s v="01.11.80.307.6100.0000"/>
    <n v="17.23"/>
    <s v="11"/>
    <s v="6100"/>
    <n v="34318.95"/>
    <n v="17.23"/>
    <s v="CREDITOR"/>
    <n v="0"/>
    <n v="0"/>
    <n v="0"/>
    <n v="0"/>
    <n v="17.23"/>
  </r>
  <r>
    <n v="62309851"/>
    <s v="N"/>
    <n v="21330932"/>
    <s v="3000016300730003"/>
    <s v="CIVIL"/>
    <d v="2023-06-28T00:00:00"/>
    <d v="2023-07-05T19:01:47"/>
    <m/>
    <d v="2023-07-05T00:00:00"/>
    <n v="194"/>
    <n v="12447"/>
    <s v="62309851"/>
    <s v="62309851"/>
    <m/>
    <m/>
    <n v="22775378"/>
    <m/>
    <m/>
    <m/>
    <s v="SOLFIN"/>
    <s v="SOLFIN"/>
    <s v="CCMS"/>
    <n v="21330932"/>
    <n v="4181.19"/>
    <m/>
    <s v="N"/>
    <n v="63"/>
    <d v="2023-07-05T19:01:57"/>
    <s v="Y"/>
    <s v="Preparation - other"/>
    <s v="Prescribed Hourly Rates"/>
    <s v="Profit Cost"/>
    <s v="MC"/>
    <s v="Y"/>
    <n v="91.48"/>
    <n v="18.3"/>
    <x v="6"/>
    <s v="VALIDATED"/>
    <n v="1"/>
    <s v="01.11.80.302.6100.0000"/>
    <n v="91.48"/>
    <s v="11"/>
    <s v="6100"/>
    <n v="34318.95"/>
    <n v="91.48"/>
    <s v="CREDITOR"/>
    <n v="0"/>
    <n v="0"/>
    <n v="0"/>
    <n v="0"/>
    <n v="91.48"/>
  </r>
  <r>
    <n v="62309851"/>
    <s v="N"/>
    <n v="21330932"/>
    <s v="3000016300730003"/>
    <s v="CIVIL"/>
    <d v="2023-06-28T00:00:00"/>
    <d v="2023-07-05T19:01:47"/>
    <m/>
    <d v="2023-07-05T00:00:00"/>
    <n v="194"/>
    <n v="12447"/>
    <s v="62309851"/>
    <s v="62309851"/>
    <m/>
    <m/>
    <n v="22775378"/>
    <m/>
    <m/>
    <m/>
    <s v="SOLFIN"/>
    <s v="SOLFIN"/>
    <s v="CCMS"/>
    <n v="21330932"/>
    <n v="4181.19"/>
    <m/>
    <s v="N"/>
    <n v="6"/>
    <d v="2023-07-05T19:01:57"/>
    <s v="Y"/>
    <s v="Preparation - other"/>
    <s v="Prescribed Hourly Rates"/>
    <s v="Profit Cost"/>
    <s v="SP"/>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42"/>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45"/>
    <d v="2023-07-04T19:00:48"/>
    <s v="Y"/>
    <s v="Attendance upon other"/>
    <s v="Prescribed Hourly Rates"/>
    <s v="Profit Cost"/>
    <s v="FAH"/>
    <s v="Y"/>
    <n v="24.95"/>
    <n v="4.99"/>
    <x v="1"/>
    <s v="VALIDATED"/>
    <n v="1"/>
    <s v="01.11.80.302.6100.0000"/>
    <n v="24.95"/>
    <s v="11"/>
    <s v="6100"/>
    <n v="34318.95"/>
    <n v="24.95"/>
    <s v="CREDITOR"/>
    <n v="0"/>
    <n v="0"/>
    <n v="0"/>
    <n v="0"/>
    <n v="24.95"/>
  </r>
  <r>
    <n v="61788720"/>
    <s v="N"/>
    <n v="21382042"/>
    <s v="3000015864570002"/>
    <s v="CIVIL"/>
    <d v="2023-06-28T00:00:00"/>
    <d v="2023-07-17T19:01:46"/>
    <m/>
    <d v="2023-07-17T00:00:00"/>
    <n v="194"/>
    <n v="12447"/>
    <s v="61788720"/>
    <s v="61788720"/>
    <m/>
    <m/>
    <n v="22781892"/>
    <m/>
    <m/>
    <m/>
    <s v="SOLFIN"/>
    <s v="SOLFIN"/>
    <s v="CCMS"/>
    <n v="21382042"/>
    <n v="4185.9"/>
    <m/>
    <s v="N"/>
    <n v="33"/>
    <d v="2023-07-17T19:02:00"/>
    <s v="Y"/>
    <s v="Preparation - other"/>
    <s v="Prescribed Hourly Rates"/>
    <s v="Profit Cost"/>
    <s v="FA"/>
    <s v="Y"/>
    <n v="41.58"/>
    <n v="8.32"/>
    <x v="8"/>
    <s v="VALIDATED"/>
    <n v="1"/>
    <s v="01.11.80.302.6100.0000"/>
    <n v="41.58"/>
    <s v="11"/>
    <s v="6100"/>
    <n v="34318.95"/>
    <n v="41.58"/>
    <s v="CREDITOR"/>
    <n v="0"/>
    <n v="0"/>
    <n v="0"/>
    <n v="0"/>
    <n v="41.58"/>
  </r>
  <r>
    <n v="61080230"/>
    <s v="N"/>
    <n v="21330559"/>
    <s v="3000015275730002"/>
    <s v="CIVIL"/>
    <d v="2023-06-23T00:00:00"/>
    <d v="2023-07-05T19:01:47"/>
    <m/>
    <d v="2023-07-05T00:00:00"/>
    <n v="194"/>
    <n v="12447"/>
    <s v="61080230"/>
    <s v="61080230"/>
    <m/>
    <m/>
    <n v="22755936"/>
    <m/>
    <m/>
    <m/>
    <s v="SOLFIN"/>
    <s v="SOLFIN"/>
    <s v="CCMS"/>
    <n v="21330559"/>
    <n v="3599.14"/>
    <m/>
    <s v="N"/>
    <n v="27"/>
    <d v="2023-07-05T19:01:51"/>
    <s v="Y"/>
    <s v="Preparation - other"/>
    <s v="Prescribed Hourly Rates"/>
    <s v="Profit Cost"/>
    <s v="DF1"/>
    <s v="Y"/>
    <n v="24.95"/>
    <n v="4.99"/>
    <x v="6"/>
    <s v="VALIDATED"/>
    <n v="1"/>
    <s v="01.11.80.302.6100.0000"/>
    <n v="24.95"/>
    <s v="11"/>
    <s v="6100"/>
    <n v="34318.95"/>
    <n v="24.95"/>
    <s v="CREDITOR"/>
    <n v="0"/>
    <n v="0"/>
    <n v="0"/>
    <n v="0"/>
    <n v="24.95"/>
  </r>
  <r>
    <n v="61080230"/>
    <s v="N"/>
    <n v="21330559"/>
    <s v="3000015275730002"/>
    <s v="CIVIL"/>
    <d v="2023-06-23T00:00:00"/>
    <d v="2023-07-05T19:01:47"/>
    <m/>
    <d v="2023-07-05T00:00:00"/>
    <n v="194"/>
    <n v="12447"/>
    <s v="61080230"/>
    <s v="61080230"/>
    <m/>
    <m/>
    <n v="22755936"/>
    <m/>
    <m/>
    <m/>
    <s v="SOLFIN"/>
    <s v="SOLFIN"/>
    <s v="CCMS"/>
    <n v="21330559"/>
    <n v="3599.14"/>
    <m/>
    <s v="N"/>
    <n v="29"/>
    <d v="2023-07-05T19:01:51"/>
    <s v="Y"/>
    <s v="Preparation - other"/>
    <s v="Prescribed Hourly Rates"/>
    <s v="Profit Cost"/>
    <s v="DF1"/>
    <s v="Y"/>
    <n v="141.37"/>
    <n v="28.27"/>
    <x v="6"/>
    <s v="VALIDATED"/>
    <n v="1"/>
    <s v="01.11.80.302.6100.0000"/>
    <n v="141.37"/>
    <s v="11"/>
    <s v="6100"/>
    <n v="34318.95"/>
    <n v="141.37"/>
    <s v="CREDITOR"/>
    <n v="0"/>
    <n v="0"/>
    <n v="0"/>
    <n v="0"/>
    <n v="141.37"/>
  </r>
  <r>
    <n v="62309851"/>
    <s v="N"/>
    <n v="21330932"/>
    <s v="3000016300730003"/>
    <s v="CIVIL"/>
    <d v="2023-06-28T00:00:00"/>
    <d v="2023-07-05T19:01:47"/>
    <m/>
    <d v="2023-07-05T00:00:00"/>
    <n v="194"/>
    <n v="12447"/>
    <s v="62309851"/>
    <s v="62309851"/>
    <m/>
    <m/>
    <n v="22775378"/>
    <m/>
    <m/>
    <m/>
    <s v="SOLFIN"/>
    <s v="SOLFIN"/>
    <s v="CCMS"/>
    <n v="21330932"/>
    <n v="4181.19"/>
    <m/>
    <s v="N"/>
    <n v="47"/>
    <d v="2023-07-05T19:01:57"/>
    <s v="Y"/>
    <s v="Attendance upon client"/>
    <s v="Prescribed Hourly Rates"/>
    <s v="Profit Cost"/>
    <s v="YR"/>
    <s v="Y"/>
    <n v="41.58"/>
    <n v="8.32"/>
    <x v="6"/>
    <s v="VALIDATED"/>
    <n v="1"/>
    <s v="01.11.80.302.6100.0000"/>
    <n v="41.58"/>
    <s v="11"/>
    <s v="6100"/>
    <n v="34318.95"/>
    <n v="41.58"/>
    <s v="CREDITOR"/>
    <n v="0"/>
    <n v="0"/>
    <n v="0"/>
    <n v="0"/>
    <n v="41.58"/>
  </r>
  <r>
    <n v="60678163"/>
    <s v="N"/>
    <n v="21327492"/>
    <s v="3000014928670004"/>
    <s v="CIVIL"/>
    <d v="2023-06-22T00:00:00"/>
    <d v="2023-07-04T19:00:44"/>
    <m/>
    <d v="2023-07-04T00:00:00"/>
    <n v="194"/>
    <n v="12447"/>
    <s v="60678163"/>
    <s v="60678163"/>
    <m/>
    <m/>
    <n v="22744814"/>
    <m/>
    <m/>
    <m/>
    <s v="SOLFIN"/>
    <s v="SOLFIN"/>
    <s v="CCMS"/>
    <n v="21327492"/>
    <n v="7348.42"/>
    <m/>
    <s v="N"/>
    <n v="94"/>
    <d v="2023-07-04T19:00:48"/>
    <s v="Y"/>
    <s v="Routine Letter Out"/>
    <s v="Prescribed Hourly Rates"/>
    <s v="Profit Cost"/>
    <s v="FAH"/>
    <s v="Y"/>
    <n v="650.16"/>
    <n v="130.04"/>
    <x v="1"/>
    <s v="VALIDATED"/>
    <n v="1"/>
    <s v="01.11.80.302.6100.0000"/>
    <n v="650.16"/>
    <s v="11"/>
    <s v="6100"/>
    <n v="34318.95"/>
    <n v="650.16"/>
    <s v="CREDITOR"/>
    <n v="0"/>
    <n v="0"/>
    <n v="0"/>
    <n v="0"/>
    <n v="650.16"/>
  </r>
  <r>
    <n v="60678163"/>
    <s v="N"/>
    <n v="21327492"/>
    <s v="3000014928670004"/>
    <s v="CIVIL"/>
    <d v="2023-06-22T00:00:00"/>
    <d v="2023-07-04T19:00:44"/>
    <m/>
    <d v="2023-07-04T00:00:00"/>
    <n v="194"/>
    <n v="12447"/>
    <s v="60678163"/>
    <s v="60678163"/>
    <m/>
    <m/>
    <n v="22744814"/>
    <m/>
    <m/>
    <m/>
    <s v="SOLFIN"/>
    <s v="SOLFIN"/>
    <s v="CCMS"/>
    <n v="21327492"/>
    <n v="7348.42"/>
    <m/>
    <s v="N"/>
    <n v="17"/>
    <d v="2023-07-04T19:00:48"/>
    <s v="Y"/>
    <s v="Preparation - other"/>
    <s v="Prescribed Hourly Rates"/>
    <s v="Profit Cost"/>
    <s v="FAH"/>
    <s v="Y"/>
    <n v="83.16"/>
    <n v="16.63"/>
    <x v="1"/>
    <s v="VALIDATED"/>
    <n v="1"/>
    <s v="01.11.80.302.6100.0000"/>
    <n v="83.16"/>
    <s v="11"/>
    <s v="6100"/>
    <n v="34318.95"/>
    <n v="83.16"/>
    <s v="CREDITOR"/>
    <n v="0"/>
    <n v="0"/>
    <n v="0"/>
    <n v="0"/>
    <n v="83.16"/>
  </r>
  <r>
    <n v="61080230"/>
    <s v="N"/>
    <n v="21330559"/>
    <s v="3000015275730002"/>
    <s v="CIVIL"/>
    <d v="2023-06-23T00:00:00"/>
    <d v="2023-07-05T19:01:47"/>
    <m/>
    <d v="2023-07-05T00:00:00"/>
    <n v="194"/>
    <n v="12447"/>
    <s v="61080230"/>
    <s v="61080230"/>
    <m/>
    <m/>
    <n v="22755936"/>
    <m/>
    <m/>
    <m/>
    <s v="SOLFIN"/>
    <s v="SOLFIN"/>
    <s v="CCMS"/>
    <n v="21330559"/>
    <n v="3599.14"/>
    <m/>
    <s v="N"/>
    <n v="6"/>
    <d v="2023-07-05T19:01:51"/>
    <s v="Y"/>
    <s v="Preparation - other"/>
    <s v="Prescribed Hourly Rates"/>
    <s v="Profit Cost"/>
    <s v="DF1"/>
    <s v="Y"/>
    <n v="66.53"/>
    <n v="13.3"/>
    <x v="6"/>
    <s v="VALIDATED"/>
    <n v="1"/>
    <s v="01.11.80.302.6100.0000"/>
    <n v="66.53"/>
    <s v="11"/>
    <s v="6100"/>
    <n v="34318.95"/>
    <n v="66.53"/>
    <s v="CREDITOR"/>
    <n v="0"/>
    <n v="0"/>
    <n v="0"/>
    <n v="0"/>
    <n v="66.53"/>
  </r>
  <r>
    <n v="61080230"/>
    <s v="N"/>
    <n v="21330559"/>
    <s v="3000015275730002"/>
    <s v="CIVIL"/>
    <d v="2023-06-23T00:00:00"/>
    <d v="2023-07-05T19:01:47"/>
    <m/>
    <d v="2023-07-05T00:00:00"/>
    <n v="194"/>
    <n v="12447"/>
    <s v="61080230"/>
    <s v="61080230"/>
    <m/>
    <m/>
    <n v="22755936"/>
    <m/>
    <m/>
    <m/>
    <s v="SOLFIN"/>
    <s v="SOLFIN"/>
    <s v="CCMS"/>
    <n v="21330559"/>
    <n v="3599.14"/>
    <m/>
    <s v="N"/>
    <n v="12"/>
    <d v="2023-07-05T19:01:51"/>
    <s v="Y"/>
    <s v="Attendance upon client"/>
    <s v="Prescribed Hourly Rates"/>
    <s v="Profit Cost"/>
    <s v="DF1"/>
    <s v="Y"/>
    <n v="16.63"/>
    <n v="3.33"/>
    <x v="6"/>
    <s v="VALIDATED"/>
    <n v="1"/>
    <s v="01.11.80.302.6100.0000"/>
    <n v="16.63"/>
    <s v="11"/>
    <s v="6100"/>
    <n v="34318.95"/>
    <n v="16.63"/>
    <s v="CREDITOR"/>
    <n v="0"/>
    <n v="0"/>
    <n v="0"/>
    <n v="0"/>
    <n v="16.63"/>
  </r>
  <r>
    <n v="61080230"/>
    <s v="N"/>
    <n v="21330559"/>
    <s v="3000015275730002"/>
    <s v="CIVIL"/>
    <d v="2023-06-23T00:00:00"/>
    <d v="2023-07-05T19:01:47"/>
    <m/>
    <d v="2023-07-05T00:00:00"/>
    <n v="194"/>
    <n v="12447"/>
    <s v="61080230"/>
    <s v="61080230"/>
    <m/>
    <m/>
    <n v="22755936"/>
    <m/>
    <m/>
    <m/>
    <s v="SOLFIN"/>
    <s v="SOLFIN"/>
    <s v="CCMS"/>
    <n v="21330559"/>
    <n v="3599.14"/>
    <m/>
    <s v="N"/>
    <n v="30"/>
    <d v="2023-07-05T19:01:51"/>
    <s v="Y"/>
    <s v="Preparation - other"/>
    <s v="Prescribed Hourly Rates"/>
    <s v="Profit Cost"/>
    <s v="DF1"/>
    <s v="Y"/>
    <n v="8.32"/>
    <n v="1.66"/>
    <x v="6"/>
    <s v="VALIDATED"/>
    <n v="1"/>
    <s v="01.11.80.302.6100.0000"/>
    <n v="8.32"/>
    <s v="11"/>
    <s v="6100"/>
    <n v="34318.95"/>
    <n v="8.32"/>
    <s v="CREDITOR"/>
    <n v="0"/>
    <n v="0"/>
    <n v="0"/>
    <n v="0"/>
    <n v="8.32"/>
  </r>
  <r>
    <n v="61080230"/>
    <s v="N"/>
    <n v="21330559"/>
    <s v="3000015275730002"/>
    <s v="CIVIL"/>
    <d v="2023-06-23T00:00:00"/>
    <d v="2023-07-05T19:01:47"/>
    <m/>
    <d v="2023-07-05T00:00:00"/>
    <n v="194"/>
    <n v="12447"/>
    <s v="61080230"/>
    <s v="61080230"/>
    <m/>
    <m/>
    <n v="22755936"/>
    <m/>
    <m/>
    <m/>
    <s v="SOLFIN"/>
    <s v="SOLFIN"/>
    <s v="CCMS"/>
    <n v="21330559"/>
    <n v="3599.14"/>
    <m/>
    <s v="N"/>
    <n v="35"/>
    <d v="2023-07-05T19:01:51"/>
    <s v="Y"/>
    <s v="Preparation - other"/>
    <s v="Prescribed Hourly Rates"/>
    <s v="Profit Cost"/>
    <s v="DF1"/>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90"/>
    <d v="2023-07-04T19:00:48"/>
    <s v="Y"/>
    <s v="Preparation - other"/>
    <s v="Prescribed Hourly Rates"/>
    <s v="Profit Cost"/>
    <s v="FAH"/>
    <s v="Y"/>
    <n v="91.48"/>
    <n v="18.3"/>
    <x v="1"/>
    <s v="VALIDATED"/>
    <n v="1"/>
    <s v="01.11.80.302.6100.0000"/>
    <n v="91.48"/>
    <s v="11"/>
    <s v="6100"/>
    <n v="34318.95"/>
    <n v="91.48"/>
    <s v="CREDITOR"/>
    <n v="0"/>
    <n v="0"/>
    <n v="0"/>
    <n v="0"/>
    <n v="91.48"/>
  </r>
  <r>
    <n v="60678163"/>
    <s v="N"/>
    <n v="21327492"/>
    <s v="3000014928670004"/>
    <s v="CIVIL"/>
    <d v="2023-06-22T00:00:00"/>
    <d v="2023-07-04T19:00:44"/>
    <m/>
    <d v="2023-07-04T00:00:00"/>
    <n v="194"/>
    <n v="12447"/>
    <s v="60678163"/>
    <s v="60678163"/>
    <m/>
    <m/>
    <n v="22744814"/>
    <m/>
    <m/>
    <m/>
    <s v="SOLFIN"/>
    <s v="SOLFIN"/>
    <s v="CCMS"/>
    <n v="21327492"/>
    <n v="7348.42"/>
    <m/>
    <s v="N"/>
    <n v="65"/>
    <d v="2023-07-04T19:00:48"/>
    <s v="Y"/>
    <s v="Preparation - other"/>
    <s v="Prescribed Hourly Rates"/>
    <s v="Profit Cost"/>
    <s v="FAH"/>
    <s v="Y"/>
    <n v="83.16"/>
    <n v="16.63"/>
    <x v="1"/>
    <s v="VALIDATED"/>
    <n v="1"/>
    <s v="01.11.80.302.6100.0000"/>
    <n v="83.16"/>
    <s v="11"/>
    <s v="6100"/>
    <n v="34318.95"/>
    <n v="83.16"/>
    <s v="CREDITOR"/>
    <n v="0"/>
    <n v="0"/>
    <n v="0"/>
    <n v="0"/>
    <n v="83.16"/>
  </r>
  <r>
    <n v="61788720"/>
    <s v="N"/>
    <n v="21382042"/>
    <s v="3000015864570002"/>
    <s v="CIVIL"/>
    <d v="2023-06-28T00:00:00"/>
    <d v="2023-07-17T19:01:46"/>
    <m/>
    <d v="2023-07-17T00:00:00"/>
    <n v="194"/>
    <n v="12447"/>
    <s v="61788720"/>
    <s v="61788720"/>
    <m/>
    <m/>
    <n v="22781892"/>
    <m/>
    <m/>
    <m/>
    <s v="SOLFIN"/>
    <s v="SOLFIN"/>
    <s v="CCMS"/>
    <n v="21382042"/>
    <n v="4185.9"/>
    <m/>
    <s v="N"/>
    <n v="17"/>
    <d v="2023-07-17T19:02:00"/>
    <s v="Y"/>
    <s v="Preparation - other"/>
    <s v="Prescribed Hourly Rates"/>
    <s v="Profit Cost"/>
    <s v="FH"/>
    <s v="Y"/>
    <n v="66.53"/>
    <n v="13.31"/>
    <x v="8"/>
    <s v="VALIDATED"/>
    <n v="1"/>
    <s v="01.11.80.302.6100.0000"/>
    <n v="66.53"/>
    <s v="11"/>
    <s v="6100"/>
    <n v="34318.95"/>
    <n v="66.53"/>
    <s v="CREDITOR"/>
    <n v="0"/>
    <n v="0"/>
    <n v="0"/>
    <n v="0"/>
    <n v="66.53"/>
  </r>
  <r>
    <n v="61788720"/>
    <s v="N"/>
    <n v="21382042"/>
    <s v="3000015864570002"/>
    <s v="CIVIL"/>
    <d v="2023-06-28T00:00:00"/>
    <d v="2023-07-17T19:01:46"/>
    <m/>
    <d v="2023-07-17T00:00:00"/>
    <n v="194"/>
    <n v="12447"/>
    <s v="61788720"/>
    <s v="61788720"/>
    <m/>
    <m/>
    <n v="22781892"/>
    <m/>
    <m/>
    <m/>
    <s v="SOLFIN"/>
    <s v="SOLFIN"/>
    <s v="CCMS"/>
    <n v="21382042"/>
    <n v="4185.9"/>
    <m/>
    <s v="N"/>
    <n v="24"/>
    <d v="2023-07-17T19:02:00"/>
    <s v="Y"/>
    <s v="Preparation - other"/>
    <s v="Prescribed Hourly Rates"/>
    <s v="Profit Cost"/>
    <s v="FH"/>
    <s v="Y"/>
    <n v="8.32"/>
    <n v="1.66"/>
    <x v="8"/>
    <s v="VALIDATED"/>
    <n v="1"/>
    <s v="01.11.80.302.6100.0000"/>
    <n v="8.32"/>
    <s v="11"/>
    <s v="6100"/>
    <n v="34318.95"/>
    <n v="8.32"/>
    <s v="CREDITOR"/>
    <n v="0"/>
    <n v="0"/>
    <n v="0"/>
    <n v="0"/>
    <n v="8.32"/>
  </r>
  <r>
    <n v="61524785"/>
    <s v="N"/>
    <n v="21360488"/>
    <s v="3000015604540002"/>
    <s v="CIVIL"/>
    <d v="2023-06-26T00:00:00"/>
    <d v="2023-07-11T11:50:54"/>
    <m/>
    <d v="2023-07-11T00:00:00"/>
    <n v="194"/>
    <n v="12447"/>
    <s v="61524785"/>
    <s v="61524785"/>
    <m/>
    <m/>
    <n v="22762458"/>
    <m/>
    <m/>
    <m/>
    <s v="SOLFIN"/>
    <s v="SOLFIN"/>
    <s v="CCMS"/>
    <n v="21360488"/>
    <n v="849.6"/>
    <m/>
    <s v="N"/>
    <n v="2"/>
    <d v="2023-07-11T11:51:06"/>
    <s v="Y"/>
    <s v="Level 4 Fixed Fee"/>
    <s v="Domestic Abuse"/>
    <s v="Profit Cost"/>
    <s v="KK"/>
    <s v="Y"/>
    <n v="608"/>
    <n v="121.6"/>
    <x v="7"/>
    <s v="VALIDATED"/>
    <n v="1"/>
    <s v="01.11.80.302.6100.0000"/>
    <n v="608"/>
    <s v="11"/>
    <s v="6100"/>
    <n v="34318.95"/>
    <n v="608"/>
    <s v="CREDITOR"/>
    <n v="0"/>
    <n v="0"/>
    <n v="0"/>
    <n v="0"/>
    <n v="608"/>
  </r>
  <r>
    <n v="62260478"/>
    <s v="N"/>
    <n v="21330952"/>
    <s v="3000016258320003"/>
    <s v="CIVIL"/>
    <d v="2023-06-28T00:00:00"/>
    <d v="2023-07-05T19:01:47"/>
    <m/>
    <d v="2023-07-05T00:00:00"/>
    <n v="194"/>
    <n v="12447"/>
    <s v="62260478"/>
    <s v="62260478"/>
    <m/>
    <m/>
    <n v="22775374"/>
    <m/>
    <m/>
    <m/>
    <s v="SOLFIN"/>
    <s v="SOLFIN"/>
    <s v="CCMS"/>
    <n v="21330952"/>
    <n v="3936.68"/>
    <m/>
    <s v="N"/>
    <n v="57"/>
    <d v="2023-07-05T19:01:59"/>
    <s v="Y"/>
    <s v="Preparation - other"/>
    <s v="Prescribed Hourly Rates"/>
    <s v="Profit Cost"/>
    <s v="DB"/>
    <s v="Y"/>
    <n v="8.32"/>
    <n v="1.66"/>
    <x v="6"/>
    <s v="VALIDATED"/>
    <n v="1"/>
    <s v="01.11.80.302.6100.0000"/>
    <n v="8.32"/>
    <s v="11"/>
    <s v="6100"/>
    <n v="34318.95"/>
    <n v="8.32"/>
    <s v="CREDITOR"/>
    <n v="0"/>
    <n v="0"/>
    <n v="0"/>
    <n v="0"/>
    <n v="8.32"/>
  </r>
  <r>
    <n v="62309851"/>
    <s v="N"/>
    <n v="21330932"/>
    <s v="3000016300730003"/>
    <s v="CIVIL"/>
    <d v="2023-06-28T00:00:00"/>
    <d v="2023-07-05T19:01:47"/>
    <m/>
    <d v="2023-07-05T00:00:00"/>
    <n v="194"/>
    <n v="12447"/>
    <s v="62309851"/>
    <s v="62309851"/>
    <m/>
    <m/>
    <n v="22775378"/>
    <m/>
    <m/>
    <m/>
    <s v="SOLFIN"/>
    <s v="SOLFIN"/>
    <s v="CCMS"/>
    <n v="21330932"/>
    <n v="4181.19"/>
    <m/>
    <s v="N"/>
    <n v="42"/>
    <d v="2023-07-05T19:01:57"/>
    <s v="Y"/>
    <s v="Preparation - other"/>
    <s v="Prescribed Hourly Rates"/>
    <s v="Profit Cost"/>
    <s v="YR"/>
    <s v="Y"/>
    <n v="8.32"/>
    <n v="1.66"/>
    <x v="6"/>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26"/>
    <d v="2023-07-04T19:00:48"/>
    <s v="Y"/>
    <s v="Attendance upon client"/>
    <s v="Prescribed Hourly Rates"/>
    <s v="Profit Cost"/>
    <s v="NAB"/>
    <s v="Y"/>
    <n v="16.63"/>
    <n v="3.33"/>
    <x v="1"/>
    <s v="VALIDATED"/>
    <n v="1"/>
    <s v="01.11.80.302.6100.0000"/>
    <n v="16.63"/>
    <s v="11"/>
    <s v="6100"/>
    <n v="34318.95"/>
    <n v="16.63"/>
    <s v="CREDITOR"/>
    <n v="0"/>
    <n v="0"/>
    <n v="0"/>
    <n v="0"/>
    <n v="16.63"/>
  </r>
  <r>
    <n v="61788720"/>
    <s v="N"/>
    <n v="21382042"/>
    <s v="3000015864570002"/>
    <s v="CIVIL"/>
    <d v="2023-06-28T00:00:00"/>
    <d v="2023-07-17T19:01:46"/>
    <m/>
    <d v="2023-07-17T00:00:00"/>
    <n v="194"/>
    <n v="12447"/>
    <s v="61788720"/>
    <s v="61788720"/>
    <m/>
    <m/>
    <n v="22781892"/>
    <m/>
    <m/>
    <m/>
    <s v="SOLFIN"/>
    <s v="SOLFIN"/>
    <s v="CCMS"/>
    <n v="21382042"/>
    <n v="4185.9"/>
    <m/>
    <s v="N"/>
    <n v="27"/>
    <d v="2023-07-17T19:02:00"/>
    <s v="Y"/>
    <s v="Preparation - other"/>
    <s v="Prescribed Hourly Rates"/>
    <s v="Profit Cost"/>
    <s v="FH"/>
    <s v="Y"/>
    <n v="66.53"/>
    <n v="13.31"/>
    <x v="8"/>
    <s v="VALIDATED"/>
    <n v="1"/>
    <s v="01.11.80.302.6100.0000"/>
    <n v="66.53"/>
    <s v="11"/>
    <s v="6100"/>
    <n v="34318.95"/>
    <n v="66.53"/>
    <s v="CREDITOR"/>
    <n v="0"/>
    <n v="0"/>
    <n v="0"/>
    <n v="0"/>
    <n v="66.53"/>
  </r>
  <r>
    <n v="61788720"/>
    <s v="N"/>
    <n v="21382042"/>
    <s v="3000015864570002"/>
    <s v="CIVIL"/>
    <d v="2023-06-28T00:00:00"/>
    <d v="2023-07-17T19:01:46"/>
    <m/>
    <d v="2023-07-17T00:00:00"/>
    <n v="194"/>
    <n v="12447"/>
    <s v="61788720"/>
    <s v="61788720"/>
    <m/>
    <m/>
    <n v="22781892"/>
    <m/>
    <m/>
    <m/>
    <s v="SOLFIN"/>
    <s v="SOLFIN"/>
    <s v="CCMS"/>
    <n v="21382042"/>
    <n v="4185.9"/>
    <m/>
    <s v="N"/>
    <n v="37"/>
    <d v="2023-07-17T19:02:00"/>
    <s v="Y"/>
    <s v="Preparation - other"/>
    <s v="Prescribed Hourly Rates"/>
    <s v="Profit Cost"/>
    <s v="FH"/>
    <s v="Y"/>
    <n v="207.9"/>
    <n v="41.58"/>
    <x v="8"/>
    <s v="VALIDATED"/>
    <n v="1"/>
    <s v="01.11.80.302.6100.0000"/>
    <n v="207.9"/>
    <s v="11"/>
    <s v="6100"/>
    <n v="34318.95"/>
    <n v="207.9"/>
    <s v="CREDITOR"/>
    <n v="0"/>
    <n v="0"/>
    <n v="0"/>
    <n v="0"/>
    <n v="207.9"/>
  </r>
  <r>
    <n v="61080230"/>
    <s v="N"/>
    <n v="21330559"/>
    <s v="3000015275730002"/>
    <s v="CIVIL"/>
    <d v="2023-06-23T00:00:00"/>
    <d v="2023-07-05T19:01:47"/>
    <m/>
    <d v="2023-07-05T00:00:00"/>
    <n v="194"/>
    <n v="12447"/>
    <s v="61080230"/>
    <s v="61080230"/>
    <m/>
    <m/>
    <n v="22755936"/>
    <m/>
    <m/>
    <m/>
    <s v="SOLFIN"/>
    <s v="SOLFIN"/>
    <s v="CCMS"/>
    <n v="21330559"/>
    <n v="3599.14"/>
    <m/>
    <s v="N"/>
    <n v="42"/>
    <d v="2023-07-05T19:01:51"/>
    <s v="Y"/>
    <s v="Preparation - other"/>
    <s v="Prescribed Hourly Rates"/>
    <s v="Profit Cost"/>
    <s v="DF1"/>
    <s v="Y"/>
    <n v="99.79000000000001"/>
    <n v="19.96"/>
    <x v="6"/>
    <s v="VALIDATED"/>
    <n v="1"/>
    <s v="01.11.80.302.6100.0000"/>
    <n v="99.79000000000001"/>
    <s v="11"/>
    <s v="6100"/>
    <n v="34318.95"/>
    <n v="99.79000000000001"/>
    <s v="CREDITOR"/>
    <n v="0"/>
    <n v="0"/>
    <n v="0"/>
    <n v="0"/>
    <n v="99.79000000000001"/>
  </r>
  <r>
    <n v="62309851"/>
    <s v="N"/>
    <n v="21330932"/>
    <s v="3000016300730003"/>
    <s v="CIVIL"/>
    <d v="2023-06-28T00:00:00"/>
    <d v="2023-07-05T19:01:47"/>
    <m/>
    <d v="2023-07-05T00:00:00"/>
    <n v="194"/>
    <n v="12447"/>
    <s v="62309851"/>
    <s v="62309851"/>
    <m/>
    <m/>
    <n v="22775378"/>
    <m/>
    <m/>
    <m/>
    <s v="SOLFIN"/>
    <s v="SOLFIN"/>
    <s v="CCMS"/>
    <n v="21330932"/>
    <n v="4181.19"/>
    <m/>
    <s v="N"/>
    <n v="31"/>
    <d v="2023-07-05T19:01:57"/>
    <s v="Y"/>
    <s v="Attendance upon client"/>
    <s v="Prescribed Hourly Rates"/>
    <s v="Profit Cost"/>
    <s v="YR"/>
    <s v="Y"/>
    <n v="8.32"/>
    <n v="1.66"/>
    <x v="6"/>
    <s v="VALIDATED"/>
    <n v="1"/>
    <s v="01.11.80.302.6100.0000"/>
    <n v="8.32"/>
    <s v="11"/>
    <s v="6100"/>
    <n v="34318.95"/>
    <n v="8.32"/>
    <s v="CREDITOR"/>
    <n v="0"/>
    <n v="0"/>
    <n v="0"/>
    <n v="0"/>
    <n v="8.32"/>
  </r>
  <r>
    <n v="62260478"/>
    <s v="N"/>
    <n v="21330952"/>
    <s v="3000016258320003"/>
    <s v="CIVIL"/>
    <d v="2023-06-28T00:00:00"/>
    <d v="2023-07-05T19:01:47"/>
    <m/>
    <d v="2023-07-05T00:00:00"/>
    <n v="194"/>
    <n v="12447"/>
    <s v="62260478"/>
    <s v="62260478"/>
    <m/>
    <m/>
    <n v="22775374"/>
    <m/>
    <m/>
    <m/>
    <s v="SOLFIN"/>
    <s v="SOLFIN"/>
    <s v="CCMS"/>
    <n v="21330952"/>
    <n v="3936.68"/>
    <m/>
    <s v="N"/>
    <n v="6"/>
    <d v="2023-07-05T19:01:59"/>
    <s v="Y"/>
    <s v="Preparation - other"/>
    <s v="Prescribed Hourly Rates"/>
    <s v="Profit Cost"/>
    <s v="QS"/>
    <s v="Y"/>
    <n v="66.53"/>
    <n v="13.31"/>
    <x v="6"/>
    <s v="VALIDATED"/>
    <n v="1"/>
    <s v="01.11.80.302.6100.0000"/>
    <n v="66.53"/>
    <s v="11"/>
    <s v="6100"/>
    <n v="34318.95"/>
    <n v="66.53"/>
    <s v="CREDITOR"/>
    <n v="0"/>
    <n v="0"/>
    <n v="0"/>
    <n v="0"/>
    <n v="66.53"/>
  </r>
  <r>
    <n v="60678163"/>
    <s v="N"/>
    <n v="21327492"/>
    <s v="3000014928670004"/>
    <s v="CIVIL"/>
    <d v="2023-06-22T00:00:00"/>
    <d v="2023-07-04T19:00:44"/>
    <m/>
    <d v="2023-07-04T00:00:00"/>
    <n v="194"/>
    <n v="12447"/>
    <s v="60678163"/>
    <s v="60678163"/>
    <m/>
    <m/>
    <n v="22744814"/>
    <m/>
    <m/>
    <m/>
    <s v="SOLFIN"/>
    <s v="SOLFIN"/>
    <s v="CCMS"/>
    <n v="21327492"/>
    <n v="7348.42"/>
    <m/>
    <s v="N"/>
    <n v="39"/>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71"/>
    <d v="2023-07-04T19:00:48"/>
    <s v="Y"/>
    <s v="Preparation - other"/>
    <s v="Prescribed Hourly Rates"/>
    <s v="Profit Cost"/>
    <s v="FAH"/>
    <s v="Y"/>
    <n v="74.84"/>
    <n v="14.97"/>
    <x v="1"/>
    <s v="VALIDATED"/>
    <n v="1"/>
    <s v="01.11.80.302.6100.0000"/>
    <n v="74.84"/>
    <s v="11"/>
    <s v="6100"/>
    <n v="34318.95"/>
    <n v="74.84"/>
    <s v="CREDITOR"/>
    <n v="0"/>
    <n v="0"/>
    <n v="0"/>
    <n v="0"/>
    <n v="74.84"/>
  </r>
  <r>
    <n v="62260478"/>
    <s v="N"/>
    <n v="21330952"/>
    <s v="3000016258320003"/>
    <s v="CIVIL"/>
    <d v="2023-06-28T00:00:00"/>
    <d v="2023-07-05T19:01:47"/>
    <m/>
    <d v="2023-07-05T00:00:00"/>
    <n v="194"/>
    <n v="12447"/>
    <s v="62260478"/>
    <s v="62260478"/>
    <m/>
    <m/>
    <n v="22775374"/>
    <m/>
    <m/>
    <m/>
    <s v="SOLFIN"/>
    <s v="SOLFIN"/>
    <s v="CCMS"/>
    <n v="21330952"/>
    <n v="3936.68"/>
    <m/>
    <s v="N"/>
    <n v="25"/>
    <d v="2023-07-05T19:01:59"/>
    <s v="Y"/>
    <s v="Preparation - other"/>
    <s v="Prescribed Hourly Rates"/>
    <s v="Profit Cost"/>
    <s v="DB"/>
    <s v="Y"/>
    <n v="16.63"/>
    <n v="3.33"/>
    <x v="6"/>
    <s v="VALIDATED"/>
    <n v="1"/>
    <s v="01.11.80.302.6100.0000"/>
    <n v="16.63"/>
    <s v="11"/>
    <s v="6100"/>
    <n v="34318.95"/>
    <n v="16.63"/>
    <s v="CREDITOR"/>
    <n v="0"/>
    <n v="0"/>
    <n v="0"/>
    <n v="0"/>
    <n v="16.63"/>
  </r>
  <r>
    <n v="62260478"/>
    <s v="N"/>
    <n v="21330952"/>
    <s v="3000016258320003"/>
    <s v="CIVIL"/>
    <d v="2023-06-28T00:00:00"/>
    <d v="2023-07-05T19:01:47"/>
    <m/>
    <d v="2023-07-05T00:00:00"/>
    <n v="194"/>
    <n v="12447"/>
    <s v="62260478"/>
    <s v="62260478"/>
    <m/>
    <m/>
    <n v="22775374"/>
    <m/>
    <m/>
    <m/>
    <s v="SOLFIN"/>
    <s v="SOLFIN"/>
    <s v="CCMS"/>
    <n v="21330952"/>
    <n v="3936.68"/>
    <m/>
    <s v="N"/>
    <n v="26"/>
    <d v="2023-07-05T19:01:59"/>
    <s v="Y"/>
    <s v="Preparation - other"/>
    <s v="Prescribed Hourly Rates"/>
    <s v="Profit Cost"/>
    <s v="DB"/>
    <s v="Y"/>
    <n v="33.26"/>
    <n v="6.65"/>
    <x v="6"/>
    <s v="VALIDATED"/>
    <n v="1"/>
    <s v="01.11.80.302.6100.0000"/>
    <n v="33.26"/>
    <s v="11"/>
    <s v="6100"/>
    <n v="34318.95"/>
    <n v="33.26"/>
    <s v="CREDITOR"/>
    <n v="0"/>
    <n v="0"/>
    <n v="0"/>
    <n v="0"/>
    <n v="33.26"/>
  </r>
  <r>
    <n v="62260478"/>
    <s v="N"/>
    <n v="21330952"/>
    <s v="3000016258320003"/>
    <s v="CIVIL"/>
    <d v="2023-06-28T00:00:00"/>
    <d v="2023-07-05T19:01:47"/>
    <m/>
    <d v="2023-07-05T00:00:00"/>
    <n v="194"/>
    <n v="12447"/>
    <s v="62260478"/>
    <s v="62260478"/>
    <m/>
    <m/>
    <n v="22775374"/>
    <m/>
    <m/>
    <m/>
    <s v="SOLFIN"/>
    <s v="SOLFIN"/>
    <s v="CCMS"/>
    <n v="21330952"/>
    <n v="3936.68"/>
    <m/>
    <s v="N"/>
    <n v="38"/>
    <d v="2023-07-05T19:01:59"/>
    <s v="Y"/>
    <s v="Preparation - other"/>
    <s v="Prescribed Hourly Rates"/>
    <s v="Profit Cost"/>
    <s v="DB"/>
    <s v="Y"/>
    <n v="8.32"/>
    <n v="1.66"/>
    <x v="6"/>
    <s v="VALIDATED"/>
    <n v="1"/>
    <s v="01.11.80.302.6100.0000"/>
    <n v="8.32"/>
    <s v="11"/>
    <s v="6100"/>
    <n v="34318.95"/>
    <n v="8.32"/>
    <s v="CREDITOR"/>
    <n v="0"/>
    <n v="0"/>
    <n v="0"/>
    <n v="0"/>
    <n v="8.32"/>
  </r>
  <r>
    <n v="61788720"/>
    <s v="N"/>
    <n v="21382042"/>
    <s v="3000015864570002"/>
    <s v="CIVIL"/>
    <d v="2023-06-28T00:00:00"/>
    <d v="2023-07-17T19:01:46"/>
    <m/>
    <d v="2023-07-17T00:00:00"/>
    <n v="194"/>
    <n v="12447"/>
    <s v="61788720"/>
    <s v="61788720"/>
    <m/>
    <m/>
    <n v="22781892"/>
    <m/>
    <m/>
    <m/>
    <s v="SOLFIN"/>
    <s v="SOLFIN"/>
    <s v="CCMS"/>
    <n v="21382042"/>
    <n v="4185.9"/>
    <m/>
    <s v="N"/>
    <n v="9"/>
    <d v="2023-07-17T19:02:00"/>
    <s v="Y"/>
    <s v="Preparation - other"/>
    <s v="Prescribed Hourly Rates"/>
    <s v="Profit Cost"/>
    <s v="FH"/>
    <s v="Y"/>
    <n v="8.32"/>
    <n v="1.66"/>
    <x v="8"/>
    <s v="VALIDATED"/>
    <n v="1"/>
    <s v="01.11.80.302.6100.0000"/>
    <n v="8.32"/>
    <s v="11"/>
    <s v="6100"/>
    <n v="34318.95"/>
    <n v="8.32"/>
    <s v="CREDITOR"/>
    <n v="0"/>
    <n v="0"/>
    <n v="0"/>
    <n v="0"/>
    <n v="8.32"/>
  </r>
  <r>
    <n v="61130472"/>
    <s v="N"/>
    <n v="21382407"/>
    <s v="3000015317490003"/>
    <s v="CIVIL"/>
    <d v="2023-06-28T00:00:00"/>
    <d v="2023-07-17T19:01:46"/>
    <m/>
    <d v="2023-07-17T00:00:00"/>
    <n v="194"/>
    <n v="12447"/>
    <s v="61130472"/>
    <s v="61130472"/>
    <m/>
    <m/>
    <n v="22775508"/>
    <m/>
    <m/>
    <m/>
    <s v="SOLFIN"/>
    <s v="SOLFIN"/>
    <s v="CCMS"/>
    <n v="21382407"/>
    <n v="4109"/>
    <m/>
    <s v="N"/>
    <n v="10"/>
    <d v="2023-07-17T19:02:09"/>
    <s v="Y"/>
    <s v="Preparation - other"/>
    <s v="Prescribed Hourly Rates"/>
    <s v="Profit Cost"/>
    <s v="FAH"/>
    <s v="Y"/>
    <n v="149.69"/>
    <n v="29.94"/>
    <x v="8"/>
    <s v="VALIDATED"/>
    <n v="1"/>
    <s v="01.11.80.302.6100.0000"/>
    <n v="149.69"/>
    <s v="11"/>
    <s v="6100"/>
    <n v="34318.95"/>
    <n v="149.69"/>
    <s v="CREDITOR"/>
    <n v="0"/>
    <n v="0"/>
    <n v="0"/>
    <n v="0"/>
    <n v="149.69"/>
  </r>
  <r>
    <n v="61080230"/>
    <s v="N"/>
    <n v="21330559"/>
    <s v="3000015275730002"/>
    <s v="CIVIL"/>
    <d v="2023-06-23T00:00:00"/>
    <d v="2023-07-05T19:01:47"/>
    <m/>
    <d v="2023-07-05T00:00:00"/>
    <n v="194"/>
    <n v="12447"/>
    <s v="61080230"/>
    <s v="61080230"/>
    <m/>
    <m/>
    <n v="22755936"/>
    <m/>
    <m/>
    <m/>
    <s v="SOLFIN"/>
    <s v="SOLFIN"/>
    <s v="CCMS"/>
    <n v="21330559"/>
    <n v="3599.14"/>
    <m/>
    <s v="N"/>
    <n v="26"/>
    <d v="2023-07-05T19:01:51"/>
    <s v="Y"/>
    <s v="Preparation - other"/>
    <s v="Prescribed Hourly Rates"/>
    <s v="Profit Cost"/>
    <s v="DF1"/>
    <s v="Y"/>
    <n v="16.63"/>
    <n v="3.33"/>
    <x v="6"/>
    <s v="VALIDATED"/>
    <n v="1"/>
    <s v="01.11.80.302.6100.0000"/>
    <n v="16.63"/>
    <s v="11"/>
    <s v="6100"/>
    <n v="34318.95"/>
    <n v="16.63"/>
    <s v="CREDITOR"/>
    <n v="0"/>
    <n v="0"/>
    <n v="0"/>
    <n v="0"/>
    <n v="16.63"/>
  </r>
  <r>
    <n v="62309851"/>
    <s v="N"/>
    <n v="21330932"/>
    <s v="3000016300730003"/>
    <s v="CIVIL"/>
    <d v="2023-06-28T00:00:00"/>
    <d v="2023-07-05T19:01:47"/>
    <m/>
    <d v="2023-07-05T00:00:00"/>
    <n v="194"/>
    <n v="12447"/>
    <s v="62309851"/>
    <s v="62309851"/>
    <m/>
    <m/>
    <n v="22775378"/>
    <m/>
    <m/>
    <m/>
    <s v="SOLFIN"/>
    <s v="SOLFIN"/>
    <s v="CCMS"/>
    <n v="21330932"/>
    <n v="4181.19"/>
    <m/>
    <s v="N"/>
    <n v="65"/>
    <d v="2023-07-05T19:01:57"/>
    <s v="Y"/>
    <s v="Preparation - drafting bill/claim f"/>
    <s v="Prescribed Hourly Rates"/>
    <s v="Profit Cost"/>
    <s v="CD"/>
    <s v="Y"/>
    <n v="332.64"/>
    <n v="66.53"/>
    <x v="6"/>
    <s v="VALIDATED"/>
    <n v="1"/>
    <s v="01.11.80.302.6100.0000"/>
    <n v="332.64"/>
    <s v="11"/>
    <s v="6100"/>
    <n v="34318.95"/>
    <n v="332.64"/>
    <s v="CREDITOR"/>
    <n v="0"/>
    <n v="0"/>
    <n v="0"/>
    <n v="0"/>
    <n v="332.64"/>
  </r>
  <r>
    <n v="62309851"/>
    <s v="N"/>
    <n v="21330932"/>
    <s v="3000016300730003"/>
    <s v="CIVIL"/>
    <d v="2023-06-28T00:00:00"/>
    <d v="2023-07-05T19:01:47"/>
    <m/>
    <d v="2023-07-05T00:00:00"/>
    <n v="194"/>
    <n v="12447"/>
    <s v="62309851"/>
    <s v="62309851"/>
    <m/>
    <m/>
    <n v="22775378"/>
    <m/>
    <m/>
    <m/>
    <s v="SOLFIN"/>
    <s v="SOLFIN"/>
    <s v="CCMS"/>
    <n v="21330932"/>
    <n v="4181.19"/>
    <m/>
    <s v="N"/>
    <n v="66"/>
    <d v="2023-07-05T19:01:57"/>
    <s v="Y"/>
    <s v="Routine Telephone Call"/>
    <s v="Prescribed Hourly Rates"/>
    <s v="Profit Cost"/>
    <s v="YR"/>
    <s v="Y"/>
    <n v="22.68"/>
    <n v="4.54"/>
    <x v="6"/>
    <s v="VALIDATED"/>
    <n v="1"/>
    <s v="01.11.80.302.6100.0000"/>
    <n v="22.68"/>
    <s v="11"/>
    <s v="6100"/>
    <n v="34318.95"/>
    <n v="22.68"/>
    <s v="CREDITOR"/>
    <n v="0"/>
    <n v="0"/>
    <n v="0"/>
    <n v="0"/>
    <n v="22.68"/>
  </r>
  <r>
    <n v="62260478"/>
    <s v="N"/>
    <n v="21330952"/>
    <s v="3000016258320003"/>
    <s v="CIVIL"/>
    <d v="2023-06-28T00:00:00"/>
    <d v="2023-07-05T19:01:47"/>
    <m/>
    <d v="2023-07-05T00:00:00"/>
    <n v="194"/>
    <n v="12447"/>
    <s v="62260478"/>
    <s v="62260478"/>
    <m/>
    <m/>
    <n v="22775374"/>
    <m/>
    <m/>
    <m/>
    <s v="SOLFIN"/>
    <s v="SOLFIN"/>
    <s v="CCMS"/>
    <n v="21330952"/>
    <n v="3936.68"/>
    <m/>
    <s v="N"/>
    <n v="41"/>
    <d v="2023-07-05T19:01:59"/>
    <s v="Y"/>
    <s v="Preparation - other"/>
    <s v="Prescribed Hourly Rates"/>
    <s v="Profit Cost"/>
    <s v="DB"/>
    <s v="Y"/>
    <n v="24.95"/>
    <n v="4.99"/>
    <x v="6"/>
    <s v="VALIDATED"/>
    <n v="1"/>
    <s v="01.11.80.302.6100.0000"/>
    <n v="24.95"/>
    <s v="11"/>
    <s v="6100"/>
    <n v="34318.95"/>
    <n v="24.95"/>
    <s v="CREDITOR"/>
    <n v="0"/>
    <n v="0"/>
    <n v="0"/>
    <n v="0"/>
    <n v="24.95"/>
  </r>
  <r>
    <n v="61464958"/>
    <s v="N"/>
    <n v="21318984"/>
    <s v="3000015543270001"/>
    <s v="CIVIL"/>
    <d v="2023-06-23T00:00:00"/>
    <d v="2023-07-03T19:01:49"/>
    <m/>
    <d v="2023-07-03T00:00:00"/>
    <n v="194"/>
    <n v="12447"/>
    <s v="61464958"/>
    <s v="61464958"/>
    <m/>
    <m/>
    <n v="22755938"/>
    <m/>
    <m/>
    <m/>
    <s v="SOLFIN"/>
    <s v="SOLFIN"/>
    <s v="CCMS"/>
    <n v="21318984"/>
    <n v="2903.56"/>
    <m/>
    <s v="N"/>
    <n v="30"/>
    <d v="2023-07-03T19:02:05"/>
    <s v="Y"/>
    <s v="Preparation - drafting bill/claim f"/>
    <s v="Prescribed Hourly Rates"/>
    <s v="Profit Cost"/>
    <s v="CD"/>
    <s v="Y"/>
    <n v="301.46"/>
    <n v="60.29"/>
    <x v="3"/>
    <s v="VALIDATED"/>
    <n v="1"/>
    <s v="01.11.80.307.6100.0000"/>
    <n v="301.46"/>
    <s v="11"/>
    <s v="6100"/>
    <n v="34318.95"/>
    <n v="301.46"/>
    <s v="CREDITOR"/>
    <n v="0"/>
    <n v="0"/>
    <n v="0"/>
    <n v="0"/>
    <n v="301.46"/>
  </r>
  <r>
    <n v="61080230"/>
    <s v="N"/>
    <n v="21330559"/>
    <s v="3000015275730002"/>
    <s v="CIVIL"/>
    <d v="2023-06-23T00:00:00"/>
    <d v="2023-07-05T19:01:47"/>
    <m/>
    <d v="2023-07-05T00:00:00"/>
    <n v="194"/>
    <n v="12447"/>
    <s v="61080230"/>
    <s v="61080230"/>
    <m/>
    <m/>
    <n v="22755936"/>
    <m/>
    <m/>
    <m/>
    <s v="SOLFIN"/>
    <s v="SOLFIN"/>
    <s v="CCMS"/>
    <n v="21330559"/>
    <n v="3599.14"/>
    <m/>
    <s v="N"/>
    <n v="34"/>
    <d v="2023-07-05T19:01:51"/>
    <s v="Y"/>
    <s v="Preparation - other"/>
    <s v="Prescribed Hourly Rates"/>
    <s v="Profit Cost"/>
    <s v="DF1"/>
    <s v="Y"/>
    <n v="24.95"/>
    <n v="4.99"/>
    <x v="6"/>
    <s v="VALIDATED"/>
    <n v="1"/>
    <s v="01.11.80.302.6100.0000"/>
    <n v="24.95"/>
    <s v="11"/>
    <s v="6100"/>
    <n v="34318.95"/>
    <n v="24.95"/>
    <s v="CREDITOR"/>
    <n v="0"/>
    <n v="0"/>
    <n v="0"/>
    <n v="0"/>
    <n v="24.95"/>
  </r>
  <r>
    <n v="61080230"/>
    <s v="N"/>
    <n v="21330559"/>
    <s v="3000015275730002"/>
    <s v="CIVIL"/>
    <d v="2023-06-23T00:00:00"/>
    <d v="2023-07-05T19:01:47"/>
    <m/>
    <d v="2023-07-05T00:00:00"/>
    <n v="194"/>
    <n v="12447"/>
    <s v="61080230"/>
    <s v="61080230"/>
    <m/>
    <m/>
    <n v="22755936"/>
    <m/>
    <m/>
    <m/>
    <s v="SOLFIN"/>
    <s v="SOLFIN"/>
    <s v="CCMS"/>
    <n v="21330559"/>
    <n v="3599.14"/>
    <m/>
    <s v="N"/>
    <n v="2"/>
    <d v="2023-07-05T19:01:51"/>
    <s v="N"/>
    <s v="Level 4 Fixed Fee"/>
    <s v="Domestic Abuse"/>
    <s v="Profit Cost"/>
    <s v="XXX"/>
    <s v="N"/>
    <n v="0"/>
    <n v="0"/>
    <x v="6"/>
    <s v="VALIDATED"/>
    <n v="1"/>
    <s v="01.11.80.302.6100.0000"/>
    <n v="0"/>
    <s v="11"/>
    <s v="6100"/>
    <n v="34318.95"/>
    <n v="0"/>
    <s v="CREDITOR"/>
    <n v="0"/>
    <n v="0"/>
    <n v="0"/>
    <n v="0"/>
    <n v="0"/>
  </r>
  <r>
    <n v="60678163"/>
    <s v="N"/>
    <n v="21327492"/>
    <s v="3000014928670004"/>
    <s v="CIVIL"/>
    <d v="2023-06-22T00:00:00"/>
    <d v="2023-07-04T19:00:44"/>
    <m/>
    <d v="2023-07-04T00:00:00"/>
    <n v="194"/>
    <n v="12447"/>
    <s v="60678163"/>
    <s v="60678163"/>
    <m/>
    <m/>
    <n v="22744814"/>
    <m/>
    <m/>
    <m/>
    <s v="SOLFIN"/>
    <s v="SOLFIN"/>
    <s v="CCMS"/>
    <n v="21327492"/>
    <n v="7348.42"/>
    <m/>
    <s v="N"/>
    <n v="59"/>
    <d v="2023-07-04T19:00:48"/>
    <s v="Y"/>
    <s v="Preparation - other"/>
    <s v="Prescribed Hourly Rates"/>
    <s v="Profit Cost"/>
    <s v="FAH"/>
    <s v="Y"/>
    <n v="8.32"/>
    <n v="1.66"/>
    <x v="1"/>
    <s v="VALIDATED"/>
    <n v="1"/>
    <s v="01.11.80.302.6100.0000"/>
    <n v="8.32"/>
    <s v="11"/>
    <s v="6100"/>
    <n v="34318.95"/>
    <n v="8.32"/>
    <s v="CREDITOR"/>
    <n v="0"/>
    <n v="0"/>
    <n v="0"/>
    <n v="0"/>
    <n v="8.32"/>
  </r>
  <r>
    <n v="60678163"/>
    <s v="N"/>
    <n v="21327492"/>
    <s v="3000014928670004"/>
    <s v="CIVIL"/>
    <d v="2023-06-22T00:00:00"/>
    <d v="2023-07-04T19:00:44"/>
    <m/>
    <d v="2023-07-04T00:00:00"/>
    <n v="194"/>
    <n v="12447"/>
    <s v="60678163"/>
    <s v="60678163"/>
    <m/>
    <m/>
    <n v="22744814"/>
    <m/>
    <m/>
    <m/>
    <s v="SOLFIN"/>
    <s v="SOLFIN"/>
    <s v="CCMS"/>
    <n v="21327492"/>
    <n v="7348.42"/>
    <m/>
    <s v="N"/>
    <n v="48"/>
    <d v="2023-07-04T19:00:48"/>
    <s v="Y"/>
    <s v="Attendance upon client"/>
    <s v="Prescribed Hourly Rates"/>
    <s v="Profit Cost"/>
    <s v="FAH"/>
    <s v="Y"/>
    <n v="16.63"/>
    <n v="3.33"/>
    <x v="1"/>
    <s v="VALIDATED"/>
    <n v="1"/>
    <s v="01.11.80.302.6100.0000"/>
    <n v="16.63"/>
    <s v="11"/>
    <s v="6100"/>
    <n v="34318.95"/>
    <n v="16.63"/>
    <s v="CREDITOR"/>
    <n v="0"/>
    <n v="0"/>
    <n v="0"/>
    <n v="0"/>
    <n v="16.63"/>
  </r>
  <r>
    <n v="61130472"/>
    <s v="N"/>
    <n v="21382407"/>
    <s v="3000015317490003"/>
    <s v="CIVIL"/>
    <d v="2023-06-28T00:00:00"/>
    <d v="2023-07-17T19:01:46"/>
    <m/>
    <d v="2023-07-17T00:00:00"/>
    <n v="194"/>
    <n v="12447"/>
    <s v="61130472"/>
    <s v="61130472"/>
    <m/>
    <m/>
    <n v="22775508"/>
    <m/>
    <m/>
    <m/>
    <s v="SOLFIN"/>
    <s v="SOLFIN"/>
    <s v="CCMS"/>
    <n v="21382407"/>
    <n v="4109"/>
    <m/>
    <s v="N"/>
    <n v="18"/>
    <d v="2023-07-17T19:02:09"/>
    <s v="Y"/>
    <s v="Preparation - other"/>
    <s v="Prescribed Hourly Rates"/>
    <s v="Profit Cost"/>
    <s v="FAH"/>
    <s v="Y"/>
    <n v="8.32"/>
    <n v="1.66"/>
    <x v="8"/>
    <s v="VALIDATED"/>
    <n v="1"/>
    <s v="01.11.80.302.6100.0000"/>
    <n v="8.32"/>
    <s v="11"/>
    <s v="6100"/>
    <n v="34318.95"/>
    <n v="8.32"/>
    <s v="CREDITOR"/>
    <n v="0"/>
    <n v="0"/>
    <n v="0"/>
    <n v="0"/>
    <n v="8.32"/>
  </r>
  <r>
    <n v="61788720"/>
    <s v="N"/>
    <n v="21382042"/>
    <s v="3000015864570002"/>
    <s v="CIVIL"/>
    <d v="2023-06-28T00:00:00"/>
    <d v="2023-07-17T19:01:46"/>
    <m/>
    <d v="2023-07-17T00:00:00"/>
    <n v="194"/>
    <n v="12447"/>
    <s v="61788720"/>
    <s v="61788720"/>
    <m/>
    <m/>
    <n v="22781892"/>
    <m/>
    <m/>
    <m/>
    <s v="SOLFIN"/>
    <s v="SOLFIN"/>
    <s v="CCMS"/>
    <n v="21382042"/>
    <n v="4185.9"/>
    <m/>
    <s v="N"/>
    <n v="48"/>
    <d v="2023-07-17T19:02:00"/>
    <s v="Y"/>
    <s v="Routine Letter Out"/>
    <s v="Prescribed Hourly Rates"/>
    <s v="Profit Cost"/>
    <s v="FH"/>
    <s v="Y"/>
    <n v="234.36"/>
    <n v="46.87"/>
    <x v="8"/>
    <s v="VALIDATED"/>
    <n v="1"/>
    <s v="01.11.80.302.6100.0000"/>
    <n v="234.36"/>
    <s v="11"/>
    <s v="6100"/>
    <n v="34318.95"/>
    <n v="234.36"/>
    <s v="CREDITOR"/>
    <n v="0"/>
    <n v="0"/>
    <n v="0"/>
    <n v="0"/>
    <n v="234.36"/>
  </r>
  <r>
    <n v="62260478"/>
    <s v="N"/>
    <n v="21330952"/>
    <s v="3000016258320003"/>
    <s v="CIVIL"/>
    <d v="2023-06-28T00:00:00"/>
    <d v="2023-07-05T19:01:47"/>
    <m/>
    <d v="2023-07-05T00:00:00"/>
    <n v="194"/>
    <n v="12447"/>
    <s v="62260478"/>
    <s v="62260478"/>
    <m/>
    <m/>
    <n v="22775374"/>
    <m/>
    <m/>
    <m/>
    <s v="SOLFIN"/>
    <s v="SOLFIN"/>
    <s v="CCMS"/>
    <n v="21330952"/>
    <n v="3936.68"/>
    <m/>
    <s v="N"/>
    <n v="49"/>
    <d v="2023-07-05T19:01:59"/>
    <s v="Y"/>
    <s v="Preparation - other"/>
    <s v="Prescribed Hourly Rates"/>
    <s v="Profit Cost"/>
    <s v="DB"/>
    <s v="Y"/>
    <n v="8.32"/>
    <n v="1.66"/>
    <x v="6"/>
    <s v="VALIDATED"/>
    <n v="1"/>
    <s v="01.11.80.302.6100.0000"/>
    <n v="8.32"/>
    <s v="11"/>
    <s v="6100"/>
    <n v="34318.95"/>
    <n v="8.32"/>
    <s v="CREDITOR"/>
    <n v="0"/>
    <n v="0"/>
    <n v="0"/>
    <n v="0"/>
    <n v="8.32"/>
  </r>
  <r>
    <n v="61196209"/>
    <s v="N"/>
    <n v="21346252"/>
    <s v="3000015371880001RC"/>
    <s v="CIVIL"/>
    <d v="2023-06-27T00:00:00"/>
    <d v="2023-07-07T19:34:21"/>
    <m/>
    <d v="2023-07-07T00:00:00"/>
    <n v="201"/>
    <n v="12863"/>
    <s v="61196209"/>
    <s v="61196209"/>
    <m/>
    <m/>
    <m/>
    <m/>
    <m/>
    <m/>
    <s v="SOLRECOUP"/>
    <s v="SOLRECOUP"/>
    <s v="POARECOUP"/>
    <n v="21346252"/>
    <n v="-205.34"/>
    <m/>
    <s v="Y"/>
    <n v="1"/>
    <d v="2023-07-07T19:34:22"/>
    <s v="N"/>
    <m/>
    <m/>
    <s v="Expert Disbursement"/>
    <m/>
    <s v="N"/>
    <n v="-171.12"/>
    <n v="0"/>
    <x v="9"/>
    <s v="VALIDATED"/>
    <n v="1"/>
    <s v="01.11.80.302.2013.0000"/>
    <n v="-171.12"/>
    <s v="11"/>
    <s v="2013"/>
    <n v="55544.78"/>
    <n v="-171.12"/>
    <s v="CREDITOR"/>
    <n v="0"/>
    <n v="0"/>
    <n v="-171.12"/>
    <n v="0"/>
    <n v="0"/>
  </r>
  <r>
    <n v="61196209"/>
    <s v="N"/>
    <n v="21346252"/>
    <s v="3000015371880001RC"/>
    <s v="CIVIL"/>
    <d v="2023-06-27T00:00:00"/>
    <d v="2023-07-07T19:34:21"/>
    <m/>
    <d v="2023-07-07T00:00:00"/>
    <n v="201"/>
    <n v="12863"/>
    <s v="61196209"/>
    <s v="61196209"/>
    <m/>
    <m/>
    <m/>
    <m/>
    <m/>
    <m/>
    <s v="SOLRECOUP"/>
    <s v="SOLRECOUP"/>
    <s v="POARECOUP"/>
    <n v="21346252"/>
    <n v="-205.34"/>
    <m/>
    <s v="Y"/>
    <n v="2"/>
    <d v="2023-07-07T19:34:22"/>
    <s v="N"/>
    <m/>
    <m/>
    <s v="Expert Disbursement"/>
    <m/>
    <s v="N"/>
    <n v="0"/>
    <n v="-34.22"/>
    <x v="9"/>
    <s v="VALIDATED"/>
    <n v="1"/>
    <s v="01.11.80.302.2013.0000"/>
    <n v="-34.22"/>
    <s v="11"/>
    <s v="2013"/>
    <n v="55544.78"/>
    <n v="-34.22"/>
    <s v="CREDITOR"/>
    <n v="0"/>
    <n v="0"/>
    <n v="-34.22"/>
    <n v="0"/>
    <n v="0"/>
  </r>
  <r>
    <n v="61377476"/>
    <s v="N"/>
    <n v="21346253"/>
    <s v="3000015522150001RC"/>
    <s v="CIVIL"/>
    <d v="2023-06-27T00:00:00"/>
    <d v="2023-07-07T19:34:21"/>
    <m/>
    <d v="2023-07-07T00:00:00"/>
    <n v="201"/>
    <n v="12863"/>
    <s v="61377476"/>
    <s v="61377476"/>
    <m/>
    <m/>
    <m/>
    <m/>
    <m/>
    <m/>
    <s v="SOLRECOUP"/>
    <s v="SOLRECOUP"/>
    <s v="POARECOUP"/>
    <n v="21346253"/>
    <n v="-179.58"/>
    <m/>
    <s v="Y"/>
    <n v="1"/>
    <d v="2023-07-07T19:34:22"/>
    <s v="N"/>
    <m/>
    <m/>
    <s v="Expert Disbursement"/>
    <m/>
    <s v="N"/>
    <n v="-149.65"/>
    <n v="0"/>
    <x v="9"/>
    <s v="VALIDATED"/>
    <n v="1"/>
    <s v="01.11.80.302.2013.0000"/>
    <n v="-149.65"/>
    <s v="11"/>
    <s v="2013"/>
    <n v="55544.78"/>
    <n v="-149.65"/>
    <s v="CREDITOR"/>
    <n v="0"/>
    <n v="0"/>
    <n v="-149.65"/>
    <n v="0"/>
    <n v="0"/>
  </r>
  <r>
    <n v="61377476"/>
    <s v="N"/>
    <n v="21346253"/>
    <s v="3000015522150001RC"/>
    <s v="CIVIL"/>
    <d v="2023-06-27T00:00:00"/>
    <d v="2023-07-07T19:34:21"/>
    <m/>
    <d v="2023-07-07T00:00:00"/>
    <n v="201"/>
    <n v="12863"/>
    <s v="61377476"/>
    <s v="61377476"/>
    <m/>
    <m/>
    <m/>
    <m/>
    <m/>
    <m/>
    <s v="SOLRECOUP"/>
    <s v="SOLRECOUP"/>
    <s v="POARECOUP"/>
    <n v="21346253"/>
    <n v="-179.58"/>
    <m/>
    <s v="Y"/>
    <n v="2"/>
    <d v="2023-07-07T19:34:22"/>
    <s v="N"/>
    <m/>
    <m/>
    <s v="Expert Disbursement"/>
    <m/>
    <s v="N"/>
    <n v="0"/>
    <n v="-29.93"/>
    <x v="9"/>
    <s v="VALIDATED"/>
    <n v="1"/>
    <s v="01.11.80.302.2013.0000"/>
    <n v="-29.93"/>
    <s v="11"/>
    <s v="2013"/>
    <n v="55544.78"/>
    <n v="-29.93"/>
    <s v="CREDITOR"/>
    <n v="0"/>
    <n v="0"/>
    <n v="-29.93"/>
    <n v="0"/>
    <n v="0"/>
  </r>
  <r>
    <n v="61200794"/>
    <s v="N"/>
    <n v="21346254"/>
    <s v="3000015374250004RC"/>
    <s v="CIVIL"/>
    <d v="2023-06-28T00:00:00"/>
    <d v="2023-07-07T19:34:21"/>
    <m/>
    <d v="2023-07-07T00:00:00"/>
    <n v="201"/>
    <n v="12863"/>
    <s v="61200794"/>
    <s v="61200794"/>
    <m/>
    <m/>
    <m/>
    <m/>
    <m/>
    <m/>
    <s v="SOLRECOUP"/>
    <s v="SOLRECOUP"/>
    <s v="POARECOUP"/>
    <n v="21346254"/>
    <n v="-194.3"/>
    <m/>
    <s v="Y"/>
    <n v="1"/>
    <d v="2023-07-07T19:34:22"/>
    <s v="N"/>
    <m/>
    <m/>
    <s v="Expert Disbursement"/>
    <m/>
    <s v="N"/>
    <n v="-161.92"/>
    <n v="0"/>
    <x v="9"/>
    <s v="VALIDATED"/>
    <n v="1"/>
    <s v="01.11.80.302.2013.0000"/>
    <n v="-161.92"/>
    <s v="11"/>
    <s v="2013"/>
    <n v="55544.78"/>
    <n v="-161.92"/>
    <s v="CREDITOR"/>
    <n v="0"/>
    <n v="0"/>
    <n v="-161.92"/>
    <n v="0"/>
    <n v="0"/>
  </r>
  <r>
    <n v="61200794"/>
    <s v="N"/>
    <n v="21346254"/>
    <s v="3000015374250004RC"/>
    <s v="CIVIL"/>
    <d v="2023-06-28T00:00:00"/>
    <d v="2023-07-07T19:34:21"/>
    <m/>
    <d v="2023-07-07T00:00:00"/>
    <n v="201"/>
    <n v="12863"/>
    <s v="61200794"/>
    <s v="61200794"/>
    <m/>
    <m/>
    <m/>
    <m/>
    <m/>
    <m/>
    <s v="SOLRECOUP"/>
    <s v="SOLRECOUP"/>
    <s v="POARECOUP"/>
    <n v="21346254"/>
    <n v="-194.3"/>
    <m/>
    <s v="Y"/>
    <n v="2"/>
    <d v="2023-07-07T19:34:22"/>
    <s v="N"/>
    <m/>
    <m/>
    <s v="Expert Disbursement"/>
    <m/>
    <s v="N"/>
    <n v="0"/>
    <n v="-32.38"/>
    <x v="9"/>
    <s v="VALIDATED"/>
    <n v="1"/>
    <s v="01.11.80.302.2013.0000"/>
    <n v="-32.38"/>
    <s v="11"/>
    <s v="2013"/>
    <n v="55544.78"/>
    <n v="-32.38"/>
    <s v="CREDITOR"/>
    <n v="0"/>
    <n v="0"/>
    <n v="-32.38"/>
    <n v="0"/>
    <n v="0"/>
  </r>
  <r>
    <n v="61949709"/>
    <s v="N"/>
    <n v="21346255"/>
    <s v="3000015998600001RC"/>
    <s v="CIVIL"/>
    <d v="2023-06-25T00:00:00"/>
    <d v="2023-07-07T19:34:21"/>
    <m/>
    <d v="2023-07-07T00:00:00"/>
    <n v="201"/>
    <n v="12863"/>
    <s v="61949709"/>
    <s v="61949709"/>
    <m/>
    <m/>
    <m/>
    <m/>
    <m/>
    <m/>
    <s v="SOLRECOUP"/>
    <s v="SOLRECOUP"/>
    <s v="POARECOUP"/>
    <n v="21346255"/>
    <n v="-175.91"/>
    <m/>
    <s v="Y"/>
    <n v="1"/>
    <d v="2023-07-07T19:34:22"/>
    <s v="N"/>
    <m/>
    <m/>
    <s v="Expert Disbursement"/>
    <m/>
    <s v="N"/>
    <n v="-146.59"/>
    <n v="0"/>
    <x v="9"/>
    <s v="VALIDATED"/>
    <n v="1"/>
    <s v="01.11.80.302.2013.0000"/>
    <n v="-146.59"/>
    <s v="11"/>
    <s v="2013"/>
    <n v="55544.78"/>
    <n v="-146.59"/>
    <s v="CREDITOR"/>
    <n v="0"/>
    <n v="0"/>
    <n v="-146.59"/>
    <n v="0"/>
    <n v="0"/>
  </r>
  <r>
    <n v="61052225"/>
    <s v="N"/>
    <n v="21350139"/>
    <s v="3000015247030001"/>
    <s v="CIVIL"/>
    <d v="2023-06-20T00:00:00"/>
    <d v="2023-07-10T19:01:40"/>
    <m/>
    <d v="2023-07-10T00:00:00"/>
    <n v="201"/>
    <n v="12863"/>
    <s v="61052225"/>
    <s v="61052225"/>
    <m/>
    <m/>
    <n v="22722902"/>
    <m/>
    <m/>
    <m/>
    <s v="SOLFIN"/>
    <s v="SOLFIN"/>
    <s v="CCMS"/>
    <n v="21350139"/>
    <n v="1163"/>
    <m/>
    <s v="N"/>
    <n v="1"/>
    <d v="2023-07-10T19:02:15"/>
    <s v="Y"/>
    <s v="Final Hearing - 1 Day"/>
    <s v="Domestic Abuse"/>
    <s v="Advocacy"/>
    <s v="Monika Wawryzynzk"/>
    <s v="Y"/>
    <n v="361.17"/>
    <n v="72.23"/>
    <x v="2"/>
    <s v="VALIDATED"/>
    <n v="1"/>
    <s v="01.11.80.302.6100.0000"/>
    <n v="361.17"/>
    <s v="11"/>
    <s v="6100"/>
    <n v="55544.78"/>
    <n v="361.17"/>
    <s v="CREDITOR"/>
    <n v="0"/>
    <n v="0"/>
    <n v="0"/>
    <n v="0"/>
    <n v="361.17"/>
  </r>
  <r>
    <n v="61573506"/>
    <s v="N"/>
    <n v="21331074"/>
    <s v="3000015684530002"/>
    <s v="CIVIL"/>
    <d v="2023-06-25T00:00:00"/>
    <d v="2023-07-05T19:01:47"/>
    <m/>
    <d v="2023-07-05T00:00:00"/>
    <n v="201"/>
    <n v="12863"/>
    <s v="61573506"/>
    <s v="61573506"/>
    <m/>
    <m/>
    <n v="22757078"/>
    <m/>
    <m/>
    <m/>
    <s v="SOLFIN"/>
    <s v="SOLFIN"/>
    <s v="CCMS"/>
    <n v="21331074"/>
    <n v="1373.86"/>
    <m/>
    <s v="N"/>
    <n v="3"/>
    <d v="2023-07-05T19:02:05"/>
    <s v="Y"/>
    <s v="Level 4 Fixed Fee"/>
    <s v="Domestic Abuse"/>
    <s v="Profit Cost"/>
    <s v="HABIBUR CHOUDHURY"/>
    <s v="Y"/>
    <n v="608"/>
    <n v="121.6"/>
    <x v="6"/>
    <s v="VALIDATED"/>
    <n v="1"/>
    <s v="01.11.80.302.6100.0000"/>
    <n v="608"/>
    <s v="11"/>
    <s v="6100"/>
    <n v="55544.78"/>
    <n v="608"/>
    <s v="CREDITOR"/>
    <n v="0"/>
    <n v="0"/>
    <n v="0"/>
    <n v="0"/>
    <n v="608"/>
  </r>
  <r>
    <n v="7927567"/>
    <s v="N"/>
    <n v="21360376"/>
    <s v="3000004019380005"/>
    <s v="CIVIL"/>
    <d v="2023-06-30T00:00:00"/>
    <d v="2023-07-11T11:50:54"/>
    <m/>
    <d v="2023-07-11T00:00:00"/>
    <n v="201"/>
    <n v="12863"/>
    <s v="7927567"/>
    <s v="7927567"/>
    <m/>
    <m/>
    <n v="22795070"/>
    <m/>
    <m/>
    <m/>
    <s v="SOLFIN"/>
    <s v="SOLFIN"/>
    <s v="CCMS"/>
    <n v="21360376"/>
    <n v="7530.87"/>
    <m/>
    <s v="N"/>
    <n v="1"/>
    <d v="2023-07-11T11:51:03"/>
    <s v="Y"/>
    <s v="Profit Costs (Summary)"/>
    <s v="Private Law Children"/>
    <s v="Profit Cost"/>
    <s v="MARTIN REAL"/>
    <s v="Y"/>
    <n v="5836.86"/>
    <n v="1167.37"/>
    <x v="7"/>
    <s v="VALIDATED"/>
    <n v="1"/>
    <s v="01.11.80.307.6100.0000"/>
    <n v="5836.86"/>
    <s v="11"/>
    <s v="6100"/>
    <n v="55544.78"/>
    <n v="5836.86"/>
    <s v="CREDITOR"/>
    <n v="0"/>
    <n v="0"/>
    <n v="0"/>
    <n v="0"/>
    <n v="5836.86"/>
  </r>
  <r>
    <n v="7927567"/>
    <s v="N"/>
    <n v="21360376"/>
    <s v="3000004019380005"/>
    <s v="CIVIL"/>
    <d v="2023-06-30T00:00:00"/>
    <d v="2023-07-11T11:50:54"/>
    <m/>
    <d v="2023-07-11T00:00:00"/>
    <n v="201"/>
    <n v="12863"/>
    <s v="7927567"/>
    <s v="7927567"/>
    <m/>
    <m/>
    <n v="22795070"/>
    <m/>
    <m/>
    <m/>
    <s v="SOLFIN"/>
    <s v="SOLFIN"/>
    <s v="CCMS"/>
    <n v="21360376"/>
    <n v="7530.87"/>
    <m/>
    <s v="N"/>
    <n v="3"/>
    <d v="2023-07-11T11:51:03"/>
    <s v="Y"/>
    <s v="Hearing Unit 1.01 - 2.30 Hours"/>
    <s v="Private Law Children"/>
    <s v="Advocacy"/>
    <s v="MARTIN REAL"/>
    <s v="Y"/>
    <n v="156.74"/>
    <n v="31.35"/>
    <x v="7"/>
    <s v="VALIDATED"/>
    <n v="1"/>
    <s v="01.11.80.307.6100.0000"/>
    <n v="156.74"/>
    <s v="11"/>
    <s v="6100"/>
    <n v="55544.78"/>
    <n v="156.74"/>
    <s v="CREDITOR"/>
    <n v="0"/>
    <n v="0"/>
    <n v="0"/>
    <n v="0"/>
    <n v="156.74"/>
  </r>
  <r>
    <n v="62365202"/>
    <s v="N"/>
    <n v="21337698"/>
    <s v="3000016342700001"/>
    <s v="CIVIL"/>
    <d v="2023-06-28T00:00:00"/>
    <d v="2023-07-06T19:21:01"/>
    <m/>
    <d v="2023-07-06T00:00:00"/>
    <n v="201"/>
    <n v="12863"/>
    <s v="62365202"/>
    <s v="62365202"/>
    <m/>
    <m/>
    <n v="22779588"/>
    <m/>
    <m/>
    <m/>
    <s v="SOLFIN"/>
    <s v="SOLFIN"/>
    <s v="CCMS"/>
    <n v="21337698"/>
    <n v="729.6"/>
    <m/>
    <s v="N"/>
    <n v="1"/>
    <d v="2023-07-06T19:21:04"/>
    <s v="Y"/>
    <s v="Level 4 Fixed Fee"/>
    <s v="Domestic Abuse"/>
    <s v="Profit Cost"/>
    <s v="HABIBUR CHOUDHURY"/>
    <s v="Y"/>
    <n v="608"/>
    <n v="121.6"/>
    <x v="4"/>
    <s v="VALIDATED"/>
    <n v="1"/>
    <s v="01.11.80.302.6100.0000"/>
    <n v="608"/>
    <s v="11"/>
    <s v="6100"/>
    <n v="55544.78"/>
    <n v="608"/>
    <s v="CREDITOR"/>
    <n v="0"/>
    <n v="0"/>
    <n v="0"/>
    <n v="0"/>
    <n v="608"/>
  </r>
  <r>
    <n v="62217338"/>
    <s v="N"/>
    <n v="21395369"/>
    <s v="3000016208600001"/>
    <s v="CIVIL"/>
    <d v="2023-06-08T00:00:00"/>
    <d v="2023-07-19T19:02:01"/>
    <m/>
    <d v="2023-07-19T00:00:00"/>
    <n v="201"/>
    <n v="12863"/>
    <s v="62217338"/>
    <s v="62217338"/>
    <m/>
    <m/>
    <n v="22647804"/>
    <m/>
    <m/>
    <m/>
    <s v="SOLFIN"/>
    <s v="SOLFIN"/>
    <s v="CCMS"/>
    <n v="21395369"/>
    <n v="729.6"/>
    <m/>
    <s v="N"/>
    <n v="1"/>
    <d v="2023-07-19T19:02:24"/>
    <s v="Y"/>
    <s v="Level 4 Fixed Fee"/>
    <s v="Domestic Abuse"/>
    <s v="Profit Cost"/>
    <s v="BERFIN YETINSKIN"/>
    <s v="Y"/>
    <n v="608"/>
    <n v="121.6"/>
    <x v="5"/>
    <s v="VALIDATED"/>
    <n v="1"/>
    <s v="01.11.80.302.6100.0000"/>
    <n v="608"/>
    <s v="11"/>
    <s v="6100"/>
    <n v="55544.78"/>
    <n v="608"/>
    <s v="CREDITOR"/>
    <n v="0"/>
    <n v="0"/>
    <n v="0"/>
    <n v="0"/>
    <n v="608"/>
  </r>
  <r>
    <n v="26636542"/>
    <s v="N"/>
    <n v="21318720"/>
    <s v="3000008690510008"/>
    <s v="CIVIL"/>
    <d v="2023-06-21T00:00:00"/>
    <d v="2023-07-03T19:01:49"/>
    <m/>
    <d v="2023-07-03T00:00:00"/>
    <n v="201"/>
    <n v="12863"/>
    <s v="26636542"/>
    <s v="26636542"/>
    <m/>
    <m/>
    <n v="22731832"/>
    <m/>
    <m/>
    <m/>
    <s v="SOLFIN"/>
    <s v="SOLFIN"/>
    <s v="CCMS"/>
    <n v="21318720"/>
    <n v="11408.42"/>
    <m/>
    <s v="N"/>
    <n v="5"/>
    <d v="2023-07-03T19:02:02"/>
    <s v="Y"/>
    <s v="Hearing Unit 2.31 - 5.00 Hours"/>
    <s v="Private Law Children"/>
    <s v="Advocacy"/>
    <s v="VIKRAM KUMAR"/>
    <s v="Y"/>
    <n v="344.8"/>
    <n v="68.95999999999999"/>
    <x v="3"/>
    <s v="VALIDATED"/>
    <n v="1"/>
    <s v="01.11.80.307.6100.0000"/>
    <n v="344.8"/>
    <s v="11"/>
    <s v="6100"/>
    <n v="55544.78"/>
    <n v="344.8"/>
    <s v="CREDITOR"/>
    <n v="0"/>
    <n v="0"/>
    <n v="0"/>
    <n v="0"/>
    <n v="344.8"/>
  </r>
  <r>
    <n v="62020764"/>
    <s v="N"/>
    <n v="21363011"/>
    <s v="3000016060070002"/>
    <s v="CIVIL"/>
    <d v="2023-06-28T00:00:00"/>
    <d v="2023-07-12T19:01:49"/>
    <m/>
    <d v="2023-07-12T00:00:00"/>
    <n v="201"/>
    <n v="12863"/>
    <s v="62020764"/>
    <s v="62020764"/>
    <m/>
    <m/>
    <n v="22780414"/>
    <m/>
    <m/>
    <m/>
    <s v="SOLFIN"/>
    <s v="SOLFIN"/>
    <s v="CCMS"/>
    <n v="21363011"/>
    <n v="1943.85"/>
    <m/>
    <s v="N"/>
    <n v="2"/>
    <d v="2023-07-12T19:01:53"/>
    <s v="Y"/>
    <s v="Hearing Unit 2.31 - 5.00 Hours"/>
    <s v="Domestic Abuse"/>
    <s v="Advocacy"/>
    <s v="BERFIN YETINSKIN"/>
    <s v="Y"/>
    <n v="407.52"/>
    <n v="81.5"/>
    <x v="0"/>
    <s v="VALIDATED"/>
    <n v="1"/>
    <s v="01.11.80.302.6100.0000"/>
    <n v="407.52"/>
    <s v="11"/>
    <s v="6100"/>
    <n v="55544.78"/>
    <n v="407.52"/>
    <s v="CREDITOR"/>
    <n v="0"/>
    <n v="0"/>
    <n v="0"/>
    <n v="0"/>
    <n v="407.52"/>
  </r>
  <r>
    <n v="62250479"/>
    <s v="N"/>
    <n v="21392666"/>
    <s v="3000016247180002"/>
    <s v="CIVIL"/>
    <d v="2023-06-07T00:00:00"/>
    <d v="2023-07-18T19:00:27"/>
    <m/>
    <d v="2023-07-18T00:00:00"/>
    <n v="201"/>
    <n v="12863"/>
    <s v="62250479"/>
    <s v="62250479"/>
    <m/>
    <m/>
    <n v="22640388"/>
    <m/>
    <m/>
    <m/>
    <s v="SOLFIN"/>
    <s v="SOLFIN"/>
    <s v="CCMS"/>
    <n v="21392666"/>
    <n v="789.6"/>
    <m/>
    <s v="N"/>
    <n v="2"/>
    <d v="2023-07-18T19:00:57"/>
    <s v="Y"/>
    <s v="Level 4 Fixed Fee"/>
    <s v="Domestic Abuse"/>
    <s v="Profit Cost"/>
    <s v="Monika Wawrzynczyk"/>
    <s v="Y"/>
    <n v="608"/>
    <n v="121.6"/>
    <x v="14"/>
    <s v="VALIDATED"/>
    <n v="1"/>
    <s v="01.11.80.302.6100.0000"/>
    <n v="608"/>
    <s v="11"/>
    <s v="6100"/>
    <n v="55544.78"/>
    <n v="608"/>
    <s v="CREDITOR"/>
    <n v="0"/>
    <n v="0"/>
    <n v="0"/>
    <n v="0"/>
    <n v="608"/>
  </r>
  <r>
    <n v="7927567"/>
    <s v="N"/>
    <n v="21360376"/>
    <s v="3000004019380005"/>
    <s v="CIVIL"/>
    <d v="2023-06-30T00:00:00"/>
    <d v="2023-07-11T11:50:54"/>
    <m/>
    <d v="2023-07-11T00:00:00"/>
    <n v="201"/>
    <n v="12863"/>
    <s v="7927567"/>
    <s v="7927567"/>
    <m/>
    <m/>
    <n v="22795070"/>
    <m/>
    <m/>
    <m/>
    <s v="SOLFIN"/>
    <s v="SOLFIN"/>
    <s v="CCMS"/>
    <n v="21360376"/>
    <n v="7530.87"/>
    <m/>
    <s v="N"/>
    <n v="2"/>
    <d v="2023-07-11T11:51:03"/>
    <s v="Y"/>
    <s v="Hearing Unit 0.00 - 1.00 Hours"/>
    <s v="Private Law Children"/>
    <s v="Advocacy"/>
    <s v="JUSTIN TUFUOR"/>
    <s v="Y"/>
    <n v="62.69"/>
    <n v="12.54"/>
    <x v="7"/>
    <s v="VALIDATED"/>
    <n v="1"/>
    <s v="01.11.80.307.6100.0000"/>
    <n v="62.69"/>
    <s v="11"/>
    <s v="6100"/>
    <n v="55544.78"/>
    <n v="62.69"/>
    <s v="CREDITOR"/>
    <n v="0"/>
    <n v="0"/>
    <n v="0"/>
    <n v="0"/>
    <n v="62.69"/>
  </r>
  <r>
    <n v="61948862"/>
    <s v="N"/>
    <n v="21337759"/>
    <s v="3000015999260003"/>
    <s v="CIVIL"/>
    <d v="2023-06-26T00:00:00"/>
    <d v="2023-07-06T19:21:01"/>
    <m/>
    <d v="2023-07-06T00:00:00"/>
    <n v="201"/>
    <n v="12863"/>
    <s v="61948862"/>
    <s v="61948862"/>
    <m/>
    <m/>
    <n v="22761262"/>
    <m/>
    <m/>
    <m/>
    <s v="SOLPOA"/>
    <s v="SOLPOA"/>
    <s v="CCMS"/>
    <n v="21337759"/>
    <n v="220.07"/>
    <m/>
    <s v="N"/>
    <n v="1"/>
    <d v="2023-07-06T19:21:07"/>
    <s v="N"/>
    <s v="Expert Cost - Domestic Abuse"/>
    <s v="Expert Cost - Domestic Abuse"/>
    <s v="Expert Disbursement"/>
    <s v="GIS Global"/>
    <s v="N"/>
    <n v="183.39"/>
    <n v="36.68"/>
    <x v="4"/>
    <s v="VALIDATED"/>
    <n v="1"/>
    <s v="01.11.80.302.2012.0000"/>
    <n v="183.39"/>
    <s v="11"/>
    <s v="2012"/>
    <n v="55544.78"/>
    <n v="183.39"/>
    <s v="CREDITOR"/>
    <n v="183.39"/>
    <n v="0"/>
    <n v="0"/>
    <n v="0"/>
    <n v="0"/>
  </r>
  <r>
    <n v="62379579"/>
    <s v="N"/>
    <n v="21337961"/>
    <s v="3000016353080001"/>
    <s v="CIVIL"/>
    <d v="2023-06-24T00:00:00"/>
    <d v="2023-07-06T19:21:01"/>
    <m/>
    <d v="2023-07-06T00:00:00"/>
    <n v="201"/>
    <n v="12863"/>
    <s v="62379579"/>
    <s v="62379579"/>
    <m/>
    <m/>
    <n v="22756706"/>
    <m/>
    <m/>
    <m/>
    <s v="SOLPOA"/>
    <s v="SOLPOA"/>
    <s v="CCMS"/>
    <n v="21337961"/>
    <n v="190.62"/>
    <m/>
    <s v="N"/>
    <n v="1"/>
    <d v="2023-07-06T19:21:10"/>
    <s v="N"/>
    <s v="Expert Cost - Domestic Abuse"/>
    <s v="Expert Cost - Domestic Abuse"/>
    <s v="Expert Disbursement"/>
    <s v="GIS Global"/>
    <s v="N"/>
    <n v="158.85"/>
    <n v="31.77"/>
    <x v="4"/>
    <s v="VALIDATED"/>
    <n v="1"/>
    <s v="01.11.80.302.2012.0000"/>
    <n v="158.85"/>
    <s v="11"/>
    <s v="2012"/>
    <n v="55544.78"/>
    <n v="158.85"/>
    <s v="CREDITOR"/>
    <n v="158.85"/>
    <n v="0"/>
    <n v="0"/>
    <n v="0"/>
    <n v="0"/>
  </r>
  <r>
    <n v="11408310"/>
    <s v="N"/>
    <n v="21395463"/>
    <s v="3000006870940003"/>
    <s v="CIVIL"/>
    <d v="2023-06-13T00:00:00"/>
    <d v="2023-07-19T19:02:01"/>
    <m/>
    <d v="2023-07-19T00:00:00"/>
    <n v="201"/>
    <n v="12863"/>
    <s v="11408310"/>
    <s v="11408310"/>
    <m/>
    <m/>
    <n v="22683154"/>
    <m/>
    <m/>
    <m/>
    <s v="SOLADJ"/>
    <s v="SOLADJ"/>
    <s v="CCMS"/>
    <n v="21395463"/>
    <n v="187.23"/>
    <m/>
    <s v="N"/>
    <n v="1"/>
    <d v="2023-07-19T19:02:28"/>
    <s v="Y"/>
    <s v="Police Records"/>
    <s v="Domestic Abuse"/>
    <s v="Non Expert Disbursement"/>
    <s v="mopac"/>
    <s v="Y"/>
    <n v="187.23"/>
    <n v="0"/>
    <x v="5"/>
    <s v="VALIDATED"/>
    <n v="1"/>
    <s v="01.11.80.302.6300.0000"/>
    <n v="187.23"/>
    <s v="11"/>
    <s v="6300"/>
    <n v="55544.78"/>
    <n v="187.23"/>
    <s v="CREDITOR"/>
    <n v="0"/>
    <n v="0"/>
    <n v="0"/>
    <n v="0"/>
    <n v="187.23"/>
  </r>
  <r>
    <n v="61298915"/>
    <s v="N"/>
    <n v="21349530"/>
    <s v="3000015438240004"/>
    <s v="CIVIL"/>
    <d v="2023-06-29T00:00:00"/>
    <d v="2023-07-10T19:01:40"/>
    <m/>
    <d v="2023-07-10T00:00:00"/>
    <n v="201"/>
    <n v="12863"/>
    <s v="61298915"/>
    <s v="61298915"/>
    <m/>
    <m/>
    <n v="22787192"/>
    <m/>
    <m/>
    <m/>
    <s v="SOLFIN"/>
    <s v="SOLFIN"/>
    <s v="CCMS"/>
    <n v="21349530"/>
    <n v="3971.89"/>
    <m/>
    <s v="N"/>
    <n v="4"/>
    <d v="2023-07-10T19:01:52"/>
    <s v="Y"/>
    <s v="Hearing Unit 1.01 - 2.30 Hours"/>
    <s v="Domestic Abuse"/>
    <s v="Advocacy"/>
    <s v="JUSTIN TUFUOR"/>
    <s v="Y"/>
    <n v="203.76"/>
    <n v="40.75"/>
    <x v="2"/>
    <s v="VALIDATED"/>
    <n v="1"/>
    <s v="01.11.80.302.6100.0000"/>
    <n v="203.76"/>
    <s v="11"/>
    <s v="6100"/>
    <n v="55544.78"/>
    <n v="203.76"/>
    <s v="CREDITOR"/>
    <n v="0"/>
    <n v="0"/>
    <n v="0"/>
    <n v="0"/>
    <n v="203.76"/>
  </r>
  <r>
    <n v="61858131"/>
    <s v="N"/>
    <n v="21337801"/>
    <s v="3000015916290002"/>
    <s v="CIVIL"/>
    <d v="2023-06-26T00:00:00"/>
    <d v="2023-07-06T19:21:01"/>
    <m/>
    <d v="2023-07-06T00:00:00"/>
    <n v="201"/>
    <n v="12863"/>
    <s v="61858131"/>
    <s v="61858131"/>
    <m/>
    <m/>
    <n v="22761764"/>
    <m/>
    <m/>
    <m/>
    <s v="SOLPOA"/>
    <s v="SOLPOA"/>
    <s v="CCMS"/>
    <n v="21337801"/>
    <n v="196.14"/>
    <m/>
    <s v="N"/>
    <n v="1"/>
    <d v="2023-07-06T19:21:08"/>
    <s v="N"/>
    <s v="Expert Cost - Domestic Abuse"/>
    <s v="Expert Cost - Domestic Abuse"/>
    <s v="Expert Disbursement"/>
    <s v="GIS Global"/>
    <s v="N"/>
    <n v="163.45"/>
    <n v="32.69"/>
    <x v="4"/>
    <s v="VALIDATED"/>
    <n v="1"/>
    <s v="01.11.80.302.2012.0000"/>
    <n v="163.45"/>
    <s v="11"/>
    <s v="2012"/>
    <n v="55544.78"/>
    <n v="163.45"/>
    <s v="CREDITOR"/>
    <n v="163.45"/>
    <n v="0"/>
    <n v="0"/>
    <n v="0"/>
    <n v="0"/>
  </r>
  <r>
    <n v="26636542"/>
    <s v="N"/>
    <n v="21318720"/>
    <s v="3000008690510008"/>
    <s v="CIVIL"/>
    <d v="2023-06-21T00:00:00"/>
    <d v="2023-07-03T19:01:49"/>
    <m/>
    <d v="2023-07-03T00:00:00"/>
    <n v="201"/>
    <n v="12863"/>
    <s v="26636542"/>
    <s v="26636542"/>
    <m/>
    <m/>
    <n v="22731832"/>
    <m/>
    <m/>
    <m/>
    <s v="SOLFIN"/>
    <s v="SOLFIN"/>
    <s v="CCMS"/>
    <n v="21318720"/>
    <n v="11408.42"/>
    <m/>
    <s v="N"/>
    <n v="4"/>
    <d v="2023-07-03T19:02:02"/>
    <s v="Y"/>
    <s v="Disbursements (Summary)"/>
    <s v="Private Law Children"/>
    <s v="Non Expert Disbursement"/>
    <s v="MARTIN REAL"/>
    <s v="Y"/>
    <n v="50"/>
    <n v="10"/>
    <x v="3"/>
    <s v="VALIDATED"/>
    <n v="1"/>
    <s v="01.11.80.307.6300.0000"/>
    <n v="50"/>
    <s v="11"/>
    <s v="6300"/>
    <n v="55544.78"/>
    <n v="50"/>
    <s v="CREDITOR"/>
    <n v="0"/>
    <n v="0"/>
    <n v="0"/>
    <n v="0"/>
    <n v="50"/>
  </r>
  <r>
    <n v="61600676"/>
    <s v="N"/>
    <n v="21330760"/>
    <s v="3000015693990002"/>
    <s v="CIVIL"/>
    <d v="2023-06-25T00:00:00"/>
    <d v="2023-07-05T19:01:47"/>
    <m/>
    <d v="2023-07-05T00:00:00"/>
    <n v="201"/>
    <n v="12863"/>
    <s v="61600676"/>
    <s v="61600676"/>
    <m/>
    <m/>
    <n v="22757072"/>
    <m/>
    <m/>
    <m/>
    <s v="SOLFIN"/>
    <s v="SOLFIN"/>
    <s v="CCMS"/>
    <n v="21330760"/>
    <n v="1373.86"/>
    <m/>
    <s v="N"/>
    <n v="3"/>
    <d v="2023-07-05T19:01:54"/>
    <s v="Y"/>
    <s v="Level 4 Fixed Fee"/>
    <s v="Domestic Abuse"/>
    <s v="Profit Cost"/>
    <s v="HABIBUR CHOUDHURY"/>
    <s v="Y"/>
    <n v="608"/>
    <n v="121.6"/>
    <x v="6"/>
    <s v="VALIDATED"/>
    <n v="1"/>
    <s v="01.11.80.302.6100.0000"/>
    <n v="608"/>
    <s v="11"/>
    <s v="6100"/>
    <n v="55544.78"/>
    <n v="608"/>
    <s v="CREDITOR"/>
    <n v="0"/>
    <n v="0"/>
    <n v="0"/>
    <n v="0"/>
    <n v="608"/>
  </r>
  <r>
    <n v="26636542"/>
    <s v="N"/>
    <n v="21318720"/>
    <s v="3000008690510008"/>
    <s v="CIVIL"/>
    <d v="2023-06-21T00:00:00"/>
    <d v="2023-07-03T19:01:49"/>
    <m/>
    <d v="2023-07-03T00:00:00"/>
    <n v="201"/>
    <n v="12863"/>
    <s v="26636542"/>
    <s v="26636542"/>
    <m/>
    <m/>
    <n v="22731832"/>
    <m/>
    <m/>
    <m/>
    <s v="SOLFIN"/>
    <s v="SOLFIN"/>
    <s v="CCMS"/>
    <n v="21318720"/>
    <n v="11408.42"/>
    <m/>
    <s v="N"/>
    <n v="1"/>
    <d v="2023-07-03T19:02:02"/>
    <s v="Y"/>
    <s v="Profit Costs (Summary)"/>
    <s v="Private Law Children"/>
    <s v="Profit Cost"/>
    <s v="MARTIN REAL"/>
    <s v="Y"/>
    <n v="6596.64"/>
    <n v="1319.33"/>
    <x v="3"/>
    <s v="VALIDATED"/>
    <n v="1"/>
    <s v="01.11.80.307.6100.0000"/>
    <n v="6596.64"/>
    <s v="11"/>
    <s v="6100"/>
    <n v="55544.78"/>
    <n v="6596.64"/>
    <s v="CREDITOR"/>
    <n v="0"/>
    <n v="0"/>
    <n v="0"/>
    <n v="0"/>
    <n v="6596.64"/>
  </r>
  <r>
    <n v="62250479"/>
    <s v="N"/>
    <n v="21392666"/>
    <s v="3000016247180002"/>
    <s v="CIVIL"/>
    <d v="2023-06-07T00:00:00"/>
    <d v="2023-07-18T19:00:27"/>
    <m/>
    <d v="2023-07-18T00:00:00"/>
    <n v="201"/>
    <n v="12863"/>
    <s v="62250479"/>
    <s v="62250479"/>
    <m/>
    <m/>
    <n v="22640388"/>
    <m/>
    <m/>
    <m/>
    <s v="SOLFIN"/>
    <s v="SOLFIN"/>
    <s v="CCMS"/>
    <n v="21392666"/>
    <n v="789.6"/>
    <m/>
    <s v="N"/>
    <n v="1"/>
    <d v="2023-07-18T19:00:57"/>
    <s v="Y"/>
    <s v="Interpreter"/>
    <s v="Domestic Abuse"/>
    <s v="Expert Disbursement"/>
    <s v="GLOBAL INVESTIGATIONS"/>
    <s v="Y"/>
    <n v="50"/>
    <n v="10"/>
    <x v="14"/>
    <s v="VALIDATED"/>
    <n v="1"/>
    <s v="01.11.80.302.6300.0000"/>
    <n v="50"/>
    <s v="11"/>
    <s v="6300"/>
    <n v="55544.78"/>
    <n v="50"/>
    <s v="CREDITOR"/>
    <n v="0"/>
    <n v="0"/>
    <n v="0"/>
    <n v="0"/>
    <n v="50"/>
  </r>
  <r>
    <n v="61044016"/>
    <s v="N"/>
    <n v="21318355"/>
    <s v="3000015201540003"/>
    <s v="CIVIL"/>
    <d v="2023-06-22T00:00:00"/>
    <d v="2023-07-03T19:01:49"/>
    <m/>
    <d v="2023-07-03T00:00:00"/>
    <n v="201"/>
    <n v="12863"/>
    <s v="61044016"/>
    <s v="61044016"/>
    <m/>
    <m/>
    <n v="22745490"/>
    <m/>
    <m/>
    <m/>
    <s v="SOLFIN"/>
    <s v="SOLFIN"/>
    <s v="CCMS"/>
    <n v="21318355"/>
    <n v="3544.42"/>
    <m/>
    <s v="N"/>
    <n v="1"/>
    <d v="2023-07-03T19:01:54"/>
    <s v="Y"/>
    <s v="Profit Costs (Summary)"/>
    <s v="Domestic Abuse"/>
    <s v="Profit Cost"/>
    <s v="MARTIN REAL"/>
    <s v="Y"/>
    <n v="2197.8"/>
    <n v="439.56"/>
    <x v="3"/>
    <s v="VALIDATED"/>
    <n v="1"/>
    <s v="01.11.80.302.6100.0000"/>
    <n v="2197.8"/>
    <s v="11"/>
    <s v="6100"/>
    <n v="55544.78"/>
    <n v="2197.8"/>
    <s v="CREDITOR"/>
    <n v="0"/>
    <n v="0"/>
    <n v="0"/>
    <n v="0"/>
    <n v="2197.8"/>
  </r>
  <r>
    <n v="60867358"/>
    <s v="N"/>
    <n v="21349656"/>
    <s v="3000015091730003"/>
    <s v="CIVIL"/>
    <d v="2023-06-30T00:00:00"/>
    <d v="2023-07-10T19:01:40"/>
    <m/>
    <d v="2023-07-10T00:00:00"/>
    <n v="201"/>
    <n v="12863"/>
    <s v="60867358"/>
    <s v="60867358"/>
    <m/>
    <m/>
    <n v="22795838"/>
    <m/>
    <m/>
    <m/>
    <s v="SOLFIN"/>
    <s v="SOLFIN"/>
    <s v="CCMS"/>
    <n v="21349656"/>
    <n v="7811.43"/>
    <m/>
    <s v="N"/>
    <n v="3"/>
    <d v="2023-07-10T19:01:55"/>
    <s v="Y"/>
    <s v="Disbursements (Summary)"/>
    <s v="Domestic Abuse"/>
    <s v="Non Expert Disbursement"/>
    <s v="MARTIN REAL"/>
    <s v="Y"/>
    <n v="160.39"/>
    <n v="32.08"/>
    <x v="2"/>
    <s v="VALIDATED"/>
    <n v="1"/>
    <s v="01.11.80.302.6300.0000"/>
    <n v="160.39"/>
    <s v="11"/>
    <s v="6300"/>
    <n v="55544.78"/>
    <n v="160.39"/>
    <s v="CREDITOR"/>
    <n v="0"/>
    <n v="0"/>
    <n v="0"/>
    <n v="0"/>
    <n v="160.39"/>
  </r>
  <r>
    <n v="61196209"/>
    <s v="N"/>
    <n v="21343879"/>
    <s v="3000015371880002"/>
    <s v="CIVIL"/>
    <d v="2023-06-27T00:00:00"/>
    <d v="2023-07-07T19:03:00"/>
    <m/>
    <d v="2023-07-07T00:00:00"/>
    <n v="201"/>
    <n v="12863"/>
    <s v="61196209"/>
    <s v="61196209"/>
    <m/>
    <m/>
    <n v="22775108"/>
    <m/>
    <m/>
    <m/>
    <s v="SOLFIN"/>
    <s v="SOLFIN"/>
    <s v="CCMS"/>
    <n v="21343879"/>
    <n v="1368.34"/>
    <m/>
    <s v="N"/>
    <n v="3"/>
    <d v="2023-07-07T19:03:15"/>
    <s v="Y"/>
    <s v="Level 4 Fixed Fee"/>
    <s v="Domestic Abuse"/>
    <s v="Profit Cost"/>
    <s v="Monika Wawryzynz"/>
    <s v="Y"/>
    <n v="608"/>
    <n v="121.6"/>
    <x v="9"/>
    <s v="VALIDATED"/>
    <n v="1"/>
    <s v="01.11.80.302.6100.0000"/>
    <n v="608"/>
    <s v="11"/>
    <s v="6100"/>
    <n v="55544.78"/>
    <n v="608"/>
    <s v="CREDITOR"/>
    <n v="0"/>
    <n v="0"/>
    <n v="0"/>
    <n v="0"/>
    <n v="608"/>
  </r>
  <r>
    <n v="61949709"/>
    <s v="N"/>
    <n v="21343231"/>
    <s v="3000015998600003"/>
    <s v="CIVIL"/>
    <d v="2023-06-25T00:00:00"/>
    <d v="2023-07-07T19:03:00"/>
    <m/>
    <d v="2023-07-07T00:00:00"/>
    <n v="201"/>
    <n v="12863"/>
    <s v="61949709"/>
    <s v="61949709"/>
    <m/>
    <m/>
    <n v="22756986"/>
    <m/>
    <m/>
    <m/>
    <s v="SOLFIN"/>
    <s v="SOLFIN"/>
    <s v="CCMS"/>
    <n v="21343231"/>
    <n v="1129.25"/>
    <m/>
    <s v="N"/>
    <n v="2"/>
    <d v="2023-07-07T19:03:05"/>
    <s v="Y"/>
    <s v="Process server"/>
    <s v="Domestic Abuse"/>
    <s v="Expert Disbursement"/>
    <s v="GLOBAL INVESTIGATIONS"/>
    <s v="Y"/>
    <n v="146.59"/>
    <n v="29.32"/>
    <x v="9"/>
    <s v="VALIDATED"/>
    <n v="1"/>
    <s v="01.11.80.302.6300.0000"/>
    <n v="146.59"/>
    <s v="11"/>
    <s v="6300"/>
    <n v="55544.78"/>
    <n v="146.59"/>
    <s v="CREDITOR"/>
    <n v="0"/>
    <n v="0"/>
    <n v="0"/>
    <n v="0"/>
    <n v="146.59"/>
  </r>
  <r>
    <n v="61044016"/>
    <s v="N"/>
    <n v="21324260"/>
    <s v="3000015201540001RC"/>
    <s v="CIVIL"/>
    <d v="2023-06-22T00:00:00"/>
    <d v="2023-07-03T19:42:50"/>
    <m/>
    <d v="2023-07-03T00:00:00"/>
    <n v="201"/>
    <n v="12863"/>
    <s v="61044016"/>
    <s v="61044016"/>
    <m/>
    <m/>
    <m/>
    <m/>
    <m/>
    <m/>
    <s v="SOLRECOUP"/>
    <s v="SOLRECOUP"/>
    <s v="POARECOUP"/>
    <n v="21324260"/>
    <n v="-207.18"/>
    <m/>
    <s v="Y"/>
    <n v="1"/>
    <d v="2023-07-03T19:42:50"/>
    <s v="N"/>
    <m/>
    <m/>
    <s v="Expert Disbursement"/>
    <m/>
    <s v="N"/>
    <n v="-172.65"/>
    <n v="0"/>
    <x v="3"/>
    <s v="VALIDATED"/>
    <n v="1"/>
    <s v="01.11.80.302.2013.0000"/>
    <n v="-172.65"/>
    <s v="11"/>
    <s v="2013"/>
    <n v="55544.78"/>
    <n v="-172.65"/>
    <s v="CREDITOR"/>
    <n v="0"/>
    <n v="0"/>
    <n v="-172.65"/>
    <n v="0"/>
    <n v="0"/>
  </r>
  <r>
    <n v="61044016"/>
    <s v="N"/>
    <n v="21324260"/>
    <s v="3000015201540001RC"/>
    <s v="CIVIL"/>
    <d v="2023-06-22T00:00:00"/>
    <d v="2023-07-03T19:42:50"/>
    <m/>
    <d v="2023-07-03T00:00:00"/>
    <n v="201"/>
    <n v="12863"/>
    <s v="61044016"/>
    <s v="61044016"/>
    <m/>
    <m/>
    <m/>
    <m/>
    <m/>
    <m/>
    <s v="SOLRECOUP"/>
    <s v="SOLRECOUP"/>
    <s v="POARECOUP"/>
    <n v="21324260"/>
    <n v="-207.18"/>
    <m/>
    <s v="Y"/>
    <n v="2"/>
    <d v="2023-07-03T19:42:50"/>
    <s v="N"/>
    <m/>
    <m/>
    <s v="Expert Disbursement"/>
    <m/>
    <s v="N"/>
    <n v="0"/>
    <n v="-34.53"/>
    <x v="3"/>
    <s v="VALIDATED"/>
    <n v="1"/>
    <s v="01.11.80.302.2013.0000"/>
    <n v="-34.53"/>
    <s v="11"/>
    <s v="2013"/>
    <n v="55544.78"/>
    <n v="-34.53"/>
    <s v="CREDITOR"/>
    <n v="0"/>
    <n v="0"/>
    <n v="-34.53"/>
    <n v="0"/>
    <n v="0"/>
  </r>
  <r>
    <n v="61044016"/>
    <s v="N"/>
    <n v="21324261"/>
    <s v="3000015201540002RC"/>
    <s v="CIVIL"/>
    <d v="2023-06-22T00:00:00"/>
    <d v="2023-07-03T19:42:50"/>
    <m/>
    <d v="2023-07-03T00:00:00"/>
    <n v="201"/>
    <n v="12863"/>
    <s v="61044016"/>
    <s v="61044016"/>
    <m/>
    <m/>
    <m/>
    <m/>
    <m/>
    <m/>
    <s v="SOLRECOUP"/>
    <s v="SOLRECOUP"/>
    <s v="POARECOUP"/>
    <n v="21324261"/>
    <n v="-210.86"/>
    <m/>
    <s v="Y"/>
    <n v="1"/>
    <d v="2023-07-03T19:42:50"/>
    <s v="N"/>
    <m/>
    <m/>
    <s v="Expert Disbursement"/>
    <m/>
    <s v="N"/>
    <n v="-175.72"/>
    <n v="0"/>
    <x v="3"/>
    <s v="VALIDATED"/>
    <n v="1"/>
    <s v="01.11.80.302.2013.0000"/>
    <n v="-175.72"/>
    <s v="11"/>
    <s v="2013"/>
    <n v="55544.78"/>
    <n v="-175.72"/>
    <s v="CREDITOR"/>
    <n v="0"/>
    <n v="0"/>
    <n v="-175.72"/>
    <n v="0"/>
    <n v="0"/>
  </r>
  <r>
    <n v="61044016"/>
    <s v="N"/>
    <n v="21324261"/>
    <s v="3000015201540002RC"/>
    <s v="CIVIL"/>
    <d v="2023-06-22T00:00:00"/>
    <d v="2023-07-03T19:42:50"/>
    <m/>
    <d v="2023-07-03T00:00:00"/>
    <n v="201"/>
    <n v="12863"/>
    <s v="61044016"/>
    <s v="61044016"/>
    <m/>
    <m/>
    <m/>
    <m/>
    <m/>
    <m/>
    <s v="SOLRECOUP"/>
    <s v="SOLRECOUP"/>
    <s v="POARECOUP"/>
    <n v="21324261"/>
    <n v="-210.86"/>
    <m/>
    <s v="Y"/>
    <n v="2"/>
    <d v="2023-07-03T19:42:50"/>
    <s v="N"/>
    <m/>
    <m/>
    <s v="Expert Disbursement"/>
    <m/>
    <s v="N"/>
    <n v="0"/>
    <n v="-35.14"/>
    <x v="3"/>
    <s v="VALIDATED"/>
    <n v="1"/>
    <s v="01.11.80.302.2013.0000"/>
    <n v="-35.14"/>
    <s v="11"/>
    <s v="2013"/>
    <n v="55544.78"/>
    <n v="-35.14"/>
    <s v="CREDITOR"/>
    <n v="0"/>
    <n v="0"/>
    <n v="-35.14"/>
    <n v="0"/>
    <n v="0"/>
  </r>
  <r>
    <n v="61949709"/>
    <s v="N"/>
    <n v="21346255"/>
    <s v="3000015998600001RC"/>
    <s v="CIVIL"/>
    <d v="2023-06-25T00:00:00"/>
    <d v="2023-07-07T19:34:21"/>
    <m/>
    <d v="2023-07-07T00:00:00"/>
    <n v="201"/>
    <n v="12863"/>
    <s v="61949709"/>
    <s v="61949709"/>
    <m/>
    <m/>
    <m/>
    <m/>
    <m/>
    <m/>
    <s v="SOLRECOUP"/>
    <s v="SOLRECOUP"/>
    <s v="POARECOUP"/>
    <n v="21346255"/>
    <n v="-175.91"/>
    <m/>
    <s v="Y"/>
    <n v="2"/>
    <d v="2023-07-07T19:34:22"/>
    <s v="N"/>
    <m/>
    <m/>
    <s v="Expert Disbursement"/>
    <m/>
    <s v="N"/>
    <n v="0"/>
    <n v="-29.32"/>
    <x v="9"/>
    <s v="VALIDATED"/>
    <n v="1"/>
    <s v="01.11.80.302.2013.0000"/>
    <n v="-29.32"/>
    <s v="11"/>
    <s v="2013"/>
    <n v="55544.78"/>
    <n v="-29.32"/>
    <s v="CREDITOR"/>
    <n v="0"/>
    <n v="0"/>
    <n v="-29.32"/>
    <n v="0"/>
    <n v="0"/>
  </r>
  <r>
    <n v="61200794"/>
    <s v="N"/>
    <n v="21346256"/>
    <s v="3000015374250002RC"/>
    <s v="CIVIL"/>
    <d v="2023-06-28T00:00:00"/>
    <d v="2023-07-07T19:34:21"/>
    <m/>
    <d v="2023-07-07T00:00:00"/>
    <n v="201"/>
    <n v="12863"/>
    <s v="61200794"/>
    <s v="61200794"/>
    <m/>
    <m/>
    <m/>
    <m/>
    <m/>
    <m/>
    <s v="SOLRECOUP"/>
    <s v="SOLRECOUP"/>
    <s v="POARECOUP"/>
    <n v="21346256"/>
    <n v="-207.18"/>
    <m/>
    <s v="Y"/>
    <n v="1"/>
    <d v="2023-07-07T19:34:22"/>
    <s v="N"/>
    <m/>
    <m/>
    <s v="Expert Disbursement"/>
    <m/>
    <s v="N"/>
    <n v="-172.65"/>
    <n v="0"/>
    <x v="9"/>
    <s v="VALIDATED"/>
    <n v="1"/>
    <s v="01.11.80.302.2013.0000"/>
    <n v="-172.65"/>
    <s v="11"/>
    <s v="2013"/>
    <n v="55544.78"/>
    <n v="-172.65"/>
    <s v="CREDITOR"/>
    <n v="0"/>
    <n v="0"/>
    <n v="-172.65"/>
    <n v="0"/>
    <n v="0"/>
  </r>
  <r>
    <n v="61200794"/>
    <s v="N"/>
    <n v="21346256"/>
    <s v="3000015374250002RC"/>
    <s v="CIVIL"/>
    <d v="2023-06-28T00:00:00"/>
    <d v="2023-07-07T19:34:21"/>
    <m/>
    <d v="2023-07-07T00:00:00"/>
    <n v="201"/>
    <n v="12863"/>
    <s v="61200794"/>
    <s v="61200794"/>
    <m/>
    <m/>
    <m/>
    <m/>
    <m/>
    <m/>
    <s v="SOLRECOUP"/>
    <s v="SOLRECOUP"/>
    <s v="POARECOUP"/>
    <n v="21346256"/>
    <n v="-207.18"/>
    <m/>
    <s v="Y"/>
    <n v="2"/>
    <d v="2023-07-07T19:34:22"/>
    <s v="N"/>
    <m/>
    <m/>
    <s v="Expert Disbursement"/>
    <m/>
    <s v="N"/>
    <n v="0"/>
    <n v="-34.53"/>
    <x v="9"/>
    <s v="VALIDATED"/>
    <n v="1"/>
    <s v="01.11.80.302.2013.0000"/>
    <n v="-34.53"/>
    <s v="11"/>
    <s v="2013"/>
    <n v="55544.78"/>
    <n v="-34.53"/>
    <s v="CREDITOR"/>
    <n v="0"/>
    <n v="0"/>
    <n v="-34.53"/>
    <n v="0"/>
    <n v="0"/>
  </r>
  <r>
    <n v="61200794"/>
    <s v="N"/>
    <n v="21346257"/>
    <s v="3000015374250003RC"/>
    <s v="CIVIL"/>
    <d v="2023-06-28T00:00:00"/>
    <d v="2023-07-07T19:34:21"/>
    <m/>
    <d v="2023-07-07T00:00:00"/>
    <n v="201"/>
    <n v="12863"/>
    <s v="61200794"/>
    <s v="61200794"/>
    <m/>
    <m/>
    <m/>
    <m/>
    <m/>
    <m/>
    <s v="SOLRECOUP"/>
    <s v="SOLRECOUP"/>
    <s v="POARECOUP"/>
    <n v="21346257"/>
    <n v="-60"/>
    <m/>
    <s v="Y"/>
    <n v="1"/>
    <d v="2023-07-07T19:34:22"/>
    <s v="N"/>
    <m/>
    <m/>
    <s v="Expert Disbursement"/>
    <m/>
    <s v="N"/>
    <n v="-50"/>
    <n v="0"/>
    <x v="9"/>
    <s v="VALIDATED"/>
    <n v="1"/>
    <s v="01.11.80.302.2013.0000"/>
    <n v="-50"/>
    <s v="11"/>
    <s v="2013"/>
    <n v="55544.78"/>
    <n v="-50"/>
    <s v="CREDITOR"/>
    <n v="0"/>
    <n v="0"/>
    <n v="-50"/>
    <n v="0"/>
    <n v="0"/>
  </r>
  <r>
    <n v="61200794"/>
    <s v="N"/>
    <n v="21346257"/>
    <s v="3000015374250003RC"/>
    <s v="CIVIL"/>
    <d v="2023-06-28T00:00:00"/>
    <d v="2023-07-07T19:34:21"/>
    <m/>
    <d v="2023-07-07T00:00:00"/>
    <n v="201"/>
    <n v="12863"/>
    <s v="61200794"/>
    <s v="61200794"/>
    <m/>
    <m/>
    <m/>
    <m/>
    <m/>
    <m/>
    <s v="SOLRECOUP"/>
    <s v="SOLRECOUP"/>
    <s v="POARECOUP"/>
    <n v="21346257"/>
    <n v="-60"/>
    <m/>
    <s v="Y"/>
    <n v="2"/>
    <d v="2023-07-07T19:34:22"/>
    <s v="N"/>
    <m/>
    <m/>
    <s v="Expert Disbursement"/>
    <m/>
    <s v="N"/>
    <n v="0"/>
    <n v="-10"/>
    <x v="9"/>
    <s v="VALIDATED"/>
    <n v="1"/>
    <s v="01.11.80.302.2013.0000"/>
    <n v="-10"/>
    <s v="11"/>
    <s v="2013"/>
    <n v="55544.78"/>
    <n v="-10"/>
    <s v="CREDITOR"/>
    <n v="0"/>
    <n v="0"/>
    <n v="-10"/>
    <n v="0"/>
    <n v="0"/>
  </r>
  <r>
    <n v="61200794"/>
    <s v="N"/>
    <n v="21346258"/>
    <s v="3000015374250005RC"/>
    <s v="CIVIL"/>
    <d v="2023-06-28T00:00:00"/>
    <d v="2023-07-07T19:34:21"/>
    <m/>
    <d v="2023-07-07T00:00:00"/>
    <n v="201"/>
    <n v="12863"/>
    <s v="61200794"/>
    <s v="61200794"/>
    <m/>
    <m/>
    <m/>
    <m/>
    <m/>
    <m/>
    <s v="SOLRECOUP"/>
    <s v="SOLRECOUP"/>
    <s v="POARECOUP"/>
    <n v="21346258"/>
    <n v="-60"/>
    <m/>
    <s v="Y"/>
    <n v="1"/>
    <d v="2023-07-07T19:34:22"/>
    <s v="N"/>
    <m/>
    <m/>
    <s v="Expert Disbursement"/>
    <m/>
    <s v="N"/>
    <n v="-50"/>
    <n v="0"/>
    <x v="9"/>
    <s v="VALIDATED"/>
    <n v="1"/>
    <s v="01.11.80.302.2013.0000"/>
    <n v="-50"/>
    <s v="11"/>
    <s v="2013"/>
    <n v="55544.78"/>
    <n v="-50"/>
    <s v="CREDITOR"/>
    <n v="0"/>
    <n v="0"/>
    <n v="-50"/>
    <n v="0"/>
    <n v="0"/>
  </r>
  <r>
    <n v="61200794"/>
    <s v="N"/>
    <n v="21346258"/>
    <s v="3000015374250005RC"/>
    <s v="CIVIL"/>
    <d v="2023-06-28T00:00:00"/>
    <d v="2023-07-07T19:34:21"/>
    <m/>
    <d v="2023-07-07T00:00:00"/>
    <n v="201"/>
    <n v="12863"/>
    <s v="61200794"/>
    <s v="61200794"/>
    <m/>
    <m/>
    <m/>
    <m/>
    <m/>
    <m/>
    <s v="SOLRECOUP"/>
    <s v="SOLRECOUP"/>
    <s v="POARECOUP"/>
    <n v="21346258"/>
    <n v="-60"/>
    <m/>
    <s v="Y"/>
    <n v="2"/>
    <d v="2023-07-07T19:34:22"/>
    <s v="N"/>
    <m/>
    <m/>
    <s v="Expert Disbursement"/>
    <m/>
    <s v="N"/>
    <n v="0"/>
    <n v="-10"/>
    <x v="9"/>
    <s v="VALIDATED"/>
    <n v="1"/>
    <s v="01.11.80.302.2013.0000"/>
    <n v="-10"/>
    <s v="11"/>
    <s v="2013"/>
    <n v="55544.78"/>
    <n v="-10"/>
    <s v="CREDITOR"/>
    <n v="0"/>
    <n v="0"/>
    <n v="-10"/>
    <n v="0"/>
    <n v="0"/>
  </r>
  <r>
    <n v="61573506"/>
    <s v="N"/>
    <n v="21333736"/>
    <s v="3000015684530001RC"/>
    <s v="CIVIL"/>
    <d v="2023-06-25T00:00:00"/>
    <d v="2023-07-05T19:42:28"/>
    <m/>
    <d v="2023-07-05T00:00:00"/>
    <n v="201"/>
    <n v="12863"/>
    <s v="61573506"/>
    <s v="61573506"/>
    <m/>
    <m/>
    <m/>
    <m/>
    <m/>
    <m/>
    <s v="SOLRECOUP"/>
    <s v="SOLRECOUP"/>
    <s v="POARECOUP"/>
    <n v="21333736"/>
    <n v="-210.86"/>
    <m/>
    <s v="Y"/>
    <n v="1"/>
    <d v="2023-07-05T19:42:28"/>
    <s v="N"/>
    <m/>
    <m/>
    <s v="Expert Disbursement"/>
    <m/>
    <s v="N"/>
    <n v="-175.72"/>
    <n v="0"/>
    <x v="6"/>
    <s v="VALIDATED"/>
    <n v="1"/>
    <s v="01.11.80.302.2013.0000"/>
    <n v="-175.72"/>
    <s v="11"/>
    <s v="2013"/>
    <n v="55544.78"/>
    <n v="-175.72"/>
    <s v="CREDITOR"/>
    <n v="0"/>
    <n v="0"/>
    <n v="-175.72"/>
    <n v="0"/>
    <n v="0"/>
  </r>
  <r>
    <n v="61573506"/>
    <s v="N"/>
    <n v="21333736"/>
    <s v="3000015684530001RC"/>
    <s v="CIVIL"/>
    <d v="2023-06-25T00:00:00"/>
    <d v="2023-07-05T19:42:28"/>
    <m/>
    <d v="2023-07-05T00:00:00"/>
    <n v="201"/>
    <n v="12863"/>
    <s v="61573506"/>
    <s v="61573506"/>
    <m/>
    <m/>
    <m/>
    <m/>
    <m/>
    <m/>
    <s v="SOLRECOUP"/>
    <s v="SOLRECOUP"/>
    <s v="POARECOUP"/>
    <n v="21333736"/>
    <n v="-210.86"/>
    <m/>
    <s v="Y"/>
    <n v="2"/>
    <d v="2023-07-05T19:42:28"/>
    <s v="N"/>
    <m/>
    <m/>
    <s v="Expert Disbursement"/>
    <m/>
    <s v="N"/>
    <n v="0"/>
    <n v="-35.14"/>
    <x v="6"/>
    <s v="VALIDATED"/>
    <n v="1"/>
    <s v="01.11.80.302.2013.0000"/>
    <n v="-35.14"/>
    <s v="11"/>
    <s v="2013"/>
    <n v="55544.78"/>
    <n v="-35.14"/>
    <s v="CREDITOR"/>
    <n v="0"/>
    <n v="0"/>
    <n v="-35.14"/>
    <n v="0"/>
    <n v="0"/>
  </r>
  <r>
    <n v="61600676"/>
    <s v="N"/>
    <n v="21333737"/>
    <s v="3000015693990001RC"/>
    <s v="CIVIL"/>
    <d v="2023-06-25T00:00:00"/>
    <d v="2023-07-05T19:42:28"/>
    <m/>
    <d v="2023-07-05T00:00:00"/>
    <n v="201"/>
    <n v="12863"/>
    <s v="61600676"/>
    <s v="61600676"/>
    <m/>
    <m/>
    <m/>
    <m/>
    <m/>
    <m/>
    <s v="SOLRECOUP"/>
    <s v="SOLRECOUP"/>
    <s v="POARECOUP"/>
    <n v="21333737"/>
    <n v="-210.86"/>
    <m/>
    <s v="Y"/>
    <n v="1"/>
    <d v="2023-07-05T19:42:28"/>
    <s v="N"/>
    <m/>
    <m/>
    <s v="Expert Disbursement"/>
    <m/>
    <s v="N"/>
    <n v="-175.72"/>
    <n v="0"/>
    <x v="6"/>
    <s v="VALIDATED"/>
    <n v="1"/>
    <s v="01.11.80.302.2013.0000"/>
    <n v="-175.72"/>
    <s v="11"/>
    <s v="2013"/>
    <n v="55544.78"/>
    <n v="-175.72"/>
    <s v="CREDITOR"/>
    <n v="0"/>
    <n v="0"/>
    <n v="-175.72"/>
    <n v="0"/>
    <n v="0"/>
  </r>
  <r>
    <n v="61600676"/>
    <s v="N"/>
    <n v="21333737"/>
    <s v="3000015693990001RC"/>
    <s v="CIVIL"/>
    <d v="2023-06-25T00:00:00"/>
    <d v="2023-07-05T19:42:28"/>
    <m/>
    <d v="2023-07-05T00:00:00"/>
    <n v="201"/>
    <n v="12863"/>
    <s v="61600676"/>
    <s v="61600676"/>
    <m/>
    <m/>
    <m/>
    <m/>
    <m/>
    <m/>
    <s v="SOLRECOUP"/>
    <s v="SOLRECOUP"/>
    <s v="POARECOUP"/>
    <n v="21333737"/>
    <n v="-210.86"/>
    <m/>
    <s v="Y"/>
    <n v="2"/>
    <d v="2023-07-05T19:42:28"/>
    <s v="N"/>
    <m/>
    <m/>
    <s v="Expert Disbursement"/>
    <m/>
    <s v="N"/>
    <n v="0"/>
    <n v="-35.14"/>
    <x v="6"/>
    <s v="VALIDATED"/>
    <n v="1"/>
    <s v="01.11.80.302.2013.0000"/>
    <n v="-35.14"/>
    <s v="11"/>
    <s v="2013"/>
    <n v="55544.78"/>
    <n v="-35.14"/>
    <s v="CREDITOR"/>
    <n v="0"/>
    <n v="0"/>
    <n v="-35.14"/>
    <n v="0"/>
    <n v="0"/>
  </r>
  <r>
    <n v="61648334"/>
    <s v="N"/>
    <n v="21333738"/>
    <s v="3000015740620001RC"/>
    <s v="CIVIL"/>
    <d v="2023-06-25T00:00:00"/>
    <d v="2023-07-05T19:42:28"/>
    <m/>
    <d v="2023-07-05T00:00:00"/>
    <n v="201"/>
    <n v="12863"/>
    <s v="61648334"/>
    <s v="61648334"/>
    <m/>
    <m/>
    <m/>
    <m/>
    <m/>
    <m/>
    <s v="SOLRECOUP"/>
    <s v="SOLRECOUP"/>
    <s v="POARECOUP"/>
    <n v="21333738"/>
    <n v="-238.46"/>
    <m/>
    <s v="Y"/>
    <n v="1"/>
    <d v="2023-07-05T19:42:28"/>
    <s v="N"/>
    <m/>
    <m/>
    <s v="Expert Disbursement"/>
    <m/>
    <s v="N"/>
    <n v="-198.72"/>
    <n v="0"/>
    <x v="6"/>
    <s v="VALIDATED"/>
    <n v="1"/>
    <s v="01.11.80.302.2013.0000"/>
    <n v="-198.72"/>
    <s v="11"/>
    <s v="2013"/>
    <n v="55544.78"/>
    <n v="-198.72"/>
    <s v="CREDITOR"/>
    <n v="0"/>
    <n v="0"/>
    <n v="-198.72"/>
    <n v="0"/>
    <n v="0"/>
  </r>
  <r>
    <n v="61648334"/>
    <s v="N"/>
    <n v="21333738"/>
    <s v="3000015740620001RC"/>
    <s v="CIVIL"/>
    <d v="2023-06-25T00:00:00"/>
    <d v="2023-07-05T19:42:28"/>
    <m/>
    <d v="2023-07-05T00:00:00"/>
    <n v="201"/>
    <n v="12863"/>
    <s v="61648334"/>
    <s v="61648334"/>
    <m/>
    <m/>
    <m/>
    <m/>
    <m/>
    <m/>
    <s v="SOLRECOUP"/>
    <s v="SOLRECOUP"/>
    <s v="POARECOUP"/>
    <n v="21333738"/>
    <n v="-238.46"/>
    <m/>
    <s v="Y"/>
    <n v="2"/>
    <d v="2023-07-05T19:42:28"/>
    <s v="N"/>
    <m/>
    <m/>
    <s v="Expert Disbursement"/>
    <m/>
    <s v="N"/>
    <n v="0"/>
    <n v="-39.74"/>
    <x v="6"/>
    <s v="VALIDATED"/>
    <n v="1"/>
    <s v="01.11.80.302.2013.0000"/>
    <n v="-39.74"/>
    <s v="11"/>
    <s v="2013"/>
    <n v="55544.78"/>
    <n v="-39.74"/>
    <s v="CREDITOR"/>
    <n v="0"/>
    <n v="0"/>
    <n v="-39.74"/>
    <n v="0"/>
    <n v="0"/>
  </r>
  <r>
    <n v="62250479"/>
    <s v="N"/>
    <n v="21393101"/>
    <s v="3000016247180001RC"/>
    <s v="CIVIL"/>
    <d v="2023-06-07T00:00:00"/>
    <d v="2023-07-18T19:33:39"/>
    <m/>
    <d v="2023-07-18T00:00:00"/>
    <n v="201"/>
    <n v="12863"/>
    <s v="62250479"/>
    <s v="62250479"/>
    <m/>
    <m/>
    <m/>
    <m/>
    <m/>
    <m/>
    <s v="SOLRECOUP"/>
    <s v="SOLRECOUP"/>
    <s v="POARECOUP"/>
    <n v="21393101"/>
    <n v="-60"/>
    <m/>
    <s v="Y"/>
    <n v="2"/>
    <d v="2023-07-18T19:33:39"/>
    <s v="N"/>
    <m/>
    <m/>
    <s v="Expert Disbursement"/>
    <m/>
    <s v="N"/>
    <n v="0"/>
    <n v="-10"/>
    <x v="14"/>
    <s v="VALIDATED"/>
    <n v="1"/>
    <s v="01.11.80.302.2013.0000"/>
    <n v="-10"/>
    <s v="11"/>
    <s v="2013"/>
    <n v="55544.78"/>
    <n v="-10"/>
    <s v="CREDITOR"/>
    <n v="0"/>
    <n v="0"/>
    <n v="-10"/>
    <n v="0"/>
    <n v="0"/>
  </r>
  <r>
    <n v="62250479"/>
    <s v="N"/>
    <n v="21393101"/>
    <s v="3000016247180001RC"/>
    <s v="CIVIL"/>
    <d v="2023-06-07T00:00:00"/>
    <d v="2023-07-18T19:33:39"/>
    <m/>
    <d v="2023-07-18T00:00:00"/>
    <n v="201"/>
    <n v="12863"/>
    <s v="62250479"/>
    <s v="62250479"/>
    <m/>
    <m/>
    <m/>
    <m/>
    <m/>
    <m/>
    <s v="SOLRECOUP"/>
    <s v="SOLRECOUP"/>
    <s v="POARECOUP"/>
    <n v="21393101"/>
    <n v="-60"/>
    <m/>
    <s v="Y"/>
    <n v="1"/>
    <d v="2023-07-18T19:33:39"/>
    <s v="N"/>
    <m/>
    <m/>
    <s v="Expert Disbursement"/>
    <m/>
    <s v="N"/>
    <n v="-50"/>
    <n v="0"/>
    <x v="14"/>
    <s v="VALIDATED"/>
    <n v="1"/>
    <s v="01.11.80.302.2013.0000"/>
    <n v="-50"/>
    <s v="11"/>
    <s v="2013"/>
    <n v="55544.78"/>
    <n v="-50"/>
    <s v="CREDITOR"/>
    <n v="0"/>
    <n v="0"/>
    <n v="-50"/>
    <n v="0"/>
    <n v="0"/>
  </r>
  <r>
    <n v="62314880"/>
    <s v="N"/>
    <n v="21371597"/>
    <s v="3000016300700001RC"/>
    <s v="CIVIL"/>
    <d v="2023-06-26T00:00:00"/>
    <d v="2023-07-13T19:53:16"/>
    <m/>
    <d v="2023-07-13T00:00:00"/>
    <n v="201"/>
    <n v="12863"/>
    <s v="62314880"/>
    <s v="62314880"/>
    <m/>
    <m/>
    <m/>
    <m/>
    <m/>
    <m/>
    <s v="SOLRECOUP"/>
    <s v="SOLRECOUP"/>
    <s v="POARECOUP"/>
    <n v="21371597"/>
    <n v="-216.38"/>
    <m/>
    <s v="Y"/>
    <n v="1"/>
    <d v="2023-07-13T19:53:16"/>
    <s v="N"/>
    <m/>
    <m/>
    <s v="Expert Disbursement"/>
    <m/>
    <s v="N"/>
    <n v="-180.32"/>
    <n v="0"/>
    <x v="11"/>
    <s v="VALIDATED"/>
    <n v="1"/>
    <s v="01.11.80.302.2013.0000"/>
    <n v="-180.32"/>
    <s v="11"/>
    <s v="2013"/>
    <n v="55544.78"/>
    <n v="-180.32"/>
    <s v="CREDITOR"/>
    <n v="0"/>
    <n v="0"/>
    <n v="-180.32"/>
    <n v="0"/>
    <n v="0"/>
  </r>
  <r>
    <n v="62314880"/>
    <s v="N"/>
    <n v="21371597"/>
    <s v="3000016300700001RC"/>
    <s v="CIVIL"/>
    <d v="2023-06-26T00:00:00"/>
    <d v="2023-07-13T19:53:16"/>
    <m/>
    <d v="2023-07-13T00:00:00"/>
    <n v="201"/>
    <n v="12863"/>
    <s v="62314880"/>
    <s v="62314880"/>
    <m/>
    <m/>
    <m/>
    <m/>
    <m/>
    <m/>
    <s v="SOLRECOUP"/>
    <s v="SOLRECOUP"/>
    <s v="POARECOUP"/>
    <n v="21371597"/>
    <n v="-216.38"/>
    <m/>
    <s v="Y"/>
    <n v="2"/>
    <d v="2023-07-13T19:53:16"/>
    <s v="N"/>
    <m/>
    <m/>
    <s v="Expert Disbursement"/>
    <m/>
    <s v="N"/>
    <n v="0"/>
    <n v="-36.06"/>
    <x v="11"/>
    <s v="VALIDATED"/>
    <n v="1"/>
    <s v="01.11.80.302.2013.0000"/>
    <n v="-36.06"/>
    <s v="11"/>
    <s v="2013"/>
    <n v="55544.78"/>
    <n v="-36.06"/>
    <s v="CREDITOR"/>
    <n v="0"/>
    <n v="0"/>
    <n v="-36.06"/>
    <n v="0"/>
    <n v="0"/>
  </r>
  <r>
    <n v="62394897"/>
    <s v="N"/>
    <n v="21366262"/>
    <s v="3000016369520001RC"/>
    <s v="CIVIL"/>
    <d v="2023-06-28T00:00:00"/>
    <d v="2023-07-12T19:45:17"/>
    <m/>
    <d v="2023-07-12T00:00:00"/>
    <n v="201"/>
    <n v="12863"/>
    <s v="62394897"/>
    <s v="62394897"/>
    <m/>
    <m/>
    <m/>
    <m/>
    <m/>
    <m/>
    <s v="SOLRECOUP"/>
    <s v="SOLRECOUP"/>
    <s v="POARECOUP"/>
    <n v="21366262"/>
    <n v="-209.03"/>
    <m/>
    <s v="Y"/>
    <n v="2"/>
    <d v="2023-07-12T19:45:17"/>
    <s v="N"/>
    <m/>
    <m/>
    <s v="Expert Disbursement"/>
    <m/>
    <s v="N"/>
    <n v="0"/>
    <n v="-34.84"/>
    <x v="0"/>
    <s v="VALIDATED"/>
    <n v="1"/>
    <s v="01.11.80.302.2013.0000"/>
    <n v="-34.84"/>
    <s v="11"/>
    <s v="2013"/>
    <n v="55544.78"/>
    <n v="-34.84"/>
    <s v="CREDITOR"/>
    <n v="0"/>
    <n v="0"/>
    <n v="-34.84"/>
    <n v="0"/>
    <n v="0"/>
  </r>
  <r>
    <n v="62020764"/>
    <s v="N"/>
    <n v="21366265"/>
    <s v="3000016060070001RC"/>
    <s v="CIVIL"/>
    <d v="2023-06-28T00:00:00"/>
    <d v="2023-07-12T19:45:17"/>
    <m/>
    <d v="2023-07-12T00:00:00"/>
    <n v="201"/>
    <n v="12863"/>
    <s v="62020764"/>
    <s v="62020764"/>
    <m/>
    <m/>
    <m/>
    <m/>
    <m/>
    <m/>
    <s v="SOLRECOUP"/>
    <s v="SOLRECOUP"/>
    <s v="POARECOUP"/>
    <n v="21366265"/>
    <n v="-291.83"/>
    <m/>
    <s v="Y"/>
    <n v="1"/>
    <d v="2023-07-12T19:45:17"/>
    <s v="N"/>
    <m/>
    <m/>
    <s v="Expert Disbursement"/>
    <m/>
    <s v="N"/>
    <n v="-243.19"/>
    <n v="0"/>
    <x v="0"/>
    <s v="VALIDATED"/>
    <n v="1"/>
    <s v="01.11.80.302.2013.0000"/>
    <n v="-243.19"/>
    <s v="11"/>
    <s v="2013"/>
    <n v="55544.78"/>
    <n v="-243.19"/>
    <s v="CREDITOR"/>
    <n v="0"/>
    <n v="0"/>
    <n v="-243.19"/>
    <n v="0"/>
    <n v="0"/>
  </r>
  <r>
    <n v="62020764"/>
    <s v="N"/>
    <n v="21366265"/>
    <s v="3000016060070001RC"/>
    <s v="CIVIL"/>
    <d v="2023-06-28T00:00:00"/>
    <d v="2023-07-12T19:45:17"/>
    <m/>
    <d v="2023-07-12T00:00:00"/>
    <n v="201"/>
    <n v="12863"/>
    <s v="62020764"/>
    <s v="62020764"/>
    <m/>
    <m/>
    <m/>
    <m/>
    <m/>
    <m/>
    <s v="SOLRECOUP"/>
    <s v="SOLRECOUP"/>
    <s v="POARECOUP"/>
    <n v="21366265"/>
    <n v="-291.83"/>
    <m/>
    <s v="Y"/>
    <n v="2"/>
    <d v="2023-07-12T19:45:17"/>
    <s v="N"/>
    <m/>
    <m/>
    <s v="Expert Disbursement"/>
    <m/>
    <s v="N"/>
    <n v="0"/>
    <n v="-48.64"/>
    <x v="0"/>
    <s v="VALIDATED"/>
    <n v="1"/>
    <s v="01.11.80.302.2013.0000"/>
    <n v="-48.64"/>
    <s v="11"/>
    <s v="2013"/>
    <n v="55544.78"/>
    <n v="-48.64"/>
    <s v="CREDITOR"/>
    <n v="0"/>
    <n v="0"/>
    <n v="-48.64"/>
    <n v="0"/>
    <n v="0"/>
  </r>
  <r>
    <n v="62373460"/>
    <s v="N"/>
    <n v="21366267"/>
    <s v="3000016352920001RC"/>
    <s v="CIVIL"/>
    <d v="2023-06-26T00:00:00"/>
    <d v="2023-07-12T19:45:17"/>
    <m/>
    <d v="2023-07-12T00:00:00"/>
    <n v="201"/>
    <n v="12863"/>
    <s v="62373460"/>
    <s v="62373460"/>
    <m/>
    <m/>
    <m/>
    <m/>
    <m/>
    <m/>
    <s v="SOLRECOUP"/>
    <s v="SOLRECOUP"/>
    <s v="POARECOUP"/>
    <n v="21366267"/>
    <n v="-194.3"/>
    <m/>
    <s v="Y"/>
    <n v="2"/>
    <d v="2023-07-12T19:45:17"/>
    <s v="N"/>
    <m/>
    <m/>
    <s v="Expert Disbursement"/>
    <m/>
    <s v="N"/>
    <n v="0"/>
    <n v="-32.38"/>
    <x v="0"/>
    <s v="VALIDATED"/>
    <n v="1"/>
    <s v="01.11.80.302.2013.0000"/>
    <n v="-32.38"/>
    <s v="11"/>
    <s v="2013"/>
    <n v="55544.78"/>
    <n v="-32.38"/>
    <s v="CREDITOR"/>
    <n v="0"/>
    <n v="0"/>
    <n v="-32.38"/>
    <n v="0"/>
    <n v="0"/>
  </r>
  <r>
    <n v="62373460"/>
    <s v="N"/>
    <n v="21366267"/>
    <s v="3000016352920001RC"/>
    <s v="CIVIL"/>
    <d v="2023-06-26T00:00:00"/>
    <d v="2023-07-12T19:45:17"/>
    <m/>
    <d v="2023-07-12T00:00:00"/>
    <n v="201"/>
    <n v="12863"/>
    <s v="62373460"/>
    <s v="62373460"/>
    <m/>
    <m/>
    <m/>
    <m/>
    <m/>
    <m/>
    <s v="SOLRECOUP"/>
    <s v="SOLRECOUP"/>
    <s v="POARECOUP"/>
    <n v="21366267"/>
    <n v="-194.3"/>
    <m/>
    <s v="Y"/>
    <n v="1"/>
    <d v="2023-07-12T19:45:17"/>
    <s v="N"/>
    <m/>
    <m/>
    <s v="Expert Disbursement"/>
    <m/>
    <s v="N"/>
    <n v="-161.92"/>
    <n v="0"/>
    <x v="0"/>
    <s v="VALIDATED"/>
    <n v="1"/>
    <s v="01.11.80.302.2013.0000"/>
    <n v="-161.92"/>
    <s v="11"/>
    <s v="2013"/>
    <n v="55544.78"/>
    <n v="-161.92"/>
    <s v="CREDITOR"/>
    <n v="0"/>
    <n v="0"/>
    <n v="-161.92"/>
    <n v="0"/>
    <n v="0"/>
  </r>
  <r>
    <n v="61882491"/>
    <s v="N"/>
    <n v="21366261"/>
    <s v="3000015943670001RC"/>
    <s v="CIVIL"/>
    <d v="2023-06-29T00:00:00"/>
    <d v="2023-07-12T19:45:17"/>
    <m/>
    <d v="2023-07-12T00:00:00"/>
    <n v="201"/>
    <n v="12863"/>
    <s v="61882491"/>
    <s v="61882491"/>
    <m/>
    <m/>
    <m/>
    <m/>
    <m/>
    <m/>
    <s v="SOLRECOUP"/>
    <s v="SOLRECOUP"/>
    <s v="POARECOUP"/>
    <n v="21366261"/>
    <n v="-192.47"/>
    <m/>
    <s v="Y"/>
    <n v="2"/>
    <d v="2023-07-12T19:45:17"/>
    <s v="N"/>
    <m/>
    <m/>
    <s v="Expert Disbursement"/>
    <m/>
    <s v="N"/>
    <n v="0"/>
    <n v="-32.08"/>
    <x v="0"/>
    <s v="VALIDATED"/>
    <n v="1"/>
    <s v="01.11.80.302.2013.0000"/>
    <n v="-32.08"/>
    <s v="11"/>
    <s v="2013"/>
    <n v="55544.78"/>
    <n v="-32.08"/>
    <s v="CREDITOR"/>
    <n v="0"/>
    <n v="0"/>
    <n v="-32.08"/>
    <n v="0"/>
    <n v="0"/>
  </r>
  <r>
    <n v="61882491"/>
    <s v="N"/>
    <n v="21366261"/>
    <s v="3000015943670001RC"/>
    <s v="CIVIL"/>
    <d v="2023-06-29T00:00:00"/>
    <d v="2023-07-12T19:45:17"/>
    <m/>
    <d v="2023-07-12T00:00:00"/>
    <n v="201"/>
    <n v="12863"/>
    <s v="61882491"/>
    <s v="61882491"/>
    <m/>
    <m/>
    <m/>
    <m/>
    <m/>
    <m/>
    <s v="SOLRECOUP"/>
    <s v="SOLRECOUP"/>
    <s v="POARECOUP"/>
    <n v="21366261"/>
    <n v="-192.47"/>
    <m/>
    <s v="Y"/>
    <n v="1"/>
    <d v="2023-07-12T19:45:17"/>
    <s v="N"/>
    <m/>
    <m/>
    <s v="Expert Disbursement"/>
    <m/>
    <s v="N"/>
    <n v="-160.39"/>
    <n v="0"/>
    <x v="0"/>
    <s v="VALIDATED"/>
    <n v="1"/>
    <s v="01.11.80.302.2013.0000"/>
    <n v="-160.39"/>
    <s v="11"/>
    <s v="2013"/>
    <n v="55544.78"/>
    <n v="-160.39"/>
    <s v="CREDITOR"/>
    <n v="0"/>
    <n v="0"/>
    <n v="-160.39"/>
    <n v="0"/>
    <n v="0"/>
  </r>
  <r>
    <n v="62394897"/>
    <s v="N"/>
    <n v="21366262"/>
    <s v="3000016369520001RC"/>
    <s v="CIVIL"/>
    <d v="2023-06-28T00:00:00"/>
    <d v="2023-07-12T19:45:17"/>
    <m/>
    <d v="2023-07-12T00:00:00"/>
    <n v="201"/>
    <n v="12863"/>
    <s v="62394897"/>
    <s v="62394897"/>
    <m/>
    <m/>
    <m/>
    <m/>
    <m/>
    <m/>
    <s v="SOLRECOUP"/>
    <s v="SOLRECOUP"/>
    <s v="POARECOUP"/>
    <n v="21366262"/>
    <n v="-209.03"/>
    <m/>
    <s v="Y"/>
    <n v="1"/>
    <d v="2023-07-12T19:45:17"/>
    <s v="N"/>
    <m/>
    <m/>
    <s v="Expert Disbursement"/>
    <m/>
    <s v="N"/>
    <n v="-174.19"/>
    <n v="0"/>
    <x v="0"/>
    <s v="VALIDATED"/>
    <n v="1"/>
    <s v="01.11.80.302.2013.0000"/>
    <n v="-174.19"/>
    <s v="11"/>
    <s v="2013"/>
    <n v="55544.78"/>
    <n v="-174.19"/>
    <s v="CREDITOR"/>
    <n v="0"/>
    <n v="0"/>
    <n v="-174.19"/>
    <n v="0"/>
    <n v="0"/>
  </r>
  <r>
    <n v="60867358"/>
    <s v="N"/>
    <n v="21356277"/>
    <s v="3000015091730001RC"/>
    <s v="CIVIL"/>
    <d v="2023-06-30T00:00:00"/>
    <d v="2023-07-10T19:47:44"/>
    <m/>
    <d v="2023-07-10T00:00:00"/>
    <n v="201"/>
    <n v="12863"/>
    <s v="60867358"/>
    <s v="60867358"/>
    <m/>
    <m/>
    <m/>
    <m/>
    <m/>
    <m/>
    <s v="SOLRECOUP"/>
    <s v="SOLRECOUP"/>
    <s v="POARECOUP"/>
    <n v="21356277"/>
    <n v="-192.47"/>
    <m/>
    <s v="Y"/>
    <n v="2"/>
    <d v="2023-07-10T19:47:44"/>
    <s v="N"/>
    <m/>
    <m/>
    <s v="Expert Disbursement"/>
    <m/>
    <s v="N"/>
    <n v="0"/>
    <n v="-32.08"/>
    <x v="2"/>
    <s v="VALIDATED"/>
    <n v="1"/>
    <s v="01.11.80.302.2013.0000"/>
    <n v="-32.08"/>
    <s v="11"/>
    <s v="2013"/>
    <n v="55544.78"/>
    <n v="-32.08"/>
    <s v="CREDITOR"/>
    <n v="0"/>
    <n v="0"/>
    <n v="-32.08"/>
    <n v="0"/>
    <n v="0"/>
  </r>
  <r>
    <n v="60867358"/>
    <s v="N"/>
    <n v="21356277"/>
    <s v="3000015091730001RC"/>
    <s v="CIVIL"/>
    <d v="2023-06-30T00:00:00"/>
    <d v="2023-07-10T19:47:44"/>
    <m/>
    <d v="2023-07-10T00:00:00"/>
    <n v="201"/>
    <n v="12863"/>
    <s v="60867358"/>
    <s v="60867358"/>
    <m/>
    <m/>
    <m/>
    <m/>
    <m/>
    <m/>
    <s v="SOLRECOUP"/>
    <s v="SOLRECOUP"/>
    <s v="POARECOUP"/>
    <n v="21356277"/>
    <n v="-192.47"/>
    <m/>
    <s v="Y"/>
    <n v="1"/>
    <d v="2023-07-10T19:47:44"/>
    <s v="N"/>
    <m/>
    <m/>
    <s v="Expert Disbursement"/>
    <m/>
    <s v="N"/>
    <n v="-160.39"/>
    <n v="0"/>
    <x v="2"/>
    <s v="VALIDATED"/>
    <n v="1"/>
    <s v="01.11.80.302.2013.0000"/>
    <n v="-160.39"/>
    <s v="11"/>
    <s v="2013"/>
    <n v="55544.78"/>
    <n v="-160.39"/>
    <s v="CREDITOR"/>
    <n v="0"/>
    <n v="0"/>
    <n v="-160.39"/>
    <n v="0"/>
    <n v="0"/>
  </r>
  <r>
    <n v="61298915"/>
    <s v="N"/>
    <n v="21356278"/>
    <s v="3000015438240002RC"/>
    <s v="CIVIL"/>
    <d v="2023-06-29T00:00:00"/>
    <d v="2023-07-10T19:47:44"/>
    <m/>
    <d v="2023-07-10T00:00:00"/>
    <n v="201"/>
    <n v="12863"/>
    <s v="61298915"/>
    <s v="61298915"/>
    <m/>
    <m/>
    <m/>
    <m/>
    <m/>
    <m/>
    <s v="SOLRECOUP"/>
    <s v="SOLRECOUP"/>
    <s v="POARECOUP"/>
    <n v="21356278"/>
    <n v="-201.66"/>
    <m/>
    <s v="Y"/>
    <n v="2"/>
    <d v="2023-07-10T19:47:44"/>
    <s v="N"/>
    <m/>
    <m/>
    <s v="Expert Disbursement"/>
    <m/>
    <s v="N"/>
    <n v="0"/>
    <n v="-33.61"/>
    <x v="2"/>
    <s v="VALIDATED"/>
    <n v="1"/>
    <s v="01.11.80.302.2013.0000"/>
    <n v="-33.61"/>
    <s v="11"/>
    <s v="2013"/>
    <n v="55544.78"/>
    <n v="-33.61"/>
    <s v="CREDITOR"/>
    <n v="0"/>
    <n v="0"/>
    <n v="-33.61"/>
    <n v="0"/>
    <n v="0"/>
  </r>
  <r>
    <n v="61298915"/>
    <s v="N"/>
    <n v="21356278"/>
    <s v="3000015438240002RC"/>
    <s v="CIVIL"/>
    <d v="2023-06-29T00:00:00"/>
    <d v="2023-07-10T19:47:44"/>
    <m/>
    <d v="2023-07-10T00:00:00"/>
    <n v="201"/>
    <n v="12863"/>
    <s v="61298915"/>
    <s v="61298915"/>
    <m/>
    <m/>
    <m/>
    <m/>
    <m/>
    <m/>
    <s v="SOLRECOUP"/>
    <s v="SOLRECOUP"/>
    <s v="POARECOUP"/>
    <n v="21356278"/>
    <n v="-201.66"/>
    <m/>
    <s v="Y"/>
    <n v="1"/>
    <d v="2023-07-10T19:47:44"/>
    <s v="N"/>
    <m/>
    <m/>
    <s v="Expert Disbursement"/>
    <m/>
    <s v="N"/>
    <n v="-168.05"/>
    <n v="0"/>
    <x v="2"/>
    <s v="VALIDATED"/>
    <n v="1"/>
    <s v="01.11.80.302.2013.0000"/>
    <n v="-168.05"/>
    <s v="11"/>
    <s v="2013"/>
    <n v="55544.78"/>
    <n v="-168.05"/>
    <s v="CREDITOR"/>
    <n v="0"/>
    <n v="0"/>
    <n v="-168.05"/>
    <n v="0"/>
    <n v="0"/>
  </r>
  <r>
    <n v="61298915"/>
    <s v="N"/>
    <n v="21356279"/>
    <s v="3000015438240001RC"/>
    <s v="CIVIL"/>
    <d v="2023-06-29T00:00:00"/>
    <d v="2023-07-10T19:47:44"/>
    <m/>
    <d v="2023-07-10T00:00:00"/>
    <n v="201"/>
    <n v="12863"/>
    <s v="61298915"/>
    <s v="61298915"/>
    <m/>
    <m/>
    <m/>
    <m/>
    <m/>
    <m/>
    <s v="SOLRECOUP"/>
    <s v="SOLRECOUP"/>
    <s v="POARECOUP"/>
    <n v="21356279"/>
    <n v="-60"/>
    <m/>
    <s v="Y"/>
    <n v="2"/>
    <d v="2023-07-10T19:47:44"/>
    <s v="N"/>
    <m/>
    <m/>
    <s v="Expert Disbursement"/>
    <m/>
    <s v="N"/>
    <n v="0"/>
    <n v="-10"/>
    <x v="2"/>
    <s v="VALIDATED"/>
    <n v="1"/>
    <s v="01.11.80.302.2013.0000"/>
    <n v="-10"/>
    <s v="11"/>
    <s v="2013"/>
    <n v="55544.78"/>
    <n v="-10"/>
    <s v="CREDITOR"/>
    <n v="0"/>
    <n v="0"/>
    <n v="-10"/>
    <n v="0"/>
    <n v="0"/>
  </r>
  <r>
    <n v="61298915"/>
    <s v="N"/>
    <n v="21356279"/>
    <s v="3000015438240001RC"/>
    <s v="CIVIL"/>
    <d v="2023-06-29T00:00:00"/>
    <d v="2023-07-10T19:47:44"/>
    <m/>
    <d v="2023-07-10T00:00:00"/>
    <n v="201"/>
    <n v="12863"/>
    <s v="61298915"/>
    <s v="61298915"/>
    <m/>
    <m/>
    <m/>
    <m/>
    <m/>
    <m/>
    <s v="SOLRECOUP"/>
    <s v="SOLRECOUP"/>
    <s v="POARECOUP"/>
    <n v="21356279"/>
    <n v="-60"/>
    <m/>
    <s v="Y"/>
    <n v="1"/>
    <d v="2023-07-10T19:47:44"/>
    <s v="N"/>
    <m/>
    <m/>
    <s v="Expert Disbursement"/>
    <m/>
    <s v="N"/>
    <n v="-50"/>
    <n v="0"/>
    <x v="2"/>
    <s v="VALIDATED"/>
    <n v="1"/>
    <s v="01.11.80.302.2013.0000"/>
    <n v="-50"/>
    <s v="11"/>
    <s v="2013"/>
    <n v="55544.78"/>
    <n v="-50"/>
    <s v="CREDITOR"/>
    <n v="0"/>
    <n v="0"/>
    <n v="-50"/>
    <n v="0"/>
    <n v="0"/>
  </r>
  <r>
    <n v="61298915"/>
    <s v="N"/>
    <n v="21356280"/>
    <s v="3000015438240003RC"/>
    <s v="CIVIL"/>
    <d v="2023-06-29T00:00:00"/>
    <d v="2023-07-10T19:47:44"/>
    <m/>
    <d v="2023-07-10T00:00:00"/>
    <n v="201"/>
    <n v="12863"/>
    <s v="61298915"/>
    <s v="61298915"/>
    <m/>
    <m/>
    <m/>
    <m/>
    <m/>
    <m/>
    <s v="SOLRECOUP"/>
    <s v="SOLRECOUP"/>
    <s v="POARECOUP"/>
    <n v="21356280"/>
    <n v="-209.03"/>
    <m/>
    <s v="Y"/>
    <n v="1"/>
    <d v="2023-07-10T19:47:44"/>
    <s v="N"/>
    <m/>
    <m/>
    <s v="Expert Disbursement"/>
    <m/>
    <s v="N"/>
    <n v="-174.19"/>
    <n v="0"/>
    <x v="2"/>
    <s v="VALIDATED"/>
    <n v="1"/>
    <s v="01.11.80.302.2013.0000"/>
    <n v="-174.19"/>
    <s v="11"/>
    <s v="2013"/>
    <n v="55544.78"/>
    <n v="-174.19"/>
    <s v="CREDITOR"/>
    <n v="0"/>
    <n v="0"/>
    <n v="-174.19"/>
    <n v="0"/>
    <n v="0"/>
  </r>
  <r>
    <n v="61298915"/>
    <s v="N"/>
    <n v="21356280"/>
    <s v="3000015438240003RC"/>
    <s v="CIVIL"/>
    <d v="2023-06-29T00:00:00"/>
    <d v="2023-07-10T19:47:44"/>
    <m/>
    <d v="2023-07-10T00:00:00"/>
    <n v="201"/>
    <n v="12863"/>
    <s v="61298915"/>
    <s v="61298915"/>
    <m/>
    <m/>
    <m/>
    <m/>
    <m/>
    <m/>
    <s v="SOLRECOUP"/>
    <s v="SOLRECOUP"/>
    <s v="POARECOUP"/>
    <n v="21356280"/>
    <n v="-209.03"/>
    <m/>
    <s v="Y"/>
    <n v="2"/>
    <d v="2023-07-10T19:47:44"/>
    <s v="N"/>
    <m/>
    <m/>
    <s v="Expert Disbursement"/>
    <m/>
    <s v="N"/>
    <n v="0"/>
    <n v="-34.84"/>
    <x v="2"/>
    <s v="VALIDATED"/>
    <n v="1"/>
    <s v="01.11.80.302.2013.0000"/>
    <n v="-34.84"/>
    <s v="11"/>
    <s v="2013"/>
    <n v="55544.78"/>
    <n v="-34.84"/>
    <s v="CREDITOR"/>
    <n v="0"/>
    <n v="0"/>
    <n v="-34.84"/>
    <n v="0"/>
    <n v="0"/>
  </r>
  <r>
    <n v="61949709"/>
    <s v="N"/>
    <n v="21346250"/>
    <s v="3000015998600002RC"/>
    <s v="CIVIL"/>
    <d v="2023-06-25T00:00:00"/>
    <d v="2023-07-07T19:34:21"/>
    <m/>
    <d v="2023-07-07T00:00:00"/>
    <n v="201"/>
    <n v="12863"/>
    <s v="61949709"/>
    <s v="61949709"/>
    <m/>
    <m/>
    <m/>
    <m/>
    <m/>
    <m/>
    <s v="SOLRECOUP"/>
    <s v="SOLRECOUP"/>
    <s v="POARECOUP"/>
    <n v="21346250"/>
    <n v="-223.74"/>
    <m/>
    <s v="Y"/>
    <n v="1"/>
    <d v="2023-07-07T19:34:22"/>
    <s v="N"/>
    <m/>
    <m/>
    <s v="Expert Disbursement"/>
    <m/>
    <s v="N"/>
    <n v="-186.45"/>
    <n v="0"/>
    <x v="9"/>
    <s v="VALIDATED"/>
    <n v="1"/>
    <s v="01.11.80.302.2013.0000"/>
    <n v="-186.45"/>
    <s v="11"/>
    <s v="2013"/>
    <n v="55544.78"/>
    <n v="-186.45"/>
    <s v="CREDITOR"/>
    <n v="0"/>
    <n v="0"/>
    <n v="-186.45"/>
    <n v="0"/>
    <n v="0"/>
  </r>
  <r>
    <n v="61949709"/>
    <s v="N"/>
    <n v="21346250"/>
    <s v="3000015998600002RC"/>
    <s v="CIVIL"/>
    <d v="2023-06-25T00:00:00"/>
    <d v="2023-07-07T19:34:21"/>
    <m/>
    <d v="2023-07-07T00:00:00"/>
    <n v="201"/>
    <n v="12863"/>
    <s v="61949709"/>
    <s v="61949709"/>
    <m/>
    <m/>
    <m/>
    <m/>
    <m/>
    <m/>
    <s v="SOLRECOUP"/>
    <s v="SOLRECOUP"/>
    <s v="POARECOUP"/>
    <n v="21346250"/>
    <n v="-223.74"/>
    <m/>
    <s v="Y"/>
    <n v="2"/>
    <d v="2023-07-07T19:34:22"/>
    <s v="N"/>
    <m/>
    <m/>
    <s v="Expert Disbursement"/>
    <m/>
    <s v="N"/>
    <n v="0"/>
    <n v="-37.29"/>
    <x v="9"/>
    <s v="VALIDATED"/>
    <n v="1"/>
    <s v="01.11.80.302.2013.0000"/>
    <n v="-37.29"/>
    <s v="11"/>
    <s v="2013"/>
    <n v="55544.78"/>
    <n v="-37.29"/>
    <s v="CREDITOR"/>
    <n v="0"/>
    <n v="0"/>
    <n v="-37.29"/>
    <n v="0"/>
    <n v="0"/>
  </r>
  <r>
    <n v="61200794"/>
    <s v="N"/>
    <n v="21346251"/>
    <s v="3000015374250001RC"/>
    <s v="CIVIL"/>
    <d v="2023-06-28T00:00:00"/>
    <d v="2023-07-07T19:34:21"/>
    <m/>
    <d v="2023-07-07T00:00:00"/>
    <n v="201"/>
    <n v="12863"/>
    <s v="61200794"/>
    <s v="61200794"/>
    <m/>
    <m/>
    <m/>
    <m/>
    <m/>
    <m/>
    <s v="SOLRECOUP"/>
    <s v="SOLRECOUP"/>
    <s v="POARECOUP"/>
    <n v="21346251"/>
    <n v="-75"/>
    <m/>
    <s v="Y"/>
    <n v="1"/>
    <d v="2023-07-07T19:34:22"/>
    <s v="N"/>
    <m/>
    <m/>
    <s v="Expert Disbursement"/>
    <m/>
    <s v="N"/>
    <n v="-62.5"/>
    <n v="0"/>
    <x v="9"/>
    <s v="VALIDATED"/>
    <n v="1"/>
    <s v="01.11.80.302.2013.0000"/>
    <n v="-62.5"/>
    <s v="11"/>
    <s v="2013"/>
    <n v="55544.78"/>
    <n v="-62.5"/>
    <s v="CREDITOR"/>
    <n v="0"/>
    <n v="0"/>
    <n v="-62.5"/>
    <n v="0"/>
    <n v="0"/>
  </r>
  <r>
    <n v="61200794"/>
    <s v="N"/>
    <n v="21346251"/>
    <s v="3000015374250001RC"/>
    <s v="CIVIL"/>
    <d v="2023-06-28T00:00:00"/>
    <d v="2023-07-07T19:34:21"/>
    <m/>
    <d v="2023-07-07T00:00:00"/>
    <n v="201"/>
    <n v="12863"/>
    <s v="61200794"/>
    <s v="61200794"/>
    <m/>
    <m/>
    <m/>
    <m/>
    <m/>
    <m/>
    <s v="SOLRECOUP"/>
    <s v="SOLRECOUP"/>
    <s v="POARECOUP"/>
    <n v="21346251"/>
    <n v="-75"/>
    <m/>
    <s v="Y"/>
    <n v="2"/>
    <d v="2023-07-07T19:34:22"/>
    <s v="N"/>
    <m/>
    <m/>
    <s v="Expert Disbursement"/>
    <m/>
    <s v="N"/>
    <n v="0"/>
    <n v="-12.5"/>
    <x v="9"/>
    <s v="VALIDATED"/>
    <n v="1"/>
    <s v="01.11.80.302.2013.0000"/>
    <n v="-12.5"/>
    <s v="11"/>
    <s v="2013"/>
    <n v="55544.78"/>
    <n v="-12.5"/>
    <s v="CREDITOR"/>
    <n v="0"/>
    <n v="0"/>
    <n v="-12.5"/>
    <n v="0"/>
    <n v="0"/>
  </r>
  <r>
    <n v="43765572"/>
    <s v="N"/>
    <n v="21338307"/>
    <s v="3000011473910004"/>
    <s v="CIVIL"/>
    <d v="2023-06-13T00:00:00"/>
    <d v="2023-07-06T19:21:01"/>
    <m/>
    <d v="2023-07-06T00:00:00"/>
    <n v="201"/>
    <n v="12863"/>
    <s v="43765572"/>
    <s v="43765572"/>
    <m/>
    <m/>
    <n v="22677498"/>
    <m/>
    <m/>
    <m/>
    <s v="SOLFIN"/>
    <s v="SOLFIN"/>
    <s v="CCMS"/>
    <n v="21338307"/>
    <n v="8437.610000000001"/>
    <m/>
    <s v="N"/>
    <n v="2"/>
    <d v="2023-07-06T19:21:18"/>
    <s v="Y"/>
    <s v="Hearing Unit 0.00 - 1.00 Hours"/>
    <s v="Private Law Children"/>
    <s v="Advocacy"/>
    <s v="HABIBUR CHOUDHURY"/>
    <s v="Y"/>
    <n v="68.94"/>
    <n v="13.79"/>
    <x v="4"/>
    <s v="VALIDATED"/>
    <n v="1"/>
    <s v="01.11.80.307.6100.0000"/>
    <n v="68.94"/>
    <s v="11"/>
    <s v="6100"/>
    <n v="55544.78"/>
    <n v="68.94"/>
    <s v="CREDITOR"/>
    <n v="0"/>
    <n v="0"/>
    <n v="0"/>
    <n v="0"/>
    <n v="68.94"/>
  </r>
  <r>
    <n v="62020764"/>
    <s v="N"/>
    <n v="21363011"/>
    <s v="3000016060070002"/>
    <s v="CIVIL"/>
    <d v="2023-06-28T00:00:00"/>
    <d v="2023-07-12T19:01:49"/>
    <m/>
    <d v="2023-07-12T00:00:00"/>
    <n v="201"/>
    <n v="12863"/>
    <s v="62020764"/>
    <s v="62020764"/>
    <m/>
    <m/>
    <n v="22780414"/>
    <m/>
    <m/>
    <m/>
    <s v="SOLFIN"/>
    <s v="SOLFIN"/>
    <s v="CCMS"/>
    <n v="21363011"/>
    <n v="1943.85"/>
    <m/>
    <s v="N"/>
    <n v="1"/>
    <d v="2023-07-12T19:01:53"/>
    <s v="Y"/>
    <s v="Process server"/>
    <s v="Domestic Abuse"/>
    <s v="Expert Disbursement"/>
    <s v="GLOBAL INVESTIGATIONS"/>
    <s v="Y"/>
    <n v="243.19"/>
    <n v="48.64"/>
    <x v="0"/>
    <s v="VALIDATED"/>
    <n v="1"/>
    <s v="01.11.80.302.6300.0000"/>
    <n v="243.19"/>
    <s v="11"/>
    <s v="6300"/>
    <n v="55544.78"/>
    <n v="243.19"/>
    <s v="CREDITOR"/>
    <n v="0"/>
    <n v="0"/>
    <n v="0"/>
    <n v="0"/>
    <n v="243.19"/>
  </r>
  <r>
    <n v="61298915"/>
    <s v="N"/>
    <n v="21349530"/>
    <s v="3000015438240004"/>
    <s v="CIVIL"/>
    <d v="2023-06-29T00:00:00"/>
    <d v="2023-07-10T19:01:40"/>
    <m/>
    <d v="2023-07-10T00:00:00"/>
    <n v="201"/>
    <n v="12863"/>
    <s v="61298915"/>
    <s v="61298915"/>
    <m/>
    <m/>
    <n v="22787192"/>
    <m/>
    <m/>
    <m/>
    <s v="SOLFIN"/>
    <s v="SOLFIN"/>
    <s v="CCMS"/>
    <n v="21349530"/>
    <n v="3971.89"/>
    <m/>
    <s v="N"/>
    <n v="1"/>
    <d v="2023-07-10T19:01:52"/>
    <s v="Y"/>
    <s v="Profit Costs (Summary)"/>
    <s v="Domestic Abuse"/>
    <s v="Profit Cost"/>
    <s v="MARTIN REAL"/>
    <s v="Y"/>
    <n v="2271.24"/>
    <n v="454.25"/>
    <x v="2"/>
    <s v="VALIDATED"/>
    <n v="1"/>
    <s v="01.11.80.302.6100.0000"/>
    <n v="2271.24"/>
    <s v="11"/>
    <s v="6100"/>
    <n v="55544.78"/>
    <n v="2271.24"/>
    <s v="CREDITOR"/>
    <n v="0"/>
    <n v="0"/>
    <n v="0"/>
    <n v="0"/>
    <n v="2271.24"/>
  </r>
  <r>
    <n v="61377476"/>
    <s v="N"/>
    <n v="21343415"/>
    <s v="3000015522150002"/>
    <s v="CIVIL"/>
    <d v="2023-06-27T00:00:00"/>
    <d v="2023-07-07T19:03:00"/>
    <m/>
    <d v="2023-07-07T00:00:00"/>
    <n v="201"/>
    <n v="12863"/>
    <s v="61377476"/>
    <s v="61377476"/>
    <m/>
    <m/>
    <n v="22771166"/>
    <m/>
    <m/>
    <m/>
    <s v="SOLFIN"/>
    <s v="SOLFIN"/>
    <s v="CCMS"/>
    <n v="21343415"/>
    <n v="3429.03"/>
    <m/>
    <s v="N"/>
    <n v="2"/>
    <d v="2023-07-07T19:03:09"/>
    <s v="Y"/>
    <s v="Profit Costs (Summary)"/>
    <s v="Domestic Abuse"/>
    <s v="Profit Cost"/>
    <s v="MARTIN REAL"/>
    <s v="Y"/>
    <n v="2219.94"/>
    <n v="443.99"/>
    <x v="9"/>
    <s v="VALIDATED"/>
    <n v="1"/>
    <s v="01.11.80.302.6100.0000"/>
    <n v="2219.94"/>
    <s v="11"/>
    <s v="6100"/>
    <n v="55544.78"/>
    <n v="2219.94"/>
    <s v="CREDITOR"/>
    <n v="0"/>
    <n v="0"/>
    <n v="0"/>
    <n v="0"/>
    <n v="2219.94"/>
  </r>
  <r>
    <n v="61825369"/>
    <s v="N"/>
    <n v="21338157"/>
    <s v="3000015883820001"/>
    <s v="CIVIL"/>
    <d v="2023-06-26T00:00:00"/>
    <d v="2023-07-06T19:21:01"/>
    <m/>
    <d v="2023-07-06T00:00:00"/>
    <n v="201"/>
    <n v="12863"/>
    <s v="61825369"/>
    <s v="61825369"/>
    <m/>
    <m/>
    <n v="22762092"/>
    <m/>
    <m/>
    <m/>
    <s v="SOLPOA"/>
    <s v="SOLPOA"/>
    <s v="CCMS"/>
    <n v="21338157"/>
    <n v="209.03"/>
    <m/>
    <s v="N"/>
    <n v="1"/>
    <d v="2023-07-06T19:21:12"/>
    <s v="N"/>
    <s v="Expert Cost - Domestic Abuse"/>
    <s v="Expert Cost - Domestic Abuse"/>
    <s v="Expert Disbursement"/>
    <s v="GIS Global"/>
    <s v="N"/>
    <n v="174.19"/>
    <n v="34.84"/>
    <x v="4"/>
    <s v="VALIDATED"/>
    <n v="1"/>
    <s v="01.11.80.302.2012.0000"/>
    <n v="174.19"/>
    <s v="11"/>
    <s v="2012"/>
    <n v="55544.78"/>
    <n v="174.19"/>
    <s v="CREDITOR"/>
    <n v="174.19"/>
    <n v="0"/>
    <n v="0"/>
    <n v="0"/>
    <n v="0"/>
  </r>
  <r>
    <n v="61648334"/>
    <s v="N"/>
    <n v="21331315"/>
    <s v="3000015740620002"/>
    <s v="CIVIL"/>
    <d v="2023-06-25T00:00:00"/>
    <d v="2023-07-05T19:01:47"/>
    <m/>
    <d v="2023-07-05T00:00:00"/>
    <n v="201"/>
    <n v="12863"/>
    <s v="61648334"/>
    <s v="61648334"/>
    <m/>
    <m/>
    <n v="22757030"/>
    <m/>
    <m/>
    <m/>
    <s v="SOLFIN"/>
    <s v="SOLFIN"/>
    <s v="CCMS"/>
    <n v="21331315"/>
    <n v="1212.57"/>
    <m/>
    <s v="N"/>
    <n v="2"/>
    <d v="2023-07-05T19:02:14"/>
    <s v="Y"/>
    <s v="Hearing Unit 1.01 - 2.30 Hours"/>
    <s v="Domestic Abuse"/>
    <s v="Advocacy"/>
    <s v="MONIKA WAWRYZYCYNZ"/>
    <s v="Y"/>
    <n v="203.76"/>
    <n v="40.75"/>
    <x v="6"/>
    <s v="VALIDATED"/>
    <n v="1"/>
    <s v="01.11.80.302.6100.0000"/>
    <n v="203.76"/>
    <s v="11"/>
    <s v="6100"/>
    <n v="55544.78"/>
    <n v="203.76"/>
    <s v="CREDITOR"/>
    <n v="0"/>
    <n v="0"/>
    <n v="0"/>
    <n v="0"/>
    <n v="203.76"/>
  </r>
  <r>
    <n v="62020764"/>
    <s v="N"/>
    <n v="21363011"/>
    <s v="3000016060070002"/>
    <s v="CIVIL"/>
    <d v="2023-06-28T00:00:00"/>
    <d v="2023-07-12T19:01:49"/>
    <m/>
    <d v="2023-07-12T00:00:00"/>
    <n v="201"/>
    <n v="12863"/>
    <s v="62020764"/>
    <s v="62020764"/>
    <m/>
    <m/>
    <n v="22780414"/>
    <m/>
    <m/>
    <m/>
    <s v="SOLFIN"/>
    <s v="SOLFIN"/>
    <s v="CCMS"/>
    <n v="21363011"/>
    <n v="1943.85"/>
    <m/>
    <s v="N"/>
    <n v="3"/>
    <d v="2023-07-12T19:01:53"/>
    <s v="Y"/>
    <s v="Final Hearing - 1 Day"/>
    <s v="Domestic Abuse"/>
    <s v="Advocacy"/>
    <s v="BERFIN YETISKIN"/>
    <s v="Y"/>
    <n v="361.17"/>
    <n v="72.23"/>
    <x v="0"/>
    <s v="VALIDATED"/>
    <n v="1"/>
    <s v="01.11.80.302.6100.0000"/>
    <n v="361.17"/>
    <s v="11"/>
    <s v="6100"/>
    <n v="55544.78"/>
    <n v="361.17"/>
    <s v="CREDITOR"/>
    <n v="0"/>
    <n v="0"/>
    <n v="0"/>
    <n v="0"/>
    <n v="361.17"/>
  </r>
  <r>
    <n v="61882491"/>
    <s v="N"/>
    <n v="21363613"/>
    <s v="3000015943670002"/>
    <s v="CIVIL"/>
    <d v="2023-06-29T00:00:00"/>
    <d v="2023-07-12T19:01:49"/>
    <m/>
    <d v="2023-07-12T00:00:00"/>
    <n v="201"/>
    <n v="12863"/>
    <s v="61882491"/>
    <s v="61882491"/>
    <m/>
    <m/>
    <n v="22793952"/>
    <m/>
    <m/>
    <m/>
    <s v="SOLFIN"/>
    <s v="SOLFIN"/>
    <s v="CCMS"/>
    <n v="21363613"/>
    <n v="1355.47"/>
    <m/>
    <s v="N"/>
    <n v="3"/>
    <d v="2023-07-12T19:02:06"/>
    <s v="Y"/>
    <s v="Level 4 Fixed Fee"/>
    <s v="Domestic Abuse"/>
    <s v="Profit Cost"/>
    <s v="BERFIN YETINSKIN"/>
    <s v="Y"/>
    <n v="608"/>
    <n v="121.6"/>
    <x v="0"/>
    <s v="VALIDATED"/>
    <n v="1"/>
    <s v="01.11.80.302.6100.0000"/>
    <n v="608"/>
    <s v="11"/>
    <s v="6100"/>
    <n v="55544.78"/>
    <n v="608"/>
    <s v="CREDITOR"/>
    <n v="0"/>
    <n v="0"/>
    <n v="0"/>
    <n v="0"/>
    <n v="608"/>
  </r>
  <r>
    <n v="60867358"/>
    <s v="N"/>
    <n v="21349656"/>
    <s v="3000015091730003"/>
    <s v="CIVIL"/>
    <d v="2023-06-30T00:00:00"/>
    <d v="2023-07-10T19:01:40"/>
    <m/>
    <d v="2023-07-10T00:00:00"/>
    <n v="201"/>
    <n v="12863"/>
    <s v="60867358"/>
    <s v="60867358"/>
    <m/>
    <m/>
    <n v="22795838"/>
    <m/>
    <m/>
    <m/>
    <s v="SOLFIN"/>
    <s v="SOLFIN"/>
    <s v="CCMS"/>
    <n v="21349656"/>
    <n v="7811.43"/>
    <m/>
    <s v="N"/>
    <n v="1"/>
    <d v="2023-07-10T19:01:55"/>
    <s v="Y"/>
    <s v="Profit Costs (Summary)"/>
    <s v="Domestic Abuse"/>
    <s v="Profit Cost"/>
    <s v="MARTIN REAL"/>
    <s v="Y"/>
    <n v="3622.32"/>
    <n v="724.46"/>
    <x v="2"/>
    <s v="VALIDATED"/>
    <n v="1"/>
    <s v="01.11.80.302.6100.0000"/>
    <n v="3622.32"/>
    <s v="11"/>
    <s v="6100"/>
    <n v="55544.78"/>
    <n v="3622.32"/>
    <s v="CREDITOR"/>
    <n v="0"/>
    <n v="0"/>
    <n v="0"/>
    <n v="0"/>
    <n v="3622.32"/>
  </r>
  <r>
    <n v="61298915"/>
    <s v="N"/>
    <n v="21349530"/>
    <s v="3000015438240004"/>
    <s v="CIVIL"/>
    <d v="2023-06-29T00:00:00"/>
    <d v="2023-07-10T19:01:40"/>
    <m/>
    <d v="2023-07-10T00:00:00"/>
    <n v="201"/>
    <n v="12863"/>
    <s v="61298915"/>
    <s v="61298915"/>
    <m/>
    <m/>
    <n v="22787192"/>
    <m/>
    <m/>
    <m/>
    <s v="SOLFIN"/>
    <s v="SOLFIN"/>
    <s v="CCMS"/>
    <n v="21349530"/>
    <n v="3971.89"/>
    <m/>
    <s v="N"/>
    <n v="3"/>
    <d v="2023-07-10T19:01:52"/>
    <s v="Y"/>
    <s v="Final Hearing - 1 Day"/>
    <s v="Domestic Abuse"/>
    <s v="Advocacy"/>
    <s v="JUSTIN TUFUOR"/>
    <s v="Y"/>
    <n v="361.17"/>
    <n v="72.23"/>
    <x v="2"/>
    <s v="VALIDATED"/>
    <n v="1"/>
    <s v="01.11.80.302.6100.0000"/>
    <n v="361.17"/>
    <s v="11"/>
    <s v="6100"/>
    <n v="55544.78"/>
    <n v="361.17"/>
    <s v="CREDITOR"/>
    <n v="0"/>
    <n v="0"/>
    <n v="0"/>
    <n v="0"/>
    <n v="361.17"/>
  </r>
  <r>
    <n v="62373460"/>
    <s v="N"/>
    <n v="21337885"/>
    <s v="3000016352920001"/>
    <s v="CIVIL"/>
    <d v="2023-06-26T00:00:00"/>
    <d v="2023-07-06T19:21:01"/>
    <m/>
    <d v="2023-07-06T00:00:00"/>
    <n v="201"/>
    <n v="12863"/>
    <s v="62373460"/>
    <s v="62373460"/>
    <m/>
    <m/>
    <n v="22761910"/>
    <m/>
    <m/>
    <m/>
    <s v="SOLPOA"/>
    <s v="SOLPOA"/>
    <s v="CCMS"/>
    <n v="21337885"/>
    <n v="194.3"/>
    <m/>
    <s v="N"/>
    <n v="1"/>
    <d v="2023-07-06T19:21:09"/>
    <s v="N"/>
    <s v="Expert Cost - Domestic Abuse"/>
    <s v="Expert Cost - Domestic Abuse"/>
    <s v="Expert Disbursement"/>
    <s v="GIS Global"/>
    <s v="N"/>
    <n v="161.92"/>
    <n v="32.38"/>
    <x v="4"/>
    <s v="VALIDATED"/>
    <n v="1"/>
    <s v="01.11.80.302.2012.0000"/>
    <n v="161.92"/>
    <s v="11"/>
    <s v="2012"/>
    <n v="55544.78"/>
    <n v="161.92"/>
    <s v="CREDITOR"/>
    <n v="161.92"/>
    <n v="0"/>
    <n v="0"/>
    <n v="0"/>
    <n v="0"/>
  </r>
  <r>
    <n v="60831901"/>
    <s v="N"/>
    <n v="21370243"/>
    <s v="3000015062640001"/>
    <s v="CIVIL"/>
    <d v="2023-06-04T00:00:00"/>
    <d v="2023-07-13T19:21:05"/>
    <m/>
    <d v="2023-07-13T00:00:00"/>
    <n v="201"/>
    <n v="12863"/>
    <s v="60831901"/>
    <s v="60831901"/>
    <m/>
    <m/>
    <n v="22611490"/>
    <m/>
    <m/>
    <m/>
    <s v="SOLFIN"/>
    <s v="SOLFIN"/>
    <s v="CCMS"/>
    <n v="21370243"/>
    <n v="729.6"/>
    <m/>
    <s v="N"/>
    <n v="1"/>
    <d v="2023-07-13T19:21:18"/>
    <s v="Y"/>
    <s v="Level 4 Fixed Fee"/>
    <s v="Domestic Abuse"/>
    <s v="Profit Cost"/>
    <s v="BERFIN YETISKIN"/>
    <s v="Y"/>
    <n v="608"/>
    <n v="121.6"/>
    <x v="11"/>
    <s v="VALIDATED"/>
    <n v="1"/>
    <s v="01.11.80.302.6100.0000"/>
    <n v="608"/>
    <s v="11"/>
    <s v="6100"/>
    <n v="55544.78"/>
    <n v="608"/>
    <s v="CREDITOR"/>
    <n v="0"/>
    <n v="0"/>
    <n v="0"/>
    <n v="0"/>
    <n v="608"/>
  </r>
  <r>
    <n v="60867358"/>
    <s v="N"/>
    <n v="21349656"/>
    <s v="3000015091730003"/>
    <s v="CIVIL"/>
    <d v="2023-06-30T00:00:00"/>
    <d v="2023-07-10T19:01:40"/>
    <m/>
    <d v="2023-07-10T00:00:00"/>
    <n v="201"/>
    <n v="12863"/>
    <s v="60867358"/>
    <s v="60867358"/>
    <m/>
    <m/>
    <n v="22795838"/>
    <m/>
    <m/>
    <m/>
    <s v="SOLFIN"/>
    <s v="SOLFIN"/>
    <s v="CCMS"/>
    <n v="21349656"/>
    <n v="7811.43"/>
    <m/>
    <s v="N"/>
    <n v="4"/>
    <d v="2023-07-10T19:01:55"/>
    <s v="Y"/>
    <s v="Disbursements (Summary)"/>
    <s v="Domestic Abuse"/>
    <s v="Non Expert Disbursement"/>
    <s v="MARTIN REAL"/>
    <s v="Y"/>
    <n v="97.2"/>
    <n v="0"/>
    <x v="2"/>
    <s v="VALIDATED"/>
    <n v="1"/>
    <s v="01.11.80.302.6300.0000"/>
    <n v="97.2"/>
    <s v="11"/>
    <s v="6300"/>
    <n v="55544.78"/>
    <n v="97.2"/>
    <s v="CREDITOR"/>
    <n v="0"/>
    <n v="0"/>
    <n v="0"/>
    <n v="0"/>
    <n v="97.2"/>
  </r>
  <r>
    <n v="62394897"/>
    <s v="N"/>
    <n v="21363695"/>
    <s v="3000016369520002"/>
    <s v="CIVIL"/>
    <d v="2023-06-28T00:00:00"/>
    <d v="2023-07-12T19:01:49"/>
    <m/>
    <d v="2023-07-12T00:00:00"/>
    <n v="201"/>
    <n v="12863"/>
    <s v="62394897"/>
    <s v="62394897"/>
    <m/>
    <m/>
    <n v="22778900"/>
    <m/>
    <m/>
    <m/>
    <s v="SOLFIN"/>
    <s v="SOLFIN"/>
    <s v="CCMS"/>
    <n v="21363695"/>
    <n v="1372.03"/>
    <m/>
    <s v="N"/>
    <n v="3"/>
    <d v="2023-07-12T19:02:08"/>
    <s v="Y"/>
    <s v="Level 4 Fixed Fee"/>
    <s v="Domestic Abuse"/>
    <s v="Profit Cost"/>
    <s v="berfin yetiskin"/>
    <s v="Y"/>
    <n v="608"/>
    <n v="121.6"/>
    <x v="0"/>
    <s v="VALIDATED"/>
    <n v="1"/>
    <s v="01.11.80.302.6100.0000"/>
    <n v="608"/>
    <s v="11"/>
    <s v="6100"/>
    <n v="55544.78"/>
    <n v="608"/>
    <s v="CREDITOR"/>
    <n v="0"/>
    <n v="0"/>
    <n v="0"/>
    <n v="0"/>
    <n v="608"/>
  </r>
  <r>
    <n v="60867358"/>
    <s v="N"/>
    <n v="21349656"/>
    <s v="3000015091730003"/>
    <s v="CIVIL"/>
    <d v="2023-06-30T00:00:00"/>
    <d v="2023-07-10T19:01:40"/>
    <m/>
    <d v="2023-07-10T00:00:00"/>
    <n v="201"/>
    <n v="12863"/>
    <s v="60867358"/>
    <s v="60867358"/>
    <m/>
    <m/>
    <n v="22795838"/>
    <m/>
    <m/>
    <m/>
    <s v="SOLFIN"/>
    <s v="SOLFIN"/>
    <s v="CCMS"/>
    <n v="21349656"/>
    <n v="7811.43"/>
    <m/>
    <s v="N"/>
    <n v="2"/>
    <d v="2023-07-10T19:01:55"/>
    <s v="Y"/>
    <s v="Profit Costs (Summary)"/>
    <s v="Private Law Children"/>
    <s v="Profit Cost"/>
    <s v="MARTIN REAL"/>
    <s v="Y"/>
    <n v="2238.3"/>
    <n v="447.66"/>
    <x v="2"/>
    <s v="VALIDATED"/>
    <n v="1"/>
    <s v="01.11.80.302.6100.0000"/>
    <n v="2238.3"/>
    <s v="11"/>
    <s v="6100"/>
    <n v="55544.78"/>
    <n v="2238.3"/>
    <s v="CREDITOR"/>
    <n v="0"/>
    <n v="0"/>
    <n v="0"/>
    <n v="0"/>
    <n v="2238.3"/>
  </r>
  <r>
    <n v="61044016"/>
    <s v="N"/>
    <n v="21318355"/>
    <s v="3000015201540003"/>
    <s v="CIVIL"/>
    <d v="2023-06-22T00:00:00"/>
    <d v="2023-07-03T19:01:49"/>
    <m/>
    <d v="2023-07-03T00:00:00"/>
    <n v="201"/>
    <n v="12863"/>
    <s v="61044016"/>
    <s v="61044016"/>
    <m/>
    <m/>
    <n v="22745490"/>
    <m/>
    <m/>
    <m/>
    <s v="SOLFIN"/>
    <s v="SOLFIN"/>
    <s v="CCMS"/>
    <n v="21318355"/>
    <n v="3544.42"/>
    <m/>
    <s v="N"/>
    <n v="2"/>
    <d v="2023-07-03T19:01:54"/>
    <s v="Y"/>
    <s v="Disbursements (Summary)"/>
    <s v="Domestic Abuse"/>
    <s v="Non Expert Disbursement"/>
    <s v="MARTIN REAL"/>
    <s v="Y"/>
    <n v="348.37"/>
    <n v="69.67"/>
    <x v="3"/>
    <s v="VALIDATED"/>
    <n v="1"/>
    <s v="01.11.80.302.6300.0000"/>
    <n v="348.37"/>
    <s v="11"/>
    <s v="6300"/>
    <n v="55544.78"/>
    <n v="348.37"/>
    <s v="CREDITOR"/>
    <n v="0"/>
    <n v="0"/>
    <n v="0"/>
    <n v="0"/>
    <n v="348.37"/>
  </r>
  <r>
    <n v="61882491"/>
    <s v="N"/>
    <n v="21363613"/>
    <s v="3000015943670002"/>
    <s v="CIVIL"/>
    <d v="2023-06-29T00:00:00"/>
    <d v="2023-07-12T19:01:49"/>
    <m/>
    <d v="2023-07-12T00:00:00"/>
    <n v="201"/>
    <n v="12863"/>
    <s v="61882491"/>
    <s v="61882491"/>
    <m/>
    <m/>
    <n v="22793952"/>
    <m/>
    <m/>
    <m/>
    <s v="SOLFIN"/>
    <s v="SOLFIN"/>
    <s v="CCMS"/>
    <n v="21363613"/>
    <n v="1355.47"/>
    <m/>
    <s v="N"/>
    <n v="1"/>
    <d v="2023-07-12T19:02:06"/>
    <s v="Y"/>
    <s v="Process server"/>
    <s v="Domestic Abuse"/>
    <s v="Expert Disbursement"/>
    <s v="GLOBAL INVESTIGATIONS"/>
    <s v="Y"/>
    <n v="160.39"/>
    <n v="32.08"/>
    <x v="0"/>
    <s v="VALIDATED"/>
    <n v="1"/>
    <s v="01.11.80.302.6300.0000"/>
    <n v="160.39"/>
    <s v="11"/>
    <s v="6300"/>
    <n v="55544.78"/>
    <n v="160.39"/>
    <s v="CREDITOR"/>
    <n v="0"/>
    <n v="0"/>
    <n v="0"/>
    <n v="0"/>
    <n v="160.39"/>
  </r>
  <r>
    <n v="61200794"/>
    <s v="N"/>
    <n v="21343948"/>
    <s v="3000015374250006"/>
    <s v="CIVIL"/>
    <d v="2023-06-28T00:00:00"/>
    <d v="2023-07-07T19:03:00"/>
    <m/>
    <d v="2023-07-07T00:00:00"/>
    <n v="201"/>
    <n v="12863"/>
    <s v="61200794"/>
    <s v="61200794"/>
    <m/>
    <m/>
    <n v="22777592"/>
    <m/>
    <m/>
    <m/>
    <s v="SOLFIN"/>
    <s v="SOLFIN"/>
    <s v="CCMS"/>
    <n v="21343948"/>
    <n v="3785.28"/>
    <m/>
    <s v="N"/>
    <n v="1"/>
    <d v="2023-07-07T19:03:18"/>
    <s v="Y"/>
    <s v="Profit Costs (Summary)"/>
    <s v="Domestic Abuse"/>
    <s v="Profit Cost"/>
    <s v="MONIKA WAWRZYNNCZYK"/>
    <s v="Y"/>
    <n v="2219.4"/>
    <n v="443.88"/>
    <x v="9"/>
    <s v="VALIDATED"/>
    <n v="1"/>
    <s v="01.11.80.302.6100.0000"/>
    <n v="2219.4"/>
    <s v="11"/>
    <s v="6100"/>
    <n v="55544.78"/>
    <n v="2219.4"/>
    <s v="CREDITOR"/>
    <n v="0"/>
    <n v="0"/>
    <n v="0"/>
    <n v="0"/>
    <n v="2219.4"/>
  </r>
  <r>
    <n v="61200794"/>
    <s v="N"/>
    <n v="21343948"/>
    <s v="3000015374250006"/>
    <s v="CIVIL"/>
    <d v="2023-06-28T00:00:00"/>
    <d v="2023-07-07T19:03:00"/>
    <m/>
    <d v="2023-07-07T00:00:00"/>
    <n v="201"/>
    <n v="12863"/>
    <s v="61200794"/>
    <s v="61200794"/>
    <m/>
    <m/>
    <n v="22777592"/>
    <m/>
    <m/>
    <m/>
    <s v="SOLFIN"/>
    <s v="SOLFIN"/>
    <s v="CCMS"/>
    <n v="21343948"/>
    <n v="3785.28"/>
    <m/>
    <s v="N"/>
    <n v="4"/>
    <d v="2023-07-07T19:03:18"/>
    <s v="Y"/>
    <s v="Hearing Unit 1.01 - 2.30 Hours"/>
    <s v="Domestic Abuse"/>
    <s v="Advocacy"/>
    <s v="MONIKA WAWRZYNNCZYK"/>
    <s v="Y"/>
    <n v="203.76"/>
    <n v="40.75"/>
    <x v="9"/>
    <s v="VALIDATED"/>
    <n v="1"/>
    <s v="01.11.80.302.6100.0000"/>
    <n v="203.76"/>
    <s v="11"/>
    <s v="6100"/>
    <n v="55544.78"/>
    <n v="203.76"/>
    <s v="CREDITOR"/>
    <n v="0"/>
    <n v="0"/>
    <n v="0"/>
    <n v="0"/>
    <n v="203.76"/>
  </r>
  <r>
    <n v="43765572"/>
    <s v="N"/>
    <n v="21338307"/>
    <s v="3000011473910004"/>
    <s v="CIVIL"/>
    <d v="2023-06-13T00:00:00"/>
    <d v="2023-07-06T19:21:01"/>
    <m/>
    <d v="2023-07-06T00:00:00"/>
    <n v="201"/>
    <n v="12863"/>
    <s v="43765572"/>
    <s v="43765572"/>
    <m/>
    <m/>
    <n v="22677498"/>
    <m/>
    <m/>
    <m/>
    <s v="SOLFIN"/>
    <s v="SOLFIN"/>
    <s v="CCMS"/>
    <n v="21338307"/>
    <n v="8437.610000000001"/>
    <m/>
    <s v="N"/>
    <n v="1"/>
    <d v="2023-07-06T19:21:18"/>
    <s v="Y"/>
    <s v="Profit Costs (Summary)"/>
    <s v="Private Law Children"/>
    <s v="Profit Cost"/>
    <s v="MARTIN REAL"/>
    <s v="Y"/>
    <n v="6617.6"/>
    <n v="1323.52"/>
    <x v="4"/>
    <s v="VALIDATED"/>
    <n v="1"/>
    <s v="01.11.80.307.6100.0000"/>
    <n v="6617.6"/>
    <s v="11"/>
    <s v="6100"/>
    <n v="55544.78"/>
    <n v="6617.6"/>
    <s v="CREDITOR"/>
    <n v="0"/>
    <n v="0"/>
    <n v="0"/>
    <n v="0"/>
    <n v="6617.6"/>
  </r>
  <r>
    <n v="62314880"/>
    <s v="N"/>
    <n v="21338063"/>
    <s v="3000016300700001"/>
    <s v="CIVIL"/>
    <d v="2023-06-26T00:00:00"/>
    <d v="2023-07-06T19:21:01"/>
    <m/>
    <d v="2023-07-06T00:00:00"/>
    <n v="201"/>
    <n v="12863"/>
    <s v="62314880"/>
    <s v="62314880"/>
    <m/>
    <m/>
    <n v="22761040"/>
    <m/>
    <m/>
    <m/>
    <s v="SOLPOA"/>
    <s v="SOLPOA"/>
    <s v="CCMS"/>
    <n v="21338063"/>
    <n v="216.38"/>
    <m/>
    <s v="N"/>
    <n v="1"/>
    <d v="2023-07-06T19:21:11"/>
    <s v="N"/>
    <s v="Expert Cost - Domestic Abuse"/>
    <s v="Expert Cost - Domestic Abuse"/>
    <s v="Expert Disbursement"/>
    <s v="GIS Global"/>
    <s v="N"/>
    <n v="180.32"/>
    <n v="36.06"/>
    <x v="4"/>
    <s v="VALIDATED"/>
    <n v="1"/>
    <s v="01.11.80.302.2012.0000"/>
    <n v="180.32"/>
    <s v="11"/>
    <s v="2012"/>
    <n v="55544.78"/>
    <n v="180.32"/>
    <s v="CREDITOR"/>
    <n v="180.32"/>
    <n v="0"/>
    <n v="0"/>
    <n v="0"/>
    <n v="0"/>
  </r>
  <r>
    <n v="43765572"/>
    <s v="N"/>
    <n v="21338307"/>
    <s v="3000011473910004"/>
    <s v="CIVIL"/>
    <d v="2023-06-13T00:00:00"/>
    <d v="2023-07-06T19:21:01"/>
    <m/>
    <d v="2023-07-06T00:00:00"/>
    <n v="201"/>
    <n v="12863"/>
    <s v="43765572"/>
    <s v="43765572"/>
    <m/>
    <m/>
    <n v="22677498"/>
    <m/>
    <m/>
    <m/>
    <s v="SOLFIN"/>
    <s v="SOLFIN"/>
    <s v="CCMS"/>
    <n v="21338307"/>
    <n v="8437.610000000001"/>
    <m/>
    <s v="N"/>
    <n v="3"/>
    <d v="2023-07-06T19:21:18"/>
    <s v="Y"/>
    <s v="Hearing Unit 2.31 - 5.00 Hours"/>
    <s v="Private Law Children"/>
    <s v="Advocacy"/>
    <s v="HABIBUR CHOUDHURY"/>
    <s v="Y"/>
    <n v="344.8"/>
    <n v="68.95999999999999"/>
    <x v="4"/>
    <s v="VALIDATED"/>
    <n v="1"/>
    <s v="01.11.80.307.6100.0000"/>
    <n v="344.8"/>
    <s v="11"/>
    <s v="6100"/>
    <n v="55544.78"/>
    <n v="344.8"/>
    <s v="CREDITOR"/>
    <n v="0"/>
    <n v="0"/>
    <n v="0"/>
    <n v="0"/>
    <n v="344.8"/>
  </r>
  <r>
    <n v="62259055"/>
    <s v="N"/>
    <n v="21392448"/>
    <s v="3000016257470001"/>
    <s v="CIVIL"/>
    <d v="2023-06-10T00:00:00"/>
    <d v="2023-07-18T19:00:27"/>
    <m/>
    <d v="2023-07-18T00:00:00"/>
    <n v="201"/>
    <n v="12863"/>
    <s v="62259055"/>
    <s v="62259055"/>
    <m/>
    <m/>
    <n v="22663344"/>
    <m/>
    <m/>
    <m/>
    <s v="SOLFIN"/>
    <s v="SOLFIN"/>
    <s v="CCMS"/>
    <n v="21392448"/>
    <n v="729.6"/>
    <m/>
    <s v="N"/>
    <n v="1"/>
    <d v="2023-07-18T19:00:50"/>
    <s v="Y"/>
    <s v="Level 4 Fixed Fee"/>
    <s v="Domestic Abuse"/>
    <s v="Profit Cost"/>
    <s v="BERFIN YETISKIN"/>
    <s v="Y"/>
    <n v="608"/>
    <n v="121.6"/>
    <x v="14"/>
    <s v="VALIDATED"/>
    <n v="1"/>
    <s v="01.11.80.302.6100.0000"/>
    <n v="608"/>
    <s v="11"/>
    <s v="6100"/>
    <n v="55544.78"/>
    <n v="608"/>
    <s v="CREDITOR"/>
    <n v="0"/>
    <n v="0"/>
    <n v="0"/>
    <n v="0"/>
    <n v="608"/>
  </r>
  <r>
    <n v="62392797"/>
    <s v="N"/>
    <n v="21337959"/>
    <s v="3000016367730001"/>
    <s v="CIVIL"/>
    <d v="2023-06-26T00:00:00"/>
    <d v="2023-07-06T19:21:01"/>
    <m/>
    <d v="2023-07-06T00:00:00"/>
    <n v="201"/>
    <n v="12863"/>
    <s v="62392797"/>
    <s v="62392797"/>
    <m/>
    <m/>
    <n v="22761458"/>
    <m/>
    <m/>
    <m/>
    <s v="SOLPOA"/>
    <s v="SOLPOA"/>
    <s v="CCMS"/>
    <n v="21337959"/>
    <n v="199.82"/>
    <m/>
    <s v="N"/>
    <n v="1"/>
    <d v="2023-07-06T19:21:10"/>
    <s v="N"/>
    <s v="Expert Cost - Domestic Abuse"/>
    <s v="Expert Cost - Domestic Abuse"/>
    <s v="Expert Disbursement"/>
    <s v="GIS Global"/>
    <s v="N"/>
    <n v="166.52"/>
    <n v="33.3"/>
    <x v="4"/>
    <s v="VALIDATED"/>
    <n v="1"/>
    <s v="01.11.80.302.2012.0000"/>
    <n v="166.52"/>
    <s v="11"/>
    <s v="2012"/>
    <n v="55544.78"/>
    <n v="166.52"/>
    <s v="CREDITOR"/>
    <n v="166.52"/>
    <n v="0"/>
    <n v="0"/>
    <n v="0"/>
    <n v="0"/>
  </r>
  <r>
    <n v="26636542"/>
    <s v="N"/>
    <n v="21318720"/>
    <s v="3000008690510008"/>
    <s v="CIVIL"/>
    <d v="2023-06-21T00:00:00"/>
    <d v="2023-07-03T19:01:49"/>
    <m/>
    <d v="2023-07-03T00:00:00"/>
    <n v="201"/>
    <n v="12863"/>
    <s v="26636542"/>
    <s v="26636542"/>
    <m/>
    <m/>
    <n v="22731832"/>
    <m/>
    <m/>
    <m/>
    <s v="SOLFIN"/>
    <s v="SOLFIN"/>
    <s v="CCMS"/>
    <n v="21318720"/>
    <n v="11408.42"/>
    <m/>
    <s v="N"/>
    <n v="6"/>
    <d v="2023-07-03T19:02:02"/>
    <s v="Y"/>
    <s v="Hearing Unit 1.01 - 2.30 Hours"/>
    <s v="Private Law Children"/>
    <s v="Advocacy"/>
    <s v="MARTIN REAL"/>
    <s v="Y"/>
    <n v="156.74"/>
    <n v="31.35"/>
    <x v="3"/>
    <s v="VALIDATED"/>
    <n v="1"/>
    <s v="01.11.80.307.6100.0000"/>
    <n v="156.74"/>
    <s v="11"/>
    <s v="6100"/>
    <n v="55544.78"/>
    <n v="156.74"/>
    <s v="CREDITOR"/>
    <n v="0"/>
    <n v="0"/>
    <n v="0"/>
    <n v="0"/>
    <n v="156.74"/>
  </r>
  <r>
    <n v="61196209"/>
    <s v="N"/>
    <n v="21343879"/>
    <s v="3000015371880002"/>
    <s v="CIVIL"/>
    <d v="2023-06-27T00:00:00"/>
    <d v="2023-07-07T19:03:00"/>
    <m/>
    <d v="2023-07-07T00:00:00"/>
    <n v="201"/>
    <n v="12863"/>
    <s v="61196209"/>
    <s v="61196209"/>
    <m/>
    <m/>
    <n v="22775108"/>
    <m/>
    <m/>
    <m/>
    <s v="SOLFIN"/>
    <s v="SOLFIN"/>
    <s v="CCMS"/>
    <n v="21343879"/>
    <n v="1368.34"/>
    <m/>
    <s v="N"/>
    <n v="1"/>
    <d v="2023-07-07T19:03:15"/>
    <s v="Y"/>
    <s v="Process server"/>
    <s v="Domestic Abuse"/>
    <s v="Expert Disbursement"/>
    <s v="GLOBAL INVESTIGATIONS"/>
    <s v="Y"/>
    <n v="171.12"/>
    <n v="34.22"/>
    <x v="9"/>
    <s v="VALIDATED"/>
    <n v="1"/>
    <s v="01.11.80.302.6300.0000"/>
    <n v="171.12"/>
    <s v="11"/>
    <s v="6300"/>
    <n v="55544.78"/>
    <n v="171.12"/>
    <s v="CREDITOR"/>
    <n v="0"/>
    <n v="0"/>
    <n v="0"/>
    <n v="0"/>
    <n v="171.12"/>
  </r>
  <r>
    <n v="61196209"/>
    <s v="N"/>
    <n v="21343879"/>
    <s v="3000015371880002"/>
    <s v="CIVIL"/>
    <d v="2023-06-27T00:00:00"/>
    <d v="2023-07-07T19:03:00"/>
    <m/>
    <d v="2023-07-07T00:00:00"/>
    <n v="201"/>
    <n v="12863"/>
    <s v="61196209"/>
    <s v="61196209"/>
    <m/>
    <m/>
    <n v="22775108"/>
    <m/>
    <m/>
    <m/>
    <s v="SOLFIN"/>
    <s v="SOLFIN"/>
    <s v="CCMS"/>
    <n v="21343879"/>
    <n v="1368.34"/>
    <m/>
    <s v="N"/>
    <n v="2"/>
    <d v="2023-07-07T19:03:15"/>
    <s v="Y"/>
    <s v="Final Hearing - 1 Day"/>
    <s v="Domestic Abuse"/>
    <s v="Advocacy"/>
    <s v="ZAFRIN HAQUE"/>
    <s v="Y"/>
    <n v="361.17"/>
    <n v="72.23"/>
    <x v="9"/>
    <s v="VALIDATED"/>
    <n v="1"/>
    <s v="01.11.80.302.6100.0000"/>
    <n v="361.17"/>
    <s v="11"/>
    <s v="6100"/>
    <n v="55544.78"/>
    <n v="361.17"/>
    <s v="CREDITOR"/>
    <n v="0"/>
    <n v="0"/>
    <n v="0"/>
    <n v="0"/>
    <n v="361.17"/>
  </r>
  <r>
    <n v="61377476"/>
    <s v="N"/>
    <n v="21343415"/>
    <s v="3000015522150002"/>
    <s v="CIVIL"/>
    <d v="2023-06-27T00:00:00"/>
    <d v="2023-07-07T19:03:00"/>
    <m/>
    <d v="2023-07-07T00:00:00"/>
    <n v="201"/>
    <n v="12863"/>
    <s v="61377476"/>
    <s v="61377476"/>
    <m/>
    <m/>
    <n v="22771166"/>
    <m/>
    <m/>
    <m/>
    <s v="SOLFIN"/>
    <s v="SOLFIN"/>
    <s v="CCMS"/>
    <n v="21343415"/>
    <n v="3429.03"/>
    <m/>
    <s v="N"/>
    <n v="4"/>
    <d v="2023-07-07T19:03:09"/>
    <s v="Y"/>
    <s v="Hearing Unit 2.31 - 5.00 Hours"/>
    <s v="Domestic Abuse"/>
    <s v="Advocacy"/>
    <s v="BERFIN YETINSKIN"/>
    <s v="Y"/>
    <n v="407.52"/>
    <n v="81.5"/>
    <x v="9"/>
    <s v="VALIDATED"/>
    <n v="1"/>
    <s v="01.11.80.302.6100.0000"/>
    <n v="407.52"/>
    <s v="11"/>
    <s v="6100"/>
    <n v="55544.78"/>
    <n v="407.52"/>
    <s v="CREDITOR"/>
    <n v="0"/>
    <n v="0"/>
    <n v="0"/>
    <n v="0"/>
    <n v="407.52"/>
  </r>
  <r>
    <n v="61852180"/>
    <s v="N"/>
    <n v="21318394"/>
    <s v="3000015908260004"/>
    <s v="CIVIL"/>
    <d v="2023-06-24T00:00:00"/>
    <d v="2023-07-03T19:01:49"/>
    <m/>
    <d v="2023-07-03T00:00:00"/>
    <n v="201"/>
    <n v="12863"/>
    <s v="61852180"/>
    <s v="61852180"/>
    <m/>
    <m/>
    <n v="22756688"/>
    <m/>
    <m/>
    <m/>
    <s v="SOLPOA"/>
    <s v="SOLPOA"/>
    <s v="CCMS"/>
    <n v="21318394"/>
    <n v="196.14"/>
    <m/>
    <s v="N"/>
    <n v="1"/>
    <d v="2023-07-03T19:01:54"/>
    <s v="N"/>
    <s v="Expert Cost - Domestic Abuse"/>
    <s v="Expert Cost - Domestic Abuse"/>
    <s v="Expert Disbursement"/>
    <s v="GIS Global"/>
    <s v="N"/>
    <n v="163.45"/>
    <n v="32.69"/>
    <x v="3"/>
    <s v="VALIDATED"/>
    <n v="1"/>
    <s v="01.11.80.302.2012.0000"/>
    <n v="163.45"/>
    <s v="11"/>
    <s v="2012"/>
    <n v="55544.78"/>
    <n v="163.45"/>
    <s v="CREDITOR"/>
    <n v="163.45"/>
    <n v="0"/>
    <n v="0"/>
    <n v="0"/>
    <n v="0"/>
  </r>
  <r>
    <n v="61648334"/>
    <s v="N"/>
    <n v="21331315"/>
    <s v="3000015740620002"/>
    <s v="CIVIL"/>
    <d v="2023-06-25T00:00:00"/>
    <d v="2023-07-05T19:01:47"/>
    <m/>
    <d v="2023-07-05T00:00:00"/>
    <n v="201"/>
    <n v="12863"/>
    <s v="61648334"/>
    <s v="61648334"/>
    <m/>
    <m/>
    <n v="22757030"/>
    <m/>
    <m/>
    <m/>
    <s v="SOLFIN"/>
    <s v="SOLFIN"/>
    <s v="CCMS"/>
    <n v="21331315"/>
    <n v="1212.57"/>
    <m/>
    <s v="N"/>
    <n v="1"/>
    <d v="2023-07-05T19:02:14"/>
    <s v="Y"/>
    <s v="Process server"/>
    <s v="Domestic Abuse"/>
    <s v="Expert Disbursement"/>
    <s v="GLOBAL INVESTIGATIONS"/>
    <s v="Y"/>
    <n v="198.72"/>
    <n v="39.74"/>
    <x v="6"/>
    <s v="VALIDATED"/>
    <n v="1"/>
    <s v="01.11.80.302.6300.0000"/>
    <n v="198.72"/>
    <s v="11"/>
    <s v="6300"/>
    <n v="55544.78"/>
    <n v="198.72"/>
    <s v="CREDITOR"/>
    <n v="0"/>
    <n v="0"/>
    <n v="0"/>
    <n v="0"/>
    <n v="198.72"/>
  </r>
  <r>
    <n v="61869611"/>
    <s v="N"/>
    <n v="21392329"/>
    <s v="3000015929230001"/>
    <s v="CIVIL"/>
    <d v="2023-06-10T00:00:00"/>
    <d v="2023-07-18T19:00:27"/>
    <m/>
    <d v="2023-07-18T00:00:00"/>
    <n v="201"/>
    <n v="12863"/>
    <s v="61869611"/>
    <s v="61869611"/>
    <m/>
    <m/>
    <n v="22663628"/>
    <m/>
    <m/>
    <m/>
    <s v="SOLFIN"/>
    <s v="SOLFIN"/>
    <s v="CCMS"/>
    <n v="21392329"/>
    <n v="729.6"/>
    <m/>
    <s v="N"/>
    <n v="1"/>
    <d v="2023-07-18T19:00:44"/>
    <s v="Y"/>
    <s v="Level 4 Fixed Fee"/>
    <s v="Domestic Abuse"/>
    <s v="Profit Cost"/>
    <s v="Monika Wawrzynczyk"/>
    <s v="Y"/>
    <n v="608"/>
    <n v="121.6"/>
    <x v="14"/>
    <s v="VALIDATED"/>
    <n v="1"/>
    <s v="01.11.80.302.6100.0000"/>
    <n v="608"/>
    <s v="11"/>
    <s v="6100"/>
    <n v="55544.78"/>
    <n v="608"/>
    <s v="CREDITOR"/>
    <n v="0"/>
    <n v="0"/>
    <n v="0"/>
    <n v="0"/>
    <n v="608"/>
  </r>
  <r>
    <n v="61200794"/>
    <s v="N"/>
    <n v="21343948"/>
    <s v="3000015374250006"/>
    <s v="CIVIL"/>
    <d v="2023-06-28T00:00:00"/>
    <d v="2023-07-07T19:03:00"/>
    <m/>
    <d v="2023-07-07T00:00:00"/>
    <n v="201"/>
    <n v="12863"/>
    <s v="61200794"/>
    <s v="61200794"/>
    <m/>
    <m/>
    <n v="22777592"/>
    <m/>
    <m/>
    <m/>
    <s v="SOLFIN"/>
    <s v="SOLFIN"/>
    <s v="CCMS"/>
    <n v="21343948"/>
    <n v="3785.28"/>
    <m/>
    <s v="N"/>
    <n v="3"/>
    <d v="2023-07-07T19:03:18"/>
    <s v="Y"/>
    <s v="Disbursements (Summary)"/>
    <s v="Domestic Abuse"/>
    <s v="Non Expert Disbursement"/>
    <s v="MONIKA WAWRZYNNCZYK"/>
    <s v="Y"/>
    <n v="96.5"/>
    <n v="0"/>
    <x v="9"/>
    <s v="VALIDATED"/>
    <n v="1"/>
    <s v="01.11.80.302.6300.0000"/>
    <n v="96.5"/>
    <s v="11"/>
    <s v="6300"/>
    <n v="55544.78"/>
    <n v="96.5"/>
    <s v="CREDITOR"/>
    <n v="0"/>
    <n v="0"/>
    <n v="0"/>
    <n v="0"/>
    <n v="96.5"/>
  </r>
  <r>
    <n v="61648334"/>
    <s v="N"/>
    <n v="21331315"/>
    <s v="3000015740620002"/>
    <s v="CIVIL"/>
    <d v="2023-06-25T00:00:00"/>
    <d v="2023-07-05T19:01:47"/>
    <m/>
    <d v="2023-07-05T00:00:00"/>
    <n v="201"/>
    <n v="12863"/>
    <s v="61648334"/>
    <s v="61648334"/>
    <m/>
    <m/>
    <n v="22757030"/>
    <m/>
    <m/>
    <m/>
    <s v="SOLFIN"/>
    <s v="SOLFIN"/>
    <s v="CCMS"/>
    <n v="21331315"/>
    <n v="1212.57"/>
    <m/>
    <s v="N"/>
    <n v="3"/>
    <d v="2023-07-05T19:02:14"/>
    <s v="Y"/>
    <s v="Level 4 Fixed Fee"/>
    <s v="Domestic Abuse"/>
    <s v="Profit Cost"/>
    <s v="Monika Wawrzynczyk"/>
    <s v="Y"/>
    <n v="608"/>
    <n v="121.6"/>
    <x v="6"/>
    <s v="VALIDATED"/>
    <n v="1"/>
    <s v="01.11.80.302.6100.0000"/>
    <n v="608"/>
    <s v="11"/>
    <s v="6100"/>
    <n v="55544.78"/>
    <n v="608"/>
    <s v="CREDITOR"/>
    <n v="0"/>
    <n v="0"/>
    <n v="0"/>
    <n v="0"/>
    <n v="608"/>
  </r>
  <r>
    <n v="62428614"/>
    <s v="N"/>
    <n v="21318626"/>
    <s v="3000016396200001"/>
    <s v="CIVIL"/>
    <d v="2023-06-24T00:00:00"/>
    <d v="2023-07-03T19:01:49"/>
    <m/>
    <d v="2023-07-03T00:00:00"/>
    <n v="201"/>
    <n v="12863"/>
    <s v="62428614"/>
    <s v="62428614"/>
    <m/>
    <m/>
    <n v="22756704"/>
    <m/>
    <m/>
    <m/>
    <s v="SOLPOA"/>
    <s v="SOLPOA"/>
    <s v="CCMS"/>
    <n v="21318626"/>
    <n v="209.03"/>
    <m/>
    <s v="N"/>
    <n v="1"/>
    <d v="2023-07-03T19:02:00"/>
    <s v="N"/>
    <s v="Expert Cost - Domestic Abuse"/>
    <s v="Expert Cost - Domestic Abuse"/>
    <s v="Expert Disbursement"/>
    <s v="GIS Global"/>
    <s v="N"/>
    <n v="174.19"/>
    <n v="34.84"/>
    <x v="3"/>
    <s v="VALIDATED"/>
    <n v="1"/>
    <s v="01.11.80.302.2012.0000"/>
    <n v="174.19"/>
    <s v="11"/>
    <s v="2012"/>
    <n v="55544.78"/>
    <n v="174.19"/>
    <s v="CREDITOR"/>
    <n v="174.19"/>
    <n v="0"/>
    <n v="0"/>
    <n v="0"/>
    <n v="0"/>
  </r>
  <r>
    <n v="62344958"/>
    <s v="N"/>
    <n v="21338222"/>
    <s v="3000016329680001"/>
    <s v="CIVIL"/>
    <d v="2023-06-26T00:00:00"/>
    <d v="2023-07-06T19:21:01"/>
    <m/>
    <d v="2023-07-06T00:00:00"/>
    <n v="201"/>
    <n v="12863"/>
    <s v="62344958"/>
    <s v="62344958"/>
    <m/>
    <m/>
    <n v="22761706"/>
    <m/>
    <m/>
    <m/>
    <s v="SOLPOA"/>
    <s v="SOLPOA"/>
    <s v="CCMS"/>
    <n v="21338222"/>
    <n v="196.14"/>
    <m/>
    <s v="N"/>
    <n v="1"/>
    <d v="2023-07-06T19:21:12"/>
    <s v="N"/>
    <s v="Expert Cost - Domestic Abuse"/>
    <s v="Expert Cost - Domestic Abuse"/>
    <s v="Expert Disbursement"/>
    <s v="GIS Global"/>
    <s v="N"/>
    <n v="163.45"/>
    <n v="32.69"/>
    <x v="4"/>
    <s v="VALIDATED"/>
    <n v="1"/>
    <s v="01.11.80.302.2012.0000"/>
    <n v="163.45"/>
    <s v="11"/>
    <s v="2012"/>
    <n v="55544.78"/>
    <n v="163.45"/>
    <s v="CREDITOR"/>
    <n v="163.45"/>
    <n v="0"/>
    <n v="0"/>
    <n v="0"/>
    <n v="0"/>
  </r>
  <r>
    <n v="61377476"/>
    <s v="N"/>
    <n v="21343415"/>
    <s v="3000015522150002"/>
    <s v="CIVIL"/>
    <d v="2023-06-27T00:00:00"/>
    <d v="2023-07-07T19:03:00"/>
    <m/>
    <d v="2023-07-07T00:00:00"/>
    <n v="201"/>
    <n v="12863"/>
    <s v="61377476"/>
    <s v="61377476"/>
    <m/>
    <m/>
    <n v="22771166"/>
    <m/>
    <m/>
    <m/>
    <s v="SOLFIN"/>
    <s v="SOLFIN"/>
    <s v="CCMS"/>
    <n v="21343415"/>
    <n v="3429.03"/>
    <m/>
    <s v="N"/>
    <n v="3"/>
    <d v="2023-07-07T19:03:09"/>
    <s v="Y"/>
    <s v="Police Records"/>
    <s v="Domestic Abuse"/>
    <s v="Non Expert Disbursement"/>
    <s v="MARTIN REAL"/>
    <s v="Y"/>
    <n v="96.5"/>
    <n v="0"/>
    <x v="9"/>
    <s v="VALIDATED"/>
    <n v="1"/>
    <s v="01.11.80.302.6300.0000"/>
    <n v="96.5"/>
    <s v="11"/>
    <s v="6300"/>
    <n v="55544.78"/>
    <n v="96.5"/>
    <s v="CREDITOR"/>
    <n v="0"/>
    <n v="0"/>
    <n v="0"/>
    <n v="0"/>
    <n v="96.5"/>
  </r>
  <r>
    <n v="61882491"/>
    <s v="N"/>
    <n v="21363613"/>
    <s v="3000015943670002"/>
    <s v="CIVIL"/>
    <d v="2023-06-29T00:00:00"/>
    <d v="2023-07-12T19:01:49"/>
    <m/>
    <d v="2023-07-12T00:00:00"/>
    <n v="201"/>
    <n v="12863"/>
    <s v="61882491"/>
    <s v="61882491"/>
    <m/>
    <m/>
    <n v="22793952"/>
    <m/>
    <m/>
    <m/>
    <s v="SOLFIN"/>
    <s v="SOLFIN"/>
    <s v="CCMS"/>
    <n v="21363613"/>
    <n v="1355.47"/>
    <m/>
    <s v="N"/>
    <n v="2"/>
    <d v="2023-07-12T19:02:06"/>
    <s v="Y"/>
    <s v="Final Hearing - 1 Day"/>
    <s v="Domestic Abuse"/>
    <s v="Advocacy"/>
    <s v="JUSTIN TUFUOR"/>
    <s v="Y"/>
    <n v="361.17"/>
    <n v="72.23"/>
    <x v="0"/>
    <s v="VALIDATED"/>
    <n v="1"/>
    <s v="01.11.80.302.6100.0000"/>
    <n v="361.17"/>
    <s v="11"/>
    <s v="6100"/>
    <n v="55544.78"/>
    <n v="361.17"/>
    <s v="CREDITOR"/>
    <n v="0"/>
    <n v="0"/>
    <n v="0"/>
    <n v="0"/>
    <n v="361.17"/>
  </r>
  <r>
    <n v="62335670"/>
    <s v="N"/>
    <n v="21337951"/>
    <s v="3000016320090001"/>
    <s v="CIVIL"/>
    <d v="2023-06-26T00:00:00"/>
    <d v="2023-07-06T19:21:01"/>
    <m/>
    <d v="2023-07-06T00:00:00"/>
    <n v="201"/>
    <n v="12863"/>
    <s v="62335670"/>
    <s v="62335670"/>
    <m/>
    <m/>
    <n v="22757548"/>
    <m/>
    <m/>
    <m/>
    <s v="SOLPOA"/>
    <s v="SOLPOA"/>
    <s v="CCMS"/>
    <n v="21337951"/>
    <n v="227.42"/>
    <m/>
    <s v="N"/>
    <n v="1"/>
    <d v="2023-07-06T19:21:10"/>
    <s v="N"/>
    <s v="Expert Cost - Domestic Abuse"/>
    <s v="Expert Cost - Domestic Abuse"/>
    <s v="Expert Disbursement"/>
    <s v="GIS Global"/>
    <s v="N"/>
    <n v="189.52"/>
    <n v="37.9"/>
    <x v="4"/>
    <s v="VALIDATED"/>
    <n v="1"/>
    <s v="01.11.80.302.2012.0000"/>
    <n v="189.52"/>
    <s v="11"/>
    <s v="2012"/>
    <n v="55544.78"/>
    <n v="189.52"/>
    <s v="CREDITOR"/>
    <n v="189.52"/>
    <n v="0"/>
    <n v="0"/>
    <n v="0"/>
    <n v="0"/>
  </r>
  <r>
    <n v="62020764"/>
    <s v="N"/>
    <n v="21363011"/>
    <s v="3000016060070002"/>
    <s v="CIVIL"/>
    <d v="2023-06-28T00:00:00"/>
    <d v="2023-07-12T19:01:49"/>
    <m/>
    <d v="2023-07-12T00:00:00"/>
    <n v="201"/>
    <n v="12863"/>
    <s v="62020764"/>
    <s v="62020764"/>
    <m/>
    <m/>
    <n v="22780414"/>
    <m/>
    <m/>
    <m/>
    <s v="SOLFIN"/>
    <s v="SOLFIN"/>
    <s v="CCMS"/>
    <n v="21363011"/>
    <n v="1943.85"/>
    <m/>
    <s v="N"/>
    <n v="4"/>
    <d v="2023-07-12T19:01:53"/>
    <s v="Y"/>
    <s v="Level 4 Fixed Fee"/>
    <s v="Domestic Abuse"/>
    <s v="Profit Cost"/>
    <s v="berfin yetiskin"/>
    <s v="Y"/>
    <n v="608"/>
    <n v="121.6"/>
    <x v="0"/>
    <s v="VALIDATED"/>
    <n v="1"/>
    <s v="01.11.80.302.6100.0000"/>
    <n v="608"/>
    <s v="11"/>
    <s v="6100"/>
    <n v="55544.78"/>
    <n v="608"/>
    <s v="CREDITOR"/>
    <n v="0"/>
    <n v="0"/>
    <n v="0"/>
    <n v="0"/>
    <n v="608"/>
  </r>
  <r>
    <n v="7927567"/>
    <s v="N"/>
    <n v="21360376"/>
    <s v="3000004019380005"/>
    <s v="CIVIL"/>
    <d v="2023-06-30T00:00:00"/>
    <d v="2023-07-11T11:50:54"/>
    <m/>
    <d v="2023-07-11T00:00:00"/>
    <n v="201"/>
    <n v="12863"/>
    <s v="7927567"/>
    <s v="7927567"/>
    <m/>
    <m/>
    <n v="22795070"/>
    <m/>
    <m/>
    <m/>
    <s v="SOLFIN"/>
    <s v="SOLFIN"/>
    <s v="CCMS"/>
    <n v="21360376"/>
    <n v="7530.87"/>
    <m/>
    <s v="N"/>
    <n v="4"/>
    <d v="2023-07-11T11:51:03"/>
    <s v="Y"/>
    <s v="Hearing Unit 0.00 - 1.00 Hours"/>
    <s v="Private Law Children"/>
    <s v="Advocacy"/>
    <s v="MARTIN REAL"/>
    <s v="Y"/>
    <n v="62.69"/>
    <n v="12.54"/>
    <x v="7"/>
    <s v="VALIDATED"/>
    <n v="1"/>
    <s v="01.11.80.307.6100.0000"/>
    <n v="62.69"/>
    <s v="11"/>
    <s v="6100"/>
    <n v="55544.78"/>
    <n v="62.69"/>
    <s v="CREDITOR"/>
    <n v="0"/>
    <n v="0"/>
    <n v="0"/>
    <n v="0"/>
    <n v="62.69"/>
  </r>
  <r>
    <n v="7927567"/>
    <s v="N"/>
    <n v="21360376"/>
    <s v="3000004019380005"/>
    <s v="CIVIL"/>
    <d v="2023-06-30T00:00:00"/>
    <d v="2023-07-11T11:50:54"/>
    <m/>
    <d v="2023-07-11T00:00:00"/>
    <n v="201"/>
    <n v="12863"/>
    <s v="7927567"/>
    <s v="7927567"/>
    <m/>
    <m/>
    <n v="22795070"/>
    <m/>
    <m/>
    <m/>
    <s v="SOLFIN"/>
    <s v="SOLFIN"/>
    <s v="CCMS"/>
    <n v="21360376"/>
    <n v="7530.87"/>
    <m/>
    <s v="N"/>
    <n v="5"/>
    <d v="2023-07-11T11:51:03"/>
    <s v="Y"/>
    <s v="Hearing Unit 1.01 - 2.30 Hours"/>
    <s v="Private Law Children"/>
    <s v="Advocacy"/>
    <s v="JUSTIN TUFUOR"/>
    <s v="Y"/>
    <n v="156.74"/>
    <n v="31.35"/>
    <x v="7"/>
    <s v="VALIDATED"/>
    <n v="1"/>
    <s v="01.11.80.307.6100.0000"/>
    <n v="156.74"/>
    <s v="11"/>
    <s v="6100"/>
    <n v="55544.78"/>
    <n v="156.74"/>
    <s v="CREDITOR"/>
    <n v="0"/>
    <n v="0"/>
    <n v="0"/>
    <n v="0"/>
    <n v="156.74"/>
  </r>
  <r>
    <n v="61949709"/>
    <s v="N"/>
    <n v="21343231"/>
    <s v="3000015998600003"/>
    <s v="CIVIL"/>
    <d v="2023-06-25T00:00:00"/>
    <d v="2023-07-07T19:03:00"/>
    <m/>
    <d v="2023-07-07T00:00:00"/>
    <n v="201"/>
    <n v="12863"/>
    <s v="61949709"/>
    <s v="61949709"/>
    <m/>
    <m/>
    <n v="22756986"/>
    <m/>
    <m/>
    <m/>
    <s v="SOLFIN"/>
    <s v="SOLFIN"/>
    <s v="CCMS"/>
    <n v="21343231"/>
    <n v="1129.25"/>
    <m/>
    <s v="N"/>
    <n v="1"/>
    <d v="2023-07-07T19:03:05"/>
    <s v="Y"/>
    <s v="Process server"/>
    <s v="Domestic Abuse"/>
    <s v="Expert Disbursement"/>
    <s v="GLOBAL INVESTIGATIONS"/>
    <s v="Y"/>
    <n v="186.45"/>
    <n v="37.29"/>
    <x v="9"/>
    <s v="VALIDATED"/>
    <n v="1"/>
    <s v="01.11.80.302.6300.0000"/>
    <n v="186.45"/>
    <s v="11"/>
    <s v="6300"/>
    <n v="55544.78"/>
    <n v="186.45"/>
    <s v="CREDITOR"/>
    <n v="0"/>
    <n v="0"/>
    <n v="0"/>
    <n v="0"/>
    <n v="186.45"/>
  </r>
  <r>
    <n v="61600676"/>
    <s v="N"/>
    <n v="21330760"/>
    <s v="3000015693990002"/>
    <s v="CIVIL"/>
    <d v="2023-06-25T00:00:00"/>
    <d v="2023-07-05T19:01:47"/>
    <m/>
    <d v="2023-07-05T00:00:00"/>
    <n v="201"/>
    <n v="12863"/>
    <s v="61600676"/>
    <s v="61600676"/>
    <m/>
    <m/>
    <n v="22757072"/>
    <m/>
    <m/>
    <m/>
    <s v="SOLFIN"/>
    <s v="SOLFIN"/>
    <s v="CCMS"/>
    <n v="21330760"/>
    <n v="1373.86"/>
    <m/>
    <s v="N"/>
    <n v="2"/>
    <d v="2023-07-05T19:01:54"/>
    <s v="Y"/>
    <s v="Final Hearing - 1 Day"/>
    <s v="Domestic Abuse"/>
    <s v="Advocacy"/>
    <s v="HABIBUR CHOUDHURY"/>
    <s v="Y"/>
    <n v="361.17"/>
    <n v="72.23"/>
    <x v="6"/>
    <s v="VALIDATED"/>
    <n v="1"/>
    <s v="01.11.80.302.6100.0000"/>
    <n v="361.17"/>
    <s v="11"/>
    <s v="6100"/>
    <n v="55544.78"/>
    <n v="361.17"/>
    <s v="CREDITOR"/>
    <n v="0"/>
    <n v="0"/>
    <n v="0"/>
    <n v="0"/>
    <n v="361.17"/>
  </r>
  <r>
    <n v="62223924"/>
    <s v="N"/>
    <n v="21327699"/>
    <s v="3000016227940001"/>
    <s v="CIVIL"/>
    <d v="2023-06-23T00:00:00"/>
    <d v="2023-07-04T19:00:44"/>
    <m/>
    <d v="2023-07-04T00:00:00"/>
    <n v="201"/>
    <n v="12863"/>
    <s v="62223924"/>
    <s v="62223924"/>
    <m/>
    <m/>
    <n v="22755714"/>
    <m/>
    <m/>
    <m/>
    <s v="SOLPOA"/>
    <s v="SOLPOA"/>
    <s v="CCMS"/>
    <n v="21327699"/>
    <n v="218.22"/>
    <m/>
    <s v="N"/>
    <n v="1"/>
    <d v="2023-07-04T19:00:52"/>
    <s v="N"/>
    <s v="Expert Cost - Domestic Abuse"/>
    <s v="Expert Cost - Domestic Abuse"/>
    <s v="Expert Disbursement"/>
    <s v="GIS Global"/>
    <s v="N"/>
    <n v="181.85"/>
    <n v="36.37"/>
    <x v="1"/>
    <s v="VALIDATED"/>
    <n v="1"/>
    <s v="01.11.80.302.2012.0000"/>
    <n v="181.85"/>
    <s v="11"/>
    <s v="2012"/>
    <n v="55544.78"/>
    <n v="181.85"/>
    <s v="CREDITOR"/>
    <n v="181.85"/>
    <n v="0"/>
    <n v="0"/>
    <n v="0"/>
    <n v="0"/>
  </r>
  <r>
    <n v="61573506"/>
    <s v="N"/>
    <n v="21331074"/>
    <s v="3000015684530002"/>
    <s v="CIVIL"/>
    <d v="2023-06-25T00:00:00"/>
    <d v="2023-07-05T19:01:47"/>
    <m/>
    <d v="2023-07-05T00:00:00"/>
    <n v="201"/>
    <n v="12863"/>
    <s v="61573506"/>
    <s v="61573506"/>
    <m/>
    <m/>
    <n v="22757078"/>
    <m/>
    <m/>
    <m/>
    <s v="SOLFIN"/>
    <s v="SOLFIN"/>
    <s v="CCMS"/>
    <n v="21331074"/>
    <n v="1373.86"/>
    <m/>
    <s v="N"/>
    <n v="1"/>
    <d v="2023-07-05T19:02:05"/>
    <s v="Y"/>
    <s v="Process server"/>
    <s v="Domestic Abuse"/>
    <s v="Expert Disbursement"/>
    <s v="GLOBAL INVESTIGATIONS"/>
    <s v="Y"/>
    <n v="175.72"/>
    <n v="35.14"/>
    <x v="6"/>
    <s v="VALIDATED"/>
    <n v="1"/>
    <s v="01.11.80.302.6300.0000"/>
    <n v="175.72"/>
    <s v="11"/>
    <s v="6300"/>
    <n v="55544.78"/>
    <n v="175.72"/>
    <s v="CREDITOR"/>
    <n v="0"/>
    <n v="0"/>
    <n v="0"/>
    <n v="0"/>
    <n v="175.72"/>
  </r>
  <r>
    <n v="61044016"/>
    <s v="N"/>
    <n v="21318355"/>
    <s v="3000015201540003"/>
    <s v="CIVIL"/>
    <d v="2023-06-22T00:00:00"/>
    <d v="2023-07-03T19:01:49"/>
    <m/>
    <d v="2023-07-03T00:00:00"/>
    <n v="201"/>
    <n v="12863"/>
    <s v="61044016"/>
    <s v="61044016"/>
    <m/>
    <m/>
    <n v="22745490"/>
    <m/>
    <m/>
    <m/>
    <s v="SOLFIN"/>
    <s v="SOLFIN"/>
    <s v="CCMS"/>
    <n v="21318355"/>
    <n v="3544.42"/>
    <m/>
    <s v="N"/>
    <n v="3"/>
    <d v="2023-07-03T19:01:54"/>
    <s v="Y"/>
    <s v="Hearing Unit 2.31 - 5.00 Hours"/>
    <s v="Domestic Abuse"/>
    <s v="Advocacy"/>
    <s v="HABIBUR CHOUDHURY"/>
    <s v="Y"/>
    <n v="407.52"/>
    <n v="81.5"/>
    <x v="3"/>
    <s v="VALIDATED"/>
    <n v="1"/>
    <s v="01.11.80.302.6100.0000"/>
    <n v="407.52"/>
    <s v="11"/>
    <s v="6100"/>
    <n v="55544.78"/>
    <n v="407.52"/>
    <s v="CREDITOR"/>
    <n v="0"/>
    <n v="0"/>
    <n v="0"/>
    <n v="0"/>
    <n v="407.52"/>
  </r>
  <r>
    <n v="26636542"/>
    <s v="N"/>
    <n v="21318720"/>
    <s v="3000008690510008"/>
    <s v="CIVIL"/>
    <d v="2023-06-21T00:00:00"/>
    <d v="2023-07-03T19:01:49"/>
    <m/>
    <d v="2023-07-03T00:00:00"/>
    <n v="201"/>
    <n v="12863"/>
    <s v="26636542"/>
    <s v="26636542"/>
    <m/>
    <m/>
    <n v="22731832"/>
    <m/>
    <m/>
    <m/>
    <s v="SOLFIN"/>
    <s v="SOLFIN"/>
    <s v="CCMS"/>
    <n v="21318720"/>
    <n v="11408.42"/>
    <m/>
    <s v="N"/>
    <n v="2"/>
    <d v="2023-07-03T19:02:02"/>
    <s v="Y"/>
    <s v="Profit Costs (Summary)"/>
    <s v="Domestic Abuse"/>
    <s v="Profit Cost"/>
    <s v="MARTIN REAL"/>
    <s v="Y"/>
    <n v="2280.96"/>
    <n v="456.19"/>
    <x v="3"/>
    <s v="VALIDATED"/>
    <n v="1"/>
    <s v="01.11.80.307.6100.0000"/>
    <n v="2280.96"/>
    <s v="11"/>
    <s v="6100"/>
    <n v="55544.78"/>
    <n v="2280.96"/>
    <s v="CREDITOR"/>
    <n v="0"/>
    <n v="0"/>
    <n v="0"/>
    <n v="0"/>
    <n v="2280.96"/>
  </r>
  <r>
    <n v="61298915"/>
    <s v="N"/>
    <n v="21349530"/>
    <s v="3000015438240004"/>
    <s v="CIVIL"/>
    <d v="2023-06-29T00:00:00"/>
    <d v="2023-07-10T19:01:40"/>
    <m/>
    <d v="2023-07-10T00:00:00"/>
    <n v="201"/>
    <n v="12863"/>
    <s v="61298915"/>
    <s v="61298915"/>
    <m/>
    <m/>
    <n v="22787192"/>
    <m/>
    <m/>
    <m/>
    <s v="SOLFIN"/>
    <s v="SOLFIN"/>
    <s v="CCMS"/>
    <n v="21349530"/>
    <n v="3971.89"/>
    <m/>
    <s v="N"/>
    <n v="5"/>
    <d v="2023-07-10T19:01:52"/>
    <s v="Y"/>
    <s v="Hearing Unit 0.00 - 1.00 Hours"/>
    <s v="Domestic Abuse"/>
    <s v="Advocacy"/>
    <s v="JUSTIN TUFUOR"/>
    <s v="Y"/>
    <n v="81.5"/>
    <n v="16.3"/>
    <x v="2"/>
    <s v="VALIDATED"/>
    <n v="1"/>
    <s v="01.11.80.302.6100.0000"/>
    <n v="81.5"/>
    <s v="11"/>
    <s v="6100"/>
    <n v="55544.78"/>
    <n v="81.5"/>
    <s v="CREDITOR"/>
    <n v="0"/>
    <n v="0"/>
    <n v="0"/>
    <n v="0"/>
    <n v="81.5"/>
  </r>
  <r>
    <n v="62368490"/>
    <s v="N"/>
    <n v="21337704"/>
    <s v="3000016347010001"/>
    <s v="CIVIL"/>
    <d v="2023-06-28T00:00:00"/>
    <d v="2023-07-06T19:21:01"/>
    <m/>
    <d v="2023-07-06T00:00:00"/>
    <n v="201"/>
    <n v="12863"/>
    <s v="62368490"/>
    <s v="62368490"/>
    <m/>
    <m/>
    <n v="22779724"/>
    <m/>
    <m/>
    <m/>
    <s v="SOLFIN"/>
    <s v="SOLFIN"/>
    <s v="CCMS"/>
    <n v="21337704"/>
    <n v="729.6"/>
    <m/>
    <s v="N"/>
    <n v="1"/>
    <d v="2023-07-06T19:21:04"/>
    <s v="Y"/>
    <s v="Level 4 Fixed Fee"/>
    <s v="Domestic Abuse"/>
    <s v="Profit Cost"/>
    <s v="HABIBUR CHOUDHURY"/>
    <s v="Y"/>
    <n v="608"/>
    <n v="121.6"/>
    <x v="4"/>
    <s v="VALIDATED"/>
    <n v="1"/>
    <s v="01.11.80.302.6100.0000"/>
    <n v="608"/>
    <s v="11"/>
    <s v="6100"/>
    <n v="55544.78"/>
    <n v="608"/>
    <s v="CREDITOR"/>
    <n v="0"/>
    <n v="0"/>
    <n v="0"/>
    <n v="0"/>
    <n v="608"/>
  </r>
  <r>
    <n v="61200794"/>
    <s v="N"/>
    <n v="21343948"/>
    <s v="3000015374250006"/>
    <s v="CIVIL"/>
    <d v="2023-06-28T00:00:00"/>
    <d v="2023-07-07T19:03:00"/>
    <m/>
    <d v="2023-07-07T00:00:00"/>
    <n v="201"/>
    <n v="12863"/>
    <s v="61200794"/>
    <s v="61200794"/>
    <m/>
    <m/>
    <n v="22777592"/>
    <m/>
    <m/>
    <m/>
    <s v="SOLFIN"/>
    <s v="SOLFIN"/>
    <s v="CCMS"/>
    <n v="21343948"/>
    <n v="3785.28"/>
    <m/>
    <s v="N"/>
    <n v="2"/>
    <d v="2023-07-07T19:03:18"/>
    <s v="Y"/>
    <s v="Disbursements (Summary)"/>
    <s v="Domestic Abuse"/>
    <s v="Non Expert Disbursement"/>
    <s v="MONIKA WAWRZYNNCZYK"/>
    <s v="Y"/>
    <n v="447.07"/>
    <n v="89.41"/>
    <x v="9"/>
    <s v="VALIDATED"/>
    <n v="1"/>
    <s v="01.11.80.302.6300.0000"/>
    <n v="447.07"/>
    <s v="11"/>
    <s v="6300"/>
    <n v="55544.78"/>
    <n v="447.07"/>
    <s v="CREDITOR"/>
    <n v="0"/>
    <n v="0"/>
    <n v="0"/>
    <n v="0"/>
    <n v="447.07"/>
  </r>
  <r>
    <n v="62394897"/>
    <s v="N"/>
    <n v="21363695"/>
    <s v="3000016369520002"/>
    <s v="CIVIL"/>
    <d v="2023-06-28T00:00:00"/>
    <d v="2023-07-12T19:01:49"/>
    <m/>
    <d v="2023-07-12T00:00:00"/>
    <n v="201"/>
    <n v="12863"/>
    <s v="62394897"/>
    <s v="62394897"/>
    <m/>
    <m/>
    <n v="22778900"/>
    <m/>
    <m/>
    <m/>
    <s v="SOLFIN"/>
    <s v="SOLFIN"/>
    <s v="CCMS"/>
    <n v="21363695"/>
    <n v="1372.03"/>
    <m/>
    <s v="N"/>
    <n v="2"/>
    <d v="2023-07-12T19:02:08"/>
    <s v="Y"/>
    <s v="Final Hearing - 1 Day"/>
    <s v="Domestic Abuse"/>
    <s v="Advocacy"/>
    <s v="BERFIN YETINSKIN"/>
    <s v="Y"/>
    <n v="361.17"/>
    <n v="72.23"/>
    <x v="0"/>
    <s v="VALIDATED"/>
    <n v="1"/>
    <s v="01.11.80.302.6100.0000"/>
    <n v="361.17"/>
    <s v="11"/>
    <s v="6100"/>
    <n v="55544.78"/>
    <n v="361.17"/>
    <s v="CREDITOR"/>
    <n v="0"/>
    <n v="0"/>
    <n v="0"/>
    <n v="0"/>
    <n v="361.17"/>
  </r>
  <r>
    <n v="61949709"/>
    <s v="N"/>
    <n v="21343231"/>
    <s v="3000015998600003"/>
    <s v="CIVIL"/>
    <d v="2023-06-25T00:00:00"/>
    <d v="2023-07-07T19:03:00"/>
    <m/>
    <d v="2023-07-07T00:00:00"/>
    <n v="201"/>
    <n v="12863"/>
    <s v="61949709"/>
    <s v="61949709"/>
    <m/>
    <m/>
    <n v="22756986"/>
    <m/>
    <m/>
    <m/>
    <s v="SOLFIN"/>
    <s v="SOLFIN"/>
    <s v="CCMS"/>
    <n v="21343231"/>
    <n v="1129.25"/>
    <m/>
    <s v="N"/>
    <n v="3"/>
    <d v="2023-07-07T19:03:05"/>
    <s v="Y"/>
    <s v="Level 4 Fixed Fee"/>
    <s v="Domestic Abuse"/>
    <s v="Profit Cost"/>
    <s v="BERFIN YETINSKIN"/>
    <s v="Y"/>
    <n v="608"/>
    <n v="121.6"/>
    <x v="9"/>
    <s v="VALIDATED"/>
    <n v="1"/>
    <s v="01.11.80.302.6100.0000"/>
    <n v="608"/>
    <s v="11"/>
    <s v="6100"/>
    <n v="55544.78"/>
    <n v="608"/>
    <s v="CREDITOR"/>
    <n v="0"/>
    <n v="0"/>
    <n v="0"/>
    <n v="0"/>
    <n v="608"/>
  </r>
  <r>
    <n v="61052225"/>
    <s v="N"/>
    <n v="21350139"/>
    <s v="3000015247030001"/>
    <s v="CIVIL"/>
    <d v="2023-06-20T00:00:00"/>
    <d v="2023-07-10T19:01:40"/>
    <m/>
    <d v="2023-07-10T00:00:00"/>
    <n v="201"/>
    <n v="12863"/>
    <s v="61052225"/>
    <s v="61052225"/>
    <m/>
    <m/>
    <n v="22722902"/>
    <m/>
    <m/>
    <m/>
    <s v="SOLFIN"/>
    <s v="SOLFIN"/>
    <s v="CCMS"/>
    <n v="21350139"/>
    <n v="1163"/>
    <m/>
    <s v="N"/>
    <n v="2"/>
    <d v="2023-07-10T19:02:15"/>
    <s v="Y"/>
    <s v="Level 4 Fixed Fee"/>
    <s v="Domestic Abuse"/>
    <s v="Profit Cost"/>
    <s v="Monika Wawryzynz"/>
    <s v="Y"/>
    <n v="608"/>
    <n v="121.6"/>
    <x v="2"/>
    <s v="VALIDATED"/>
    <n v="1"/>
    <s v="01.11.80.302.6100.0000"/>
    <n v="608"/>
    <s v="11"/>
    <s v="6100"/>
    <n v="55544.78"/>
    <n v="608"/>
    <s v="CREDITOR"/>
    <n v="0"/>
    <n v="0"/>
    <n v="0"/>
    <n v="0"/>
    <n v="608"/>
  </r>
  <r>
    <n v="61377476"/>
    <s v="N"/>
    <n v="21343415"/>
    <s v="3000015522150002"/>
    <s v="CIVIL"/>
    <d v="2023-06-27T00:00:00"/>
    <d v="2023-07-07T19:03:00"/>
    <m/>
    <d v="2023-07-07T00:00:00"/>
    <n v="201"/>
    <n v="12863"/>
    <s v="61377476"/>
    <s v="61377476"/>
    <m/>
    <m/>
    <n v="22771166"/>
    <m/>
    <m/>
    <m/>
    <s v="SOLFIN"/>
    <s v="SOLFIN"/>
    <s v="CCMS"/>
    <n v="21343415"/>
    <n v="3429.03"/>
    <m/>
    <s v="N"/>
    <n v="1"/>
    <d v="2023-07-07T19:03:09"/>
    <s v="Y"/>
    <s v="Process server"/>
    <s v="Domestic Abuse"/>
    <s v="Expert Disbursement"/>
    <s v="GLOBAL INVESTIGATIONS"/>
    <s v="Y"/>
    <n v="149.65"/>
    <n v="29.93"/>
    <x v="9"/>
    <s v="VALIDATED"/>
    <n v="1"/>
    <s v="01.11.80.302.6300.0000"/>
    <n v="149.65"/>
    <s v="11"/>
    <s v="6300"/>
    <n v="55544.78"/>
    <n v="149.65"/>
    <s v="CREDITOR"/>
    <n v="0"/>
    <n v="0"/>
    <n v="0"/>
    <n v="0"/>
    <n v="149.65"/>
  </r>
  <r>
    <n v="62394897"/>
    <s v="N"/>
    <n v="21363695"/>
    <s v="3000016369520002"/>
    <s v="CIVIL"/>
    <d v="2023-06-28T00:00:00"/>
    <d v="2023-07-12T19:01:49"/>
    <m/>
    <d v="2023-07-12T00:00:00"/>
    <n v="201"/>
    <n v="12863"/>
    <s v="62394897"/>
    <s v="62394897"/>
    <m/>
    <m/>
    <n v="22778900"/>
    <m/>
    <m/>
    <m/>
    <s v="SOLFIN"/>
    <s v="SOLFIN"/>
    <s v="CCMS"/>
    <n v="21363695"/>
    <n v="1372.03"/>
    <m/>
    <s v="N"/>
    <n v="1"/>
    <d v="2023-07-12T19:02:08"/>
    <s v="Y"/>
    <s v="Process server"/>
    <s v="Domestic Abuse"/>
    <s v="Expert Disbursement"/>
    <s v="GLOBAL INVESTIGATIONS"/>
    <s v="Y"/>
    <n v="174.19"/>
    <n v="34.84"/>
    <x v="0"/>
    <s v="VALIDATED"/>
    <n v="1"/>
    <s v="01.11.80.302.6300.0000"/>
    <n v="174.19"/>
    <s v="11"/>
    <s v="6300"/>
    <n v="55544.78"/>
    <n v="174.19"/>
    <s v="CREDITOR"/>
    <n v="0"/>
    <n v="0"/>
    <n v="0"/>
    <n v="0"/>
    <n v="174.19"/>
  </r>
  <r>
    <n v="61200794"/>
    <s v="N"/>
    <n v="21343948"/>
    <s v="3000015374250006"/>
    <s v="CIVIL"/>
    <d v="2023-06-28T00:00:00"/>
    <d v="2023-07-07T19:03:00"/>
    <m/>
    <d v="2023-07-07T00:00:00"/>
    <n v="201"/>
    <n v="12863"/>
    <s v="61200794"/>
    <s v="61200794"/>
    <m/>
    <m/>
    <n v="22777592"/>
    <m/>
    <m/>
    <m/>
    <s v="SOLFIN"/>
    <s v="SOLFIN"/>
    <s v="CCMS"/>
    <n v="21343948"/>
    <n v="3785.28"/>
    <m/>
    <s v="N"/>
    <n v="5"/>
    <d v="2023-07-07T19:03:18"/>
    <s v="Y"/>
    <s v="Hearing Unit 1.01 - 2.30 Hours"/>
    <s v="Domestic Abuse"/>
    <s v="Advocacy"/>
    <s v="MONIKA WAWRZYNNCZYK"/>
    <s v="Y"/>
    <n v="203.76"/>
    <n v="40.75"/>
    <x v="9"/>
    <s v="VALIDATED"/>
    <n v="1"/>
    <s v="01.11.80.302.6100.0000"/>
    <n v="203.76"/>
    <s v="11"/>
    <s v="6100"/>
    <n v="55544.78"/>
    <n v="203.76"/>
    <s v="CREDITOR"/>
    <n v="0"/>
    <n v="0"/>
    <n v="0"/>
    <n v="0"/>
    <n v="203.76"/>
  </r>
  <r>
    <n v="61298915"/>
    <s v="N"/>
    <n v="21349530"/>
    <s v="3000015438240004"/>
    <s v="CIVIL"/>
    <d v="2023-06-29T00:00:00"/>
    <d v="2023-07-10T19:01:40"/>
    <m/>
    <d v="2023-07-10T00:00:00"/>
    <n v="201"/>
    <n v="12863"/>
    <s v="61298915"/>
    <s v="61298915"/>
    <m/>
    <m/>
    <n v="22787192"/>
    <m/>
    <m/>
    <m/>
    <s v="SOLFIN"/>
    <s v="SOLFIN"/>
    <s v="CCMS"/>
    <n v="21349530"/>
    <n v="3971.89"/>
    <m/>
    <s v="N"/>
    <n v="2"/>
    <d v="2023-07-10T19:01:52"/>
    <s v="Y"/>
    <s v="Disbursements (Summary)"/>
    <s v="Domestic Abuse"/>
    <s v="Non Expert Disbursement"/>
    <s v="MARTIN REAL"/>
    <s v="Y"/>
    <n v="392.24"/>
    <n v="78.45"/>
    <x v="2"/>
    <s v="VALIDATED"/>
    <n v="1"/>
    <s v="01.11.80.302.6300.0000"/>
    <n v="392.24"/>
    <s v="11"/>
    <s v="6300"/>
    <n v="55544.78"/>
    <n v="392.24"/>
    <s v="CREDITOR"/>
    <n v="0"/>
    <n v="0"/>
    <n v="0"/>
    <n v="0"/>
    <n v="392.24"/>
  </r>
  <r>
    <n v="62298673"/>
    <s v="N"/>
    <n v="21349646"/>
    <s v="3000016290350003"/>
    <s v="CIVIL"/>
    <d v="2023-06-23T00:00:00"/>
    <d v="2023-07-10T19:01:40"/>
    <m/>
    <d v="2023-07-10T00:00:00"/>
    <n v="201"/>
    <n v="12863"/>
    <s v="62298673"/>
    <s v="62298673"/>
    <m/>
    <m/>
    <n v="22754416"/>
    <m/>
    <m/>
    <m/>
    <s v="SOLPOA"/>
    <s v="SOLPOA"/>
    <s v="CCMS"/>
    <n v="21349646"/>
    <n v="185.1"/>
    <m/>
    <s v="N"/>
    <n v="1"/>
    <d v="2023-07-10T19:01:55"/>
    <s v="N"/>
    <s v="Expert Cost - Domestic Abuse"/>
    <s v="Expert Cost - Domestic Abuse"/>
    <s v="Expert Disbursement"/>
    <s v="GIS Global"/>
    <s v="N"/>
    <n v="154.25"/>
    <n v="30.85"/>
    <x v="2"/>
    <s v="VALIDATED"/>
    <n v="1"/>
    <s v="01.11.80.302.2012.0000"/>
    <n v="154.25"/>
    <s v="11"/>
    <s v="2012"/>
    <n v="55544.78"/>
    <n v="154.25"/>
    <s v="CREDITOR"/>
    <n v="154.25"/>
    <n v="0"/>
    <n v="0"/>
    <n v="0"/>
    <n v="0"/>
  </r>
  <r>
    <n v="61600676"/>
    <s v="N"/>
    <n v="21330760"/>
    <s v="3000015693990002"/>
    <s v="CIVIL"/>
    <d v="2023-06-25T00:00:00"/>
    <d v="2023-07-05T19:01:47"/>
    <m/>
    <d v="2023-07-05T00:00:00"/>
    <n v="201"/>
    <n v="12863"/>
    <s v="61600676"/>
    <s v="61600676"/>
    <m/>
    <m/>
    <n v="22757072"/>
    <m/>
    <m/>
    <m/>
    <s v="SOLFIN"/>
    <s v="SOLFIN"/>
    <s v="CCMS"/>
    <n v="21330760"/>
    <n v="1373.86"/>
    <m/>
    <s v="N"/>
    <n v="1"/>
    <d v="2023-07-05T19:01:54"/>
    <s v="Y"/>
    <s v="Process server"/>
    <s v="Domestic Abuse"/>
    <s v="Expert Disbursement"/>
    <s v="GLOBAL INVESTIGATIONS"/>
    <s v="Y"/>
    <n v="175.72"/>
    <n v="35.14"/>
    <x v="6"/>
    <s v="VALIDATED"/>
    <n v="1"/>
    <s v="01.11.80.302.6300.0000"/>
    <n v="175.72"/>
    <s v="11"/>
    <s v="6300"/>
    <n v="55544.78"/>
    <n v="175.72"/>
    <s v="CREDITOR"/>
    <n v="0"/>
    <n v="0"/>
    <n v="0"/>
    <n v="0"/>
    <n v="175.72"/>
  </r>
  <r>
    <n v="61573506"/>
    <s v="N"/>
    <n v="21331074"/>
    <s v="3000015684530002"/>
    <s v="CIVIL"/>
    <d v="2023-06-25T00:00:00"/>
    <d v="2023-07-05T19:01:47"/>
    <m/>
    <d v="2023-07-05T00:00:00"/>
    <n v="201"/>
    <n v="12863"/>
    <s v="61573506"/>
    <s v="61573506"/>
    <m/>
    <m/>
    <n v="22757078"/>
    <m/>
    <m/>
    <m/>
    <s v="SOLFIN"/>
    <s v="SOLFIN"/>
    <s v="CCMS"/>
    <n v="21331074"/>
    <n v="1373.86"/>
    <m/>
    <s v="N"/>
    <n v="2"/>
    <d v="2023-07-05T19:02:05"/>
    <s v="Y"/>
    <s v="Final Hearing - 1 Day"/>
    <s v="Domestic Abuse"/>
    <s v="Advocacy"/>
    <s v="HABIBUR CHOUDHURY"/>
    <s v="Y"/>
    <n v="361.17"/>
    <n v="72.23"/>
    <x v="6"/>
    <s v="VALIDATED"/>
    <n v="1"/>
    <s v="01.11.80.302.6100.0000"/>
    <n v="361.17"/>
    <s v="11"/>
    <s v="6100"/>
    <n v="55544.78"/>
    <n v="361.17"/>
    <s v="CREDITOR"/>
    <n v="0"/>
    <n v="0"/>
    <n v="0"/>
    <n v="0"/>
    <n v="361.17"/>
  </r>
  <r>
    <n v="61876604"/>
    <s v="N"/>
    <n v="21328267"/>
    <s v="3000015938700001"/>
    <s v="CIVIL"/>
    <d v="2023-06-25T00:00:00"/>
    <d v="2023-07-04T19:00:44"/>
    <m/>
    <d v="2023-07-04T00:00:00"/>
    <n v="201"/>
    <n v="12863"/>
    <s v="61876604"/>
    <s v="61876604"/>
    <m/>
    <m/>
    <n v="22756966"/>
    <m/>
    <m/>
    <m/>
    <s v="SOLFIN"/>
    <s v="SOLFIN"/>
    <s v="CCMS"/>
    <n v="21328267"/>
    <n v="729.6"/>
    <m/>
    <s v="N"/>
    <n v="1"/>
    <d v="2023-07-04T19:01:11"/>
    <s v="Y"/>
    <s v="Level 4 Fixed Fee"/>
    <s v="Domestic Abuse"/>
    <s v="Profit Cost"/>
    <s v="HABIBUR CHOUDHURY"/>
    <s v="Y"/>
    <n v="608"/>
    <n v="121.6"/>
    <x v="1"/>
    <s v="VALIDATED"/>
    <n v="1"/>
    <s v="01.11.80.302.6100.0000"/>
    <n v="608"/>
    <s v="11"/>
    <s v="6100"/>
    <n v="55544.78"/>
    <n v="608"/>
    <s v="CREDITOR"/>
    <n v="0"/>
    <n v="0"/>
    <n v="0"/>
    <n v="0"/>
    <n v="608"/>
  </r>
  <r>
    <n v="26636542"/>
    <s v="N"/>
    <n v="21318720"/>
    <s v="3000008690510008"/>
    <s v="CIVIL"/>
    <d v="2023-06-21T00:00:00"/>
    <d v="2023-07-03T19:01:49"/>
    <m/>
    <d v="2023-07-03T00:00:00"/>
    <n v="201"/>
    <n v="12863"/>
    <s v="26636542"/>
    <s v="26636542"/>
    <m/>
    <m/>
    <n v="22731832"/>
    <m/>
    <m/>
    <m/>
    <s v="SOLFIN"/>
    <s v="SOLFIN"/>
    <s v="CCMS"/>
    <n v="21318720"/>
    <n v="11408.42"/>
    <m/>
    <s v="N"/>
    <n v="3"/>
    <d v="2023-07-03T19:02:02"/>
    <s v="Y"/>
    <s v="Disbursements (Summary)"/>
    <s v="Private Law Children"/>
    <s v="Non Expert Disbursement"/>
    <s v="MARTIN REAL"/>
    <s v="Y"/>
    <n v="93.45"/>
    <n v="0"/>
    <x v="3"/>
    <s v="VALIDATED"/>
    <n v="1"/>
    <s v="01.11.80.307.6300.0000"/>
    <n v="93.45"/>
    <s v="11"/>
    <s v="6300"/>
    <n v="55544.78"/>
    <n v="93.45"/>
    <s v="CREDITOR"/>
    <n v="0"/>
    <n v="0"/>
    <n v="0"/>
    <n v="0"/>
    <n v="93.45"/>
  </r>
  <r>
    <n v="60820602"/>
    <s v="N"/>
    <n v="21349924"/>
    <s v="3000015052680001"/>
    <s v="CIVIL"/>
    <d v="2023-06-04T00:00:00"/>
    <d v="2023-07-10T19:01:40"/>
    <m/>
    <d v="2023-07-10T00:00:00"/>
    <n v="201"/>
    <n v="12863"/>
    <s v="60820602"/>
    <s v="60820602"/>
    <m/>
    <m/>
    <n v="22611522"/>
    <m/>
    <m/>
    <m/>
    <s v="SOLFIN"/>
    <s v="SOLFIN"/>
    <s v="CCMS"/>
    <n v="21349924"/>
    <n v="729.6"/>
    <m/>
    <s v="N"/>
    <n v="1"/>
    <d v="2023-07-10T19:02:03"/>
    <s v="Y"/>
    <s v="Level 4 Fixed Fee"/>
    <s v="Domestic Abuse"/>
    <s v="Profit Cost"/>
    <s v="JUSTIN TUFUOR"/>
    <s v="Y"/>
    <n v="608"/>
    <n v="121.6"/>
    <x v="2"/>
    <s v="VALIDATED"/>
    <n v="1"/>
    <s v="01.11.80.302.6100.0000"/>
    <n v="608"/>
    <s v="11"/>
    <s v="6100"/>
    <n v="55544.78"/>
    <n v="608"/>
    <s v="CREDITOR"/>
    <n v="0"/>
    <n v="0"/>
    <n v="0"/>
    <n v="0"/>
    <n v="608"/>
  </r>
  <r>
    <n v="60867358"/>
    <s v="N"/>
    <n v="21349656"/>
    <s v="3000015091730003"/>
    <s v="CIVIL"/>
    <d v="2023-06-30T00:00:00"/>
    <d v="2023-07-10T19:01:40"/>
    <m/>
    <d v="2023-07-10T00:00:00"/>
    <n v="201"/>
    <n v="12863"/>
    <s v="60867358"/>
    <s v="60867358"/>
    <m/>
    <m/>
    <n v="22795838"/>
    <m/>
    <m/>
    <m/>
    <s v="SOLFIN"/>
    <s v="SOLFIN"/>
    <s v="CCMS"/>
    <n v="21349656"/>
    <n v="7811.43"/>
    <m/>
    <s v="N"/>
    <n v="5"/>
    <d v="2023-07-10T19:01:55"/>
    <s v="Y"/>
    <s v="Hearing Unit 2.31 - 5.00 Hours"/>
    <s v="Domestic Abuse"/>
    <s v="Advocacy"/>
    <s v="JUSTIN TUFUOR"/>
    <s v="Y"/>
    <n v="407.52"/>
    <n v="81.5"/>
    <x v="2"/>
    <s v="VALIDATED"/>
    <n v="1"/>
    <s v="01.11.80.302.6100.0000"/>
    <n v="407.52"/>
    <s v="11"/>
    <s v="6100"/>
    <n v="55544.78"/>
    <n v="407.52"/>
    <s v="CREDITOR"/>
    <n v="0"/>
    <n v="0"/>
    <n v="0"/>
    <n v="0"/>
    <n v="407.52"/>
  </r>
  <r>
    <n v="62033021"/>
    <s v="N"/>
    <n v="21323675"/>
    <s v="3000016071140003"/>
    <s v="CIVIL"/>
    <d v="2023-06-30T00:00:00"/>
    <d v="2023-07-03T19:05:56"/>
    <m/>
    <d v="2023-07-03T00:00:00"/>
    <n v="203"/>
    <n v="12886"/>
    <s v="62033021"/>
    <s v="62033021"/>
    <m/>
    <m/>
    <n v="22797806"/>
    <m/>
    <m/>
    <m/>
    <s v="SOLPOA"/>
    <s v="SOLPOA"/>
    <s v="CCMS"/>
    <n v="21323675"/>
    <n v="1684.8"/>
    <m/>
    <s v="N"/>
    <n v="1"/>
    <d v="2023-07-03T19:05:58"/>
    <s v="N"/>
    <s v="Expert Cost"/>
    <s v="Expert Cost"/>
    <s v="Expert Disbursement"/>
    <s v="Dr Dowd of Forensis Inv 7672"/>
    <s v="N"/>
    <n v="1404"/>
    <n v="280.8"/>
    <x v="3"/>
    <s v="VALIDATED"/>
    <n v="1"/>
    <s v="01.11.80.308.2012.0000"/>
    <n v="1404"/>
    <s v="11"/>
    <s v="2012"/>
    <n v="1535"/>
    <n v="1404"/>
    <s v="CREDITOR"/>
    <n v="1404"/>
    <n v="0"/>
    <n v="0"/>
    <n v="0"/>
    <n v="0"/>
  </r>
  <r>
    <n v="61456609"/>
    <s v="N"/>
    <n v="21323665"/>
    <s v="3000015587150009"/>
    <s v="CIVIL"/>
    <d v="2023-06-30T00:00:00"/>
    <d v="2023-07-03T19:05:56"/>
    <m/>
    <d v="2023-07-03T00:00:00"/>
    <n v="203"/>
    <n v="12886"/>
    <s v="61456609"/>
    <s v="61456609"/>
    <m/>
    <m/>
    <n v="22798946"/>
    <m/>
    <m/>
    <m/>
    <s v="SOLPOA"/>
    <s v="SOLPOA"/>
    <s v="CCMS"/>
    <n v="21323665"/>
    <n v="124.2"/>
    <m/>
    <s v="N"/>
    <n v="1"/>
    <d v="2023-07-03T19:05:58"/>
    <s v="N"/>
    <s v="Expert Cost"/>
    <s v="Expert Cost"/>
    <s v="Expert Disbursement"/>
    <s v="CANSFORD"/>
    <s v="N"/>
    <n v="103.5"/>
    <n v="20.7"/>
    <x v="3"/>
    <s v="VALIDATED"/>
    <n v="1"/>
    <s v="01.11.80.308.2012.0000"/>
    <n v="103.5"/>
    <s v="11"/>
    <s v="2012"/>
    <n v="1535"/>
    <n v="103.5"/>
    <s v="CREDITOR"/>
    <n v="103.5"/>
    <n v="0"/>
    <n v="0"/>
    <n v="0"/>
    <n v="0"/>
  </r>
  <r>
    <n v="61456609"/>
    <s v="N"/>
    <n v="21323759"/>
    <s v="3000015587150010"/>
    <s v="CIVIL"/>
    <d v="2023-06-30T00:00:00"/>
    <d v="2023-07-03T19:05:56"/>
    <m/>
    <d v="2023-07-03T00:00:00"/>
    <n v="203"/>
    <n v="12886"/>
    <s v="61456609"/>
    <s v="61456609"/>
    <m/>
    <m/>
    <n v="22798982"/>
    <m/>
    <m/>
    <m/>
    <s v="SOLPOA"/>
    <s v="SOLPOA"/>
    <s v="CCMS"/>
    <n v="21323759"/>
    <n v="33"/>
    <m/>
    <s v="N"/>
    <n v="1"/>
    <d v="2023-07-03T19:05:58"/>
    <s v="N"/>
    <s v="Expert Cost"/>
    <s v="Expert Cost"/>
    <s v="Expert Disbursement"/>
    <s v="CANSFORD"/>
    <s v="N"/>
    <n v="27.5"/>
    <n v="5.5"/>
    <x v="3"/>
    <s v="VALIDATED"/>
    <n v="1"/>
    <s v="01.11.80.308.2012.0000"/>
    <n v="27.5"/>
    <s v="11"/>
    <s v="2012"/>
    <n v="1535"/>
    <n v="27.5"/>
    <s v="CREDITOR"/>
    <n v="27.5"/>
    <n v="0"/>
    <n v="0"/>
    <n v="0"/>
    <n v="0"/>
  </r>
  <r>
    <n v="62463665"/>
    <s v="N"/>
    <n v="21337786"/>
    <s v="3000016418970001"/>
    <s v="CIVIL"/>
    <d v="2023-06-30T00:00:00"/>
    <d v="2023-07-06T19:21:01"/>
    <m/>
    <d v="2023-07-06T00:00:00"/>
    <n v="224"/>
    <n v="14196"/>
    <s v="62463665"/>
    <s v="62463665"/>
    <m/>
    <m/>
    <n v="22795590"/>
    <m/>
    <m/>
    <m/>
    <s v="SOLPOA"/>
    <s v="SOLPOA"/>
    <s v="CCMS"/>
    <n v="21337786"/>
    <n v="53"/>
    <m/>
    <s v="N"/>
    <n v="1"/>
    <d v="2023-07-06T19:21:08"/>
    <s v="N"/>
    <s v="Non Expert Disbursement"/>
    <s v="Non Expert Disbursement"/>
    <s v="Non Expert Disbursement"/>
    <s v="SRB"/>
    <s v="N"/>
    <n v="53"/>
    <n v="0"/>
    <x v="4"/>
    <s v="VALIDATED"/>
    <n v="1"/>
    <s v="01.11.80.308.2012.0000"/>
    <n v="53"/>
    <s v="11"/>
    <s v="2012"/>
    <n v="5266.39"/>
    <n v="53"/>
    <s v="CREDITOR"/>
    <n v="53"/>
    <n v="0"/>
    <n v="0"/>
    <n v="0"/>
    <n v="0"/>
  </r>
  <r>
    <n v="61160778"/>
    <s v="N"/>
    <n v="21319109"/>
    <s v="3000015342950009"/>
    <s v="CIVIL"/>
    <d v="2023-06-06T00:00:00"/>
    <d v="2023-07-03T19:01:49"/>
    <m/>
    <d v="2023-07-03T00:00:00"/>
    <n v="224"/>
    <n v="14196"/>
    <s v="61160778"/>
    <s v="61160778"/>
    <m/>
    <m/>
    <n v="22633026"/>
    <m/>
    <m/>
    <m/>
    <s v="SOLFIN"/>
    <s v="SOLFIN"/>
    <s v="CCMS"/>
    <n v="21319109"/>
    <n v="6388.34"/>
    <m/>
    <s v="N"/>
    <n v="5"/>
    <d v="2023-07-03T19:02:11"/>
    <s v="Y"/>
    <s v="Solicitor Travel Mileage"/>
    <s v="Public Law Children"/>
    <s v="Non Expert Disbursement"/>
    <s v="HSG"/>
    <s v="Y"/>
    <n v="14.4"/>
    <n v="2.88"/>
    <x v="3"/>
    <s v="VALIDATED"/>
    <n v="1"/>
    <s v="01.11.80.308.6300.0000"/>
    <n v="14.4"/>
    <s v="11"/>
    <s v="6300"/>
    <n v="5266.39"/>
    <n v="14.4"/>
    <s v="CREDITOR"/>
    <n v="0"/>
    <n v="0"/>
    <n v="0"/>
    <n v="0"/>
    <n v="14.4"/>
  </r>
  <r>
    <n v="61700165"/>
    <s v="N"/>
    <n v="21363827"/>
    <s v="3000015789730008"/>
    <s v="CIVIL"/>
    <d v="2023-06-06T00:00:00"/>
    <d v="2023-07-12T19:01:49"/>
    <m/>
    <d v="2023-07-12T00:00:00"/>
    <n v="224"/>
    <n v="14196"/>
    <s v="61700165"/>
    <s v="61700165"/>
    <m/>
    <m/>
    <n v="22624546"/>
    <m/>
    <m/>
    <m/>
    <s v="SOLFIN"/>
    <s v="SOLFIN"/>
    <s v="CCMS"/>
    <n v="21363827"/>
    <n v="7406.34"/>
    <m/>
    <s v="N"/>
    <n v="2"/>
    <d v="2023-07-12T19:02:12"/>
    <s v="Y"/>
    <s v="Interim Hearing Court Bundle/Advoca"/>
    <s v="Public Law Children"/>
    <s v="Advocacy"/>
    <s v="SRB"/>
    <s v="Y"/>
    <n v="59.4"/>
    <n v="11.88"/>
    <x v="0"/>
    <s v="VALIDATED"/>
    <n v="1"/>
    <s v="01.11.80.308.6100.0000"/>
    <n v="59.4"/>
    <s v="11"/>
    <s v="6100"/>
    <n v="5266.39"/>
    <n v="59.4"/>
    <s v="CREDITOR"/>
    <n v="0"/>
    <n v="0"/>
    <n v="0"/>
    <n v="0"/>
    <n v="59.4"/>
  </r>
  <r>
    <n v="61160778"/>
    <s v="N"/>
    <n v="21319109"/>
    <s v="3000015342950009"/>
    <s v="CIVIL"/>
    <d v="2023-06-06T00:00:00"/>
    <d v="2023-07-03T19:01:49"/>
    <m/>
    <d v="2023-07-03T00:00:00"/>
    <n v="224"/>
    <n v="14196"/>
    <s v="61160778"/>
    <s v="61160778"/>
    <m/>
    <m/>
    <n v="22633026"/>
    <m/>
    <m/>
    <m/>
    <s v="SOLFIN"/>
    <s v="SOLFIN"/>
    <s v="CCMS"/>
    <n v="21319109"/>
    <n v="6388.34"/>
    <m/>
    <s v="N"/>
    <n v="4"/>
    <d v="2023-07-03T19:02:11"/>
    <s v="Y"/>
    <s v="Expert - Other"/>
    <s v="Public Law Children"/>
    <s v="Expert Disbursement"/>
    <s v="DNA legal"/>
    <s v="Y"/>
    <n v="156.6"/>
    <n v="31.32"/>
    <x v="3"/>
    <s v="VALIDATED"/>
    <n v="1"/>
    <s v="01.11.80.308.6300.0000"/>
    <n v="156.6"/>
    <s v="11"/>
    <s v="6300"/>
    <n v="5266.39"/>
    <n v="156.6"/>
    <s v="CREDITOR"/>
    <n v="0"/>
    <n v="0"/>
    <n v="0"/>
    <n v="0"/>
    <n v="156.6"/>
  </r>
  <r>
    <n v="61700165"/>
    <s v="N"/>
    <n v="21363827"/>
    <s v="3000015789730008"/>
    <s v="CIVIL"/>
    <d v="2023-06-06T00:00:00"/>
    <d v="2023-07-12T19:01:49"/>
    <m/>
    <d v="2023-07-12T00:00:00"/>
    <n v="224"/>
    <n v="14196"/>
    <s v="61700165"/>
    <s v="61700165"/>
    <m/>
    <m/>
    <n v="22624546"/>
    <m/>
    <m/>
    <m/>
    <s v="SOLFIN"/>
    <s v="SOLFIN"/>
    <s v="CCMS"/>
    <n v="21363827"/>
    <n v="7406.34"/>
    <m/>
    <s v="N"/>
    <n v="1"/>
    <d v="2023-07-12T19:02:12"/>
    <s v="Y"/>
    <s v="Final Hearing Court Bundle/Advocate"/>
    <s v="Public Law Children"/>
    <s v="Advocacy"/>
    <s v="SJF"/>
    <s v="Y"/>
    <n v="239.4"/>
    <n v="47.88"/>
    <x v="0"/>
    <s v="VALIDATED"/>
    <n v="1"/>
    <s v="01.11.80.308.6100.0000"/>
    <n v="239.4"/>
    <s v="11"/>
    <s v="6100"/>
    <n v="5266.39"/>
    <n v="239.4"/>
    <s v="CREDITOR"/>
    <n v="0"/>
    <n v="0"/>
    <n v="0"/>
    <n v="0"/>
    <n v="239.4"/>
  </r>
  <r>
    <n v="62399280"/>
    <s v="N"/>
    <n v="21323302"/>
    <s v="3000016374400001"/>
    <s v="CIVIL"/>
    <d v="2023-06-30T00:00:00"/>
    <d v="2023-07-03T19:05:56"/>
    <m/>
    <d v="2023-07-03T00:00:00"/>
    <n v="224"/>
    <n v="14196"/>
    <s v="62399280"/>
    <s v="62399280"/>
    <m/>
    <m/>
    <n v="22796030"/>
    <m/>
    <m/>
    <m/>
    <s v="SOLPOA"/>
    <s v="SOLPOA"/>
    <s v="CCMS"/>
    <n v="21323302"/>
    <n v="23.76"/>
    <m/>
    <s v="N"/>
    <n v="1"/>
    <d v="2023-07-03T19:05:56"/>
    <s v="N"/>
    <s v="Non Expert Disbursement"/>
    <s v="Non Expert Disbursement"/>
    <s v="Non Expert Disbursement"/>
    <s v="SJF"/>
    <s v="N"/>
    <n v="19.8"/>
    <n v="3.96"/>
    <x v="3"/>
    <s v="VALIDATED"/>
    <n v="1"/>
    <s v="01.11.80.308.2012.0000"/>
    <n v="19.8"/>
    <s v="11"/>
    <s v="2012"/>
    <n v="5266.39"/>
    <n v="19.8"/>
    <s v="CREDITOR"/>
    <n v="19.8"/>
    <n v="0"/>
    <n v="0"/>
    <n v="0"/>
    <n v="0"/>
  </r>
  <r>
    <n v="61160825"/>
    <s v="N"/>
    <n v="21319114"/>
    <s v="3000015343560001"/>
    <s v="CIVIL"/>
    <d v="2023-06-06T00:00:00"/>
    <d v="2023-07-03T19:01:49"/>
    <m/>
    <d v="2023-07-03T00:00:00"/>
    <n v="224"/>
    <n v="14196"/>
    <s v="61160825"/>
    <s v="61160825"/>
    <m/>
    <m/>
    <n v="22632784"/>
    <m/>
    <m/>
    <m/>
    <s v="SOLFIN"/>
    <s v="SOLFIN"/>
    <s v="CCMS"/>
    <n v="21319114"/>
    <n v="0"/>
    <m/>
    <s v="N"/>
    <n v="1"/>
    <d v="2023-07-03T19:02:11"/>
    <s v="N"/>
    <s v="NIL BILL"/>
    <s v="Public Law Children"/>
    <s v="Profit Cost"/>
    <s v="SJF"/>
    <s v="N"/>
    <n v="0"/>
    <n v="0"/>
    <x v="3"/>
    <s v="VALIDATED"/>
    <n v="1"/>
    <s v="01.11.80.308.6100.0000"/>
    <n v="0"/>
    <s v="11"/>
    <s v="6100"/>
    <n v="5266.39"/>
    <n v="0"/>
    <s v="CREDITOR"/>
    <n v="0"/>
    <n v="0"/>
    <n v="0"/>
    <n v="0"/>
    <n v="0"/>
  </r>
  <r>
    <n v="61160778"/>
    <s v="N"/>
    <n v="21319109"/>
    <s v="3000015342950009"/>
    <s v="CIVIL"/>
    <d v="2023-06-06T00:00:00"/>
    <d v="2023-07-03T19:01:49"/>
    <m/>
    <d v="2023-07-03T00:00:00"/>
    <n v="224"/>
    <n v="14196"/>
    <s v="61160778"/>
    <s v="61160778"/>
    <m/>
    <m/>
    <n v="22633026"/>
    <m/>
    <m/>
    <m/>
    <s v="SOLFIN"/>
    <s v="SOLFIN"/>
    <s v="CCMS"/>
    <n v="21319109"/>
    <n v="6388.34"/>
    <m/>
    <s v="N"/>
    <n v="13"/>
    <d v="2023-07-03T19:02:11"/>
    <s v="Y"/>
    <s v="Solicitors Fixed Fee"/>
    <s v="Public Law Children"/>
    <s v="Profit Cost"/>
    <s v="SJF"/>
    <s v="Y"/>
    <n v="3020"/>
    <n v="604"/>
    <x v="3"/>
    <s v="VALIDATED"/>
    <n v="1"/>
    <s v="01.11.80.308.6100.0000"/>
    <n v="3020"/>
    <s v="11"/>
    <s v="6100"/>
    <n v="5266.39"/>
    <n v="3020"/>
    <s v="CREDITOR"/>
    <n v="0"/>
    <n v="0"/>
    <n v="0"/>
    <n v="0"/>
    <n v="3020"/>
  </r>
  <r>
    <n v="61959185"/>
    <s v="N"/>
    <n v="21349362"/>
    <s v="3000015997440005"/>
    <s v="CIVIL"/>
    <d v="2023-06-14T00:00:00"/>
    <d v="2023-07-10T19:01:40"/>
    <m/>
    <d v="2023-07-10T00:00:00"/>
    <n v="224"/>
    <n v="14196"/>
    <s v="61959185"/>
    <s v="61959185"/>
    <m/>
    <m/>
    <n v="22689080"/>
    <m/>
    <m/>
    <m/>
    <s v="SOLFIN"/>
    <s v="SOLFIN"/>
    <s v="CCMS"/>
    <n v="21349362"/>
    <n v="3197.76"/>
    <m/>
    <s v="N"/>
    <n v="5"/>
    <d v="2023-07-10T19:01:47"/>
    <s v="Y"/>
    <s v="Solicitor Travel Expenses"/>
    <s v="Care Remuneration Hourly Rates"/>
    <s v="Non Expert Disbursement"/>
    <s v="SJF"/>
    <s v="Y"/>
    <n v="4.6"/>
    <n v="0.92"/>
    <x v="2"/>
    <s v="VALIDATED"/>
    <n v="1"/>
    <s v="01.11.80.305.6300.0000"/>
    <n v="4.6"/>
    <s v="11"/>
    <s v="6300"/>
    <n v="5266.39"/>
    <n v="4.6"/>
    <s v="CREDITOR"/>
    <n v="0"/>
    <n v="0"/>
    <n v="0"/>
    <n v="0"/>
    <n v="4.6"/>
  </r>
  <r>
    <n v="61959185"/>
    <s v="N"/>
    <n v="21349362"/>
    <s v="3000015997440005"/>
    <s v="CIVIL"/>
    <d v="2023-06-14T00:00:00"/>
    <d v="2023-07-10T19:01:40"/>
    <m/>
    <d v="2023-07-10T00:00:00"/>
    <n v="224"/>
    <n v="14196"/>
    <s v="61959185"/>
    <s v="61959185"/>
    <m/>
    <m/>
    <n v="22689080"/>
    <m/>
    <m/>
    <m/>
    <s v="SOLFIN"/>
    <s v="SOLFIN"/>
    <s v="CCMS"/>
    <n v="21349362"/>
    <n v="3197.76"/>
    <m/>
    <s v="N"/>
    <n v="24"/>
    <d v="2023-07-10T19:01:47"/>
    <s v="Y"/>
    <s v="Hearing Unit 2.31 - 5.00 Hours"/>
    <s v="Other Public Law Children"/>
    <s v="Advocacy"/>
    <s v="SJF"/>
    <s v="Y"/>
    <n v="417.06"/>
    <n v="83.41"/>
    <x v="2"/>
    <s v="VALIDATED"/>
    <n v="1"/>
    <s v="01.11.80.305.6100.0000"/>
    <n v="417.06"/>
    <s v="11"/>
    <s v="6100"/>
    <n v="5266.39"/>
    <n v="417.06"/>
    <s v="CREDITOR"/>
    <n v="0"/>
    <n v="0"/>
    <n v="0"/>
    <n v="0"/>
    <n v="417.06"/>
  </r>
  <r>
    <n v="61959185"/>
    <s v="N"/>
    <n v="21349362"/>
    <s v="3000015997440005"/>
    <s v="CIVIL"/>
    <d v="2023-06-14T00:00:00"/>
    <d v="2023-07-10T19:01:40"/>
    <m/>
    <d v="2023-07-10T00:00:00"/>
    <n v="224"/>
    <n v="14196"/>
    <s v="61959185"/>
    <s v="61959185"/>
    <m/>
    <m/>
    <n v="22689080"/>
    <m/>
    <m/>
    <m/>
    <s v="SOLFIN"/>
    <s v="SOLFIN"/>
    <s v="CCMS"/>
    <n v="21349362"/>
    <n v="3197.76"/>
    <m/>
    <s v="N"/>
    <n v="6"/>
    <d v="2023-07-10T19:01:47"/>
    <s v="Y"/>
    <s v="Solicitor Travel Mileage"/>
    <s v="Care Remuneration Hourly Rates"/>
    <s v="Non Expert Disbursement"/>
    <s v="SJF"/>
    <s v="Y"/>
    <n v="21.6"/>
    <n v="4.32"/>
    <x v="2"/>
    <s v="VALIDATED"/>
    <n v="1"/>
    <s v="01.11.80.305.6300.0000"/>
    <n v="21.6"/>
    <s v="11"/>
    <s v="6300"/>
    <n v="5266.39"/>
    <n v="21.6"/>
    <s v="CREDITOR"/>
    <n v="0"/>
    <n v="0"/>
    <n v="0"/>
    <n v="0"/>
    <n v="21.6"/>
  </r>
  <r>
    <n v="61160778"/>
    <s v="N"/>
    <n v="21324262"/>
    <s v="3000015342950001RC"/>
    <s v="CIVIL"/>
    <d v="2023-06-06T00:00:00"/>
    <d v="2023-07-03T19:42:50"/>
    <m/>
    <d v="2023-07-03T00:00:00"/>
    <n v="224"/>
    <n v="14196"/>
    <s v="61160778"/>
    <s v="61160778"/>
    <m/>
    <m/>
    <m/>
    <m/>
    <m/>
    <m/>
    <s v="SOLRECOUP"/>
    <s v="SOLRECOUP"/>
    <s v="POARECOUP"/>
    <n v="21324262"/>
    <n v="-16.92"/>
    <m/>
    <s v="Y"/>
    <n v="1"/>
    <d v="2023-07-03T19:42:50"/>
    <s v="N"/>
    <m/>
    <m/>
    <s v="Non Expert Disbursement"/>
    <m/>
    <s v="N"/>
    <n v="-14.1"/>
    <n v="0"/>
    <x v="3"/>
    <s v="VALIDATED"/>
    <n v="1"/>
    <s v="01.11.80.308.2013.0000"/>
    <n v="-14.1"/>
    <s v="11"/>
    <s v="2013"/>
    <n v="5266.39"/>
    <n v="-14.1"/>
    <s v="CREDITOR"/>
    <n v="0"/>
    <n v="0"/>
    <n v="-14.1"/>
    <n v="0"/>
    <n v="0"/>
  </r>
  <r>
    <n v="61160778"/>
    <s v="N"/>
    <n v="21324262"/>
    <s v="3000015342950001RC"/>
    <s v="CIVIL"/>
    <d v="2023-06-06T00:00:00"/>
    <d v="2023-07-03T19:42:50"/>
    <m/>
    <d v="2023-07-03T00:00:00"/>
    <n v="224"/>
    <n v="14196"/>
    <s v="61160778"/>
    <s v="61160778"/>
    <m/>
    <m/>
    <m/>
    <m/>
    <m/>
    <m/>
    <s v="SOLRECOUP"/>
    <s v="SOLRECOUP"/>
    <s v="POARECOUP"/>
    <n v="21324262"/>
    <n v="-16.92"/>
    <m/>
    <s v="Y"/>
    <n v="2"/>
    <d v="2023-07-03T19:42:50"/>
    <s v="N"/>
    <m/>
    <m/>
    <s v="Non Expert Disbursement"/>
    <m/>
    <s v="N"/>
    <n v="0"/>
    <n v="-2.82"/>
    <x v="3"/>
    <s v="VALIDATED"/>
    <n v="1"/>
    <s v="01.11.80.308.2013.0000"/>
    <n v="-2.82"/>
    <s v="11"/>
    <s v="2013"/>
    <n v="5266.39"/>
    <n v="-2.82"/>
    <s v="CREDITOR"/>
    <n v="0"/>
    <n v="0"/>
    <n v="-2.82"/>
    <n v="0"/>
    <n v="0"/>
  </r>
  <r>
    <n v="61160778"/>
    <s v="N"/>
    <n v="21324263"/>
    <s v="3000015342950002RC"/>
    <s v="CIVIL"/>
    <d v="2023-06-06T00:00:00"/>
    <d v="2023-07-03T19:42:50"/>
    <m/>
    <d v="2023-07-03T00:00:00"/>
    <n v="224"/>
    <n v="14196"/>
    <s v="61160778"/>
    <s v="61160778"/>
    <m/>
    <m/>
    <m/>
    <m/>
    <m/>
    <m/>
    <s v="SOLRECOUP"/>
    <s v="SOLRECOUP"/>
    <s v="POARECOUP"/>
    <n v="21324263"/>
    <n v="-7.44"/>
    <m/>
    <s v="Y"/>
    <n v="1"/>
    <d v="2023-07-03T19:42:50"/>
    <s v="N"/>
    <m/>
    <m/>
    <s v="Non Expert Disbursement"/>
    <m/>
    <s v="N"/>
    <n v="-6.2"/>
    <n v="0"/>
    <x v="3"/>
    <s v="VALIDATED"/>
    <n v="1"/>
    <s v="01.11.80.308.2013.0000"/>
    <n v="-6.2"/>
    <s v="11"/>
    <s v="2013"/>
    <n v="5266.39"/>
    <n v="-6.2"/>
    <s v="CREDITOR"/>
    <n v="0"/>
    <n v="0"/>
    <n v="-6.2"/>
    <n v="0"/>
    <n v="0"/>
  </r>
  <r>
    <n v="61160778"/>
    <s v="N"/>
    <n v="21324263"/>
    <s v="3000015342950002RC"/>
    <s v="CIVIL"/>
    <d v="2023-06-06T00:00:00"/>
    <d v="2023-07-03T19:42:50"/>
    <m/>
    <d v="2023-07-03T00:00:00"/>
    <n v="224"/>
    <n v="14196"/>
    <s v="61160778"/>
    <s v="61160778"/>
    <m/>
    <m/>
    <m/>
    <m/>
    <m/>
    <m/>
    <s v="SOLRECOUP"/>
    <s v="SOLRECOUP"/>
    <s v="POARECOUP"/>
    <n v="21324263"/>
    <n v="-7.44"/>
    <m/>
    <s v="Y"/>
    <n v="2"/>
    <d v="2023-07-03T19:42:50"/>
    <s v="N"/>
    <m/>
    <m/>
    <s v="Non Expert Disbursement"/>
    <m/>
    <s v="N"/>
    <n v="0"/>
    <n v="-1.24"/>
    <x v="3"/>
    <s v="VALIDATED"/>
    <n v="1"/>
    <s v="01.11.80.308.2013.0000"/>
    <n v="-1.24"/>
    <s v="11"/>
    <s v="2013"/>
    <n v="5266.39"/>
    <n v="-1.24"/>
    <s v="CREDITOR"/>
    <n v="0"/>
    <n v="0"/>
    <n v="-1.24"/>
    <n v="0"/>
    <n v="0"/>
  </r>
  <r>
    <n v="61160778"/>
    <s v="N"/>
    <n v="21324264"/>
    <s v="3000015342950004RC"/>
    <s v="CIVIL"/>
    <d v="2023-06-06T00:00:00"/>
    <d v="2023-07-03T19:42:50"/>
    <m/>
    <d v="2023-07-03T00:00:00"/>
    <n v="224"/>
    <n v="14196"/>
    <s v="61160778"/>
    <s v="61160778"/>
    <m/>
    <m/>
    <m/>
    <m/>
    <m/>
    <m/>
    <s v="SOLRECOUP"/>
    <s v="SOLRECOUP"/>
    <s v="POARECOUP"/>
    <n v="21324264"/>
    <n v="-3778.06"/>
    <m/>
    <s v="Y"/>
    <n v="1"/>
    <d v="2023-07-03T19:42:50"/>
    <s v="N"/>
    <m/>
    <m/>
    <s v="Profit Cost"/>
    <m/>
    <s v="N"/>
    <n v="-3148.38"/>
    <n v="0"/>
    <x v="3"/>
    <s v="VALIDATED"/>
    <n v="1"/>
    <s v="01.11.80.308.2013.0000"/>
    <n v="-3148.38"/>
    <s v="11"/>
    <s v="2013"/>
    <n v="5266.39"/>
    <n v="-3148.38"/>
    <s v="CREDITOR"/>
    <n v="0"/>
    <n v="0"/>
    <n v="-3148.38"/>
    <n v="-787.095"/>
    <n v="0"/>
  </r>
  <r>
    <n v="61160778"/>
    <s v="N"/>
    <n v="21324264"/>
    <s v="3000015342950004RC"/>
    <s v="CIVIL"/>
    <d v="2023-06-06T00:00:00"/>
    <d v="2023-07-03T19:42:50"/>
    <m/>
    <d v="2023-07-03T00:00:00"/>
    <n v="224"/>
    <n v="14196"/>
    <s v="61160778"/>
    <s v="61160778"/>
    <m/>
    <m/>
    <m/>
    <m/>
    <m/>
    <m/>
    <s v="SOLRECOUP"/>
    <s v="SOLRECOUP"/>
    <s v="POARECOUP"/>
    <n v="21324264"/>
    <n v="-3778.06"/>
    <m/>
    <s v="Y"/>
    <n v="2"/>
    <d v="2023-07-03T19:42:50"/>
    <s v="N"/>
    <m/>
    <m/>
    <s v="Profit Cost"/>
    <m/>
    <s v="N"/>
    <n v="0"/>
    <n v="-629.6799999999999"/>
    <x v="3"/>
    <s v="VALIDATED"/>
    <n v="1"/>
    <s v="01.11.80.308.2013.0000"/>
    <n v="-629.6799999999999"/>
    <s v="11"/>
    <s v="2013"/>
    <n v="5266.39"/>
    <n v="-629.6799999999999"/>
    <s v="CREDITOR"/>
    <n v="0"/>
    <n v="0"/>
    <n v="-629.6799999999999"/>
    <n v="-157.42"/>
    <n v="0"/>
  </r>
  <r>
    <n v="61160778"/>
    <s v="N"/>
    <n v="21324265"/>
    <s v="3000015342950003RC"/>
    <s v="CIVIL"/>
    <d v="2023-06-06T00:00:00"/>
    <d v="2023-07-03T19:42:50"/>
    <m/>
    <d v="2023-07-03T00:00:00"/>
    <n v="224"/>
    <n v="14196"/>
    <s v="61160778"/>
    <s v="61160778"/>
    <m/>
    <m/>
    <m/>
    <m/>
    <m/>
    <m/>
    <s v="SOLRECOUP"/>
    <s v="SOLRECOUP"/>
    <s v="POARECOUP"/>
    <n v="21324265"/>
    <n v="-280.8"/>
    <m/>
    <s v="Y"/>
    <n v="2"/>
    <d v="2023-07-03T19:42:50"/>
    <s v="N"/>
    <m/>
    <m/>
    <s v="Expert Disbursement"/>
    <m/>
    <s v="N"/>
    <n v="0"/>
    <n v="0"/>
    <x v="3"/>
    <s v="VALIDATED"/>
    <n v="1"/>
    <s v="01.11.80.000.0000.0000"/>
    <n v="0"/>
    <s v="11"/>
    <s v="0000"/>
    <n v="5266.39"/>
    <n v="0"/>
    <s v="CREDITOR"/>
    <n v="0"/>
    <n v="0"/>
    <n v="0"/>
    <n v="0"/>
    <n v="0"/>
  </r>
  <r>
    <n v="61160778"/>
    <s v="N"/>
    <n v="21324265"/>
    <s v="3000015342950003RC"/>
    <s v="CIVIL"/>
    <d v="2023-06-06T00:00:00"/>
    <d v="2023-07-03T19:42:50"/>
    <m/>
    <d v="2023-07-03T00:00:00"/>
    <n v="224"/>
    <n v="14196"/>
    <s v="61160778"/>
    <s v="61160778"/>
    <m/>
    <m/>
    <m/>
    <m/>
    <m/>
    <m/>
    <s v="SOLRECOUP"/>
    <s v="SOLRECOUP"/>
    <s v="POARECOUP"/>
    <n v="21324265"/>
    <n v="-280.8"/>
    <m/>
    <s v="Y"/>
    <n v="1"/>
    <d v="2023-07-03T19:42:50"/>
    <s v="N"/>
    <m/>
    <m/>
    <s v="Expert Disbursement"/>
    <m/>
    <s v="N"/>
    <n v="-280.8"/>
    <n v="0"/>
    <x v="3"/>
    <s v="VALIDATED"/>
    <n v="1"/>
    <s v="01.11.80.308.2013.0000"/>
    <n v="-280.8"/>
    <s v="11"/>
    <s v="2013"/>
    <n v="5266.39"/>
    <n v="-280.8"/>
    <s v="CREDITOR"/>
    <n v="0"/>
    <n v="0"/>
    <n v="-280.8"/>
    <n v="0"/>
    <n v="0"/>
  </r>
  <r>
    <n v="61160778"/>
    <s v="N"/>
    <n v="21324266"/>
    <s v="3000015342950005RC"/>
    <s v="CIVIL"/>
    <d v="2023-06-06T00:00:00"/>
    <d v="2023-07-03T19:42:50"/>
    <m/>
    <d v="2023-07-03T00:00:00"/>
    <n v="224"/>
    <n v="14196"/>
    <s v="61160778"/>
    <s v="61160778"/>
    <m/>
    <m/>
    <m/>
    <m/>
    <m/>
    <m/>
    <s v="SOLRECOUP"/>
    <s v="SOLRECOUP"/>
    <s v="POARECOUP"/>
    <n v="21324266"/>
    <n v="-187.92"/>
    <m/>
    <s v="Y"/>
    <n v="1"/>
    <d v="2023-07-03T19:42:50"/>
    <s v="N"/>
    <m/>
    <m/>
    <s v="Expert Disbursement"/>
    <m/>
    <s v="N"/>
    <n v="-156.6"/>
    <n v="0"/>
    <x v="3"/>
    <s v="VALIDATED"/>
    <n v="1"/>
    <s v="01.11.80.308.2013.0000"/>
    <n v="-156.6"/>
    <s v="11"/>
    <s v="2013"/>
    <n v="5266.39"/>
    <n v="-156.6"/>
    <s v="CREDITOR"/>
    <n v="0"/>
    <n v="0"/>
    <n v="-156.6"/>
    <n v="0"/>
    <n v="0"/>
  </r>
  <r>
    <n v="61160778"/>
    <s v="N"/>
    <n v="21324266"/>
    <s v="3000015342950005RC"/>
    <s v="CIVIL"/>
    <d v="2023-06-06T00:00:00"/>
    <d v="2023-07-03T19:42:50"/>
    <m/>
    <d v="2023-07-03T00:00:00"/>
    <n v="224"/>
    <n v="14196"/>
    <s v="61160778"/>
    <s v="61160778"/>
    <m/>
    <m/>
    <m/>
    <m/>
    <m/>
    <m/>
    <s v="SOLRECOUP"/>
    <s v="SOLRECOUP"/>
    <s v="POARECOUP"/>
    <n v="21324266"/>
    <n v="-187.92"/>
    <m/>
    <s v="Y"/>
    <n v="2"/>
    <d v="2023-07-03T19:42:50"/>
    <s v="N"/>
    <m/>
    <m/>
    <s v="Expert Disbursement"/>
    <m/>
    <s v="N"/>
    <n v="0"/>
    <n v="-31.32"/>
    <x v="3"/>
    <s v="VALIDATED"/>
    <n v="1"/>
    <s v="01.11.80.308.2013.0000"/>
    <n v="-31.32"/>
    <s v="11"/>
    <s v="2013"/>
    <n v="5266.39"/>
    <n v="-31.32"/>
    <s v="CREDITOR"/>
    <n v="0"/>
    <n v="0"/>
    <n v="-31.32"/>
    <n v="0"/>
    <n v="0"/>
  </r>
  <r>
    <n v="61160778"/>
    <s v="N"/>
    <n v="21324267"/>
    <s v="3000015342950006RC"/>
    <s v="CIVIL"/>
    <d v="2023-06-06T00:00:00"/>
    <d v="2023-07-03T19:42:50"/>
    <m/>
    <d v="2023-07-03T00:00:00"/>
    <n v="224"/>
    <n v="14196"/>
    <s v="61160778"/>
    <s v="61160778"/>
    <m/>
    <m/>
    <m/>
    <m/>
    <m/>
    <m/>
    <s v="SOLRECOUP"/>
    <s v="SOLRECOUP"/>
    <s v="POARECOUP"/>
    <n v="21324267"/>
    <n v="-23.76"/>
    <m/>
    <s v="Y"/>
    <n v="2"/>
    <d v="2023-07-03T19:42:50"/>
    <s v="N"/>
    <m/>
    <m/>
    <s v="Non Expert Disbursement"/>
    <m/>
    <s v="N"/>
    <n v="0"/>
    <n v="-3.96"/>
    <x v="3"/>
    <s v="VALIDATED"/>
    <n v="1"/>
    <s v="01.11.80.308.2013.0000"/>
    <n v="-3.96"/>
    <s v="11"/>
    <s v="2013"/>
    <n v="5266.39"/>
    <n v="-3.96"/>
    <s v="CREDITOR"/>
    <n v="0"/>
    <n v="0"/>
    <n v="-3.96"/>
    <n v="0"/>
    <n v="0"/>
  </r>
  <r>
    <n v="61160778"/>
    <s v="N"/>
    <n v="21324267"/>
    <s v="3000015342950006RC"/>
    <s v="CIVIL"/>
    <d v="2023-06-06T00:00:00"/>
    <d v="2023-07-03T19:42:50"/>
    <m/>
    <d v="2023-07-03T00:00:00"/>
    <n v="224"/>
    <n v="14196"/>
    <s v="61160778"/>
    <s v="61160778"/>
    <m/>
    <m/>
    <m/>
    <m/>
    <m/>
    <m/>
    <s v="SOLRECOUP"/>
    <s v="SOLRECOUP"/>
    <s v="POARECOUP"/>
    <n v="21324267"/>
    <n v="-23.76"/>
    <m/>
    <s v="Y"/>
    <n v="1"/>
    <d v="2023-07-03T19:42:50"/>
    <s v="N"/>
    <m/>
    <m/>
    <s v="Non Expert Disbursement"/>
    <m/>
    <s v="N"/>
    <n v="-19.8"/>
    <n v="0"/>
    <x v="3"/>
    <s v="VALIDATED"/>
    <n v="1"/>
    <s v="01.11.80.308.2013.0000"/>
    <n v="-19.8"/>
    <s v="11"/>
    <s v="2013"/>
    <n v="5266.39"/>
    <n v="-19.8"/>
    <s v="CREDITOR"/>
    <n v="0"/>
    <n v="0"/>
    <n v="-19.8"/>
    <n v="0"/>
    <n v="0"/>
  </r>
  <r>
    <n v="61160778"/>
    <s v="N"/>
    <n v="21324268"/>
    <s v="3000015342950007RC"/>
    <s v="CIVIL"/>
    <d v="2023-06-06T00:00:00"/>
    <d v="2023-07-03T19:42:50"/>
    <m/>
    <d v="2023-07-03T00:00:00"/>
    <n v="224"/>
    <n v="14196"/>
    <s v="61160778"/>
    <s v="61160778"/>
    <m/>
    <m/>
    <m/>
    <m/>
    <m/>
    <m/>
    <s v="SOLRECOUP"/>
    <s v="SOLRECOUP"/>
    <s v="POARECOUP"/>
    <n v="21324268"/>
    <n v="-14.88"/>
    <m/>
    <s v="Y"/>
    <n v="1"/>
    <d v="2023-07-03T19:42:50"/>
    <s v="N"/>
    <m/>
    <m/>
    <s v="Non Expert Disbursement"/>
    <m/>
    <s v="N"/>
    <n v="-12.4"/>
    <n v="0"/>
    <x v="3"/>
    <s v="VALIDATED"/>
    <n v="1"/>
    <s v="01.11.80.308.2013.0000"/>
    <n v="-12.4"/>
    <s v="11"/>
    <s v="2013"/>
    <n v="5266.39"/>
    <n v="-12.4"/>
    <s v="CREDITOR"/>
    <n v="0"/>
    <n v="0"/>
    <n v="-12.4"/>
    <n v="0"/>
    <n v="0"/>
  </r>
  <r>
    <n v="61160778"/>
    <s v="N"/>
    <n v="21324268"/>
    <s v="3000015342950007RC"/>
    <s v="CIVIL"/>
    <d v="2023-06-06T00:00:00"/>
    <d v="2023-07-03T19:42:50"/>
    <m/>
    <d v="2023-07-03T00:00:00"/>
    <n v="224"/>
    <n v="14196"/>
    <s v="61160778"/>
    <s v="61160778"/>
    <m/>
    <m/>
    <m/>
    <m/>
    <m/>
    <m/>
    <s v="SOLRECOUP"/>
    <s v="SOLRECOUP"/>
    <s v="POARECOUP"/>
    <n v="21324268"/>
    <n v="-14.88"/>
    <m/>
    <s v="Y"/>
    <n v="2"/>
    <d v="2023-07-03T19:42:50"/>
    <s v="N"/>
    <m/>
    <m/>
    <s v="Non Expert Disbursement"/>
    <m/>
    <s v="N"/>
    <n v="0"/>
    <n v="-2.48"/>
    <x v="3"/>
    <s v="VALIDATED"/>
    <n v="1"/>
    <s v="01.11.80.308.2013.0000"/>
    <n v="-2.48"/>
    <s v="11"/>
    <s v="2013"/>
    <n v="5266.39"/>
    <n v="-2.48"/>
    <s v="CREDITOR"/>
    <n v="0"/>
    <n v="0"/>
    <n v="-2.48"/>
    <n v="0"/>
    <n v="0"/>
  </r>
  <r>
    <n v="61700165"/>
    <s v="N"/>
    <n v="21366270"/>
    <s v="3000015789730007RC"/>
    <s v="CIVIL"/>
    <d v="2023-06-06T00:00:00"/>
    <d v="2023-07-12T19:45:17"/>
    <m/>
    <d v="2023-07-12T00:00:00"/>
    <n v="224"/>
    <n v="14196"/>
    <s v="61700165"/>
    <s v="61700165"/>
    <m/>
    <m/>
    <m/>
    <m/>
    <m/>
    <m/>
    <s v="SOLRECOUP"/>
    <s v="SOLRECOUP"/>
    <s v="POARECOUP"/>
    <n v="21366270"/>
    <n v="-192"/>
    <m/>
    <s v="Y"/>
    <n v="2"/>
    <d v="2023-07-12T19:45:17"/>
    <s v="N"/>
    <m/>
    <m/>
    <s v="Expert Disbursement"/>
    <m/>
    <s v="N"/>
    <n v="0"/>
    <n v="-32"/>
    <x v="0"/>
    <s v="VALIDATED"/>
    <n v="1"/>
    <s v="01.11.80.308.2013.0000"/>
    <n v="-32"/>
    <s v="11"/>
    <s v="2013"/>
    <n v="5266.39"/>
    <n v="-32"/>
    <s v="CREDITOR"/>
    <n v="0"/>
    <n v="0"/>
    <n v="-32"/>
    <n v="0"/>
    <n v="0"/>
  </r>
  <r>
    <n v="61700165"/>
    <s v="N"/>
    <n v="21366270"/>
    <s v="3000015789730007RC"/>
    <s v="CIVIL"/>
    <d v="2023-06-06T00:00:00"/>
    <d v="2023-07-12T19:45:17"/>
    <m/>
    <d v="2023-07-12T00:00:00"/>
    <n v="224"/>
    <n v="14196"/>
    <s v="61700165"/>
    <s v="61700165"/>
    <m/>
    <m/>
    <m/>
    <m/>
    <m/>
    <m/>
    <s v="SOLRECOUP"/>
    <s v="SOLRECOUP"/>
    <s v="POARECOUP"/>
    <n v="21366270"/>
    <n v="-192"/>
    <m/>
    <s v="Y"/>
    <n v="1"/>
    <d v="2023-07-12T19:45:17"/>
    <s v="N"/>
    <m/>
    <m/>
    <s v="Expert Disbursement"/>
    <m/>
    <s v="N"/>
    <n v="-160"/>
    <n v="0"/>
    <x v="0"/>
    <s v="VALIDATED"/>
    <n v="1"/>
    <s v="01.11.80.308.2013.0000"/>
    <n v="-160"/>
    <s v="11"/>
    <s v="2013"/>
    <n v="5266.39"/>
    <n v="-160"/>
    <s v="CREDITOR"/>
    <n v="0"/>
    <n v="0"/>
    <n v="-160"/>
    <n v="0"/>
    <n v="0"/>
  </r>
  <r>
    <n v="61700165"/>
    <s v="N"/>
    <n v="21366271"/>
    <s v="3000015789730005RC"/>
    <s v="CIVIL"/>
    <d v="2023-06-06T00:00:00"/>
    <d v="2023-07-12T19:45:17"/>
    <m/>
    <d v="2023-07-12T00:00:00"/>
    <n v="224"/>
    <n v="14196"/>
    <s v="61700165"/>
    <s v="61700165"/>
    <m/>
    <m/>
    <m/>
    <m/>
    <m/>
    <m/>
    <s v="SOLRECOUP"/>
    <s v="SOLRECOUP"/>
    <s v="POARECOUP"/>
    <n v="21366271"/>
    <n v="-4007.45"/>
    <m/>
    <s v="Y"/>
    <n v="2"/>
    <d v="2023-07-12T19:45:17"/>
    <s v="N"/>
    <m/>
    <m/>
    <s v="Profit Cost"/>
    <m/>
    <s v="N"/>
    <n v="0"/>
    <n v="-667.91"/>
    <x v="0"/>
    <s v="VALIDATED"/>
    <n v="1"/>
    <s v="01.11.80.308.2013.0000"/>
    <n v="-667.91"/>
    <s v="11"/>
    <s v="2013"/>
    <n v="5266.39"/>
    <n v="-667.91"/>
    <s v="CREDITOR"/>
    <n v="0"/>
    <n v="0"/>
    <n v="-667.91"/>
    <n v="-166.9775"/>
    <n v="0"/>
  </r>
  <r>
    <n v="61700165"/>
    <s v="N"/>
    <n v="21366271"/>
    <s v="3000015789730005RC"/>
    <s v="CIVIL"/>
    <d v="2023-06-06T00:00:00"/>
    <d v="2023-07-12T19:45:17"/>
    <m/>
    <d v="2023-07-12T00:00:00"/>
    <n v="224"/>
    <n v="14196"/>
    <s v="61700165"/>
    <s v="61700165"/>
    <m/>
    <m/>
    <m/>
    <m/>
    <m/>
    <m/>
    <s v="SOLRECOUP"/>
    <s v="SOLRECOUP"/>
    <s v="POARECOUP"/>
    <n v="21366271"/>
    <n v="-4007.45"/>
    <m/>
    <s v="Y"/>
    <n v="1"/>
    <d v="2023-07-12T19:45:17"/>
    <s v="N"/>
    <m/>
    <m/>
    <s v="Profit Cost"/>
    <m/>
    <s v="N"/>
    <n v="-3339.54"/>
    <n v="0"/>
    <x v="0"/>
    <s v="VALIDATED"/>
    <n v="1"/>
    <s v="01.11.80.308.2013.0000"/>
    <n v="-3339.54"/>
    <s v="11"/>
    <s v="2013"/>
    <n v="5266.39"/>
    <n v="-3339.54"/>
    <s v="CREDITOR"/>
    <n v="0"/>
    <n v="0"/>
    <n v="-3339.54"/>
    <n v="-834.885"/>
    <n v="0"/>
  </r>
  <r>
    <n v="61700165"/>
    <s v="N"/>
    <n v="21366272"/>
    <s v="3000015789730006RC"/>
    <s v="CIVIL"/>
    <d v="2023-06-06T00:00:00"/>
    <d v="2023-07-12T19:45:17"/>
    <m/>
    <d v="2023-07-12T00:00:00"/>
    <n v="224"/>
    <n v="14196"/>
    <s v="61700165"/>
    <s v="61700165"/>
    <m/>
    <m/>
    <m/>
    <m/>
    <m/>
    <m/>
    <s v="SOLRECOUP"/>
    <s v="SOLRECOUP"/>
    <s v="POARECOUP"/>
    <n v="21366272"/>
    <n v="-287.04"/>
    <m/>
    <s v="Y"/>
    <n v="2"/>
    <d v="2023-07-12T19:45:17"/>
    <s v="N"/>
    <m/>
    <m/>
    <s v="Expert Disbursement"/>
    <m/>
    <s v="N"/>
    <n v="0"/>
    <n v="-47.84"/>
    <x v="0"/>
    <s v="VALIDATED"/>
    <n v="1"/>
    <s v="01.11.80.308.2013.0000"/>
    <n v="-47.84"/>
    <s v="11"/>
    <s v="2013"/>
    <n v="5266.39"/>
    <n v="-47.84"/>
    <s v="CREDITOR"/>
    <n v="0"/>
    <n v="0"/>
    <n v="-47.84"/>
    <n v="0"/>
    <n v="0"/>
  </r>
  <r>
    <n v="61700165"/>
    <s v="N"/>
    <n v="21366272"/>
    <s v="3000015789730006RC"/>
    <s v="CIVIL"/>
    <d v="2023-06-06T00:00:00"/>
    <d v="2023-07-12T19:45:17"/>
    <m/>
    <d v="2023-07-12T00:00:00"/>
    <n v="224"/>
    <n v="14196"/>
    <s v="61700165"/>
    <s v="61700165"/>
    <m/>
    <m/>
    <m/>
    <m/>
    <m/>
    <m/>
    <s v="SOLRECOUP"/>
    <s v="SOLRECOUP"/>
    <s v="POARECOUP"/>
    <n v="21366272"/>
    <n v="-287.04"/>
    <m/>
    <s v="Y"/>
    <n v="1"/>
    <d v="2023-07-12T19:45:17"/>
    <s v="N"/>
    <m/>
    <m/>
    <s v="Expert Disbursement"/>
    <m/>
    <s v="N"/>
    <n v="-239.2"/>
    <n v="0"/>
    <x v="0"/>
    <s v="VALIDATED"/>
    <n v="1"/>
    <s v="01.11.80.308.2013.0000"/>
    <n v="-239.2"/>
    <s v="11"/>
    <s v="2013"/>
    <n v="5266.39"/>
    <n v="-239.2"/>
    <s v="CREDITOR"/>
    <n v="0"/>
    <n v="0"/>
    <n v="-239.2"/>
    <n v="0"/>
    <n v="0"/>
  </r>
  <r>
    <n v="61700165"/>
    <s v="N"/>
    <n v="21366273"/>
    <s v="3000015789730001RC"/>
    <s v="CIVIL"/>
    <d v="2023-06-06T00:00:00"/>
    <d v="2023-07-12T19:45:17"/>
    <m/>
    <d v="2023-07-12T00:00:00"/>
    <n v="224"/>
    <n v="14196"/>
    <s v="61700165"/>
    <s v="61700165"/>
    <m/>
    <m/>
    <m/>
    <m/>
    <m/>
    <m/>
    <s v="SOLRECOUP"/>
    <s v="SOLRECOUP"/>
    <s v="POARECOUP"/>
    <n v="21366273"/>
    <n v="-5.04"/>
    <m/>
    <s v="Y"/>
    <n v="2"/>
    <d v="2023-07-12T19:45:17"/>
    <s v="N"/>
    <m/>
    <m/>
    <s v="Non Expert Disbursement"/>
    <m/>
    <s v="N"/>
    <n v="0"/>
    <n v="-0.84"/>
    <x v="0"/>
    <s v="VALIDATED"/>
    <n v="1"/>
    <s v="01.11.80.308.2013.0000"/>
    <n v="-0.84"/>
    <s v="11"/>
    <s v="2013"/>
    <n v="5266.39"/>
    <n v="-0.84"/>
    <s v="CREDITOR"/>
    <n v="0"/>
    <n v="0"/>
    <n v="-0.84"/>
    <n v="0"/>
    <n v="0"/>
  </r>
  <r>
    <n v="61700165"/>
    <s v="N"/>
    <n v="21366273"/>
    <s v="3000015789730001RC"/>
    <s v="CIVIL"/>
    <d v="2023-06-06T00:00:00"/>
    <d v="2023-07-12T19:45:17"/>
    <m/>
    <d v="2023-07-12T00:00:00"/>
    <n v="224"/>
    <n v="14196"/>
    <s v="61700165"/>
    <s v="61700165"/>
    <m/>
    <m/>
    <m/>
    <m/>
    <m/>
    <m/>
    <s v="SOLRECOUP"/>
    <s v="SOLRECOUP"/>
    <s v="POARECOUP"/>
    <n v="21366273"/>
    <n v="-5.04"/>
    <m/>
    <s v="Y"/>
    <n v="1"/>
    <d v="2023-07-12T19:45:17"/>
    <s v="N"/>
    <m/>
    <m/>
    <s v="Non Expert Disbursement"/>
    <m/>
    <s v="N"/>
    <n v="-4.2"/>
    <n v="0"/>
    <x v="0"/>
    <s v="VALIDATED"/>
    <n v="1"/>
    <s v="01.11.80.308.2013.0000"/>
    <n v="-4.2"/>
    <s v="11"/>
    <s v="2013"/>
    <n v="5266.39"/>
    <n v="-4.2"/>
    <s v="CREDITOR"/>
    <n v="0"/>
    <n v="0"/>
    <n v="-4.2"/>
    <n v="0"/>
    <n v="0"/>
  </r>
  <r>
    <n v="61700165"/>
    <s v="N"/>
    <n v="21366274"/>
    <s v="3000015789730002RC"/>
    <s v="CIVIL"/>
    <d v="2023-06-06T00:00:00"/>
    <d v="2023-07-12T19:45:17"/>
    <m/>
    <d v="2023-07-12T00:00:00"/>
    <n v="224"/>
    <n v="14196"/>
    <s v="61700165"/>
    <s v="61700165"/>
    <m/>
    <m/>
    <m/>
    <m/>
    <m/>
    <m/>
    <s v="SOLRECOUP"/>
    <s v="SOLRECOUP"/>
    <s v="POARECOUP"/>
    <n v="21366274"/>
    <n v="-12.96"/>
    <m/>
    <s v="Y"/>
    <n v="1"/>
    <d v="2023-07-12T19:45:17"/>
    <s v="N"/>
    <m/>
    <m/>
    <s v="Non Expert Disbursement"/>
    <m/>
    <s v="N"/>
    <n v="-10.8"/>
    <n v="0"/>
    <x v="0"/>
    <s v="VALIDATED"/>
    <n v="1"/>
    <s v="01.11.80.308.2013.0000"/>
    <n v="-10.8"/>
    <s v="11"/>
    <s v="2013"/>
    <n v="5266.39"/>
    <n v="-10.8"/>
    <s v="CREDITOR"/>
    <n v="0"/>
    <n v="0"/>
    <n v="-10.8"/>
    <n v="0"/>
    <n v="0"/>
  </r>
  <r>
    <n v="61700165"/>
    <s v="N"/>
    <n v="21366274"/>
    <s v="3000015789730002RC"/>
    <s v="CIVIL"/>
    <d v="2023-06-06T00:00:00"/>
    <d v="2023-07-12T19:45:17"/>
    <m/>
    <d v="2023-07-12T00:00:00"/>
    <n v="224"/>
    <n v="14196"/>
    <s v="61700165"/>
    <s v="61700165"/>
    <m/>
    <m/>
    <m/>
    <m/>
    <m/>
    <m/>
    <s v="SOLRECOUP"/>
    <s v="SOLRECOUP"/>
    <s v="POARECOUP"/>
    <n v="21366274"/>
    <n v="-12.96"/>
    <m/>
    <s v="Y"/>
    <n v="2"/>
    <d v="2023-07-12T19:45:17"/>
    <s v="N"/>
    <m/>
    <m/>
    <s v="Non Expert Disbursement"/>
    <m/>
    <s v="N"/>
    <n v="0"/>
    <n v="-2.16"/>
    <x v="0"/>
    <s v="VALIDATED"/>
    <n v="1"/>
    <s v="01.11.80.308.2013.0000"/>
    <n v="-2.16"/>
    <s v="11"/>
    <s v="2013"/>
    <n v="5266.39"/>
    <n v="-2.16"/>
    <s v="CREDITOR"/>
    <n v="0"/>
    <n v="0"/>
    <n v="-2.16"/>
    <n v="0"/>
    <n v="0"/>
  </r>
  <r>
    <n v="61700165"/>
    <s v="N"/>
    <n v="21366275"/>
    <s v="3000015789730003RC"/>
    <s v="CIVIL"/>
    <d v="2023-06-06T00:00:00"/>
    <d v="2023-07-12T19:45:17"/>
    <m/>
    <d v="2023-07-12T00:00:00"/>
    <n v="224"/>
    <n v="14196"/>
    <s v="61700165"/>
    <s v="61700165"/>
    <m/>
    <m/>
    <m/>
    <m/>
    <m/>
    <m/>
    <s v="SOLRECOUP"/>
    <s v="SOLRECOUP"/>
    <s v="POARECOUP"/>
    <n v="21366275"/>
    <n v="-587.7"/>
    <m/>
    <s v="Y"/>
    <n v="2"/>
    <d v="2023-07-12T19:45:17"/>
    <s v="N"/>
    <m/>
    <m/>
    <s v="Expert Disbursement"/>
    <m/>
    <s v="N"/>
    <n v="0"/>
    <n v="-97.95"/>
    <x v="0"/>
    <s v="VALIDATED"/>
    <n v="1"/>
    <s v="01.11.80.308.2013.0000"/>
    <n v="-97.95"/>
    <s v="11"/>
    <s v="2013"/>
    <n v="5266.39"/>
    <n v="-97.95"/>
    <s v="CREDITOR"/>
    <n v="0"/>
    <n v="0"/>
    <n v="-97.95"/>
    <n v="0"/>
    <n v="0"/>
  </r>
  <r>
    <n v="61700165"/>
    <s v="N"/>
    <n v="21366275"/>
    <s v="3000015789730003RC"/>
    <s v="CIVIL"/>
    <d v="2023-06-06T00:00:00"/>
    <d v="2023-07-12T19:45:17"/>
    <m/>
    <d v="2023-07-12T00:00:00"/>
    <n v="224"/>
    <n v="14196"/>
    <s v="61700165"/>
    <s v="61700165"/>
    <m/>
    <m/>
    <m/>
    <m/>
    <m/>
    <m/>
    <s v="SOLRECOUP"/>
    <s v="SOLRECOUP"/>
    <s v="POARECOUP"/>
    <n v="21366275"/>
    <n v="-587.7"/>
    <m/>
    <s v="Y"/>
    <n v="1"/>
    <d v="2023-07-12T19:45:17"/>
    <s v="N"/>
    <m/>
    <m/>
    <s v="Expert Disbursement"/>
    <m/>
    <s v="N"/>
    <n v="-489.75"/>
    <n v="0"/>
    <x v="0"/>
    <s v="VALIDATED"/>
    <n v="1"/>
    <s v="01.11.80.308.2013.0000"/>
    <n v="-489.75"/>
    <s v="11"/>
    <s v="2013"/>
    <n v="5266.39"/>
    <n v="-489.75"/>
    <s v="CREDITOR"/>
    <n v="0"/>
    <n v="0"/>
    <n v="-489.75"/>
    <n v="0"/>
    <n v="0"/>
  </r>
  <r>
    <n v="61700165"/>
    <s v="N"/>
    <n v="21366276"/>
    <s v="3000015789730004RC"/>
    <s v="CIVIL"/>
    <d v="2023-06-06T00:00:00"/>
    <d v="2023-07-12T19:45:17"/>
    <m/>
    <d v="2023-07-12T00:00:00"/>
    <n v="224"/>
    <n v="14196"/>
    <s v="61700165"/>
    <s v="61700165"/>
    <m/>
    <m/>
    <m/>
    <m/>
    <m/>
    <m/>
    <s v="SOLRECOUP"/>
    <s v="SOLRECOUP"/>
    <s v="POARECOUP"/>
    <n v="21366276"/>
    <n v="-187.8"/>
    <m/>
    <s v="Y"/>
    <n v="1"/>
    <d v="2023-07-12T19:45:17"/>
    <s v="N"/>
    <m/>
    <m/>
    <s v="Expert Disbursement"/>
    <m/>
    <s v="N"/>
    <n v="-156.5"/>
    <n v="0"/>
    <x v="0"/>
    <s v="VALIDATED"/>
    <n v="1"/>
    <s v="01.11.80.308.2013.0000"/>
    <n v="-156.5"/>
    <s v="11"/>
    <s v="2013"/>
    <n v="5266.39"/>
    <n v="-156.5"/>
    <s v="CREDITOR"/>
    <n v="0"/>
    <n v="0"/>
    <n v="-156.5"/>
    <n v="0"/>
    <n v="0"/>
  </r>
  <r>
    <n v="61700165"/>
    <s v="N"/>
    <n v="21366276"/>
    <s v="3000015789730004RC"/>
    <s v="CIVIL"/>
    <d v="2023-06-06T00:00:00"/>
    <d v="2023-07-12T19:45:17"/>
    <m/>
    <d v="2023-07-12T00:00:00"/>
    <n v="224"/>
    <n v="14196"/>
    <s v="61700165"/>
    <s v="61700165"/>
    <m/>
    <m/>
    <m/>
    <m/>
    <m/>
    <m/>
    <s v="SOLRECOUP"/>
    <s v="SOLRECOUP"/>
    <s v="POARECOUP"/>
    <n v="21366276"/>
    <n v="-187.8"/>
    <m/>
    <s v="Y"/>
    <n v="2"/>
    <d v="2023-07-12T19:45:17"/>
    <s v="N"/>
    <m/>
    <m/>
    <s v="Expert Disbursement"/>
    <m/>
    <s v="N"/>
    <n v="0"/>
    <n v="-31.3"/>
    <x v="0"/>
    <s v="VALIDATED"/>
    <n v="1"/>
    <s v="01.11.80.308.2013.0000"/>
    <n v="-31.3"/>
    <s v="11"/>
    <s v="2013"/>
    <n v="5266.39"/>
    <n v="-31.3"/>
    <s v="CREDITOR"/>
    <n v="0"/>
    <n v="0"/>
    <n v="-31.3"/>
    <n v="0"/>
    <n v="0"/>
  </r>
  <r>
    <n v="61959185"/>
    <s v="N"/>
    <n v="21356281"/>
    <s v="3000015997440001RC"/>
    <s v="CIVIL"/>
    <d v="2023-06-14T00:00:00"/>
    <d v="2023-07-10T19:47:44"/>
    <m/>
    <d v="2023-07-10T00:00:00"/>
    <n v="224"/>
    <n v="14196"/>
    <s v="61959185"/>
    <s v="61959185"/>
    <m/>
    <m/>
    <m/>
    <m/>
    <m/>
    <m/>
    <s v="SOLRECOUP"/>
    <s v="SOLRECOUP"/>
    <s v="POARECOUP"/>
    <n v="21356281"/>
    <n v="-5.76"/>
    <m/>
    <s v="Y"/>
    <n v="2"/>
    <d v="2023-07-10T19:47:44"/>
    <s v="N"/>
    <m/>
    <m/>
    <s v="Non Expert Disbursement"/>
    <m/>
    <s v="N"/>
    <n v="0"/>
    <n v="-0.96"/>
    <x v="2"/>
    <s v="VALIDATED"/>
    <n v="1"/>
    <s v="01.11.80.305.2013.0000"/>
    <n v="-0.96"/>
    <s v="11"/>
    <s v="2013"/>
    <n v="5266.39"/>
    <n v="-0.96"/>
    <s v="CREDITOR"/>
    <n v="0"/>
    <n v="0"/>
    <n v="-0.96"/>
    <n v="0"/>
    <n v="0"/>
  </r>
  <r>
    <n v="61959185"/>
    <s v="N"/>
    <n v="21356281"/>
    <s v="3000015997440001RC"/>
    <s v="CIVIL"/>
    <d v="2023-06-14T00:00:00"/>
    <d v="2023-07-10T19:47:44"/>
    <m/>
    <d v="2023-07-10T00:00:00"/>
    <n v="224"/>
    <n v="14196"/>
    <s v="61959185"/>
    <s v="61959185"/>
    <m/>
    <m/>
    <m/>
    <m/>
    <m/>
    <m/>
    <s v="SOLRECOUP"/>
    <s v="SOLRECOUP"/>
    <s v="POARECOUP"/>
    <n v="21356281"/>
    <n v="-5.76"/>
    <m/>
    <s v="Y"/>
    <n v="1"/>
    <d v="2023-07-10T19:47:44"/>
    <s v="N"/>
    <m/>
    <m/>
    <s v="Non Expert Disbursement"/>
    <m/>
    <s v="N"/>
    <n v="-4.8"/>
    <n v="0"/>
    <x v="2"/>
    <s v="VALIDATED"/>
    <n v="1"/>
    <s v="01.11.80.305.2013.0000"/>
    <n v="-4.8"/>
    <s v="11"/>
    <s v="2013"/>
    <n v="5266.39"/>
    <n v="-4.8"/>
    <s v="CREDITOR"/>
    <n v="0"/>
    <n v="0"/>
    <n v="-4.8"/>
    <n v="0"/>
    <n v="0"/>
  </r>
  <r>
    <n v="61959185"/>
    <s v="N"/>
    <n v="21356282"/>
    <s v="3000015997440002RC"/>
    <s v="CIVIL"/>
    <d v="2023-06-14T00:00:00"/>
    <d v="2023-07-10T19:47:44"/>
    <m/>
    <d v="2023-07-10T00:00:00"/>
    <n v="224"/>
    <n v="14196"/>
    <s v="61959185"/>
    <s v="61959185"/>
    <m/>
    <m/>
    <m/>
    <m/>
    <m/>
    <m/>
    <s v="SOLRECOUP"/>
    <s v="SOLRECOUP"/>
    <s v="POARECOUP"/>
    <n v="21356282"/>
    <n v="-12.96"/>
    <m/>
    <s v="Y"/>
    <n v="1"/>
    <d v="2023-07-10T19:47:44"/>
    <s v="N"/>
    <m/>
    <m/>
    <s v="Non Expert Disbursement"/>
    <m/>
    <s v="N"/>
    <n v="-10.8"/>
    <n v="0"/>
    <x v="2"/>
    <s v="VALIDATED"/>
    <n v="1"/>
    <s v="01.11.80.305.2013.0000"/>
    <n v="-10.8"/>
    <s v="11"/>
    <s v="2013"/>
    <n v="5266.39"/>
    <n v="-10.8"/>
    <s v="CREDITOR"/>
    <n v="0"/>
    <n v="0"/>
    <n v="-10.8"/>
    <n v="0"/>
    <n v="0"/>
  </r>
  <r>
    <n v="61959185"/>
    <s v="N"/>
    <n v="21356282"/>
    <s v="3000015997440002RC"/>
    <s v="CIVIL"/>
    <d v="2023-06-14T00:00:00"/>
    <d v="2023-07-10T19:47:44"/>
    <m/>
    <d v="2023-07-10T00:00:00"/>
    <n v="224"/>
    <n v="14196"/>
    <s v="61959185"/>
    <s v="61959185"/>
    <m/>
    <m/>
    <m/>
    <m/>
    <m/>
    <m/>
    <s v="SOLRECOUP"/>
    <s v="SOLRECOUP"/>
    <s v="POARECOUP"/>
    <n v="21356282"/>
    <n v="-12.96"/>
    <m/>
    <s v="Y"/>
    <n v="2"/>
    <d v="2023-07-10T19:47:44"/>
    <s v="N"/>
    <m/>
    <m/>
    <s v="Non Expert Disbursement"/>
    <m/>
    <s v="N"/>
    <n v="0"/>
    <n v="-2.16"/>
    <x v="2"/>
    <s v="VALIDATED"/>
    <n v="1"/>
    <s v="01.11.80.305.2013.0000"/>
    <n v="-2.16"/>
    <s v="11"/>
    <s v="2013"/>
    <n v="5266.39"/>
    <n v="-2.16"/>
    <s v="CREDITOR"/>
    <n v="0"/>
    <n v="0"/>
    <n v="-2.16"/>
    <n v="0"/>
    <n v="0"/>
  </r>
  <r>
    <n v="61959185"/>
    <s v="N"/>
    <n v="21356283"/>
    <s v="3000015997440003RC"/>
    <s v="CIVIL"/>
    <d v="2023-06-14T00:00:00"/>
    <d v="2023-07-10T19:47:44"/>
    <m/>
    <d v="2023-07-10T00:00:00"/>
    <n v="224"/>
    <n v="14196"/>
    <s v="61959185"/>
    <s v="61959185"/>
    <m/>
    <m/>
    <m/>
    <m/>
    <m/>
    <m/>
    <s v="SOLRECOUP"/>
    <s v="SOLRECOUP"/>
    <s v="POARECOUP"/>
    <n v="21356283"/>
    <n v="-7.56"/>
    <m/>
    <s v="Y"/>
    <n v="1"/>
    <d v="2023-07-10T19:47:44"/>
    <s v="N"/>
    <m/>
    <m/>
    <s v="Non Expert Disbursement"/>
    <m/>
    <s v="N"/>
    <n v="-6.3"/>
    <n v="0"/>
    <x v="2"/>
    <s v="VALIDATED"/>
    <n v="1"/>
    <s v="01.11.80.305.2013.0000"/>
    <n v="-6.3"/>
    <s v="11"/>
    <s v="2013"/>
    <n v="5266.39"/>
    <n v="-6.3"/>
    <s v="CREDITOR"/>
    <n v="0"/>
    <n v="0"/>
    <n v="-6.3"/>
    <n v="0"/>
    <n v="0"/>
  </r>
  <r>
    <n v="61959185"/>
    <s v="N"/>
    <n v="21356283"/>
    <s v="3000015997440003RC"/>
    <s v="CIVIL"/>
    <d v="2023-06-14T00:00:00"/>
    <d v="2023-07-10T19:47:44"/>
    <m/>
    <d v="2023-07-10T00:00:00"/>
    <n v="224"/>
    <n v="14196"/>
    <s v="61959185"/>
    <s v="61959185"/>
    <m/>
    <m/>
    <m/>
    <m/>
    <m/>
    <m/>
    <s v="SOLRECOUP"/>
    <s v="SOLRECOUP"/>
    <s v="POARECOUP"/>
    <n v="21356283"/>
    <n v="-7.56"/>
    <m/>
    <s v="Y"/>
    <n v="2"/>
    <d v="2023-07-10T19:47:44"/>
    <s v="N"/>
    <m/>
    <m/>
    <s v="Non Expert Disbursement"/>
    <m/>
    <s v="N"/>
    <n v="0"/>
    <n v="-1.26"/>
    <x v="2"/>
    <s v="VALIDATED"/>
    <n v="1"/>
    <s v="01.11.80.305.2013.0000"/>
    <n v="-1.26"/>
    <s v="11"/>
    <s v="2013"/>
    <n v="5266.39"/>
    <n v="-1.26"/>
    <s v="CREDITOR"/>
    <n v="0"/>
    <n v="0"/>
    <n v="-1.26"/>
    <n v="0"/>
    <n v="0"/>
  </r>
  <r>
    <n v="61959185"/>
    <s v="N"/>
    <n v="21356284"/>
    <s v="3000015997440004RC"/>
    <s v="CIVIL"/>
    <d v="2023-06-14T00:00:00"/>
    <d v="2023-07-10T19:47:44"/>
    <m/>
    <d v="2023-07-10T00:00:00"/>
    <n v="224"/>
    <n v="14196"/>
    <s v="61959185"/>
    <s v="61959185"/>
    <m/>
    <m/>
    <m/>
    <m/>
    <m/>
    <m/>
    <s v="SOLRECOUP"/>
    <s v="SOLRECOUP"/>
    <s v="POARECOUP"/>
    <n v="21356284"/>
    <n v="-25.92"/>
    <m/>
    <s v="Y"/>
    <n v="2"/>
    <d v="2023-07-10T19:47:44"/>
    <s v="N"/>
    <m/>
    <m/>
    <s v="Non Expert Disbursement"/>
    <m/>
    <s v="N"/>
    <n v="0"/>
    <n v="-4.32"/>
    <x v="2"/>
    <s v="VALIDATED"/>
    <n v="1"/>
    <s v="01.11.80.305.2013.0000"/>
    <n v="-4.32"/>
    <s v="11"/>
    <s v="2013"/>
    <n v="5266.39"/>
    <n v="-4.32"/>
    <s v="CREDITOR"/>
    <n v="0"/>
    <n v="0"/>
    <n v="-4.32"/>
    <n v="0"/>
    <n v="0"/>
  </r>
  <r>
    <n v="61959185"/>
    <s v="N"/>
    <n v="21356284"/>
    <s v="3000015997440004RC"/>
    <s v="CIVIL"/>
    <d v="2023-06-14T00:00:00"/>
    <d v="2023-07-10T19:47:44"/>
    <m/>
    <d v="2023-07-10T00:00:00"/>
    <n v="224"/>
    <n v="14196"/>
    <s v="61959185"/>
    <s v="61959185"/>
    <m/>
    <m/>
    <m/>
    <m/>
    <m/>
    <m/>
    <s v="SOLRECOUP"/>
    <s v="SOLRECOUP"/>
    <s v="POARECOUP"/>
    <n v="21356284"/>
    <n v="-25.92"/>
    <m/>
    <s v="Y"/>
    <n v="1"/>
    <d v="2023-07-10T19:47:44"/>
    <s v="N"/>
    <m/>
    <m/>
    <s v="Non Expert Disbursement"/>
    <m/>
    <s v="N"/>
    <n v="-21.6"/>
    <n v="0"/>
    <x v="2"/>
    <s v="VALIDATED"/>
    <n v="1"/>
    <s v="01.11.80.305.2013.0000"/>
    <n v="-21.6"/>
    <s v="11"/>
    <s v="2013"/>
    <n v="5266.39"/>
    <n v="-21.6"/>
    <s v="CREDITOR"/>
    <n v="0"/>
    <n v="0"/>
    <n v="-21.6"/>
    <n v="0"/>
    <n v="0"/>
  </r>
  <r>
    <n v="61160778"/>
    <s v="N"/>
    <n v="21319109"/>
    <s v="3000015342950009"/>
    <s v="CIVIL"/>
    <d v="2023-06-06T00:00:00"/>
    <d v="2023-07-03T19:01:49"/>
    <m/>
    <d v="2023-07-03T00:00:00"/>
    <n v="224"/>
    <n v="14196"/>
    <s v="61160778"/>
    <s v="61160778"/>
    <m/>
    <m/>
    <n v="22633026"/>
    <m/>
    <m/>
    <m/>
    <s v="SOLFIN"/>
    <s v="SOLFIN"/>
    <s v="CCMS"/>
    <n v="21319109"/>
    <n v="6388.34"/>
    <m/>
    <s v="N"/>
    <n v="6"/>
    <d v="2023-07-03T19:02:11"/>
    <s v="Y"/>
    <s v="Solicitor Travel Expenses"/>
    <s v="Public Law Children"/>
    <s v="Non Expert Disbursement"/>
    <s v="HSG"/>
    <s v="Y"/>
    <n v="5.17"/>
    <n v="1.03"/>
    <x v="3"/>
    <s v="VALIDATED"/>
    <n v="1"/>
    <s v="01.11.80.308.6300.0000"/>
    <n v="5.17"/>
    <s v="11"/>
    <s v="6300"/>
    <n v="5266.39"/>
    <n v="5.17"/>
    <s v="CREDITOR"/>
    <n v="0"/>
    <n v="0"/>
    <n v="0"/>
    <n v="0"/>
    <n v="5.17"/>
  </r>
  <r>
    <n v="61160778"/>
    <s v="N"/>
    <n v="21319109"/>
    <s v="3000015342950009"/>
    <s v="CIVIL"/>
    <d v="2023-06-06T00:00:00"/>
    <d v="2023-07-03T19:01:49"/>
    <m/>
    <d v="2023-07-03T00:00:00"/>
    <n v="224"/>
    <n v="14196"/>
    <s v="61160778"/>
    <s v="61160778"/>
    <m/>
    <m/>
    <n v="22633026"/>
    <m/>
    <m/>
    <m/>
    <s v="SOLFIN"/>
    <s v="SOLFIN"/>
    <s v="CCMS"/>
    <n v="21319109"/>
    <n v="6388.34"/>
    <m/>
    <s v="N"/>
    <n v="12"/>
    <d v="2023-07-03T19:02:11"/>
    <s v="Y"/>
    <s v="Advocates Meeting"/>
    <s v="Public Law Children"/>
    <s v="Advocacy"/>
    <s v="HSG"/>
    <s v="Y"/>
    <n v="140.99"/>
    <n v="28.2"/>
    <x v="3"/>
    <s v="VALIDATED"/>
    <n v="1"/>
    <s v="01.11.80.308.6100.0000"/>
    <n v="140.99"/>
    <s v="11"/>
    <s v="6100"/>
    <n v="5266.39"/>
    <n v="140.99"/>
    <s v="CREDITOR"/>
    <n v="0"/>
    <n v="0"/>
    <n v="0"/>
    <n v="0"/>
    <n v="140.99"/>
  </r>
  <r>
    <n v="61700165"/>
    <s v="N"/>
    <n v="21363827"/>
    <s v="3000015789730008"/>
    <s v="CIVIL"/>
    <d v="2023-06-06T00:00:00"/>
    <d v="2023-07-12T19:01:49"/>
    <m/>
    <d v="2023-07-12T00:00:00"/>
    <n v="224"/>
    <n v="14196"/>
    <s v="61700165"/>
    <s v="61700165"/>
    <m/>
    <m/>
    <n v="22624546"/>
    <m/>
    <m/>
    <m/>
    <s v="SOLFIN"/>
    <s v="SOLFIN"/>
    <s v="CCMS"/>
    <n v="21363827"/>
    <n v="7406.34"/>
    <m/>
    <s v="N"/>
    <n v="6"/>
    <d v="2023-07-12T19:02:12"/>
    <s v="Y"/>
    <s v="Solicitor Travel Expenses"/>
    <s v="Public Law Children"/>
    <s v="Non Expert Disbursement"/>
    <s v="SJF"/>
    <s v="Y"/>
    <n v="4.2"/>
    <n v="0.84"/>
    <x v="0"/>
    <s v="VALIDATED"/>
    <n v="1"/>
    <s v="01.11.80.308.6300.0000"/>
    <n v="4.2"/>
    <s v="11"/>
    <s v="6300"/>
    <n v="5266.39"/>
    <n v="4.2"/>
    <s v="CREDITOR"/>
    <n v="0"/>
    <n v="0"/>
    <n v="0"/>
    <n v="0"/>
    <n v="4.2"/>
  </r>
  <r>
    <n v="62307225"/>
    <s v="N"/>
    <n v="21323334"/>
    <s v="3000016295000003"/>
    <s v="CIVIL"/>
    <d v="2023-06-30T00:00:00"/>
    <d v="2023-07-03T19:05:56"/>
    <m/>
    <d v="2023-07-03T00:00:00"/>
    <n v="224"/>
    <n v="14196"/>
    <s v="62307225"/>
    <s v="62307225"/>
    <m/>
    <m/>
    <n v="22795816"/>
    <m/>
    <m/>
    <m/>
    <s v="SOLPOA"/>
    <s v="SOLPOA"/>
    <s v="CCMS"/>
    <n v="21323334"/>
    <n v="5.52"/>
    <m/>
    <s v="N"/>
    <n v="1"/>
    <d v="2023-07-03T19:05:56"/>
    <s v="N"/>
    <s v="Non Expert Disbursement"/>
    <s v="Non Expert Disbursement"/>
    <s v="Non Expert Disbursement"/>
    <s v="Parking"/>
    <s v="N"/>
    <n v="4.6"/>
    <n v="0.92"/>
    <x v="3"/>
    <s v="VALIDATED"/>
    <n v="1"/>
    <s v="01.11.80.308.2012.0000"/>
    <n v="4.6"/>
    <s v="11"/>
    <s v="2012"/>
    <n v="5266.39"/>
    <n v="4.6"/>
    <s v="CREDITOR"/>
    <n v="4.6"/>
    <n v="0"/>
    <n v="0"/>
    <n v="0"/>
    <n v="0"/>
  </r>
  <r>
    <n v="61160796"/>
    <s v="N"/>
    <n v="21319108"/>
    <s v="3000015343380001"/>
    <s v="CIVIL"/>
    <d v="2023-06-06T00:00:00"/>
    <d v="2023-07-03T19:01:49"/>
    <m/>
    <d v="2023-07-03T00:00:00"/>
    <n v="224"/>
    <n v="14196"/>
    <s v="61160796"/>
    <s v="61160796"/>
    <m/>
    <m/>
    <n v="22632724"/>
    <m/>
    <m/>
    <m/>
    <s v="SOLFIN"/>
    <s v="SOLFIN"/>
    <s v="CCMS"/>
    <n v="21319108"/>
    <n v="0"/>
    <m/>
    <s v="N"/>
    <n v="1"/>
    <d v="2023-07-03T19:02:11"/>
    <s v="N"/>
    <s v="NIL BILL"/>
    <s v="Public Law Children"/>
    <s v="Profit Cost"/>
    <s v="SJF"/>
    <s v="N"/>
    <n v="0"/>
    <n v="0"/>
    <x v="3"/>
    <s v="VALIDATED"/>
    <n v="1"/>
    <s v="01.11.80.308.6100.0000"/>
    <n v="0"/>
    <s v="11"/>
    <s v="6100"/>
    <n v="5266.39"/>
    <n v="0"/>
    <s v="CREDITOR"/>
    <n v="0"/>
    <n v="0"/>
    <n v="0"/>
    <n v="0"/>
    <n v="0"/>
  </r>
  <r>
    <n v="61160778"/>
    <s v="N"/>
    <n v="21319109"/>
    <s v="3000015342950009"/>
    <s v="CIVIL"/>
    <d v="2023-06-06T00:00:00"/>
    <d v="2023-07-03T19:01:49"/>
    <m/>
    <d v="2023-07-03T00:00:00"/>
    <n v="224"/>
    <n v="14196"/>
    <s v="61160778"/>
    <s v="61160778"/>
    <m/>
    <m/>
    <n v="22633026"/>
    <m/>
    <m/>
    <m/>
    <s v="SOLFIN"/>
    <s v="SOLFIN"/>
    <s v="CCMS"/>
    <n v="21319109"/>
    <n v="6388.34"/>
    <m/>
    <s v="N"/>
    <n v="1"/>
    <d v="2023-07-03T19:02:11"/>
    <s v="Y"/>
    <s v="Interim Hearing Court Bundle/Advoca"/>
    <s v="Public Law Children"/>
    <s v="Advocacy"/>
    <s v="SRB"/>
    <s v="Y"/>
    <n v="89.09999999999999"/>
    <n v="17.82"/>
    <x v="3"/>
    <s v="VALIDATED"/>
    <n v="1"/>
    <s v="01.11.80.308.6100.0000"/>
    <n v="89.09999999999999"/>
    <s v="11"/>
    <s v="6100"/>
    <n v="5266.39"/>
    <n v="89.09999999999999"/>
    <s v="CREDITOR"/>
    <n v="0"/>
    <n v="0"/>
    <n v="0"/>
    <n v="0"/>
    <n v="89.09999999999999"/>
  </r>
  <r>
    <n v="61700165"/>
    <s v="N"/>
    <n v="21363827"/>
    <s v="3000015789730008"/>
    <s v="CIVIL"/>
    <d v="2023-06-06T00:00:00"/>
    <d v="2023-07-12T19:01:49"/>
    <m/>
    <d v="2023-07-12T00:00:00"/>
    <n v="224"/>
    <n v="14196"/>
    <s v="61700165"/>
    <s v="61700165"/>
    <m/>
    <m/>
    <n v="22624546"/>
    <m/>
    <m/>
    <m/>
    <s v="SOLFIN"/>
    <s v="SOLFIN"/>
    <s v="CCMS"/>
    <n v="21363827"/>
    <n v="7406.34"/>
    <m/>
    <s v="N"/>
    <n v="3"/>
    <d v="2023-07-12T19:02:12"/>
    <s v="Y"/>
    <s v="Expert - Other"/>
    <s v="Public Law Children"/>
    <s v="Expert Disbursement"/>
    <s v="DNA legal"/>
    <s v="Y"/>
    <n v="156.5"/>
    <n v="31.3"/>
    <x v="0"/>
    <s v="VALIDATED"/>
    <n v="1"/>
    <s v="01.11.80.308.6300.0000"/>
    <n v="156.5"/>
    <s v="11"/>
    <s v="6300"/>
    <n v="5266.39"/>
    <n v="156.5"/>
    <s v="CREDITOR"/>
    <n v="0"/>
    <n v="0"/>
    <n v="0"/>
    <n v="0"/>
    <n v="156.5"/>
  </r>
  <r>
    <n v="61959185"/>
    <s v="N"/>
    <n v="21349362"/>
    <s v="3000015997440005"/>
    <s v="CIVIL"/>
    <d v="2023-06-14T00:00:00"/>
    <d v="2023-07-10T19:01:40"/>
    <m/>
    <d v="2023-07-10T00:00:00"/>
    <n v="224"/>
    <n v="14196"/>
    <s v="61959185"/>
    <s v="61959185"/>
    <m/>
    <m/>
    <n v="22689080"/>
    <m/>
    <m/>
    <m/>
    <s v="SOLFIN"/>
    <s v="SOLFIN"/>
    <s v="CCMS"/>
    <n v="21349362"/>
    <n v="3197.76"/>
    <m/>
    <s v="N"/>
    <n v="13"/>
    <d v="2023-07-10T19:01:47"/>
    <s v="Y"/>
    <s v="Routine Letter In"/>
    <s v="Care Remuneration Hourly Rates"/>
    <s v="Profit Cost"/>
    <s v="EJP"/>
    <s v="Y"/>
    <n v="85.09999999999999"/>
    <n v="17.02"/>
    <x v="2"/>
    <s v="VALIDATED"/>
    <n v="1"/>
    <s v="01.11.80.305.6100.0000"/>
    <n v="85.09999999999999"/>
    <s v="11"/>
    <s v="6100"/>
    <n v="5266.39"/>
    <n v="85.09999999999999"/>
    <s v="CREDITOR"/>
    <n v="0"/>
    <n v="0"/>
    <n v="0"/>
    <n v="0"/>
    <n v="85.09999999999999"/>
  </r>
  <r>
    <n v="62307225"/>
    <s v="N"/>
    <n v="21323330"/>
    <s v="3000016295000002"/>
    <s v="CIVIL"/>
    <d v="2023-06-30T00:00:00"/>
    <d v="2023-07-03T19:05:56"/>
    <m/>
    <d v="2023-07-03T00:00:00"/>
    <n v="224"/>
    <n v="14196"/>
    <s v="62307225"/>
    <s v="62307225"/>
    <m/>
    <m/>
    <n v="22795836"/>
    <m/>
    <m/>
    <m/>
    <s v="SOLPOA"/>
    <s v="SOLPOA"/>
    <s v="CCMS"/>
    <n v="21323330"/>
    <n v="23.76"/>
    <m/>
    <s v="N"/>
    <n v="1"/>
    <d v="2023-07-03T19:05:56"/>
    <s v="N"/>
    <s v="Non Expert Disbursement"/>
    <s v="Non Expert Disbursement"/>
    <s v="Non Expert Disbursement"/>
    <s v="SJF"/>
    <s v="N"/>
    <n v="19.8"/>
    <n v="3.96"/>
    <x v="3"/>
    <s v="VALIDATED"/>
    <n v="1"/>
    <s v="01.11.80.308.2012.0000"/>
    <n v="19.8"/>
    <s v="11"/>
    <s v="2012"/>
    <n v="5266.39"/>
    <n v="19.8"/>
    <s v="CREDITOR"/>
    <n v="19.8"/>
    <n v="0"/>
    <n v="0"/>
    <n v="0"/>
    <n v="0"/>
  </r>
  <r>
    <n v="60951618"/>
    <s v="N"/>
    <n v="21363566"/>
    <s v="3000015164100001"/>
    <s v="CIVIL"/>
    <d v="2023-06-06T00:00:00"/>
    <d v="2023-07-12T19:01:49"/>
    <m/>
    <d v="2023-07-12T00:00:00"/>
    <n v="224"/>
    <n v="14196"/>
    <s v="60951618"/>
    <s v="60951618"/>
    <m/>
    <m/>
    <n v="22629108"/>
    <m/>
    <m/>
    <m/>
    <s v="SOLFIN"/>
    <s v="SOLFIN"/>
    <s v="CCMS"/>
    <n v="21363566"/>
    <n v="0"/>
    <m/>
    <s v="N"/>
    <n v="1"/>
    <d v="2023-07-12T19:02:04"/>
    <s v="N"/>
    <s v="NIL BILL"/>
    <s v="Public Law Children"/>
    <s v="Profit Cost"/>
    <s v="SJF"/>
    <s v="N"/>
    <n v="0"/>
    <n v="0"/>
    <x v="0"/>
    <s v="VALIDATED"/>
    <n v="1"/>
    <s v="01.11.80.308.6100.0000"/>
    <n v="0"/>
    <s v="11"/>
    <s v="6100"/>
    <n v="5266.39"/>
    <n v="0"/>
    <s v="CREDITOR"/>
    <n v="0"/>
    <n v="0"/>
    <n v="0"/>
    <n v="0"/>
    <n v="0"/>
  </r>
  <r>
    <n v="61700165"/>
    <s v="N"/>
    <n v="21363827"/>
    <s v="3000015789730008"/>
    <s v="CIVIL"/>
    <d v="2023-06-06T00:00:00"/>
    <d v="2023-07-12T19:01:49"/>
    <m/>
    <d v="2023-07-12T00:00:00"/>
    <n v="224"/>
    <n v="14196"/>
    <s v="61700165"/>
    <s v="61700165"/>
    <m/>
    <m/>
    <n v="22624546"/>
    <m/>
    <m/>
    <m/>
    <s v="SOLFIN"/>
    <s v="SOLFIN"/>
    <s v="CCMS"/>
    <n v="21363827"/>
    <n v="7406.34"/>
    <m/>
    <s v="N"/>
    <n v="13"/>
    <d v="2023-07-12T19:02:12"/>
    <s v="Y"/>
    <s v="Hearing Unit 2.31 - 5.00 Hours"/>
    <s v="Public Law Children"/>
    <s v="Advocacy"/>
    <s v="SJF"/>
    <s v="Y"/>
    <n v="476.92"/>
    <n v="95.38"/>
    <x v="0"/>
    <s v="VALIDATED"/>
    <n v="1"/>
    <s v="01.11.80.308.6100.0000"/>
    <n v="476.92"/>
    <s v="11"/>
    <s v="6100"/>
    <n v="5266.39"/>
    <n v="476.92"/>
    <s v="CREDITOR"/>
    <n v="0"/>
    <n v="0"/>
    <n v="0"/>
    <n v="0"/>
    <n v="476.92"/>
  </r>
  <r>
    <n v="61700165"/>
    <s v="N"/>
    <n v="21363827"/>
    <s v="3000015789730008"/>
    <s v="CIVIL"/>
    <d v="2023-06-06T00:00:00"/>
    <d v="2023-07-12T19:01:49"/>
    <m/>
    <d v="2023-07-12T00:00:00"/>
    <n v="224"/>
    <n v="14196"/>
    <s v="61700165"/>
    <s v="61700165"/>
    <m/>
    <m/>
    <n v="22624546"/>
    <m/>
    <m/>
    <m/>
    <s v="SOLFIN"/>
    <s v="SOLFIN"/>
    <s v="CCMS"/>
    <n v="21363827"/>
    <n v="7406.34"/>
    <m/>
    <s v="N"/>
    <n v="10"/>
    <d v="2023-07-12T19:02:12"/>
    <s v="Y"/>
    <s v="Advocates Meeting"/>
    <s v="Public Law Children"/>
    <s v="Advocacy"/>
    <s v="SJF"/>
    <s v="Y"/>
    <n v="140.99"/>
    <n v="28.2"/>
    <x v="0"/>
    <s v="VALIDATED"/>
    <n v="1"/>
    <s v="01.11.80.308.6100.0000"/>
    <n v="140.99"/>
    <s v="11"/>
    <s v="6100"/>
    <n v="5266.39"/>
    <n v="140.99"/>
    <s v="CREDITOR"/>
    <n v="0"/>
    <n v="0"/>
    <n v="0"/>
    <n v="0"/>
    <n v="140.99"/>
  </r>
  <r>
    <n v="61959185"/>
    <s v="N"/>
    <n v="21349362"/>
    <s v="3000015997440005"/>
    <s v="CIVIL"/>
    <d v="2023-06-14T00:00:00"/>
    <d v="2023-07-10T19:01:40"/>
    <m/>
    <d v="2023-07-10T00:00:00"/>
    <n v="224"/>
    <n v="14196"/>
    <s v="61959185"/>
    <s v="61959185"/>
    <m/>
    <m/>
    <n v="22689080"/>
    <m/>
    <m/>
    <m/>
    <s v="SOLFIN"/>
    <s v="SOLFIN"/>
    <s v="CCMS"/>
    <n v="21349362"/>
    <n v="3197.76"/>
    <m/>
    <s v="N"/>
    <n v="15"/>
    <d v="2023-07-10T19:01:47"/>
    <s v="Y"/>
    <s v="Preparation - drafting notice(s)"/>
    <s v="Care Remuneration Hourly Rates"/>
    <s v="Profit Cost"/>
    <s v="EJP"/>
    <s v="Y"/>
    <n v="11.68"/>
    <n v="2.34"/>
    <x v="2"/>
    <s v="VALIDATED"/>
    <n v="1"/>
    <s v="01.11.80.305.6100.0000"/>
    <n v="11.68"/>
    <s v="11"/>
    <s v="6100"/>
    <n v="5266.39"/>
    <n v="11.68"/>
    <s v="CREDITOR"/>
    <n v="0"/>
    <n v="0"/>
    <n v="0"/>
    <n v="0"/>
    <n v="11.68"/>
  </r>
  <r>
    <n v="61959185"/>
    <s v="N"/>
    <n v="21349362"/>
    <s v="3000015997440005"/>
    <s v="CIVIL"/>
    <d v="2023-06-14T00:00:00"/>
    <d v="2023-07-10T19:01:40"/>
    <m/>
    <d v="2023-07-10T00:00:00"/>
    <n v="224"/>
    <n v="14196"/>
    <s v="61959185"/>
    <s v="61959185"/>
    <m/>
    <m/>
    <n v="22689080"/>
    <m/>
    <m/>
    <m/>
    <s v="SOLFIN"/>
    <s v="SOLFIN"/>
    <s v="CCMS"/>
    <n v="21349362"/>
    <n v="3197.76"/>
    <m/>
    <s v="N"/>
    <n v="2"/>
    <d v="2023-07-10T19:01:47"/>
    <s v="Y"/>
    <s v="Interim Hearing Court Bundle/Advoca"/>
    <s v="Other Public Law Children"/>
    <s v="Advocacy"/>
    <s v="SJF"/>
    <s v="Y"/>
    <n v="59.4"/>
    <n v="11.88"/>
    <x v="2"/>
    <s v="VALIDATED"/>
    <n v="1"/>
    <s v="01.11.80.305.6100.0000"/>
    <n v="59.4"/>
    <s v="11"/>
    <s v="6100"/>
    <n v="5266.39"/>
    <n v="59.4"/>
    <s v="CREDITOR"/>
    <n v="0"/>
    <n v="0"/>
    <n v="0"/>
    <n v="0"/>
    <n v="59.4"/>
  </r>
  <r>
    <n v="61959185"/>
    <s v="N"/>
    <n v="21349362"/>
    <s v="3000015997440005"/>
    <s v="CIVIL"/>
    <d v="2023-06-14T00:00:00"/>
    <d v="2023-07-10T19:01:40"/>
    <m/>
    <d v="2023-07-10T00:00:00"/>
    <n v="224"/>
    <n v="14196"/>
    <s v="61959185"/>
    <s v="61959185"/>
    <m/>
    <m/>
    <n v="22689080"/>
    <m/>
    <m/>
    <m/>
    <s v="SOLFIN"/>
    <s v="SOLFIN"/>
    <s v="CCMS"/>
    <n v="21349362"/>
    <n v="3197.76"/>
    <m/>
    <s v="N"/>
    <n v="9"/>
    <d v="2023-07-10T19:01:47"/>
    <s v="Y"/>
    <s v="Solicitor Travel Expenses"/>
    <s v="Care Remuneration Hourly Rates"/>
    <s v="Non Expert Disbursement"/>
    <s v="SJF"/>
    <s v="Y"/>
    <n v="6.3"/>
    <n v="1.26"/>
    <x v="2"/>
    <s v="VALIDATED"/>
    <n v="1"/>
    <s v="01.11.80.305.6300.0000"/>
    <n v="6.3"/>
    <s v="11"/>
    <s v="6300"/>
    <n v="5266.39"/>
    <n v="6.3"/>
    <s v="CREDITOR"/>
    <n v="0"/>
    <n v="0"/>
    <n v="0"/>
    <n v="0"/>
    <n v="6.3"/>
  </r>
  <r>
    <n v="61959185"/>
    <s v="N"/>
    <n v="21349362"/>
    <s v="3000015997440005"/>
    <s v="CIVIL"/>
    <d v="2023-06-14T00:00:00"/>
    <d v="2023-07-10T19:01:40"/>
    <m/>
    <d v="2023-07-10T00:00:00"/>
    <n v="224"/>
    <n v="14196"/>
    <s v="61959185"/>
    <s v="61959185"/>
    <m/>
    <m/>
    <n v="22689080"/>
    <m/>
    <m/>
    <m/>
    <s v="SOLFIN"/>
    <s v="SOLFIN"/>
    <s v="CCMS"/>
    <n v="21349362"/>
    <n v="3197.76"/>
    <m/>
    <s v="N"/>
    <n v="3"/>
    <d v="2023-07-10T19:01:47"/>
    <s v="Y"/>
    <s v="Final Hearing Court Bundle/Advocate"/>
    <s v="Other Public Law Children"/>
    <s v="Advocacy"/>
    <s v="SJF"/>
    <s v="Y"/>
    <n v="159.3"/>
    <n v="31.86"/>
    <x v="2"/>
    <s v="VALIDATED"/>
    <n v="1"/>
    <s v="01.11.80.305.6100.0000"/>
    <n v="159.3"/>
    <s v="11"/>
    <s v="6100"/>
    <n v="5266.39"/>
    <n v="159.3"/>
    <s v="CREDITOR"/>
    <n v="0"/>
    <n v="0"/>
    <n v="0"/>
    <n v="0"/>
    <n v="159.3"/>
  </r>
  <r>
    <n v="62303684"/>
    <s v="N"/>
    <n v="21330807"/>
    <s v="3000016294250004"/>
    <s v="CIVIL"/>
    <d v="2023-06-29T00:00:00"/>
    <d v="2023-07-05T19:01:47"/>
    <m/>
    <d v="2023-07-05T00:00:00"/>
    <n v="224"/>
    <n v="14196"/>
    <s v="62303684"/>
    <s v="62303684"/>
    <m/>
    <m/>
    <n v="22793344"/>
    <m/>
    <m/>
    <m/>
    <s v="SOLPOA"/>
    <s v="SOLPOA"/>
    <s v="CCMS"/>
    <n v="21330807"/>
    <n v="234.9"/>
    <m/>
    <s v="N"/>
    <n v="1"/>
    <d v="2023-07-05T19:01:54"/>
    <s v="N"/>
    <s v="Expert Cost"/>
    <s v="Expert Cost"/>
    <s v="Expert Disbursement"/>
    <s v="DNA legal"/>
    <s v="N"/>
    <n v="195.75"/>
    <n v="39.15"/>
    <x v="6"/>
    <s v="VALIDATED"/>
    <n v="1"/>
    <s v="01.11.80.308.2012.0000"/>
    <n v="195.75"/>
    <s v="11"/>
    <s v="2012"/>
    <n v="5266.39"/>
    <n v="195.75"/>
    <s v="CREDITOR"/>
    <n v="195.75"/>
    <n v="0"/>
    <n v="0"/>
    <n v="0"/>
    <n v="0"/>
  </r>
  <r>
    <n v="60951595"/>
    <s v="N"/>
    <n v="21363626"/>
    <s v="3000015164020001"/>
    <s v="CIVIL"/>
    <d v="2023-06-06T00:00:00"/>
    <d v="2023-07-12T19:01:49"/>
    <m/>
    <d v="2023-07-12T00:00:00"/>
    <n v="224"/>
    <n v="14196"/>
    <s v="60951595"/>
    <s v="60951595"/>
    <m/>
    <m/>
    <n v="22629048"/>
    <m/>
    <m/>
    <m/>
    <s v="SOLFIN"/>
    <s v="SOLFIN"/>
    <s v="CCMS"/>
    <n v="21363626"/>
    <n v="0"/>
    <m/>
    <s v="N"/>
    <n v="1"/>
    <d v="2023-07-12T19:02:06"/>
    <s v="N"/>
    <s v="NIL BILL"/>
    <s v="Public Law Children"/>
    <s v="Profit Cost"/>
    <s v="SJF"/>
    <s v="N"/>
    <n v="0"/>
    <n v="0"/>
    <x v="0"/>
    <s v="VALIDATED"/>
    <n v="1"/>
    <s v="01.11.80.308.6100.0000"/>
    <n v="0"/>
    <s v="11"/>
    <s v="6100"/>
    <n v="5266.39"/>
    <n v="0"/>
    <s v="CREDITOR"/>
    <n v="0"/>
    <n v="0"/>
    <n v="0"/>
    <n v="0"/>
    <n v="0"/>
  </r>
  <r>
    <n v="61700165"/>
    <s v="N"/>
    <n v="21363827"/>
    <s v="3000015789730008"/>
    <s v="CIVIL"/>
    <d v="2023-06-06T00:00:00"/>
    <d v="2023-07-12T19:01:49"/>
    <m/>
    <d v="2023-07-12T00:00:00"/>
    <n v="224"/>
    <n v="14196"/>
    <s v="61700165"/>
    <s v="61700165"/>
    <m/>
    <m/>
    <n v="22624546"/>
    <m/>
    <m/>
    <m/>
    <s v="SOLFIN"/>
    <s v="SOLFIN"/>
    <s v="CCMS"/>
    <n v="21363827"/>
    <n v="7406.34"/>
    <m/>
    <s v="N"/>
    <n v="8"/>
    <d v="2023-07-12T19:02:12"/>
    <s v="Y"/>
    <s v="Expert - Other"/>
    <s v="Public Law Children"/>
    <s v="Expert Disbursement"/>
    <s v="DNA legal"/>
    <s v="Y"/>
    <n v="239.2"/>
    <n v="47.84"/>
    <x v="0"/>
    <s v="VALIDATED"/>
    <n v="1"/>
    <s v="01.11.80.308.6300.0000"/>
    <n v="239.2"/>
    <s v="11"/>
    <s v="6300"/>
    <n v="5266.39"/>
    <n v="239.2"/>
    <s v="CREDITOR"/>
    <n v="0"/>
    <n v="0"/>
    <n v="0"/>
    <n v="0"/>
    <n v="239.2"/>
  </r>
  <r>
    <n v="61700165"/>
    <s v="N"/>
    <n v="21363827"/>
    <s v="3000015789730008"/>
    <s v="CIVIL"/>
    <d v="2023-06-06T00:00:00"/>
    <d v="2023-07-12T19:01:49"/>
    <m/>
    <d v="2023-07-12T00:00:00"/>
    <n v="224"/>
    <n v="14196"/>
    <s v="61700165"/>
    <s v="61700165"/>
    <m/>
    <m/>
    <n v="22624546"/>
    <m/>
    <m/>
    <m/>
    <s v="SOLFIN"/>
    <s v="SOLFIN"/>
    <s v="CCMS"/>
    <n v="21363827"/>
    <n v="7406.34"/>
    <m/>
    <s v="N"/>
    <n v="4"/>
    <d v="2023-07-12T19:02:12"/>
    <s v="Y"/>
    <s v="Expert - Other"/>
    <s v="Public Law Children"/>
    <s v="Expert Disbursement"/>
    <s v="Cansford"/>
    <s v="Y"/>
    <n v="489.75"/>
    <n v="97.95"/>
    <x v="0"/>
    <s v="VALIDATED"/>
    <n v="1"/>
    <s v="01.11.80.308.6300.0000"/>
    <n v="489.75"/>
    <s v="11"/>
    <s v="6300"/>
    <n v="5266.39"/>
    <n v="489.75"/>
    <s v="CREDITOR"/>
    <n v="0"/>
    <n v="0"/>
    <n v="0"/>
    <n v="0"/>
    <n v="489.75"/>
  </r>
  <r>
    <n v="61742438"/>
    <s v="N"/>
    <n v="21323341"/>
    <s v="3000015822540010"/>
    <s v="CIVIL"/>
    <d v="2023-06-30T00:00:00"/>
    <d v="2023-07-03T19:05:56"/>
    <m/>
    <d v="2023-07-03T00:00:00"/>
    <n v="224"/>
    <n v="14196"/>
    <s v="61742438"/>
    <s v="61742438"/>
    <m/>
    <m/>
    <n v="22796130"/>
    <m/>
    <m/>
    <m/>
    <s v="SOLPOA"/>
    <s v="SOLPOA"/>
    <s v="CCMS"/>
    <n v="21323341"/>
    <n v="6.36"/>
    <m/>
    <s v="N"/>
    <n v="1"/>
    <d v="2023-07-03T19:05:56"/>
    <s v="N"/>
    <s v="Non Expert Disbursement"/>
    <s v="Non Expert Disbursement"/>
    <s v="Non Expert Disbursement"/>
    <s v="SRB"/>
    <s v="N"/>
    <n v="5.3"/>
    <n v="1.06"/>
    <x v="3"/>
    <s v="VALIDATED"/>
    <n v="1"/>
    <s v="01.11.80.308.2012.0000"/>
    <n v="5.3"/>
    <s v="11"/>
    <s v="2012"/>
    <n v="5266.39"/>
    <n v="5.3"/>
    <s v="CREDITOR"/>
    <n v="5.3"/>
    <n v="0"/>
    <n v="0"/>
    <n v="0"/>
    <n v="0"/>
  </r>
  <r>
    <n v="61160859"/>
    <s v="N"/>
    <n v="21319107"/>
    <s v="3000015343630001"/>
    <s v="CIVIL"/>
    <d v="2023-06-06T00:00:00"/>
    <d v="2023-07-03T19:01:49"/>
    <m/>
    <d v="2023-07-03T00:00:00"/>
    <n v="224"/>
    <n v="14196"/>
    <s v="61160859"/>
    <s v="61160859"/>
    <m/>
    <m/>
    <n v="22632852"/>
    <m/>
    <m/>
    <m/>
    <s v="SOLFIN"/>
    <s v="SOLFIN"/>
    <s v="CCMS"/>
    <n v="21319107"/>
    <n v="0"/>
    <m/>
    <s v="N"/>
    <n v="1"/>
    <d v="2023-07-03T19:02:11"/>
    <s v="N"/>
    <s v="NIL BILL"/>
    <s v="Public Law Children"/>
    <s v="Profit Cost"/>
    <s v="SJF"/>
    <s v="N"/>
    <n v="0"/>
    <n v="0"/>
    <x v="3"/>
    <s v="VALIDATED"/>
    <n v="1"/>
    <s v="01.11.80.308.6100.0000"/>
    <n v="0"/>
    <s v="11"/>
    <s v="6100"/>
    <n v="5266.39"/>
    <n v="0"/>
    <s v="CREDITOR"/>
    <n v="0"/>
    <n v="0"/>
    <n v="0"/>
    <n v="0"/>
    <n v="0"/>
  </r>
  <r>
    <n v="61160778"/>
    <s v="N"/>
    <n v="21319109"/>
    <s v="3000015342950009"/>
    <s v="CIVIL"/>
    <d v="2023-06-06T00:00:00"/>
    <d v="2023-07-03T19:01:49"/>
    <m/>
    <d v="2023-07-03T00:00:00"/>
    <n v="224"/>
    <n v="14196"/>
    <s v="61160778"/>
    <s v="61160778"/>
    <m/>
    <m/>
    <n v="22633026"/>
    <m/>
    <m/>
    <m/>
    <s v="SOLFIN"/>
    <s v="SOLFIN"/>
    <s v="CCMS"/>
    <n v="21319109"/>
    <n v="6388.34"/>
    <m/>
    <s v="N"/>
    <n v="9"/>
    <d v="2023-07-03T19:02:11"/>
    <s v="Y"/>
    <s v="Advocates Meeting"/>
    <s v="Public Law Children"/>
    <s v="Advocacy"/>
    <s v="SJF"/>
    <s v="Y"/>
    <n v="140.99"/>
    <n v="28.2"/>
    <x v="3"/>
    <s v="VALIDATED"/>
    <n v="1"/>
    <s v="01.11.80.308.6100.0000"/>
    <n v="140.99"/>
    <s v="11"/>
    <s v="6100"/>
    <n v="5266.39"/>
    <n v="140.99"/>
    <s v="CREDITOR"/>
    <n v="0"/>
    <n v="0"/>
    <n v="0"/>
    <n v="0"/>
    <n v="140.99"/>
  </r>
  <r>
    <n v="62307225"/>
    <s v="N"/>
    <n v="21323285"/>
    <s v="3000016295000001"/>
    <s v="CIVIL"/>
    <d v="2023-06-30T00:00:00"/>
    <d v="2023-07-03T19:05:56"/>
    <m/>
    <d v="2023-07-03T00:00:00"/>
    <n v="224"/>
    <n v="14196"/>
    <s v="62307225"/>
    <s v="62307225"/>
    <m/>
    <m/>
    <n v="22796050"/>
    <m/>
    <m/>
    <m/>
    <s v="SOLPOA"/>
    <s v="SOLPOA"/>
    <s v="CCMS"/>
    <n v="21323285"/>
    <n v="3.24"/>
    <m/>
    <s v="N"/>
    <n v="1"/>
    <d v="2023-07-03T19:05:56"/>
    <s v="N"/>
    <s v="Non Expert Disbursement"/>
    <s v="Non Expert Disbursement"/>
    <s v="Non Expert Disbursement"/>
    <s v="SJF"/>
    <s v="N"/>
    <n v="2.7"/>
    <n v="0.54"/>
    <x v="3"/>
    <s v="VALIDATED"/>
    <n v="1"/>
    <s v="01.11.80.308.2012.0000"/>
    <n v="2.7"/>
    <s v="11"/>
    <s v="2012"/>
    <n v="5266.39"/>
    <n v="2.7"/>
    <s v="CREDITOR"/>
    <n v="2.7"/>
    <n v="0"/>
    <n v="0"/>
    <n v="0"/>
    <n v="0"/>
  </r>
  <r>
    <n v="62399280"/>
    <s v="N"/>
    <n v="21323332"/>
    <s v="3000016374400002"/>
    <s v="CIVIL"/>
    <d v="2023-06-30T00:00:00"/>
    <d v="2023-07-03T19:05:56"/>
    <m/>
    <d v="2023-07-03T00:00:00"/>
    <n v="224"/>
    <n v="14196"/>
    <s v="62399280"/>
    <s v="62399280"/>
    <m/>
    <m/>
    <n v="22796012"/>
    <m/>
    <m/>
    <m/>
    <s v="SOLPOA"/>
    <s v="SOLPOA"/>
    <s v="CCMS"/>
    <n v="21323332"/>
    <n v="5.52"/>
    <m/>
    <s v="N"/>
    <n v="1"/>
    <d v="2023-07-03T19:05:56"/>
    <s v="N"/>
    <s v="Non Expert Disbursement"/>
    <s v="Non Expert Disbursement"/>
    <s v="Non Expert Disbursement"/>
    <s v="SJF"/>
    <s v="N"/>
    <n v="4.6"/>
    <n v="0.92"/>
    <x v="3"/>
    <s v="VALIDATED"/>
    <n v="1"/>
    <s v="01.11.80.308.2012.0000"/>
    <n v="4.6"/>
    <s v="11"/>
    <s v="2012"/>
    <n v="5266.39"/>
    <n v="4.6"/>
    <s v="CREDITOR"/>
    <n v="4.6"/>
    <n v="0"/>
    <n v="0"/>
    <n v="0"/>
    <n v="0"/>
  </r>
  <r>
    <n v="62303684"/>
    <s v="N"/>
    <n v="21324068"/>
    <s v="3000016294250003"/>
    <s v="CIVIL"/>
    <d v="2023-06-30T00:00:00"/>
    <d v="2023-07-03T19:05:56"/>
    <m/>
    <d v="2023-07-03T00:00:00"/>
    <n v="224"/>
    <n v="14196"/>
    <s v="62303684"/>
    <s v="62303684"/>
    <m/>
    <m/>
    <n v="22795450"/>
    <m/>
    <m/>
    <m/>
    <s v="SOLPOA"/>
    <s v="SOLPOA"/>
    <s v="CCMS"/>
    <n v="21324068"/>
    <n v="116.7"/>
    <m/>
    <s v="N"/>
    <n v="1"/>
    <d v="2023-07-03T19:06:00"/>
    <s v="N"/>
    <s v="Expert Cost"/>
    <s v="Expert Cost"/>
    <s v="Expert Disbursement"/>
    <s v="SJF"/>
    <s v="N"/>
    <n v="97.25"/>
    <n v="19.45"/>
    <x v="3"/>
    <s v="VALIDATED"/>
    <n v="1"/>
    <s v="01.11.80.308.2012.0000"/>
    <n v="97.25"/>
    <s v="11"/>
    <s v="2012"/>
    <n v="5266.39"/>
    <n v="97.25"/>
    <s v="CREDITOR"/>
    <n v="97.25"/>
    <n v="0"/>
    <n v="0"/>
    <n v="0"/>
    <n v="0"/>
  </r>
  <r>
    <n v="61160778"/>
    <s v="N"/>
    <n v="21319109"/>
    <s v="3000015342950009"/>
    <s v="CIVIL"/>
    <d v="2023-06-06T00:00:00"/>
    <d v="2023-07-03T19:01:49"/>
    <m/>
    <d v="2023-07-03T00:00:00"/>
    <n v="224"/>
    <n v="14196"/>
    <s v="61160778"/>
    <s v="61160778"/>
    <m/>
    <m/>
    <n v="22633026"/>
    <m/>
    <m/>
    <m/>
    <s v="SOLFIN"/>
    <s v="SOLFIN"/>
    <s v="CCMS"/>
    <n v="21319109"/>
    <n v="6388.34"/>
    <m/>
    <s v="N"/>
    <n v="2"/>
    <d v="2023-07-03T19:02:11"/>
    <s v="Y"/>
    <s v="Interim Hearing Court Bundle/Advoca"/>
    <s v="Public Law Children"/>
    <s v="Advocacy"/>
    <s v="HSG"/>
    <s v="Y"/>
    <n v="59.4"/>
    <n v="11.88"/>
    <x v="3"/>
    <s v="VALIDATED"/>
    <n v="1"/>
    <s v="01.11.80.308.6100.0000"/>
    <n v="59.4"/>
    <s v="11"/>
    <s v="6100"/>
    <n v="5266.39"/>
    <n v="59.4"/>
    <s v="CREDITOR"/>
    <n v="0"/>
    <n v="0"/>
    <n v="0"/>
    <n v="0"/>
    <n v="59.4"/>
  </r>
  <r>
    <n v="61959185"/>
    <s v="N"/>
    <n v="21349362"/>
    <s v="3000015997440005"/>
    <s v="CIVIL"/>
    <d v="2023-06-14T00:00:00"/>
    <d v="2023-07-10T19:01:40"/>
    <m/>
    <d v="2023-07-10T00:00:00"/>
    <n v="224"/>
    <n v="14196"/>
    <s v="61959185"/>
    <s v="61959185"/>
    <m/>
    <m/>
    <n v="22689080"/>
    <m/>
    <m/>
    <m/>
    <s v="SOLFIN"/>
    <s v="SOLFIN"/>
    <s v="CCMS"/>
    <n v="21349362"/>
    <n v="3197.76"/>
    <m/>
    <s v="N"/>
    <n v="10"/>
    <d v="2023-07-10T19:01:47"/>
    <s v="Y"/>
    <s v="Routine Letter Out"/>
    <s v="Care Remuneration Hourly Rates"/>
    <s v="Profit Cost"/>
    <s v="SJF"/>
    <s v="Y"/>
    <n v="97.59999999999999"/>
    <n v="19.52"/>
    <x v="2"/>
    <s v="VALIDATED"/>
    <n v="1"/>
    <s v="01.11.80.305.6100.0000"/>
    <n v="97.59999999999999"/>
    <s v="11"/>
    <s v="6100"/>
    <n v="5266.39"/>
    <n v="97.59999999999999"/>
    <s v="CREDITOR"/>
    <n v="0"/>
    <n v="0"/>
    <n v="0"/>
    <n v="0"/>
    <n v="97.59999999999999"/>
  </r>
  <r>
    <n v="62307225"/>
    <s v="N"/>
    <n v="21323353"/>
    <s v="3000016295000004"/>
    <s v="CIVIL"/>
    <d v="2023-06-30T00:00:00"/>
    <d v="2023-07-03T19:05:56"/>
    <m/>
    <d v="2023-07-03T00:00:00"/>
    <n v="224"/>
    <n v="14196"/>
    <s v="62307225"/>
    <s v="62307225"/>
    <m/>
    <m/>
    <n v="22796084"/>
    <m/>
    <m/>
    <m/>
    <s v="SOLPOA"/>
    <s v="SOLPOA"/>
    <s v="CCMS"/>
    <n v="21323353"/>
    <n v="23.76"/>
    <m/>
    <s v="N"/>
    <n v="1"/>
    <d v="2023-07-03T19:05:56"/>
    <s v="N"/>
    <s v="Non Expert Disbursement"/>
    <s v="Non Expert Disbursement"/>
    <s v="Non Expert Disbursement"/>
    <s v="SJF"/>
    <s v="N"/>
    <n v="19.8"/>
    <n v="3.96"/>
    <x v="3"/>
    <s v="VALIDATED"/>
    <n v="1"/>
    <s v="01.11.80.308.2012.0000"/>
    <n v="19.8"/>
    <s v="11"/>
    <s v="2012"/>
    <n v="5266.39"/>
    <n v="19.8"/>
    <s v="CREDITOR"/>
    <n v="19.8"/>
    <n v="0"/>
    <n v="0"/>
    <n v="0"/>
    <n v="0"/>
  </r>
  <r>
    <n v="61700165"/>
    <s v="N"/>
    <n v="21363827"/>
    <s v="3000015789730008"/>
    <s v="CIVIL"/>
    <d v="2023-06-06T00:00:00"/>
    <d v="2023-07-12T19:01:49"/>
    <m/>
    <d v="2023-07-12T00:00:00"/>
    <n v="224"/>
    <n v="14196"/>
    <s v="61700165"/>
    <s v="61700165"/>
    <m/>
    <m/>
    <n v="22624546"/>
    <m/>
    <m/>
    <m/>
    <s v="SOLFIN"/>
    <s v="SOLFIN"/>
    <s v="CCMS"/>
    <n v="21363827"/>
    <n v="7406.34"/>
    <m/>
    <s v="N"/>
    <n v="7"/>
    <d v="2023-07-12T19:02:12"/>
    <s v="Y"/>
    <s v="Expert - Other"/>
    <s v="Public Law Children"/>
    <s v="Expert Disbursement"/>
    <s v="DNA legal"/>
    <s v="Y"/>
    <n v="160"/>
    <n v="32"/>
    <x v="0"/>
    <s v="VALIDATED"/>
    <n v="1"/>
    <s v="01.11.80.308.6300.0000"/>
    <n v="160"/>
    <s v="11"/>
    <s v="6300"/>
    <n v="5266.39"/>
    <n v="160"/>
    <s v="CREDITOR"/>
    <n v="0"/>
    <n v="0"/>
    <n v="0"/>
    <n v="0"/>
    <n v="160"/>
  </r>
  <r>
    <n v="61959185"/>
    <s v="N"/>
    <n v="21349362"/>
    <s v="3000015997440005"/>
    <s v="CIVIL"/>
    <d v="2023-06-14T00:00:00"/>
    <d v="2023-07-10T19:01:40"/>
    <m/>
    <d v="2023-07-10T00:00:00"/>
    <n v="224"/>
    <n v="14196"/>
    <s v="61959185"/>
    <s v="61959185"/>
    <m/>
    <m/>
    <n v="22689080"/>
    <m/>
    <m/>
    <m/>
    <s v="SOLFIN"/>
    <s v="SOLFIN"/>
    <s v="CCMS"/>
    <n v="21349362"/>
    <n v="3197.76"/>
    <m/>
    <s v="N"/>
    <n v="17"/>
    <d v="2023-07-10T19:01:47"/>
    <s v="Y"/>
    <s v="Preparation - other"/>
    <s v="Care Remuneration Hourly Rates"/>
    <s v="Profit Cost"/>
    <s v="SJF"/>
    <s v="Y"/>
    <n v="26.86"/>
    <n v="5.37"/>
    <x v="2"/>
    <s v="VALIDATED"/>
    <n v="1"/>
    <s v="01.11.80.305.6100.0000"/>
    <n v="26.86"/>
    <s v="11"/>
    <s v="6100"/>
    <n v="5266.39"/>
    <n v="26.86"/>
    <s v="CREDITOR"/>
    <n v="0"/>
    <n v="0"/>
    <n v="0"/>
    <n v="0"/>
    <n v="26.86"/>
  </r>
  <r>
    <n v="61160778"/>
    <s v="N"/>
    <n v="21319109"/>
    <s v="3000015342950009"/>
    <s v="CIVIL"/>
    <d v="2023-06-06T00:00:00"/>
    <d v="2023-07-03T19:01:49"/>
    <m/>
    <d v="2023-07-03T00:00:00"/>
    <n v="224"/>
    <n v="14196"/>
    <s v="61160778"/>
    <s v="61160778"/>
    <m/>
    <m/>
    <n v="22633026"/>
    <m/>
    <m/>
    <m/>
    <s v="SOLFIN"/>
    <s v="SOLFIN"/>
    <s v="CCMS"/>
    <n v="21319109"/>
    <n v="6388.34"/>
    <m/>
    <s v="N"/>
    <n v="3"/>
    <d v="2023-07-03T19:02:11"/>
    <s v="Y"/>
    <s v="Psychiatrist"/>
    <s v="Public Law Children"/>
    <s v="Expert Disbursement"/>
    <s v="Dr Morton"/>
    <s v="Y"/>
    <n v="280.8"/>
    <n v="0"/>
    <x v="3"/>
    <s v="VALIDATED"/>
    <n v="1"/>
    <s v="01.11.80.308.6300.0000"/>
    <n v="280.8"/>
    <s v="11"/>
    <s v="6300"/>
    <n v="5266.39"/>
    <n v="280.8"/>
    <s v="CREDITOR"/>
    <n v="0"/>
    <n v="0"/>
    <n v="0"/>
    <n v="0"/>
    <n v="280.8"/>
  </r>
  <r>
    <n v="61160778"/>
    <s v="N"/>
    <n v="21319109"/>
    <s v="3000015342950009"/>
    <s v="CIVIL"/>
    <d v="2023-06-06T00:00:00"/>
    <d v="2023-07-03T19:01:49"/>
    <m/>
    <d v="2023-07-03T00:00:00"/>
    <n v="224"/>
    <n v="14196"/>
    <s v="61160778"/>
    <s v="61160778"/>
    <m/>
    <m/>
    <n v="22633026"/>
    <m/>
    <m/>
    <m/>
    <s v="SOLFIN"/>
    <s v="SOLFIN"/>
    <s v="CCMS"/>
    <n v="21319109"/>
    <n v="6388.34"/>
    <m/>
    <s v="N"/>
    <n v="10"/>
    <d v="2023-07-03T19:02:11"/>
    <s v="Y"/>
    <s v="Hearing Unit 5.01 - 7.30 Hours"/>
    <s v="Public Law Children"/>
    <s v="Advocacy"/>
    <s v="HSG"/>
    <s v="Y"/>
    <n v="715.38"/>
    <n v="143.08"/>
    <x v="3"/>
    <s v="VALIDATED"/>
    <n v="1"/>
    <s v="01.11.80.308.6100.0000"/>
    <n v="715.38"/>
    <s v="11"/>
    <s v="6100"/>
    <n v="5266.39"/>
    <n v="715.38"/>
    <s v="CREDITOR"/>
    <n v="0"/>
    <n v="0"/>
    <n v="0"/>
    <n v="0"/>
    <n v="715.38"/>
  </r>
  <r>
    <n v="61959185"/>
    <s v="N"/>
    <n v="21349362"/>
    <s v="3000015997440005"/>
    <s v="CIVIL"/>
    <d v="2023-06-14T00:00:00"/>
    <d v="2023-07-10T19:01:40"/>
    <m/>
    <d v="2023-07-10T00:00:00"/>
    <n v="224"/>
    <n v="14196"/>
    <s v="61959185"/>
    <s v="61959185"/>
    <m/>
    <m/>
    <n v="22689080"/>
    <m/>
    <m/>
    <m/>
    <s v="SOLFIN"/>
    <s v="SOLFIN"/>
    <s v="CCMS"/>
    <n v="21349362"/>
    <n v="3197.76"/>
    <m/>
    <s v="N"/>
    <n v="26"/>
    <d v="2023-07-10T19:01:47"/>
    <s v="Y"/>
    <s v="Hearing Unit 1.01 - 2.30 Hours"/>
    <s v="Other Public Law Children"/>
    <s v="Advocacy"/>
    <s v="SJF"/>
    <s v="Y"/>
    <n v="208.53"/>
    <n v="41.71"/>
    <x v="2"/>
    <s v="VALIDATED"/>
    <n v="1"/>
    <s v="01.11.80.305.6100.0000"/>
    <n v="208.53"/>
    <s v="11"/>
    <s v="6100"/>
    <n v="5266.39"/>
    <n v="208.53"/>
    <s v="CREDITOR"/>
    <n v="0"/>
    <n v="0"/>
    <n v="0"/>
    <n v="0"/>
    <n v="208.53"/>
  </r>
  <r>
    <n v="61160778"/>
    <s v="N"/>
    <n v="21319109"/>
    <s v="3000015342950009"/>
    <s v="CIVIL"/>
    <d v="2023-06-06T00:00:00"/>
    <d v="2023-07-03T19:01:49"/>
    <m/>
    <d v="2023-07-03T00:00:00"/>
    <n v="224"/>
    <n v="14196"/>
    <s v="61160778"/>
    <s v="61160778"/>
    <m/>
    <m/>
    <n v="22633026"/>
    <m/>
    <m/>
    <m/>
    <s v="SOLFIN"/>
    <s v="SOLFIN"/>
    <s v="CCMS"/>
    <n v="21319109"/>
    <n v="6388.34"/>
    <m/>
    <s v="N"/>
    <n v="11"/>
    <d v="2023-07-03T19:02:11"/>
    <s v="Y"/>
    <s v="Hearing Unit 5.01 - 7.30 Hours"/>
    <s v="Public Law Children"/>
    <s v="Advocacy"/>
    <s v="SRB"/>
    <s v="Y"/>
    <n v="715.38"/>
    <n v="143.08"/>
    <x v="3"/>
    <s v="VALIDATED"/>
    <n v="1"/>
    <s v="01.11.80.308.6100.0000"/>
    <n v="715.38"/>
    <s v="11"/>
    <s v="6100"/>
    <n v="5266.39"/>
    <n v="715.38"/>
    <s v="CREDITOR"/>
    <n v="0"/>
    <n v="0"/>
    <n v="0"/>
    <n v="0"/>
    <n v="715.38"/>
  </r>
  <r>
    <n v="61959185"/>
    <s v="N"/>
    <n v="21349362"/>
    <s v="3000015997440005"/>
    <s v="CIVIL"/>
    <d v="2023-06-14T00:00:00"/>
    <d v="2023-07-10T19:01:40"/>
    <m/>
    <d v="2023-07-10T00:00:00"/>
    <n v="224"/>
    <n v="14196"/>
    <s v="61959185"/>
    <s v="61959185"/>
    <m/>
    <m/>
    <n v="22689080"/>
    <m/>
    <m/>
    <m/>
    <s v="SOLFIN"/>
    <s v="SOLFIN"/>
    <s v="CCMS"/>
    <n v="21349362"/>
    <n v="3197.76"/>
    <m/>
    <s v="N"/>
    <n v="22"/>
    <d v="2023-07-10T19:01:47"/>
    <s v="Y"/>
    <s v="Preparation - drafting bill/claim f"/>
    <s v="Care Remuneration Hourly Rates"/>
    <s v="Profit Cost"/>
    <s v="SJF"/>
    <s v="Y"/>
    <n v="60.46"/>
    <n v="12.09"/>
    <x v="2"/>
    <s v="VALIDATED"/>
    <n v="1"/>
    <s v="01.11.80.305.6100.0000"/>
    <n v="60.46"/>
    <s v="11"/>
    <s v="6100"/>
    <n v="5266.39"/>
    <n v="60.46"/>
    <s v="CREDITOR"/>
    <n v="0"/>
    <n v="0"/>
    <n v="0"/>
    <n v="0"/>
    <n v="60.46"/>
  </r>
  <r>
    <n v="61959185"/>
    <s v="N"/>
    <n v="21349362"/>
    <s v="3000015997440005"/>
    <s v="CIVIL"/>
    <d v="2023-06-14T00:00:00"/>
    <d v="2023-07-10T19:01:40"/>
    <m/>
    <d v="2023-07-10T00:00:00"/>
    <n v="224"/>
    <n v="14196"/>
    <s v="61959185"/>
    <s v="61959185"/>
    <m/>
    <m/>
    <n v="22689080"/>
    <m/>
    <m/>
    <m/>
    <s v="SOLFIN"/>
    <s v="SOLFIN"/>
    <s v="CCMS"/>
    <n v="21349362"/>
    <n v="3197.76"/>
    <m/>
    <s v="N"/>
    <n v="21"/>
    <d v="2023-07-10T19:01:47"/>
    <s v="Y"/>
    <s v="Attendance upon client"/>
    <s v="Care Remuneration Hourly Rates"/>
    <s v="Profit Cost"/>
    <s v="SJF"/>
    <s v="Y"/>
    <n v="33.59"/>
    <n v="6.72"/>
    <x v="2"/>
    <s v="VALIDATED"/>
    <n v="1"/>
    <s v="01.11.80.305.6100.0000"/>
    <n v="33.59"/>
    <s v="11"/>
    <s v="6100"/>
    <n v="5266.39"/>
    <n v="33.59"/>
    <s v="CREDITOR"/>
    <n v="0"/>
    <n v="0"/>
    <n v="0"/>
    <n v="0"/>
    <n v="33.59"/>
  </r>
  <r>
    <n v="61959185"/>
    <s v="N"/>
    <n v="21349362"/>
    <s v="3000015997440005"/>
    <s v="CIVIL"/>
    <d v="2023-06-14T00:00:00"/>
    <d v="2023-07-10T19:01:40"/>
    <m/>
    <d v="2023-07-10T00:00:00"/>
    <n v="224"/>
    <n v="14196"/>
    <s v="61959185"/>
    <s v="61959185"/>
    <m/>
    <m/>
    <n v="22689080"/>
    <m/>
    <m/>
    <m/>
    <s v="SOLFIN"/>
    <s v="SOLFIN"/>
    <s v="CCMS"/>
    <n v="21349362"/>
    <n v="3197.76"/>
    <m/>
    <s v="N"/>
    <n v="18"/>
    <d v="2023-07-10T19:01:47"/>
    <s v="Y"/>
    <s v="Preparation - other"/>
    <s v="Care Remuneration Hourly Rates"/>
    <s v="Profit Cost"/>
    <s v="SJF"/>
    <s v="Y"/>
    <n v="40.31"/>
    <n v="8.06"/>
    <x v="2"/>
    <s v="VALIDATED"/>
    <n v="1"/>
    <s v="01.11.80.305.6100.0000"/>
    <n v="40.31"/>
    <s v="11"/>
    <s v="6100"/>
    <n v="5266.39"/>
    <n v="40.31"/>
    <s v="CREDITOR"/>
    <n v="0"/>
    <n v="0"/>
    <n v="0"/>
    <n v="0"/>
    <n v="40.31"/>
  </r>
  <r>
    <n v="62307225"/>
    <s v="N"/>
    <n v="21323542"/>
    <s v="3000016295000005"/>
    <s v="CIVIL"/>
    <d v="2023-06-30T00:00:00"/>
    <d v="2023-07-03T19:05:56"/>
    <m/>
    <d v="2023-07-03T00:00:00"/>
    <n v="224"/>
    <n v="14196"/>
    <s v="62307225"/>
    <s v="62307225"/>
    <m/>
    <m/>
    <n v="22795574"/>
    <m/>
    <m/>
    <m/>
    <s v="SOLPOA"/>
    <s v="SOLPOA"/>
    <s v="CCMS"/>
    <n v="21323542"/>
    <n v="308.4"/>
    <m/>
    <s v="N"/>
    <n v="1"/>
    <d v="2023-07-03T19:05:57"/>
    <s v="N"/>
    <s v="Expert Cost"/>
    <s v="Expert Cost"/>
    <s v="Expert Disbursement"/>
    <s v="SJF"/>
    <s v="N"/>
    <n v="257"/>
    <n v="51.4"/>
    <x v="3"/>
    <s v="VALIDATED"/>
    <n v="1"/>
    <s v="01.11.80.308.2012.0000"/>
    <n v="257"/>
    <s v="11"/>
    <s v="2012"/>
    <n v="5266.39"/>
    <n v="257"/>
    <s v="CREDITOR"/>
    <n v="257"/>
    <n v="0"/>
    <n v="0"/>
    <n v="0"/>
    <n v="0"/>
  </r>
  <r>
    <n v="61959185"/>
    <s v="N"/>
    <n v="21349362"/>
    <s v="3000015997440005"/>
    <s v="CIVIL"/>
    <d v="2023-06-14T00:00:00"/>
    <d v="2023-07-10T19:01:40"/>
    <m/>
    <d v="2023-07-10T00:00:00"/>
    <n v="224"/>
    <n v="14196"/>
    <s v="61959185"/>
    <s v="61959185"/>
    <m/>
    <m/>
    <n v="22689080"/>
    <m/>
    <m/>
    <m/>
    <s v="SOLFIN"/>
    <s v="SOLFIN"/>
    <s v="CCMS"/>
    <n v="21349362"/>
    <n v="3197.76"/>
    <m/>
    <s v="N"/>
    <n v="4"/>
    <d v="2023-07-10T19:01:47"/>
    <s v="Y"/>
    <s v="Solicitor Travel Mileage"/>
    <s v="Care Remuneration Hourly Rates"/>
    <s v="Non Expert Disbursement"/>
    <s v="SJF"/>
    <s v="Y"/>
    <n v="21.6"/>
    <n v="4.32"/>
    <x v="2"/>
    <s v="VALIDATED"/>
    <n v="1"/>
    <s v="01.11.80.305.6300.0000"/>
    <n v="21.6"/>
    <s v="11"/>
    <s v="6300"/>
    <n v="5266.39"/>
    <n v="21.6"/>
    <s v="CREDITOR"/>
    <n v="0"/>
    <n v="0"/>
    <n v="0"/>
    <n v="0"/>
    <n v="21.6"/>
  </r>
  <r>
    <n v="61959185"/>
    <s v="N"/>
    <n v="21349362"/>
    <s v="3000015997440005"/>
    <s v="CIVIL"/>
    <d v="2023-06-14T00:00:00"/>
    <d v="2023-07-10T19:01:40"/>
    <m/>
    <d v="2023-07-10T00:00:00"/>
    <n v="224"/>
    <n v="14196"/>
    <s v="61959185"/>
    <s v="61959185"/>
    <m/>
    <m/>
    <n v="22689080"/>
    <m/>
    <m/>
    <m/>
    <s v="SOLFIN"/>
    <s v="SOLFIN"/>
    <s v="CCMS"/>
    <n v="21349362"/>
    <n v="3197.76"/>
    <m/>
    <s v="N"/>
    <n v="8"/>
    <d v="2023-07-10T19:01:47"/>
    <s v="Y"/>
    <s v="Solicitor Travel Mileage"/>
    <s v="Care Remuneration Hourly Rates"/>
    <s v="Non Expert Disbursement"/>
    <s v="SJF"/>
    <s v="Y"/>
    <n v="10.8"/>
    <n v="2.16"/>
    <x v="2"/>
    <s v="VALIDATED"/>
    <n v="1"/>
    <s v="01.11.80.305.6300.0000"/>
    <n v="10.8"/>
    <s v="11"/>
    <s v="6300"/>
    <n v="5266.39"/>
    <n v="10.8"/>
    <s v="CREDITOR"/>
    <n v="0"/>
    <n v="0"/>
    <n v="0"/>
    <n v="0"/>
    <n v="10.8"/>
  </r>
  <r>
    <n v="61812679"/>
    <s v="N"/>
    <n v="21319680"/>
    <s v="3000015884000007"/>
    <s v="CIVIL"/>
    <d v="2023-06-27T00:00:00"/>
    <d v="2023-07-03T19:04:24"/>
    <m/>
    <d v="2023-07-03T00:00:00"/>
    <n v="224"/>
    <n v="14196"/>
    <s v="61812679"/>
    <s v="61812679"/>
    <m/>
    <m/>
    <n v="22774328"/>
    <m/>
    <m/>
    <m/>
    <s v="SOLPOA"/>
    <s v="SOLPOA"/>
    <s v="CCMS"/>
    <n v="21319680"/>
    <n v="25.92"/>
    <m/>
    <s v="N"/>
    <n v="1"/>
    <d v="2023-07-03T19:04:27"/>
    <s v="N"/>
    <s v="Non Expert Disbursement"/>
    <s v="Non Expert Disbursement"/>
    <s v="Non Expert Disbursement"/>
    <s v="SJF"/>
    <s v="N"/>
    <n v="21.6"/>
    <n v="4.32"/>
    <x v="3"/>
    <s v="VALIDATED"/>
    <n v="1"/>
    <s v="01.11.80.308.2012.0000"/>
    <n v="21.6"/>
    <s v="11"/>
    <s v="2012"/>
    <n v="5266.39"/>
    <n v="21.6"/>
    <s v="CREDITOR"/>
    <n v="21.6"/>
    <n v="0"/>
    <n v="0"/>
    <n v="0"/>
    <n v="0"/>
  </r>
  <r>
    <n v="61160811"/>
    <s v="N"/>
    <n v="21319115"/>
    <s v="3000015343440001"/>
    <s v="CIVIL"/>
    <d v="2023-06-06T00:00:00"/>
    <d v="2023-07-03T19:01:49"/>
    <m/>
    <d v="2023-07-03T00:00:00"/>
    <n v="224"/>
    <n v="14196"/>
    <s v="61160811"/>
    <s v="61160811"/>
    <m/>
    <m/>
    <n v="22632676"/>
    <m/>
    <m/>
    <m/>
    <s v="SOLFIN"/>
    <s v="SOLFIN"/>
    <s v="CCMS"/>
    <n v="21319115"/>
    <n v="0"/>
    <m/>
    <s v="N"/>
    <n v="1"/>
    <d v="2023-07-03T19:02:11"/>
    <s v="N"/>
    <s v="NIL BILL"/>
    <s v="Public Law Children"/>
    <s v="Profit Cost"/>
    <s v="SJF"/>
    <s v="N"/>
    <n v="0"/>
    <n v="0"/>
    <x v="3"/>
    <s v="VALIDATED"/>
    <n v="1"/>
    <s v="01.11.80.308.6100.0000"/>
    <n v="0"/>
    <s v="11"/>
    <s v="6100"/>
    <n v="5266.39"/>
    <n v="0"/>
    <s v="CREDITOR"/>
    <n v="0"/>
    <n v="0"/>
    <n v="0"/>
    <n v="0"/>
    <n v="0"/>
  </r>
  <r>
    <n v="61959185"/>
    <s v="N"/>
    <n v="21349362"/>
    <s v="3000015997440005"/>
    <s v="CIVIL"/>
    <d v="2023-06-14T00:00:00"/>
    <d v="2023-07-10T19:01:40"/>
    <m/>
    <d v="2023-07-10T00:00:00"/>
    <n v="224"/>
    <n v="14196"/>
    <s v="61959185"/>
    <s v="61959185"/>
    <m/>
    <m/>
    <n v="22689080"/>
    <m/>
    <m/>
    <m/>
    <s v="SOLFIN"/>
    <s v="SOLFIN"/>
    <s v="CCMS"/>
    <n v="21349362"/>
    <n v="3197.76"/>
    <m/>
    <s v="N"/>
    <n v="14"/>
    <d v="2023-07-10T19:01:47"/>
    <s v="Y"/>
    <s v="Preparation - other"/>
    <s v="Care Remuneration Hourly Rates"/>
    <s v="Profit Cost"/>
    <s v="EJP"/>
    <s v="Y"/>
    <n v="46.73"/>
    <n v="9.35"/>
    <x v="2"/>
    <s v="VALIDATED"/>
    <n v="1"/>
    <s v="01.11.80.305.6100.0000"/>
    <n v="46.73"/>
    <s v="11"/>
    <s v="6100"/>
    <n v="5266.39"/>
    <n v="46.73"/>
    <s v="CREDITOR"/>
    <n v="0"/>
    <n v="0"/>
    <n v="0"/>
    <n v="0"/>
    <n v="46.73"/>
  </r>
  <r>
    <n v="61160778"/>
    <s v="N"/>
    <n v="21319109"/>
    <s v="3000015342950009"/>
    <s v="CIVIL"/>
    <d v="2023-06-06T00:00:00"/>
    <d v="2023-07-03T19:01:49"/>
    <m/>
    <d v="2023-07-03T00:00:00"/>
    <n v="224"/>
    <n v="14196"/>
    <s v="61160778"/>
    <s v="61160778"/>
    <m/>
    <m/>
    <n v="22633026"/>
    <m/>
    <m/>
    <m/>
    <s v="SOLFIN"/>
    <s v="SOLFIN"/>
    <s v="CCMS"/>
    <n v="21319109"/>
    <n v="6388.34"/>
    <m/>
    <s v="N"/>
    <n v="7"/>
    <d v="2023-07-03T19:02:11"/>
    <s v="Y"/>
    <s v="Solicitor Travel Mileage"/>
    <s v="Public Law Children"/>
    <s v="Non Expert Disbursement"/>
    <s v="SRB"/>
    <s v="Y"/>
    <n v="19.8"/>
    <n v="3.96"/>
    <x v="3"/>
    <s v="VALIDATED"/>
    <n v="1"/>
    <s v="01.11.80.308.6300.0000"/>
    <n v="19.8"/>
    <s v="11"/>
    <s v="6300"/>
    <n v="5266.39"/>
    <n v="19.8"/>
    <s v="CREDITOR"/>
    <n v="0"/>
    <n v="0"/>
    <n v="0"/>
    <n v="0"/>
    <n v="19.8"/>
  </r>
  <r>
    <n v="60951631"/>
    <s v="N"/>
    <n v="21363635"/>
    <s v="3000015164190001"/>
    <s v="CIVIL"/>
    <d v="2023-06-06T00:00:00"/>
    <d v="2023-07-12T19:01:49"/>
    <m/>
    <d v="2023-07-12T00:00:00"/>
    <n v="224"/>
    <n v="14196"/>
    <s v="60951631"/>
    <s v="60951631"/>
    <m/>
    <m/>
    <n v="22629822"/>
    <m/>
    <m/>
    <m/>
    <s v="SOLFIN"/>
    <s v="SOLFIN"/>
    <s v="CCMS"/>
    <n v="21363635"/>
    <n v="0"/>
    <m/>
    <s v="N"/>
    <n v="1"/>
    <d v="2023-07-12T19:02:07"/>
    <s v="N"/>
    <s v="NIL BILL"/>
    <s v="Public Law Children"/>
    <s v="Profit Cost"/>
    <s v="SJF"/>
    <s v="N"/>
    <n v="0"/>
    <n v="0"/>
    <x v="0"/>
    <s v="VALIDATED"/>
    <n v="1"/>
    <s v="01.11.80.308.6100.0000"/>
    <n v="0"/>
    <s v="11"/>
    <s v="6100"/>
    <n v="5266.39"/>
    <n v="0"/>
    <s v="CREDITOR"/>
    <n v="0"/>
    <n v="0"/>
    <n v="0"/>
    <n v="0"/>
    <n v="0"/>
  </r>
  <r>
    <n v="61959185"/>
    <s v="N"/>
    <n v="21349362"/>
    <s v="3000015997440005"/>
    <s v="CIVIL"/>
    <d v="2023-06-14T00:00:00"/>
    <d v="2023-07-10T19:01:40"/>
    <m/>
    <d v="2023-07-10T00:00:00"/>
    <n v="224"/>
    <n v="14196"/>
    <s v="61959185"/>
    <s v="61959185"/>
    <m/>
    <m/>
    <n v="22689080"/>
    <m/>
    <m/>
    <m/>
    <s v="SOLFIN"/>
    <s v="SOLFIN"/>
    <s v="CCMS"/>
    <n v="21349362"/>
    <n v="3197.76"/>
    <m/>
    <s v="N"/>
    <n v="11"/>
    <d v="2023-07-10T19:01:47"/>
    <s v="Y"/>
    <s v="Routine Letter Out"/>
    <s v="Care Remuneration Hourly Rates"/>
    <s v="Profit Cost"/>
    <s v="EJP"/>
    <s v="Y"/>
    <n v="114.39"/>
    <n v="22.88"/>
    <x v="2"/>
    <s v="VALIDATED"/>
    <n v="1"/>
    <s v="01.11.80.305.6100.0000"/>
    <n v="114.39"/>
    <s v="11"/>
    <s v="6100"/>
    <n v="5266.39"/>
    <n v="114.39"/>
    <s v="CREDITOR"/>
    <n v="0"/>
    <n v="0"/>
    <n v="0"/>
    <n v="0"/>
    <n v="114.39"/>
  </r>
  <r>
    <n v="61959185"/>
    <s v="N"/>
    <n v="21349362"/>
    <s v="3000015997440005"/>
    <s v="CIVIL"/>
    <d v="2023-06-14T00:00:00"/>
    <d v="2023-07-10T19:01:40"/>
    <m/>
    <d v="2023-07-10T00:00:00"/>
    <n v="224"/>
    <n v="14196"/>
    <s v="61959185"/>
    <s v="61959185"/>
    <m/>
    <m/>
    <n v="22689080"/>
    <m/>
    <m/>
    <m/>
    <s v="SOLFIN"/>
    <s v="SOLFIN"/>
    <s v="CCMS"/>
    <n v="21349362"/>
    <n v="3197.76"/>
    <m/>
    <s v="N"/>
    <n v="7"/>
    <d v="2023-07-10T19:01:47"/>
    <s v="Y"/>
    <s v="Solicitor Travel Expenses"/>
    <s v="Care Remuneration Hourly Rates"/>
    <s v="Non Expert Disbursement"/>
    <s v="SJF"/>
    <s v="Y"/>
    <n v="4.8"/>
    <n v="0.96"/>
    <x v="2"/>
    <s v="VALIDATED"/>
    <n v="1"/>
    <s v="01.11.80.305.6300.0000"/>
    <n v="4.8"/>
    <s v="11"/>
    <s v="6300"/>
    <n v="5266.39"/>
    <n v="4.8"/>
    <s v="CREDITOR"/>
    <n v="0"/>
    <n v="0"/>
    <n v="0"/>
    <n v="0"/>
    <n v="4.8"/>
  </r>
  <r>
    <n v="61700165"/>
    <s v="N"/>
    <n v="21363827"/>
    <s v="3000015789730008"/>
    <s v="CIVIL"/>
    <d v="2023-06-06T00:00:00"/>
    <d v="2023-07-12T19:01:49"/>
    <m/>
    <d v="2023-07-12T00:00:00"/>
    <n v="224"/>
    <n v="14196"/>
    <s v="61700165"/>
    <s v="61700165"/>
    <m/>
    <m/>
    <n v="22624546"/>
    <m/>
    <m/>
    <m/>
    <s v="SOLFIN"/>
    <s v="SOLFIN"/>
    <s v="CCMS"/>
    <n v="21363827"/>
    <n v="7406.34"/>
    <m/>
    <s v="N"/>
    <n v="12"/>
    <d v="2023-07-12T19:02:12"/>
    <s v="Y"/>
    <s v="Advocates Meeting"/>
    <s v="Public Law Children"/>
    <s v="Advocacy"/>
    <s v="SJF"/>
    <s v="Y"/>
    <n v="140.99"/>
    <n v="28.2"/>
    <x v="0"/>
    <s v="VALIDATED"/>
    <n v="1"/>
    <s v="01.11.80.308.6100.0000"/>
    <n v="140.99"/>
    <s v="11"/>
    <s v="6100"/>
    <n v="5266.39"/>
    <n v="140.99"/>
    <s v="CREDITOR"/>
    <n v="0"/>
    <n v="0"/>
    <n v="0"/>
    <n v="0"/>
    <n v="140.99"/>
  </r>
  <r>
    <n v="61700165"/>
    <s v="N"/>
    <n v="21363827"/>
    <s v="3000015789730008"/>
    <s v="CIVIL"/>
    <d v="2023-06-06T00:00:00"/>
    <d v="2023-07-12T19:01:49"/>
    <m/>
    <d v="2023-07-12T00:00:00"/>
    <n v="224"/>
    <n v="14196"/>
    <s v="61700165"/>
    <s v="61700165"/>
    <m/>
    <m/>
    <n v="22624546"/>
    <m/>
    <m/>
    <m/>
    <s v="SOLFIN"/>
    <s v="SOLFIN"/>
    <s v="CCMS"/>
    <n v="21363827"/>
    <n v="7406.34"/>
    <m/>
    <s v="N"/>
    <n v="14"/>
    <d v="2023-07-12T19:02:12"/>
    <s v="Y"/>
    <s v="Solicitors Fixed Fee"/>
    <s v="Public Law Children"/>
    <s v="Profit Cost"/>
    <s v="SJF"/>
    <s v="Y"/>
    <n v="3020"/>
    <n v="604"/>
    <x v="0"/>
    <s v="VALIDATED"/>
    <n v="1"/>
    <s v="01.11.80.308.6100.0000"/>
    <n v="3020"/>
    <s v="11"/>
    <s v="6100"/>
    <n v="5266.39"/>
    <n v="3020"/>
    <s v="CREDITOR"/>
    <n v="0"/>
    <n v="0"/>
    <n v="0"/>
    <n v="0"/>
    <n v="3020"/>
  </r>
  <r>
    <n v="61959185"/>
    <s v="N"/>
    <n v="21349362"/>
    <s v="3000015997440005"/>
    <s v="CIVIL"/>
    <d v="2023-06-14T00:00:00"/>
    <d v="2023-07-10T19:01:40"/>
    <m/>
    <d v="2023-07-10T00:00:00"/>
    <n v="224"/>
    <n v="14196"/>
    <s v="61959185"/>
    <s v="61959185"/>
    <m/>
    <m/>
    <n v="22689080"/>
    <m/>
    <m/>
    <m/>
    <s v="SOLFIN"/>
    <s v="SOLFIN"/>
    <s v="CCMS"/>
    <n v="21349362"/>
    <n v="3197.76"/>
    <m/>
    <s v="N"/>
    <n v="23"/>
    <d v="2023-07-10T19:01:47"/>
    <s v="Y"/>
    <s v="Hearing Unit 2.31 - 5.00 Hours"/>
    <s v="Other Public Law Children"/>
    <s v="Advocacy"/>
    <s v="SJF"/>
    <s v="Y"/>
    <n v="417.06"/>
    <n v="83.41"/>
    <x v="2"/>
    <s v="VALIDATED"/>
    <n v="1"/>
    <s v="01.11.80.305.6100.0000"/>
    <n v="417.06"/>
    <s v="11"/>
    <s v="6100"/>
    <n v="5266.39"/>
    <n v="417.06"/>
    <s v="CREDITOR"/>
    <n v="0"/>
    <n v="0"/>
    <n v="0"/>
    <n v="0"/>
    <n v="417.06"/>
  </r>
  <r>
    <n v="61700165"/>
    <s v="N"/>
    <n v="21363827"/>
    <s v="3000015789730008"/>
    <s v="CIVIL"/>
    <d v="2023-06-06T00:00:00"/>
    <d v="2023-07-12T19:01:49"/>
    <m/>
    <d v="2023-07-12T00:00:00"/>
    <n v="224"/>
    <n v="14196"/>
    <s v="61700165"/>
    <s v="61700165"/>
    <m/>
    <m/>
    <n v="22624546"/>
    <m/>
    <m/>
    <m/>
    <s v="SOLFIN"/>
    <s v="SOLFIN"/>
    <s v="CCMS"/>
    <n v="21363827"/>
    <n v="7406.34"/>
    <m/>
    <s v="N"/>
    <n v="9"/>
    <d v="2023-07-12T19:02:12"/>
    <s v="Y"/>
    <s v="Hearing Unit 2.31 - 5.00 Hours"/>
    <s v="Public Law Children"/>
    <s v="Advocacy"/>
    <s v="SRB"/>
    <s v="Y"/>
    <n v="476.92"/>
    <n v="95.38"/>
    <x v="0"/>
    <s v="VALIDATED"/>
    <n v="1"/>
    <s v="01.11.80.308.6100.0000"/>
    <n v="476.92"/>
    <s v="11"/>
    <s v="6100"/>
    <n v="5266.39"/>
    <n v="476.92"/>
    <s v="CREDITOR"/>
    <n v="0"/>
    <n v="0"/>
    <n v="0"/>
    <n v="0"/>
    <n v="476.92"/>
  </r>
  <r>
    <n v="61160778"/>
    <s v="N"/>
    <n v="21319109"/>
    <s v="3000015342950009"/>
    <s v="CIVIL"/>
    <d v="2023-06-06T00:00:00"/>
    <d v="2023-07-03T19:01:49"/>
    <m/>
    <d v="2023-07-03T00:00:00"/>
    <n v="224"/>
    <n v="14196"/>
    <s v="61160778"/>
    <s v="61160778"/>
    <m/>
    <m/>
    <n v="22633026"/>
    <m/>
    <m/>
    <m/>
    <s v="SOLFIN"/>
    <s v="SOLFIN"/>
    <s v="CCMS"/>
    <n v="21319109"/>
    <n v="6388.34"/>
    <m/>
    <s v="N"/>
    <n v="8"/>
    <d v="2023-07-03T19:02:11"/>
    <s v="Y"/>
    <s v="Solicitor Travel Expenses"/>
    <s v="Public Law Children"/>
    <s v="Non Expert Disbursement"/>
    <s v="SRB"/>
    <s v="Y"/>
    <n v="12.4"/>
    <n v="2.48"/>
    <x v="3"/>
    <s v="VALIDATED"/>
    <n v="1"/>
    <s v="01.11.80.308.6300.0000"/>
    <n v="12.4"/>
    <s v="11"/>
    <s v="6300"/>
    <n v="5266.39"/>
    <n v="12.4"/>
    <s v="CREDITOR"/>
    <n v="0"/>
    <n v="0"/>
    <n v="0"/>
    <n v="0"/>
    <n v="12.4"/>
  </r>
  <r>
    <n v="61700174"/>
    <s v="N"/>
    <n v="21360888"/>
    <s v="3000015789760001"/>
    <s v="CIVIL"/>
    <d v="2023-06-06T00:00:00"/>
    <d v="2023-07-11T19:00:25"/>
    <m/>
    <d v="2023-07-11T00:00:00"/>
    <n v="224"/>
    <n v="14196"/>
    <s v="61700174"/>
    <s v="61700174"/>
    <m/>
    <m/>
    <n v="22624350"/>
    <m/>
    <m/>
    <m/>
    <s v="SOLFIN"/>
    <s v="SOLFIN"/>
    <s v="CCMS"/>
    <n v="21360888"/>
    <n v="0"/>
    <m/>
    <s v="N"/>
    <n v="1"/>
    <d v="2023-07-11T19:00:39"/>
    <s v="N"/>
    <s v="NIL BILL"/>
    <s v="Public Law Children"/>
    <s v="Profit Cost"/>
    <s v="SJF"/>
    <s v="N"/>
    <n v="0"/>
    <n v="0"/>
    <x v="7"/>
    <s v="VALIDATED"/>
    <n v="1"/>
    <s v="01.11.80.308.6100.0000"/>
    <n v="0"/>
    <s v="11"/>
    <s v="6100"/>
    <n v="5266.39"/>
    <n v="0"/>
    <s v="CREDITOR"/>
    <n v="0"/>
    <n v="0"/>
    <n v="0"/>
    <n v="0"/>
    <n v="0"/>
  </r>
  <r>
    <n v="61959185"/>
    <s v="N"/>
    <n v="21349362"/>
    <s v="3000015997440005"/>
    <s v="CIVIL"/>
    <d v="2023-06-14T00:00:00"/>
    <d v="2023-07-10T19:01:40"/>
    <m/>
    <d v="2023-07-10T00:00:00"/>
    <n v="224"/>
    <n v="14196"/>
    <s v="61959185"/>
    <s v="61959185"/>
    <m/>
    <m/>
    <n v="22689080"/>
    <m/>
    <m/>
    <m/>
    <s v="SOLFIN"/>
    <s v="SOLFIN"/>
    <s v="CCMS"/>
    <n v="21349362"/>
    <n v="3197.76"/>
    <m/>
    <s v="N"/>
    <n v="16"/>
    <d v="2023-07-10T19:01:47"/>
    <s v="Y"/>
    <s v="Preparation - other"/>
    <s v="Care Remuneration Hourly Rates"/>
    <s v="Profit Cost"/>
    <s v="SJF"/>
    <s v="Y"/>
    <n v="67.17"/>
    <n v="13.43"/>
    <x v="2"/>
    <s v="VALIDATED"/>
    <n v="1"/>
    <s v="01.11.80.305.6100.0000"/>
    <n v="67.17"/>
    <s v="11"/>
    <s v="6100"/>
    <n v="5266.39"/>
    <n v="67.17"/>
    <s v="CREDITOR"/>
    <n v="0"/>
    <n v="0"/>
    <n v="0"/>
    <n v="0"/>
    <n v="67.17"/>
  </r>
  <r>
    <n v="61959185"/>
    <s v="N"/>
    <n v="21349362"/>
    <s v="3000015997440005"/>
    <s v="CIVIL"/>
    <d v="2023-06-14T00:00:00"/>
    <d v="2023-07-10T19:01:40"/>
    <m/>
    <d v="2023-07-10T00:00:00"/>
    <n v="224"/>
    <n v="14196"/>
    <s v="61959185"/>
    <s v="61959185"/>
    <m/>
    <m/>
    <n v="22689080"/>
    <m/>
    <m/>
    <m/>
    <s v="SOLFIN"/>
    <s v="SOLFIN"/>
    <s v="CCMS"/>
    <n v="21349362"/>
    <n v="3197.76"/>
    <m/>
    <s v="N"/>
    <n v="20"/>
    <d v="2023-07-10T19:01:47"/>
    <s v="Y"/>
    <s v="Preparation - other"/>
    <s v="Care Remuneration Hourly Rates"/>
    <s v="Profit Cost"/>
    <s v="SJF"/>
    <s v="Y"/>
    <n v="6.72"/>
    <n v="1.34"/>
    <x v="2"/>
    <s v="VALIDATED"/>
    <n v="1"/>
    <s v="01.11.80.305.6100.0000"/>
    <n v="6.72"/>
    <s v="11"/>
    <s v="6100"/>
    <n v="5266.39"/>
    <n v="6.72"/>
    <s v="CREDITOR"/>
    <n v="0"/>
    <n v="0"/>
    <n v="0"/>
    <n v="0"/>
    <n v="6.72"/>
  </r>
  <r>
    <n v="61959185"/>
    <s v="N"/>
    <n v="21349362"/>
    <s v="3000015997440005"/>
    <s v="CIVIL"/>
    <d v="2023-06-14T00:00:00"/>
    <d v="2023-07-10T19:01:40"/>
    <m/>
    <d v="2023-07-10T00:00:00"/>
    <n v="224"/>
    <n v="14196"/>
    <s v="61959185"/>
    <s v="61959185"/>
    <m/>
    <m/>
    <n v="22689080"/>
    <m/>
    <m/>
    <m/>
    <s v="SOLFIN"/>
    <s v="SOLFIN"/>
    <s v="CCMS"/>
    <n v="21349362"/>
    <n v="3197.76"/>
    <m/>
    <s v="N"/>
    <n v="25"/>
    <d v="2023-07-10T19:01:47"/>
    <s v="Y"/>
    <s v="Final Hearing - 1 Day"/>
    <s v="Other Public Law Children"/>
    <s v="Advocacy"/>
    <s v="SJF"/>
    <s v="Y"/>
    <n v="510.75"/>
    <n v="102.15"/>
    <x v="2"/>
    <s v="VALIDATED"/>
    <n v="1"/>
    <s v="01.11.80.305.6100.0000"/>
    <n v="510.75"/>
    <s v="11"/>
    <s v="6100"/>
    <n v="5266.39"/>
    <n v="510.75"/>
    <s v="CREDITOR"/>
    <n v="0"/>
    <n v="0"/>
    <n v="0"/>
    <n v="0"/>
    <n v="510.75"/>
  </r>
  <r>
    <n v="61700165"/>
    <s v="N"/>
    <n v="21363827"/>
    <s v="3000015789730008"/>
    <s v="CIVIL"/>
    <d v="2023-06-06T00:00:00"/>
    <d v="2023-07-12T19:01:49"/>
    <m/>
    <d v="2023-07-12T00:00:00"/>
    <n v="224"/>
    <n v="14196"/>
    <s v="61700165"/>
    <s v="61700165"/>
    <m/>
    <m/>
    <n v="22624546"/>
    <m/>
    <m/>
    <m/>
    <s v="SOLFIN"/>
    <s v="SOLFIN"/>
    <s v="CCMS"/>
    <n v="21363827"/>
    <n v="7406.34"/>
    <m/>
    <s v="N"/>
    <n v="5"/>
    <d v="2023-07-12T19:02:12"/>
    <s v="Y"/>
    <s v="Solicitor Travel Mileage"/>
    <s v="Public Law Children"/>
    <s v="Non Expert Disbursement"/>
    <s v="SJF"/>
    <s v="Y"/>
    <n v="10.8"/>
    <n v="2.16"/>
    <x v="0"/>
    <s v="VALIDATED"/>
    <n v="1"/>
    <s v="01.11.80.308.6300.0000"/>
    <n v="10.8"/>
    <s v="11"/>
    <s v="6300"/>
    <n v="5266.39"/>
    <n v="10.8"/>
    <s v="CREDITOR"/>
    <n v="0"/>
    <n v="0"/>
    <n v="0"/>
    <n v="0"/>
    <n v="10.8"/>
  </r>
  <r>
    <n v="61959185"/>
    <s v="N"/>
    <n v="21349362"/>
    <s v="3000015997440005"/>
    <s v="CIVIL"/>
    <d v="2023-06-14T00:00:00"/>
    <d v="2023-07-10T19:01:40"/>
    <m/>
    <d v="2023-07-10T00:00:00"/>
    <n v="224"/>
    <n v="14196"/>
    <s v="61959185"/>
    <s v="61959185"/>
    <m/>
    <m/>
    <n v="22689080"/>
    <m/>
    <m/>
    <m/>
    <s v="SOLFIN"/>
    <s v="SOLFIN"/>
    <s v="CCMS"/>
    <n v="21349362"/>
    <n v="3197.76"/>
    <m/>
    <s v="N"/>
    <n v="12"/>
    <d v="2023-07-10T19:01:47"/>
    <s v="Y"/>
    <s v="Routine Letter In"/>
    <s v="Care Remuneration Hourly Rates"/>
    <s v="Profit Cost"/>
    <s v="SJF"/>
    <s v="Y"/>
    <n v="159.56"/>
    <n v="31.91"/>
    <x v="2"/>
    <s v="VALIDATED"/>
    <n v="1"/>
    <s v="01.11.80.305.6100.0000"/>
    <n v="159.56"/>
    <s v="11"/>
    <s v="6100"/>
    <n v="5266.39"/>
    <n v="159.56"/>
    <s v="CREDITOR"/>
    <n v="0"/>
    <n v="0"/>
    <n v="0"/>
    <n v="0"/>
    <n v="159.56"/>
  </r>
  <r>
    <n v="60951667"/>
    <s v="N"/>
    <n v="21363572"/>
    <s v="3000015164520001"/>
    <s v="CIVIL"/>
    <d v="2023-06-06T00:00:00"/>
    <d v="2023-07-12T19:01:49"/>
    <m/>
    <d v="2023-07-12T00:00:00"/>
    <n v="224"/>
    <n v="14196"/>
    <s v="60951667"/>
    <s v="60951667"/>
    <m/>
    <m/>
    <n v="22629918"/>
    <m/>
    <m/>
    <m/>
    <s v="SOLFIN"/>
    <s v="SOLFIN"/>
    <s v="CCMS"/>
    <n v="21363572"/>
    <n v="0"/>
    <m/>
    <s v="N"/>
    <n v="1"/>
    <d v="2023-07-12T19:02:04"/>
    <s v="N"/>
    <s v="NIL BILL"/>
    <s v="Public Law Children"/>
    <s v="Profit Cost"/>
    <s v="SJF"/>
    <s v="N"/>
    <n v="0"/>
    <n v="0"/>
    <x v="0"/>
    <s v="VALIDATED"/>
    <n v="1"/>
    <s v="01.11.80.308.6100.0000"/>
    <n v="0"/>
    <s v="11"/>
    <s v="6100"/>
    <n v="5266.39"/>
    <n v="0"/>
    <s v="CREDITOR"/>
    <n v="0"/>
    <n v="0"/>
    <n v="0"/>
    <n v="0"/>
    <n v="0"/>
  </r>
  <r>
    <n v="61959185"/>
    <s v="N"/>
    <n v="21349362"/>
    <s v="3000015997440005"/>
    <s v="CIVIL"/>
    <d v="2023-06-14T00:00:00"/>
    <d v="2023-07-10T19:01:40"/>
    <m/>
    <d v="2023-07-10T00:00:00"/>
    <n v="224"/>
    <n v="14196"/>
    <s v="61959185"/>
    <s v="61959185"/>
    <m/>
    <m/>
    <n v="22689080"/>
    <m/>
    <m/>
    <m/>
    <s v="SOLFIN"/>
    <s v="SOLFIN"/>
    <s v="CCMS"/>
    <n v="21349362"/>
    <n v="3197.76"/>
    <m/>
    <s v="N"/>
    <n v="19"/>
    <d v="2023-07-10T19:01:47"/>
    <s v="Y"/>
    <s v="Attendance upon client"/>
    <s v="Care Remuneration Hourly Rates"/>
    <s v="Profit Cost"/>
    <s v="SJF"/>
    <s v="Y"/>
    <n v="13.43"/>
    <n v="2.69"/>
    <x v="2"/>
    <s v="VALIDATED"/>
    <n v="1"/>
    <s v="01.11.80.305.6100.0000"/>
    <n v="13.43"/>
    <s v="11"/>
    <s v="6100"/>
    <n v="5266.39"/>
    <n v="13.43"/>
    <s v="CREDITOR"/>
    <n v="0"/>
    <n v="0"/>
    <n v="0"/>
    <n v="0"/>
    <n v="13.43"/>
  </r>
  <r>
    <n v="61959185"/>
    <s v="N"/>
    <n v="21349362"/>
    <s v="3000015997440005"/>
    <s v="CIVIL"/>
    <d v="2023-06-14T00:00:00"/>
    <d v="2023-07-10T19:01:40"/>
    <m/>
    <d v="2023-07-10T00:00:00"/>
    <n v="224"/>
    <n v="14196"/>
    <s v="61959185"/>
    <s v="61959185"/>
    <m/>
    <m/>
    <n v="22689080"/>
    <m/>
    <m/>
    <m/>
    <s v="SOLFIN"/>
    <s v="SOLFIN"/>
    <s v="CCMS"/>
    <n v="21349362"/>
    <n v="3197.76"/>
    <m/>
    <s v="N"/>
    <n v="1"/>
    <d v="2023-07-10T19:01:47"/>
    <s v="Y"/>
    <s v="Interim Hearing Court Bundle/Advoca"/>
    <s v="Other Public Law Children"/>
    <s v="Advocacy"/>
    <s v="SJF"/>
    <s v="Y"/>
    <n v="59.4"/>
    <n v="11.88"/>
    <x v="2"/>
    <s v="VALIDATED"/>
    <n v="1"/>
    <s v="01.11.80.305.6100.0000"/>
    <n v="59.4"/>
    <s v="11"/>
    <s v="6100"/>
    <n v="5266.39"/>
    <n v="59.4"/>
    <s v="CREDITOR"/>
    <n v="0"/>
    <n v="0"/>
    <n v="0"/>
    <n v="0"/>
    <n v="59.4"/>
  </r>
  <r>
    <n v="61700165"/>
    <s v="N"/>
    <n v="21363827"/>
    <s v="3000015789730008"/>
    <s v="CIVIL"/>
    <d v="2023-06-06T00:00:00"/>
    <d v="2023-07-12T19:01:49"/>
    <m/>
    <d v="2023-07-12T00:00:00"/>
    <n v="224"/>
    <n v="14196"/>
    <s v="61700165"/>
    <s v="61700165"/>
    <m/>
    <m/>
    <n v="22624546"/>
    <m/>
    <m/>
    <m/>
    <s v="SOLFIN"/>
    <s v="SOLFIN"/>
    <s v="CCMS"/>
    <n v="21363827"/>
    <n v="7406.34"/>
    <m/>
    <s v="N"/>
    <n v="11"/>
    <d v="2023-07-12T19:02:12"/>
    <s v="Y"/>
    <s v="Final Hearing - 1 Day"/>
    <s v="Public Law Children"/>
    <s v="Advocacy"/>
    <s v="SJF"/>
    <s v="Y"/>
    <n v="556.88"/>
    <n v="111.38"/>
    <x v="0"/>
    <s v="VALIDATED"/>
    <n v="1"/>
    <s v="01.11.80.308.6100.0000"/>
    <n v="556.88"/>
    <s v="11"/>
    <s v="6100"/>
    <n v="5266.39"/>
    <n v="556.88"/>
    <s v="CREDITOR"/>
    <n v="0"/>
    <n v="0"/>
    <n v="0"/>
    <n v="0"/>
    <n v="556.88"/>
  </r>
  <r>
    <n v="60951644"/>
    <s v="N"/>
    <n v="21363628"/>
    <s v="3000015164450001"/>
    <s v="CIVIL"/>
    <d v="2023-06-06T00:00:00"/>
    <d v="2023-07-12T19:01:49"/>
    <m/>
    <d v="2023-07-12T00:00:00"/>
    <n v="224"/>
    <n v="14196"/>
    <s v="60951644"/>
    <s v="60951644"/>
    <m/>
    <m/>
    <n v="22629874"/>
    <m/>
    <m/>
    <m/>
    <s v="SOLFIN"/>
    <s v="SOLFIN"/>
    <s v="CCMS"/>
    <n v="21363628"/>
    <n v="0"/>
    <m/>
    <s v="N"/>
    <n v="1"/>
    <d v="2023-07-12T19:02:06"/>
    <s v="N"/>
    <s v="NIL BILL"/>
    <s v="Public Law Children"/>
    <s v="Profit Cost"/>
    <s v="SJF"/>
    <s v="N"/>
    <n v="0"/>
    <n v="0"/>
    <x v="0"/>
    <s v="VALIDATED"/>
    <n v="1"/>
    <s v="01.11.80.308.6100.0000"/>
    <n v="0"/>
    <s v="11"/>
    <s v="6100"/>
    <n v="5266.39"/>
    <n v="0"/>
    <s v="CREDITOR"/>
    <n v="0"/>
    <n v="0"/>
    <n v="0"/>
    <n v="0"/>
    <n v="0"/>
  </r>
  <r>
    <n v="62316201"/>
    <s v="N"/>
    <n v="21323323"/>
    <s v="3000016304960002"/>
    <s v="CIVIL"/>
    <d v="2023-06-30T00:00:00"/>
    <d v="2023-07-03T19:05:56"/>
    <m/>
    <d v="2023-07-03T00:00:00"/>
    <n v="225"/>
    <n v="14196"/>
    <s v="62316201"/>
    <s v="62316201"/>
    <m/>
    <m/>
    <n v="22795968"/>
    <m/>
    <m/>
    <m/>
    <s v="SOLPOA"/>
    <s v="SOLPOA"/>
    <s v="CCMS"/>
    <n v="21323323"/>
    <n v="23.76"/>
    <m/>
    <s v="N"/>
    <n v="1"/>
    <d v="2023-07-03T19:05:56"/>
    <s v="N"/>
    <s v="Non Expert Disbursement"/>
    <s v="Non Expert Disbursement"/>
    <s v="Non Expert Disbursement"/>
    <s v="SRB"/>
    <s v="N"/>
    <n v="19.8"/>
    <n v="3.96"/>
    <x v="3"/>
    <s v="VALIDATED"/>
    <n v="1"/>
    <s v="01.11.80.308.2012.0000"/>
    <n v="19.8"/>
    <s v="11"/>
    <s v="2012"/>
    <n v="619.98"/>
    <n v="19.8"/>
    <s v="CREDITOR"/>
    <n v="19.8"/>
    <n v="0"/>
    <n v="0"/>
    <n v="0"/>
    <n v="0"/>
  </r>
  <r>
    <n v="61959493"/>
    <s v="N"/>
    <n v="21323336"/>
    <s v="3000015998940004"/>
    <s v="CIVIL"/>
    <d v="2023-06-30T00:00:00"/>
    <d v="2023-07-03T19:05:56"/>
    <m/>
    <d v="2023-07-03T00:00:00"/>
    <n v="225"/>
    <n v="14196"/>
    <s v="61959493"/>
    <s v="61959493"/>
    <m/>
    <m/>
    <n v="22795896"/>
    <m/>
    <m/>
    <m/>
    <s v="SOLPOA"/>
    <s v="SOLPOA"/>
    <s v="CCMS"/>
    <n v="21323336"/>
    <n v="23.76"/>
    <m/>
    <s v="N"/>
    <n v="1"/>
    <d v="2023-07-03T19:05:56"/>
    <s v="N"/>
    <s v="Non Expert Disbursement"/>
    <s v="Non Expert Disbursement"/>
    <s v="Non Expert Disbursement"/>
    <s v="SRB"/>
    <s v="N"/>
    <n v="19.8"/>
    <n v="3.96"/>
    <x v="3"/>
    <s v="VALIDATED"/>
    <n v="1"/>
    <s v="01.11.80.305.2012.0000"/>
    <n v="19.8"/>
    <s v="11"/>
    <s v="2012"/>
    <n v="619.98"/>
    <n v="19.8"/>
    <s v="CREDITOR"/>
    <n v="19.8"/>
    <n v="0"/>
    <n v="0"/>
    <n v="0"/>
    <n v="0"/>
  </r>
  <r>
    <n v="61847268"/>
    <s v="N"/>
    <n v="21323349"/>
    <s v="3000015905640010"/>
    <s v="CIVIL"/>
    <d v="2023-06-30T00:00:00"/>
    <d v="2023-07-03T19:05:56"/>
    <m/>
    <d v="2023-07-03T00:00:00"/>
    <n v="225"/>
    <n v="14196"/>
    <s v="61847268"/>
    <s v="61847268"/>
    <m/>
    <m/>
    <n v="22796170"/>
    <m/>
    <m/>
    <m/>
    <s v="SOLPOA"/>
    <s v="SOLPOA"/>
    <s v="CCMS"/>
    <n v="21323349"/>
    <n v="9.84"/>
    <m/>
    <s v="N"/>
    <n v="1"/>
    <d v="2023-07-03T19:05:56"/>
    <s v="N"/>
    <s v="Non Expert Disbursement"/>
    <s v="Non Expert Disbursement"/>
    <s v="Non Expert Disbursement"/>
    <s v="SRB"/>
    <s v="N"/>
    <n v="8.199999999999999"/>
    <n v="1.64"/>
    <x v="3"/>
    <s v="VALIDATED"/>
    <n v="1"/>
    <s v="01.11.80.308.2012.0000"/>
    <n v="8.199999999999999"/>
    <s v="11"/>
    <s v="2012"/>
    <n v="619.98"/>
    <n v="8.199999999999999"/>
    <s v="CREDITOR"/>
    <n v="8.199999999999999"/>
    <n v="0"/>
    <n v="0"/>
    <n v="0"/>
    <n v="0"/>
  </r>
  <r>
    <n v="61908798"/>
    <s v="N"/>
    <n v="21323364"/>
    <s v="3000015960840002"/>
    <s v="CIVIL"/>
    <d v="2023-06-30T00:00:00"/>
    <d v="2023-07-03T19:05:56"/>
    <m/>
    <d v="2023-07-03T00:00:00"/>
    <n v="225"/>
    <n v="14196"/>
    <s v="61908798"/>
    <s v="61908798"/>
    <m/>
    <m/>
    <n v="22795226"/>
    <m/>
    <m/>
    <m/>
    <s v="SOLPOA"/>
    <s v="SOLPOA"/>
    <s v="CCMS"/>
    <n v="21323364"/>
    <n v="33"/>
    <m/>
    <s v="N"/>
    <n v="1"/>
    <d v="2023-07-03T19:05:56"/>
    <s v="N"/>
    <s v="Expert Cost"/>
    <s v="Expert Cost"/>
    <s v="Expert Disbursement"/>
    <s v="TZW"/>
    <s v="N"/>
    <n v="27.5"/>
    <n v="5.5"/>
    <x v="3"/>
    <s v="VALIDATED"/>
    <n v="1"/>
    <s v="01.11.80.308.2012.0000"/>
    <n v="27.5"/>
    <s v="11"/>
    <s v="2012"/>
    <n v="619.98"/>
    <n v="27.5"/>
    <s v="CREDITOR"/>
    <n v="27.5"/>
    <n v="0"/>
    <n v="0"/>
    <n v="0"/>
    <n v="0"/>
  </r>
  <r>
    <n v="62175236"/>
    <s v="N"/>
    <n v="21323707"/>
    <s v="3000016175920004"/>
    <s v="CIVIL"/>
    <d v="2023-06-30T00:00:00"/>
    <d v="2023-07-03T19:05:56"/>
    <m/>
    <d v="2023-07-03T00:00:00"/>
    <n v="225"/>
    <n v="14196"/>
    <s v="62175236"/>
    <s v="62175236"/>
    <m/>
    <m/>
    <n v="22795136"/>
    <m/>
    <m/>
    <m/>
    <s v="SOLPOA"/>
    <s v="SOLPOA"/>
    <s v="CCMS"/>
    <n v="21323707"/>
    <n v="615.7"/>
    <m/>
    <s v="N"/>
    <n v="1"/>
    <d v="2023-07-03T19:05:58"/>
    <s v="N"/>
    <s v="Expert Cost"/>
    <s v="Expert Cost"/>
    <s v="Expert Disbursement"/>
    <s v="TZW"/>
    <s v="N"/>
    <n v="513.08"/>
    <n v="102.62"/>
    <x v="3"/>
    <s v="VALIDATED"/>
    <n v="1"/>
    <s v="01.11.80.308.2012.0000"/>
    <n v="513.08"/>
    <s v="11"/>
    <s v="2012"/>
    <n v="619.98"/>
    <n v="513.08"/>
    <s v="CREDITOR"/>
    <n v="513.08"/>
    <n v="0"/>
    <n v="0"/>
    <n v="0"/>
    <n v="0"/>
  </r>
  <r>
    <n v="61847268"/>
    <s v="N"/>
    <n v="21323268"/>
    <s v="3000015905640009"/>
    <s v="CIVIL"/>
    <d v="2023-06-30T00:00:00"/>
    <d v="2023-07-03T19:05:56"/>
    <m/>
    <d v="2023-07-03T00:00:00"/>
    <n v="225"/>
    <n v="14196"/>
    <s v="61847268"/>
    <s v="61847268"/>
    <m/>
    <m/>
    <n v="22796198"/>
    <m/>
    <m/>
    <m/>
    <s v="SOLPOA"/>
    <s v="SOLPOA"/>
    <s v="CCMS"/>
    <n v="21323268"/>
    <n v="23.76"/>
    <m/>
    <s v="N"/>
    <n v="1"/>
    <d v="2023-07-03T19:05:56"/>
    <s v="N"/>
    <s v="Non Expert Disbursement"/>
    <s v="Non Expert Disbursement"/>
    <s v="Non Expert Disbursement"/>
    <s v="SRB"/>
    <s v="N"/>
    <n v="19.8"/>
    <n v="3.96"/>
    <x v="3"/>
    <s v="VALIDATED"/>
    <n v="1"/>
    <s v="01.11.80.308.2012.0000"/>
    <n v="19.8"/>
    <s v="11"/>
    <s v="2012"/>
    <n v="619.98"/>
    <n v="19.8"/>
    <s v="CREDITOR"/>
    <n v="19.8"/>
    <n v="0"/>
    <n v="0"/>
    <n v="0"/>
    <n v="0"/>
  </r>
  <r>
    <n v="61959493"/>
    <s v="N"/>
    <n v="21323283"/>
    <s v="3000015998940003"/>
    <s v="CIVIL"/>
    <d v="2023-06-30T00:00:00"/>
    <d v="2023-07-03T19:05:56"/>
    <m/>
    <d v="2023-07-03T00:00:00"/>
    <n v="225"/>
    <n v="14196"/>
    <s v="61959493"/>
    <s v="61959493"/>
    <m/>
    <m/>
    <n v="22795876"/>
    <m/>
    <m/>
    <m/>
    <s v="SOLPOA"/>
    <s v="SOLPOA"/>
    <s v="CCMS"/>
    <n v="21323283"/>
    <n v="4.32"/>
    <m/>
    <s v="N"/>
    <n v="1"/>
    <d v="2023-07-03T19:05:56"/>
    <s v="N"/>
    <s v="Non Expert Disbursement"/>
    <s v="Non Expert Disbursement"/>
    <s v="Non Expert Disbursement"/>
    <s v="SRB"/>
    <s v="N"/>
    <n v="3.6"/>
    <n v="0.72"/>
    <x v="3"/>
    <s v="VALIDATED"/>
    <n v="1"/>
    <s v="01.11.80.305.2012.0000"/>
    <n v="3.6"/>
    <s v="11"/>
    <s v="2012"/>
    <n v="619.98"/>
    <n v="3.6"/>
    <s v="CREDITOR"/>
    <n v="3.6"/>
    <n v="0"/>
    <n v="0"/>
    <n v="0"/>
    <n v="0"/>
  </r>
  <r>
    <n v="62316201"/>
    <s v="N"/>
    <n v="21323316"/>
    <s v="3000016304960001"/>
    <s v="CIVIL"/>
    <d v="2023-06-30T00:00:00"/>
    <d v="2023-07-03T19:05:56"/>
    <m/>
    <d v="2023-07-03T00:00:00"/>
    <n v="225"/>
    <n v="14196"/>
    <s v="62316201"/>
    <s v="62316201"/>
    <m/>
    <m/>
    <n v="22795978"/>
    <m/>
    <m/>
    <m/>
    <s v="SOLPOA"/>
    <s v="SOLPOA"/>
    <s v="CCMS"/>
    <n v="21323316"/>
    <n v="9.84"/>
    <m/>
    <s v="N"/>
    <n v="1"/>
    <d v="2023-07-03T19:05:56"/>
    <s v="N"/>
    <s v="Non Expert Disbursement"/>
    <s v="Non Expert Disbursement"/>
    <s v="Non Expert Disbursement"/>
    <s v="SRB"/>
    <s v="N"/>
    <n v="8.199999999999999"/>
    <n v="1.64"/>
    <x v="3"/>
    <s v="VALIDATED"/>
    <n v="1"/>
    <s v="01.11.80.308.2012.0000"/>
    <n v="8.199999999999999"/>
    <s v="11"/>
    <s v="2012"/>
    <n v="619.98"/>
    <n v="8.199999999999999"/>
    <s v="CREDITOR"/>
    <n v="8.199999999999999"/>
    <n v="0"/>
    <n v="0"/>
    <n v="0"/>
    <n v="0"/>
  </r>
  <r>
    <n v="11608450"/>
    <s v="N"/>
    <n v="21327971"/>
    <s v="3000007002310005"/>
    <s v="CIVIL"/>
    <d v="2023-06-26T00:00:00"/>
    <d v="2023-07-04T19:00:44"/>
    <m/>
    <d v="2023-07-04T00:00:00"/>
    <n v="233"/>
    <n v="14219"/>
    <s v="11608450"/>
    <s v="11608450"/>
    <m/>
    <m/>
    <n v="22764408"/>
    <m/>
    <m/>
    <m/>
    <s v="SOLFIN"/>
    <s v="SOLFIN"/>
    <s v="CCMS"/>
    <n v="21327971"/>
    <n v="12677.55"/>
    <m/>
    <s v="N"/>
    <n v="5"/>
    <d v="2023-07-04T19:01:00"/>
    <s v="Y"/>
    <s v="Preparation - drafting consent orde"/>
    <s v="Prescribed Hourly Rates"/>
    <s v="Profit Cost"/>
    <s v="SJ"/>
    <s v="Y"/>
    <n v="31.57"/>
    <n v="6.31"/>
    <x v="1"/>
    <s v="VALIDATED"/>
    <n v="1"/>
    <s v="01.11.80.307.6100.0000"/>
    <n v="31.57"/>
    <s v="11"/>
    <s v="6100"/>
    <n v="24664.06"/>
    <n v="31.57"/>
    <s v="CREDITOR"/>
    <n v="0"/>
    <n v="0"/>
    <n v="0"/>
    <n v="0"/>
    <n v="31.57"/>
  </r>
  <r>
    <n v="11608450"/>
    <s v="N"/>
    <n v="21327971"/>
    <s v="3000007002310005"/>
    <s v="CIVIL"/>
    <d v="2023-06-26T00:00:00"/>
    <d v="2023-07-04T19:00:44"/>
    <m/>
    <d v="2023-07-04T00:00:00"/>
    <n v="233"/>
    <n v="14219"/>
    <s v="11608450"/>
    <s v="11608450"/>
    <m/>
    <m/>
    <n v="22764408"/>
    <m/>
    <m/>
    <m/>
    <s v="SOLFIN"/>
    <s v="SOLFIN"/>
    <s v="CCMS"/>
    <n v="21327971"/>
    <n v="12677.55"/>
    <m/>
    <s v="N"/>
    <n v="2"/>
    <d v="2023-07-04T19:01:00"/>
    <s v="Y"/>
    <s v="Preparation - drafting instructions"/>
    <s v="Prescribed Hourly Rates"/>
    <s v="Profit Cost"/>
    <s v="SJ"/>
    <s v="Y"/>
    <n v="31.57"/>
    <n v="6.31"/>
    <x v="1"/>
    <s v="VALIDATED"/>
    <n v="1"/>
    <s v="01.11.80.307.6100.0000"/>
    <n v="31.57"/>
    <s v="11"/>
    <s v="6100"/>
    <n v="24664.06"/>
    <n v="31.57"/>
    <s v="CREDITOR"/>
    <n v="0"/>
    <n v="0"/>
    <n v="0"/>
    <n v="0"/>
    <n v="31.57"/>
  </r>
  <r>
    <n v="11608450"/>
    <s v="N"/>
    <n v="21327971"/>
    <s v="3000007002310005"/>
    <s v="CIVIL"/>
    <d v="2023-06-26T00:00:00"/>
    <d v="2023-07-04T19:00:44"/>
    <m/>
    <d v="2023-07-04T00:00:00"/>
    <n v="233"/>
    <n v="14219"/>
    <s v="11608450"/>
    <s v="11608450"/>
    <m/>
    <m/>
    <n v="22764408"/>
    <m/>
    <m/>
    <m/>
    <s v="SOLFIN"/>
    <s v="SOLFIN"/>
    <s v="CCMS"/>
    <n v="21327971"/>
    <n v="12677.55"/>
    <m/>
    <s v="N"/>
    <n v="29"/>
    <d v="2023-07-04T19:01:00"/>
    <s v="Y"/>
    <s v="Preparation - drafting statement"/>
    <s v="Prescribed Hourly Rates"/>
    <s v="Profit Cost"/>
    <s v="SJ"/>
    <s v="Y"/>
    <n v="37.88"/>
    <n v="7.58"/>
    <x v="1"/>
    <s v="VALIDATED"/>
    <n v="1"/>
    <s v="01.11.80.307.6100.0000"/>
    <n v="37.88"/>
    <s v="11"/>
    <s v="6100"/>
    <n v="24664.06"/>
    <n v="37.88"/>
    <s v="CREDITOR"/>
    <n v="0"/>
    <n v="0"/>
    <n v="0"/>
    <n v="0"/>
    <n v="37.88"/>
  </r>
  <r>
    <n v="62315396"/>
    <s v="N"/>
    <n v="21321169"/>
    <s v="3000016304480001"/>
    <s v="CIVIL"/>
    <d v="2023-06-28T00:00:00"/>
    <d v="2023-07-03T19:04:52"/>
    <m/>
    <d v="2023-07-03T00:00:00"/>
    <n v="233"/>
    <n v="14219"/>
    <s v="62315396"/>
    <s v="62315396"/>
    <m/>
    <m/>
    <n v="22778390"/>
    <m/>
    <m/>
    <m/>
    <s v="SOLPOA"/>
    <s v="SOLPOA"/>
    <s v="CCMS"/>
    <n v="21321169"/>
    <n v="232"/>
    <m/>
    <s v="N"/>
    <n v="1"/>
    <d v="2023-07-03T19:04:58"/>
    <s v="N"/>
    <s v="Non Expert Disbursement - Private L"/>
    <s v="Non Expert Disbursement - Priv"/>
    <s v="Non Expert Disbursement"/>
    <s v="Samantha Jeanes"/>
    <s v="N"/>
    <n v="232"/>
    <n v="0"/>
    <x v="3"/>
    <s v="VALIDATED"/>
    <n v="1"/>
    <s v="01.11.80.307.2012.0000"/>
    <n v="232"/>
    <s v="11"/>
    <s v="2012"/>
    <n v="24664.06"/>
    <n v="232"/>
    <s v="CREDITOR"/>
    <n v="232"/>
    <n v="0"/>
    <n v="0"/>
    <n v="0"/>
    <n v="0"/>
  </r>
  <r>
    <n v="11608450"/>
    <s v="N"/>
    <n v="21327971"/>
    <s v="3000007002310005"/>
    <s v="CIVIL"/>
    <d v="2023-06-26T00:00:00"/>
    <d v="2023-07-04T19:00:44"/>
    <m/>
    <d v="2023-07-04T00:00:00"/>
    <n v="233"/>
    <n v="14219"/>
    <s v="11608450"/>
    <s v="11608450"/>
    <m/>
    <m/>
    <n v="22764408"/>
    <m/>
    <m/>
    <m/>
    <s v="SOLFIN"/>
    <s v="SOLFIN"/>
    <s v="CCMS"/>
    <n v="21327971"/>
    <n v="12677.55"/>
    <m/>
    <s v="N"/>
    <n v="11"/>
    <d v="2023-07-04T19:01:00"/>
    <s v="Y"/>
    <s v="Waiting at court"/>
    <s v="Prescribed Hourly Rates"/>
    <s v="Profit Cost"/>
    <s v="SJ"/>
    <s v="Y"/>
    <n v="12.83"/>
    <n v="2.57"/>
    <x v="1"/>
    <s v="VALIDATED"/>
    <n v="1"/>
    <s v="01.11.80.307.6100.0000"/>
    <n v="12.83"/>
    <s v="11"/>
    <s v="6100"/>
    <n v="24664.06"/>
    <n v="12.83"/>
    <s v="CREDITOR"/>
    <n v="0"/>
    <n v="0"/>
    <n v="0"/>
    <n v="0"/>
    <n v="12.83"/>
  </r>
  <r>
    <n v="11608450"/>
    <s v="N"/>
    <n v="21327971"/>
    <s v="3000007002310005"/>
    <s v="CIVIL"/>
    <d v="2023-06-26T00:00:00"/>
    <d v="2023-07-04T19:00:44"/>
    <m/>
    <d v="2023-07-04T00:00:00"/>
    <n v="233"/>
    <n v="14219"/>
    <s v="11608450"/>
    <s v="11608450"/>
    <m/>
    <m/>
    <n v="22764408"/>
    <m/>
    <m/>
    <m/>
    <s v="SOLFIN"/>
    <s v="SOLFIN"/>
    <s v="CCMS"/>
    <n v="21327971"/>
    <n v="12677.55"/>
    <m/>
    <s v="N"/>
    <n v="21"/>
    <d v="2023-07-04T19:01:00"/>
    <s v="Y"/>
    <s v="Preparation - drafting application"/>
    <s v="Prescribed Hourly Rates"/>
    <s v="Profit Cost"/>
    <s v="SJ"/>
    <s v="Y"/>
    <n v="31.57"/>
    <n v="6.31"/>
    <x v="1"/>
    <s v="VALIDATED"/>
    <n v="1"/>
    <s v="01.11.80.307.6100.0000"/>
    <n v="31.57"/>
    <s v="11"/>
    <s v="6100"/>
    <n v="24664.06"/>
    <n v="31.57"/>
    <s v="CREDITOR"/>
    <n v="0"/>
    <n v="0"/>
    <n v="0"/>
    <n v="0"/>
    <n v="31.57"/>
  </r>
  <r>
    <n v="61508975"/>
    <s v="N"/>
    <n v="21330531"/>
    <s v="3000015631530006"/>
    <s v="CIVIL"/>
    <d v="2023-06-27T00:00:00"/>
    <d v="2023-07-05T19:01:47"/>
    <m/>
    <d v="2023-07-05T00:00:00"/>
    <n v="233"/>
    <n v="14219"/>
    <s v="61508975"/>
    <s v="61508975"/>
    <m/>
    <m/>
    <n v="22768948"/>
    <m/>
    <m/>
    <m/>
    <s v="SOLFIN"/>
    <s v="SOLFIN"/>
    <s v="CCMS"/>
    <n v="21330531"/>
    <n v="3823.01"/>
    <m/>
    <s v="N"/>
    <n v="3"/>
    <d v="2023-07-05T19:01:50"/>
    <s v="Y"/>
    <s v="Toxicologist"/>
    <s v="Public Law Children"/>
    <s v="Expert Disbursement"/>
    <s v="KB"/>
    <s v="Y"/>
    <n v="144.67"/>
    <n v="28.93"/>
    <x v="6"/>
    <s v="VALIDATED"/>
    <n v="1"/>
    <s v="01.11.80.308.6300.0000"/>
    <n v="144.67"/>
    <s v="11"/>
    <s v="6300"/>
    <n v="24664.06"/>
    <n v="144.67"/>
    <s v="CREDITOR"/>
    <n v="0"/>
    <n v="0"/>
    <n v="0"/>
    <n v="0"/>
    <n v="144.67"/>
  </r>
  <r>
    <n v="11608450"/>
    <s v="N"/>
    <n v="21327971"/>
    <s v="3000007002310005"/>
    <s v="CIVIL"/>
    <d v="2023-06-26T00:00:00"/>
    <d v="2023-07-04T19:00:44"/>
    <m/>
    <d v="2023-07-04T00:00:00"/>
    <n v="233"/>
    <n v="14219"/>
    <s v="11608450"/>
    <s v="11608450"/>
    <m/>
    <m/>
    <n v="22764408"/>
    <m/>
    <m/>
    <m/>
    <s v="SOLFIN"/>
    <s v="SOLFIN"/>
    <s v="CCMS"/>
    <n v="21327971"/>
    <n v="12677.55"/>
    <m/>
    <s v="N"/>
    <n v="34"/>
    <d v="2023-07-04T19:01:00"/>
    <s v="Y"/>
    <s v="Preparation - drafting instructions"/>
    <s v="Prescribed Hourly Rates"/>
    <s v="Profit Cost"/>
    <s v="SJ"/>
    <s v="Y"/>
    <n v="37.88"/>
    <n v="7.58"/>
    <x v="1"/>
    <s v="VALIDATED"/>
    <n v="1"/>
    <s v="01.11.80.307.6100.0000"/>
    <n v="37.88"/>
    <s v="11"/>
    <s v="6100"/>
    <n v="24664.06"/>
    <n v="37.88"/>
    <s v="CREDITOR"/>
    <n v="0"/>
    <n v="0"/>
    <n v="0"/>
    <n v="0"/>
    <n v="37.88"/>
  </r>
  <r>
    <n v="59908479"/>
    <s v="N"/>
    <n v="21343950"/>
    <s v="3000014264970015"/>
    <s v="CIVIL"/>
    <d v="2023-06-27T00:00:00"/>
    <d v="2023-07-07T19:03:00"/>
    <m/>
    <d v="2023-07-07T00:00:00"/>
    <n v="233"/>
    <n v="14219"/>
    <s v="59908479"/>
    <s v="59908479"/>
    <m/>
    <m/>
    <n v="22769606"/>
    <m/>
    <m/>
    <m/>
    <s v="SOLFIN"/>
    <s v="SOLFIN"/>
    <s v="CCMS"/>
    <n v="21343950"/>
    <n v="4295.5"/>
    <m/>
    <s v="N"/>
    <n v="2"/>
    <d v="2023-07-07T19:03:18"/>
    <s v="Y"/>
    <s v="Court Fee"/>
    <s v="Public Law Children"/>
    <s v="Non Expert Disbursement"/>
    <s v="SJ"/>
    <s v="Y"/>
    <n v="167"/>
    <n v="0"/>
    <x v="9"/>
    <s v="VALIDATED"/>
    <n v="1"/>
    <s v="01.11.80.308.6300.0000"/>
    <n v="167"/>
    <s v="11"/>
    <s v="6300"/>
    <n v="24664.06"/>
    <n v="167"/>
    <s v="CREDITOR"/>
    <n v="0"/>
    <n v="0"/>
    <n v="0"/>
    <n v="0"/>
    <n v="167"/>
  </r>
  <r>
    <n v="11608450"/>
    <s v="N"/>
    <n v="21327971"/>
    <s v="3000007002310005"/>
    <s v="CIVIL"/>
    <d v="2023-06-26T00:00:00"/>
    <d v="2023-07-04T19:00:44"/>
    <m/>
    <d v="2023-07-04T00:00:00"/>
    <n v="233"/>
    <n v="14219"/>
    <s v="11608450"/>
    <s v="11608450"/>
    <m/>
    <m/>
    <n v="22764408"/>
    <m/>
    <m/>
    <m/>
    <s v="SOLFIN"/>
    <s v="SOLFIN"/>
    <s v="CCMS"/>
    <n v="21327971"/>
    <n v="12677.55"/>
    <m/>
    <s v="N"/>
    <n v="27"/>
    <d v="2023-07-04T19:01:00"/>
    <s v="Y"/>
    <s v="Preparation - drafting application"/>
    <s v="Prescribed Hourly Rates"/>
    <s v="Profit Cost"/>
    <s v="SJ"/>
    <s v="Y"/>
    <n v="31.57"/>
    <n v="6.31"/>
    <x v="1"/>
    <s v="VALIDATED"/>
    <n v="1"/>
    <s v="01.11.80.307.6100.0000"/>
    <n v="31.57"/>
    <s v="11"/>
    <s v="6100"/>
    <n v="24664.06"/>
    <n v="31.57"/>
    <s v="CREDITOR"/>
    <n v="0"/>
    <n v="0"/>
    <n v="0"/>
    <n v="0"/>
    <n v="31.57"/>
  </r>
  <r>
    <n v="11608450"/>
    <s v="N"/>
    <n v="21327971"/>
    <s v="3000007002310005"/>
    <s v="CIVIL"/>
    <d v="2023-06-26T00:00:00"/>
    <d v="2023-07-04T19:00:44"/>
    <m/>
    <d v="2023-07-04T00:00:00"/>
    <n v="233"/>
    <n v="14219"/>
    <s v="11608450"/>
    <s v="11608450"/>
    <m/>
    <m/>
    <n v="22764408"/>
    <m/>
    <m/>
    <m/>
    <s v="SOLFIN"/>
    <s v="SOLFIN"/>
    <s v="CCMS"/>
    <n v="21327971"/>
    <n v="12677.55"/>
    <m/>
    <s v="N"/>
    <n v="30"/>
    <d v="2023-07-04T19:01:00"/>
    <s v="Y"/>
    <s v="Routine Letter Out"/>
    <s v="Prescribed Hourly Rates"/>
    <s v="Profit Cost"/>
    <s v="KB"/>
    <s v="Y"/>
    <n v="86.40000000000001"/>
    <n v="17.28"/>
    <x v="1"/>
    <s v="VALIDATED"/>
    <n v="1"/>
    <s v="01.11.80.307.6100.0000"/>
    <n v="86.40000000000001"/>
    <s v="11"/>
    <s v="6100"/>
    <n v="24664.06"/>
    <n v="86.40000000000001"/>
    <s v="CREDITOR"/>
    <n v="0"/>
    <n v="0"/>
    <n v="0"/>
    <n v="0"/>
    <n v="86.40000000000001"/>
  </r>
  <r>
    <n v="11608450"/>
    <s v="N"/>
    <n v="21327971"/>
    <s v="3000007002310005"/>
    <s v="CIVIL"/>
    <d v="2023-06-26T00:00:00"/>
    <d v="2023-07-04T19:00:44"/>
    <m/>
    <d v="2023-07-04T00:00:00"/>
    <n v="233"/>
    <n v="14219"/>
    <s v="11608450"/>
    <s v="11608450"/>
    <m/>
    <m/>
    <n v="22764408"/>
    <m/>
    <m/>
    <m/>
    <s v="SOLFIN"/>
    <s v="SOLFIN"/>
    <s v="CCMS"/>
    <n v="21327971"/>
    <n v="12677.55"/>
    <m/>
    <s v="N"/>
    <n v="28"/>
    <d v="2023-07-04T19:01:00"/>
    <s v="Y"/>
    <s v="Routine Letter In"/>
    <s v="Prescribed Hourly Rates"/>
    <s v="Profit Cost"/>
    <s v="SJ"/>
    <s v="Y"/>
    <n v="388.13"/>
    <n v="77.63"/>
    <x v="1"/>
    <s v="VALIDATED"/>
    <n v="1"/>
    <s v="01.11.80.307.6100.0000"/>
    <n v="388.13"/>
    <s v="11"/>
    <s v="6100"/>
    <n v="24664.06"/>
    <n v="388.13"/>
    <s v="CREDITOR"/>
    <n v="0"/>
    <n v="0"/>
    <n v="0"/>
    <n v="0"/>
    <n v="388.13"/>
  </r>
  <r>
    <n v="11608450"/>
    <s v="N"/>
    <n v="21327971"/>
    <s v="3000007002310005"/>
    <s v="CIVIL"/>
    <d v="2023-06-26T00:00:00"/>
    <d v="2023-07-04T19:00:44"/>
    <m/>
    <d v="2023-07-04T00:00:00"/>
    <n v="233"/>
    <n v="14219"/>
    <s v="11608450"/>
    <s v="11608450"/>
    <m/>
    <m/>
    <n v="22764408"/>
    <m/>
    <m/>
    <m/>
    <s v="SOLFIN"/>
    <s v="SOLFIN"/>
    <s v="CCMS"/>
    <n v="21327971"/>
    <n v="12677.55"/>
    <m/>
    <s v="N"/>
    <n v="38"/>
    <d v="2023-07-04T19:01:00"/>
    <s v="Y"/>
    <s v="Court Fee"/>
    <s v="Prescribed Hourly Rates"/>
    <s v="Non Expert Disbursement"/>
    <s v="SJ"/>
    <s v="Y"/>
    <n v="155"/>
    <n v="0"/>
    <x v="1"/>
    <s v="VALIDATED"/>
    <n v="1"/>
    <s v="01.11.80.307.6300.0000"/>
    <n v="155"/>
    <s v="11"/>
    <s v="6300"/>
    <n v="24664.06"/>
    <n v="155"/>
    <s v="CREDITOR"/>
    <n v="0"/>
    <n v="0"/>
    <n v="0"/>
    <n v="0"/>
    <n v="155"/>
  </r>
  <r>
    <n v="59876978"/>
    <s v="N"/>
    <n v="21343986"/>
    <s v="3000014236980001"/>
    <s v="CIVIL"/>
    <d v="2023-06-29T00:00:00"/>
    <d v="2023-07-07T19:03:00"/>
    <m/>
    <d v="2023-07-07T00:00:00"/>
    <n v="233"/>
    <n v="14219"/>
    <s v="59876978"/>
    <s v="59876978"/>
    <m/>
    <m/>
    <n v="22785198"/>
    <m/>
    <m/>
    <m/>
    <s v="SOLFIN"/>
    <s v="SOLFIN"/>
    <s v="CCMS"/>
    <n v="21343986"/>
    <n v="0"/>
    <m/>
    <s v="N"/>
    <n v="1"/>
    <d v="2023-07-07T19:03:19"/>
    <s v="N"/>
    <s v="NIL BILL"/>
    <s v="Public Law Children"/>
    <s v="Profit Cost"/>
    <s v="NJH"/>
    <s v="N"/>
    <n v="0"/>
    <n v="0"/>
    <x v="9"/>
    <s v="VALIDATED"/>
    <n v="1"/>
    <s v="01.11.80.308.6100.0000"/>
    <n v="0"/>
    <s v="11"/>
    <s v="6100"/>
    <n v="24664.06"/>
    <n v="0"/>
    <s v="CREDITOR"/>
    <n v="0"/>
    <n v="0"/>
    <n v="0"/>
    <n v="0"/>
    <n v="0"/>
  </r>
  <r>
    <n v="11608450"/>
    <s v="N"/>
    <n v="21327971"/>
    <s v="3000007002310005"/>
    <s v="CIVIL"/>
    <d v="2023-06-26T00:00:00"/>
    <d v="2023-07-04T19:00:44"/>
    <m/>
    <d v="2023-07-04T00:00:00"/>
    <n v="233"/>
    <n v="14219"/>
    <s v="11608450"/>
    <s v="11608450"/>
    <m/>
    <m/>
    <n v="22764408"/>
    <m/>
    <m/>
    <m/>
    <s v="SOLFIN"/>
    <s v="SOLFIN"/>
    <s v="CCMS"/>
    <n v="21327971"/>
    <n v="12677.55"/>
    <m/>
    <s v="N"/>
    <n v="17"/>
    <d v="2023-07-04T19:01:00"/>
    <s v="Y"/>
    <s v="Advocacy - Directions Hearing"/>
    <s v="Prescribed Hourly Rates"/>
    <s v="Advocacy"/>
    <s v="SJ"/>
    <s v="Y"/>
    <n v="52.16"/>
    <n v="10.43"/>
    <x v="1"/>
    <s v="VALIDATED"/>
    <n v="1"/>
    <s v="01.11.80.307.6100.0000"/>
    <n v="52.16"/>
    <s v="11"/>
    <s v="6100"/>
    <n v="24664.06"/>
    <n v="52.16"/>
    <s v="CREDITOR"/>
    <n v="0"/>
    <n v="0"/>
    <n v="0"/>
    <n v="0"/>
    <n v="52.16"/>
  </r>
  <r>
    <n v="59875750"/>
    <s v="N"/>
    <n v="21360453"/>
    <s v="3000014235440006"/>
    <s v="CIVIL"/>
    <d v="2023-06-27T00:00:00"/>
    <d v="2023-07-11T11:50:54"/>
    <m/>
    <d v="2023-07-11T00:00:00"/>
    <n v="233"/>
    <n v="14219"/>
    <s v="59875750"/>
    <s v="59875750"/>
    <m/>
    <m/>
    <n v="22770302"/>
    <m/>
    <m/>
    <m/>
    <s v="SOLFIN"/>
    <s v="SOLFIN"/>
    <s v="CCMS"/>
    <n v="21360453"/>
    <n v="7187.56"/>
    <m/>
    <s v="N"/>
    <n v="15"/>
    <d v="2023-07-11T11:51:05"/>
    <s v="Y"/>
    <s v="Solicitors Fixed Fee"/>
    <s v="Public Law Children"/>
    <s v="Profit Cost"/>
    <s v="NJH"/>
    <s v="Y"/>
    <n v="3020"/>
    <n v="604"/>
    <x v="7"/>
    <s v="VALIDATED"/>
    <n v="1"/>
    <s v="01.11.80.308.6100.0000"/>
    <n v="3020"/>
    <s v="11"/>
    <s v="6100"/>
    <n v="24664.06"/>
    <n v="3020"/>
    <s v="CREDITOR"/>
    <n v="0"/>
    <n v="0"/>
    <n v="0"/>
    <n v="0"/>
    <n v="3020"/>
  </r>
  <r>
    <n v="11608450"/>
    <s v="N"/>
    <n v="21327971"/>
    <s v="3000007002310005"/>
    <s v="CIVIL"/>
    <d v="2023-06-26T00:00:00"/>
    <d v="2023-07-04T19:00:44"/>
    <m/>
    <d v="2023-07-04T00:00:00"/>
    <n v="233"/>
    <n v="14219"/>
    <s v="11608450"/>
    <s v="11608450"/>
    <m/>
    <m/>
    <n v="22764408"/>
    <m/>
    <m/>
    <m/>
    <s v="SOLFIN"/>
    <s v="SOLFIN"/>
    <s v="CCMS"/>
    <n v="21327971"/>
    <n v="12677.55"/>
    <m/>
    <s v="N"/>
    <n v="8"/>
    <d v="2023-07-04T19:01:00"/>
    <s v="Y"/>
    <s v="Report - Welfare report"/>
    <s v="Prescribed Hourly Rates"/>
    <s v="Profit Cost"/>
    <s v="SJ"/>
    <s v="Y"/>
    <n v="50.51"/>
    <n v="10.1"/>
    <x v="1"/>
    <s v="VALIDATED"/>
    <n v="1"/>
    <s v="01.11.80.307.6100.0000"/>
    <n v="50.51"/>
    <s v="11"/>
    <s v="6100"/>
    <n v="24664.06"/>
    <n v="50.51"/>
    <s v="CREDITOR"/>
    <n v="0"/>
    <n v="0"/>
    <n v="0"/>
    <n v="0"/>
    <n v="50.51"/>
  </r>
  <r>
    <n v="11608450"/>
    <s v="N"/>
    <n v="21327971"/>
    <s v="3000007002310005"/>
    <s v="CIVIL"/>
    <d v="2023-06-26T00:00:00"/>
    <d v="2023-07-04T19:00:44"/>
    <m/>
    <d v="2023-07-04T00:00:00"/>
    <n v="233"/>
    <n v="14219"/>
    <s v="11608450"/>
    <s v="11608450"/>
    <m/>
    <m/>
    <n v="22764408"/>
    <m/>
    <m/>
    <m/>
    <s v="SOLFIN"/>
    <s v="SOLFIN"/>
    <s v="CCMS"/>
    <n v="21327971"/>
    <n v="12677.55"/>
    <m/>
    <s v="N"/>
    <n v="13"/>
    <d v="2023-07-04T19:01:00"/>
    <s v="Y"/>
    <s v="Preparation - drafting statement"/>
    <s v="Prescribed Hourly Rates"/>
    <s v="Profit Cost"/>
    <s v="SJ"/>
    <s v="Y"/>
    <n v="31.57"/>
    <n v="6.31"/>
    <x v="1"/>
    <s v="VALIDATED"/>
    <n v="1"/>
    <s v="01.11.80.307.6100.0000"/>
    <n v="31.57"/>
    <s v="11"/>
    <s v="6100"/>
    <n v="24664.06"/>
    <n v="31.57"/>
    <s v="CREDITOR"/>
    <n v="0"/>
    <n v="0"/>
    <n v="0"/>
    <n v="0"/>
    <n v="31.57"/>
  </r>
  <r>
    <n v="11608450"/>
    <s v="N"/>
    <n v="21327971"/>
    <s v="3000007002310005"/>
    <s v="CIVIL"/>
    <d v="2023-06-26T00:00:00"/>
    <d v="2023-07-04T19:00:44"/>
    <m/>
    <d v="2023-07-04T00:00:00"/>
    <n v="233"/>
    <n v="14219"/>
    <s v="11608450"/>
    <s v="11608450"/>
    <m/>
    <m/>
    <n v="22764408"/>
    <m/>
    <m/>
    <m/>
    <s v="SOLFIN"/>
    <s v="SOLFIN"/>
    <s v="CCMS"/>
    <n v="21327971"/>
    <n v="12677.55"/>
    <m/>
    <s v="N"/>
    <n v="3"/>
    <d v="2023-07-04T19:01:00"/>
    <s v="Y"/>
    <s v="Preparation - drafting application"/>
    <s v="Prescribed Hourly Rates"/>
    <s v="Profit Cost"/>
    <s v="SJ"/>
    <s v="Y"/>
    <n v="63.14"/>
    <n v="12.63"/>
    <x v="1"/>
    <s v="VALIDATED"/>
    <n v="1"/>
    <s v="01.11.80.307.6100.0000"/>
    <n v="63.14"/>
    <s v="11"/>
    <s v="6100"/>
    <n v="24664.06"/>
    <n v="63.14"/>
    <s v="CREDITOR"/>
    <n v="0"/>
    <n v="0"/>
    <n v="0"/>
    <n v="0"/>
    <n v="63.14"/>
  </r>
  <r>
    <n v="11608313"/>
    <s v="N"/>
    <n v="21327904"/>
    <s v="3000007002150001"/>
    <s v="CIVIL"/>
    <d v="2023-06-26T00:00:00"/>
    <d v="2023-07-04T19:00:44"/>
    <m/>
    <d v="2023-07-04T00:00:00"/>
    <n v="233"/>
    <n v="14219"/>
    <s v="11608313"/>
    <s v="11608313"/>
    <m/>
    <m/>
    <n v="22764412"/>
    <m/>
    <m/>
    <m/>
    <s v="SOLFIN"/>
    <s v="SOLFIN"/>
    <s v="CCMS"/>
    <n v="21327904"/>
    <n v="0"/>
    <m/>
    <s v="N"/>
    <n v="1"/>
    <d v="2023-07-04T19:00:58"/>
    <s v="N"/>
    <s v="NIL BILL"/>
    <s v="Prescribed Hourly Rates"/>
    <s v="Profit Cost"/>
    <s v="SJ"/>
    <s v="N"/>
    <n v="0"/>
    <n v="0"/>
    <x v="1"/>
    <s v="VALIDATED"/>
    <n v="1"/>
    <s v="01.11.80.307.6100.0000"/>
    <n v="0"/>
    <s v="11"/>
    <s v="6100"/>
    <n v="24664.06"/>
    <n v="0"/>
    <s v="CREDITOR"/>
    <n v="0"/>
    <n v="0"/>
    <n v="0"/>
    <n v="0"/>
    <n v="0"/>
  </r>
  <r>
    <n v="11608450"/>
    <s v="N"/>
    <n v="21327971"/>
    <s v="3000007002310005"/>
    <s v="CIVIL"/>
    <d v="2023-06-26T00:00:00"/>
    <d v="2023-07-04T19:00:44"/>
    <m/>
    <d v="2023-07-04T00:00:00"/>
    <n v="233"/>
    <n v="14219"/>
    <s v="11608450"/>
    <s v="11608450"/>
    <m/>
    <m/>
    <n v="22764408"/>
    <m/>
    <m/>
    <m/>
    <s v="SOLFIN"/>
    <s v="SOLFIN"/>
    <s v="CCMS"/>
    <n v="21327971"/>
    <n v="12677.55"/>
    <m/>
    <s v="N"/>
    <n v="9"/>
    <d v="2023-07-04T19:01:00"/>
    <s v="Y"/>
    <s v="Preparation - other"/>
    <s v="Prescribed Hourly Rates"/>
    <s v="Profit Cost"/>
    <s v="SJ"/>
    <s v="Y"/>
    <n v="126.27"/>
    <n v="25.25"/>
    <x v="1"/>
    <s v="VALIDATED"/>
    <n v="1"/>
    <s v="01.11.80.307.6100.0000"/>
    <n v="126.27"/>
    <s v="11"/>
    <s v="6100"/>
    <n v="24664.06"/>
    <n v="126.27"/>
    <s v="CREDITOR"/>
    <n v="0"/>
    <n v="0"/>
    <n v="0"/>
    <n v="0"/>
    <n v="126.27"/>
  </r>
  <r>
    <n v="11608450"/>
    <s v="N"/>
    <n v="21327971"/>
    <s v="3000007002310005"/>
    <s v="CIVIL"/>
    <d v="2023-06-26T00:00:00"/>
    <d v="2023-07-04T19:00:44"/>
    <m/>
    <d v="2023-07-04T00:00:00"/>
    <n v="233"/>
    <n v="14219"/>
    <s v="11608450"/>
    <s v="11608450"/>
    <m/>
    <m/>
    <n v="22764408"/>
    <m/>
    <m/>
    <m/>
    <s v="SOLFIN"/>
    <s v="SOLFIN"/>
    <s v="CCMS"/>
    <n v="21327971"/>
    <n v="12677.55"/>
    <m/>
    <s v="N"/>
    <n v="39"/>
    <d v="2023-07-04T19:01:00"/>
    <s v="Y"/>
    <s v="Court Fee"/>
    <s v="Prescribed Hourly Rates"/>
    <s v="Non Expert Disbursement"/>
    <s v="SJ"/>
    <s v="Y"/>
    <n v="155"/>
    <n v="0"/>
    <x v="1"/>
    <s v="VALIDATED"/>
    <n v="1"/>
    <s v="01.11.80.307.6300.0000"/>
    <n v="155"/>
    <s v="11"/>
    <s v="6300"/>
    <n v="24664.06"/>
    <n v="155"/>
    <s v="CREDITOR"/>
    <n v="0"/>
    <n v="0"/>
    <n v="0"/>
    <n v="0"/>
    <n v="155"/>
  </r>
  <r>
    <n v="59908479"/>
    <s v="N"/>
    <n v="21343950"/>
    <s v="3000014264970015"/>
    <s v="CIVIL"/>
    <d v="2023-06-27T00:00:00"/>
    <d v="2023-07-07T19:03:00"/>
    <m/>
    <d v="2023-07-07T00:00:00"/>
    <n v="233"/>
    <n v="14219"/>
    <s v="59908479"/>
    <s v="59908479"/>
    <m/>
    <m/>
    <n v="22769606"/>
    <m/>
    <m/>
    <m/>
    <s v="SOLFIN"/>
    <s v="SOLFIN"/>
    <s v="CCMS"/>
    <n v="21343950"/>
    <n v="4295.5"/>
    <m/>
    <s v="N"/>
    <n v="3"/>
    <d v="2023-07-07T19:03:18"/>
    <s v="Y"/>
    <s v="Court Fee"/>
    <s v="Public Law Children"/>
    <s v="Non Expert Disbursement"/>
    <s v="SJ"/>
    <s v="Y"/>
    <n v="167"/>
    <n v="0"/>
    <x v="9"/>
    <s v="VALIDATED"/>
    <n v="1"/>
    <s v="01.11.80.308.6300.0000"/>
    <n v="167"/>
    <s v="11"/>
    <s v="6300"/>
    <n v="24664.06"/>
    <n v="167"/>
    <s v="CREDITOR"/>
    <n v="0"/>
    <n v="0"/>
    <n v="0"/>
    <n v="0"/>
    <n v="167"/>
  </r>
  <r>
    <n v="11608450"/>
    <s v="N"/>
    <n v="21327971"/>
    <s v="3000007002310005"/>
    <s v="CIVIL"/>
    <d v="2023-06-26T00:00:00"/>
    <d v="2023-07-04T19:00:44"/>
    <m/>
    <d v="2023-07-04T00:00:00"/>
    <n v="233"/>
    <n v="14219"/>
    <s v="11608450"/>
    <s v="11608450"/>
    <m/>
    <m/>
    <n v="22764408"/>
    <m/>
    <m/>
    <m/>
    <s v="SOLFIN"/>
    <s v="SOLFIN"/>
    <s v="CCMS"/>
    <n v="21327971"/>
    <n v="12677.55"/>
    <m/>
    <s v="N"/>
    <n v="4"/>
    <d v="2023-07-04T19:01:00"/>
    <s v="Y"/>
    <s v="Preparation - other"/>
    <s v="Prescribed Hourly Rates"/>
    <s v="Profit Cost"/>
    <s v="SJ"/>
    <s v="Y"/>
    <n v="63.14"/>
    <n v="12.63"/>
    <x v="1"/>
    <s v="VALIDATED"/>
    <n v="1"/>
    <s v="01.11.80.307.6100.0000"/>
    <n v="63.14"/>
    <s v="11"/>
    <s v="6100"/>
    <n v="24664.06"/>
    <n v="63.14"/>
    <s v="CREDITOR"/>
    <n v="0"/>
    <n v="0"/>
    <n v="0"/>
    <n v="0"/>
    <n v="63.14"/>
  </r>
  <r>
    <n v="59875750"/>
    <s v="N"/>
    <n v="21360453"/>
    <s v="3000014235440006"/>
    <s v="CIVIL"/>
    <d v="2023-06-27T00:00:00"/>
    <d v="2023-07-11T11:50:54"/>
    <m/>
    <d v="2023-07-11T00:00:00"/>
    <n v="233"/>
    <n v="14219"/>
    <s v="59875750"/>
    <s v="59875750"/>
    <m/>
    <m/>
    <n v="22770302"/>
    <m/>
    <m/>
    <m/>
    <s v="SOLFIN"/>
    <s v="SOLFIN"/>
    <s v="CCMS"/>
    <n v="21360453"/>
    <n v="7187.56"/>
    <m/>
    <s v="N"/>
    <n v="5"/>
    <d v="2023-07-11T11:51:05"/>
    <s v="Y"/>
    <s v="Psychologist"/>
    <s v="Public Law Children"/>
    <s v="Expert Disbursement"/>
    <s v="NJH"/>
    <s v="Y"/>
    <n v="168.48"/>
    <n v="0"/>
    <x v="7"/>
    <s v="VALIDATED"/>
    <n v="1"/>
    <s v="01.11.80.308.6300.0000"/>
    <n v="168.48"/>
    <s v="11"/>
    <s v="6300"/>
    <n v="24664.06"/>
    <n v="168.48"/>
    <s v="CREDITOR"/>
    <n v="0"/>
    <n v="0"/>
    <n v="0"/>
    <n v="0"/>
    <n v="168.48"/>
  </r>
  <r>
    <n v="61609263"/>
    <s v="N"/>
    <n v="21327689"/>
    <s v="3000015708640001"/>
    <s v="CIVIL"/>
    <d v="2023-06-26T00:00:00"/>
    <d v="2023-07-04T19:00:44"/>
    <m/>
    <d v="2023-07-04T00:00:00"/>
    <n v="233"/>
    <n v="14219"/>
    <s v="61609263"/>
    <s v="61609263"/>
    <m/>
    <m/>
    <n v="22764036"/>
    <m/>
    <m/>
    <m/>
    <s v="SOLFIN"/>
    <s v="SOLFIN"/>
    <s v="CCMS"/>
    <n v="21327689"/>
    <n v="0"/>
    <m/>
    <s v="N"/>
    <n v="1"/>
    <d v="2023-07-04T19:00:52"/>
    <s v="N"/>
    <s v="NIL BILL"/>
    <s v="Prescribed Hourly Rates"/>
    <s v="Profit Cost"/>
    <s v="SJ"/>
    <s v="N"/>
    <n v="0"/>
    <n v="0"/>
    <x v="1"/>
    <s v="VALIDATED"/>
    <n v="1"/>
    <s v="01.11.80.307.6100.0000"/>
    <n v="0"/>
    <s v="11"/>
    <s v="6100"/>
    <n v="24664.06"/>
    <n v="0"/>
    <s v="CREDITOR"/>
    <n v="0"/>
    <n v="0"/>
    <n v="0"/>
    <n v="0"/>
    <n v="0"/>
  </r>
  <r>
    <n v="11608450"/>
    <s v="N"/>
    <n v="21327971"/>
    <s v="3000007002310005"/>
    <s v="CIVIL"/>
    <d v="2023-06-26T00:00:00"/>
    <d v="2023-07-04T19:00:44"/>
    <m/>
    <d v="2023-07-04T00:00:00"/>
    <n v="233"/>
    <n v="14219"/>
    <s v="11608450"/>
    <s v="11608450"/>
    <m/>
    <m/>
    <n v="22764408"/>
    <m/>
    <m/>
    <m/>
    <s v="SOLFIN"/>
    <s v="SOLFIN"/>
    <s v="CCMS"/>
    <n v="21327971"/>
    <n v="12677.55"/>
    <m/>
    <s v="N"/>
    <n v="15"/>
    <d v="2023-07-04T19:01:00"/>
    <s v="Y"/>
    <s v="Report - Welfare report"/>
    <s v="Prescribed Hourly Rates"/>
    <s v="Profit Cost"/>
    <s v="SJ"/>
    <s v="Y"/>
    <n v="31.57"/>
    <n v="6.31"/>
    <x v="1"/>
    <s v="VALIDATED"/>
    <n v="1"/>
    <s v="01.11.80.307.6100.0000"/>
    <n v="31.57"/>
    <s v="11"/>
    <s v="6100"/>
    <n v="24664.06"/>
    <n v="31.57"/>
    <s v="CREDITOR"/>
    <n v="0"/>
    <n v="0"/>
    <n v="0"/>
    <n v="0"/>
    <n v="31.57"/>
  </r>
  <r>
    <n v="61385490"/>
    <s v="N"/>
    <n v="21328167"/>
    <s v="3000015528640003"/>
    <s v="CIVIL"/>
    <d v="2023-06-26T00:00:00"/>
    <d v="2023-07-04T19:00:44"/>
    <m/>
    <d v="2023-07-04T00:00:00"/>
    <n v="233"/>
    <n v="14219"/>
    <s v="61385490"/>
    <s v="61385490"/>
    <m/>
    <m/>
    <n v="22757774"/>
    <m/>
    <m/>
    <m/>
    <s v="SOLFIN"/>
    <s v="SOLFIN"/>
    <s v="CCMS"/>
    <n v="21328167"/>
    <n v="423.6"/>
    <m/>
    <s v="N"/>
    <n v="1"/>
    <d v="2023-07-04T19:01:07"/>
    <s v="Y"/>
    <s v="Level 3 Fixed Fee"/>
    <s v="Private Law Children"/>
    <s v="Profit Cost"/>
    <s v="KB"/>
    <s v="Y"/>
    <n v="353"/>
    <n v="70.59999999999999"/>
    <x v="1"/>
    <s v="VALIDATED"/>
    <n v="1"/>
    <s v="01.11.80.307.6100.0000"/>
    <n v="353"/>
    <s v="11"/>
    <s v="6100"/>
    <n v="24664.06"/>
    <n v="353"/>
    <s v="CREDITOR"/>
    <n v="0"/>
    <n v="0"/>
    <n v="0"/>
    <n v="0"/>
    <n v="353"/>
  </r>
  <r>
    <n v="11608450"/>
    <s v="N"/>
    <n v="21327971"/>
    <s v="3000007002310005"/>
    <s v="CIVIL"/>
    <d v="2023-06-26T00:00:00"/>
    <d v="2023-07-04T19:00:44"/>
    <m/>
    <d v="2023-07-04T00:00:00"/>
    <n v="233"/>
    <n v="14219"/>
    <s v="11608450"/>
    <s v="11608450"/>
    <m/>
    <m/>
    <n v="22764408"/>
    <m/>
    <m/>
    <m/>
    <s v="SOLFIN"/>
    <s v="SOLFIN"/>
    <s v="CCMS"/>
    <n v="21327971"/>
    <n v="12677.55"/>
    <m/>
    <s v="N"/>
    <n v="14"/>
    <d v="2023-07-04T19:01:00"/>
    <s v="Y"/>
    <s v="Preparation - other"/>
    <s v="Prescribed Hourly Rates"/>
    <s v="Profit Cost"/>
    <s v="SJ"/>
    <s v="Y"/>
    <n v="31.57"/>
    <n v="6.31"/>
    <x v="1"/>
    <s v="VALIDATED"/>
    <n v="1"/>
    <s v="01.11.80.307.6100.0000"/>
    <n v="31.57"/>
    <s v="11"/>
    <s v="6100"/>
    <n v="24664.06"/>
    <n v="31.57"/>
    <s v="CREDITOR"/>
    <n v="0"/>
    <n v="0"/>
    <n v="0"/>
    <n v="0"/>
    <n v="31.57"/>
  </r>
  <r>
    <n v="11608450"/>
    <s v="N"/>
    <n v="21327971"/>
    <s v="3000007002310005"/>
    <s v="CIVIL"/>
    <d v="2023-06-26T00:00:00"/>
    <d v="2023-07-04T19:00:44"/>
    <m/>
    <d v="2023-07-04T00:00:00"/>
    <n v="233"/>
    <n v="14219"/>
    <s v="11608450"/>
    <s v="11608450"/>
    <m/>
    <m/>
    <n v="22764408"/>
    <m/>
    <m/>
    <m/>
    <s v="SOLFIN"/>
    <s v="SOLFIN"/>
    <s v="CCMS"/>
    <n v="21327971"/>
    <n v="12677.55"/>
    <m/>
    <s v="N"/>
    <n v="20"/>
    <d v="2023-07-04T19:01:00"/>
    <s v="Y"/>
    <s v="Preparation - drafting statement"/>
    <s v="Prescribed Hourly Rates"/>
    <s v="Profit Cost"/>
    <s v="SJ"/>
    <s v="Y"/>
    <n v="63.14"/>
    <n v="12.63"/>
    <x v="1"/>
    <s v="VALIDATED"/>
    <n v="1"/>
    <s v="01.11.80.307.6100.0000"/>
    <n v="63.14"/>
    <s v="11"/>
    <s v="6100"/>
    <n v="24664.06"/>
    <n v="63.14"/>
    <s v="CREDITOR"/>
    <n v="0"/>
    <n v="0"/>
    <n v="0"/>
    <n v="0"/>
    <n v="63.14"/>
  </r>
  <r>
    <n v="61740156"/>
    <s v="N"/>
    <n v="21320134"/>
    <s v="3000015821470006"/>
    <s v="CIVIL"/>
    <d v="2023-06-28T00:00:00"/>
    <d v="2023-07-03T19:04:24"/>
    <m/>
    <d v="2023-07-03T00:00:00"/>
    <n v="233"/>
    <n v="14219"/>
    <s v="61740156"/>
    <s v="61740156"/>
    <m/>
    <m/>
    <n v="22778152"/>
    <m/>
    <m/>
    <m/>
    <s v="SOLPOA"/>
    <s v="SOLPOA"/>
    <s v="CCMS"/>
    <n v="21320134"/>
    <n v="422.4"/>
    <m/>
    <s v="N"/>
    <n v="1"/>
    <d v="2023-07-03T19:04:29"/>
    <s v="N"/>
    <s v="Non Expert Disbursement"/>
    <s v="Non Expert Disbursement"/>
    <s v="Non Expert Disbursement"/>
    <s v="Samantha Jeanes"/>
    <s v="N"/>
    <n v="352"/>
    <n v="70.40000000000001"/>
    <x v="3"/>
    <s v="VALIDATED"/>
    <n v="1"/>
    <s v="01.11.80.307.2012.0000"/>
    <n v="352"/>
    <s v="11"/>
    <s v="2012"/>
    <n v="24664.06"/>
    <n v="352"/>
    <s v="CREDITOR"/>
    <n v="352"/>
    <n v="0"/>
    <n v="0"/>
    <n v="0"/>
    <n v="0"/>
  </r>
  <r>
    <n v="59908479"/>
    <s v="N"/>
    <n v="21343950"/>
    <s v="3000014264970015"/>
    <s v="CIVIL"/>
    <d v="2023-06-27T00:00:00"/>
    <d v="2023-07-07T19:03:00"/>
    <m/>
    <d v="2023-07-07T00:00:00"/>
    <n v="233"/>
    <n v="14219"/>
    <s v="59908479"/>
    <s v="59908479"/>
    <m/>
    <m/>
    <n v="22769606"/>
    <m/>
    <m/>
    <m/>
    <s v="SOLFIN"/>
    <s v="SOLFIN"/>
    <s v="CCMS"/>
    <n v="21343950"/>
    <n v="4295.5"/>
    <m/>
    <s v="N"/>
    <n v="5"/>
    <d v="2023-07-07T19:03:18"/>
    <s v="Y"/>
    <s v="Psychologist"/>
    <s v="Public Law Children"/>
    <s v="Expert Disbursement"/>
    <s v="SJ"/>
    <s v="Y"/>
    <n v="339.83"/>
    <n v="67.97"/>
    <x v="9"/>
    <s v="VALIDATED"/>
    <n v="1"/>
    <s v="01.11.80.308.6300.0000"/>
    <n v="339.83"/>
    <s v="11"/>
    <s v="6300"/>
    <n v="24664.06"/>
    <n v="339.83"/>
    <s v="CREDITOR"/>
    <n v="0"/>
    <n v="0"/>
    <n v="0"/>
    <n v="0"/>
    <n v="339.83"/>
  </r>
  <r>
    <n v="61132004"/>
    <s v="N"/>
    <n v="21331032"/>
    <s v="3000015318630004"/>
    <s v="CIVIL"/>
    <d v="2023-06-26T00:00:00"/>
    <d v="2023-07-05T19:01:47"/>
    <m/>
    <d v="2023-07-05T00:00:00"/>
    <n v="233"/>
    <n v="14219"/>
    <s v="61132004"/>
    <s v="61132004"/>
    <m/>
    <m/>
    <n v="22760074"/>
    <m/>
    <m/>
    <m/>
    <s v="SOLFIN"/>
    <s v="SOLFIN"/>
    <s v="CCMS"/>
    <n v="21331032"/>
    <n v="5052.17"/>
    <m/>
    <s v="N"/>
    <n v="1"/>
    <d v="2023-07-05T19:02:03"/>
    <s v="Y"/>
    <s v="Final Hearing Court Bundle/Advocate"/>
    <s v="Public Law Children"/>
    <s v="Advocacy"/>
    <s v="NJH"/>
    <s v="Y"/>
    <n v="159.3"/>
    <n v="31.86"/>
    <x v="6"/>
    <s v="VALIDATED"/>
    <n v="1"/>
    <s v="01.11.80.308.6100.0000"/>
    <n v="159.3"/>
    <s v="11"/>
    <s v="6100"/>
    <n v="24664.06"/>
    <n v="159.3"/>
    <s v="CREDITOR"/>
    <n v="0"/>
    <n v="0"/>
    <n v="0"/>
    <n v="0"/>
    <n v="159.3"/>
  </r>
  <r>
    <n v="59908479"/>
    <s v="N"/>
    <n v="21346259"/>
    <s v="3000014264970003RC"/>
    <s v="CIVIL"/>
    <d v="2023-06-27T00:00:00"/>
    <d v="2023-07-07T19:34:21"/>
    <m/>
    <d v="2023-07-07T00:00:00"/>
    <n v="233"/>
    <n v="14219"/>
    <s v="59908479"/>
    <s v="59908479"/>
    <m/>
    <m/>
    <m/>
    <m/>
    <m/>
    <m/>
    <s v="SOLRECOUP"/>
    <s v="SOLRECOUP"/>
    <s v="POARECOUP"/>
    <n v="21346259"/>
    <n v="-407.8"/>
    <m/>
    <s v="Y"/>
    <n v="1"/>
    <d v="2023-07-07T19:34:22"/>
    <s v="N"/>
    <m/>
    <m/>
    <s v="Expert Disbursement"/>
    <m/>
    <s v="N"/>
    <n v="-339.83"/>
    <n v="0"/>
    <x v="9"/>
    <s v="VALIDATED"/>
    <n v="1"/>
    <s v="01.11.80.308.2013.0000"/>
    <n v="-339.83"/>
    <s v="11"/>
    <s v="2013"/>
    <n v="24664.06"/>
    <n v="-339.83"/>
    <s v="CREDITOR"/>
    <n v="0"/>
    <n v="0"/>
    <n v="-339.83"/>
    <n v="0"/>
    <n v="0"/>
  </r>
  <r>
    <n v="59908479"/>
    <s v="N"/>
    <n v="21346259"/>
    <s v="3000014264970003RC"/>
    <s v="CIVIL"/>
    <d v="2023-06-27T00:00:00"/>
    <d v="2023-07-07T19:34:21"/>
    <m/>
    <d v="2023-07-07T00:00:00"/>
    <n v="233"/>
    <n v="14219"/>
    <s v="59908479"/>
    <s v="59908479"/>
    <m/>
    <m/>
    <m/>
    <m/>
    <m/>
    <m/>
    <s v="SOLRECOUP"/>
    <s v="SOLRECOUP"/>
    <s v="POARECOUP"/>
    <n v="21346259"/>
    <n v="-407.8"/>
    <m/>
    <s v="Y"/>
    <n v="2"/>
    <d v="2023-07-07T19:34:22"/>
    <s v="N"/>
    <m/>
    <m/>
    <s v="Expert Disbursement"/>
    <m/>
    <s v="N"/>
    <n v="0"/>
    <n v="-67.97"/>
    <x v="9"/>
    <s v="VALIDATED"/>
    <n v="1"/>
    <s v="01.11.80.308.2013.0000"/>
    <n v="-67.97"/>
    <s v="11"/>
    <s v="2013"/>
    <n v="24664.06"/>
    <n v="-67.97"/>
    <s v="CREDITOR"/>
    <n v="0"/>
    <n v="0"/>
    <n v="-67.97"/>
    <n v="0"/>
    <n v="0"/>
  </r>
  <r>
    <n v="59908479"/>
    <s v="N"/>
    <n v="21346260"/>
    <s v="3000014264970010RC"/>
    <s v="CIVIL"/>
    <d v="2023-06-27T00:00:00"/>
    <d v="2023-07-07T19:34:21"/>
    <m/>
    <d v="2023-07-07T00:00:00"/>
    <n v="233"/>
    <n v="14219"/>
    <s v="59908479"/>
    <s v="59908479"/>
    <m/>
    <m/>
    <m/>
    <m/>
    <m/>
    <m/>
    <s v="SOLRECOUP"/>
    <s v="SOLRECOUP"/>
    <s v="POARECOUP"/>
    <n v="21346260"/>
    <n v="-167"/>
    <m/>
    <s v="Y"/>
    <n v="1"/>
    <d v="2023-07-07T19:34:22"/>
    <s v="N"/>
    <m/>
    <m/>
    <s v="Non Expert Disbursement"/>
    <m/>
    <s v="N"/>
    <n v="-167"/>
    <n v="0"/>
    <x v="9"/>
    <s v="VALIDATED"/>
    <n v="1"/>
    <s v="01.11.80.308.2013.0000"/>
    <n v="-167"/>
    <s v="11"/>
    <s v="2013"/>
    <n v="24664.06"/>
    <n v="-167"/>
    <s v="CREDITOR"/>
    <n v="0"/>
    <n v="0"/>
    <n v="-167"/>
    <n v="0"/>
    <n v="0"/>
  </r>
  <r>
    <n v="61132004"/>
    <s v="N"/>
    <n v="21333739"/>
    <s v="3000015318630001RC"/>
    <s v="CIVIL"/>
    <d v="2023-06-26T00:00:00"/>
    <d v="2023-07-05T19:42:28"/>
    <m/>
    <d v="2023-07-05T00:00:00"/>
    <n v="233"/>
    <n v="14219"/>
    <s v="61132004"/>
    <s v="61132004"/>
    <m/>
    <m/>
    <m/>
    <m/>
    <m/>
    <m/>
    <s v="SOLRECOUP"/>
    <s v="SOLRECOUP"/>
    <s v="POARECOUP"/>
    <n v="21333739"/>
    <n v="-130"/>
    <m/>
    <s v="Y"/>
    <n v="1"/>
    <d v="2023-07-05T19:42:28"/>
    <s v="N"/>
    <m/>
    <m/>
    <s v="Expert Disbursement"/>
    <m/>
    <s v="N"/>
    <n v="-108.33"/>
    <n v="0"/>
    <x v="6"/>
    <s v="VALIDATED"/>
    <n v="1"/>
    <s v="01.11.80.308.2013.0000"/>
    <n v="-108.33"/>
    <s v="11"/>
    <s v="2013"/>
    <n v="24664.06"/>
    <n v="-108.33"/>
    <s v="CREDITOR"/>
    <n v="0"/>
    <n v="0"/>
    <n v="-108.33"/>
    <n v="0"/>
    <n v="0"/>
  </r>
  <r>
    <n v="61132004"/>
    <s v="N"/>
    <n v="21333739"/>
    <s v="3000015318630001RC"/>
    <s v="CIVIL"/>
    <d v="2023-06-26T00:00:00"/>
    <d v="2023-07-05T19:42:28"/>
    <m/>
    <d v="2023-07-05T00:00:00"/>
    <n v="233"/>
    <n v="14219"/>
    <s v="61132004"/>
    <s v="61132004"/>
    <m/>
    <m/>
    <m/>
    <m/>
    <m/>
    <m/>
    <s v="SOLRECOUP"/>
    <s v="SOLRECOUP"/>
    <s v="POARECOUP"/>
    <n v="21333739"/>
    <n v="-130"/>
    <m/>
    <s v="Y"/>
    <n v="2"/>
    <d v="2023-07-05T19:42:28"/>
    <s v="N"/>
    <m/>
    <m/>
    <s v="Expert Disbursement"/>
    <m/>
    <s v="N"/>
    <n v="0"/>
    <n v="-21.67"/>
    <x v="6"/>
    <s v="VALIDATED"/>
    <n v="1"/>
    <s v="01.11.80.308.2013.0000"/>
    <n v="-21.67"/>
    <s v="11"/>
    <s v="2013"/>
    <n v="24664.06"/>
    <n v="-21.67"/>
    <s v="CREDITOR"/>
    <n v="0"/>
    <n v="0"/>
    <n v="-21.67"/>
    <n v="0"/>
    <n v="0"/>
  </r>
  <r>
    <n v="61132004"/>
    <s v="N"/>
    <n v="21333740"/>
    <s v="3000015318630002RC"/>
    <s v="CIVIL"/>
    <d v="2023-06-26T00:00:00"/>
    <d v="2023-07-05T19:42:28"/>
    <m/>
    <d v="2023-07-05T00:00:00"/>
    <n v="233"/>
    <n v="14219"/>
    <s v="61132004"/>
    <s v="61132004"/>
    <m/>
    <m/>
    <m/>
    <m/>
    <m/>
    <m/>
    <s v="SOLRECOUP"/>
    <s v="SOLRECOUP"/>
    <s v="POARECOUP"/>
    <n v="21333740"/>
    <n v="-1082"/>
    <m/>
    <s v="Y"/>
    <n v="1"/>
    <d v="2023-07-05T19:42:28"/>
    <s v="N"/>
    <m/>
    <m/>
    <s v="Expert Disbursement"/>
    <m/>
    <s v="N"/>
    <n v="-901.67"/>
    <n v="0"/>
    <x v="6"/>
    <s v="VALIDATED"/>
    <n v="1"/>
    <s v="01.11.80.308.2013.0000"/>
    <n v="-901.67"/>
    <s v="11"/>
    <s v="2013"/>
    <n v="24664.06"/>
    <n v="-901.67"/>
    <s v="CREDITOR"/>
    <n v="0"/>
    <n v="0"/>
    <n v="-901.67"/>
    <n v="0"/>
    <n v="0"/>
  </r>
  <r>
    <n v="61132004"/>
    <s v="N"/>
    <n v="21333740"/>
    <s v="3000015318630002RC"/>
    <s v="CIVIL"/>
    <d v="2023-06-26T00:00:00"/>
    <d v="2023-07-05T19:42:28"/>
    <m/>
    <d v="2023-07-05T00:00:00"/>
    <n v="233"/>
    <n v="14219"/>
    <s v="61132004"/>
    <s v="61132004"/>
    <m/>
    <m/>
    <m/>
    <m/>
    <m/>
    <m/>
    <s v="SOLRECOUP"/>
    <s v="SOLRECOUP"/>
    <s v="POARECOUP"/>
    <n v="21333740"/>
    <n v="-1082"/>
    <m/>
    <s v="Y"/>
    <n v="2"/>
    <d v="2023-07-05T19:42:28"/>
    <s v="N"/>
    <m/>
    <m/>
    <s v="Expert Disbursement"/>
    <m/>
    <s v="N"/>
    <n v="0"/>
    <n v="-180.33"/>
    <x v="6"/>
    <s v="VALIDATED"/>
    <n v="1"/>
    <s v="01.11.80.308.2013.0000"/>
    <n v="-180.33"/>
    <s v="11"/>
    <s v="2013"/>
    <n v="24664.06"/>
    <n v="-180.33"/>
    <s v="CREDITOR"/>
    <n v="0"/>
    <n v="0"/>
    <n v="-180.33"/>
    <n v="0"/>
    <n v="0"/>
  </r>
  <r>
    <n v="61508975"/>
    <s v="N"/>
    <n v="21333741"/>
    <s v="3000015631530003RC"/>
    <s v="CIVIL"/>
    <d v="2023-06-27T00:00:00"/>
    <d v="2023-07-05T19:42:28"/>
    <m/>
    <d v="2023-07-05T00:00:00"/>
    <n v="233"/>
    <n v="14219"/>
    <s v="61508975"/>
    <s v="61508975"/>
    <m/>
    <m/>
    <m/>
    <m/>
    <m/>
    <m/>
    <s v="SOLRECOUP"/>
    <s v="SOLRECOUP"/>
    <s v="POARECOUP"/>
    <n v="21333741"/>
    <n v="-173.6"/>
    <m/>
    <s v="Y"/>
    <n v="1"/>
    <d v="2023-07-05T19:42:28"/>
    <s v="N"/>
    <m/>
    <m/>
    <s v="Non Expert Disbursement"/>
    <m/>
    <s v="N"/>
    <n v="-144.67"/>
    <n v="0"/>
    <x v="6"/>
    <s v="VALIDATED"/>
    <n v="1"/>
    <s v="01.11.80.308.2013.0000"/>
    <n v="-144.67"/>
    <s v="11"/>
    <s v="2013"/>
    <n v="24664.06"/>
    <n v="-144.67"/>
    <s v="CREDITOR"/>
    <n v="0"/>
    <n v="0"/>
    <n v="-144.67"/>
    <n v="0"/>
    <n v="0"/>
  </r>
  <r>
    <n v="61508975"/>
    <s v="N"/>
    <n v="21333741"/>
    <s v="3000015631530003RC"/>
    <s v="CIVIL"/>
    <d v="2023-06-27T00:00:00"/>
    <d v="2023-07-05T19:42:28"/>
    <m/>
    <d v="2023-07-05T00:00:00"/>
    <n v="233"/>
    <n v="14219"/>
    <s v="61508975"/>
    <s v="61508975"/>
    <m/>
    <m/>
    <m/>
    <m/>
    <m/>
    <m/>
    <s v="SOLRECOUP"/>
    <s v="SOLRECOUP"/>
    <s v="POARECOUP"/>
    <n v="21333741"/>
    <n v="-173.6"/>
    <m/>
    <s v="Y"/>
    <n v="2"/>
    <d v="2023-07-05T19:42:28"/>
    <s v="N"/>
    <m/>
    <m/>
    <s v="Non Expert Disbursement"/>
    <m/>
    <s v="N"/>
    <n v="0"/>
    <n v="-28.93"/>
    <x v="6"/>
    <s v="VALIDATED"/>
    <n v="1"/>
    <s v="01.11.80.308.2013.0000"/>
    <n v="-28.93"/>
    <s v="11"/>
    <s v="2013"/>
    <n v="24664.06"/>
    <n v="-28.93"/>
    <s v="CREDITOR"/>
    <n v="0"/>
    <n v="0"/>
    <n v="-28.93"/>
    <n v="0"/>
    <n v="0"/>
  </r>
  <r>
    <n v="61508975"/>
    <s v="N"/>
    <n v="21333742"/>
    <s v="3000015631530002RC"/>
    <s v="CIVIL"/>
    <d v="2023-06-27T00:00:00"/>
    <d v="2023-07-05T19:42:28"/>
    <m/>
    <d v="2023-07-05T00:00:00"/>
    <n v="233"/>
    <n v="14219"/>
    <s v="61508975"/>
    <s v="61508975"/>
    <m/>
    <m/>
    <m/>
    <m/>
    <m/>
    <m/>
    <s v="SOLRECOUP"/>
    <s v="SOLRECOUP"/>
    <s v="POARECOUP"/>
    <n v="21333742"/>
    <n v="-70"/>
    <m/>
    <s v="Y"/>
    <n v="1"/>
    <d v="2023-07-05T19:42:28"/>
    <s v="N"/>
    <m/>
    <m/>
    <s v="Non Expert Disbursement"/>
    <m/>
    <s v="N"/>
    <n v="-70"/>
    <n v="0"/>
    <x v="6"/>
    <s v="VALIDATED"/>
    <n v="1"/>
    <s v="01.11.80.308.2013.0000"/>
    <n v="-70"/>
    <s v="11"/>
    <s v="2013"/>
    <n v="24664.06"/>
    <n v="-70"/>
    <s v="CREDITOR"/>
    <n v="0"/>
    <n v="0"/>
    <n v="-70"/>
    <n v="0"/>
    <n v="0"/>
  </r>
  <r>
    <n v="61508975"/>
    <s v="N"/>
    <n v="21333742"/>
    <s v="3000015631530002RC"/>
    <s v="CIVIL"/>
    <d v="2023-06-27T00:00:00"/>
    <d v="2023-07-05T19:42:28"/>
    <m/>
    <d v="2023-07-05T00:00:00"/>
    <n v="233"/>
    <n v="14219"/>
    <s v="61508975"/>
    <s v="61508975"/>
    <m/>
    <m/>
    <m/>
    <m/>
    <m/>
    <m/>
    <s v="SOLRECOUP"/>
    <s v="SOLRECOUP"/>
    <s v="POARECOUP"/>
    <n v="21333742"/>
    <n v="-70"/>
    <m/>
    <s v="Y"/>
    <n v="2"/>
    <d v="2023-07-05T19:42:28"/>
    <s v="N"/>
    <m/>
    <m/>
    <s v="Non Expert Disbursement"/>
    <m/>
    <s v="N"/>
    <n v="0"/>
    <n v="0"/>
    <x v="6"/>
    <s v="VALIDATED"/>
    <n v="1"/>
    <s v="01.11.80.000.0000.0000"/>
    <n v="0"/>
    <s v="11"/>
    <s v="0000"/>
    <n v="24664.06"/>
    <n v="0"/>
    <s v="CREDITOR"/>
    <n v="0"/>
    <n v="0"/>
    <n v="0"/>
    <n v="0"/>
    <n v="0"/>
  </r>
  <r>
    <n v="61508975"/>
    <s v="N"/>
    <n v="21333743"/>
    <s v="3000015631530004RC"/>
    <s v="CIVIL"/>
    <d v="2023-06-27T00:00:00"/>
    <d v="2023-07-05T19:42:28"/>
    <m/>
    <d v="2023-07-05T00:00:00"/>
    <n v="233"/>
    <n v="14219"/>
    <s v="61508975"/>
    <s v="61508975"/>
    <m/>
    <m/>
    <m/>
    <m/>
    <m/>
    <m/>
    <s v="SOLRECOUP"/>
    <s v="SOLRECOUP"/>
    <s v="POARECOUP"/>
    <n v="21333743"/>
    <n v="-144.5"/>
    <m/>
    <s v="Y"/>
    <n v="1"/>
    <d v="2023-07-05T19:42:28"/>
    <s v="N"/>
    <m/>
    <m/>
    <s v="Non Expert Disbursement"/>
    <m/>
    <s v="N"/>
    <n v="-120.42"/>
    <n v="0"/>
    <x v="6"/>
    <s v="VALIDATED"/>
    <n v="1"/>
    <s v="01.11.80.308.2013.0000"/>
    <n v="-120.42"/>
    <s v="11"/>
    <s v="2013"/>
    <n v="24664.06"/>
    <n v="-120.42"/>
    <s v="CREDITOR"/>
    <n v="0"/>
    <n v="0"/>
    <n v="-120.42"/>
    <n v="0"/>
    <n v="0"/>
  </r>
  <r>
    <n v="61508975"/>
    <s v="N"/>
    <n v="21333743"/>
    <s v="3000015631530004RC"/>
    <s v="CIVIL"/>
    <d v="2023-06-27T00:00:00"/>
    <d v="2023-07-05T19:42:28"/>
    <m/>
    <d v="2023-07-05T00:00:00"/>
    <n v="233"/>
    <n v="14219"/>
    <s v="61508975"/>
    <s v="61508975"/>
    <m/>
    <m/>
    <m/>
    <m/>
    <m/>
    <m/>
    <s v="SOLRECOUP"/>
    <s v="SOLRECOUP"/>
    <s v="POARECOUP"/>
    <n v="21333743"/>
    <n v="-144.5"/>
    <m/>
    <s v="Y"/>
    <n v="2"/>
    <d v="2023-07-05T19:42:28"/>
    <s v="N"/>
    <m/>
    <m/>
    <s v="Non Expert Disbursement"/>
    <m/>
    <s v="N"/>
    <n v="0"/>
    <n v="-24.08"/>
    <x v="6"/>
    <s v="VALIDATED"/>
    <n v="1"/>
    <s v="01.11.80.308.2013.0000"/>
    <n v="-24.08"/>
    <s v="11"/>
    <s v="2013"/>
    <n v="24664.06"/>
    <n v="-24.08"/>
    <s v="CREDITOR"/>
    <n v="0"/>
    <n v="0"/>
    <n v="-24.08"/>
    <n v="0"/>
    <n v="0"/>
  </r>
  <r>
    <n v="11608450"/>
    <s v="N"/>
    <n v="21328597"/>
    <s v="3000007002310001RC"/>
    <s v="CIVIL"/>
    <d v="2023-06-26T00:00:00"/>
    <d v="2023-07-04T19:38:21"/>
    <m/>
    <d v="2023-07-04T00:00:00"/>
    <n v="233"/>
    <n v="14219"/>
    <s v="11608450"/>
    <s v="11608450"/>
    <m/>
    <m/>
    <m/>
    <m/>
    <m/>
    <m/>
    <s v="SOLRECOUP"/>
    <s v="SOLRECOUP"/>
    <s v="POARECOUP"/>
    <n v="21328597"/>
    <n v="-155"/>
    <m/>
    <s v="Y"/>
    <n v="1"/>
    <d v="2023-07-04T19:38:22"/>
    <s v="N"/>
    <m/>
    <m/>
    <s v="Non Expert Disbursement"/>
    <m/>
    <s v="N"/>
    <n v="-155"/>
    <n v="0"/>
    <x v="1"/>
    <s v="VALIDATED"/>
    <n v="1"/>
    <s v="01.11.80.307.2013.0000"/>
    <n v="-155"/>
    <s v="11"/>
    <s v="2013"/>
    <n v="24664.06"/>
    <n v="-155"/>
    <s v="CREDITOR"/>
    <n v="0"/>
    <n v="0"/>
    <n v="-155"/>
    <n v="0"/>
    <n v="0"/>
  </r>
  <r>
    <n v="11608450"/>
    <s v="N"/>
    <n v="21328597"/>
    <s v="3000007002310001RC"/>
    <s v="CIVIL"/>
    <d v="2023-06-26T00:00:00"/>
    <d v="2023-07-04T19:38:21"/>
    <m/>
    <d v="2023-07-04T00:00:00"/>
    <n v="233"/>
    <n v="14219"/>
    <s v="11608450"/>
    <s v="11608450"/>
    <m/>
    <m/>
    <m/>
    <m/>
    <m/>
    <m/>
    <s v="SOLRECOUP"/>
    <s v="SOLRECOUP"/>
    <s v="POARECOUP"/>
    <n v="21328597"/>
    <n v="-155"/>
    <m/>
    <s v="Y"/>
    <n v="2"/>
    <d v="2023-07-04T19:38:22"/>
    <s v="N"/>
    <m/>
    <m/>
    <s v="Non Expert Disbursement"/>
    <m/>
    <s v="N"/>
    <n v="0"/>
    <n v="0"/>
    <x v="1"/>
    <s v="VALIDATED"/>
    <n v="1"/>
    <s v="01.11.80.000.0000.0000"/>
    <n v="0"/>
    <s v="11"/>
    <s v="0000"/>
    <n v="24664.06"/>
    <n v="0"/>
    <s v="CREDITOR"/>
    <n v="0"/>
    <n v="0"/>
    <n v="0"/>
    <n v="0"/>
    <n v="0"/>
  </r>
  <r>
    <n v="11608450"/>
    <s v="N"/>
    <n v="21328598"/>
    <s v="3000007002310003RC"/>
    <s v="CIVIL"/>
    <d v="2023-06-26T00:00:00"/>
    <d v="2023-07-04T19:38:21"/>
    <m/>
    <d v="2023-07-04T00:00:00"/>
    <n v="233"/>
    <n v="14219"/>
    <s v="11608450"/>
    <s v="11608450"/>
    <m/>
    <m/>
    <m/>
    <m/>
    <m/>
    <m/>
    <s v="SOLRECOUP"/>
    <s v="SOLRECOUP"/>
    <s v="POARECOUP"/>
    <n v="21328598"/>
    <n v="-167"/>
    <m/>
    <s v="Y"/>
    <n v="2"/>
    <d v="2023-07-04T19:38:22"/>
    <s v="N"/>
    <m/>
    <m/>
    <s v="Non Expert Disbursement"/>
    <m/>
    <s v="N"/>
    <n v="0"/>
    <n v="0"/>
    <x v="1"/>
    <s v="VALIDATED"/>
    <n v="1"/>
    <s v="01.11.80.000.0000.0000"/>
    <n v="0"/>
    <s v="11"/>
    <s v="0000"/>
    <n v="24664.06"/>
    <n v="0"/>
    <s v="CREDITOR"/>
    <n v="0"/>
    <n v="0"/>
    <n v="0"/>
    <n v="0"/>
    <n v="0"/>
  </r>
  <r>
    <n v="11608450"/>
    <s v="N"/>
    <n v="21328598"/>
    <s v="3000007002310003RC"/>
    <s v="CIVIL"/>
    <d v="2023-06-26T00:00:00"/>
    <d v="2023-07-04T19:38:21"/>
    <m/>
    <d v="2023-07-04T00:00:00"/>
    <n v="233"/>
    <n v="14219"/>
    <s v="11608450"/>
    <s v="11608450"/>
    <m/>
    <m/>
    <m/>
    <m/>
    <m/>
    <m/>
    <s v="SOLRECOUP"/>
    <s v="SOLRECOUP"/>
    <s v="POARECOUP"/>
    <n v="21328598"/>
    <n v="-167"/>
    <m/>
    <s v="Y"/>
    <n v="1"/>
    <d v="2023-07-04T19:38:22"/>
    <s v="N"/>
    <m/>
    <m/>
    <s v="Non Expert Disbursement"/>
    <m/>
    <s v="N"/>
    <n v="-167"/>
    <n v="0"/>
    <x v="1"/>
    <s v="VALIDATED"/>
    <n v="1"/>
    <s v="01.11.80.307.2013.0000"/>
    <n v="-167"/>
    <s v="11"/>
    <s v="2013"/>
    <n v="24664.06"/>
    <n v="-167"/>
    <s v="CREDITOR"/>
    <n v="0"/>
    <n v="0"/>
    <n v="-167"/>
    <n v="0"/>
    <n v="0"/>
  </r>
  <r>
    <n v="11608450"/>
    <s v="N"/>
    <n v="21328599"/>
    <s v="3000007002310004RC"/>
    <s v="CIVIL"/>
    <d v="2023-06-26T00:00:00"/>
    <d v="2023-07-04T19:38:21"/>
    <m/>
    <d v="2023-07-04T00:00:00"/>
    <n v="233"/>
    <n v="14219"/>
    <s v="11608450"/>
    <s v="11608450"/>
    <m/>
    <m/>
    <m/>
    <m/>
    <m/>
    <m/>
    <s v="SOLRECOUP"/>
    <s v="SOLRECOUP"/>
    <s v="POARECOUP"/>
    <n v="21328599"/>
    <n v="-167"/>
    <m/>
    <s v="Y"/>
    <n v="2"/>
    <d v="2023-07-04T19:38:22"/>
    <s v="N"/>
    <m/>
    <m/>
    <s v="Non Expert Disbursement"/>
    <m/>
    <s v="N"/>
    <n v="0"/>
    <n v="0"/>
    <x v="1"/>
    <s v="VALIDATED"/>
    <n v="1"/>
    <s v="01.11.80.000.0000.0000"/>
    <n v="0"/>
    <s v="11"/>
    <s v="0000"/>
    <n v="24664.06"/>
    <n v="0"/>
    <s v="CREDITOR"/>
    <n v="0"/>
    <n v="0"/>
    <n v="0"/>
    <n v="0"/>
    <n v="0"/>
  </r>
  <r>
    <n v="11608450"/>
    <s v="N"/>
    <n v="21328599"/>
    <s v="3000007002310004RC"/>
    <s v="CIVIL"/>
    <d v="2023-06-26T00:00:00"/>
    <d v="2023-07-04T19:38:21"/>
    <m/>
    <d v="2023-07-04T00:00:00"/>
    <n v="233"/>
    <n v="14219"/>
    <s v="11608450"/>
    <s v="11608450"/>
    <m/>
    <m/>
    <m/>
    <m/>
    <m/>
    <m/>
    <s v="SOLRECOUP"/>
    <s v="SOLRECOUP"/>
    <s v="POARECOUP"/>
    <n v="21328599"/>
    <n v="-167"/>
    <m/>
    <s v="Y"/>
    <n v="1"/>
    <d v="2023-07-04T19:38:22"/>
    <s v="N"/>
    <m/>
    <m/>
    <s v="Non Expert Disbursement"/>
    <m/>
    <s v="N"/>
    <n v="-167"/>
    <n v="0"/>
    <x v="1"/>
    <s v="VALIDATED"/>
    <n v="1"/>
    <s v="01.11.80.307.2013.0000"/>
    <n v="-167"/>
    <s v="11"/>
    <s v="2013"/>
    <n v="24664.06"/>
    <n v="-167"/>
    <s v="CREDITOR"/>
    <n v="0"/>
    <n v="0"/>
    <n v="-167"/>
    <n v="0"/>
    <n v="0"/>
  </r>
  <r>
    <n v="11608450"/>
    <s v="N"/>
    <n v="21328600"/>
    <s v="3000007002310002RC"/>
    <s v="CIVIL"/>
    <d v="2023-06-26T00:00:00"/>
    <d v="2023-07-04T19:38:21"/>
    <m/>
    <d v="2023-07-04T00:00:00"/>
    <n v="233"/>
    <n v="14219"/>
    <s v="11608450"/>
    <s v="11608450"/>
    <m/>
    <m/>
    <m/>
    <m/>
    <m/>
    <m/>
    <s v="SOLRECOUP"/>
    <s v="SOLRECOUP"/>
    <s v="POARECOUP"/>
    <n v="21328600"/>
    <n v="-8347.620000000001"/>
    <m/>
    <s v="Y"/>
    <n v="1"/>
    <d v="2023-07-04T19:38:22"/>
    <s v="N"/>
    <m/>
    <m/>
    <s v="Expert Disbursement"/>
    <m/>
    <s v="N"/>
    <n v="-6956.35"/>
    <n v="0"/>
    <x v="1"/>
    <s v="VALIDATED"/>
    <n v="1"/>
    <s v="01.11.80.307.2013.0000"/>
    <n v="-6956.35"/>
    <s v="11"/>
    <s v="2013"/>
    <n v="24664.06"/>
    <n v="-6956.35"/>
    <s v="CREDITOR"/>
    <n v="0"/>
    <n v="0"/>
    <n v="-6956.35"/>
    <n v="0"/>
    <n v="0"/>
  </r>
  <r>
    <n v="11608450"/>
    <s v="N"/>
    <n v="21328600"/>
    <s v="3000007002310002RC"/>
    <s v="CIVIL"/>
    <d v="2023-06-26T00:00:00"/>
    <d v="2023-07-04T19:38:21"/>
    <m/>
    <d v="2023-07-04T00:00:00"/>
    <n v="233"/>
    <n v="14219"/>
    <s v="11608450"/>
    <s v="11608450"/>
    <m/>
    <m/>
    <m/>
    <m/>
    <m/>
    <m/>
    <s v="SOLRECOUP"/>
    <s v="SOLRECOUP"/>
    <s v="POARECOUP"/>
    <n v="21328600"/>
    <n v="-8347.620000000001"/>
    <m/>
    <s v="Y"/>
    <n v="2"/>
    <d v="2023-07-04T19:38:22"/>
    <s v="N"/>
    <m/>
    <m/>
    <s v="Expert Disbursement"/>
    <m/>
    <s v="N"/>
    <n v="0"/>
    <n v="-1391.27"/>
    <x v="1"/>
    <s v="VALIDATED"/>
    <n v="1"/>
    <s v="01.11.80.307.2013.0000"/>
    <n v="-1391.27"/>
    <s v="11"/>
    <s v="2013"/>
    <n v="24664.06"/>
    <n v="-1391.27"/>
    <s v="CREDITOR"/>
    <n v="0"/>
    <n v="0"/>
    <n v="-1391.27"/>
    <n v="0"/>
    <n v="0"/>
  </r>
  <r>
    <n v="59875750"/>
    <s v="N"/>
    <n v="21361308"/>
    <s v="3000014235440001RC"/>
    <s v="CIVIL"/>
    <d v="2023-06-27T00:00:00"/>
    <d v="2023-07-11T19:38:00"/>
    <m/>
    <d v="2023-07-11T00:00:00"/>
    <n v="233"/>
    <n v="14219"/>
    <s v="59875750"/>
    <s v="59875750"/>
    <m/>
    <m/>
    <m/>
    <m/>
    <m/>
    <m/>
    <s v="SOLRECOUP"/>
    <s v="SOLRECOUP"/>
    <s v="POARECOUP"/>
    <n v="21361308"/>
    <n v="-63.04"/>
    <m/>
    <s v="Y"/>
    <n v="1"/>
    <d v="2023-07-11T19:38:00"/>
    <s v="N"/>
    <m/>
    <m/>
    <s v="Non Expert Disbursement"/>
    <m/>
    <s v="N"/>
    <n v="-52.53"/>
    <n v="0"/>
    <x v="7"/>
    <s v="VALIDATED"/>
    <n v="1"/>
    <s v="01.11.80.308.2013.0000"/>
    <n v="-52.53"/>
    <s v="11"/>
    <s v="2013"/>
    <n v="24664.06"/>
    <n v="-52.53"/>
    <s v="CREDITOR"/>
    <n v="0"/>
    <n v="0"/>
    <n v="-52.53"/>
    <n v="0"/>
    <n v="0"/>
  </r>
  <r>
    <n v="59875750"/>
    <s v="N"/>
    <n v="21361308"/>
    <s v="3000014235440001RC"/>
    <s v="CIVIL"/>
    <d v="2023-06-27T00:00:00"/>
    <d v="2023-07-11T19:38:00"/>
    <m/>
    <d v="2023-07-11T00:00:00"/>
    <n v="233"/>
    <n v="14219"/>
    <s v="59875750"/>
    <s v="59875750"/>
    <m/>
    <m/>
    <m/>
    <m/>
    <m/>
    <m/>
    <s v="SOLRECOUP"/>
    <s v="SOLRECOUP"/>
    <s v="POARECOUP"/>
    <n v="21361308"/>
    <n v="-63.04"/>
    <m/>
    <s v="Y"/>
    <n v="2"/>
    <d v="2023-07-11T19:38:00"/>
    <s v="N"/>
    <m/>
    <m/>
    <s v="Non Expert Disbursement"/>
    <m/>
    <s v="N"/>
    <n v="0"/>
    <n v="-10.51"/>
    <x v="7"/>
    <s v="VALIDATED"/>
    <n v="1"/>
    <s v="01.11.80.308.2013.0000"/>
    <n v="-10.51"/>
    <s v="11"/>
    <s v="2013"/>
    <n v="24664.06"/>
    <n v="-10.51"/>
    <s v="CREDITOR"/>
    <n v="0"/>
    <n v="0"/>
    <n v="-10.51"/>
    <n v="0"/>
    <n v="0"/>
  </r>
  <r>
    <n v="59875750"/>
    <s v="N"/>
    <n v="21361312"/>
    <s v="3000014235440002RC"/>
    <s v="CIVIL"/>
    <d v="2023-06-27T00:00:00"/>
    <d v="2023-07-11T19:38:00"/>
    <m/>
    <d v="2023-07-11T00:00:00"/>
    <n v="233"/>
    <n v="14219"/>
    <s v="59875750"/>
    <s v="59875750"/>
    <m/>
    <m/>
    <m/>
    <m/>
    <m/>
    <m/>
    <s v="SOLRECOUP"/>
    <s v="SOLRECOUP"/>
    <s v="POARECOUP"/>
    <n v="21361312"/>
    <n v="-168.48"/>
    <m/>
    <s v="Y"/>
    <n v="1"/>
    <d v="2023-07-11T19:38:00"/>
    <s v="N"/>
    <m/>
    <m/>
    <s v="Expert Disbursement"/>
    <m/>
    <s v="N"/>
    <n v="-168.48"/>
    <n v="0"/>
    <x v="7"/>
    <s v="VALIDATED"/>
    <n v="1"/>
    <s v="01.11.80.308.2013.0000"/>
    <n v="-168.48"/>
    <s v="11"/>
    <s v="2013"/>
    <n v="24664.06"/>
    <n v="-168.48"/>
    <s v="CREDITOR"/>
    <n v="0"/>
    <n v="0"/>
    <n v="-168.48"/>
    <n v="0"/>
    <n v="0"/>
  </r>
  <r>
    <n v="59875750"/>
    <s v="N"/>
    <n v="21361312"/>
    <s v="3000014235440002RC"/>
    <s v="CIVIL"/>
    <d v="2023-06-27T00:00:00"/>
    <d v="2023-07-11T19:38:00"/>
    <m/>
    <d v="2023-07-11T00:00:00"/>
    <n v="233"/>
    <n v="14219"/>
    <s v="59875750"/>
    <s v="59875750"/>
    <m/>
    <m/>
    <m/>
    <m/>
    <m/>
    <m/>
    <s v="SOLRECOUP"/>
    <s v="SOLRECOUP"/>
    <s v="POARECOUP"/>
    <n v="21361312"/>
    <n v="-168.48"/>
    <m/>
    <s v="Y"/>
    <n v="2"/>
    <d v="2023-07-11T19:38:00"/>
    <s v="N"/>
    <m/>
    <m/>
    <s v="Expert Disbursement"/>
    <m/>
    <s v="N"/>
    <n v="0"/>
    <n v="0"/>
    <x v="7"/>
    <s v="VALIDATED"/>
    <n v="1"/>
    <s v="01.11.80.000.0000.0000"/>
    <n v="0"/>
    <s v="11"/>
    <s v="0000"/>
    <n v="24664.06"/>
    <n v="0"/>
    <s v="CREDITOR"/>
    <n v="0"/>
    <n v="0"/>
    <n v="0"/>
    <n v="0"/>
    <n v="0"/>
  </r>
  <r>
    <n v="59875750"/>
    <s v="N"/>
    <n v="21361313"/>
    <s v="3000014235440004RC"/>
    <s v="CIVIL"/>
    <d v="2023-06-27T00:00:00"/>
    <d v="2023-07-11T19:38:00"/>
    <m/>
    <d v="2023-07-11T00:00:00"/>
    <n v="233"/>
    <n v="14219"/>
    <s v="59875750"/>
    <s v="59875750"/>
    <m/>
    <m/>
    <m/>
    <m/>
    <m/>
    <m/>
    <s v="SOLRECOUP"/>
    <s v="SOLRECOUP"/>
    <s v="POARECOUP"/>
    <n v="21361313"/>
    <n v="-33.29"/>
    <m/>
    <s v="Y"/>
    <n v="1"/>
    <d v="2023-07-11T19:38:00"/>
    <s v="N"/>
    <m/>
    <m/>
    <s v="Expert Disbursement"/>
    <m/>
    <s v="N"/>
    <n v="-27.74"/>
    <n v="0"/>
    <x v="7"/>
    <s v="VALIDATED"/>
    <n v="1"/>
    <s v="01.11.80.308.2013.0000"/>
    <n v="-27.74"/>
    <s v="11"/>
    <s v="2013"/>
    <n v="24664.06"/>
    <n v="-27.74"/>
    <s v="CREDITOR"/>
    <n v="0"/>
    <n v="0"/>
    <n v="-27.74"/>
    <n v="0"/>
    <n v="0"/>
  </r>
  <r>
    <n v="59875750"/>
    <s v="N"/>
    <n v="21361313"/>
    <s v="3000014235440004RC"/>
    <s v="CIVIL"/>
    <d v="2023-06-27T00:00:00"/>
    <d v="2023-07-11T19:38:00"/>
    <m/>
    <d v="2023-07-11T00:00:00"/>
    <n v="233"/>
    <n v="14219"/>
    <s v="59875750"/>
    <s v="59875750"/>
    <m/>
    <m/>
    <m/>
    <m/>
    <m/>
    <m/>
    <s v="SOLRECOUP"/>
    <s v="SOLRECOUP"/>
    <s v="POARECOUP"/>
    <n v="21361313"/>
    <n v="-33.29"/>
    <m/>
    <s v="Y"/>
    <n v="2"/>
    <d v="2023-07-11T19:38:00"/>
    <s v="N"/>
    <m/>
    <m/>
    <s v="Expert Disbursement"/>
    <m/>
    <s v="N"/>
    <n v="0"/>
    <n v="-5.55"/>
    <x v="7"/>
    <s v="VALIDATED"/>
    <n v="1"/>
    <s v="01.11.80.308.2013.0000"/>
    <n v="-5.55"/>
    <s v="11"/>
    <s v="2013"/>
    <n v="24664.06"/>
    <n v="-5.55"/>
    <s v="CREDITOR"/>
    <n v="0"/>
    <n v="0"/>
    <n v="-5.55"/>
    <n v="0"/>
    <n v="0"/>
  </r>
  <r>
    <n v="59908479"/>
    <s v="N"/>
    <n v="21346260"/>
    <s v="3000014264970010RC"/>
    <s v="CIVIL"/>
    <d v="2023-06-27T00:00:00"/>
    <d v="2023-07-07T19:34:21"/>
    <m/>
    <d v="2023-07-07T00:00:00"/>
    <n v="233"/>
    <n v="14219"/>
    <s v="59908479"/>
    <s v="59908479"/>
    <m/>
    <m/>
    <m/>
    <m/>
    <m/>
    <m/>
    <s v="SOLRECOUP"/>
    <s v="SOLRECOUP"/>
    <s v="POARECOUP"/>
    <n v="21346260"/>
    <n v="-167"/>
    <m/>
    <s v="Y"/>
    <n v="2"/>
    <d v="2023-07-07T19:34:22"/>
    <s v="N"/>
    <m/>
    <m/>
    <s v="Non Expert Disbursement"/>
    <m/>
    <s v="N"/>
    <n v="0"/>
    <n v="0"/>
    <x v="9"/>
    <s v="VALIDATED"/>
    <n v="1"/>
    <s v="01.11.80.000.0000.0000"/>
    <n v="0"/>
    <s v="11"/>
    <s v="0000"/>
    <n v="24664.06"/>
    <n v="0"/>
    <s v="CREDITOR"/>
    <n v="0"/>
    <n v="0"/>
    <n v="0"/>
    <n v="0"/>
    <n v="0"/>
  </r>
  <r>
    <n v="59908479"/>
    <s v="N"/>
    <n v="21346261"/>
    <s v="3000014264970014RC"/>
    <s v="CIVIL"/>
    <d v="2023-06-27T00:00:00"/>
    <d v="2023-07-07T19:34:21"/>
    <m/>
    <d v="2023-07-07T00:00:00"/>
    <n v="233"/>
    <n v="14219"/>
    <s v="59908479"/>
    <s v="59908479"/>
    <m/>
    <m/>
    <m/>
    <m/>
    <m/>
    <m/>
    <s v="SOLRECOUP"/>
    <s v="SOLRECOUP"/>
    <s v="POARECOUP"/>
    <n v="21346261"/>
    <n v="-399.45"/>
    <m/>
    <s v="Y"/>
    <n v="1"/>
    <d v="2023-07-07T19:34:22"/>
    <s v="N"/>
    <m/>
    <m/>
    <s v="Expert Disbursement"/>
    <m/>
    <s v="N"/>
    <n v="-399.45"/>
    <n v="0"/>
    <x v="9"/>
    <s v="VALIDATED"/>
    <n v="1"/>
    <s v="01.11.80.308.2013.0000"/>
    <n v="-399.45"/>
    <s v="11"/>
    <s v="2013"/>
    <n v="24664.06"/>
    <n v="-399.45"/>
    <s v="CREDITOR"/>
    <n v="0"/>
    <n v="0"/>
    <n v="-399.45"/>
    <n v="0"/>
    <n v="0"/>
  </r>
  <r>
    <n v="59908479"/>
    <s v="N"/>
    <n v="21346261"/>
    <s v="3000014264970014RC"/>
    <s v="CIVIL"/>
    <d v="2023-06-27T00:00:00"/>
    <d v="2023-07-07T19:34:21"/>
    <m/>
    <d v="2023-07-07T00:00:00"/>
    <n v="233"/>
    <n v="14219"/>
    <s v="59908479"/>
    <s v="59908479"/>
    <m/>
    <m/>
    <m/>
    <m/>
    <m/>
    <m/>
    <s v="SOLRECOUP"/>
    <s v="SOLRECOUP"/>
    <s v="POARECOUP"/>
    <n v="21346261"/>
    <n v="-399.45"/>
    <m/>
    <s v="Y"/>
    <n v="2"/>
    <d v="2023-07-07T19:34:22"/>
    <s v="N"/>
    <m/>
    <m/>
    <s v="Expert Disbursement"/>
    <m/>
    <s v="N"/>
    <n v="0"/>
    <n v="0"/>
    <x v="9"/>
    <s v="VALIDATED"/>
    <n v="1"/>
    <s v="01.11.80.000.0000.0000"/>
    <n v="0"/>
    <s v="11"/>
    <s v="0000"/>
    <n v="24664.06"/>
    <n v="0"/>
    <s v="CREDITOR"/>
    <n v="0"/>
    <n v="0"/>
    <n v="0"/>
    <n v="0"/>
    <n v="0"/>
  </r>
  <r>
    <n v="61132004"/>
    <s v="N"/>
    <n v="21331032"/>
    <s v="3000015318630004"/>
    <s v="CIVIL"/>
    <d v="2023-06-26T00:00:00"/>
    <d v="2023-07-05T19:01:47"/>
    <m/>
    <d v="2023-07-05T00:00:00"/>
    <n v="233"/>
    <n v="14219"/>
    <s v="61132004"/>
    <s v="61132004"/>
    <m/>
    <m/>
    <n v="22760074"/>
    <m/>
    <m/>
    <m/>
    <s v="SOLFIN"/>
    <s v="SOLFIN"/>
    <s v="CCMS"/>
    <n v="21331032"/>
    <n v="5052.17"/>
    <m/>
    <s v="N"/>
    <n v="3"/>
    <d v="2023-07-05T19:02:03"/>
    <s v="Y"/>
    <s v="Toxicologist"/>
    <s v="Public Law Children"/>
    <s v="Expert Disbursement"/>
    <s v="NJH"/>
    <s v="Y"/>
    <n v="108.33"/>
    <n v="21.67"/>
    <x v="6"/>
    <s v="VALIDATED"/>
    <n v="1"/>
    <s v="01.11.80.308.6300.0000"/>
    <n v="108.33"/>
    <s v="11"/>
    <s v="6300"/>
    <n v="24664.06"/>
    <n v="108.33"/>
    <s v="CREDITOR"/>
    <n v="0"/>
    <n v="0"/>
    <n v="0"/>
    <n v="0"/>
    <n v="108.33"/>
  </r>
  <r>
    <n v="59875750"/>
    <s v="N"/>
    <n v="21360453"/>
    <s v="3000014235440006"/>
    <s v="CIVIL"/>
    <d v="2023-06-27T00:00:00"/>
    <d v="2023-07-11T11:50:54"/>
    <m/>
    <d v="2023-07-11T00:00:00"/>
    <n v="233"/>
    <n v="14219"/>
    <s v="59875750"/>
    <s v="59875750"/>
    <m/>
    <m/>
    <n v="22770302"/>
    <m/>
    <m/>
    <m/>
    <s v="SOLFIN"/>
    <s v="SOLFIN"/>
    <s v="CCMS"/>
    <n v="21360453"/>
    <n v="7187.56"/>
    <m/>
    <s v="N"/>
    <n v="4"/>
    <d v="2023-07-11T11:51:05"/>
    <s v="Y"/>
    <s v="Solicitor Travel Expenses"/>
    <s v="Public Law Children"/>
    <s v="Non Expert Disbursement"/>
    <s v="NJH"/>
    <s v="Y"/>
    <n v="49.05"/>
    <n v="9.81"/>
    <x v="7"/>
    <s v="VALIDATED"/>
    <n v="1"/>
    <s v="01.11.80.308.6300.0000"/>
    <n v="49.05"/>
    <s v="11"/>
    <s v="6300"/>
    <n v="24664.06"/>
    <n v="49.05"/>
    <s v="CREDITOR"/>
    <n v="0"/>
    <n v="0"/>
    <n v="0"/>
    <n v="0"/>
    <n v="49.05"/>
  </r>
  <r>
    <n v="11608450"/>
    <s v="N"/>
    <n v="21327971"/>
    <s v="3000007002310005"/>
    <s v="CIVIL"/>
    <d v="2023-06-26T00:00:00"/>
    <d v="2023-07-04T19:00:44"/>
    <m/>
    <d v="2023-07-04T00:00:00"/>
    <n v="233"/>
    <n v="14219"/>
    <s v="11608450"/>
    <s v="11608450"/>
    <m/>
    <m/>
    <n v="22764408"/>
    <m/>
    <m/>
    <m/>
    <s v="SOLFIN"/>
    <s v="SOLFIN"/>
    <s v="CCMS"/>
    <n v="21327971"/>
    <n v="12677.55"/>
    <m/>
    <s v="N"/>
    <n v="36"/>
    <d v="2023-07-04T19:01:00"/>
    <s v="Y"/>
    <s v="Preparation - drafting statement"/>
    <s v="Prescribed Hourly Rates"/>
    <s v="Profit Cost"/>
    <s v="SJ"/>
    <s v="Y"/>
    <n v="18.94"/>
    <n v="3.79"/>
    <x v="1"/>
    <s v="VALIDATED"/>
    <n v="1"/>
    <s v="01.11.80.307.6100.0000"/>
    <n v="18.94"/>
    <s v="11"/>
    <s v="6100"/>
    <n v="24664.06"/>
    <n v="18.94"/>
    <s v="CREDITOR"/>
    <n v="0"/>
    <n v="0"/>
    <n v="0"/>
    <n v="0"/>
    <n v="18.94"/>
  </r>
  <r>
    <n v="59875750"/>
    <s v="N"/>
    <n v="21360453"/>
    <s v="3000014235440006"/>
    <s v="CIVIL"/>
    <d v="2023-06-27T00:00:00"/>
    <d v="2023-07-11T11:50:54"/>
    <m/>
    <d v="2023-07-11T00:00:00"/>
    <n v="233"/>
    <n v="14219"/>
    <s v="59875750"/>
    <s v="59875750"/>
    <m/>
    <m/>
    <n v="22770302"/>
    <m/>
    <m/>
    <m/>
    <s v="SOLFIN"/>
    <s v="SOLFIN"/>
    <s v="CCMS"/>
    <n v="21360453"/>
    <n v="7187.56"/>
    <m/>
    <s v="N"/>
    <n v="14"/>
    <d v="2023-07-11T11:51:05"/>
    <s v="Y"/>
    <s v="Hearing Unit 5.01 - 7.30 Hours"/>
    <s v="Public Law Children"/>
    <s v="Advocacy"/>
    <s v="NJH"/>
    <s v="Y"/>
    <n v="715.38"/>
    <n v="143.08"/>
    <x v="7"/>
    <s v="VALIDATED"/>
    <n v="1"/>
    <s v="01.11.80.308.6100.0000"/>
    <n v="715.38"/>
    <s v="11"/>
    <s v="6100"/>
    <n v="24664.06"/>
    <n v="715.38"/>
    <s v="CREDITOR"/>
    <n v="0"/>
    <n v="0"/>
    <n v="0"/>
    <n v="0"/>
    <n v="715.38"/>
  </r>
  <r>
    <n v="62316193"/>
    <s v="N"/>
    <n v="21321173"/>
    <s v="3000016305230001"/>
    <s v="CIVIL"/>
    <d v="2023-06-28T00:00:00"/>
    <d v="2023-07-03T19:04:52"/>
    <m/>
    <d v="2023-07-03T00:00:00"/>
    <n v="233"/>
    <n v="14219"/>
    <s v="62316193"/>
    <s v="62316193"/>
    <m/>
    <m/>
    <n v="22780690"/>
    <m/>
    <m/>
    <m/>
    <s v="SOLPOA"/>
    <s v="SOLPOA"/>
    <s v="CCMS"/>
    <n v="21321173"/>
    <n v="167"/>
    <m/>
    <s v="N"/>
    <n v="1"/>
    <d v="2023-07-03T19:04:58"/>
    <s v="N"/>
    <s v="Non Expert Disbursement - Private L"/>
    <s v="Non Expert Disbursement - Priv"/>
    <s v="Non Expert Disbursement"/>
    <s v="Samantha Jeanes"/>
    <s v="N"/>
    <n v="167"/>
    <n v="0"/>
    <x v="3"/>
    <s v="VALIDATED"/>
    <n v="1"/>
    <s v="01.11.80.307.2012.0000"/>
    <n v="167"/>
    <s v="11"/>
    <s v="2012"/>
    <n v="24664.06"/>
    <n v="167"/>
    <s v="CREDITOR"/>
    <n v="167"/>
    <n v="0"/>
    <n v="0"/>
    <n v="0"/>
    <n v="0"/>
  </r>
  <r>
    <n v="61134679"/>
    <s v="N"/>
    <n v="21321159"/>
    <s v="3000015319910001"/>
    <s v="CIVIL"/>
    <d v="2023-06-28T00:00:00"/>
    <d v="2023-07-03T19:04:52"/>
    <m/>
    <d v="2023-07-03T00:00:00"/>
    <n v="233"/>
    <n v="14219"/>
    <s v="61134679"/>
    <s v="61134679"/>
    <m/>
    <m/>
    <n v="22780406"/>
    <m/>
    <m/>
    <m/>
    <s v="SOLPOA"/>
    <s v="SOLPOA"/>
    <s v="CCMS"/>
    <n v="21321159"/>
    <n v="2451.6"/>
    <m/>
    <s v="N"/>
    <n v="1"/>
    <d v="2023-07-03T19:04:58"/>
    <s v="N"/>
    <s v="Non Expert Disbursement"/>
    <s v="Non Expert Disbursement"/>
    <s v="Non Expert Disbursement"/>
    <s v="Samantha Jeanes"/>
    <s v="N"/>
    <n v="2043"/>
    <n v="408.6"/>
    <x v="3"/>
    <s v="VALIDATED"/>
    <n v="1"/>
    <s v="01.11.80.307.2012.0000"/>
    <n v="2043"/>
    <s v="11"/>
    <s v="2012"/>
    <n v="24664.06"/>
    <n v="2043"/>
    <s v="CREDITOR"/>
    <n v="2043"/>
    <n v="0"/>
    <n v="0"/>
    <n v="0"/>
    <n v="0"/>
  </r>
  <r>
    <n v="11608450"/>
    <s v="N"/>
    <n v="21327971"/>
    <s v="3000007002310005"/>
    <s v="CIVIL"/>
    <d v="2023-06-26T00:00:00"/>
    <d v="2023-07-04T19:00:44"/>
    <m/>
    <d v="2023-07-04T00:00:00"/>
    <n v="233"/>
    <n v="14219"/>
    <s v="11608450"/>
    <s v="11608450"/>
    <m/>
    <m/>
    <n v="22764408"/>
    <m/>
    <m/>
    <m/>
    <s v="SOLFIN"/>
    <s v="SOLFIN"/>
    <s v="CCMS"/>
    <n v="21327971"/>
    <n v="12677.55"/>
    <m/>
    <s v="N"/>
    <n v="19"/>
    <d v="2023-07-04T19:01:00"/>
    <s v="Y"/>
    <s v="Preparation - other"/>
    <s v="Prescribed Hourly Rates"/>
    <s v="Profit Cost"/>
    <s v="SJ"/>
    <s v="Y"/>
    <n v="25.25"/>
    <n v="5.05"/>
    <x v="1"/>
    <s v="VALIDATED"/>
    <n v="1"/>
    <s v="01.11.80.307.6100.0000"/>
    <n v="25.25"/>
    <s v="11"/>
    <s v="6100"/>
    <n v="24664.06"/>
    <n v="25.25"/>
    <s v="CREDITOR"/>
    <n v="0"/>
    <n v="0"/>
    <n v="0"/>
    <n v="0"/>
    <n v="25.25"/>
  </r>
  <r>
    <n v="11627319"/>
    <s v="N"/>
    <n v="21327923"/>
    <s v="3000007007050001"/>
    <s v="CIVIL"/>
    <d v="2023-06-26T00:00:00"/>
    <d v="2023-07-04T19:00:44"/>
    <m/>
    <d v="2023-07-04T00:00:00"/>
    <n v="233"/>
    <n v="14219"/>
    <s v="11627319"/>
    <s v="11627319"/>
    <m/>
    <m/>
    <n v="22764426"/>
    <m/>
    <m/>
    <m/>
    <s v="SOLFIN"/>
    <s v="SOLFIN"/>
    <s v="CCMS"/>
    <n v="21327923"/>
    <n v="0"/>
    <m/>
    <s v="N"/>
    <n v="1"/>
    <d v="2023-07-04T19:00:58"/>
    <s v="N"/>
    <s v="NIL BILL"/>
    <s v="Prescribed Hourly Rates"/>
    <s v="Profit Cost"/>
    <s v="SJ"/>
    <s v="N"/>
    <n v="0"/>
    <n v="0"/>
    <x v="1"/>
    <s v="VALIDATED"/>
    <n v="1"/>
    <s v="01.11.80.307.6100.0000"/>
    <n v="0"/>
    <s v="11"/>
    <s v="6100"/>
    <n v="24664.06"/>
    <n v="0"/>
    <s v="CREDITOR"/>
    <n v="0"/>
    <n v="0"/>
    <n v="0"/>
    <n v="0"/>
    <n v="0"/>
  </r>
  <r>
    <n v="59875750"/>
    <s v="N"/>
    <n v="21360453"/>
    <s v="3000014235440006"/>
    <s v="CIVIL"/>
    <d v="2023-06-27T00:00:00"/>
    <d v="2023-07-11T11:50:54"/>
    <m/>
    <d v="2023-07-11T00:00:00"/>
    <n v="233"/>
    <n v="14219"/>
    <s v="59875750"/>
    <s v="59875750"/>
    <m/>
    <m/>
    <n v="22770302"/>
    <m/>
    <m/>
    <m/>
    <s v="SOLFIN"/>
    <s v="SOLFIN"/>
    <s v="CCMS"/>
    <n v="21360453"/>
    <n v="7187.56"/>
    <m/>
    <s v="N"/>
    <n v="8"/>
    <d v="2023-07-11T11:51:05"/>
    <s v="Y"/>
    <s v="Advocates Meeting"/>
    <s v="Public Law Children"/>
    <s v="Advocacy"/>
    <s v="NJH"/>
    <s v="Y"/>
    <n v="140.99"/>
    <n v="28.2"/>
    <x v="7"/>
    <s v="VALIDATED"/>
    <n v="1"/>
    <s v="01.11.80.308.6100.0000"/>
    <n v="140.99"/>
    <s v="11"/>
    <s v="6100"/>
    <n v="24664.06"/>
    <n v="140.99"/>
    <s v="CREDITOR"/>
    <n v="0"/>
    <n v="0"/>
    <n v="0"/>
    <n v="0"/>
    <n v="140.99"/>
  </r>
  <r>
    <n v="11608450"/>
    <s v="N"/>
    <n v="21327971"/>
    <s v="3000007002310005"/>
    <s v="CIVIL"/>
    <d v="2023-06-26T00:00:00"/>
    <d v="2023-07-04T19:00:44"/>
    <m/>
    <d v="2023-07-04T00:00:00"/>
    <n v="233"/>
    <n v="14219"/>
    <s v="11608450"/>
    <s v="11608450"/>
    <m/>
    <m/>
    <n v="22764408"/>
    <m/>
    <m/>
    <m/>
    <s v="SOLFIN"/>
    <s v="SOLFIN"/>
    <s v="CCMS"/>
    <n v="21327971"/>
    <n v="12677.55"/>
    <m/>
    <s v="N"/>
    <n v="16"/>
    <d v="2023-07-04T19:01:00"/>
    <s v="Y"/>
    <s v="Preparation - other"/>
    <s v="Prescribed Hourly Rates"/>
    <s v="Profit Cost"/>
    <s v="SJ"/>
    <s v="Y"/>
    <n v="63.14"/>
    <n v="12.63"/>
    <x v="1"/>
    <s v="VALIDATED"/>
    <n v="1"/>
    <s v="01.11.80.307.6100.0000"/>
    <n v="63.14"/>
    <s v="11"/>
    <s v="6100"/>
    <n v="24664.06"/>
    <n v="63.14"/>
    <s v="CREDITOR"/>
    <n v="0"/>
    <n v="0"/>
    <n v="0"/>
    <n v="0"/>
    <n v="63.14"/>
  </r>
  <r>
    <n v="60966802"/>
    <s v="N"/>
    <n v="21318478"/>
    <s v="3000015178700003"/>
    <s v="CIVIL"/>
    <d v="2023-06-26T00:00:00"/>
    <d v="2023-07-03T19:01:49"/>
    <m/>
    <d v="2023-07-03T00:00:00"/>
    <n v="233"/>
    <n v="14219"/>
    <s v="60966802"/>
    <s v="60966802"/>
    <m/>
    <m/>
    <n v="22759664"/>
    <m/>
    <m/>
    <m/>
    <s v="SOLFIN"/>
    <s v="SOLFIN"/>
    <s v="CCMS"/>
    <n v="21318478"/>
    <n v="3139.2"/>
    <m/>
    <s v="N"/>
    <n v="1"/>
    <d v="2023-07-03T19:01:57"/>
    <s v="Y"/>
    <s v="Solicitors Fixed Fee"/>
    <s v="Public Law Children"/>
    <s v="Profit Cost"/>
    <s v="SJ"/>
    <s v="Y"/>
    <n v="2616"/>
    <n v="523.2"/>
    <x v="3"/>
    <s v="VALIDATED"/>
    <n v="1"/>
    <s v="01.11.80.308.6100.0000"/>
    <n v="2616"/>
    <s v="11"/>
    <s v="6100"/>
    <n v="24664.06"/>
    <n v="2616"/>
    <s v="CREDITOR"/>
    <n v="0"/>
    <n v="0"/>
    <n v="0"/>
    <n v="0"/>
    <n v="2616"/>
  </r>
  <r>
    <n v="59875750"/>
    <s v="N"/>
    <n v="21360453"/>
    <s v="3000014235440006"/>
    <s v="CIVIL"/>
    <d v="2023-06-27T00:00:00"/>
    <d v="2023-07-11T11:50:54"/>
    <m/>
    <d v="2023-07-11T00:00:00"/>
    <n v="233"/>
    <n v="14219"/>
    <s v="59875750"/>
    <s v="59875750"/>
    <m/>
    <m/>
    <n v="22770302"/>
    <m/>
    <m/>
    <m/>
    <s v="SOLFIN"/>
    <s v="SOLFIN"/>
    <s v="CCMS"/>
    <n v="21360453"/>
    <n v="7187.56"/>
    <m/>
    <s v="N"/>
    <n v="6"/>
    <d v="2023-07-11T11:51:05"/>
    <s v="Y"/>
    <s v="Expert - Other"/>
    <s v="Public Law Children"/>
    <s v="Expert Disbursement"/>
    <s v="NJH"/>
    <s v="Y"/>
    <n v="52.53"/>
    <n v="10.51"/>
    <x v="7"/>
    <s v="VALIDATED"/>
    <n v="1"/>
    <s v="01.11.80.308.6300.0000"/>
    <n v="52.53"/>
    <s v="11"/>
    <s v="6300"/>
    <n v="24664.06"/>
    <n v="52.53"/>
    <s v="CREDITOR"/>
    <n v="0"/>
    <n v="0"/>
    <n v="0"/>
    <n v="0"/>
    <n v="52.53"/>
  </r>
  <r>
    <n v="59875750"/>
    <s v="N"/>
    <n v="21360453"/>
    <s v="3000014235440006"/>
    <s v="CIVIL"/>
    <d v="2023-06-27T00:00:00"/>
    <d v="2023-07-11T11:50:54"/>
    <m/>
    <d v="2023-07-11T00:00:00"/>
    <n v="233"/>
    <n v="14219"/>
    <s v="59875750"/>
    <s v="59875750"/>
    <m/>
    <m/>
    <n v="22770302"/>
    <m/>
    <m/>
    <m/>
    <s v="SOLFIN"/>
    <s v="SOLFIN"/>
    <s v="CCMS"/>
    <n v="21360453"/>
    <n v="7187.56"/>
    <m/>
    <s v="N"/>
    <n v="2"/>
    <d v="2023-07-11T11:51:05"/>
    <s v="Y"/>
    <s v="Expert - Other"/>
    <s v="Public Law Children"/>
    <s v="Expert Disbursement"/>
    <s v="NJH"/>
    <s v="Y"/>
    <n v="27.74"/>
    <n v="5.55"/>
    <x v="7"/>
    <s v="VALIDATED"/>
    <n v="1"/>
    <s v="01.11.80.308.6300.0000"/>
    <n v="27.74"/>
    <s v="11"/>
    <s v="6300"/>
    <n v="24664.06"/>
    <n v="27.74"/>
    <s v="CREDITOR"/>
    <n v="0"/>
    <n v="0"/>
    <n v="0"/>
    <n v="0"/>
    <n v="27.74"/>
  </r>
  <r>
    <n v="11608450"/>
    <s v="N"/>
    <n v="21327971"/>
    <s v="3000007002310005"/>
    <s v="CIVIL"/>
    <d v="2023-06-26T00:00:00"/>
    <d v="2023-07-04T19:00:44"/>
    <m/>
    <d v="2023-07-04T00:00:00"/>
    <n v="233"/>
    <n v="14219"/>
    <s v="11608450"/>
    <s v="11608450"/>
    <m/>
    <m/>
    <n v="22764408"/>
    <m/>
    <m/>
    <m/>
    <s v="SOLFIN"/>
    <s v="SOLFIN"/>
    <s v="CCMS"/>
    <n v="21327971"/>
    <n v="12677.55"/>
    <m/>
    <s v="N"/>
    <n v="32"/>
    <d v="2023-07-04T19:01:00"/>
    <s v="Y"/>
    <s v="Preparation - drafting instructions"/>
    <s v="Prescribed Hourly Rates"/>
    <s v="Profit Cost"/>
    <s v="KB"/>
    <s v="Y"/>
    <n v="32.94"/>
    <n v="6.59"/>
    <x v="1"/>
    <s v="VALIDATED"/>
    <n v="1"/>
    <s v="01.11.80.307.6100.0000"/>
    <n v="32.94"/>
    <s v="11"/>
    <s v="6100"/>
    <n v="24664.06"/>
    <n v="32.94"/>
    <s v="CREDITOR"/>
    <n v="0"/>
    <n v="0"/>
    <n v="0"/>
    <n v="0"/>
    <n v="32.94"/>
  </r>
  <r>
    <n v="11608450"/>
    <s v="N"/>
    <n v="21327971"/>
    <s v="3000007002310005"/>
    <s v="CIVIL"/>
    <d v="2023-06-26T00:00:00"/>
    <d v="2023-07-04T19:00:44"/>
    <m/>
    <d v="2023-07-04T00:00:00"/>
    <n v="233"/>
    <n v="14219"/>
    <s v="11608450"/>
    <s v="11608450"/>
    <m/>
    <m/>
    <n v="22764408"/>
    <m/>
    <m/>
    <m/>
    <s v="SOLFIN"/>
    <s v="SOLFIN"/>
    <s v="CCMS"/>
    <n v="21327971"/>
    <n v="12677.55"/>
    <m/>
    <s v="N"/>
    <n v="40"/>
    <d v="2023-07-04T19:01:00"/>
    <s v="Y"/>
    <s v="Court Fee"/>
    <s v="Prescribed Hourly Rates"/>
    <s v="Non Expert Disbursement"/>
    <s v="SJ"/>
    <s v="Y"/>
    <n v="102"/>
    <n v="0"/>
    <x v="1"/>
    <s v="VALIDATED"/>
    <n v="1"/>
    <s v="01.11.80.307.6300.0000"/>
    <n v="102"/>
    <s v="11"/>
    <s v="6300"/>
    <n v="24664.06"/>
    <n v="102"/>
    <s v="CREDITOR"/>
    <n v="0"/>
    <n v="0"/>
    <n v="0"/>
    <n v="0"/>
    <n v="102"/>
  </r>
  <r>
    <n v="11608450"/>
    <s v="N"/>
    <n v="21327971"/>
    <s v="3000007002310005"/>
    <s v="CIVIL"/>
    <d v="2023-06-26T00:00:00"/>
    <d v="2023-07-04T19:00:44"/>
    <m/>
    <d v="2023-07-04T00:00:00"/>
    <n v="233"/>
    <n v="14219"/>
    <s v="11608450"/>
    <s v="11608450"/>
    <m/>
    <m/>
    <n v="22764408"/>
    <m/>
    <m/>
    <m/>
    <s v="SOLFIN"/>
    <s v="SOLFIN"/>
    <s v="CCMS"/>
    <n v="21327971"/>
    <n v="12677.55"/>
    <m/>
    <s v="N"/>
    <n v="7"/>
    <d v="2023-07-04T19:01:00"/>
    <s v="Y"/>
    <s v="Preparation - other"/>
    <s v="Prescribed Hourly Rates"/>
    <s v="Profit Cost"/>
    <s v="SJ"/>
    <s v="Y"/>
    <n v="31.57"/>
    <n v="6.31"/>
    <x v="1"/>
    <s v="VALIDATED"/>
    <n v="1"/>
    <s v="01.11.80.307.6100.0000"/>
    <n v="31.57"/>
    <s v="11"/>
    <s v="6100"/>
    <n v="24664.06"/>
    <n v="31.57"/>
    <s v="CREDITOR"/>
    <n v="0"/>
    <n v="0"/>
    <n v="0"/>
    <n v="0"/>
    <n v="31.57"/>
  </r>
  <r>
    <n v="11608450"/>
    <s v="N"/>
    <n v="21327971"/>
    <s v="3000007002310005"/>
    <s v="CIVIL"/>
    <d v="2023-06-26T00:00:00"/>
    <d v="2023-07-04T19:00:44"/>
    <m/>
    <d v="2023-07-04T00:00:00"/>
    <n v="233"/>
    <n v="14219"/>
    <s v="11608450"/>
    <s v="11608450"/>
    <m/>
    <m/>
    <n v="22764408"/>
    <m/>
    <m/>
    <m/>
    <s v="SOLFIN"/>
    <s v="SOLFIN"/>
    <s v="CCMS"/>
    <n v="21327971"/>
    <n v="12677.55"/>
    <m/>
    <s v="N"/>
    <n v="12"/>
    <d v="2023-07-04T19:01:00"/>
    <s v="Y"/>
    <s v="Preparation - other"/>
    <s v="Prescribed Hourly Rates"/>
    <s v="Profit Cost"/>
    <s v="KB"/>
    <s v="Y"/>
    <n v="82.34999999999999"/>
    <n v="16.47"/>
    <x v="1"/>
    <s v="VALIDATED"/>
    <n v="1"/>
    <s v="01.11.80.307.6100.0000"/>
    <n v="82.34999999999999"/>
    <s v="11"/>
    <s v="6100"/>
    <n v="24664.06"/>
    <n v="82.34999999999999"/>
    <s v="CREDITOR"/>
    <n v="0"/>
    <n v="0"/>
    <n v="0"/>
    <n v="0"/>
    <n v="82.34999999999999"/>
  </r>
  <r>
    <n v="61132004"/>
    <s v="N"/>
    <n v="21331032"/>
    <s v="3000015318630004"/>
    <s v="CIVIL"/>
    <d v="2023-06-26T00:00:00"/>
    <d v="2023-07-05T19:01:47"/>
    <m/>
    <d v="2023-07-05T00:00:00"/>
    <n v="233"/>
    <n v="14219"/>
    <s v="61132004"/>
    <s v="61132004"/>
    <m/>
    <m/>
    <n v="22760074"/>
    <m/>
    <m/>
    <m/>
    <s v="SOLFIN"/>
    <s v="SOLFIN"/>
    <s v="CCMS"/>
    <n v="21331032"/>
    <n v="5052.17"/>
    <m/>
    <s v="N"/>
    <n v="4"/>
    <d v="2023-07-05T19:02:03"/>
    <s v="Y"/>
    <s v="Child psychologist"/>
    <s v="Public Law Children"/>
    <s v="Expert Disbursement"/>
    <s v="NJH"/>
    <s v="Y"/>
    <n v="901.67"/>
    <n v="180.34"/>
    <x v="6"/>
    <s v="VALIDATED"/>
    <n v="1"/>
    <s v="01.11.80.308.6300.0000"/>
    <n v="901.67"/>
    <s v="11"/>
    <s v="6300"/>
    <n v="24664.06"/>
    <n v="901.67"/>
    <s v="CREDITOR"/>
    <n v="0"/>
    <n v="0"/>
    <n v="0"/>
    <n v="0"/>
    <n v="901.67"/>
  </r>
  <r>
    <n v="11608450"/>
    <s v="N"/>
    <n v="21327971"/>
    <s v="3000007002310005"/>
    <s v="CIVIL"/>
    <d v="2023-06-26T00:00:00"/>
    <d v="2023-07-04T19:00:44"/>
    <m/>
    <d v="2023-07-04T00:00:00"/>
    <n v="233"/>
    <n v="14219"/>
    <s v="11608450"/>
    <s v="11608450"/>
    <m/>
    <m/>
    <n v="22764408"/>
    <m/>
    <m/>
    <m/>
    <s v="SOLFIN"/>
    <s v="SOLFIN"/>
    <s v="CCMS"/>
    <n v="21327971"/>
    <n v="12677.55"/>
    <m/>
    <s v="N"/>
    <n v="22"/>
    <d v="2023-07-04T19:01:00"/>
    <s v="Y"/>
    <s v="Report - Welfare report"/>
    <s v="Prescribed Hourly Rates"/>
    <s v="Profit Cost"/>
    <s v="SJ"/>
    <s v="Y"/>
    <n v="37.88"/>
    <n v="7.58"/>
    <x v="1"/>
    <s v="VALIDATED"/>
    <n v="1"/>
    <s v="01.11.80.307.6100.0000"/>
    <n v="37.88"/>
    <s v="11"/>
    <s v="6100"/>
    <n v="24664.06"/>
    <n v="37.88"/>
    <s v="CREDITOR"/>
    <n v="0"/>
    <n v="0"/>
    <n v="0"/>
    <n v="0"/>
    <n v="37.88"/>
  </r>
  <r>
    <n v="11608450"/>
    <s v="N"/>
    <n v="21327971"/>
    <s v="3000007002310005"/>
    <s v="CIVIL"/>
    <d v="2023-06-26T00:00:00"/>
    <d v="2023-07-04T19:00:44"/>
    <m/>
    <d v="2023-07-04T00:00:00"/>
    <n v="233"/>
    <n v="14219"/>
    <s v="11608450"/>
    <s v="11608450"/>
    <m/>
    <m/>
    <n v="22764408"/>
    <m/>
    <m/>
    <m/>
    <s v="SOLFIN"/>
    <s v="SOLFIN"/>
    <s v="CCMS"/>
    <n v="21327971"/>
    <n v="12677.55"/>
    <m/>
    <s v="N"/>
    <n v="31"/>
    <d v="2023-07-04T19:01:00"/>
    <s v="Y"/>
    <s v="Routine Letter Out"/>
    <s v="Prescribed Hourly Rates"/>
    <s v="Profit Cost"/>
    <s v="SJ"/>
    <s v="Y"/>
    <n v="1148.85"/>
    <n v="229.77"/>
    <x v="1"/>
    <s v="VALIDATED"/>
    <n v="1"/>
    <s v="01.11.80.307.6100.0000"/>
    <n v="1148.85"/>
    <s v="11"/>
    <s v="6100"/>
    <n v="24664.06"/>
    <n v="1148.85"/>
    <s v="CREDITOR"/>
    <n v="0"/>
    <n v="0"/>
    <n v="0"/>
    <n v="0"/>
    <n v="1148.85"/>
  </r>
  <r>
    <n v="61967831"/>
    <s v="N"/>
    <n v="21318816"/>
    <s v="3000016015490004"/>
    <s v="CIVIL"/>
    <d v="2023-06-26T00:00:00"/>
    <d v="2023-07-03T19:01:49"/>
    <m/>
    <d v="2023-07-03T00:00:00"/>
    <n v="233"/>
    <n v="14219"/>
    <s v="61967831"/>
    <s v="61967831"/>
    <m/>
    <m/>
    <n v="22761104"/>
    <m/>
    <m/>
    <m/>
    <s v="SOLPOA"/>
    <s v="SOLPOA"/>
    <s v="CCMS"/>
    <n v="21318816"/>
    <n v="486"/>
    <m/>
    <s v="N"/>
    <n v="1"/>
    <d v="2023-07-03T19:02:03"/>
    <s v="N"/>
    <s v="Expert Cost"/>
    <s v="Expert Cost"/>
    <s v="Expert Disbursement"/>
    <s v="Samantha Jeanes"/>
    <s v="N"/>
    <n v="405"/>
    <n v="81"/>
    <x v="3"/>
    <s v="VALIDATED"/>
    <n v="1"/>
    <s v="01.11.80.308.2012.0000"/>
    <n v="405"/>
    <s v="11"/>
    <s v="2012"/>
    <n v="24664.06"/>
    <n v="405"/>
    <s v="CREDITOR"/>
    <n v="405"/>
    <n v="0"/>
    <n v="0"/>
    <n v="0"/>
    <n v="0"/>
  </r>
  <r>
    <n v="61508975"/>
    <s v="N"/>
    <n v="21330531"/>
    <s v="3000015631530006"/>
    <s v="CIVIL"/>
    <d v="2023-06-27T00:00:00"/>
    <d v="2023-07-05T19:01:47"/>
    <m/>
    <d v="2023-07-05T00:00:00"/>
    <n v="233"/>
    <n v="14219"/>
    <s v="61508975"/>
    <s v="61508975"/>
    <m/>
    <m/>
    <n v="22768948"/>
    <m/>
    <m/>
    <m/>
    <s v="SOLFIN"/>
    <s v="SOLFIN"/>
    <s v="CCMS"/>
    <n v="21330531"/>
    <n v="3823.01"/>
    <m/>
    <s v="N"/>
    <n v="4"/>
    <d v="2023-07-05T19:01:50"/>
    <s v="Y"/>
    <s v="Toxicologist"/>
    <s v="Public Law Children"/>
    <s v="Expert Disbursement"/>
    <s v="KB"/>
    <s v="Y"/>
    <n v="120.42"/>
    <n v="24.08"/>
    <x v="6"/>
    <s v="VALIDATED"/>
    <n v="1"/>
    <s v="01.11.80.308.6300.0000"/>
    <n v="120.42"/>
    <s v="11"/>
    <s v="6300"/>
    <n v="24664.06"/>
    <n v="120.42"/>
    <s v="CREDITOR"/>
    <n v="0"/>
    <n v="0"/>
    <n v="0"/>
    <n v="0"/>
    <n v="120.42"/>
  </r>
  <r>
    <n v="11608450"/>
    <s v="N"/>
    <n v="21327971"/>
    <s v="3000007002310005"/>
    <s v="CIVIL"/>
    <d v="2023-06-26T00:00:00"/>
    <d v="2023-07-04T19:00:44"/>
    <m/>
    <d v="2023-07-04T00:00:00"/>
    <n v="233"/>
    <n v="14219"/>
    <s v="11608450"/>
    <s v="11608450"/>
    <m/>
    <m/>
    <n v="22764408"/>
    <m/>
    <m/>
    <m/>
    <s v="SOLFIN"/>
    <s v="SOLFIN"/>
    <s v="CCMS"/>
    <n v="21327971"/>
    <n v="12677.55"/>
    <m/>
    <s v="N"/>
    <n v="24"/>
    <d v="2023-07-04T19:01:00"/>
    <s v="Y"/>
    <s v="Preparation - drafting bill/claim f"/>
    <s v="Prescribed Hourly Rates"/>
    <s v="Profit Cost"/>
    <s v="JCH"/>
    <s v="Y"/>
    <n v="54.9"/>
    <n v="10.98"/>
    <x v="1"/>
    <s v="VALIDATED"/>
    <n v="1"/>
    <s v="01.11.80.307.6100.0000"/>
    <n v="54.9"/>
    <s v="11"/>
    <s v="6100"/>
    <n v="24664.06"/>
    <n v="54.9"/>
    <s v="CREDITOR"/>
    <n v="0"/>
    <n v="0"/>
    <n v="0"/>
    <n v="0"/>
    <n v="54.9"/>
  </r>
  <r>
    <n v="61508975"/>
    <s v="N"/>
    <n v="21330531"/>
    <s v="3000015631530006"/>
    <s v="CIVIL"/>
    <d v="2023-06-27T00:00:00"/>
    <d v="2023-07-05T19:01:47"/>
    <m/>
    <d v="2023-07-05T00:00:00"/>
    <n v="233"/>
    <n v="14219"/>
    <s v="61508975"/>
    <s v="61508975"/>
    <m/>
    <m/>
    <n v="22768948"/>
    <m/>
    <m/>
    <m/>
    <s v="SOLFIN"/>
    <s v="SOLFIN"/>
    <s v="CCMS"/>
    <n v="21330531"/>
    <n v="3823.01"/>
    <m/>
    <s v="N"/>
    <n v="2"/>
    <d v="2023-07-05T19:01:50"/>
    <s v="Y"/>
    <s v="GP (records report)"/>
    <s v="Public Law Children"/>
    <s v="Expert Disbursement"/>
    <s v="KB"/>
    <s v="Y"/>
    <n v="50.4"/>
    <n v="0"/>
    <x v="6"/>
    <s v="VALIDATED"/>
    <n v="1"/>
    <s v="01.11.80.308.6300.0000"/>
    <n v="50.4"/>
    <s v="11"/>
    <s v="6300"/>
    <n v="24664.06"/>
    <n v="50.4"/>
    <s v="CREDITOR"/>
    <n v="0"/>
    <n v="0"/>
    <n v="0"/>
    <n v="0"/>
    <n v="50.4"/>
  </r>
  <r>
    <n v="61486230"/>
    <s v="N"/>
    <n v="21321151"/>
    <s v="3000015612170005"/>
    <s v="CIVIL"/>
    <d v="2023-06-28T00:00:00"/>
    <d v="2023-07-03T19:04:52"/>
    <m/>
    <d v="2023-07-03T00:00:00"/>
    <n v="233"/>
    <n v="14219"/>
    <s v="61486230"/>
    <s v="61486230"/>
    <m/>
    <m/>
    <n v="22781378"/>
    <m/>
    <m/>
    <m/>
    <s v="SOLPOA"/>
    <s v="SOLPOA"/>
    <s v="CCMS"/>
    <n v="21321151"/>
    <n v="129.6"/>
    <m/>
    <s v="N"/>
    <n v="1"/>
    <d v="2023-07-03T19:04:58"/>
    <s v="N"/>
    <s v="Expert Cost"/>
    <s v="Expert Cost"/>
    <s v="Expert Disbursement"/>
    <s v="Samantha Jeanes"/>
    <s v="N"/>
    <n v="108"/>
    <n v="21.6"/>
    <x v="3"/>
    <s v="VALIDATED"/>
    <n v="1"/>
    <s v="01.11.80.308.2012.0000"/>
    <n v="108"/>
    <s v="11"/>
    <s v="2012"/>
    <n v="24664.06"/>
    <n v="108"/>
    <s v="CREDITOR"/>
    <n v="108"/>
    <n v="0"/>
    <n v="0"/>
    <n v="0"/>
    <n v="0"/>
  </r>
  <r>
    <n v="59875750"/>
    <s v="N"/>
    <n v="21360453"/>
    <s v="3000014235440006"/>
    <s v="CIVIL"/>
    <d v="2023-06-27T00:00:00"/>
    <d v="2023-07-11T11:50:54"/>
    <m/>
    <d v="2023-07-11T00:00:00"/>
    <n v="233"/>
    <n v="14219"/>
    <s v="59875750"/>
    <s v="59875750"/>
    <m/>
    <m/>
    <n v="22770302"/>
    <m/>
    <m/>
    <m/>
    <s v="SOLFIN"/>
    <s v="SOLFIN"/>
    <s v="CCMS"/>
    <n v="21360453"/>
    <n v="7187.56"/>
    <m/>
    <s v="N"/>
    <n v="13"/>
    <d v="2023-07-11T11:51:05"/>
    <s v="Y"/>
    <s v="Advocates Meeting"/>
    <s v="Public Law Children"/>
    <s v="Advocacy"/>
    <s v="NJH"/>
    <s v="Y"/>
    <n v="140.99"/>
    <n v="28.2"/>
    <x v="7"/>
    <s v="VALIDATED"/>
    <n v="1"/>
    <s v="01.11.80.308.6100.0000"/>
    <n v="140.99"/>
    <s v="11"/>
    <s v="6100"/>
    <n v="24664.06"/>
    <n v="140.99"/>
    <s v="CREDITOR"/>
    <n v="0"/>
    <n v="0"/>
    <n v="0"/>
    <n v="0"/>
    <n v="140.99"/>
  </r>
  <r>
    <n v="61132004"/>
    <s v="N"/>
    <n v="21331032"/>
    <s v="3000015318630004"/>
    <s v="CIVIL"/>
    <d v="2023-06-26T00:00:00"/>
    <d v="2023-07-05T19:01:47"/>
    <m/>
    <d v="2023-07-05T00:00:00"/>
    <n v="233"/>
    <n v="14219"/>
    <s v="61132004"/>
    <s v="61132004"/>
    <m/>
    <m/>
    <n v="22760074"/>
    <m/>
    <m/>
    <m/>
    <s v="SOLFIN"/>
    <s v="SOLFIN"/>
    <s v="CCMS"/>
    <n v="21331032"/>
    <n v="5052.17"/>
    <m/>
    <s v="N"/>
    <n v="8"/>
    <d v="2023-07-05T19:02:03"/>
    <s v="Y"/>
    <s v="Hearing Unit 0.00 - 1.00 Hours"/>
    <s v="Public Law Children"/>
    <s v="Advocacy"/>
    <s v="NJH"/>
    <s v="Y"/>
    <n v="95.40000000000001"/>
    <n v="19.08"/>
    <x v="6"/>
    <s v="VALIDATED"/>
    <n v="1"/>
    <s v="01.11.80.308.6100.0000"/>
    <n v="95.40000000000001"/>
    <s v="11"/>
    <s v="6100"/>
    <n v="24664.06"/>
    <n v="95.40000000000001"/>
    <s v="CREDITOR"/>
    <n v="0"/>
    <n v="0"/>
    <n v="0"/>
    <n v="0"/>
    <n v="95.40000000000001"/>
  </r>
  <r>
    <n v="61508975"/>
    <s v="N"/>
    <n v="21330531"/>
    <s v="3000015631530006"/>
    <s v="CIVIL"/>
    <d v="2023-06-27T00:00:00"/>
    <d v="2023-07-05T19:01:47"/>
    <m/>
    <d v="2023-07-05T00:00:00"/>
    <n v="233"/>
    <n v="14219"/>
    <s v="61508975"/>
    <s v="61508975"/>
    <m/>
    <m/>
    <n v="22768948"/>
    <m/>
    <m/>
    <m/>
    <s v="SOLFIN"/>
    <s v="SOLFIN"/>
    <s v="CCMS"/>
    <n v="21330531"/>
    <n v="3823.01"/>
    <m/>
    <s v="N"/>
    <n v="6"/>
    <d v="2023-07-05T19:01:50"/>
    <s v="Y"/>
    <s v="Solicitors Fixed Fee"/>
    <s v="Public Law Children"/>
    <s v="Profit Cost"/>
    <s v="KB"/>
    <s v="Y"/>
    <n v="2616"/>
    <n v="523.2"/>
    <x v="6"/>
    <s v="VALIDATED"/>
    <n v="1"/>
    <s v="01.11.80.308.6100.0000"/>
    <n v="2616"/>
    <s v="11"/>
    <s v="6100"/>
    <n v="24664.06"/>
    <n v="2616"/>
    <s v="CREDITOR"/>
    <n v="0"/>
    <n v="0"/>
    <n v="0"/>
    <n v="0"/>
    <n v="2616"/>
  </r>
  <r>
    <n v="59875750"/>
    <s v="N"/>
    <n v="21360453"/>
    <s v="3000014235440006"/>
    <s v="CIVIL"/>
    <d v="2023-06-27T00:00:00"/>
    <d v="2023-07-11T11:50:54"/>
    <m/>
    <d v="2023-07-11T00:00:00"/>
    <n v="233"/>
    <n v="14219"/>
    <s v="59875750"/>
    <s v="59875750"/>
    <m/>
    <m/>
    <n v="22770302"/>
    <m/>
    <m/>
    <m/>
    <s v="SOLFIN"/>
    <s v="SOLFIN"/>
    <s v="CCMS"/>
    <n v="21360453"/>
    <n v="7187.56"/>
    <m/>
    <s v="N"/>
    <n v="9"/>
    <d v="2023-07-11T11:51:05"/>
    <s v="Y"/>
    <s v="Advocates Meeting"/>
    <s v="Public Law Children"/>
    <s v="Advocacy"/>
    <s v="NJH"/>
    <s v="Y"/>
    <n v="140.99"/>
    <n v="28.2"/>
    <x v="7"/>
    <s v="VALIDATED"/>
    <n v="1"/>
    <s v="01.11.80.308.6100.0000"/>
    <n v="140.99"/>
    <s v="11"/>
    <s v="6100"/>
    <n v="24664.06"/>
    <n v="140.99"/>
    <s v="CREDITOR"/>
    <n v="0"/>
    <n v="0"/>
    <n v="0"/>
    <n v="0"/>
    <n v="140.99"/>
  </r>
  <r>
    <n v="59876850"/>
    <s v="N"/>
    <n v="21343976"/>
    <s v="3000014235640001"/>
    <s v="CIVIL"/>
    <d v="2023-06-29T00:00:00"/>
    <d v="2023-07-07T19:03:00"/>
    <m/>
    <d v="2023-07-07T00:00:00"/>
    <n v="233"/>
    <n v="14219"/>
    <s v="59876850"/>
    <s v="59876850"/>
    <m/>
    <m/>
    <n v="22785232"/>
    <m/>
    <m/>
    <m/>
    <s v="SOLFIN"/>
    <s v="SOLFIN"/>
    <s v="CCMS"/>
    <n v="21343976"/>
    <n v="0"/>
    <m/>
    <s v="N"/>
    <n v="1"/>
    <d v="2023-07-07T19:03:19"/>
    <s v="N"/>
    <s v="NIL BILL"/>
    <s v="Public Law Children"/>
    <s v="Profit Cost"/>
    <s v="NJH"/>
    <s v="N"/>
    <n v="0"/>
    <n v="0"/>
    <x v="9"/>
    <s v="VALIDATED"/>
    <n v="1"/>
    <s v="01.11.80.308.6100.0000"/>
    <n v="0"/>
    <s v="11"/>
    <s v="6100"/>
    <n v="24664.06"/>
    <n v="0"/>
    <s v="CREDITOR"/>
    <n v="0"/>
    <n v="0"/>
    <n v="0"/>
    <n v="0"/>
    <n v="0"/>
  </r>
  <r>
    <n v="11608450"/>
    <s v="N"/>
    <n v="21327971"/>
    <s v="3000007002310005"/>
    <s v="CIVIL"/>
    <d v="2023-06-26T00:00:00"/>
    <d v="2023-07-04T19:00:44"/>
    <m/>
    <d v="2023-07-04T00:00:00"/>
    <n v="233"/>
    <n v="14219"/>
    <s v="11608450"/>
    <s v="11608450"/>
    <m/>
    <m/>
    <n v="22764408"/>
    <m/>
    <m/>
    <m/>
    <s v="SOLFIN"/>
    <s v="SOLFIN"/>
    <s v="CCMS"/>
    <n v="21327971"/>
    <n v="12677.55"/>
    <m/>
    <s v="N"/>
    <n v="41"/>
    <d v="2023-07-04T19:01:00"/>
    <s v="Y"/>
    <s v="Court Fee"/>
    <s v="Prescribed Hourly Rates"/>
    <s v="Non Expert Disbursement"/>
    <s v="SJ"/>
    <s v="Y"/>
    <n v="167"/>
    <n v="0"/>
    <x v="1"/>
    <s v="VALIDATED"/>
    <n v="1"/>
    <s v="01.11.80.307.6300.0000"/>
    <n v="167"/>
    <s v="11"/>
    <s v="6300"/>
    <n v="24664.06"/>
    <n v="167"/>
    <s v="CREDITOR"/>
    <n v="0"/>
    <n v="0"/>
    <n v="0"/>
    <n v="0"/>
    <n v="167"/>
  </r>
  <r>
    <n v="59908479"/>
    <s v="N"/>
    <n v="21343950"/>
    <s v="3000014264970015"/>
    <s v="CIVIL"/>
    <d v="2023-06-27T00:00:00"/>
    <d v="2023-07-07T19:03:00"/>
    <m/>
    <d v="2023-07-07T00:00:00"/>
    <n v="233"/>
    <n v="14219"/>
    <s v="59908479"/>
    <s v="59908479"/>
    <m/>
    <m/>
    <n v="22769606"/>
    <m/>
    <m/>
    <m/>
    <s v="SOLFIN"/>
    <s v="SOLFIN"/>
    <s v="CCMS"/>
    <n v="21343950"/>
    <n v="4295.5"/>
    <m/>
    <s v="N"/>
    <n v="6"/>
    <d v="2023-07-07T19:03:18"/>
    <s v="Y"/>
    <s v="Solicitors Fixed Fee"/>
    <s v="Public Law Children"/>
    <s v="Profit Cost"/>
    <s v="SJ"/>
    <s v="Y"/>
    <n v="2616"/>
    <n v="523.2"/>
    <x v="9"/>
    <s v="VALIDATED"/>
    <n v="1"/>
    <s v="01.11.80.308.6100.0000"/>
    <n v="2616"/>
    <s v="11"/>
    <s v="6100"/>
    <n v="24664.06"/>
    <n v="2616"/>
    <s v="CREDITOR"/>
    <n v="0"/>
    <n v="0"/>
    <n v="0"/>
    <n v="0"/>
    <n v="2616"/>
  </r>
  <r>
    <n v="11608450"/>
    <s v="N"/>
    <n v="21327971"/>
    <s v="3000007002310005"/>
    <s v="CIVIL"/>
    <d v="2023-06-26T00:00:00"/>
    <d v="2023-07-04T19:00:44"/>
    <m/>
    <d v="2023-07-04T00:00:00"/>
    <n v="233"/>
    <n v="14219"/>
    <s v="11608450"/>
    <s v="11608450"/>
    <m/>
    <m/>
    <n v="22764408"/>
    <m/>
    <m/>
    <m/>
    <s v="SOLFIN"/>
    <s v="SOLFIN"/>
    <s v="CCMS"/>
    <n v="21327971"/>
    <n v="12677.55"/>
    <m/>
    <s v="N"/>
    <n v="35"/>
    <d v="2023-07-04T19:01:00"/>
    <s v="Y"/>
    <s v="Preparation - drafting instructions"/>
    <s v="Prescribed Hourly Rates"/>
    <s v="Profit Cost"/>
    <s v="SJ"/>
    <s v="Y"/>
    <n v="25.25"/>
    <n v="5.05"/>
    <x v="1"/>
    <s v="VALIDATED"/>
    <n v="1"/>
    <s v="01.11.80.307.6100.0000"/>
    <n v="25.25"/>
    <s v="11"/>
    <s v="6100"/>
    <n v="24664.06"/>
    <n v="25.25"/>
    <s v="CREDITOR"/>
    <n v="0"/>
    <n v="0"/>
    <n v="0"/>
    <n v="0"/>
    <n v="25.25"/>
  </r>
  <r>
    <n v="11608450"/>
    <s v="N"/>
    <n v="21327971"/>
    <s v="3000007002310005"/>
    <s v="CIVIL"/>
    <d v="2023-06-26T00:00:00"/>
    <d v="2023-07-04T19:00:44"/>
    <m/>
    <d v="2023-07-04T00:00:00"/>
    <n v="233"/>
    <n v="14219"/>
    <s v="11608450"/>
    <s v="11608450"/>
    <m/>
    <m/>
    <n v="22764408"/>
    <m/>
    <m/>
    <m/>
    <s v="SOLFIN"/>
    <s v="SOLFIN"/>
    <s v="CCMS"/>
    <n v="21327971"/>
    <n v="12677.55"/>
    <m/>
    <s v="N"/>
    <n v="33"/>
    <d v="2023-07-04T19:01:00"/>
    <s v="Y"/>
    <s v="Preparation - other"/>
    <s v="Prescribed Hourly Rates"/>
    <s v="Profit Cost"/>
    <s v="SJ"/>
    <s v="Y"/>
    <n v="63.14"/>
    <n v="12.63"/>
    <x v="1"/>
    <s v="VALIDATED"/>
    <n v="1"/>
    <s v="01.11.80.307.6100.0000"/>
    <n v="63.14"/>
    <s v="11"/>
    <s v="6100"/>
    <n v="24664.06"/>
    <n v="63.14"/>
    <s v="CREDITOR"/>
    <n v="0"/>
    <n v="0"/>
    <n v="0"/>
    <n v="0"/>
    <n v="63.14"/>
  </r>
  <r>
    <n v="59875750"/>
    <s v="N"/>
    <n v="21360453"/>
    <s v="3000014235440006"/>
    <s v="CIVIL"/>
    <d v="2023-06-27T00:00:00"/>
    <d v="2023-07-11T11:50:54"/>
    <m/>
    <d v="2023-07-11T00:00:00"/>
    <n v="233"/>
    <n v="14219"/>
    <s v="59875750"/>
    <s v="59875750"/>
    <m/>
    <m/>
    <n v="22770302"/>
    <m/>
    <m/>
    <m/>
    <s v="SOLFIN"/>
    <s v="SOLFIN"/>
    <s v="CCMS"/>
    <n v="21360453"/>
    <n v="7187.56"/>
    <m/>
    <s v="N"/>
    <n v="3"/>
    <d v="2023-07-11T11:51:05"/>
    <s v="Y"/>
    <s v="Court Fee"/>
    <s v="Public Law Children"/>
    <s v="Non Expert Disbursement"/>
    <s v="NJH"/>
    <s v="Y"/>
    <n v="167"/>
    <n v="0"/>
    <x v="7"/>
    <s v="VALIDATED"/>
    <n v="1"/>
    <s v="01.11.80.308.6300.0000"/>
    <n v="167"/>
    <s v="11"/>
    <s v="6300"/>
    <n v="24664.06"/>
    <n v="167"/>
    <s v="CREDITOR"/>
    <n v="0"/>
    <n v="0"/>
    <n v="0"/>
    <n v="0"/>
    <n v="167"/>
  </r>
  <r>
    <n v="61508975"/>
    <s v="N"/>
    <n v="21330531"/>
    <s v="3000015631530006"/>
    <s v="CIVIL"/>
    <d v="2023-06-27T00:00:00"/>
    <d v="2023-07-05T19:01:47"/>
    <m/>
    <d v="2023-07-05T00:00:00"/>
    <n v="233"/>
    <n v="14219"/>
    <s v="61508975"/>
    <s v="61508975"/>
    <m/>
    <m/>
    <n v="22768948"/>
    <m/>
    <m/>
    <m/>
    <s v="SOLFIN"/>
    <s v="SOLFIN"/>
    <s v="CCMS"/>
    <n v="21330531"/>
    <n v="3823.01"/>
    <m/>
    <s v="N"/>
    <n v="5"/>
    <d v="2023-07-05T19:01:50"/>
    <s v="Y"/>
    <s v="Hearing Unit 1.01 - 2.30 Hours"/>
    <s v="Public Law Children"/>
    <s v="Advocacy"/>
    <s v="KB"/>
    <s v="Y"/>
    <n v="238.46"/>
    <n v="47.69"/>
    <x v="6"/>
    <s v="VALIDATED"/>
    <n v="1"/>
    <s v="01.11.80.308.6100.0000"/>
    <n v="238.46"/>
    <s v="11"/>
    <s v="6100"/>
    <n v="24664.06"/>
    <n v="238.46"/>
    <s v="CREDITOR"/>
    <n v="0"/>
    <n v="0"/>
    <n v="0"/>
    <n v="0"/>
    <n v="238.46"/>
  </r>
  <r>
    <n v="61132004"/>
    <s v="N"/>
    <n v="21331032"/>
    <s v="3000015318630004"/>
    <s v="CIVIL"/>
    <d v="2023-06-26T00:00:00"/>
    <d v="2023-07-05T19:01:47"/>
    <m/>
    <d v="2023-07-05T00:00:00"/>
    <n v="233"/>
    <n v="14219"/>
    <s v="61132004"/>
    <s v="61132004"/>
    <m/>
    <m/>
    <n v="22760074"/>
    <m/>
    <m/>
    <m/>
    <s v="SOLFIN"/>
    <s v="SOLFIN"/>
    <s v="CCMS"/>
    <n v="21331032"/>
    <n v="5052.17"/>
    <m/>
    <s v="N"/>
    <n v="6"/>
    <d v="2023-07-05T19:02:03"/>
    <s v="Y"/>
    <s v="Hearing Unit 0.00 - 1.00 Hours"/>
    <s v="Public Law Children"/>
    <s v="Advocacy"/>
    <s v="NJH"/>
    <s v="Y"/>
    <n v="95.40000000000001"/>
    <n v="19.08"/>
    <x v="6"/>
    <s v="VALIDATED"/>
    <n v="1"/>
    <s v="01.11.80.308.6100.0000"/>
    <n v="95.40000000000001"/>
    <s v="11"/>
    <s v="6100"/>
    <n v="24664.06"/>
    <n v="95.40000000000001"/>
    <s v="CREDITOR"/>
    <n v="0"/>
    <n v="0"/>
    <n v="0"/>
    <n v="0"/>
    <n v="95.40000000000001"/>
  </r>
  <r>
    <n v="62103870"/>
    <s v="N"/>
    <n v="21321163"/>
    <s v="3000016130210005"/>
    <s v="CIVIL"/>
    <d v="2023-06-28T00:00:00"/>
    <d v="2023-07-03T19:04:52"/>
    <m/>
    <d v="2023-07-03T00:00:00"/>
    <n v="233"/>
    <n v="14219"/>
    <s v="62103870"/>
    <s v="62103870"/>
    <m/>
    <m/>
    <n v="22780436"/>
    <m/>
    <m/>
    <m/>
    <s v="SOLPOA"/>
    <s v="SOLPOA"/>
    <s v="CCMS"/>
    <n v="21321163"/>
    <n v="2190.24"/>
    <m/>
    <s v="N"/>
    <n v="1"/>
    <d v="2023-07-03T19:04:58"/>
    <s v="N"/>
    <s v="Expert Cost"/>
    <s v="Expert Cost"/>
    <s v="Expert Disbursement"/>
    <s v="Samantha Jeanes"/>
    <s v="N"/>
    <n v="1825.2"/>
    <n v="365.04"/>
    <x v="3"/>
    <s v="VALIDATED"/>
    <n v="1"/>
    <s v="01.11.80.308.2012.0000"/>
    <n v="1825.2"/>
    <s v="11"/>
    <s v="2012"/>
    <n v="24664.06"/>
    <n v="1825.2"/>
    <s v="CREDITOR"/>
    <n v="1825.2"/>
    <n v="0"/>
    <n v="0"/>
    <n v="0"/>
    <n v="0"/>
  </r>
  <r>
    <n v="59908479"/>
    <s v="N"/>
    <n v="21343950"/>
    <s v="3000014264970015"/>
    <s v="CIVIL"/>
    <d v="2023-06-27T00:00:00"/>
    <d v="2023-07-07T19:03:00"/>
    <m/>
    <d v="2023-07-07T00:00:00"/>
    <n v="233"/>
    <n v="14219"/>
    <s v="59908479"/>
    <s v="59908479"/>
    <m/>
    <m/>
    <n v="22769606"/>
    <m/>
    <m/>
    <m/>
    <s v="SOLFIN"/>
    <s v="SOLFIN"/>
    <s v="CCMS"/>
    <n v="21343950"/>
    <n v="4295.5"/>
    <m/>
    <s v="N"/>
    <n v="1"/>
    <d v="2023-07-07T19:03:18"/>
    <s v="Y"/>
    <s v="Independent Social Worker"/>
    <s v="Public Law Children"/>
    <s v="Expert Disbursement"/>
    <s v="SJ"/>
    <s v="Y"/>
    <n v="247.5"/>
    <n v="0"/>
    <x v="9"/>
    <s v="VALIDATED"/>
    <n v="1"/>
    <s v="01.11.80.308.6300.0000"/>
    <n v="247.5"/>
    <s v="11"/>
    <s v="6300"/>
    <n v="24664.06"/>
    <n v="247.5"/>
    <s v="CREDITOR"/>
    <n v="0"/>
    <n v="0"/>
    <n v="0"/>
    <n v="0"/>
    <n v="247.5"/>
  </r>
  <r>
    <n v="61132004"/>
    <s v="N"/>
    <n v="21331032"/>
    <s v="3000015318630004"/>
    <s v="CIVIL"/>
    <d v="2023-06-26T00:00:00"/>
    <d v="2023-07-05T19:01:47"/>
    <m/>
    <d v="2023-07-05T00:00:00"/>
    <n v="233"/>
    <n v="14219"/>
    <s v="61132004"/>
    <s v="61132004"/>
    <m/>
    <m/>
    <n v="22760074"/>
    <m/>
    <m/>
    <m/>
    <s v="SOLFIN"/>
    <s v="SOLFIN"/>
    <s v="CCMS"/>
    <n v="21331032"/>
    <n v="5052.17"/>
    <m/>
    <s v="N"/>
    <n v="9"/>
    <d v="2023-07-05T19:02:03"/>
    <s v="Y"/>
    <s v="Solicitors Fixed Fee"/>
    <s v="Public Law Children"/>
    <s v="Profit Cost"/>
    <s v="NJH"/>
    <s v="Y"/>
    <n v="2013"/>
    <n v="402.59"/>
    <x v="6"/>
    <s v="VALIDATED"/>
    <n v="1"/>
    <s v="01.11.80.308.6100.0000"/>
    <n v="2013"/>
    <s v="11"/>
    <s v="6100"/>
    <n v="24664.06"/>
    <n v="2013"/>
    <s v="CREDITOR"/>
    <n v="0"/>
    <n v="0"/>
    <n v="0"/>
    <n v="0"/>
    <n v="2013"/>
  </r>
  <r>
    <n v="61132004"/>
    <s v="N"/>
    <n v="21331032"/>
    <s v="3000015318630004"/>
    <s v="CIVIL"/>
    <d v="2023-06-26T00:00:00"/>
    <d v="2023-07-05T19:01:47"/>
    <m/>
    <d v="2023-07-05T00:00:00"/>
    <n v="233"/>
    <n v="14219"/>
    <s v="61132004"/>
    <s v="61132004"/>
    <m/>
    <m/>
    <n v="22760074"/>
    <m/>
    <m/>
    <m/>
    <s v="SOLFIN"/>
    <s v="SOLFIN"/>
    <s v="CCMS"/>
    <n v="21331032"/>
    <n v="5052.17"/>
    <m/>
    <s v="N"/>
    <n v="5"/>
    <d v="2023-07-05T19:02:03"/>
    <s v="Y"/>
    <s v="Advocates Meeting"/>
    <s v="Public Law Children"/>
    <s v="Advocacy"/>
    <s v="NJH"/>
    <s v="Y"/>
    <n v="140.99"/>
    <n v="28.2"/>
    <x v="6"/>
    <s v="VALIDATED"/>
    <n v="1"/>
    <s v="01.11.80.308.6100.0000"/>
    <n v="140.99"/>
    <s v="11"/>
    <s v="6100"/>
    <n v="24664.06"/>
    <n v="140.99"/>
    <s v="CREDITOR"/>
    <n v="0"/>
    <n v="0"/>
    <n v="0"/>
    <n v="0"/>
    <n v="140.99"/>
  </r>
  <r>
    <n v="11608450"/>
    <s v="N"/>
    <n v="21327971"/>
    <s v="3000007002310005"/>
    <s v="CIVIL"/>
    <d v="2023-06-26T00:00:00"/>
    <d v="2023-07-04T19:00:44"/>
    <m/>
    <d v="2023-07-04T00:00:00"/>
    <n v="233"/>
    <n v="14219"/>
    <s v="11608450"/>
    <s v="11608450"/>
    <m/>
    <m/>
    <n v="22764408"/>
    <m/>
    <m/>
    <m/>
    <s v="SOLFIN"/>
    <s v="SOLFIN"/>
    <s v="CCMS"/>
    <n v="21327971"/>
    <n v="12677.55"/>
    <m/>
    <s v="N"/>
    <n v="23"/>
    <d v="2023-07-04T19:01:00"/>
    <s v="Y"/>
    <s v="Report - Welfare report"/>
    <s v="Prescribed Hourly Rates"/>
    <s v="Profit Cost"/>
    <s v="SJ"/>
    <s v="Y"/>
    <n v="50.51"/>
    <n v="10.1"/>
    <x v="1"/>
    <s v="VALIDATED"/>
    <n v="1"/>
    <s v="01.11.80.307.6100.0000"/>
    <n v="50.51"/>
    <s v="11"/>
    <s v="6100"/>
    <n v="24664.06"/>
    <n v="50.51"/>
    <s v="CREDITOR"/>
    <n v="0"/>
    <n v="0"/>
    <n v="0"/>
    <n v="0"/>
    <n v="50.51"/>
  </r>
  <r>
    <n v="11627472"/>
    <s v="N"/>
    <n v="21327894"/>
    <s v="3000007010560001"/>
    <s v="CIVIL"/>
    <d v="2023-06-26T00:00:00"/>
    <d v="2023-07-04T19:00:44"/>
    <m/>
    <d v="2023-07-04T00:00:00"/>
    <n v="233"/>
    <n v="14219"/>
    <s v="11627472"/>
    <s v="11627472"/>
    <m/>
    <m/>
    <n v="22764438"/>
    <m/>
    <m/>
    <m/>
    <s v="SOLFIN"/>
    <s v="SOLFIN"/>
    <s v="CCMS"/>
    <n v="21327894"/>
    <n v="0"/>
    <m/>
    <s v="N"/>
    <n v="1"/>
    <d v="2023-07-04T19:00:57"/>
    <s v="N"/>
    <s v="NIL BILL"/>
    <s v="Prescribed Hourly Rates"/>
    <s v="Profit Cost"/>
    <s v="SJ"/>
    <s v="N"/>
    <n v="0"/>
    <n v="0"/>
    <x v="1"/>
    <s v="VALIDATED"/>
    <n v="1"/>
    <s v="01.11.80.307.6100.0000"/>
    <n v="0"/>
    <s v="11"/>
    <s v="6100"/>
    <n v="24664.06"/>
    <n v="0"/>
    <s v="CREDITOR"/>
    <n v="0"/>
    <n v="0"/>
    <n v="0"/>
    <n v="0"/>
    <n v="0"/>
  </r>
  <r>
    <n v="61433587"/>
    <s v="N"/>
    <n v="21327825"/>
    <s v="3000015568110001"/>
    <s v="CIVIL"/>
    <d v="2023-05-24T00:00:00"/>
    <d v="2023-07-04T19:00:44"/>
    <m/>
    <d v="2023-07-04T00:00:00"/>
    <n v="233"/>
    <n v="14219"/>
    <s v="61433587"/>
    <s v="61433587"/>
    <m/>
    <m/>
    <n v="22565476"/>
    <m/>
    <m/>
    <m/>
    <s v="SOLFIN"/>
    <s v="SOLFIN"/>
    <s v="CCMS"/>
    <n v="21327825"/>
    <n v="0"/>
    <m/>
    <s v="N"/>
    <n v="1"/>
    <d v="2023-07-04T19:00:55"/>
    <s v="N"/>
    <s v="NIL BILL"/>
    <s v="Prescribed Hourly Rates"/>
    <s v="Profit Cost"/>
    <s v="NJH"/>
    <s v="N"/>
    <n v="0"/>
    <n v="0"/>
    <x v="1"/>
    <s v="VALIDATED"/>
    <n v="1"/>
    <s v="01.11.80.307.6100.0000"/>
    <n v="0"/>
    <s v="11"/>
    <s v="6100"/>
    <n v="24664.06"/>
    <n v="0"/>
    <s v="CREDITOR"/>
    <n v="0"/>
    <n v="0"/>
    <n v="0"/>
    <n v="0"/>
    <n v="0"/>
  </r>
  <r>
    <n v="11608450"/>
    <s v="N"/>
    <n v="21327971"/>
    <s v="3000007002310005"/>
    <s v="CIVIL"/>
    <d v="2023-06-26T00:00:00"/>
    <d v="2023-07-04T19:00:44"/>
    <m/>
    <d v="2023-07-04T00:00:00"/>
    <n v="233"/>
    <n v="14219"/>
    <s v="11608450"/>
    <s v="11608450"/>
    <m/>
    <m/>
    <n v="22764408"/>
    <m/>
    <m/>
    <m/>
    <s v="SOLFIN"/>
    <s v="SOLFIN"/>
    <s v="CCMS"/>
    <n v="21327971"/>
    <n v="12677.55"/>
    <m/>
    <s v="N"/>
    <n v="18"/>
    <d v="2023-07-04T19:01:00"/>
    <s v="Y"/>
    <s v="Preparation - other"/>
    <s v="Prescribed Hourly Rates"/>
    <s v="Profit Cost"/>
    <s v="SJ"/>
    <s v="Y"/>
    <n v="50.51"/>
    <n v="10.1"/>
    <x v="1"/>
    <s v="VALIDATED"/>
    <n v="1"/>
    <s v="01.11.80.307.6100.0000"/>
    <n v="50.51"/>
    <s v="11"/>
    <s v="6100"/>
    <n v="24664.06"/>
    <n v="50.51"/>
    <s v="CREDITOR"/>
    <n v="0"/>
    <n v="0"/>
    <n v="0"/>
    <n v="0"/>
    <n v="50.51"/>
  </r>
  <r>
    <n v="11608450"/>
    <s v="N"/>
    <n v="21327971"/>
    <s v="3000007002310005"/>
    <s v="CIVIL"/>
    <d v="2023-06-26T00:00:00"/>
    <d v="2023-07-04T19:00:44"/>
    <m/>
    <d v="2023-07-04T00:00:00"/>
    <n v="233"/>
    <n v="14219"/>
    <s v="11608450"/>
    <s v="11608450"/>
    <m/>
    <m/>
    <n v="22764408"/>
    <m/>
    <m/>
    <m/>
    <s v="SOLFIN"/>
    <s v="SOLFIN"/>
    <s v="CCMS"/>
    <n v="21327971"/>
    <n v="12677.55"/>
    <m/>
    <s v="N"/>
    <n v="26"/>
    <d v="2023-07-04T19:01:00"/>
    <s v="Y"/>
    <s v="Routine Letter In"/>
    <s v="Prescribed Hourly Rates"/>
    <s v="Profit Cost"/>
    <s v="KB"/>
    <s v="Y"/>
    <n v="10.8"/>
    <n v="2.16"/>
    <x v="1"/>
    <s v="VALIDATED"/>
    <n v="1"/>
    <s v="01.11.80.307.6100.0000"/>
    <n v="10.8"/>
    <s v="11"/>
    <s v="6100"/>
    <n v="24664.06"/>
    <n v="10.8"/>
    <s v="CREDITOR"/>
    <n v="0"/>
    <n v="0"/>
    <n v="0"/>
    <n v="0"/>
    <n v="10.8"/>
  </r>
  <r>
    <n v="59875750"/>
    <s v="N"/>
    <n v="21360453"/>
    <s v="3000014235440006"/>
    <s v="CIVIL"/>
    <d v="2023-06-27T00:00:00"/>
    <d v="2023-07-11T11:50:54"/>
    <m/>
    <d v="2023-07-11T00:00:00"/>
    <n v="233"/>
    <n v="14219"/>
    <s v="59875750"/>
    <s v="59875750"/>
    <m/>
    <m/>
    <n v="22770302"/>
    <m/>
    <m/>
    <m/>
    <s v="SOLFIN"/>
    <s v="SOLFIN"/>
    <s v="CCMS"/>
    <n v="21360453"/>
    <n v="7187.56"/>
    <m/>
    <s v="N"/>
    <n v="7"/>
    <d v="2023-07-11T11:51:05"/>
    <s v="Y"/>
    <s v="Hearing Unit 1.01 - 2.30 Hours"/>
    <s v="Public Law Children"/>
    <s v="Advocacy"/>
    <s v="NJH"/>
    <s v="Y"/>
    <n v="238.46"/>
    <n v="47.69"/>
    <x v="7"/>
    <s v="VALIDATED"/>
    <n v="1"/>
    <s v="01.11.80.308.6100.0000"/>
    <n v="238.46"/>
    <s v="11"/>
    <s v="6100"/>
    <n v="24664.06"/>
    <n v="238.46"/>
    <s v="CREDITOR"/>
    <n v="0"/>
    <n v="0"/>
    <n v="0"/>
    <n v="0"/>
    <n v="238.46"/>
  </r>
  <r>
    <n v="61132004"/>
    <s v="N"/>
    <n v="21331032"/>
    <s v="3000015318630004"/>
    <s v="CIVIL"/>
    <d v="2023-06-26T00:00:00"/>
    <d v="2023-07-05T19:01:47"/>
    <m/>
    <d v="2023-07-05T00:00:00"/>
    <n v="233"/>
    <n v="14219"/>
    <s v="61132004"/>
    <s v="61132004"/>
    <m/>
    <m/>
    <n v="22760074"/>
    <m/>
    <m/>
    <m/>
    <s v="SOLFIN"/>
    <s v="SOLFIN"/>
    <s v="CCMS"/>
    <n v="21331032"/>
    <n v="5052.17"/>
    <m/>
    <s v="N"/>
    <n v="2"/>
    <d v="2023-07-05T19:02:03"/>
    <s v="Y"/>
    <s v="Court Fee"/>
    <s v="Public Law Children"/>
    <s v="Non Expert Disbursement"/>
    <s v="NJH"/>
    <s v="Y"/>
    <n v="167"/>
    <n v="0"/>
    <x v="6"/>
    <s v="VALIDATED"/>
    <n v="1"/>
    <s v="01.11.80.308.6300.0000"/>
    <n v="167"/>
    <s v="11"/>
    <s v="6300"/>
    <n v="24664.06"/>
    <n v="167"/>
    <s v="CREDITOR"/>
    <n v="0"/>
    <n v="0"/>
    <n v="0"/>
    <n v="0"/>
    <n v="167"/>
  </r>
  <r>
    <n v="59875750"/>
    <s v="N"/>
    <n v="21360453"/>
    <s v="3000014235440006"/>
    <s v="CIVIL"/>
    <d v="2023-06-27T00:00:00"/>
    <d v="2023-07-11T11:50:54"/>
    <m/>
    <d v="2023-07-11T00:00:00"/>
    <n v="233"/>
    <n v="14219"/>
    <s v="59875750"/>
    <s v="59875750"/>
    <m/>
    <m/>
    <n v="22770302"/>
    <m/>
    <m/>
    <m/>
    <s v="SOLFIN"/>
    <s v="SOLFIN"/>
    <s v="CCMS"/>
    <n v="21360453"/>
    <n v="7187.56"/>
    <m/>
    <s v="N"/>
    <n v="10"/>
    <d v="2023-07-11T11:51:05"/>
    <s v="Y"/>
    <s v="Hearing Unit 2.31 - 5.00 Hours"/>
    <s v="Public Law Children"/>
    <s v="Advocacy"/>
    <s v="NJH"/>
    <s v="Y"/>
    <n v="476.92"/>
    <n v="95.38"/>
    <x v="7"/>
    <s v="VALIDATED"/>
    <n v="1"/>
    <s v="01.11.80.308.6100.0000"/>
    <n v="476.92"/>
    <s v="11"/>
    <s v="6100"/>
    <n v="24664.06"/>
    <n v="476.92"/>
    <s v="CREDITOR"/>
    <n v="0"/>
    <n v="0"/>
    <n v="0"/>
    <n v="0"/>
    <n v="476.92"/>
  </r>
  <r>
    <n v="11608450"/>
    <s v="N"/>
    <n v="21327971"/>
    <s v="3000007002310005"/>
    <s v="CIVIL"/>
    <d v="2023-06-26T00:00:00"/>
    <d v="2023-07-04T19:00:44"/>
    <m/>
    <d v="2023-07-04T00:00:00"/>
    <n v="233"/>
    <n v="14219"/>
    <s v="11608450"/>
    <s v="11608450"/>
    <m/>
    <m/>
    <n v="22764408"/>
    <m/>
    <m/>
    <m/>
    <s v="SOLFIN"/>
    <s v="SOLFIN"/>
    <s v="CCMS"/>
    <n v="21327971"/>
    <n v="12677.55"/>
    <m/>
    <s v="N"/>
    <n v="10"/>
    <d v="2023-07-04T19:01:00"/>
    <s v="Y"/>
    <s v="Preparation - other"/>
    <s v="Prescribed Hourly Rates"/>
    <s v="Profit Cost"/>
    <s v="SJ"/>
    <s v="Y"/>
    <n v="63.14"/>
    <n v="12.63"/>
    <x v="1"/>
    <s v="VALIDATED"/>
    <n v="1"/>
    <s v="01.11.80.307.6100.0000"/>
    <n v="63.14"/>
    <s v="11"/>
    <s v="6100"/>
    <n v="24664.06"/>
    <n v="63.14"/>
    <s v="CREDITOR"/>
    <n v="0"/>
    <n v="0"/>
    <n v="0"/>
    <n v="0"/>
    <n v="63.14"/>
  </r>
  <r>
    <n v="11608450"/>
    <s v="N"/>
    <n v="21327971"/>
    <s v="3000007002310005"/>
    <s v="CIVIL"/>
    <d v="2023-06-26T00:00:00"/>
    <d v="2023-07-04T19:00:44"/>
    <m/>
    <d v="2023-07-04T00:00:00"/>
    <n v="233"/>
    <n v="14219"/>
    <s v="11608450"/>
    <s v="11608450"/>
    <m/>
    <m/>
    <n v="22764408"/>
    <m/>
    <m/>
    <m/>
    <s v="SOLFIN"/>
    <s v="SOLFIN"/>
    <s v="CCMS"/>
    <n v="21327971"/>
    <n v="12677.55"/>
    <m/>
    <s v="N"/>
    <n v="37"/>
    <d v="2023-07-04T19:01:00"/>
    <s v="Y"/>
    <s v="Child psychologist"/>
    <s v="Prescribed Hourly Rates"/>
    <s v="Expert Disbursement"/>
    <s v="SJ"/>
    <s v="Y"/>
    <n v="6956.35"/>
    <n v="1391.27"/>
    <x v="1"/>
    <s v="VALIDATED"/>
    <n v="1"/>
    <s v="01.11.80.307.6300.0000"/>
    <n v="6956.35"/>
    <s v="11"/>
    <s v="6300"/>
    <n v="24664.06"/>
    <n v="6956.35"/>
    <s v="CREDITOR"/>
    <n v="0"/>
    <n v="0"/>
    <n v="0"/>
    <n v="0"/>
    <n v="6956.35"/>
  </r>
  <r>
    <n v="61847390"/>
    <s v="N"/>
    <n v="21318669"/>
    <s v="3000015913540009"/>
    <s v="CIVIL"/>
    <d v="2023-06-26T00:00:00"/>
    <d v="2023-07-03T19:01:49"/>
    <m/>
    <d v="2023-07-03T00:00:00"/>
    <n v="233"/>
    <n v="14219"/>
    <s v="61847390"/>
    <s v="61847390"/>
    <m/>
    <m/>
    <n v="22760446"/>
    <m/>
    <m/>
    <m/>
    <s v="SOLPOA"/>
    <s v="SOLPOA"/>
    <s v="CCMS"/>
    <n v="21318669"/>
    <n v="108"/>
    <m/>
    <s v="N"/>
    <n v="1"/>
    <d v="2023-07-03T19:02:00"/>
    <s v="N"/>
    <s v="Expert Cost"/>
    <s v="Expert Cost"/>
    <s v="Expert Disbursement"/>
    <s v="Samantha Jeanes"/>
    <s v="N"/>
    <n v="108"/>
    <n v="0"/>
    <x v="3"/>
    <s v="VALIDATED"/>
    <n v="1"/>
    <s v="01.11.80.308.2012.0000"/>
    <n v="108"/>
    <s v="11"/>
    <s v="2012"/>
    <n v="24664.06"/>
    <n v="108"/>
    <s v="CREDITOR"/>
    <n v="108"/>
    <n v="0"/>
    <n v="0"/>
    <n v="0"/>
    <n v="0"/>
  </r>
  <r>
    <n v="59875750"/>
    <s v="N"/>
    <n v="21360453"/>
    <s v="3000014235440006"/>
    <s v="CIVIL"/>
    <d v="2023-06-27T00:00:00"/>
    <d v="2023-07-11T11:50:54"/>
    <m/>
    <d v="2023-07-11T00:00:00"/>
    <n v="233"/>
    <n v="14219"/>
    <s v="59875750"/>
    <s v="59875750"/>
    <m/>
    <m/>
    <n v="22770302"/>
    <m/>
    <m/>
    <m/>
    <s v="SOLFIN"/>
    <s v="SOLFIN"/>
    <s v="CCMS"/>
    <n v="21360453"/>
    <n v="7187.56"/>
    <m/>
    <s v="N"/>
    <n v="1"/>
    <d v="2023-07-11T11:51:05"/>
    <s v="Y"/>
    <s v="Interim Hearing Court Bundle/Advoca"/>
    <s v="Public Law Children"/>
    <s v="Advocacy"/>
    <s v="NJH"/>
    <s v="Y"/>
    <n v="89.09999999999999"/>
    <n v="17.82"/>
    <x v="7"/>
    <s v="VALIDATED"/>
    <n v="1"/>
    <s v="01.11.80.308.6100.0000"/>
    <n v="89.09999999999999"/>
    <s v="11"/>
    <s v="6100"/>
    <n v="24664.06"/>
    <n v="89.09999999999999"/>
    <s v="CREDITOR"/>
    <n v="0"/>
    <n v="0"/>
    <n v="0"/>
    <n v="0"/>
    <n v="89.09999999999999"/>
  </r>
  <r>
    <n v="59908479"/>
    <s v="N"/>
    <n v="21343950"/>
    <s v="3000014264970015"/>
    <s v="CIVIL"/>
    <d v="2023-06-27T00:00:00"/>
    <d v="2023-07-07T19:03:00"/>
    <m/>
    <d v="2023-07-07T00:00:00"/>
    <n v="233"/>
    <n v="14219"/>
    <s v="59908479"/>
    <s v="59908479"/>
    <m/>
    <m/>
    <n v="22769606"/>
    <m/>
    <m/>
    <m/>
    <s v="SOLFIN"/>
    <s v="SOLFIN"/>
    <s v="CCMS"/>
    <n v="21343950"/>
    <n v="4295.5"/>
    <m/>
    <s v="N"/>
    <n v="4"/>
    <d v="2023-07-07T19:03:18"/>
    <s v="Y"/>
    <s v="Court Fee"/>
    <s v="Public Law Children"/>
    <s v="Non Expert Disbursement"/>
    <s v="SJ"/>
    <s v="Y"/>
    <n v="167"/>
    <n v="0"/>
    <x v="9"/>
    <s v="VALIDATED"/>
    <n v="1"/>
    <s v="01.11.80.308.6300.0000"/>
    <n v="167"/>
    <s v="11"/>
    <s v="6300"/>
    <n v="24664.06"/>
    <n v="167"/>
    <s v="CREDITOR"/>
    <n v="0"/>
    <n v="0"/>
    <n v="0"/>
    <n v="0"/>
    <n v="167"/>
  </r>
  <r>
    <n v="11608450"/>
    <s v="N"/>
    <n v="21327971"/>
    <s v="3000007002310005"/>
    <s v="CIVIL"/>
    <d v="2023-06-26T00:00:00"/>
    <d v="2023-07-04T19:00:44"/>
    <m/>
    <d v="2023-07-04T00:00:00"/>
    <n v="233"/>
    <n v="14219"/>
    <s v="11608450"/>
    <s v="11608450"/>
    <m/>
    <m/>
    <n v="22764408"/>
    <m/>
    <m/>
    <m/>
    <s v="SOLFIN"/>
    <s v="SOLFIN"/>
    <s v="CCMS"/>
    <n v="21327971"/>
    <n v="12677.55"/>
    <m/>
    <s v="N"/>
    <n v="6"/>
    <d v="2023-07-04T19:01:00"/>
    <s v="Y"/>
    <s v="Preparation - other"/>
    <s v="Prescribed Hourly Rates"/>
    <s v="Profit Cost"/>
    <s v="SJ"/>
    <s v="Y"/>
    <n v="94.7"/>
    <n v="18.94"/>
    <x v="1"/>
    <s v="VALIDATED"/>
    <n v="1"/>
    <s v="01.11.80.307.6100.0000"/>
    <n v="94.7"/>
    <s v="11"/>
    <s v="6100"/>
    <n v="24664.06"/>
    <n v="94.7"/>
    <s v="CREDITOR"/>
    <n v="0"/>
    <n v="0"/>
    <n v="0"/>
    <n v="0"/>
    <n v="94.7"/>
  </r>
  <r>
    <n v="62130916"/>
    <s v="N"/>
    <n v="21321148"/>
    <s v="3000016153040003"/>
    <s v="CIVIL"/>
    <d v="2023-06-28T00:00:00"/>
    <d v="2023-07-03T19:04:52"/>
    <m/>
    <d v="2023-07-03T00:00:00"/>
    <n v="233"/>
    <n v="14219"/>
    <s v="62130916"/>
    <s v="62130916"/>
    <m/>
    <m/>
    <n v="22780640"/>
    <m/>
    <m/>
    <m/>
    <s v="SOLPOA"/>
    <s v="SOLPOA"/>
    <s v="CCMS"/>
    <n v="21321148"/>
    <n v="144.5"/>
    <m/>
    <s v="N"/>
    <n v="1"/>
    <d v="2023-07-03T19:04:58"/>
    <s v="N"/>
    <s v="Non Expert Disbursement"/>
    <s v="Non Expert Disbursement"/>
    <s v="Non Expert Disbursement"/>
    <s v="Samantha Jeanes"/>
    <s v="N"/>
    <n v="120.42"/>
    <n v="24.08"/>
    <x v="3"/>
    <s v="VALIDATED"/>
    <n v="1"/>
    <s v="01.11.80.308.2012.0000"/>
    <n v="120.42"/>
    <s v="11"/>
    <s v="2012"/>
    <n v="24664.06"/>
    <n v="120.42"/>
    <s v="CREDITOR"/>
    <n v="120.42"/>
    <n v="0"/>
    <n v="0"/>
    <n v="0"/>
    <n v="0"/>
  </r>
  <r>
    <n v="59875750"/>
    <s v="N"/>
    <n v="21360453"/>
    <s v="3000014235440006"/>
    <s v="CIVIL"/>
    <d v="2023-06-27T00:00:00"/>
    <d v="2023-07-11T11:50:54"/>
    <m/>
    <d v="2023-07-11T00:00:00"/>
    <n v="233"/>
    <n v="14219"/>
    <s v="59875750"/>
    <s v="59875750"/>
    <m/>
    <m/>
    <n v="22770302"/>
    <m/>
    <m/>
    <m/>
    <s v="SOLFIN"/>
    <s v="SOLFIN"/>
    <s v="CCMS"/>
    <n v="21360453"/>
    <n v="7187.56"/>
    <m/>
    <s v="N"/>
    <n v="11"/>
    <d v="2023-07-11T11:51:05"/>
    <s v="Y"/>
    <s v="Advocates Meeting"/>
    <s v="Public Law Children"/>
    <s v="Advocacy"/>
    <s v="NJH"/>
    <s v="Y"/>
    <n v="140.99"/>
    <n v="28.2"/>
    <x v="7"/>
    <s v="VALIDATED"/>
    <n v="1"/>
    <s v="01.11.80.308.6100.0000"/>
    <n v="140.99"/>
    <s v="11"/>
    <s v="6100"/>
    <n v="24664.06"/>
    <n v="140.99"/>
    <s v="CREDITOR"/>
    <n v="0"/>
    <n v="0"/>
    <n v="0"/>
    <n v="0"/>
    <n v="140.99"/>
  </r>
  <r>
    <n v="11608450"/>
    <s v="N"/>
    <n v="21327971"/>
    <s v="3000007002310005"/>
    <s v="CIVIL"/>
    <d v="2023-06-26T00:00:00"/>
    <d v="2023-07-04T19:00:44"/>
    <m/>
    <d v="2023-07-04T00:00:00"/>
    <n v="233"/>
    <n v="14219"/>
    <s v="11608450"/>
    <s v="11608450"/>
    <m/>
    <m/>
    <n v="22764408"/>
    <m/>
    <m/>
    <m/>
    <s v="SOLFIN"/>
    <s v="SOLFIN"/>
    <s v="CCMS"/>
    <n v="21327971"/>
    <n v="12677.55"/>
    <m/>
    <s v="N"/>
    <n v="25"/>
    <d v="2023-07-04T19:01:00"/>
    <s v="Y"/>
    <s v="Preparation - other"/>
    <s v="Prescribed Hourly Rates"/>
    <s v="Profit Cost"/>
    <s v="SJ"/>
    <s v="Y"/>
    <n v="44.19"/>
    <n v="8.84"/>
    <x v="1"/>
    <s v="VALIDATED"/>
    <n v="1"/>
    <s v="01.11.80.307.6100.0000"/>
    <n v="44.19"/>
    <s v="11"/>
    <s v="6100"/>
    <n v="24664.06"/>
    <n v="44.19"/>
    <s v="CREDITOR"/>
    <n v="0"/>
    <n v="0"/>
    <n v="0"/>
    <n v="0"/>
    <n v="44.19"/>
  </r>
  <r>
    <n v="11608450"/>
    <s v="N"/>
    <n v="21327971"/>
    <s v="3000007002310005"/>
    <s v="CIVIL"/>
    <d v="2023-06-26T00:00:00"/>
    <d v="2023-07-04T19:00:44"/>
    <m/>
    <d v="2023-07-04T00:00:00"/>
    <n v="233"/>
    <n v="14219"/>
    <s v="11608450"/>
    <s v="11608450"/>
    <m/>
    <m/>
    <n v="22764408"/>
    <m/>
    <m/>
    <m/>
    <s v="SOLFIN"/>
    <s v="SOLFIN"/>
    <s v="CCMS"/>
    <n v="21327971"/>
    <n v="12677.55"/>
    <m/>
    <s v="N"/>
    <n v="1"/>
    <d v="2023-07-04T19:01:00"/>
    <s v="Y"/>
    <s v="Preparation - drafting instructions"/>
    <s v="Prescribed Hourly Rates"/>
    <s v="Profit Cost"/>
    <s v="SJ"/>
    <s v="Y"/>
    <n v="25.25"/>
    <n v="5.05"/>
    <x v="1"/>
    <s v="VALIDATED"/>
    <n v="1"/>
    <s v="01.11.80.307.6100.0000"/>
    <n v="25.25"/>
    <s v="11"/>
    <s v="6100"/>
    <n v="24664.06"/>
    <n v="25.25"/>
    <s v="CREDITOR"/>
    <n v="0"/>
    <n v="0"/>
    <n v="0"/>
    <n v="0"/>
    <n v="25.25"/>
  </r>
  <r>
    <n v="59875750"/>
    <s v="N"/>
    <n v="21360453"/>
    <s v="3000014235440006"/>
    <s v="CIVIL"/>
    <d v="2023-06-27T00:00:00"/>
    <d v="2023-07-11T11:50:54"/>
    <m/>
    <d v="2023-07-11T00:00:00"/>
    <n v="233"/>
    <n v="14219"/>
    <s v="59875750"/>
    <s v="59875750"/>
    <m/>
    <m/>
    <n v="22770302"/>
    <m/>
    <m/>
    <m/>
    <s v="SOLFIN"/>
    <s v="SOLFIN"/>
    <s v="CCMS"/>
    <n v="21360453"/>
    <n v="7187.56"/>
    <m/>
    <s v="N"/>
    <n v="12"/>
    <d v="2023-07-11T11:51:05"/>
    <s v="Y"/>
    <s v="Hearing Unit 2.31 - 5.00 Hours"/>
    <s v="Public Law Children"/>
    <s v="Advocacy"/>
    <s v="NJH"/>
    <s v="Y"/>
    <n v="476.92"/>
    <n v="95.38"/>
    <x v="7"/>
    <s v="VALIDATED"/>
    <n v="1"/>
    <s v="01.11.80.308.6100.0000"/>
    <n v="476.92"/>
    <s v="11"/>
    <s v="6100"/>
    <n v="24664.06"/>
    <n v="476.92"/>
    <s v="CREDITOR"/>
    <n v="0"/>
    <n v="0"/>
    <n v="0"/>
    <n v="0"/>
    <n v="476.92"/>
  </r>
  <r>
    <n v="61740156"/>
    <s v="N"/>
    <n v="21323535"/>
    <s v="3000015821470005"/>
    <s v="CIVIL"/>
    <d v="2023-06-30T00:00:00"/>
    <d v="2023-07-03T19:05:56"/>
    <m/>
    <d v="2023-07-03T00:00:00"/>
    <n v="233"/>
    <n v="14219"/>
    <s v="61740156"/>
    <s v="61740156"/>
    <m/>
    <m/>
    <n v="22798382"/>
    <m/>
    <m/>
    <m/>
    <s v="SOLPOA"/>
    <s v="SOLPOA"/>
    <s v="CCMS"/>
    <n v="21323535"/>
    <n v="167"/>
    <m/>
    <s v="N"/>
    <n v="1"/>
    <d v="2023-07-03T19:05:57"/>
    <s v="N"/>
    <s v="Non Expert Disbursement"/>
    <s v="Non Expert Disbursement"/>
    <s v="Non Expert Disbursement"/>
    <s v="Samantha Jeanes"/>
    <s v="N"/>
    <n v="167"/>
    <n v="0"/>
    <x v="3"/>
    <s v="VALIDATED"/>
    <n v="1"/>
    <s v="01.11.80.307.2012.0000"/>
    <n v="167"/>
    <s v="11"/>
    <s v="2012"/>
    <n v="24664.06"/>
    <n v="167"/>
    <s v="CREDITOR"/>
    <n v="167"/>
    <n v="0"/>
    <n v="0"/>
    <n v="0"/>
    <n v="0"/>
  </r>
  <r>
    <n v="61132004"/>
    <s v="N"/>
    <n v="21331032"/>
    <s v="3000015318630004"/>
    <s v="CIVIL"/>
    <d v="2023-06-26T00:00:00"/>
    <d v="2023-07-05T19:01:47"/>
    <m/>
    <d v="2023-07-05T00:00:00"/>
    <n v="233"/>
    <n v="14219"/>
    <s v="61132004"/>
    <s v="61132004"/>
    <m/>
    <m/>
    <n v="22760074"/>
    <m/>
    <m/>
    <m/>
    <s v="SOLFIN"/>
    <s v="SOLFIN"/>
    <s v="CCMS"/>
    <n v="21331032"/>
    <n v="5052.17"/>
    <m/>
    <s v="N"/>
    <n v="7"/>
    <d v="2023-07-05T19:02:03"/>
    <s v="Y"/>
    <s v="Final Hearing - 1 Day"/>
    <s v="Public Law Children"/>
    <s v="Advocacy"/>
    <s v="NJH"/>
    <s v="Y"/>
    <n v="556.88"/>
    <n v="111.38"/>
    <x v="6"/>
    <s v="VALIDATED"/>
    <n v="1"/>
    <s v="01.11.80.308.6100.0000"/>
    <n v="556.88"/>
    <s v="11"/>
    <s v="6100"/>
    <n v="24664.06"/>
    <n v="556.88"/>
    <s v="CREDITOR"/>
    <n v="0"/>
    <n v="0"/>
    <n v="0"/>
    <n v="0"/>
    <n v="556.88"/>
  </r>
  <r>
    <n v="61508975"/>
    <s v="N"/>
    <n v="21330531"/>
    <s v="3000015631530006"/>
    <s v="CIVIL"/>
    <d v="2023-06-27T00:00:00"/>
    <d v="2023-07-05T19:01:47"/>
    <m/>
    <d v="2023-07-05T00:00:00"/>
    <n v="233"/>
    <n v="14219"/>
    <s v="61508975"/>
    <s v="61508975"/>
    <m/>
    <m/>
    <n v="22768948"/>
    <m/>
    <m/>
    <m/>
    <s v="SOLFIN"/>
    <s v="SOLFIN"/>
    <s v="CCMS"/>
    <n v="21330531"/>
    <n v="3823.01"/>
    <m/>
    <s v="N"/>
    <n v="1"/>
    <d v="2023-07-05T19:01:50"/>
    <s v="Y"/>
    <s v="Solicitor Travel Expenses"/>
    <s v="Public Law Children"/>
    <s v="Non Expert Disbursement"/>
    <s v="SJ"/>
    <s v="Y"/>
    <n v="24.3"/>
    <n v="4.86"/>
    <x v="6"/>
    <s v="VALIDATED"/>
    <n v="1"/>
    <s v="01.11.80.308.6300.0000"/>
    <n v="24.3"/>
    <s v="11"/>
    <s v="6300"/>
    <n v="24664.06"/>
    <n v="24.3"/>
    <s v="CREDITOR"/>
    <n v="0"/>
    <n v="0"/>
    <n v="0"/>
    <n v="0"/>
    <n v="24.3"/>
  </r>
  <r>
    <n v="11623409"/>
    <s v="N"/>
    <n v="21327899"/>
    <s v="3000007006520001"/>
    <s v="CIVIL"/>
    <d v="2023-06-26T00:00:00"/>
    <d v="2023-07-04T19:00:44"/>
    <m/>
    <d v="2023-07-04T00:00:00"/>
    <n v="233"/>
    <n v="14219"/>
    <s v="11623409"/>
    <s v="11623409"/>
    <m/>
    <m/>
    <n v="22764424"/>
    <m/>
    <m/>
    <m/>
    <s v="SOLFIN"/>
    <s v="SOLFIN"/>
    <s v="CCMS"/>
    <n v="21327899"/>
    <n v="0"/>
    <m/>
    <s v="N"/>
    <n v="1"/>
    <d v="2023-07-04T19:00:58"/>
    <s v="N"/>
    <s v="NIL BILL"/>
    <s v="Prescribed Hourly Rates"/>
    <s v="Profit Cost"/>
    <s v="SJ"/>
    <s v="N"/>
    <n v="0"/>
    <n v="0"/>
    <x v="1"/>
    <s v="VALIDATED"/>
    <n v="1"/>
    <s v="01.11.80.307.6100.0000"/>
    <n v="0"/>
    <s v="11"/>
    <s v="6100"/>
    <n v="24664.06"/>
    <n v="0"/>
    <s v="CREDITOR"/>
    <n v="0"/>
    <n v="0"/>
    <n v="0"/>
    <n v="0"/>
    <n v="0"/>
  </r>
  <r>
    <n v="61923220"/>
    <s v="N"/>
    <n v="21327771"/>
    <s v="3000015976900001"/>
    <s v="CIVIL"/>
    <d v="2023-06-27T00:00:00"/>
    <d v="2023-07-04T19:00:44"/>
    <m/>
    <d v="2023-07-04T00:00:00"/>
    <n v="235"/>
    <n v="14241"/>
    <s v="61923220"/>
    <s v="61923220"/>
    <m/>
    <m/>
    <n v="22767338"/>
    <m/>
    <m/>
    <m/>
    <s v="SOLFIN"/>
    <s v="SOLFIN"/>
    <s v="CCMS"/>
    <n v="21327771"/>
    <n v="806.15"/>
    <m/>
    <s v="N"/>
    <n v="1"/>
    <d v="2023-07-04T19:00:54"/>
    <s v="Y"/>
    <s v="Preparation - drafting bill/claim f"/>
    <s v="Care Remuneration Hourly Rates"/>
    <s v="Profit Cost"/>
    <s v="n crewe"/>
    <s v="Y"/>
    <n v="35.05"/>
    <n v="7.01"/>
    <x v="1"/>
    <s v="VALIDATED"/>
    <n v="1"/>
    <s v="01.11.80.305.6100.0000"/>
    <n v="35.05"/>
    <s v="11"/>
    <s v="6100"/>
    <n v="30324.13"/>
    <n v="35.05"/>
    <s v="CREDITOR"/>
    <n v="0"/>
    <n v="0"/>
    <n v="0"/>
    <n v="0"/>
    <n v="35.05"/>
  </r>
  <r>
    <n v="61748857"/>
    <s v="N"/>
    <n v="21330538"/>
    <s v="3000015829260003"/>
    <s v="CIVIL"/>
    <d v="2023-06-27T00:00:00"/>
    <d v="2023-07-05T19:01:47"/>
    <m/>
    <d v="2023-07-05T00:00:00"/>
    <n v="235"/>
    <n v="14241"/>
    <s v="61748857"/>
    <s v="61748857"/>
    <m/>
    <m/>
    <n v="22767274"/>
    <m/>
    <m/>
    <m/>
    <s v="SOLFIN"/>
    <s v="SOLFIN"/>
    <s v="CCMS"/>
    <n v="21330538"/>
    <n v="4716.06"/>
    <m/>
    <s v="N"/>
    <n v="3"/>
    <d v="2023-07-05T19:01:51"/>
    <s v="Y"/>
    <s v="Final Hearing - 1 Day"/>
    <s v="Public Law Children"/>
    <s v="Advocacy"/>
    <s v="t filleul"/>
    <s v="Y"/>
    <n v="556.88"/>
    <n v="111.38"/>
    <x v="6"/>
    <s v="VALIDATED"/>
    <n v="1"/>
    <s v="01.11.80.308.6100.0000"/>
    <n v="556.88"/>
    <s v="11"/>
    <s v="6100"/>
    <n v="30324.13"/>
    <n v="556.88"/>
    <s v="CREDITOR"/>
    <n v="0"/>
    <n v="0"/>
    <n v="0"/>
    <n v="0"/>
    <n v="556.88"/>
  </r>
  <r>
    <n v="61553388"/>
    <s v="N"/>
    <n v="21320700"/>
    <s v="3000015669870007"/>
    <s v="CIVIL"/>
    <d v="2023-06-28T00:00:00"/>
    <d v="2023-07-03T19:04:52"/>
    <m/>
    <d v="2023-07-03T00:00:00"/>
    <n v="235"/>
    <n v="14241"/>
    <s v="61553388"/>
    <s v="61553388"/>
    <m/>
    <m/>
    <n v="22780864"/>
    <m/>
    <m/>
    <m/>
    <s v="SOLPOA"/>
    <s v="SOLPOA"/>
    <s v="CCMS"/>
    <n v="21320700"/>
    <n v="150.66"/>
    <m/>
    <s v="N"/>
    <n v="1"/>
    <d v="2023-07-03T19:04:55"/>
    <s v="N"/>
    <s v="Expert Cost"/>
    <s v="Expert Cost"/>
    <s v="Expert Disbursement"/>
    <s v="Vanessa Cowlard"/>
    <s v="N"/>
    <n v="125.55"/>
    <n v="25.11"/>
    <x v="3"/>
    <s v="VALIDATED"/>
    <n v="1"/>
    <s v="01.11.80.308.2012.0000"/>
    <n v="125.55"/>
    <s v="11"/>
    <s v="2012"/>
    <n v="30324.13"/>
    <n v="125.55"/>
    <s v="CREDITOR"/>
    <n v="125.55"/>
    <n v="0"/>
    <n v="0"/>
    <n v="0"/>
    <n v="0"/>
  </r>
  <r>
    <n v="61184114"/>
    <s v="N"/>
    <n v="21331265"/>
    <s v="3000015362710002"/>
    <s v="CIVIL"/>
    <d v="2023-06-27T00:00:00"/>
    <d v="2023-07-05T19:01:47"/>
    <m/>
    <d v="2023-07-05T00:00:00"/>
    <n v="235"/>
    <n v="14241"/>
    <s v="61184114"/>
    <s v="61184114"/>
    <m/>
    <m/>
    <n v="22770402"/>
    <m/>
    <m/>
    <m/>
    <s v="SOLFIN"/>
    <s v="SOLFIN"/>
    <s v="CCMS"/>
    <n v="21331265"/>
    <n v="3921.52"/>
    <m/>
    <s v="N"/>
    <n v="5"/>
    <d v="2023-07-05T19:02:12"/>
    <s v="Y"/>
    <s v="Solicitors Fixed Fee"/>
    <s v="Public Law Children"/>
    <s v="Profit Cost"/>
    <s v="v cowlard"/>
    <s v="Y"/>
    <n v="2013"/>
    <n v="402.6"/>
    <x v="6"/>
    <s v="VALIDATED"/>
    <n v="1"/>
    <s v="01.11.80.308.6100.0000"/>
    <n v="2013"/>
    <s v="11"/>
    <s v="6100"/>
    <n v="30324.13"/>
    <n v="2013"/>
    <s v="CREDITOR"/>
    <n v="0"/>
    <n v="0"/>
    <n v="0"/>
    <n v="0"/>
    <n v="2013"/>
  </r>
  <r>
    <n v="61536883"/>
    <s v="N"/>
    <n v="21331348"/>
    <s v="3000015655790001"/>
    <s v="CIVIL"/>
    <d v="2023-06-27T00:00:00"/>
    <d v="2023-07-05T19:01:47"/>
    <m/>
    <d v="2023-07-05T00:00:00"/>
    <n v="235"/>
    <n v="14241"/>
    <s v="61536883"/>
    <s v="61536883"/>
    <m/>
    <m/>
    <n v="22768918"/>
    <m/>
    <m/>
    <m/>
    <s v="SOLFIN"/>
    <s v="SOLFIN"/>
    <s v="CCMS"/>
    <n v="21331348"/>
    <n v="4854.12"/>
    <m/>
    <s v="N"/>
    <n v="7"/>
    <d v="2023-07-05T19:02:15"/>
    <s v="Y"/>
    <s v="Solicitors Fixed Fee"/>
    <s v="Public Law Children"/>
    <s v="Profit Cost"/>
    <s v="v cowlard"/>
    <s v="Y"/>
    <n v="2013"/>
    <n v="402.6"/>
    <x v="6"/>
    <s v="VALIDATED"/>
    <n v="1"/>
    <s v="01.11.80.308.6100.0000"/>
    <n v="2013"/>
    <s v="11"/>
    <s v="6100"/>
    <n v="30324.13"/>
    <n v="2013"/>
    <s v="CREDITOR"/>
    <n v="0"/>
    <n v="0"/>
    <n v="0"/>
    <n v="0"/>
    <n v="2013"/>
  </r>
  <r>
    <n v="61507429"/>
    <s v="N"/>
    <n v="21331380"/>
    <s v="3000015630350003"/>
    <s v="CIVIL"/>
    <d v="2023-06-27T00:00:00"/>
    <d v="2023-07-05T19:01:47"/>
    <m/>
    <d v="2023-07-05T00:00:00"/>
    <n v="235"/>
    <n v="14241"/>
    <s v="61507429"/>
    <s v="61507429"/>
    <m/>
    <m/>
    <n v="22772016"/>
    <m/>
    <m/>
    <m/>
    <s v="SOLFIN"/>
    <s v="SOLFIN"/>
    <s v="CCMS"/>
    <n v="21331380"/>
    <n v="8229.51"/>
    <m/>
    <s v="N"/>
    <n v="5"/>
    <d v="2023-07-05T19:02:17"/>
    <s v="Y"/>
    <s v="Hearing Unit 2.31 - 5.00 Hours"/>
    <s v="Public Law Children"/>
    <s v="Advocacy"/>
    <s v="v cowlard"/>
    <s v="Y"/>
    <n v="572.3200000000001"/>
    <n v="114.46"/>
    <x v="6"/>
    <s v="VALIDATED"/>
    <n v="1"/>
    <s v="01.11.80.308.6100.0000"/>
    <n v="572.3200000000001"/>
    <s v="11"/>
    <s v="6100"/>
    <n v="30324.13"/>
    <n v="572.3200000000001"/>
    <s v="CREDITOR"/>
    <n v="0"/>
    <n v="0"/>
    <n v="0"/>
    <n v="0"/>
    <n v="572.3200000000001"/>
  </r>
  <r>
    <n v="62204622"/>
    <s v="N"/>
    <n v="21382335"/>
    <s v="3000016212000001"/>
    <s v="CIVIL"/>
    <d v="2023-06-27T00:00:00"/>
    <d v="2023-07-17T19:01:46"/>
    <m/>
    <d v="2023-07-17T00:00:00"/>
    <n v="235"/>
    <n v="14241"/>
    <s v="62204622"/>
    <s v="62204622"/>
    <m/>
    <m/>
    <n v="22769792"/>
    <m/>
    <m/>
    <m/>
    <s v="SOLFIN"/>
    <s v="SOLFIN"/>
    <s v="CCMS"/>
    <n v="21382335"/>
    <n v="882.5599999999999"/>
    <m/>
    <s v="N"/>
    <n v="2"/>
    <d v="2023-07-17T19:02:07"/>
    <s v="Y"/>
    <s v="Preparation - drafting bill/claim f"/>
    <s v="Care Remuneration Hourly Rates"/>
    <s v="Profit Cost"/>
    <s v="n crewe"/>
    <s v="Y"/>
    <n v="35.05"/>
    <n v="7.01"/>
    <x v="8"/>
    <s v="VALIDATED"/>
    <n v="1"/>
    <s v="01.11.80.308.6100.0000"/>
    <n v="35.05"/>
    <s v="11"/>
    <s v="6100"/>
    <n v="30324.13"/>
    <n v="35.05"/>
    <s v="CREDITOR"/>
    <n v="0"/>
    <n v="0"/>
    <n v="0"/>
    <n v="0"/>
    <n v="35.05"/>
  </r>
  <r>
    <n v="61639838"/>
    <s v="N"/>
    <n v="21318426"/>
    <s v="3000015742650004"/>
    <s v="CIVIL"/>
    <d v="2023-06-22T00:00:00"/>
    <d v="2023-07-03T19:01:49"/>
    <m/>
    <d v="2023-07-03T00:00:00"/>
    <n v="235"/>
    <n v="14241"/>
    <s v="61639838"/>
    <s v="61639838"/>
    <m/>
    <m/>
    <n v="22745232"/>
    <m/>
    <m/>
    <m/>
    <s v="SOLFIN"/>
    <s v="SOLFIN"/>
    <s v="CCMS"/>
    <n v="21318426"/>
    <n v="7025.46"/>
    <m/>
    <s v="N"/>
    <n v="5"/>
    <d v="2023-07-03T19:01:55"/>
    <s v="Y"/>
    <s v="Hearing Unit 2.31 - 5.00 Hours"/>
    <s v="Public Law Children"/>
    <s v="Advocacy"/>
    <s v="t filleul"/>
    <s v="Y"/>
    <n v="596.15"/>
    <n v="119.23"/>
    <x v="3"/>
    <s v="VALIDATED"/>
    <n v="1"/>
    <s v="01.11.80.308.6100.0000"/>
    <n v="596.15"/>
    <s v="11"/>
    <s v="6100"/>
    <n v="30324.13"/>
    <n v="596.15"/>
    <s v="CREDITOR"/>
    <n v="0"/>
    <n v="0"/>
    <n v="0"/>
    <n v="0"/>
    <n v="596.15"/>
  </r>
  <r>
    <n v="62420802"/>
    <s v="N"/>
    <n v="21320198"/>
    <s v="3000016391400001"/>
    <s v="CIVIL"/>
    <d v="2023-06-28T00:00:00"/>
    <d v="2023-07-03T19:04:52"/>
    <m/>
    <d v="2023-07-03T00:00:00"/>
    <n v="235"/>
    <n v="14241"/>
    <s v="62420802"/>
    <s v="62420802"/>
    <m/>
    <m/>
    <n v="22778748"/>
    <m/>
    <m/>
    <m/>
    <s v="SOLPOA"/>
    <s v="SOLPOA"/>
    <s v="CCMS"/>
    <n v="21320198"/>
    <n v="1203.9"/>
    <m/>
    <s v="N"/>
    <n v="1"/>
    <d v="2023-07-03T19:04:52"/>
    <s v="N"/>
    <s v="Expert Cost"/>
    <s v="Expert Cost"/>
    <s v="Expert Disbursement"/>
    <s v="Vanessa Cowlard"/>
    <s v="N"/>
    <n v="1003.25"/>
    <n v="200.65"/>
    <x v="3"/>
    <s v="VALIDATED"/>
    <n v="1"/>
    <s v="01.11.80.308.2012.0000"/>
    <n v="1003.25"/>
    <s v="11"/>
    <s v="2012"/>
    <n v="30324.13"/>
    <n v="1003.25"/>
    <s v="CREDITOR"/>
    <n v="1003.25"/>
    <n v="0"/>
    <n v="0"/>
    <n v="0"/>
    <n v="0"/>
  </r>
  <r>
    <n v="61639838"/>
    <s v="N"/>
    <n v="21318426"/>
    <s v="3000015742650004"/>
    <s v="CIVIL"/>
    <d v="2023-06-22T00:00:00"/>
    <d v="2023-07-03T19:01:49"/>
    <m/>
    <d v="2023-07-03T00:00:00"/>
    <n v="235"/>
    <n v="14241"/>
    <s v="61639838"/>
    <s v="61639838"/>
    <m/>
    <m/>
    <n v="22745232"/>
    <m/>
    <m/>
    <m/>
    <s v="SOLFIN"/>
    <s v="SOLFIN"/>
    <s v="CCMS"/>
    <n v="21318426"/>
    <n v="7025.46"/>
    <m/>
    <s v="N"/>
    <n v="3"/>
    <d v="2023-07-03T19:01:55"/>
    <s v="Y"/>
    <s v="DNA - preparation of report"/>
    <s v="Public Law Children"/>
    <s v="Expert Disbursement"/>
    <s v="Anglia DNA"/>
    <s v="Y"/>
    <n v="162.64"/>
    <n v="32.53"/>
    <x v="3"/>
    <s v="VALIDATED"/>
    <n v="1"/>
    <s v="01.11.80.308.6300.0000"/>
    <n v="162.64"/>
    <s v="11"/>
    <s v="6300"/>
    <n v="30324.13"/>
    <n v="162.64"/>
    <s v="CREDITOR"/>
    <n v="0"/>
    <n v="0"/>
    <n v="0"/>
    <n v="0"/>
    <n v="162.64"/>
  </r>
  <r>
    <n v="61507429"/>
    <s v="N"/>
    <n v="21331380"/>
    <s v="3000015630350003"/>
    <s v="CIVIL"/>
    <d v="2023-06-27T00:00:00"/>
    <d v="2023-07-05T19:01:47"/>
    <m/>
    <d v="2023-07-05T00:00:00"/>
    <n v="235"/>
    <n v="14241"/>
    <s v="61507429"/>
    <s v="61507429"/>
    <m/>
    <m/>
    <n v="22772016"/>
    <m/>
    <m/>
    <m/>
    <s v="SOLFIN"/>
    <s v="SOLFIN"/>
    <s v="CCMS"/>
    <n v="21331380"/>
    <n v="8229.51"/>
    <m/>
    <s v="N"/>
    <n v="9"/>
    <d v="2023-07-05T19:02:17"/>
    <s v="Y"/>
    <s v="Solicitors Fixed Fee"/>
    <s v="Public Law Children"/>
    <s v="Profit Cost"/>
    <s v="v cowlard"/>
    <s v="Y"/>
    <n v="3479"/>
    <n v="695.8"/>
    <x v="6"/>
    <s v="VALIDATED"/>
    <n v="1"/>
    <s v="01.11.80.308.6100.0000"/>
    <n v="3479"/>
    <s v="11"/>
    <s v="6100"/>
    <n v="30324.13"/>
    <n v="3479"/>
    <s v="CREDITOR"/>
    <n v="0"/>
    <n v="0"/>
    <n v="0"/>
    <n v="0"/>
    <n v="3479"/>
  </r>
  <r>
    <n v="61326095"/>
    <s v="N"/>
    <n v="21331144"/>
    <s v="3000015479290006"/>
    <s v="CIVIL"/>
    <d v="2023-06-27T00:00:00"/>
    <d v="2023-07-05T19:01:47"/>
    <m/>
    <d v="2023-07-05T00:00:00"/>
    <n v="235"/>
    <n v="14241"/>
    <s v="61326095"/>
    <s v="61326095"/>
    <m/>
    <m/>
    <n v="22768892"/>
    <m/>
    <m/>
    <m/>
    <s v="SOLFIN"/>
    <s v="SOLFIN"/>
    <s v="CCMS"/>
    <n v="21331144"/>
    <n v="7929.76"/>
    <m/>
    <s v="N"/>
    <n v="11"/>
    <d v="2023-07-05T19:02:08"/>
    <s v="Y"/>
    <s v="Hearing Unit 1.01 - 2.30 Hours"/>
    <s v="Public Law Children"/>
    <s v="Advocacy"/>
    <s v="t filleul"/>
    <s v="Y"/>
    <n v="238.46"/>
    <n v="47.69"/>
    <x v="6"/>
    <s v="VALIDATED"/>
    <n v="1"/>
    <s v="01.11.80.308.6100.0000"/>
    <n v="238.46"/>
    <s v="11"/>
    <s v="6100"/>
    <n v="30324.13"/>
    <n v="238.46"/>
    <s v="CREDITOR"/>
    <n v="0"/>
    <n v="0"/>
    <n v="0"/>
    <n v="0"/>
    <n v="238.46"/>
  </r>
  <r>
    <n v="62204622"/>
    <s v="N"/>
    <n v="21382335"/>
    <s v="3000016212000001"/>
    <s v="CIVIL"/>
    <d v="2023-06-27T00:00:00"/>
    <d v="2023-07-17T19:01:46"/>
    <m/>
    <d v="2023-07-17T00:00:00"/>
    <n v="235"/>
    <n v="14241"/>
    <s v="62204622"/>
    <s v="62204622"/>
    <m/>
    <m/>
    <n v="22769792"/>
    <m/>
    <m/>
    <m/>
    <s v="SOLFIN"/>
    <s v="SOLFIN"/>
    <s v="CCMS"/>
    <n v="21382335"/>
    <n v="882.5599999999999"/>
    <m/>
    <s v="N"/>
    <n v="5"/>
    <d v="2023-07-17T19:02:07"/>
    <s v="Y"/>
    <s v="Routine Letter Out"/>
    <s v="Care Remuneration Hourly Rates"/>
    <s v="Profit Cost"/>
    <s v="v cowlard"/>
    <s v="Y"/>
    <n v="67.90000000000001"/>
    <n v="13.58"/>
    <x v="8"/>
    <s v="VALIDATED"/>
    <n v="1"/>
    <s v="01.11.80.308.6100.0000"/>
    <n v="67.90000000000001"/>
    <s v="11"/>
    <s v="6100"/>
    <n v="30324.13"/>
    <n v="67.90000000000001"/>
    <s v="CREDITOR"/>
    <n v="0"/>
    <n v="0"/>
    <n v="0"/>
    <n v="0"/>
    <n v="67.90000000000001"/>
  </r>
  <r>
    <n v="61880526"/>
    <s v="N"/>
    <n v="21320516"/>
    <s v="3000015942530004"/>
    <s v="CIVIL"/>
    <d v="2023-06-28T00:00:00"/>
    <d v="2023-07-03T19:04:52"/>
    <m/>
    <d v="2023-07-03T00:00:00"/>
    <n v="235"/>
    <n v="14241"/>
    <s v="61880526"/>
    <s v="61880526"/>
    <m/>
    <m/>
    <n v="22778380"/>
    <m/>
    <m/>
    <m/>
    <s v="SOLPOA"/>
    <s v="SOLPOA"/>
    <s v="CCMS"/>
    <n v="21320516"/>
    <n v="660.96"/>
    <m/>
    <s v="N"/>
    <n v="1"/>
    <d v="2023-07-03T19:04:54"/>
    <s v="N"/>
    <s v="Expert Cost"/>
    <s v="Expert Cost"/>
    <s v="Expert Disbursement"/>
    <s v="Vanessa Cowlard"/>
    <s v="N"/>
    <n v="550.8"/>
    <n v="110.16"/>
    <x v="3"/>
    <s v="VALIDATED"/>
    <n v="1"/>
    <s v="01.11.80.308.2012.0000"/>
    <n v="550.8"/>
    <s v="11"/>
    <s v="2012"/>
    <n v="30324.13"/>
    <n v="550.8"/>
    <s v="CREDITOR"/>
    <n v="550.8"/>
    <n v="0"/>
    <n v="0"/>
    <n v="0"/>
    <n v="0"/>
  </r>
  <r>
    <n v="62204622"/>
    <s v="N"/>
    <n v="21382335"/>
    <s v="3000016212000001"/>
    <s v="CIVIL"/>
    <d v="2023-06-27T00:00:00"/>
    <d v="2023-07-17T19:01:46"/>
    <m/>
    <d v="2023-07-17T00:00:00"/>
    <n v="235"/>
    <n v="14241"/>
    <s v="62204622"/>
    <s v="62204622"/>
    <m/>
    <m/>
    <n v="22769792"/>
    <m/>
    <m/>
    <m/>
    <s v="SOLFIN"/>
    <s v="SOLFIN"/>
    <s v="CCMS"/>
    <n v="21382335"/>
    <n v="882.5599999999999"/>
    <m/>
    <s v="N"/>
    <n v="3"/>
    <d v="2023-07-17T19:02:07"/>
    <s v="Y"/>
    <s v="Routine Telephone Call"/>
    <s v="Care Remuneration Hourly Rates"/>
    <s v="Profit Cost"/>
    <s v="v cowlard"/>
    <s v="Y"/>
    <n v="16.97"/>
    <n v="3.39"/>
    <x v="8"/>
    <s v="VALIDATED"/>
    <n v="1"/>
    <s v="01.11.80.308.6100.0000"/>
    <n v="16.97"/>
    <s v="11"/>
    <s v="6100"/>
    <n v="30324.13"/>
    <n v="16.97"/>
    <s v="CREDITOR"/>
    <n v="0"/>
    <n v="0"/>
    <n v="0"/>
    <n v="0"/>
    <n v="16.97"/>
  </r>
  <r>
    <n v="61536883"/>
    <s v="N"/>
    <n v="21331348"/>
    <s v="3000015655790001"/>
    <s v="CIVIL"/>
    <d v="2023-06-27T00:00:00"/>
    <d v="2023-07-05T19:01:47"/>
    <m/>
    <d v="2023-07-05T00:00:00"/>
    <n v="235"/>
    <n v="14241"/>
    <s v="61536883"/>
    <s v="61536883"/>
    <m/>
    <m/>
    <n v="22768918"/>
    <m/>
    <m/>
    <m/>
    <s v="SOLFIN"/>
    <s v="SOLFIN"/>
    <s v="CCMS"/>
    <n v="21331348"/>
    <n v="4854.12"/>
    <m/>
    <s v="N"/>
    <n v="5"/>
    <d v="2023-07-05T19:02:15"/>
    <s v="Y"/>
    <s v="Advocates Meeting"/>
    <s v="Public Law Children"/>
    <s v="Advocacy"/>
    <s v="v cowlard"/>
    <s v="Y"/>
    <n v="140.99"/>
    <n v="28.2"/>
    <x v="6"/>
    <s v="VALIDATED"/>
    <n v="1"/>
    <s v="01.11.80.308.6100.0000"/>
    <n v="140.99"/>
    <s v="11"/>
    <s v="6100"/>
    <n v="30324.13"/>
    <n v="140.99"/>
    <s v="CREDITOR"/>
    <n v="0"/>
    <n v="0"/>
    <n v="0"/>
    <n v="0"/>
    <n v="140.99"/>
  </r>
  <r>
    <n v="61639838"/>
    <s v="N"/>
    <n v="21318426"/>
    <s v="3000015742650004"/>
    <s v="CIVIL"/>
    <d v="2023-06-22T00:00:00"/>
    <d v="2023-07-03T19:01:49"/>
    <m/>
    <d v="2023-07-03T00:00:00"/>
    <n v="235"/>
    <n v="14241"/>
    <s v="61639838"/>
    <s v="61639838"/>
    <m/>
    <m/>
    <n v="22745232"/>
    <m/>
    <m/>
    <m/>
    <s v="SOLFIN"/>
    <s v="SOLFIN"/>
    <s v="CCMS"/>
    <n v="21318426"/>
    <n v="7025.46"/>
    <m/>
    <s v="N"/>
    <n v="2"/>
    <d v="2023-07-03T19:01:55"/>
    <s v="Y"/>
    <s v="Psychologist"/>
    <s v="Public Law Children"/>
    <s v="Expert Disbursement"/>
    <s v="Morgan Psychological Services"/>
    <s v="Y"/>
    <n v="748.8"/>
    <n v="149.76"/>
    <x v="3"/>
    <s v="VALIDATED"/>
    <n v="1"/>
    <s v="01.11.80.308.6300.0000"/>
    <n v="748.8"/>
    <s v="11"/>
    <s v="6300"/>
    <n v="30324.13"/>
    <n v="748.8"/>
    <s v="CREDITOR"/>
    <n v="0"/>
    <n v="0"/>
    <n v="0"/>
    <n v="0"/>
    <n v="748.8"/>
  </r>
  <r>
    <n v="61326095"/>
    <s v="N"/>
    <n v="21331144"/>
    <s v="3000015479290006"/>
    <s v="CIVIL"/>
    <d v="2023-06-27T00:00:00"/>
    <d v="2023-07-05T19:01:47"/>
    <m/>
    <d v="2023-07-05T00:00:00"/>
    <n v="235"/>
    <n v="14241"/>
    <s v="61326095"/>
    <s v="61326095"/>
    <m/>
    <m/>
    <n v="22768892"/>
    <m/>
    <m/>
    <m/>
    <s v="SOLFIN"/>
    <s v="SOLFIN"/>
    <s v="CCMS"/>
    <n v="21331144"/>
    <n v="7929.76"/>
    <m/>
    <s v="N"/>
    <n v="3"/>
    <d v="2023-07-05T19:02:08"/>
    <s v="Y"/>
    <s v="Toxicologist"/>
    <s v="Public Law Children"/>
    <s v="Expert Disbursement"/>
    <s v="cansford labs"/>
    <s v="Y"/>
    <n v="243"/>
    <n v="48.6"/>
    <x v="6"/>
    <s v="VALIDATED"/>
    <n v="1"/>
    <s v="01.11.80.308.6300.0000"/>
    <n v="243"/>
    <s v="11"/>
    <s v="6300"/>
    <n v="30324.13"/>
    <n v="243"/>
    <s v="CREDITOR"/>
    <n v="0"/>
    <n v="0"/>
    <n v="0"/>
    <n v="0"/>
    <n v="243"/>
  </r>
  <r>
    <n v="61326095"/>
    <s v="N"/>
    <n v="21331144"/>
    <s v="3000015479290006"/>
    <s v="CIVIL"/>
    <d v="2023-06-27T00:00:00"/>
    <d v="2023-07-05T19:01:47"/>
    <m/>
    <d v="2023-07-05T00:00:00"/>
    <n v="235"/>
    <n v="14241"/>
    <s v="61326095"/>
    <s v="61326095"/>
    <m/>
    <m/>
    <n v="22768892"/>
    <m/>
    <m/>
    <m/>
    <s v="SOLFIN"/>
    <s v="SOLFIN"/>
    <s v="CCMS"/>
    <n v="21331144"/>
    <n v="7929.76"/>
    <m/>
    <s v="N"/>
    <n v="10"/>
    <d v="2023-07-05T19:02:08"/>
    <s v="Y"/>
    <s v="Advocates Meeting"/>
    <s v="Public Law Children"/>
    <s v="Advocacy"/>
    <s v="t filluel"/>
    <s v="Y"/>
    <n v="140.99"/>
    <n v="28.2"/>
    <x v="6"/>
    <s v="VALIDATED"/>
    <n v="1"/>
    <s v="01.11.80.308.6100.0000"/>
    <n v="140.99"/>
    <s v="11"/>
    <s v="6100"/>
    <n v="30324.13"/>
    <n v="140.99"/>
    <s v="CREDITOR"/>
    <n v="0"/>
    <n v="0"/>
    <n v="0"/>
    <n v="0"/>
    <n v="140.99"/>
  </r>
  <r>
    <n v="61326095"/>
    <s v="N"/>
    <n v="21331144"/>
    <s v="3000015479290006"/>
    <s v="CIVIL"/>
    <d v="2023-06-27T00:00:00"/>
    <d v="2023-07-05T19:01:47"/>
    <m/>
    <d v="2023-07-05T00:00:00"/>
    <n v="235"/>
    <n v="14241"/>
    <s v="61326095"/>
    <s v="61326095"/>
    <m/>
    <m/>
    <n v="22768892"/>
    <m/>
    <m/>
    <m/>
    <s v="SOLFIN"/>
    <s v="SOLFIN"/>
    <s v="CCMS"/>
    <n v="21331144"/>
    <n v="7929.76"/>
    <m/>
    <s v="N"/>
    <n v="4"/>
    <d v="2023-07-05T19:02:08"/>
    <s v="Y"/>
    <s v="Toxicologist"/>
    <s v="Public Law Children"/>
    <s v="Expert Disbursement"/>
    <s v="Cansford Labs"/>
    <s v="Y"/>
    <n v="563.67"/>
    <n v="112.73"/>
    <x v="6"/>
    <s v="VALIDATED"/>
    <n v="1"/>
    <s v="01.11.80.308.6300.0000"/>
    <n v="563.67"/>
    <s v="11"/>
    <s v="6300"/>
    <n v="30324.13"/>
    <n v="563.67"/>
    <s v="CREDITOR"/>
    <n v="0"/>
    <n v="0"/>
    <n v="0"/>
    <n v="0"/>
    <n v="563.67"/>
  </r>
  <r>
    <n v="61507429"/>
    <s v="N"/>
    <n v="21331380"/>
    <s v="3000015630350003"/>
    <s v="CIVIL"/>
    <d v="2023-06-27T00:00:00"/>
    <d v="2023-07-05T19:01:47"/>
    <m/>
    <d v="2023-07-05T00:00:00"/>
    <n v="235"/>
    <n v="14241"/>
    <s v="61507429"/>
    <s v="61507429"/>
    <m/>
    <m/>
    <n v="22772016"/>
    <m/>
    <m/>
    <m/>
    <s v="SOLFIN"/>
    <s v="SOLFIN"/>
    <s v="CCMS"/>
    <n v="21331380"/>
    <n v="8229.51"/>
    <m/>
    <s v="N"/>
    <n v="4"/>
    <d v="2023-07-05T19:02:17"/>
    <s v="Y"/>
    <s v="Hearing Unit 1.01 - 2.30 Hours"/>
    <s v="Public Law Children"/>
    <s v="Advocacy"/>
    <s v="t filleul"/>
    <s v="Y"/>
    <n v="286.16"/>
    <n v="57.23"/>
    <x v="6"/>
    <s v="VALIDATED"/>
    <n v="1"/>
    <s v="01.11.80.308.6100.0000"/>
    <n v="286.16"/>
    <s v="11"/>
    <s v="6100"/>
    <n v="30324.13"/>
    <n v="286.16"/>
    <s v="CREDITOR"/>
    <n v="0"/>
    <n v="0"/>
    <n v="0"/>
    <n v="0"/>
    <n v="286.16"/>
  </r>
  <r>
    <n v="62210360"/>
    <s v="N"/>
    <n v="21331256"/>
    <s v="3000016216870001"/>
    <s v="CIVIL"/>
    <d v="2023-06-27T00:00:00"/>
    <d v="2023-07-05T19:01:47"/>
    <m/>
    <d v="2023-07-05T00:00:00"/>
    <n v="235"/>
    <n v="14241"/>
    <s v="62210360"/>
    <s v="62210360"/>
    <m/>
    <m/>
    <n v="22769806"/>
    <m/>
    <m/>
    <m/>
    <s v="SOLFIN"/>
    <s v="SOLFIN"/>
    <s v="CCMS"/>
    <n v="21331256"/>
    <n v="2701.75"/>
    <m/>
    <s v="N"/>
    <n v="2"/>
    <d v="2023-07-05T19:02:12"/>
    <s v="Y"/>
    <s v="Solicitors Fixed Fee"/>
    <s v="Public Law Children"/>
    <s v="Profit Cost"/>
    <s v="v cowlard"/>
    <s v="Y"/>
    <n v="2013"/>
    <n v="402.6"/>
    <x v="6"/>
    <s v="VALIDATED"/>
    <n v="1"/>
    <s v="01.11.80.308.6100.0000"/>
    <n v="2013"/>
    <s v="11"/>
    <s v="6100"/>
    <n v="30324.13"/>
    <n v="2013"/>
    <s v="CREDITOR"/>
    <n v="0"/>
    <n v="0"/>
    <n v="0"/>
    <n v="0"/>
    <n v="2013"/>
  </r>
  <r>
    <n v="61507429"/>
    <s v="N"/>
    <n v="21331380"/>
    <s v="3000015630350003"/>
    <s v="CIVIL"/>
    <d v="2023-06-27T00:00:00"/>
    <d v="2023-07-05T19:01:47"/>
    <m/>
    <d v="2023-07-05T00:00:00"/>
    <n v="235"/>
    <n v="14241"/>
    <s v="61507429"/>
    <s v="61507429"/>
    <m/>
    <m/>
    <n v="22772016"/>
    <m/>
    <m/>
    <m/>
    <s v="SOLFIN"/>
    <s v="SOLFIN"/>
    <s v="CCMS"/>
    <n v="21331380"/>
    <n v="8229.51"/>
    <m/>
    <s v="N"/>
    <n v="3"/>
    <d v="2023-07-05T19:02:17"/>
    <s v="Y"/>
    <s v="Final Hearing - 1 Day"/>
    <s v="Public Law Children"/>
    <s v="Advocacy"/>
    <s v="v cowlard"/>
    <s v="Y"/>
    <n v="668.25"/>
    <n v="133.65"/>
    <x v="6"/>
    <s v="VALIDATED"/>
    <n v="1"/>
    <s v="01.11.80.308.6100.0000"/>
    <n v="668.25"/>
    <s v="11"/>
    <s v="6100"/>
    <n v="30324.13"/>
    <n v="668.25"/>
    <s v="CREDITOR"/>
    <n v="0"/>
    <n v="0"/>
    <n v="0"/>
    <n v="0"/>
    <n v="668.25"/>
  </r>
  <r>
    <n v="62204622"/>
    <s v="N"/>
    <n v="21382335"/>
    <s v="3000016212000001"/>
    <s v="CIVIL"/>
    <d v="2023-06-27T00:00:00"/>
    <d v="2023-07-17T19:01:46"/>
    <m/>
    <d v="2023-07-17T00:00:00"/>
    <n v="235"/>
    <n v="14241"/>
    <s v="62204622"/>
    <s v="62204622"/>
    <m/>
    <m/>
    <n v="22769792"/>
    <m/>
    <m/>
    <m/>
    <s v="SOLFIN"/>
    <s v="SOLFIN"/>
    <s v="CCMS"/>
    <n v="21382335"/>
    <n v="882.5599999999999"/>
    <m/>
    <s v="N"/>
    <n v="4"/>
    <d v="2023-07-17T19:02:07"/>
    <s v="Y"/>
    <s v="Routine Letter In"/>
    <s v="Care Remuneration Hourly Rates"/>
    <s v="Profit Cost"/>
    <s v="v cowlard"/>
    <s v="Y"/>
    <n v="51.06"/>
    <n v="10.21"/>
    <x v="8"/>
    <s v="VALIDATED"/>
    <n v="1"/>
    <s v="01.11.80.308.6100.0000"/>
    <n v="51.06"/>
    <s v="11"/>
    <s v="6100"/>
    <n v="30324.13"/>
    <n v="51.06"/>
    <s v="CREDITOR"/>
    <n v="0"/>
    <n v="0"/>
    <n v="0"/>
    <n v="0"/>
    <n v="51.06"/>
  </r>
  <r>
    <n v="62210360"/>
    <s v="N"/>
    <n v="21331256"/>
    <s v="3000016216870001"/>
    <s v="CIVIL"/>
    <d v="2023-06-27T00:00:00"/>
    <d v="2023-07-05T19:01:47"/>
    <m/>
    <d v="2023-07-05T00:00:00"/>
    <n v="235"/>
    <n v="14241"/>
    <s v="62210360"/>
    <s v="62210360"/>
    <m/>
    <m/>
    <n v="22769806"/>
    <m/>
    <m/>
    <m/>
    <s v="SOLFIN"/>
    <s v="SOLFIN"/>
    <s v="CCMS"/>
    <n v="21331256"/>
    <n v="2701.75"/>
    <m/>
    <s v="N"/>
    <n v="1"/>
    <d v="2023-07-05T19:02:12"/>
    <s v="Y"/>
    <s v="Hearing Unit 1.01 - 2.30 Hours"/>
    <s v="Public Law Children"/>
    <s v="Advocacy"/>
    <s v="v cowlard"/>
    <s v="Y"/>
    <n v="238.46"/>
    <n v="47.69"/>
    <x v="6"/>
    <s v="VALIDATED"/>
    <n v="1"/>
    <s v="01.11.80.308.6100.0000"/>
    <n v="238.46"/>
    <s v="11"/>
    <s v="6100"/>
    <n v="30324.13"/>
    <n v="238.46"/>
    <s v="CREDITOR"/>
    <n v="0"/>
    <n v="0"/>
    <n v="0"/>
    <n v="0"/>
    <n v="238.46"/>
  </r>
  <r>
    <n v="61507429"/>
    <s v="N"/>
    <n v="21331380"/>
    <s v="3000015630350003"/>
    <s v="CIVIL"/>
    <d v="2023-06-27T00:00:00"/>
    <d v="2023-07-05T19:01:47"/>
    <m/>
    <d v="2023-07-05T00:00:00"/>
    <n v="235"/>
    <n v="14241"/>
    <s v="61507429"/>
    <s v="61507429"/>
    <m/>
    <m/>
    <n v="22772016"/>
    <m/>
    <m/>
    <m/>
    <s v="SOLFIN"/>
    <s v="SOLFIN"/>
    <s v="CCMS"/>
    <n v="21331380"/>
    <n v="8229.51"/>
    <m/>
    <s v="N"/>
    <n v="7"/>
    <d v="2023-07-05T19:02:17"/>
    <s v="Y"/>
    <s v="Advocates Meeting"/>
    <s v="Public Law Children"/>
    <s v="Advocacy"/>
    <s v="t filluel"/>
    <s v="Y"/>
    <n v="169.2"/>
    <n v="33.84"/>
    <x v="6"/>
    <s v="VALIDATED"/>
    <n v="1"/>
    <s v="01.11.80.308.6100.0000"/>
    <n v="169.2"/>
    <s v="11"/>
    <s v="6100"/>
    <n v="30324.13"/>
    <n v="169.2"/>
    <s v="CREDITOR"/>
    <n v="0"/>
    <n v="0"/>
    <n v="0"/>
    <n v="0"/>
    <n v="169.2"/>
  </r>
  <r>
    <n v="61923220"/>
    <s v="N"/>
    <n v="21327771"/>
    <s v="3000015976900001"/>
    <s v="CIVIL"/>
    <d v="2023-06-27T00:00:00"/>
    <d v="2023-07-04T19:00:44"/>
    <m/>
    <d v="2023-07-04T00:00:00"/>
    <n v="235"/>
    <n v="14241"/>
    <s v="61923220"/>
    <s v="61923220"/>
    <m/>
    <m/>
    <n v="22767338"/>
    <m/>
    <m/>
    <m/>
    <s v="SOLFIN"/>
    <s v="SOLFIN"/>
    <s v="CCMS"/>
    <n v="21327771"/>
    <n v="806.15"/>
    <m/>
    <s v="N"/>
    <n v="2"/>
    <d v="2023-07-04T19:00:54"/>
    <s v="Y"/>
    <s v="Preparation - other"/>
    <s v="Care Remuneration Hourly Rates"/>
    <s v="Profit Cost"/>
    <s v="v cowlard"/>
    <s v="Y"/>
    <n v="20.15"/>
    <n v="4.03"/>
    <x v="1"/>
    <s v="VALIDATED"/>
    <n v="1"/>
    <s v="01.11.80.305.6100.0000"/>
    <n v="20.15"/>
    <s v="11"/>
    <s v="6100"/>
    <n v="30324.13"/>
    <n v="20.15"/>
    <s v="CREDITOR"/>
    <n v="0"/>
    <n v="0"/>
    <n v="0"/>
    <n v="0"/>
    <n v="20.15"/>
  </r>
  <r>
    <n v="62324124"/>
    <s v="N"/>
    <n v="21320374"/>
    <s v="3000016311480003"/>
    <s v="CIVIL"/>
    <d v="2023-06-28T00:00:00"/>
    <d v="2023-07-03T19:04:52"/>
    <m/>
    <d v="2023-07-03T00:00:00"/>
    <n v="235"/>
    <n v="14241"/>
    <s v="62324124"/>
    <s v="62324124"/>
    <m/>
    <m/>
    <n v="22778876"/>
    <m/>
    <m/>
    <m/>
    <s v="SOLPOA"/>
    <s v="SOLPOA"/>
    <s v="CCMS"/>
    <n v="21320374"/>
    <n v="143.7"/>
    <m/>
    <s v="N"/>
    <n v="1"/>
    <d v="2023-07-03T19:04:53"/>
    <s v="N"/>
    <s v="Expert Cost"/>
    <s v="Expert Cost"/>
    <s v="Expert Disbursement"/>
    <s v="Vanessa Cowlard"/>
    <s v="N"/>
    <n v="119.75"/>
    <n v="23.95"/>
    <x v="3"/>
    <s v="VALIDATED"/>
    <n v="1"/>
    <s v="01.11.80.308.2012.0000"/>
    <n v="119.75"/>
    <s v="11"/>
    <s v="2012"/>
    <n v="30324.13"/>
    <n v="119.75"/>
    <s v="CREDITOR"/>
    <n v="119.75"/>
    <n v="0"/>
    <n v="0"/>
    <n v="0"/>
    <n v="0"/>
  </r>
  <r>
    <n v="61923220"/>
    <s v="N"/>
    <n v="21327771"/>
    <s v="3000015976900001"/>
    <s v="CIVIL"/>
    <d v="2023-06-27T00:00:00"/>
    <d v="2023-07-04T19:00:44"/>
    <m/>
    <d v="2023-07-04T00:00:00"/>
    <n v="235"/>
    <n v="14241"/>
    <s v="61923220"/>
    <s v="61923220"/>
    <m/>
    <m/>
    <n v="22767338"/>
    <m/>
    <m/>
    <m/>
    <s v="SOLFIN"/>
    <s v="SOLFIN"/>
    <s v="CCMS"/>
    <n v="21327771"/>
    <n v="806.15"/>
    <m/>
    <s v="N"/>
    <n v="7"/>
    <d v="2023-07-04T19:00:54"/>
    <s v="Y"/>
    <s v="Routine Letter Out"/>
    <s v="Care Remuneration Hourly Rates"/>
    <s v="Profit Cost"/>
    <s v="v cowlard"/>
    <s v="Y"/>
    <n v="21.22"/>
    <n v="4.24"/>
    <x v="1"/>
    <s v="VALIDATED"/>
    <n v="1"/>
    <s v="01.11.80.305.6100.0000"/>
    <n v="21.22"/>
    <s v="11"/>
    <s v="6100"/>
    <n v="30324.13"/>
    <n v="21.22"/>
    <s v="CREDITOR"/>
    <n v="0"/>
    <n v="0"/>
    <n v="0"/>
    <n v="0"/>
    <n v="21.22"/>
  </r>
  <r>
    <n v="61184114"/>
    <s v="N"/>
    <n v="21331265"/>
    <s v="3000015362710002"/>
    <s v="CIVIL"/>
    <d v="2023-06-27T00:00:00"/>
    <d v="2023-07-05T19:01:47"/>
    <m/>
    <d v="2023-07-05T00:00:00"/>
    <n v="235"/>
    <n v="14241"/>
    <s v="61184114"/>
    <s v="61184114"/>
    <m/>
    <m/>
    <n v="22770402"/>
    <m/>
    <m/>
    <m/>
    <s v="SOLFIN"/>
    <s v="SOLFIN"/>
    <s v="CCMS"/>
    <n v="21331265"/>
    <n v="3921.52"/>
    <m/>
    <s v="N"/>
    <n v="1"/>
    <d v="2023-07-05T19:02:12"/>
    <s v="Y"/>
    <s v="Final Hearing Court Bundle/Advocate"/>
    <s v="Public Law Children"/>
    <s v="Advocacy"/>
    <s v="v cowlard"/>
    <s v="Y"/>
    <n v="318.6"/>
    <n v="63.72"/>
    <x v="6"/>
    <s v="VALIDATED"/>
    <n v="1"/>
    <s v="01.11.80.308.6100.0000"/>
    <n v="318.6"/>
    <s v="11"/>
    <s v="6100"/>
    <n v="30324.13"/>
    <n v="318.6"/>
    <s v="CREDITOR"/>
    <n v="0"/>
    <n v="0"/>
    <n v="0"/>
    <n v="0"/>
    <n v="318.6"/>
  </r>
  <r>
    <n v="61536883"/>
    <s v="N"/>
    <n v="21331348"/>
    <s v="3000015655790001"/>
    <s v="CIVIL"/>
    <d v="2023-06-27T00:00:00"/>
    <d v="2023-07-05T19:01:47"/>
    <m/>
    <d v="2023-07-05T00:00:00"/>
    <n v="235"/>
    <n v="14241"/>
    <s v="61536883"/>
    <s v="61536883"/>
    <m/>
    <m/>
    <n v="22768918"/>
    <m/>
    <m/>
    <m/>
    <s v="SOLFIN"/>
    <s v="SOLFIN"/>
    <s v="CCMS"/>
    <n v="21331348"/>
    <n v="4854.12"/>
    <m/>
    <s v="N"/>
    <n v="1"/>
    <d v="2023-07-05T19:02:15"/>
    <s v="Y"/>
    <s v="Final Hearing Court Bundle/Advocate"/>
    <s v="Public Law Children"/>
    <s v="Advocacy"/>
    <s v="t filleul"/>
    <s v="Y"/>
    <n v="239.4"/>
    <n v="47.88"/>
    <x v="6"/>
    <s v="VALIDATED"/>
    <n v="1"/>
    <s v="01.11.80.308.6100.0000"/>
    <n v="239.4"/>
    <s v="11"/>
    <s v="6100"/>
    <n v="30324.13"/>
    <n v="239.4"/>
    <s v="CREDITOR"/>
    <n v="0"/>
    <n v="0"/>
    <n v="0"/>
    <n v="0"/>
    <n v="239.4"/>
  </r>
  <r>
    <n v="61748857"/>
    <s v="N"/>
    <n v="21330538"/>
    <s v="3000015829260003"/>
    <s v="CIVIL"/>
    <d v="2023-06-27T00:00:00"/>
    <d v="2023-07-05T19:01:47"/>
    <m/>
    <d v="2023-07-05T00:00:00"/>
    <n v="235"/>
    <n v="14241"/>
    <s v="61748857"/>
    <s v="61748857"/>
    <m/>
    <m/>
    <n v="22767274"/>
    <m/>
    <m/>
    <m/>
    <s v="SOLFIN"/>
    <s v="SOLFIN"/>
    <s v="CCMS"/>
    <n v="21330538"/>
    <n v="4716.06"/>
    <m/>
    <s v="N"/>
    <n v="2"/>
    <d v="2023-07-05T19:01:51"/>
    <s v="Y"/>
    <s v="GP (records report)"/>
    <s v="Public Law Children"/>
    <s v="Expert Disbursement"/>
    <s v="Royal Crescent Surgery"/>
    <s v="Y"/>
    <n v="33"/>
    <n v="0"/>
    <x v="6"/>
    <s v="VALIDATED"/>
    <n v="1"/>
    <s v="01.11.80.308.6300.0000"/>
    <n v="33"/>
    <s v="11"/>
    <s v="6300"/>
    <n v="30324.13"/>
    <n v="33"/>
    <s v="CREDITOR"/>
    <n v="0"/>
    <n v="0"/>
    <n v="0"/>
    <n v="0"/>
    <n v="33"/>
  </r>
  <r>
    <n v="61326095"/>
    <s v="N"/>
    <n v="21331144"/>
    <s v="3000015479290006"/>
    <s v="CIVIL"/>
    <d v="2023-06-27T00:00:00"/>
    <d v="2023-07-05T19:01:47"/>
    <m/>
    <d v="2023-07-05T00:00:00"/>
    <n v="235"/>
    <n v="14241"/>
    <s v="61326095"/>
    <s v="61326095"/>
    <m/>
    <m/>
    <n v="22768892"/>
    <m/>
    <m/>
    <m/>
    <s v="SOLFIN"/>
    <s v="SOLFIN"/>
    <s v="CCMS"/>
    <n v="21331144"/>
    <n v="7929.76"/>
    <m/>
    <s v="N"/>
    <n v="7"/>
    <d v="2023-07-05T19:02:08"/>
    <s v="Y"/>
    <s v="Hearing Unit 5.01 - 7.30 Hours"/>
    <s v="Public Law Children"/>
    <s v="Advocacy"/>
    <s v="t filleul"/>
    <s v="Y"/>
    <n v="715.38"/>
    <n v="143.08"/>
    <x v="6"/>
    <s v="VALIDATED"/>
    <n v="1"/>
    <s v="01.11.80.308.6100.0000"/>
    <n v="715.38"/>
    <s v="11"/>
    <s v="6100"/>
    <n v="30324.13"/>
    <n v="715.38"/>
    <s v="CREDITOR"/>
    <n v="0"/>
    <n v="0"/>
    <n v="0"/>
    <n v="0"/>
    <n v="715.38"/>
  </r>
  <r>
    <n v="61507429"/>
    <s v="N"/>
    <n v="21331380"/>
    <s v="3000015630350003"/>
    <s v="CIVIL"/>
    <d v="2023-06-27T00:00:00"/>
    <d v="2023-07-05T19:01:47"/>
    <m/>
    <d v="2023-07-05T00:00:00"/>
    <n v="235"/>
    <n v="14241"/>
    <s v="61507429"/>
    <s v="61507429"/>
    <m/>
    <m/>
    <n v="22772016"/>
    <m/>
    <m/>
    <m/>
    <s v="SOLFIN"/>
    <s v="SOLFIN"/>
    <s v="CCMS"/>
    <n v="21331380"/>
    <n v="8229.51"/>
    <m/>
    <s v="N"/>
    <n v="2"/>
    <d v="2023-07-05T19:02:17"/>
    <s v="Y"/>
    <s v="Child psychiatrist"/>
    <s v="Public Law Children"/>
    <s v="Expert Disbursement"/>
    <s v="Expert in Mind Ltd"/>
    <s v="Y"/>
    <n v="180"/>
    <n v="36"/>
    <x v="6"/>
    <s v="VALIDATED"/>
    <n v="1"/>
    <s v="01.11.80.308.6300.0000"/>
    <n v="180"/>
    <s v="11"/>
    <s v="6300"/>
    <n v="30324.13"/>
    <n v="180"/>
    <s v="CREDITOR"/>
    <n v="0"/>
    <n v="0"/>
    <n v="0"/>
    <n v="0"/>
    <n v="180"/>
  </r>
  <r>
    <n v="61923220"/>
    <s v="N"/>
    <n v="21327771"/>
    <s v="3000015976900001"/>
    <s v="CIVIL"/>
    <d v="2023-06-27T00:00:00"/>
    <d v="2023-07-04T19:00:44"/>
    <m/>
    <d v="2023-07-04T00:00:00"/>
    <n v="235"/>
    <n v="14241"/>
    <s v="61923220"/>
    <s v="61923220"/>
    <m/>
    <m/>
    <n v="22767338"/>
    <m/>
    <m/>
    <m/>
    <s v="SOLFIN"/>
    <s v="SOLFIN"/>
    <s v="CCMS"/>
    <n v="21327771"/>
    <n v="806.15"/>
    <m/>
    <s v="N"/>
    <n v="6"/>
    <d v="2023-07-04T19:00:54"/>
    <s v="Y"/>
    <s v="Routine Letter In"/>
    <s v="Care Remuneration Hourly Rates"/>
    <s v="Profit Cost"/>
    <s v="v cowlard"/>
    <s v="Y"/>
    <n v="42.55"/>
    <n v="8.51"/>
    <x v="1"/>
    <s v="VALIDATED"/>
    <n v="1"/>
    <s v="01.11.80.305.6100.0000"/>
    <n v="42.55"/>
    <s v="11"/>
    <s v="6100"/>
    <n v="30324.13"/>
    <n v="42.55"/>
    <s v="CREDITOR"/>
    <n v="0"/>
    <n v="0"/>
    <n v="0"/>
    <n v="0"/>
    <n v="42.55"/>
  </r>
  <r>
    <n v="61507429"/>
    <s v="N"/>
    <n v="21331380"/>
    <s v="3000015630350003"/>
    <s v="CIVIL"/>
    <d v="2023-06-27T00:00:00"/>
    <d v="2023-07-05T19:01:47"/>
    <m/>
    <d v="2023-07-05T00:00:00"/>
    <n v="235"/>
    <n v="14241"/>
    <s v="61507429"/>
    <s v="61507429"/>
    <m/>
    <m/>
    <n v="22772016"/>
    <m/>
    <m/>
    <m/>
    <s v="SOLFIN"/>
    <s v="SOLFIN"/>
    <s v="CCMS"/>
    <n v="21331380"/>
    <n v="8229.51"/>
    <m/>
    <s v="N"/>
    <n v="6"/>
    <d v="2023-07-05T19:02:17"/>
    <s v="Y"/>
    <s v="Hearing Unit 0.00 - 1.00 Hours"/>
    <s v="Public Law Children"/>
    <s v="Advocacy"/>
    <s v="v cowlard"/>
    <s v="Y"/>
    <n v="114.48"/>
    <n v="22.9"/>
    <x v="6"/>
    <s v="VALIDATED"/>
    <n v="1"/>
    <s v="01.11.80.308.6100.0000"/>
    <n v="114.48"/>
    <s v="11"/>
    <s v="6100"/>
    <n v="30324.13"/>
    <n v="114.48"/>
    <s v="CREDITOR"/>
    <n v="0"/>
    <n v="0"/>
    <n v="0"/>
    <n v="0"/>
    <n v="114.48"/>
  </r>
  <r>
    <n v="61639838"/>
    <s v="N"/>
    <n v="21318426"/>
    <s v="3000015742650004"/>
    <s v="CIVIL"/>
    <d v="2023-06-22T00:00:00"/>
    <d v="2023-07-03T19:01:49"/>
    <m/>
    <d v="2023-07-03T00:00:00"/>
    <n v="235"/>
    <n v="14241"/>
    <s v="61639838"/>
    <s v="61639838"/>
    <m/>
    <m/>
    <n v="22745232"/>
    <m/>
    <m/>
    <m/>
    <s v="SOLFIN"/>
    <s v="SOLFIN"/>
    <s v="CCMS"/>
    <n v="21318426"/>
    <n v="7025.46"/>
    <m/>
    <s v="N"/>
    <n v="7"/>
    <d v="2023-07-03T19:01:55"/>
    <s v="Y"/>
    <s v="Hearing Unit 1.01 - 2.30 Hours"/>
    <s v="Public Law Children"/>
    <s v="Advocacy"/>
    <s v="t filleul"/>
    <s v="Y"/>
    <n v="298.08"/>
    <n v="59.62"/>
    <x v="3"/>
    <s v="VALIDATED"/>
    <n v="1"/>
    <s v="01.11.80.308.6100.0000"/>
    <n v="298.08"/>
    <s v="11"/>
    <s v="6100"/>
    <n v="30324.13"/>
    <n v="298.08"/>
    <s v="CREDITOR"/>
    <n v="0"/>
    <n v="0"/>
    <n v="0"/>
    <n v="0"/>
    <n v="298.08"/>
  </r>
  <r>
    <n v="61536883"/>
    <s v="N"/>
    <n v="21331348"/>
    <s v="3000015655790001"/>
    <s v="CIVIL"/>
    <d v="2023-06-27T00:00:00"/>
    <d v="2023-07-05T19:01:47"/>
    <m/>
    <d v="2023-07-05T00:00:00"/>
    <n v="235"/>
    <n v="14241"/>
    <s v="61536883"/>
    <s v="61536883"/>
    <m/>
    <m/>
    <n v="22768918"/>
    <m/>
    <m/>
    <m/>
    <s v="SOLFIN"/>
    <s v="SOLFIN"/>
    <s v="CCMS"/>
    <n v="21331348"/>
    <n v="4854.12"/>
    <m/>
    <s v="N"/>
    <n v="6"/>
    <d v="2023-07-05T19:02:15"/>
    <s v="Y"/>
    <s v="Hearing Unit 2.31 - 5.00 Hours"/>
    <s v="Public Law Children"/>
    <s v="Advocacy"/>
    <s v="v cowlard"/>
    <s v="Y"/>
    <n v="476.92"/>
    <n v="95.38"/>
    <x v="6"/>
    <s v="VALIDATED"/>
    <n v="1"/>
    <s v="01.11.80.308.6100.0000"/>
    <n v="476.92"/>
    <s v="11"/>
    <s v="6100"/>
    <n v="30324.13"/>
    <n v="476.92"/>
    <s v="CREDITOR"/>
    <n v="0"/>
    <n v="0"/>
    <n v="0"/>
    <n v="0"/>
    <n v="476.92"/>
  </r>
  <r>
    <n v="61923409"/>
    <s v="N"/>
    <n v="21327787"/>
    <s v="3000015977240001"/>
    <s v="CIVIL"/>
    <d v="2023-06-27T00:00:00"/>
    <d v="2023-07-04T19:00:44"/>
    <m/>
    <d v="2023-07-04T00:00:00"/>
    <n v="235"/>
    <n v="14241"/>
    <s v="61923409"/>
    <s v="61923409"/>
    <m/>
    <m/>
    <n v="22767352"/>
    <m/>
    <m/>
    <m/>
    <s v="SOLFIN"/>
    <s v="SOLFIN"/>
    <s v="CCMS"/>
    <n v="21327787"/>
    <n v="0"/>
    <m/>
    <s v="N"/>
    <n v="1"/>
    <d v="2023-07-04T19:00:54"/>
    <s v="N"/>
    <s v="NIL BILL"/>
    <s v="Care Remuneration Hourly Rates"/>
    <s v="Profit Cost"/>
    <s v="v cowlard"/>
    <s v="N"/>
    <n v="0"/>
    <n v="0"/>
    <x v="1"/>
    <s v="VALIDATED"/>
    <n v="1"/>
    <s v="01.11.80.305.6100.0000"/>
    <n v="0"/>
    <s v="11"/>
    <s v="6100"/>
    <n v="30324.13"/>
    <n v="0"/>
    <s v="CREDITOR"/>
    <n v="0"/>
    <n v="0"/>
    <n v="0"/>
    <n v="0"/>
    <n v="0"/>
  </r>
  <r>
    <n v="61536883"/>
    <s v="N"/>
    <n v="21331348"/>
    <s v="3000015655790001"/>
    <s v="CIVIL"/>
    <d v="2023-06-27T00:00:00"/>
    <d v="2023-07-05T19:01:47"/>
    <m/>
    <d v="2023-07-05T00:00:00"/>
    <n v="235"/>
    <n v="14241"/>
    <s v="61536883"/>
    <s v="61536883"/>
    <m/>
    <m/>
    <n v="22768918"/>
    <m/>
    <m/>
    <m/>
    <s v="SOLFIN"/>
    <s v="SOLFIN"/>
    <s v="CCMS"/>
    <n v="21331348"/>
    <n v="4854.12"/>
    <m/>
    <s v="N"/>
    <n v="4"/>
    <d v="2023-07-05T19:02:15"/>
    <s v="Y"/>
    <s v="Final Hearing - 1 Day"/>
    <s v="Public Law Children"/>
    <s v="Advocacy"/>
    <s v="t filleul"/>
    <s v="Y"/>
    <n v="556.88"/>
    <n v="111.38"/>
    <x v="6"/>
    <s v="VALIDATED"/>
    <n v="1"/>
    <s v="01.11.80.308.6100.0000"/>
    <n v="556.88"/>
    <s v="11"/>
    <s v="6100"/>
    <n v="30324.13"/>
    <n v="556.88"/>
    <s v="CREDITOR"/>
    <n v="0"/>
    <n v="0"/>
    <n v="0"/>
    <n v="0"/>
    <n v="556.88"/>
  </r>
  <r>
    <n v="61923220"/>
    <s v="N"/>
    <n v="21327771"/>
    <s v="3000015976900001"/>
    <s v="CIVIL"/>
    <d v="2023-06-27T00:00:00"/>
    <d v="2023-07-04T19:00:44"/>
    <m/>
    <d v="2023-07-04T00:00:00"/>
    <n v="235"/>
    <n v="14241"/>
    <s v="61923220"/>
    <s v="61923220"/>
    <m/>
    <m/>
    <n v="22767338"/>
    <m/>
    <m/>
    <m/>
    <s v="SOLFIN"/>
    <s v="SOLFIN"/>
    <s v="CCMS"/>
    <n v="21327771"/>
    <n v="806.15"/>
    <m/>
    <s v="N"/>
    <n v="4"/>
    <d v="2023-07-04T19:00:54"/>
    <s v="Y"/>
    <s v="Preparation - other"/>
    <s v="Care Remuneration Hourly Rates"/>
    <s v="Profit Cost"/>
    <s v="v cowlard"/>
    <s v="Y"/>
    <n v="13.43"/>
    <n v="2.69"/>
    <x v="1"/>
    <s v="VALIDATED"/>
    <n v="1"/>
    <s v="01.11.80.305.6100.0000"/>
    <n v="13.43"/>
    <s v="11"/>
    <s v="6100"/>
    <n v="30324.13"/>
    <n v="13.43"/>
    <s v="CREDITOR"/>
    <n v="0"/>
    <n v="0"/>
    <n v="0"/>
    <n v="0"/>
    <n v="13.43"/>
  </r>
  <r>
    <n v="61412438"/>
    <s v="N"/>
    <n v="21320931"/>
    <s v="3000015553050010"/>
    <s v="CIVIL"/>
    <d v="2023-06-28T00:00:00"/>
    <d v="2023-07-03T19:04:52"/>
    <m/>
    <d v="2023-07-03T00:00:00"/>
    <n v="235"/>
    <n v="14241"/>
    <s v="61412438"/>
    <s v="61412438"/>
    <m/>
    <m/>
    <n v="22779314"/>
    <m/>
    <m/>
    <m/>
    <s v="SOLPOA"/>
    <s v="SOLPOA"/>
    <s v="CCMS"/>
    <n v="21320931"/>
    <n v="114.48"/>
    <m/>
    <s v="N"/>
    <n v="1"/>
    <d v="2023-07-03T19:04:57"/>
    <s v="N"/>
    <s v="Expert Cost"/>
    <s v="Expert Cost"/>
    <s v="Expert Disbursement"/>
    <s v="Vanessa Cowlard"/>
    <s v="N"/>
    <n v="95.40000000000001"/>
    <n v="19.08"/>
    <x v="3"/>
    <s v="VALIDATED"/>
    <n v="1"/>
    <s v="01.11.80.308.2012.0000"/>
    <n v="95.40000000000001"/>
    <s v="11"/>
    <s v="2012"/>
    <n v="30324.13"/>
    <n v="95.40000000000001"/>
    <s v="CREDITOR"/>
    <n v="95.40000000000001"/>
    <n v="0"/>
    <n v="0"/>
    <n v="0"/>
    <n v="0"/>
  </r>
  <r>
    <n v="61639838"/>
    <s v="N"/>
    <n v="21318426"/>
    <s v="3000015742650004"/>
    <s v="CIVIL"/>
    <d v="2023-06-22T00:00:00"/>
    <d v="2023-07-03T19:01:49"/>
    <m/>
    <d v="2023-07-03T00:00:00"/>
    <n v="235"/>
    <n v="14241"/>
    <s v="61639838"/>
    <s v="61639838"/>
    <m/>
    <m/>
    <n v="22745232"/>
    <m/>
    <m/>
    <m/>
    <s v="SOLFIN"/>
    <s v="SOLFIN"/>
    <s v="CCMS"/>
    <n v="21318426"/>
    <n v="7025.46"/>
    <m/>
    <s v="N"/>
    <n v="1"/>
    <d v="2023-07-03T19:01:55"/>
    <s v="Y"/>
    <s v="Toxicologist"/>
    <s v="Public Law Children"/>
    <s v="Expert Disbursement"/>
    <s v="Cansford Labs"/>
    <s v="Y"/>
    <n v="735"/>
    <n v="147"/>
    <x v="3"/>
    <s v="VALIDATED"/>
    <n v="1"/>
    <s v="01.11.80.308.6300.0000"/>
    <n v="735"/>
    <s v="11"/>
    <s v="6300"/>
    <n v="30324.13"/>
    <n v="735"/>
    <s v="CREDITOR"/>
    <n v="0"/>
    <n v="0"/>
    <n v="0"/>
    <n v="0"/>
    <n v="735"/>
  </r>
  <r>
    <n v="62204622"/>
    <s v="N"/>
    <n v="21382335"/>
    <s v="3000016212000001"/>
    <s v="CIVIL"/>
    <d v="2023-06-27T00:00:00"/>
    <d v="2023-07-17T19:01:46"/>
    <m/>
    <d v="2023-07-17T00:00:00"/>
    <n v="235"/>
    <n v="14241"/>
    <s v="62204622"/>
    <s v="62204622"/>
    <m/>
    <m/>
    <n v="22769792"/>
    <m/>
    <m/>
    <m/>
    <s v="SOLFIN"/>
    <s v="SOLFIN"/>
    <s v="CCMS"/>
    <n v="21382335"/>
    <n v="882.5599999999999"/>
    <m/>
    <s v="N"/>
    <n v="1"/>
    <d v="2023-07-17T19:02:07"/>
    <s v="Y"/>
    <s v="Preparation - other"/>
    <s v="Care Remuneration Hourly Rates"/>
    <s v="Profit Cost"/>
    <s v="v cowlard"/>
    <s v="Y"/>
    <n v="53.74"/>
    <n v="10.75"/>
    <x v="8"/>
    <s v="VALIDATED"/>
    <n v="1"/>
    <s v="01.11.80.308.6100.0000"/>
    <n v="53.74"/>
    <s v="11"/>
    <s v="6100"/>
    <n v="30324.13"/>
    <n v="53.74"/>
    <s v="CREDITOR"/>
    <n v="0"/>
    <n v="0"/>
    <n v="0"/>
    <n v="0"/>
    <n v="53.74"/>
  </r>
  <r>
    <n v="61748857"/>
    <s v="N"/>
    <n v="21330538"/>
    <s v="3000015829260003"/>
    <s v="CIVIL"/>
    <d v="2023-06-27T00:00:00"/>
    <d v="2023-07-05T19:01:47"/>
    <m/>
    <d v="2023-07-05T00:00:00"/>
    <n v="235"/>
    <n v="14241"/>
    <s v="61748857"/>
    <s v="61748857"/>
    <m/>
    <m/>
    <n v="22767274"/>
    <m/>
    <m/>
    <m/>
    <s v="SOLFIN"/>
    <s v="SOLFIN"/>
    <s v="CCMS"/>
    <n v="21330538"/>
    <n v="4716.06"/>
    <m/>
    <s v="N"/>
    <n v="4"/>
    <d v="2023-07-05T19:01:51"/>
    <s v="Y"/>
    <s v="Hearing Unit 2.31 - 5.00 Hours"/>
    <s v="Public Law Children"/>
    <s v="Advocacy"/>
    <s v="t filleul"/>
    <s v="Y"/>
    <n v="476.92"/>
    <n v="95.38"/>
    <x v="6"/>
    <s v="VALIDATED"/>
    <n v="1"/>
    <s v="01.11.80.308.6100.0000"/>
    <n v="476.92"/>
    <s v="11"/>
    <s v="6100"/>
    <n v="30324.13"/>
    <n v="476.92"/>
    <s v="CREDITOR"/>
    <n v="0"/>
    <n v="0"/>
    <n v="0"/>
    <n v="0"/>
    <n v="476.92"/>
  </r>
  <r>
    <n v="61536883"/>
    <s v="N"/>
    <n v="21331348"/>
    <s v="3000015655790001"/>
    <s v="CIVIL"/>
    <d v="2023-06-27T00:00:00"/>
    <d v="2023-07-05T19:01:47"/>
    <m/>
    <d v="2023-07-05T00:00:00"/>
    <n v="235"/>
    <n v="14241"/>
    <s v="61536883"/>
    <s v="61536883"/>
    <m/>
    <m/>
    <n v="22768918"/>
    <m/>
    <m/>
    <m/>
    <s v="SOLFIN"/>
    <s v="SOLFIN"/>
    <s v="CCMS"/>
    <n v="21331348"/>
    <n v="4854.12"/>
    <m/>
    <s v="N"/>
    <n v="2"/>
    <d v="2023-07-05T19:02:15"/>
    <s v="Y"/>
    <s v="Hearing Unit 2.31 - 5.00 Hours"/>
    <s v="Public Law Children"/>
    <s v="Advocacy"/>
    <s v="v cowlard"/>
    <s v="Y"/>
    <n v="476.92"/>
    <n v="95.38"/>
    <x v="6"/>
    <s v="VALIDATED"/>
    <n v="1"/>
    <s v="01.11.80.308.6100.0000"/>
    <n v="476.92"/>
    <s v="11"/>
    <s v="6100"/>
    <n v="30324.13"/>
    <n v="476.92"/>
    <s v="CREDITOR"/>
    <n v="0"/>
    <n v="0"/>
    <n v="0"/>
    <n v="0"/>
    <n v="476.92"/>
  </r>
  <r>
    <n v="61748857"/>
    <s v="N"/>
    <n v="21330538"/>
    <s v="3000015829260003"/>
    <s v="CIVIL"/>
    <d v="2023-06-27T00:00:00"/>
    <d v="2023-07-05T19:01:47"/>
    <m/>
    <d v="2023-07-05T00:00:00"/>
    <n v="235"/>
    <n v="14241"/>
    <s v="61748857"/>
    <s v="61748857"/>
    <m/>
    <m/>
    <n v="22767274"/>
    <m/>
    <m/>
    <m/>
    <s v="SOLFIN"/>
    <s v="SOLFIN"/>
    <s v="CCMS"/>
    <n v="21330538"/>
    <n v="4716.06"/>
    <m/>
    <s v="N"/>
    <n v="1"/>
    <d v="2023-07-05T19:01:51"/>
    <s v="Y"/>
    <s v="Toxicologist"/>
    <s v="Public Law Children"/>
    <s v="Expert Disbursement"/>
    <s v="Cansford Labs"/>
    <s v="Y"/>
    <n v="252.75"/>
    <n v="50.55"/>
    <x v="6"/>
    <s v="VALIDATED"/>
    <n v="1"/>
    <s v="01.11.80.308.6300.0000"/>
    <n v="252.75"/>
    <s v="11"/>
    <s v="6300"/>
    <n v="30324.13"/>
    <n v="252.75"/>
    <s v="CREDITOR"/>
    <n v="0"/>
    <n v="0"/>
    <n v="0"/>
    <n v="0"/>
    <n v="252.75"/>
  </r>
  <r>
    <n v="61184114"/>
    <s v="N"/>
    <n v="21331265"/>
    <s v="3000015362710002"/>
    <s v="CIVIL"/>
    <d v="2023-06-27T00:00:00"/>
    <d v="2023-07-05T19:01:47"/>
    <m/>
    <d v="2023-07-05T00:00:00"/>
    <n v="235"/>
    <n v="14241"/>
    <s v="61184114"/>
    <s v="61184114"/>
    <m/>
    <m/>
    <n v="22770402"/>
    <m/>
    <m/>
    <m/>
    <s v="SOLFIN"/>
    <s v="SOLFIN"/>
    <s v="CCMS"/>
    <n v="21331265"/>
    <n v="3921.52"/>
    <m/>
    <s v="N"/>
    <n v="2"/>
    <d v="2023-07-05T19:02:12"/>
    <s v="Y"/>
    <s v="Final Hearing - 1 Day"/>
    <s v="Public Law Children"/>
    <s v="Advocacy"/>
    <s v="v cowlard"/>
    <s v="Y"/>
    <n v="556.88"/>
    <n v="111.38"/>
    <x v="6"/>
    <s v="VALIDATED"/>
    <n v="1"/>
    <s v="01.11.80.308.6100.0000"/>
    <n v="556.88"/>
    <s v="11"/>
    <s v="6100"/>
    <n v="30324.13"/>
    <n v="556.88"/>
    <s v="CREDITOR"/>
    <n v="0"/>
    <n v="0"/>
    <n v="0"/>
    <n v="0"/>
    <n v="556.88"/>
  </r>
  <r>
    <n v="61326095"/>
    <s v="N"/>
    <n v="21331144"/>
    <s v="3000015479290006"/>
    <s v="CIVIL"/>
    <d v="2023-06-27T00:00:00"/>
    <d v="2023-07-05T19:01:47"/>
    <m/>
    <d v="2023-07-05T00:00:00"/>
    <n v="235"/>
    <n v="14241"/>
    <s v="61326095"/>
    <s v="61326095"/>
    <m/>
    <m/>
    <n v="22768892"/>
    <m/>
    <m/>
    <m/>
    <s v="SOLFIN"/>
    <s v="SOLFIN"/>
    <s v="CCMS"/>
    <n v="21331144"/>
    <n v="7929.76"/>
    <m/>
    <s v="N"/>
    <n v="5"/>
    <d v="2023-07-05T19:02:08"/>
    <s v="Y"/>
    <s v="Psychologist"/>
    <s v="Public Law Children"/>
    <s v="Expert Disbursement"/>
    <s v="Expert Psychological Services Ltd"/>
    <s v="Y"/>
    <n v="846.34"/>
    <n v="169.27"/>
    <x v="6"/>
    <s v="VALIDATED"/>
    <n v="1"/>
    <s v="01.11.80.308.6300.0000"/>
    <n v="846.34"/>
    <s v="11"/>
    <s v="6300"/>
    <n v="30324.13"/>
    <n v="846.34"/>
    <s v="CREDITOR"/>
    <n v="0"/>
    <n v="0"/>
    <n v="0"/>
    <n v="0"/>
    <n v="846.34"/>
  </r>
  <r>
    <n v="61923220"/>
    <s v="N"/>
    <n v="21327771"/>
    <s v="3000015976900001"/>
    <s v="CIVIL"/>
    <d v="2023-06-27T00:00:00"/>
    <d v="2023-07-04T19:00:44"/>
    <m/>
    <d v="2023-07-04T00:00:00"/>
    <n v="235"/>
    <n v="14241"/>
    <s v="61923220"/>
    <s v="61923220"/>
    <m/>
    <m/>
    <n v="22767338"/>
    <m/>
    <m/>
    <m/>
    <s v="SOLFIN"/>
    <s v="SOLFIN"/>
    <s v="CCMS"/>
    <n v="21327771"/>
    <n v="806.15"/>
    <m/>
    <s v="N"/>
    <n v="8"/>
    <d v="2023-07-04T19:00:54"/>
    <s v="Y"/>
    <s v="Final Hearing - 1 Day"/>
    <s v="Other Public Law Children"/>
    <s v="Advocacy"/>
    <s v="v cowlard"/>
    <s v="Y"/>
    <n v="510.75"/>
    <n v="102.15"/>
    <x v="1"/>
    <s v="VALIDATED"/>
    <n v="1"/>
    <s v="01.11.80.305.6100.0000"/>
    <n v="510.75"/>
    <s v="11"/>
    <s v="6100"/>
    <n v="30324.13"/>
    <n v="510.75"/>
    <s v="CREDITOR"/>
    <n v="0"/>
    <n v="0"/>
    <n v="0"/>
    <n v="0"/>
    <n v="510.75"/>
  </r>
  <r>
    <n v="61923796"/>
    <s v="N"/>
    <n v="21327772"/>
    <s v="3000015977500001"/>
    <s v="CIVIL"/>
    <d v="2023-06-27T00:00:00"/>
    <d v="2023-07-04T19:00:44"/>
    <m/>
    <d v="2023-07-04T00:00:00"/>
    <n v="235"/>
    <n v="14241"/>
    <s v="61923796"/>
    <s v="61923796"/>
    <m/>
    <m/>
    <n v="22767368"/>
    <m/>
    <m/>
    <m/>
    <s v="SOLFIN"/>
    <s v="SOLFIN"/>
    <s v="CCMS"/>
    <n v="21327772"/>
    <n v="0"/>
    <m/>
    <s v="N"/>
    <n v="1"/>
    <d v="2023-07-04T19:00:54"/>
    <s v="N"/>
    <s v="NIL BILL"/>
    <s v="Care Remuneration Hourly Rates"/>
    <s v="Profit Cost"/>
    <s v="v cowlard"/>
    <s v="N"/>
    <n v="0"/>
    <n v="0"/>
    <x v="1"/>
    <s v="VALIDATED"/>
    <n v="1"/>
    <s v="01.11.80.305.6100.0000"/>
    <n v="0"/>
    <s v="11"/>
    <s v="6100"/>
    <n v="30324.13"/>
    <n v="0"/>
    <s v="CREDITOR"/>
    <n v="0"/>
    <n v="0"/>
    <n v="0"/>
    <n v="0"/>
    <n v="0"/>
  </r>
  <r>
    <n v="62204622"/>
    <s v="N"/>
    <n v="21382335"/>
    <s v="3000016212000001"/>
    <s v="CIVIL"/>
    <d v="2023-06-27T00:00:00"/>
    <d v="2023-07-17T19:01:46"/>
    <m/>
    <d v="2023-07-17T00:00:00"/>
    <n v="235"/>
    <n v="14241"/>
    <s v="62204622"/>
    <s v="62204622"/>
    <m/>
    <m/>
    <n v="22769792"/>
    <m/>
    <m/>
    <m/>
    <s v="SOLFIN"/>
    <s v="SOLFIN"/>
    <s v="CCMS"/>
    <n v="21382335"/>
    <n v="882.5599999999999"/>
    <m/>
    <s v="N"/>
    <n v="6"/>
    <d v="2023-07-17T19:02:07"/>
    <s v="Y"/>
    <s v="Final Hearing - 1 Day"/>
    <s v="Other Public Law Children"/>
    <s v="Advocacy"/>
    <s v="v cowlard"/>
    <s v="Y"/>
    <n v="510.75"/>
    <n v="102.15"/>
    <x v="8"/>
    <s v="VALIDATED"/>
    <n v="1"/>
    <s v="01.11.80.308.6100.0000"/>
    <n v="510.75"/>
    <s v="11"/>
    <s v="6100"/>
    <n v="30324.13"/>
    <n v="510.75"/>
    <s v="CREDITOR"/>
    <n v="0"/>
    <n v="0"/>
    <n v="0"/>
    <n v="0"/>
    <n v="510.75"/>
  </r>
  <r>
    <n v="61326095"/>
    <s v="N"/>
    <n v="21331144"/>
    <s v="3000015479290006"/>
    <s v="CIVIL"/>
    <d v="2023-06-27T00:00:00"/>
    <d v="2023-07-05T19:01:47"/>
    <m/>
    <d v="2023-07-05T00:00:00"/>
    <n v="235"/>
    <n v="14241"/>
    <s v="61326095"/>
    <s v="61326095"/>
    <m/>
    <m/>
    <n v="22768892"/>
    <m/>
    <m/>
    <m/>
    <s v="SOLFIN"/>
    <s v="SOLFIN"/>
    <s v="CCMS"/>
    <n v="21331144"/>
    <n v="7929.76"/>
    <m/>
    <s v="N"/>
    <n v="8"/>
    <d v="2023-07-05T19:02:08"/>
    <s v="Y"/>
    <s v="Advocates Meeting"/>
    <s v="Public Law Children"/>
    <s v="Advocacy"/>
    <s v="t filleul"/>
    <s v="Y"/>
    <n v="140.99"/>
    <n v="28.2"/>
    <x v="6"/>
    <s v="VALIDATED"/>
    <n v="1"/>
    <s v="01.11.80.308.6100.0000"/>
    <n v="140.99"/>
    <s v="11"/>
    <s v="6100"/>
    <n v="30324.13"/>
    <n v="140.99"/>
    <s v="CREDITOR"/>
    <n v="0"/>
    <n v="0"/>
    <n v="0"/>
    <n v="0"/>
    <n v="140.99"/>
  </r>
  <r>
    <n v="61639838"/>
    <s v="N"/>
    <n v="21318426"/>
    <s v="3000015742650004"/>
    <s v="CIVIL"/>
    <d v="2023-06-22T00:00:00"/>
    <d v="2023-07-03T19:01:49"/>
    <m/>
    <d v="2023-07-03T00:00:00"/>
    <n v="235"/>
    <n v="14241"/>
    <s v="61639838"/>
    <s v="61639838"/>
    <m/>
    <m/>
    <n v="22745232"/>
    <m/>
    <m/>
    <m/>
    <s v="SOLFIN"/>
    <s v="SOLFIN"/>
    <s v="CCMS"/>
    <n v="21318426"/>
    <n v="7025.46"/>
    <m/>
    <s v="N"/>
    <n v="8"/>
    <d v="2023-07-03T19:01:55"/>
    <s v="Y"/>
    <s v="Solicitors Fixed Fee"/>
    <s v="Public Law Children"/>
    <s v="Profit Cost"/>
    <s v="t filleul"/>
    <s v="Y"/>
    <n v="2616"/>
    <n v="523.2"/>
    <x v="3"/>
    <s v="VALIDATED"/>
    <n v="1"/>
    <s v="01.11.80.308.6100.0000"/>
    <n v="2616"/>
    <s v="11"/>
    <s v="6100"/>
    <n v="30324.13"/>
    <n v="2616"/>
    <s v="CREDITOR"/>
    <n v="0"/>
    <n v="0"/>
    <n v="0"/>
    <n v="0"/>
    <n v="2616"/>
  </r>
  <r>
    <n v="61326095"/>
    <s v="N"/>
    <n v="21331144"/>
    <s v="3000015479290006"/>
    <s v="CIVIL"/>
    <d v="2023-06-27T00:00:00"/>
    <d v="2023-07-05T19:01:47"/>
    <m/>
    <d v="2023-07-05T00:00:00"/>
    <n v="235"/>
    <n v="14241"/>
    <s v="61326095"/>
    <s v="61326095"/>
    <m/>
    <m/>
    <n v="22768892"/>
    <m/>
    <m/>
    <m/>
    <s v="SOLFIN"/>
    <s v="SOLFIN"/>
    <s v="CCMS"/>
    <n v="21331144"/>
    <n v="7929.76"/>
    <m/>
    <s v="N"/>
    <n v="2"/>
    <d v="2023-07-05T19:02:08"/>
    <s v="Y"/>
    <s v="GP (records report)"/>
    <s v="Public Law Children"/>
    <s v="Expert Disbursement"/>
    <s v="Aldermoor Surgery"/>
    <s v="Y"/>
    <n v="50.4"/>
    <n v="0"/>
    <x v="6"/>
    <s v="VALIDATED"/>
    <n v="1"/>
    <s v="01.11.80.308.6300.0000"/>
    <n v="50.4"/>
    <s v="11"/>
    <s v="6300"/>
    <n v="30324.13"/>
    <n v="50.4"/>
    <s v="CREDITOR"/>
    <n v="0"/>
    <n v="0"/>
    <n v="0"/>
    <n v="0"/>
    <n v="50.4"/>
  </r>
  <r>
    <n v="61184114"/>
    <s v="N"/>
    <n v="21331265"/>
    <s v="3000015362710002"/>
    <s v="CIVIL"/>
    <d v="2023-06-27T00:00:00"/>
    <d v="2023-07-05T19:01:47"/>
    <m/>
    <d v="2023-07-05T00:00:00"/>
    <n v="235"/>
    <n v="14241"/>
    <s v="61184114"/>
    <s v="61184114"/>
    <m/>
    <m/>
    <n v="22770402"/>
    <m/>
    <m/>
    <m/>
    <s v="SOLFIN"/>
    <s v="SOLFIN"/>
    <s v="CCMS"/>
    <n v="21331265"/>
    <n v="3921.52"/>
    <m/>
    <s v="N"/>
    <n v="3"/>
    <d v="2023-07-05T19:02:12"/>
    <s v="Y"/>
    <s v="Advocates Meeting"/>
    <s v="Public Law Children"/>
    <s v="Advocacy"/>
    <s v="v cowlard"/>
    <s v="Y"/>
    <n v="140.99"/>
    <n v="28.2"/>
    <x v="6"/>
    <s v="VALIDATED"/>
    <n v="1"/>
    <s v="01.11.80.308.6100.0000"/>
    <n v="140.99"/>
    <s v="11"/>
    <s v="6100"/>
    <n v="30324.13"/>
    <n v="140.99"/>
    <s v="CREDITOR"/>
    <n v="0"/>
    <n v="0"/>
    <n v="0"/>
    <n v="0"/>
    <n v="140.99"/>
  </r>
  <r>
    <n v="61507429"/>
    <s v="N"/>
    <n v="21331380"/>
    <s v="3000015630350003"/>
    <s v="CIVIL"/>
    <d v="2023-06-27T00:00:00"/>
    <d v="2023-07-05T19:01:47"/>
    <m/>
    <d v="2023-07-05T00:00:00"/>
    <n v="235"/>
    <n v="14241"/>
    <s v="61507429"/>
    <s v="61507429"/>
    <m/>
    <m/>
    <n v="22772016"/>
    <m/>
    <m/>
    <m/>
    <s v="SOLFIN"/>
    <s v="SOLFIN"/>
    <s v="CCMS"/>
    <n v="21331380"/>
    <n v="8229.51"/>
    <m/>
    <s v="N"/>
    <n v="8"/>
    <d v="2023-07-05T19:02:17"/>
    <s v="Y"/>
    <s v="Hearing Unit 2.31 - 5.00 Hours"/>
    <s v="Public Law Children"/>
    <s v="Advocacy"/>
    <s v="v cowlard"/>
    <s v="Y"/>
    <n v="476.92"/>
    <n v="95.38"/>
    <x v="6"/>
    <s v="VALIDATED"/>
    <n v="1"/>
    <s v="01.11.80.308.6100.0000"/>
    <n v="476.92"/>
    <s v="11"/>
    <s v="6100"/>
    <n v="30324.13"/>
    <n v="476.92"/>
    <s v="CREDITOR"/>
    <n v="0"/>
    <n v="0"/>
    <n v="0"/>
    <n v="0"/>
    <n v="476.92"/>
  </r>
  <r>
    <n v="61923220"/>
    <s v="N"/>
    <n v="21327771"/>
    <s v="3000015976900001"/>
    <s v="CIVIL"/>
    <d v="2023-06-27T00:00:00"/>
    <d v="2023-07-04T19:00:44"/>
    <m/>
    <d v="2023-07-04T00:00:00"/>
    <n v="235"/>
    <n v="14241"/>
    <s v="61923220"/>
    <s v="61923220"/>
    <m/>
    <m/>
    <n v="22767338"/>
    <m/>
    <m/>
    <m/>
    <s v="SOLFIN"/>
    <s v="SOLFIN"/>
    <s v="CCMS"/>
    <n v="21327771"/>
    <n v="806.15"/>
    <m/>
    <s v="N"/>
    <n v="3"/>
    <d v="2023-07-04T19:00:54"/>
    <s v="Y"/>
    <s v="Preparation - other"/>
    <s v="Care Remuneration Hourly Rates"/>
    <s v="Profit Cost"/>
    <s v="v cowlard"/>
    <s v="Y"/>
    <n v="20.15"/>
    <n v="4.03"/>
    <x v="1"/>
    <s v="VALIDATED"/>
    <n v="1"/>
    <s v="01.11.80.305.6100.0000"/>
    <n v="20.15"/>
    <s v="11"/>
    <s v="6100"/>
    <n v="30324.13"/>
    <n v="20.15"/>
    <s v="CREDITOR"/>
    <n v="0"/>
    <n v="0"/>
    <n v="0"/>
    <n v="0"/>
    <n v="20.15"/>
  </r>
  <r>
    <n v="61923220"/>
    <s v="N"/>
    <n v="21327771"/>
    <s v="3000015976900001"/>
    <s v="CIVIL"/>
    <d v="2023-06-27T00:00:00"/>
    <d v="2023-07-04T19:00:44"/>
    <m/>
    <d v="2023-07-04T00:00:00"/>
    <n v="235"/>
    <n v="14241"/>
    <s v="61923220"/>
    <s v="61923220"/>
    <m/>
    <m/>
    <n v="22767338"/>
    <m/>
    <m/>
    <m/>
    <s v="SOLFIN"/>
    <s v="SOLFIN"/>
    <s v="CCMS"/>
    <n v="21327771"/>
    <n v="806.15"/>
    <m/>
    <s v="N"/>
    <n v="5"/>
    <d v="2023-07-04T19:00:54"/>
    <s v="Y"/>
    <s v="Routine Telephone Call"/>
    <s v="Care Remuneration Hourly Rates"/>
    <s v="Profit Cost"/>
    <s v="v cowlard"/>
    <s v="Y"/>
    <n v="8.49"/>
    <n v="1.7"/>
    <x v="1"/>
    <s v="VALIDATED"/>
    <n v="1"/>
    <s v="01.11.80.305.6100.0000"/>
    <n v="8.49"/>
    <s v="11"/>
    <s v="6100"/>
    <n v="30324.13"/>
    <n v="8.49"/>
    <s v="CREDITOR"/>
    <n v="0"/>
    <n v="0"/>
    <n v="0"/>
    <n v="0"/>
    <n v="8.49"/>
  </r>
  <r>
    <n v="61326095"/>
    <s v="N"/>
    <n v="21331144"/>
    <s v="3000015479290006"/>
    <s v="CIVIL"/>
    <d v="2023-06-27T00:00:00"/>
    <d v="2023-07-05T19:01:47"/>
    <m/>
    <d v="2023-07-05T00:00:00"/>
    <n v="235"/>
    <n v="14241"/>
    <s v="61326095"/>
    <s v="61326095"/>
    <m/>
    <m/>
    <n v="22768892"/>
    <m/>
    <m/>
    <m/>
    <s v="SOLFIN"/>
    <s v="SOLFIN"/>
    <s v="CCMS"/>
    <n v="21331144"/>
    <n v="7929.76"/>
    <m/>
    <s v="N"/>
    <n v="1"/>
    <d v="2023-07-05T19:02:08"/>
    <s v="Y"/>
    <s v="Final Hearing Court Bundle/Advocate"/>
    <s v="Public Law Children"/>
    <s v="Advocacy"/>
    <s v="t filleul"/>
    <s v="Y"/>
    <n v="239.4"/>
    <n v="47.88"/>
    <x v="6"/>
    <s v="VALIDATED"/>
    <n v="1"/>
    <s v="01.11.80.308.6100.0000"/>
    <n v="239.4"/>
    <s v="11"/>
    <s v="6100"/>
    <n v="30324.13"/>
    <n v="239.4"/>
    <s v="CREDITOR"/>
    <n v="0"/>
    <n v="0"/>
    <n v="0"/>
    <n v="0"/>
    <n v="239.4"/>
  </r>
  <r>
    <n v="61326095"/>
    <s v="N"/>
    <n v="21331144"/>
    <s v="3000015479290006"/>
    <s v="CIVIL"/>
    <d v="2023-06-27T00:00:00"/>
    <d v="2023-07-05T19:01:47"/>
    <m/>
    <d v="2023-07-05T00:00:00"/>
    <n v="235"/>
    <n v="14241"/>
    <s v="61326095"/>
    <s v="61326095"/>
    <m/>
    <m/>
    <n v="22768892"/>
    <m/>
    <m/>
    <m/>
    <s v="SOLFIN"/>
    <s v="SOLFIN"/>
    <s v="CCMS"/>
    <n v="21331144"/>
    <n v="7929.76"/>
    <m/>
    <s v="N"/>
    <n v="6"/>
    <d v="2023-07-05T19:02:08"/>
    <s v="Y"/>
    <s v="DNA - preparation of report"/>
    <s v="Public Law Children"/>
    <s v="Expert Disbursement"/>
    <s v="Anglia DNA"/>
    <s v="Y"/>
    <n v="125.8"/>
    <n v="25.16"/>
    <x v="6"/>
    <s v="VALIDATED"/>
    <n v="1"/>
    <s v="01.11.80.308.6300.0000"/>
    <n v="125.8"/>
    <s v="11"/>
    <s v="6300"/>
    <n v="30324.13"/>
    <n v="125.8"/>
    <s v="CREDITOR"/>
    <n v="0"/>
    <n v="0"/>
    <n v="0"/>
    <n v="0"/>
    <n v="125.8"/>
  </r>
  <r>
    <n v="61326095"/>
    <s v="N"/>
    <n v="21331144"/>
    <s v="3000015479290006"/>
    <s v="CIVIL"/>
    <d v="2023-06-27T00:00:00"/>
    <d v="2023-07-05T19:01:47"/>
    <m/>
    <d v="2023-07-05T00:00:00"/>
    <n v="235"/>
    <n v="14241"/>
    <s v="61326095"/>
    <s v="61326095"/>
    <m/>
    <m/>
    <n v="22768892"/>
    <m/>
    <m/>
    <m/>
    <s v="SOLFIN"/>
    <s v="SOLFIN"/>
    <s v="CCMS"/>
    <n v="21331144"/>
    <n v="7929.76"/>
    <m/>
    <s v="N"/>
    <n v="12"/>
    <d v="2023-07-05T19:02:08"/>
    <s v="Y"/>
    <s v="Solicitors Fixed Fee"/>
    <s v="Public Law Children"/>
    <s v="Profit Cost"/>
    <s v="t filleul"/>
    <s v="Y"/>
    <n v="2616"/>
    <n v="523.2"/>
    <x v="6"/>
    <s v="VALIDATED"/>
    <n v="1"/>
    <s v="01.11.80.308.6100.0000"/>
    <n v="2616"/>
    <s v="11"/>
    <s v="6100"/>
    <n v="30324.13"/>
    <n v="2616"/>
    <s v="CREDITOR"/>
    <n v="0"/>
    <n v="0"/>
    <n v="0"/>
    <n v="0"/>
    <n v="2616"/>
  </r>
  <r>
    <n v="61639838"/>
    <s v="N"/>
    <n v="21318426"/>
    <s v="3000015742650004"/>
    <s v="CIVIL"/>
    <d v="2023-06-22T00:00:00"/>
    <d v="2023-07-03T19:01:49"/>
    <m/>
    <d v="2023-07-03T00:00:00"/>
    <n v="235"/>
    <n v="14241"/>
    <s v="61639838"/>
    <s v="61639838"/>
    <m/>
    <m/>
    <n v="22745232"/>
    <m/>
    <m/>
    <m/>
    <s v="SOLFIN"/>
    <s v="SOLFIN"/>
    <s v="CCMS"/>
    <n v="21318426"/>
    <n v="7025.46"/>
    <m/>
    <s v="N"/>
    <n v="6"/>
    <d v="2023-07-03T19:01:55"/>
    <s v="Y"/>
    <s v="Final Hearing - 1 Day"/>
    <s v="Public Law Children"/>
    <s v="Advocacy"/>
    <s v="t filluel"/>
    <s v="Y"/>
    <n v="556.88"/>
    <n v="111.38"/>
    <x v="3"/>
    <s v="VALIDATED"/>
    <n v="1"/>
    <s v="01.11.80.308.6100.0000"/>
    <n v="556.88"/>
    <s v="11"/>
    <s v="6100"/>
    <n v="30324.13"/>
    <n v="556.88"/>
    <s v="CREDITOR"/>
    <n v="0"/>
    <n v="0"/>
    <n v="0"/>
    <n v="0"/>
    <n v="556.88"/>
  </r>
  <r>
    <n v="61184114"/>
    <s v="N"/>
    <n v="21331265"/>
    <s v="3000015362710002"/>
    <s v="CIVIL"/>
    <d v="2023-06-27T00:00:00"/>
    <d v="2023-07-05T19:01:47"/>
    <m/>
    <d v="2023-07-05T00:00:00"/>
    <n v="235"/>
    <n v="14241"/>
    <s v="61184114"/>
    <s v="61184114"/>
    <m/>
    <m/>
    <n v="22770402"/>
    <m/>
    <m/>
    <m/>
    <s v="SOLFIN"/>
    <s v="SOLFIN"/>
    <s v="CCMS"/>
    <n v="21331265"/>
    <n v="3921.52"/>
    <m/>
    <s v="N"/>
    <n v="4"/>
    <d v="2023-07-05T19:02:12"/>
    <s v="Y"/>
    <s v="Hearing Unit 1.01 - 2.30 Hours"/>
    <s v="Public Law Children"/>
    <s v="Advocacy"/>
    <s v="v cowlard"/>
    <s v="Y"/>
    <n v="238.46"/>
    <n v="47.69"/>
    <x v="6"/>
    <s v="VALIDATED"/>
    <n v="1"/>
    <s v="01.11.80.308.6100.0000"/>
    <n v="238.46"/>
    <s v="11"/>
    <s v="6100"/>
    <n v="30324.13"/>
    <n v="238.46"/>
    <s v="CREDITOR"/>
    <n v="0"/>
    <n v="0"/>
    <n v="0"/>
    <n v="0"/>
    <n v="238.46"/>
  </r>
  <r>
    <n v="61326095"/>
    <s v="N"/>
    <n v="21331144"/>
    <s v="3000015479290006"/>
    <s v="CIVIL"/>
    <d v="2023-06-27T00:00:00"/>
    <d v="2023-07-05T19:01:47"/>
    <m/>
    <d v="2023-07-05T00:00:00"/>
    <n v="235"/>
    <n v="14241"/>
    <s v="61326095"/>
    <s v="61326095"/>
    <m/>
    <m/>
    <n v="22768892"/>
    <m/>
    <m/>
    <m/>
    <s v="SOLFIN"/>
    <s v="SOLFIN"/>
    <s v="CCMS"/>
    <n v="21331144"/>
    <n v="7929.76"/>
    <m/>
    <s v="N"/>
    <n v="9"/>
    <d v="2023-07-05T19:02:08"/>
    <s v="Y"/>
    <s v="Final Hearing - 1 Day"/>
    <s v="Public Law Children"/>
    <s v="Advocacy"/>
    <s v="t filleul"/>
    <s v="Y"/>
    <n v="696.1"/>
    <n v="139.22"/>
    <x v="6"/>
    <s v="VALIDATED"/>
    <n v="1"/>
    <s v="01.11.80.308.6100.0000"/>
    <n v="696.1"/>
    <s v="11"/>
    <s v="6100"/>
    <n v="30324.13"/>
    <n v="696.1"/>
    <s v="CREDITOR"/>
    <n v="0"/>
    <n v="0"/>
    <n v="0"/>
    <n v="0"/>
    <n v="696.1"/>
  </r>
  <r>
    <n v="61507429"/>
    <s v="N"/>
    <n v="21331380"/>
    <s v="3000015630350003"/>
    <s v="CIVIL"/>
    <d v="2023-06-27T00:00:00"/>
    <d v="2023-07-05T19:01:47"/>
    <m/>
    <d v="2023-07-05T00:00:00"/>
    <n v="235"/>
    <n v="14241"/>
    <s v="61507429"/>
    <s v="61507429"/>
    <m/>
    <m/>
    <n v="22772016"/>
    <m/>
    <m/>
    <m/>
    <s v="SOLFIN"/>
    <s v="SOLFIN"/>
    <s v="CCMS"/>
    <n v="21331380"/>
    <n v="8229.51"/>
    <m/>
    <s v="N"/>
    <n v="1"/>
    <d v="2023-07-05T19:02:17"/>
    <s v="Y"/>
    <s v="Child psychiatrist"/>
    <s v="Public Law Children"/>
    <s v="Expert Disbursement"/>
    <s v="Expert in Mind Ltd"/>
    <s v="Y"/>
    <n v="911.6"/>
    <n v="182.32"/>
    <x v="6"/>
    <s v="VALIDATED"/>
    <n v="1"/>
    <s v="01.11.80.308.6300.0000"/>
    <n v="911.6"/>
    <s v="11"/>
    <s v="6300"/>
    <n v="30324.13"/>
    <n v="911.6"/>
    <s v="CREDITOR"/>
    <n v="0"/>
    <n v="0"/>
    <n v="0"/>
    <n v="0"/>
    <n v="911.6"/>
  </r>
  <r>
    <n v="61639838"/>
    <s v="N"/>
    <n v="21318426"/>
    <s v="3000015742650004"/>
    <s v="CIVIL"/>
    <d v="2023-06-22T00:00:00"/>
    <d v="2023-07-03T19:01:49"/>
    <m/>
    <d v="2023-07-03T00:00:00"/>
    <n v="235"/>
    <n v="14241"/>
    <s v="61639838"/>
    <s v="61639838"/>
    <m/>
    <m/>
    <n v="22745232"/>
    <m/>
    <m/>
    <m/>
    <s v="SOLFIN"/>
    <s v="SOLFIN"/>
    <s v="CCMS"/>
    <n v="21318426"/>
    <n v="7025.46"/>
    <m/>
    <s v="N"/>
    <n v="4"/>
    <d v="2023-07-03T19:01:55"/>
    <s v="Y"/>
    <s v="Advocates Meeting"/>
    <s v="Public Law Children"/>
    <s v="Advocacy"/>
    <s v="t filleul"/>
    <s v="Y"/>
    <n v="140.99"/>
    <n v="28.2"/>
    <x v="3"/>
    <s v="VALIDATED"/>
    <n v="1"/>
    <s v="01.11.80.308.6100.0000"/>
    <n v="140.99"/>
    <s v="11"/>
    <s v="6100"/>
    <n v="30324.13"/>
    <n v="140.99"/>
    <s v="CREDITOR"/>
    <n v="0"/>
    <n v="0"/>
    <n v="0"/>
    <n v="0"/>
    <n v="140.99"/>
  </r>
  <r>
    <n v="61748857"/>
    <s v="N"/>
    <n v="21330538"/>
    <s v="3000015829260003"/>
    <s v="CIVIL"/>
    <d v="2023-06-27T00:00:00"/>
    <d v="2023-07-05T19:01:47"/>
    <m/>
    <d v="2023-07-05T00:00:00"/>
    <n v="235"/>
    <n v="14241"/>
    <s v="61748857"/>
    <s v="61748857"/>
    <m/>
    <m/>
    <n v="22767274"/>
    <m/>
    <m/>
    <m/>
    <s v="SOLFIN"/>
    <s v="SOLFIN"/>
    <s v="CCMS"/>
    <n v="21330538"/>
    <n v="4716.06"/>
    <m/>
    <s v="N"/>
    <n v="5"/>
    <d v="2023-07-05T19:01:51"/>
    <s v="Y"/>
    <s v="Solicitors Fixed Fee"/>
    <s v="Public Law Children"/>
    <s v="Profit Cost"/>
    <s v="t filleul"/>
    <s v="Y"/>
    <n v="2616"/>
    <n v="523.2"/>
    <x v="6"/>
    <s v="VALIDATED"/>
    <n v="1"/>
    <s v="01.11.80.308.6100.0000"/>
    <n v="2616"/>
    <s v="11"/>
    <s v="6100"/>
    <n v="30324.13"/>
    <n v="2616"/>
    <s v="CREDITOR"/>
    <n v="0"/>
    <n v="0"/>
    <n v="0"/>
    <n v="0"/>
    <n v="2616"/>
  </r>
  <r>
    <n v="61536883"/>
    <s v="N"/>
    <n v="21331348"/>
    <s v="3000015655790001"/>
    <s v="CIVIL"/>
    <d v="2023-06-27T00:00:00"/>
    <d v="2023-07-05T19:01:47"/>
    <m/>
    <d v="2023-07-05T00:00:00"/>
    <n v="235"/>
    <n v="14241"/>
    <s v="61536883"/>
    <s v="61536883"/>
    <m/>
    <m/>
    <n v="22768918"/>
    <m/>
    <m/>
    <m/>
    <s v="SOLFIN"/>
    <s v="SOLFIN"/>
    <s v="CCMS"/>
    <n v="21331348"/>
    <n v="4854.12"/>
    <m/>
    <s v="N"/>
    <n v="3"/>
    <d v="2023-07-05T19:02:15"/>
    <s v="Y"/>
    <s v="Advocates Meeting"/>
    <s v="Public Law Children"/>
    <s v="Advocacy"/>
    <s v="t filleul"/>
    <s v="Y"/>
    <n v="140.99"/>
    <n v="28.2"/>
    <x v="6"/>
    <s v="VALIDATED"/>
    <n v="1"/>
    <s v="01.11.80.308.6100.0000"/>
    <n v="140.99"/>
    <s v="11"/>
    <s v="6100"/>
    <n v="30324.13"/>
    <n v="140.99"/>
    <s v="CREDITOR"/>
    <n v="0"/>
    <n v="0"/>
    <n v="0"/>
    <n v="0"/>
    <n v="140.99"/>
  </r>
  <r>
    <n v="61639838"/>
    <s v="N"/>
    <n v="21324269"/>
    <s v="3000015742650001RC"/>
    <s v="CIVIL"/>
    <d v="2023-06-22T00:00:00"/>
    <d v="2023-07-03T19:42:50"/>
    <m/>
    <d v="2023-07-03T00:00:00"/>
    <n v="235"/>
    <n v="14241"/>
    <s v="61639838"/>
    <s v="61639838"/>
    <m/>
    <m/>
    <m/>
    <m/>
    <m/>
    <m/>
    <s v="SOLRECOUP"/>
    <s v="SOLRECOUP"/>
    <s v="POARECOUP"/>
    <n v="21324269"/>
    <n v="-882"/>
    <m/>
    <s v="Y"/>
    <n v="1"/>
    <d v="2023-07-03T19:42:51"/>
    <s v="N"/>
    <m/>
    <m/>
    <s v="Expert Disbursement"/>
    <m/>
    <s v="N"/>
    <n v="-735"/>
    <n v="0"/>
    <x v="3"/>
    <s v="VALIDATED"/>
    <n v="1"/>
    <s v="01.11.80.308.2013.0000"/>
    <n v="-735"/>
    <s v="11"/>
    <s v="2013"/>
    <n v="30324.13"/>
    <n v="-735"/>
    <s v="CREDITOR"/>
    <n v="0"/>
    <n v="0"/>
    <n v="-735"/>
    <n v="0"/>
    <n v="0"/>
  </r>
  <r>
    <n v="61639838"/>
    <s v="N"/>
    <n v="21324269"/>
    <s v="3000015742650001RC"/>
    <s v="CIVIL"/>
    <d v="2023-06-22T00:00:00"/>
    <d v="2023-07-03T19:42:50"/>
    <m/>
    <d v="2023-07-03T00:00:00"/>
    <n v="235"/>
    <n v="14241"/>
    <s v="61639838"/>
    <s v="61639838"/>
    <m/>
    <m/>
    <m/>
    <m/>
    <m/>
    <m/>
    <s v="SOLRECOUP"/>
    <s v="SOLRECOUP"/>
    <s v="POARECOUP"/>
    <n v="21324269"/>
    <n v="-882"/>
    <m/>
    <s v="Y"/>
    <n v="2"/>
    <d v="2023-07-03T19:42:51"/>
    <s v="N"/>
    <m/>
    <m/>
    <s v="Expert Disbursement"/>
    <m/>
    <s v="N"/>
    <n v="0"/>
    <n v="-147"/>
    <x v="3"/>
    <s v="VALIDATED"/>
    <n v="1"/>
    <s v="01.11.80.308.2013.0000"/>
    <n v="-147"/>
    <s v="11"/>
    <s v="2013"/>
    <n v="30324.13"/>
    <n v="-147"/>
    <s v="CREDITOR"/>
    <n v="0"/>
    <n v="0"/>
    <n v="-147"/>
    <n v="0"/>
    <n v="0"/>
  </r>
  <r>
    <n v="61639838"/>
    <s v="N"/>
    <n v="21324270"/>
    <s v="3000015742650003RC"/>
    <s v="CIVIL"/>
    <d v="2023-06-22T00:00:00"/>
    <d v="2023-07-03T19:42:50"/>
    <m/>
    <d v="2023-07-03T00:00:00"/>
    <n v="235"/>
    <n v="14241"/>
    <s v="61639838"/>
    <s v="61639838"/>
    <m/>
    <m/>
    <m/>
    <m/>
    <m/>
    <m/>
    <s v="SOLRECOUP"/>
    <s v="SOLRECOUP"/>
    <s v="POARECOUP"/>
    <n v="21324270"/>
    <n v="-195.17"/>
    <m/>
    <s v="Y"/>
    <n v="1"/>
    <d v="2023-07-03T19:42:51"/>
    <s v="N"/>
    <m/>
    <m/>
    <s v="Expert Disbursement"/>
    <m/>
    <s v="N"/>
    <n v="-162.64"/>
    <n v="0"/>
    <x v="3"/>
    <s v="VALIDATED"/>
    <n v="1"/>
    <s v="01.11.80.308.2013.0000"/>
    <n v="-162.64"/>
    <s v="11"/>
    <s v="2013"/>
    <n v="30324.13"/>
    <n v="-162.64"/>
    <s v="CREDITOR"/>
    <n v="0"/>
    <n v="0"/>
    <n v="-162.64"/>
    <n v="0"/>
    <n v="0"/>
  </r>
  <r>
    <n v="61639838"/>
    <s v="N"/>
    <n v="21324270"/>
    <s v="3000015742650003RC"/>
    <s v="CIVIL"/>
    <d v="2023-06-22T00:00:00"/>
    <d v="2023-07-03T19:42:50"/>
    <m/>
    <d v="2023-07-03T00:00:00"/>
    <n v="235"/>
    <n v="14241"/>
    <s v="61639838"/>
    <s v="61639838"/>
    <m/>
    <m/>
    <m/>
    <m/>
    <m/>
    <m/>
    <s v="SOLRECOUP"/>
    <s v="SOLRECOUP"/>
    <s v="POARECOUP"/>
    <n v="21324270"/>
    <n v="-195.17"/>
    <m/>
    <s v="Y"/>
    <n v="2"/>
    <d v="2023-07-03T19:42:51"/>
    <s v="N"/>
    <m/>
    <m/>
    <s v="Expert Disbursement"/>
    <m/>
    <s v="N"/>
    <n v="0"/>
    <n v="-32.53"/>
    <x v="3"/>
    <s v="VALIDATED"/>
    <n v="1"/>
    <s v="01.11.80.308.2013.0000"/>
    <n v="-32.53"/>
    <s v="11"/>
    <s v="2013"/>
    <n v="30324.13"/>
    <n v="-32.53"/>
    <s v="CREDITOR"/>
    <n v="0"/>
    <n v="0"/>
    <n v="-32.53"/>
    <n v="0"/>
    <n v="0"/>
  </r>
  <r>
    <n v="61639838"/>
    <s v="N"/>
    <n v="21324271"/>
    <s v="3000015742650002RC"/>
    <s v="CIVIL"/>
    <d v="2023-06-22T00:00:00"/>
    <d v="2023-07-03T19:42:50"/>
    <m/>
    <d v="2023-07-03T00:00:00"/>
    <n v="235"/>
    <n v="14241"/>
    <s v="61639838"/>
    <s v="61639838"/>
    <m/>
    <m/>
    <m/>
    <m/>
    <m/>
    <m/>
    <s v="SOLRECOUP"/>
    <s v="SOLRECOUP"/>
    <s v="POARECOUP"/>
    <n v="21324271"/>
    <n v="-898.5599999999999"/>
    <m/>
    <s v="Y"/>
    <n v="2"/>
    <d v="2023-07-03T19:42:51"/>
    <s v="N"/>
    <m/>
    <m/>
    <s v="Expert Disbursement"/>
    <m/>
    <s v="N"/>
    <n v="0"/>
    <n v="-149.76"/>
    <x v="3"/>
    <s v="VALIDATED"/>
    <n v="1"/>
    <s v="01.11.80.308.2013.0000"/>
    <n v="-149.76"/>
    <s v="11"/>
    <s v="2013"/>
    <n v="30324.13"/>
    <n v="-149.76"/>
    <s v="CREDITOR"/>
    <n v="0"/>
    <n v="0"/>
    <n v="-149.76"/>
    <n v="0"/>
    <n v="0"/>
  </r>
  <r>
    <n v="61639838"/>
    <s v="N"/>
    <n v="21324271"/>
    <s v="3000015742650002RC"/>
    <s v="CIVIL"/>
    <d v="2023-06-22T00:00:00"/>
    <d v="2023-07-03T19:42:50"/>
    <m/>
    <d v="2023-07-03T00:00:00"/>
    <n v="235"/>
    <n v="14241"/>
    <s v="61639838"/>
    <s v="61639838"/>
    <m/>
    <m/>
    <m/>
    <m/>
    <m/>
    <m/>
    <s v="SOLRECOUP"/>
    <s v="SOLRECOUP"/>
    <s v="POARECOUP"/>
    <n v="21324271"/>
    <n v="-898.5599999999999"/>
    <m/>
    <s v="Y"/>
    <n v="1"/>
    <d v="2023-07-03T19:42:51"/>
    <s v="N"/>
    <m/>
    <m/>
    <s v="Expert Disbursement"/>
    <m/>
    <s v="N"/>
    <n v="-748.8"/>
    <n v="0"/>
    <x v="3"/>
    <s v="VALIDATED"/>
    <n v="1"/>
    <s v="01.11.80.308.2013.0000"/>
    <n v="-748.8"/>
    <s v="11"/>
    <s v="2013"/>
    <n v="30324.13"/>
    <n v="-748.8"/>
    <s v="CREDITOR"/>
    <n v="0"/>
    <n v="0"/>
    <n v="-748.8"/>
    <n v="0"/>
    <n v="0"/>
  </r>
  <r>
    <n v="61326095"/>
    <s v="N"/>
    <n v="21333746"/>
    <s v="3000015479290001RC"/>
    <s v="CIVIL"/>
    <d v="2023-06-27T00:00:00"/>
    <d v="2023-07-05T19:42:28"/>
    <m/>
    <d v="2023-07-05T00:00:00"/>
    <n v="235"/>
    <n v="14241"/>
    <s v="61326095"/>
    <s v="61326095"/>
    <m/>
    <m/>
    <m/>
    <m/>
    <m/>
    <m/>
    <s v="SOLRECOUP"/>
    <s v="SOLRECOUP"/>
    <s v="POARECOUP"/>
    <n v="21333746"/>
    <n v="-291.6"/>
    <m/>
    <s v="Y"/>
    <n v="2"/>
    <d v="2023-07-05T19:42:28"/>
    <s v="N"/>
    <m/>
    <m/>
    <s v="Expert Disbursement"/>
    <m/>
    <s v="N"/>
    <n v="0"/>
    <n v="-48.6"/>
    <x v="6"/>
    <s v="VALIDATED"/>
    <n v="1"/>
    <s v="01.11.80.308.2013.0000"/>
    <n v="-48.6"/>
    <s v="11"/>
    <s v="2013"/>
    <n v="30324.13"/>
    <n v="-48.6"/>
    <s v="CREDITOR"/>
    <n v="0"/>
    <n v="0"/>
    <n v="-48.6"/>
    <n v="0"/>
    <n v="0"/>
  </r>
  <r>
    <n v="61326095"/>
    <s v="N"/>
    <n v="21333747"/>
    <s v="3000015479290002RC"/>
    <s v="CIVIL"/>
    <d v="2023-06-27T00:00:00"/>
    <d v="2023-07-05T19:42:28"/>
    <m/>
    <d v="2023-07-05T00:00:00"/>
    <n v="235"/>
    <n v="14241"/>
    <s v="61326095"/>
    <s v="61326095"/>
    <m/>
    <m/>
    <m/>
    <m/>
    <m/>
    <m/>
    <s v="SOLRECOUP"/>
    <s v="SOLRECOUP"/>
    <s v="POARECOUP"/>
    <n v="21333747"/>
    <n v="-1015.61"/>
    <m/>
    <s v="Y"/>
    <n v="1"/>
    <d v="2023-07-05T19:42:28"/>
    <s v="N"/>
    <m/>
    <m/>
    <s v="Expert Disbursement"/>
    <m/>
    <s v="N"/>
    <n v="-846.34"/>
    <n v="0"/>
    <x v="6"/>
    <s v="VALIDATED"/>
    <n v="1"/>
    <s v="01.11.80.308.2013.0000"/>
    <n v="-846.34"/>
    <s v="11"/>
    <s v="2013"/>
    <n v="30324.13"/>
    <n v="-846.34"/>
    <s v="CREDITOR"/>
    <n v="0"/>
    <n v="0"/>
    <n v="-846.34"/>
    <n v="0"/>
    <n v="0"/>
  </r>
  <r>
    <n v="61326095"/>
    <s v="N"/>
    <n v="21333747"/>
    <s v="3000015479290002RC"/>
    <s v="CIVIL"/>
    <d v="2023-06-27T00:00:00"/>
    <d v="2023-07-05T19:42:28"/>
    <m/>
    <d v="2023-07-05T00:00:00"/>
    <n v="235"/>
    <n v="14241"/>
    <s v="61326095"/>
    <s v="61326095"/>
    <m/>
    <m/>
    <m/>
    <m/>
    <m/>
    <m/>
    <s v="SOLRECOUP"/>
    <s v="SOLRECOUP"/>
    <s v="POARECOUP"/>
    <n v="21333747"/>
    <n v="-1015.61"/>
    <m/>
    <s v="Y"/>
    <n v="2"/>
    <d v="2023-07-05T19:42:28"/>
    <s v="N"/>
    <m/>
    <m/>
    <s v="Expert Disbursement"/>
    <m/>
    <s v="N"/>
    <n v="0"/>
    <n v="-169.27"/>
    <x v="6"/>
    <s v="VALIDATED"/>
    <n v="1"/>
    <s v="01.11.80.308.2013.0000"/>
    <n v="-169.27"/>
    <s v="11"/>
    <s v="2013"/>
    <n v="30324.13"/>
    <n v="-169.27"/>
    <s v="CREDITOR"/>
    <n v="0"/>
    <n v="0"/>
    <n v="-169.27"/>
    <n v="0"/>
    <n v="0"/>
  </r>
  <r>
    <n v="61326095"/>
    <s v="N"/>
    <n v="21333748"/>
    <s v="3000015479290004RC"/>
    <s v="CIVIL"/>
    <d v="2023-06-27T00:00:00"/>
    <d v="2023-07-05T19:42:28"/>
    <m/>
    <d v="2023-07-05T00:00:00"/>
    <n v="235"/>
    <n v="14241"/>
    <s v="61326095"/>
    <s v="61326095"/>
    <m/>
    <m/>
    <m/>
    <m/>
    <m/>
    <m/>
    <s v="SOLRECOUP"/>
    <s v="SOLRECOUP"/>
    <s v="POARECOUP"/>
    <n v="21333748"/>
    <n v="-50.4"/>
    <m/>
    <s v="Y"/>
    <n v="1"/>
    <d v="2023-07-05T19:42:28"/>
    <s v="N"/>
    <m/>
    <m/>
    <s v="Expert Disbursement"/>
    <m/>
    <s v="N"/>
    <n v="-50.4"/>
    <n v="0"/>
    <x v="6"/>
    <s v="VALIDATED"/>
    <n v="1"/>
    <s v="01.11.80.308.2013.0000"/>
    <n v="-50.4"/>
    <s v="11"/>
    <s v="2013"/>
    <n v="30324.13"/>
    <n v="-50.4"/>
    <s v="CREDITOR"/>
    <n v="0"/>
    <n v="0"/>
    <n v="-50.4"/>
    <n v="0"/>
    <n v="0"/>
  </r>
  <r>
    <n v="61326095"/>
    <s v="N"/>
    <n v="21333748"/>
    <s v="3000015479290004RC"/>
    <s v="CIVIL"/>
    <d v="2023-06-27T00:00:00"/>
    <d v="2023-07-05T19:42:28"/>
    <m/>
    <d v="2023-07-05T00:00:00"/>
    <n v="235"/>
    <n v="14241"/>
    <s v="61326095"/>
    <s v="61326095"/>
    <m/>
    <m/>
    <m/>
    <m/>
    <m/>
    <m/>
    <s v="SOLRECOUP"/>
    <s v="SOLRECOUP"/>
    <s v="POARECOUP"/>
    <n v="21333748"/>
    <n v="-50.4"/>
    <m/>
    <s v="Y"/>
    <n v="2"/>
    <d v="2023-07-05T19:42:28"/>
    <s v="N"/>
    <m/>
    <m/>
    <s v="Expert Disbursement"/>
    <m/>
    <s v="N"/>
    <n v="0"/>
    <n v="0"/>
    <x v="6"/>
    <s v="VALIDATED"/>
    <n v="1"/>
    <s v="01.11.80.000.0000.0000"/>
    <n v="0"/>
    <s v="11"/>
    <s v="0000"/>
    <n v="30324.13"/>
    <n v="0"/>
    <s v="CREDITOR"/>
    <n v="0"/>
    <n v="0"/>
    <n v="0"/>
    <n v="0"/>
    <n v="0"/>
  </r>
  <r>
    <n v="61326095"/>
    <s v="N"/>
    <n v="21333749"/>
    <s v="3000015479290003RC"/>
    <s v="CIVIL"/>
    <d v="2023-06-27T00:00:00"/>
    <d v="2023-07-05T19:42:28"/>
    <m/>
    <d v="2023-07-05T00:00:00"/>
    <n v="235"/>
    <n v="14241"/>
    <s v="61326095"/>
    <s v="61326095"/>
    <m/>
    <m/>
    <m/>
    <m/>
    <m/>
    <m/>
    <s v="SOLRECOUP"/>
    <s v="SOLRECOUP"/>
    <s v="POARECOUP"/>
    <n v="21333749"/>
    <n v="-150.96"/>
    <m/>
    <s v="Y"/>
    <n v="1"/>
    <d v="2023-07-05T19:42:28"/>
    <s v="N"/>
    <m/>
    <m/>
    <s v="Expert Disbursement"/>
    <m/>
    <s v="N"/>
    <n v="-125.8"/>
    <n v="0"/>
    <x v="6"/>
    <s v="VALIDATED"/>
    <n v="1"/>
    <s v="01.11.80.308.2013.0000"/>
    <n v="-125.8"/>
    <s v="11"/>
    <s v="2013"/>
    <n v="30324.13"/>
    <n v="-125.8"/>
    <s v="CREDITOR"/>
    <n v="0"/>
    <n v="0"/>
    <n v="-125.8"/>
    <n v="0"/>
    <n v="0"/>
  </r>
  <r>
    <n v="61326095"/>
    <s v="N"/>
    <n v="21333749"/>
    <s v="3000015479290003RC"/>
    <s v="CIVIL"/>
    <d v="2023-06-27T00:00:00"/>
    <d v="2023-07-05T19:42:28"/>
    <m/>
    <d v="2023-07-05T00:00:00"/>
    <n v="235"/>
    <n v="14241"/>
    <s v="61326095"/>
    <s v="61326095"/>
    <m/>
    <m/>
    <m/>
    <m/>
    <m/>
    <m/>
    <s v="SOLRECOUP"/>
    <s v="SOLRECOUP"/>
    <s v="POARECOUP"/>
    <n v="21333749"/>
    <n v="-150.96"/>
    <m/>
    <s v="Y"/>
    <n v="2"/>
    <d v="2023-07-05T19:42:28"/>
    <s v="N"/>
    <m/>
    <m/>
    <s v="Expert Disbursement"/>
    <m/>
    <s v="N"/>
    <n v="0"/>
    <n v="-25.16"/>
    <x v="6"/>
    <s v="VALIDATED"/>
    <n v="1"/>
    <s v="01.11.80.308.2013.0000"/>
    <n v="-25.16"/>
    <s v="11"/>
    <s v="2013"/>
    <n v="30324.13"/>
    <n v="-25.16"/>
    <s v="CREDITOR"/>
    <n v="0"/>
    <n v="0"/>
    <n v="-25.16"/>
    <n v="0"/>
    <n v="0"/>
  </r>
  <r>
    <n v="61748857"/>
    <s v="N"/>
    <n v="21333750"/>
    <s v="3000015829260001RC"/>
    <s v="CIVIL"/>
    <d v="2023-06-27T00:00:00"/>
    <d v="2023-07-05T19:42:28"/>
    <m/>
    <d v="2023-07-05T00:00:00"/>
    <n v="235"/>
    <n v="14241"/>
    <s v="61748857"/>
    <s v="61748857"/>
    <m/>
    <m/>
    <m/>
    <m/>
    <m/>
    <m/>
    <s v="SOLRECOUP"/>
    <s v="SOLRECOUP"/>
    <s v="POARECOUP"/>
    <n v="21333750"/>
    <n v="-303.3"/>
    <m/>
    <s v="Y"/>
    <n v="1"/>
    <d v="2023-07-05T19:42:28"/>
    <s v="N"/>
    <m/>
    <m/>
    <s v="Expert Disbursement"/>
    <m/>
    <s v="N"/>
    <n v="-252.75"/>
    <n v="0"/>
    <x v="6"/>
    <s v="VALIDATED"/>
    <n v="1"/>
    <s v="01.11.80.308.2013.0000"/>
    <n v="-252.75"/>
    <s v="11"/>
    <s v="2013"/>
    <n v="30324.13"/>
    <n v="-252.75"/>
    <s v="CREDITOR"/>
    <n v="0"/>
    <n v="0"/>
    <n v="-252.75"/>
    <n v="0"/>
    <n v="0"/>
  </r>
  <r>
    <n v="61748857"/>
    <s v="N"/>
    <n v="21333750"/>
    <s v="3000015829260001RC"/>
    <s v="CIVIL"/>
    <d v="2023-06-27T00:00:00"/>
    <d v="2023-07-05T19:42:28"/>
    <m/>
    <d v="2023-07-05T00:00:00"/>
    <n v="235"/>
    <n v="14241"/>
    <s v="61748857"/>
    <s v="61748857"/>
    <m/>
    <m/>
    <m/>
    <m/>
    <m/>
    <m/>
    <s v="SOLRECOUP"/>
    <s v="SOLRECOUP"/>
    <s v="POARECOUP"/>
    <n v="21333750"/>
    <n v="-303.3"/>
    <m/>
    <s v="Y"/>
    <n v="2"/>
    <d v="2023-07-05T19:42:28"/>
    <s v="N"/>
    <m/>
    <m/>
    <s v="Expert Disbursement"/>
    <m/>
    <s v="N"/>
    <n v="0"/>
    <n v="-50.55"/>
    <x v="6"/>
    <s v="VALIDATED"/>
    <n v="1"/>
    <s v="01.11.80.308.2013.0000"/>
    <n v="-50.55"/>
    <s v="11"/>
    <s v="2013"/>
    <n v="30324.13"/>
    <n v="-50.55"/>
    <s v="CREDITOR"/>
    <n v="0"/>
    <n v="0"/>
    <n v="-50.55"/>
    <n v="0"/>
    <n v="0"/>
  </r>
  <r>
    <n v="61507429"/>
    <s v="N"/>
    <n v="21333751"/>
    <s v="3000015630350001RC"/>
    <s v="CIVIL"/>
    <d v="2023-06-27T00:00:00"/>
    <d v="2023-07-05T19:42:28"/>
    <m/>
    <d v="2023-07-05T00:00:00"/>
    <n v="235"/>
    <n v="14241"/>
    <s v="61507429"/>
    <s v="61507429"/>
    <m/>
    <m/>
    <m/>
    <m/>
    <m/>
    <m/>
    <s v="SOLRECOUP"/>
    <s v="SOLRECOUP"/>
    <s v="POARECOUP"/>
    <n v="21333751"/>
    <n v="-1093.92"/>
    <m/>
    <s v="Y"/>
    <n v="1"/>
    <d v="2023-07-05T19:42:28"/>
    <s v="N"/>
    <m/>
    <m/>
    <s v="Expert Disbursement"/>
    <m/>
    <s v="N"/>
    <n v="-911.6"/>
    <n v="0"/>
    <x v="6"/>
    <s v="VALIDATED"/>
    <n v="1"/>
    <s v="01.11.80.308.2013.0000"/>
    <n v="-911.6"/>
    <s v="11"/>
    <s v="2013"/>
    <n v="30324.13"/>
    <n v="-911.6"/>
    <s v="CREDITOR"/>
    <n v="0"/>
    <n v="0"/>
    <n v="-911.6"/>
    <n v="0"/>
    <n v="0"/>
  </r>
  <r>
    <n v="61507429"/>
    <s v="N"/>
    <n v="21333751"/>
    <s v="3000015630350001RC"/>
    <s v="CIVIL"/>
    <d v="2023-06-27T00:00:00"/>
    <d v="2023-07-05T19:42:28"/>
    <m/>
    <d v="2023-07-05T00:00:00"/>
    <n v="235"/>
    <n v="14241"/>
    <s v="61507429"/>
    <s v="61507429"/>
    <m/>
    <m/>
    <m/>
    <m/>
    <m/>
    <m/>
    <s v="SOLRECOUP"/>
    <s v="SOLRECOUP"/>
    <s v="POARECOUP"/>
    <n v="21333751"/>
    <n v="-1093.92"/>
    <m/>
    <s v="Y"/>
    <n v="2"/>
    <d v="2023-07-05T19:42:28"/>
    <s v="N"/>
    <m/>
    <m/>
    <s v="Expert Disbursement"/>
    <m/>
    <s v="N"/>
    <n v="0"/>
    <n v="-182.32"/>
    <x v="6"/>
    <s v="VALIDATED"/>
    <n v="1"/>
    <s v="01.11.80.308.2013.0000"/>
    <n v="-182.32"/>
    <s v="11"/>
    <s v="2013"/>
    <n v="30324.13"/>
    <n v="-182.32"/>
    <s v="CREDITOR"/>
    <n v="0"/>
    <n v="0"/>
    <n v="-182.32"/>
    <n v="0"/>
    <n v="0"/>
  </r>
  <r>
    <n v="61507429"/>
    <s v="N"/>
    <n v="21333752"/>
    <s v="3000015630350002RC"/>
    <s v="CIVIL"/>
    <d v="2023-06-27T00:00:00"/>
    <d v="2023-07-05T19:42:28"/>
    <m/>
    <d v="2023-07-05T00:00:00"/>
    <n v="235"/>
    <n v="14241"/>
    <s v="61507429"/>
    <s v="61507429"/>
    <m/>
    <m/>
    <m/>
    <m/>
    <m/>
    <m/>
    <s v="SOLRECOUP"/>
    <s v="SOLRECOUP"/>
    <s v="POARECOUP"/>
    <n v="21333752"/>
    <n v="-216"/>
    <m/>
    <s v="Y"/>
    <n v="1"/>
    <d v="2023-07-05T19:42:28"/>
    <s v="N"/>
    <m/>
    <m/>
    <s v="Expert Disbursement"/>
    <m/>
    <s v="N"/>
    <n v="-180"/>
    <n v="0"/>
    <x v="6"/>
    <s v="VALIDATED"/>
    <n v="1"/>
    <s v="01.11.80.308.2013.0000"/>
    <n v="-180"/>
    <s v="11"/>
    <s v="2013"/>
    <n v="30324.13"/>
    <n v="-180"/>
    <s v="CREDITOR"/>
    <n v="0"/>
    <n v="0"/>
    <n v="-180"/>
    <n v="0"/>
    <n v="0"/>
  </r>
  <r>
    <n v="61507429"/>
    <s v="N"/>
    <n v="21333752"/>
    <s v="3000015630350002RC"/>
    <s v="CIVIL"/>
    <d v="2023-06-27T00:00:00"/>
    <d v="2023-07-05T19:42:28"/>
    <m/>
    <d v="2023-07-05T00:00:00"/>
    <n v="235"/>
    <n v="14241"/>
    <s v="61507429"/>
    <s v="61507429"/>
    <m/>
    <m/>
    <m/>
    <m/>
    <m/>
    <m/>
    <s v="SOLRECOUP"/>
    <s v="SOLRECOUP"/>
    <s v="POARECOUP"/>
    <n v="21333752"/>
    <n v="-216"/>
    <m/>
    <s v="Y"/>
    <n v="2"/>
    <d v="2023-07-05T19:42:28"/>
    <s v="N"/>
    <m/>
    <m/>
    <s v="Expert Disbursement"/>
    <m/>
    <s v="N"/>
    <n v="0"/>
    <n v="-36"/>
    <x v="6"/>
    <s v="VALIDATED"/>
    <n v="1"/>
    <s v="01.11.80.308.2013.0000"/>
    <n v="-36"/>
    <s v="11"/>
    <s v="2013"/>
    <n v="30324.13"/>
    <n v="-36"/>
    <s v="CREDITOR"/>
    <n v="0"/>
    <n v="0"/>
    <n v="-36"/>
    <n v="0"/>
    <n v="0"/>
  </r>
  <r>
    <n v="61326095"/>
    <s v="N"/>
    <n v="21333744"/>
    <s v="3000015479290005RC"/>
    <s v="CIVIL"/>
    <d v="2023-06-27T00:00:00"/>
    <d v="2023-07-05T19:42:28"/>
    <m/>
    <d v="2023-07-05T00:00:00"/>
    <n v="235"/>
    <n v="14241"/>
    <s v="61326095"/>
    <s v="61326095"/>
    <m/>
    <m/>
    <m/>
    <m/>
    <m/>
    <m/>
    <s v="SOLRECOUP"/>
    <s v="SOLRECOUP"/>
    <s v="POARECOUP"/>
    <n v="21333744"/>
    <n v="-676.4"/>
    <m/>
    <s v="Y"/>
    <n v="1"/>
    <d v="2023-07-05T19:42:28"/>
    <s v="N"/>
    <m/>
    <m/>
    <s v="Expert Disbursement"/>
    <m/>
    <s v="N"/>
    <n v="-563.67"/>
    <n v="0"/>
    <x v="6"/>
    <s v="VALIDATED"/>
    <n v="1"/>
    <s v="01.11.80.308.2013.0000"/>
    <n v="-563.67"/>
    <s v="11"/>
    <s v="2013"/>
    <n v="30324.13"/>
    <n v="-563.67"/>
    <s v="CREDITOR"/>
    <n v="0"/>
    <n v="0"/>
    <n v="-563.67"/>
    <n v="0"/>
    <n v="0"/>
  </r>
  <r>
    <n v="61326095"/>
    <s v="N"/>
    <n v="21333744"/>
    <s v="3000015479290005RC"/>
    <s v="CIVIL"/>
    <d v="2023-06-27T00:00:00"/>
    <d v="2023-07-05T19:42:28"/>
    <m/>
    <d v="2023-07-05T00:00:00"/>
    <n v="235"/>
    <n v="14241"/>
    <s v="61326095"/>
    <s v="61326095"/>
    <m/>
    <m/>
    <m/>
    <m/>
    <m/>
    <m/>
    <s v="SOLRECOUP"/>
    <s v="SOLRECOUP"/>
    <s v="POARECOUP"/>
    <n v="21333744"/>
    <n v="-676.4"/>
    <m/>
    <s v="Y"/>
    <n v="2"/>
    <d v="2023-07-05T19:42:28"/>
    <s v="N"/>
    <m/>
    <m/>
    <s v="Expert Disbursement"/>
    <m/>
    <s v="N"/>
    <n v="0"/>
    <n v="-112.73"/>
    <x v="6"/>
    <s v="VALIDATED"/>
    <n v="1"/>
    <s v="01.11.80.308.2013.0000"/>
    <n v="-112.73"/>
    <s v="11"/>
    <s v="2013"/>
    <n v="30324.13"/>
    <n v="-112.73"/>
    <s v="CREDITOR"/>
    <n v="0"/>
    <n v="0"/>
    <n v="-112.73"/>
    <n v="0"/>
    <n v="0"/>
  </r>
  <r>
    <n v="61748857"/>
    <s v="N"/>
    <n v="21333745"/>
    <s v="3000015829260002RC"/>
    <s v="CIVIL"/>
    <d v="2023-06-27T00:00:00"/>
    <d v="2023-07-05T19:42:28"/>
    <m/>
    <d v="2023-07-05T00:00:00"/>
    <n v="235"/>
    <n v="14241"/>
    <s v="61748857"/>
    <s v="61748857"/>
    <m/>
    <m/>
    <m/>
    <m/>
    <m/>
    <m/>
    <s v="SOLRECOUP"/>
    <s v="SOLRECOUP"/>
    <s v="POARECOUP"/>
    <n v="21333745"/>
    <n v="-33"/>
    <m/>
    <s v="Y"/>
    <n v="1"/>
    <d v="2023-07-05T19:42:28"/>
    <s v="N"/>
    <m/>
    <m/>
    <s v="Expert Disbursement"/>
    <m/>
    <s v="N"/>
    <n v="-33"/>
    <n v="0"/>
    <x v="6"/>
    <s v="VALIDATED"/>
    <n v="1"/>
    <s v="01.11.80.308.2013.0000"/>
    <n v="-33"/>
    <s v="11"/>
    <s v="2013"/>
    <n v="30324.13"/>
    <n v="-33"/>
    <s v="CREDITOR"/>
    <n v="0"/>
    <n v="0"/>
    <n v="-33"/>
    <n v="0"/>
    <n v="0"/>
  </r>
  <r>
    <n v="61748857"/>
    <s v="N"/>
    <n v="21333745"/>
    <s v="3000015829260002RC"/>
    <s v="CIVIL"/>
    <d v="2023-06-27T00:00:00"/>
    <d v="2023-07-05T19:42:28"/>
    <m/>
    <d v="2023-07-05T00:00:00"/>
    <n v="235"/>
    <n v="14241"/>
    <s v="61748857"/>
    <s v="61748857"/>
    <m/>
    <m/>
    <m/>
    <m/>
    <m/>
    <m/>
    <s v="SOLRECOUP"/>
    <s v="SOLRECOUP"/>
    <s v="POARECOUP"/>
    <n v="21333745"/>
    <n v="-33"/>
    <m/>
    <s v="Y"/>
    <n v="2"/>
    <d v="2023-07-05T19:42:28"/>
    <s v="N"/>
    <m/>
    <m/>
    <s v="Expert Disbursement"/>
    <m/>
    <s v="N"/>
    <n v="0"/>
    <n v="0"/>
    <x v="6"/>
    <s v="VALIDATED"/>
    <n v="1"/>
    <s v="01.11.80.000.0000.0000"/>
    <n v="0"/>
    <s v="11"/>
    <s v="0000"/>
    <n v="30324.13"/>
    <n v="0"/>
    <s v="CREDITOR"/>
    <n v="0"/>
    <n v="0"/>
    <n v="0"/>
    <n v="0"/>
    <n v="0"/>
  </r>
  <r>
    <n v="61326095"/>
    <s v="N"/>
    <n v="21333746"/>
    <s v="3000015479290001RC"/>
    <s v="CIVIL"/>
    <d v="2023-06-27T00:00:00"/>
    <d v="2023-07-05T19:42:28"/>
    <m/>
    <d v="2023-07-05T00:00:00"/>
    <n v="235"/>
    <n v="14241"/>
    <s v="61326095"/>
    <s v="61326095"/>
    <m/>
    <m/>
    <m/>
    <m/>
    <m/>
    <m/>
    <s v="SOLRECOUP"/>
    <s v="SOLRECOUP"/>
    <s v="POARECOUP"/>
    <n v="21333746"/>
    <n v="-291.6"/>
    <m/>
    <s v="Y"/>
    <n v="1"/>
    <d v="2023-07-05T19:42:28"/>
    <s v="N"/>
    <m/>
    <m/>
    <s v="Expert Disbursement"/>
    <m/>
    <s v="N"/>
    <n v="-243"/>
    <n v="0"/>
    <x v="6"/>
    <s v="VALIDATED"/>
    <n v="1"/>
    <s v="01.11.80.308.2013.0000"/>
    <n v="-243"/>
    <s v="11"/>
    <s v="2013"/>
    <n v="30324.13"/>
    <n v="-243"/>
    <s v="CREDITOR"/>
    <n v="0"/>
    <n v="0"/>
    <n v="-243"/>
    <n v="0"/>
    <n v="0"/>
  </r>
  <r>
    <n v="58616544"/>
    <s v="N"/>
    <n v="21343228"/>
    <s v="3000013739220002"/>
    <s v="CIVIL"/>
    <d v="2023-06-26T00:00:00"/>
    <d v="2023-07-07T19:03:00"/>
    <m/>
    <d v="2023-07-07T00:00:00"/>
    <n v="248"/>
    <n v="3002"/>
    <s v="58616544"/>
    <s v="58616544"/>
    <m/>
    <m/>
    <n v="22761408"/>
    <m/>
    <m/>
    <m/>
    <s v="SOLFIN"/>
    <s v="SOLFIN"/>
    <s v="CCMS"/>
    <n v="21343228"/>
    <n v="17802.31"/>
    <m/>
    <s v="N"/>
    <n v="42"/>
    <d v="2023-07-07T19:03:04"/>
    <s v="Y"/>
    <s v="Preparation - drafting bill/claim f"/>
    <s v="Care Remuneration Hourly Rates"/>
    <s v="Profit Cost"/>
    <s v="Eleni Habib"/>
    <s v="Y"/>
    <n v="10.51"/>
    <n v="2.1"/>
    <x v="9"/>
    <s v="VALIDATED"/>
    <n v="1"/>
    <s v="01.11.80.308.6100.0000"/>
    <n v="10.51"/>
    <s v="11"/>
    <s v="6100"/>
    <n v="17368.56"/>
    <n v="10.51"/>
    <s v="CREDITOR"/>
    <n v="0"/>
    <n v="0"/>
    <n v="0"/>
    <n v="0"/>
    <n v="10.51"/>
  </r>
  <r>
    <n v="58616544"/>
    <s v="N"/>
    <n v="21343228"/>
    <s v="3000013739220002"/>
    <s v="CIVIL"/>
    <d v="2023-06-26T00:00:00"/>
    <d v="2023-07-07T19:03:00"/>
    <m/>
    <d v="2023-07-07T00:00:00"/>
    <n v="248"/>
    <n v="3002"/>
    <s v="58616544"/>
    <s v="58616544"/>
    <m/>
    <m/>
    <n v="22761408"/>
    <m/>
    <m/>
    <m/>
    <s v="SOLFIN"/>
    <s v="SOLFIN"/>
    <s v="CCMS"/>
    <n v="21343228"/>
    <n v="17802.31"/>
    <m/>
    <s v="N"/>
    <n v="119"/>
    <d v="2023-07-07T19:03:04"/>
    <s v="Y"/>
    <s v="Hearing Unit 2.31 - 5.00 Hours"/>
    <s v="Public Law Children"/>
    <s v="Advocacy"/>
    <s v="Helen Worden"/>
    <s v="Y"/>
    <n v="476.92"/>
    <n v="95.39"/>
    <x v="9"/>
    <s v="VALIDATED"/>
    <n v="1"/>
    <s v="01.11.80.308.6100.0000"/>
    <n v="476.92"/>
    <s v="11"/>
    <s v="6100"/>
    <n v="17368.56"/>
    <n v="476.92"/>
    <s v="CREDITOR"/>
    <n v="0"/>
    <n v="0"/>
    <n v="0"/>
    <n v="0"/>
    <n v="476.92"/>
  </r>
  <r>
    <n v="58616544"/>
    <s v="N"/>
    <n v="21343228"/>
    <s v="3000013739220002"/>
    <s v="CIVIL"/>
    <d v="2023-06-26T00:00:00"/>
    <d v="2023-07-07T19:03:00"/>
    <m/>
    <d v="2023-07-07T00:00:00"/>
    <n v="248"/>
    <n v="3002"/>
    <s v="58616544"/>
    <s v="58616544"/>
    <m/>
    <m/>
    <n v="22761408"/>
    <m/>
    <m/>
    <m/>
    <s v="SOLFIN"/>
    <s v="SOLFIN"/>
    <s v="CCMS"/>
    <n v="21343228"/>
    <n v="17802.31"/>
    <m/>
    <s v="N"/>
    <n v="106"/>
    <d v="2023-07-07T19:03:04"/>
    <s v="Y"/>
    <s v="Preparation - other"/>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68"/>
    <d v="2023-07-07T19:03:04"/>
    <s v="Y"/>
    <s v="Preparation - other"/>
    <s v="Care Remuneration Hourly Rates"/>
    <s v="Profit Cost"/>
    <s v="Helen Worden"/>
    <s v="Y"/>
    <n v="59.14"/>
    <n v="11.83"/>
    <x v="9"/>
    <s v="VALIDATED"/>
    <n v="1"/>
    <s v="01.11.80.308.6100.0000"/>
    <n v="59.14"/>
    <s v="11"/>
    <s v="6100"/>
    <n v="17368.56"/>
    <n v="59.14"/>
    <s v="CREDITOR"/>
    <n v="0"/>
    <n v="0"/>
    <n v="0"/>
    <n v="0"/>
    <n v="59.14"/>
  </r>
  <r>
    <n v="58616544"/>
    <s v="N"/>
    <n v="21343228"/>
    <s v="3000013739220002"/>
    <s v="CIVIL"/>
    <d v="2023-06-26T00:00:00"/>
    <d v="2023-07-07T19:03:00"/>
    <m/>
    <d v="2023-07-07T00:00:00"/>
    <n v="248"/>
    <n v="3002"/>
    <s v="58616544"/>
    <s v="58616544"/>
    <m/>
    <m/>
    <n v="22761408"/>
    <m/>
    <m/>
    <m/>
    <s v="SOLFIN"/>
    <s v="SOLFIN"/>
    <s v="CCMS"/>
    <n v="21343228"/>
    <n v="17802.31"/>
    <m/>
    <s v="N"/>
    <n v="103"/>
    <d v="2023-07-07T19:03:04"/>
    <s v="Y"/>
    <s v="Preparation - other"/>
    <s v="Care Remuneration Hourly Rates"/>
    <s v="Profit Cost"/>
    <s v="Helen Worden"/>
    <s v="Y"/>
    <n v="78.84999999999999"/>
    <n v="15.77"/>
    <x v="9"/>
    <s v="VALIDATED"/>
    <n v="1"/>
    <s v="01.11.80.308.6100.0000"/>
    <n v="78.84999999999999"/>
    <s v="11"/>
    <s v="6100"/>
    <n v="17368.56"/>
    <n v="78.84999999999999"/>
    <s v="CREDITOR"/>
    <n v="0"/>
    <n v="0"/>
    <n v="0"/>
    <n v="0"/>
    <n v="78.84999999999999"/>
  </r>
  <r>
    <n v="58616544"/>
    <s v="N"/>
    <n v="21343228"/>
    <s v="3000013739220002"/>
    <s v="CIVIL"/>
    <d v="2023-06-26T00:00:00"/>
    <d v="2023-07-07T19:03:00"/>
    <m/>
    <d v="2023-07-07T00:00:00"/>
    <n v="248"/>
    <n v="3002"/>
    <s v="58616544"/>
    <s v="58616544"/>
    <m/>
    <m/>
    <n v="22761408"/>
    <m/>
    <m/>
    <m/>
    <s v="SOLFIN"/>
    <s v="SOLFIN"/>
    <s v="CCMS"/>
    <n v="21343228"/>
    <n v="17802.31"/>
    <m/>
    <s v="N"/>
    <n v="35"/>
    <d v="2023-07-07T19:03:04"/>
    <s v="Y"/>
    <s v="Preparation - drafting statement"/>
    <s v="Care Remuneration Hourly Rates"/>
    <s v="Profit Cost"/>
    <s v="Helen Worden"/>
    <s v="Y"/>
    <n v="6.05"/>
    <n v="1.21"/>
    <x v="9"/>
    <s v="VALIDATED"/>
    <n v="1"/>
    <s v="01.11.80.308.6100.0000"/>
    <n v="6.05"/>
    <s v="11"/>
    <s v="6100"/>
    <n v="17368.56"/>
    <n v="6.05"/>
    <s v="CREDITOR"/>
    <n v="0"/>
    <n v="0"/>
    <n v="0"/>
    <n v="0"/>
    <n v="6.05"/>
  </r>
  <r>
    <n v="58616544"/>
    <s v="N"/>
    <n v="21343228"/>
    <s v="3000013739220002"/>
    <s v="CIVIL"/>
    <d v="2023-06-26T00:00:00"/>
    <d v="2023-07-07T19:03:00"/>
    <m/>
    <d v="2023-07-07T00:00:00"/>
    <n v="248"/>
    <n v="3002"/>
    <s v="58616544"/>
    <s v="58616544"/>
    <m/>
    <m/>
    <n v="22761408"/>
    <m/>
    <m/>
    <m/>
    <s v="SOLFIN"/>
    <s v="SOLFIN"/>
    <s v="CCMS"/>
    <n v="21343228"/>
    <n v="17802.31"/>
    <m/>
    <s v="N"/>
    <n v="121"/>
    <d v="2023-07-07T19:03:04"/>
    <s v="Y"/>
    <s v="Hearing Unit 2.31 - 5.00 Hours"/>
    <s v="Public Law Children"/>
    <s v="Advocacy"/>
    <s v="Helen Worden"/>
    <s v="Y"/>
    <n v="476.92"/>
    <n v="95.39"/>
    <x v="9"/>
    <s v="VALIDATED"/>
    <n v="1"/>
    <s v="01.11.80.308.6100.0000"/>
    <n v="476.92"/>
    <s v="11"/>
    <s v="6100"/>
    <n v="17368.56"/>
    <n v="476.92"/>
    <s v="CREDITOR"/>
    <n v="0"/>
    <n v="0"/>
    <n v="0"/>
    <n v="0"/>
    <n v="476.92"/>
  </r>
  <r>
    <n v="59471038"/>
    <s v="N"/>
    <n v="21339870"/>
    <s v="3000013907740004RC"/>
    <s v="CIVIL"/>
    <d v="2023-06-28T00:00:00"/>
    <d v="2023-07-06T19:54:22"/>
    <m/>
    <d v="2023-07-06T00:00:00"/>
    <n v="248"/>
    <n v="3002"/>
    <s v="59471038"/>
    <s v="59471038"/>
    <m/>
    <m/>
    <m/>
    <m/>
    <m/>
    <m/>
    <s v="SOLRECOUP"/>
    <s v="SOLRECOUP"/>
    <s v="POARECOUP"/>
    <n v="21339870"/>
    <n v="-25.99"/>
    <m/>
    <s v="Y"/>
    <n v="1"/>
    <d v="2023-07-06T19:54:22"/>
    <s v="N"/>
    <m/>
    <m/>
    <s v="Expert Disbursement"/>
    <m/>
    <s v="N"/>
    <n v="-21.66"/>
    <n v="0"/>
    <x v="4"/>
    <s v="VALIDATED"/>
    <n v="1"/>
    <s v="01.11.80.308.2013.0000"/>
    <n v="-21.66"/>
    <s v="11"/>
    <s v="2013"/>
    <n v="17368.56"/>
    <n v="-21.66"/>
    <s v="CREDITOR"/>
    <n v="0"/>
    <n v="0"/>
    <n v="-21.66"/>
    <n v="0"/>
    <n v="0"/>
  </r>
  <r>
    <n v="59471038"/>
    <s v="N"/>
    <n v="21339870"/>
    <s v="3000013907740004RC"/>
    <s v="CIVIL"/>
    <d v="2023-06-28T00:00:00"/>
    <d v="2023-07-06T19:54:22"/>
    <m/>
    <d v="2023-07-06T00:00:00"/>
    <n v="248"/>
    <n v="3002"/>
    <s v="59471038"/>
    <s v="59471038"/>
    <m/>
    <m/>
    <m/>
    <m/>
    <m/>
    <m/>
    <s v="SOLRECOUP"/>
    <s v="SOLRECOUP"/>
    <s v="POARECOUP"/>
    <n v="21339870"/>
    <n v="-25.99"/>
    <m/>
    <s v="Y"/>
    <n v="2"/>
    <d v="2023-07-06T19:54:22"/>
    <s v="N"/>
    <m/>
    <m/>
    <s v="Expert Disbursement"/>
    <m/>
    <s v="N"/>
    <n v="0"/>
    <n v="-4.33"/>
    <x v="4"/>
    <s v="VALIDATED"/>
    <n v="1"/>
    <s v="01.11.80.308.2013.0000"/>
    <n v="-4.33"/>
    <s v="11"/>
    <s v="2013"/>
    <n v="17368.56"/>
    <n v="-4.33"/>
    <s v="CREDITOR"/>
    <n v="0"/>
    <n v="0"/>
    <n v="-4.33"/>
    <n v="0"/>
    <n v="0"/>
  </r>
  <r>
    <n v="59471038"/>
    <s v="N"/>
    <n v="21339871"/>
    <s v="3000013907740006RC"/>
    <s v="CIVIL"/>
    <d v="2023-06-28T00:00:00"/>
    <d v="2023-07-06T19:54:22"/>
    <m/>
    <d v="2023-07-06T00:00:00"/>
    <n v="248"/>
    <n v="3002"/>
    <s v="59471038"/>
    <s v="59471038"/>
    <m/>
    <m/>
    <m/>
    <m/>
    <m/>
    <m/>
    <s v="SOLRECOUP"/>
    <s v="SOLRECOUP"/>
    <s v="POARECOUP"/>
    <n v="21339871"/>
    <n v="-774.7"/>
    <m/>
    <s v="Y"/>
    <n v="1"/>
    <d v="2023-07-06T19:54:22"/>
    <s v="N"/>
    <m/>
    <m/>
    <s v="Expert Disbursement"/>
    <m/>
    <s v="N"/>
    <n v="-645.58"/>
    <n v="0"/>
    <x v="4"/>
    <s v="VALIDATED"/>
    <n v="1"/>
    <s v="01.11.80.308.2013.0000"/>
    <n v="-645.58"/>
    <s v="11"/>
    <s v="2013"/>
    <n v="17368.56"/>
    <n v="-645.58"/>
    <s v="CREDITOR"/>
    <n v="0"/>
    <n v="0"/>
    <n v="-645.58"/>
    <n v="0"/>
    <n v="0"/>
  </r>
  <r>
    <n v="59471038"/>
    <s v="N"/>
    <n v="21339871"/>
    <s v="3000013907740006RC"/>
    <s v="CIVIL"/>
    <d v="2023-06-28T00:00:00"/>
    <d v="2023-07-06T19:54:22"/>
    <m/>
    <d v="2023-07-06T00:00:00"/>
    <n v="248"/>
    <n v="3002"/>
    <s v="59471038"/>
    <s v="59471038"/>
    <m/>
    <m/>
    <m/>
    <m/>
    <m/>
    <m/>
    <s v="SOLRECOUP"/>
    <s v="SOLRECOUP"/>
    <s v="POARECOUP"/>
    <n v="21339871"/>
    <n v="-774.7"/>
    <m/>
    <s v="Y"/>
    <n v="2"/>
    <d v="2023-07-06T19:54:22"/>
    <s v="N"/>
    <m/>
    <m/>
    <s v="Expert Disbursement"/>
    <m/>
    <s v="N"/>
    <n v="0"/>
    <n v="-129.12"/>
    <x v="4"/>
    <s v="VALIDATED"/>
    <n v="1"/>
    <s v="01.11.80.308.2013.0000"/>
    <n v="-129.12"/>
    <s v="11"/>
    <s v="2013"/>
    <n v="17368.56"/>
    <n v="-129.12"/>
    <s v="CREDITOR"/>
    <n v="0"/>
    <n v="0"/>
    <n v="-129.12"/>
    <n v="0"/>
    <n v="0"/>
  </r>
  <r>
    <n v="61414114"/>
    <s v="N"/>
    <n v="21339872"/>
    <s v="3000015554600004RC"/>
    <s v="CIVIL"/>
    <d v="2023-06-28T00:00:00"/>
    <d v="2023-07-06T19:54:22"/>
    <m/>
    <d v="2023-07-06T00:00:00"/>
    <n v="248"/>
    <n v="3002"/>
    <s v="61414114"/>
    <s v="61414114"/>
    <m/>
    <m/>
    <m/>
    <m/>
    <m/>
    <m/>
    <s v="SOLRECOUP"/>
    <s v="SOLRECOUP"/>
    <s v="POARECOUP"/>
    <n v="21339872"/>
    <n v="-688.7"/>
    <m/>
    <s v="Y"/>
    <n v="1"/>
    <d v="2023-07-06T19:54:22"/>
    <s v="N"/>
    <m/>
    <m/>
    <s v="Expert Disbursement"/>
    <m/>
    <s v="N"/>
    <n v="-573.92"/>
    <n v="0"/>
    <x v="4"/>
    <s v="VALIDATED"/>
    <n v="1"/>
    <s v="01.11.80.308.2013.0000"/>
    <n v="-573.92"/>
    <s v="11"/>
    <s v="2013"/>
    <n v="17368.56"/>
    <n v="-573.92"/>
    <s v="CREDITOR"/>
    <n v="0"/>
    <n v="0"/>
    <n v="-573.92"/>
    <n v="0"/>
    <n v="0"/>
  </r>
  <r>
    <n v="61414114"/>
    <s v="N"/>
    <n v="21339872"/>
    <s v="3000015554600004RC"/>
    <s v="CIVIL"/>
    <d v="2023-06-28T00:00:00"/>
    <d v="2023-07-06T19:54:22"/>
    <m/>
    <d v="2023-07-06T00:00:00"/>
    <n v="248"/>
    <n v="3002"/>
    <s v="61414114"/>
    <s v="61414114"/>
    <m/>
    <m/>
    <m/>
    <m/>
    <m/>
    <m/>
    <s v="SOLRECOUP"/>
    <s v="SOLRECOUP"/>
    <s v="POARECOUP"/>
    <n v="21339872"/>
    <n v="-688.7"/>
    <m/>
    <s v="Y"/>
    <n v="2"/>
    <d v="2023-07-06T19:54:22"/>
    <s v="N"/>
    <m/>
    <m/>
    <s v="Expert Disbursement"/>
    <m/>
    <s v="N"/>
    <n v="0"/>
    <n v="-114.78"/>
    <x v="4"/>
    <s v="VALIDATED"/>
    <n v="1"/>
    <s v="01.11.80.308.2013.0000"/>
    <n v="-114.78"/>
    <s v="11"/>
    <s v="2013"/>
    <n v="17368.56"/>
    <n v="-114.78"/>
    <s v="CREDITOR"/>
    <n v="0"/>
    <n v="0"/>
    <n v="-114.78"/>
    <n v="0"/>
    <n v="0"/>
  </r>
  <r>
    <n v="58616544"/>
    <s v="N"/>
    <n v="21346262"/>
    <s v="3000013739220001RC"/>
    <s v="CIVIL"/>
    <d v="2023-06-26T00:00:00"/>
    <d v="2023-07-07T19:34:21"/>
    <m/>
    <d v="2023-07-07T00:00:00"/>
    <n v="248"/>
    <n v="3002"/>
    <s v="58616544"/>
    <s v="58616544"/>
    <m/>
    <m/>
    <m/>
    <m/>
    <m/>
    <m/>
    <s v="SOLRECOUP"/>
    <s v="SOLRECOUP"/>
    <s v="POARECOUP"/>
    <n v="21346262"/>
    <n v="-2144.02"/>
    <m/>
    <s v="Y"/>
    <n v="1"/>
    <d v="2023-07-07T19:34:22"/>
    <s v="N"/>
    <m/>
    <m/>
    <s v="Expert Disbursement"/>
    <m/>
    <s v="N"/>
    <n v="-1786.68"/>
    <n v="0"/>
    <x v="9"/>
    <s v="VALIDATED"/>
    <n v="1"/>
    <s v="01.11.80.308.2013.0000"/>
    <n v="-1786.68"/>
    <s v="11"/>
    <s v="2013"/>
    <n v="17368.56"/>
    <n v="-1786.68"/>
    <s v="CREDITOR"/>
    <n v="0"/>
    <n v="0"/>
    <n v="-1786.68"/>
    <n v="0"/>
    <n v="0"/>
  </r>
  <r>
    <n v="58616544"/>
    <s v="N"/>
    <n v="21346262"/>
    <s v="3000013739220001RC"/>
    <s v="CIVIL"/>
    <d v="2023-06-26T00:00:00"/>
    <d v="2023-07-07T19:34:21"/>
    <m/>
    <d v="2023-07-07T00:00:00"/>
    <n v="248"/>
    <n v="3002"/>
    <s v="58616544"/>
    <s v="58616544"/>
    <m/>
    <m/>
    <m/>
    <m/>
    <m/>
    <m/>
    <s v="SOLRECOUP"/>
    <s v="SOLRECOUP"/>
    <s v="POARECOUP"/>
    <n v="21346262"/>
    <n v="-2144.02"/>
    <m/>
    <s v="Y"/>
    <n v="2"/>
    <d v="2023-07-07T19:34:22"/>
    <s v="N"/>
    <m/>
    <m/>
    <s v="Expert Disbursement"/>
    <m/>
    <s v="N"/>
    <n v="0"/>
    <n v="-357.34"/>
    <x v="9"/>
    <s v="VALIDATED"/>
    <n v="1"/>
    <s v="01.11.80.308.2013.0000"/>
    <n v="-357.34"/>
    <s v="11"/>
    <s v="2013"/>
    <n v="17368.56"/>
    <n v="-357.34"/>
    <s v="CREDITOR"/>
    <n v="0"/>
    <n v="0"/>
    <n v="-357.34"/>
    <n v="0"/>
    <n v="0"/>
  </r>
  <r>
    <n v="58616544"/>
    <s v="N"/>
    <n v="21343228"/>
    <s v="3000013739220002"/>
    <s v="CIVIL"/>
    <d v="2023-06-26T00:00:00"/>
    <d v="2023-07-07T19:03:00"/>
    <m/>
    <d v="2023-07-07T00:00:00"/>
    <n v="248"/>
    <n v="3002"/>
    <s v="58616544"/>
    <s v="58616544"/>
    <m/>
    <m/>
    <n v="22761408"/>
    <m/>
    <m/>
    <m/>
    <s v="SOLFIN"/>
    <s v="SOLFIN"/>
    <s v="CCMS"/>
    <n v="21343228"/>
    <n v="17802.31"/>
    <m/>
    <s v="N"/>
    <n v="96"/>
    <d v="2023-07-07T19:03:04"/>
    <s v="Y"/>
    <s v="Report - Medical repor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26"/>
    <d v="2023-07-07T19:03:04"/>
    <s v="Y"/>
    <s v="Preparation - drafting statem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29"/>
    <d v="2023-07-07T19:03:04"/>
    <s v="Y"/>
    <s v="Preparation - other"/>
    <s v="Care Remuneration Hourly Rates"/>
    <s v="Profit Cost"/>
    <s v="Bisma Hussain"/>
    <s v="Y"/>
    <n v="10.51"/>
    <n v="2.1"/>
    <x v="9"/>
    <s v="VALIDATED"/>
    <n v="1"/>
    <s v="01.11.80.308.6100.0000"/>
    <n v="10.51"/>
    <s v="11"/>
    <s v="6100"/>
    <n v="17368.56"/>
    <n v="10.51"/>
    <s v="CREDITOR"/>
    <n v="0"/>
    <n v="0"/>
    <n v="0"/>
    <n v="0"/>
    <n v="10.51"/>
  </r>
  <r>
    <n v="58616544"/>
    <s v="N"/>
    <n v="21343228"/>
    <s v="3000013739220002"/>
    <s v="CIVIL"/>
    <d v="2023-06-26T00:00:00"/>
    <d v="2023-07-07T19:03:00"/>
    <m/>
    <d v="2023-07-07T00:00:00"/>
    <n v="248"/>
    <n v="3002"/>
    <s v="58616544"/>
    <s v="58616544"/>
    <m/>
    <m/>
    <n v="22761408"/>
    <m/>
    <m/>
    <m/>
    <s v="SOLFIN"/>
    <s v="SOLFIN"/>
    <s v="CCMS"/>
    <n v="21343228"/>
    <n v="17802.31"/>
    <m/>
    <s v="N"/>
    <n v="80"/>
    <d v="2023-07-07T19:03:04"/>
    <s v="Y"/>
    <s v="Attendance upon cli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124"/>
    <d v="2023-07-07T19:03:04"/>
    <s v="Y"/>
    <s v="Hearing Unit 2.31 - 5.00 Hours"/>
    <s v="Public Law Children"/>
    <s v="Advocacy"/>
    <s v="Helen Worden"/>
    <s v="Y"/>
    <n v="476.92"/>
    <n v="95.39"/>
    <x v="9"/>
    <s v="VALIDATED"/>
    <n v="1"/>
    <s v="01.11.80.308.6100.0000"/>
    <n v="476.92"/>
    <s v="11"/>
    <s v="6100"/>
    <n v="17368.56"/>
    <n v="476.92"/>
    <s v="CREDITOR"/>
    <n v="0"/>
    <n v="0"/>
    <n v="0"/>
    <n v="0"/>
    <n v="476.92"/>
  </r>
  <r>
    <n v="58616544"/>
    <s v="N"/>
    <n v="21343228"/>
    <s v="3000013739220002"/>
    <s v="CIVIL"/>
    <d v="2023-06-26T00:00:00"/>
    <d v="2023-07-07T19:03:00"/>
    <m/>
    <d v="2023-07-07T00:00:00"/>
    <n v="248"/>
    <n v="3002"/>
    <s v="58616544"/>
    <s v="58616544"/>
    <m/>
    <m/>
    <n v="22761408"/>
    <m/>
    <m/>
    <m/>
    <s v="SOLFIN"/>
    <s v="SOLFIN"/>
    <s v="CCMS"/>
    <n v="21343228"/>
    <n v="17802.31"/>
    <m/>
    <s v="N"/>
    <n v="87"/>
    <d v="2023-07-07T19:03:04"/>
    <s v="Y"/>
    <s v="Attendance upon cli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95"/>
    <d v="2023-07-07T19:03:04"/>
    <s v="Y"/>
    <s v="Report - Welfare report"/>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33"/>
    <d v="2023-07-07T19:03:04"/>
    <s v="Y"/>
    <s v="Preparation - other"/>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13"/>
    <d v="2023-07-07T19:03:04"/>
    <s v="Y"/>
    <s v="Hearing Unit 1.01 - 2.30 Hours"/>
    <s v="Public Law Children"/>
    <s v="Advocacy"/>
    <s v="Kim Wintle"/>
    <s v="Y"/>
    <n v="238.46"/>
    <n v="47.69"/>
    <x v="9"/>
    <s v="VALIDATED"/>
    <n v="1"/>
    <s v="01.11.80.308.6100.0000"/>
    <n v="238.46"/>
    <s v="11"/>
    <s v="6100"/>
    <n v="17368.56"/>
    <n v="238.46"/>
    <s v="CREDITOR"/>
    <n v="0"/>
    <n v="0"/>
    <n v="0"/>
    <n v="0"/>
    <n v="238.46"/>
  </r>
  <r>
    <n v="58616544"/>
    <s v="N"/>
    <n v="21343228"/>
    <s v="3000013739220002"/>
    <s v="CIVIL"/>
    <d v="2023-06-26T00:00:00"/>
    <d v="2023-07-07T19:03:00"/>
    <m/>
    <d v="2023-07-07T00:00:00"/>
    <n v="248"/>
    <n v="3002"/>
    <s v="58616544"/>
    <s v="58616544"/>
    <m/>
    <m/>
    <n v="22761408"/>
    <m/>
    <m/>
    <m/>
    <s v="SOLFIN"/>
    <s v="SOLFIN"/>
    <s v="CCMS"/>
    <n v="21343228"/>
    <n v="17802.31"/>
    <m/>
    <s v="N"/>
    <n v="97"/>
    <d v="2023-07-07T19:03:04"/>
    <s v="Y"/>
    <s v="Preparation - other"/>
    <s v="Care Remuneration Hourly Rates"/>
    <s v="Profit Cost"/>
    <s v="Helen Worden"/>
    <s v="Y"/>
    <n v="65.70999999999999"/>
    <n v="13.14"/>
    <x v="9"/>
    <s v="VALIDATED"/>
    <n v="1"/>
    <s v="01.11.80.308.6100.0000"/>
    <n v="65.70999999999999"/>
    <s v="11"/>
    <s v="6100"/>
    <n v="17368.56"/>
    <n v="65.70999999999999"/>
    <s v="CREDITOR"/>
    <n v="0"/>
    <n v="0"/>
    <n v="0"/>
    <n v="0"/>
    <n v="65.70999999999999"/>
  </r>
  <r>
    <n v="58616544"/>
    <s v="N"/>
    <n v="21343228"/>
    <s v="3000013739220002"/>
    <s v="CIVIL"/>
    <d v="2023-06-26T00:00:00"/>
    <d v="2023-07-07T19:03:00"/>
    <m/>
    <d v="2023-07-07T00:00:00"/>
    <n v="248"/>
    <n v="3002"/>
    <s v="58616544"/>
    <s v="58616544"/>
    <m/>
    <m/>
    <n v="22761408"/>
    <m/>
    <m/>
    <m/>
    <s v="SOLFIN"/>
    <s v="SOLFIN"/>
    <s v="CCMS"/>
    <n v="21343228"/>
    <n v="17802.31"/>
    <m/>
    <s v="N"/>
    <n v="110"/>
    <d v="2023-07-07T19:03:04"/>
    <s v="Y"/>
    <s v="Preparation - drafting application"/>
    <s v="Care Remuneration Hourly Rates"/>
    <s v="Profit Cost"/>
    <s v="Helen Worden"/>
    <s v="Y"/>
    <n v="52.58"/>
    <n v="10.52"/>
    <x v="9"/>
    <s v="VALIDATED"/>
    <n v="1"/>
    <s v="01.11.80.308.6100.0000"/>
    <n v="52.58"/>
    <s v="11"/>
    <s v="6100"/>
    <n v="17368.56"/>
    <n v="52.58"/>
    <s v="CREDITOR"/>
    <n v="0"/>
    <n v="0"/>
    <n v="0"/>
    <n v="0"/>
    <n v="52.58"/>
  </r>
  <r>
    <n v="58616544"/>
    <s v="N"/>
    <n v="21343228"/>
    <s v="3000013739220002"/>
    <s v="CIVIL"/>
    <d v="2023-06-26T00:00:00"/>
    <d v="2023-07-07T19:03:00"/>
    <m/>
    <d v="2023-07-07T00:00:00"/>
    <n v="248"/>
    <n v="3002"/>
    <s v="58616544"/>
    <s v="58616544"/>
    <m/>
    <m/>
    <n v="22761408"/>
    <m/>
    <m/>
    <m/>
    <s v="SOLFIN"/>
    <s v="SOLFIN"/>
    <s v="CCMS"/>
    <n v="21343228"/>
    <n v="17802.31"/>
    <m/>
    <s v="N"/>
    <n v="128"/>
    <d v="2023-07-07T19:03:04"/>
    <s v="N"/>
    <s v="Solicitors Fixed Fee"/>
    <s v="Public Law Children"/>
    <s v="Profit Cost"/>
    <s v="Helen Worden"/>
    <s v="N"/>
    <n v="0"/>
    <n v="0"/>
    <x v="9"/>
    <s v="VALIDATED"/>
    <n v="1"/>
    <s v="01.11.80.308.6100.0000"/>
    <n v="0"/>
    <s v="11"/>
    <s v="6100"/>
    <n v="17368.56"/>
    <n v="0"/>
    <s v="CREDITOR"/>
    <n v="0"/>
    <n v="0"/>
    <n v="0"/>
    <n v="0"/>
    <n v="0"/>
  </r>
  <r>
    <n v="58616544"/>
    <s v="N"/>
    <n v="21343228"/>
    <s v="3000013739220002"/>
    <s v="CIVIL"/>
    <d v="2023-06-26T00:00:00"/>
    <d v="2023-07-07T19:03:00"/>
    <m/>
    <d v="2023-07-07T00:00:00"/>
    <n v="248"/>
    <n v="3002"/>
    <s v="58616544"/>
    <s v="58616544"/>
    <m/>
    <m/>
    <n v="22761408"/>
    <m/>
    <m/>
    <m/>
    <s v="SOLFIN"/>
    <s v="SOLFIN"/>
    <s v="CCMS"/>
    <n v="21343228"/>
    <n v="17802.31"/>
    <m/>
    <s v="N"/>
    <n v="63"/>
    <d v="2023-07-07T19:03:04"/>
    <s v="Y"/>
    <s v="Preparation - drafting agreement/se"/>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4"/>
    <d v="2023-07-07T19:03:04"/>
    <s v="Y"/>
    <s v="Child psychologist"/>
    <s v="Care Remuneration Hourly Rates"/>
    <s v="Expert Disbursement"/>
    <s v="Dr Latif"/>
    <s v="Y"/>
    <n v="1786.68"/>
    <n v="357.27"/>
    <x v="9"/>
    <s v="VALIDATED"/>
    <n v="1"/>
    <s v="01.11.80.308.6300.0000"/>
    <n v="1786.68"/>
    <s v="11"/>
    <s v="6300"/>
    <n v="17368.56"/>
    <n v="1786.68"/>
    <s v="CREDITOR"/>
    <n v="0"/>
    <n v="0"/>
    <n v="0"/>
    <n v="0"/>
    <n v="1786.68"/>
  </r>
  <r>
    <n v="58616544"/>
    <s v="N"/>
    <n v="21343228"/>
    <s v="3000013739220002"/>
    <s v="CIVIL"/>
    <d v="2023-06-26T00:00:00"/>
    <d v="2023-07-07T19:03:00"/>
    <m/>
    <d v="2023-07-07T00:00:00"/>
    <n v="248"/>
    <n v="3002"/>
    <s v="58616544"/>
    <s v="58616544"/>
    <m/>
    <m/>
    <n v="22761408"/>
    <m/>
    <m/>
    <m/>
    <s v="SOLFIN"/>
    <s v="SOLFIN"/>
    <s v="CCMS"/>
    <n v="21343228"/>
    <n v="17802.31"/>
    <m/>
    <s v="N"/>
    <n v="17"/>
    <d v="2023-07-07T19:03:04"/>
    <s v="Y"/>
    <s v="Preparation - drafting pleadings"/>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127"/>
    <d v="2023-07-07T19:03:04"/>
    <s v="Y"/>
    <s v="Hearing Unit 2.31 - 5.00 Hours"/>
    <s v="Public Law Children"/>
    <s v="Advocacy"/>
    <s v="Alexandra Pruvost"/>
    <s v="Y"/>
    <n v="476.92"/>
    <n v="95.39"/>
    <x v="9"/>
    <s v="VALIDATED"/>
    <n v="1"/>
    <s v="01.11.80.308.6100.0000"/>
    <n v="476.92"/>
    <s v="11"/>
    <s v="6100"/>
    <n v="17368.56"/>
    <n v="476.92"/>
    <s v="CREDITOR"/>
    <n v="0"/>
    <n v="0"/>
    <n v="0"/>
    <n v="0"/>
    <n v="476.92"/>
  </r>
  <r>
    <n v="58616544"/>
    <s v="N"/>
    <n v="21343228"/>
    <s v="3000013739220002"/>
    <s v="CIVIL"/>
    <d v="2023-06-26T00:00:00"/>
    <d v="2023-07-07T19:03:00"/>
    <m/>
    <d v="2023-07-07T00:00:00"/>
    <n v="248"/>
    <n v="3002"/>
    <s v="58616544"/>
    <s v="58616544"/>
    <m/>
    <m/>
    <n v="22761408"/>
    <m/>
    <m/>
    <m/>
    <s v="SOLFIN"/>
    <s v="SOLFIN"/>
    <s v="CCMS"/>
    <n v="21343228"/>
    <n v="17802.31"/>
    <m/>
    <s v="N"/>
    <n v="67"/>
    <d v="2023-07-07T19:03:04"/>
    <s v="Y"/>
    <s v="Preparation - other"/>
    <s v="Care Remuneration Hourly Rates"/>
    <s v="Profit Cost"/>
    <s v="Helen Worden"/>
    <s v="Y"/>
    <n v="72.29000000000001"/>
    <n v="14.46"/>
    <x v="9"/>
    <s v="VALIDATED"/>
    <n v="1"/>
    <s v="01.11.80.308.6100.0000"/>
    <n v="72.29000000000001"/>
    <s v="11"/>
    <s v="6100"/>
    <n v="17368.56"/>
    <n v="72.29000000000001"/>
    <s v="CREDITOR"/>
    <n v="0"/>
    <n v="0"/>
    <n v="0"/>
    <n v="0"/>
    <n v="72.29000000000001"/>
  </r>
  <r>
    <n v="58616544"/>
    <s v="N"/>
    <n v="21343228"/>
    <s v="3000013739220002"/>
    <s v="CIVIL"/>
    <d v="2023-06-26T00:00:00"/>
    <d v="2023-07-07T19:03:00"/>
    <m/>
    <d v="2023-07-07T00:00:00"/>
    <n v="248"/>
    <n v="3002"/>
    <s v="58616544"/>
    <s v="58616544"/>
    <m/>
    <m/>
    <n v="22761408"/>
    <m/>
    <m/>
    <m/>
    <s v="SOLFIN"/>
    <s v="SOLFIN"/>
    <s v="CCMS"/>
    <n v="21343228"/>
    <n v="17802.31"/>
    <m/>
    <s v="N"/>
    <n v="11"/>
    <d v="2023-07-07T19:03:04"/>
    <s v="Y"/>
    <s v="Preparation - other"/>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4"/>
    <d v="2023-07-07T19:03:04"/>
    <s v="Y"/>
    <s v="Preparation - other"/>
    <s v="Care Remuneration Hourly Rates"/>
    <s v="Profit Cost"/>
    <s v="Helen Worden"/>
    <s v="Y"/>
    <n v="39.43"/>
    <n v="7.89"/>
    <x v="9"/>
    <s v="VALIDATED"/>
    <n v="1"/>
    <s v="01.11.80.308.6100.0000"/>
    <n v="39.43"/>
    <s v="11"/>
    <s v="6100"/>
    <n v="17368.56"/>
    <n v="39.43"/>
    <s v="CREDITOR"/>
    <n v="0"/>
    <n v="0"/>
    <n v="0"/>
    <n v="0"/>
    <n v="39.43"/>
  </r>
  <r>
    <n v="58616544"/>
    <s v="N"/>
    <n v="21343228"/>
    <s v="3000013739220002"/>
    <s v="CIVIL"/>
    <d v="2023-06-26T00:00:00"/>
    <d v="2023-07-07T19:03:00"/>
    <m/>
    <d v="2023-07-07T00:00:00"/>
    <n v="248"/>
    <n v="3002"/>
    <s v="58616544"/>
    <s v="58616544"/>
    <m/>
    <m/>
    <n v="22761408"/>
    <m/>
    <m/>
    <m/>
    <s v="SOLFIN"/>
    <s v="SOLFIN"/>
    <s v="CCMS"/>
    <n v="21343228"/>
    <n v="17802.31"/>
    <m/>
    <s v="N"/>
    <n v="58"/>
    <d v="2023-07-07T19:03:04"/>
    <s v="Y"/>
    <s v="Attendance upon client"/>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100"/>
    <d v="2023-07-07T19:03:04"/>
    <s v="Y"/>
    <s v="Preparation - drafting pleadings"/>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54"/>
    <d v="2023-07-07T19:03:04"/>
    <s v="Y"/>
    <s v="Routine Letter In"/>
    <s v="Care Remuneration Hourly Rates"/>
    <s v="Profit Cost"/>
    <s v="Helen Worden"/>
    <s v="Y"/>
    <n v="1719.02"/>
    <n v="343.81"/>
    <x v="9"/>
    <s v="VALIDATED"/>
    <n v="1"/>
    <s v="01.11.80.308.6100.0000"/>
    <n v="1719.02"/>
    <s v="11"/>
    <s v="6100"/>
    <n v="17368.56"/>
    <n v="1719.02"/>
    <s v="CREDITOR"/>
    <n v="0"/>
    <n v="0"/>
    <n v="0"/>
    <n v="0"/>
    <n v="1719.02"/>
  </r>
  <r>
    <n v="58616544"/>
    <s v="N"/>
    <n v="21343228"/>
    <s v="3000013739220002"/>
    <s v="CIVIL"/>
    <d v="2023-06-26T00:00:00"/>
    <d v="2023-07-07T19:03:00"/>
    <m/>
    <d v="2023-07-07T00:00:00"/>
    <n v="248"/>
    <n v="3002"/>
    <s v="58616544"/>
    <s v="58616544"/>
    <m/>
    <m/>
    <n v="22761408"/>
    <m/>
    <m/>
    <m/>
    <s v="SOLFIN"/>
    <s v="SOLFIN"/>
    <s v="CCMS"/>
    <n v="21343228"/>
    <n v="17802.31"/>
    <m/>
    <s v="N"/>
    <n v="6"/>
    <d v="2023-07-07T19:03:04"/>
    <s v="Y"/>
    <s v="Preparation - other"/>
    <s v="Care Remuneration Hourly Rates"/>
    <s v="Profit Cost"/>
    <s v="Helen Worden"/>
    <s v="Y"/>
    <n v="85.43000000000001"/>
    <n v="17.09"/>
    <x v="9"/>
    <s v="VALIDATED"/>
    <n v="1"/>
    <s v="01.11.80.308.6100.0000"/>
    <n v="85.43000000000001"/>
    <s v="11"/>
    <s v="6100"/>
    <n v="17368.56"/>
    <n v="85.43000000000001"/>
    <s v="CREDITOR"/>
    <n v="0"/>
    <n v="0"/>
    <n v="0"/>
    <n v="0"/>
    <n v="85.43000000000001"/>
  </r>
  <r>
    <n v="58616544"/>
    <s v="N"/>
    <n v="21343228"/>
    <s v="3000013739220002"/>
    <s v="CIVIL"/>
    <d v="2023-06-26T00:00:00"/>
    <d v="2023-07-07T19:03:00"/>
    <m/>
    <d v="2023-07-07T00:00:00"/>
    <n v="248"/>
    <n v="3002"/>
    <s v="58616544"/>
    <s v="58616544"/>
    <m/>
    <m/>
    <n v="22761408"/>
    <m/>
    <m/>
    <m/>
    <s v="SOLFIN"/>
    <s v="SOLFIN"/>
    <s v="CCMS"/>
    <n v="21343228"/>
    <n v="17802.31"/>
    <m/>
    <s v="N"/>
    <n v="115"/>
    <d v="2023-07-07T19:03:04"/>
    <s v="Y"/>
    <s v="Hearing Unit 1.01 - 2.30 Hours"/>
    <s v="Public Law Children"/>
    <s v="Advocacy"/>
    <s v="Helen Worden"/>
    <s v="Y"/>
    <n v="238.46"/>
    <n v="47.69"/>
    <x v="9"/>
    <s v="VALIDATED"/>
    <n v="1"/>
    <s v="01.11.80.308.6100.0000"/>
    <n v="238.46"/>
    <s v="11"/>
    <s v="6100"/>
    <n v="17368.56"/>
    <n v="238.46"/>
    <s v="CREDITOR"/>
    <n v="0"/>
    <n v="0"/>
    <n v="0"/>
    <n v="0"/>
    <n v="238.46"/>
  </r>
  <r>
    <n v="58616544"/>
    <s v="N"/>
    <n v="21343228"/>
    <s v="3000013739220002"/>
    <s v="CIVIL"/>
    <d v="2023-06-26T00:00:00"/>
    <d v="2023-07-07T19:03:00"/>
    <m/>
    <d v="2023-07-07T00:00:00"/>
    <n v="248"/>
    <n v="3002"/>
    <s v="58616544"/>
    <s v="58616544"/>
    <m/>
    <m/>
    <n v="22761408"/>
    <m/>
    <m/>
    <m/>
    <s v="SOLFIN"/>
    <s v="SOLFIN"/>
    <s v="CCMS"/>
    <n v="21343228"/>
    <n v="17802.31"/>
    <m/>
    <s v="N"/>
    <n v="45"/>
    <d v="2023-07-07T19:03:04"/>
    <s v="Y"/>
    <s v="Preparation - other"/>
    <s v="Care Remuneration Hourly Rates"/>
    <s v="Profit Cost"/>
    <s v="Helen Worden"/>
    <s v="Y"/>
    <n v="131.43"/>
    <n v="26.29"/>
    <x v="9"/>
    <s v="VALIDATED"/>
    <n v="1"/>
    <s v="01.11.80.308.6100.0000"/>
    <n v="131.43"/>
    <s v="11"/>
    <s v="6100"/>
    <n v="17368.56"/>
    <n v="131.43"/>
    <s v="CREDITOR"/>
    <n v="0"/>
    <n v="0"/>
    <n v="0"/>
    <n v="0"/>
    <n v="131.43"/>
  </r>
  <r>
    <n v="58616544"/>
    <s v="N"/>
    <n v="21343228"/>
    <s v="3000013739220002"/>
    <s v="CIVIL"/>
    <d v="2023-06-26T00:00:00"/>
    <d v="2023-07-07T19:03:00"/>
    <m/>
    <d v="2023-07-07T00:00:00"/>
    <n v="248"/>
    <n v="3002"/>
    <s v="58616544"/>
    <s v="58616544"/>
    <m/>
    <m/>
    <n v="22761408"/>
    <m/>
    <m/>
    <m/>
    <s v="SOLFIN"/>
    <s v="SOLFIN"/>
    <s v="CCMS"/>
    <n v="21343228"/>
    <n v="17802.31"/>
    <m/>
    <s v="N"/>
    <n v="52"/>
    <d v="2023-07-07T19:03:04"/>
    <s v="Y"/>
    <s v="Routine Letter Out"/>
    <s v="Care Remuneration Hourly Rates"/>
    <s v="Profit Cost"/>
    <s v="Helen Worden"/>
    <s v="Y"/>
    <n v="521.95"/>
    <n v="104.39"/>
    <x v="9"/>
    <s v="VALIDATED"/>
    <n v="1"/>
    <s v="01.11.80.308.6100.0000"/>
    <n v="521.95"/>
    <s v="11"/>
    <s v="6100"/>
    <n v="17368.56"/>
    <n v="521.95"/>
    <s v="CREDITOR"/>
    <n v="0"/>
    <n v="0"/>
    <n v="0"/>
    <n v="0"/>
    <n v="521.95"/>
  </r>
  <r>
    <n v="58616544"/>
    <s v="N"/>
    <n v="21343228"/>
    <s v="3000013739220002"/>
    <s v="CIVIL"/>
    <d v="2023-06-26T00:00:00"/>
    <d v="2023-07-07T19:03:00"/>
    <m/>
    <d v="2023-07-07T00:00:00"/>
    <n v="248"/>
    <n v="3002"/>
    <s v="58616544"/>
    <s v="58616544"/>
    <m/>
    <m/>
    <n v="22761408"/>
    <m/>
    <m/>
    <m/>
    <s v="SOLFIN"/>
    <s v="SOLFIN"/>
    <s v="CCMS"/>
    <n v="21343228"/>
    <n v="17802.31"/>
    <m/>
    <s v="N"/>
    <n v="107"/>
    <d v="2023-07-07T19:03:04"/>
    <s v="Y"/>
    <s v="Report - Welfare report"/>
    <s v="Care Remuneration Hourly Rates"/>
    <s v="Profit Cost"/>
    <s v="Helen Worden"/>
    <s v="Y"/>
    <n v="131.43"/>
    <n v="26.29"/>
    <x v="9"/>
    <s v="VALIDATED"/>
    <n v="1"/>
    <s v="01.11.80.308.6100.0000"/>
    <n v="131.43"/>
    <s v="11"/>
    <s v="6100"/>
    <n v="17368.56"/>
    <n v="131.43"/>
    <s v="CREDITOR"/>
    <n v="0"/>
    <n v="0"/>
    <n v="0"/>
    <n v="0"/>
    <n v="131.43"/>
  </r>
  <r>
    <n v="58616544"/>
    <s v="N"/>
    <n v="21343228"/>
    <s v="3000013739220002"/>
    <s v="CIVIL"/>
    <d v="2023-06-26T00:00:00"/>
    <d v="2023-07-07T19:03:00"/>
    <m/>
    <d v="2023-07-07T00:00:00"/>
    <n v="248"/>
    <n v="3002"/>
    <s v="58616544"/>
    <s v="58616544"/>
    <m/>
    <m/>
    <n v="22761408"/>
    <m/>
    <m/>
    <m/>
    <s v="SOLFIN"/>
    <s v="SOLFIN"/>
    <s v="CCMS"/>
    <n v="21343228"/>
    <n v="17802.31"/>
    <m/>
    <s v="N"/>
    <n v="91"/>
    <d v="2023-07-07T19:03:04"/>
    <s v="Y"/>
    <s v="Report - Welfare report"/>
    <s v="Care Remuneration Hourly Rates"/>
    <s v="Profit Cost"/>
    <s v="Helen Worden"/>
    <s v="Y"/>
    <n v="39.43"/>
    <n v="7.89"/>
    <x v="9"/>
    <s v="VALIDATED"/>
    <n v="1"/>
    <s v="01.11.80.308.6100.0000"/>
    <n v="39.43"/>
    <s v="11"/>
    <s v="6100"/>
    <n v="17368.56"/>
    <n v="39.43"/>
    <s v="CREDITOR"/>
    <n v="0"/>
    <n v="0"/>
    <n v="0"/>
    <n v="0"/>
    <n v="39.43"/>
  </r>
  <r>
    <n v="59471038"/>
    <s v="N"/>
    <n v="21337712"/>
    <s v="3000013907740010"/>
    <s v="CIVIL"/>
    <d v="2023-06-28T00:00:00"/>
    <d v="2023-07-06T19:21:01"/>
    <m/>
    <d v="2023-07-06T00:00:00"/>
    <n v="248"/>
    <n v="3002"/>
    <s v="59471038"/>
    <s v="59471038"/>
    <m/>
    <m/>
    <n v="22777140"/>
    <m/>
    <m/>
    <m/>
    <s v="SOLFIN"/>
    <s v="SOLFIN"/>
    <s v="CCMS"/>
    <n v="21337712"/>
    <n v="3939.89"/>
    <m/>
    <s v="N"/>
    <n v="1"/>
    <d v="2023-07-06T19:21:05"/>
    <s v="Y"/>
    <s v="Psychologist"/>
    <s v="Public Law Children"/>
    <s v="Expert Disbursement"/>
    <s v="Parsons Marshall Psychology"/>
    <s v="Y"/>
    <n v="21.66"/>
    <n v="4.33"/>
    <x v="4"/>
    <s v="VALIDATED"/>
    <n v="1"/>
    <s v="01.11.80.308.6300.0000"/>
    <n v="21.66"/>
    <s v="11"/>
    <s v="6300"/>
    <n v="17368.56"/>
    <n v="21.66"/>
    <s v="CREDITOR"/>
    <n v="0"/>
    <n v="0"/>
    <n v="0"/>
    <n v="0"/>
    <n v="21.66"/>
  </r>
  <r>
    <n v="58616544"/>
    <s v="N"/>
    <n v="21343228"/>
    <s v="3000013739220002"/>
    <s v="CIVIL"/>
    <d v="2023-06-26T00:00:00"/>
    <d v="2023-07-07T19:03:00"/>
    <m/>
    <d v="2023-07-07T00:00:00"/>
    <n v="248"/>
    <n v="3002"/>
    <s v="58616544"/>
    <s v="58616544"/>
    <m/>
    <m/>
    <n v="22761408"/>
    <m/>
    <m/>
    <m/>
    <s v="SOLFIN"/>
    <s v="SOLFIN"/>
    <s v="CCMS"/>
    <n v="21343228"/>
    <n v="17802.31"/>
    <m/>
    <s v="N"/>
    <n v="41"/>
    <d v="2023-07-07T19:03:04"/>
    <s v="Y"/>
    <s v="Preparation - drafting pleadings"/>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49"/>
    <d v="2023-07-07T19:03:04"/>
    <s v="Y"/>
    <s v="Attendance upon cli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3"/>
    <d v="2023-07-07T19:03:04"/>
    <s v="Y"/>
    <s v="Interim Hearing Court Bundle/Advoca"/>
    <s v="Public Law Children"/>
    <s v="Advocacy"/>
    <s v="Helen Worden"/>
    <s v="Y"/>
    <n v="89.09999999999999"/>
    <n v="17.82"/>
    <x v="9"/>
    <s v="VALIDATED"/>
    <n v="1"/>
    <s v="01.11.80.308.6100.0000"/>
    <n v="89.09999999999999"/>
    <s v="11"/>
    <s v="6100"/>
    <n v="17368.56"/>
    <n v="89.09999999999999"/>
    <s v="CREDITOR"/>
    <n v="0"/>
    <n v="0"/>
    <n v="0"/>
    <n v="0"/>
    <n v="89.09999999999999"/>
  </r>
  <r>
    <n v="58616544"/>
    <s v="N"/>
    <n v="21343228"/>
    <s v="3000013739220002"/>
    <s v="CIVIL"/>
    <d v="2023-06-26T00:00:00"/>
    <d v="2023-07-07T19:03:00"/>
    <m/>
    <d v="2023-07-07T00:00:00"/>
    <n v="248"/>
    <n v="3002"/>
    <s v="58616544"/>
    <s v="58616544"/>
    <m/>
    <m/>
    <n v="22761408"/>
    <m/>
    <m/>
    <m/>
    <s v="SOLFIN"/>
    <s v="SOLFIN"/>
    <s v="CCMS"/>
    <n v="21343228"/>
    <n v="17802.31"/>
    <m/>
    <s v="N"/>
    <n v="111"/>
    <d v="2023-07-07T19:03:04"/>
    <s v="Y"/>
    <s v="Final Hearing - 1 Day"/>
    <s v="Public Law Children"/>
    <s v="Advocacy"/>
    <s v="Alexandra Pruvost"/>
    <s v="Y"/>
    <n v="556.88"/>
    <n v="111.38"/>
    <x v="9"/>
    <s v="VALIDATED"/>
    <n v="1"/>
    <s v="01.11.80.308.6100.0000"/>
    <n v="556.88"/>
    <s v="11"/>
    <s v="6100"/>
    <n v="17368.56"/>
    <n v="556.88"/>
    <s v="CREDITOR"/>
    <n v="0"/>
    <n v="0"/>
    <n v="0"/>
    <n v="0"/>
    <n v="556.88"/>
  </r>
  <r>
    <n v="58616544"/>
    <s v="N"/>
    <n v="21343228"/>
    <s v="3000013739220002"/>
    <s v="CIVIL"/>
    <d v="2023-06-26T00:00:00"/>
    <d v="2023-07-07T19:03:00"/>
    <m/>
    <d v="2023-07-07T00:00:00"/>
    <n v="248"/>
    <n v="3002"/>
    <s v="58616544"/>
    <s v="58616544"/>
    <m/>
    <m/>
    <n v="22761408"/>
    <m/>
    <m/>
    <m/>
    <s v="SOLFIN"/>
    <s v="SOLFIN"/>
    <s v="CCMS"/>
    <n v="21343228"/>
    <n v="17802.31"/>
    <m/>
    <s v="N"/>
    <n v="90"/>
    <d v="2023-07-07T19:03:04"/>
    <s v="Y"/>
    <s v="Preparation - other"/>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76"/>
    <d v="2023-07-07T19:03:04"/>
    <s v="Y"/>
    <s v="Report - Medical repor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37"/>
    <d v="2023-07-07T19:03:04"/>
    <s v="Y"/>
    <s v="Attendance upon clien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25"/>
    <d v="2023-07-07T19:03:04"/>
    <s v="Y"/>
    <s v="Attendance upon cli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72"/>
    <d v="2023-07-07T19:03:04"/>
    <s v="Y"/>
    <s v="Preparation - other"/>
    <s v="Care Remuneration Hourly Rates"/>
    <s v="Profit Cost"/>
    <s v="Helen Worden"/>
    <s v="Y"/>
    <n v="138"/>
    <n v="27.6"/>
    <x v="9"/>
    <s v="VALIDATED"/>
    <n v="1"/>
    <s v="01.11.80.308.6100.0000"/>
    <n v="138"/>
    <s v="11"/>
    <s v="6100"/>
    <n v="17368.56"/>
    <n v="138"/>
    <s v="CREDITOR"/>
    <n v="0"/>
    <n v="0"/>
    <n v="0"/>
    <n v="0"/>
    <n v="138"/>
  </r>
  <r>
    <n v="58616544"/>
    <s v="N"/>
    <n v="21343228"/>
    <s v="3000013739220002"/>
    <s v="CIVIL"/>
    <d v="2023-06-26T00:00:00"/>
    <d v="2023-07-07T19:03:00"/>
    <m/>
    <d v="2023-07-07T00:00:00"/>
    <n v="248"/>
    <n v="3002"/>
    <s v="58616544"/>
    <s v="58616544"/>
    <m/>
    <m/>
    <n v="22761408"/>
    <m/>
    <m/>
    <m/>
    <s v="SOLFIN"/>
    <s v="SOLFIN"/>
    <s v="CCMS"/>
    <n v="21343228"/>
    <n v="17802.31"/>
    <m/>
    <s v="N"/>
    <n v="65"/>
    <d v="2023-07-07T19:03:04"/>
    <s v="Y"/>
    <s v="Preparation - drafting pleadings"/>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98"/>
    <d v="2023-07-07T19:03:04"/>
    <s v="Y"/>
    <s v="Preparation - drafting pleadings"/>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8"/>
    <d v="2023-07-07T19:03:04"/>
    <s v="Y"/>
    <s v="Preparation - other"/>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74"/>
    <d v="2023-07-07T19:03:04"/>
    <s v="Y"/>
    <s v="Preparation - drafting application"/>
    <s v="Care Remuneration Hourly Rates"/>
    <s v="Profit Cost"/>
    <s v="Helen Worden"/>
    <s v="Y"/>
    <n v="30.23"/>
    <n v="6.05"/>
    <x v="9"/>
    <s v="VALIDATED"/>
    <n v="1"/>
    <s v="01.11.80.308.6100.0000"/>
    <n v="30.23"/>
    <s v="11"/>
    <s v="6100"/>
    <n v="17368.56"/>
    <n v="30.23"/>
    <s v="CREDITOR"/>
    <n v="0"/>
    <n v="0"/>
    <n v="0"/>
    <n v="0"/>
    <n v="30.23"/>
  </r>
  <r>
    <n v="58616544"/>
    <s v="N"/>
    <n v="21343228"/>
    <s v="3000013739220002"/>
    <s v="CIVIL"/>
    <d v="2023-06-26T00:00:00"/>
    <d v="2023-07-07T19:03:00"/>
    <m/>
    <d v="2023-07-07T00:00:00"/>
    <n v="248"/>
    <n v="3002"/>
    <s v="58616544"/>
    <s v="58616544"/>
    <m/>
    <m/>
    <n v="22761408"/>
    <m/>
    <m/>
    <m/>
    <s v="SOLFIN"/>
    <s v="SOLFIN"/>
    <s v="CCMS"/>
    <n v="21343228"/>
    <n v="17802.31"/>
    <m/>
    <s v="N"/>
    <n v="94"/>
    <d v="2023-07-07T19:03:04"/>
    <s v="Y"/>
    <s v="Preparation - other"/>
    <s v="Care Remuneration Hourly Rates"/>
    <s v="Profit Cost"/>
    <s v="Helen Worden"/>
    <s v="Y"/>
    <n v="6.05"/>
    <n v="1.21"/>
    <x v="9"/>
    <s v="VALIDATED"/>
    <n v="1"/>
    <s v="01.11.80.308.6100.0000"/>
    <n v="6.05"/>
    <s v="11"/>
    <s v="6100"/>
    <n v="17368.56"/>
    <n v="6.05"/>
    <s v="CREDITOR"/>
    <n v="0"/>
    <n v="0"/>
    <n v="0"/>
    <n v="0"/>
    <n v="6.05"/>
  </r>
  <r>
    <n v="58616544"/>
    <s v="N"/>
    <n v="21343228"/>
    <s v="3000013739220002"/>
    <s v="CIVIL"/>
    <d v="2023-06-26T00:00:00"/>
    <d v="2023-07-07T19:03:00"/>
    <m/>
    <d v="2023-07-07T00:00:00"/>
    <n v="248"/>
    <n v="3002"/>
    <s v="58616544"/>
    <s v="58616544"/>
    <m/>
    <m/>
    <n v="22761408"/>
    <m/>
    <m/>
    <m/>
    <s v="SOLFIN"/>
    <s v="SOLFIN"/>
    <s v="CCMS"/>
    <n v="21343228"/>
    <n v="17802.31"/>
    <m/>
    <s v="N"/>
    <n v="23"/>
    <d v="2023-07-07T19:03:04"/>
    <s v="Y"/>
    <s v="Preparation - drafting statemen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5"/>
    <d v="2023-07-07T19:03:04"/>
    <s v="Y"/>
    <s v="Preparation - other"/>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21"/>
    <d v="2023-07-07T19:03:04"/>
    <s v="Y"/>
    <s v="Preparation - drafting statement"/>
    <s v="Care Remuneration Hourly Rates"/>
    <s v="Profit Cost"/>
    <s v="Helen Worden"/>
    <s v="Y"/>
    <n v="13.14"/>
    <n v="2.63"/>
    <x v="9"/>
    <s v="VALIDATED"/>
    <n v="1"/>
    <s v="01.11.80.308.6100.0000"/>
    <n v="13.14"/>
    <s v="11"/>
    <s v="6100"/>
    <n v="17368.56"/>
    <n v="13.14"/>
    <s v="CREDITOR"/>
    <n v="0"/>
    <n v="0"/>
    <n v="0"/>
    <n v="0"/>
    <n v="13.14"/>
  </r>
  <r>
    <n v="59471038"/>
    <s v="N"/>
    <n v="21337712"/>
    <s v="3000013907740010"/>
    <s v="CIVIL"/>
    <d v="2023-06-28T00:00:00"/>
    <d v="2023-07-06T19:21:01"/>
    <m/>
    <d v="2023-07-06T00:00:00"/>
    <n v="248"/>
    <n v="3002"/>
    <s v="59471038"/>
    <s v="59471038"/>
    <m/>
    <m/>
    <n v="22777140"/>
    <m/>
    <m/>
    <m/>
    <s v="SOLFIN"/>
    <s v="SOLFIN"/>
    <s v="CCMS"/>
    <n v="21337712"/>
    <n v="3939.89"/>
    <m/>
    <s v="N"/>
    <n v="3"/>
    <d v="2023-07-06T19:21:05"/>
    <s v="Y"/>
    <s v="Solicitors Fixed Fee"/>
    <s v="Public Law Children"/>
    <s v="Profit Cost"/>
    <s v="Kim Wintle"/>
    <s v="Y"/>
    <n v="2616"/>
    <n v="523.2"/>
    <x v="4"/>
    <s v="VALIDATED"/>
    <n v="1"/>
    <s v="01.11.80.308.6100.0000"/>
    <n v="2616"/>
    <s v="11"/>
    <s v="6100"/>
    <n v="17368.56"/>
    <n v="2616"/>
    <s v="CREDITOR"/>
    <n v="0"/>
    <n v="0"/>
    <n v="0"/>
    <n v="0"/>
    <n v="2616"/>
  </r>
  <r>
    <n v="58616544"/>
    <s v="N"/>
    <n v="21343228"/>
    <s v="3000013739220002"/>
    <s v="CIVIL"/>
    <d v="2023-06-26T00:00:00"/>
    <d v="2023-07-07T19:03:00"/>
    <m/>
    <d v="2023-07-07T00:00:00"/>
    <n v="248"/>
    <n v="3002"/>
    <s v="58616544"/>
    <s v="58616544"/>
    <m/>
    <m/>
    <n v="22761408"/>
    <m/>
    <m/>
    <m/>
    <s v="SOLFIN"/>
    <s v="SOLFIN"/>
    <s v="CCMS"/>
    <n v="21343228"/>
    <n v="17802.31"/>
    <m/>
    <s v="N"/>
    <n v="27"/>
    <d v="2023-07-07T19:03:04"/>
    <s v="Y"/>
    <s v="Preparation - drafting statement"/>
    <s v="Care Remuneration Hourly Rates"/>
    <s v="Profit Cost"/>
    <s v="Helen Worden"/>
    <s v="Y"/>
    <n v="26.29"/>
    <n v="5.26"/>
    <x v="9"/>
    <s v="VALIDATED"/>
    <n v="1"/>
    <s v="01.11.80.308.6100.0000"/>
    <n v="26.29"/>
    <s v="11"/>
    <s v="6100"/>
    <n v="17368.56"/>
    <n v="26.29"/>
    <s v="CREDITOR"/>
    <n v="0"/>
    <n v="0"/>
    <n v="0"/>
    <n v="0"/>
    <n v="26.29"/>
  </r>
  <r>
    <n v="58616544"/>
    <s v="N"/>
    <n v="21343228"/>
    <s v="3000013739220002"/>
    <s v="CIVIL"/>
    <d v="2023-06-26T00:00:00"/>
    <d v="2023-07-07T19:03:00"/>
    <m/>
    <d v="2023-07-07T00:00:00"/>
    <n v="248"/>
    <n v="3002"/>
    <s v="58616544"/>
    <s v="58616544"/>
    <m/>
    <m/>
    <n v="22761408"/>
    <m/>
    <m/>
    <m/>
    <s v="SOLFIN"/>
    <s v="SOLFIN"/>
    <s v="CCMS"/>
    <n v="21343228"/>
    <n v="17802.31"/>
    <m/>
    <s v="N"/>
    <n v="18"/>
    <d v="2023-07-07T19:03:04"/>
    <s v="Y"/>
    <s v="Preparation - drafting pleadings"/>
    <s v="Care Remuneration Hourly Rates"/>
    <s v="Profit Cost"/>
    <s v="Helen Worden"/>
    <s v="Y"/>
    <n v="59.14"/>
    <n v="11.83"/>
    <x v="9"/>
    <s v="VALIDATED"/>
    <n v="1"/>
    <s v="01.11.80.308.6100.0000"/>
    <n v="59.14"/>
    <s v="11"/>
    <s v="6100"/>
    <n v="17368.56"/>
    <n v="59.14"/>
    <s v="CREDITOR"/>
    <n v="0"/>
    <n v="0"/>
    <n v="0"/>
    <n v="0"/>
    <n v="59.14"/>
  </r>
  <r>
    <n v="58616544"/>
    <s v="N"/>
    <n v="21343228"/>
    <s v="3000013739220002"/>
    <s v="CIVIL"/>
    <d v="2023-06-26T00:00:00"/>
    <d v="2023-07-07T19:03:00"/>
    <m/>
    <d v="2023-07-07T00:00:00"/>
    <n v="248"/>
    <n v="3002"/>
    <s v="58616544"/>
    <s v="58616544"/>
    <m/>
    <m/>
    <n v="22761408"/>
    <m/>
    <m/>
    <m/>
    <s v="SOLFIN"/>
    <s v="SOLFIN"/>
    <s v="CCMS"/>
    <n v="21343228"/>
    <n v="17802.31"/>
    <m/>
    <s v="N"/>
    <n v="108"/>
    <d v="2023-07-07T19:03:04"/>
    <s v="Y"/>
    <s v="Preparation - drafting pleadings"/>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1"/>
    <d v="2023-07-07T19:03:04"/>
    <s v="Y"/>
    <s v="Interim Hearing Court Bundle/Advoca"/>
    <s v="Public Law Children"/>
    <s v="Advocacy"/>
    <s v="Alexandra Pruvost"/>
    <s v="Y"/>
    <n v="89.09999999999999"/>
    <n v="17.82"/>
    <x v="9"/>
    <s v="VALIDATED"/>
    <n v="1"/>
    <s v="01.11.80.308.6100.0000"/>
    <n v="89.09999999999999"/>
    <s v="11"/>
    <s v="6100"/>
    <n v="17368.56"/>
    <n v="89.09999999999999"/>
    <s v="CREDITOR"/>
    <n v="0"/>
    <n v="0"/>
    <n v="0"/>
    <n v="0"/>
    <n v="89.09999999999999"/>
  </r>
  <r>
    <n v="58616544"/>
    <s v="N"/>
    <n v="21343228"/>
    <s v="3000013739220002"/>
    <s v="CIVIL"/>
    <d v="2023-06-26T00:00:00"/>
    <d v="2023-07-07T19:03:00"/>
    <m/>
    <d v="2023-07-07T00:00:00"/>
    <n v="248"/>
    <n v="3002"/>
    <s v="58616544"/>
    <s v="58616544"/>
    <m/>
    <m/>
    <n v="22761408"/>
    <m/>
    <m/>
    <m/>
    <s v="SOLFIN"/>
    <s v="SOLFIN"/>
    <s v="CCMS"/>
    <n v="21343228"/>
    <n v="17802.31"/>
    <m/>
    <s v="N"/>
    <n v="75"/>
    <d v="2023-07-07T19:03:04"/>
    <s v="Y"/>
    <s v="Preparation - drafting statement"/>
    <s v="Care Remuneration Hourly Rates"/>
    <s v="Profit Cost"/>
    <s v="Helen Worden"/>
    <s v="Y"/>
    <n v="78.84999999999999"/>
    <n v="15.77"/>
    <x v="9"/>
    <s v="VALIDATED"/>
    <n v="1"/>
    <s v="01.11.80.308.6100.0000"/>
    <n v="78.84999999999999"/>
    <s v="11"/>
    <s v="6100"/>
    <n v="17368.56"/>
    <n v="78.84999999999999"/>
    <s v="CREDITOR"/>
    <n v="0"/>
    <n v="0"/>
    <n v="0"/>
    <n v="0"/>
    <n v="78.84999999999999"/>
  </r>
  <r>
    <n v="58616544"/>
    <s v="N"/>
    <n v="21343228"/>
    <s v="3000013739220002"/>
    <s v="CIVIL"/>
    <d v="2023-06-26T00:00:00"/>
    <d v="2023-07-07T19:03:00"/>
    <m/>
    <d v="2023-07-07T00:00:00"/>
    <n v="248"/>
    <n v="3002"/>
    <s v="58616544"/>
    <s v="58616544"/>
    <m/>
    <m/>
    <n v="22761408"/>
    <m/>
    <m/>
    <m/>
    <s v="SOLFIN"/>
    <s v="SOLFIN"/>
    <s v="CCMS"/>
    <n v="21343228"/>
    <n v="17802.31"/>
    <m/>
    <s v="N"/>
    <n v="64"/>
    <d v="2023-07-07T19:03:04"/>
    <s v="Y"/>
    <s v="Preparation - drafting pleadings"/>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40"/>
    <d v="2023-07-07T19:03:04"/>
    <s v="Y"/>
    <s v="Preparation - drafting statem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99"/>
    <d v="2023-07-07T19:03:04"/>
    <s v="Y"/>
    <s v="Preparation - drafting pleadings"/>
    <s v="Care Remuneration Hourly Rates"/>
    <s v="Profit Cost"/>
    <s v="Helen Worden"/>
    <s v="Y"/>
    <n v="6.58"/>
    <n v="1.32"/>
    <x v="9"/>
    <s v="VALIDATED"/>
    <n v="1"/>
    <s v="01.11.80.308.6100.0000"/>
    <n v="6.58"/>
    <s v="11"/>
    <s v="6100"/>
    <n v="17368.56"/>
    <n v="6.58"/>
    <s v="CREDITOR"/>
    <n v="0"/>
    <n v="0"/>
    <n v="0"/>
    <n v="0"/>
    <n v="6.58"/>
  </r>
  <r>
    <n v="61623638"/>
    <s v="N"/>
    <n v="21319817"/>
    <s v="3000015729110008"/>
    <s v="CIVIL"/>
    <d v="2023-06-28T00:00:00"/>
    <d v="2023-07-03T19:04:24"/>
    <m/>
    <d v="2023-07-03T00:00:00"/>
    <n v="248"/>
    <n v="3002"/>
    <s v="61623638"/>
    <s v="61623638"/>
    <m/>
    <m/>
    <n v="22777530"/>
    <m/>
    <m/>
    <m/>
    <s v="SOLPOA"/>
    <s v="SOLPOA"/>
    <s v="CCMS"/>
    <n v="21319817"/>
    <n v="1193.35"/>
    <m/>
    <s v="N"/>
    <n v="1"/>
    <d v="2023-07-03T19:04:27"/>
    <s v="N"/>
    <s v="Expert Cost"/>
    <s v="Expert Cost"/>
    <s v="Expert Disbursement"/>
    <s v="Intonation Ltd./ City Legal Translations"/>
    <s v="N"/>
    <n v="994.46"/>
    <n v="198.89"/>
    <x v="3"/>
    <s v="VALIDATED"/>
    <n v="1"/>
    <s v="01.11.80.308.2012.0000"/>
    <n v="994.46"/>
    <s v="11"/>
    <s v="2012"/>
    <n v="17368.56"/>
    <n v="994.46"/>
    <s v="CREDITOR"/>
    <n v="994.46"/>
    <n v="0"/>
    <n v="0"/>
    <n v="0"/>
    <n v="0"/>
  </r>
  <r>
    <n v="58616544"/>
    <s v="N"/>
    <n v="21343228"/>
    <s v="3000013739220002"/>
    <s v="CIVIL"/>
    <d v="2023-06-26T00:00:00"/>
    <d v="2023-07-07T19:03:00"/>
    <m/>
    <d v="2023-07-07T00:00:00"/>
    <n v="248"/>
    <n v="3002"/>
    <s v="58616544"/>
    <s v="58616544"/>
    <m/>
    <m/>
    <n v="22761408"/>
    <m/>
    <m/>
    <m/>
    <s v="SOLFIN"/>
    <s v="SOLFIN"/>
    <s v="CCMS"/>
    <n v="21343228"/>
    <n v="17802.31"/>
    <m/>
    <s v="N"/>
    <n v="10"/>
    <d v="2023-07-07T19:03:04"/>
    <s v="Y"/>
    <s v="Report - Medical report"/>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22"/>
    <d v="2023-07-07T19:03:04"/>
    <s v="Y"/>
    <s v="Advocates Meeting"/>
    <s v="Public Law Children"/>
    <s v="Advocacy"/>
    <s v="Helen Worden"/>
    <s v="Y"/>
    <n v="140.99"/>
    <n v="28.2"/>
    <x v="9"/>
    <s v="VALIDATED"/>
    <n v="1"/>
    <s v="01.11.80.308.6100.0000"/>
    <n v="140.99"/>
    <s v="11"/>
    <s v="6100"/>
    <n v="17368.56"/>
    <n v="140.99"/>
    <s v="CREDITOR"/>
    <n v="0"/>
    <n v="0"/>
    <n v="0"/>
    <n v="0"/>
    <n v="140.99"/>
  </r>
  <r>
    <n v="58616544"/>
    <s v="N"/>
    <n v="21343228"/>
    <s v="3000013739220002"/>
    <s v="CIVIL"/>
    <d v="2023-06-26T00:00:00"/>
    <d v="2023-07-07T19:03:00"/>
    <m/>
    <d v="2023-07-07T00:00:00"/>
    <n v="248"/>
    <n v="3002"/>
    <s v="58616544"/>
    <s v="58616544"/>
    <m/>
    <m/>
    <n v="22761408"/>
    <m/>
    <m/>
    <m/>
    <s v="SOLFIN"/>
    <s v="SOLFIN"/>
    <s v="CCMS"/>
    <n v="21343228"/>
    <n v="17802.31"/>
    <m/>
    <s v="N"/>
    <n v="59"/>
    <d v="2023-07-07T19:03:04"/>
    <s v="Y"/>
    <s v="Preparation - drafting statem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38"/>
    <d v="2023-07-07T19:03:04"/>
    <s v="Y"/>
    <s v="Preparation - drafting statem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79"/>
    <d v="2023-07-07T19:03:04"/>
    <s v="Y"/>
    <s v="Preparation - drafting statem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101"/>
    <d v="2023-07-07T19:03:04"/>
    <s v="Y"/>
    <s v="Preparation - drafting statemen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77"/>
    <d v="2023-07-07T19:03:04"/>
    <s v="Y"/>
    <s v="Preparation - drafting pleadings"/>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17"/>
    <d v="2023-07-07T19:03:04"/>
    <s v="Y"/>
    <s v="Hearing Unit 2.31 - 5.00 Hours"/>
    <s v="Public Law Children"/>
    <s v="Advocacy"/>
    <s v="Helen Worden"/>
    <s v="Y"/>
    <n v="476.92"/>
    <n v="95.39"/>
    <x v="9"/>
    <s v="VALIDATED"/>
    <n v="1"/>
    <s v="01.11.80.308.6100.0000"/>
    <n v="476.92"/>
    <s v="11"/>
    <s v="6100"/>
    <n v="17368.56"/>
    <n v="476.92"/>
    <s v="CREDITOR"/>
    <n v="0"/>
    <n v="0"/>
    <n v="0"/>
    <n v="0"/>
    <n v="476.92"/>
  </r>
  <r>
    <n v="58616544"/>
    <s v="N"/>
    <n v="21343228"/>
    <s v="3000013739220002"/>
    <s v="CIVIL"/>
    <d v="2023-06-26T00:00:00"/>
    <d v="2023-07-07T19:03:00"/>
    <m/>
    <d v="2023-07-07T00:00:00"/>
    <n v="248"/>
    <n v="3002"/>
    <s v="58616544"/>
    <s v="58616544"/>
    <m/>
    <m/>
    <n v="22761408"/>
    <m/>
    <m/>
    <m/>
    <s v="SOLFIN"/>
    <s v="SOLFIN"/>
    <s v="CCMS"/>
    <n v="21343228"/>
    <n v="17802.31"/>
    <m/>
    <s v="N"/>
    <n v="88"/>
    <d v="2023-07-07T19:03:04"/>
    <s v="Y"/>
    <s v="Preparation - drafting pleadings"/>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43"/>
    <d v="2023-07-07T19:03:04"/>
    <s v="Y"/>
    <s v="Report - Medical report"/>
    <s v="Care Remuneration Hourly Rates"/>
    <s v="Profit Cost"/>
    <s v="Helen Worden"/>
    <s v="Y"/>
    <n v="144.56"/>
    <n v="28.91"/>
    <x v="9"/>
    <s v="VALIDATED"/>
    <n v="1"/>
    <s v="01.11.80.308.6100.0000"/>
    <n v="144.56"/>
    <s v="11"/>
    <s v="6100"/>
    <n v="17368.56"/>
    <n v="144.56"/>
    <s v="CREDITOR"/>
    <n v="0"/>
    <n v="0"/>
    <n v="0"/>
    <n v="0"/>
    <n v="144.56"/>
  </r>
  <r>
    <n v="58616544"/>
    <s v="N"/>
    <n v="21343228"/>
    <s v="3000013739220002"/>
    <s v="CIVIL"/>
    <d v="2023-06-26T00:00:00"/>
    <d v="2023-07-07T19:03:00"/>
    <m/>
    <d v="2023-07-07T00:00:00"/>
    <n v="248"/>
    <n v="3002"/>
    <s v="58616544"/>
    <s v="58616544"/>
    <m/>
    <m/>
    <n v="22761408"/>
    <m/>
    <m/>
    <m/>
    <s v="SOLFIN"/>
    <s v="SOLFIN"/>
    <s v="CCMS"/>
    <n v="21343228"/>
    <n v="17802.31"/>
    <m/>
    <s v="N"/>
    <n v="48"/>
    <d v="2023-07-07T19:03:04"/>
    <s v="Y"/>
    <s v="Preparation - drafting bill/claim f"/>
    <s v="Care Remuneration Hourly Rates"/>
    <s v="Profit Cost"/>
    <s v="Claire Watson"/>
    <s v="Y"/>
    <n v="625.58"/>
    <n v="125.12"/>
    <x v="9"/>
    <s v="VALIDATED"/>
    <n v="1"/>
    <s v="01.11.80.308.6100.0000"/>
    <n v="625.58"/>
    <s v="11"/>
    <s v="6100"/>
    <n v="17368.56"/>
    <n v="625.58"/>
    <s v="CREDITOR"/>
    <n v="0"/>
    <n v="0"/>
    <n v="0"/>
    <n v="0"/>
    <n v="625.58"/>
  </r>
  <r>
    <n v="58616544"/>
    <s v="N"/>
    <n v="21343228"/>
    <s v="3000013739220002"/>
    <s v="CIVIL"/>
    <d v="2023-06-26T00:00:00"/>
    <d v="2023-07-07T19:03:00"/>
    <m/>
    <d v="2023-07-07T00:00:00"/>
    <n v="248"/>
    <n v="3002"/>
    <s v="58616544"/>
    <s v="58616544"/>
    <m/>
    <m/>
    <n v="22761408"/>
    <m/>
    <m/>
    <m/>
    <s v="SOLFIN"/>
    <s v="SOLFIN"/>
    <s v="CCMS"/>
    <n v="21343228"/>
    <n v="17802.31"/>
    <m/>
    <s v="N"/>
    <n v="93"/>
    <d v="2023-07-07T19:03:04"/>
    <s v="Y"/>
    <s v="Preparation - drafting pleadings"/>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70"/>
    <d v="2023-07-07T19:03:04"/>
    <s v="Y"/>
    <s v="Preparation - other"/>
    <s v="Care Remuneration Hourly Rates"/>
    <s v="Profit Cost"/>
    <s v="Helen Worden"/>
    <s v="Y"/>
    <n v="52.58"/>
    <n v="10.52"/>
    <x v="9"/>
    <s v="VALIDATED"/>
    <n v="1"/>
    <s v="01.11.80.308.6100.0000"/>
    <n v="52.58"/>
    <s v="11"/>
    <s v="6100"/>
    <n v="17368.56"/>
    <n v="52.58"/>
    <s v="CREDITOR"/>
    <n v="0"/>
    <n v="0"/>
    <n v="0"/>
    <n v="0"/>
    <n v="52.58"/>
  </r>
  <r>
    <n v="58616544"/>
    <s v="N"/>
    <n v="21343228"/>
    <s v="3000013739220002"/>
    <s v="CIVIL"/>
    <d v="2023-06-26T00:00:00"/>
    <d v="2023-07-07T19:03:00"/>
    <m/>
    <d v="2023-07-07T00:00:00"/>
    <n v="248"/>
    <n v="3002"/>
    <s v="58616544"/>
    <s v="58616544"/>
    <m/>
    <m/>
    <n v="22761408"/>
    <m/>
    <m/>
    <m/>
    <s v="SOLFIN"/>
    <s v="SOLFIN"/>
    <s v="CCMS"/>
    <n v="21343228"/>
    <n v="17802.31"/>
    <m/>
    <s v="N"/>
    <n v="24"/>
    <d v="2023-07-07T19:03:04"/>
    <s v="Y"/>
    <s v="Preparation - other"/>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28"/>
    <d v="2023-07-07T19:03:04"/>
    <s v="Y"/>
    <s v="Preparation - drafting pleadings"/>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71"/>
    <d v="2023-07-07T19:03:04"/>
    <s v="Y"/>
    <s v="Preparation - other"/>
    <s v="Care Remuneration Hourly Rates"/>
    <s v="Profit Cost"/>
    <s v="Helen Worden"/>
    <s v="Y"/>
    <n v="558.5599999999999"/>
    <n v="111.71"/>
    <x v="9"/>
    <s v="VALIDATED"/>
    <n v="1"/>
    <s v="01.11.80.308.6100.0000"/>
    <n v="558.5599999999999"/>
    <s v="11"/>
    <s v="6100"/>
    <n v="17368.56"/>
    <n v="558.5599999999999"/>
    <s v="CREDITOR"/>
    <n v="0"/>
    <n v="0"/>
    <n v="0"/>
    <n v="0"/>
    <n v="558.5599999999999"/>
  </r>
  <r>
    <n v="58616544"/>
    <s v="N"/>
    <n v="21343228"/>
    <s v="3000013739220002"/>
    <s v="CIVIL"/>
    <d v="2023-06-26T00:00:00"/>
    <d v="2023-07-07T19:03:00"/>
    <m/>
    <d v="2023-07-07T00:00:00"/>
    <n v="248"/>
    <n v="3002"/>
    <s v="58616544"/>
    <s v="58616544"/>
    <m/>
    <m/>
    <n v="22761408"/>
    <m/>
    <m/>
    <m/>
    <s v="SOLFIN"/>
    <s v="SOLFIN"/>
    <s v="CCMS"/>
    <n v="21343228"/>
    <n v="17802.31"/>
    <m/>
    <s v="N"/>
    <n v="73"/>
    <d v="2023-07-07T19:03:04"/>
    <s v="Y"/>
    <s v="Attendance upon cli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69"/>
    <d v="2023-07-07T19:03:04"/>
    <s v="Y"/>
    <s v="Preparation - other"/>
    <s v="Care Remuneration Hourly Rates"/>
    <s v="Profit Cost"/>
    <s v="Helen Worden"/>
    <s v="Y"/>
    <n v="374.56"/>
    <n v="74.91"/>
    <x v="9"/>
    <s v="VALIDATED"/>
    <n v="1"/>
    <s v="01.11.80.308.6100.0000"/>
    <n v="374.56"/>
    <s v="11"/>
    <s v="6100"/>
    <n v="17368.56"/>
    <n v="374.56"/>
    <s v="CREDITOR"/>
    <n v="0"/>
    <n v="0"/>
    <n v="0"/>
    <n v="0"/>
    <n v="374.56"/>
  </r>
  <r>
    <n v="58616544"/>
    <s v="N"/>
    <n v="21343228"/>
    <s v="3000013739220002"/>
    <s v="CIVIL"/>
    <d v="2023-06-26T00:00:00"/>
    <d v="2023-07-07T19:03:00"/>
    <m/>
    <d v="2023-07-07T00:00:00"/>
    <n v="248"/>
    <n v="3002"/>
    <s v="58616544"/>
    <s v="58616544"/>
    <m/>
    <m/>
    <n v="22761408"/>
    <m/>
    <m/>
    <m/>
    <s v="SOLFIN"/>
    <s v="SOLFIN"/>
    <s v="CCMS"/>
    <n v="21343228"/>
    <n v="17802.31"/>
    <m/>
    <s v="N"/>
    <n v="30"/>
    <d v="2023-07-07T19:03:04"/>
    <s v="Y"/>
    <s v="Preparation - drafting bill/claim f"/>
    <s v="Care Remuneration Hourly Rates"/>
    <s v="Profit Cost"/>
    <s v="Helen Worden"/>
    <s v="Y"/>
    <n v="30.23"/>
    <n v="6.05"/>
    <x v="9"/>
    <s v="VALIDATED"/>
    <n v="1"/>
    <s v="01.11.80.308.6100.0000"/>
    <n v="30.23"/>
    <s v="11"/>
    <s v="6100"/>
    <n v="17368.56"/>
    <n v="30.23"/>
    <s v="CREDITOR"/>
    <n v="0"/>
    <n v="0"/>
    <n v="0"/>
    <n v="0"/>
    <n v="30.23"/>
  </r>
  <r>
    <n v="58616544"/>
    <s v="N"/>
    <n v="21343228"/>
    <s v="3000013739220002"/>
    <s v="CIVIL"/>
    <d v="2023-06-26T00:00:00"/>
    <d v="2023-07-07T19:03:00"/>
    <m/>
    <d v="2023-07-07T00:00:00"/>
    <n v="248"/>
    <n v="3002"/>
    <s v="58616544"/>
    <s v="58616544"/>
    <m/>
    <m/>
    <n v="22761408"/>
    <m/>
    <m/>
    <m/>
    <s v="SOLFIN"/>
    <s v="SOLFIN"/>
    <s v="CCMS"/>
    <n v="21343228"/>
    <n v="17802.31"/>
    <m/>
    <s v="N"/>
    <n v="55"/>
    <d v="2023-07-07T19:03:04"/>
    <s v="Y"/>
    <s v="Routine Letter In"/>
    <s v="Care Remuneration Hourly Rates"/>
    <s v="Profit Cost"/>
    <s v="Kim Wintle"/>
    <s v="Y"/>
    <n v="103.6"/>
    <n v="20.72"/>
    <x v="9"/>
    <s v="VALIDATED"/>
    <n v="1"/>
    <s v="01.11.80.308.6100.0000"/>
    <n v="103.6"/>
    <s v="11"/>
    <s v="6100"/>
    <n v="17368.56"/>
    <n v="103.6"/>
    <s v="CREDITOR"/>
    <n v="0"/>
    <n v="0"/>
    <n v="0"/>
    <n v="0"/>
    <n v="103.6"/>
  </r>
  <r>
    <n v="61414114"/>
    <s v="N"/>
    <n v="21338542"/>
    <s v="3000015554600008"/>
    <s v="CIVIL"/>
    <d v="2023-06-28T00:00:00"/>
    <d v="2023-07-06T19:21:01"/>
    <m/>
    <d v="2023-07-06T00:00:00"/>
    <n v="248"/>
    <n v="3002"/>
    <s v="61414114"/>
    <s v="61414114"/>
    <m/>
    <m/>
    <n v="22777074"/>
    <m/>
    <m/>
    <m/>
    <s v="SOLINT"/>
    <s v="SOLINT"/>
    <s v="CCMS"/>
    <n v="21338542"/>
    <n v="0"/>
    <m/>
    <s v="N"/>
    <n v="1"/>
    <d v="2023-07-06T19:21:28"/>
    <s v="N"/>
    <s v="NIL BILL"/>
    <s v="Public Law Children"/>
    <s v="Profit Cost"/>
    <s v="Lextox"/>
    <s v="N"/>
    <n v="0"/>
    <n v="0"/>
    <x v="4"/>
    <s v="VALIDATED"/>
    <n v="1"/>
    <s v="01.11.80.308.6100.0000"/>
    <n v="0"/>
    <s v="11"/>
    <s v="6100"/>
    <n v="17368.56"/>
    <n v="0"/>
    <s v="CREDITOR"/>
    <n v="0"/>
    <n v="0"/>
    <n v="0"/>
    <n v="0"/>
    <n v="0"/>
  </r>
  <r>
    <n v="61635530"/>
    <s v="N"/>
    <n v="21319971"/>
    <s v="3000015739520013"/>
    <s v="CIVIL"/>
    <d v="2023-06-28T00:00:00"/>
    <d v="2023-07-03T19:04:24"/>
    <m/>
    <d v="2023-07-03T00:00:00"/>
    <n v="248"/>
    <n v="3002"/>
    <s v="61635530"/>
    <s v="61635530"/>
    <m/>
    <m/>
    <n v="22777466"/>
    <m/>
    <m/>
    <m/>
    <s v="SOLPOA"/>
    <s v="SOLPOA"/>
    <s v="CCMS"/>
    <n v="21319971"/>
    <n v="2088.5"/>
    <m/>
    <s v="N"/>
    <n v="1"/>
    <d v="2023-07-03T19:04:28"/>
    <s v="N"/>
    <s v="Expert Cost"/>
    <s v="Expert Cost"/>
    <s v="Expert Disbursement"/>
    <s v="Intonation Ltd./ City Legal Translations"/>
    <s v="N"/>
    <n v="1740.42"/>
    <n v="348.08"/>
    <x v="3"/>
    <s v="VALIDATED"/>
    <n v="1"/>
    <s v="01.11.80.308.2012.0000"/>
    <n v="1740.42"/>
    <s v="11"/>
    <s v="2012"/>
    <n v="17368.56"/>
    <n v="1740.42"/>
    <s v="CREDITOR"/>
    <n v="1740.42"/>
    <n v="0"/>
    <n v="0"/>
    <n v="0"/>
    <n v="0"/>
  </r>
  <r>
    <n v="58616544"/>
    <s v="N"/>
    <n v="21343228"/>
    <s v="3000013739220002"/>
    <s v="CIVIL"/>
    <d v="2023-06-26T00:00:00"/>
    <d v="2023-07-07T19:03:00"/>
    <m/>
    <d v="2023-07-07T00:00:00"/>
    <n v="248"/>
    <n v="3002"/>
    <s v="58616544"/>
    <s v="58616544"/>
    <m/>
    <m/>
    <n v="22761408"/>
    <m/>
    <m/>
    <m/>
    <s v="SOLFIN"/>
    <s v="SOLFIN"/>
    <s v="CCMS"/>
    <n v="21343228"/>
    <n v="17802.31"/>
    <m/>
    <s v="N"/>
    <n v="109"/>
    <d v="2023-07-07T19:03:04"/>
    <s v="Y"/>
    <s v="Preparation - other"/>
    <s v="Care Remuneration Hourly Rates"/>
    <s v="Profit Cost"/>
    <s v="Helen Worden"/>
    <s v="Y"/>
    <n v="65.70999999999999"/>
    <n v="13.14"/>
    <x v="9"/>
    <s v="VALIDATED"/>
    <n v="1"/>
    <s v="01.11.80.308.6100.0000"/>
    <n v="65.70999999999999"/>
    <s v="11"/>
    <s v="6100"/>
    <n v="17368.56"/>
    <n v="65.70999999999999"/>
    <s v="CREDITOR"/>
    <n v="0"/>
    <n v="0"/>
    <n v="0"/>
    <n v="0"/>
    <n v="65.70999999999999"/>
  </r>
  <r>
    <n v="58616544"/>
    <s v="N"/>
    <n v="21343228"/>
    <s v="3000013739220002"/>
    <s v="CIVIL"/>
    <d v="2023-06-26T00:00:00"/>
    <d v="2023-07-07T19:03:00"/>
    <m/>
    <d v="2023-07-07T00:00:00"/>
    <n v="248"/>
    <n v="3002"/>
    <s v="58616544"/>
    <s v="58616544"/>
    <m/>
    <m/>
    <n v="22761408"/>
    <m/>
    <m/>
    <m/>
    <s v="SOLFIN"/>
    <s v="SOLFIN"/>
    <s v="CCMS"/>
    <n v="21343228"/>
    <n v="17802.31"/>
    <m/>
    <s v="N"/>
    <n v="83"/>
    <d v="2023-07-07T19:03:04"/>
    <s v="Y"/>
    <s v="Preparation - drafting statemen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105"/>
    <d v="2023-07-07T19:03:04"/>
    <s v="Y"/>
    <s v="Preparation - other"/>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6"/>
    <d v="2023-07-07T19:03:04"/>
    <s v="Y"/>
    <s v="Preparation - other"/>
    <s v="Care Remuneration Hourly Rates"/>
    <s v="Profit Cost"/>
    <s v="Helen Worden"/>
    <s v="Y"/>
    <n v="164.29"/>
    <n v="32.86"/>
    <x v="9"/>
    <s v="VALIDATED"/>
    <n v="1"/>
    <s v="01.11.80.308.6100.0000"/>
    <n v="164.29"/>
    <s v="11"/>
    <s v="6100"/>
    <n v="17368.56"/>
    <n v="164.29"/>
    <s v="CREDITOR"/>
    <n v="0"/>
    <n v="0"/>
    <n v="0"/>
    <n v="0"/>
    <n v="164.29"/>
  </r>
  <r>
    <n v="58616544"/>
    <s v="N"/>
    <n v="21343228"/>
    <s v="3000013739220002"/>
    <s v="CIVIL"/>
    <d v="2023-06-26T00:00:00"/>
    <d v="2023-07-07T19:03:00"/>
    <m/>
    <d v="2023-07-07T00:00:00"/>
    <n v="248"/>
    <n v="3002"/>
    <s v="58616544"/>
    <s v="58616544"/>
    <m/>
    <m/>
    <n v="22761408"/>
    <m/>
    <m/>
    <m/>
    <s v="SOLFIN"/>
    <s v="SOLFIN"/>
    <s v="CCMS"/>
    <n v="21343228"/>
    <n v="17802.31"/>
    <m/>
    <s v="N"/>
    <n v="19"/>
    <d v="2023-07-07T19:03:04"/>
    <s v="Y"/>
    <s v="Preparation - drafting pleadings"/>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14"/>
    <d v="2023-07-07T19:03:04"/>
    <s v="Y"/>
    <s v="Advocates Meeting"/>
    <s v="Public Law Children"/>
    <s v="Advocacy"/>
    <s v="Helen Worden"/>
    <s v="Y"/>
    <n v="140.99"/>
    <n v="28.2"/>
    <x v="9"/>
    <s v="VALIDATED"/>
    <n v="1"/>
    <s v="01.11.80.308.6100.0000"/>
    <n v="140.99"/>
    <s v="11"/>
    <s v="6100"/>
    <n v="17368.56"/>
    <n v="140.99"/>
    <s v="CREDITOR"/>
    <n v="0"/>
    <n v="0"/>
    <n v="0"/>
    <n v="0"/>
    <n v="140.99"/>
  </r>
  <r>
    <n v="59471038"/>
    <s v="N"/>
    <n v="21337712"/>
    <s v="3000013907740010"/>
    <s v="CIVIL"/>
    <d v="2023-06-28T00:00:00"/>
    <d v="2023-07-06T19:21:01"/>
    <m/>
    <d v="2023-07-06T00:00:00"/>
    <n v="248"/>
    <n v="3002"/>
    <s v="59471038"/>
    <s v="59471038"/>
    <m/>
    <m/>
    <n v="22777140"/>
    <m/>
    <m/>
    <m/>
    <s v="SOLFIN"/>
    <s v="SOLFIN"/>
    <s v="CCMS"/>
    <n v="21337712"/>
    <n v="3939.89"/>
    <m/>
    <s v="N"/>
    <n v="2"/>
    <d v="2023-07-06T19:21:05"/>
    <s v="Y"/>
    <s v="Psychiatrist"/>
    <s v="Public Law Children"/>
    <s v="Expert Disbursement"/>
    <s v="Expert in Mind"/>
    <s v="Y"/>
    <n v="645.58"/>
    <n v="129.12"/>
    <x v="4"/>
    <s v="VALIDATED"/>
    <n v="1"/>
    <s v="01.11.80.308.6300.0000"/>
    <n v="645.58"/>
    <s v="11"/>
    <s v="6300"/>
    <n v="17368.56"/>
    <n v="645.58"/>
    <s v="CREDITOR"/>
    <n v="0"/>
    <n v="0"/>
    <n v="0"/>
    <n v="0"/>
    <n v="645.58"/>
  </r>
  <r>
    <n v="58616544"/>
    <s v="N"/>
    <n v="21343228"/>
    <s v="3000013739220002"/>
    <s v="CIVIL"/>
    <d v="2023-06-26T00:00:00"/>
    <d v="2023-07-07T19:03:00"/>
    <m/>
    <d v="2023-07-07T00:00:00"/>
    <n v="248"/>
    <n v="3002"/>
    <s v="58616544"/>
    <s v="58616544"/>
    <m/>
    <m/>
    <n v="22761408"/>
    <m/>
    <m/>
    <m/>
    <s v="SOLFIN"/>
    <s v="SOLFIN"/>
    <s v="CCMS"/>
    <n v="21343228"/>
    <n v="17802.31"/>
    <m/>
    <s v="N"/>
    <n v="62"/>
    <d v="2023-07-07T19:03:04"/>
    <s v="Y"/>
    <s v="Preparation - drafting application"/>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44"/>
    <d v="2023-07-07T19:03:04"/>
    <s v="Y"/>
    <s v="Preparation - drafting pleadings"/>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78"/>
    <d v="2023-07-07T19:03:04"/>
    <s v="Y"/>
    <s v="Attendance upon client"/>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7"/>
    <d v="2023-07-07T19:03:04"/>
    <s v="Y"/>
    <s v="Preparation - drafting pleadings"/>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112"/>
    <d v="2023-07-07T19:03:04"/>
    <s v="Y"/>
    <s v="Advocates Meeting"/>
    <s v="Public Law Children"/>
    <s v="Advocacy"/>
    <s v="Helen Worden"/>
    <s v="Y"/>
    <n v="140.99"/>
    <n v="28.2"/>
    <x v="9"/>
    <s v="VALIDATED"/>
    <n v="1"/>
    <s v="01.11.80.308.6100.0000"/>
    <n v="140.99"/>
    <s v="11"/>
    <s v="6100"/>
    <n v="17368.56"/>
    <n v="140.99"/>
    <s v="CREDITOR"/>
    <n v="0"/>
    <n v="0"/>
    <n v="0"/>
    <n v="0"/>
    <n v="140.99"/>
  </r>
  <r>
    <n v="58616544"/>
    <s v="N"/>
    <n v="21343228"/>
    <s v="3000013739220002"/>
    <s v="CIVIL"/>
    <d v="2023-06-26T00:00:00"/>
    <d v="2023-07-07T19:03:00"/>
    <m/>
    <d v="2023-07-07T00:00:00"/>
    <n v="248"/>
    <n v="3002"/>
    <s v="58616544"/>
    <s v="58616544"/>
    <m/>
    <m/>
    <n v="22761408"/>
    <m/>
    <m/>
    <m/>
    <s v="SOLFIN"/>
    <s v="SOLFIN"/>
    <s v="CCMS"/>
    <n v="21343228"/>
    <n v="17802.31"/>
    <m/>
    <s v="N"/>
    <n v="60"/>
    <d v="2023-07-07T19:03:04"/>
    <s v="Y"/>
    <s v="Preparation - drafting application"/>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92"/>
    <d v="2023-07-07T19:03:04"/>
    <s v="Y"/>
    <s v="Preparation - drafting statem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104"/>
    <d v="2023-07-07T19:03:04"/>
    <s v="Y"/>
    <s v="Preparation - drafting statement"/>
    <s v="Care Remuneration Hourly Rates"/>
    <s v="Profit Cost"/>
    <s v="Helen Worden"/>
    <s v="Y"/>
    <n v="26.29"/>
    <n v="5.26"/>
    <x v="9"/>
    <s v="VALIDATED"/>
    <n v="1"/>
    <s v="01.11.80.308.6100.0000"/>
    <n v="26.29"/>
    <s v="11"/>
    <s v="6100"/>
    <n v="17368.56"/>
    <n v="26.29"/>
    <s v="CREDITOR"/>
    <n v="0"/>
    <n v="0"/>
    <n v="0"/>
    <n v="0"/>
    <n v="26.29"/>
  </r>
  <r>
    <n v="58616544"/>
    <s v="N"/>
    <n v="21343228"/>
    <s v="3000013739220002"/>
    <s v="CIVIL"/>
    <d v="2023-06-26T00:00:00"/>
    <d v="2023-07-07T19:03:00"/>
    <m/>
    <d v="2023-07-07T00:00:00"/>
    <n v="248"/>
    <n v="3002"/>
    <s v="58616544"/>
    <s v="58616544"/>
    <m/>
    <m/>
    <n v="22761408"/>
    <m/>
    <m/>
    <m/>
    <s v="SOLFIN"/>
    <s v="SOLFIN"/>
    <s v="CCMS"/>
    <n v="21343228"/>
    <n v="17802.31"/>
    <m/>
    <s v="N"/>
    <n v="34"/>
    <d v="2023-07-07T19:03:04"/>
    <s v="Y"/>
    <s v="Preparation - drafting application"/>
    <s v="Care Remuneration Hourly Rates"/>
    <s v="Profit Cost"/>
    <s v="Helen Worden"/>
    <s v="Y"/>
    <n v="26.29"/>
    <n v="5.26"/>
    <x v="9"/>
    <s v="VALIDATED"/>
    <n v="1"/>
    <s v="01.11.80.308.6100.0000"/>
    <n v="26.29"/>
    <s v="11"/>
    <s v="6100"/>
    <n v="17368.56"/>
    <n v="26.29"/>
    <s v="CREDITOR"/>
    <n v="0"/>
    <n v="0"/>
    <n v="0"/>
    <n v="0"/>
    <n v="26.29"/>
  </r>
  <r>
    <n v="58616544"/>
    <s v="N"/>
    <n v="21343228"/>
    <s v="3000013739220002"/>
    <s v="CIVIL"/>
    <d v="2023-06-26T00:00:00"/>
    <d v="2023-07-07T19:03:00"/>
    <m/>
    <d v="2023-07-07T00:00:00"/>
    <n v="248"/>
    <n v="3002"/>
    <s v="58616544"/>
    <s v="58616544"/>
    <m/>
    <m/>
    <n v="22761408"/>
    <m/>
    <m/>
    <m/>
    <s v="SOLFIN"/>
    <s v="SOLFIN"/>
    <s v="CCMS"/>
    <n v="21343228"/>
    <n v="17802.31"/>
    <m/>
    <s v="N"/>
    <n v="61"/>
    <d v="2023-07-07T19:03:04"/>
    <s v="Y"/>
    <s v="Preparation - drafting statement"/>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23"/>
    <d v="2023-07-07T19:03:04"/>
    <s v="Y"/>
    <s v="Advocates Meeting"/>
    <s v="Public Law Children"/>
    <s v="Advocacy"/>
    <s v="Helen Worden"/>
    <s v="Y"/>
    <n v="140.99"/>
    <n v="28.2"/>
    <x v="9"/>
    <s v="VALIDATED"/>
    <n v="1"/>
    <s v="01.11.80.308.6100.0000"/>
    <n v="140.99"/>
    <s v="11"/>
    <s v="6100"/>
    <n v="17368.56"/>
    <n v="140.99"/>
    <s v="CREDITOR"/>
    <n v="0"/>
    <n v="0"/>
    <n v="0"/>
    <n v="0"/>
    <n v="140.99"/>
  </r>
  <r>
    <n v="58616544"/>
    <s v="N"/>
    <n v="21343228"/>
    <s v="3000013739220002"/>
    <s v="CIVIL"/>
    <d v="2023-06-26T00:00:00"/>
    <d v="2023-07-07T19:03:00"/>
    <m/>
    <d v="2023-07-07T00:00:00"/>
    <n v="248"/>
    <n v="3002"/>
    <s v="58616544"/>
    <s v="58616544"/>
    <m/>
    <m/>
    <n v="22761408"/>
    <m/>
    <m/>
    <m/>
    <s v="SOLFIN"/>
    <s v="SOLFIN"/>
    <s v="CCMS"/>
    <n v="21343228"/>
    <n v="17802.31"/>
    <m/>
    <s v="N"/>
    <n v="56"/>
    <d v="2023-07-07T19:03:04"/>
    <s v="Y"/>
    <s v="Routine Telephone Call"/>
    <s v="Care Remuneration Hourly Rates"/>
    <s v="Profit Cost"/>
    <s v="Helen Worden"/>
    <s v="Y"/>
    <n v="50.92"/>
    <n v="10.18"/>
    <x v="9"/>
    <s v="VALIDATED"/>
    <n v="1"/>
    <s v="01.11.80.308.6100.0000"/>
    <n v="50.92"/>
    <s v="11"/>
    <s v="6100"/>
    <n v="17368.56"/>
    <n v="50.92"/>
    <s v="CREDITOR"/>
    <n v="0"/>
    <n v="0"/>
    <n v="0"/>
    <n v="0"/>
    <n v="50.92"/>
  </r>
  <r>
    <n v="58616544"/>
    <s v="N"/>
    <n v="21343228"/>
    <s v="3000013739220002"/>
    <s v="CIVIL"/>
    <d v="2023-06-26T00:00:00"/>
    <d v="2023-07-07T19:03:00"/>
    <m/>
    <d v="2023-07-07T00:00:00"/>
    <n v="248"/>
    <n v="3002"/>
    <s v="58616544"/>
    <s v="58616544"/>
    <m/>
    <m/>
    <n v="22761408"/>
    <m/>
    <m/>
    <m/>
    <s v="SOLFIN"/>
    <s v="SOLFIN"/>
    <s v="CCMS"/>
    <n v="21343228"/>
    <n v="17802.31"/>
    <m/>
    <s v="N"/>
    <n v="85"/>
    <d v="2023-07-07T19:03:04"/>
    <s v="Y"/>
    <s v="Preparation - drafting pleadings"/>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81"/>
    <d v="2023-07-07T19:03:04"/>
    <s v="Y"/>
    <s v="Attendance upon witness"/>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118"/>
    <d v="2023-07-07T19:03:04"/>
    <s v="Y"/>
    <s v="Advocates Meeting"/>
    <s v="Public Law Children"/>
    <s v="Advocacy"/>
    <s v="Helen Worden"/>
    <s v="Y"/>
    <n v="140.99"/>
    <n v="28.2"/>
    <x v="9"/>
    <s v="VALIDATED"/>
    <n v="1"/>
    <s v="01.11.80.308.6100.0000"/>
    <n v="140.99"/>
    <s v="11"/>
    <s v="6100"/>
    <n v="17368.56"/>
    <n v="140.99"/>
    <s v="CREDITOR"/>
    <n v="0"/>
    <n v="0"/>
    <n v="0"/>
    <n v="0"/>
    <n v="140.99"/>
  </r>
  <r>
    <n v="58616544"/>
    <s v="N"/>
    <n v="21343228"/>
    <s v="3000013739220002"/>
    <s v="CIVIL"/>
    <d v="2023-06-26T00:00:00"/>
    <d v="2023-07-07T19:03:00"/>
    <m/>
    <d v="2023-07-07T00:00:00"/>
    <n v="248"/>
    <n v="3002"/>
    <s v="58616544"/>
    <s v="58616544"/>
    <m/>
    <m/>
    <n v="22761408"/>
    <m/>
    <m/>
    <m/>
    <s v="SOLFIN"/>
    <s v="SOLFIN"/>
    <s v="CCMS"/>
    <n v="21343228"/>
    <n v="17802.31"/>
    <m/>
    <s v="N"/>
    <n v="46"/>
    <d v="2023-07-07T19:03:04"/>
    <s v="Y"/>
    <s v="Preparation - drafting statement"/>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39"/>
    <d v="2023-07-07T19:03:04"/>
    <s v="Y"/>
    <s v="Preparation - other"/>
    <s v="Care Remuneration Hourly Rates"/>
    <s v="Profit Cost"/>
    <s v="Helen Worden"/>
    <s v="Y"/>
    <n v="32.86"/>
    <n v="6.57"/>
    <x v="9"/>
    <s v="VALIDATED"/>
    <n v="1"/>
    <s v="01.11.80.308.6100.0000"/>
    <n v="32.86"/>
    <s v="11"/>
    <s v="6100"/>
    <n v="17368.56"/>
    <n v="32.86"/>
    <s v="CREDITOR"/>
    <n v="0"/>
    <n v="0"/>
    <n v="0"/>
    <n v="0"/>
    <n v="32.86"/>
  </r>
  <r>
    <n v="58616544"/>
    <s v="N"/>
    <n v="21343228"/>
    <s v="3000013739220002"/>
    <s v="CIVIL"/>
    <d v="2023-06-26T00:00:00"/>
    <d v="2023-07-07T19:03:00"/>
    <m/>
    <d v="2023-07-07T00:00:00"/>
    <n v="248"/>
    <n v="3002"/>
    <s v="58616544"/>
    <s v="58616544"/>
    <m/>
    <m/>
    <n v="22761408"/>
    <m/>
    <m/>
    <m/>
    <s v="SOLFIN"/>
    <s v="SOLFIN"/>
    <s v="CCMS"/>
    <n v="21343228"/>
    <n v="17802.31"/>
    <m/>
    <s v="N"/>
    <n v="2"/>
    <d v="2023-07-07T19:03:04"/>
    <s v="Y"/>
    <s v="Final Hearing Court Bundle/Advocate"/>
    <s v="Public Law Children"/>
    <s v="Advocacy"/>
    <s v="Alexandra Pruvost"/>
    <s v="Y"/>
    <n v="318.6"/>
    <n v="63.72"/>
    <x v="9"/>
    <s v="VALIDATED"/>
    <n v="1"/>
    <s v="01.11.80.308.6100.0000"/>
    <n v="318.6"/>
    <s v="11"/>
    <s v="6100"/>
    <n v="17368.56"/>
    <n v="318.6"/>
    <s v="CREDITOR"/>
    <n v="0"/>
    <n v="0"/>
    <n v="0"/>
    <n v="0"/>
    <n v="318.6"/>
  </r>
  <r>
    <n v="58616544"/>
    <s v="N"/>
    <n v="21343228"/>
    <s v="3000013739220002"/>
    <s v="CIVIL"/>
    <d v="2023-06-26T00:00:00"/>
    <d v="2023-07-07T19:03:00"/>
    <m/>
    <d v="2023-07-07T00:00:00"/>
    <n v="248"/>
    <n v="3002"/>
    <s v="58616544"/>
    <s v="58616544"/>
    <m/>
    <m/>
    <n v="22761408"/>
    <m/>
    <m/>
    <m/>
    <s v="SOLFIN"/>
    <s v="SOLFIN"/>
    <s v="CCMS"/>
    <n v="21343228"/>
    <n v="17802.31"/>
    <m/>
    <s v="N"/>
    <n v="15"/>
    <d v="2023-07-07T19:03:04"/>
    <s v="Y"/>
    <s v="Preparation - other"/>
    <s v="Care Remuneration Hourly Rates"/>
    <s v="Profit Cost"/>
    <s v="Helen Worden"/>
    <s v="Y"/>
    <n v="105.14"/>
    <n v="21.03"/>
    <x v="9"/>
    <s v="VALIDATED"/>
    <n v="1"/>
    <s v="01.11.80.308.6100.0000"/>
    <n v="105.14"/>
    <s v="11"/>
    <s v="6100"/>
    <n v="17368.56"/>
    <n v="105.14"/>
    <s v="CREDITOR"/>
    <n v="0"/>
    <n v="0"/>
    <n v="0"/>
    <n v="0"/>
    <n v="105.14"/>
  </r>
  <r>
    <n v="62048977"/>
    <s v="N"/>
    <n v="21319507"/>
    <s v="3000016083540002"/>
    <s v="CIVIL"/>
    <d v="2023-06-28T00:00:00"/>
    <d v="2023-07-03T19:04:24"/>
    <m/>
    <d v="2023-07-03T00:00:00"/>
    <n v="248"/>
    <n v="3002"/>
    <s v="62048977"/>
    <s v="62048977"/>
    <m/>
    <m/>
    <n v="22777740"/>
    <m/>
    <m/>
    <m/>
    <s v="SOLPOA"/>
    <s v="SOLPOA"/>
    <s v="CCMS"/>
    <n v="21319507"/>
    <n v="178.38"/>
    <m/>
    <s v="N"/>
    <n v="1"/>
    <d v="2023-07-03T19:04:26"/>
    <s v="N"/>
    <s v="Expert Cost"/>
    <s v="Expert Cost"/>
    <s v="Expert Disbursement"/>
    <s v="Cansford Laboratories Limited"/>
    <s v="N"/>
    <n v="148.65"/>
    <n v="29.73"/>
    <x v="3"/>
    <s v="VALIDATED"/>
    <n v="1"/>
    <s v="01.11.80.308.2012.0000"/>
    <n v="148.65"/>
    <s v="11"/>
    <s v="2012"/>
    <n v="17368.56"/>
    <n v="148.65"/>
    <s v="CREDITOR"/>
    <n v="148.65"/>
    <n v="0"/>
    <n v="0"/>
    <n v="0"/>
    <n v="0"/>
  </r>
  <r>
    <n v="58616544"/>
    <s v="N"/>
    <n v="21343228"/>
    <s v="3000013739220002"/>
    <s v="CIVIL"/>
    <d v="2023-06-26T00:00:00"/>
    <d v="2023-07-07T19:03:00"/>
    <m/>
    <d v="2023-07-07T00:00:00"/>
    <n v="248"/>
    <n v="3002"/>
    <s v="58616544"/>
    <s v="58616544"/>
    <m/>
    <m/>
    <n v="22761408"/>
    <m/>
    <m/>
    <m/>
    <s v="SOLFIN"/>
    <s v="SOLFIN"/>
    <s v="CCMS"/>
    <n v="21343228"/>
    <n v="17802.31"/>
    <m/>
    <s v="N"/>
    <n v="47"/>
    <d v="2023-07-07T19:03:04"/>
    <s v="Y"/>
    <s v="Preparation - drafting pleadings"/>
    <s v="Care Remuneration Hourly Rates"/>
    <s v="Profit Cost"/>
    <s v="Alexandra Pruvost"/>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66"/>
    <d v="2023-07-07T19:03:04"/>
    <s v="Y"/>
    <s v="Preparation - other"/>
    <s v="Care Remuneration Hourly Rates"/>
    <s v="Profit Cost"/>
    <s v="Helen Worden"/>
    <s v="Y"/>
    <n v="52.58"/>
    <n v="10.52"/>
    <x v="9"/>
    <s v="VALIDATED"/>
    <n v="1"/>
    <s v="01.11.80.308.6100.0000"/>
    <n v="52.58"/>
    <s v="11"/>
    <s v="6100"/>
    <n v="17368.56"/>
    <n v="52.58"/>
    <s v="CREDITOR"/>
    <n v="0"/>
    <n v="0"/>
    <n v="0"/>
    <n v="0"/>
    <n v="52.58"/>
  </r>
  <r>
    <n v="58616544"/>
    <s v="N"/>
    <n v="21343228"/>
    <s v="3000013739220002"/>
    <s v="CIVIL"/>
    <d v="2023-06-26T00:00:00"/>
    <d v="2023-07-07T19:03:00"/>
    <m/>
    <d v="2023-07-07T00:00:00"/>
    <n v="248"/>
    <n v="3002"/>
    <s v="58616544"/>
    <s v="58616544"/>
    <m/>
    <m/>
    <n v="22761408"/>
    <m/>
    <m/>
    <m/>
    <s v="SOLFIN"/>
    <s v="SOLFIN"/>
    <s v="CCMS"/>
    <n v="21343228"/>
    <n v="17802.31"/>
    <m/>
    <s v="N"/>
    <n v="20"/>
    <d v="2023-07-07T19:03:04"/>
    <s v="Y"/>
    <s v="Preparation - other"/>
    <s v="Care Remuneration Hourly Rates"/>
    <s v="Profit Cost"/>
    <s v="Helen Worden"/>
    <s v="Y"/>
    <n v="26.29"/>
    <n v="5.26"/>
    <x v="9"/>
    <s v="VALIDATED"/>
    <n v="1"/>
    <s v="01.11.80.308.6100.0000"/>
    <n v="26.29"/>
    <s v="11"/>
    <s v="6100"/>
    <n v="17368.56"/>
    <n v="26.29"/>
    <s v="CREDITOR"/>
    <n v="0"/>
    <n v="0"/>
    <n v="0"/>
    <n v="0"/>
    <n v="26.29"/>
  </r>
  <r>
    <n v="58616544"/>
    <s v="N"/>
    <n v="21343228"/>
    <s v="3000013739220002"/>
    <s v="CIVIL"/>
    <d v="2023-06-26T00:00:00"/>
    <d v="2023-07-07T19:03:00"/>
    <m/>
    <d v="2023-07-07T00:00:00"/>
    <n v="248"/>
    <n v="3002"/>
    <s v="58616544"/>
    <s v="58616544"/>
    <m/>
    <m/>
    <n v="22761408"/>
    <m/>
    <m/>
    <m/>
    <s v="SOLFIN"/>
    <s v="SOLFIN"/>
    <s v="CCMS"/>
    <n v="21343228"/>
    <n v="17802.31"/>
    <m/>
    <s v="N"/>
    <n v="32"/>
    <d v="2023-07-07T19:03:04"/>
    <s v="Y"/>
    <s v="Preparation - drafting statemen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31"/>
    <d v="2023-07-07T19:03:04"/>
    <s v="Y"/>
    <s v="Preparation - other"/>
    <s v="Care Remuneration Hourly Rates"/>
    <s v="Profit Cost"/>
    <s v="Helen Worden"/>
    <s v="Y"/>
    <n v="131.43"/>
    <n v="26.29"/>
    <x v="9"/>
    <s v="VALIDATED"/>
    <n v="1"/>
    <s v="01.11.80.308.6100.0000"/>
    <n v="131.43"/>
    <s v="11"/>
    <s v="6100"/>
    <n v="17368.56"/>
    <n v="131.43"/>
    <s v="CREDITOR"/>
    <n v="0"/>
    <n v="0"/>
    <n v="0"/>
    <n v="0"/>
    <n v="131.43"/>
  </r>
  <r>
    <n v="58616544"/>
    <s v="N"/>
    <n v="21343228"/>
    <s v="3000013739220002"/>
    <s v="CIVIL"/>
    <d v="2023-06-26T00:00:00"/>
    <d v="2023-07-07T19:03:00"/>
    <m/>
    <d v="2023-07-07T00:00:00"/>
    <n v="248"/>
    <n v="3002"/>
    <s v="58616544"/>
    <s v="58616544"/>
    <m/>
    <m/>
    <n v="22761408"/>
    <m/>
    <m/>
    <m/>
    <s v="SOLFIN"/>
    <s v="SOLFIN"/>
    <s v="CCMS"/>
    <n v="21343228"/>
    <n v="17802.31"/>
    <m/>
    <s v="N"/>
    <n v="84"/>
    <d v="2023-07-07T19:03:04"/>
    <s v="Y"/>
    <s v="Preparation - other"/>
    <s v="Care Remuneration Hourly Rates"/>
    <s v="Profit Cost"/>
    <s v="Helen Worden"/>
    <s v="Y"/>
    <n v="19.71"/>
    <n v="3.94"/>
    <x v="9"/>
    <s v="VALIDATED"/>
    <n v="1"/>
    <s v="01.11.80.308.6100.0000"/>
    <n v="19.71"/>
    <s v="11"/>
    <s v="6100"/>
    <n v="17368.56"/>
    <n v="19.71"/>
    <s v="CREDITOR"/>
    <n v="0"/>
    <n v="0"/>
    <n v="0"/>
    <n v="0"/>
    <n v="19.71"/>
  </r>
  <r>
    <n v="58616544"/>
    <s v="N"/>
    <n v="21343228"/>
    <s v="3000013739220002"/>
    <s v="CIVIL"/>
    <d v="2023-06-26T00:00:00"/>
    <d v="2023-07-07T19:03:00"/>
    <m/>
    <d v="2023-07-07T00:00:00"/>
    <n v="248"/>
    <n v="3002"/>
    <s v="58616544"/>
    <s v="58616544"/>
    <m/>
    <m/>
    <n v="22761408"/>
    <m/>
    <m/>
    <m/>
    <s v="SOLFIN"/>
    <s v="SOLFIN"/>
    <s v="CCMS"/>
    <n v="21343228"/>
    <n v="17802.31"/>
    <m/>
    <s v="N"/>
    <n v="12"/>
    <d v="2023-07-07T19:03:04"/>
    <s v="Y"/>
    <s v="Preparation - other"/>
    <s v="Care Remuneration Hourly Rates"/>
    <s v="Profit Cost"/>
    <s v="Helen Worden"/>
    <s v="Y"/>
    <n v="65.70999999999999"/>
    <n v="13.14"/>
    <x v="9"/>
    <s v="VALIDATED"/>
    <n v="1"/>
    <s v="01.11.80.308.6100.0000"/>
    <n v="65.70999999999999"/>
    <s v="11"/>
    <s v="6100"/>
    <n v="17368.56"/>
    <n v="65.70999999999999"/>
    <s v="CREDITOR"/>
    <n v="0"/>
    <n v="0"/>
    <n v="0"/>
    <n v="0"/>
    <n v="65.70999999999999"/>
  </r>
  <r>
    <n v="58616544"/>
    <s v="N"/>
    <n v="21343228"/>
    <s v="3000013739220002"/>
    <s v="CIVIL"/>
    <d v="2023-06-26T00:00:00"/>
    <d v="2023-07-07T19:03:00"/>
    <m/>
    <d v="2023-07-07T00:00:00"/>
    <n v="248"/>
    <n v="3002"/>
    <s v="58616544"/>
    <s v="58616544"/>
    <m/>
    <m/>
    <n v="22761408"/>
    <m/>
    <m/>
    <m/>
    <s v="SOLFIN"/>
    <s v="SOLFIN"/>
    <s v="CCMS"/>
    <n v="21343228"/>
    <n v="17802.31"/>
    <m/>
    <s v="N"/>
    <n v="50"/>
    <d v="2023-07-07T19:03:04"/>
    <s v="Y"/>
    <s v="Preparation - other"/>
    <s v="Care Remuneration Hourly Rates"/>
    <s v="Profit Cost"/>
    <s v="Helen Worden"/>
    <s v="Y"/>
    <n v="46"/>
    <n v="9.199999999999999"/>
    <x v="9"/>
    <s v="VALIDATED"/>
    <n v="1"/>
    <s v="01.11.80.308.6100.0000"/>
    <n v="46"/>
    <s v="11"/>
    <s v="6100"/>
    <n v="17368.56"/>
    <n v="46"/>
    <s v="CREDITOR"/>
    <n v="0"/>
    <n v="0"/>
    <n v="0"/>
    <n v="0"/>
    <n v="46"/>
  </r>
  <r>
    <n v="58616544"/>
    <s v="N"/>
    <n v="21343228"/>
    <s v="3000013739220002"/>
    <s v="CIVIL"/>
    <d v="2023-06-26T00:00:00"/>
    <d v="2023-07-07T19:03:00"/>
    <m/>
    <d v="2023-07-07T00:00:00"/>
    <n v="248"/>
    <n v="3002"/>
    <s v="58616544"/>
    <s v="58616544"/>
    <m/>
    <m/>
    <n v="22761408"/>
    <m/>
    <m/>
    <m/>
    <s v="SOLFIN"/>
    <s v="SOLFIN"/>
    <s v="CCMS"/>
    <n v="21343228"/>
    <n v="17802.31"/>
    <m/>
    <s v="N"/>
    <n v="53"/>
    <d v="2023-07-07T19:03:04"/>
    <s v="Y"/>
    <s v="Routine Letter Out"/>
    <s v="Care Remuneration Hourly Rates"/>
    <s v="Profit Cost"/>
    <s v="Kim Wintle"/>
    <s v="Y"/>
    <n v="40.59"/>
    <n v="8.119999999999999"/>
    <x v="9"/>
    <s v="VALIDATED"/>
    <n v="1"/>
    <s v="01.11.80.308.6100.0000"/>
    <n v="40.59"/>
    <s v="11"/>
    <s v="6100"/>
    <n v="17368.56"/>
    <n v="40.59"/>
    <s v="CREDITOR"/>
    <n v="0"/>
    <n v="0"/>
    <n v="0"/>
    <n v="0"/>
    <n v="40.59"/>
  </r>
  <r>
    <n v="58616544"/>
    <s v="N"/>
    <n v="21343228"/>
    <s v="3000013739220002"/>
    <s v="CIVIL"/>
    <d v="2023-06-26T00:00:00"/>
    <d v="2023-07-07T19:03:00"/>
    <m/>
    <d v="2023-07-07T00:00:00"/>
    <n v="248"/>
    <n v="3002"/>
    <s v="58616544"/>
    <s v="58616544"/>
    <m/>
    <m/>
    <n v="22761408"/>
    <m/>
    <m/>
    <m/>
    <s v="SOLFIN"/>
    <s v="SOLFIN"/>
    <s v="CCMS"/>
    <n v="21343228"/>
    <n v="17802.31"/>
    <m/>
    <s v="N"/>
    <n v="86"/>
    <d v="2023-07-07T19:03:04"/>
    <s v="Y"/>
    <s v="Preparation - other"/>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116"/>
    <d v="2023-07-07T19:03:04"/>
    <s v="Y"/>
    <s v="Advocates Meeting"/>
    <s v="Public Law Children"/>
    <s v="Advocacy"/>
    <s v="Helen Worden"/>
    <s v="Y"/>
    <n v="140.99"/>
    <n v="28.2"/>
    <x v="9"/>
    <s v="VALIDATED"/>
    <n v="1"/>
    <s v="01.11.80.308.6100.0000"/>
    <n v="140.99"/>
    <s v="11"/>
    <s v="6100"/>
    <n v="17368.56"/>
    <n v="140.99"/>
    <s v="CREDITOR"/>
    <n v="0"/>
    <n v="0"/>
    <n v="0"/>
    <n v="0"/>
    <n v="140.99"/>
  </r>
  <r>
    <n v="58616544"/>
    <s v="N"/>
    <n v="21343228"/>
    <s v="3000013739220002"/>
    <s v="CIVIL"/>
    <d v="2023-06-26T00:00:00"/>
    <d v="2023-07-07T19:03:00"/>
    <m/>
    <d v="2023-07-07T00:00:00"/>
    <n v="248"/>
    <n v="3002"/>
    <s v="58616544"/>
    <s v="58616544"/>
    <m/>
    <m/>
    <n v="22761408"/>
    <m/>
    <m/>
    <m/>
    <s v="SOLFIN"/>
    <s v="SOLFIN"/>
    <s v="CCMS"/>
    <n v="21343228"/>
    <n v="17802.31"/>
    <m/>
    <s v="N"/>
    <n v="102"/>
    <d v="2023-07-07T19:03:04"/>
    <s v="Y"/>
    <s v="Preparation - drafting notice(s)"/>
    <s v="Care Remuneration Hourly Rates"/>
    <s v="Profit Cost"/>
    <s v="Helen Worden"/>
    <s v="Y"/>
    <n v="6.05"/>
    <n v="1.21"/>
    <x v="9"/>
    <s v="VALIDATED"/>
    <n v="1"/>
    <s v="01.11.80.308.6100.0000"/>
    <n v="6.05"/>
    <s v="11"/>
    <s v="6100"/>
    <n v="17368.56"/>
    <n v="6.05"/>
    <s v="CREDITOR"/>
    <n v="0"/>
    <n v="0"/>
    <n v="0"/>
    <n v="0"/>
    <n v="6.05"/>
  </r>
  <r>
    <n v="58616544"/>
    <s v="N"/>
    <n v="21343228"/>
    <s v="3000013739220002"/>
    <s v="CIVIL"/>
    <d v="2023-06-26T00:00:00"/>
    <d v="2023-07-07T19:03:00"/>
    <m/>
    <d v="2023-07-07T00:00:00"/>
    <n v="248"/>
    <n v="3002"/>
    <s v="58616544"/>
    <s v="58616544"/>
    <m/>
    <m/>
    <n v="22761408"/>
    <m/>
    <m/>
    <m/>
    <s v="SOLFIN"/>
    <s v="SOLFIN"/>
    <s v="CCMS"/>
    <n v="21343228"/>
    <n v="17802.31"/>
    <m/>
    <s v="N"/>
    <n v="125"/>
    <d v="2023-07-07T19:03:04"/>
    <s v="Y"/>
    <s v="Advocates Meeting"/>
    <s v="Public Law Children"/>
    <s v="Advocacy"/>
    <s v="Helen Worden"/>
    <s v="Y"/>
    <n v="140.99"/>
    <n v="28.2"/>
    <x v="9"/>
    <s v="VALIDATED"/>
    <n v="1"/>
    <s v="01.11.80.308.6100.0000"/>
    <n v="140.99"/>
    <s v="11"/>
    <s v="6100"/>
    <n v="17368.56"/>
    <n v="140.99"/>
    <s v="CREDITOR"/>
    <n v="0"/>
    <n v="0"/>
    <n v="0"/>
    <n v="0"/>
    <n v="140.99"/>
  </r>
  <r>
    <n v="58616544"/>
    <s v="N"/>
    <n v="21343228"/>
    <s v="3000013739220002"/>
    <s v="CIVIL"/>
    <d v="2023-06-26T00:00:00"/>
    <d v="2023-07-07T19:03:00"/>
    <m/>
    <d v="2023-07-07T00:00:00"/>
    <n v="248"/>
    <n v="3002"/>
    <s v="58616544"/>
    <s v="58616544"/>
    <m/>
    <m/>
    <n v="22761408"/>
    <m/>
    <m/>
    <m/>
    <s v="SOLFIN"/>
    <s v="SOLFIN"/>
    <s v="CCMS"/>
    <n v="21343228"/>
    <n v="17802.31"/>
    <m/>
    <s v="N"/>
    <n v="13"/>
    <d v="2023-07-07T19:03:04"/>
    <s v="Y"/>
    <s v="Preparation - other"/>
    <s v="Care Remuneration Hourly Rates"/>
    <s v="Profit Cost"/>
    <s v="Helen Worden"/>
    <s v="Y"/>
    <n v="26.29"/>
    <n v="5.26"/>
    <x v="9"/>
    <s v="VALIDATED"/>
    <n v="1"/>
    <s v="01.11.80.308.6100.0000"/>
    <n v="26.29"/>
    <s v="11"/>
    <s v="6100"/>
    <n v="17368.56"/>
    <n v="26.29"/>
    <s v="CREDITOR"/>
    <n v="0"/>
    <n v="0"/>
    <n v="0"/>
    <n v="0"/>
    <n v="26.29"/>
  </r>
  <r>
    <n v="58616544"/>
    <s v="N"/>
    <n v="21343228"/>
    <s v="3000013739220002"/>
    <s v="CIVIL"/>
    <d v="2023-06-26T00:00:00"/>
    <d v="2023-07-07T19:03:00"/>
    <m/>
    <d v="2023-07-07T00:00:00"/>
    <n v="248"/>
    <n v="3002"/>
    <s v="58616544"/>
    <s v="58616544"/>
    <m/>
    <m/>
    <n v="22761408"/>
    <m/>
    <m/>
    <m/>
    <s v="SOLFIN"/>
    <s v="SOLFIN"/>
    <s v="CCMS"/>
    <n v="21343228"/>
    <n v="17802.31"/>
    <m/>
    <s v="N"/>
    <n v="9"/>
    <d v="2023-07-07T19:03:04"/>
    <s v="Y"/>
    <s v="Preparation - drafting pleadings"/>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126"/>
    <d v="2023-07-07T19:03:04"/>
    <s v="Y"/>
    <s v="Hearing Unit 2.31 - 5.00 Hours"/>
    <s v="Public Law Children"/>
    <s v="Advocacy"/>
    <s v="Helen Worden"/>
    <s v="Y"/>
    <n v="476.92"/>
    <n v="95.39"/>
    <x v="9"/>
    <s v="VALIDATED"/>
    <n v="1"/>
    <s v="01.11.80.308.6100.0000"/>
    <n v="476.92"/>
    <s v="11"/>
    <s v="6100"/>
    <n v="17368.56"/>
    <n v="476.92"/>
    <s v="CREDITOR"/>
    <n v="0"/>
    <n v="0"/>
    <n v="0"/>
    <n v="0"/>
    <n v="476.92"/>
  </r>
  <r>
    <n v="58616544"/>
    <s v="N"/>
    <n v="21343228"/>
    <s v="3000013739220002"/>
    <s v="CIVIL"/>
    <d v="2023-06-26T00:00:00"/>
    <d v="2023-07-07T19:03:00"/>
    <m/>
    <d v="2023-07-07T00:00:00"/>
    <n v="248"/>
    <n v="3002"/>
    <s v="58616544"/>
    <s v="58616544"/>
    <m/>
    <m/>
    <n v="22761408"/>
    <m/>
    <m/>
    <m/>
    <s v="SOLFIN"/>
    <s v="SOLFIN"/>
    <s v="CCMS"/>
    <n v="21343228"/>
    <n v="17802.31"/>
    <m/>
    <s v="N"/>
    <n v="51"/>
    <d v="2023-07-07T19:03:04"/>
    <s v="Y"/>
    <s v="Preparation - other"/>
    <s v="Care Remuneration Hourly Rates"/>
    <s v="Profit Cost"/>
    <s v="Helen Worden"/>
    <s v="Y"/>
    <n v="197.14"/>
    <n v="39.43"/>
    <x v="9"/>
    <s v="VALIDATED"/>
    <n v="1"/>
    <s v="01.11.80.308.6100.0000"/>
    <n v="197.14"/>
    <s v="11"/>
    <s v="6100"/>
    <n v="17368.56"/>
    <n v="197.14"/>
    <s v="CREDITOR"/>
    <n v="0"/>
    <n v="0"/>
    <n v="0"/>
    <n v="0"/>
    <n v="197.14"/>
  </r>
  <r>
    <n v="58616544"/>
    <s v="N"/>
    <n v="21343228"/>
    <s v="3000013739220002"/>
    <s v="CIVIL"/>
    <d v="2023-06-26T00:00:00"/>
    <d v="2023-07-07T19:03:00"/>
    <m/>
    <d v="2023-07-07T00:00:00"/>
    <n v="248"/>
    <n v="3002"/>
    <s v="58616544"/>
    <s v="58616544"/>
    <m/>
    <m/>
    <n v="22761408"/>
    <m/>
    <m/>
    <m/>
    <s v="SOLFIN"/>
    <s v="SOLFIN"/>
    <s v="CCMS"/>
    <n v="21343228"/>
    <n v="17802.31"/>
    <m/>
    <s v="N"/>
    <n v="82"/>
    <d v="2023-07-07T19:03:04"/>
    <s v="Y"/>
    <s v="Preparation - drafting statement"/>
    <s v="Care Remuneration Hourly Rates"/>
    <s v="Profit Cost"/>
    <s v="Helen Worden"/>
    <s v="Y"/>
    <n v="65.70999999999999"/>
    <n v="13.14"/>
    <x v="9"/>
    <s v="VALIDATED"/>
    <n v="1"/>
    <s v="01.11.80.308.6100.0000"/>
    <n v="65.70999999999999"/>
    <s v="11"/>
    <s v="6100"/>
    <n v="17368.56"/>
    <n v="65.70999999999999"/>
    <s v="CREDITOR"/>
    <n v="0"/>
    <n v="0"/>
    <n v="0"/>
    <n v="0"/>
    <n v="65.70999999999999"/>
  </r>
  <r>
    <n v="58616544"/>
    <s v="N"/>
    <n v="21343228"/>
    <s v="3000013739220002"/>
    <s v="CIVIL"/>
    <d v="2023-06-26T00:00:00"/>
    <d v="2023-07-07T19:03:00"/>
    <m/>
    <d v="2023-07-07T00:00:00"/>
    <n v="248"/>
    <n v="3002"/>
    <s v="58616544"/>
    <s v="58616544"/>
    <m/>
    <m/>
    <n v="22761408"/>
    <m/>
    <m/>
    <m/>
    <s v="SOLFIN"/>
    <s v="SOLFIN"/>
    <s v="CCMS"/>
    <n v="21343228"/>
    <n v="17802.31"/>
    <m/>
    <s v="N"/>
    <n v="120"/>
    <d v="2023-07-07T19:03:04"/>
    <s v="Y"/>
    <s v="Advocates Meeting"/>
    <s v="Public Law Children"/>
    <s v="Advocacy"/>
    <s v="Helen Worden"/>
    <s v="Y"/>
    <n v="140.99"/>
    <n v="28.2"/>
    <x v="9"/>
    <s v="VALIDATED"/>
    <n v="1"/>
    <s v="01.11.80.308.6100.0000"/>
    <n v="140.99"/>
    <s v="11"/>
    <s v="6100"/>
    <n v="17368.56"/>
    <n v="140.99"/>
    <s v="CREDITOR"/>
    <n v="0"/>
    <n v="0"/>
    <n v="0"/>
    <n v="0"/>
    <n v="140.99"/>
  </r>
  <r>
    <n v="58616544"/>
    <s v="N"/>
    <n v="21343228"/>
    <s v="3000013739220002"/>
    <s v="CIVIL"/>
    <d v="2023-06-26T00:00:00"/>
    <d v="2023-07-07T19:03:00"/>
    <m/>
    <d v="2023-07-07T00:00:00"/>
    <n v="248"/>
    <n v="3002"/>
    <s v="58616544"/>
    <s v="58616544"/>
    <m/>
    <m/>
    <n v="22761408"/>
    <m/>
    <m/>
    <m/>
    <s v="SOLFIN"/>
    <s v="SOLFIN"/>
    <s v="CCMS"/>
    <n v="21343228"/>
    <n v="17802.31"/>
    <m/>
    <s v="N"/>
    <n v="57"/>
    <d v="2023-07-07T19:03:04"/>
    <s v="Y"/>
    <s v="Routine Telephone Call"/>
    <s v="Care Remuneration Hourly Rates"/>
    <s v="Profit Cost"/>
    <s v="Kim Wintle"/>
    <s v="Y"/>
    <n v="3.69"/>
    <n v="0.74"/>
    <x v="9"/>
    <s v="VALIDATED"/>
    <n v="1"/>
    <s v="01.11.80.308.6100.0000"/>
    <n v="3.69"/>
    <s v="11"/>
    <s v="6100"/>
    <n v="17368.56"/>
    <n v="3.69"/>
    <s v="CREDITOR"/>
    <n v="0"/>
    <n v="0"/>
    <n v="0"/>
    <n v="0"/>
    <n v="3.69"/>
  </r>
  <r>
    <n v="58616544"/>
    <s v="N"/>
    <n v="21343228"/>
    <s v="3000013739220002"/>
    <s v="CIVIL"/>
    <d v="2023-06-26T00:00:00"/>
    <d v="2023-07-07T19:03:00"/>
    <m/>
    <d v="2023-07-07T00:00:00"/>
    <n v="248"/>
    <n v="3002"/>
    <s v="58616544"/>
    <s v="58616544"/>
    <m/>
    <m/>
    <n v="22761408"/>
    <m/>
    <m/>
    <m/>
    <s v="SOLFIN"/>
    <s v="SOLFIN"/>
    <s v="CCMS"/>
    <n v="21343228"/>
    <n v="17802.31"/>
    <m/>
    <s v="N"/>
    <n v="22"/>
    <d v="2023-07-07T19:03:04"/>
    <s v="Y"/>
    <s v="Preparation - drafting statement"/>
    <s v="Care Remuneration Hourly Rates"/>
    <s v="Profit Cost"/>
    <s v="Helen Worden"/>
    <s v="Y"/>
    <n v="13.14"/>
    <n v="2.63"/>
    <x v="9"/>
    <s v="VALIDATED"/>
    <n v="1"/>
    <s v="01.11.80.308.6100.0000"/>
    <n v="13.14"/>
    <s v="11"/>
    <s v="6100"/>
    <n v="17368.56"/>
    <n v="13.14"/>
    <s v="CREDITOR"/>
    <n v="0"/>
    <n v="0"/>
    <n v="0"/>
    <n v="0"/>
    <n v="13.14"/>
  </r>
  <r>
    <n v="58616544"/>
    <s v="N"/>
    <n v="21343228"/>
    <s v="3000013739220002"/>
    <s v="CIVIL"/>
    <d v="2023-06-26T00:00:00"/>
    <d v="2023-07-07T19:03:00"/>
    <m/>
    <d v="2023-07-07T00:00:00"/>
    <n v="248"/>
    <n v="3002"/>
    <s v="58616544"/>
    <s v="58616544"/>
    <m/>
    <m/>
    <n v="22761408"/>
    <m/>
    <m/>
    <m/>
    <s v="SOLFIN"/>
    <s v="SOLFIN"/>
    <s v="CCMS"/>
    <n v="21343228"/>
    <n v="17802.31"/>
    <m/>
    <s v="N"/>
    <n v="36"/>
    <d v="2023-07-07T19:03:04"/>
    <s v="Y"/>
    <s v="Preparation - drafting application"/>
    <s v="Care Remuneration Hourly Rates"/>
    <s v="Profit Cost"/>
    <s v="Helen Worden"/>
    <s v="Y"/>
    <n v="6.58"/>
    <n v="1.32"/>
    <x v="9"/>
    <s v="VALIDATED"/>
    <n v="1"/>
    <s v="01.11.80.308.6100.0000"/>
    <n v="6.58"/>
    <s v="11"/>
    <s v="6100"/>
    <n v="17368.56"/>
    <n v="6.58"/>
    <s v="CREDITOR"/>
    <n v="0"/>
    <n v="0"/>
    <n v="0"/>
    <n v="0"/>
    <n v="6.58"/>
  </r>
  <r>
    <n v="58616544"/>
    <s v="N"/>
    <n v="21343228"/>
    <s v="3000013739220002"/>
    <s v="CIVIL"/>
    <d v="2023-06-26T00:00:00"/>
    <d v="2023-07-07T19:03:00"/>
    <m/>
    <d v="2023-07-07T00:00:00"/>
    <n v="248"/>
    <n v="3002"/>
    <s v="58616544"/>
    <s v="58616544"/>
    <m/>
    <m/>
    <n v="22761408"/>
    <m/>
    <m/>
    <m/>
    <s v="SOLFIN"/>
    <s v="SOLFIN"/>
    <s v="CCMS"/>
    <n v="21343228"/>
    <n v="17802.31"/>
    <m/>
    <s v="N"/>
    <n v="89"/>
    <d v="2023-07-07T19:03:04"/>
    <s v="Y"/>
    <s v="Preparation - drafting pleadings"/>
    <s v="Care Remuneration Hourly Rates"/>
    <s v="Profit Cost"/>
    <s v="Helen Worden"/>
    <s v="Y"/>
    <n v="32.86"/>
    <n v="6.57"/>
    <x v="9"/>
    <s v="VALIDATED"/>
    <n v="1"/>
    <s v="01.11.80.308.6100.0000"/>
    <n v="32.86"/>
    <s v="11"/>
    <s v="6100"/>
    <n v="17368.56"/>
    <n v="32.86"/>
    <s v="CREDITOR"/>
    <n v="0"/>
    <n v="0"/>
    <n v="0"/>
    <n v="0"/>
    <n v="32.86"/>
  </r>
  <r>
    <n v="42259627"/>
    <s v="N"/>
    <n v="21333753"/>
    <s v="3000011285920001RC"/>
    <s v="CIVIL"/>
    <d v="2023-06-23T00:00:00"/>
    <d v="2023-07-05T19:42:28"/>
    <m/>
    <d v="2023-07-05T00:00:00"/>
    <n v="270"/>
    <n v="891"/>
    <s v="42259627"/>
    <s v="42259627"/>
    <m/>
    <m/>
    <m/>
    <m/>
    <m/>
    <m/>
    <s v="SOLRECOUP"/>
    <s v="SOLRECOUP"/>
    <s v="POARECOUP"/>
    <n v="21333753"/>
    <n v="-432"/>
    <m/>
    <s v="Y"/>
    <n v="2"/>
    <d v="2023-07-05T19:42:28"/>
    <s v="N"/>
    <m/>
    <m/>
    <s v="Expert Disbursement"/>
    <m/>
    <s v="N"/>
    <n v="0"/>
    <n v="-72"/>
    <x v="6"/>
    <s v="VALIDATED"/>
    <n v="1"/>
    <s v="01.11.80.308.2013.0000"/>
    <n v="-72"/>
    <s v="11"/>
    <s v="2013"/>
    <n v="49509.54"/>
    <n v="-72"/>
    <s v="CREDITOR"/>
    <n v="0"/>
    <n v="0"/>
    <n v="-72"/>
    <n v="0"/>
    <n v="0"/>
  </r>
  <r>
    <n v="42259627"/>
    <s v="N"/>
    <n v="21333754"/>
    <s v="3000011285920004RC"/>
    <s v="CIVIL"/>
    <d v="2023-06-23T00:00:00"/>
    <d v="2023-07-05T19:42:28"/>
    <m/>
    <d v="2023-07-05T00:00:00"/>
    <n v="270"/>
    <n v="891"/>
    <s v="42259627"/>
    <s v="42259627"/>
    <m/>
    <m/>
    <m/>
    <m/>
    <m/>
    <m/>
    <s v="SOLRECOUP"/>
    <s v="SOLRECOUP"/>
    <s v="POARECOUP"/>
    <n v="21333754"/>
    <n v="-486"/>
    <m/>
    <s v="Y"/>
    <n v="1"/>
    <d v="2023-07-05T19:42:28"/>
    <s v="N"/>
    <m/>
    <m/>
    <s v="Expert Disbursement"/>
    <m/>
    <s v="N"/>
    <n v="-405"/>
    <n v="0"/>
    <x v="6"/>
    <s v="VALIDATED"/>
    <n v="1"/>
    <s v="01.11.80.308.2013.0000"/>
    <n v="-405"/>
    <s v="11"/>
    <s v="2013"/>
    <n v="49509.54"/>
    <n v="-405"/>
    <s v="CREDITOR"/>
    <n v="0"/>
    <n v="0"/>
    <n v="-405"/>
    <n v="0"/>
    <n v="0"/>
  </r>
  <r>
    <n v="42259627"/>
    <s v="N"/>
    <n v="21333754"/>
    <s v="3000011285920004RC"/>
    <s v="CIVIL"/>
    <d v="2023-06-23T00:00:00"/>
    <d v="2023-07-05T19:42:28"/>
    <m/>
    <d v="2023-07-05T00:00:00"/>
    <n v="270"/>
    <n v="891"/>
    <s v="42259627"/>
    <s v="42259627"/>
    <m/>
    <m/>
    <m/>
    <m/>
    <m/>
    <m/>
    <s v="SOLRECOUP"/>
    <s v="SOLRECOUP"/>
    <s v="POARECOUP"/>
    <n v="21333754"/>
    <n v="-486"/>
    <m/>
    <s v="Y"/>
    <n v="2"/>
    <d v="2023-07-05T19:42:28"/>
    <s v="N"/>
    <m/>
    <m/>
    <s v="Expert Disbursement"/>
    <m/>
    <s v="N"/>
    <n v="0"/>
    <n v="-81"/>
    <x v="6"/>
    <s v="VALIDATED"/>
    <n v="1"/>
    <s v="01.11.80.308.2013.0000"/>
    <n v="-81"/>
    <s v="11"/>
    <s v="2013"/>
    <n v="49509.54"/>
    <n v="-81"/>
    <s v="CREDITOR"/>
    <n v="0"/>
    <n v="0"/>
    <n v="-81"/>
    <n v="0"/>
    <n v="0"/>
  </r>
  <r>
    <n v="60325701"/>
    <s v="N"/>
    <n v="21324288"/>
    <s v="3000014625530004RC"/>
    <s v="CIVIL"/>
    <d v="2023-06-22T00:00:00"/>
    <d v="2023-07-03T19:42:50"/>
    <m/>
    <d v="2023-07-03T00:00:00"/>
    <n v="270"/>
    <n v="891"/>
    <s v="60325701"/>
    <s v="60325701"/>
    <m/>
    <m/>
    <m/>
    <m/>
    <m/>
    <m/>
    <s v="SOLRECOUP"/>
    <s v="SOLRECOUP"/>
    <s v="POARECOUP"/>
    <n v="21324288"/>
    <n v="-85.5"/>
    <m/>
    <s v="Y"/>
    <n v="2"/>
    <d v="2023-07-03T19:42:51"/>
    <s v="N"/>
    <m/>
    <m/>
    <s v="Expert Disbursement"/>
    <m/>
    <s v="N"/>
    <n v="0"/>
    <n v="-14.25"/>
    <x v="3"/>
    <s v="VALIDATED"/>
    <n v="1"/>
    <s v="01.11.80.308.2013.0000"/>
    <n v="-14.25"/>
    <s v="11"/>
    <s v="2013"/>
    <n v="49509.54"/>
    <n v="-14.25"/>
    <s v="CREDITOR"/>
    <n v="0"/>
    <n v="0"/>
    <n v="-14.25"/>
    <n v="0"/>
    <n v="0"/>
  </r>
  <r>
    <n v="60902882"/>
    <s v="N"/>
    <n v="21324289"/>
    <s v="3000015122580004RC"/>
    <s v="CIVIL"/>
    <d v="2023-06-23T00:00:00"/>
    <d v="2023-07-03T19:42:50"/>
    <m/>
    <d v="2023-07-03T00:00:00"/>
    <n v="270"/>
    <n v="891"/>
    <s v="60902882"/>
    <s v="60902882"/>
    <m/>
    <m/>
    <m/>
    <m/>
    <m/>
    <m/>
    <s v="SOLRECOUP"/>
    <s v="SOLRECOUP"/>
    <s v="POARECOUP"/>
    <n v="21324289"/>
    <n v="-966.02"/>
    <m/>
    <s v="Y"/>
    <n v="2"/>
    <d v="2023-07-03T19:42:51"/>
    <s v="N"/>
    <m/>
    <m/>
    <s v="Expert Disbursement"/>
    <m/>
    <s v="N"/>
    <n v="0"/>
    <n v="-161"/>
    <x v="3"/>
    <s v="VALIDATED"/>
    <n v="1"/>
    <s v="01.11.80.308.2013.0000"/>
    <n v="-161"/>
    <s v="11"/>
    <s v="2013"/>
    <n v="49509.54"/>
    <n v="-161"/>
    <s v="CREDITOR"/>
    <n v="0"/>
    <n v="0"/>
    <n v="-161"/>
    <n v="0"/>
    <n v="0"/>
  </r>
  <r>
    <n v="40144488"/>
    <s v="N"/>
    <n v="21324283"/>
    <s v="3000010767640012RC"/>
    <s v="CIVIL"/>
    <d v="2023-06-27T00:00:00"/>
    <d v="2023-07-03T19:42:50"/>
    <m/>
    <d v="2023-07-03T00:00:00"/>
    <n v="270"/>
    <n v="891"/>
    <s v="40144488"/>
    <s v="40144488"/>
    <m/>
    <m/>
    <m/>
    <m/>
    <m/>
    <m/>
    <s v="SOLRECOUP"/>
    <s v="SOLRECOUP"/>
    <s v="POARECOUP"/>
    <n v="21324283"/>
    <n v="-129.6"/>
    <m/>
    <s v="Y"/>
    <n v="2"/>
    <d v="2023-07-03T19:42:51"/>
    <s v="N"/>
    <m/>
    <m/>
    <s v="Expert Disbursement"/>
    <m/>
    <s v="N"/>
    <n v="0"/>
    <n v="-21.6"/>
    <x v="3"/>
    <s v="VALIDATED"/>
    <n v="1"/>
    <s v="01.11.80.308.2013.0000"/>
    <n v="-21.6"/>
    <s v="11"/>
    <s v="2013"/>
    <n v="49509.54"/>
    <n v="-21.6"/>
    <s v="CREDITOR"/>
    <n v="0"/>
    <n v="0"/>
    <n v="-21.6"/>
    <n v="0"/>
    <n v="0"/>
  </r>
  <r>
    <n v="40144488"/>
    <s v="N"/>
    <n v="21324283"/>
    <s v="3000010767640012RC"/>
    <s v="CIVIL"/>
    <d v="2023-06-27T00:00:00"/>
    <d v="2023-07-03T19:42:50"/>
    <m/>
    <d v="2023-07-03T00:00:00"/>
    <n v="270"/>
    <n v="891"/>
    <s v="40144488"/>
    <s v="40144488"/>
    <m/>
    <m/>
    <m/>
    <m/>
    <m/>
    <m/>
    <s v="SOLRECOUP"/>
    <s v="SOLRECOUP"/>
    <s v="POARECOUP"/>
    <n v="21324283"/>
    <n v="-129.6"/>
    <m/>
    <s v="Y"/>
    <n v="1"/>
    <d v="2023-07-03T19:42:51"/>
    <s v="N"/>
    <m/>
    <m/>
    <s v="Expert Disbursement"/>
    <m/>
    <s v="N"/>
    <n v="-108"/>
    <n v="0"/>
    <x v="3"/>
    <s v="VALIDATED"/>
    <n v="1"/>
    <s v="01.11.80.308.2013.0000"/>
    <n v="-108"/>
    <s v="11"/>
    <s v="2013"/>
    <n v="49509.54"/>
    <n v="-108"/>
    <s v="CREDITOR"/>
    <n v="0"/>
    <n v="0"/>
    <n v="-108"/>
    <n v="0"/>
    <n v="0"/>
  </r>
  <r>
    <n v="60325701"/>
    <s v="N"/>
    <n v="21324284"/>
    <s v="3000014625530005RC"/>
    <s v="CIVIL"/>
    <d v="2023-06-22T00:00:00"/>
    <d v="2023-07-03T19:42:50"/>
    <m/>
    <d v="2023-07-03T00:00:00"/>
    <n v="270"/>
    <n v="891"/>
    <s v="60325701"/>
    <s v="60325701"/>
    <m/>
    <m/>
    <m/>
    <m/>
    <m/>
    <m/>
    <s v="SOLRECOUP"/>
    <s v="SOLRECOUP"/>
    <s v="POARECOUP"/>
    <n v="21324284"/>
    <n v="-48"/>
    <m/>
    <s v="Y"/>
    <n v="1"/>
    <d v="2023-07-03T19:42:51"/>
    <s v="N"/>
    <m/>
    <m/>
    <s v="Expert Disbursement"/>
    <m/>
    <s v="N"/>
    <n v="-40"/>
    <n v="0"/>
    <x v="3"/>
    <s v="VALIDATED"/>
    <n v="1"/>
    <s v="01.11.80.308.2013.0000"/>
    <n v="-40"/>
    <s v="11"/>
    <s v="2013"/>
    <n v="49509.54"/>
    <n v="-40"/>
    <s v="CREDITOR"/>
    <n v="0"/>
    <n v="0"/>
    <n v="-40"/>
    <n v="0"/>
    <n v="0"/>
  </r>
  <r>
    <n v="60325701"/>
    <s v="N"/>
    <n v="21324284"/>
    <s v="3000014625530005RC"/>
    <s v="CIVIL"/>
    <d v="2023-06-22T00:00:00"/>
    <d v="2023-07-03T19:42:50"/>
    <m/>
    <d v="2023-07-03T00:00:00"/>
    <n v="270"/>
    <n v="891"/>
    <s v="60325701"/>
    <s v="60325701"/>
    <m/>
    <m/>
    <m/>
    <m/>
    <m/>
    <m/>
    <s v="SOLRECOUP"/>
    <s v="SOLRECOUP"/>
    <s v="POARECOUP"/>
    <n v="21324284"/>
    <n v="-48"/>
    <m/>
    <s v="Y"/>
    <n v="2"/>
    <d v="2023-07-03T19:42:51"/>
    <s v="N"/>
    <m/>
    <m/>
    <s v="Expert Disbursement"/>
    <m/>
    <s v="N"/>
    <n v="0"/>
    <n v="-8"/>
    <x v="3"/>
    <s v="VALIDATED"/>
    <n v="1"/>
    <s v="01.11.80.308.2013.0000"/>
    <n v="-8"/>
    <s v="11"/>
    <s v="2013"/>
    <n v="49509.54"/>
    <n v="-8"/>
    <s v="CREDITOR"/>
    <n v="0"/>
    <n v="0"/>
    <n v="-8"/>
    <n v="0"/>
    <n v="0"/>
  </r>
  <r>
    <n v="60325701"/>
    <s v="N"/>
    <n v="21324285"/>
    <s v="3000014625530001RC"/>
    <s v="CIVIL"/>
    <d v="2023-06-22T00:00:00"/>
    <d v="2023-07-03T19:42:50"/>
    <m/>
    <d v="2023-07-03T00:00:00"/>
    <n v="270"/>
    <n v="891"/>
    <s v="60325701"/>
    <s v="60325701"/>
    <m/>
    <m/>
    <m/>
    <m/>
    <m/>
    <m/>
    <s v="SOLRECOUP"/>
    <s v="SOLRECOUP"/>
    <s v="POARECOUP"/>
    <n v="21324285"/>
    <n v="-159.9"/>
    <m/>
    <s v="Y"/>
    <n v="1"/>
    <d v="2023-07-03T19:42:51"/>
    <s v="N"/>
    <m/>
    <m/>
    <s v="Expert Disbursement"/>
    <m/>
    <s v="N"/>
    <n v="-133.25"/>
    <n v="0"/>
    <x v="3"/>
    <s v="VALIDATED"/>
    <n v="1"/>
    <s v="01.11.80.308.2013.0000"/>
    <n v="-133.25"/>
    <s v="11"/>
    <s v="2013"/>
    <n v="49509.54"/>
    <n v="-133.25"/>
    <s v="CREDITOR"/>
    <n v="0"/>
    <n v="0"/>
    <n v="-133.25"/>
    <n v="0"/>
    <n v="0"/>
  </r>
  <r>
    <n v="60325701"/>
    <s v="N"/>
    <n v="21324285"/>
    <s v="3000014625530001RC"/>
    <s v="CIVIL"/>
    <d v="2023-06-22T00:00:00"/>
    <d v="2023-07-03T19:42:50"/>
    <m/>
    <d v="2023-07-03T00:00:00"/>
    <n v="270"/>
    <n v="891"/>
    <s v="60325701"/>
    <s v="60325701"/>
    <m/>
    <m/>
    <m/>
    <m/>
    <m/>
    <m/>
    <s v="SOLRECOUP"/>
    <s v="SOLRECOUP"/>
    <s v="POARECOUP"/>
    <n v="21324285"/>
    <n v="-159.9"/>
    <m/>
    <s v="Y"/>
    <n v="2"/>
    <d v="2023-07-03T19:42:51"/>
    <s v="N"/>
    <m/>
    <m/>
    <s v="Expert Disbursement"/>
    <m/>
    <s v="N"/>
    <n v="0"/>
    <n v="-26.65"/>
    <x v="3"/>
    <s v="VALIDATED"/>
    <n v="1"/>
    <s v="01.11.80.308.2013.0000"/>
    <n v="-26.65"/>
    <s v="11"/>
    <s v="2013"/>
    <n v="49509.54"/>
    <n v="-26.65"/>
    <s v="CREDITOR"/>
    <n v="0"/>
    <n v="0"/>
    <n v="-26.65"/>
    <n v="0"/>
    <n v="0"/>
  </r>
  <r>
    <n v="60325701"/>
    <s v="N"/>
    <n v="21324286"/>
    <s v="3000014625530002RC"/>
    <s v="CIVIL"/>
    <d v="2023-06-22T00:00:00"/>
    <d v="2023-07-03T19:42:50"/>
    <m/>
    <d v="2023-07-03T00:00:00"/>
    <n v="270"/>
    <n v="891"/>
    <s v="60325701"/>
    <s v="60325701"/>
    <m/>
    <m/>
    <m/>
    <m/>
    <m/>
    <m/>
    <s v="SOLRECOUP"/>
    <s v="SOLRECOUP"/>
    <s v="POARECOUP"/>
    <n v="21324286"/>
    <n v="-375.12"/>
    <m/>
    <s v="Y"/>
    <n v="1"/>
    <d v="2023-07-03T19:42:51"/>
    <s v="N"/>
    <m/>
    <m/>
    <s v="Expert Disbursement"/>
    <m/>
    <s v="N"/>
    <n v="-312.6"/>
    <n v="0"/>
    <x v="3"/>
    <s v="VALIDATED"/>
    <n v="1"/>
    <s v="01.11.80.308.2013.0000"/>
    <n v="-312.6"/>
    <s v="11"/>
    <s v="2013"/>
    <n v="49509.54"/>
    <n v="-312.6"/>
    <s v="CREDITOR"/>
    <n v="0"/>
    <n v="0"/>
    <n v="-312.6"/>
    <n v="0"/>
    <n v="0"/>
  </r>
  <r>
    <n v="60325701"/>
    <s v="N"/>
    <n v="21324286"/>
    <s v="3000014625530002RC"/>
    <s v="CIVIL"/>
    <d v="2023-06-22T00:00:00"/>
    <d v="2023-07-03T19:42:50"/>
    <m/>
    <d v="2023-07-03T00:00:00"/>
    <n v="270"/>
    <n v="891"/>
    <s v="60325701"/>
    <s v="60325701"/>
    <m/>
    <m/>
    <m/>
    <m/>
    <m/>
    <m/>
    <s v="SOLRECOUP"/>
    <s v="SOLRECOUP"/>
    <s v="POARECOUP"/>
    <n v="21324286"/>
    <n v="-375.12"/>
    <m/>
    <s v="Y"/>
    <n v="2"/>
    <d v="2023-07-03T19:42:51"/>
    <s v="N"/>
    <m/>
    <m/>
    <s v="Expert Disbursement"/>
    <m/>
    <s v="N"/>
    <n v="0"/>
    <n v="-62.52"/>
    <x v="3"/>
    <s v="VALIDATED"/>
    <n v="1"/>
    <s v="01.11.80.308.2013.0000"/>
    <n v="-62.52"/>
    <s v="11"/>
    <s v="2013"/>
    <n v="49509.54"/>
    <n v="-62.52"/>
    <s v="CREDITOR"/>
    <n v="0"/>
    <n v="0"/>
    <n v="-62.52"/>
    <n v="0"/>
    <n v="0"/>
  </r>
  <r>
    <n v="60902882"/>
    <s v="N"/>
    <n v="21324287"/>
    <s v="3000015122580010RC"/>
    <s v="CIVIL"/>
    <d v="2023-06-23T00:00:00"/>
    <d v="2023-07-03T19:42:50"/>
    <m/>
    <d v="2023-07-03T00:00:00"/>
    <n v="270"/>
    <n v="891"/>
    <s v="60902882"/>
    <s v="60902882"/>
    <m/>
    <m/>
    <m/>
    <m/>
    <m/>
    <m/>
    <s v="SOLRECOUP"/>
    <s v="SOLRECOUP"/>
    <s v="POARECOUP"/>
    <n v="21324287"/>
    <n v="-315.25"/>
    <m/>
    <s v="Y"/>
    <n v="2"/>
    <d v="2023-07-03T19:42:51"/>
    <s v="N"/>
    <m/>
    <m/>
    <s v="Expert Disbursement"/>
    <m/>
    <s v="N"/>
    <n v="0"/>
    <n v="-52.54"/>
    <x v="3"/>
    <s v="VALIDATED"/>
    <n v="1"/>
    <s v="01.11.80.308.2013.0000"/>
    <n v="-52.54"/>
    <s v="11"/>
    <s v="2013"/>
    <n v="49509.54"/>
    <n v="-52.54"/>
    <s v="CREDITOR"/>
    <n v="0"/>
    <n v="0"/>
    <n v="-52.54"/>
    <n v="0"/>
    <n v="0"/>
  </r>
  <r>
    <n v="60902882"/>
    <s v="N"/>
    <n v="21324287"/>
    <s v="3000015122580010RC"/>
    <s v="CIVIL"/>
    <d v="2023-06-23T00:00:00"/>
    <d v="2023-07-03T19:42:50"/>
    <m/>
    <d v="2023-07-03T00:00:00"/>
    <n v="270"/>
    <n v="891"/>
    <s v="60902882"/>
    <s v="60902882"/>
    <m/>
    <m/>
    <m/>
    <m/>
    <m/>
    <m/>
    <s v="SOLRECOUP"/>
    <s v="SOLRECOUP"/>
    <s v="POARECOUP"/>
    <n v="21324287"/>
    <n v="-315.25"/>
    <m/>
    <s v="Y"/>
    <n v="1"/>
    <d v="2023-07-03T19:42:51"/>
    <s v="N"/>
    <m/>
    <m/>
    <s v="Expert Disbursement"/>
    <m/>
    <s v="N"/>
    <n v="-262.71"/>
    <n v="0"/>
    <x v="3"/>
    <s v="VALIDATED"/>
    <n v="1"/>
    <s v="01.11.80.308.2013.0000"/>
    <n v="-262.71"/>
    <s v="11"/>
    <s v="2013"/>
    <n v="49509.54"/>
    <n v="-262.71"/>
    <s v="CREDITOR"/>
    <n v="0"/>
    <n v="0"/>
    <n v="-262.71"/>
    <n v="0"/>
    <n v="0"/>
  </r>
  <r>
    <n v="60325701"/>
    <s v="N"/>
    <n v="21324288"/>
    <s v="3000014625530004RC"/>
    <s v="CIVIL"/>
    <d v="2023-06-22T00:00:00"/>
    <d v="2023-07-03T19:42:50"/>
    <m/>
    <d v="2023-07-03T00:00:00"/>
    <n v="270"/>
    <n v="891"/>
    <s v="60325701"/>
    <s v="60325701"/>
    <m/>
    <m/>
    <m/>
    <m/>
    <m/>
    <m/>
    <s v="SOLRECOUP"/>
    <s v="SOLRECOUP"/>
    <s v="POARECOUP"/>
    <n v="21324288"/>
    <n v="-85.5"/>
    <m/>
    <s v="Y"/>
    <n v="1"/>
    <d v="2023-07-03T19:42:51"/>
    <s v="N"/>
    <m/>
    <m/>
    <s v="Expert Disbursement"/>
    <m/>
    <s v="N"/>
    <n v="-71.25"/>
    <n v="0"/>
    <x v="3"/>
    <s v="VALIDATED"/>
    <n v="1"/>
    <s v="01.11.80.308.2013.0000"/>
    <n v="-71.25"/>
    <s v="11"/>
    <s v="2013"/>
    <n v="49509.54"/>
    <n v="-71.25"/>
    <s v="CREDITOR"/>
    <n v="0"/>
    <n v="0"/>
    <n v="-71.25"/>
    <n v="0"/>
    <n v="0"/>
  </r>
  <r>
    <n v="60485628"/>
    <s v="N"/>
    <n v="21369638"/>
    <s v="3000014763550002"/>
    <s v="CIVIL"/>
    <d v="2023-06-19T00:00:00"/>
    <d v="2023-07-13T19:21:05"/>
    <m/>
    <d v="2023-07-13T00:00:00"/>
    <n v="270"/>
    <n v="891"/>
    <s v="60485628"/>
    <s v="60485628"/>
    <m/>
    <m/>
    <n v="22711824"/>
    <m/>
    <m/>
    <m/>
    <s v="SOLFIN"/>
    <s v="SOLFIN"/>
    <s v="CCMS"/>
    <n v="21369638"/>
    <n v="1641.88"/>
    <m/>
    <s v="N"/>
    <n v="17"/>
    <d v="2023-07-13T19:21:08"/>
    <s v="Y"/>
    <s v="Preparation - other"/>
    <s v="Prescribed Hourly Rates"/>
    <s v="Profit Cost"/>
    <s v="Penelope Moult"/>
    <s v="Y"/>
    <n v="27.32"/>
    <n v="5.46"/>
    <x v="11"/>
    <s v="VALIDATED"/>
    <n v="1"/>
    <s v="01.11.80.307.6100.0000"/>
    <n v="27.32"/>
    <s v="11"/>
    <s v="6100"/>
    <n v="49509.54"/>
    <n v="27.32"/>
    <s v="CREDITOR"/>
    <n v="0"/>
    <n v="0"/>
    <n v="0"/>
    <n v="0"/>
    <n v="27.32"/>
  </r>
  <r>
    <n v="7431730"/>
    <s v="N"/>
    <n v="21318708"/>
    <s v="3000003621200005"/>
    <s v="CIVIL"/>
    <d v="2023-06-22T00:00:00"/>
    <d v="2023-07-03T19:01:49"/>
    <m/>
    <d v="2023-07-03T00:00:00"/>
    <n v="270"/>
    <n v="891"/>
    <s v="7431730"/>
    <s v="7431730"/>
    <m/>
    <m/>
    <n v="22747114"/>
    <m/>
    <m/>
    <m/>
    <s v="SOLFIN"/>
    <s v="SOLFIN"/>
    <s v="CCMS"/>
    <n v="21318708"/>
    <n v="22428.48"/>
    <m/>
    <s v="N"/>
    <n v="60"/>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64"/>
    <d v="2023-07-03T19:02:01"/>
    <s v="Y"/>
    <s v="Preparation - other"/>
    <s v="Prescribed Hourly Rates"/>
    <s v="Profit Cost"/>
    <s v="PM"/>
    <s v="Y"/>
    <n v="24.35"/>
    <n v="4.87"/>
    <x v="3"/>
    <s v="VALIDATED"/>
    <n v="1"/>
    <s v="01.11.80.307.6100.0000"/>
    <n v="24.35"/>
    <s v="11"/>
    <s v="6100"/>
    <n v="49509.54"/>
    <n v="24.35"/>
    <s v="CREDITOR"/>
    <n v="0"/>
    <n v="0"/>
    <n v="0"/>
    <n v="0"/>
    <n v="24.35"/>
  </r>
  <r>
    <n v="42259627"/>
    <s v="N"/>
    <n v="21331008"/>
    <s v="3000011285920006"/>
    <s v="CIVIL"/>
    <d v="2023-06-23T00:00:00"/>
    <d v="2023-07-05T19:01:47"/>
    <m/>
    <d v="2023-07-05T00:00:00"/>
    <n v="270"/>
    <n v="891"/>
    <s v="42259627"/>
    <s v="42259627"/>
    <m/>
    <m/>
    <n v="22756168"/>
    <m/>
    <m/>
    <m/>
    <s v="SOLFIN"/>
    <s v="SOLFIN"/>
    <s v="CCMS"/>
    <n v="21331008"/>
    <n v="11329.24"/>
    <m/>
    <s v="N"/>
    <n v="14"/>
    <d v="2023-07-05T19:02:01"/>
    <s v="Y"/>
    <s v="Hearing Unit 2.31 - 5.00 Hours"/>
    <s v="Public Law Children"/>
    <s v="Advocacy"/>
    <s v="Maria Orme"/>
    <s v="Y"/>
    <n v="476.92"/>
    <n v="95.38"/>
    <x v="6"/>
    <s v="VALIDATED"/>
    <n v="1"/>
    <s v="01.11.80.308.6100.0000"/>
    <n v="476.92"/>
    <s v="11"/>
    <s v="6100"/>
    <n v="49509.54"/>
    <n v="476.92"/>
    <s v="CREDITOR"/>
    <n v="0"/>
    <n v="0"/>
    <n v="0"/>
    <n v="0"/>
    <n v="476.92"/>
  </r>
  <r>
    <n v="60258535"/>
    <s v="N"/>
    <n v="21318601"/>
    <s v="3000014566280010"/>
    <s v="CIVIL"/>
    <d v="2023-06-22T00:00:00"/>
    <d v="2023-07-03T19:01:49"/>
    <m/>
    <d v="2023-07-03T00:00:00"/>
    <n v="270"/>
    <n v="891"/>
    <s v="60258535"/>
    <s v="60258535"/>
    <m/>
    <m/>
    <n v="22748030"/>
    <m/>
    <m/>
    <m/>
    <s v="SOLFIN"/>
    <s v="SOLFIN"/>
    <s v="CCMS"/>
    <n v="21318601"/>
    <n v="8270.030000000001"/>
    <m/>
    <s v="N"/>
    <n v="12"/>
    <d v="2023-07-03T19:02:00"/>
    <s v="Y"/>
    <s v="Advocates Meeting"/>
    <s v="Public Law Children"/>
    <s v="Advocacy"/>
    <s v="Kate Siddall"/>
    <s v="Y"/>
    <n v="140.99"/>
    <n v="28.2"/>
    <x v="3"/>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29"/>
    <d v="2023-07-03T19:02:01"/>
    <s v="Y"/>
    <s v="Preparation - other"/>
    <s v="Prescribed Hourly Rates"/>
    <s v="Profit Cost"/>
    <s v="PM"/>
    <s v="Y"/>
    <n v="48.69"/>
    <n v="9.74"/>
    <x v="3"/>
    <s v="VALIDATED"/>
    <n v="1"/>
    <s v="01.11.80.307.6100.0000"/>
    <n v="48.69"/>
    <s v="11"/>
    <s v="6100"/>
    <n v="49509.54"/>
    <n v="48.69"/>
    <s v="CREDITOR"/>
    <n v="0"/>
    <n v="0"/>
    <n v="0"/>
    <n v="0"/>
    <n v="48.69"/>
  </r>
  <r>
    <n v="7431730"/>
    <s v="N"/>
    <n v="21318708"/>
    <s v="3000003621200005"/>
    <s v="CIVIL"/>
    <d v="2023-06-22T00:00:00"/>
    <d v="2023-07-03T19:01:49"/>
    <m/>
    <d v="2023-07-03T00:00:00"/>
    <n v="270"/>
    <n v="891"/>
    <s v="7431730"/>
    <s v="7431730"/>
    <m/>
    <m/>
    <n v="22747114"/>
    <m/>
    <m/>
    <m/>
    <s v="SOLFIN"/>
    <s v="SOLFIN"/>
    <s v="CCMS"/>
    <n v="21318708"/>
    <n v="22428.48"/>
    <m/>
    <s v="N"/>
    <n v="37"/>
    <d v="2023-07-03T19:02:01"/>
    <s v="Y"/>
    <s v="Preparation - other"/>
    <s v="Prescribed Hourly Rates"/>
    <s v="Profit Cost"/>
    <s v="PM"/>
    <s v="Y"/>
    <n v="32.45"/>
    <n v="6.49"/>
    <x v="3"/>
    <s v="VALIDATED"/>
    <n v="1"/>
    <s v="01.11.80.307.6100.0000"/>
    <n v="32.45"/>
    <s v="11"/>
    <s v="6100"/>
    <n v="49509.54"/>
    <n v="32.45"/>
    <s v="CREDITOR"/>
    <n v="0"/>
    <n v="0"/>
    <n v="0"/>
    <n v="0"/>
    <n v="32.45"/>
  </r>
  <r>
    <n v="60325701"/>
    <s v="N"/>
    <n v="21318301"/>
    <s v="3000014625530008"/>
    <s v="CIVIL"/>
    <d v="2023-06-22T00:00:00"/>
    <d v="2023-07-03T19:01:49"/>
    <m/>
    <d v="2023-07-03T00:00:00"/>
    <n v="270"/>
    <n v="891"/>
    <s v="60325701"/>
    <s v="60325701"/>
    <m/>
    <m/>
    <n v="22742148"/>
    <m/>
    <m/>
    <m/>
    <s v="SOLFIN"/>
    <s v="SOLFIN"/>
    <s v="CCMS"/>
    <n v="21318301"/>
    <n v="9824.93"/>
    <m/>
    <s v="N"/>
    <n v="27"/>
    <d v="2023-07-03T19:01:53"/>
    <s v="Y"/>
    <s v="Hearing Unit 2.31 - 5.00 Hours"/>
    <s v="Public Law Children"/>
    <s v="Advocacy"/>
    <s v="Penelope Moult"/>
    <s v="Y"/>
    <n v="476.92"/>
    <n v="95.38"/>
    <x v="3"/>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26"/>
    <d v="2023-07-03T19:02:01"/>
    <s v="Y"/>
    <s v="Preparation - other"/>
    <s v="Prescribed Hourly Rates"/>
    <s v="Profit Cost"/>
    <s v="PM"/>
    <s v="Y"/>
    <n v="64.92"/>
    <n v="12.98"/>
    <x v="3"/>
    <s v="VALIDATED"/>
    <n v="1"/>
    <s v="01.11.80.307.6100.0000"/>
    <n v="64.92"/>
    <s v="11"/>
    <s v="6100"/>
    <n v="49509.54"/>
    <n v="64.92"/>
    <s v="CREDITOR"/>
    <n v="0"/>
    <n v="0"/>
    <n v="0"/>
    <n v="0"/>
    <n v="64.92"/>
  </r>
  <r>
    <n v="7431730"/>
    <s v="N"/>
    <n v="21318708"/>
    <s v="3000003621200005"/>
    <s v="CIVIL"/>
    <d v="2023-06-22T00:00:00"/>
    <d v="2023-07-03T19:01:49"/>
    <m/>
    <d v="2023-07-03T00:00:00"/>
    <n v="270"/>
    <n v="891"/>
    <s v="7431730"/>
    <s v="7431730"/>
    <m/>
    <m/>
    <n v="22747114"/>
    <m/>
    <m/>
    <m/>
    <s v="SOLFIN"/>
    <s v="SOLFIN"/>
    <s v="CCMS"/>
    <n v="21318708"/>
    <n v="22428.48"/>
    <m/>
    <s v="N"/>
    <n v="98"/>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43"/>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42259627"/>
    <s v="N"/>
    <n v="21331008"/>
    <s v="3000011285920006"/>
    <s v="CIVIL"/>
    <d v="2023-06-23T00:00:00"/>
    <d v="2023-07-05T19:01:47"/>
    <m/>
    <d v="2023-07-05T00:00:00"/>
    <n v="270"/>
    <n v="891"/>
    <s v="42259627"/>
    <s v="42259627"/>
    <m/>
    <m/>
    <n v="22756168"/>
    <m/>
    <m/>
    <m/>
    <s v="SOLFIN"/>
    <s v="SOLFIN"/>
    <s v="CCMS"/>
    <n v="21331008"/>
    <n v="11329.24"/>
    <m/>
    <s v="N"/>
    <n v="20"/>
    <d v="2023-07-05T19:02:01"/>
    <s v="Y"/>
    <s v="Advocates Meeting"/>
    <s v="Public Law Children"/>
    <s v="Advocacy"/>
    <s v="Maria Orme"/>
    <s v="Y"/>
    <n v="140.99"/>
    <n v="28.2"/>
    <x v="6"/>
    <s v="VALIDATED"/>
    <n v="1"/>
    <s v="01.11.80.308.6100.0000"/>
    <n v="140.99"/>
    <s v="11"/>
    <s v="6100"/>
    <n v="49509.54"/>
    <n v="140.99"/>
    <s v="CREDITOR"/>
    <n v="0"/>
    <n v="0"/>
    <n v="0"/>
    <n v="0"/>
    <n v="140.99"/>
  </r>
  <r>
    <n v="60902882"/>
    <s v="N"/>
    <n v="21324289"/>
    <s v="3000015122580004RC"/>
    <s v="CIVIL"/>
    <d v="2023-06-23T00:00:00"/>
    <d v="2023-07-03T19:42:50"/>
    <m/>
    <d v="2023-07-03T00:00:00"/>
    <n v="270"/>
    <n v="891"/>
    <s v="60902882"/>
    <s v="60902882"/>
    <m/>
    <m/>
    <m/>
    <m/>
    <m/>
    <m/>
    <s v="SOLRECOUP"/>
    <s v="SOLRECOUP"/>
    <s v="POARECOUP"/>
    <n v="21324289"/>
    <n v="-966.02"/>
    <m/>
    <s v="Y"/>
    <n v="1"/>
    <d v="2023-07-03T19:42:51"/>
    <s v="N"/>
    <m/>
    <m/>
    <s v="Expert Disbursement"/>
    <m/>
    <s v="N"/>
    <n v="-805.02"/>
    <n v="0"/>
    <x v="3"/>
    <s v="VALIDATED"/>
    <n v="1"/>
    <s v="01.11.80.308.2013.0000"/>
    <n v="-805.02"/>
    <s v="11"/>
    <s v="2013"/>
    <n v="49509.54"/>
    <n v="-805.02"/>
    <s v="CREDITOR"/>
    <n v="0"/>
    <n v="0"/>
    <n v="-805.02"/>
    <n v="0"/>
    <n v="0"/>
  </r>
  <r>
    <n v="60902882"/>
    <s v="N"/>
    <n v="21324290"/>
    <s v="3000015122580005RC"/>
    <s v="CIVIL"/>
    <d v="2023-06-23T00:00:00"/>
    <d v="2023-07-03T19:42:50"/>
    <m/>
    <d v="2023-07-03T00:00:00"/>
    <n v="270"/>
    <n v="891"/>
    <s v="60902882"/>
    <s v="60902882"/>
    <m/>
    <m/>
    <m/>
    <m/>
    <m/>
    <m/>
    <s v="SOLRECOUP"/>
    <s v="SOLRECOUP"/>
    <s v="POARECOUP"/>
    <n v="21324290"/>
    <n v="-405"/>
    <m/>
    <s v="Y"/>
    <n v="2"/>
    <d v="2023-07-03T19:42:51"/>
    <s v="N"/>
    <m/>
    <m/>
    <s v="Expert Disbursement"/>
    <m/>
    <s v="N"/>
    <n v="0"/>
    <n v="0"/>
    <x v="3"/>
    <s v="VALIDATED"/>
    <n v="1"/>
    <s v="01.11.80.000.0000.0000"/>
    <n v="0"/>
    <s v="11"/>
    <s v="0000"/>
    <n v="49509.54"/>
    <n v="0"/>
    <s v="CREDITOR"/>
    <n v="0"/>
    <n v="0"/>
    <n v="0"/>
    <n v="0"/>
    <n v="0"/>
  </r>
  <r>
    <n v="60902882"/>
    <s v="N"/>
    <n v="21324290"/>
    <s v="3000015122580005RC"/>
    <s v="CIVIL"/>
    <d v="2023-06-23T00:00:00"/>
    <d v="2023-07-03T19:42:50"/>
    <m/>
    <d v="2023-07-03T00:00:00"/>
    <n v="270"/>
    <n v="891"/>
    <s v="60902882"/>
    <s v="60902882"/>
    <m/>
    <m/>
    <m/>
    <m/>
    <m/>
    <m/>
    <s v="SOLRECOUP"/>
    <s v="SOLRECOUP"/>
    <s v="POARECOUP"/>
    <n v="21324290"/>
    <n v="-405"/>
    <m/>
    <s v="Y"/>
    <n v="1"/>
    <d v="2023-07-03T19:42:51"/>
    <s v="N"/>
    <m/>
    <m/>
    <s v="Expert Disbursement"/>
    <m/>
    <s v="N"/>
    <n v="-405"/>
    <n v="0"/>
    <x v="3"/>
    <s v="VALIDATED"/>
    <n v="1"/>
    <s v="01.11.80.308.2013.0000"/>
    <n v="-405"/>
    <s v="11"/>
    <s v="2013"/>
    <n v="49509.54"/>
    <n v="-405"/>
    <s v="CREDITOR"/>
    <n v="0"/>
    <n v="0"/>
    <n v="-405"/>
    <n v="0"/>
    <n v="0"/>
  </r>
  <r>
    <n v="60325701"/>
    <s v="N"/>
    <n v="21324291"/>
    <s v="3000014625530007RC"/>
    <s v="CIVIL"/>
    <d v="2023-06-22T00:00:00"/>
    <d v="2023-07-03T19:42:50"/>
    <m/>
    <d v="2023-07-03T00:00:00"/>
    <n v="270"/>
    <n v="891"/>
    <s v="60325701"/>
    <s v="60325701"/>
    <m/>
    <m/>
    <m/>
    <m/>
    <m/>
    <m/>
    <s v="SOLRECOUP"/>
    <s v="SOLRECOUP"/>
    <s v="POARECOUP"/>
    <n v="21324291"/>
    <n v="-153.3"/>
    <m/>
    <s v="Y"/>
    <n v="1"/>
    <d v="2023-07-03T19:42:51"/>
    <s v="N"/>
    <m/>
    <m/>
    <s v="Expert Disbursement"/>
    <m/>
    <s v="N"/>
    <n v="-127.75"/>
    <n v="0"/>
    <x v="3"/>
    <s v="VALIDATED"/>
    <n v="1"/>
    <s v="01.11.80.308.2013.0000"/>
    <n v="-127.75"/>
    <s v="11"/>
    <s v="2013"/>
    <n v="49509.54"/>
    <n v="-127.75"/>
    <s v="CREDITOR"/>
    <n v="0"/>
    <n v="0"/>
    <n v="-127.75"/>
    <n v="0"/>
    <n v="0"/>
  </r>
  <r>
    <n v="60325701"/>
    <s v="N"/>
    <n v="21324291"/>
    <s v="3000014625530007RC"/>
    <s v="CIVIL"/>
    <d v="2023-06-22T00:00:00"/>
    <d v="2023-07-03T19:42:50"/>
    <m/>
    <d v="2023-07-03T00:00:00"/>
    <n v="270"/>
    <n v="891"/>
    <s v="60325701"/>
    <s v="60325701"/>
    <m/>
    <m/>
    <m/>
    <m/>
    <m/>
    <m/>
    <s v="SOLRECOUP"/>
    <s v="SOLRECOUP"/>
    <s v="POARECOUP"/>
    <n v="21324291"/>
    <n v="-153.3"/>
    <m/>
    <s v="Y"/>
    <n v="2"/>
    <d v="2023-07-03T19:42:51"/>
    <s v="N"/>
    <m/>
    <m/>
    <s v="Expert Disbursement"/>
    <m/>
    <s v="N"/>
    <n v="0"/>
    <n v="-25.55"/>
    <x v="3"/>
    <s v="VALIDATED"/>
    <n v="1"/>
    <s v="01.11.80.308.2013.0000"/>
    <n v="-25.55"/>
    <s v="11"/>
    <s v="2013"/>
    <n v="49509.54"/>
    <n v="-25.55"/>
    <s v="CREDITOR"/>
    <n v="0"/>
    <n v="0"/>
    <n v="-25.55"/>
    <n v="0"/>
    <n v="0"/>
  </r>
  <r>
    <n v="40144488"/>
    <s v="N"/>
    <n v="21324292"/>
    <s v="3000010767640021RC"/>
    <s v="CIVIL"/>
    <d v="2023-06-27T00:00:00"/>
    <d v="2023-07-03T19:42:50"/>
    <m/>
    <d v="2023-07-03T00:00:00"/>
    <n v="270"/>
    <n v="891"/>
    <s v="40144488"/>
    <s v="40144488"/>
    <m/>
    <m/>
    <m/>
    <m/>
    <m/>
    <m/>
    <s v="SOLRECOUP"/>
    <s v="SOLRECOUP"/>
    <s v="POARECOUP"/>
    <n v="21324292"/>
    <n v="-927.9299999999999"/>
    <m/>
    <s v="Y"/>
    <n v="2"/>
    <d v="2023-07-03T19:42:51"/>
    <s v="N"/>
    <m/>
    <m/>
    <s v="Expert Disbursement"/>
    <m/>
    <s v="N"/>
    <n v="0"/>
    <n v="0"/>
    <x v="3"/>
    <s v="VALIDATED"/>
    <n v="1"/>
    <s v="01.11.80.000.0000.0000"/>
    <n v="0"/>
    <s v="11"/>
    <s v="0000"/>
    <n v="49509.54"/>
    <n v="0"/>
    <s v="CREDITOR"/>
    <n v="0"/>
    <n v="0"/>
    <n v="0"/>
    <n v="0"/>
    <n v="0"/>
  </r>
  <r>
    <n v="40144488"/>
    <s v="N"/>
    <n v="21324292"/>
    <s v="3000010767640021RC"/>
    <s v="CIVIL"/>
    <d v="2023-06-27T00:00:00"/>
    <d v="2023-07-03T19:42:50"/>
    <m/>
    <d v="2023-07-03T00:00:00"/>
    <n v="270"/>
    <n v="891"/>
    <s v="40144488"/>
    <s v="40144488"/>
    <m/>
    <m/>
    <m/>
    <m/>
    <m/>
    <m/>
    <s v="SOLRECOUP"/>
    <s v="SOLRECOUP"/>
    <s v="POARECOUP"/>
    <n v="21324292"/>
    <n v="-927.9299999999999"/>
    <m/>
    <s v="Y"/>
    <n v="1"/>
    <d v="2023-07-03T19:42:51"/>
    <s v="N"/>
    <m/>
    <m/>
    <s v="Expert Disbursement"/>
    <m/>
    <s v="N"/>
    <n v="-927.9299999999999"/>
    <n v="0"/>
    <x v="3"/>
    <s v="VALIDATED"/>
    <n v="1"/>
    <s v="01.11.80.308.2013.0000"/>
    <n v="-927.9299999999999"/>
    <s v="11"/>
    <s v="2013"/>
    <n v="49509.54"/>
    <n v="-927.9299999999999"/>
    <s v="CREDITOR"/>
    <n v="0"/>
    <n v="0"/>
    <n v="-927.9299999999999"/>
    <n v="0"/>
    <n v="0"/>
  </r>
  <r>
    <n v="60258535"/>
    <s v="N"/>
    <n v="21324293"/>
    <s v="3000014566280003RC"/>
    <s v="CIVIL"/>
    <d v="2023-06-22T00:00:00"/>
    <d v="2023-07-03T19:42:50"/>
    <m/>
    <d v="2023-07-03T00:00:00"/>
    <n v="270"/>
    <n v="891"/>
    <s v="60258535"/>
    <s v="60258535"/>
    <m/>
    <m/>
    <m/>
    <m/>
    <m/>
    <m/>
    <s v="SOLRECOUP"/>
    <s v="SOLRECOUP"/>
    <s v="POARECOUP"/>
    <n v="21324293"/>
    <n v="-423"/>
    <m/>
    <s v="Y"/>
    <n v="2"/>
    <d v="2023-07-03T19:42:51"/>
    <s v="N"/>
    <m/>
    <m/>
    <s v="Non Expert Disbursement"/>
    <m/>
    <s v="N"/>
    <n v="0"/>
    <n v="-70.5"/>
    <x v="3"/>
    <s v="VALIDATED"/>
    <n v="1"/>
    <s v="01.11.80.308.2013.0000"/>
    <n v="-70.5"/>
    <s v="11"/>
    <s v="2013"/>
    <n v="49509.54"/>
    <n v="-70.5"/>
    <s v="CREDITOR"/>
    <n v="0"/>
    <n v="0"/>
    <n v="-70.5"/>
    <n v="0"/>
    <n v="0"/>
  </r>
  <r>
    <n v="60258535"/>
    <s v="N"/>
    <n v="21324293"/>
    <s v="3000014566280003RC"/>
    <s v="CIVIL"/>
    <d v="2023-06-22T00:00:00"/>
    <d v="2023-07-03T19:42:50"/>
    <m/>
    <d v="2023-07-03T00:00:00"/>
    <n v="270"/>
    <n v="891"/>
    <s v="60258535"/>
    <s v="60258535"/>
    <m/>
    <m/>
    <m/>
    <m/>
    <m/>
    <m/>
    <s v="SOLRECOUP"/>
    <s v="SOLRECOUP"/>
    <s v="POARECOUP"/>
    <n v="21324293"/>
    <n v="-423"/>
    <m/>
    <s v="Y"/>
    <n v="1"/>
    <d v="2023-07-03T19:42:51"/>
    <s v="N"/>
    <m/>
    <m/>
    <s v="Non Expert Disbursement"/>
    <m/>
    <s v="N"/>
    <n v="-352.5"/>
    <n v="0"/>
    <x v="3"/>
    <s v="VALIDATED"/>
    <n v="1"/>
    <s v="01.11.80.308.2013.0000"/>
    <n v="-352.5"/>
    <s v="11"/>
    <s v="2013"/>
    <n v="49509.54"/>
    <n v="-352.5"/>
    <s v="CREDITOR"/>
    <n v="0"/>
    <n v="0"/>
    <n v="-352.5"/>
    <n v="0"/>
    <n v="0"/>
  </r>
  <r>
    <n v="60258535"/>
    <s v="N"/>
    <n v="21324294"/>
    <s v="3000014566280004RC"/>
    <s v="CIVIL"/>
    <d v="2023-06-22T00:00:00"/>
    <d v="2023-07-03T19:42:50"/>
    <m/>
    <d v="2023-07-03T00:00:00"/>
    <n v="270"/>
    <n v="891"/>
    <s v="60258535"/>
    <s v="60258535"/>
    <m/>
    <m/>
    <m/>
    <m/>
    <m/>
    <m/>
    <s v="SOLRECOUP"/>
    <s v="SOLRECOUP"/>
    <s v="POARECOUP"/>
    <n v="21324294"/>
    <n v="-158.4"/>
    <m/>
    <s v="Y"/>
    <n v="1"/>
    <d v="2023-07-03T19:42:51"/>
    <s v="N"/>
    <m/>
    <m/>
    <s v="Expert Disbursement"/>
    <m/>
    <s v="N"/>
    <n v="-132"/>
    <n v="0"/>
    <x v="3"/>
    <s v="VALIDATED"/>
    <n v="1"/>
    <s v="01.11.80.308.2013.0000"/>
    <n v="-132"/>
    <s v="11"/>
    <s v="2013"/>
    <n v="49509.54"/>
    <n v="-132"/>
    <s v="CREDITOR"/>
    <n v="0"/>
    <n v="0"/>
    <n v="-132"/>
    <n v="0"/>
    <n v="0"/>
  </r>
  <r>
    <n v="60258535"/>
    <s v="N"/>
    <n v="21324294"/>
    <s v="3000014566280004RC"/>
    <s v="CIVIL"/>
    <d v="2023-06-22T00:00:00"/>
    <d v="2023-07-03T19:42:50"/>
    <m/>
    <d v="2023-07-03T00:00:00"/>
    <n v="270"/>
    <n v="891"/>
    <s v="60258535"/>
    <s v="60258535"/>
    <m/>
    <m/>
    <m/>
    <m/>
    <m/>
    <m/>
    <s v="SOLRECOUP"/>
    <s v="SOLRECOUP"/>
    <s v="POARECOUP"/>
    <n v="21324294"/>
    <n v="-158.4"/>
    <m/>
    <s v="Y"/>
    <n v="2"/>
    <d v="2023-07-03T19:42:51"/>
    <s v="N"/>
    <m/>
    <m/>
    <s v="Expert Disbursement"/>
    <m/>
    <s v="N"/>
    <n v="0"/>
    <n v="-26.4"/>
    <x v="3"/>
    <s v="VALIDATED"/>
    <n v="1"/>
    <s v="01.11.80.308.2013.0000"/>
    <n v="-26.4"/>
    <s v="11"/>
    <s v="2013"/>
    <n v="49509.54"/>
    <n v="-26.4"/>
    <s v="CREDITOR"/>
    <n v="0"/>
    <n v="0"/>
    <n v="-26.4"/>
    <n v="0"/>
    <n v="0"/>
  </r>
  <r>
    <n v="60902882"/>
    <s v="N"/>
    <n v="21324295"/>
    <s v="3000015122580007RC"/>
    <s v="CIVIL"/>
    <d v="2023-06-23T00:00:00"/>
    <d v="2023-07-03T19:42:50"/>
    <m/>
    <d v="2023-07-03T00:00:00"/>
    <n v="270"/>
    <n v="891"/>
    <s v="60902882"/>
    <s v="60902882"/>
    <m/>
    <m/>
    <m/>
    <m/>
    <m/>
    <m/>
    <s v="SOLRECOUP"/>
    <s v="SOLRECOUP"/>
    <s v="POARECOUP"/>
    <n v="21324295"/>
    <n v="-143.7"/>
    <m/>
    <s v="Y"/>
    <n v="1"/>
    <d v="2023-07-03T19:42:51"/>
    <s v="N"/>
    <m/>
    <m/>
    <s v="Non Expert Disbursement"/>
    <m/>
    <s v="N"/>
    <n v="-119.75"/>
    <n v="0"/>
    <x v="3"/>
    <s v="VALIDATED"/>
    <n v="1"/>
    <s v="01.11.80.308.2013.0000"/>
    <n v="-119.75"/>
    <s v="11"/>
    <s v="2013"/>
    <n v="49509.54"/>
    <n v="-119.75"/>
    <s v="CREDITOR"/>
    <n v="0"/>
    <n v="0"/>
    <n v="-119.75"/>
    <n v="0"/>
    <n v="0"/>
  </r>
  <r>
    <n v="60902882"/>
    <s v="N"/>
    <n v="21324295"/>
    <s v="3000015122580007RC"/>
    <s v="CIVIL"/>
    <d v="2023-06-23T00:00:00"/>
    <d v="2023-07-03T19:42:50"/>
    <m/>
    <d v="2023-07-03T00:00:00"/>
    <n v="270"/>
    <n v="891"/>
    <s v="60902882"/>
    <s v="60902882"/>
    <m/>
    <m/>
    <m/>
    <m/>
    <m/>
    <m/>
    <s v="SOLRECOUP"/>
    <s v="SOLRECOUP"/>
    <s v="POARECOUP"/>
    <n v="21324295"/>
    <n v="-143.7"/>
    <m/>
    <s v="Y"/>
    <n v="2"/>
    <d v="2023-07-03T19:42:51"/>
    <s v="N"/>
    <m/>
    <m/>
    <s v="Non Expert Disbursement"/>
    <m/>
    <s v="N"/>
    <n v="0"/>
    <n v="-23.95"/>
    <x v="3"/>
    <s v="VALIDATED"/>
    <n v="1"/>
    <s v="01.11.80.308.2013.0000"/>
    <n v="-23.95"/>
    <s v="11"/>
    <s v="2013"/>
    <n v="49509.54"/>
    <n v="-23.95"/>
    <s v="CREDITOR"/>
    <n v="0"/>
    <n v="0"/>
    <n v="-23.95"/>
    <n v="0"/>
    <n v="0"/>
  </r>
  <r>
    <n v="40144488"/>
    <s v="N"/>
    <n v="21324296"/>
    <s v="3000010767640020RC"/>
    <s v="CIVIL"/>
    <d v="2023-06-27T00:00:00"/>
    <d v="2023-07-03T19:42:50"/>
    <m/>
    <d v="2023-07-03T00:00:00"/>
    <n v="270"/>
    <n v="891"/>
    <s v="40144488"/>
    <s v="40144488"/>
    <m/>
    <m/>
    <m/>
    <m/>
    <m/>
    <m/>
    <s v="SOLRECOUP"/>
    <s v="SOLRECOUP"/>
    <s v="POARECOUP"/>
    <n v="21324296"/>
    <n v="-954.96"/>
    <m/>
    <s v="Y"/>
    <n v="1"/>
    <d v="2023-07-03T19:42:51"/>
    <s v="N"/>
    <m/>
    <m/>
    <s v="Expert Disbursement"/>
    <m/>
    <s v="N"/>
    <n v="-795.8"/>
    <n v="0"/>
    <x v="3"/>
    <s v="VALIDATED"/>
    <n v="1"/>
    <s v="01.11.80.308.2013.0000"/>
    <n v="-795.8"/>
    <s v="11"/>
    <s v="2013"/>
    <n v="49509.54"/>
    <n v="-795.8"/>
    <s v="CREDITOR"/>
    <n v="0"/>
    <n v="0"/>
    <n v="-795.8"/>
    <n v="0"/>
    <n v="0"/>
  </r>
  <r>
    <n v="40144488"/>
    <s v="N"/>
    <n v="21324296"/>
    <s v="3000010767640020RC"/>
    <s v="CIVIL"/>
    <d v="2023-06-27T00:00:00"/>
    <d v="2023-07-03T19:42:50"/>
    <m/>
    <d v="2023-07-03T00:00:00"/>
    <n v="270"/>
    <n v="891"/>
    <s v="40144488"/>
    <s v="40144488"/>
    <m/>
    <m/>
    <m/>
    <m/>
    <m/>
    <m/>
    <s v="SOLRECOUP"/>
    <s v="SOLRECOUP"/>
    <s v="POARECOUP"/>
    <n v="21324296"/>
    <n v="-954.96"/>
    <m/>
    <s v="Y"/>
    <n v="2"/>
    <d v="2023-07-03T19:42:51"/>
    <s v="N"/>
    <m/>
    <m/>
    <s v="Expert Disbursement"/>
    <m/>
    <s v="N"/>
    <n v="0"/>
    <n v="-159.16"/>
    <x v="3"/>
    <s v="VALIDATED"/>
    <n v="1"/>
    <s v="01.11.80.308.2013.0000"/>
    <n v="-159.16"/>
    <s v="11"/>
    <s v="2013"/>
    <n v="49509.54"/>
    <n v="-159.16"/>
    <s v="CREDITOR"/>
    <n v="0"/>
    <n v="0"/>
    <n v="-159.16"/>
    <n v="0"/>
    <n v="0"/>
  </r>
  <r>
    <n v="60902882"/>
    <s v="N"/>
    <n v="21324297"/>
    <s v="3000015122580009RC"/>
    <s v="CIVIL"/>
    <d v="2023-06-23T00:00:00"/>
    <d v="2023-07-03T19:42:50"/>
    <m/>
    <d v="2023-07-03T00:00:00"/>
    <n v="270"/>
    <n v="891"/>
    <s v="60902882"/>
    <s v="60902882"/>
    <m/>
    <m/>
    <m/>
    <m/>
    <m/>
    <m/>
    <s v="SOLRECOUP"/>
    <s v="SOLRECOUP"/>
    <s v="POARECOUP"/>
    <n v="21324297"/>
    <n v="-243.6"/>
    <m/>
    <s v="Y"/>
    <n v="2"/>
    <d v="2023-07-03T19:42:51"/>
    <s v="N"/>
    <m/>
    <m/>
    <s v="Expert Disbursement"/>
    <m/>
    <s v="N"/>
    <n v="0"/>
    <n v="-40.6"/>
    <x v="3"/>
    <s v="VALIDATED"/>
    <n v="1"/>
    <s v="01.11.80.308.2013.0000"/>
    <n v="-40.6"/>
    <s v="11"/>
    <s v="2013"/>
    <n v="49509.54"/>
    <n v="-40.6"/>
    <s v="CREDITOR"/>
    <n v="0"/>
    <n v="0"/>
    <n v="-40.6"/>
    <n v="0"/>
    <n v="0"/>
  </r>
  <r>
    <n v="60902882"/>
    <s v="N"/>
    <n v="21324297"/>
    <s v="3000015122580009RC"/>
    <s v="CIVIL"/>
    <d v="2023-06-23T00:00:00"/>
    <d v="2023-07-03T19:42:50"/>
    <m/>
    <d v="2023-07-03T00:00:00"/>
    <n v="270"/>
    <n v="891"/>
    <s v="60902882"/>
    <s v="60902882"/>
    <m/>
    <m/>
    <m/>
    <m/>
    <m/>
    <m/>
    <s v="SOLRECOUP"/>
    <s v="SOLRECOUP"/>
    <s v="POARECOUP"/>
    <n v="21324297"/>
    <n v="-243.6"/>
    <m/>
    <s v="Y"/>
    <n v="1"/>
    <d v="2023-07-03T19:42:51"/>
    <s v="N"/>
    <m/>
    <m/>
    <s v="Expert Disbursement"/>
    <m/>
    <s v="N"/>
    <n v="-203"/>
    <n v="0"/>
    <x v="3"/>
    <s v="VALIDATED"/>
    <n v="1"/>
    <s v="01.11.80.308.2013.0000"/>
    <n v="-203"/>
    <s v="11"/>
    <s v="2013"/>
    <n v="49509.54"/>
    <n v="-203"/>
    <s v="CREDITOR"/>
    <n v="0"/>
    <n v="0"/>
    <n v="-203"/>
    <n v="0"/>
    <n v="0"/>
  </r>
  <r>
    <n v="60258535"/>
    <s v="N"/>
    <n v="21324298"/>
    <s v="3000014566280008RC"/>
    <s v="CIVIL"/>
    <d v="2023-06-22T00:00:00"/>
    <d v="2023-07-03T19:42:50"/>
    <m/>
    <d v="2023-07-03T00:00:00"/>
    <n v="270"/>
    <n v="891"/>
    <s v="60258535"/>
    <s v="60258535"/>
    <m/>
    <m/>
    <m/>
    <m/>
    <m/>
    <m/>
    <s v="SOLRECOUP"/>
    <s v="SOLRECOUP"/>
    <s v="POARECOUP"/>
    <n v="21324298"/>
    <n v="-344.4"/>
    <m/>
    <s v="Y"/>
    <n v="1"/>
    <d v="2023-07-03T19:42:51"/>
    <s v="N"/>
    <m/>
    <m/>
    <s v="Expert Disbursement"/>
    <m/>
    <s v="N"/>
    <n v="-287"/>
    <n v="0"/>
    <x v="3"/>
    <s v="VALIDATED"/>
    <n v="1"/>
    <s v="01.11.80.308.2013.0000"/>
    <n v="-287"/>
    <s v="11"/>
    <s v="2013"/>
    <n v="49509.54"/>
    <n v="-287"/>
    <s v="CREDITOR"/>
    <n v="0"/>
    <n v="0"/>
    <n v="-287"/>
    <n v="0"/>
    <n v="0"/>
  </r>
  <r>
    <n v="60258535"/>
    <s v="N"/>
    <n v="21324298"/>
    <s v="3000014566280008RC"/>
    <s v="CIVIL"/>
    <d v="2023-06-22T00:00:00"/>
    <d v="2023-07-03T19:42:50"/>
    <m/>
    <d v="2023-07-03T00:00:00"/>
    <n v="270"/>
    <n v="891"/>
    <s v="60258535"/>
    <s v="60258535"/>
    <m/>
    <m/>
    <m/>
    <m/>
    <m/>
    <m/>
    <s v="SOLRECOUP"/>
    <s v="SOLRECOUP"/>
    <s v="POARECOUP"/>
    <n v="21324298"/>
    <n v="-344.4"/>
    <m/>
    <s v="Y"/>
    <n v="2"/>
    <d v="2023-07-03T19:42:51"/>
    <s v="N"/>
    <m/>
    <m/>
    <s v="Expert Disbursement"/>
    <m/>
    <s v="N"/>
    <n v="0"/>
    <n v="-57.4"/>
    <x v="3"/>
    <s v="VALIDATED"/>
    <n v="1"/>
    <s v="01.11.80.308.2013.0000"/>
    <n v="-57.4"/>
    <s v="11"/>
    <s v="2013"/>
    <n v="49509.54"/>
    <n v="-57.4"/>
    <s v="CREDITOR"/>
    <n v="0"/>
    <n v="0"/>
    <n v="-57.4"/>
    <n v="0"/>
    <n v="0"/>
  </r>
  <r>
    <n v="60258535"/>
    <s v="N"/>
    <n v="21324299"/>
    <s v="3000014566280005RC"/>
    <s v="CIVIL"/>
    <d v="2023-06-22T00:00:00"/>
    <d v="2023-07-03T19:42:50"/>
    <m/>
    <d v="2023-07-03T00:00:00"/>
    <n v="270"/>
    <n v="891"/>
    <s v="60258535"/>
    <s v="60258535"/>
    <m/>
    <m/>
    <m/>
    <m/>
    <m/>
    <m/>
    <s v="SOLRECOUP"/>
    <s v="SOLRECOUP"/>
    <s v="POARECOUP"/>
    <n v="21324299"/>
    <n v="-186"/>
    <m/>
    <s v="Y"/>
    <n v="2"/>
    <d v="2023-07-03T19:42:51"/>
    <s v="N"/>
    <m/>
    <m/>
    <s v="Expert Disbursement"/>
    <m/>
    <s v="N"/>
    <n v="0"/>
    <n v="-31"/>
    <x v="3"/>
    <s v="VALIDATED"/>
    <n v="1"/>
    <s v="01.11.80.308.2013.0000"/>
    <n v="-31"/>
    <s v="11"/>
    <s v="2013"/>
    <n v="49509.54"/>
    <n v="-31"/>
    <s v="CREDITOR"/>
    <n v="0"/>
    <n v="0"/>
    <n v="-31"/>
    <n v="0"/>
    <n v="0"/>
  </r>
  <r>
    <n v="60258535"/>
    <s v="N"/>
    <n v="21324299"/>
    <s v="3000014566280005RC"/>
    <s v="CIVIL"/>
    <d v="2023-06-22T00:00:00"/>
    <d v="2023-07-03T19:42:50"/>
    <m/>
    <d v="2023-07-03T00:00:00"/>
    <n v="270"/>
    <n v="891"/>
    <s v="60258535"/>
    <s v="60258535"/>
    <m/>
    <m/>
    <m/>
    <m/>
    <m/>
    <m/>
    <s v="SOLRECOUP"/>
    <s v="SOLRECOUP"/>
    <s v="POARECOUP"/>
    <n v="21324299"/>
    <n v="-186"/>
    <m/>
    <s v="Y"/>
    <n v="1"/>
    <d v="2023-07-03T19:42:51"/>
    <s v="N"/>
    <m/>
    <m/>
    <s v="Expert Disbursement"/>
    <m/>
    <s v="N"/>
    <n v="-155"/>
    <n v="0"/>
    <x v="3"/>
    <s v="VALIDATED"/>
    <n v="1"/>
    <s v="01.11.80.308.2013.0000"/>
    <n v="-155"/>
    <s v="11"/>
    <s v="2013"/>
    <n v="49509.54"/>
    <n v="-155"/>
    <s v="CREDITOR"/>
    <n v="0"/>
    <n v="0"/>
    <n v="-155"/>
    <n v="0"/>
    <n v="0"/>
  </r>
  <r>
    <n v="60258535"/>
    <s v="N"/>
    <n v="21324300"/>
    <s v="3000014566280007RC"/>
    <s v="CIVIL"/>
    <d v="2023-06-22T00:00:00"/>
    <d v="2023-07-03T19:42:50"/>
    <m/>
    <d v="2023-07-03T00:00:00"/>
    <n v="270"/>
    <n v="891"/>
    <s v="60258535"/>
    <s v="60258535"/>
    <m/>
    <m/>
    <m/>
    <m/>
    <m/>
    <m/>
    <s v="SOLRECOUP"/>
    <s v="SOLRECOUP"/>
    <s v="POARECOUP"/>
    <n v="21324300"/>
    <n v="-462.9"/>
    <m/>
    <s v="Y"/>
    <n v="1"/>
    <d v="2023-07-03T19:42:51"/>
    <s v="N"/>
    <m/>
    <m/>
    <s v="Expert Disbursement"/>
    <m/>
    <s v="N"/>
    <n v="-462.9"/>
    <n v="0"/>
    <x v="3"/>
    <s v="VALIDATED"/>
    <n v="1"/>
    <s v="01.11.80.308.2013.0000"/>
    <n v="-462.9"/>
    <s v="11"/>
    <s v="2013"/>
    <n v="49509.54"/>
    <n v="-462.9"/>
    <s v="CREDITOR"/>
    <n v="0"/>
    <n v="0"/>
    <n v="-462.9"/>
    <n v="0"/>
    <n v="0"/>
  </r>
  <r>
    <n v="60258535"/>
    <s v="N"/>
    <n v="21324300"/>
    <s v="3000014566280007RC"/>
    <s v="CIVIL"/>
    <d v="2023-06-22T00:00:00"/>
    <d v="2023-07-03T19:42:50"/>
    <m/>
    <d v="2023-07-03T00:00:00"/>
    <n v="270"/>
    <n v="891"/>
    <s v="60258535"/>
    <s v="60258535"/>
    <m/>
    <m/>
    <m/>
    <m/>
    <m/>
    <m/>
    <s v="SOLRECOUP"/>
    <s v="SOLRECOUP"/>
    <s v="POARECOUP"/>
    <n v="21324300"/>
    <n v="-462.9"/>
    <m/>
    <s v="Y"/>
    <n v="2"/>
    <d v="2023-07-03T19:42:51"/>
    <s v="N"/>
    <m/>
    <m/>
    <s v="Expert Disbursement"/>
    <m/>
    <s v="N"/>
    <n v="0"/>
    <n v="0"/>
    <x v="3"/>
    <s v="VALIDATED"/>
    <n v="1"/>
    <s v="01.11.80.000.0000.0000"/>
    <n v="0"/>
    <s v="11"/>
    <s v="0000"/>
    <n v="49509.54"/>
    <n v="0"/>
    <s v="CREDITOR"/>
    <n v="0"/>
    <n v="0"/>
    <n v="0"/>
    <n v="0"/>
    <n v="0"/>
  </r>
  <r>
    <n v="60258535"/>
    <s v="N"/>
    <n v="21324301"/>
    <s v="3000014566280006RC"/>
    <s v="CIVIL"/>
    <d v="2023-06-22T00:00:00"/>
    <d v="2023-07-03T19:42:50"/>
    <m/>
    <d v="2023-07-03T00:00:00"/>
    <n v="270"/>
    <n v="891"/>
    <s v="60258535"/>
    <s v="60258535"/>
    <m/>
    <m/>
    <m/>
    <m/>
    <m/>
    <m/>
    <s v="SOLRECOUP"/>
    <s v="SOLRECOUP"/>
    <s v="POARECOUP"/>
    <n v="21324301"/>
    <n v="-140.4"/>
    <m/>
    <s v="Y"/>
    <n v="1"/>
    <d v="2023-07-03T19:42:51"/>
    <s v="N"/>
    <m/>
    <m/>
    <s v="Expert Disbursement"/>
    <m/>
    <s v="N"/>
    <n v="-140.4"/>
    <n v="0"/>
    <x v="3"/>
    <s v="VALIDATED"/>
    <n v="1"/>
    <s v="01.11.80.308.2013.0000"/>
    <n v="-140.4"/>
    <s v="11"/>
    <s v="2013"/>
    <n v="49509.54"/>
    <n v="-140.4"/>
    <s v="CREDITOR"/>
    <n v="0"/>
    <n v="0"/>
    <n v="-140.4"/>
    <n v="0"/>
    <n v="0"/>
  </r>
  <r>
    <n v="60258535"/>
    <s v="N"/>
    <n v="21324301"/>
    <s v="3000014566280006RC"/>
    <s v="CIVIL"/>
    <d v="2023-06-22T00:00:00"/>
    <d v="2023-07-03T19:42:50"/>
    <m/>
    <d v="2023-07-03T00:00:00"/>
    <n v="270"/>
    <n v="891"/>
    <s v="60258535"/>
    <s v="60258535"/>
    <m/>
    <m/>
    <m/>
    <m/>
    <m/>
    <m/>
    <s v="SOLRECOUP"/>
    <s v="SOLRECOUP"/>
    <s v="POARECOUP"/>
    <n v="21324301"/>
    <n v="-140.4"/>
    <m/>
    <s v="Y"/>
    <n v="2"/>
    <d v="2023-07-03T19:42:51"/>
    <s v="N"/>
    <m/>
    <m/>
    <s v="Expert Disbursement"/>
    <m/>
    <s v="N"/>
    <n v="0"/>
    <n v="0"/>
    <x v="3"/>
    <s v="VALIDATED"/>
    <n v="1"/>
    <s v="01.11.80.000.0000.0000"/>
    <n v="0"/>
    <s v="11"/>
    <s v="0000"/>
    <n v="49509.54"/>
    <n v="0"/>
    <s v="CREDITOR"/>
    <n v="0"/>
    <n v="0"/>
    <n v="0"/>
    <n v="0"/>
    <n v="0"/>
  </r>
  <r>
    <n v="40144488"/>
    <s v="N"/>
    <n v="21324302"/>
    <s v="3000010767640022RC"/>
    <s v="CIVIL"/>
    <d v="2023-06-27T00:00:00"/>
    <d v="2023-07-03T19:42:50"/>
    <m/>
    <d v="2023-07-03T00:00:00"/>
    <n v="270"/>
    <n v="891"/>
    <s v="40144488"/>
    <s v="40144488"/>
    <m/>
    <m/>
    <m/>
    <m/>
    <m/>
    <m/>
    <s v="SOLRECOUP"/>
    <s v="SOLRECOUP"/>
    <s v="POARECOUP"/>
    <n v="21324302"/>
    <n v="-90.72"/>
    <m/>
    <s v="Y"/>
    <n v="1"/>
    <d v="2023-07-03T19:42:51"/>
    <s v="N"/>
    <m/>
    <m/>
    <s v="Expert Disbursement"/>
    <m/>
    <s v="N"/>
    <n v="-90.72"/>
    <n v="0"/>
    <x v="3"/>
    <s v="VALIDATED"/>
    <n v="1"/>
    <s v="01.11.80.308.2013.0000"/>
    <n v="-90.72"/>
    <s v="11"/>
    <s v="2013"/>
    <n v="49509.54"/>
    <n v="-90.72"/>
    <s v="CREDITOR"/>
    <n v="0"/>
    <n v="0"/>
    <n v="-90.72"/>
    <n v="0"/>
    <n v="0"/>
  </r>
  <r>
    <n v="40144488"/>
    <s v="N"/>
    <n v="21324302"/>
    <s v="3000010767640022RC"/>
    <s v="CIVIL"/>
    <d v="2023-06-27T00:00:00"/>
    <d v="2023-07-03T19:42:50"/>
    <m/>
    <d v="2023-07-03T00:00:00"/>
    <n v="270"/>
    <n v="891"/>
    <s v="40144488"/>
    <s v="40144488"/>
    <m/>
    <m/>
    <m/>
    <m/>
    <m/>
    <m/>
    <s v="SOLRECOUP"/>
    <s v="SOLRECOUP"/>
    <s v="POARECOUP"/>
    <n v="21324302"/>
    <n v="-90.72"/>
    <m/>
    <s v="Y"/>
    <n v="2"/>
    <d v="2023-07-03T19:42:51"/>
    <s v="N"/>
    <m/>
    <m/>
    <s v="Expert Disbursement"/>
    <m/>
    <s v="N"/>
    <n v="0"/>
    <n v="0"/>
    <x v="3"/>
    <s v="VALIDATED"/>
    <n v="1"/>
    <s v="01.11.80.000.0000.0000"/>
    <n v="0"/>
    <s v="11"/>
    <s v="0000"/>
    <n v="49509.54"/>
    <n v="0"/>
    <s v="CREDITOR"/>
    <n v="0"/>
    <n v="0"/>
    <n v="0"/>
    <n v="0"/>
    <n v="0"/>
  </r>
  <r>
    <n v="7431730"/>
    <s v="N"/>
    <n v="21324272"/>
    <s v="3000003621200001RC"/>
    <s v="CIVIL"/>
    <d v="2023-06-22T00:00:00"/>
    <d v="2023-07-03T19:42:50"/>
    <m/>
    <d v="2023-07-03T00:00:00"/>
    <n v="270"/>
    <n v="891"/>
    <s v="7431730"/>
    <s v="7431730"/>
    <m/>
    <m/>
    <m/>
    <m/>
    <m/>
    <m/>
    <s v="SOLRECOUP"/>
    <s v="SOLRECOUP"/>
    <s v="POARECOUP"/>
    <n v="21324272"/>
    <n v="-48"/>
    <m/>
    <s v="Y"/>
    <n v="2"/>
    <d v="2023-07-03T19:42:51"/>
    <s v="N"/>
    <m/>
    <m/>
    <s v="Non Expert Disbursement"/>
    <m/>
    <s v="N"/>
    <n v="0"/>
    <n v="-8"/>
    <x v="3"/>
    <s v="VALIDATED"/>
    <n v="1"/>
    <s v="01.11.80.307.2013.0000"/>
    <n v="-8"/>
    <s v="11"/>
    <s v="2013"/>
    <n v="49509.54"/>
    <n v="-8"/>
    <s v="CREDITOR"/>
    <n v="0"/>
    <n v="0"/>
    <n v="-8"/>
    <n v="0"/>
    <n v="0"/>
  </r>
  <r>
    <n v="7431730"/>
    <s v="N"/>
    <n v="21324272"/>
    <s v="3000003621200001RC"/>
    <s v="CIVIL"/>
    <d v="2023-06-22T00:00:00"/>
    <d v="2023-07-03T19:42:50"/>
    <m/>
    <d v="2023-07-03T00:00:00"/>
    <n v="270"/>
    <n v="891"/>
    <s v="7431730"/>
    <s v="7431730"/>
    <m/>
    <m/>
    <m/>
    <m/>
    <m/>
    <m/>
    <s v="SOLRECOUP"/>
    <s v="SOLRECOUP"/>
    <s v="POARECOUP"/>
    <n v="21324272"/>
    <n v="-48"/>
    <m/>
    <s v="Y"/>
    <n v="1"/>
    <d v="2023-07-03T19:42:51"/>
    <s v="N"/>
    <m/>
    <m/>
    <s v="Non Expert Disbursement"/>
    <m/>
    <s v="N"/>
    <n v="-40"/>
    <n v="0"/>
    <x v="3"/>
    <s v="VALIDATED"/>
    <n v="1"/>
    <s v="01.11.80.307.2013.0000"/>
    <n v="-40"/>
    <s v="11"/>
    <s v="2013"/>
    <n v="49509.54"/>
    <n v="-40"/>
    <s v="CREDITOR"/>
    <n v="0"/>
    <n v="0"/>
    <n v="-40"/>
    <n v="0"/>
    <n v="0"/>
  </r>
  <r>
    <n v="7431730"/>
    <s v="N"/>
    <n v="21324273"/>
    <s v="3000003621200002RC"/>
    <s v="CIVIL"/>
    <d v="2023-06-22T00:00:00"/>
    <d v="2023-07-03T19:42:50"/>
    <m/>
    <d v="2023-07-03T00:00:00"/>
    <n v="270"/>
    <n v="891"/>
    <s v="7431730"/>
    <s v="7431730"/>
    <m/>
    <m/>
    <m/>
    <m/>
    <m/>
    <m/>
    <s v="SOLRECOUP"/>
    <s v="SOLRECOUP"/>
    <s v="POARECOUP"/>
    <n v="21324273"/>
    <n v="-4909.6"/>
    <m/>
    <s v="Y"/>
    <n v="2"/>
    <d v="2023-07-03T19:42:51"/>
    <s v="N"/>
    <m/>
    <m/>
    <s v="Expert Disbursement"/>
    <m/>
    <s v="N"/>
    <n v="0"/>
    <n v="0"/>
    <x v="3"/>
    <s v="VALIDATED"/>
    <n v="1"/>
    <s v="01.11.80.000.0000.0000"/>
    <n v="0"/>
    <s v="11"/>
    <s v="0000"/>
    <n v="49509.54"/>
    <n v="0"/>
    <s v="CREDITOR"/>
    <n v="0"/>
    <n v="0"/>
    <n v="0"/>
    <n v="0"/>
    <n v="0"/>
  </r>
  <r>
    <n v="7431730"/>
    <s v="N"/>
    <n v="21324273"/>
    <s v="3000003621200002RC"/>
    <s v="CIVIL"/>
    <d v="2023-06-22T00:00:00"/>
    <d v="2023-07-03T19:42:50"/>
    <m/>
    <d v="2023-07-03T00:00:00"/>
    <n v="270"/>
    <n v="891"/>
    <s v="7431730"/>
    <s v="7431730"/>
    <m/>
    <m/>
    <m/>
    <m/>
    <m/>
    <m/>
    <s v="SOLRECOUP"/>
    <s v="SOLRECOUP"/>
    <s v="POARECOUP"/>
    <n v="21324273"/>
    <n v="-4909.6"/>
    <m/>
    <s v="Y"/>
    <n v="1"/>
    <d v="2023-07-03T19:42:51"/>
    <s v="N"/>
    <m/>
    <m/>
    <s v="Expert Disbursement"/>
    <m/>
    <s v="N"/>
    <n v="-4909.6"/>
    <n v="0"/>
    <x v="3"/>
    <s v="VALIDATED"/>
    <n v="1"/>
    <s v="01.11.80.307.2013.0000"/>
    <n v="-4909.6"/>
    <s v="11"/>
    <s v="2013"/>
    <n v="49509.54"/>
    <n v="-4909.6"/>
    <s v="CREDITOR"/>
    <n v="0"/>
    <n v="0"/>
    <n v="-4909.6"/>
    <n v="0"/>
    <n v="0"/>
  </r>
  <r>
    <n v="7431730"/>
    <s v="N"/>
    <n v="21324274"/>
    <s v="3000003621200003RC"/>
    <s v="CIVIL"/>
    <d v="2023-06-22T00:00:00"/>
    <d v="2023-07-03T19:42:50"/>
    <m/>
    <d v="2023-07-03T00:00:00"/>
    <n v="270"/>
    <n v="891"/>
    <s v="7431730"/>
    <s v="7431730"/>
    <m/>
    <m/>
    <m/>
    <m/>
    <m/>
    <m/>
    <s v="SOLRECOUP"/>
    <s v="SOLRECOUP"/>
    <s v="POARECOUP"/>
    <n v="21324274"/>
    <n v="-1555.16"/>
    <m/>
    <s v="Y"/>
    <n v="2"/>
    <d v="2023-07-03T19:42:51"/>
    <s v="N"/>
    <m/>
    <m/>
    <s v="Expert Disbursement"/>
    <m/>
    <s v="N"/>
    <n v="0"/>
    <n v="0"/>
    <x v="3"/>
    <s v="VALIDATED"/>
    <n v="1"/>
    <s v="01.11.80.000.0000.0000"/>
    <n v="0"/>
    <s v="11"/>
    <s v="0000"/>
    <n v="49509.54"/>
    <n v="0"/>
    <s v="CREDITOR"/>
    <n v="0"/>
    <n v="0"/>
    <n v="0"/>
    <n v="0"/>
    <n v="0"/>
  </r>
  <r>
    <n v="7431730"/>
    <s v="N"/>
    <n v="21324274"/>
    <s v="3000003621200003RC"/>
    <s v="CIVIL"/>
    <d v="2023-06-22T00:00:00"/>
    <d v="2023-07-03T19:42:50"/>
    <m/>
    <d v="2023-07-03T00:00:00"/>
    <n v="270"/>
    <n v="891"/>
    <s v="7431730"/>
    <s v="7431730"/>
    <m/>
    <m/>
    <m/>
    <m/>
    <m/>
    <m/>
    <s v="SOLRECOUP"/>
    <s v="SOLRECOUP"/>
    <s v="POARECOUP"/>
    <n v="21324274"/>
    <n v="-1555.16"/>
    <m/>
    <s v="Y"/>
    <n v="1"/>
    <d v="2023-07-03T19:42:51"/>
    <s v="N"/>
    <m/>
    <m/>
    <s v="Expert Disbursement"/>
    <m/>
    <s v="N"/>
    <n v="-1555.16"/>
    <n v="0"/>
    <x v="3"/>
    <s v="VALIDATED"/>
    <n v="1"/>
    <s v="01.11.80.307.2013.0000"/>
    <n v="-1555.16"/>
    <s v="11"/>
    <s v="2013"/>
    <n v="49509.54"/>
    <n v="-1555.16"/>
    <s v="CREDITOR"/>
    <n v="0"/>
    <n v="0"/>
    <n v="-1555.16"/>
    <n v="0"/>
    <n v="0"/>
  </r>
  <r>
    <n v="40144488"/>
    <s v="N"/>
    <n v="21324275"/>
    <s v="3000010767640004RC"/>
    <s v="CIVIL"/>
    <d v="2023-06-27T00:00:00"/>
    <d v="2023-07-03T19:42:50"/>
    <m/>
    <d v="2023-07-03T00:00:00"/>
    <n v="270"/>
    <n v="891"/>
    <s v="40144488"/>
    <s v="40144488"/>
    <m/>
    <m/>
    <m/>
    <m/>
    <m/>
    <m/>
    <s v="SOLRECOUP"/>
    <s v="SOLRECOUP"/>
    <s v="POARECOUP"/>
    <n v="21324275"/>
    <n v="-189.6"/>
    <m/>
    <s v="Y"/>
    <n v="1"/>
    <d v="2023-07-03T19:42:51"/>
    <s v="N"/>
    <m/>
    <m/>
    <s v="Expert Disbursement"/>
    <m/>
    <s v="N"/>
    <n v="-158"/>
    <n v="0"/>
    <x v="3"/>
    <s v="VALIDATED"/>
    <n v="1"/>
    <s v="01.11.80.308.2013.0000"/>
    <n v="-158"/>
    <s v="11"/>
    <s v="2013"/>
    <n v="49509.54"/>
    <n v="-158"/>
    <s v="CREDITOR"/>
    <n v="0"/>
    <n v="0"/>
    <n v="-158"/>
    <n v="0"/>
    <n v="0"/>
  </r>
  <r>
    <n v="40144488"/>
    <s v="N"/>
    <n v="21324275"/>
    <s v="3000010767640004RC"/>
    <s v="CIVIL"/>
    <d v="2023-06-27T00:00:00"/>
    <d v="2023-07-03T19:42:50"/>
    <m/>
    <d v="2023-07-03T00:00:00"/>
    <n v="270"/>
    <n v="891"/>
    <s v="40144488"/>
    <s v="40144488"/>
    <m/>
    <m/>
    <m/>
    <m/>
    <m/>
    <m/>
    <s v="SOLRECOUP"/>
    <s v="SOLRECOUP"/>
    <s v="POARECOUP"/>
    <n v="21324275"/>
    <n v="-189.6"/>
    <m/>
    <s v="Y"/>
    <n v="2"/>
    <d v="2023-07-03T19:42:51"/>
    <s v="N"/>
    <m/>
    <m/>
    <s v="Expert Disbursement"/>
    <m/>
    <s v="N"/>
    <n v="0"/>
    <n v="-31.6"/>
    <x v="3"/>
    <s v="VALIDATED"/>
    <n v="1"/>
    <s v="01.11.80.308.2013.0000"/>
    <n v="-31.6"/>
    <s v="11"/>
    <s v="2013"/>
    <n v="49509.54"/>
    <n v="-31.6"/>
    <s v="CREDITOR"/>
    <n v="0"/>
    <n v="0"/>
    <n v="-31.6"/>
    <n v="0"/>
    <n v="0"/>
  </r>
  <r>
    <n v="40144488"/>
    <s v="N"/>
    <n v="21324276"/>
    <s v="3000010767640007RC"/>
    <s v="CIVIL"/>
    <d v="2023-06-27T00:00:00"/>
    <d v="2023-07-03T19:42:50"/>
    <m/>
    <d v="2023-07-03T00:00:00"/>
    <n v="270"/>
    <n v="891"/>
    <s v="40144488"/>
    <s v="40144488"/>
    <m/>
    <m/>
    <m/>
    <m/>
    <m/>
    <m/>
    <s v="SOLRECOUP"/>
    <s v="SOLRECOUP"/>
    <s v="POARECOUP"/>
    <n v="21324276"/>
    <n v="-751.6799999999999"/>
    <m/>
    <s v="Y"/>
    <n v="1"/>
    <d v="2023-07-03T19:42:51"/>
    <s v="N"/>
    <m/>
    <m/>
    <s v="Expert Disbursement"/>
    <m/>
    <s v="N"/>
    <n v="-626.4"/>
    <n v="0"/>
    <x v="3"/>
    <s v="VALIDATED"/>
    <n v="1"/>
    <s v="01.11.80.308.2013.0000"/>
    <n v="-626.4"/>
    <s v="11"/>
    <s v="2013"/>
    <n v="49509.54"/>
    <n v="-626.4"/>
    <s v="CREDITOR"/>
    <n v="0"/>
    <n v="0"/>
    <n v="-626.4"/>
    <n v="0"/>
    <n v="0"/>
  </r>
  <r>
    <n v="40144488"/>
    <s v="N"/>
    <n v="21324276"/>
    <s v="3000010767640007RC"/>
    <s v="CIVIL"/>
    <d v="2023-06-27T00:00:00"/>
    <d v="2023-07-03T19:42:50"/>
    <m/>
    <d v="2023-07-03T00:00:00"/>
    <n v="270"/>
    <n v="891"/>
    <s v="40144488"/>
    <s v="40144488"/>
    <m/>
    <m/>
    <m/>
    <m/>
    <m/>
    <m/>
    <s v="SOLRECOUP"/>
    <s v="SOLRECOUP"/>
    <s v="POARECOUP"/>
    <n v="21324276"/>
    <n v="-751.6799999999999"/>
    <m/>
    <s v="Y"/>
    <n v="2"/>
    <d v="2023-07-03T19:42:51"/>
    <s v="N"/>
    <m/>
    <m/>
    <s v="Expert Disbursement"/>
    <m/>
    <s v="N"/>
    <n v="0"/>
    <n v="-125.28"/>
    <x v="3"/>
    <s v="VALIDATED"/>
    <n v="1"/>
    <s v="01.11.80.308.2013.0000"/>
    <n v="-125.28"/>
    <s v="11"/>
    <s v="2013"/>
    <n v="49509.54"/>
    <n v="-125.28"/>
    <s v="CREDITOR"/>
    <n v="0"/>
    <n v="0"/>
    <n v="-125.28"/>
    <n v="0"/>
    <n v="0"/>
  </r>
  <r>
    <n v="60258535"/>
    <s v="N"/>
    <n v="21324277"/>
    <s v="3000014566280002RC"/>
    <s v="CIVIL"/>
    <d v="2023-06-22T00:00:00"/>
    <d v="2023-07-03T19:42:50"/>
    <m/>
    <d v="2023-07-03T00:00:00"/>
    <n v="270"/>
    <n v="891"/>
    <s v="60258535"/>
    <s v="60258535"/>
    <m/>
    <m/>
    <m/>
    <m/>
    <m/>
    <m/>
    <s v="SOLRECOUP"/>
    <s v="SOLRECOUP"/>
    <s v="POARECOUP"/>
    <n v="21324277"/>
    <n v="-397.8"/>
    <m/>
    <s v="Y"/>
    <n v="2"/>
    <d v="2023-07-03T19:42:51"/>
    <s v="N"/>
    <m/>
    <m/>
    <s v="Expert Disbursement"/>
    <m/>
    <s v="N"/>
    <n v="0"/>
    <n v="0"/>
    <x v="3"/>
    <s v="VALIDATED"/>
    <n v="1"/>
    <s v="01.11.80.000.0000.0000"/>
    <n v="0"/>
    <s v="11"/>
    <s v="0000"/>
    <n v="49509.54"/>
    <n v="0"/>
    <s v="CREDITOR"/>
    <n v="0"/>
    <n v="0"/>
    <n v="0"/>
    <n v="0"/>
    <n v="0"/>
  </r>
  <r>
    <n v="60258535"/>
    <s v="N"/>
    <n v="21324277"/>
    <s v="3000014566280002RC"/>
    <s v="CIVIL"/>
    <d v="2023-06-22T00:00:00"/>
    <d v="2023-07-03T19:42:50"/>
    <m/>
    <d v="2023-07-03T00:00:00"/>
    <n v="270"/>
    <n v="891"/>
    <s v="60258535"/>
    <s v="60258535"/>
    <m/>
    <m/>
    <m/>
    <m/>
    <m/>
    <m/>
    <s v="SOLRECOUP"/>
    <s v="SOLRECOUP"/>
    <s v="POARECOUP"/>
    <n v="21324277"/>
    <n v="-397.8"/>
    <m/>
    <s v="Y"/>
    <n v="1"/>
    <d v="2023-07-03T19:42:51"/>
    <s v="N"/>
    <m/>
    <m/>
    <s v="Expert Disbursement"/>
    <m/>
    <s v="N"/>
    <n v="-397.8"/>
    <n v="0"/>
    <x v="3"/>
    <s v="VALIDATED"/>
    <n v="1"/>
    <s v="01.11.80.308.2013.0000"/>
    <n v="-397.8"/>
    <s v="11"/>
    <s v="2013"/>
    <n v="49509.54"/>
    <n v="-397.8"/>
    <s v="CREDITOR"/>
    <n v="0"/>
    <n v="0"/>
    <n v="-397.8"/>
    <n v="0"/>
    <n v="0"/>
  </r>
  <r>
    <n v="40144488"/>
    <s v="N"/>
    <n v="21324278"/>
    <s v="3000010767640009RC"/>
    <s v="CIVIL"/>
    <d v="2023-06-27T00:00:00"/>
    <d v="2023-07-03T19:42:50"/>
    <m/>
    <d v="2023-07-03T00:00:00"/>
    <n v="270"/>
    <n v="891"/>
    <s v="40144488"/>
    <s v="40144488"/>
    <m/>
    <m/>
    <m/>
    <m/>
    <m/>
    <m/>
    <s v="SOLRECOUP"/>
    <s v="SOLRECOUP"/>
    <s v="POARECOUP"/>
    <n v="21324278"/>
    <n v="-287.7"/>
    <m/>
    <s v="Y"/>
    <n v="1"/>
    <d v="2023-07-03T19:42:51"/>
    <s v="N"/>
    <m/>
    <m/>
    <s v="Expert Disbursement"/>
    <m/>
    <s v="N"/>
    <n v="-239.75"/>
    <n v="0"/>
    <x v="3"/>
    <s v="VALIDATED"/>
    <n v="1"/>
    <s v="01.11.80.308.2013.0000"/>
    <n v="-239.75"/>
    <s v="11"/>
    <s v="2013"/>
    <n v="49509.54"/>
    <n v="-239.75"/>
    <s v="CREDITOR"/>
    <n v="0"/>
    <n v="0"/>
    <n v="-239.75"/>
    <n v="0"/>
    <n v="0"/>
  </r>
  <r>
    <n v="42259627"/>
    <s v="N"/>
    <n v="21333753"/>
    <s v="3000011285920001RC"/>
    <s v="CIVIL"/>
    <d v="2023-06-23T00:00:00"/>
    <d v="2023-07-05T19:42:28"/>
    <m/>
    <d v="2023-07-05T00:00:00"/>
    <n v="270"/>
    <n v="891"/>
    <s v="42259627"/>
    <s v="42259627"/>
    <m/>
    <m/>
    <m/>
    <m/>
    <m/>
    <m/>
    <s v="SOLRECOUP"/>
    <s v="SOLRECOUP"/>
    <s v="POARECOUP"/>
    <n v="21333753"/>
    <n v="-432"/>
    <m/>
    <s v="Y"/>
    <n v="1"/>
    <d v="2023-07-05T19:42:28"/>
    <s v="N"/>
    <m/>
    <m/>
    <s v="Expert Disbursement"/>
    <m/>
    <s v="N"/>
    <n v="-360"/>
    <n v="0"/>
    <x v="6"/>
    <s v="VALIDATED"/>
    <n v="1"/>
    <s v="01.11.80.308.2013.0000"/>
    <n v="-360"/>
    <s v="11"/>
    <s v="2013"/>
    <n v="49509.54"/>
    <n v="-360"/>
    <s v="CREDITOR"/>
    <n v="0"/>
    <n v="0"/>
    <n v="-360"/>
    <n v="0"/>
    <n v="0"/>
  </r>
  <r>
    <n v="7431730"/>
    <s v="N"/>
    <n v="21318708"/>
    <s v="3000003621200005"/>
    <s v="CIVIL"/>
    <d v="2023-06-22T00:00:00"/>
    <d v="2023-07-03T19:01:49"/>
    <m/>
    <d v="2023-07-03T00:00:00"/>
    <n v="270"/>
    <n v="891"/>
    <s v="7431730"/>
    <s v="7431730"/>
    <m/>
    <m/>
    <n v="22747114"/>
    <m/>
    <m/>
    <m/>
    <s v="SOLFIN"/>
    <s v="SOLFIN"/>
    <s v="CCMS"/>
    <n v="21318708"/>
    <n v="22428.48"/>
    <m/>
    <s v="N"/>
    <n v="74"/>
    <d v="2023-07-03T19:02:01"/>
    <s v="Y"/>
    <s v="Preparation - other"/>
    <s v="Prescribed Hourly Rates"/>
    <s v="Profit Cost"/>
    <s v="PM"/>
    <s v="Y"/>
    <n v="56.8"/>
    <n v="11.36"/>
    <x v="3"/>
    <s v="VALIDATED"/>
    <n v="1"/>
    <s v="01.11.80.307.6100.0000"/>
    <n v="56.8"/>
    <s v="11"/>
    <s v="6100"/>
    <n v="49509.54"/>
    <n v="56.8"/>
    <s v="CREDITOR"/>
    <n v="0"/>
    <n v="0"/>
    <n v="0"/>
    <n v="0"/>
    <n v="56.8"/>
  </r>
  <r>
    <n v="60258535"/>
    <s v="N"/>
    <n v="21318601"/>
    <s v="3000014566280010"/>
    <s v="CIVIL"/>
    <d v="2023-06-22T00:00:00"/>
    <d v="2023-07-03T19:01:49"/>
    <m/>
    <d v="2023-07-03T00:00:00"/>
    <n v="270"/>
    <n v="891"/>
    <s v="60258535"/>
    <s v="60258535"/>
    <m/>
    <m/>
    <n v="22748030"/>
    <m/>
    <m/>
    <m/>
    <s v="SOLFIN"/>
    <s v="SOLFIN"/>
    <s v="CCMS"/>
    <n v="21318601"/>
    <n v="8270.030000000001"/>
    <m/>
    <s v="N"/>
    <n v="2"/>
    <d v="2023-07-03T19:02:00"/>
    <s v="Y"/>
    <s v="Interim Hearing Court Bundle/Advoca"/>
    <s v="Public Law Children"/>
    <s v="Advocacy"/>
    <s v="Kate Siddall"/>
    <s v="Y"/>
    <n v="89.09999999999999"/>
    <n v="17.82"/>
    <x v="3"/>
    <s v="VALIDATED"/>
    <n v="1"/>
    <s v="01.11.80.308.6100.0000"/>
    <n v="89.09999999999999"/>
    <s v="11"/>
    <s v="6100"/>
    <n v="49509.54"/>
    <n v="89.09999999999999"/>
    <s v="CREDITOR"/>
    <n v="0"/>
    <n v="0"/>
    <n v="0"/>
    <n v="0"/>
    <n v="89.09999999999999"/>
  </r>
  <r>
    <n v="7431730"/>
    <s v="N"/>
    <n v="21318708"/>
    <s v="3000003621200005"/>
    <s v="CIVIL"/>
    <d v="2023-06-22T00:00:00"/>
    <d v="2023-07-03T19:01:49"/>
    <m/>
    <d v="2023-07-03T00:00:00"/>
    <n v="270"/>
    <n v="891"/>
    <s v="7431730"/>
    <s v="7431730"/>
    <m/>
    <m/>
    <n v="22747114"/>
    <m/>
    <m/>
    <m/>
    <s v="SOLFIN"/>
    <s v="SOLFIN"/>
    <s v="CCMS"/>
    <n v="21318708"/>
    <n v="22428.48"/>
    <m/>
    <s v="N"/>
    <n v="40"/>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60325701"/>
    <s v="N"/>
    <n v="21318301"/>
    <s v="3000014625530008"/>
    <s v="CIVIL"/>
    <d v="2023-06-22T00:00:00"/>
    <d v="2023-07-03T19:01:49"/>
    <m/>
    <d v="2023-07-03T00:00:00"/>
    <n v="270"/>
    <n v="891"/>
    <s v="60325701"/>
    <s v="60325701"/>
    <m/>
    <m/>
    <n v="22742148"/>
    <m/>
    <m/>
    <m/>
    <s v="SOLFIN"/>
    <s v="SOLFIN"/>
    <s v="CCMS"/>
    <n v="21318301"/>
    <n v="9824.93"/>
    <m/>
    <s v="N"/>
    <n v="25"/>
    <d v="2023-07-03T19:01:53"/>
    <s v="Y"/>
    <s v="Solicitor Travel Expenses"/>
    <s v="Public Law Children"/>
    <s v="Non Expert Disbursement"/>
    <s v="pm"/>
    <s v="Y"/>
    <n v="5.7"/>
    <n v="1.14"/>
    <x v="3"/>
    <s v="VALIDATED"/>
    <n v="1"/>
    <s v="01.11.80.308.6300.0000"/>
    <n v="5.7"/>
    <s v="11"/>
    <s v="6300"/>
    <n v="49509.54"/>
    <n v="5.7"/>
    <s v="CREDITOR"/>
    <n v="0"/>
    <n v="0"/>
    <n v="0"/>
    <n v="0"/>
    <n v="5.7"/>
  </r>
  <r>
    <n v="60485628"/>
    <s v="N"/>
    <n v="21369638"/>
    <s v="3000014763550002"/>
    <s v="CIVIL"/>
    <d v="2023-06-19T00:00:00"/>
    <d v="2023-07-13T19:21:05"/>
    <m/>
    <d v="2023-07-13T00:00:00"/>
    <n v="270"/>
    <n v="891"/>
    <s v="60485628"/>
    <s v="60485628"/>
    <m/>
    <m/>
    <n v="22711824"/>
    <m/>
    <m/>
    <m/>
    <s v="SOLFIN"/>
    <s v="SOLFIN"/>
    <s v="CCMS"/>
    <n v="21369638"/>
    <n v="1641.88"/>
    <m/>
    <s v="N"/>
    <n v="13"/>
    <d v="2023-07-13T19:21:08"/>
    <s v="Y"/>
    <s v="Preparation - other"/>
    <s v="Prescribed Hourly Rates"/>
    <s v="Profit Cost"/>
    <s v="Penelope Moult"/>
    <s v="Y"/>
    <n v="68.31"/>
    <n v="13.66"/>
    <x v="11"/>
    <s v="VALIDATED"/>
    <n v="1"/>
    <s v="01.11.80.307.6100.0000"/>
    <n v="68.31"/>
    <s v="11"/>
    <s v="6100"/>
    <n v="49509.54"/>
    <n v="68.31"/>
    <s v="CREDITOR"/>
    <n v="0"/>
    <n v="0"/>
    <n v="0"/>
    <n v="0"/>
    <n v="68.31"/>
  </r>
  <r>
    <n v="7431730"/>
    <s v="N"/>
    <n v="21318708"/>
    <s v="3000003621200005"/>
    <s v="CIVIL"/>
    <d v="2023-06-22T00:00:00"/>
    <d v="2023-07-03T19:01:49"/>
    <m/>
    <d v="2023-07-03T00:00:00"/>
    <n v="270"/>
    <n v="891"/>
    <s v="7431730"/>
    <s v="7431730"/>
    <m/>
    <m/>
    <n v="22747114"/>
    <m/>
    <m/>
    <m/>
    <s v="SOLFIN"/>
    <s v="SOLFIN"/>
    <s v="CCMS"/>
    <n v="21318708"/>
    <n v="22428.48"/>
    <m/>
    <s v="N"/>
    <n v="27"/>
    <d v="2023-07-03T19:02:01"/>
    <s v="Y"/>
    <s v="Preparation - other"/>
    <s v="Prescribed Hourly Rates"/>
    <s v="Profit Cost"/>
    <s v="PM"/>
    <s v="Y"/>
    <n v="16.23"/>
    <n v="3.25"/>
    <x v="3"/>
    <s v="VALIDATED"/>
    <n v="1"/>
    <s v="01.11.80.307.6100.0000"/>
    <n v="16.23"/>
    <s v="11"/>
    <s v="6100"/>
    <n v="49509.54"/>
    <n v="16.23"/>
    <s v="CREDITOR"/>
    <n v="0"/>
    <n v="0"/>
    <n v="0"/>
    <n v="0"/>
    <n v="16.23"/>
  </r>
  <r>
    <n v="60325701"/>
    <s v="N"/>
    <n v="21318301"/>
    <s v="3000014625530008"/>
    <s v="CIVIL"/>
    <d v="2023-06-22T00:00:00"/>
    <d v="2023-07-03T19:01:49"/>
    <m/>
    <d v="2023-07-03T00:00:00"/>
    <n v="270"/>
    <n v="891"/>
    <s v="60325701"/>
    <s v="60325701"/>
    <m/>
    <m/>
    <n v="22742148"/>
    <m/>
    <m/>
    <m/>
    <s v="SOLFIN"/>
    <s v="SOLFIN"/>
    <s v="CCMS"/>
    <n v="21318301"/>
    <n v="9824.93"/>
    <m/>
    <s v="N"/>
    <n v="17"/>
    <d v="2023-07-03T19:01:53"/>
    <s v="Y"/>
    <s v="Toxicologist"/>
    <s v="Public Law Children"/>
    <s v="Expert Disbursement"/>
    <s v="Penelope Moult"/>
    <s v="Y"/>
    <n v="71.25"/>
    <n v="14.25"/>
    <x v="3"/>
    <s v="VALIDATED"/>
    <n v="1"/>
    <s v="01.11.80.308.6300.0000"/>
    <n v="71.25"/>
    <s v="11"/>
    <s v="6300"/>
    <n v="49509.54"/>
    <n v="71.25"/>
    <s v="CREDITOR"/>
    <n v="0"/>
    <n v="0"/>
    <n v="0"/>
    <n v="0"/>
    <n v="71.25"/>
  </r>
  <r>
    <n v="7431730"/>
    <s v="N"/>
    <n v="21318708"/>
    <s v="3000003621200005"/>
    <s v="CIVIL"/>
    <d v="2023-06-22T00:00:00"/>
    <d v="2023-07-03T19:01:49"/>
    <m/>
    <d v="2023-07-03T00:00:00"/>
    <n v="270"/>
    <n v="891"/>
    <s v="7431730"/>
    <s v="7431730"/>
    <m/>
    <m/>
    <n v="22747114"/>
    <m/>
    <m/>
    <m/>
    <s v="SOLFIN"/>
    <s v="SOLFIN"/>
    <s v="CCMS"/>
    <n v="21318708"/>
    <n v="22428.48"/>
    <m/>
    <s v="N"/>
    <n v="77"/>
    <d v="2023-07-03T19:02:01"/>
    <s v="Y"/>
    <s v="Attendance upon client"/>
    <s v="Prescribed Hourly Rates"/>
    <s v="Profit Cost"/>
    <s v="PM"/>
    <s v="Y"/>
    <n v="202.86"/>
    <n v="40.57"/>
    <x v="3"/>
    <s v="VALIDATED"/>
    <n v="1"/>
    <s v="01.11.80.307.6100.0000"/>
    <n v="202.86"/>
    <s v="11"/>
    <s v="6100"/>
    <n v="49509.54"/>
    <n v="202.86"/>
    <s v="CREDITOR"/>
    <n v="0"/>
    <n v="0"/>
    <n v="0"/>
    <n v="0"/>
    <n v="202.86"/>
  </r>
  <r>
    <n v="60485628"/>
    <s v="N"/>
    <n v="21369638"/>
    <s v="3000014763550002"/>
    <s v="CIVIL"/>
    <d v="2023-06-19T00:00:00"/>
    <d v="2023-07-13T19:21:05"/>
    <m/>
    <d v="2023-07-13T00:00:00"/>
    <n v="270"/>
    <n v="891"/>
    <s v="60485628"/>
    <s v="60485628"/>
    <m/>
    <m/>
    <n v="22711824"/>
    <m/>
    <m/>
    <m/>
    <s v="SOLFIN"/>
    <s v="SOLFIN"/>
    <s v="CCMS"/>
    <n v="21369638"/>
    <n v="1641.88"/>
    <m/>
    <s v="N"/>
    <n v="22"/>
    <d v="2023-07-13T19:21:08"/>
    <s v="Y"/>
    <s v="Routine Letter In"/>
    <s v="Prescribed Hourly Rates"/>
    <s v="Profit Cost"/>
    <s v="Penelope Moult"/>
    <s v="Y"/>
    <n v="158.36"/>
    <n v="31.67"/>
    <x v="11"/>
    <s v="VALIDATED"/>
    <n v="1"/>
    <s v="01.11.80.307.6100.0000"/>
    <n v="158.36"/>
    <s v="11"/>
    <s v="6100"/>
    <n v="49509.54"/>
    <n v="158.36"/>
    <s v="CREDITOR"/>
    <n v="0"/>
    <n v="0"/>
    <n v="0"/>
    <n v="0"/>
    <n v="158.36"/>
  </r>
  <r>
    <n v="7431730"/>
    <s v="N"/>
    <n v="21318708"/>
    <s v="3000003621200005"/>
    <s v="CIVIL"/>
    <d v="2023-06-22T00:00:00"/>
    <d v="2023-07-03T19:01:49"/>
    <m/>
    <d v="2023-07-03T00:00:00"/>
    <n v="270"/>
    <n v="891"/>
    <s v="7431730"/>
    <s v="7431730"/>
    <m/>
    <m/>
    <n v="22747114"/>
    <m/>
    <m/>
    <m/>
    <s v="SOLFIN"/>
    <s v="SOLFIN"/>
    <s v="CCMS"/>
    <n v="21318708"/>
    <n v="22428.48"/>
    <m/>
    <s v="N"/>
    <n v="6"/>
    <d v="2023-07-03T19:02:01"/>
    <s v="N"/>
    <s v="GP (records report)"/>
    <s v="Prescribed Hourly Rates"/>
    <s v="Expert Disbursement"/>
    <s v="PEM"/>
    <s v="N"/>
    <n v="40"/>
    <n v="8"/>
    <x v="3"/>
    <s v="VALIDATED"/>
    <n v="1"/>
    <s v="01.11.80.307.6300.0000"/>
    <n v="40"/>
    <s v="11"/>
    <s v="6300"/>
    <n v="49509.54"/>
    <n v="40"/>
    <s v="CREDITOR"/>
    <n v="0"/>
    <n v="0"/>
    <n v="0"/>
    <n v="0"/>
    <n v="40"/>
  </r>
  <r>
    <n v="7431730"/>
    <s v="N"/>
    <n v="21318708"/>
    <s v="3000003621200005"/>
    <s v="CIVIL"/>
    <d v="2023-06-22T00:00:00"/>
    <d v="2023-07-03T19:01:49"/>
    <m/>
    <d v="2023-07-03T00:00:00"/>
    <n v="270"/>
    <n v="891"/>
    <s v="7431730"/>
    <s v="7431730"/>
    <m/>
    <m/>
    <n v="22747114"/>
    <m/>
    <m/>
    <m/>
    <s v="SOLFIN"/>
    <s v="SOLFIN"/>
    <s v="CCMS"/>
    <n v="21318708"/>
    <n v="22428.48"/>
    <m/>
    <s v="N"/>
    <n v="130"/>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95"/>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33"/>
    <d v="2023-07-03T19:02:01"/>
    <s v="Y"/>
    <s v="Preparation - other"/>
    <s v="Prescribed Hourly Rates"/>
    <s v="Profit Cost"/>
    <s v="PM"/>
    <s v="Y"/>
    <n v="32.45"/>
    <n v="6.49"/>
    <x v="3"/>
    <s v="VALIDATED"/>
    <n v="1"/>
    <s v="01.11.80.307.6100.0000"/>
    <n v="32.45"/>
    <s v="11"/>
    <s v="6100"/>
    <n v="49509.54"/>
    <n v="32.45"/>
    <s v="CREDITOR"/>
    <n v="0"/>
    <n v="0"/>
    <n v="0"/>
    <n v="0"/>
    <n v="32.45"/>
  </r>
  <r>
    <n v="60485628"/>
    <s v="N"/>
    <n v="21369638"/>
    <s v="3000014763550002"/>
    <s v="CIVIL"/>
    <d v="2023-06-19T00:00:00"/>
    <d v="2023-07-13T19:21:05"/>
    <m/>
    <d v="2023-07-13T00:00:00"/>
    <n v="270"/>
    <n v="891"/>
    <s v="60485628"/>
    <s v="60485628"/>
    <m/>
    <m/>
    <n v="22711824"/>
    <m/>
    <m/>
    <m/>
    <s v="SOLFIN"/>
    <s v="SOLFIN"/>
    <s v="CCMS"/>
    <n v="21369638"/>
    <n v="1641.88"/>
    <m/>
    <s v="N"/>
    <n v="4"/>
    <d v="2023-07-13T19:21:08"/>
    <s v="Y"/>
    <s v="Preparation - other"/>
    <s v="Prescribed Hourly Rates"/>
    <s v="Profit Cost"/>
    <s v="Penelope Moult"/>
    <s v="Y"/>
    <n v="13.66"/>
    <n v="2.73"/>
    <x v="11"/>
    <s v="VALIDATED"/>
    <n v="1"/>
    <s v="01.11.80.307.6100.0000"/>
    <n v="13.66"/>
    <s v="11"/>
    <s v="6100"/>
    <n v="49509.54"/>
    <n v="13.66"/>
    <s v="CREDITOR"/>
    <n v="0"/>
    <n v="0"/>
    <n v="0"/>
    <n v="0"/>
    <n v="13.66"/>
  </r>
  <r>
    <n v="60485628"/>
    <s v="N"/>
    <n v="21369638"/>
    <s v="3000014763550002"/>
    <s v="CIVIL"/>
    <d v="2023-06-19T00:00:00"/>
    <d v="2023-07-13T19:21:05"/>
    <m/>
    <d v="2023-07-13T00:00:00"/>
    <n v="270"/>
    <n v="891"/>
    <s v="60485628"/>
    <s v="60485628"/>
    <m/>
    <m/>
    <n v="22711824"/>
    <m/>
    <m/>
    <m/>
    <s v="SOLFIN"/>
    <s v="SOLFIN"/>
    <s v="CCMS"/>
    <n v="21369638"/>
    <n v="1641.88"/>
    <m/>
    <s v="N"/>
    <n v="20"/>
    <d v="2023-07-13T19:21:08"/>
    <s v="Y"/>
    <s v="Preparation - other"/>
    <s v="Prescribed Hourly Rates"/>
    <s v="Profit Cost"/>
    <s v="Penelope Moult"/>
    <s v="Y"/>
    <n v="68.31"/>
    <n v="13.66"/>
    <x v="11"/>
    <s v="VALIDATED"/>
    <n v="1"/>
    <s v="01.11.80.307.6100.0000"/>
    <n v="68.31"/>
    <s v="11"/>
    <s v="6100"/>
    <n v="49509.54"/>
    <n v="68.31"/>
    <s v="CREDITOR"/>
    <n v="0"/>
    <n v="0"/>
    <n v="0"/>
    <n v="0"/>
    <n v="68.31"/>
  </r>
  <r>
    <n v="42259627"/>
    <s v="N"/>
    <n v="21331008"/>
    <s v="3000011285920006"/>
    <s v="CIVIL"/>
    <d v="2023-06-23T00:00:00"/>
    <d v="2023-07-05T19:01:47"/>
    <m/>
    <d v="2023-07-05T00:00:00"/>
    <n v="270"/>
    <n v="891"/>
    <s v="42259627"/>
    <s v="42259627"/>
    <m/>
    <m/>
    <n v="22756168"/>
    <m/>
    <m/>
    <m/>
    <s v="SOLFIN"/>
    <s v="SOLFIN"/>
    <s v="CCMS"/>
    <n v="21331008"/>
    <n v="11329.24"/>
    <m/>
    <s v="N"/>
    <n v="16"/>
    <d v="2023-07-05T19:02:01"/>
    <s v="Y"/>
    <s v="Hearing Unit 2.31 - 5.00 Hours"/>
    <s v="Public Law Children"/>
    <s v="Advocacy"/>
    <s v="Maria Orme"/>
    <s v="Y"/>
    <n v="476.92"/>
    <n v="95.38"/>
    <x v="6"/>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16"/>
    <d v="2023-07-03T19:02:01"/>
    <s v="Y"/>
    <s v="Preparation - drafting attendance n"/>
    <s v="Prescribed Hourly Rates"/>
    <s v="Profit Cost"/>
    <s v="PM"/>
    <s v="Y"/>
    <n v="89.26000000000001"/>
    <n v="17.85"/>
    <x v="3"/>
    <s v="VALIDATED"/>
    <n v="1"/>
    <s v="01.11.80.307.6100.0000"/>
    <n v="89.26000000000001"/>
    <s v="11"/>
    <s v="6100"/>
    <n v="49509.54"/>
    <n v="89.26000000000001"/>
    <s v="CREDITOR"/>
    <n v="0"/>
    <n v="0"/>
    <n v="0"/>
    <n v="0"/>
    <n v="89.26000000000001"/>
  </r>
  <r>
    <n v="60902882"/>
    <s v="N"/>
    <n v="21318992"/>
    <s v="3000015122580012"/>
    <s v="CIVIL"/>
    <d v="2023-06-23T00:00:00"/>
    <d v="2023-07-03T19:01:49"/>
    <m/>
    <d v="2023-07-03T00:00:00"/>
    <n v="270"/>
    <n v="891"/>
    <s v="60902882"/>
    <s v="60902882"/>
    <m/>
    <m/>
    <n v="22756172"/>
    <m/>
    <m/>
    <m/>
    <s v="SOLFIN"/>
    <s v="SOLFIN"/>
    <s v="CCMS"/>
    <n v="21318992"/>
    <n v="3207.9"/>
    <m/>
    <s v="N"/>
    <n v="2"/>
    <d v="2023-07-03T19:02:06"/>
    <s v="Y"/>
    <s v="Psychiatrist"/>
    <s v="Public Law Children"/>
    <s v="Expert Disbursement"/>
    <s v="Maria Orme"/>
    <s v="Y"/>
    <n v="405"/>
    <n v="0"/>
    <x v="3"/>
    <s v="VALIDATED"/>
    <n v="1"/>
    <s v="01.11.80.308.6300.0000"/>
    <n v="405"/>
    <s v="11"/>
    <s v="6300"/>
    <n v="49509.54"/>
    <n v="405"/>
    <s v="CREDITOR"/>
    <n v="0"/>
    <n v="0"/>
    <n v="0"/>
    <n v="0"/>
    <n v="405"/>
  </r>
  <r>
    <n v="60325701"/>
    <s v="N"/>
    <n v="21318301"/>
    <s v="3000014625530008"/>
    <s v="CIVIL"/>
    <d v="2023-06-22T00:00:00"/>
    <d v="2023-07-03T19:01:49"/>
    <m/>
    <d v="2023-07-03T00:00:00"/>
    <n v="270"/>
    <n v="891"/>
    <s v="60325701"/>
    <s v="60325701"/>
    <m/>
    <m/>
    <n v="22742148"/>
    <m/>
    <m/>
    <m/>
    <s v="SOLFIN"/>
    <s v="SOLFIN"/>
    <s v="CCMS"/>
    <n v="21318301"/>
    <n v="9824.93"/>
    <m/>
    <s v="N"/>
    <n v="14"/>
    <d v="2023-07-03T19:01:53"/>
    <s v="Y"/>
    <s v="Solicitor Travel Expenses"/>
    <s v="Public Law Children"/>
    <s v="Non Expert Disbursement"/>
    <s v="pm"/>
    <s v="Y"/>
    <n v="8.1"/>
    <n v="1.62"/>
    <x v="3"/>
    <s v="VALIDATED"/>
    <n v="1"/>
    <s v="01.11.80.308.6300.0000"/>
    <n v="8.1"/>
    <s v="11"/>
    <s v="6300"/>
    <n v="49509.54"/>
    <n v="8.1"/>
    <s v="CREDITOR"/>
    <n v="0"/>
    <n v="0"/>
    <n v="0"/>
    <n v="0"/>
    <n v="8.1"/>
  </r>
  <r>
    <n v="7431730"/>
    <s v="N"/>
    <n v="21318708"/>
    <s v="3000003621200005"/>
    <s v="CIVIL"/>
    <d v="2023-06-22T00:00:00"/>
    <d v="2023-07-03T19:01:49"/>
    <m/>
    <d v="2023-07-03T00:00:00"/>
    <n v="270"/>
    <n v="891"/>
    <s v="7431730"/>
    <s v="7431730"/>
    <m/>
    <m/>
    <n v="22747114"/>
    <m/>
    <m/>
    <m/>
    <s v="SOLFIN"/>
    <s v="SOLFIN"/>
    <s v="CCMS"/>
    <n v="21318708"/>
    <n v="22428.48"/>
    <m/>
    <s v="N"/>
    <n v="65"/>
    <d v="2023-07-03T19:02:01"/>
    <s v="Y"/>
    <s v="Preparation - other"/>
    <s v="Prescribed Hourly Rates"/>
    <s v="Profit Cost"/>
    <s v="PM"/>
    <s v="Y"/>
    <n v="40.57"/>
    <n v="8.109999999999999"/>
    <x v="3"/>
    <s v="VALIDATED"/>
    <n v="1"/>
    <s v="01.11.80.307.6100.0000"/>
    <n v="40.57"/>
    <s v="11"/>
    <s v="6100"/>
    <n v="49509.54"/>
    <n v="40.57"/>
    <s v="CREDITOR"/>
    <n v="0"/>
    <n v="0"/>
    <n v="0"/>
    <n v="0"/>
    <n v="40.57"/>
  </r>
  <r>
    <n v="60258535"/>
    <s v="N"/>
    <n v="21318601"/>
    <s v="3000014566280010"/>
    <s v="CIVIL"/>
    <d v="2023-06-22T00:00:00"/>
    <d v="2023-07-03T19:01:49"/>
    <m/>
    <d v="2023-07-03T00:00:00"/>
    <n v="270"/>
    <n v="891"/>
    <s v="60258535"/>
    <s v="60258535"/>
    <m/>
    <m/>
    <n v="22748030"/>
    <m/>
    <m/>
    <m/>
    <s v="SOLFIN"/>
    <s v="SOLFIN"/>
    <s v="CCMS"/>
    <n v="21318601"/>
    <n v="8270.030000000001"/>
    <m/>
    <s v="N"/>
    <n v="5"/>
    <d v="2023-07-03T19:02:00"/>
    <s v="Y"/>
    <s v="Psychologist"/>
    <s v="Public Law Children"/>
    <s v="Expert Disbursement"/>
    <s v="Kate Siddall"/>
    <s v="Y"/>
    <n v="140.4"/>
    <n v="0"/>
    <x v="3"/>
    <s v="VALIDATED"/>
    <n v="1"/>
    <s v="01.11.80.308.6300.0000"/>
    <n v="140.4"/>
    <s v="11"/>
    <s v="6300"/>
    <n v="49509.54"/>
    <n v="140.4"/>
    <s v="CREDITOR"/>
    <n v="0"/>
    <n v="0"/>
    <n v="0"/>
    <n v="0"/>
    <n v="140.4"/>
  </r>
  <r>
    <n v="7431730"/>
    <s v="N"/>
    <n v="21318708"/>
    <s v="3000003621200005"/>
    <s v="CIVIL"/>
    <d v="2023-06-22T00:00:00"/>
    <d v="2023-07-03T19:01:49"/>
    <m/>
    <d v="2023-07-03T00:00:00"/>
    <n v="270"/>
    <n v="891"/>
    <s v="7431730"/>
    <s v="7431730"/>
    <m/>
    <m/>
    <n v="22747114"/>
    <m/>
    <m/>
    <m/>
    <s v="SOLFIN"/>
    <s v="SOLFIN"/>
    <s v="CCMS"/>
    <n v="21318708"/>
    <n v="22428.48"/>
    <m/>
    <s v="N"/>
    <n v="106"/>
    <d v="2023-07-03T19:02:01"/>
    <s v="Y"/>
    <s v="Preparation - other"/>
    <s v="Prescribed Hourly Rates"/>
    <s v="Profit Cost"/>
    <s v="PM"/>
    <s v="Y"/>
    <n v="24.35"/>
    <n v="4.87"/>
    <x v="3"/>
    <s v="VALIDATED"/>
    <n v="1"/>
    <s v="01.11.80.307.6100.0000"/>
    <n v="24.35"/>
    <s v="11"/>
    <s v="6100"/>
    <n v="49509.54"/>
    <n v="24.35"/>
    <s v="CREDITOR"/>
    <n v="0"/>
    <n v="0"/>
    <n v="0"/>
    <n v="0"/>
    <n v="24.35"/>
  </r>
  <r>
    <n v="40144488"/>
    <s v="N"/>
    <n v="21320163"/>
    <s v="3000010767640023"/>
    <s v="CIVIL"/>
    <d v="2023-06-27T00:00:00"/>
    <d v="2023-07-03T19:04:24"/>
    <m/>
    <d v="2023-07-03T00:00:00"/>
    <n v="270"/>
    <n v="891"/>
    <s v="40144488"/>
    <s v="40144488"/>
    <m/>
    <m/>
    <n v="22774946"/>
    <m/>
    <m/>
    <m/>
    <s v="SOLFIN"/>
    <s v="SOLFIN"/>
    <s v="CCMS"/>
    <n v="21320163"/>
    <n v="27986.95"/>
    <m/>
    <s v="N"/>
    <n v="3"/>
    <d v="2023-07-03T19:04:29"/>
    <s v="Y"/>
    <s v="Psychiatrist"/>
    <s v="VHCC"/>
    <s v="Expert Disbursement"/>
    <s v="Dinuka Sivaneswaran"/>
    <s v="Y"/>
    <n v="626.4"/>
    <n v="125.28"/>
    <x v="3"/>
    <s v="VALIDATED"/>
    <n v="1"/>
    <s v="01.11.80.308.6300.0000"/>
    <n v="626.4"/>
    <s v="11"/>
    <s v="6300"/>
    <n v="49509.54"/>
    <n v="626.4"/>
    <s v="CREDITOR"/>
    <n v="0"/>
    <n v="0"/>
    <n v="0"/>
    <n v="0"/>
    <n v="626.4"/>
  </r>
  <r>
    <n v="7431730"/>
    <s v="N"/>
    <n v="21318708"/>
    <s v="3000003621200005"/>
    <s v="CIVIL"/>
    <d v="2023-06-22T00:00:00"/>
    <d v="2023-07-03T19:01:49"/>
    <m/>
    <d v="2023-07-03T00:00:00"/>
    <n v="270"/>
    <n v="891"/>
    <s v="7431730"/>
    <s v="7431730"/>
    <m/>
    <m/>
    <n v="22747114"/>
    <m/>
    <m/>
    <m/>
    <s v="SOLFIN"/>
    <s v="SOLFIN"/>
    <s v="CCMS"/>
    <n v="21318708"/>
    <n v="22428.48"/>
    <m/>
    <s v="N"/>
    <n v="93"/>
    <d v="2023-07-03T19:02:01"/>
    <s v="Y"/>
    <s v="Preparation - other"/>
    <s v="Prescribed Hourly Rates"/>
    <s v="Profit Cost"/>
    <s v="PM"/>
    <s v="Y"/>
    <n v="24.35"/>
    <n v="4.87"/>
    <x v="3"/>
    <s v="VALIDATED"/>
    <n v="1"/>
    <s v="01.11.80.307.6100.0000"/>
    <n v="24.35"/>
    <s v="11"/>
    <s v="6100"/>
    <n v="49509.54"/>
    <n v="24.35"/>
    <s v="CREDITOR"/>
    <n v="0"/>
    <n v="0"/>
    <n v="0"/>
    <n v="0"/>
    <n v="24.35"/>
  </r>
  <r>
    <n v="61695950"/>
    <s v="N"/>
    <n v="21321147"/>
    <s v="3000015785650001"/>
    <s v="CIVIL"/>
    <d v="2023-06-28T00:00:00"/>
    <d v="2023-07-03T19:04:52"/>
    <m/>
    <d v="2023-07-03T00:00:00"/>
    <n v="270"/>
    <n v="891"/>
    <s v="61695950"/>
    <s v="61695950"/>
    <m/>
    <m/>
    <n v="22778712"/>
    <m/>
    <m/>
    <m/>
    <s v="SOLPOA"/>
    <s v="SOLPOA"/>
    <s v="CCMS"/>
    <n v="21321147"/>
    <n v="905.46"/>
    <m/>
    <s v="N"/>
    <n v="1"/>
    <d v="2023-07-03T19:04:58"/>
    <s v="N"/>
    <s v="Expert Cost"/>
    <s v="Expert Cost"/>
    <s v="Expert Disbursement"/>
    <s v="MARIA ORME"/>
    <s v="N"/>
    <n v="754.55"/>
    <n v="150.91"/>
    <x v="3"/>
    <s v="VALIDATED"/>
    <n v="1"/>
    <s v="01.11.80.302.2012.0000"/>
    <n v="754.55"/>
    <s v="11"/>
    <s v="2012"/>
    <n v="49509.54"/>
    <n v="754.55"/>
    <s v="CREDITOR"/>
    <n v="754.55"/>
    <n v="0"/>
    <n v="0"/>
    <n v="0"/>
    <n v="0"/>
  </r>
  <r>
    <n v="7431730"/>
    <s v="N"/>
    <n v="21318708"/>
    <s v="3000003621200005"/>
    <s v="CIVIL"/>
    <d v="2023-06-22T00:00:00"/>
    <d v="2023-07-03T19:01:49"/>
    <m/>
    <d v="2023-07-03T00:00:00"/>
    <n v="270"/>
    <n v="891"/>
    <s v="7431730"/>
    <s v="7431730"/>
    <m/>
    <m/>
    <n v="22747114"/>
    <m/>
    <m/>
    <m/>
    <s v="SOLFIN"/>
    <s v="SOLFIN"/>
    <s v="CCMS"/>
    <n v="21318708"/>
    <n v="22428.48"/>
    <m/>
    <s v="N"/>
    <n v="57"/>
    <d v="2023-07-03T19:02:01"/>
    <s v="Y"/>
    <s v="Advocacy - Directions Hearing"/>
    <s v="Prescribed Hourly Rates"/>
    <s v="Advocacy"/>
    <s v="PM"/>
    <s v="Y"/>
    <n v="178.51"/>
    <n v="35.7"/>
    <x v="3"/>
    <s v="VALIDATED"/>
    <n v="1"/>
    <s v="01.11.80.307.6100.0000"/>
    <n v="178.51"/>
    <s v="11"/>
    <s v="6100"/>
    <n v="49509.54"/>
    <n v="178.51"/>
    <s v="CREDITOR"/>
    <n v="0"/>
    <n v="0"/>
    <n v="0"/>
    <n v="0"/>
    <n v="178.51"/>
  </r>
  <r>
    <n v="60485628"/>
    <s v="N"/>
    <n v="21369638"/>
    <s v="3000014763550002"/>
    <s v="CIVIL"/>
    <d v="2023-06-19T00:00:00"/>
    <d v="2023-07-13T19:21:05"/>
    <m/>
    <d v="2023-07-13T00:00:00"/>
    <n v="270"/>
    <n v="891"/>
    <s v="60485628"/>
    <s v="60485628"/>
    <m/>
    <m/>
    <n v="22711824"/>
    <m/>
    <m/>
    <m/>
    <s v="SOLFIN"/>
    <s v="SOLFIN"/>
    <s v="CCMS"/>
    <n v="21369638"/>
    <n v="1641.88"/>
    <m/>
    <s v="N"/>
    <n v="21"/>
    <d v="2023-07-13T19:21:08"/>
    <s v="Y"/>
    <s v="Attendance upon client"/>
    <s v="Prescribed Hourly Rates"/>
    <s v="Profit Cost"/>
    <s v="Penelope Moult"/>
    <s v="Y"/>
    <n v="13.66"/>
    <n v="2.73"/>
    <x v="11"/>
    <s v="VALIDATED"/>
    <n v="1"/>
    <s v="01.11.80.307.6100.0000"/>
    <n v="13.66"/>
    <s v="11"/>
    <s v="6100"/>
    <n v="49509.54"/>
    <n v="13.66"/>
    <s v="CREDITOR"/>
    <n v="0"/>
    <n v="0"/>
    <n v="0"/>
    <n v="0"/>
    <n v="13.66"/>
  </r>
  <r>
    <n v="7431730"/>
    <s v="N"/>
    <n v="21318708"/>
    <s v="3000003621200005"/>
    <s v="CIVIL"/>
    <d v="2023-06-22T00:00:00"/>
    <d v="2023-07-03T19:01:49"/>
    <m/>
    <d v="2023-07-03T00:00:00"/>
    <n v="270"/>
    <n v="891"/>
    <s v="7431730"/>
    <s v="7431730"/>
    <m/>
    <m/>
    <n v="22747114"/>
    <m/>
    <m/>
    <m/>
    <s v="SOLFIN"/>
    <s v="SOLFIN"/>
    <s v="CCMS"/>
    <n v="21318708"/>
    <n v="22428.48"/>
    <m/>
    <s v="N"/>
    <n v="25"/>
    <d v="2023-07-03T19:02:01"/>
    <s v="Y"/>
    <s v="Preparation - other"/>
    <s v="Prescribed Hourly Rates"/>
    <s v="Profit Cost"/>
    <s v="PM"/>
    <s v="Y"/>
    <n v="32.45"/>
    <n v="6.49"/>
    <x v="3"/>
    <s v="VALIDATED"/>
    <n v="1"/>
    <s v="01.11.80.307.6100.0000"/>
    <n v="32.45"/>
    <s v="11"/>
    <s v="6100"/>
    <n v="49509.54"/>
    <n v="32.45"/>
    <s v="CREDITOR"/>
    <n v="0"/>
    <n v="0"/>
    <n v="0"/>
    <n v="0"/>
    <n v="32.45"/>
  </r>
  <r>
    <n v="7431730"/>
    <s v="N"/>
    <n v="21318708"/>
    <s v="3000003621200005"/>
    <s v="CIVIL"/>
    <d v="2023-06-22T00:00:00"/>
    <d v="2023-07-03T19:01:49"/>
    <m/>
    <d v="2023-07-03T00:00:00"/>
    <n v="270"/>
    <n v="891"/>
    <s v="7431730"/>
    <s v="7431730"/>
    <m/>
    <m/>
    <n v="22747114"/>
    <m/>
    <m/>
    <m/>
    <s v="SOLFIN"/>
    <s v="SOLFIN"/>
    <s v="CCMS"/>
    <n v="21318708"/>
    <n v="22428.48"/>
    <m/>
    <s v="N"/>
    <n v="44"/>
    <d v="2023-07-03T19:02:01"/>
    <s v="Y"/>
    <s v="Attendance upon client"/>
    <s v="Prescribed Hourly Rates"/>
    <s v="Profit Cost"/>
    <s v="PM"/>
    <s v="Y"/>
    <n v="97.37"/>
    <n v="19.47"/>
    <x v="3"/>
    <s v="VALIDATED"/>
    <n v="1"/>
    <s v="01.11.80.307.6100.0000"/>
    <n v="97.37"/>
    <s v="11"/>
    <s v="6100"/>
    <n v="49509.54"/>
    <n v="97.37"/>
    <s v="CREDITOR"/>
    <n v="0"/>
    <n v="0"/>
    <n v="0"/>
    <n v="0"/>
    <n v="97.37"/>
  </r>
  <r>
    <n v="60325701"/>
    <s v="N"/>
    <n v="21318301"/>
    <s v="3000014625530008"/>
    <s v="CIVIL"/>
    <d v="2023-06-22T00:00:00"/>
    <d v="2023-07-03T19:01:49"/>
    <m/>
    <d v="2023-07-03T00:00:00"/>
    <n v="270"/>
    <n v="891"/>
    <s v="60325701"/>
    <s v="60325701"/>
    <m/>
    <m/>
    <n v="22742148"/>
    <m/>
    <m/>
    <m/>
    <s v="SOLFIN"/>
    <s v="SOLFIN"/>
    <s v="CCMS"/>
    <n v="21318301"/>
    <n v="9824.93"/>
    <m/>
    <s v="N"/>
    <n v="12"/>
    <d v="2023-07-03T19:01:53"/>
    <s v="Y"/>
    <s v="Solicitor Travel Mileage"/>
    <s v="Public Law Children"/>
    <s v="Non Expert Disbursement"/>
    <s v="pm"/>
    <s v="Y"/>
    <n v="27"/>
    <n v="5.4"/>
    <x v="3"/>
    <s v="VALIDATED"/>
    <n v="1"/>
    <s v="01.11.80.308.6300.0000"/>
    <n v="27"/>
    <s v="11"/>
    <s v="6300"/>
    <n v="49509.54"/>
    <n v="27"/>
    <s v="CREDITOR"/>
    <n v="0"/>
    <n v="0"/>
    <n v="0"/>
    <n v="0"/>
    <n v="27"/>
  </r>
  <r>
    <n v="7431730"/>
    <s v="N"/>
    <n v="21318708"/>
    <s v="3000003621200005"/>
    <s v="CIVIL"/>
    <d v="2023-06-22T00:00:00"/>
    <d v="2023-07-03T19:01:49"/>
    <m/>
    <d v="2023-07-03T00:00:00"/>
    <n v="270"/>
    <n v="891"/>
    <s v="7431730"/>
    <s v="7431730"/>
    <m/>
    <m/>
    <n v="22747114"/>
    <m/>
    <m/>
    <m/>
    <s v="SOLFIN"/>
    <s v="SOLFIN"/>
    <s v="CCMS"/>
    <n v="21318708"/>
    <n v="22428.48"/>
    <m/>
    <s v="N"/>
    <n v="5"/>
    <d v="2023-07-03T19:02:01"/>
    <s v="N"/>
    <s v="Solicitor Travel Expenses"/>
    <s v="Prescribed Hourly Rates"/>
    <s v="Non Expert Disbursement"/>
    <s v="PEM"/>
    <s v="N"/>
    <n v="5.59"/>
    <n v="0"/>
    <x v="3"/>
    <s v="VALIDATED"/>
    <n v="1"/>
    <s v="01.11.80.307.6300.0000"/>
    <n v="5.59"/>
    <s v="11"/>
    <s v="6300"/>
    <n v="49509.54"/>
    <n v="5.59"/>
    <s v="CREDITOR"/>
    <n v="0"/>
    <n v="0"/>
    <n v="0"/>
    <n v="0"/>
    <n v="5.59"/>
  </r>
  <r>
    <n v="7431730"/>
    <s v="N"/>
    <n v="21318708"/>
    <s v="3000003621200005"/>
    <s v="CIVIL"/>
    <d v="2023-06-22T00:00:00"/>
    <d v="2023-07-03T19:01:49"/>
    <m/>
    <d v="2023-07-03T00:00:00"/>
    <n v="270"/>
    <n v="891"/>
    <s v="7431730"/>
    <s v="7431730"/>
    <m/>
    <m/>
    <n v="22747114"/>
    <m/>
    <m/>
    <m/>
    <s v="SOLFIN"/>
    <s v="SOLFIN"/>
    <s v="CCMS"/>
    <n v="21318708"/>
    <n v="22428.48"/>
    <m/>
    <s v="N"/>
    <n v="32"/>
    <d v="2023-07-03T19:02:01"/>
    <s v="Y"/>
    <s v="Preparation - other"/>
    <s v="Prescribed Hourly Rates"/>
    <s v="Profit Cost"/>
    <s v="PM"/>
    <s v="Y"/>
    <n v="56.8"/>
    <n v="11.36"/>
    <x v="3"/>
    <s v="VALIDATED"/>
    <n v="1"/>
    <s v="01.11.80.307.6100.0000"/>
    <n v="56.8"/>
    <s v="11"/>
    <s v="6100"/>
    <n v="49509.54"/>
    <n v="56.8"/>
    <s v="CREDITOR"/>
    <n v="0"/>
    <n v="0"/>
    <n v="0"/>
    <n v="0"/>
    <n v="56.8"/>
  </r>
  <r>
    <n v="7431730"/>
    <s v="N"/>
    <n v="21318708"/>
    <s v="3000003621200005"/>
    <s v="CIVIL"/>
    <d v="2023-06-22T00:00:00"/>
    <d v="2023-07-03T19:01:49"/>
    <m/>
    <d v="2023-07-03T00:00:00"/>
    <n v="270"/>
    <n v="891"/>
    <s v="7431730"/>
    <s v="7431730"/>
    <m/>
    <m/>
    <n v="22747114"/>
    <m/>
    <m/>
    <m/>
    <s v="SOLFIN"/>
    <s v="SOLFIN"/>
    <s v="CCMS"/>
    <n v="21318708"/>
    <n v="22428.48"/>
    <m/>
    <s v="N"/>
    <n v="34"/>
    <d v="2023-07-03T19:02:01"/>
    <s v="Y"/>
    <s v="Preparation - other"/>
    <s v="Prescribed Hourly Rates"/>
    <s v="Profit Cost"/>
    <s v="PM"/>
    <s v="Y"/>
    <n v="162.29"/>
    <n v="32.46"/>
    <x v="3"/>
    <s v="VALIDATED"/>
    <n v="1"/>
    <s v="01.11.80.307.6100.0000"/>
    <n v="162.29"/>
    <s v="11"/>
    <s v="6100"/>
    <n v="49509.54"/>
    <n v="162.29"/>
    <s v="CREDITOR"/>
    <n v="0"/>
    <n v="0"/>
    <n v="0"/>
    <n v="0"/>
    <n v="162.29"/>
  </r>
  <r>
    <n v="60485628"/>
    <s v="N"/>
    <n v="21369638"/>
    <s v="3000014763550002"/>
    <s v="CIVIL"/>
    <d v="2023-06-19T00:00:00"/>
    <d v="2023-07-13T19:21:05"/>
    <m/>
    <d v="2023-07-13T00:00:00"/>
    <n v="270"/>
    <n v="891"/>
    <s v="60485628"/>
    <s v="60485628"/>
    <m/>
    <m/>
    <n v="22711824"/>
    <m/>
    <m/>
    <m/>
    <s v="SOLFIN"/>
    <s v="SOLFIN"/>
    <s v="CCMS"/>
    <n v="21369638"/>
    <n v="1641.88"/>
    <m/>
    <s v="N"/>
    <n v="8"/>
    <d v="2023-07-13T19:21:08"/>
    <s v="Y"/>
    <s v="Preparation - drafting statement"/>
    <s v="Prescribed Hourly Rates"/>
    <s v="Profit Cost"/>
    <s v="Penelope Moult"/>
    <s v="Y"/>
    <n v="20.49"/>
    <n v="4.1"/>
    <x v="11"/>
    <s v="VALIDATED"/>
    <n v="1"/>
    <s v="01.11.80.307.6100.0000"/>
    <n v="20.49"/>
    <s v="11"/>
    <s v="6100"/>
    <n v="49509.54"/>
    <n v="20.49"/>
    <s v="CREDITOR"/>
    <n v="0"/>
    <n v="0"/>
    <n v="0"/>
    <n v="0"/>
    <n v="20.49"/>
  </r>
  <r>
    <n v="7431730"/>
    <s v="N"/>
    <n v="21318708"/>
    <s v="3000003621200005"/>
    <s v="CIVIL"/>
    <d v="2023-06-22T00:00:00"/>
    <d v="2023-07-03T19:01:49"/>
    <m/>
    <d v="2023-07-03T00:00:00"/>
    <n v="270"/>
    <n v="891"/>
    <s v="7431730"/>
    <s v="7431730"/>
    <m/>
    <m/>
    <n v="22747114"/>
    <m/>
    <m/>
    <m/>
    <s v="SOLFIN"/>
    <s v="SOLFIN"/>
    <s v="CCMS"/>
    <n v="21318708"/>
    <n v="22428.48"/>
    <m/>
    <s v="N"/>
    <n v="2"/>
    <d v="2023-07-03T19:02:01"/>
    <s v="N"/>
    <s v="Solicitor Travel Expenses"/>
    <s v="Prescribed Hourly Rates"/>
    <s v="Non Expert Disbursement"/>
    <s v="PEM"/>
    <s v="N"/>
    <n v="7.17"/>
    <n v="0"/>
    <x v="3"/>
    <s v="VALIDATED"/>
    <n v="1"/>
    <s v="01.11.80.307.6300.0000"/>
    <n v="7.17"/>
    <s v="11"/>
    <s v="6300"/>
    <n v="49509.54"/>
    <n v="7.17"/>
    <s v="CREDITOR"/>
    <n v="0"/>
    <n v="0"/>
    <n v="0"/>
    <n v="0"/>
    <n v="7.17"/>
  </r>
  <r>
    <n v="60325701"/>
    <s v="N"/>
    <n v="21318301"/>
    <s v="3000014625530008"/>
    <s v="CIVIL"/>
    <d v="2023-06-22T00:00:00"/>
    <d v="2023-07-03T19:01:49"/>
    <m/>
    <d v="2023-07-03T00:00:00"/>
    <n v="270"/>
    <n v="891"/>
    <s v="60325701"/>
    <s v="60325701"/>
    <m/>
    <m/>
    <n v="22742148"/>
    <m/>
    <m/>
    <m/>
    <s v="SOLFIN"/>
    <s v="SOLFIN"/>
    <s v="CCMS"/>
    <n v="21318301"/>
    <n v="9824.93"/>
    <m/>
    <s v="N"/>
    <n v="39"/>
    <d v="2023-07-03T19:01:53"/>
    <s v="Y"/>
    <s v="Hearing Unit 2.31 - 5.00 Hours"/>
    <s v="Public Law Children"/>
    <s v="Advocacy"/>
    <s v="Penelope Moult"/>
    <s v="Y"/>
    <n v="476.92"/>
    <n v="95.38"/>
    <x v="3"/>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56"/>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80"/>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7431730"/>
    <s v="N"/>
    <n v="21318708"/>
    <s v="3000003621200005"/>
    <s v="CIVIL"/>
    <d v="2023-06-22T00:00:00"/>
    <d v="2023-07-03T19:01:49"/>
    <m/>
    <d v="2023-07-03T00:00:00"/>
    <n v="270"/>
    <n v="891"/>
    <s v="7431730"/>
    <s v="7431730"/>
    <m/>
    <m/>
    <n v="22747114"/>
    <m/>
    <m/>
    <m/>
    <s v="SOLFIN"/>
    <s v="SOLFIN"/>
    <s v="CCMS"/>
    <n v="21318708"/>
    <n v="22428.48"/>
    <m/>
    <s v="N"/>
    <n v="90"/>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92"/>
    <d v="2023-07-03T19:02:01"/>
    <s v="Y"/>
    <s v="Preparation - other"/>
    <s v="Prescribed Hourly Rates"/>
    <s v="Profit Cost"/>
    <s v="PM"/>
    <s v="Y"/>
    <n v="81.14"/>
    <n v="16.23"/>
    <x v="3"/>
    <s v="VALIDATED"/>
    <n v="1"/>
    <s v="01.11.80.307.6100.0000"/>
    <n v="81.14"/>
    <s v="11"/>
    <s v="6100"/>
    <n v="49509.54"/>
    <n v="81.14"/>
    <s v="CREDITOR"/>
    <n v="0"/>
    <n v="0"/>
    <n v="0"/>
    <n v="0"/>
    <n v="81.14"/>
  </r>
  <r>
    <n v="7431730"/>
    <s v="N"/>
    <n v="21318708"/>
    <s v="3000003621200005"/>
    <s v="CIVIL"/>
    <d v="2023-06-22T00:00:00"/>
    <d v="2023-07-03T19:01:49"/>
    <m/>
    <d v="2023-07-03T00:00:00"/>
    <n v="270"/>
    <n v="891"/>
    <s v="7431730"/>
    <s v="7431730"/>
    <m/>
    <m/>
    <n v="22747114"/>
    <m/>
    <m/>
    <m/>
    <s v="SOLFIN"/>
    <s v="SOLFIN"/>
    <s v="CCMS"/>
    <n v="21318708"/>
    <n v="22428.48"/>
    <m/>
    <s v="N"/>
    <n v="111"/>
    <d v="2023-07-03T19:02:01"/>
    <s v="Y"/>
    <s v="Preparation - other"/>
    <s v="Prescribed Hourly Rates"/>
    <s v="Profit Cost"/>
    <s v="PM"/>
    <s v="Y"/>
    <n v="32.45"/>
    <n v="6.49"/>
    <x v="3"/>
    <s v="VALIDATED"/>
    <n v="1"/>
    <s v="01.11.80.307.6100.0000"/>
    <n v="32.45"/>
    <s v="11"/>
    <s v="6100"/>
    <n v="49509.54"/>
    <n v="32.45"/>
    <s v="CREDITOR"/>
    <n v="0"/>
    <n v="0"/>
    <n v="0"/>
    <n v="0"/>
    <n v="32.45"/>
  </r>
  <r>
    <n v="7431730"/>
    <s v="N"/>
    <n v="21318708"/>
    <s v="3000003621200005"/>
    <s v="CIVIL"/>
    <d v="2023-06-22T00:00:00"/>
    <d v="2023-07-03T19:01:49"/>
    <m/>
    <d v="2023-07-03T00:00:00"/>
    <n v="270"/>
    <n v="891"/>
    <s v="7431730"/>
    <s v="7431730"/>
    <m/>
    <m/>
    <n v="22747114"/>
    <m/>
    <m/>
    <m/>
    <s v="SOLFIN"/>
    <s v="SOLFIN"/>
    <s v="CCMS"/>
    <n v="21318708"/>
    <n v="22428.48"/>
    <m/>
    <s v="N"/>
    <n v="47"/>
    <d v="2023-07-03T19:02:01"/>
    <s v="Y"/>
    <s v="Attendance upon client"/>
    <s v="Prescribed Hourly Rates"/>
    <s v="Profit Cost"/>
    <s v="PM"/>
    <s v="Y"/>
    <n v="24.35"/>
    <n v="4.87"/>
    <x v="3"/>
    <s v="VALIDATED"/>
    <n v="1"/>
    <s v="01.11.80.307.6100.0000"/>
    <n v="24.35"/>
    <s v="11"/>
    <s v="6100"/>
    <n v="49509.54"/>
    <n v="24.35"/>
    <s v="CREDITOR"/>
    <n v="0"/>
    <n v="0"/>
    <n v="0"/>
    <n v="0"/>
    <n v="24.35"/>
  </r>
  <r>
    <n v="60902882"/>
    <s v="N"/>
    <n v="21318992"/>
    <s v="3000015122580012"/>
    <s v="CIVIL"/>
    <d v="2023-06-23T00:00:00"/>
    <d v="2023-07-03T19:01:49"/>
    <m/>
    <d v="2023-07-03T00:00:00"/>
    <n v="270"/>
    <n v="891"/>
    <s v="60902882"/>
    <s v="60902882"/>
    <m/>
    <m/>
    <n v="22756172"/>
    <m/>
    <m/>
    <m/>
    <s v="SOLFIN"/>
    <s v="SOLFIN"/>
    <s v="CCMS"/>
    <n v="21318992"/>
    <n v="3207.9"/>
    <m/>
    <s v="N"/>
    <n v="1"/>
    <d v="2023-07-03T19:02:06"/>
    <s v="Y"/>
    <s v="Toxicologist"/>
    <s v="Public Law Children"/>
    <s v="Expert Disbursement"/>
    <s v="Maria Orme"/>
    <s v="Y"/>
    <n v="119.75"/>
    <n v="23.95"/>
    <x v="3"/>
    <s v="VALIDATED"/>
    <n v="1"/>
    <s v="01.11.80.308.6300.0000"/>
    <n v="119.75"/>
    <s v="11"/>
    <s v="6300"/>
    <n v="49509.54"/>
    <n v="119.75"/>
    <s v="CREDITOR"/>
    <n v="0"/>
    <n v="0"/>
    <n v="0"/>
    <n v="0"/>
    <n v="119.75"/>
  </r>
  <r>
    <n v="7431730"/>
    <s v="N"/>
    <n v="21318708"/>
    <s v="3000003621200005"/>
    <s v="CIVIL"/>
    <d v="2023-06-22T00:00:00"/>
    <d v="2023-07-03T19:01:49"/>
    <m/>
    <d v="2023-07-03T00:00:00"/>
    <n v="270"/>
    <n v="891"/>
    <s v="7431730"/>
    <s v="7431730"/>
    <m/>
    <m/>
    <n v="22747114"/>
    <m/>
    <m/>
    <m/>
    <s v="SOLFIN"/>
    <s v="SOLFIN"/>
    <s v="CCMS"/>
    <n v="21318708"/>
    <n v="22428.48"/>
    <m/>
    <s v="N"/>
    <n v="12"/>
    <d v="2023-07-03T19:02:01"/>
    <s v="Y"/>
    <s v="Child psychologist"/>
    <s v="Prescribed Hourly Rates"/>
    <s v="Expert Disbursement"/>
    <s v="PEM"/>
    <s v="Y"/>
    <n v="4839.24"/>
    <n v="0"/>
    <x v="3"/>
    <s v="VALIDATED"/>
    <n v="1"/>
    <s v="01.11.80.307.6300.0000"/>
    <n v="4839.24"/>
    <s v="11"/>
    <s v="6300"/>
    <n v="49509.54"/>
    <n v="4839.24"/>
    <s v="CREDITOR"/>
    <n v="0"/>
    <n v="0"/>
    <n v="0"/>
    <n v="0"/>
    <n v="4839.24"/>
  </r>
  <r>
    <n v="7431730"/>
    <s v="N"/>
    <n v="21318708"/>
    <s v="3000003621200005"/>
    <s v="CIVIL"/>
    <d v="2023-06-22T00:00:00"/>
    <d v="2023-07-03T19:01:49"/>
    <m/>
    <d v="2023-07-03T00:00:00"/>
    <n v="270"/>
    <n v="891"/>
    <s v="7431730"/>
    <s v="7431730"/>
    <m/>
    <m/>
    <n v="22747114"/>
    <m/>
    <m/>
    <m/>
    <s v="SOLFIN"/>
    <s v="SOLFIN"/>
    <s v="CCMS"/>
    <n v="21318708"/>
    <n v="22428.48"/>
    <m/>
    <s v="N"/>
    <n v="129"/>
    <d v="2023-07-03T19:02:01"/>
    <s v="Y"/>
    <s v="Preparation - other"/>
    <s v="Prescribed Hourly Rates"/>
    <s v="Profit Cost"/>
    <s v="PM"/>
    <s v="Y"/>
    <n v="32.45"/>
    <n v="6.49"/>
    <x v="3"/>
    <s v="VALIDATED"/>
    <n v="1"/>
    <s v="01.11.80.307.6100.0000"/>
    <n v="32.45"/>
    <s v="11"/>
    <s v="6100"/>
    <n v="49509.54"/>
    <n v="32.45"/>
    <s v="CREDITOR"/>
    <n v="0"/>
    <n v="0"/>
    <n v="0"/>
    <n v="0"/>
    <n v="32.45"/>
  </r>
  <r>
    <n v="7431730"/>
    <s v="N"/>
    <n v="21318708"/>
    <s v="3000003621200005"/>
    <s v="CIVIL"/>
    <d v="2023-06-22T00:00:00"/>
    <d v="2023-07-03T19:01:49"/>
    <m/>
    <d v="2023-07-03T00:00:00"/>
    <n v="270"/>
    <n v="891"/>
    <s v="7431730"/>
    <s v="7431730"/>
    <m/>
    <m/>
    <n v="22747114"/>
    <m/>
    <m/>
    <m/>
    <s v="SOLFIN"/>
    <s v="SOLFIN"/>
    <s v="CCMS"/>
    <n v="21318708"/>
    <n v="22428.48"/>
    <m/>
    <s v="N"/>
    <n v="62"/>
    <d v="2023-07-03T19:02:01"/>
    <s v="Y"/>
    <s v="Preparation - other"/>
    <s v="Prescribed Hourly Rates"/>
    <s v="Profit Cost"/>
    <s v="PM"/>
    <s v="Y"/>
    <n v="186.63"/>
    <n v="37.33"/>
    <x v="3"/>
    <s v="VALIDATED"/>
    <n v="1"/>
    <s v="01.11.80.307.6100.0000"/>
    <n v="186.63"/>
    <s v="11"/>
    <s v="6100"/>
    <n v="49509.54"/>
    <n v="186.63"/>
    <s v="CREDITOR"/>
    <n v="0"/>
    <n v="0"/>
    <n v="0"/>
    <n v="0"/>
    <n v="186.63"/>
  </r>
  <r>
    <n v="7431730"/>
    <s v="N"/>
    <n v="21318708"/>
    <s v="3000003621200005"/>
    <s v="CIVIL"/>
    <d v="2023-06-22T00:00:00"/>
    <d v="2023-07-03T19:01:49"/>
    <m/>
    <d v="2023-07-03T00:00:00"/>
    <n v="270"/>
    <n v="891"/>
    <s v="7431730"/>
    <s v="7431730"/>
    <m/>
    <m/>
    <n v="22747114"/>
    <m/>
    <m/>
    <m/>
    <s v="SOLFIN"/>
    <s v="SOLFIN"/>
    <s v="CCMS"/>
    <n v="21318708"/>
    <n v="22428.48"/>
    <m/>
    <s v="N"/>
    <n v="101"/>
    <d v="2023-07-03T19:02:01"/>
    <s v="Y"/>
    <s v="Preparation - other"/>
    <s v="Prescribed Hourly Rates"/>
    <s v="Profit Cost"/>
    <s v="PM"/>
    <s v="Y"/>
    <n v="235.31"/>
    <n v="47.06"/>
    <x v="3"/>
    <s v="VALIDATED"/>
    <n v="1"/>
    <s v="01.11.80.307.6100.0000"/>
    <n v="235.31"/>
    <s v="11"/>
    <s v="6100"/>
    <n v="49509.54"/>
    <n v="235.31"/>
    <s v="CREDITOR"/>
    <n v="0"/>
    <n v="0"/>
    <n v="0"/>
    <n v="0"/>
    <n v="235.31"/>
  </r>
  <r>
    <n v="7431730"/>
    <s v="N"/>
    <n v="21318708"/>
    <s v="3000003621200005"/>
    <s v="CIVIL"/>
    <d v="2023-06-22T00:00:00"/>
    <d v="2023-07-03T19:01:49"/>
    <m/>
    <d v="2023-07-03T00:00:00"/>
    <n v="270"/>
    <n v="891"/>
    <s v="7431730"/>
    <s v="7431730"/>
    <m/>
    <m/>
    <n v="22747114"/>
    <m/>
    <m/>
    <m/>
    <s v="SOLFIN"/>
    <s v="SOLFIN"/>
    <s v="CCMS"/>
    <n v="21318708"/>
    <n v="22428.48"/>
    <m/>
    <s v="N"/>
    <n v="102"/>
    <d v="2023-07-03T19:02:01"/>
    <s v="Y"/>
    <s v="Preparation - other"/>
    <s v="Prescribed Hourly Rates"/>
    <s v="Profit Cost"/>
    <s v="PM"/>
    <s v="Y"/>
    <n v="24.35"/>
    <n v="4.87"/>
    <x v="3"/>
    <s v="VALIDATED"/>
    <n v="1"/>
    <s v="01.11.80.307.6100.0000"/>
    <n v="24.35"/>
    <s v="11"/>
    <s v="6100"/>
    <n v="49509.54"/>
    <n v="24.35"/>
    <s v="CREDITOR"/>
    <n v="0"/>
    <n v="0"/>
    <n v="0"/>
    <n v="0"/>
    <n v="24.35"/>
  </r>
  <r>
    <n v="60485628"/>
    <s v="N"/>
    <n v="21369638"/>
    <s v="3000014763550002"/>
    <s v="CIVIL"/>
    <d v="2023-06-19T00:00:00"/>
    <d v="2023-07-13T19:21:05"/>
    <m/>
    <d v="2023-07-13T00:00:00"/>
    <n v="270"/>
    <n v="891"/>
    <s v="60485628"/>
    <s v="60485628"/>
    <m/>
    <m/>
    <n v="22711824"/>
    <m/>
    <m/>
    <m/>
    <s v="SOLFIN"/>
    <s v="SOLFIN"/>
    <s v="CCMS"/>
    <n v="21369638"/>
    <n v="1641.88"/>
    <m/>
    <s v="N"/>
    <n v="3"/>
    <d v="2023-07-13T19:21:08"/>
    <s v="Y"/>
    <s v="Preparation - other"/>
    <s v="Prescribed Hourly Rates"/>
    <s v="Profit Cost"/>
    <s v="Penelope Moult"/>
    <s v="Y"/>
    <n v="20.49"/>
    <n v="4.1"/>
    <x v="11"/>
    <s v="VALIDATED"/>
    <n v="1"/>
    <s v="01.11.80.307.6100.0000"/>
    <n v="20.49"/>
    <s v="11"/>
    <s v="6100"/>
    <n v="49509.54"/>
    <n v="20.49"/>
    <s v="CREDITOR"/>
    <n v="0"/>
    <n v="0"/>
    <n v="0"/>
    <n v="0"/>
    <n v="20.49"/>
  </r>
  <r>
    <n v="7431730"/>
    <s v="N"/>
    <n v="21318708"/>
    <s v="3000003621200005"/>
    <s v="CIVIL"/>
    <d v="2023-06-22T00:00:00"/>
    <d v="2023-07-03T19:01:49"/>
    <m/>
    <d v="2023-07-03T00:00:00"/>
    <n v="270"/>
    <n v="891"/>
    <s v="7431730"/>
    <s v="7431730"/>
    <m/>
    <m/>
    <n v="22747114"/>
    <m/>
    <m/>
    <m/>
    <s v="SOLFIN"/>
    <s v="SOLFIN"/>
    <s v="CCMS"/>
    <n v="21318708"/>
    <n v="22428.48"/>
    <m/>
    <s v="N"/>
    <n v="46"/>
    <d v="2023-07-03T19:02:01"/>
    <s v="Y"/>
    <s v="Attendance upon client"/>
    <s v="Prescribed Hourly Rates"/>
    <s v="Profit Cost"/>
    <s v="PM"/>
    <s v="Y"/>
    <n v="56.8"/>
    <n v="11.36"/>
    <x v="3"/>
    <s v="VALIDATED"/>
    <n v="1"/>
    <s v="01.11.80.307.6100.0000"/>
    <n v="56.8"/>
    <s v="11"/>
    <s v="6100"/>
    <n v="49509.54"/>
    <n v="56.8"/>
    <s v="CREDITOR"/>
    <n v="0"/>
    <n v="0"/>
    <n v="0"/>
    <n v="0"/>
    <n v="56.8"/>
  </r>
  <r>
    <n v="7431730"/>
    <s v="N"/>
    <n v="21318708"/>
    <s v="3000003621200005"/>
    <s v="CIVIL"/>
    <d v="2023-06-22T00:00:00"/>
    <d v="2023-07-03T19:01:49"/>
    <m/>
    <d v="2023-07-03T00:00:00"/>
    <n v="270"/>
    <n v="891"/>
    <s v="7431730"/>
    <s v="7431730"/>
    <m/>
    <m/>
    <n v="22747114"/>
    <m/>
    <m/>
    <m/>
    <s v="SOLFIN"/>
    <s v="SOLFIN"/>
    <s v="CCMS"/>
    <n v="21318708"/>
    <n v="22428.48"/>
    <m/>
    <s v="N"/>
    <n v="49"/>
    <d v="2023-07-03T19:02:01"/>
    <s v="Y"/>
    <s v="Preparation - other"/>
    <s v="Prescribed Hourly Rates"/>
    <s v="Profit Cost"/>
    <s v="PM"/>
    <s v="Y"/>
    <n v="16.23"/>
    <n v="3.25"/>
    <x v="3"/>
    <s v="VALIDATED"/>
    <n v="1"/>
    <s v="01.11.80.307.6100.0000"/>
    <n v="16.23"/>
    <s v="11"/>
    <s v="6100"/>
    <n v="49509.54"/>
    <n v="16.23"/>
    <s v="CREDITOR"/>
    <n v="0"/>
    <n v="0"/>
    <n v="0"/>
    <n v="0"/>
    <n v="16.23"/>
  </r>
  <r>
    <n v="60902882"/>
    <s v="N"/>
    <n v="21318992"/>
    <s v="3000015122580012"/>
    <s v="CIVIL"/>
    <d v="2023-06-23T00:00:00"/>
    <d v="2023-07-03T19:01:49"/>
    <m/>
    <d v="2023-07-03T00:00:00"/>
    <n v="270"/>
    <n v="891"/>
    <s v="60902882"/>
    <s v="60902882"/>
    <m/>
    <m/>
    <n v="22756172"/>
    <m/>
    <m/>
    <m/>
    <s v="SOLFIN"/>
    <s v="SOLFIN"/>
    <s v="CCMS"/>
    <n v="21318992"/>
    <n v="3207.9"/>
    <m/>
    <s v="N"/>
    <n v="3"/>
    <d v="2023-07-03T19:02:06"/>
    <s v="Y"/>
    <s v="Toxicologist"/>
    <s v="Public Law Children"/>
    <s v="Expert Disbursement"/>
    <s v="Maria Orme"/>
    <s v="Y"/>
    <n v="203"/>
    <n v="40.6"/>
    <x v="3"/>
    <s v="VALIDATED"/>
    <n v="1"/>
    <s v="01.11.80.308.6300.0000"/>
    <n v="203"/>
    <s v="11"/>
    <s v="6300"/>
    <n v="49509.54"/>
    <n v="203"/>
    <s v="CREDITOR"/>
    <n v="0"/>
    <n v="0"/>
    <n v="0"/>
    <n v="0"/>
    <n v="203"/>
  </r>
  <r>
    <n v="60325701"/>
    <s v="N"/>
    <n v="21318301"/>
    <s v="3000014625530008"/>
    <s v="CIVIL"/>
    <d v="2023-06-22T00:00:00"/>
    <d v="2023-07-03T19:01:49"/>
    <m/>
    <d v="2023-07-03T00:00:00"/>
    <n v="270"/>
    <n v="891"/>
    <s v="60325701"/>
    <s v="60325701"/>
    <m/>
    <m/>
    <n v="22742148"/>
    <m/>
    <m/>
    <m/>
    <s v="SOLFIN"/>
    <s v="SOLFIN"/>
    <s v="CCMS"/>
    <n v="21318301"/>
    <n v="9824.93"/>
    <m/>
    <s v="N"/>
    <n v="30"/>
    <d v="2023-07-03T19:01:53"/>
    <s v="Y"/>
    <s v="Advocates Meeting"/>
    <s v="Public Law Children"/>
    <s v="Advocacy"/>
    <s v="Penelope Moult"/>
    <s v="Y"/>
    <n v="140.99"/>
    <n v="28.2"/>
    <x v="3"/>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76"/>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112"/>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40144488"/>
    <s v="N"/>
    <n v="21324278"/>
    <s v="3000010767640009RC"/>
    <s v="CIVIL"/>
    <d v="2023-06-27T00:00:00"/>
    <d v="2023-07-03T19:42:50"/>
    <m/>
    <d v="2023-07-03T00:00:00"/>
    <n v="270"/>
    <n v="891"/>
    <s v="40144488"/>
    <s v="40144488"/>
    <m/>
    <m/>
    <m/>
    <m/>
    <m/>
    <m/>
    <s v="SOLRECOUP"/>
    <s v="SOLRECOUP"/>
    <s v="POARECOUP"/>
    <n v="21324278"/>
    <n v="-287.7"/>
    <m/>
    <s v="Y"/>
    <n v="2"/>
    <d v="2023-07-03T19:42:51"/>
    <s v="N"/>
    <m/>
    <m/>
    <s v="Expert Disbursement"/>
    <m/>
    <s v="N"/>
    <n v="0"/>
    <n v="-47.95"/>
    <x v="3"/>
    <s v="VALIDATED"/>
    <n v="1"/>
    <s v="01.11.80.308.2013.0000"/>
    <n v="-47.95"/>
    <s v="11"/>
    <s v="2013"/>
    <n v="49509.54"/>
    <n v="-47.95"/>
    <s v="CREDITOR"/>
    <n v="0"/>
    <n v="0"/>
    <n v="-47.95"/>
    <n v="0"/>
    <n v="0"/>
  </r>
  <r>
    <n v="40144488"/>
    <s v="N"/>
    <n v="21324279"/>
    <s v="3000010767640016RC"/>
    <s v="CIVIL"/>
    <d v="2023-06-27T00:00:00"/>
    <d v="2023-07-03T19:42:50"/>
    <m/>
    <d v="2023-07-03T00:00:00"/>
    <n v="270"/>
    <n v="891"/>
    <s v="40144488"/>
    <s v="40144488"/>
    <m/>
    <m/>
    <m/>
    <m/>
    <m/>
    <m/>
    <s v="SOLRECOUP"/>
    <s v="SOLRECOUP"/>
    <s v="POARECOUP"/>
    <n v="21324279"/>
    <n v="-943.92"/>
    <m/>
    <s v="Y"/>
    <n v="1"/>
    <d v="2023-07-03T19:42:51"/>
    <s v="N"/>
    <m/>
    <m/>
    <s v="Expert Disbursement"/>
    <m/>
    <s v="N"/>
    <n v="-786.6"/>
    <n v="0"/>
    <x v="3"/>
    <s v="VALIDATED"/>
    <n v="1"/>
    <s v="01.11.80.308.2013.0000"/>
    <n v="-786.6"/>
    <s v="11"/>
    <s v="2013"/>
    <n v="49509.54"/>
    <n v="-786.6"/>
    <s v="CREDITOR"/>
    <n v="0"/>
    <n v="0"/>
    <n v="-786.6"/>
    <n v="0"/>
    <n v="0"/>
  </r>
  <r>
    <n v="40144488"/>
    <s v="N"/>
    <n v="21324279"/>
    <s v="3000010767640016RC"/>
    <s v="CIVIL"/>
    <d v="2023-06-27T00:00:00"/>
    <d v="2023-07-03T19:42:50"/>
    <m/>
    <d v="2023-07-03T00:00:00"/>
    <n v="270"/>
    <n v="891"/>
    <s v="40144488"/>
    <s v="40144488"/>
    <m/>
    <m/>
    <m/>
    <m/>
    <m/>
    <m/>
    <s v="SOLRECOUP"/>
    <s v="SOLRECOUP"/>
    <s v="POARECOUP"/>
    <n v="21324279"/>
    <n v="-943.92"/>
    <m/>
    <s v="Y"/>
    <n v="2"/>
    <d v="2023-07-03T19:42:51"/>
    <s v="N"/>
    <m/>
    <m/>
    <s v="Expert Disbursement"/>
    <m/>
    <s v="N"/>
    <n v="0"/>
    <n v="-157.32"/>
    <x v="3"/>
    <s v="VALIDATED"/>
    <n v="1"/>
    <s v="01.11.80.308.2013.0000"/>
    <n v="-157.32"/>
    <s v="11"/>
    <s v="2013"/>
    <n v="49509.54"/>
    <n v="-157.32"/>
    <s v="CREDITOR"/>
    <n v="0"/>
    <n v="0"/>
    <n v="-157.32"/>
    <n v="0"/>
    <n v="0"/>
  </r>
  <r>
    <n v="60325701"/>
    <s v="N"/>
    <n v="21324280"/>
    <s v="3000014625530006RC"/>
    <s v="CIVIL"/>
    <d v="2023-06-22T00:00:00"/>
    <d v="2023-07-03T19:42:50"/>
    <m/>
    <d v="2023-07-03T00:00:00"/>
    <n v="270"/>
    <n v="891"/>
    <s v="60325701"/>
    <s v="60325701"/>
    <m/>
    <m/>
    <m/>
    <m/>
    <m/>
    <m/>
    <s v="SOLRECOUP"/>
    <s v="SOLRECOUP"/>
    <s v="POARECOUP"/>
    <n v="21324280"/>
    <n v="-57"/>
    <m/>
    <s v="Y"/>
    <n v="1"/>
    <d v="2023-07-03T19:42:51"/>
    <s v="N"/>
    <m/>
    <m/>
    <s v="Expert Disbursement"/>
    <m/>
    <s v="N"/>
    <n v="-47.5"/>
    <n v="0"/>
    <x v="3"/>
    <s v="VALIDATED"/>
    <n v="1"/>
    <s v="01.11.80.308.2013.0000"/>
    <n v="-47.5"/>
    <s v="11"/>
    <s v="2013"/>
    <n v="49509.54"/>
    <n v="-47.5"/>
    <s v="CREDITOR"/>
    <n v="0"/>
    <n v="0"/>
    <n v="-47.5"/>
    <n v="0"/>
    <n v="0"/>
  </r>
  <r>
    <n v="60325701"/>
    <s v="N"/>
    <n v="21324280"/>
    <s v="3000014625530006RC"/>
    <s v="CIVIL"/>
    <d v="2023-06-22T00:00:00"/>
    <d v="2023-07-03T19:42:50"/>
    <m/>
    <d v="2023-07-03T00:00:00"/>
    <n v="270"/>
    <n v="891"/>
    <s v="60325701"/>
    <s v="60325701"/>
    <m/>
    <m/>
    <m/>
    <m/>
    <m/>
    <m/>
    <s v="SOLRECOUP"/>
    <s v="SOLRECOUP"/>
    <s v="POARECOUP"/>
    <n v="21324280"/>
    <n v="-57"/>
    <m/>
    <s v="Y"/>
    <n v="2"/>
    <d v="2023-07-03T19:42:51"/>
    <s v="N"/>
    <m/>
    <m/>
    <s v="Expert Disbursement"/>
    <m/>
    <s v="N"/>
    <n v="0"/>
    <n v="-9.5"/>
    <x v="3"/>
    <s v="VALIDATED"/>
    <n v="1"/>
    <s v="01.11.80.308.2013.0000"/>
    <n v="-9.5"/>
    <s v="11"/>
    <s v="2013"/>
    <n v="49509.54"/>
    <n v="-9.5"/>
    <s v="CREDITOR"/>
    <n v="0"/>
    <n v="0"/>
    <n v="-9.5"/>
    <n v="0"/>
    <n v="0"/>
  </r>
  <r>
    <n v="40144488"/>
    <s v="N"/>
    <n v="21324281"/>
    <s v="3000010767640014RC"/>
    <s v="CIVIL"/>
    <d v="2023-06-27T00:00:00"/>
    <d v="2023-07-03T19:42:50"/>
    <m/>
    <d v="2023-07-03T00:00:00"/>
    <n v="270"/>
    <n v="891"/>
    <s v="40144488"/>
    <s v="40144488"/>
    <m/>
    <m/>
    <m/>
    <m/>
    <m/>
    <m/>
    <s v="SOLRECOUP"/>
    <s v="SOLRECOUP"/>
    <s v="POARECOUP"/>
    <n v="21324281"/>
    <n v="-11145.6"/>
    <m/>
    <s v="Y"/>
    <n v="1"/>
    <d v="2023-07-03T19:42:51"/>
    <s v="N"/>
    <m/>
    <m/>
    <s v="Non Expert Disbursement"/>
    <m/>
    <s v="N"/>
    <n v="-9288"/>
    <n v="0"/>
    <x v="3"/>
    <s v="VALIDATED"/>
    <n v="1"/>
    <s v="01.11.80.308.2013.0000"/>
    <n v="-9288"/>
    <s v="11"/>
    <s v="2013"/>
    <n v="49509.54"/>
    <n v="-9288"/>
    <s v="CREDITOR"/>
    <n v="0"/>
    <n v="0"/>
    <n v="-9288"/>
    <n v="0"/>
    <n v="0"/>
  </r>
  <r>
    <n v="40144488"/>
    <s v="N"/>
    <n v="21324281"/>
    <s v="3000010767640014RC"/>
    <s v="CIVIL"/>
    <d v="2023-06-27T00:00:00"/>
    <d v="2023-07-03T19:42:50"/>
    <m/>
    <d v="2023-07-03T00:00:00"/>
    <n v="270"/>
    <n v="891"/>
    <s v="40144488"/>
    <s v="40144488"/>
    <m/>
    <m/>
    <m/>
    <m/>
    <m/>
    <m/>
    <s v="SOLRECOUP"/>
    <s v="SOLRECOUP"/>
    <s v="POARECOUP"/>
    <n v="21324281"/>
    <n v="-11145.6"/>
    <m/>
    <s v="Y"/>
    <n v="2"/>
    <d v="2023-07-03T19:42:51"/>
    <s v="N"/>
    <m/>
    <m/>
    <s v="Non Expert Disbursement"/>
    <m/>
    <s v="N"/>
    <n v="0"/>
    <n v="-1857.6"/>
    <x v="3"/>
    <s v="VALIDATED"/>
    <n v="1"/>
    <s v="01.11.80.308.2013.0000"/>
    <n v="-1857.6"/>
    <s v="11"/>
    <s v="2013"/>
    <n v="49509.54"/>
    <n v="-1857.6"/>
    <s v="CREDITOR"/>
    <n v="0"/>
    <n v="0"/>
    <n v="-1857.6"/>
    <n v="0"/>
    <n v="0"/>
  </r>
  <r>
    <n v="60258535"/>
    <s v="N"/>
    <n v="21324282"/>
    <s v="3000014566280001RC"/>
    <s v="CIVIL"/>
    <d v="2023-06-22T00:00:00"/>
    <d v="2023-07-03T19:42:50"/>
    <m/>
    <d v="2023-07-03T00:00:00"/>
    <n v="270"/>
    <n v="891"/>
    <s v="60258535"/>
    <s v="60258535"/>
    <m/>
    <m/>
    <m/>
    <m/>
    <m/>
    <m/>
    <s v="SOLRECOUP"/>
    <s v="SOLRECOUP"/>
    <s v="POARECOUP"/>
    <n v="21324282"/>
    <n v="-380.4"/>
    <m/>
    <s v="Y"/>
    <n v="1"/>
    <d v="2023-07-03T19:42:51"/>
    <s v="N"/>
    <m/>
    <m/>
    <s v="Expert Disbursement"/>
    <m/>
    <s v="N"/>
    <n v="-317"/>
    <n v="0"/>
    <x v="3"/>
    <s v="VALIDATED"/>
    <n v="1"/>
    <s v="01.11.80.308.2013.0000"/>
    <n v="-317"/>
    <s v="11"/>
    <s v="2013"/>
    <n v="49509.54"/>
    <n v="-317"/>
    <s v="CREDITOR"/>
    <n v="0"/>
    <n v="0"/>
    <n v="-317"/>
    <n v="0"/>
    <n v="0"/>
  </r>
  <r>
    <n v="60258535"/>
    <s v="N"/>
    <n v="21324282"/>
    <s v="3000014566280001RC"/>
    <s v="CIVIL"/>
    <d v="2023-06-22T00:00:00"/>
    <d v="2023-07-03T19:42:50"/>
    <m/>
    <d v="2023-07-03T00:00:00"/>
    <n v="270"/>
    <n v="891"/>
    <s v="60258535"/>
    <s v="60258535"/>
    <m/>
    <m/>
    <m/>
    <m/>
    <m/>
    <m/>
    <s v="SOLRECOUP"/>
    <s v="SOLRECOUP"/>
    <s v="POARECOUP"/>
    <n v="21324282"/>
    <n v="-380.4"/>
    <m/>
    <s v="Y"/>
    <n v="2"/>
    <d v="2023-07-03T19:42:51"/>
    <s v="N"/>
    <m/>
    <m/>
    <s v="Expert Disbursement"/>
    <m/>
    <s v="N"/>
    <n v="0"/>
    <n v="-63.4"/>
    <x v="3"/>
    <s v="VALIDATED"/>
    <n v="1"/>
    <s v="01.11.80.308.2013.0000"/>
    <n v="-63.4"/>
    <s v="11"/>
    <s v="2013"/>
    <n v="49509.54"/>
    <n v="-63.4"/>
    <s v="CREDITOR"/>
    <n v="0"/>
    <n v="0"/>
    <n v="-63.4"/>
    <n v="0"/>
    <n v="0"/>
  </r>
  <r>
    <n v="7431730"/>
    <s v="N"/>
    <n v="21318708"/>
    <s v="3000003621200005"/>
    <s v="CIVIL"/>
    <d v="2023-06-22T00:00:00"/>
    <d v="2023-07-03T19:01:49"/>
    <m/>
    <d v="2023-07-03T00:00:00"/>
    <n v="270"/>
    <n v="891"/>
    <s v="7431730"/>
    <s v="7431730"/>
    <m/>
    <m/>
    <n v="22747114"/>
    <m/>
    <m/>
    <m/>
    <s v="SOLFIN"/>
    <s v="SOLFIN"/>
    <s v="CCMS"/>
    <n v="21318708"/>
    <n v="22428.48"/>
    <m/>
    <s v="N"/>
    <n v="78"/>
    <d v="2023-07-03T19:02:01"/>
    <s v="Y"/>
    <s v="Advocacy - Directions Hearing"/>
    <s v="Prescribed Hourly Rates"/>
    <s v="Advocacy"/>
    <s v="PM"/>
    <s v="Y"/>
    <n v="89.26000000000001"/>
    <n v="17.85"/>
    <x v="3"/>
    <s v="VALIDATED"/>
    <n v="1"/>
    <s v="01.11.80.307.6100.0000"/>
    <n v="89.26000000000001"/>
    <s v="11"/>
    <s v="6100"/>
    <n v="49509.54"/>
    <n v="89.26000000000001"/>
    <s v="CREDITOR"/>
    <n v="0"/>
    <n v="0"/>
    <n v="0"/>
    <n v="0"/>
    <n v="89.26000000000001"/>
  </r>
  <r>
    <n v="60258535"/>
    <s v="N"/>
    <n v="21318601"/>
    <s v="3000014566280010"/>
    <s v="CIVIL"/>
    <d v="2023-06-22T00:00:00"/>
    <d v="2023-07-03T19:01:49"/>
    <m/>
    <d v="2023-07-03T00:00:00"/>
    <n v="270"/>
    <n v="891"/>
    <s v="60258535"/>
    <s v="60258535"/>
    <m/>
    <m/>
    <n v="22748030"/>
    <m/>
    <m/>
    <m/>
    <s v="SOLFIN"/>
    <s v="SOLFIN"/>
    <s v="CCMS"/>
    <n v="21318601"/>
    <n v="8270.030000000001"/>
    <m/>
    <s v="N"/>
    <n v="7"/>
    <d v="2023-07-03T19:02:00"/>
    <s v="Y"/>
    <s v="Toxicologist"/>
    <s v="Public Law Children"/>
    <s v="Expert Disbursement"/>
    <s v="Kate Siddall"/>
    <s v="Y"/>
    <n v="317"/>
    <n v="63.4"/>
    <x v="3"/>
    <s v="VALIDATED"/>
    <n v="1"/>
    <s v="01.11.80.308.6300.0000"/>
    <n v="317"/>
    <s v="11"/>
    <s v="6300"/>
    <n v="49509.54"/>
    <n v="317"/>
    <s v="CREDITOR"/>
    <n v="0"/>
    <n v="0"/>
    <n v="0"/>
    <n v="0"/>
    <n v="317"/>
  </r>
  <r>
    <n v="60258535"/>
    <s v="N"/>
    <n v="21318601"/>
    <s v="3000014566280010"/>
    <s v="CIVIL"/>
    <d v="2023-06-22T00:00:00"/>
    <d v="2023-07-03T19:01:49"/>
    <m/>
    <d v="2023-07-03T00:00:00"/>
    <n v="270"/>
    <n v="891"/>
    <s v="60258535"/>
    <s v="60258535"/>
    <m/>
    <m/>
    <n v="22748030"/>
    <m/>
    <m/>
    <m/>
    <s v="SOLFIN"/>
    <s v="SOLFIN"/>
    <s v="CCMS"/>
    <n v="21318601"/>
    <n v="8270.030000000001"/>
    <m/>
    <s v="N"/>
    <n v="8"/>
    <d v="2023-07-03T19:02:00"/>
    <s v="Y"/>
    <s v="Psychologist"/>
    <s v="Public Law Children"/>
    <s v="Expert Disbursement"/>
    <s v="Kate Siddall"/>
    <s v="Y"/>
    <n v="397.8"/>
    <n v="0"/>
    <x v="3"/>
    <s v="VALIDATED"/>
    <n v="1"/>
    <s v="01.11.80.308.6300.0000"/>
    <n v="397.8"/>
    <s v="11"/>
    <s v="6300"/>
    <n v="49509.54"/>
    <n v="397.8"/>
    <s v="CREDITOR"/>
    <n v="0"/>
    <n v="0"/>
    <n v="0"/>
    <n v="0"/>
    <n v="397.8"/>
  </r>
  <r>
    <n v="7431730"/>
    <s v="N"/>
    <n v="21318708"/>
    <s v="3000003621200005"/>
    <s v="CIVIL"/>
    <d v="2023-06-22T00:00:00"/>
    <d v="2023-07-03T19:01:49"/>
    <m/>
    <d v="2023-07-03T00:00:00"/>
    <n v="270"/>
    <n v="891"/>
    <s v="7431730"/>
    <s v="7431730"/>
    <m/>
    <m/>
    <n v="22747114"/>
    <m/>
    <m/>
    <m/>
    <s v="SOLFIN"/>
    <s v="SOLFIN"/>
    <s v="CCMS"/>
    <n v="21318708"/>
    <n v="22428.48"/>
    <m/>
    <s v="N"/>
    <n v="14"/>
    <d v="2023-07-03T19:02:01"/>
    <s v="Y"/>
    <s v="Child psychologist"/>
    <s v="Prescribed Hourly Rates"/>
    <s v="Expert Disbursement"/>
    <s v="PEM"/>
    <s v="Y"/>
    <n v="1555.16"/>
    <n v="0"/>
    <x v="3"/>
    <s v="VALIDATED"/>
    <n v="1"/>
    <s v="01.11.80.307.6300.0000"/>
    <n v="1555.16"/>
    <s v="11"/>
    <s v="6300"/>
    <n v="49509.54"/>
    <n v="1555.16"/>
    <s v="CREDITOR"/>
    <n v="0"/>
    <n v="0"/>
    <n v="0"/>
    <n v="0"/>
    <n v="1555.16"/>
  </r>
  <r>
    <n v="7431730"/>
    <s v="N"/>
    <n v="21318708"/>
    <s v="3000003621200005"/>
    <s v="CIVIL"/>
    <d v="2023-06-22T00:00:00"/>
    <d v="2023-07-03T19:01:49"/>
    <m/>
    <d v="2023-07-03T00:00:00"/>
    <n v="270"/>
    <n v="891"/>
    <s v="7431730"/>
    <s v="7431730"/>
    <m/>
    <m/>
    <n v="22747114"/>
    <m/>
    <m/>
    <m/>
    <s v="SOLFIN"/>
    <s v="SOLFIN"/>
    <s v="CCMS"/>
    <n v="21318708"/>
    <n v="22428.48"/>
    <m/>
    <s v="N"/>
    <n v="28"/>
    <d v="2023-07-03T19:02:01"/>
    <s v="Y"/>
    <s v="Preparation - other"/>
    <s v="Prescribed Hourly Rates"/>
    <s v="Profit Cost"/>
    <s v="PM"/>
    <s v="Y"/>
    <n v="73.03"/>
    <n v="14.61"/>
    <x v="3"/>
    <s v="VALIDATED"/>
    <n v="1"/>
    <s v="01.11.80.307.6100.0000"/>
    <n v="73.03"/>
    <s v="11"/>
    <s v="6100"/>
    <n v="49509.54"/>
    <n v="73.03"/>
    <s v="CREDITOR"/>
    <n v="0"/>
    <n v="0"/>
    <n v="0"/>
    <n v="0"/>
    <n v="73.03"/>
  </r>
  <r>
    <n v="7431730"/>
    <s v="N"/>
    <n v="21318708"/>
    <s v="3000003621200005"/>
    <s v="CIVIL"/>
    <d v="2023-06-22T00:00:00"/>
    <d v="2023-07-03T19:01:49"/>
    <m/>
    <d v="2023-07-03T00:00:00"/>
    <n v="270"/>
    <n v="891"/>
    <s v="7431730"/>
    <s v="7431730"/>
    <m/>
    <m/>
    <n v="22747114"/>
    <m/>
    <m/>
    <m/>
    <s v="SOLFIN"/>
    <s v="SOLFIN"/>
    <s v="CCMS"/>
    <n v="21318708"/>
    <n v="22428.48"/>
    <m/>
    <s v="N"/>
    <n v="100"/>
    <d v="2023-07-03T19:02:01"/>
    <s v="Y"/>
    <s v="Preparation - other"/>
    <s v="Prescribed Hourly Rates"/>
    <s v="Profit Cost"/>
    <s v="PM"/>
    <s v="Y"/>
    <n v="16.23"/>
    <n v="3.25"/>
    <x v="3"/>
    <s v="VALIDATED"/>
    <n v="1"/>
    <s v="01.11.80.307.6100.0000"/>
    <n v="16.23"/>
    <s v="11"/>
    <s v="6100"/>
    <n v="49509.54"/>
    <n v="16.23"/>
    <s v="CREDITOR"/>
    <n v="0"/>
    <n v="0"/>
    <n v="0"/>
    <n v="0"/>
    <n v="16.23"/>
  </r>
  <r>
    <n v="60325701"/>
    <s v="N"/>
    <n v="21318301"/>
    <s v="3000014625530008"/>
    <s v="CIVIL"/>
    <d v="2023-06-22T00:00:00"/>
    <d v="2023-07-03T19:01:49"/>
    <m/>
    <d v="2023-07-03T00:00:00"/>
    <n v="270"/>
    <n v="891"/>
    <s v="60325701"/>
    <s v="60325701"/>
    <m/>
    <m/>
    <n v="22742148"/>
    <m/>
    <m/>
    <m/>
    <s v="SOLFIN"/>
    <s v="SOLFIN"/>
    <s v="CCMS"/>
    <n v="21318301"/>
    <n v="9824.93"/>
    <m/>
    <s v="N"/>
    <n v="13"/>
    <d v="2023-07-03T19:01:53"/>
    <s v="Y"/>
    <s v="Toxicologist"/>
    <s v="Public Law Children"/>
    <s v="Expert Disbursement"/>
    <s v="Penelope Moult"/>
    <s v="Y"/>
    <n v="133.25"/>
    <n v="26.65"/>
    <x v="3"/>
    <s v="VALIDATED"/>
    <n v="1"/>
    <s v="01.11.80.308.6300.0000"/>
    <n v="133.25"/>
    <s v="11"/>
    <s v="6300"/>
    <n v="49509.54"/>
    <n v="133.25"/>
    <s v="CREDITOR"/>
    <n v="0"/>
    <n v="0"/>
    <n v="0"/>
    <n v="0"/>
    <n v="133.25"/>
  </r>
  <r>
    <n v="40144488"/>
    <s v="N"/>
    <n v="21320163"/>
    <s v="3000010767640023"/>
    <s v="CIVIL"/>
    <d v="2023-06-27T00:00:00"/>
    <d v="2023-07-03T19:04:24"/>
    <m/>
    <d v="2023-07-03T00:00:00"/>
    <n v="270"/>
    <n v="891"/>
    <s v="40144488"/>
    <s v="40144488"/>
    <m/>
    <m/>
    <n v="22774946"/>
    <m/>
    <m/>
    <m/>
    <s v="SOLFIN"/>
    <s v="SOLFIN"/>
    <s v="CCMS"/>
    <n v="21320163"/>
    <n v="27986.95"/>
    <m/>
    <s v="N"/>
    <n v="8"/>
    <d v="2023-07-03T19:04:29"/>
    <s v="Y"/>
    <s v="Profit Costs (Summary)"/>
    <s v="VHCC"/>
    <s v="Profit Cost"/>
    <s v="Dinuka Sivaneswaran"/>
    <s v="Y"/>
    <n v="17802"/>
    <n v="3560.4"/>
    <x v="3"/>
    <s v="VALIDATED"/>
    <n v="1"/>
    <s v="01.11.80.308.6100.0000"/>
    <n v="17802"/>
    <s v="11"/>
    <s v="6100"/>
    <n v="49509.54"/>
    <n v="17802"/>
    <s v="CREDITOR"/>
    <n v="0"/>
    <n v="0"/>
    <n v="0"/>
    <n v="0"/>
    <n v="17802"/>
  </r>
  <r>
    <n v="7431730"/>
    <s v="N"/>
    <n v="21318708"/>
    <s v="3000003621200005"/>
    <s v="CIVIL"/>
    <d v="2023-06-22T00:00:00"/>
    <d v="2023-07-03T19:01:49"/>
    <m/>
    <d v="2023-07-03T00:00:00"/>
    <n v="270"/>
    <n v="891"/>
    <s v="7431730"/>
    <s v="7431730"/>
    <m/>
    <m/>
    <n v="22747114"/>
    <m/>
    <m/>
    <m/>
    <s v="SOLFIN"/>
    <s v="SOLFIN"/>
    <s v="CCMS"/>
    <n v="21318708"/>
    <n v="22428.48"/>
    <m/>
    <s v="N"/>
    <n v="83"/>
    <d v="2023-07-03T19:02:01"/>
    <s v="Y"/>
    <s v="Preparation - other"/>
    <s v="Prescribed Hourly Rates"/>
    <s v="Profit Cost"/>
    <s v="PM"/>
    <s v="Y"/>
    <n v="186.63"/>
    <n v="37.33"/>
    <x v="3"/>
    <s v="VALIDATED"/>
    <n v="1"/>
    <s v="01.11.80.307.6100.0000"/>
    <n v="186.63"/>
    <s v="11"/>
    <s v="6100"/>
    <n v="49509.54"/>
    <n v="186.63"/>
    <s v="CREDITOR"/>
    <n v="0"/>
    <n v="0"/>
    <n v="0"/>
    <n v="0"/>
    <n v="186.63"/>
  </r>
  <r>
    <n v="7431730"/>
    <s v="N"/>
    <n v="21318708"/>
    <s v="3000003621200005"/>
    <s v="CIVIL"/>
    <d v="2023-06-22T00:00:00"/>
    <d v="2023-07-03T19:01:49"/>
    <m/>
    <d v="2023-07-03T00:00:00"/>
    <n v="270"/>
    <n v="891"/>
    <s v="7431730"/>
    <s v="7431730"/>
    <m/>
    <m/>
    <n v="22747114"/>
    <m/>
    <m/>
    <m/>
    <s v="SOLFIN"/>
    <s v="SOLFIN"/>
    <s v="CCMS"/>
    <n v="21318708"/>
    <n v="22428.48"/>
    <m/>
    <s v="N"/>
    <n v="85"/>
    <d v="2023-07-03T19:02:01"/>
    <s v="Y"/>
    <s v="Preparation - other"/>
    <s v="Prescribed Hourly Rates"/>
    <s v="Profit Cost"/>
    <s v="PM"/>
    <s v="Y"/>
    <n v="16.23"/>
    <n v="3.25"/>
    <x v="3"/>
    <s v="VALIDATED"/>
    <n v="1"/>
    <s v="01.11.80.307.6100.0000"/>
    <n v="16.23"/>
    <s v="11"/>
    <s v="6100"/>
    <n v="49509.54"/>
    <n v="16.23"/>
    <s v="CREDITOR"/>
    <n v="0"/>
    <n v="0"/>
    <n v="0"/>
    <n v="0"/>
    <n v="16.23"/>
  </r>
  <r>
    <n v="60258535"/>
    <s v="N"/>
    <n v="21318601"/>
    <s v="3000014566280010"/>
    <s v="CIVIL"/>
    <d v="2023-06-22T00:00:00"/>
    <d v="2023-07-03T19:01:49"/>
    <m/>
    <d v="2023-07-03T00:00:00"/>
    <n v="270"/>
    <n v="891"/>
    <s v="60258535"/>
    <s v="60258535"/>
    <m/>
    <m/>
    <n v="22748030"/>
    <m/>
    <m/>
    <m/>
    <s v="SOLFIN"/>
    <s v="SOLFIN"/>
    <s v="CCMS"/>
    <n v="21318601"/>
    <n v="8270.030000000001"/>
    <m/>
    <s v="N"/>
    <n v="9"/>
    <d v="2023-07-03T19:02:00"/>
    <s v="Y"/>
    <s v="Toxicologist"/>
    <s v="Public Law Children"/>
    <s v="Expert Disbursement"/>
    <s v="Kate Siddall"/>
    <s v="Y"/>
    <n v="352.5"/>
    <n v="70.5"/>
    <x v="3"/>
    <s v="VALIDATED"/>
    <n v="1"/>
    <s v="01.11.80.308.6300.0000"/>
    <n v="352.5"/>
    <s v="11"/>
    <s v="6300"/>
    <n v="49509.54"/>
    <n v="352.5"/>
    <s v="CREDITOR"/>
    <n v="0"/>
    <n v="0"/>
    <n v="0"/>
    <n v="0"/>
    <n v="352.5"/>
  </r>
  <r>
    <n v="7431730"/>
    <s v="N"/>
    <n v="21318708"/>
    <s v="3000003621200005"/>
    <s v="CIVIL"/>
    <d v="2023-06-22T00:00:00"/>
    <d v="2023-07-03T19:01:49"/>
    <m/>
    <d v="2023-07-03T00:00:00"/>
    <n v="270"/>
    <n v="891"/>
    <s v="7431730"/>
    <s v="7431730"/>
    <m/>
    <m/>
    <n v="22747114"/>
    <m/>
    <m/>
    <m/>
    <s v="SOLFIN"/>
    <s v="SOLFIN"/>
    <s v="CCMS"/>
    <n v="21318708"/>
    <n v="22428.48"/>
    <m/>
    <s v="N"/>
    <n v="122"/>
    <d v="2023-07-03T19:02:01"/>
    <s v="Y"/>
    <s v="Preparation - other"/>
    <s v="Prescribed Hourly Rates"/>
    <s v="Profit Cost"/>
    <s v="PM"/>
    <s v="Y"/>
    <n v="32.45"/>
    <n v="6.49"/>
    <x v="3"/>
    <s v="VALIDATED"/>
    <n v="1"/>
    <s v="01.11.80.307.6100.0000"/>
    <n v="32.45"/>
    <s v="11"/>
    <s v="6100"/>
    <n v="49509.54"/>
    <n v="32.45"/>
    <s v="CREDITOR"/>
    <n v="0"/>
    <n v="0"/>
    <n v="0"/>
    <n v="0"/>
    <n v="32.45"/>
  </r>
  <r>
    <n v="7431730"/>
    <s v="N"/>
    <n v="21318708"/>
    <s v="3000003621200005"/>
    <s v="CIVIL"/>
    <d v="2023-06-22T00:00:00"/>
    <d v="2023-07-03T19:01:49"/>
    <m/>
    <d v="2023-07-03T00:00:00"/>
    <n v="270"/>
    <n v="891"/>
    <s v="7431730"/>
    <s v="7431730"/>
    <m/>
    <m/>
    <n v="22747114"/>
    <m/>
    <m/>
    <m/>
    <s v="SOLFIN"/>
    <s v="SOLFIN"/>
    <s v="CCMS"/>
    <n v="21318708"/>
    <n v="22428.48"/>
    <m/>
    <s v="N"/>
    <n v="123"/>
    <d v="2023-07-03T19:02:01"/>
    <s v="Y"/>
    <s v="Preparation - other"/>
    <s v="Prescribed Hourly Rates"/>
    <s v="Profit Cost"/>
    <s v="PM"/>
    <s v="Y"/>
    <n v="24.35"/>
    <n v="4.87"/>
    <x v="3"/>
    <s v="VALIDATED"/>
    <n v="1"/>
    <s v="01.11.80.307.6100.0000"/>
    <n v="24.35"/>
    <s v="11"/>
    <s v="6100"/>
    <n v="49509.54"/>
    <n v="24.35"/>
    <s v="CREDITOR"/>
    <n v="0"/>
    <n v="0"/>
    <n v="0"/>
    <n v="0"/>
    <n v="24.35"/>
  </r>
  <r>
    <n v="40144488"/>
    <s v="N"/>
    <n v="21320163"/>
    <s v="3000010767640023"/>
    <s v="CIVIL"/>
    <d v="2023-06-27T00:00:00"/>
    <d v="2023-07-03T19:04:24"/>
    <m/>
    <d v="2023-07-03T00:00:00"/>
    <n v="270"/>
    <n v="891"/>
    <s v="40144488"/>
    <s v="40144488"/>
    <m/>
    <m/>
    <n v="22774946"/>
    <m/>
    <m/>
    <m/>
    <s v="SOLFIN"/>
    <s v="SOLFIN"/>
    <s v="CCMS"/>
    <n v="21320163"/>
    <n v="27986.95"/>
    <m/>
    <s v="N"/>
    <n v="9"/>
    <d v="2023-07-03T19:04:29"/>
    <s v="Y"/>
    <s v="Psychiatrist"/>
    <s v="VHCC"/>
    <s v="Expert Disbursement"/>
    <s v="Dinuka Sivaneswaran"/>
    <s v="Y"/>
    <n v="108"/>
    <n v="21.6"/>
    <x v="3"/>
    <s v="VALIDATED"/>
    <n v="1"/>
    <s v="01.11.80.308.6300.0000"/>
    <n v="108"/>
    <s v="11"/>
    <s v="6300"/>
    <n v="49509.54"/>
    <n v="108"/>
    <s v="CREDITOR"/>
    <n v="0"/>
    <n v="0"/>
    <n v="0"/>
    <n v="0"/>
    <n v="108"/>
  </r>
  <r>
    <n v="60325701"/>
    <s v="N"/>
    <n v="21318301"/>
    <s v="3000014625530008"/>
    <s v="CIVIL"/>
    <d v="2023-06-22T00:00:00"/>
    <d v="2023-07-03T19:01:49"/>
    <m/>
    <d v="2023-07-03T00:00:00"/>
    <n v="270"/>
    <n v="891"/>
    <s v="60325701"/>
    <s v="60325701"/>
    <m/>
    <m/>
    <n v="22742148"/>
    <m/>
    <m/>
    <m/>
    <s v="SOLFIN"/>
    <s v="SOLFIN"/>
    <s v="CCMS"/>
    <n v="21318301"/>
    <n v="9824.93"/>
    <m/>
    <s v="N"/>
    <n v="36"/>
    <d v="2023-07-03T19:01:53"/>
    <s v="Y"/>
    <s v="Final Hearing - 2 Days"/>
    <s v="Public Law Children"/>
    <s v="Advocacy"/>
    <s v="Penelope Moult"/>
    <s v="Y"/>
    <n v="1113.76"/>
    <n v="222.75"/>
    <x v="3"/>
    <s v="VALIDATED"/>
    <n v="1"/>
    <s v="01.11.80.308.6100.0000"/>
    <n v="1113.76"/>
    <s v="11"/>
    <s v="6100"/>
    <n v="49509.54"/>
    <n v="1113.76"/>
    <s v="CREDITOR"/>
    <n v="0"/>
    <n v="0"/>
    <n v="0"/>
    <n v="0"/>
    <n v="1113.76"/>
  </r>
  <r>
    <n v="60325701"/>
    <s v="N"/>
    <n v="21318301"/>
    <s v="3000014625530008"/>
    <s v="CIVIL"/>
    <d v="2023-06-22T00:00:00"/>
    <d v="2023-07-03T19:01:49"/>
    <m/>
    <d v="2023-07-03T00:00:00"/>
    <n v="270"/>
    <n v="891"/>
    <s v="60325701"/>
    <s v="60325701"/>
    <m/>
    <m/>
    <n v="22742148"/>
    <m/>
    <m/>
    <m/>
    <s v="SOLFIN"/>
    <s v="SOLFIN"/>
    <s v="CCMS"/>
    <n v="21318301"/>
    <n v="9824.93"/>
    <m/>
    <s v="N"/>
    <n v="10"/>
    <d v="2023-07-03T19:01:53"/>
    <s v="Y"/>
    <s v="Solicitor Travel Mileage"/>
    <s v="Public Law Children"/>
    <s v="Non Expert Disbursement"/>
    <s v="pm"/>
    <s v="Y"/>
    <n v="27"/>
    <n v="5.4"/>
    <x v="3"/>
    <s v="VALIDATED"/>
    <n v="1"/>
    <s v="01.11.80.308.6300.0000"/>
    <n v="27"/>
    <s v="11"/>
    <s v="6300"/>
    <n v="49509.54"/>
    <n v="27"/>
    <s v="CREDITOR"/>
    <n v="0"/>
    <n v="0"/>
    <n v="0"/>
    <n v="0"/>
    <n v="27"/>
  </r>
  <r>
    <n v="42259627"/>
    <s v="N"/>
    <n v="21331008"/>
    <s v="3000011285920006"/>
    <s v="CIVIL"/>
    <d v="2023-06-23T00:00:00"/>
    <d v="2023-07-05T19:01:47"/>
    <m/>
    <d v="2023-07-05T00:00:00"/>
    <n v="270"/>
    <n v="891"/>
    <s v="42259627"/>
    <s v="42259627"/>
    <m/>
    <m/>
    <n v="22756168"/>
    <m/>
    <m/>
    <m/>
    <s v="SOLFIN"/>
    <s v="SOLFIN"/>
    <s v="CCMS"/>
    <n v="21331008"/>
    <n v="11329.24"/>
    <m/>
    <s v="N"/>
    <n v="6"/>
    <d v="2023-07-05T19:02:01"/>
    <s v="Y"/>
    <s v="Psychiatrist"/>
    <s v="Public Law Children"/>
    <s v="Expert Disbursement"/>
    <s v="Maria Orme"/>
    <s v="Y"/>
    <n v="432"/>
    <n v="0"/>
    <x v="6"/>
    <s v="VALIDATED"/>
    <n v="1"/>
    <s v="01.11.80.308.6300.0000"/>
    <n v="432"/>
    <s v="11"/>
    <s v="6300"/>
    <n v="49509.54"/>
    <n v="432"/>
    <s v="CREDITOR"/>
    <n v="0"/>
    <n v="0"/>
    <n v="0"/>
    <n v="0"/>
    <n v="432"/>
  </r>
  <r>
    <n v="7431730"/>
    <s v="N"/>
    <n v="21318708"/>
    <s v="3000003621200005"/>
    <s v="CIVIL"/>
    <d v="2023-06-22T00:00:00"/>
    <d v="2023-07-03T19:01:49"/>
    <m/>
    <d v="2023-07-03T00:00:00"/>
    <n v="270"/>
    <n v="891"/>
    <s v="7431730"/>
    <s v="7431730"/>
    <m/>
    <m/>
    <n v="22747114"/>
    <m/>
    <m/>
    <m/>
    <s v="SOLFIN"/>
    <s v="SOLFIN"/>
    <s v="CCMS"/>
    <n v="21318708"/>
    <n v="22428.48"/>
    <m/>
    <s v="N"/>
    <n v="39"/>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45"/>
    <d v="2023-07-03T19:02:01"/>
    <s v="Y"/>
    <s v="Preparation - other"/>
    <s v="Prescribed Hourly Rates"/>
    <s v="Profit Cost"/>
    <s v="PM"/>
    <s v="Y"/>
    <n v="48.69"/>
    <n v="9.74"/>
    <x v="3"/>
    <s v="VALIDATED"/>
    <n v="1"/>
    <s v="01.11.80.307.6100.0000"/>
    <n v="48.69"/>
    <s v="11"/>
    <s v="6100"/>
    <n v="49509.54"/>
    <n v="48.69"/>
    <s v="CREDITOR"/>
    <n v="0"/>
    <n v="0"/>
    <n v="0"/>
    <n v="0"/>
    <n v="48.69"/>
  </r>
  <r>
    <n v="7431730"/>
    <s v="N"/>
    <n v="21318708"/>
    <s v="3000003621200005"/>
    <s v="CIVIL"/>
    <d v="2023-06-22T00:00:00"/>
    <d v="2023-07-03T19:01:49"/>
    <m/>
    <d v="2023-07-03T00:00:00"/>
    <n v="270"/>
    <n v="891"/>
    <s v="7431730"/>
    <s v="7431730"/>
    <m/>
    <m/>
    <n v="22747114"/>
    <m/>
    <m/>
    <m/>
    <s v="SOLFIN"/>
    <s v="SOLFIN"/>
    <s v="CCMS"/>
    <n v="21318708"/>
    <n v="22428.48"/>
    <m/>
    <s v="N"/>
    <n v="75"/>
    <d v="2023-07-03T19:02:01"/>
    <s v="Y"/>
    <s v="Preparation - other"/>
    <s v="Prescribed Hourly Rates"/>
    <s v="Profit Cost"/>
    <s v="PM"/>
    <s v="Y"/>
    <n v="137.94"/>
    <n v="27.59"/>
    <x v="3"/>
    <s v="VALIDATED"/>
    <n v="1"/>
    <s v="01.11.80.307.6100.0000"/>
    <n v="137.94"/>
    <s v="11"/>
    <s v="6100"/>
    <n v="49509.54"/>
    <n v="137.94"/>
    <s v="CREDITOR"/>
    <n v="0"/>
    <n v="0"/>
    <n v="0"/>
    <n v="0"/>
    <n v="137.94"/>
  </r>
  <r>
    <n v="7431730"/>
    <s v="N"/>
    <n v="21318708"/>
    <s v="3000003621200005"/>
    <s v="CIVIL"/>
    <d v="2023-06-22T00:00:00"/>
    <d v="2023-07-03T19:01:49"/>
    <m/>
    <d v="2023-07-03T00:00:00"/>
    <n v="270"/>
    <n v="891"/>
    <s v="7431730"/>
    <s v="7431730"/>
    <m/>
    <m/>
    <n v="22747114"/>
    <m/>
    <m/>
    <m/>
    <s v="SOLFIN"/>
    <s v="SOLFIN"/>
    <s v="CCMS"/>
    <n v="21318708"/>
    <n v="22428.48"/>
    <m/>
    <s v="N"/>
    <n v="84"/>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20"/>
    <d v="2023-07-03T19:02:01"/>
    <s v="Y"/>
    <s v="Preparation - other"/>
    <s v="Prescribed Hourly Rates"/>
    <s v="Profit Cost"/>
    <s v="PM"/>
    <s v="Y"/>
    <n v="267.78"/>
    <n v="53.56"/>
    <x v="3"/>
    <s v="VALIDATED"/>
    <n v="1"/>
    <s v="01.11.80.307.6100.0000"/>
    <n v="267.78"/>
    <s v="11"/>
    <s v="6100"/>
    <n v="49509.54"/>
    <n v="267.78"/>
    <s v="CREDITOR"/>
    <n v="0"/>
    <n v="0"/>
    <n v="0"/>
    <n v="0"/>
    <n v="267.78"/>
  </r>
  <r>
    <n v="7431730"/>
    <s v="N"/>
    <n v="21318708"/>
    <s v="3000003621200005"/>
    <s v="CIVIL"/>
    <d v="2023-06-22T00:00:00"/>
    <d v="2023-07-03T19:01:49"/>
    <m/>
    <d v="2023-07-03T00:00:00"/>
    <n v="270"/>
    <n v="891"/>
    <s v="7431730"/>
    <s v="7431730"/>
    <m/>
    <m/>
    <n v="22747114"/>
    <m/>
    <m/>
    <m/>
    <s v="SOLFIN"/>
    <s v="SOLFIN"/>
    <s v="CCMS"/>
    <n v="21318708"/>
    <n v="22428.48"/>
    <m/>
    <s v="N"/>
    <n v="128"/>
    <d v="2023-07-03T19:02:01"/>
    <s v="Y"/>
    <s v="Preparation - drafting pleadings"/>
    <s v="Prescribed Hourly Rates"/>
    <s v="Profit Cost"/>
    <s v="NPM"/>
    <s v="Y"/>
    <n v="811.4400000000001"/>
    <n v="162.29"/>
    <x v="3"/>
    <s v="VALIDATED"/>
    <n v="1"/>
    <s v="01.11.80.307.6100.0000"/>
    <n v="811.4400000000001"/>
    <s v="11"/>
    <s v="6100"/>
    <n v="49509.54"/>
    <n v="811.4400000000001"/>
    <s v="CREDITOR"/>
    <n v="0"/>
    <n v="0"/>
    <n v="0"/>
    <n v="0"/>
    <n v="811.4400000000001"/>
  </r>
  <r>
    <n v="60485628"/>
    <s v="N"/>
    <n v="21369638"/>
    <s v="3000014763550002"/>
    <s v="CIVIL"/>
    <d v="2023-06-19T00:00:00"/>
    <d v="2023-07-13T19:21:05"/>
    <m/>
    <d v="2023-07-13T00:00:00"/>
    <n v="270"/>
    <n v="891"/>
    <s v="60485628"/>
    <s v="60485628"/>
    <m/>
    <m/>
    <n v="22711824"/>
    <m/>
    <m/>
    <m/>
    <s v="SOLFIN"/>
    <s v="SOLFIN"/>
    <s v="CCMS"/>
    <n v="21369638"/>
    <n v="1641.88"/>
    <m/>
    <s v="N"/>
    <n v="16"/>
    <d v="2023-07-13T19:21:08"/>
    <s v="Y"/>
    <s v="Preparation - other"/>
    <s v="Prescribed Hourly Rates"/>
    <s v="Profit Cost"/>
    <s v="Penelope Moult"/>
    <s v="Y"/>
    <n v="20.49"/>
    <n v="4.1"/>
    <x v="11"/>
    <s v="VALIDATED"/>
    <n v="1"/>
    <s v="01.11.80.307.6100.0000"/>
    <n v="20.49"/>
    <s v="11"/>
    <s v="6100"/>
    <n v="49509.54"/>
    <n v="20.49"/>
    <s v="CREDITOR"/>
    <n v="0"/>
    <n v="0"/>
    <n v="0"/>
    <n v="0"/>
    <n v="20.49"/>
  </r>
  <r>
    <n v="7431730"/>
    <s v="N"/>
    <n v="21318708"/>
    <s v="3000003621200005"/>
    <s v="CIVIL"/>
    <d v="2023-06-22T00:00:00"/>
    <d v="2023-07-03T19:01:49"/>
    <m/>
    <d v="2023-07-03T00:00:00"/>
    <n v="270"/>
    <n v="891"/>
    <s v="7431730"/>
    <s v="7431730"/>
    <m/>
    <m/>
    <n v="22747114"/>
    <m/>
    <m/>
    <m/>
    <s v="SOLFIN"/>
    <s v="SOLFIN"/>
    <s v="CCMS"/>
    <n v="21318708"/>
    <n v="22428.48"/>
    <m/>
    <s v="N"/>
    <n v="125"/>
    <d v="2023-07-03T19:02:01"/>
    <s v="Y"/>
    <s v="Preparation - drafting consent orde"/>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30"/>
    <d v="2023-07-03T19:02:01"/>
    <s v="Y"/>
    <s v="Preparation - other"/>
    <s v="Prescribed Hourly Rates"/>
    <s v="Profit Cost"/>
    <s v="PM"/>
    <s v="Y"/>
    <n v="16.23"/>
    <n v="3.25"/>
    <x v="3"/>
    <s v="VALIDATED"/>
    <n v="1"/>
    <s v="01.11.80.307.6100.0000"/>
    <n v="16.23"/>
    <s v="11"/>
    <s v="6100"/>
    <n v="49509.54"/>
    <n v="16.23"/>
    <s v="CREDITOR"/>
    <n v="0"/>
    <n v="0"/>
    <n v="0"/>
    <n v="0"/>
    <n v="16.23"/>
  </r>
  <r>
    <n v="61292461"/>
    <s v="N"/>
    <n v="21320020"/>
    <s v="3000015453040008"/>
    <s v="CIVIL"/>
    <d v="2023-06-26T00:00:00"/>
    <d v="2023-07-03T19:04:24"/>
    <m/>
    <d v="2023-07-03T00:00:00"/>
    <n v="270"/>
    <n v="891"/>
    <s v="61292461"/>
    <s v="61292461"/>
    <m/>
    <m/>
    <n v="22763546"/>
    <m/>
    <m/>
    <m/>
    <s v="SOLPOA"/>
    <s v="SOLPOA"/>
    <s v="CCMS"/>
    <n v="21320020"/>
    <n v="239.45"/>
    <m/>
    <s v="N"/>
    <n v="1"/>
    <d v="2023-07-03T19:04:28"/>
    <s v="N"/>
    <s v="Expert Cost"/>
    <s v="Expert Cost"/>
    <s v="Expert Disbursement"/>
    <s v="Miriam de Souza"/>
    <s v="N"/>
    <n v="199.54"/>
    <n v="39.91"/>
    <x v="3"/>
    <s v="VALIDATED"/>
    <n v="1"/>
    <s v="01.11.80.308.2012.0000"/>
    <n v="199.54"/>
    <s v="11"/>
    <s v="2012"/>
    <n v="49509.54"/>
    <n v="199.54"/>
    <s v="CREDITOR"/>
    <n v="199.54"/>
    <n v="0"/>
    <n v="0"/>
    <n v="0"/>
    <n v="0"/>
  </r>
  <r>
    <n v="7431730"/>
    <s v="N"/>
    <n v="21318708"/>
    <s v="3000003621200005"/>
    <s v="CIVIL"/>
    <d v="2023-06-22T00:00:00"/>
    <d v="2023-07-03T19:01:49"/>
    <m/>
    <d v="2023-07-03T00:00:00"/>
    <n v="270"/>
    <n v="891"/>
    <s v="7431730"/>
    <s v="7431730"/>
    <m/>
    <m/>
    <n v="22747114"/>
    <m/>
    <m/>
    <m/>
    <s v="SOLFIN"/>
    <s v="SOLFIN"/>
    <s v="CCMS"/>
    <n v="21318708"/>
    <n v="22428.48"/>
    <m/>
    <s v="N"/>
    <n v="126"/>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7431730"/>
    <s v="N"/>
    <n v="21318708"/>
    <s v="3000003621200005"/>
    <s v="CIVIL"/>
    <d v="2023-06-22T00:00:00"/>
    <d v="2023-07-03T19:01:49"/>
    <m/>
    <d v="2023-07-03T00:00:00"/>
    <n v="270"/>
    <n v="891"/>
    <s v="7431730"/>
    <s v="7431730"/>
    <m/>
    <m/>
    <n v="22747114"/>
    <m/>
    <m/>
    <m/>
    <s v="SOLFIN"/>
    <s v="SOLFIN"/>
    <s v="CCMS"/>
    <n v="21318708"/>
    <n v="22428.48"/>
    <m/>
    <s v="N"/>
    <n v="132"/>
    <d v="2023-07-03T19:02:01"/>
    <s v="Y"/>
    <s v="Routine Letter Out"/>
    <s v="Prescribed Hourly Rates"/>
    <s v="Profit Cost"/>
    <s v="PM"/>
    <s v="Y"/>
    <n v="2760.35"/>
    <n v="552.0599999999999"/>
    <x v="3"/>
    <s v="VALIDATED"/>
    <n v="1"/>
    <s v="01.11.80.307.6100.0000"/>
    <n v="2760.35"/>
    <s v="11"/>
    <s v="6100"/>
    <n v="49509.54"/>
    <n v="2760.35"/>
    <s v="CREDITOR"/>
    <n v="0"/>
    <n v="0"/>
    <n v="0"/>
    <n v="0"/>
    <n v="2760.35"/>
  </r>
  <r>
    <n v="7431730"/>
    <s v="N"/>
    <n v="21318708"/>
    <s v="3000003621200005"/>
    <s v="CIVIL"/>
    <d v="2023-06-22T00:00:00"/>
    <d v="2023-07-03T19:01:49"/>
    <m/>
    <d v="2023-07-03T00:00:00"/>
    <n v="270"/>
    <n v="891"/>
    <s v="7431730"/>
    <s v="7431730"/>
    <m/>
    <m/>
    <n v="22747114"/>
    <m/>
    <m/>
    <m/>
    <s v="SOLFIN"/>
    <s v="SOLFIN"/>
    <s v="CCMS"/>
    <n v="21318708"/>
    <n v="22428.48"/>
    <m/>
    <s v="N"/>
    <n v="133"/>
    <d v="2023-07-03T19:02:01"/>
    <s v="Y"/>
    <s v="Routine Letter In"/>
    <s v="Prescribed Hourly Rates"/>
    <s v="Profit Cost"/>
    <s v="PM"/>
    <s v="Y"/>
    <n v="2394.47"/>
    <n v="478.9"/>
    <x v="3"/>
    <s v="VALIDATED"/>
    <n v="1"/>
    <s v="01.11.80.307.6100.0000"/>
    <n v="2394.47"/>
    <s v="11"/>
    <s v="6100"/>
    <n v="49509.54"/>
    <n v="2394.47"/>
    <s v="CREDITOR"/>
    <n v="0"/>
    <n v="0"/>
    <n v="0"/>
    <n v="0"/>
    <n v="2394.47"/>
  </r>
  <r>
    <n v="40144488"/>
    <s v="N"/>
    <n v="21320163"/>
    <s v="3000010767640023"/>
    <s v="CIVIL"/>
    <d v="2023-06-27T00:00:00"/>
    <d v="2023-07-03T19:04:24"/>
    <m/>
    <d v="2023-07-03T00:00:00"/>
    <n v="270"/>
    <n v="891"/>
    <s v="40144488"/>
    <s v="40144488"/>
    <m/>
    <m/>
    <n v="22774946"/>
    <m/>
    <m/>
    <m/>
    <s v="SOLFIN"/>
    <s v="SOLFIN"/>
    <s v="CCMS"/>
    <n v="21320163"/>
    <n v="27986.95"/>
    <m/>
    <s v="N"/>
    <n v="5"/>
    <d v="2023-07-03T19:04:29"/>
    <s v="Y"/>
    <s v="Court Fee"/>
    <s v="VHCC"/>
    <s v="Non Expert Disbursement"/>
    <s v="Dinuka Sivaneswaran"/>
    <s v="Y"/>
    <n v="155"/>
    <n v="0"/>
    <x v="3"/>
    <s v="VALIDATED"/>
    <n v="1"/>
    <s v="01.11.80.308.6300.0000"/>
    <n v="155"/>
    <s v="11"/>
    <s v="6300"/>
    <n v="49509.54"/>
    <n v="155"/>
    <s v="CREDITOR"/>
    <n v="0"/>
    <n v="0"/>
    <n v="0"/>
    <n v="0"/>
    <n v="155"/>
  </r>
  <r>
    <n v="60325701"/>
    <s v="N"/>
    <n v="21318301"/>
    <s v="3000014625530008"/>
    <s v="CIVIL"/>
    <d v="2023-06-22T00:00:00"/>
    <d v="2023-07-03T19:01:49"/>
    <m/>
    <d v="2023-07-03T00:00:00"/>
    <n v="270"/>
    <n v="891"/>
    <s v="60325701"/>
    <s v="60325701"/>
    <m/>
    <m/>
    <n v="22742148"/>
    <m/>
    <m/>
    <m/>
    <s v="SOLFIN"/>
    <s v="SOLFIN"/>
    <s v="CCMS"/>
    <n v="21318301"/>
    <n v="9824.93"/>
    <m/>
    <s v="N"/>
    <n v="33"/>
    <d v="2023-07-03T19:01:53"/>
    <s v="Y"/>
    <s v="Hearing Unit 2.31 - 5.00 Hours"/>
    <s v="Public Law Children"/>
    <s v="Advocacy"/>
    <s v="Penelope Moult"/>
    <s v="Y"/>
    <n v="476.92"/>
    <n v="95.38"/>
    <x v="3"/>
    <s v="VALIDATED"/>
    <n v="1"/>
    <s v="01.11.80.308.6100.0000"/>
    <n v="476.92"/>
    <s v="11"/>
    <s v="6100"/>
    <n v="49509.54"/>
    <n v="476.92"/>
    <s v="CREDITOR"/>
    <n v="0"/>
    <n v="0"/>
    <n v="0"/>
    <n v="0"/>
    <n v="476.92"/>
  </r>
  <r>
    <n v="60258535"/>
    <s v="N"/>
    <n v="21318601"/>
    <s v="3000014566280010"/>
    <s v="CIVIL"/>
    <d v="2023-06-22T00:00:00"/>
    <d v="2023-07-03T19:01:49"/>
    <m/>
    <d v="2023-07-03T00:00:00"/>
    <n v="270"/>
    <n v="891"/>
    <s v="60258535"/>
    <s v="60258535"/>
    <m/>
    <m/>
    <n v="22748030"/>
    <m/>
    <m/>
    <m/>
    <s v="SOLFIN"/>
    <s v="SOLFIN"/>
    <s v="CCMS"/>
    <n v="21318601"/>
    <n v="8270.030000000001"/>
    <m/>
    <s v="N"/>
    <n v="13"/>
    <d v="2023-07-03T19:02:00"/>
    <s v="Y"/>
    <s v="Hearing Unit 2.31 - 5.00 Hours"/>
    <s v="Public Law Children"/>
    <s v="Advocacy"/>
    <s v="Kate Siddall"/>
    <s v="Y"/>
    <n v="476.92"/>
    <n v="95.38"/>
    <x v="3"/>
    <s v="VALIDATED"/>
    <n v="1"/>
    <s v="01.11.80.308.6100.0000"/>
    <n v="476.92"/>
    <s v="11"/>
    <s v="6100"/>
    <n v="49509.54"/>
    <n v="476.92"/>
    <s v="CREDITOR"/>
    <n v="0"/>
    <n v="0"/>
    <n v="0"/>
    <n v="0"/>
    <n v="476.92"/>
  </r>
  <r>
    <n v="60325701"/>
    <s v="N"/>
    <n v="21318301"/>
    <s v="3000014625530008"/>
    <s v="CIVIL"/>
    <d v="2023-06-22T00:00:00"/>
    <d v="2023-07-03T19:01:49"/>
    <m/>
    <d v="2023-07-03T00:00:00"/>
    <n v="270"/>
    <n v="891"/>
    <s v="60325701"/>
    <s v="60325701"/>
    <m/>
    <m/>
    <n v="22742148"/>
    <m/>
    <m/>
    <m/>
    <s v="SOLFIN"/>
    <s v="SOLFIN"/>
    <s v="CCMS"/>
    <n v="21318301"/>
    <n v="9824.93"/>
    <m/>
    <s v="N"/>
    <n v="22"/>
    <d v="2023-07-03T19:01:53"/>
    <s v="Y"/>
    <s v="Toxicologist"/>
    <s v="Public Law Children"/>
    <s v="Expert Disbursement"/>
    <s v="Penelope Moult"/>
    <s v="Y"/>
    <n v="127.75"/>
    <n v="25.55"/>
    <x v="3"/>
    <s v="VALIDATED"/>
    <n v="1"/>
    <s v="01.11.80.308.6300.0000"/>
    <n v="127.75"/>
    <s v="11"/>
    <s v="6300"/>
    <n v="49509.54"/>
    <n v="127.75"/>
    <s v="CREDITOR"/>
    <n v="0"/>
    <n v="0"/>
    <n v="0"/>
    <n v="0"/>
    <n v="127.75"/>
  </r>
  <r>
    <n v="7431730"/>
    <s v="N"/>
    <n v="21318708"/>
    <s v="3000003621200005"/>
    <s v="CIVIL"/>
    <d v="2023-06-22T00:00:00"/>
    <d v="2023-07-03T19:01:49"/>
    <m/>
    <d v="2023-07-03T00:00:00"/>
    <n v="270"/>
    <n v="891"/>
    <s v="7431730"/>
    <s v="7431730"/>
    <m/>
    <m/>
    <n v="22747114"/>
    <m/>
    <m/>
    <m/>
    <s v="SOLFIN"/>
    <s v="SOLFIN"/>
    <s v="CCMS"/>
    <n v="21318708"/>
    <n v="22428.48"/>
    <m/>
    <s v="N"/>
    <n v="105"/>
    <d v="2023-07-03T19:02:01"/>
    <s v="Y"/>
    <s v="Advocacy - Directions Hearing"/>
    <s v="Prescribed Hourly Rates"/>
    <s v="Advocacy"/>
    <s v="PM"/>
    <s v="Y"/>
    <n v="235.31"/>
    <n v="47.06"/>
    <x v="3"/>
    <s v="VALIDATED"/>
    <n v="1"/>
    <s v="01.11.80.307.6100.0000"/>
    <n v="235.31"/>
    <s v="11"/>
    <s v="6100"/>
    <n v="49509.54"/>
    <n v="235.31"/>
    <s v="CREDITOR"/>
    <n v="0"/>
    <n v="0"/>
    <n v="0"/>
    <n v="0"/>
    <n v="235.31"/>
  </r>
  <r>
    <n v="60902882"/>
    <s v="N"/>
    <n v="21318992"/>
    <s v="3000015122580012"/>
    <s v="CIVIL"/>
    <d v="2023-06-23T00:00:00"/>
    <d v="2023-07-03T19:01:49"/>
    <m/>
    <d v="2023-07-03T00:00:00"/>
    <n v="270"/>
    <n v="891"/>
    <s v="60902882"/>
    <s v="60902882"/>
    <m/>
    <m/>
    <n v="22756172"/>
    <m/>
    <m/>
    <m/>
    <s v="SOLFIN"/>
    <s v="SOLFIN"/>
    <s v="CCMS"/>
    <n v="21318992"/>
    <n v="3207.9"/>
    <m/>
    <s v="N"/>
    <n v="4"/>
    <d v="2023-07-03T19:02:06"/>
    <s v="Y"/>
    <s v="Solicitors Fixed Fee"/>
    <s v="Public Law Children"/>
    <s v="Profit Cost"/>
    <s v="Maria Orme"/>
    <s v="Y"/>
    <n v="2013"/>
    <n v="402.6"/>
    <x v="3"/>
    <s v="VALIDATED"/>
    <n v="1"/>
    <s v="01.11.80.308.6100.0000"/>
    <n v="2013"/>
    <s v="11"/>
    <s v="6100"/>
    <n v="49509.54"/>
    <n v="2013"/>
    <s v="CREDITOR"/>
    <n v="0"/>
    <n v="0"/>
    <n v="0"/>
    <n v="0"/>
    <n v="2013"/>
  </r>
  <r>
    <n v="7431730"/>
    <s v="N"/>
    <n v="21318708"/>
    <s v="3000003621200005"/>
    <s v="CIVIL"/>
    <d v="2023-06-22T00:00:00"/>
    <d v="2023-07-03T19:01:49"/>
    <m/>
    <d v="2023-07-03T00:00:00"/>
    <n v="270"/>
    <n v="891"/>
    <s v="7431730"/>
    <s v="7431730"/>
    <m/>
    <m/>
    <n v="22747114"/>
    <m/>
    <m/>
    <m/>
    <s v="SOLFIN"/>
    <s v="SOLFIN"/>
    <s v="CCMS"/>
    <n v="21318708"/>
    <n v="22428.48"/>
    <m/>
    <s v="N"/>
    <n v="99"/>
    <d v="2023-07-03T19:02:01"/>
    <s v="Y"/>
    <s v="Preparation - other"/>
    <s v="Prescribed Hourly Rates"/>
    <s v="Profit Cost"/>
    <s v="PM"/>
    <s v="Y"/>
    <n v="24.35"/>
    <n v="4.87"/>
    <x v="3"/>
    <s v="VALIDATED"/>
    <n v="1"/>
    <s v="01.11.80.307.6100.0000"/>
    <n v="24.35"/>
    <s v="11"/>
    <s v="6100"/>
    <n v="49509.54"/>
    <n v="24.35"/>
    <s v="CREDITOR"/>
    <n v="0"/>
    <n v="0"/>
    <n v="0"/>
    <n v="0"/>
    <n v="24.35"/>
  </r>
  <r>
    <n v="42259627"/>
    <s v="N"/>
    <n v="21331008"/>
    <s v="3000011285920006"/>
    <s v="CIVIL"/>
    <d v="2023-06-23T00:00:00"/>
    <d v="2023-07-05T19:01:47"/>
    <m/>
    <d v="2023-07-05T00:00:00"/>
    <n v="270"/>
    <n v="891"/>
    <s v="42259627"/>
    <s v="42259627"/>
    <m/>
    <m/>
    <n v="22756168"/>
    <m/>
    <m/>
    <m/>
    <s v="SOLFIN"/>
    <s v="SOLFIN"/>
    <s v="CCMS"/>
    <n v="21331008"/>
    <n v="11329.24"/>
    <m/>
    <s v="N"/>
    <n v="9"/>
    <d v="2023-07-05T19:02:01"/>
    <s v="Y"/>
    <s v="Solicitor Travel Mileage"/>
    <s v="Public Law Children"/>
    <s v="Non Expert Disbursement"/>
    <s v="Maria Orme"/>
    <s v="Y"/>
    <n v="27"/>
    <n v="5.4"/>
    <x v="6"/>
    <s v="VALIDATED"/>
    <n v="1"/>
    <s v="01.11.80.308.6300.0000"/>
    <n v="27"/>
    <s v="11"/>
    <s v="6300"/>
    <n v="49509.54"/>
    <n v="27"/>
    <s v="CREDITOR"/>
    <n v="0"/>
    <n v="0"/>
    <n v="0"/>
    <n v="0"/>
    <n v="27"/>
  </r>
  <r>
    <n v="7431730"/>
    <s v="N"/>
    <n v="21318708"/>
    <s v="3000003621200005"/>
    <s v="CIVIL"/>
    <d v="2023-06-22T00:00:00"/>
    <d v="2023-07-03T19:01:49"/>
    <m/>
    <d v="2023-07-03T00:00:00"/>
    <n v="270"/>
    <n v="891"/>
    <s v="7431730"/>
    <s v="7431730"/>
    <m/>
    <m/>
    <n v="22747114"/>
    <m/>
    <m/>
    <m/>
    <s v="SOLFIN"/>
    <s v="SOLFIN"/>
    <s v="CCMS"/>
    <n v="21318708"/>
    <n v="22428.48"/>
    <m/>
    <s v="N"/>
    <n v="67"/>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88"/>
    <d v="2023-07-03T19:02:01"/>
    <s v="Y"/>
    <s v="Advocacy - Directions Hearing"/>
    <s v="Prescribed Hourly Rates"/>
    <s v="Advocacy"/>
    <s v="PM"/>
    <s v="Y"/>
    <n v="446.29"/>
    <n v="89.26000000000001"/>
    <x v="3"/>
    <s v="VALIDATED"/>
    <n v="1"/>
    <s v="01.11.80.307.6100.0000"/>
    <n v="446.29"/>
    <s v="11"/>
    <s v="6100"/>
    <n v="49509.54"/>
    <n v="446.29"/>
    <s v="CREDITOR"/>
    <n v="0"/>
    <n v="0"/>
    <n v="0"/>
    <n v="0"/>
    <n v="446.29"/>
  </r>
  <r>
    <n v="7431730"/>
    <s v="N"/>
    <n v="21318708"/>
    <s v="3000003621200005"/>
    <s v="CIVIL"/>
    <d v="2023-06-22T00:00:00"/>
    <d v="2023-07-03T19:01:49"/>
    <m/>
    <d v="2023-07-03T00:00:00"/>
    <n v="270"/>
    <n v="891"/>
    <s v="7431730"/>
    <s v="7431730"/>
    <m/>
    <m/>
    <n v="22747114"/>
    <m/>
    <m/>
    <m/>
    <s v="SOLFIN"/>
    <s v="SOLFIN"/>
    <s v="CCMS"/>
    <n v="21318708"/>
    <n v="22428.48"/>
    <m/>
    <s v="N"/>
    <n v="119"/>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40144488"/>
    <s v="N"/>
    <n v="21320163"/>
    <s v="3000010767640023"/>
    <s v="CIVIL"/>
    <d v="2023-06-27T00:00:00"/>
    <d v="2023-07-03T19:04:24"/>
    <m/>
    <d v="2023-07-03T00:00:00"/>
    <n v="270"/>
    <n v="891"/>
    <s v="40144488"/>
    <s v="40144488"/>
    <m/>
    <m/>
    <n v="22774946"/>
    <m/>
    <m/>
    <m/>
    <s v="SOLFIN"/>
    <s v="SOLFIN"/>
    <s v="CCMS"/>
    <n v="21320163"/>
    <n v="27986.95"/>
    <m/>
    <s v="N"/>
    <n v="4"/>
    <d v="2023-07-03T19:04:29"/>
    <s v="Y"/>
    <s v="Court Fee"/>
    <s v="VHCC"/>
    <s v="Non Expert Disbursement"/>
    <s v="Dinuka Sivaneswaran"/>
    <s v="Y"/>
    <n v="167"/>
    <n v="0"/>
    <x v="3"/>
    <s v="VALIDATED"/>
    <n v="1"/>
    <s v="01.11.80.308.6300.0000"/>
    <n v="167"/>
    <s v="11"/>
    <s v="6300"/>
    <n v="49509.54"/>
    <n v="167"/>
    <s v="CREDITOR"/>
    <n v="0"/>
    <n v="0"/>
    <n v="0"/>
    <n v="0"/>
    <n v="167"/>
  </r>
  <r>
    <n v="60258535"/>
    <s v="N"/>
    <n v="21318601"/>
    <s v="3000014566280010"/>
    <s v="CIVIL"/>
    <d v="2023-06-22T00:00:00"/>
    <d v="2023-07-03T19:01:49"/>
    <m/>
    <d v="2023-07-03T00:00:00"/>
    <n v="270"/>
    <n v="891"/>
    <s v="60258535"/>
    <s v="60258535"/>
    <m/>
    <m/>
    <n v="22748030"/>
    <m/>
    <m/>
    <m/>
    <s v="SOLFIN"/>
    <s v="SOLFIN"/>
    <s v="CCMS"/>
    <n v="21318601"/>
    <n v="8270.030000000001"/>
    <m/>
    <s v="N"/>
    <n v="4"/>
    <d v="2023-07-03T19:02:00"/>
    <s v="Y"/>
    <s v="Psychologist"/>
    <s v="Public Law Children"/>
    <s v="Expert Disbursement"/>
    <s v="Kate Siddall"/>
    <s v="Y"/>
    <n v="462.9"/>
    <n v="0"/>
    <x v="3"/>
    <s v="VALIDATED"/>
    <n v="1"/>
    <s v="01.11.80.308.6300.0000"/>
    <n v="462.9"/>
    <s v="11"/>
    <s v="6300"/>
    <n v="49509.54"/>
    <n v="462.9"/>
    <s v="CREDITOR"/>
    <n v="0"/>
    <n v="0"/>
    <n v="0"/>
    <n v="0"/>
    <n v="462.9"/>
  </r>
  <r>
    <n v="7431730"/>
    <s v="N"/>
    <n v="21318708"/>
    <s v="3000003621200005"/>
    <s v="CIVIL"/>
    <d v="2023-06-22T00:00:00"/>
    <d v="2023-07-03T19:01:49"/>
    <m/>
    <d v="2023-07-03T00:00:00"/>
    <n v="270"/>
    <n v="891"/>
    <s v="7431730"/>
    <s v="7431730"/>
    <m/>
    <m/>
    <n v="22747114"/>
    <m/>
    <m/>
    <m/>
    <s v="SOLFIN"/>
    <s v="SOLFIN"/>
    <s v="CCMS"/>
    <n v="21318708"/>
    <n v="22428.48"/>
    <m/>
    <s v="N"/>
    <n v="9"/>
    <d v="2023-07-03T19:02:01"/>
    <s v="N"/>
    <s v="Solicitor Travel Expenses"/>
    <s v="Prescribed Hourly Rates"/>
    <s v="Non Expert Disbursement"/>
    <s v="PEM"/>
    <s v="N"/>
    <n v="8.58"/>
    <n v="0"/>
    <x v="3"/>
    <s v="VALIDATED"/>
    <n v="1"/>
    <s v="01.11.80.307.6300.0000"/>
    <n v="8.58"/>
    <s v="11"/>
    <s v="6300"/>
    <n v="49509.54"/>
    <n v="8.58"/>
    <s v="CREDITOR"/>
    <n v="0"/>
    <n v="0"/>
    <n v="0"/>
    <n v="0"/>
    <n v="8.58"/>
  </r>
  <r>
    <n v="42259627"/>
    <s v="N"/>
    <n v="21331008"/>
    <s v="3000011285920006"/>
    <s v="CIVIL"/>
    <d v="2023-06-23T00:00:00"/>
    <d v="2023-07-05T19:01:47"/>
    <m/>
    <d v="2023-07-05T00:00:00"/>
    <n v="270"/>
    <n v="891"/>
    <s v="42259627"/>
    <s v="42259627"/>
    <m/>
    <m/>
    <n v="22756168"/>
    <m/>
    <m/>
    <m/>
    <s v="SOLFIN"/>
    <s v="SOLFIN"/>
    <s v="CCMS"/>
    <n v="21331008"/>
    <n v="11329.24"/>
    <m/>
    <s v="N"/>
    <n v="13"/>
    <d v="2023-07-05T19:02:01"/>
    <s v="Y"/>
    <s v="Hearing Unit 2.31 - 5.00 Hours"/>
    <s v="Public Law Children"/>
    <s v="Advocacy"/>
    <s v="Maria Orme"/>
    <s v="Y"/>
    <n v="476.92"/>
    <n v="95.38"/>
    <x v="6"/>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31"/>
    <d v="2023-07-03T19:02:01"/>
    <s v="Y"/>
    <s v="Preparation - other"/>
    <s v="Prescribed Hourly Rates"/>
    <s v="Profit Cost"/>
    <s v="PM"/>
    <s v="Y"/>
    <n v="16.23"/>
    <n v="3.25"/>
    <x v="3"/>
    <s v="VALIDATED"/>
    <n v="1"/>
    <s v="01.11.80.307.6100.0000"/>
    <n v="16.23"/>
    <s v="11"/>
    <s v="6100"/>
    <n v="49509.54"/>
    <n v="16.23"/>
    <s v="CREDITOR"/>
    <n v="0"/>
    <n v="0"/>
    <n v="0"/>
    <n v="0"/>
    <n v="16.23"/>
  </r>
  <r>
    <n v="42259627"/>
    <s v="N"/>
    <n v="21331008"/>
    <s v="3000011285920006"/>
    <s v="CIVIL"/>
    <d v="2023-06-23T00:00:00"/>
    <d v="2023-07-05T19:01:47"/>
    <m/>
    <d v="2023-07-05T00:00:00"/>
    <n v="270"/>
    <n v="891"/>
    <s v="42259627"/>
    <s v="42259627"/>
    <m/>
    <m/>
    <n v="22756168"/>
    <m/>
    <m/>
    <m/>
    <s v="SOLFIN"/>
    <s v="SOLFIN"/>
    <s v="CCMS"/>
    <n v="21331008"/>
    <n v="11329.24"/>
    <m/>
    <s v="N"/>
    <n v="2"/>
    <d v="2023-07-05T19:02:01"/>
    <s v="Y"/>
    <s v="Final Hearing Court Bundle/Advocate"/>
    <s v="Public Law Children"/>
    <s v="Advocacy"/>
    <s v="Maria Orme"/>
    <s v="Y"/>
    <n v="159.3"/>
    <n v="31.86"/>
    <x v="6"/>
    <s v="VALIDATED"/>
    <n v="1"/>
    <s v="01.11.80.308.6100.0000"/>
    <n v="159.3"/>
    <s v="11"/>
    <s v="6100"/>
    <n v="49509.54"/>
    <n v="159.3"/>
    <s v="CREDITOR"/>
    <n v="0"/>
    <n v="0"/>
    <n v="0"/>
    <n v="0"/>
    <n v="159.3"/>
  </r>
  <r>
    <n v="7431730"/>
    <s v="N"/>
    <n v="21318708"/>
    <s v="3000003621200005"/>
    <s v="CIVIL"/>
    <d v="2023-06-22T00:00:00"/>
    <d v="2023-07-03T19:01:49"/>
    <m/>
    <d v="2023-07-03T00:00:00"/>
    <n v="270"/>
    <n v="891"/>
    <s v="7431730"/>
    <s v="7431730"/>
    <m/>
    <m/>
    <n v="22747114"/>
    <m/>
    <m/>
    <m/>
    <s v="SOLFIN"/>
    <s v="SOLFIN"/>
    <s v="CCMS"/>
    <n v="21318708"/>
    <n v="22428.48"/>
    <m/>
    <s v="N"/>
    <n v="51"/>
    <d v="2023-07-03T19:02:01"/>
    <s v="Y"/>
    <s v="Attendance upon client"/>
    <s v="Prescribed Hourly Rates"/>
    <s v="Profit Cost"/>
    <s v="PM"/>
    <s v="Y"/>
    <n v="89.26000000000001"/>
    <n v="17.85"/>
    <x v="3"/>
    <s v="VALIDATED"/>
    <n v="1"/>
    <s v="01.11.80.307.6100.0000"/>
    <n v="89.26000000000001"/>
    <s v="11"/>
    <s v="6100"/>
    <n v="49509.54"/>
    <n v="89.26000000000001"/>
    <s v="CREDITOR"/>
    <n v="0"/>
    <n v="0"/>
    <n v="0"/>
    <n v="0"/>
    <n v="89.26000000000001"/>
  </r>
  <r>
    <n v="62066206"/>
    <s v="N"/>
    <n v="21338148"/>
    <s v="3000016098830001"/>
    <s v="CIVIL"/>
    <d v="2023-06-30T00:00:00"/>
    <d v="2023-07-06T19:21:01"/>
    <m/>
    <d v="2023-07-06T00:00:00"/>
    <n v="270"/>
    <n v="891"/>
    <s v="62066206"/>
    <s v="62066206"/>
    <m/>
    <m/>
    <n v="22798018"/>
    <m/>
    <m/>
    <m/>
    <s v="SOLPOA"/>
    <s v="SOLPOA"/>
    <s v="CCMS"/>
    <n v="21338148"/>
    <n v="243"/>
    <m/>
    <s v="N"/>
    <n v="1"/>
    <d v="2023-07-06T19:21:12"/>
    <s v="N"/>
    <s v="Expert Cost"/>
    <s v="Expert Cost"/>
    <s v="Expert Disbursement"/>
    <s v="Dinuka Sivaneswaran"/>
    <s v="N"/>
    <n v="202.5"/>
    <n v="40.5"/>
    <x v="4"/>
    <s v="VALIDATED"/>
    <n v="1"/>
    <s v="01.11.80.308.2012.0000"/>
    <n v="202.5"/>
    <s v="11"/>
    <s v="2012"/>
    <n v="49509.54"/>
    <n v="202.5"/>
    <s v="CREDITOR"/>
    <n v="202.5"/>
    <n v="0"/>
    <n v="0"/>
    <n v="0"/>
    <n v="0"/>
  </r>
  <r>
    <n v="60325701"/>
    <s v="N"/>
    <n v="21318301"/>
    <s v="3000014625530008"/>
    <s v="CIVIL"/>
    <d v="2023-06-22T00:00:00"/>
    <d v="2023-07-03T19:01:49"/>
    <m/>
    <d v="2023-07-03T00:00:00"/>
    <n v="270"/>
    <n v="891"/>
    <s v="60325701"/>
    <s v="60325701"/>
    <m/>
    <m/>
    <n v="22742148"/>
    <m/>
    <m/>
    <m/>
    <s v="SOLFIN"/>
    <s v="SOLFIN"/>
    <s v="CCMS"/>
    <n v="21318301"/>
    <n v="9824.93"/>
    <m/>
    <s v="N"/>
    <n v="37"/>
    <d v="2023-07-03T19:01:53"/>
    <s v="Y"/>
    <s v="Advocates Meeting"/>
    <s v="Public Law Children"/>
    <s v="Advocacy"/>
    <s v="Penelope Moult"/>
    <s v="Y"/>
    <n v="140.99"/>
    <n v="28.2"/>
    <x v="3"/>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55"/>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7431730"/>
    <s v="N"/>
    <n v="21318708"/>
    <s v="3000003621200005"/>
    <s v="CIVIL"/>
    <d v="2023-06-22T00:00:00"/>
    <d v="2023-07-03T19:01:49"/>
    <m/>
    <d v="2023-07-03T00:00:00"/>
    <n v="270"/>
    <n v="891"/>
    <s v="7431730"/>
    <s v="7431730"/>
    <m/>
    <m/>
    <n v="22747114"/>
    <m/>
    <m/>
    <m/>
    <s v="SOLFIN"/>
    <s v="SOLFIN"/>
    <s v="CCMS"/>
    <n v="21318708"/>
    <n v="22428.48"/>
    <m/>
    <s v="N"/>
    <n v="18"/>
    <d v="2023-07-03T19:02:01"/>
    <s v="Y"/>
    <s v="Preparation - other"/>
    <s v="Prescribed Hourly Rates"/>
    <s v="Profit Cost"/>
    <s v="PM"/>
    <s v="Y"/>
    <n v="16.23"/>
    <n v="3.25"/>
    <x v="3"/>
    <s v="VALIDATED"/>
    <n v="1"/>
    <s v="01.11.80.307.6100.0000"/>
    <n v="16.23"/>
    <s v="11"/>
    <s v="6100"/>
    <n v="49509.54"/>
    <n v="16.23"/>
    <s v="CREDITOR"/>
    <n v="0"/>
    <n v="0"/>
    <n v="0"/>
    <n v="0"/>
    <n v="16.23"/>
  </r>
  <r>
    <n v="42259627"/>
    <s v="N"/>
    <n v="21331008"/>
    <s v="3000011285920006"/>
    <s v="CIVIL"/>
    <d v="2023-06-23T00:00:00"/>
    <d v="2023-07-05T19:01:47"/>
    <m/>
    <d v="2023-07-05T00:00:00"/>
    <n v="270"/>
    <n v="891"/>
    <s v="42259627"/>
    <s v="42259627"/>
    <m/>
    <m/>
    <n v="22756168"/>
    <m/>
    <m/>
    <m/>
    <s v="SOLFIN"/>
    <s v="SOLFIN"/>
    <s v="CCMS"/>
    <n v="21331008"/>
    <n v="11329.24"/>
    <m/>
    <s v="N"/>
    <n v="11"/>
    <d v="2023-07-05T19:02:01"/>
    <s v="Y"/>
    <s v="Hearing Unit 2.31 - 5.00 Hours"/>
    <s v="Public Law Children"/>
    <s v="Advocacy"/>
    <s v="Maria Orme"/>
    <s v="Y"/>
    <n v="476.92"/>
    <n v="95.38"/>
    <x v="6"/>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72"/>
    <d v="2023-07-03T19:02:01"/>
    <s v="Y"/>
    <s v="Preparation - other"/>
    <s v="Prescribed Hourly Rates"/>
    <s v="Profit Cost"/>
    <s v="PM"/>
    <s v="Y"/>
    <n v="24.35"/>
    <n v="4.87"/>
    <x v="3"/>
    <s v="VALIDATED"/>
    <n v="1"/>
    <s v="01.11.80.307.6100.0000"/>
    <n v="24.35"/>
    <s v="11"/>
    <s v="6100"/>
    <n v="49509.54"/>
    <n v="24.35"/>
    <s v="CREDITOR"/>
    <n v="0"/>
    <n v="0"/>
    <n v="0"/>
    <n v="0"/>
    <n v="24.35"/>
  </r>
  <r>
    <n v="60258535"/>
    <s v="N"/>
    <n v="21318601"/>
    <s v="3000014566280010"/>
    <s v="CIVIL"/>
    <d v="2023-06-22T00:00:00"/>
    <d v="2023-07-03T19:01:49"/>
    <m/>
    <d v="2023-07-03T00:00:00"/>
    <n v="270"/>
    <n v="891"/>
    <s v="60258535"/>
    <s v="60258535"/>
    <m/>
    <m/>
    <n v="22748030"/>
    <m/>
    <m/>
    <m/>
    <s v="SOLFIN"/>
    <s v="SOLFIN"/>
    <s v="CCMS"/>
    <n v="21318601"/>
    <n v="8270.030000000001"/>
    <m/>
    <s v="N"/>
    <n v="15"/>
    <d v="2023-07-03T19:02:00"/>
    <s v="Y"/>
    <s v="Hearing Unit 2.31 - 5.00 Hours"/>
    <s v="Public Law Children"/>
    <s v="Advocacy"/>
    <s v="Kate Siddall"/>
    <s v="Y"/>
    <n v="476.92"/>
    <n v="95.38"/>
    <x v="3"/>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36"/>
    <d v="2023-07-03T19:02:01"/>
    <s v="Y"/>
    <s v="Attendance upon client"/>
    <s v="Prescribed Hourly Rates"/>
    <s v="Profit Cost"/>
    <s v="PM"/>
    <s v="Y"/>
    <n v="316.46"/>
    <n v="63.29"/>
    <x v="3"/>
    <s v="VALIDATED"/>
    <n v="1"/>
    <s v="01.11.80.307.6100.0000"/>
    <n v="316.46"/>
    <s v="11"/>
    <s v="6100"/>
    <n v="49509.54"/>
    <n v="316.46"/>
    <s v="CREDITOR"/>
    <n v="0"/>
    <n v="0"/>
    <n v="0"/>
    <n v="0"/>
    <n v="316.46"/>
  </r>
  <r>
    <n v="7431730"/>
    <s v="N"/>
    <n v="21318708"/>
    <s v="3000003621200005"/>
    <s v="CIVIL"/>
    <d v="2023-06-22T00:00:00"/>
    <d v="2023-07-03T19:01:49"/>
    <m/>
    <d v="2023-07-03T00:00:00"/>
    <n v="270"/>
    <n v="891"/>
    <s v="7431730"/>
    <s v="7431730"/>
    <m/>
    <m/>
    <n v="22747114"/>
    <m/>
    <m/>
    <m/>
    <s v="SOLFIN"/>
    <s v="SOLFIN"/>
    <s v="CCMS"/>
    <n v="21318708"/>
    <n v="22428.48"/>
    <m/>
    <s v="N"/>
    <n v="7"/>
    <d v="2023-07-03T19:02:01"/>
    <s v="N"/>
    <s v="Solicitor Travel Mileage"/>
    <s v="Prescribed Hourly Rates"/>
    <s v="Non Expert Disbursement"/>
    <s v="PEM"/>
    <s v="N"/>
    <n v="27"/>
    <n v="0"/>
    <x v="3"/>
    <s v="VALIDATED"/>
    <n v="1"/>
    <s v="01.11.80.307.6300.0000"/>
    <n v="27"/>
    <s v="11"/>
    <s v="6300"/>
    <n v="49509.54"/>
    <n v="27"/>
    <s v="CREDITOR"/>
    <n v="0"/>
    <n v="0"/>
    <n v="0"/>
    <n v="0"/>
    <n v="27"/>
  </r>
  <r>
    <n v="7431730"/>
    <s v="N"/>
    <n v="21318708"/>
    <s v="3000003621200005"/>
    <s v="CIVIL"/>
    <d v="2023-06-22T00:00:00"/>
    <d v="2023-07-03T19:01:49"/>
    <m/>
    <d v="2023-07-03T00:00:00"/>
    <n v="270"/>
    <n v="891"/>
    <s v="7431730"/>
    <s v="7431730"/>
    <m/>
    <m/>
    <n v="22747114"/>
    <m/>
    <m/>
    <m/>
    <s v="SOLFIN"/>
    <s v="SOLFIN"/>
    <s v="CCMS"/>
    <n v="21318708"/>
    <n v="22428.48"/>
    <m/>
    <s v="N"/>
    <n v="38"/>
    <d v="2023-07-03T19:02:01"/>
    <s v="Y"/>
    <s v="Preparation - other"/>
    <s v="Prescribed Hourly Rates"/>
    <s v="Profit Cost"/>
    <s v="PM"/>
    <s v="Y"/>
    <n v="129.84"/>
    <n v="25.97"/>
    <x v="3"/>
    <s v="VALIDATED"/>
    <n v="1"/>
    <s v="01.11.80.307.6100.0000"/>
    <n v="129.84"/>
    <s v="11"/>
    <s v="6100"/>
    <n v="49509.54"/>
    <n v="129.84"/>
    <s v="CREDITOR"/>
    <n v="0"/>
    <n v="0"/>
    <n v="0"/>
    <n v="0"/>
    <n v="129.84"/>
  </r>
  <r>
    <n v="60325701"/>
    <s v="N"/>
    <n v="21318301"/>
    <s v="3000014625530008"/>
    <s v="CIVIL"/>
    <d v="2023-06-22T00:00:00"/>
    <d v="2023-07-03T19:01:49"/>
    <m/>
    <d v="2023-07-03T00:00:00"/>
    <n v="270"/>
    <n v="891"/>
    <s v="60325701"/>
    <s v="60325701"/>
    <m/>
    <m/>
    <n v="22742148"/>
    <m/>
    <m/>
    <m/>
    <s v="SOLFIN"/>
    <s v="SOLFIN"/>
    <s v="CCMS"/>
    <n v="21318301"/>
    <n v="9824.93"/>
    <m/>
    <s v="N"/>
    <n v="23"/>
    <d v="2023-07-03T19:01:53"/>
    <s v="Y"/>
    <s v="Solicitor Travel Mileage"/>
    <s v="Public Law Children"/>
    <s v="Non Expert Disbursement"/>
    <s v="PM"/>
    <s v="Y"/>
    <n v="27"/>
    <n v="5.4"/>
    <x v="3"/>
    <s v="VALIDATED"/>
    <n v="1"/>
    <s v="01.11.80.308.6300.0000"/>
    <n v="27"/>
    <s v="11"/>
    <s v="6300"/>
    <n v="49509.54"/>
    <n v="27"/>
    <s v="CREDITOR"/>
    <n v="0"/>
    <n v="0"/>
    <n v="0"/>
    <n v="0"/>
    <n v="27"/>
  </r>
  <r>
    <n v="60325701"/>
    <s v="N"/>
    <n v="21318301"/>
    <s v="3000014625530008"/>
    <s v="CIVIL"/>
    <d v="2023-06-22T00:00:00"/>
    <d v="2023-07-03T19:01:49"/>
    <m/>
    <d v="2023-07-03T00:00:00"/>
    <n v="270"/>
    <n v="891"/>
    <s v="60325701"/>
    <s v="60325701"/>
    <m/>
    <m/>
    <n v="22742148"/>
    <m/>
    <m/>
    <m/>
    <s v="SOLFIN"/>
    <s v="SOLFIN"/>
    <s v="CCMS"/>
    <n v="21318301"/>
    <n v="9824.93"/>
    <m/>
    <s v="N"/>
    <n v="38"/>
    <d v="2023-07-03T19:01:53"/>
    <s v="Y"/>
    <s v="Hearing Unit 1.01 - 2.30 Hours"/>
    <s v="Public Law Children"/>
    <s v="Advocacy"/>
    <s v="Penelope Moult"/>
    <s v="Y"/>
    <n v="238.46"/>
    <n v="47.69"/>
    <x v="3"/>
    <s v="VALIDATED"/>
    <n v="1"/>
    <s v="01.11.80.308.6100.0000"/>
    <n v="238.46"/>
    <s v="11"/>
    <s v="6100"/>
    <n v="49509.54"/>
    <n v="238.46"/>
    <s v="CREDITOR"/>
    <n v="0"/>
    <n v="0"/>
    <n v="0"/>
    <n v="0"/>
    <n v="238.46"/>
  </r>
  <r>
    <n v="60485628"/>
    <s v="N"/>
    <n v="21369638"/>
    <s v="3000014763550002"/>
    <s v="CIVIL"/>
    <d v="2023-06-19T00:00:00"/>
    <d v="2023-07-13T19:21:05"/>
    <m/>
    <d v="2023-07-13T00:00:00"/>
    <n v="270"/>
    <n v="891"/>
    <s v="60485628"/>
    <s v="60485628"/>
    <m/>
    <m/>
    <n v="22711824"/>
    <m/>
    <m/>
    <m/>
    <s v="SOLFIN"/>
    <s v="SOLFIN"/>
    <s v="CCMS"/>
    <n v="21369638"/>
    <n v="1641.88"/>
    <m/>
    <s v="N"/>
    <n v="15"/>
    <d v="2023-07-13T19:21:08"/>
    <s v="Y"/>
    <s v="Advocacy - Directions Hearing"/>
    <s v="Prescribed Hourly Rates"/>
    <s v="Advocacy"/>
    <s v="Penelope Moult"/>
    <s v="Y"/>
    <n v="34.16"/>
    <n v="6.83"/>
    <x v="11"/>
    <s v="VALIDATED"/>
    <n v="1"/>
    <s v="01.11.80.307.6100.0000"/>
    <n v="34.16"/>
    <s v="11"/>
    <s v="6100"/>
    <n v="49509.54"/>
    <n v="34.16"/>
    <s v="CREDITOR"/>
    <n v="0"/>
    <n v="0"/>
    <n v="0"/>
    <n v="0"/>
    <n v="34.16"/>
  </r>
  <r>
    <n v="42259627"/>
    <s v="N"/>
    <n v="21331008"/>
    <s v="3000011285920006"/>
    <s v="CIVIL"/>
    <d v="2023-06-23T00:00:00"/>
    <d v="2023-07-05T19:01:47"/>
    <m/>
    <d v="2023-07-05T00:00:00"/>
    <n v="270"/>
    <n v="891"/>
    <s v="42259627"/>
    <s v="42259627"/>
    <m/>
    <m/>
    <n v="22756168"/>
    <m/>
    <m/>
    <m/>
    <s v="SOLFIN"/>
    <s v="SOLFIN"/>
    <s v="CCMS"/>
    <n v="21331008"/>
    <n v="11329.24"/>
    <m/>
    <s v="N"/>
    <n v="17"/>
    <d v="2023-07-05T19:02:01"/>
    <s v="Y"/>
    <s v="Advocates Meeting"/>
    <s v="Public Law Children"/>
    <s v="Advocacy"/>
    <s v="Maria Orme"/>
    <s v="Y"/>
    <n v="140.99"/>
    <n v="28.2"/>
    <x v="6"/>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59"/>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69"/>
    <d v="2023-07-03T19:02:01"/>
    <s v="Y"/>
    <s v="Preparation - other"/>
    <s v="Prescribed Hourly Rates"/>
    <s v="Profit Cost"/>
    <s v="PM"/>
    <s v="Y"/>
    <n v="24.35"/>
    <n v="4.87"/>
    <x v="3"/>
    <s v="VALIDATED"/>
    <n v="1"/>
    <s v="01.11.80.307.6100.0000"/>
    <n v="24.35"/>
    <s v="11"/>
    <s v="6100"/>
    <n v="49509.54"/>
    <n v="24.35"/>
    <s v="CREDITOR"/>
    <n v="0"/>
    <n v="0"/>
    <n v="0"/>
    <n v="0"/>
    <n v="24.35"/>
  </r>
  <r>
    <n v="60325701"/>
    <s v="N"/>
    <n v="21318301"/>
    <s v="3000014625530008"/>
    <s v="CIVIL"/>
    <d v="2023-06-22T00:00:00"/>
    <d v="2023-07-03T19:01:49"/>
    <m/>
    <d v="2023-07-03T00:00:00"/>
    <n v="270"/>
    <n v="891"/>
    <s v="60325701"/>
    <s v="60325701"/>
    <m/>
    <m/>
    <n v="22742148"/>
    <m/>
    <m/>
    <m/>
    <s v="SOLFIN"/>
    <s v="SOLFIN"/>
    <s v="CCMS"/>
    <n v="21318301"/>
    <n v="9824.93"/>
    <m/>
    <s v="N"/>
    <n v="21"/>
    <d v="2023-07-03T19:01:53"/>
    <s v="Y"/>
    <s v="Toxicologist"/>
    <s v="Public Law Children"/>
    <s v="Expert Disbursement"/>
    <s v="Penelope Moult"/>
    <s v="Y"/>
    <n v="47.5"/>
    <n v="9.5"/>
    <x v="3"/>
    <s v="VALIDATED"/>
    <n v="1"/>
    <s v="01.11.80.308.6300.0000"/>
    <n v="47.5"/>
    <s v="11"/>
    <s v="6300"/>
    <n v="49509.54"/>
    <n v="47.5"/>
    <s v="CREDITOR"/>
    <n v="0"/>
    <n v="0"/>
    <n v="0"/>
    <n v="0"/>
    <n v="47.5"/>
  </r>
  <r>
    <n v="60325701"/>
    <s v="N"/>
    <n v="21318301"/>
    <s v="3000014625530008"/>
    <s v="CIVIL"/>
    <d v="2023-06-22T00:00:00"/>
    <d v="2023-07-03T19:01:49"/>
    <m/>
    <d v="2023-07-03T00:00:00"/>
    <n v="270"/>
    <n v="891"/>
    <s v="60325701"/>
    <s v="60325701"/>
    <m/>
    <m/>
    <n v="22742148"/>
    <m/>
    <m/>
    <m/>
    <s v="SOLFIN"/>
    <s v="SOLFIN"/>
    <s v="CCMS"/>
    <n v="21318301"/>
    <n v="9824.93"/>
    <m/>
    <s v="N"/>
    <n v="35"/>
    <d v="2023-07-03T19:01:53"/>
    <s v="Y"/>
    <s v="Advocates Meeting"/>
    <s v="Public Law Children"/>
    <s v="Advocacy"/>
    <s v="Penelope Moult"/>
    <s v="Y"/>
    <n v="140.99"/>
    <n v="28.2"/>
    <x v="3"/>
    <s v="VALIDATED"/>
    <n v="1"/>
    <s v="01.11.80.308.6100.0000"/>
    <n v="140.99"/>
    <s v="11"/>
    <s v="6100"/>
    <n v="49509.54"/>
    <n v="140.99"/>
    <s v="CREDITOR"/>
    <n v="0"/>
    <n v="0"/>
    <n v="0"/>
    <n v="0"/>
    <n v="140.99"/>
  </r>
  <r>
    <n v="60325701"/>
    <s v="N"/>
    <n v="21318301"/>
    <s v="3000014625530008"/>
    <s v="CIVIL"/>
    <d v="2023-06-22T00:00:00"/>
    <d v="2023-07-03T19:01:49"/>
    <m/>
    <d v="2023-07-03T00:00:00"/>
    <n v="270"/>
    <n v="891"/>
    <s v="60325701"/>
    <s v="60325701"/>
    <m/>
    <m/>
    <n v="22742148"/>
    <m/>
    <m/>
    <m/>
    <s v="SOLFIN"/>
    <s v="SOLFIN"/>
    <s v="CCMS"/>
    <n v="21318301"/>
    <n v="9824.93"/>
    <m/>
    <s v="N"/>
    <n v="11"/>
    <d v="2023-07-03T19:01:53"/>
    <s v="Y"/>
    <s v="Solicitor Travel Expenses"/>
    <s v="Public Law Children"/>
    <s v="Non Expert Disbursement"/>
    <s v="pm"/>
    <s v="Y"/>
    <n v="6"/>
    <n v="1.2"/>
    <x v="3"/>
    <s v="VALIDATED"/>
    <n v="1"/>
    <s v="01.11.80.308.6300.0000"/>
    <n v="6"/>
    <s v="11"/>
    <s v="6300"/>
    <n v="49509.54"/>
    <n v="6"/>
    <s v="CREDITOR"/>
    <n v="0"/>
    <n v="0"/>
    <n v="0"/>
    <n v="0"/>
    <n v="6"/>
  </r>
  <r>
    <n v="7431730"/>
    <s v="N"/>
    <n v="21318708"/>
    <s v="3000003621200005"/>
    <s v="CIVIL"/>
    <d v="2023-06-22T00:00:00"/>
    <d v="2023-07-03T19:01:49"/>
    <m/>
    <d v="2023-07-03T00:00:00"/>
    <n v="270"/>
    <n v="891"/>
    <s v="7431730"/>
    <s v="7431730"/>
    <m/>
    <m/>
    <n v="22747114"/>
    <m/>
    <m/>
    <m/>
    <s v="SOLFIN"/>
    <s v="SOLFIN"/>
    <s v="CCMS"/>
    <n v="21318708"/>
    <n v="22428.48"/>
    <m/>
    <s v="N"/>
    <n v="63"/>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22"/>
    <d v="2023-07-03T19:02:01"/>
    <s v="Y"/>
    <s v="Preparation - other"/>
    <s v="Prescribed Hourly Rates"/>
    <s v="Profit Cost"/>
    <s v="PM"/>
    <s v="Y"/>
    <n v="235.31"/>
    <n v="47.06"/>
    <x v="3"/>
    <s v="VALIDATED"/>
    <n v="1"/>
    <s v="01.11.80.307.6100.0000"/>
    <n v="235.31"/>
    <s v="11"/>
    <s v="6100"/>
    <n v="49509.54"/>
    <n v="235.31"/>
    <s v="CREDITOR"/>
    <n v="0"/>
    <n v="0"/>
    <n v="0"/>
    <n v="0"/>
    <n v="235.31"/>
  </r>
  <r>
    <n v="7431730"/>
    <s v="N"/>
    <n v="21318708"/>
    <s v="3000003621200005"/>
    <s v="CIVIL"/>
    <d v="2023-06-22T00:00:00"/>
    <d v="2023-07-03T19:01:49"/>
    <m/>
    <d v="2023-07-03T00:00:00"/>
    <n v="270"/>
    <n v="891"/>
    <s v="7431730"/>
    <s v="7431730"/>
    <m/>
    <m/>
    <n v="22747114"/>
    <m/>
    <m/>
    <m/>
    <s v="SOLFIN"/>
    <s v="SOLFIN"/>
    <s v="CCMS"/>
    <n v="21318708"/>
    <n v="22428.48"/>
    <m/>
    <s v="N"/>
    <n v="113"/>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35"/>
    <d v="2023-07-03T19:02:01"/>
    <s v="Y"/>
    <s v="Advocacy - Directions Hearing"/>
    <s v="Prescribed Hourly Rates"/>
    <s v="Advocacy"/>
    <s v="PM"/>
    <s v="Y"/>
    <n v="56.8"/>
    <n v="11.36"/>
    <x v="3"/>
    <s v="VALIDATED"/>
    <n v="1"/>
    <s v="01.11.80.307.6100.0000"/>
    <n v="56.8"/>
    <s v="11"/>
    <s v="6100"/>
    <n v="49509.54"/>
    <n v="56.8"/>
    <s v="CREDITOR"/>
    <n v="0"/>
    <n v="0"/>
    <n v="0"/>
    <n v="0"/>
    <n v="56.8"/>
  </r>
  <r>
    <n v="42259627"/>
    <s v="N"/>
    <n v="21331008"/>
    <s v="3000011285920006"/>
    <s v="CIVIL"/>
    <d v="2023-06-23T00:00:00"/>
    <d v="2023-07-05T19:01:47"/>
    <m/>
    <d v="2023-07-05T00:00:00"/>
    <n v="270"/>
    <n v="891"/>
    <s v="42259627"/>
    <s v="42259627"/>
    <m/>
    <m/>
    <n v="22756168"/>
    <m/>
    <m/>
    <m/>
    <s v="SOLFIN"/>
    <s v="SOLFIN"/>
    <s v="CCMS"/>
    <n v="21331008"/>
    <n v="11329.24"/>
    <m/>
    <s v="N"/>
    <n v="21"/>
    <d v="2023-07-05T19:02:01"/>
    <s v="Y"/>
    <s v="Hearing Unit 2.31 - 5.00 Hours"/>
    <s v="Public Law Children"/>
    <s v="Advocacy"/>
    <s v="Maria Orme"/>
    <s v="Y"/>
    <n v="476.92"/>
    <n v="95.38"/>
    <x v="6"/>
    <s v="VALIDATED"/>
    <n v="1"/>
    <s v="01.11.80.308.6100.0000"/>
    <n v="476.92"/>
    <s v="11"/>
    <s v="6100"/>
    <n v="49509.54"/>
    <n v="476.92"/>
    <s v="CREDITOR"/>
    <n v="0"/>
    <n v="0"/>
    <n v="0"/>
    <n v="0"/>
    <n v="476.92"/>
  </r>
  <r>
    <n v="60325701"/>
    <s v="N"/>
    <n v="21318301"/>
    <s v="3000014625530008"/>
    <s v="CIVIL"/>
    <d v="2023-06-22T00:00:00"/>
    <d v="2023-07-03T19:01:49"/>
    <m/>
    <d v="2023-07-03T00:00:00"/>
    <n v="270"/>
    <n v="891"/>
    <s v="60325701"/>
    <s v="60325701"/>
    <m/>
    <m/>
    <n v="22742148"/>
    <m/>
    <m/>
    <m/>
    <s v="SOLFIN"/>
    <s v="SOLFIN"/>
    <s v="CCMS"/>
    <n v="21318301"/>
    <n v="9824.93"/>
    <m/>
    <s v="N"/>
    <n v="31"/>
    <d v="2023-07-03T19:01:53"/>
    <s v="Y"/>
    <s v="Advocates Meeting"/>
    <s v="Public Law Children"/>
    <s v="Advocacy"/>
    <s v="Penelope Moult"/>
    <s v="Y"/>
    <n v="140.99"/>
    <n v="28.2"/>
    <x v="3"/>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4"/>
    <d v="2023-07-03T19:02:01"/>
    <s v="N"/>
    <s v="Solicitor Travel Mileage"/>
    <s v="Prescribed Hourly Rates"/>
    <s v="Non Expert Disbursement"/>
    <s v="PEM"/>
    <s v="N"/>
    <n v="27"/>
    <n v="0"/>
    <x v="3"/>
    <s v="VALIDATED"/>
    <n v="1"/>
    <s v="01.11.80.307.6300.0000"/>
    <n v="27"/>
    <s v="11"/>
    <s v="6300"/>
    <n v="49509.54"/>
    <n v="27"/>
    <s v="CREDITOR"/>
    <n v="0"/>
    <n v="0"/>
    <n v="0"/>
    <n v="0"/>
    <n v="27"/>
  </r>
  <r>
    <n v="7431730"/>
    <s v="N"/>
    <n v="21318708"/>
    <s v="3000003621200005"/>
    <s v="CIVIL"/>
    <d v="2023-06-22T00:00:00"/>
    <d v="2023-07-03T19:01:49"/>
    <m/>
    <d v="2023-07-03T00:00:00"/>
    <n v="270"/>
    <n v="891"/>
    <s v="7431730"/>
    <s v="7431730"/>
    <m/>
    <m/>
    <n v="22747114"/>
    <m/>
    <m/>
    <m/>
    <s v="SOLFIN"/>
    <s v="SOLFIN"/>
    <s v="CCMS"/>
    <n v="21318708"/>
    <n v="22428.48"/>
    <m/>
    <s v="N"/>
    <n v="24"/>
    <d v="2023-07-03T19:02:01"/>
    <s v="Y"/>
    <s v="Preparation - other"/>
    <s v="Prescribed Hourly Rates"/>
    <s v="Profit Cost"/>
    <s v="PM"/>
    <s v="Y"/>
    <n v="97.37"/>
    <n v="19.47"/>
    <x v="3"/>
    <s v="VALIDATED"/>
    <n v="1"/>
    <s v="01.11.80.307.6100.0000"/>
    <n v="97.37"/>
    <s v="11"/>
    <s v="6100"/>
    <n v="49509.54"/>
    <n v="97.37"/>
    <s v="CREDITOR"/>
    <n v="0"/>
    <n v="0"/>
    <n v="0"/>
    <n v="0"/>
    <n v="97.37"/>
  </r>
  <r>
    <n v="7431730"/>
    <s v="N"/>
    <n v="21318708"/>
    <s v="3000003621200005"/>
    <s v="CIVIL"/>
    <d v="2023-06-22T00:00:00"/>
    <d v="2023-07-03T19:01:49"/>
    <m/>
    <d v="2023-07-03T00:00:00"/>
    <n v="270"/>
    <n v="891"/>
    <s v="7431730"/>
    <s v="7431730"/>
    <m/>
    <m/>
    <n v="22747114"/>
    <m/>
    <m/>
    <m/>
    <s v="SOLFIN"/>
    <s v="SOLFIN"/>
    <s v="CCMS"/>
    <n v="21318708"/>
    <n v="22428.48"/>
    <m/>
    <s v="N"/>
    <n v="118"/>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7431730"/>
    <s v="N"/>
    <n v="21318708"/>
    <s v="3000003621200005"/>
    <s v="CIVIL"/>
    <d v="2023-06-22T00:00:00"/>
    <d v="2023-07-03T19:01:49"/>
    <m/>
    <d v="2023-07-03T00:00:00"/>
    <n v="270"/>
    <n v="891"/>
    <s v="7431730"/>
    <s v="7431730"/>
    <m/>
    <m/>
    <n v="22747114"/>
    <m/>
    <m/>
    <m/>
    <s v="SOLFIN"/>
    <s v="SOLFIN"/>
    <s v="CCMS"/>
    <n v="21318708"/>
    <n v="22428.48"/>
    <m/>
    <s v="N"/>
    <n v="54"/>
    <d v="2023-07-03T19:02:01"/>
    <s v="Y"/>
    <s v="Preparation - other"/>
    <s v="Prescribed Hourly Rates"/>
    <s v="Profit Cost"/>
    <s v="PM"/>
    <s v="Y"/>
    <n v="24.35"/>
    <n v="4.87"/>
    <x v="3"/>
    <s v="VALIDATED"/>
    <n v="1"/>
    <s v="01.11.80.307.6100.0000"/>
    <n v="24.35"/>
    <s v="11"/>
    <s v="6100"/>
    <n v="49509.54"/>
    <n v="24.35"/>
    <s v="CREDITOR"/>
    <n v="0"/>
    <n v="0"/>
    <n v="0"/>
    <n v="0"/>
    <n v="24.35"/>
  </r>
  <r>
    <n v="60485628"/>
    <s v="N"/>
    <n v="21369638"/>
    <s v="3000014763550002"/>
    <s v="CIVIL"/>
    <d v="2023-06-19T00:00:00"/>
    <d v="2023-07-13T19:21:05"/>
    <m/>
    <d v="2023-07-13T00:00:00"/>
    <n v="270"/>
    <n v="891"/>
    <s v="60485628"/>
    <s v="60485628"/>
    <m/>
    <m/>
    <n v="22711824"/>
    <m/>
    <m/>
    <m/>
    <s v="SOLFIN"/>
    <s v="SOLFIN"/>
    <s v="CCMS"/>
    <n v="21369638"/>
    <n v="1641.88"/>
    <m/>
    <s v="N"/>
    <n v="9"/>
    <d v="2023-07-13T19:21:08"/>
    <s v="Y"/>
    <s v="Preparation - drafting bill/claim f"/>
    <s v="Prescribed Hourly Rates"/>
    <s v="Profit Cost"/>
    <s v="Penelope Moult"/>
    <s v="Y"/>
    <n v="68.31"/>
    <n v="13.66"/>
    <x v="11"/>
    <s v="VALIDATED"/>
    <n v="1"/>
    <s v="01.11.80.307.6100.0000"/>
    <n v="68.31"/>
    <s v="11"/>
    <s v="6100"/>
    <n v="49509.54"/>
    <n v="68.31"/>
    <s v="CREDITOR"/>
    <n v="0"/>
    <n v="0"/>
    <n v="0"/>
    <n v="0"/>
    <n v="68.31"/>
  </r>
  <r>
    <n v="42259627"/>
    <s v="N"/>
    <n v="21331008"/>
    <s v="3000011285920006"/>
    <s v="CIVIL"/>
    <d v="2023-06-23T00:00:00"/>
    <d v="2023-07-05T19:01:47"/>
    <m/>
    <d v="2023-07-05T00:00:00"/>
    <n v="270"/>
    <n v="891"/>
    <s v="42259627"/>
    <s v="42259627"/>
    <m/>
    <m/>
    <n v="22756168"/>
    <m/>
    <m/>
    <m/>
    <s v="SOLFIN"/>
    <s v="SOLFIN"/>
    <s v="CCMS"/>
    <n v="21331008"/>
    <n v="11329.24"/>
    <m/>
    <s v="N"/>
    <n v="1"/>
    <d v="2023-07-05T19:02:01"/>
    <s v="Y"/>
    <s v="Exceptional Travel"/>
    <s v="Public Law Children"/>
    <s v="Advocacy"/>
    <s v="Maria Orme"/>
    <s v="Y"/>
    <n v="32.04"/>
    <n v="6.41"/>
    <x v="6"/>
    <s v="VALIDATED"/>
    <n v="1"/>
    <s v="01.11.80.308.6100.0000"/>
    <n v="32.04"/>
    <s v="11"/>
    <s v="6100"/>
    <n v="49509.54"/>
    <n v="32.04"/>
    <s v="CREDITOR"/>
    <n v="0"/>
    <n v="0"/>
    <n v="0"/>
    <n v="0"/>
    <n v="32.04"/>
  </r>
  <r>
    <n v="7431730"/>
    <s v="N"/>
    <n v="21318708"/>
    <s v="3000003621200005"/>
    <s v="CIVIL"/>
    <d v="2023-06-22T00:00:00"/>
    <d v="2023-07-03T19:01:49"/>
    <m/>
    <d v="2023-07-03T00:00:00"/>
    <n v="270"/>
    <n v="891"/>
    <s v="7431730"/>
    <s v="7431730"/>
    <m/>
    <m/>
    <n v="22747114"/>
    <m/>
    <m/>
    <m/>
    <s v="SOLFIN"/>
    <s v="SOLFIN"/>
    <s v="CCMS"/>
    <n v="21318708"/>
    <n v="22428.48"/>
    <m/>
    <s v="N"/>
    <n v="50"/>
    <d v="2023-07-03T19:02:01"/>
    <s v="Y"/>
    <s v="Attendance upon client"/>
    <s v="Prescribed Hourly Rates"/>
    <s v="Profit Cost"/>
    <s v="PM"/>
    <s v="Y"/>
    <n v="73.03"/>
    <n v="14.61"/>
    <x v="3"/>
    <s v="VALIDATED"/>
    <n v="1"/>
    <s v="01.11.80.307.6100.0000"/>
    <n v="73.03"/>
    <s v="11"/>
    <s v="6100"/>
    <n v="49509.54"/>
    <n v="73.03"/>
    <s v="CREDITOR"/>
    <n v="0"/>
    <n v="0"/>
    <n v="0"/>
    <n v="0"/>
    <n v="73.03"/>
  </r>
  <r>
    <n v="40144488"/>
    <s v="N"/>
    <n v="21320163"/>
    <s v="3000010767640023"/>
    <s v="CIVIL"/>
    <d v="2023-06-27T00:00:00"/>
    <d v="2023-07-03T19:04:24"/>
    <m/>
    <d v="2023-07-03T00:00:00"/>
    <n v="270"/>
    <n v="891"/>
    <s v="40144488"/>
    <s v="40144488"/>
    <m/>
    <m/>
    <n v="22774946"/>
    <m/>
    <m/>
    <m/>
    <s v="SOLFIN"/>
    <s v="SOLFIN"/>
    <s v="CCMS"/>
    <n v="21320163"/>
    <n v="27986.95"/>
    <m/>
    <s v="N"/>
    <n v="7"/>
    <d v="2023-07-03T19:04:29"/>
    <s v="Y"/>
    <s v="Geneticist"/>
    <s v="VHCC"/>
    <s v="Expert Disbursement"/>
    <s v="Dinuka Sivaneswaran"/>
    <s v="Y"/>
    <n v="786.6"/>
    <n v="157.32"/>
    <x v="3"/>
    <s v="VALIDATED"/>
    <n v="1"/>
    <s v="01.11.80.308.6300.0000"/>
    <n v="786.6"/>
    <s v="11"/>
    <s v="6300"/>
    <n v="49509.54"/>
    <n v="786.6"/>
    <s v="CREDITOR"/>
    <n v="0"/>
    <n v="0"/>
    <n v="0"/>
    <n v="0"/>
    <n v="786.6"/>
  </r>
  <r>
    <n v="7431730"/>
    <s v="N"/>
    <n v="21318708"/>
    <s v="3000003621200005"/>
    <s v="CIVIL"/>
    <d v="2023-06-22T00:00:00"/>
    <d v="2023-07-03T19:01:49"/>
    <m/>
    <d v="2023-07-03T00:00:00"/>
    <n v="270"/>
    <n v="891"/>
    <s v="7431730"/>
    <s v="7431730"/>
    <m/>
    <m/>
    <n v="22747114"/>
    <m/>
    <m/>
    <m/>
    <s v="SOLFIN"/>
    <s v="SOLFIN"/>
    <s v="CCMS"/>
    <n v="21318708"/>
    <n v="22428.48"/>
    <m/>
    <s v="N"/>
    <n v="10"/>
    <d v="2023-07-03T19:02:01"/>
    <s v="N"/>
    <s v="Solicitor Travel Mileage"/>
    <s v="Prescribed Hourly Rates"/>
    <s v="Non Expert Disbursement"/>
    <s v="PEM"/>
    <s v="N"/>
    <n v="27"/>
    <n v="0"/>
    <x v="3"/>
    <s v="VALIDATED"/>
    <n v="1"/>
    <s v="01.11.80.307.6300.0000"/>
    <n v="27"/>
    <s v="11"/>
    <s v="6300"/>
    <n v="49509.54"/>
    <n v="27"/>
    <s v="CREDITOR"/>
    <n v="0"/>
    <n v="0"/>
    <n v="0"/>
    <n v="0"/>
    <n v="27"/>
  </r>
  <r>
    <n v="7431730"/>
    <s v="N"/>
    <n v="21318708"/>
    <s v="3000003621200005"/>
    <s v="CIVIL"/>
    <d v="2023-06-22T00:00:00"/>
    <d v="2023-07-03T19:01:49"/>
    <m/>
    <d v="2023-07-03T00:00:00"/>
    <n v="270"/>
    <n v="891"/>
    <s v="7431730"/>
    <s v="7431730"/>
    <m/>
    <m/>
    <n v="22747114"/>
    <m/>
    <m/>
    <m/>
    <s v="SOLFIN"/>
    <s v="SOLFIN"/>
    <s v="CCMS"/>
    <n v="21318708"/>
    <n v="22428.48"/>
    <m/>
    <s v="N"/>
    <n v="15"/>
    <d v="2023-07-03T19:02:01"/>
    <s v="Y"/>
    <s v="Preparation - other"/>
    <s v="Prescribed Hourly Rates"/>
    <s v="Profit Cost"/>
    <s v="PM"/>
    <s v="Y"/>
    <n v="32.45"/>
    <n v="6.49"/>
    <x v="3"/>
    <s v="VALIDATED"/>
    <n v="1"/>
    <s v="01.11.80.307.6100.0000"/>
    <n v="32.45"/>
    <s v="11"/>
    <s v="6100"/>
    <n v="49509.54"/>
    <n v="32.45"/>
    <s v="CREDITOR"/>
    <n v="0"/>
    <n v="0"/>
    <n v="0"/>
    <n v="0"/>
    <n v="32.45"/>
  </r>
  <r>
    <n v="7431730"/>
    <s v="N"/>
    <n v="21318708"/>
    <s v="3000003621200005"/>
    <s v="CIVIL"/>
    <d v="2023-06-22T00:00:00"/>
    <d v="2023-07-03T19:01:49"/>
    <m/>
    <d v="2023-07-03T00:00:00"/>
    <n v="270"/>
    <n v="891"/>
    <s v="7431730"/>
    <s v="7431730"/>
    <m/>
    <m/>
    <n v="22747114"/>
    <m/>
    <m/>
    <m/>
    <s v="SOLFIN"/>
    <s v="SOLFIN"/>
    <s v="CCMS"/>
    <n v="21318708"/>
    <n v="22428.48"/>
    <m/>
    <s v="N"/>
    <n v="23"/>
    <d v="2023-07-03T19:02:01"/>
    <s v="Y"/>
    <s v="Preparation - other"/>
    <s v="Prescribed Hourly Rates"/>
    <s v="Profit Cost"/>
    <s v="PM"/>
    <s v="Y"/>
    <n v="405.72"/>
    <n v="81.14"/>
    <x v="3"/>
    <s v="VALIDATED"/>
    <n v="1"/>
    <s v="01.11.80.307.6100.0000"/>
    <n v="405.72"/>
    <s v="11"/>
    <s v="6100"/>
    <n v="49509.54"/>
    <n v="405.72"/>
    <s v="CREDITOR"/>
    <n v="0"/>
    <n v="0"/>
    <n v="0"/>
    <n v="0"/>
    <n v="405.72"/>
  </r>
  <r>
    <n v="7431730"/>
    <s v="N"/>
    <n v="21318708"/>
    <s v="3000003621200005"/>
    <s v="CIVIL"/>
    <d v="2023-06-22T00:00:00"/>
    <d v="2023-07-03T19:01:49"/>
    <m/>
    <d v="2023-07-03T00:00:00"/>
    <n v="270"/>
    <n v="891"/>
    <s v="7431730"/>
    <s v="7431730"/>
    <m/>
    <m/>
    <n v="22747114"/>
    <m/>
    <m/>
    <m/>
    <s v="SOLFIN"/>
    <s v="SOLFIN"/>
    <s v="CCMS"/>
    <n v="21318708"/>
    <n v="22428.48"/>
    <m/>
    <s v="N"/>
    <n v="114"/>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48"/>
    <d v="2023-07-03T19:02:01"/>
    <s v="Y"/>
    <s v="Attendance upon client"/>
    <s v="Prescribed Hourly Rates"/>
    <s v="Profit Cost"/>
    <s v="PM"/>
    <s v="Y"/>
    <n v="32.45"/>
    <n v="6.49"/>
    <x v="3"/>
    <s v="VALIDATED"/>
    <n v="1"/>
    <s v="01.11.80.307.6100.0000"/>
    <n v="32.45"/>
    <s v="11"/>
    <s v="6100"/>
    <n v="49509.54"/>
    <n v="32.45"/>
    <s v="CREDITOR"/>
    <n v="0"/>
    <n v="0"/>
    <n v="0"/>
    <n v="0"/>
    <n v="32.45"/>
  </r>
  <r>
    <n v="61936660"/>
    <s v="N"/>
    <n v="21323806"/>
    <s v="3000015989010003"/>
    <s v="CIVIL"/>
    <d v="2023-06-30T00:00:00"/>
    <d v="2023-07-03T19:05:56"/>
    <m/>
    <d v="2023-07-03T00:00:00"/>
    <n v="270"/>
    <n v="891"/>
    <s v="61936660"/>
    <s v="61936660"/>
    <m/>
    <m/>
    <n v="22797218"/>
    <m/>
    <m/>
    <m/>
    <s v="SOLPOA"/>
    <s v="SOLPOA"/>
    <s v="CCMS"/>
    <n v="21323806"/>
    <n v="2112.65"/>
    <m/>
    <s v="N"/>
    <n v="1"/>
    <d v="2023-07-03T19:05:59"/>
    <s v="N"/>
    <s v="Expert Cost"/>
    <s v="Expert Cost"/>
    <s v="Expert Disbursement"/>
    <s v="kelly rodd"/>
    <s v="N"/>
    <n v="1760.54"/>
    <n v="352.11"/>
    <x v="3"/>
    <s v="VALIDATED"/>
    <n v="1"/>
    <s v="01.11.80.308.2012.0000"/>
    <n v="1760.54"/>
    <s v="11"/>
    <s v="2012"/>
    <n v="49509.54"/>
    <n v="1760.54"/>
    <s v="CREDITOR"/>
    <n v="1760.54"/>
    <n v="0"/>
    <n v="0"/>
    <n v="0"/>
    <n v="0"/>
  </r>
  <r>
    <n v="60325701"/>
    <s v="N"/>
    <n v="21318301"/>
    <s v="3000014625530008"/>
    <s v="CIVIL"/>
    <d v="2023-06-22T00:00:00"/>
    <d v="2023-07-03T19:01:49"/>
    <m/>
    <d v="2023-07-03T00:00:00"/>
    <n v="270"/>
    <n v="891"/>
    <s v="60325701"/>
    <s v="60325701"/>
    <m/>
    <m/>
    <n v="22742148"/>
    <m/>
    <m/>
    <m/>
    <s v="SOLFIN"/>
    <s v="SOLFIN"/>
    <s v="CCMS"/>
    <n v="21318301"/>
    <n v="9824.93"/>
    <m/>
    <s v="N"/>
    <n v="40"/>
    <d v="2023-07-03T19:01:53"/>
    <s v="Y"/>
    <s v="Solicitors Fixed Fee"/>
    <s v="Public Law Children"/>
    <s v="Profit Cost"/>
    <s v="Penelope Moult"/>
    <s v="Y"/>
    <n v="2013"/>
    <n v="402.6"/>
    <x v="3"/>
    <s v="VALIDATED"/>
    <n v="1"/>
    <s v="01.11.80.308.6100.0000"/>
    <n v="2013"/>
    <s v="11"/>
    <s v="6100"/>
    <n v="49509.54"/>
    <n v="2013"/>
    <s v="CREDITOR"/>
    <n v="0"/>
    <n v="0"/>
    <n v="0"/>
    <n v="0"/>
    <n v="2013"/>
  </r>
  <r>
    <n v="61525749"/>
    <s v="N"/>
    <n v="21323616"/>
    <s v="3000015645720006"/>
    <s v="CIVIL"/>
    <d v="2023-06-30T00:00:00"/>
    <d v="2023-07-03T19:05:56"/>
    <m/>
    <d v="2023-07-03T00:00:00"/>
    <n v="270"/>
    <n v="891"/>
    <s v="61525749"/>
    <s v="61525749"/>
    <m/>
    <m/>
    <n v="22797424"/>
    <m/>
    <m/>
    <m/>
    <s v="SOLPOA"/>
    <s v="SOLPOA"/>
    <s v="CCMS"/>
    <n v="21323616"/>
    <n v="1972.4"/>
    <m/>
    <s v="N"/>
    <n v="1"/>
    <d v="2023-07-03T19:05:58"/>
    <s v="N"/>
    <s v="Expert Cost"/>
    <s v="Expert Cost"/>
    <s v="Expert Disbursement"/>
    <s v="kelly rodd"/>
    <s v="N"/>
    <n v="1643.67"/>
    <n v="328.73"/>
    <x v="3"/>
    <s v="VALIDATED"/>
    <n v="1"/>
    <s v="01.11.80.308.2012.0000"/>
    <n v="1643.67"/>
    <s v="11"/>
    <s v="2012"/>
    <n v="49509.54"/>
    <n v="1643.67"/>
    <s v="CREDITOR"/>
    <n v="1643.67"/>
    <n v="0"/>
    <n v="0"/>
    <n v="0"/>
    <n v="0"/>
  </r>
  <r>
    <n v="60325701"/>
    <s v="N"/>
    <n v="21318301"/>
    <s v="3000014625530008"/>
    <s v="CIVIL"/>
    <d v="2023-06-22T00:00:00"/>
    <d v="2023-07-03T19:01:49"/>
    <m/>
    <d v="2023-07-03T00:00:00"/>
    <n v="270"/>
    <n v="891"/>
    <s v="60325701"/>
    <s v="60325701"/>
    <m/>
    <m/>
    <n v="22742148"/>
    <m/>
    <m/>
    <m/>
    <s v="SOLFIN"/>
    <s v="SOLFIN"/>
    <s v="CCMS"/>
    <n v="21318301"/>
    <n v="9824.93"/>
    <m/>
    <s v="N"/>
    <n v="18"/>
    <d v="2023-07-03T19:01:53"/>
    <s v="Y"/>
    <s v="Solicitor Travel Expenses"/>
    <s v="Public Law Children"/>
    <s v="Non Expert Disbursement"/>
    <s v="pm"/>
    <s v="Y"/>
    <n v="5.7"/>
    <n v="1.14"/>
    <x v="3"/>
    <s v="VALIDATED"/>
    <n v="1"/>
    <s v="01.11.80.308.6300.0000"/>
    <n v="5.7"/>
    <s v="11"/>
    <s v="6300"/>
    <n v="49509.54"/>
    <n v="5.7"/>
    <s v="CREDITOR"/>
    <n v="0"/>
    <n v="0"/>
    <n v="0"/>
    <n v="0"/>
    <n v="5.7"/>
  </r>
  <r>
    <n v="7431730"/>
    <s v="N"/>
    <n v="21318708"/>
    <s v="3000003621200005"/>
    <s v="CIVIL"/>
    <d v="2023-06-22T00:00:00"/>
    <d v="2023-07-03T19:01:49"/>
    <m/>
    <d v="2023-07-03T00:00:00"/>
    <n v="270"/>
    <n v="891"/>
    <s v="7431730"/>
    <s v="7431730"/>
    <m/>
    <m/>
    <n v="22747114"/>
    <m/>
    <m/>
    <m/>
    <s v="SOLFIN"/>
    <s v="SOLFIN"/>
    <s v="CCMS"/>
    <n v="21318708"/>
    <n v="22428.48"/>
    <m/>
    <s v="N"/>
    <n v="58"/>
    <d v="2023-07-03T19:02:01"/>
    <s v="Y"/>
    <s v="Preparation - other"/>
    <s v="Prescribed Hourly Rates"/>
    <s v="Profit Cost"/>
    <s v="PM"/>
    <s v="Y"/>
    <n v="32.45"/>
    <n v="6.49"/>
    <x v="3"/>
    <s v="VALIDATED"/>
    <n v="1"/>
    <s v="01.11.80.307.6100.0000"/>
    <n v="32.45"/>
    <s v="11"/>
    <s v="6100"/>
    <n v="49509.54"/>
    <n v="32.45"/>
    <s v="CREDITOR"/>
    <n v="0"/>
    <n v="0"/>
    <n v="0"/>
    <n v="0"/>
    <n v="32.45"/>
  </r>
  <r>
    <n v="7431730"/>
    <s v="N"/>
    <n v="21318708"/>
    <s v="3000003621200005"/>
    <s v="CIVIL"/>
    <d v="2023-06-22T00:00:00"/>
    <d v="2023-07-03T19:01:49"/>
    <m/>
    <d v="2023-07-03T00:00:00"/>
    <n v="270"/>
    <n v="891"/>
    <s v="7431730"/>
    <s v="7431730"/>
    <m/>
    <m/>
    <n v="22747114"/>
    <m/>
    <m/>
    <m/>
    <s v="SOLFIN"/>
    <s v="SOLFIN"/>
    <s v="CCMS"/>
    <n v="21318708"/>
    <n v="22428.48"/>
    <m/>
    <s v="N"/>
    <n v="3"/>
    <d v="2023-07-03T19:02:01"/>
    <s v="N"/>
    <s v="Solicitor Travel Mileage"/>
    <s v="Prescribed Hourly Rates"/>
    <s v="Non Expert Disbursement"/>
    <s v="PEM"/>
    <s v="N"/>
    <n v="13.5"/>
    <n v="0"/>
    <x v="3"/>
    <s v="VALIDATED"/>
    <n v="1"/>
    <s v="01.11.80.307.6300.0000"/>
    <n v="13.5"/>
    <s v="11"/>
    <s v="6300"/>
    <n v="49509.54"/>
    <n v="13.5"/>
    <s v="CREDITOR"/>
    <n v="0"/>
    <n v="0"/>
    <n v="0"/>
    <n v="0"/>
    <n v="13.5"/>
  </r>
  <r>
    <n v="7431730"/>
    <s v="N"/>
    <n v="21318708"/>
    <s v="3000003621200005"/>
    <s v="CIVIL"/>
    <d v="2023-06-22T00:00:00"/>
    <d v="2023-07-03T19:01:49"/>
    <m/>
    <d v="2023-07-03T00:00:00"/>
    <n v="270"/>
    <n v="891"/>
    <s v="7431730"/>
    <s v="7431730"/>
    <m/>
    <m/>
    <n v="22747114"/>
    <m/>
    <m/>
    <m/>
    <s v="SOLFIN"/>
    <s v="SOLFIN"/>
    <s v="CCMS"/>
    <n v="21318708"/>
    <n v="22428.48"/>
    <m/>
    <s v="N"/>
    <n v="103"/>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7431730"/>
    <s v="N"/>
    <n v="21318708"/>
    <s v="3000003621200005"/>
    <s v="CIVIL"/>
    <d v="2023-06-22T00:00:00"/>
    <d v="2023-07-03T19:01:49"/>
    <m/>
    <d v="2023-07-03T00:00:00"/>
    <n v="270"/>
    <n v="891"/>
    <s v="7431730"/>
    <s v="7431730"/>
    <m/>
    <m/>
    <n v="22747114"/>
    <m/>
    <m/>
    <m/>
    <s v="SOLFIN"/>
    <s v="SOLFIN"/>
    <s v="CCMS"/>
    <n v="21318708"/>
    <n v="22428.48"/>
    <m/>
    <s v="N"/>
    <n v="110"/>
    <d v="2023-07-03T19:02:01"/>
    <s v="Y"/>
    <s v="Preparation - other"/>
    <s v="Prescribed Hourly Rates"/>
    <s v="Profit Cost"/>
    <s v="PM"/>
    <s v="Y"/>
    <n v="16.23"/>
    <n v="3.25"/>
    <x v="3"/>
    <s v="VALIDATED"/>
    <n v="1"/>
    <s v="01.11.80.307.6100.0000"/>
    <n v="16.23"/>
    <s v="11"/>
    <s v="6100"/>
    <n v="49509.54"/>
    <n v="16.23"/>
    <s v="CREDITOR"/>
    <n v="0"/>
    <n v="0"/>
    <n v="0"/>
    <n v="0"/>
    <n v="16.23"/>
  </r>
  <r>
    <n v="42259627"/>
    <s v="N"/>
    <n v="21331008"/>
    <s v="3000011285920006"/>
    <s v="CIVIL"/>
    <d v="2023-06-23T00:00:00"/>
    <d v="2023-07-05T19:01:47"/>
    <m/>
    <d v="2023-07-05T00:00:00"/>
    <n v="270"/>
    <n v="891"/>
    <s v="42259627"/>
    <s v="42259627"/>
    <m/>
    <m/>
    <n v="22756168"/>
    <m/>
    <m/>
    <m/>
    <s v="SOLFIN"/>
    <s v="SOLFIN"/>
    <s v="CCMS"/>
    <n v="21331008"/>
    <n v="11329.24"/>
    <m/>
    <s v="N"/>
    <n v="8"/>
    <d v="2023-07-05T19:02:01"/>
    <s v="Y"/>
    <s v="Solicitor Travel Mileage"/>
    <s v="Public Law Children"/>
    <s v="Non Expert Disbursement"/>
    <s v="Maria Orme"/>
    <s v="Y"/>
    <n v="27"/>
    <n v="5.4"/>
    <x v="6"/>
    <s v="VALIDATED"/>
    <n v="1"/>
    <s v="01.11.80.308.6300.0000"/>
    <n v="27"/>
    <s v="11"/>
    <s v="6300"/>
    <n v="49509.54"/>
    <n v="27"/>
    <s v="CREDITOR"/>
    <n v="0"/>
    <n v="0"/>
    <n v="0"/>
    <n v="0"/>
    <n v="27"/>
  </r>
  <r>
    <n v="40144488"/>
    <s v="N"/>
    <n v="21320163"/>
    <s v="3000010767640023"/>
    <s v="CIVIL"/>
    <d v="2023-06-27T00:00:00"/>
    <d v="2023-07-03T19:04:24"/>
    <m/>
    <d v="2023-07-03T00:00:00"/>
    <n v="270"/>
    <n v="891"/>
    <s v="40144488"/>
    <s v="40144488"/>
    <m/>
    <m/>
    <n v="22774946"/>
    <m/>
    <m/>
    <m/>
    <s v="SOLFIN"/>
    <s v="SOLFIN"/>
    <s v="CCMS"/>
    <n v="21320163"/>
    <n v="27986.95"/>
    <m/>
    <s v="N"/>
    <n v="10"/>
    <d v="2023-07-03T19:04:29"/>
    <s v="Y"/>
    <s v="Toxicologist"/>
    <s v="VHCC"/>
    <s v="Expert Disbursement"/>
    <s v="Dinuka Sivaneswaran"/>
    <s v="Y"/>
    <n v="158"/>
    <n v="31.6"/>
    <x v="3"/>
    <s v="VALIDATED"/>
    <n v="1"/>
    <s v="01.11.80.308.6300.0000"/>
    <n v="158"/>
    <s v="11"/>
    <s v="6300"/>
    <n v="49509.54"/>
    <n v="158"/>
    <s v="CREDITOR"/>
    <n v="0"/>
    <n v="0"/>
    <n v="0"/>
    <n v="0"/>
    <n v="158"/>
  </r>
  <r>
    <n v="7431730"/>
    <s v="N"/>
    <n v="21318708"/>
    <s v="3000003621200005"/>
    <s v="CIVIL"/>
    <d v="2023-06-22T00:00:00"/>
    <d v="2023-07-03T19:01:49"/>
    <m/>
    <d v="2023-07-03T00:00:00"/>
    <n v="270"/>
    <n v="891"/>
    <s v="7431730"/>
    <s v="7431730"/>
    <m/>
    <m/>
    <n v="22747114"/>
    <m/>
    <m/>
    <m/>
    <s v="SOLFIN"/>
    <s v="SOLFIN"/>
    <s v="CCMS"/>
    <n v="21318708"/>
    <n v="22428.48"/>
    <m/>
    <s v="N"/>
    <n v="68"/>
    <d v="2023-07-03T19:02:01"/>
    <s v="Y"/>
    <s v="Advocacy - Directions Hearing"/>
    <s v="Prescribed Hourly Rates"/>
    <s v="Advocacy"/>
    <s v="PM"/>
    <s v="Y"/>
    <n v="194.74"/>
    <n v="38.95"/>
    <x v="3"/>
    <s v="VALIDATED"/>
    <n v="1"/>
    <s v="01.11.80.307.6100.0000"/>
    <n v="194.74"/>
    <s v="11"/>
    <s v="6100"/>
    <n v="49509.54"/>
    <n v="194.74"/>
    <s v="CREDITOR"/>
    <n v="0"/>
    <n v="0"/>
    <n v="0"/>
    <n v="0"/>
    <n v="194.74"/>
  </r>
  <r>
    <n v="7431730"/>
    <s v="N"/>
    <n v="21318708"/>
    <s v="3000003621200005"/>
    <s v="CIVIL"/>
    <d v="2023-06-22T00:00:00"/>
    <d v="2023-07-03T19:01:49"/>
    <m/>
    <d v="2023-07-03T00:00:00"/>
    <n v="270"/>
    <n v="891"/>
    <s v="7431730"/>
    <s v="7431730"/>
    <m/>
    <m/>
    <n v="22747114"/>
    <m/>
    <m/>
    <m/>
    <s v="SOLFIN"/>
    <s v="SOLFIN"/>
    <s v="CCMS"/>
    <n v="21318708"/>
    <n v="22428.48"/>
    <m/>
    <s v="N"/>
    <n v="53"/>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60485628"/>
    <s v="N"/>
    <n v="21369638"/>
    <s v="3000014763550002"/>
    <s v="CIVIL"/>
    <d v="2023-06-19T00:00:00"/>
    <d v="2023-07-13T19:21:05"/>
    <m/>
    <d v="2023-07-13T00:00:00"/>
    <n v="270"/>
    <n v="891"/>
    <s v="60485628"/>
    <s v="60485628"/>
    <m/>
    <m/>
    <n v="22711824"/>
    <m/>
    <m/>
    <m/>
    <s v="SOLFIN"/>
    <s v="SOLFIN"/>
    <s v="CCMS"/>
    <n v="21369638"/>
    <n v="1641.88"/>
    <m/>
    <s v="N"/>
    <n v="2"/>
    <d v="2023-07-13T19:21:08"/>
    <s v="Y"/>
    <s v="Attendance upon client"/>
    <s v="Prescribed Hourly Rates"/>
    <s v="Profit Cost"/>
    <s v="Penelope Moult"/>
    <s v="Y"/>
    <n v="27.32"/>
    <n v="5.46"/>
    <x v="11"/>
    <s v="VALIDATED"/>
    <n v="1"/>
    <s v="01.11.80.307.6100.0000"/>
    <n v="27.32"/>
    <s v="11"/>
    <s v="6100"/>
    <n v="49509.54"/>
    <n v="27.32"/>
    <s v="CREDITOR"/>
    <n v="0"/>
    <n v="0"/>
    <n v="0"/>
    <n v="0"/>
    <n v="27.32"/>
  </r>
  <r>
    <n v="60325701"/>
    <s v="N"/>
    <n v="21318301"/>
    <s v="3000014625530008"/>
    <s v="CIVIL"/>
    <d v="2023-06-22T00:00:00"/>
    <d v="2023-07-03T19:01:49"/>
    <m/>
    <d v="2023-07-03T00:00:00"/>
    <n v="270"/>
    <n v="891"/>
    <s v="60325701"/>
    <s v="60325701"/>
    <m/>
    <m/>
    <n v="22742148"/>
    <m/>
    <m/>
    <m/>
    <s v="SOLFIN"/>
    <s v="SOLFIN"/>
    <s v="CCMS"/>
    <n v="21318301"/>
    <n v="9824.93"/>
    <m/>
    <s v="N"/>
    <n v="15"/>
    <d v="2023-07-03T19:01:53"/>
    <s v="Y"/>
    <s v="Psychologist"/>
    <s v="Public Law Children"/>
    <s v="Expert Disbursement"/>
    <s v="Penelope Moult"/>
    <s v="Y"/>
    <n v="312.6"/>
    <n v="62.52"/>
    <x v="3"/>
    <s v="VALIDATED"/>
    <n v="1"/>
    <s v="01.11.80.308.6300.0000"/>
    <n v="312.6"/>
    <s v="11"/>
    <s v="6300"/>
    <n v="49509.54"/>
    <n v="312.6"/>
    <s v="CREDITOR"/>
    <n v="0"/>
    <n v="0"/>
    <n v="0"/>
    <n v="0"/>
    <n v="312.6"/>
  </r>
  <r>
    <n v="60485628"/>
    <s v="N"/>
    <n v="21369638"/>
    <s v="3000014763550002"/>
    <s v="CIVIL"/>
    <d v="2023-06-19T00:00:00"/>
    <d v="2023-07-13T19:21:05"/>
    <m/>
    <d v="2023-07-13T00:00:00"/>
    <n v="270"/>
    <n v="891"/>
    <s v="60485628"/>
    <s v="60485628"/>
    <m/>
    <m/>
    <n v="22711824"/>
    <m/>
    <m/>
    <m/>
    <s v="SOLFIN"/>
    <s v="SOLFIN"/>
    <s v="CCMS"/>
    <n v="21369638"/>
    <n v="1641.88"/>
    <m/>
    <s v="N"/>
    <n v="1"/>
    <d v="2023-07-13T19:21:08"/>
    <s v="Y"/>
    <s v="Preparation - other"/>
    <s v="Prescribed Hourly Rates"/>
    <s v="Profit Cost"/>
    <s v="Penelope Moult"/>
    <s v="Y"/>
    <n v="68.31"/>
    <n v="13.66"/>
    <x v="11"/>
    <s v="VALIDATED"/>
    <n v="1"/>
    <s v="01.11.80.307.6100.0000"/>
    <n v="68.31"/>
    <s v="11"/>
    <s v="6100"/>
    <n v="49509.54"/>
    <n v="68.31"/>
    <s v="CREDITOR"/>
    <n v="0"/>
    <n v="0"/>
    <n v="0"/>
    <n v="0"/>
    <n v="68.31"/>
  </r>
  <r>
    <n v="42259627"/>
    <s v="N"/>
    <n v="21331008"/>
    <s v="3000011285920006"/>
    <s v="CIVIL"/>
    <d v="2023-06-23T00:00:00"/>
    <d v="2023-07-05T19:01:47"/>
    <m/>
    <d v="2023-07-05T00:00:00"/>
    <n v="270"/>
    <n v="891"/>
    <s v="42259627"/>
    <s v="42259627"/>
    <m/>
    <m/>
    <n v="22756168"/>
    <m/>
    <m/>
    <m/>
    <s v="SOLFIN"/>
    <s v="SOLFIN"/>
    <s v="CCMS"/>
    <n v="21331008"/>
    <n v="11329.24"/>
    <m/>
    <s v="N"/>
    <n v="15"/>
    <d v="2023-07-05T19:02:01"/>
    <s v="Y"/>
    <s v="Hearing Unit 2.31 - 5.00 Hours"/>
    <s v="Public Law Children"/>
    <s v="Advocacy"/>
    <s v="Maria Orme"/>
    <s v="Y"/>
    <n v="476.92"/>
    <n v="95.38"/>
    <x v="6"/>
    <s v="VALIDATED"/>
    <n v="1"/>
    <s v="01.11.80.308.6100.0000"/>
    <n v="476.92"/>
    <s v="11"/>
    <s v="6100"/>
    <n v="49509.54"/>
    <n v="476.92"/>
    <s v="CREDITOR"/>
    <n v="0"/>
    <n v="0"/>
    <n v="0"/>
    <n v="0"/>
    <n v="476.92"/>
  </r>
  <r>
    <n v="40144488"/>
    <s v="N"/>
    <n v="21320163"/>
    <s v="3000010767640023"/>
    <s v="CIVIL"/>
    <d v="2023-06-27T00:00:00"/>
    <d v="2023-07-03T19:04:24"/>
    <m/>
    <d v="2023-07-03T00:00:00"/>
    <n v="270"/>
    <n v="891"/>
    <s v="40144488"/>
    <s v="40144488"/>
    <m/>
    <m/>
    <n v="22774946"/>
    <m/>
    <m/>
    <m/>
    <s v="SOLFIN"/>
    <s v="SOLFIN"/>
    <s v="CCMS"/>
    <n v="21320163"/>
    <n v="27986.95"/>
    <m/>
    <s v="N"/>
    <n v="1"/>
    <d v="2023-07-03T19:04:29"/>
    <s v="Y"/>
    <s v="Psychiatrist"/>
    <s v="VHCC"/>
    <s v="Expert Disbursement"/>
    <s v="Dinuka Sivaneswaran"/>
    <s v="Y"/>
    <n v="75.59999999999999"/>
    <n v="15.12"/>
    <x v="3"/>
    <s v="VALIDATED"/>
    <n v="1"/>
    <s v="01.11.80.308.6300.0000"/>
    <n v="75.59999999999999"/>
    <s v="11"/>
    <s v="6300"/>
    <n v="49509.54"/>
    <n v="75.59999999999999"/>
    <s v="CREDITOR"/>
    <n v="0"/>
    <n v="0"/>
    <n v="0"/>
    <n v="0"/>
    <n v="75.59999999999999"/>
  </r>
  <r>
    <n v="7431730"/>
    <s v="N"/>
    <n v="21318708"/>
    <s v="3000003621200005"/>
    <s v="CIVIL"/>
    <d v="2023-06-22T00:00:00"/>
    <d v="2023-07-03T19:01:49"/>
    <m/>
    <d v="2023-07-03T00:00:00"/>
    <n v="270"/>
    <n v="891"/>
    <s v="7431730"/>
    <s v="7431730"/>
    <m/>
    <m/>
    <n v="22747114"/>
    <m/>
    <m/>
    <m/>
    <s v="SOLFIN"/>
    <s v="SOLFIN"/>
    <s v="CCMS"/>
    <n v="21318708"/>
    <n v="22428.48"/>
    <m/>
    <s v="N"/>
    <n v="91"/>
    <d v="2023-07-03T19:02:01"/>
    <s v="Y"/>
    <s v="Attendance upon client"/>
    <s v="Prescribed Hourly Rates"/>
    <s v="Profit Cost"/>
    <s v="PM"/>
    <s v="Y"/>
    <n v="32.45"/>
    <n v="6.49"/>
    <x v="3"/>
    <s v="VALIDATED"/>
    <n v="1"/>
    <s v="01.11.80.307.6100.0000"/>
    <n v="32.45"/>
    <s v="11"/>
    <s v="6100"/>
    <n v="49509.54"/>
    <n v="32.45"/>
    <s v="CREDITOR"/>
    <n v="0"/>
    <n v="0"/>
    <n v="0"/>
    <n v="0"/>
    <n v="32.45"/>
  </r>
  <r>
    <n v="60325701"/>
    <s v="N"/>
    <n v="21318301"/>
    <s v="3000014625530008"/>
    <s v="CIVIL"/>
    <d v="2023-06-22T00:00:00"/>
    <d v="2023-07-03T19:01:49"/>
    <m/>
    <d v="2023-07-03T00:00:00"/>
    <n v="270"/>
    <n v="891"/>
    <s v="60325701"/>
    <s v="60325701"/>
    <m/>
    <m/>
    <n v="22742148"/>
    <m/>
    <m/>
    <m/>
    <s v="SOLFIN"/>
    <s v="SOLFIN"/>
    <s v="CCMS"/>
    <n v="21318301"/>
    <n v="9824.93"/>
    <m/>
    <s v="N"/>
    <n v="5"/>
    <d v="2023-07-03T19:01:53"/>
    <s v="Y"/>
    <s v="Exceptional Travel"/>
    <s v="Public Law Children"/>
    <s v="Advocacy"/>
    <s v="Penelope Moult"/>
    <s v="Y"/>
    <n v="32.04"/>
    <n v="6.41"/>
    <x v="3"/>
    <s v="VALIDATED"/>
    <n v="1"/>
    <s v="01.11.80.308.6100.0000"/>
    <n v="32.04"/>
    <s v="11"/>
    <s v="6100"/>
    <n v="49509.54"/>
    <n v="32.04"/>
    <s v="CREDITOR"/>
    <n v="0"/>
    <n v="0"/>
    <n v="0"/>
    <n v="0"/>
    <n v="32.04"/>
  </r>
  <r>
    <n v="60325701"/>
    <s v="N"/>
    <n v="21318301"/>
    <s v="3000014625530008"/>
    <s v="CIVIL"/>
    <d v="2023-06-22T00:00:00"/>
    <d v="2023-07-03T19:01:49"/>
    <m/>
    <d v="2023-07-03T00:00:00"/>
    <n v="270"/>
    <n v="891"/>
    <s v="60325701"/>
    <s v="60325701"/>
    <m/>
    <m/>
    <n v="22742148"/>
    <m/>
    <m/>
    <m/>
    <s v="SOLFIN"/>
    <s v="SOLFIN"/>
    <s v="CCMS"/>
    <n v="21318301"/>
    <n v="9824.93"/>
    <m/>
    <s v="N"/>
    <n v="16"/>
    <d v="2023-07-03T19:01:53"/>
    <s v="Y"/>
    <s v="Solicitor Travel Mileage"/>
    <s v="Public Law Children"/>
    <s v="Non Expert Disbursement"/>
    <s v="pm"/>
    <s v="Y"/>
    <n v="27"/>
    <n v="5.4"/>
    <x v="3"/>
    <s v="VALIDATED"/>
    <n v="1"/>
    <s v="01.11.80.308.6300.0000"/>
    <n v="27"/>
    <s v="11"/>
    <s v="6300"/>
    <n v="49509.54"/>
    <n v="27"/>
    <s v="CREDITOR"/>
    <n v="0"/>
    <n v="0"/>
    <n v="0"/>
    <n v="0"/>
    <n v="27"/>
  </r>
  <r>
    <n v="60485628"/>
    <s v="N"/>
    <n v="21369638"/>
    <s v="3000014763550002"/>
    <s v="CIVIL"/>
    <d v="2023-06-19T00:00:00"/>
    <d v="2023-07-13T19:21:05"/>
    <m/>
    <d v="2023-07-13T00:00:00"/>
    <n v="270"/>
    <n v="891"/>
    <s v="60485628"/>
    <s v="60485628"/>
    <m/>
    <m/>
    <n v="22711824"/>
    <m/>
    <m/>
    <m/>
    <s v="SOLFIN"/>
    <s v="SOLFIN"/>
    <s v="CCMS"/>
    <n v="21369638"/>
    <n v="1641.88"/>
    <m/>
    <s v="N"/>
    <n v="11"/>
    <d v="2023-07-13T19:21:08"/>
    <s v="Y"/>
    <s v="Routine Telephone Call"/>
    <s v="Prescribed Hourly Rates"/>
    <s v="Profit Cost"/>
    <s v="Penelope Moult"/>
    <s v="Y"/>
    <n v="62.1"/>
    <n v="12.42"/>
    <x v="11"/>
    <s v="VALIDATED"/>
    <n v="1"/>
    <s v="01.11.80.307.6100.0000"/>
    <n v="62.1"/>
    <s v="11"/>
    <s v="6100"/>
    <n v="49509.54"/>
    <n v="62.1"/>
    <s v="CREDITOR"/>
    <n v="0"/>
    <n v="0"/>
    <n v="0"/>
    <n v="0"/>
    <n v="62.1"/>
  </r>
  <r>
    <n v="60325701"/>
    <s v="N"/>
    <n v="21318301"/>
    <s v="3000014625530008"/>
    <s v="CIVIL"/>
    <d v="2023-06-22T00:00:00"/>
    <d v="2023-07-03T19:01:49"/>
    <m/>
    <d v="2023-07-03T00:00:00"/>
    <n v="270"/>
    <n v="891"/>
    <s v="60325701"/>
    <s v="60325701"/>
    <m/>
    <m/>
    <n v="22742148"/>
    <m/>
    <m/>
    <m/>
    <s v="SOLFIN"/>
    <s v="SOLFIN"/>
    <s v="CCMS"/>
    <n v="21318301"/>
    <n v="9824.93"/>
    <m/>
    <s v="N"/>
    <n v="26"/>
    <d v="2023-07-03T19:01:53"/>
    <s v="Y"/>
    <s v="Advocates Meeting"/>
    <s v="Public Law Children"/>
    <s v="Advocacy"/>
    <s v="Penelope Moult"/>
    <s v="Y"/>
    <n v="140.99"/>
    <n v="28.2"/>
    <x v="3"/>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86"/>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87"/>
    <d v="2023-07-03T19:02:01"/>
    <s v="Y"/>
    <s v="Preparation - other"/>
    <s v="Prescribed Hourly Rates"/>
    <s v="Profit Cost"/>
    <s v="PM"/>
    <s v="Y"/>
    <n v="81.14"/>
    <n v="16.23"/>
    <x v="3"/>
    <s v="VALIDATED"/>
    <n v="1"/>
    <s v="01.11.80.307.6100.0000"/>
    <n v="81.14"/>
    <s v="11"/>
    <s v="6100"/>
    <n v="49509.54"/>
    <n v="81.14"/>
    <s v="CREDITOR"/>
    <n v="0"/>
    <n v="0"/>
    <n v="0"/>
    <n v="0"/>
    <n v="81.14"/>
  </r>
  <r>
    <n v="7431730"/>
    <s v="N"/>
    <n v="21318708"/>
    <s v="3000003621200005"/>
    <s v="CIVIL"/>
    <d v="2023-06-22T00:00:00"/>
    <d v="2023-07-03T19:01:49"/>
    <m/>
    <d v="2023-07-03T00:00:00"/>
    <n v="270"/>
    <n v="891"/>
    <s v="7431730"/>
    <s v="7431730"/>
    <m/>
    <m/>
    <n v="22747114"/>
    <m/>
    <m/>
    <m/>
    <s v="SOLFIN"/>
    <s v="SOLFIN"/>
    <s v="CCMS"/>
    <n v="21318708"/>
    <n v="22428.48"/>
    <m/>
    <s v="N"/>
    <n v="8"/>
    <d v="2023-07-03T19:02:01"/>
    <s v="N"/>
    <s v="Solicitor Travel Mileage"/>
    <s v="Prescribed Hourly Rates"/>
    <s v="Non Expert Disbursement"/>
    <s v="PEM"/>
    <s v="N"/>
    <n v="27"/>
    <n v="0"/>
    <x v="3"/>
    <s v="VALIDATED"/>
    <n v="1"/>
    <s v="01.11.80.307.6300.0000"/>
    <n v="27"/>
    <s v="11"/>
    <s v="6300"/>
    <n v="49509.54"/>
    <n v="27"/>
    <s v="CREDITOR"/>
    <n v="0"/>
    <n v="0"/>
    <n v="0"/>
    <n v="0"/>
    <n v="27"/>
  </r>
  <r>
    <n v="7431730"/>
    <s v="N"/>
    <n v="21318708"/>
    <s v="3000003621200005"/>
    <s v="CIVIL"/>
    <d v="2023-06-22T00:00:00"/>
    <d v="2023-07-03T19:01:49"/>
    <m/>
    <d v="2023-07-03T00:00:00"/>
    <n v="270"/>
    <n v="891"/>
    <s v="7431730"/>
    <s v="7431730"/>
    <m/>
    <m/>
    <n v="22747114"/>
    <m/>
    <m/>
    <m/>
    <s v="SOLFIN"/>
    <s v="SOLFIN"/>
    <s v="CCMS"/>
    <n v="21318708"/>
    <n v="22428.48"/>
    <m/>
    <s v="N"/>
    <n v="107"/>
    <d v="2023-07-03T19:02:01"/>
    <s v="Y"/>
    <s v="Preparation - other"/>
    <s v="Prescribed Hourly Rates"/>
    <s v="Profit Cost"/>
    <s v="PM"/>
    <s v="Y"/>
    <n v="600.46"/>
    <n v="120.09"/>
    <x v="3"/>
    <s v="VALIDATED"/>
    <n v="1"/>
    <s v="01.11.80.307.6100.0000"/>
    <n v="600.46"/>
    <s v="11"/>
    <s v="6100"/>
    <n v="49509.54"/>
    <n v="600.46"/>
    <s v="CREDITOR"/>
    <n v="0"/>
    <n v="0"/>
    <n v="0"/>
    <n v="0"/>
    <n v="600.46"/>
  </r>
  <r>
    <n v="42259627"/>
    <s v="N"/>
    <n v="21331008"/>
    <s v="3000011285920006"/>
    <s v="CIVIL"/>
    <d v="2023-06-23T00:00:00"/>
    <d v="2023-07-05T19:01:47"/>
    <m/>
    <d v="2023-07-05T00:00:00"/>
    <n v="270"/>
    <n v="891"/>
    <s v="42259627"/>
    <s v="42259627"/>
    <m/>
    <m/>
    <n v="22756168"/>
    <m/>
    <m/>
    <m/>
    <s v="SOLFIN"/>
    <s v="SOLFIN"/>
    <s v="CCMS"/>
    <n v="21331008"/>
    <n v="11329.24"/>
    <m/>
    <s v="N"/>
    <n v="4"/>
    <d v="2023-07-05T19:02:01"/>
    <s v="Y"/>
    <s v="Exceptional Travel"/>
    <s v="Public Law Children"/>
    <s v="Advocacy"/>
    <s v="Maria Orme"/>
    <s v="Y"/>
    <n v="32.04"/>
    <n v="6.41"/>
    <x v="6"/>
    <s v="VALIDATED"/>
    <n v="1"/>
    <s v="01.11.80.308.6100.0000"/>
    <n v="32.04"/>
    <s v="11"/>
    <s v="6100"/>
    <n v="49509.54"/>
    <n v="32.04"/>
    <s v="CREDITOR"/>
    <n v="0"/>
    <n v="0"/>
    <n v="0"/>
    <n v="0"/>
    <n v="32.04"/>
  </r>
  <r>
    <n v="42259627"/>
    <s v="N"/>
    <n v="21331008"/>
    <s v="3000011285920006"/>
    <s v="CIVIL"/>
    <d v="2023-06-23T00:00:00"/>
    <d v="2023-07-05T19:01:47"/>
    <m/>
    <d v="2023-07-05T00:00:00"/>
    <n v="270"/>
    <n v="891"/>
    <s v="42259627"/>
    <s v="42259627"/>
    <m/>
    <m/>
    <n v="22756168"/>
    <m/>
    <m/>
    <m/>
    <s v="SOLFIN"/>
    <s v="SOLFIN"/>
    <s v="CCMS"/>
    <n v="21331008"/>
    <n v="11329.24"/>
    <m/>
    <s v="N"/>
    <n v="10"/>
    <d v="2023-07-05T19:02:01"/>
    <s v="Y"/>
    <s v="Hearing Unit 2.31 - 5.00 Hours"/>
    <s v="Public Law Children"/>
    <s v="Advocacy"/>
    <s v="Maria Orme"/>
    <s v="Y"/>
    <n v="476.92"/>
    <n v="95.38"/>
    <x v="6"/>
    <s v="VALIDATED"/>
    <n v="1"/>
    <s v="01.11.80.308.6100.0000"/>
    <n v="476.92"/>
    <s v="11"/>
    <s v="6100"/>
    <n v="49509.54"/>
    <n v="476.92"/>
    <s v="CREDITOR"/>
    <n v="0"/>
    <n v="0"/>
    <n v="0"/>
    <n v="0"/>
    <n v="476.92"/>
  </r>
  <r>
    <n v="42259627"/>
    <s v="N"/>
    <n v="21331008"/>
    <s v="3000011285920006"/>
    <s v="CIVIL"/>
    <d v="2023-06-23T00:00:00"/>
    <d v="2023-07-05T19:01:47"/>
    <m/>
    <d v="2023-07-05T00:00:00"/>
    <n v="270"/>
    <n v="891"/>
    <s v="42259627"/>
    <s v="42259627"/>
    <m/>
    <m/>
    <n v="22756168"/>
    <m/>
    <m/>
    <m/>
    <s v="SOLFIN"/>
    <s v="SOLFIN"/>
    <s v="CCMS"/>
    <n v="21331008"/>
    <n v="11329.24"/>
    <m/>
    <s v="N"/>
    <n v="12"/>
    <d v="2023-07-05T19:02:01"/>
    <s v="Y"/>
    <s v="Advocates Meeting"/>
    <s v="Public Law Children"/>
    <s v="Advocacy"/>
    <s v="Maria Orme"/>
    <s v="Y"/>
    <n v="140.99"/>
    <n v="28.2"/>
    <x v="6"/>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71"/>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21"/>
    <d v="2023-07-03T19:02:01"/>
    <s v="Y"/>
    <s v="Preparation - other"/>
    <s v="Prescribed Hourly Rates"/>
    <s v="Profit Cost"/>
    <s v="PM"/>
    <s v="Y"/>
    <n v="73.03"/>
    <n v="14.61"/>
    <x v="3"/>
    <s v="VALIDATED"/>
    <n v="1"/>
    <s v="01.11.80.307.6100.0000"/>
    <n v="73.03"/>
    <s v="11"/>
    <s v="6100"/>
    <n v="49509.54"/>
    <n v="73.03"/>
    <s v="CREDITOR"/>
    <n v="0"/>
    <n v="0"/>
    <n v="0"/>
    <n v="0"/>
    <n v="73.03"/>
  </r>
  <r>
    <n v="7431730"/>
    <s v="N"/>
    <n v="21318708"/>
    <s v="3000003621200005"/>
    <s v="CIVIL"/>
    <d v="2023-06-22T00:00:00"/>
    <d v="2023-07-03T19:01:49"/>
    <m/>
    <d v="2023-07-03T00:00:00"/>
    <n v="270"/>
    <n v="891"/>
    <s v="7431730"/>
    <s v="7431730"/>
    <m/>
    <m/>
    <n v="22747114"/>
    <m/>
    <m/>
    <m/>
    <s v="SOLFIN"/>
    <s v="SOLFIN"/>
    <s v="CCMS"/>
    <n v="21318708"/>
    <n v="22428.48"/>
    <m/>
    <s v="N"/>
    <n v="120"/>
    <d v="2023-07-03T19:02:01"/>
    <s v="Y"/>
    <s v="Preparation - drafting consent orde"/>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41"/>
    <d v="2023-07-03T19:02:01"/>
    <s v="Y"/>
    <s v="Preparation - other"/>
    <s v="Prescribed Hourly Rates"/>
    <s v="Profit Cost"/>
    <s v="PM"/>
    <s v="Y"/>
    <n v="16.23"/>
    <n v="3.25"/>
    <x v="3"/>
    <s v="VALIDATED"/>
    <n v="1"/>
    <s v="01.11.80.307.6100.0000"/>
    <n v="16.23"/>
    <s v="11"/>
    <s v="6100"/>
    <n v="49509.54"/>
    <n v="16.23"/>
    <s v="CREDITOR"/>
    <n v="0"/>
    <n v="0"/>
    <n v="0"/>
    <n v="0"/>
    <n v="16.23"/>
  </r>
  <r>
    <n v="60325701"/>
    <s v="N"/>
    <n v="21318301"/>
    <s v="3000014625530008"/>
    <s v="CIVIL"/>
    <d v="2023-06-22T00:00:00"/>
    <d v="2023-07-03T19:01:49"/>
    <m/>
    <d v="2023-07-03T00:00:00"/>
    <n v="270"/>
    <n v="891"/>
    <s v="60325701"/>
    <s v="60325701"/>
    <m/>
    <m/>
    <n v="22742148"/>
    <m/>
    <m/>
    <m/>
    <s v="SOLFIN"/>
    <s v="SOLFIN"/>
    <s v="CCMS"/>
    <n v="21318301"/>
    <n v="9824.93"/>
    <m/>
    <s v="N"/>
    <n v="28"/>
    <d v="2023-07-03T19:01:53"/>
    <s v="Y"/>
    <s v="Advocates Meeting"/>
    <s v="Public Law Children"/>
    <s v="Advocacy"/>
    <s v="Penelope Moult"/>
    <s v="Y"/>
    <n v="140.99"/>
    <n v="28.2"/>
    <x v="3"/>
    <s v="VALIDATED"/>
    <n v="1"/>
    <s v="01.11.80.308.6100.0000"/>
    <n v="140.99"/>
    <s v="11"/>
    <s v="6100"/>
    <n v="49509.54"/>
    <n v="140.99"/>
    <s v="CREDITOR"/>
    <n v="0"/>
    <n v="0"/>
    <n v="0"/>
    <n v="0"/>
    <n v="140.99"/>
  </r>
  <r>
    <n v="60325701"/>
    <s v="N"/>
    <n v="21318301"/>
    <s v="3000014625530008"/>
    <s v="CIVIL"/>
    <d v="2023-06-22T00:00:00"/>
    <d v="2023-07-03T19:01:49"/>
    <m/>
    <d v="2023-07-03T00:00:00"/>
    <n v="270"/>
    <n v="891"/>
    <s v="60325701"/>
    <s v="60325701"/>
    <m/>
    <m/>
    <n v="22742148"/>
    <m/>
    <m/>
    <m/>
    <s v="SOLFIN"/>
    <s v="SOLFIN"/>
    <s v="CCMS"/>
    <n v="21318301"/>
    <n v="9824.93"/>
    <m/>
    <s v="N"/>
    <n v="34"/>
    <d v="2023-07-03T19:01:53"/>
    <s v="Y"/>
    <s v="Hearing Unit 2.31 - 5.00 Hours"/>
    <s v="Public Law Children"/>
    <s v="Advocacy"/>
    <s v="Penelope Moult"/>
    <s v="Y"/>
    <n v="476.92"/>
    <n v="95.38"/>
    <x v="3"/>
    <s v="VALIDATED"/>
    <n v="1"/>
    <s v="01.11.80.308.6100.0000"/>
    <n v="476.92"/>
    <s v="11"/>
    <s v="6100"/>
    <n v="49509.54"/>
    <n v="476.92"/>
    <s v="CREDITOR"/>
    <n v="0"/>
    <n v="0"/>
    <n v="0"/>
    <n v="0"/>
    <n v="476.92"/>
  </r>
  <r>
    <n v="60485628"/>
    <s v="N"/>
    <n v="21369638"/>
    <s v="3000014763550002"/>
    <s v="CIVIL"/>
    <d v="2023-06-19T00:00:00"/>
    <d v="2023-07-13T19:21:05"/>
    <m/>
    <d v="2023-07-13T00:00:00"/>
    <n v="270"/>
    <n v="891"/>
    <s v="60485628"/>
    <s v="60485628"/>
    <m/>
    <m/>
    <n v="22711824"/>
    <m/>
    <m/>
    <m/>
    <s v="SOLFIN"/>
    <s v="SOLFIN"/>
    <s v="CCMS"/>
    <n v="21369638"/>
    <n v="1641.88"/>
    <m/>
    <s v="N"/>
    <n v="19"/>
    <d v="2023-07-13T19:21:08"/>
    <s v="Y"/>
    <s v="Report - other"/>
    <s v="Prescribed Hourly Rates"/>
    <s v="Profit Cost"/>
    <s v="Penelope Moult"/>
    <s v="Y"/>
    <n v="13.66"/>
    <n v="2.73"/>
    <x v="11"/>
    <s v="VALIDATED"/>
    <n v="1"/>
    <s v="01.11.80.307.6100.0000"/>
    <n v="13.66"/>
    <s v="11"/>
    <s v="6100"/>
    <n v="49509.54"/>
    <n v="13.66"/>
    <s v="CREDITOR"/>
    <n v="0"/>
    <n v="0"/>
    <n v="0"/>
    <n v="0"/>
    <n v="13.66"/>
  </r>
  <r>
    <n v="7431730"/>
    <s v="N"/>
    <n v="21318708"/>
    <s v="3000003621200005"/>
    <s v="CIVIL"/>
    <d v="2023-06-22T00:00:00"/>
    <d v="2023-07-03T19:01:49"/>
    <m/>
    <d v="2023-07-03T00:00:00"/>
    <n v="270"/>
    <n v="891"/>
    <s v="7431730"/>
    <s v="7431730"/>
    <m/>
    <m/>
    <n v="22747114"/>
    <m/>
    <m/>
    <m/>
    <s v="SOLFIN"/>
    <s v="SOLFIN"/>
    <s v="CCMS"/>
    <n v="21318708"/>
    <n v="22428.48"/>
    <m/>
    <s v="N"/>
    <n v="11"/>
    <d v="2023-07-03T19:02:01"/>
    <s v="N"/>
    <s v="Solicitor Travel Expenses"/>
    <s v="Prescribed Hourly Rates"/>
    <s v="Non Expert Disbursement"/>
    <s v="PEM"/>
    <s v="N"/>
    <n v="2.99"/>
    <n v="0"/>
    <x v="3"/>
    <s v="VALIDATED"/>
    <n v="1"/>
    <s v="01.11.80.307.6300.0000"/>
    <n v="2.99"/>
    <s v="11"/>
    <s v="6300"/>
    <n v="49509.54"/>
    <n v="2.99"/>
    <s v="CREDITOR"/>
    <n v="0"/>
    <n v="0"/>
    <n v="0"/>
    <n v="0"/>
    <n v="2.99"/>
  </r>
  <r>
    <n v="40144488"/>
    <s v="N"/>
    <n v="21320163"/>
    <s v="3000010767640023"/>
    <s v="CIVIL"/>
    <d v="2023-06-27T00:00:00"/>
    <d v="2023-07-03T19:04:24"/>
    <m/>
    <d v="2023-07-03T00:00:00"/>
    <n v="270"/>
    <n v="891"/>
    <s v="40144488"/>
    <s v="40144488"/>
    <m/>
    <m/>
    <n v="22774946"/>
    <m/>
    <m/>
    <m/>
    <s v="SOLFIN"/>
    <s v="SOLFIN"/>
    <s v="CCMS"/>
    <n v="21320163"/>
    <n v="27986.95"/>
    <m/>
    <s v="N"/>
    <n v="11"/>
    <d v="2023-07-03T19:04:29"/>
    <s v="Y"/>
    <s v="Psychologist"/>
    <s v="VHCC"/>
    <s v="Expert Disbursement"/>
    <s v="Dinuka Sivaneswaran"/>
    <s v="Y"/>
    <n v="927.9299999999999"/>
    <n v="0"/>
    <x v="3"/>
    <s v="VALIDATED"/>
    <n v="1"/>
    <s v="01.11.80.308.6300.0000"/>
    <n v="927.9299999999999"/>
    <s v="11"/>
    <s v="6300"/>
    <n v="49509.54"/>
    <n v="927.9299999999999"/>
    <s v="CREDITOR"/>
    <n v="0"/>
    <n v="0"/>
    <n v="0"/>
    <n v="0"/>
    <n v="927.9299999999999"/>
  </r>
  <r>
    <n v="61809396"/>
    <s v="N"/>
    <n v="21319251"/>
    <s v="3000015881390006"/>
    <s v="CIVIL"/>
    <d v="2023-06-28T00:00:00"/>
    <d v="2023-07-03T19:04:24"/>
    <m/>
    <d v="2023-07-03T00:00:00"/>
    <n v="270"/>
    <n v="891"/>
    <s v="61809396"/>
    <s v="61809396"/>
    <m/>
    <m/>
    <n v="22777804"/>
    <m/>
    <m/>
    <m/>
    <s v="SOLPOA"/>
    <s v="SOLPOA"/>
    <s v="CCMS"/>
    <n v="21319251"/>
    <n v="97.2"/>
    <m/>
    <s v="N"/>
    <n v="1"/>
    <d v="2023-07-03T19:04:24"/>
    <s v="N"/>
    <s v="Expert Cost"/>
    <s v="Expert Cost"/>
    <s v="Expert Disbursement"/>
    <s v="Penelope Moult"/>
    <s v="N"/>
    <n v="81"/>
    <n v="16.2"/>
    <x v="3"/>
    <s v="VALIDATED"/>
    <n v="1"/>
    <s v="01.11.80.308.2012.0000"/>
    <n v="81"/>
    <s v="11"/>
    <s v="2012"/>
    <n v="49509.54"/>
    <n v="81"/>
    <s v="CREDITOR"/>
    <n v="81"/>
    <n v="0"/>
    <n v="0"/>
    <n v="0"/>
    <n v="0"/>
  </r>
  <r>
    <n v="60325701"/>
    <s v="N"/>
    <n v="21318301"/>
    <s v="3000014625530008"/>
    <s v="CIVIL"/>
    <d v="2023-06-22T00:00:00"/>
    <d v="2023-07-03T19:01:49"/>
    <m/>
    <d v="2023-07-03T00:00:00"/>
    <n v="270"/>
    <n v="891"/>
    <s v="60325701"/>
    <s v="60325701"/>
    <m/>
    <m/>
    <n v="22742148"/>
    <m/>
    <m/>
    <m/>
    <s v="SOLFIN"/>
    <s v="SOLFIN"/>
    <s v="CCMS"/>
    <n v="21318301"/>
    <n v="9824.93"/>
    <m/>
    <s v="N"/>
    <n v="19"/>
    <d v="2023-07-03T19:01:53"/>
    <s v="Y"/>
    <s v="Toxicologist"/>
    <s v="Public Law Children"/>
    <s v="Expert Disbursement"/>
    <s v="Penelope Moult"/>
    <s v="Y"/>
    <n v="40"/>
    <n v="8"/>
    <x v="3"/>
    <s v="VALIDATED"/>
    <n v="1"/>
    <s v="01.11.80.308.6300.0000"/>
    <n v="40"/>
    <s v="11"/>
    <s v="6300"/>
    <n v="49509.54"/>
    <n v="40"/>
    <s v="CREDITOR"/>
    <n v="0"/>
    <n v="0"/>
    <n v="0"/>
    <n v="0"/>
    <n v="40"/>
  </r>
  <r>
    <n v="7431730"/>
    <s v="N"/>
    <n v="21318708"/>
    <s v="3000003621200005"/>
    <s v="CIVIL"/>
    <d v="2023-06-22T00:00:00"/>
    <d v="2023-07-03T19:01:49"/>
    <m/>
    <d v="2023-07-03T00:00:00"/>
    <n v="270"/>
    <n v="891"/>
    <s v="7431730"/>
    <s v="7431730"/>
    <m/>
    <m/>
    <n v="22747114"/>
    <m/>
    <m/>
    <m/>
    <s v="SOLFIN"/>
    <s v="SOLFIN"/>
    <s v="CCMS"/>
    <n v="21318708"/>
    <n v="22428.48"/>
    <m/>
    <s v="N"/>
    <n v="108"/>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109"/>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60325701"/>
    <s v="N"/>
    <n v="21318301"/>
    <s v="3000014625530008"/>
    <s v="CIVIL"/>
    <d v="2023-06-22T00:00:00"/>
    <d v="2023-07-03T19:01:49"/>
    <m/>
    <d v="2023-07-03T00:00:00"/>
    <n v="270"/>
    <n v="891"/>
    <s v="60325701"/>
    <s v="60325701"/>
    <m/>
    <m/>
    <n v="22742148"/>
    <m/>
    <m/>
    <m/>
    <s v="SOLFIN"/>
    <s v="SOLFIN"/>
    <s v="CCMS"/>
    <n v="21318301"/>
    <n v="9824.93"/>
    <m/>
    <s v="N"/>
    <n v="7"/>
    <d v="2023-07-03T19:01:53"/>
    <s v="Y"/>
    <s v="Exceptional Travel"/>
    <s v="Public Law Children"/>
    <s v="Advocacy"/>
    <s v="Penelope Moult"/>
    <s v="Y"/>
    <n v="32.04"/>
    <n v="6.41"/>
    <x v="3"/>
    <s v="VALIDATED"/>
    <n v="1"/>
    <s v="01.11.80.308.6100.0000"/>
    <n v="32.04"/>
    <s v="11"/>
    <s v="6100"/>
    <n v="49509.54"/>
    <n v="32.04"/>
    <s v="CREDITOR"/>
    <n v="0"/>
    <n v="0"/>
    <n v="0"/>
    <n v="0"/>
    <n v="32.04"/>
  </r>
  <r>
    <n v="7431730"/>
    <s v="N"/>
    <n v="21318708"/>
    <s v="3000003621200005"/>
    <s v="CIVIL"/>
    <d v="2023-06-22T00:00:00"/>
    <d v="2023-07-03T19:01:49"/>
    <m/>
    <d v="2023-07-03T00:00:00"/>
    <n v="270"/>
    <n v="891"/>
    <s v="7431730"/>
    <s v="7431730"/>
    <m/>
    <m/>
    <n v="22747114"/>
    <m/>
    <m/>
    <m/>
    <s v="SOLFIN"/>
    <s v="SOLFIN"/>
    <s v="CCMS"/>
    <n v="21318708"/>
    <n v="22428.48"/>
    <m/>
    <s v="N"/>
    <n v="131"/>
    <d v="2023-07-03T19:02:01"/>
    <s v="Y"/>
    <s v="Routine Telephone Call"/>
    <s v="Prescribed Hourly Rates"/>
    <s v="Profit Cost"/>
    <s v="PM"/>
    <s v="Y"/>
    <n v="138.75"/>
    <n v="27.75"/>
    <x v="3"/>
    <s v="VALIDATED"/>
    <n v="1"/>
    <s v="01.11.80.307.6100.0000"/>
    <n v="138.75"/>
    <s v="11"/>
    <s v="6100"/>
    <n v="49509.54"/>
    <n v="138.75"/>
    <s v="CREDITOR"/>
    <n v="0"/>
    <n v="0"/>
    <n v="0"/>
    <n v="0"/>
    <n v="138.75"/>
  </r>
  <r>
    <n v="42259627"/>
    <s v="N"/>
    <n v="21331008"/>
    <s v="3000011285920006"/>
    <s v="CIVIL"/>
    <d v="2023-06-23T00:00:00"/>
    <d v="2023-07-05T19:01:47"/>
    <m/>
    <d v="2023-07-05T00:00:00"/>
    <n v="270"/>
    <n v="891"/>
    <s v="42259627"/>
    <s v="42259627"/>
    <m/>
    <m/>
    <n v="22756168"/>
    <m/>
    <m/>
    <m/>
    <s v="SOLFIN"/>
    <s v="SOLFIN"/>
    <s v="CCMS"/>
    <n v="21331008"/>
    <n v="11329.24"/>
    <m/>
    <s v="N"/>
    <n v="18"/>
    <d v="2023-07-05T19:02:01"/>
    <s v="Y"/>
    <s v="Hearing Unit 2.31 - 5.00 Hours"/>
    <s v="Public Law Children"/>
    <s v="Advocacy"/>
    <s v="Maria Orme"/>
    <s v="Y"/>
    <n v="476.92"/>
    <n v="95.38"/>
    <x v="6"/>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81"/>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42259627"/>
    <s v="N"/>
    <n v="21331008"/>
    <s v="3000011285920006"/>
    <s v="CIVIL"/>
    <d v="2023-06-23T00:00:00"/>
    <d v="2023-07-05T19:01:47"/>
    <m/>
    <d v="2023-07-05T00:00:00"/>
    <n v="270"/>
    <n v="891"/>
    <s v="42259627"/>
    <s v="42259627"/>
    <m/>
    <m/>
    <n v="22756168"/>
    <m/>
    <m/>
    <m/>
    <s v="SOLFIN"/>
    <s v="SOLFIN"/>
    <s v="CCMS"/>
    <n v="21331008"/>
    <n v="11329.24"/>
    <m/>
    <s v="N"/>
    <n v="5"/>
    <d v="2023-07-05T19:02:01"/>
    <s v="Y"/>
    <s v="Solicitor Travel Mileage"/>
    <s v="Public Law Children"/>
    <s v="Non Expert Disbursement"/>
    <s v="Maria Orme"/>
    <s v="Y"/>
    <n v="27"/>
    <n v="5.4"/>
    <x v="6"/>
    <s v="VALIDATED"/>
    <n v="1"/>
    <s v="01.11.80.308.6300.0000"/>
    <n v="27"/>
    <s v="11"/>
    <s v="6300"/>
    <n v="49509.54"/>
    <n v="27"/>
    <s v="CREDITOR"/>
    <n v="0"/>
    <n v="0"/>
    <n v="0"/>
    <n v="0"/>
    <n v="27"/>
  </r>
  <r>
    <n v="60485628"/>
    <s v="N"/>
    <n v="21369638"/>
    <s v="3000014763550002"/>
    <s v="CIVIL"/>
    <d v="2023-06-19T00:00:00"/>
    <d v="2023-07-13T19:21:05"/>
    <m/>
    <d v="2023-07-13T00:00:00"/>
    <n v="270"/>
    <n v="891"/>
    <s v="60485628"/>
    <s v="60485628"/>
    <m/>
    <m/>
    <n v="22711824"/>
    <m/>
    <m/>
    <m/>
    <s v="SOLFIN"/>
    <s v="SOLFIN"/>
    <s v="CCMS"/>
    <n v="21369638"/>
    <n v="1641.88"/>
    <m/>
    <s v="N"/>
    <n v="6"/>
    <d v="2023-07-13T19:21:08"/>
    <s v="Y"/>
    <s v="Preparation - other"/>
    <s v="Prescribed Hourly Rates"/>
    <s v="Profit Cost"/>
    <s v="Penelope Moult"/>
    <s v="Y"/>
    <n v="27.32"/>
    <n v="5.46"/>
    <x v="11"/>
    <s v="VALIDATED"/>
    <n v="1"/>
    <s v="01.11.80.307.6100.0000"/>
    <n v="27.32"/>
    <s v="11"/>
    <s v="6100"/>
    <n v="49509.54"/>
    <n v="27.32"/>
    <s v="CREDITOR"/>
    <n v="0"/>
    <n v="0"/>
    <n v="0"/>
    <n v="0"/>
    <n v="27.32"/>
  </r>
  <r>
    <n v="60485628"/>
    <s v="N"/>
    <n v="21369638"/>
    <s v="3000014763550002"/>
    <s v="CIVIL"/>
    <d v="2023-06-19T00:00:00"/>
    <d v="2023-07-13T19:21:05"/>
    <m/>
    <d v="2023-07-13T00:00:00"/>
    <n v="270"/>
    <n v="891"/>
    <s v="60485628"/>
    <s v="60485628"/>
    <m/>
    <m/>
    <n v="22711824"/>
    <m/>
    <m/>
    <m/>
    <s v="SOLFIN"/>
    <s v="SOLFIN"/>
    <s v="CCMS"/>
    <n v="21369638"/>
    <n v="1641.88"/>
    <m/>
    <s v="N"/>
    <n v="12"/>
    <d v="2023-07-13T19:21:08"/>
    <s v="Y"/>
    <s v="Preparation - other"/>
    <s v="Prescribed Hourly Rates"/>
    <s v="Profit Cost"/>
    <s v="Penelope Moult"/>
    <s v="Y"/>
    <n v="6.83"/>
    <n v="1.37"/>
    <x v="11"/>
    <s v="VALIDATED"/>
    <n v="1"/>
    <s v="01.11.80.307.6100.0000"/>
    <n v="6.83"/>
    <s v="11"/>
    <s v="6100"/>
    <n v="49509.54"/>
    <n v="6.83"/>
    <s v="CREDITOR"/>
    <n v="0"/>
    <n v="0"/>
    <n v="0"/>
    <n v="0"/>
    <n v="6.83"/>
  </r>
  <r>
    <n v="60485628"/>
    <s v="N"/>
    <n v="21369638"/>
    <s v="3000014763550002"/>
    <s v="CIVIL"/>
    <d v="2023-06-19T00:00:00"/>
    <d v="2023-07-13T19:21:05"/>
    <m/>
    <d v="2023-07-13T00:00:00"/>
    <n v="270"/>
    <n v="891"/>
    <s v="60485628"/>
    <s v="60485628"/>
    <m/>
    <m/>
    <n v="22711824"/>
    <m/>
    <m/>
    <m/>
    <s v="SOLFIN"/>
    <s v="SOLFIN"/>
    <s v="CCMS"/>
    <n v="21369638"/>
    <n v="1641.88"/>
    <m/>
    <s v="N"/>
    <n v="18"/>
    <d v="2023-07-13T19:21:08"/>
    <s v="Y"/>
    <s v="Routine Letter Out"/>
    <s v="Prescribed Hourly Rates"/>
    <s v="Profit Cost"/>
    <s v="Penelope Moult"/>
    <s v="Y"/>
    <n v="385.02"/>
    <n v="77"/>
    <x v="11"/>
    <s v="VALIDATED"/>
    <n v="1"/>
    <s v="01.11.80.307.6100.0000"/>
    <n v="385.02"/>
    <s v="11"/>
    <s v="6100"/>
    <n v="49509.54"/>
    <n v="385.02"/>
    <s v="CREDITOR"/>
    <n v="0"/>
    <n v="0"/>
    <n v="0"/>
    <n v="0"/>
    <n v="385.02"/>
  </r>
  <r>
    <n v="60325701"/>
    <s v="N"/>
    <n v="21318301"/>
    <s v="3000014625530008"/>
    <s v="CIVIL"/>
    <d v="2023-06-22T00:00:00"/>
    <d v="2023-07-03T19:01:49"/>
    <m/>
    <d v="2023-07-03T00:00:00"/>
    <n v="270"/>
    <n v="891"/>
    <s v="60325701"/>
    <s v="60325701"/>
    <m/>
    <m/>
    <n v="22742148"/>
    <m/>
    <m/>
    <m/>
    <s v="SOLFIN"/>
    <s v="SOLFIN"/>
    <s v="CCMS"/>
    <n v="21318301"/>
    <n v="9824.93"/>
    <m/>
    <s v="N"/>
    <n v="1"/>
    <d v="2023-07-03T19:01:53"/>
    <s v="Y"/>
    <s v="Exceptional Travel"/>
    <s v="Public Law Children"/>
    <s v="Advocacy"/>
    <s v="Penelope Moult"/>
    <s v="Y"/>
    <n v="32.04"/>
    <n v="6.41"/>
    <x v="3"/>
    <s v="VALIDATED"/>
    <n v="1"/>
    <s v="01.11.80.308.6100.0000"/>
    <n v="32.04"/>
    <s v="11"/>
    <s v="6100"/>
    <n v="49509.54"/>
    <n v="32.04"/>
    <s v="CREDITOR"/>
    <n v="0"/>
    <n v="0"/>
    <n v="0"/>
    <n v="0"/>
    <n v="32.04"/>
  </r>
  <r>
    <n v="40144488"/>
    <s v="N"/>
    <n v="21320163"/>
    <s v="3000010767640023"/>
    <s v="CIVIL"/>
    <d v="2023-06-27T00:00:00"/>
    <d v="2023-07-03T19:04:24"/>
    <m/>
    <d v="2023-07-03T00:00:00"/>
    <n v="270"/>
    <n v="891"/>
    <s v="40144488"/>
    <s v="40144488"/>
    <m/>
    <m/>
    <n v="22774946"/>
    <m/>
    <m/>
    <m/>
    <s v="SOLFIN"/>
    <s v="SOLFIN"/>
    <s v="CCMS"/>
    <n v="21320163"/>
    <n v="27986.95"/>
    <m/>
    <s v="N"/>
    <n v="2"/>
    <d v="2023-07-03T19:04:29"/>
    <s v="Y"/>
    <s v="Court Fee"/>
    <s v="VHCC"/>
    <s v="Non Expert Disbursement"/>
    <s v="Dinuka Sivaneswaran"/>
    <s v="Y"/>
    <n v="167"/>
    <n v="33.4"/>
    <x v="3"/>
    <s v="VALIDATED"/>
    <n v="1"/>
    <s v="01.11.80.308.6300.0000"/>
    <n v="167"/>
    <s v="11"/>
    <s v="6300"/>
    <n v="49509.54"/>
    <n v="167"/>
    <s v="CREDITOR"/>
    <n v="0"/>
    <n v="0"/>
    <n v="0"/>
    <n v="0"/>
    <n v="167"/>
  </r>
  <r>
    <n v="60325701"/>
    <s v="N"/>
    <n v="21318301"/>
    <s v="3000014625530008"/>
    <s v="CIVIL"/>
    <d v="2023-06-22T00:00:00"/>
    <d v="2023-07-03T19:01:49"/>
    <m/>
    <d v="2023-07-03T00:00:00"/>
    <n v="270"/>
    <n v="891"/>
    <s v="60325701"/>
    <s v="60325701"/>
    <m/>
    <m/>
    <n v="22742148"/>
    <m/>
    <m/>
    <m/>
    <s v="SOLFIN"/>
    <s v="SOLFIN"/>
    <s v="CCMS"/>
    <n v="21318301"/>
    <n v="9824.93"/>
    <m/>
    <s v="N"/>
    <n v="9"/>
    <d v="2023-07-03T19:01:53"/>
    <s v="Y"/>
    <s v="Solicitor Travel Expenses"/>
    <s v="Public Law Children"/>
    <s v="Non Expert Disbursement"/>
    <s v="pm"/>
    <s v="Y"/>
    <n v="10.1"/>
    <n v="2.02"/>
    <x v="3"/>
    <s v="VALIDATED"/>
    <n v="1"/>
    <s v="01.11.80.308.6300.0000"/>
    <n v="10.1"/>
    <s v="11"/>
    <s v="6300"/>
    <n v="49509.54"/>
    <n v="10.1"/>
    <s v="CREDITOR"/>
    <n v="0"/>
    <n v="0"/>
    <n v="0"/>
    <n v="0"/>
    <n v="10.1"/>
  </r>
  <r>
    <n v="60258535"/>
    <s v="N"/>
    <n v="21318601"/>
    <s v="3000014566280010"/>
    <s v="CIVIL"/>
    <d v="2023-06-22T00:00:00"/>
    <d v="2023-07-03T19:01:49"/>
    <m/>
    <d v="2023-07-03T00:00:00"/>
    <n v="270"/>
    <n v="891"/>
    <s v="60258535"/>
    <s v="60258535"/>
    <m/>
    <m/>
    <n v="22748030"/>
    <m/>
    <m/>
    <m/>
    <s v="SOLFIN"/>
    <s v="SOLFIN"/>
    <s v="CCMS"/>
    <n v="21318601"/>
    <n v="8270.030000000001"/>
    <m/>
    <s v="N"/>
    <n v="1"/>
    <d v="2023-07-03T19:02:00"/>
    <s v="Y"/>
    <s v="Interim Hearing Court Bundle/Advoca"/>
    <s v="Public Law Children"/>
    <s v="Advocacy"/>
    <s v="Kate Siddall"/>
    <s v="Y"/>
    <n v="59.4"/>
    <n v="11.88"/>
    <x v="3"/>
    <s v="VALIDATED"/>
    <n v="1"/>
    <s v="01.11.80.308.6100.0000"/>
    <n v="59.4"/>
    <s v="11"/>
    <s v="6100"/>
    <n v="49509.54"/>
    <n v="59.4"/>
    <s v="CREDITOR"/>
    <n v="0"/>
    <n v="0"/>
    <n v="0"/>
    <n v="0"/>
    <n v="59.4"/>
  </r>
  <r>
    <n v="7431730"/>
    <s v="N"/>
    <n v="21318708"/>
    <s v="3000003621200005"/>
    <s v="CIVIL"/>
    <d v="2023-06-22T00:00:00"/>
    <d v="2023-07-03T19:01:49"/>
    <m/>
    <d v="2023-07-03T00:00:00"/>
    <n v="270"/>
    <n v="891"/>
    <s v="7431730"/>
    <s v="7431730"/>
    <m/>
    <m/>
    <n v="22747114"/>
    <m/>
    <m/>
    <m/>
    <s v="SOLFIN"/>
    <s v="SOLFIN"/>
    <s v="CCMS"/>
    <n v="21318708"/>
    <n v="22428.48"/>
    <m/>
    <s v="N"/>
    <n v="19"/>
    <d v="2023-07-03T19:02:01"/>
    <s v="Y"/>
    <s v="Preparation - other"/>
    <s v="Prescribed Hourly Rates"/>
    <s v="Profit Cost"/>
    <s v="PM"/>
    <s v="Y"/>
    <n v="40.57"/>
    <n v="8.109999999999999"/>
    <x v="3"/>
    <s v="VALIDATED"/>
    <n v="1"/>
    <s v="01.11.80.307.6100.0000"/>
    <n v="40.57"/>
    <s v="11"/>
    <s v="6100"/>
    <n v="49509.54"/>
    <n v="40.57"/>
    <s v="CREDITOR"/>
    <n v="0"/>
    <n v="0"/>
    <n v="0"/>
    <n v="0"/>
    <n v="40.57"/>
  </r>
  <r>
    <n v="7431730"/>
    <s v="N"/>
    <n v="21318708"/>
    <s v="3000003621200005"/>
    <s v="CIVIL"/>
    <d v="2023-06-22T00:00:00"/>
    <d v="2023-07-03T19:01:49"/>
    <m/>
    <d v="2023-07-03T00:00:00"/>
    <n v="270"/>
    <n v="891"/>
    <s v="7431730"/>
    <s v="7431730"/>
    <m/>
    <m/>
    <n v="22747114"/>
    <m/>
    <m/>
    <m/>
    <s v="SOLFIN"/>
    <s v="SOLFIN"/>
    <s v="CCMS"/>
    <n v="21318708"/>
    <n v="22428.48"/>
    <m/>
    <s v="N"/>
    <n v="121"/>
    <d v="2023-07-03T19:02:01"/>
    <s v="Y"/>
    <s v="Preparation - other"/>
    <s v="Prescribed Hourly Rates"/>
    <s v="Profit Cost"/>
    <s v="PM"/>
    <s v="Y"/>
    <n v="48.69"/>
    <n v="9.74"/>
    <x v="3"/>
    <s v="VALIDATED"/>
    <n v="1"/>
    <s v="01.11.80.307.6100.0000"/>
    <n v="48.69"/>
    <s v="11"/>
    <s v="6100"/>
    <n v="49509.54"/>
    <n v="48.69"/>
    <s v="CREDITOR"/>
    <n v="0"/>
    <n v="0"/>
    <n v="0"/>
    <n v="0"/>
    <n v="48.69"/>
  </r>
  <r>
    <n v="7431730"/>
    <s v="N"/>
    <n v="21318708"/>
    <s v="3000003621200005"/>
    <s v="CIVIL"/>
    <d v="2023-06-22T00:00:00"/>
    <d v="2023-07-03T19:01:49"/>
    <m/>
    <d v="2023-07-03T00:00:00"/>
    <n v="270"/>
    <n v="891"/>
    <s v="7431730"/>
    <s v="7431730"/>
    <m/>
    <m/>
    <n v="22747114"/>
    <m/>
    <m/>
    <m/>
    <s v="SOLFIN"/>
    <s v="SOLFIN"/>
    <s v="CCMS"/>
    <n v="21318708"/>
    <n v="22428.48"/>
    <m/>
    <s v="N"/>
    <n v="52"/>
    <d v="2023-07-03T19:02:01"/>
    <s v="Y"/>
    <s v="Preparation - other"/>
    <s v="Prescribed Hourly Rates"/>
    <s v="Profit Cost"/>
    <s v="PM"/>
    <s v="Y"/>
    <n v="32.45"/>
    <n v="6.49"/>
    <x v="3"/>
    <s v="VALIDATED"/>
    <n v="1"/>
    <s v="01.11.80.307.6100.0000"/>
    <n v="32.45"/>
    <s v="11"/>
    <s v="6100"/>
    <n v="49509.54"/>
    <n v="32.45"/>
    <s v="CREDITOR"/>
    <n v="0"/>
    <n v="0"/>
    <n v="0"/>
    <n v="0"/>
    <n v="32.45"/>
  </r>
  <r>
    <n v="7431730"/>
    <s v="N"/>
    <n v="21318708"/>
    <s v="3000003621200005"/>
    <s v="CIVIL"/>
    <d v="2023-06-22T00:00:00"/>
    <d v="2023-07-03T19:01:49"/>
    <m/>
    <d v="2023-07-03T00:00:00"/>
    <n v="270"/>
    <n v="891"/>
    <s v="7431730"/>
    <s v="7431730"/>
    <m/>
    <m/>
    <n v="22747114"/>
    <m/>
    <m/>
    <m/>
    <s v="SOLFIN"/>
    <s v="SOLFIN"/>
    <s v="CCMS"/>
    <n v="21318708"/>
    <n v="22428.48"/>
    <m/>
    <s v="N"/>
    <n v="96"/>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115"/>
    <d v="2023-07-03T19:02:01"/>
    <s v="Y"/>
    <s v="Preparation - other"/>
    <s v="Prescribed Hourly Rates"/>
    <s v="Profit Cost"/>
    <s v="PM"/>
    <s v="Y"/>
    <n v="16.23"/>
    <n v="3.25"/>
    <x v="3"/>
    <s v="VALIDATED"/>
    <n v="1"/>
    <s v="01.11.80.307.6100.0000"/>
    <n v="16.23"/>
    <s v="11"/>
    <s v="6100"/>
    <n v="49509.54"/>
    <n v="16.23"/>
    <s v="CREDITOR"/>
    <n v="0"/>
    <n v="0"/>
    <n v="0"/>
    <n v="0"/>
    <n v="16.23"/>
  </r>
  <r>
    <n v="60325701"/>
    <s v="N"/>
    <n v="21318301"/>
    <s v="3000014625530008"/>
    <s v="CIVIL"/>
    <d v="2023-06-22T00:00:00"/>
    <d v="2023-07-03T19:01:49"/>
    <m/>
    <d v="2023-07-03T00:00:00"/>
    <n v="270"/>
    <n v="891"/>
    <s v="60325701"/>
    <s v="60325701"/>
    <m/>
    <m/>
    <n v="22742148"/>
    <m/>
    <m/>
    <m/>
    <s v="SOLFIN"/>
    <s v="SOLFIN"/>
    <s v="CCMS"/>
    <n v="21318301"/>
    <n v="9824.93"/>
    <m/>
    <s v="N"/>
    <n v="2"/>
    <d v="2023-07-03T19:01:53"/>
    <s v="Y"/>
    <s v="Exceptional Travel"/>
    <s v="Public Law Children"/>
    <s v="Advocacy"/>
    <s v="Penelope Moult"/>
    <s v="Y"/>
    <n v="32.04"/>
    <n v="6.41"/>
    <x v="3"/>
    <s v="VALIDATED"/>
    <n v="1"/>
    <s v="01.11.80.308.6100.0000"/>
    <n v="32.04"/>
    <s v="11"/>
    <s v="6100"/>
    <n v="49509.54"/>
    <n v="32.04"/>
    <s v="CREDITOR"/>
    <n v="0"/>
    <n v="0"/>
    <n v="0"/>
    <n v="0"/>
    <n v="32.04"/>
  </r>
  <r>
    <n v="60325701"/>
    <s v="N"/>
    <n v="21318301"/>
    <s v="3000014625530008"/>
    <s v="CIVIL"/>
    <d v="2023-06-22T00:00:00"/>
    <d v="2023-07-03T19:01:49"/>
    <m/>
    <d v="2023-07-03T00:00:00"/>
    <n v="270"/>
    <n v="891"/>
    <s v="60325701"/>
    <s v="60325701"/>
    <m/>
    <m/>
    <n v="22742148"/>
    <m/>
    <m/>
    <m/>
    <s v="SOLFIN"/>
    <s v="SOLFIN"/>
    <s v="CCMS"/>
    <n v="21318301"/>
    <n v="9824.93"/>
    <m/>
    <s v="N"/>
    <n v="3"/>
    <d v="2023-07-03T19:01:53"/>
    <s v="Y"/>
    <s v="Final Hearing Court Bundle/Advocate"/>
    <s v="Public Law Children"/>
    <s v="Advocacy"/>
    <s v="Penelope Moult"/>
    <s v="Y"/>
    <n v="239.4"/>
    <n v="47.88"/>
    <x v="3"/>
    <s v="VALIDATED"/>
    <n v="1"/>
    <s v="01.11.80.308.6100.0000"/>
    <n v="239.4"/>
    <s v="11"/>
    <s v="6100"/>
    <n v="49509.54"/>
    <n v="239.4"/>
    <s v="CREDITOR"/>
    <n v="0"/>
    <n v="0"/>
    <n v="0"/>
    <n v="0"/>
    <n v="239.4"/>
  </r>
  <r>
    <n v="60325701"/>
    <s v="N"/>
    <n v="21318301"/>
    <s v="3000014625530008"/>
    <s v="CIVIL"/>
    <d v="2023-06-22T00:00:00"/>
    <d v="2023-07-03T19:01:49"/>
    <m/>
    <d v="2023-07-03T00:00:00"/>
    <n v="270"/>
    <n v="891"/>
    <s v="60325701"/>
    <s v="60325701"/>
    <m/>
    <m/>
    <n v="22742148"/>
    <m/>
    <m/>
    <m/>
    <s v="SOLFIN"/>
    <s v="SOLFIN"/>
    <s v="CCMS"/>
    <n v="21318301"/>
    <n v="9824.93"/>
    <m/>
    <s v="N"/>
    <n v="6"/>
    <d v="2023-07-03T19:01:53"/>
    <s v="Y"/>
    <s v="Exceptional Travel"/>
    <s v="Public Law Children"/>
    <s v="Advocacy"/>
    <s v="Penelope Moult"/>
    <s v="Y"/>
    <n v="32.04"/>
    <n v="6.41"/>
    <x v="3"/>
    <s v="VALIDATED"/>
    <n v="1"/>
    <s v="01.11.80.308.6100.0000"/>
    <n v="32.04"/>
    <s v="11"/>
    <s v="6100"/>
    <n v="49509.54"/>
    <n v="32.04"/>
    <s v="CREDITOR"/>
    <n v="0"/>
    <n v="0"/>
    <n v="0"/>
    <n v="0"/>
    <n v="32.04"/>
  </r>
  <r>
    <n v="7431730"/>
    <s v="N"/>
    <n v="21318708"/>
    <s v="3000003621200005"/>
    <s v="CIVIL"/>
    <d v="2023-06-22T00:00:00"/>
    <d v="2023-07-03T19:01:49"/>
    <m/>
    <d v="2023-07-03T00:00:00"/>
    <n v="270"/>
    <n v="891"/>
    <s v="7431730"/>
    <s v="7431730"/>
    <m/>
    <m/>
    <n v="22747114"/>
    <m/>
    <m/>
    <m/>
    <s v="SOLFIN"/>
    <s v="SOLFIN"/>
    <s v="CCMS"/>
    <n v="21318708"/>
    <n v="22428.48"/>
    <m/>
    <s v="N"/>
    <n v="116"/>
    <d v="2023-07-03T19:02:01"/>
    <s v="Y"/>
    <s v="Preparation - other"/>
    <s v="Prescribed Hourly Rates"/>
    <s v="Profit Cost"/>
    <s v="PM"/>
    <s v="Y"/>
    <n v="56.8"/>
    <n v="11.36"/>
    <x v="3"/>
    <s v="VALIDATED"/>
    <n v="1"/>
    <s v="01.11.80.307.6100.0000"/>
    <n v="56.8"/>
    <s v="11"/>
    <s v="6100"/>
    <n v="49509.54"/>
    <n v="56.8"/>
    <s v="CREDITOR"/>
    <n v="0"/>
    <n v="0"/>
    <n v="0"/>
    <n v="0"/>
    <n v="56.8"/>
  </r>
  <r>
    <n v="7431730"/>
    <s v="N"/>
    <n v="21318708"/>
    <s v="3000003621200005"/>
    <s v="CIVIL"/>
    <d v="2023-06-22T00:00:00"/>
    <d v="2023-07-03T19:01:49"/>
    <m/>
    <d v="2023-07-03T00:00:00"/>
    <n v="270"/>
    <n v="891"/>
    <s v="7431730"/>
    <s v="7431730"/>
    <m/>
    <m/>
    <n v="22747114"/>
    <m/>
    <m/>
    <m/>
    <s v="SOLFIN"/>
    <s v="SOLFIN"/>
    <s v="CCMS"/>
    <n v="21318708"/>
    <n v="22428.48"/>
    <m/>
    <s v="N"/>
    <n v="124"/>
    <d v="2023-07-03T19:02:01"/>
    <s v="Y"/>
    <s v="Preparation - other"/>
    <s v="Prescribed Hourly Rates"/>
    <s v="Profit Cost"/>
    <s v="PM"/>
    <s v="Y"/>
    <n v="113.6"/>
    <n v="22.72"/>
    <x v="3"/>
    <s v="VALIDATED"/>
    <n v="1"/>
    <s v="01.11.80.307.6100.0000"/>
    <n v="113.6"/>
    <s v="11"/>
    <s v="6100"/>
    <n v="49509.54"/>
    <n v="113.6"/>
    <s v="CREDITOR"/>
    <n v="0"/>
    <n v="0"/>
    <n v="0"/>
    <n v="0"/>
    <n v="113.6"/>
  </r>
  <r>
    <n v="60325701"/>
    <s v="N"/>
    <n v="21318301"/>
    <s v="3000014625530008"/>
    <s v="CIVIL"/>
    <d v="2023-06-22T00:00:00"/>
    <d v="2023-07-03T19:01:49"/>
    <m/>
    <d v="2023-07-03T00:00:00"/>
    <n v="270"/>
    <n v="891"/>
    <s v="60325701"/>
    <s v="60325701"/>
    <m/>
    <m/>
    <n v="22742148"/>
    <m/>
    <m/>
    <m/>
    <s v="SOLFIN"/>
    <s v="SOLFIN"/>
    <s v="CCMS"/>
    <n v="21318301"/>
    <n v="9824.93"/>
    <m/>
    <s v="N"/>
    <n v="4"/>
    <d v="2023-07-03T19:01:53"/>
    <s v="Y"/>
    <s v="Interim Hearing Court Bundle/Advoca"/>
    <s v="Public Law Children"/>
    <s v="Advocacy"/>
    <s v="Penelope Moult"/>
    <s v="Y"/>
    <n v="89.09999999999999"/>
    <n v="17.82"/>
    <x v="3"/>
    <s v="VALIDATED"/>
    <n v="1"/>
    <s v="01.11.80.308.6100.0000"/>
    <n v="89.09999999999999"/>
    <s v="11"/>
    <s v="6100"/>
    <n v="49509.54"/>
    <n v="89.09999999999999"/>
    <s v="CREDITOR"/>
    <n v="0"/>
    <n v="0"/>
    <n v="0"/>
    <n v="0"/>
    <n v="89.09999999999999"/>
  </r>
  <r>
    <n v="7431730"/>
    <s v="N"/>
    <n v="21318708"/>
    <s v="3000003621200005"/>
    <s v="CIVIL"/>
    <d v="2023-06-22T00:00:00"/>
    <d v="2023-07-03T19:01:49"/>
    <m/>
    <d v="2023-07-03T00:00:00"/>
    <n v="270"/>
    <n v="891"/>
    <s v="7431730"/>
    <s v="7431730"/>
    <m/>
    <m/>
    <n v="22747114"/>
    <m/>
    <m/>
    <m/>
    <s v="SOLFIN"/>
    <s v="SOLFIN"/>
    <s v="CCMS"/>
    <n v="21318708"/>
    <n v="22428.48"/>
    <m/>
    <s v="N"/>
    <n v="61"/>
    <d v="2023-07-03T19:02:01"/>
    <s v="Y"/>
    <s v="Preparation - other"/>
    <s v="Prescribed Hourly Rates"/>
    <s v="Profit Cost"/>
    <s v="PM"/>
    <s v="Y"/>
    <n v="24.35"/>
    <n v="4.87"/>
    <x v="3"/>
    <s v="VALIDATED"/>
    <n v="1"/>
    <s v="01.11.80.307.6100.0000"/>
    <n v="24.35"/>
    <s v="11"/>
    <s v="6100"/>
    <n v="49509.54"/>
    <n v="24.35"/>
    <s v="CREDITOR"/>
    <n v="0"/>
    <n v="0"/>
    <n v="0"/>
    <n v="0"/>
    <n v="24.35"/>
  </r>
  <r>
    <n v="7431730"/>
    <s v="N"/>
    <n v="21318708"/>
    <s v="3000003621200005"/>
    <s v="CIVIL"/>
    <d v="2023-06-22T00:00:00"/>
    <d v="2023-07-03T19:01:49"/>
    <m/>
    <d v="2023-07-03T00:00:00"/>
    <n v="270"/>
    <n v="891"/>
    <s v="7431730"/>
    <s v="7431730"/>
    <m/>
    <m/>
    <n v="22747114"/>
    <m/>
    <m/>
    <m/>
    <s v="SOLFIN"/>
    <s v="SOLFIN"/>
    <s v="CCMS"/>
    <n v="21318708"/>
    <n v="22428.48"/>
    <m/>
    <s v="N"/>
    <n v="117"/>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60325701"/>
    <s v="N"/>
    <n v="21318301"/>
    <s v="3000014625530008"/>
    <s v="CIVIL"/>
    <d v="2023-06-22T00:00:00"/>
    <d v="2023-07-03T19:01:49"/>
    <m/>
    <d v="2023-07-03T00:00:00"/>
    <n v="270"/>
    <n v="891"/>
    <s v="60325701"/>
    <s v="60325701"/>
    <m/>
    <m/>
    <n v="22742148"/>
    <m/>
    <m/>
    <m/>
    <s v="SOLFIN"/>
    <s v="SOLFIN"/>
    <s v="CCMS"/>
    <n v="21318301"/>
    <n v="9824.93"/>
    <m/>
    <s v="N"/>
    <n v="24"/>
    <d v="2023-07-03T19:01:53"/>
    <s v="Y"/>
    <s v="Solicitor Travel Mileage"/>
    <s v="Public Law Children"/>
    <s v="Non Expert Disbursement"/>
    <s v="PM"/>
    <s v="Y"/>
    <n v="27"/>
    <n v="5.4"/>
    <x v="3"/>
    <s v="VALIDATED"/>
    <n v="1"/>
    <s v="01.11.80.308.6300.0000"/>
    <n v="27"/>
    <s v="11"/>
    <s v="6300"/>
    <n v="49509.54"/>
    <n v="27"/>
    <s v="CREDITOR"/>
    <n v="0"/>
    <n v="0"/>
    <n v="0"/>
    <n v="0"/>
    <n v="27"/>
  </r>
  <r>
    <n v="60325701"/>
    <s v="N"/>
    <n v="21318301"/>
    <s v="3000014625530008"/>
    <s v="CIVIL"/>
    <d v="2023-06-22T00:00:00"/>
    <d v="2023-07-03T19:01:49"/>
    <m/>
    <d v="2023-07-03T00:00:00"/>
    <n v="270"/>
    <n v="891"/>
    <s v="60325701"/>
    <s v="60325701"/>
    <m/>
    <m/>
    <n v="22742148"/>
    <m/>
    <m/>
    <m/>
    <s v="SOLFIN"/>
    <s v="SOLFIN"/>
    <s v="CCMS"/>
    <n v="21318301"/>
    <n v="9824.93"/>
    <m/>
    <s v="N"/>
    <n v="8"/>
    <d v="2023-07-03T19:01:53"/>
    <s v="Y"/>
    <s v="Exceptional Travel"/>
    <s v="Public Law Children"/>
    <s v="Advocacy"/>
    <s v="Penelope Moult"/>
    <s v="Y"/>
    <n v="32.04"/>
    <n v="6.41"/>
    <x v="3"/>
    <s v="VALIDATED"/>
    <n v="1"/>
    <s v="01.11.80.308.6100.0000"/>
    <n v="32.04"/>
    <s v="11"/>
    <s v="6100"/>
    <n v="49509.54"/>
    <n v="32.04"/>
    <s v="CREDITOR"/>
    <n v="0"/>
    <n v="0"/>
    <n v="0"/>
    <n v="0"/>
    <n v="32.04"/>
  </r>
  <r>
    <n v="7431730"/>
    <s v="N"/>
    <n v="21318708"/>
    <s v="3000003621200005"/>
    <s v="CIVIL"/>
    <d v="2023-06-22T00:00:00"/>
    <d v="2023-07-03T19:01:49"/>
    <m/>
    <d v="2023-07-03T00:00:00"/>
    <n v="270"/>
    <n v="891"/>
    <s v="7431730"/>
    <s v="7431730"/>
    <m/>
    <m/>
    <n v="22747114"/>
    <m/>
    <m/>
    <m/>
    <s v="SOLFIN"/>
    <s v="SOLFIN"/>
    <s v="CCMS"/>
    <n v="21318708"/>
    <n v="22428.48"/>
    <m/>
    <s v="N"/>
    <n v="94"/>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104"/>
    <d v="2023-07-03T19:02:01"/>
    <s v="Y"/>
    <s v="Preparation - other"/>
    <s v="Prescribed Hourly Rates"/>
    <s v="Profit Cost"/>
    <s v="PM"/>
    <s v="Y"/>
    <n v="16.23"/>
    <n v="3.25"/>
    <x v="3"/>
    <s v="VALIDATED"/>
    <n v="1"/>
    <s v="01.11.80.307.6100.0000"/>
    <n v="16.23"/>
    <s v="11"/>
    <s v="6100"/>
    <n v="49509.54"/>
    <n v="16.23"/>
    <s v="CREDITOR"/>
    <n v="0"/>
    <n v="0"/>
    <n v="0"/>
    <n v="0"/>
    <n v="16.23"/>
  </r>
  <r>
    <n v="7431730"/>
    <s v="N"/>
    <n v="21318708"/>
    <s v="3000003621200005"/>
    <s v="CIVIL"/>
    <d v="2023-06-22T00:00:00"/>
    <d v="2023-07-03T19:01:49"/>
    <m/>
    <d v="2023-07-03T00:00:00"/>
    <n v="270"/>
    <n v="891"/>
    <s v="7431730"/>
    <s v="7431730"/>
    <m/>
    <m/>
    <n v="22747114"/>
    <m/>
    <m/>
    <m/>
    <s v="SOLFIN"/>
    <s v="SOLFIN"/>
    <s v="CCMS"/>
    <n v="21318708"/>
    <n v="22428.48"/>
    <m/>
    <s v="N"/>
    <n v="66"/>
    <d v="2023-07-03T19:02:01"/>
    <s v="Y"/>
    <s v="Preparation - other"/>
    <s v="Prescribed Hourly Rates"/>
    <s v="Profit Cost"/>
    <s v="PM"/>
    <s v="Y"/>
    <n v="40.57"/>
    <n v="8.109999999999999"/>
    <x v="3"/>
    <s v="VALIDATED"/>
    <n v="1"/>
    <s v="01.11.80.307.6100.0000"/>
    <n v="40.57"/>
    <s v="11"/>
    <s v="6100"/>
    <n v="49509.54"/>
    <n v="40.57"/>
    <s v="CREDITOR"/>
    <n v="0"/>
    <n v="0"/>
    <n v="0"/>
    <n v="0"/>
    <n v="40.57"/>
  </r>
  <r>
    <n v="60258535"/>
    <s v="N"/>
    <n v="21318601"/>
    <s v="3000014566280010"/>
    <s v="CIVIL"/>
    <d v="2023-06-22T00:00:00"/>
    <d v="2023-07-03T19:01:49"/>
    <m/>
    <d v="2023-07-03T00:00:00"/>
    <n v="270"/>
    <n v="891"/>
    <s v="60258535"/>
    <s v="60258535"/>
    <m/>
    <m/>
    <n v="22748030"/>
    <m/>
    <m/>
    <m/>
    <s v="SOLFIN"/>
    <s v="SOLFIN"/>
    <s v="CCMS"/>
    <n v="21318601"/>
    <n v="8270.030000000001"/>
    <m/>
    <s v="N"/>
    <n v="16"/>
    <d v="2023-07-03T19:02:00"/>
    <s v="Y"/>
    <s v="Advocates Meeting"/>
    <s v="Public Law Children"/>
    <s v="Advocacy"/>
    <s v="Kate Siddall"/>
    <s v="Y"/>
    <n v="140.99"/>
    <n v="28.2"/>
    <x v="3"/>
    <s v="VALIDATED"/>
    <n v="1"/>
    <s v="01.11.80.308.6100.0000"/>
    <n v="140.99"/>
    <s v="11"/>
    <s v="6100"/>
    <n v="49509.54"/>
    <n v="140.99"/>
    <s v="CREDITOR"/>
    <n v="0"/>
    <n v="0"/>
    <n v="0"/>
    <n v="0"/>
    <n v="140.99"/>
  </r>
  <r>
    <n v="42259627"/>
    <s v="N"/>
    <n v="21331008"/>
    <s v="3000011285920006"/>
    <s v="CIVIL"/>
    <d v="2023-06-23T00:00:00"/>
    <d v="2023-07-05T19:01:47"/>
    <m/>
    <d v="2023-07-05T00:00:00"/>
    <n v="270"/>
    <n v="891"/>
    <s v="42259627"/>
    <s v="42259627"/>
    <m/>
    <m/>
    <n v="22756168"/>
    <m/>
    <m/>
    <m/>
    <s v="SOLFIN"/>
    <s v="SOLFIN"/>
    <s v="CCMS"/>
    <n v="21331008"/>
    <n v="11329.24"/>
    <m/>
    <s v="N"/>
    <n v="22"/>
    <d v="2023-07-05T19:02:01"/>
    <s v="Y"/>
    <s v="Solicitors Fixed Fee"/>
    <s v="Public Law Children"/>
    <s v="Profit Cost"/>
    <s v="Maria Orme"/>
    <s v="Y"/>
    <n v="2013"/>
    <n v="402.6"/>
    <x v="6"/>
    <s v="VALIDATED"/>
    <n v="1"/>
    <s v="01.11.80.308.6100.0000"/>
    <n v="2013"/>
    <s v="11"/>
    <s v="6100"/>
    <n v="49509.54"/>
    <n v="2013"/>
    <s v="CREDITOR"/>
    <n v="0"/>
    <n v="0"/>
    <n v="0"/>
    <n v="0"/>
    <n v="2013"/>
  </r>
  <r>
    <n v="60258535"/>
    <s v="N"/>
    <n v="21318601"/>
    <s v="3000014566280010"/>
    <s v="CIVIL"/>
    <d v="2023-06-22T00:00:00"/>
    <d v="2023-07-03T19:01:49"/>
    <m/>
    <d v="2023-07-03T00:00:00"/>
    <n v="270"/>
    <n v="891"/>
    <s v="60258535"/>
    <s v="60258535"/>
    <m/>
    <m/>
    <n v="22748030"/>
    <m/>
    <m/>
    <m/>
    <s v="SOLFIN"/>
    <s v="SOLFIN"/>
    <s v="CCMS"/>
    <n v="21318601"/>
    <n v="8270.030000000001"/>
    <m/>
    <s v="N"/>
    <n v="10"/>
    <d v="2023-07-03T19:02:00"/>
    <s v="Y"/>
    <s v="Toxicologist"/>
    <s v="Public Law Children"/>
    <s v="Expert Disbursement"/>
    <s v="Kate Siddall"/>
    <s v="Y"/>
    <n v="132"/>
    <n v="26.4"/>
    <x v="3"/>
    <s v="VALIDATED"/>
    <n v="1"/>
    <s v="01.11.80.308.6300.0000"/>
    <n v="132"/>
    <s v="11"/>
    <s v="6300"/>
    <n v="49509.54"/>
    <n v="132"/>
    <s v="CREDITOR"/>
    <n v="0"/>
    <n v="0"/>
    <n v="0"/>
    <n v="0"/>
    <n v="132"/>
  </r>
  <r>
    <n v="7431730"/>
    <s v="N"/>
    <n v="21318708"/>
    <s v="3000003621200005"/>
    <s v="CIVIL"/>
    <d v="2023-06-22T00:00:00"/>
    <d v="2023-07-03T19:01:49"/>
    <m/>
    <d v="2023-07-03T00:00:00"/>
    <n v="270"/>
    <n v="891"/>
    <s v="7431730"/>
    <s v="7431730"/>
    <m/>
    <m/>
    <n v="22747114"/>
    <m/>
    <m/>
    <m/>
    <s v="SOLFIN"/>
    <s v="SOLFIN"/>
    <s v="CCMS"/>
    <n v="21318708"/>
    <n v="22428.48"/>
    <m/>
    <s v="N"/>
    <n v="89"/>
    <d v="2023-07-03T19:02:01"/>
    <s v="Y"/>
    <s v="Preparation - other"/>
    <s v="Prescribed Hourly Rates"/>
    <s v="Profit Cost"/>
    <s v="PM"/>
    <s v="Y"/>
    <n v="40.57"/>
    <n v="8.109999999999999"/>
    <x v="3"/>
    <s v="VALIDATED"/>
    <n v="1"/>
    <s v="01.11.80.307.6100.0000"/>
    <n v="40.57"/>
    <s v="11"/>
    <s v="6100"/>
    <n v="49509.54"/>
    <n v="40.57"/>
    <s v="CREDITOR"/>
    <n v="0"/>
    <n v="0"/>
    <n v="0"/>
    <n v="0"/>
    <n v="40.57"/>
  </r>
  <r>
    <n v="40144488"/>
    <s v="N"/>
    <n v="21320163"/>
    <s v="3000010767640023"/>
    <s v="CIVIL"/>
    <d v="2023-06-27T00:00:00"/>
    <d v="2023-07-03T19:04:24"/>
    <m/>
    <d v="2023-07-03T00:00:00"/>
    <n v="270"/>
    <n v="891"/>
    <s v="40144488"/>
    <s v="40144488"/>
    <m/>
    <m/>
    <n v="22774946"/>
    <m/>
    <m/>
    <m/>
    <s v="SOLFIN"/>
    <s v="SOLFIN"/>
    <s v="CCMS"/>
    <n v="21320163"/>
    <n v="27986.95"/>
    <m/>
    <s v="N"/>
    <n v="12"/>
    <d v="2023-07-03T19:04:29"/>
    <s v="Y"/>
    <s v="Under-Run Payment (Events Model)"/>
    <s v="VHCC"/>
    <s v="Profit Cost"/>
    <s v="Dinuka Sivaneswaran"/>
    <s v="Y"/>
    <n v="2317.5"/>
    <n v="463.5"/>
    <x v="3"/>
    <s v="VALIDATED"/>
    <n v="1"/>
    <s v="01.11.80.308.6100.0000"/>
    <n v="2317.5"/>
    <s v="11"/>
    <s v="6100"/>
    <n v="49509.54"/>
    <n v="2317.5"/>
    <s v="CREDITOR"/>
    <n v="0"/>
    <n v="0"/>
    <n v="0"/>
    <n v="0"/>
    <n v="2317.5"/>
  </r>
  <r>
    <n v="7431730"/>
    <s v="N"/>
    <n v="21318708"/>
    <s v="3000003621200005"/>
    <s v="CIVIL"/>
    <d v="2023-06-22T00:00:00"/>
    <d v="2023-07-03T19:01:49"/>
    <m/>
    <d v="2023-07-03T00:00:00"/>
    <n v="270"/>
    <n v="891"/>
    <s v="7431730"/>
    <s v="7431730"/>
    <m/>
    <m/>
    <n v="22747114"/>
    <m/>
    <m/>
    <m/>
    <s v="SOLFIN"/>
    <s v="SOLFIN"/>
    <s v="CCMS"/>
    <n v="21318708"/>
    <n v="22428.48"/>
    <m/>
    <s v="N"/>
    <n v="79"/>
    <d v="2023-07-03T19:02:01"/>
    <s v="Y"/>
    <s v="Attendance upon client"/>
    <s v="Prescribed Hourly Rates"/>
    <s v="Profit Cost"/>
    <s v="PM"/>
    <s v="Y"/>
    <n v="48.69"/>
    <n v="9.74"/>
    <x v="3"/>
    <s v="VALIDATED"/>
    <n v="1"/>
    <s v="01.11.80.307.6100.0000"/>
    <n v="48.69"/>
    <s v="11"/>
    <s v="6100"/>
    <n v="49509.54"/>
    <n v="48.69"/>
    <s v="CREDITOR"/>
    <n v="0"/>
    <n v="0"/>
    <n v="0"/>
    <n v="0"/>
    <n v="48.69"/>
  </r>
  <r>
    <n v="60258535"/>
    <s v="N"/>
    <n v="21318601"/>
    <s v="3000014566280010"/>
    <s v="CIVIL"/>
    <d v="2023-06-22T00:00:00"/>
    <d v="2023-07-03T19:01:49"/>
    <m/>
    <d v="2023-07-03T00:00:00"/>
    <n v="270"/>
    <n v="891"/>
    <s v="60258535"/>
    <s v="60258535"/>
    <m/>
    <m/>
    <n v="22748030"/>
    <m/>
    <m/>
    <m/>
    <s v="SOLFIN"/>
    <s v="SOLFIN"/>
    <s v="CCMS"/>
    <n v="21318601"/>
    <n v="8270.030000000001"/>
    <m/>
    <s v="N"/>
    <n v="14"/>
    <d v="2023-07-03T19:02:00"/>
    <s v="Y"/>
    <s v="Advocates Meeting"/>
    <s v="Public Law Children"/>
    <s v="Advocacy"/>
    <s v="Kate Siddall"/>
    <s v="Y"/>
    <n v="140.99"/>
    <n v="28.2"/>
    <x v="3"/>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134"/>
    <d v="2023-07-03T19:02:01"/>
    <s v="N"/>
    <m/>
    <m/>
    <s v="Overall Adjustment"/>
    <m/>
    <s v="N"/>
    <n v="-269.69"/>
    <n v="-53.94"/>
    <x v="3"/>
    <s v="VALIDATED"/>
    <n v="1"/>
    <s v="01.11.80.307.6100.0000"/>
    <n v="-269.69"/>
    <s v="11"/>
    <s v="6100"/>
    <n v="49509.54"/>
    <n v="-269.69"/>
    <s v="CREDITOR"/>
    <n v="0"/>
    <n v="0"/>
    <n v="0"/>
    <n v="0"/>
    <n v="-269.69"/>
  </r>
  <r>
    <n v="60325701"/>
    <s v="N"/>
    <n v="21318301"/>
    <s v="3000014625530008"/>
    <s v="CIVIL"/>
    <d v="2023-06-22T00:00:00"/>
    <d v="2023-07-03T19:01:49"/>
    <m/>
    <d v="2023-07-03T00:00:00"/>
    <n v="270"/>
    <n v="891"/>
    <s v="60325701"/>
    <s v="60325701"/>
    <m/>
    <m/>
    <n v="22742148"/>
    <m/>
    <m/>
    <m/>
    <s v="SOLFIN"/>
    <s v="SOLFIN"/>
    <s v="CCMS"/>
    <n v="21318301"/>
    <n v="9824.93"/>
    <m/>
    <s v="N"/>
    <n v="32"/>
    <d v="2023-07-03T19:01:53"/>
    <s v="Y"/>
    <s v="Advocates Meeting"/>
    <s v="Public Law Children"/>
    <s v="Advocacy"/>
    <s v="Penelope Moult"/>
    <s v="Y"/>
    <n v="140.99"/>
    <n v="28.2"/>
    <x v="3"/>
    <s v="VALIDATED"/>
    <n v="1"/>
    <s v="01.11.80.308.6100.0000"/>
    <n v="140.99"/>
    <s v="11"/>
    <s v="6100"/>
    <n v="49509.54"/>
    <n v="140.99"/>
    <s v="CREDITOR"/>
    <n v="0"/>
    <n v="0"/>
    <n v="0"/>
    <n v="0"/>
    <n v="140.99"/>
  </r>
  <r>
    <n v="7431730"/>
    <s v="N"/>
    <n v="21318708"/>
    <s v="3000003621200005"/>
    <s v="CIVIL"/>
    <d v="2023-06-22T00:00:00"/>
    <d v="2023-07-03T19:01:49"/>
    <m/>
    <d v="2023-07-03T00:00:00"/>
    <n v="270"/>
    <n v="891"/>
    <s v="7431730"/>
    <s v="7431730"/>
    <m/>
    <m/>
    <n v="22747114"/>
    <m/>
    <m/>
    <m/>
    <s v="SOLFIN"/>
    <s v="SOLFIN"/>
    <s v="CCMS"/>
    <n v="21318708"/>
    <n v="22428.48"/>
    <m/>
    <s v="N"/>
    <n v="1"/>
    <d v="2023-07-03T19:02:01"/>
    <s v="N"/>
    <s v="Solicitor Travel Mileage"/>
    <s v="Prescribed Hourly Rates"/>
    <s v="Non Expert Disbursement"/>
    <s v="PEM"/>
    <s v="N"/>
    <n v="13.5"/>
    <n v="0"/>
    <x v="3"/>
    <s v="VALIDATED"/>
    <n v="1"/>
    <s v="01.11.80.307.6300.0000"/>
    <n v="13.5"/>
    <s v="11"/>
    <s v="6300"/>
    <n v="49509.54"/>
    <n v="13.5"/>
    <s v="CREDITOR"/>
    <n v="0"/>
    <n v="0"/>
    <n v="0"/>
    <n v="0"/>
    <n v="13.5"/>
  </r>
  <r>
    <n v="42259627"/>
    <s v="N"/>
    <n v="21331008"/>
    <s v="3000011285920006"/>
    <s v="CIVIL"/>
    <d v="2023-06-23T00:00:00"/>
    <d v="2023-07-05T19:01:47"/>
    <m/>
    <d v="2023-07-05T00:00:00"/>
    <n v="270"/>
    <n v="891"/>
    <s v="42259627"/>
    <s v="42259627"/>
    <m/>
    <m/>
    <n v="22756168"/>
    <m/>
    <m/>
    <m/>
    <s v="SOLFIN"/>
    <s v="SOLFIN"/>
    <s v="CCMS"/>
    <n v="21331008"/>
    <n v="11329.24"/>
    <m/>
    <s v="N"/>
    <n v="19"/>
    <d v="2023-07-05T19:02:01"/>
    <s v="Y"/>
    <s v="Final Hearing - 3 Days"/>
    <s v="Public Law Children"/>
    <s v="Advocacy"/>
    <s v="Maria Orme"/>
    <s v="Y"/>
    <n v="2088.3"/>
    <n v="417.66"/>
    <x v="6"/>
    <s v="VALIDATED"/>
    <n v="1"/>
    <s v="01.11.80.308.6100.0000"/>
    <n v="2088.3"/>
    <s v="11"/>
    <s v="6100"/>
    <n v="49509.54"/>
    <n v="2088.3"/>
    <s v="CREDITOR"/>
    <n v="0"/>
    <n v="0"/>
    <n v="0"/>
    <n v="0"/>
    <n v="2088.3"/>
  </r>
  <r>
    <n v="7431730"/>
    <s v="N"/>
    <n v="21318708"/>
    <s v="3000003621200005"/>
    <s v="CIVIL"/>
    <d v="2023-06-22T00:00:00"/>
    <d v="2023-07-03T19:01:49"/>
    <m/>
    <d v="2023-07-03T00:00:00"/>
    <n v="270"/>
    <n v="891"/>
    <s v="7431730"/>
    <s v="7431730"/>
    <m/>
    <m/>
    <n v="22747114"/>
    <m/>
    <m/>
    <m/>
    <s v="SOLFIN"/>
    <s v="SOLFIN"/>
    <s v="CCMS"/>
    <n v="21318708"/>
    <n v="22428.48"/>
    <m/>
    <s v="N"/>
    <n v="73"/>
    <d v="2023-07-03T19:02:01"/>
    <s v="Y"/>
    <s v="Preparation - other"/>
    <s v="Prescribed Hourly Rates"/>
    <s v="Profit Cost"/>
    <s v="PM"/>
    <s v="Y"/>
    <n v="16.23"/>
    <n v="3.25"/>
    <x v="3"/>
    <s v="VALIDATED"/>
    <n v="1"/>
    <s v="01.11.80.307.6100.0000"/>
    <n v="16.23"/>
    <s v="11"/>
    <s v="6100"/>
    <n v="49509.54"/>
    <n v="16.23"/>
    <s v="CREDITOR"/>
    <n v="0"/>
    <n v="0"/>
    <n v="0"/>
    <n v="0"/>
    <n v="16.23"/>
  </r>
  <r>
    <n v="60258535"/>
    <s v="N"/>
    <n v="21318601"/>
    <s v="3000014566280010"/>
    <s v="CIVIL"/>
    <d v="2023-06-22T00:00:00"/>
    <d v="2023-07-03T19:01:49"/>
    <m/>
    <d v="2023-07-03T00:00:00"/>
    <n v="270"/>
    <n v="891"/>
    <s v="60258535"/>
    <s v="60258535"/>
    <m/>
    <m/>
    <n v="22748030"/>
    <m/>
    <m/>
    <m/>
    <s v="SOLFIN"/>
    <s v="SOLFIN"/>
    <s v="CCMS"/>
    <n v="21318601"/>
    <n v="8270.030000000001"/>
    <m/>
    <s v="N"/>
    <n v="11"/>
    <d v="2023-07-03T19:02:00"/>
    <s v="Y"/>
    <s v="Hearing Unit 2.31 - 5.00 Hours"/>
    <s v="Public Law Children"/>
    <s v="Advocacy"/>
    <s v="Kate Siddall"/>
    <s v="Y"/>
    <n v="476.92"/>
    <n v="95.38"/>
    <x v="3"/>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97"/>
    <d v="2023-07-03T19:02:01"/>
    <s v="Y"/>
    <s v="Preparation - other"/>
    <s v="Prescribed Hourly Rates"/>
    <s v="Profit Cost"/>
    <s v="PM"/>
    <s v="Y"/>
    <n v="40.57"/>
    <n v="8.109999999999999"/>
    <x v="3"/>
    <s v="VALIDATED"/>
    <n v="1"/>
    <s v="01.11.80.307.6100.0000"/>
    <n v="40.57"/>
    <s v="11"/>
    <s v="6100"/>
    <n v="49509.54"/>
    <n v="40.57"/>
    <s v="CREDITOR"/>
    <n v="0"/>
    <n v="0"/>
    <n v="0"/>
    <n v="0"/>
    <n v="40.57"/>
  </r>
  <r>
    <n v="60485628"/>
    <s v="N"/>
    <n v="21369638"/>
    <s v="3000014763550002"/>
    <s v="CIVIL"/>
    <d v="2023-06-19T00:00:00"/>
    <d v="2023-07-13T19:21:05"/>
    <m/>
    <d v="2023-07-13T00:00:00"/>
    <n v="270"/>
    <n v="891"/>
    <s v="60485628"/>
    <s v="60485628"/>
    <m/>
    <m/>
    <n v="22711824"/>
    <m/>
    <m/>
    <m/>
    <s v="SOLFIN"/>
    <s v="SOLFIN"/>
    <s v="CCMS"/>
    <n v="21369638"/>
    <n v="1641.88"/>
    <m/>
    <s v="N"/>
    <n v="5"/>
    <d v="2023-07-13T19:21:08"/>
    <s v="Y"/>
    <s v="Preparation - other"/>
    <s v="Prescribed Hourly Rates"/>
    <s v="Profit Cost"/>
    <s v="Penelope Moult"/>
    <s v="Y"/>
    <n v="13.66"/>
    <n v="2.73"/>
    <x v="11"/>
    <s v="VALIDATED"/>
    <n v="1"/>
    <s v="01.11.80.307.6100.0000"/>
    <n v="13.66"/>
    <s v="11"/>
    <s v="6100"/>
    <n v="49509.54"/>
    <n v="13.66"/>
    <s v="CREDITOR"/>
    <n v="0"/>
    <n v="0"/>
    <n v="0"/>
    <n v="0"/>
    <n v="13.66"/>
  </r>
  <r>
    <n v="60931174"/>
    <s v="N"/>
    <n v="21319946"/>
    <s v="3000015148870021"/>
    <s v="CIVIL"/>
    <d v="2023-06-26T00:00:00"/>
    <d v="2023-07-03T19:04:24"/>
    <m/>
    <d v="2023-07-03T00:00:00"/>
    <n v="270"/>
    <n v="891"/>
    <s v="60931174"/>
    <s v="60931174"/>
    <m/>
    <m/>
    <n v="22763434"/>
    <m/>
    <m/>
    <m/>
    <s v="SOLPOA"/>
    <s v="SOLPOA"/>
    <s v="CCMS"/>
    <n v="21319946"/>
    <n v="972.67"/>
    <m/>
    <s v="N"/>
    <n v="1"/>
    <d v="2023-07-03T19:04:28"/>
    <s v="N"/>
    <s v="Expert Cost"/>
    <s v="Expert Cost"/>
    <s v="Expert Disbursement"/>
    <s v="Miriam de Souza"/>
    <s v="N"/>
    <n v="972.67"/>
    <n v="0"/>
    <x v="3"/>
    <s v="VALIDATED"/>
    <n v="1"/>
    <s v="01.11.80.308.2012.0000"/>
    <n v="972.67"/>
    <s v="11"/>
    <s v="2012"/>
    <n v="49509.54"/>
    <n v="972.67"/>
    <s v="CREDITOR"/>
    <n v="972.67"/>
    <n v="0"/>
    <n v="0"/>
    <n v="0"/>
    <n v="0"/>
  </r>
  <r>
    <n v="7431730"/>
    <s v="N"/>
    <n v="21318708"/>
    <s v="3000003621200005"/>
    <s v="CIVIL"/>
    <d v="2023-06-22T00:00:00"/>
    <d v="2023-07-03T19:01:49"/>
    <m/>
    <d v="2023-07-03T00:00:00"/>
    <n v="270"/>
    <n v="891"/>
    <s v="7431730"/>
    <s v="7431730"/>
    <m/>
    <m/>
    <n v="22747114"/>
    <m/>
    <m/>
    <m/>
    <s v="SOLFIN"/>
    <s v="SOLFIN"/>
    <s v="CCMS"/>
    <n v="21318708"/>
    <n v="22428.48"/>
    <m/>
    <s v="N"/>
    <n v="42"/>
    <d v="2023-07-03T19:02:01"/>
    <s v="Y"/>
    <s v="Preparation - other"/>
    <s v="Prescribed Hourly Rates"/>
    <s v="Profit Cost"/>
    <s v="PM"/>
    <s v="Y"/>
    <n v="24.35"/>
    <n v="4.87"/>
    <x v="3"/>
    <s v="VALIDATED"/>
    <n v="1"/>
    <s v="01.11.80.307.6100.0000"/>
    <n v="24.35"/>
    <s v="11"/>
    <s v="6100"/>
    <n v="49509.54"/>
    <n v="24.35"/>
    <s v="CREDITOR"/>
    <n v="0"/>
    <n v="0"/>
    <n v="0"/>
    <n v="0"/>
    <n v="24.35"/>
  </r>
  <r>
    <n v="60325701"/>
    <s v="N"/>
    <n v="21318301"/>
    <s v="3000014625530008"/>
    <s v="CIVIL"/>
    <d v="2023-06-22T00:00:00"/>
    <d v="2023-07-03T19:01:49"/>
    <m/>
    <d v="2023-07-03T00:00:00"/>
    <n v="270"/>
    <n v="891"/>
    <s v="60325701"/>
    <s v="60325701"/>
    <m/>
    <m/>
    <n v="22742148"/>
    <m/>
    <m/>
    <m/>
    <s v="SOLFIN"/>
    <s v="SOLFIN"/>
    <s v="CCMS"/>
    <n v="21318301"/>
    <n v="9824.93"/>
    <m/>
    <s v="N"/>
    <n v="29"/>
    <d v="2023-07-03T19:01:53"/>
    <s v="Y"/>
    <s v="Hearing Unit 2.31 - 5.00 Hours"/>
    <s v="Public Law Children"/>
    <s v="Advocacy"/>
    <s v="Penelope Moult"/>
    <s v="Y"/>
    <n v="476.92"/>
    <n v="95.38"/>
    <x v="3"/>
    <s v="VALIDATED"/>
    <n v="1"/>
    <s v="01.11.80.308.6100.0000"/>
    <n v="476.92"/>
    <s v="11"/>
    <s v="6100"/>
    <n v="49509.54"/>
    <n v="476.92"/>
    <s v="CREDITOR"/>
    <n v="0"/>
    <n v="0"/>
    <n v="0"/>
    <n v="0"/>
    <n v="476.92"/>
  </r>
  <r>
    <n v="7431730"/>
    <s v="N"/>
    <n v="21318708"/>
    <s v="3000003621200005"/>
    <s v="CIVIL"/>
    <d v="2023-06-22T00:00:00"/>
    <d v="2023-07-03T19:01:49"/>
    <m/>
    <d v="2023-07-03T00:00:00"/>
    <n v="270"/>
    <n v="891"/>
    <s v="7431730"/>
    <s v="7431730"/>
    <m/>
    <m/>
    <n v="22747114"/>
    <m/>
    <m/>
    <m/>
    <s v="SOLFIN"/>
    <s v="SOLFIN"/>
    <s v="CCMS"/>
    <n v="21318708"/>
    <n v="22428.48"/>
    <m/>
    <s v="N"/>
    <n v="70"/>
    <d v="2023-07-03T19:02:01"/>
    <s v="Y"/>
    <s v="Preparation - other"/>
    <s v="Prescribed Hourly Rates"/>
    <s v="Profit Cost"/>
    <s v="PM"/>
    <s v="Y"/>
    <n v="16.23"/>
    <n v="3.25"/>
    <x v="3"/>
    <s v="VALIDATED"/>
    <n v="1"/>
    <s v="01.11.80.307.6100.0000"/>
    <n v="16.23"/>
    <s v="11"/>
    <s v="6100"/>
    <n v="49509.54"/>
    <n v="16.23"/>
    <s v="CREDITOR"/>
    <n v="0"/>
    <n v="0"/>
    <n v="0"/>
    <n v="0"/>
    <n v="16.23"/>
  </r>
  <r>
    <n v="60258535"/>
    <s v="N"/>
    <n v="21318601"/>
    <s v="3000014566280010"/>
    <s v="CIVIL"/>
    <d v="2023-06-22T00:00:00"/>
    <d v="2023-07-03T19:01:49"/>
    <m/>
    <d v="2023-07-03T00:00:00"/>
    <n v="270"/>
    <n v="891"/>
    <s v="60258535"/>
    <s v="60258535"/>
    <m/>
    <m/>
    <n v="22748030"/>
    <m/>
    <m/>
    <m/>
    <s v="SOLFIN"/>
    <s v="SOLFIN"/>
    <s v="CCMS"/>
    <n v="21318601"/>
    <n v="8270.030000000001"/>
    <m/>
    <s v="N"/>
    <n v="17"/>
    <d v="2023-07-03T19:02:00"/>
    <s v="Y"/>
    <s v="Hearing Unit 2.31 - 5.00 Hours"/>
    <s v="Public Law Children"/>
    <s v="Advocacy"/>
    <s v="Kate Siddall"/>
    <s v="Y"/>
    <n v="476.92"/>
    <n v="95.38"/>
    <x v="3"/>
    <s v="VALIDATED"/>
    <n v="1"/>
    <s v="01.11.80.308.6100.0000"/>
    <n v="476.92"/>
    <s v="11"/>
    <s v="6100"/>
    <n v="49509.54"/>
    <n v="476.92"/>
    <s v="CREDITOR"/>
    <n v="0"/>
    <n v="0"/>
    <n v="0"/>
    <n v="0"/>
    <n v="476.92"/>
  </r>
  <r>
    <n v="60485628"/>
    <s v="N"/>
    <n v="21369638"/>
    <s v="3000014763550002"/>
    <s v="CIVIL"/>
    <d v="2023-06-19T00:00:00"/>
    <d v="2023-07-13T19:21:05"/>
    <m/>
    <d v="2023-07-13T00:00:00"/>
    <n v="270"/>
    <n v="891"/>
    <s v="60485628"/>
    <s v="60485628"/>
    <m/>
    <m/>
    <n v="22711824"/>
    <m/>
    <m/>
    <m/>
    <s v="SOLFIN"/>
    <s v="SOLFIN"/>
    <s v="CCMS"/>
    <n v="21369638"/>
    <n v="1641.88"/>
    <m/>
    <s v="N"/>
    <n v="10"/>
    <d v="2023-07-13T19:21:08"/>
    <s v="Y"/>
    <s v="Preparation - drafting statement"/>
    <s v="Prescribed Hourly Rates"/>
    <s v="Profit Cost"/>
    <s v="Penelope Moult"/>
    <s v="Y"/>
    <n v="34.16"/>
    <n v="6.83"/>
    <x v="11"/>
    <s v="VALIDATED"/>
    <n v="1"/>
    <s v="01.11.80.307.6100.0000"/>
    <n v="34.16"/>
    <s v="11"/>
    <s v="6100"/>
    <n v="49509.54"/>
    <n v="34.16"/>
    <s v="CREDITOR"/>
    <n v="0"/>
    <n v="0"/>
    <n v="0"/>
    <n v="0"/>
    <n v="34.16"/>
  </r>
  <r>
    <n v="42259627"/>
    <s v="N"/>
    <n v="21331008"/>
    <s v="3000011285920006"/>
    <s v="CIVIL"/>
    <d v="2023-06-23T00:00:00"/>
    <d v="2023-07-05T19:01:47"/>
    <m/>
    <d v="2023-07-05T00:00:00"/>
    <n v="270"/>
    <n v="891"/>
    <s v="42259627"/>
    <s v="42259627"/>
    <m/>
    <m/>
    <n v="22756168"/>
    <m/>
    <m/>
    <m/>
    <s v="SOLFIN"/>
    <s v="SOLFIN"/>
    <s v="CCMS"/>
    <n v="21331008"/>
    <n v="11329.24"/>
    <m/>
    <s v="N"/>
    <n v="3"/>
    <d v="2023-07-05T19:02:01"/>
    <s v="Y"/>
    <s v="Exceptional Travel"/>
    <s v="Public Law Children"/>
    <s v="Advocacy"/>
    <s v="Maria Orme"/>
    <s v="Y"/>
    <n v="32.04"/>
    <n v="6.41"/>
    <x v="6"/>
    <s v="VALIDATED"/>
    <n v="1"/>
    <s v="01.11.80.308.6100.0000"/>
    <n v="32.04"/>
    <s v="11"/>
    <s v="6100"/>
    <n v="49509.54"/>
    <n v="32.04"/>
    <s v="CREDITOR"/>
    <n v="0"/>
    <n v="0"/>
    <n v="0"/>
    <n v="0"/>
    <n v="32.04"/>
  </r>
  <r>
    <n v="42259627"/>
    <s v="N"/>
    <n v="21331008"/>
    <s v="3000011285920006"/>
    <s v="CIVIL"/>
    <d v="2023-06-23T00:00:00"/>
    <d v="2023-07-05T19:01:47"/>
    <m/>
    <d v="2023-07-05T00:00:00"/>
    <n v="270"/>
    <n v="891"/>
    <s v="42259627"/>
    <s v="42259627"/>
    <m/>
    <m/>
    <n v="22756168"/>
    <m/>
    <m/>
    <m/>
    <s v="SOLFIN"/>
    <s v="SOLFIN"/>
    <s v="CCMS"/>
    <n v="21331008"/>
    <n v="11329.24"/>
    <m/>
    <s v="N"/>
    <n v="7"/>
    <d v="2023-07-05T19:02:01"/>
    <s v="Y"/>
    <s v="Psychiatrist"/>
    <s v="Public Law Children"/>
    <s v="Expert Disbursement"/>
    <s v="Maria Orme"/>
    <s v="Y"/>
    <n v="405"/>
    <n v="81"/>
    <x v="6"/>
    <s v="VALIDATED"/>
    <n v="1"/>
    <s v="01.11.80.308.6300.0000"/>
    <n v="405"/>
    <s v="11"/>
    <s v="6300"/>
    <n v="49509.54"/>
    <n v="405"/>
    <s v="CREDITOR"/>
    <n v="0"/>
    <n v="0"/>
    <n v="0"/>
    <n v="0"/>
    <n v="405"/>
  </r>
  <r>
    <n v="60258535"/>
    <s v="N"/>
    <n v="21318601"/>
    <s v="3000014566280010"/>
    <s v="CIVIL"/>
    <d v="2023-06-22T00:00:00"/>
    <d v="2023-07-03T19:01:49"/>
    <m/>
    <d v="2023-07-03T00:00:00"/>
    <n v="270"/>
    <n v="891"/>
    <s v="60258535"/>
    <s v="60258535"/>
    <m/>
    <m/>
    <n v="22748030"/>
    <m/>
    <m/>
    <m/>
    <s v="SOLFIN"/>
    <s v="SOLFIN"/>
    <s v="CCMS"/>
    <n v="21318601"/>
    <n v="8270.030000000001"/>
    <m/>
    <s v="N"/>
    <n v="3"/>
    <d v="2023-07-03T19:02:00"/>
    <s v="Y"/>
    <s v="Toxicologist"/>
    <s v="Public Law Children"/>
    <s v="Expert Disbursement"/>
    <s v="Kate Siddall"/>
    <s v="Y"/>
    <n v="155"/>
    <n v="31"/>
    <x v="3"/>
    <s v="VALIDATED"/>
    <n v="1"/>
    <s v="01.11.80.308.6300.0000"/>
    <n v="155"/>
    <s v="11"/>
    <s v="6300"/>
    <n v="49509.54"/>
    <n v="155"/>
    <s v="CREDITOR"/>
    <n v="0"/>
    <n v="0"/>
    <n v="0"/>
    <n v="0"/>
    <n v="155"/>
  </r>
  <r>
    <n v="7431730"/>
    <s v="N"/>
    <n v="21318708"/>
    <s v="3000003621200005"/>
    <s v="CIVIL"/>
    <d v="2023-06-22T00:00:00"/>
    <d v="2023-07-03T19:01:49"/>
    <m/>
    <d v="2023-07-03T00:00:00"/>
    <n v="270"/>
    <n v="891"/>
    <s v="7431730"/>
    <s v="7431730"/>
    <m/>
    <m/>
    <n v="22747114"/>
    <m/>
    <m/>
    <m/>
    <s v="SOLFIN"/>
    <s v="SOLFIN"/>
    <s v="CCMS"/>
    <n v="21318708"/>
    <n v="22428.48"/>
    <m/>
    <s v="N"/>
    <n v="82"/>
    <d v="2023-07-03T19:02:01"/>
    <s v="Y"/>
    <s v="Preparation - other"/>
    <s v="Prescribed Hourly Rates"/>
    <s v="Profit Cost"/>
    <s v="PM"/>
    <s v="Y"/>
    <n v="24.35"/>
    <n v="4.87"/>
    <x v="3"/>
    <s v="VALIDATED"/>
    <n v="1"/>
    <s v="01.11.80.307.6100.0000"/>
    <n v="24.35"/>
    <s v="11"/>
    <s v="6100"/>
    <n v="49509.54"/>
    <n v="24.35"/>
    <s v="CREDITOR"/>
    <n v="0"/>
    <n v="0"/>
    <n v="0"/>
    <n v="0"/>
    <n v="24.35"/>
  </r>
  <r>
    <n v="60258535"/>
    <s v="N"/>
    <n v="21318601"/>
    <s v="3000014566280010"/>
    <s v="CIVIL"/>
    <d v="2023-06-22T00:00:00"/>
    <d v="2023-07-03T19:01:49"/>
    <m/>
    <d v="2023-07-03T00:00:00"/>
    <n v="270"/>
    <n v="891"/>
    <s v="60258535"/>
    <s v="60258535"/>
    <m/>
    <m/>
    <n v="22748030"/>
    <m/>
    <m/>
    <m/>
    <s v="SOLFIN"/>
    <s v="SOLFIN"/>
    <s v="CCMS"/>
    <n v="21318601"/>
    <n v="8270.030000000001"/>
    <m/>
    <s v="N"/>
    <n v="18"/>
    <d v="2023-07-03T19:02:00"/>
    <s v="Y"/>
    <s v="Solicitors Fixed Fee"/>
    <s v="Public Law Children"/>
    <s v="Profit Cost"/>
    <s v="Kelly Rodd"/>
    <s v="Y"/>
    <n v="2616"/>
    <n v="523.2"/>
    <x v="3"/>
    <s v="VALIDATED"/>
    <n v="1"/>
    <s v="01.11.80.308.6100.0000"/>
    <n v="2616"/>
    <s v="11"/>
    <s v="6100"/>
    <n v="49509.54"/>
    <n v="2616"/>
    <s v="CREDITOR"/>
    <n v="0"/>
    <n v="0"/>
    <n v="0"/>
    <n v="0"/>
    <n v="2616"/>
  </r>
  <r>
    <n v="60258535"/>
    <s v="N"/>
    <n v="21318601"/>
    <s v="3000014566280010"/>
    <s v="CIVIL"/>
    <d v="2023-06-22T00:00:00"/>
    <d v="2023-07-03T19:01:49"/>
    <m/>
    <d v="2023-07-03T00:00:00"/>
    <n v="270"/>
    <n v="891"/>
    <s v="60258535"/>
    <s v="60258535"/>
    <m/>
    <m/>
    <n v="22748030"/>
    <m/>
    <m/>
    <m/>
    <s v="SOLFIN"/>
    <s v="SOLFIN"/>
    <s v="CCMS"/>
    <n v="21318601"/>
    <n v="8270.030000000001"/>
    <m/>
    <s v="N"/>
    <n v="6"/>
    <d v="2023-07-03T19:02:00"/>
    <s v="Y"/>
    <s v="Solicitor Travel Expenses"/>
    <s v="Public Law Children"/>
    <s v="Non Expert Disbursement"/>
    <s v="Kate Siddall"/>
    <s v="Y"/>
    <n v="5.8"/>
    <n v="1.16"/>
    <x v="3"/>
    <s v="VALIDATED"/>
    <n v="1"/>
    <s v="01.11.80.308.6300.0000"/>
    <n v="5.8"/>
    <s v="11"/>
    <s v="6300"/>
    <n v="49509.54"/>
    <n v="5.8"/>
    <s v="CREDITOR"/>
    <n v="0"/>
    <n v="0"/>
    <n v="0"/>
    <n v="0"/>
    <n v="5.8"/>
  </r>
  <r>
    <n v="7431730"/>
    <s v="N"/>
    <n v="21318708"/>
    <s v="3000003621200005"/>
    <s v="CIVIL"/>
    <d v="2023-06-22T00:00:00"/>
    <d v="2023-07-03T19:01:49"/>
    <m/>
    <d v="2023-07-03T00:00:00"/>
    <n v="270"/>
    <n v="891"/>
    <s v="7431730"/>
    <s v="7431730"/>
    <m/>
    <m/>
    <n v="22747114"/>
    <m/>
    <m/>
    <m/>
    <s v="SOLFIN"/>
    <s v="SOLFIN"/>
    <s v="CCMS"/>
    <n v="21318708"/>
    <n v="22428.48"/>
    <m/>
    <s v="N"/>
    <n v="17"/>
    <d v="2023-07-03T19:02:01"/>
    <s v="Y"/>
    <s v="Preparation - other"/>
    <s v="Prescribed Hourly Rates"/>
    <s v="Profit Cost"/>
    <s v="PM"/>
    <s v="Y"/>
    <n v="40.57"/>
    <n v="8.109999999999999"/>
    <x v="3"/>
    <s v="VALIDATED"/>
    <n v="1"/>
    <s v="01.11.80.307.6100.0000"/>
    <n v="40.57"/>
    <s v="11"/>
    <s v="6100"/>
    <n v="49509.54"/>
    <n v="40.57"/>
    <s v="CREDITOR"/>
    <n v="0"/>
    <n v="0"/>
    <n v="0"/>
    <n v="0"/>
    <n v="40.57"/>
  </r>
  <r>
    <n v="7431730"/>
    <s v="N"/>
    <n v="21318708"/>
    <s v="3000003621200005"/>
    <s v="CIVIL"/>
    <d v="2023-06-22T00:00:00"/>
    <d v="2023-07-03T19:01:49"/>
    <m/>
    <d v="2023-07-03T00:00:00"/>
    <n v="270"/>
    <n v="891"/>
    <s v="7431730"/>
    <s v="7431730"/>
    <m/>
    <m/>
    <n v="22747114"/>
    <m/>
    <m/>
    <m/>
    <s v="SOLFIN"/>
    <s v="SOLFIN"/>
    <s v="CCMS"/>
    <n v="21318708"/>
    <n v="22428.48"/>
    <m/>
    <s v="N"/>
    <n v="13"/>
    <d v="2023-07-03T19:02:01"/>
    <s v="N"/>
    <s v="Child psychologist"/>
    <s v="Prescribed Hourly Rates"/>
    <s v="Expert Disbursement"/>
    <s v="PEM"/>
    <s v="N"/>
    <n v="70.36"/>
    <n v="0"/>
    <x v="3"/>
    <s v="VALIDATED"/>
    <n v="1"/>
    <s v="01.11.80.307.6300.0000"/>
    <n v="70.36"/>
    <s v="11"/>
    <s v="6300"/>
    <n v="49509.54"/>
    <n v="70.36"/>
    <s v="CREDITOR"/>
    <n v="0"/>
    <n v="0"/>
    <n v="0"/>
    <n v="0"/>
    <n v="70.36"/>
  </r>
  <r>
    <n v="7431730"/>
    <s v="N"/>
    <n v="21318708"/>
    <s v="3000003621200005"/>
    <s v="CIVIL"/>
    <d v="2023-06-22T00:00:00"/>
    <d v="2023-07-03T19:01:49"/>
    <m/>
    <d v="2023-07-03T00:00:00"/>
    <n v="270"/>
    <n v="891"/>
    <s v="7431730"/>
    <s v="7431730"/>
    <m/>
    <m/>
    <n v="22747114"/>
    <m/>
    <m/>
    <m/>
    <s v="SOLFIN"/>
    <s v="SOLFIN"/>
    <s v="CCMS"/>
    <n v="21318708"/>
    <n v="22428.48"/>
    <m/>
    <s v="N"/>
    <n v="127"/>
    <d v="2023-07-03T19:02:01"/>
    <s v="Y"/>
    <s v="Preparation - other"/>
    <s v="Prescribed Hourly Rates"/>
    <s v="Profit Cost"/>
    <s v="PM"/>
    <s v="Y"/>
    <n v="8.119999999999999"/>
    <n v="1.62"/>
    <x v="3"/>
    <s v="VALIDATED"/>
    <n v="1"/>
    <s v="01.11.80.307.6100.0000"/>
    <n v="8.119999999999999"/>
    <s v="11"/>
    <s v="6100"/>
    <n v="49509.54"/>
    <n v="8.119999999999999"/>
    <s v="CREDITOR"/>
    <n v="0"/>
    <n v="0"/>
    <n v="0"/>
    <n v="0"/>
    <n v="8.119999999999999"/>
  </r>
  <r>
    <n v="60485628"/>
    <s v="N"/>
    <n v="21369638"/>
    <s v="3000014763550002"/>
    <s v="CIVIL"/>
    <d v="2023-06-19T00:00:00"/>
    <d v="2023-07-13T19:21:05"/>
    <m/>
    <d v="2023-07-13T00:00:00"/>
    <n v="270"/>
    <n v="891"/>
    <s v="60485628"/>
    <s v="60485628"/>
    <m/>
    <m/>
    <n v="22711824"/>
    <m/>
    <m/>
    <m/>
    <s v="SOLFIN"/>
    <s v="SOLFIN"/>
    <s v="CCMS"/>
    <n v="21369638"/>
    <n v="1641.88"/>
    <m/>
    <s v="N"/>
    <n v="7"/>
    <d v="2023-07-13T19:21:08"/>
    <s v="Y"/>
    <s v="Preparation - drafting statement"/>
    <s v="Prescribed Hourly Rates"/>
    <s v="Profit Cost"/>
    <s v="Penelope Moult"/>
    <s v="Y"/>
    <n v="136.62"/>
    <n v="27.32"/>
    <x v="11"/>
    <s v="VALIDATED"/>
    <n v="1"/>
    <s v="01.11.80.307.6100.0000"/>
    <n v="136.62"/>
    <s v="11"/>
    <s v="6100"/>
    <n v="49509.54"/>
    <n v="136.62"/>
    <s v="CREDITOR"/>
    <n v="0"/>
    <n v="0"/>
    <n v="0"/>
    <n v="0"/>
    <n v="136.62"/>
  </r>
  <r>
    <n v="60485628"/>
    <s v="N"/>
    <n v="21369638"/>
    <s v="3000014763550002"/>
    <s v="CIVIL"/>
    <d v="2023-06-19T00:00:00"/>
    <d v="2023-07-13T19:21:05"/>
    <m/>
    <d v="2023-07-13T00:00:00"/>
    <n v="270"/>
    <n v="891"/>
    <s v="60485628"/>
    <s v="60485628"/>
    <m/>
    <m/>
    <n v="22711824"/>
    <m/>
    <m/>
    <m/>
    <s v="SOLFIN"/>
    <s v="SOLFIN"/>
    <s v="CCMS"/>
    <n v="21369638"/>
    <n v="1641.88"/>
    <m/>
    <s v="N"/>
    <n v="14"/>
    <d v="2023-07-13T19:21:08"/>
    <s v="Y"/>
    <s v="Advocacy - Final Hearing"/>
    <s v="Prescribed Hourly Rates"/>
    <s v="Advocacy"/>
    <s v="Penelope Moult"/>
    <s v="Y"/>
    <n v="79.7"/>
    <n v="15.94"/>
    <x v="11"/>
    <s v="VALIDATED"/>
    <n v="1"/>
    <s v="01.11.80.307.6100.0000"/>
    <n v="79.7"/>
    <s v="11"/>
    <s v="6100"/>
    <n v="49509.54"/>
    <n v="79.7"/>
    <s v="CREDITOR"/>
    <n v="0"/>
    <n v="0"/>
    <n v="0"/>
    <n v="0"/>
    <n v="79.7"/>
  </r>
  <r>
    <n v="40144488"/>
    <s v="N"/>
    <n v="21320163"/>
    <s v="3000010767640023"/>
    <s v="CIVIL"/>
    <d v="2023-06-27T00:00:00"/>
    <d v="2023-07-03T19:04:24"/>
    <m/>
    <d v="2023-07-03T00:00:00"/>
    <n v="270"/>
    <n v="891"/>
    <s v="40144488"/>
    <s v="40144488"/>
    <m/>
    <m/>
    <n v="22774946"/>
    <m/>
    <m/>
    <m/>
    <s v="SOLFIN"/>
    <s v="SOLFIN"/>
    <s v="CCMS"/>
    <n v="21320163"/>
    <n v="27986.95"/>
    <m/>
    <s v="N"/>
    <n v="6"/>
    <d v="2023-07-03T19:04:29"/>
    <s v="Y"/>
    <s v="Psychologist"/>
    <s v="VHCC"/>
    <s v="Expert Disbursement"/>
    <s v="Dinuka Sivaneswaran"/>
    <s v="Y"/>
    <n v="239.75"/>
    <n v="47.95"/>
    <x v="3"/>
    <s v="VALIDATED"/>
    <n v="1"/>
    <s v="01.11.80.308.6300.0000"/>
    <n v="239.75"/>
    <s v="11"/>
    <s v="6300"/>
    <n v="49509.54"/>
    <n v="239.75"/>
    <s v="CREDITOR"/>
    <n v="0"/>
    <n v="0"/>
    <n v="0"/>
    <n v="0"/>
    <n v="239.75"/>
  </r>
  <r>
    <n v="60325701"/>
    <s v="N"/>
    <n v="21318301"/>
    <s v="3000014625530008"/>
    <s v="CIVIL"/>
    <d v="2023-06-22T00:00:00"/>
    <d v="2023-07-03T19:01:49"/>
    <m/>
    <d v="2023-07-03T00:00:00"/>
    <n v="270"/>
    <n v="891"/>
    <s v="60325701"/>
    <s v="60325701"/>
    <m/>
    <m/>
    <n v="22742148"/>
    <m/>
    <m/>
    <m/>
    <s v="SOLFIN"/>
    <s v="SOLFIN"/>
    <s v="CCMS"/>
    <n v="21318301"/>
    <n v="9824.93"/>
    <m/>
    <s v="N"/>
    <n v="20"/>
    <d v="2023-07-03T19:01:53"/>
    <s v="Y"/>
    <s v="Solicitor Travel Mileage"/>
    <s v="Public Law Children"/>
    <s v="Non Expert Disbursement"/>
    <s v="pm"/>
    <s v="Y"/>
    <n v="27"/>
    <n v="5.4"/>
    <x v="3"/>
    <s v="VALIDATED"/>
    <n v="1"/>
    <s v="01.11.80.308.6300.0000"/>
    <n v="27"/>
    <s v="11"/>
    <s v="6300"/>
    <n v="49509.54"/>
    <n v="27"/>
    <s v="CREDITOR"/>
    <n v="0"/>
    <n v="0"/>
    <n v="0"/>
    <n v="0"/>
    <n v="27"/>
  </r>
  <r>
    <n v="59827312"/>
    <s v="N"/>
    <n v="21337710"/>
    <s v="3000014195470003"/>
    <s v="CIVIL"/>
    <d v="2023-06-28T00:00:00"/>
    <d v="2023-07-06T19:21:01"/>
    <m/>
    <d v="2023-07-06T00:00:00"/>
    <n v="301"/>
    <n v="4113"/>
    <s v="59827312"/>
    <s v="59827312"/>
    <m/>
    <m/>
    <n v="22778592"/>
    <m/>
    <m/>
    <m/>
    <s v="SOLFIN"/>
    <s v="SOLFIN"/>
    <s v="CCMS"/>
    <n v="21337710"/>
    <n v="1089.24"/>
    <m/>
    <s v="N"/>
    <n v="9"/>
    <d v="2023-07-06T19:21:05"/>
    <s v="Y"/>
    <s v="Preparation - drafting bill/claim f"/>
    <s v="Non Family Hourly Rates"/>
    <s v="Profit Cost"/>
    <s v="Lorraine Collier"/>
    <s v="Y"/>
    <n v="12.6"/>
    <n v="2.52"/>
    <x v="4"/>
    <s v="VALIDATED"/>
    <n v="1"/>
    <s v="01.11.80.208.6100.0000"/>
    <n v="12.6"/>
    <s v="11"/>
    <s v="6100"/>
    <n v="907.7"/>
    <n v="12.6"/>
    <s v="CREDITOR"/>
    <n v="0"/>
    <n v="0"/>
    <n v="0"/>
    <n v="0"/>
    <n v="12.6"/>
  </r>
  <r>
    <n v="59827312"/>
    <s v="N"/>
    <n v="21337710"/>
    <s v="3000014195470003"/>
    <s v="CIVIL"/>
    <d v="2023-06-28T00:00:00"/>
    <d v="2023-07-06T19:21:01"/>
    <m/>
    <d v="2023-07-06T00:00:00"/>
    <n v="301"/>
    <n v="4113"/>
    <s v="59827312"/>
    <s v="59827312"/>
    <m/>
    <m/>
    <n v="22778592"/>
    <m/>
    <m/>
    <m/>
    <s v="SOLFIN"/>
    <s v="SOLFIN"/>
    <s v="CCMS"/>
    <n v="21337710"/>
    <n v="1089.24"/>
    <m/>
    <s v="N"/>
    <n v="2"/>
    <d v="2023-07-06T19:21:05"/>
    <s v="Y"/>
    <s v="Preparation - drafting statement"/>
    <s v="Non Family Hourly Rates"/>
    <s v="Profit Cost"/>
    <s v="Lorraine Collier"/>
    <s v="Y"/>
    <n v="63"/>
    <n v="12.6"/>
    <x v="4"/>
    <s v="VALIDATED"/>
    <n v="1"/>
    <s v="01.11.80.208.6100.0000"/>
    <n v="63"/>
    <s v="11"/>
    <s v="6100"/>
    <n v="907.7"/>
    <n v="63"/>
    <s v="CREDITOR"/>
    <n v="0"/>
    <n v="0"/>
    <n v="0"/>
    <n v="0"/>
    <n v="63"/>
  </r>
  <r>
    <n v="59827312"/>
    <s v="N"/>
    <n v="21337710"/>
    <s v="3000014195470003"/>
    <s v="CIVIL"/>
    <d v="2023-06-28T00:00:00"/>
    <d v="2023-07-06T19:21:01"/>
    <m/>
    <d v="2023-07-06T00:00:00"/>
    <n v="301"/>
    <n v="4113"/>
    <s v="59827312"/>
    <s v="59827312"/>
    <m/>
    <m/>
    <n v="22778592"/>
    <m/>
    <m/>
    <m/>
    <s v="SOLFIN"/>
    <s v="SOLFIN"/>
    <s v="CCMS"/>
    <n v="21337710"/>
    <n v="1089.24"/>
    <m/>
    <s v="N"/>
    <n v="5"/>
    <d v="2023-07-06T19:21:05"/>
    <s v="Y"/>
    <s v="Preparation - other"/>
    <s v="Non Family Hourly Rates"/>
    <s v="Profit Cost"/>
    <s v="Lorraine Collier"/>
    <s v="Y"/>
    <n v="283.5"/>
    <n v="56.7"/>
    <x v="4"/>
    <s v="VALIDATED"/>
    <n v="1"/>
    <s v="01.11.80.208.6100.0000"/>
    <n v="283.5"/>
    <s v="11"/>
    <s v="6100"/>
    <n v="907.7"/>
    <n v="283.5"/>
    <s v="CREDITOR"/>
    <n v="0"/>
    <n v="0"/>
    <n v="0"/>
    <n v="0"/>
    <n v="283.5"/>
  </r>
  <r>
    <n v="59827312"/>
    <s v="N"/>
    <n v="21337710"/>
    <s v="3000014195470003"/>
    <s v="CIVIL"/>
    <d v="2023-06-28T00:00:00"/>
    <d v="2023-07-06T19:21:01"/>
    <m/>
    <d v="2023-07-06T00:00:00"/>
    <n v="301"/>
    <n v="4113"/>
    <s v="59827312"/>
    <s v="59827312"/>
    <m/>
    <m/>
    <n v="22778592"/>
    <m/>
    <m/>
    <m/>
    <s v="SOLFIN"/>
    <s v="SOLFIN"/>
    <s v="CCMS"/>
    <n v="21337710"/>
    <n v="1089.24"/>
    <m/>
    <s v="N"/>
    <n v="8"/>
    <d v="2023-07-06T19:21:05"/>
    <s v="Y"/>
    <s v="Preparation - drafting pleadings"/>
    <s v="Non Family Hourly Rates"/>
    <s v="Profit Cost"/>
    <s v="Lorraine Collier"/>
    <s v="Y"/>
    <n v="126"/>
    <n v="25.2"/>
    <x v="4"/>
    <s v="VALIDATED"/>
    <n v="1"/>
    <s v="01.11.80.208.6100.0000"/>
    <n v="126"/>
    <s v="11"/>
    <s v="6100"/>
    <n v="907.7"/>
    <n v="126"/>
    <s v="CREDITOR"/>
    <n v="0"/>
    <n v="0"/>
    <n v="0"/>
    <n v="0"/>
    <n v="126"/>
  </r>
  <r>
    <n v="59827312"/>
    <s v="N"/>
    <n v="21337710"/>
    <s v="3000014195470003"/>
    <s v="CIVIL"/>
    <d v="2023-06-28T00:00:00"/>
    <d v="2023-07-06T19:21:01"/>
    <m/>
    <d v="2023-07-06T00:00:00"/>
    <n v="301"/>
    <n v="4113"/>
    <s v="59827312"/>
    <s v="59827312"/>
    <m/>
    <m/>
    <n v="22778592"/>
    <m/>
    <m/>
    <m/>
    <s v="SOLFIN"/>
    <s v="SOLFIN"/>
    <s v="CCMS"/>
    <n v="21337710"/>
    <n v="1089.24"/>
    <m/>
    <s v="N"/>
    <n v="7"/>
    <d v="2023-07-06T19:21:05"/>
    <s v="Y"/>
    <s v="Preparation - drafting statement"/>
    <s v="Non Family Hourly Rates"/>
    <s v="Profit Cost"/>
    <s v="Lorraine Collier"/>
    <s v="Y"/>
    <n v="25.2"/>
    <n v="5.04"/>
    <x v="4"/>
    <s v="VALIDATED"/>
    <n v="1"/>
    <s v="01.11.80.208.6100.0000"/>
    <n v="25.2"/>
    <s v="11"/>
    <s v="6100"/>
    <n v="907.7"/>
    <n v="25.2"/>
    <s v="CREDITOR"/>
    <n v="0"/>
    <n v="0"/>
    <n v="0"/>
    <n v="0"/>
    <n v="25.2"/>
  </r>
  <r>
    <n v="59827312"/>
    <s v="N"/>
    <n v="21337710"/>
    <s v="3000014195470003"/>
    <s v="CIVIL"/>
    <d v="2023-06-28T00:00:00"/>
    <d v="2023-07-06T19:21:01"/>
    <m/>
    <d v="2023-07-06T00:00:00"/>
    <n v="301"/>
    <n v="4113"/>
    <s v="59827312"/>
    <s v="59827312"/>
    <m/>
    <m/>
    <n v="22778592"/>
    <m/>
    <m/>
    <m/>
    <s v="SOLFIN"/>
    <s v="SOLFIN"/>
    <s v="CCMS"/>
    <n v="21337710"/>
    <n v="1089.24"/>
    <m/>
    <s v="N"/>
    <n v="3"/>
    <d v="2023-07-06T19:21:05"/>
    <s v="Y"/>
    <s v="Routine Letter Out"/>
    <s v="Non Family Hourly Rates"/>
    <s v="Profit Cost"/>
    <s v="Lorraine Collier"/>
    <s v="Y"/>
    <n v="237.6"/>
    <n v="47.52"/>
    <x v="4"/>
    <s v="VALIDATED"/>
    <n v="1"/>
    <s v="01.11.80.208.6100.0000"/>
    <n v="237.6"/>
    <s v="11"/>
    <s v="6100"/>
    <n v="907.7"/>
    <n v="237.6"/>
    <s v="CREDITOR"/>
    <n v="0"/>
    <n v="0"/>
    <n v="0"/>
    <n v="0"/>
    <n v="237.6"/>
  </r>
  <r>
    <n v="59827312"/>
    <s v="N"/>
    <n v="21337710"/>
    <s v="3000014195470003"/>
    <s v="CIVIL"/>
    <d v="2023-06-28T00:00:00"/>
    <d v="2023-07-06T19:21:01"/>
    <m/>
    <d v="2023-07-06T00:00:00"/>
    <n v="301"/>
    <n v="4113"/>
    <s v="59827312"/>
    <s v="59827312"/>
    <m/>
    <m/>
    <n v="22778592"/>
    <m/>
    <m/>
    <m/>
    <s v="SOLFIN"/>
    <s v="SOLFIN"/>
    <s v="CCMS"/>
    <n v="21337710"/>
    <n v="1089.24"/>
    <m/>
    <s v="N"/>
    <n v="4"/>
    <d v="2023-07-06T19:21:05"/>
    <s v="Y"/>
    <s v="Routine Telephone Call"/>
    <s v="Non Family Hourly Rates"/>
    <s v="Profit Cost"/>
    <s v="Lorraine Collier"/>
    <s v="Y"/>
    <n v="32.9"/>
    <n v="6.58"/>
    <x v="4"/>
    <s v="VALIDATED"/>
    <n v="1"/>
    <s v="01.11.80.208.6100.0000"/>
    <n v="32.9"/>
    <s v="11"/>
    <s v="6100"/>
    <n v="907.7"/>
    <n v="32.9"/>
    <s v="CREDITOR"/>
    <n v="0"/>
    <n v="0"/>
    <n v="0"/>
    <n v="0"/>
    <n v="32.9"/>
  </r>
  <r>
    <n v="59827312"/>
    <s v="N"/>
    <n v="21337710"/>
    <s v="3000014195470003"/>
    <s v="CIVIL"/>
    <d v="2023-06-28T00:00:00"/>
    <d v="2023-07-06T19:21:01"/>
    <m/>
    <d v="2023-07-06T00:00:00"/>
    <n v="301"/>
    <n v="4113"/>
    <s v="59827312"/>
    <s v="59827312"/>
    <m/>
    <m/>
    <n v="22778592"/>
    <m/>
    <m/>
    <m/>
    <s v="SOLFIN"/>
    <s v="SOLFIN"/>
    <s v="CCMS"/>
    <n v="21337710"/>
    <n v="1089.24"/>
    <m/>
    <s v="N"/>
    <n v="6"/>
    <d v="2023-07-06T19:21:05"/>
    <s v="Y"/>
    <s v="Preparation - drafting bill/claim f"/>
    <s v="Non Family Hourly Rates"/>
    <s v="Profit Cost"/>
    <s v="Chris Gordon"/>
    <s v="Y"/>
    <n v="56.7"/>
    <n v="11.34"/>
    <x v="4"/>
    <s v="VALIDATED"/>
    <n v="1"/>
    <s v="01.11.80.208.6100.0000"/>
    <n v="56.7"/>
    <s v="11"/>
    <s v="6100"/>
    <n v="907.7"/>
    <n v="56.7"/>
    <s v="CREDITOR"/>
    <n v="0"/>
    <n v="0"/>
    <n v="0"/>
    <n v="0"/>
    <n v="56.7"/>
  </r>
  <r>
    <n v="59827312"/>
    <s v="N"/>
    <n v="21337710"/>
    <s v="3000014195470003"/>
    <s v="CIVIL"/>
    <d v="2023-06-28T00:00:00"/>
    <d v="2023-07-06T19:21:01"/>
    <m/>
    <d v="2023-07-06T00:00:00"/>
    <n v="301"/>
    <n v="4113"/>
    <s v="59827312"/>
    <s v="59827312"/>
    <m/>
    <m/>
    <n v="22778592"/>
    <m/>
    <m/>
    <m/>
    <s v="SOLFIN"/>
    <s v="SOLFIN"/>
    <s v="CCMS"/>
    <n v="21337710"/>
    <n v="1089.24"/>
    <m/>
    <s v="N"/>
    <n v="1"/>
    <d v="2023-07-06T19:21:05"/>
    <s v="Y"/>
    <s v="Attendance upon/with Counsel at Con"/>
    <s v="Non Family Hourly Rates"/>
    <s v="Profit Cost"/>
    <s v="Lorraine Collier"/>
    <s v="Y"/>
    <n v="70.2"/>
    <n v="14.04"/>
    <x v="4"/>
    <s v="VALIDATED"/>
    <n v="1"/>
    <s v="01.11.80.208.6100.0000"/>
    <n v="70.2"/>
    <s v="11"/>
    <s v="6100"/>
    <n v="907.7"/>
    <n v="70.2"/>
    <s v="CREDITOR"/>
    <n v="0"/>
    <n v="0"/>
    <n v="0"/>
    <n v="0"/>
    <n v="70.2"/>
  </r>
  <r>
    <n v="59849930"/>
    <s v="N"/>
    <n v="21338536"/>
    <s v="3000014211870031"/>
    <s v="CIVIL"/>
    <d v="2023-06-30T00:00:00"/>
    <d v="2023-07-06T19:21:01"/>
    <m/>
    <d v="2023-07-06T00:00:00"/>
    <n v="303"/>
    <n v="4335"/>
    <s v="59849930"/>
    <s v="59849930"/>
    <m/>
    <m/>
    <n v="22796108"/>
    <m/>
    <m/>
    <m/>
    <s v="SOLINT"/>
    <s v="SOLINT"/>
    <s v="CCMS"/>
    <n v="21338536"/>
    <n v="2329.2"/>
    <m/>
    <s v="N"/>
    <n v="8"/>
    <d v="2023-07-06T19:21:28"/>
    <s v="Y"/>
    <s v="Preparation - drafting instructions"/>
    <s v="Prescribed Hourly Rates"/>
    <s v="Profit Cost"/>
    <s v="SJ"/>
    <s v="Y"/>
    <n v="116.43"/>
    <n v="23.29"/>
    <x v="4"/>
    <s v="VALIDATED"/>
    <n v="1"/>
    <s v="01.11.80.305.6100.0000"/>
    <n v="116.43"/>
    <s v="11"/>
    <s v="6100"/>
    <n v="7939.65"/>
    <n v="116.43"/>
    <s v="CREDITOR"/>
    <n v="0"/>
    <n v="0"/>
    <n v="0"/>
    <n v="0"/>
    <n v="116.43"/>
  </r>
  <r>
    <n v="59849930"/>
    <s v="N"/>
    <n v="21338536"/>
    <s v="3000014211870031"/>
    <s v="CIVIL"/>
    <d v="2023-06-30T00:00:00"/>
    <d v="2023-07-06T19:21:01"/>
    <m/>
    <d v="2023-07-06T00:00:00"/>
    <n v="303"/>
    <n v="4335"/>
    <s v="59849930"/>
    <s v="59849930"/>
    <m/>
    <m/>
    <n v="22796108"/>
    <m/>
    <m/>
    <m/>
    <s v="SOLINT"/>
    <s v="SOLINT"/>
    <s v="CCMS"/>
    <n v="21338536"/>
    <n v="2329.2"/>
    <m/>
    <s v="N"/>
    <n v="15"/>
    <d v="2023-07-06T19:21:28"/>
    <s v="Y"/>
    <s v="Preparation - drafting bill/claim f"/>
    <s v="Prescribed Hourly Rates"/>
    <s v="Profit Cost"/>
    <s v="CD"/>
    <s v="Y"/>
    <n v="49.39"/>
    <n v="9.880000000000001"/>
    <x v="4"/>
    <s v="VALIDATED"/>
    <n v="1"/>
    <s v="01.11.80.305.6100.0000"/>
    <n v="49.39"/>
    <s v="11"/>
    <s v="6100"/>
    <n v="7939.65"/>
    <n v="49.39"/>
    <s v="CREDITOR"/>
    <n v="0"/>
    <n v="0"/>
    <n v="0"/>
    <n v="0"/>
    <n v="49.39"/>
  </r>
  <r>
    <n v="59849930"/>
    <s v="N"/>
    <n v="21338536"/>
    <s v="3000014211870031"/>
    <s v="CIVIL"/>
    <d v="2023-06-30T00:00:00"/>
    <d v="2023-07-06T19:21:01"/>
    <m/>
    <d v="2023-07-06T00:00:00"/>
    <n v="303"/>
    <n v="4335"/>
    <s v="59849930"/>
    <s v="59849930"/>
    <m/>
    <m/>
    <n v="22796108"/>
    <m/>
    <m/>
    <m/>
    <s v="SOLINT"/>
    <s v="SOLINT"/>
    <s v="CCMS"/>
    <n v="21338536"/>
    <n v="2329.2"/>
    <m/>
    <s v="N"/>
    <n v="12"/>
    <d v="2023-07-06T19:21:28"/>
    <s v="Y"/>
    <s v="Preparation - other"/>
    <s v="Prescribed Hourly Rates"/>
    <s v="Profit Cost"/>
    <s v="SJ"/>
    <s v="Y"/>
    <n v="52.92"/>
    <n v="10.58"/>
    <x v="4"/>
    <s v="VALIDATED"/>
    <n v="1"/>
    <s v="01.11.80.305.6100.0000"/>
    <n v="52.92"/>
    <s v="11"/>
    <s v="6100"/>
    <n v="7939.65"/>
    <n v="52.92"/>
    <s v="CREDITOR"/>
    <n v="0"/>
    <n v="0"/>
    <n v="0"/>
    <n v="0"/>
    <n v="52.92"/>
  </r>
  <r>
    <n v="59849930"/>
    <s v="N"/>
    <n v="21331229"/>
    <s v="3000014211870029"/>
    <s v="CIVIL"/>
    <d v="2023-06-30T00:00:00"/>
    <d v="2023-07-05T19:01:47"/>
    <m/>
    <d v="2023-07-05T00:00:00"/>
    <n v="303"/>
    <n v="4335"/>
    <s v="59849930"/>
    <s v="59849930"/>
    <m/>
    <m/>
    <n v="22795396"/>
    <m/>
    <m/>
    <m/>
    <s v="SOLINT"/>
    <s v="SOLINT"/>
    <s v="CCMS"/>
    <n v="21331229"/>
    <n v="2349.33"/>
    <m/>
    <s v="N"/>
    <n v="3"/>
    <d v="2023-07-05T19:02:11"/>
    <s v="Y"/>
    <s v="Preparation - other"/>
    <s v="Prescribed Hourly Rates"/>
    <s v="Profit Cost"/>
    <s v="SJ"/>
    <s v="Y"/>
    <n v="21.17"/>
    <n v="4.23"/>
    <x v="6"/>
    <s v="VALIDATED"/>
    <n v="1"/>
    <s v="01.11.80.305.6100.0000"/>
    <n v="21.17"/>
    <s v="11"/>
    <s v="6100"/>
    <n v="7939.65"/>
    <n v="21.17"/>
    <s v="CREDITOR"/>
    <n v="0"/>
    <n v="0"/>
    <n v="0"/>
    <n v="0"/>
    <n v="21.17"/>
  </r>
  <r>
    <n v="59849930"/>
    <s v="N"/>
    <n v="21322562"/>
    <s v="3000014211870028"/>
    <s v="CIVIL"/>
    <d v="2023-06-29T00:00:00"/>
    <d v="2023-07-03T19:05:36"/>
    <m/>
    <d v="2023-07-03T00:00:00"/>
    <n v="303"/>
    <n v="4335"/>
    <s v="59849930"/>
    <s v="59849930"/>
    <m/>
    <m/>
    <n v="22789756"/>
    <m/>
    <m/>
    <m/>
    <s v="SOLPOA"/>
    <s v="SOLPOA"/>
    <s v="CCMS"/>
    <n v="21322562"/>
    <n v="297"/>
    <m/>
    <s v="N"/>
    <n v="1"/>
    <d v="2023-07-03T19:05:38"/>
    <s v="N"/>
    <s v="Non Expert Disbursement"/>
    <s v="Non Expert Disbursement"/>
    <s v="Non Expert Disbursement"/>
    <s v="Sulema Jahangir"/>
    <s v="N"/>
    <n v="297"/>
    <n v="0"/>
    <x v="3"/>
    <s v="VALIDATED"/>
    <n v="1"/>
    <s v="01.11.80.305.2012.0000"/>
    <n v="297"/>
    <s v="11"/>
    <s v="2012"/>
    <n v="7939.65"/>
    <n v="297"/>
    <s v="CREDITOR"/>
    <n v="297"/>
    <n v="0"/>
    <n v="0"/>
    <n v="0"/>
    <n v="0"/>
  </r>
  <r>
    <n v="60476463"/>
    <s v="N"/>
    <n v="21322055"/>
    <s v="3000014755670016"/>
    <s v="CIVIL"/>
    <d v="2023-06-29T00:00:00"/>
    <d v="2023-07-03T19:05:17"/>
    <m/>
    <d v="2023-07-03T00:00:00"/>
    <n v="303"/>
    <n v="4335"/>
    <s v="60476463"/>
    <s v="60476463"/>
    <m/>
    <m/>
    <n v="22788308"/>
    <m/>
    <m/>
    <m/>
    <s v="SOLPOA"/>
    <s v="SOLPOA"/>
    <s v="CCMS"/>
    <n v="21322055"/>
    <n v="991.8"/>
    <m/>
    <s v="N"/>
    <n v="1"/>
    <d v="2023-07-03T19:05:22"/>
    <s v="N"/>
    <s v="Non Expert Disbursement"/>
    <s v="Non Expert Disbursement"/>
    <s v="Non Expert Disbursement"/>
    <s v="LK"/>
    <s v="N"/>
    <n v="826.5"/>
    <n v="165.3"/>
    <x v="3"/>
    <s v="VALIDATED"/>
    <n v="1"/>
    <s v="01.11.80.307.2012.0000"/>
    <n v="826.5"/>
    <s v="11"/>
    <s v="2012"/>
    <n v="7939.65"/>
    <n v="826.5"/>
    <s v="CREDITOR"/>
    <n v="826.5"/>
    <n v="0"/>
    <n v="0"/>
    <n v="0"/>
    <n v="0"/>
  </r>
  <r>
    <n v="59849930"/>
    <s v="N"/>
    <n v="21331229"/>
    <s v="3000014211870029"/>
    <s v="CIVIL"/>
    <d v="2023-06-30T00:00:00"/>
    <d v="2023-07-05T19:01:47"/>
    <m/>
    <d v="2023-07-05T00:00:00"/>
    <n v="303"/>
    <n v="4335"/>
    <s v="59849930"/>
    <s v="59849930"/>
    <m/>
    <m/>
    <n v="22795396"/>
    <m/>
    <m/>
    <m/>
    <s v="SOLINT"/>
    <s v="SOLINT"/>
    <s v="CCMS"/>
    <n v="21331229"/>
    <n v="2349.33"/>
    <m/>
    <s v="N"/>
    <n v="16"/>
    <d v="2023-07-05T19:02:11"/>
    <s v="Y"/>
    <s v="Routine Letter In"/>
    <s v="Prescribed Hourly Rates"/>
    <s v="Profit Cost"/>
    <s v="SJ"/>
    <s v="Y"/>
    <n v="226.8"/>
    <n v="45.36"/>
    <x v="6"/>
    <s v="VALIDATED"/>
    <n v="1"/>
    <s v="01.11.80.305.6100.0000"/>
    <n v="226.8"/>
    <s v="11"/>
    <s v="6100"/>
    <n v="7939.65"/>
    <n v="226.8"/>
    <s v="CREDITOR"/>
    <n v="0"/>
    <n v="0"/>
    <n v="0"/>
    <n v="0"/>
    <n v="226.8"/>
  </r>
  <r>
    <n v="61246595"/>
    <s v="N"/>
    <n v="21331212"/>
    <s v="3000015382780021"/>
    <s v="CIVIL"/>
    <d v="2023-06-29T00:00:00"/>
    <d v="2023-07-05T19:01:47"/>
    <m/>
    <d v="2023-07-05T00:00:00"/>
    <n v="303"/>
    <n v="4335"/>
    <s v="61246595"/>
    <s v="61246595"/>
    <m/>
    <m/>
    <n v="22790458"/>
    <m/>
    <m/>
    <m/>
    <s v="SOLFIN"/>
    <s v="SOLFIN"/>
    <s v="CCMS"/>
    <n v="21331212"/>
    <n v="1743.61"/>
    <m/>
    <s v="N"/>
    <n v="3"/>
    <d v="2023-07-05T19:02:10"/>
    <s v="Y"/>
    <s v="Attendance upon other"/>
    <s v="Prescribed Hourly Rates"/>
    <s v="Profit Cost"/>
    <s v="AR"/>
    <s v="Y"/>
    <n v="45.15"/>
    <n v="9.029999999999999"/>
    <x v="6"/>
    <s v="VALIDATED"/>
    <n v="1"/>
    <s v="01.11.80.305.6100.0000"/>
    <n v="45.15"/>
    <s v="11"/>
    <s v="6100"/>
    <n v="7939.65"/>
    <n v="45.15"/>
    <s v="CREDITOR"/>
    <n v="0"/>
    <n v="0"/>
    <n v="0"/>
    <n v="0"/>
    <n v="45.15"/>
  </r>
  <r>
    <n v="59849930"/>
    <s v="N"/>
    <n v="21331229"/>
    <s v="3000014211870029"/>
    <s v="CIVIL"/>
    <d v="2023-06-30T00:00:00"/>
    <d v="2023-07-05T19:01:47"/>
    <m/>
    <d v="2023-07-05T00:00:00"/>
    <n v="303"/>
    <n v="4335"/>
    <s v="59849930"/>
    <s v="59849930"/>
    <m/>
    <m/>
    <n v="22795396"/>
    <m/>
    <m/>
    <m/>
    <s v="SOLINT"/>
    <s v="SOLINT"/>
    <s v="CCMS"/>
    <n v="21331229"/>
    <n v="2349.33"/>
    <m/>
    <s v="N"/>
    <n v="8"/>
    <d v="2023-07-05T19:02:11"/>
    <s v="Y"/>
    <s v="Attendance upon client"/>
    <s v="Prescribed Hourly Rates"/>
    <s v="Profit Cost"/>
    <s v="SJ"/>
    <s v="Y"/>
    <n v="42.33"/>
    <n v="8.470000000000001"/>
    <x v="6"/>
    <s v="VALIDATED"/>
    <n v="1"/>
    <s v="01.11.80.305.6100.0000"/>
    <n v="42.33"/>
    <s v="11"/>
    <s v="6100"/>
    <n v="7939.65"/>
    <n v="42.33"/>
    <s v="CREDITOR"/>
    <n v="0"/>
    <n v="0"/>
    <n v="0"/>
    <n v="0"/>
    <n v="42.33"/>
  </r>
  <r>
    <n v="59849930"/>
    <s v="N"/>
    <n v="21338536"/>
    <s v="3000014211870031"/>
    <s v="CIVIL"/>
    <d v="2023-06-30T00:00:00"/>
    <d v="2023-07-06T19:21:01"/>
    <m/>
    <d v="2023-07-06T00:00:00"/>
    <n v="303"/>
    <n v="4335"/>
    <s v="59849930"/>
    <s v="59849930"/>
    <m/>
    <m/>
    <n v="22796108"/>
    <m/>
    <m/>
    <m/>
    <s v="SOLINT"/>
    <s v="SOLINT"/>
    <s v="CCMS"/>
    <n v="21338536"/>
    <n v="2329.2"/>
    <m/>
    <s v="N"/>
    <n v="10"/>
    <d v="2023-07-06T19:21:28"/>
    <s v="Y"/>
    <s v="Attendance upon/with Counsel at Con"/>
    <s v="Prescribed Hourly Rates"/>
    <s v="Profit Cost"/>
    <s v="SJ"/>
    <s v="Y"/>
    <n v="37.13"/>
    <n v="7.43"/>
    <x v="4"/>
    <s v="VALIDATED"/>
    <n v="1"/>
    <s v="01.11.80.305.6100.0000"/>
    <n v="37.13"/>
    <s v="11"/>
    <s v="6100"/>
    <n v="7939.65"/>
    <n v="37.13"/>
    <s v="CREDITOR"/>
    <n v="0"/>
    <n v="0"/>
    <n v="0"/>
    <n v="0"/>
    <n v="37.13"/>
  </r>
  <r>
    <n v="59849930"/>
    <s v="N"/>
    <n v="21338536"/>
    <s v="3000014211870031"/>
    <s v="CIVIL"/>
    <d v="2023-06-30T00:00:00"/>
    <d v="2023-07-06T19:21:01"/>
    <m/>
    <d v="2023-07-06T00:00:00"/>
    <n v="303"/>
    <n v="4335"/>
    <s v="59849930"/>
    <s v="59849930"/>
    <m/>
    <m/>
    <n v="22796108"/>
    <m/>
    <m/>
    <m/>
    <s v="SOLINT"/>
    <s v="SOLINT"/>
    <s v="CCMS"/>
    <n v="21338536"/>
    <n v="2329.2"/>
    <m/>
    <s v="N"/>
    <n v="19"/>
    <d v="2023-07-06T19:21:28"/>
    <s v="Y"/>
    <s v="Routine Letter In"/>
    <s v="Prescribed Hourly Rates"/>
    <s v="Profit Cost"/>
    <s v="SJ"/>
    <s v="Y"/>
    <n v="160.65"/>
    <n v="32.13"/>
    <x v="4"/>
    <s v="VALIDATED"/>
    <n v="1"/>
    <s v="01.11.80.305.6100.0000"/>
    <n v="160.65"/>
    <s v="11"/>
    <s v="6100"/>
    <n v="7939.65"/>
    <n v="160.65"/>
    <s v="CREDITOR"/>
    <n v="0"/>
    <n v="0"/>
    <n v="0"/>
    <n v="0"/>
    <n v="160.65"/>
  </r>
  <r>
    <n v="61246595"/>
    <s v="N"/>
    <n v="21331212"/>
    <s v="3000015382780021"/>
    <s v="CIVIL"/>
    <d v="2023-06-29T00:00:00"/>
    <d v="2023-07-05T19:01:47"/>
    <m/>
    <d v="2023-07-05T00:00:00"/>
    <n v="303"/>
    <n v="4335"/>
    <s v="61246595"/>
    <s v="61246595"/>
    <m/>
    <m/>
    <n v="22790458"/>
    <m/>
    <m/>
    <m/>
    <s v="SOLFIN"/>
    <s v="SOLFIN"/>
    <s v="CCMS"/>
    <n v="21331212"/>
    <n v="1743.61"/>
    <m/>
    <s v="N"/>
    <n v="24"/>
    <d v="2023-07-05T19:02:10"/>
    <s v="Y"/>
    <s v="Preparation - drafting bill/claim f"/>
    <s v="Prescribed Hourly Rates"/>
    <s v="Profit Cost"/>
    <s v="FS"/>
    <s v="Y"/>
    <n v="24.35"/>
    <n v="4.87"/>
    <x v="6"/>
    <s v="VALIDATED"/>
    <n v="1"/>
    <s v="01.11.80.305.6100.0000"/>
    <n v="24.35"/>
    <s v="11"/>
    <s v="6100"/>
    <n v="7939.65"/>
    <n v="24.35"/>
    <s v="CREDITOR"/>
    <n v="0"/>
    <n v="0"/>
    <n v="0"/>
    <n v="0"/>
    <n v="24.35"/>
  </r>
  <r>
    <n v="59849930"/>
    <s v="N"/>
    <n v="21338070"/>
    <s v="3000014211870030"/>
    <s v="CIVIL"/>
    <d v="2023-06-30T00:00:00"/>
    <d v="2023-07-06T19:21:01"/>
    <m/>
    <d v="2023-07-06T00:00:00"/>
    <n v="303"/>
    <n v="4335"/>
    <s v="59849930"/>
    <s v="59849930"/>
    <m/>
    <m/>
    <n v="22800808"/>
    <m/>
    <m/>
    <m/>
    <s v="SOLPOA"/>
    <s v="SOLPOA"/>
    <s v="CCMS"/>
    <n v="21338070"/>
    <n v="181.92"/>
    <m/>
    <s v="N"/>
    <n v="1"/>
    <d v="2023-07-06T19:21:11"/>
    <s v="N"/>
    <s v="Non Expert Disbursement"/>
    <s v="Non Expert Disbursement"/>
    <s v="Non Expert Disbursement"/>
    <s v="Sulema Jahangir"/>
    <s v="N"/>
    <n v="181.92"/>
    <n v="0"/>
    <x v="4"/>
    <s v="VALIDATED"/>
    <n v="1"/>
    <s v="01.11.80.305.2012.0000"/>
    <n v="181.92"/>
    <s v="11"/>
    <s v="2012"/>
    <n v="7939.65"/>
    <n v="181.92"/>
    <s v="CREDITOR"/>
    <n v="181.92"/>
    <n v="0"/>
    <n v="0"/>
    <n v="0"/>
    <n v="0"/>
  </r>
  <r>
    <n v="61246595"/>
    <s v="N"/>
    <n v="21331212"/>
    <s v="3000015382780021"/>
    <s v="CIVIL"/>
    <d v="2023-06-29T00:00:00"/>
    <d v="2023-07-05T19:01:47"/>
    <m/>
    <d v="2023-07-05T00:00:00"/>
    <n v="303"/>
    <n v="4335"/>
    <s v="61246595"/>
    <s v="61246595"/>
    <m/>
    <m/>
    <n v="22790458"/>
    <m/>
    <m/>
    <m/>
    <s v="SOLFIN"/>
    <s v="SOLFIN"/>
    <s v="CCMS"/>
    <n v="21331212"/>
    <n v="1743.61"/>
    <m/>
    <s v="N"/>
    <n v="28"/>
    <d v="2023-07-05T19:02:10"/>
    <s v="Y"/>
    <s v="Routine Letter Out"/>
    <s v="Prescribed Hourly Rates"/>
    <s v="Profit Cost"/>
    <s v="AR"/>
    <s v="Y"/>
    <n v="215.9"/>
    <n v="43.18"/>
    <x v="6"/>
    <s v="VALIDATED"/>
    <n v="1"/>
    <s v="01.11.80.305.6100.0000"/>
    <n v="215.9"/>
    <s v="11"/>
    <s v="6100"/>
    <n v="7939.65"/>
    <n v="215.9"/>
    <s v="CREDITOR"/>
    <n v="0"/>
    <n v="0"/>
    <n v="0"/>
    <n v="0"/>
    <n v="215.9"/>
  </r>
  <r>
    <n v="61246595"/>
    <s v="N"/>
    <n v="21331212"/>
    <s v="3000015382780021"/>
    <s v="CIVIL"/>
    <d v="2023-06-29T00:00:00"/>
    <d v="2023-07-05T19:01:47"/>
    <m/>
    <d v="2023-07-05T00:00:00"/>
    <n v="303"/>
    <n v="4335"/>
    <s v="61246595"/>
    <s v="61246595"/>
    <m/>
    <m/>
    <n v="22790458"/>
    <m/>
    <m/>
    <m/>
    <s v="SOLFIN"/>
    <s v="SOLFIN"/>
    <s v="CCMS"/>
    <n v="21331212"/>
    <n v="1743.61"/>
    <m/>
    <s v="N"/>
    <n v="12"/>
    <d v="2023-07-05T19:02:10"/>
    <s v="Y"/>
    <s v="Preparation - other"/>
    <s v="Prescribed Hourly Rates"/>
    <s v="Profit Cost"/>
    <s v="FS"/>
    <s v="Y"/>
    <n v="22.58"/>
    <n v="4.52"/>
    <x v="6"/>
    <s v="VALIDATED"/>
    <n v="1"/>
    <s v="01.11.80.305.6100.0000"/>
    <n v="22.58"/>
    <s v="11"/>
    <s v="6100"/>
    <n v="7939.65"/>
    <n v="22.58"/>
    <s v="CREDITOR"/>
    <n v="0"/>
    <n v="0"/>
    <n v="0"/>
    <n v="0"/>
    <n v="22.58"/>
  </r>
  <r>
    <n v="61246595"/>
    <s v="N"/>
    <n v="21331212"/>
    <s v="3000015382780021"/>
    <s v="CIVIL"/>
    <d v="2023-06-29T00:00:00"/>
    <d v="2023-07-05T19:01:47"/>
    <m/>
    <d v="2023-07-05T00:00:00"/>
    <n v="303"/>
    <n v="4335"/>
    <s v="61246595"/>
    <s v="61246595"/>
    <m/>
    <m/>
    <n v="22790458"/>
    <m/>
    <m/>
    <m/>
    <s v="SOLFIN"/>
    <s v="SOLFIN"/>
    <s v="CCMS"/>
    <n v="21331212"/>
    <n v="1743.61"/>
    <m/>
    <s v="N"/>
    <n v="15"/>
    <d v="2023-07-05T19:02:10"/>
    <s v="Y"/>
    <s v="Attendance upon/with Counsel at Con"/>
    <s v="Prescribed Hourly Rates"/>
    <s v="Profit Cost"/>
    <s v="FS"/>
    <s v="Y"/>
    <n v="59.78"/>
    <n v="11.96"/>
    <x v="6"/>
    <s v="VALIDATED"/>
    <n v="1"/>
    <s v="01.11.80.305.6100.0000"/>
    <n v="59.78"/>
    <s v="11"/>
    <s v="6100"/>
    <n v="7939.65"/>
    <n v="59.78"/>
    <s v="CREDITOR"/>
    <n v="0"/>
    <n v="0"/>
    <n v="0"/>
    <n v="0"/>
    <n v="59.78"/>
  </r>
  <r>
    <n v="61246595"/>
    <s v="N"/>
    <n v="21331212"/>
    <s v="3000015382780021"/>
    <s v="CIVIL"/>
    <d v="2023-06-29T00:00:00"/>
    <d v="2023-07-05T19:01:47"/>
    <m/>
    <d v="2023-07-05T00:00:00"/>
    <n v="303"/>
    <n v="4335"/>
    <s v="61246595"/>
    <s v="61246595"/>
    <m/>
    <m/>
    <n v="22790458"/>
    <m/>
    <m/>
    <m/>
    <s v="SOLFIN"/>
    <s v="SOLFIN"/>
    <s v="CCMS"/>
    <n v="21331212"/>
    <n v="1743.61"/>
    <m/>
    <s v="N"/>
    <n v="1"/>
    <d v="2023-07-05T19:02:10"/>
    <s v="Y"/>
    <s v="Attendance upon client"/>
    <s v="Prescribed Hourly Rates"/>
    <s v="Profit Cost"/>
    <s v="AR"/>
    <s v="Y"/>
    <n v="56.45"/>
    <n v="11.29"/>
    <x v="6"/>
    <s v="VALIDATED"/>
    <n v="1"/>
    <s v="01.11.80.305.6100.0000"/>
    <n v="56.45"/>
    <s v="11"/>
    <s v="6100"/>
    <n v="7939.65"/>
    <n v="56.45"/>
    <s v="CREDITOR"/>
    <n v="0"/>
    <n v="0"/>
    <n v="0"/>
    <n v="0"/>
    <n v="56.45"/>
  </r>
  <r>
    <n v="61246595"/>
    <s v="N"/>
    <n v="21331212"/>
    <s v="3000015382780021"/>
    <s v="CIVIL"/>
    <d v="2023-06-29T00:00:00"/>
    <d v="2023-07-05T19:01:47"/>
    <m/>
    <d v="2023-07-05T00:00:00"/>
    <n v="303"/>
    <n v="4335"/>
    <s v="61246595"/>
    <s v="61246595"/>
    <m/>
    <m/>
    <n v="22790458"/>
    <m/>
    <m/>
    <m/>
    <s v="SOLFIN"/>
    <s v="SOLFIN"/>
    <s v="CCMS"/>
    <n v="21331212"/>
    <n v="1743.61"/>
    <m/>
    <s v="N"/>
    <n v="25"/>
    <d v="2023-07-05T19:02:10"/>
    <s v="Y"/>
    <s v="Preparation - other"/>
    <s v="Prescribed Hourly Rates"/>
    <s v="Profit Cost"/>
    <s v="FS"/>
    <s v="Y"/>
    <n v="64.92"/>
    <n v="12.98"/>
    <x v="6"/>
    <s v="VALIDATED"/>
    <n v="1"/>
    <s v="01.11.80.305.6100.0000"/>
    <n v="64.92"/>
    <s v="11"/>
    <s v="6100"/>
    <n v="7939.65"/>
    <n v="64.92"/>
    <s v="CREDITOR"/>
    <n v="0"/>
    <n v="0"/>
    <n v="0"/>
    <n v="0"/>
    <n v="64.92"/>
  </r>
  <r>
    <n v="61246595"/>
    <s v="N"/>
    <n v="21331212"/>
    <s v="3000015382780021"/>
    <s v="CIVIL"/>
    <d v="2023-06-29T00:00:00"/>
    <d v="2023-07-05T19:01:47"/>
    <m/>
    <d v="2023-07-05T00:00:00"/>
    <n v="303"/>
    <n v="4335"/>
    <s v="61246595"/>
    <s v="61246595"/>
    <m/>
    <m/>
    <n v="22790458"/>
    <m/>
    <m/>
    <m/>
    <s v="SOLFIN"/>
    <s v="SOLFIN"/>
    <s v="CCMS"/>
    <n v="21331212"/>
    <n v="1743.61"/>
    <m/>
    <s v="N"/>
    <n v="17"/>
    <d v="2023-07-05T19:02:10"/>
    <s v="Y"/>
    <s v="Preparation - other"/>
    <s v="Prescribed Hourly Rates"/>
    <s v="Profit Cost"/>
    <s v="FS"/>
    <s v="Y"/>
    <n v="8.119999999999999"/>
    <n v="1.62"/>
    <x v="6"/>
    <s v="VALIDATED"/>
    <n v="1"/>
    <s v="01.11.80.305.6100.0000"/>
    <n v="8.119999999999999"/>
    <s v="11"/>
    <s v="6100"/>
    <n v="7939.65"/>
    <n v="8.119999999999999"/>
    <s v="CREDITOR"/>
    <n v="0"/>
    <n v="0"/>
    <n v="0"/>
    <n v="0"/>
    <n v="8.119999999999999"/>
  </r>
  <r>
    <n v="61246595"/>
    <s v="N"/>
    <n v="21331212"/>
    <s v="3000015382780021"/>
    <s v="CIVIL"/>
    <d v="2023-06-29T00:00:00"/>
    <d v="2023-07-05T19:01:47"/>
    <m/>
    <d v="2023-07-05T00:00:00"/>
    <n v="303"/>
    <n v="4335"/>
    <s v="61246595"/>
    <s v="61246595"/>
    <m/>
    <m/>
    <n v="22790458"/>
    <m/>
    <m/>
    <m/>
    <s v="SOLFIN"/>
    <s v="SOLFIN"/>
    <s v="CCMS"/>
    <n v="21331212"/>
    <n v="1743.61"/>
    <m/>
    <s v="N"/>
    <n v="23"/>
    <d v="2023-07-05T19:02:10"/>
    <s v="Y"/>
    <s v="Preparation - drafting bill/claim f"/>
    <s v="Prescribed Hourly Rates"/>
    <s v="Profit Cost"/>
    <s v="CD"/>
    <s v="Y"/>
    <n v="105.84"/>
    <n v="21.17"/>
    <x v="6"/>
    <s v="VALIDATED"/>
    <n v="1"/>
    <s v="01.11.80.305.6100.0000"/>
    <n v="105.84"/>
    <s v="11"/>
    <s v="6100"/>
    <n v="7939.65"/>
    <n v="105.84"/>
    <s v="CREDITOR"/>
    <n v="0"/>
    <n v="0"/>
    <n v="0"/>
    <n v="0"/>
    <n v="105.84"/>
  </r>
  <r>
    <n v="59849930"/>
    <s v="N"/>
    <n v="21331229"/>
    <s v="3000014211870029"/>
    <s v="CIVIL"/>
    <d v="2023-06-30T00:00:00"/>
    <d v="2023-07-05T19:01:47"/>
    <m/>
    <d v="2023-07-05T00:00:00"/>
    <n v="303"/>
    <n v="4335"/>
    <s v="59849930"/>
    <s v="59849930"/>
    <m/>
    <m/>
    <n v="22795396"/>
    <m/>
    <m/>
    <m/>
    <s v="SOLINT"/>
    <s v="SOLINT"/>
    <s v="CCMS"/>
    <n v="21331229"/>
    <n v="2349.33"/>
    <m/>
    <s v="N"/>
    <n v="15"/>
    <d v="2023-07-05T19:02:11"/>
    <s v="Y"/>
    <s v="Routine Letter Out"/>
    <s v="Prescribed Hourly Rates"/>
    <s v="Profit Cost"/>
    <s v="SJ"/>
    <s v="Y"/>
    <n v="577.85"/>
    <n v="115.58"/>
    <x v="6"/>
    <s v="VALIDATED"/>
    <n v="1"/>
    <s v="01.11.80.305.6100.0000"/>
    <n v="577.85"/>
    <s v="11"/>
    <s v="6100"/>
    <n v="7939.65"/>
    <n v="577.85"/>
    <s v="CREDITOR"/>
    <n v="0"/>
    <n v="0"/>
    <n v="0"/>
    <n v="0"/>
    <n v="577.85"/>
  </r>
  <r>
    <n v="59849930"/>
    <s v="N"/>
    <n v="21338536"/>
    <s v="3000014211870031"/>
    <s v="CIVIL"/>
    <d v="2023-06-30T00:00:00"/>
    <d v="2023-07-06T19:21:01"/>
    <m/>
    <d v="2023-07-06T00:00:00"/>
    <n v="303"/>
    <n v="4335"/>
    <s v="59849930"/>
    <s v="59849930"/>
    <m/>
    <m/>
    <n v="22796108"/>
    <m/>
    <m/>
    <m/>
    <s v="SOLINT"/>
    <s v="SOLINT"/>
    <s v="CCMS"/>
    <n v="21338536"/>
    <n v="2329.2"/>
    <m/>
    <s v="N"/>
    <n v="4"/>
    <d v="2023-07-06T19:21:28"/>
    <s v="Y"/>
    <s v="Preparation - other"/>
    <s v="Prescribed Hourly Rates"/>
    <s v="Profit Cost"/>
    <s v="SJ"/>
    <s v="Y"/>
    <n v="63.51"/>
    <n v="12.7"/>
    <x v="4"/>
    <s v="VALIDATED"/>
    <n v="1"/>
    <s v="01.11.80.305.6100.0000"/>
    <n v="63.51"/>
    <s v="11"/>
    <s v="6100"/>
    <n v="7939.65"/>
    <n v="63.51"/>
    <s v="CREDITOR"/>
    <n v="0"/>
    <n v="0"/>
    <n v="0"/>
    <n v="0"/>
    <n v="63.51"/>
  </r>
  <r>
    <n v="59849930"/>
    <s v="N"/>
    <n v="21331229"/>
    <s v="3000014211870029"/>
    <s v="CIVIL"/>
    <d v="2023-06-30T00:00:00"/>
    <d v="2023-07-05T19:01:47"/>
    <m/>
    <d v="2023-07-05T00:00:00"/>
    <n v="303"/>
    <n v="4335"/>
    <s v="59849930"/>
    <s v="59849930"/>
    <m/>
    <m/>
    <n v="22795396"/>
    <m/>
    <m/>
    <m/>
    <s v="SOLINT"/>
    <s v="SOLINT"/>
    <s v="CCMS"/>
    <n v="21331229"/>
    <n v="2349.33"/>
    <m/>
    <s v="N"/>
    <n v="14"/>
    <d v="2023-07-05T19:02:11"/>
    <s v="Y"/>
    <s v="Routine Telephone Call"/>
    <s v="Prescribed Hourly Rates"/>
    <s v="Profit Cost"/>
    <s v="SJ"/>
    <s v="Y"/>
    <n v="558.8"/>
    <n v="111.75"/>
    <x v="6"/>
    <s v="VALIDATED"/>
    <n v="1"/>
    <s v="01.11.80.305.6100.0000"/>
    <n v="558.8"/>
    <s v="11"/>
    <s v="6100"/>
    <n v="7939.65"/>
    <n v="558.8"/>
    <s v="CREDITOR"/>
    <n v="0"/>
    <n v="0"/>
    <n v="0"/>
    <n v="0"/>
    <n v="558.8"/>
  </r>
  <r>
    <n v="59849930"/>
    <s v="N"/>
    <n v="21338536"/>
    <s v="3000014211870031"/>
    <s v="CIVIL"/>
    <d v="2023-06-30T00:00:00"/>
    <d v="2023-07-06T19:21:01"/>
    <m/>
    <d v="2023-07-06T00:00:00"/>
    <n v="303"/>
    <n v="4335"/>
    <s v="59849930"/>
    <s v="59849930"/>
    <m/>
    <m/>
    <n v="22796108"/>
    <m/>
    <m/>
    <m/>
    <s v="SOLINT"/>
    <s v="SOLINT"/>
    <s v="CCMS"/>
    <n v="21338536"/>
    <n v="2329.2"/>
    <m/>
    <s v="N"/>
    <n v="14"/>
    <d v="2023-07-06T19:21:28"/>
    <s v="Y"/>
    <s v="Preparation - other"/>
    <s v="Prescribed Hourly Rates"/>
    <s v="Profit Cost"/>
    <s v="SJ"/>
    <s v="Y"/>
    <n v="28.22"/>
    <n v="5.64"/>
    <x v="4"/>
    <s v="VALIDATED"/>
    <n v="1"/>
    <s v="01.11.80.305.6100.0000"/>
    <n v="28.22"/>
    <s v="11"/>
    <s v="6100"/>
    <n v="7939.65"/>
    <n v="28.22"/>
    <s v="CREDITOR"/>
    <n v="0"/>
    <n v="0"/>
    <n v="0"/>
    <n v="0"/>
    <n v="28.22"/>
  </r>
  <r>
    <n v="59849930"/>
    <s v="N"/>
    <n v="21338536"/>
    <s v="3000014211870031"/>
    <s v="CIVIL"/>
    <d v="2023-06-30T00:00:00"/>
    <d v="2023-07-06T19:21:01"/>
    <m/>
    <d v="2023-07-06T00:00:00"/>
    <n v="303"/>
    <n v="4335"/>
    <s v="59849930"/>
    <s v="59849930"/>
    <m/>
    <m/>
    <n v="22796108"/>
    <m/>
    <m/>
    <m/>
    <s v="SOLINT"/>
    <s v="SOLINT"/>
    <s v="CCMS"/>
    <n v="21338536"/>
    <n v="2329.2"/>
    <m/>
    <s v="N"/>
    <n v="16"/>
    <d v="2023-07-06T19:21:28"/>
    <s v="Y"/>
    <s v="Preparation - drafting bill/claim f"/>
    <s v="Prescribed Hourly Rates"/>
    <s v="Profit Cost"/>
    <s v="SJ"/>
    <s v="Y"/>
    <n v="14.11"/>
    <n v="2.82"/>
    <x v="4"/>
    <s v="VALIDATED"/>
    <n v="1"/>
    <s v="01.11.80.305.6100.0000"/>
    <n v="14.11"/>
    <s v="11"/>
    <s v="6100"/>
    <n v="7939.65"/>
    <n v="14.11"/>
    <s v="CREDITOR"/>
    <n v="0"/>
    <n v="0"/>
    <n v="0"/>
    <n v="0"/>
    <n v="14.11"/>
  </r>
  <r>
    <n v="61246595"/>
    <s v="N"/>
    <n v="21331212"/>
    <s v="3000015382780021"/>
    <s v="CIVIL"/>
    <d v="2023-06-29T00:00:00"/>
    <d v="2023-07-05T19:01:47"/>
    <m/>
    <d v="2023-07-05T00:00:00"/>
    <n v="303"/>
    <n v="4335"/>
    <s v="61246595"/>
    <s v="61246595"/>
    <m/>
    <m/>
    <n v="22790458"/>
    <m/>
    <m/>
    <m/>
    <s v="SOLFIN"/>
    <s v="SOLFIN"/>
    <s v="CCMS"/>
    <n v="21331212"/>
    <n v="1743.61"/>
    <m/>
    <s v="N"/>
    <n v="18"/>
    <d v="2023-07-05T19:02:10"/>
    <s v="Y"/>
    <s v="Preparation - other"/>
    <s v="Prescribed Hourly Rates"/>
    <s v="Profit Cost"/>
    <s v="FS"/>
    <s v="Y"/>
    <n v="22.58"/>
    <n v="4.52"/>
    <x v="6"/>
    <s v="VALIDATED"/>
    <n v="1"/>
    <s v="01.11.80.305.6100.0000"/>
    <n v="22.58"/>
    <s v="11"/>
    <s v="6100"/>
    <n v="7939.65"/>
    <n v="22.58"/>
    <s v="CREDITOR"/>
    <n v="0"/>
    <n v="0"/>
    <n v="0"/>
    <n v="0"/>
    <n v="22.58"/>
  </r>
  <r>
    <n v="59849930"/>
    <s v="N"/>
    <n v="21338536"/>
    <s v="3000014211870031"/>
    <s v="CIVIL"/>
    <d v="2023-06-30T00:00:00"/>
    <d v="2023-07-06T19:21:01"/>
    <m/>
    <d v="2023-07-06T00:00:00"/>
    <n v="303"/>
    <n v="4335"/>
    <s v="59849930"/>
    <s v="59849930"/>
    <m/>
    <m/>
    <n v="22796108"/>
    <m/>
    <m/>
    <m/>
    <s v="SOLINT"/>
    <s v="SOLINT"/>
    <s v="CCMS"/>
    <n v="21338536"/>
    <n v="2329.2"/>
    <m/>
    <s v="N"/>
    <n v="18"/>
    <d v="2023-07-06T19:21:28"/>
    <s v="Y"/>
    <s v="Routine Letter Out"/>
    <s v="Prescribed Hourly Rates"/>
    <s v="Profit Cost"/>
    <s v="SJ"/>
    <s v="Y"/>
    <n v="368.3"/>
    <n v="73.66"/>
    <x v="4"/>
    <s v="VALIDATED"/>
    <n v="1"/>
    <s v="01.11.80.305.6100.0000"/>
    <n v="368.3"/>
    <s v="11"/>
    <s v="6100"/>
    <n v="7939.65"/>
    <n v="368.3"/>
    <s v="CREDITOR"/>
    <n v="0"/>
    <n v="0"/>
    <n v="0"/>
    <n v="0"/>
    <n v="368.3"/>
  </r>
  <r>
    <n v="59849930"/>
    <s v="N"/>
    <n v="21338536"/>
    <s v="3000014211870031"/>
    <s v="CIVIL"/>
    <d v="2023-06-30T00:00:00"/>
    <d v="2023-07-06T19:21:01"/>
    <m/>
    <d v="2023-07-06T00:00:00"/>
    <n v="303"/>
    <n v="4335"/>
    <s v="59849930"/>
    <s v="59849930"/>
    <m/>
    <m/>
    <n v="22796108"/>
    <m/>
    <m/>
    <m/>
    <s v="SOLINT"/>
    <s v="SOLINT"/>
    <s v="CCMS"/>
    <n v="21338536"/>
    <n v="2329.2"/>
    <m/>
    <s v="N"/>
    <n v="6"/>
    <d v="2023-07-06T19:21:28"/>
    <s v="Y"/>
    <s v="Attendance upon client"/>
    <s v="Prescribed Hourly Rates"/>
    <s v="Profit Cost"/>
    <s v="SJ"/>
    <s v="Y"/>
    <n v="127.01"/>
    <n v="25.4"/>
    <x v="4"/>
    <s v="VALIDATED"/>
    <n v="1"/>
    <s v="01.11.80.305.6100.0000"/>
    <n v="127.01"/>
    <s v="11"/>
    <s v="6100"/>
    <n v="7939.65"/>
    <n v="127.01"/>
    <s v="CREDITOR"/>
    <n v="0"/>
    <n v="0"/>
    <n v="0"/>
    <n v="0"/>
    <n v="127.01"/>
  </r>
  <r>
    <n v="59849930"/>
    <s v="N"/>
    <n v="21338536"/>
    <s v="3000014211870031"/>
    <s v="CIVIL"/>
    <d v="2023-06-30T00:00:00"/>
    <d v="2023-07-06T19:21:01"/>
    <m/>
    <d v="2023-07-06T00:00:00"/>
    <n v="303"/>
    <n v="4335"/>
    <s v="59849930"/>
    <s v="59849930"/>
    <m/>
    <m/>
    <n v="22796108"/>
    <m/>
    <m/>
    <m/>
    <s v="SOLINT"/>
    <s v="SOLINT"/>
    <s v="CCMS"/>
    <n v="21338536"/>
    <n v="2329.2"/>
    <m/>
    <s v="N"/>
    <n v="9"/>
    <d v="2023-07-06T19:21:28"/>
    <s v="Y"/>
    <s v="Preparation - other"/>
    <s v="Prescribed Hourly Rates"/>
    <s v="Profit Cost"/>
    <s v="SJ"/>
    <s v="Y"/>
    <n v="105.84"/>
    <n v="21.17"/>
    <x v="4"/>
    <s v="VALIDATED"/>
    <n v="1"/>
    <s v="01.11.80.305.6100.0000"/>
    <n v="105.84"/>
    <s v="11"/>
    <s v="6100"/>
    <n v="7939.65"/>
    <n v="105.84"/>
    <s v="CREDITOR"/>
    <n v="0"/>
    <n v="0"/>
    <n v="0"/>
    <n v="0"/>
    <n v="105.84"/>
  </r>
  <r>
    <n v="59849930"/>
    <s v="N"/>
    <n v="21338536"/>
    <s v="3000014211870031"/>
    <s v="CIVIL"/>
    <d v="2023-06-30T00:00:00"/>
    <d v="2023-07-06T19:21:01"/>
    <m/>
    <d v="2023-07-06T00:00:00"/>
    <n v="303"/>
    <n v="4335"/>
    <s v="59849930"/>
    <s v="59849930"/>
    <m/>
    <m/>
    <n v="22796108"/>
    <m/>
    <m/>
    <m/>
    <s v="SOLINT"/>
    <s v="SOLINT"/>
    <s v="CCMS"/>
    <n v="21338536"/>
    <n v="2329.2"/>
    <m/>
    <s v="N"/>
    <n v="2"/>
    <d v="2023-07-06T19:21:28"/>
    <s v="Y"/>
    <s v="Preparation - other"/>
    <s v="Prescribed Hourly Rates"/>
    <s v="Profit Cost"/>
    <s v="SJ"/>
    <s v="Y"/>
    <n v="84.67"/>
    <n v="16.93"/>
    <x v="4"/>
    <s v="VALIDATED"/>
    <n v="1"/>
    <s v="01.11.80.305.6100.0000"/>
    <n v="84.67"/>
    <s v="11"/>
    <s v="6100"/>
    <n v="7939.65"/>
    <n v="84.67"/>
    <s v="CREDITOR"/>
    <n v="0"/>
    <n v="0"/>
    <n v="0"/>
    <n v="0"/>
    <n v="84.67"/>
  </r>
  <r>
    <n v="61246595"/>
    <s v="N"/>
    <n v="21331212"/>
    <s v="3000015382780021"/>
    <s v="CIVIL"/>
    <d v="2023-06-29T00:00:00"/>
    <d v="2023-07-05T19:01:47"/>
    <m/>
    <d v="2023-07-05T00:00:00"/>
    <n v="303"/>
    <n v="4335"/>
    <s v="61246595"/>
    <s v="61246595"/>
    <m/>
    <m/>
    <n v="22790458"/>
    <m/>
    <m/>
    <m/>
    <s v="SOLFIN"/>
    <s v="SOLFIN"/>
    <s v="CCMS"/>
    <n v="21331212"/>
    <n v="1743.61"/>
    <m/>
    <s v="N"/>
    <n v="5"/>
    <d v="2023-07-05T19:02:10"/>
    <s v="Y"/>
    <s v="Preparation - other"/>
    <s v="Prescribed Hourly Rates"/>
    <s v="Profit Cost"/>
    <s v="FS"/>
    <s v="Y"/>
    <n v="22.58"/>
    <n v="4.52"/>
    <x v="6"/>
    <s v="VALIDATED"/>
    <n v="1"/>
    <s v="01.11.80.305.6100.0000"/>
    <n v="22.58"/>
    <s v="11"/>
    <s v="6100"/>
    <n v="7939.65"/>
    <n v="22.58"/>
    <s v="CREDITOR"/>
    <n v="0"/>
    <n v="0"/>
    <n v="0"/>
    <n v="0"/>
    <n v="22.58"/>
  </r>
  <r>
    <n v="61246595"/>
    <s v="N"/>
    <n v="21331212"/>
    <s v="3000015382780021"/>
    <s v="CIVIL"/>
    <d v="2023-06-29T00:00:00"/>
    <d v="2023-07-05T19:01:47"/>
    <m/>
    <d v="2023-07-05T00:00:00"/>
    <n v="303"/>
    <n v="4335"/>
    <s v="61246595"/>
    <s v="61246595"/>
    <m/>
    <m/>
    <n v="22790458"/>
    <m/>
    <m/>
    <m/>
    <s v="SOLFIN"/>
    <s v="SOLFIN"/>
    <s v="CCMS"/>
    <n v="21331212"/>
    <n v="1743.61"/>
    <m/>
    <s v="N"/>
    <n v="11"/>
    <d v="2023-07-05T19:02:10"/>
    <s v="Y"/>
    <s v="Preparation - other"/>
    <s v="Prescribed Hourly Rates"/>
    <s v="Profit Cost"/>
    <s v="FS"/>
    <s v="Y"/>
    <n v="22.58"/>
    <n v="4.52"/>
    <x v="6"/>
    <s v="VALIDATED"/>
    <n v="1"/>
    <s v="01.11.80.305.6100.0000"/>
    <n v="22.58"/>
    <s v="11"/>
    <s v="6100"/>
    <n v="7939.65"/>
    <n v="22.58"/>
    <s v="CREDITOR"/>
    <n v="0"/>
    <n v="0"/>
    <n v="0"/>
    <n v="0"/>
    <n v="22.58"/>
  </r>
  <r>
    <n v="59849930"/>
    <s v="N"/>
    <n v="21331229"/>
    <s v="3000014211870029"/>
    <s v="CIVIL"/>
    <d v="2023-06-30T00:00:00"/>
    <d v="2023-07-05T19:01:47"/>
    <m/>
    <d v="2023-07-05T00:00:00"/>
    <n v="303"/>
    <n v="4335"/>
    <s v="59849930"/>
    <s v="59849930"/>
    <m/>
    <m/>
    <n v="22795396"/>
    <m/>
    <m/>
    <m/>
    <s v="SOLINT"/>
    <s v="SOLINT"/>
    <s v="CCMS"/>
    <n v="21331229"/>
    <n v="2349.33"/>
    <m/>
    <s v="N"/>
    <n v="12"/>
    <d v="2023-07-05T19:02:11"/>
    <s v="Y"/>
    <s v="Preparation - drafting bill/claim f"/>
    <s v="Prescribed Hourly Rates"/>
    <s v="Profit Cost"/>
    <s v="CD"/>
    <s v="Y"/>
    <n v="49.39"/>
    <n v="9.880000000000001"/>
    <x v="6"/>
    <s v="VALIDATED"/>
    <n v="1"/>
    <s v="01.11.80.305.6100.0000"/>
    <n v="49.39"/>
    <s v="11"/>
    <s v="6100"/>
    <n v="7939.65"/>
    <n v="49.39"/>
    <s v="CREDITOR"/>
    <n v="0"/>
    <n v="0"/>
    <n v="0"/>
    <n v="0"/>
    <n v="49.39"/>
  </r>
  <r>
    <n v="61816233"/>
    <s v="N"/>
    <n v="21323560"/>
    <s v="3000015882530001"/>
    <s v="CIVIL"/>
    <d v="2023-06-30T00:00:00"/>
    <d v="2023-07-03T19:05:56"/>
    <m/>
    <d v="2023-07-03T00:00:00"/>
    <n v="303"/>
    <n v="4335"/>
    <s v="61816233"/>
    <s v="61816233"/>
    <m/>
    <m/>
    <n v="22796594"/>
    <m/>
    <m/>
    <m/>
    <s v="SOLPOA"/>
    <s v="SOLPOA"/>
    <s v="CCMS"/>
    <n v="21323560"/>
    <n v="50"/>
    <m/>
    <s v="N"/>
    <n v="1"/>
    <d v="2023-07-03T19:05:57"/>
    <s v="N"/>
    <s v="Non Expert Disbursement"/>
    <s v="Non Expert Disbursement"/>
    <s v="Non Expert Disbursement"/>
    <s v="IM"/>
    <s v="N"/>
    <n v="50"/>
    <n v="0"/>
    <x v="3"/>
    <s v="VALIDATED"/>
    <n v="1"/>
    <s v="01.11.80.305.2012.0000"/>
    <n v="50"/>
    <s v="11"/>
    <s v="2012"/>
    <n v="7939.65"/>
    <n v="50"/>
    <s v="CREDITOR"/>
    <n v="50"/>
    <n v="0"/>
    <n v="0"/>
    <n v="0"/>
    <n v="0"/>
  </r>
  <r>
    <n v="61246595"/>
    <s v="N"/>
    <n v="21331212"/>
    <s v="3000015382780021"/>
    <s v="CIVIL"/>
    <d v="2023-06-29T00:00:00"/>
    <d v="2023-07-05T19:01:47"/>
    <m/>
    <d v="2023-07-05T00:00:00"/>
    <n v="303"/>
    <n v="4335"/>
    <s v="61246595"/>
    <s v="61246595"/>
    <m/>
    <m/>
    <n v="22790458"/>
    <m/>
    <m/>
    <m/>
    <s v="SOLFIN"/>
    <s v="SOLFIN"/>
    <s v="CCMS"/>
    <n v="21331212"/>
    <n v="1743.61"/>
    <m/>
    <s v="N"/>
    <n v="22"/>
    <d v="2023-07-05T19:02:10"/>
    <s v="Y"/>
    <s v="Preparation - other"/>
    <s v="Prescribed Hourly Rates"/>
    <s v="Profit Cost"/>
    <s v="FS"/>
    <s v="Y"/>
    <n v="16.23"/>
    <n v="3.25"/>
    <x v="6"/>
    <s v="VALIDATED"/>
    <n v="1"/>
    <s v="01.11.80.305.6100.0000"/>
    <n v="16.23"/>
    <s v="11"/>
    <s v="6100"/>
    <n v="7939.65"/>
    <n v="16.23"/>
    <s v="CREDITOR"/>
    <n v="0"/>
    <n v="0"/>
    <n v="0"/>
    <n v="0"/>
    <n v="16.23"/>
  </r>
  <r>
    <n v="61246595"/>
    <s v="N"/>
    <n v="21331212"/>
    <s v="3000015382780021"/>
    <s v="CIVIL"/>
    <d v="2023-06-29T00:00:00"/>
    <d v="2023-07-05T19:01:47"/>
    <m/>
    <d v="2023-07-05T00:00:00"/>
    <n v="303"/>
    <n v="4335"/>
    <s v="61246595"/>
    <s v="61246595"/>
    <m/>
    <m/>
    <n v="22790458"/>
    <m/>
    <m/>
    <m/>
    <s v="SOLFIN"/>
    <s v="SOLFIN"/>
    <s v="CCMS"/>
    <n v="21331212"/>
    <n v="1743.61"/>
    <m/>
    <s v="N"/>
    <n v="30"/>
    <d v="2023-07-05T19:02:10"/>
    <s v="Y"/>
    <s v="Routine Letter In"/>
    <s v="Prescribed Hourly Rates"/>
    <s v="Profit Cost"/>
    <s v="AR"/>
    <s v="Y"/>
    <n v="31.5"/>
    <n v="6.3"/>
    <x v="6"/>
    <s v="VALIDATED"/>
    <n v="1"/>
    <s v="01.11.80.305.6100.0000"/>
    <n v="31.5"/>
    <s v="11"/>
    <s v="6100"/>
    <n v="7939.65"/>
    <n v="31.5"/>
    <s v="CREDITOR"/>
    <n v="0"/>
    <n v="0"/>
    <n v="0"/>
    <n v="0"/>
    <n v="31.5"/>
  </r>
  <r>
    <n v="59849930"/>
    <s v="N"/>
    <n v="21338536"/>
    <s v="3000014211870031"/>
    <s v="CIVIL"/>
    <d v="2023-06-30T00:00:00"/>
    <d v="2023-07-06T19:21:01"/>
    <m/>
    <d v="2023-07-06T00:00:00"/>
    <n v="303"/>
    <n v="4335"/>
    <s v="59849930"/>
    <s v="59849930"/>
    <m/>
    <m/>
    <n v="22796108"/>
    <m/>
    <m/>
    <m/>
    <s v="SOLINT"/>
    <s v="SOLINT"/>
    <s v="CCMS"/>
    <n v="21338536"/>
    <n v="2329.2"/>
    <m/>
    <s v="N"/>
    <n v="5"/>
    <d v="2023-07-06T19:21:28"/>
    <s v="Y"/>
    <s v="Preparation - other"/>
    <s v="Prescribed Hourly Rates"/>
    <s v="Profit Cost"/>
    <s v="SJ"/>
    <s v="Y"/>
    <n v="127.01"/>
    <n v="25.4"/>
    <x v="4"/>
    <s v="VALIDATED"/>
    <n v="1"/>
    <s v="01.11.80.305.6100.0000"/>
    <n v="127.01"/>
    <s v="11"/>
    <s v="6100"/>
    <n v="7939.65"/>
    <n v="127.01"/>
    <s v="CREDITOR"/>
    <n v="0"/>
    <n v="0"/>
    <n v="0"/>
    <n v="0"/>
    <n v="127.01"/>
  </r>
  <r>
    <n v="61246595"/>
    <s v="N"/>
    <n v="21331212"/>
    <s v="3000015382780021"/>
    <s v="CIVIL"/>
    <d v="2023-06-29T00:00:00"/>
    <d v="2023-07-05T19:01:47"/>
    <m/>
    <d v="2023-07-05T00:00:00"/>
    <n v="303"/>
    <n v="4335"/>
    <s v="61246595"/>
    <s v="61246595"/>
    <m/>
    <m/>
    <n v="22790458"/>
    <m/>
    <m/>
    <m/>
    <s v="SOLFIN"/>
    <s v="SOLFIN"/>
    <s v="CCMS"/>
    <n v="21331212"/>
    <n v="1743.61"/>
    <m/>
    <s v="N"/>
    <n v="4"/>
    <d v="2023-07-05T19:02:10"/>
    <s v="Y"/>
    <s v="Preparation - other"/>
    <s v="Prescribed Hourly Rates"/>
    <s v="Profit Cost"/>
    <s v="AR"/>
    <s v="Y"/>
    <n v="33.87"/>
    <n v="6.77"/>
    <x v="6"/>
    <s v="VALIDATED"/>
    <n v="1"/>
    <s v="01.11.80.305.6100.0000"/>
    <n v="33.87"/>
    <s v="11"/>
    <s v="6100"/>
    <n v="7939.65"/>
    <n v="33.87"/>
    <s v="CREDITOR"/>
    <n v="0"/>
    <n v="0"/>
    <n v="0"/>
    <n v="0"/>
    <n v="33.87"/>
  </r>
  <r>
    <n v="61246595"/>
    <s v="N"/>
    <n v="21331212"/>
    <s v="3000015382780021"/>
    <s v="CIVIL"/>
    <d v="2023-06-29T00:00:00"/>
    <d v="2023-07-05T19:01:47"/>
    <m/>
    <d v="2023-07-05T00:00:00"/>
    <n v="303"/>
    <n v="4335"/>
    <s v="61246595"/>
    <s v="61246595"/>
    <m/>
    <m/>
    <n v="22790458"/>
    <m/>
    <m/>
    <m/>
    <s v="SOLFIN"/>
    <s v="SOLFIN"/>
    <s v="CCMS"/>
    <n v="21331212"/>
    <n v="1743.61"/>
    <m/>
    <s v="N"/>
    <n v="6"/>
    <d v="2023-07-05T19:02:10"/>
    <s v="Y"/>
    <s v="Preparation - other"/>
    <s v="Prescribed Hourly Rates"/>
    <s v="Profit Cost"/>
    <s v="AR"/>
    <s v="Y"/>
    <n v="90.31999999999999"/>
    <n v="18.06"/>
    <x v="6"/>
    <s v="VALIDATED"/>
    <n v="1"/>
    <s v="01.11.80.305.6100.0000"/>
    <n v="90.31999999999999"/>
    <s v="11"/>
    <s v="6100"/>
    <n v="7939.65"/>
    <n v="90.31999999999999"/>
    <s v="CREDITOR"/>
    <n v="0"/>
    <n v="0"/>
    <n v="0"/>
    <n v="0"/>
    <n v="90.31999999999999"/>
  </r>
  <r>
    <n v="61246595"/>
    <s v="N"/>
    <n v="21331212"/>
    <s v="3000015382780021"/>
    <s v="CIVIL"/>
    <d v="2023-06-29T00:00:00"/>
    <d v="2023-07-05T19:01:47"/>
    <m/>
    <d v="2023-07-05T00:00:00"/>
    <n v="303"/>
    <n v="4335"/>
    <s v="61246595"/>
    <s v="61246595"/>
    <m/>
    <m/>
    <n v="22790458"/>
    <m/>
    <m/>
    <m/>
    <s v="SOLFIN"/>
    <s v="SOLFIN"/>
    <s v="CCMS"/>
    <n v="21331212"/>
    <n v="1743.61"/>
    <m/>
    <s v="N"/>
    <n v="9"/>
    <d v="2023-07-05T19:02:10"/>
    <s v="Y"/>
    <s v="Preparation - other"/>
    <s v="Prescribed Hourly Rates"/>
    <s v="Profit Cost"/>
    <s v="AR"/>
    <s v="Y"/>
    <n v="22.58"/>
    <n v="4.52"/>
    <x v="6"/>
    <s v="VALIDATED"/>
    <n v="1"/>
    <s v="01.11.80.305.6100.0000"/>
    <n v="22.58"/>
    <s v="11"/>
    <s v="6100"/>
    <n v="7939.65"/>
    <n v="22.58"/>
    <s v="CREDITOR"/>
    <n v="0"/>
    <n v="0"/>
    <n v="0"/>
    <n v="0"/>
    <n v="22.58"/>
  </r>
  <r>
    <n v="61246595"/>
    <s v="N"/>
    <n v="21331212"/>
    <s v="3000015382780021"/>
    <s v="CIVIL"/>
    <d v="2023-06-29T00:00:00"/>
    <d v="2023-07-05T19:01:47"/>
    <m/>
    <d v="2023-07-05T00:00:00"/>
    <n v="303"/>
    <n v="4335"/>
    <s v="61246595"/>
    <s v="61246595"/>
    <m/>
    <m/>
    <n v="22790458"/>
    <m/>
    <m/>
    <m/>
    <s v="SOLFIN"/>
    <s v="SOLFIN"/>
    <s v="CCMS"/>
    <n v="21331212"/>
    <n v="1743.61"/>
    <m/>
    <s v="N"/>
    <n v="19"/>
    <d v="2023-07-05T19:02:10"/>
    <s v="Y"/>
    <s v="Preparation - other"/>
    <s v="Prescribed Hourly Rates"/>
    <s v="Profit Cost"/>
    <s v="AR"/>
    <s v="Y"/>
    <n v="21.17"/>
    <n v="4.23"/>
    <x v="6"/>
    <s v="VALIDATED"/>
    <n v="1"/>
    <s v="01.11.80.305.6100.0000"/>
    <n v="21.17"/>
    <s v="11"/>
    <s v="6100"/>
    <n v="7939.65"/>
    <n v="21.17"/>
    <s v="CREDITOR"/>
    <n v="0"/>
    <n v="0"/>
    <n v="0"/>
    <n v="0"/>
    <n v="21.17"/>
  </r>
  <r>
    <n v="59849930"/>
    <s v="N"/>
    <n v="21331229"/>
    <s v="3000014211870029"/>
    <s v="CIVIL"/>
    <d v="2023-06-30T00:00:00"/>
    <d v="2023-07-05T19:01:47"/>
    <m/>
    <d v="2023-07-05T00:00:00"/>
    <n v="303"/>
    <n v="4335"/>
    <s v="59849930"/>
    <s v="59849930"/>
    <m/>
    <m/>
    <n v="22795396"/>
    <m/>
    <m/>
    <m/>
    <s v="SOLINT"/>
    <s v="SOLINT"/>
    <s v="CCMS"/>
    <n v="21331229"/>
    <n v="2349.33"/>
    <m/>
    <s v="N"/>
    <n v="5"/>
    <d v="2023-07-05T19:02:11"/>
    <s v="Y"/>
    <s v="Preparation - other"/>
    <s v="Prescribed Hourly Rates"/>
    <s v="Profit Cost"/>
    <s v="SJ"/>
    <s v="Y"/>
    <n v="21.17"/>
    <n v="4.23"/>
    <x v="6"/>
    <s v="VALIDATED"/>
    <n v="1"/>
    <s v="01.11.80.305.6100.0000"/>
    <n v="21.17"/>
    <s v="11"/>
    <s v="6100"/>
    <n v="7939.65"/>
    <n v="21.17"/>
    <s v="CREDITOR"/>
    <n v="0"/>
    <n v="0"/>
    <n v="0"/>
    <n v="0"/>
    <n v="21.17"/>
  </r>
  <r>
    <n v="59849930"/>
    <s v="N"/>
    <n v="21338536"/>
    <s v="3000014211870031"/>
    <s v="CIVIL"/>
    <d v="2023-06-30T00:00:00"/>
    <d v="2023-07-06T19:21:01"/>
    <m/>
    <d v="2023-07-06T00:00:00"/>
    <n v="303"/>
    <n v="4335"/>
    <s v="59849930"/>
    <s v="59849930"/>
    <m/>
    <m/>
    <n v="22796108"/>
    <m/>
    <m/>
    <m/>
    <s v="SOLINT"/>
    <s v="SOLINT"/>
    <s v="CCMS"/>
    <n v="21338536"/>
    <n v="2329.2"/>
    <m/>
    <s v="N"/>
    <n v="7"/>
    <d v="2023-07-06T19:21:28"/>
    <s v="Y"/>
    <s v="Preparation - other"/>
    <s v="Prescribed Hourly Rates"/>
    <s v="Profit Cost"/>
    <s v="SJ"/>
    <s v="Y"/>
    <n v="31.76"/>
    <n v="6.35"/>
    <x v="4"/>
    <s v="VALIDATED"/>
    <n v="1"/>
    <s v="01.11.80.305.6100.0000"/>
    <n v="31.76"/>
    <s v="11"/>
    <s v="6100"/>
    <n v="7939.65"/>
    <n v="31.76"/>
    <s v="CREDITOR"/>
    <n v="0"/>
    <n v="0"/>
    <n v="0"/>
    <n v="0"/>
    <n v="31.76"/>
  </r>
  <r>
    <n v="61246595"/>
    <s v="N"/>
    <n v="21331212"/>
    <s v="3000015382780021"/>
    <s v="CIVIL"/>
    <d v="2023-06-29T00:00:00"/>
    <d v="2023-07-05T19:01:47"/>
    <m/>
    <d v="2023-07-05T00:00:00"/>
    <n v="303"/>
    <n v="4335"/>
    <s v="61246595"/>
    <s v="61246595"/>
    <m/>
    <m/>
    <n v="22790458"/>
    <m/>
    <m/>
    <m/>
    <s v="SOLFIN"/>
    <s v="SOLFIN"/>
    <s v="CCMS"/>
    <n v="21331212"/>
    <n v="1743.61"/>
    <m/>
    <s v="N"/>
    <n v="8"/>
    <d v="2023-07-05T19:02:10"/>
    <s v="Y"/>
    <s v="Attendance upon client"/>
    <s v="Prescribed Hourly Rates"/>
    <s v="Profit Cost"/>
    <s v="AR"/>
    <s v="Y"/>
    <n v="22.58"/>
    <n v="4.52"/>
    <x v="6"/>
    <s v="VALIDATED"/>
    <n v="1"/>
    <s v="01.11.80.305.6100.0000"/>
    <n v="22.58"/>
    <s v="11"/>
    <s v="6100"/>
    <n v="7939.65"/>
    <n v="22.58"/>
    <s v="CREDITOR"/>
    <n v="0"/>
    <n v="0"/>
    <n v="0"/>
    <n v="0"/>
    <n v="22.58"/>
  </r>
  <r>
    <n v="61246595"/>
    <s v="N"/>
    <n v="21331212"/>
    <s v="3000015382780021"/>
    <s v="CIVIL"/>
    <d v="2023-06-29T00:00:00"/>
    <d v="2023-07-05T19:01:47"/>
    <m/>
    <d v="2023-07-05T00:00:00"/>
    <n v="303"/>
    <n v="4335"/>
    <s v="61246595"/>
    <s v="61246595"/>
    <m/>
    <m/>
    <n v="22790458"/>
    <m/>
    <m/>
    <m/>
    <s v="SOLFIN"/>
    <s v="SOLFIN"/>
    <s v="CCMS"/>
    <n v="21331212"/>
    <n v="1743.61"/>
    <m/>
    <s v="N"/>
    <n v="10"/>
    <d v="2023-07-05T19:02:10"/>
    <s v="Y"/>
    <s v="Preparation - other"/>
    <s v="Prescribed Hourly Rates"/>
    <s v="Profit Cost"/>
    <s v="FS"/>
    <s v="Y"/>
    <n v="56.45"/>
    <n v="11.29"/>
    <x v="6"/>
    <s v="VALIDATED"/>
    <n v="1"/>
    <s v="01.11.80.305.6100.0000"/>
    <n v="56.45"/>
    <s v="11"/>
    <s v="6100"/>
    <n v="7939.65"/>
    <n v="56.45"/>
    <s v="CREDITOR"/>
    <n v="0"/>
    <n v="0"/>
    <n v="0"/>
    <n v="0"/>
    <n v="56.45"/>
  </r>
  <r>
    <n v="59849930"/>
    <s v="N"/>
    <n v="21331229"/>
    <s v="3000014211870029"/>
    <s v="CIVIL"/>
    <d v="2023-06-30T00:00:00"/>
    <d v="2023-07-05T19:01:47"/>
    <m/>
    <d v="2023-07-05T00:00:00"/>
    <n v="303"/>
    <n v="4335"/>
    <s v="59849930"/>
    <s v="59849930"/>
    <m/>
    <m/>
    <n v="22795396"/>
    <m/>
    <m/>
    <m/>
    <s v="SOLINT"/>
    <s v="SOLINT"/>
    <s v="CCMS"/>
    <n v="21331229"/>
    <n v="2349.33"/>
    <m/>
    <s v="N"/>
    <n v="11"/>
    <d v="2023-07-05T19:02:11"/>
    <s v="Y"/>
    <s v="Advocacy - In court behind counsel"/>
    <s v="Prescribed Hourly Rates"/>
    <s v="Advocacy"/>
    <s v="SJ"/>
    <s v="Y"/>
    <n v="59.41"/>
    <n v="11.88"/>
    <x v="6"/>
    <s v="VALIDATED"/>
    <n v="1"/>
    <s v="01.11.80.305.6100.0000"/>
    <n v="59.41"/>
    <s v="11"/>
    <s v="6100"/>
    <n v="7939.65"/>
    <n v="59.41"/>
    <s v="CREDITOR"/>
    <n v="0"/>
    <n v="0"/>
    <n v="0"/>
    <n v="0"/>
    <n v="59.41"/>
  </r>
  <r>
    <n v="59849930"/>
    <s v="N"/>
    <n v="21331229"/>
    <s v="3000014211870029"/>
    <s v="CIVIL"/>
    <d v="2023-06-30T00:00:00"/>
    <d v="2023-07-05T19:01:47"/>
    <m/>
    <d v="2023-07-05T00:00:00"/>
    <n v="303"/>
    <n v="4335"/>
    <s v="59849930"/>
    <s v="59849930"/>
    <m/>
    <m/>
    <n v="22795396"/>
    <m/>
    <m/>
    <m/>
    <s v="SOLINT"/>
    <s v="SOLINT"/>
    <s v="CCMS"/>
    <n v="21331229"/>
    <n v="2349.33"/>
    <m/>
    <s v="N"/>
    <n v="9"/>
    <d v="2023-07-05T19:02:11"/>
    <s v="Y"/>
    <s v="Preparation - other"/>
    <s v="Prescribed Hourly Rates"/>
    <s v="Profit Cost"/>
    <s v="SJ"/>
    <s v="Y"/>
    <n v="21.17"/>
    <n v="4.23"/>
    <x v="6"/>
    <s v="VALIDATED"/>
    <n v="1"/>
    <s v="01.11.80.305.6100.0000"/>
    <n v="21.17"/>
    <s v="11"/>
    <s v="6100"/>
    <n v="7939.65"/>
    <n v="21.17"/>
    <s v="CREDITOR"/>
    <n v="0"/>
    <n v="0"/>
    <n v="0"/>
    <n v="0"/>
    <n v="21.17"/>
  </r>
  <r>
    <n v="59849930"/>
    <s v="N"/>
    <n v="21338536"/>
    <s v="3000014211870031"/>
    <s v="CIVIL"/>
    <d v="2023-06-30T00:00:00"/>
    <d v="2023-07-06T19:21:01"/>
    <m/>
    <d v="2023-07-06T00:00:00"/>
    <n v="303"/>
    <n v="4335"/>
    <s v="59849930"/>
    <s v="59849930"/>
    <m/>
    <m/>
    <n v="22796108"/>
    <m/>
    <m/>
    <m/>
    <s v="SOLINT"/>
    <s v="SOLINT"/>
    <s v="CCMS"/>
    <n v="21338536"/>
    <n v="2329.2"/>
    <m/>
    <s v="N"/>
    <n v="1"/>
    <d v="2023-07-06T19:21:28"/>
    <s v="Y"/>
    <s v="Interpreter"/>
    <s v="Prescribed Hourly Rates"/>
    <s v="Expert Disbursement"/>
    <s v="XXX"/>
    <s v="Y"/>
    <n v="234"/>
    <n v="0"/>
    <x v="4"/>
    <s v="VALIDATED"/>
    <n v="1"/>
    <s v="01.11.80.305.6300.0000"/>
    <n v="234"/>
    <s v="11"/>
    <s v="6300"/>
    <n v="7939.65"/>
    <n v="234"/>
    <s v="CREDITOR"/>
    <n v="0"/>
    <n v="0"/>
    <n v="0"/>
    <n v="0"/>
    <n v="234"/>
  </r>
  <r>
    <n v="59849930"/>
    <s v="N"/>
    <n v="21338536"/>
    <s v="3000014211870031"/>
    <s v="CIVIL"/>
    <d v="2023-06-30T00:00:00"/>
    <d v="2023-07-06T19:21:01"/>
    <m/>
    <d v="2023-07-06T00:00:00"/>
    <n v="303"/>
    <n v="4335"/>
    <s v="59849930"/>
    <s v="59849930"/>
    <m/>
    <m/>
    <n v="22796108"/>
    <m/>
    <m/>
    <m/>
    <s v="SOLINT"/>
    <s v="SOLINT"/>
    <s v="CCMS"/>
    <n v="21338536"/>
    <n v="2329.2"/>
    <m/>
    <s v="N"/>
    <n v="17"/>
    <d v="2023-07-06T19:21:28"/>
    <s v="Y"/>
    <s v="Routine Telephone Call"/>
    <s v="Prescribed Hourly Rates"/>
    <s v="Profit Cost"/>
    <s v="SJ"/>
    <s v="Y"/>
    <n v="209.55"/>
    <n v="41.91"/>
    <x v="4"/>
    <s v="VALIDATED"/>
    <n v="1"/>
    <s v="01.11.80.305.6100.0000"/>
    <n v="209.55"/>
    <s v="11"/>
    <s v="6100"/>
    <n v="7939.65"/>
    <n v="209.55"/>
    <s v="CREDITOR"/>
    <n v="0"/>
    <n v="0"/>
    <n v="0"/>
    <n v="0"/>
    <n v="209.55"/>
  </r>
  <r>
    <n v="59849930"/>
    <s v="N"/>
    <n v="21331229"/>
    <s v="3000014211870029"/>
    <s v="CIVIL"/>
    <d v="2023-06-30T00:00:00"/>
    <d v="2023-07-05T19:01:47"/>
    <m/>
    <d v="2023-07-05T00:00:00"/>
    <n v="303"/>
    <n v="4335"/>
    <s v="59849930"/>
    <s v="59849930"/>
    <m/>
    <m/>
    <n v="22795396"/>
    <m/>
    <m/>
    <m/>
    <s v="SOLINT"/>
    <s v="SOLINT"/>
    <s v="CCMS"/>
    <n v="21331229"/>
    <n v="2349.33"/>
    <m/>
    <s v="N"/>
    <n v="10"/>
    <d v="2023-07-05T19:02:11"/>
    <s v="Y"/>
    <s v="Preparation - drafting instructions"/>
    <s v="Prescribed Hourly Rates"/>
    <s v="Profit Cost"/>
    <s v="SJ"/>
    <s v="Y"/>
    <n v="190.52"/>
    <n v="38.1"/>
    <x v="6"/>
    <s v="VALIDATED"/>
    <n v="1"/>
    <s v="01.11.80.305.6100.0000"/>
    <n v="190.52"/>
    <s v="11"/>
    <s v="6100"/>
    <n v="7939.65"/>
    <n v="190.52"/>
    <s v="CREDITOR"/>
    <n v="0"/>
    <n v="0"/>
    <n v="0"/>
    <n v="0"/>
    <n v="190.52"/>
  </r>
  <r>
    <n v="61246595"/>
    <s v="N"/>
    <n v="21331212"/>
    <s v="3000015382780021"/>
    <s v="CIVIL"/>
    <d v="2023-06-29T00:00:00"/>
    <d v="2023-07-05T19:01:47"/>
    <m/>
    <d v="2023-07-05T00:00:00"/>
    <n v="303"/>
    <n v="4335"/>
    <s v="61246595"/>
    <s v="61246595"/>
    <m/>
    <m/>
    <n v="22790458"/>
    <m/>
    <m/>
    <m/>
    <s v="SOLFIN"/>
    <s v="SOLFIN"/>
    <s v="CCMS"/>
    <n v="21331212"/>
    <n v="1743.61"/>
    <m/>
    <s v="N"/>
    <n v="16"/>
    <d v="2023-07-05T19:02:10"/>
    <s v="Y"/>
    <s v="Preparation - other"/>
    <s v="Prescribed Hourly Rates"/>
    <s v="Profit Cost"/>
    <s v="FS"/>
    <s v="Y"/>
    <n v="8.119999999999999"/>
    <n v="1.62"/>
    <x v="6"/>
    <s v="VALIDATED"/>
    <n v="1"/>
    <s v="01.11.80.305.6100.0000"/>
    <n v="8.119999999999999"/>
    <s v="11"/>
    <s v="6100"/>
    <n v="7939.65"/>
    <n v="8.119999999999999"/>
    <s v="CREDITOR"/>
    <n v="0"/>
    <n v="0"/>
    <n v="0"/>
    <n v="0"/>
    <n v="8.119999999999999"/>
  </r>
  <r>
    <n v="59849930"/>
    <s v="N"/>
    <n v="21338536"/>
    <s v="3000014211870031"/>
    <s v="CIVIL"/>
    <d v="2023-06-30T00:00:00"/>
    <d v="2023-07-06T19:21:01"/>
    <m/>
    <d v="2023-07-06T00:00:00"/>
    <n v="303"/>
    <n v="4335"/>
    <s v="59849930"/>
    <s v="59849930"/>
    <m/>
    <m/>
    <n v="22796108"/>
    <m/>
    <m/>
    <m/>
    <s v="SOLINT"/>
    <s v="SOLINT"/>
    <s v="CCMS"/>
    <n v="21338536"/>
    <n v="2329.2"/>
    <m/>
    <s v="N"/>
    <n v="3"/>
    <d v="2023-07-06T19:21:28"/>
    <s v="Y"/>
    <s v="Attendance upon client"/>
    <s v="Prescribed Hourly Rates"/>
    <s v="Profit Cost"/>
    <s v="SJ"/>
    <s v="Y"/>
    <n v="52.92"/>
    <n v="10.58"/>
    <x v="4"/>
    <s v="VALIDATED"/>
    <n v="1"/>
    <s v="01.11.80.305.6100.0000"/>
    <n v="52.92"/>
    <s v="11"/>
    <s v="6100"/>
    <n v="7939.65"/>
    <n v="52.92"/>
    <s v="CREDITOR"/>
    <n v="0"/>
    <n v="0"/>
    <n v="0"/>
    <n v="0"/>
    <n v="52.92"/>
  </r>
  <r>
    <n v="61246595"/>
    <s v="N"/>
    <n v="21331212"/>
    <s v="3000015382780021"/>
    <s v="CIVIL"/>
    <d v="2023-06-29T00:00:00"/>
    <d v="2023-07-05T19:01:47"/>
    <m/>
    <d v="2023-07-05T00:00:00"/>
    <n v="303"/>
    <n v="4335"/>
    <s v="61246595"/>
    <s v="61246595"/>
    <m/>
    <m/>
    <n v="22790458"/>
    <m/>
    <m/>
    <m/>
    <s v="SOLFIN"/>
    <s v="SOLFIN"/>
    <s v="CCMS"/>
    <n v="21331212"/>
    <n v="1743.61"/>
    <m/>
    <s v="N"/>
    <n v="14"/>
    <d v="2023-07-05T19:02:10"/>
    <s v="Y"/>
    <s v="Advocacy - In court behind counsel"/>
    <s v="Prescribed Hourly Rates"/>
    <s v="Advocacy"/>
    <s v="FS"/>
    <s v="Y"/>
    <n v="25.62"/>
    <n v="5.12"/>
    <x v="6"/>
    <s v="VALIDATED"/>
    <n v="1"/>
    <s v="01.11.80.305.6100.0000"/>
    <n v="25.62"/>
    <s v="11"/>
    <s v="6100"/>
    <n v="7939.65"/>
    <n v="25.62"/>
    <s v="CREDITOR"/>
    <n v="0"/>
    <n v="0"/>
    <n v="0"/>
    <n v="0"/>
    <n v="25.62"/>
  </r>
  <r>
    <n v="61246595"/>
    <s v="N"/>
    <n v="21331212"/>
    <s v="3000015382780021"/>
    <s v="CIVIL"/>
    <d v="2023-06-29T00:00:00"/>
    <d v="2023-07-05T19:01:47"/>
    <m/>
    <d v="2023-07-05T00:00:00"/>
    <n v="303"/>
    <n v="4335"/>
    <s v="61246595"/>
    <s v="61246595"/>
    <m/>
    <m/>
    <n v="22790458"/>
    <m/>
    <m/>
    <m/>
    <s v="SOLFIN"/>
    <s v="SOLFIN"/>
    <s v="CCMS"/>
    <n v="21331212"/>
    <n v="1743.61"/>
    <m/>
    <s v="N"/>
    <n v="21"/>
    <d v="2023-07-05T19:02:10"/>
    <s v="Y"/>
    <s v="Attendance upon client"/>
    <s v="Prescribed Hourly Rates"/>
    <s v="Profit Cost"/>
    <s v="FS"/>
    <s v="Y"/>
    <n v="56.45"/>
    <n v="11.29"/>
    <x v="6"/>
    <s v="VALIDATED"/>
    <n v="1"/>
    <s v="01.11.80.305.6100.0000"/>
    <n v="56.45"/>
    <s v="11"/>
    <s v="6100"/>
    <n v="7939.65"/>
    <n v="56.45"/>
    <s v="CREDITOR"/>
    <n v="0"/>
    <n v="0"/>
    <n v="0"/>
    <n v="0"/>
    <n v="56.45"/>
  </r>
  <r>
    <n v="59849930"/>
    <s v="N"/>
    <n v="21331229"/>
    <s v="3000014211870029"/>
    <s v="CIVIL"/>
    <d v="2023-06-30T00:00:00"/>
    <d v="2023-07-05T19:01:47"/>
    <m/>
    <d v="2023-07-05T00:00:00"/>
    <n v="303"/>
    <n v="4335"/>
    <s v="59849930"/>
    <s v="59849930"/>
    <m/>
    <m/>
    <n v="22795396"/>
    <m/>
    <m/>
    <m/>
    <s v="SOLINT"/>
    <s v="SOLINT"/>
    <s v="CCMS"/>
    <n v="21331229"/>
    <n v="2349.33"/>
    <m/>
    <s v="N"/>
    <n v="13"/>
    <d v="2023-07-05T19:02:11"/>
    <s v="Y"/>
    <s v="Preparation - drafting bill/claim f"/>
    <s v="Prescribed Hourly Rates"/>
    <s v="Profit Cost"/>
    <s v="SJ"/>
    <s v="Y"/>
    <n v="14.11"/>
    <n v="2.82"/>
    <x v="6"/>
    <s v="VALIDATED"/>
    <n v="1"/>
    <s v="01.11.80.305.6100.0000"/>
    <n v="14.11"/>
    <s v="11"/>
    <s v="6100"/>
    <n v="7939.65"/>
    <n v="14.11"/>
    <s v="CREDITOR"/>
    <n v="0"/>
    <n v="0"/>
    <n v="0"/>
    <n v="0"/>
    <n v="14.11"/>
  </r>
  <r>
    <n v="59849930"/>
    <s v="N"/>
    <n v="21331229"/>
    <s v="3000014211870029"/>
    <s v="CIVIL"/>
    <d v="2023-06-30T00:00:00"/>
    <d v="2023-07-05T19:01:47"/>
    <m/>
    <d v="2023-07-05T00:00:00"/>
    <n v="303"/>
    <n v="4335"/>
    <s v="59849930"/>
    <s v="59849930"/>
    <m/>
    <m/>
    <n v="22795396"/>
    <m/>
    <m/>
    <m/>
    <s v="SOLINT"/>
    <s v="SOLINT"/>
    <s v="CCMS"/>
    <n v="21331229"/>
    <n v="2349.33"/>
    <m/>
    <s v="N"/>
    <n v="1"/>
    <d v="2023-07-05T19:02:11"/>
    <s v="Y"/>
    <s v="Interpreter"/>
    <s v="Prescribed Hourly Rates"/>
    <s v="Expert Disbursement"/>
    <s v="XXX"/>
    <s v="Y"/>
    <n v="50"/>
    <n v="0"/>
    <x v="6"/>
    <s v="VALIDATED"/>
    <n v="1"/>
    <s v="01.11.80.305.6300.0000"/>
    <n v="50"/>
    <s v="11"/>
    <s v="6300"/>
    <n v="7939.65"/>
    <n v="50"/>
    <s v="CREDITOR"/>
    <n v="0"/>
    <n v="0"/>
    <n v="0"/>
    <n v="0"/>
    <n v="50"/>
  </r>
  <r>
    <n v="50085544"/>
    <s v="N"/>
    <n v="21360972"/>
    <s v="3000012393110003"/>
    <s v="CIVIL"/>
    <d v="2023-05-25T00:00:00"/>
    <d v="2023-07-11T19:00:25"/>
    <m/>
    <d v="2023-07-11T00:00:00"/>
    <n v="303"/>
    <n v="4335"/>
    <s v="50085544"/>
    <s v="50085544"/>
    <m/>
    <m/>
    <n v="22577508"/>
    <m/>
    <m/>
    <m/>
    <s v="SOLFIN"/>
    <s v="SOLFIN"/>
    <s v="CCMS"/>
    <n v="21360972"/>
    <n v="729.6"/>
    <m/>
    <s v="N"/>
    <n v="1"/>
    <d v="2023-07-11T19:00:41"/>
    <s v="Y"/>
    <s v="Level 4 Fixed Fee"/>
    <s v="Domestic Abuse"/>
    <s v="Profit Cost"/>
    <s v="XXX"/>
    <s v="Y"/>
    <n v="608"/>
    <n v="121.6"/>
    <x v="7"/>
    <s v="VALIDATED"/>
    <n v="1"/>
    <s v="01.11.80.302.6100.0000"/>
    <n v="608"/>
    <s v="11"/>
    <s v="6100"/>
    <n v="7939.65"/>
    <n v="608"/>
    <s v="CREDITOR"/>
    <n v="0"/>
    <n v="0"/>
    <n v="0"/>
    <n v="0"/>
    <n v="608"/>
  </r>
  <r>
    <n v="59849930"/>
    <s v="N"/>
    <n v="21338536"/>
    <s v="3000014211870031"/>
    <s v="CIVIL"/>
    <d v="2023-06-30T00:00:00"/>
    <d v="2023-07-06T19:21:01"/>
    <m/>
    <d v="2023-07-06T00:00:00"/>
    <n v="303"/>
    <n v="4335"/>
    <s v="59849930"/>
    <s v="59849930"/>
    <m/>
    <m/>
    <n v="22796108"/>
    <m/>
    <m/>
    <m/>
    <s v="SOLINT"/>
    <s v="SOLINT"/>
    <s v="CCMS"/>
    <n v="21338536"/>
    <n v="2329.2"/>
    <m/>
    <s v="N"/>
    <n v="13"/>
    <d v="2023-07-06T19:21:28"/>
    <s v="Y"/>
    <s v="Preparation - other"/>
    <s v="Prescribed Hourly Rates"/>
    <s v="Profit Cost"/>
    <s v="SJ"/>
    <s v="Y"/>
    <n v="42.33"/>
    <n v="8.470000000000001"/>
    <x v="4"/>
    <s v="VALIDATED"/>
    <n v="1"/>
    <s v="01.11.80.305.6100.0000"/>
    <n v="42.33"/>
    <s v="11"/>
    <s v="6100"/>
    <n v="7939.65"/>
    <n v="42.33"/>
    <s v="CREDITOR"/>
    <n v="0"/>
    <n v="0"/>
    <n v="0"/>
    <n v="0"/>
    <n v="42.33"/>
  </r>
  <r>
    <n v="61246595"/>
    <s v="N"/>
    <n v="21331212"/>
    <s v="3000015382780021"/>
    <s v="CIVIL"/>
    <d v="2023-06-29T00:00:00"/>
    <d v="2023-07-05T19:01:47"/>
    <m/>
    <d v="2023-07-05T00:00:00"/>
    <n v="303"/>
    <n v="4335"/>
    <s v="61246595"/>
    <s v="61246595"/>
    <m/>
    <m/>
    <n v="22790458"/>
    <m/>
    <m/>
    <m/>
    <s v="SOLFIN"/>
    <s v="SOLFIN"/>
    <s v="CCMS"/>
    <n v="21331212"/>
    <n v="1743.61"/>
    <m/>
    <s v="N"/>
    <n v="2"/>
    <d v="2023-07-05T19:02:10"/>
    <s v="Y"/>
    <s v="Attendance upon client"/>
    <s v="Prescribed Hourly Rates"/>
    <s v="Profit Cost"/>
    <s v="AR"/>
    <s v="Y"/>
    <n v="33.87"/>
    <n v="6.77"/>
    <x v="6"/>
    <s v="VALIDATED"/>
    <n v="1"/>
    <s v="01.11.80.305.6100.0000"/>
    <n v="33.87"/>
    <s v="11"/>
    <s v="6100"/>
    <n v="7939.65"/>
    <n v="33.87"/>
    <s v="CREDITOR"/>
    <n v="0"/>
    <n v="0"/>
    <n v="0"/>
    <n v="0"/>
    <n v="33.87"/>
  </r>
  <r>
    <n v="61246595"/>
    <s v="N"/>
    <n v="21331212"/>
    <s v="3000015382780021"/>
    <s v="CIVIL"/>
    <d v="2023-06-29T00:00:00"/>
    <d v="2023-07-05T19:01:47"/>
    <m/>
    <d v="2023-07-05T00:00:00"/>
    <n v="303"/>
    <n v="4335"/>
    <s v="61246595"/>
    <s v="61246595"/>
    <m/>
    <m/>
    <n v="22790458"/>
    <m/>
    <m/>
    <m/>
    <s v="SOLFIN"/>
    <s v="SOLFIN"/>
    <s v="CCMS"/>
    <n v="21331212"/>
    <n v="1743.61"/>
    <m/>
    <s v="N"/>
    <n v="13"/>
    <d v="2023-07-05T19:02:10"/>
    <s v="Y"/>
    <s v="Preparation - other"/>
    <s v="Prescribed Hourly Rates"/>
    <s v="Profit Cost"/>
    <s v="FS"/>
    <s v="Y"/>
    <n v="22.58"/>
    <n v="4.52"/>
    <x v="6"/>
    <s v="VALIDATED"/>
    <n v="1"/>
    <s v="01.11.80.305.6100.0000"/>
    <n v="22.58"/>
    <s v="11"/>
    <s v="6100"/>
    <n v="7939.65"/>
    <n v="22.58"/>
    <s v="CREDITOR"/>
    <n v="0"/>
    <n v="0"/>
    <n v="0"/>
    <n v="0"/>
    <n v="22.58"/>
  </r>
  <r>
    <n v="61246595"/>
    <s v="N"/>
    <n v="21331212"/>
    <s v="3000015382780021"/>
    <s v="CIVIL"/>
    <d v="2023-06-29T00:00:00"/>
    <d v="2023-07-05T19:01:47"/>
    <m/>
    <d v="2023-07-05T00:00:00"/>
    <n v="303"/>
    <n v="4335"/>
    <s v="61246595"/>
    <s v="61246595"/>
    <m/>
    <m/>
    <n v="22790458"/>
    <m/>
    <m/>
    <m/>
    <s v="SOLFIN"/>
    <s v="SOLFIN"/>
    <s v="CCMS"/>
    <n v="21331212"/>
    <n v="1743.61"/>
    <m/>
    <s v="N"/>
    <n v="29"/>
    <d v="2023-07-05T19:02:10"/>
    <s v="Y"/>
    <s v="Routine Letter In"/>
    <s v="Prescribed Hourly Rates"/>
    <s v="Profit Cost"/>
    <s v="FS"/>
    <s v="Y"/>
    <n v="68.83"/>
    <n v="13.77"/>
    <x v="6"/>
    <s v="VALIDATED"/>
    <n v="1"/>
    <s v="01.11.80.305.6100.0000"/>
    <n v="68.83"/>
    <s v="11"/>
    <s v="6100"/>
    <n v="7939.65"/>
    <n v="68.83"/>
    <s v="CREDITOR"/>
    <n v="0"/>
    <n v="0"/>
    <n v="0"/>
    <n v="0"/>
    <n v="68.83"/>
  </r>
  <r>
    <n v="61246595"/>
    <s v="N"/>
    <n v="21331212"/>
    <s v="3000015382780021"/>
    <s v="CIVIL"/>
    <d v="2023-06-29T00:00:00"/>
    <d v="2023-07-05T19:01:47"/>
    <m/>
    <d v="2023-07-05T00:00:00"/>
    <n v="303"/>
    <n v="4335"/>
    <s v="61246595"/>
    <s v="61246595"/>
    <m/>
    <m/>
    <n v="22790458"/>
    <m/>
    <m/>
    <m/>
    <s v="SOLFIN"/>
    <s v="SOLFIN"/>
    <s v="CCMS"/>
    <n v="21331212"/>
    <n v="1743.61"/>
    <m/>
    <s v="N"/>
    <n v="26"/>
    <d v="2023-07-05T19:02:10"/>
    <s v="Y"/>
    <s v="Routine Telephone Call"/>
    <s v="Prescribed Hourly Rates"/>
    <s v="Profit Cost"/>
    <s v="AR"/>
    <s v="Y"/>
    <n v="63.5"/>
    <n v="12.7"/>
    <x v="6"/>
    <s v="VALIDATED"/>
    <n v="1"/>
    <s v="01.11.80.305.6100.0000"/>
    <n v="63.5"/>
    <s v="11"/>
    <s v="6100"/>
    <n v="7939.65"/>
    <n v="63.5"/>
    <s v="CREDITOR"/>
    <n v="0"/>
    <n v="0"/>
    <n v="0"/>
    <n v="0"/>
    <n v="63.5"/>
  </r>
  <r>
    <n v="61246595"/>
    <s v="N"/>
    <n v="21331212"/>
    <s v="3000015382780021"/>
    <s v="CIVIL"/>
    <d v="2023-06-29T00:00:00"/>
    <d v="2023-07-05T19:01:47"/>
    <m/>
    <d v="2023-07-05T00:00:00"/>
    <n v="303"/>
    <n v="4335"/>
    <s v="61246595"/>
    <s v="61246595"/>
    <m/>
    <m/>
    <n v="22790458"/>
    <m/>
    <m/>
    <m/>
    <s v="SOLFIN"/>
    <s v="SOLFIN"/>
    <s v="CCMS"/>
    <n v="21331212"/>
    <n v="1743.61"/>
    <m/>
    <s v="N"/>
    <n v="7"/>
    <d v="2023-07-05T19:02:10"/>
    <s v="Y"/>
    <s v="Preparation - drafting instructions"/>
    <s v="Prescribed Hourly Rates"/>
    <s v="Profit Cost"/>
    <s v="AR"/>
    <s v="Y"/>
    <n v="79.02"/>
    <n v="15.8"/>
    <x v="6"/>
    <s v="VALIDATED"/>
    <n v="1"/>
    <s v="01.11.80.305.6100.0000"/>
    <n v="79.02"/>
    <s v="11"/>
    <s v="6100"/>
    <n v="7939.65"/>
    <n v="79.02"/>
    <s v="CREDITOR"/>
    <n v="0"/>
    <n v="0"/>
    <n v="0"/>
    <n v="0"/>
    <n v="79.02"/>
  </r>
  <r>
    <n v="56409655"/>
    <s v="N"/>
    <n v="21320921"/>
    <s v="3000013402470029"/>
    <s v="CIVIL"/>
    <d v="2023-06-28T00:00:00"/>
    <d v="2023-07-03T19:04:52"/>
    <m/>
    <d v="2023-07-03T00:00:00"/>
    <n v="303"/>
    <n v="4335"/>
    <s v="56409655"/>
    <s v="56409655"/>
    <m/>
    <m/>
    <n v="22781340"/>
    <m/>
    <m/>
    <m/>
    <s v="SOLPOA"/>
    <s v="SOLPOA"/>
    <s v="CCMS"/>
    <n v="21320921"/>
    <n v="622.51"/>
    <m/>
    <s v="N"/>
    <n v="1"/>
    <d v="2023-07-03T19:04:57"/>
    <s v="N"/>
    <s v="Expert Cost"/>
    <s v="Expert Cost"/>
    <s v="Expert Disbursement"/>
    <s v="Isidro Torres"/>
    <s v="N"/>
    <n v="518.76"/>
    <n v="103.75"/>
    <x v="3"/>
    <s v="VALIDATED"/>
    <n v="1"/>
    <s v="01.11.80.308.2012.0000"/>
    <n v="518.76"/>
    <s v="11"/>
    <s v="2012"/>
    <n v="7939.65"/>
    <n v="518.76"/>
    <s v="CREDITOR"/>
    <n v="518.76"/>
    <n v="0"/>
    <n v="0"/>
    <n v="0"/>
    <n v="0"/>
  </r>
  <r>
    <n v="59849930"/>
    <s v="N"/>
    <n v="21331229"/>
    <s v="3000014211870029"/>
    <s v="CIVIL"/>
    <d v="2023-06-30T00:00:00"/>
    <d v="2023-07-05T19:01:47"/>
    <m/>
    <d v="2023-07-05T00:00:00"/>
    <n v="303"/>
    <n v="4335"/>
    <s v="59849930"/>
    <s v="59849930"/>
    <m/>
    <m/>
    <n v="22795396"/>
    <m/>
    <m/>
    <m/>
    <s v="SOLINT"/>
    <s v="SOLINT"/>
    <s v="CCMS"/>
    <n v="21331229"/>
    <n v="2349.33"/>
    <m/>
    <s v="N"/>
    <n v="2"/>
    <d v="2023-07-05T19:02:11"/>
    <s v="Y"/>
    <s v="Interpreter"/>
    <s v="Prescribed Hourly Rates"/>
    <s v="Expert Disbursement"/>
    <s v="XXX"/>
    <s v="Y"/>
    <n v="50"/>
    <n v="0"/>
    <x v="6"/>
    <s v="VALIDATED"/>
    <n v="1"/>
    <s v="01.11.80.305.6300.0000"/>
    <n v="50"/>
    <s v="11"/>
    <s v="6300"/>
    <n v="7939.65"/>
    <n v="50"/>
    <s v="CREDITOR"/>
    <n v="0"/>
    <n v="0"/>
    <n v="0"/>
    <n v="0"/>
    <n v="50"/>
  </r>
  <r>
    <n v="59849930"/>
    <s v="N"/>
    <n v="21331229"/>
    <s v="3000014211870029"/>
    <s v="CIVIL"/>
    <d v="2023-06-30T00:00:00"/>
    <d v="2023-07-05T19:01:47"/>
    <m/>
    <d v="2023-07-05T00:00:00"/>
    <n v="303"/>
    <n v="4335"/>
    <s v="59849930"/>
    <s v="59849930"/>
    <m/>
    <m/>
    <n v="22795396"/>
    <m/>
    <m/>
    <m/>
    <s v="SOLINT"/>
    <s v="SOLINT"/>
    <s v="CCMS"/>
    <n v="21331229"/>
    <n v="2349.33"/>
    <m/>
    <s v="N"/>
    <n v="7"/>
    <d v="2023-07-05T19:02:11"/>
    <s v="Y"/>
    <s v="Preparation - other"/>
    <s v="Prescribed Hourly Rates"/>
    <s v="Profit Cost"/>
    <s v="SJ"/>
    <s v="Y"/>
    <n v="7.06"/>
    <n v="1.41"/>
    <x v="6"/>
    <s v="VALIDATED"/>
    <n v="1"/>
    <s v="01.11.80.305.6100.0000"/>
    <n v="7.06"/>
    <s v="11"/>
    <s v="6100"/>
    <n v="7939.65"/>
    <n v="7.06"/>
    <s v="CREDITOR"/>
    <n v="0"/>
    <n v="0"/>
    <n v="0"/>
    <n v="0"/>
    <n v="7.06"/>
  </r>
  <r>
    <n v="62368918"/>
    <s v="N"/>
    <n v="21318460"/>
    <s v="3000016348940001"/>
    <s v="CIVIL"/>
    <d v="2023-06-23T00:00:00"/>
    <d v="2023-07-03T19:01:49"/>
    <m/>
    <d v="2023-07-03T00:00:00"/>
    <n v="303"/>
    <n v="4335"/>
    <s v="62368918"/>
    <s v="62368918"/>
    <m/>
    <m/>
    <n v="22755614"/>
    <m/>
    <m/>
    <m/>
    <s v="SOLPOA"/>
    <s v="SOLPOA"/>
    <s v="CCMS"/>
    <n v="21318460"/>
    <n v="50"/>
    <m/>
    <s v="N"/>
    <n v="1"/>
    <d v="2023-07-03T19:01:56"/>
    <s v="N"/>
    <s v="Non Expert Disbursement"/>
    <s v="Non Expert Disbursement"/>
    <s v="Non Expert Disbursement"/>
    <s v="AR"/>
    <s v="N"/>
    <n v="50"/>
    <n v="0"/>
    <x v="3"/>
    <s v="VALIDATED"/>
    <n v="1"/>
    <s v="01.11.80.305.2012.0000"/>
    <n v="50"/>
    <s v="11"/>
    <s v="2012"/>
    <n v="7939.65"/>
    <n v="50"/>
    <s v="CREDITOR"/>
    <n v="50"/>
    <n v="0"/>
    <n v="0"/>
    <n v="0"/>
    <n v="0"/>
  </r>
  <r>
    <n v="59849930"/>
    <s v="N"/>
    <n v="21338536"/>
    <s v="3000014211870031"/>
    <s v="CIVIL"/>
    <d v="2023-06-30T00:00:00"/>
    <d v="2023-07-06T19:21:01"/>
    <m/>
    <d v="2023-07-06T00:00:00"/>
    <n v="303"/>
    <n v="4335"/>
    <s v="59849930"/>
    <s v="59849930"/>
    <m/>
    <m/>
    <n v="22796108"/>
    <m/>
    <m/>
    <m/>
    <s v="SOLINT"/>
    <s v="SOLINT"/>
    <s v="CCMS"/>
    <n v="21338536"/>
    <n v="2329.2"/>
    <m/>
    <s v="N"/>
    <n v="11"/>
    <d v="2023-07-06T19:21:28"/>
    <s v="Y"/>
    <s v="Advocacy - In court behind counsel"/>
    <s v="Prescribed Hourly Rates"/>
    <s v="Advocacy"/>
    <s v="SJ"/>
    <s v="Y"/>
    <n v="74.26000000000001"/>
    <n v="14.85"/>
    <x v="4"/>
    <s v="VALIDATED"/>
    <n v="1"/>
    <s v="01.11.80.305.6100.0000"/>
    <n v="74.26000000000001"/>
    <s v="11"/>
    <s v="6100"/>
    <n v="7939.65"/>
    <n v="74.26000000000001"/>
    <s v="CREDITOR"/>
    <n v="0"/>
    <n v="0"/>
    <n v="0"/>
    <n v="0"/>
    <n v="74.26000000000001"/>
  </r>
  <r>
    <n v="61246595"/>
    <s v="N"/>
    <n v="21331212"/>
    <s v="3000015382780021"/>
    <s v="CIVIL"/>
    <d v="2023-06-29T00:00:00"/>
    <d v="2023-07-05T19:01:47"/>
    <m/>
    <d v="2023-07-05T00:00:00"/>
    <n v="303"/>
    <n v="4335"/>
    <s v="61246595"/>
    <s v="61246595"/>
    <m/>
    <m/>
    <n v="22790458"/>
    <m/>
    <m/>
    <m/>
    <s v="SOLFIN"/>
    <s v="SOLFIN"/>
    <s v="CCMS"/>
    <n v="21331212"/>
    <n v="1743.61"/>
    <m/>
    <s v="N"/>
    <n v="20"/>
    <d v="2023-07-05T19:02:10"/>
    <s v="Y"/>
    <s v="Attendance upon other"/>
    <s v="Prescribed Hourly Rates"/>
    <s v="Profit Cost"/>
    <s v="AR"/>
    <s v="Y"/>
    <n v="56.45"/>
    <n v="11.29"/>
    <x v="6"/>
    <s v="VALIDATED"/>
    <n v="1"/>
    <s v="01.11.80.305.6100.0000"/>
    <n v="56.45"/>
    <s v="11"/>
    <s v="6100"/>
    <n v="7939.65"/>
    <n v="56.45"/>
    <s v="CREDITOR"/>
    <n v="0"/>
    <n v="0"/>
    <n v="0"/>
    <n v="0"/>
    <n v="56.45"/>
  </r>
  <r>
    <n v="59849930"/>
    <s v="N"/>
    <n v="21331229"/>
    <s v="3000014211870029"/>
    <s v="CIVIL"/>
    <d v="2023-06-30T00:00:00"/>
    <d v="2023-07-05T19:01:47"/>
    <m/>
    <d v="2023-07-05T00:00:00"/>
    <n v="303"/>
    <n v="4335"/>
    <s v="59849930"/>
    <s v="59849930"/>
    <m/>
    <m/>
    <n v="22795396"/>
    <m/>
    <m/>
    <m/>
    <s v="SOLINT"/>
    <s v="SOLINT"/>
    <s v="CCMS"/>
    <n v="21331229"/>
    <n v="2349.33"/>
    <m/>
    <s v="N"/>
    <n v="6"/>
    <d v="2023-07-05T19:02:11"/>
    <s v="Y"/>
    <s v="Preparation - other"/>
    <s v="Prescribed Hourly Rates"/>
    <s v="Profit Cost"/>
    <s v="SJ"/>
    <s v="Y"/>
    <n v="52.92"/>
    <n v="10.58"/>
    <x v="6"/>
    <s v="VALIDATED"/>
    <n v="1"/>
    <s v="01.11.80.305.6100.0000"/>
    <n v="52.92"/>
    <s v="11"/>
    <s v="6100"/>
    <n v="7939.65"/>
    <n v="52.92"/>
    <s v="CREDITOR"/>
    <n v="0"/>
    <n v="0"/>
    <n v="0"/>
    <n v="0"/>
    <n v="52.92"/>
  </r>
  <r>
    <n v="61246595"/>
    <s v="N"/>
    <n v="21331212"/>
    <s v="3000015382780021"/>
    <s v="CIVIL"/>
    <d v="2023-06-29T00:00:00"/>
    <d v="2023-07-05T19:01:47"/>
    <m/>
    <d v="2023-07-05T00:00:00"/>
    <n v="303"/>
    <n v="4335"/>
    <s v="61246595"/>
    <s v="61246595"/>
    <m/>
    <m/>
    <n v="22790458"/>
    <m/>
    <m/>
    <m/>
    <s v="SOLFIN"/>
    <s v="SOLFIN"/>
    <s v="CCMS"/>
    <n v="21331212"/>
    <n v="1743.61"/>
    <m/>
    <s v="N"/>
    <n v="27"/>
    <d v="2023-07-05T19:02:10"/>
    <s v="Y"/>
    <s v="Routine Letter Out"/>
    <s v="Prescribed Hourly Rates"/>
    <s v="Profit Cost"/>
    <s v="FS"/>
    <s v="Y"/>
    <n v="73.03"/>
    <n v="14.61"/>
    <x v="6"/>
    <s v="VALIDATED"/>
    <n v="1"/>
    <s v="01.11.80.305.6100.0000"/>
    <n v="73.03"/>
    <s v="11"/>
    <s v="6100"/>
    <n v="7939.65"/>
    <n v="73.03"/>
    <s v="CREDITOR"/>
    <n v="0"/>
    <n v="0"/>
    <n v="0"/>
    <n v="0"/>
    <n v="73.03"/>
  </r>
  <r>
    <n v="59849930"/>
    <s v="N"/>
    <n v="21331229"/>
    <s v="3000014211870029"/>
    <s v="CIVIL"/>
    <d v="2023-06-30T00:00:00"/>
    <d v="2023-07-05T19:01:47"/>
    <m/>
    <d v="2023-07-05T00:00:00"/>
    <n v="303"/>
    <n v="4335"/>
    <s v="59849930"/>
    <s v="59849930"/>
    <m/>
    <m/>
    <n v="22795396"/>
    <m/>
    <m/>
    <m/>
    <s v="SOLINT"/>
    <s v="SOLINT"/>
    <s v="CCMS"/>
    <n v="21331229"/>
    <n v="2349.33"/>
    <m/>
    <s v="N"/>
    <n v="4"/>
    <d v="2023-07-05T19:02:11"/>
    <s v="Y"/>
    <s v="Preparation - other"/>
    <s v="Prescribed Hourly Rates"/>
    <s v="Profit Cost"/>
    <s v="SJ"/>
    <s v="Y"/>
    <n v="31.76"/>
    <n v="6.35"/>
    <x v="6"/>
    <s v="VALIDATED"/>
    <n v="1"/>
    <s v="01.11.80.305.6100.0000"/>
    <n v="31.76"/>
    <s v="11"/>
    <s v="6100"/>
    <n v="7939.65"/>
    <n v="31.76"/>
    <s v="CREDITOR"/>
    <n v="0"/>
    <n v="0"/>
    <n v="0"/>
    <n v="0"/>
    <n v="31.76"/>
  </r>
  <r>
    <n v="61590532"/>
    <s v="N"/>
    <n v="21324257"/>
    <s v="3000015699230005RC"/>
    <s v="CIVIL"/>
    <d v="2023-06-23T00:00:00"/>
    <d v="2023-07-03T19:42:50"/>
    <m/>
    <d v="2023-07-03T00:00:00"/>
    <n v="304"/>
    <n v="4447"/>
    <s v="61590532"/>
    <s v="61590532"/>
    <m/>
    <m/>
    <m/>
    <m/>
    <m/>
    <m/>
    <s v="SOLRECOUP"/>
    <s v="SOLRECOUP"/>
    <s v="POARECOUP"/>
    <n v="21324257"/>
    <n v="-167"/>
    <m/>
    <s v="Y"/>
    <n v="1"/>
    <d v="2023-07-03T19:42:50"/>
    <s v="N"/>
    <m/>
    <m/>
    <s v="Non Expert Disbursement"/>
    <m/>
    <s v="N"/>
    <n v="-167"/>
    <n v="0"/>
    <x v="3"/>
    <s v="VALIDATED"/>
    <n v="1"/>
    <s v="01.11.80.308.2013.0000"/>
    <n v="-167"/>
    <s v="11"/>
    <s v="2013"/>
    <n v="15019.9"/>
    <n v="-167"/>
    <s v="CREDITOR"/>
    <n v="0"/>
    <n v="0"/>
    <n v="-167"/>
    <n v="0"/>
    <n v="0"/>
  </r>
  <r>
    <n v="61590532"/>
    <s v="N"/>
    <n v="21324257"/>
    <s v="3000015699230005RC"/>
    <s v="CIVIL"/>
    <d v="2023-06-23T00:00:00"/>
    <d v="2023-07-03T19:42:50"/>
    <m/>
    <d v="2023-07-03T00:00:00"/>
    <n v="304"/>
    <n v="4447"/>
    <s v="61590532"/>
    <s v="61590532"/>
    <m/>
    <m/>
    <m/>
    <m/>
    <m/>
    <m/>
    <s v="SOLRECOUP"/>
    <s v="SOLRECOUP"/>
    <s v="POARECOUP"/>
    <n v="21324257"/>
    <n v="-167"/>
    <m/>
    <s v="Y"/>
    <n v="2"/>
    <d v="2023-07-03T19:42:50"/>
    <s v="N"/>
    <m/>
    <m/>
    <s v="Non Expert Disbursement"/>
    <m/>
    <s v="N"/>
    <n v="0"/>
    <n v="0"/>
    <x v="3"/>
    <s v="VALIDATED"/>
    <n v="1"/>
    <s v="01.11.80.000.0000.0000"/>
    <n v="0"/>
    <s v="11"/>
    <s v="0000"/>
    <n v="15019.9"/>
    <n v="0"/>
    <s v="CREDITOR"/>
    <n v="0"/>
    <n v="0"/>
    <n v="0"/>
    <n v="0"/>
    <n v="0"/>
  </r>
  <r>
    <n v="23687542"/>
    <s v="N"/>
    <n v="21324252"/>
    <s v="3000008814510004RC"/>
    <s v="CIVIL"/>
    <d v="2023-06-23T00:00:00"/>
    <d v="2023-07-03T19:42:50"/>
    <m/>
    <d v="2023-07-03T00:00:00"/>
    <n v="304"/>
    <n v="4447"/>
    <s v="23687542"/>
    <s v="23687542"/>
    <m/>
    <m/>
    <m/>
    <m/>
    <m/>
    <m/>
    <s v="SOLRECOUP"/>
    <s v="SOLRECOUP"/>
    <s v="POARECOUP"/>
    <n v="21324252"/>
    <n v="-201.58"/>
    <m/>
    <s v="Y"/>
    <n v="1"/>
    <d v="2023-07-03T19:42:50"/>
    <s v="N"/>
    <m/>
    <m/>
    <s v="Expert Disbursement"/>
    <m/>
    <s v="N"/>
    <n v="-167.98"/>
    <n v="0"/>
    <x v="3"/>
    <s v="VALIDATED"/>
    <n v="1"/>
    <s v="01.11.80.308.2013.0000"/>
    <n v="-167.98"/>
    <s v="11"/>
    <s v="2013"/>
    <n v="15019.9"/>
    <n v="-167.98"/>
    <s v="CREDITOR"/>
    <n v="0"/>
    <n v="0"/>
    <n v="-167.98"/>
    <n v="0"/>
    <n v="0"/>
  </r>
  <r>
    <n v="23687542"/>
    <s v="N"/>
    <n v="21324252"/>
    <s v="3000008814510004RC"/>
    <s v="CIVIL"/>
    <d v="2023-06-23T00:00:00"/>
    <d v="2023-07-03T19:42:50"/>
    <m/>
    <d v="2023-07-03T00:00:00"/>
    <n v="304"/>
    <n v="4447"/>
    <s v="23687542"/>
    <s v="23687542"/>
    <m/>
    <m/>
    <m/>
    <m/>
    <m/>
    <m/>
    <s v="SOLRECOUP"/>
    <s v="SOLRECOUP"/>
    <s v="POARECOUP"/>
    <n v="21324252"/>
    <n v="-201.58"/>
    <m/>
    <s v="Y"/>
    <n v="2"/>
    <d v="2023-07-03T19:42:50"/>
    <s v="N"/>
    <m/>
    <m/>
    <s v="Expert Disbursement"/>
    <m/>
    <s v="N"/>
    <n v="0"/>
    <n v="-33.6"/>
    <x v="3"/>
    <s v="VALIDATED"/>
    <n v="1"/>
    <s v="01.11.80.308.2013.0000"/>
    <n v="-33.6"/>
    <s v="11"/>
    <s v="2013"/>
    <n v="15019.9"/>
    <n v="-33.6"/>
    <s v="CREDITOR"/>
    <n v="0"/>
    <n v="0"/>
    <n v="-33.6"/>
    <n v="0"/>
    <n v="0"/>
  </r>
  <r>
    <n v="61590532"/>
    <s v="N"/>
    <n v="21324253"/>
    <s v="3000015699230003RC"/>
    <s v="CIVIL"/>
    <d v="2023-06-23T00:00:00"/>
    <d v="2023-07-03T19:42:50"/>
    <m/>
    <d v="2023-07-03T00:00:00"/>
    <n v="304"/>
    <n v="4447"/>
    <s v="61590532"/>
    <s v="61590532"/>
    <m/>
    <m/>
    <m/>
    <m/>
    <m/>
    <m/>
    <s v="SOLRECOUP"/>
    <s v="SOLRECOUP"/>
    <s v="POARECOUP"/>
    <n v="21324253"/>
    <n v="-88.08"/>
    <m/>
    <s v="Y"/>
    <n v="1"/>
    <d v="2023-07-03T19:42:50"/>
    <s v="N"/>
    <m/>
    <m/>
    <s v="Expert Disbursement"/>
    <m/>
    <s v="N"/>
    <n v="-73.40000000000001"/>
    <n v="0"/>
    <x v="3"/>
    <s v="VALIDATED"/>
    <n v="1"/>
    <s v="01.11.80.308.2013.0000"/>
    <n v="-73.40000000000001"/>
    <s v="11"/>
    <s v="2013"/>
    <n v="15019.9"/>
    <n v="-73.40000000000001"/>
    <s v="CREDITOR"/>
    <n v="0"/>
    <n v="0"/>
    <n v="-73.40000000000001"/>
    <n v="0"/>
    <n v="0"/>
  </r>
  <r>
    <n v="61590532"/>
    <s v="N"/>
    <n v="21324253"/>
    <s v="3000015699230003RC"/>
    <s v="CIVIL"/>
    <d v="2023-06-23T00:00:00"/>
    <d v="2023-07-03T19:42:50"/>
    <m/>
    <d v="2023-07-03T00:00:00"/>
    <n v="304"/>
    <n v="4447"/>
    <s v="61590532"/>
    <s v="61590532"/>
    <m/>
    <m/>
    <m/>
    <m/>
    <m/>
    <m/>
    <s v="SOLRECOUP"/>
    <s v="SOLRECOUP"/>
    <s v="POARECOUP"/>
    <n v="21324253"/>
    <n v="-88.08"/>
    <m/>
    <s v="Y"/>
    <n v="2"/>
    <d v="2023-07-03T19:42:50"/>
    <s v="N"/>
    <m/>
    <m/>
    <s v="Expert Disbursement"/>
    <m/>
    <s v="N"/>
    <n v="0"/>
    <n v="-14.68"/>
    <x v="3"/>
    <s v="VALIDATED"/>
    <n v="1"/>
    <s v="01.11.80.308.2013.0000"/>
    <n v="-14.68"/>
    <s v="11"/>
    <s v="2013"/>
    <n v="15019.9"/>
    <n v="-14.68"/>
    <s v="CREDITOR"/>
    <n v="0"/>
    <n v="0"/>
    <n v="-14.68"/>
    <n v="0"/>
    <n v="0"/>
  </r>
  <r>
    <n v="61590532"/>
    <s v="N"/>
    <n v="21324254"/>
    <s v="3000015699230002RC"/>
    <s v="CIVIL"/>
    <d v="2023-06-23T00:00:00"/>
    <d v="2023-07-03T19:42:50"/>
    <m/>
    <d v="2023-07-03T00:00:00"/>
    <n v="304"/>
    <n v="4447"/>
    <s v="61590532"/>
    <s v="61590532"/>
    <m/>
    <m/>
    <m/>
    <m/>
    <m/>
    <m/>
    <s v="SOLRECOUP"/>
    <s v="SOLRECOUP"/>
    <s v="POARECOUP"/>
    <n v="21324254"/>
    <n v="-167"/>
    <m/>
    <s v="Y"/>
    <n v="2"/>
    <d v="2023-07-03T19:42:50"/>
    <s v="N"/>
    <m/>
    <m/>
    <s v="Non Expert Disbursement"/>
    <m/>
    <s v="N"/>
    <n v="0"/>
    <n v="0"/>
    <x v="3"/>
    <s v="VALIDATED"/>
    <n v="1"/>
    <s v="01.11.80.000.0000.0000"/>
    <n v="0"/>
    <s v="11"/>
    <s v="0000"/>
    <n v="15019.9"/>
    <n v="0"/>
    <s v="CREDITOR"/>
    <n v="0"/>
    <n v="0"/>
    <n v="0"/>
    <n v="0"/>
    <n v="0"/>
  </r>
  <r>
    <n v="61590532"/>
    <s v="N"/>
    <n v="21324254"/>
    <s v="3000015699230002RC"/>
    <s v="CIVIL"/>
    <d v="2023-06-23T00:00:00"/>
    <d v="2023-07-03T19:42:50"/>
    <m/>
    <d v="2023-07-03T00:00:00"/>
    <n v="304"/>
    <n v="4447"/>
    <s v="61590532"/>
    <s v="61590532"/>
    <m/>
    <m/>
    <m/>
    <m/>
    <m/>
    <m/>
    <s v="SOLRECOUP"/>
    <s v="SOLRECOUP"/>
    <s v="POARECOUP"/>
    <n v="21324254"/>
    <n v="-167"/>
    <m/>
    <s v="Y"/>
    <n v="1"/>
    <d v="2023-07-03T19:42:50"/>
    <s v="N"/>
    <m/>
    <m/>
    <s v="Non Expert Disbursement"/>
    <m/>
    <s v="N"/>
    <n v="-167"/>
    <n v="0"/>
    <x v="3"/>
    <s v="VALIDATED"/>
    <n v="1"/>
    <s v="01.11.80.308.2013.0000"/>
    <n v="-167"/>
    <s v="11"/>
    <s v="2013"/>
    <n v="15019.9"/>
    <n v="-167"/>
    <s v="CREDITOR"/>
    <n v="0"/>
    <n v="0"/>
    <n v="-167"/>
    <n v="0"/>
    <n v="0"/>
  </r>
  <r>
    <n v="61590532"/>
    <s v="N"/>
    <n v="21324255"/>
    <s v="3000015699230004RC"/>
    <s v="CIVIL"/>
    <d v="2023-06-23T00:00:00"/>
    <d v="2023-07-03T19:42:50"/>
    <m/>
    <d v="2023-07-03T00:00:00"/>
    <n v="304"/>
    <n v="4447"/>
    <s v="61590532"/>
    <s v="61590532"/>
    <m/>
    <m/>
    <m/>
    <m/>
    <m/>
    <m/>
    <s v="SOLRECOUP"/>
    <s v="SOLRECOUP"/>
    <s v="POARECOUP"/>
    <n v="21324255"/>
    <n v="-388.8"/>
    <m/>
    <s v="Y"/>
    <n v="2"/>
    <d v="2023-07-03T19:42:50"/>
    <s v="N"/>
    <m/>
    <m/>
    <s v="Expert Disbursement"/>
    <m/>
    <s v="N"/>
    <n v="0"/>
    <n v="-64.8"/>
    <x v="3"/>
    <s v="VALIDATED"/>
    <n v="1"/>
    <s v="01.11.80.308.2013.0000"/>
    <n v="-64.8"/>
    <s v="11"/>
    <s v="2013"/>
    <n v="15019.9"/>
    <n v="-64.8"/>
    <s v="CREDITOR"/>
    <n v="0"/>
    <n v="0"/>
    <n v="-64.8"/>
    <n v="0"/>
    <n v="0"/>
  </r>
  <r>
    <n v="61590532"/>
    <s v="N"/>
    <n v="21324255"/>
    <s v="3000015699230004RC"/>
    <s v="CIVIL"/>
    <d v="2023-06-23T00:00:00"/>
    <d v="2023-07-03T19:42:50"/>
    <m/>
    <d v="2023-07-03T00:00:00"/>
    <n v="304"/>
    <n v="4447"/>
    <s v="61590532"/>
    <s v="61590532"/>
    <m/>
    <m/>
    <m/>
    <m/>
    <m/>
    <m/>
    <s v="SOLRECOUP"/>
    <s v="SOLRECOUP"/>
    <s v="POARECOUP"/>
    <n v="21324255"/>
    <n v="-388.8"/>
    <m/>
    <s v="Y"/>
    <n v="1"/>
    <d v="2023-07-03T19:42:50"/>
    <s v="N"/>
    <m/>
    <m/>
    <s v="Expert Disbursement"/>
    <m/>
    <s v="N"/>
    <n v="-324"/>
    <n v="0"/>
    <x v="3"/>
    <s v="VALIDATED"/>
    <n v="1"/>
    <s v="01.11.80.308.2013.0000"/>
    <n v="-324"/>
    <s v="11"/>
    <s v="2013"/>
    <n v="15019.9"/>
    <n v="-324"/>
    <s v="CREDITOR"/>
    <n v="0"/>
    <n v="0"/>
    <n v="-324"/>
    <n v="0"/>
    <n v="0"/>
  </r>
  <r>
    <n v="23687542"/>
    <s v="N"/>
    <n v="21324256"/>
    <s v="3000008814510006RC"/>
    <s v="CIVIL"/>
    <d v="2023-06-23T00:00:00"/>
    <d v="2023-07-03T19:42:50"/>
    <m/>
    <d v="2023-07-03T00:00:00"/>
    <n v="304"/>
    <n v="4447"/>
    <s v="23687542"/>
    <s v="23687542"/>
    <m/>
    <m/>
    <m/>
    <m/>
    <m/>
    <m/>
    <s v="SOLRECOUP"/>
    <s v="SOLRECOUP"/>
    <s v="POARECOUP"/>
    <n v="21324256"/>
    <n v="-564.42"/>
    <m/>
    <s v="Y"/>
    <n v="2"/>
    <d v="2023-07-03T19:42:50"/>
    <s v="N"/>
    <m/>
    <m/>
    <s v="Expert Disbursement"/>
    <m/>
    <s v="N"/>
    <n v="0"/>
    <n v="-94.06999999999999"/>
    <x v="3"/>
    <s v="VALIDATED"/>
    <n v="1"/>
    <s v="01.11.80.308.2013.0000"/>
    <n v="-94.06999999999999"/>
    <s v="11"/>
    <s v="2013"/>
    <n v="15019.9"/>
    <n v="-94.06999999999999"/>
    <s v="CREDITOR"/>
    <n v="0"/>
    <n v="0"/>
    <n v="-94.06999999999999"/>
    <n v="0"/>
    <n v="0"/>
  </r>
  <r>
    <n v="43984221"/>
    <s v="N"/>
    <n v="21387959"/>
    <s v="3000011641480001RC"/>
    <s v="CIVIL"/>
    <d v="2023-06-20T00:00:00"/>
    <d v="2023-07-17T19:42:13"/>
    <m/>
    <d v="2023-07-17T00:00:00"/>
    <n v="304"/>
    <n v="4447"/>
    <s v="43984221"/>
    <s v="43984221"/>
    <m/>
    <m/>
    <m/>
    <m/>
    <m/>
    <m/>
    <s v="SOLRECOUP"/>
    <s v="SOLRECOUP"/>
    <s v="POARECOUP"/>
    <n v="21387959"/>
    <n v="-2601.77"/>
    <m/>
    <s v="Y"/>
    <n v="2"/>
    <d v="2023-07-17T19:42:13"/>
    <s v="N"/>
    <m/>
    <m/>
    <s v="Profit Cost"/>
    <m/>
    <s v="N"/>
    <n v="0"/>
    <n v="-433.63"/>
    <x v="8"/>
    <s v="VALIDATED"/>
    <n v="1"/>
    <s v="01.11.80.208.2013.0000"/>
    <n v="-433.63"/>
    <s v="11"/>
    <s v="2013"/>
    <n v="15019.9"/>
    <n v="-433.63"/>
    <s v="CREDITOR"/>
    <n v="0"/>
    <n v="0"/>
    <n v="-433.63"/>
    <n v="-108.4075"/>
    <n v="0"/>
  </r>
  <r>
    <n v="43984221"/>
    <s v="N"/>
    <n v="21387959"/>
    <s v="3000011641480001RC"/>
    <s v="CIVIL"/>
    <d v="2023-06-20T00:00:00"/>
    <d v="2023-07-17T19:42:13"/>
    <m/>
    <d v="2023-07-17T00:00:00"/>
    <n v="304"/>
    <n v="4447"/>
    <s v="43984221"/>
    <s v="43984221"/>
    <m/>
    <m/>
    <m/>
    <m/>
    <m/>
    <m/>
    <s v="SOLRECOUP"/>
    <s v="SOLRECOUP"/>
    <s v="POARECOUP"/>
    <n v="21387959"/>
    <n v="-2601.77"/>
    <m/>
    <s v="Y"/>
    <n v="1"/>
    <d v="2023-07-17T19:42:13"/>
    <s v="N"/>
    <m/>
    <m/>
    <s v="Profit Cost"/>
    <m/>
    <s v="N"/>
    <n v="-2168.14"/>
    <n v="0"/>
    <x v="8"/>
    <s v="VALIDATED"/>
    <n v="1"/>
    <s v="01.11.80.208.2013.0000"/>
    <n v="-2168.14"/>
    <s v="11"/>
    <s v="2013"/>
    <n v="15019.9"/>
    <n v="-2168.14"/>
    <s v="CREDITOR"/>
    <n v="0"/>
    <n v="0"/>
    <n v="-2168.14"/>
    <n v="-542.035"/>
    <n v="0"/>
  </r>
  <r>
    <n v="10312268"/>
    <s v="N"/>
    <n v="21356244"/>
    <s v="3000006169300001RC"/>
    <s v="CIVIL"/>
    <d v="2023-06-16T00:00:00"/>
    <d v="2023-07-10T19:47:44"/>
    <m/>
    <d v="2023-07-10T00:00:00"/>
    <n v="304"/>
    <n v="4447"/>
    <s v="10312268"/>
    <s v="10312268"/>
    <m/>
    <m/>
    <m/>
    <m/>
    <m/>
    <m/>
    <s v="SOLRECOUP"/>
    <s v="SOLRECOUP"/>
    <s v="POARECOUP"/>
    <n v="21356244"/>
    <n v="-2510.54"/>
    <m/>
    <s v="Y"/>
    <n v="1"/>
    <d v="2023-07-10T19:47:44"/>
    <s v="N"/>
    <m/>
    <m/>
    <s v="Profit Cost"/>
    <m/>
    <s v="N"/>
    <n v="-2092.12"/>
    <n v="0"/>
    <x v="2"/>
    <s v="VALIDATED"/>
    <n v="1"/>
    <s v="01.11.80.208.2013.0000"/>
    <n v="-2092.12"/>
    <s v="11"/>
    <s v="2013"/>
    <n v="15019.9"/>
    <n v="-2092.12"/>
    <s v="CREDITOR"/>
    <n v="0"/>
    <n v="0"/>
    <n v="-2092.12"/>
    <n v="-523.03"/>
    <n v="0"/>
  </r>
  <r>
    <n v="10312268"/>
    <s v="N"/>
    <n v="21356244"/>
    <s v="3000006169300001RC"/>
    <s v="CIVIL"/>
    <d v="2023-06-16T00:00:00"/>
    <d v="2023-07-10T19:47:44"/>
    <m/>
    <d v="2023-07-10T00:00:00"/>
    <n v="304"/>
    <n v="4447"/>
    <s v="10312268"/>
    <s v="10312268"/>
    <m/>
    <m/>
    <m/>
    <m/>
    <m/>
    <m/>
    <s v="SOLRECOUP"/>
    <s v="SOLRECOUP"/>
    <s v="POARECOUP"/>
    <n v="21356244"/>
    <n v="-2510.54"/>
    <m/>
    <s v="Y"/>
    <n v="2"/>
    <d v="2023-07-10T19:47:44"/>
    <s v="N"/>
    <m/>
    <m/>
    <s v="Profit Cost"/>
    <m/>
    <s v="N"/>
    <n v="0"/>
    <n v="-418.42"/>
    <x v="2"/>
    <s v="VALIDATED"/>
    <n v="1"/>
    <s v="01.11.80.208.2013.0000"/>
    <n v="-418.42"/>
    <s v="11"/>
    <s v="2013"/>
    <n v="15019.9"/>
    <n v="-418.42"/>
    <s v="CREDITOR"/>
    <n v="0"/>
    <n v="0"/>
    <n v="-418.42"/>
    <n v="-104.605"/>
    <n v="0"/>
  </r>
  <r>
    <n v="10843165"/>
    <s v="N"/>
    <n v="21356245"/>
    <s v="3000006580830001RC"/>
    <s v="CIVIL"/>
    <d v="2023-06-19T00:00:00"/>
    <d v="2023-07-10T19:47:44"/>
    <m/>
    <d v="2023-07-10T00:00:00"/>
    <n v="304"/>
    <n v="4447"/>
    <s v="10843165"/>
    <s v="10843165"/>
    <m/>
    <m/>
    <m/>
    <m/>
    <m/>
    <m/>
    <s v="SOLRECOUP"/>
    <s v="SOLRECOUP"/>
    <s v="POARECOUP"/>
    <n v="21356245"/>
    <n v="-15.12"/>
    <m/>
    <s v="Y"/>
    <n v="1"/>
    <d v="2023-07-10T19:47:44"/>
    <s v="N"/>
    <m/>
    <m/>
    <s v="Non Expert Disbursement"/>
    <m/>
    <s v="N"/>
    <n v="-12.6"/>
    <n v="0"/>
    <x v="2"/>
    <s v="VALIDATED"/>
    <n v="1"/>
    <s v="01.11.80.203.2013.0000"/>
    <n v="-12.6"/>
    <s v="11"/>
    <s v="2013"/>
    <n v="15019.9"/>
    <n v="-12.6"/>
    <s v="CREDITOR"/>
    <n v="0"/>
    <n v="0"/>
    <n v="-12.6"/>
    <n v="0"/>
    <n v="0"/>
  </r>
  <r>
    <n v="10843165"/>
    <s v="N"/>
    <n v="21356245"/>
    <s v="3000006580830001RC"/>
    <s v="CIVIL"/>
    <d v="2023-06-19T00:00:00"/>
    <d v="2023-07-10T19:47:44"/>
    <m/>
    <d v="2023-07-10T00:00:00"/>
    <n v="304"/>
    <n v="4447"/>
    <s v="10843165"/>
    <s v="10843165"/>
    <m/>
    <m/>
    <m/>
    <m/>
    <m/>
    <m/>
    <s v="SOLRECOUP"/>
    <s v="SOLRECOUP"/>
    <s v="POARECOUP"/>
    <n v="21356245"/>
    <n v="-15.12"/>
    <m/>
    <s v="Y"/>
    <n v="2"/>
    <d v="2023-07-10T19:47:44"/>
    <s v="N"/>
    <m/>
    <m/>
    <s v="Non Expert Disbursement"/>
    <m/>
    <s v="N"/>
    <n v="0"/>
    <n v="-2.52"/>
    <x v="2"/>
    <s v="VALIDATED"/>
    <n v="1"/>
    <s v="01.11.80.203.2013.0000"/>
    <n v="-2.52"/>
    <s v="11"/>
    <s v="2013"/>
    <n v="15019.9"/>
    <n v="-2.52"/>
    <s v="CREDITOR"/>
    <n v="0"/>
    <n v="0"/>
    <n v="-2.52"/>
    <n v="0"/>
    <n v="0"/>
  </r>
  <r>
    <n v="10843165"/>
    <s v="N"/>
    <n v="21356246"/>
    <s v="3000006580830002RC"/>
    <s v="CIVIL"/>
    <d v="2023-06-19T00:00:00"/>
    <d v="2023-07-10T19:47:44"/>
    <m/>
    <d v="2023-07-10T00:00:00"/>
    <n v="304"/>
    <n v="4447"/>
    <s v="10843165"/>
    <s v="10843165"/>
    <m/>
    <m/>
    <m/>
    <m/>
    <m/>
    <m/>
    <s v="SOLRECOUP"/>
    <s v="SOLRECOUP"/>
    <s v="POARECOUP"/>
    <n v="21356246"/>
    <n v="-154"/>
    <m/>
    <s v="Y"/>
    <n v="1"/>
    <d v="2023-07-10T19:47:44"/>
    <s v="N"/>
    <m/>
    <m/>
    <s v="Non Expert Disbursement"/>
    <m/>
    <s v="N"/>
    <n v="-154"/>
    <n v="0"/>
    <x v="2"/>
    <s v="VALIDATED"/>
    <n v="1"/>
    <s v="01.11.80.203.2013.0000"/>
    <n v="-154"/>
    <s v="11"/>
    <s v="2013"/>
    <n v="15019.9"/>
    <n v="-154"/>
    <s v="CREDITOR"/>
    <n v="0"/>
    <n v="0"/>
    <n v="-154"/>
    <n v="0"/>
    <n v="0"/>
  </r>
  <r>
    <n v="10843165"/>
    <s v="N"/>
    <n v="21356246"/>
    <s v="3000006580830002RC"/>
    <s v="CIVIL"/>
    <d v="2023-06-19T00:00:00"/>
    <d v="2023-07-10T19:47:44"/>
    <m/>
    <d v="2023-07-10T00:00:00"/>
    <n v="304"/>
    <n v="4447"/>
    <s v="10843165"/>
    <s v="10843165"/>
    <m/>
    <m/>
    <m/>
    <m/>
    <m/>
    <m/>
    <s v="SOLRECOUP"/>
    <s v="SOLRECOUP"/>
    <s v="POARECOUP"/>
    <n v="21356246"/>
    <n v="-154"/>
    <m/>
    <s v="Y"/>
    <n v="2"/>
    <d v="2023-07-10T19:47:44"/>
    <s v="N"/>
    <m/>
    <m/>
    <s v="Non Expert Disbursement"/>
    <m/>
    <s v="N"/>
    <n v="0"/>
    <n v="0"/>
    <x v="2"/>
    <s v="VALIDATED"/>
    <n v="1"/>
    <s v="01.11.80.000.0000.0000"/>
    <n v="0"/>
    <s v="11"/>
    <s v="0000"/>
    <n v="15019.9"/>
    <n v="0"/>
    <s v="CREDITOR"/>
    <n v="0"/>
    <n v="0"/>
    <n v="0"/>
    <n v="0"/>
    <n v="0"/>
  </r>
  <r>
    <n v="10312268"/>
    <s v="N"/>
    <n v="21356247"/>
    <s v="3000006169300004RC"/>
    <s v="CIVIL"/>
    <d v="2023-06-16T00:00:00"/>
    <d v="2023-07-10T19:47:44"/>
    <m/>
    <d v="2023-07-10T00:00:00"/>
    <n v="304"/>
    <n v="4447"/>
    <s v="10312268"/>
    <s v="10312268"/>
    <m/>
    <m/>
    <m/>
    <m/>
    <m/>
    <m/>
    <s v="SOLRECOUP"/>
    <s v="SOLRECOUP"/>
    <s v="POARECOUP"/>
    <n v="21356247"/>
    <n v="-403.28"/>
    <m/>
    <s v="Y"/>
    <n v="1"/>
    <d v="2023-07-10T19:47:44"/>
    <s v="N"/>
    <m/>
    <m/>
    <s v="Profit Cost"/>
    <m/>
    <s v="N"/>
    <n v="-336.07"/>
    <n v="0"/>
    <x v="2"/>
    <s v="VALIDATED"/>
    <n v="1"/>
    <s v="01.11.80.208.2013.0000"/>
    <n v="-336.07"/>
    <s v="11"/>
    <s v="2013"/>
    <n v="15019.9"/>
    <n v="-336.07"/>
    <s v="CREDITOR"/>
    <n v="0"/>
    <n v="0"/>
    <n v="-336.07"/>
    <n v="-84.0175"/>
    <n v="0"/>
  </r>
  <r>
    <n v="10312268"/>
    <s v="N"/>
    <n v="21356247"/>
    <s v="3000006169300004RC"/>
    <s v="CIVIL"/>
    <d v="2023-06-16T00:00:00"/>
    <d v="2023-07-10T19:47:44"/>
    <m/>
    <d v="2023-07-10T00:00:00"/>
    <n v="304"/>
    <n v="4447"/>
    <s v="10312268"/>
    <s v="10312268"/>
    <m/>
    <m/>
    <m/>
    <m/>
    <m/>
    <m/>
    <s v="SOLRECOUP"/>
    <s v="SOLRECOUP"/>
    <s v="POARECOUP"/>
    <n v="21356247"/>
    <n v="-403.28"/>
    <m/>
    <s v="Y"/>
    <n v="2"/>
    <d v="2023-07-10T19:47:44"/>
    <s v="N"/>
    <m/>
    <m/>
    <s v="Profit Cost"/>
    <m/>
    <s v="N"/>
    <n v="0"/>
    <n v="-67.20999999999999"/>
    <x v="2"/>
    <s v="VALIDATED"/>
    <n v="1"/>
    <s v="01.11.80.208.2013.0000"/>
    <n v="-67.20999999999999"/>
    <s v="11"/>
    <s v="2013"/>
    <n v="15019.9"/>
    <n v="-67.20999999999999"/>
    <s v="CREDITOR"/>
    <n v="0"/>
    <n v="0"/>
    <n v="-67.20999999999999"/>
    <n v="-16.8025"/>
    <n v="0"/>
  </r>
  <r>
    <n v="10843165"/>
    <s v="N"/>
    <n v="21350077"/>
    <s v="3000006580830005"/>
    <s v="CIVIL"/>
    <d v="2023-06-19T00:00:00"/>
    <d v="2023-07-10T19:01:40"/>
    <m/>
    <d v="2023-07-10T00:00:00"/>
    <n v="304"/>
    <n v="4447"/>
    <s v="10843165"/>
    <s v="10843165"/>
    <m/>
    <m/>
    <n v="22717044"/>
    <m/>
    <m/>
    <m/>
    <s v="SOLFIN"/>
    <s v="SOLFIN"/>
    <s v="CCMS"/>
    <n v="21350077"/>
    <n v="2216.89"/>
    <m/>
    <s v="N"/>
    <n v="31"/>
    <d v="2023-07-10T19:02:12"/>
    <s v="Y"/>
    <s v="Preparation - other"/>
    <s v="Non Family Hourly Rates"/>
    <s v="Profit Cost"/>
    <s v="Alex McMahon"/>
    <s v="Y"/>
    <n v="7.16"/>
    <n v="0"/>
    <x v="2"/>
    <s v="VALIDATED"/>
    <n v="1"/>
    <s v="01.11.80.203.6100.0000"/>
    <n v="7.16"/>
    <s v="11"/>
    <s v="6100"/>
    <n v="15019.9"/>
    <n v="7.16"/>
    <s v="CREDITOR"/>
    <n v="0"/>
    <n v="0"/>
    <n v="0"/>
    <n v="0"/>
    <n v="7.16"/>
  </r>
  <r>
    <n v="60905887"/>
    <s v="N"/>
    <n v="21328113"/>
    <s v="3000015124520001"/>
    <s v="CIVIL"/>
    <d v="2023-06-21T00:00:00"/>
    <d v="2023-07-04T19:00:44"/>
    <m/>
    <d v="2023-07-04T00:00:00"/>
    <n v="304"/>
    <n v="4447"/>
    <s v="60905887"/>
    <s v="60905887"/>
    <m/>
    <m/>
    <n v="22734090"/>
    <m/>
    <m/>
    <m/>
    <s v="SOLFIN"/>
    <s v="SOLFIN"/>
    <s v="CCMS"/>
    <n v="21328113"/>
    <n v="1934.62"/>
    <m/>
    <s v="N"/>
    <n v="13"/>
    <d v="2023-07-04T19:01:04"/>
    <s v="Y"/>
    <s v="Attendance upon other"/>
    <s v="Non Family Hourly Rates"/>
    <s v="Profit Cost"/>
    <s v="Adele Pinkett"/>
    <s v="Y"/>
    <n v="53.67"/>
    <n v="0"/>
    <x v="1"/>
    <s v="VALIDATED"/>
    <n v="1"/>
    <s v="01.11.80.203.6100.0000"/>
    <n v="53.67"/>
    <s v="11"/>
    <s v="6100"/>
    <n v="15019.9"/>
    <n v="53.67"/>
    <s v="CREDITOR"/>
    <n v="0"/>
    <n v="0"/>
    <n v="0"/>
    <n v="0"/>
    <n v="53.67"/>
  </r>
  <r>
    <n v="23687542"/>
    <s v="N"/>
    <n v="21319018"/>
    <s v="3000008814510007"/>
    <s v="CIVIL"/>
    <d v="2023-06-23T00:00:00"/>
    <d v="2023-07-03T19:01:49"/>
    <m/>
    <d v="2023-07-03T00:00:00"/>
    <n v="304"/>
    <n v="4447"/>
    <s v="23687542"/>
    <s v="23687542"/>
    <m/>
    <m/>
    <n v="22751600"/>
    <m/>
    <m/>
    <m/>
    <s v="SOLFIN"/>
    <s v="SOLFIN"/>
    <s v="CCMS"/>
    <n v="21319018"/>
    <n v="6901.59"/>
    <m/>
    <s v="N"/>
    <n v="1"/>
    <d v="2023-07-03T19:02:07"/>
    <s v="Y"/>
    <s v="Final Hearing Court Bundle/Advocate"/>
    <s v="Public Law Children"/>
    <s v="Advocacy"/>
    <s v="Jonathan Jonas"/>
    <s v="Y"/>
    <n v="159.3"/>
    <n v="31.86"/>
    <x v="3"/>
    <s v="VALIDATED"/>
    <n v="1"/>
    <s v="01.11.80.308.6100.0000"/>
    <n v="159.3"/>
    <s v="11"/>
    <s v="6100"/>
    <n v="15019.9"/>
    <n v="159.3"/>
    <s v="CREDITOR"/>
    <n v="0"/>
    <n v="0"/>
    <n v="0"/>
    <n v="0"/>
    <n v="159.3"/>
  </r>
  <r>
    <n v="10843165"/>
    <s v="N"/>
    <n v="21350077"/>
    <s v="3000006580830005"/>
    <s v="CIVIL"/>
    <d v="2023-06-19T00:00:00"/>
    <d v="2023-07-10T19:01:40"/>
    <m/>
    <d v="2023-07-10T00:00:00"/>
    <n v="304"/>
    <n v="4447"/>
    <s v="10843165"/>
    <s v="10843165"/>
    <m/>
    <m/>
    <n v="22717044"/>
    <m/>
    <m/>
    <m/>
    <s v="SOLFIN"/>
    <s v="SOLFIN"/>
    <s v="CCMS"/>
    <n v="21350077"/>
    <n v="2216.89"/>
    <m/>
    <s v="N"/>
    <n v="16"/>
    <d v="2023-07-10T19:02:12"/>
    <s v="Y"/>
    <s v="Preparation - other"/>
    <s v="Non Family Hourly Rates"/>
    <s v="Profit Cost"/>
    <s v="Alex McMahon"/>
    <s v="Y"/>
    <n v="57.24"/>
    <n v="0"/>
    <x v="2"/>
    <s v="VALIDATED"/>
    <n v="1"/>
    <s v="01.11.80.203.6100.0000"/>
    <n v="57.24"/>
    <s v="11"/>
    <s v="6100"/>
    <n v="15019.9"/>
    <n v="57.24"/>
    <s v="CREDITOR"/>
    <n v="0"/>
    <n v="0"/>
    <n v="0"/>
    <n v="0"/>
    <n v="57.24"/>
  </r>
  <r>
    <n v="10843165"/>
    <s v="N"/>
    <n v="21350077"/>
    <s v="3000006580830005"/>
    <s v="CIVIL"/>
    <d v="2023-06-19T00:00:00"/>
    <d v="2023-07-10T19:01:40"/>
    <m/>
    <d v="2023-07-10T00:00:00"/>
    <n v="304"/>
    <n v="4447"/>
    <s v="10843165"/>
    <s v="10843165"/>
    <m/>
    <m/>
    <n v="22717044"/>
    <m/>
    <m/>
    <m/>
    <s v="SOLFIN"/>
    <s v="SOLFIN"/>
    <s v="CCMS"/>
    <n v="21350077"/>
    <n v="2216.89"/>
    <m/>
    <s v="N"/>
    <n v="33"/>
    <d v="2023-07-10T19:02:12"/>
    <s v="Y"/>
    <s v="Preparation - other"/>
    <s v="Non Family Hourly Rates"/>
    <s v="Profit Cost"/>
    <s v="Alex McMahon"/>
    <s v="Y"/>
    <n v="7.16"/>
    <n v="0"/>
    <x v="2"/>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50"/>
    <d v="2023-07-10T19:02:12"/>
    <s v="Y"/>
    <s v="Attendance upon other"/>
    <s v="Non Family Hourly Rates"/>
    <s v="Profit Cost"/>
    <s v="Alex McMahon"/>
    <s v="Y"/>
    <n v="14.31"/>
    <n v="0"/>
    <x v="2"/>
    <s v="VALIDATED"/>
    <n v="1"/>
    <s v="01.11.80.203.6100.0000"/>
    <n v="14.31"/>
    <s v="11"/>
    <s v="6100"/>
    <n v="15019.9"/>
    <n v="14.31"/>
    <s v="CREDITOR"/>
    <n v="0"/>
    <n v="0"/>
    <n v="0"/>
    <n v="0"/>
    <n v="14.31"/>
  </r>
  <r>
    <n v="61729432"/>
    <s v="N"/>
    <n v="21322410"/>
    <s v="3000015815220009"/>
    <s v="CIVIL"/>
    <d v="2023-06-29T00:00:00"/>
    <d v="2023-07-03T19:05:36"/>
    <m/>
    <d v="2023-07-03T00:00:00"/>
    <n v="304"/>
    <n v="4447"/>
    <s v="61729432"/>
    <s v="61729432"/>
    <m/>
    <m/>
    <n v="22789056"/>
    <m/>
    <m/>
    <m/>
    <s v="SOLPOA"/>
    <s v="SOLPOA"/>
    <s v="CCMS"/>
    <n v="21322410"/>
    <n v="810"/>
    <m/>
    <s v="N"/>
    <n v="1"/>
    <d v="2023-07-03T19:05:37"/>
    <s v="N"/>
    <s v="Expert Cost"/>
    <s v="Expert Cost"/>
    <s v="Expert Disbursement"/>
    <s v="Tom Trim"/>
    <s v="N"/>
    <n v="675"/>
    <n v="135"/>
    <x v="3"/>
    <s v="VALIDATED"/>
    <n v="1"/>
    <s v="01.11.80.308.2012.0000"/>
    <n v="675"/>
    <s v="11"/>
    <s v="2012"/>
    <n v="15019.9"/>
    <n v="675"/>
    <s v="CREDITOR"/>
    <n v="675"/>
    <n v="0"/>
    <n v="0"/>
    <n v="0"/>
    <n v="0"/>
  </r>
  <r>
    <n v="10843165"/>
    <s v="N"/>
    <n v="21350077"/>
    <s v="3000006580830005"/>
    <s v="CIVIL"/>
    <d v="2023-06-19T00:00:00"/>
    <d v="2023-07-10T19:01:40"/>
    <m/>
    <d v="2023-07-10T00:00:00"/>
    <n v="304"/>
    <n v="4447"/>
    <s v="10843165"/>
    <s v="10843165"/>
    <m/>
    <m/>
    <n v="22717044"/>
    <m/>
    <m/>
    <m/>
    <s v="SOLFIN"/>
    <s v="SOLFIN"/>
    <s v="CCMS"/>
    <n v="21350077"/>
    <n v="2216.89"/>
    <m/>
    <s v="N"/>
    <n v="8"/>
    <d v="2023-07-10T19:02:12"/>
    <s v="Y"/>
    <s v="Interpreter"/>
    <s v="Non Family Hourly Rates"/>
    <s v="Expert Disbursement"/>
    <s v="Alex McMahon"/>
    <s v="Y"/>
    <n v="12.6"/>
    <n v="2.52"/>
    <x v="2"/>
    <s v="VALIDATED"/>
    <n v="1"/>
    <s v="01.11.80.203.6300.0000"/>
    <n v="12.6"/>
    <s v="11"/>
    <s v="6300"/>
    <n v="15019.9"/>
    <n v="12.6"/>
    <s v="CREDITOR"/>
    <n v="0"/>
    <n v="0"/>
    <n v="0"/>
    <n v="0"/>
    <n v="12.6"/>
  </r>
  <r>
    <n v="10843165"/>
    <s v="N"/>
    <n v="21350077"/>
    <s v="3000006580830005"/>
    <s v="CIVIL"/>
    <d v="2023-06-19T00:00:00"/>
    <d v="2023-07-10T19:01:40"/>
    <m/>
    <d v="2023-07-10T00:00:00"/>
    <n v="304"/>
    <n v="4447"/>
    <s v="10843165"/>
    <s v="10843165"/>
    <m/>
    <m/>
    <n v="22717044"/>
    <m/>
    <m/>
    <m/>
    <s v="SOLFIN"/>
    <s v="SOLFIN"/>
    <s v="CCMS"/>
    <n v="21350077"/>
    <n v="2216.89"/>
    <m/>
    <s v="N"/>
    <n v="28"/>
    <d v="2023-07-10T19:02:12"/>
    <s v="Y"/>
    <s v="Preparation - other"/>
    <s v="Non Family Hourly Rates"/>
    <s v="Profit Cost"/>
    <s v="Alex McMahon"/>
    <s v="Y"/>
    <n v="14.31"/>
    <n v="0"/>
    <x v="2"/>
    <s v="VALIDATED"/>
    <n v="1"/>
    <s v="01.11.80.203.6100.0000"/>
    <n v="14.31"/>
    <s v="11"/>
    <s v="6100"/>
    <n v="15019.9"/>
    <n v="14.31"/>
    <s v="CREDITOR"/>
    <n v="0"/>
    <n v="0"/>
    <n v="0"/>
    <n v="0"/>
    <n v="14.31"/>
  </r>
  <r>
    <n v="8197417"/>
    <s v="N"/>
    <n v="21330503"/>
    <s v="3000004262350001"/>
    <s v="CIVIL"/>
    <d v="2023-06-27T00:00:00"/>
    <d v="2023-07-05T19:01:47"/>
    <m/>
    <d v="2023-07-05T00:00:00"/>
    <n v="304"/>
    <n v="4447"/>
    <s v="8197417"/>
    <s v="8197417"/>
    <m/>
    <m/>
    <n v="22770536"/>
    <m/>
    <m/>
    <m/>
    <s v="SOLFIN"/>
    <s v="SOLFIN"/>
    <s v="CCMS"/>
    <n v="21330503"/>
    <n v="0"/>
    <m/>
    <s v="N"/>
    <n v="1"/>
    <d v="2023-07-05T19:01:50"/>
    <s v="N"/>
    <s v="NIL BILL"/>
    <s v="Non Family Hourly Rates"/>
    <s v="Profit Cost"/>
    <s v="William Ford"/>
    <s v="N"/>
    <n v="0"/>
    <n v="0"/>
    <x v="6"/>
    <s v="VALIDATED"/>
    <n v="1"/>
    <s v="01.11.80.203.6100.0000"/>
    <n v="0"/>
    <s v="11"/>
    <s v="6100"/>
    <n v="15019.9"/>
    <n v="0"/>
    <s v="CREDITOR"/>
    <n v="0"/>
    <n v="0"/>
    <n v="0"/>
    <n v="0"/>
    <n v="0"/>
  </r>
  <r>
    <n v="23687542"/>
    <s v="N"/>
    <n v="21319018"/>
    <s v="3000008814510007"/>
    <s v="CIVIL"/>
    <d v="2023-06-23T00:00:00"/>
    <d v="2023-07-03T19:01:49"/>
    <m/>
    <d v="2023-07-03T00:00:00"/>
    <n v="304"/>
    <n v="4447"/>
    <s v="23687542"/>
    <s v="23687542"/>
    <m/>
    <m/>
    <n v="22751600"/>
    <m/>
    <m/>
    <m/>
    <s v="SOLFIN"/>
    <s v="SOLFIN"/>
    <s v="CCMS"/>
    <n v="21319018"/>
    <n v="6901.59"/>
    <m/>
    <s v="N"/>
    <n v="10"/>
    <d v="2023-07-03T19:02:07"/>
    <s v="Y"/>
    <s v="Solicitors Fixed Fee"/>
    <s v="Public Law Children"/>
    <s v="Profit Cost"/>
    <s v="Jonathan Jonas"/>
    <s v="Y"/>
    <n v="3020"/>
    <n v="604"/>
    <x v="3"/>
    <s v="VALIDATED"/>
    <n v="1"/>
    <s v="01.11.80.308.6100.0000"/>
    <n v="3020"/>
    <s v="11"/>
    <s v="6100"/>
    <n v="15019.9"/>
    <n v="3020"/>
    <s v="CREDITOR"/>
    <n v="0"/>
    <n v="0"/>
    <n v="0"/>
    <n v="0"/>
    <n v="3020"/>
  </r>
  <r>
    <n v="60905887"/>
    <s v="N"/>
    <n v="21328113"/>
    <s v="3000015124520001"/>
    <s v="CIVIL"/>
    <d v="2023-06-21T00:00:00"/>
    <d v="2023-07-04T19:00:44"/>
    <m/>
    <d v="2023-07-04T00:00:00"/>
    <n v="304"/>
    <n v="4447"/>
    <s v="60905887"/>
    <s v="60905887"/>
    <m/>
    <m/>
    <n v="22734090"/>
    <m/>
    <m/>
    <m/>
    <s v="SOLFIN"/>
    <s v="SOLFIN"/>
    <s v="CCMS"/>
    <n v="21328113"/>
    <n v="1934.62"/>
    <m/>
    <s v="N"/>
    <n v="9"/>
    <d v="2023-07-04T19:01:04"/>
    <s v="Y"/>
    <s v="Preparation - other"/>
    <s v="Non Family Hourly Rates"/>
    <s v="Profit Cost"/>
    <s v="ade"/>
    <s v="Y"/>
    <n v="7.16"/>
    <n v="0"/>
    <x v="1"/>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9"/>
    <d v="2023-07-10T19:02:12"/>
    <s v="Y"/>
    <s v="Interpreter"/>
    <s v="Non Family Hourly Rates"/>
    <s v="Expert Disbursement"/>
    <s v="Alex McMahon"/>
    <s v="Y"/>
    <n v="25.2"/>
    <n v="5.04"/>
    <x v="2"/>
    <s v="VALIDATED"/>
    <n v="1"/>
    <s v="01.11.80.203.6300.0000"/>
    <n v="25.2"/>
    <s v="11"/>
    <s v="6300"/>
    <n v="15019.9"/>
    <n v="25.2"/>
    <s v="CREDITOR"/>
    <n v="0"/>
    <n v="0"/>
    <n v="0"/>
    <n v="0"/>
    <n v="25.2"/>
  </r>
  <r>
    <n v="60905887"/>
    <s v="N"/>
    <n v="21328113"/>
    <s v="3000015124520001"/>
    <s v="CIVIL"/>
    <d v="2023-06-21T00:00:00"/>
    <d v="2023-07-04T19:00:44"/>
    <m/>
    <d v="2023-07-04T00:00:00"/>
    <n v="304"/>
    <n v="4447"/>
    <s v="60905887"/>
    <s v="60905887"/>
    <m/>
    <m/>
    <n v="22734090"/>
    <m/>
    <m/>
    <m/>
    <s v="SOLFIN"/>
    <s v="SOLFIN"/>
    <s v="CCMS"/>
    <n v="21328113"/>
    <n v="1934.62"/>
    <m/>
    <s v="N"/>
    <n v="18"/>
    <d v="2023-07-04T19:01:04"/>
    <s v="Y"/>
    <s v="Preparation - other"/>
    <s v="Non Family Hourly Rates"/>
    <s v="Profit Cost"/>
    <s v="Adele Pinkett"/>
    <s v="Y"/>
    <n v="32.21"/>
    <n v="0"/>
    <x v="1"/>
    <s v="VALIDATED"/>
    <n v="1"/>
    <s v="01.11.80.203.6100.0000"/>
    <n v="32.21"/>
    <s v="11"/>
    <s v="6100"/>
    <n v="15019.9"/>
    <n v="32.21"/>
    <s v="CREDITOR"/>
    <n v="0"/>
    <n v="0"/>
    <n v="0"/>
    <n v="0"/>
    <n v="32.21"/>
  </r>
  <r>
    <n v="62424979"/>
    <s v="N"/>
    <n v="21318402"/>
    <s v="3000016389090002"/>
    <s v="CIVIL"/>
    <d v="2023-06-23T00:00:00"/>
    <d v="2023-07-03T19:01:49"/>
    <m/>
    <d v="2023-07-03T00:00:00"/>
    <n v="304"/>
    <n v="4447"/>
    <s v="62424979"/>
    <s v="62424979"/>
    <m/>
    <m/>
    <n v="22753158"/>
    <m/>
    <m/>
    <m/>
    <s v="SOLPOA"/>
    <s v="SOLPOA"/>
    <s v="CCMS"/>
    <n v="21318402"/>
    <n v="22.3"/>
    <m/>
    <s v="N"/>
    <n v="1"/>
    <d v="2023-07-03T19:01:54"/>
    <s v="N"/>
    <s v="Non Expert Disbursement"/>
    <s v="Non Expert Disbursement"/>
    <s v="Non Expert Disbursement"/>
    <s v="TFL Travel"/>
    <s v="N"/>
    <n v="22.3"/>
    <n v="0"/>
    <x v="3"/>
    <s v="VALIDATED"/>
    <n v="1"/>
    <s v="01.11.80.308.2012.0000"/>
    <n v="22.3"/>
    <s v="11"/>
    <s v="2012"/>
    <n v="15019.9"/>
    <n v="22.3"/>
    <s v="CREDITOR"/>
    <n v="22.3"/>
    <n v="0"/>
    <n v="0"/>
    <n v="0"/>
    <n v="0"/>
  </r>
  <r>
    <n v="10843165"/>
    <s v="N"/>
    <n v="21350077"/>
    <s v="3000006580830005"/>
    <s v="CIVIL"/>
    <d v="2023-06-19T00:00:00"/>
    <d v="2023-07-10T19:01:40"/>
    <m/>
    <d v="2023-07-10T00:00:00"/>
    <n v="304"/>
    <n v="4447"/>
    <s v="10843165"/>
    <s v="10843165"/>
    <m/>
    <m/>
    <n v="22717044"/>
    <m/>
    <m/>
    <m/>
    <s v="SOLFIN"/>
    <s v="SOLFIN"/>
    <s v="CCMS"/>
    <n v="21350077"/>
    <n v="2216.89"/>
    <m/>
    <s v="N"/>
    <n v="30"/>
    <d v="2023-07-10T19:02:12"/>
    <s v="Y"/>
    <s v="Routine Letter Out"/>
    <s v="Non Family Hourly Rates"/>
    <s v="Profit Cost"/>
    <s v="Alex McMahon"/>
    <s v="Y"/>
    <n v="47.25"/>
    <n v="0"/>
    <x v="2"/>
    <s v="VALIDATED"/>
    <n v="1"/>
    <s v="01.11.80.203.6100.0000"/>
    <n v="47.25"/>
    <s v="11"/>
    <s v="6100"/>
    <n v="15019.9"/>
    <n v="47.25"/>
    <s v="CREDITOR"/>
    <n v="0"/>
    <n v="0"/>
    <n v="0"/>
    <n v="0"/>
    <n v="47.25"/>
  </r>
  <r>
    <n v="23687542"/>
    <s v="N"/>
    <n v="21319018"/>
    <s v="3000008814510007"/>
    <s v="CIVIL"/>
    <d v="2023-06-23T00:00:00"/>
    <d v="2023-07-03T19:01:49"/>
    <m/>
    <d v="2023-07-03T00:00:00"/>
    <n v="304"/>
    <n v="4447"/>
    <s v="23687542"/>
    <s v="23687542"/>
    <m/>
    <m/>
    <n v="22751600"/>
    <m/>
    <m/>
    <m/>
    <s v="SOLFIN"/>
    <s v="SOLFIN"/>
    <s v="CCMS"/>
    <n v="21319018"/>
    <n v="6901.59"/>
    <m/>
    <s v="N"/>
    <n v="5"/>
    <d v="2023-07-03T19:02:07"/>
    <s v="Y"/>
    <s v="Final Hearing - 1 Day"/>
    <s v="Public Law Children"/>
    <s v="Advocacy"/>
    <s v="Jonathan Jonas"/>
    <s v="Y"/>
    <n v="556.88"/>
    <n v="111.38"/>
    <x v="3"/>
    <s v="VALIDATED"/>
    <n v="1"/>
    <s v="01.11.80.308.6100.0000"/>
    <n v="556.88"/>
    <s v="11"/>
    <s v="6100"/>
    <n v="15019.9"/>
    <n v="556.88"/>
    <s v="CREDITOR"/>
    <n v="0"/>
    <n v="0"/>
    <n v="0"/>
    <n v="0"/>
    <n v="556.88"/>
  </r>
  <r>
    <n v="10843165"/>
    <s v="N"/>
    <n v="21350077"/>
    <s v="3000006580830005"/>
    <s v="CIVIL"/>
    <d v="2023-06-19T00:00:00"/>
    <d v="2023-07-10T19:01:40"/>
    <m/>
    <d v="2023-07-10T00:00:00"/>
    <n v="304"/>
    <n v="4447"/>
    <s v="10843165"/>
    <s v="10843165"/>
    <m/>
    <m/>
    <n v="22717044"/>
    <m/>
    <m/>
    <m/>
    <s v="SOLFIN"/>
    <s v="SOLFIN"/>
    <s v="CCMS"/>
    <n v="21350077"/>
    <n v="2216.89"/>
    <m/>
    <s v="N"/>
    <n v="14"/>
    <d v="2023-07-10T19:02:12"/>
    <s v="Y"/>
    <s v="Interpreter"/>
    <s v="Non Family Hourly Rates"/>
    <s v="Expert Disbursement"/>
    <s v="Alex McMahon"/>
    <s v="Y"/>
    <n v="12.6"/>
    <n v="2.52"/>
    <x v="2"/>
    <s v="VALIDATED"/>
    <n v="1"/>
    <s v="01.11.80.203.6300.0000"/>
    <n v="12.6"/>
    <s v="11"/>
    <s v="6300"/>
    <n v="15019.9"/>
    <n v="12.6"/>
    <s v="CREDITOR"/>
    <n v="0"/>
    <n v="0"/>
    <n v="0"/>
    <n v="0"/>
    <n v="12.6"/>
  </r>
  <r>
    <n v="10843165"/>
    <s v="N"/>
    <n v="21350077"/>
    <s v="3000006580830005"/>
    <s v="CIVIL"/>
    <d v="2023-06-19T00:00:00"/>
    <d v="2023-07-10T19:01:40"/>
    <m/>
    <d v="2023-07-10T00:00:00"/>
    <n v="304"/>
    <n v="4447"/>
    <s v="10843165"/>
    <s v="10843165"/>
    <m/>
    <m/>
    <n v="22717044"/>
    <m/>
    <m/>
    <m/>
    <s v="SOLFIN"/>
    <s v="SOLFIN"/>
    <s v="CCMS"/>
    <n v="21350077"/>
    <n v="2216.89"/>
    <m/>
    <s v="N"/>
    <n v="34"/>
    <d v="2023-07-10T19:02:12"/>
    <s v="N"/>
    <s v="Preparation - other"/>
    <s v="Non Family Hourly Rates"/>
    <s v="Profit Cost"/>
    <s v="Alex McMahon"/>
    <s v="N"/>
    <n v="0"/>
    <n v="0"/>
    <x v="2"/>
    <s v="VALIDATED"/>
    <n v="1"/>
    <s v="01.11.80.203.6100.0000"/>
    <n v="0"/>
    <s v="11"/>
    <s v="6100"/>
    <n v="15019.9"/>
    <n v="0"/>
    <s v="CREDITOR"/>
    <n v="0"/>
    <n v="0"/>
    <n v="0"/>
    <n v="0"/>
    <n v="0"/>
  </r>
  <r>
    <n v="60905887"/>
    <s v="N"/>
    <n v="21328113"/>
    <s v="3000015124520001"/>
    <s v="CIVIL"/>
    <d v="2023-06-21T00:00:00"/>
    <d v="2023-07-04T19:00:44"/>
    <m/>
    <d v="2023-07-04T00:00:00"/>
    <n v="304"/>
    <n v="4447"/>
    <s v="60905887"/>
    <s v="60905887"/>
    <m/>
    <m/>
    <n v="22734090"/>
    <m/>
    <m/>
    <m/>
    <s v="SOLFIN"/>
    <s v="SOLFIN"/>
    <s v="CCMS"/>
    <n v="21328113"/>
    <n v="1934.62"/>
    <m/>
    <s v="N"/>
    <n v="22"/>
    <d v="2023-07-04T19:01:04"/>
    <s v="Y"/>
    <s v="Routine Letter Out"/>
    <s v="Non Family Hourly Rates"/>
    <s v="Profit Cost"/>
    <s v="Adele Pinkett"/>
    <s v="Y"/>
    <n v="27"/>
    <n v="0"/>
    <x v="1"/>
    <s v="VALIDATED"/>
    <n v="1"/>
    <s v="01.11.80.203.6100.0000"/>
    <n v="27"/>
    <s v="11"/>
    <s v="6100"/>
    <n v="15019.9"/>
    <n v="27"/>
    <s v="CREDITOR"/>
    <n v="0"/>
    <n v="0"/>
    <n v="0"/>
    <n v="0"/>
    <n v="27"/>
  </r>
  <r>
    <n v="60905887"/>
    <s v="N"/>
    <n v="21328113"/>
    <s v="3000015124520001"/>
    <s v="CIVIL"/>
    <d v="2023-06-21T00:00:00"/>
    <d v="2023-07-04T19:00:44"/>
    <m/>
    <d v="2023-07-04T00:00:00"/>
    <n v="304"/>
    <n v="4447"/>
    <s v="60905887"/>
    <s v="60905887"/>
    <m/>
    <m/>
    <n v="22734090"/>
    <m/>
    <m/>
    <m/>
    <s v="SOLFIN"/>
    <s v="SOLFIN"/>
    <s v="CCMS"/>
    <n v="21328113"/>
    <n v="1934.62"/>
    <m/>
    <s v="N"/>
    <n v="28"/>
    <d v="2023-07-04T19:01:04"/>
    <s v="Y"/>
    <s v="Attendance upon client"/>
    <s v="Non Family Hourly Rates"/>
    <s v="Profit Cost"/>
    <s v="Adele Pinkett"/>
    <s v="Y"/>
    <n v="21.47"/>
    <n v="0"/>
    <x v="1"/>
    <s v="VALIDATED"/>
    <n v="1"/>
    <s v="01.11.80.203.6100.0000"/>
    <n v="21.47"/>
    <s v="11"/>
    <s v="6100"/>
    <n v="15019.9"/>
    <n v="21.47"/>
    <s v="CREDITOR"/>
    <n v="0"/>
    <n v="0"/>
    <n v="0"/>
    <n v="0"/>
    <n v="21.47"/>
  </r>
  <r>
    <n v="61590532"/>
    <s v="N"/>
    <n v="21318446"/>
    <s v="3000015699230007"/>
    <s v="CIVIL"/>
    <d v="2023-06-23T00:00:00"/>
    <d v="2023-07-03T19:01:49"/>
    <m/>
    <d v="2023-07-03T00:00:00"/>
    <n v="304"/>
    <n v="4447"/>
    <s v="61590532"/>
    <s v="61590532"/>
    <m/>
    <m/>
    <n v="22748676"/>
    <m/>
    <m/>
    <m/>
    <s v="SOLFIN"/>
    <s v="SOLFIN"/>
    <s v="CCMS"/>
    <n v="21318446"/>
    <n v="4522.38"/>
    <m/>
    <s v="N"/>
    <n v="2"/>
    <d v="2023-07-03T19:01:56"/>
    <s v="Y"/>
    <s v="Psychiatrist"/>
    <s v="Public Law Children"/>
    <s v="Expert Disbursement"/>
    <s v="N and S Consultants"/>
    <s v="Y"/>
    <n v="324"/>
    <n v="64.8"/>
    <x v="3"/>
    <s v="VALIDATED"/>
    <n v="1"/>
    <s v="01.11.80.308.6300.0000"/>
    <n v="324"/>
    <s v="11"/>
    <s v="6300"/>
    <n v="15019.9"/>
    <n v="324"/>
    <s v="CREDITOR"/>
    <n v="0"/>
    <n v="0"/>
    <n v="0"/>
    <n v="0"/>
    <n v="324"/>
  </r>
  <r>
    <n v="60905887"/>
    <s v="N"/>
    <n v="21328113"/>
    <s v="3000015124520001"/>
    <s v="CIVIL"/>
    <d v="2023-06-21T00:00:00"/>
    <d v="2023-07-04T19:00:44"/>
    <m/>
    <d v="2023-07-04T00:00:00"/>
    <n v="304"/>
    <n v="4447"/>
    <s v="60905887"/>
    <s v="60905887"/>
    <m/>
    <m/>
    <n v="22734090"/>
    <m/>
    <m/>
    <m/>
    <s v="SOLFIN"/>
    <s v="SOLFIN"/>
    <s v="CCMS"/>
    <n v="21328113"/>
    <n v="1934.62"/>
    <m/>
    <s v="N"/>
    <n v="11"/>
    <d v="2023-07-04T19:01:04"/>
    <s v="Y"/>
    <s v="Preparation - other"/>
    <s v="Non Family Hourly Rates"/>
    <s v="Profit Cost"/>
    <s v="Adele Pinkett"/>
    <s v="Y"/>
    <n v="42.93"/>
    <n v="0"/>
    <x v="1"/>
    <s v="VALIDATED"/>
    <n v="1"/>
    <s v="01.11.80.203.6100.0000"/>
    <n v="42.93"/>
    <s v="11"/>
    <s v="6100"/>
    <n v="15019.9"/>
    <n v="42.93"/>
    <s v="CREDITOR"/>
    <n v="0"/>
    <n v="0"/>
    <n v="0"/>
    <n v="0"/>
    <n v="42.93"/>
  </r>
  <r>
    <n v="10843165"/>
    <s v="N"/>
    <n v="21350077"/>
    <s v="3000006580830005"/>
    <s v="CIVIL"/>
    <d v="2023-06-19T00:00:00"/>
    <d v="2023-07-10T19:01:40"/>
    <m/>
    <d v="2023-07-10T00:00:00"/>
    <n v="304"/>
    <n v="4447"/>
    <s v="10843165"/>
    <s v="10843165"/>
    <m/>
    <m/>
    <n v="22717044"/>
    <m/>
    <m/>
    <m/>
    <s v="SOLFIN"/>
    <s v="SOLFIN"/>
    <s v="CCMS"/>
    <n v="21350077"/>
    <n v="2216.89"/>
    <m/>
    <s v="N"/>
    <n v="46"/>
    <d v="2023-07-10T19:02:12"/>
    <s v="Y"/>
    <s v="Preparation - other"/>
    <s v="Non Family Hourly Rates"/>
    <s v="Profit Cost"/>
    <s v="Alex McMahon"/>
    <s v="Y"/>
    <n v="7.16"/>
    <n v="0"/>
    <x v="2"/>
    <s v="VALIDATED"/>
    <n v="1"/>
    <s v="01.11.80.203.6100.0000"/>
    <n v="7.16"/>
    <s v="11"/>
    <s v="6100"/>
    <n v="15019.9"/>
    <n v="7.16"/>
    <s v="CREDITOR"/>
    <n v="0"/>
    <n v="0"/>
    <n v="0"/>
    <n v="0"/>
    <n v="7.16"/>
  </r>
  <r>
    <n v="62205752"/>
    <s v="N"/>
    <n v="21337812"/>
    <s v="3000016210850002"/>
    <s v="CIVIL"/>
    <d v="2023-06-30T00:00:00"/>
    <d v="2023-07-06T19:21:01"/>
    <m/>
    <d v="2023-07-06T00:00:00"/>
    <n v="304"/>
    <n v="4447"/>
    <s v="62205752"/>
    <s v="62205752"/>
    <m/>
    <m/>
    <n v="22801196"/>
    <m/>
    <m/>
    <m/>
    <s v="SOLPOA"/>
    <s v="SOLPOA"/>
    <s v="CCMS"/>
    <n v="21337812"/>
    <n v="194.04"/>
    <m/>
    <s v="N"/>
    <n v="1"/>
    <d v="2023-07-06T19:21:08"/>
    <s v="N"/>
    <s v="Expert Cost"/>
    <s v="Expert Cost"/>
    <s v="Expert Disbursement"/>
    <s v="kemp investigations"/>
    <s v="N"/>
    <n v="161.7"/>
    <n v="32.34"/>
    <x v="4"/>
    <s v="VALIDATED"/>
    <n v="1"/>
    <s v="01.11.80.305.2012.0000"/>
    <n v="161.7"/>
    <s v="11"/>
    <s v="2012"/>
    <n v="15019.9"/>
    <n v="161.7"/>
    <s v="CREDITOR"/>
    <n v="161.7"/>
    <n v="0"/>
    <n v="0"/>
    <n v="0"/>
    <n v="0"/>
  </r>
  <r>
    <n v="60905887"/>
    <s v="N"/>
    <n v="21328113"/>
    <s v="3000015124520001"/>
    <s v="CIVIL"/>
    <d v="2023-06-21T00:00:00"/>
    <d v="2023-07-04T19:00:44"/>
    <m/>
    <d v="2023-07-04T00:00:00"/>
    <n v="304"/>
    <n v="4447"/>
    <s v="60905887"/>
    <s v="60905887"/>
    <m/>
    <m/>
    <n v="22734090"/>
    <m/>
    <m/>
    <m/>
    <s v="SOLFIN"/>
    <s v="SOLFIN"/>
    <s v="CCMS"/>
    <n v="21328113"/>
    <n v="1934.62"/>
    <m/>
    <s v="N"/>
    <n v="4"/>
    <d v="2023-07-04T19:01:04"/>
    <s v="Y"/>
    <s v="Preparation - other"/>
    <s v="Non Family Hourly Rates"/>
    <s v="Profit Cost"/>
    <s v="Adele Pinkett"/>
    <s v="Y"/>
    <n v="450.77"/>
    <n v="0"/>
    <x v="1"/>
    <s v="VALIDATED"/>
    <n v="1"/>
    <s v="01.11.80.203.6100.0000"/>
    <n v="450.77"/>
    <s v="11"/>
    <s v="6100"/>
    <n v="15019.9"/>
    <n v="450.77"/>
    <s v="CREDITOR"/>
    <n v="0"/>
    <n v="0"/>
    <n v="0"/>
    <n v="0"/>
    <n v="450.77"/>
  </r>
  <r>
    <n v="60905887"/>
    <s v="N"/>
    <n v="21328113"/>
    <s v="3000015124520001"/>
    <s v="CIVIL"/>
    <d v="2023-06-21T00:00:00"/>
    <d v="2023-07-04T19:00:44"/>
    <m/>
    <d v="2023-07-04T00:00:00"/>
    <n v="304"/>
    <n v="4447"/>
    <s v="60905887"/>
    <s v="60905887"/>
    <m/>
    <m/>
    <n v="22734090"/>
    <m/>
    <m/>
    <m/>
    <s v="SOLFIN"/>
    <s v="SOLFIN"/>
    <s v="CCMS"/>
    <n v="21328113"/>
    <n v="1934.62"/>
    <m/>
    <s v="N"/>
    <n v="12"/>
    <d v="2023-07-04T19:01:04"/>
    <s v="Y"/>
    <s v="Preparation - other"/>
    <s v="Non Family Hourly Rates"/>
    <s v="Profit Cost"/>
    <s v="Adele Pinkett"/>
    <s v="Y"/>
    <n v="21.47"/>
    <n v="0"/>
    <x v="1"/>
    <s v="VALIDATED"/>
    <n v="1"/>
    <s v="01.11.80.203.6100.0000"/>
    <n v="21.47"/>
    <s v="11"/>
    <s v="6100"/>
    <n v="15019.9"/>
    <n v="21.47"/>
    <s v="CREDITOR"/>
    <n v="0"/>
    <n v="0"/>
    <n v="0"/>
    <n v="0"/>
    <n v="21.47"/>
  </r>
  <r>
    <n v="10843165"/>
    <s v="N"/>
    <n v="21350077"/>
    <s v="3000006580830005"/>
    <s v="CIVIL"/>
    <d v="2023-06-19T00:00:00"/>
    <d v="2023-07-10T19:01:40"/>
    <m/>
    <d v="2023-07-10T00:00:00"/>
    <n v="304"/>
    <n v="4447"/>
    <s v="10843165"/>
    <s v="10843165"/>
    <m/>
    <m/>
    <n v="22717044"/>
    <m/>
    <m/>
    <m/>
    <s v="SOLFIN"/>
    <s v="SOLFIN"/>
    <s v="CCMS"/>
    <n v="21350077"/>
    <n v="2216.89"/>
    <m/>
    <s v="N"/>
    <n v="10"/>
    <d v="2023-07-10T19:02:12"/>
    <s v="Y"/>
    <s v="Court Fee"/>
    <s v="Non Family Hourly Rates"/>
    <s v="Non Expert Disbursement"/>
    <s v="Alex McMahon"/>
    <s v="Y"/>
    <n v="385"/>
    <n v="0"/>
    <x v="2"/>
    <s v="VALIDATED"/>
    <n v="1"/>
    <s v="01.11.80.203.6300.0000"/>
    <n v="385"/>
    <s v="11"/>
    <s v="6300"/>
    <n v="15019.9"/>
    <n v="385"/>
    <s v="CREDITOR"/>
    <n v="0"/>
    <n v="0"/>
    <n v="0"/>
    <n v="0"/>
    <n v="385"/>
  </r>
  <r>
    <n v="60905887"/>
    <s v="N"/>
    <n v="21328113"/>
    <s v="3000015124520001"/>
    <s v="CIVIL"/>
    <d v="2023-06-21T00:00:00"/>
    <d v="2023-07-04T19:00:44"/>
    <m/>
    <d v="2023-07-04T00:00:00"/>
    <n v="304"/>
    <n v="4447"/>
    <s v="60905887"/>
    <s v="60905887"/>
    <m/>
    <m/>
    <n v="22734090"/>
    <m/>
    <m/>
    <m/>
    <s v="SOLFIN"/>
    <s v="SOLFIN"/>
    <s v="CCMS"/>
    <n v="21328113"/>
    <n v="1934.62"/>
    <m/>
    <s v="N"/>
    <n v="25"/>
    <d v="2023-07-04T19:01:04"/>
    <s v="Y"/>
    <s v="Preparation - other"/>
    <s v="Non Family Hourly Rates"/>
    <s v="Profit Cost"/>
    <s v="Adele Pinkett"/>
    <s v="Y"/>
    <n v="7.16"/>
    <n v="0"/>
    <x v="1"/>
    <s v="VALIDATED"/>
    <n v="1"/>
    <s v="01.11.80.203.6100.0000"/>
    <n v="7.16"/>
    <s v="11"/>
    <s v="6100"/>
    <n v="15019.9"/>
    <n v="7.16"/>
    <s v="CREDITOR"/>
    <n v="0"/>
    <n v="0"/>
    <n v="0"/>
    <n v="0"/>
    <n v="7.16"/>
  </r>
  <r>
    <n v="61970806"/>
    <s v="N"/>
    <n v="21321752"/>
    <s v="3000015919700005"/>
    <s v="CIVIL"/>
    <d v="2023-06-29T00:00:00"/>
    <d v="2023-07-03T19:05:17"/>
    <m/>
    <d v="2023-07-03T00:00:00"/>
    <n v="304"/>
    <n v="4447"/>
    <s v="61970806"/>
    <s v="61970806"/>
    <m/>
    <m/>
    <n v="22785298"/>
    <m/>
    <m/>
    <m/>
    <s v="SOLPOA"/>
    <s v="SOLPOA"/>
    <s v="CCMS"/>
    <n v="21321752"/>
    <n v="933.96"/>
    <m/>
    <s v="N"/>
    <n v="1"/>
    <d v="2023-07-03T19:05:20"/>
    <s v="N"/>
    <s v="Expert Cost"/>
    <s v="Expert Cost"/>
    <s v="Expert Disbursement"/>
    <s v="MLIS ltd"/>
    <s v="N"/>
    <n v="778.3"/>
    <n v="155.66"/>
    <x v="3"/>
    <s v="VALIDATED"/>
    <n v="1"/>
    <s v="01.11.80.305.2012.0000"/>
    <n v="778.3"/>
    <s v="11"/>
    <s v="2012"/>
    <n v="15019.9"/>
    <n v="778.3"/>
    <s v="CREDITOR"/>
    <n v="778.3"/>
    <n v="0"/>
    <n v="0"/>
    <n v="0"/>
    <n v="0"/>
  </r>
  <r>
    <n v="60905887"/>
    <s v="N"/>
    <n v="21328113"/>
    <s v="3000015124520001"/>
    <s v="CIVIL"/>
    <d v="2023-06-21T00:00:00"/>
    <d v="2023-07-04T19:00:44"/>
    <m/>
    <d v="2023-07-04T00:00:00"/>
    <n v="304"/>
    <n v="4447"/>
    <s v="60905887"/>
    <s v="60905887"/>
    <m/>
    <m/>
    <n v="22734090"/>
    <m/>
    <m/>
    <m/>
    <s v="SOLFIN"/>
    <s v="SOLFIN"/>
    <s v="CCMS"/>
    <n v="21328113"/>
    <n v="1934.62"/>
    <m/>
    <s v="N"/>
    <n v="1"/>
    <d v="2023-07-04T19:01:04"/>
    <s v="Y"/>
    <s v="Interpreter"/>
    <s v="Non Family Hourly Rates"/>
    <s v="Expert Disbursement"/>
    <s v="Adele Pinkett"/>
    <s v="Y"/>
    <n v="12.5"/>
    <n v="2.5"/>
    <x v="1"/>
    <s v="VALIDATED"/>
    <n v="1"/>
    <s v="01.11.80.203.6300.0000"/>
    <n v="12.5"/>
    <s v="11"/>
    <s v="6300"/>
    <n v="15019.9"/>
    <n v="12.5"/>
    <s v="CREDITOR"/>
    <n v="0"/>
    <n v="0"/>
    <n v="0"/>
    <n v="0"/>
    <n v="12.5"/>
  </r>
  <r>
    <n v="60905887"/>
    <s v="N"/>
    <n v="21328113"/>
    <s v="3000015124520001"/>
    <s v="CIVIL"/>
    <d v="2023-06-21T00:00:00"/>
    <d v="2023-07-04T19:00:44"/>
    <m/>
    <d v="2023-07-04T00:00:00"/>
    <n v="304"/>
    <n v="4447"/>
    <s v="60905887"/>
    <s v="60905887"/>
    <m/>
    <m/>
    <n v="22734090"/>
    <m/>
    <m/>
    <m/>
    <s v="SOLFIN"/>
    <s v="SOLFIN"/>
    <s v="CCMS"/>
    <n v="21328113"/>
    <n v="1934.62"/>
    <m/>
    <s v="N"/>
    <n v="19"/>
    <d v="2023-07-04T19:01:04"/>
    <s v="Y"/>
    <s v="Attendance upon other"/>
    <s v="Non Family Hourly Rates"/>
    <s v="Profit Cost"/>
    <s v="Adele Pinkett"/>
    <s v="Y"/>
    <n v="64.40000000000001"/>
    <n v="0"/>
    <x v="1"/>
    <s v="VALIDATED"/>
    <n v="1"/>
    <s v="01.11.80.203.6100.0000"/>
    <n v="64.40000000000001"/>
    <s v="11"/>
    <s v="6100"/>
    <n v="15019.9"/>
    <n v="64.40000000000001"/>
    <s v="CREDITOR"/>
    <n v="0"/>
    <n v="0"/>
    <n v="0"/>
    <n v="0"/>
    <n v="64.40000000000001"/>
  </r>
  <r>
    <n v="23687542"/>
    <s v="N"/>
    <n v="21319018"/>
    <s v="3000008814510007"/>
    <s v="CIVIL"/>
    <d v="2023-06-23T00:00:00"/>
    <d v="2023-07-03T19:01:49"/>
    <m/>
    <d v="2023-07-03T00:00:00"/>
    <n v="304"/>
    <n v="4447"/>
    <s v="23687542"/>
    <s v="23687542"/>
    <m/>
    <m/>
    <n v="22751600"/>
    <m/>
    <m/>
    <m/>
    <s v="SOLFIN"/>
    <s v="SOLFIN"/>
    <s v="CCMS"/>
    <n v="21319018"/>
    <n v="6901.59"/>
    <m/>
    <s v="N"/>
    <n v="3"/>
    <d v="2023-07-03T19:02:07"/>
    <s v="Y"/>
    <s v="Child psychologist"/>
    <s v="Public Law Children"/>
    <s v="Expert Disbursement"/>
    <s v="Jonathan Jonas"/>
    <s v="Y"/>
    <n v="167.98"/>
    <n v="33.6"/>
    <x v="3"/>
    <s v="VALIDATED"/>
    <n v="1"/>
    <s v="01.11.80.308.6300.0000"/>
    <n v="167.98"/>
    <s v="11"/>
    <s v="6300"/>
    <n v="15019.9"/>
    <n v="167.98"/>
    <s v="CREDITOR"/>
    <n v="0"/>
    <n v="0"/>
    <n v="0"/>
    <n v="0"/>
    <n v="167.98"/>
  </r>
  <r>
    <n v="10843165"/>
    <s v="N"/>
    <n v="21350077"/>
    <s v="3000006580830005"/>
    <s v="CIVIL"/>
    <d v="2023-06-19T00:00:00"/>
    <d v="2023-07-10T19:01:40"/>
    <m/>
    <d v="2023-07-10T00:00:00"/>
    <n v="304"/>
    <n v="4447"/>
    <s v="10843165"/>
    <s v="10843165"/>
    <m/>
    <m/>
    <n v="22717044"/>
    <m/>
    <m/>
    <m/>
    <s v="SOLFIN"/>
    <s v="SOLFIN"/>
    <s v="CCMS"/>
    <n v="21350077"/>
    <n v="2216.89"/>
    <m/>
    <s v="N"/>
    <n v="17"/>
    <d v="2023-07-10T19:02:12"/>
    <s v="Y"/>
    <s v="Preparation - other"/>
    <s v="Non Family Hourly Rates"/>
    <s v="Profit Cost"/>
    <s v="Alex McMahon"/>
    <s v="Y"/>
    <n v="35.78"/>
    <n v="0"/>
    <x v="2"/>
    <s v="VALIDATED"/>
    <n v="1"/>
    <s v="01.11.80.203.6100.0000"/>
    <n v="35.78"/>
    <s v="11"/>
    <s v="6100"/>
    <n v="15019.9"/>
    <n v="35.78"/>
    <s v="CREDITOR"/>
    <n v="0"/>
    <n v="0"/>
    <n v="0"/>
    <n v="0"/>
    <n v="35.78"/>
  </r>
  <r>
    <n v="10843165"/>
    <s v="N"/>
    <n v="21350077"/>
    <s v="3000006580830005"/>
    <s v="CIVIL"/>
    <d v="2023-06-19T00:00:00"/>
    <d v="2023-07-10T19:01:40"/>
    <m/>
    <d v="2023-07-10T00:00:00"/>
    <n v="304"/>
    <n v="4447"/>
    <s v="10843165"/>
    <s v="10843165"/>
    <m/>
    <m/>
    <n v="22717044"/>
    <m/>
    <m/>
    <m/>
    <s v="SOLFIN"/>
    <s v="SOLFIN"/>
    <s v="CCMS"/>
    <n v="21350077"/>
    <n v="2216.89"/>
    <m/>
    <s v="N"/>
    <n v="26"/>
    <d v="2023-07-10T19:02:12"/>
    <s v="Y"/>
    <s v="Attendance upon court"/>
    <s v="Non Family Hourly Rates"/>
    <s v="Profit Cost"/>
    <s v="Alex McMahon"/>
    <s v="Y"/>
    <n v="21.47"/>
    <n v="0"/>
    <x v="2"/>
    <s v="VALIDATED"/>
    <n v="1"/>
    <s v="01.11.80.203.6100.0000"/>
    <n v="21.47"/>
    <s v="11"/>
    <s v="6100"/>
    <n v="15019.9"/>
    <n v="21.47"/>
    <s v="CREDITOR"/>
    <n v="0"/>
    <n v="0"/>
    <n v="0"/>
    <n v="0"/>
    <n v="21.47"/>
  </r>
  <r>
    <n v="60905887"/>
    <s v="N"/>
    <n v="21328113"/>
    <s v="3000015124520001"/>
    <s v="CIVIL"/>
    <d v="2023-06-21T00:00:00"/>
    <d v="2023-07-04T19:00:44"/>
    <m/>
    <d v="2023-07-04T00:00:00"/>
    <n v="304"/>
    <n v="4447"/>
    <s v="60905887"/>
    <s v="60905887"/>
    <m/>
    <m/>
    <n v="22734090"/>
    <m/>
    <m/>
    <m/>
    <s v="SOLFIN"/>
    <s v="SOLFIN"/>
    <s v="CCMS"/>
    <n v="21328113"/>
    <n v="1934.62"/>
    <m/>
    <s v="N"/>
    <n v="24"/>
    <d v="2023-07-04T19:01:04"/>
    <s v="Y"/>
    <s v="Preparation - other"/>
    <s v="Non Family Hourly Rates"/>
    <s v="Profit Cost"/>
    <s v="Adele Pinkett"/>
    <s v="Y"/>
    <n v="32.21"/>
    <n v="0"/>
    <x v="1"/>
    <s v="VALIDATED"/>
    <n v="1"/>
    <s v="01.11.80.203.6100.0000"/>
    <n v="32.21"/>
    <s v="11"/>
    <s v="6100"/>
    <n v="15019.9"/>
    <n v="32.21"/>
    <s v="CREDITOR"/>
    <n v="0"/>
    <n v="0"/>
    <n v="0"/>
    <n v="0"/>
    <n v="32.21"/>
  </r>
  <r>
    <n v="10843165"/>
    <s v="N"/>
    <n v="21350077"/>
    <s v="3000006580830005"/>
    <s v="CIVIL"/>
    <d v="2023-06-19T00:00:00"/>
    <d v="2023-07-10T19:01:40"/>
    <m/>
    <d v="2023-07-10T00:00:00"/>
    <n v="304"/>
    <n v="4447"/>
    <s v="10843165"/>
    <s v="10843165"/>
    <m/>
    <m/>
    <n v="22717044"/>
    <m/>
    <m/>
    <m/>
    <s v="SOLFIN"/>
    <s v="SOLFIN"/>
    <s v="CCMS"/>
    <n v="21350077"/>
    <n v="2216.89"/>
    <m/>
    <s v="N"/>
    <n v="2"/>
    <d v="2023-07-10T19:02:12"/>
    <s v="Y"/>
    <s v="Interpreter"/>
    <s v="Non Family Hourly Rates"/>
    <s v="Expert Disbursement"/>
    <s v="Alex McMahon"/>
    <s v="Y"/>
    <n v="12.6"/>
    <n v="2.52"/>
    <x v="2"/>
    <s v="VALIDATED"/>
    <n v="1"/>
    <s v="01.11.80.203.6300.0000"/>
    <n v="12.6"/>
    <s v="11"/>
    <s v="6300"/>
    <n v="15019.9"/>
    <n v="12.6"/>
    <s v="CREDITOR"/>
    <n v="0"/>
    <n v="0"/>
    <n v="0"/>
    <n v="0"/>
    <n v="12.6"/>
  </r>
  <r>
    <n v="23687542"/>
    <s v="N"/>
    <n v="21319018"/>
    <s v="3000008814510007"/>
    <s v="CIVIL"/>
    <d v="2023-06-23T00:00:00"/>
    <d v="2023-07-03T19:01:49"/>
    <m/>
    <d v="2023-07-03T00:00:00"/>
    <n v="304"/>
    <n v="4447"/>
    <s v="23687542"/>
    <s v="23687542"/>
    <m/>
    <m/>
    <n v="22751600"/>
    <m/>
    <m/>
    <m/>
    <s v="SOLFIN"/>
    <s v="SOLFIN"/>
    <s v="CCMS"/>
    <n v="21319018"/>
    <n v="6901.59"/>
    <m/>
    <s v="N"/>
    <n v="6"/>
    <d v="2023-07-03T19:02:07"/>
    <s v="Y"/>
    <s v="Advocates Meeting"/>
    <s v="Public Law Children"/>
    <s v="Advocacy"/>
    <s v="Jonathan Jonas"/>
    <s v="Y"/>
    <n v="140.99"/>
    <n v="28.2"/>
    <x v="3"/>
    <s v="VALIDATED"/>
    <n v="1"/>
    <s v="01.11.80.308.6100.0000"/>
    <n v="140.99"/>
    <s v="11"/>
    <s v="6100"/>
    <n v="15019.9"/>
    <n v="140.99"/>
    <s v="CREDITOR"/>
    <n v="0"/>
    <n v="0"/>
    <n v="0"/>
    <n v="0"/>
    <n v="140.99"/>
  </r>
  <r>
    <n v="60905887"/>
    <s v="N"/>
    <n v="21328113"/>
    <s v="3000015124520001"/>
    <s v="CIVIL"/>
    <d v="2023-06-21T00:00:00"/>
    <d v="2023-07-04T19:00:44"/>
    <m/>
    <d v="2023-07-04T00:00:00"/>
    <n v="304"/>
    <n v="4447"/>
    <s v="60905887"/>
    <s v="60905887"/>
    <m/>
    <m/>
    <n v="22734090"/>
    <m/>
    <m/>
    <m/>
    <s v="SOLFIN"/>
    <s v="SOLFIN"/>
    <s v="CCMS"/>
    <n v="21328113"/>
    <n v="1934.62"/>
    <m/>
    <s v="N"/>
    <n v="3"/>
    <d v="2023-07-04T19:01:04"/>
    <s v="Y"/>
    <s v="Preparation - drafting bill/claim f"/>
    <s v="Non Family Hourly Rates"/>
    <s v="Profit Cost"/>
    <s v="Anna Van Haute"/>
    <s v="Y"/>
    <n v="143.1"/>
    <n v="0"/>
    <x v="1"/>
    <s v="VALIDATED"/>
    <n v="1"/>
    <s v="01.11.80.203.6100.0000"/>
    <n v="143.1"/>
    <s v="11"/>
    <s v="6100"/>
    <n v="15019.9"/>
    <n v="143.1"/>
    <s v="CREDITOR"/>
    <n v="0"/>
    <n v="0"/>
    <n v="0"/>
    <n v="0"/>
    <n v="143.1"/>
  </r>
  <r>
    <n v="61970806"/>
    <s v="N"/>
    <n v="21319423"/>
    <s v="3000015919700004"/>
    <s v="CIVIL"/>
    <d v="2023-06-27T00:00:00"/>
    <d v="2023-07-03T19:04:24"/>
    <m/>
    <d v="2023-07-03T00:00:00"/>
    <n v="304"/>
    <n v="4447"/>
    <s v="61970806"/>
    <s v="61970806"/>
    <m/>
    <m/>
    <n v="22770526"/>
    <m/>
    <m/>
    <m/>
    <s v="SOLPOA"/>
    <s v="SOLPOA"/>
    <s v="CCMS"/>
    <n v="21319423"/>
    <n v="4528.9"/>
    <m/>
    <s v="N"/>
    <n v="1"/>
    <d v="2023-07-03T19:04:25"/>
    <s v="N"/>
    <s v="Expert Cost"/>
    <s v="Expert Cost"/>
    <s v="Expert Disbursement"/>
    <s v="MLIS ltd"/>
    <s v="N"/>
    <n v="3774.08"/>
    <n v="754.8200000000001"/>
    <x v="3"/>
    <s v="VALIDATED"/>
    <n v="1"/>
    <s v="01.11.80.305.2012.0000"/>
    <n v="3774.08"/>
    <s v="11"/>
    <s v="2012"/>
    <n v="15019.9"/>
    <n v="3774.08"/>
    <s v="CREDITOR"/>
    <n v="3774.08"/>
    <n v="0"/>
    <n v="0"/>
    <n v="0"/>
    <n v="0"/>
  </r>
  <r>
    <n v="59640399"/>
    <s v="N"/>
    <n v="21323738"/>
    <s v="3000014036630022"/>
    <s v="CIVIL"/>
    <d v="2023-06-30T00:00:00"/>
    <d v="2023-07-03T19:05:56"/>
    <m/>
    <d v="2023-07-03T00:00:00"/>
    <n v="304"/>
    <n v="4447"/>
    <s v="59640399"/>
    <s v="59640399"/>
    <m/>
    <m/>
    <n v="22800536"/>
    <m/>
    <m/>
    <m/>
    <s v="SOLPOA"/>
    <s v="SOLPOA"/>
    <s v="CCMS"/>
    <n v="21323738"/>
    <n v="154.44"/>
    <m/>
    <s v="N"/>
    <n v="1"/>
    <d v="2023-07-03T19:05:58"/>
    <s v="N"/>
    <s v="Expert Cost"/>
    <s v="Expert Cost"/>
    <s v="Expert Disbursement"/>
    <s v="Bridget Thompson"/>
    <s v="N"/>
    <n v="128.7"/>
    <n v="25.74"/>
    <x v="3"/>
    <s v="VALIDATED"/>
    <n v="1"/>
    <s v="01.11.80.308.2012.0000"/>
    <n v="128.7"/>
    <s v="11"/>
    <s v="2012"/>
    <n v="15019.9"/>
    <n v="128.7"/>
    <s v="CREDITOR"/>
    <n v="128.7"/>
    <n v="0"/>
    <n v="0"/>
    <n v="0"/>
    <n v="0"/>
  </r>
  <r>
    <n v="60905887"/>
    <s v="N"/>
    <n v="21328113"/>
    <s v="3000015124520001"/>
    <s v="CIVIL"/>
    <d v="2023-06-21T00:00:00"/>
    <d v="2023-07-04T19:00:44"/>
    <m/>
    <d v="2023-07-04T00:00:00"/>
    <n v="304"/>
    <n v="4447"/>
    <s v="60905887"/>
    <s v="60905887"/>
    <m/>
    <m/>
    <n v="22734090"/>
    <m/>
    <m/>
    <m/>
    <s v="SOLFIN"/>
    <s v="SOLFIN"/>
    <s v="CCMS"/>
    <n v="21328113"/>
    <n v="1934.62"/>
    <m/>
    <s v="N"/>
    <n v="6"/>
    <d v="2023-07-04T19:01:04"/>
    <s v="Y"/>
    <s v="Preparation - other"/>
    <s v="Non Family Hourly Rates"/>
    <s v="Profit Cost"/>
    <s v="Adele Pinkett"/>
    <s v="Y"/>
    <n v="53.67"/>
    <n v="0"/>
    <x v="1"/>
    <s v="VALIDATED"/>
    <n v="1"/>
    <s v="01.11.80.203.6100.0000"/>
    <n v="53.67"/>
    <s v="11"/>
    <s v="6100"/>
    <n v="15019.9"/>
    <n v="53.67"/>
    <s v="CREDITOR"/>
    <n v="0"/>
    <n v="0"/>
    <n v="0"/>
    <n v="0"/>
    <n v="53.67"/>
  </r>
  <r>
    <n v="10843165"/>
    <s v="N"/>
    <n v="21350077"/>
    <s v="3000006580830005"/>
    <s v="CIVIL"/>
    <d v="2023-06-19T00:00:00"/>
    <d v="2023-07-10T19:01:40"/>
    <m/>
    <d v="2023-07-10T00:00:00"/>
    <n v="304"/>
    <n v="4447"/>
    <s v="10843165"/>
    <s v="10843165"/>
    <m/>
    <m/>
    <n v="22717044"/>
    <m/>
    <m/>
    <m/>
    <s v="SOLFIN"/>
    <s v="SOLFIN"/>
    <s v="CCMS"/>
    <n v="21350077"/>
    <n v="2216.89"/>
    <m/>
    <s v="N"/>
    <n v="5"/>
    <d v="2023-07-10T19:02:12"/>
    <s v="Y"/>
    <s v="Interpreter"/>
    <s v="Non Family Hourly Rates"/>
    <s v="Expert Disbursement"/>
    <s v="Alex McMahon"/>
    <s v="Y"/>
    <n v="12.6"/>
    <n v="2.52"/>
    <x v="2"/>
    <s v="VALIDATED"/>
    <n v="1"/>
    <s v="01.11.80.203.6300.0000"/>
    <n v="12.6"/>
    <s v="11"/>
    <s v="6300"/>
    <n v="15019.9"/>
    <n v="12.6"/>
    <s v="CREDITOR"/>
    <n v="0"/>
    <n v="0"/>
    <n v="0"/>
    <n v="0"/>
    <n v="12.6"/>
  </r>
  <r>
    <n v="10312268"/>
    <s v="N"/>
    <n v="21349298"/>
    <s v="3000006169300005"/>
    <s v="CIVIL"/>
    <d v="2023-06-16T00:00:00"/>
    <d v="2023-07-10T19:01:40"/>
    <m/>
    <d v="2023-07-10T00:00:00"/>
    <n v="304"/>
    <n v="4447"/>
    <s v="10312268"/>
    <s v="10312268"/>
    <m/>
    <m/>
    <n v="22706222"/>
    <m/>
    <m/>
    <m/>
    <s v="SOLFIN"/>
    <s v="SOLFIN"/>
    <s v="CCMS"/>
    <n v="21349298"/>
    <n v="0"/>
    <m/>
    <s v="N"/>
    <n v="1"/>
    <d v="2023-07-10T19:01:46"/>
    <s v="N"/>
    <s v="NIL BILL"/>
    <s v="Non Family Hourly Rates"/>
    <s v="Profit Cost"/>
    <s v="Alex Panayi"/>
    <s v="N"/>
    <n v="0"/>
    <n v="0"/>
    <x v="2"/>
    <s v="VALIDATED"/>
    <n v="1"/>
    <s v="01.11.80.208.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24"/>
    <d v="2023-07-10T19:02:12"/>
    <s v="Y"/>
    <s v="Attendance upon other"/>
    <s v="Non Family Hourly Rates"/>
    <s v="Profit Cost"/>
    <s v="Alex McMahon"/>
    <s v="Y"/>
    <n v="28.62"/>
    <n v="0"/>
    <x v="2"/>
    <s v="VALIDATED"/>
    <n v="1"/>
    <s v="01.11.80.203.6100.0000"/>
    <n v="28.62"/>
    <s v="11"/>
    <s v="6100"/>
    <n v="15019.9"/>
    <n v="28.62"/>
    <s v="CREDITOR"/>
    <n v="0"/>
    <n v="0"/>
    <n v="0"/>
    <n v="0"/>
    <n v="28.62"/>
  </r>
  <r>
    <n v="60905887"/>
    <s v="N"/>
    <n v="21328113"/>
    <s v="3000015124520001"/>
    <s v="CIVIL"/>
    <d v="2023-06-21T00:00:00"/>
    <d v="2023-07-04T19:00:44"/>
    <m/>
    <d v="2023-07-04T00:00:00"/>
    <n v="304"/>
    <n v="4447"/>
    <s v="60905887"/>
    <s v="60905887"/>
    <m/>
    <m/>
    <n v="22734090"/>
    <m/>
    <m/>
    <m/>
    <s v="SOLFIN"/>
    <s v="SOLFIN"/>
    <s v="CCMS"/>
    <n v="21328113"/>
    <n v="1934.62"/>
    <m/>
    <s v="N"/>
    <n v="31"/>
    <d v="2023-07-04T19:01:04"/>
    <s v="Y"/>
    <s v="Routine Telephone Call"/>
    <s v="Non Family Hourly Rates"/>
    <s v="Profit Cost"/>
    <s v="Adele Pinkett"/>
    <s v="Y"/>
    <n v="33.66"/>
    <n v="0"/>
    <x v="1"/>
    <s v="VALIDATED"/>
    <n v="1"/>
    <s v="01.11.80.203.6100.0000"/>
    <n v="33.66"/>
    <s v="11"/>
    <s v="6100"/>
    <n v="15019.9"/>
    <n v="33.66"/>
    <s v="CREDITOR"/>
    <n v="0"/>
    <n v="0"/>
    <n v="0"/>
    <n v="0"/>
    <n v="33.66"/>
  </r>
  <r>
    <n v="60848285"/>
    <s v="N"/>
    <n v="21327920"/>
    <s v="3000015074040007"/>
    <s v="CIVIL"/>
    <d v="2023-06-23T00:00:00"/>
    <d v="2023-07-04T19:00:44"/>
    <m/>
    <d v="2023-07-04T00:00:00"/>
    <n v="304"/>
    <n v="4447"/>
    <s v="60848285"/>
    <s v="60848285"/>
    <m/>
    <m/>
    <n v="22751766"/>
    <m/>
    <m/>
    <m/>
    <s v="SOLFIN"/>
    <s v="SOLFIN"/>
    <s v="CCMS"/>
    <n v="21327920"/>
    <n v="5085.47"/>
    <m/>
    <s v="N"/>
    <n v="3"/>
    <d v="2023-07-04T19:00:58"/>
    <s v="Y"/>
    <s v="Advocates Meeting"/>
    <s v="Public Law Children"/>
    <s v="Advocacy"/>
    <s v="Simone McGrath"/>
    <s v="Y"/>
    <n v="140.99"/>
    <n v="28.2"/>
    <x v="1"/>
    <s v="VALIDATED"/>
    <n v="1"/>
    <s v="01.11.80.308.6100.0000"/>
    <n v="140.99"/>
    <s v="11"/>
    <s v="6100"/>
    <n v="15019.9"/>
    <n v="140.99"/>
    <s v="CREDITOR"/>
    <n v="0"/>
    <n v="0"/>
    <n v="0"/>
    <n v="0"/>
    <n v="140.99"/>
  </r>
  <r>
    <n v="61495377"/>
    <s v="N"/>
    <n v="21322174"/>
    <s v="3000015619650008"/>
    <s v="CIVIL"/>
    <d v="2023-06-29T00:00:00"/>
    <d v="2023-07-03T19:05:17"/>
    <m/>
    <d v="2023-07-03T00:00:00"/>
    <n v="304"/>
    <n v="4447"/>
    <s v="61495377"/>
    <s v="61495377"/>
    <m/>
    <m/>
    <n v="22785596"/>
    <m/>
    <m/>
    <m/>
    <s v="SOLPOA"/>
    <s v="SOLPOA"/>
    <s v="CCMS"/>
    <n v="21322174"/>
    <n v="84.23999999999999"/>
    <m/>
    <s v="N"/>
    <n v="1"/>
    <d v="2023-07-03T19:05:22"/>
    <s v="N"/>
    <s v="Expert Cost"/>
    <s v="Expert Cost"/>
    <s v="Expert Disbursement"/>
    <s v="DGA"/>
    <s v="N"/>
    <n v="70.2"/>
    <n v="14.04"/>
    <x v="3"/>
    <s v="VALIDATED"/>
    <n v="1"/>
    <s v="01.11.80.308.2012.0000"/>
    <n v="70.2"/>
    <s v="11"/>
    <s v="2012"/>
    <n v="15019.9"/>
    <n v="70.2"/>
    <s v="CREDITOR"/>
    <n v="70.2"/>
    <n v="0"/>
    <n v="0"/>
    <n v="0"/>
    <n v="0"/>
  </r>
  <r>
    <n v="10843165"/>
    <s v="N"/>
    <n v="21350077"/>
    <s v="3000006580830005"/>
    <s v="CIVIL"/>
    <d v="2023-06-19T00:00:00"/>
    <d v="2023-07-10T19:01:40"/>
    <m/>
    <d v="2023-07-10T00:00:00"/>
    <n v="304"/>
    <n v="4447"/>
    <s v="10843165"/>
    <s v="10843165"/>
    <m/>
    <m/>
    <n v="22717044"/>
    <m/>
    <m/>
    <m/>
    <s v="SOLFIN"/>
    <s v="SOLFIN"/>
    <s v="CCMS"/>
    <n v="21350077"/>
    <n v="2216.89"/>
    <m/>
    <s v="N"/>
    <n v="21"/>
    <d v="2023-07-10T19:02:12"/>
    <s v="N"/>
    <s v="Preparation - other"/>
    <s v="Non Family Hourly Rates"/>
    <s v="Profit Cost"/>
    <s v="Alex McMahon"/>
    <s v="N"/>
    <n v="0"/>
    <n v="0"/>
    <x v="2"/>
    <s v="VALIDATED"/>
    <n v="1"/>
    <s v="01.11.80.203.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27"/>
    <d v="2023-07-10T19:02:12"/>
    <s v="N"/>
    <s v="Preparation - other"/>
    <s v="Non Family Hourly Rates"/>
    <s v="Profit Cost"/>
    <s v="Alex McMahon"/>
    <s v="N"/>
    <n v="0"/>
    <n v="0"/>
    <x v="2"/>
    <s v="VALIDATED"/>
    <n v="1"/>
    <s v="01.11.80.203.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6"/>
    <d v="2023-07-10T19:02:12"/>
    <s v="Y"/>
    <s v="Expert - Other"/>
    <s v="Non Family Hourly Rates"/>
    <s v="Expert Disbursement"/>
    <s v="Alex McMahon"/>
    <s v="Y"/>
    <n v="148.03"/>
    <n v="29.61"/>
    <x v="2"/>
    <s v="VALIDATED"/>
    <n v="1"/>
    <s v="01.11.80.203.6300.0000"/>
    <n v="148.03"/>
    <s v="11"/>
    <s v="6300"/>
    <n v="15019.9"/>
    <n v="148.03"/>
    <s v="CREDITOR"/>
    <n v="0"/>
    <n v="0"/>
    <n v="0"/>
    <n v="0"/>
    <n v="148.03"/>
  </r>
  <r>
    <n v="10843165"/>
    <s v="N"/>
    <n v="21350077"/>
    <s v="3000006580830005"/>
    <s v="CIVIL"/>
    <d v="2023-06-19T00:00:00"/>
    <d v="2023-07-10T19:01:40"/>
    <m/>
    <d v="2023-07-10T00:00:00"/>
    <n v="304"/>
    <n v="4447"/>
    <s v="10843165"/>
    <s v="10843165"/>
    <m/>
    <m/>
    <n v="22717044"/>
    <m/>
    <m/>
    <m/>
    <s v="SOLFIN"/>
    <s v="SOLFIN"/>
    <s v="CCMS"/>
    <n v="21350077"/>
    <n v="2216.89"/>
    <m/>
    <s v="N"/>
    <n v="37"/>
    <d v="2023-07-10T19:02:12"/>
    <s v="N"/>
    <s v="Preparation - other"/>
    <s v="Non Family Hourly Rates"/>
    <s v="Profit Cost"/>
    <s v="Alex McMahon"/>
    <s v="N"/>
    <n v="0"/>
    <n v="0"/>
    <x v="2"/>
    <s v="VALIDATED"/>
    <n v="1"/>
    <s v="01.11.80.203.6100.0000"/>
    <n v="0"/>
    <s v="11"/>
    <s v="6100"/>
    <n v="15019.9"/>
    <n v="0"/>
    <s v="CREDITOR"/>
    <n v="0"/>
    <n v="0"/>
    <n v="0"/>
    <n v="0"/>
    <n v="0"/>
  </r>
  <r>
    <n v="60848285"/>
    <s v="N"/>
    <n v="21327920"/>
    <s v="3000015074040007"/>
    <s v="CIVIL"/>
    <d v="2023-06-23T00:00:00"/>
    <d v="2023-07-04T19:00:44"/>
    <m/>
    <d v="2023-07-04T00:00:00"/>
    <n v="304"/>
    <n v="4447"/>
    <s v="60848285"/>
    <s v="60848285"/>
    <m/>
    <m/>
    <n v="22751766"/>
    <m/>
    <m/>
    <m/>
    <s v="SOLFIN"/>
    <s v="SOLFIN"/>
    <s v="CCMS"/>
    <n v="21327920"/>
    <n v="5085.47"/>
    <m/>
    <s v="N"/>
    <n v="4"/>
    <d v="2023-07-04T19:00:58"/>
    <s v="Y"/>
    <s v="Solicitors Fixed Fee"/>
    <s v="Public Law Children"/>
    <s v="Profit Cost"/>
    <s v="Simone McGrath"/>
    <s v="Y"/>
    <n v="2616"/>
    <n v="523.2"/>
    <x v="1"/>
    <s v="VALIDATED"/>
    <n v="1"/>
    <s v="01.11.80.308.6100.0000"/>
    <n v="2616"/>
    <s v="11"/>
    <s v="6100"/>
    <n v="15019.9"/>
    <n v="2616"/>
    <s v="CREDITOR"/>
    <n v="0"/>
    <n v="0"/>
    <n v="0"/>
    <n v="0"/>
    <n v="2616"/>
  </r>
  <r>
    <n v="60905887"/>
    <s v="N"/>
    <n v="21328113"/>
    <s v="3000015124520001"/>
    <s v="CIVIL"/>
    <d v="2023-06-21T00:00:00"/>
    <d v="2023-07-04T19:00:44"/>
    <m/>
    <d v="2023-07-04T00:00:00"/>
    <n v="304"/>
    <n v="4447"/>
    <s v="60905887"/>
    <s v="60905887"/>
    <m/>
    <m/>
    <n v="22734090"/>
    <m/>
    <m/>
    <m/>
    <s v="SOLFIN"/>
    <s v="SOLFIN"/>
    <s v="CCMS"/>
    <n v="21328113"/>
    <n v="1934.62"/>
    <m/>
    <s v="N"/>
    <n v="14"/>
    <d v="2023-07-04T19:01:04"/>
    <s v="Y"/>
    <s v="Attendance upon other"/>
    <s v="Non Family Hourly Rates"/>
    <s v="Profit Cost"/>
    <s v="Adele Pinkett"/>
    <s v="Y"/>
    <n v="7.16"/>
    <n v="0"/>
    <x v="1"/>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15"/>
    <d v="2023-07-10T19:02:12"/>
    <s v="Y"/>
    <s v="Interpreter"/>
    <s v="Non Family Hourly Rates"/>
    <s v="Expert Disbursement"/>
    <s v="Alex McMahon"/>
    <s v="Y"/>
    <n v="12.6"/>
    <n v="2.52"/>
    <x v="2"/>
    <s v="VALIDATED"/>
    <n v="1"/>
    <s v="01.11.80.203.6300.0000"/>
    <n v="12.6"/>
    <s v="11"/>
    <s v="6300"/>
    <n v="15019.9"/>
    <n v="12.6"/>
    <s v="CREDITOR"/>
    <n v="0"/>
    <n v="0"/>
    <n v="0"/>
    <n v="0"/>
    <n v="12.6"/>
  </r>
  <r>
    <n v="16190558"/>
    <s v="N"/>
    <n v="21339866"/>
    <s v="3000007710190001RC"/>
    <s v="CIVIL"/>
    <d v="2023-06-27T00:00:00"/>
    <d v="2023-07-06T19:54:22"/>
    <m/>
    <d v="2023-07-06T00:00:00"/>
    <n v="304"/>
    <n v="4447"/>
    <s v="16190558"/>
    <s v="16190558"/>
    <m/>
    <m/>
    <m/>
    <m/>
    <m/>
    <m/>
    <s v="SOLRECOUP"/>
    <s v="SOLRECOUP"/>
    <s v="POARECOUP"/>
    <n v="21339866"/>
    <n v="-622.2"/>
    <m/>
    <s v="Y"/>
    <n v="1"/>
    <d v="2023-07-06T19:54:22"/>
    <s v="N"/>
    <m/>
    <m/>
    <s v="Expert Disbursement"/>
    <m/>
    <s v="N"/>
    <n v="-518.5"/>
    <n v="0"/>
    <x v="4"/>
    <s v="VALIDATED"/>
    <n v="1"/>
    <s v="01.11.80.208.2013.0000"/>
    <n v="-518.5"/>
    <s v="11"/>
    <s v="2013"/>
    <n v="15019.9"/>
    <n v="-518.5"/>
    <s v="CREDITOR"/>
    <n v="0"/>
    <n v="0"/>
    <n v="-518.5"/>
    <n v="0"/>
    <n v="0"/>
  </r>
  <r>
    <n v="16190558"/>
    <s v="N"/>
    <n v="21339866"/>
    <s v="3000007710190001RC"/>
    <s v="CIVIL"/>
    <d v="2023-06-27T00:00:00"/>
    <d v="2023-07-06T19:54:22"/>
    <m/>
    <d v="2023-07-06T00:00:00"/>
    <n v="304"/>
    <n v="4447"/>
    <s v="16190558"/>
    <s v="16190558"/>
    <m/>
    <m/>
    <m/>
    <m/>
    <m/>
    <m/>
    <s v="SOLRECOUP"/>
    <s v="SOLRECOUP"/>
    <s v="POARECOUP"/>
    <n v="21339866"/>
    <n v="-622.2"/>
    <m/>
    <s v="Y"/>
    <n v="2"/>
    <d v="2023-07-06T19:54:22"/>
    <s v="N"/>
    <m/>
    <m/>
    <s v="Expert Disbursement"/>
    <m/>
    <s v="N"/>
    <n v="0"/>
    <n v="-103.7"/>
    <x v="4"/>
    <s v="VALIDATED"/>
    <n v="1"/>
    <s v="01.11.80.208.2013.0000"/>
    <n v="-103.7"/>
    <s v="11"/>
    <s v="2013"/>
    <n v="15019.9"/>
    <n v="-103.7"/>
    <s v="CREDITOR"/>
    <n v="0"/>
    <n v="0"/>
    <n v="-103.7"/>
    <n v="0"/>
    <n v="0"/>
  </r>
  <r>
    <n v="16190558"/>
    <s v="N"/>
    <n v="21339867"/>
    <s v="3000007710190003RC"/>
    <s v="CIVIL"/>
    <d v="2023-06-27T00:00:00"/>
    <d v="2023-07-06T19:54:22"/>
    <m/>
    <d v="2023-07-06T00:00:00"/>
    <n v="304"/>
    <n v="4447"/>
    <s v="16190558"/>
    <s v="16190558"/>
    <m/>
    <m/>
    <m/>
    <m/>
    <m/>
    <m/>
    <s v="SOLRECOUP"/>
    <s v="SOLRECOUP"/>
    <s v="POARECOUP"/>
    <n v="21339867"/>
    <n v="-735.53"/>
    <m/>
    <s v="Y"/>
    <n v="1"/>
    <d v="2023-07-06T19:54:22"/>
    <s v="N"/>
    <m/>
    <m/>
    <s v="Profit Cost"/>
    <m/>
    <s v="N"/>
    <n v="-612.9400000000001"/>
    <n v="0"/>
    <x v="4"/>
    <s v="VALIDATED"/>
    <n v="1"/>
    <s v="01.11.80.208.2013.0000"/>
    <n v="-612.9400000000001"/>
    <s v="11"/>
    <s v="2013"/>
    <n v="15019.9"/>
    <n v="-612.9400000000001"/>
    <s v="CREDITOR"/>
    <n v="0"/>
    <n v="0"/>
    <n v="-612.9400000000001"/>
    <n v="-153.235"/>
    <n v="0"/>
  </r>
  <r>
    <n v="16190558"/>
    <s v="N"/>
    <n v="21339867"/>
    <s v="3000007710190003RC"/>
    <s v="CIVIL"/>
    <d v="2023-06-27T00:00:00"/>
    <d v="2023-07-06T19:54:22"/>
    <m/>
    <d v="2023-07-06T00:00:00"/>
    <n v="304"/>
    <n v="4447"/>
    <s v="16190558"/>
    <s v="16190558"/>
    <m/>
    <m/>
    <m/>
    <m/>
    <m/>
    <m/>
    <s v="SOLRECOUP"/>
    <s v="SOLRECOUP"/>
    <s v="POARECOUP"/>
    <n v="21339867"/>
    <n v="-735.53"/>
    <m/>
    <s v="Y"/>
    <n v="2"/>
    <d v="2023-07-06T19:54:22"/>
    <s v="N"/>
    <m/>
    <m/>
    <s v="Profit Cost"/>
    <m/>
    <s v="N"/>
    <n v="0"/>
    <n v="-122.59"/>
    <x v="4"/>
    <s v="VALIDATED"/>
    <n v="1"/>
    <s v="01.11.80.208.2013.0000"/>
    <n v="-122.59"/>
    <s v="11"/>
    <s v="2013"/>
    <n v="15019.9"/>
    <n v="-122.59"/>
    <s v="CREDITOR"/>
    <n v="0"/>
    <n v="0"/>
    <n v="-122.59"/>
    <n v="-30.6475"/>
    <n v="0"/>
  </r>
  <r>
    <n v="60848285"/>
    <s v="N"/>
    <n v="21328580"/>
    <s v="3000015074040003RC"/>
    <s v="CIVIL"/>
    <d v="2023-06-23T00:00:00"/>
    <d v="2023-07-04T19:38:21"/>
    <m/>
    <d v="2023-07-04T00:00:00"/>
    <n v="304"/>
    <n v="4447"/>
    <s v="60848285"/>
    <s v="60848285"/>
    <m/>
    <m/>
    <m/>
    <m/>
    <m/>
    <m/>
    <s v="SOLRECOUP"/>
    <s v="SOLRECOUP"/>
    <s v="POARECOUP"/>
    <n v="21328580"/>
    <n v="-1077.3"/>
    <m/>
    <s v="Y"/>
    <n v="1"/>
    <d v="2023-07-04T19:38:22"/>
    <s v="N"/>
    <m/>
    <m/>
    <s v="Expert Disbursement"/>
    <m/>
    <s v="N"/>
    <n v="-897.75"/>
    <n v="0"/>
    <x v="1"/>
    <s v="VALIDATED"/>
    <n v="1"/>
    <s v="01.11.80.308.2013.0000"/>
    <n v="-897.75"/>
    <s v="11"/>
    <s v="2013"/>
    <n v="15019.9"/>
    <n v="-897.75"/>
    <s v="CREDITOR"/>
    <n v="0"/>
    <n v="0"/>
    <n v="-897.75"/>
    <n v="0"/>
    <n v="0"/>
  </r>
  <r>
    <n v="60848285"/>
    <s v="N"/>
    <n v="21328580"/>
    <s v="3000015074040003RC"/>
    <s v="CIVIL"/>
    <d v="2023-06-23T00:00:00"/>
    <d v="2023-07-04T19:38:21"/>
    <m/>
    <d v="2023-07-04T00:00:00"/>
    <n v="304"/>
    <n v="4447"/>
    <s v="60848285"/>
    <s v="60848285"/>
    <m/>
    <m/>
    <m/>
    <m/>
    <m/>
    <m/>
    <s v="SOLRECOUP"/>
    <s v="SOLRECOUP"/>
    <s v="POARECOUP"/>
    <n v="21328580"/>
    <n v="-1077.3"/>
    <m/>
    <s v="Y"/>
    <n v="2"/>
    <d v="2023-07-04T19:38:22"/>
    <s v="N"/>
    <m/>
    <m/>
    <s v="Expert Disbursement"/>
    <m/>
    <s v="N"/>
    <n v="0"/>
    <n v="-179.55"/>
    <x v="1"/>
    <s v="VALIDATED"/>
    <n v="1"/>
    <s v="01.11.80.308.2013.0000"/>
    <n v="-179.55"/>
    <s v="11"/>
    <s v="2013"/>
    <n v="15019.9"/>
    <n v="-179.55"/>
    <s v="CREDITOR"/>
    <n v="0"/>
    <n v="0"/>
    <n v="-179.55"/>
    <n v="0"/>
    <n v="0"/>
  </r>
  <r>
    <n v="60848285"/>
    <s v="N"/>
    <n v="21328581"/>
    <s v="3000015074040004RC"/>
    <s v="CIVIL"/>
    <d v="2023-06-23T00:00:00"/>
    <d v="2023-07-04T19:38:21"/>
    <m/>
    <d v="2023-07-04T00:00:00"/>
    <n v="304"/>
    <n v="4447"/>
    <s v="60848285"/>
    <s v="60848285"/>
    <m/>
    <m/>
    <m/>
    <m/>
    <m/>
    <m/>
    <s v="SOLRECOUP"/>
    <s v="SOLRECOUP"/>
    <s v="POARECOUP"/>
    <n v="21328581"/>
    <n v="-699.78"/>
    <m/>
    <s v="Y"/>
    <n v="1"/>
    <d v="2023-07-04T19:38:22"/>
    <s v="N"/>
    <m/>
    <m/>
    <s v="Expert Disbursement"/>
    <m/>
    <s v="N"/>
    <n v="-583.15"/>
    <n v="0"/>
    <x v="1"/>
    <s v="VALIDATED"/>
    <n v="1"/>
    <s v="01.11.80.308.2013.0000"/>
    <n v="-583.15"/>
    <s v="11"/>
    <s v="2013"/>
    <n v="15019.9"/>
    <n v="-583.15"/>
    <s v="CREDITOR"/>
    <n v="0"/>
    <n v="0"/>
    <n v="-583.15"/>
    <n v="0"/>
    <n v="0"/>
  </r>
  <r>
    <n v="60848285"/>
    <s v="N"/>
    <n v="21328581"/>
    <s v="3000015074040004RC"/>
    <s v="CIVIL"/>
    <d v="2023-06-23T00:00:00"/>
    <d v="2023-07-04T19:38:21"/>
    <m/>
    <d v="2023-07-04T00:00:00"/>
    <n v="304"/>
    <n v="4447"/>
    <s v="60848285"/>
    <s v="60848285"/>
    <m/>
    <m/>
    <m/>
    <m/>
    <m/>
    <m/>
    <s v="SOLRECOUP"/>
    <s v="SOLRECOUP"/>
    <s v="POARECOUP"/>
    <n v="21328581"/>
    <n v="-699.78"/>
    <m/>
    <s v="Y"/>
    <n v="2"/>
    <d v="2023-07-04T19:38:22"/>
    <s v="N"/>
    <m/>
    <m/>
    <s v="Expert Disbursement"/>
    <m/>
    <s v="N"/>
    <n v="0"/>
    <n v="-116.63"/>
    <x v="1"/>
    <s v="VALIDATED"/>
    <n v="1"/>
    <s v="01.11.80.308.2013.0000"/>
    <n v="-116.63"/>
    <s v="11"/>
    <s v="2013"/>
    <n v="15019.9"/>
    <n v="-116.63"/>
    <s v="CREDITOR"/>
    <n v="0"/>
    <n v="0"/>
    <n v="-116.63"/>
    <n v="0"/>
    <n v="0"/>
  </r>
  <r>
    <n v="23687542"/>
    <s v="N"/>
    <n v="21324256"/>
    <s v="3000008814510006RC"/>
    <s v="CIVIL"/>
    <d v="2023-06-23T00:00:00"/>
    <d v="2023-07-03T19:42:50"/>
    <m/>
    <d v="2023-07-03T00:00:00"/>
    <n v="304"/>
    <n v="4447"/>
    <s v="23687542"/>
    <s v="23687542"/>
    <m/>
    <m/>
    <m/>
    <m/>
    <m/>
    <m/>
    <s v="SOLRECOUP"/>
    <s v="SOLRECOUP"/>
    <s v="POARECOUP"/>
    <n v="21324256"/>
    <n v="-564.42"/>
    <m/>
    <s v="Y"/>
    <n v="1"/>
    <d v="2023-07-03T19:42:50"/>
    <s v="N"/>
    <m/>
    <m/>
    <s v="Expert Disbursement"/>
    <m/>
    <s v="N"/>
    <n v="-470.35"/>
    <n v="0"/>
    <x v="3"/>
    <s v="VALIDATED"/>
    <n v="1"/>
    <s v="01.11.80.308.2013.0000"/>
    <n v="-470.35"/>
    <s v="11"/>
    <s v="2013"/>
    <n v="15019.9"/>
    <n v="-470.35"/>
    <s v="CREDITOR"/>
    <n v="0"/>
    <n v="0"/>
    <n v="-470.35"/>
    <n v="0"/>
    <n v="0"/>
  </r>
  <r>
    <n v="10843165"/>
    <s v="N"/>
    <n v="21350077"/>
    <s v="3000006580830005"/>
    <s v="CIVIL"/>
    <d v="2023-06-19T00:00:00"/>
    <d v="2023-07-10T19:01:40"/>
    <m/>
    <d v="2023-07-10T00:00:00"/>
    <n v="304"/>
    <n v="4447"/>
    <s v="10843165"/>
    <s v="10843165"/>
    <m/>
    <m/>
    <n v="22717044"/>
    <m/>
    <m/>
    <m/>
    <s v="SOLFIN"/>
    <s v="SOLFIN"/>
    <s v="CCMS"/>
    <n v="21350077"/>
    <n v="2216.89"/>
    <m/>
    <s v="N"/>
    <n v="22"/>
    <d v="2023-07-10T19:02:12"/>
    <s v="N"/>
    <s v="Preparation - other"/>
    <s v="Non Family Hourly Rates"/>
    <s v="Profit Cost"/>
    <s v="Alex McMahon"/>
    <s v="N"/>
    <n v="0"/>
    <n v="0"/>
    <x v="2"/>
    <s v="VALIDATED"/>
    <n v="1"/>
    <s v="01.11.80.203.6100.0000"/>
    <n v="0"/>
    <s v="11"/>
    <s v="6100"/>
    <n v="15019.9"/>
    <n v="0"/>
    <s v="CREDITOR"/>
    <n v="0"/>
    <n v="0"/>
    <n v="0"/>
    <n v="0"/>
    <n v="0"/>
  </r>
  <r>
    <n v="60905887"/>
    <s v="N"/>
    <n v="21328113"/>
    <s v="3000015124520001"/>
    <s v="CIVIL"/>
    <d v="2023-06-21T00:00:00"/>
    <d v="2023-07-04T19:00:44"/>
    <m/>
    <d v="2023-07-04T00:00:00"/>
    <n v="304"/>
    <n v="4447"/>
    <s v="60905887"/>
    <s v="60905887"/>
    <m/>
    <m/>
    <n v="22734090"/>
    <m/>
    <m/>
    <m/>
    <s v="SOLFIN"/>
    <s v="SOLFIN"/>
    <s v="CCMS"/>
    <n v="21328113"/>
    <n v="1934.62"/>
    <m/>
    <s v="N"/>
    <n v="20"/>
    <d v="2023-07-04T19:01:04"/>
    <s v="Y"/>
    <s v="Preparation - other"/>
    <s v="Non Family Hourly Rates"/>
    <s v="Profit Cost"/>
    <s v="Adele Pinkett"/>
    <s v="Y"/>
    <n v="7.16"/>
    <n v="0"/>
    <x v="1"/>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3"/>
    <d v="2023-07-10T19:02:12"/>
    <s v="Y"/>
    <s v="Court Fee"/>
    <s v="Non Family Hourly Rates"/>
    <s v="Non Expert Disbursement"/>
    <s v="Alex McMahon"/>
    <s v="Y"/>
    <n v="154"/>
    <n v="0"/>
    <x v="2"/>
    <s v="VALIDATED"/>
    <n v="1"/>
    <s v="01.11.80.203.6300.0000"/>
    <n v="154"/>
    <s v="11"/>
    <s v="6300"/>
    <n v="15019.9"/>
    <n v="154"/>
    <s v="CREDITOR"/>
    <n v="0"/>
    <n v="0"/>
    <n v="0"/>
    <n v="0"/>
    <n v="154"/>
  </r>
  <r>
    <n v="10843165"/>
    <s v="N"/>
    <n v="21350077"/>
    <s v="3000006580830005"/>
    <s v="CIVIL"/>
    <d v="2023-06-19T00:00:00"/>
    <d v="2023-07-10T19:01:40"/>
    <m/>
    <d v="2023-07-10T00:00:00"/>
    <n v="304"/>
    <n v="4447"/>
    <s v="10843165"/>
    <s v="10843165"/>
    <m/>
    <m/>
    <n v="22717044"/>
    <m/>
    <m/>
    <m/>
    <s v="SOLFIN"/>
    <s v="SOLFIN"/>
    <s v="CCMS"/>
    <n v="21350077"/>
    <n v="2216.89"/>
    <m/>
    <s v="N"/>
    <n v="4"/>
    <d v="2023-07-10T19:02:12"/>
    <s v="Y"/>
    <s v="Expert - Other"/>
    <s v="Non Family Hourly Rates"/>
    <s v="Expert Disbursement"/>
    <s v="Alex McMahon"/>
    <s v="Y"/>
    <n v="192.05"/>
    <n v="38.41"/>
    <x v="2"/>
    <s v="VALIDATED"/>
    <n v="1"/>
    <s v="01.11.80.203.6300.0000"/>
    <n v="192.05"/>
    <s v="11"/>
    <s v="6300"/>
    <n v="15019.9"/>
    <n v="192.05"/>
    <s v="CREDITOR"/>
    <n v="0"/>
    <n v="0"/>
    <n v="0"/>
    <n v="0"/>
    <n v="192.05"/>
  </r>
  <r>
    <n v="10843165"/>
    <s v="N"/>
    <n v="21350077"/>
    <s v="3000006580830005"/>
    <s v="CIVIL"/>
    <d v="2023-06-19T00:00:00"/>
    <d v="2023-07-10T19:01:40"/>
    <m/>
    <d v="2023-07-10T00:00:00"/>
    <n v="304"/>
    <n v="4447"/>
    <s v="10843165"/>
    <s v="10843165"/>
    <m/>
    <m/>
    <n v="22717044"/>
    <m/>
    <m/>
    <m/>
    <s v="SOLFIN"/>
    <s v="SOLFIN"/>
    <s v="CCMS"/>
    <n v="21350077"/>
    <n v="2216.89"/>
    <m/>
    <s v="N"/>
    <n v="19"/>
    <d v="2023-07-10T19:02:12"/>
    <s v="Y"/>
    <s v="Preparation - drafting bill/claim f"/>
    <s v="Non Family Hourly Rates"/>
    <s v="Profit Cost"/>
    <s v="Anna Van Haute"/>
    <s v="Y"/>
    <n v="143.1"/>
    <n v="0"/>
    <x v="2"/>
    <s v="VALIDATED"/>
    <n v="1"/>
    <s v="01.11.80.203.6100.0000"/>
    <n v="143.1"/>
    <s v="11"/>
    <s v="6100"/>
    <n v="15019.9"/>
    <n v="143.1"/>
    <s v="CREDITOR"/>
    <n v="0"/>
    <n v="0"/>
    <n v="0"/>
    <n v="0"/>
    <n v="143.1"/>
  </r>
  <r>
    <n v="16190558"/>
    <s v="N"/>
    <n v="21338522"/>
    <s v="3000007710190004"/>
    <s v="CIVIL"/>
    <d v="2023-06-27T00:00:00"/>
    <d v="2023-07-06T19:21:01"/>
    <m/>
    <d v="2023-07-06T00:00:00"/>
    <n v="304"/>
    <n v="4447"/>
    <s v="16190558"/>
    <s v="16190558"/>
    <m/>
    <m/>
    <n v="22770382"/>
    <m/>
    <m/>
    <m/>
    <s v="SOLFIN"/>
    <s v="SOLFIN"/>
    <s v="CCMS"/>
    <n v="21338522"/>
    <n v="0"/>
    <m/>
    <s v="N"/>
    <n v="1"/>
    <d v="2023-07-06T19:21:27"/>
    <s v="N"/>
    <s v="NIL BILL"/>
    <s v="Non Family Hourly Rates"/>
    <s v="Profit Cost"/>
    <s v="Muna Adam"/>
    <s v="N"/>
    <n v="0"/>
    <n v="0"/>
    <x v="4"/>
    <s v="VALIDATED"/>
    <n v="1"/>
    <s v="01.11.80.208.6100.0000"/>
    <n v="0"/>
    <s v="11"/>
    <s v="6100"/>
    <n v="15019.9"/>
    <n v="0"/>
    <s v="CREDITOR"/>
    <n v="0"/>
    <n v="0"/>
    <n v="0"/>
    <n v="0"/>
    <n v="0"/>
  </r>
  <r>
    <n v="61590532"/>
    <s v="N"/>
    <n v="21318446"/>
    <s v="3000015699230007"/>
    <s v="CIVIL"/>
    <d v="2023-06-23T00:00:00"/>
    <d v="2023-07-03T19:01:49"/>
    <m/>
    <d v="2023-07-03T00:00:00"/>
    <n v="304"/>
    <n v="4447"/>
    <s v="61590532"/>
    <s v="61590532"/>
    <m/>
    <m/>
    <n v="22748676"/>
    <m/>
    <m/>
    <m/>
    <s v="SOLFIN"/>
    <s v="SOLFIN"/>
    <s v="CCMS"/>
    <n v="21318446"/>
    <n v="4522.38"/>
    <m/>
    <s v="N"/>
    <n v="4"/>
    <d v="2023-07-03T19:01:56"/>
    <s v="Y"/>
    <s v="Court Fee"/>
    <s v="Public Law Children"/>
    <s v="Non Expert Disbursement"/>
    <s v="HMCTS"/>
    <s v="Y"/>
    <n v="167"/>
    <n v="0"/>
    <x v="3"/>
    <s v="VALIDATED"/>
    <n v="1"/>
    <s v="01.11.80.308.6300.0000"/>
    <n v="167"/>
    <s v="11"/>
    <s v="6300"/>
    <n v="15019.9"/>
    <n v="167"/>
    <s v="CREDITOR"/>
    <n v="0"/>
    <n v="0"/>
    <n v="0"/>
    <n v="0"/>
    <n v="167"/>
  </r>
  <r>
    <n v="43984221"/>
    <s v="N"/>
    <n v="21382035"/>
    <s v="3000011641480002"/>
    <s v="CIVIL"/>
    <d v="2023-06-20T00:00:00"/>
    <d v="2023-07-17T19:01:46"/>
    <m/>
    <d v="2023-07-17T00:00:00"/>
    <n v="304"/>
    <n v="4447"/>
    <s v="43984221"/>
    <s v="43984221"/>
    <m/>
    <m/>
    <n v="22721176"/>
    <m/>
    <m/>
    <m/>
    <s v="SOLFIN"/>
    <s v="SOLFIN"/>
    <s v="CCMS"/>
    <n v="21382035"/>
    <n v="0"/>
    <m/>
    <s v="N"/>
    <n v="1"/>
    <d v="2023-07-17T19:02:00"/>
    <s v="N"/>
    <s v="NIL BILL"/>
    <s v="Non Family Hourly Rates"/>
    <s v="Profit Cost"/>
    <s v="William Ford"/>
    <s v="N"/>
    <n v="0"/>
    <n v="0"/>
    <x v="8"/>
    <s v="VALIDATED"/>
    <n v="1"/>
    <s v="01.11.80.208.6100.0000"/>
    <n v="0"/>
    <s v="11"/>
    <s v="6100"/>
    <n v="15019.9"/>
    <n v="0"/>
    <s v="CREDITOR"/>
    <n v="0"/>
    <n v="0"/>
    <n v="0"/>
    <n v="0"/>
    <n v="0"/>
  </r>
  <r>
    <n v="60905887"/>
    <s v="N"/>
    <n v="21328113"/>
    <s v="3000015124520001"/>
    <s v="CIVIL"/>
    <d v="2023-06-21T00:00:00"/>
    <d v="2023-07-04T19:00:44"/>
    <m/>
    <d v="2023-07-04T00:00:00"/>
    <n v="304"/>
    <n v="4447"/>
    <s v="60905887"/>
    <s v="60905887"/>
    <m/>
    <m/>
    <n v="22734090"/>
    <m/>
    <m/>
    <m/>
    <s v="SOLFIN"/>
    <s v="SOLFIN"/>
    <s v="CCMS"/>
    <n v="21328113"/>
    <n v="1934.62"/>
    <m/>
    <s v="N"/>
    <n v="23"/>
    <d v="2023-07-04T19:01:04"/>
    <s v="Y"/>
    <s v="Preparation - other"/>
    <s v="Non Family Hourly Rates"/>
    <s v="Profit Cost"/>
    <s v="Adele Pinkett"/>
    <s v="Y"/>
    <n v="7.16"/>
    <n v="0"/>
    <x v="1"/>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7"/>
    <d v="2023-07-10T19:02:12"/>
    <s v="Y"/>
    <s v="Interpreter"/>
    <s v="Non Family Hourly Rates"/>
    <s v="Expert Disbursement"/>
    <s v="Alex McMahon"/>
    <s v="Y"/>
    <n v="29.4"/>
    <n v="5.88"/>
    <x v="2"/>
    <s v="VALIDATED"/>
    <n v="1"/>
    <s v="01.11.80.203.6300.0000"/>
    <n v="29.4"/>
    <s v="11"/>
    <s v="6300"/>
    <n v="15019.9"/>
    <n v="29.4"/>
    <s v="CREDITOR"/>
    <n v="0"/>
    <n v="0"/>
    <n v="0"/>
    <n v="0"/>
    <n v="29.4"/>
  </r>
  <r>
    <n v="61797256"/>
    <s v="N"/>
    <n v="21319875"/>
    <s v="3000015870370006"/>
    <s v="CIVIL"/>
    <d v="2023-06-27T00:00:00"/>
    <d v="2023-07-03T19:04:24"/>
    <m/>
    <d v="2023-07-03T00:00:00"/>
    <n v="304"/>
    <n v="4447"/>
    <s v="61797256"/>
    <s v="61797256"/>
    <m/>
    <m/>
    <n v="22766146"/>
    <m/>
    <m/>
    <m/>
    <s v="SOLPOA"/>
    <s v="SOLPOA"/>
    <s v="CCMS"/>
    <n v="21319875"/>
    <n v="130.2"/>
    <m/>
    <s v="N"/>
    <n v="1"/>
    <d v="2023-07-03T19:04:28"/>
    <s v="N"/>
    <s v="Expert Cost"/>
    <s v="Expert Cost"/>
    <s v="Expert Disbursement"/>
    <s v="DNA legal"/>
    <s v="N"/>
    <n v="108.5"/>
    <n v="21.7"/>
    <x v="3"/>
    <s v="VALIDATED"/>
    <n v="1"/>
    <s v="01.11.80.308.2012.0000"/>
    <n v="108.5"/>
    <s v="11"/>
    <s v="2012"/>
    <n v="15019.9"/>
    <n v="108.5"/>
    <s v="CREDITOR"/>
    <n v="108.5"/>
    <n v="0"/>
    <n v="0"/>
    <n v="0"/>
    <n v="0"/>
  </r>
  <r>
    <n v="60905887"/>
    <s v="N"/>
    <n v="21328113"/>
    <s v="3000015124520001"/>
    <s v="CIVIL"/>
    <d v="2023-06-21T00:00:00"/>
    <d v="2023-07-04T19:00:44"/>
    <m/>
    <d v="2023-07-04T00:00:00"/>
    <n v="304"/>
    <n v="4447"/>
    <s v="60905887"/>
    <s v="60905887"/>
    <m/>
    <m/>
    <n v="22734090"/>
    <m/>
    <m/>
    <m/>
    <s v="SOLFIN"/>
    <s v="SOLFIN"/>
    <s v="CCMS"/>
    <n v="21328113"/>
    <n v="1934.62"/>
    <m/>
    <s v="N"/>
    <n v="29"/>
    <d v="2023-07-04T19:01:04"/>
    <s v="Y"/>
    <s v="Attendance upon other"/>
    <s v="Non Family Hourly Rates"/>
    <s v="Profit Cost"/>
    <s v="Adele Pinkett"/>
    <s v="Y"/>
    <n v="7.16"/>
    <n v="0"/>
    <x v="1"/>
    <s v="VALIDATED"/>
    <n v="1"/>
    <s v="01.11.80.203.6100.0000"/>
    <n v="7.16"/>
    <s v="11"/>
    <s v="6100"/>
    <n v="15019.9"/>
    <n v="7.16"/>
    <s v="CREDITOR"/>
    <n v="0"/>
    <n v="0"/>
    <n v="0"/>
    <n v="0"/>
    <n v="7.16"/>
  </r>
  <r>
    <n v="61688088"/>
    <s v="N"/>
    <n v="21323072"/>
    <s v="3000015782450012"/>
    <s v="CIVIL"/>
    <d v="2023-06-29T00:00:00"/>
    <d v="2023-07-03T19:05:36"/>
    <m/>
    <d v="2023-07-03T00:00:00"/>
    <n v="304"/>
    <n v="4447"/>
    <s v="61688088"/>
    <s v="61688088"/>
    <m/>
    <m/>
    <n v="22792048"/>
    <m/>
    <m/>
    <m/>
    <s v="SOLPOA"/>
    <s v="SOLPOA"/>
    <s v="CCMS"/>
    <n v="21323072"/>
    <n v="167"/>
    <m/>
    <s v="N"/>
    <n v="1"/>
    <d v="2023-07-03T19:05:41"/>
    <s v="N"/>
    <s v="Non Expert Disbursement"/>
    <s v="Non Expert Disbursement"/>
    <s v="Non Expert Disbursement"/>
    <s v="Tom Trim"/>
    <s v="N"/>
    <n v="167"/>
    <n v="0"/>
    <x v="3"/>
    <s v="VALIDATED"/>
    <n v="1"/>
    <s v="01.11.80.308.2012.0000"/>
    <n v="167"/>
    <s v="11"/>
    <s v="2012"/>
    <n v="15019.9"/>
    <n v="167"/>
    <s v="CREDITOR"/>
    <n v="167"/>
    <n v="0"/>
    <n v="0"/>
    <n v="0"/>
    <n v="0"/>
  </r>
  <r>
    <n v="10843165"/>
    <s v="N"/>
    <n v="21350077"/>
    <s v="3000006580830005"/>
    <s v="CIVIL"/>
    <d v="2023-06-19T00:00:00"/>
    <d v="2023-07-10T19:01:40"/>
    <m/>
    <d v="2023-07-10T00:00:00"/>
    <n v="304"/>
    <n v="4447"/>
    <s v="10843165"/>
    <s v="10843165"/>
    <m/>
    <m/>
    <n v="22717044"/>
    <m/>
    <m/>
    <m/>
    <s v="SOLFIN"/>
    <s v="SOLFIN"/>
    <s v="CCMS"/>
    <n v="21350077"/>
    <n v="2216.89"/>
    <m/>
    <s v="N"/>
    <n v="12"/>
    <d v="2023-07-10T19:02:12"/>
    <s v="Y"/>
    <s v="Court Fee"/>
    <s v="Non Family Hourly Rates"/>
    <s v="Non Expert Disbursement"/>
    <s v="Alex McMahon"/>
    <s v="Y"/>
    <n v="528"/>
    <n v="0"/>
    <x v="2"/>
    <s v="VALIDATED"/>
    <n v="1"/>
    <s v="01.11.80.203.6300.0000"/>
    <n v="528"/>
    <s v="11"/>
    <s v="6300"/>
    <n v="15019.9"/>
    <n v="528"/>
    <s v="CREDITOR"/>
    <n v="0"/>
    <n v="0"/>
    <n v="0"/>
    <n v="0"/>
    <n v="528"/>
  </r>
  <r>
    <n v="10843165"/>
    <s v="N"/>
    <n v="21350077"/>
    <s v="3000006580830005"/>
    <s v="CIVIL"/>
    <d v="2023-06-19T00:00:00"/>
    <d v="2023-07-10T19:01:40"/>
    <m/>
    <d v="2023-07-10T00:00:00"/>
    <n v="304"/>
    <n v="4447"/>
    <s v="10843165"/>
    <s v="10843165"/>
    <m/>
    <m/>
    <n v="22717044"/>
    <m/>
    <m/>
    <m/>
    <s v="SOLFIN"/>
    <s v="SOLFIN"/>
    <s v="CCMS"/>
    <n v="21350077"/>
    <n v="2216.89"/>
    <m/>
    <s v="N"/>
    <n v="42"/>
    <d v="2023-07-10T19:02:12"/>
    <s v="Y"/>
    <s v="Preparation - other"/>
    <s v="Non Family Hourly Rates"/>
    <s v="Profit Cost"/>
    <s v="Alex McMahon"/>
    <s v="Y"/>
    <n v="7.16"/>
    <n v="0"/>
    <x v="2"/>
    <s v="VALIDATED"/>
    <n v="1"/>
    <s v="01.11.80.203.6100.0000"/>
    <n v="7.16"/>
    <s v="11"/>
    <s v="6100"/>
    <n v="15019.9"/>
    <n v="7.16"/>
    <s v="CREDITOR"/>
    <n v="0"/>
    <n v="0"/>
    <n v="0"/>
    <n v="0"/>
    <n v="7.16"/>
  </r>
  <r>
    <n v="60905887"/>
    <s v="N"/>
    <n v="21328113"/>
    <s v="3000015124520001"/>
    <s v="CIVIL"/>
    <d v="2023-06-21T00:00:00"/>
    <d v="2023-07-04T19:00:44"/>
    <m/>
    <d v="2023-07-04T00:00:00"/>
    <n v="304"/>
    <n v="4447"/>
    <s v="60905887"/>
    <s v="60905887"/>
    <m/>
    <m/>
    <n v="22734090"/>
    <m/>
    <m/>
    <m/>
    <s v="SOLFIN"/>
    <s v="SOLFIN"/>
    <s v="CCMS"/>
    <n v="21328113"/>
    <n v="1934.62"/>
    <m/>
    <s v="N"/>
    <n v="30"/>
    <d v="2023-07-04T19:01:04"/>
    <s v="Y"/>
    <s v="Preparation - other"/>
    <s v="Non Family Hourly Rates"/>
    <s v="Profit Cost"/>
    <s v="Adele Pinkett"/>
    <s v="Y"/>
    <n v="7.16"/>
    <n v="0"/>
    <x v="1"/>
    <s v="VALIDATED"/>
    <n v="1"/>
    <s v="01.11.80.203.6100.0000"/>
    <n v="7.16"/>
    <s v="11"/>
    <s v="6100"/>
    <n v="15019.9"/>
    <n v="7.16"/>
    <s v="CREDITOR"/>
    <n v="0"/>
    <n v="0"/>
    <n v="0"/>
    <n v="0"/>
    <n v="7.16"/>
  </r>
  <r>
    <n v="23687542"/>
    <s v="N"/>
    <n v="21319018"/>
    <s v="3000008814510007"/>
    <s v="CIVIL"/>
    <d v="2023-06-23T00:00:00"/>
    <d v="2023-07-03T19:01:49"/>
    <m/>
    <d v="2023-07-03T00:00:00"/>
    <n v="304"/>
    <n v="4447"/>
    <s v="23687542"/>
    <s v="23687542"/>
    <m/>
    <m/>
    <n v="22751600"/>
    <m/>
    <m/>
    <m/>
    <s v="SOLFIN"/>
    <s v="SOLFIN"/>
    <s v="CCMS"/>
    <n v="21319018"/>
    <n v="6901.59"/>
    <m/>
    <s v="N"/>
    <n v="2"/>
    <d v="2023-07-03T19:02:07"/>
    <s v="Y"/>
    <s v="Child psychologist"/>
    <s v="Public Law Children"/>
    <s v="Expert Disbursement"/>
    <s v="Jonathan Jonas"/>
    <s v="Y"/>
    <n v="470.35"/>
    <n v="94.06999999999999"/>
    <x v="3"/>
    <s v="VALIDATED"/>
    <n v="1"/>
    <s v="01.11.80.308.6300.0000"/>
    <n v="470.35"/>
    <s v="11"/>
    <s v="6300"/>
    <n v="15019.9"/>
    <n v="470.35"/>
    <s v="CREDITOR"/>
    <n v="0"/>
    <n v="0"/>
    <n v="0"/>
    <n v="0"/>
    <n v="470.35"/>
  </r>
  <r>
    <n v="10843165"/>
    <s v="N"/>
    <n v="21350077"/>
    <s v="3000006580830005"/>
    <s v="CIVIL"/>
    <d v="2023-06-19T00:00:00"/>
    <d v="2023-07-10T19:01:40"/>
    <m/>
    <d v="2023-07-10T00:00:00"/>
    <n v="304"/>
    <n v="4447"/>
    <s v="10843165"/>
    <s v="10843165"/>
    <m/>
    <m/>
    <n v="22717044"/>
    <m/>
    <m/>
    <m/>
    <s v="SOLFIN"/>
    <s v="SOLFIN"/>
    <s v="CCMS"/>
    <n v="21350077"/>
    <n v="2216.89"/>
    <m/>
    <s v="N"/>
    <n v="20"/>
    <d v="2023-07-10T19:02:12"/>
    <s v="N"/>
    <s v="Preparation - other"/>
    <s v="Non Family Hourly Rates"/>
    <s v="Profit Cost"/>
    <s v="Alex McMahon"/>
    <s v="N"/>
    <n v="0"/>
    <n v="0"/>
    <x v="2"/>
    <s v="VALIDATED"/>
    <n v="1"/>
    <s v="01.11.80.203.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23"/>
    <d v="2023-07-10T19:02:12"/>
    <s v="N"/>
    <s v="Preparation - other"/>
    <s v="Non Family Hourly Rates"/>
    <s v="Profit Cost"/>
    <s v="Alex McMahon"/>
    <s v="N"/>
    <n v="0"/>
    <n v="0"/>
    <x v="2"/>
    <s v="VALIDATED"/>
    <n v="1"/>
    <s v="01.11.80.203.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45"/>
    <d v="2023-07-10T19:02:12"/>
    <s v="N"/>
    <s v="Preparation - other"/>
    <s v="Non Family Hourly Rates"/>
    <s v="Profit Cost"/>
    <s v="Alex McMahon"/>
    <s v="N"/>
    <n v="0"/>
    <n v="0"/>
    <x v="2"/>
    <s v="VALIDATED"/>
    <n v="1"/>
    <s v="01.11.80.203.6100.0000"/>
    <n v="0"/>
    <s v="11"/>
    <s v="6100"/>
    <n v="15019.9"/>
    <n v="0"/>
    <s v="CREDITOR"/>
    <n v="0"/>
    <n v="0"/>
    <n v="0"/>
    <n v="0"/>
    <n v="0"/>
  </r>
  <r>
    <n v="60848285"/>
    <s v="N"/>
    <n v="21327920"/>
    <s v="3000015074040007"/>
    <s v="CIVIL"/>
    <d v="2023-06-23T00:00:00"/>
    <d v="2023-07-04T19:00:44"/>
    <m/>
    <d v="2023-07-04T00:00:00"/>
    <n v="304"/>
    <n v="4447"/>
    <s v="60848285"/>
    <s v="60848285"/>
    <m/>
    <m/>
    <n v="22751766"/>
    <m/>
    <m/>
    <m/>
    <s v="SOLFIN"/>
    <s v="SOLFIN"/>
    <s v="CCMS"/>
    <n v="21327920"/>
    <n v="5085.47"/>
    <m/>
    <s v="N"/>
    <n v="1"/>
    <d v="2023-07-04T19:00:58"/>
    <s v="Y"/>
    <s v="Risk assessment expert"/>
    <s v="Public Law Children"/>
    <s v="Expert Disbursement"/>
    <s v="Risk Solutiona"/>
    <s v="Y"/>
    <n v="897.75"/>
    <n v="179.55"/>
    <x v="1"/>
    <s v="VALIDATED"/>
    <n v="1"/>
    <s v="01.11.80.308.6300.0000"/>
    <n v="897.75"/>
    <s v="11"/>
    <s v="6300"/>
    <n v="15019.9"/>
    <n v="897.75"/>
    <s v="CREDITOR"/>
    <n v="0"/>
    <n v="0"/>
    <n v="0"/>
    <n v="0"/>
    <n v="897.75"/>
  </r>
  <r>
    <n v="61590532"/>
    <s v="N"/>
    <n v="21318446"/>
    <s v="3000015699230007"/>
    <s v="CIVIL"/>
    <d v="2023-06-23T00:00:00"/>
    <d v="2023-07-03T19:01:49"/>
    <m/>
    <d v="2023-07-03T00:00:00"/>
    <n v="304"/>
    <n v="4447"/>
    <s v="61590532"/>
    <s v="61590532"/>
    <m/>
    <m/>
    <n v="22748676"/>
    <m/>
    <m/>
    <m/>
    <s v="SOLFIN"/>
    <s v="SOLFIN"/>
    <s v="CCMS"/>
    <n v="21318446"/>
    <n v="4522.38"/>
    <m/>
    <s v="N"/>
    <n v="3"/>
    <d v="2023-07-03T19:01:56"/>
    <s v="Y"/>
    <s v="Court Fee"/>
    <s v="Public Law Children"/>
    <s v="Non Expert Disbursement"/>
    <s v="HMCTS"/>
    <s v="Y"/>
    <n v="167"/>
    <n v="0"/>
    <x v="3"/>
    <s v="VALIDATED"/>
    <n v="1"/>
    <s v="01.11.80.308.6300.0000"/>
    <n v="167"/>
    <s v="11"/>
    <s v="6300"/>
    <n v="15019.9"/>
    <n v="167"/>
    <s v="CREDITOR"/>
    <n v="0"/>
    <n v="0"/>
    <n v="0"/>
    <n v="0"/>
    <n v="167"/>
  </r>
  <r>
    <n v="10843165"/>
    <s v="N"/>
    <n v="21350077"/>
    <s v="3000006580830005"/>
    <s v="CIVIL"/>
    <d v="2023-06-19T00:00:00"/>
    <d v="2023-07-10T19:01:40"/>
    <m/>
    <d v="2023-07-10T00:00:00"/>
    <n v="304"/>
    <n v="4447"/>
    <s v="10843165"/>
    <s v="10843165"/>
    <m/>
    <m/>
    <n v="22717044"/>
    <m/>
    <m/>
    <m/>
    <s v="SOLFIN"/>
    <s v="SOLFIN"/>
    <s v="CCMS"/>
    <n v="21350077"/>
    <n v="2216.89"/>
    <m/>
    <s v="N"/>
    <n v="25"/>
    <d v="2023-07-10T19:02:12"/>
    <s v="N"/>
    <s v="Preparation - other"/>
    <s v="Non Family Hourly Rates"/>
    <s v="Profit Cost"/>
    <s v="Alex McMahon"/>
    <s v="N"/>
    <n v="0"/>
    <n v="0"/>
    <x v="2"/>
    <s v="VALIDATED"/>
    <n v="1"/>
    <s v="01.11.80.203.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13"/>
    <d v="2023-07-10T19:02:12"/>
    <s v="Y"/>
    <s v="Interpreter"/>
    <s v="Non Family Hourly Rates"/>
    <s v="Expert Disbursement"/>
    <s v="Alex McMahon"/>
    <s v="Y"/>
    <n v="12.6"/>
    <n v="2.52"/>
    <x v="2"/>
    <s v="VALIDATED"/>
    <n v="1"/>
    <s v="01.11.80.203.6300.0000"/>
    <n v="12.6"/>
    <s v="11"/>
    <s v="6300"/>
    <n v="15019.9"/>
    <n v="12.6"/>
    <s v="CREDITOR"/>
    <n v="0"/>
    <n v="0"/>
    <n v="0"/>
    <n v="0"/>
    <n v="12.6"/>
  </r>
  <r>
    <n v="23687542"/>
    <s v="N"/>
    <n v="21319018"/>
    <s v="3000008814510007"/>
    <s v="CIVIL"/>
    <d v="2023-06-23T00:00:00"/>
    <d v="2023-07-03T19:01:49"/>
    <m/>
    <d v="2023-07-03T00:00:00"/>
    <n v="304"/>
    <n v="4447"/>
    <s v="23687542"/>
    <s v="23687542"/>
    <m/>
    <m/>
    <n v="22751600"/>
    <m/>
    <m/>
    <m/>
    <s v="SOLFIN"/>
    <s v="SOLFIN"/>
    <s v="CCMS"/>
    <n v="21319018"/>
    <n v="6901.59"/>
    <m/>
    <s v="N"/>
    <n v="4"/>
    <d v="2023-07-03T19:02:07"/>
    <s v="Y"/>
    <s v="Advocates Meeting"/>
    <s v="Public Law Children"/>
    <s v="Advocacy"/>
    <s v="Jonathan Jonas"/>
    <s v="Y"/>
    <n v="140.99"/>
    <n v="28.2"/>
    <x v="3"/>
    <s v="VALIDATED"/>
    <n v="1"/>
    <s v="01.11.80.308.6100.0000"/>
    <n v="140.99"/>
    <s v="11"/>
    <s v="6100"/>
    <n v="15019.9"/>
    <n v="140.99"/>
    <s v="CREDITOR"/>
    <n v="0"/>
    <n v="0"/>
    <n v="0"/>
    <n v="0"/>
    <n v="140.99"/>
  </r>
  <r>
    <n v="10843165"/>
    <s v="N"/>
    <n v="21350077"/>
    <s v="3000006580830005"/>
    <s v="CIVIL"/>
    <d v="2023-06-19T00:00:00"/>
    <d v="2023-07-10T19:01:40"/>
    <m/>
    <d v="2023-07-10T00:00:00"/>
    <n v="304"/>
    <n v="4447"/>
    <s v="10843165"/>
    <s v="10843165"/>
    <m/>
    <m/>
    <n v="22717044"/>
    <m/>
    <m/>
    <m/>
    <s v="SOLFIN"/>
    <s v="SOLFIN"/>
    <s v="CCMS"/>
    <n v="21350077"/>
    <n v="2216.89"/>
    <m/>
    <s v="N"/>
    <n v="49"/>
    <d v="2023-07-10T19:02:12"/>
    <s v="N"/>
    <s v="Preparation - other"/>
    <s v="Non Family Hourly Rates"/>
    <s v="Profit Cost"/>
    <s v="Alex McMahon"/>
    <s v="N"/>
    <n v="0"/>
    <n v="0"/>
    <x v="2"/>
    <s v="VALIDATED"/>
    <n v="1"/>
    <s v="01.11.80.203.6100.0000"/>
    <n v="0"/>
    <s v="11"/>
    <s v="6100"/>
    <n v="15019.9"/>
    <n v="0"/>
    <s v="CREDITOR"/>
    <n v="0"/>
    <n v="0"/>
    <n v="0"/>
    <n v="0"/>
    <n v="0"/>
  </r>
  <r>
    <n v="62424979"/>
    <s v="N"/>
    <n v="21322476"/>
    <s v="3000016389090003"/>
    <s v="CIVIL"/>
    <d v="2023-06-29T00:00:00"/>
    <d v="2023-07-03T19:05:36"/>
    <m/>
    <d v="2023-07-03T00:00:00"/>
    <n v="304"/>
    <n v="4447"/>
    <s v="62424979"/>
    <s v="62424979"/>
    <m/>
    <m/>
    <n v="22790056"/>
    <m/>
    <m/>
    <m/>
    <s v="SOLPOA"/>
    <s v="SOLPOA"/>
    <s v="CCMS"/>
    <n v="21322476"/>
    <n v="167"/>
    <m/>
    <s v="N"/>
    <n v="1"/>
    <d v="2023-07-03T19:05:38"/>
    <s v="N"/>
    <s v="Non Expert Disbursement"/>
    <s v="Non Expert Disbursement"/>
    <s v="Non Expert Disbursement"/>
    <s v="Tom Trim"/>
    <s v="N"/>
    <n v="167"/>
    <n v="0"/>
    <x v="3"/>
    <s v="VALIDATED"/>
    <n v="1"/>
    <s v="01.11.80.308.2012.0000"/>
    <n v="167"/>
    <s v="11"/>
    <s v="2012"/>
    <n v="15019.9"/>
    <n v="167"/>
    <s v="CREDITOR"/>
    <n v="167"/>
    <n v="0"/>
    <n v="0"/>
    <n v="0"/>
    <n v="0"/>
  </r>
  <r>
    <n v="60905887"/>
    <s v="N"/>
    <n v="21328113"/>
    <s v="3000015124520001"/>
    <s v="CIVIL"/>
    <d v="2023-06-21T00:00:00"/>
    <d v="2023-07-04T19:00:44"/>
    <m/>
    <d v="2023-07-04T00:00:00"/>
    <n v="304"/>
    <n v="4447"/>
    <s v="60905887"/>
    <s v="60905887"/>
    <m/>
    <m/>
    <n v="22734090"/>
    <m/>
    <m/>
    <m/>
    <s v="SOLFIN"/>
    <s v="SOLFIN"/>
    <s v="CCMS"/>
    <n v="21328113"/>
    <n v="1934.62"/>
    <m/>
    <s v="N"/>
    <n v="27"/>
    <d v="2023-07-04T19:01:04"/>
    <s v="Y"/>
    <s v="Attendance upon client"/>
    <s v="Non Family Hourly Rates"/>
    <s v="Profit Cost"/>
    <s v="Adele Pinkett"/>
    <s v="Y"/>
    <n v="75.14"/>
    <n v="0"/>
    <x v="1"/>
    <s v="VALIDATED"/>
    <n v="1"/>
    <s v="01.11.80.203.6100.0000"/>
    <n v="75.14"/>
    <s v="11"/>
    <s v="6100"/>
    <n v="15019.9"/>
    <n v="75.14"/>
    <s v="CREDITOR"/>
    <n v="0"/>
    <n v="0"/>
    <n v="0"/>
    <n v="0"/>
    <n v="75.14"/>
  </r>
  <r>
    <n v="60905887"/>
    <s v="N"/>
    <n v="21328113"/>
    <s v="3000015124520001"/>
    <s v="CIVIL"/>
    <d v="2023-06-21T00:00:00"/>
    <d v="2023-07-04T19:00:44"/>
    <m/>
    <d v="2023-07-04T00:00:00"/>
    <n v="304"/>
    <n v="4447"/>
    <s v="60905887"/>
    <s v="60905887"/>
    <m/>
    <m/>
    <n v="22734090"/>
    <m/>
    <m/>
    <m/>
    <s v="SOLFIN"/>
    <s v="SOLFIN"/>
    <s v="CCMS"/>
    <n v="21328113"/>
    <n v="1934.62"/>
    <m/>
    <s v="N"/>
    <n v="15"/>
    <d v="2023-07-04T19:01:04"/>
    <s v="Y"/>
    <s v="Preparation - other"/>
    <s v="Non Family Hourly Rates"/>
    <s v="Profit Cost"/>
    <s v="Adele Pinkett"/>
    <s v="Y"/>
    <n v="75.14"/>
    <n v="0"/>
    <x v="1"/>
    <s v="VALIDATED"/>
    <n v="1"/>
    <s v="01.11.80.203.6100.0000"/>
    <n v="75.14"/>
    <s v="11"/>
    <s v="6100"/>
    <n v="15019.9"/>
    <n v="75.14"/>
    <s v="CREDITOR"/>
    <n v="0"/>
    <n v="0"/>
    <n v="0"/>
    <n v="0"/>
    <n v="75.14"/>
  </r>
  <r>
    <n v="60905887"/>
    <s v="N"/>
    <n v="21328113"/>
    <s v="3000015124520001"/>
    <s v="CIVIL"/>
    <d v="2023-06-21T00:00:00"/>
    <d v="2023-07-04T19:00:44"/>
    <m/>
    <d v="2023-07-04T00:00:00"/>
    <n v="304"/>
    <n v="4447"/>
    <s v="60905887"/>
    <s v="60905887"/>
    <m/>
    <m/>
    <n v="22734090"/>
    <m/>
    <m/>
    <m/>
    <s v="SOLFIN"/>
    <s v="SOLFIN"/>
    <s v="CCMS"/>
    <n v="21328113"/>
    <n v="1934.62"/>
    <m/>
    <s v="N"/>
    <n v="21"/>
    <d v="2023-07-04T19:01:04"/>
    <s v="Y"/>
    <s v="Preparation - other"/>
    <s v="Non Family Hourly Rates"/>
    <s v="Profit Cost"/>
    <s v="Adele Pinkett"/>
    <s v="Y"/>
    <n v="21.47"/>
    <n v="0"/>
    <x v="1"/>
    <s v="VALIDATED"/>
    <n v="1"/>
    <s v="01.11.80.203.6100.0000"/>
    <n v="21.47"/>
    <s v="11"/>
    <s v="6100"/>
    <n v="15019.9"/>
    <n v="21.47"/>
    <s v="CREDITOR"/>
    <n v="0"/>
    <n v="0"/>
    <n v="0"/>
    <n v="0"/>
    <n v="21.47"/>
  </r>
  <r>
    <n v="10843165"/>
    <s v="N"/>
    <n v="21350077"/>
    <s v="3000006580830005"/>
    <s v="CIVIL"/>
    <d v="2023-06-19T00:00:00"/>
    <d v="2023-07-10T19:01:40"/>
    <m/>
    <d v="2023-07-10T00:00:00"/>
    <n v="304"/>
    <n v="4447"/>
    <s v="10843165"/>
    <s v="10843165"/>
    <m/>
    <m/>
    <n v="22717044"/>
    <m/>
    <m/>
    <m/>
    <s v="SOLFIN"/>
    <s v="SOLFIN"/>
    <s v="CCMS"/>
    <n v="21350077"/>
    <n v="2216.89"/>
    <m/>
    <s v="N"/>
    <n v="29"/>
    <d v="2023-07-10T19:02:12"/>
    <s v="N"/>
    <s v="Preparation - other"/>
    <s v="Non Family Hourly Rates"/>
    <s v="Profit Cost"/>
    <s v="Alex McMahon"/>
    <s v="N"/>
    <n v="0"/>
    <n v="0"/>
    <x v="2"/>
    <s v="VALIDATED"/>
    <n v="1"/>
    <s v="01.11.80.203.6100.0000"/>
    <n v="0"/>
    <s v="11"/>
    <s v="6100"/>
    <n v="15019.9"/>
    <n v="0"/>
    <s v="CREDITOR"/>
    <n v="0"/>
    <n v="0"/>
    <n v="0"/>
    <n v="0"/>
    <n v="0"/>
  </r>
  <r>
    <n v="61318063"/>
    <s v="N"/>
    <n v="21319352"/>
    <s v="3000015472510007"/>
    <s v="CIVIL"/>
    <d v="2023-06-28T00:00:00"/>
    <d v="2023-07-03T19:04:24"/>
    <m/>
    <d v="2023-07-03T00:00:00"/>
    <n v="304"/>
    <n v="4447"/>
    <s v="61318063"/>
    <s v="61318063"/>
    <m/>
    <m/>
    <n v="22776268"/>
    <m/>
    <m/>
    <m/>
    <s v="SOLPOA"/>
    <s v="SOLPOA"/>
    <s v="CCMS"/>
    <n v="21319352"/>
    <n v="1214.08"/>
    <m/>
    <s v="N"/>
    <n v="1"/>
    <d v="2023-07-03T19:04:25"/>
    <s v="N"/>
    <s v="Expert Cost"/>
    <s v="Expert Cost"/>
    <s v="Expert Disbursement"/>
    <s v="Dr Banks"/>
    <s v="N"/>
    <n v="1011.73"/>
    <n v="202.35"/>
    <x v="3"/>
    <s v="VALIDATED"/>
    <n v="1"/>
    <s v="01.11.80.308.2012.0000"/>
    <n v="1011.73"/>
    <s v="11"/>
    <s v="2012"/>
    <n v="15019.9"/>
    <n v="1011.73"/>
    <s v="CREDITOR"/>
    <n v="1011.73"/>
    <n v="0"/>
    <n v="0"/>
    <n v="0"/>
    <n v="0"/>
  </r>
  <r>
    <n v="59771766"/>
    <s v="N"/>
    <n v="21319784"/>
    <s v="3000014147860025"/>
    <s v="CIVIL"/>
    <d v="2023-06-27T00:00:00"/>
    <d v="2023-07-03T19:04:24"/>
    <m/>
    <d v="2023-07-03T00:00:00"/>
    <n v="304"/>
    <n v="4447"/>
    <s v="59771766"/>
    <s v="59771766"/>
    <m/>
    <m/>
    <n v="22774520"/>
    <m/>
    <m/>
    <m/>
    <s v="SOLPOA"/>
    <s v="SOLPOA"/>
    <s v="CCMS"/>
    <n v="21319784"/>
    <n v="160.8"/>
    <m/>
    <s v="N"/>
    <n v="1"/>
    <d v="2023-07-03T19:04:27"/>
    <s v="N"/>
    <s v="Expert Cost"/>
    <s v="Expert Cost"/>
    <s v="Expert Disbursement"/>
    <s v="Tom Trim"/>
    <s v="N"/>
    <n v="134"/>
    <n v="26.8"/>
    <x v="3"/>
    <s v="VALIDATED"/>
    <n v="1"/>
    <s v="01.11.80.308.2012.0000"/>
    <n v="134"/>
    <s v="11"/>
    <s v="2012"/>
    <n v="15019.9"/>
    <n v="134"/>
    <s v="CREDITOR"/>
    <n v="134"/>
    <n v="0"/>
    <n v="0"/>
    <n v="0"/>
    <n v="0"/>
  </r>
  <r>
    <n v="10843165"/>
    <s v="N"/>
    <n v="21350077"/>
    <s v="3000006580830005"/>
    <s v="CIVIL"/>
    <d v="2023-06-19T00:00:00"/>
    <d v="2023-07-10T19:01:40"/>
    <m/>
    <d v="2023-07-10T00:00:00"/>
    <n v="304"/>
    <n v="4447"/>
    <s v="10843165"/>
    <s v="10843165"/>
    <m/>
    <m/>
    <n v="22717044"/>
    <m/>
    <m/>
    <m/>
    <s v="SOLFIN"/>
    <s v="SOLFIN"/>
    <s v="CCMS"/>
    <n v="21350077"/>
    <n v="2216.89"/>
    <m/>
    <s v="N"/>
    <n v="44"/>
    <d v="2023-07-10T19:02:12"/>
    <s v="Y"/>
    <s v="Preparation - other"/>
    <s v="Non Family Hourly Rates"/>
    <s v="Profit Cost"/>
    <s v="Alex McMahon"/>
    <s v="Y"/>
    <n v="7.16"/>
    <n v="0"/>
    <x v="2"/>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48"/>
    <d v="2023-07-10T19:02:12"/>
    <s v="N"/>
    <s v="Preparation - other"/>
    <s v="Non Family Hourly Rates"/>
    <s v="Profit Cost"/>
    <s v="Alex McMahon"/>
    <s v="N"/>
    <n v="0"/>
    <n v="0"/>
    <x v="2"/>
    <s v="VALIDATED"/>
    <n v="1"/>
    <s v="01.11.80.203.6100.0000"/>
    <n v="0"/>
    <s v="11"/>
    <s v="6100"/>
    <n v="15019.9"/>
    <n v="0"/>
    <s v="CREDITOR"/>
    <n v="0"/>
    <n v="0"/>
    <n v="0"/>
    <n v="0"/>
    <n v="0"/>
  </r>
  <r>
    <n v="59771766"/>
    <s v="N"/>
    <n v="21319316"/>
    <s v="3000014147860023"/>
    <s v="CIVIL"/>
    <d v="2023-06-27T00:00:00"/>
    <d v="2023-07-03T19:04:24"/>
    <m/>
    <d v="2023-07-03T00:00:00"/>
    <n v="304"/>
    <n v="4447"/>
    <s v="59771766"/>
    <s v="59771766"/>
    <m/>
    <m/>
    <n v="22774374"/>
    <m/>
    <m/>
    <m/>
    <s v="SOLPOA"/>
    <s v="SOLPOA"/>
    <s v="CCMS"/>
    <n v="21319316"/>
    <n v="233.82"/>
    <m/>
    <s v="N"/>
    <n v="1"/>
    <d v="2023-07-03T19:04:25"/>
    <s v="N"/>
    <s v="Expert Cost"/>
    <s v="Expert Cost"/>
    <s v="Expert Disbursement"/>
    <s v="Tom Trim"/>
    <s v="N"/>
    <n v="194.85"/>
    <n v="38.97"/>
    <x v="3"/>
    <s v="VALIDATED"/>
    <n v="1"/>
    <s v="01.11.80.308.2012.0000"/>
    <n v="194.85"/>
    <s v="11"/>
    <s v="2012"/>
    <n v="15019.9"/>
    <n v="194.85"/>
    <s v="CREDITOR"/>
    <n v="194.85"/>
    <n v="0"/>
    <n v="0"/>
    <n v="0"/>
    <n v="0"/>
  </r>
  <r>
    <n v="61590532"/>
    <s v="N"/>
    <n v="21318446"/>
    <s v="3000015699230007"/>
    <s v="CIVIL"/>
    <d v="2023-06-23T00:00:00"/>
    <d v="2023-07-03T19:01:49"/>
    <m/>
    <d v="2023-07-03T00:00:00"/>
    <n v="304"/>
    <n v="4447"/>
    <s v="61590532"/>
    <s v="61590532"/>
    <m/>
    <m/>
    <n v="22748676"/>
    <m/>
    <m/>
    <m/>
    <s v="SOLFIN"/>
    <s v="SOLFIN"/>
    <s v="CCMS"/>
    <n v="21318446"/>
    <n v="4522.38"/>
    <m/>
    <s v="N"/>
    <n v="6"/>
    <d v="2023-07-03T19:01:56"/>
    <s v="Y"/>
    <s v="Solicitors Fixed Fee"/>
    <s v="Public Law Children"/>
    <s v="Profit Cost"/>
    <s v="Bridget Thompson"/>
    <s v="Y"/>
    <n v="2616"/>
    <n v="523.2"/>
    <x v="3"/>
    <s v="VALIDATED"/>
    <n v="1"/>
    <s v="01.11.80.308.6100.0000"/>
    <n v="2616"/>
    <s v="11"/>
    <s v="6100"/>
    <n v="15019.9"/>
    <n v="2616"/>
    <s v="CREDITOR"/>
    <n v="0"/>
    <n v="0"/>
    <n v="0"/>
    <n v="0"/>
    <n v="2616"/>
  </r>
  <r>
    <n v="60905887"/>
    <s v="N"/>
    <n v="21328113"/>
    <s v="3000015124520001"/>
    <s v="CIVIL"/>
    <d v="2023-06-21T00:00:00"/>
    <d v="2023-07-04T19:00:44"/>
    <m/>
    <d v="2023-07-04T00:00:00"/>
    <n v="304"/>
    <n v="4447"/>
    <s v="60905887"/>
    <s v="60905887"/>
    <m/>
    <m/>
    <n v="22734090"/>
    <m/>
    <m/>
    <m/>
    <s v="SOLFIN"/>
    <s v="SOLFIN"/>
    <s v="CCMS"/>
    <n v="21328113"/>
    <n v="1934.62"/>
    <m/>
    <s v="N"/>
    <n v="7"/>
    <d v="2023-07-04T19:01:04"/>
    <s v="Y"/>
    <s v="Attendance upon other"/>
    <s v="Non Family Hourly Rates"/>
    <s v="Profit Cost"/>
    <s v="Adele Pinkett"/>
    <s v="Y"/>
    <n v="10.74"/>
    <n v="0"/>
    <x v="1"/>
    <s v="VALIDATED"/>
    <n v="1"/>
    <s v="01.11.80.203.6100.0000"/>
    <n v="10.74"/>
    <s v="11"/>
    <s v="6100"/>
    <n v="15019.9"/>
    <n v="10.74"/>
    <s v="CREDITOR"/>
    <n v="0"/>
    <n v="0"/>
    <n v="0"/>
    <n v="0"/>
    <n v="10.74"/>
  </r>
  <r>
    <n v="61590532"/>
    <s v="N"/>
    <n v="21318446"/>
    <s v="3000015699230007"/>
    <s v="CIVIL"/>
    <d v="2023-06-23T00:00:00"/>
    <d v="2023-07-03T19:01:49"/>
    <m/>
    <d v="2023-07-03T00:00:00"/>
    <n v="304"/>
    <n v="4447"/>
    <s v="61590532"/>
    <s v="61590532"/>
    <m/>
    <m/>
    <n v="22748676"/>
    <m/>
    <m/>
    <m/>
    <s v="SOLFIN"/>
    <s v="SOLFIN"/>
    <s v="CCMS"/>
    <n v="21318446"/>
    <n v="4522.38"/>
    <m/>
    <s v="N"/>
    <n v="1"/>
    <d v="2023-07-03T19:01:56"/>
    <s v="Y"/>
    <s v="Toxicologist"/>
    <s v="Public Law Children"/>
    <s v="Expert Disbursement"/>
    <s v="Lextox"/>
    <s v="Y"/>
    <n v="73.40000000000001"/>
    <n v="14.68"/>
    <x v="3"/>
    <s v="VALIDATED"/>
    <n v="1"/>
    <s v="01.11.80.308.6300.0000"/>
    <n v="73.40000000000001"/>
    <s v="11"/>
    <s v="6300"/>
    <n v="15019.9"/>
    <n v="73.40000000000001"/>
    <s v="CREDITOR"/>
    <n v="0"/>
    <n v="0"/>
    <n v="0"/>
    <n v="0"/>
    <n v="73.40000000000001"/>
  </r>
  <r>
    <n v="10843165"/>
    <s v="N"/>
    <n v="21350077"/>
    <s v="3000006580830005"/>
    <s v="CIVIL"/>
    <d v="2023-06-19T00:00:00"/>
    <d v="2023-07-10T19:01:40"/>
    <m/>
    <d v="2023-07-10T00:00:00"/>
    <n v="304"/>
    <n v="4447"/>
    <s v="10843165"/>
    <s v="10843165"/>
    <m/>
    <m/>
    <n v="22717044"/>
    <m/>
    <m/>
    <m/>
    <s v="SOLFIN"/>
    <s v="SOLFIN"/>
    <s v="CCMS"/>
    <n v="21350077"/>
    <n v="2216.89"/>
    <m/>
    <s v="N"/>
    <n v="18"/>
    <d v="2023-07-10T19:02:12"/>
    <s v="N"/>
    <s v="Preparation - other"/>
    <s v="Non Family Hourly Rates"/>
    <s v="Profit Cost"/>
    <s v="Alex McMahon"/>
    <s v="N"/>
    <n v="0"/>
    <n v="0"/>
    <x v="2"/>
    <s v="VALIDATED"/>
    <n v="1"/>
    <s v="01.11.80.203.6100.0000"/>
    <n v="0"/>
    <s v="11"/>
    <s v="6100"/>
    <n v="15019.9"/>
    <n v="0"/>
    <s v="CREDITOR"/>
    <n v="0"/>
    <n v="0"/>
    <n v="0"/>
    <n v="0"/>
    <n v="0"/>
  </r>
  <r>
    <n v="60905887"/>
    <s v="N"/>
    <n v="21328113"/>
    <s v="3000015124520001"/>
    <s v="CIVIL"/>
    <d v="2023-06-21T00:00:00"/>
    <d v="2023-07-04T19:00:44"/>
    <m/>
    <d v="2023-07-04T00:00:00"/>
    <n v="304"/>
    <n v="4447"/>
    <s v="60905887"/>
    <s v="60905887"/>
    <m/>
    <m/>
    <n v="22734090"/>
    <m/>
    <m/>
    <m/>
    <s v="SOLFIN"/>
    <s v="SOLFIN"/>
    <s v="CCMS"/>
    <n v="21328113"/>
    <n v="1934.62"/>
    <m/>
    <s v="N"/>
    <n v="10"/>
    <d v="2023-07-04T19:01:04"/>
    <s v="Y"/>
    <s v="Preparation - other"/>
    <s v="Non Family Hourly Rates"/>
    <s v="Profit Cost"/>
    <s v="Adele Pinkett"/>
    <s v="Y"/>
    <n v="64.40000000000001"/>
    <n v="0"/>
    <x v="1"/>
    <s v="VALIDATED"/>
    <n v="1"/>
    <s v="01.11.80.203.6100.0000"/>
    <n v="64.40000000000001"/>
    <s v="11"/>
    <s v="6100"/>
    <n v="15019.9"/>
    <n v="64.40000000000001"/>
    <s v="CREDITOR"/>
    <n v="0"/>
    <n v="0"/>
    <n v="0"/>
    <n v="0"/>
    <n v="64.40000000000001"/>
  </r>
  <r>
    <n v="10843165"/>
    <s v="N"/>
    <n v="21350077"/>
    <s v="3000006580830005"/>
    <s v="CIVIL"/>
    <d v="2023-06-19T00:00:00"/>
    <d v="2023-07-10T19:01:40"/>
    <m/>
    <d v="2023-07-10T00:00:00"/>
    <n v="304"/>
    <n v="4447"/>
    <s v="10843165"/>
    <s v="10843165"/>
    <m/>
    <m/>
    <n v="22717044"/>
    <m/>
    <m/>
    <m/>
    <s v="SOLFIN"/>
    <s v="SOLFIN"/>
    <s v="CCMS"/>
    <n v="21350077"/>
    <n v="2216.89"/>
    <m/>
    <s v="N"/>
    <n v="41"/>
    <d v="2023-07-10T19:02:12"/>
    <s v="N"/>
    <s v="Preparation - other"/>
    <s v="Non Family Hourly Rates"/>
    <s v="Profit Cost"/>
    <s v="Alex McMahon"/>
    <s v="N"/>
    <n v="0"/>
    <n v="0"/>
    <x v="2"/>
    <s v="VALIDATED"/>
    <n v="1"/>
    <s v="01.11.80.203.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43"/>
    <d v="2023-07-10T19:02:12"/>
    <s v="Y"/>
    <s v="Preparation - other"/>
    <s v="Non Family Hourly Rates"/>
    <s v="Profit Cost"/>
    <s v="Alex McMahon"/>
    <s v="Y"/>
    <n v="7.16"/>
    <n v="0"/>
    <x v="2"/>
    <s v="VALIDATED"/>
    <n v="1"/>
    <s v="01.11.80.203.6100.0000"/>
    <n v="7.16"/>
    <s v="11"/>
    <s v="6100"/>
    <n v="15019.9"/>
    <n v="7.16"/>
    <s v="CREDITOR"/>
    <n v="0"/>
    <n v="0"/>
    <n v="0"/>
    <n v="0"/>
    <n v="7.16"/>
  </r>
  <r>
    <n v="60905887"/>
    <s v="N"/>
    <n v="21328113"/>
    <s v="3000015124520001"/>
    <s v="CIVIL"/>
    <d v="2023-06-21T00:00:00"/>
    <d v="2023-07-04T19:00:44"/>
    <m/>
    <d v="2023-07-04T00:00:00"/>
    <n v="304"/>
    <n v="4447"/>
    <s v="60905887"/>
    <s v="60905887"/>
    <m/>
    <m/>
    <n v="22734090"/>
    <m/>
    <m/>
    <m/>
    <s v="SOLFIN"/>
    <s v="SOLFIN"/>
    <s v="CCMS"/>
    <n v="21328113"/>
    <n v="1934.62"/>
    <m/>
    <s v="N"/>
    <n v="17"/>
    <d v="2023-07-04T19:01:04"/>
    <s v="Y"/>
    <s v="Preparation - other"/>
    <s v="Non Family Hourly Rates"/>
    <s v="Profit Cost"/>
    <s v="Adele Pinkett"/>
    <s v="Y"/>
    <n v="32.21"/>
    <n v="0"/>
    <x v="1"/>
    <s v="VALIDATED"/>
    <n v="1"/>
    <s v="01.11.80.203.6100.0000"/>
    <n v="32.21"/>
    <s v="11"/>
    <s v="6100"/>
    <n v="15019.9"/>
    <n v="32.21"/>
    <s v="CREDITOR"/>
    <n v="0"/>
    <n v="0"/>
    <n v="0"/>
    <n v="0"/>
    <n v="32.21"/>
  </r>
  <r>
    <n v="23687542"/>
    <s v="N"/>
    <n v="21319018"/>
    <s v="3000008814510007"/>
    <s v="CIVIL"/>
    <d v="2023-06-23T00:00:00"/>
    <d v="2023-07-03T19:01:49"/>
    <m/>
    <d v="2023-07-03T00:00:00"/>
    <n v="304"/>
    <n v="4447"/>
    <s v="23687542"/>
    <s v="23687542"/>
    <m/>
    <m/>
    <n v="22751600"/>
    <m/>
    <m/>
    <m/>
    <s v="SOLFIN"/>
    <s v="SOLFIN"/>
    <s v="CCMS"/>
    <n v="21319018"/>
    <n v="6901.59"/>
    <m/>
    <s v="N"/>
    <n v="7"/>
    <d v="2023-07-03T19:02:07"/>
    <s v="Y"/>
    <s v="Hearing Unit 2.31 - 5.00 Hours"/>
    <s v="Public Law Children"/>
    <s v="Advocacy"/>
    <s v="Jonathan Jonas"/>
    <s v="Y"/>
    <n v="476.92"/>
    <n v="95.38"/>
    <x v="3"/>
    <s v="VALIDATED"/>
    <n v="1"/>
    <s v="01.11.80.308.6100.0000"/>
    <n v="476.92"/>
    <s v="11"/>
    <s v="6100"/>
    <n v="15019.9"/>
    <n v="476.92"/>
    <s v="CREDITOR"/>
    <n v="0"/>
    <n v="0"/>
    <n v="0"/>
    <n v="0"/>
    <n v="476.92"/>
  </r>
  <r>
    <n v="10843165"/>
    <s v="N"/>
    <n v="21350077"/>
    <s v="3000006580830005"/>
    <s v="CIVIL"/>
    <d v="2023-06-19T00:00:00"/>
    <d v="2023-07-10T19:01:40"/>
    <m/>
    <d v="2023-07-10T00:00:00"/>
    <n v="304"/>
    <n v="4447"/>
    <s v="10843165"/>
    <s v="10843165"/>
    <m/>
    <m/>
    <n v="22717044"/>
    <m/>
    <m/>
    <m/>
    <s v="SOLFIN"/>
    <s v="SOLFIN"/>
    <s v="CCMS"/>
    <n v="21350077"/>
    <n v="2216.89"/>
    <m/>
    <s v="N"/>
    <n v="11"/>
    <d v="2023-07-10T19:02:12"/>
    <s v="Y"/>
    <s v="Interpreter"/>
    <s v="Non Family Hourly Rates"/>
    <s v="Expert Disbursement"/>
    <s v="Alex McMahon"/>
    <s v="Y"/>
    <n v="12.6"/>
    <n v="2.52"/>
    <x v="2"/>
    <s v="VALIDATED"/>
    <n v="1"/>
    <s v="01.11.80.203.6300.0000"/>
    <n v="12.6"/>
    <s v="11"/>
    <s v="6300"/>
    <n v="15019.9"/>
    <n v="12.6"/>
    <s v="CREDITOR"/>
    <n v="0"/>
    <n v="0"/>
    <n v="0"/>
    <n v="0"/>
    <n v="12.6"/>
  </r>
  <r>
    <n v="23687542"/>
    <s v="N"/>
    <n v="21319018"/>
    <s v="3000008814510007"/>
    <s v="CIVIL"/>
    <d v="2023-06-23T00:00:00"/>
    <d v="2023-07-03T19:01:49"/>
    <m/>
    <d v="2023-07-03T00:00:00"/>
    <n v="304"/>
    <n v="4447"/>
    <s v="23687542"/>
    <s v="23687542"/>
    <m/>
    <m/>
    <n v="22751600"/>
    <m/>
    <m/>
    <m/>
    <s v="SOLFIN"/>
    <s v="SOLFIN"/>
    <s v="CCMS"/>
    <n v="21319018"/>
    <n v="6901.59"/>
    <m/>
    <s v="N"/>
    <n v="8"/>
    <d v="2023-07-03T19:02:07"/>
    <s v="Y"/>
    <s v="Hearing Unit 2.31 - 5.00 Hours"/>
    <s v="Public Law Children"/>
    <s v="Advocacy"/>
    <s v="Jonathan Jonas"/>
    <s v="Y"/>
    <n v="476.92"/>
    <n v="95.38"/>
    <x v="3"/>
    <s v="VALIDATED"/>
    <n v="1"/>
    <s v="01.11.80.308.6100.0000"/>
    <n v="476.92"/>
    <s v="11"/>
    <s v="6100"/>
    <n v="15019.9"/>
    <n v="476.92"/>
    <s v="CREDITOR"/>
    <n v="0"/>
    <n v="0"/>
    <n v="0"/>
    <n v="0"/>
    <n v="476.92"/>
  </r>
  <r>
    <n v="10843165"/>
    <s v="N"/>
    <n v="21350077"/>
    <s v="3000006580830005"/>
    <s v="CIVIL"/>
    <d v="2023-06-19T00:00:00"/>
    <d v="2023-07-10T19:01:40"/>
    <m/>
    <d v="2023-07-10T00:00:00"/>
    <n v="304"/>
    <n v="4447"/>
    <s v="10843165"/>
    <s v="10843165"/>
    <m/>
    <m/>
    <n v="22717044"/>
    <m/>
    <m/>
    <m/>
    <s v="SOLFIN"/>
    <s v="SOLFIN"/>
    <s v="CCMS"/>
    <n v="21350077"/>
    <n v="2216.89"/>
    <m/>
    <s v="N"/>
    <n v="47"/>
    <d v="2023-07-10T19:02:12"/>
    <s v="Y"/>
    <s v="Preparation - other"/>
    <s v="Non Family Hourly Rates"/>
    <s v="Profit Cost"/>
    <s v="Alex McMahon"/>
    <s v="Y"/>
    <n v="14.31"/>
    <n v="0"/>
    <x v="2"/>
    <s v="VALIDATED"/>
    <n v="1"/>
    <s v="01.11.80.203.6100.0000"/>
    <n v="14.31"/>
    <s v="11"/>
    <s v="6100"/>
    <n v="15019.9"/>
    <n v="14.31"/>
    <s v="CREDITOR"/>
    <n v="0"/>
    <n v="0"/>
    <n v="0"/>
    <n v="0"/>
    <n v="14.31"/>
  </r>
  <r>
    <n v="10843165"/>
    <s v="N"/>
    <n v="21350077"/>
    <s v="3000006580830005"/>
    <s v="CIVIL"/>
    <d v="2023-06-19T00:00:00"/>
    <d v="2023-07-10T19:01:40"/>
    <m/>
    <d v="2023-07-10T00:00:00"/>
    <n v="304"/>
    <n v="4447"/>
    <s v="10843165"/>
    <s v="10843165"/>
    <m/>
    <m/>
    <n v="22717044"/>
    <m/>
    <m/>
    <m/>
    <s v="SOLFIN"/>
    <s v="SOLFIN"/>
    <s v="CCMS"/>
    <n v="21350077"/>
    <n v="2216.89"/>
    <m/>
    <s v="N"/>
    <n v="36"/>
    <d v="2023-07-10T19:02:12"/>
    <s v="N"/>
    <s v="Preparation - other"/>
    <s v="Non Family Hourly Rates"/>
    <s v="Profit Cost"/>
    <s v="Alex McMahon"/>
    <s v="N"/>
    <n v="0"/>
    <n v="0"/>
    <x v="2"/>
    <s v="VALIDATED"/>
    <n v="1"/>
    <s v="01.11.80.203.6100.0000"/>
    <n v="0"/>
    <s v="11"/>
    <s v="6100"/>
    <n v="15019.9"/>
    <n v="0"/>
    <s v="CREDITOR"/>
    <n v="0"/>
    <n v="0"/>
    <n v="0"/>
    <n v="0"/>
    <n v="0"/>
  </r>
  <r>
    <n v="10843165"/>
    <s v="N"/>
    <n v="21350077"/>
    <s v="3000006580830005"/>
    <s v="CIVIL"/>
    <d v="2023-06-19T00:00:00"/>
    <d v="2023-07-10T19:01:40"/>
    <m/>
    <d v="2023-07-10T00:00:00"/>
    <n v="304"/>
    <n v="4447"/>
    <s v="10843165"/>
    <s v="10843165"/>
    <m/>
    <m/>
    <n v="22717044"/>
    <m/>
    <m/>
    <m/>
    <s v="SOLFIN"/>
    <s v="SOLFIN"/>
    <s v="CCMS"/>
    <n v="21350077"/>
    <n v="2216.89"/>
    <m/>
    <s v="N"/>
    <n v="39"/>
    <d v="2023-07-10T19:02:12"/>
    <s v="N"/>
    <s v="Preparation - other"/>
    <s v="Non Family Hourly Rates"/>
    <s v="Profit Cost"/>
    <s v="Alex McMahon"/>
    <s v="N"/>
    <n v="0"/>
    <n v="0"/>
    <x v="2"/>
    <s v="VALIDATED"/>
    <n v="1"/>
    <s v="01.11.80.203.6100.0000"/>
    <n v="0"/>
    <s v="11"/>
    <s v="6100"/>
    <n v="15019.9"/>
    <n v="0"/>
    <s v="CREDITOR"/>
    <n v="0"/>
    <n v="0"/>
    <n v="0"/>
    <n v="0"/>
    <n v="0"/>
  </r>
  <r>
    <n v="62424979"/>
    <s v="N"/>
    <n v="21322676"/>
    <s v="3000016389090004"/>
    <s v="CIVIL"/>
    <d v="2023-06-29T00:00:00"/>
    <d v="2023-07-03T19:05:36"/>
    <m/>
    <d v="2023-07-03T00:00:00"/>
    <n v="304"/>
    <n v="4447"/>
    <s v="62424979"/>
    <s v="62424979"/>
    <m/>
    <m/>
    <n v="22790078"/>
    <m/>
    <m/>
    <m/>
    <s v="SOLPOA"/>
    <s v="SOLPOA"/>
    <s v="CCMS"/>
    <n v="21322676"/>
    <n v="167"/>
    <m/>
    <s v="N"/>
    <n v="1"/>
    <d v="2023-07-03T19:05:39"/>
    <s v="N"/>
    <s v="Non Expert Disbursement"/>
    <s v="Non Expert Disbursement"/>
    <s v="Non Expert Disbursement"/>
    <s v="Tom Trim"/>
    <s v="N"/>
    <n v="167"/>
    <n v="0"/>
    <x v="3"/>
    <s v="VALIDATED"/>
    <n v="1"/>
    <s v="01.11.80.308.2012.0000"/>
    <n v="167"/>
    <s v="11"/>
    <s v="2012"/>
    <n v="15019.9"/>
    <n v="167"/>
    <s v="CREDITOR"/>
    <n v="167"/>
    <n v="0"/>
    <n v="0"/>
    <n v="0"/>
    <n v="0"/>
  </r>
  <r>
    <n v="60905887"/>
    <s v="N"/>
    <n v="21328113"/>
    <s v="3000015124520001"/>
    <s v="CIVIL"/>
    <d v="2023-06-21T00:00:00"/>
    <d v="2023-07-04T19:00:44"/>
    <m/>
    <d v="2023-07-04T00:00:00"/>
    <n v="304"/>
    <n v="4447"/>
    <s v="60905887"/>
    <s v="60905887"/>
    <m/>
    <m/>
    <n v="22734090"/>
    <m/>
    <m/>
    <m/>
    <s v="SOLFIN"/>
    <s v="SOLFIN"/>
    <s v="CCMS"/>
    <n v="21328113"/>
    <n v="1934.62"/>
    <m/>
    <s v="N"/>
    <n v="5"/>
    <d v="2023-07-04T19:01:04"/>
    <s v="Y"/>
    <s v="Preparation - other"/>
    <s v="Non Family Hourly Rates"/>
    <s v="Profit Cost"/>
    <s v="Adele Pinkett"/>
    <s v="Y"/>
    <n v="7.16"/>
    <n v="0"/>
    <x v="1"/>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40"/>
    <d v="2023-07-10T19:02:12"/>
    <s v="Y"/>
    <s v="Attendance upon other"/>
    <s v="Non Family Hourly Rates"/>
    <s v="Profit Cost"/>
    <s v="Alex McMahon"/>
    <s v="Y"/>
    <n v="21.47"/>
    <n v="0"/>
    <x v="2"/>
    <s v="VALIDATED"/>
    <n v="1"/>
    <s v="01.11.80.203.6100.0000"/>
    <n v="21.47"/>
    <s v="11"/>
    <s v="6100"/>
    <n v="15019.9"/>
    <n v="21.47"/>
    <s v="CREDITOR"/>
    <n v="0"/>
    <n v="0"/>
    <n v="0"/>
    <n v="0"/>
    <n v="21.47"/>
  </r>
  <r>
    <n v="60905887"/>
    <s v="N"/>
    <n v="21328113"/>
    <s v="3000015124520001"/>
    <s v="CIVIL"/>
    <d v="2023-06-21T00:00:00"/>
    <d v="2023-07-04T19:00:44"/>
    <m/>
    <d v="2023-07-04T00:00:00"/>
    <n v="304"/>
    <n v="4447"/>
    <s v="60905887"/>
    <s v="60905887"/>
    <m/>
    <m/>
    <n v="22734090"/>
    <m/>
    <m/>
    <m/>
    <s v="SOLFIN"/>
    <s v="SOLFIN"/>
    <s v="CCMS"/>
    <n v="21328113"/>
    <n v="1934.62"/>
    <m/>
    <s v="N"/>
    <n v="8"/>
    <d v="2023-07-04T19:01:04"/>
    <s v="Y"/>
    <s v="Preparation - other"/>
    <s v="Non Family Hourly Rates"/>
    <s v="Profit Cost"/>
    <s v="Adele Pinkett"/>
    <s v="Y"/>
    <n v="7.16"/>
    <n v="0"/>
    <x v="1"/>
    <s v="VALIDATED"/>
    <n v="1"/>
    <s v="01.11.80.203.6100.0000"/>
    <n v="7.16"/>
    <s v="11"/>
    <s v="6100"/>
    <n v="15019.9"/>
    <n v="7.16"/>
    <s v="CREDITOR"/>
    <n v="0"/>
    <n v="0"/>
    <n v="0"/>
    <n v="0"/>
    <n v="7.16"/>
  </r>
  <r>
    <n v="60905887"/>
    <s v="N"/>
    <n v="21328113"/>
    <s v="3000015124520001"/>
    <s v="CIVIL"/>
    <d v="2023-06-21T00:00:00"/>
    <d v="2023-07-04T19:00:44"/>
    <m/>
    <d v="2023-07-04T00:00:00"/>
    <n v="304"/>
    <n v="4447"/>
    <s v="60905887"/>
    <s v="60905887"/>
    <m/>
    <m/>
    <n v="22734090"/>
    <m/>
    <m/>
    <m/>
    <s v="SOLFIN"/>
    <s v="SOLFIN"/>
    <s v="CCMS"/>
    <n v="21328113"/>
    <n v="1934.62"/>
    <m/>
    <s v="N"/>
    <n v="16"/>
    <d v="2023-07-04T19:01:04"/>
    <s v="Y"/>
    <s v="Attendance upon other"/>
    <s v="Non Family Hourly Rates"/>
    <s v="Profit Cost"/>
    <s v="Adele Pinkett"/>
    <s v="Y"/>
    <n v="547.37"/>
    <n v="0"/>
    <x v="1"/>
    <s v="VALIDATED"/>
    <n v="1"/>
    <s v="01.11.80.203.6100.0000"/>
    <n v="547.37"/>
    <s v="11"/>
    <s v="6100"/>
    <n v="15019.9"/>
    <n v="547.37"/>
    <s v="CREDITOR"/>
    <n v="0"/>
    <n v="0"/>
    <n v="0"/>
    <n v="0"/>
    <n v="547.37"/>
  </r>
  <r>
    <n v="60848285"/>
    <s v="N"/>
    <n v="21327920"/>
    <s v="3000015074040007"/>
    <s v="CIVIL"/>
    <d v="2023-06-23T00:00:00"/>
    <d v="2023-07-04T19:00:44"/>
    <m/>
    <d v="2023-07-04T00:00:00"/>
    <n v="304"/>
    <n v="4447"/>
    <s v="60848285"/>
    <s v="60848285"/>
    <m/>
    <m/>
    <n v="22751766"/>
    <m/>
    <m/>
    <m/>
    <s v="SOLFIN"/>
    <s v="SOLFIN"/>
    <s v="CCMS"/>
    <n v="21327920"/>
    <n v="5085.47"/>
    <m/>
    <s v="N"/>
    <n v="2"/>
    <d v="2023-07-04T19:00:58"/>
    <s v="Y"/>
    <s v="Risk assessment expert"/>
    <s v="Public Law Children"/>
    <s v="Expert Disbursement"/>
    <s v="Risk Solutions"/>
    <s v="Y"/>
    <n v="583.15"/>
    <n v="116.63"/>
    <x v="1"/>
    <s v="VALIDATED"/>
    <n v="1"/>
    <s v="01.11.80.308.6300.0000"/>
    <n v="583.15"/>
    <s v="11"/>
    <s v="6300"/>
    <n v="15019.9"/>
    <n v="583.15"/>
    <s v="CREDITOR"/>
    <n v="0"/>
    <n v="0"/>
    <n v="0"/>
    <n v="0"/>
    <n v="583.15"/>
  </r>
  <r>
    <n v="23687542"/>
    <s v="N"/>
    <n v="21319018"/>
    <s v="3000008814510007"/>
    <s v="CIVIL"/>
    <d v="2023-06-23T00:00:00"/>
    <d v="2023-07-03T19:01:49"/>
    <m/>
    <d v="2023-07-03T00:00:00"/>
    <n v="304"/>
    <n v="4447"/>
    <s v="23687542"/>
    <s v="23687542"/>
    <m/>
    <m/>
    <n v="22751600"/>
    <m/>
    <m/>
    <m/>
    <s v="SOLFIN"/>
    <s v="SOLFIN"/>
    <s v="CCMS"/>
    <n v="21319018"/>
    <n v="6901.59"/>
    <m/>
    <s v="N"/>
    <n v="9"/>
    <d v="2023-07-03T19:02:07"/>
    <s v="Y"/>
    <s v="Advocates Meeting"/>
    <s v="Public Law Children"/>
    <s v="Advocacy"/>
    <s v="Jonathan Jonas"/>
    <s v="Y"/>
    <n v="140.99"/>
    <n v="28.2"/>
    <x v="3"/>
    <s v="VALIDATED"/>
    <n v="1"/>
    <s v="01.11.80.308.6100.0000"/>
    <n v="140.99"/>
    <s v="11"/>
    <s v="6100"/>
    <n v="15019.9"/>
    <n v="140.99"/>
    <s v="CREDITOR"/>
    <n v="0"/>
    <n v="0"/>
    <n v="0"/>
    <n v="0"/>
    <n v="140.99"/>
  </r>
  <r>
    <n v="10843165"/>
    <s v="N"/>
    <n v="21350077"/>
    <s v="3000006580830005"/>
    <s v="CIVIL"/>
    <d v="2023-06-19T00:00:00"/>
    <d v="2023-07-10T19:01:40"/>
    <m/>
    <d v="2023-07-10T00:00:00"/>
    <n v="304"/>
    <n v="4447"/>
    <s v="10843165"/>
    <s v="10843165"/>
    <m/>
    <m/>
    <n v="22717044"/>
    <m/>
    <m/>
    <m/>
    <s v="SOLFIN"/>
    <s v="SOLFIN"/>
    <s v="CCMS"/>
    <n v="21350077"/>
    <n v="2216.89"/>
    <m/>
    <s v="N"/>
    <n v="32"/>
    <d v="2023-07-10T19:02:12"/>
    <s v="Y"/>
    <s v="Preparation - other"/>
    <s v="Non Family Hourly Rates"/>
    <s v="Profit Cost"/>
    <s v="Alex McMahon"/>
    <s v="Y"/>
    <n v="50.09"/>
    <n v="0"/>
    <x v="2"/>
    <s v="VALIDATED"/>
    <n v="1"/>
    <s v="01.11.80.203.6100.0000"/>
    <n v="50.09"/>
    <s v="11"/>
    <s v="6100"/>
    <n v="15019.9"/>
    <n v="50.09"/>
    <s v="CREDITOR"/>
    <n v="0"/>
    <n v="0"/>
    <n v="0"/>
    <n v="0"/>
    <n v="50.09"/>
  </r>
  <r>
    <n v="60905887"/>
    <s v="N"/>
    <n v="21328113"/>
    <s v="3000015124520001"/>
    <s v="CIVIL"/>
    <d v="2023-06-21T00:00:00"/>
    <d v="2023-07-04T19:00:44"/>
    <m/>
    <d v="2023-07-04T00:00:00"/>
    <n v="304"/>
    <n v="4447"/>
    <s v="60905887"/>
    <s v="60905887"/>
    <m/>
    <m/>
    <n v="22734090"/>
    <m/>
    <m/>
    <m/>
    <s v="SOLFIN"/>
    <s v="SOLFIN"/>
    <s v="CCMS"/>
    <n v="21328113"/>
    <n v="1934.62"/>
    <m/>
    <s v="N"/>
    <n v="2"/>
    <d v="2023-07-04T19:01:04"/>
    <s v="Y"/>
    <s v="Interpreter"/>
    <s v="Non Family Hourly Rates"/>
    <s v="Expert Disbursement"/>
    <s v="Adele Pinkett"/>
    <s v="Y"/>
    <n v="37.49"/>
    <n v="7.5"/>
    <x v="1"/>
    <s v="VALIDATED"/>
    <n v="1"/>
    <s v="01.11.80.203.6300.0000"/>
    <n v="37.49"/>
    <s v="11"/>
    <s v="6300"/>
    <n v="15019.9"/>
    <n v="37.49"/>
    <s v="CREDITOR"/>
    <n v="0"/>
    <n v="0"/>
    <n v="0"/>
    <n v="0"/>
    <n v="37.49"/>
  </r>
  <r>
    <n v="60905887"/>
    <s v="N"/>
    <n v="21328113"/>
    <s v="3000015124520001"/>
    <s v="CIVIL"/>
    <d v="2023-06-21T00:00:00"/>
    <d v="2023-07-04T19:00:44"/>
    <m/>
    <d v="2023-07-04T00:00:00"/>
    <n v="304"/>
    <n v="4447"/>
    <s v="60905887"/>
    <s v="60905887"/>
    <m/>
    <m/>
    <n v="22734090"/>
    <m/>
    <m/>
    <m/>
    <s v="SOLFIN"/>
    <s v="SOLFIN"/>
    <s v="CCMS"/>
    <n v="21328113"/>
    <n v="1934.62"/>
    <m/>
    <s v="N"/>
    <n v="26"/>
    <d v="2023-07-04T19:01:04"/>
    <s v="Y"/>
    <s v="Preparation - other"/>
    <s v="Non Family Hourly Rates"/>
    <s v="Profit Cost"/>
    <s v="Adele Pinkett"/>
    <s v="Y"/>
    <n v="7.16"/>
    <n v="0"/>
    <x v="1"/>
    <s v="VALIDATED"/>
    <n v="1"/>
    <s v="01.11.80.203.6100.0000"/>
    <n v="7.16"/>
    <s v="11"/>
    <s v="6100"/>
    <n v="15019.9"/>
    <n v="7.16"/>
    <s v="CREDITOR"/>
    <n v="0"/>
    <n v="0"/>
    <n v="0"/>
    <n v="0"/>
    <n v="7.16"/>
  </r>
  <r>
    <n v="10843165"/>
    <s v="N"/>
    <n v="21350077"/>
    <s v="3000006580830005"/>
    <s v="CIVIL"/>
    <d v="2023-06-19T00:00:00"/>
    <d v="2023-07-10T19:01:40"/>
    <m/>
    <d v="2023-07-10T00:00:00"/>
    <n v="304"/>
    <n v="4447"/>
    <s v="10843165"/>
    <s v="10843165"/>
    <m/>
    <m/>
    <n v="22717044"/>
    <m/>
    <m/>
    <m/>
    <s v="SOLFIN"/>
    <s v="SOLFIN"/>
    <s v="CCMS"/>
    <n v="21350077"/>
    <n v="2216.89"/>
    <m/>
    <s v="N"/>
    <n v="35"/>
    <d v="2023-07-10T19:02:12"/>
    <s v="Y"/>
    <s v="Preparation - other"/>
    <s v="Non Family Hourly Rates"/>
    <s v="Profit Cost"/>
    <s v="Alex McMahon"/>
    <s v="Y"/>
    <n v="42.93"/>
    <n v="0"/>
    <x v="2"/>
    <s v="VALIDATED"/>
    <n v="1"/>
    <s v="01.11.80.203.6100.0000"/>
    <n v="42.93"/>
    <s v="11"/>
    <s v="6100"/>
    <n v="15019.9"/>
    <n v="42.93"/>
    <s v="CREDITOR"/>
    <n v="0"/>
    <n v="0"/>
    <n v="0"/>
    <n v="0"/>
    <n v="42.93"/>
  </r>
  <r>
    <n v="61590532"/>
    <s v="N"/>
    <n v="21318446"/>
    <s v="3000015699230007"/>
    <s v="CIVIL"/>
    <d v="2023-06-23T00:00:00"/>
    <d v="2023-07-03T19:01:49"/>
    <m/>
    <d v="2023-07-03T00:00:00"/>
    <n v="304"/>
    <n v="4447"/>
    <s v="61590532"/>
    <s v="61590532"/>
    <m/>
    <m/>
    <n v="22748676"/>
    <m/>
    <m/>
    <m/>
    <s v="SOLFIN"/>
    <s v="SOLFIN"/>
    <s v="CCMS"/>
    <n v="21318446"/>
    <n v="4522.38"/>
    <m/>
    <s v="N"/>
    <n v="5"/>
    <d v="2023-07-03T19:01:56"/>
    <s v="Y"/>
    <s v="Hearing Unit 2.31 - 5.00 Hours"/>
    <s v="Public Law Children"/>
    <s v="Advocacy"/>
    <s v="Bridget Thompson"/>
    <s v="Y"/>
    <n v="476.92"/>
    <n v="95.38"/>
    <x v="3"/>
    <s v="VALIDATED"/>
    <n v="1"/>
    <s v="01.11.80.308.6100.0000"/>
    <n v="476.92"/>
    <s v="11"/>
    <s v="6100"/>
    <n v="15019.9"/>
    <n v="476.92"/>
    <s v="CREDITOR"/>
    <n v="0"/>
    <n v="0"/>
    <n v="0"/>
    <n v="0"/>
    <n v="476.92"/>
  </r>
  <r>
    <n v="10843165"/>
    <s v="N"/>
    <n v="21350077"/>
    <s v="3000006580830005"/>
    <s v="CIVIL"/>
    <d v="2023-06-19T00:00:00"/>
    <d v="2023-07-10T19:01:40"/>
    <m/>
    <d v="2023-07-10T00:00:00"/>
    <n v="304"/>
    <n v="4447"/>
    <s v="10843165"/>
    <s v="10843165"/>
    <m/>
    <m/>
    <n v="22717044"/>
    <m/>
    <m/>
    <m/>
    <s v="SOLFIN"/>
    <s v="SOLFIN"/>
    <s v="CCMS"/>
    <n v="21350077"/>
    <n v="2216.89"/>
    <m/>
    <s v="N"/>
    <n v="38"/>
    <d v="2023-07-10T19:02:12"/>
    <s v="Y"/>
    <s v="Attendance upon other"/>
    <s v="Non Family Hourly Rates"/>
    <s v="Profit Cost"/>
    <s v="Alex McMahon"/>
    <s v="Y"/>
    <n v="21.47"/>
    <n v="0"/>
    <x v="2"/>
    <s v="VALIDATED"/>
    <n v="1"/>
    <s v="01.11.80.203.6100.0000"/>
    <n v="21.47"/>
    <s v="11"/>
    <s v="6100"/>
    <n v="15019.9"/>
    <n v="21.47"/>
    <s v="CREDITOR"/>
    <n v="0"/>
    <n v="0"/>
    <n v="0"/>
    <n v="0"/>
    <n v="21.47"/>
  </r>
  <r>
    <n v="10843165"/>
    <s v="N"/>
    <n v="21350077"/>
    <s v="3000006580830005"/>
    <s v="CIVIL"/>
    <d v="2023-06-19T00:00:00"/>
    <d v="2023-07-10T19:01:40"/>
    <m/>
    <d v="2023-07-10T00:00:00"/>
    <n v="304"/>
    <n v="4447"/>
    <s v="10843165"/>
    <s v="10843165"/>
    <m/>
    <m/>
    <n v="22717044"/>
    <m/>
    <m/>
    <m/>
    <s v="SOLFIN"/>
    <s v="SOLFIN"/>
    <s v="CCMS"/>
    <n v="21350077"/>
    <n v="2216.89"/>
    <m/>
    <s v="N"/>
    <n v="1"/>
    <d v="2023-07-10T19:02:12"/>
    <s v="Y"/>
    <s v="Interpreter"/>
    <s v="Non Family Hourly Rates"/>
    <s v="Expert Disbursement"/>
    <s v="Alex McMahon"/>
    <s v="Y"/>
    <n v="12.6"/>
    <n v="2.52"/>
    <x v="2"/>
    <s v="VALIDATED"/>
    <n v="1"/>
    <s v="01.11.80.203.6300.0000"/>
    <n v="12.6"/>
    <s v="11"/>
    <s v="6300"/>
    <n v="15019.9"/>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24"/>
    <d v="2023-07-04T19:00:53"/>
    <s v="Y"/>
    <s v="Preparation - other"/>
    <s v="Non Family Hourly Rates"/>
    <s v="Profit Cost"/>
    <s v="AJM"/>
    <s v="Y"/>
    <n v="138.6"/>
    <n v="27.72"/>
    <x v="1"/>
    <s v="VALIDATED"/>
    <n v="1"/>
    <s v="01.11.80.208.6100.0000"/>
    <n v="138.6"/>
    <s v="11"/>
    <s v="6100"/>
    <n v="2293.51"/>
    <n v="138.6"/>
    <s v="CREDITOR"/>
    <n v="0"/>
    <n v="0"/>
    <n v="0"/>
    <n v="0"/>
    <n v="138.6"/>
  </r>
  <r>
    <n v="61206495"/>
    <s v="N"/>
    <n v="21319888"/>
    <s v="3000015358920006"/>
    <s v="CIVIL"/>
    <d v="2023-06-28T00:00:00"/>
    <d v="2023-07-03T19:04:24"/>
    <m/>
    <d v="2023-07-03T00:00:00"/>
    <n v="305"/>
    <n v="4558"/>
    <s v="61206495"/>
    <s v="61206495"/>
    <m/>
    <m/>
    <n v="22776074"/>
    <m/>
    <m/>
    <m/>
    <s v="SOLPOA"/>
    <s v="SOLPOA"/>
    <s v="CCMS"/>
    <n v="21319888"/>
    <n v="162.5"/>
    <m/>
    <s v="N"/>
    <n v="1"/>
    <d v="2023-07-03T19:04:28"/>
    <s v="N"/>
    <s v="Non Expert Disbursement - Domestic "/>
    <s v="Non Expert Disbursement - Dome"/>
    <s v="Non Expert Disbursement"/>
    <s v="ajm"/>
    <s v="N"/>
    <n v="162.5"/>
    <n v="0"/>
    <x v="3"/>
    <s v="VALIDATED"/>
    <n v="1"/>
    <s v="01.11.80.302.2012.0000"/>
    <n v="162.5"/>
    <s v="11"/>
    <s v="2012"/>
    <n v="2293.51"/>
    <n v="162.5"/>
    <s v="CREDITOR"/>
    <n v="162.5"/>
    <n v="0"/>
    <n v="0"/>
    <n v="0"/>
    <n v="0"/>
  </r>
  <r>
    <n v="61631423"/>
    <s v="N"/>
    <n v="21327720"/>
    <s v="3000015732750003"/>
    <s v="CIVIL"/>
    <d v="2023-06-23T00:00:00"/>
    <d v="2023-07-04T19:00:44"/>
    <m/>
    <d v="2023-07-04T00:00:00"/>
    <n v="305"/>
    <n v="4558"/>
    <s v="61631423"/>
    <s v="61631423"/>
    <m/>
    <m/>
    <n v="22755320"/>
    <m/>
    <m/>
    <m/>
    <s v="SOLFIN"/>
    <s v="SOLFIN"/>
    <s v="CCMS"/>
    <n v="21327720"/>
    <n v="1789.27"/>
    <m/>
    <s v="N"/>
    <n v="6"/>
    <d v="2023-07-04T19:00:53"/>
    <s v="Y"/>
    <s v="Preparation - drafting pleadings"/>
    <s v="Non Family Hourly Rates"/>
    <s v="Profit Cost"/>
    <s v="AJM"/>
    <s v="Y"/>
    <n v="44.1"/>
    <n v="8.82"/>
    <x v="1"/>
    <s v="VALIDATED"/>
    <n v="1"/>
    <s v="01.11.80.208.6100.0000"/>
    <n v="44.1"/>
    <s v="11"/>
    <s v="6100"/>
    <n v="2293.51"/>
    <n v="44.1"/>
    <s v="CREDITOR"/>
    <n v="0"/>
    <n v="0"/>
    <n v="0"/>
    <n v="0"/>
    <n v="44.1"/>
  </r>
  <r>
    <n v="61631423"/>
    <s v="N"/>
    <n v="21327720"/>
    <s v="3000015732750003"/>
    <s v="CIVIL"/>
    <d v="2023-06-23T00:00:00"/>
    <d v="2023-07-04T19:00:44"/>
    <m/>
    <d v="2023-07-04T00:00:00"/>
    <n v="305"/>
    <n v="4558"/>
    <s v="61631423"/>
    <s v="61631423"/>
    <m/>
    <m/>
    <n v="22755320"/>
    <m/>
    <m/>
    <m/>
    <s v="SOLFIN"/>
    <s v="SOLFIN"/>
    <s v="CCMS"/>
    <n v="21327720"/>
    <n v="1789.27"/>
    <m/>
    <s v="N"/>
    <n v="20"/>
    <d v="2023-07-04T19:00:53"/>
    <s v="Y"/>
    <s v="Attendance upon client"/>
    <s v="Non Family Hourly Rates"/>
    <s v="Profit Cost"/>
    <s v="AJM"/>
    <s v="Y"/>
    <n v="75.59999999999999"/>
    <n v="15.12"/>
    <x v="1"/>
    <s v="VALIDATED"/>
    <n v="1"/>
    <s v="01.11.80.208.6100.0000"/>
    <n v="75.59999999999999"/>
    <s v="11"/>
    <s v="6100"/>
    <n v="2293.51"/>
    <n v="75.59999999999999"/>
    <s v="CREDITOR"/>
    <n v="0"/>
    <n v="0"/>
    <n v="0"/>
    <n v="0"/>
    <n v="75.59999999999999"/>
  </r>
  <r>
    <n v="61631423"/>
    <s v="N"/>
    <n v="21327720"/>
    <s v="3000015732750003"/>
    <s v="CIVIL"/>
    <d v="2023-06-23T00:00:00"/>
    <d v="2023-07-04T19:00:44"/>
    <m/>
    <d v="2023-07-04T00:00:00"/>
    <n v="305"/>
    <n v="4558"/>
    <s v="61631423"/>
    <s v="61631423"/>
    <m/>
    <m/>
    <n v="22755320"/>
    <m/>
    <m/>
    <m/>
    <s v="SOLFIN"/>
    <s v="SOLFIN"/>
    <s v="CCMS"/>
    <n v="21327720"/>
    <n v="1789.27"/>
    <m/>
    <s v="N"/>
    <n v="8"/>
    <d v="2023-07-04T19:00:53"/>
    <s v="Y"/>
    <s v="Preparation - other"/>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29"/>
    <d v="2023-07-04T19:00:53"/>
    <s v="Y"/>
    <s v="Preparation - drafting application"/>
    <s v="Non Family Hourly Rates"/>
    <s v="Profit Cost"/>
    <s v="AJM"/>
    <s v="Y"/>
    <n v="44.1"/>
    <n v="8.82"/>
    <x v="1"/>
    <s v="VALIDATED"/>
    <n v="1"/>
    <s v="01.11.80.208.6100.0000"/>
    <n v="44.1"/>
    <s v="11"/>
    <s v="6100"/>
    <n v="2293.51"/>
    <n v="44.1"/>
    <s v="CREDITOR"/>
    <n v="0"/>
    <n v="0"/>
    <n v="0"/>
    <n v="0"/>
    <n v="44.1"/>
  </r>
  <r>
    <n v="61631423"/>
    <s v="N"/>
    <n v="21327720"/>
    <s v="3000015732750003"/>
    <s v="CIVIL"/>
    <d v="2023-06-23T00:00:00"/>
    <d v="2023-07-04T19:00:44"/>
    <m/>
    <d v="2023-07-04T00:00:00"/>
    <n v="305"/>
    <n v="4558"/>
    <s v="61631423"/>
    <s v="61631423"/>
    <m/>
    <m/>
    <n v="22755320"/>
    <m/>
    <m/>
    <m/>
    <s v="SOLFIN"/>
    <s v="SOLFIN"/>
    <s v="CCMS"/>
    <n v="21327720"/>
    <n v="1789.27"/>
    <m/>
    <s v="N"/>
    <n v="27"/>
    <d v="2023-07-04T19:00:53"/>
    <s v="Y"/>
    <s v="Preparation - other"/>
    <s v="Non Family Hourly Rates"/>
    <s v="Profit Cost"/>
    <s v="AJM"/>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11"/>
    <d v="2023-07-04T19:00:53"/>
    <s v="Y"/>
    <s v="Preparation - drafting application"/>
    <s v="Non Family Hourly Rates"/>
    <s v="Profit Cost"/>
    <s v="AJM"/>
    <s v="Y"/>
    <n v="31.5"/>
    <n v="6.3"/>
    <x v="1"/>
    <s v="VALIDATED"/>
    <n v="1"/>
    <s v="01.11.80.208.6100.0000"/>
    <n v="31.5"/>
    <s v="11"/>
    <s v="6100"/>
    <n v="2293.51"/>
    <n v="31.5"/>
    <s v="CREDITOR"/>
    <n v="0"/>
    <n v="0"/>
    <n v="0"/>
    <n v="0"/>
    <n v="31.5"/>
  </r>
  <r>
    <n v="61631423"/>
    <s v="N"/>
    <n v="21327720"/>
    <s v="3000015732750003"/>
    <s v="CIVIL"/>
    <d v="2023-06-23T00:00:00"/>
    <d v="2023-07-04T19:00:44"/>
    <m/>
    <d v="2023-07-04T00:00:00"/>
    <n v="305"/>
    <n v="4558"/>
    <s v="61631423"/>
    <s v="61631423"/>
    <m/>
    <m/>
    <n v="22755320"/>
    <m/>
    <m/>
    <m/>
    <s v="SOLFIN"/>
    <s v="SOLFIN"/>
    <s v="CCMS"/>
    <n v="21327720"/>
    <n v="1789.27"/>
    <m/>
    <s v="N"/>
    <n v="16"/>
    <d v="2023-07-04T19:00:53"/>
    <s v="Y"/>
    <s v="Preparation - drafting notice(s)"/>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30"/>
    <d v="2023-07-04T19:00:53"/>
    <s v="Y"/>
    <s v="Preparation - drafting instructions"/>
    <s v="Non Family Hourly Rates"/>
    <s v="Profit Cost"/>
    <s v="AJM"/>
    <s v="Y"/>
    <n v="94.5"/>
    <n v="18.9"/>
    <x v="1"/>
    <s v="VALIDATED"/>
    <n v="1"/>
    <s v="01.11.80.208.6100.0000"/>
    <n v="94.5"/>
    <s v="11"/>
    <s v="6100"/>
    <n v="2293.51"/>
    <n v="94.5"/>
    <s v="CREDITOR"/>
    <n v="0"/>
    <n v="0"/>
    <n v="0"/>
    <n v="0"/>
    <n v="94.5"/>
  </r>
  <r>
    <n v="61631423"/>
    <s v="N"/>
    <n v="21327720"/>
    <s v="3000015732750003"/>
    <s v="CIVIL"/>
    <d v="2023-06-23T00:00:00"/>
    <d v="2023-07-04T19:00:44"/>
    <m/>
    <d v="2023-07-04T00:00:00"/>
    <n v="305"/>
    <n v="4558"/>
    <s v="61631423"/>
    <s v="61631423"/>
    <m/>
    <m/>
    <n v="22755320"/>
    <m/>
    <m/>
    <m/>
    <s v="SOLFIN"/>
    <s v="SOLFIN"/>
    <s v="CCMS"/>
    <n v="21327720"/>
    <n v="1789.27"/>
    <m/>
    <s v="N"/>
    <n v="26"/>
    <d v="2023-07-04T19:00:53"/>
    <s v="Y"/>
    <s v="Preparation - drafting instructions"/>
    <s v="Non Family Hourly Rates"/>
    <s v="Profit Cost"/>
    <s v="AJM"/>
    <s v="Y"/>
    <n v="81.90000000000001"/>
    <n v="16.38"/>
    <x v="1"/>
    <s v="VALIDATED"/>
    <n v="1"/>
    <s v="01.11.80.208.6100.0000"/>
    <n v="81.90000000000001"/>
    <s v="11"/>
    <s v="6100"/>
    <n v="2293.51"/>
    <n v="81.90000000000001"/>
    <s v="CREDITOR"/>
    <n v="0"/>
    <n v="0"/>
    <n v="0"/>
    <n v="0"/>
    <n v="81.90000000000001"/>
  </r>
  <r>
    <n v="61631423"/>
    <s v="N"/>
    <n v="21327720"/>
    <s v="3000015732750003"/>
    <s v="CIVIL"/>
    <d v="2023-06-23T00:00:00"/>
    <d v="2023-07-04T19:00:44"/>
    <m/>
    <d v="2023-07-04T00:00:00"/>
    <n v="305"/>
    <n v="4558"/>
    <s v="61631423"/>
    <s v="61631423"/>
    <m/>
    <m/>
    <n v="22755320"/>
    <m/>
    <m/>
    <m/>
    <s v="SOLFIN"/>
    <s v="SOLFIN"/>
    <s v="CCMS"/>
    <n v="21327720"/>
    <n v="1789.27"/>
    <m/>
    <s v="N"/>
    <n v="4"/>
    <d v="2023-07-04T19:00:53"/>
    <s v="Y"/>
    <s v="Preparation - drafting consent orde"/>
    <s v="Non Family Hourly Rates"/>
    <s v="Profit Cost"/>
    <s v="AJM"/>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9"/>
    <d v="2023-07-04T19:00:53"/>
    <s v="Y"/>
    <s v="Preparation - drafting pleadings"/>
    <s v="Non Family Hourly Rates"/>
    <s v="Profit Cost"/>
    <s v="AJM"/>
    <s v="Y"/>
    <n v="88.2"/>
    <n v="17.64"/>
    <x v="1"/>
    <s v="VALIDATED"/>
    <n v="1"/>
    <s v="01.11.80.208.6100.0000"/>
    <n v="88.2"/>
    <s v="11"/>
    <s v="6100"/>
    <n v="2293.51"/>
    <n v="88.2"/>
    <s v="CREDITOR"/>
    <n v="0"/>
    <n v="0"/>
    <n v="0"/>
    <n v="0"/>
    <n v="88.2"/>
  </r>
  <r>
    <n v="61631423"/>
    <s v="N"/>
    <n v="21327720"/>
    <s v="3000015732750003"/>
    <s v="CIVIL"/>
    <d v="2023-06-23T00:00:00"/>
    <d v="2023-07-04T19:00:44"/>
    <m/>
    <d v="2023-07-04T00:00:00"/>
    <n v="305"/>
    <n v="4558"/>
    <s v="61631423"/>
    <s v="61631423"/>
    <m/>
    <m/>
    <n v="22755320"/>
    <m/>
    <m/>
    <m/>
    <s v="SOLFIN"/>
    <s v="SOLFIN"/>
    <s v="CCMS"/>
    <n v="21327720"/>
    <n v="1789.27"/>
    <m/>
    <s v="N"/>
    <n v="15"/>
    <d v="2023-07-04T19:00:53"/>
    <s v="Y"/>
    <s v="Preparation - drafting attendance n"/>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17"/>
    <d v="2023-07-04T19:00:53"/>
    <s v="Y"/>
    <s v="Preparation - drafting notice(s)"/>
    <s v="Non Family Hourly Rates"/>
    <s v="Profit Cost"/>
    <s v="AJM"/>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22"/>
    <d v="2023-07-04T19:00:53"/>
    <s v="Y"/>
    <s v="Preparation - other"/>
    <s v="Non Family Hourly Rates"/>
    <s v="Profit Cost"/>
    <s v="AJM"/>
    <s v="Y"/>
    <n v="25.2"/>
    <n v="5.04"/>
    <x v="1"/>
    <s v="VALIDATED"/>
    <n v="1"/>
    <s v="01.11.80.208.6100.0000"/>
    <n v="25.2"/>
    <s v="11"/>
    <s v="6100"/>
    <n v="2293.51"/>
    <n v="25.2"/>
    <s v="CREDITOR"/>
    <n v="0"/>
    <n v="0"/>
    <n v="0"/>
    <n v="0"/>
    <n v="25.2"/>
  </r>
  <r>
    <n v="61631423"/>
    <s v="N"/>
    <n v="21327720"/>
    <s v="3000015732750003"/>
    <s v="CIVIL"/>
    <d v="2023-06-23T00:00:00"/>
    <d v="2023-07-04T19:00:44"/>
    <m/>
    <d v="2023-07-04T00:00:00"/>
    <n v="305"/>
    <n v="4558"/>
    <s v="61631423"/>
    <s v="61631423"/>
    <m/>
    <m/>
    <n v="22755320"/>
    <m/>
    <m/>
    <m/>
    <s v="SOLFIN"/>
    <s v="SOLFIN"/>
    <s v="CCMS"/>
    <n v="21327720"/>
    <n v="1789.27"/>
    <m/>
    <s v="N"/>
    <n v="3"/>
    <d v="2023-07-04T19:00:53"/>
    <s v="Y"/>
    <s v="Preparation - drafting instructions"/>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10"/>
    <d v="2023-07-04T19:00:53"/>
    <s v="Y"/>
    <s v="Report - Medical report"/>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5"/>
    <d v="2023-07-04T19:00:53"/>
    <s v="Y"/>
    <s v="Preparation - drafting instructions"/>
    <s v="Non Family Hourly Rates"/>
    <s v="Profit Cost"/>
    <s v="AJM"/>
    <s v="Y"/>
    <n v="75.59999999999999"/>
    <n v="15.12"/>
    <x v="1"/>
    <s v="VALIDATED"/>
    <n v="1"/>
    <s v="01.11.80.208.6100.0000"/>
    <n v="75.59999999999999"/>
    <s v="11"/>
    <s v="6100"/>
    <n v="2293.51"/>
    <n v="75.59999999999999"/>
    <s v="CREDITOR"/>
    <n v="0"/>
    <n v="0"/>
    <n v="0"/>
    <n v="0"/>
    <n v="75.59999999999999"/>
  </r>
  <r>
    <n v="61631423"/>
    <s v="N"/>
    <n v="21327720"/>
    <s v="3000015732750003"/>
    <s v="CIVIL"/>
    <d v="2023-06-23T00:00:00"/>
    <d v="2023-07-04T19:00:44"/>
    <m/>
    <d v="2023-07-04T00:00:00"/>
    <n v="305"/>
    <n v="4558"/>
    <s v="61631423"/>
    <s v="61631423"/>
    <m/>
    <m/>
    <n v="22755320"/>
    <m/>
    <m/>
    <m/>
    <s v="SOLFIN"/>
    <s v="SOLFIN"/>
    <s v="CCMS"/>
    <n v="21327720"/>
    <n v="1789.27"/>
    <m/>
    <s v="N"/>
    <n v="23"/>
    <d v="2023-07-04T19:00:53"/>
    <s v="Y"/>
    <s v="Preparation - drafting statement"/>
    <s v="Non Family Hourly Rates"/>
    <s v="Profit Cost"/>
    <s v="AJM"/>
    <s v="Y"/>
    <n v="75.59999999999999"/>
    <n v="15.12"/>
    <x v="1"/>
    <s v="VALIDATED"/>
    <n v="1"/>
    <s v="01.11.80.208.6100.0000"/>
    <n v="75.59999999999999"/>
    <s v="11"/>
    <s v="6100"/>
    <n v="2293.51"/>
    <n v="75.59999999999999"/>
    <s v="CREDITOR"/>
    <n v="0"/>
    <n v="0"/>
    <n v="0"/>
    <n v="0"/>
    <n v="75.59999999999999"/>
  </r>
  <r>
    <n v="61631423"/>
    <s v="N"/>
    <n v="21327720"/>
    <s v="3000015732750003"/>
    <s v="CIVIL"/>
    <d v="2023-06-23T00:00:00"/>
    <d v="2023-07-04T19:00:44"/>
    <m/>
    <d v="2023-07-04T00:00:00"/>
    <n v="305"/>
    <n v="4558"/>
    <s v="61631423"/>
    <s v="61631423"/>
    <m/>
    <m/>
    <n v="22755320"/>
    <m/>
    <m/>
    <m/>
    <s v="SOLFIN"/>
    <s v="SOLFIN"/>
    <s v="CCMS"/>
    <n v="21327720"/>
    <n v="1789.27"/>
    <m/>
    <s v="N"/>
    <n v="7"/>
    <d v="2023-07-04T19:00:53"/>
    <s v="Y"/>
    <s v="Preparation - other"/>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21"/>
    <d v="2023-07-04T19:00:53"/>
    <s v="Y"/>
    <s v="Preparation - other"/>
    <s v="Non Family Hourly Rates"/>
    <s v="Profit Cost"/>
    <s v="DI"/>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31"/>
    <d v="2023-07-04T19:00:53"/>
    <s v="Y"/>
    <s v="Routine Telephone Call"/>
    <s v="Non Family Hourly Rates"/>
    <s v="Profit Cost"/>
    <s v="AJM"/>
    <s v="Y"/>
    <n v="19.74"/>
    <n v="3.95"/>
    <x v="1"/>
    <s v="VALIDATED"/>
    <n v="1"/>
    <s v="01.11.80.208.6100.0000"/>
    <n v="19.74"/>
    <s v="11"/>
    <s v="6100"/>
    <n v="2293.51"/>
    <n v="19.74"/>
    <s v="CREDITOR"/>
    <n v="0"/>
    <n v="0"/>
    <n v="0"/>
    <n v="0"/>
    <n v="19.74"/>
  </r>
  <r>
    <n v="59880296"/>
    <s v="N"/>
    <n v="21320395"/>
    <s v="3000014223370008"/>
    <s v="CIVIL"/>
    <d v="2023-06-28T00:00:00"/>
    <d v="2023-07-03T19:04:52"/>
    <m/>
    <d v="2023-07-03T00:00:00"/>
    <n v="305"/>
    <n v="4558"/>
    <s v="59880296"/>
    <s v="59880296"/>
    <m/>
    <m/>
    <n v="22780934"/>
    <m/>
    <m/>
    <m/>
    <s v="SOLPOA"/>
    <s v="SOLPOA"/>
    <s v="CCMS"/>
    <n v="21320395"/>
    <n v="1056"/>
    <m/>
    <s v="N"/>
    <n v="1"/>
    <d v="2023-07-03T19:04:54"/>
    <s v="N"/>
    <s v="Solicitors Fixed Fee"/>
    <s v="Public Law Children"/>
    <s v="Profit Cost"/>
    <s v="ajm"/>
    <s v="N"/>
    <n v="880"/>
    <n v="176"/>
    <x v="3"/>
    <s v="VALIDATED"/>
    <n v="1"/>
    <s v="01.11.80.305.2012.0000"/>
    <n v="880"/>
    <s v="11"/>
    <s v="2012"/>
    <n v="2293.51"/>
    <n v="880"/>
    <s v="CREDITOR"/>
    <n v="880"/>
    <n v="220"/>
    <n v="0"/>
    <n v="0"/>
    <n v="0"/>
  </r>
  <r>
    <n v="61631423"/>
    <s v="N"/>
    <n v="21327720"/>
    <s v="3000015732750003"/>
    <s v="CIVIL"/>
    <d v="2023-06-23T00:00:00"/>
    <d v="2023-07-04T19:00:44"/>
    <m/>
    <d v="2023-07-04T00:00:00"/>
    <n v="305"/>
    <n v="4558"/>
    <s v="61631423"/>
    <s v="61631423"/>
    <m/>
    <m/>
    <n v="22755320"/>
    <m/>
    <m/>
    <m/>
    <s v="SOLFIN"/>
    <s v="SOLFIN"/>
    <s v="CCMS"/>
    <n v="21327720"/>
    <n v="1789.27"/>
    <m/>
    <s v="N"/>
    <n v="28"/>
    <d v="2023-07-04T19:00:53"/>
    <s v="Y"/>
    <s v="Preparation - drafting pleadings"/>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19"/>
    <d v="2023-07-04T19:00:53"/>
    <s v="Y"/>
    <s v="Preparation - other"/>
    <s v="Non Family Hourly Rates"/>
    <s v="Profit Cost"/>
    <s v="DI"/>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25"/>
    <d v="2023-07-04T19:00:53"/>
    <s v="Y"/>
    <s v="Preparation - other"/>
    <s v="Non Family Hourly Rates"/>
    <s v="Profit Cost"/>
    <s v="AJM"/>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18"/>
    <d v="2023-07-04T19:00:53"/>
    <s v="Y"/>
    <s v="Attendance upon client"/>
    <s v="Non Family Hourly Rates"/>
    <s v="Profit Cost"/>
    <s v="AJM"/>
    <s v="Y"/>
    <n v="75.59999999999999"/>
    <n v="15.12"/>
    <x v="1"/>
    <s v="VALIDATED"/>
    <n v="1"/>
    <s v="01.11.80.208.6100.0000"/>
    <n v="75.59999999999999"/>
    <s v="11"/>
    <s v="6100"/>
    <n v="2293.51"/>
    <n v="75.59999999999999"/>
    <s v="CREDITOR"/>
    <n v="0"/>
    <n v="0"/>
    <n v="0"/>
    <n v="0"/>
    <n v="75.59999999999999"/>
  </r>
  <r>
    <n v="62216551"/>
    <s v="N"/>
    <n v="21318716"/>
    <s v="3000016214870002"/>
    <s v="CIVIL"/>
    <d v="2023-06-09T00:00:00"/>
    <d v="2023-07-03T19:01:49"/>
    <m/>
    <d v="2023-07-03T00:00:00"/>
    <n v="305"/>
    <n v="4558"/>
    <s v="62216551"/>
    <s v="62216551"/>
    <m/>
    <m/>
    <n v="22657776"/>
    <m/>
    <m/>
    <m/>
    <s v="SOLPOA"/>
    <s v="SOLPOA"/>
    <s v="CCMS"/>
    <n v="21318716"/>
    <n v="232"/>
    <m/>
    <s v="N"/>
    <n v="1"/>
    <d v="2023-07-03T19:02:02"/>
    <s v="N"/>
    <s v="Non Expert Disbursement"/>
    <s v="Non Expert Disbursement"/>
    <s v="Non Expert Disbursement"/>
    <s v="ajm"/>
    <s v="N"/>
    <n v="232"/>
    <n v="0"/>
    <x v="3"/>
    <s v="VALIDATED"/>
    <n v="1"/>
    <s v="01.11.80.307.2012.0000"/>
    <n v="232"/>
    <s v="11"/>
    <s v="2012"/>
    <n v="2293.51"/>
    <n v="232"/>
    <s v="CREDITOR"/>
    <n v="232"/>
    <n v="0"/>
    <n v="0"/>
    <n v="0"/>
    <n v="0"/>
  </r>
  <r>
    <n v="62352400"/>
    <s v="N"/>
    <n v="21319396"/>
    <s v="3000016334100001"/>
    <s v="CIVIL"/>
    <d v="2023-06-28T00:00:00"/>
    <d v="2023-07-03T19:04:24"/>
    <m/>
    <d v="2023-07-03T00:00:00"/>
    <n v="305"/>
    <n v="4558"/>
    <s v="62352400"/>
    <s v="62352400"/>
    <m/>
    <m/>
    <n v="22776398"/>
    <m/>
    <m/>
    <m/>
    <s v="SOLPOA"/>
    <s v="SOLPOA"/>
    <s v="CCMS"/>
    <n v="21319396"/>
    <n v="247.95"/>
    <m/>
    <s v="N"/>
    <n v="1"/>
    <d v="2023-07-03T19:04:25"/>
    <s v="N"/>
    <s v="Non Expert Disbursement - Domestic "/>
    <s v="Non Expert Disbursement - Dome"/>
    <s v="Non Expert Disbursement"/>
    <s v="AJM"/>
    <s v="N"/>
    <n v="247.95"/>
    <n v="0"/>
    <x v="3"/>
    <s v="VALIDATED"/>
    <n v="1"/>
    <s v="01.11.80.302.2012.0000"/>
    <n v="247.95"/>
    <s v="11"/>
    <s v="2012"/>
    <n v="2293.51"/>
    <n v="247.95"/>
    <s v="CREDITOR"/>
    <n v="247.95"/>
    <n v="0"/>
    <n v="0"/>
    <n v="0"/>
    <n v="0"/>
  </r>
  <r>
    <n v="61631423"/>
    <s v="N"/>
    <n v="21327720"/>
    <s v="3000015732750003"/>
    <s v="CIVIL"/>
    <d v="2023-06-23T00:00:00"/>
    <d v="2023-07-04T19:00:44"/>
    <m/>
    <d v="2023-07-04T00:00:00"/>
    <n v="305"/>
    <n v="4558"/>
    <s v="61631423"/>
    <s v="61631423"/>
    <m/>
    <m/>
    <n v="22755320"/>
    <m/>
    <m/>
    <m/>
    <s v="SOLFIN"/>
    <s v="SOLFIN"/>
    <s v="CCMS"/>
    <n v="21327720"/>
    <n v="1789.27"/>
    <m/>
    <s v="N"/>
    <n v="14"/>
    <d v="2023-07-04T19:00:53"/>
    <s v="Y"/>
    <s v="Preparation - other"/>
    <s v="Non Family Hourly Rates"/>
    <s v="Profit Cost"/>
    <s v="AJM"/>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12"/>
    <d v="2023-07-04T19:00:53"/>
    <s v="Y"/>
    <s v="Preparation - other"/>
    <s v="Non Family Hourly Rates"/>
    <s v="Profit Cost"/>
    <s v="AJM"/>
    <s v="Y"/>
    <n v="6.3"/>
    <n v="1.26"/>
    <x v="1"/>
    <s v="VALIDATED"/>
    <n v="1"/>
    <s v="01.11.80.208.6100.0000"/>
    <n v="6.3"/>
    <s v="11"/>
    <s v="6100"/>
    <n v="2293.51"/>
    <n v="6.3"/>
    <s v="CREDITOR"/>
    <n v="0"/>
    <n v="0"/>
    <n v="0"/>
    <n v="0"/>
    <n v="6.3"/>
  </r>
  <r>
    <n v="61631423"/>
    <s v="N"/>
    <n v="21327720"/>
    <s v="3000015732750003"/>
    <s v="CIVIL"/>
    <d v="2023-06-23T00:00:00"/>
    <d v="2023-07-04T19:00:44"/>
    <m/>
    <d v="2023-07-04T00:00:00"/>
    <n v="305"/>
    <n v="4558"/>
    <s v="61631423"/>
    <s v="61631423"/>
    <m/>
    <m/>
    <n v="22755320"/>
    <m/>
    <m/>
    <m/>
    <s v="SOLFIN"/>
    <s v="SOLFIN"/>
    <s v="CCMS"/>
    <n v="21327720"/>
    <n v="1789.27"/>
    <m/>
    <s v="N"/>
    <n v="13"/>
    <d v="2023-07-04T19:00:53"/>
    <s v="Y"/>
    <s v="Preparation - other"/>
    <s v="Non Family Hourly Rates"/>
    <s v="Profit Cost"/>
    <s v="AJM"/>
    <s v="Y"/>
    <n v="12.6"/>
    <n v="2.52"/>
    <x v="1"/>
    <s v="VALIDATED"/>
    <n v="1"/>
    <s v="01.11.80.208.6100.0000"/>
    <n v="12.6"/>
    <s v="11"/>
    <s v="6100"/>
    <n v="2293.51"/>
    <n v="12.6"/>
    <s v="CREDITOR"/>
    <n v="0"/>
    <n v="0"/>
    <n v="0"/>
    <n v="0"/>
    <n v="12.6"/>
  </r>
  <r>
    <n v="61631423"/>
    <s v="N"/>
    <n v="21327720"/>
    <s v="3000015732750003"/>
    <s v="CIVIL"/>
    <d v="2023-06-23T00:00:00"/>
    <d v="2023-07-04T19:00:44"/>
    <m/>
    <d v="2023-07-04T00:00:00"/>
    <n v="305"/>
    <n v="4558"/>
    <s v="61631423"/>
    <s v="61631423"/>
    <m/>
    <m/>
    <n v="22755320"/>
    <m/>
    <m/>
    <m/>
    <s v="SOLFIN"/>
    <s v="SOLFIN"/>
    <s v="CCMS"/>
    <n v="21327720"/>
    <n v="1789.27"/>
    <m/>
    <s v="N"/>
    <n v="1"/>
    <d v="2023-07-04T19:00:53"/>
    <s v="Y"/>
    <s v="Routine Letter Out"/>
    <s v="Non Family Hourly Rates"/>
    <s v="Profit Cost"/>
    <s v="AJM"/>
    <s v="Y"/>
    <n v="255.42"/>
    <n v="51.08"/>
    <x v="1"/>
    <s v="VALIDATED"/>
    <n v="1"/>
    <s v="01.11.80.208.6100.0000"/>
    <n v="255.42"/>
    <s v="11"/>
    <s v="6100"/>
    <n v="2293.51"/>
    <n v="255.42"/>
    <s v="CREDITOR"/>
    <n v="0"/>
    <n v="0"/>
    <n v="0"/>
    <n v="0"/>
    <n v="255.42"/>
  </r>
  <r>
    <n v="61631423"/>
    <s v="N"/>
    <n v="21327720"/>
    <s v="3000015732750003"/>
    <s v="CIVIL"/>
    <d v="2023-06-23T00:00:00"/>
    <d v="2023-07-04T19:00:44"/>
    <m/>
    <d v="2023-07-04T00:00:00"/>
    <n v="305"/>
    <n v="4558"/>
    <s v="61631423"/>
    <s v="61631423"/>
    <m/>
    <m/>
    <n v="22755320"/>
    <m/>
    <m/>
    <m/>
    <s v="SOLFIN"/>
    <s v="SOLFIN"/>
    <s v="CCMS"/>
    <n v="21327720"/>
    <n v="1789.27"/>
    <m/>
    <s v="N"/>
    <n v="2"/>
    <d v="2023-07-04T19:00:53"/>
    <s v="Y"/>
    <s v="Preparation - drafting bill/claim f"/>
    <s v="Non Family Hourly Rates"/>
    <s v="Profit Cost"/>
    <s v="DI"/>
    <s v="Y"/>
    <n v="100.8"/>
    <n v="20.16"/>
    <x v="1"/>
    <s v="VALIDATED"/>
    <n v="1"/>
    <s v="01.11.80.208.6100.0000"/>
    <n v="100.8"/>
    <s v="11"/>
    <s v="6100"/>
    <n v="2293.51"/>
    <n v="100.8"/>
    <s v="CREDITOR"/>
    <n v="0"/>
    <n v="0"/>
    <n v="0"/>
    <n v="0"/>
    <n v="100.8"/>
  </r>
  <r>
    <n v="61631423"/>
    <s v="N"/>
    <n v="21328582"/>
    <s v="3000015732750001RC"/>
    <s v="CIVIL"/>
    <d v="2023-06-23T00:00:00"/>
    <d v="2023-07-04T19:38:21"/>
    <m/>
    <d v="2023-07-04T00:00:00"/>
    <n v="305"/>
    <n v="4558"/>
    <s v="61631423"/>
    <s v="61631423"/>
    <m/>
    <m/>
    <m/>
    <m/>
    <m/>
    <m/>
    <s v="SOLRECOUP"/>
    <s v="SOLRECOUP"/>
    <s v="POARECOUP"/>
    <n v="21328582"/>
    <n v="-720"/>
    <m/>
    <s v="Y"/>
    <n v="2"/>
    <d v="2023-07-04T19:38:22"/>
    <s v="N"/>
    <m/>
    <m/>
    <s v="Profit Cost"/>
    <m/>
    <s v="N"/>
    <n v="0"/>
    <n v="-120"/>
    <x v="1"/>
    <s v="VALIDATED"/>
    <n v="1"/>
    <s v="01.11.80.208.2013.0000"/>
    <n v="-120"/>
    <s v="11"/>
    <s v="2013"/>
    <n v="2293.51"/>
    <n v="-120"/>
    <s v="CREDITOR"/>
    <n v="0"/>
    <n v="0"/>
    <n v="-120"/>
    <n v="-30"/>
    <n v="0"/>
  </r>
  <r>
    <n v="61631423"/>
    <s v="N"/>
    <n v="21328582"/>
    <s v="3000015732750001RC"/>
    <s v="CIVIL"/>
    <d v="2023-06-23T00:00:00"/>
    <d v="2023-07-04T19:38:21"/>
    <m/>
    <d v="2023-07-04T00:00:00"/>
    <n v="305"/>
    <n v="4558"/>
    <s v="61631423"/>
    <s v="61631423"/>
    <m/>
    <m/>
    <m/>
    <m/>
    <m/>
    <m/>
    <s v="SOLRECOUP"/>
    <s v="SOLRECOUP"/>
    <s v="POARECOUP"/>
    <n v="21328582"/>
    <n v="-720"/>
    <m/>
    <s v="Y"/>
    <n v="1"/>
    <d v="2023-07-04T19:38:22"/>
    <s v="N"/>
    <m/>
    <m/>
    <s v="Profit Cost"/>
    <m/>
    <s v="N"/>
    <n v="-600"/>
    <n v="0"/>
    <x v="1"/>
    <s v="VALIDATED"/>
    <n v="1"/>
    <s v="01.11.80.208.2013.0000"/>
    <n v="-600"/>
    <s v="11"/>
    <s v="2013"/>
    <n v="2293.51"/>
    <n v="-600"/>
    <s v="CREDITOR"/>
    <n v="0"/>
    <n v="0"/>
    <n v="-600"/>
    <n v="-150"/>
    <n v="0"/>
  </r>
  <r>
    <n v="61721025"/>
    <s v="N"/>
    <n v="21363019"/>
    <s v="3000015808740004"/>
    <s v="CIVIL"/>
    <d v="2023-06-29T00:00:00"/>
    <d v="2023-07-12T19:01:49"/>
    <m/>
    <d v="2023-07-12T00:00:00"/>
    <n v="313"/>
    <n v="5446"/>
    <s v="61721025"/>
    <s v="61721025"/>
    <m/>
    <m/>
    <n v="22789576"/>
    <m/>
    <m/>
    <m/>
    <s v="SOLFIN"/>
    <s v="SOLFIN"/>
    <s v="CCMS"/>
    <n v="21363019"/>
    <n v="969.6"/>
    <m/>
    <s v="N"/>
    <n v="2"/>
    <d v="2023-07-12T19:01:53"/>
    <s v="Y"/>
    <s v="Process server"/>
    <s v="Domestic Abuse"/>
    <s v="Expert Disbursement"/>
    <s v="bg"/>
    <s v="Y"/>
    <n v="100"/>
    <n v="20"/>
    <x v="0"/>
    <s v="VALIDATED"/>
    <n v="1"/>
    <s v="01.11.80.302.6300.0000"/>
    <n v="100"/>
    <s v="11"/>
    <s v="6300"/>
    <n v="10253.02"/>
    <n v="100"/>
    <s v="CREDITOR"/>
    <n v="0"/>
    <n v="0"/>
    <n v="0"/>
    <n v="0"/>
    <n v="100"/>
  </r>
  <r>
    <n v="61725818"/>
    <s v="N"/>
    <n v="21349612"/>
    <s v="3000015812900001"/>
    <s v="CIVIL"/>
    <d v="2023-06-26T00:00:00"/>
    <d v="2023-07-10T19:01:40"/>
    <m/>
    <d v="2023-07-10T00:00:00"/>
    <n v="313"/>
    <n v="5446"/>
    <s v="61725818"/>
    <s v="61725818"/>
    <m/>
    <m/>
    <n v="22765296"/>
    <m/>
    <m/>
    <m/>
    <s v="SOLPOA"/>
    <s v="SOLPOA"/>
    <s v="CCMS"/>
    <n v="21349612"/>
    <n v="120"/>
    <m/>
    <s v="N"/>
    <n v="1"/>
    <d v="2023-07-10T19:01:54"/>
    <s v="N"/>
    <s v="Non Expert Disbursement - Domestic "/>
    <s v="Non Expert Disbursement - Dome"/>
    <s v="Non Expert Disbursement"/>
    <s v="BG"/>
    <s v="N"/>
    <n v="100"/>
    <n v="20"/>
    <x v="2"/>
    <s v="VALIDATED"/>
    <n v="1"/>
    <s v="01.11.80.302.2012.0000"/>
    <n v="100"/>
    <s v="11"/>
    <s v="2012"/>
    <n v="10253.02"/>
    <n v="100"/>
    <s v="CREDITOR"/>
    <n v="100"/>
    <n v="0"/>
    <n v="0"/>
    <n v="0"/>
    <n v="0"/>
  </r>
  <r>
    <n v="61846454"/>
    <s v="N"/>
    <n v="21361044"/>
    <s v="3000015912980002"/>
    <s v="CIVIL"/>
    <d v="2023-06-30T00:00:00"/>
    <d v="2023-07-11T19:00:25"/>
    <m/>
    <d v="2023-07-11T00:00:00"/>
    <n v="313"/>
    <n v="5446"/>
    <s v="61846454"/>
    <s v="61846454"/>
    <m/>
    <m/>
    <n v="22800468"/>
    <m/>
    <m/>
    <m/>
    <s v="SOLFIN"/>
    <s v="SOLFIN"/>
    <s v="CCMS"/>
    <n v="21361044"/>
    <n v="1302.51"/>
    <m/>
    <s v="N"/>
    <n v="2"/>
    <d v="2023-07-11T19:00:43"/>
    <s v="Y"/>
    <s v="Process server"/>
    <s v="Domestic Abuse"/>
    <s v="Expert Disbursement"/>
    <s v="bg"/>
    <s v="Y"/>
    <n v="100"/>
    <n v="20"/>
    <x v="7"/>
    <s v="VALIDATED"/>
    <n v="1"/>
    <s v="01.11.80.302.6300.0000"/>
    <n v="100"/>
    <s v="11"/>
    <s v="6300"/>
    <n v="10253.02"/>
    <n v="100"/>
    <s v="CREDITOR"/>
    <n v="0"/>
    <n v="0"/>
    <n v="0"/>
    <n v="0"/>
    <n v="100"/>
  </r>
  <r>
    <n v="56180657"/>
    <s v="N"/>
    <n v="21350089"/>
    <s v="3000013323650001"/>
    <s v="CIVIL"/>
    <d v="2023-06-26T00:00:00"/>
    <d v="2023-07-10T19:01:40"/>
    <m/>
    <d v="2023-07-10T00:00:00"/>
    <n v="313"/>
    <n v="5446"/>
    <s v="56180657"/>
    <s v="56180657"/>
    <m/>
    <m/>
    <n v="22763916"/>
    <m/>
    <m/>
    <m/>
    <s v="SOLFIN"/>
    <s v="SOLFIN"/>
    <s v="CCMS"/>
    <n v="21350089"/>
    <n v="1239.91"/>
    <m/>
    <s v="N"/>
    <n v="2"/>
    <d v="2023-07-10T19:02:13"/>
    <s v="Y"/>
    <s v="Expert - Other"/>
    <s v="Domestic Abuse"/>
    <s v="Expert Disbursement"/>
    <s v="Ayse"/>
    <s v="Y"/>
    <n v="40"/>
    <n v="8"/>
    <x v="2"/>
    <s v="VALIDATED"/>
    <n v="1"/>
    <s v="01.11.80.302.6300.0000"/>
    <n v="40"/>
    <s v="11"/>
    <s v="6300"/>
    <n v="10253.02"/>
    <n v="40"/>
    <s v="CREDITOR"/>
    <n v="0"/>
    <n v="0"/>
    <n v="0"/>
    <n v="0"/>
    <n v="40"/>
  </r>
  <r>
    <n v="56180657"/>
    <s v="N"/>
    <n v="21350089"/>
    <s v="3000013323650001"/>
    <s v="CIVIL"/>
    <d v="2023-06-26T00:00:00"/>
    <d v="2023-07-10T19:01:40"/>
    <m/>
    <d v="2023-07-10T00:00:00"/>
    <n v="313"/>
    <n v="5446"/>
    <s v="56180657"/>
    <s v="56180657"/>
    <m/>
    <m/>
    <n v="22763916"/>
    <m/>
    <m/>
    <m/>
    <s v="SOLFIN"/>
    <s v="SOLFIN"/>
    <s v="CCMS"/>
    <n v="21350089"/>
    <n v="1239.91"/>
    <m/>
    <s v="N"/>
    <n v="3"/>
    <d v="2023-07-10T19:02:13"/>
    <s v="Y"/>
    <s v="Hearing Unit 1.01 - 2.30 Hours"/>
    <s v="Domestic Abuse"/>
    <s v="Advocacy"/>
    <s v="Ayse"/>
    <s v="Y"/>
    <n v="203.76"/>
    <n v="40.75"/>
    <x v="2"/>
    <s v="VALIDATED"/>
    <n v="1"/>
    <s v="01.11.80.302.6100.0000"/>
    <n v="203.76"/>
    <s v="11"/>
    <s v="6100"/>
    <n v="10253.02"/>
    <n v="203.76"/>
    <s v="CREDITOR"/>
    <n v="0"/>
    <n v="0"/>
    <n v="0"/>
    <n v="0"/>
    <n v="203.76"/>
  </r>
  <r>
    <n v="61984482"/>
    <s v="N"/>
    <n v="21318411"/>
    <s v="3000016029240001"/>
    <s v="CIVIL"/>
    <d v="2023-05-22T00:00:00"/>
    <d v="2023-07-03T19:01:49"/>
    <m/>
    <d v="2023-07-03T00:00:00"/>
    <n v="313"/>
    <n v="5446"/>
    <s v="61984482"/>
    <s v="61984482"/>
    <m/>
    <m/>
    <n v="22549900"/>
    <m/>
    <m/>
    <m/>
    <s v="SOLPOA"/>
    <s v="SOLPOA"/>
    <s v="CCMS"/>
    <n v="21318411"/>
    <n v="120"/>
    <m/>
    <s v="N"/>
    <n v="1"/>
    <d v="2023-07-03T19:01:54"/>
    <s v="N"/>
    <s v="Non Expert Disbursement - Domestic "/>
    <s v="Non Expert Disbursement - Dome"/>
    <s v="Non Expert Disbursement"/>
    <s v="bg"/>
    <s v="N"/>
    <n v="100"/>
    <n v="20"/>
    <x v="3"/>
    <s v="VALIDATED"/>
    <n v="1"/>
    <s v="01.11.80.302.2012.0000"/>
    <n v="100"/>
    <s v="11"/>
    <s v="2012"/>
    <n v="10253.02"/>
    <n v="100"/>
    <s v="CREDITOR"/>
    <n v="100"/>
    <n v="0"/>
    <n v="0"/>
    <n v="0"/>
    <n v="0"/>
  </r>
  <r>
    <n v="61580619"/>
    <s v="N"/>
    <n v="21395370"/>
    <s v="3000015689770001"/>
    <s v="CIVIL"/>
    <d v="2023-02-24T00:00:00"/>
    <d v="2023-07-19T19:02:01"/>
    <m/>
    <d v="2023-07-19T00:00:00"/>
    <n v="313"/>
    <n v="5446"/>
    <s v="61580619"/>
    <s v="61580619"/>
    <m/>
    <m/>
    <n v="22002124"/>
    <m/>
    <m/>
    <m/>
    <s v="SOLFIN"/>
    <s v="SOLFIN"/>
    <s v="CCMS"/>
    <n v="21395370"/>
    <n v="1067.4"/>
    <m/>
    <s v="N"/>
    <n v="3"/>
    <d v="2023-07-19T19:02:24"/>
    <s v="Y"/>
    <s v="Hearing Unit 0.00 - 1.00 Hours"/>
    <s v="Domestic Abuse"/>
    <s v="Advocacy"/>
    <s v="MH"/>
    <s v="Y"/>
    <n v="81.5"/>
    <n v="16.3"/>
    <x v="5"/>
    <s v="VALIDATED"/>
    <n v="1"/>
    <s v="01.11.80.302.6100.0000"/>
    <n v="81.5"/>
    <s v="11"/>
    <s v="6100"/>
    <n v="10253.02"/>
    <n v="81.5"/>
    <s v="CREDITOR"/>
    <n v="0"/>
    <n v="0"/>
    <n v="0"/>
    <n v="0"/>
    <n v="81.5"/>
  </r>
  <r>
    <n v="59653298"/>
    <s v="N"/>
    <n v="21320816"/>
    <s v="3000014047930013"/>
    <s v="CIVIL"/>
    <d v="2023-06-28T00:00:00"/>
    <d v="2023-07-03T19:04:52"/>
    <m/>
    <d v="2023-07-03T00:00:00"/>
    <n v="313"/>
    <n v="5446"/>
    <s v="59653298"/>
    <s v="59653298"/>
    <m/>
    <m/>
    <n v="22782404"/>
    <m/>
    <m/>
    <m/>
    <s v="SOLPOA"/>
    <s v="SOLPOA"/>
    <s v="CCMS"/>
    <n v="21320816"/>
    <n v="236.46"/>
    <m/>
    <s v="N"/>
    <n v="1"/>
    <d v="2023-07-03T19:04:56"/>
    <s v="N"/>
    <s v="Non Expert Disbursement - Private L"/>
    <s v="Non Expert Disbursement - Priv"/>
    <s v="Non Expert Disbursement"/>
    <s v="BG"/>
    <s v="N"/>
    <n v="197.05"/>
    <n v="39.41"/>
    <x v="3"/>
    <s v="VALIDATED"/>
    <n v="1"/>
    <s v="01.11.80.302.2012.0000"/>
    <n v="197.05"/>
    <s v="11"/>
    <s v="2012"/>
    <n v="10253.02"/>
    <n v="197.05"/>
    <s v="CREDITOR"/>
    <n v="197.05"/>
    <n v="0"/>
    <n v="0"/>
    <n v="0"/>
    <n v="0"/>
  </r>
  <r>
    <n v="60442164"/>
    <s v="N"/>
    <n v="21349989"/>
    <s v="3000014725820001"/>
    <s v="CIVIL"/>
    <d v="2023-06-29T00:00:00"/>
    <d v="2023-07-10T19:01:40"/>
    <m/>
    <d v="2023-07-10T00:00:00"/>
    <n v="313"/>
    <n v="5446"/>
    <s v="60442164"/>
    <s v="60442164"/>
    <m/>
    <m/>
    <n v="22790104"/>
    <m/>
    <m/>
    <m/>
    <s v="SOLFIN"/>
    <s v="SOLFIN"/>
    <s v="CCMS"/>
    <n v="21349989"/>
    <n v="729.6"/>
    <m/>
    <s v="N"/>
    <n v="1"/>
    <d v="2023-07-10T19:02:08"/>
    <s v="Y"/>
    <s v="Level 4 Fixed Fee"/>
    <s v="Domestic Abuse"/>
    <s v="Profit Cost"/>
    <s v="bg"/>
    <s v="Y"/>
    <n v="608"/>
    <n v="121.6"/>
    <x v="2"/>
    <s v="VALIDATED"/>
    <n v="1"/>
    <s v="01.11.80.302.6100.0000"/>
    <n v="608"/>
    <s v="11"/>
    <s v="6100"/>
    <n v="10253.02"/>
    <n v="608"/>
    <s v="CREDITOR"/>
    <n v="0"/>
    <n v="0"/>
    <n v="0"/>
    <n v="0"/>
    <n v="608"/>
  </r>
  <r>
    <n v="25191543"/>
    <s v="N"/>
    <n v="21344077"/>
    <s v="3000008583740003"/>
    <s v="CIVIL"/>
    <d v="2023-06-28T00:00:00"/>
    <d v="2023-07-07T19:03:00"/>
    <m/>
    <d v="2023-07-07T00:00:00"/>
    <n v="313"/>
    <n v="5446"/>
    <s v="25191543"/>
    <s v="25191543"/>
    <m/>
    <m/>
    <n v="22783514"/>
    <m/>
    <m/>
    <m/>
    <s v="SOLFIN"/>
    <s v="SOLFIN"/>
    <s v="CCMS"/>
    <n v="21344077"/>
    <n v="4961.79"/>
    <m/>
    <s v="N"/>
    <n v="3"/>
    <d v="2023-07-07T19:03:22"/>
    <s v="Y"/>
    <s v="Police Records"/>
    <s v="Domestic Abuse"/>
    <s v="Non Expert Disbursement"/>
    <s v="Bibi"/>
    <s v="Y"/>
    <n v="31.26"/>
    <n v="0"/>
    <x v="9"/>
    <s v="VALIDATED"/>
    <n v="1"/>
    <s v="01.11.80.302.6300.0000"/>
    <n v="31.26"/>
    <s v="11"/>
    <s v="6300"/>
    <n v="10253.02"/>
    <n v="31.26"/>
    <s v="CREDITOR"/>
    <n v="0"/>
    <n v="0"/>
    <n v="0"/>
    <n v="0"/>
    <n v="31.26"/>
  </r>
  <r>
    <n v="61838394"/>
    <s v="N"/>
    <n v="21370225"/>
    <s v="3000015905560002"/>
    <s v="CIVIL"/>
    <d v="2023-06-30T00:00:00"/>
    <d v="2023-07-13T19:21:05"/>
    <m/>
    <d v="2023-07-13T00:00:00"/>
    <n v="313"/>
    <n v="5446"/>
    <s v="61838394"/>
    <s v="61838394"/>
    <m/>
    <m/>
    <n v="22801340"/>
    <m/>
    <m/>
    <m/>
    <s v="SOLFIN"/>
    <s v="SOLFIN"/>
    <s v="CCMS"/>
    <n v="21370225"/>
    <n v="1283"/>
    <m/>
    <s v="N"/>
    <n v="1"/>
    <d v="2023-07-13T19:21:17"/>
    <s v="Y"/>
    <s v="Process server"/>
    <s v="Domestic Abuse"/>
    <s v="Expert Disbursement"/>
    <s v="BG"/>
    <s v="Y"/>
    <n v="100"/>
    <n v="20"/>
    <x v="11"/>
    <s v="VALIDATED"/>
    <n v="1"/>
    <s v="01.11.80.302.6300.0000"/>
    <n v="100"/>
    <s v="11"/>
    <s v="6300"/>
    <n v="10253.02"/>
    <n v="100"/>
    <s v="CREDITOR"/>
    <n v="0"/>
    <n v="0"/>
    <n v="0"/>
    <n v="0"/>
    <n v="100"/>
  </r>
  <r>
    <n v="61580619"/>
    <s v="N"/>
    <n v="21395370"/>
    <s v="3000015689770001"/>
    <s v="CIVIL"/>
    <d v="2023-02-24T00:00:00"/>
    <d v="2023-07-19T19:02:01"/>
    <m/>
    <d v="2023-07-19T00:00:00"/>
    <n v="313"/>
    <n v="5446"/>
    <s v="61580619"/>
    <s v="61580619"/>
    <m/>
    <m/>
    <n v="22002124"/>
    <m/>
    <m/>
    <m/>
    <s v="SOLFIN"/>
    <s v="SOLFIN"/>
    <s v="CCMS"/>
    <n v="21395370"/>
    <n v="1067.4"/>
    <m/>
    <s v="N"/>
    <n v="4"/>
    <d v="2023-07-19T19:02:24"/>
    <s v="Y"/>
    <s v="Level 4 Fixed Fee"/>
    <s v="Domestic Abuse"/>
    <s v="Profit Cost"/>
    <s v="MH"/>
    <s v="Y"/>
    <n v="608"/>
    <n v="121.6"/>
    <x v="5"/>
    <s v="VALIDATED"/>
    <n v="1"/>
    <s v="01.11.80.302.6100.0000"/>
    <n v="608"/>
    <s v="11"/>
    <s v="6100"/>
    <n v="10253.02"/>
    <n v="608"/>
    <s v="CREDITOR"/>
    <n v="0"/>
    <n v="0"/>
    <n v="0"/>
    <n v="0"/>
    <n v="608"/>
  </r>
  <r>
    <n v="61846454"/>
    <s v="N"/>
    <n v="21361044"/>
    <s v="3000015912980002"/>
    <s v="CIVIL"/>
    <d v="2023-06-30T00:00:00"/>
    <d v="2023-07-11T19:00:25"/>
    <m/>
    <d v="2023-07-11T00:00:00"/>
    <n v="313"/>
    <n v="5446"/>
    <s v="61846454"/>
    <s v="61846454"/>
    <m/>
    <m/>
    <n v="22800468"/>
    <m/>
    <m/>
    <m/>
    <s v="SOLFIN"/>
    <s v="SOLFIN"/>
    <s v="CCMS"/>
    <n v="21361044"/>
    <n v="1302.51"/>
    <m/>
    <s v="N"/>
    <n v="4"/>
    <d v="2023-07-11T19:00:43"/>
    <s v="Y"/>
    <s v="Level 4 Fixed Fee"/>
    <s v="Domestic Abuse"/>
    <s v="Profit Cost"/>
    <s v="bg"/>
    <s v="Y"/>
    <n v="608"/>
    <n v="121.6"/>
    <x v="7"/>
    <s v="VALIDATED"/>
    <n v="1"/>
    <s v="01.11.80.302.6100.0000"/>
    <n v="608"/>
    <s v="11"/>
    <s v="6100"/>
    <n v="10253.02"/>
    <n v="608"/>
    <s v="CREDITOR"/>
    <n v="0"/>
    <n v="0"/>
    <n v="0"/>
    <n v="0"/>
    <n v="608"/>
  </r>
  <r>
    <n v="61721025"/>
    <s v="N"/>
    <n v="21363019"/>
    <s v="3000015808740004"/>
    <s v="CIVIL"/>
    <d v="2023-06-29T00:00:00"/>
    <d v="2023-07-12T19:01:49"/>
    <m/>
    <d v="2023-07-12T00:00:00"/>
    <n v="313"/>
    <n v="5446"/>
    <s v="61721025"/>
    <s v="61721025"/>
    <m/>
    <m/>
    <n v="22789576"/>
    <m/>
    <m/>
    <m/>
    <s v="SOLFIN"/>
    <s v="SOLFIN"/>
    <s v="CCMS"/>
    <n v="21363019"/>
    <n v="969.6"/>
    <m/>
    <s v="N"/>
    <n v="3"/>
    <d v="2023-07-12T19:01:53"/>
    <s v="Y"/>
    <s v="Level 4 Fixed Fee"/>
    <s v="Domestic Abuse"/>
    <s v="Profit Cost"/>
    <s v="bg"/>
    <s v="Y"/>
    <n v="608"/>
    <n v="121.6"/>
    <x v="0"/>
    <s v="VALIDATED"/>
    <n v="1"/>
    <s v="01.11.80.302.6100.0000"/>
    <n v="608"/>
    <s v="11"/>
    <s v="6100"/>
    <n v="10253.02"/>
    <n v="608"/>
    <s v="CREDITOR"/>
    <n v="0"/>
    <n v="0"/>
    <n v="0"/>
    <n v="0"/>
    <n v="608"/>
  </r>
  <r>
    <n v="61846454"/>
    <s v="N"/>
    <n v="21361044"/>
    <s v="3000015912980002"/>
    <s v="CIVIL"/>
    <d v="2023-06-30T00:00:00"/>
    <d v="2023-07-11T19:00:25"/>
    <m/>
    <d v="2023-07-11T00:00:00"/>
    <n v="313"/>
    <n v="5446"/>
    <s v="61846454"/>
    <s v="61846454"/>
    <m/>
    <m/>
    <n v="22800468"/>
    <m/>
    <m/>
    <m/>
    <s v="SOLFIN"/>
    <s v="SOLFIN"/>
    <s v="CCMS"/>
    <n v="21361044"/>
    <n v="1302.51"/>
    <m/>
    <s v="N"/>
    <n v="1"/>
    <d v="2023-07-11T19:00:43"/>
    <s v="Y"/>
    <s v="Solicitor Travel Mileage"/>
    <s v="Domestic Abuse"/>
    <s v="Non Expert Disbursement"/>
    <s v="bg"/>
    <s v="Y"/>
    <n v="16.26"/>
    <n v="3.25"/>
    <x v="7"/>
    <s v="VALIDATED"/>
    <n v="1"/>
    <s v="01.11.80.302.6300.0000"/>
    <n v="16.26"/>
    <s v="11"/>
    <s v="6300"/>
    <n v="10253.02"/>
    <n v="16.26"/>
    <s v="CREDITOR"/>
    <n v="0"/>
    <n v="0"/>
    <n v="0"/>
    <n v="0"/>
    <n v="16.26"/>
  </r>
  <r>
    <n v="25191543"/>
    <s v="N"/>
    <n v="21344077"/>
    <s v="3000008583740003"/>
    <s v="CIVIL"/>
    <d v="2023-06-28T00:00:00"/>
    <d v="2023-07-07T19:03:00"/>
    <m/>
    <d v="2023-07-07T00:00:00"/>
    <n v="313"/>
    <n v="5446"/>
    <s v="25191543"/>
    <s v="25191543"/>
    <m/>
    <m/>
    <n v="22783514"/>
    <m/>
    <m/>
    <m/>
    <s v="SOLFIN"/>
    <s v="SOLFIN"/>
    <s v="CCMS"/>
    <n v="21344077"/>
    <n v="4961.79"/>
    <m/>
    <s v="N"/>
    <n v="4"/>
    <d v="2023-07-07T19:03:22"/>
    <s v="Y"/>
    <s v="Process server"/>
    <s v="Domestic Abuse"/>
    <s v="Expert Disbursement"/>
    <s v="Bibi"/>
    <s v="Y"/>
    <n v="100"/>
    <n v="20"/>
    <x v="9"/>
    <s v="VALIDATED"/>
    <n v="1"/>
    <s v="01.11.80.302.6300.0000"/>
    <n v="100"/>
    <s v="11"/>
    <s v="6300"/>
    <n v="10253.02"/>
    <n v="100"/>
    <s v="CREDITOR"/>
    <n v="0"/>
    <n v="0"/>
    <n v="0"/>
    <n v="0"/>
    <n v="100"/>
  </r>
  <r>
    <n v="61846454"/>
    <s v="N"/>
    <n v="21361044"/>
    <s v="3000015912980002"/>
    <s v="CIVIL"/>
    <d v="2023-06-30T00:00:00"/>
    <d v="2023-07-11T19:00:25"/>
    <m/>
    <d v="2023-07-11T00:00:00"/>
    <n v="313"/>
    <n v="5446"/>
    <s v="61846454"/>
    <s v="61846454"/>
    <m/>
    <m/>
    <n v="22800468"/>
    <m/>
    <m/>
    <m/>
    <s v="SOLFIN"/>
    <s v="SOLFIN"/>
    <s v="CCMS"/>
    <n v="21361044"/>
    <n v="1302.51"/>
    <m/>
    <s v="N"/>
    <n v="3"/>
    <d v="2023-07-11T19:00:43"/>
    <s v="Y"/>
    <s v="Final Hearing - 1 Day"/>
    <s v="Domestic Abuse"/>
    <s v="Advocacy"/>
    <s v="bg"/>
    <s v="Y"/>
    <n v="361.17"/>
    <n v="72.23"/>
    <x v="7"/>
    <s v="VALIDATED"/>
    <n v="1"/>
    <s v="01.11.80.302.6100.0000"/>
    <n v="361.17"/>
    <s v="11"/>
    <s v="6100"/>
    <n v="10253.02"/>
    <n v="361.17"/>
    <s v="CREDITOR"/>
    <n v="0"/>
    <n v="0"/>
    <n v="0"/>
    <n v="0"/>
    <n v="361.17"/>
  </r>
  <r>
    <n v="56180657"/>
    <s v="N"/>
    <n v="21350089"/>
    <s v="3000013323650001"/>
    <s v="CIVIL"/>
    <d v="2023-06-26T00:00:00"/>
    <d v="2023-07-10T19:01:40"/>
    <m/>
    <d v="2023-07-10T00:00:00"/>
    <n v="313"/>
    <n v="5446"/>
    <s v="56180657"/>
    <s v="56180657"/>
    <m/>
    <m/>
    <n v="22763916"/>
    <m/>
    <m/>
    <m/>
    <s v="SOLFIN"/>
    <s v="SOLFIN"/>
    <s v="CCMS"/>
    <n v="21350089"/>
    <n v="1239.91"/>
    <m/>
    <s v="N"/>
    <n v="5"/>
    <d v="2023-07-10T19:02:13"/>
    <s v="Y"/>
    <s v="Level 4 Fixed Fee"/>
    <s v="Domestic Abuse"/>
    <s v="Profit Cost"/>
    <s v="Ayse"/>
    <s v="Y"/>
    <n v="608"/>
    <n v="121.6"/>
    <x v="2"/>
    <s v="VALIDATED"/>
    <n v="1"/>
    <s v="01.11.80.302.6100.0000"/>
    <n v="608"/>
    <s v="11"/>
    <s v="6100"/>
    <n v="10253.02"/>
    <n v="608"/>
    <s v="CREDITOR"/>
    <n v="0"/>
    <n v="0"/>
    <n v="0"/>
    <n v="0"/>
    <n v="608"/>
  </r>
  <r>
    <n v="25191543"/>
    <s v="N"/>
    <n v="21344077"/>
    <s v="3000008583740003"/>
    <s v="CIVIL"/>
    <d v="2023-06-28T00:00:00"/>
    <d v="2023-07-07T19:03:00"/>
    <m/>
    <d v="2023-07-07T00:00:00"/>
    <n v="313"/>
    <n v="5446"/>
    <s v="25191543"/>
    <s v="25191543"/>
    <m/>
    <m/>
    <n v="22783514"/>
    <m/>
    <m/>
    <m/>
    <s v="SOLFIN"/>
    <s v="SOLFIN"/>
    <s v="CCMS"/>
    <n v="21344077"/>
    <n v="4961.79"/>
    <m/>
    <s v="N"/>
    <n v="6"/>
    <d v="2023-07-07T19:03:22"/>
    <s v="Y"/>
    <s v="Hearing Unit 0.00 - 1.00 Hours"/>
    <s v="Domestic Abuse"/>
    <s v="Advocacy"/>
    <s v="Bibi"/>
    <s v="Y"/>
    <n v="81.5"/>
    <n v="16.3"/>
    <x v="9"/>
    <s v="VALIDATED"/>
    <n v="1"/>
    <s v="01.11.80.302.6100.0000"/>
    <n v="81.5"/>
    <s v="11"/>
    <s v="6100"/>
    <n v="10253.02"/>
    <n v="81.5"/>
    <s v="CREDITOR"/>
    <n v="0"/>
    <n v="0"/>
    <n v="0"/>
    <n v="0"/>
    <n v="81.5"/>
  </r>
  <r>
    <n v="59869374"/>
    <s v="N"/>
    <n v="21338251"/>
    <s v="3000014229890002"/>
    <s v="CIVIL"/>
    <d v="2023-06-26T00:00:00"/>
    <d v="2023-07-06T19:21:01"/>
    <m/>
    <d v="2023-07-06T00:00:00"/>
    <n v="313"/>
    <n v="5446"/>
    <s v="59869374"/>
    <s v="59869374"/>
    <m/>
    <m/>
    <n v="22764024"/>
    <m/>
    <m/>
    <m/>
    <s v="SOLFIN"/>
    <s v="SOLFIN"/>
    <s v="CCMS"/>
    <n v="21338251"/>
    <n v="0"/>
    <m/>
    <s v="N"/>
    <n v="1"/>
    <d v="2023-07-06T19:21:14"/>
    <s v="N"/>
    <s v="NIL BILL"/>
    <s v="Domestic Abuse"/>
    <s v="Profit Cost"/>
    <s v="Ayse"/>
    <s v="N"/>
    <n v="0"/>
    <n v="0"/>
    <x v="4"/>
    <s v="VALIDATED"/>
    <n v="1"/>
    <s v="01.11.80.302.6100.0000"/>
    <n v="0"/>
    <s v="11"/>
    <s v="6100"/>
    <n v="10253.02"/>
    <n v="0"/>
    <s v="CREDITOR"/>
    <n v="0"/>
    <n v="0"/>
    <n v="0"/>
    <n v="0"/>
    <n v="0"/>
  </r>
  <r>
    <n v="25191543"/>
    <s v="N"/>
    <n v="21344077"/>
    <s v="3000008583740003"/>
    <s v="CIVIL"/>
    <d v="2023-06-28T00:00:00"/>
    <d v="2023-07-07T19:03:00"/>
    <m/>
    <d v="2023-07-07T00:00:00"/>
    <n v="313"/>
    <n v="5446"/>
    <s v="25191543"/>
    <s v="25191543"/>
    <m/>
    <m/>
    <n v="22783514"/>
    <m/>
    <m/>
    <m/>
    <s v="SOLFIN"/>
    <s v="SOLFIN"/>
    <s v="CCMS"/>
    <n v="21344077"/>
    <n v="4961.79"/>
    <m/>
    <s v="N"/>
    <n v="2"/>
    <d v="2023-07-07T19:03:22"/>
    <s v="Y"/>
    <s v="Police Records"/>
    <s v="Domestic Abuse"/>
    <s v="Non Expert Disbursement"/>
    <s v="Bibi"/>
    <s v="Y"/>
    <n v="93.45"/>
    <n v="0"/>
    <x v="9"/>
    <s v="VALIDATED"/>
    <n v="1"/>
    <s v="01.11.80.302.6300.0000"/>
    <n v="93.45"/>
    <s v="11"/>
    <s v="6300"/>
    <n v="10253.02"/>
    <n v="93.45"/>
    <s v="CREDITOR"/>
    <n v="0"/>
    <n v="0"/>
    <n v="0"/>
    <n v="0"/>
    <n v="93.45"/>
  </r>
  <r>
    <n v="61580619"/>
    <s v="N"/>
    <n v="21395370"/>
    <s v="3000015689770001"/>
    <s v="CIVIL"/>
    <d v="2023-02-24T00:00:00"/>
    <d v="2023-07-19T19:02:01"/>
    <m/>
    <d v="2023-07-19T00:00:00"/>
    <n v="313"/>
    <n v="5446"/>
    <s v="61580619"/>
    <s v="61580619"/>
    <m/>
    <m/>
    <n v="22002124"/>
    <m/>
    <m/>
    <m/>
    <s v="SOLFIN"/>
    <s v="SOLFIN"/>
    <s v="CCMS"/>
    <n v="21395370"/>
    <n v="1067.4"/>
    <m/>
    <s v="N"/>
    <n v="1"/>
    <d v="2023-07-19T19:02:24"/>
    <s v="Y"/>
    <s v="Process server"/>
    <s v="Domestic Abuse"/>
    <s v="Expert Disbursement"/>
    <s v="MH"/>
    <s v="Y"/>
    <n v="100"/>
    <n v="20"/>
    <x v="5"/>
    <s v="VALIDATED"/>
    <n v="1"/>
    <s v="01.11.80.302.6300.0000"/>
    <n v="100"/>
    <s v="11"/>
    <s v="6300"/>
    <n v="10253.02"/>
    <n v="100"/>
    <s v="CREDITOR"/>
    <n v="0"/>
    <n v="0"/>
    <n v="0"/>
    <n v="0"/>
    <n v="100"/>
  </r>
  <r>
    <n v="62455944"/>
    <s v="N"/>
    <n v="21320423"/>
    <s v="3000016420680001"/>
    <s v="CIVIL"/>
    <d v="2023-06-28T00:00:00"/>
    <d v="2023-07-03T19:04:52"/>
    <m/>
    <d v="2023-07-03T00:00:00"/>
    <n v="313"/>
    <n v="5446"/>
    <s v="62455944"/>
    <s v="62455944"/>
    <m/>
    <m/>
    <n v="22782254"/>
    <m/>
    <m/>
    <m/>
    <s v="SOLPOA"/>
    <s v="SOLPOA"/>
    <s v="CCMS"/>
    <n v="21320423"/>
    <n v="232"/>
    <m/>
    <s v="N"/>
    <n v="1"/>
    <d v="2023-07-03T19:04:54"/>
    <s v="N"/>
    <s v="Non Expert Disbursement - Private L"/>
    <s v="Non Expert Disbursement - Priv"/>
    <s v="Non Expert Disbursement"/>
    <s v="BG"/>
    <s v="N"/>
    <n v="232"/>
    <n v="0"/>
    <x v="3"/>
    <s v="VALIDATED"/>
    <n v="1"/>
    <s v="01.11.80.302.2012.0000"/>
    <n v="232"/>
    <s v="11"/>
    <s v="2012"/>
    <n v="10253.02"/>
    <n v="232"/>
    <s v="CREDITOR"/>
    <n v="232"/>
    <n v="0"/>
    <n v="0"/>
    <n v="0"/>
    <n v="0"/>
  </r>
  <r>
    <n v="25191543"/>
    <s v="N"/>
    <n v="21344077"/>
    <s v="3000008583740003"/>
    <s v="CIVIL"/>
    <d v="2023-06-28T00:00:00"/>
    <d v="2023-07-07T19:03:00"/>
    <m/>
    <d v="2023-07-07T00:00:00"/>
    <n v="313"/>
    <n v="5446"/>
    <s v="25191543"/>
    <s v="25191543"/>
    <m/>
    <m/>
    <n v="22783514"/>
    <m/>
    <m/>
    <m/>
    <s v="SOLFIN"/>
    <s v="SOLFIN"/>
    <s v="CCMS"/>
    <n v="21344077"/>
    <n v="4961.79"/>
    <m/>
    <s v="N"/>
    <n v="8"/>
    <d v="2023-07-07T19:03:22"/>
    <s v="Y"/>
    <s v="Hearing Unit 0.00 - 1.00 Hours"/>
    <s v="Domestic Abuse"/>
    <s v="Advocacy"/>
    <s v="Bibi"/>
    <s v="Y"/>
    <n v="81.5"/>
    <n v="16.3"/>
    <x v="9"/>
    <s v="VALIDATED"/>
    <n v="1"/>
    <s v="01.11.80.302.6100.0000"/>
    <n v="81.5"/>
    <s v="11"/>
    <s v="6100"/>
    <n v="10253.02"/>
    <n v="81.5"/>
    <s v="CREDITOR"/>
    <n v="0"/>
    <n v="0"/>
    <n v="0"/>
    <n v="0"/>
    <n v="81.5"/>
  </r>
  <r>
    <n v="62100943"/>
    <s v="N"/>
    <n v="21320224"/>
    <s v="3000016127790002"/>
    <s v="CIVIL"/>
    <d v="2023-06-28T00:00:00"/>
    <d v="2023-07-03T19:04:52"/>
    <m/>
    <d v="2023-07-03T00:00:00"/>
    <n v="313"/>
    <n v="5446"/>
    <s v="62100943"/>
    <s v="62100943"/>
    <m/>
    <m/>
    <n v="22782358"/>
    <m/>
    <m/>
    <m/>
    <s v="SOLPOA"/>
    <s v="SOLPOA"/>
    <s v="CCMS"/>
    <n v="21320224"/>
    <n v="695"/>
    <m/>
    <s v="N"/>
    <n v="1"/>
    <d v="2023-07-03T19:04:52"/>
    <s v="N"/>
    <s v="Non Expert Disbursement - Domestic "/>
    <s v="Non Expert Disbursement - Dome"/>
    <s v="Non Expert Disbursement"/>
    <s v="BG"/>
    <s v="N"/>
    <n v="695"/>
    <n v="0"/>
    <x v="3"/>
    <s v="VALIDATED"/>
    <n v="1"/>
    <s v="01.11.80.302.2012.0000"/>
    <n v="695"/>
    <s v="11"/>
    <s v="2012"/>
    <n v="10253.02"/>
    <n v="695"/>
    <s v="CREDITOR"/>
    <n v="695"/>
    <n v="0"/>
    <n v="0"/>
    <n v="0"/>
    <n v="0"/>
  </r>
  <r>
    <n v="61838394"/>
    <s v="N"/>
    <n v="21370225"/>
    <s v="3000015905560002"/>
    <s v="CIVIL"/>
    <d v="2023-06-30T00:00:00"/>
    <d v="2023-07-13T19:21:05"/>
    <m/>
    <d v="2023-07-13T00:00:00"/>
    <n v="313"/>
    <n v="5446"/>
    <s v="61838394"/>
    <s v="61838394"/>
    <m/>
    <m/>
    <n v="22801340"/>
    <m/>
    <m/>
    <m/>
    <s v="SOLFIN"/>
    <s v="SOLFIN"/>
    <s v="CCMS"/>
    <n v="21370225"/>
    <n v="1283"/>
    <m/>
    <s v="N"/>
    <n v="2"/>
    <d v="2023-07-13T19:21:17"/>
    <s v="Y"/>
    <s v="Final Hearing - 1 Day"/>
    <s v="Domestic Abuse"/>
    <s v="Advocacy"/>
    <s v="bg"/>
    <s v="Y"/>
    <n v="361.17"/>
    <n v="72.23"/>
    <x v="11"/>
    <s v="VALIDATED"/>
    <n v="1"/>
    <s v="01.11.80.302.6100.0000"/>
    <n v="361.17"/>
    <s v="11"/>
    <s v="6100"/>
    <n v="10253.02"/>
    <n v="361.17"/>
    <s v="CREDITOR"/>
    <n v="0"/>
    <n v="0"/>
    <n v="0"/>
    <n v="0"/>
    <n v="361.17"/>
  </r>
  <r>
    <n v="61580619"/>
    <s v="N"/>
    <n v="21395370"/>
    <s v="3000015689770001"/>
    <s v="CIVIL"/>
    <d v="2023-02-24T00:00:00"/>
    <d v="2023-07-19T19:02:01"/>
    <m/>
    <d v="2023-07-19T00:00:00"/>
    <n v="313"/>
    <n v="5446"/>
    <s v="61580619"/>
    <s v="61580619"/>
    <m/>
    <m/>
    <n v="22002124"/>
    <m/>
    <m/>
    <m/>
    <s v="SOLFIN"/>
    <s v="SOLFIN"/>
    <s v="CCMS"/>
    <n v="21395370"/>
    <n v="1067.4"/>
    <m/>
    <s v="N"/>
    <n v="2"/>
    <d v="2023-07-19T19:02:24"/>
    <s v="Y"/>
    <s v="Process server"/>
    <s v="Domestic Abuse"/>
    <s v="Expert Disbursement"/>
    <s v="MH"/>
    <s v="Y"/>
    <n v="100"/>
    <n v="20"/>
    <x v="5"/>
    <s v="VALIDATED"/>
    <n v="1"/>
    <s v="01.11.80.302.6300.0000"/>
    <n v="100"/>
    <s v="11"/>
    <s v="6300"/>
    <n v="10253.02"/>
    <n v="100"/>
    <s v="CREDITOR"/>
    <n v="0"/>
    <n v="0"/>
    <n v="0"/>
    <n v="0"/>
    <n v="100"/>
  </r>
  <r>
    <n v="56180657"/>
    <s v="N"/>
    <n v="21350089"/>
    <s v="3000013323650001"/>
    <s v="CIVIL"/>
    <d v="2023-06-26T00:00:00"/>
    <d v="2023-07-10T19:01:40"/>
    <m/>
    <d v="2023-07-10T00:00:00"/>
    <n v="313"/>
    <n v="5446"/>
    <s v="56180657"/>
    <s v="56180657"/>
    <m/>
    <m/>
    <n v="22763916"/>
    <m/>
    <m/>
    <m/>
    <s v="SOLFIN"/>
    <s v="SOLFIN"/>
    <s v="CCMS"/>
    <n v="21350089"/>
    <n v="1239.91"/>
    <m/>
    <s v="N"/>
    <n v="4"/>
    <d v="2023-07-10T19:02:13"/>
    <s v="Y"/>
    <s v="Hearing Unit 0.00 - 1.00 Hours"/>
    <s v="Domestic Abuse"/>
    <s v="Advocacy"/>
    <s v="Ayse"/>
    <s v="Y"/>
    <n v="81.5"/>
    <n v="16.3"/>
    <x v="2"/>
    <s v="VALIDATED"/>
    <n v="1"/>
    <s v="01.11.80.302.6100.0000"/>
    <n v="81.5"/>
    <s v="11"/>
    <s v="6100"/>
    <n v="10253.02"/>
    <n v="81.5"/>
    <s v="CREDITOR"/>
    <n v="0"/>
    <n v="0"/>
    <n v="0"/>
    <n v="0"/>
    <n v="81.5"/>
  </r>
  <r>
    <n v="56180657"/>
    <s v="N"/>
    <n v="21350089"/>
    <s v="3000013323650001"/>
    <s v="CIVIL"/>
    <d v="2023-06-26T00:00:00"/>
    <d v="2023-07-10T19:01:40"/>
    <m/>
    <d v="2023-07-10T00:00:00"/>
    <n v="313"/>
    <n v="5446"/>
    <s v="56180657"/>
    <s v="56180657"/>
    <m/>
    <m/>
    <n v="22763916"/>
    <m/>
    <m/>
    <m/>
    <s v="SOLFIN"/>
    <s v="SOLFIN"/>
    <s v="CCMS"/>
    <n v="21350089"/>
    <n v="1239.91"/>
    <m/>
    <s v="N"/>
    <n v="1"/>
    <d v="2023-07-10T19:02:13"/>
    <s v="Y"/>
    <s v="Process server"/>
    <s v="Domestic Abuse"/>
    <s v="Expert Disbursement"/>
    <s v="Ayse"/>
    <s v="Y"/>
    <n v="100"/>
    <n v="20"/>
    <x v="2"/>
    <s v="VALIDATED"/>
    <n v="1"/>
    <s v="01.11.80.302.6300.0000"/>
    <n v="100"/>
    <s v="11"/>
    <s v="6300"/>
    <n v="10253.02"/>
    <n v="100"/>
    <s v="CREDITOR"/>
    <n v="0"/>
    <n v="0"/>
    <n v="0"/>
    <n v="0"/>
    <n v="100"/>
  </r>
  <r>
    <n v="25191543"/>
    <s v="N"/>
    <n v="21344077"/>
    <s v="3000008583740003"/>
    <s v="CIVIL"/>
    <d v="2023-06-28T00:00:00"/>
    <d v="2023-07-07T19:03:00"/>
    <m/>
    <d v="2023-07-07T00:00:00"/>
    <n v="313"/>
    <n v="5446"/>
    <s v="25191543"/>
    <s v="25191543"/>
    <m/>
    <m/>
    <n v="22783514"/>
    <m/>
    <m/>
    <m/>
    <s v="SOLFIN"/>
    <s v="SOLFIN"/>
    <s v="CCMS"/>
    <n v="21344077"/>
    <n v="4961.79"/>
    <m/>
    <s v="N"/>
    <n v="5"/>
    <d v="2023-07-07T19:03:22"/>
    <s v="Y"/>
    <s v="Process server"/>
    <s v="Domestic Abuse"/>
    <s v="Expert Disbursement"/>
    <s v="Bibi"/>
    <s v="Y"/>
    <n v="100"/>
    <n v="20"/>
    <x v="9"/>
    <s v="VALIDATED"/>
    <n v="1"/>
    <s v="01.11.80.302.6300.0000"/>
    <n v="100"/>
    <s v="11"/>
    <s v="6300"/>
    <n v="10253.02"/>
    <n v="100"/>
    <s v="CREDITOR"/>
    <n v="0"/>
    <n v="0"/>
    <n v="0"/>
    <n v="0"/>
    <n v="100"/>
  </r>
  <r>
    <n v="61721025"/>
    <s v="N"/>
    <n v="21363019"/>
    <s v="3000015808740004"/>
    <s v="CIVIL"/>
    <d v="2023-06-29T00:00:00"/>
    <d v="2023-07-12T19:01:49"/>
    <m/>
    <d v="2023-07-12T00:00:00"/>
    <n v="313"/>
    <n v="5446"/>
    <s v="61721025"/>
    <s v="61721025"/>
    <m/>
    <m/>
    <n v="22789576"/>
    <m/>
    <m/>
    <m/>
    <s v="SOLFIN"/>
    <s v="SOLFIN"/>
    <s v="CCMS"/>
    <n v="21363019"/>
    <n v="969.6"/>
    <m/>
    <s v="N"/>
    <n v="1"/>
    <d v="2023-07-12T19:01:53"/>
    <s v="Y"/>
    <s v="Process server"/>
    <s v="Domestic Abuse"/>
    <s v="Expert Disbursement"/>
    <s v="bg"/>
    <s v="Y"/>
    <n v="100"/>
    <n v="20"/>
    <x v="0"/>
    <s v="VALIDATED"/>
    <n v="1"/>
    <s v="01.11.80.302.6300.0000"/>
    <n v="100"/>
    <s v="11"/>
    <s v="6300"/>
    <n v="10253.02"/>
    <n v="100"/>
    <s v="CREDITOR"/>
    <n v="0"/>
    <n v="0"/>
    <n v="0"/>
    <n v="0"/>
    <n v="100"/>
  </r>
  <r>
    <n v="25191543"/>
    <s v="N"/>
    <n v="21344077"/>
    <s v="3000008583740003"/>
    <s v="CIVIL"/>
    <d v="2023-06-28T00:00:00"/>
    <d v="2023-07-07T19:03:00"/>
    <m/>
    <d v="2023-07-07T00:00:00"/>
    <n v="313"/>
    <n v="5446"/>
    <s v="25191543"/>
    <s v="25191543"/>
    <m/>
    <m/>
    <n v="22783514"/>
    <m/>
    <m/>
    <m/>
    <s v="SOLFIN"/>
    <s v="SOLFIN"/>
    <s v="CCMS"/>
    <n v="21344077"/>
    <n v="4961.79"/>
    <m/>
    <s v="N"/>
    <n v="1"/>
    <d v="2023-07-07T19:03:22"/>
    <s v="Y"/>
    <s v="Profit Costs (Summary)"/>
    <s v="Domestic Abuse"/>
    <s v="Profit Cost"/>
    <s v="Bibi"/>
    <s v="Y"/>
    <n v="3586.4"/>
    <n v="717.28"/>
    <x v="9"/>
    <s v="VALIDATED"/>
    <n v="1"/>
    <s v="01.11.80.302.6100.0000"/>
    <n v="3586.4"/>
    <s v="11"/>
    <s v="6100"/>
    <n v="10253.02"/>
    <n v="3586.4"/>
    <s v="CREDITOR"/>
    <n v="0"/>
    <n v="0"/>
    <n v="0"/>
    <n v="0"/>
    <n v="3586.4"/>
  </r>
  <r>
    <n v="61838394"/>
    <s v="N"/>
    <n v="21370225"/>
    <s v="3000015905560002"/>
    <s v="CIVIL"/>
    <d v="2023-06-30T00:00:00"/>
    <d v="2023-07-13T19:21:05"/>
    <m/>
    <d v="2023-07-13T00:00:00"/>
    <n v="313"/>
    <n v="5446"/>
    <s v="61838394"/>
    <s v="61838394"/>
    <m/>
    <m/>
    <n v="22801340"/>
    <m/>
    <m/>
    <m/>
    <s v="SOLFIN"/>
    <s v="SOLFIN"/>
    <s v="CCMS"/>
    <n v="21370225"/>
    <n v="1283"/>
    <m/>
    <s v="N"/>
    <n v="3"/>
    <d v="2023-07-13T19:21:17"/>
    <s v="Y"/>
    <s v="Level 4 Fixed Fee"/>
    <s v="Domestic Abuse"/>
    <s v="Profit Cost"/>
    <s v="bg"/>
    <s v="Y"/>
    <n v="608"/>
    <n v="121.6"/>
    <x v="11"/>
    <s v="VALIDATED"/>
    <n v="1"/>
    <s v="01.11.80.302.6100.0000"/>
    <n v="608"/>
    <s v="11"/>
    <s v="6100"/>
    <n v="10253.02"/>
    <n v="608"/>
    <s v="CREDITOR"/>
    <n v="0"/>
    <n v="0"/>
    <n v="0"/>
    <n v="0"/>
    <n v="608"/>
  </r>
  <r>
    <n v="25191543"/>
    <s v="N"/>
    <n v="21344077"/>
    <s v="3000008583740003"/>
    <s v="CIVIL"/>
    <d v="2023-06-28T00:00:00"/>
    <d v="2023-07-07T19:03:00"/>
    <m/>
    <d v="2023-07-07T00:00:00"/>
    <n v="313"/>
    <n v="5446"/>
    <s v="25191543"/>
    <s v="25191543"/>
    <m/>
    <m/>
    <n v="22783514"/>
    <m/>
    <m/>
    <m/>
    <s v="SOLFIN"/>
    <s v="SOLFIN"/>
    <s v="CCMS"/>
    <n v="21344077"/>
    <n v="4961.79"/>
    <m/>
    <s v="N"/>
    <n v="7"/>
    <d v="2023-07-07T19:03:22"/>
    <s v="Y"/>
    <s v="Hearing Unit 0.00 - 1.00 Hours"/>
    <s v="Domestic Abuse"/>
    <s v="Advocacy"/>
    <s v="Bibi"/>
    <s v="Y"/>
    <n v="81.5"/>
    <n v="16.3"/>
    <x v="9"/>
    <s v="VALIDATED"/>
    <n v="1"/>
    <s v="01.11.80.302.6100.0000"/>
    <n v="81.5"/>
    <s v="11"/>
    <s v="6100"/>
    <n v="10253.02"/>
    <n v="81.5"/>
    <s v="CREDITOR"/>
    <n v="0"/>
    <n v="0"/>
    <n v="0"/>
    <n v="0"/>
    <n v="81.5"/>
  </r>
  <r>
    <n v="25191543"/>
    <s v="N"/>
    <n v="21346181"/>
    <s v="3000008583740001RC"/>
    <s v="CIVIL"/>
    <d v="2023-06-28T00:00:00"/>
    <d v="2023-07-07T19:34:21"/>
    <m/>
    <d v="2023-07-07T00:00:00"/>
    <n v="313"/>
    <n v="5446"/>
    <s v="25191543"/>
    <s v="25191543"/>
    <m/>
    <m/>
    <m/>
    <m/>
    <m/>
    <m/>
    <s v="SOLRECOUP"/>
    <s v="SOLRECOUP"/>
    <s v="POARECOUP"/>
    <n v="21346181"/>
    <n v="-120"/>
    <m/>
    <s v="Y"/>
    <n v="1"/>
    <d v="2023-07-07T19:34:22"/>
    <s v="N"/>
    <m/>
    <m/>
    <s v="Expert Disbursement"/>
    <m/>
    <s v="N"/>
    <n v="-100"/>
    <n v="0"/>
    <x v="9"/>
    <s v="VALIDATED"/>
    <n v="1"/>
    <s v="01.11.80.302.2013.0000"/>
    <n v="-100"/>
    <s v="11"/>
    <s v="2013"/>
    <n v="10253.02"/>
    <n v="-100"/>
    <s v="CREDITOR"/>
    <n v="0"/>
    <n v="0"/>
    <n v="-100"/>
    <n v="0"/>
    <n v="0"/>
  </r>
  <r>
    <n v="61838394"/>
    <s v="N"/>
    <n v="21371568"/>
    <s v="3000015905560001RC"/>
    <s v="CIVIL"/>
    <d v="2023-06-30T00:00:00"/>
    <d v="2023-07-13T19:53:16"/>
    <m/>
    <d v="2023-07-13T00:00:00"/>
    <n v="313"/>
    <n v="5446"/>
    <s v="61838394"/>
    <s v="61838394"/>
    <m/>
    <m/>
    <m/>
    <m/>
    <m/>
    <m/>
    <s v="SOLRECOUP"/>
    <s v="SOLRECOUP"/>
    <s v="POARECOUP"/>
    <n v="21371568"/>
    <n v="-120"/>
    <m/>
    <s v="Y"/>
    <n v="2"/>
    <d v="2023-07-13T19:53:16"/>
    <s v="N"/>
    <m/>
    <m/>
    <s v="Non Expert Disbursement"/>
    <m/>
    <s v="N"/>
    <n v="0"/>
    <n v="-20"/>
    <x v="11"/>
    <s v="VALIDATED"/>
    <n v="1"/>
    <s v="01.11.80.302.2013.0000"/>
    <n v="-20"/>
    <s v="11"/>
    <s v="2013"/>
    <n v="10253.02"/>
    <n v="-20"/>
    <s v="CREDITOR"/>
    <n v="0"/>
    <n v="0"/>
    <n v="-20"/>
    <n v="0"/>
    <n v="0"/>
  </r>
  <r>
    <n v="61838394"/>
    <s v="N"/>
    <n v="21371568"/>
    <s v="3000015905560001RC"/>
    <s v="CIVIL"/>
    <d v="2023-06-30T00:00:00"/>
    <d v="2023-07-13T19:53:16"/>
    <m/>
    <d v="2023-07-13T00:00:00"/>
    <n v="313"/>
    <n v="5446"/>
    <s v="61838394"/>
    <s v="61838394"/>
    <m/>
    <m/>
    <m/>
    <m/>
    <m/>
    <m/>
    <s v="SOLRECOUP"/>
    <s v="SOLRECOUP"/>
    <s v="POARECOUP"/>
    <n v="21371568"/>
    <n v="-120"/>
    <m/>
    <s v="Y"/>
    <n v="1"/>
    <d v="2023-07-13T19:53:16"/>
    <s v="N"/>
    <m/>
    <m/>
    <s v="Non Expert Disbursement"/>
    <m/>
    <s v="N"/>
    <n v="-100"/>
    <n v="0"/>
    <x v="11"/>
    <s v="VALIDATED"/>
    <n v="1"/>
    <s v="01.11.80.302.2013.0000"/>
    <n v="-100"/>
    <s v="11"/>
    <s v="2013"/>
    <n v="10253.02"/>
    <n v="-100"/>
    <s v="CREDITOR"/>
    <n v="0"/>
    <n v="0"/>
    <n v="-100"/>
    <n v="0"/>
    <n v="0"/>
  </r>
  <r>
    <n v="61721025"/>
    <s v="N"/>
    <n v="21366232"/>
    <s v="3000015808740001RC"/>
    <s v="CIVIL"/>
    <d v="2023-06-29T00:00:00"/>
    <d v="2023-07-12T19:45:17"/>
    <m/>
    <d v="2023-07-12T00:00:00"/>
    <n v="313"/>
    <n v="5446"/>
    <s v="61721025"/>
    <s v="61721025"/>
    <m/>
    <m/>
    <m/>
    <m/>
    <m/>
    <m/>
    <s v="SOLRECOUP"/>
    <s v="SOLRECOUP"/>
    <s v="POARECOUP"/>
    <n v="21366232"/>
    <n v="-120"/>
    <m/>
    <s v="Y"/>
    <n v="2"/>
    <d v="2023-07-12T19:45:17"/>
    <s v="N"/>
    <m/>
    <m/>
    <s v="Non Expert Disbursement"/>
    <m/>
    <s v="N"/>
    <n v="0"/>
    <n v="-20"/>
    <x v="0"/>
    <s v="VALIDATED"/>
    <n v="1"/>
    <s v="01.11.80.302.2013.0000"/>
    <n v="-20"/>
    <s v="11"/>
    <s v="2013"/>
    <n v="10253.02"/>
    <n v="-20"/>
    <s v="CREDITOR"/>
    <n v="0"/>
    <n v="0"/>
    <n v="-20"/>
    <n v="0"/>
    <n v="0"/>
  </r>
  <r>
    <n v="61721025"/>
    <s v="N"/>
    <n v="21366232"/>
    <s v="3000015808740001RC"/>
    <s v="CIVIL"/>
    <d v="2023-06-29T00:00:00"/>
    <d v="2023-07-12T19:45:17"/>
    <m/>
    <d v="2023-07-12T00:00:00"/>
    <n v="313"/>
    <n v="5446"/>
    <s v="61721025"/>
    <s v="61721025"/>
    <m/>
    <m/>
    <m/>
    <m/>
    <m/>
    <m/>
    <s v="SOLRECOUP"/>
    <s v="SOLRECOUP"/>
    <s v="POARECOUP"/>
    <n v="21366232"/>
    <n v="-120"/>
    <m/>
    <s v="Y"/>
    <n v="1"/>
    <d v="2023-07-12T19:45:17"/>
    <s v="N"/>
    <m/>
    <m/>
    <s v="Non Expert Disbursement"/>
    <m/>
    <s v="N"/>
    <n v="-100"/>
    <n v="0"/>
    <x v="0"/>
    <s v="VALIDATED"/>
    <n v="1"/>
    <s v="01.11.80.302.2013.0000"/>
    <n v="-100"/>
    <s v="11"/>
    <s v="2013"/>
    <n v="10253.02"/>
    <n v="-100"/>
    <s v="CREDITOR"/>
    <n v="0"/>
    <n v="0"/>
    <n v="-100"/>
    <n v="0"/>
    <n v="0"/>
  </r>
  <r>
    <n v="61721025"/>
    <s v="N"/>
    <n v="21366233"/>
    <s v="3000015808740002RC"/>
    <s v="CIVIL"/>
    <d v="2023-06-29T00:00:00"/>
    <d v="2023-07-12T19:45:17"/>
    <m/>
    <d v="2023-07-12T00:00:00"/>
    <n v="313"/>
    <n v="5446"/>
    <s v="61721025"/>
    <s v="61721025"/>
    <m/>
    <m/>
    <m/>
    <m/>
    <m/>
    <m/>
    <s v="SOLRECOUP"/>
    <s v="SOLRECOUP"/>
    <s v="POARECOUP"/>
    <n v="21366233"/>
    <n v="-120"/>
    <m/>
    <s v="Y"/>
    <n v="1"/>
    <d v="2023-07-12T19:45:17"/>
    <s v="N"/>
    <m/>
    <m/>
    <s v="Non Expert Disbursement"/>
    <m/>
    <s v="N"/>
    <n v="-100"/>
    <n v="0"/>
    <x v="0"/>
    <s v="VALIDATED"/>
    <n v="1"/>
    <s v="01.11.80.302.2013.0000"/>
    <n v="-100"/>
    <s v="11"/>
    <s v="2013"/>
    <n v="10253.02"/>
    <n v="-100"/>
    <s v="CREDITOR"/>
    <n v="0"/>
    <n v="0"/>
    <n v="-100"/>
    <n v="0"/>
    <n v="0"/>
  </r>
  <r>
    <n v="61721025"/>
    <s v="N"/>
    <n v="21366233"/>
    <s v="3000015808740002RC"/>
    <s v="CIVIL"/>
    <d v="2023-06-29T00:00:00"/>
    <d v="2023-07-12T19:45:17"/>
    <m/>
    <d v="2023-07-12T00:00:00"/>
    <n v="313"/>
    <n v="5446"/>
    <s v="61721025"/>
    <s v="61721025"/>
    <m/>
    <m/>
    <m/>
    <m/>
    <m/>
    <m/>
    <s v="SOLRECOUP"/>
    <s v="SOLRECOUP"/>
    <s v="POARECOUP"/>
    <n v="21366233"/>
    <n v="-120"/>
    <m/>
    <s v="Y"/>
    <n v="2"/>
    <d v="2023-07-12T19:45:17"/>
    <s v="N"/>
    <m/>
    <m/>
    <s v="Non Expert Disbursement"/>
    <m/>
    <s v="N"/>
    <n v="0"/>
    <n v="-20"/>
    <x v="0"/>
    <s v="VALIDATED"/>
    <n v="1"/>
    <s v="01.11.80.302.2013.0000"/>
    <n v="-20"/>
    <s v="11"/>
    <s v="2013"/>
    <n v="10253.02"/>
    <n v="-20"/>
    <s v="CREDITOR"/>
    <n v="0"/>
    <n v="0"/>
    <n v="-20"/>
    <n v="0"/>
    <n v="0"/>
  </r>
  <r>
    <n v="61846454"/>
    <s v="N"/>
    <n v="21361299"/>
    <s v="3000015912980001RC"/>
    <s v="CIVIL"/>
    <d v="2023-06-30T00:00:00"/>
    <d v="2023-07-11T19:38:00"/>
    <m/>
    <d v="2023-07-11T00:00:00"/>
    <n v="313"/>
    <n v="5446"/>
    <s v="61846454"/>
    <s v="61846454"/>
    <m/>
    <m/>
    <m/>
    <m/>
    <m/>
    <m/>
    <s v="SOLRECOUP"/>
    <s v="SOLRECOUP"/>
    <s v="POARECOUP"/>
    <n v="21361299"/>
    <n v="-120"/>
    <m/>
    <s v="Y"/>
    <n v="1"/>
    <d v="2023-07-11T19:38:00"/>
    <s v="N"/>
    <m/>
    <m/>
    <s v="Non Expert Disbursement"/>
    <m/>
    <s v="N"/>
    <n v="-100"/>
    <n v="0"/>
    <x v="7"/>
    <s v="VALIDATED"/>
    <n v="1"/>
    <s v="01.11.80.302.2013.0000"/>
    <n v="-100"/>
    <s v="11"/>
    <s v="2013"/>
    <n v="10253.02"/>
    <n v="-100"/>
    <s v="CREDITOR"/>
    <n v="0"/>
    <n v="0"/>
    <n v="-100"/>
    <n v="0"/>
    <n v="0"/>
  </r>
  <r>
    <n v="61846454"/>
    <s v="N"/>
    <n v="21361299"/>
    <s v="3000015912980001RC"/>
    <s v="CIVIL"/>
    <d v="2023-06-30T00:00:00"/>
    <d v="2023-07-11T19:38:00"/>
    <m/>
    <d v="2023-07-11T00:00:00"/>
    <n v="313"/>
    <n v="5446"/>
    <s v="61846454"/>
    <s v="61846454"/>
    <m/>
    <m/>
    <m/>
    <m/>
    <m/>
    <m/>
    <s v="SOLRECOUP"/>
    <s v="SOLRECOUP"/>
    <s v="POARECOUP"/>
    <n v="21361299"/>
    <n v="-120"/>
    <m/>
    <s v="Y"/>
    <n v="2"/>
    <d v="2023-07-11T19:38:00"/>
    <s v="N"/>
    <m/>
    <m/>
    <s v="Non Expert Disbursement"/>
    <m/>
    <s v="N"/>
    <n v="0"/>
    <n v="-20"/>
    <x v="7"/>
    <s v="VALIDATED"/>
    <n v="1"/>
    <s v="01.11.80.302.2013.0000"/>
    <n v="-20"/>
    <s v="11"/>
    <s v="2013"/>
    <n v="10253.02"/>
    <n v="-20"/>
    <s v="CREDITOR"/>
    <n v="0"/>
    <n v="0"/>
    <n v="-20"/>
    <n v="0"/>
    <n v="0"/>
  </r>
  <r>
    <n v="25191543"/>
    <s v="N"/>
    <n v="21346181"/>
    <s v="3000008583740001RC"/>
    <s v="CIVIL"/>
    <d v="2023-06-28T00:00:00"/>
    <d v="2023-07-07T19:34:21"/>
    <m/>
    <d v="2023-07-07T00:00:00"/>
    <n v="313"/>
    <n v="5446"/>
    <s v="25191543"/>
    <s v="25191543"/>
    <m/>
    <m/>
    <m/>
    <m/>
    <m/>
    <m/>
    <s v="SOLRECOUP"/>
    <s v="SOLRECOUP"/>
    <s v="POARECOUP"/>
    <n v="21346181"/>
    <n v="-120"/>
    <m/>
    <s v="Y"/>
    <n v="2"/>
    <d v="2023-07-07T19:34:22"/>
    <s v="N"/>
    <m/>
    <m/>
    <s v="Expert Disbursement"/>
    <m/>
    <s v="N"/>
    <n v="0"/>
    <n v="-20"/>
    <x v="9"/>
    <s v="VALIDATED"/>
    <n v="1"/>
    <s v="01.11.80.302.2013.0000"/>
    <n v="-20"/>
    <s v="11"/>
    <s v="2013"/>
    <n v="10253.02"/>
    <n v="-20"/>
    <s v="CREDITOR"/>
    <n v="0"/>
    <n v="0"/>
    <n v="-20"/>
    <n v="0"/>
    <n v="0"/>
  </r>
  <r>
    <n v="25191543"/>
    <s v="N"/>
    <n v="21346182"/>
    <s v="3000008583740002RC"/>
    <s v="CIVIL"/>
    <d v="2023-06-28T00:00:00"/>
    <d v="2023-07-07T19:34:21"/>
    <m/>
    <d v="2023-07-07T00:00:00"/>
    <n v="313"/>
    <n v="5446"/>
    <s v="25191543"/>
    <s v="25191543"/>
    <m/>
    <m/>
    <m/>
    <m/>
    <m/>
    <m/>
    <s v="SOLRECOUP"/>
    <s v="SOLRECOUP"/>
    <s v="POARECOUP"/>
    <n v="21346182"/>
    <n v="-120"/>
    <m/>
    <s v="Y"/>
    <n v="2"/>
    <d v="2023-07-07T19:34:22"/>
    <s v="N"/>
    <m/>
    <m/>
    <s v="Expert Disbursement"/>
    <m/>
    <s v="N"/>
    <n v="0"/>
    <n v="-20"/>
    <x v="9"/>
    <s v="VALIDATED"/>
    <n v="1"/>
    <s v="01.11.80.302.2013.0000"/>
    <n v="-20"/>
    <s v="11"/>
    <s v="2013"/>
    <n v="10253.02"/>
    <n v="-20"/>
    <s v="CREDITOR"/>
    <n v="0"/>
    <n v="0"/>
    <n v="-20"/>
    <n v="0"/>
    <n v="0"/>
  </r>
  <r>
    <n v="25191543"/>
    <s v="N"/>
    <n v="21346182"/>
    <s v="3000008583740002RC"/>
    <s v="CIVIL"/>
    <d v="2023-06-28T00:00:00"/>
    <d v="2023-07-07T19:34:21"/>
    <m/>
    <d v="2023-07-07T00:00:00"/>
    <n v="313"/>
    <n v="5446"/>
    <s v="25191543"/>
    <s v="25191543"/>
    <m/>
    <m/>
    <m/>
    <m/>
    <m/>
    <m/>
    <s v="SOLRECOUP"/>
    <s v="SOLRECOUP"/>
    <s v="POARECOUP"/>
    <n v="21346182"/>
    <n v="-120"/>
    <m/>
    <s v="Y"/>
    <n v="1"/>
    <d v="2023-07-07T19:34:22"/>
    <s v="N"/>
    <m/>
    <m/>
    <s v="Expert Disbursement"/>
    <m/>
    <s v="N"/>
    <n v="-100"/>
    <n v="0"/>
    <x v="9"/>
    <s v="VALIDATED"/>
    <n v="1"/>
    <s v="01.11.80.302.2013.0000"/>
    <n v="-100"/>
    <s v="11"/>
    <s v="2013"/>
    <n v="10253.02"/>
    <n v="-100"/>
    <s v="CREDITOR"/>
    <n v="0"/>
    <n v="0"/>
    <n v="-100"/>
    <n v="0"/>
    <n v="0"/>
  </r>
  <r>
    <n v="60541394"/>
    <s v="N"/>
    <n v="21322830"/>
    <s v="3000014811670030"/>
    <s v="CIVIL"/>
    <d v="2023-06-29T00:00:00"/>
    <d v="2023-07-03T19:05:36"/>
    <m/>
    <d v="2023-07-03T00:00:00"/>
    <n v="317"/>
    <n v="5891"/>
    <s v="60541394"/>
    <s v="60541394"/>
    <m/>
    <m/>
    <n v="22790362"/>
    <m/>
    <m/>
    <m/>
    <s v="SOLPOA"/>
    <s v="SOLPOA"/>
    <s v="CCMS"/>
    <n v="21322830"/>
    <n v="437.5"/>
    <m/>
    <s v="N"/>
    <n v="1"/>
    <d v="2023-07-03T19:05:40"/>
    <s v="N"/>
    <s v="Expert Cost"/>
    <s v="Expert Cost"/>
    <s v="Expert Disbursement"/>
    <s v="Narendra Mehta"/>
    <s v="N"/>
    <n v="437.5"/>
    <n v="0"/>
    <x v="3"/>
    <s v="VALIDATED"/>
    <n v="1"/>
    <s v="01.11.80.308.2012.0000"/>
    <n v="437.5"/>
    <s v="11"/>
    <s v="2012"/>
    <n v="1037.5"/>
    <n v="437.5"/>
    <s v="CREDITOR"/>
    <n v="437.5"/>
    <n v="0"/>
    <n v="0"/>
    <n v="0"/>
    <n v="0"/>
  </r>
  <r>
    <n v="60710082"/>
    <s v="N"/>
    <n v="21323150"/>
    <s v="3000014809720001"/>
    <s v="CIVIL"/>
    <d v="2023-06-29T00:00:00"/>
    <d v="2023-07-03T19:05:36"/>
    <m/>
    <d v="2023-07-03T00:00:00"/>
    <n v="317"/>
    <n v="5891"/>
    <s v="60710082"/>
    <s v="60710082"/>
    <m/>
    <m/>
    <n v="22793840"/>
    <m/>
    <m/>
    <m/>
    <s v="SOLPOA"/>
    <s v="SOLPOA"/>
    <s v="CCMS"/>
    <n v="21323150"/>
    <n v="720"/>
    <m/>
    <s v="N"/>
    <n v="1"/>
    <d v="2023-07-03T19:05:41"/>
    <s v="N"/>
    <s v="Expert Cost - Private Law Children"/>
    <s v="Expert Cost - Private Law Chil"/>
    <s v="Expert Disbursement"/>
    <s v="Narendra Mehta"/>
    <s v="N"/>
    <n v="600"/>
    <n v="120"/>
    <x v="3"/>
    <s v="VALIDATED"/>
    <n v="1"/>
    <s v="01.11.80.302.2012.0000"/>
    <n v="600"/>
    <s v="11"/>
    <s v="2012"/>
    <n v="1037.5"/>
    <n v="600"/>
    <s v="CREDITOR"/>
    <n v="600"/>
    <n v="0"/>
    <n v="0"/>
    <n v="0"/>
    <n v="0"/>
  </r>
  <r>
    <n v="33970544"/>
    <s v="N"/>
    <n v="21350017"/>
    <s v="3000009967530022"/>
    <s v="CIVIL"/>
    <d v="2023-06-30T00:00:00"/>
    <d v="2023-07-10T19:01:40"/>
    <m/>
    <d v="2023-07-10T00:00:00"/>
    <n v="322"/>
    <n v="15873"/>
    <s v="33970544"/>
    <s v="33970544"/>
    <m/>
    <m/>
    <n v="22796740"/>
    <m/>
    <m/>
    <m/>
    <s v="SOLFIN"/>
    <s v="SOLFIN"/>
    <s v="CCMS"/>
    <n v="21350017"/>
    <n v="22771.74"/>
    <m/>
    <s v="N"/>
    <n v="10"/>
    <d v="2023-07-10T19:02:09"/>
    <s v="Y"/>
    <s v="Toxicologist"/>
    <s v="Public Law Children"/>
    <s v="Expert Disbursement"/>
    <s v="Julie Armstrong"/>
    <s v="Y"/>
    <n v="285"/>
    <n v="57"/>
    <x v="2"/>
    <s v="VALIDATED"/>
    <n v="1"/>
    <s v="01.11.80.308.6300.0000"/>
    <n v="285"/>
    <s v="11"/>
    <s v="6300"/>
    <n v="15075.32"/>
    <n v="285"/>
    <s v="CREDITOR"/>
    <n v="0"/>
    <n v="0"/>
    <n v="0"/>
    <n v="0"/>
    <n v="285"/>
  </r>
  <r>
    <n v="33970544"/>
    <s v="N"/>
    <n v="21350017"/>
    <s v="3000009967530022"/>
    <s v="CIVIL"/>
    <d v="2023-06-30T00:00:00"/>
    <d v="2023-07-10T19:01:40"/>
    <m/>
    <d v="2023-07-10T00:00:00"/>
    <n v="322"/>
    <n v="15873"/>
    <s v="33970544"/>
    <s v="33970544"/>
    <m/>
    <m/>
    <n v="22796740"/>
    <m/>
    <m/>
    <m/>
    <s v="SOLFIN"/>
    <s v="SOLFIN"/>
    <s v="CCMS"/>
    <n v="21350017"/>
    <n v="22771.74"/>
    <m/>
    <s v="N"/>
    <n v="11"/>
    <d v="2023-07-10T19:02:09"/>
    <s v="Y"/>
    <s v="Toxicologist"/>
    <s v="Public Law Children"/>
    <s v="Expert Disbursement"/>
    <s v="Julie Armstrong"/>
    <s v="Y"/>
    <n v="115"/>
    <n v="23"/>
    <x v="2"/>
    <s v="VALIDATED"/>
    <n v="1"/>
    <s v="01.11.80.308.6300.0000"/>
    <n v="115"/>
    <s v="11"/>
    <s v="6300"/>
    <n v="15075.32"/>
    <n v="115"/>
    <s v="CREDITOR"/>
    <n v="0"/>
    <n v="0"/>
    <n v="0"/>
    <n v="0"/>
    <n v="115"/>
  </r>
  <r>
    <n v="33970544"/>
    <s v="N"/>
    <n v="21350017"/>
    <s v="3000009967530022"/>
    <s v="CIVIL"/>
    <d v="2023-06-30T00:00:00"/>
    <d v="2023-07-10T19:01:40"/>
    <m/>
    <d v="2023-07-10T00:00:00"/>
    <n v="322"/>
    <n v="15873"/>
    <s v="33970544"/>
    <s v="33970544"/>
    <m/>
    <m/>
    <n v="22796740"/>
    <m/>
    <m/>
    <m/>
    <s v="SOLFIN"/>
    <s v="SOLFIN"/>
    <s v="CCMS"/>
    <n v="21350017"/>
    <n v="22771.74"/>
    <m/>
    <s v="N"/>
    <n v="2"/>
    <d v="2023-07-10T19:02:09"/>
    <s v="N"/>
    <s v="Interim Hearing Court Bundle/Advoca"/>
    <s v="Public Law Children"/>
    <s v="Advocacy"/>
    <s v="Julie Armstrong"/>
    <s v="N"/>
    <n v="71.62"/>
    <n v="14.32"/>
    <x v="2"/>
    <s v="VALIDATED"/>
    <n v="1"/>
    <s v="01.11.80.308.6100.0000"/>
    <n v="71.62"/>
    <s v="11"/>
    <s v="6100"/>
    <n v="15075.32"/>
    <n v="71.62"/>
    <s v="CREDITOR"/>
    <n v="0"/>
    <n v="0"/>
    <n v="0"/>
    <n v="0"/>
    <n v="71.62"/>
  </r>
  <r>
    <n v="33970544"/>
    <s v="N"/>
    <n v="21350017"/>
    <s v="3000009967530022"/>
    <s v="CIVIL"/>
    <d v="2023-06-30T00:00:00"/>
    <d v="2023-07-10T19:01:40"/>
    <m/>
    <d v="2023-07-10T00:00:00"/>
    <n v="322"/>
    <n v="15873"/>
    <s v="33970544"/>
    <s v="33970544"/>
    <m/>
    <m/>
    <n v="22796740"/>
    <m/>
    <m/>
    <m/>
    <s v="SOLFIN"/>
    <s v="SOLFIN"/>
    <s v="CCMS"/>
    <n v="21350017"/>
    <n v="22771.74"/>
    <m/>
    <s v="N"/>
    <n v="14"/>
    <d v="2023-07-10T19:02:09"/>
    <s v="Y"/>
    <s v="Toxicologist"/>
    <s v="Public Law Children"/>
    <s v="Expert Disbursement"/>
    <s v="Julie Armstrong"/>
    <s v="Y"/>
    <n v="265"/>
    <n v="53"/>
    <x v="2"/>
    <s v="VALIDATED"/>
    <n v="1"/>
    <s v="01.11.80.308.6300.0000"/>
    <n v="265"/>
    <s v="11"/>
    <s v="6300"/>
    <n v="15075.32"/>
    <n v="265"/>
    <s v="CREDITOR"/>
    <n v="0"/>
    <n v="0"/>
    <n v="0"/>
    <n v="0"/>
    <n v="265"/>
  </r>
  <r>
    <n v="33970544"/>
    <s v="N"/>
    <n v="21350017"/>
    <s v="3000009967530022"/>
    <s v="CIVIL"/>
    <d v="2023-06-30T00:00:00"/>
    <d v="2023-07-10T19:01:40"/>
    <m/>
    <d v="2023-07-10T00:00:00"/>
    <n v="322"/>
    <n v="15873"/>
    <s v="33970544"/>
    <s v="33970544"/>
    <m/>
    <m/>
    <n v="22796740"/>
    <m/>
    <m/>
    <m/>
    <s v="SOLFIN"/>
    <s v="SOLFIN"/>
    <s v="CCMS"/>
    <n v="21350017"/>
    <n v="22771.74"/>
    <m/>
    <s v="N"/>
    <n v="24"/>
    <d v="2023-07-10T19:02:09"/>
    <s v="Y"/>
    <s v="Advocates Meeting"/>
    <s v="Public Law Children"/>
    <s v="Advocacy"/>
    <s v="Julie Armstrong"/>
    <s v="Y"/>
    <n v="140.99"/>
    <n v="28.2"/>
    <x v="2"/>
    <s v="VALIDATED"/>
    <n v="1"/>
    <s v="01.11.80.308.6100.0000"/>
    <n v="140.99"/>
    <s v="11"/>
    <s v="6100"/>
    <n v="15075.32"/>
    <n v="140.99"/>
    <s v="CREDITOR"/>
    <n v="0"/>
    <n v="0"/>
    <n v="0"/>
    <n v="0"/>
    <n v="140.99"/>
  </r>
  <r>
    <n v="33970544"/>
    <s v="N"/>
    <n v="21350017"/>
    <s v="3000009967530022"/>
    <s v="CIVIL"/>
    <d v="2023-06-30T00:00:00"/>
    <d v="2023-07-10T19:01:40"/>
    <m/>
    <d v="2023-07-10T00:00:00"/>
    <n v="322"/>
    <n v="15873"/>
    <s v="33970544"/>
    <s v="33970544"/>
    <m/>
    <m/>
    <n v="22796740"/>
    <m/>
    <m/>
    <m/>
    <s v="SOLFIN"/>
    <s v="SOLFIN"/>
    <s v="CCMS"/>
    <n v="21350017"/>
    <n v="22771.74"/>
    <m/>
    <s v="N"/>
    <n v="13"/>
    <d v="2023-07-10T19:02:09"/>
    <s v="Y"/>
    <s v="Toxicologist"/>
    <s v="Public Law Children"/>
    <s v="Expert Disbursement"/>
    <s v="Julie Armstrong"/>
    <s v="Y"/>
    <n v="215"/>
    <n v="43"/>
    <x v="2"/>
    <s v="VALIDATED"/>
    <n v="1"/>
    <s v="01.11.80.308.6300.0000"/>
    <n v="215"/>
    <s v="11"/>
    <s v="6300"/>
    <n v="15075.32"/>
    <n v="215"/>
    <s v="CREDITOR"/>
    <n v="0"/>
    <n v="0"/>
    <n v="0"/>
    <n v="0"/>
    <n v="215"/>
  </r>
  <r>
    <n v="33970544"/>
    <s v="N"/>
    <n v="21350017"/>
    <s v="3000009967530022"/>
    <s v="CIVIL"/>
    <d v="2023-06-30T00:00:00"/>
    <d v="2023-07-10T19:01:40"/>
    <m/>
    <d v="2023-07-10T00:00:00"/>
    <n v="322"/>
    <n v="15873"/>
    <s v="33970544"/>
    <s v="33970544"/>
    <m/>
    <m/>
    <n v="22796740"/>
    <m/>
    <m/>
    <m/>
    <s v="SOLFIN"/>
    <s v="SOLFIN"/>
    <s v="CCMS"/>
    <n v="21350017"/>
    <n v="22771.74"/>
    <m/>
    <s v="N"/>
    <n v="22"/>
    <d v="2023-07-10T19:02:09"/>
    <s v="Y"/>
    <s v="Advocates Meeting"/>
    <s v="Public Law Children"/>
    <s v="Advocacy"/>
    <s v="Julie Armstrong"/>
    <s v="Y"/>
    <n v="140.99"/>
    <n v="28.2"/>
    <x v="2"/>
    <s v="VALIDATED"/>
    <n v="1"/>
    <s v="01.11.80.308.6100.0000"/>
    <n v="140.99"/>
    <s v="11"/>
    <s v="6100"/>
    <n v="15075.32"/>
    <n v="140.99"/>
    <s v="CREDITOR"/>
    <n v="0"/>
    <n v="0"/>
    <n v="0"/>
    <n v="0"/>
    <n v="140.99"/>
  </r>
  <r>
    <n v="33970544"/>
    <s v="N"/>
    <n v="21350017"/>
    <s v="3000009967530022"/>
    <s v="CIVIL"/>
    <d v="2023-06-30T00:00:00"/>
    <d v="2023-07-10T19:01:40"/>
    <m/>
    <d v="2023-07-10T00:00:00"/>
    <n v="322"/>
    <n v="15873"/>
    <s v="33970544"/>
    <s v="33970544"/>
    <m/>
    <m/>
    <n v="22796740"/>
    <m/>
    <m/>
    <m/>
    <s v="SOLFIN"/>
    <s v="SOLFIN"/>
    <s v="CCMS"/>
    <n v="21350017"/>
    <n v="22771.74"/>
    <m/>
    <s v="N"/>
    <n v="25"/>
    <d v="2023-07-10T19:02:09"/>
    <s v="Y"/>
    <s v="Hearing Unit 1.01 - 2.30 Hours"/>
    <s v="Public Law Children"/>
    <s v="Advocacy"/>
    <s v="Julie Armstrong"/>
    <s v="Y"/>
    <n v="238.46"/>
    <n v="47.69"/>
    <x v="2"/>
    <s v="VALIDATED"/>
    <n v="1"/>
    <s v="01.11.80.308.6100.0000"/>
    <n v="238.46"/>
    <s v="11"/>
    <s v="6100"/>
    <n v="15075.32"/>
    <n v="238.46"/>
    <s v="CREDITOR"/>
    <n v="0"/>
    <n v="0"/>
    <n v="0"/>
    <n v="0"/>
    <n v="238.46"/>
  </r>
  <r>
    <n v="33970544"/>
    <s v="N"/>
    <n v="21350017"/>
    <s v="3000009967530022"/>
    <s v="CIVIL"/>
    <d v="2023-06-30T00:00:00"/>
    <d v="2023-07-10T19:01:40"/>
    <m/>
    <d v="2023-07-10T00:00:00"/>
    <n v="322"/>
    <n v="15873"/>
    <s v="33970544"/>
    <s v="33970544"/>
    <m/>
    <m/>
    <n v="22796740"/>
    <m/>
    <m/>
    <m/>
    <s v="SOLFIN"/>
    <s v="SOLFIN"/>
    <s v="CCMS"/>
    <n v="21350017"/>
    <n v="22771.74"/>
    <m/>
    <s v="N"/>
    <n v="4"/>
    <d v="2023-07-10T19:02:09"/>
    <s v="Y"/>
    <s v="Profit Costs (Summary)"/>
    <s v="Public Law Children"/>
    <s v="Profit Cost"/>
    <s v="Julie Armstrong"/>
    <s v="Y"/>
    <n v="13120.7"/>
    <n v="2624.14"/>
    <x v="2"/>
    <s v="VALIDATED"/>
    <n v="1"/>
    <s v="01.11.80.308.6100.0000"/>
    <n v="13120.7"/>
    <s v="11"/>
    <s v="6100"/>
    <n v="15075.32"/>
    <n v="13120.7"/>
    <s v="CREDITOR"/>
    <n v="0"/>
    <n v="0"/>
    <n v="0"/>
    <n v="0"/>
    <n v="13120.7"/>
  </r>
  <r>
    <n v="33970544"/>
    <s v="N"/>
    <n v="21350017"/>
    <s v="3000009967530022"/>
    <s v="CIVIL"/>
    <d v="2023-06-30T00:00:00"/>
    <d v="2023-07-10T19:01:40"/>
    <m/>
    <d v="2023-07-10T00:00:00"/>
    <n v="322"/>
    <n v="15873"/>
    <s v="33970544"/>
    <s v="33970544"/>
    <m/>
    <m/>
    <n v="22796740"/>
    <m/>
    <m/>
    <m/>
    <s v="SOLFIN"/>
    <s v="SOLFIN"/>
    <s v="CCMS"/>
    <n v="21350017"/>
    <n v="22771.74"/>
    <m/>
    <s v="N"/>
    <n v="9"/>
    <d v="2023-07-10T19:02:09"/>
    <s v="Y"/>
    <s v="Child psychologist"/>
    <s v="Public Law Children"/>
    <s v="Expert Disbursement"/>
    <s v="Julie Armstrong"/>
    <s v="Y"/>
    <n v="554.4"/>
    <n v="110.88"/>
    <x v="2"/>
    <s v="VALIDATED"/>
    <n v="1"/>
    <s v="01.11.80.308.6300.0000"/>
    <n v="554.4"/>
    <s v="11"/>
    <s v="6300"/>
    <n v="15075.32"/>
    <n v="554.4"/>
    <s v="CREDITOR"/>
    <n v="0"/>
    <n v="0"/>
    <n v="0"/>
    <n v="0"/>
    <n v="554.4"/>
  </r>
  <r>
    <n v="33970544"/>
    <s v="N"/>
    <n v="21350017"/>
    <s v="3000009967530022"/>
    <s v="CIVIL"/>
    <d v="2023-06-30T00:00:00"/>
    <d v="2023-07-10T19:01:40"/>
    <m/>
    <d v="2023-07-10T00:00:00"/>
    <n v="322"/>
    <n v="15873"/>
    <s v="33970544"/>
    <s v="33970544"/>
    <m/>
    <m/>
    <n v="22796740"/>
    <m/>
    <m/>
    <m/>
    <s v="SOLFIN"/>
    <s v="SOLFIN"/>
    <s v="CCMS"/>
    <n v="21350017"/>
    <n v="22771.74"/>
    <m/>
    <s v="N"/>
    <n v="21"/>
    <d v="2023-07-10T19:02:09"/>
    <s v="Y"/>
    <s v="Hearing Unit 2.31 - 5.00 Hours"/>
    <s v="Public Law Children"/>
    <s v="Advocacy"/>
    <s v="Julie Armstrong"/>
    <s v="Y"/>
    <n v="476.92"/>
    <n v="95.38"/>
    <x v="2"/>
    <s v="VALIDATED"/>
    <n v="1"/>
    <s v="01.11.80.308.6100.0000"/>
    <n v="476.92"/>
    <s v="11"/>
    <s v="6100"/>
    <n v="15075.32"/>
    <n v="476.92"/>
    <s v="CREDITOR"/>
    <n v="0"/>
    <n v="0"/>
    <n v="0"/>
    <n v="0"/>
    <n v="476.92"/>
  </r>
  <r>
    <n v="33970544"/>
    <s v="N"/>
    <n v="21350017"/>
    <s v="3000009967530022"/>
    <s v="CIVIL"/>
    <d v="2023-06-30T00:00:00"/>
    <d v="2023-07-10T19:01:40"/>
    <m/>
    <d v="2023-07-10T00:00:00"/>
    <n v="322"/>
    <n v="15873"/>
    <s v="33970544"/>
    <s v="33970544"/>
    <m/>
    <m/>
    <n v="22796740"/>
    <m/>
    <m/>
    <m/>
    <s v="SOLFIN"/>
    <s v="SOLFIN"/>
    <s v="CCMS"/>
    <n v="21350017"/>
    <n v="22771.74"/>
    <m/>
    <s v="N"/>
    <n v="8"/>
    <d v="2023-07-10T19:02:09"/>
    <s v="Y"/>
    <s v="Toxicologist"/>
    <s v="Public Law Children"/>
    <s v="Expert Disbursement"/>
    <s v="Julie Armstrong"/>
    <s v="Y"/>
    <n v="478.5"/>
    <n v="95.7"/>
    <x v="2"/>
    <s v="VALIDATED"/>
    <n v="1"/>
    <s v="01.11.80.308.6300.0000"/>
    <n v="478.5"/>
    <s v="11"/>
    <s v="6300"/>
    <n v="15075.32"/>
    <n v="478.5"/>
    <s v="CREDITOR"/>
    <n v="0"/>
    <n v="0"/>
    <n v="0"/>
    <n v="0"/>
    <n v="478.5"/>
  </r>
  <r>
    <n v="33970544"/>
    <s v="N"/>
    <n v="21350017"/>
    <s v="3000009967530022"/>
    <s v="CIVIL"/>
    <d v="2023-06-30T00:00:00"/>
    <d v="2023-07-10T19:01:40"/>
    <m/>
    <d v="2023-07-10T00:00:00"/>
    <n v="322"/>
    <n v="15873"/>
    <s v="33970544"/>
    <s v="33970544"/>
    <m/>
    <m/>
    <n v="22796740"/>
    <m/>
    <m/>
    <m/>
    <s v="SOLFIN"/>
    <s v="SOLFIN"/>
    <s v="CCMS"/>
    <n v="21350017"/>
    <n v="22771.74"/>
    <m/>
    <s v="N"/>
    <n v="15"/>
    <d v="2023-07-10T19:02:09"/>
    <s v="Y"/>
    <s v="Toxicologist"/>
    <s v="Public Law Children"/>
    <s v="Expert Disbursement"/>
    <s v="Julie Armstrong"/>
    <s v="Y"/>
    <n v="265"/>
    <n v="53"/>
    <x v="2"/>
    <s v="VALIDATED"/>
    <n v="1"/>
    <s v="01.11.80.308.6300.0000"/>
    <n v="265"/>
    <s v="11"/>
    <s v="6300"/>
    <n v="15075.32"/>
    <n v="265"/>
    <s v="CREDITOR"/>
    <n v="0"/>
    <n v="0"/>
    <n v="0"/>
    <n v="0"/>
    <n v="265"/>
  </r>
  <r>
    <n v="59979156"/>
    <s v="N"/>
    <n v="21318709"/>
    <s v="3000014324870021"/>
    <s v="CIVIL"/>
    <d v="2023-06-23T00:00:00"/>
    <d v="2023-07-03T19:01:49"/>
    <m/>
    <d v="2023-07-03T00:00:00"/>
    <n v="322"/>
    <n v="15873"/>
    <s v="59979156"/>
    <s v="59979156"/>
    <m/>
    <m/>
    <n v="22752498"/>
    <m/>
    <m/>
    <m/>
    <s v="SOLPOA"/>
    <s v="SOLPOA"/>
    <s v="CCMS"/>
    <n v="21318709"/>
    <n v="132"/>
    <m/>
    <s v="N"/>
    <n v="1"/>
    <d v="2023-07-03T19:02:02"/>
    <s v="N"/>
    <s v="Non Expert Disbursement"/>
    <s v="Non Expert Disbursement"/>
    <s v="Non Expert Disbursement"/>
    <s v="S BRYAN"/>
    <s v="N"/>
    <n v="110"/>
    <n v="22"/>
    <x v="3"/>
    <s v="VALIDATED"/>
    <n v="1"/>
    <s v="01.11.80.308.2012.0000"/>
    <n v="110"/>
    <s v="11"/>
    <s v="2012"/>
    <n v="15075.32"/>
    <n v="110"/>
    <s v="CREDITOR"/>
    <n v="110"/>
    <n v="0"/>
    <n v="0"/>
    <n v="0"/>
    <n v="0"/>
  </r>
  <r>
    <n v="62343775"/>
    <s v="N"/>
    <n v="21343420"/>
    <s v="3000016329120003"/>
    <s v="CIVIL"/>
    <d v="2023-06-23T00:00:00"/>
    <d v="2023-07-07T19:03:00"/>
    <m/>
    <d v="2023-07-07T00:00:00"/>
    <n v="322"/>
    <n v="15873"/>
    <s v="62343775"/>
    <s v="62343775"/>
    <m/>
    <m/>
    <n v="22755372"/>
    <m/>
    <m/>
    <m/>
    <s v="SOLPOA"/>
    <s v="SOLPOA"/>
    <s v="CCMS"/>
    <n v="21343420"/>
    <n v="847.58"/>
    <m/>
    <s v="N"/>
    <n v="1"/>
    <d v="2023-07-07T19:03:09"/>
    <s v="N"/>
    <s v="Expert Cost"/>
    <s v="Expert Cost"/>
    <s v="Expert Disbursement"/>
    <s v="Sophia Maloney"/>
    <s v="N"/>
    <n v="706.3200000000001"/>
    <n v="141.26"/>
    <x v="9"/>
    <s v="VALIDATED"/>
    <n v="1"/>
    <s v="01.11.80.308.2012.0000"/>
    <n v="706.3200000000001"/>
    <s v="11"/>
    <s v="2012"/>
    <n v="15075.32"/>
    <n v="706.3200000000001"/>
    <s v="CREDITOR"/>
    <n v="706.3200000000001"/>
    <n v="0"/>
    <n v="0"/>
    <n v="0"/>
    <n v="0"/>
  </r>
  <r>
    <n v="33970544"/>
    <s v="N"/>
    <n v="21350017"/>
    <s v="3000009967530022"/>
    <s v="CIVIL"/>
    <d v="2023-06-30T00:00:00"/>
    <d v="2023-07-10T19:01:40"/>
    <m/>
    <d v="2023-07-10T00:00:00"/>
    <n v="322"/>
    <n v="15873"/>
    <s v="33970544"/>
    <s v="33970544"/>
    <m/>
    <m/>
    <n v="22796740"/>
    <m/>
    <m/>
    <m/>
    <s v="SOLFIN"/>
    <s v="SOLFIN"/>
    <s v="CCMS"/>
    <n v="21350017"/>
    <n v="22771.74"/>
    <m/>
    <s v="N"/>
    <n v="27"/>
    <d v="2023-07-10T19:02:09"/>
    <s v="N"/>
    <m/>
    <m/>
    <s v="Overall Adjustment"/>
    <m/>
    <s v="N"/>
    <n v="-71.62"/>
    <n v="-14.32"/>
    <x v="2"/>
    <s v="VALIDATED"/>
    <n v="1"/>
    <s v="01.11.80.308.6100.0000"/>
    <n v="-71.62"/>
    <s v="11"/>
    <s v="6100"/>
    <n v="15075.32"/>
    <n v="-71.62"/>
    <s v="CREDITOR"/>
    <n v="0"/>
    <n v="0"/>
    <n v="0"/>
    <n v="0"/>
    <n v="-71.62"/>
  </r>
  <r>
    <n v="33970544"/>
    <s v="N"/>
    <n v="21350017"/>
    <s v="3000009967530022"/>
    <s v="CIVIL"/>
    <d v="2023-06-30T00:00:00"/>
    <d v="2023-07-10T19:01:40"/>
    <m/>
    <d v="2023-07-10T00:00:00"/>
    <n v="322"/>
    <n v="15873"/>
    <s v="33970544"/>
    <s v="33970544"/>
    <m/>
    <m/>
    <n v="22796740"/>
    <m/>
    <m/>
    <m/>
    <s v="SOLFIN"/>
    <s v="SOLFIN"/>
    <s v="CCMS"/>
    <n v="21350017"/>
    <n v="22771.74"/>
    <m/>
    <s v="N"/>
    <n v="7"/>
    <d v="2023-07-10T19:02:09"/>
    <s v="Y"/>
    <s v="Toxicologist"/>
    <s v="Public Law Children"/>
    <s v="Expert Disbursement"/>
    <s v="Julie Armstrong"/>
    <s v="Y"/>
    <n v="258"/>
    <n v="51.6"/>
    <x v="2"/>
    <s v="VALIDATED"/>
    <n v="1"/>
    <s v="01.11.80.308.6300.0000"/>
    <n v="258"/>
    <s v="11"/>
    <s v="6300"/>
    <n v="15075.32"/>
    <n v="258"/>
    <s v="CREDITOR"/>
    <n v="0"/>
    <n v="0"/>
    <n v="0"/>
    <n v="0"/>
    <n v="258"/>
  </r>
  <r>
    <n v="33970544"/>
    <s v="N"/>
    <n v="21350017"/>
    <s v="3000009967530022"/>
    <s v="CIVIL"/>
    <d v="2023-06-30T00:00:00"/>
    <d v="2023-07-10T19:01:40"/>
    <m/>
    <d v="2023-07-10T00:00:00"/>
    <n v="322"/>
    <n v="15873"/>
    <s v="33970544"/>
    <s v="33970544"/>
    <m/>
    <m/>
    <n v="22796740"/>
    <m/>
    <m/>
    <m/>
    <s v="SOLFIN"/>
    <s v="SOLFIN"/>
    <s v="CCMS"/>
    <n v="21350017"/>
    <n v="22771.74"/>
    <m/>
    <s v="N"/>
    <n v="6"/>
    <d v="2023-07-10T19:02:09"/>
    <s v="Y"/>
    <s v="Court Fee"/>
    <s v="Public Law Children"/>
    <s v="Non Expert Disbursement"/>
    <s v="Julie Armstrong"/>
    <s v="Y"/>
    <n v="155"/>
    <n v="0"/>
    <x v="2"/>
    <s v="VALIDATED"/>
    <n v="1"/>
    <s v="01.11.80.308.6300.0000"/>
    <n v="155"/>
    <s v="11"/>
    <s v="6300"/>
    <n v="15075.32"/>
    <n v="155"/>
    <s v="CREDITOR"/>
    <n v="0"/>
    <n v="0"/>
    <n v="0"/>
    <n v="0"/>
    <n v="155"/>
  </r>
  <r>
    <n v="33970544"/>
    <s v="N"/>
    <n v="21350017"/>
    <s v="3000009967530022"/>
    <s v="CIVIL"/>
    <d v="2023-06-30T00:00:00"/>
    <d v="2023-07-10T19:01:40"/>
    <m/>
    <d v="2023-07-10T00:00:00"/>
    <n v="322"/>
    <n v="15873"/>
    <s v="33970544"/>
    <s v="33970544"/>
    <m/>
    <m/>
    <n v="22796740"/>
    <m/>
    <m/>
    <m/>
    <s v="SOLFIN"/>
    <s v="SOLFIN"/>
    <s v="CCMS"/>
    <n v="21350017"/>
    <n v="22771.74"/>
    <m/>
    <s v="N"/>
    <n v="17"/>
    <d v="2023-07-10T19:02:09"/>
    <s v="Y"/>
    <s v="Toxicologist"/>
    <s v="Public Law Children"/>
    <s v="Expert Disbursement"/>
    <s v="Julie Armstrong"/>
    <s v="Y"/>
    <n v="215"/>
    <n v="43"/>
    <x v="2"/>
    <s v="VALIDATED"/>
    <n v="1"/>
    <s v="01.11.80.308.6300.0000"/>
    <n v="215"/>
    <s v="11"/>
    <s v="6300"/>
    <n v="15075.32"/>
    <n v="215"/>
    <s v="CREDITOR"/>
    <n v="0"/>
    <n v="0"/>
    <n v="0"/>
    <n v="0"/>
    <n v="215"/>
  </r>
  <r>
    <n v="33970544"/>
    <s v="N"/>
    <n v="21350017"/>
    <s v="3000009967530022"/>
    <s v="CIVIL"/>
    <d v="2023-06-30T00:00:00"/>
    <d v="2023-07-10T19:01:40"/>
    <m/>
    <d v="2023-07-10T00:00:00"/>
    <n v="322"/>
    <n v="15873"/>
    <s v="33970544"/>
    <s v="33970544"/>
    <m/>
    <m/>
    <n v="22796740"/>
    <m/>
    <m/>
    <m/>
    <s v="SOLFIN"/>
    <s v="SOLFIN"/>
    <s v="CCMS"/>
    <n v="21350017"/>
    <n v="22771.74"/>
    <m/>
    <s v="N"/>
    <n v="16"/>
    <d v="2023-07-10T19:02:09"/>
    <s v="Y"/>
    <s v="Toxicologist"/>
    <s v="Public Law Children"/>
    <s v="Expert Disbursement"/>
    <s v="Julie Armstrong"/>
    <s v="Y"/>
    <n v="215"/>
    <n v="43"/>
    <x v="2"/>
    <s v="VALIDATED"/>
    <n v="1"/>
    <s v="01.11.80.308.6300.0000"/>
    <n v="215"/>
    <s v="11"/>
    <s v="6300"/>
    <n v="15075.32"/>
    <n v="215"/>
    <s v="CREDITOR"/>
    <n v="0"/>
    <n v="0"/>
    <n v="0"/>
    <n v="0"/>
    <n v="215"/>
  </r>
  <r>
    <n v="33970544"/>
    <s v="N"/>
    <n v="21350017"/>
    <s v="3000009967530022"/>
    <s v="CIVIL"/>
    <d v="2023-06-30T00:00:00"/>
    <d v="2023-07-10T19:01:40"/>
    <m/>
    <d v="2023-07-10T00:00:00"/>
    <n v="322"/>
    <n v="15873"/>
    <s v="33970544"/>
    <s v="33970544"/>
    <m/>
    <m/>
    <n v="22796740"/>
    <m/>
    <m/>
    <m/>
    <s v="SOLFIN"/>
    <s v="SOLFIN"/>
    <s v="CCMS"/>
    <n v="21350017"/>
    <n v="22771.74"/>
    <m/>
    <s v="N"/>
    <n v="3"/>
    <d v="2023-07-10T19:02:09"/>
    <s v="Y"/>
    <s v="Psychiatrist"/>
    <s v="Public Law Children"/>
    <s v="Expert Disbursement"/>
    <s v="Julie Armstrong"/>
    <s v="Y"/>
    <n v="497.12"/>
    <n v="99.42"/>
    <x v="2"/>
    <s v="VALIDATED"/>
    <n v="1"/>
    <s v="01.11.80.308.6300.0000"/>
    <n v="497.12"/>
    <s v="11"/>
    <s v="6300"/>
    <n v="15075.32"/>
    <n v="497.12"/>
    <s v="CREDITOR"/>
    <n v="0"/>
    <n v="0"/>
    <n v="0"/>
    <n v="0"/>
    <n v="497.12"/>
  </r>
  <r>
    <n v="33970544"/>
    <s v="N"/>
    <n v="21350017"/>
    <s v="3000009967530022"/>
    <s v="CIVIL"/>
    <d v="2023-06-30T00:00:00"/>
    <d v="2023-07-10T19:01:40"/>
    <m/>
    <d v="2023-07-10T00:00:00"/>
    <n v="322"/>
    <n v="15873"/>
    <s v="33970544"/>
    <s v="33970544"/>
    <m/>
    <m/>
    <n v="22796740"/>
    <m/>
    <m/>
    <m/>
    <s v="SOLFIN"/>
    <s v="SOLFIN"/>
    <s v="CCMS"/>
    <n v="21350017"/>
    <n v="22771.74"/>
    <m/>
    <s v="N"/>
    <n v="20"/>
    <d v="2023-07-10T19:02:09"/>
    <s v="Y"/>
    <s v="Hearing Unit 2.31 - 5.00 Hours"/>
    <s v="Public Law Children"/>
    <s v="Advocacy"/>
    <s v="Julie Armstrong"/>
    <s v="Y"/>
    <n v="476.92"/>
    <n v="95.38"/>
    <x v="2"/>
    <s v="VALIDATED"/>
    <n v="1"/>
    <s v="01.11.80.308.6100.0000"/>
    <n v="476.92"/>
    <s v="11"/>
    <s v="6100"/>
    <n v="15075.32"/>
    <n v="476.92"/>
    <s v="CREDITOR"/>
    <n v="0"/>
    <n v="0"/>
    <n v="0"/>
    <n v="0"/>
    <n v="476.92"/>
  </r>
  <r>
    <n v="33970544"/>
    <s v="N"/>
    <n v="21350017"/>
    <s v="3000009967530022"/>
    <s v="CIVIL"/>
    <d v="2023-06-30T00:00:00"/>
    <d v="2023-07-10T19:01:40"/>
    <m/>
    <d v="2023-07-10T00:00:00"/>
    <n v="322"/>
    <n v="15873"/>
    <s v="33970544"/>
    <s v="33970544"/>
    <m/>
    <m/>
    <n v="22796740"/>
    <m/>
    <m/>
    <m/>
    <s v="SOLFIN"/>
    <s v="SOLFIN"/>
    <s v="CCMS"/>
    <n v="21350017"/>
    <n v="22771.74"/>
    <m/>
    <s v="N"/>
    <n v="5"/>
    <d v="2023-07-10T19:02:09"/>
    <s v="Y"/>
    <s v="Psychiatrist"/>
    <s v="Public Law Children"/>
    <s v="Expert Disbursement"/>
    <s v="Julie Armstrong"/>
    <s v="Y"/>
    <n v="135"/>
    <n v="27"/>
    <x v="2"/>
    <s v="VALIDATED"/>
    <n v="1"/>
    <s v="01.11.80.308.6300.0000"/>
    <n v="135"/>
    <s v="11"/>
    <s v="6300"/>
    <n v="15075.32"/>
    <n v="135"/>
    <s v="CREDITOR"/>
    <n v="0"/>
    <n v="0"/>
    <n v="0"/>
    <n v="0"/>
    <n v="135"/>
  </r>
  <r>
    <n v="6783700"/>
    <s v="N"/>
    <n v="21363652"/>
    <s v="3000003195530001"/>
    <s v="CIVIL"/>
    <d v="2023-06-28T00:00:00"/>
    <d v="2023-07-12T19:01:49"/>
    <m/>
    <d v="2023-07-12T00:00:00"/>
    <n v="322"/>
    <n v="15873"/>
    <s v="6783700"/>
    <s v="6783700"/>
    <m/>
    <m/>
    <n v="22779474"/>
    <m/>
    <m/>
    <m/>
    <s v="SOLFIN"/>
    <s v="SOLFIN"/>
    <s v="CCMS"/>
    <n v="21363652"/>
    <n v="0"/>
    <m/>
    <s v="N"/>
    <n v="1"/>
    <d v="2023-07-12T19:02:07"/>
    <s v="N"/>
    <s v="NIL BILL"/>
    <s v="Non Family Hourly Rates"/>
    <s v="Profit Cost"/>
    <s v="PATRICK SPENCE"/>
    <s v="N"/>
    <n v="0"/>
    <n v="0"/>
    <x v="0"/>
    <s v="VALIDATED"/>
    <n v="1"/>
    <s v="01.11.80.208.6100.0000"/>
    <n v="0"/>
    <s v="11"/>
    <s v="6100"/>
    <n v="15075.32"/>
    <n v="0"/>
    <s v="CREDITOR"/>
    <n v="0"/>
    <n v="0"/>
    <n v="0"/>
    <n v="0"/>
    <n v="0"/>
  </r>
  <r>
    <n v="33970544"/>
    <s v="N"/>
    <n v="21350017"/>
    <s v="3000009967530022"/>
    <s v="CIVIL"/>
    <d v="2023-06-30T00:00:00"/>
    <d v="2023-07-10T19:01:40"/>
    <m/>
    <d v="2023-07-10T00:00:00"/>
    <n v="322"/>
    <n v="15873"/>
    <s v="33970544"/>
    <s v="33970544"/>
    <m/>
    <m/>
    <n v="22796740"/>
    <m/>
    <m/>
    <m/>
    <s v="SOLFIN"/>
    <s v="SOLFIN"/>
    <s v="CCMS"/>
    <n v="21350017"/>
    <n v="22771.74"/>
    <m/>
    <s v="N"/>
    <n v="1"/>
    <d v="2023-07-10T19:02:09"/>
    <s v="Y"/>
    <s v="Interim Hearing Court Bundle/Advoca"/>
    <s v="Public Law Children"/>
    <s v="Advocacy"/>
    <s v="Julie Armstrong"/>
    <s v="Y"/>
    <n v="17.48"/>
    <n v="3.5"/>
    <x v="2"/>
    <s v="VALIDATED"/>
    <n v="1"/>
    <s v="01.11.80.308.6100.0000"/>
    <n v="17.48"/>
    <s v="11"/>
    <s v="6100"/>
    <n v="15075.32"/>
    <n v="17.48"/>
    <s v="CREDITOR"/>
    <n v="0"/>
    <n v="0"/>
    <n v="0"/>
    <n v="0"/>
    <n v="17.48"/>
  </r>
  <r>
    <n v="33970544"/>
    <s v="N"/>
    <n v="21350017"/>
    <s v="3000009967530022"/>
    <s v="CIVIL"/>
    <d v="2023-06-30T00:00:00"/>
    <d v="2023-07-10T19:01:40"/>
    <m/>
    <d v="2023-07-10T00:00:00"/>
    <n v="322"/>
    <n v="15873"/>
    <s v="33970544"/>
    <s v="33970544"/>
    <m/>
    <m/>
    <n v="22796740"/>
    <m/>
    <m/>
    <m/>
    <s v="SOLFIN"/>
    <s v="SOLFIN"/>
    <s v="CCMS"/>
    <n v="21350017"/>
    <n v="22771.74"/>
    <m/>
    <s v="N"/>
    <n v="19"/>
    <d v="2023-07-10T19:02:09"/>
    <s v="Y"/>
    <s v="Advocates Meeting"/>
    <s v="Public Law Children"/>
    <s v="Advocacy"/>
    <s v="Julie Armstrong"/>
    <s v="Y"/>
    <n v="140.99"/>
    <n v="28.2"/>
    <x v="2"/>
    <s v="VALIDATED"/>
    <n v="1"/>
    <s v="01.11.80.308.6100.0000"/>
    <n v="140.99"/>
    <s v="11"/>
    <s v="6100"/>
    <n v="15075.32"/>
    <n v="140.99"/>
    <s v="CREDITOR"/>
    <n v="0"/>
    <n v="0"/>
    <n v="0"/>
    <n v="0"/>
    <n v="140.99"/>
  </r>
  <r>
    <n v="33970544"/>
    <s v="N"/>
    <n v="21350017"/>
    <s v="3000009967530022"/>
    <s v="CIVIL"/>
    <d v="2023-06-30T00:00:00"/>
    <d v="2023-07-10T19:01:40"/>
    <m/>
    <d v="2023-07-10T00:00:00"/>
    <n v="322"/>
    <n v="15873"/>
    <s v="33970544"/>
    <s v="33970544"/>
    <m/>
    <m/>
    <n v="22796740"/>
    <m/>
    <m/>
    <m/>
    <s v="SOLFIN"/>
    <s v="SOLFIN"/>
    <s v="CCMS"/>
    <n v="21350017"/>
    <n v="22771.74"/>
    <m/>
    <s v="N"/>
    <n v="23"/>
    <d v="2023-07-10T19:02:09"/>
    <s v="Y"/>
    <s v="Advocates Meeting"/>
    <s v="Public Law Children"/>
    <s v="Advocacy"/>
    <s v="Julie Armstrong"/>
    <s v="Y"/>
    <n v="140.99"/>
    <n v="28.2"/>
    <x v="2"/>
    <s v="VALIDATED"/>
    <n v="1"/>
    <s v="01.11.80.308.6100.0000"/>
    <n v="140.99"/>
    <s v="11"/>
    <s v="6100"/>
    <n v="15075.32"/>
    <n v="140.99"/>
    <s v="CREDITOR"/>
    <n v="0"/>
    <n v="0"/>
    <n v="0"/>
    <n v="0"/>
    <n v="140.99"/>
  </r>
  <r>
    <n v="33970544"/>
    <s v="N"/>
    <n v="21350017"/>
    <s v="3000009967530022"/>
    <s v="CIVIL"/>
    <d v="2023-06-30T00:00:00"/>
    <d v="2023-07-10T19:01:40"/>
    <m/>
    <d v="2023-07-10T00:00:00"/>
    <n v="322"/>
    <n v="15873"/>
    <s v="33970544"/>
    <s v="33970544"/>
    <m/>
    <m/>
    <n v="22796740"/>
    <m/>
    <m/>
    <m/>
    <s v="SOLFIN"/>
    <s v="SOLFIN"/>
    <s v="CCMS"/>
    <n v="21350017"/>
    <n v="22771.74"/>
    <m/>
    <s v="N"/>
    <n v="18"/>
    <d v="2023-07-10T19:02:09"/>
    <s v="Y"/>
    <s v="GP (records report)"/>
    <s v="Public Law Children"/>
    <s v="Expert Disbursement"/>
    <s v="Julie Armstrong"/>
    <s v="Y"/>
    <n v="50"/>
    <n v="0"/>
    <x v="2"/>
    <s v="VALIDATED"/>
    <n v="1"/>
    <s v="01.11.80.308.6300.0000"/>
    <n v="50"/>
    <s v="11"/>
    <s v="6300"/>
    <n v="15075.32"/>
    <n v="50"/>
    <s v="CREDITOR"/>
    <n v="0"/>
    <n v="0"/>
    <n v="0"/>
    <n v="0"/>
    <n v="50"/>
  </r>
  <r>
    <n v="33970544"/>
    <s v="N"/>
    <n v="21350017"/>
    <s v="3000009967530022"/>
    <s v="CIVIL"/>
    <d v="2023-06-30T00:00:00"/>
    <d v="2023-07-10T19:01:40"/>
    <m/>
    <d v="2023-07-10T00:00:00"/>
    <n v="322"/>
    <n v="15873"/>
    <s v="33970544"/>
    <s v="33970544"/>
    <m/>
    <m/>
    <n v="22796740"/>
    <m/>
    <m/>
    <m/>
    <s v="SOLFIN"/>
    <s v="SOLFIN"/>
    <s v="CCMS"/>
    <n v="21350017"/>
    <n v="22771.74"/>
    <m/>
    <s v="N"/>
    <n v="26"/>
    <d v="2023-07-10T19:02:09"/>
    <s v="Y"/>
    <s v="Advocates Meeting"/>
    <s v="Public Law Children"/>
    <s v="Advocacy"/>
    <s v="Julie Armstrong"/>
    <s v="Y"/>
    <n v="128.16"/>
    <n v="25.63"/>
    <x v="2"/>
    <s v="VALIDATED"/>
    <n v="1"/>
    <s v="01.11.80.308.6100.0000"/>
    <n v="128.16"/>
    <s v="11"/>
    <s v="6100"/>
    <n v="15075.32"/>
    <n v="128.16"/>
    <s v="CREDITOR"/>
    <n v="0"/>
    <n v="0"/>
    <n v="0"/>
    <n v="0"/>
    <n v="128.16"/>
  </r>
  <r>
    <n v="33970544"/>
    <s v="N"/>
    <n v="21350017"/>
    <s v="3000009967530022"/>
    <s v="CIVIL"/>
    <d v="2023-06-30T00:00:00"/>
    <d v="2023-07-10T19:01:40"/>
    <m/>
    <d v="2023-07-10T00:00:00"/>
    <n v="322"/>
    <n v="15873"/>
    <s v="33970544"/>
    <s v="33970544"/>
    <m/>
    <m/>
    <n v="22796740"/>
    <m/>
    <m/>
    <m/>
    <s v="SOLFIN"/>
    <s v="SOLFIN"/>
    <s v="CCMS"/>
    <n v="21350017"/>
    <n v="22771.74"/>
    <m/>
    <s v="N"/>
    <n v="12"/>
    <d v="2023-07-10T19:02:09"/>
    <s v="Y"/>
    <s v="Toxicologist"/>
    <s v="Public Law Children"/>
    <s v="Expert Disbursement"/>
    <s v="Julie Armstrong"/>
    <s v="Y"/>
    <n v="285"/>
    <n v="57"/>
    <x v="2"/>
    <s v="VALIDATED"/>
    <n v="1"/>
    <s v="01.11.80.308.6300.0000"/>
    <n v="285"/>
    <s v="11"/>
    <s v="6300"/>
    <n v="15075.32"/>
    <n v="285"/>
    <s v="CREDITOR"/>
    <n v="0"/>
    <n v="0"/>
    <n v="0"/>
    <n v="0"/>
    <n v="285"/>
  </r>
  <r>
    <n v="33970544"/>
    <s v="N"/>
    <n v="21356248"/>
    <s v="3000009967530004RC"/>
    <s v="CIVIL"/>
    <d v="2023-06-30T00:00:00"/>
    <d v="2023-07-10T19:47:44"/>
    <m/>
    <d v="2023-07-10T00:00:00"/>
    <n v="322"/>
    <n v="15873"/>
    <s v="33970544"/>
    <s v="33970544"/>
    <m/>
    <m/>
    <m/>
    <m/>
    <m/>
    <m/>
    <s v="SOLRECOUP"/>
    <s v="SOLRECOUP"/>
    <s v="POARECOUP"/>
    <n v="21356248"/>
    <n v="-258"/>
    <m/>
    <s v="Y"/>
    <n v="1"/>
    <d v="2023-07-10T19:47:44"/>
    <s v="N"/>
    <m/>
    <m/>
    <s v="Expert Disbursement"/>
    <m/>
    <s v="N"/>
    <n v="-215"/>
    <n v="0"/>
    <x v="2"/>
    <s v="VALIDATED"/>
    <n v="1"/>
    <s v="01.11.80.308.2013.0000"/>
    <n v="-215"/>
    <s v="11"/>
    <s v="2013"/>
    <n v="15075.32"/>
    <n v="-215"/>
    <s v="CREDITOR"/>
    <n v="0"/>
    <n v="0"/>
    <n v="-215"/>
    <n v="0"/>
    <n v="0"/>
  </r>
  <r>
    <n v="33970544"/>
    <s v="N"/>
    <n v="21356248"/>
    <s v="3000009967530004RC"/>
    <s v="CIVIL"/>
    <d v="2023-06-30T00:00:00"/>
    <d v="2023-07-10T19:47:44"/>
    <m/>
    <d v="2023-07-10T00:00:00"/>
    <n v="322"/>
    <n v="15873"/>
    <s v="33970544"/>
    <s v="33970544"/>
    <m/>
    <m/>
    <m/>
    <m/>
    <m/>
    <m/>
    <s v="SOLRECOUP"/>
    <s v="SOLRECOUP"/>
    <s v="POARECOUP"/>
    <n v="21356248"/>
    <n v="-258"/>
    <m/>
    <s v="Y"/>
    <n v="2"/>
    <d v="2023-07-10T19:47:44"/>
    <s v="N"/>
    <m/>
    <m/>
    <s v="Expert Disbursement"/>
    <m/>
    <s v="N"/>
    <n v="0"/>
    <n v="-43"/>
    <x v="2"/>
    <s v="VALIDATED"/>
    <n v="1"/>
    <s v="01.11.80.308.2013.0000"/>
    <n v="-43"/>
    <s v="11"/>
    <s v="2013"/>
    <n v="15075.32"/>
    <n v="-43"/>
    <s v="CREDITOR"/>
    <n v="0"/>
    <n v="0"/>
    <n v="-43"/>
    <n v="0"/>
    <n v="0"/>
  </r>
  <r>
    <n v="33970544"/>
    <s v="N"/>
    <n v="21356249"/>
    <s v="3000009967530003RC"/>
    <s v="CIVIL"/>
    <d v="2023-06-30T00:00:00"/>
    <d v="2023-07-10T19:47:44"/>
    <m/>
    <d v="2023-07-10T00:00:00"/>
    <n v="322"/>
    <n v="15873"/>
    <s v="33970544"/>
    <s v="33970544"/>
    <m/>
    <m/>
    <m/>
    <m/>
    <m/>
    <m/>
    <s v="SOLRECOUP"/>
    <s v="SOLRECOUP"/>
    <s v="POARECOUP"/>
    <n v="21356249"/>
    <n v="-665.28"/>
    <m/>
    <s v="Y"/>
    <n v="1"/>
    <d v="2023-07-10T19:47:44"/>
    <s v="N"/>
    <m/>
    <m/>
    <s v="Expert Disbursement"/>
    <m/>
    <s v="N"/>
    <n v="-554.4"/>
    <n v="0"/>
    <x v="2"/>
    <s v="VALIDATED"/>
    <n v="1"/>
    <s v="01.11.80.308.2013.0000"/>
    <n v="-554.4"/>
    <s v="11"/>
    <s v="2013"/>
    <n v="15075.32"/>
    <n v="-554.4"/>
    <s v="CREDITOR"/>
    <n v="0"/>
    <n v="0"/>
    <n v="-554.4"/>
    <n v="0"/>
    <n v="0"/>
  </r>
  <r>
    <n v="33970544"/>
    <s v="N"/>
    <n v="21356249"/>
    <s v="3000009967530003RC"/>
    <s v="CIVIL"/>
    <d v="2023-06-30T00:00:00"/>
    <d v="2023-07-10T19:47:44"/>
    <m/>
    <d v="2023-07-10T00:00:00"/>
    <n v="322"/>
    <n v="15873"/>
    <s v="33970544"/>
    <s v="33970544"/>
    <m/>
    <m/>
    <m/>
    <m/>
    <m/>
    <m/>
    <s v="SOLRECOUP"/>
    <s v="SOLRECOUP"/>
    <s v="POARECOUP"/>
    <n v="21356249"/>
    <n v="-665.28"/>
    <m/>
    <s v="Y"/>
    <n v="2"/>
    <d v="2023-07-10T19:47:44"/>
    <s v="N"/>
    <m/>
    <m/>
    <s v="Expert Disbursement"/>
    <m/>
    <s v="N"/>
    <n v="0"/>
    <n v="-110.88"/>
    <x v="2"/>
    <s v="VALIDATED"/>
    <n v="1"/>
    <s v="01.11.80.308.2013.0000"/>
    <n v="-110.88"/>
    <s v="11"/>
    <s v="2013"/>
    <n v="15075.32"/>
    <n v="-110.88"/>
    <s v="CREDITOR"/>
    <n v="0"/>
    <n v="0"/>
    <n v="-110.88"/>
    <n v="0"/>
    <n v="0"/>
  </r>
  <r>
    <n v="33970544"/>
    <s v="N"/>
    <n v="21356250"/>
    <s v="3000009967530005RC"/>
    <s v="CIVIL"/>
    <d v="2023-06-30T00:00:00"/>
    <d v="2023-07-10T19:47:44"/>
    <m/>
    <d v="2023-07-10T00:00:00"/>
    <n v="322"/>
    <n v="15873"/>
    <s v="33970544"/>
    <s v="33970544"/>
    <m/>
    <m/>
    <m/>
    <m/>
    <m/>
    <m/>
    <s v="SOLRECOUP"/>
    <s v="SOLRECOUP"/>
    <s v="POARECOUP"/>
    <n v="21356250"/>
    <n v="-138"/>
    <m/>
    <s v="Y"/>
    <n v="1"/>
    <d v="2023-07-10T19:47:44"/>
    <s v="N"/>
    <m/>
    <m/>
    <s v="Expert Disbursement"/>
    <m/>
    <s v="N"/>
    <n v="-115"/>
    <n v="0"/>
    <x v="2"/>
    <s v="VALIDATED"/>
    <n v="1"/>
    <s v="01.11.80.308.2013.0000"/>
    <n v="-115"/>
    <s v="11"/>
    <s v="2013"/>
    <n v="15075.32"/>
    <n v="-115"/>
    <s v="CREDITOR"/>
    <n v="0"/>
    <n v="0"/>
    <n v="-115"/>
    <n v="0"/>
    <n v="0"/>
  </r>
  <r>
    <n v="33970544"/>
    <s v="N"/>
    <n v="21356250"/>
    <s v="3000009967530005RC"/>
    <s v="CIVIL"/>
    <d v="2023-06-30T00:00:00"/>
    <d v="2023-07-10T19:47:44"/>
    <m/>
    <d v="2023-07-10T00:00:00"/>
    <n v="322"/>
    <n v="15873"/>
    <s v="33970544"/>
    <s v="33970544"/>
    <m/>
    <m/>
    <m/>
    <m/>
    <m/>
    <m/>
    <s v="SOLRECOUP"/>
    <s v="SOLRECOUP"/>
    <s v="POARECOUP"/>
    <n v="21356250"/>
    <n v="-138"/>
    <m/>
    <s v="Y"/>
    <n v="2"/>
    <d v="2023-07-10T19:47:44"/>
    <s v="N"/>
    <m/>
    <m/>
    <s v="Expert Disbursement"/>
    <m/>
    <s v="N"/>
    <n v="0"/>
    <n v="-23"/>
    <x v="2"/>
    <s v="VALIDATED"/>
    <n v="1"/>
    <s v="01.11.80.308.2013.0000"/>
    <n v="-23"/>
    <s v="11"/>
    <s v="2013"/>
    <n v="15075.32"/>
    <n v="-23"/>
    <s v="CREDITOR"/>
    <n v="0"/>
    <n v="0"/>
    <n v="-23"/>
    <n v="0"/>
    <n v="0"/>
  </r>
  <r>
    <n v="33970544"/>
    <s v="N"/>
    <n v="21356251"/>
    <s v="3000009967530007RC"/>
    <s v="CIVIL"/>
    <d v="2023-06-30T00:00:00"/>
    <d v="2023-07-10T19:47:44"/>
    <m/>
    <d v="2023-07-10T00:00:00"/>
    <n v="322"/>
    <n v="15873"/>
    <s v="33970544"/>
    <s v="33970544"/>
    <m/>
    <m/>
    <m/>
    <m/>
    <m/>
    <m/>
    <s v="SOLRECOUP"/>
    <s v="SOLRECOUP"/>
    <s v="POARECOUP"/>
    <n v="21356251"/>
    <n v="-318"/>
    <m/>
    <s v="Y"/>
    <n v="1"/>
    <d v="2023-07-10T19:47:44"/>
    <s v="N"/>
    <m/>
    <m/>
    <s v="Expert Disbursement"/>
    <m/>
    <s v="N"/>
    <n v="-265"/>
    <n v="0"/>
    <x v="2"/>
    <s v="VALIDATED"/>
    <n v="1"/>
    <s v="01.11.80.308.2013.0000"/>
    <n v="-265"/>
    <s v="11"/>
    <s v="2013"/>
    <n v="15075.32"/>
    <n v="-265"/>
    <s v="CREDITOR"/>
    <n v="0"/>
    <n v="0"/>
    <n v="-265"/>
    <n v="0"/>
    <n v="0"/>
  </r>
  <r>
    <n v="33970544"/>
    <s v="N"/>
    <n v="21356251"/>
    <s v="3000009967530007RC"/>
    <s v="CIVIL"/>
    <d v="2023-06-30T00:00:00"/>
    <d v="2023-07-10T19:47:44"/>
    <m/>
    <d v="2023-07-10T00:00:00"/>
    <n v="322"/>
    <n v="15873"/>
    <s v="33970544"/>
    <s v="33970544"/>
    <m/>
    <m/>
    <m/>
    <m/>
    <m/>
    <m/>
    <s v="SOLRECOUP"/>
    <s v="SOLRECOUP"/>
    <s v="POARECOUP"/>
    <n v="21356251"/>
    <n v="-318"/>
    <m/>
    <s v="Y"/>
    <n v="2"/>
    <d v="2023-07-10T19:47:44"/>
    <s v="N"/>
    <m/>
    <m/>
    <s v="Expert Disbursement"/>
    <m/>
    <s v="N"/>
    <n v="0"/>
    <n v="-53"/>
    <x v="2"/>
    <s v="VALIDATED"/>
    <n v="1"/>
    <s v="01.11.80.308.2013.0000"/>
    <n v="-53"/>
    <s v="11"/>
    <s v="2013"/>
    <n v="15075.32"/>
    <n v="-53"/>
    <s v="CREDITOR"/>
    <n v="0"/>
    <n v="0"/>
    <n v="-53"/>
    <n v="0"/>
    <n v="0"/>
  </r>
  <r>
    <n v="33970544"/>
    <s v="N"/>
    <n v="21356252"/>
    <s v="3000009967530006RC"/>
    <s v="CIVIL"/>
    <d v="2023-06-30T00:00:00"/>
    <d v="2023-07-10T19:47:44"/>
    <m/>
    <d v="2023-07-10T00:00:00"/>
    <n v="322"/>
    <n v="15873"/>
    <s v="33970544"/>
    <s v="33970544"/>
    <m/>
    <m/>
    <m/>
    <m/>
    <m/>
    <m/>
    <s v="SOLRECOUP"/>
    <s v="SOLRECOUP"/>
    <s v="POARECOUP"/>
    <n v="21356252"/>
    <n v="-318"/>
    <m/>
    <s v="Y"/>
    <n v="1"/>
    <d v="2023-07-10T19:47:44"/>
    <s v="N"/>
    <m/>
    <m/>
    <s v="Expert Disbursement"/>
    <m/>
    <s v="N"/>
    <n v="-265"/>
    <n v="0"/>
    <x v="2"/>
    <s v="VALIDATED"/>
    <n v="1"/>
    <s v="01.11.80.308.2013.0000"/>
    <n v="-265"/>
    <s v="11"/>
    <s v="2013"/>
    <n v="15075.32"/>
    <n v="-265"/>
    <s v="CREDITOR"/>
    <n v="0"/>
    <n v="0"/>
    <n v="-265"/>
    <n v="0"/>
    <n v="0"/>
  </r>
  <r>
    <n v="33970544"/>
    <s v="N"/>
    <n v="21356252"/>
    <s v="3000009967530006RC"/>
    <s v="CIVIL"/>
    <d v="2023-06-30T00:00:00"/>
    <d v="2023-07-10T19:47:44"/>
    <m/>
    <d v="2023-07-10T00:00:00"/>
    <n v="322"/>
    <n v="15873"/>
    <s v="33970544"/>
    <s v="33970544"/>
    <m/>
    <m/>
    <m/>
    <m/>
    <m/>
    <m/>
    <s v="SOLRECOUP"/>
    <s v="SOLRECOUP"/>
    <s v="POARECOUP"/>
    <n v="21356252"/>
    <n v="-318"/>
    <m/>
    <s v="Y"/>
    <n v="2"/>
    <d v="2023-07-10T19:47:44"/>
    <s v="N"/>
    <m/>
    <m/>
    <s v="Expert Disbursement"/>
    <m/>
    <s v="N"/>
    <n v="0"/>
    <n v="-53"/>
    <x v="2"/>
    <s v="VALIDATED"/>
    <n v="1"/>
    <s v="01.11.80.308.2013.0000"/>
    <n v="-53"/>
    <s v="11"/>
    <s v="2013"/>
    <n v="15075.32"/>
    <n v="-53"/>
    <s v="CREDITOR"/>
    <n v="0"/>
    <n v="0"/>
    <n v="-53"/>
    <n v="0"/>
    <n v="0"/>
  </r>
  <r>
    <n v="33970544"/>
    <s v="N"/>
    <n v="21356253"/>
    <s v="3000009967530008RC"/>
    <s v="CIVIL"/>
    <d v="2023-06-30T00:00:00"/>
    <d v="2023-07-10T19:47:44"/>
    <m/>
    <d v="2023-07-10T00:00:00"/>
    <n v="322"/>
    <n v="15873"/>
    <s v="33970544"/>
    <s v="33970544"/>
    <m/>
    <m/>
    <m/>
    <m/>
    <m/>
    <m/>
    <s v="SOLRECOUP"/>
    <s v="SOLRECOUP"/>
    <s v="POARECOUP"/>
    <n v="21356253"/>
    <n v="-162"/>
    <m/>
    <s v="Y"/>
    <n v="1"/>
    <d v="2023-07-10T19:47:44"/>
    <s v="N"/>
    <m/>
    <m/>
    <s v="Expert Disbursement"/>
    <m/>
    <s v="N"/>
    <n v="-135"/>
    <n v="0"/>
    <x v="2"/>
    <s v="VALIDATED"/>
    <n v="1"/>
    <s v="01.11.80.308.2013.0000"/>
    <n v="-135"/>
    <s v="11"/>
    <s v="2013"/>
    <n v="15075.32"/>
    <n v="-135"/>
    <s v="CREDITOR"/>
    <n v="0"/>
    <n v="0"/>
    <n v="-135"/>
    <n v="0"/>
    <n v="0"/>
  </r>
  <r>
    <n v="33970544"/>
    <s v="N"/>
    <n v="21356253"/>
    <s v="3000009967530008RC"/>
    <s v="CIVIL"/>
    <d v="2023-06-30T00:00:00"/>
    <d v="2023-07-10T19:47:44"/>
    <m/>
    <d v="2023-07-10T00:00:00"/>
    <n v="322"/>
    <n v="15873"/>
    <s v="33970544"/>
    <s v="33970544"/>
    <m/>
    <m/>
    <m/>
    <m/>
    <m/>
    <m/>
    <s v="SOLRECOUP"/>
    <s v="SOLRECOUP"/>
    <s v="POARECOUP"/>
    <n v="21356253"/>
    <n v="-162"/>
    <m/>
    <s v="Y"/>
    <n v="2"/>
    <d v="2023-07-10T19:47:44"/>
    <s v="N"/>
    <m/>
    <m/>
    <s v="Expert Disbursement"/>
    <m/>
    <s v="N"/>
    <n v="0"/>
    <n v="-27"/>
    <x v="2"/>
    <s v="VALIDATED"/>
    <n v="1"/>
    <s v="01.11.80.308.2013.0000"/>
    <n v="-27"/>
    <s v="11"/>
    <s v="2013"/>
    <n v="15075.32"/>
    <n v="-27"/>
    <s v="CREDITOR"/>
    <n v="0"/>
    <n v="0"/>
    <n v="-27"/>
    <n v="0"/>
    <n v="0"/>
  </r>
  <r>
    <n v="33970544"/>
    <s v="N"/>
    <n v="21356254"/>
    <s v="3000009967530009RC"/>
    <s v="CIVIL"/>
    <d v="2023-06-30T00:00:00"/>
    <d v="2023-07-10T19:47:44"/>
    <m/>
    <d v="2023-07-10T00:00:00"/>
    <n v="322"/>
    <n v="15873"/>
    <s v="33970544"/>
    <s v="33970544"/>
    <m/>
    <m/>
    <m/>
    <m/>
    <m/>
    <m/>
    <s v="SOLRECOUP"/>
    <s v="SOLRECOUP"/>
    <s v="POARECOUP"/>
    <n v="21356254"/>
    <n v="-258"/>
    <m/>
    <s v="Y"/>
    <n v="1"/>
    <d v="2023-07-10T19:47:44"/>
    <s v="N"/>
    <m/>
    <m/>
    <s v="Expert Disbursement"/>
    <m/>
    <s v="N"/>
    <n v="-215"/>
    <n v="0"/>
    <x v="2"/>
    <s v="VALIDATED"/>
    <n v="1"/>
    <s v="01.11.80.308.2013.0000"/>
    <n v="-215"/>
    <s v="11"/>
    <s v="2013"/>
    <n v="15075.32"/>
    <n v="-215"/>
    <s v="CREDITOR"/>
    <n v="0"/>
    <n v="0"/>
    <n v="-215"/>
    <n v="0"/>
    <n v="0"/>
  </r>
  <r>
    <n v="33970544"/>
    <s v="N"/>
    <n v="21356254"/>
    <s v="3000009967530009RC"/>
    <s v="CIVIL"/>
    <d v="2023-06-30T00:00:00"/>
    <d v="2023-07-10T19:47:44"/>
    <m/>
    <d v="2023-07-10T00:00:00"/>
    <n v="322"/>
    <n v="15873"/>
    <s v="33970544"/>
    <s v="33970544"/>
    <m/>
    <m/>
    <m/>
    <m/>
    <m/>
    <m/>
    <s v="SOLRECOUP"/>
    <s v="SOLRECOUP"/>
    <s v="POARECOUP"/>
    <n v="21356254"/>
    <n v="-258"/>
    <m/>
    <s v="Y"/>
    <n v="2"/>
    <d v="2023-07-10T19:47:44"/>
    <s v="N"/>
    <m/>
    <m/>
    <s v="Expert Disbursement"/>
    <m/>
    <s v="N"/>
    <n v="0"/>
    <n v="-43"/>
    <x v="2"/>
    <s v="VALIDATED"/>
    <n v="1"/>
    <s v="01.11.80.308.2013.0000"/>
    <n v="-43"/>
    <s v="11"/>
    <s v="2013"/>
    <n v="15075.32"/>
    <n v="-43"/>
    <s v="CREDITOR"/>
    <n v="0"/>
    <n v="0"/>
    <n v="-43"/>
    <n v="0"/>
    <n v="0"/>
  </r>
  <r>
    <n v="33970544"/>
    <s v="N"/>
    <n v="21356255"/>
    <s v="3000009967530010RC"/>
    <s v="CIVIL"/>
    <d v="2023-06-30T00:00:00"/>
    <d v="2023-07-10T19:47:44"/>
    <m/>
    <d v="2023-07-10T00:00:00"/>
    <n v="322"/>
    <n v="15873"/>
    <s v="33970544"/>
    <s v="33970544"/>
    <m/>
    <m/>
    <m/>
    <m/>
    <m/>
    <m/>
    <s v="SOLRECOUP"/>
    <s v="SOLRECOUP"/>
    <s v="POARECOUP"/>
    <n v="21356255"/>
    <n v="-258"/>
    <m/>
    <s v="Y"/>
    <n v="1"/>
    <d v="2023-07-10T19:47:44"/>
    <s v="N"/>
    <m/>
    <m/>
    <s v="Expert Disbursement"/>
    <m/>
    <s v="N"/>
    <n v="-215"/>
    <n v="0"/>
    <x v="2"/>
    <s v="VALIDATED"/>
    <n v="1"/>
    <s v="01.11.80.308.2013.0000"/>
    <n v="-215"/>
    <s v="11"/>
    <s v="2013"/>
    <n v="15075.32"/>
    <n v="-215"/>
    <s v="CREDITOR"/>
    <n v="0"/>
    <n v="0"/>
    <n v="-215"/>
    <n v="0"/>
    <n v="0"/>
  </r>
  <r>
    <n v="33970544"/>
    <s v="N"/>
    <n v="21356255"/>
    <s v="3000009967530010RC"/>
    <s v="CIVIL"/>
    <d v="2023-06-30T00:00:00"/>
    <d v="2023-07-10T19:47:44"/>
    <m/>
    <d v="2023-07-10T00:00:00"/>
    <n v="322"/>
    <n v="15873"/>
    <s v="33970544"/>
    <s v="33970544"/>
    <m/>
    <m/>
    <m/>
    <m/>
    <m/>
    <m/>
    <s v="SOLRECOUP"/>
    <s v="SOLRECOUP"/>
    <s v="POARECOUP"/>
    <n v="21356255"/>
    <n v="-258"/>
    <m/>
    <s v="Y"/>
    <n v="2"/>
    <d v="2023-07-10T19:47:44"/>
    <s v="N"/>
    <m/>
    <m/>
    <s v="Expert Disbursement"/>
    <m/>
    <s v="N"/>
    <n v="0"/>
    <n v="-43"/>
    <x v="2"/>
    <s v="VALIDATED"/>
    <n v="1"/>
    <s v="01.11.80.308.2013.0000"/>
    <n v="-43"/>
    <s v="11"/>
    <s v="2013"/>
    <n v="15075.32"/>
    <n v="-43"/>
    <s v="CREDITOR"/>
    <n v="0"/>
    <n v="0"/>
    <n v="-43"/>
    <n v="0"/>
    <n v="0"/>
  </r>
  <r>
    <n v="33970544"/>
    <s v="N"/>
    <n v="21356256"/>
    <s v="3000009967530011RC"/>
    <s v="CIVIL"/>
    <d v="2023-06-30T00:00:00"/>
    <d v="2023-07-10T19:47:44"/>
    <m/>
    <d v="2023-07-10T00:00:00"/>
    <n v="322"/>
    <n v="15873"/>
    <s v="33970544"/>
    <s v="33970544"/>
    <m/>
    <m/>
    <m/>
    <m/>
    <m/>
    <m/>
    <s v="SOLRECOUP"/>
    <s v="SOLRECOUP"/>
    <s v="POARECOUP"/>
    <n v="21356256"/>
    <n v="-50"/>
    <m/>
    <s v="Y"/>
    <n v="2"/>
    <d v="2023-07-10T19:47:44"/>
    <s v="N"/>
    <m/>
    <m/>
    <s v="Expert Disbursement"/>
    <m/>
    <s v="N"/>
    <n v="0"/>
    <n v="0"/>
    <x v="2"/>
    <s v="VALIDATED"/>
    <n v="1"/>
    <s v="01.11.80.000.0000.0000"/>
    <n v="0"/>
    <s v="11"/>
    <s v="0000"/>
    <n v="15075.32"/>
    <n v="0"/>
    <s v="CREDITOR"/>
    <n v="0"/>
    <n v="0"/>
    <n v="0"/>
    <n v="0"/>
    <n v="0"/>
  </r>
  <r>
    <n v="33970544"/>
    <s v="N"/>
    <n v="21356256"/>
    <s v="3000009967530011RC"/>
    <s v="CIVIL"/>
    <d v="2023-06-30T00:00:00"/>
    <d v="2023-07-10T19:47:44"/>
    <m/>
    <d v="2023-07-10T00:00:00"/>
    <n v="322"/>
    <n v="15873"/>
    <s v="33970544"/>
    <s v="33970544"/>
    <m/>
    <m/>
    <m/>
    <m/>
    <m/>
    <m/>
    <s v="SOLRECOUP"/>
    <s v="SOLRECOUP"/>
    <s v="POARECOUP"/>
    <n v="21356256"/>
    <n v="-50"/>
    <m/>
    <s v="Y"/>
    <n v="1"/>
    <d v="2023-07-10T19:47:44"/>
    <s v="N"/>
    <m/>
    <m/>
    <s v="Expert Disbursement"/>
    <m/>
    <s v="N"/>
    <n v="-50"/>
    <n v="0"/>
    <x v="2"/>
    <s v="VALIDATED"/>
    <n v="1"/>
    <s v="01.11.80.308.2013.0000"/>
    <n v="-50"/>
    <s v="11"/>
    <s v="2013"/>
    <n v="15075.32"/>
    <n v="-50"/>
    <s v="CREDITOR"/>
    <n v="0"/>
    <n v="0"/>
    <n v="-50"/>
    <n v="0"/>
    <n v="0"/>
  </r>
  <r>
    <n v="33970544"/>
    <s v="N"/>
    <n v="21356257"/>
    <s v="3000009967530013RC"/>
    <s v="CIVIL"/>
    <d v="2023-06-30T00:00:00"/>
    <d v="2023-07-10T19:47:44"/>
    <m/>
    <d v="2023-07-10T00:00:00"/>
    <n v="322"/>
    <n v="15873"/>
    <s v="33970544"/>
    <s v="33970544"/>
    <m/>
    <m/>
    <m/>
    <m/>
    <m/>
    <m/>
    <s v="SOLRECOUP"/>
    <s v="SOLRECOUP"/>
    <s v="POARECOUP"/>
    <n v="21356257"/>
    <n v="-162"/>
    <m/>
    <s v="Y"/>
    <n v="1"/>
    <d v="2023-07-10T19:47:44"/>
    <s v="N"/>
    <m/>
    <m/>
    <s v="Expert Disbursement"/>
    <m/>
    <s v="N"/>
    <n v="-135"/>
    <n v="0"/>
    <x v="2"/>
    <s v="VALIDATED"/>
    <n v="1"/>
    <s v="01.11.80.308.2013.0000"/>
    <n v="-135"/>
    <s v="11"/>
    <s v="2013"/>
    <n v="15075.32"/>
    <n v="-135"/>
    <s v="CREDITOR"/>
    <n v="0"/>
    <n v="0"/>
    <n v="-135"/>
    <n v="0"/>
    <n v="0"/>
  </r>
  <r>
    <n v="33970544"/>
    <s v="N"/>
    <n v="21356257"/>
    <s v="3000009967530013RC"/>
    <s v="CIVIL"/>
    <d v="2023-06-30T00:00:00"/>
    <d v="2023-07-10T19:47:44"/>
    <m/>
    <d v="2023-07-10T00:00:00"/>
    <n v="322"/>
    <n v="15873"/>
    <s v="33970544"/>
    <s v="33970544"/>
    <m/>
    <m/>
    <m/>
    <m/>
    <m/>
    <m/>
    <s v="SOLRECOUP"/>
    <s v="SOLRECOUP"/>
    <s v="POARECOUP"/>
    <n v="21356257"/>
    <n v="-162"/>
    <m/>
    <s v="Y"/>
    <n v="2"/>
    <d v="2023-07-10T19:47:44"/>
    <s v="N"/>
    <m/>
    <m/>
    <s v="Expert Disbursement"/>
    <m/>
    <s v="N"/>
    <n v="0"/>
    <n v="-27"/>
    <x v="2"/>
    <s v="VALIDATED"/>
    <n v="1"/>
    <s v="01.11.80.308.2013.0000"/>
    <n v="-27"/>
    <s v="11"/>
    <s v="2013"/>
    <n v="15075.32"/>
    <n v="-27"/>
    <s v="CREDITOR"/>
    <n v="0"/>
    <n v="0"/>
    <n v="-27"/>
    <n v="0"/>
    <n v="0"/>
  </r>
  <r>
    <n v="33970544"/>
    <s v="N"/>
    <n v="21356258"/>
    <s v="3000009967530012RC"/>
    <s v="CIVIL"/>
    <d v="2023-06-30T00:00:00"/>
    <d v="2023-07-10T19:47:44"/>
    <m/>
    <d v="2023-07-10T00:00:00"/>
    <n v="322"/>
    <n v="15873"/>
    <s v="33970544"/>
    <s v="33970544"/>
    <m/>
    <m/>
    <m/>
    <m/>
    <m/>
    <m/>
    <s v="SOLRECOUP"/>
    <s v="SOLRECOUP"/>
    <s v="POARECOUP"/>
    <n v="21356258"/>
    <n v="-596.54"/>
    <m/>
    <s v="Y"/>
    <n v="1"/>
    <d v="2023-07-10T19:47:44"/>
    <s v="N"/>
    <m/>
    <m/>
    <s v="Expert Disbursement"/>
    <m/>
    <s v="N"/>
    <n v="-497.12"/>
    <n v="0"/>
    <x v="2"/>
    <s v="VALIDATED"/>
    <n v="1"/>
    <s v="01.11.80.308.2013.0000"/>
    <n v="-497.12"/>
    <s v="11"/>
    <s v="2013"/>
    <n v="15075.32"/>
    <n v="-497.12"/>
    <s v="CREDITOR"/>
    <n v="0"/>
    <n v="0"/>
    <n v="-497.12"/>
    <n v="0"/>
    <n v="0"/>
  </r>
  <r>
    <n v="33970544"/>
    <s v="N"/>
    <n v="21356258"/>
    <s v="3000009967530012RC"/>
    <s v="CIVIL"/>
    <d v="2023-06-30T00:00:00"/>
    <d v="2023-07-10T19:47:44"/>
    <m/>
    <d v="2023-07-10T00:00:00"/>
    <n v="322"/>
    <n v="15873"/>
    <s v="33970544"/>
    <s v="33970544"/>
    <m/>
    <m/>
    <m/>
    <m/>
    <m/>
    <m/>
    <s v="SOLRECOUP"/>
    <s v="SOLRECOUP"/>
    <s v="POARECOUP"/>
    <n v="21356258"/>
    <n v="-596.54"/>
    <m/>
    <s v="Y"/>
    <n v="2"/>
    <d v="2023-07-10T19:47:44"/>
    <s v="N"/>
    <m/>
    <m/>
    <s v="Expert Disbursement"/>
    <m/>
    <s v="N"/>
    <n v="0"/>
    <n v="-99.42"/>
    <x v="2"/>
    <s v="VALIDATED"/>
    <n v="1"/>
    <s v="01.11.80.308.2013.0000"/>
    <n v="-99.42"/>
    <s v="11"/>
    <s v="2013"/>
    <n v="15075.32"/>
    <n v="-99.42"/>
    <s v="CREDITOR"/>
    <n v="0"/>
    <n v="0"/>
    <n v="-99.42"/>
    <n v="0"/>
    <n v="0"/>
  </r>
  <r>
    <n v="33970544"/>
    <s v="N"/>
    <n v="21356259"/>
    <s v="3000009967530015RC"/>
    <s v="CIVIL"/>
    <d v="2023-06-30T00:00:00"/>
    <d v="2023-07-10T19:47:44"/>
    <m/>
    <d v="2023-07-10T00:00:00"/>
    <n v="322"/>
    <n v="15873"/>
    <s v="33970544"/>
    <s v="33970544"/>
    <m/>
    <m/>
    <m/>
    <m/>
    <m/>
    <m/>
    <s v="SOLRECOUP"/>
    <s v="SOLRECOUP"/>
    <s v="POARECOUP"/>
    <n v="21356259"/>
    <n v="-309.6"/>
    <m/>
    <s v="Y"/>
    <n v="1"/>
    <d v="2023-07-10T19:47:44"/>
    <s v="N"/>
    <m/>
    <m/>
    <s v="Expert Disbursement"/>
    <m/>
    <s v="N"/>
    <n v="-258"/>
    <n v="0"/>
    <x v="2"/>
    <s v="VALIDATED"/>
    <n v="1"/>
    <s v="01.11.80.308.2013.0000"/>
    <n v="-258"/>
    <s v="11"/>
    <s v="2013"/>
    <n v="15075.32"/>
    <n v="-258"/>
    <s v="CREDITOR"/>
    <n v="0"/>
    <n v="0"/>
    <n v="-258"/>
    <n v="0"/>
    <n v="0"/>
  </r>
  <r>
    <n v="33970544"/>
    <s v="N"/>
    <n v="21356259"/>
    <s v="3000009967530015RC"/>
    <s v="CIVIL"/>
    <d v="2023-06-30T00:00:00"/>
    <d v="2023-07-10T19:47:44"/>
    <m/>
    <d v="2023-07-10T00:00:00"/>
    <n v="322"/>
    <n v="15873"/>
    <s v="33970544"/>
    <s v="33970544"/>
    <m/>
    <m/>
    <m/>
    <m/>
    <m/>
    <m/>
    <s v="SOLRECOUP"/>
    <s v="SOLRECOUP"/>
    <s v="POARECOUP"/>
    <n v="21356259"/>
    <n v="-309.6"/>
    <m/>
    <s v="Y"/>
    <n v="2"/>
    <d v="2023-07-10T19:47:44"/>
    <s v="N"/>
    <m/>
    <m/>
    <s v="Expert Disbursement"/>
    <m/>
    <s v="N"/>
    <n v="0"/>
    <n v="-51.6"/>
    <x v="2"/>
    <s v="VALIDATED"/>
    <n v="1"/>
    <s v="01.11.80.308.2013.0000"/>
    <n v="-51.6"/>
    <s v="11"/>
    <s v="2013"/>
    <n v="15075.32"/>
    <n v="-51.6"/>
    <s v="CREDITOR"/>
    <n v="0"/>
    <n v="0"/>
    <n v="-51.6"/>
    <n v="0"/>
    <n v="0"/>
  </r>
  <r>
    <n v="33970544"/>
    <s v="N"/>
    <n v="21356260"/>
    <s v="3000009967530014RC"/>
    <s v="CIVIL"/>
    <d v="2023-06-30T00:00:00"/>
    <d v="2023-07-10T19:47:44"/>
    <m/>
    <d v="2023-07-10T00:00:00"/>
    <n v="322"/>
    <n v="15873"/>
    <s v="33970544"/>
    <s v="33970544"/>
    <m/>
    <m/>
    <m/>
    <m/>
    <m/>
    <m/>
    <s v="SOLRECOUP"/>
    <s v="SOLRECOUP"/>
    <s v="POARECOUP"/>
    <n v="21356260"/>
    <n v="-574.2"/>
    <m/>
    <s v="Y"/>
    <n v="1"/>
    <d v="2023-07-10T19:47:44"/>
    <s v="N"/>
    <m/>
    <m/>
    <s v="Expert Disbursement"/>
    <m/>
    <s v="N"/>
    <n v="-478.5"/>
    <n v="0"/>
    <x v="2"/>
    <s v="VALIDATED"/>
    <n v="1"/>
    <s v="01.11.80.308.2013.0000"/>
    <n v="-478.5"/>
    <s v="11"/>
    <s v="2013"/>
    <n v="15075.32"/>
    <n v="-478.5"/>
    <s v="CREDITOR"/>
    <n v="0"/>
    <n v="0"/>
    <n v="-478.5"/>
    <n v="0"/>
    <n v="0"/>
  </r>
  <r>
    <n v="33970544"/>
    <s v="N"/>
    <n v="21356260"/>
    <s v="3000009967530014RC"/>
    <s v="CIVIL"/>
    <d v="2023-06-30T00:00:00"/>
    <d v="2023-07-10T19:47:44"/>
    <m/>
    <d v="2023-07-10T00:00:00"/>
    <n v="322"/>
    <n v="15873"/>
    <s v="33970544"/>
    <s v="33970544"/>
    <m/>
    <m/>
    <m/>
    <m/>
    <m/>
    <m/>
    <s v="SOLRECOUP"/>
    <s v="SOLRECOUP"/>
    <s v="POARECOUP"/>
    <n v="21356260"/>
    <n v="-574.2"/>
    <m/>
    <s v="Y"/>
    <n v="2"/>
    <d v="2023-07-10T19:47:44"/>
    <s v="N"/>
    <m/>
    <m/>
    <s v="Expert Disbursement"/>
    <m/>
    <s v="N"/>
    <n v="0"/>
    <n v="-95.7"/>
    <x v="2"/>
    <s v="VALIDATED"/>
    <n v="1"/>
    <s v="01.11.80.308.2013.0000"/>
    <n v="-95.7"/>
    <s v="11"/>
    <s v="2013"/>
    <n v="15075.32"/>
    <n v="-95.7"/>
    <s v="CREDITOR"/>
    <n v="0"/>
    <n v="0"/>
    <n v="-95.7"/>
    <n v="0"/>
    <n v="0"/>
  </r>
  <r>
    <n v="33970544"/>
    <s v="N"/>
    <n v="21356261"/>
    <s v="3000009967530017RC"/>
    <s v="CIVIL"/>
    <d v="2023-06-30T00:00:00"/>
    <d v="2023-07-10T19:47:44"/>
    <m/>
    <d v="2023-07-10T00:00:00"/>
    <n v="322"/>
    <n v="15873"/>
    <s v="33970544"/>
    <s v="33970544"/>
    <m/>
    <m/>
    <m/>
    <m/>
    <m/>
    <m/>
    <s v="SOLRECOUP"/>
    <s v="SOLRECOUP"/>
    <s v="POARECOUP"/>
    <n v="21356261"/>
    <n v="-342"/>
    <m/>
    <s v="Y"/>
    <n v="1"/>
    <d v="2023-07-10T19:47:44"/>
    <s v="N"/>
    <m/>
    <m/>
    <s v="Expert Disbursement"/>
    <m/>
    <s v="N"/>
    <n v="-285"/>
    <n v="0"/>
    <x v="2"/>
    <s v="VALIDATED"/>
    <n v="1"/>
    <s v="01.11.80.308.2013.0000"/>
    <n v="-285"/>
    <s v="11"/>
    <s v="2013"/>
    <n v="15075.32"/>
    <n v="-285"/>
    <s v="CREDITOR"/>
    <n v="0"/>
    <n v="0"/>
    <n v="-285"/>
    <n v="0"/>
    <n v="0"/>
  </r>
  <r>
    <n v="33970544"/>
    <s v="N"/>
    <n v="21356261"/>
    <s v="3000009967530017RC"/>
    <s v="CIVIL"/>
    <d v="2023-06-30T00:00:00"/>
    <d v="2023-07-10T19:47:44"/>
    <m/>
    <d v="2023-07-10T00:00:00"/>
    <n v="322"/>
    <n v="15873"/>
    <s v="33970544"/>
    <s v="33970544"/>
    <m/>
    <m/>
    <m/>
    <m/>
    <m/>
    <m/>
    <s v="SOLRECOUP"/>
    <s v="SOLRECOUP"/>
    <s v="POARECOUP"/>
    <n v="21356261"/>
    <n v="-342"/>
    <m/>
    <s v="Y"/>
    <n v="2"/>
    <d v="2023-07-10T19:47:44"/>
    <s v="N"/>
    <m/>
    <m/>
    <s v="Expert Disbursement"/>
    <m/>
    <s v="N"/>
    <n v="0"/>
    <n v="-57"/>
    <x v="2"/>
    <s v="VALIDATED"/>
    <n v="1"/>
    <s v="01.11.80.308.2013.0000"/>
    <n v="-57"/>
    <s v="11"/>
    <s v="2013"/>
    <n v="15075.32"/>
    <n v="-57"/>
    <s v="CREDITOR"/>
    <n v="0"/>
    <n v="0"/>
    <n v="-57"/>
    <n v="0"/>
    <n v="0"/>
  </r>
  <r>
    <n v="33970544"/>
    <s v="N"/>
    <n v="21356262"/>
    <s v="3000009967530016RC"/>
    <s v="CIVIL"/>
    <d v="2023-06-30T00:00:00"/>
    <d v="2023-07-10T19:47:44"/>
    <m/>
    <d v="2023-07-10T00:00:00"/>
    <n v="322"/>
    <n v="15873"/>
    <s v="33970544"/>
    <s v="33970544"/>
    <m/>
    <m/>
    <m/>
    <m/>
    <m/>
    <m/>
    <s v="SOLRECOUP"/>
    <s v="SOLRECOUP"/>
    <s v="POARECOUP"/>
    <n v="21356262"/>
    <n v="-342"/>
    <m/>
    <s v="Y"/>
    <n v="1"/>
    <d v="2023-07-10T19:47:44"/>
    <s v="N"/>
    <m/>
    <m/>
    <s v="Expert Disbursement"/>
    <m/>
    <s v="N"/>
    <n v="-285"/>
    <n v="0"/>
    <x v="2"/>
    <s v="VALIDATED"/>
    <n v="1"/>
    <s v="01.11.80.308.2013.0000"/>
    <n v="-285"/>
    <s v="11"/>
    <s v="2013"/>
    <n v="15075.32"/>
    <n v="-285"/>
    <s v="CREDITOR"/>
    <n v="0"/>
    <n v="0"/>
    <n v="-285"/>
    <n v="0"/>
    <n v="0"/>
  </r>
  <r>
    <n v="33970544"/>
    <s v="N"/>
    <n v="21356262"/>
    <s v="3000009967530016RC"/>
    <s v="CIVIL"/>
    <d v="2023-06-30T00:00:00"/>
    <d v="2023-07-10T19:47:44"/>
    <m/>
    <d v="2023-07-10T00:00:00"/>
    <n v="322"/>
    <n v="15873"/>
    <s v="33970544"/>
    <s v="33970544"/>
    <m/>
    <m/>
    <m/>
    <m/>
    <m/>
    <m/>
    <s v="SOLRECOUP"/>
    <s v="SOLRECOUP"/>
    <s v="POARECOUP"/>
    <n v="21356262"/>
    <n v="-342"/>
    <m/>
    <s v="Y"/>
    <n v="2"/>
    <d v="2023-07-10T19:47:44"/>
    <s v="N"/>
    <m/>
    <m/>
    <s v="Expert Disbursement"/>
    <m/>
    <s v="N"/>
    <n v="0"/>
    <n v="-57"/>
    <x v="2"/>
    <s v="VALIDATED"/>
    <n v="1"/>
    <s v="01.11.80.308.2013.0000"/>
    <n v="-57"/>
    <s v="11"/>
    <s v="2013"/>
    <n v="15075.32"/>
    <n v="-57"/>
    <s v="CREDITOR"/>
    <n v="0"/>
    <n v="0"/>
    <n v="-57"/>
    <n v="0"/>
    <n v="0"/>
  </r>
  <r>
    <n v="60702740"/>
    <s v="N"/>
    <n v="21350055"/>
    <s v="3000014948690008"/>
    <s v="CIVIL"/>
    <d v="2023-06-28T00:00:00"/>
    <d v="2023-07-10T19:01:40"/>
    <m/>
    <d v="2023-07-10T00:00:00"/>
    <n v="329"/>
    <n v="16318"/>
    <s v="60702740"/>
    <s v="60702740"/>
    <m/>
    <m/>
    <n v="22780852"/>
    <m/>
    <m/>
    <m/>
    <s v="SOLFIN"/>
    <s v="SOLFIN"/>
    <s v="CCMS"/>
    <n v="21350055"/>
    <n v="19530.58"/>
    <m/>
    <s v="N"/>
    <n v="75"/>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65"/>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20"/>
    <d v="2023-07-10T19:02:11"/>
    <s v="Y"/>
    <s v="Preparation - other"/>
    <s v="Prescribed Hourly Rates"/>
    <s v="Profit Cost"/>
    <s v="SP"/>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25"/>
    <d v="2023-07-10T19:02:11"/>
    <s v="Y"/>
    <s v="Attendance upon other side"/>
    <s v="Prescribed Hourly Rates"/>
    <s v="Profit Cost"/>
    <s v="SP"/>
    <s v="Y"/>
    <n v="80.19"/>
    <n v="16.04"/>
    <x v="2"/>
    <s v="VALIDATED"/>
    <n v="1"/>
    <s v="01.11.80.307.6100.0000"/>
    <n v="80.19"/>
    <s v="11"/>
    <s v="6100"/>
    <n v="9153.27"/>
    <n v="80.19"/>
    <s v="CREDITOR"/>
    <n v="0"/>
    <n v="0"/>
    <n v="0"/>
    <n v="0"/>
    <n v="80.19"/>
  </r>
  <r>
    <n v="60702740"/>
    <s v="N"/>
    <n v="21350055"/>
    <s v="3000014948690008"/>
    <s v="CIVIL"/>
    <d v="2023-06-28T00:00:00"/>
    <d v="2023-07-10T19:01:40"/>
    <m/>
    <d v="2023-07-10T00:00:00"/>
    <n v="329"/>
    <n v="16318"/>
    <s v="60702740"/>
    <s v="60702740"/>
    <m/>
    <m/>
    <n v="22780852"/>
    <m/>
    <m/>
    <m/>
    <s v="SOLFIN"/>
    <s v="SOLFIN"/>
    <s v="CCMS"/>
    <n v="21350055"/>
    <n v="19530.58"/>
    <m/>
    <s v="N"/>
    <n v="158"/>
    <d v="2023-07-10T19:02:11"/>
    <s v="Y"/>
    <s v="Routine Telephone Call"/>
    <s v="Prescribed Hourly Rates"/>
    <s v="Profit Cost"/>
    <s v="FG"/>
    <s v="Y"/>
    <n v="151.2"/>
    <n v="30.24"/>
    <x v="2"/>
    <s v="VALIDATED"/>
    <n v="1"/>
    <s v="01.11.80.307.6100.0000"/>
    <n v="151.2"/>
    <s v="11"/>
    <s v="6100"/>
    <n v="9153.27"/>
    <n v="151.2"/>
    <s v="CREDITOR"/>
    <n v="0"/>
    <n v="0"/>
    <n v="0"/>
    <n v="0"/>
    <n v="151.2"/>
  </r>
  <r>
    <n v="60702740"/>
    <s v="N"/>
    <n v="21350055"/>
    <s v="3000014948690008"/>
    <s v="CIVIL"/>
    <d v="2023-06-28T00:00:00"/>
    <d v="2023-07-10T19:01:40"/>
    <m/>
    <d v="2023-07-10T00:00:00"/>
    <n v="329"/>
    <n v="16318"/>
    <s v="60702740"/>
    <s v="60702740"/>
    <m/>
    <m/>
    <n v="22780852"/>
    <m/>
    <m/>
    <m/>
    <s v="SOLFIN"/>
    <s v="SOLFIN"/>
    <s v="CCMS"/>
    <n v="21350055"/>
    <n v="19530.58"/>
    <m/>
    <s v="N"/>
    <n v="94"/>
    <d v="2023-07-10T19:02:11"/>
    <s v="Y"/>
    <s v="Attendance upon client"/>
    <s v="Prescribed Hourly Rates"/>
    <s v="Profit Cost"/>
    <s v="FG"/>
    <s v="Y"/>
    <n v="208.49"/>
    <n v="41.7"/>
    <x v="2"/>
    <s v="VALIDATED"/>
    <n v="1"/>
    <s v="01.11.80.307.6100.0000"/>
    <n v="208.49"/>
    <s v="11"/>
    <s v="6100"/>
    <n v="9153.27"/>
    <n v="208.49"/>
    <s v="CREDITOR"/>
    <n v="0"/>
    <n v="0"/>
    <n v="0"/>
    <n v="0"/>
    <n v="208.49"/>
  </r>
  <r>
    <n v="60702740"/>
    <s v="N"/>
    <n v="21350055"/>
    <s v="3000014948690008"/>
    <s v="CIVIL"/>
    <d v="2023-06-28T00:00:00"/>
    <d v="2023-07-10T19:01:40"/>
    <m/>
    <d v="2023-07-10T00:00:00"/>
    <n v="329"/>
    <n v="16318"/>
    <s v="60702740"/>
    <s v="60702740"/>
    <m/>
    <m/>
    <n v="22780852"/>
    <m/>
    <m/>
    <m/>
    <s v="SOLFIN"/>
    <s v="SOLFIN"/>
    <s v="CCMS"/>
    <n v="21350055"/>
    <n v="19530.58"/>
    <m/>
    <s v="N"/>
    <n v="136"/>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30"/>
    <d v="2023-07-10T19:02:11"/>
    <s v="Y"/>
    <s v="Attendance upon court"/>
    <s v="Prescribed Hourly Rates"/>
    <s v="Profit Cost"/>
    <s v="PE"/>
    <s v="Y"/>
    <n v="56.13"/>
    <n v="11.23"/>
    <x v="2"/>
    <s v="VALIDATED"/>
    <n v="1"/>
    <s v="01.11.80.307.6100.0000"/>
    <n v="56.13"/>
    <s v="11"/>
    <s v="6100"/>
    <n v="9153.27"/>
    <n v="56.13"/>
    <s v="CREDITOR"/>
    <n v="0"/>
    <n v="0"/>
    <n v="0"/>
    <n v="0"/>
    <n v="56.13"/>
  </r>
  <r>
    <n v="60702740"/>
    <s v="N"/>
    <n v="21350055"/>
    <s v="3000014948690008"/>
    <s v="CIVIL"/>
    <d v="2023-06-28T00:00:00"/>
    <d v="2023-07-10T19:01:40"/>
    <m/>
    <d v="2023-07-10T00:00:00"/>
    <n v="329"/>
    <n v="16318"/>
    <s v="60702740"/>
    <s v="60702740"/>
    <m/>
    <m/>
    <n v="22780852"/>
    <m/>
    <m/>
    <m/>
    <s v="SOLFIN"/>
    <s v="SOLFIN"/>
    <s v="CCMS"/>
    <n v="21350055"/>
    <n v="19530.58"/>
    <m/>
    <s v="N"/>
    <n v="48"/>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69"/>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79"/>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67"/>
    <d v="2023-07-10T19:02:11"/>
    <s v="Y"/>
    <s v="Attendance upon court"/>
    <s v="Prescribed Hourly Rates"/>
    <s v="Profit Cost"/>
    <s v="PE"/>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125"/>
    <d v="2023-07-10T19:02:11"/>
    <s v="Y"/>
    <s v="Attendance upon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52"/>
    <d v="2023-07-10T19:02:11"/>
    <s v="Y"/>
    <s v="Waiting at court"/>
    <s v="Prescribed Hourly Rates"/>
    <s v="Profit Cost"/>
    <s v="JA"/>
    <s v="Y"/>
    <n v="20.16"/>
    <n v="4.03"/>
    <x v="2"/>
    <s v="VALIDATED"/>
    <n v="1"/>
    <s v="01.11.80.307.6100.0000"/>
    <n v="20.16"/>
    <s v="11"/>
    <s v="6100"/>
    <n v="9153.27"/>
    <n v="20.16"/>
    <s v="CREDITOR"/>
    <n v="0"/>
    <n v="0"/>
    <n v="0"/>
    <n v="0"/>
    <n v="20.16"/>
  </r>
  <r>
    <n v="60702740"/>
    <s v="N"/>
    <n v="21350055"/>
    <s v="3000014948690008"/>
    <s v="CIVIL"/>
    <d v="2023-06-28T00:00:00"/>
    <d v="2023-07-10T19:01:40"/>
    <m/>
    <d v="2023-07-10T00:00:00"/>
    <n v="329"/>
    <n v="16318"/>
    <s v="60702740"/>
    <s v="60702740"/>
    <m/>
    <m/>
    <n v="22780852"/>
    <m/>
    <m/>
    <m/>
    <s v="SOLFIN"/>
    <s v="SOLFIN"/>
    <s v="CCMS"/>
    <n v="21350055"/>
    <n v="19530.58"/>
    <m/>
    <s v="N"/>
    <n v="109"/>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83"/>
    <d v="2023-07-10T19:02:11"/>
    <s v="Y"/>
    <s v="Preparation - other"/>
    <s v="Prescribed Hourly Rates"/>
    <s v="Profit Cost"/>
    <s v="FG"/>
    <s v="Y"/>
    <n v="64.15000000000001"/>
    <n v="12.83"/>
    <x v="2"/>
    <s v="VALIDATED"/>
    <n v="1"/>
    <s v="01.11.80.307.6100.0000"/>
    <n v="64.15000000000001"/>
    <s v="11"/>
    <s v="6100"/>
    <n v="9153.27"/>
    <n v="64.15000000000001"/>
    <s v="CREDITOR"/>
    <n v="0"/>
    <n v="0"/>
    <n v="0"/>
    <n v="0"/>
    <n v="64.15000000000001"/>
  </r>
  <r>
    <n v="60702740"/>
    <s v="N"/>
    <n v="21350055"/>
    <s v="3000014948690008"/>
    <s v="CIVIL"/>
    <d v="2023-06-28T00:00:00"/>
    <d v="2023-07-10T19:01:40"/>
    <m/>
    <d v="2023-07-10T00:00:00"/>
    <n v="329"/>
    <n v="16318"/>
    <s v="60702740"/>
    <s v="60702740"/>
    <m/>
    <m/>
    <n v="22780852"/>
    <m/>
    <m/>
    <m/>
    <s v="SOLFIN"/>
    <s v="SOLFIN"/>
    <s v="CCMS"/>
    <n v="21350055"/>
    <n v="19530.58"/>
    <m/>
    <s v="N"/>
    <n v="124"/>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28"/>
    <d v="2023-07-10T19:02:11"/>
    <s v="Y"/>
    <s v="Preparation - other"/>
    <s v="Prescribed Hourly Rates"/>
    <s v="Profit Cost"/>
    <s v="FG"/>
    <s v="Y"/>
    <n v="120.29"/>
    <n v="24.06"/>
    <x v="2"/>
    <s v="VALIDATED"/>
    <n v="1"/>
    <s v="01.11.80.307.6100.0000"/>
    <n v="120.29"/>
    <s v="11"/>
    <s v="6100"/>
    <n v="9153.27"/>
    <n v="120.29"/>
    <s v="CREDITOR"/>
    <n v="0"/>
    <n v="0"/>
    <n v="0"/>
    <n v="0"/>
    <n v="120.29"/>
  </r>
  <r>
    <n v="60702740"/>
    <s v="N"/>
    <n v="21350055"/>
    <s v="3000014948690008"/>
    <s v="CIVIL"/>
    <d v="2023-06-28T00:00:00"/>
    <d v="2023-07-10T19:01:40"/>
    <m/>
    <d v="2023-07-10T00:00:00"/>
    <n v="329"/>
    <n v="16318"/>
    <s v="60702740"/>
    <s v="60702740"/>
    <m/>
    <m/>
    <n v="22780852"/>
    <m/>
    <m/>
    <m/>
    <s v="SOLFIN"/>
    <s v="SOLFIN"/>
    <s v="CCMS"/>
    <n v="21350055"/>
    <n v="19530.58"/>
    <m/>
    <s v="N"/>
    <n v="113"/>
    <d v="2023-07-10T19:02:11"/>
    <s v="Y"/>
    <s v="Preparation - drafting statement"/>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55"/>
    <d v="2023-07-10T19:02:11"/>
    <s v="Y"/>
    <s v="Preparation - drafting bill/claim f"/>
    <s v="Prescribed Hourly Rates"/>
    <s v="Profit Cost"/>
    <s v="FG"/>
    <s v="Y"/>
    <n v="68.31"/>
    <n v="13.66"/>
    <x v="2"/>
    <s v="VALIDATED"/>
    <n v="1"/>
    <s v="01.11.80.307.6100.0000"/>
    <n v="68.31"/>
    <s v="11"/>
    <s v="6100"/>
    <n v="9153.27"/>
    <n v="68.31"/>
    <s v="CREDITOR"/>
    <n v="0"/>
    <n v="0"/>
    <n v="0"/>
    <n v="0"/>
    <n v="68.31"/>
  </r>
  <r>
    <n v="60702740"/>
    <s v="N"/>
    <n v="21350055"/>
    <s v="3000014948690008"/>
    <s v="CIVIL"/>
    <d v="2023-06-28T00:00:00"/>
    <d v="2023-07-10T19:01:40"/>
    <m/>
    <d v="2023-07-10T00:00:00"/>
    <n v="329"/>
    <n v="16318"/>
    <s v="60702740"/>
    <s v="60702740"/>
    <m/>
    <m/>
    <n v="22780852"/>
    <m/>
    <m/>
    <m/>
    <s v="SOLFIN"/>
    <s v="SOLFIN"/>
    <s v="CCMS"/>
    <n v="21350055"/>
    <n v="19530.58"/>
    <m/>
    <s v="N"/>
    <n v="33"/>
    <d v="2023-07-10T19:02:11"/>
    <s v="Y"/>
    <s v="Attendance upon client"/>
    <s v="Prescribed Hourly Rates"/>
    <s v="Profit Cost"/>
    <s v="SP"/>
    <s v="Y"/>
    <n v="64.15000000000001"/>
    <n v="12.83"/>
    <x v="2"/>
    <s v="VALIDATED"/>
    <n v="1"/>
    <s v="01.11.80.307.6100.0000"/>
    <n v="64.15000000000001"/>
    <s v="11"/>
    <s v="6100"/>
    <n v="9153.27"/>
    <n v="64.15000000000001"/>
    <s v="CREDITOR"/>
    <n v="0"/>
    <n v="0"/>
    <n v="0"/>
    <n v="0"/>
    <n v="64.15000000000001"/>
  </r>
  <r>
    <n v="60702740"/>
    <s v="N"/>
    <n v="21350055"/>
    <s v="3000014948690008"/>
    <s v="CIVIL"/>
    <d v="2023-06-28T00:00:00"/>
    <d v="2023-07-10T19:01:40"/>
    <m/>
    <d v="2023-07-10T00:00:00"/>
    <n v="329"/>
    <n v="16318"/>
    <s v="60702740"/>
    <s v="60702740"/>
    <m/>
    <m/>
    <n v="22780852"/>
    <m/>
    <m/>
    <m/>
    <s v="SOLFIN"/>
    <s v="SOLFIN"/>
    <s v="CCMS"/>
    <n v="21350055"/>
    <n v="19530.58"/>
    <m/>
    <s v="N"/>
    <n v="120"/>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23"/>
    <d v="2023-07-10T19:02:11"/>
    <s v="Y"/>
    <s v="Preparation - other"/>
    <s v="Prescribed Hourly Rates"/>
    <s v="Profit Cost"/>
    <s v="FG"/>
    <s v="Y"/>
    <n v="24.06"/>
    <n v="4.81"/>
    <x v="2"/>
    <s v="VALIDATED"/>
    <n v="1"/>
    <s v="01.11.80.307.6100.0000"/>
    <n v="24.06"/>
    <s v="11"/>
    <s v="6100"/>
    <n v="9153.27"/>
    <n v="24.06"/>
    <s v="CREDITOR"/>
    <n v="0"/>
    <n v="0"/>
    <n v="0"/>
    <n v="0"/>
    <n v="24.06"/>
  </r>
  <r>
    <n v="61570375"/>
    <s v="N"/>
    <n v="21323900"/>
    <s v="3000015682850003"/>
    <s v="CIVIL"/>
    <d v="2023-06-30T00:00:00"/>
    <d v="2023-07-03T19:05:56"/>
    <m/>
    <d v="2023-07-03T00:00:00"/>
    <n v="329"/>
    <n v="16318"/>
    <s v="61570375"/>
    <s v="61570375"/>
    <m/>
    <m/>
    <n v="22796752"/>
    <m/>
    <m/>
    <m/>
    <s v="SOLPOA"/>
    <s v="SOLPOA"/>
    <s v="CCMS"/>
    <n v="21323900"/>
    <n v="374.4"/>
    <m/>
    <s v="N"/>
    <n v="1"/>
    <d v="2023-07-03T19:05:59"/>
    <s v="N"/>
    <s v="Expert Cost"/>
    <s v="Expert Cost"/>
    <s v="Expert Disbursement"/>
    <s v="francesca ghisioni"/>
    <s v="N"/>
    <n v="312"/>
    <n v="62.4"/>
    <x v="3"/>
    <s v="VALIDATED"/>
    <n v="1"/>
    <s v="01.11.80.308.2012.0000"/>
    <n v="312"/>
    <s v="11"/>
    <s v="2012"/>
    <n v="9153.27"/>
    <n v="312"/>
    <s v="CREDITOR"/>
    <n v="312"/>
    <n v="0"/>
    <n v="0"/>
    <n v="0"/>
    <n v="0"/>
  </r>
  <r>
    <n v="60702740"/>
    <s v="N"/>
    <n v="21350055"/>
    <s v="3000014948690008"/>
    <s v="CIVIL"/>
    <d v="2023-06-28T00:00:00"/>
    <d v="2023-07-10T19:01:40"/>
    <m/>
    <d v="2023-07-10T00:00:00"/>
    <n v="329"/>
    <n v="16318"/>
    <s v="60702740"/>
    <s v="60702740"/>
    <m/>
    <m/>
    <n v="22780852"/>
    <m/>
    <m/>
    <m/>
    <s v="SOLFIN"/>
    <s v="SOLFIN"/>
    <s v="CCMS"/>
    <n v="21350055"/>
    <n v="19530.58"/>
    <m/>
    <s v="N"/>
    <n v="70"/>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60"/>
    <d v="2023-07-10T19:02:11"/>
    <s v="Y"/>
    <s v="Routine Letter Out"/>
    <s v="Prescribed Hourly Rates"/>
    <s v="Profit Cost"/>
    <s v="FG"/>
    <s v="Y"/>
    <n v="1533.6"/>
    <n v="306.73"/>
    <x v="2"/>
    <s v="VALIDATED"/>
    <n v="1"/>
    <s v="01.11.80.307.6100.0000"/>
    <n v="1533.6"/>
    <s v="11"/>
    <s v="6100"/>
    <n v="9153.27"/>
    <n v="1533.6"/>
    <s v="CREDITOR"/>
    <n v="0"/>
    <n v="0"/>
    <n v="0"/>
    <n v="0"/>
    <n v="1533.6"/>
  </r>
  <r>
    <n v="60702740"/>
    <s v="N"/>
    <n v="21350055"/>
    <s v="3000014948690008"/>
    <s v="CIVIL"/>
    <d v="2023-06-28T00:00:00"/>
    <d v="2023-07-10T19:01:40"/>
    <m/>
    <d v="2023-07-10T00:00:00"/>
    <n v="329"/>
    <n v="16318"/>
    <s v="60702740"/>
    <s v="60702740"/>
    <m/>
    <m/>
    <n v="22780852"/>
    <m/>
    <m/>
    <m/>
    <s v="SOLFIN"/>
    <s v="SOLFIN"/>
    <s v="CCMS"/>
    <n v="21350055"/>
    <n v="19530.58"/>
    <m/>
    <s v="N"/>
    <n v="36"/>
    <d v="2023-07-10T19:02:11"/>
    <s v="Y"/>
    <s v="Preparation - other"/>
    <s v="Prescribed Hourly Rates"/>
    <s v="Profit Cost"/>
    <s v="SP"/>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96"/>
    <d v="2023-07-10T19:02:11"/>
    <s v="Y"/>
    <s v="Waiting at court"/>
    <s v="Prescribed Hourly Rates"/>
    <s v="Profit Cost"/>
    <s v="PE"/>
    <s v="Y"/>
    <n v="25.92"/>
    <n v="5.18"/>
    <x v="2"/>
    <s v="VALIDATED"/>
    <n v="1"/>
    <s v="01.11.80.307.6100.0000"/>
    <n v="25.92"/>
    <s v="11"/>
    <s v="6100"/>
    <n v="9153.27"/>
    <n v="25.92"/>
    <s v="CREDITOR"/>
    <n v="0"/>
    <n v="0"/>
    <n v="0"/>
    <n v="0"/>
    <n v="25.92"/>
  </r>
  <r>
    <n v="60503824"/>
    <s v="N"/>
    <n v="21322648"/>
    <s v="3000014742170012"/>
    <s v="CIVIL"/>
    <d v="2023-06-29T00:00:00"/>
    <d v="2023-07-03T19:05:36"/>
    <m/>
    <d v="2023-07-03T00:00:00"/>
    <n v="329"/>
    <n v="16318"/>
    <s v="60503824"/>
    <s v="60503824"/>
    <m/>
    <m/>
    <n v="22789964"/>
    <m/>
    <m/>
    <m/>
    <s v="SOLPOA"/>
    <s v="SOLPOA"/>
    <s v="CCMS"/>
    <n v="21322648"/>
    <n v="321.6"/>
    <m/>
    <s v="N"/>
    <n v="1"/>
    <d v="2023-07-03T19:05:39"/>
    <s v="N"/>
    <s v="Expert Cost - Private Law Children"/>
    <s v="Expert Cost - Private Law Chil"/>
    <s v="Expert Disbursement"/>
    <s v="francesca ghisioni"/>
    <s v="N"/>
    <n v="268"/>
    <n v="53.6"/>
    <x v="3"/>
    <s v="VALIDATED"/>
    <n v="1"/>
    <s v="01.11.80.307.2012.0000"/>
    <n v="268"/>
    <s v="11"/>
    <s v="2012"/>
    <n v="9153.27"/>
    <n v="268"/>
    <s v="CREDITOR"/>
    <n v="268"/>
    <n v="0"/>
    <n v="0"/>
    <n v="0"/>
    <n v="0"/>
  </r>
  <r>
    <n v="60702740"/>
    <s v="N"/>
    <n v="21350055"/>
    <s v="3000014948690008"/>
    <s v="CIVIL"/>
    <d v="2023-06-28T00:00:00"/>
    <d v="2023-07-10T19:01:40"/>
    <m/>
    <d v="2023-07-10T00:00:00"/>
    <n v="329"/>
    <n v="16318"/>
    <s v="60702740"/>
    <s v="60702740"/>
    <m/>
    <m/>
    <n v="22780852"/>
    <m/>
    <m/>
    <m/>
    <s v="SOLFIN"/>
    <s v="SOLFIN"/>
    <s v="CCMS"/>
    <n v="21350055"/>
    <n v="19530.58"/>
    <m/>
    <s v="N"/>
    <n v="145"/>
    <d v="2023-07-10T19:02:11"/>
    <s v="Y"/>
    <s v="Preparation - other"/>
    <s v="Prescribed Hourly Rates"/>
    <s v="Profit Cost"/>
    <s v="FG"/>
    <s v="Y"/>
    <n v="48.11"/>
    <n v="9.619999999999999"/>
    <x v="2"/>
    <s v="VALIDATED"/>
    <n v="1"/>
    <s v="01.11.80.307.6100.0000"/>
    <n v="48.11"/>
    <s v="11"/>
    <s v="6100"/>
    <n v="9153.27"/>
    <n v="48.11"/>
    <s v="CREDITOR"/>
    <n v="0"/>
    <n v="0"/>
    <n v="0"/>
    <n v="0"/>
    <n v="48.11"/>
  </r>
  <r>
    <n v="60702740"/>
    <s v="N"/>
    <n v="21350055"/>
    <s v="3000014948690008"/>
    <s v="CIVIL"/>
    <d v="2023-06-28T00:00:00"/>
    <d v="2023-07-10T19:01:40"/>
    <m/>
    <d v="2023-07-10T00:00:00"/>
    <n v="329"/>
    <n v="16318"/>
    <s v="60702740"/>
    <s v="60702740"/>
    <m/>
    <m/>
    <n v="22780852"/>
    <m/>
    <m/>
    <m/>
    <s v="SOLFIN"/>
    <s v="SOLFIN"/>
    <s v="CCMS"/>
    <n v="21350055"/>
    <n v="19530.58"/>
    <m/>
    <s v="N"/>
    <n v="154"/>
    <d v="2023-07-10T19:02:11"/>
    <s v="Y"/>
    <s v="Preparation - other"/>
    <s v="Prescribed Hourly Rates"/>
    <s v="Profit Cost"/>
    <s v="FG"/>
    <s v="Y"/>
    <n v="32.08"/>
    <n v="6.42"/>
    <x v="2"/>
    <s v="VALIDATED"/>
    <n v="1"/>
    <s v="01.11.80.307.6100.0000"/>
    <n v="32.08"/>
    <s v="11"/>
    <s v="6100"/>
    <n v="9153.27"/>
    <n v="32.08"/>
    <s v="CREDITOR"/>
    <n v="0"/>
    <n v="0"/>
    <n v="0"/>
    <n v="0"/>
    <n v="32.08"/>
  </r>
  <r>
    <n v="60702740"/>
    <s v="N"/>
    <n v="21350055"/>
    <s v="3000014948690008"/>
    <s v="CIVIL"/>
    <d v="2023-06-28T00:00:00"/>
    <d v="2023-07-10T19:01:40"/>
    <m/>
    <d v="2023-07-10T00:00:00"/>
    <n v="329"/>
    <n v="16318"/>
    <s v="60702740"/>
    <s v="60702740"/>
    <m/>
    <m/>
    <n v="22780852"/>
    <m/>
    <m/>
    <m/>
    <s v="SOLFIN"/>
    <s v="SOLFIN"/>
    <s v="CCMS"/>
    <n v="21350055"/>
    <n v="19530.58"/>
    <m/>
    <s v="N"/>
    <n v="27"/>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10"/>
    <d v="2023-07-10T19:02:11"/>
    <s v="Y"/>
    <s v="Preparation - drafting statement"/>
    <s v="Prescribed Hourly Rates"/>
    <s v="Profit Cost"/>
    <s v="FG"/>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161"/>
    <d v="2023-07-10T19:02:11"/>
    <s v="Y"/>
    <s v="Routine Letter In"/>
    <s v="Prescribed Hourly Rates"/>
    <s v="Profit Cost"/>
    <s v="SP"/>
    <s v="Y"/>
    <n v="1024.65"/>
    <n v="204.93"/>
    <x v="2"/>
    <s v="VALIDATED"/>
    <n v="1"/>
    <s v="01.11.80.307.6100.0000"/>
    <n v="1024.65"/>
    <s v="11"/>
    <s v="6100"/>
    <n v="9153.27"/>
    <n v="1024.65"/>
    <s v="CREDITOR"/>
    <n v="0"/>
    <n v="0"/>
    <n v="0"/>
    <n v="0"/>
    <n v="1024.65"/>
  </r>
  <r>
    <n v="62129488"/>
    <s v="N"/>
    <n v="21321663"/>
    <s v="3000016151920001"/>
    <s v="CIVIL"/>
    <d v="2023-06-29T00:00:00"/>
    <d v="2023-07-03T19:05:17"/>
    <m/>
    <d v="2023-07-03T00:00:00"/>
    <n v="329"/>
    <n v="16318"/>
    <s v="62129488"/>
    <s v="62129488"/>
    <m/>
    <m/>
    <n v="22788614"/>
    <m/>
    <m/>
    <m/>
    <s v="SOLPOA"/>
    <s v="SOLPOA"/>
    <s v="CCMS"/>
    <n v="21321663"/>
    <n v="1296.96"/>
    <m/>
    <s v="N"/>
    <n v="1"/>
    <d v="2023-07-03T19:05:20"/>
    <s v="N"/>
    <s v="Profit Cost"/>
    <s v="Profit Cost"/>
    <s v="Profit Cost"/>
    <s v="andrea Dawkins"/>
    <s v="N"/>
    <n v="1080.8"/>
    <n v="216.16"/>
    <x v="3"/>
    <s v="VALIDATED"/>
    <n v="1"/>
    <s v="01.11.80.305.2012.0000"/>
    <n v="1080.8"/>
    <s v="11"/>
    <s v="2012"/>
    <n v="9153.27"/>
    <n v="1080.8"/>
    <s v="CREDITOR"/>
    <n v="1080.8"/>
    <n v="270.2"/>
    <n v="0"/>
    <n v="0"/>
    <n v="0"/>
  </r>
  <r>
    <n v="60702740"/>
    <s v="N"/>
    <n v="21350055"/>
    <s v="3000014948690008"/>
    <s v="CIVIL"/>
    <d v="2023-06-28T00:00:00"/>
    <d v="2023-07-10T19:01:40"/>
    <m/>
    <d v="2023-07-10T00:00:00"/>
    <n v="329"/>
    <n v="16318"/>
    <s v="60702740"/>
    <s v="60702740"/>
    <m/>
    <m/>
    <n v="22780852"/>
    <m/>
    <m/>
    <m/>
    <s v="SOLFIN"/>
    <s v="SOLFIN"/>
    <s v="CCMS"/>
    <n v="21350055"/>
    <n v="19530.58"/>
    <m/>
    <s v="N"/>
    <n v="62"/>
    <d v="2023-07-10T19:02:11"/>
    <s v="Y"/>
    <s v="Preparation - other"/>
    <s v="Prescribed Hourly Rates"/>
    <s v="Profit Cost"/>
    <s v="PE"/>
    <s v="Y"/>
    <n v="56.13"/>
    <n v="11.23"/>
    <x v="2"/>
    <s v="VALIDATED"/>
    <n v="1"/>
    <s v="01.11.80.307.6100.0000"/>
    <n v="56.13"/>
    <s v="11"/>
    <s v="6100"/>
    <n v="9153.27"/>
    <n v="56.13"/>
    <s v="CREDITOR"/>
    <n v="0"/>
    <n v="0"/>
    <n v="0"/>
    <n v="0"/>
    <n v="56.13"/>
  </r>
  <r>
    <n v="60702740"/>
    <s v="N"/>
    <n v="21350055"/>
    <s v="3000014948690008"/>
    <s v="CIVIL"/>
    <d v="2023-06-28T00:00:00"/>
    <d v="2023-07-10T19:01:40"/>
    <m/>
    <d v="2023-07-10T00:00:00"/>
    <n v="329"/>
    <n v="16318"/>
    <s v="60702740"/>
    <s v="60702740"/>
    <m/>
    <m/>
    <n v="22780852"/>
    <m/>
    <m/>
    <m/>
    <s v="SOLFIN"/>
    <s v="SOLFIN"/>
    <s v="CCMS"/>
    <n v="21350055"/>
    <n v="19530.58"/>
    <m/>
    <s v="N"/>
    <n v="99"/>
    <d v="2023-07-10T19:02:11"/>
    <s v="Y"/>
    <s v="Preparation - other"/>
    <s v="Prescribed Hourly Rates"/>
    <s v="Profit Cost"/>
    <s v="PE"/>
    <s v="Y"/>
    <n v="32.08"/>
    <n v="6.42"/>
    <x v="2"/>
    <s v="VALIDATED"/>
    <n v="1"/>
    <s v="01.11.80.307.6100.0000"/>
    <n v="32.08"/>
    <s v="11"/>
    <s v="6100"/>
    <n v="9153.27"/>
    <n v="32.08"/>
    <s v="CREDITOR"/>
    <n v="0"/>
    <n v="0"/>
    <n v="0"/>
    <n v="0"/>
    <n v="32.08"/>
  </r>
  <r>
    <n v="60702740"/>
    <s v="N"/>
    <n v="21350055"/>
    <s v="3000014948690008"/>
    <s v="CIVIL"/>
    <d v="2023-06-28T00:00:00"/>
    <d v="2023-07-10T19:01:40"/>
    <m/>
    <d v="2023-07-10T00:00:00"/>
    <n v="329"/>
    <n v="16318"/>
    <s v="60702740"/>
    <s v="60702740"/>
    <m/>
    <m/>
    <n v="22780852"/>
    <m/>
    <m/>
    <m/>
    <s v="SOLFIN"/>
    <s v="SOLFIN"/>
    <s v="CCMS"/>
    <n v="21350055"/>
    <n v="19530.58"/>
    <m/>
    <s v="N"/>
    <n v="60"/>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46"/>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35"/>
    <d v="2023-07-10T19:02:11"/>
    <s v="Y"/>
    <s v="Preparation - other"/>
    <s v="Prescribed Hourly Rates"/>
    <s v="Profit Cost"/>
    <s v="SP"/>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7"/>
    <d v="2023-07-10T19:02:11"/>
    <s v="Y"/>
    <s v="Preparation - other"/>
    <s v="Prescribed Hourly Rates"/>
    <s v="Profit Cost"/>
    <s v="SP"/>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39"/>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23"/>
    <d v="2023-07-10T19:02:11"/>
    <s v="Y"/>
    <s v="Preparation - drafting attendance n"/>
    <s v="Prescribed Hourly Rates"/>
    <s v="Profit Cost"/>
    <s v="SP"/>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93"/>
    <d v="2023-07-10T19:02:11"/>
    <s v="Y"/>
    <s v="Preparation - other"/>
    <s v="Prescribed Hourly Rates"/>
    <s v="Profit Cost"/>
    <s v="FG"/>
    <s v="Y"/>
    <n v="240.57"/>
    <n v="48.11"/>
    <x v="2"/>
    <s v="VALIDATED"/>
    <n v="1"/>
    <s v="01.11.80.307.6100.0000"/>
    <n v="240.57"/>
    <s v="11"/>
    <s v="6100"/>
    <n v="9153.27"/>
    <n v="240.57"/>
    <s v="CREDITOR"/>
    <n v="0"/>
    <n v="0"/>
    <n v="0"/>
    <n v="0"/>
    <n v="240.57"/>
  </r>
  <r>
    <n v="60702740"/>
    <s v="N"/>
    <n v="21350055"/>
    <s v="3000014948690008"/>
    <s v="CIVIL"/>
    <d v="2023-06-28T00:00:00"/>
    <d v="2023-07-10T19:01:40"/>
    <m/>
    <d v="2023-07-10T00:00:00"/>
    <n v="329"/>
    <n v="16318"/>
    <s v="60702740"/>
    <s v="60702740"/>
    <m/>
    <m/>
    <n v="22780852"/>
    <m/>
    <m/>
    <m/>
    <s v="SOLFIN"/>
    <s v="SOLFIN"/>
    <s v="CCMS"/>
    <n v="21350055"/>
    <n v="19530.58"/>
    <m/>
    <s v="N"/>
    <n v="97"/>
    <d v="2023-07-10T19:02:11"/>
    <s v="Y"/>
    <s v="Attendance upon clien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49"/>
    <d v="2023-07-10T19:02:11"/>
    <s v="Y"/>
    <s v="Attendance upon court"/>
    <s v="Prescribed Hourly Rates"/>
    <s v="Profit Cost"/>
    <s v="PE"/>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32"/>
    <d v="2023-07-10T19:02:11"/>
    <s v="Y"/>
    <s v="Preparation - other"/>
    <s v="Prescribed Hourly Rates"/>
    <s v="Profit Cost"/>
    <s v="SP"/>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6"/>
    <d v="2023-07-10T19:02:11"/>
    <s v="Y"/>
    <s v="Preparation - other"/>
    <s v="Prescribed Hourly Rates"/>
    <s v="Profit Cost"/>
    <s v="PE"/>
    <s v="Y"/>
    <n v="64.15000000000001"/>
    <n v="12.83"/>
    <x v="2"/>
    <s v="VALIDATED"/>
    <n v="1"/>
    <s v="01.11.80.307.6100.0000"/>
    <n v="64.15000000000001"/>
    <s v="11"/>
    <s v="6100"/>
    <n v="9153.27"/>
    <n v="64.15000000000001"/>
    <s v="CREDITOR"/>
    <n v="0"/>
    <n v="0"/>
    <n v="0"/>
    <n v="0"/>
    <n v="64.15000000000001"/>
  </r>
  <r>
    <n v="60702740"/>
    <s v="N"/>
    <n v="21350055"/>
    <s v="3000014948690008"/>
    <s v="CIVIL"/>
    <d v="2023-06-28T00:00:00"/>
    <d v="2023-07-10T19:01:40"/>
    <m/>
    <d v="2023-07-10T00:00:00"/>
    <n v="329"/>
    <n v="16318"/>
    <s v="60702740"/>
    <s v="60702740"/>
    <m/>
    <m/>
    <n v="22780852"/>
    <m/>
    <m/>
    <m/>
    <s v="SOLFIN"/>
    <s v="SOLFIN"/>
    <s v="CCMS"/>
    <n v="21350055"/>
    <n v="19530.58"/>
    <m/>
    <s v="N"/>
    <n v="51"/>
    <d v="2023-07-10T19:02:11"/>
    <s v="Y"/>
    <s v="Preparation - drafting instructions"/>
    <s v="Prescribed Hourly Rates"/>
    <s v="Profit Cost"/>
    <s v="SP"/>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
    <d v="2023-07-10T19:02:11"/>
    <s v="Y"/>
    <s v="Court Fee"/>
    <s v="Prescribed Hourly Rates"/>
    <s v="Non Expert Disbursement"/>
    <s v="FG"/>
    <s v="Y"/>
    <n v="232"/>
    <n v="0"/>
    <x v="2"/>
    <s v="VALIDATED"/>
    <n v="1"/>
    <s v="01.11.80.307.6300.0000"/>
    <n v="232"/>
    <s v="11"/>
    <s v="6300"/>
    <n v="9153.27"/>
    <n v="232"/>
    <s v="CREDITOR"/>
    <n v="0"/>
    <n v="0"/>
    <n v="0"/>
    <n v="0"/>
    <n v="232"/>
  </r>
  <r>
    <n v="60702740"/>
    <s v="N"/>
    <n v="21350055"/>
    <s v="3000014948690008"/>
    <s v="CIVIL"/>
    <d v="2023-06-28T00:00:00"/>
    <d v="2023-07-10T19:01:40"/>
    <m/>
    <d v="2023-07-10T00:00:00"/>
    <n v="329"/>
    <n v="16318"/>
    <s v="60702740"/>
    <s v="60702740"/>
    <m/>
    <m/>
    <n v="22780852"/>
    <m/>
    <m/>
    <m/>
    <s v="SOLFIN"/>
    <s v="SOLFIN"/>
    <s v="CCMS"/>
    <n v="21350055"/>
    <n v="19530.58"/>
    <m/>
    <s v="N"/>
    <n v="50"/>
    <d v="2023-07-10T19:02:11"/>
    <s v="Y"/>
    <s v="Preparation - drafting instructions"/>
    <s v="Prescribed Hourly Rates"/>
    <s v="Profit Cost"/>
    <s v="SP"/>
    <s v="Y"/>
    <n v="80.19"/>
    <n v="16.04"/>
    <x v="2"/>
    <s v="VALIDATED"/>
    <n v="1"/>
    <s v="01.11.80.307.6100.0000"/>
    <n v="80.19"/>
    <s v="11"/>
    <s v="6100"/>
    <n v="9153.27"/>
    <n v="80.19"/>
    <s v="CREDITOR"/>
    <n v="0"/>
    <n v="0"/>
    <n v="0"/>
    <n v="0"/>
    <n v="80.19"/>
  </r>
  <r>
    <n v="60702740"/>
    <s v="N"/>
    <n v="21350055"/>
    <s v="3000014948690008"/>
    <s v="CIVIL"/>
    <d v="2023-06-28T00:00:00"/>
    <d v="2023-07-10T19:01:40"/>
    <m/>
    <d v="2023-07-10T00:00:00"/>
    <n v="329"/>
    <n v="16318"/>
    <s v="60702740"/>
    <s v="60702740"/>
    <m/>
    <m/>
    <n v="22780852"/>
    <m/>
    <m/>
    <m/>
    <s v="SOLFIN"/>
    <s v="SOLFIN"/>
    <s v="CCMS"/>
    <n v="21350055"/>
    <n v="19530.58"/>
    <m/>
    <s v="N"/>
    <n v="108"/>
    <d v="2023-07-10T19:02:11"/>
    <s v="Y"/>
    <s v="Preparation - drafting statement"/>
    <s v="Prescribed Hourly Rates"/>
    <s v="Profit Cost"/>
    <s v="PE"/>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9"/>
    <d v="2023-07-10T19:02:11"/>
    <s v="Y"/>
    <s v="Preparation - other"/>
    <s v="Prescribed Hourly Rates"/>
    <s v="Profit Cost"/>
    <s v="PE"/>
    <s v="Y"/>
    <n v="513.22"/>
    <n v="102.64"/>
    <x v="2"/>
    <s v="VALIDATED"/>
    <n v="1"/>
    <s v="01.11.80.307.6100.0000"/>
    <n v="513.22"/>
    <s v="11"/>
    <s v="6100"/>
    <n v="9153.27"/>
    <n v="513.22"/>
    <s v="CREDITOR"/>
    <n v="0"/>
    <n v="0"/>
    <n v="0"/>
    <n v="0"/>
    <n v="513.22"/>
  </r>
  <r>
    <n v="60702740"/>
    <s v="N"/>
    <n v="21350055"/>
    <s v="3000014948690008"/>
    <s v="CIVIL"/>
    <d v="2023-06-28T00:00:00"/>
    <d v="2023-07-10T19:01:40"/>
    <m/>
    <d v="2023-07-10T00:00:00"/>
    <n v="329"/>
    <n v="16318"/>
    <s v="60702740"/>
    <s v="60702740"/>
    <m/>
    <m/>
    <n v="22780852"/>
    <m/>
    <m/>
    <m/>
    <s v="SOLFIN"/>
    <s v="SOLFIN"/>
    <s v="CCMS"/>
    <n v="21350055"/>
    <n v="19530.58"/>
    <m/>
    <s v="N"/>
    <n v="143"/>
    <d v="2023-07-10T19:02:11"/>
    <s v="Y"/>
    <s v="Attendance upon client"/>
    <s v="Prescribed Hourly Rates"/>
    <s v="Profit Cost"/>
    <s v="FG"/>
    <s v="Y"/>
    <n v="48.11"/>
    <n v="9.619999999999999"/>
    <x v="2"/>
    <s v="VALIDATED"/>
    <n v="1"/>
    <s v="01.11.80.307.6100.0000"/>
    <n v="48.11"/>
    <s v="11"/>
    <s v="6100"/>
    <n v="9153.27"/>
    <n v="48.11"/>
    <s v="CREDITOR"/>
    <n v="0"/>
    <n v="0"/>
    <n v="0"/>
    <n v="0"/>
    <n v="48.11"/>
  </r>
  <r>
    <n v="60702740"/>
    <s v="N"/>
    <n v="21350055"/>
    <s v="3000014948690008"/>
    <s v="CIVIL"/>
    <d v="2023-06-28T00:00:00"/>
    <d v="2023-07-10T19:01:40"/>
    <m/>
    <d v="2023-07-10T00:00:00"/>
    <n v="329"/>
    <n v="16318"/>
    <s v="60702740"/>
    <s v="60702740"/>
    <m/>
    <m/>
    <n v="22780852"/>
    <m/>
    <m/>
    <m/>
    <s v="SOLFIN"/>
    <s v="SOLFIN"/>
    <s v="CCMS"/>
    <n v="21350055"/>
    <n v="19530.58"/>
    <m/>
    <s v="N"/>
    <n v="4"/>
    <d v="2023-07-10T19:02:11"/>
    <s v="Y"/>
    <s v="Child psychologist"/>
    <s v="Prescribed Hourly Rates"/>
    <s v="Expert Disbursement"/>
    <s v="FG"/>
    <s v="Y"/>
    <n v="235.2"/>
    <n v="47.04"/>
    <x v="2"/>
    <s v="VALIDATED"/>
    <n v="1"/>
    <s v="01.11.80.307.6300.0000"/>
    <n v="235.2"/>
    <s v="11"/>
    <s v="6300"/>
    <n v="9153.27"/>
    <n v="235.2"/>
    <s v="CREDITOR"/>
    <n v="0"/>
    <n v="0"/>
    <n v="0"/>
    <n v="0"/>
    <n v="235.2"/>
  </r>
  <r>
    <n v="60702740"/>
    <s v="N"/>
    <n v="21350055"/>
    <s v="3000014948690008"/>
    <s v="CIVIL"/>
    <d v="2023-06-28T00:00:00"/>
    <d v="2023-07-10T19:01:40"/>
    <m/>
    <d v="2023-07-10T00:00:00"/>
    <n v="329"/>
    <n v="16318"/>
    <s v="60702740"/>
    <s v="60702740"/>
    <m/>
    <m/>
    <n v="22780852"/>
    <m/>
    <m/>
    <m/>
    <s v="SOLFIN"/>
    <s v="SOLFIN"/>
    <s v="CCMS"/>
    <n v="21350055"/>
    <n v="19530.58"/>
    <m/>
    <s v="N"/>
    <n v="63"/>
    <d v="2023-07-10T19:02:11"/>
    <s v="Y"/>
    <s v="Preparation - other"/>
    <s v="Prescribed Hourly Rates"/>
    <s v="Profit Cost"/>
    <s v="PE"/>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92"/>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03"/>
    <d v="2023-07-10T19:02:11"/>
    <s v="Y"/>
    <s v="Attendance upon/with Counsel at Con"/>
    <s v="Prescribed Hourly Rates"/>
    <s v="Profit Cost"/>
    <s v="FG"/>
    <s v="Y"/>
    <n v="45.36"/>
    <n v="9.07"/>
    <x v="2"/>
    <s v="VALIDATED"/>
    <n v="1"/>
    <s v="01.11.80.307.6100.0000"/>
    <n v="45.36"/>
    <s v="11"/>
    <s v="6100"/>
    <n v="9153.27"/>
    <n v="45.36"/>
    <s v="CREDITOR"/>
    <n v="0"/>
    <n v="0"/>
    <n v="0"/>
    <n v="0"/>
    <n v="45.36"/>
  </r>
  <r>
    <n v="60702740"/>
    <s v="N"/>
    <n v="21350055"/>
    <s v="3000014948690008"/>
    <s v="CIVIL"/>
    <d v="2023-06-28T00:00:00"/>
    <d v="2023-07-10T19:01:40"/>
    <m/>
    <d v="2023-07-10T00:00:00"/>
    <n v="329"/>
    <n v="16318"/>
    <s v="60702740"/>
    <s v="60702740"/>
    <m/>
    <m/>
    <n v="22780852"/>
    <m/>
    <m/>
    <m/>
    <s v="SOLFIN"/>
    <s v="SOLFIN"/>
    <s v="CCMS"/>
    <n v="21350055"/>
    <n v="19530.58"/>
    <m/>
    <s v="N"/>
    <n v="152"/>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34"/>
    <d v="2023-07-10T19:02:11"/>
    <s v="Y"/>
    <s v="Preparation - other"/>
    <s v="Prescribed Hourly Rates"/>
    <s v="Profit Cost"/>
    <s v="SP"/>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78"/>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4"/>
    <d v="2023-07-10T19:02:11"/>
    <s v="Y"/>
    <s v="Preparation - other"/>
    <s v="Prescribed Hourly Rates"/>
    <s v="Profit Cost"/>
    <s v="PE"/>
    <s v="Y"/>
    <n v="56.13"/>
    <n v="11.23"/>
    <x v="2"/>
    <s v="VALIDATED"/>
    <n v="1"/>
    <s v="01.11.80.307.6100.0000"/>
    <n v="56.13"/>
    <s v="11"/>
    <s v="6100"/>
    <n v="9153.27"/>
    <n v="56.13"/>
    <s v="CREDITOR"/>
    <n v="0"/>
    <n v="0"/>
    <n v="0"/>
    <n v="0"/>
    <n v="56.13"/>
  </r>
  <r>
    <n v="60702740"/>
    <s v="N"/>
    <n v="21350055"/>
    <s v="3000014948690008"/>
    <s v="CIVIL"/>
    <d v="2023-06-28T00:00:00"/>
    <d v="2023-07-10T19:01:40"/>
    <m/>
    <d v="2023-07-10T00:00:00"/>
    <n v="329"/>
    <n v="16318"/>
    <s v="60702740"/>
    <s v="60702740"/>
    <m/>
    <m/>
    <n v="22780852"/>
    <m/>
    <m/>
    <m/>
    <s v="SOLFIN"/>
    <s v="SOLFIN"/>
    <s v="CCMS"/>
    <n v="21350055"/>
    <n v="19530.58"/>
    <m/>
    <s v="N"/>
    <n v="54"/>
    <d v="2023-07-10T19:02:11"/>
    <s v="Y"/>
    <s v="Attendance upon client"/>
    <s v="Prescribed Hourly Rates"/>
    <s v="Profit Cost"/>
    <s v="SP"/>
    <s v="Y"/>
    <n v="48.11"/>
    <n v="9.619999999999999"/>
    <x v="2"/>
    <s v="VALIDATED"/>
    <n v="1"/>
    <s v="01.11.80.307.6100.0000"/>
    <n v="48.11"/>
    <s v="11"/>
    <s v="6100"/>
    <n v="9153.27"/>
    <n v="48.11"/>
    <s v="CREDITOR"/>
    <n v="0"/>
    <n v="0"/>
    <n v="0"/>
    <n v="0"/>
    <n v="48.11"/>
  </r>
  <r>
    <n v="60702740"/>
    <s v="N"/>
    <n v="21350055"/>
    <s v="3000014948690008"/>
    <s v="CIVIL"/>
    <d v="2023-06-28T00:00:00"/>
    <d v="2023-07-10T19:01:40"/>
    <m/>
    <d v="2023-07-10T00:00:00"/>
    <n v="329"/>
    <n v="16318"/>
    <s v="60702740"/>
    <s v="60702740"/>
    <m/>
    <m/>
    <n v="22780852"/>
    <m/>
    <m/>
    <m/>
    <s v="SOLFIN"/>
    <s v="SOLFIN"/>
    <s v="CCMS"/>
    <n v="21350055"/>
    <n v="19530.58"/>
    <m/>
    <s v="N"/>
    <n v="90"/>
    <d v="2023-07-10T19:02:11"/>
    <s v="Y"/>
    <s v="Preparation - other"/>
    <s v="Prescribed Hourly Rates"/>
    <s v="Profit Cost"/>
    <s v="FG"/>
    <s v="Y"/>
    <n v="168.4"/>
    <n v="33.68"/>
    <x v="2"/>
    <s v="VALIDATED"/>
    <n v="1"/>
    <s v="01.11.80.307.6100.0000"/>
    <n v="168.4"/>
    <s v="11"/>
    <s v="6100"/>
    <n v="9153.27"/>
    <n v="168.4"/>
    <s v="CREDITOR"/>
    <n v="0"/>
    <n v="0"/>
    <n v="0"/>
    <n v="0"/>
    <n v="168.4"/>
  </r>
  <r>
    <n v="60702740"/>
    <s v="N"/>
    <n v="21350055"/>
    <s v="3000014948690008"/>
    <s v="CIVIL"/>
    <d v="2023-06-28T00:00:00"/>
    <d v="2023-07-10T19:01:40"/>
    <m/>
    <d v="2023-07-10T00:00:00"/>
    <n v="329"/>
    <n v="16318"/>
    <s v="60702740"/>
    <s v="60702740"/>
    <m/>
    <m/>
    <n v="22780852"/>
    <m/>
    <m/>
    <m/>
    <s v="SOLFIN"/>
    <s v="SOLFIN"/>
    <s v="CCMS"/>
    <n v="21350055"/>
    <n v="19530.58"/>
    <m/>
    <s v="N"/>
    <n v="126"/>
    <d v="2023-07-10T19:02:11"/>
    <s v="Y"/>
    <s v="Preparation - other"/>
    <s v="Prescribed Hourly Rates"/>
    <s v="Profit Cost"/>
    <s v="FG"/>
    <s v="Y"/>
    <n v="56.13"/>
    <n v="11.23"/>
    <x v="2"/>
    <s v="VALIDATED"/>
    <n v="1"/>
    <s v="01.11.80.307.6100.0000"/>
    <n v="56.13"/>
    <s v="11"/>
    <s v="6100"/>
    <n v="9153.27"/>
    <n v="56.13"/>
    <s v="CREDITOR"/>
    <n v="0"/>
    <n v="0"/>
    <n v="0"/>
    <n v="0"/>
    <n v="56.13"/>
  </r>
  <r>
    <n v="60702740"/>
    <s v="N"/>
    <n v="21350055"/>
    <s v="3000014948690008"/>
    <s v="CIVIL"/>
    <d v="2023-06-28T00:00:00"/>
    <d v="2023-07-10T19:01:40"/>
    <m/>
    <d v="2023-07-10T00:00:00"/>
    <n v="329"/>
    <n v="16318"/>
    <s v="60702740"/>
    <s v="60702740"/>
    <m/>
    <m/>
    <n v="22780852"/>
    <m/>
    <m/>
    <m/>
    <s v="SOLFIN"/>
    <s v="SOLFIN"/>
    <s v="CCMS"/>
    <n v="21350055"/>
    <n v="19530.58"/>
    <m/>
    <s v="N"/>
    <n v="137"/>
    <d v="2023-07-10T19:02:11"/>
    <s v="Y"/>
    <s v="Attendance upon other"/>
    <s v="Prescribed Hourly Rates"/>
    <s v="Profit Cost"/>
    <s v="FG"/>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142"/>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95"/>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29"/>
    <d v="2023-07-10T19:02:11"/>
    <s v="Y"/>
    <s v="Preparation - drafting instructions"/>
    <s v="Prescribed Hourly Rates"/>
    <s v="Profit Cost"/>
    <s v="FG"/>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107"/>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44"/>
    <d v="2023-07-10T19:02:11"/>
    <s v="Y"/>
    <s v="Preparation - drafting application"/>
    <s v="Prescribed Hourly Rates"/>
    <s v="Profit Cost"/>
    <s v="FG"/>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88"/>
    <d v="2023-07-10T19:02:11"/>
    <s v="Y"/>
    <s v="Preparation - drafting consent orde"/>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12"/>
    <d v="2023-07-10T19:02:11"/>
    <s v="Y"/>
    <s v="Preparation - drafting statement"/>
    <s v="Prescribed Hourly Rates"/>
    <s v="Profit Cost"/>
    <s v="FG"/>
    <s v="Y"/>
    <n v="56.13"/>
    <n v="11.23"/>
    <x v="2"/>
    <s v="VALIDATED"/>
    <n v="1"/>
    <s v="01.11.80.307.6100.0000"/>
    <n v="56.13"/>
    <s v="11"/>
    <s v="6100"/>
    <n v="9153.27"/>
    <n v="56.13"/>
    <s v="CREDITOR"/>
    <n v="0"/>
    <n v="0"/>
    <n v="0"/>
    <n v="0"/>
    <n v="56.13"/>
  </r>
  <r>
    <n v="60702740"/>
    <s v="N"/>
    <n v="21350055"/>
    <s v="3000014948690008"/>
    <s v="CIVIL"/>
    <d v="2023-06-28T00:00:00"/>
    <d v="2023-07-10T19:01:40"/>
    <m/>
    <d v="2023-07-10T00:00:00"/>
    <n v="329"/>
    <n v="16318"/>
    <s v="60702740"/>
    <s v="60702740"/>
    <m/>
    <m/>
    <n v="22780852"/>
    <m/>
    <m/>
    <m/>
    <s v="SOLFIN"/>
    <s v="SOLFIN"/>
    <s v="CCMS"/>
    <n v="21350055"/>
    <n v="19530.58"/>
    <m/>
    <s v="N"/>
    <n v="55"/>
    <d v="2023-07-10T19:02:11"/>
    <s v="Y"/>
    <s v="Preparation - other"/>
    <s v="Prescribed Hourly Rates"/>
    <s v="Profit Cost"/>
    <s v="SP"/>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40"/>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86"/>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5"/>
    <d v="2023-07-10T19:02:11"/>
    <s v="Y"/>
    <s v="Preparation - other"/>
    <s v="Prescribed Hourly Rates"/>
    <s v="Profit Cost"/>
    <s v="PE"/>
    <s v="Y"/>
    <n v="521.24"/>
    <n v="104.25"/>
    <x v="2"/>
    <s v="VALIDATED"/>
    <n v="1"/>
    <s v="01.11.80.307.6100.0000"/>
    <n v="521.24"/>
    <s v="11"/>
    <s v="6100"/>
    <n v="9153.27"/>
    <n v="521.24"/>
    <s v="CREDITOR"/>
    <n v="0"/>
    <n v="0"/>
    <n v="0"/>
    <n v="0"/>
    <n v="521.24"/>
  </r>
  <r>
    <n v="60702740"/>
    <s v="N"/>
    <n v="21350055"/>
    <s v="3000014948690008"/>
    <s v="CIVIL"/>
    <d v="2023-06-28T00:00:00"/>
    <d v="2023-07-10T19:01:40"/>
    <m/>
    <d v="2023-07-10T00:00:00"/>
    <n v="329"/>
    <n v="16318"/>
    <s v="60702740"/>
    <s v="60702740"/>
    <m/>
    <m/>
    <n v="22780852"/>
    <m/>
    <m/>
    <m/>
    <s v="SOLFIN"/>
    <s v="SOLFIN"/>
    <s v="CCMS"/>
    <n v="21350055"/>
    <n v="19530.58"/>
    <m/>
    <s v="N"/>
    <n v="133"/>
    <d v="2023-07-10T19:02:11"/>
    <s v="Y"/>
    <s v="Attendance upon/with Counsel at Con"/>
    <s v="Prescribed Hourly Rates"/>
    <s v="Profit Cost"/>
    <s v="FG"/>
    <s v="Y"/>
    <n v="35.64"/>
    <n v="7.13"/>
    <x v="2"/>
    <s v="VALIDATED"/>
    <n v="1"/>
    <s v="01.11.80.307.6100.0000"/>
    <n v="35.64"/>
    <s v="11"/>
    <s v="6100"/>
    <n v="9153.27"/>
    <n v="35.64"/>
    <s v="CREDITOR"/>
    <n v="0"/>
    <n v="0"/>
    <n v="0"/>
    <n v="0"/>
    <n v="35.64"/>
  </r>
  <r>
    <n v="60702740"/>
    <s v="N"/>
    <n v="21350055"/>
    <s v="3000014948690008"/>
    <s v="CIVIL"/>
    <d v="2023-06-28T00:00:00"/>
    <d v="2023-07-10T19:01:40"/>
    <m/>
    <d v="2023-07-10T00:00:00"/>
    <n v="329"/>
    <n v="16318"/>
    <s v="60702740"/>
    <s v="60702740"/>
    <m/>
    <m/>
    <n v="22780852"/>
    <m/>
    <m/>
    <m/>
    <s v="SOLFIN"/>
    <s v="SOLFIN"/>
    <s v="CCMS"/>
    <n v="21350055"/>
    <n v="19530.58"/>
    <m/>
    <s v="N"/>
    <n v="2"/>
    <d v="2023-07-10T19:02:11"/>
    <s v="Y"/>
    <s v="Court Fee"/>
    <s v="Prescribed Hourly Rates"/>
    <s v="Non Expert Disbursement"/>
    <s v="FG"/>
    <s v="Y"/>
    <n v="53"/>
    <n v="0"/>
    <x v="2"/>
    <s v="VALIDATED"/>
    <n v="1"/>
    <s v="01.11.80.307.6300.0000"/>
    <n v="53"/>
    <s v="11"/>
    <s v="6300"/>
    <n v="9153.27"/>
    <n v="53"/>
    <s v="CREDITOR"/>
    <n v="0"/>
    <n v="0"/>
    <n v="0"/>
    <n v="0"/>
    <n v="53"/>
  </r>
  <r>
    <n v="60702740"/>
    <s v="N"/>
    <n v="21350055"/>
    <s v="3000014948690008"/>
    <s v="CIVIL"/>
    <d v="2023-06-28T00:00:00"/>
    <d v="2023-07-10T19:01:40"/>
    <m/>
    <d v="2023-07-10T00:00:00"/>
    <n v="329"/>
    <n v="16318"/>
    <s v="60702740"/>
    <s v="60702740"/>
    <m/>
    <m/>
    <n v="22780852"/>
    <m/>
    <m/>
    <m/>
    <s v="SOLFIN"/>
    <s v="SOLFIN"/>
    <s v="CCMS"/>
    <n v="21350055"/>
    <n v="19530.58"/>
    <m/>
    <s v="N"/>
    <n v="101"/>
    <d v="2023-07-10T19:02:11"/>
    <s v="Y"/>
    <s v="Preparation - drafting statement"/>
    <s v="Prescribed Hourly Rates"/>
    <s v="Profit Cost"/>
    <s v="FG"/>
    <s v="Y"/>
    <n v="224.53"/>
    <n v="44.91"/>
    <x v="2"/>
    <s v="VALIDATED"/>
    <n v="1"/>
    <s v="01.11.80.307.6100.0000"/>
    <n v="224.53"/>
    <s v="11"/>
    <s v="6100"/>
    <n v="9153.27"/>
    <n v="224.53"/>
    <s v="CREDITOR"/>
    <n v="0"/>
    <n v="0"/>
    <n v="0"/>
    <n v="0"/>
    <n v="224.53"/>
  </r>
  <r>
    <n v="60702740"/>
    <s v="N"/>
    <n v="21350055"/>
    <s v="3000014948690008"/>
    <s v="CIVIL"/>
    <d v="2023-06-28T00:00:00"/>
    <d v="2023-07-10T19:01:40"/>
    <m/>
    <d v="2023-07-10T00:00:00"/>
    <n v="329"/>
    <n v="16318"/>
    <s v="60702740"/>
    <s v="60702740"/>
    <m/>
    <m/>
    <n v="22780852"/>
    <m/>
    <m/>
    <m/>
    <s v="SOLFIN"/>
    <s v="SOLFIN"/>
    <s v="CCMS"/>
    <n v="21350055"/>
    <n v="19530.58"/>
    <m/>
    <s v="N"/>
    <n v="111"/>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47"/>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49"/>
    <d v="2023-07-10T19:02:11"/>
    <s v="Y"/>
    <s v="Preparation - other"/>
    <s v="Prescribed Hourly Rates"/>
    <s v="Profit Cost"/>
    <s v="JA"/>
    <s v="Y"/>
    <n v="80.19"/>
    <n v="16.04"/>
    <x v="2"/>
    <s v="VALIDATED"/>
    <n v="1"/>
    <s v="01.11.80.307.6100.0000"/>
    <n v="80.19"/>
    <s v="11"/>
    <s v="6100"/>
    <n v="9153.27"/>
    <n v="80.19"/>
    <s v="CREDITOR"/>
    <n v="0"/>
    <n v="0"/>
    <n v="0"/>
    <n v="0"/>
    <n v="80.19"/>
  </r>
  <r>
    <n v="60702740"/>
    <s v="N"/>
    <n v="21350055"/>
    <s v="3000014948690008"/>
    <s v="CIVIL"/>
    <d v="2023-06-28T00:00:00"/>
    <d v="2023-07-10T19:01:40"/>
    <m/>
    <d v="2023-07-10T00:00:00"/>
    <n v="329"/>
    <n v="16318"/>
    <s v="60702740"/>
    <s v="60702740"/>
    <m/>
    <m/>
    <n v="22780852"/>
    <m/>
    <m/>
    <m/>
    <s v="SOLFIN"/>
    <s v="SOLFIN"/>
    <s v="CCMS"/>
    <n v="21350055"/>
    <n v="19530.58"/>
    <m/>
    <s v="N"/>
    <n v="46"/>
    <d v="2023-07-10T19:02:11"/>
    <s v="Y"/>
    <s v="Preparation - other"/>
    <s v="Prescribed Hourly Rates"/>
    <s v="Profit Cost"/>
    <s v="SP"/>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40"/>
    <d v="2023-07-10T19:02:11"/>
    <s v="Y"/>
    <s v="Preparation - drafting application"/>
    <s v="Prescribed Hourly Rates"/>
    <s v="Profit Cost"/>
    <s v="SP"/>
    <s v="Y"/>
    <n v="120.29"/>
    <n v="24.06"/>
    <x v="2"/>
    <s v="VALIDATED"/>
    <n v="1"/>
    <s v="01.11.80.307.6100.0000"/>
    <n v="120.29"/>
    <s v="11"/>
    <s v="6100"/>
    <n v="9153.27"/>
    <n v="120.29"/>
    <s v="CREDITOR"/>
    <n v="0"/>
    <n v="0"/>
    <n v="0"/>
    <n v="0"/>
    <n v="120.29"/>
  </r>
  <r>
    <n v="60702740"/>
    <s v="N"/>
    <n v="21350055"/>
    <s v="3000014948690008"/>
    <s v="CIVIL"/>
    <d v="2023-06-28T00:00:00"/>
    <d v="2023-07-10T19:01:40"/>
    <m/>
    <d v="2023-07-10T00:00:00"/>
    <n v="329"/>
    <n v="16318"/>
    <s v="60702740"/>
    <s v="60702740"/>
    <m/>
    <m/>
    <n v="22780852"/>
    <m/>
    <m/>
    <m/>
    <s v="SOLFIN"/>
    <s v="SOLFIN"/>
    <s v="CCMS"/>
    <n v="21350055"/>
    <n v="19530.58"/>
    <m/>
    <s v="N"/>
    <n v="76"/>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81"/>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14"/>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59"/>
    <d v="2023-07-10T19:02:11"/>
    <s v="Y"/>
    <s v="Routine Letter Out"/>
    <s v="Prescribed Hourly Rates"/>
    <s v="Profit Cost"/>
    <s v="SP"/>
    <s v="Y"/>
    <n v="1490.4"/>
    <n v="298.08"/>
    <x v="2"/>
    <s v="VALIDATED"/>
    <n v="1"/>
    <s v="01.11.80.307.6100.0000"/>
    <n v="1490.4"/>
    <s v="11"/>
    <s v="6100"/>
    <n v="9153.27"/>
    <n v="1490.4"/>
    <s v="CREDITOR"/>
    <n v="0"/>
    <n v="0"/>
    <n v="0"/>
    <n v="0"/>
    <n v="1490.4"/>
  </r>
  <r>
    <n v="60702740"/>
    <s v="N"/>
    <n v="21350055"/>
    <s v="3000014948690008"/>
    <s v="CIVIL"/>
    <d v="2023-06-28T00:00:00"/>
    <d v="2023-07-10T19:01:40"/>
    <m/>
    <d v="2023-07-10T00:00:00"/>
    <n v="329"/>
    <n v="16318"/>
    <s v="60702740"/>
    <s v="60702740"/>
    <m/>
    <m/>
    <n v="22780852"/>
    <m/>
    <m/>
    <m/>
    <s v="SOLFIN"/>
    <s v="SOLFIN"/>
    <s v="CCMS"/>
    <n v="21350055"/>
    <n v="19530.58"/>
    <m/>
    <s v="N"/>
    <n v="44"/>
    <d v="2023-07-10T19:02:11"/>
    <s v="Y"/>
    <s v="Preparation - drafting statement"/>
    <s v="Prescribed Hourly Rates"/>
    <s v="Profit Cost"/>
    <s v="SP"/>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45"/>
    <d v="2023-07-10T19:02:11"/>
    <s v="Y"/>
    <s v="Preparation - other"/>
    <s v="Prescribed Hourly Rates"/>
    <s v="Profit Cost"/>
    <s v="SP"/>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3"/>
    <d v="2023-07-10T19:02:11"/>
    <s v="Y"/>
    <s v="Child psychologist"/>
    <s v="Prescribed Hourly Rates"/>
    <s v="Expert Disbursement"/>
    <s v="FG"/>
    <s v="Y"/>
    <n v="1512"/>
    <n v="302.4"/>
    <x v="2"/>
    <s v="VALIDATED"/>
    <n v="1"/>
    <s v="01.11.80.307.6300.0000"/>
    <n v="1512"/>
    <s v="11"/>
    <s v="6300"/>
    <n v="9153.27"/>
    <n v="1512"/>
    <s v="CREDITOR"/>
    <n v="0"/>
    <n v="0"/>
    <n v="0"/>
    <n v="0"/>
    <n v="1512"/>
  </r>
  <r>
    <n v="60702740"/>
    <s v="N"/>
    <n v="21350055"/>
    <s v="3000014948690008"/>
    <s v="CIVIL"/>
    <d v="2023-06-28T00:00:00"/>
    <d v="2023-07-10T19:01:40"/>
    <m/>
    <d v="2023-07-10T00:00:00"/>
    <n v="329"/>
    <n v="16318"/>
    <s v="60702740"/>
    <s v="60702740"/>
    <m/>
    <m/>
    <n v="22780852"/>
    <m/>
    <m/>
    <m/>
    <s v="SOLFIN"/>
    <s v="SOLFIN"/>
    <s v="CCMS"/>
    <n v="21350055"/>
    <n v="19530.58"/>
    <m/>
    <s v="N"/>
    <n v="5"/>
    <d v="2023-07-10T19:02:11"/>
    <s v="Y"/>
    <s v="Child psychologist"/>
    <s v="Prescribed Hourly Rates"/>
    <s v="Expert Disbursement"/>
    <s v="FG"/>
    <s v="Y"/>
    <n v="413.77"/>
    <n v="82.75"/>
    <x v="2"/>
    <s v="VALIDATED"/>
    <n v="1"/>
    <s v="01.11.80.307.6300.0000"/>
    <n v="413.77"/>
    <s v="11"/>
    <s v="6300"/>
    <n v="9153.27"/>
    <n v="413.77"/>
    <s v="CREDITOR"/>
    <n v="0"/>
    <n v="0"/>
    <n v="0"/>
    <n v="0"/>
    <n v="413.77"/>
  </r>
  <r>
    <n v="60702740"/>
    <s v="N"/>
    <n v="21350055"/>
    <s v="3000014948690008"/>
    <s v="CIVIL"/>
    <d v="2023-06-28T00:00:00"/>
    <d v="2023-07-10T19:01:40"/>
    <m/>
    <d v="2023-07-10T00:00:00"/>
    <n v="329"/>
    <n v="16318"/>
    <s v="60702740"/>
    <s v="60702740"/>
    <m/>
    <m/>
    <n v="22780852"/>
    <m/>
    <m/>
    <m/>
    <s v="SOLFIN"/>
    <s v="SOLFIN"/>
    <s v="CCMS"/>
    <n v="21350055"/>
    <n v="19530.58"/>
    <m/>
    <s v="N"/>
    <n v="57"/>
    <d v="2023-07-10T19:02:11"/>
    <s v="Y"/>
    <s v="Attendance upon/with Counsel at Con"/>
    <s v="Prescribed Hourly Rates"/>
    <s v="Profit Cost"/>
    <s v="PE"/>
    <s v="Y"/>
    <n v="48.6"/>
    <n v="9.720000000000001"/>
    <x v="2"/>
    <s v="VALIDATED"/>
    <n v="1"/>
    <s v="01.11.80.307.6100.0000"/>
    <n v="48.6"/>
    <s v="11"/>
    <s v="6100"/>
    <n v="9153.27"/>
    <n v="48.6"/>
    <s v="CREDITOR"/>
    <n v="0"/>
    <n v="0"/>
    <n v="0"/>
    <n v="0"/>
    <n v="48.6"/>
  </r>
  <r>
    <n v="60702740"/>
    <s v="N"/>
    <n v="21350055"/>
    <s v="3000014948690008"/>
    <s v="CIVIL"/>
    <d v="2023-06-28T00:00:00"/>
    <d v="2023-07-10T19:01:40"/>
    <m/>
    <d v="2023-07-10T00:00:00"/>
    <n v="329"/>
    <n v="16318"/>
    <s v="60702740"/>
    <s v="60702740"/>
    <m/>
    <m/>
    <n v="22780852"/>
    <m/>
    <m/>
    <m/>
    <s v="SOLFIN"/>
    <s v="SOLFIN"/>
    <s v="CCMS"/>
    <n v="21350055"/>
    <n v="19530.58"/>
    <m/>
    <s v="N"/>
    <n v="66"/>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73"/>
    <d v="2023-07-10T19:02:11"/>
    <s v="Y"/>
    <s v="Attendance upon client"/>
    <s v="Prescribed Hourly Rates"/>
    <s v="Profit Cost"/>
    <s v="FG"/>
    <s v="Y"/>
    <n v="72.17"/>
    <n v="14.43"/>
    <x v="2"/>
    <s v="VALIDATED"/>
    <n v="1"/>
    <s v="01.11.80.307.6100.0000"/>
    <n v="72.17"/>
    <s v="11"/>
    <s v="6100"/>
    <n v="9153.27"/>
    <n v="72.17"/>
    <s v="CREDITOR"/>
    <n v="0"/>
    <n v="0"/>
    <n v="0"/>
    <n v="0"/>
    <n v="72.17"/>
  </r>
  <r>
    <n v="60702740"/>
    <s v="N"/>
    <n v="21350055"/>
    <s v="3000014948690008"/>
    <s v="CIVIL"/>
    <d v="2023-06-28T00:00:00"/>
    <d v="2023-07-10T19:01:40"/>
    <m/>
    <d v="2023-07-10T00:00:00"/>
    <n v="329"/>
    <n v="16318"/>
    <s v="60702740"/>
    <s v="60702740"/>
    <m/>
    <m/>
    <n v="22780852"/>
    <m/>
    <m/>
    <m/>
    <s v="SOLFIN"/>
    <s v="SOLFIN"/>
    <s v="CCMS"/>
    <n v="21350055"/>
    <n v="19530.58"/>
    <m/>
    <s v="N"/>
    <n v="17"/>
    <d v="2023-07-10T19:02:11"/>
    <s v="Y"/>
    <s v="Preparation - other"/>
    <s v="Prescribed Hourly Rates"/>
    <s v="Profit Cost"/>
    <s v="PE"/>
    <s v="Y"/>
    <n v="88.20999999999999"/>
    <n v="17.64"/>
    <x v="2"/>
    <s v="VALIDATED"/>
    <n v="1"/>
    <s v="01.11.80.307.6100.0000"/>
    <n v="88.20999999999999"/>
    <s v="11"/>
    <s v="6100"/>
    <n v="9153.27"/>
    <n v="88.20999999999999"/>
    <s v="CREDITOR"/>
    <n v="0"/>
    <n v="0"/>
    <n v="0"/>
    <n v="0"/>
    <n v="88.20999999999999"/>
  </r>
  <r>
    <n v="60702740"/>
    <s v="N"/>
    <n v="21350055"/>
    <s v="3000014948690008"/>
    <s v="CIVIL"/>
    <d v="2023-06-28T00:00:00"/>
    <d v="2023-07-10T19:01:40"/>
    <m/>
    <d v="2023-07-10T00:00:00"/>
    <n v="329"/>
    <n v="16318"/>
    <s v="60702740"/>
    <s v="60702740"/>
    <m/>
    <m/>
    <n v="22780852"/>
    <m/>
    <m/>
    <m/>
    <s v="SOLFIN"/>
    <s v="SOLFIN"/>
    <s v="CCMS"/>
    <n v="21350055"/>
    <n v="19530.58"/>
    <m/>
    <s v="N"/>
    <n v="18"/>
    <d v="2023-07-10T19:02:11"/>
    <s v="Y"/>
    <s v="Preparation - other"/>
    <s v="Prescribed Hourly Rates"/>
    <s v="Profit Cost"/>
    <s v="PE"/>
    <s v="Y"/>
    <n v="521.24"/>
    <n v="104.25"/>
    <x v="2"/>
    <s v="VALIDATED"/>
    <n v="1"/>
    <s v="01.11.80.307.6100.0000"/>
    <n v="521.24"/>
    <s v="11"/>
    <s v="6100"/>
    <n v="9153.27"/>
    <n v="521.24"/>
    <s v="CREDITOR"/>
    <n v="0"/>
    <n v="0"/>
    <n v="0"/>
    <n v="0"/>
    <n v="521.24"/>
  </r>
  <r>
    <n v="60702740"/>
    <s v="N"/>
    <n v="21350055"/>
    <s v="3000014948690008"/>
    <s v="CIVIL"/>
    <d v="2023-06-28T00:00:00"/>
    <d v="2023-07-10T19:01:40"/>
    <m/>
    <d v="2023-07-10T00:00:00"/>
    <n v="329"/>
    <n v="16318"/>
    <s v="60702740"/>
    <s v="60702740"/>
    <m/>
    <m/>
    <n v="22780852"/>
    <m/>
    <m/>
    <m/>
    <s v="SOLFIN"/>
    <s v="SOLFIN"/>
    <s v="CCMS"/>
    <n v="21350055"/>
    <n v="19530.58"/>
    <m/>
    <s v="N"/>
    <n v="77"/>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38"/>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56"/>
    <d v="2023-07-10T19:02:11"/>
    <s v="Y"/>
    <s v="Preparation - drafting bill/claim f"/>
    <s v="Prescribed Hourly Rates"/>
    <s v="Profit Cost"/>
    <s v="FG"/>
    <s v="Y"/>
    <n v="962.28"/>
    <n v="192.45"/>
    <x v="2"/>
    <s v="VALIDATED"/>
    <n v="1"/>
    <s v="01.11.80.307.6100.0000"/>
    <n v="962.28"/>
    <s v="11"/>
    <s v="6100"/>
    <n v="9153.27"/>
    <n v="962.28"/>
    <s v="CREDITOR"/>
    <n v="0"/>
    <n v="0"/>
    <n v="0"/>
    <n v="0"/>
    <n v="962.28"/>
  </r>
  <r>
    <n v="60702740"/>
    <s v="N"/>
    <n v="21350055"/>
    <s v="3000014948690008"/>
    <s v="CIVIL"/>
    <d v="2023-06-28T00:00:00"/>
    <d v="2023-07-10T19:01:40"/>
    <m/>
    <d v="2023-07-10T00:00:00"/>
    <n v="329"/>
    <n v="16318"/>
    <s v="60702740"/>
    <s v="60702740"/>
    <m/>
    <m/>
    <n v="22780852"/>
    <m/>
    <m/>
    <m/>
    <s v="SOLFIN"/>
    <s v="SOLFIN"/>
    <s v="CCMS"/>
    <n v="21350055"/>
    <n v="19530.58"/>
    <m/>
    <s v="N"/>
    <n v="82"/>
    <d v="2023-07-10T19:02:11"/>
    <s v="Y"/>
    <s v="Attendance upon court"/>
    <s v="Prescribed Hourly Rates"/>
    <s v="Profit Cost"/>
    <s v="PE"/>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58"/>
    <d v="2023-07-10T19:02:11"/>
    <s v="Y"/>
    <s v="Preparation - other"/>
    <s v="Prescribed Hourly Rates"/>
    <s v="Profit Cost"/>
    <s v="PE"/>
    <s v="Y"/>
    <n v="48.11"/>
    <n v="9.619999999999999"/>
    <x v="2"/>
    <s v="VALIDATED"/>
    <n v="1"/>
    <s v="01.11.80.307.6100.0000"/>
    <n v="48.11"/>
    <s v="11"/>
    <s v="6100"/>
    <n v="9153.27"/>
    <n v="48.11"/>
    <s v="CREDITOR"/>
    <n v="0"/>
    <n v="0"/>
    <n v="0"/>
    <n v="0"/>
    <n v="48.11"/>
  </r>
  <r>
    <n v="60702740"/>
    <s v="N"/>
    <n v="21350055"/>
    <s v="3000014948690008"/>
    <s v="CIVIL"/>
    <d v="2023-06-28T00:00:00"/>
    <d v="2023-07-10T19:01:40"/>
    <m/>
    <d v="2023-07-10T00:00:00"/>
    <n v="329"/>
    <n v="16318"/>
    <s v="60702740"/>
    <s v="60702740"/>
    <m/>
    <m/>
    <n v="22780852"/>
    <m/>
    <m/>
    <m/>
    <s v="SOLFIN"/>
    <s v="SOLFIN"/>
    <s v="CCMS"/>
    <n v="21350055"/>
    <n v="19530.58"/>
    <m/>
    <s v="N"/>
    <n v="11"/>
    <d v="2023-07-10T19:02:11"/>
    <s v="Y"/>
    <s v="Attendance upon client"/>
    <s v="Prescribed Hourly Rates"/>
    <s v="Profit Cost"/>
    <s v="SP"/>
    <s v="Y"/>
    <n v="136.32"/>
    <n v="27.26"/>
    <x v="2"/>
    <s v="VALIDATED"/>
    <n v="1"/>
    <s v="01.11.80.307.6100.0000"/>
    <n v="136.32"/>
    <s v="11"/>
    <s v="6100"/>
    <n v="9153.27"/>
    <n v="136.32"/>
    <s v="CREDITOR"/>
    <n v="0"/>
    <n v="0"/>
    <n v="0"/>
    <n v="0"/>
    <n v="136.32"/>
  </r>
  <r>
    <n v="60702740"/>
    <s v="N"/>
    <n v="21350055"/>
    <s v="3000014948690008"/>
    <s v="CIVIL"/>
    <d v="2023-06-28T00:00:00"/>
    <d v="2023-07-10T19:01:40"/>
    <m/>
    <d v="2023-07-10T00:00:00"/>
    <n v="329"/>
    <n v="16318"/>
    <s v="60702740"/>
    <s v="60702740"/>
    <m/>
    <m/>
    <n v="22780852"/>
    <m/>
    <m/>
    <m/>
    <s v="SOLFIN"/>
    <s v="SOLFIN"/>
    <s v="CCMS"/>
    <n v="21350055"/>
    <n v="19530.58"/>
    <m/>
    <s v="N"/>
    <n v="131"/>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34"/>
    <d v="2023-07-10T19:02:11"/>
    <s v="Y"/>
    <s v="Preparation - drafting statement"/>
    <s v="Prescribed Hourly Rates"/>
    <s v="Profit Cost"/>
    <s v="FG"/>
    <s v="Y"/>
    <n v="48.11"/>
    <n v="9.619999999999999"/>
    <x v="2"/>
    <s v="VALIDATED"/>
    <n v="1"/>
    <s v="01.11.80.307.6100.0000"/>
    <n v="48.11"/>
    <s v="11"/>
    <s v="6100"/>
    <n v="9153.27"/>
    <n v="48.11"/>
    <s v="CREDITOR"/>
    <n v="0"/>
    <n v="0"/>
    <n v="0"/>
    <n v="0"/>
    <n v="48.11"/>
  </r>
  <r>
    <n v="60702740"/>
    <s v="N"/>
    <n v="21350055"/>
    <s v="3000014948690008"/>
    <s v="CIVIL"/>
    <d v="2023-06-28T00:00:00"/>
    <d v="2023-07-10T19:01:40"/>
    <m/>
    <d v="2023-07-10T00:00:00"/>
    <n v="329"/>
    <n v="16318"/>
    <s v="60702740"/>
    <s v="60702740"/>
    <m/>
    <m/>
    <n v="22780852"/>
    <m/>
    <m/>
    <m/>
    <s v="SOLFIN"/>
    <s v="SOLFIN"/>
    <s v="CCMS"/>
    <n v="21350055"/>
    <n v="19530.58"/>
    <m/>
    <s v="N"/>
    <n v="41"/>
    <d v="2023-07-10T19:02:11"/>
    <s v="Y"/>
    <s v="Preparation - drafting statement"/>
    <s v="Prescribed Hourly Rates"/>
    <s v="Profit Cost"/>
    <s v="SP"/>
    <s v="Y"/>
    <n v="80.19"/>
    <n v="16.04"/>
    <x v="2"/>
    <s v="VALIDATED"/>
    <n v="1"/>
    <s v="01.11.80.307.6100.0000"/>
    <n v="80.19"/>
    <s v="11"/>
    <s v="6100"/>
    <n v="9153.27"/>
    <n v="80.19"/>
    <s v="CREDITOR"/>
    <n v="0"/>
    <n v="0"/>
    <n v="0"/>
    <n v="0"/>
    <n v="80.19"/>
  </r>
  <r>
    <n v="60702740"/>
    <s v="N"/>
    <n v="21350055"/>
    <s v="3000014948690008"/>
    <s v="CIVIL"/>
    <d v="2023-06-28T00:00:00"/>
    <d v="2023-07-10T19:01:40"/>
    <m/>
    <d v="2023-07-10T00:00:00"/>
    <n v="329"/>
    <n v="16318"/>
    <s v="60702740"/>
    <s v="60702740"/>
    <m/>
    <m/>
    <n v="22780852"/>
    <m/>
    <m/>
    <m/>
    <s v="SOLFIN"/>
    <s v="SOLFIN"/>
    <s v="CCMS"/>
    <n v="21350055"/>
    <n v="19530.58"/>
    <m/>
    <s v="N"/>
    <n v="80"/>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64"/>
    <d v="2023-07-10T19:02:11"/>
    <s v="Y"/>
    <s v="Preparation - drafting application"/>
    <s v="Prescribed Hourly Rates"/>
    <s v="Profit Cost"/>
    <s v="SP"/>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31"/>
    <d v="2023-07-10T19:02:11"/>
    <s v="Y"/>
    <s v="Preparation - other"/>
    <s v="Prescribed Hourly Rates"/>
    <s v="Profit Cost"/>
    <s v="SP"/>
    <s v="Y"/>
    <n v="32.08"/>
    <n v="6.42"/>
    <x v="2"/>
    <s v="VALIDATED"/>
    <n v="1"/>
    <s v="01.11.80.307.6100.0000"/>
    <n v="32.08"/>
    <s v="11"/>
    <s v="6100"/>
    <n v="9153.27"/>
    <n v="32.08"/>
    <s v="CREDITOR"/>
    <n v="0"/>
    <n v="0"/>
    <n v="0"/>
    <n v="0"/>
    <n v="32.08"/>
  </r>
  <r>
    <n v="60702740"/>
    <s v="N"/>
    <n v="21350055"/>
    <s v="3000014948690008"/>
    <s v="CIVIL"/>
    <d v="2023-06-28T00:00:00"/>
    <d v="2023-07-10T19:01:40"/>
    <m/>
    <d v="2023-07-10T00:00:00"/>
    <n v="329"/>
    <n v="16318"/>
    <s v="60702740"/>
    <s v="60702740"/>
    <m/>
    <m/>
    <n v="22780852"/>
    <m/>
    <m/>
    <m/>
    <s v="SOLFIN"/>
    <s v="SOLFIN"/>
    <s v="CCMS"/>
    <n v="21350055"/>
    <n v="19530.58"/>
    <m/>
    <s v="N"/>
    <n v="85"/>
    <d v="2023-07-10T19:02:11"/>
    <s v="Y"/>
    <s v="Preparation - drafting consent orde"/>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3"/>
    <d v="2023-07-10T19:02:11"/>
    <s v="Y"/>
    <s v="Preparation - other"/>
    <s v="Prescribed Hourly Rates"/>
    <s v="Profit Cost"/>
    <s v="SP"/>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117"/>
    <d v="2023-07-10T19:02:11"/>
    <s v="Y"/>
    <s v="Preparation - other"/>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32"/>
    <d v="2023-07-10T19:02:11"/>
    <s v="Y"/>
    <s v="Preparation - other"/>
    <s v="Prescribed Hourly Rates"/>
    <s v="Profit Cost"/>
    <s v="FG"/>
    <s v="Y"/>
    <n v="32.08"/>
    <n v="6.42"/>
    <x v="2"/>
    <s v="VALIDATED"/>
    <n v="1"/>
    <s v="01.11.80.307.6100.0000"/>
    <n v="32.08"/>
    <s v="11"/>
    <s v="6100"/>
    <n v="9153.27"/>
    <n v="32.08"/>
    <s v="CREDITOR"/>
    <n v="0"/>
    <n v="0"/>
    <n v="0"/>
    <n v="0"/>
    <n v="32.08"/>
  </r>
  <r>
    <n v="61593152"/>
    <s v="N"/>
    <n v="21322519"/>
    <s v="3000015696790007"/>
    <s v="CIVIL"/>
    <d v="2023-06-29T00:00:00"/>
    <d v="2023-07-03T19:05:36"/>
    <m/>
    <d v="2023-07-03T00:00:00"/>
    <n v="329"/>
    <n v="16318"/>
    <s v="61593152"/>
    <s v="61593152"/>
    <m/>
    <m/>
    <n v="22789706"/>
    <m/>
    <m/>
    <m/>
    <s v="SOLPOA"/>
    <s v="SOLPOA"/>
    <s v="CCMS"/>
    <n v="21322519"/>
    <n v="103.37"/>
    <m/>
    <s v="N"/>
    <n v="1"/>
    <d v="2023-07-03T19:05:38"/>
    <s v="N"/>
    <s v="Expert Cost"/>
    <s v="Expert Cost"/>
    <s v="Expert Disbursement"/>
    <s v="andrea dawkins"/>
    <s v="N"/>
    <n v="86.14"/>
    <n v="17.23"/>
    <x v="3"/>
    <s v="VALIDATED"/>
    <n v="1"/>
    <s v="01.11.80.308.2012.0000"/>
    <n v="86.14"/>
    <s v="11"/>
    <s v="2012"/>
    <n v="9153.27"/>
    <n v="86.14"/>
    <s v="CREDITOR"/>
    <n v="86.14"/>
    <n v="0"/>
    <n v="0"/>
    <n v="0"/>
    <n v="0"/>
  </r>
  <r>
    <n v="60702740"/>
    <s v="N"/>
    <n v="21350055"/>
    <s v="3000014948690008"/>
    <s v="CIVIL"/>
    <d v="2023-06-28T00:00:00"/>
    <d v="2023-07-10T19:01:40"/>
    <m/>
    <d v="2023-07-10T00:00:00"/>
    <n v="329"/>
    <n v="16318"/>
    <s v="60702740"/>
    <s v="60702740"/>
    <m/>
    <m/>
    <n v="22780852"/>
    <m/>
    <m/>
    <m/>
    <s v="SOLFIN"/>
    <s v="SOLFIN"/>
    <s v="CCMS"/>
    <n v="21350055"/>
    <n v="19530.58"/>
    <m/>
    <s v="N"/>
    <n v="59"/>
    <d v="2023-07-10T19:02:11"/>
    <s v="Y"/>
    <s v="Attendance upon other"/>
    <s v="Prescribed Hourly Rates"/>
    <s v="Profit Cost"/>
    <s v="SP"/>
    <s v="Y"/>
    <n v="64.15000000000001"/>
    <n v="12.83"/>
    <x v="2"/>
    <s v="VALIDATED"/>
    <n v="1"/>
    <s v="01.11.80.307.6100.0000"/>
    <n v="64.15000000000001"/>
    <s v="11"/>
    <s v="6100"/>
    <n v="9153.27"/>
    <n v="64.15000000000001"/>
    <s v="CREDITOR"/>
    <n v="0"/>
    <n v="0"/>
    <n v="0"/>
    <n v="0"/>
    <n v="64.15000000000001"/>
  </r>
  <r>
    <n v="60702740"/>
    <s v="N"/>
    <n v="21350055"/>
    <s v="3000014948690008"/>
    <s v="CIVIL"/>
    <d v="2023-06-28T00:00:00"/>
    <d v="2023-07-10T19:01:40"/>
    <m/>
    <d v="2023-07-10T00:00:00"/>
    <n v="329"/>
    <n v="16318"/>
    <s v="60702740"/>
    <s v="60702740"/>
    <m/>
    <m/>
    <n v="22780852"/>
    <m/>
    <m/>
    <m/>
    <s v="SOLFIN"/>
    <s v="SOLFIN"/>
    <s v="CCMS"/>
    <n v="21350055"/>
    <n v="19530.58"/>
    <m/>
    <s v="N"/>
    <n v="157"/>
    <d v="2023-07-10T19:02:11"/>
    <s v="Y"/>
    <s v="Routine Telephone Call"/>
    <s v="Prescribed Hourly Rates"/>
    <s v="Profit Cost"/>
    <s v="SP"/>
    <s v="Y"/>
    <n v="12.42"/>
    <n v="2.48"/>
    <x v="2"/>
    <s v="VALIDATED"/>
    <n v="1"/>
    <s v="01.11.80.307.6100.0000"/>
    <n v="12.42"/>
    <s v="11"/>
    <s v="6100"/>
    <n v="9153.27"/>
    <n v="12.42"/>
    <s v="CREDITOR"/>
    <n v="0"/>
    <n v="0"/>
    <n v="0"/>
    <n v="0"/>
    <n v="12.42"/>
  </r>
  <r>
    <n v="60702740"/>
    <s v="N"/>
    <n v="21350055"/>
    <s v="3000014948690008"/>
    <s v="CIVIL"/>
    <d v="2023-06-28T00:00:00"/>
    <d v="2023-07-10T19:01:40"/>
    <m/>
    <d v="2023-07-10T00:00:00"/>
    <n v="329"/>
    <n v="16318"/>
    <s v="60702740"/>
    <s v="60702740"/>
    <m/>
    <m/>
    <n v="22780852"/>
    <m/>
    <m/>
    <m/>
    <s v="SOLFIN"/>
    <s v="SOLFIN"/>
    <s v="CCMS"/>
    <n v="21350055"/>
    <n v="19530.58"/>
    <m/>
    <s v="N"/>
    <n v="47"/>
    <d v="2023-07-10T19:02:11"/>
    <s v="Y"/>
    <s v="Preparation - drafting instructions"/>
    <s v="Prescribed Hourly Rates"/>
    <s v="Profit Cost"/>
    <s v="SP"/>
    <s v="Y"/>
    <n v="80.19"/>
    <n v="16.04"/>
    <x v="2"/>
    <s v="VALIDATED"/>
    <n v="1"/>
    <s v="01.11.80.307.6100.0000"/>
    <n v="80.19"/>
    <s v="11"/>
    <s v="6100"/>
    <n v="9153.27"/>
    <n v="80.19"/>
    <s v="CREDITOR"/>
    <n v="0"/>
    <n v="0"/>
    <n v="0"/>
    <n v="0"/>
    <n v="80.19"/>
  </r>
  <r>
    <n v="60702740"/>
    <s v="N"/>
    <n v="21350055"/>
    <s v="3000014948690008"/>
    <s v="CIVIL"/>
    <d v="2023-06-28T00:00:00"/>
    <d v="2023-07-10T19:01:40"/>
    <m/>
    <d v="2023-07-10T00:00:00"/>
    <n v="329"/>
    <n v="16318"/>
    <s v="60702740"/>
    <s v="60702740"/>
    <m/>
    <m/>
    <n v="22780852"/>
    <m/>
    <m/>
    <m/>
    <s v="SOLFIN"/>
    <s v="SOLFIN"/>
    <s v="CCMS"/>
    <n v="21350055"/>
    <n v="19530.58"/>
    <m/>
    <s v="N"/>
    <n v="91"/>
    <d v="2023-07-10T19:02:11"/>
    <s v="Y"/>
    <s v="Preparation - other"/>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06"/>
    <d v="2023-07-10T19:02:11"/>
    <s v="Y"/>
    <s v="Preparation - drafting statement"/>
    <s v="Prescribed Hourly Rates"/>
    <s v="Profit Cost"/>
    <s v="FG"/>
    <s v="Y"/>
    <n v="88.20999999999999"/>
    <n v="17.64"/>
    <x v="2"/>
    <s v="VALIDATED"/>
    <n v="1"/>
    <s v="01.11.80.307.6100.0000"/>
    <n v="88.20999999999999"/>
    <s v="11"/>
    <s v="6100"/>
    <n v="9153.27"/>
    <n v="88.20999999999999"/>
    <s v="CREDITOR"/>
    <n v="0"/>
    <n v="0"/>
    <n v="0"/>
    <n v="0"/>
    <n v="88.20999999999999"/>
  </r>
  <r>
    <n v="60702740"/>
    <s v="N"/>
    <n v="21350055"/>
    <s v="3000014948690008"/>
    <s v="CIVIL"/>
    <d v="2023-06-28T00:00:00"/>
    <d v="2023-07-10T19:01:40"/>
    <m/>
    <d v="2023-07-10T00:00:00"/>
    <n v="329"/>
    <n v="16318"/>
    <s v="60702740"/>
    <s v="60702740"/>
    <m/>
    <m/>
    <n v="22780852"/>
    <m/>
    <m/>
    <m/>
    <s v="SOLFIN"/>
    <s v="SOLFIN"/>
    <s v="CCMS"/>
    <n v="21350055"/>
    <n v="19530.58"/>
    <m/>
    <s v="N"/>
    <n v="100"/>
    <d v="2023-07-10T19:02:11"/>
    <s v="Y"/>
    <s v="Preparation - drafting instructions"/>
    <s v="Prescribed Hourly Rates"/>
    <s v="Profit Cost"/>
    <s v="FG"/>
    <s v="Y"/>
    <n v="88.20999999999999"/>
    <n v="17.64"/>
    <x v="2"/>
    <s v="VALIDATED"/>
    <n v="1"/>
    <s v="01.11.80.307.6100.0000"/>
    <n v="88.20999999999999"/>
    <s v="11"/>
    <s v="6100"/>
    <n v="9153.27"/>
    <n v="88.20999999999999"/>
    <s v="CREDITOR"/>
    <n v="0"/>
    <n v="0"/>
    <n v="0"/>
    <n v="0"/>
    <n v="88.20999999999999"/>
  </r>
  <r>
    <n v="60702740"/>
    <s v="N"/>
    <n v="21350055"/>
    <s v="3000014948690008"/>
    <s v="CIVIL"/>
    <d v="2023-06-28T00:00:00"/>
    <d v="2023-07-10T19:01:40"/>
    <m/>
    <d v="2023-07-10T00:00:00"/>
    <n v="329"/>
    <n v="16318"/>
    <s v="60702740"/>
    <s v="60702740"/>
    <m/>
    <m/>
    <n v="22780852"/>
    <m/>
    <m/>
    <m/>
    <s v="SOLFIN"/>
    <s v="SOLFIN"/>
    <s v="CCMS"/>
    <n v="21350055"/>
    <n v="19530.58"/>
    <m/>
    <s v="N"/>
    <n v="162"/>
    <d v="2023-07-10T19:02:11"/>
    <s v="Y"/>
    <s v="Routine Letter In"/>
    <s v="Prescribed Hourly Rates"/>
    <s v="Profit Cost"/>
    <s v="FG"/>
    <s v="Y"/>
    <n v="1074.6"/>
    <n v="214.92"/>
    <x v="2"/>
    <s v="VALIDATED"/>
    <n v="1"/>
    <s v="01.11.80.307.6100.0000"/>
    <n v="1074.6"/>
    <s v="11"/>
    <s v="6100"/>
    <n v="9153.27"/>
    <n v="1074.6"/>
    <s v="CREDITOR"/>
    <n v="0"/>
    <n v="0"/>
    <n v="0"/>
    <n v="0"/>
    <n v="1074.6"/>
  </r>
  <r>
    <n v="60702740"/>
    <s v="N"/>
    <n v="21350055"/>
    <s v="3000014948690008"/>
    <s v="CIVIL"/>
    <d v="2023-06-28T00:00:00"/>
    <d v="2023-07-10T19:01:40"/>
    <m/>
    <d v="2023-07-10T00:00:00"/>
    <n v="329"/>
    <n v="16318"/>
    <s v="60702740"/>
    <s v="60702740"/>
    <m/>
    <m/>
    <n v="22780852"/>
    <m/>
    <m/>
    <m/>
    <s v="SOLFIN"/>
    <s v="SOLFIN"/>
    <s v="CCMS"/>
    <n v="21350055"/>
    <n v="19530.58"/>
    <m/>
    <s v="N"/>
    <n v="84"/>
    <d v="2023-07-10T19:02:11"/>
    <s v="Y"/>
    <s v="Preparation - other"/>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16"/>
    <d v="2023-07-10T19:02:11"/>
    <s v="Y"/>
    <s v="Preparation - drafting application"/>
    <s v="Prescribed Hourly Rates"/>
    <s v="Profit Cost"/>
    <s v="FG"/>
    <s v="Y"/>
    <n v="80.19"/>
    <n v="16.04"/>
    <x v="2"/>
    <s v="VALIDATED"/>
    <n v="1"/>
    <s v="01.11.80.307.6100.0000"/>
    <n v="80.19"/>
    <s v="11"/>
    <s v="6100"/>
    <n v="9153.27"/>
    <n v="80.19"/>
    <s v="CREDITOR"/>
    <n v="0"/>
    <n v="0"/>
    <n v="0"/>
    <n v="0"/>
    <n v="80.19"/>
  </r>
  <r>
    <n v="60702740"/>
    <s v="N"/>
    <n v="21350055"/>
    <s v="3000014948690008"/>
    <s v="CIVIL"/>
    <d v="2023-06-28T00:00:00"/>
    <d v="2023-07-10T19:01:40"/>
    <m/>
    <d v="2023-07-10T00:00:00"/>
    <n v="329"/>
    <n v="16318"/>
    <s v="60702740"/>
    <s v="60702740"/>
    <m/>
    <m/>
    <n v="22780852"/>
    <m/>
    <m/>
    <m/>
    <s v="SOLFIN"/>
    <s v="SOLFIN"/>
    <s v="CCMS"/>
    <n v="21350055"/>
    <n v="19530.58"/>
    <m/>
    <s v="N"/>
    <n v="148"/>
    <d v="2023-07-10T19:02:11"/>
    <s v="Y"/>
    <s v="Waiting at court"/>
    <s v="Prescribed Hourly Rates"/>
    <s v="Profit Cost"/>
    <s v="PE"/>
    <s v="Y"/>
    <n v="20.16"/>
    <n v="4.03"/>
    <x v="2"/>
    <s v="VALIDATED"/>
    <n v="1"/>
    <s v="01.11.80.307.6100.0000"/>
    <n v="20.16"/>
    <s v="11"/>
    <s v="6100"/>
    <n v="9153.27"/>
    <n v="20.16"/>
    <s v="CREDITOR"/>
    <n v="0"/>
    <n v="0"/>
    <n v="0"/>
    <n v="0"/>
    <n v="20.16"/>
  </r>
  <r>
    <n v="60702740"/>
    <s v="N"/>
    <n v="21350055"/>
    <s v="3000014948690008"/>
    <s v="CIVIL"/>
    <d v="2023-06-28T00:00:00"/>
    <d v="2023-07-10T19:01:40"/>
    <m/>
    <d v="2023-07-10T00:00:00"/>
    <n v="329"/>
    <n v="16318"/>
    <s v="60702740"/>
    <s v="60702740"/>
    <m/>
    <m/>
    <n v="22780852"/>
    <m/>
    <m/>
    <m/>
    <s v="SOLFIN"/>
    <s v="SOLFIN"/>
    <s v="CCMS"/>
    <n v="21350055"/>
    <n v="19530.58"/>
    <m/>
    <s v="N"/>
    <n v="28"/>
    <d v="2023-07-10T19:02:11"/>
    <s v="Y"/>
    <s v="Attendance upon client"/>
    <s v="Prescribed Hourly Rates"/>
    <s v="Profit Cost"/>
    <s v="SP"/>
    <s v="Y"/>
    <n v="32.08"/>
    <n v="6.42"/>
    <x v="2"/>
    <s v="VALIDATED"/>
    <n v="1"/>
    <s v="01.11.80.307.6100.0000"/>
    <n v="32.08"/>
    <s v="11"/>
    <s v="6100"/>
    <n v="9153.27"/>
    <n v="32.08"/>
    <s v="CREDITOR"/>
    <n v="0"/>
    <n v="0"/>
    <n v="0"/>
    <n v="0"/>
    <n v="32.08"/>
  </r>
  <r>
    <n v="60702740"/>
    <s v="N"/>
    <n v="21350055"/>
    <s v="3000014948690008"/>
    <s v="CIVIL"/>
    <d v="2023-06-28T00:00:00"/>
    <d v="2023-07-10T19:01:40"/>
    <m/>
    <d v="2023-07-10T00:00:00"/>
    <n v="329"/>
    <n v="16318"/>
    <s v="60702740"/>
    <s v="60702740"/>
    <m/>
    <m/>
    <n v="22780852"/>
    <m/>
    <m/>
    <m/>
    <s v="SOLFIN"/>
    <s v="SOLFIN"/>
    <s v="CCMS"/>
    <n v="21350055"/>
    <n v="19530.58"/>
    <m/>
    <s v="N"/>
    <n v="43"/>
    <d v="2023-07-10T19:02:11"/>
    <s v="Y"/>
    <s v="Preparation - drafting statement"/>
    <s v="Prescribed Hourly Rates"/>
    <s v="Profit Cost"/>
    <s v="SP"/>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98"/>
    <d v="2023-07-10T19:02:11"/>
    <s v="Y"/>
    <s v="Waiting at court"/>
    <s v="Prescribed Hourly Rates"/>
    <s v="Profit Cost"/>
    <s v="PE"/>
    <s v="Y"/>
    <n v="25.92"/>
    <n v="5.18"/>
    <x v="2"/>
    <s v="VALIDATED"/>
    <n v="1"/>
    <s v="01.11.80.307.6100.0000"/>
    <n v="25.92"/>
    <s v="11"/>
    <s v="6100"/>
    <n v="9153.27"/>
    <n v="25.92"/>
    <s v="CREDITOR"/>
    <n v="0"/>
    <n v="0"/>
    <n v="0"/>
    <n v="0"/>
    <n v="25.92"/>
  </r>
  <r>
    <n v="60702740"/>
    <s v="N"/>
    <n v="21350055"/>
    <s v="3000014948690008"/>
    <s v="CIVIL"/>
    <d v="2023-06-28T00:00:00"/>
    <d v="2023-07-10T19:01:40"/>
    <m/>
    <d v="2023-07-10T00:00:00"/>
    <n v="329"/>
    <n v="16318"/>
    <s v="60702740"/>
    <s v="60702740"/>
    <m/>
    <m/>
    <n v="22780852"/>
    <m/>
    <m/>
    <m/>
    <s v="SOLFIN"/>
    <s v="SOLFIN"/>
    <s v="CCMS"/>
    <n v="21350055"/>
    <n v="19530.58"/>
    <m/>
    <s v="N"/>
    <n v="121"/>
    <d v="2023-07-10T19:02:11"/>
    <s v="Y"/>
    <s v="Preparation - drafting application"/>
    <s v="Prescribed Hourly Rates"/>
    <s v="Profit Cost"/>
    <s v="FG"/>
    <s v="Y"/>
    <n v="48.11"/>
    <n v="9.619999999999999"/>
    <x v="2"/>
    <s v="VALIDATED"/>
    <n v="1"/>
    <s v="01.11.80.307.6100.0000"/>
    <n v="48.11"/>
    <s v="11"/>
    <s v="6100"/>
    <n v="9153.27"/>
    <n v="48.11"/>
    <s v="CREDITOR"/>
    <n v="0"/>
    <n v="0"/>
    <n v="0"/>
    <n v="0"/>
    <n v="48.11"/>
  </r>
  <r>
    <n v="60702740"/>
    <s v="N"/>
    <n v="21350055"/>
    <s v="3000014948690008"/>
    <s v="CIVIL"/>
    <d v="2023-06-28T00:00:00"/>
    <d v="2023-07-10T19:01:40"/>
    <m/>
    <d v="2023-07-10T00:00:00"/>
    <n v="329"/>
    <n v="16318"/>
    <s v="60702740"/>
    <s v="60702740"/>
    <m/>
    <m/>
    <n v="22780852"/>
    <m/>
    <m/>
    <m/>
    <s v="SOLFIN"/>
    <s v="SOLFIN"/>
    <s v="CCMS"/>
    <n v="21350055"/>
    <n v="19530.58"/>
    <m/>
    <s v="N"/>
    <n v="74"/>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0"/>
    <d v="2023-07-10T19:02:11"/>
    <s v="Y"/>
    <s v="Preparation - other"/>
    <s v="Prescribed Hourly Rates"/>
    <s v="Profit Cost"/>
    <s v="PE"/>
    <s v="Y"/>
    <n v="416.99"/>
    <n v="83.40000000000001"/>
    <x v="2"/>
    <s v="VALIDATED"/>
    <n v="1"/>
    <s v="01.11.80.307.6100.0000"/>
    <n v="416.99"/>
    <s v="11"/>
    <s v="6100"/>
    <n v="9153.27"/>
    <n v="416.99"/>
    <s v="CREDITOR"/>
    <n v="0"/>
    <n v="0"/>
    <n v="0"/>
    <n v="0"/>
    <n v="416.99"/>
  </r>
  <r>
    <n v="60702740"/>
    <s v="N"/>
    <n v="21350055"/>
    <s v="3000014948690008"/>
    <s v="CIVIL"/>
    <d v="2023-06-28T00:00:00"/>
    <d v="2023-07-10T19:01:40"/>
    <m/>
    <d v="2023-07-10T00:00:00"/>
    <n v="329"/>
    <n v="16318"/>
    <s v="60702740"/>
    <s v="60702740"/>
    <m/>
    <m/>
    <n v="22780852"/>
    <m/>
    <m/>
    <m/>
    <s v="SOLFIN"/>
    <s v="SOLFIN"/>
    <s v="CCMS"/>
    <n v="21350055"/>
    <n v="19530.58"/>
    <m/>
    <s v="N"/>
    <n v="119"/>
    <d v="2023-07-10T19:02:11"/>
    <s v="Y"/>
    <s v="Preparation -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02"/>
    <d v="2023-07-10T19:02:11"/>
    <s v="Y"/>
    <s v="Preparation - other"/>
    <s v="Prescribed Hourly Rates"/>
    <s v="Profit Cost"/>
    <s v="FG"/>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6"/>
    <d v="2023-07-10T19:02:11"/>
    <s v="N"/>
    <s v="Level 3 &amp; Level 4 Fixed Fee"/>
    <s v="Private Law Children"/>
    <s v="Profit Cost"/>
    <s v="FG"/>
    <s v="N"/>
    <n v="0"/>
    <n v="0"/>
    <x v="2"/>
    <s v="VALIDATED"/>
    <n v="1"/>
    <s v="01.11.80.307.6100.0000"/>
    <n v="0"/>
    <s v="11"/>
    <s v="6100"/>
    <n v="9153.27"/>
    <n v="0"/>
    <s v="CREDITOR"/>
    <n v="0"/>
    <n v="0"/>
    <n v="0"/>
    <n v="0"/>
    <n v="0"/>
  </r>
  <r>
    <n v="60702740"/>
    <s v="N"/>
    <n v="21350055"/>
    <s v="3000014948690008"/>
    <s v="CIVIL"/>
    <d v="2023-06-28T00:00:00"/>
    <d v="2023-07-10T19:01:40"/>
    <m/>
    <d v="2023-07-10T00:00:00"/>
    <n v="329"/>
    <n v="16318"/>
    <s v="60702740"/>
    <s v="60702740"/>
    <m/>
    <m/>
    <n v="22780852"/>
    <m/>
    <m/>
    <m/>
    <s v="SOLFIN"/>
    <s v="SOLFIN"/>
    <s v="CCMS"/>
    <n v="21350055"/>
    <n v="19530.58"/>
    <m/>
    <s v="N"/>
    <n v="8"/>
    <d v="2023-07-10T19:02:11"/>
    <s v="Y"/>
    <s v="Preparation - drafting notice(s)"/>
    <s v="Prescribed Hourly Rates"/>
    <s v="Profit Cost"/>
    <s v="SP"/>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53"/>
    <d v="2023-07-10T19:02:11"/>
    <s v="Y"/>
    <s v="Waiting at court"/>
    <s v="Prescribed Hourly Rates"/>
    <s v="Profit Cost"/>
    <s v="JA"/>
    <s v="Y"/>
    <n v="31.68"/>
    <n v="6.34"/>
    <x v="2"/>
    <s v="VALIDATED"/>
    <n v="1"/>
    <s v="01.11.80.307.6100.0000"/>
    <n v="31.68"/>
    <s v="11"/>
    <s v="6100"/>
    <n v="9153.27"/>
    <n v="31.68"/>
    <s v="CREDITOR"/>
    <n v="0"/>
    <n v="0"/>
    <n v="0"/>
    <n v="0"/>
    <n v="31.68"/>
  </r>
  <r>
    <n v="60702740"/>
    <s v="N"/>
    <n v="21350055"/>
    <s v="3000014948690008"/>
    <s v="CIVIL"/>
    <d v="2023-06-28T00:00:00"/>
    <d v="2023-07-10T19:01:40"/>
    <m/>
    <d v="2023-07-10T00:00:00"/>
    <n v="329"/>
    <n v="16318"/>
    <s v="60702740"/>
    <s v="60702740"/>
    <m/>
    <m/>
    <n v="22780852"/>
    <m/>
    <m/>
    <m/>
    <s v="SOLFIN"/>
    <s v="SOLFIN"/>
    <s v="CCMS"/>
    <n v="21350055"/>
    <n v="19530.58"/>
    <m/>
    <s v="N"/>
    <n v="38"/>
    <d v="2023-07-10T19:02:11"/>
    <s v="Y"/>
    <s v="Preparation - other"/>
    <s v="Prescribed Hourly Rates"/>
    <s v="Profit Cost"/>
    <s v="SP"/>
    <s v="Y"/>
    <n v="200.48"/>
    <n v="40.1"/>
    <x v="2"/>
    <s v="VALIDATED"/>
    <n v="1"/>
    <s v="01.11.80.307.6100.0000"/>
    <n v="200.48"/>
    <s v="11"/>
    <s v="6100"/>
    <n v="9153.27"/>
    <n v="200.48"/>
    <s v="CREDITOR"/>
    <n v="0"/>
    <n v="0"/>
    <n v="0"/>
    <n v="0"/>
    <n v="200.48"/>
  </r>
  <r>
    <n v="60702740"/>
    <s v="N"/>
    <n v="21350055"/>
    <s v="3000014948690008"/>
    <s v="CIVIL"/>
    <d v="2023-06-28T00:00:00"/>
    <d v="2023-07-10T19:01:40"/>
    <m/>
    <d v="2023-07-10T00:00:00"/>
    <n v="329"/>
    <n v="16318"/>
    <s v="60702740"/>
    <s v="60702740"/>
    <m/>
    <m/>
    <n v="22780852"/>
    <m/>
    <m/>
    <m/>
    <s v="SOLFIN"/>
    <s v="SOLFIN"/>
    <s v="CCMS"/>
    <n v="21350055"/>
    <n v="19530.58"/>
    <m/>
    <s v="N"/>
    <n v="42"/>
    <d v="2023-07-10T19:02:11"/>
    <s v="Y"/>
    <s v="Preparation - other"/>
    <s v="Prescribed Hourly Rates"/>
    <s v="Profit Cost"/>
    <s v="SP"/>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104"/>
    <d v="2023-07-10T19:02:11"/>
    <s v="Y"/>
    <s v="Preparation - other"/>
    <s v="Prescribed Hourly Rates"/>
    <s v="Profit Cost"/>
    <s v="PE"/>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18"/>
    <d v="2023-07-10T19:02:11"/>
    <s v="Y"/>
    <s v="Preparation - other"/>
    <s v="Prescribed Hourly Rates"/>
    <s v="Profit Cost"/>
    <s v="FG"/>
    <s v="Y"/>
    <n v="32.08"/>
    <n v="6.42"/>
    <x v="2"/>
    <s v="VALIDATED"/>
    <n v="1"/>
    <s v="01.11.80.307.6100.0000"/>
    <n v="32.08"/>
    <s v="11"/>
    <s v="6100"/>
    <n v="9153.27"/>
    <n v="32.08"/>
    <s v="CREDITOR"/>
    <n v="0"/>
    <n v="0"/>
    <n v="0"/>
    <n v="0"/>
    <n v="32.08"/>
  </r>
  <r>
    <n v="60702740"/>
    <s v="N"/>
    <n v="21350055"/>
    <s v="3000014948690008"/>
    <s v="CIVIL"/>
    <d v="2023-06-28T00:00:00"/>
    <d v="2023-07-10T19:01:40"/>
    <m/>
    <d v="2023-07-10T00:00:00"/>
    <n v="329"/>
    <n v="16318"/>
    <s v="60702740"/>
    <s v="60702740"/>
    <m/>
    <m/>
    <n v="22780852"/>
    <m/>
    <m/>
    <m/>
    <s v="SOLFIN"/>
    <s v="SOLFIN"/>
    <s v="CCMS"/>
    <n v="21350055"/>
    <n v="19530.58"/>
    <m/>
    <s v="N"/>
    <n v="127"/>
    <d v="2023-07-10T19:02:11"/>
    <s v="Y"/>
    <s v="Attendance upon other"/>
    <s v="Prescribed Hourly Rates"/>
    <s v="Profit Cost"/>
    <s v="FG"/>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24"/>
    <d v="2023-07-10T19:02:11"/>
    <s v="Y"/>
    <s v="Preparation - other"/>
    <s v="Prescribed Hourly Rates"/>
    <s v="Profit Cost"/>
    <s v="SP"/>
    <s v="Y"/>
    <n v="80.19"/>
    <n v="16.04"/>
    <x v="2"/>
    <s v="VALIDATED"/>
    <n v="1"/>
    <s v="01.11.80.307.6100.0000"/>
    <n v="80.19"/>
    <s v="11"/>
    <s v="6100"/>
    <n v="9153.27"/>
    <n v="80.19"/>
    <s v="CREDITOR"/>
    <n v="0"/>
    <n v="0"/>
    <n v="0"/>
    <n v="0"/>
    <n v="80.19"/>
  </r>
  <r>
    <n v="60702740"/>
    <s v="N"/>
    <n v="21350055"/>
    <s v="3000014948690008"/>
    <s v="CIVIL"/>
    <d v="2023-06-28T00:00:00"/>
    <d v="2023-07-10T19:01:40"/>
    <m/>
    <d v="2023-07-10T00:00:00"/>
    <n v="329"/>
    <n v="16318"/>
    <s v="60702740"/>
    <s v="60702740"/>
    <m/>
    <m/>
    <n v="22780852"/>
    <m/>
    <m/>
    <m/>
    <s v="SOLFIN"/>
    <s v="SOLFIN"/>
    <s v="CCMS"/>
    <n v="21350055"/>
    <n v="19530.58"/>
    <m/>
    <s v="N"/>
    <n v="141"/>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22"/>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61"/>
    <d v="2023-07-10T19:02:11"/>
    <s v="Y"/>
    <s v="Preparation - other"/>
    <s v="Prescribed Hourly Rates"/>
    <s v="Profit Cost"/>
    <s v="SP"/>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19"/>
    <d v="2023-07-10T19:02:11"/>
    <s v="Y"/>
    <s v="Preparation - other"/>
    <s v="Prescribed Hourly Rates"/>
    <s v="Profit Cost"/>
    <s v="PE"/>
    <s v="Y"/>
    <n v="120.29"/>
    <n v="24.06"/>
    <x v="2"/>
    <s v="VALIDATED"/>
    <n v="1"/>
    <s v="01.11.80.307.6100.0000"/>
    <n v="120.29"/>
    <s v="11"/>
    <s v="6100"/>
    <n v="9153.27"/>
    <n v="120.29"/>
    <s v="CREDITOR"/>
    <n v="0"/>
    <n v="0"/>
    <n v="0"/>
    <n v="0"/>
    <n v="120.29"/>
  </r>
  <r>
    <n v="60702740"/>
    <s v="N"/>
    <n v="21350055"/>
    <s v="3000014948690008"/>
    <s v="CIVIL"/>
    <d v="2023-06-28T00:00:00"/>
    <d v="2023-07-10T19:01:40"/>
    <m/>
    <d v="2023-07-10T00:00:00"/>
    <n v="329"/>
    <n v="16318"/>
    <s v="60702740"/>
    <s v="60702740"/>
    <m/>
    <m/>
    <n v="22780852"/>
    <m/>
    <m/>
    <m/>
    <s v="SOLFIN"/>
    <s v="SOLFIN"/>
    <s v="CCMS"/>
    <n v="21350055"/>
    <n v="19530.58"/>
    <m/>
    <s v="N"/>
    <n v="87"/>
    <d v="2023-07-10T19:02:11"/>
    <s v="Y"/>
    <s v="Preparation - drafting notice(s)"/>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68"/>
    <d v="2023-07-10T19:02:11"/>
    <s v="Y"/>
    <s v="Attendance upon court"/>
    <s v="Prescribed Hourly Rates"/>
    <s v="Profit Cost"/>
    <s v="PE"/>
    <s v="Y"/>
    <n v="16.04"/>
    <n v="3.21"/>
    <x v="2"/>
    <s v="VALIDATED"/>
    <n v="1"/>
    <s v="01.11.80.307.6100.0000"/>
    <n v="16.04"/>
    <s v="11"/>
    <s v="6100"/>
    <n v="9153.27"/>
    <n v="16.04"/>
    <s v="CREDITOR"/>
    <n v="0"/>
    <n v="0"/>
    <n v="0"/>
    <n v="0"/>
    <n v="16.04"/>
  </r>
  <r>
    <n v="60702740"/>
    <s v="N"/>
    <n v="21350055"/>
    <s v="3000014948690008"/>
    <s v="CIVIL"/>
    <d v="2023-06-28T00:00:00"/>
    <d v="2023-07-10T19:01:40"/>
    <m/>
    <d v="2023-07-10T00:00:00"/>
    <n v="329"/>
    <n v="16318"/>
    <s v="60702740"/>
    <s v="60702740"/>
    <m/>
    <m/>
    <n v="22780852"/>
    <m/>
    <m/>
    <m/>
    <s v="SOLFIN"/>
    <s v="SOLFIN"/>
    <s v="CCMS"/>
    <n v="21350055"/>
    <n v="19530.58"/>
    <m/>
    <s v="N"/>
    <n v="29"/>
    <d v="2023-07-10T19:02:11"/>
    <s v="Y"/>
    <s v="Preparation - drafting attendance n"/>
    <s v="Prescribed Hourly Rates"/>
    <s v="Profit Cost"/>
    <s v="SP"/>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15"/>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130"/>
    <d v="2023-07-10T19:02:11"/>
    <s v="Y"/>
    <s v="Preparation - other"/>
    <s v="Prescribed Hourly Rates"/>
    <s v="Profit Cost"/>
    <s v="FG"/>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21"/>
    <d v="2023-07-10T19:02:11"/>
    <s v="Y"/>
    <s v="Preparation - other"/>
    <s v="Prescribed Hourly Rates"/>
    <s v="Profit Cost"/>
    <s v="PE"/>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135"/>
    <d v="2023-07-10T19:02:11"/>
    <s v="Y"/>
    <s v="Preparation - other"/>
    <s v="Prescribed Hourly Rates"/>
    <s v="Profit Cost"/>
    <s v="FG"/>
    <s v="Y"/>
    <n v="8.02"/>
    <n v="1.6"/>
    <x v="2"/>
    <s v="VALIDATED"/>
    <n v="1"/>
    <s v="01.11.80.307.6100.0000"/>
    <n v="8.02"/>
    <s v="11"/>
    <s v="6100"/>
    <n v="9153.27"/>
    <n v="8.02"/>
    <s v="CREDITOR"/>
    <n v="0"/>
    <n v="0"/>
    <n v="0"/>
    <n v="0"/>
    <n v="8.02"/>
  </r>
  <r>
    <n v="60702740"/>
    <s v="N"/>
    <n v="21350055"/>
    <s v="3000014948690008"/>
    <s v="CIVIL"/>
    <d v="2023-06-28T00:00:00"/>
    <d v="2023-07-10T19:01:40"/>
    <m/>
    <d v="2023-07-10T00:00:00"/>
    <n v="329"/>
    <n v="16318"/>
    <s v="60702740"/>
    <s v="60702740"/>
    <m/>
    <m/>
    <n v="22780852"/>
    <m/>
    <m/>
    <m/>
    <s v="SOLFIN"/>
    <s v="SOLFIN"/>
    <s v="CCMS"/>
    <n v="21350055"/>
    <n v="19530.58"/>
    <m/>
    <s v="N"/>
    <n v="56"/>
    <d v="2023-07-10T19:02:11"/>
    <s v="Y"/>
    <s v="Preparation - other"/>
    <s v="Prescribed Hourly Rates"/>
    <s v="Profit Cost"/>
    <s v="PE"/>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105"/>
    <d v="2023-07-10T19:02:11"/>
    <s v="Y"/>
    <s v="Preparation - other"/>
    <s v="Prescribed Hourly Rates"/>
    <s v="Profit Cost"/>
    <s v="PE"/>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150"/>
    <d v="2023-07-10T19:02:11"/>
    <s v="Y"/>
    <s v="Waiting at court"/>
    <s v="Prescribed Hourly Rates"/>
    <s v="Profit Cost"/>
    <s v="PE"/>
    <s v="Y"/>
    <n v="8.640000000000001"/>
    <n v="1.73"/>
    <x v="2"/>
    <s v="VALIDATED"/>
    <n v="1"/>
    <s v="01.11.80.307.6100.0000"/>
    <n v="8.640000000000001"/>
    <s v="11"/>
    <s v="6100"/>
    <n v="9153.27"/>
    <n v="8.640000000000001"/>
    <s v="CREDITOR"/>
    <n v="0"/>
    <n v="0"/>
    <n v="0"/>
    <n v="0"/>
    <n v="8.640000000000001"/>
  </r>
  <r>
    <n v="60702740"/>
    <s v="N"/>
    <n v="21350055"/>
    <s v="3000014948690008"/>
    <s v="CIVIL"/>
    <d v="2023-06-28T00:00:00"/>
    <d v="2023-07-10T19:01:40"/>
    <m/>
    <d v="2023-07-10T00:00:00"/>
    <n v="329"/>
    <n v="16318"/>
    <s v="60702740"/>
    <s v="60702740"/>
    <m/>
    <m/>
    <n v="22780852"/>
    <m/>
    <m/>
    <m/>
    <s v="SOLFIN"/>
    <s v="SOLFIN"/>
    <s v="CCMS"/>
    <n v="21350055"/>
    <n v="19530.58"/>
    <m/>
    <s v="N"/>
    <n v="22"/>
    <d v="2023-07-10T19:02:11"/>
    <s v="Y"/>
    <s v="Attendance upon client"/>
    <s v="Prescribed Hourly Rates"/>
    <s v="Profit Cost"/>
    <s v="SP"/>
    <s v="Y"/>
    <n v="88.20999999999999"/>
    <n v="17.64"/>
    <x v="2"/>
    <s v="VALIDATED"/>
    <n v="1"/>
    <s v="01.11.80.307.6100.0000"/>
    <n v="88.20999999999999"/>
    <s v="11"/>
    <s v="6100"/>
    <n v="9153.27"/>
    <n v="88.20999999999999"/>
    <s v="CREDITOR"/>
    <n v="0"/>
    <n v="0"/>
    <n v="0"/>
    <n v="0"/>
    <n v="88.20999999999999"/>
  </r>
  <r>
    <n v="60702740"/>
    <s v="N"/>
    <n v="21350055"/>
    <s v="3000014948690008"/>
    <s v="CIVIL"/>
    <d v="2023-06-28T00:00:00"/>
    <d v="2023-07-10T19:01:40"/>
    <m/>
    <d v="2023-07-10T00:00:00"/>
    <n v="329"/>
    <n v="16318"/>
    <s v="60702740"/>
    <s v="60702740"/>
    <m/>
    <m/>
    <n v="22780852"/>
    <m/>
    <m/>
    <m/>
    <s v="SOLFIN"/>
    <s v="SOLFIN"/>
    <s v="CCMS"/>
    <n v="21350055"/>
    <n v="19530.58"/>
    <m/>
    <s v="N"/>
    <n v="37"/>
    <d v="2023-07-10T19:02:11"/>
    <s v="Y"/>
    <s v="Preparation - other"/>
    <s v="Prescribed Hourly Rates"/>
    <s v="Profit Cost"/>
    <s v="SP"/>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39"/>
    <d v="2023-07-10T19:02:11"/>
    <s v="Y"/>
    <s v="Preparation - drafting statement"/>
    <s v="Prescribed Hourly Rates"/>
    <s v="Profit Cost"/>
    <s v="SP"/>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151"/>
    <d v="2023-07-10T19:02:11"/>
    <s v="Y"/>
    <s v="Attendance upon client"/>
    <s v="Prescribed Hourly Rates"/>
    <s v="Profit Cost"/>
    <s v="FG"/>
    <s v="Y"/>
    <n v="64.15000000000001"/>
    <n v="12.83"/>
    <x v="2"/>
    <s v="VALIDATED"/>
    <n v="1"/>
    <s v="01.11.80.307.6100.0000"/>
    <n v="64.15000000000001"/>
    <s v="11"/>
    <s v="6100"/>
    <n v="9153.27"/>
    <n v="64.15000000000001"/>
    <s v="CREDITOR"/>
    <n v="0"/>
    <n v="0"/>
    <n v="0"/>
    <n v="0"/>
    <n v="64.15000000000001"/>
  </r>
  <r>
    <n v="60702740"/>
    <s v="N"/>
    <n v="21350055"/>
    <s v="3000014948690008"/>
    <s v="CIVIL"/>
    <d v="2023-06-28T00:00:00"/>
    <d v="2023-07-10T19:01:40"/>
    <m/>
    <d v="2023-07-10T00:00:00"/>
    <n v="329"/>
    <n v="16318"/>
    <s v="60702740"/>
    <s v="60702740"/>
    <m/>
    <m/>
    <n v="22780852"/>
    <m/>
    <m/>
    <m/>
    <s v="SOLFIN"/>
    <s v="SOLFIN"/>
    <s v="CCMS"/>
    <n v="21350055"/>
    <n v="19530.58"/>
    <m/>
    <s v="N"/>
    <n v="89"/>
    <d v="2023-07-10T19:02:11"/>
    <s v="Y"/>
    <s v="Preparation - drafting application"/>
    <s v="Prescribed Hourly Rates"/>
    <s v="Profit Cost"/>
    <s v="FG"/>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71"/>
    <d v="2023-07-10T19:02:11"/>
    <s v="Y"/>
    <s v="Preparation - other"/>
    <s v="Prescribed Hourly Rates"/>
    <s v="Profit Cost"/>
    <s v="SP"/>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72"/>
    <d v="2023-07-10T19:02:11"/>
    <s v="Y"/>
    <s v="Preparation - other"/>
    <s v="Prescribed Hourly Rates"/>
    <s v="Profit Cost"/>
    <s v="FG"/>
    <s v="Y"/>
    <n v="104.25"/>
    <n v="20.85"/>
    <x v="2"/>
    <s v="VALIDATED"/>
    <n v="1"/>
    <s v="01.11.80.307.6100.0000"/>
    <n v="104.25"/>
    <s v="11"/>
    <s v="6100"/>
    <n v="9153.27"/>
    <n v="104.25"/>
    <s v="CREDITOR"/>
    <n v="0"/>
    <n v="0"/>
    <n v="0"/>
    <n v="0"/>
    <n v="104.25"/>
  </r>
  <r>
    <n v="60702740"/>
    <s v="N"/>
    <n v="21350055"/>
    <s v="3000014948690008"/>
    <s v="CIVIL"/>
    <d v="2023-06-28T00:00:00"/>
    <d v="2023-07-10T19:01:40"/>
    <m/>
    <d v="2023-07-10T00:00:00"/>
    <n v="329"/>
    <n v="16318"/>
    <s v="60702740"/>
    <s v="60702740"/>
    <m/>
    <m/>
    <n v="22780852"/>
    <m/>
    <m/>
    <m/>
    <s v="SOLFIN"/>
    <s v="SOLFIN"/>
    <s v="CCMS"/>
    <n v="21350055"/>
    <n v="19530.58"/>
    <m/>
    <s v="N"/>
    <n v="12"/>
    <d v="2023-07-10T19:02:11"/>
    <s v="Y"/>
    <s v="Preparation - other"/>
    <s v="Prescribed Hourly Rates"/>
    <s v="Profit Cost"/>
    <s v="SP"/>
    <s v="Y"/>
    <n v="24.06"/>
    <n v="4.81"/>
    <x v="2"/>
    <s v="VALIDATED"/>
    <n v="1"/>
    <s v="01.11.80.307.6100.0000"/>
    <n v="24.06"/>
    <s v="11"/>
    <s v="6100"/>
    <n v="9153.27"/>
    <n v="24.06"/>
    <s v="CREDITOR"/>
    <n v="0"/>
    <n v="0"/>
    <n v="0"/>
    <n v="0"/>
    <n v="24.06"/>
  </r>
  <r>
    <n v="60702740"/>
    <s v="N"/>
    <n v="21350055"/>
    <s v="3000014948690008"/>
    <s v="CIVIL"/>
    <d v="2023-06-28T00:00:00"/>
    <d v="2023-07-10T19:01:40"/>
    <m/>
    <d v="2023-07-10T00:00:00"/>
    <n v="329"/>
    <n v="16318"/>
    <s v="60702740"/>
    <s v="60702740"/>
    <m/>
    <m/>
    <n v="22780852"/>
    <m/>
    <m/>
    <m/>
    <s v="SOLFIN"/>
    <s v="SOLFIN"/>
    <s v="CCMS"/>
    <n v="21350055"/>
    <n v="19530.58"/>
    <m/>
    <s v="N"/>
    <n v="26"/>
    <d v="2023-07-10T19:02:11"/>
    <s v="Y"/>
    <s v="Preparation - drafting attendance n"/>
    <s v="Prescribed Hourly Rates"/>
    <s v="Profit Cost"/>
    <s v="SP"/>
    <s v="Y"/>
    <n v="40.1"/>
    <n v="8.02"/>
    <x v="2"/>
    <s v="VALIDATED"/>
    <n v="1"/>
    <s v="01.11.80.307.6100.0000"/>
    <n v="40.1"/>
    <s v="11"/>
    <s v="6100"/>
    <n v="9153.27"/>
    <n v="40.1"/>
    <s v="CREDITOR"/>
    <n v="0"/>
    <n v="0"/>
    <n v="0"/>
    <n v="0"/>
    <n v="40.1"/>
  </r>
  <r>
    <n v="60702740"/>
    <s v="N"/>
    <n v="21350055"/>
    <s v="3000014948690008"/>
    <s v="CIVIL"/>
    <d v="2023-06-28T00:00:00"/>
    <d v="2023-07-10T19:01:40"/>
    <m/>
    <d v="2023-07-10T00:00:00"/>
    <n v="329"/>
    <n v="16318"/>
    <s v="60702740"/>
    <s v="60702740"/>
    <m/>
    <m/>
    <n v="22780852"/>
    <m/>
    <m/>
    <m/>
    <s v="SOLFIN"/>
    <s v="SOLFIN"/>
    <s v="CCMS"/>
    <n v="21350055"/>
    <n v="19530.58"/>
    <m/>
    <s v="N"/>
    <n v="153"/>
    <d v="2023-07-10T19:02:11"/>
    <s v="Y"/>
    <s v="Preparation - drafting consent orde"/>
    <s v="Prescribed Hourly Rates"/>
    <s v="Profit Cost"/>
    <s v="FG"/>
    <s v="Y"/>
    <n v="8.02"/>
    <n v="1.6"/>
    <x v="2"/>
    <s v="VALIDATED"/>
    <n v="1"/>
    <s v="01.11.80.307.6100.0000"/>
    <n v="8.02"/>
    <s v="11"/>
    <s v="6100"/>
    <n v="9153.27"/>
    <n v="8.02"/>
    <s v="CREDITOR"/>
    <n v="0"/>
    <n v="0"/>
    <n v="0"/>
    <n v="0"/>
    <n v="8.02"/>
  </r>
  <r>
    <n v="60702740"/>
    <s v="N"/>
    <n v="21356265"/>
    <s v="3000014948690005RC"/>
    <s v="CIVIL"/>
    <d v="2023-06-28T00:00:00"/>
    <d v="2023-07-10T19:47:44"/>
    <m/>
    <d v="2023-07-10T00:00:00"/>
    <n v="329"/>
    <n v="16318"/>
    <s v="60702740"/>
    <s v="60702740"/>
    <m/>
    <m/>
    <m/>
    <m/>
    <m/>
    <m/>
    <s v="SOLRECOUP"/>
    <s v="SOLRECOUP"/>
    <s v="POARECOUP"/>
    <n v="21356265"/>
    <n v="-282.24"/>
    <m/>
    <s v="Y"/>
    <n v="2"/>
    <d v="2023-07-10T19:47:44"/>
    <s v="N"/>
    <m/>
    <m/>
    <s v="Expert Disbursement"/>
    <m/>
    <s v="N"/>
    <n v="0"/>
    <n v="-47.04"/>
    <x v="2"/>
    <s v="VALIDATED"/>
    <n v="1"/>
    <s v="01.11.80.307.2013.0000"/>
    <n v="-47.04"/>
    <s v="11"/>
    <s v="2013"/>
    <n v="9153.27"/>
    <n v="-47.04"/>
    <s v="CREDITOR"/>
    <n v="0"/>
    <n v="0"/>
    <n v="-47.04"/>
    <n v="0"/>
    <n v="0"/>
  </r>
  <r>
    <n v="60702740"/>
    <s v="N"/>
    <n v="21356266"/>
    <s v="3000014948690003RC"/>
    <s v="CIVIL"/>
    <d v="2023-06-28T00:00:00"/>
    <d v="2023-07-10T19:47:44"/>
    <m/>
    <d v="2023-07-10T00:00:00"/>
    <n v="329"/>
    <n v="16318"/>
    <s v="60702740"/>
    <s v="60702740"/>
    <m/>
    <m/>
    <m/>
    <m/>
    <m/>
    <m/>
    <s v="SOLRECOUP"/>
    <s v="SOLRECOUP"/>
    <s v="POARECOUP"/>
    <n v="21356266"/>
    <n v="-3256.32"/>
    <m/>
    <s v="Y"/>
    <n v="1"/>
    <d v="2023-07-10T19:47:44"/>
    <s v="N"/>
    <m/>
    <m/>
    <s v="Profit Cost"/>
    <m/>
    <s v="N"/>
    <n v="-2713.6"/>
    <n v="0"/>
    <x v="2"/>
    <s v="VALIDATED"/>
    <n v="1"/>
    <s v="01.11.80.307.2013.0000"/>
    <n v="-2713.6"/>
    <s v="11"/>
    <s v="2013"/>
    <n v="9153.27"/>
    <n v="-2713.6"/>
    <s v="CREDITOR"/>
    <n v="0"/>
    <n v="0"/>
    <n v="-2713.6"/>
    <n v="-678.4"/>
    <n v="0"/>
  </r>
  <r>
    <n v="60702740"/>
    <s v="N"/>
    <n v="21356266"/>
    <s v="3000014948690003RC"/>
    <s v="CIVIL"/>
    <d v="2023-06-28T00:00:00"/>
    <d v="2023-07-10T19:47:44"/>
    <m/>
    <d v="2023-07-10T00:00:00"/>
    <n v="329"/>
    <n v="16318"/>
    <s v="60702740"/>
    <s v="60702740"/>
    <m/>
    <m/>
    <m/>
    <m/>
    <m/>
    <m/>
    <s v="SOLRECOUP"/>
    <s v="SOLRECOUP"/>
    <s v="POARECOUP"/>
    <n v="21356266"/>
    <n v="-3256.32"/>
    <m/>
    <s v="Y"/>
    <n v="2"/>
    <d v="2023-07-10T19:47:44"/>
    <s v="N"/>
    <m/>
    <m/>
    <s v="Profit Cost"/>
    <m/>
    <s v="N"/>
    <n v="0"/>
    <n v="-542.72"/>
    <x v="2"/>
    <s v="VALIDATED"/>
    <n v="1"/>
    <s v="01.11.80.307.2013.0000"/>
    <n v="-542.72"/>
    <s v="11"/>
    <s v="2013"/>
    <n v="9153.27"/>
    <n v="-542.72"/>
    <s v="CREDITOR"/>
    <n v="0"/>
    <n v="0"/>
    <n v="-542.72"/>
    <n v="-135.68"/>
    <n v="0"/>
  </r>
  <r>
    <n v="60702740"/>
    <s v="N"/>
    <n v="21356267"/>
    <s v="3000014948690006RC"/>
    <s v="CIVIL"/>
    <d v="2023-06-28T00:00:00"/>
    <d v="2023-07-10T19:47:44"/>
    <m/>
    <d v="2023-07-10T00:00:00"/>
    <n v="329"/>
    <n v="16318"/>
    <s v="60702740"/>
    <s v="60702740"/>
    <m/>
    <m/>
    <m/>
    <m/>
    <m/>
    <m/>
    <s v="SOLRECOUP"/>
    <s v="SOLRECOUP"/>
    <s v="POARECOUP"/>
    <n v="21356267"/>
    <n v="-496.52"/>
    <m/>
    <s v="Y"/>
    <n v="1"/>
    <d v="2023-07-10T19:47:44"/>
    <s v="N"/>
    <m/>
    <m/>
    <s v="Expert Disbursement"/>
    <m/>
    <s v="N"/>
    <n v="-413.77"/>
    <n v="0"/>
    <x v="2"/>
    <s v="VALIDATED"/>
    <n v="1"/>
    <s v="01.11.80.307.2013.0000"/>
    <n v="-413.77"/>
    <s v="11"/>
    <s v="2013"/>
    <n v="9153.27"/>
    <n v="-413.77"/>
    <s v="CREDITOR"/>
    <n v="0"/>
    <n v="0"/>
    <n v="-413.77"/>
    <n v="0"/>
    <n v="0"/>
  </r>
  <r>
    <n v="60702740"/>
    <s v="N"/>
    <n v="21356267"/>
    <s v="3000014948690006RC"/>
    <s v="CIVIL"/>
    <d v="2023-06-28T00:00:00"/>
    <d v="2023-07-10T19:47:44"/>
    <m/>
    <d v="2023-07-10T00:00:00"/>
    <n v="329"/>
    <n v="16318"/>
    <s v="60702740"/>
    <s v="60702740"/>
    <m/>
    <m/>
    <m/>
    <m/>
    <m/>
    <m/>
    <s v="SOLRECOUP"/>
    <s v="SOLRECOUP"/>
    <s v="POARECOUP"/>
    <n v="21356267"/>
    <n v="-496.52"/>
    <m/>
    <s v="Y"/>
    <n v="2"/>
    <d v="2023-07-10T19:47:44"/>
    <s v="N"/>
    <m/>
    <m/>
    <s v="Expert Disbursement"/>
    <m/>
    <s v="N"/>
    <n v="0"/>
    <n v="-82.75"/>
    <x v="2"/>
    <s v="VALIDATED"/>
    <n v="1"/>
    <s v="01.11.80.307.2013.0000"/>
    <n v="-82.75"/>
    <s v="11"/>
    <s v="2013"/>
    <n v="9153.27"/>
    <n v="-82.75"/>
    <s v="CREDITOR"/>
    <n v="0"/>
    <n v="0"/>
    <n v="-82.75"/>
    <n v="0"/>
    <n v="0"/>
  </r>
  <r>
    <n v="60702740"/>
    <s v="N"/>
    <n v="21356263"/>
    <s v="3000014948690004RC"/>
    <s v="CIVIL"/>
    <d v="2023-06-28T00:00:00"/>
    <d v="2023-07-10T19:47:44"/>
    <m/>
    <d v="2023-07-10T00:00:00"/>
    <n v="329"/>
    <n v="16318"/>
    <s v="60702740"/>
    <s v="60702740"/>
    <m/>
    <m/>
    <m/>
    <m/>
    <m/>
    <m/>
    <s v="SOLRECOUP"/>
    <s v="SOLRECOUP"/>
    <s v="POARECOUP"/>
    <n v="21356263"/>
    <n v="-1814.4"/>
    <m/>
    <s v="Y"/>
    <n v="1"/>
    <d v="2023-07-10T19:47:44"/>
    <s v="N"/>
    <m/>
    <m/>
    <s v="Expert Disbursement"/>
    <m/>
    <s v="N"/>
    <n v="-1512"/>
    <n v="0"/>
    <x v="2"/>
    <s v="VALIDATED"/>
    <n v="1"/>
    <s v="01.11.80.307.2013.0000"/>
    <n v="-1512"/>
    <s v="11"/>
    <s v="2013"/>
    <n v="9153.27"/>
    <n v="-1512"/>
    <s v="CREDITOR"/>
    <n v="0"/>
    <n v="0"/>
    <n v="-1512"/>
    <n v="0"/>
    <n v="0"/>
  </r>
  <r>
    <n v="60702740"/>
    <s v="N"/>
    <n v="21356263"/>
    <s v="3000014948690004RC"/>
    <s v="CIVIL"/>
    <d v="2023-06-28T00:00:00"/>
    <d v="2023-07-10T19:47:44"/>
    <m/>
    <d v="2023-07-10T00:00:00"/>
    <n v="329"/>
    <n v="16318"/>
    <s v="60702740"/>
    <s v="60702740"/>
    <m/>
    <m/>
    <m/>
    <m/>
    <m/>
    <m/>
    <s v="SOLRECOUP"/>
    <s v="SOLRECOUP"/>
    <s v="POARECOUP"/>
    <n v="21356263"/>
    <n v="-1814.4"/>
    <m/>
    <s v="Y"/>
    <n v="2"/>
    <d v="2023-07-10T19:47:44"/>
    <s v="N"/>
    <m/>
    <m/>
    <s v="Expert Disbursement"/>
    <m/>
    <s v="N"/>
    <n v="0"/>
    <n v="-302.4"/>
    <x v="2"/>
    <s v="VALIDATED"/>
    <n v="1"/>
    <s v="01.11.80.307.2013.0000"/>
    <n v="-302.4"/>
    <s v="11"/>
    <s v="2013"/>
    <n v="9153.27"/>
    <n v="-302.4"/>
    <s v="CREDITOR"/>
    <n v="0"/>
    <n v="0"/>
    <n v="-302.4"/>
    <n v="0"/>
    <n v="0"/>
  </r>
  <r>
    <n v="60702740"/>
    <s v="N"/>
    <n v="21356264"/>
    <s v="3000014948690001RC"/>
    <s v="CIVIL"/>
    <d v="2023-06-28T00:00:00"/>
    <d v="2023-07-10T19:47:44"/>
    <m/>
    <d v="2023-07-10T00:00:00"/>
    <n v="329"/>
    <n v="16318"/>
    <s v="60702740"/>
    <s v="60702740"/>
    <m/>
    <m/>
    <m/>
    <m/>
    <m/>
    <m/>
    <s v="SOLRECOUP"/>
    <s v="SOLRECOUP"/>
    <s v="POARECOUP"/>
    <n v="21356264"/>
    <n v="-3067.2"/>
    <m/>
    <s v="Y"/>
    <n v="1"/>
    <d v="2023-07-10T19:47:44"/>
    <s v="N"/>
    <m/>
    <m/>
    <s v="Profit Cost"/>
    <m/>
    <s v="N"/>
    <n v="-2556"/>
    <n v="0"/>
    <x v="2"/>
    <s v="VALIDATED"/>
    <n v="1"/>
    <s v="01.11.80.307.2013.0000"/>
    <n v="-2556"/>
    <s v="11"/>
    <s v="2013"/>
    <n v="9153.27"/>
    <n v="-2556"/>
    <s v="CREDITOR"/>
    <n v="0"/>
    <n v="0"/>
    <n v="-2556"/>
    <n v="-639"/>
    <n v="0"/>
  </r>
  <r>
    <n v="60702740"/>
    <s v="N"/>
    <n v="21356264"/>
    <s v="3000014948690001RC"/>
    <s v="CIVIL"/>
    <d v="2023-06-28T00:00:00"/>
    <d v="2023-07-10T19:47:44"/>
    <m/>
    <d v="2023-07-10T00:00:00"/>
    <n v="329"/>
    <n v="16318"/>
    <s v="60702740"/>
    <s v="60702740"/>
    <m/>
    <m/>
    <m/>
    <m/>
    <m/>
    <m/>
    <s v="SOLRECOUP"/>
    <s v="SOLRECOUP"/>
    <s v="POARECOUP"/>
    <n v="21356264"/>
    <n v="-3067.2"/>
    <m/>
    <s v="Y"/>
    <n v="2"/>
    <d v="2023-07-10T19:47:44"/>
    <s v="N"/>
    <m/>
    <m/>
    <s v="Profit Cost"/>
    <m/>
    <s v="N"/>
    <n v="0"/>
    <n v="-511.2"/>
    <x v="2"/>
    <s v="VALIDATED"/>
    <n v="1"/>
    <s v="01.11.80.307.2013.0000"/>
    <n v="-511.2"/>
    <s v="11"/>
    <s v="2013"/>
    <n v="9153.27"/>
    <n v="-511.2"/>
    <s v="CREDITOR"/>
    <n v="0"/>
    <n v="0"/>
    <n v="-511.2"/>
    <n v="-127.8"/>
    <n v="0"/>
  </r>
  <r>
    <n v="60702740"/>
    <s v="N"/>
    <n v="21356265"/>
    <s v="3000014948690005RC"/>
    <s v="CIVIL"/>
    <d v="2023-06-28T00:00:00"/>
    <d v="2023-07-10T19:47:44"/>
    <m/>
    <d v="2023-07-10T00:00:00"/>
    <n v="329"/>
    <n v="16318"/>
    <s v="60702740"/>
    <s v="60702740"/>
    <m/>
    <m/>
    <m/>
    <m/>
    <m/>
    <m/>
    <s v="SOLRECOUP"/>
    <s v="SOLRECOUP"/>
    <s v="POARECOUP"/>
    <n v="21356265"/>
    <n v="-282.24"/>
    <m/>
    <s v="Y"/>
    <n v="1"/>
    <d v="2023-07-10T19:47:44"/>
    <s v="N"/>
    <m/>
    <m/>
    <s v="Expert Disbursement"/>
    <m/>
    <s v="N"/>
    <n v="-235.2"/>
    <n v="0"/>
    <x v="2"/>
    <s v="VALIDATED"/>
    <n v="1"/>
    <s v="01.11.80.307.2013.0000"/>
    <n v="-235.2"/>
    <s v="11"/>
    <s v="2013"/>
    <n v="9153.27"/>
    <n v="-235.2"/>
    <s v="CREDITOR"/>
    <n v="0"/>
    <n v="0"/>
    <n v="-235.2"/>
    <n v="0"/>
    <n v="0"/>
  </r>
  <r>
    <n v="61642817"/>
    <s v="N"/>
    <n v="21349481"/>
    <s v="3000015745170004"/>
    <s v="CIVIL"/>
    <d v="2023-06-29T00:00:00"/>
    <d v="2023-07-10T19:01:40"/>
    <m/>
    <d v="2023-07-10T00:00:00"/>
    <n v="352"/>
    <n v="9890"/>
    <s v="61642817"/>
    <s v="61642817"/>
    <m/>
    <m/>
    <n v="22790240"/>
    <m/>
    <m/>
    <m/>
    <s v="SOLPOA"/>
    <s v="SOLPOA"/>
    <s v="CCMS"/>
    <n v="21349481"/>
    <n v="604.8"/>
    <m/>
    <s v="N"/>
    <n v="1"/>
    <d v="2023-07-10T19:01:51"/>
    <s v="N"/>
    <s v="Expert Cost"/>
    <s v="Expert Cost"/>
    <s v="Expert Disbursement"/>
    <s v="Rosemary Allotey"/>
    <s v="N"/>
    <n v="504"/>
    <n v="100.8"/>
    <x v="2"/>
    <s v="VALIDATED"/>
    <n v="1"/>
    <s v="01.11.80.308.2012.0000"/>
    <n v="504"/>
    <s v="11"/>
    <s v="2012"/>
    <n v="504"/>
    <n v="504"/>
    <s v="CREDITOR"/>
    <n v="504"/>
    <n v="0"/>
    <n v="0"/>
    <n v="0"/>
    <n v="0"/>
  </r>
  <r>
    <n v="59863244"/>
    <s v="N"/>
    <n v="21392490"/>
    <s v="3000014224440015"/>
    <s v="CIVIL"/>
    <d v="2023-06-30T00:00:00"/>
    <d v="2023-07-18T19:00:27"/>
    <m/>
    <d v="2023-07-18T00:00:00"/>
    <n v="358"/>
    <n v="15208"/>
    <s v="59863244"/>
    <s v="59863244"/>
    <m/>
    <m/>
    <n v="22796662"/>
    <m/>
    <m/>
    <m/>
    <s v="SOLINT"/>
    <s v="SOLINT"/>
    <s v="CCMS"/>
    <n v="21392490"/>
    <n v="8840.889999999999"/>
    <m/>
    <s v="N"/>
    <n v="8"/>
    <d v="2023-07-18T19:00:51"/>
    <s v="Y"/>
    <s v="Hearing Unit 5.01 - 7.30 Hours"/>
    <s v="Public Law Children"/>
    <s v="Advocacy"/>
    <s v="ALK"/>
    <s v="Y"/>
    <n v="858.48"/>
    <n v="171.7"/>
    <x v="14"/>
    <s v="VALIDATED"/>
    <n v="1"/>
    <s v="01.11.80.308.6100.0000"/>
    <n v="858.48"/>
    <s v="11"/>
    <s v="6100"/>
    <n v="9402.84"/>
    <n v="858.48"/>
    <s v="CREDITOR"/>
    <n v="0"/>
    <n v="0"/>
    <n v="0"/>
    <n v="0"/>
    <n v="858.48"/>
  </r>
  <r>
    <n v="59863244"/>
    <s v="N"/>
    <n v="21392490"/>
    <s v="3000014224440015"/>
    <s v="CIVIL"/>
    <d v="2023-06-30T00:00:00"/>
    <d v="2023-07-18T19:00:27"/>
    <m/>
    <d v="2023-07-18T00:00:00"/>
    <n v="358"/>
    <n v="15208"/>
    <s v="59863244"/>
    <s v="59863244"/>
    <m/>
    <m/>
    <n v="22796662"/>
    <m/>
    <m/>
    <m/>
    <s v="SOLINT"/>
    <s v="SOLINT"/>
    <s v="CCMS"/>
    <n v="21392490"/>
    <n v="8840.889999999999"/>
    <m/>
    <s v="N"/>
    <n v="7"/>
    <d v="2023-07-18T19:00:51"/>
    <s v="Y"/>
    <s v="Advocates Meeting"/>
    <s v="Public Law Children"/>
    <s v="Advocacy"/>
    <s v="ALK"/>
    <s v="Y"/>
    <n v="169.2"/>
    <n v="33.84"/>
    <x v="14"/>
    <s v="VALIDATED"/>
    <n v="1"/>
    <s v="01.11.80.308.6100.0000"/>
    <n v="169.2"/>
    <s v="11"/>
    <s v="6100"/>
    <n v="9402.84"/>
    <n v="169.2"/>
    <s v="CREDITOR"/>
    <n v="0"/>
    <n v="0"/>
    <n v="0"/>
    <n v="0"/>
    <n v="169.2"/>
  </r>
  <r>
    <n v="59863244"/>
    <s v="N"/>
    <n v="21392490"/>
    <s v="3000014224440015"/>
    <s v="CIVIL"/>
    <d v="2023-06-30T00:00:00"/>
    <d v="2023-07-18T19:00:27"/>
    <m/>
    <d v="2023-07-18T00:00:00"/>
    <n v="358"/>
    <n v="15208"/>
    <s v="59863244"/>
    <s v="59863244"/>
    <m/>
    <m/>
    <n v="22796662"/>
    <m/>
    <m/>
    <m/>
    <s v="SOLINT"/>
    <s v="SOLINT"/>
    <s v="CCMS"/>
    <n v="21392490"/>
    <n v="8840.889999999999"/>
    <m/>
    <s v="N"/>
    <n v="2"/>
    <d v="2023-07-18T19:00:51"/>
    <s v="Y"/>
    <s v="Court Fee"/>
    <s v="Public Law Children"/>
    <s v="Non Expert Disbursement"/>
    <s v="ALK"/>
    <s v="Y"/>
    <n v="167"/>
    <n v="0"/>
    <x v="14"/>
    <s v="VALIDATED"/>
    <n v="1"/>
    <s v="01.11.80.308.6300.0000"/>
    <n v="167"/>
    <s v="11"/>
    <s v="6300"/>
    <n v="9402.84"/>
    <n v="167"/>
    <s v="CREDITOR"/>
    <n v="0"/>
    <n v="0"/>
    <n v="0"/>
    <n v="0"/>
    <n v="167"/>
  </r>
  <r>
    <n v="59863244"/>
    <s v="N"/>
    <n v="21392490"/>
    <s v="3000014224440015"/>
    <s v="CIVIL"/>
    <d v="2023-06-30T00:00:00"/>
    <d v="2023-07-18T19:00:27"/>
    <m/>
    <d v="2023-07-18T00:00:00"/>
    <n v="358"/>
    <n v="15208"/>
    <s v="59863244"/>
    <s v="59863244"/>
    <m/>
    <m/>
    <n v="22796662"/>
    <m/>
    <m/>
    <m/>
    <s v="SOLINT"/>
    <s v="SOLINT"/>
    <s v="CCMS"/>
    <n v="21392490"/>
    <n v="8840.889999999999"/>
    <m/>
    <s v="N"/>
    <n v="5"/>
    <d v="2023-07-18T19:00:51"/>
    <s v="Y"/>
    <s v="Court Fee"/>
    <s v="Public Law Children"/>
    <s v="Non Expert Disbursement"/>
    <s v="ALK"/>
    <s v="Y"/>
    <n v="167"/>
    <n v="0"/>
    <x v="14"/>
    <s v="VALIDATED"/>
    <n v="1"/>
    <s v="01.11.80.308.6300.0000"/>
    <n v="167"/>
    <s v="11"/>
    <s v="6300"/>
    <n v="9402.84"/>
    <n v="167"/>
    <s v="CREDITOR"/>
    <n v="0"/>
    <n v="0"/>
    <n v="0"/>
    <n v="0"/>
    <n v="167"/>
  </r>
  <r>
    <n v="59863244"/>
    <s v="N"/>
    <n v="21392490"/>
    <s v="3000014224440015"/>
    <s v="CIVIL"/>
    <d v="2023-06-30T00:00:00"/>
    <d v="2023-07-18T19:00:27"/>
    <m/>
    <d v="2023-07-18T00:00:00"/>
    <n v="358"/>
    <n v="15208"/>
    <s v="59863244"/>
    <s v="59863244"/>
    <m/>
    <m/>
    <n v="22796662"/>
    <m/>
    <m/>
    <m/>
    <s v="SOLINT"/>
    <s v="SOLINT"/>
    <s v="CCMS"/>
    <n v="21392490"/>
    <n v="8840.889999999999"/>
    <m/>
    <s v="N"/>
    <n v="6"/>
    <d v="2023-07-18T19:00:51"/>
    <s v="Y"/>
    <s v="Hearing Unit 2.31 - 5.00 Hours"/>
    <s v="Public Law Children"/>
    <s v="Advocacy"/>
    <s v="ALK"/>
    <s v="Y"/>
    <n v="572.3200000000001"/>
    <n v="114.46"/>
    <x v="14"/>
    <s v="VALIDATED"/>
    <n v="1"/>
    <s v="01.11.80.308.6100.0000"/>
    <n v="572.3200000000001"/>
    <s v="11"/>
    <s v="6100"/>
    <n v="9402.84"/>
    <n v="572.3200000000001"/>
    <s v="CREDITOR"/>
    <n v="0"/>
    <n v="0"/>
    <n v="0"/>
    <n v="0"/>
    <n v="572.3200000000001"/>
  </r>
  <r>
    <n v="59863244"/>
    <s v="N"/>
    <n v="21392490"/>
    <s v="3000014224440015"/>
    <s v="CIVIL"/>
    <d v="2023-06-30T00:00:00"/>
    <d v="2023-07-18T19:00:27"/>
    <m/>
    <d v="2023-07-18T00:00:00"/>
    <n v="358"/>
    <n v="15208"/>
    <s v="59863244"/>
    <s v="59863244"/>
    <m/>
    <m/>
    <n v="22796662"/>
    <m/>
    <m/>
    <m/>
    <s v="SOLINT"/>
    <s v="SOLINT"/>
    <s v="CCMS"/>
    <n v="21392490"/>
    <n v="8840.889999999999"/>
    <m/>
    <s v="N"/>
    <n v="10"/>
    <d v="2023-07-18T19:00:51"/>
    <s v="Y"/>
    <s v="Hearing Unit 2.31 - 5.00 Hours"/>
    <s v="Public Law Children"/>
    <s v="Advocacy"/>
    <s v="ALK"/>
    <s v="Y"/>
    <n v="572.3200000000001"/>
    <n v="114.46"/>
    <x v="14"/>
    <s v="VALIDATED"/>
    <n v="1"/>
    <s v="01.11.80.308.6100.0000"/>
    <n v="572.3200000000001"/>
    <s v="11"/>
    <s v="6100"/>
    <n v="9402.84"/>
    <n v="572.3200000000001"/>
    <s v="CREDITOR"/>
    <n v="0"/>
    <n v="0"/>
    <n v="0"/>
    <n v="0"/>
    <n v="572.3200000000001"/>
  </r>
  <r>
    <n v="59863244"/>
    <s v="N"/>
    <n v="21392490"/>
    <s v="3000014224440015"/>
    <s v="CIVIL"/>
    <d v="2023-06-30T00:00:00"/>
    <d v="2023-07-18T19:00:27"/>
    <m/>
    <d v="2023-07-18T00:00:00"/>
    <n v="358"/>
    <n v="15208"/>
    <s v="59863244"/>
    <s v="59863244"/>
    <m/>
    <m/>
    <n v="22796662"/>
    <m/>
    <m/>
    <m/>
    <s v="SOLINT"/>
    <s v="SOLINT"/>
    <s v="CCMS"/>
    <n v="21392490"/>
    <n v="8840.889999999999"/>
    <m/>
    <s v="N"/>
    <n v="11"/>
    <d v="2023-07-18T19:00:51"/>
    <s v="Y"/>
    <s v="Advocates Meeting"/>
    <s v="Public Law Children"/>
    <s v="Advocacy"/>
    <s v="ALK"/>
    <s v="Y"/>
    <n v="169.2"/>
    <n v="33.84"/>
    <x v="14"/>
    <s v="VALIDATED"/>
    <n v="1"/>
    <s v="01.11.80.308.6100.0000"/>
    <n v="169.2"/>
    <s v="11"/>
    <s v="6100"/>
    <n v="9402.84"/>
    <n v="169.2"/>
    <s v="CREDITOR"/>
    <n v="0"/>
    <n v="0"/>
    <n v="0"/>
    <n v="0"/>
    <n v="169.2"/>
  </r>
  <r>
    <n v="59863244"/>
    <s v="N"/>
    <n v="21392490"/>
    <s v="3000014224440015"/>
    <s v="CIVIL"/>
    <d v="2023-06-30T00:00:00"/>
    <d v="2023-07-18T19:00:27"/>
    <m/>
    <d v="2023-07-18T00:00:00"/>
    <n v="358"/>
    <n v="15208"/>
    <s v="59863244"/>
    <s v="59863244"/>
    <m/>
    <m/>
    <n v="22796662"/>
    <m/>
    <m/>
    <m/>
    <s v="SOLINT"/>
    <s v="SOLINT"/>
    <s v="CCMS"/>
    <n v="21392490"/>
    <n v="8840.889999999999"/>
    <m/>
    <s v="N"/>
    <n v="1"/>
    <d v="2023-07-18T19:00:51"/>
    <s v="Y"/>
    <s v="Child psychologist"/>
    <s v="Public Law Children"/>
    <s v="Expert Disbursement"/>
    <s v="ALK"/>
    <s v="Y"/>
    <n v="634.08"/>
    <n v="0"/>
    <x v="14"/>
    <s v="VALIDATED"/>
    <n v="1"/>
    <s v="01.11.80.308.6300.0000"/>
    <n v="634.08"/>
    <s v="11"/>
    <s v="6300"/>
    <n v="9402.84"/>
    <n v="634.08"/>
    <s v="CREDITOR"/>
    <n v="0"/>
    <n v="0"/>
    <n v="0"/>
    <n v="0"/>
    <n v="634.08"/>
  </r>
  <r>
    <n v="60585016"/>
    <s v="N"/>
    <n v="21382341"/>
    <s v="3000014848260018"/>
    <s v="CIVIL"/>
    <d v="2023-06-27T00:00:00"/>
    <d v="2023-07-17T19:01:46"/>
    <m/>
    <d v="2023-07-17T00:00:00"/>
    <n v="358"/>
    <n v="15208"/>
    <s v="60585016"/>
    <s v="60585016"/>
    <m/>
    <m/>
    <n v="22768130"/>
    <m/>
    <m/>
    <m/>
    <s v="SOLPOA"/>
    <s v="SOLPOA"/>
    <s v="CCMS"/>
    <n v="21382341"/>
    <n v="1938.26"/>
    <m/>
    <s v="N"/>
    <n v="1"/>
    <d v="2023-07-17T19:02:07"/>
    <s v="N"/>
    <s v="Solicitors Fixed Fee"/>
    <s v="Public Law Children"/>
    <s v="Profit Cost"/>
    <s v="ALK"/>
    <s v="N"/>
    <n v="1615.22"/>
    <n v="323.04"/>
    <x v="8"/>
    <s v="VALIDATED"/>
    <n v="1"/>
    <s v="01.11.80.308.2012.0000"/>
    <n v="1615.22"/>
    <s v="11"/>
    <s v="2012"/>
    <n v="9402.84"/>
    <n v="1615.22"/>
    <s v="CREDITOR"/>
    <n v="1615.22"/>
    <n v="403.805"/>
    <n v="0"/>
    <n v="0"/>
    <n v="0"/>
  </r>
  <r>
    <n v="59863244"/>
    <s v="N"/>
    <n v="21392490"/>
    <s v="3000014224440015"/>
    <s v="CIVIL"/>
    <d v="2023-06-30T00:00:00"/>
    <d v="2023-07-18T19:00:27"/>
    <m/>
    <d v="2023-07-18T00:00:00"/>
    <n v="358"/>
    <n v="15208"/>
    <s v="59863244"/>
    <s v="59863244"/>
    <m/>
    <m/>
    <n v="22796662"/>
    <m/>
    <m/>
    <m/>
    <s v="SOLINT"/>
    <s v="SOLINT"/>
    <s v="CCMS"/>
    <n v="21392490"/>
    <n v="8840.889999999999"/>
    <m/>
    <s v="N"/>
    <n v="4"/>
    <d v="2023-07-18T19:00:51"/>
    <s v="Y"/>
    <s v="Court Fee"/>
    <s v="Public Law Children"/>
    <s v="Non Expert Disbursement"/>
    <s v="ALK"/>
    <s v="Y"/>
    <n v="232"/>
    <n v="0"/>
    <x v="14"/>
    <s v="VALIDATED"/>
    <n v="1"/>
    <s v="01.11.80.308.6300.0000"/>
    <n v="232"/>
    <s v="11"/>
    <s v="6300"/>
    <n v="9402.84"/>
    <n v="232"/>
    <s v="CREDITOR"/>
    <n v="0"/>
    <n v="0"/>
    <n v="0"/>
    <n v="0"/>
    <n v="232"/>
  </r>
  <r>
    <n v="59863244"/>
    <s v="N"/>
    <n v="21392490"/>
    <s v="3000014224440015"/>
    <s v="CIVIL"/>
    <d v="2023-06-30T00:00:00"/>
    <d v="2023-07-18T19:00:27"/>
    <m/>
    <d v="2023-07-18T00:00:00"/>
    <n v="358"/>
    <n v="15208"/>
    <s v="59863244"/>
    <s v="59863244"/>
    <m/>
    <m/>
    <n v="22796662"/>
    <m/>
    <m/>
    <m/>
    <s v="SOLINT"/>
    <s v="SOLINT"/>
    <s v="CCMS"/>
    <n v="21392490"/>
    <n v="8840.889999999999"/>
    <m/>
    <s v="N"/>
    <n v="3"/>
    <d v="2023-07-18T19:00:51"/>
    <s v="Y"/>
    <s v="Court Fee"/>
    <s v="Public Law Children"/>
    <s v="Non Expert Disbursement"/>
    <s v="ALK"/>
    <s v="Y"/>
    <n v="167"/>
    <n v="0"/>
    <x v="14"/>
    <s v="VALIDATED"/>
    <n v="1"/>
    <s v="01.11.80.308.6300.0000"/>
    <n v="167"/>
    <s v="11"/>
    <s v="6300"/>
    <n v="9402.84"/>
    <n v="167"/>
    <s v="CREDITOR"/>
    <n v="0"/>
    <n v="0"/>
    <n v="0"/>
    <n v="0"/>
    <n v="167"/>
  </r>
  <r>
    <n v="60585016"/>
    <s v="N"/>
    <n v="21381854"/>
    <s v="3000014848260017"/>
    <s v="CIVIL"/>
    <d v="2023-06-27T00:00:00"/>
    <d v="2023-07-17T19:01:46"/>
    <m/>
    <d v="2023-07-17T00:00:00"/>
    <n v="358"/>
    <n v="15208"/>
    <s v="60585016"/>
    <s v="60585016"/>
    <m/>
    <m/>
    <n v="22768188"/>
    <m/>
    <m/>
    <m/>
    <s v="SOLPOA"/>
    <s v="SOLPOA"/>
    <s v="CCMS"/>
    <n v="21381854"/>
    <n v="991.73"/>
    <m/>
    <s v="N"/>
    <n v="1"/>
    <d v="2023-07-17T19:01:55"/>
    <s v="N"/>
    <s v="Expert Cost"/>
    <s v="Expert Cost"/>
    <s v="Expert Disbursement"/>
    <s v="ALK"/>
    <s v="N"/>
    <n v="826.4400000000001"/>
    <n v="165.29"/>
    <x v="8"/>
    <s v="VALIDATED"/>
    <n v="1"/>
    <s v="01.11.80.308.2012.0000"/>
    <n v="826.4400000000001"/>
    <s v="11"/>
    <s v="2012"/>
    <n v="9402.84"/>
    <n v="826.4400000000001"/>
    <s v="CREDITOR"/>
    <n v="826.4400000000001"/>
    <n v="0"/>
    <n v="0"/>
    <n v="0"/>
    <n v="0"/>
  </r>
  <r>
    <n v="59863244"/>
    <s v="N"/>
    <n v="21392490"/>
    <s v="3000014224440015"/>
    <s v="CIVIL"/>
    <d v="2023-06-30T00:00:00"/>
    <d v="2023-07-18T19:00:27"/>
    <m/>
    <d v="2023-07-18T00:00:00"/>
    <n v="358"/>
    <n v="15208"/>
    <s v="59863244"/>
    <s v="59863244"/>
    <m/>
    <m/>
    <n v="22796662"/>
    <m/>
    <m/>
    <m/>
    <s v="SOLINT"/>
    <s v="SOLINT"/>
    <s v="CCMS"/>
    <n v="21392490"/>
    <n v="8840.889999999999"/>
    <m/>
    <s v="N"/>
    <n v="13"/>
    <d v="2023-07-18T19:00:51"/>
    <s v="Y"/>
    <s v="Solicitors Fixed Fee"/>
    <s v="Public Law Children"/>
    <s v="Profit Cost"/>
    <s v="ALK"/>
    <s v="Y"/>
    <n v="3479"/>
    <n v="695.8"/>
    <x v="14"/>
    <s v="VALIDATED"/>
    <n v="1"/>
    <s v="01.11.80.308.6100.0000"/>
    <n v="3479"/>
    <s v="11"/>
    <s v="6100"/>
    <n v="9402.84"/>
    <n v="3479"/>
    <s v="CREDITOR"/>
    <n v="0"/>
    <n v="0"/>
    <n v="0"/>
    <n v="0"/>
    <n v="3479"/>
  </r>
  <r>
    <n v="59863244"/>
    <s v="N"/>
    <n v="21392490"/>
    <s v="3000014224440015"/>
    <s v="CIVIL"/>
    <d v="2023-06-30T00:00:00"/>
    <d v="2023-07-18T19:00:27"/>
    <m/>
    <d v="2023-07-18T00:00:00"/>
    <n v="358"/>
    <n v="15208"/>
    <s v="59863244"/>
    <s v="59863244"/>
    <m/>
    <m/>
    <n v="22796662"/>
    <m/>
    <m/>
    <m/>
    <s v="SOLINT"/>
    <s v="SOLINT"/>
    <s v="CCMS"/>
    <n v="21392490"/>
    <n v="8840.889999999999"/>
    <m/>
    <s v="N"/>
    <n v="12"/>
    <d v="2023-07-18T19:00:51"/>
    <s v="Y"/>
    <s v="Hearing Unit 1.01 - 2.30 Hours"/>
    <s v="Public Law Children"/>
    <s v="Advocacy"/>
    <s v="ALK"/>
    <s v="Y"/>
    <n v="238.46"/>
    <n v="47.69"/>
    <x v="14"/>
    <s v="VALIDATED"/>
    <n v="1"/>
    <s v="01.11.80.308.6100.0000"/>
    <n v="238.46"/>
    <s v="11"/>
    <s v="6100"/>
    <n v="9402.84"/>
    <n v="238.46"/>
    <s v="CREDITOR"/>
    <n v="0"/>
    <n v="0"/>
    <n v="0"/>
    <n v="0"/>
    <n v="238.46"/>
  </r>
  <r>
    <n v="59863244"/>
    <s v="N"/>
    <n v="21392490"/>
    <s v="3000014224440015"/>
    <s v="CIVIL"/>
    <d v="2023-06-30T00:00:00"/>
    <d v="2023-07-18T19:00:27"/>
    <m/>
    <d v="2023-07-18T00:00:00"/>
    <n v="358"/>
    <n v="15208"/>
    <s v="59863244"/>
    <s v="59863244"/>
    <m/>
    <m/>
    <n v="22796662"/>
    <m/>
    <m/>
    <m/>
    <s v="SOLINT"/>
    <s v="SOLINT"/>
    <s v="CCMS"/>
    <n v="21392490"/>
    <n v="8840.889999999999"/>
    <m/>
    <s v="N"/>
    <n v="9"/>
    <d v="2023-07-18T19:00:51"/>
    <s v="Y"/>
    <s v="Advocates Meeting"/>
    <s v="Public Law Children"/>
    <s v="Advocacy"/>
    <s v="ALK"/>
    <s v="Y"/>
    <n v="169.2"/>
    <n v="33.84"/>
    <x v="14"/>
    <s v="VALIDATED"/>
    <n v="1"/>
    <s v="01.11.80.308.6100.0000"/>
    <n v="169.2"/>
    <s v="11"/>
    <s v="6100"/>
    <n v="9402.84"/>
    <n v="169.2"/>
    <s v="CREDITOR"/>
    <n v="0"/>
    <n v="0"/>
    <n v="0"/>
    <n v="0"/>
    <n v="169.2"/>
  </r>
  <r>
    <n v="59863244"/>
    <s v="N"/>
    <n v="21393092"/>
    <s v="3000014224440002RC"/>
    <s v="CIVIL"/>
    <d v="2023-06-30T00:00:00"/>
    <d v="2023-07-18T19:33:39"/>
    <m/>
    <d v="2023-07-18T00:00:00"/>
    <n v="358"/>
    <n v="15208"/>
    <s v="59863244"/>
    <s v="59863244"/>
    <m/>
    <m/>
    <m/>
    <m/>
    <m/>
    <m/>
    <s v="SOLRECOUP"/>
    <s v="SOLRECOUP"/>
    <s v="POARECOUP"/>
    <n v="21393092"/>
    <n v="-634.08"/>
    <m/>
    <s v="Y"/>
    <n v="1"/>
    <d v="2023-07-18T19:33:39"/>
    <s v="N"/>
    <m/>
    <m/>
    <s v="Expert Disbursement"/>
    <m/>
    <s v="N"/>
    <n v="-528.4"/>
    <n v="0"/>
    <x v="14"/>
    <s v="VALIDATED"/>
    <n v="1"/>
    <s v="01.11.80.308.2013.0000"/>
    <n v="-528.4"/>
    <s v="11"/>
    <s v="2013"/>
    <n v="9402.84"/>
    <n v="-528.4"/>
    <s v="CREDITOR"/>
    <n v="0"/>
    <n v="0"/>
    <n v="-528.4"/>
    <n v="0"/>
    <n v="0"/>
  </r>
  <r>
    <n v="59863244"/>
    <s v="N"/>
    <n v="21393092"/>
    <s v="3000014224440002RC"/>
    <s v="CIVIL"/>
    <d v="2023-06-30T00:00:00"/>
    <d v="2023-07-18T19:33:39"/>
    <m/>
    <d v="2023-07-18T00:00:00"/>
    <n v="358"/>
    <n v="15208"/>
    <s v="59863244"/>
    <s v="59863244"/>
    <m/>
    <m/>
    <m/>
    <m/>
    <m/>
    <m/>
    <s v="SOLRECOUP"/>
    <s v="SOLRECOUP"/>
    <s v="POARECOUP"/>
    <n v="21393092"/>
    <n v="-634.08"/>
    <m/>
    <s v="Y"/>
    <n v="2"/>
    <d v="2023-07-18T19:33:39"/>
    <s v="N"/>
    <m/>
    <m/>
    <s v="Expert Disbursement"/>
    <m/>
    <s v="N"/>
    <n v="0"/>
    <n v="-105.68"/>
    <x v="14"/>
    <s v="VALIDATED"/>
    <n v="1"/>
    <s v="01.11.80.308.2013.0000"/>
    <n v="-105.68"/>
    <s v="11"/>
    <s v="2013"/>
    <n v="9402.84"/>
    <n v="-105.68"/>
    <s v="CREDITOR"/>
    <n v="0"/>
    <n v="0"/>
    <n v="-105.68"/>
    <n v="0"/>
    <n v="0"/>
  </r>
  <r>
    <n v="60571797"/>
    <s v="N"/>
    <n v="21344012"/>
    <s v="3000014835960013"/>
    <s v="CIVIL"/>
    <d v="2023-06-28T00:00:00"/>
    <d v="2023-07-07T19:03:00"/>
    <m/>
    <d v="2023-07-07T00:00:00"/>
    <n v="361"/>
    <n v="15230"/>
    <s v="60571797"/>
    <s v="60571797"/>
    <m/>
    <m/>
    <n v="22783430"/>
    <m/>
    <m/>
    <m/>
    <s v="SOLFIN"/>
    <s v="SOLFIN"/>
    <s v="CCMS"/>
    <n v="21344012"/>
    <n v="12106.2"/>
    <m/>
    <s v="N"/>
    <n v="16"/>
    <d v="2023-07-07T19:03:20"/>
    <s v="Y"/>
    <s v="Routine Letter Out"/>
    <s v="Care Remuneration Hourly Rates"/>
    <s v="Profit Cost"/>
    <s v="AD"/>
    <s v="Y"/>
    <n v="657.74"/>
    <n v="131.56"/>
    <x v="9"/>
    <s v="VALIDATED"/>
    <n v="1"/>
    <s v="01.11.80.308.6100.0000"/>
    <n v="657.74"/>
    <s v="11"/>
    <s v="6100"/>
    <n v="7191.9"/>
    <n v="657.74"/>
    <s v="CREDITOR"/>
    <n v="0"/>
    <n v="0"/>
    <n v="0"/>
    <n v="0"/>
    <n v="657.74"/>
  </r>
  <r>
    <n v="60571797"/>
    <s v="N"/>
    <n v="21344012"/>
    <s v="3000014835960013"/>
    <s v="CIVIL"/>
    <d v="2023-06-28T00:00:00"/>
    <d v="2023-07-07T19:03:00"/>
    <m/>
    <d v="2023-07-07T00:00:00"/>
    <n v="361"/>
    <n v="15230"/>
    <s v="60571797"/>
    <s v="60571797"/>
    <m/>
    <m/>
    <n v="22783430"/>
    <m/>
    <m/>
    <m/>
    <s v="SOLFIN"/>
    <s v="SOLFIN"/>
    <s v="CCMS"/>
    <n v="21344012"/>
    <n v="12106.2"/>
    <m/>
    <s v="N"/>
    <n v="63"/>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71"/>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115"/>
    <d v="2023-07-07T19:03:20"/>
    <s v="Y"/>
    <s v="Preparation - drafting attendance n"/>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42"/>
    <d v="2023-07-07T19:03:20"/>
    <s v="Y"/>
    <s v="Preparation - other"/>
    <s v="Care Remuneration Hourly Rates"/>
    <s v="Profit Cost"/>
    <s v="AD"/>
    <s v="Y"/>
    <n v="36.27"/>
    <n v="7.25"/>
    <x v="9"/>
    <s v="VALIDATED"/>
    <n v="1"/>
    <s v="01.11.80.308.6100.0000"/>
    <n v="36.27"/>
    <s v="11"/>
    <s v="6100"/>
    <n v="7191.9"/>
    <n v="36.27"/>
    <s v="CREDITOR"/>
    <n v="0"/>
    <n v="0"/>
    <n v="0"/>
    <n v="0"/>
    <n v="36.27"/>
  </r>
  <r>
    <n v="60571797"/>
    <s v="N"/>
    <n v="21344012"/>
    <s v="3000014835960013"/>
    <s v="CIVIL"/>
    <d v="2023-06-28T00:00:00"/>
    <d v="2023-07-07T19:03:00"/>
    <m/>
    <d v="2023-07-07T00:00:00"/>
    <n v="361"/>
    <n v="15230"/>
    <s v="60571797"/>
    <s v="60571797"/>
    <m/>
    <m/>
    <n v="22783430"/>
    <m/>
    <m/>
    <m/>
    <s v="SOLFIN"/>
    <s v="SOLFIN"/>
    <s v="CCMS"/>
    <n v="21344012"/>
    <n v="12106.2"/>
    <m/>
    <s v="N"/>
    <n v="75"/>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84"/>
    <d v="2023-07-07T19:03:20"/>
    <s v="Y"/>
    <s v="Attendance upon client"/>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58"/>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128"/>
    <d v="2023-07-07T19:03:20"/>
    <s v="Y"/>
    <s v="Attendance upon client"/>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28"/>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50"/>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44"/>
    <d v="2023-07-07T19:03:20"/>
    <s v="Y"/>
    <s v="Preparation - other"/>
    <s v="Care Remuneration Hourly Rates"/>
    <s v="Profit Cost"/>
    <s v="AD"/>
    <s v="Y"/>
    <n v="169.28"/>
    <n v="33.86"/>
    <x v="9"/>
    <s v="VALIDATED"/>
    <n v="1"/>
    <s v="01.11.80.308.6100.0000"/>
    <n v="169.28"/>
    <s v="11"/>
    <s v="6100"/>
    <n v="7191.9"/>
    <n v="169.28"/>
    <s v="CREDITOR"/>
    <n v="0"/>
    <n v="0"/>
    <n v="0"/>
    <n v="0"/>
    <n v="169.28"/>
  </r>
  <r>
    <n v="60571797"/>
    <s v="N"/>
    <n v="21344012"/>
    <s v="3000014835960013"/>
    <s v="CIVIL"/>
    <d v="2023-06-28T00:00:00"/>
    <d v="2023-07-07T19:03:00"/>
    <m/>
    <d v="2023-07-07T00:00:00"/>
    <n v="361"/>
    <n v="15230"/>
    <s v="60571797"/>
    <s v="60571797"/>
    <m/>
    <m/>
    <n v="22783430"/>
    <m/>
    <m/>
    <m/>
    <s v="SOLFIN"/>
    <s v="SOLFIN"/>
    <s v="CCMS"/>
    <n v="21344012"/>
    <n v="12106.2"/>
    <m/>
    <s v="N"/>
    <n v="131"/>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77"/>
    <d v="2023-07-07T19:03:20"/>
    <s v="Y"/>
    <s v="Preparation - drafting instructions"/>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78"/>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92"/>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21"/>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22"/>
    <d v="2023-07-07T19:03:20"/>
    <s v="Y"/>
    <s v="Preparation - other"/>
    <s v="Care Remuneration Hourly Rates"/>
    <s v="Profit Cost"/>
    <s v="AD"/>
    <s v="Y"/>
    <n v="30.23"/>
    <n v="6.05"/>
    <x v="9"/>
    <s v="VALIDATED"/>
    <n v="1"/>
    <s v="01.11.80.308.6100.0000"/>
    <n v="30.23"/>
    <s v="11"/>
    <s v="6100"/>
    <n v="7191.9"/>
    <n v="30.23"/>
    <s v="CREDITOR"/>
    <n v="0"/>
    <n v="0"/>
    <n v="0"/>
    <n v="0"/>
    <n v="30.23"/>
  </r>
  <r>
    <n v="60571797"/>
    <s v="N"/>
    <n v="21344012"/>
    <s v="3000014835960013"/>
    <s v="CIVIL"/>
    <d v="2023-06-28T00:00:00"/>
    <d v="2023-07-07T19:03:00"/>
    <m/>
    <d v="2023-07-07T00:00:00"/>
    <n v="361"/>
    <n v="15230"/>
    <s v="60571797"/>
    <s v="60571797"/>
    <m/>
    <m/>
    <n v="22783430"/>
    <m/>
    <m/>
    <m/>
    <s v="SOLFIN"/>
    <s v="SOLFIN"/>
    <s v="CCMS"/>
    <n v="21344012"/>
    <n v="12106.2"/>
    <m/>
    <s v="N"/>
    <n v="86"/>
    <d v="2023-07-07T19:03:20"/>
    <s v="Y"/>
    <s v="Preparation - other"/>
    <s v="Care Remuneration Hourly Rates"/>
    <s v="Profit Cost"/>
    <s v="SC"/>
    <s v="Y"/>
    <n v="5.26"/>
    <n v="1.05"/>
    <x v="9"/>
    <s v="VALIDATED"/>
    <n v="1"/>
    <s v="01.11.80.308.6100.0000"/>
    <n v="5.26"/>
    <s v="11"/>
    <s v="6100"/>
    <n v="7191.9"/>
    <n v="5.26"/>
    <s v="CREDITOR"/>
    <n v="0"/>
    <n v="0"/>
    <n v="0"/>
    <n v="0"/>
    <n v="5.26"/>
  </r>
  <r>
    <n v="60571797"/>
    <s v="N"/>
    <n v="21344012"/>
    <s v="3000014835960013"/>
    <s v="CIVIL"/>
    <d v="2023-06-28T00:00:00"/>
    <d v="2023-07-07T19:03:00"/>
    <m/>
    <d v="2023-07-07T00:00:00"/>
    <n v="361"/>
    <n v="15230"/>
    <s v="60571797"/>
    <s v="60571797"/>
    <m/>
    <m/>
    <n v="22783430"/>
    <m/>
    <m/>
    <m/>
    <s v="SOLFIN"/>
    <s v="SOLFIN"/>
    <s v="CCMS"/>
    <n v="21344012"/>
    <n v="12106.2"/>
    <m/>
    <s v="N"/>
    <n v="19"/>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76"/>
    <d v="2023-07-07T19:03:20"/>
    <s v="Y"/>
    <s v="Preparation - other"/>
    <s v="Care Remuneration Hourly Rates"/>
    <s v="Profit Cost"/>
    <s v="SC"/>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110"/>
    <d v="2023-07-07T19:03:20"/>
    <s v="Y"/>
    <s v="Preparation - drafting attendance n"/>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06"/>
    <d v="2023-07-07T19:03:20"/>
    <s v="Y"/>
    <s v="Preparation - drafting statement"/>
    <s v="Care Remuneration Hourly Rates"/>
    <s v="Profit Cost"/>
    <s v="AD"/>
    <s v="Y"/>
    <n v="90.69"/>
    <n v="18.14"/>
    <x v="9"/>
    <s v="VALIDATED"/>
    <n v="1"/>
    <s v="01.11.80.308.6100.0000"/>
    <n v="90.69"/>
    <s v="11"/>
    <s v="6100"/>
    <n v="7191.9"/>
    <n v="90.69"/>
    <s v="CREDITOR"/>
    <n v="0"/>
    <n v="0"/>
    <n v="0"/>
    <n v="0"/>
    <n v="90.69"/>
  </r>
  <r>
    <n v="60571797"/>
    <s v="N"/>
    <n v="21344012"/>
    <s v="3000014835960013"/>
    <s v="CIVIL"/>
    <d v="2023-06-28T00:00:00"/>
    <d v="2023-07-07T19:03:00"/>
    <m/>
    <d v="2023-07-07T00:00:00"/>
    <n v="361"/>
    <n v="15230"/>
    <s v="60571797"/>
    <s v="60571797"/>
    <m/>
    <m/>
    <n v="22783430"/>
    <m/>
    <m/>
    <m/>
    <s v="SOLFIN"/>
    <s v="SOLFIN"/>
    <s v="CCMS"/>
    <n v="21344012"/>
    <n v="12106.2"/>
    <m/>
    <s v="N"/>
    <n v="130"/>
    <d v="2023-07-07T19:03:20"/>
    <s v="Y"/>
    <s v="Preparation - other"/>
    <s v="Care Remuneration Hourly Rates"/>
    <s v="Profit Cost"/>
    <s v="AD"/>
    <s v="Y"/>
    <n v="24.18"/>
    <n v="4.84"/>
    <x v="9"/>
    <s v="VALIDATED"/>
    <n v="1"/>
    <s v="01.11.80.308.6100.0000"/>
    <n v="24.18"/>
    <s v="11"/>
    <s v="6100"/>
    <n v="7191.9"/>
    <n v="24.18"/>
    <s v="CREDITOR"/>
    <n v="0"/>
    <n v="0"/>
    <n v="0"/>
    <n v="0"/>
    <n v="24.18"/>
  </r>
  <r>
    <n v="62403478"/>
    <s v="N"/>
    <n v="21338224"/>
    <s v="3000016377020002"/>
    <s v="CIVIL"/>
    <d v="2023-06-30T00:00:00"/>
    <d v="2023-07-06T19:21:01"/>
    <m/>
    <d v="2023-07-06T00:00:00"/>
    <n v="361"/>
    <n v="15230"/>
    <s v="62403478"/>
    <s v="62403478"/>
    <m/>
    <m/>
    <n v="22801162"/>
    <m/>
    <m/>
    <m/>
    <s v="SOLPOA"/>
    <s v="SOLPOA"/>
    <s v="CCMS"/>
    <n v="21338224"/>
    <n v="526.5"/>
    <m/>
    <s v="N"/>
    <n v="1"/>
    <d v="2023-07-06T19:21:12"/>
    <s v="N"/>
    <s v="Expert Cost"/>
    <s v="Expert Cost"/>
    <s v="Expert Disbursement"/>
    <s v="Cansford"/>
    <s v="N"/>
    <n v="438.75"/>
    <n v="87.75"/>
    <x v="4"/>
    <s v="VALIDATED"/>
    <n v="1"/>
    <s v="01.11.80.308.2012.0000"/>
    <n v="438.75"/>
    <s v="11"/>
    <s v="2012"/>
    <n v="7191.9"/>
    <n v="438.75"/>
    <s v="CREDITOR"/>
    <n v="438.75"/>
    <n v="0"/>
    <n v="0"/>
    <n v="0"/>
    <n v="0"/>
  </r>
  <r>
    <n v="60571797"/>
    <s v="N"/>
    <n v="21344012"/>
    <s v="3000014835960013"/>
    <s v="CIVIL"/>
    <d v="2023-06-28T00:00:00"/>
    <d v="2023-07-07T19:03:00"/>
    <m/>
    <d v="2023-07-07T00:00:00"/>
    <n v="361"/>
    <n v="15230"/>
    <s v="60571797"/>
    <s v="60571797"/>
    <m/>
    <m/>
    <n v="22783430"/>
    <m/>
    <m/>
    <m/>
    <s v="SOLFIN"/>
    <s v="SOLFIN"/>
    <s v="CCMS"/>
    <n v="21344012"/>
    <n v="12106.2"/>
    <m/>
    <s v="N"/>
    <n v="105"/>
    <d v="2023-07-07T19:03:20"/>
    <s v="Y"/>
    <s v="Preparation - other"/>
    <s v="Care Remuneration Hourly Rates"/>
    <s v="Profit Cost"/>
    <s v="AD"/>
    <s v="Y"/>
    <n v="90.69"/>
    <n v="18.14"/>
    <x v="9"/>
    <s v="VALIDATED"/>
    <n v="1"/>
    <s v="01.11.80.308.6100.0000"/>
    <n v="90.69"/>
    <s v="11"/>
    <s v="6100"/>
    <n v="7191.9"/>
    <n v="90.69"/>
    <s v="CREDITOR"/>
    <n v="0"/>
    <n v="0"/>
    <n v="0"/>
    <n v="0"/>
    <n v="90.69"/>
  </r>
  <r>
    <n v="60571797"/>
    <s v="N"/>
    <n v="21344012"/>
    <s v="3000014835960013"/>
    <s v="CIVIL"/>
    <d v="2023-06-28T00:00:00"/>
    <d v="2023-07-07T19:03:00"/>
    <m/>
    <d v="2023-07-07T00:00:00"/>
    <n v="361"/>
    <n v="15230"/>
    <s v="60571797"/>
    <s v="60571797"/>
    <m/>
    <m/>
    <n v="22783430"/>
    <m/>
    <m/>
    <m/>
    <s v="SOLFIN"/>
    <s v="SOLFIN"/>
    <s v="CCMS"/>
    <n v="21344012"/>
    <n v="12106.2"/>
    <m/>
    <s v="N"/>
    <n v="72"/>
    <d v="2023-07-07T19:03:20"/>
    <s v="Y"/>
    <s v="Preparation - other"/>
    <s v="Care Remuneration Hourly Rates"/>
    <s v="Profit Cost"/>
    <s v="AD"/>
    <s v="Y"/>
    <n v="72.54000000000001"/>
    <n v="14.51"/>
    <x v="9"/>
    <s v="VALIDATED"/>
    <n v="1"/>
    <s v="01.11.80.308.6100.0000"/>
    <n v="72.54000000000001"/>
    <s v="11"/>
    <s v="6100"/>
    <n v="7191.9"/>
    <n v="72.54000000000001"/>
    <s v="CREDITOR"/>
    <n v="0"/>
    <n v="0"/>
    <n v="0"/>
    <n v="0"/>
    <n v="72.54000000000001"/>
  </r>
  <r>
    <n v="60571797"/>
    <s v="N"/>
    <n v="21344012"/>
    <s v="3000014835960013"/>
    <s v="CIVIL"/>
    <d v="2023-06-28T00:00:00"/>
    <d v="2023-07-07T19:03:00"/>
    <m/>
    <d v="2023-07-07T00:00:00"/>
    <n v="361"/>
    <n v="15230"/>
    <s v="60571797"/>
    <s v="60571797"/>
    <m/>
    <m/>
    <n v="22783430"/>
    <m/>
    <m/>
    <m/>
    <s v="SOLFIN"/>
    <s v="SOLFIN"/>
    <s v="CCMS"/>
    <n v="21344012"/>
    <n v="12106.2"/>
    <m/>
    <s v="N"/>
    <n v="40"/>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43"/>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32"/>
    <d v="2023-07-07T19:03:20"/>
    <s v="Y"/>
    <s v="Preparation - other"/>
    <s v="Care Remuneration Hourly Rates"/>
    <s v="Profit Cost"/>
    <s v="AD"/>
    <s v="Y"/>
    <n v="48.37"/>
    <n v="9.67"/>
    <x v="9"/>
    <s v="VALIDATED"/>
    <n v="1"/>
    <s v="01.11.80.308.6100.0000"/>
    <n v="48.37"/>
    <s v="11"/>
    <s v="6100"/>
    <n v="7191.9"/>
    <n v="48.37"/>
    <s v="CREDITOR"/>
    <n v="0"/>
    <n v="0"/>
    <n v="0"/>
    <n v="0"/>
    <n v="48.37"/>
  </r>
  <r>
    <n v="60571797"/>
    <s v="N"/>
    <n v="21344012"/>
    <s v="3000014835960013"/>
    <s v="CIVIL"/>
    <d v="2023-06-28T00:00:00"/>
    <d v="2023-07-07T19:03:00"/>
    <m/>
    <d v="2023-07-07T00:00:00"/>
    <n v="361"/>
    <n v="15230"/>
    <s v="60571797"/>
    <s v="60571797"/>
    <m/>
    <m/>
    <n v="22783430"/>
    <m/>
    <m/>
    <m/>
    <s v="SOLFIN"/>
    <s v="SOLFIN"/>
    <s v="CCMS"/>
    <n v="21344012"/>
    <n v="12106.2"/>
    <m/>
    <s v="N"/>
    <n v="121"/>
    <d v="2023-07-07T19:03:20"/>
    <s v="Y"/>
    <s v="Preparation - other"/>
    <s v="Care Remuneration Hourly Rates"/>
    <s v="Profit Cost"/>
    <s v="SC"/>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138"/>
    <d v="2023-07-07T19:03:20"/>
    <s v="Y"/>
    <s v="Preparation - other"/>
    <s v="Care Remuneration Hourly Rates"/>
    <s v="Profit Cost"/>
    <s v="SC"/>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49"/>
    <d v="2023-07-07T19:03:20"/>
    <s v="Y"/>
    <s v="Preparation - other"/>
    <s v="Care Remuneration Hourly Rates"/>
    <s v="Profit Cost"/>
    <s v="AD"/>
    <s v="Y"/>
    <n v="60.46"/>
    <n v="12.09"/>
    <x v="9"/>
    <s v="VALIDATED"/>
    <n v="1"/>
    <s v="01.11.80.308.6100.0000"/>
    <n v="60.46"/>
    <s v="11"/>
    <s v="6100"/>
    <n v="7191.9"/>
    <n v="60.46"/>
    <s v="CREDITOR"/>
    <n v="0"/>
    <n v="0"/>
    <n v="0"/>
    <n v="0"/>
    <n v="60.46"/>
  </r>
  <r>
    <n v="60571797"/>
    <s v="N"/>
    <n v="21344012"/>
    <s v="3000014835960013"/>
    <s v="CIVIL"/>
    <d v="2023-06-28T00:00:00"/>
    <d v="2023-07-07T19:03:00"/>
    <m/>
    <d v="2023-07-07T00:00:00"/>
    <n v="361"/>
    <n v="15230"/>
    <s v="60571797"/>
    <s v="60571797"/>
    <m/>
    <m/>
    <n v="22783430"/>
    <m/>
    <m/>
    <m/>
    <s v="SOLFIN"/>
    <s v="SOLFIN"/>
    <s v="CCMS"/>
    <n v="21344012"/>
    <n v="12106.2"/>
    <m/>
    <s v="N"/>
    <n v="7"/>
    <d v="2023-07-07T19:03:20"/>
    <s v="Y"/>
    <s v="Attendance upon client"/>
    <s v="Care Remuneration Hourly Rates"/>
    <s v="Profit Cost"/>
    <s v="SC"/>
    <s v="Y"/>
    <n v="78.86"/>
    <n v="15.77"/>
    <x v="9"/>
    <s v="VALIDATED"/>
    <n v="1"/>
    <s v="01.11.80.308.6100.0000"/>
    <n v="78.86"/>
    <s v="11"/>
    <s v="6100"/>
    <n v="7191.9"/>
    <n v="78.86"/>
    <s v="CREDITOR"/>
    <n v="0"/>
    <n v="0"/>
    <n v="0"/>
    <n v="0"/>
    <n v="78.86"/>
  </r>
  <r>
    <n v="60571797"/>
    <s v="N"/>
    <n v="21344012"/>
    <s v="3000014835960013"/>
    <s v="CIVIL"/>
    <d v="2023-06-28T00:00:00"/>
    <d v="2023-07-07T19:03:00"/>
    <m/>
    <d v="2023-07-07T00:00:00"/>
    <n v="361"/>
    <n v="15230"/>
    <s v="60571797"/>
    <s v="60571797"/>
    <m/>
    <m/>
    <n v="22783430"/>
    <m/>
    <m/>
    <m/>
    <s v="SOLFIN"/>
    <s v="SOLFIN"/>
    <s v="CCMS"/>
    <n v="21344012"/>
    <n v="12106.2"/>
    <m/>
    <s v="N"/>
    <n v="151"/>
    <d v="2023-07-07T19:03:20"/>
    <s v="Y"/>
    <s v="Advocates Meeting"/>
    <s v="Public Law Children"/>
    <s v="Advocacy"/>
    <s v="Amanda Dawe"/>
    <s v="Y"/>
    <n v="140.99"/>
    <n v="28.2"/>
    <x v="9"/>
    <s v="VALIDATED"/>
    <n v="1"/>
    <s v="01.11.80.308.6100.0000"/>
    <n v="140.99"/>
    <s v="11"/>
    <s v="6100"/>
    <n v="7191.9"/>
    <n v="140.99"/>
    <s v="CREDITOR"/>
    <n v="0"/>
    <n v="0"/>
    <n v="0"/>
    <n v="0"/>
    <n v="140.99"/>
  </r>
  <r>
    <n v="60571797"/>
    <s v="N"/>
    <n v="21344012"/>
    <s v="3000014835960013"/>
    <s v="CIVIL"/>
    <d v="2023-06-28T00:00:00"/>
    <d v="2023-07-07T19:03:00"/>
    <m/>
    <d v="2023-07-07T00:00:00"/>
    <n v="361"/>
    <n v="15230"/>
    <s v="60571797"/>
    <s v="60571797"/>
    <m/>
    <m/>
    <n v="22783430"/>
    <m/>
    <m/>
    <m/>
    <s v="SOLFIN"/>
    <s v="SOLFIN"/>
    <s v="CCMS"/>
    <n v="21344012"/>
    <n v="12106.2"/>
    <m/>
    <s v="N"/>
    <n v="55"/>
    <d v="2023-07-07T19:03:20"/>
    <s v="Y"/>
    <s v="Preparation - drafting bill/claim f"/>
    <s v="Care Remuneration Hourly Rates"/>
    <s v="Profit Cost"/>
    <s v="CAE"/>
    <s v="Y"/>
    <n v="21.03"/>
    <n v="4.21"/>
    <x v="9"/>
    <s v="VALIDATED"/>
    <n v="1"/>
    <s v="01.11.80.308.6100.0000"/>
    <n v="21.03"/>
    <s v="11"/>
    <s v="6100"/>
    <n v="7191.9"/>
    <n v="21.03"/>
    <s v="CREDITOR"/>
    <n v="0"/>
    <n v="0"/>
    <n v="0"/>
    <n v="0"/>
    <n v="21.03"/>
  </r>
  <r>
    <n v="60571797"/>
    <s v="N"/>
    <n v="21344012"/>
    <s v="3000014835960013"/>
    <s v="CIVIL"/>
    <d v="2023-06-28T00:00:00"/>
    <d v="2023-07-07T19:03:00"/>
    <m/>
    <d v="2023-07-07T00:00:00"/>
    <n v="361"/>
    <n v="15230"/>
    <s v="60571797"/>
    <s v="60571797"/>
    <m/>
    <m/>
    <n v="22783430"/>
    <m/>
    <m/>
    <m/>
    <s v="SOLFIN"/>
    <s v="SOLFIN"/>
    <s v="CCMS"/>
    <n v="21344012"/>
    <n v="12106.2"/>
    <m/>
    <s v="N"/>
    <n v="98"/>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36"/>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139"/>
    <d v="2023-07-07T19:03:20"/>
    <s v="Y"/>
    <s v="Preparation - other"/>
    <s v="Care Remuneration Hourly Rates"/>
    <s v="Profit Cost"/>
    <s v="AD"/>
    <s v="Y"/>
    <n v="6.05"/>
    <n v="1.21"/>
    <x v="9"/>
    <s v="VALIDATED"/>
    <n v="1"/>
    <s v="01.11.80.308.6100.0000"/>
    <n v="6.05"/>
    <s v="11"/>
    <s v="6100"/>
    <n v="7191.9"/>
    <n v="6.05"/>
    <s v="CREDITOR"/>
    <n v="0"/>
    <n v="0"/>
    <n v="0"/>
    <n v="0"/>
    <n v="6.05"/>
  </r>
  <r>
    <n v="61337725"/>
    <s v="N"/>
    <n v="21327506"/>
    <s v="3000015489210009"/>
    <s v="CIVIL"/>
    <d v="2023-06-26T00:00:00"/>
    <d v="2023-07-04T19:00:44"/>
    <m/>
    <d v="2023-07-04T00:00:00"/>
    <n v="361"/>
    <n v="15230"/>
    <s v="61337725"/>
    <s v="61337725"/>
    <m/>
    <m/>
    <n v="22757902"/>
    <m/>
    <m/>
    <m/>
    <s v="SOLFIN"/>
    <s v="SOLFIN"/>
    <s v="CCMS"/>
    <n v="21327506"/>
    <n v="4434.36"/>
    <m/>
    <s v="N"/>
    <n v="3"/>
    <d v="2023-07-04T19:00:49"/>
    <s v="Y"/>
    <s v="Toxicologist"/>
    <s v="Public Law Children"/>
    <s v="Expert Disbursement"/>
    <s v="Cheryl James"/>
    <s v="Y"/>
    <n v="110"/>
    <n v="22"/>
    <x v="1"/>
    <s v="VALIDATED"/>
    <n v="1"/>
    <s v="01.11.80.308.6300.0000"/>
    <n v="110"/>
    <s v="11"/>
    <s v="6300"/>
    <n v="7191.9"/>
    <n v="110"/>
    <s v="CREDITOR"/>
    <n v="0"/>
    <n v="0"/>
    <n v="0"/>
    <n v="0"/>
    <n v="110"/>
  </r>
  <r>
    <n v="60200443"/>
    <s v="N"/>
    <n v="21323793"/>
    <s v="3000014516740015"/>
    <s v="CIVIL"/>
    <d v="2023-06-30T00:00:00"/>
    <d v="2023-07-03T19:05:56"/>
    <m/>
    <d v="2023-07-03T00:00:00"/>
    <n v="361"/>
    <n v="15230"/>
    <s v="60200443"/>
    <s v="60200443"/>
    <m/>
    <m/>
    <n v="22798426"/>
    <m/>
    <m/>
    <m/>
    <s v="SOLPOA"/>
    <s v="SOLPOA"/>
    <s v="CCMS"/>
    <n v="21323793"/>
    <n v="155.52"/>
    <m/>
    <s v="N"/>
    <n v="1"/>
    <d v="2023-07-03T19:05:58"/>
    <s v="N"/>
    <s v="Expert Cost"/>
    <s v="Expert Cost"/>
    <s v="Expert Disbursement"/>
    <s v="Jessica Jackson"/>
    <s v="N"/>
    <n v="155.52"/>
    <n v="0"/>
    <x v="3"/>
    <s v="VALIDATED"/>
    <n v="1"/>
    <s v="01.11.80.308.2012.0000"/>
    <n v="155.52"/>
    <s v="11"/>
    <s v="2012"/>
    <n v="7191.9"/>
    <n v="155.52"/>
    <s v="CREDITOR"/>
    <n v="155.52"/>
    <n v="0"/>
    <n v="0"/>
    <n v="0"/>
    <n v="0"/>
  </r>
  <r>
    <n v="60571797"/>
    <s v="N"/>
    <n v="21344012"/>
    <s v="3000014835960013"/>
    <s v="CIVIL"/>
    <d v="2023-06-28T00:00:00"/>
    <d v="2023-07-07T19:03:00"/>
    <m/>
    <d v="2023-07-07T00:00:00"/>
    <n v="361"/>
    <n v="15230"/>
    <s v="60571797"/>
    <s v="60571797"/>
    <m/>
    <m/>
    <n v="22783430"/>
    <m/>
    <m/>
    <m/>
    <s v="SOLFIN"/>
    <s v="SOLFIN"/>
    <s v="CCMS"/>
    <n v="21344012"/>
    <n v="12106.2"/>
    <m/>
    <s v="N"/>
    <n v="87"/>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34"/>
    <d v="2023-07-07T19:03:20"/>
    <s v="Y"/>
    <s v="Attendance upon client"/>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89"/>
    <d v="2023-07-07T19:03:20"/>
    <s v="Y"/>
    <s v="Preparation - other"/>
    <s v="Care Remuneration Hourly Rates"/>
    <s v="Profit Cost"/>
    <s v="AD"/>
    <s v="Y"/>
    <n v="48.37"/>
    <n v="9.67"/>
    <x v="9"/>
    <s v="VALIDATED"/>
    <n v="1"/>
    <s v="01.11.80.308.6100.0000"/>
    <n v="48.37"/>
    <s v="11"/>
    <s v="6100"/>
    <n v="7191.9"/>
    <n v="48.37"/>
    <s v="CREDITOR"/>
    <n v="0"/>
    <n v="0"/>
    <n v="0"/>
    <n v="0"/>
    <n v="48.37"/>
  </r>
  <r>
    <n v="60571797"/>
    <s v="N"/>
    <n v="21344012"/>
    <s v="3000014835960013"/>
    <s v="CIVIL"/>
    <d v="2023-06-28T00:00:00"/>
    <d v="2023-07-07T19:03:00"/>
    <m/>
    <d v="2023-07-07T00:00:00"/>
    <n v="361"/>
    <n v="15230"/>
    <s v="60571797"/>
    <s v="60571797"/>
    <m/>
    <m/>
    <n v="22783430"/>
    <m/>
    <m/>
    <m/>
    <s v="SOLFIN"/>
    <s v="SOLFIN"/>
    <s v="CCMS"/>
    <n v="21344012"/>
    <n v="12106.2"/>
    <m/>
    <s v="N"/>
    <n v="99"/>
    <d v="2023-07-07T19:03:20"/>
    <s v="Y"/>
    <s v="Preparation - other"/>
    <s v="Care Remuneration Hourly Rates"/>
    <s v="Profit Cost"/>
    <s v="AD"/>
    <s v="Y"/>
    <n v="18.14"/>
    <n v="3.63"/>
    <x v="9"/>
    <s v="VALIDATED"/>
    <n v="1"/>
    <s v="01.11.80.308.6100.0000"/>
    <n v="18.14"/>
    <s v="11"/>
    <s v="6100"/>
    <n v="7191.9"/>
    <n v="18.14"/>
    <s v="CREDITOR"/>
    <n v="0"/>
    <n v="0"/>
    <n v="0"/>
    <n v="0"/>
    <n v="18.14"/>
  </r>
  <r>
    <n v="60571797"/>
    <s v="N"/>
    <n v="21346187"/>
    <s v="3000014835960002RC"/>
    <s v="CIVIL"/>
    <d v="2023-06-28T00:00:00"/>
    <d v="2023-07-07T19:34:21"/>
    <m/>
    <d v="2023-07-07T00:00:00"/>
    <n v="361"/>
    <n v="15230"/>
    <s v="60571797"/>
    <s v="60571797"/>
    <m/>
    <m/>
    <m/>
    <m/>
    <m/>
    <m/>
    <s v="SOLRECOUP"/>
    <s v="SOLRECOUP"/>
    <s v="POARECOUP"/>
    <n v="21346187"/>
    <n v="-3427.04"/>
    <m/>
    <s v="Y"/>
    <n v="2"/>
    <d v="2023-07-07T19:34:22"/>
    <s v="N"/>
    <m/>
    <m/>
    <s v="Profit Cost"/>
    <m/>
    <s v="N"/>
    <n v="0"/>
    <n v="-571.17"/>
    <x v="9"/>
    <s v="VALIDATED"/>
    <n v="1"/>
    <s v="01.11.80.308.2013.0000"/>
    <n v="-571.17"/>
    <s v="11"/>
    <s v="2013"/>
    <n v="7191.9"/>
    <n v="-571.17"/>
    <s v="CREDITOR"/>
    <n v="0"/>
    <n v="0"/>
    <n v="-571.17"/>
    <n v="-142.7925"/>
    <n v="0"/>
  </r>
  <r>
    <n v="60571797"/>
    <s v="N"/>
    <n v="21346190"/>
    <s v="3000014835960008RC"/>
    <s v="CIVIL"/>
    <d v="2023-06-28T00:00:00"/>
    <d v="2023-07-07T19:34:21"/>
    <m/>
    <d v="2023-07-07T00:00:00"/>
    <n v="361"/>
    <n v="15230"/>
    <s v="60571797"/>
    <s v="60571797"/>
    <m/>
    <m/>
    <m/>
    <m/>
    <m/>
    <m/>
    <s v="SOLRECOUP"/>
    <s v="SOLRECOUP"/>
    <s v="POARECOUP"/>
    <n v="21346190"/>
    <n v="-4389.73"/>
    <m/>
    <s v="Y"/>
    <n v="2"/>
    <d v="2023-07-07T19:34:22"/>
    <s v="N"/>
    <m/>
    <m/>
    <s v="Profit Cost"/>
    <m/>
    <s v="N"/>
    <n v="0"/>
    <n v="-731.62"/>
    <x v="9"/>
    <s v="VALIDATED"/>
    <n v="1"/>
    <s v="01.11.80.308.2013.0000"/>
    <n v="-731.62"/>
    <s v="11"/>
    <s v="2013"/>
    <n v="7191.9"/>
    <n v="-731.62"/>
    <s v="CREDITOR"/>
    <n v="0"/>
    <n v="0"/>
    <n v="-731.62"/>
    <n v="-182.905"/>
    <n v="0"/>
  </r>
  <r>
    <n v="60571797"/>
    <s v="N"/>
    <n v="21346190"/>
    <s v="3000014835960008RC"/>
    <s v="CIVIL"/>
    <d v="2023-06-28T00:00:00"/>
    <d v="2023-07-07T19:34:21"/>
    <m/>
    <d v="2023-07-07T00:00:00"/>
    <n v="361"/>
    <n v="15230"/>
    <s v="60571797"/>
    <s v="60571797"/>
    <m/>
    <m/>
    <m/>
    <m/>
    <m/>
    <m/>
    <s v="SOLRECOUP"/>
    <s v="SOLRECOUP"/>
    <s v="POARECOUP"/>
    <n v="21346190"/>
    <n v="-4389.73"/>
    <m/>
    <s v="Y"/>
    <n v="1"/>
    <d v="2023-07-07T19:34:22"/>
    <s v="N"/>
    <m/>
    <m/>
    <s v="Profit Cost"/>
    <m/>
    <s v="N"/>
    <n v="-3658.11"/>
    <n v="0"/>
    <x v="9"/>
    <s v="VALIDATED"/>
    <n v="1"/>
    <s v="01.11.80.308.2013.0000"/>
    <n v="-3658.11"/>
    <s v="11"/>
    <s v="2013"/>
    <n v="7191.9"/>
    <n v="-3658.11"/>
    <s v="CREDITOR"/>
    <n v="0"/>
    <n v="0"/>
    <n v="-3658.11"/>
    <n v="-914.5275"/>
    <n v="0"/>
  </r>
  <r>
    <n v="61337725"/>
    <s v="N"/>
    <n v="21328583"/>
    <s v="3000015489210006RC"/>
    <s v="CIVIL"/>
    <d v="2023-06-26T00:00:00"/>
    <d v="2023-07-04T19:38:21"/>
    <m/>
    <d v="2023-07-04T00:00:00"/>
    <n v="361"/>
    <n v="15230"/>
    <s v="61337725"/>
    <s v="61337725"/>
    <m/>
    <m/>
    <m/>
    <m/>
    <m/>
    <m/>
    <s v="SOLRECOUP"/>
    <s v="SOLRECOUP"/>
    <s v="POARECOUP"/>
    <n v="21328583"/>
    <n v="-1588.15"/>
    <m/>
    <s v="Y"/>
    <n v="2"/>
    <d v="2023-07-04T19:38:22"/>
    <s v="N"/>
    <m/>
    <m/>
    <s v="Profit Cost"/>
    <m/>
    <s v="N"/>
    <n v="0"/>
    <n v="-264.69"/>
    <x v="1"/>
    <s v="VALIDATED"/>
    <n v="1"/>
    <s v="01.11.80.308.2013.0000"/>
    <n v="-264.69"/>
    <s v="11"/>
    <s v="2013"/>
    <n v="7191.9"/>
    <n v="-264.69"/>
    <s v="CREDITOR"/>
    <n v="0"/>
    <n v="0"/>
    <n v="-264.69"/>
    <n v="-66.1725"/>
    <n v="0"/>
  </r>
  <r>
    <n v="61337725"/>
    <s v="N"/>
    <n v="21328583"/>
    <s v="3000015489210006RC"/>
    <s v="CIVIL"/>
    <d v="2023-06-26T00:00:00"/>
    <d v="2023-07-04T19:38:21"/>
    <m/>
    <d v="2023-07-04T00:00:00"/>
    <n v="361"/>
    <n v="15230"/>
    <s v="61337725"/>
    <s v="61337725"/>
    <m/>
    <m/>
    <m/>
    <m/>
    <m/>
    <m/>
    <s v="SOLRECOUP"/>
    <s v="SOLRECOUP"/>
    <s v="POARECOUP"/>
    <n v="21328583"/>
    <n v="-1588.15"/>
    <m/>
    <s v="Y"/>
    <n v="1"/>
    <d v="2023-07-04T19:38:22"/>
    <s v="N"/>
    <m/>
    <m/>
    <s v="Profit Cost"/>
    <m/>
    <s v="N"/>
    <n v="-1323.46"/>
    <n v="0"/>
    <x v="1"/>
    <s v="VALIDATED"/>
    <n v="1"/>
    <s v="01.11.80.308.2013.0000"/>
    <n v="-1323.46"/>
    <s v="11"/>
    <s v="2013"/>
    <n v="7191.9"/>
    <n v="-1323.46"/>
    <s v="CREDITOR"/>
    <n v="0"/>
    <n v="0"/>
    <n v="-1323.46"/>
    <n v="-330.865"/>
    <n v="0"/>
  </r>
  <r>
    <n v="61337725"/>
    <s v="N"/>
    <n v="21328584"/>
    <s v="3000015489210003RC"/>
    <s v="CIVIL"/>
    <d v="2023-06-26T00:00:00"/>
    <d v="2023-07-04T19:38:21"/>
    <m/>
    <d v="2023-07-04T00:00:00"/>
    <n v="361"/>
    <n v="15230"/>
    <s v="61337725"/>
    <s v="61337725"/>
    <m/>
    <m/>
    <m/>
    <m/>
    <m/>
    <m/>
    <s v="SOLRECOUP"/>
    <s v="SOLRECOUP"/>
    <s v="POARECOUP"/>
    <n v="21328584"/>
    <n v="-167"/>
    <m/>
    <s v="Y"/>
    <n v="2"/>
    <d v="2023-07-04T19:38:22"/>
    <s v="N"/>
    <m/>
    <m/>
    <s v="Non Expert Disbursement"/>
    <m/>
    <s v="N"/>
    <n v="0"/>
    <n v="0"/>
    <x v="1"/>
    <s v="VALIDATED"/>
    <n v="1"/>
    <s v="01.11.80.000.0000.0000"/>
    <n v="0"/>
    <s v="11"/>
    <s v="0000"/>
    <n v="7191.9"/>
    <n v="0"/>
    <s v="CREDITOR"/>
    <n v="0"/>
    <n v="0"/>
    <n v="0"/>
    <n v="0"/>
    <n v="0"/>
  </r>
  <r>
    <n v="61337725"/>
    <s v="N"/>
    <n v="21328584"/>
    <s v="3000015489210003RC"/>
    <s v="CIVIL"/>
    <d v="2023-06-26T00:00:00"/>
    <d v="2023-07-04T19:38:21"/>
    <m/>
    <d v="2023-07-04T00:00:00"/>
    <n v="361"/>
    <n v="15230"/>
    <s v="61337725"/>
    <s v="61337725"/>
    <m/>
    <m/>
    <m/>
    <m/>
    <m/>
    <m/>
    <s v="SOLRECOUP"/>
    <s v="SOLRECOUP"/>
    <s v="POARECOUP"/>
    <n v="21328584"/>
    <n v="-167"/>
    <m/>
    <s v="Y"/>
    <n v="1"/>
    <d v="2023-07-04T19:38:22"/>
    <s v="N"/>
    <m/>
    <m/>
    <s v="Non Expert Disbursement"/>
    <m/>
    <s v="N"/>
    <n v="-167"/>
    <n v="0"/>
    <x v="1"/>
    <s v="VALIDATED"/>
    <n v="1"/>
    <s v="01.11.80.308.2013.0000"/>
    <n v="-167"/>
    <s v="11"/>
    <s v="2013"/>
    <n v="7191.9"/>
    <n v="-167"/>
    <s v="CREDITOR"/>
    <n v="0"/>
    <n v="0"/>
    <n v="-167"/>
    <n v="0"/>
    <n v="0"/>
  </r>
  <r>
    <n v="61337725"/>
    <s v="N"/>
    <n v="21328585"/>
    <s v="3000015489210005RC"/>
    <s v="CIVIL"/>
    <d v="2023-06-26T00:00:00"/>
    <d v="2023-07-04T19:38:21"/>
    <m/>
    <d v="2023-07-04T00:00:00"/>
    <n v="361"/>
    <n v="15230"/>
    <s v="61337725"/>
    <s v="61337725"/>
    <m/>
    <m/>
    <m/>
    <m/>
    <m/>
    <m/>
    <s v="SOLRECOUP"/>
    <s v="SOLRECOUP"/>
    <s v="POARECOUP"/>
    <n v="21328585"/>
    <n v="-657.78"/>
    <m/>
    <s v="Y"/>
    <n v="2"/>
    <d v="2023-07-04T19:38:22"/>
    <s v="N"/>
    <m/>
    <m/>
    <s v="Expert Disbursement"/>
    <m/>
    <s v="N"/>
    <n v="0"/>
    <n v="-109.63"/>
    <x v="1"/>
    <s v="VALIDATED"/>
    <n v="1"/>
    <s v="01.11.80.308.2013.0000"/>
    <n v="-109.63"/>
    <s v="11"/>
    <s v="2013"/>
    <n v="7191.9"/>
    <n v="-109.63"/>
    <s v="CREDITOR"/>
    <n v="0"/>
    <n v="0"/>
    <n v="-109.63"/>
    <n v="0"/>
    <n v="0"/>
  </r>
  <r>
    <n v="61337725"/>
    <s v="N"/>
    <n v="21328585"/>
    <s v="3000015489210005RC"/>
    <s v="CIVIL"/>
    <d v="2023-06-26T00:00:00"/>
    <d v="2023-07-04T19:38:21"/>
    <m/>
    <d v="2023-07-04T00:00:00"/>
    <n v="361"/>
    <n v="15230"/>
    <s v="61337725"/>
    <s v="61337725"/>
    <m/>
    <m/>
    <m/>
    <m/>
    <m/>
    <m/>
    <s v="SOLRECOUP"/>
    <s v="SOLRECOUP"/>
    <s v="POARECOUP"/>
    <n v="21328585"/>
    <n v="-657.78"/>
    <m/>
    <s v="Y"/>
    <n v="1"/>
    <d v="2023-07-04T19:38:22"/>
    <s v="N"/>
    <m/>
    <m/>
    <s v="Expert Disbursement"/>
    <m/>
    <s v="N"/>
    <n v="-548.15"/>
    <n v="0"/>
    <x v="1"/>
    <s v="VALIDATED"/>
    <n v="1"/>
    <s v="01.11.80.308.2013.0000"/>
    <n v="-548.15"/>
    <s v="11"/>
    <s v="2013"/>
    <n v="7191.9"/>
    <n v="-548.15"/>
    <s v="CREDITOR"/>
    <n v="0"/>
    <n v="0"/>
    <n v="-548.15"/>
    <n v="0"/>
    <n v="0"/>
  </r>
  <r>
    <n v="61337725"/>
    <s v="N"/>
    <n v="21328586"/>
    <s v="3000015489210007RC"/>
    <s v="CIVIL"/>
    <d v="2023-06-26T00:00:00"/>
    <d v="2023-07-04T19:38:21"/>
    <m/>
    <d v="2023-07-04T00:00:00"/>
    <n v="361"/>
    <n v="15230"/>
    <s v="61337725"/>
    <s v="61337725"/>
    <m/>
    <m/>
    <m/>
    <m/>
    <m/>
    <m/>
    <s v="SOLRECOUP"/>
    <s v="SOLRECOUP"/>
    <s v="POARECOUP"/>
    <n v="21328586"/>
    <n v="-132"/>
    <m/>
    <s v="Y"/>
    <n v="1"/>
    <d v="2023-07-04T19:38:22"/>
    <s v="N"/>
    <m/>
    <m/>
    <s v="Expert Disbursement"/>
    <m/>
    <s v="N"/>
    <n v="-110"/>
    <n v="0"/>
    <x v="1"/>
    <s v="VALIDATED"/>
    <n v="1"/>
    <s v="01.11.80.308.2013.0000"/>
    <n v="-110"/>
    <s v="11"/>
    <s v="2013"/>
    <n v="7191.9"/>
    <n v="-110"/>
    <s v="CREDITOR"/>
    <n v="0"/>
    <n v="0"/>
    <n v="-110"/>
    <n v="0"/>
    <n v="0"/>
  </r>
  <r>
    <n v="61337725"/>
    <s v="N"/>
    <n v="21328586"/>
    <s v="3000015489210007RC"/>
    <s v="CIVIL"/>
    <d v="2023-06-26T00:00:00"/>
    <d v="2023-07-04T19:38:21"/>
    <m/>
    <d v="2023-07-04T00:00:00"/>
    <n v="361"/>
    <n v="15230"/>
    <s v="61337725"/>
    <s v="61337725"/>
    <m/>
    <m/>
    <m/>
    <m/>
    <m/>
    <m/>
    <s v="SOLRECOUP"/>
    <s v="SOLRECOUP"/>
    <s v="POARECOUP"/>
    <n v="21328586"/>
    <n v="-132"/>
    <m/>
    <s v="Y"/>
    <n v="2"/>
    <d v="2023-07-04T19:38:22"/>
    <s v="N"/>
    <m/>
    <m/>
    <s v="Expert Disbursement"/>
    <m/>
    <s v="N"/>
    <n v="0"/>
    <n v="-22"/>
    <x v="1"/>
    <s v="VALIDATED"/>
    <n v="1"/>
    <s v="01.11.80.308.2013.0000"/>
    <n v="-22"/>
    <s v="11"/>
    <s v="2013"/>
    <n v="7191.9"/>
    <n v="-22"/>
    <s v="CREDITOR"/>
    <n v="0"/>
    <n v="0"/>
    <n v="-22"/>
    <n v="0"/>
    <n v="0"/>
  </r>
  <r>
    <n v="60571797"/>
    <s v="N"/>
    <n v="21346187"/>
    <s v="3000014835960002RC"/>
    <s v="CIVIL"/>
    <d v="2023-06-28T00:00:00"/>
    <d v="2023-07-07T19:34:21"/>
    <m/>
    <d v="2023-07-07T00:00:00"/>
    <n v="361"/>
    <n v="15230"/>
    <s v="60571797"/>
    <s v="60571797"/>
    <m/>
    <m/>
    <m/>
    <m/>
    <m/>
    <m/>
    <s v="SOLRECOUP"/>
    <s v="SOLRECOUP"/>
    <s v="POARECOUP"/>
    <n v="21346187"/>
    <n v="-3427.04"/>
    <m/>
    <s v="Y"/>
    <n v="1"/>
    <d v="2023-07-07T19:34:22"/>
    <s v="N"/>
    <m/>
    <m/>
    <s v="Profit Cost"/>
    <m/>
    <s v="N"/>
    <n v="-2855.87"/>
    <n v="0"/>
    <x v="9"/>
    <s v="VALIDATED"/>
    <n v="1"/>
    <s v="01.11.80.308.2013.0000"/>
    <n v="-2855.87"/>
    <s v="11"/>
    <s v="2013"/>
    <n v="7191.9"/>
    <n v="-2855.87"/>
    <s v="CREDITOR"/>
    <n v="0"/>
    <n v="0"/>
    <n v="-2855.87"/>
    <n v="-713.9675"/>
    <n v="0"/>
  </r>
  <r>
    <n v="60571797"/>
    <s v="N"/>
    <n v="21344012"/>
    <s v="3000014835960013"/>
    <s v="CIVIL"/>
    <d v="2023-06-28T00:00:00"/>
    <d v="2023-07-07T19:03:00"/>
    <m/>
    <d v="2023-07-07T00:00:00"/>
    <n v="361"/>
    <n v="15230"/>
    <s v="60571797"/>
    <s v="60571797"/>
    <m/>
    <m/>
    <n v="22783430"/>
    <m/>
    <m/>
    <m/>
    <s v="SOLFIN"/>
    <s v="SOLFIN"/>
    <s v="CCMS"/>
    <n v="21344012"/>
    <n v="12106.2"/>
    <m/>
    <s v="N"/>
    <n v="47"/>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54"/>
    <d v="2023-07-07T19:03:20"/>
    <s v="Y"/>
    <s v="Preparation - other"/>
    <s v="Care Remuneration Hourly Rates"/>
    <s v="Profit Cost"/>
    <s v="AD"/>
    <s v="Y"/>
    <n v="18.14"/>
    <n v="3.63"/>
    <x v="9"/>
    <s v="VALIDATED"/>
    <n v="1"/>
    <s v="01.11.80.308.6100.0000"/>
    <n v="18.14"/>
    <s v="11"/>
    <s v="6100"/>
    <n v="7191.9"/>
    <n v="18.14"/>
    <s v="CREDITOR"/>
    <n v="0"/>
    <n v="0"/>
    <n v="0"/>
    <n v="0"/>
    <n v="18.14"/>
  </r>
  <r>
    <n v="60305994"/>
    <s v="N"/>
    <n v="21323406"/>
    <s v="3000014608000018"/>
    <s v="CIVIL"/>
    <d v="2023-06-30T00:00:00"/>
    <d v="2023-07-03T19:05:56"/>
    <m/>
    <d v="2023-07-03T00:00:00"/>
    <n v="361"/>
    <n v="15230"/>
    <s v="60305994"/>
    <s v="60305994"/>
    <m/>
    <m/>
    <n v="22798320"/>
    <m/>
    <m/>
    <m/>
    <s v="SOLPOA"/>
    <s v="SOLPOA"/>
    <s v="CCMS"/>
    <n v="21323406"/>
    <n v="151.2"/>
    <m/>
    <s v="N"/>
    <n v="1"/>
    <d v="2023-07-03T19:05:57"/>
    <s v="N"/>
    <s v="Expert Cost"/>
    <s v="Expert Cost"/>
    <s v="Expert Disbursement"/>
    <s v="Dr Maxine Tostevin"/>
    <s v="N"/>
    <n v="151.2"/>
    <n v="0"/>
    <x v="3"/>
    <s v="VALIDATED"/>
    <n v="1"/>
    <s v="01.11.80.308.2012.0000"/>
    <n v="151.2"/>
    <s v="11"/>
    <s v="2012"/>
    <n v="7191.9"/>
    <n v="151.2"/>
    <s v="CREDITOR"/>
    <n v="151.2"/>
    <n v="0"/>
    <n v="0"/>
    <n v="0"/>
    <n v="0"/>
  </r>
  <r>
    <n v="60571797"/>
    <s v="N"/>
    <n v="21344012"/>
    <s v="3000014835960013"/>
    <s v="CIVIL"/>
    <d v="2023-06-28T00:00:00"/>
    <d v="2023-07-07T19:03:00"/>
    <m/>
    <d v="2023-07-07T00:00:00"/>
    <n v="361"/>
    <n v="15230"/>
    <s v="60571797"/>
    <s v="60571797"/>
    <m/>
    <m/>
    <n v="22783430"/>
    <m/>
    <m/>
    <m/>
    <s v="SOLFIN"/>
    <s v="SOLFIN"/>
    <s v="CCMS"/>
    <n v="21344012"/>
    <n v="12106.2"/>
    <m/>
    <s v="N"/>
    <n v="133"/>
    <d v="2023-07-07T19:03:20"/>
    <s v="Y"/>
    <s v="Preparation - drafting attendance n"/>
    <s v="Care Remuneration Hourly Rates"/>
    <s v="Profit Cost"/>
    <s v="AD"/>
    <s v="Y"/>
    <n v="6.05"/>
    <n v="1.21"/>
    <x v="9"/>
    <s v="VALIDATED"/>
    <n v="1"/>
    <s v="01.11.80.308.6100.0000"/>
    <n v="6.05"/>
    <s v="11"/>
    <s v="6100"/>
    <n v="7191.9"/>
    <n v="6.05"/>
    <s v="CREDITOR"/>
    <n v="0"/>
    <n v="0"/>
    <n v="0"/>
    <n v="0"/>
    <n v="6.05"/>
  </r>
  <r>
    <n v="61135879"/>
    <s v="N"/>
    <n v="21324072"/>
    <s v="3000015321740016"/>
    <s v="CIVIL"/>
    <d v="2023-06-30T00:00:00"/>
    <d v="2023-07-03T19:05:56"/>
    <m/>
    <d v="2023-07-03T00:00:00"/>
    <n v="361"/>
    <n v="15230"/>
    <s v="61135879"/>
    <s v="61135879"/>
    <m/>
    <m/>
    <n v="22797586"/>
    <m/>
    <m/>
    <m/>
    <s v="SOLPOA"/>
    <s v="SOLPOA"/>
    <s v="CCMS"/>
    <n v="21324072"/>
    <n v="411.94"/>
    <m/>
    <s v="N"/>
    <n v="1"/>
    <d v="2023-07-03T19:06:00"/>
    <s v="N"/>
    <s v="Expert Cost"/>
    <s v="Expert Cost"/>
    <s v="Expert Disbursement"/>
    <s v="Sharon Kelly"/>
    <s v="N"/>
    <n v="343.28"/>
    <n v="68.66"/>
    <x v="3"/>
    <s v="VALIDATED"/>
    <n v="1"/>
    <s v="01.11.80.308.2012.0000"/>
    <n v="343.28"/>
    <s v="11"/>
    <s v="2012"/>
    <n v="7191.9"/>
    <n v="343.28"/>
    <s v="CREDITOR"/>
    <n v="343.28"/>
    <n v="0"/>
    <n v="0"/>
    <n v="0"/>
    <n v="0"/>
  </r>
  <r>
    <n v="60571797"/>
    <s v="N"/>
    <n v="21344012"/>
    <s v="3000014835960013"/>
    <s v="CIVIL"/>
    <d v="2023-06-28T00:00:00"/>
    <d v="2023-07-07T19:03:00"/>
    <m/>
    <d v="2023-07-07T00:00:00"/>
    <n v="361"/>
    <n v="15230"/>
    <s v="60571797"/>
    <s v="60571797"/>
    <m/>
    <m/>
    <n v="22783430"/>
    <m/>
    <m/>
    <m/>
    <s v="SOLFIN"/>
    <s v="SOLFIN"/>
    <s v="CCMS"/>
    <n v="21344012"/>
    <n v="12106.2"/>
    <m/>
    <s v="N"/>
    <n v="69"/>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93"/>
    <d v="2023-07-07T19:03:20"/>
    <s v="Y"/>
    <s v="Preparation - drafting bill/claim f"/>
    <s v="Care Remuneration Hourly Rates"/>
    <s v="Profit Cost"/>
    <s v="CAE"/>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14"/>
    <d v="2023-07-07T19:03:20"/>
    <s v="Y"/>
    <s v="Preparation - other"/>
    <s v="Care Remuneration Hourly Rates"/>
    <s v="Profit Cost"/>
    <s v="CAE"/>
    <s v="Y"/>
    <n v="10.51"/>
    <n v="2.1"/>
    <x v="9"/>
    <s v="VALIDATED"/>
    <n v="1"/>
    <s v="01.11.80.308.6100.0000"/>
    <n v="10.51"/>
    <s v="11"/>
    <s v="6100"/>
    <n v="7191.9"/>
    <n v="10.51"/>
    <s v="CREDITOR"/>
    <n v="0"/>
    <n v="0"/>
    <n v="0"/>
    <n v="0"/>
    <n v="10.51"/>
  </r>
  <r>
    <n v="61763120"/>
    <s v="N"/>
    <n v="21323860"/>
    <s v="3000015841200011"/>
    <s v="CIVIL"/>
    <d v="2023-06-30T00:00:00"/>
    <d v="2023-07-03T19:05:56"/>
    <m/>
    <d v="2023-07-03T00:00:00"/>
    <n v="361"/>
    <n v="15230"/>
    <s v="61763120"/>
    <s v="61763120"/>
    <m/>
    <m/>
    <n v="22798002"/>
    <m/>
    <m/>
    <m/>
    <s v="SOLPOA"/>
    <s v="SOLPOA"/>
    <s v="CCMS"/>
    <n v="21323860"/>
    <n v="1441.5"/>
    <m/>
    <s v="N"/>
    <n v="1"/>
    <d v="2023-07-03T19:05:59"/>
    <s v="N"/>
    <s v="Expert Cost"/>
    <s v="Expert Cost"/>
    <s v="Expert Disbursement"/>
    <s v="Dr Russell Keenan"/>
    <s v="N"/>
    <n v="1201.25"/>
    <n v="240.25"/>
    <x v="3"/>
    <s v="VALIDATED"/>
    <n v="1"/>
    <s v="01.11.80.308.2012.0000"/>
    <n v="1201.25"/>
    <s v="11"/>
    <s v="2012"/>
    <n v="7191.9"/>
    <n v="1201.25"/>
    <s v="CREDITOR"/>
    <n v="1201.25"/>
    <n v="0"/>
    <n v="0"/>
    <n v="0"/>
    <n v="0"/>
  </r>
  <r>
    <n v="60571797"/>
    <s v="N"/>
    <n v="21344012"/>
    <s v="3000014835960013"/>
    <s v="CIVIL"/>
    <d v="2023-06-28T00:00:00"/>
    <d v="2023-07-07T19:03:00"/>
    <m/>
    <d v="2023-07-07T00:00:00"/>
    <n v="361"/>
    <n v="15230"/>
    <s v="60571797"/>
    <s v="60571797"/>
    <m/>
    <m/>
    <n v="22783430"/>
    <m/>
    <m/>
    <m/>
    <s v="SOLFIN"/>
    <s v="SOLFIN"/>
    <s v="CCMS"/>
    <n v="21344012"/>
    <n v="12106.2"/>
    <m/>
    <s v="N"/>
    <n v="74"/>
    <d v="2023-07-07T19:03:20"/>
    <s v="Y"/>
    <s v="Preparation - drafting instructions"/>
    <s v="Care Remuneration Hourly Rates"/>
    <s v="Profit Cost"/>
    <s v="SC"/>
    <s v="Y"/>
    <n v="63.08"/>
    <n v="12.62"/>
    <x v="9"/>
    <s v="VALIDATED"/>
    <n v="1"/>
    <s v="01.11.80.308.6100.0000"/>
    <n v="63.08"/>
    <s v="11"/>
    <s v="6100"/>
    <n v="7191.9"/>
    <n v="63.08"/>
    <s v="CREDITOR"/>
    <n v="0"/>
    <n v="0"/>
    <n v="0"/>
    <n v="0"/>
    <n v="63.08"/>
  </r>
  <r>
    <n v="60571797"/>
    <s v="N"/>
    <n v="21344012"/>
    <s v="3000014835960013"/>
    <s v="CIVIL"/>
    <d v="2023-06-28T00:00:00"/>
    <d v="2023-07-07T19:03:00"/>
    <m/>
    <d v="2023-07-07T00:00:00"/>
    <n v="361"/>
    <n v="15230"/>
    <s v="60571797"/>
    <s v="60571797"/>
    <m/>
    <m/>
    <n v="22783430"/>
    <m/>
    <m/>
    <m/>
    <s v="SOLFIN"/>
    <s v="SOLFIN"/>
    <s v="CCMS"/>
    <n v="21344012"/>
    <n v="12106.2"/>
    <m/>
    <s v="N"/>
    <n v="4"/>
    <d v="2023-07-07T19:03:20"/>
    <s v="Y"/>
    <s v="Routine Letter In"/>
    <s v="Care Remuneration Hourly Rates"/>
    <s v="Profit Cost"/>
    <s v="Non Panel"/>
    <s v="Y"/>
    <n v="81.40000000000001"/>
    <n v="16.28"/>
    <x v="9"/>
    <s v="VALIDATED"/>
    <n v="1"/>
    <s v="01.11.80.308.6100.0000"/>
    <n v="81.40000000000001"/>
    <s v="11"/>
    <s v="6100"/>
    <n v="7191.9"/>
    <n v="81.40000000000001"/>
    <s v="CREDITOR"/>
    <n v="0"/>
    <n v="0"/>
    <n v="0"/>
    <n v="0"/>
    <n v="81.40000000000001"/>
  </r>
  <r>
    <n v="60571797"/>
    <s v="N"/>
    <n v="21344012"/>
    <s v="3000014835960013"/>
    <s v="CIVIL"/>
    <d v="2023-06-28T00:00:00"/>
    <d v="2023-07-07T19:03:00"/>
    <m/>
    <d v="2023-07-07T00:00:00"/>
    <n v="361"/>
    <n v="15230"/>
    <s v="60571797"/>
    <s v="60571797"/>
    <m/>
    <m/>
    <n v="22783430"/>
    <m/>
    <m/>
    <m/>
    <s v="SOLFIN"/>
    <s v="SOLFIN"/>
    <s v="CCMS"/>
    <n v="21344012"/>
    <n v="12106.2"/>
    <m/>
    <s v="N"/>
    <n v="150"/>
    <d v="2023-07-07T19:03:20"/>
    <s v="Y"/>
    <s v="Hearing Unit 2.31 - 5.00 Hours"/>
    <s v="Public Law Children"/>
    <s v="Advocacy"/>
    <s v="Amanda Dawe"/>
    <s v="Y"/>
    <n v="476.92"/>
    <n v="95.39"/>
    <x v="9"/>
    <s v="VALIDATED"/>
    <n v="1"/>
    <s v="01.11.80.308.6100.0000"/>
    <n v="476.92"/>
    <s v="11"/>
    <s v="6100"/>
    <n v="7191.9"/>
    <n v="476.92"/>
    <s v="CREDITOR"/>
    <n v="0"/>
    <n v="0"/>
    <n v="0"/>
    <n v="0"/>
    <n v="476.92"/>
  </r>
  <r>
    <n v="60571797"/>
    <s v="N"/>
    <n v="21344012"/>
    <s v="3000014835960013"/>
    <s v="CIVIL"/>
    <d v="2023-06-28T00:00:00"/>
    <d v="2023-07-07T19:03:00"/>
    <m/>
    <d v="2023-07-07T00:00:00"/>
    <n v="361"/>
    <n v="15230"/>
    <s v="60571797"/>
    <s v="60571797"/>
    <m/>
    <m/>
    <n v="22783430"/>
    <m/>
    <m/>
    <m/>
    <s v="SOLFIN"/>
    <s v="SOLFIN"/>
    <s v="CCMS"/>
    <n v="21344012"/>
    <n v="12106.2"/>
    <m/>
    <s v="N"/>
    <n v="36"/>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48"/>
    <d v="2023-07-07T19:03:20"/>
    <s v="Y"/>
    <s v="Preparation - other"/>
    <s v="Care Remuneration Hourly Rates"/>
    <s v="Profit Cost"/>
    <s v="AD"/>
    <s v="Y"/>
    <n v="48.37"/>
    <n v="9.67"/>
    <x v="9"/>
    <s v="VALIDATED"/>
    <n v="1"/>
    <s v="01.11.80.308.6100.0000"/>
    <n v="48.37"/>
    <s v="11"/>
    <s v="6100"/>
    <n v="7191.9"/>
    <n v="48.37"/>
    <s v="CREDITOR"/>
    <n v="0"/>
    <n v="0"/>
    <n v="0"/>
    <n v="0"/>
    <n v="48.37"/>
  </r>
  <r>
    <n v="61394841"/>
    <s v="N"/>
    <n v="21323416"/>
    <s v="3000015538080005"/>
    <s v="CIVIL"/>
    <d v="2023-06-30T00:00:00"/>
    <d v="2023-07-03T19:05:56"/>
    <m/>
    <d v="2023-07-03T00:00:00"/>
    <n v="361"/>
    <n v="15230"/>
    <s v="61394841"/>
    <s v="61394841"/>
    <m/>
    <m/>
    <n v="22796362"/>
    <m/>
    <m/>
    <m/>
    <s v="SOLPOA"/>
    <s v="SOLPOA"/>
    <s v="CCMS"/>
    <n v="21323416"/>
    <n v="53"/>
    <m/>
    <s v="N"/>
    <n v="1"/>
    <d v="2023-07-03T19:05:57"/>
    <s v="N"/>
    <s v="Non Expert Disbursement"/>
    <s v="Non Expert Disbursement"/>
    <s v="Non Expert Disbursement"/>
    <s v="HMCTS"/>
    <s v="N"/>
    <n v="53"/>
    <n v="0"/>
    <x v="3"/>
    <s v="VALIDATED"/>
    <n v="1"/>
    <s v="01.11.80.308.2012.0000"/>
    <n v="53"/>
    <s v="11"/>
    <s v="2012"/>
    <n v="7191.9"/>
    <n v="53"/>
    <s v="CREDITOR"/>
    <n v="53"/>
    <n v="0"/>
    <n v="0"/>
    <n v="0"/>
    <n v="0"/>
  </r>
  <r>
    <n v="60571797"/>
    <s v="N"/>
    <n v="21344012"/>
    <s v="3000014835960013"/>
    <s v="CIVIL"/>
    <d v="2023-06-28T00:00:00"/>
    <d v="2023-07-07T19:03:00"/>
    <m/>
    <d v="2023-07-07T00:00:00"/>
    <n v="361"/>
    <n v="15230"/>
    <s v="60571797"/>
    <s v="60571797"/>
    <m/>
    <m/>
    <n v="22783430"/>
    <m/>
    <m/>
    <m/>
    <s v="SOLFIN"/>
    <s v="SOLFIN"/>
    <s v="CCMS"/>
    <n v="21344012"/>
    <n v="12106.2"/>
    <m/>
    <s v="N"/>
    <n v="30"/>
    <d v="2023-07-07T19:03:20"/>
    <s v="Y"/>
    <s v="Preparation - drafting attendance n"/>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83"/>
    <d v="2023-07-07T19:03:20"/>
    <s v="Y"/>
    <s v="Preparation - other"/>
    <s v="Care Remuneration Hourly Rates"/>
    <s v="Profit Cost"/>
    <s v="AD"/>
    <s v="Y"/>
    <n v="48.37"/>
    <n v="9.67"/>
    <x v="9"/>
    <s v="VALIDATED"/>
    <n v="1"/>
    <s v="01.11.80.308.6100.0000"/>
    <n v="48.37"/>
    <s v="11"/>
    <s v="6100"/>
    <n v="7191.9"/>
    <n v="48.37"/>
    <s v="CREDITOR"/>
    <n v="0"/>
    <n v="0"/>
    <n v="0"/>
    <n v="0"/>
    <n v="48.37"/>
  </r>
  <r>
    <n v="60571797"/>
    <s v="N"/>
    <n v="21344012"/>
    <s v="3000014835960013"/>
    <s v="CIVIL"/>
    <d v="2023-06-28T00:00:00"/>
    <d v="2023-07-07T19:03:00"/>
    <m/>
    <d v="2023-07-07T00:00:00"/>
    <n v="361"/>
    <n v="15230"/>
    <s v="60571797"/>
    <s v="60571797"/>
    <m/>
    <m/>
    <n v="22783430"/>
    <m/>
    <m/>
    <m/>
    <s v="SOLFIN"/>
    <s v="SOLFIN"/>
    <s v="CCMS"/>
    <n v="21344012"/>
    <n v="12106.2"/>
    <m/>
    <s v="N"/>
    <n v="129"/>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108"/>
    <d v="2023-07-07T19:03:20"/>
    <s v="Y"/>
    <s v="Preparation - drafting instructions"/>
    <s v="Care Remuneration Hourly Rates"/>
    <s v="Profit Cost"/>
    <s v="AD"/>
    <s v="Y"/>
    <n v="72.54000000000001"/>
    <n v="14.51"/>
    <x v="9"/>
    <s v="VALIDATED"/>
    <n v="1"/>
    <s v="01.11.80.308.6100.0000"/>
    <n v="72.54000000000001"/>
    <s v="11"/>
    <s v="6100"/>
    <n v="7191.9"/>
    <n v="72.54000000000001"/>
    <s v="CREDITOR"/>
    <n v="0"/>
    <n v="0"/>
    <n v="0"/>
    <n v="0"/>
    <n v="72.54000000000001"/>
  </r>
  <r>
    <n v="60571797"/>
    <s v="N"/>
    <n v="21344012"/>
    <s v="3000014835960013"/>
    <s v="CIVIL"/>
    <d v="2023-06-28T00:00:00"/>
    <d v="2023-07-07T19:03:00"/>
    <m/>
    <d v="2023-07-07T00:00:00"/>
    <n v="361"/>
    <n v="15230"/>
    <s v="60571797"/>
    <s v="60571797"/>
    <m/>
    <m/>
    <n v="22783430"/>
    <m/>
    <m/>
    <m/>
    <s v="SOLFIN"/>
    <s v="SOLFIN"/>
    <s v="CCMS"/>
    <n v="21344012"/>
    <n v="12106.2"/>
    <m/>
    <s v="N"/>
    <n v="141"/>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41"/>
    <d v="2023-07-07T19:03:20"/>
    <s v="Y"/>
    <s v="Preparation - other"/>
    <s v="Care Remuneration Hourly Rates"/>
    <s v="Profit Cost"/>
    <s v="AD"/>
    <s v="Y"/>
    <n v="12.09"/>
    <n v="2.42"/>
    <x v="9"/>
    <s v="VALIDATED"/>
    <n v="1"/>
    <s v="01.11.80.308.6100.0000"/>
    <n v="12.09"/>
    <s v="11"/>
    <s v="6100"/>
    <n v="7191.9"/>
    <n v="12.09"/>
    <s v="CREDITOR"/>
    <n v="0"/>
    <n v="0"/>
    <n v="0"/>
    <n v="0"/>
    <n v="12.09"/>
  </r>
  <r>
    <n v="61337725"/>
    <s v="N"/>
    <n v="21327506"/>
    <s v="3000015489210009"/>
    <s v="CIVIL"/>
    <d v="2023-06-26T00:00:00"/>
    <d v="2023-07-04T19:00:44"/>
    <m/>
    <d v="2023-07-04T00:00:00"/>
    <n v="361"/>
    <n v="15230"/>
    <s v="61337725"/>
    <s v="61337725"/>
    <m/>
    <m/>
    <n v="22757902"/>
    <m/>
    <m/>
    <m/>
    <s v="SOLFIN"/>
    <s v="SOLFIN"/>
    <s v="CCMS"/>
    <n v="21327506"/>
    <n v="4434.36"/>
    <m/>
    <s v="N"/>
    <n v="5"/>
    <d v="2023-07-04T19:00:49"/>
    <s v="Y"/>
    <s v="Advocates Meeting"/>
    <s v="Public Law Children"/>
    <s v="Advocacy"/>
    <s v="Cheryl James"/>
    <s v="Y"/>
    <n v="140.99"/>
    <n v="28.2"/>
    <x v="1"/>
    <s v="VALIDATED"/>
    <n v="1"/>
    <s v="01.11.80.308.6100.0000"/>
    <n v="140.99"/>
    <s v="11"/>
    <s v="6100"/>
    <n v="7191.9"/>
    <n v="140.99"/>
    <s v="CREDITOR"/>
    <n v="0"/>
    <n v="0"/>
    <n v="0"/>
    <n v="0"/>
    <n v="140.99"/>
  </r>
  <r>
    <n v="60571797"/>
    <s v="N"/>
    <n v="21344012"/>
    <s v="3000014835960013"/>
    <s v="CIVIL"/>
    <d v="2023-06-28T00:00:00"/>
    <d v="2023-07-07T19:03:00"/>
    <m/>
    <d v="2023-07-07T00:00:00"/>
    <n v="361"/>
    <n v="15230"/>
    <s v="60571797"/>
    <s v="60571797"/>
    <m/>
    <m/>
    <n v="22783430"/>
    <m/>
    <m/>
    <m/>
    <s v="SOLFIN"/>
    <s v="SOLFIN"/>
    <s v="CCMS"/>
    <n v="21344012"/>
    <n v="12106.2"/>
    <m/>
    <s v="N"/>
    <n v="125"/>
    <d v="2023-07-07T19:03:20"/>
    <s v="Y"/>
    <s v="Preparation - other"/>
    <s v="Care Remuneration Hourly Rates"/>
    <s v="Profit Cost"/>
    <s v="SC"/>
    <s v="Y"/>
    <n v="15.77"/>
    <n v="3.15"/>
    <x v="9"/>
    <s v="VALIDATED"/>
    <n v="1"/>
    <s v="01.11.80.308.6100.0000"/>
    <n v="15.77"/>
    <s v="11"/>
    <s v="6100"/>
    <n v="7191.9"/>
    <n v="15.77"/>
    <s v="CREDITOR"/>
    <n v="0"/>
    <n v="0"/>
    <n v="0"/>
    <n v="0"/>
    <n v="15.77"/>
  </r>
  <r>
    <n v="60571797"/>
    <s v="N"/>
    <n v="21344012"/>
    <s v="3000014835960013"/>
    <s v="CIVIL"/>
    <d v="2023-06-28T00:00:00"/>
    <d v="2023-07-07T19:03:00"/>
    <m/>
    <d v="2023-07-07T00:00:00"/>
    <n v="361"/>
    <n v="15230"/>
    <s v="60571797"/>
    <s v="60571797"/>
    <m/>
    <m/>
    <n v="22783430"/>
    <m/>
    <m/>
    <m/>
    <s v="SOLFIN"/>
    <s v="SOLFIN"/>
    <s v="CCMS"/>
    <n v="21344012"/>
    <n v="12106.2"/>
    <m/>
    <s v="N"/>
    <n v="117"/>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31"/>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18"/>
    <d v="2023-07-07T19:03:20"/>
    <s v="Y"/>
    <s v="Routine Letter In"/>
    <s v="Care Remuneration Hourly Rates"/>
    <s v="Profit Cost"/>
    <s v="AD"/>
    <s v="Y"/>
    <n v="1338.2"/>
    <n v="267.58"/>
    <x v="9"/>
    <s v="VALIDATED"/>
    <n v="1"/>
    <s v="01.11.80.308.6100.0000"/>
    <n v="1338.2"/>
    <s v="11"/>
    <s v="6100"/>
    <n v="7191.9"/>
    <n v="1338.2"/>
    <s v="CREDITOR"/>
    <n v="0"/>
    <n v="0"/>
    <n v="0"/>
    <n v="0"/>
    <n v="1338.2"/>
  </r>
  <r>
    <n v="60571797"/>
    <s v="N"/>
    <n v="21344012"/>
    <s v="3000014835960013"/>
    <s v="CIVIL"/>
    <d v="2023-06-28T00:00:00"/>
    <d v="2023-07-07T19:03:00"/>
    <m/>
    <d v="2023-07-07T00:00:00"/>
    <n v="361"/>
    <n v="15230"/>
    <s v="60571797"/>
    <s v="60571797"/>
    <m/>
    <m/>
    <n v="22783430"/>
    <m/>
    <m/>
    <m/>
    <s v="SOLFIN"/>
    <s v="SOLFIN"/>
    <s v="CCMS"/>
    <n v="21344012"/>
    <n v="12106.2"/>
    <m/>
    <s v="N"/>
    <n v="148"/>
    <d v="2023-07-07T19:03:20"/>
    <s v="Y"/>
    <s v="Hearing Unit 2.31 - 5.00 Hours"/>
    <s v="Public Law Children"/>
    <s v="Advocacy"/>
    <s v="Amanda Dawe"/>
    <s v="Y"/>
    <n v="476.92"/>
    <n v="95.39"/>
    <x v="9"/>
    <s v="VALIDATED"/>
    <n v="1"/>
    <s v="01.11.80.308.6100.0000"/>
    <n v="476.92"/>
    <s v="11"/>
    <s v="6100"/>
    <n v="7191.9"/>
    <n v="476.92"/>
    <s v="CREDITOR"/>
    <n v="0"/>
    <n v="0"/>
    <n v="0"/>
    <n v="0"/>
    <n v="476.92"/>
  </r>
  <r>
    <n v="60571797"/>
    <s v="N"/>
    <n v="21344012"/>
    <s v="3000014835960013"/>
    <s v="CIVIL"/>
    <d v="2023-06-28T00:00:00"/>
    <d v="2023-07-07T19:03:00"/>
    <m/>
    <d v="2023-07-07T00:00:00"/>
    <n v="361"/>
    <n v="15230"/>
    <s v="60571797"/>
    <s v="60571797"/>
    <m/>
    <m/>
    <n v="22783430"/>
    <m/>
    <m/>
    <m/>
    <s v="SOLFIN"/>
    <s v="SOLFIN"/>
    <s v="CCMS"/>
    <n v="21344012"/>
    <n v="12106.2"/>
    <m/>
    <s v="N"/>
    <n v="123"/>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122"/>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5"/>
    <d v="2023-07-07T19:03:20"/>
    <s v="Y"/>
    <s v="Routine Telephone Call"/>
    <s v="Care Remuneration Hourly Rates"/>
    <s v="Profit Cost"/>
    <s v="Non Panel"/>
    <s v="Y"/>
    <n v="33.21"/>
    <n v="6.64"/>
    <x v="9"/>
    <s v="VALIDATED"/>
    <n v="1"/>
    <s v="01.11.80.308.6100.0000"/>
    <n v="33.21"/>
    <s v="11"/>
    <s v="6100"/>
    <n v="7191.9"/>
    <n v="33.21"/>
    <s v="CREDITOR"/>
    <n v="0"/>
    <n v="0"/>
    <n v="0"/>
    <n v="0"/>
    <n v="33.21"/>
  </r>
  <r>
    <n v="60571797"/>
    <s v="N"/>
    <n v="21344012"/>
    <s v="3000014835960013"/>
    <s v="CIVIL"/>
    <d v="2023-06-28T00:00:00"/>
    <d v="2023-07-07T19:03:00"/>
    <m/>
    <d v="2023-07-07T00:00:00"/>
    <n v="361"/>
    <n v="15230"/>
    <s v="60571797"/>
    <s v="60571797"/>
    <m/>
    <m/>
    <n v="22783430"/>
    <m/>
    <m/>
    <m/>
    <s v="SOLFIN"/>
    <s v="SOLFIN"/>
    <s v="CCMS"/>
    <n v="21344012"/>
    <n v="12106.2"/>
    <m/>
    <s v="N"/>
    <n v="152"/>
    <d v="2023-07-07T19:03:20"/>
    <s v="Y"/>
    <s v="Hearing Unit 5.01 - 7.30 Hours"/>
    <s v="Public Law Children"/>
    <s v="Advocacy"/>
    <s v="Amanda Dawe"/>
    <s v="Y"/>
    <n v="715.38"/>
    <n v="143.08"/>
    <x v="9"/>
    <s v="VALIDATED"/>
    <n v="1"/>
    <s v="01.11.80.308.6100.0000"/>
    <n v="715.38"/>
    <s v="11"/>
    <s v="6100"/>
    <n v="7191.9"/>
    <n v="715.38"/>
    <s v="CREDITOR"/>
    <n v="0"/>
    <n v="0"/>
    <n v="0"/>
    <n v="0"/>
    <n v="715.38"/>
  </r>
  <r>
    <n v="60571797"/>
    <s v="N"/>
    <n v="21344012"/>
    <s v="3000014835960013"/>
    <s v="CIVIL"/>
    <d v="2023-06-28T00:00:00"/>
    <d v="2023-07-07T19:03:00"/>
    <m/>
    <d v="2023-07-07T00:00:00"/>
    <n v="361"/>
    <n v="15230"/>
    <s v="60571797"/>
    <s v="60571797"/>
    <m/>
    <m/>
    <n v="22783430"/>
    <m/>
    <m/>
    <m/>
    <s v="SOLFIN"/>
    <s v="SOLFIN"/>
    <s v="CCMS"/>
    <n v="21344012"/>
    <n v="12106.2"/>
    <m/>
    <s v="N"/>
    <n v="60"/>
    <d v="2023-07-07T19:03:20"/>
    <s v="Y"/>
    <s v="Preparation - other"/>
    <s v="Care Remuneration Hourly Rates"/>
    <s v="Profit Cost"/>
    <s v="AD"/>
    <s v="Y"/>
    <n v="54.41"/>
    <n v="10.88"/>
    <x v="9"/>
    <s v="VALIDATED"/>
    <n v="1"/>
    <s v="01.11.80.308.6100.0000"/>
    <n v="54.41"/>
    <s v="11"/>
    <s v="6100"/>
    <n v="7191.9"/>
    <n v="54.41"/>
    <s v="CREDITOR"/>
    <n v="0"/>
    <n v="0"/>
    <n v="0"/>
    <n v="0"/>
    <n v="54.41"/>
  </r>
  <r>
    <n v="60571797"/>
    <s v="N"/>
    <n v="21344012"/>
    <s v="3000014835960013"/>
    <s v="CIVIL"/>
    <d v="2023-06-28T00:00:00"/>
    <d v="2023-07-07T19:03:00"/>
    <m/>
    <d v="2023-07-07T00:00:00"/>
    <n v="361"/>
    <n v="15230"/>
    <s v="60571797"/>
    <s v="60571797"/>
    <m/>
    <m/>
    <n v="22783430"/>
    <m/>
    <m/>
    <m/>
    <s v="SOLFIN"/>
    <s v="SOLFIN"/>
    <s v="CCMS"/>
    <n v="21344012"/>
    <n v="12106.2"/>
    <m/>
    <s v="N"/>
    <n v="70"/>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102"/>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104"/>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07"/>
    <d v="2023-07-07T19:03:20"/>
    <s v="Y"/>
    <s v="Preparation - drafting attendance n"/>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109"/>
    <d v="2023-07-07T19:03:20"/>
    <s v="Y"/>
    <s v="Preparation - drafting statement"/>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27"/>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67"/>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95"/>
    <d v="2023-07-07T19:03:20"/>
    <s v="Y"/>
    <s v="Preparation - other"/>
    <s v="Care Remuneration Hourly Rates"/>
    <s v="Profit Cost"/>
    <s v="SC"/>
    <s v="Y"/>
    <n v="5.26"/>
    <n v="1.05"/>
    <x v="9"/>
    <s v="VALIDATED"/>
    <n v="1"/>
    <s v="01.11.80.308.6100.0000"/>
    <n v="5.26"/>
    <s v="11"/>
    <s v="6100"/>
    <n v="7191.9"/>
    <n v="5.26"/>
    <s v="CREDITOR"/>
    <n v="0"/>
    <n v="0"/>
    <n v="0"/>
    <n v="0"/>
    <n v="5.26"/>
  </r>
  <r>
    <n v="60571797"/>
    <s v="N"/>
    <n v="21344012"/>
    <s v="3000014835960013"/>
    <s v="CIVIL"/>
    <d v="2023-06-28T00:00:00"/>
    <d v="2023-07-07T19:03:00"/>
    <m/>
    <d v="2023-07-07T00:00:00"/>
    <n v="361"/>
    <n v="15230"/>
    <s v="60571797"/>
    <s v="60571797"/>
    <m/>
    <m/>
    <n v="22783430"/>
    <m/>
    <m/>
    <m/>
    <s v="SOLFIN"/>
    <s v="SOLFIN"/>
    <s v="CCMS"/>
    <n v="21344012"/>
    <n v="12106.2"/>
    <m/>
    <s v="N"/>
    <n v="10"/>
    <d v="2023-07-07T19:03:20"/>
    <s v="Y"/>
    <s v="Preparation - drafting attendance n"/>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66"/>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24"/>
    <d v="2023-07-07T19:03:20"/>
    <s v="Y"/>
    <s v="Preparation - drafting attendance n"/>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49"/>
    <d v="2023-07-07T19:03:20"/>
    <s v="Y"/>
    <s v="Advocates Meeting"/>
    <s v="Public Law Children"/>
    <s v="Advocacy"/>
    <s v="Amanda Dawe"/>
    <s v="Y"/>
    <n v="140.99"/>
    <n v="28.2"/>
    <x v="9"/>
    <s v="VALIDATED"/>
    <n v="1"/>
    <s v="01.11.80.308.6100.0000"/>
    <n v="140.99"/>
    <s v="11"/>
    <s v="6100"/>
    <n v="7191.9"/>
    <n v="140.99"/>
    <s v="CREDITOR"/>
    <n v="0"/>
    <n v="0"/>
    <n v="0"/>
    <n v="0"/>
    <n v="140.99"/>
  </r>
  <r>
    <n v="61337725"/>
    <s v="N"/>
    <n v="21327506"/>
    <s v="3000015489210009"/>
    <s v="CIVIL"/>
    <d v="2023-06-26T00:00:00"/>
    <d v="2023-07-04T19:00:44"/>
    <m/>
    <d v="2023-07-04T00:00:00"/>
    <n v="361"/>
    <n v="15230"/>
    <s v="61337725"/>
    <s v="61337725"/>
    <m/>
    <m/>
    <n v="22757902"/>
    <m/>
    <m/>
    <m/>
    <s v="SOLFIN"/>
    <s v="SOLFIN"/>
    <s v="CCMS"/>
    <n v="21327506"/>
    <n v="4434.36"/>
    <m/>
    <s v="N"/>
    <n v="1"/>
    <d v="2023-07-04T19:00:49"/>
    <s v="Y"/>
    <s v="Court Fee"/>
    <s v="Public Law Children"/>
    <s v="Non Expert Disbursement"/>
    <s v="Cheryl James"/>
    <s v="Y"/>
    <n v="167"/>
    <n v="0"/>
    <x v="1"/>
    <s v="VALIDATED"/>
    <n v="1"/>
    <s v="01.11.80.308.6300.0000"/>
    <n v="167"/>
    <s v="11"/>
    <s v="6300"/>
    <n v="7191.9"/>
    <n v="167"/>
    <s v="CREDITOR"/>
    <n v="0"/>
    <n v="0"/>
    <n v="0"/>
    <n v="0"/>
    <n v="167"/>
  </r>
  <r>
    <n v="60571797"/>
    <s v="N"/>
    <n v="21344012"/>
    <s v="3000014835960013"/>
    <s v="CIVIL"/>
    <d v="2023-06-28T00:00:00"/>
    <d v="2023-07-07T19:03:00"/>
    <m/>
    <d v="2023-07-07T00:00:00"/>
    <n v="361"/>
    <n v="15230"/>
    <s v="60571797"/>
    <s v="60571797"/>
    <m/>
    <m/>
    <n v="22783430"/>
    <m/>
    <m/>
    <m/>
    <s v="SOLFIN"/>
    <s v="SOLFIN"/>
    <s v="CCMS"/>
    <n v="21344012"/>
    <n v="12106.2"/>
    <m/>
    <s v="N"/>
    <n v="6"/>
    <d v="2023-07-07T19:03:20"/>
    <s v="Y"/>
    <s v="Attendance upon client"/>
    <s v="Care Remuneration Hourly Rates"/>
    <s v="Profit Cost"/>
    <s v="SC"/>
    <s v="Y"/>
    <n v="52.57"/>
    <n v="10.51"/>
    <x v="9"/>
    <s v="VALIDATED"/>
    <n v="1"/>
    <s v="01.11.80.308.6100.0000"/>
    <n v="52.57"/>
    <s v="11"/>
    <s v="6100"/>
    <n v="7191.9"/>
    <n v="52.57"/>
    <s v="CREDITOR"/>
    <n v="0"/>
    <n v="0"/>
    <n v="0"/>
    <n v="0"/>
    <n v="52.57"/>
  </r>
  <r>
    <n v="60571797"/>
    <s v="N"/>
    <n v="21344012"/>
    <s v="3000014835960013"/>
    <s v="CIVIL"/>
    <d v="2023-06-28T00:00:00"/>
    <d v="2023-07-07T19:03:00"/>
    <m/>
    <d v="2023-07-07T00:00:00"/>
    <n v="361"/>
    <n v="15230"/>
    <s v="60571797"/>
    <s v="60571797"/>
    <m/>
    <m/>
    <n v="22783430"/>
    <m/>
    <m/>
    <m/>
    <s v="SOLFIN"/>
    <s v="SOLFIN"/>
    <s v="CCMS"/>
    <n v="21344012"/>
    <n v="12106.2"/>
    <m/>
    <s v="N"/>
    <n v="147"/>
    <d v="2023-07-07T19:03:20"/>
    <s v="Y"/>
    <s v="Hearing Unit 5.01 - 7.30 Hours"/>
    <s v="Public Law Children"/>
    <s v="Advocacy"/>
    <s v="Amanda Dawe"/>
    <s v="Y"/>
    <n v="715.38"/>
    <n v="143.08"/>
    <x v="9"/>
    <s v="VALIDATED"/>
    <n v="1"/>
    <s v="01.11.80.308.6100.0000"/>
    <n v="715.38"/>
    <s v="11"/>
    <s v="6100"/>
    <n v="7191.9"/>
    <n v="715.38"/>
    <s v="CREDITOR"/>
    <n v="0"/>
    <n v="0"/>
    <n v="0"/>
    <n v="0"/>
    <n v="715.38"/>
  </r>
  <r>
    <n v="60571797"/>
    <s v="N"/>
    <n v="21344012"/>
    <s v="3000014835960013"/>
    <s v="CIVIL"/>
    <d v="2023-06-28T00:00:00"/>
    <d v="2023-07-07T19:03:00"/>
    <m/>
    <d v="2023-07-07T00:00:00"/>
    <n v="361"/>
    <n v="15230"/>
    <s v="60571797"/>
    <s v="60571797"/>
    <m/>
    <m/>
    <n v="22783430"/>
    <m/>
    <m/>
    <m/>
    <s v="SOLFIN"/>
    <s v="SOLFIN"/>
    <s v="CCMS"/>
    <n v="21344012"/>
    <n v="12106.2"/>
    <m/>
    <s v="N"/>
    <n v="97"/>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145"/>
    <d v="2023-07-07T19:03:20"/>
    <s v="Y"/>
    <s v="Advocates Meeting"/>
    <s v="Public Law Children"/>
    <s v="Advocacy"/>
    <s v="Amanda Dawe"/>
    <s v="Y"/>
    <n v="140.99"/>
    <n v="28.2"/>
    <x v="9"/>
    <s v="VALIDATED"/>
    <n v="1"/>
    <s v="01.11.80.308.6100.0000"/>
    <n v="140.99"/>
    <s v="11"/>
    <s v="6100"/>
    <n v="7191.9"/>
    <n v="140.99"/>
    <s v="CREDITOR"/>
    <n v="0"/>
    <n v="0"/>
    <n v="0"/>
    <n v="0"/>
    <n v="140.99"/>
  </r>
  <r>
    <n v="60571797"/>
    <s v="N"/>
    <n v="21344012"/>
    <s v="3000014835960013"/>
    <s v="CIVIL"/>
    <d v="2023-06-28T00:00:00"/>
    <d v="2023-07-07T19:03:00"/>
    <m/>
    <d v="2023-07-07T00:00:00"/>
    <n v="361"/>
    <n v="15230"/>
    <s v="60571797"/>
    <s v="60571797"/>
    <m/>
    <m/>
    <n v="22783430"/>
    <m/>
    <m/>
    <m/>
    <s v="SOLFIN"/>
    <s v="SOLFIN"/>
    <s v="CCMS"/>
    <n v="21344012"/>
    <n v="12106.2"/>
    <m/>
    <s v="N"/>
    <n v="153"/>
    <d v="2023-07-07T19:03:20"/>
    <s v="Y"/>
    <s v="Advocates Meeting"/>
    <s v="Public Law Children"/>
    <s v="Advocacy"/>
    <s v="Amanda Dawe"/>
    <s v="Y"/>
    <n v="140.99"/>
    <n v="28.2"/>
    <x v="9"/>
    <s v="VALIDATED"/>
    <n v="1"/>
    <s v="01.11.80.308.6100.0000"/>
    <n v="140.99"/>
    <s v="11"/>
    <s v="6100"/>
    <n v="7191.9"/>
    <n v="140.99"/>
    <s v="CREDITOR"/>
    <n v="0"/>
    <n v="0"/>
    <n v="0"/>
    <n v="0"/>
    <n v="140.99"/>
  </r>
  <r>
    <n v="60571797"/>
    <s v="N"/>
    <n v="21344012"/>
    <s v="3000014835960013"/>
    <s v="CIVIL"/>
    <d v="2023-06-28T00:00:00"/>
    <d v="2023-07-07T19:03:00"/>
    <m/>
    <d v="2023-07-07T00:00:00"/>
    <n v="361"/>
    <n v="15230"/>
    <s v="60571797"/>
    <s v="60571797"/>
    <m/>
    <m/>
    <n v="22783430"/>
    <m/>
    <m/>
    <m/>
    <s v="SOLFIN"/>
    <s v="SOLFIN"/>
    <s v="CCMS"/>
    <n v="21344012"/>
    <n v="12106.2"/>
    <m/>
    <s v="N"/>
    <n v="113"/>
    <d v="2023-07-07T19:03:20"/>
    <s v="Y"/>
    <s v="Preparation - other"/>
    <s v="Care Remuneration Hourly Rates"/>
    <s v="Profit Cost"/>
    <s v="AD"/>
    <s v="Y"/>
    <n v="12.09"/>
    <n v="2.42"/>
    <x v="9"/>
    <s v="VALIDATED"/>
    <n v="1"/>
    <s v="01.11.80.308.6100.0000"/>
    <n v="12.09"/>
    <s v="11"/>
    <s v="6100"/>
    <n v="7191.9"/>
    <n v="12.09"/>
    <s v="CREDITOR"/>
    <n v="0"/>
    <n v="0"/>
    <n v="0"/>
    <n v="0"/>
    <n v="12.09"/>
  </r>
  <r>
    <n v="61394841"/>
    <s v="N"/>
    <n v="21323982"/>
    <s v="3000015538080007"/>
    <s v="CIVIL"/>
    <d v="2023-06-30T00:00:00"/>
    <d v="2023-07-03T19:05:56"/>
    <m/>
    <d v="2023-07-03T00:00:00"/>
    <n v="361"/>
    <n v="15230"/>
    <s v="61394841"/>
    <s v="61394841"/>
    <m/>
    <m/>
    <n v="22796294"/>
    <m/>
    <m/>
    <m/>
    <s v="SOLPOA"/>
    <s v="SOLPOA"/>
    <s v="CCMS"/>
    <n v="21323982"/>
    <n v="480.9"/>
    <m/>
    <s v="N"/>
    <n v="1"/>
    <d v="2023-07-03T19:05:59"/>
    <s v="N"/>
    <s v="Expert Cost"/>
    <s v="Expert Cost"/>
    <s v="Expert Disbursement"/>
    <s v="Cansford"/>
    <s v="N"/>
    <n v="400.75"/>
    <n v="80.15000000000001"/>
    <x v="3"/>
    <s v="VALIDATED"/>
    <n v="1"/>
    <s v="01.11.80.308.2012.0000"/>
    <n v="400.75"/>
    <s v="11"/>
    <s v="2012"/>
    <n v="7191.9"/>
    <n v="400.75"/>
    <s v="CREDITOR"/>
    <n v="400.75"/>
    <n v="0"/>
    <n v="0"/>
    <n v="0"/>
    <n v="0"/>
  </r>
  <r>
    <n v="60571797"/>
    <s v="N"/>
    <n v="21344012"/>
    <s v="3000014835960013"/>
    <s v="CIVIL"/>
    <d v="2023-06-28T00:00:00"/>
    <d v="2023-07-07T19:03:00"/>
    <m/>
    <d v="2023-07-07T00:00:00"/>
    <n v="361"/>
    <n v="15230"/>
    <s v="60571797"/>
    <s v="60571797"/>
    <m/>
    <m/>
    <n v="22783430"/>
    <m/>
    <m/>
    <m/>
    <s v="SOLFIN"/>
    <s v="SOLFIN"/>
    <s v="CCMS"/>
    <n v="21344012"/>
    <n v="12106.2"/>
    <m/>
    <s v="N"/>
    <n v="126"/>
    <d v="2023-07-07T19:03:20"/>
    <s v="Y"/>
    <s v="Preparation - other"/>
    <s v="Care Remuneration Hourly Rates"/>
    <s v="Profit Cost"/>
    <s v="SC"/>
    <s v="Y"/>
    <n v="21.03"/>
    <n v="4.21"/>
    <x v="9"/>
    <s v="VALIDATED"/>
    <n v="1"/>
    <s v="01.11.80.308.6100.0000"/>
    <n v="21.03"/>
    <s v="11"/>
    <s v="6100"/>
    <n v="7191.9"/>
    <n v="21.03"/>
    <s v="CREDITOR"/>
    <n v="0"/>
    <n v="0"/>
    <n v="0"/>
    <n v="0"/>
    <n v="21.03"/>
  </r>
  <r>
    <n v="60571797"/>
    <s v="N"/>
    <n v="21344012"/>
    <s v="3000014835960013"/>
    <s v="CIVIL"/>
    <d v="2023-06-28T00:00:00"/>
    <d v="2023-07-07T19:03:00"/>
    <m/>
    <d v="2023-07-07T00:00:00"/>
    <n v="361"/>
    <n v="15230"/>
    <s v="60571797"/>
    <s v="60571797"/>
    <m/>
    <m/>
    <n v="22783430"/>
    <m/>
    <m/>
    <m/>
    <s v="SOLFIN"/>
    <s v="SOLFIN"/>
    <s v="CCMS"/>
    <n v="21344012"/>
    <n v="12106.2"/>
    <m/>
    <s v="N"/>
    <n v="29"/>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146"/>
    <d v="2023-07-07T19:03:20"/>
    <s v="Y"/>
    <s v="Hearing Unit 2.31 - 5.00 Hours"/>
    <s v="Public Law Children"/>
    <s v="Advocacy"/>
    <s v="Amanda Dawe"/>
    <s v="Y"/>
    <n v="476.92"/>
    <n v="95.39"/>
    <x v="9"/>
    <s v="VALIDATED"/>
    <n v="1"/>
    <s v="01.11.80.308.6100.0000"/>
    <n v="476.92"/>
    <s v="11"/>
    <s v="6100"/>
    <n v="7191.9"/>
    <n v="476.92"/>
    <s v="CREDITOR"/>
    <n v="0"/>
    <n v="0"/>
    <n v="0"/>
    <n v="0"/>
    <n v="476.92"/>
  </r>
  <r>
    <n v="60571797"/>
    <s v="N"/>
    <n v="21344012"/>
    <s v="3000014835960013"/>
    <s v="CIVIL"/>
    <d v="2023-06-28T00:00:00"/>
    <d v="2023-07-07T19:03:00"/>
    <m/>
    <d v="2023-07-07T00:00:00"/>
    <n v="361"/>
    <n v="15230"/>
    <s v="60571797"/>
    <s v="60571797"/>
    <m/>
    <m/>
    <n v="22783430"/>
    <m/>
    <m/>
    <m/>
    <s v="SOLFIN"/>
    <s v="SOLFIN"/>
    <s v="CCMS"/>
    <n v="21344012"/>
    <n v="12106.2"/>
    <m/>
    <s v="N"/>
    <n v="26"/>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37"/>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45"/>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34"/>
    <d v="2023-07-07T19:03:20"/>
    <s v="Y"/>
    <s v="Preparation - other"/>
    <s v="Care Remuneration Hourly Rates"/>
    <s v="Profit Cost"/>
    <s v="AD"/>
    <s v="Y"/>
    <n v="42.32"/>
    <n v="8.460000000000001"/>
    <x v="9"/>
    <s v="VALIDATED"/>
    <n v="1"/>
    <s v="01.11.80.308.6100.0000"/>
    <n v="42.32"/>
    <s v="11"/>
    <s v="6100"/>
    <n v="7191.9"/>
    <n v="42.32"/>
    <s v="CREDITOR"/>
    <n v="0"/>
    <n v="0"/>
    <n v="0"/>
    <n v="0"/>
    <n v="42.32"/>
  </r>
  <r>
    <n v="60571797"/>
    <s v="N"/>
    <n v="21344012"/>
    <s v="3000014835960013"/>
    <s v="CIVIL"/>
    <d v="2023-06-28T00:00:00"/>
    <d v="2023-07-07T19:03:00"/>
    <m/>
    <d v="2023-07-07T00:00:00"/>
    <n v="361"/>
    <n v="15230"/>
    <s v="60571797"/>
    <s v="60571797"/>
    <m/>
    <m/>
    <n v="22783430"/>
    <m/>
    <m/>
    <m/>
    <s v="SOLFIN"/>
    <s v="SOLFIN"/>
    <s v="CCMS"/>
    <n v="21344012"/>
    <n v="12106.2"/>
    <m/>
    <s v="N"/>
    <n v="65"/>
    <d v="2023-07-07T19:03:20"/>
    <s v="Y"/>
    <s v="Preparation - drafting bill/claim f"/>
    <s v="Care Remuneration Hourly Rates"/>
    <s v="Profit Cost"/>
    <s v="CAE"/>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1"/>
    <d v="2023-07-07T19:03:20"/>
    <s v="Y"/>
    <s v="Interim Hearing Court Bundle/Advoca"/>
    <s v="Public Law Children"/>
    <s v="Advocacy"/>
    <s v="Contested removal hearing"/>
    <s v="Y"/>
    <n v="89.09999999999999"/>
    <n v="17.82"/>
    <x v="9"/>
    <s v="VALIDATED"/>
    <n v="1"/>
    <s v="01.11.80.308.6100.0000"/>
    <n v="89.09999999999999"/>
    <s v="11"/>
    <s v="6100"/>
    <n v="7191.9"/>
    <n v="89.09999999999999"/>
    <s v="CREDITOR"/>
    <n v="0"/>
    <n v="0"/>
    <n v="0"/>
    <n v="0"/>
    <n v="89.09999999999999"/>
  </r>
  <r>
    <n v="61337725"/>
    <s v="N"/>
    <n v="21327506"/>
    <s v="3000015489210009"/>
    <s v="CIVIL"/>
    <d v="2023-06-26T00:00:00"/>
    <d v="2023-07-04T19:00:44"/>
    <m/>
    <d v="2023-07-04T00:00:00"/>
    <n v="361"/>
    <n v="15230"/>
    <s v="61337725"/>
    <s v="61337725"/>
    <m/>
    <m/>
    <n v="22757902"/>
    <m/>
    <m/>
    <m/>
    <s v="SOLFIN"/>
    <s v="SOLFIN"/>
    <s v="CCMS"/>
    <n v="21327506"/>
    <n v="4434.36"/>
    <m/>
    <s v="N"/>
    <n v="6"/>
    <d v="2023-07-04T19:00:49"/>
    <s v="Y"/>
    <s v="Solicitors Fixed Fee"/>
    <s v="Public Law Children"/>
    <s v="Profit Cost"/>
    <s v="Cheryl James"/>
    <s v="Y"/>
    <n v="2616"/>
    <n v="523.2"/>
    <x v="1"/>
    <s v="VALIDATED"/>
    <n v="1"/>
    <s v="01.11.80.308.6100.0000"/>
    <n v="2616"/>
    <s v="11"/>
    <s v="6100"/>
    <n v="7191.9"/>
    <n v="2616"/>
    <s v="CREDITOR"/>
    <n v="0"/>
    <n v="0"/>
    <n v="0"/>
    <n v="0"/>
    <n v="2616"/>
  </r>
  <r>
    <n v="60571797"/>
    <s v="N"/>
    <n v="21344012"/>
    <s v="3000014835960013"/>
    <s v="CIVIL"/>
    <d v="2023-06-28T00:00:00"/>
    <d v="2023-07-07T19:03:00"/>
    <m/>
    <d v="2023-07-07T00:00:00"/>
    <n v="361"/>
    <n v="15230"/>
    <s v="60571797"/>
    <s v="60571797"/>
    <m/>
    <m/>
    <n v="22783430"/>
    <m/>
    <m/>
    <m/>
    <s v="SOLFIN"/>
    <s v="SOLFIN"/>
    <s v="CCMS"/>
    <n v="21344012"/>
    <n v="12106.2"/>
    <m/>
    <s v="N"/>
    <n v="64"/>
    <d v="2023-07-07T19:03:20"/>
    <s v="Y"/>
    <s v="Preparation - other"/>
    <s v="Care Remuneration Hourly Rates"/>
    <s v="Profit Cost"/>
    <s v="SC"/>
    <s v="Y"/>
    <n v="15.77"/>
    <n v="3.15"/>
    <x v="9"/>
    <s v="VALIDATED"/>
    <n v="1"/>
    <s v="01.11.80.308.6100.0000"/>
    <n v="15.77"/>
    <s v="11"/>
    <s v="6100"/>
    <n v="7191.9"/>
    <n v="15.77"/>
    <s v="CREDITOR"/>
    <n v="0"/>
    <n v="0"/>
    <n v="0"/>
    <n v="0"/>
    <n v="15.77"/>
  </r>
  <r>
    <n v="60571797"/>
    <s v="N"/>
    <n v="21344012"/>
    <s v="3000014835960013"/>
    <s v="CIVIL"/>
    <d v="2023-06-28T00:00:00"/>
    <d v="2023-07-07T19:03:00"/>
    <m/>
    <d v="2023-07-07T00:00:00"/>
    <n v="361"/>
    <n v="15230"/>
    <s v="60571797"/>
    <s v="60571797"/>
    <m/>
    <m/>
    <n v="22783430"/>
    <m/>
    <m/>
    <m/>
    <s v="SOLFIN"/>
    <s v="SOLFIN"/>
    <s v="CCMS"/>
    <n v="21344012"/>
    <n v="12106.2"/>
    <m/>
    <s v="N"/>
    <n v="119"/>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33"/>
    <d v="2023-07-07T19:03:20"/>
    <s v="Y"/>
    <s v="Preparation - other"/>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143"/>
    <d v="2023-07-07T19:03:20"/>
    <s v="Y"/>
    <s v="Preparation - other"/>
    <s v="Care Remuneration Hourly Rates"/>
    <s v="Profit Cost"/>
    <s v="AD"/>
    <s v="Y"/>
    <n v="12.09"/>
    <n v="2.42"/>
    <x v="9"/>
    <s v="VALIDATED"/>
    <n v="1"/>
    <s v="01.11.80.308.6100.0000"/>
    <n v="12.09"/>
    <s v="11"/>
    <s v="6100"/>
    <n v="7191.9"/>
    <n v="12.09"/>
    <s v="CREDITOR"/>
    <n v="0"/>
    <n v="0"/>
    <n v="0"/>
    <n v="0"/>
    <n v="12.09"/>
  </r>
  <r>
    <n v="61315831"/>
    <s v="N"/>
    <n v="21323798"/>
    <s v="3000015471700010"/>
    <s v="CIVIL"/>
    <d v="2023-06-30T00:00:00"/>
    <d v="2023-07-03T19:05:56"/>
    <m/>
    <d v="2023-07-03T00:00:00"/>
    <n v="361"/>
    <n v="15230"/>
    <s v="61315831"/>
    <s v="61315831"/>
    <m/>
    <m/>
    <n v="22797928"/>
    <m/>
    <m/>
    <m/>
    <s v="SOLPOA"/>
    <s v="SOLPOA"/>
    <s v="CCMS"/>
    <n v="21323798"/>
    <n v="620.7"/>
    <m/>
    <s v="N"/>
    <n v="1"/>
    <d v="2023-07-03T19:05:59"/>
    <s v="N"/>
    <s v="Expert Cost"/>
    <s v="Expert Cost"/>
    <s v="Expert Disbursement"/>
    <s v="Lextox"/>
    <s v="N"/>
    <n v="517.25"/>
    <n v="103.45"/>
    <x v="3"/>
    <s v="VALIDATED"/>
    <n v="1"/>
    <s v="01.11.80.308.2012.0000"/>
    <n v="517.25"/>
    <s v="11"/>
    <s v="2012"/>
    <n v="7191.9"/>
    <n v="517.25"/>
    <s v="CREDITOR"/>
    <n v="517.25"/>
    <n v="0"/>
    <n v="0"/>
    <n v="0"/>
    <n v="0"/>
  </r>
  <r>
    <n v="60571797"/>
    <s v="N"/>
    <n v="21344012"/>
    <s v="3000014835960013"/>
    <s v="CIVIL"/>
    <d v="2023-06-28T00:00:00"/>
    <d v="2023-07-07T19:03:00"/>
    <m/>
    <d v="2023-07-07T00:00:00"/>
    <n v="361"/>
    <n v="15230"/>
    <s v="60571797"/>
    <s v="60571797"/>
    <m/>
    <m/>
    <n v="22783430"/>
    <m/>
    <m/>
    <m/>
    <s v="SOLFIN"/>
    <s v="SOLFIN"/>
    <s v="CCMS"/>
    <n v="21344012"/>
    <n v="12106.2"/>
    <m/>
    <s v="N"/>
    <n v="137"/>
    <d v="2023-07-07T19:03:20"/>
    <s v="Y"/>
    <s v="Attendance upon client"/>
    <s v="Care Remuneration Hourly Rates"/>
    <s v="Profit Cost"/>
    <s v="AD"/>
    <s v="Y"/>
    <n v="48.37"/>
    <n v="9.67"/>
    <x v="9"/>
    <s v="VALIDATED"/>
    <n v="1"/>
    <s v="01.11.80.308.6100.0000"/>
    <n v="48.37"/>
    <s v="11"/>
    <s v="6100"/>
    <n v="7191.9"/>
    <n v="48.37"/>
    <s v="CREDITOR"/>
    <n v="0"/>
    <n v="0"/>
    <n v="0"/>
    <n v="0"/>
    <n v="48.37"/>
  </r>
  <r>
    <n v="60571797"/>
    <s v="N"/>
    <n v="21344012"/>
    <s v="3000014835960013"/>
    <s v="CIVIL"/>
    <d v="2023-06-28T00:00:00"/>
    <d v="2023-07-07T19:03:00"/>
    <m/>
    <d v="2023-07-07T00:00:00"/>
    <n v="361"/>
    <n v="15230"/>
    <s v="60571797"/>
    <s v="60571797"/>
    <m/>
    <m/>
    <n v="22783430"/>
    <m/>
    <m/>
    <m/>
    <s v="SOLFIN"/>
    <s v="SOLFIN"/>
    <s v="CCMS"/>
    <n v="21344012"/>
    <n v="12106.2"/>
    <m/>
    <s v="N"/>
    <n v="52"/>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53"/>
    <d v="2023-07-07T19:03:20"/>
    <s v="Y"/>
    <s v="Preparation - other"/>
    <s v="Care Remuneration Hourly Rates"/>
    <s v="Profit Cost"/>
    <s v="AD"/>
    <s v="Y"/>
    <n v="48.37"/>
    <n v="9.67"/>
    <x v="9"/>
    <s v="VALIDATED"/>
    <n v="1"/>
    <s v="01.11.80.308.6100.0000"/>
    <n v="48.37"/>
    <s v="11"/>
    <s v="6100"/>
    <n v="7191.9"/>
    <n v="48.37"/>
    <s v="CREDITOR"/>
    <n v="0"/>
    <n v="0"/>
    <n v="0"/>
    <n v="0"/>
    <n v="48.37"/>
  </r>
  <r>
    <n v="60571797"/>
    <s v="N"/>
    <n v="21344012"/>
    <s v="3000014835960013"/>
    <s v="CIVIL"/>
    <d v="2023-06-28T00:00:00"/>
    <d v="2023-07-07T19:03:00"/>
    <m/>
    <d v="2023-07-07T00:00:00"/>
    <n v="361"/>
    <n v="15230"/>
    <s v="60571797"/>
    <s v="60571797"/>
    <m/>
    <m/>
    <n v="22783430"/>
    <m/>
    <m/>
    <m/>
    <s v="SOLFIN"/>
    <s v="SOLFIN"/>
    <s v="CCMS"/>
    <n v="21344012"/>
    <n v="12106.2"/>
    <m/>
    <s v="N"/>
    <n v="103"/>
    <d v="2023-07-07T19:03:20"/>
    <s v="Y"/>
    <s v="Attendance upon client"/>
    <s v="Care Remuneration Hourly Rates"/>
    <s v="Profit Cost"/>
    <s v="AD"/>
    <s v="Y"/>
    <n v="30.23"/>
    <n v="6.05"/>
    <x v="9"/>
    <s v="VALIDATED"/>
    <n v="1"/>
    <s v="01.11.80.308.6100.0000"/>
    <n v="30.23"/>
    <s v="11"/>
    <s v="6100"/>
    <n v="7191.9"/>
    <n v="30.23"/>
    <s v="CREDITOR"/>
    <n v="0"/>
    <n v="0"/>
    <n v="0"/>
    <n v="0"/>
    <n v="30.23"/>
  </r>
  <r>
    <n v="60571797"/>
    <s v="N"/>
    <n v="21344012"/>
    <s v="3000014835960013"/>
    <s v="CIVIL"/>
    <d v="2023-06-28T00:00:00"/>
    <d v="2023-07-07T19:03:00"/>
    <m/>
    <d v="2023-07-07T00:00:00"/>
    <n v="361"/>
    <n v="15230"/>
    <s v="60571797"/>
    <s v="60571797"/>
    <m/>
    <m/>
    <n v="22783430"/>
    <m/>
    <m/>
    <m/>
    <s v="SOLFIN"/>
    <s v="SOLFIN"/>
    <s v="CCMS"/>
    <n v="21344012"/>
    <n v="12106.2"/>
    <m/>
    <s v="N"/>
    <n v="8"/>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00"/>
    <d v="2023-07-07T19:03:20"/>
    <s v="Y"/>
    <s v="Preparation - other"/>
    <s v="Care Remuneration Hourly Rates"/>
    <s v="Profit Cost"/>
    <s v="SC"/>
    <s v="Y"/>
    <n v="5.26"/>
    <n v="1.05"/>
    <x v="9"/>
    <s v="VALIDATED"/>
    <n v="1"/>
    <s v="01.11.80.308.6100.0000"/>
    <n v="5.26"/>
    <s v="11"/>
    <s v="6100"/>
    <n v="7191.9"/>
    <n v="5.26"/>
    <s v="CREDITOR"/>
    <n v="0"/>
    <n v="0"/>
    <n v="0"/>
    <n v="0"/>
    <n v="5.26"/>
  </r>
  <r>
    <n v="60571797"/>
    <s v="N"/>
    <n v="21344012"/>
    <s v="3000014835960013"/>
    <s v="CIVIL"/>
    <d v="2023-06-28T00:00:00"/>
    <d v="2023-07-07T19:03:00"/>
    <m/>
    <d v="2023-07-07T00:00:00"/>
    <n v="361"/>
    <n v="15230"/>
    <s v="60571797"/>
    <s v="60571797"/>
    <m/>
    <m/>
    <n v="22783430"/>
    <m/>
    <m/>
    <m/>
    <s v="SOLFIN"/>
    <s v="SOLFIN"/>
    <s v="CCMS"/>
    <n v="21344012"/>
    <n v="12106.2"/>
    <m/>
    <s v="N"/>
    <n v="81"/>
    <d v="2023-07-07T19:03:20"/>
    <s v="Y"/>
    <s v="Preparation - drafting application"/>
    <s v="Care Remuneration Hourly Rates"/>
    <s v="Profit Cost"/>
    <s v="Sophi Carroll (SC)"/>
    <s v="Y"/>
    <n v="26.29"/>
    <n v="5.26"/>
    <x v="9"/>
    <s v="VALIDATED"/>
    <n v="1"/>
    <s v="01.11.80.308.6100.0000"/>
    <n v="26.29"/>
    <s v="11"/>
    <s v="6100"/>
    <n v="7191.9"/>
    <n v="26.29"/>
    <s v="CREDITOR"/>
    <n v="0"/>
    <n v="0"/>
    <n v="0"/>
    <n v="0"/>
    <n v="26.29"/>
  </r>
  <r>
    <n v="61394841"/>
    <s v="N"/>
    <n v="21323588"/>
    <s v="3000015538080006"/>
    <s v="CIVIL"/>
    <d v="2023-06-30T00:00:00"/>
    <d v="2023-07-03T19:05:56"/>
    <m/>
    <d v="2023-07-03T00:00:00"/>
    <n v="361"/>
    <n v="15230"/>
    <s v="61394841"/>
    <s v="61394841"/>
    <m/>
    <m/>
    <n v="22796390"/>
    <m/>
    <m/>
    <m/>
    <s v="SOLPOA"/>
    <s v="SOLPOA"/>
    <s v="CCMS"/>
    <n v="21323588"/>
    <n v="53.4"/>
    <m/>
    <s v="N"/>
    <n v="1"/>
    <d v="2023-07-03T19:05:57"/>
    <s v="N"/>
    <s v="Non Expert Disbursement"/>
    <s v="Non Expert Disbursement"/>
    <s v="Non Expert Disbursement"/>
    <s v="Solicitor mileage"/>
    <s v="N"/>
    <n v="44.5"/>
    <n v="8.9"/>
    <x v="3"/>
    <s v="VALIDATED"/>
    <n v="1"/>
    <s v="01.11.80.308.2012.0000"/>
    <n v="44.5"/>
    <s v="11"/>
    <s v="2012"/>
    <n v="7191.9"/>
    <n v="44.5"/>
    <s v="CREDITOR"/>
    <n v="44.5"/>
    <n v="0"/>
    <n v="0"/>
    <n v="0"/>
    <n v="0"/>
  </r>
  <r>
    <n v="60571797"/>
    <s v="N"/>
    <n v="21344012"/>
    <s v="3000014835960013"/>
    <s v="CIVIL"/>
    <d v="2023-06-28T00:00:00"/>
    <d v="2023-07-07T19:03:00"/>
    <m/>
    <d v="2023-07-07T00:00:00"/>
    <n v="361"/>
    <n v="15230"/>
    <s v="60571797"/>
    <s v="60571797"/>
    <m/>
    <m/>
    <n v="22783430"/>
    <m/>
    <m/>
    <m/>
    <s v="SOLFIN"/>
    <s v="SOLFIN"/>
    <s v="CCMS"/>
    <n v="21344012"/>
    <n v="12106.2"/>
    <m/>
    <s v="N"/>
    <n v="101"/>
    <d v="2023-07-07T19:03:20"/>
    <s v="Y"/>
    <s v="Attendance upon client"/>
    <s v="Care Remuneration Hourly Rates"/>
    <s v="Profit Cost"/>
    <s v="AD"/>
    <s v="Y"/>
    <n v="30.23"/>
    <n v="6.05"/>
    <x v="9"/>
    <s v="VALIDATED"/>
    <n v="1"/>
    <s v="01.11.80.308.6100.0000"/>
    <n v="30.23"/>
    <s v="11"/>
    <s v="6100"/>
    <n v="7191.9"/>
    <n v="30.23"/>
    <s v="CREDITOR"/>
    <n v="0"/>
    <n v="0"/>
    <n v="0"/>
    <n v="0"/>
    <n v="30.23"/>
  </r>
  <r>
    <n v="60571797"/>
    <s v="N"/>
    <n v="21344012"/>
    <s v="3000014835960013"/>
    <s v="CIVIL"/>
    <d v="2023-06-28T00:00:00"/>
    <d v="2023-07-07T19:03:00"/>
    <m/>
    <d v="2023-07-07T00:00:00"/>
    <n v="361"/>
    <n v="15230"/>
    <s v="60571797"/>
    <s v="60571797"/>
    <m/>
    <m/>
    <n v="22783430"/>
    <m/>
    <m/>
    <m/>
    <s v="SOLFIN"/>
    <s v="SOLFIN"/>
    <s v="CCMS"/>
    <n v="21344012"/>
    <n v="12106.2"/>
    <m/>
    <s v="N"/>
    <n v="85"/>
    <d v="2023-07-07T19:03:20"/>
    <s v="Y"/>
    <s v="Preparation - other"/>
    <s v="Care Remuneration Hourly Rates"/>
    <s v="Profit Cost"/>
    <s v="SC"/>
    <s v="Y"/>
    <n v="5.26"/>
    <n v="1.05"/>
    <x v="9"/>
    <s v="VALIDATED"/>
    <n v="1"/>
    <s v="01.11.80.308.6100.0000"/>
    <n v="5.26"/>
    <s v="11"/>
    <s v="6100"/>
    <n v="7191.9"/>
    <n v="5.26"/>
    <s v="CREDITOR"/>
    <n v="0"/>
    <n v="0"/>
    <n v="0"/>
    <n v="0"/>
    <n v="5.26"/>
  </r>
  <r>
    <n v="60571797"/>
    <s v="N"/>
    <n v="21344012"/>
    <s v="3000014835960013"/>
    <s v="CIVIL"/>
    <d v="2023-06-28T00:00:00"/>
    <d v="2023-07-07T19:03:00"/>
    <m/>
    <d v="2023-07-07T00:00:00"/>
    <n v="361"/>
    <n v="15230"/>
    <s v="60571797"/>
    <s v="60571797"/>
    <m/>
    <m/>
    <n v="22783430"/>
    <m/>
    <m/>
    <m/>
    <s v="SOLFIN"/>
    <s v="SOLFIN"/>
    <s v="CCMS"/>
    <n v="21344012"/>
    <n v="12106.2"/>
    <m/>
    <s v="N"/>
    <n v="2"/>
    <d v="2023-07-07T19:03:20"/>
    <s v="Y"/>
    <s v="Routine Telephone Call"/>
    <s v="Care Remuneration Hourly Rates"/>
    <s v="Profit Cost"/>
    <s v="AD"/>
    <s v="Y"/>
    <n v="29.7"/>
    <n v="5.94"/>
    <x v="9"/>
    <s v="VALIDATED"/>
    <n v="1"/>
    <s v="01.11.80.308.6100.0000"/>
    <n v="29.7"/>
    <s v="11"/>
    <s v="6100"/>
    <n v="7191.9"/>
    <n v="29.7"/>
    <s v="CREDITOR"/>
    <n v="0"/>
    <n v="0"/>
    <n v="0"/>
    <n v="0"/>
    <n v="29.7"/>
  </r>
  <r>
    <n v="60571797"/>
    <s v="N"/>
    <n v="21344012"/>
    <s v="3000014835960013"/>
    <s v="CIVIL"/>
    <d v="2023-06-28T00:00:00"/>
    <d v="2023-07-07T19:03:00"/>
    <m/>
    <d v="2023-07-07T00:00:00"/>
    <n v="361"/>
    <n v="15230"/>
    <s v="60571797"/>
    <s v="60571797"/>
    <m/>
    <m/>
    <n v="22783430"/>
    <m/>
    <m/>
    <m/>
    <s v="SOLFIN"/>
    <s v="SOLFIN"/>
    <s v="CCMS"/>
    <n v="21344012"/>
    <n v="12106.2"/>
    <m/>
    <s v="N"/>
    <n v="3"/>
    <d v="2023-07-07T19:03:20"/>
    <s v="Y"/>
    <s v="Routine Letter Out"/>
    <s v="Care Remuneration Hourly Rates"/>
    <s v="Profit Cost"/>
    <s v="Non Panel"/>
    <s v="Y"/>
    <n v="236.16"/>
    <n v="47.23"/>
    <x v="9"/>
    <s v="VALIDATED"/>
    <n v="1"/>
    <s v="01.11.80.308.6100.0000"/>
    <n v="236.16"/>
    <s v="11"/>
    <s v="6100"/>
    <n v="7191.9"/>
    <n v="236.16"/>
    <s v="CREDITOR"/>
    <n v="0"/>
    <n v="0"/>
    <n v="0"/>
    <n v="0"/>
    <n v="236.16"/>
  </r>
  <r>
    <n v="60571797"/>
    <s v="N"/>
    <n v="21344012"/>
    <s v="3000014835960013"/>
    <s v="CIVIL"/>
    <d v="2023-06-28T00:00:00"/>
    <d v="2023-07-07T19:03:00"/>
    <m/>
    <d v="2023-07-07T00:00:00"/>
    <n v="361"/>
    <n v="15230"/>
    <s v="60571797"/>
    <s v="60571797"/>
    <m/>
    <m/>
    <n v="22783430"/>
    <m/>
    <m/>
    <m/>
    <s v="SOLFIN"/>
    <s v="SOLFIN"/>
    <s v="CCMS"/>
    <n v="21344012"/>
    <n v="12106.2"/>
    <m/>
    <s v="N"/>
    <n v="124"/>
    <d v="2023-07-07T19:03:20"/>
    <s v="Y"/>
    <s v="Preparation - drafting pleadings"/>
    <s v="Care Remuneration Hourly Rates"/>
    <s v="Profit Cost"/>
    <s v="SC"/>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17"/>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54"/>
    <d v="2023-07-07T19:03:20"/>
    <s v="Y"/>
    <s v="Advocates Meeting"/>
    <s v="Public Law Children"/>
    <s v="Advocacy"/>
    <s v="Amanda Dawe"/>
    <s v="Y"/>
    <n v="140.99"/>
    <n v="28.2"/>
    <x v="9"/>
    <s v="VALIDATED"/>
    <n v="1"/>
    <s v="01.11.80.308.6100.0000"/>
    <n v="140.99"/>
    <s v="11"/>
    <s v="6100"/>
    <n v="7191.9"/>
    <n v="140.99"/>
    <s v="CREDITOR"/>
    <n v="0"/>
    <n v="0"/>
    <n v="0"/>
    <n v="0"/>
    <n v="140.99"/>
  </r>
  <r>
    <n v="61337725"/>
    <s v="N"/>
    <n v="21327506"/>
    <s v="3000015489210009"/>
    <s v="CIVIL"/>
    <d v="2023-06-26T00:00:00"/>
    <d v="2023-07-04T19:00:44"/>
    <m/>
    <d v="2023-07-04T00:00:00"/>
    <n v="361"/>
    <n v="15230"/>
    <s v="61337725"/>
    <s v="61337725"/>
    <m/>
    <m/>
    <n v="22757902"/>
    <m/>
    <m/>
    <m/>
    <s v="SOLFIN"/>
    <s v="SOLFIN"/>
    <s v="CCMS"/>
    <n v="21327506"/>
    <n v="4434.36"/>
    <m/>
    <s v="N"/>
    <n v="4"/>
    <d v="2023-07-04T19:00:49"/>
    <s v="Y"/>
    <s v="Advocates Meeting"/>
    <s v="Public Law Children"/>
    <s v="Advocacy"/>
    <s v="Sophi Carroll"/>
    <s v="Y"/>
    <n v="140.99"/>
    <n v="28.2"/>
    <x v="1"/>
    <s v="VALIDATED"/>
    <n v="1"/>
    <s v="01.11.80.308.6100.0000"/>
    <n v="140.99"/>
    <s v="11"/>
    <s v="6100"/>
    <n v="7191.9"/>
    <n v="140.99"/>
    <s v="CREDITOR"/>
    <n v="0"/>
    <n v="0"/>
    <n v="0"/>
    <n v="0"/>
    <n v="140.99"/>
  </r>
  <r>
    <n v="60571797"/>
    <s v="N"/>
    <n v="21344012"/>
    <s v="3000014835960013"/>
    <s v="CIVIL"/>
    <d v="2023-06-28T00:00:00"/>
    <d v="2023-07-07T19:03:00"/>
    <m/>
    <d v="2023-07-07T00:00:00"/>
    <n v="361"/>
    <n v="15230"/>
    <s v="60571797"/>
    <s v="60571797"/>
    <m/>
    <m/>
    <n v="22783430"/>
    <m/>
    <m/>
    <m/>
    <s v="SOLFIN"/>
    <s v="SOLFIN"/>
    <s v="CCMS"/>
    <n v="21344012"/>
    <n v="12106.2"/>
    <m/>
    <s v="N"/>
    <n v="116"/>
    <d v="2023-07-07T19:03:20"/>
    <s v="Y"/>
    <s v="Preparation - other"/>
    <s v="Care Remuneration Hourly Rates"/>
    <s v="Profit Cost"/>
    <s v="AD"/>
    <s v="Y"/>
    <n v="12.09"/>
    <n v="2.42"/>
    <x v="9"/>
    <s v="VALIDATED"/>
    <n v="1"/>
    <s v="01.11.80.308.6100.0000"/>
    <n v="12.09"/>
    <s v="11"/>
    <s v="6100"/>
    <n v="7191.9"/>
    <n v="12.09"/>
    <s v="CREDITOR"/>
    <n v="0"/>
    <n v="0"/>
    <n v="0"/>
    <n v="0"/>
    <n v="12.09"/>
  </r>
  <r>
    <n v="61763120"/>
    <s v="N"/>
    <n v="21323457"/>
    <s v="3000015841200010"/>
    <s v="CIVIL"/>
    <d v="2023-06-30T00:00:00"/>
    <d v="2023-07-03T19:05:56"/>
    <m/>
    <d v="2023-07-03T00:00:00"/>
    <n v="361"/>
    <n v="15230"/>
    <s v="61763120"/>
    <s v="61763120"/>
    <m/>
    <m/>
    <n v="22798120"/>
    <m/>
    <m/>
    <m/>
    <s v="SOLPOA"/>
    <s v="SOLPOA"/>
    <s v="CCMS"/>
    <n v="21323457"/>
    <n v="146.88"/>
    <m/>
    <s v="N"/>
    <n v="1"/>
    <d v="2023-07-03T19:05:57"/>
    <s v="N"/>
    <s v="Expert Cost"/>
    <s v="Expert Cost"/>
    <s v="Expert Disbursement"/>
    <s v="Dr Russell Keenan"/>
    <s v="N"/>
    <n v="122.4"/>
    <n v="24.48"/>
    <x v="3"/>
    <s v="VALIDATED"/>
    <n v="1"/>
    <s v="01.11.80.308.2012.0000"/>
    <n v="122.4"/>
    <s v="11"/>
    <s v="2012"/>
    <n v="7191.9"/>
    <n v="122.4"/>
    <s v="CREDITOR"/>
    <n v="122.4"/>
    <n v="0"/>
    <n v="0"/>
    <n v="0"/>
    <n v="0"/>
  </r>
  <r>
    <n v="60571797"/>
    <s v="N"/>
    <n v="21344012"/>
    <s v="3000014835960013"/>
    <s v="CIVIL"/>
    <d v="2023-06-28T00:00:00"/>
    <d v="2023-07-07T19:03:00"/>
    <m/>
    <d v="2023-07-07T00:00:00"/>
    <n v="361"/>
    <n v="15230"/>
    <s v="60571797"/>
    <s v="60571797"/>
    <m/>
    <m/>
    <n v="22783430"/>
    <m/>
    <m/>
    <m/>
    <s v="SOLFIN"/>
    <s v="SOLFIN"/>
    <s v="CCMS"/>
    <n v="21344012"/>
    <n v="12106.2"/>
    <m/>
    <s v="N"/>
    <n v="25"/>
    <d v="2023-07-07T19:03:20"/>
    <s v="Y"/>
    <s v="Preparation - drafting attendance n"/>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42"/>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88"/>
    <d v="2023-07-07T19:03:20"/>
    <s v="Y"/>
    <s v="Preparation - other"/>
    <s v="Care Remuneration Hourly Rates"/>
    <s v="Profit Cost"/>
    <s v="AD"/>
    <s v="Y"/>
    <n v="48.37"/>
    <n v="9.67"/>
    <x v="9"/>
    <s v="VALIDATED"/>
    <n v="1"/>
    <s v="01.11.80.308.6100.0000"/>
    <n v="48.37"/>
    <s v="11"/>
    <s v="6100"/>
    <n v="7191.9"/>
    <n v="48.37"/>
    <s v="CREDITOR"/>
    <n v="0"/>
    <n v="0"/>
    <n v="0"/>
    <n v="0"/>
    <n v="48.37"/>
  </r>
  <r>
    <n v="61337725"/>
    <s v="N"/>
    <n v="21327506"/>
    <s v="3000015489210009"/>
    <s v="CIVIL"/>
    <d v="2023-06-26T00:00:00"/>
    <d v="2023-07-04T19:00:44"/>
    <m/>
    <d v="2023-07-04T00:00:00"/>
    <n v="361"/>
    <n v="15230"/>
    <s v="61337725"/>
    <s v="61337725"/>
    <m/>
    <m/>
    <n v="22757902"/>
    <m/>
    <m/>
    <m/>
    <s v="SOLFIN"/>
    <s v="SOLFIN"/>
    <s v="CCMS"/>
    <n v="21327506"/>
    <n v="4434.36"/>
    <m/>
    <s v="N"/>
    <n v="2"/>
    <d v="2023-07-04T19:00:49"/>
    <s v="Y"/>
    <s v="Psychologist"/>
    <s v="Public Law Children"/>
    <s v="Expert Disbursement"/>
    <s v="Cheryl James"/>
    <s v="Y"/>
    <n v="548.15"/>
    <n v="109.63"/>
    <x v="1"/>
    <s v="VALIDATED"/>
    <n v="1"/>
    <s v="01.11.80.308.6300.0000"/>
    <n v="548.15"/>
    <s v="11"/>
    <s v="6300"/>
    <n v="7191.9"/>
    <n v="548.15"/>
    <s v="CREDITOR"/>
    <n v="0"/>
    <n v="0"/>
    <n v="0"/>
    <n v="0"/>
    <n v="548.15"/>
  </r>
  <r>
    <n v="60571797"/>
    <s v="N"/>
    <n v="21344012"/>
    <s v="3000014835960013"/>
    <s v="CIVIL"/>
    <d v="2023-06-28T00:00:00"/>
    <d v="2023-07-07T19:03:00"/>
    <m/>
    <d v="2023-07-07T00:00:00"/>
    <n v="361"/>
    <n v="15230"/>
    <s v="60571797"/>
    <s v="60571797"/>
    <m/>
    <m/>
    <n v="22783430"/>
    <m/>
    <m/>
    <m/>
    <s v="SOLFIN"/>
    <s v="SOLFIN"/>
    <s v="CCMS"/>
    <n v="21344012"/>
    <n v="12106.2"/>
    <m/>
    <s v="N"/>
    <n v="80"/>
    <d v="2023-07-07T19:03:20"/>
    <s v="Y"/>
    <s v="Report - Medical report"/>
    <s v="Care Remuneration Hourly Rates"/>
    <s v="Profit Cost"/>
    <s v="AD"/>
    <s v="Y"/>
    <n v="84.64"/>
    <n v="16.93"/>
    <x v="9"/>
    <s v="VALIDATED"/>
    <n v="1"/>
    <s v="01.11.80.308.6100.0000"/>
    <n v="84.64"/>
    <s v="11"/>
    <s v="6100"/>
    <n v="7191.9"/>
    <n v="84.64"/>
    <s v="CREDITOR"/>
    <n v="0"/>
    <n v="0"/>
    <n v="0"/>
    <n v="0"/>
    <n v="84.64"/>
  </r>
  <r>
    <n v="60571797"/>
    <s v="N"/>
    <n v="21344012"/>
    <s v="3000014835960013"/>
    <s v="CIVIL"/>
    <d v="2023-06-28T00:00:00"/>
    <d v="2023-07-07T19:03:00"/>
    <m/>
    <d v="2023-07-07T00:00:00"/>
    <n v="361"/>
    <n v="15230"/>
    <s v="60571797"/>
    <s v="60571797"/>
    <m/>
    <m/>
    <n v="22783430"/>
    <m/>
    <m/>
    <m/>
    <s v="SOLFIN"/>
    <s v="SOLFIN"/>
    <s v="CCMS"/>
    <n v="21344012"/>
    <n v="12106.2"/>
    <m/>
    <s v="N"/>
    <n v="91"/>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114"/>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9"/>
    <d v="2023-07-07T19:03:20"/>
    <s v="Y"/>
    <s v="Preparation - other"/>
    <s v="Care Remuneration Hourly Rates"/>
    <s v="Profit Cost"/>
    <s v="SC"/>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32"/>
    <d v="2023-07-07T19:03:20"/>
    <s v="Y"/>
    <s v="Preparation - other"/>
    <s v="Care Remuneration Hourly Rates"/>
    <s v="Profit Cost"/>
    <s v="SC"/>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112"/>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27"/>
    <d v="2023-07-07T19:03:20"/>
    <s v="Y"/>
    <s v="Preparation - other"/>
    <s v="Care Remuneration Hourly Rates"/>
    <s v="Profit Cost"/>
    <s v="AD"/>
    <s v="Y"/>
    <n v="30.23"/>
    <n v="6.05"/>
    <x v="9"/>
    <s v="VALIDATED"/>
    <n v="1"/>
    <s v="01.11.80.308.6100.0000"/>
    <n v="30.23"/>
    <s v="11"/>
    <s v="6100"/>
    <n v="7191.9"/>
    <n v="30.23"/>
    <s v="CREDITOR"/>
    <n v="0"/>
    <n v="0"/>
    <n v="0"/>
    <n v="0"/>
    <n v="30.23"/>
  </r>
  <r>
    <n v="60571797"/>
    <s v="N"/>
    <n v="21344012"/>
    <s v="3000014835960013"/>
    <s v="CIVIL"/>
    <d v="2023-06-28T00:00:00"/>
    <d v="2023-07-07T19:03:00"/>
    <m/>
    <d v="2023-07-07T00:00:00"/>
    <n v="361"/>
    <n v="15230"/>
    <s v="60571797"/>
    <s v="60571797"/>
    <m/>
    <m/>
    <n v="22783430"/>
    <m/>
    <m/>
    <m/>
    <s v="SOLFIN"/>
    <s v="SOLFIN"/>
    <s v="CCMS"/>
    <n v="21344012"/>
    <n v="12106.2"/>
    <m/>
    <s v="N"/>
    <n v="155"/>
    <d v="2023-07-07T19:03:20"/>
    <s v="N"/>
    <s v="Solicitors Fixed Fee"/>
    <s v="Public Law Children"/>
    <s v="Profit Cost"/>
    <s v="Amanda Dawe"/>
    <s v="N"/>
    <n v="0"/>
    <n v="0"/>
    <x v="9"/>
    <s v="VALIDATED"/>
    <n v="1"/>
    <s v="01.11.80.308.6100.0000"/>
    <n v="0"/>
    <s v="11"/>
    <s v="6100"/>
    <n v="7191.9"/>
    <n v="0"/>
    <s v="CREDITOR"/>
    <n v="0"/>
    <n v="0"/>
    <n v="0"/>
    <n v="0"/>
    <n v="0"/>
  </r>
  <r>
    <n v="60571797"/>
    <s v="N"/>
    <n v="21344012"/>
    <s v="3000014835960013"/>
    <s v="CIVIL"/>
    <d v="2023-06-28T00:00:00"/>
    <d v="2023-07-07T19:03:00"/>
    <m/>
    <d v="2023-07-07T00:00:00"/>
    <n v="361"/>
    <n v="15230"/>
    <s v="60571797"/>
    <s v="60571797"/>
    <m/>
    <m/>
    <n v="22783430"/>
    <m/>
    <m/>
    <m/>
    <s v="SOLFIN"/>
    <s v="SOLFIN"/>
    <s v="CCMS"/>
    <n v="21344012"/>
    <n v="12106.2"/>
    <m/>
    <s v="N"/>
    <n v="15"/>
    <d v="2023-07-07T19:03:20"/>
    <s v="Y"/>
    <s v="Preparation - other"/>
    <s v="Care Remuneration Hourly Rates"/>
    <s v="Profit Cost"/>
    <s v="AD"/>
    <s v="Y"/>
    <n v="24.18"/>
    <n v="4.84"/>
    <x v="9"/>
    <s v="VALIDATED"/>
    <n v="1"/>
    <s v="01.11.80.308.6100.0000"/>
    <n v="24.18"/>
    <s v="11"/>
    <s v="6100"/>
    <n v="7191.9"/>
    <n v="24.18"/>
    <s v="CREDITOR"/>
    <n v="0"/>
    <n v="0"/>
    <n v="0"/>
    <n v="0"/>
    <n v="24.18"/>
  </r>
  <r>
    <n v="62322943"/>
    <s v="N"/>
    <n v="21323781"/>
    <s v="3000016311130004"/>
    <s v="CIVIL"/>
    <d v="2023-06-30T00:00:00"/>
    <d v="2023-07-03T19:05:56"/>
    <m/>
    <d v="2023-07-03T00:00:00"/>
    <n v="361"/>
    <n v="15230"/>
    <s v="62322943"/>
    <s v="62322943"/>
    <m/>
    <m/>
    <n v="22797730"/>
    <m/>
    <m/>
    <m/>
    <s v="SOLPOA"/>
    <s v="SOLPOA"/>
    <s v="CCMS"/>
    <n v="21323781"/>
    <n v="40"/>
    <m/>
    <s v="N"/>
    <n v="1"/>
    <d v="2023-07-03T19:05:58"/>
    <s v="N"/>
    <s v="Expert Cost"/>
    <s v="Expert Cost"/>
    <s v="Expert Disbursement"/>
    <s v="LissonWell"/>
    <s v="N"/>
    <n v="40"/>
    <n v="0"/>
    <x v="3"/>
    <s v="VALIDATED"/>
    <n v="1"/>
    <s v="01.11.80.308.2012.0000"/>
    <n v="40"/>
    <s v="11"/>
    <s v="2012"/>
    <n v="7191.9"/>
    <n v="40"/>
    <s v="CREDITOR"/>
    <n v="40"/>
    <n v="0"/>
    <n v="0"/>
    <n v="0"/>
    <n v="0"/>
  </r>
  <r>
    <n v="61812475"/>
    <s v="N"/>
    <n v="21323667"/>
    <s v="3000015883990007"/>
    <s v="CIVIL"/>
    <d v="2023-06-30T00:00:00"/>
    <d v="2023-07-03T19:05:56"/>
    <m/>
    <d v="2023-07-03T00:00:00"/>
    <n v="361"/>
    <n v="15230"/>
    <s v="61812475"/>
    <s v="61812475"/>
    <m/>
    <m/>
    <n v="22798142"/>
    <m/>
    <m/>
    <m/>
    <s v="SOLPOA"/>
    <s v="SOLPOA"/>
    <s v="CCMS"/>
    <n v="21323667"/>
    <n v="329"/>
    <m/>
    <s v="N"/>
    <n v="1"/>
    <d v="2023-07-03T19:05:58"/>
    <s v="N"/>
    <s v="Expert Cost"/>
    <s v="Expert Cost"/>
    <s v="Expert Disbursement"/>
    <s v="Cansford"/>
    <s v="N"/>
    <n v="274.17"/>
    <n v="54.83"/>
    <x v="3"/>
    <s v="VALIDATED"/>
    <n v="1"/>
    <s v="01.11.80.308.2012.0000"/>
    <n v="274.17"/>
    <s v="11"/>
    <s v="2012"/>
    <n v="7191.9"/>
    <n v="274.17"/>
    <s v="CREDITOR"/>
    <n v="274.17"/>
    <n v="0"/>
    <n v="0"/>
    <n v="0"/>
    <n v="0"/>
  </r>
  <r>
    <n v="60571797"/>
    <s v="N"/>
    <n v="21344012"/>
    <s v="3000014835960013"/>
    <s v="CIVIL"/>
    <d v="2023-06-28T00:00:00"/>
    <d v="2023-07-07T19:03:00"/>
    <m/>
    <d v="2023-07-07T00:00:00"/>
    <n v="361"/>
    <n v="15230"/>
    <s v="60571797"/>
    <s v="60571797"/>
    <m/>
    <m/>
    <n v="22783430"/>
    <m/>
    <m/>
    <m/>
    <s v="SOLFIN"/>
    <s v="SOLFIN"/>
    <s v="CCMS"/>
    <n v="21344012"/>
    <n v="12106.2"/>
    <m/>
    <s v="N"/>
    <n v="140"/>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61"/>
    <d v="2023-07-07T19:03:20"/>
    <s v="Y"/>
    <s v="Attendance upon client"/>
    <s v="Care Remuneration Hourly Rates"/>
    <s v="Profit Cost"/>
    <s v="SC"/>
    <s v="Y"/>
    <n v="5.26"/>
    <n v="1.05"/>
    <x v="9"/>
    <s v="VALIDATED"/>
    <n v="1"/>
    <s v="01.11.80.308.6100.0000"/>
    <n v="5.26"/>
    <s v="11"/>
    <s v="6100"/>
    <n v="7191.9"/>
    <n v="5.26"/>
    <s v="CREDITOR"/>
    <n v="0"/>
    <n v="0"/>
    <n v="0"/>
    <n v="0"/>
    <n v="5.26"/>
  </r>
  <r>
    <n v="60571797"/>
    <s v="N"/>
    <n v="21344012"/>
    <s v="3000014835960013"/>
    <s v="CIVIL"/>
    <d v="2023-06-28T00:00:00"/>
    <d v="2023-07-07T19:03:00"/>
    <m/>
    <d v="2023-07-07T00:00:00"/>
    <n v="361"/>
    <n v="15230"/>
    <s v="60571797"/>
    <s v="60571797"/>
    <m/>
    <m/>
    <n v="22783430"/>
    <m/>
    <m/>
    <m/>
    <s v="SOLFIN"/>
    <s v="SOLFIN"/>
    <s v="CCMS"/>
    <n v="21344012"/>
    <n v="12106.2"/>
    <m/>
    <s v="N"/>
    <n v="118"/>
    <d v="2023-07-07T19:03:20"/>
    <s v="Y"/>
    <s v="Preparation - other"/>
    <s v="Care Remuneration Hourly Rates"/>
    <s v="Profit Cost"/>
    <s v="SC"/>
    <s v="Y"/>
    <n v="5.26"/>
    <n v="1.05"/>
    <x v="9"/>
    <s v="VALIDATED"/>
    <n v="1"/>
    <s v="01.11.80.308.6100.0000"/>
    <n v="5.26"/>
    <s v="11"/>
    <s v="6100"/>
    <n v="7191.9"/>
    <n v="5.26"/>
    <s v="CREDITOR"/>
    <n v="0"/>
    <n v="0"/>
    <n v="0"/>
    <n v="0"/>
    <n v="5.26"/>
  </r>
  <r>
    <n v="60571797"/>
    <s v="N"/>
    <n v="21344012"/>
    <s v="3000014835960013"/>
    <s v="CIVIL"/>
    <d v="2023-06-28T00:00:00"/>
    <d v="2023-07-07T19:03:00"/>
    <m/>
    <d v="2023-07-07T00:00:00"/>
    <n v="361"/>
    <n v="15230"/>
    <s v="60571797"/>
    <s v="60571797"/>
    <m/>
    <m/>
    <n v="22783430"/>
    <m/>
    <m/>
    <m/>
    <s v="SOLFIN"/>
    <s v="SOLFIN"/>
    <s v="CCMS"/>
    <n v="21344012"/>
    <n v="12106.2"/>
    <m/>
    <s v="N"/>
    <n v="23"/>
    <d v="2023-07-07T19:03:20"/>
    <s v="Y"/>
    <s v="Preparation - drafting attendance n"/>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62"/>
    <d v="2023-07-07T19:03:20"/>
    <s v="Y"/>
    <s v="Preparation - other"/>
    <s v="Care Remuneration Hourly Rates"/>
    <s v="Profit Cost"/>
    <s v="SC"/>
    <s v="Y"/>
    <n v="15.77"/>
    <n v="3.15"/>
    <x v="9"/>
    <s v="VALIDATED"/>
    <n v="1"/>
    <s v="01.11.80.308.6100.0000"/>
    <n v="15.77"/>
    <s v="11"/>
    <s v="6100"/>
    <n v="7191.9"/>
    <n v="15.77"/>
    <s v="CREDITOR"/>
    <n v="0"/>
    <n v="0"/>
    <n v="0"/>
    <n v="0"/>
    <n v="15.77"/>
  </r>
  <r>
    <n v="60571797"/>
    <s v="N"/>
    <n v="21344012"/>
    <s v="3000014835960013"/>
    <s v="CIVIL"/>
    <d v="2023-06-28T00:00:00"/>
    <d v="2023-07-07T19:03:00"/>
    <m/>
    <d v="2023-07-07T00:00:00"/>
    <n v="361"/>
    <n v="15230"/>
    <s v="60571797"/>
    <s v="60571797"/>
    <m/>
    <m/>
    <n v="22783430"/>
    <m/>
    <m/>
    <m/>
    <s v="SOLFIN"/>
    <s v="SOLFIN"/>
    <s v="CCMS"/>
    <n v="21344012"/>
    <n v="12106.2"/>
    <m/>
    <s v="N"/>
    <n v="73"/>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135"/>
    <d v="2023-07-07T19:03:20"/>
    <s v="Y"/>
    <s v="Preparation - drafting attendance n"/>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59"/>
    <d v="2023-07-07T19:03:20"/>
    <s v="Y"/>
    <s v="Attendance upon client"/>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56"/>
    <d v="2023-07-07T19:03:20"/>
    <s v="Y"/>
    <s v="Preparation - drafting statement"/>
    <s v="Care Remuneration Hourly Rates"/>
    <s v="Profit Cost"/>
    <s v="AD"/>
    <s v="Y"/>
    <n v="90.69"/>
    <n v="18.14"/>
    <x v="9"/>
    <s v="VALIDATED"/>
    <n v="1"/>
    <s v="01.11.80.308.6100.0000"/>
    <n v="90.69"/>
    <s v="11"/>
    <s v="6100"/>
    <n v="7191.9"/>
    <n v="90.69"/>
    <s v="CREDITOR"/>
    <n v="0"/>
    <n v="0"/>
    <n v="0"/>
    <n v="0"/>
    <n v="90.69"/>
  </r>
  <r>
    <n v="60571797"/>
    <s v="N"/>
    <n v="21344012"/>
    <s v="3000014835960013"/>
    <s v="CIVIL"/>
    <d v="2023-06-28T00:00:00"/>
    <d v="2023-07-07T19:03:00"/>
    <m/>
    <d v="2023-07-07T00:00:00"/>
    <n v="361"/>
    <n v="15230"/>
    <s v="60571797"/>
    <s v="60571797"/>
    <m/>
    <m/>
    <n v="22783430"/>
    <m/>
    <m/>
    <m/>
    <s v="SOLFIN"/>
    <s v="SOLFIN"/>
    <s v="CCMS"/>
    <n v="21344012"/>
    <n v="12106.2"/>
    <m/>
    <s v="N"/>
    <n v="94"/>
    <d v="2023-07-07T19:03:20"/>
    <s v="Y"/>
    <s v="Preparation - other"/>
    <s v="Care Remuneration Hourly Rates"/>
    <s v="Profit Cost"/>
    <s v="AD"/>
    <s v="Y"/>
    <n v="114.86"/>
    <n v="22.97"/>
    <x v="9"/>
    <s v="VALIDATED"/>
    <n v="1"/>
    <s v="01.11.80.308.6100.0000"/>
    <n v="114.86"/>
    <s v="11"/>
    <s v="6100"/>
    <n v="7191.9"/>
    <n v="114.86"/>
    <s v="CREDITOR"/>
    <n v="0"/>
    <n v="0"/>
    <n v="0"/>
    <n v="0"/>
    <n v="114.86"/>
  </r>
  <r>
    <n v="60571797"/>
    <s v="N"/>
    <n v="21344012"/>
    <s v="3000014835960013"/>
    <s v="CIVIL"/>
    <d v="2023-06-28T00:00:00"/>
    <d v="2023-07-07T19:03:00"/>
    <m/>
    <d v="2023-07-07T00:00:00"/>
    <n v="361"/>
    <n v="15230"/>
    <s v="60571797"/>
    <s v="60571797"/>
    <m/>
    <m/>
    <n v="22783430"/>
    <m/>
    <m/>
    <m/>
    <s v="SOLFIN"/>
    <s v="SOLFIN"/>
    <s v="CCMS"/>
    <n v="21344012"/>
    <n v="12106.2"/>
    <m/>
    <s v="N"/>
    <n v="12"/>
    <d v="2023-07-07T19:03:20"/>
    <s v="Y"/>
    <s v="Preparation - other"/>
    <s v="Care Remuneration Hourly Rates"/>
    <s v="Profit Cost"/>
    <s v="AD"/>
    <s v="Y"/>
    <n v="102.78"/>
    <n v="20.56"/>
    <x v="9"/>
    <s v="VALIDATED"/>
    <n v="1"/>
    <s v="01.11.80.308.6100.0000"/>
    <n v="102.78"/>
    <s v="11"/>
    <s v="6100"/>
    <n v="7191.9"/>
    <n v="102.78"/>
    <s v="CREDITOR"/>
    <n v="0"/>
    <n v="0"/>
    <n v="0"/>
    <n v="0"/>
    <n v="102.78"/>
  </r>
  <r>
    <n v="60571797"/>
    <s v="N"/>
    <n v="21344012"/>
    <s v="3000014835960013"/>
    <s v="CIVIL"/>
    <d v="2023-06-28T00:00:00"/>
    <d v="2023-07-07T19:03:00"/>
    <m/>
    <d v="2023-07-07T00:00:00"/>
    <n v="361"/>
    <n v="15230"/>
    <s v="60571797"/>
    <s v="60571797"/>
    <m/>
    <m/>
    <n v="22783430"/>
    <m/>
    <m/>
    <m/>
    <s v="SOLFIN"/>
    <s v="SOLFIN"/>
    <s v="CCMS"/>
    <n v="21344012"/>
    <n v="12106.2"/>
    <m/>
    <s v="N"/>
    <n v="51"/>
    <d v="2023-07-07T19:03:20"/>
    <s v="Y"/>
    <s v="Preparation - drafting notice(s)"/>
    <s v="Care Remuneration Hourly Rates"/>
    <s v="Profit Cost"/>
    <s v="SC"/>
    <s v="Y"/>
    <n v="10.51"/>
    <n v="2.1"/>
    <x v="9"/>
    <s v="VALIDATED"/>
    <n v="1"/>
    <s v="01.11.80.308.6100.0000"/>
    <n v="10.51"/>
    <s v="11"/>
    <s v="6100"/>
    <n v="7191.9"/>
    <n v="10.51"/>
    <s v="CREDITOR"/>
    <n v="0"/>
    <n v="0"/>
    <n v="0"/>
    <n v="0"/>
    <n v="10.51"/>
  </r>
  <r>
    <n v="60571797"/>
    <s v="N"/>
    <n v="21344012"/>
    <s v="3000014835960013"/>
    <s v="CIVIL"/>
    <d v="2023-06-28T00:00:00"/>
    <d v="2023-07-07T19:03:00"/>
    <m/>
    <d v="2023-07-07T00:00:00"/>
    <n v="361"/>
    <n v="15230"/>
    <s v="60571797"/>
    <s v="60571797"/>
    <m/>
    <m/>
    <n v="22783430"/>
    <m/>
    <m/>
    <m/>
    <s v="SOLFIN"/>
    <s v="SOLFIN"/>
    <s v="CCMS"/>
    <n v="21344012"/>
    <n v="12106.2"/>
    <m/>
    <s v="N"/>
    <n v="13"/>
    <d v="2023-07-07T19:03:20"/>
    <s v="Y"/>
    <s v="Attendance upon client"/>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46"/>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111"/>
    <d v="2023-07-07T19:03:20"/>
    <s v="Y"/>
    <s v="Preparation - drafting bill/claim f"/>
    <s v="Care Remuneration Hourly Rates"/>
    <s v="Profit Cost"/>
    <s v="Carly Eaton"/>
    <s v="Y"/>
    <n v="525.7"/>
    <n v="105.15"/>
    <x v="9"/>
    <s v="VALIDATED"/>
    <n v="1"/>
    <s v="01.11.80.308.6100.0000"/>
    <n v="525.7"/>
    <s v="11"/>
    <s v="6100"/>
    <n v="7191.9"/>
    <n v="525.7"/>
    <s v="CREDITOR"/>
    <n v="0"/>
    <n v="0"/>
    <n v="0"/>
    <n v="0"/>
    <n v="525.7"/>
  </r>
  <r>
    <n v="60571797"/>
    <s v="N"/>
    <n v="21344012"/>
    <s v="3000014835960013"/>
    <s v="CIVIL"/>
    <d v="2023-06-28T00:00:00"/>
    <d v="2023-07-07T19:03:00"/>
    <m/>
    <d v="2023-07-07T00:00:00"/>
    <n v="361"/>
    <n v="15230"/>
    <s v="60571797"/>
    <s v="60571797"/>
    <m/>
    <m/>
    <n v="22783430"/>
    <m/>
    <m/>
    <m/>
    <s v="SOLFIN"/>
    <s v="SOLFIN"/>
    <s v="CCMS"/>
    <n v="21344012"/>
    <n v="12106.2"/>
    <m/>
    <s v="N"/>
    <n v="20"/>
    <d v="2023-07-07T19:03:20"/>
    <s v="Y"/>
    <s v="Preparation - other"/>
    <s v="Care Remuneration Hourly Rates"/>
    <s v="Profit Cost"/>
    <s v="AD"/>
    <s v="Y"/>
    <n v="18.14"/>
    <n v="3.63"/>
    <x v="9"/>
    <s v="VALIDATED"/>
    <n v="1"/>
    <s v="01.11.80.308.6100.0000"/>
    <n v="18.14"/>
    <s v="11"/>
    <s v="6100"/>
    <n v="7191.9"/>
    <n v="18.14"/>
    <s v="CREDITOR"/>
    <n v="0"/>
    <n v="0"/>
    <n v="0"/>
    <n v="0"/>
    <n v="18.14"/>
  </r>
  <r>
    <n v="60571797"/>
    <s v="N"/>
    <n v="21344012"/>
    <s v="3000014835960013"/>
    <s v="CIVIL"/>
    <d v="2023-06-28T00:00:00"/>
    <d v="2023-07-07T19:03:00"/>
    <m/>
    <d v="2023-07-07T00:00:00"/>
    <n v="361"/>
    <n v="15230"/>
    <s v="60571797"/>
    <s v="60571797"/>
    <m/>
    <m/>
    <n v="22783430"/>
    <m/>
    <m/>
    <m/>
    <s v="SOLFIN"/>
    <s v="SOLFIN"/>
    <s v="CCMS"/>
    <n v="21344012"/>
    <n v="12106.2"/>
    <m/>
    <s v="N"/>
    <n v="57"/>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96"/>
    <d v="2023-07-07T19:03:20"/>
    <s v="Y"/>
    <s v="Attendance upon client"/>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11"/>
    <d v="2023-07-07T19:03:20"/>
    <s v="Y"/>
    <s v="Preparation - other"/>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38"/>
    <d v="2023-07-07T19:03:20"/>
    <s v="Y"/>
    <s v="Preparation - other"/>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68"/>
    <d v="2023-07-07T19:03:20"/>
    <s v="Y"/>
    <s v="Preparation - other"/>
    <s v="Care Remuneration Hourly Rates"/>
    <s v="Profit Cost"/>
    <s v="SC"/>
    <s v="Y"/>
    <n v="21.03"/>
    <n v="4.21"/>
    <x v="9"/>
    <s v="VALIDATED"/>
    <n v="1"/>
    <s v="01.11.80.308.6100.0000"/>
    <n v="21.03"/>
    <s v="11"/>
    <s v="6100"/>
    <n v="7191.9"/>
    <n v="21.03"/>
    <s v="CREDITOR"/>
    <n v="0"/>
    <n v="0"/>
    <n v="0"/>
    <n v="0"/>
    <n v="21.03"/>
  </r>
  <r>
    <n v="60571797"/>
    <s v="N"/>
    <n v="21344012"/>
    <s v="3000014835960013"/>
    <s v="CIVIL"/>
    <d v="2023-06-28T00:00:00"/>
    <d v="2023-07-07T19:03:00"/>
    <m/>
    <d v="2023-07-07T00:00:00"/>
    <n v="361"/>
    <n v="15230"/>
    <s v="60571797"/>
    <s v="60571797"/>
    <m/>
    <m/>
    <n v="22783430"/>
    <m/>
    <m/>
    <m/>
    <s v="SOLFIN"/>
    <s v="SOLFIN"/>
    <s v="CCMS"/>
    <n v="21344012"/>
    <n v="12106.2"/>
    <m/>
    <s v="N"/>
    <n v="90"/>
    <d v="2023-07-07T19:03:20"/>
    <s v="Y"/>
    <s v="Preparation - other"/>
    <s v="Care Remuneration Hourly Rates"/>
    <s v="Profit Cost"/>
    <s v="AD"/>
    <s v="Y"/>
    <n v="36.27"/>
    <n v="7.25"/>
    <x v="9"/>
    <s v="VALIDATED"/>
    <n v="1"/>
    <s v="01.11.80.308.6100.0000"/>
    <n v="36.27"/>
    <s v="11"/>
    <s v="6100"/>
    <n v="7191.9"/>
    <n v="36.27"/>
    <s v="CREDITOR"/>
    <n v="0"/>
    <n v="0"/>
    <n v="0"/>
    <n v="0"/>
    <n v="36.27"/>
  </r>
  <r>
    <n v="60571797"/>
    <s v="N"/>
    <n v="21344012"/>
    <s v="3000014835960013"/>
    <s v="CIVIL"/>
    <d v="2023-06-28T00:00:00"/>
    <d v="2023-07-07T19:03:00"/>
    <m/>
    <d v="2023-07-07T00:00:00"/>
    <n v="361"/>
    <n v="15230"/>
    <s v="60571797"/>
    <s v="60571797"/>
    <m/>
    <m/>
    <n v="22783430"/>
    <m/>
    <m/>
    <m/>
    <s v="SOLFIN"/>
    <s v="SOLFIN"/>
    <s v="CCMS"/>
    <n v="21344012"/>
    <n v="12106.2"/>
    <m/>
    <s v="N"/>
    <n v="120"/>
    <d v="2023-07-07T19:03:20"/>
    <s v="Y"/>
    <s v="Preparation - drafting attendance n"/>
    <s v="Care Remuneration Hourly Rates"/>
    <s v="Profit Cost"/>
    <s v="AD"/>
    <s v="Y"/>
    <n v="6.05"/>
    <n v="1.21"/>
    <x v="9"/>
    <s v="VALIDATED"/>
    <n v="1"/>
    <s v="01.11.80.308.6100.0000"/>
    <n v="6.05"/>
    <s v="11"/>
    <s v="6100"/>
    <n v="7191.9"/>
    <n v="6.05"/>
    <s v="CREDITOR"/>
    <n v="0"/>
    <n v="0"/>
    <n v="0"/>
    <n v="0"/>
    <n v="6.05"/>
  </r>
  <r>
    <n v="60571797"/>
    <s v="N"/>
    <n v="21344012"/>
    <s v="3000014835960013"/>
    <s v="CIVIL"/>
    <d v="2023-06-28T00:00:00"/>
    <d v="2023-07-07T19:03:00"/>
    <m/>
    <d v="2023-07-07T00:00:00"/>
    <n v="361"/>
    <n v="15230"/>
    <s v="60571797"/>
    <s v="60571797"/>
    <m/>
    <m/>
    <n v="22783430"/>
    <m/>
    <m/>
    <m/>
    <s v="SOLFIN"/>
    <s v="SOLFIN"/>
    <s v="CCMS"/>
    <n v="21344012"/>
    <n v="12106.2"/>
    <m/>
    <s v="N"/>
    <n v="39"/>
    <d v="2023-07-07T19:03:20"/>
    <s v="Y"/>
    <s v="Attendance upon client"/>
    <s v="Care Remuneration Hourly Rates"/>
    <s v="Profit Cost"/>
    <s v="AD"/>
    <s v="Y"/>
    <n v="12.09"/>
    <n v="2.42"/>
    <x v="9"/>
    <s v="VALIDATED"/>
    <n v="1"/>
    <s v="01.11.80.308.6100.0000"/>
    <n v="12.09"/>
    <s v="11"/>
    <s v="6100"/>
    <n v="7191.9"/>
    <n v="12.09"/>
    <s v="CREDITOR"/>
    <n v="0"/>
    <n v="0"/>
    <n v="0"/>
    <n v="0"/>
    <n v="12.09"/>
  </r>
  <r>
    <n v="60571797"/>
    <s v="N"/>
    <n v="21344012"/>
    <s v="3000014835960013"/>
    <s v="CIVIL"/>
    <d v="2023-06-28T00:00:00"/>
    <d v="2023-07-07T19:03:00"/>
    <m/>
    <d v="2023-07-07T00:00:00"/>
    <n v="361"/>
    <n v="15230"/>
    <s v="60571797"/>
    <s v="60571797"/>
    <m/>
    <m/>
    <n v="22783430"/>
    <m/>
    <m/>
    <m/>
    <s v="SOLFIN"/>
    <s v="SOLFIN"/>
    <s v="CCMS"/>
    <n v="21344012"/>
    <n v="12106.2"/>
    <m/>
    <s v="N"/>
    <n v="35"/>
    <d v="2023-07-07T19:03:20"/>
    <s v="Y"/>
    <s v="Preparation - other"/>
    <s v="Care Remuneration Hourly Rates"/>
    <s v="Profit Cost"/>
    <s v="SC"/>
    <s v="Y"/>
    <n v="15.77"/>
    <n v="3.15"/>
    <x v="9"/>
    <s v="VALIDATED"/>
    <n v="1"/>
    <s v="01.11.80.308.6100.0000"/>
    <n v="15.77"/>
    <s v="11"/>
    <s v="6100"/>
    <n v="7191.9"/>
    <n v="15.77"/>
    <s v="CREDITOR"/>
    <n v="0"/>
    <n v="0"/>
    <n v="0"/>
    <n v="0"/>
    <n v="15.77"/>
  </r>
  <r>
    <n v="60571797"/>
    <s v="N"/>
    <n v="21344012"/>
    <s v="3000014835960013"/>
    <s v="CIVIL"/>
    <d v="2023-06-28T00:00:00"/>
    <d v="2023-07-07T19:03:00"/>
    <m/>
    <d v="2023-07-07T00:00:00"/>
    <n v="361"/>
    <n v="15230"/>
    <s v="60571797"/>
    <s v="60571797"/>
    <m/>
    <m/>
    <n v="22783430"/>
    <m/>
    <m/>
    <m/>
    <s v="SOLFIN"/>
    <s v="SOLFIN"/>
    <s v="CCMS"/>
    <n v="21344012"/>
    <n v="12106.2"/>
    <m/>
    <s v="N"/>
    <n v="79"/>
    <d v="2023-07-07T19:03:20"/>
    <s v="Y"/>
    <s v="Preparation - drafting statement"/>
    <s v="Care Remuneration Hourly Rates"/>
    <s v="Profit Cost"/>
    <s v="AD"/>
    <s v="Y"/>
    <n v="24.18"/>
    <n v="4.84"/>
    <x v="9"/>
    <s v="VALIDATED"/>
    <n v="1"/>
    <s v="01.11.80.308.6100.0000"/>
    <n v="24.18"/>
    <s v="11"/>
    <s v="6100"/>
    <n v="7191.9"/>
    <n v="24.18"/>
    <s v="CREDITOR"/>
    <n v="0"/>
    <n v="0"/>
    <n v="0"/>
    <n v="0"/>
    <n v="24.18"/>
  </r>
  <r>
    <n v="60571797"/>
    <s v="N"/>
    <n v="21344012"/>
    <s v="3000014835960013"/>
    <s v="CIVIL"/>
    <d v="2023-06-28T00:00:00"/>
    <d v="2023-07-07T19:03:00"/>
    <m/>
    <d v="2023-07-07T00:00:00"/>
    <n v="361"/>
    <n v="15230"/>
    <s v="60571797"/>
    <s v="60571797"/>
    <m/>
    <m/>
    <n v="22783430"/>
    <m/>
    <m/>
    <m/>
    <s v="SOLFIN"/>
    <s v="SOLFIN"/>
    <s v="CCMS"/>
    <n v="21344012"/>
    <n v="12106.2"/>
    <m/>
    <s v="N"/>
    <n v="82"/>
    <d v="2023-07-07T19:03:20"/>
    <s v="Y"/>
    <s v="Preparation - other"/>
    <s v="Care Remuneration Hourly Rates"/>
    <s v="Profit Cost"/>
    <s v="Amanda Dawe (AD)"/>
    <s v="Y"/>
    <n v="272.06"/>
    <n v="54.42"/>
    <x v="9"/>
    <s v="VALIDATED"/>
    <n v="1"/>
    <s v="01.11.80.308.6100.0000"/>
    <n v="272.06"/>
    <s v="11"/>
    <s v="6100"/>
    <n v="7191.9"/>
    <n v="272.06"/>
    <s v="CREDITOR"/>
    <n v="0"/>
    <n v="0"/>
    <n v="0"/>
    <n v="0"/>
    <n v="272.06"/>
  </r>
  <r>
    <n v="60571797"/>
    <s v="N"/>
    <n v="21344012"/>
    <s v="3000014835960013"/>
    <s v="CIVIL"/>
    <d v="2023-06-28T00:00:00"/>
    <d v="2023-07-07T19:03:00"/>
    <m/>
    <d v="2023-07-07T00:00:00"/>
    <n v="361"/>
    <n v="15230"/>
    <s v="60571797"/>
    <s v="60571797"/>
    <m/>
    <m/>
    <n v="22783430"/>
    <m/>
    <m/>
    <m/>
    <s v="SOLFIN"/>
    <s v="SOLFIN"/>
    <s v="CCMS"/>
    <n v="21344012"/>
    <n v="12106.2"/>
    <m/>
    <s v="N"/>
    <n v="44"/>
    <d v="2023-07-07T19:03:20"/>
    <s v="Y"/>
    <s v="Preparation - other"/>
    <s v="Care Remuneration Hourly Rates"/>
    <s v="Profit Cost"/>
    <s v="AD"/>
    <s v="Y"/>
    <n v="12.09"/>
    <n v="2.42"/>
    <x v="9"/>
    <s v="VALIDATED"/>
    <n v="1"/>
    <s v="01.11.80.308.6100.0000"/>
    <n v="12.09"/>
    <s v="11"/>
    <s v="6100"/>
    <n v="7191.9"/>
    <n v="12.09"/>
    <s v="CREDITOR"/>
    <n v="0"/>
    <n v="0"/>
    <n v="0"/>
    <n v="0"/>
    <n v="12.09"/>
  </r>
  <r>
    <n v="60831797"/>
    <s v="N"/>
    <n v="21333708"/>
    <s v="3000015058190005RC"/>
    <s v="CIVIL"/>
    <d v="2023-06-27T00:00:00"/>
    <d v="2023-07-05T19:42:28"/>
    <m/>
    <d v="2023-07-05T00:00:00"/>
    <n v="379"/>
    <n v="14733"/>
    <s v="60831797"/>
    <s v="60831797"/>
    <m/>
    <m/>
    <m/>
    <m/>
    <m/>
    <m/>
    <s v="SOLRECOUP"/>
    <s v="SOLRECOUP"/>
    <s v="POARECOUP"/>
    <n v="21333708"/>
    <n v="-734.9299999999999"/>
    <m/>
    <s v="Y"/>
    <n v="2"/>
    <d v="2023-07-05T19:42:28"/>
    <s v="N"/>
    <m/>
    <m/>
    <s v="Profit Cost"/>
    <m/>
    <s v="N"/>
    <n v="0"/>
    <n v="-122.49"/>
    <x v="6"/>
    <s v="VALIDATED"/>
    <n v="1"/>
    <s v="01.11.80.308.2013.0000"/>
    <n v="-122.49"/>
    <s v="11"/>
    <s v="2013"/>
    <n v="16820.92"/>
    <n v="-122.49"/>
    <s v="CREDITOR"/>
    <n v="0"/>
    <n v="0"/>
    <n v="-122.49"/>
    <n v="-30.6225"/>
    <n v="0"/>
  </r>
  <r>
    <n v="60831797"/>
    <s v="N"/>
    <n v="21333708"/>
    <s v="3000015058190005RC"/>
    <s v="CIVIL"/>
    <d v="2023-06-27T00:00:00"/>
    <d v="2023-07-05T19:42:28"/>
    <m/>
    <d v="2023-07-05T00:00:00"/>
    <n v="379"/>
    <n v="14733"/>
    <s v="60831797"/>
    <s v="60831797"/>
    <m/>
    <m/>
    <m/>
    <m/>
    <m/>
    <m/>
    <s v="SOLRECOUP"/>
    <s v="SOLRECOUP"/>
    <s v="POARECOUP"/>
    <n v="21333708"/>
    <n v="-734.9299999999999"/>
    <m/>
    <s v="Y"/>
    <n v="1"/>
    <d v="2023-07-05T19:42:28"/>
    <s v="N"/>
    <m/>
    <m/>
    <s v="Profit Cost"/>
    <m/>
    <s v="N"/>
    <n v="-612.4400000000001"/>
    <n v="0"/>
    <x v="6"/>
    <s v="VALIDATED"/>
    <n v="1"/>
    <s v="01.11.80.308.2013.0000"/>
    <n v="-612.4400000000001"/>
    <s v="11"/>
    <s v="2013"/>
    <n v="16820.92"/>
    <n v="-612.4400000000001"/>
    <s v="CREDITOR"/>
    <n v="0"/>
    <n v="0"/>
    <n v="-612.4400000000001"/>
    <n v="-153.11"/>
    <n v="0"/>
  </r>
  <r>
    <n v="60831797"/>
    <s v="N"/>
    <n v="21333709"/>
    <s v="3000015058190001RC"/>
    <s v="CIVIL"/>
    <d v="2023-06-27T00:00:00"/>
    <d v="2023-07-05T19:42:28"/>
    <m/>
    <d v="2023-07-05T00:00:00"/>
    <n v="379"/>
    <n v="14733"/>
    <s v="60831797"/>
    <s v="60831797"/>
    <m/>
    <m/>
    <m/>
    <m/>
    <m/>
    <m/>
    <s v="SOLRECOUP"/>
    <s v="SOLRECOUP"/>
    <s v="POARECOUP"/>
    <n v="21333709"/>
    <n v="-1007.78"/>
    <m/>
    <s v="Y"/>
    <n v="2"/>
    <d v="2023-07-05T19:42:28"/>
    <s v="N"/>
    <m/>
    <m/>
    <s v="Profit Cost"/>
    <m/>
    <s v="N"/>
    <n v="0"/>
    <n v="-167.96"/>
    <x v="6"/>
    <s v="VALIDATED"/>
    <n v="1"/>
    <s v="01.11.80.308.2013.0000"/>
    <n v="-167.96"/>
    <s v="11"/>
    <s v="2013"/>
    <n v="16820.92"/>
    <n v="-167.96"/>
    <s v="CREDITOR"/>
    <n v="0"/>
    <n v="0"/>
    <n v="-167.96"/>
    <n v="-41.99"/>
    <n v="0"/>
  </r>
  <r>
    <n v="60831797"/>
    <s v="N"/>
    <n v="21333709"/>
    <s v="3000015058190001RC"/>
    <s v="CIVIL"/>
    <d v="2023-06-27T00:00:00"/>
    <d v="2023-07-05T19:42:28"/>
    <m/>
    <d v="2023-07-05T00:00:00"/>
    <n v="379"/>
    <n v="14733"/>
    <s v="60831797"/>
    <s v="60831797"/>
    <m/>
    <m/>
    <m/>
    <m/>
    <m/>
    <m/>
    <s v="SOLRECOUP"/>
    <s v="SOLRECOUP"/>
    <s v="POARECOUP"/>
    <n v="21333709"/>
    <n v="-1007.78"/>
    <m/>
    <s v="Y"/>
    <n v="1"/>
    <d v="2023-07-05T19:42:28"/>
    <s v="N"/>
    <m/>
    <m/>
    <s v="Profit Cost"/>
    <m/>
    <s v="N"/>
    <n v="-839.8200000000001"/>
    <n v="0"/>
    <x v="6"/>
    <s v="VALIDATED"/>
    <n v="1"/>
    <s v="01.11.80.308.2013.0000"/>
    <n v="-839.8200000000001"/>
    <s v="11"/>
    <s v="2013"/>
    <n v="16820.92"/>
    <n v="-839.8200000000001"/>
    <s v="CREDITOR"/>
    <n v="0"/>
    <n v="0"/>
    <n v="-839.8200000000001"/>
    <n v="-209.955"/>
    <n v="0"/>
  </r>
  <r>
    <n v="61217024"/>
    <s v="N"/>
    <n v="21333710"/>
    <s v="3000015384950001RC"/>
    <s v="CIVIL"/>
    <d v="2023-06-27T00:00:00"/>
    <d v="2023-07-05T19:42:28"/>
    <m/>
    <d v="2023-07-05T00:00:00"/>
    <n v="379"/>
    <n v="14733"/>
    <s v="61217024"/>
    <s v="61217024"/>
    <m/>
    <m/>
    <m/>
    <m/>
    <m/>
    <m/>
    <s v="SOLRECOUP"/>
    <s v="SOLRECOUP"/>
    <s v="POARECOUP"/>
    <n v="21333710"/>
    <n v="-1466.99"/>
    <m/>
    <s v="Y"/>
    <n v="2"/>
    <d v="2023-07-05T19:42:28"/>
    <s v="N"/>
    <m/>
    <m/>
    <s v="Profit Cost"/>
    <m/>
    <s v="N"/>
    <n v="0"/>
    <n v="-244.5"/>
    <x v="6"/>
    <s v="VALIDATED"/>
    <n v="1"/>
    <s v="01.11.80.305.2013.0000"/>
    <n v="-244.5"/>
    <s v="11"/>
    <s v="2013"/>
    <n v="16820.92"/>
    <n v="-244.5"/>
    <s v="CREDITOR"/>
    <n v="0"/>
    <n v="0"/>
    <n v="-244.5"/>
    <n v="-61.125"/>
    <n v="0"/>
  </r>
  <r>
    <n v="61217024"/>
    <s v="N"/>
    <n v="21333710"/>
    <s v="3000015384950001RC"/>
    <s v="CIVIL"/>
    <d v="2023-06-27T00:00:00"/>
    <d v="2023-07-05T19:42:28"/>
    <m/>
    <d v="2023-07-05T00:00:00"/>
    <n v="379"/>
    <n v="14733"/>
    <s v="61217024"/>
    <s v="61217024"/>
    <m/>
    <m/>
    <m/>
    <m/>
    <m/>
    <m/>
    <s v="SOLRECOUP"/>
    <s v="SOLRECOUP"/>
    <s v="POARECOUP"/>
    <n v="21333710"/>
    <n v="-1466.99"/>
    <m/>
    <s v="Y"/>
    <n v="1"/>
    <d v="2023-07-05T19:42:28"/>
    <s v="N"/>
    <m/>
    <m/>
    <s v="Profit Cost"/>
    <m/>
    <s v="N"/>
    <n v="-1222.49"/>
    <n v="0"/>
    <x v="6"/>
    <s v="VALIDATED"/>
    <n v="1"/>
    <s v="01.11.80.305.2013.0000"/>
    <n v="-1222.49"/>
    <s v="11"/>
    <s v="2013"/>
    <n v="16820.92"/>
    <n v="-1222.49"/>
    <s v="CREDITOR"/>
    <n v="0"/>
    <n v="0"/>
    <n v="-1222.49"/>
    <n v="-305.6225"/>
    <n v="0"/>
  </r>
  <r>
    <n v="60831797"/>
    <s v="N"/>
    <n v="21333711"/>
    <s v="3000015058190002RC"/>
    <s v="CIVIL"/>
    <d v="2023-06-27T00:00:00"/>
    <d v="2023-07-05T19:42:28"/>
    <m/>
    <d v="2023-07-05T00:00:00"/>
    <n v="379"/>
    <n v="14733"/>
    <s v="60831797"/>
    <s v="60831797"/>
    <m/>
    <m/>
    <m/>
    <m/>
    <m/>
    <m/>
    <s v="SOLRECOUP"/>
    <s v="SOLRECOUP"/>
    <s v="POARECOUP"/>
    <n v="21333711"/>
    <n v="-232.5"/>
    <m/>
    <s v="Y"/>
    <n v="2"/>
    <d v="2023-07-05T19:42:28"/>
    <s v="N"/>
    <m/>
    <m/>
    <s v="Expert Disbursement"/>
    <m/>
    <s v="N"/>
    <n v="0"/>
    <n v="-38.75"/>
    <x v="6"/>
    <s v="VALIDATED"/>
    <n v="1"/>
    <s v="01.11.80.308.2013.0000"/>
    <n v="-38.75"/>
    <s v="11"/>
    <s v="2013"/>
    <n v="16820.92"/>
    <n v="-38.75"/>
    <s v="CREDITOR"/>
    <n v="0"/>
    <n v="0"/>
    <n v="-38.75"/>
    <n v="0"/>
    <n v="0"/>
  </r>
  <r>
    <n v="60831797"/>
    <s v="N"/>
    <n v="21333711"/>
    <s v="3000015058190002RC"/>
    <s v="CIVIL"/>
    <d v="2023-06-27T00:00:00"/>
    <d v="2023-07-05T19:42:28"/>
    <m/>
    <d v="2023-07-05T00:00:00"/>
    <n v="379"/>
    <n v="14733"/>
    <s v="60831797"/>
    <s v="60831797"/>
    <m/>
    <m/>
    <m/>
    <m/>
    <m/>
    <m/>
    <s v="SOLRECOUP"/>
    <s v="SOLRECOUP"/>
    <s v="POARECOUP"/>
    <n v="21333711"/>
    <n v="-232.5"/>
    <m/>
    <s v="Y"/>
    <n v="1"/>
    <d v="2023-07-05T19:42:28"/>
    <s v="N"/>
    <m/>
    <m/>
    <s v="Expert Disbursement"/>
    <m/>
    <s v="N"/>
    <n v="-193.75"/>
    <n v="0"/>
    <x v="6"/>
    <s v="VALIDATED"/>
    <n v="1"/>
    <s v="01.11.80.308.2013.0000"/>
    <n v="-193.75"/>
    <s v="11"/>
    <s v="2013"/>
    <n v="16820.92"/>
    <n v="-193.75"/>
    <s v="CREDITOR"/>
    <n v="0"/>
    <n v="0"/>
    <n v="-193.75"/>
    <n v="0"/>
    <n v="0"/>
  </r>
  <r>
    <n v="60831797"/>
    <s v="N"/>
    <n v="21333712"/>
    <s v="3000015058190007RC"/>
    <s v="CIVIL"/>
    <d v="2023-06-27T00:00:00"/>
    <d v="2023-07-05T19:42:28"/>
    <m/>
    <d v="2023-07-05T00:00:00"/>
    <n v="379"/>
    <n v="14733"/>
    <s v="60831797"/>
    <s v="60831797"/>
    <m/>
    <m/>
    <m/>
    <m/>
    <m/>
    <m/>
    <s v="SOLRECOUP"/>
    <s v="SOLRECOUP"/>
    <s v="POARECOUP"/>
    <n v="21333712"/>
    <n v="-1214.34"/>
    <m/>
    <s v="Y"/>
    <n v="2"/>
    <d v="2023-07-05T19:42:28"/>
    <s v="N"/>
    <m/>
    <m/>
    <s v="Expert Disbursement"/>
    <m/>
    <s v="N"/>
    <n v="0"/>
    <n v="-202.39"/>
    <x v="6"/>
    <s v="VALIDATED"/>
    <n v="1"/>
    <s v="01.11.80.308.2013.0000"/>
    <n v="-202.39"/>
    <s v="11"/>
    <s v="2013"/>
    <n v="16820.92"/>
    <n v="-202.39"/>
    <s v="CREDITOR"/>
    <n v="0"/>
    <n v="0"/>
    <n v="-202.39"/>
    <n v="0"/>
    <n v="0"/>
  </r>
  <r>
    <n v="60831797"/>
    <s v="N"/>
    <n v="21333712"/>
    <s v="3000015058190007RC"/>
    <s v="CIVIL"/>
    <d v="2023-06-27T00:00:00"/>
    <d v="2023-07-05T19:42:28"/>
    <m/>
    <d v="2023-07-05T00:00:00"/>
    <n v="379"/>
    <n v="14733"/>
    <s v="60831797"/>
    <s v="60831797"/>
    <m/>
    <m/>
    <m/>
    <m/>
    <m/>
    <m/>
    <s v="SOLRECOUP"/>
    <s v="SOLRECOUP"/>
    <s v="POARECOUP"/>
    <n v="21333712"/>
    <n v="-1214.34"/>
    <m/>
    <s v="Y"/>
    <n v="1"/>
    <d v="2023-07-05T19:42:28"/>
    <s v="N"/>
    <m/>
    <m/>
    <s v="Expert Disbursement"/>
    <m/>
    <s v="N"/>
    <n v="-1011.95"/>
    <n v="0"/>
    <x v="6"/>
    <s v="VALIDATED"/>
    <n v="1"/>
    <s v="01.11.80.308.2013.0000"/>
    <n v="-1011.95"/>
    <s v="11"/>
    <s v="2013"/>
    <n v="16820.92"/>
    <n v="-1011.95"/>
    <s v="CREDITOR"/>
    <n v="0"/>
    <n v="0"/>
    <n v="-1011.95"/>
    <n v="0"/>
    <n v="0"/>
  </r>
  <r>
    <n v="61217024"/>
    <s v="N"/>
    <n v="21333713"/>
    <s v="3000015384950008RC"/>
    <s v="CIVIL"/>
    <d v="2023-06-27T00:00:00"/>
    <d v="2023-07-05T19:42:28"/>
    <m/>
    <d v="2023-07-05T00:00:00"/>
    <n v="379"/>
    <n v="14733"/>
    <s v="61217024"/>
    <s v="61217024"/>
    <m/>
    <m/>
    <m/>
    <m/>
    <m/>
    <m/>
    <s v="SOLRECOUP"/>
    <s v="SOLRECOUP"/>
    <s v="POARECOUP"/>
    <n v="21333713"/>
    <n v="-171.42"/>
    <m/>
    <s v="Y"/>
    <n v="2"/>
    <d v="2023-07-05T19:42:28"/>
    <s v="N"/>
    <m/>
    <m/>
    <s v="Profit Cost"/>
    <m/>
    <s v="N"/>
    <n v="0"/>
    <n v="-28.57"/>
    <x v="6"/>
    <s v="VALIDATED"/>
    <n v="1"/>
    <s v="01.11.80.305.2013.0000"/>
    <n v="-28.57"/>
    <s v="11"/>
    <s v="2013"/>
    <n v="16820.92"/>
    <n v="-28.57"/>
    <s v="CREDITOR"/>
    <n v="0"/>
    <n v="0"/>
    <n v="-28.57"/>
    <n v="-7.1425"/>
    <n v="0"/>
  </r>
  <r>
    <n v="61217024"/>
    <s v="N"/>
    <n v="21333713"/>
    <s v="3000015384950008RC"/>
    <s v="CIVIL"/>
    <d v="2023-06-27T00:00:00"/>
    <d v="2023-07-05T19:42:28"/>
    <m/>
    <d v="2023-07-05T00:00:00"/>
    <n v="379"/>
    <n v="14733"/>
    <s v="61217024"/>
    <s v="61217024"/>
    <m/>
    <m/>
    <m/>
    <m/>
    <m/>
    <m/>
    <s v="SOLRECOUP"/>
    <s v="SOLRECOUP"/>
    <s v="POARECOUP"/>
    <n v="21333713"/>
    <n v="-171.42"/>
    <m/>
    <s v="Y"/>
    <n v="1"/>
    <d v="2023-07-05T19:42:28"/>
    <s v="N"/>
    <m/>
    <m/>
    <s v="Profit Cost"/>
    <m/>
    <s v="N"/>
    <n v="-142.85"/>
    <n v="0"/>
    <x v="6"/>
    <s v="VALIDATED"/>
    <n v="1"/>
    <s v="01.11.80.305.2013.0000"/>
    <n v="-142.85"/>
    <s v="11"/>
    <s v="2013"/>
    <n v="16820.92"/>
    <n v="-142.85"/>
    <s v="CREDITOR"/>
    <n v="0"/>
    <n v="0"/>
    <n v="-142.85"/>
    <n v="-35.7125"/>
    <n v="0"/>
  </r>
  <r>
    <n v="61217024"/>
    <s v="N"/>
    <n v="21333714"/>
    <s v="3000015384950004RC"/>
    <s v="CIVIL"/>
    <d v="2023-06-27T00:00:00"/>
    <d v="2023-07-05T19:42:28"/>
    <m/>
    <d v="2023-07-05T00:00:00"/>
    <n v="379"/>
    <n v="14733"/>
    <s v="61217024"/>
    <s v="61217024"/>
    <m/>
    <m/>
    <m/>
    <m/>
    <m/>
    <m/>
    <s v="SOLRECOUP"/>
    <s v="SOLRECOUP"/>
    <s v="POARECOUP"/>
    <n v="21333714"/>
    <n v="-50"/>
    <m/>
    <s v="Y"/>
    <n v="2"/>
    <d v="2023-07-05T19:42:28"/>
    <s v="N"/>
    <m/>
    <m/>
    <s v="Expert Disbursement"/>
    <m/>
    <s v="N"/>
    <n v="0"/>
    <n v="0"/>
    <x v="6"/>
    <s v="VALIDATED"/>
    <n v="1"/>
    <s v="01.11.80.000.0000.0000"/>
    <n v="0"/>
    <s v="11"/>
    <s v="0000"/>
    <n v="16820.92"/>
    <n v="0"/>
    <s v="CREDITOR"/>
    <n v="0"/>
    <n v="0"/>
    <n v="0"/>
    <n v="0"/>
    <n v="0"/>
  </r>
  <r>
    <n v="61703718"/>
    <s v="N"/>
    <n v="21331101"/>
    <s v="3000015794750001"/>
    <s v="CIVIL"/>
    <d v="2023-06-27T00:00:00"/>
    <d v="2023-07-05T19:01:47"/>
    <m/>
    <d v="2023-07-05T00:00:00"/>
    <n v="379"/>
    <n v="14733"/>
    <s v="61703718"/>
    <s v="61703718"/>
    <m/>
    <m/>
    <n v="22773504"/>
    <m/>
    <m/>
    <m/>
    <s v="SOLFIN"/>
    <s v="SOLFIN"/>
    <s v="CCMS"/>
    <n v="21331101"/>
    <n v="1979.34"/>
    <m/>
    <s v="N"/>
    <n v="26"/>
    <d v="2023-07-05T19:02:06"/>
    <s v="Y"/>
    <s v="Routine Telephone Call"/>
    <s v="Prescribed Hourly Rates"/>
    <s v="Profit Cost"/>
    <s v="HH"/>
    <s v="Y"/>
    <n v="6.21"/>
    <n v="1.24"/>
    <x v="6"/>
    <s v="VALIDATED"/>
    <n v="1"/>
    <s v="01.11.80.305.6100.0000"/>
    <n v="6.21"/>
    <s v="11"/>
    <s v="6100"/>
    <n v="16820.92"/>
    <n v="6.21"/>
    <s v="CREDITOR"/>
    <n v="0"/>
    <n v="0"/>
    <n v="0"/>
    <n v="0"/>
    <n v="6.21"/>
  </r>
  <r>
    <n v="61703718"/>
    <s v="N"/>
    <n v="21331101"/>
    <s v="3000015794750001"/>
    <s v="CIVIL"/>
    <d v="2023-06-27T00:00:00"/>
    <d v="2023-07-05T19:01:47"/>
    <m/>
    <d v="2023-07-05T00:00:00"/>
    <n v="379"/>
    <n v="14733"/>
    <s v="61703718"/>
    <s v="61703718"/>
    <m/>
    <m/>
    <n v="22773504"/>
    <m/>
    <m/>
    <m/>
    <s v="SOLFIN"/>
    <s v="SOLFIN"/>
    <s v="CCMS"/>
    <n v="21331101"/>
    <n v="1979.34"/>
    <m/>
    <s v="N"/>
    <n v="4"/>
    <d v="2023-07-05T19:02:06"/>
    <s v="Y"/>
    <s v="Preparation - other"/>
    <s v="Prescribed Hourly Rates"/>
    <s v="Profit Cost"/>
    <s v="HH"/>
    <s v="Y"/>
    <n v="40.99"/>
    <n v="8.199999999999999"/>
    <x v="6"/>
    <s v="VALIDATED"/>
    <n v="1"/>
    <s v="01.11.80.305.6100.0000"/>
    <n v="40.99"/>
    <s v="11"/>
    <s v="6100"/>
    <n v="16820.92"/>
    <n v="40.99"/>
    <s v="CREDITOR"/>
    <n v="0"/>
    <n v="0"/>
    <n v="0"/>
    <n v="0"/>
    <n v="40.99"/>
  </r>
  <r>
    <n v="61703718"/>
    <s v="N"/>
    <n v="21331101"/>
    <s v="3000015794750001"/>
    <s v="CIVIL"/>
    <d v="2023-06-27T00:00:00"/>
    <d v="2023-07-05T19:01:47"/>
    <m/>
    <d v="2023-07-05T00:00:00"/>
    <n v="379"/>
    <n v="14733"/>
    <s v="61703718"/>
    <s v="61703718"/>
    <m/>
    <m/>
    <n v="22773504"/>
    <m/>
    <m/>
    <m/>
    <s v="SOLFIN"/>
    <s v="SOLFIN"/>
    <s v="CCMS"/>
    <n v="21331101"/>
    <n v="1979.34"/>
    <m/>
    <s v="N"/>
    <n v="3"/>
    <d v="2023-07-05T19:02:06"/>
    <s v="Y"/>
    <s v="Preparation - other"/>
    <s v="Prescribed Hourly Rates"/>
    <s v="Profit Cost"/>
    <s v="HH"/>
    <s v="Y"/>
    <n v="20.49"/>
    <n v="4.1"/>
    <x v="6"/>
    <s v="VALIDATED"/>
    <n v="1"/>
    <s v="01.11.80.305.6100.0000"/>
    <n v="20.49"/>
    <s v="11"/>
    <s v="6100"/>
    <n v="16820.92"/>
    <n v="20.49"/>
    <s v="CREDITOR"/>
    <n v="0"/>
    <n v="0"/>
    <n v="0"/>
    <n v="0"/>
    <n v="20.49"/>
  </r>
  <r>
    <n v="61703718"/>
    <s v="N"/>
    <n v="21331101"/>
    <s v="3000015794750001"/>
    <s v="CIVIL"/>
    <d v="2023-06-27T00:00:00"/>
    <d v="2023-07-05T19:01:47"/>
    <m/>
    <d v="2023-07-05T00:00:00"/>
    <n v="379"/>
    <n v="14733"/>
    <s v="61703718"/>
    <s v="61703718"/>
    <m/>
    <m/>
    <n v="22773504"/>
    <m/>
    <m/>
    <m/>
    <s v="SOLFIN"/>
    <s v="SOLFIN"/>
    <s v="CCMS"/>
    <n v="21331101"/>
    <n v="1979.34"/>
    <m/>
    <s v="N"/>
    <n v="6"/>
    <d v="2023-07-05T19:02:06"/>
    <s v="Y"/>
    <s v="Preparation - other"/>
    <s v="Prescribed Hourly Rates"/>
    <s v="Profit Cost"/>
    <s v="HH"/>
    <s v="Y"/>
    <n v="6.83"/>
    <n v="1.37"/>
    <x v="6"/>
    <s v="VALIDATED"/>
    <n v="1"/>
    <s v="01.11.80.305.6100.0000"/>
    <n v="6.83"/>
    <s v="11"/>
    <s v="6100"/>
    <n v="16820.92"/>
    <n v="6.83"/>
    <s v="CREDITOR"/>
    <n v="0"/>
    <n v="0"/>
    <n v="0"/>
    <n v="0"/>
    <n v="6.83"/>
  </r>
  <r>
    <n v="61703718"/>
    <s v="N"/>
    <n v="21331101"/>
    <s v="3000015794750001"/>
    <s v="CIVIL"/>
    <d v="2023-06-27T00:00:00"/>
    <d v="2023-07-05T19:01:47"/>
    <m/>
    <d v="2023-07-05T00:00:00"/>
    <n v="379"/>
    <n v="14733"/>
    <s v="61703718"/>
    <s v="61703718"/>
    <m/>
    <m/>
    <n v="22773504"/>
    <m/>
    <m/>
    <m/>
    <s v="SOLFIN"/>
    <s v="SOLFIN"/>
    <s v="CCMS"/>
    <n v="21331101"/>
    <n v="1979.34"/>
    <m/>
    <s v="N"/>
    <n v="15"/>
    <d v="2023-07-05T19:02:06"/>
    <s v="Y"/>
    <s v="Preparation - other"/>
    <s v="Prescribed Hourly Rates"/>
    <s v="Profit Cost"/>
    <s v="HH"/>
    <s v="Y"/>
    <n v="68.31"/>
    <n v="13.66"/>
    <x v="6"/>
    <s v="VALIDATED"/>
    <n v="1"/>
    <s v="01.11.80.305.6100.0000"/>
    <n v="68.31"/>
    <s v="11"/>
    <s v="6100"/>
    <n v="16820.92"/>
    <n v="68.31"/>
    <s v="CREDITOR"/>
    <n v="0"/>
    <n v="0"/>
    <n v="0"/>
    <n v="0"/>
    <n v="68.31"/>
  </r>
  <r>
    <n v="62061516"/>
    <s v="N"/>
    <n v="21321615"/>
    <s v="3000016094200003"/>
    <s v="CIVIL"/>
    <d v="2023-06-29T00:00:00"/>
    <d v="2023-07-03T19:05:17"/>
    <m/>
    <d v="2023-07-03T00:00:00"/>
    <n v="379"/>
    <n v="14733"/>
    <s v="62061516"/>
    <s v="62061516"/>
    <m/>
    <m/>
    <n v="22786494"/>
    <m/>
    <m/>
    <m/>
    <s v="SOLPOA"/>
    <s v="SOLPOA"/>
    <s v="CCMS"/>
    <n v="21321615"/>
    <n v="285.6"/>
    <m/>
    <s v="N"/>
    <n v="1"/>
    <d v="2023-07-03T19:05:19"/>
    <s v="N"/>
    <s v="Expert Cost"/>
    <s v="Expert Cost"/>
    <s v="Expert Disbursement"/>
    <s v="Gulizar Candemir"/>
    <s v="N"/>
    <n v="238"/>
    <n v="47.6"/>
    <x v="3"/>
    <s v="VALIDATED"/>
    <n v="1"/>
    <s v="01.11.80.308.2012.0000"/>
    <n v="238"/>
    <s v="11"/>
    <s v="2012"/>
    <n v="16820.92"/>
    <n v="238"/>
    <s v="CREDITOR"/>
    <n v="238"/>
    <n v="0"/>
    <n v="0"/>
    <n v="0"/>
    <n v="0"/>
  </r>
  <r>
    <n v="61703718"/>
    <s v="N"/>
    <n v="21331101"/>
    <s v="3000015794750001"/>
    <s v="CIVIL"/>
    <d v="2023-06-27T00:00:00"/>
    <d v="2023-07-05T19:01:47"/>
    <m/>
    <d v="2023-07-05T00:00:00"/>
    <n v="379"/>
    <n v="14733"/>
    <s v="61703718"/>
    <s v="61703718"/>
    <m/>
    <m/>
    <n v="22773504"/>
    <m/>
    <m/>
    <m/>
    <s v="SOLFIN"/>
    <s v="SOLFIN"/>
    <s v="CCMS"/>
    <n v="21331101"/>
    <n v="1979.34"/>
    <m/>
    <s v="N"/>
    <n v="23"/>
    <d v="2023-07-05T19:02:06"/>
    <s v="Y"/>
    <s v="Preparation - other"/>
    <s v="Prescribed Hourly Rates"/>
    <s v="Profit Cost"/>
    <s v="HH"/>
    <s v="Y"/>
    <n v="11.88"/>
    <n v="2.38"/>
    <x v="6"/>
    <s v="VALIDATED"/>
    <n v="1"/>
    <s v="01.11.80.305.6100.0000"/>
    <n v="11.88"/>
    <s v="11"/>
    <s v="6100"/>
    <n v="16820.92"/>
    <n v="11.88"/>
    <s v="CREDITOR"/>
    <n v="0"/>
    <n v="0"/>
    <n v="0"/>
    <n v="0"/>
    <n v="11.88"/>
  </r>
  <r>
    <n v="61703718"/>
    <s v="N"/>
    <n v="21331101"/>
    <s v="3000015794750001"/>
    <s v="CIVIL"/>
    <d v="2023-06-27T00:00:00"/>
    <d v="2023-07-05T19:01:47"/>
    <m/>
    <d v="2023-07-05T00:00:00"/>
    <n v="379"/>
    <n v="14733"/>
    <s v="61703718"/>
    <s v="61703718"/>
    <m/>
    <m/>
    <n v="22773504"/>
    <m/>
    <m/>
    <m/>
    <s v="SOLFIN"/>
    <s v="SOLFIN"/>
    <s v="CCMS"/>
    <n v="21331101"/>
    <n v="1979.34"/>
    <m/>
    <s v="N"/>
    <n v="7"/>
    <d v="2023-07-05T19:02:06"/>
    <s v="Y"/>
    <s v="Preparation - other"/>
    <s v="Prescribed Hourly Rates"/>
    <s v="Profit Cost"/>
    <s v="HH"/>
    <s v="Y"/>
    <n v="13.66"/>
    <n v="2.73"/>
    <x v="6"/>
    <s v="VALIDATED"/>
    <n v="1"/>
    <s v="01.11.80.305.6100.0000"/>
    <n v="13.66"/>
    <s v="11"/>
    <s v="6100"/>
    <n v="16820.92"/>
    <n v="13.66"/>
    <s v="CREDITOR"/>
    <n v="0"/>
    <n v="0"/>
    <n v="0"/>
    <n v="0"/>
    <n v="13.66"/>
  </r>
  <r>
    <n v="61703718"/>
    <s v="N"/>
    <n v="21331101"/>
    <s v="3000015794750001"/>
    <s v="CIVIL"/>
    <d v="2023-06-27T00:00:00"/>
    <d v="2023-07-05T19:01:47"/>
    <m/>
    <d v="2023-07-05T00:00:00"/>
    <n v="379"/>
    <n v="14733"/>
    <s v="61703718"/>
    <s v="61703718"/>
    <m/>
    <m/>
    <n v="22773504"/>
    <m/>
    <m/>
    <m/>
    <s v="SOLFIN"/>
    <s v="SOLFIN"/>
    <s v="CCMS"/>
    <n v="21331101"/>
    <n v="1979.34"/>
    <m/>
    <s v="N"/>
    <n v="12"/>
    <d v="2023-07-05T19:02:06"/>
    <s v="Y"/>
    <s v="Preparation - other"/>
    <s v="Prescribed Hourly Rates"/>
    <s v="Profit Cost"/>
    <s v="HH"/>
    <s v="Y"/>
    <n v="6.83"/>
    <n v="1.37"/>
    <x v="6"/>
    <s v="VALIDATED"/>
    <n v="1"/>
    <s v="01.11.80.305.6100.0000"/>
    <n v="6.83"/>
    <s v="11"/>
    <s v="6100"/>
    <n v="16820.92"/>
    <n v="6.83"/>
    <s v="CREDITOR"/>
    <n v="0"/>
    <n v="0"/>
    <n v="0"/>
    <n v="0"/>
    <n v="6.83"/>
  </r>
  <r>
    <n v="60886672"/>
    <s v="N"/>
    <n v="21331063"/>
    <s v="3000015110410008"/>
    <s v="CIVIL"/>
    <d v="2023-06-27T00:00:00"/>
    <d v="2023-07-05T19:01:47"/>
    <m/>
    <d v="2023-07-05T00:00:00"/>
    <n v="379"/>
    <n v="14733"/>
    <s v="60886672"/>
    <s v="60886672"/>
    <m/>
    <m/>
    <n v="22766982"/>
    <m/>
    <m/>
    <m/>
    <s v="SOLFIN"/>
    <s v="SOLFIN"/>
    <s v="CCMS"/>
    <n v="21331063"/>
    <n v="2116.2"/>
    <m/>
    <s v="N"/>
    <n v="1"/>
    <d v="2023-07-05T19:02:04"/>
    <s v="Y"/>
    <s v="Psychologist"/>
    <s v="Public Law Children"/>
    <s v="Expert Disbursement"/>
    <s v="Gulizar Candemir"/>
    <s v="Y"/>
    <n v="304.2"/>
    <n v="0"/>
    <x v="6"/>
    <s v="VALIDATED"/>
    <n v="1"/>
    <s v="01.11.80.308.6300.0000"/>
    <n v="304.2"/>
    <s v="11"/>
    <s v="6300"/>
    <n v="16820.92"/>
    <n v="304.2"/>
    <s v="CREDITOR"/>
    <n v="0"/>
    <n v="0"/>
    <n v="0"/>
    <n v="0"/>
    <n v="304.2"/>
  </r>
  <r>
    <n v="61217024"/>
    <s v="N"/>
    <n v="21331021"/>
    <s v="3000015384950009"/>
    <s v="CIVIL"/>
    <d v="2023-06-27T00:00:00"/>
    <d v="2023-07-05T19:01:47"/>
    <m/>
    <d v="2023-07-05T00:00:00"/>
    <n v="379"/>
    <n v="14733"/>
    <s v="61217024"/>
    <s v="61217024"/>
    <m/>
    <m/>
    <n v="22770478"/>
    <m/>
    <m/>
    <m/>
    <s v="SOLFIN"/>
    <s v="SOLFIN"/>
    <s v="CCMS"/>
    <n v="21331021"/>
    <n v="10866.11"/>
    <m/>
    <s v="N"/>
    <n v="3"/>
    <d v="2023-07-05T19:02:02"/>
    <s v="Y"/>
    <s v="Disbursements (Summary)"/>
    <s v="Prescribed Hourly Rates"/>
    <s v="Non Expert Disbursement"/>
    <s v="XXX"/>
    <s v="Y"/>
    <n v="187.5"/>
    <n v="0"/>
    <x v="6"/>
    <s v="VALIDATED"/>
    <n v="1"/>
    <s v="01.11.80.305.6300.0000"/>
    <n v="187.5"/>
    <s v="11"/>
    <s v="6300"/>
    <n v="16820.92"/>
    <n v="187.5"/>
    <s v="CREDITOR"/>
    <n v="0"/>
    <n v="0"/>
    <n v="0"/>
    <n v="0"/>
    <n v="187.5"/>
  </r>
  <r>
    <n v="60342636"/>
    <s v="N"/>
    <n v="21322707"/>
    <s v="3000014639920016"/>
    <s v="CIVIL"/>
    <d v="2023-06-29T00:00:00"/>
    <d v="2023-07-03T19:05:36"/>
    <m/>
    <d v="2023-07-03T00:00:00"/>
    <n v="379"/>
    <n v="14733"/>
    <s v="60342636"/>
    <s v="60342636"/>
    <m/>
    <m/>
    <n v="22790158"/>
    <m/>
    <m/>
    <m/>
    <s v="SOLPOA"/>
    <s v="SOLPOA"/>
    <s v="CCMS"/>
    <n v="21322707"/>
    <n v="716"/>
    <m/>
    <s v="N"/>
    <n v="1"/>
    <d v="2023-07-03T19:05:39"/>
    <s v="N"/>
    <s v="Solicitors Fixed Fee"/>
    <s v="Public Law Children"/>
    <s v="Profit Cost"/>
    <s v="Samantha Harris"/>
    <s v="N"/>
    <n v="596.67"/>
    <n v="119.33"/>
    <x v="3"/>
    <s v="VALIDATED"/>
    <n v="1"/>
    <s v="01.11.80.308.2012.0000"/>
    <n v="596.67"/>
    <s v="11"/>
    <s v="2012"/>
    <n v="16820.92"/>
    <n v="596.67"/>
    <s v="CREDITOR"/>
    <n v="596.67"/>
    <n v="149.1675"/>
    <n v="0"/>
    <n v="0"/>
    <n v="0"/>
  </r>
  <r>
    <n v="61703718"/>
    <s v="N"/>
    <n v="21331101"/>
    <s v="3000015794750001"/>
    <s v="CIVIL"/>
    <d v="2023-06-27T00:00:00"/>
    <d v="2023-07-05T19:01:47"/>
    <m/>
    <d v="2023-07-05T00:00:00"/>
    <n v="379"/>
    <n v="14733"/>
    <s v="61703718"/>
    <s v="61703718"/>
    <m/>
    <m/>
    <n v="22773504"/>
    <m/>
    <m/>
    <m/>
    <s v="SOLFIN"/>
    <s v="SOLFIN"/>
    <s v="CCMS"/>
    <n v="21331101"/>
    <n v="1979.34"/>
    <m/>
    <s v="N"/>
    <n v="14"/>
    <d v="2023-07-05T19:02:06"/>
    <s v="Y"/>
    <s v="Preparation - other"/>
    <s v="Prescribed Hourly Rates"/>
    <s v="Profit Cost"/>
    <s v="NG"/>
    <s v="Y"/>
    <n v="89.09999999999999"/>
    <n v="17.82"/>
    <x v="6"/>
    <s v="VALIDATED"/>
    <n v="1"/>
    <s v="01.11.80.305.6100.0000"/>
    <n v="89.09999999999999"/>
    <s v="11"/>
    <s v="6100"/>
    <n v="16820.92"/>
    <n v="89.09999999999999"/>
    <s v="CREDITOR"/>
    <n v="0"/>
    <n v="0"/>
    <n v="0"/>
    <n v="0"/>
    <n v="89.09999999999999"/>
  </r>
  <r>
    <n v="61703718"/>
    <s v="N"/>
    <n v="21331101"/>
    <s v="3000015794750001"/>
    <s v="CIVIL"/>
    <d v="2023-06-27T00:00:00"/>
    <d v="2023-07-05T19:01:47"/>
    <m/>
    <d v="2023-07-05T00:00:00"/>
    <n v="379"/>
    <n v="14733"/>
    <s v="61703718"/>
    <s v="61703718"/>
    <m/>
    <m/>
    <n v="22773504"/>
    <m/>
    <m/>
    <m/>
    <s v="SOLFIN"/>
    <s v="SOLFIN"/>
    <s v="CCMS"/>
    <n v="21331101"/>
    <n v="1979.34"/>
    <m/>
    <s v="N"/>
    <n v="13"/>
    <d v="2023-07-05T19:02:06"/>
    <s v="Y"/>
    <s v="Preparation - other"/>
    <s v="Prescribed Hourly Rates"/>
    <s v="Profit Cost"/>
    <s v="HH"/>
    <s v="Y"/>
    <n v="75.14"/>
    <n v="15.03"/>
    <x v="6"/>
    <s v="VALIDATED"/>
    <n v="1"/>
    <s v="01.11.80.305.6100.0000"/>
    <n v="75.14"/>
    <s v="11"/>
    <s v="6100"/>
    <n v="16820.92"/>
    <n v="75.14"/>
    <s v="CREDITOR"/>
    <n v="0"/>
    <n v="0"/>
    <n v="0"/>
    <n v="0"/>
    <n v="75.14"/>
  </r>
  <r>
    <n v="59778735"/>
    <s v="N"/>
    <n v="21322361"/>
    <s v="3000014153430013"/>
    <s v="CIVIL"/>
    <d v="2023-06-29T00:00:00"/>
    <d v="2023-07-03T19:05:36"/>
    <m/>
    <d v="2023-07-03T00:00:00"/>
    <n v="379"/>
    <n v="14733"/>
    <s v="59778735"/>
    <s v="59778735"/>
    <m/>
    <m/>
    <n v="22790058"/>
    <m/>
    <m/>
    <m/>
    <s v="SOLPOA"/>
    <s v="SOLPOA"/>
    <s v="CCMS"/>
    <n v="21322361"/>
    <n v="4115.44"/>
    <m/>
    <s v="N"/>
    <n v="1"/>
    <d v="2023-07-03T19:05:37"/>
    <s v="N"/>
    <s v="Solicitors Fixed Fee"/>
    <s v="Public Law Children"/>
    <s v="Profit Cost"/>
    <s v="Nina Hansen"/>
    <s v="N"/>
    <n v="3429.53"/>
    <n v="685.91"/>
    <x v="3"/>
    <s v="VALIDATED"/>
    <n v="1"/>
    <s v="01.11.80.308.2012.0000"/>
    <n v="3429.53"/>
    <s v="11"/>
    <s v="2012"/>
    <n v="16820.92"/>
    <n v="3429.53"/>
    <s v="CREDITOR"/>
    <n v="3429.53"/>
    <n v="857.3825000000001"/>
    <n v="0"/>
    <n v="0"/>
    <n v="0"/>
  </r>
  <r>
    <n v="61703718"/>
    <s v="N"/>
    <n v="21331101"/>
    <s v="3000015794750001"/>
    <s v="CIVIL"/>
    <d v="2023-06-27T00:00:00"/>
    <d v="2023-07-05T19:01:47"/>
    <m/>
    <d v="2023-07-05T00:00:00"/>
    <n v="379"/>
    <n v="14733"/>
    <s v="61703718"/>
    <s v="61703718"/>
    <m/>
    <m/>
    <n v="22773504"/>
    <m/>
    <m/>
    <m/>
    <s v="SOLFIN"/>
    <s v="SOLFIN"/>
    <s v="CCMS"/>
    <n v="21331101"/>
    <n v="1979.34"/>
    <m/>
    <s v="N"/>
    <n v="18"/>
    <d v="2023-07-05T19:02:06"/>
    <s v="Y"/>
    <s v="Preparation - other"/>
    <s v="Prescribed Hourly Rates"/>
    <s v="Profit Cost"/>
    <s v="HH"/>
    <s v="Y"/>
    <n v="27.32"/>
    <n v="5.46"/>
    <x v="6"/>
    <s v="VALIDATED"/>
    <n v="1"/>
    <s v="01.11.80.305.6100.0000"/>
    <n v="27.32"/>
    <s v="11"/>
    <s v="6100"/>
    <n v="16820.92"/>
    <n v="27.32"/>
    <s v="CREDITOR"/>
    <n v="0"/>
    <n v="0"/>
    <n v="0"/>
    <n v="0"/>
    <n v="27.32"/>
  </r>
  <r>
    <n v="61703718"/>
    <s v="N"/>
    <n v="21331101"/>
    <s v="3000015794750001"/>
    <s v="CIVIL"/>
    <d v="2023-06-27T00:00:00"/>
    <d v="2023-07-05T19:01:47"/>
    <m/>
    <d v="2023-07-05T00:00:00"/>
    <n v="379"/>
    <n v="14733"/>
    <s v="61703718"/>
    <s v="61703718"/>
    <m/>
    <m/>
    <n v="22773504"/>
    <m/>
    <m/>
    <m/>
    <s v="SOLFIN"/>
    <s v="SOLFIN"/>
    <s v="CCMS"/>
    <n v="21331101"/>
    <n v="1979.34"/>
    <m/>
    <s v="N"/>
    <n v="22"/>
    <d v="2023-07-05T19:02:06"/>
    <s v="Y"/>
    <s v="Preparation - drafting bill/claim f"/>
    <s v="Prescribed Hourly Rates"/>
    <s v="Profit Cost"/>
    <s v="CA"/>
    <s v="Y"/>
    <n v="77.22"/>
    <n v="15.44"/>
    <x v="6"/>
    <s v="VALIDATED"/>
    <n v="1"/>
    <s v="01.11.80.305.6100.0000"/>
    <n v="77.22"/>
    <s v="11"/>
    <s v="6100"/>
    <n v="16820.92"/>
    <n v="77.22"/>
    <s v="CREDITOR"/>
    <n v="0"/>
    <n v="0"/>
    <n v="0"/>
    <n v="0"/>
    <n v="77.22"/>
  </r>
  <r>
    <n v="59392949"/>
    <s v="N"/>
    <n v="21322225"/>
    <s v="3000013836840021"/>
    <s v="CIVIL"/>
    <d v="2023-06-29T00:00:00"/>
    <d v="2023-07-03T19:05:36"/>
    <m/>
    <d v="2023-07-03T00:00:00"/>
    <n v="379"/>
    <n v="14733"/>
    <s v="59392949"/>
    <s v="59392949"/>
    <m/>
    <m/>
    <n v="22789918"/>
    <m/>
    <m/>
    <m/>
    <s v="SOLPOA"/>
    <s v="SOLPOA"/>
    <s v="CCMS"/>
    <n v="21322225"/>
    <n v="574.99"/>
    <m/>
    <s v="N"/>
    <n v="1"/>
    <d v="2023-07-03T19:05:36"/>
    <s v="N"/>
    <s v="Solicitors Fixed Fee"/>
    <s v="Public Law Children"/>
    <s v="Profit Cost"/>
    <s v="Gulizar Candemir"/>
    <s v="N"/>
    <n v="479.16"/>
    <n v="95.83"/>
    <x v="3"/>
    <s v="VALIDATED"/>
    <n v="1"/>
    <s v="01.11.80.308.2012.0000"/>
    <n v="479.16"/>
    <s v="11"/>
    <s v="2012"/>
    <n v="16820.92"/>
    <n v="479.16"/>
    <s v="CREDITOR"/>
    <n v="479.16"/>
    <n v="119.79"/>
    <n v="0"/>
    <n v="0"/>
    <n v="0"/>
  </r>
  <r>
    <n v="61703718"/>
    <s v="N"/>
    <n v="21331101"/>
    <s v="3000015794750001"/>
    <s v="CIVIL"/>
    <d v="2023-06-27T00:00:00"/>
    <d v="2023-07-05T19:01:47"/>
    <m/>
    <d v="2023-07-05T00:00:00"/>
    <n v="379"/>
    <n v="14733"/>
    <s v="61703718"/>
    <s v="61703718"/>
    <m/>
    <m/>
    <n v="22773504"/>
    <m/>
    <m/>
    <m/>
    <s v="SOLFIN"/>
    <s v="SOLFIN"/>
    <s v="CCMS"/>
    <n v="21331101"/>
    <n v="1979.34"/>
    <m/>
    <s v="N"/>
    <n v="21"/>
    <d v="2023-07-05T19:02:06"/>
    <s v="Y"/>
    <s v="Preparation - other"/>
    <s v="Prescribed Hourly Rates"/>
    <s v="Profit Cost"/>
    <s v="HH"/>
    <s v="Y"/>
    <n v="6.83"/>
    <n v="1.37"/>
    <x v="6"/>
    <s v="VALIDATED"/>
    <n v="1"/>
    <s v="01.11.80.305.6100.0000"/>
    <n v="6.83"/>
    <s v="11"/>
    <s v="6100"/>
    <n v="16820.92"/>
    <n v="6.83"/>
    <s v="CREDITOR"/>
    <n v="0"/>
    <n v="0"/>
    <n v="0"/>
    <n v="0"/>
    <n v="6.83"/>
  </r>
  <r>
    <n v="61703718"/>
    <s v="N"/>
    <n v="21331101"/>
    <s v="3000015794750001"/>
    <s v="CIVIL"/>
    <d v="2023-06-27T00:00:00"/>
    <d v="2023-07-05T19:01:47"/>
    <m/>
    <d v="2023-07-05T00:00:00"/>
    <n v="379"/>
    <n v="14733"/>
    <s v="61703718"/>
    <s v="61703718"/>
    <m/>
    <m/>
    <n v="22773504"/>
    <m/>
    <m/>
    <m/>
    <s v="SOLFIN"/>
    <s v="SOLFIN"/>
    <s v="CCMS"/>
    <n v="21331101"/>
    <n v="1979.34"/>
    <m/>
    <s v="N"/>
    <n v="19"/>
    <d v="2023-07-05T19:02:06"/>
    <s v="Y"/>
    <s v="Advocacy - Other Hearing"/>
    <s v="Prescribed Hourly Rates"/>
    <s v="Advocacy"/>
    <s v="HH"/>
    <s v="Y"/>
    <n v="34.16"/>
    <n v="6.83"/>
    <x v="6"/>
    <s v="VALIDATED"/>
    <n v="1"/>
    <s v="01.11.80.305.6100.0000"/>
    <n v="34.16"/>
    <s v="11"/>
    <s v="6100"/>
    <n v="16820.92"/>
    <n v="34.16"/>
    <s v="CREDITOR"/>
    <n v="0"/>
    <n v="0"/>
    <n v="0"/>
    <n v="0"/>
    <n v="34.16"/>
  </r>
  <r>
    <n v="61509332"/>
    <s v="N"/>
    <n v="21321805"/>
    <s v="3000015631710026"/>
    <s v="CIVIL"/>
    <d v="2023-06-29T00:00:00"/>
    <d v="2023-07-03T19:05:17"/>
    <m/>
    <d v="2023-07-03T00:00:00"/>
    <n v="379"/>
    <n v="14733"/>
    <s v="61509332"/>
    <s v="61509332"/>
    <m/>
    <m/>
    <n v="22786160"/>
    <m/>
    <m/>
    <m/>
    <s v="SOLPOA"/>
    <s v="SOLPOA"/>
    <s v="CCMS"/>
    <n v="21321805"/>
    <n v="168.22"/>
    <m/>
    <s v="N"/>
    <n v="1"/>
    <d v="2023-07-03T19:05:21"/>
    <s v="N"/>
    <s v="Expert Cost"/>
    <s v="Expert Cost"/>
    <s v="Expert Disbursement"/>
    <s v="Sophie Lambert"/>
    <s v="N"/>
    <n v="140.18"/>
    <n v="28.04"/>
    <x v="3"/>
    <s v="VALIDATED"/>
    <n v="1"/>
    <s v="01.11.80.305.2012.0000"/>
    <n v="140.18"/>
    <s v="11"/>
    <s v="2012"/>
    <n v="16820.92"/>
    <n v="140.18"/>
    <s v="CREDITOR"/>
    <n v="140.18"/>
    <n v="0"/>
    <n v="0"/>
    <n v="0"/>
    <n v="0"/>
  </r>
  <r>
    <n v="61703718"/>
    <s v="N"/>
    <n v="21331101"/>
    <s v="3000015794750001"/>
    <s v="CIVIL"/>
    <d v="2023-06-27T00:00:00"/>
    <d v="2023-07-05T19:01:47"/>
    <m/>
    <d v="2023-07-05T00:00:00"/>
    <n v="379"/>
    <n v="14733"/>
    <s v="61703718"/>
    <s v="61703718"/>
    <m/>
    <m/>
    <n v="22773504"/>
    <m/>
    <m/>
    <m/>
    <s v="SOLFIN"/>
    <s v="SOLFIN"/>
    <s v="CCMS"/>
    <n v="21331101"/>
    <n v="1979.34"/>
    <m/>
    <s v="N"/>
    <n v="2"/>
    <d v="2023-07-05T19:02:06"/>
    <s v="Y"/>
    <s v="Preparation - other"/>
    <s v="Prescribed Hourly Rates"/>
    <s v="Profit Cost"/>
    <s v="HH"/>
    <s v="Y"/>
    <n v="54.65"/>
    <n v="10.93"/>
    <x v="6"/>
    <s v="VALIDATED"/>
    <n v="1"/>
    <s v="01.11.80.305.6100.0000"/>
    <n v="54.65"/>
    <s v="11"/>
    <s v="6100"/>
    <n v="16820.92"/>
    <n v="54.65"/>
    <s v="CREDITOR"/>
    <n v="0"/>
    <n v="0"/>
    <n v="0"/>
    <n v="0"/>
    <n v="54.65"/>
  </r>
  <r>
    <n v="61703718"/>
    <s v="N"/>
    <n v="21331101"/>
    <s v="3000015794750001"/>
    <s v="CIVIL"/>
    <d v="2023-06-27T00:00:00"/>
    <d v="2023-07-05T19:01:47"/>
    <m/>
    <d v="2023-07-05T00:00:00"/>
    <n v="379"/>
    <n v="14733"/>
    <s v="61703718"/>
    <s v="61703718"/>
    <m/>
    <m/>
    <n v="22773504"/>
    <m/>
    <m/>
    <m/>
    <s v="SOLFIN"/>
    <s v="SOLFIN"/>
    <s v="CCMS"/>
    <n v="21331101"/>
    <n v="1979.34"/>
    <m/>
    <s v="N"/>
    <n v="9"/>
    <d v="2023-07-05T19:02:06"/>
    <s v="Y"/>
    <s v="Preparation - other"/>
    <s v="Prescribed Hourly Rates"/>
    <s v="Profit Cost"/>
    <s v="HH"/>
    <s v="Y"/>
    <n v="6.83"/>
    <n v="1.37"/>
    <x v="6"/>
    <s v="VALIDATED"/>
    <n v="1"/>
    <s v="01.11.80.305.6100.0000"/>
    <n v="6.83"/>
    <s v="11"/>
    <s v="6100"/>
    <n v="16820.92"/>
    <n v="6.83"/>
    <s v="CREDITOR"/>
    <n v="0"/>
    <n v="0"/>
    <n v="0"/>
    <n v="0"/>
    <n v="6.83"/>
  </r>
  <r>
    <n v="60831797"/>
    <s v="N"/>
    <n v="21331347"/>
    <s v="3000015058190009"/>
    <s v="CIVIL"/>
    <d v="2023-06-27T00:00:00"/>
    <d v="2023-07-05T19:01:47"/>
    <m/>
    <d v="2023-07-05T00:00:00"/>
    <n v="379"/>
    <n v="14733"/>
    <s v="60831797"/>
    <s v="60831797"/>
    <m/>
    <m/>
    <n v="22772212"/>
    <m/>
    <m/>
    <m/>
    <s v="SOLFIN"/>
    <s v="SOLFIN"/>
    <s v="CCMS"/>
    <n v="21331347"/>
    <n v="4836.43"/>
    <m/>
    <s v="N"/>
    <n v="3"/>
    <d v="2023-07-05T19:02:15"/>
    <s v="Y"/>
    <s v="Psychologist"/>
    <s v="Public Law Children"/>
    <s v="Expert Disbursement"/>
    <s v="Laura Coyle"/>
    <s v="Y"/>
    <n v="1011.95"/>
    <n v="202.39"/>
    <x v="6"/>
    <s v="VALIDATED"/>
    <n v="1"/>
    <s v="01.11.80.308.6300.0000"/>
    <n v="1011.95"/>
    <s v="11"/>
    <s v="6300"/>
    <n v="16820.92"/>
    <n v="1011.95"/>
    <s v="CREDITOR"/>
    <n v="0"/>
    <n v="0"/>
    <n v="0"/>
    <n v="0"/>
    <n v="1011.95"/>
  </r>
  <r>
    <n v="60831797"/>
    <s v="N"/>
    <n v="21331347"/>
    <s v="3000015058190009"/>
    <s v="CIVIL"/>
    <d v="2023-06-27T00:00:00"/>
    <d v="2023-07-05T19:01:47"/>
    <m/>
    <d v="2023-07-05T00:00:00"/>
    <n v="379"/>
    <n v="14733"/>
    <s v="60831797"/>
    <s v="60831797"/>
    <m/>
    <m/>
    <n v="22772212"/>
    <m/>
    <m/>
    <m/>
    <s v="SOLFIN"/>
    <s v="SOLFIN"/>
    <s v="CCMS"/>
    <n v="21331347"/>
    <n v="4836.43"/>
    <m/>
    <s v="N"/>
    <n v="2"/>
    <d v="2023-07-05T19:02:15"/>
    <s v="Y"/>
    <s v="Toxicologist"/>
    <s v="Public Law Children"/>
    <s v="Expert Disbursement"/>
    <s v="Laura Coyle"/>
    <s v="Y"/>
    <n v="193.75"/>
    <n v="38.75"/>
    <x v="6"/>
    <s v="VALIDATED"/>
    <n v="1"/>
    <s v="01.11.80.308.6300.0000"/>
    <n v="193.75"/>
    <s v="11"/>
    <s v="6300"/>
    <n v="16820.92"/>
    <n v="193.75"/>
    <s v="CREDITOR"/>
    <n v="0"/>
    <n v="0"/>
    <n v="0"/>
    <n v="0"/>
    <n v="193.75"/>
  </r>
  <r>
    <n v="60831797"/>
    <s v="N"/>
    <n v="21331347"/>
    <s v="3000015058190009"/>
    <s v="CIVIL"/>
    <d v="2023-06-27T00:00:00"/>
    <d v="2023-07-05T19:01:47"/>
    <m/>
    <d v="2023-07-05T00:00:00"/>
    <n v="379"/>
    <n v="14733"/>
    <s v="60831797"/>
    <s v="60831797"/>
    <m/>
    <m/>
    <n v="22772212"/>
    <m/>
    <m/>
    <m/>
    <s v="SOLFIN"/>
    <s v="SOLFIN"/>
    <s v="CCMS"/>
    <n v="21331347"/>
    <n v="4836.43"/>
    <m/>
    <s v="N"/>
    <n v="4"/>
    <d v="2023-07-05T19:02:15"/>
    <s v="Y"/>
    <s v="Advocates Meeting"/>
    <s v="Public Law Children"/>
    <s v="Advocacy"/>
    <s v="Laura Coyle"/>
    <s v="Y"/>
    <n v="140.99"/>
    <n v="28.2"/>
    <x v="6"/>
    <s v="VALIDATED"/>
    <n v="1"/>
    <s v="01.11.80.308.6100.0000"/>
    <n v="140.99"/>
    <s v="11"/>
    <s v="6100"/>
    <n v="16820.92"/>
    <n v="140.99"/>
    <s v="CREDITOR"/>
    <n v="0"/>
    <n v="0"/>
    <n v="0"/>
    <n v="0"/>
    <n v="140.99"/>
  </r>
  <r>
    <n v="61796545"/>
    <s v="N"/>
    <n v="21322867"/>
    <s v="3000015867540003"/>
    <s v="CIVIL"/>
    <d v="2023-06-29T00:00:00"/>
    <d v="2023-07-03T19:05:36"/>
    <m/>
    <d v="2023-07-03T00:00:00"/>
    <n v="379"/>
    <n v="14733"/>
    <s v="61796545"/>
    <s v="61796545"/>
    <m/>
    <m/>
    <n v="22790992"/>
    <m/>
    <m/>
    <m/>
    <s v="SOLPOA"/>
    <s v="SOLPOA"/>
    <s v="CCMS"/>
    <n v="21322867"/>
    <n v="608.35"/>
    <m/>
    <s v="N"/>
    <n v="1"/>
    <d v="2023-07-03T19:05:40"/>
    <s v="N"/>
    <s v="Solicitors Fixed Fee"/>
    <s v="Public Law Children"/>
    <s v="Profit Cost"/>
    <s v="Samanatha Harris"/>
    <s v="N"/>
    <n v="506.96"/>
    <n v="101.39"/>
    <x v="3"/>
    <s v="VALIDATED"/>
    <n v="1"/>
    <s v="01.11.80.308.2012.0000"/>
    <n v="506.96"/>
    <s v="11"/>
    <s v="2012"/>
    <n v="16820.92"/>
    <n v="506.96"/>
    <s v="CREDITOR"/>
    <n v="506.96"/>
    <n v="126.74"/>
    <n v="0"/>
    <n v="0"/>
    <n v="0"/>
  </r>
  <r>
    <n v="61703718"/>
    <s v="N"/>
    <n v="21331101"/>
    <s v="3000015794750001"/>
    <s v="CIVIL"/>
    <d v="2023-06-27T00:00:00"/>
    <d v="2023-07-05T19:01:47"/>
    <m/>
    <d v="2023-07-05T00:00:00"/>
    <n v="379"/>
    <n v="14733"/>
    <s v="61703718"/>
    <s v="61703718"/>
    <m/>
    <m/>
    <n v="22773504"/>
    <m/>
    <m/>
    <m/>
    <s v="SOLFIN"/>
    <s v="SOLFIN"/>
    <s v="CCMS"/>
    <n v="21331101"/>
    <n v="1979.34"/>
    <m/>
    <s v="N"/>
    <n v="20"/>
    <d v="2023-07-05T19:02:06"/>
    <s v="Y"/>
    <s v="Preparation - other"/>
    <s v="Prescribed Hourly Rates"/>
    <s v="Profit Cost"/>
    <s v="HH"/>
    <s v="Y"/>
    <n v="34.16"/>
    <n v="6.83"/>
    <x v="6"/>
    <s v="VALIDATED"/>
    <n v="1"/>
    <s v="01.11.80.305.6100.0000"/>
    <n v="34.16"/>
    <s v="11"/>
    <s v="6100"/>
    <n v="16820.92"/>
    <n v="34.16"/>
    <s v="CREDITOR"/>
    <n v="0"/>
    <n v="0"/>
    <n v="0"/>
    <n v="0"/>
    <n v="34.16"/>
  </r>
  <r>
    <n v="61703718"/>
    <s v="N"/>
    <n v="21331101"/>
    <s v="3000015794750001"/>
    <s v="CIVIL"/>
    <d v="2023-06-27T00:00:00"/>
    <d v="2023-07-05T19:01:47"/>
    <m/>
    <d v="2023-07-05T00:00:00"/>
    <n v="379"/>
    <n v="14733"/>
    <s v="61703718"/>
    <s v="61703718"/>
    <m/>
    <m/>
    <n v="22773504"/>
    <m/>
    <m/>
    <m/>
    <s v="SOLFIN"/>
    <s v="SOLFIN"/>
    <s v="CCMS"/>
    <n v="21331101"/>
    <n v="1979.34"/>
    <m/>
    <s v="N"/>
    <n v="25"/>
    <d v="2023-07-05T19:02:06"/>
    <s v="Y"/>
    <s v="Preparation - other"/>
    <s v="Prescribed Hourly Rates"/>
    <s v="Profit Cost"/>
    <s v="HH"/>
    <s v="Y"/>
    <n v="27.32"/>
    <n v="5.46"/>
    <x v="6"/>
    <s v="VALIDATED"/>
    <n v="1"/>
    <s v="01.11.80.305.6100.0000"/>
    <n v="27.32"/>
    <s v="11"/>
    <s v="6100"/>
    <n v="16820.92"/>
    <n v="27.32"/>
    <s v="CREDITOR"/>
    <n v="0"/>
    <n v="0"/>
    <n v="0"/>
    <n v="0"/>
    <n v="27.32"/>
  </r>
  <r>
    <n v="61703718"/>
    <s v="N"/>
    <n v="21331101"/>
    <s v="3000015794750001"/>
    <s v="CIVIL"/>
    <d v="2023-06-27T00:00:00"/>
    <d v="2023-07-05T19:01:47"/>
    <m/>
    <d v="2023-07-05T00:00:00"/>
    <n v="379"/>
    <n v="14733"/>
    <s v="61703718"/>
    <s v="61703718"/>
    <m/>
    <m/>
    <n v="22773504"/>
    <m/>
    <m/>
    <m/>
    <s v="SOLFIN"/>
    <s v="SOLFIN"/>
    <s v="CCMS"/>
    <n v="21331101"/>
    <n v="1979.34"/>
    <m/>
    <s v="N"/>
    <n v="28"/>
    <d v="2023-07-05T19:02:06"/>
    <s v="Y"/>
    <s v="Routine Letter In"/>
    <s v="Prescribed Hourly Rates"/>
    <s v="Profit Cost"/>
    <s v="HH"/>
    <s v="Y"/>
    <n v="375.71"/>
    <n v="75.14"/>
    <x v="6"/>
    <s v="VALIDATED"/>
    <n v="1"/>
    <s v="01.11.80.305.6100.0000"/>
    <n v="375.71"/>
    <s v="11"/>
    <s v="6100"/>
    <n v="16820.92"/>
    <n v="375.71"/>
    <s v="CREDITOR"/>
    <n v="0"/>
    <n v="0"/>
    <n v="0"/>
    <n v="0"/>
    <n v="375.71"/>
  </r>
  <r>
    <n v="60831797"/>
    <s v="N"/>
    <n v="21331347"/>
    <s v="3000015058190009"/>
    <s v="CIVIL"/>
    <d v="2023-06-27T00:00:00"/>
    <d v="2023-07-05T19:01:47"/>
    <m/>
    <d v="2023-07-05T00:00:00"/>
    <n v="379"/>
    <n v="14733"/>
    <s v="60831797"/>
    <s v="60831797"/>
    <m/>
    <m/>
    <n v="22772212"/>
    <m/>
    <m/>
    <m/>
    <s v="SOLFIN"/>
    <s v="SOLFIN"/>
    <s v="CCMS"/>
    <n v="21331347"/>
    <n v="4836.43"/>
    <m/>
    <s v="N"/>
    <n v="5"/>
    <d v="2023-07-05T19:02:15"/>
    <s v="Y"/>
    <s v="Hearing Unit 2.31 - 5.00 Hours"/>
    <s v="Public Law Children"/>
    <s v="Advocacy"/>
    <s v="Laura Coyle"/>
    <s v="Y"/>
    <n v="476.92"/>
    <n v="95.38"/>
    <x v="6"/>
    <s v="VALIDATED"/>
    <n v="1"/>
    <s v="01.11.80.308.6100.0000"/>
    <n v="476.92"/>
    <s v="11"/>
    <s v="6100"/>
    <n v="16820.92"/>
    <n v="476.92"/>
    <s v="CREDITOR"/>
    <n v="0"/>
    <n v="0"/>
    <n v="0"/>
    <n v="0"/>
    <n v="476.92"/>
  </r>
  <r>
    <n v="61315822"/>
    <s v="N"/>
    <n v="21321879"/>
    <s v="3000015471620008"/>
    <s v="CIVIL"/>
    <d v="2023-06-29T00:00:00"/>
    <d v="2023-07-03T19:05:17"/>
    <m/>
    <d v="2023-07-03T00:00:00"/>
    <n v="379"/>
    <n v="14733"/>
    <s v="61315822"/>
    <s v="61315822"/>
    <m/>
    <m/>
    <n v="22788468"/>
    <m/>
    <m/>
    <m/>
    <s v="SOLPOA"/>
    <s v="SOLPOA"/>
    <s v="CCMS"/>
    <n v="21321879"/>
    <n v="1432.08"/>
    <m/>
    <s v="N"/>
    <n v="1"/>
    <d v="2023-07-03T19:05:21"/>
    <s v="N"/>
    <s v="Expert Cost"/>
    <s v="Expert Cost"/>
    <s v="Expert Disbursement"/>
    <s v="Gulizar Candemir"/>
    <s v="N"/>
    <n v="1193.4"/>
    <n v="238.68"/>
    <x v="3"/>
    <s v="VALIDATED"/>
    <n v="1"/>
    <s v="01.11.80.308.2012.0000"/>
    <n v="1193.4"/>
    <s v="11"/>
    <s v="2012"/>
    <n v="16820.92"/>
    <n v="1193.4"/>
    <s v="CREDITOR"/>
    <n v="1193.4"/>
    <n v="0"/>
    <n v="0"/>
    <n v="0"/>
    <n v="0"/>
  </r>
  <r>
    <n v="61703718"/>
    <s v="N"/>
    <n v="21331101"/>
    <s v="3000015794750001"/>
    <s v="CIVIL"/>
    <d v="2023-06-27T00:00:00"/>
    <d v="2023-07-05T19:01:47"/>
    <m/>
    <d v="2023-07-05T00:00:00"/>
    <n v="379"/>
    <n v="14733"/>
    <s v="61703718"/>
    <s v="61703718"/>
    <m/>
    <m/>
    <n v="22773504"/>
    <m/>
    <m/>
    <m/>
    <s v="SOLFIN"/>
    <s v="SOLFIN"/>
    <s v="CCMS"/>
    <n v="21331101"/>
    <n v="1979.34"/>
    <m/>
    <s v="N"/>
    <n v="16"/>
    <d v="2023-07-05T19:02:06"/>
    <s v="Y"/>
    <s v="Preparation - other"/>
    <s v="Prescribed Hourly Rates"/>
    <s v="Profit Cost"/>
    <s v="HH"/>
    <s v="Y"/>
    <n v="170.78"/>
    <n v="34.16"/>
    <x v="6"/>
    <s v="VALIDATED"/>
    <n v="1"/>
    <s v="01.11.80.305.6100.0000"/>
    <n v="170.78"/>
    <s v="11"/>
    <s v="6100"/>
    <n v="16820.92"/>
    <n v="170.78"/>
    <s v="CREDITOR"/>
    <n v="0"/>
    <n v="0"/>
    <n v="0"/>
    <n v="0"/>
    <n v="170.78"/>
  </r>
  <r>
    <n v="61703718"/>
    <s v="N"/>
    <n v="21331101"/>
    <s v="3000015794750001"/>
    <s v="CIVIL"/>
    <d v="2023-06-27T00:00:00"/>
    <d v="2023-07-05T19:01:47"/>
    <m/>
    <d v="2023-07-05T00:00:00"/>
    <n v="379"/>
    <n v="14733"/>
    <s v="61703718"/>
    <s v="61703718"/>
    <m/>
    <m/>
    <n v="22773504"/>
    <m/>
    <m/>
    <m/>
    <s v="SOLFIN"/>
    <s v="SOLFIN"/>
    <s v="CCMS"/>
    <n v="21331101"/>
    <n v="1979.34"/>
    <m/>
    <s v="N"/>
    <n v="11"/>
    <d v="2023-07-05T19:02:06"/>
    <s v="Y"/>
    <s v="Preparation - other"/>
    <s v="Prescribed Hourly Rates"/>
    <s v="Profit Cost"/>
    <s v="HH"/>
    <s v="Y"/>
    <n v="6.83"/>
    <n v="1.37"/>
    <x v="6"/>
    <s v="VALIDATED"/>
    <n v="1"/>
    <s v="01.11.80.305.6100.0000"/>
    <n v="6.83"/>
    <s v="11"/>
    <s v="6100"/>
    <n v="16820.92"/>
    <n v="6.83"/>
    <s v="CREDITOR"/>
    <n v="0"/>
    <n v="0"/>
    <n v="0"/>
    <n v="0"/>
    <n v="6.83"/>
  </r>
  <r>
    <n v="60831797"/>
    <s v="N"/>
    <n v="21331347"/>
    <s v="3000015058190009"/>
    <s v="CIVIL"/>
    <d v="2023-06-27T00:00:00"/>
    <d v="2023-07-05T19:01:47"/>
    <m/>
    <d v="2023-07-05T00:00:00"/>
    <n v="379"/>
    <n v="14733"/>
    <s v="60831797"/>
    <s v="60831797"/>
    <m/>
    <m/>
    <n v="22772212"/>
    <m/>
    <m/>
    <m/>
    <s v="SOLFIN"/>
    <s v="SOLFIN"/>
    <s v="CCMS"/>
    <n v="21331347"/>
    <n v="4836.43"/>
    <m/>
    <s v="N"/>
    <n v="1"/>
    <d v="2023-07-05T19:02:15"/>
    <s v="Y"/>
    <s v="Toxicologist"/>
    <s v="Public Law Children"/>
    <s v="Expert Disbursement"/>
    <s v="Laura Coyle"/>
    <s v="Y"/>
    <n v="193.75"/>
    <n v="38.75"/>
    <x v="6"/>
    <s v="VALIDATED"/>
    <n v="1"/>
    <s v="01.11.80.308.6300.0000"/>
    <n v="193.75"/>
    <s v="11"/>
    <s v="6300"/>
    <n v="16820.92"/>
    <n v="193.75"/>
    <s v="CREDITOR"/>
    <n v="0"/>
    <n v="0"/>
    <n v="0"/>
    <n v="0"/>
    <n v="193.75"/>
  </r>
  <r>
    <n v="60886672"/>
    <s v="N"/>
    <n v="21331063"/>
    <s v="3000015110410008"/>
    <s v="CIVIL"/>
    <d v="2023-06-27T00:00:00"/>
    <d v="2023-07-05T19:01:47"/>
    <m/>
    <d v="2023-07-05T00:00:00"/>
    <n v="379"/>
    <n v="14733"/>
    <s v="60886672"/>
    <s v="60886672"/>
    <m/>
    <m/>
    <n v="22766982"/>
    <m/>
    <m/>
    <m/>
    <s v="SOLFIN"/>
    <s v="SOLFIN"/>
    <s v="CCMS"/>
    <n v="21331063"/>
    <n v="2116.2"/>
    <m/>
    <s v="N"/>
    <n v="2"/>
    <d v="2023-07-05T19:02:04"/>
    <s v="Y"/>
    <s v="Solicitors Fixed Fee"/>
    <s v="Public Law Children"/>
    <s v="Profit Cost"/>
    <s v="Gulizar Candemir"/>
    <s v="Y"/>
    <n v="1510"/>
    <n v="302"/>
    <x v="6"/>
    <s v="VALIDATED"/>
    <n v="1"/>
    <s v="01.11.80.308.6100.0000"/>
    <n v="1510"/>
    <s v="11"/>
    <s v="6100"/>
    <n v="16820.92"/>
    <n v="1510"/>
    <s v="CREDITOR"/>
    <n v="0"/>
    <n v="0"/>
    <n v="0"/>
    <n v="0"/>
    <n v="1510"/>
  </r>
  <r>
    <n v="61703718"/>
    <s v="N"/>
    <n v="21331101"/>
    <s v="3000015794750001"/>
    <s v="CIVIL"/>
    <d v="2023-06-27T00:00:00"/>
    <d v="2023-07-05T19:01:47"/>
    <m/>
    <d v="2023-07-05T00:00:00"/>
    <n v="379"/>
    <n v="14733"/>
    <s v="61703718"/>
    <s v="61703718"/>
    <m/>
    <m/>
    <n v="22773504"/>
    <m/>
    <m/>
    <m/>
    <s v="SOLFIN"/>
    <s v="SOLFIN"/>
    <s v="CCMS"/>
    <n v="21331101"/>
    <n v="1979.34"/>
    <m/>
    <s v="N"/>
    <n v="10"/>
    <d v="2023-07-05T19:02:06"/>
    <s v="Y"/>
    <s v="Preparation - other"/>
    <s v="Prescribed Hourly Rates"/>
    <s v="Profit Cost"/>
    <s v="HH"/>
    <s v="Y"/>
    <n v="6.83"/>
    <n v="1.37"/>
    <x v="6"/>
    <s v="VALIDATED"/>
    <n v="1"/>
    <s v="01.11.80.305.6100.0000"/>
    <n v="6.83"/>
    <s v="11"/>
    <s v="6100"/>
    <n v="16820.92"/>
    <n v="6.83"/>
    <s v="CREDITOR"/>
    <n v="0"/>
    <n v="0"/>
    <n v="0"/>
    <n v="0"/>
    <n v="6.83"/>
  </r>
  <r>
    <n v="61703718"/>
    <s v="N"/>
    <n v="21331101"/>
    <s v="3000015794750001"/>
    <s v="CIVIL"/>
    <d v="2023-06-27T00:00:00"/>
    <d v="2023-07-05T19:01:47"/>
    <m/>
    <d v="2023-07-05T00:00:00"/>
    <n v="379"/>
    <n v="14733"/>
    <s v="61703718"/>
    <s v="61703718"/>
    <m/>
    <m/>
    <n v="22773504"/>
    <m/>
    <m/>
    <m/>
    <s v="SOLFIN"/>
    <s v="SOLFIN"/>
    <s v="CCMS"/>
    <n v="21331101"/>
    <n v="1979.34"/>
    <m/>
    <s v="N"/>
    <n v="5"/>
    <d v="2023-07-05T19:02:06"/>
    <s v="Y"/>
    <s v="Preparation - other"/>
    <s v="Prescribed Hourly Rates"/>
    <s v="Profit Cost"/>
    <s v="HH"/>
    <s v="Y"/>
    <n v="34.16"/>
    <n v="6.83"/>
    <x v="6"/>
    <s v="VALIDATED"/>
    <n v="1"/>
    <s v="01.11.80.305.6100.0000"/>
    <n v="34.16"/>
    <s v="11"/>
    <s v="6100"/>
    <n v="16820.92"/>
    <n v="34.16"/>
    <s v="CREDITOR"/>
    <n v="0"/>
    <n v="0"/>
    <n v="0"/>
    <n v="0"/>
    <n v="34.16"/>
  </r>
  <r>
    <n v="60388195"/>
    <s v="N"/>
    <n v="21322608"/>
    <s v="3000014664690012"/>
    <s v="CIVIL"/>
    <d v="2023-06-29T00:00:00"/>
    <d v="2023-07-03T19:05:36"/>
    <m/>
    <d v="2023-07-03T00:00:00"/>
    <n v="379"/>
    <n v="14733"/>
    <s v="60388195"/>
    <s v="60388195"/>
    <m/>
    <m/>
    <n v="22790238"/>
    <m/>
    <m/>
    <m/>
    <s v="SOLPOA"/>
    <s v="SOLPOA"/>
    <s v="CCMS"/>
    <n v="21322608"/>
    <n v="467.03"/>
    <m/>
    <s v="N"/>
    <n v="1"/>
    <d v="2023-07-03T19:05:39"/>
    <s v="N"/>
    <s v="Solicitors Fixed Fee"/>
    <s v="Public Law Children"/>
    <s v="Profit Cost"/>
    <s v="Gulizar Candemir"/>
    <s v="N"/>
    <n v="389.19"/>
    <n v="77.84"/>
    <x v="3"/>
    <s v="VALIDATED"/>
    <n v="1"/>
    <s v="01.11.80.308.2012.0000"/>
    <n v="389.19"/>
    <s v="11"/>
    <s v="2012"/>
    <n v="16820.92"/>
    <n v="389.19"/>
    <s v="CREDITOR"/>
    <n v="389.19"/>
    <n v="97.2975"/>
    <n v="0"/>
    <n v="0"/>
    <n v="0"/>
  </r>
  <r>
    <n v="61217024"/>
    <s v="N"/>
    <n v="21331021"/>
    <s v="3000015384950009"/>
    <s v="CIVIL"/>
    <d v="2023-06-27T00:00:00"/>
    <d v="2023-07-05T19:01:47"/>
    <m/>
    <d v="2023-07-05T00:00:00"/>
    <n v="379"/>
    <n v="14733"/>
    <s v="61217024"/>
    <s v="61217024"/>
    <m/>
    <m/>
    <n v="22770478"/>
    <m/>
    <m/>
    <m/>
    <s v="SOLFIN"/>
    <s v="SOLFIN"/>
    <s v="CCMS"/>
    <n v="21331021"/>
    <n v="10866.11"/>
    <m/>
    <s v="N"/>
    <n v="1"/>
    <d v="2023-07-05T19:02:02"/>
    <s v="Y"/>
    <s v="Profit Costs (Summary)"/>
    <s v="Prescribed Hourly Rates"/>
    <s v="Profit Cost"/>
    <s v="XXX"/>
    <s v="Y"/>
    <n v="8848.84"/>
    <n v="1769.77"/>
    <x v="6"/>
    <s v="VALIDATED"/>
    <n v="1"/>
    <s v="01.11.80.305.6100.0000"/>
    <n v="8848.84"/>
    <s v="11"/>
    <s v="6100"/>
    <n v="16820.92"/>
    <n v="8848.84"/>
    <s v="CREDITOR"/>
    <n v="0"/>
    <n v="0"/>
    <n v="0"/>
    <n v="0"/>
    <n v="8848.84"/>
  </r>
  <r>
    <n v="60831797"/>
    <s v="N"/>
    <n v="21331347"/>
    <s v="3000015058190009"/>
    <s v="CIVIL"/>
    <d v="2023-06-27T00:00:00"/>
    <d v="2023-07-05T19:01:47"/>
    <m/>
    <d v="2023-07-05T00:00:00"/>
    <n v="379"/>
    <n v="14733"/>
    <s v="60831797"/>
    <s v="60831797"/>
    <m/>
    <m/>
    <n v="22772212"/>
    <m/>
    <m/>
    <m/>
    <s v="SOLFIN"/>
    <s v="SOLFIN"/>
    <s v="CCMS"/>
    <n v="21331347"/>
    <n v="4836.43"/>
    <m/>
    <s v="N"/>
    <n v="6"/>
    <d v="2023-07-05T19:02:15"/>
    <s v="Y"/>
    <s v="Solicitors Fixed Fee"/>
    <s v="Public Law Children"/>
    <s v="Profit Cost"/>
    <s v="Laura Coyle"/>
    <s v="Y"/>
    <n v="2013"/>
    <n v="402.6"/>
    <x v="6"/>
    <s v="VALIDATED"/>
    <n v="1"/>
    <s v="01.11.80.308.6100.0000"/>
    <n v="2013"/>
    <s v="11"/>
    <s v="6100"/>
    <n v="16820.92"/>
    <n v="2013"/>
    <s v="CREDITOR"/>
    <n v="0"/>
    <n v="0"/>
    <n v="0"/>
    <n v="0"/>
    <n v="2013"/>
  </r>
  <r>
    <n v="61217024"/>
    <s v="N"/>
    <n v="21331021"/>
    <s v="3000015384950009"/>
    <s v="CIVIL"/>
    <d v="2023-06-27T00:00:00"/>
    <d v="2023-07-05T19:01:47"/>
    <m/>
    <d v="2023-07-05T00:00:00"/>
    <n v="379"/>
    <n v="14733"/>
    <s v="61217024"/>
    <s v="61217024"/>
    <m/>
    <m/>
    <n v="22770478"/>
    <m/>
    <m/>
    <m/>
    <s v="SOLFIN"/>
    <s v="SOLFIN"/>
    <s v="CCMS"/>
    <n v="21331021"/>
    <n v="10866.11"/>
    <m/>
    <s v="N"/>
    <n v="2"/>
    <d v="2023-07-05T19:02:02"/>
    <s v="Y"/>
    <s v="Disbursements (Summary)"/>
    <s v="Prescribed Hourly Rates"/>
    <s v="Non Expert Disbursement"/>
    <s v="XXX"/>
    <s v="Y"/>
    <n v="50"/>
    <n v="10"/>
    <x v="6"/>
    <s v="VALIDATED"/>
    <n v="1"/>
    <s v="01.11.80.305.6300.0000"/>
    <n v="50"/>
    <s v="11"/>
    <s v="6300"/>
    <n v="16820.92"/>
    <n v="50"/>
    <s v="CREDITOR"/>
    <n v="0"/>
    <n v="0"/>
    <n v="0"/>
    <n v="0"/>
    <n v="50"/>
  </r>
  <r>
    <n v="61703718"/>
    <s v="N"/>
    <n v="21331101"/>
    <s v="3000015794750001"/>
    <s v="CIVIL"/>
    <d v="2023-06-27T00:00:00"/>
    <d v="2023-07-05T19:01:47"/>
    <m/>
    <d v="2023-07-05T00:00:00"/>
    <n v="379"/>
    <n v="14733"/>
    <s v="61703718"/>
    <s v="61703718"/>
    <m/>
    <m/>
    <n v="22773504"/>
    <m/>
    <m/>
    <m/>
    <s v="SOLFIN"/>
    <s v="SOLFIN"/>
    <s v="CCMS"/>
    <n v="21331101"/>
    <n v="1979.34"/>
    <m/>
    <s v="N"/>
    <n v="8"/>
    <d v="2023-07-05T19:02:06"/>
    <s v="Y"/>
    <s v="Preparation - other"/>
    <s v="Prescribed Hourly Rates"/>
    <s v="Profit Cost"/>
    <s v="HH"/>
    <s v="Y"/>
    <n v="88.8"/>
    <n v="17.76"/>
    <x v="6"/>
    <s v="VALIDATED"/>
    <n v="1"/>
    <s v="01.11.80.305.6100.0000"/>
    <n v="88.8"/>
    <s v="11"/>
    <s v="6100"/>
    <n v="16820.92"/>
    <n v="88.8"/>
    <s v="CREDITOR"/>
    <n v="0"/>
    <n v="0"/>
    <n v="0"/>
    <n v="0"/>
    <n v="88.8"/>
  </r>
  <r>
    <n v="61050604"/>
    <s v="N"/>
    <n v="21322212"/>
    <s v="3000015250160011"/>
    <s v="CIVIL"/>
    <d v="2023-06-29T00:00:00"/>
    <d v="2023-07-03T19:05:36"/>
    <m/>
    <d v="2023-07-03T00:00:00"/>
    <n v="379"/>
    <n v="14733"/>
    <s v="61050604"/>
    <s v="61050604"/>
    <m/>
    <m/>
    <n v="22790338"/>
    <m/>
    <m/>
    <m/>
    <s v="SOLPOA"/>
    <s v="SOLPOA"/>
    <s v="CCMS"/>
    <n v="21322212"/>
    <n v="430.84"/>
    <m/>
    <s v="N"/>
    <n v="1"/>
    <d v="2023-07-03T19:05:36"/>
    <s v="N"/>
    <s v="Profit Cost"/>
    <s v="Profit Cost"/>
    <s v="Profit Cost"/>
    <s v="Gulizar Candemir"/>
    <s v="N"/>
    <n v="430.84"/>
    <n v="0"/>
    <x v="3"/>
    <s v="VALIDATED"/>
    <n v="1"/>
    <s v="01.11.80.305.2012.0000"/>
    <n v="430.84"/>
    <s v="11"/>
    <s v="2012"/>
    <n v="16820.92"/>
    <n v="430.84"/>
    <s v="CREDITOR"/>
    <n v="430.84"/>
    <n v="107.71"/>
    <n v="0"/>
    <n v="0"/>
    <n v="0"/>
  </r>
  <r>
    <n v="61703718"/>
    <s v="N"/>
    <n v="21331101"/>
    <s v="3000015794750001"/>
    <s v="CIVIL"/>
    <d v="2023-06-27T00:00:00"/>
    <d v="2023-07-05T19:01:47"/>
    <m/>
    <d v="2023-07-05T00:00:00"/>
    <n v="379"/>
    <n v="14733"/>
    <s v="61703718"/>
    <s v="61703718"/>
    <m/>
    <m/>
    <n v="22773504"/>
    <m/>
    <m/>
    <m/>
    <s v="SOLFIN"/>
    <s v="SOLFIN"/>
    <s v="CCMS"/>
    <n v="21331101"/>
    <n v="1979.34"/>
    <m/>
    <s v="N"/>
    <n v="24"/>
    <d v="2023-07-05T19:02:06"/>
    <s v="Y"/>
    <s v="Preparation - other"/>
    <s v="Prescribed Hourly Rates"/>
    <s v="Profit Cost"/>
    <s v="HH"/>
    <s v="Y"/>
    <n v="11.88"/>
    <n v="2.38"/>
    <x v="6"/>
    <s v="VALIDATED"/>
    <n v="1"/>
    <s v="01.11.80.305.6100.0000"/>
    <n v="11.88"/>
    <s v="11"/>
    <s v="6100"/>
    <n v="16820.92"/>
    <n v="11.88"/>
    <s v="CREDITOR"/>
    <n v="0"/>
    <n v="0"/>
    <n v="0"/>
    <n v="0"/>
    <n v="11.88"/>
  </r>
  <r>
    <n v="61096120"/>
    <s v="N"/>
    <n v="21322812"/>
    <s v="3000015212380006"/>
    <s v="CIVIL"/>
    <d v="2023-06-29T00:00:00"/>
    <d v="2023-07-03T19:05:36"/>
    <m/>
    <d v="2023-07-03T00:00:00"/>
    <n v="379"/>
    <n v="14733"/>
    <s v="61096120"/>
    <s v="61096120"/>
    <m/>
    <m/>
    <n v="22790432"/>
    <m/>
    <m/>
    <m/>
    <s v="SOLPOA"/>
    <s v="SOLPOA"/>
    <s v="CCMS"/>
    <n v="21322812"/>
    <n v="1938.85"/>
    <m/>
    <s v="N"/>
    <n v="1"/>
    <d v="2023-07-03T19:05:40"/>
    <s v="N"/>
    <s v="Level 3 Fixed Fee"/>
    <s v="Private Law Children"/>
    <s v="Profit Cost"/>
    <s v="Samantha Harris"/>
    <s v="N"/>
    <n v="1615.71"/>
    <n v="323.14"/>
    <x v="3"/>
    <s v="VALIDATED"/>
    <n v="1"/>
    <s v="01.11.80.302.2012.0000"/>
    <n v="1615.71"/>
    <s v="11"/>
    <s v="2012"/>
    <n v="16820.92"/>
    <n v="1615.71"/>
    <s v="CREDITOR"/>
    <n v="1615.71"/>
    <n v="403.9275"/>
    <n v="0"/>
    <n v="0"/>
    <n v="0"/>
  </r>
  <r>
    <n v="61703718"/>
    <s v="N"/>
    <n v="21331101"/>
    <s v="3000015794750001"/>
    <s v="CIVIL"/>
    <d v="2023-06-27T00:00:00"/>
    <d v="2023-07-05T19:01:47"/>
    <m/>
    <d v="2023-07-05T00:00:00"/>
    <n v="379"/>
    <n v="14733"/>
    <s v="61703718"/>
    <s v="61703718"/>
    <m/>
    <m/>
    <n v="22773504"/>
    <m/>
    <m/>
    <m/>
    <s v="SOLFIN"/>
    <s v="SOLFIN"/>
    <s v="CCMS"/>
    <n v="21331101"/>
    <n v="1979.34"/>
    <m/>
    <s v="N"/>
    <n v="1"/>
    <d v="2023-07-05T19:02:06"/>
    <s v="Y"/>
    <s v="Preparation - other"/>
    <s v="Prescribed Hourly Rates"/>
    <s v="Profit Cost"/>
    <s v="HH"/>
    <s v="Y"/>
    <n v="20.49"/>
    <n v="4.1"/>
    <x v="6"/>
    <s v="VALIDATED"/>
    <n v="1"/>
    <s v="01.11.80.305.6100.0000"/>
    <n v="20.49"/>
    <s v="11"/>
    <s v="6100"/>
    <n v="16820.92"/>
    <n v="20.49"/>
    <s v="CREDITOR"/>
    <n v="0"/>
    <n v="0"/>
    <n v="0"/>
    <n v="0"/>
    <n v="20.49"/>
  </r>
  <r>
    <n v="61703718"/>
    <s v="N"/>
    <n v="21331101"/>
    <s v="3000015794750001"/>
    <s v="CIVIL"/>
    <d v="2023-06-27T00:00:00"/>
    <d v="2023-07-05T19:01:47"/>
    <m/>
    <d v="2023-07-05T00:00:00"/>
    <n v="379"/>
    <n v="14733"/>
    <s v="61703718"/>
    <s v="61703718"/>
    <m/>
    <m/>
    <n v="22773504"/>
    <m/>
    <m/>
    <m/>
    <s v="SOLFIN"/>
    <s v="SOLFIN"/>
    <s v="CCMS"/>
    <n v="21331101"/>
    <n v="1979.34"/>
    <m/>
    <s v="N"/>
    <n v="27"/>
    <d v="2023-07-05T19:02:06"/>
    <s v="Y"/>
    <s v="Routine Letter Out"/>
    <s v="Prescribed Hourly Rates"/>
    <s v="Profit Cost"/>
    <s v="HH"/>
    <s v="Y"/>
    <n v="223.56"/>
    <n v="44.71"/>
    <x v="6"/>
    <s v="VALIDATED"/>
    <n v="1"/>
    <s v="01.11.80.305.6100.0000"/>
    <n v="223.56"/>
    <s v="11"/>
    <s v="6100"/>
    <n v="16820.92"/>
    <n v="223.56"/>
    <s v="CREDITOR"/>
    <n v="0"/>
    <n v="0"/>
    <n v="0"/>
    <n v="0"/>
    <n v="223.56"/>
  </r>
  <r>
    <n v="61703718"/>
    <s v="N"/>
    <n v="21331101"/>
    <s v="3000015794750001"/>
    <s v="CIVIL"/>
    <d v="2023-06-27T00:00:00"/>
    <d v="2023-07-05T19:01:47"/>
    <m/>
    <d v="2023-07-05T00:00:00"/>
    <n v="379"/>
    <n v="14733"/>
    <s v="61703718"/>
    <s v="61703718"/>
    <m/>
    <m/>
    <n v="22773504"/>
    <m/>
    <m/>
    <m/>
    <s v="SOLFIN"/>
    <s v="SOLFIN"/>
    <s v="CCMS"/>
    <n v="21331101"/>
    <n v="1979.34"/>
    <m/>
    <s v="N"/>
    <n v="17"/>
    <d v="2023-07-05T19:02:06"/>
    <s v="Y"/>
    <s v="Preparation - other"/>
    <s v="Prescribed Hourly Rates"/>
    <s v="Profit Cost"/>
    <s v="HH"/>
    <s v="Y"/>
    <n v="102.47"/>
    <n v="20.49"/>
    <x v="6"/>
    <s v="VALIDATED"/>
    <n v="1"/>
    <s v="01.11.80.305.6100.0000"/>
    <n v="102.47"/>
    <s v="11"/>
    <s v="6100"/>
    <n v="16820.92"/>
    <n v="102.47"/>
    <s v="CREDITOR"/>
    <n v="0"/>
    <n v="0"/>
    <n v="0"/>
    <n v="0"/>
    <n v="102.47"/>
  </r>
  <r>
    <n v="61217024"/>
    <s v="N"/>
    <n v="21333714"/>
    <s v="3000015384950004RC"/>
    <s v="CIVIL"/>
    <d v="2023-06-27T00:00:00"/>
    <d v="2023-07-05T19:42:28"/>
    <m/>
    <d v="2023-07-05T00:00:00"/>
    <n v="379"/>
    <n v="14733"/>
    <s v="61217024"/>
    <s v="61217024"/>
    <m/>
    <m/>
    <m/>
    <m/>
    <m/>
    <m/>
    <s v="SOLRECOUP"/>
    <s v="SOLRECOUP"/>
    <s v="POARECOUP"/>
    <n v="21333714"/>
    <n v="-50"/>
    <m/>
    <s v="Y"/>
    <n v="1"/>
    <d v="2023-07-05T19:42:28"/>
    <s v="N"/>
    <m/>
    <m/>
    <s v="Expert Disbursement"/>
    <m/>
    <s v="N"/>
    <n v="-50"/>
    <n v="0"/>
    <x v="6"/>
    <s v="VALIDATED"/>
    <n v="1"/>
    <s v="01.11.80.305.2013.0000"/>
    <n v="-50"/>
    <s v="11"/>
    <s v="2013"/>
    <n v="16820.92"/>
    <n v="-50"/>
    <s v="CREDITOR"/>
    <n v="0"/>
    <n v="0"/>
    <n v="-50"/>
    <n v="0"/>
    <n v="0"/>
  </r>
  <r>
    <n v="61217024"/>
    <s v="N"/>
    <n v="21333715"/>
    <s v="3000015384950003RC"/>
    <s v="CIVIL"/>
    <d v="2023-06-27T00:00:00"/>
    <d v="2023-07-05T19:42:28"/>
    <m/>
    <d v="2023-07-05T00:00:00"/>
    <n v="379"/>
    <n v="14733"/>
    <s v="61217024"/>
    <s v="61217024"/>
    <m/>
    <m/>
    <m/>
    <m/>
    <m/>
    <m/>
    <s v="SOLRECOUP"/>
    <s v="SOLRECOUP"/>
    <s v="POARECOUP"/>
    <n v="21333715"/>
    <n v="-37.5"/>
    <m/>
    <s v="Y"/>
    <n v="2"/>
    <d v="2023-07-05T19:42:28"/>
    <s v="N"/>
    <m/>
    <m/>
    <s v="Expert Disbursement"/>
    <m/>
    <s v="N"/>
    <n v="0"/>
    <n v="0"/>
    <x v="6"/>
    <s v="VALIDATED"/>
    <n v="1"/>
    <s v="01.11.80.000.0000.0000"/>
    <n v="0"/>
    <s v="11"/>
    <s v="0000"/>
    <n v="16820.92"/>
    <n v="0"/>
    <s v="CREDITOR"/>
    <n v="0"/>
    <n v="0"/>
    <n v="0"/>
    <n v="0"/>
    <n v="0"/>
  </r>
  <r>
    <n v="61217024"/>
    <s v="N"/>
    <n v="21333715"/>
    <s v="3000015384950003RC"/>
    <s v="CIVIL"/>
    <d v="2023-06-27T00:00:00"/>
    <d v="2023-07-05T19:42:28"/>
    <m/>
    <d v="2023-07-05T00:00:00"/>
    <n v="379"/>
    <n v="14733"/>
    <s v="61217024"/>
    <s v="61217024"/>
    <m/>
    <m/>
    <m/>
    <m/>
    <m/>
    <m/>
    <s v="SOLRECOUP"/>
    <s v="SOLRECOUP"/>
    <s v="POARECOUP"/>
    <n v="21333715"/>
    <n v="-37.5"/>
    <m/>
    <s v="Y"/>
    <n v="1"/>
    <d v="2023-07-05T19:42:28"/>
    <s v="N"/>
    <m/>
    <m/>
    <s v="Expert Disbursement"/>
    <m/>
    <s v="N"/>
    <n v="-37.5"/>
    <n v="0"/>
    <x v="6"/>
    <s v="VALIDATED"/>
    <n v="1"/>
    <s v="01.11.80.305.2013.0000"/>
    <n v="-37.5"/>
    <s v="11"/>
    <s v="2013"/>
    <n v="16820.92"/>
    <n v="-37.5"/>
    <s v="CREDITOR"/>
    <n v="0"/>
    <n v="0"/>
    <n v="-37.5"/>
    <n v="0"/>
    <n v="0"/>
  </r>
  <r>
    <n v="61217024"/>
    <s v="N"/>
    <n v="21333716"/>
    <s v="3000015384950006RC"/>
    <s v="CIVIL"/>
    <d v="2023-06-27T00:00:00"/>
    <d v="2023-07-05T19:42:28"/>
    <m/>
    <d v="2023-07-05T00:00:00"/>
    <n v="379"/>
    <n v="14733"/>
    <s v="61217024"/>
    <s v="61217024"/>
    <m/>
    <m/>
    <m/>
    <m/>
    <m/>
    <m/>
    <s v="SOLRECOUP"/>
    <s v="SOLRECOUP"/>
    <s v="POARECOUP"/>
    <n v="21333716"/>
    <n v="-75"/>
    <m/>
    <s v="Y"/>
    <n v="2"/>
    <d v="2023-07-05T19:42:28"/>
    <s v="N"/>
    <m/>
    <m/>
    <s v="Expert Disbursement"/>
    <m/>
    <s v="N"/>
    <n v="0"/>
    <n v="0"/>
    <x v="6"/>
    <s v="VALIDATED"/>
    <n v="1"/>
    <s v="01.11.80.000.0000.0000"/>
    <n v="0"/>
    <s v="11"/>
    <s v="0000"/>
    <n v="16820.92"/>
    <n v="0"/>
    <s v="CREDITOR"/>
    <n v="0"/>
    <n v="0"/>
    <n v="0"/>
    <n v="0"/>
    <n v="0"/>
  </r>
  <r>
    <n v="61217024"/>
    <s v="N"/>
    <n v="21333716"/>
    <s v="3000015384950006RC"/>
    <s v="CIVIL"/>
    <d v="2023-06-27T00:00:00"/>
    <d v="2023-07-05T19:42:28"/>
    <m/>
    <d v="2023-07-05T00:00:00"/>
    <n v="379"/>
    <n v="14733"/>
    <s v="61217024"/>
    <s v="61217024"/>
    <m/>
    <m/>
    <m/>
    <m/>
    <m/>
    <m/>
    <s v="SOLRECOUP"/>
    <s v="SOLRECOUP"/>
    <s v="POARECOUP"/>
    <n v="21333716"/>
    <n v="-75"/>
    <m/>
    <s v="Y"/>
    <n v="1"/>
    <d v="2023-07-05T19:42:28"/>
    <s v="N"/>
    <m/>
    <m/>
    <s v="Expert Disbursement"/>
    <m/>
    <s v="N"/>
    <n v="-75"/>
    <n v="0"/>
    <x v="6"/>
    <s v="VALIDATED"/>
    <n v="1"/>
    <s v="01.11.80.305.2013.0000"/>
    <n v="-75"/>
    <s v="11"/>
    <s v="2013"/>
    <n v="16820.92"/>
    <n v="-75"/>
    <s v="CREDITOR"/>
    <n v="0"/>
    <n v="0"/>
    <n v="-75"/>
    <n v="0"/>
    <n v="0"/>
  </r>
  <r>
    <n v="61217024"/>
    <s v="N"/>
    <n v="21333717"/>
    <s v="3000015384950005RC"/>
    <s v="CIVIL"/>
    <d v="2023-06-27T00:00:00"/>
    <d v="2023-07-05T19:42:28"/>
    <m/>
    <d v="2023-07-05T00:00:00"/>
    <n v="379"/>
    <n v="14733"/>
    <s v="61217024"/>
    <s v="61217024"/>
    <m/>
    <m/>
    <m/>
    <m/>
    <m/>
    <m/>
    <s v="SOLRECOUP"/>
    <s v="SOLRECOUP"/>
    <s v="POARECOUP"/>
    <n v="21333717"/>
    <n v="-1779"/>
    <m/>
    <s v="Y"/>
    <n v="2"/>
    <d v="2023-07-05T19:42:28"/>
    <s v="N"/>
    <m/>
    <m/>
    <s v="Profit Cost"/>
    <m/>
    <s v="N"/>
    <n v="0"/>
    <n v="-296.5"/>
    <x v="6"/>
    <s v="VALIDATED"/>
    <n v="1"/>
    <s v="01.11.80.305.2013.0000"/>
    <n v="-296.5"/>
    <s v="11"/>
    <s v="2013"/>
    <n v="16820.92"/>
    <n v="-296.5"/>
    <s v="CREDITOR"/>
    <n v="0"/>
    <n v="0"/>
    <n v="-296.5"/>
    <n v="-74.125"/>
    <n v="0"/>
  </r>
  <r>
    <n v="61217024"/>
    <s v="N"/>
    <n v="21333717"/>
    <s v="3000015384950005RC"/>
    <s v="CIVIL"/>
    <d v="2023-06-27T00:00:00"/>
    <d v="2023-07-05T19:42:28"/>
    <m/>
    <d v="2023-07-05T00:00:00"/>
    <n v="379"/>
    <n v="14733"/>
    <s v="61217024"/>
    <s v="61217024"/>
    <m/>
    <m/>
    <m/>
    <m/>
    <m/>
    <m/>
    <s v="SOLRECOUP"/>
    <s v="SOLRECOUP"/>
    <s v="POARECOUP"/>
    <n v="21333717"/>
    <n v="-1779"/>
    <m/>
    <s v="Y"/>
    <n v="1"/>
    <d v="2023-07-05T19:42:28"/>
    <s v="N"/>
    <m/>
    <m/>
    <s v="Profit Cost"/>
    <m/>
    <s v="N"/>
    <n v="-1482.5"/>
    <n v="0"/>
    <x v="6"/>
    <s v="VALIDATED"/>
    <n v="1"/>
    <s v="01.11.80.305.2013.0000"/>
    <n v="-1482.5"/>
    <s v="11"/>
    <s v="2013"/>
    <n v="16820.92"/>
    <n v="-1482.5"/>
    <s v="CREDITOR"/>
    <n v="0"/>
    <n v="0"/>
    <n v="-1482.5"/>
    <n v="-370.625"/>
    <n v="0"/>
  </r>
  <r>
    <n v="61217024"/>
    <s v="N"/>
    <n v="21333704"/>
    <s v="3000015384950007RC"/>
    <s v="CIVIL"/>
    <d v="2023-06-27T00:00:00"/>
    <d v="2023-07-05T19:42:28"/>
    <m/>
    <d v="2023-07-05T00:00:00"/>
    <n v="379"/>
    <n v="14733"/>
    <s v="61217024"/>
    <s v="61217024"/>
    <m/>
    <m/>
    <m/>
    <m/>
    <m/>
    <m/>
    <s v="SOLRECOUP"/>
    <s v="SOLRECOUP"/>
    <s v="POARECOUP"/>
    <n v="21333704"/>
    <n v="-25"/>
    <m/>
    <s v="Y"/>
    <n v="2"/>
    <d v="2023-07-05T19:42:28"/>
    <s v="N"/>
    <m/>
    <m/>
    <s v="Expert Disbursement"/>
    <m/>
    <s v="N"/>
    <n v="0"/>
    <n v="0"/>
    <x v="6"/>
    <s v="VALIDATED"/>
    <n v="1"/>
    <s v="01.11.80.000.0000.0000"/>
    <n v="0"/>
    <s v="11"/>
    <s v="0000"/>
    <n v="16820.92"/>
    <n v="0"/>
    <s v="CREDITOR"/>
    <n v="0"/>
    <n v="0"/>
    <n v="0"/>
    <n v="0"/>
    <n v="0"/>
  </r>
  <r>
    <n v="61217024"/>
    <s v="N"/>
    <n v="21333704"/>
    <s v="3000015384950007RC"/>
    <s v="CIVIL"/>
    <d v="2023-06-27T00:00:00"/>
    <d v="2023-07-05T19:42:28"/>
    <m/>
    <d v="2023-07-05T00:00:00"/>
    <n v="379"/>
    <n v="14733"/>
    <s v="61217024"/>
    <s v="61217024"/>
    <m/>
    <m/>
    <m/>
    <m/>
    <m/>
    <m/>
    <s v="SOLRECOUP"/>
    <s v="SOLRECOUP"/>
    <s v="POARECOUP"/>
    <n v="21333704"/>
    <n v="-25"/>
    <m/>
    <s v="Y"/>
    <n v="1"/>
    <d v="2023-07-05T19:42:28"/>
    <s v="N"/>
    <m/>
    <m/>
    <s v="Expert Disbursement"/>
    <m/>
    <s v="N"/>
    <n v="-25"/>
    <n v="0"/>
    <x v="6"/>
    <s v="VALIDATED"/>
    <n v="1"/>
    <s v="01.11.80.305.2013.0000"/>
    <n v="-25"/>
    <s v="11"/>
    <s v="2013"/>
    <n v="16820.92"/>
    <n v="-25"/>
    <s v="CREDITOR"/>
    <n v="0"/>
    <n v="0"/>
    <n v="-25"/>
    <n v="0"/>
    <n v="0"/>
  </r>
  <r>
    <n v="60831797"/>
    <s v="N"/>
    <n v="21333705"/>
    <s v="3000015058190006RC"/>
    <s v="CIVIL"/>
    <d v="2023-06-27T00:00:00"/>
    <d v="2023-07-05T19:42:28"/>
    <m/>
    <d v="2023-07-05T00:00:00"/>
    <n v="379"/>
    <n v="14733"/>
    <s v="60831797"/>
    <s v="60831797"/>
    <m/>
    <m/>
    <m/>
    <m/>
    <m/>
    <m/>
    <s v="SOLRECOUP"/>
    <s v="SOLRECOUP"/>
    <s v="POARECOUP"/>
    <n v="21333705"/>
    <n v="-504.11"/>
    <m/>
    <s v="Y"/>
    <n v="2"/>
    <d v="2023-07-05T19:42:28"/>
    <s v="N"/>
    <m/>
    <m/>
    <s v="Profit Cost"/>
    <m/>
    <s v="N"/>
    <n v="0"/>
    <n v="-84.02"/>
    <x v="6"/>
    <s v="VALIDATED"/>
    <n v="1"/>
    <s v="01.11.80.308.2013.0000"/>
    <n v="-84.02"/>
    <s v="11"/>
    <s v="2013"/>
    <n v="16820.92"/>
    <n v="-84.02"/>
    <s v="CREDITOR"/>
    <n v="0"/>
    <n v="0"/>
    <n v="-84.02"/>
    <n v="-21.005"/>
    <n v="0"/>
  </r>
  <r>
    <n v="60831797"/>
    <s v="N"/>
    <n v="21333705"/>
    <s v="3000015058190006RC"/>
    <s v="CIVIL"/>
    <d v="2023-06-27T00:00:00"/>
    <d v="2023-07-05T19:42:28"/>
    <m/>
    <d v="2023-07-05T00:00:00"/>
    <n v="379"/>
    <n v="14733"/>
    <s v="60831797"/>
    <s v="60831797"/>
    <m/>
    <m/>
    <m/>
    <m/>
    <m/>
    <m/>
    <s v="SOLRECOUP"/>
    <s v="SOLRECOUP"/>
    <s v="POARECOUP"/>
    <n v="21333705"/>
    <n v="-504.11"/>
    <m/>
    <s v="Y"/>
    <n v="1"/>
    <d v="2023-07-05T19:42:28"/>
    <s v="N"/>
    <m/>
    <m/>
    <s v="Profit Cost"/>
    <m/>
    <s v="N"/>
    <n v="-420.09"/>
    <n v="0"/>
    <x v="6"/>
    <s v="VALIDATED"/>
    <n v="1"/>
    <s v="01.11.80.308.2013.0000"/>
    <n v="-420.09"/>
    <s v="11"/>
    <s v="2013"/>
    <n v="16820.92"/>
    <n v="-420.09"/>
    <s v="CREDITOR"/>
    <n v="0"/>
    <n v="0"/>
    <n v="-420.09"/>
    <n v="-105.0225"/>
    <n v="0"/>
  </r>
  <r>
    <n v="61217024"/>
    <s v="N"/>
    <n v="21333706"/>
    <s v="3000015384950002RC"/>
    <s v="CIVIL"/>
    <d v="2023-06-27T00:00:00"/>
    <d v="2023-07-05T19:42:28"/>
    <m/>
    <d v="2023-07-05T00:00:00"/>
    <n v="379"/>
    <n v="14733"/>
    <s v="61217024"/>
    <s v="61217024"/>
    <m/>
    <m/>
    <m/>
    <m/>
    <m/>
    <m/>
    <s v="SOLRECOUP"/>
    <s v="SOLRECOUP"/>
    <s v="POARECOUP"/>
    <n v="21333706"/>
    <n v="-1247.99"/>
    <m/>
    <s v="Y"/>
    <n v="2"/>
    <d v="2023-07-05T19:42:28"/>
    <s v="N"/>
    <m/>
    <m/>
    <s v="Profit Cost"/>
    <m/>
    <s v="N"/>
    <n v="0"/>
    <n v="-208"/>
    <x v="6"/>
    <s v="VALIDATED"/>
    <n v="1"/>
    <s v="01.11.80.305.2013.0000"/>
    <n v="-208"/>
    <s v="11"/>
    <s v="2013"/>
    <n v="16820.92"/>
    <n v="-208"/>
    <s v="CREDITOR"/>
    <n v="0"/>
    <n v="0"/>
    <n v="-208"/>
    <n v="-52"/>
    <n v="0"/>
  </r>
  <r>
    <n v="61217024"/>
    <s v="N"/>
    <n v="21333706"/>
    <s v="3000015384950002RC"/>
    <s v="CIVIL"/>
    <d v="2023-06-27T00:00:00"/>
    <d v="2023-07-05T19:42:28"/>
    <m/>
    <d v="2023-07-05T00:00:00"/>
    <n v="379"/>
    <n v="14733"/>
    <s v="61217024"/>
    <s v="61217024"/>
    <m/>
    <m/>
    <m/>
    <m/>
    <m/>
    <m/>
    <s v="SOLRECOUP"/>
    <s v="SOLRECOUP"/>
    <s v="POARECOUP"/>
    <n v="21333706"/>
    <n v="-1247.99"/>
    <m/>
    <s v="Y"/>
    <n v="1"/>
    <d v="2023-07-05T19:42:28"/>
    <s v="N"/>
    <m/>
    <m/>
    <s v="Profit Cost"/>
    <m/>
    <s v="N"/>
    <n v="-1039.99"/>
    <n v="0"/>
    <x v="6"/>
    <s v="VALIDATED"/>
    <n v="1"/>
    <s v="01.11.80.305.2013.0000"/>
    <n v="-1039.99"/>
    <s v="11"/>
    <s v="2013"/>
    <n v="16820.92"/>
    <n v="-1039.99"/>
    <s v="CREDITOR"/>
    <n v="0"/>
    <n v="0"/>
    <n v="-1039.99"/>
    <n v="-259.9975"/>
    <n v="0"/>
  </r>
  <r>
    <n v="60831797"/>
    <s v="N"/>
    <n v="21333707"/>
    <s v="3000015058190003RC"/>
    <s v="CIVIL"/>
    <d v="2023-06-27T00:00:00"/>
    <d v="2023-07-05T19:42:28"/>
    <m/>
    <d v="2023-07-05T00:00:00"/>
    <n v="379"/>
    <n v="14733"/>
    <s v="60831797"/>
    <s v="60831797"/>
    <m/>
    <m/>
    <m/>
    <m/>
    <m/>
    <m/>
    <s v="SOLRECOUP"/>
    <s v="SOLRECOUP"/>
    <s v="POARECOUP"/>
    <n v="21333707"/>
    <n v="-232.5"/>
    <m/>
    <s v="Y"/>
    <n v="2"/>
    <d v="2023-07-05T19:42:28"/>
    <s v="N"/>
    <m/>
    <m/>
    <s v="Expert Disbursement"/>
    <m/>
    <s v="N"/>
    <n v="0"/>
    <n v="-38.75"/>
    <x v="6"/>
    <s v="VALIDATED"/>
    <n v="1"/>
    <s v="01.11.80.308.2013.0000"/>
    <n v="-38.75"/>
    <s v="11"/>
    <s v="2013"/>
    <n v="16820.92"/>
    <n v="-38.75"/>
    <s v="CREDITOR"/>
    <n v="0"/>
    <n v="0"/>
    <n v="-38.75"/>
    <n v="0"/>
    <n v="0"/>
  </r>
  <r>
    <n v="60831797"/>
    <s v="N"/>
    <n v="21333707"/>
    <s v="3000015058190003RC"/>
    <s v="CIVIL"/>
    <d v="2023-06-27T00:00:00"/>
    <d v="2023-07-05T19:42:28"/>
    <m/>
    <d v="2023-07-05T00:00:00"/>
    <n v="379"/>
    <n v="14733"/>
    <s v="60831797"/>
    <s v="60831797"/>
    <m/>
    <m/>
    <m/>
    <m/>
    <m/>
    <m/>
    <s v="SOLRECOUP"/>
    <s v="SOLRECOUP"/>
    <s v="POARECOUP"/>
    <n v="21333707"/>
    <n v="-232.5"/>
    <m/>
    <s v="Y"/>
    <n v="1"/>
    <d v="2023-07-05T19:42:28"/>
    <s v="N"/>
    <m/>
    <m/>
    <s v="Expert Disbursement"/>
    <m/>
    <s v="N"/>
    <n v="-193.75"/>
    <n v="0"/>
    <x v="6"/>
    <s v="VALIDATED"/>
    <n v="1"/>
    <s v="01.11.80.308.2013.0000"/>
    <n v="-193.75"/>
    <s v="11"/>
    <s v="2013"/>
    <n v="16820.92"/>
    <n v="-193.75"/>
    <s v="CREDITOR"/>
    <n v="0"/>
    <n v="0"/>
    <n v="-193.75"/>
    <n v="0"/>
    <n v="0"/>
  </r>
  <r>
    <n v="9462254"/>
    <s v="N"/>
    <n v="21331244"/>
    <s v="3000005418090001"/>
    <s v="CIVIL"/>
    <d v="2023-06-30T00:00:00"/>
    <d v="2023-07-05T19:01:47"/>
    <m/>
    <d v="2023-07-05T00:00:00"/>
    <n v="382"/>
    <n v="11114"/>
    <s v="9462254"/>
    <s v="9462254"/>
    <m/>
    <m/>
    <n v="22801546"/>
    <m/>
    <m/>
    <m/>
    <s v="SOLFIN"/>
    <s v="SOLFIN"/>
    <s v="CCMS"/>
    <n v="21331244"/>
    <n v="0"/>
    <m/>
    <s v="N"/>
    <n v="1"/>
    <d v="2023-07-05T19:02:11"/>
    <s v="N"/>
    <s v="NIL BILL"/>
    <s v="Non Family Hourly Rates"/>
    <s v="Profit Cost"/>
    <s v="JB"/>
    <s v="N"/>
    <n v="0"/>
    <n v="0"/>
    <x v="6"/>
    <s v="VALIDATED"/>
    <n v="1"/>
    <s v="01.11.80.208.6100.0000"/>
    <n v="0"/>
    <s v="11"/>
    <s v="6100"/>
    <n v="0"/>
    <n v="0"/>
    <s v="ZERO"/>
    <n v="0"/>
    <n v="0"/>
    <n v="0"/>
    <n v="0"/>
    <n v="0"/>
  </r>
  <r>
    <n v="8844930"/>
    <s v="N"/>
    <n v="21349312"/>
    <s v="3000004865370001"/>
    <s v="CIVIL"/>
    <d v="2023-06-16T00:00:00"/>
    <d v="2023-07-10T19:01:40"/>
    <m/>
    <d v="2023-07-10T00:00:00"/>
    <n v="382"/>
    <n v="11114"/>
    <s v="8844930"/>
    <s v="8844930"/>
    <m/>
    <m/>
    <n v="22705588"/>
    <m/>
    <m/>
    <m/>
    <s v="SOLFIN"/>
    <s v="SOLFIN"/>
    <s v="CCMS"/>
    <n v="21349312"/>
    <n v="0"/>
    <m/>
    <s v="N"/>
    <n v="1"/>
    <d v="2023-07-10T19:01:46"/>
    <s v="N"/>
    <s v="NIL BILL"/>
    <s v="Non Family Hourly Rates"/>
    <s v="Profit Cost"/>
    <s v="JB"/>
    <s v="N"/>
    <n v="0"/>
    <n v="0"/>
    <x v="2"/>
    <s v="VALIDATED"/>
    <n v="1"/>
    <s v="01.11.80.208.6100.0000"/>
    <n v="0"/>
    <s v="11"/>
    <s v="6100"/>
    <n v="0"/>
    <n v="0"/>
    <s v="ZERO"/>
    <n v="0"/>
    <n v="0"/>
    <n v="0"/>
    <n v="0"/>
    <n v="0"/>
  </r>
  <r>
    <n v="4144141"/>
    <s v="N"/>
    <n v="21337701"/>
    <s v="3000001342320001"/>
    <s v="CIVIL"/>
    <d v="2023-06-16T00:00:00"/>
    <d v="2023-07-06T19:21:01"/>
    <m/>
    <d v="2023-07-06T00:00:00"/>
    <n v="382"/>
    <n v="11114"/>
    <s v="4144141"/>
    <s v="4144141"/>
    <m/>
    <m/>
    <n v="22705450"/>
    <m/>
    <m/>
    <m/>
    <s v="SOLFIN"/>
    <s v="SOLFIN"/>
    <s v="CCMS"/>
    <n v="21337701"/>
    <n v="0"/>
    <m/>
    <s v="N"/>
    <n v="1"/>
    <d v="2023-07-06T19:21:04"/>
    <s v="N"/>
    <s v="NIL BILL"/>
    <s v="Non Family Hourly Rates"/>
    <s v="Profit Cost"/>
    <s v="JB"/>
    <s v="N"/>
    <n v="0"/>
    <n v="0"/>
    <x v="4"/>
    <s v="VALIDATED"/>
    <n v="1"/>
    <s v="01.11.80.212.6100.0000"/>
    <n v="0"/>
    <s v="11"/>
    <s v="6100"/>
    <n v="0"/>
    <n v="0"/>
    <s v="ZERO"/>
    <n v="0"/>
    <n v="0"/>
    <n v="0"/>
    <n v="0"/>
    <n v="0"/>
  </r>
  <r>
    <n v="7308933"/>
    <s v="N"/>
    <n v="21337713"/>
    <s v="3000003513660001"/>
    <s v="CIVIL"/>
    <d v="2023-06-16T00:00:00"/>
    <d v="2023-07-06T19:21:01"/>
    <m/>
    <d v="2023-07-06T00:00:00"/>
    <n v="382"/>
    <n v="11114"/>
    <s v="7308933"/>
    <s v="7308933"/>
    <m/>
    <m/>
    <n v="22705368"/>
    <m/>
    <m/>
    <m/>
    <s v="SOLFIN"/>
    <s v="SOLFIN"/>
    <s v="CCMS"/>
    <n v="21337713"/>
    <n v="0"/>
    <m/>
    <s v="N"/>
    <n v="1"/>
    <d v="2023-07-06T19:21:05"/>
    <s v="N"/>
    <s v="NIL BILL"/>
    <s v="Non Family Hourly Rates"/>
    <s v="Profit Cost"/>
    <s v="JB"/>
    <s v="N"/>
    <n v="0"/>
    <n v="0"/>
    <x v="4"/>
    <s v="VALIDATED"/>
    <n v="1"/>
    <s v="01.11.80.208.6100.0000"/>
    <n v="0"/>
    <s v="11"/>
    <s v="6100"/>
    <n v="0"/>
    <n v="0"/>
    <s v="ZERO"/>
    <n v="0"/>
    <n v="0"/>
    <n v="0"/>
    <n v="0"/>
    <n v="0"/>
  </r>
  <r>
    <n v="62167060"/>
    <s v="N"/>
    <n v="21318417"/>
    <s v="3000016180580001"/>
    <s v="CIVIL"/>
    <d v="2023-06-26T00:00:00"/>
    <d v="2023-07-03T19:01:49"/>
    <m/>
    <d v="2023-07-03T00:00:00"/>
    <n v="385"/>
    <n v="13886"/>
    <s v="62167060"/>
    <s v="62167060"/>
    <m/>
    <m/>
    <n v="22757194"/>
    <m/>
    <m/>
    <m/>
    <s v="SOLFIN"/>
    <s v="SOLFIN"/>
    <s v="CCMS"/>
    <n v="21318417"/>
    <n v="1679.13"/>
    <m/>
    <s v="N"/>
    <n v="12"/>
    <d v="2023-07-03T19:01:55"/>
    <s v="Y"/>
    <s v="Preparation - drafting attendance n"/>
    <s v="Care Remuneration Hourly Rates"/>
    <s v="Profit Cost"/>
    <s v="Adam Smith"/>
    <s v="Y"/>
    <n v="13.43"/>
    <n v="2.69"/>
    <x v="3"/>
    <s v="VALIDATED"/>
    <n v="1"/>
    <s v="01.11.80.305.6100.0000"/>
    <n v="13.43"/>
    <s v="11"/>
    <s v="6100"/>
    <n v="7232.07"/>
    <n v="13.43"/>
    <s v="CREDITOR"/>
    <n v="0"/>
    <n v="0"/>
    <n v="0"/>
    <n v="0"/>
    <n v="13.43"/>
  </r>
  <r>
    <n v="61858876"/>
    <s v="N"/>
    <n v="21327819"/>
    <s v="3000015918870002"/>
    <s v="CIVIL"/>
    <d v="2023-06-26T00:00:00"/>
    <d v="2023-07-04T19:00:44"/>
    <m/>
    <d v="2023-07-04T00:00:00"/>
    <n v="385"/>
    <n v="13886"/>
    <s v="61858876"/>
    <s v="61858876"/>
    <m/>
    <m/>
    <n v="22757188"/>
    <m/>
    <m/>
    <m/>
    <s v="SOLFIN"/>
    <s v="SOLFIN"/>
    <s v="CCMS"/>
    <n v="21327819"/>
    <n v="3250.88"/>
    <m/>
    <s v="N"/>
    <n v="19"/>
    <d v="2023-07-04T19:00:55"/>
    <s v="Y"/>
    <s v="Preparation - other"/>
    <s v="Prescribed Hourly Rates"/>
    <s v="Profit Cost"/>
    <s v="Adam Smith"/>
    <s v="Y"/>
    <n v="18.94"/>
    <n v="3.79"/>
    <x v="1"/>
    <s v="VALIDATED"/>
    <n v="1"/>
    <s v="01.11.80.307.6100.0000"/>
    <n v="18.94"/>
    <s v="11"/>
    <s v="6100"/>
    <n v="7232.07"/>
    <n v="18.94"/>
    <s v="CREDITOR"/>
    <n v="0"/>
    <n v="0"/>
    <n v="0"/>
    <n v="0"/>
    <n v="18.94"/>
  </r>
  <r>
    <n v="62425307"/>
    <s v="N"/>
    <n v="21344027"/>
    <s v="3000016394920002"/>
    <s v="CIVIL"/>
    <d v="2023-06-30T00:00:00"/>
    <d v="2023-07-07T19:03:00"/>
    <m/>
    <d v="2023-07-07T00:00:00"/>
    <n v="385"/>
    <n v="13886"/>
    <s v="62425307"/>
    <s v="62425307"/>
    <m/>
    <m/>
    <n v="22798220"/>
    <m/>
    <m/>
    <m/>
    <s v="SOLFIN"/>
    <s v="SOLFIN"/>
    <s v="CCMS"/>
    <n v="21344027"/>
    <n v="751.05"/>
    <m/>
    <s v="N"/>
    <n v="12"/>
    <d v="2023-07-07T19:03:21"/>
    <s v="Y"/>
    <s v="Preparation - other"/>
    <s v="Care Remuneration Hourly Rates"/>
    <s v="Profit Cost"/>
    <s v="Denise Herman"/>
    <s v="Y"/>
    <n v="17.52"/>
    <n v="3.5"/>
    <x v="9"/>
    <s v="VALIDATED"/>
    <n v="1"/>
    <s v="01.11.80.308.6100.0000"/>
    <n v="17.52"/>
    <s v="11"/>
    <s v="6100"/>
    <n v="7232.07"/>
    <n v="17.52"/>
    <s v="CREDITOR"/>
    <n v="0"/>
    <n v="0"/>
    <n v="0"/>
    <n v="0"/>
    <n v="17.52"/>
  </r>
  <r>
    <n v="61858876"/>
    <s v="N"/>
    <n v="21327819"/>
    <s v="3000015918870002"/>
    <s v="CIVIL"/>
    <d v="2023-06-26T00:00:00"/>
    <d v="2023-07-04T19:00:44"/>
    <m/>
    <d v="2023-07-04T00:00:00"/>
    <n v="385"/>
    <n v="13886"/>
    <s v="61858876"/>
    <s v="61858876"/>
    <m/>
    <m/>
    <n v="22757188"/>
    <m/>
    <m/>
    <m/>
    <s v="SOLFIN"/>
    <s v="SOLFIN"/>
    <s v="CCMS"/>
    <n v="21327819"/>
    <n v="3250.88"/>
    <m/>
    <s v="N"/>
    <n v="28"/>
    <d v="2023-07-04T19:00:55"/>
    <s v="Y"/>
    <s v="Attendance upon client"/>
    <s v="Prescribed Hourly Rates"/>
    <s v="Profit Cost"/>
    <s v="Adam Smith"/>
    <s v="Y"/>
    <n v="18.94"/>
    <n v="3.79"/>
    <x v="1"/>
    <s v="VALIDATED"/>
    <n v="1"/>
    <s v="01.11.80.307.6100.0000"/>
    <n v="18.94"/>
    <s v="11"/>
    <s v="6100"/>
    <n v="7232.07"/>
    <n v="18.94"/>
    <s v="CREDITOR"/>
    <n v="0"/>
    <n v="0"/>
    <n v="0"/>
    <n v="0"/>
    <n v="18.94"/>
  </r>
  <r>
    <n v="61858876"/>
    <s v="N"/>
    <n v="21327819"/>
    <s v="3000015918870002"/>
    <s v="CIVIL"/>
    <d v="2023-06-26T00:00:00"/>
    <d v="2023-07-04T19:00:44"/>
    <m/>
    <d v="2023-07-04T00:00:00"/>
    <n v="385"/>
    <n v="13886"/>
    <s v="61858876"/>
    <s v="61858876"/>
    <m/>
    <m/>
    <n v="22757188"/>
    <m/>
    <m/>
    <m/>
    <s v="SOLFIN"/>
    <s v="SOLFIN"/>
    <s v="CCMS"/>
    <n v="21327819"/>
    <n v="3250.88"/>
    <m/>
    <s v="N"/>
    <n v="29"/>
    <d v="2023-07-04T19:00:55"/>
    <s v="Y"/>
    <s v="Preparation - other"/>
    <s v="Prescribed Hourly Rates"/>
    <s v="Profit Cost"/>
    <s v="Adam Smith"/>
    <s v="Y"/>
    <n v="6.31"/>
    <n v="1.26"/>
    <x v="1"/>
    <s v="VALIDATED"/>
    <n v="1"/>
    <s v="01.11.80.307.6100.0000"/>
    <n v="6.31"/>
    <s v="11"/>
    <s v="6100"/>
    <n v="7232.07"/>
    <n v="6.31"/>
    <s v="CREDITOR"/>
    <n v="0"/>
    <n v="0"/>
    <n v="0"/>
    <n v="0"/>
    <n v="6.31"/>
  </r>
  <r>
    <n v="62167060"/>
    <s v="N"/>
    <n v="21318417"/>
    <s v="3000016180580001"/>
    <s v="CIVIL"/>
    <d v="2023-06-26T00:00:00"/>
    <d v="2023-07-03T19:01:49"/>
    <m/>
    <d v="2023-07-03T00:00:00"/>
    <n v="385"/>
    <n v="13886"/>
    <s v="62167060"/>
    <s v="62167060"/>
    <m/>
    <m/>
    <n v="22757194"/>
    <m/>
    <m/>
    <m/>
    <s v="SOLFIN"/>
    <s v="SOLFIN"/>
    <s v="CCMS"/>
    <n v="21318417"/>
    <n v="1679.13"/>
    <m/>
    <s v="N"/>
    <n v="4"/>
    <d v="2023-07-03T19:01:55"/>
    <s v="Y"/>
    <s v="Routine Letter Out"/>
    <s v="Care Remuneration Hourly Rates"/>
    <s v="Profit Cost"/>
    <s v="Adam Smith"/>
    <s v="Y"/>
    <n v="284.31"/>
    <n v="56.86"/>
    <x v="3"/>
    <s v="VALIDATED"/>
    <n v="1"/>
    <s v="01.11.80.305.6100.0000"/>
    <n v="284.31"/>
    <s v="11"/>
    <s v="6100"/>
    <n v="7232.07"/>
    <n v="284.31"/>
    <s v="CREDITOR"/>
    <n v="0"/>
    <n v="0"/>
    <n v="0"/>
    <n v="0"/>
    <n v="284.31"/>
  </r>
  <r>
    <n v="61858876"/>
    <s v="N"/>
    <n v="21327819"/>
    <s v="3000015918870002"/>
    <s v="CIVIL"/>
    <d v="2023-06-26T00:00:00"/>
    <d v="2023-07-04T19:00:44"/>
    <m/>
    <d v="2023-07-04T00:00:00"/>
    <n v="385"/>
    <n v="13886"/>
    <s v="61858876"/>
    <s v="61858876"/>
    <m/>
    <m/>
    <n v="22757188"/>
    <m/>
    <m/>
    <m/>
    <s v="SOLFIN"/>
    <s v="SOLFIN"/>
    <s v="CCMS"/>
    <n v="21327819"/>
    <n v="3250.88"/>
    <m/>
    <s v="N"/>
    <n v="6"/>
    <d v="2023-07-04T19:00:55"/>
    <s v="Y"/>
    <s v="Attendance upon client"/>
    <s v="Prescribed Hourly Rates"/>
    <s v="Profit Cost"/>
    <s v="Adam Smith"/>
    <s v="Y"/>
    <n v="12.63"/>
    <n v="2.53"/>
    <x v="1"/>
    <s v="VALIDATED"/>
    <n v="1"/>
    <s v="01.11.80.307.6100.0000"/>
    <n v="12.63"/>
    <s v="11"/>
    <s v="6100"/>
    <n v="7232.07"/>
    <n v="12.63"/>
    <s v="CREDITOR"/>
    <n v="0"/>
    <n v="0"/>
    <n v="0"/>
    <n v="0"/>
    <n v="12.63"/>
  </r>
  <r>
    <n v="61858876"/>
    <s v="N"/>
    <n v="21327819"/>
    <s v="3000015918870002"/>
    <s v="CIVIL"/>
    <d v="2023-06-26T00:00:00"/>
    <d v="2023-07-04T19:00:44"/>
    <m/>
    <d v="2023-07-04T00:00:00"/>
    <n v="385"/>
    <n v="13886"/>
    <s v="61858876"/>
    <s v="61858876"/>
    <m/>
    <m/>
    <n v="22757188"/>
    <m/>
    <m/>
    <m/>
    <s v="SOLFIN"/>
    <s v="SOLFIN"/>
    <s v="CCMS"/>
    <n v="21327819"/>
    <n v="3250.88"/>
    <m/>
    <s v="N"/>
    <n v="7"/>
    <d v="2023-07-04T19:00:55"/>
    <s v="Y"/>
    <s v="Attendance upon client"/>
    <s v="Prescribed Hourly Rates"/>
    <s v="Profit Cost"/>
    <s v="Adam Smith"/>
    <s v="Y"/>
    <n v="12.63"/>
    <n v="2.53"/>
    <x v="1"/>
    <s v="VALIDATED"/>
    <n v="1"/>
    <s v="01.11.80.307.6100.0000"/>
    <n v="12.63"/>
    <s v="11"/>
    <s v="6100"/>
    <n v="7232.07"/>
    <n v="12.63"/>
    <s v="CREDITOR"/>
    <n v="0"/>
    <n v="0"/>
    <n v="0"/>
    <n v="0"/>
    <n v="12.63"/>
  </r>
  <r>
    <n v="62167060"/>
    <s v="N"/>
    <n v="21318417"/>
    <s v="3000016180580001"/>
    <s v="CIVIL"/>
    <d v="2023-06-26T00:00:00"/>
    <d v="2023-07-03T19:01:49"/>
    <m/>
    <d v="2023-07-03T00:00:00"/>
    <n v="385"/>
    <n v="13886"/>
    <s v="62167060"/>
    <s v="62167060"/>
    <m/>
    <m/>
    <n v="22757194"/>
    <m/>
    <m/>
    <m/>
    <s v="SOLFIN"/>
    <s v="SOLFIN"/>
    <s v="CCMS"/>
    <n v="21318417"/>
    <n v="1679.13"/>
    <m/>
    <s v="N"/>
    <n v="16"/>
    <d v="2023-07-03T19:01:55"/>
    <s v="Y"/>
    <s v="Preparation - other"/>
    <s v="Care Remuneration Hourly Rates"/>
    <s v="Profit Cost"/>
    <s v="Adam Smith"/>
    <s v="Y"/>
    <n v="20.15"/>
    <n v="4.03"/>
    <x v="3"/>
    <s v="VALIDATED"/>
    <n v="1"/>
    <s v="01.11.80.305.6100.0000"/>
    <n v="20.15"/>
    <s v="11"/>
    <s v="6100"/>
    <n v="7232.07"/>
    <n v="20.15"/>
    <s v="CREDITOR"/>
    <n v="0"/>
    <n v="0"/>
    <n v="0"/>
    <n v="0"/>
    <n v="20.15"/>
  </r>
  <r>
    <n v="61858876"/>
    <s v="N"/>
    <n v="21327819"/>
    <s v="3000015918870002"/>
    <s v="CIVIL"/>
    <d v="2023-06-26T00:00:00"/>
    <d v="2023-07-04T19:00:44"/>
    <m/>
    <d v="2023-07-04T00:00:00"/>
    <n v="385"/>
    <n v="13886"/>
    <s v="61858876"/>
    <s v="61858876"/>
    <m/>
    <m/>
    <n v="22757188"/>
    <m/>
    <m/>
    <m/>
    <s v="SOLFIN"/>
    <s v="SOLFIN"/>
    <s v="CCMS"/>
    <n v="21327819"/>
    <n v="3250.88"/>
    <m/>
    <s v="N"/>
    <n v="26"/>
    <d v="2023-07-04T19:00:55"/>
    <s v="Y"/>
    <s v="Attendance upon client"/>
    <s v="Prescribed Hourly Rates"/>
    <s v="Profit Cost"/>
    <s v="Adam Smith"/>
    <s v="Y"/>
    <n v="12.63"/>
    <n v="2.53"/>
    <x v="1"/>
    <s v="VALIDATED"/>
    <n v="1"/>
    <s v="01.11.80.307.6100.0000"/>
    <n v="12.63"/>
    <s v="11"/>
    <s v="6100"/>
    <n v="7232.07"/>
    <n v="12.63"/>
    <s v="CREDITOR"/>
    <n v="0"/>
    <n v="0"/>
    <n v="0"/>
    <n v="0"/>
    <n v="12.63"/>
  </r>
  <r>
    <n v="60955144"/>
    <s v="N"/>
    <n v="21319999"/>
    <s v="3000015169920012"/>
    <s v="CIVIL"/>
    <d v="2023-06-28T00:00:00"/>
    <d v="2023-07-03T19:04:24"/>
    <m/>
    <d v="2023-07-03T00:00:00"/>
    <n v="385"/>
    <n v="13886"/>
    <s v="60955144"/>
    <s v="60955144"/>
    <m/>
    <m/>
    <n v="22777154"/>
    <m/>
    <m/>
    <m/>
    <s v="SOLPOA"/>
    <s v="SOLPOA"/>
    <s v="CCMS"/>
    <n v="21319999"/>
    <n v="129.6"/>
    <m/>
    <s v="N"/>
    <n v="1"/>
    <d v="2023-07-03T19:04:28"/>
    <s v="N"/>
    <s v="Expert Cost"/>
    <s v="Expert Cost"/>
    <s v="Expert Disbursement"/>
    <s v="Adam T Smith"/>
    <s v="N"/>
    <n v="108"/>
    <n v="21.6"/>
    <x v="3"/>
    <s v="VALIDATED"/>
    <n v="1"/>
    <s v="01.11.80.308.2012.0000"/>
    <n v="108"/>
    <s v="11"/>
    <s v="2012"/>
    <n v="7232.07"/>
    <n v="108"/>
    <s v="CREDITOR"/>
    <n v="108"/>
    <n v="0"/>
    <n v="0"/>
    <n v="0"/>
    <n v="0"/>
  </r>
  <r>
    <n v="62167060"/>
    <s v="N"/>
    <n v="21318417"/>
    <s v="3000016180580001"/>
    <s v="CIVIL"/>
    <d v="2023-06-26T00:00:00"/>
    <d v="2023-07-03T19:01:49"/>
    <m/>
    <d v="2023-07-03T00:00:00"/>
    <n v="385"/>
    <n v="13886"/>
    <s v="62167060"/>
    <s v="62167060"/>
    <m/>
    <m/>
    <n v="22757194"/>
    <m/>
    <m/>
    <m/>
    <s v="SOLFIN"/>
    <s v="SOLFIN"/>
    <s v="CCMS"/>
    <n v="21318417"/>
    <n v="1679.13"/>
    <m/>
    <s v="N"/>
    <n v="18"/>
    <d v="2023-07-03T19:01:55"/>
    <s v="Y"/>
    <s v="Preparation - other"/>
    <s v="Care Remuneration Hourly Rates"/>
    <s v="Profit Cost"/>
    <s v="Adam Smith"/>
    <s v="Y"/>
    <n v="20.15"/>
    <n v="4.03"/>
    <x v="3"/>
    <s v="VALIDATED"/>
    <n v="1"/>
    <s v="01.11.80.305.6100.0000"/>
    <n v="20.15"/>
    <s v="11"/>
    <s v="6100"/>
    <n v="7232.07"/>
    <n v="20.15"/>
    <s v="CREDITOR"/>
    <n v="0"/>
    <n v="0"/>
    <n v="0"/>
    <n v="0"/>
    <n v="20.15"/>
  </r>
  <r>
    <n v="61858876"/>
    <s v="N"/>
    <n v="21327819"/>
    <s v="3000015918870002"/>
    <s v="CIVIL"/>
    <d v="2023-06-26T00:00:00"/>
    <d v="2023-07-04T19:00:44"/>
    <m/>
    <d v="2023-07-04T00:00:00"/>
    <n v="385"/>
    <n v="13886"/>
    <s v="61858876"/>
    <s v="61858876"/>
    <m/>
    <m/>
    <n v="22757188"/>
    <m/>
    <m/>
    <m/>
    <s v="SOLFIN"/>
    <s v="SOLFIN"/>
    <s v="CCMS"/>
    <n v="21327819"/>
    <n v="3250.88"/>
    <m/>
    <s v="N"/>
    <n v="24"/>
    <d v="2023-07-04T19:00:55"/>
    <s v="Y"/>
    <s v="Preparation - other"/>
    <s v="Prescribed Hourly Rates"/>
    <s v="Profit Cost"/>
    <s v="Adam Smith"/>
    <s v="Y"/>
    <n v="37.88"/>
    <n v="7.58"/>
    <x v="1"/>
    <s v="VALIDATED"/>
    <n v="1"/>
    <s v="01.11.80.307.6100.0000"/>
    <n v="37.88"/>
    <s v="11"/>
    <s v="6100"/>
    <n v="7232.07"/>
    <n v="37.88"/>
    <s v="CREDITOR"/>
    <n v="0"/>
    <n v="0"/>
    <n v="0"/>
    <n v="0"/>
    <n v="37.88"/>
  </r>
  <r>
    <n v="61858876"/>
    <s v="N"/>
    <n v="21327819"/>
    <s v="3000015918870002"/>
    <s v="CIVIL"/>
    <d v="2023-06-26T00:00:00"/>
    <d v="2023-07-04T19:00:44"/>
    <m/>
    <d v="2023-07-04T00:00:00"/>
    <n v="385"/>
    <n v="13886"/>
    <s v="61858876"/>
    <s v="61858876"/>
    <m/>
    <m/>
    <n v="22757188"/>
    <m/>
    <m/>
    <m/>
    <s v="SOLFIN"/>
    <s v="SOLFIN"/>
    <s v="CCMS"/>
    <n v="21327819"/>
    <n v="3250.88"/>
    <m/>
    <s v="N"/>
    <n v="33"/>
    <d v="2023-07-04T19:00:55"/>
    <s v="Y"/>
    <s v="Preparation - other"/>
    <s v="Prescribed Hourly Rates"/>
    <s v="Profit Cost"/>
    <s v="Adam Smith"/>
    <s v="Y"/>
    <n v="37.88"/>
    <n v="7.58"/>
    <x v="1"/>
    <s v="VALIDATED"/>
    <n v="1"/>
    <s v="01.11.80.307.6100.0000"/>
    <n v="37.88"/>
    <s v="11"/>
    <s v="6100"/>
    <n v="7232.07"/>
    <n v="37.88"/>
    <s v="CREDITOR"/>
    <n v="0"/>
    <n v="0"/>
    <n v="0"/>
    <n v="0"/>
    <n v="37.88"/>
  </r>
  <r>
    <n v="62425307"/>
    <s v="N"/>
    <n v="21344027"/>
    <s v="3000016394920002"/>
    <s v="CIVIL"/>
    <d v="2023-06-30T00:00:00"/>
    <d v="2023-07-07T19:03:00"/>
    <m/>
    <d v="2023-07-07T00:00:00"/>
    <n v="385"/>
    <n v="13886"/>
    <s v="62425307"/>
    <s v="62425307"/>
    <m/>
    <m/>
    <n v="22798220"/>
    <m/>
    <m/>
    <m/>
    <s v="SOLFIN"/>
    <s v="SOLFIN"/>
    <s v="CCMS"/>
    <n v="21344027"/>
    <n v="751.05"/>
    <m/>
    <s v="N"/>
    <n v="13"/>
    <d v="2023-07-07T19:03:21"/>
    <s v="Y"/>
    <s v="Preparation - other"/>
    <s v="Care Remuneration Hourly Rates"/>
    <s v="Profit Cost"/>
    <s v="Hannah Williams"/>
    <s v="Y"/>
    <n v="29.21"/>
    <n v="5.84"/>
    <x v="9"/>
    <s v="VALIDATED"/>
    <n v="1"/>
    <s v="01.11.80.308.6100.0000"/>
    <n v="29.21"/>
    <s v="11"/>
    <s v="6100"/>
    <n v="7232.07"/>
    <n v="29.21"/>
    <s v="CREDITOR"/>
    <n v="0"/>
    <n v="0"/>
    <n v="0"/>
    <n v="0"/>
    <n v="29.21"/>
  </r>
  <r>
    <n v="62425307"/>
    <s v="N"/>
    <n v="21344027"/>
    <s v="3000016394920002"/>
    <s v="CIVIL"/>
    <d v="2023-06-30T00:00:00"/>
    <d v="2023-07-07T19:03:00"/>
    <m/>
    <d v="2023-07-07T00:00:00"/>
    <n v="385"/>
    <n v="13886"/>
    <s v="62425307"/>
    <s v="62425307"/>
    <m/>
    <m/>
    <n v="22798220"/>
    <m/>
    <m/>
    <m/>
    <s v="SOLFIN"/>
    <s v="SOLFIN"/>
    <s v="CCMS"/>
    <n v="21344027"/>
    <n v="751.05"/>
    <m/>
    <s v="N"/>
    <n v="15"/>
    <d v="2023-07-07T19:03:21"/>
    <s v="Y"/>
    <s v="Attendance upon solicitor"/>
    <s v="Care Remuneration Hourly Rates"/>
    <s v="Profit Cost"/>
    <s v="Hannah Williams"/>
    <s v="Y"/>
    <n v="11.68"/>
    <n v="2.34"/>
    <x v="9"/>
    <s v="VALIDATED"/>
    <n v="1"/>
    <s v="01.11.80.308.6100.0000"/>
    <n v="11.68"/>
    <s v="11"/>
    <s v="6100"/>
    <n v="7232.07"/>
    <n v="11.68"/>
    <s v="CREDITOR"/>
    <n v="0"/>
    <n v="0"/>
    <n v="0"/>
    <n v="0"/>
    <n v="11.68"/>
  </r>
  <r>
    <n v="62167060"/>
    <s v="N"/>
    <n v="21318417"/>
    <s v="3000016180580001"/>
    <s v="CIVIL"/>
    <d v="2023-06-26T00:00:00"/>
    <d v="2023-07-03T19:01:49"/>
    <m/>
    <d v="2023-07-03T00:00:00"/>
    <n v="385"/>
    <n v="13886"/>
    <s v="62167060"/>
    <s v="62167060"/>
    <m/>
    <m/>
    <n v="22757194"/>
    <m/>
    <m/>
    <m/>
    <s v="SOLFIN"/>
    <s v="SOLFIN"/>
    <s v="CCMS"/>
    <n v="21318417"/>
    <n v="1679.13"/>
    <m/>
    <s v="N"/>
    <n v="9"/>
    <d v="2023-07-03T19:01:55"/>
    <s v="Y"/>
    <s v="Preparation - other"/>
    <s v="Care Remuneration Hourly Rates"/>
    <s v="Profit Cost"/>
    <s v="Adam Smith"/>
    <s v="Y"/>
    <n v="6.72"/>
    <n v="1.34"/>
    <x v="3"/>
    <s v="VALIDATED"/>
    <n v="1"/>
    <s v="01.11.80.305.6100.0000"/>
    <n v="6.72"/>
    <s v="11"/>
    <s v="6100"/>
    <n v="7232.07"/>
    <n v="6.72"/>
    <s v="CREDITOR"/>
    <n v="0"/>
    <n v="0"/>
    <n v="0"/>
    <n v="0"/>
    <n v="6.72"/>
  </r>
  <r>
    <n v="62168022"/>
    <s v="N"/>
    <n v="21318461"/>
    <s v="3000016182620001"/>
    <s v="CIVIL"/>
    <d v="2023-06-26T00:00:00"/>
    <d v="2023-07-03T19:01:49"/>
    <m/>
    <d v="2023-07-03T00:00:00"/>
    <n v="385"/>
    <n v="13886"/>
    <s v="62168022"/>
    <s v="62168022"/>
    <m/>
    <m/>
    <n v="22757192"/>
    <m/>
    <m/>
    <m/>
    <s v="SOLFIN"/>
    <s v="SOLFIN"/>
    <s v="CCMS"/>
    <n v="21318461"/>
    <n v="0"/>
    <m/>
    <s v="N"/>
    <n v="1"/>
    <d v="2023-07-03T19:01:56"/>
    <s v="N"/>
    <s v="NIL BILL"/>
    <s v="Care Remuneration Hourly Rates"/>
    <s v="Profit Cost"/>
    <s v="Adam Smith"/>
    <s v="N"/>
    <n v="0"/>
    <n v="0"/>
    <x v="3"/>
    <s v="VALIDATED"/>
    <n v="1"/>
    <s v="01.11.80.305.6100.0000"/>
    <n v="0"/>
    <s v="11"/>
    <s v="6100"/>
    <n v="7232.07"/>
    <n v="0"/>
    <s v="CREDITOR"/>
    <n v="0"/>
    <n v="0"/>
    <n v="0"/>
    <n v="0"/>
    <n v="0"/>
  </r>
  <r>
    <n v="62425307"/>
    <s v="N"/>
    <n v="21344027"/>
    <s v="3000016394920002"/>
    <s v="CIVIL"/>
    <d v="2023-06-30T00:00:00"/>
    <d v="2023-07-07T19:03:00"/>
    <m/>
    <d v="2023-07-07T00:00:00"/>
    <n v="385"/>
    <n v="13886"/>
    <s v="62425307"/>
    <s v="62425307"/>
    <m/>
    <m/>
    <n v="22798220"/>
    <m/>
    <m/>
    <m/>
    <s v="SOLFIN"/>
    <s v="SOLFIN"/>
    <s v="CCMS"/>
    <n v="21344027"/>
    <n v="751.05"/>
    <m/>
    <s v="N"/>
    <n v="8"/>
    <d v="2023-07-07T19:03:21"/>
    <s v="Y"/>
    <s v="Preparation - other"/>
    <s v="Care Remuneration Hourly Rates"/>
    <s v="Profit Cost"/>
    <s v="Denise Herman"/>
    <s v="Y"/>
    <n v="6.72"/>
    <n v="1.34"/>
    <x v="9"/>
    <s v="VALIDATED"/>
    <n v="1"/>
    <s v="01.11.80.308.6100.0000"/>
    <n v="6.72"/>
    <s v="11"/>
    <s v="6100"/>
    <n v="7232.07"/>
    <n v="6.72"/>
    <s v="CREDITOR"/>
    <n v="0"/>
    <n v="0"/>
    <n v="0"/>
    <n v="0"/>
    <n v="6.72"/>
  </r>
  <r>
    <n v="62425307"/>
    <s v="N"/>
    <n v="21344027"/>
    <s v="3000016394920002"/>
    <s v="CIVIL"/>
    <d v="2023-06-30T00:00:00"/>
    <d v="2023-07-07T19:03:00"/>
    <m/>
    <d v="2023-07-07T00:00:00"/>
    <n v="385"/>
    <n v="13886"/>
    <s v="62425307"/>
    <s v="62425307"/>
    <m/>
    <m/>
    <n v="22798220"/>
    <m/>
    <m/>
    <m/>
    <s v="SOLFIN"/>
    <s v="SOLFIN"/>
    <s v="CCMS"/>
    <n v="21344027"/>
    <n v="751.05"/>
    <m/>
    <s v="N"/>
    <n v="4"/>
    <d v="2023-07-07T19:03:21"/>
    <s v="Y"/>
    <s v="Routine Letter In"/>
    <s v="Care Remuneration Hourly Rates"/>
    <s v="Profit Cost"/>
    <s v="Hannah Williams"/>
    <s v="Y"/>
    <n v="49.95"/>
    <n v="9.99"/>
    <x v="9"/>
    <s v="VALIDATED"/>
    <n v="1"/>
    <s v="01.11.80.308.6100.0000"/>
    <n v="49.95"/>
    <s v="11"/>
    <s v="6100"/>
    <n v="7232.07"/>
    <n v="49.95"/>
    <s v="CREDITOR"/>
    <n v="0"/>
    <n v="0"/>
    <n v="0"/>
    <n v="0"/>
    <n v="49.95"/>
  </r>
  <r>
    <n v="61858876"/>
    <s v="N"/>
    <n v="21327819"/>
    <s v="3000015918870002"/>
    <s v="CIVIL"/>
    <d v="2023-06-26T00:00:00"/>
    <d v="2023-07-04T19:00:44"/>
    <m/>
    <d v="2023-07-04T00:00:00"/>
    <n v="385"/>
    <n v="13886"/>
    <s v="61858876"/>
    <s v="61858876"/>
    <m/>
    <m/>
    <n v="22757188"/>
    <m/>
    <m/>
    <m/>
    <s v="SOLFIN"/>
    <s v="SOLFIN"/>
    <s v="CCMS"/>
    <n v="21327819"/>
    <n v="3250.88"/>
    <m/>
    <s v="N"/>
    <n v="16"/>
    <d v="2023-07-04T19:00:55"/>
    <s v="Y"/>
    <s v="Preparation - other"/>
    <s v="Prescribed Hourly Rates"/>
    <s v="Profit Cost"/>
    <s v="Adam Smith"/>
    <s v="Y"/>
    <n v="18.94"/>
    <n v="3.79"/>
    <x v="1"/>
    <s v="VALIDATED"/>
    <n v="1"/>
    <s v="01.11.80.307.6100.0000"/>
    <n v="18.94"/>
    <s v="11"/>
    <s v="6100"/>
    <n v="7232.07"/>
    <n v="18.94"/>
    <s v="CREDITOR"/>
    <n v="0"/>
    <n v="0"/>
    <n v="0"/>
    <n v="0"/>
    <n v="18.94"/>
  </r>
  <r>
    <n v="60599752"/>
    <s v="N"/>
    <n v="21328188"/>
    <s v="3000014861690004"/>
    <s v="CIVIL"/>
    <d v="2023-06-26T00:00:00"/>
    <d v="2023-07-04T19:00:44"/>
    <m/>
    <d v="2023-07-04T00:00:00"/>
    <n v="385"/>
    <n v="13886"/>
    <s v="60599752"/>
    <s v="60599752"/>
    <m/>
    <m/>
    <n v="22757198"/>
    <m/>
    <m/>
    <m/>
    <s v="SOLFIN"/>
    <s v="SOLFIN"/>
    <s v="CCMS"/>
    <n v="21328188"/>
    <n v="2661.24"/>
    <m/>
    <s v="N"/>
    <n v="4"/>
    <d v="2023-07-04T19:01:07"/>
    <s v="N"/>
    <s v="Psychologist"/>
    <s v="Public Law Children"/>
    <s v="Expert Disbursement"/>
    <s v="Adam T Smith"/>
    <s v="N"/>
    <n v="0"/>
    <n v="0"/>
    <x v="1"/>
    <s v="VALIDATED"/>
    <n v="1"/>
    <s v="01.11.80.308.6300.0000"/>
    <n v="0"/>
    <s v="11"/>
    <s v="6300"/>
    <n v="7232.07"/>
    <n v="0"/>
    <s v="CREDITOR"/>
    <n v="0"/>
    <n v="0"/>
    <n v="0"/>
    <n v="0"/>
    <n v="0"/>
  </r>
  <r>
    <n v="62425307"/>
    <s v="N"/>
    <n v="21344027"/>
    <s v="3000016394920002"/>
    <s v="CIVIL"/>
    <d v="2023-06-30T00:00:00"/>
    <d v="2023-07-07T19:03:00"/>
    <m/>
    <d v="2023-07-07T00:00:00"/>
    <n v="385"/>
    <n v="13886"/>
    <s v="62425307"/>
    <s v="62425307"/>
    <m/>
    <m/>
    <n v="22798220"/>
    <m/>
    <m/>
    <m/>
    <s v="SOLFIN"/>
    <s v="SOLFIN"/>
    <s v="CCMS"/>
    <n v="21344027"/>
    <n v="751.05"/>
    <m/>
    <s v="N"/>
    <n v="3"/>
    <d v="2023-07-07T19:03:21"/>
    <s v="Y"/>
    <s v="Routine Letter In"/>
    <s v="Care Remuneration Hourly Rates"/>
    <s v="Profit Cost"/>
    <s v="Denise Herman"/>
    <s v="Y"/>
    <n v="53.19"/>
    <n v="10.64"/>
    <x v="9"/>
    <s v="VALIDATED"/>
    <n v="1"/>
    <s v="01.11.80.308.6100.0000"/>
    <n v="53.19"/>
    <s v="11"/>
    <s v="6100"/>
    <n v="7232.07"/>
    <n v="53.19"/>
    <s v="CREDITOR"/>
    <n v="0"/>
    <n v="0"/>
    <n v="0"/>
    <n v="0"/>
    <n v="53.19"/>
  </r>
  <r>
    <n v="62425307"/>
    <s v="N"/>
    <n v="21344027"/>
    <s v="3000016394920002"/>
    <s v="CIVIL"/>
    <d v="2023-06-30T00:00:00"/>
    <d v="2023-07-07T19:03:00"/>
    <m/>
    <d v="2023-07-07T00:00:00"/>
    <n v="385"/>
    <n v="13886"/>
    <s v="62425307"/>
    <s v="62425307"/>
    <m/>
    <m/>
    <n v="22798220"/>
    <m/>
    <m/>
    <m/>
    <s v="SOLFIN"/>
    <s v="SOLFIN"/>
    <s v="CCMS"/>
    <n v="21344027"/>
    <n v="751.05"/>
    <m/>
    <s v="N"/>
    <n v="19"/>
    <d v="2023-07-07T19:03:21"/>
    <s v="Y"/>
    <s v="Attendance upon client"/>
    <s v="Care Remuneration Hourly Rates"/>
    <s v="Profit Cost"/>
    <s v="Denise Herman"/>
    <s v="Y"/>
    <n v="20.15"/>
    <n v="4.03"/>
    <x v="9"/>
    <s v="VALIDATED"/>
    <n v="1"/>
    <s v="01.11.80.308.6100.0000"/>
    <n v="20.15"/>
    <s v="11"/>
    <s v="6100"/>
    <n v="7232.07"/>
    <n v="20.15"/>
    <s v="CREDITOR"/>
    <n v="0"/>
    <n v="0"/>
    <n v="0"/>
    <n v="0"/>
    <n v="20.15"/>
  </r>
  <r>
    <n v="62167060"/>
    <s v="N"/>
    <n v="21318417"/>
    <s v="3000016180580001"/>
    <s v="CIVIL"/>
    <d v="2023-06-26T00:00:00"/>
    <d v="2023-07-03T19:01:49"/>
    <m/>
    <d v="2023-07-03T00:00:00"/>
    <n v="385"/>
    <n v="13886"/>
    <s v="62167060"/>
    <s v="62167060"/>
    <m/>
    <m/>
    <n v="22757194"/>
    <m/>
    <m/>
    <m/>
    <s v="SOLFIN"/>
    <s v="SOLFIN"/>
    <s v="CCMS"/>
    <n v="21318417"/>
    <n v="1679.13"/>
    <m/>
    <s v="N"/>
    <n v="19"/>
    <d v="2023-07-03T19:01:55"/>
    <s v="Y"/>
    <s v="Final Hearing - 1 Day"/>
    <s v="Other Public Law Children"/>
    <s v="Advocacy"/>
    <s v="Adam Smith"/>
    <s v="Y"/>
    <n v="464.31"/>
    <n v="92.86"/>
    <x v="3"/>
    <s v="VALIDATED"/>
    <n v="1"/>
    <s v="01.11.80.305.6100.0000"/>
    <n v="464.31"/>
    <s v="11"/>
    <s v="6100"/>
    <n v="7232.07"/>
    <n v="464.31"/>
    <s v="CREDITOR"/>
    <n v="0"/>
    <n v="0"/>
    <n v="0"/>
    <n v="0"/>
    <n v="464.31"/>
  </r>
  <r>
    <n v="61858876"/>
    <s v="N"/>
    <n v="21327819"/>
    <s v="3000015918870002"/>
    <s v="CIVIL"/>
    <d v="2023-06-26T00:00:00"/>
    <d v="2023-07-04T19:00:44"/>
    <m/>
    <d v="2023-07-04T00:00:00"/>
    <n v="385"/>
    <n v="13886"/>
    <s v="61858876"/>
    <s v="61858876"/>
    <m/>
    <m/>
    <n v="22757188"/>
    <m/>
    <m/>
    <m/>
    <s v="SOLFIN"/>
    <s v="SOLFIN"/>
    <s v="CCMS"/>
    <n v="21327819"/>
    <n v="3250.88"/>
    <m/>
    <s v="N"/>
    <n v="36"/>
    <d v="2023-07-04T19:00:55"/>
    <s v="Y"/>
    <s v="Hearing Unit 2.31 - 5.00 Hours"/>
    <s v="Private Law Children"/>
    <s v="Advocacy"/>
    <s v="Adam Smith"/>
    <s v="Y"/>
    <n v="344.8"/>
    <n v="68.97"/>
    <x v="1"/>
    <s v="VALIDATED"/>
    <n v="1"/>
    <s v="01.11.80.307.6100.0000"/>
    <n v="344.8"/>
    <s v="11"/>
    <s v="6100"/>
    <n v="7232.07"/>
    <n v="344.8"/>
    <s v="CREDITOR"/>
    <n v="0"/>
    <n v="0"/>
    <n v="0"/>
    <n v="0"/>
    <n v="344.8"/>
  </r>
  <r>
    <n v="62167060"/>
    <s v="N"/>
    <n v="21318417"/>
    <s v="3000016180580001"/>
    <s v="CIVIL"/>
    <d v="2023-06-26T00:00:00"/>
    <d v="2023-07-03T19:01:49"/>
    <m/>
    <d v="2023-07-03T00:00:00"/>
    <n v="385"/>
    <n v="13886"/>
    <s v="62167060"/>
    <s v="62167060"/>
    <m/>
    <m/>
    <n v="22757194"/>
    <m/>
    <m/>
    <m/>
    <s v="SOLFIN"/>
    <s v="SOLFIN"/>
    <s v="CCMS"/>
    <n v="21318417"/>
    <n v="1679.13"/>
    <m/>
    <s v="N"/>
    <n v="7"/>
    <d v="2023-07-03T19:01:55"/>
    <s v="Y"/>
    <s v="Preparation - other"/>
    <s v="Care Remuneration Hourly Rates"/>
    <s v="Profit Cost"/>
    <s v="Hannah Williams"/>
    <s v="Y"/>
    <n v="40.89"/>
    <n v="8.18"/>
    <x v="3"/>
    <s v="VALIDATED"/>
    <n v="1"/>
    <s v="01.11.80.305.6100.0000"/>
    <n v="40.89"/>
    <s v="11"/>
    <s v="6100"/>
    <n v="7232.07"/>
    <n v="40.89"/>
    <s v="CREDITOR"/>
    <n v="0"/>
    <n v="0"/>
    <n v="0"/>
    <n v="0"/>
    <n v="40.89"/>
  </r>
  <r>
    <n v="62167060"/>
    <s v="N"/>
    <n v="21318417"/>
    <s v="3000016180580001"/>
    <s v="CIVIL"/>
    <d v="2023-06-26T00:00:00"/>
    <d v="2023-07-03T19:01:49"/>
    <m/>
    <d v="2023-07-03T00:00:00"/>
    <n v="385"/>
    <n v="13886"/>
    <s v="62167060"/>
    <s v="62167060"/>
    <m/>
    <m/>
    <n v="22757194"/>
    <m/>
    <m/>
    <m/>
    <s v="SOLFIN"/>
    <s v="SOLFIN"/>
    <s v="CCMS"/>
    <n v="21318417"/>
    <n v="1679.13"/>
    <m/>
    <s v="N"/>
    <n v="6"/>
    <d v="2023-07-03T19:01:55"/>
    <s v="Y"/>
    <s v="Routine Telephone Call"/>
    <s v="Care Remuneration Hourly Rates"/>
    <s v="Profit Cost"/>
    <s v="Adam Smith"/>
    <s v="Y"/>
    <n v="80.63"/>
    <n v="16.13"/>
    <x v="3"/>
    <s v="VALIDATED"/>
    <n v="1"/>
    <s v="01.11.80.305.6100.0000"/>
    <n v="80.63"/>
    <s v="11"/>
    <s v="6100"/>
    <n v="7232.07"/>
    <n v="80.63"/>
    <s v="CREDITOR"/>
    <n v="0"/>
    <n v="0"/>
    <n v="0"/>
    <n v="0"/>
    <n v="80.63"/>
  </r>
  <r>
    <n v="61858876"/>
    <s v="N"/>
    <n v="21327819"/>
    <s v="3000015918870002"/>
    <s v="CIVIL"/>
    <d v="2023-06-26T00:00:00"/>
    <d v="2023-07-04T19:00:44"/>
    <m/>
    <d v="2023-07-04T00:00:00"/>
    <n v="385"/>
    <n v="13886"/>
    <s v="61858876"/>
    <s v="61858876"/>
    <m/>
    <m/>
    <n v="22757188"/>
    <m/>
    <m/>
    <m/>
    <s v="SOLFIN"/>
    <s v="SOLFIN"/>
    <s v="CCMS"/>
    <n v="21327819"/>
    <n v="3250.88"/>
    <m/>
    <s v="N"/>
    <n v="11"/>
    <d v="2023-07-04T19:00:55"/>
    <s v="Y"/>
    <s v="Routine Letter In"/>
    <s v="Prescribed Hourly Rates"/>
    <s v="Profit Cost"/>
    <s v="Adam Smith"/>
    <s v="Y"/>
    <n v="338.45"/>
    <n v="67.7"/>
    <x v="1"/>
    <s v="VALIDATED"/>
    <n v="1"/>
    <s v="01.11.80.307.6100.0000"/>
    <n v="338.45"/>
    <s v="11"/>
    <s v="6100"/>
    <n v="7232.07"/>
    <n v="338.45"/>
    <s v="CREDITOR"/>
    <n v="0"/>
    <n v="0"/>
    <n v="0"/>
    <n v="0"/>
    <n v="338.45"/>
  </r>
  <r>
    <n v="61858876"/>
    <s v="N"/>
    <n v="21327819"/>
    <s v="3000015918870002"/>
    <s v="CIVIL"/>
    <d v="2023-06-26T00:00:00"/>
    <d v="2023-07-04T19:00:44"/>
    <m/>
    <d v="2023-07-04T00:00:00"/>
    <n v="385"/>
    <n v="13886"/>
    <s v="61858876"/>
    <s v="61858876"/>
    <m/>
    <m/>
    <n v="22757188"/>
    <m/>
    <m/>
    <m/>
    <s v="SOLFIN"/>
    <s v="SOLFIN"/>
    <s v="CCMS"/>
    <n v="21327819"/>
    <n v="3250.88"/>
    <m/>
    <s v="N"/>
    <n v="21"/>
    <d v="2023-07-04T19:00:55"/>
    <s v="Y"/>
    <s v="Preparation - drafting statement"/>
    <s v="Prescribed Hourly Rates"/>
    <s v="Profit Cost"/>
    <s v="Adam Smith"/>
    <s v="Y"/>
    <n v="18.94"/>
    <n v="3.79"/>
    <x v="1"/>
    <s v="VALIDATED"/>
    <n v="1"/>
    <s v="01.11.80.307.6100.0000"/>
    <n v="18.94"/>
    <s v="11"/>
    <s v="6100"/>
    <n v="7232.07"/>
    <n v="18.94"/>
    <s v="CREDITOR"/>
    <n v="0"/>
    <n v="0"/>
    <n v="0"/>
    <n v="0"/>
    <n v="18.94"/>
  </r>
  <r>
    <n v="62167060"/>
    <s v="N"/>
    <n v="21318417"/>
    <s v="3000016180580001"/>
    <s v="CIVIL"/>
    <d v="2023-06-26T00:00:00"/>
    <d v="2023-07-03T19:01:49"/>
    <m/>
    <d v="2023-07-03T00:00:00"/>
    <n v="385"/>
    <n v="13886"/>
    <s v="62167060"/>
    <s v="62167060"/>
    <m/>
    <m/>
    <n v="22757194"/>
    <m/>
    <m/>
    <m/>
    <s v="SOLFIN"/>
    <s v="SOLFIN"/>
    <s v="CCMS"/>
    <n v="21318417"/>
    <n v="1679.13"/>
    <m/>
    <s v="N"/>
    <n v="8"/>
    <d v="2023-07-03T19:01:55"/>
    <s v="Y"/>
    <s v="Preparation - other"/>
    <s v="Care Remuneration Hourly Rates"/>
    <s v="Profit Cost"/>
    <s v="Adam Smith"/>
    <s v="Y"/>
    <n v="47.02"/>
    <n v="9.4"/>
    <x v="3"/>
    <s v="VALIDATED"/>
    <n v="1"/>
    <s v="01.11.80.305.6100.0000"/>
    <n v="47.02"/>
    <s v="11"/>
    <s v="6100"/>
    <n v="7232.07"/>
    <n v="47.02"/>
    <s v="CREDITOR"/>
    <n v="0"/>
    <n v="0"/>
    <n v="0"/>
    <n v="0"/>
    <n v="47.02"/>
  </r>
  <r>
    <n v="62425307"/>
    <s v="N"/>
    <n v="21344027"/>
    <s v="3000016394920002"/>
    <s v="CIVIL"/>
    <d v="2023-06-30T00:00:00"/>
    <d v="2023-07-07T19:03:00"/>
    <m/>
    <d v="2023-07-07T00:00:00"/>
    <n v="385"/>
    <n v="13886"/>
    <s v="62425307"/>
    <s v="62425307"/>
    <m/>
    <m/>
    <n v="22798220"/>
    <m/>
    <m/>
    <m/>
    <s v="SOLFIN"/>
    <s v="SOLFIN"/>
    <s v="CCMS"/>
    <n v="21344027"/>
    <n v="751.05"/>
    <m/>
    <s v="N"/>
    <n v="20"/>
    <d v="2023-07-07T19:03:21"/>
    <s v="Y"/>
    <s v="Preparation - other"/>
    <s v="Care Remuneration Hourly Rates"/>
    <s v="Profit Cost"/>
    <s v="Adam Smith"/>
    <s v="Y"/>
    <n v="6.72"/>
    <n v="1.34"/>
    <x v="9"/>
    <s v="VALIDATED"/>
    <n v="1"/>
    <s v="01.11.80.308.6100.0000"/>
    <n v="6.72"/>
    <s v="11"/>
    <s v="6100"/>
    <n v="7232.07"/>
    <n v="6.72"/>
    <s v="CREDITOR"/>
    <n v="0"/>
    <n v="0"/>
    <n v="0"/>
    <n v="0"/>
    <n v="6.72"/>
  </r>
  <r>
    <n v="62425307"/>
    <s v="N"/>
    <n v="21344027"/>
    <s v="3000016394920002"/>
    <s v="CIVIL"/>
    <d v="2023-06-30T00:00:00"/>
    <d v="2023-07-07T19:03:00"/>
    <m/>
    <d v="2023-07-07T00:00:00"/>
    <n v="385"/>
    <n v="13886"/>
    <s v="62425307"/>
    <s v="62425307"/>
    <m/>
    <m/>
    <n v="22798220"/>
    <m/>
    <m/>
    <m/>
    <s v="SOLFIN"/>
    <s v="SOLFIN"/>
    <s v="CCMS"/>
    <n v="21344027"/>
    <n v="751.05"/>
    <m/>
    <s v="N"/>
    <n v="2"/>
    <d v="2023-07-07T19:03:21"/>
    <s v="Y"/>
    <s v="Routine Letter Out"/>
    <s v="Care Remuneration Hourly Rates"/>
    <s v="Profit Cost"/>
    <s v="Hannah Williams"/>
    <s v="Y"/>
    <n v="95.94"/>
    <n v="19.19"/>
    <x v="9"/>
    <s v="VALIDATED"/>
    <n v="1"/>
    <s v="01.11.80.308.6100.0000"/>
    <n v="95.94"/>
    <s v="11"/>
    <s v="6100"/>
    <n v="7232.07"/>
    <n v="95.94"/>
    <s v="CREDITOR"/>
    <n v="0"/>
    <n v="0"/>
    <n v="0"/>
    <n v="0"/>
    <n v="95.94"/>
  </r>
  <r>
    <n v="62425307"/>
    <s v="N"/>
    <n v="21344027"/>
    <s v="3000016394920002"/>
    <s v="CIVIL"/>
    <d v="2023-06-30T00:00:00"/>
    <d v="2023-07-07T19:03:00"/>
    <m/>
    <d v="2023-07-07T00:00:00"/>
    <n v="385"/>
    <n v="13886"/>
    <s v="62425307"/>
    <s v="62425307"/>
    <m/>
    <m/>
    <n v="22798220"/>
    <m/>
    <m/>
    <m/>
    <s v="SOLFIN"/>
    <s v="SOLFIN"/>
    <s v="CCMS"/>
    <n v="21344027"/>
    <n v="751.05"/>
    <m/>
    <s v="N"/>
    <n v="11"/>
    <d v="2023-07-07T19:03:21"/>
    <s v="Y"/>
    <s v="Preparation - other"/>
    <s v="Care Remuneration Hourly Rates"/>
    <s v="Profit Cost"/>
    <s v="Hannah Williams"/>
    <s v="Y"/>
    <n v="17.52"/>
    <n v="3.5"/>
    <x v="9"/>
    <s v="VALIDATED"/>
    <n v="1"/>
    <s v="01.11.80.308.6100.0000"/>
    <n v="17.52"/>
    <s v="11"/>
    <s v="6100"/>
    <n v="7232.07"/>
    <n v="17.52"/>
    <s v="CREDITOR"/>
    <n v="0"/>
    <n v="0"/>
    <n v="0"/>
    <n v="0"/>
    <n v="17.52"/>
  </r>
  <r>
    <n v="61858876"/>
    <s v="N"/>
    <n v="21327819"/>
    <s v="3000015918870002"/>
    <s v="CIVIL"/>
    <d v="2023-06-26T00:00:00"/>
    <d v="2023-07-04T19:00:44"/>
    <m/>
    <d v="2023-07-04T00:00:00"/>
    <n v="385"/>
    <n v="13886"/>
    <s v="61858876"/>
    <s v="61858876"/>
    <m/>
    <m/>
    <n v="22757188"/>
    <m/>
    <m/>
    <m/>
    <s v="SOLFIN"/>
    <s v="SOLFIN"/>
    <s v="CCMS"/>
    <n v="21327819"/>
    <n v="3250.88"/>
    <m/>
    <s v="N"/>
    <n v="5"/>
    <d v="2023-07-04T19:00:55"/>
    <s v="Y"/>
    <s v="Preparation - drafting instructions"/>
    <s v="Prescribed Hourly Rates"/>
    <s v="Profit Cost"/>
    <s v="Adam Smith"/>
    <s v="Y"/>
    <n v="18.94"/>
    <n v="3.79"/>
    <x v="1"/>
    <s v="VALIDATED"/>
    <n v="1"/>
    <s v="01.11.80.307.6100.0000"/>
    <n v="18.94"/>
    <s v="11"/>
    <s v="6100"/>
    <n v="7232.07"/>
    <n v="18.94"/>
    <s v="CREDITOR"/>
    <n v="0"/>
    <n v="0"/>
    <n v="0"/>
    <n v="0"/>
    <n v="18.94"/>
  </r>
  <r>
    <n v="61858876"/>
    <s v="N"/>
    <n v="21327819"/>
    <s v="3000015918870002"/>
    <s v="CIVIL"/>
    <d v="2023-06-26T00:00:00"/>
    <d v="2023-07-04T19:00:44"/>
    <m/>
    <d v="2023-07-04T00:00:00"/>
    <n v="385"/>
    <n v="13886"/>
    <s v="61858876"/>
    <s v="61858876"/>
    <m/>
    <m/>
    <n v="22757188"/>
    <m/>
    <m/>
    <m/>
    <s v="SOLFIN"/>
    <s v="SOLFIN"/>
    <s v="CCMS"/>
    <n v="21327819"/>
    <n v="3250.88"/>
    <m/>
    <s v="N"/>
    <n v="23"/>
    <d v="2023-07-04T19:00:55"/>
    <s v="Y"/>
    <s v="Attendance upon client"/>
    <s v="Prescribed Hourly Rates"/>
    <s v="Profit Cost"/>
    <s v="Adam Smith"/>
    <s v="Y"/>
    <n v="50.51"/>
    <n v="10.1"/>
    <x v="1"/>
    <s v="VALIDATED"/>
    <n v="1"/>
    <s v="01.11.80.307.6100.0000"/>
    <n v="50.51"/>
    <s v="11"/>
    <s v="6100"/>
    <n v="7232.07"/>
    <n v="50.51"/>
    <s v="CREDITOR"/>
    <n v="0"/>
    <n v="0"/>
    <n v="0"/>
    <n v="0"/>
    <n v="50.51"/>
  </r>
  <r>
    <n v="62425307"/>
    <s v="N"/>
    <n v="21344027"/>
    <s v="3000016394920002"/>
    <s v="CIVIL"/>
    <d v="2023-06-30T00:00:00"/>
    <d v="2023-07-07T19:03:00"/>
    <m/>
    <d v="2023-07-07T00:00:00"/>
    <n v="385"/>
    <n v="13886"/>
    <s v="62425307"/>
    <s v="62425307"/>
    <m/>
    <m/>
    <n v="22798220"/>
    <m/>
    <m/>
    <m/>
    <s v="SOLFIN"/>
    <s v="SOLFIN"/>
    <s v="CCMS"/>
    <n v="21344027"/>
    <n v="751.05"/>
    <m/>
    <s v="N"/>
    <n v="17"/>
    <d v="2023-07-07T19:03:21"/>
    <s v="Y"/>
    <s v="Preparation - other"/>
    <s v="Care Remuneration Hourly Rates"/>
    <s v="Profit Cost"/>
    <s v="Denise Herman"/>
    <s v="Y"/>
    <n v="5.84"/>
    <n v="1.17"/>
    <x v="9"/>
    <s v="VALIDATED"/>
    <n v="1"/>
    <s v="01.11.80.308.6100.0000"/>
    <n v="5.84"/>
    <s v="11"/>
    <s v="6100"/>
    <n v="7232.07"/>
    <n v="5.84"/>
    <s v="CREDITOR"/>
    <n v="0"/>
    <n v="0"/>
    <n v="0"/>
    <n v="0"/>
    <n v="5.84"/>
  </r>
  <r>
    <n v="62425307"/>
    <s v="N"/>
    <n v="21344027"/>
    <s v="3000016394920002"/>
    <s v="CIVIL"/>
    <d v="2023-06-30T00:00:00"/>
    <d v="2023-07-07T19:03:00"/>
    <m/>
    <d v="2023-07-07T00:00:00"/>
    <n v="385"/>
    <n v="13886"/>
    <s v="62425307"/>
    <s v="62425307"/>
    <m/>
    <m/>
    <n v="22798220"/>
    <m/>
    <m/>
    <m/>
    <s v="SOLFIN"/>
    <s v="SOLFIN"/>
    <s v="CCMS"/>
    <n v="21344027"/>
    <n v="751.05"/>
    <m/>
    <s v="N"/>
    <n v="1"/>
    <d v="2023-07-07T19:03:21"/>
    <s v="Y"/>
    <s v="Routine Letter Out"/>
    <s v="Care Remuneration Hourly Rates"/>
    <s v="Profit Cost"/>
    <s v="Denise Herman"/>
    <s v="Y"/>
    <n v="131.55"/>
    <n v="26.31"/>
    <x v="9"/>
    <s v="VALIDATED"/>
    <n v="1"/>
    <s v="01.11.80.308.6100.0000"/>
    <n v="131.55"/>
    <s v="11"/>
    <s v="6100"/>
    <n v="7232.07"/>
    <n v="131.55"/>
    <s v="CREDITOR"/>
    <n v="0"/>
    <n v="0"/>
    <n v="0"/>
    <n v="0"/>
    <n v="131.55"/>
  </r>
  <r>
    <n v="62167060"/>
    <s v="N"/>
    <n v="21318417"/>
    <s v="3000016180580001"/>
    <s v="CIVIL"/>
    <d v="2023-06-26T00:00:00"/>
    <d v="2023-07-03T19:01:49"/>
    <m/>
    <d v="2023-07-03T00:00:00"/>
    <n v="385"/>
    <n v="13886"/>
    <s v="62167060"/>
    <s v="62167060"/>
    <m/>
    <m/>
    <n v="22757194"/>
    <m/>
    <m/>
    <m/>
    <s v="SOLFIN"/>
    <s v="SOLFIN"/>
    <s v="CCMS"/>
    <n v="21318417"/>
    <n v="1679.13"/>
    <m/>
    <s v="N"/>
    <n v="14"/>
    <d v="2023-07-03T19:01:55"/>
    <s v="Y"/>
    <s v="Attendance upon client"/>
    <s v="Care Remuneration Hourly Rates"/>
    <s v="Profit Cost"/>
    <s v="Adam Smith"/>
    <s v="Y"/>
    <n v="13.43"/>
    <n v="2.69"/>
    <x v="3"/>
    <s v="VALIDATED"/>
    <n v="1"/>
    <s v="01.11.80.305.6100.0000"/>
    <n v="13.43"/>
    <s v="11"/>
    <s v="6100"/>
    <n v="7232.07"/>
    <n v="13.43"/>
    <s v="CREDITOR"/>
    <n v="0"/>
    <n v="0"/>
    <n v="0"/>
    <n v="0"/>
    <n v="13.43"/>
  </r>
  <r>
    <n v="62167060"/>
    <s v="N"/>
    <n v="21318417"/>
    <s v="3000016180580001"/>
    <s v="CIVIL"/>
    <d v="2023-06-26T00:00:00"/>
    <d v="2023-07-03T19:01:49"/>
    <m/>
    <d v="2023-07-03T00:00:00"/>
    <n v="385"/>
    <n v="13886"/>
    <s v="62167060"/>
    <s v="62167060"/>
    <m/>
    <m/>
    <n v="22757194"/>
    <m/>
    <m/>
    <m/>
    <s v="SOLFIN"/>
    <s v="SOLFIN"/>
    <s v="CCMS"/>
    <n v="21318417"/>
    <n v="1679.13"/>
    <m/>
    <s v="N"/>
    <n v="2"/>
    <d v="2023-07-03T19:01:55"/>
    <s v="Y"/>
    <s v="Solicitor Travel Expenses"/>
    <s v="Care Remuneration Hourly Rates"/>
    <s v="Non Expert Disbursement"/>
    <s v="Adam Smith"/>
    <s v="Y"/>
    <n v="1.5"/>
    <n v="0"/>
    <x v="3"/>
    <s v="VALIDATED"/>
    <n v="1"/>
    <s v="01.11.80.305.6300.0000"/>
    <n v="1.5"/>
    <s v="11"/>
    <s v="6300"/>
    <n v="7232.07"/>
    <n v="1.5"/>
    <s v="CREDITOR"/>
    <n v="0"/>
    <n v="0"/>
    <n v="0"/>
    <n v="0"/>
    <n v="1.5"/>
  </r>
  <r>
    <n v="62167937"/>
    <s v="N"/>
    <n v="21318472"/>
    <s v="3000016182320001"/>
    <s v="CIVIL"/>
    <d v="2023-06-26T00:00:00"/>
    <d v="2023-07-03T19:01:49"/>
    <m/>
    <d v="2023-07-03T00:00:00"/>
    <n v="385"/>
    <n v="13886"/>
    <s v="62167937"/>
    <s v="62167937"/>
    <m/>
    <m/>
    <n v="22757190"/>
    <m/>
    <m/>
    <m/>
    <s v="SOLFIN"/>
    <s v="SOLFIN"/>
    <s v="CCMS"/>
    <n v="21318472"/>
    <n v="0"/>
    <m/>
    <s v="N"/>
    <n v="1"/>
    <d v="2023-07-03T19:01:57"/>
    <s v="N"/>
    <s v="NIL BILL"/>
    <s v="Care Remuneration Hourly Rates"/>
    <s v="Profit Cost"/>
    <s v="Adam Smith"/>
    <s v="N"/>
    <n v="0"/>
    <n v="0"/>
    <x v="3"/>
    <s v="VALIDATED"/>
    <n v="1"/>
    <s v="01.11.80.305.6100.0000"/>
    <n v="0"/>
    <s v="11"/>
    <s v="6100"/>
    <n v="7232.07"/>
    <n v="0"/>
    <s v="CREDITOR"/>
    <n v="0"/>
    <n v="0"/>
    <n v="0"/>
    <n v="0"/>
    <n v="0"/>
  </r>
  <r>
    <n v="61858876"/>
    <s v="N"/>
    <n v="21327819"/>
    <s v="3000015918870002"/>
    <s v="CIVIL"/>
    <d v="2023-06-26T00:00:00"/>
    <d v="2023-07-04T19:00:44"/>
    <m/>
    <d v="2023-07-04T00:00:00"/>
    <n v="385"/>
    <n v="13886"/>
    <s v="61858876"/>
    <s v="61858876"/>
    <m/>
    <m/>
    <n v="22757188"/>
    <m/>
    <m/>
    <m/>
    <s v="SOLFIN"/>
    <s v="SOLFIN"/>
    <s v="CCMS"/>
    <n v="21327819"/>
    <n v="3250.88"/>
    <m/>
    <s v="N"/>
    <n v="31"/>
    <d v="2023-07-04T19:00:55"/>
    <s v="Y"/>
    <s v="Preparation - other"/>
    <s v="Prescribed Hourly Rates"/>
    <s v="Profit Cost"/>
    <s v="Adam Smith"/>
    <s v="Y"/>
    <n v="12.63"/>
    <n v="2.53"/>
    <x v="1"/>
    <s v="VALIDATED"/>
    <n v="1"/>
    <s v="01.11.80.307.6100.0000"/>
    <n v="12.63"/>
    <s v="11"/>
    <s v="6100"/>
    <n v="7232.07"/>
    <n v="12.63"/>
    <s v="CREDITOR"/>
    <n v="0"/>
    <n v="0"/>
    <n v="0"/>
    <n v="0"/>
    <n v="12.63"/>
  </r>
  <r>
    <n v="61858876"/>
    <s v="N"/>
    <n v="21327819"/>
    <s v="3000015918870002"/>
    <s v="CIVIL"/>
    <d v="2023-06-26T00:00:00"/>
    <d v="2023-07-04T19:00:44"/>
    <m/>
    <d v="2023-07-04T00:00:00"/>
    <n v="385"/>
    <n v="13886"/>
    <s v="61858876"/>
    <s v="61858876"/>
    <m/>
    <m/>
    <n v="22757188"/>
    <m/>
    <m/>
    <m/>
    <s v="SOLFIN"/>
    <s v="SOLFIN"/>
    <s v="CCMS"/>
    <n v="21327819"/>
    <n v="3250.88"/>
    <m/>
    <s v="N"/>
    <n v="9"/>
    <d v="2023-07-04T19:00:55"/>
    <s v="Y"/>
    <s v="Preparation - other"/>
    <s v="Prescribed Hourly Rates"/>
    <s v="Profit Cost"/>
    <s v="Adam Smith"/>
    <s v="Y"/>
    <n v="18.94"/>
    <n v="3.79"/>
    <x v="1"/>
    <s v="VALIDATED"/>
    <n v="1"/>
    <s v="01.11.80.307.6100.0000"/>
    <n v="18.94"/>
    <s v="11"/>
    <s v="6100"/>
    <n v="7232.07"/>
    <n v="18.94"/>
    <s v="CREDITOR"/>
    <n v="0"/>
    <n v="0"/>
    <n v="0"/>
    <n v="0"/>
    <n v="18.94"/>
  </r>
  <r>
    <n v="61858876"/>
    <s v="N"/>
    <n v="21327819"/>
    <s v="3000015918870002"/>
    <s v="CIVIL"/>
    <d v="2023-06-26T00:00:00"/>
    <d v="2023-07-04T19:00:44"/>
    <m/>
    <d v="2023-07-04T00:00:00"/>
    <n v="385"/>
    <n v="13886"/>
    <s v="61858876"/>
    <s v="61858876"/>
    <m/>
    <m/>
    <n v="22757188"/>
    <m/>
    <m/>
    <m/>
    <s v="SOLFIN"/>
    <s v="SOLFIN"/>
    <s v="CCMS"/>
    <n v="21327819"/>
    <n v="3250.88"/>
    <m/>
    <s v="N"/>
    <n v="10"/>
    <d v="2023-07-04T19:00:55"/>
    <s v="Y"/>
    <s v="Routine Telephone Call"/>
    <s v="Prescribed Hourly Rates"/>
    <s v="Profit Cost"/>
    <s v="Adam Smith"/>
    <s v="Y"/>
    <n v="503.01"/>
    <n v="100.57"/>
    <x v="1"/>
    <s v="VALIDATED"/>
    <n v="1"/>
    <s v="01.11.80.307.6100.0000"/>
    <n v="503.01"/>
    <s v="11"/>
    <s v="6100"/>
    <n v="7232.07"/>
    <n v="503.01"/>
    <s v="CREDITOR"/>
    <n v="0"/>
    <n v="0"/>
    <n v="0"/>
    <n v="0"/>
    <n v="503.01"/>
  </r>
  <r>
    <n v="60599752"/>
    <s v="N"/>
    <n v="21328188"/>
    <s v="3000014861690004"/>
    <s v="CIVIL"/>
    <d v="2023-06-26T00:00:00"/>
    <d v="2023-07-04T19:00:44"/>
    <m/>
    <d v="2023-07-04T00:00:00"/>
    <n v="385"/>
    <n v="13886"/>
    <s v="60599752"/>
    <s v="60599752"/>
    <m/>
    <m/>
    <n v="22757198"/>
    <m/>
    <m/>
    <m/>
    <s v="SOLFIN"/>
    <s v="SOLFIN"/>
    <s v="CCMS"/>
    <n v="21328188"/>
    <n v="2661.24"/>
    <m/>
    <s v="N"/>
    <n v="3"/>
    <d v="2023-07-04T19:01:07"/>
    <s v="N"/>
    <s v="Independent Social Worker"/>
    <s v="Public Law Children"/>
    <s v="Expert Disbursement"/>
    <s v="Adam T Smith"/>
    <s v="N"/>
    <n v="0"/>
    <n v="0"/>
    <x v="1"/>
    <s v="VALIDATED"/>
    <n v="1"/>
    <s v="01.11.80.308.6300.0000"/>
    <n v="0"/>
    <s v="11"/>
    <s v="6300"/>
    <n v="7232.07"/>
    <n v="0"/>
    <s v="CREDITOR"/>
    <n v="0"/>
    <n v="0"/>
    <n v="0"/>
    <n v="0"/>
    <n v="0"/>
  </r>
  <r>
    <n v="61858876"/>
    <s v="N"/>
    <n v="21327819"/>
    <s v="3000015918870002"/>
    <s v="CIVIL"/>
    <d v="2023-06-26T00:00:00"/>
    <d v="2023-07-04T19:00:44"/>
    <m/>
    <d v="2023-07-04T00:00:00"/>
    <n v="385"/>
    <n v="13886"/>
    <s v="61858876"/>
    <s v="61858876"/>
    <m/>
    <m/>
    <n v="22757188"/>
    <m/>
    <m/>
    <m/>
    <s v="SOLFIN"/>
    <s v="SOLFIN"/>
    <s v="CCMS"/>
    <n v="21327819"/>
    <n v="3250.88"/>
    <m/>
    <s v="N"/>
    <n v="30"/>
    <d v="2023-07-04T19:00:55"/>
    <s v="Y"/>
    <s v="Preparation - drafting consent orde"/>
    <s v="Prescribed Hourly Rates"/>
    <s v="Profit Cost"/>
    <s v="Adam Smith"/>
    <s v="Y"/>
    <n v="18.94"/>
    <n v="3.79"/>
    <x v="1"/>
    <s v="VALIDATED"/>
    <n v="1"/>
    <s v="01.11.80.307.6100.0000"/>
    <n v="18.94"/>
    <s v="11"/>
    <s v="6100"/>
    <n v="7232.07"/>
    <n v="18.94"/>
    <s v="CREDITOR"/>
    <n v="0"/>
    <n v="0"/>
    <n v="0"/>
    <n v="0"/>
    <n v="18.94"/>
  </r>
  <r>
    <n v="62425307"/>
    <s v="N"/>
    <n v="21344027"/>
    <s v="3000016394920002"/>
    <s v="CIVIL"/>
    <d v="2023-06-30T00:00:00"/>
    <d v="2023-07-07T19:03:00"/>
    <m/>
    <d v="2023-07-07T00:00:00"/>
    <n v="385"/>
    <n v="13886"/>
    <s v="62425307"/>
    <s v="62425307"/>
    <m/>
    <m/>
    <n v="22798220"/>
    <m/>
    <m/>
    <m/>
    <s v="SOLFIN"/>
    <s v="SOLFIN"/>
    <s v="CCMS"/>
    <n v="21344027"/>
    <n v="751.05"/>
    <m/>
    <s v="N"/>
    <n v="7"/>
    <d v="2023-07-07T19:03:21"/>
    <s v="Y"/>
    <s v="Attendance upon client"/>
    <s v="Care Remuneration Hourly Rates"/>
    <s v="Profit Cost"/>
    <s v="Hannah Williams"/>
    <s v="Y"/>
    <n v="35.05"/>
    <n v="7.01"/>
    <x v="9"/>
    <s v="VALIDATED"/>
    <n v="1"/>
    <s v="01.11.80.308.6100.0000"/>
    <n v="35.05"/>
    <s v="11"/>
    <s v="6100"/>
    <n v="7232.07"/>
    <n v="35.05"/>
    <s v="CREDITOR"/>
    <n v="0"/>
    <n v="0"/>
    <n v="0"/>
    <n v="0"/>
    <n v="35.05"/>
  </r>
  <r>
    <n v="61858876"/>
    <s v="N"/>
    <n v="21327819"/>
    <s v="3000015918870002"/>
    <s v="CIVIL"/>
    <d v="2023-06-26T00:00:00"/>
    <d v="2023-07-04T19:00:44"/>
    <m/>
    <d v="2023-07-04T00:00:00"/>
    <n v="385"/>
    <n v="13886"/>
    <s v="61858876"/>
    <s v="61858876"/>
    <m/>
    <m/>
    <n v="22757188"/>
    <m/>
    <m/>
    <m/>
    <s v="SOLFIN"/>
    <s v="SOLFIN"/>
    <s v="CCMS"/>
    <n v="21327819"/>
    <n v="3250.88"/>
    <m/>
    <s v="N"/>
    <n v="34"/>
    <d v="2023-07-04T19:00:55"/>
    <s v="Y"/>
    <s v="Attendance upon client"/>
    <s v="Prescribed Hourly Rates"/>
    <s v="Profit Cost"/>
    <s v="Adam Smith"/>
    <s v="Y"/>
    <n v="12.63"/>
    <n v="2.53"/>
    <x v="1"/>
    <s v="VALIDATED"/>
    <n v="1"/>
    <s v="01.11.80.307.6100.0000"/>
    <n v="12.63"/>
    <s v="11"/>
    <s v="6100"/>
    <n v="7232.07"/>
    <n v="12.63"/>
    <s v="CREDITOR"/>
    <n v="0"/>
    <n v="0"/>
    <n v="0"/>
    <n v="0"/>
    <n v="12.63"/>
  </r>
  <r>
    <n v="59453189"/>
    <s v="N"/>
    <n v="21324057"/>
    <s v="3000013891760011"/>
    <s v="CIVIL"/>
    <d v="2023-06-30T00:00:00"/>
    <d v="2023-07-03T19:05:56"/>
    <m/>
    <d v="2023-07-03T00:00:00"/>
    <n v="385"/>
    <n v="13886"/>
    <s v="59453189"/>
    <s v="59453189"/>
    <m/>
    <m/>
    <n v="22799240"/>
    <m/>
    <m/>
    <m/>
    <s v="SOLPOA"/>
    <s v="SOLPOA"/>
    <s v="CCMS"/>
    <n v="21324057"/>
    <n v="201.6"/>
    <m/>
    <s v="N"/>
    <n v="1"/>
    <d v="2023-07-03T19:06:00"/>
    <s v="N"/>
    <s v="Expert Cost"/>
    <s v="Expert Cost"/>
    <s v="Expert Disbursement"/>
    <s v="Denise Herman"/>
    <s v="N"/>
    <n v="168"/>
    <n v="33.6"/>
    <x v="3"/>
    <s v="VALIDATED"/>
    <n v="1"/>
    <s v="01.11.80.308.2012.0000"/>
    <n v="168"/>
    <s v="11"/>
    <s v="2012"/>
    <n v="7232.07"/>
    <n v="168"/>
    <s v="CREDITOR"/>
    <n v="168"/>
    <n v="0"/>
    <n v="0"/>
    <n v="0"/>
    <n v="0"/>
  </r>
  <r>
    <n v="62425307"/>
    <s v="N"/>
    <n v="21344027"/>
    <s v="3000016394920002"/>
    <s v="CIVIL"/>
    <d v="2023-06-30T00:00:00"/>
    <d v="2023-07-07T19:03:00"/>
    <m/>
    <d v="2023-07-07T00:00:00"/>
    <n v="385"/>
    <n v="13886"/>
    <s v="62425307"/>
    <s v="62425307"/>
    <m/>
    <m/>
    <n v="22798220"/>
    <m/>
    <m/>
    <m/>
    <s v="SOLFIN"/>
    <s v="SOLFIN"/>
    <s v="CCMS"/>
    <n v="21344027"/>
    <n v="751.05"/>
    <m/>
    <s v="N"/>
    <n v="6"/>
    <d v="2023-07-07T19:03:21"/>
    <s v="Y"/>
    <s v="Routine Telephone Call"/>
    <s v="Care Remuneration Hourly Rates"/>
    <s v="Profit Cost"/>
    <s v="Hannah Williams"/>
    <s v="Y"/>
    <n v="11.07"/>
    <n v="2.21"/>
    <x v="9"/>
    <s v="VALIDATED"/>
    <n v="1"/>
    <s v="01.11.80.308.6100.0000"/>
    <n v="11.07"/>
    <s v="11"/>
    <s v="6100"/>
    <n v="7232.07"/>
    <n v="11.07"/>
    <s v="CREDITOR"/>
    <n v="0"/>
    <n v="0"/>
    <n v="0"/>
    <n v="0"/>
    <n v="11.07"/>
  </r>
  <r>
    <n v="61858876"/>
    <s v="N"/>
    <n v="21327819"/>
    <s v="3000015918870002"/>
    <s v="CIVIL"/>
    <d v="2023-06-26T00:00:00"/>
    <d v="2023-07-04T19:00:44"/>
    <m/>
    <d v="2023-07-04T00:00:00"/>
    <n v="385"/>
    <n v="13886"/>
    <s v="61858876"/>
    <s v="61858876"/>
    <m/>
    <m/>
    <n v="22757188"/>
    <m/>
    <m/>
    <m/>
    <s v="SOLFIN"/>
    <s v="SOLFIN"/>
    <s v="CCMS"/>
    <n v="21327819"/>
    <n v="3250.88"/>
    <m/>
    <s v="N"/>
    <n v="20"/>
    <d v="2023-07-04T19:00:55"/>
    <s v="Y"/>
    <s v="Preparation - other"/>
    <s v="Prescribed Hourly Rates"/>
    <s v="Profit Cost"/>
    <s v="Adam Smith"/>
    <s v="Y"/>
    <n v="50.51"/>
    <n v="10.1"/>
    <x v="1"/>
    <s v="VALIDATED"/>
    <n v="1"/>
    <s v="01.11.80.307.6100.0000"/>
    <n v="50.51"/>
    <s v="11"/>
    <s v="6100"/>
    <n v="7232.07"/>
    <n v="50.51"/>
    <s v="CREDITOR"/>
    <n v="0"/>
    <n v="0"/>
    <n v="0"/>
    <n v="0"/>
    <n v="50.51"/>
  </r>
  <r>
    <n v="62167060"/>
    <s v="N"/>
    <n v="21318417"/>
    <s v="3000016180580001"/>
    <s v="CIVIL"/>
    <d v="2023-06-26T00:00:00"/>
    <d v="2023-07-03T19:01:49"/>
    <m/>
    <d v="2023-07-03T00:00:00"/>
    <n v="385"/>
    <n v="13886"/>
    <s v="62167060"/>
    <s v="62167060"/>
    <m/>
    <m/>
    <n v="22757194"/>
    <m/>
    <m/>
    <m/>
    <s v="SOLFIN"/>
    <s v="SOLFIN"/>
    <s v="CCMS"/>
    <n v="21318417"/>
    <n v="1679.13"/>
    <m/>
    <s v="N"/>
    <n v="5"/>
    <d v="2023-07-03T19:01:55"/>
    <s v="Y"/>
    <s v="Routine Letter In"/>
    <s v="Care Remuneration Hourly Rates"/>
    <s v="Profit Cost"/>
    <s v="Adam Smith"/>
    <s v="Y"/>
    <n v="161.69"/>
    <n v="32.34"/>
    <x v="3"/>
    <s v="VALIDATED"/>
    <n v="1"/>
    <s v="01.11.80.305.6100.0000"/>
    <n v="161.69"/>
    <s v="11"/>
    <s v="6100"/>
    <n v="7232.07"/>
    <n v="161.69"/>
    <s v="CREDITOR"/>
    <n v="0"/>
    <n v="0"/>
    <n v="0"/>
    <n v="0"/>
    <n v="161.69"/>
  </r>
  <r>
    <n v="62425307"/>
    <s v="N"/>
    <n v="21344027"/>
    <s v="3000016394920002"/>
    <s v="CIVIL"/>
    <d v="2023-06-30T00:00:00"/>
    <d v="2023-07-07T19:03:00"/>
    <m/>
    <d v="2023-07-07T00:00:00"/>
    <n v="385"/>
    <n v="13886"/>
    <s v="62425307"/>
    <s v="62425307"/>
    <m/>
    <m/>
    <n v="22798220"/>
    <m/>
    <m/>
    <m/>
    <s v="SOLFIN"/>
    <s v="SOLFIN"/>
    <s v="CCMS"/>
    <n v="21344027"/>
    <n v="751.05"/>
    <m/>
    <s v="N"/>
    <n v="16"/>
    <d v="2023-07-07T19:03:21"/>
    <s v="Y"/>
    <s v="Attendance upon client"/>
    <s v="Care Remuneration Hourly Rates"/>
    <s v="Profit Cost"/>
    <s v="Hannah Williams"/>
    <s v="Y"/>
    <n v="11.68"/>
    <n v="2.34"/>
    <x v="9"/>
    <s v="VALIDATED"/>
    <n v="1"/>
    <s v="01.11.80.308.6100.0000"/>
    <n v="11.68"/>
    <s v="11"/>
    <s v="6100"/>
    <n v="7232.07"/>
    <n v="11.68"/>
    <s v="CREDITOR"/>
    <n v="0"/>
    <n v="0"/>
    <n v="0"/>
    <n v="0"/>
    <n v="11.68"/>
  </r>
  <r>
    <n v="61858876"/>
    <s v="N"/>
    <n v="21327819"/>
    <s v="3000015918870002"/>
    <s v="CIVIL"/>
    <d v="2023-06-26T00:00:00"/>
    <d v="2023-07-04T19:00:44"/>
    <m/>
    <d v="2023-07-04T00:00:00"/>
    <n v="385"/>
    <n v="13886"/>
    <s v="61858876"/>
    <s v="61858876"/>
    <m/>
    <m/>
    <n v="22757188"/>
    <m/>
    <m/>
    <m/>
    <s v="SOLFIN"/>
    <s v="SOLFIN"/>
    <s v="CCMS"/>
    <n v="21327819"/>
    <n v="3250.88"/>
    <m/>
    <s v="N"/>
    <n v="12"/>
    <d v="2023-07-04T19:00:55"/>
    <s v="Y"/>
    <s v="Routine Letter Out"/>
    <s v="Prescribed Hourly Rates"/>
    <s v="Profit Cost"/>
    <s v="Hannah Williams"/>
    <s v="Y"/>
    <n v="5.4"/>
    <n v="1.08"/>
    <x v="1"/>
    <s v="VALIDATED"/>
    <n v="1"/>
    <s v="01.11.80.307.6100.0000"/>
    <n v="5.4"/>
    <s v="11"/>
    <s v="6100"/>
    <n v="7232.07"/>
    <n v="5.4"/>
    <s v="CREDITOR"/>
    <n v="0"/>
    <n v="0"/>
    <n v="0"/>
    <n v="0"/>
    <n v="5.4"/>
  </r>
  <r>
    <n v="61858876"/>
    <s v="N"/>
    <n v="21327819"/>
    <s v="3000015918870002"/>
    <s v="CIVIL"/>
    <d v="2023-06-26T00:00:00"/>
    <d v="2023-07-04T19:00:44"/>
    <m/>
    <d v="2023-07-04T00:00:00"/>
    <n v="385"/>
    <n v="13886"/>
    <s v="61858876"/>
    <s v="61858876"/>
    <m/>
    <m/>
    <n v="22757188"/>
    <m/>
    <m/>
    <m/>
    <s v="SOLFIN"/>
    <s v="SOLFIN"/>
    <s v="CCMS"/>
    <n v="21327819"/>
    <n v="3250.88"/>
    <m/>
    <s v="N"/>
    <n v="18"/>
    <d v="2023-07-04T19:00:55"/>
    <s v="Y"/>
    <s v="Preparation - other"/>
    <s v="Prescribed Hourly Rates"/>
    <s v="Profit Cost"/>
    <s v="Adam Smith"/>
    <s v="Y"/>
    <n v="37.88"/>
    <n v="7.58"/>
    <x v="1"/>
    <s v="VALIDATED"/>
    <n v="1"/>
    <s v="01.11.80.307.6100.0000"/>
    <n v="37.88"/>
    <s v="11"/>
    <s v="6100"/>
    <n v="7232.07"/>
    <n v="37.88"/>
    <s v="CREDITOR"/>
    <n v="0"/>
    <n v="0"/>
    <n v="0"/>
    <n v="0"/>
    <n v="37.88"/>
  </r>
  <r>
    <n v="62167060"/>
    <s v="N"/>
    <n v="21318417"/>
    <s v="3000016180580001"/>
    <s v="CIVIL"/>
    <d v="2023-06-26T00:00:00"/>
    <d v="2023-07-03T19:01:49"/>
    <m/>
    <d v="2023-07-03T00:00:00"/>
    <n v="385"/>
    <n v="13886"/>
    <s v="62167060"/>
    <s v="62167060"/>
    <m/>
    <m/>
    <n v="22757194"/>
    <m/>
    <m/>
    <m/>
    <s v="SOLFIN"/>
    <s v="SOLFIN"/>
    <s v="CCMS"/>
    <n v="21318417"/>
    <n v="1679.13"/>
    <m/>
    <s v="N"/>
    <n v="3"/>
    <d v="2023-07-03T19:01:55"/>
    <s v="Y"/>
    <s v="Solicitor Travel Mileage"/>
    <s v="Care Remuneration Hourly Rates"/>
    <s v="Non Expert Disbursement"/>
    <s v="Adam Smith"/>
    <s v="Y"/>
    <n v="9.449999999999999"/>
    <n v="0"/>
    <x v="3"/>
    <s v="VALIDATED"/>
    <n v="1"/>
    <s v="01.11.80.305.6300.0000"/>
    <n v="9.449999999999999"/>
    <s v="11"/>
    <s v="6300"/>
    <n v="7232.07"/>
    <n v="9.449999999999999"/>
    <s v="CREDITOR"/>
    <n v="0"/>
    <n v="0"/>
    <n v="0"/>
    <n v="0"/>
    <n v="9.449999999999999"/>
  </r>
  <r>
    <n v="61858876"/>
    <s v="N"/>
    <n v="21327819"/>
    <s v="3000015918870002"/>
    <s v="CIVIL"/>
    <d v="2023-06-26T00:00:00"/>
    <d v="2023-07-04T19:00:44"/>
    <m/>
    <d v="2023-07-04T00:00:00"/>
    <n v="385"/>
    <n v="13886"/>
    <s v="61858876"/>
    <s v="61858876"/>
    <m/>
    <m/>
    <n v="22757188"/>
    <m/>
    <m/>
    <m/>
    <s v="SOLFIN"/>
    <s v="SOLFIN"/>
    <s v="CCMS"/>
    <n v="21327819"/>
    <n v="3250.88"/>
    <m/>
    <s v="N"/>
    <n v="4"/>
    <d v="2023-07-04T19:00:55"/>
    <s v="Y"/>
    <s v="Preparation - other"/>
    <s v="Prescribed Hourly Rates"/>
    <s v="Profit Cost"/>
    <s v="Adam Smith"/>
    <s v="Y"/>
    <n v="12.63"/>
    <n v="2.53"/>
    <x v="1"/>
    <s v="VALIDATED"/>
    <n v="1"/>
    <s v="01.11.80.307.6100.0000"/>
    <n v="12.63"/>
    <s v="11"/>
    <s v="6100"/>
    <n v="7232.07"/>
    <n v="12.63"/>
    <s v="CREDITOR"/>
    <n v="0"/>
    <n v="0"/>
    <n v="0"/>
    <n v="0"/>
    <n v="12.63"/>
  </r>
  <r>
    <n v="60150951"/>
    <s v="N"/>
    <n v="21349881"/>
    <s v="3000014475510001"/>
    <s v="CIVIL"/>
    <d v="2023-06-29T00:00:00"/>
    <d v="2023-07-10T19:01:40"/>
    <m/>
    <d v="2023-07-10T00:00:00"/>
    <n v="385"/>
    <n v="13886"/>
    <s v="60150951"/>
    <s v="60150951"/>
    <m/>
    <m/>
    <n v="22792204"/>
    <m/>
    <m/>
    <m/>
    <s v="SOLFIN"/>
    <s v="SOLFIN"/>
    <s v="CCMS"/>
    <n v="21349881"/>
    <n v="0"/>
    <m/>
    <s v="N"/>
    <n v="1"/>
    <d v="2023-07-10T19:02:01"/>
    <s v="N"/>
    <s v="NIL BILL"/>
    <s v="Public Law Children"/>
    <s v="Profit Cost"/>
    <s v="Denise Herman"/>
    <s v="N"/>
    <n v="0"/>
    <n v="0"/>
    <x v="2"/>
    <s v="VALIDATED"/>
    <n v="1"/>
    <s v="01.11.80.308.6100.0000"/>
    <n v="0"/>
    <s v="11"/>
    <s v="6100"/>
    <n v="7232.07"/>
    <n v="0"/>
    <s v="CREDITOR"/>
    <n v="0"/>
    <n v="0"/>
    <n v="0"/>
    <n v="0"/>
    <n v="0"/>
  </r>
  <r>
    <n v="61858876"/>
    <s v="N"/>
    <n v="21327819"/>
    <s v="3000015918870002"/>
    <s v="CIVIL"/>
    <d v="2023-06-26T00:00:00"/>
    <d v="2023-07-04T19:00:44"/>
    <m/>
    <d v="2023-07-04T00:00:00"/>
    <n v="385"/>
    <n v="13886"/>
    <s v="61858876"/>
    <s v="61858876"/>
    <m/>
    <m/>
    <n v="22757188"/>
    <m/>
    <m/>
    <m/>
    <s v="SOLFIN"/>
    <s v="SOLFIN"/>
    <s v="CCMS"/>
    <n v="21327819"/>
    <n v="3250.88"/>
    <m/>
    <s v="N"/>
    <n v="1"/>
    <d v="2023-07-04T19:00:55"/>
    <s v="Y"/>
    <s v="Report - Welfare report"/>
    <s v="Prescribed Hourly Rates"/>
    <s v="Profit Cost"/>
    <s v="Adam Smith"/>
    <s v="Y"/>
    <n v="25.25"/>
    <n v="5.05"/>
    <x v="1"/>
    <s v="VALIDATED"/>
    <n v="1"/>
    <s v="01.11.80.307.6100.0000"/>
    <n v="25.25"/>
    <s v="11"/>
    <s v="6100"/>
    <n v="7232.07"/>
    <n v="25.25"/>
    <s v="CREDITOR"/>
    <n v="0"/>
    <n v="0"/>
    <n v="0"/>
    <n v="0"/>
    <n v="25.25"/>
  </r>
  <r>
    <n v="61858876"/>
    <s v="N"/>
    <n v="21327819"/>
    <s v="3000015918870002"/>
    <s v="CIVIL"/>
    <d v="2023-06-26T00:00:00"/>
    <d v="2023-07-04T19:00:44"/>
    <m/>
    <d v="2023-07-04T00:00:00"/>
    <n v="385"/>
    <n v="13886"/>
    <s v="61858876"/>
    <s v="61858876"/>
    <m/>
    <m/>
    <n v="22757188"/>
    <m/>
    <m/>
    <m/>
    <s v="SOLFIN"/>
    <s v="SOLFIN"/>
    <s v="CCMS"/>
    <n v="21327819"/>
    <n v="3250.88"/>
    <m/>
    <s v="N"/>
    <n v="32"/>
    <d v="2023-07-04T19:00:55"/>
    <s v="Y"/>
    <s v="Attendance upon client"/>
    <s v="Prescribed Hourly Rates"/>
    <s v="Profit Cost"/>
    <s v="Adam Smith"/>
    <s v="Y"/>
    <n v="25.25"/>
    <n v="5.05"/>
    <x v="1"/>
    <s v="VALIDATED"/>
    <n v="1"/>
    <s v="01.11.80.307.6100.0000"/>
    <n v="25.25"/>
    <s v="11"/>
    <s v="6100"/>
    <n v="7232.07"/>
    <n v="25.25"/>
    <s v="CREDITOR"/>
    <n v="0"/>
    <n v="0"/>
    <n v="0"/>
    <n v="0"/>
    <n v="25.25"/>
  </r>
  <r>
    <n v="61858876"/>
    <s v="N"/>
    <n v="21327819"/>
    <s v="3000015918870002"/>
    <s v="CIVIL"/>
    <d v="2023-06-26T00:00:00"/>
    <d v="2023-07-04T19:00:44"/>
    <m/>
    <d v="2023-07-04T00:00:00"/>
    <n v="385"/>
    <n v="13886"/>
    <s v="61858876"/>
    <s v="61858876"/>
    <m/>
    <m/>
    <n v="22757188"/>
    <m/>
    <m/>
    <m/>
    <s v="SOLFIN"/>
    <s v="SOLFIN"/>
    <s v="CCMS"/>
    <n v="21327819"/>
    <n v="3250.88"/>
    <m/>
    <s v="N"/>
    <n v="14"/>
    <d v="2023-07-04T19:00:55"/>
    <s v="Y"/>
    <s v="Preparation - other"/>
    <s v="Prescribed Hourly Rates"/>
    <s v="Profit Cost"/>
    <s v="Adam Smith"/>
    <s v="Y"/>
    <n v="6.31"/>
    <n v="1.26"/>
    <x v="1"/>
    <s v="VALIDATED"/>
    <n v="1"/>
    <s v="01.11.80.307.6100.0000"/>
    <n v="6.31"/>
    <s v="11"/>
    <s v="6100"/>
    <n v="7232.07"/>
    <n v="6.31"/>
    <s v="CREDITOR"/>
    <n v="0"/>
    <n v="0"/>
    <n v="0"/>
    <n v="0"/>
    <n v="6.31"/>
  </r>
  <r>
    <n v="62167060"/>
    <s v="N"/>
    <n v="21318417"/>
    <s v="3000016180580001"/>
    <s v="CIVIL"/>
    <d v="2023-06-26T00:00:00"/>
    <d v="2023-07-03T19:01:49"/>
    <m/>
    <d v="2023-07-03T00:00:00"/>
    <n v="385"/>
    <n v="13886"/>
    <s v="62167060"/>
    <s v="62167060"/>
    <m/>
    <m/>
    <n v="22757194"/>
    <m/>
    <m/>
    <m/>
    <s v="SOLFIN"/>
    <s v="SOLFIN"/>
    <s v="CCMS"/>
    <n v="21318417"/>
    <n v="1679.13"/>
    <m/>
    <s v="N"/>
    <n v="15"/>
    <d v="2023-07-03T19:01:55"/>
    <s v="Y"/>
    <s v="Preparation - drafting bill/claim f"/>
    <s v="Care Remuneration Hourly Rates"/>
    <s v="Profit Cost"/>
    <s v="Cost Draftsman"/>
    <s v="Y"/>
    <n v="87.62"/>
    <n v="17.52"/>
    <x v="3"/>
    <s v="VALIDATED"/>
    <n v="1"/>
    <s v="01.11.80.305.6100.0000"/>
    <n v="87.62"/>
    <s v="11"/>
    <s v="6100"/>
    <n v="7232.07"/>
    <n v="87.62"/>
    <s v="CREDITOR"/>
    <n v="0"/>
    <n v="0"/>
    <n v="0"/>
    <n v="0"/>
    <n v="87.62"/>
  </r>
  <r>
    <n v="62425307"/>
    <s v="N"/>
    <n v="21344027"/>
    <s v="3000016394920002"/>
    <s v="CIVIL"/>
    <d v="2023-06-30T00:00:00"/>
    <d v="2023-07-07T19:03:00"/>
    <m/>
    <d v="2023-07-07T00:00:00"/>
    <n v="385"/>
    <n v="13886"/>
    <s v="62425307"/>
    <s v="62425307"/>
    <m/>
    <m/>
    <n v="22798220"/>
    <m/>
    <m/>
    <m/>
    <s v="SOLFIN"/>
    <s v="SOLFIN"/>
    <s v="CCMS"/>
    <n v="21344027"/>
    <n v="751.05"/>
    <m/>
    <s v="N"/>
    <n v="14"/>
    <d v="2023-07-07T19:03:21"/>
    <s v="Y"/>
    <s v="Preparation - drafting instructions"/>
    <s v="Care Remuneration Hourly Rates"/>
    <s v="Profit Cost"/>
    <s v="Denise Herman"/>
    <s v="Y"/>
    <n v="20.15"/>
    <n v="4.03"/>
    <x v="9"/>
    <s v="VALIDATED"/>
    <n v="1"/>
    <s v="01.11.80.308.6100.0000"/>
    <n v="20.15"/>
    <s v="11"/>
    <s v="6100"/>
    <n v="7232.07"/>
    <n v="20.15"/>
    <s v="CREDITOR"/>
    <n v="0"/>
    <n v="0"/>
    <n v="0"/>
    <n v="0"/>
    <n v="20.15"/>
  </r>
  <r>
    <n v="61858876"/>
    <s v="N"/>
    <n v="21327819"/>
    <s v="3000015918870002"/>
    <s v="CIVIL"/>
    <d v="2023-06-26T00:00:00"/>
    <d v="2023-07-04T19:00:44"/>
    <m/>
    <d v="2023-07-04T00:00:00"/>
    <n v="385"/>
    <n v="13886"/>
    <s v="61858876"/>
    <s v="61858876"/>
    <m/>
    <m/>
    <n v="22757188"/>
    <m/>
    <m/>
    <m/>
    <s v="SOLFIN"/>
    <s v="SOLFIN"/>
    <s v="CCMS"/>
    <n v="21327819"/>
    <n v="3250.88"/>
    <m/>
    <s v="N"/>
    <n v="35"/>
    <d v="2023-07-04T19:00:55"/>
    <s v="Y"/>
    <s v="Preparation - other"/>
    <s v="Prescribed Hourly Rates"/>
    <s v="Profit Cost"/>
    <s v="Adam Smith"/>
    <s v="Y"/>
    <n v="12.63"/>
    <n v="2.53"/>
    <x v="1"/>
    <s v="VALIDATED"/>
    <n v="1"/>
    <s v="01.11.80.307.6100.0000"/>
    <n v="12.63"/>
    <s v="11"/>
    <s v="6100"/>
    <n v="7232.07"/>
    <n v="12.63"/>
    <s v="CREDITOR"/>
    <n v="0"/>
    <n v="0"/>
    <n v="0"/>
    <n v="0"/>
    <n v="12.63"/>
  </r>
  <r>
    <n v="61858876"/>
    <s v="N"/>
    <n v="21327819"/>
    <s v="3000015918870002"/>
    <s v="CIVIL"/>
    <d v="2023-06-26T00:00:00"/>
    <d v="2023-07-04T19:00:44"/>
    <m/>
    <d v="2023-07-04T00:00:00"/>
    <n v="385"/>
    <n v="13886"/>
    <s v="61858876"/>
    <s v="61858876"/>
    <m/>
    <m/>
    <n v="22757188"/>
    <m/>
    <m/>
    <m/>
    <s v="SOLFIN"/>
    <s v="SOLFIN"/>
    <s v="CCMS"/>
    <n v="21327819"/>
    <n v="3250.88"/>
    <m/>
    <s v="N"/>
    <n v="15"/>
    <d v="2023-07-04T19:00:55"/>
    <s v="Y"/>
    <s v="Preparation - other"/>
    <s v="Prescribed Hourly Rates"/>
    <s v="Profit Cost"/>
    <s v="Adam Smith"/>
    <s v="Y"/>
    <n v="12.63"/>
    <n v="2.53"/>
    <x v="1"/>
    <s v="VALIDATED"/>
    <n v="1"/>
    <s v="01.11.80.307.6100.0000"/>
    <n v="12.63"/>
    <s v="11"/>
    <s v="6100"/>
    <n v="7232.07"/>
    <n v="12.63"/>
    <s v="CREDITOR"/>
    <n v="0"/>
    <n v="0"/>
    <n v="0"/>
    <n v="0"/>
    <n v="12.63"/>
  </r>
  <r>
    <n v="62167060"/>
    <s v="N"/>
    <n v="21318417"/>
    <s v="3000016180580001"/>
    <s v="CIVIL"/>
    <d v="2023-06-26T00:00:00"/>
    <d v="2023-07-03T19:01:49"/>
    <m/>
    <d v="2023-07-03T00:00:00"/>
    <n v="385"/>
    <n v="13886"/>
    <s v="62167060"/>
    <s v="62167060"/>
    <m/>
    <m/>
    <n v="22757194"/>
    <m/>
    <m/>
    <m/>
    <s v="SOLFIN"/>
    <s v="SOLFIN"/>
    <s v="CCMS"/>
    <n v="21318417"/>
    <n v="1679.13"/>
    <m/>
    <s v="N"/>
    <n v="11"/>
    <d v="2023-07-03T19:01:55"/>
    <s v="Y"/>
    <s v="Travel to attend client"/>
    <s v="Care Remuneration Hourly Rates"/>
    <s v="Profit Cost"/>
    <s v="Adam Smith"/>
    <s v="Y"/>
    <n v="6.72"/>
    <n v="1.34"/>
    <x v="3"/>
    <s v="VALIDATED"/>
    <n v="1"/>
    <s v="01.11.80.305.6100.0000"/>
    <n v="6.72"/>
    <s v="11"/>
    <s v="6100"/>
    <n v="7232.07"/>
    <n v="6.72"/>
    <s v="CREDITOR"/>
    <n v="0"/>
    <n v="0"/>
    <n v="0"/>
    <n v="0"/>
    <n v="6.72"/>
  </r>
  <r>
    <n v="61858876"/>
    <s v="N"/>
    <n v="21327819"/>
    <s v="3000015918870002"/>
    <s v="CIVIL"/>
    <d v="2023-06-26T00:00:00"/>
    <d v="2023-07-04T19:00:44"/>
    <m/>
    <d v="2023-07-04T00:00:00"/>
    <n v="385"/>
    <n v="13886"/>
    <s v="61858876"/>
    <s v="61858876"/>
    <m/>
    <m/>
    <n v="22757188"/>
    <m/>
    <m/>
    <m/>
    <s v="SOLFIN"/>
    <s v="SOLFIN"/>
    <s v="CCMS"/>
    <n v="21327819"/>
    <n v="3250.88"/>
    <m/>
    <s v="N"/>
    <n v="38"/>
    <d v="2023-07-04T19:00:55"/>
    <s v="N"/>
    <s v="Level 3 &amp; Enforcement Fixed Fee"/>
    <s v="Private Law Children"/>
    <s v="Profit Cost"/>
    <s v="Adam Smith"/>
    <s v="N"/>
    <n v="0"/>
    <n v="0"/>
    <x v="1"/>
    <s v="VALIDATED"/>
    <n v="1"/>
    <s v="01.11.80.307.6100.0000"/>
    <n v="0"/>
    <s v="11"/>
    <s v="6100"/>
    <n v="7232.07"/>
    <n v="0"/>
    <s v="CREDITOR"/>
    <n v="0"/>
    <n v="0"/>
    <n v="0"/>
    <n v="0"/>
    <n v="0"/>
  </r>
  <r>
    <n v="61858876"/>
    <s v="N"/>
    <n v="21327819"/>
    <s v="3000015918870002"/>
    <s v="CIVIL"/>
    <d v="2023-06-26T00:00:00"/>
    <d v="2023-07-04T19:00:44"/>
    <m/>
    <d v="2023-07-04T00:00:00"/>
    <n v="385"/>
    <n v="13886"/>
    <s v="61858876"/>
    <s v="61858876"/>
    <m/>
    <m/>
    <n v="22757188"/>
    <m/>
    <m/>
    <m/>
    <s v="SOLFIN"/>
    <s v="SOLFIN"/>
    <s v="CCMS"/>
    <n v="21327819"/>
    <n v="3250.88"/>
    <m/>
    <s v="N"/>
    <n v="37"/>
    <d v="2023-07-04T19:00:55"/>
    <s v="Y"/>
    <s v="Hearing Unit 2.31 - 5.00 Hours"/>
    <s v="Private Law Children"/>
    <s v="Advocacy"/>
    <s v="Adam Smith"/>
    <s v="Y"/>
    <n v="344.8"/>
    <n v="68.97"/>
    <x v="1"/>
    <s v="VALIDATED"/>
    <n v="1"/>
    <s v="01.11.80.307.6100.0000"/>
    <n v="344.8"/>
    <s v="11"/>
    <s v="6100"/>
    <n v="7232.07"/>
    <n v="344.8"/>
    <s v="CREDITOR"/>
    <n v="0"/>
    <n v="0"/>
    <n v="0"/>
    <n v="0"/>
    <n v="344.8"/>
  </r>
  <r>
    <n v="62167060"/>
    <s v="N"/>
    <n v="21318417"/>
    <s v="3000016180580001"/>
    <s v="CIVIL"/>
    <d v="2023-06-26T00:00:00"/>
    <d v="2023-07-03T19:01:49"/>
    <m/>
    <d v="2023-07-03T00:00:00"/>
    <n v="385"/>
    <n v="13886"/>
    <s v="62167060"/>
    <s v="62167060"/>
    <m/>
    <m/>
    <n v="22757194"/>
    <m/>
    <m/>
    <m/>
    <s v="SOLFIN"/>
    <s v="SOLFIN"/>
    <s v="CCMS"/>
    <n v="21318417"/>
    <n v="1679.13"/>
    <m/>
    <s v="N"/>
    <n v="10"/>
    <d v="2023-07-03T19:01:55"/>
    <s v="Y"/>
    <s v="Attendance upon client"/>
    <s v="Care Remuneration Hourly Rates"/>
    <s v="Profit Cost"/>
    <s v="Adam Smith"/>
    <s v="Y"/>
    <n v="107.48"/>
    <n v="21.5"/>
    <x v="3"/>
    <s v="VALIDATED"/>
    <n v="1"/>
    <s v="01.11.80.305.6100.0000"/>
    <n v="107.48"/>
    <s v="11"/>
    <s v="6100"/>
    <n v="7232.07"/>
    <n v="107.48"/>
    <s v="CREDITOR"/>
    <n v="0"/>
    <n v="0"/>
    <n v="0"/>
    <n v="0"/>
    <n v="107.48"/>
  </r>
  <r>
    <n v="60599752"/>
    <s v="N"/>
    <n v="21328188"/>
    <s v="3000014861690004"/>
    <s v="CIVIL"/>
    <d v="2023-06-26T00:00:00"/>
    <d v="2023-07-04T19:00:44"/>
    <m/>
    <d v="2023-07-04T00:00:00"/>
    <n v="385"/>
    <n v="13886"/>
    <s v="60599752"/>
    <s v="60599752"/>
    <m/>
    <m/>
    <n v="22757198"/>
    <m/>
    <m/>
    <m/>
    <s v="SOLFIN"/>
    <s v="SOLFIN"/>
    <s v="CCMS"/>
    <n v="21328188"/>
    <n v="2661.24"/>
    <m/>
    <s v="N"/>
    <n v="6"/>
    <d v="2023-07-04T19:01:07"/>
    <s v="Y"/>
    <s v="Advocates Meeting"/>
    <s v="Public Law Children"/>
    <s v="Advocacy"/>
    <s v="Adam T Smith"/>
    <s v="Y"/>
    <n v="140.99"/>
    <n v="28.2"/>
    <x v="1"/>
    <s v="VALIDATED"/>
    <n v="1"/>
    <s v="01.11.80.308.6100.0000"/>
    <n v="140.99"/>
    <s v="11"/>
    <s v="6100"/>
    <n v="7232.07"/>
    <n v="140.99"/>
    <s v="CREDITOR"/>
    <n v="0"/>
    <n v="0"/>
    <n v="0"/>
    <n v="0"/>
    <n v="140.99"/>
  </r>
  <r>
    <n v="62425307"/>
    <s v="N"/>
    <n v="21344027"/>
    <s v="3000016394920002"/>
    <s v="CIVIL"/>
    <d v="2023-06-30T00:00:00"/>
    <d v="2023-07-07T19:03:00"/>
    <m/>
    <d v="2023-07-07T00:00:00"/>
    <n v="385"/>
    <n v="13886"/>
    <s v="62425307"/>
    <s v="62425307"/>
    <m/>
    <m/>
    <n v="22798220"/>
    <m/>
    <m/>
    <m/>
    <s v="SOLFIN"/>
    <s v="SOLFIN"/>
    <s v="CCMS"/>
    <n v="21344027"/>
    <n v="751.05"/>
    <m/>
    <s v="N"/>
    <n v="9"/>
    <d v="2023-07-07T19:03:21"/>
    <s v="Y"/>
    <s v="Attendance upon client"/>
    <s v="Care Remuneration Hourly Rates"/>
    <s v="Profit Cost"/>
    <s v="Hannah Williams"/>
    <s v="Y"/>
    <n v="11.68"/>
    <n v="2.34"/>
    <x v="9"/>
    <s v="VALIDATED"/>
    <n v="1"/>
    <s v="01.11.80.308.6100.0000"/>
    <n v="11.68"/>
    <s v="11"/>
    <s v="6100"/>
    <n v="7232.07"/>
    <n v="11.68"/>
    <s v="CREDITOR"/>
    <n v="0"/>
    <n v="0"/>
    <n v="0"/>
    <n v="0"/>
    <n v="11.68"/>
  </r>
  <r>
    <n v="61858876"/>
    <s v="N"/>
    <n v="21327819"/>
    <s v="3000015918870002"/>
    <s v="CIVIL"/>
    <d v="2023-06-26T00:00:00"/>
    <d v="2023-07-04T19:00:44"/>
    <m/>
    <d v="2023-07-04T00:00:00"/>
    <n v="385"/>
    <n v="13886"/>
    <s v="61858876"/>
    <s v="61858876"/>
    <m/>
    <m/>
    <n v="22757188"/>
    <m/>
    <m/>
    <m/>
    <s v="SOLFIN"/>
    <s v="SOLFIN"/>
    <s v="CCMS"/>
    <n v="21327819"/>
    <n v="3250.88"/>
    <m/>
    <s v="N"/>
    <n v="27"/>
    <d v="2023-07-04T19:00:55"/>
    <s v="Y"/>
    <s v="Preparation - drafting bill/claim f"/>
    <s v="Prescribed Hourly Rates"/>
    <s v="Profit Cost"/>
    <s v="Cost Draftsman"/>
    <s v="Y"/>
    <n v="137.25"/>
    <n v="27.45"/>
    <x v="1"/>
    <s v="VALIDATED"/>
    <n v="1"/>
    <s v="01.11.80.307.6100.0000"/>
    <n v="137.25"/>
    <s v="11"/>
    <s v="6100"/>
    <n v="7232.07"/>
    <n v="137.25"/>
    <s v="CREDITOR"/>
    <n v="0"/>
    <n v="0"/>
    <n v="0"/>
    <n v="0"/>
    <n v="137.25"/>
  </r>
  <r>
    <n v="62167060"/>
    <s v="N"/>
    <n v="21318417"/>
    <s v="3000016180580001"/>
    <s v="CIVIL"/>
    <d v="2023-06-26T00:00:00"/>
    <d v="2023-07-03T19:01:49"/>
    <m/>
    <d v="2023-07-03T00:00:00"/>
    <n v="385"/>
    <n v="13886"/>
    <s v="62167060"/>
    <s v="62167060"/>
    <m/>
    <m/>
    <n v="22757194"/>
    <m/>
    <m/>
    <m/>
    <s v="SOLFIN"/>
    <s v="SOLFIN"/>
    <s v="CCMS"/>
    <n v="21318417"/>
    <n v="1679.13"/>
    <m/>
    <s v="N"/>
    <n v="1"/>
    <d v="2023-07-03T19:01:55"/>
    <s v="Y"/>
    <s v="Solicitor Travel Mileage"/>
    <s v="Care Remuneration Hourly Rates"/>
    <s v="Non Expert Disbursement"/>
    <s v="Adam Smith"/>
    <s v="Y"/>
    <n v="2.43"/>
    <n v="0"/>
    <x v="3"/>
    <s v="VALIDATED"/>
    <n v="1"/>
    <s v="01.11.80.305.6300.0000"/>
    <n v="2.43"/>
    <s v="11"/>
    <s v="6300"/>
    <n v="7232.07"/>
    <n v="2.43"/>
    <s v="CREDITOR"/>
    <n v="0"/>
    <n v="0"/>
    <n v="0"/>
    <n v="0"/>
    <n v="2.43"/>
  </r>
  <r>
    <n v="61858876"/>
    <s v="N"/>
    <n v="21327819"/>
    <s v="3000015918870002"/>
    <s v="CIVIL"/>
    <d v="2023-06-26T00:00:00"/>
    <d v="2023-07-04T19:00:44"/>
    <m/>
    <d v="2023-07-04T00:00:00"/>
    <n v="385"/>
    <n v="13886"/>
    <s v="61858876"/>
    <s v="61858876"/>
    <m/>
    <m/>
    <n v="22757188"/>
    <m/>
    <m/>
    <m/>
    <s v="SOLFIN"/>
    <s v="SOLFIN"/>
    <s v="CCMS"/>
    <n v="21327819"/>
    <n v="3250.88"/>
    <m/>
    <s v="N"/>
    <n v="2"/>
    <d v="2023-07-04T19:00:55"/>
    <s v="Y"/>
    <s v="Preparation - other"/>
    <s v="Prescribed Hourly Rates"/>
    <s v="Profit Cost"/>
    <s v="Hannah Williams"/>
    <s v="Y"/>
    <n v="5.49"/>
    <n v="1.1"/>
    <x v="1"/>
    <s v="VALIDATED"/>
    <n v="1"/>
    <s v="01.11.80.307.6100.0000"/>
    <n v="5.49"/>
    <s v="11"/>
    <s v="6100"/>
    <n v="7232.07"/>
    <n v="5.49"/>
    <s v="CREDITOR"/>
    <n v="0"/>
    <n v="0"/>
    <n v="0"/>
    <n v="0"/>
    <n v="5.49"/>
  </r>
  <r>
    <n v="60599752"/>
    <s v="N"/>
    <n v="21328188"/>
    <s v="3000014861690004"/>
    <s v="CIVIL"/>
    <d v="2023-06-26T00:00:00"/>
    <d v="2023-07-04T19:00:44"/>
    <m/>
    <d v="2023-07-04T00:00:00"/>
    <n v="385"/>
    <n v="13886"/>
    <s v="60599752"/>
    <s v="60599752"/>
    <m/>
    <m/>
    <n v="22757198"/>
    <m/>
    <m/>
    <m/>
    <s v="SOLFIN"/>
    <s v="SOLFIN"/>
    <s v="CCMS"/>
    <n v="21328188"/>
    <n v="2661.24"/>
    <m/>
    <s v="N"/>
    <n v="2"/>
    <d v="2023-07-04T19:01:07"/>
    <s v="Y"/>
    <s v="Solicitor Travel Expenses"/>
    <s v="Public Law Children"/>
    <s v="Non Expert Disbursement"/>
    <s v="Adam T Smith"/>
    <s v="Y"/>
    <n v="9.539999999999999"/>
    <n v="0"/>
    <x v="1"/>
    <s v="VALIDATED"/>
    <n v="1"/>
    <s v="01.11.80.308.6300.0000"/>
    <n v="9.539999999999999"/>
    <s v="11"/>
    <s v="6300"/>
    <n v="7232.07"/>
    <n v="9.539999999999999"/>
    <s v="CREDITOR"/>
    <n v="0"/>
    <n v="0"/>
    <n v="0"/>
    <n v="0"/>
    <n v="9.539999999999999"/>
  </r>
  <r>
    <n v="62425307"/>
    <s v="N"/>
    <n v="21344027"/>
    <s v="3000016394920002"/>
    <s v="CIVIL"/>
    <d v="2023-06-30T00:00:00"/>
    <d v="2023-07-07T19:03:00"/>
    <m/>
    <d v="2023-07-07T00:00:00"/>
    <n v="385"/>
    <n v="13886"/>
    <s v="62425307"/>
    <s v="62425307"/>
    <m/>
    <m/>
    <n v="22798220"/>
    <m/>
    <m/>
    <m/>
    <s v="SOLFIN"/>
    <s v="SOLFIN"/>
    <s v="CCMS"/>
    <n v="21344027"/>
    <n v="751.05"/>
    <m/>
    <s v="N"/>
    <n v="5"/>
    <d v="2023-07-07T19:03:21"/>
    <s v="Y"/>
    <s v="Routine Telephone Call"/>
    <s v="Care Remuneration Hourly Rates"/>
    <s v="Profit Cost"/>
    <s v="Denise Herman"/>
    <s v="Y"/>
    <n v="8.49"/>
    <n v="1.7"/>
    <x v="9"/>
    <s v="VALIDATED"/>
    <n v="1"/>
    <s v="01.11.80.308.6100.0000"/>
    <n v="8.49"/>
    <s v="11"/>
    <s v="6100"/>
    <n v="7232.07"/>
    <n v="8.49"/>
    <s v="CREDITOR"/>
    <n v="0"/>
    <n v="0"/>
    <n v="0"/>
    <n v="0"/>
    <n v="8.49"/>
  </r>
  <r>
    <n v="62167060"/>
    <s v="N"/>
    <n v="21318417"/>
    <s v="3000016180580001"/>
    <s v="CIVIL"/>
    <d v="2023-06-26T00:00:00"/>
    <d v="2023-07-03T19:01:49"/>
    <m/>
    <d v="2023-07-03T00:00:00"/>
    <n v="385"/>
    <n v="13886"/>
    <s v="62167060"/>
    <s v="62167060"/>
    <m/>
    <m/>
    <n v="22757194"/>
    <m/>
    <m/>
    <m/>
    <s v="SOLFIN"/>
    <s v="SOLFIN"/>
    <s v="CCMS"/>
    <n v="21318417"/>
    <n v="1679.13"/>
    <m/>
    <s v="N"/>
    <n v="13"/>
    <d v="2023-07-03T19:01:55"/>
    <s v="Y"/>
    <s v="Report - Welfare report"/>
    <s v="Care Remuneration Hourly Rates"/>
    <s v="Profit Cost"/>
    <s v="Adam Smith"/>
    <s v="Y"/>
    <n v="26.86"/>
    <n v="5.37"/>
    <x v="3"/>
    <s v="VALIDATED"/>
    <n v="1"/>
    <s v="01.11.80.305.6100.0000"/>
    <n v="26.86"/>
    <s v="11"/>
    <s v="6100"/>
    <n v="7232.07"/>
    <n v="26.86"/>
    <s v="CREDITOR"/>
    <n v="0"/>
    <n v="0"/>
    <n v="0"/>
    <n v="0"/>
    <n v="26.86"/>
  </r>
  <r>
    <n v="60599752"/>
    <s v="N"/>
    <n v="21328188"/>
    <s v="3000014861690004"/>
    <s v="CIVIL"/>
    <d v="2023-06-26T00:00:00"/>
    <d v="2023-07-04T19:00:44"/>
    <m/>
    <d v="2023-07-04T00:00:00"/>
    <n v="385"/>
    <n v="13886"/>
    <s v="60599752"/>
    <s v="60599752"/>
    <m/>
    <m/>
    <n v="22757198"/>
    <m/>
    <m/>
    <m/>
    <s v="SOLFIN"/>
    <s v="SOLFIN"/>
    <s v="CCMS"/>
    <n v="21328188"/>
    <n v="2661.24"/>
    <m/>
    <s v="N"/>
    <n v="7"/>
    <d v="2023-07-04T19:01:07"/>
    <s v="Y"/>
    <s v="Solicitors Fixed Fee"/>
    <s v="Public Law Children"/>
    <s v="Profit Cost"/>
    <s v="Adam T Smith"/>
    <s v="Y"/>
    <n v="1510"/>
    <n v="302"/>
    <x v="1"/>
    <s v="VALIDATED"/>
    <n v="1"/>
    <s v="01.11.80.308.6100.0000"/>
    <n v="1510"/>
    <s v="11"/>
    <s v="6100"/>
    <n v="7232.07"/>
    <n v="1510"/>
    <s v="CREDITOR"/>
    <n v="0"/>
    <n v="0"/>
    <n v="0"/>
    <n v="0"/>
    <n v="1510"/>
  </r>
  <r>
    <n v="60599752"/>
    <s v="N"/>
    <n v="21328188"/>
    <s v="3000014861690004"/>
    <s v="CIVIL"/>
    <d v="2023-06-26T00:00:00"/>
    <d v="2023-07-04T19:00:44"/>
    <m/>
    <d v="2023-07-04T00:00:00"/>
    <n v="385"/>
    <n v="13886"/>
    <s v="60599752"/>
    <s v="60599752"/>
    <m/>
    <m/>
    <n v="22757198"/>
    <m/>
    <m/>
    <m/>
    <s v="SOLFIN"/>
    <s v="SOLFIN"/>
    <s v="CCMS"/>
    <n v="21328188"/>
    <n v="2661.24"/>
    <m/>
    <s v="N"/>
    <n v="5"/>
    <d v="2023-07-04T19:01:07"/>
    <s v="Y"/>
    <s v="Final Hearing - 1 Day"/>
    <s v="Public Law Children"/>
    <s v="Advocacy"/>
    <s v="Adam T Smith"/>
    <s v="Y"/>
    <n v="556.88"/>
    <n v="111.38"/>
    <x v="1"/>
    <s v="VALIDATED"/>
    <n v="1"/>
    <s v="01.11.80.308.6100.0000"/>
    <n v="556.88"/>
    <s v="11"/>
    <s v="6100"/>
    <n v="7232.07"/>
    <n v="556.88"/>
    <s v="CREDITOR"/>
    <n v="0"/>
    <n v="0"/>
    <n v="0"/>
    <n v="0"/>
    <n v="556.88"/>
  </r>
  <r>
    <n v="61858876"/>
    <s v="N"/>
    <n v="21327819"/>
    <s v="3000015918870002"/>
    <s v="CIVIL"/>
    <d v="2023-06-26T00:00:00"/>
    <d v="2023-07-04T19:00:44"/>
    <m/>
    <d v="2023-07-04T00:00:00"/>
    <n v="385"/>
    <n v="13886"/>
    <s v="61858876"/>
    <s v="61858876"/>
    <m/>
    <m/>
    <n v="22757188"/>
    <m/>
    <m/>
    <m/>
    <s v="SOLFIN"/>
    <s v="SOLFIN"/>
    <s v="CCMS"/>
    <n v="21327819"/>
    <n v="3250.88"/>
    <m/>
    <s v="N"/>
    <n v="17"/>
    <d v="2023-07-04T19:00:55"/>
    <s v="Y"/>
    <s v="Preparation - other"/>
    <s v="Prescribed Hourly Rates"/>
    <s v="Profit Cost"/>
    <s v="Adam Smith"/>
    <s v="Y"/>
    <n v="25.25"/>
    <n v="5.05"/>
    <x v="1"/>
    <s v="VALIDATED"/>
    <n v="1"/>
    <s v="01.11.80.307.6100.0000"/>
    <n v="25.25"/>
    <s v="11"/>
    <s v="6100"/>
    <n v="7232.07"/>
    <n v="25.25"/>
    <s v="CREDITOR"/>
    <n v="0"/>
    <n v="0"/>
    <n v="0"/>
    <n v="0"/>
    <n v="25.25"/>
  </r>
  <r>
    <n v="61858876"/>
    <s v="N"/>
    <n v="21327819"/>
    <s v="3000015918870002"/>
    <s v="CIVIL"/>
    <d v="2023-06-26T00:00:00"/>
    <d v="2023-07-04T19:00:44"/>
    <m/>
    <d v="2023-07-04T00:00:00"/>
    <n v="385"/>
    <n v="13886"/>
    <s v="61858876"/>
    <s v="61858876"/>
    <m/>
    <m/>
    <n v="22757188"/>
    <m/>
    <m/>
    <m/>
    <s v="SOLFIN"/>
    <s v="SOLFIN"/>
    <s v="CCMS"/>
    <n v="21327819"/>
    <n v="3250.88"/>
    <m/>
    <s v="N"/>
    <n v="13"/>
    <d v="2023-07-04T19:00:55"/>
    <s v="Y"/>
    <s v="Routine Letter In"/>
    <s v="Prescribed Hourly Rates"/>
    <s v="Profit Cost"/>
    <s v="Adam Smith"/>
    <s v="Y"/>
    <n v="335.34"/>
    <n v="67.06999999999999"/>
    <x v="1"/>
    <s v="VALIDATED"/>
    <n v="1"/>
    <s v="01.11.80.307.6100.0000"/>
    <n v="335.34"/>
    <s v="11"/>
    <s v="6100"/>
    <n v="7232.07"/>
    <n v="335.34"/>
    <s v="CREDITOR"/>
    <n v="0"/>
    <n v="0"/>
    <n v="0"/>
    <n v="0"/>
    <n v="335.34"/>
  </r>
  <r>
    <n v="60599946"/>
    <s v="N"/>
    <n v="21319181"/>
    <s v="3000014861790001"/>
    <s v="CIVIL"/>
    <d v="2023-06-26T00:00:00"/>
    <d v="2023-07-03T19:01:49"/>
    <m/>
    <d v="2023-07-03T00:00:00"/>
    <n v="385"/>
    <n v="13886"/>
    <s v="60599946"/>
    <s v="60599946"/>
    <m/>
    <m/>
    <n v="22757196"/>
    <m/>
    <m/>
    <m/>
    <s v="SOLFIN"/>
    <s v="SOLFIN"/>
    <s v="CCMS"/>
    <n v="21319181"/>
    <n v="0"/>
    <m/>
    <s v="N"/>
    <n v="1"/>
    <d v="2023-07-03T19:02:14"/>
    <s v="N"/>
    <s v="NIL BILL"/>
    <s v="Public Law Children"/>
    <s v="Profit Cost"/>
    <s v="Adam T Smith"/>
    <s v="N"/>
    <n v="0"/>
    <n v="0"/>
    <x v="3"/>
    <s v="VALIDATED"/>
    <n v="1"/>
    <s v="01.11.80.308.6100.0000"/>
    <n v="0"/>
    <s v="11"/>
    <s v="6100"/>
    <n v="7232.07"/>
    <n v="0"/>
    <s v="CREDITOR"/>
    <n v="0"/>
    <n v="0"/>
    <n v="0"/>
    <n v="0"/>
    <n v="0"/>
  </r>
  <r>
    <n v="60599752"/>
    <s v="N"/>
    <n v="21328188"/>
    <s v="3000014861690004"/>
    <s v="CIVIL"/>
    <d v="2023-06-26T00:00:00"/>
    <d v="2023-07-04T19:00:44"/>
    <m/>
    <d v="2023-07-04T00:00:00"/>
    <n v="385"/>
    <n v="13886"/>
    <s v="60599752"/>
    <s v="60599752"/>
    <m/>
    <m/>
    <n v="22757198"/>
    <m/>
    <m/>
    <m/>
    <s v="SOLFIN"/>
    <s v="SOLFIN"/>
    <s v="CCMS"/>
    <n v="21328188"/>
    <n v="2661.24"/>
    <m/>
    <s v="N"/>
    <n v="1"/>
    <d v="2023-07-04T19:01:07"/>
    <s v="Y"/>
    <s v="Solicitor Travel Expenses"/>
    <s v="Public Law Children"/>
    <s v="Non Expert Disbursement"/>
    <s v="Adam T Smith"/>
    <s v="Y"/>
    <n v="2.25"/>
    <n v="0"/>
    <x v="1"/>
    <s v="VALIDATED"/>
    <n v="1"/>
    <s v="01.11.80.308.6300.0000"/>
    <n v="2.25"/>
    <s v="11"/>
    <s v="6300"/>
    <n v="7232.07"/>
    <n v="2.25"/>
    <s v="CREDITOR"/>
    <n v="0"/>
    <n v="0"/>
    <n v="0"/>
    <n v="0"/>
    <n v="2.25"/>
  </r>
  <r>
    <n v="61858876"/>
    <s v="N"/>
    <n v="21327819"/>
    <s v="3000015918870002"/>
    <s v="CIVIL"/>
    <d v="2023-06-26T00:00:00"/>
    <d v="2023-07-04T19:00:44"/>
    <m/>
    <d v="2023-07-04T00:00:00"/>
    <n v="385"/>
    <n v="13886"/>
    <s v="61858876"/>
    <s v="61858876"/>
    <m/>
    <m/>
    <n v="22757188"/>
    <m/>
    <m/>
    <m/>
    <s v="SOLFIN"/>
    <s v="SOLFIN"/>
    <s v="CCMS"/>
    <n v="21327819"/>
    <n v="3250.88"/>
    <m/>
    <s v="N"/>
    <n v="8"/>
    <d v="2023-07-04T19:00:55"/>
    <s v="Y"/>
    <s v="Preparation - other"/>
    <s v="Prescribed Hourly Rates"/>
    <s v="Profit Cost"/>
    <s v="Adam Smith"/>
    <s v="Y"/>
    <n v="6.31"/>
    <n v="1.26"/>
    <x v="1"/>
    <s v="VALIDATED"/>
    <n v="1"/>
    <s v="01.11.80.307.6100.0000"/>
    <n v="6.31"/>
    <s v="11"/>
    <s v="6100"/>
    <n v="7232.07"/>
    <n v="6.31"/>
    <s v="CREDITOR"/>
    <n v="0"/>
    <n v="0"/>
    <n v="0"/>
    <n v="0"/>
    <n v="6.31"/>
  </r>
  <r>
    <n v="61858876"/>
    <s v="N"/>
    <n v="21327819"/>
    <s v="3000015918870002"/>
    <s v="CIVIL"/>
    <d v="2023-06-26T00:00:00"/>
    <d v="2023-07-04T19:00:44"/>
    <m/>
    <d v="2023-07-04T00:00:00"/>
    <n v="385"/>
    <n v="13886"/>
    <s v="61858876"/>
    <s v="61858876"/>
    <m/>
    <m/>
    <n v="22757188"/>
    <m/>
    <m/>
    <m/>
    <s v="SOLFIN"/>
    <s v="SOLFIN"/>
    <s v="CCMS"/>
    <n v="21327819"/>
    <n v="3250.88"/>
    <m/>
    <s v="N"/>
    <n v="25"/>
    <d v="2023-07-04T19:00:55"/>
    <s v="Y"/>
    <s v="Preparation - other"/>
    <s v="Prescribed Hourly Rates"/>
    <s v="Profit Cost"/>
    <s v="Adam Smith"/>
    <s v="Y"/>
    <n v="18.94"/>
    <n v="3.79"/>
    <x v="1"/>
    <s v="VALIDATED"/>
    <n v="1"/>
    <s v="01.11.80.307.6100.0000"/>
    <n v="18.94"/>
    <s v="11"/>
    <s v="6100"/>
    <n v="7232.07"/>
    <n v="18.94"/>
    <s v="CREDITOR"/>
    <n v="0"/>
    <n v="0"/>
    <n v="0"/>
    <n v="0"/>
    <n v="18.94"/>
  </r>
  <r>
    <n v="62167060"/>
    <s v="N"/>
    <n v="21318417"/>
    <s v="3000016180580001"/>
    <s v="CIVIL"/>
    <d v="2023-06-26T00:00:00"/>
    <d v="2023-07-03T19:01:49"/>
    <m/>
    <d v="2023-07-03T00:00:00"/>
    <n v="385"/>
    <n v="13886"/>
    <s v="62167060"/>
    <s v="62167060"/>
    <m/>
    <m/>
    <n v="22757194"/>
    <m/>
    <m/>
    <m/>
    <s v="SOLFIN"/>
    <s v="SOLFIN"/>
    <s v="CCMS"/>
    <n v="21318417"/>
    <n v="1679.13"/>
    <m/>
    <s v="N"/>
    <n v="17"/>
    <d v="2023-07-03T19:01:55"/>
    <s v="Y"/>
    <s v="Preparation - other"/>
    <s v="Care Remuneration Hourly Rates"/>
    <s v="Profit Cost"/>
    <s v="Adam Smith"/>
    <s v="Y"/>
    <n v="6.72"/>
    <n v="1.34"/>
    <x v="3"/>
    <s v="VALIDATED"/>
    <n v="1"/>
    <s v="01.11.80.305.6100.0000"/>
    <n v="6.72"/>
    <s v="11"/>
    <s v="6100"/>
    <n v="7232.07"/>
    <n v="6.72"/>
    <s v="CREDITOR"/>
    <n v="0"/>
    <n v="0"/>
    <n v="0"/>
    <n v="0"/>
    <n v="6.72"/>
  </r>
  <r>
    <n v="62425307"/>
    <s v="N"/>
    <n v="21344027"/>
    <s v="3000016394920002"/>
    <s v="CIVIL"/>
    <d v="2023-06-30T00:00:00"/>
    <d v="2023-07-07T19:03:00"/>
    <m/>
    <d v="2023-07-07T00:00:00"/>
    <n v="385"/>
    <n v="13886"/>
    <s v="62425307"/>
    <s v="62425307"/>
    <m/>
    <m/>
    <n v="22798220"/>
    <m/>
    <m/>
    <m/>
    <s v="SOLFIN"/>
    <s v="SOLFIN"/>
    <s v="CCMS"/>
    <n v="21344027"/>
    <n v="751.05"/>
    <m/>
    <s v="N"/>
    <n v="18"/>
    <d v="2023-07-07T19:03:21"/>
    <s v="Y"/>
    <s v="Preparation - drafting bill/claim f"/>
    <s v="Care Remuneration Hourly Rates"/>
    <s v="Profit Cost"/>
    <s v="Cost Draftsman"/>
    <s v="Y"/>
    <n v="58.41"/>
    <n v="11.68"/>
    <x v="9"/>
    <s v="VALIDATED"/>
    <n v="1"/>
    <s v="01.11.80.308.6100.0000"/>
    <n v="58.41"/>
    <s v="11"/>
    <s v="6100"/>
    <n v="7232.07"/>
    <n v="58.41"/>
    <s v="CREDITOR"/>
    <n v="0"/>
    <n v="0"/>
    <n v="0"/>
    <n v="0"/>
    <n v="58.41"/>
  </r>
  <r>
    <n v="61858876"/>
    <s v="N"/>
    <n v="21327819"/>
    <s v="3000015918870002"/>
    <s v="CIVIL"/>
    <d v="2023-06-26T00:00:00"/>
    <d v="2023-07-04T19:00:44"/>
    <m/>
    <d v="2023-07-04T00:00:00"/>
    <n v="385"/>
    <n v="13886"/>
    <s v="61858876"/>
    <s v="61858876"/>
    <m/>
    <m/>
    <n v="22757188"/>
    <m/>
    <m/>
    <m/>
    <s v="SOLFIN"/>
    <s v="SOLFIN"/>
    <s v="CCMS"/>
    <n v="21327819"/>
    <n v="3250.88"/>
    <m/>
    <s v="N"/>
    <n v="22"/>
    <d v="2023-07-04T19:00:55"/>
    <s v="Y"/>
    <s v="Preparation - drafting statement"/>
    <s v="Prescribed Hourly Rates"/>
    <s v="Profit Cost"/>
    <s v="Adam Smith"/>
    <s v="Y"/>
    <n v="25.25"/>
    <n v="5.05"/>
    <x v="1"/>
    <s v="VALIDATED"/>
    <n v="1"/>
    <s v="01.11.80.307.6100.0000"/>
    <n v="25.25"/>
    <s v="11"/>
    <s v="6100"/>
    <n v="7232.07"/>
    <n v="25.25"/>
    <s v="CREDITOR"/>
    <n v="0"/>
    <n v="0"/>
    <n v="0"/>
    <n v="0"/>
    <n v="25.25"/>
  </r>
  <r>
    <n v="62425307"/>
    <s v="N"/>
    <n v="21344027"/>
    <s v="3000016394920002"/>
    <s v="CIVIL"/>
    <d v="2023-06-30T00:00:00"/>
    <d v="2023-07-07T19:03:00"/>
    <m/>
    <d v="2023-07-07T00:00:00"/>
    <n v="385"/>
    <n v="13886"/>
    <s v="62425307"/>
    <s v="62425307"/>
    <m/>
    <m/>
    <n v="22798220"/>
    <m/>
    <m/>
    <m/>
    <s v="SOLFIN"/>
    <s v="SOLFIN"/>
    <s v="CCMS"/>
    <n v="21344027"/>
    <n v="751.05"/>
    <m/>
    <s v="N"/>
    <n v="10"/>
    <d v="2023-07-07T19:03:21"/>
    <s v="Y"/>
    <s v="Attendance upon client"/>
    <s v="Care Remuneration Hourly Rates"/>
    <s v="Profit Cost"/>
    <s v="Hannah Williams"/>
    <s v="Y"/>
    <n v="23.36"/>
    <n v="4.67"/>
    <x v="9"/>
    <s v="VALIDATED"/>
    <n v="1"/>
    <s v="01.11.80.308.6100.0000"/>
    <n v="23.36"/>
    <s v="11"/>
    <s v="6100"/>
    <n v="7232.07"/>
    <n v="23.36"/>
    <s v="CREDITOR"/>
    <n v="0"/>
    <n v="0"/>
    <n v="0"/>
    <n v="0"/>
    <n v="23.36"/>
  </r>
  <r>
    <n v="61858876"/>
    <s v="N"/>
    <n v="21327819"/>
    <s v="3000015918870002"/>
    <s v="CIVIL"/>
    <d v="2023-06-26T00:00:00"/>
    <d v="2023-07-04T19:00:44"/>
    <m/>
    <d v="2023-07-04T00:00:00"/>
    <n v="385"/>
    <n v="13886"/>
    <s v="61858876"/>
    <s v="61858876"/>
    <m/>
    <m/>
    <n v="22757188"/>
    <m/>
    <m/>
    <m/>
    <s v="SOLFIN"/>
    <s v="SOLFIN"/>
    <s v="CCMS"/>
    <n v="21327819"/>
    <n v="3250.88"/>
    <m/>
    <s v="N"/>
    <n v="3"/>
    <d v="2023-07-04T19:00:55"/>
    <s v="Y"/>
    <s v="Preparation - drafting statement"/>
    <s v="Prescribed Hourly Rates"/>
    <s v="Profit Cost"/>
    <s v="Adam Smith"/>
    <s v="Y"/>
    <n v="107.33"/>
    <n v="21.47"/>
    <x v="1"/>
    <s v="VALIDATED"/>
    <n v="1"/>
    <s v="01.11.80.307.6100.0000"/>
    <n v="107.33"/>
    <s v="11"/>
    <s v="6100"/>
    <n v="7232.07"/>
    <n v="107.33"/>
    <s v="CREDITOR"/>
    <n v="0"/>
    <n v="0"/>
    <n v="0"/>
    <n v="0"/>
    <n v="107.33"/>
  </r>
  <r>
    <n v="59792988"/>
    <s v="N"/>
    <n v="21337813"/>
    <s v="3000014157920032"/>
    <s v="CIVIL"/>
    <d v="2023-06-30T00:00:00"/>
    <d v="2023-07-06T19:21:01"/>
    <m/>
    <d v="2023-07-06T00:00:00"/>
    <n v="401"/>
    <n v="14008"/>
    <s v="59792988"/>
    <s v="59792988"/>
    <m/>
    <m/>
    <n v="22795840"/>
    <m/>
    <m/>
    <m/>
    <s v="SOLPOA"/>
    <s v="SOLPOA"/>
    <s v="CCMS"/>
    <n v="21337813"/>
    <n v="200.7"/>
    <m/>
    <s v="N"/>
    <n v="1"/>
    <d v="2023-07-06T19:21:08"/>
    <s v="N"/>
    <s v="Expert Cost"/>
    <s v="Expert Cost"/>
    <s v="Expert Disbursement"/>
    <s v="Stephanie Vyas"/>
    <s v="N"/>
    <n v="167.25"/>
    <n v="33.45"/>
    <x v="4"/>
    <s v="VALIDATED"/>
    <n v="1"/>
    <s v="01.11.80.308.2012.0000"/>
    <n v="167.25"/>
    <s v="11"/>
    <s v="2012"/>
    <n v="167.25"/>
    <n v="167.25"/>
    <s v="CREDITOR"/>
    <n v="167.25"/>
    <n v="0"/>
    <n v="0"/>
    <n v="0"/>
    <n v="0"/>
  </r>
  <r>
    <n v="62095857"/>
    <s v="N"/>
    <n v="21339884"/>
    <s v="3000016098560001RC"/>
    <s v="CIVIL"/>
    <d v="2023-06-19T00:00:00"/>
    <d v="2023-07-06T19:54:22"/>
    <m/>
    <d v="2023-07-06T00:00:00"/>
    <n v="409"/>
    <n v="14052"/>
    <s v="62095857"/>
    <s v="62095857"/>
    <m/>
    <m/>
    <m/>
    <m/>
    <m/>
    <m/>
    <s v="SOLRECOUP"/>
    <s v="SOLRECOUP"/>
    <s v="POARECOUP"/>
    <n v="21339884"/>
    <n v="-120"/>
    <m/>
    <s v="Y"/>
    <n v="1"/>
    <d v="2023-07-06T19:54:22"/>
    <s v="N"/>
    <m/>
    <m/>
    <s v="Non Expert Disbursement"/>
    <m/>
    <s v="N"/>
    <n v="-100"/>
    <n v="0"/>
    <x v="4"/>
    <s v="VALIDATED"/>
    <n v="1"/>
    <s v="01.11.80.302.2013.0000"/>
    <n v="-100"/>
    <s v="11"/>
    <s v="2013"/>
    <n v="21177.37"/>
    <n v="-100"/>
    <s v="CREDITOR"/>
    <n v="0"/>
    <n v="0"/>
    <n v="-100"/>
    <n v="0"/>
    <n v="0"/>
  </r>
  <r>
    <n v="62095857"/>
    <s v="N"/>
    <n v="21339884"/>
    <s v="3000016098560001RC"/>
    <s v="CIVIL"/>
    <d v="2023-06-19T00:00:00"/>
    <d v="2023-07-06T19:54:22"/>
    <m/>
    <d v="2023-07-06T00:00:00"/>
    <n v="409"/>
    <n v="14052"/>
    <s v="62095857"/>
    <s v="62095857"/>
    <m/>
    <m/>
    <m/>
    <m/>
    <m/>
    <m/>
    <s v="SOLRECOUP"/>
    <s v="SOLRECOUP"/>
    <s v="POARECOUP"/>
    <n v="21339884"/>
    <n v="-120"/>
    <m/>
    <s v="Y"/>
    <n v="2"/>
    <d v="2023-07-06T19:54:22"/>
    <s v="N"/>
    <m/>
    <m/>
    <s v="Non Expert Disbursement"/>
    <m/>
    <s v="N"/>
    <n v="0"/>
    <n v="-20"/>
    <x v="4"/>
    <s v="VALIDATED"/>
    <n v="1"/>
    <s v="01.11.80.302.2013.0000"/>
    <n v="-20"/>
    <s v="11"/>
    <s v="2013"/>
    <n v="21177.37"/>
    <n v="-20"/>
    <s v="CREDITOR"/>
    <n v="0"/>
    <n v="0"/>
    <n v="-20"/>
    <n v="0"/>
    <n v="0"/>
  </r>
  <r>
    <n v="59614799"/>
    <s v="N"/>
    <n v="21393129"/>
    <s v="3000014015350001RC"/>
    <s v="CIVIL"/>
    <d v="2023-06-21T00:00:00"/>
    <d v="2023-07-18T19:33:39"/>
    <m/>
    <d v="2023-07-18T00:00:00"/>
    <n v="409"/>
    <n v="14052"/>
    <s v="59614799"/>
    <s v="59614799"/>
    <m/>
    <m/>
    <m/>
    <m/>
    <m/>
    <m/>
    <s v="SOLRECOUP"/>
    <s v="SOLRECOUP"/>
    <s v="POARECOUP"/>
    <n v="21393129"/>
    <n v="-120"/>
    <m/>
    <s v="Y"/>
    <n v="1"/>
    <d v="2023-07-18T19:33:39"/>
    <s v="N"/>
    <m/>
    <m/>
    <s v="Expert Disbursement"/>
    <m/>
    <s v="N"/>
    <n v="-100"/>
    <n v="0"/>
    <x v="14"/>
    <s v="VALIDATED"/>
    <n v="1"/>
    <s v="01.11.80.302.2013.0000"/>
    <n v="-100"/>
    <s v="11"/>
    <s v="2013"/>
    <n v="21177.37"/>
    <n v="-100"/>
    <s v="CREDITOR"/>
    <n v="0"/>
    <n v="0"/>
    <n v="-100"/>
    <n v="0"/>
    <n v="0"/>
  </r>
  <r>
    <n v="59614799"/>
    <s v="N"/>
    <n v="21393129"/>
    <s v="3000014015350001RC"/>
    <s v="CIVIL"/>
    <d v="2023-06-21T00:00:00"/>
    <d v="2023-07-18T19:33:39"/>
    <m/>
    <d v="2023-07-18T00:00:00"/>
    <n v="409"/>
    <n v="14052"/>
    <s v="59614799"/>
    <s v="59614799"/>
    <m/>
    <m/>
    <m/>
    <m/>
    <m/>
    <m/>
    <s v="SOLRECOUP"/>
    <s v="SOLRECOUP"/>
    <s v="POARECOUP"/>
    <n v="21393129"/>
    <n v="-120"/>
    <m/>
    <s v="Y"/>
    <n v="2"/>
    <d v="2023-07-18T19:33:39"/>
    <s v="N"/>
    <m/>
    <m/>
    <s v="Expert Disbursement"/>
    <m/>
    <s v="N"/>
    <n v="0"/>
    <n v="-20"/>
    <x v="14"/>
    <s v="VALIDATED"/>
    <n v="1"/>
    <s v="01.11.80.302.2013.0000"/>
    <n v="-20"/>
    <s v="11"/>
    <s v="2013"/>
    <n v="21177.37"/>
    <n v="-20"/>
    <s v="CREDITOR"/>
    <n v="0"/>
    <n v="0"/>
    <n v="-20"/>
    <n v="0"/>
    <n v="0"/>
  </r>
  <r>
    <n v="59614799"/>
    <s v="N"/>
    <n v="21393133"/>
    <s v="3000014015350011RC"/>
    <s v="CIVIL"/>
    <d v="2023-06-21T00:00:00"/>
    <d v="2023-07-18T19:33:39"/>
    <m/>
    <d v="2023-07-18T00:00:00"/>
    <n v="409"/>
    <n v="14052"/>
    <s v="59614799"/>
    <s v="59614799"/>
    <m/>
    <m/>
    <m/>
    <m/>
    <m/>
    <m/>
    <s v="SOLRECOUP"/>
    <s v="SOLRECOUP"/>
    <s v="POARECOUP"/>
    <n v="21393133"/>
    <n v="-96.5"/>
    <m/>
    <s v="Y"/>
    <n v="2"/>
    <d v="2023-07-18T19:33:39"/>
    <s v="N"/>
    <m/>
    <m/>
    <s v="Non Expert Disbursement"/>
    <m/>
    <s v="N"/>
    <n v="0"/>
    <n v="0"/>
    <x v="14"/>
    <s v="VALIDATED"/>
    <n v="1"/>
    <s v="01.11.80.000.0000.0000"/>
    <n v="0"/>
    <s v="11"/>
    <s v="0000"/>
    <n v="21177.37"/>
    <n v="0"/>
    <s v="CREDITOR"/>
    <n v="0"/>
    <n v="0"/>
    <n v="0"/>
    <n v="0"/>
    <n v="0"/>
  </r>
  <r>
    <n v="59614799"/>
    <s v="N"/>
    <n v="21393133"/>
    <s v="3000014015350011RC"/>
    <s v="CIVIL"/>
    <d v="2023-06-21T00:00:00"/>
    <d v="2023-07-18T19:33:39"/>
    <m/>
    <d v="2023-07-18T00:00:00"/>
    <n v="409"/>
    <n v="14052"/>
    <s v="59614799"/>
    <s v="59614799"/>
    <m/>
    <m/>
    <m/>
    <m/>
    <m/>
    <m/>
    <s v="SOLRECOUP"/>
    <s v="SOLRECOUP"/>
    <s v="POARECOUP"/>
    <n v="21393133"/>
    <n v="-96.5"/>
    <m/>
    <s v="Y"/>
    <n v="1"/>
    <d v="2023-07-18T19:33:39"/>
    <s v="N"/>
    <m/>
    <m/>
    <s v="Non Expert Disbursement"/>
    <m/>
    <s v="N"/>
    <n v="-96.5"/>
    <n v="0"/>
    <x v="14"/>
    <s v="VALIDATED"/>
    <n v="1"/>
    <s v="01.11.80.302.2013.0000"/>
    <n v="-96.5"/>
    <s v="11"/>
    <s v="2013"/>
    <n v="21177.37"/>
    <n v="-96.5"/>
    <s v="CREDITOR"/>
    <n v="0"/>
    <n v="0"/>
    <n v="-96.5"/>
    <n v="0"/>
    <n v="0"/>
  </r>
  <r>
    <n v="59614799"/>
    <s v="N"/>
    <n v="21393135"/>
    <s v="3000014015350012RC"/>
    <s v="CIVIL"/>
    <d v="2023-06-21T00:00:00"/>
    <d v="2023-07-18T19:33:39"/>
    <m/>
    <d v="2023-07-18T00:00:00"/>
    <n v="409"/>
    <n v="14052"/>
    <s v="59614799"/>
    <s v="59614799"/>
    <m/>
    <m/>
    <m/>
    <m/>
    <m/>
    <m/>
    <s v="SOLRECOUP"/>
    <s v="SOLRECOUP"/>
    <s v="POARECOUP"/>
    <n v="21393135"/>
    <n v="-2518.9"/>
    <m/>
    <s v="Y"/>
    <n v="2"/>
    <d v="2023-07-18T19:33:39"/>
    <s v="N"/>
    <m/>
    <m/>
    <s v="Non Expert Disbursement"/>
    <m/>
    <s v="N"/>
    <n v="0"/>
    <n v="0"/>
    <x v="14"/>
    <s v="VALIDATED"/>
    <n v="1"/>
    <s v="01.11.80.000.0000.0000"/>
    <n v="0"/>
    <s v="11"/>
    <s v="0000"/>
    <n v="21177.37"/>
    <n v="0"/>
    <s v="CREDITOR"/>
    <n v="0"/>
    <n v="0"/>
    <n v="0"/>
    <n v="0"/>
    <n v="0"/>
  </r>
  <r>
    <n v="59614799"/>
    <s v="N"/>
    <n v="21393135"/>
    <s v="3000014015350012RC"/>
    <s v="CIVIL"/>
    <d v="2023-06-21T00:00:00"/>
    <d v="2023-07-18T19:33:39"/>
    <m/>
    <d v="2023-07-18T00:00:00"/>
    <n v="409"/>
    <n v="14052"/>
    <s v="59614799"/>
    <s v="59614799"/>
    <m/>
    <m/>
    <m/>
    <m/>
    <m/>
    <m/>
    <s v="SOLRECOUP"/>
    <s v="SOLRECOUP"/>
    <s v="POARECOUP"/>
    <n v="21393135"/>
    <n v="-2518.9"/>
    <m/>
    <s v="Y"/>
    <n v="1"/>
    <d v="2023-07-18T19:33:39"/>
    <s v="N"/>
    <m/>
    <m/>
    <s v="Non Expert Disbursement"/>
    <m/>
    <s v="N"/>
    <n v="-2518.9"/>
    <n v="0"/>
    <x v="14"/>
    <s v="VALIDATED"/>
    <n v="1"/>
    <s v="01.11.80.302.2013.0000"/>
    <n v="-2518.9"/>
    <s v="11"/>
    <s v="2013"/>
    <n v="21177.37"/>
    <n v="-2518.9"/>
    <s v="CREDITOR"/>
    <n v="0"/>
    <n v="0"/>
    <n v="-2518.9"/>
    <n v="0"/>
    <n v="0"/>
  </r>
  <r>
    <n v="59614799"/>
    <s v="N"/>
    <n v="21393138"/>
    <s v="3000014015350009RC"/>
    <s v="CIVIL"/>
    <d v="2023-06-21T00:00:00"/>
    <d v="2023-07-18T19:33:39"/>
    <m/>
    <d v="2023-07-18T00:00:00"/>
    <n v="409"/>
    <n v="14052"/>
    <s v="59614799"/>
    <s v="59614799"/>
    <m/>
    <m/>
    <m/>
    <m/>
    <m/>
    <m/>
    <s v="SOLRECOUP"/>
    <s v="SOLRECOUP"/>
    <s v="POARECOUP"/>
    <n v="21393138"/>
    <n v="-167"/>
    <m/>
    <s v="Y"/>
    <n v="2"/>
    <d v="2023-07-18T19:33:39"/>
    <s v="N"/>
    <m/>
    <m/>
    <s v="Non Expert Disbursement"/>
    <m/>
    <s v="N"/>
    <n v="0"/>
    <n v="0"/>
    <x v="14"/>
    <s v="VALIDATED"/>
    <n v="1"/>
    <s v="01.11.80.000.0000.0000"/>
    <n v="0"/>
    <s v="11"/>
    <s v="0000"/>
    <n v="21177.37"/>
    <n v="0"/>
    <s v="CREDITOR"/>
    <n v="0"/>
    <n v="0"/>
    <n v="0"/>
    <n v="0"/>
    <n v="0"/>
  </r>
  <r>
    <n v="59614799"/>
    <s v="N"/>
    <n v="21393138"/>
    <s v="3000014015350009RC"/>
    <s v="CIVIL"/>
    <d v="2023-06-21T00:00:00"/>
    <d v="2023-07-18T19:33:39"/>
    <m/>
    <d v="2023-07-18T00:00:00"/>
    <n v="409"/>
    <n v="14052"/>
    <s v="59614799"/>
    <s v="59614799"/>
    <m/>
    <m/>
    <m/>
    <m/>
    <m/>
    <m/>
    <s v="SOLRECOUP"/>
    <s v="SOLRECOUP"/>
    <s v="POARECOUP"/>
    <n v="21393138"/>
    <n v="-167"/>
    <m/>
    <s v="Y"/>
    <n v="1"/>
    <d v="2023-07-18T19:33:39"/>
    <s v="N"/>
    <m/>
    <m/>
    <s v="Non Expert Disbursement"/>
    <m/>
    <s v="N"/>
    <n v="-167"/>
    <n v="0"/>
    <x v="14"/>
    <s v="VALIDATED"/>
    <n v="1"/>
    <s v="01.11.80.302.2013.0000"/>
    <n v="-167"/>
    <s v="11"/>
    <s v="2013"/>
    <n v="21177.37"/>
    <n v="-167"/>
    <s v="CREDITOR"/>
    <n v="0"/>
    <n v="0"/>
    <n v="-167"/>
    <n v="0"/>
    <n v="0"/>
  </r>
  <r>
    <n v="59614799"/>
    <s v="N"/>
    <n v="21393139"/>
    <s v="3000014015350008RC"/>
    <s v="CIVIL"/>
    <d v="2023-06-21T00:00:00"/>
    <d v="2023-07-18T19:33:39"/>
    <m/>
    <d v="2023-07-18T00:00:00"/>
    <n v="409"/>
    <n v="14052"/>
    <s v="59614799"/>
    <s v="59614799"/>
    <m/>
    <m/>
    <m/>
    <m/>
    <m/>
    <m/>
    <s v="SOLRECOUP"/>
    <s v="SOLRECOUP"/>
    <s v="POARECOUP"/>
    <n v="21393139"/>
    <n v="-167"/>
    <m/>
    <s v="Y"/>
    <n v="1"/>
    <d v="2023-07-18T19:33:39"/>
    <s v="N"/>
    <m/>
    <m/>
    <s v="Non Expert Disbursement"/>
    <m/>
    <s v="N"/>
    <n v="-167"/>
    <n v="0"/>
    <x v="14"/>
    <s v="VALIDATED"/>
    <n v="1"/>
    <s v="01.11.80.302.2013.0000"/>
    <n v="-167"/>
    <s v="11"/>
    <s v="2013"/>
    <n v="21177.37"/>
    <n v="-167"/>
    <s v="CREDITOR"/>
    <n v="0"/>
    <n v="0"/>
    <n v="-167"/>
    <n v="0"/>
    <n v="0"/>
  </r>
  <r>
    <n v="59614799"/>
    <s v="N"/>
    <n v="21393139"/>
    <s v="3000014015350008RC"/>
    <s v="CIVIL"/>
    <d v="2023-06-21T00:00:00"/>
    <d v="2023-07-18T19:33:39"/>
    <m/>
    <d v="2023-07-18T00:00:00"/>
    <n v="409"/>
    <n v="14052"/>
    <s v="59614799"/>
    <s v="59614799"/>
    <m/>
    <m/>
    <m/>
    <m/>
    <m/>
    <m/>
    <s v="SOLRECOUP"/>
    <s v="SOLRECOUP"/>
    <s v="POARECOUP"/>
    <n v="21393139"/>
    <n v="-167"/>
    <m/>
    <s v="Y"/>
    <n v="2"/>
    <d v="2023-07-18T19:33:39"/>
    <s v="N"/>
    <m/>
    <m/>
    <s v="Non Expert Disbursement"/>
    <m/>
    <s v="N"/>
    <n v="0"/>
    <n v="0"/>
    <x v="14"/>
    <s v="VALIDATED"/>
    <n v="1"/>
    <s v="01.11.80.000.0000.0000"/>
    <n v="0"/>
    <s v="11"/>
    <s v="0000"/>
    <n v="21177.37"/>
    <n v="0"/>
    <s v="CREDITOR"/>
    <n v="0"/>
    <n v="0"/>
    <n v="0"/>
    <n v="0"/>
    <n v="0"/>
  </r>
  <r>
    <n v="59614799"/>
    <s v="N"/>
    <n v="21393148"/>
    <s v="3000014015350016RC"/>
    <s v="CIVIL"/>
    <d v="2023-06-21T00:00:00"/>
    <d v="2023-07-18T19:33:39"/>
    <m/>
    <d v="2023-07-18T00:00:00"/>
    <n v="409"/>
    <n v="14052"/>
    <s v="59614799"/>
    <s v="59614799"/>
    <m/>
    <m/>
    <m/>
    <m/>
    <m/>
    <m/>
    <s v="SOLRECOUP"/>
    <s v="SOLRECOUP"/>
    <s v="POARECOUP"/>
    <n v="21393148"/>
    <n v="-167"/>
    <m/>
    <s v="Y"/>
    <n v="2"/>
    <d v="2023-07-18T19:33:39"/>
    <s v="N"/>
    <m/>
    <m/>
    <s v="Non Expert Disbursement"/>
    <m/>
    <s v="N"/>
    <n v="0"/>
    <n v="0"/>
    <x v="14"/>
    <s v="VALIDATED"/>
    <n v="1"/>
    <s v="01.11.80.000.0000.0000"/>
    <n v="0"/>
    <s v="11"/>
    <s v="0000"/>
    <n v="21177.37"/>
    <n v="0"/>
    <s v="CREDITOR"/>
    <n v="0"/>
    <n v="0"/>
    <n v="0"/>
    <n v="0"/>
    <n v="0"/>
  </r>
  <r>
    <n v="59614799"/>
    <s v="N"/>
    <n v="21393148"/>
    <s v="3000014015350016RC"/>
    <s v="CIVIL"/>
    <d v="2023-06-21T00:00:00"/>
    <d v="2023-07-18T19:33:39"/>
    <m/>
    <d v="2023-07-18T00:00:00"/>
    <n v="409"/>
    <n v="14052"/>
    <s v="59614799"/>
    <s v="59614799"/>
    <m/>
    <m/>
    <m/>
    <m/>
    <m/>
    <m/>
    <s v="SOLRECOUP"/>
    <s v="SOLRECOUP"/>
    <s v="POARECOUP"/>
    <n v="21393148"/>
    <n v="-167"/>
    <m/>
    <s v="Y"/>
    <n v="1"/>
    <d v="2023-07-18T19:33:39"/>
    <s v="N"/>
    <m/>
    <m/>
    <s v="Non Expert Disbursement"/>
    <m/>
    <s v="N"/>
    <n v="-167"/>
    <n v="0"/>
    <x v="14"/>
    <s v="VALIDATED"/>
    <n v="1"/>
    <s v="01.11.80.302.2013.0000"/>
    <n v="-167"/>
    <s v="11"/>
    <s v="2013"/>
    <n v="21177.37"/>
    <n v="-167"/>
    <s v="CREDITOR"/>
    <n v="0"/>
    <n v="0"/>
    <n v="-167"/>
    <n v="0"/>
    <n v="0"/>
  </r>
  <r>
    <n v="61808219"/>
    <s v="N"/>
    <n v="21387992"/>
    <s v="3000015880140001RC"/>
    <s v="CIVIL"/>
    <d v="2023-06-27T00:00:00"/>
    <d v="2023-07-17T19:42:13"/>
    <m/>
    <d v="2023-07-17T00:00:00"/>
    <n v="409"/>
    <n v="14052"/>
    <s v="61808219"/>
    <s v="61808219"/>
    <m/>
    <m/>
    <m/>
    <m/>
    <m/>
    <m/>
    <s v="SOLRECOUP"/>
    <s v="SOLRECOUP"/>
    <s v="POARECOUP"/>
    <n v="21387992"/>
    <n v="-470.8"/>
    <m/>
    <s v="Y"/>
    <n v="2"/>
    <d v="2023-07-17T19:42:14"/>
    <s v="N"/>
    <m/>
    <m/>
    <s v="Non Expert Disbursement"/>
    <m/>
    <s v="N"/>
    <n v="0"/>
    <n v="-78.47"/>
    <x v="8"/>
    <s v="VALIDATED"/>
    <n v="1"/>
    <s v="01.11.80.308.2013.0000"/>
    <n v="-78.47"/>
    <s v="11"/>
    <s v="2013"/>
    <n v="21177.37"/>
    <n v="-78.47"/>
    <s v="CREDITOR"/>
    <n v="0"/>
    <n v="0"/>
    <n v="-78.47"/>
    <n v="0"/>
    <n v="0"/>
  </r>
  <r>
    <n v="61808219"/>
    <s v="N"/>
    <n v="21387992"/>
    <s v="3000015880140001RC"/>
    <s v="CIVIL"/>
    <d v="2023-06-27T00:00:00"/>
    <d v="2023-07-17T19:42:13"/>
    <m/>
    <d v="2023-07-17T00:00:00"/>
    <n v="409"/>
    <n v="14052"/>
    <s v="61808219"/>
    <s v="61808219"/>
    <m/>
    <m/>
    <m/>
    <m/>
    <m/>
    <m/>
    <s v="SOLRECOUP"/>
    <s v="SOLRECOUP"/>
    <s v="POARECOUP"/>
    <n v="21387992"/>
    <n v="-470.8"/>
    <m/>
    <s v="Y"/>
    <n v="1"/>
    <d v="2023-07-17T19:42:14"/>
    <s v="N"/>
    <m/>
    <m/>
    <s v="Non Expert Disbursement"/>
    <m/>
    <s v="N"/>
    <n v="-392.33"/>
    <n v="0"/>
    <x v="8"/>
    <s v="VALIDATED"/>
    <n v="1"/>
    <s v="01.11.80.308.2013.0000"/>
    <n v="-392.33"/>
    <s v="11"/>
    <s v="2013"/>
    <n v="21177.37"/>
    <n v="-392.33"/>
    <s v="CREDITOR"/>
    <n v="0"/>
    <n v="0"/>
    <n v="-392.33"/>
    <n v="0"/>
    <n v="0"/>
  </r>
  <r>
    <n v="59614799"/>
    <s v="N"/>
    <n v="21392014"/>
    <s v="3000014015350017"/>
    <s v="CIVIL"/>
    <d v="2023-06-21T00:00:00"/>
    <d v="2023-07-18T19:00:27"/>
    <m/>
    <d v="2023-07-18T00:00:00"/>
    <n v="409"/>
    <n v="14052"/>
    <s v="59614799"/>
    <s v="59614799"/>
    <m/>
    <m/>
    <n v="22732876"/>
    <m/>
    <m/>
    <m/>
    <s v="SOLFIN"/>
    <s v="SOLFIN"/>
    <s v="CCMS"/>
    <n v="21392014"/>
    <n v="10835.83"/>
    <m/>
    <s v="N"/>
    <n v="89"/>
    <d v="2023-07-18T19:00:35"/>
    <s v="Y"/>
    <s v="Preparation - drafting statement"/>
    <s v="Prescribed Hourly Rates"/>
    <s v="Profit Cost"/>
    <s v="EAC"/>
    <s v="Y"/>
    <n v="43.92"/>
    <n v="8.779999999999999"/>
    <x v="14"/>
    <s v="VALIDATED"/>
    <n v="1"/>
    <s v="01.11.80.302.6100.0000"/>
    <n v="43.92"/>
    <s v="11"/>
    <s v="6100"/>
    <n v="21177.37"/>
    <n v="43.92"/>
    <s v="CREDITOR"/>
    <n v="0"/>
    <n v="0"/>
    <n v="0"/>
    <n v="0"/>
    <n v="43.92"/>
  </r>
  <r>
    <n v="59614799"/>
    <s v="N"/>
    <n v="21392014"/>
    <s v="3000014015350017"/>
    <s v="CIVIL"/>
    <d v="2023-06-21T00:00:00"/>
    <d v="2023-07-18T19:00:27"/>
    <m/>
    <d v="2023-07-18T00:00:00"/>
    <n v="409"/>
    <n v="14052"/>
    <s v="59614799"/>
    <s v="59614799"/>
    <m/>
    <m/>
    <n v="22732876"/>
    <m/>
    <m/>
    <m/>
    <s v="SOLFIN"/>
    <s v="SOLFIN"/>
    <s v="CCMS"/>
    <n v="21392014"/>
    <n v="10835.83"/>
    <m/>
    <s v="N"/>
    <n v="10"/>
    <d v="2023-07-18T19:00:35"/>
    <s v="Y"/>
    <s v="Preparation - drafting application"/>
    <s v="Prescribed Hourly Rates"/>
    <s v="Profit Cost"/>
    <s v="ZH"/>
    <s v="Y"/>
    <n v="43.92"/>
    <n v="8.779999999999999"/>
    <x v="14"/>
    <s v="VALIDATED"/>
    <n v="1"/>
    <s v="01.11.80.302.6100.0000"/>
    <n v="43.92"/>
    <s v="11"/>
    <s v="6100"/>
    <n v="21177.37"/>
    <n v="43.92"/>
    <s v="CREDITOR"/>
    <n v="0"/>
    <n v="0"/>
    <n v="0"/>
    <n v="0"/>
    <n v="43.92"/>
  </r>
  <r>
    <n v="59614799"/>
    <s v="N"/>
    <n v="21392014"/>
    <s v="3000014015350017"/>
    <s v="CIVIL"/>
    <d v="2023-06-21T00:00:00"/>
    <d v="2023-07-18T19:00:27"/>
    <m/>
    <d v="2023-07-18T00:00:00"/>
    <n v="409"/>
    <n v="14052"/>
    <s v="59614799"/>
    <s v="59614799"/>
    <m/>
    <m/>
    <n v="22732876"/>
    <m/>
    <m/>
    <m/>
    <s v="SOLFIN"/>
    <s v="SOLFIN"/>
    <s v="CCMS"/>
    <n v="21392014"/>
    <n v="10835.83"/>
    <m/>
    <s v="N"/>
    <n v="19"/>
    <d v="2023-07-18T19:00:35"/>
    <s v="Y"/>
    <s v="Preparation - drafting instructions"/>
    <s v="Prescribed Hourly Rates"/>
    <s v="Profit Cost"/>
    <s v="ZH"/>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21"/>
    <d v="2023-07-18T19:00:35"/>
    <s v="Y"/>
    <s v="Preparation - Periodic file review"/>
    <s v="Prescribed Hourly Rates"/>
    <s v="Profit Cost"/>
    <s v="CJD"/>
    <s v="Y"/>
    <n v="16.47"/>
    <n v="3.29"/>
    <x v="14"/>
    <s v="VALIDATED"/>
    <n v="1"/>
    <s v="01.11.80.302.6100.0000"/>
    <n v="16.47"/>
    <s v="11"/>
    <s v="6100"/>
    <n v="21177.37"/>
    <n v="16.47"/>
    <s v="CREDITOR"/>
    <n v="0"/>
    <n v="0"/>
    <n v="0"/>
    <n v="0"/>
    <n v="16.47"/>
  </r>
  <r>
    <n v="62014187"/>
    <s v="N"/>
    <n v="21327682"/>
    <s v="3000016055150003"/>
    <s v="CIVIL"/>
    <d v="2023-06-23T00:00:00"/>
    <d v="2023-07-04T19:00:44"/>
    <m/>
    <d v="2023-07-04T00:00:00"/>
    <n v="409"/>
    <n v="14052"/>
    <s v="62014187"/>
    <s v="62014187"/>
    <m/>
    <m/>
    <n v="22754796"/>
    <m/>
    <m/>
    <m/>
    <s v="SOLFIN"/>
    <s v="SOLFIN"/>
    <s v="CCMS"/>
    <n v="21327682"/>
    <n v="6192.83"/>
    <m/>
    <s v="N"/>
    <n v="8"/>
    <d v="2023-07-04T19:00:52"/>
    <s v="Y"/>
    <s v="Solicitors Fixed Fee"/>
    <s v="Public Law Children"/>
    <s v="Profit Cost"/>
    <s v="hd"/>
    <s v="Y"/>
    <n v="2616"/>
    <n v="523.2"/>
    <x v="1"/>
    <s v="VALIDATED"/>
    <n v="1"/>
    <s v="01.11.80.308.6100.0000"/>
    <n v="2616"/>
    <s v="11"/>
    <s v="6100"/>
    <n v="21177.37"/>
    <n v="2616"/>
    <s v="CREDITOR"/>
    <n v="0"/>
    <n v="0"/>
    <n v="0"/>
    <n v="0"/>
    <n v="2616"/>
  </r>
  <r>
    <n v="62406700"/>
    <s v="N"/>
    <n v="21318485"/>
    <s v="3000016368870001"/>
    <s v="CIVIL"/>
    <d v="2023-06-23T00:00:00"/>
    <d v="2023-07-03T19:01:49"/>
    <m/>
    <d v="2023-07-03T00:00:00"/>
    <n v="409"/>
    <n v="14052"/>
    <s v="62406700"/>
    <s v="62406700"/>
    <m/>
    <m/>
    <n v="22755984"/>
    <m/>
    <m/>
    <m/>
    <s v="SOLPOA"/>
    <s v="SOLPOA"/>
    <s v="CCMS"/>
    <n v="21318485"/>
    <n v="120"/>
    <m/>
    <s v="N"/>
    <n v="1"/>
    <d v="2023-07-03T19:01:57"/>
    <s v="N"/>
    <s v="Non Expert Disbursement - Domestic "/>
    <s v="Non Expert Disbursement - Dome"/>
    <s v="Non Expert Disbursement"/>
    <s v="eac"/>
    <s v="N"/>
    <n v="100"/>
    <n v="20"/>
    <x v="3"/>
    <s v="VALIDATED"/>
    <n v="1"/>
    <s v="01.11.80.302.2012.0000"/>
    <n v="100"/>
    <s v="11"/>
    <s v="2012"/>
    <n v="21177.37"/>
    <n v="100"/>
    <s v="CREDITOR"/>
    <n v="100"/>
    <n v="0"/>
    <n v="0"/>
    <n v="0"/>
    <n v="0"/>
  </r>
  <r>
    <n v="59614799"/>
    <s v="N"/>
    <n v="21392014"/>
    <s v="3000014015350017"/>
    <s v="CIVIL"/>
    <d v="2023-06-21T00:00:00"/>
    <d v="2023-07-18T19:00:27"/>
    <m/>
    <d v="2023-07-18T00:00:00"/>
    <n v="409"/>
    <n v="14052"/>
    <s v="59614799"/>
    <s v="59614799"/>
    <m/>
    <m/>
    <n v="22732876"/>
    <m/>
    <m/>
    <m/>
    <s v="SOLFIN"/>
    <s v="SOLFIN"/>
    <s v="CCMS"/>
    <n v="21392014"/>
    <n v="10835.83"/>
    <m/>
    <s v="N"/>
    <n v="4"/>
    <d v="2023-07-18T19:00:35"/>
    <s v="Y"/>
    <s v="Court Fee"/>
    <s v="Prescribed Hourly Rates"/>
    <s v="Non Expert Disbursement"/>
    <s v="XXX"/>
    <s v="Y"/>
    <n v="167"/>
    <n v="0"/>
    <x v="14"/>
    <s v="VALIDATED"/>
    <n v="1"/>
    <s v="01.11.80.302.6300.0000"/>
    <n v="167"/>
    <s v="11"/>
    <s v="6300"/>
    <n v="21177.37"/>
    <n v="167"/>
    <s v="CREDITOR"/>
    <n v="0"/>
    <n v="0"/>
    <n v="0"/>
    <n v="0"/>
    <n v="167"/>
  </r>
  <r>
    <n v="59614799"/>
    <s v="N"/>
    <n v="21392014"/>
    <s v="3000014015350017"/>
    <s v="CIVIL"/>
    <d v="2023-06-21T00:00:00"/>
    <d v="2023-07-18T19:00:27"/>
    <m/>
    <d v="2023-07-18T00:00:00"/>
    <n v="409"/>
    <n v="14052"/>
    <s v="59614799"/>
    <s v="59614799"/>
    <m/>
    <m/>
    <n v="22732876"/>
    <m/>
    <m/>
    <m/>
    <s v="SOLFIN"/>
    <s v="SOLFIN"/>
    <s v="CCMS"/>
    <n v="21392014"/>
    <n v="10835.83"/>
    <m/>
    <s v="N"/>
    <n v="5"/>
    <d v="2023-07-18T19:00:35"/>
    <s v="Y"/>
    <s v="PNC Check fees"/>
    <s v="Prescribed Hourly Rates"/>
    <s v="Non Expert Disbursement"/>
    <s v="XXX"/>
    <s v="Y"/>
    <n v="96.5"/>
    <n v="0"/>
    <x v="14"/>
    <s v="VALIDATED"/>
    <n v="1"/>
    <s v="01.11.80.302.6300.0000"/>
    <n v="96.5"/>
    <s v="11"/>
    <s v="6300"/>
    <n v="21177.37"/>
    <n v="96.5"/>
    <s v="CREDITOR"/>
    <n v="0"/>
    <n v="0"/>
    <n v="0"/>
    <n v="0"/>
    <n v="96.5"/>
  </r>
  <r>
    <n v="59614799"/>
    <s v="N"/>
    <n v="21392014"/>
    <s v="3000014015350017"/>
    <s v="CIVIL"/>
    <d v="2023-06-21T00:00:00"/>
    <d v="2023-07-18T19:00:27"/>
    <m/>
    <d v="2023-07-18T00:00:00"/>
    <n v="409"/>
    <n v="14052"/>
    <s v="59614799"/>
    <s v="59614799"/>
    <m/>
    <m/>
    <n v="22732876"/>
    <m/>
    <m/>
    <m/>
    <s v="SOLFIN"/>
    <s v="SOLFIN"/>
    <s v="CCMS"/>
    <n v="21392014"/>
    <n v="10835.83"/>
    <m/>
    <s v="N"/>
    <n v="27"/>
    <d v="2023-07-18T19:00:35"/>
    <s v="Y"/>
    <s v="Preparation - drafting instructions"/>
    <s v="Prescribed Hourly Rates"/>
    <s v="Profit Cost"/>
    <s v="CJD"/>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77"/>
    <d v="2023-07-18T19:00:35"/>
    <s v="Y"/>
    <s v="Attendance upon client"/>
    <s v="Prescribed Hourly Rates"/>
    <s v="Profit Cost"/>
    <s v="OLD"/>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25"/>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82"/>
    <d v="2023-07-18T19:00:35"/>
    <s v="Y"/>
    <s v="Preparation - drafting statement"/>
    <s v="Prescribed Hourly Rates"/>
    <s v="Profit Cost"/>
    <s v="CJD"/>
    <s v="Y"/>
    <n v="38.43"/>
    <n v="7.69"/>
    <x v="14"/>
    <s v="VALIDATED"/>
    <n v="1"/>
    <s v="01.11.80.302.6100.0000"/>
    <n v="38.43"/>
    <s v="11"/>
    <s v="6100"/>
    <n v="21177.37"/>
    <n v="38.43"/>
    <s v="CREDITOR"/>
    <n v="0"/>
    <n v="0"/>
    <n v="0"/>
    <n v="0"/>
    <n v="38.43"/>
  </r>
  <r>
    <n v="62432817"/>
    <s v="N"/>
    <n v="21320038"/>
    <s v="3000016395260001"/>
    <s v="CIVIL"/>
    <d v="2023-06-27T00:00:00"/>
    <d v="2023-07-03T19:04:24"/>
    <m/>
    <d v="2023-07-03T00:00:00"/>
    <n v="409"/>
    <n v="14052"/>
    <s v="62432817"/>
    <s v="62432817"/>
    <m/>
    <m/>
    <n v="22775074"/>
    <m/>
    <m/>
    <m/>
    <s v="SOLPOA"/>
    <s v="SOLPOA"/>
    <s v="CCMS"/>
    <n v="21320038"/>
    <n v="120"/>
    <m/>
    <s v="N"/>
    <n v="1"/>
    <d v="2023-07-03T19:04:29"/>
    <s v="N"/>
    <s v="Non Expert Disbursement - Domestic "/>
    <s v="Non Expert Disbursement - Dome"/>
    <s v="Non Expert Disbursement"/>
    <s v="EAC"/>
    <s v="N"/>
    <n v="100"/>
    <n v="20"/>
    <x v="3"/>
    <s v="VALIDATED"/>
    <n v="1"/>
    <s v="01.11.80.302.2012.0000"/>
    <n v="100"/>
    <s v="11"/>
    <s v="2012"/>
    <n v="21177.37"/>
    <n v="100"/>
    <s v="CREDITOR"/>
    <n v="100"/>
    <n v="0"/>
    <n v="0"/>
    <n v="0"/>
    <n v="0"/>
  </r>
  <r>
    <n v="62337754"/>
    <s v="N"/>
    <n v="21322255"/>
    <s v="3000016324100003"/>
    <s v="CIVIL"/>
    <d v="2023-06-29T00:00:00"/>
    <d v="2023-07-03T19:05:36"/>
    <m/>
    <d v="2023-07-03T00:00:00"/>
    <n v="409"/>
    <n v="14052"/>
    <s v="62337754"/>
    <s v="62337754"/>
    <m/>
    <m/>
    <n v="22792146"/>
    <m/>
    <m/>
    <m/>
    <s v="SOLPOA"/>
    <s v="SOLPOA"/>
    <s v="CCMS"/>
    <n v="21322255"/>
    <n v="2282.52"/>
    <m/>
    <s v="N"/>
    <n v="1"/>
    <d v="2023-07-03T19:05:37"/>
    <s v="N"/>
    <s v="Expert Cost"/>
    <s v="Expert Cost"/>
    <s v="Expert Disbursement"/>
    <s v="Helen Davies"/>
    <s v="N"/>
    <n v="1902.1"/>
    <n v="380.42"/>
    <x v="3"/>
    <s v="VALIDATED"/>
    <n v="1"/>
    <s v="01.11.80.308.2012.0000"/>
    <n v="1902.1"/>
    <s v="11"/>
    <s v="2012"/>
    <n v="21177.37"/>
    <n v="1902.1"/>
    <s v="CREDITOR"/>
    <n v="1902.1"/>
    <n v="0"/>
    <n v="0"/>
    <n v="0"/>
    <n v="0"/>
  </r>
  <r>
    <n v="59614799"/>
    <s v="N"/>
    <n v="21392014"/>
    <s v="3000014015350017"/>
    <s v="CIVIL"/>
    <d v="2023-06-21T00:00:00"/>
    <d v="2023-07-18T19:00:27"/>
    <m/>
    <d v="2023-07-18T00:00:00"/>
    <n v="409"/>
    <n v="14052"/>
    <s v="59614799"/>
    <s v="59614799"/>
    <m/>
    <m/>
    <n v="22732876"/>
    <m/>
    <m/>
    <m/>
    <s v="SOLFIN"/>
    <s v="SOLFIN"/>
    <s v="CCMS"/>
    <n v="21392014"/>
    <n v="10835.83"/>
    <m/>
    <s v="N"/>
    <n v="7"/>
    <d v="2023-07-18T19:00:35"/>
    <s v="Y"/>
    <s v="Level 4 Fixed Fee"/>
    <s v="Domestic Abuse"/>
    <s v="Profit Cost"/>
    <s v="XXX"/>
    <s v="Y"/>
    <n v="507"/>
    <n v="101.41"/>
    <x v="14"/>
    <s v="VALIDATED"/>
    <n v="1"/>
    <s v="01.11.80.302.6100.0000"/>
    <n v="507"/>
    <s v="11"/>
    <s v="6100"/>
    <n v="21177.37"/>
    <n v="507"/>
    <s v="CREDITOR"/>
    <n v="0"/>
    <n v="0"/>
    <n v="0"/>
    <n v="0"/>
    <n v="507"/>
  </r>
  <r>
    <n v="59614799"/>
    <s v="N"/>
    <n v="21392014"/>
    <s v="3000014015350017"/>
    <s v="CIVIL"/>
    <d v="2023-06-21T00:00:00"/>
    <d v="2023-07-18T19:00:27"/>
    <m/>
    <d v="2023-07-18T00:00:00"/>
    <n v="409"/>
    <n v="14052"/>
    <s v="59614799"/>
    <s v="59614799"/>
    <m/>
    <m/>
    <n v="22732876"/>
    <m/>
    <m/>
    <m/>
    <s v="SOLFIN"/>
    <s v="SOLFIN"/>
    <s v="CCMS"/>
    <n v="21392014"/>
    <n v="10835.83"/>
    <m/>
    <s v="N"/>
    <n v="11"/>
    <d v="2023-07-18T19:00:35"/>
    <s v="Y"/>
    <s v="Preparation - Periodic file review"/>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44"/>
    <d v="2023-07-18T19:00:35"/>
    <s v="Y"/>
    <s v="Preparation - drafting instructions"/>
    <s v="Prescribed Hourly Rates"/>
    <s v="Profit Cost"/>
    <s v="ZH"/>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51"/>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40"/>
    <d v="2023-07-18T19:00:35"/>
    <s v="Y"/>
    <s v="Preparation - other"/>
    <s v="Prescribed Hourly Rates"/>
    <s v="Profit Cost"/>
    <s v="ZH"/>
    <s v="Y"/>
    <n v="27.45"/>
    <n v="5.49"/>
    <x v="14"/>
    <s v="VALIDATED"/>
    <n v="1"/>
    <s v="01.11.80.302.6100.0000"/>
    <n v="27.45"/>
    <s v="11"/>
    <s v="6100"/>
    <n v="21177.37"/>
    <n v="27.45"/>
    <s v="CREDITOR"/>
    <n v="0"/>
    <n v="0"/>
    <n v="0"/>
    <n v="0"/>
    <n v="27.45"/>
  </r>
  <r>
    <n v="59614799"/>
    <s v="N"/>
    <n v="21392014"/>
    <s v="3000014015350017"/>
    <s v="CIVIL"/>
    <d v="2023-06-21T00:00:00"/>
    <d v="2023-07-18T19:00:27"/>
    <m/>
    <d v="2023-07-18T00:00:00"/>
    <n v="409"/>
    <n v="14052"/>
    <s v="59614799"/>
    <s v="59614799"/>
    <m/>
    <m/>
    <n v="22732876"/>
    <m/>
    <m/>
    <m/>
    <s v="SOLFIN"/>
    <s v="SOLFIN"/>
    <s v="CCMS"/>
    <n v="21392014"/>
    <n v="10835.83"/>
    <m/>
    <s v="N"/>
    <n v="48"/>
    <d v="2023-07-18T19:00:35"/>
    <s v="Y"/>
    <s v="Preparation - drafting statement"/>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59"/>
    <d v="2023-07-18T19:00:35"/>
    <s v="Y"/>
    <s v="Preparation - other"/>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32"/>
    <d v="2023-07-18T19:00:35"/>
    <s v="Y"/>
    <s v="Preparation - drafting attendance n"/>
    <s v="Prescribed Hourly Rates"/>
    <s v="Profit Cost"/>
    <s v="ZH"/>
    <s v="Y"/>
    <n v="10.98"/>
    <n v="2.2"/>
    <x v="14"/>
    <s v="VALIDATED"/>
    <n v="1"/>
    <s v="01.11.80.302.6100.0000"/>
    <n v="10.98"/>
    <s v="11"/>
    <s v="6100"/>
    <n v="21177.37"/>
    <n v="10.98"/>
    <s v="CREDITOR"/>
    <n v="0"/>
    <n v="0"/>
    <n v="0"/>
    <n v="0"/>
    <n v="10.98"/>
  </r>
  <r>
    <n v="61902580"/>
    <s v="N"/>
    <n v="21318542"/>
    <s v="3000015943260002"/>
    <s v="CIVIL"/>
    <d v="2023-06-15T00:00:00"/>
    <d v="2023-07-03T19:01:49"/>
    <m/>
    <d v="2023-07-03T00:00:00"/>
    <n v="409"/>
    <n v="14052"/>
    <s v="61902580"/>
    <s v="61902580"/>
    <m/>
    <m/>
    <n v="22699704"/>
    <m/>
    <m/>
    <m/>
    <s v="SOLFIN"/>
    <s v="SOLFIN"/>
    <s v="CCMS"/>
    <n v="21318542"/>
    <n v="1161.8"/>
    <m/>
    <s v="N"/>
    <n v="2"/>
    <d v="2023-07-03T19:01:58"/>
    <s v="Y"/>
    <s v="Final Hearing - 1 Day"/>
    <s v="Domestic Abuse"/>
    <s v="Advocacy"/>
    <s v="EAC"/>
    <s v="Y"/>
    <n v="361.17"/>
    <n v="72.23"/>
    <x v="3"/>
    <s v="VALIDATED"/>
    <n v="1"/>
    <s v="01.11.80.302.6100.0000"/>
    <n v="361.17"/>
    <s v="11"/>
    <s v="6100"/>
    <n v="21177.37"/>
    <n v="361.17"/>
    <s v="CREDITOR"/>
    <n v="0"/>
    <n v="0"/>
    <n v="0"/>
    <n v="0"/>
    <n v="361.17"/>
  </r>
  <r>
    <n v="59614799"/>
    <s v="N"/>
    <n v="21392014"/>
    <s v="3000014015350017"/>
    <s v="CIVIL"/>
    <d v="2023-06-21T00:00:00"/>
    <d v="2023-07-18T19:00:27"/>
    <m/>
    <d v="2023-07-18T00:00:00"/>
    <n v="409"/>
    <n v="14052"/>
    <s v="59614799"/>
    <s v="59614799"/>
    <m/>
    <m/>
    <n v="22732876"/>
    <m/>
    <m/>
    <m/>
    <s v="SOLFIN"/>
    <s v="SOLFIN"/>
    <s v="CCMS"/>
    <n v="21392014"/>
    <n v="10835.83"/>
    <m/>
    <s v="N"/>
    <n v="84"/>
    <d v="2023-07-18T19:00:35"/>
    <s v="Y"/>
    <s v="Report - Medical report"/>
    <s v="Prescribed Hourly Rates"/>
    <s v="Profit Cost"/>
    <s v="EAC"/>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27"/>
    <d v="2023-07-18T19:00:35"/>
    <s v="Y"/>
    <s v="Routine Telephone Call"/>
    <s v="Prescribed Hourly Rates"/>
    <s v="Profit Cost"/>
    <s v="EAC"/>
    <s v="Y"/>
    <n v="118.8"/>
    <n v="23.76"/>
    <x v="14"/>
    <s v="VALIDATED"/>
    <n v="1"/>
    <s v="01.11.80.302.6100.0000"/>
    <n v="118.8"/>
    <s v="11"/>
    <s v="6100"/>
    <n v="21177.37"/>
    <n v="118.8"/>
    <s v="CREDITOR"/>
    <n v="0"/>
    <n v="0"/>
    <n v="0"/>
    <n v="0"/>
    <n v="118.8"/>
  </r>
  <r>
    <n v="59614799"/>
    <s v="N"/>
    <n v="21392014"/>
    <s v="3000014015350017"/>
    <s v="CIVIL"/>
    <d v="2023-06-21T00:00:00"/>
    <d v="2023-07-18T19:00:27"/>
    <m/>
    <d v="2023-07-18T00:00:00"/>
    <n v="409"/>
    <n v="14052"/>
    <s v="59614799"/>
    <s v="59614799"/>
    <m/>
    <m/>
    <n v="22732876"/>
    <m/>
    <m/>
    <m/>
    <s v="SOLFIN"/>
    <s v="SOLFIN"/>
    <s v="CCMS"/>
    <n v="21392014"/>
    <n v="10835.83"/>
    <m/>
    <s v="N"/>
    <n v="12"/>
    <d v="2023-07-18T19:00:35"/>
    <s v="Y"/>
    <s v="Preparation - other"/>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79"/>
    <d v="2023-07-18T19:00:35"/>
    <s v="Y"/>
    <s v="Preparation - drafting statement"/>
    <s v="Prescribed Hourly Rates"/>
    <s v="Profit Cost"/>
    <s v="OLD"/>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104"/>
    <d v="2023-07-18T19:00:35"/>
    <s v="Y"/>
    <s v="Attendance upon/with Counsel at Con"/>
    <s v="Prescribed Hourly Rates"/>
    <s v="Profit Cost"/>
    <s v="EAC"/>
    <s v="Y"/>
    <n v="9.720000000000001"/>
    <n v="1.94"/>
    <x v="14"/>
    <s v="VALIDATED"/>
    <n v="1"/>
    <s v="01.11.80.302.6100.0000"/>
    <n v="9.720000000000001"/>
    <s v="11"/>
    <s v="6100"/>
    <n v="21177.37"/>
    <n v="9.720000000000001"/>
    <s v="CREDITOR"/>
    <n v="0"/>
    <n v="0"/>
    <n v="0"/>
    <n v="0"/>
    <n v="9.720000000000001"/>
  </r>
  <r>
    <n v="59614799"/>
    <s v="N"/>
    <n v="21392014"/>
    <s v="3000014015350017"/>
    <s v="CIVIL"/>
    <d v="2023-06-21T00:00:00"/>
    <d v="2023-07-18T19:00:27"/>
    <m/>
    <d v="2023-07-18T00:00:00"/>
    <n v="409"/>
    <n v="14052"/>
    <s v="59614799"/>
    <s v="59614799"/>
    <m/>
    <m/>
    <n v="22732876"/>
    <m/>
    <m/>
    <m/>
    <s v="SOLFIN"/>
    <s v="SOLFIN"/>
    <s v="CCMS"/>
    <n v="21392014"/>
    <n v="10835.83"/>
    <m/>
    <s v="N"/>
    <n v="109"/>
    <d v="2023-07-18T19:00:35"/>
    <s v="Y"/>
    <s v="Preparation - other"/>
    <s v="Prescribed Hourly Rates"/>
    <s v="Profit Cost"/>
    <s v="CJD"/>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95"/>
    <d v="2023-07-18T19:00:35"/>
    <s v="Y"/>
    <s v="Preparation - other"/>
    <s v="Prescribed Hourly Rates"/>
    <s v="Profit Cost"/>
    <s v="CJD"/>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25"/>
    <d v="2023-07-18T19:00:35"/>
    <s v="Y"/>
    <s v="Preparation - drafting bill/claim f"/>
    <s v="Prescribed Hourly Rates"/>
    <s v="Profit Cost"/>
    <s v="BG"/>
    <s v="Y"/>
    <n v="274.5"/>
    <n v="54.9"/>
    <x v="14"/>
    <s v="VALIDATED"/>
    <n v="1"/>
    <s v="01.11.80.302.6100.0000"/>
    <n v="274.5"/>
    <s v="11"/>
    <s v="6100"/>
    <n v="21177.37"/>
    <n v="274.5"/>
    <s v="CREDITOR"/>
    <n v="0"/>
    <n v="0"/>
    <n v="0"/>
    <n v="0"/>
    <n v="274.5"/>
  </r>
  <r>
    <n v="62406852"/>
    <s v="N"/>
    <n v="21318607"/>
    <s v="3000016355470002"/>
    <s v="CIVIL"/>
    <d v="2023-06-23T00:00:00"/>
    <d v="2023-07-03T19:01:49"/>
    <m/>
    <d v="2023-07-03T00:00:00"/>
    <n v="409"/>
    <n v="14052"/>
    <s v="62406852"/>
    <s v="62406852"/>
    <m/>
    <m/>
    <n v="22756032"/>
    <m/>
    <m/>
    <m/>
    <s v="SOLPOA"/>
    <s v="SOLPOA"/>
    <s v="CCMS"/>
    <n v="21318607"/>
    <n v="120"/>
    <m/>
    <s v="N"/>
    <n v="1"/>
    <d v="2023-07-03T19:02:00"/>
    <s v="N"/>
    <s v="Non Expert Disbursement - Domestic "/>
    <s v="Non Expert Disbursement - Dome"/>
    <s v="Non Expert Disbursement"/>
    <s v="EAC"/>
    <s v="N"/>
    <n v="100"/>
    <n v="20"/>
    <x v="3"/>
    <s v="VALIDATED"/>
    <n v="1"/>
    <s v="01.11.80.302.2012.0000"/>
    <n v="100"/>
    <s v="11"/>
    <s v="2012"/>
    <n v="21177.37"/>
    <n v="100"/>
    <s v="CREDITOR"/>
    <n v="100"/>
    <n v="0"/>
    <n v="0"/>
    <n v="0"/>
    <n v="0"/>
  </r>
  <r>
    <n v="61902580"/>
    <s v="N"/>
    <n v="21318542"/>
    <s v="3000015943260002"/>
    <s v="CIVIL"/>
    <d v="2023-06-15T00:00:00"/>
    <d v="2023-07-03T19:01:49"/>
    <m/>
    <d v="2023-07-03T00:00:00"/>
    <n v="409"/>
    <n v="14052"/>
    <s v="61902580"/>
    <s v="61902580"/>
    <m/>
    <m/>
    <n v="22699704"/>
    <m/>
    <m/>
    <m/>
    <s v="SOLFIN"/>
    <s v="SOLFIN"/>
    <s v="CCMS"/>
    <n v="21318542"/>
    <n v="1161.8"/>
    <m/>
    <s v="N"/>
    <n v="3"/>
    <d v="2023-07-03T19:01:58"/>
    <s v="Y"/>
    <s v="Level 4 Fixed Fee"/>
    <s v="Domestic Abuse"/>
    <s v="Profit Cost"/>
    <s v="XXX"/>
    <s v="Y"/>
    <n v="507"/>
    <n v="101.4"/>
    <x v="3"/>
    <s v="VALIDATED"/>
    <n v="1"/>
    <s v="01.11.80.302.6100.0000"/>
    <n v="507"/>
    <s v="11"/>
    <s v="6100"/>
    <n v="21177.37"/>
    <n v="507"/>
    <s v="CREDITOR"/>
    <n v="0"/>
    <n v="0"/>
    <n v="0"/>
    <n v="0"/>
    <n v="507"/>
  </r>
  <r>
    <n v="59614799"/>
    <s v="N"/>
    <n v="21392014"/>
    <s v="3000014015350017"/>
    <s v="CIVIL"/>
    <d v="2023-06-21T00:00:00"/>
    <d v="2023-07-18T19:00:27"/>
    <m/>
    <d v="2023-07-18T00:00:00"/>
    <n v="409"/>
    <n v="14052"/>
    <s v="59614799"/>
    <s v="59614799"/>
    <m/>
    <m/>
    <n v="22732876"/>
    <m/>
    <m/>
    <m/>
    <s v="SOLFIN"/>
    <s v="SOLFIN"/>
    <s v="CCMS"/>
    <n v="21392014"/>
    <n v="10835.83"/>
    <m/>
    <s v="N"/>
    <n v="97"/>
    <d v="2023-07-18T19:00:35"/>
    <s v="Y"/>
    <s v="Preparation - other"/>
    <s v="Prescribed Hourly Rates"/>
    <s v="Profit Cost"/>
    <s v="EAC"/>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58"/>
    <d v="2023-07-18T19:00:35"/>
    <s v="Y"/>
    <s v="Preparation - drafting attendance n"/>
    <s v="Prescribed Hourly Rates"/>
    <s v="Profit Cost"/>
    <s v="ZH"/>
    <s v="Y"/>
    <n v="5.49"/>
    <n v="1.1"/>
    <x v="14"/>
    <s v="VALIDATED"/>
    <n v="1"/>
    <s v="01.11.80.302.6100.0000"/>
    <n v="5.49"/>
    <s v="11"/>
    <s v="6100"/>
    <n v="21177.37"/>
    <n v="5.49"/>
    <s v="CREDITOR"/>
    <n v="0"/>
    <n v="0"/>
    <n v="0"/>
    <n v="0"/>
    <n v="5.49"/>
  </r>
  <r>
    <n v="62278320"/>
    <s v="N"/>
    <n v="21331001"/>
    <s v="3000016241720002"/>
    <s v="CIVIL"/>
    <d v="2023-06-22T00:00:00"/>
    <d v="2023-07-05T19:01:47"/>
    <m/>
    <d v="2023-07-05T00:00:00"/>
    <n v="409"/>
    <n v="14052"/>
    <s v="62278320"/>
    <s v="62278320"/>
    <m/>
    <m/>
    <n v="22747168"/>
    <m/>
    <m/>
    <m/>
    <s v="SOLFIN"/>
    <s v="SOLFIN"/>
    <s v="CCMS"/>
    <n v="21331001"/>
    <n v="1161.8"/>
    <m/>
    <s v="N"/>
    <n v="1"/>
    <d v="2023-07-05T19:02:01"/>
    <s v="Y"/>
    <s v="Process server"/>
    <s v="Domestic Abuse"/>
    <s v="Expert Disbursement"/>
    <s v="XXX"/>
    <s v="Y"/>
    <n v="100"/>
    <n v="20"/>
    <x v="6"/>
    <s v="VALIDATED"/>
    <n v="1"/>
    <s v="01.11.80.302.6300.0000"/>
    <n v="100"/>
    <s v="11"/>
    <s v="6300"/>
    <n v="21177.37"/>
    <n v="100"/>
    <s v="CREDITOR"/>
    <n v="0"/>
    <n v="0"/>
    <n v="0"/>
    <n v="0"/>
    <n v="100"/>
  </r>
  <r>
    <n v="62327522"/>
    <s v="N"/>
    <n v="21344029"/>
    <s v="3000016293570002"/>
    <s v="CIVIL"/>
    <d v="2023-06-27T00:00:00"/>
    <d v="2023-07-07T19:03:00"/>
    <m/>
    <d v="2023-07-07T00:00:00"/>
    <n v="409"/>
    <n v="14052"/>
    <s v="62327522"/>
    <s v="62327522"/>
    <m/>
    <m/>
    <n v="22772054"/>
    <m/>
    <m/>
    <m/>
    <s v="SOLFIN"/>
    <s v="SOLFIN"/>
    <s v="CCMS"/>
    <n v="21344029"/>
    <n v="1259.6"/>
    <m/>
    <s v="N"/>
    <n v="4"/>
    <d v="2023-07-07T19:03:21"/>
    <s v="Y"/>
    <s v="Level 4 Fixed Fee"/>
    <s v="Domestic Abuse"/>
    <s v="Profit Cost"/>
    <s v="XXX"/>
    <s v="Y"/>
    <n v="507"/>
    <n v="101.4"/>
    <x v="9"/>
    <s v="VALIDATED"/>
    <n v="1"/>
    <s v="01.11.80.302.6100.0000"/>
    <n v="507"/>
    <s v="11"/>
    <s v="6100"/>
    <n v="21177.37"/>
    <n v="507"/>
    <s v="CREDITOR"/>
    <n v="0"/>
    <n v="0"/>
    <n v="0"/>
    <n v="0"/>
    <n v="507"/>
  </r>
  <r>
    <n v="62014187"/>
    <s v="N"/>
    <n v="21327682"/>
    <s v="3000016055150003"/>
    <s v="CIVIL"/>
    <d v="2023-06-23T00:00:00"/>
    <d v="2023-07-04T19:00:44"/>
    <m/>
    <d v="2023-07-04T00:00:00"/>
    <n v="409"/>
    <n v="14052"/>
    <s v="62014187"/>
    <s v="62014187"/>
    <m/>
    <m/>
    <n v="22754796"/>
    <m/>
    <m/>
    <m/>
    <s v="SOLFIN"/>
    <s v="SOLFIN"/>
    <s v="CCMS"/>
    <n v="21327682"/>
    <n v="6192.83"/>
    <m/>
    <s v="N"/>
    <n v="3"/>
    <d v="2023-07-04T19:00:52"/>
    <s v="Y"/>
    <s v="Toxicologist"/>
    <s v="Public Law Children"/>
    <s v="Expert Disbursement"/>
    <s v="hd"/>
    <s v="Y"/>
    <n v="27.5"/>
    <n v="5.5"/>
    <x v="1"/>
    <s v="VALIDATED"/>
    <n v="1"/>
    <s v="01.11.80.308.6300.0000"/>
    <n v="27.5"/>
    <s v="11"/>
    <s v="6300"/>
    <n v="21177.37"/>
    <n v="27.5"/>
    <s v="CREDITOR"/>
    <n v="0"/>
    <n v="0"/>
    <n v="0"/>
    <n v="0"/>
    <n v="27.5"/>
  </r>
  <r>
    <n v="62465643"/>
    <s v="N"/>
    <n v="21323102"/>
    <s v="3000016420210001"/>
    <s v="CIVIL"/>
    <d v="2023-06-29T00:00:00"/>
    <d v="2023-07-03T19:05:36"/>
    <m/>
    <d v="2023-07-03T00:00:00"/>
    <n v="409"/>
    <n v="14052"/>
    <s v="62465643"/>
    <s v="62465643"/>
    <m/>
    <m/>
    <n v="22793888"/>
    <m/>
    <m/>
    <m/>
    <s v="SOLPOA"/>
    <s v="SOLPOA"/>
    <s v="CCMS"/>
    <n v="21323102"/>
    <n v="120"/>
    <m/>
    <s v="N"/>
    <n v="1"/>
    <d v="2023-07-03T19:05:41"/>
    <s v="N"/>
    <s v="Non Expert Disbursement - Domestic "/>
    <s v="Non Expert Disbursement - Dome"/>
    <s v="Non Expert Disbursement"/>
    <s v="EAC"/>
    <s v="N"/>
    <n v="100"/>
    <n v="20"/>
    <x v="3"/>
    <s v="VALIDATED"/>
    <n v="1"/>
    <s v="01.11.80.302.2012.0000"/>
    <n v="100"/>
    <s v="11"/>
    <s v="2012"/>
    <n v="21177.37"/>
    <n v="100"/>
    <s v="CREDITOR"/>
    <n v="100"/>
    <n v="0"/>
    <n v="0"/>
    <n v="0"/>
    <n v="0"/>
  </r>
  <r>
    <n v="62327522"/>
    <s v="N"/>
    <n v="21344029"/>
    <s v="3000016293570002"/>
    <s v="CIVIL"/>
    <d v="2023-06-27T00:00:00"/>
    <d v="2023-07-07T19:03:00"/>
    <m/>
    <d v="2023-07-07T00:00:00"/>
    <n v="409"/>
    <n v="14052"/>
    <s v="62327522"/>
    <s v="62327522"/>
    <m/>
    <m/>
    <n v="22772054"/>
    <m/>
    <m/>
    <m/>
    <s v="SOLFIN"/>
    <s v="SOLFIN"/>
    <s v="CCMS"/>
    <n v="21344029"/>
    <n v="1259.6"/>
    <m/>
    <s v="N"/>
    <n v="3"/>
    <d v="2023-07-07T19:03:21"/>
    <s v="Y"/>
    <s v="Final Hearing - 1 Day"/>
    <s v="Domestic Abuse"/>
    <s v="Advocacy"/>
    <s v="EAC"/>
    <s v="Y"/>
    <n v="361.17"/>
    <n v="72.23"/>
    <x v="9"/>
    <s v="VALIDATED"/>
    <n v="1"/>
    <s v="01.11.80.302.6100.0000"/>
    <n v="361.17"/>
    <s v="11"/>
    <s v="6100"/>
    <n v="21177.37"/>
    <n v="361.17"/>
    <s v="CREDITOR"/>
    <n v="0"/>
    <n v="0"/>
    <n v="0"/>
    <n v="0"/>
    <n v="361.17"/>
  </r>
  <r>
    <n v="62226013"/>
    <s v="N"/>
    <n v="21343233"/>
    <s v="3000016210350002"/>
    <s v="CIVIL"/>
    <d v="2023-06-26T00:00:00"/>
    <d v="2023-07-07T19:03:00"/>
    <m/>
    <d v="2023-07-07T00:00:00"/>
    <n v="409"/>
    <n v="14052"/>
    <s v="62226013"/>
    <s v="62226013"/>
    <m/>
    <m/>
    <n v="22764274"/>
    <m/>
    <m/>
    <m/>
    <s v="SOLFIN"/>
    <s v="SOLFIN"/>
    <s v="CCMS"/>
    <n v="21343233"/>
    <n v="1259.6"/>
    <m/>
    <s v="N"/>
    <n v="2"/>
    <d v="2023-07-07T19:03:05"/>
    <s v="Y"/>
    <s v="Hearing Unit 0.00 - 1.00 Hours"/>
    <s v="Domestic Abuse"/>
    <s v="Advocacy"/>
    <s v="EAC"/>
    <s v="Y"/>
    <n v="81.5"/>
    <n v="16.3"/>
    <x v="9"/>
    <s v="VALIDATED"/>
    <n v="1"/>
    <s v="01.11.80.302.6100.0000"/>
    <n v="81.5"/>
    <s v="11"/>
    <s v="6100"/>
    <n v="21177.37"/>
    <n v="81.5"/>
    <s v="CREDITOR"/>
    <n v="0"/>
    <n v="0"/>
    <n v="0"/>
    <n v="0"/>
    <n v="81.5"/>
  </r>
  <r>
    <n v="59614799"/>
    <s v="N"/>
    <n v="21392014"/>
    <s v="3000014015350017"/>
    <s v="CIVIL"/>
    <d v="2023-06-21T00:00:00"/>
    <d v="2023-07-18T19:00:27"/>
    <m/>
    <d v="2023-07-18T00:00:00"/>
    <n v="409"/>
    <n v="14052"/>
    <s v="59614799"/>
    <s v="59614799"/>
    <m/>
    <m/>
    <n v="22732876"/>
    <m/>
    <m/>
    <m/>
    <s v="SOLFIN"/>
    <s v="SOLFIN"/>
    <s v="CCMS"/>
    <n v="21392014"/>
    <n v="10835.83"/>
    <m/>
    <s v="N"/>
    <n v="114"/>
    <d v="2023-07-18T19:00:35"/>
    <s v="Y"/>
    <s v="Attendance upon client"/>
    <s v="Prescribed Hourly Rates"/>
    <s v="Profit Cost"/>
    <s v="EAC"/>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36"/>
    <d v="2023-07-18T19:00:35"/>
    <s v="Y"/>
    <s v="Preparation - Periodic file review"/>
    <s v="Prescribed Hourly Rates"/>
    <s v="Profit Cost"/>
    <s v="ZH"/>
    <s v="Y"/>
    <n v="10.98"/>
    <n v="2.2"/>
    <x v="14"/>
    <s v="VALIDATED"/>
    <n v="1"/>
    <s v="01.11.80.302.6100.0000"/>
    <n v="10.98"/>
    <s v="11"/>
    <s v="6100"/>
    <n v="21177.37"/>
    <n v="10.98"/>
    <s v="CREDITOR"/>
    <n v="0"/>
    <n v="0"/>
    <n v="0"/>
    <n v="0"/>
    <n v="10.98"/>
  </r>
  <r>
    <n v="62407099"/>
    <s v="N"/>
    <n v="21318672"/>
    <s v="3000016348820001"/>
    <s v="CIVIL"/>
    <d v="2023-06-23T00:00:00"/>
    <d v="2023-07-03T19:01:49"/>
    <m/>
    <d v="2023-07-03T00:00:00"/>
    <n v="409"/>
    <n v="14052"/>
    <s v="62407099"/>
    <s v="62407099"/>
    <m/>
    <m/>
    <n v="22756096"/>
    <m/>
    <m/>
    <m/>
    <s v="SOLPOA"/>
    <s v="SOLPOA"/>
    <s v="CCMS"/>
    <n v="21318672"/>
    <n v="120"/>
    <m/>
    <s v="N"/>
    <n v="1"/>
    <d v="2023-07-03T19:02:01"/>
    <s v="N"/>
    <s v="Non Expert Disbursement - Domestic "/>
    <s v="Non Expert Disbursement - Dome"/>
    <s v="Non Expert Disbursement"/>
    <s v="EAC"/>
    <s v="N"/>
    <n v="100"/>
    <n v="20"/>
    <x v="3"/>
    <s v="VALIDATED"/>
    <n v="1"/>
    <s v="01.11.80.302.2012.0000"/>
    <n v="100"/>
    <s v="11"/>
    <s v="2012"/>
    <n v="21177.37"/>
    <n v="100"/>
    <s v="CREDITOR"/>
    <n v="100"/>
    <n v="0"/>
    <n v="0"/>
    <n v="0"/>
    <n v="0"/>
  </r>
  <r>
    <n v="59614799"/>
    <s v="N"/>
    <n v="21392014"/>
    <s v="3000014015350017"/>
    <s v="CIVIL"/>
    <d v="2023-06-21T00:00:00"/>
    <d v="2023-07-18T19:00:27"/>
    <m/>
    <d v="2023-07-18T00:00:00"/>
    <n v="409"/>
    <n v="14052"/>
    <s v="59614799"/>
    <s v="59614799"/>
    <m/>
    <m/>
    <n v="22732876"/>
    <m/>
    <m/>
    <m/>
    <s v="SOLFIN"/>
    <s v="SOLFIN"/>
    <s v="CCMS"/>
    <n v="21392014"/>
    <n v="10835.83"/>
    <m/>
    <s v="N"/>
    <n v="72"/>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12"/>
    <d v="2023-07-18T19:00:35"/>
    <s v="Y"/>
    <s v="Attendance upon client"/>
    <s v="Prescribed Hourly Rates"/>
    <s v="Profit Cost"/>
    <s v="EAC"/>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18"/>
    <d v="2023-07-18T19:00:35"/>
    <s v="Y"/>
    <s v="Preparation - drafting pleadings"/>
    <s v="Prescribed Hourly Rates"/>
    <s v="Profit Cost"/>
    <s v="EAC"/>
    <s v="Y"/>
    <n v="5.49"/>
    <n v="1.1"/>
    <x v="14"/>
    <s v="VALIDATED"/>
    <n v="1"/>
    <s v="01.11.80.302.6100.0000"/>
    <n v="5.49"/>
    <s v="11"/>
    <s v="6100"/>
    <n v="21177.37"/>
    <n v="5.49"/>
    <s v="CREDITOR"/>
    <n v="0"/>
    <n v="0"/>
    <n v="0"/>
    <n v="0"/>
    <n v="5.49"/>
  </r>
  <r>
    <n v="61902580"/>
    <s v="N"/>
    <n v="21324313"/>
    <s v="3000015943260001RC"/>
    <s v="CIVIL"/>
    <d v="2023-06-15T00:00:00"/>
    <d v="2023-07-03T19:42:50"/>
    <m/>
    <d v="2023-07-03T00:00:00"/>
    <n v="409"/>
    <n v="14052"/>
    <s v="61902580"/>
    <s v="61902580"/>
    <m/>
    <m/>
    <m/>
    <m/>
    <m/>
    <m/>
    <s v="SOLRECOUP"/>
    <s v="SOLRECOUP"/>
    <s v="POARECOUP"/>
    <n v="21324313"/>
    <n v="-120"/>
    <m/>
    <s v="Y"/>
    <n v="1"/>
    <d v="2023-07-03T19:42:51"/>
    <s v="N"/>
    <m/>
    <m/>
    <s v="Non Expert Disbursement"/>
    <m/>
    <s v="N"/>
    <n v="-100"/>
    <n v="0"/>
    <x v="3"/>
    <s v="VALIDATED"/>
    <n v="1"/>
    <s v="01.11.80.302.2013.0000"/>
    <n v="-100"/>
    <s v="11"/>
    <s v="2013"/>
    <n v="21177.37"/>
    <n v="-100"/>
    <s v="CREDITOR"/>
    <n v="0"/>
    <n v="0"/>
    <n v="-100"/>
    <n v="0"/>
    <n v="0"/>
  </r>
  <r>
    <n v="61902580"/>
    <s v="N"/>
    <n v="21324313"/>
    <s v="3000015943260001RC"/>
    <s v="CIVIL"/>
    <d v="2023-06-15T00:00:00"/>
    <d v="2023-07-03T19:42:50"/>
    <m/>
    <d v="2023-07-03T00:00:00"/>
    <n v="409"/>
    <n v="14052"/>
    <s v="61902580"/>
    <s v="61902580"/>
    <m/>
    <m/>
    <m/>
    <m/>
    <m/>
    <m/>
    <s v="SOLRECOUP"/>
    <s v="SOLRECOUP"/>
    <s v="POARECOUP"/>
    <n v="21324313"/>
    <n v="-120"/>
    <m/>
    <s v="Y"/>
    <n v="2"/>
    <d v="2023-07-03T19:42:51"/>
    <s v="N"/>
    <m/>
    <m/>
    <s v="Non Expert Disbursement"/>
    <m/>
    <s v="N"/>
    <n v="0"/>
    <n v="-20"/>
    <x v="3"/>
    <s v="VALIDATED"/>
    <n v="1"/>
    <s v="01.11.80.302.2013.0000"/>
    <n v="-20"/>
    <s v="11"/>
    <s v="2013"/>
    <n v="21177.37"/>
    <n v="-20"/>
    <s v="CREDITOR"/>
    <n v="0"/>
    <n v="0"/>
    <n v="-20"/>
    <n v="0"/>
    <n v="0"/>
  </r>
  <r>
    <n v="59614799"/>
    <s v="N"/>
    <n v="21392014"/>
    <s v="3000014015350017"/>
    <s v="CIVIL"/>
    <d v="2023-06-21T00:00:00"/>
    <d v="2023-07-18T19:00:27"/>
    <m/>
    <d v="2023-07-18T00:00:00"/>
    <n v="409"/>
    <n v="14052"/>
    <s v="59614799"/>
    <s v="59614799"/>
    <m/>
    <m/>
    <n v="22732876"/>
    <m/>
    <m/>
    <m/>
    <s v="SOLFIN"/>
    <s v="SOLFIN"/>
    <s v="CCMS"/>
    <n v="21392014"/>
    <n v="10835.83"/>
    <m/>
    <s v="N"/>
    <n v="1"/>
    <d v="2023-07-18T19:00:35"/>
    <s v="Y"/>
    <s v="Process server"/>
    <s v="Domestic Abuse"/>
    <s v="Expert Disbursement"/>
    <s v="XXX"/>
    <s v="Y"/>
    <n v="100"/>
    <n v="20"/>
    <x v="14"/>
    <s v="VALIDATED"/>
    <n v="1"/>
    <s v="01.11.80.302.6300.0000"/>
    <n v="100"/>
    <s v="11"/>
    <s v="6300"/>
    <n v="21177.37"/>
    <n v="100"/>
    <s v="CREDITOR"/>
    <n v="0"/>
    <n v="0"/>
    <n v="0"/>
    <n v="0"/>
    <n v="100"/>
  </r>
  <r>
    <n v="62278320"/>
    <s v="N"/>
    <n v="21333760"/>
    <s v="3000016241720001RC"/>
    <s v="CIVIL"/>
    <d v="2023-06-22T00:00:00"/>
    <d v="2023-07-05T19:42:28"/>
    <m/>
    <d v="2023-07-05T00:00:00"/>
    <n v="409"/>
    <n v="14052"/>
    <s v="62278320"/>
    <s v="62278320"/>
    <m/>
    <m/>
    <m/>
    <m/>
    <m/>
    <m/>
    <s v="SOLRECOUP"/>
    <s v="SOLRECOUP"/>
    <s v="POARECOUP"/>
    <n v="21333760"/>
    <n v="-120"/>
    <m/>
    <s v="Y"/>
    <n v="1"/>
    <d v="2023-07-05T19:42:28"/>
    <s v="N"/>
    <m/>
    <m/>
    <s v="Non Expert Disbursement"/>
    <m/>
    <s v="N"/>
    <n v="-100"/>
    <n v="0"/>
    <x v="6"/>
    <s v="VALIDATED"/>
    <n v="1"/>
    <s v="01.11.80.302.2013.0000"/>
    <n v="-100"/>
    <s v="11"/>
    <s v="2013"/>
    <n v="21177.37"/>
    <n v="-100"/>
    <s v="CREDITOR"/>
    <n v="0"/>
    <n v="0"/>
    <n v="-100"/>
    <n v="0"/>
    <n v="0"/>
  </r>
  <r>
    <n v="62278320"/>
    <s v="N"/>
    <n v="21333760"/>
    <s v="3000016241720001RC"/>
    <s v="CIVIL"/>
    <d v="2023-06-22T00:00:00"/>
    <d v="2023-07-05T19:42:28"/>
    <m/>
    <d v="2023-07-05T00:00:00"/>
    <n v="409"/>
    <n v="14052"/>
    <s v="62278320"/>
    <s v="62278320"/>
    <m/>
    <m/>
    <m/>
    <m/>
    <m/>
    <m/>
    <s v="SOLRECOUP"/>
    <s v="SOLRECOUP"/>
    <s v="POARECOUP"/>
    <n v="21333760"/>
    <n v="-120"/>
    <m/>
    <s v="Y"/>
    <n v="2"/>
    <d v="2023-07-05T19:42:28"/>
    <s v="N"/>
    <m/>
    <m/>
    <s v="Non Expert Disbursement"/>
    <m/>
    <s v="N"/>
    <n v="0"/>
    <n v="-20"/>
    <x v="6"/>
    <s v="VALIDATED"/>
    <n v="1"/>
    <s v="01.11.80.302.2013.0000"/>
    <n v="-20"/>
    <s v="11"/>
    <s v="2013"/>
    <n v="21177.37"/>
    <n v="-20"/>
    <s v="CREDITOR"/>
    <n v="0"/>
    <n v="0"/>
    <n v="-20"/>
    <n v="0"/>
    <n v="0"/>
  </r>
  <r>
    <n v="62014187"/>
    <s v="N"/>
    <n v="21328605"/>
    <s v="3000016055150002RC"/>
    <s v="CIVIL"/>
    <d v="2023-06-23T00:00:00"/>
    <d v="2023-07-04T19:38:21"/>
    <m/>
    <d v="2023-07-04T00:00:00"/>
    <n v="409"/>
    <n v="14052"/>
    <s v="62014187"/>
    <s v="62014187"/>
    <m/>
    <m/>
    <m/>
    <m/>
    <m/>
    <m/>
    <s v="SOLRECOUP"/>
    <s v="SOLRECOUP"/>
    <s v="POARECOUP"/>
    <n v="21328605"/>
    <n v="-811.5"/>
    <m/>
    <s v="Y"/>
    <n v="1"/>
    <d v="2023-07-04T19:38:22"/>
    <s v="N"/>
    <m/>
    <m/>
    <s v="Non Expert Disbursement"/>
    <m/>
    <s v="N"/>
    <n v="-676.25"/>
    <n v="0"/>
    <x v="1"/>
    <s v="VALIDATED"/>
    <n v="1"/>
    <s v="01.11.80.308.2013.0000"/>
    <n v="-676.25"/>
    <s v="11"/>
    <s v="2013"/>
    <n v="21177.37"/>
    <n v="-676.25"/>
    <s v="CREDITOR"/>
    <n v="0"/>
    <n v="0"/>
    <n v="-676.25"/>
    <n v="0"/>
    <n v="0"/>
  </r>
  <r>
    <n v="62014187"/>
    <s v="N"/>
    <n v="21328605"/>
    <s v="3000016055150002RC"/>
    <s v="CIVIL"/>
    <d v="2023-06-23T00:00:00"/>
    <d v="2023-07-04T19:38:21"/>
    <m/>
    <d v="2023-07-04T00:00:00"/>
    <n v="409"/>
    <n v="14052"/>
    <s v="62014187"/>
    <s v="62014187"/>
    <m/>
    <m/>
    <m/>
    <m/>
    <m/>
    <m/>
    <s v="SOLRECOUP"/>
    <s v="SOLRECOUP"/>
    <s v="POARECOUP"/>
    <n v="21328605"/>
    <n v="-811.5"/>
    <m/>
    <s v="Y"/>
    <n v="2"/>
    <d v="2023-07-04T19:38:22"/>
    <s v="N"/>
    <m/>
    <m/>
    <s v="Non Expert Disbursement"/>
    <m/>
    <s v="N"/>
    <n v="0"/>
    <n v="-135.25"/>
    <x v="1"/>
    <s v="VALIDATED"/>
    <n v="1"/>
    <s v="01.11.80.308.2013.0000"/>
    <n v="-135.25"/>
    <s v="11"/>
    <s v="2013"/>
    <n v="21177.37"/>
    <n v="-135.25"/>
    <s v="CREDITOR"/>
    <n v="0"/>
    <n v="0"/>
    <n v="-135.25"/>
    <n v="0"/>
    <n v="0"/>
  </r>
  <r>
    <n v="62014187"/>
    <s v="N"/>
    <n v="21328606"/>
    <s v="3000016055150001RC"/>
    <s v="CIVIL"/>
    <d v="2023-06-23T00:00:00"/>
    <d v="2023-07-04T19:38:21"/>
    <m/>
    <d v="2023-07-04T00:00:00"/>
    <n v="409"/>
    <n v="14052"/>
    <s v="62014187"/>
    <s v="62014187"/>
    <m/>
    <m/>
    <m/>
    <m/>
    <m/>
    <m/>
    <s v="SOLRECOUP"/>
    <s v="SOLRECOUP"/>
    <s v="POARECOUP"/>
    <n v="21328606"/>
    <n v="-33"/>
    <m/>
    <s v="Y"/>
    <n v="2"/>
    <d v="2023-07-04T19:38:22"/>
    <s v="N"/>
    <m/>
    <m/>
    <s v="Non Expert Disbursement"/>
    <m/>
    <s v="N"/>
    <n v="0"/>
    <n v="-5.5"/>
    <x v="1"/>
    <s v="VALIDATED"/>
    <n v="1"/>
    <s v="01.11.80.308.2013.0000"/>
    <n v="-5.5"/>
    <s v="11"/>
    <s v="2013"/>
    <n v="21177.37"/>
    <n v="-5.5"/>
    <s v="CREDITOR"/>
    <n v="0"/>
    <n v="0"/>
    <n v="-5.5"/>
    <n v="0"/>
    <n v="0"/>
  </r>
  <r>
    <n v="62014187"/>
    <s v="N"/>
    <n v="21328606"/>
    <s v="3000016055150001RC"/>
    <s v="CIVIL"/>
    <d v="2023-06-23T00:00:00"/>
    <d v="2023-07-04T19:38:21"/>
    <m/>
    <d v="2023-07-04T00:00:00"/>
    <n v="409"/>
    <n v="14052"/>
    <s v="62014187"/>
    <s v="62014187"/>
    <m/>
    <m/>
    <m/>
    <m/>
    <m/>
    <m/>
    <s v="SOLRECOUP"/>
    <s v="SOLRECOUP"/>
    <s v="POARECOUP"/>
    <n v="21328606"/>
    <n v="-33"/>
    <m/>
    <s v="Y"/>
    <n v="1"/>
    <d v="2023-07-04T19:38:22"/>
    <s v="N"/>
    <m/>
    <m/>
    <s v="Non Expert Disbursement"/>
    <m/>
    <s v="N"/>
    <n v="-27.5"/>
    <n v="0"/>
    <x v="1"/>
    <s v="VALIDATED"/>
    <n v="1"/>
    <s v="01.11.80.308.2013.0000"/>
    <n v="-27.5"/>
    <s v="11"/>
    <s v="2013"/>
    <n v="21177.37"/>
    <n v="-27.5"/>
    <s v="CREDITOR"/>
    <n v="0"/>
    <n v="0"/>
    <n v="-27.5"/>
    <n v="0"/>
    <n v="0"/>
  </r>
  <r>
    <n v="62238310"/>
    <s v="N"/>
    <n v="21328607"/>
    <s v="3000016227250001RC"/>
    <s v="CIVIL"/>
    <d v="2023-06-22T00:00:00"/>
    <d v="2023-07-04T19:38:21"/>
    <m/>
    <d v="2023-07-04T00:00:00"/>
    <n v="409"/>
    <n v="14052"/>
    <s v="62238310"/>
    <s v="62238310"/>
    <m/>
    <m/>
    <m/>
    <m/>
    <m/>
    <m/>
    <s v="SOLRECOUP"/>
    <s v="SOLRECOUP"/>
    <s v="POARECOUP"/>
    <n v="21328607"/>
    <n v="-120"/>
    <m/>
    <s v="Y"/>
    <n v="2"/>
    <d v="2023-07-04T19:38:22"/>
    <s v="N"/>
    <m/>
    <m/>
    <s v="Non Expert Disbursement"/>
    <m/>
    <s v="N"/>
    <n v="0"/>
    <n v="-20"/>
    <x v="1"/>
    <s v="VALIDATED"/>
    <n v="1"/>
    <s v="01.11.80.302.2013.0000"/>
    <n v="-20"/>
    <s v="11"/>
    <s v="2013"/>
    <n v="21177.37"/>
    <n v="-20"/>
    <s v="CREDITOR"/>
    <n v="0"/>
    <n v="0"/>
    <n v="-20"/>
    <n v="0"/>
    <n v="0"/>
  </r>
  <r>
    <n v="62238310"/>
    <s v="N"/>
    <n v="21328607"/>
    <s v="3000016227250001RC"/>
    <s v="CIVIL"/>
    <d v="2023-06-22T00:00:00"/>
    <d v="2023-07-04T19:38:21"/>
    <m/>
    <d v="2023-07-04T00:00:00"/>
    <n v="409"/>
    <n v="14052"/>
    <s v="62238310"/>
    <s v="62238310"/>
    <m/>
    <m/>
    <m/>
    <m/>
    <m/>
    <m/>
    <s v="SOLRECOUP"/>
    <s v="SOLRECOUP"/>
    <s v="POARECOUP"/>
    <n v="21328607"/>
    <n v="-120"/>
    <m/>
    <s v="Y"/>
    <n v="1"/>
    <d v="2023-07-04T19:38:22"/>
    <s v="N"/>
    <m/>
    <m/>
    <s v="Non Expert Disbursement"/>
    <m/>
    <s v="N"/>
    <n v="-100"/>
    <n v="0"/>
    <x v="1"/>
    <s v="VALIDATED"/>
    <n v="1"/>
    <s v="01.11.80.302.2013.0000"/>
    <n v="-100"/>
    <s v="11"/>
    <s v="2013"/>
    <n v="21177.37"/>
    <n v="-100"/>
    <s v="CREDITOR"/>
    <n v="0"/>
    <n v="0"/>
    <n v="-100"/>
    <n v="0"/>
    <n v="0"/>
  </r>
  <r>
    <n v="62124844"/>
    <s v="N"/>
    <n v="21328608"/>
    <s v="3000016140540001RC"/>
    <s v="CIVIL"/>
    <d v="2023-06-15T00:00:00"/>
    <d v="2023-07-04T19:38:21"/>
    <m/>
    <d v="2023-07-04T00:00:00"/>
    <n v="409"/>
    <n v="14052"/>
    <s v="62124844"/>
    <s v="62124844"/>
    <m/>
    <m/>
    <m/>
    <m/>
    <m/>
    <m/>
    <s v="SOLRECOUP"/>
    <s v="SOLRECOUP"/>
    <s v="POARECOUP"/>
    <n v="21328608"/>
    <n v="-120"/>
    <m/>
    <s v="Y"/>
    <n v="2"/>
    <d v="2023-07-04T19:38:22"/>
    <s v="N"/>
    <m/>
    <m/>
    <s v="Non Expert Disbursement"/>
    <m/>
    <s v="N"/>
    <n v="0"/>
    <n v="-20"/>
    <x v="1"/>
    <s v="VALIDATED"/>
    <n v="1"/>
    <s v="01.11.80.302.2013.0000"/>
    <n v="-20"/>
    <s v="11"/>
    <s v="2013"/>
    <n v="21177.37"/>
    <n v="-20"/>
    <s v="CREDITOR"/>
    <n v="0"/>
    <n v="0"/>
    <n v="-20"/>
    <n v="0"/>
    <n v="0"/>
  </r>
  <r>
    <n v="62124844"/>
    <s v="N"/>
    <n v="21328608"/>
    <s v="3000016140540001RC"/>
    <s v="CIVIL"/>
    <d v="2023-06-15T00:00:00"/>
    <d v="2023-07-04T19:38:21"/>
    <m/>
    <d v="2023-07-04T00:00:00"/>
    <n v="409"/>
    <n v="14052"/>
    <s v="62124844"/>
    <s v="62124844"/>
    <m/>
    <m/>
    <m/>
    <m/>
    <m/>
    <m/>
    <s v="SOLRECOUP"/>
    <s v="SOLRECOUP"/>
    <s v="POARECOUP"/>
    <n v="21328608"/>
    <n v="-120"/>
    <m/>
    <s v="Y"/>
    <n v="1"/>
    <d v="2023-07-04T19:38:22"/>
    <s v="N"/>
    <m/>
    <m/>
    <s v="Non Expert Disbursement"/>
    <m/>
    <s v="N"/>
    <n v="-100"/>
    <n v="0"/>
    <x v="1"/>
    <s v="VALIDATED"/>
    <n v="1"/>
    <s v="01.11.80.302.2013.0000"/>
    <n v="-100"/>
    <s v="11"/>
    <s v="2013"/>
    <n v="21177.37"/>
    <n v="-100"/>
    <s v="CREDITOR"/>
    <n v="0"/>
    <n v="0"/>
    <n v="-100"/>
    <n v="0"/>
    <n v="0"/>
  </r>
  <r>
    <n v="62226013"/>
    <s v="N"/>
    <n v="21346267"/>
    <s v="3000016210350001RC"/>
    <s v="CIVIL"/>
    <d v="2023-06-26T00:00:00"/>
    <d v="2023-07-07T19:34:21"/>
    <m/>
    <d v="2023-07-07T00:00:00"/>
    <n v="409"/>
    <n v="14052"/>
    <s v="62226013"/>
    <s v="62226013"/>
    <m/>
    <m/>
    <m/>
    <m/>
    <m/>
    <m/>
    <s v="SOLRECOUP"/>
    <s v="SOLRECOUP"/>
    <s v="POARECOUP"/>
    <n v="21346267"/>
    <n v="-120"/>
    <m/>
    <s v="Y"/>
    <n v="1"/>
    <d v="2023-07-07T19:34:22"/>
    <s v="N"/>
    <m/>
    <m/>
    <s v="Non Expert Disbursement"/>
    <m/>
    <s v="N"/>
    <n v="-100"/>
    <n v="0"/>
    <x v="9"/>
    <s v="VALIDATED"/>
    <n v="1"/>
    <s v="01.11.80.302.2013.0000"/>
    <n v="-100"/>
    <s v="11"/>
    <s v="2013"/>
    <n v="21177.37"/>
    <n v="-100"/>
    <s v="CREDITOR"/>
    <n v="0"/>
    <n v="0"/>
    <n v="-100"/>
    <n v="0"/>
    <n v="0"/>
  </r>
  <r>
    <n v="62226013"/>
    <s v="N"/>
    <n v="21346267"/>
    <s v="3000016210350001RC"/>
    <s v="CIVIL"/>
    <d v="2023-06-26T00:00:00"/>
    <d v="2023-07-07T19:34:21"/>
    <m/>
    <d v="2023-07-07T00:00:00"/>
    <n v="409"/>
    <n v="14052"/>
    <s v="62226013"/>
    <s v="62226013"/>
    <m/>
    <m/>
    <m/>
    <m/>
    <m/>
    <m/>
    <s v="SOLRECOUP"/>
    <s v="SOLRECOUP"/>
    <s v="POARECOUP"/>
    <n v="21346267"/>
    <n v="-120"/>
    <m/>
    <s v="Y"/>
    <n v="2"/>
    <d v="2023-07-07T19:34:22"/>
    <s v="N"/>
    <m/>
    <m/>
    <s v="Non Expert Disbursement"/>
    <m/>
    <s v="N"/>
    <n v="0"/>
    <n v="-20"/>
    <x v="9"/>
    <s v="VALIDATED"/>
    <n v="1"/>
    <s v="01.11.80.302.2013.0000"/>
    <n v="-20"/>
    <s v="11"/>
    <s v="2013"/>
    <n v="21177.37"/>
    <n v="-20"/>
    <s v="CREDITOR"/>
    <n v="0"/>
    <n v="0"/>
    <n v="-20"/>
    <n v="0"/>
    <n v="0"/>
  </r>
  <r>
    <n v="62327522"/>
    <s v="N"/>
    <n v="21346268"/>
    <s v="3000016293570001RC"/>
    <s v="CIVIL"/>
    <d v="2023-06-27T00:00:00"/>
    <d v="2023-07-07T19:34:21"/>
    <m/>
    <d v="2023-07-07T00:00:00"/>
    <n v="409"/>
    <n v="14052"/>
    <s v="62327522"/>
    <s v="62327522"/>
    <m/>
    <m/>
    <m/>
    <m/>
    <m/>
    <m/>
    <s v="SOLRECOUP"/>
    <s v="SOLRECOUP"/>
    <s v="POARECOUP"/>
    <n v="21346268"/>
    <n v="-120"/>
    <m/>
    <s v="Y"/>
    <n v="1"/>
    <d v="2023-07-07T19:34:22"/>
    <s v="N"/>
    <m/>
    <m/>
    <s v="Non Expert Disbursement"/>
    <m/>
    <s v="N"/>
    <n v="-100"/>
    <n v="0"/>
    <x v="9"/>
    <s v="VALIDATED"/>
    <n v="1"/>
    <s v="01.11.80.302.2013.0000"/>
    <n v="-100"/>
    <s v="11"/>
    <s v="2013"/>
    <n v="21177.37"/>
    <n v="-100"/>
    <s v="CREDITOR"/>
    <n v="0"/>
    <n v="0"/>
    <n v="-100"/>
    <n v="0"/>
    <n v="0"/>
  </r>
  <r>
    <n v="62327522"/>
    <s v="N"/>
    <n v="21346268"/>
    <s v="3000016293570001RC"/>
    <s v="CIVIL"/>
    <d v="2023-06-27T00:00:00"/>
    <d v="2023-07-07T19:34:21"/>
    <m/>
    <d v="2023-07-07T00:00:00"/>
    <n v="409"/>
    <n v="14052"/>
    <s v="62327522"/>
    <s v="62327522"/>
    <m/>
    <m/>
    <m/>
    <m/>
    <m/>
    <m/>
    <s v="SOLRECOUP"/>
    <s v="SOLRECOUP"/>
    <s v="POARECOUP"/>
    <n v="21346268"/>
    <n v="-120"/>
    <m/>
    <s v="Y"/>
    <n v="2"/>
    <d v="2023-07-07T19:34:22"/>
    <s v="N"/>
    <m/>
    <m/>
    <s v="Non Expert Disbursement"/>
    <m/>
    <s v="N"/>
    <n v="0"/>
    <n v="-20"/>
    <x v="9"/>
    <s v="VALIDATED"/>
    <n v="1"/>
    <s v="01.11.80.302.2013.0000"/>
    <n v="-20"/>
    <s v="11"/>
    <s v="2013"/>
    <n v="21177.37"/>
    <n v="-20"/>
    <s v="CREDITOR"/>
    <n v="0"/>
    <n v="0"/>
    <n v="-20"/>
    <n v="0"/>
    <n v="0"/>
  </r>
  <r>
    <n v="59614799"/>
    <s v="N"/>
    <n v="21392014"/>
    <s v="3000014015350017"/>
    <s v="CIVIL"/>
    <d v="2023-06-21T00:00:00"/>
    <d v="2023-07-18T19:00:27"/>
    <m/>
    <d v="2023-07-18T00:00:00"/>
    <n v="409"/>
    <n v="14052"/>
    <s v="59614799"/>
    <s v="59614799"/>
    <m/>
    <m/>
    <n v="22732876"/>
    <m/>
    <m/>
    <m/>
    <s v="SOLFIN"/>
    <s v="SOLFIN"/>
    <s v="CCMS"/>
    <n v="21392014"/>
    <n v="10835.83"/>
    <m/>
    <s v="N"/>
    <n v="47"/>
    <d v="2023-07-18T19:00:35"/>
    <s v="Y"/>
    <s v="Preparation - drafting attendance n"/>
    <s v="Prescribed Hourly Rates"/>
    <s v="Profit Cost"/>
    <s v="ZH"/>
    <s v="Y"/>
    <n v="5.49"/>
    <n v="1.1"/>
    <x v="14"/>
    <s v="VALIDATED"/>
    <n v="1"/>
    <s v="01.11.80.302.6100.0000"/>
    <n v="5.49"/>
    <s v="11"/>
    <s v="6100"/>
    <n v="21177.37"/>
    <n v="5.49"/>
    <s v="CREDITOR"/>
    <n v="0"/>
    <n v="0"/>
    <n v="0"/>
    <n v="0"/>
    <n v="5.49"/>
  </r>
  <r>
    <n v="62124844"/>
    <s v="N"/>
    <n v="21328201"/>
    <s v="3000016140540002"/>
    <s v="CIVIL"/>
    <d v="2023-06-15T00:00:00"/>
    <d v="2023-07-04T19:00:44"/>
    <m/>
    <d v="2023-07-04T00:00:00"/>
    <n v="409"/>
    <n v="14052"/>
    <s v="62124844"/>
    <s v="62124844"/>
    <m/>
    <m/>
    <n v="22699652"/>
    <m/>
    <m/>
    <m/>
    <s v="SOLFIN"/>
    <s v="SOLFIN"/>
    <s v="CCMS"/>
    <n v="21328201"/>
    <n v="1161.8"/>
    <m/>
    <s v="N"/>
    <n v="2"/>
    <d v="2023-07-04T19:01:08"/>
    <s v="Y"/>
    <s v="Final Hearing - 1 Day"/>
    <s v="Domestic Abuse"/>
    <s v="Advocacy"/>
    <s v="EAC"/>
    <s v="Y"/>
    <n v="361.17"/>
    <n v="72.23"/>
    <x v="1"/>
    <s v="VALIDATED"/>
    <n v="1"/>
    <s v="01.11.80.302.6100.0000"/>
    <n v="361.17"/>
    <s v="11"/>
    <s v="6100"/>
    <n v="21177.37"/>
    <n v="361.17"/>
    <s v="CREDITOR"/>
    <n v="0"/>
    <n v="0"/>
    <n v="0"/>
    <n v="0"/>
    <n v="361.17"/>
  </r>
  <r>
    <n v="62014187"/>
    <s v="N"/>
    <n v="21327682"/>
    <s v="3000016055150003"/>
    <s v="CIVIL"/>
    <d v="2023-06-23T00:00:00"/>
    <d v="2023-07-04T19:00:44"/>
    <m/>
    <d v="2023-07-04T00:00:00"/>
    <n v="409"/>
    <n v="14052"/>
    <s v="62014187"/>
    <s v="62014187"/>
    <m/>
    <m/>
    <n v="22754796"/>
    <m/>
    <m/>
    <m/>
    <s v="SOLFIN"/>
    <s v="SOLFIN"/>
    <s v="CCMS"/>
    <n v="21327682"/>
    <n v="6192.83"/>
    <m/>
    <s v="N"/>
    <n v="1"/>
    <d v="2023-07-04T19:00:52"/>
    <s v="Y"/>
    <s v="Final Hearing Court Bundle/Advocate"/>
    <s v="Public Law Children"/>
    <s v="Advocacy"/>
    <s v="hd"/>
    <s v="Y"/>
    <n v="318.6"/>
    <n v="63.72"/>
    <x v="1"/>
    <s v="VALIDATED"/>
    <n v="1"/>
    <s v="01.11.80.308.6100.0000"/>
    <n v="318.6"/>
    <s v="11"/>
    <s v="6100"/>
    <n v="21177.37"/>
    <n v="318.6"/>
    <s v="CREDITOR"/>
    <n v="0"/>
    <n v="0"/>
    <n v="0"/>
    <n v="0"/>
    <n v="318.6"/>
  </r>
  <r>
    <n v="62238310"/>
    <s v="N"/>
    <n v="21328203"/>
    <s v="3000016227250003"/>
    <s v="CIVIL"/>
    <d v="2023-06-22T00:00:00"/>
    <d v="2023-07-04T19:00:44"/>
    <m/>
    <d v="2023-07-04T00:00:00"/>
    <n v="409"/>
    <n v="14052"/>
    <s v="62238310"/>
    <s v="62238310"/>
    <m/>
    <m/>
    <n v="22747288"/>
    <m/>
    <m/>
    <m/>
    <s v="SOLFIN"/>
    <s v="SOLFIN"/>
    <s v="CCMS"/>
    <n v="21328203"/>
    <n v="826.2"/>
    <m/>
    <s v="N"/>
    <n v="3"/>
    <d v="2023-07-04T19:01:08"/>
    <s v="Y"/>
    <s v="Level 4 Fixed Fee"/>
    <s v="Domestic Abuse"/>
    <s v="Profit Cost"/>
    <s v="XXX"/>
    <s v="Y"/>
    <n v="507"/>
    <n v="101.4"/>
    <x v="1"/>
    <s v="VALIDATED"/>
    <n v="1"/>
    <s v="01.11.80.302.6100.0000"/>
    <n v="507"/>
    <s v="11"/>
    <s v="6100"/>
    <n v="21177.37"/>
    <n v="507"/>
    <s v="CREDITOR"/>
    <n v="0"/>
    <n v="0"/>
    <n v="0"/>
    <n v="0"/>
    <n v="507"/>
  </r>
  <r>
    <n v="59614799"/>
    <s v="N"/>
    <n v="21392014"/>
    <s v="3000014015350017"/>
    <s v="CIVIL"/>
    <d v="2023-06-21T00:00:00"/>
    <d v="2023-07-18T19:00:27"/>
    <m/>
    <d v="2023-07-18T00:00:00"/>
    <n v="409"/>
    <n v="14052"/>
    <s v="59614799"/>
    <s v="59614799"/>
    <m/>
    <m/>
    <n v="22732876"/>
    <m/>
    <m/>
    <m/>
    <s v="SOLFIN"/>
    <s v="SOLFIN"/>
    <s v="CCMS"/>
    <n v="21392014"/>
    <n v="10835.83"/>
    <m/>
    <s v="N"/>
    <n v="6"/>
    <d v="2023-07-18T19:00:35"/>
    <s v="Y"/>
    <s v="Police Records"/>
    <s v="Prescribed Hourly Rates"/>
    <s v="Non Expert Disbursement"/>
    <s v="XXX"/>
    <s v="Y"/>
    <n v="2518.9"/>
    <n v="0"/>
    <x v="14"/>
    <s v="VALIDATED"/>
    <n v="1"/>
    <s v="01.11.80.302.6300.0000"/>
    <n v="2518.9"/>
    <s v="11"/>
    <s v="6300"/>
    <n v="21177.37"/>
    <n v="2518.9"/>
    <s v="CREDITOR"/>
    <n v="0"/>
    <n v="0"/>
    <n v="0"/>
    <n v="0"/>
    <n v="2518.9"/>
  </r>
  <r>
    <n v="62095857"/>
    <s v="N"/>
    <n v="21338545"/>
    <s v="3000016098560002"/>
    <s v="CIVIL"/>
    <d v="2023-06-19T00:00:00"/>
    <d v="2023-07-06T19:21:01"/>
    <m/>
    <d v="2023-07-06T00:00:00"/>
    <n v="409"/>
    <n v="14052"/>
    <s v="62095857"/>
    <s v="62095857"/>
    <m/>
    <m/>
    <n v="22714016"/>
    <m/>
    <m/>
    <m/>
    <s v="SOLFIN"/>
    <s v="SOLFIN"/>
    <s v="CCMS"/>
    <n v="21338545"/>
    <n v="1406.31"/>
    <m/>
    <s v="N"/>
    <n v="2"/>
    <d v="2023-07-06T19:21:28"/>
    <s v="Y"/>
    <s v="Hearing Unit 1.01 - 2.30 Hours"/>
    <s v="Domestic Abuse"/>
    <s v="Advocacy"/>
    <s v="EAC"/>
    <s v="Y"/>
    <n v="203.76"/>
    <n v="40.75"/>
    <x v="4"/>
    <s v="VALIDATED"/>
    <n v="1"/>
    <s v="01.11.80.302.6100.0000"/>
    <n v="203.76"/>
    <s v="11"/>
    <s v="6100"/>
    <n v="21177.37"/>
    <n v="203.76"/>
    <s v="CREDITOR"/>
    <n v="0"/>
    <n v="0"/>
    <n v="0"/>
    <n v="0"/>
    <n v="203.76"/>
  </r>
  <r>
    <n v="59614799"/>
    <s v="N"/>
    <n v="21392014"/>
    <s v="3000014015350017"/>
    <s v="CIVIL"/>
    <d v="2023-06-21T00:00:00"/>
    <d v="2023-07-18T19:00:27"/>
    <m/>
    <d v="2023-07-18T00:00:00"/>
    <n v="409"/>
    <n v="14052"/>
    <s v="59614799"/>
    <s v="59614799"/>
    <m/>
    <m/>
    <n v="22732876"/>
    <m/>
    <m/>
    <m/>
    <s v="SOLFIN"/>
    <s v="SOLFIN"/>
    <s v="CCMS"/>
    <n v="21392014"/>
    <n v="10835.83"/>
    <m/>
    <s v="N"/>
    <n v="88"/>
    <d v="2023-07-18T19:00:35"/>
    <s v="Y"/>
    <s v="Preparation - drafting statement"/>
    <s v="Prescribed Hourly Rates"/>
    <s v="Profit Cost"/>
    <s v="EAC"/>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13"/>
    <d v="2023-07-18T19:00:35"/>
    <s v="Y"/>
    <s v="Preparation - Periodic file review"/>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20"/>
    <d v="2023-07-18T19:00:35"/>
    <s v="Y"/>
    <s v="Preparation - drafting application"/>
    <s v="Prescribed Hourly Rates"/>
    <s v="Profit Cost"/>
    <s v="ZH"/>
    <s v="Y"/>
    <n v="38.43"/>
    <n v="7.69"/>
    <x v="14"/>
    <s v="VALIDATED"/>
    <n v="1"/>
    <s v="01.11.80.302.6100.0000"/>
    <n v="38.43"/>
    <s v="11"/>
    <s v="6100"/>
    <n v="21177.37"/>
    <n v="38.43"/>
    <s v="CREDITOR"/>
    <n v="0"/>
    <n v="0"/>
    <n v="0"/>
    <n v="0"/>
    <n v="38.43"/>
  </r>
  <r>
    <n v="59614799"/>
    <s v="N"/>
    <n v="21392014"/>
    <s v="3000014015350017"/>
    <s v="CIVIL"/>
    <d v="2023-06-21T00:00:00"/>
    <d v="2023-07-18T19:00:27"/>
    <m/>
    <d v="2023-07-18T00:00:00"/>
    <n v="409"/>
    <n v="14052"/>
    <s v="59614799"/>
    <s v="59614799"/>
    <m/>
    <m/>
    <n v="22732876"/>
    <m/>
    <m/>
    <m/>
    <s v="SOLFIN"/>
    <s v="SOLFIN"/>
    <s v="CCMS"/>
    <n v="21392014"/>
    <n v="10835.83"/>
    <m/>
    <s v="N"/>
    <n v="52"/>
    <d v="2023-07-18T19:00:35"/>
    <s v="Y"/>
    <s v="Preparation - drafting attendance n"/>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55"/>
    <d v="2023-07-18T19:00:35"/>
    <s v="Y"/>
    <s v="Attendance upon client"/>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69"/>
    <d v="2023-07-18T19:00:35"/>
    <s v="Y"/>
    <s v="Preparation - drafting statement"/>
    <s v="Prescribed Hourly Rates"/>
    <s v="Profit Cost"/>
    <s v="ZH"/>
    <s v="Y"/>
    <n v="43.92"/>
    <n v="8.779999999999999"/>
    <x v="14"/>
    <s v="VALIDATED"/>
    <n v="1"/>
    <s v="01.11.80.302.6100.0000"/>
    <n v="43.92"/>
    <s v="11"/>
    <s v="6100"/>
    <n v="21177.37"/>
    <n v="43.92"/>
    <s v="CREDITOR"/>
    <n v="0"/>
    <n v="0"/>
    <n v="0"/>
    <n v="0"/>
    <n v="43.92"/>
  </r>
  <r>
    <n v="59614799"/>
    <s v="N"/>
    <n v="21392014"/>
    <s v="3000014015350017"/>
    <s v="CIVIL"/>
    <d v="2023-06-21T00:00:00"/>
    <d v="2023-07-18T19:00:27"/>
    <m/>
    <d v="2023-07-18T00:00:00"/>
    <n v="409"/>
    <n v="14052"/>
    <s v="59614799"/>
    <s v="59614799"/>
    <m/>
    <m/>
    <n v="22732876"/>
    <m/>
    <m/>
    <m/>
    <s v="SOLFIN"/>
    <s v="SOLFIN"/>
    <s v="CCMS"/>
    <n v="21392014"/>
    <n v="10835.83"/>
    <m/>
    <s v="N"/>
    <n v="100"/>
    <d v="2023-07-18T19:00:35"/>
    <s v="Y"/>
    <s v="Preparation - drafting pleadings"/>
    <s v="Prescribed Hourly Rates"/>
    <s v="Profit Cost"/>
    <s v="EAC"/>
    <s v="Y"/>
    <n v="16.47"/>
    <n v="3.29"/>
    <x v="14"/>
    <s v="VALIDATED"/>
    <n v="1"/>
    <s v="01.11.80.302.6100.0000"/>
    <n v="16.47"/>
    <s v="11"/>
    <s v="6100"/>
    <n v="21177.37"/>
    <n v="16.47"/>
    <s v="CREDITOR"/>
    <n v="0"/>
    <n v="0"/>
    <n v="0"/>
    <n v="0"/>
    <n v="16.47"/>
  </r>
  <r>
    <n v="62014187"/>
    <s v="N"/>
    <n v="21327682"/>
    <s v="3000016055150003"/>
    <s v="CIVIL"/>
    <d v="2023-06-23T00:00:00"/>
    <d v="2023-07-04T19:00:44"/>
    <m/>
    <d v="2023-07-04T00:00:00"/>
    <n v="409"/>
    <n v="14052"/>
    <s v="62014187"/>
    <s v="62014187"/>
    <m/>
    <m/>
    <n v="22754796"/>
    <m/>
    <m/>
    <m/>
    <s v="SOLFIN"/>
    <s v="SOLFIN"/>
    <s v="CCMS"/>
    <n v="21327682"/>
    <n v="6192.83"/>
    <m/>
    <s v="N"/>
    <n v="6"/>
    <d v="2023-07-04T19:00:52"/>
    <s v="Y"/>
    <s v="Hearing Unit 2.31 - 5.00 Hours"/>
    <s v="Public Law Children"/>
    <s v="Advocacy"/>
    <s v="hd"/>
    <s v="Y"/>
    <n v="596.15"/>
    <n v="119.23"/>
    <x v="1"/>
    <s v="VALIDATED"/>
    <n v="1"/>
    <s v="01.11.80.308.6100.0000"/>
    <n v="596.15"/>
    <s v="11"/>
    <s v="6100"/>
    <n v="21177.37"/>
    <n v="596.15"/>
    <s v="CREDITOR"/>
    <n v="0"/>
    <n v="0"/>
    <n v="0"/>
    <n v="0"/>
    <n v="596.15"/>
  </r>
  <r>
    <n v="59614799"/>
    <s v="N"/>
    <n v="21392014"/>
    <s v="3000014015350017"/>
    <s v="CIVIL"/>
    <d v="2023-06-21T00:00:00"/>
    <d v="2023-07-18T19:00:27"/>
    <m/>
    <d v="2023-07-18T00:00:00"/>
    <n v="409"/>
    <n v="14052"/>
    <s v="59614799"/>
    <s v="59614799"/>
    <m/>
    <m/>
    <n v="22732876"/>
    <m/>
    <m/>
    <m/>
    <s v="SOLFIN"/>
    <s v="SOLFIN"/>
    <s v="CCMS"/>
    <n v="21392014"/>
    <n v="10835.83"/>
    <m/>
    <s v="N"/>
    <n v="45"/>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93"/>
    <d v="2023-07-18T19:00:35"/>
    <s v="Y"/>
    <s v="Preparation - drafting statement"/>
    <s v="Prescribed Hourly Rates"/>
    <s v="Profit Cost"/>
    <s v="EAC"/>
    <s v="Y"/>
    <n v="32.94"/>
    <n v="6.59"/>
    <x v="14"/>
    <s v="VALIDATED"/>
    <n v="1"/>
    <s v="01.11.80.302.6100.0000"/>
    <n v="32.94"/>
    <s v="11"/>
    <s v="6100"/>
    <n v="21177.37"/>
    <n v="32.94"/>
    <s v="CREDITOR"/>
    <n v="0"/>
    <n v="0"/>
    <n v="0"/>
    <n v="0"/>
    <n v="32.94"/>
  </r>
  <r>
    <n v="59614799"/>
    <s v="N"/>
    <n v="21392014"/>
    <s v="3000014015350017"/>
    <s v="CIVIL"/>
    <d v="2023-06-21T00:00:00"/>
    <d v="2023-07-18T19:00:27"/>
    <m/>
    <d v="2023-07-18T00:00:00"/>
    <n v="409"/>
    <n v="14052"/>
    <s v="59614799"/>
    <s v="59614799"/>
    <m/>
    <m/>
    <n v="22732876"/>
    <m/>
    <m/>
    <m/>
    <s v="SOLFIN"/>
    <s v="SOLFIN"/>
    <s v="CCMS"/>
    <n v="21392014"/>
    <n v="10835.83"/>
    <m/>
    <s v="N"/>
    <n v="99"/>
    <d v="2023-07-18T19:00:35"/>
    <s v="Y"/>
    <s v="Preparation - other"/>
    <s v="Prescribed Hourly Rates"/>
    <s v="Profit Cost"/>
    <s v="EAC"/>
    <s v="Y"/>
    <n v="27.45"/>
    <n v="5.49"/>
    <x v="14"/>
    <s v="VALIDATED"/>
    <n v="1"/>
    <s v="01.11.80.302.6100.0000"/>
    <n v="27.45"/>
    <s v="11"/>
    <s v="6100"/>
    <n v="21177.37"/>
    <n v="27.45"/>
    <s v="CREDITOR"/>
    <n v="0"/>
    <n v="0"/>
    <n v="0"/>
    <n v="0"/>
    <n v="27.45"/>
  </r>
  <r>
    <n v="62014187"/>
    <s v="N"/>
    <n v="21327682"/>
    <s v="3000016055150003"/>
    <s v="CIVIL"/>
    <d v="2023-06-23T00:00:00"/>
    <d v="2023-07-04T19:00:44"/>
    <m/>
    <d v="2023-07-04T00:00:00"/>
    <n v="409"/>
    <n v="14052"/>
    <s v="62014187"/>
    <s v="62014187"/>
    <m/>
    <m/>
    <n v="22754796"/>
    <m/>
    <m/>
    <m/>
    <s v="SOLFIN"/>
    <s v="SOLFIN"/>
    <s v="CCMS"/>
    <n v="21327682"/>
    <n v="6192.83"/>
    <m/>
    <s v="N"/>
    <n v="2"/>
    <d v="2023-07-04T19:00:52"/>
    <s v="Y"/>
    <s v="Interim Hearing Court Bundle/Advoca"/>
    <s v="Public Law Children"/>
    <s v="Advocacy"/>
    <s v="hd"/>
    <s v="Y"/>
    <n v="89.09999999999999"/>
    <n v="17.82"/>
    <x v="1"/>
    <s v="VALIDATED"/>
    <n v="1"/>
    <s v="01.11.80.308.6100.0000"/>
    <n v="89.09999999999999"/>
    <s v="11"/>
    <s v="6100"/>
    <n v="21177.37"/>
    <n v="89.09999999999999"/>
    <s v="CREDITOR"/>
    <n v="0"/>
    <n v="0"/>
    <n v="0"/>
    <n v="0"/>
    <n v="89.09999999999999"/>
  </r>
  <r>
    <n v="59614799"/>
    <s v="N"/>
    <n v="21392014"/>
    <s v="3000014015350017"/>
    <s v="CIVIL"/>
    <d v="2023-06-21T00:00:00"/>
    <d v="2023-07-18T19:00:27"/>
    <m/>
    <d v="2023-07-18T00:00:00"/>
    <n v="409"/>
    <n v="14052"/>
    <s v="59614799"/>
    <s v="59614799"/>
    <m/>
    <m/>
    <n v="22732876"/>
    <m/>
    <m/>
    <m/>
    <s v="SOLFIN"/>
    <s v="SOLFIN"/>
    <s v="CCMS"/>
    <n v="21392014"/>
    <n v="10835.83"/>
    <m/>
    <s v="N"/>
    <n v="22"/>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5"/>
    <d v="2023-07-18T19:00:35"/>
    <s v="Y"/>
    <s v="Preparation - drafting attendance n"/>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68"/>
    <d v="2023-07-18T19:00:35"/>
    <s v="Y"/>
    <s v="Preparation - drafting attendance n"/>
    <s v="Prescribed Hourly Rates"/>
    <s v="Profit Cost"/>
    <s v="EAC"/>
    <s v="Y"/>
    <n v="5.49"/>
    <n v="1.1"/>
    <x v="14"/>
    <s v="VALIDATED"/>
    <n v="1"/>
    <s v="01.11.80.302.6100.0000"/>
    <n v="5.49"/>
    <s v="11"/>
    <s v="6100"/>
    <n v="21177.37"/>
    <n v="5.49"/>
    <s v="CREDITOR"/>
    <n v="0"/>
    <n v="0"/>
    <n v="0"/>
    <n v="0"/>
    <n v="5.49"/>
  </r>
  <r>
    <n v="62095857"/>
    <s v="N"/>
    <n v="21338545"/>
    <s v="3000016098560002"/>
    <s v="CIVIL"/>
    <d v="2023-06-19T00:00:00"/>
    <d v="2023-07-06T19:21:01"/>
    <m/>
    <d v="2023-07-06T00:00:00"/>
    <n v="409"/>
    <n v="14052"/>
    <s v="62095857"/>
    <s v="62095857"/>
    <m/>
    <m/>
    <n v="22714016"/>
    <m/>
    <m/>
    <m/>
    <s v="SOLFIN"/>
    <s v="SOLFIN"/>
    <s v="CCMS"/>
    <n v="21338545"/>
    <n v="1406.31"/>
    <m/>
    <s v="N"/>
    <n v="3"/>
    <d v="2023-07-06T19:21:28"/>
    <s v="Y"/>
    <s v="Final Hearing - 1 Day"/>
    <s v="Domestic Abuse"/>
    <s v="Advocacy"/>
    <s v="EAC"/>
    <s v="Y"/>
    <n v="361.17"/>
    <n v="72.23"/>
    <x v="4"/>
    <s v="VALIDATED"/>
    <n v="1"/>
    <s v="01.11.80.302.6100.0000"/>
    <n v="361.17"/>
    <s v="11"/>
    <s v="6100"/>
    <n v="21177.37"/>
    <n v="361.17"/>
    <s v="CREDITOR"/>
    <n v="0"/>
    <n v="0"/>
    <n v="0"/>
    <n v="0"/>
    <n v="361.17"/>
  </r>
  <r>
    <n v="59614799"/>
    <s v="N"/>
    <n v="21392014"/>
    <s v="3000014015350017"/>
    <s v="CIVIL"/>
    <d v="2023-06-21T00:00:00"/>
    <d v="2023-07-18T19:00:27"/>
    <m/>
    <d v="2023-07-18T00:00:00"/>
    <n v="409"/>
    <n v="14052"/>
    <s v="59614799"/>
    <s v="59614799"/>
    <m/>
    <m/>
    <n v="22732876"/>
    <m/>
    <m/>
    <m/>
    <s v="SOLFIN"/>
    <s v="SOLFIN"/>
    <s v="CCMS"/>
    <n v="21392014"/>
    <n v="10835.83"/>
    <m/>
    <s v="N"/>
    <n v="94"/>
    <d v="2023-07-18T19:00:35"/>
    <s v="Y"/>
    <s v="Preparation - drafting statement"/>
    <s v="Prescribed Hourly Rates"/>
    <s v="Profit Cost"/>
    <s v="CJD"/>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01"/>
    <d v="2023-07-18T19:00:35"/>
    <s v="Y"/>
    <s v="Preparation - drafting statement"/>
    <s v="Prescribed Hourly Rates"/>
    <s v="Profit Cost"/>
    <s v="EAC"/>
    <s v="Y"/>
    <n v="49.41"/>
    <n v="9.880000000000001"/>
    <x v="14"/>
    <s v="VALIDATED"/>
    <n v="1"/>
    <s v="01.11.80.302.6100.0000"/>
    <n v="49.41"/>
    <s v="11"/>
    <s v="6100"/>
    <n v="21177.37"/>
    <n v="49.41"/>
    <s v="CREDITOR"/>
    <n v="0"/>
    <n v="0"/>
    <n v="0"/>
    <n v="0"/>
    <n v="49.41"/>
  </r>
  <r>
    <n v="59614799"/>
    <s v="N"/>
    <n v="21392014"/>
    <s v="3000014015350017"/>
    <s v="CIVIL"/>
    <d v="2023-06-21T00:00:00"/>
    <d v="2023-07-18T19:00:27"/>
    <m/>
    <d v="2023-07-18T00:00:00"/>
    <n v="409"/>
    <n v="14052"/>
    <s v="59614799"/>
    <s v="59614799"/>
    <m/>
    <m/>
    <n v="22732876"/>
    <m/>
    <m/>
    <m/>
    <s v="SOLFIN"/>
    <s v="SOLFIN"/>
    <s v="CCMS"/>
    <n v="21392014"/>
    <n v="10835.83"/>
    <m/>
    <s v="N"/>
    <n v="3"/>
    <d v="2023-07-18T19:00:35"/>
    <s v="Y"/>
    <s v="Court Fee"/>
    <s v="Prescribed Hourly Rates"/>
    <s v="Non Expert Disbursement"/>
    <s v="XXX"/>
    <s v="Y"/>
    <n v="167"/>
    <n v="0"/>
    <x v="14"/>
    <s v="VALIDATED"/>
    <n v="1"/>
    <s v="01.11.80.302.6300.0000"/>
    <n v="167"/>
    <s v="11"/>
    <s v="6300"/>
    <n v="21177.37"/>
    <n v="167"/>
    <s v="CREDITOR"/>
    <n v="0"/>
    <n v="0"/>
    <n v="0"/>
    <n v="0"/>
    <n v="167"/>
  </r>
  <r>
    <n v="59614799"/>
    <s v="N"/>
    <n v="21392014"/>
    <s v="3000014015350017"/>
    <s v="CIVIL"/>
    <d v="2023-06-21T00:00:00"/>
    <d v="2023-07-18T19:00:27"/>
    <m/>
    <d v="2023-07-18T00:00:00"/>
    <n v="409"/>
    <n v="14052"/>
    <s v="59614799"/>
    <s v="59614799"/>
    <m/>
    <m/>
    <n v="22732876"/>
    <m/>
    <m/>
    <m/>
    <s v="SOLFIN"/>
    <s v="SOLFIN"/>
    <s v="CCMS"/>
    <n v="21392014"/>
    <n v="10835.83"/>
    <m/>
    <s v="N"/>
    <n v="61"/>
    <d v="2023-07-18T19:00:35"/>
    <s v="Y"/>
    <s v="Preparation - drafting attendance n"/>
    <s v="Prescribed Hourly Rates"/>
    <s v="Profit Cost"/>
    <s v="ZH"/>
    <s v="Y"/>
    <n v="5.49"/>
    <n v="1.1"/>
    <x v="14"/>
    <s v="VALIDATED"/>
    <n v="1"/>
    <s v="01.11.80.302.6100.0000"/>
    <n v="5.49"/>
    <s v="11"/>
    <s v="6100"/>
    <n v="21177.37"/>
    <n v="5.49"/>
    <s v="CREDITOR"/>
    <n v="0"/>
    <n v="0"/>
    <n v="0"/>
    <n v="0"/>
    <n v="5.49"/>
  </r>
  <r>
    <n v="62226013"/>
    <s v="N"/>
    <n v="21343233"/>
    <s v="3000016210350002"/>
    <s v="CIVIL"/>
    <d v="2023-06-26T00:00:00"/>
    <d v="2023-07-07T19:03:00"/>
    <m/>
    <d v="2023-07-07T00:00:00"/>
    <n v="409"/>
    <n v="14052"/>
    <s v="62226013"/>
    <s v="62226013"/>
    <m/>
    <m/>
    <n v="22764274"/>
    <m/>
    <m/>
    <m/>
    <s v="SOLFIN"/>
    <s v="SOLFIN"/>
    <s v="CCMS"/>
    <n v="21343233"/>
    <n v="1259.6"/>
    <m/>
    <s v="N"/>
    <n v="4"/>
    <d v="2023-07-07T19:03:05"/>
    <s v="Y"/>
    <s v="Level 4 Fixed Fee"/>
    <s v="Domestic Abuse"/>
    <s v="Profit Cost"/>
    <s v="XXX"/>
    <s v="Y"/>
    <n v="507"/>
    <n v="101.4"/>
    <x v="9"/>
    <s v="VALIDATED"/>
    <n v="1"/>
    <s v="01.11.80.302.6100.0000"/>
    <n v="507"/>
    <s v="11"/>
    <s v="6100"/>
    <n v="21177.37"/>
    <n v="507"/>
    <s v="CREDITOR"/>
    <n v="0"/>
    <n v="0"/>
    <n v="0"/>
    <n v="0"/>
    <n v="507"/>
  </r>
  <r>
    <n v="62095857"/>
    <s v="N"/>
    <n v="21338545"/>
    <s v="3000016098560002"/>
    <s v="CIVIL"/>
    <d v="2023-06-19T00:00:00"/>
    <d v="2023-07-06T19:21:01"/>
    <m/>
    <d v="2023-07-06T00:00:00"/>
    <n v="409"/>
    <n v="14052"/>
    <s v="62095857"/>
    <s v="62095857"/>
    <m/>
    <m/>
    <n v="22714016"/>
    <m/>
    <m/>
    <m/>
    <s v="SOLFIN"/>
    <s v="SOLFIN"/>
    <s v="CCMS"/>
    <n v="21338545"/>
    <n v="1406.31"/>
    <m/>
    <s v="N"/>
    <n v="4"/>
    <d v="2023-07-06T19:21:28"/>
    <s v="Y"/>
    <s v="Level 4 Fixed Fee"/>
    <s v="Domestic Abuse"/>
    <s v="Profit Cost"/>
    <s v="XXX"/>
    <s v="Y"/>
    <n v="507"/>
    <n v="101.4"/>
    <x v="4"/>
    <s v="VALIDATED"/>
    <n v="1"/>
    <s v="01.11.80.302.6100.0000"/>
    <n v="507"/>
    <s v="11"/>
    <s v="6100"/>
    <n v="21177.37"/>
    <n v="507"/>
    <s v="CREDITOR"/>
    <n v="0"/>
    <n v="0"/>
    <n v="0"/>
    <n v="0"/>
    <n v="507"/>
  </r>
  <r>
    <n v="60004918"/>
    <s v="N"/>
    <n v="21331263"/>
    <s v="3000014344490002"/>
    <s v="CIVIL"/>
    <d v="2023-06-22T00:00:00"/>
    <d v="2023-07-05T19:01:47"/>
    <m/>
    <d v="2023-07-05T00:00:00"/>
    <n v="409"/>
    <n v="14052"/>
    <s v="60004918"/>
    <s v="60004918"/>
    <m/>
    <m/>
    <n v="22741422"/>
    <m/>
    <m/>
    <m/>
    <s v="SOLFIN"/>
    <s v="SOLFIN"/>
    <s v="CCMS"/>
    <n v="21331263"/>
    <n v="1477.16"/>
    <m/>
    <s v="N"/>
    <n v="2"/>
    <d v="2023-07-05T19:02:12"/>
    <s v="Y"/>
    <s v="Hearing Unit 2.31 - 5.00 Hours"/>
    <s v="Private Law Children"/>
    <s v="Advocacy"/>
    <s v="mh"/>
    <s v="Y"/>
    <n v="313.48"/>
    <n v="62.7"/>
    <x v="6"/>
    <s v="VALIDATED"/>
    <n v="1"/>
    <s v="01.11.80.307.6100.0000"/>
    <n v="313.48"/>
    <s v="11"/>
    <s v="6100"/>
    <n v="21177.37"/>
    <n v="313.48"/>
    <s v="CREDITOR"/>
    <n v="0"/>
    <n v="0"/>
    <n v="0"/>
    <n v="0"/>
    <n v="313.48"/>
  </r>
  <r>
    <n v="62124844"/>
    <s v="N"/>
    <n v="21328201"/>
    <s v="3000016140540002"/>
    <s v="CIVIL"/>
    <d v="2023-06-15T00:00:00"/>
    <d v="2023-07-04T19:00:44"/>
    <m/>
    <d v="2023-07-04T00:00:00"/>
    <n v="409"/>
    <n v="14052"/>
    <s v="62124844"/>
    <s v="62124844"/>
    <m/>
    <m/>
    <n v="22699652"/>
    <m/>
    <m/>
    <m/>
    <s v="SOLFIN"/>
    <s v="SOLFIN"/>
    <s v="CCMS"/>
    <n v="21328201"/>
    <n v="1161.8"/>
    <m/>
    <s v="N"/>
    <n v="3"/>
    <d v="2023-07-04T19:01:08"/>
    <s v="Y"/>
    <s v="Level 4 Fixed Fee"/>
    <s v="Domestic Abuse"/>
    <s v="Profit Cost"/>
    <s v="XXX"/>
    <s v="Y"/>
    <n v="507"/>
    <n v="101.4"/>
    <x v="1"/>
    <s v="VALIDATED"/>
    <n v="1"/>
    <s v="01.11.80.302.6100.0000"/>
    <n v="507"/>
    <s v="11"/>
    <s v="6100"/>
    <n v="21177.37"/>
    <n v="507"/>
    <s v="CREDITOR"/>
    <n v="0"/>
    <n v="0"/>
    <n v="0"/>
    <n v="0"/>
    <n v="507"/>
  </r>
  <r>
    <n v="59614799"/>
    <s v="N"/>
    <n v="21392014"/>
    <s v="3000014015350017"/>
    <s v="CIVIL"/>
    <d v="2023-06-21T00:00:00"/>
    <d v="2023-07-18T19:00:27"/>
    <m/>
    <d v="2023-07-18T00:00:00"/>
    <n v="409"/>
    <n v="14052"/>
    <s v="59614799"/>
    <s v="59614799"/>
    <m/>
    <m/>
    <n v="22732876"/>
    <m/>
    <m/>
    <m/>
    <s v="SOLFIN"/>
    <s v="SOLFIN"/>
    <s v="CCMS"/>
    <n v="21392014"/>
    <n v="10835.83"/>
    <m/>
    <s v="N"/>
    <n v="2"/>
    <d v="2023-07-18T19:00:35"/>
    <s v="Y"/>
    <s v="Court Fee"/>
    <s v="Prescribed Hourly Rates"/>
    <s v="Non Expert Disbursement"/>
    <s v="XXX"/>
    <s v="Y"/>
    <n v="167"/>
    <n v="0"/>
    <x v="14"/>
    <s v="VALIDATED"/>
    <n v="1"/>
    <s v="01.11.80.302.6300.0000"/>
    <n v="167"/>
    <s v="11"/>
    <s v="6300"/>
    <n v="21177.37"/>
    <n v="167"/>
    <s v="CREDITOR"/>
    <n v="0"/>
    <n v="0"/>
    <n v="0"/>
    <n v="0"/>
    <n v="167"/>
  </r>
  <r>
    <n v="59614799"/>
    <s v="N"/>
    <n v="21392014"/>
    <s v="3000014015350017"/>
    <s v="CIVIL"/>
    <d v="2023-06-21T00:00:00"/>
    <d v="2023-07-18T19:00:27"/>
    <m/>
    <d v="2023-07-18T00:00:00"/>
    <n v="409"/>
    <n v="14052"/>
    <s v="59614799"/>
    <s v="59614799"/>
    <m/>
    <m/>
    <n v="22732876"/>
    <m/>
    <m/>
    <m/>
    <s v="SOLFIN"/>
    <s v="SOLFIN"/>
    <s v="CCMS"/>
    <n v="21392014"/>
    <n v="10835.83"/>
    <m/>
    <s v="N"/>
    <n v="98"/>
    <d v="2023-07-18T19:00:35"/>
    <s v="Y"/>
    <s v="Preparation - drafting pleadings"/>
    <s v="Prescribed Hourly Rates"/>
    <s v="Profit Cost"/>
    <s v="EAC"/>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03"/>
    <d v="2023-07-18T19:00:35"/>
    <s v="Y"/>
    <s v="Preparation - drafting instructions"/>
    <s v="Prescribed Hourly Rates"/>
    <s v="Profit Cost"/>
    <s v="EAC"/>
    <s v="Y"/>
    <n v="43.92"/>
    <n v="8.779999999999999"/>
    <x v="14"/>
    <s v="VALIDATED"/>
    <n v="1"/>
    <s v="01.11.80.302.6100.0000"/>
    <n v="43.92"/>
    <s v="11"/>
    <s v="6100"/>
    <n v="21177.37"/>
    <n v="43.92"/>
    <s v="CREDITOR"/>
    <n v="0"/>
    <n v="0"/>
    <n v="0"/>
    <n v="0"/>
    <n v="43.92"/>
  </r>
  <r>
    <n v="62238310"/>
    <s v="N"/>
    <n v="21328203"/>
    <s v="3000016227250003"/>
    <s v="CIVIL"/>
    <d v="2023-06-22T00:00:00"/>
    <d v="2023-07-04T19:00:44"/>
    <m/>
    <d v="2023-07-04T00:00:00"/>
    <n v="409"/>
    <n v="14052"/>
    <s v="62238310"/>
    <s v="62238310"/>
    <m/>
    <m/>
    <n v="22747288"/>
    <m/>
    <m/>
    <m/>
    <s v="SOLFIN"/>
    <s v="SOLFIN"/>
    <s v="CCMS"/>
    <n v="21328203"/>
    <n v="826.2"/>
    <m/>
    <s v="N"/>
    <n v="1"/>
    <d v="2023-07-04T19:01:08"/>
    <s v="Y"/>
    <s v="Process server"/>
    <s v="Domestic Abuse"/>
    <s v="Expert Disbursement"/>
    <s v="XXX"/>
    <s v="Y"/>
    <n v="100"/>
    <n v="20"/>
    <x v="1"/>
    <s v="VALIDATED"/>
    <n v="1"/>
    <s v="01.11.80.302.6300.0000"/>
    <n v="100"/>
    <s v="11"/>
    <s v="6300"/>
    <n v="21177.37"/>
    <n v="100"/>
    <s v="CREDITOR"/>
    <n v="0"/>
    <n v="0"/>
    <n v="0"/>
    <n v="0"/>
    <n v="100"/>
  </r>
  <r>
    <n v="59614799"/>
    <s v="N"/>
    <n v="21392014"/>
    <s v="3000014015350017"/>
    <s v="CIVIL"/>
    <d v="2023-06-21T00:00:00"/>
    <d v="2023-07-18T19:00:27"/>
    <m/>
    <d v="2023-07-18T00:00:00"/>
    <n v="409"/>
    <n v="14052"/>
    <s v="59614799"/>
    <s v="59614799"/>
    <m/>
    <m/>
    <n v="22732876"/>
    <m/>
    <m/>
    <m/>
    <s v="SOLFIN"/>
    <s v="SOLFIN"/>
    <s v="CCMS"/>
    <n v="21392014"/>
    <n v="10835.83"/>
    <m/>
    <s v="N"/>
    <n v="16"/>
    <d v="2023-07-18T19:00:35"/>
    <s v="Y"/>
    <s v="Attendance upon client"/>
    <s v="Prescribed Hourly Rates"/>
    <s v="Profit Cost"/>
    <s v="EAC"/>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64"/>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74"/>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23"/>
    <d v="2023-07-18T19:00:35"/>
    <s v="Y"/>
    <s v="Preparation - other"/>
    <s v="Prescribed Hourly Rates"/>
    <s v="Profit Cost"/>
    <s v="EAC"/>
    <s v="Y"/>
    <n v="21.96"/>
    <n v="4.39"/>
    <x v="14"/>
    <s v="VALIDATED"/>
    <n v="1"/>
    <s v="01.11.80.302.6100.0000"/>
    <n v="21.96"/>
    <s v="11"/>
    <s v="6100"/>
    <n v="21177.37"/>
    <n v="21.96"/>
    <s v="CREDITOR"/>
    <n v="0"/>
    <n v="0"/>
    <n v="0"/>
    <n v="0"/>
    <n v="21.96"/>
  </r>
  <r>
    <n v="62124844"/>
    <s v="N"/>
    <n v="21328201"/>
    <s v="3000016140540002"/>
    <s v="CIVIL"/>
    <d v="2023-06-15T00:00:00"/>
    <d v="2023-07-04T19:00:44"/>
    <m/>
    <d v="2023-07-04T00:00:00"/>
    <n v="409"/>
    <n v="14052"/>
    <s v="62124844"/>
    <s v="62124844"/>
    <m/>
    <m/>
    <n v="22699652"/>
    <m/>
    <m/>
    <m/>
    <s v="SOLFIN"/>
    <s v="SOLFIN"/>
    <s v="CCMS"/>
    <n v="21328201"/>
    <n v="1161.8"/>
    <m/>
    <s v="N"/>
    <n v="1"/>
    <d v="2023-07-04T19:01:08"/>
    <s v="Y"/>
    <s v="Process server"/>
    <s v="Domestic Abuse"/>
    <s v="Expert Disbursement"/>
    <s v="XXX"/>
    <s v="Y"/>
    <n v="100"/>
    <n v="20"/>
    <x v="1"/>
    <s v="VALIDATED"/>
    <n v="1"/>
    <s v="01.11.80.302.6300.0000"/>
    <n v="100"/>
    <s v="11"/>
    <s v="6300"/>
    <n v="21177.37"/>
    <n v="100"/>
    <s v="CREDITOR"/>
    <n v="0"/>
    <n v="0"/>
    <n v="0"/>
    <n v="0"/>
    <n v="100"/>
  </r>
  <r>
    <n v="62395536"/>
    <s v="N"/>
    <n v="21318386"/>
    <s v="3000016362290001"/>
    <s v="CIVIL"/>
    <d v="2023-06-23T00:00:00"/>
    <d v="2023-07-03T19:01:49"/>
    <m/>
    <d v="2023-07-03T00:00:00"/>
    <n v="409"/>
    <n v="14052"/>
    <s v="62395536"/>
    <s v="62395536"/>
    <m/>
    <m/>
    <n v="22756130"/>
    <m/>
    <m/>
    <m/>
    <s v="SOLPOA"/>
    <s v="SOLPOA"/>
    <s v="CCMS"/>
    <n v="21318386"/>
    <n v="120"/>
    <m/>
    <s v="N"/>
    <n v="1"/>
    <d v="2023-07-03T19:01:54"/>
    <s v="N"/>
    <s v="Non Expert Disbursement - Domestic "/>
    <s v="Non Expert Disbursement - Dome"/>
    <s v="Non Expert Disbursement"/>
    <s v="EAC"/>
    <s v="N"/>
    <n v="100"/>
    <n v="20"/>
    <x v="3"/>
    <s v="VALIDATED"/>
    <n v="1"/>
    <s v="01.11.80.302.2012.0000"/>
    <n v="100"/>
    <s v="11"/>
    <s v="2012"/>
    <n v="21177.37"/>
    <n v="100"/>
    <s v="CREDITOR"/>
    <n v="100"/>
    <n v="0"/>
    <n v="0"/>
    <n v="0"/>
    <n v="0"/>
  </r>
  <r>
    <n v="62407183"/>
    <s v="N"/>
    <n v="21319937"/>
    <s v="3000016346730001"/>
    <s v="CIVIL"/>
    <d v="2023-06-27T00:00:00"/>
    <d v="2023-07-03T19:04:24"/>
    <m/>
    <d v="2023-07-03T00:00:00"/>
    <n v="409"/>
    <n v="14052"/>
    <s v="62407183"/>
    <s v="62407183"/>
    <m/>
    <m/>
    <n v="22775064"/>
    <m/>
    <m/>
    <m/>
    <s v="SOLPOA"/>
    <s v="SOLPOA"/>
    <s v="CCMS"/>
    <n v="21319937"/>
    <n v="120"/>
    <m/>
    <s v="N"/>
    <n v="1"/>
    <d v="2023-07-03T19:04:28"/>
    <s v="N"/>
    <s v="Non Expert Disbursement - Domestic "/>
    <s v="Non Expert Disbursement - Dome"/>
    <s v="Non Expert Disbursement"/>
    <s v="EAC"/>
    <s v="N"/>
    <n v="100"/>
    <n v="20"/>
    <x v="3"/>
    <s v="VALIDATED"/>
    <n v="1"/>
    <s v="01.11.80.302.2012.0000"/>
    <n v="100"/>
    <s v="11"/>
    <s v="2012"/>
    <n v="21177.37"/>
    <n v="100"/>
    <s v="CREDITOR"/>
    <n v="100"/>
    <n v="0"/>
    <n v="0"/>
    <n v="0"/>
    <n v="0"/>
  </r>
  <r>
    <n v="61902580"/>
    <s v="N"/>
    <n v="21318542"/>
    <s v="3000015943260002"/>
    <s v="CIVIL"/>
    <d v="2023-06-15T00:00:00"/>
    <d v="2023-07-03T19:01:49"/>
    <m/>
    <d v="2023-07-03T00:00:00"/>
    <n v="409"/>
    <n v="14052"/>
    <s v="61902580"/>
    <s v="61902580"/>
    <m/>
    <m/>
    <n v="22699704"/>
    <m/>
    <m/>
    <m/>
    <s v="SOLFIN"/>
    <s v="SOLFIN"/>
    <s v="CCMS"/>
    <n v="21318542"/>
    <n v="1161.8"/>
    <m/>
    <s v="N"/>
    <n v="1"/>
    <d v="2023-07-03T19:01:58"/>
    <s v="Y"/>
    <s v="Process server"/>
    <s v="Domestic Abuse"/>
    <s v="Expert Disbursement"/>
    <s v="XXX"/>
    <s v="Y"/>
    <n v="100"/>
    <n v="20"/>
    <x v="3"/>
    <s v="VALIDATED"/>
    <n v="1"/>
    <s v="01.11.80.302.6300.0000"/>
    <n v="100"/>
    <s v="11"/>
    <s v="6300"/>
    <n v="21177.37"/>
    <n v="100"/>
    <s v="CREDITOR"/>
    <n v="0"/>
    <n v="0"/>
    <n v="0"/>
    <n v="0"/>
    <n v="100"/>
  </r>
  <r>
    <n v="59614799"/>
    <s v="N"/>
    <n v="21392014"/>
    <s v="3000014015350017"/>
    <s v="CIVIL"/>
    <d v="2023-06-21T00:00:00"/>
    <d v="2023-07-18T19:00:27"/>
    <m/>
    <d v="2023-07-18T00:00:00"/>
    <n v="409"/>
    <n v="14052"/>
    <s v="59614799"/>
    <s v="59614799"/>
    <m/>
    <m/>
    <n v="22732876"/>
    <m/>
    <m/>
    <m/>
    <s v="SOLFIN"/>
    <s v="SOLFIN"/>
    <s v="CCMS"/>
    <n v="21392014"/>
    <n v="10835.83"/>
    <m/>
    <s v="N"/>
    <n v="71"/>
    <d v="2023-07-18T19:00:35"/>
    <s v="Y"/>
    <s v="Preparation - drafting statement"/>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08"/>
    <d v="2023-07-18T19:00:35"/>
    <s v="Y"/>
    <s v="Attendance upon/with Counsel at Con"/>
    <s v="Prescribed Hourly Rates"/>
    <s v="Profit Cost"/>
    <s v="EAC"/>
    <s v="Y"/>
    <n v="6.48"/>
    <n v="1.3"/>
    <x v="14"/>
    <s v="VALIDATED"/>
    <n v="1"/>
    <s v="01.11.80.302.6100.0000"/>
    <n v="6.48"/>
    <s v="11"/>
    <s v="6100"/>
    <n v="21177.37"/>
    <n v="6.48"/>
    <s v="CREDITOR"/>
    <n v="0"/>
    <n v="0"/>
    <n v="0"/>
    <n v="0"/>
    <n v="6.48"/>
  </r>
  <r>
    <n v="59614799"/>
    <s v="N"/>
    <n v="21392014"/>
    <s v="3000014015350017"/>
    <s v="CIVIL"/>
    <d v="2023-06-21T00:00:00"/>
    <d v="2023-07-18T19:00:27"/>
    <m/>
    <d v="2023-07-18T00:00:00"/>
    <n v="409"/>
    <n v="14052"/>
    <s v="59614799"/>
    <s v="59614799"/>
    <m/>
    <m/>
    <n v="22732876"/>
    <m/>
    <m/>
    <m/>
    <s v="SOLFIN"/>
    <s v="SOLFIN"/>
    <s v="CCMS"/>
    <n v="21392014"/>
    <n v="10835.83"/>
    <m/>
    <s v="N"/>
    <n v="91"/>
    <d v="2023-07-18T19:00:35"/>
    <s v="Y"/>
    <s v="Attendance upon client"/>
    <s v="Prescribed Hourly Rates"/>
    <s v="Profit Cost"/>
    <s v="EAC"/>
    <s v="Y"/>
    <n v="10.98"/>
    <n v="2.2"/>
    <x v="14"/>
    <s v="VALIDATED"/>
    <n v="1"/>
    <s v="01.11.80.302.6100.0000"/>
    <n v="10.98"/>
    <s v="11"/>
    <s v="6100"/>
    <n v="21177.37"/>
    <n v="10.98"/>
    <s v="CREDITOR"/>
    <n v="0"/>
    <n v="0"/>
    <n v="0"/>
    <n v="0"/>
    <n v="10.98"/>
  </r>
  <r>
    <n v="62278320"/>
    <s v="N"/>
    <n v="21331001"/>
    <s v="3000016241720002"/>
    <s v="CIVIL"/>
    <d v="2023-06-22T00:00:00"/>
    <d v="2023-07-05T19:01:47"/>
    <m/>
    <d v="2023-07-05T00:00:00"/>
    <n v="409"/>
    <n v="14052"/>
    <s v="62278320"/>
    <s v="62278320"/>
    <m/>
    <m/>
    <n v="22747168"/>
    <m/>
    <m/>
    <m/>
    <s v="SOLFIN"/>
    <s v="SOLFIN"/>
    <s v="CCMS"/>
    <n v="21331001"/>
    <n v="1161.8"/>
    <m/>
    <s v="N"/>
    <n v="2"/>
    <d v="2023-07-05T19:02:01"/>
    <s v="Y"/>
    <s v="Final Hearing - 1 Day"/>
    <s v="Domestic Abuse"/>
    <s v="Advocacy"/>
    <s v="EAC"/>
    <s v="Y"/>
    <n v="361.17"/>
    <n v="72.23"/>
    <x v="6"/>
    <s v="VALIDATED"/>
    <n v="1"/>
    <s v="01.11.80.302.6100.0000"/>
    <n v="361.17"/>
    <s v="11"/>
    <s v="6100"/>
    <n v="21177.37"/>
    <n v="361.17"/>
    <s v="CREDITOR"/>
    <n v="0"/>
    <n v="0"/>
    <n v="0"/>
    <n v="0"/>
    <n v="361.17"/>
  </r>
  <r>
    <n v="59614799"/>
    <s v="N"/>
    <n v="21392014"/>
    <s v="3000014015350017"/>
    <s v="CIVIL"/>
    <d v="2023-06-21T00:00:00"/>
    <d v="2023-07-18T19:00:27"/>
    <m/>
    <d v="2023-07-18T00:00:00"/>
    <n v="409"/>
    <n v="14052"/>
    <s v="59614799"/>
    <s v="59614799"/>
    <m/>
    <m/>
    <n v="22732876"/>
    <m/>
    <m/>
    <m/>
    <s v="SOLFIN"/>
    <s v="SOLFIN"/>
    <s v="CCMS"/>
    <n v="21392014"/>
    <n v="10835.83"/>
    <m/>
    <s v="N"/>
    <n v="105"/>
    <d v="2023-07-18T19:00:35"/>
    <s v="Y"/>
    <s v="Preparation - other"/>
    <s v="Prescribed Hourly Rates"/>
    <s v="Profit Cost"/>
    <s v="EAC"/>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22"/>
    <d v="2023-07-18T19:00:35"/>
    <s v="Y"/>
    <s v="Preparation - drafting pleadings"/>
    <s v="Prescribed Hourly Rates"/>
    <s v="Profit Cost"/>
    <s v="EAC"/>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28"/>
    <d v="2023-07-18T19:00:35"/>
    <s v="Y"/>
    <s v="Attendance upon client"/>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39"/>
    <d v="2023-07-18T19:00:35"/>
    <s v="Y"/>
    <s v="Preparation - other"/>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81"/>
    <d v="2023-07-18T19:00:35"/>
    <s v="Y"/>
    <s v="Preparation - drafting pleadings"/>
    <s v="Prescribed Hourly Rates"/>
    <s v="Profit Cost"/>
    <s v="EAC"/>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115"/>
    <d v="2023-07-18T19:00:35"/>
    <s v="Y"/>
    <s v="Attendance upon/with Counsel at Con"/>
    <s v="Prescribed Hourly Rates"/>
    <s v="Profit Cost"/>
    <s v="EAC"/>
    <s v="Y"/>
    <n v="6.48"/>
    <n v="1.3"/>
    <x v="14"/>
    <s v="VALIDATED"/>
    <n v="1"/>
    <s v="01.11.80.302.6100.0000"/>
    <n v="6.48"/>
    <s v="11"/>
    <s v="6100"/>
    <n v="21177.37"/>
    <n v="6.48"/>
    <s v="CREDITOR"/>
    <n v="0"/>
    <n v="0"/>
    <n v="0"/>
    <n v="0"/>
    <n v="6.48"/>
  </r>
  <r>
    <n v="61854408"/>
    <s v="N"/>
    <n v="21319659"/>
    <s v="3000015919820006"/>
    <s v="CIVIL"/>
    <d v="2023-06-28T00:00:00"/>
    <d v="2023-07-03T19:04:24"/>
    <m/>
    <d v="2023-07-03T00:00:00"/>
    <n v="409"/>
    <n v="14052"/>
    <s v="61854408"/>
    <s v="61854408"/>
    <m/>
    <m/>
    <n v="22776364"/>
    <m/>
    <m/>
    <m/>
    <s v="SOLPOA"/>
    <s v="SOLPOA"/>
    <s v="CCMS"/>
    <n v="21319659"/>
    <n v="660.96"/>
    <m/>
    <s v="N"/>
    <n v="1"/>
    <d v="2023-07-03T19:04:27"/>
    <s v="N"/>
    <s v="Expert Cost"/>
    <s v="Expert Cost"/>
    <s v="Expert Disbursement"/>
    <s v="Helen Davies"/>
    <s v="N"/>
    <n v="550.8"/>
    <n v="110.16"/>
    <x v="3"/>
    <s v="VALIDATED"/>
    <n v="1"/>
    <s v="01.11.80.308.2012.0000"/>
    <n v="550.8"/>
    <s v="11"/>
    <s v="2012"/>
    <n v="21177.37"/>
    <n v="550.8"/>
    <s v="CREDITOR"/>
    <n v="550.8"/>
    <n v="0"/>
    <n v="0"/>
    <n v="0"/>
    <n v="0"/>
  </r>
  <r>
    <n v="59614799"/>
    <s v="N"/>
    <n v="21392014"/>
    <s v="3000014015350017"/>
    <s v="CIVIL"/>
    <d v="2023-06-21T00:00:00"/>
    <d v="2023-07-18T19:00:27"/>
    <m/>
    <d v="2023-07-18T00:00:00"/>
    <n v="409"/>
    <n v="14052"/>
    <s v="59614799"/>
    <s v="59614799"/>
    <m/>
    <m/>
    <n v="22732876"/>
    <m/>
    <m/>
    <m/>
    <s v="SOLFIN"/>
    <s v="SOLFIN"/>
    <s v="CCMS"/>
    <n v="21392014"/>
    <n v="10835.83"/>
    <m/>
    <s v="N"/>
    <n v="111"/>
    <d v="2023-07-18T19:00:35"/>
    <s v="Y"/>
    <s v="Preparation - other"/>
    <s v="Prescribed Hourly Rates"/>
    <s v="Profit Cost"/>
    <s v="CJD"/>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16"/>
    <d v="2023-07-18T19:00:35"/>
    <s v="Y"/>
    <s v="Preparation - other"/>
    <s v="Prescribed Hourly Rates"/>
    <s v="Profit Cost"/>
    <s v="CJD"/>
    <s v="Y"/>
    <n v="5.49"/>
    <n v="1.1"/>
    <x v="14"/>
    <s v="VALIDATED"/>
    <n v="1"/>
    <s v="01.11.80.302.6100.0000"/>
    <n v="5.49"/>
    <s v="11"/>
    <s v="6100"/>
    <n v="21177.37"/>
    <n v="5.49"/>
    <s v="CREDITOR"/>
    <n v="0"/>
    <n v="0"/>
    <n v="0"/>
    <n v="0"/>
    <n v="5.49"/>
  </r>
  <r>
    <n v="62014187"/>
    <s v="N"/>
    <n v="21327682"/>
    <s v="3000016055150003"/>
    <s v="CIVIL"/>
    <d v="2023-06-23T00:00:00"/>
    <d v="2023-07-04T19:00:44"/>
    <m/>
    <d v="2023-07-04T00:00:00"/>
    <n v="409"/>
    <n v="14052"/>
    <s v="62014187"/>
    <s v="62014187"/>
    <m/>
    <m/>
    <n v="22754796"/>
    <m/>
    <m/>
    <m/>
    <s v="SOLFIN"/>
    <s v="SOLFIN"/>
    <s v="CCMS"/>
    <n v="21327682"/>
    <n v="6192.83"/>
    <m/>
    <s v="N"/>
    <n v="4"/>
    <d v="2023-07-04T19:00:52"/>
    <s v="Y"/>
    <s v="Toxicologist"/>
    <s v="Public Law Children"/>
    <s v="Expert Disbursement"/>
    <s v="hd"/>
    <s v="Y"/>
    <n v="676.25"/>
    <n v="135.25"/>
    <x v="1"/>
    <s v="VALIDATED"/>
    <n v="1"/>
    <s v="01.11.80.308.6300.0000"/>
    <n v="676.25"/>
    <s v="11"/>
    <s v="6300"/>
    <n v="21177.37"/>
    <n v="676.25"/>
    <s v="CREDITOR"/>
    <n v="0"/>
    <n v="0"/>
    <n v="0"/>
    <n v="0"/>
    <n v="676.25"/>
  </r>
  <r>
    <n v="62317415"/>
    <s v="N"/>
    <n v="21320761"/>
    <s v="3000016305420004"/>
    <s v="CIVIL"/>
    <d v="2023-06-28T00:00:00"/>
    <d v="2023-07-03T19:04:52"/>
    <m/>
    <d v="2023-07-03T00:00:00"/>
    <n v="409"/>
    <n v="14052"/>
    <s v="62317415"/>
    <s v="62317415"/>
    <m/>
    <m/>
    <n v="22778494"/>
    <m/>
    <m/>
    <m/>
    <s v="SOLPOA"/>
    <s v="SOLPOA"/>
    <s v="CCMS"/>
    <n v="21320761"/>
    <n v="493.26"/>
    <m/>
    <s v="N"/>
    <n v="1"/>
    <d v="2023-07-03T19:04:56"/>
    <s v="N"/>
    <s v="Expert Cost"/>
    <s v="Expert Cost"/>
    <s v="Expert Disbursement"/>
    <s v="JLB/28422/1"/>
    <s v="N"/>
    <n v="411.05"/>
    <n v="82.20999999999999"/>
    <x v="3"/>
    <s v="VALIDATED"/>
    <n v="1"/>
    <s v="01.11.80.308.2012.0000"/>
    <n v="411.05"/>
    <s v="11"/>
    <s v="2012"/>
    <n v="21177.37"/>
    <n v="411.05"/>
    <s v="CREDITOR"/>
    <n v="411.05"/>
    <n v="0"/>
    <n v="0"/>
    <n v="0"/>
    <n v="0"/>
  </r>
  <r>
    <n v="59614799"/>
    <s v="N"/>
    <n v="21392014"/>
    <s v="3000014015350017"/>
    <s v="CIVIL"/>
    <d v="2023-06-21T00:00:00"/>
    <d v="2023-07-18T19:00:27"/>
    <m/>
    <d v="2023-07-18T00:00:00"/>
    <n v="409"/>
    <n v="14052"/>
    <s v="59614799"/>
    <s v="59614799"/>
    <m/>
    <m/>
    <n v="22732876"/>
    <m/>
    <m/>
    <m/>
    <s v="SOLFIN"/>
    <s v="SOLFIN"/>
    <s v="CCMS"/>
    <n v="21392014"/>
    <n v="10835.83"/>
    <m/>
    <s v="N"/>
    <n v="9"/>
    <d v="2023-07-18T19:00:35"/>
    <s v="Y"/>
    <s v="Attendance upon client"/>
    <s v="Prescribed Hourly Rates"/>
    <s v="Profit Cost"/>
    <s v="ZH"/>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50"/>
    <d v="2023-07-18T19:00:35"/>
    <s v="Y"/>
    <s v="Preparation - drafting statement"/>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75"/>
    <d v="2023-07-18T19:00:35"/>
    <s v="Y"/>
    <s v="Preparation - drafting pleadings"/>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87"/>
    <d v="2023-07-18T19:00:35"/>
    <s v="Y"/>
    <s v="Report - Medical report"/>
    <s v="Prescribed Hourly Rates"/>
    <s v="Profit Cost"/>
    <s v="EAC"/>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43"/>
    <d v="2023-07-18T19:00:35"/>
    <s v="Y"/>
    <s v="Preparation - drafting attendance n"/>
    <s v="Prescribed Hourly Rates"/>
    <s v="Profit Cost"/>
    <s v="ZH"/>
    <s v="Y"/>
    <n v="5.49"/>
    <n v="1.1"/>
    <x v="14"/>
    <s v="VALIDATED"/>
    <n v="1"/>
    <s v="01.11.80.302.6100.0000"/>
    <n v="5.49"/>
    <s v="11"/>
    <s v="6100"/>
    <n v="21177.37"/>
    <n v="5.49"/>
    <s v="CREDITOR"/>
    <n v="0"/>
    <n v="0"/>
    <n v="0"/>
    <n v="0"/>
    <n v="5.49"/>
  </r>
  <r>
    <n v="62327522"/>
    <s v="N"/>
    <n v="21344029"/>
    <s v="3000016293570002"/>
    <s v="CIVIL"/>
    <d v="2023-06-27T00:00:00"/>
    <d v="2023-07-07T19:03:00"/>
    <m/>
    <d v="2023-07-07T00:00:00"/>
    <n v="409"/>
    <n v="14052"/>
    <s v="62327522"/>
    <s v="62327522"/>
    <m/>
    <m/>
    <n v="22772054"/>
    <m/>
    <m/>
    <m/>
    <s v="SOLFIN"/>
    <s v="SOLFIN"/>
    <s v="CCMS"/>
    <n v="21344029"/>
    <n v="1259.6"/>
    <m/>
    <s v="N"/>
    <n v="2"/>
    <d v="2023-07-07T19:03:21"/>
    <s v="Y"/>
    <s v="Hearing Unit 0.00 - 1.00 Hours"/>
    <s v="Domestic Abuse"/>
    <s v="Advocacy"/>
    <s v="EAC"/>
    <s v="Y"/>
    <n v="81.5"/>
    <n v="16.3"/>
    <x v="9"/>
    <s v="VALIDATED"/>
    <n v="1"/>
    <s v="01.11.80.302.6100.0000"/>
    <n v="81.5"/>
    <s v="11"/>
    <s v="6100"/>
    <n v="21177.37"/>
    <n v="81.5"/>
    <s v="CREDITOR"/>
    <n v="0"/>
    <n v="0"/>
    <n v="0"/>
    <n v="0"/>
    <n v="81.5"/>
  </r>
  <r>
    <n v="62238310"/>
    <s v="N"/>
    <n v="21328203"/>
    <s v="3000016227250003"/>
    <s v="CIVIL"/>
    <d v="2023-06-22T00:00:00"/>
    <d v="2023-07-04T19:00:44"/>
    <m/>
    <d v="2023-07-04T00:00:00"/>
    <n v="409"/>
    <n v="14052"/>
    <s v="62238310"/>
    <s v="62238310"/>
    <m/>
    <m/>
    <n v="22747288"/>
    <m/>
    <m/>
    <m/>
    <s v="SOLFIN"/>
    <s v="SOLFIN"/>
    <s v="CCMS"/>
    <n v="21328203"/>
    <n v="826.2"/>
    <m/>
    <s v="N"/>
    <n v="2"/>
    <d v="2023-07-04T19:01:08"/>
    <s v="Y"/>
    <s v="Hearing Unit 0.00 - 1.00 Hours"/>
    <s v="Domestic Abuse"/>
    <s v="Advocacy"/>
    <s v="EAC"/>
    <s v="Y"/>
    <n v="81.5"/>
    <n v="16.3"/>
    <x v="1"/>
    <s v="VALIDATED"/>
    <n v="1"/>
    <s v="01.11.80.302.6100.0000"/>
    <n v="81.5"/>
    <s v="11"/>
    <s v="6100"/>
    <n v="21177.37"/>
    <n v="81.5"/>
    <s v="CREDITOR"/>
    <n v="0"/>
    <n v="0"/>
    <n v="0"/>
    <n v="0"/>
    <n v="81.5"/>
  </r>
  <r>
    <n v="59614799"/>
    <s v="N"/>
    <n v="21392014"/>
    <s v="3000014015350017"/>
    <s v="CIVIL"/>
    <d v="2023-06-21T00:00:00"/>
    <d v="2023-07-18T19:00:27"/>
    <m/>
    <d v="2023-07-18T00:00:00"/>
    <n v="409"/>
    <n v="14052"/>
    <s v="59614799"/>
    <s v="59614799"/>
    <m/>
    <m/>
    <n v="22732876"/>
    <m/>
    <m/>
    <m/>
    <s v="SOLFIN"/>
    <s v="SOLFIN"/>
    <s v="CCMS"/>
    <n v="21392014"/>
    <n v="10835.83"/>
    <m/>
    <s v="N"/>
    <n v="26"/>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35"/>
    <d v="2023-07-18T19:00:35"/>
    <s v="Y"/>
    <s v="Preparation - drafting consent orde"/>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66"/>
    <d v="2023-07-18T19:00:35"/>
    <s v="Y"/>
    <s v="Attendance upon client"/>
    <s v="Prescribed Hourly Rates"/>
    <s v="Profit Cost"/>
    <s v="EAC"/>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102"/>
    <d v="2023-07-18T19:00:35"/>
    <s v="Y"/>
    <s v="Report - Welfare report"/>
    <s v="Prescribed Hourly Rates"/>
    <s v="Profit Cost"/>
    <s v="EAC"/>
    <s v="Y"/>
    <n v="43.92"/>
    <n v="8.779999999999999"/>
    <x v="14"/>
    <s v="VALIDATED"/>
    <n v="1"/>
    <s v="01.11.80.302.6100.0000"/>
    <n v="43.92"/>
    <s v="11"/>
    <s v="6100"/>
    <n v="21177.37"/>
    <n v="43.92"/>
    <s v="CREDITOR"/>
    <n v="0"/>
    <n v="0"/>
    <n v="0"/>
    <n v="0"/>
    <n v="43.92"/>
  </r>
  <r>
    <n v="59614799"/>
    <s v="N"/>
    <n v="21392014"/>
    <s v="3000014015350017"/>
    <s v="CIVIL"/>
    <d v="2023-06-21T00:00:00"/>
    <d v="2023-07-18T19:00:27"/>
    <m/>
    <d v="2023-07-18T00:00:00"/>
    <n v="409"/>
    <n v="14052"/>
    <s v="59614799"/>
    <s v="59614799"/>
    <m/>
    <m/>
    <n v="22732876"/>
    <m/>
    <m/>
    <m/>
    <s v="SOLFIN"/>
    <s v="SOLFIN"/>
    <s v="CCMS"/>
    <n v="21392014"/>
    <n v="10835.83"/>
    <m/>
    <s v="N"/>
    <n v="106"/>
    <d v="2023-07-18T19:00:35"/>
    <s v="Y"/>
    <s v="Preparation - drafting pleadings"/>
    <s v="Prescribed Hourly Rates"/>
    <s v="Profit Cost"/>
    <s v="EAC"/>
    <s v="Y"/>
    <n v="32.94"/>
    <n v="6.59"/>
    <x v="14"/>
    <s v="VALIDATED"/>
    <n v="1"/>
    <s v="01.11.80.302.6100.0000"/>
    <n v="32.94"/>
    <s v="11"/>
    <s v="6100"/>
    <n v="21177.37"/>
    <n v="32.94"/>
    <s v="CREDITOR"/>
    <n v="0"/>
    <n v="0"/>
    <n v="0"/>
    <n v="0"/>
    <n v="32.94"/>
  </r>
  <r>
    <n v="59614799"/>
    <s v="N"/>
    <n v="21392014"/>
    <s v="3000014015350017"/>
    <s v="CIVIL"/>
    <d v="2023-06-21T00:00:00"/>
    <d v="2023-07-18T19:00:27"/>
    <m/>
    <d v="2023-07-18T00:00:00"/>
    <n v="409"/>
    <n v="14052"/>
    <s v="59614799"/>
    <s v="59614799"/>
    <m/>
    <m/>
    <n v="22732876"/>
    <m/>
    <m/>
    <m/>
    <s v="SOLFIN"/>
    <s v="SOLFIN"/>
    <s v="CCMS"/>
    <n v="21392014"/>
    <n v="10835.83"/>
    <m/>
    <s v="N"/>
    <n v="117"/>
    <d v="2023-07-18T19:00:35"/>
    <s v="Y"/>
    <s v="Preparation - drafting instructions"/>
    <s v="Prescribed Hourly Rates"/>
    <s v="Profit Cost"/>
    <s v="CJD"/>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33"/>
    <d v="2023-07-18T19:00:35"/>
    <s v="Y"/>
    <s v="Preparation - other"/>
    <s v="Prescribed Hourly Rates"/>
    <s v="Profit Cost"/>
    <s v="ZH"/>
    <s v="Y"/>
    <n v="32.94"/>
    <n v="6.59"/>
    <x v="14"/>
    <s v="VALIDATED"/>
    <n v="1"/>
    <s v="01.11.80.302.6100.0000"/>
    <n v="32.94"/>
    <s v="11"/>
    <s v="6100"/>
    <n v="21177.37"/>
    <n v="32.94"/>
    <s v="CREDITOR"/>
    <n v="0"/>
    <n v="0"/>
    <n v="0"/>
    <n v="0"/>
    <n v="32.94"/>
  </r>
  <r>
    <n v="59614799"/>
    <s v="N"/>
    <n v="21392014"/>
    <s v="3000014015350017"/>
    <s v="CIVIL"/>
    <d v="2023-06-21T00:00:00"/>
    <d v="2023-07-18T19:00:27"/>
    <m/>
    <d v="2023-07-18T00:00:00"/>
    <n v="409"/>
    <n v="14052"/>
    <s v="59614799"/>
    <s v="59614799"/>
    <m/>
    <m/>
    <n v="22732876"/>
    <m/>
    <m/>
    <m/>
    <s v="SOLFIN"/>
    <s v="SOLFIN"/>
    <s v="CCMS"/>
    <n v="21392014"/>
    <n v="10835.83"/>
    <m/>
    <s v="N"/>
    <n v="73"/>
    <d v="2023-07-18T19:00:35"/>
    <s v="Y"/>
    <s v="Preparation - other"/>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49"/>
    <d v="2023-07-18T19:00:35"/>
    <s v="Y"/>
    <s v="Preparation - drafting attendance n"/>
    <s v="Prescribed Hourly Rates"/>
    <s v="Profit Cost"/>
    <s v="ZH"/>
    <s v="Y"/>
    <n v="5.49"/>
    <n v="1.1"/>
    <x v="14"/>
    <s v="VALIDATED"/>
    <n v="1"/>
    <s v="01.11.80.302.6100.0000"/>
    <n v="5.49"/>
    <s v="11"/>
    <s v="6100"/>
    <n v="21177.37"/>
    <n v="5.49"/>
    <s v="CREDITOR"/>
    <n v="0"/>
    <n v="0"/>
    <n v="0"/>
    <n v="0"/>
    <n v="5.49"/>
  </r>
  <r>
    <n v="62418776"/>
    <s v="N"/>
    <n v="21320012"/>
    <s v="3000016378710001"/>
    <s v="CIVIL"/>
    <d v="2023-06-27T00:00:00"/>
    <d v="2023-07-03T19:04:24"/>
    <m/>
    <d v="2023-07-03T00:00:00"/>
    <n v="409"/>
    <n v="14052"/>
    <s v="62418776"/>
    <s v="62418776"/>
    <m/>
    <m/>
    <n v="22775056"/>
    <m/>
    <m/>
    <m/>
    <s v="SOLPOA"/>
    <s v="SOLPOA"/>
    <s v="CCMS"/>
    <n v="21320012"/>
    <n v="120"/>
    <m/>
    <s v="N"/>
    <n v="1"/>
    <d v="2023-07-03T19:04:28"/>
    <s v="N"/>
    <s v="Non Expert Disbursement - Domestic "/>
    <s v="Non Expert Disbursement - Dome"/>
    <s v="Non Expert Disbursement"/>
    <s v="EAC"/>
    <s v="N"/>
    <n v="100"/>
    <n v="20"/>
    <x v="3"/>
    <s v="VALIDATED"/>
    <n v="1"/>
    <s v="01.11.80.302.2012.0000"/>
    <n v="100"/>
    <s v="11"/>
    <s v="2012"/>
    <n v="21177.37"/>
    <n v="100"/>
    <s v="CREDITOR"/>
    <n v="100"/>
    <n v="0"/>
    <n v="0"/>
    <n v="0"/>
    <n v="0"/>
  </r>
  <r>
    <n v="62226013"/>
    <s v="N"/>
    <n v="21343233"/>
    <s v="3000016210350002"/>
    <s v="CIVIL"/>
    <d v="2023-06-26T00:00:00"/>
    <d v="2023-07-07T19:03:00"/>
    <m/>
    <d v="2023-07-07T00:00:00"/>
    <n v="409"/>
    <n v="14052"/>
    <s v="62226013"/>
    <s v="62226013"/>
    <m/>
    <m/>
    <n v="22764274"/>
    <m/>
    <m/>
    <m/>
    <s v="SOLFIN"/>
    <s v="SOLFIN"/>
    <s v="CCMS"/>
    <n v="21343233"/>
    <n v="1259.6"/>
    <m/>
    <s v="N"/>
    <n v="3"/>
    <d v="2023-07-07T19:03:05"/>
    <s v="Y"/>
    <s v="Final Hearing - 1 Day"/>
    <s v="Domestic Abuse"/>
    <s v="Advocacy"/>
    <s v="EAC"/>
    <s v="Y"/>
    <n v="361.17"/>
    <n v="72.23"/>
    <x v="9"/>
    <s v="VALIDATED"/>
    <n v="1"/>
    <s v="01.11.80.302.6100.0000"/>
    <n v="361.17"/>
    <s v="11"/>
    <s v="6100"/>
    <n v="21177.37"/>
    <n v="361.17"/>
    <s v="CREDITOR"/>
    <n v="0"/>
    <n v="0"/>
    <n v="0"/>
    <n v="0"/>
    <n v="361.17"/>
  </r>
  <r>
    <n v="62278320"/>
    <s v="N"/>
    <n v="21331001"/>
    <s v="3000016241720002"/>
    <s v="CIVIL"/>
    <d v="2023-06-22T00:00:00"/>
    <d v="2023-07-05T19:01:47"/>
    <m/>
    <d v="2023-07-05T00:00:00"/>
    <n v="409"/>
    <n v="14052"/>
    <s v="62278320"/>
    <s v="62278320"/>
    <m/>
    <m/>
    <n v="22747168"/>
    <m/>
    <m/>
    <m/>
    <s v="SOLFIN"/>
    <s v="SOLFIN"/>
    <s v="CCMS"/>
    <n v="21331001"/>
    <n v="1161.8"/>
    <m/>
    <s v="N"/>
    <n v="3"/>
    <d v="2023-07-05T19:02:01"/>
    <s v="Y"/>
    <s v="Level 4 Fixed Fee"/>
    <s v="Domestic Abuse"/>
    <s v="Profit Cost"/>
    <s v="XXX"/>
    <s v="Y"/>
    <n v="507"/>
    <n v="101.4"/>
    <x v="6"/>
    <s v="VALIDATED"/>
    <n v="1"/>
    <s v="01.11.80.302.6100.0000"/>
    <n v="507"/>
    <s v="11"/>
    <s v="6100"/>
    <n v="21177.37"/>
    <n v="507"/>
    <s v="CREDITOR"/>
    <n v="0"/>
    <n v="0"/>
    <n v="0"/>
    <n v="0"/>
    <n v="507"/>
  </r>
  <r>
    <n v="59614799"/>
    <s v="N"/>
    <n v="21392014"/>
    <s v="3000014015350017"/>
    <s v="CIVIL"/>
    <d v="2023-06-21T00:00:00"/>
    <d v="2023-07-18T19:00:27"/>
    <m/>
    <d v="2023-07-18T00:00:00"/>
    <n v="409"/>
    <n v="14052"/>
    <s v="59614799"/>
    <s v="59614799"/>
    <m/>
    <m/>
    <n v="22732876"/>
    <m/>
    <m/>
    <m/>
    <s v="SOLFIN"/>
    <s v="SOLFIN"/>
    <s v="CCMS"/>
    <n v="21392014"/>
    <n v="10835.83"/>
    <m/>
    <s v="N"/>
    <n v="128"/>
    <d v="2023-07-18T19:00:35"/>
    <s v="Y"/>
    <s v="Routine Letter Out"/>
    <s v="Prescribed Hourly Rates"/>
    <s v="Profit Cost"/>
    <s v="EAC"/>
    <s v="Y"/>
    <n v="2019.6"/>
    <n v="403.88"/>
    <x v="14"/>
    <s v="VALIDATED"/>
    <n v="1"/>
    <s v="01.11.80.302.6100.0000"/>
    <n v="2019.6"/>
    <s v="11"/>
    <s v="6100"/>
    <n v="21177.37"/>
    <n v="2019.6"/>
    <s v="CREDITOR"/>
    <n v="0"/>
    <n v="0"/>
    <n v="0"/>
    <n v="0"/>
    <n v="2019.6"/>
  </r>
  <r>
    <n v="59614799"/>
    <s v="N"/>
    <n v="21392014"/>
    <s v="3000014015350017"/>
    <s v="CIVIL"/>
    <d v="2023-06-21T00:00:00"/>
    <d v="2023-07-18T19:00:27"/>
    <m/>
    <d v="2023-07-18T00:00:00"/>
    <n v="409"/>
    <n v="14052"/>
    <s v="59614799"/>
    <s v="59614799"/>
    <m/>
    <m/>
    <n v="22732876"/>
    <m/>
    <m/>
    <m/>
    <s v="SOLFIN"/>
    <s v="SOLFIN"/>
    <s v="CCMS"/>
    <n v="21392014"/>
    <n v="10835.83"/>
    <m/>
    <s v="N"/>
    <n v="63"/>
    <d v="2023-07-18T19:00:35"/>
    <s v="Y"/>
    <s v="Attendance upon client"/>
    <s v="Prescribed Hourly Rates"/>
    <s v="Profit Cost"/>
    <s v="EAC"/>
    <s v="Y"/>
    <n v="54.9"/>
    <n v="10.98"/>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92"/>
    <d v="2023-07-18T19:00:35"/>
    <s v="Y"/>
    <s v="Preparation - other"/>
    <s v="Prescribed Hourly Rates"/>
    <s v="Profit Cost"/>
    <s v="EAC"/>
    <s v="Y"/>
    <n v="10.98"/>
    <n v="2.2"/>
    <x v="14"/>
    <s v="VALIDATED"/>
    <n v="1"/>
    <s v="01.11.80.302.6100.0000"/>
    <n v="10.98"/>
    <s v="11"/>
    <s v="6100"/>
    <n v="21177.37"/>
    <n v="10.98"/>
    <s v="CREDITOR"/>
    <n v="0"/>
    <n v="0"/>
    <n v="0"/>
    <n v="0"/>
    <n v="10.98"/>
  </r>
  <r>
    <n v="62095857"/>
    <s v="N"/>
    <n v="21338545"/>
    <s v="3000016098560002"/>
    <s v="CIVIL"/>
    <d v="2023-06-19T00:00:00"/>
    <d v="2023-07-06T19:21:01"/>
    <m/>
    <d v="2023-07-06T00:00:00"/>
    <n v="409"/>
    <n v="14052"/>
    <s v="62095857"/>
    <s v="62095857"/>
    <m/>
    <m/>
    <n v="22714016"/>
    <m/>
    <m/>
    <m/>
    <s v="SOLFIN"/>
    <s v="SOLFIN"/>
    <s v="CCMS"/>
    <n v="21338545"/>
    <n v="1406.31"/>
    <m/>
    <s v="N"/>
    <n v="1"/>
    <d v="2023-07-06T19:21:28"/>
    <s v="Y"/>
    <s v="Process server"/>
    <s v="Domestic Abuse"/>
    <s v="Expert Disbursement"/>
    <s v="XXX"/>
    <s v="Y"/>
    <n v="100"/>
    <n v="20"/>
    <x v="4"/>
    <s v="VALIDATED"/>
    <n v="1"/>
    <s v="01.11.80.302.6300.0000"/>
    <n v="100"/>
    <s v="11"/>
    <s v="6300"/>
    <n v="21177.37"/>
    <n v="100"/>
    <s v="CREDITOR"/>
    <n v="0"/>
    <n v="0"/>
    <n v="0"/>
    <n v="0"/>
    <n v="100"/>
  </r>
  <r>
    <n v="59614799"/>
    <s v="N"/>
    <n v="21392014"/>
    <s v="3000014015350017"/>
    <s v="CIVIL"/>
    <d v="2023-06-21T00:00:00"/>
    <d v="2023-07-18T19:00:27"/>
    <m/>
    <d v="2023-07-18T00:00:00"/>
    <n v="409"/>
    <n v="14052"/>
    <s v="59614799"/>
    <s v="59614799"/>
    <m/>
    <m/>
    <n v="22732876"/>
    <m/>
    <m/>
    <m/>
    <s v="SOLFIN"/>
    <s v="SOLFIN"/>
    <s v="CCMS"/>
    <n v="21392014"/>
    <n v="10835.83"/>
    <m/>
    <s v="N"/>
    <n v="31"/>
    <d v="2023-07-18T19:00:35"/>
    <s v="Y"/>
    <s v="Preparation - Periodic file review"/>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67"/>
    <d v="2023-07-18T19:00:35"/>
    <s v="Y"/>
    <s v="Preparation - drafting instructions"/>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76"/>
    <d v="2023-07-18T19:00:35"/>
    <s v="Y"/>
    <s v="Preparation - drafting attendance n"/>
    <s v="Prescribed Hourly Rates"/>
    <s v="Profit Cost"/>
    <s v="ZH"/>
    <s v="Y"/>
    <n v="5.49"/>
    <n v="1.1"/>
    <x v="14"/>
    <s v="VALIDATED"/>
    <n v="1"/>
    <s v="01.11.80.302.6100.0000"/>
    <n v="5.49"/>
    <s v="11"/>
    <s v="6100"/>
    <n v="21177.37"/>
    <n v="5.49"/>
    <s v="CREDITOR"/>
    <n v="0"/>
    <n v="0"/>
    <n v="0"/>
    <n v="0"/>
    <n v="5.49"/>
  </r>
  <r>
    <n v="62014187"/>
    <s v="N"/>
    <n v="21327682"/>
    <s v="3000016055150003"/>
    <s v="CIVIL"/>
    <d v="2023-06-23T00:00:00"/>
    <d v="2023-07-04T19:00:44"/>
    <m/>
    <d v="2023-07-04T00:00:00"/>
    <n v="409"/>
    <n v="14052"/>
    <s v="62014187"/>
    <s v="62014187"/>
    <m/>
    <m/>
    <n v="22754796"/>
    <m/>
    <m/>
    <m/>
    <s v="SOLFIN"/>
    <s v="SOLFIN"/>
    <s v="CCMS"/>
    <n v="21327682"/>
    <n v="6192.83"/>
    <m/>
    <s v="N"/>
    <n v="7"/>
    <d v="2023-07-04T19:00:52"/>
    <s v="Y"/>
    <s v="Advocates Meeting"/>
    <s v="Public Law Children"/>
    <s v="Advocacy"/>
    <s v="hd"/>
    <s v="Y"/>
    <n v="140.99"/>
    <n v="28.2"/>
    <x v="1"/>
    <s v="VALIDATED"/>
    <n v="1"/>
    <s v="01.11.80.308.6100.0000"/>
    <n v="140.99"/>
    <s v="11"/>
    <s v="6100"/>
    <n v="21177.37"/>
    <n v="140.99"/>
    <s v="CREDITOR"/>
    <n v="0"/>
    <n v="0"/>
    <n v="0"/>
    <n v="0"/>
    <n v="140.99"/>
  </r>
  <r>
    <n v="59614799"/>
    <s v="N"/>
    <n v="21392014"/>
    <s v="3000014015350017"/>
    <s v="CIVIL"/>
    <d v="2023-06-21T00:00:00"/>
    <d v="2023-07-18T19:00:27"/>
    <m/>
    <d v="2023-07-18T00:00:00"/>
    <n v="409"/>
    <n v="14052"/>
    <s v="59614799"/>
    <s v="59614799"/>
    <m/>
    <m/>
    <n v="22732876"/>
    <m/>
    <m/>
    <m/>
    <s v="SOLFIN"/>
    <s v="SOLFIN"/>
    <s v="CCMS"/>
    <n v="21392014"/>
    <n v="10835.83"/>
    <m/>
    <s v="N"/>
    <n v="29"/>
    <d v="2023-07-18T19:00:35"/>
    <s v="Y"/>
    <s v="Attendance upon client"/>
    <s v="Prescribed Hourly Rates"/>
    <s v="Profit Cost"/>
    <s v="EAC"/>
    <s v="Y"/>
    <n v="10.98"/>
    <n v="2.2"/>
    <x v="14"/>
    <s v="VALIDATED"/>
    <n v="1"/>
    <s v="01.11.80.302.6100.0000"/>
    <n v="10.98"/>
    <s v="11"/>
    <s v="6100"/>
    <n v="21177.37"/>
    <n v="10.98"/>
    <s v="CREDITOR"/>
    <n v="0"/>
    <n v="0"/>
    <n v="0"/>
    <n v="0"/>
    <n v="10.98"/>
  </r>
  <r>
    <n v="62370551"/>
    <s v="N"/>
    <n v="21318666"/>
    <s v="3000016341490001"/>
    <s v="CIVIL"/>
    <d v="2023-06-23T00:00:00"/>
    <d v="2023-07-03T19:01:49"/>
    <m/>
    <d v="2023-07-03T00:00:00"/>
    <n v="409"/>
    <n v="14052"/>
    <s v="62370551"/>
    <s v="62370551"/>
    <m/>
    <m/>
    <n v="22756156"/>
    <m/>
    <m/>
    <m/>
    <s v="SOLPOA"/>
    <s v="SOLPOA"/>
    <s v="CCMS"/>
    <n v="21318666"/>
    <n v="120"/>
    <m/>
    <s v="N"/>
    <n v="1"/>
    <d v="2023-07-03T19:02:00"/>
    <s v="N"/>
    <s v="Non Expert Disbursement - Domestic "/>
    <s v="Non Expert Disbursement - Dome"/>
    <s v="Non Expert Disbursement"/>
    <s v="EAC"/>
    <s v="N"/>
    <n v="100"/>
    <n v="20"/>
    <x v="3"/>
    <s v="VALIDATED"/>
    <n v="1"/>
    <s v="01.11.80.302.2012.0000"/>
    <n v="100"/>
    <s v="11"/>
    <s v="2012"/>
    <n v="21177.37"/>
    <n v="100"/>
    <s v="CREDITOR"/>
    <n v="100"/>
    <n v="0"/>
    <n v="0"/>
    <n v="0"/>
    <n v="0"/>
  </r>
  <r>
    <n v="59614799"/>
    <s v="N"/>
    <n v="21392014"/>
    <s v="3000014015350017"/>
    <s v="CIVIL"/>
    <d v="2023-06-21T00:00:00"/>
    <d v="2023-07-18T19:00:27"/>
    <m/>
    <d v="2023-07-18T00:00:00"/>
    <n v="409"/>
    <n v="14052"/>
    <s v="59614799"/>
    <s v="59614799"/>
    <m/>
    <m/>
    <n v="22732876"/>
    <m/>
    <m/>
    <m/>
    <s v="SOLFIN"/>
    <s v="SOLFIN"/>
    <s v="CCMS"/>
    <n v="21392014"/>
    <n v="10835.83"/>
    <m/>
    <s v="N"/>
    <n v="46"/>
    <d v="2023-07-18T19:00:35"/>
    <s v="Y"/>
    <s v="Preparation - drafting statement"/>
    <s v="Prescribed Hourly Rates"/>
    <s v="Profit Cost"/>
    <s v="ZH"/>
    <s v="Y"/>
    <n v="208.62"/>
    <n v="41.73"/>
    <x v="14"/>
    <s v="VALIDATED"/>
    <n v="1"/>
    <s v="01.11.80.302.6100.0000"/>
    <n v="208.62"/>
    <s v="11"/>
    <s v="6100"/>
    <n v="21177.37"/>
    <n v="208.62"/>
    <s v="CREDITOR"/>
    <n v="0"/>
    <n v="0"/>
    <n v="0"/>
    <n v="0"/>
    <n v="208.62"/>
  </r>
  <r>
    <n v="59614799"/>
    <s v="N"/>
    <n v="21392014"/>
    <s v="3000014015350017"/>
    <s v="CIVIL"/>
    <d v="2023-06-21T00:00:00"/>
    <d v="2023-07-18T19:00:27"/>
    <m/>
    <d v="2023-07-18T00:00:00"/>
    <n v="409"/>
    <n v="14052"/>
    <s v="59614799"/>
    <s v="59614799"/>
    <m/>
    <m/>
    <n v="22732876"/>
    <m/>
    <m/>
    <m/>
    <s v="SOLFIN"/>
    <s v="SOLFIN"/>
    <s v="CCMS"/>
    <n v="21392014"/>
    <n v="10835.83"/>
    <m/>
    <s v="N"/>
    <n v="54"/>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57"/>
    <d v="2023-07-18T19:00:35"/>
    <s v="Y"/>
    <s v="Preparation - drafting pleadings"/>
    <s v="Prescribed Hourly Rates"/>
    <s v="Profit Cost"/>
    <s v="ZH"/>
    <s v="Y"/>
    <n v="32.94"/>
    <n v="6.59"/>
    <x v="14"/>
    <s v="VALIDATED"/>
    <n v="1"/>
    <s v="01.11.80.302.6100.0000"/>
    <n v="32.94"/>
    <s v="11"/>
    <s v="6100"/>
    <n v="21177.37"/>
    <n v="32.94"/>
    <s v="CREDITOR"/>
    <n v="0"/>
    <n v="0"/>
    <n v="0"/>
    <n v="0"/>
    <n v="32.94"/>
  </r>
  <r>
    <n v="59614799"/>
    <s v="N"/>
    <n v="21392014"/>
    <s v="3000014015350017"/>
    <s v="CIVIL"/>
    <d v="2023-06-21T00:00:00"/>
    <d v="2023-07-18T19:00:27"/>
    <m/>
    <d v="2023-07-18T00:00:00"/>
    <n v="409"/>
    <n v="14052"/>
    <s v="59614799"/>
    <s v="59614799"/>
    <m/>
    <m/>
    <n v="22732876"/>
    <m/>
    <m/>
    <m/>
    <s v="SOLFIN"/>
    <s v="SOLFIN"/>
    <s v="CCMS"/>
    <n v="21392014"/>
    <n v="10835.83"/>
    <m/>
    <s v="N"/>
    <n v="86"/>
    <d v="2023-07-18T19:00:35"/>
    <s v="Y"/>
    <s v="Preparation - drafting statement"/>
    <s v="Prescribed Hourly Rates"/>
    <s v="Profit Cost"/>
    <s v="EAC"/>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38"/>
    <d v="2023-07-18T19:00:35"/>
    <s v="Y"/>
    <s v="Attendance upon client"/>
    <s v="Prescribed Hourly Rates"/>
    <s v="Profit Cost"/>
    <s v="ZH"/>
    <s v="Y"/>
    <n v="16.47"/>
    <n v="3.29"/>
    <x v="14"/>
    <s v="VALIDATED"/>
    <n v="1"/>
    <s v="01.11.80.302.6100.0000"/>
    <n v="16.47"/>
    <s v="11"/>
    <s v="6100"/>
    <n v="21177.37"/>
    <n v="16.47"/>
    <s v="CREDITOR"/>
    <n v="0"/>
    <n v="0"/>
    <n v="0"/>
    <n v="0"/>
    <n v="16.47"/>
  </r>
  <r>
    <n v="62226013"/>
    <s v="N"/>
    <n v="21343233"/>
    <s v="3000016210350002"/>
    <s v="CIVIL"/>
    <d v="2023-06-26T00:00:00"/>
    <d v="2023-07-07T19:03:00"/>
    <m/>
    <d v="2023-07-07T00:00:00"/>
    <n v="409"/>
    <n v="14052"/>
    <s v="62226013"/>
    <s v="62226013"/>
    <m/>
    <m/>
    <n v="22764274"/>
    <m/>
    <m/>
    <m/>
    <s v="SOLFIN"/>
    <s v="SOLFIN"/>
    <s v="CCMS"/>
    <n v="21343233"/>
    <n v="1259.6"/>
    <m/>
    <s v="N"/>
    <n v="1"/>
    <d v="2023-07-07T19:03:05"/>
    <s v="Y"/>
    <s v="Process server"/>
    <s v="Domestic Abuse"/>
    <s v="Expert Disbursement"/>
    <s v="XXX"/>
    <s v="Y"/>
    <n v="100"/>
    <n v="20"/>
    <x v="9"/>
    <s v="VALIDATED"/>
    <n v="1"/>
    <s v="01.11.80.302.6300.0000"/>
    <n v="100"/>
    <s v="11"/>
    <s v="6300"/>
    <n v="21177.37"/>
    <n v="100"/>
    <s v="CREDITOR"/>
    <n v="0"/>
    <n v="0"/>
    <n v="0"/>
    <n v="0"/>
    <n v="100"/>
  </r>
  <r>
    <n v="59614799"/>
    <s v="N"/>
    <n v="21392014"/>
    <s v="3000014015350017"/>
    <s v="CIVIL"/>
    <d v="2023-06-21T00:00:00"/>
    <d v="2023-07-18T19:00:27"/>
    <m/>
    <d v="2023-07-18T00:00:00"/>
    <n v="409"/>
    <n v="14052"/>
    <s v="59614799"/>
    <s v="59614799"/>
    <m/>
    <m/>
    <n v="22732876"/>
    <m/>
    <m/>
    <m/>
    <s v="SOLFIN"/>
    <s v="SOLFIN"/>
    <s v="CCMS"/>
    <n v="21392014"/>
    <n v="10835.83"/>
    <m/>
    <s v="N"/>
    <n v="23"/>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4"/>
    <d v="2023-07-18T19:00:35"/>
    <s v="Y"/>
    <s v="Preparation - Periodic file review"/>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7"/>
    <d v="2023-07-18T19:00:35"/>
    <s v="Y"/>
    <s v="Preparation - drafting pleadings"/>
    <s v="Prescribed Hourly Rates"/>
    <s v="Profit Cost"/>
    <s v="ZH"/>
    <s v="Y"/>
    <n v="27.45"/>
    <n v="5.49"/>
    <x v="14"/>
    <s v="VALIDATED"/>
    <n v="1"/>
    <s v="01.11.80.302.6100.0000"/>
    <n v="27.45"/>
    <s v="11"/>
    <s v="6100"/>
    <n v="21177.37"/>
    <n v="27.45"/>
    <s v="CREDITOR"/>
    <n v="0"/>
    <n v="0"/>
    <n v="0"/>
    <n v="0"/>
    <n v="27.45"/>
  </r>
  <r>
    <n v="59614799"/>
    <s v="N"/>
    <n v="21392014"/>
    <s v="3000014015350017"/>
    <s v="CIVIL"/>
    <d v="2023-06-21T00:00:00"/>
    <d v="2023-07-18T19:00:27"/>
    <m/>
    <d v="2023-07-18T00:00:00"/>
    <n v="409"/>
    <n v="14052"/>
    <s v="59614799"/>
    <s v="59614799"/>
    <m/>
    <m/>
    <n v="22732876"/>
    <m/>
    <m/>
    <m/>
    <s v="SOLFIN"/>
    <s v="SOLFIN"/>
    <s v="CCMS"/>
    <n v="21392014"/>
    <n v="10835.83"/>
    <m/>
    <s v="N"/>
    <n v="37"/>
    <d v="2023-07-18T19:00:35"/>
    <s v="Y"/>
    <s v="Preparation - drafting attendance n"/>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10"/>
    <d v="2023-07-18T19:00:35"/>
    <s v="Y"/>
    <s v="Preparation - drafting pleadings"/>
    <s v="Prescribed Hourly Rates"/>
    <s v="Profit Cost"/>
    <s v="EAC"/>
    <s v="Y"/>
    <n v="16.47"/>
    <n v="3.29"/>
    <x v="14"/>
    <s v="VALIDATED"/>
    <n v="1"/>
    <s v="01.11.80.302.6100.0000"/>
    <n v="16.47"/>
    <s v="11"/>
    <s v="6100"/>
    <n v="21177.37"/>
    <n v="16.47"/>
    <s v="CREDITOR"/>
    <n v="0"/>
    <n v="0"/>
    <n v="0"/>
    <n v="0"/>
    <n v="16.47"/>
  </r>
  <r>
    <n v="62327522"/>
    <s v="N"/>
    <n v="21344029"/>
    <s v="3000016293570002"/>
    <s v="CIVIL"/>
    <d v="2023-06-27T00:00:00"/>
    <d v="2023-07-07T19:03:00"/>
    <m/>
    <d v="2023-07-07T00:00:00"/>
    <n v="409"/>
    <n v="14052"/>
    <s v="62327522"/>
    <s v="62327522"/>
    <m/>
    <m/>
    <n v="22772054"/>
    <m/>
    <m/>
    <m/>
    <s v="SOLFIN"/>
    <s v="SOLFIN"/>
    <s v="CCMS"/>
    <n v="21344029"/>
    <n v="1259.6"/>
    <m/>
    <s v="N"/>
    <n v="1"/>
    <d v="2023-07-07T19:03:21"/>
    <s v="Y"/>
    <s v="Process server"/>
    <s v="Domestic Abuse"/>
    <s v="Expert Disbursement"/>
    <s v="XXX"/>
    <s v="Y"/>
    <n v="100"/>
    <n v="20"/>
    <x v="9"/>
    <s v="VALIDATED"/>
    <n v="1"/>
    <s v="01.11.80.302.6300.0000"/>
    <n v="100"/>
    <s v="11"/>
    <s v="6300"/>
    <n v="21177.37"/>
    <n v="100"/>
    <s v="CREDITOR"/>
    <n v="0"/>
    <n v="0"/>
    <n v="0"/>
    <n v="0"/>
    <n v="100"/>
  </r>
  <r>
    <n v="59614799"/>
    <s v="N"/>
    <n v="21392014"/>
    <s v="3000014015350017"/>
    <s v="CIVIL"/>
    <d v="2023-06-21T00:00:00"/>
    <d v="2023-07-18T19:00:27"/>
    <m/>
    <d v="2023-07-18T00:00:00"/>
    <n v="409"/>
    <n v="14052"/>
    <s v="59614799"/>
    <s v="59614799"/>
    <m/>
    <m/>
    <n v="22732876"/>
    <m/>
    <m/>
    <m/>
    <s v="SOLFIN"/>
    <s v="SOLFIN"/>
    <s v="CCMS"/>
    <n v="21392014"/>
    <n v="10835.83"/>
    <m/>
    <s v="N"/>
    <n v="8"/>
    <d v="2023-07-18T19:00:35"/>
    <s v="N"/>
    <s v="Level 3 &amp; Level 4 Fixed Fee"/>
    <s v="Private Law Children"/>
    <s v="Profit Cost"/>
    <s v="XXX"/>
    <s v="N"/>
    <n v="0"/>
    <n v="0"/>
    <x v="14"/>
    <s v="VALIDATED"/>
    <n v="1"/>
    <s v="01.11.80.302.6100.0000"/>
    <n v="0"/>
    <s v="11"/>
    <s v="6100"/>
    <n v="21177.37"/>
    <n v="0"/>
    <s v="CREDITOR"/>
    <n v="0"/>
    <n v="0"/>
    <n v="0"/>
    <n v="0"/>
    <n v="0"/>
  </r>
  <r>
    <n v="59614799"/>
    <s v="N"/>
    <n v="21392014"/>
    <s v="3000014015350017"/>
    <s v="CIVIL"/>
    <d v="2023-06-21T00:00:00"/>
    <d v="2023-07-18T19:00:27"/>
    <m/>
    <d v="2023-07-18T00:00:00"/>
    <n v="409"/>
    <n v="14052"/>
    <s v="59614799"/>
    <s v="59614799"/>
    <m/>
    <m/>
    <n v="22732876"/>
    <m/>
    <m/>
    <m/>
    <s v="SOLFIN"/>
    <s v="SOLFIN"/>
    <s v="CCMS"/>
    <n v="21392014"/>
    <n v="10835.83"/>
    <m/>
    <s v="N"/>
    <n v="83"/>
    <d v="2023-07-18T19:00:35"/>
    <s v="Y"/>
    <s v="Attendance upon client"/>
    <s v="Prescribed Hourly Rates"/>
    <s v="Profit Cost"/>
    <s v="ZH"/>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120"/>
    <d v="2023-07-18T19:00:35"/>
    <s v="Y"/>
    <s v="Attendance upon other"/>
    <s v="Prescribed Hourly Rates"/>
    <s v="Profit Cost"/>
    <s v="EAC"/>
    <s v="Y"/>
    <n v="10.98"/>
    <n v="2.2"/>
    <x v="14"/>
    <s v="VALIDATED"/>
    <n v="1"/>
    <s v="01.11.80.302.6100.0000"/>
    <n v="10.98"/>
    <s v="11"/>
    <s v="6100"/>
    <n v="21177.37"/>
    <n v="10.98"/>
    <s v="CREDITOR"/>
    <n v="0"/>
    <n v="0"/>
    <n v="0"/>
    <n v="0"/>
    <n v="10.98"/>
  </r>
  <r>
    <n v="62014187"/>
    <s v="N"/>
    <n v="21327682"/>
    <s v="3000016055150003"/>
    <s v="CIVIL"/>
    <d v="2023-06-23T00:00:00"/>
    <d v="2023-07-04T19:00:44"/>
    <m/>
    <d v="2023-07-04T00:00:00"/>
    <n v="409"/>
    <n v="14052"/>
    <s v="62014187"/>
    <s v="62014187"/>
    <m/>
    <m/>
    <n v="22754796"/>
    <m/>
    <m/>
    <m/>
    <s v="SOLFIN"/>
    <s v="SOLFIN"/>
    <s v="CCMS"/>
    <n v="21327682"/>
    <n v="6192.83"/>
    <m/>
    <s v="N"/>
    <n v="5"/>
    <d v="2023-07-04T19:00:52"/>
    <s v="Y"/>
    <s v="Final Hearing - 1 Day"/>
    <s v="Public Law Children"/>
    <s v="Advocacy"/>
    <s v="hd"/>
    <s v="Y"/>
    <n v="696.1"/>
    <n v="139.22"/>
    <x v="1"/>
    <s v="VALIDATED"/>
    <n v="1"/>
    <s v="01.11.80.308.6100.0000"/>
    <n v="696.1"/>
    <s v="11"/>
    <s v="6100"/>
    <n v="21177.37"/>
    <n v="696.1"/>
    <s v="CREDITOR"/>
    <n v="0"/>
    <n v="0"/>
    <n v="0"/>
    <n v="0"/>
    <n v="696.1"/>
  </r>
  <r>
    <n v="59614799"/>
    <s v="N"/>
    <n v="21392014"/>
    <s v="3000014015350017"/>
    <s v="CIVIL"/>
    <d v="2023-06-21T00:00:00"/>
    <d v="2023-07-18T19:00:27"/>
    <m/>
    <d v="2023-07-18T00:00:00"/>
    <n v="409"/>
    <n v="14052"/>
    <s v="59614799"/>
    <s v="59614799"/>
    <m/>
    <m/>
    <n v="22732876"/>
    <m/>
    <m/>
    <m/>
    <s v="SOLFIN"/>
    <s v="SOLFIN"/>
    <s v="CCMS"/>
    <n v="21392014"/>
    <n v="10835.83"/>
    <m/>
    <s v="N"/>
    <n v="85"/>
    <d v="2023-07-18T19:00:35"/>
    <s v="Y"/>
    <s v="Preparation - drafting statement"/>
    <s v="Prescribed Hourly Rates"/>
    <s v="Profit Cost"/>
    <s v="EAC"/>
    <s v="Y"/>
    <n v="76.86"/>
    <n v="15.37"/>
    <x v="14"/>
    <s v="VALIDATED"/>
    <n v="1"/>
    <s v="01.11.80.302.6100.0000"/>
    <n v="76.86"/>
    <s v="11"/>
    <s v="6100"/>
    <n v="21177.37"/>
    <n v="76.86"/>
    <s v="CREDITOR"/>
    <n v="0"/>
    <n v="0"/>
    <n v="0"/>
    <n v="0"/>
    <n v="76.86"/>
  </r>
  <r>
    <n v="60004918"/>
    <s v="N"/>
    <n v="21331263"/>
    <s v="3000014344490002"/>
    <s v="CIVIL"/>
    <d v="2023-06-22T00:00:00"/>
    <d v="2023-07-05T19:01:47"/>
    <m/>
    <d v="2023-07-05T00:00:00"/>
    <n v="409"/>
    <n v="14052"/>
    <s v="60004918"/>
    <s v="60004918"/>
    <m/>
    <m/>
    <n v="22741422"/>
    <m/>
    <m/>
    <m/>
    <s v="SOLFIN"/>
    <s v="SOLFIN"/>
    <s v="CCMS"/>
    <n v="21331263"/>
    <n v="1477.16"/>
    <m/>
    <s v="N"/>
    <n v="3"/>
    <d v="2023-07-05T19:02:12"/>
    <s v="Y"/>
    <s v="Level 3 &amp; Level 4 Fixed Fee"/>
    <s v="Private Law Children"/>
    <s v="Profit Cost"/>
    <s v="XXX"/>
    <s v="Y"/>
    <n v="604"/>
    <n v="120.8"/>
    <x v="6"/>
    <s v="VALIDATED"/>
    <n v="1"/>
    <s v="01.11.80.307.6100.0000"/>
    <n v="604"/>
    <s v="11"/>
    <s v="6100"/>
    <n v="21177.37"/>
    <n v="604"/>
    <s v="CREDITOR"/>
    <n v="0"/>
    <n v="0"/>
    <n v="0"/>
    <n v="0"/>
    <n v="604"/>
  </r>
  <r>
    <n v="59614799"/>
    <s v="N"/>
    <n v="21392014"/>
    <s v="3000014015350017"/>
    <s v="CIVIL"/>
    <d v="2023-06-21T00:00:00"/>
    <d v="2023-07-18T19:00:27"/>
    <m/>
    <d v="2023-07-18T00:00:00"/>
    <n v="409"/>
    <n v="14052"/>
    <s v="59614799"/>
    <s v="59614799"/>
    <m/>
    <m/>
    <n v="22732876"/>
    <m/>
    <m/>
    <m/>
    <s v="SOLFIN"/>
    <s v="SOLFIN"/>
    <s v="CCMS"/>
    <n v="21392014"/>
    <n v="10835.83"/>
    <m/>
    <s v="N"/>
    <n v="90"/>
    <d v="2023-07-18T19:00:35"/>
    <s v="Y"/>
    <s v="Preparation - drafting pleadings"/>
    <s v="Prescribed Hourly Rates"/>
    <s v="Profit Cost"/>
    <s v="EAC"/>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126"/>
    <d v="2023-07-18T19:00:35"/>
    <s v="Y"/>
    <s v="Preparation - drafting bill/claim f"/>
    <s v="Prescribed Hourly Rates"/>
    <s v="Profit Cost"/>
    <s v="EAC"/>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8"/>
    <d v="2023-07-18T19:00:35"/>
    <s v="Y"/>
    <s v="Preparation - Periodic file review"/>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65"/>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29"/>
    <d v="2023-07-18T19:00:35"/>
    <s v="Y"/>
    <s v="Routine Letter In"/>
    <s v="Prescribed Hourly Rates"/>
    <s v="Profit Cost"/>
    <s v="EAC"/>
    <s v="Y"/>
    <n v="1309.5"/>
    <n v="261.92"/>
    <x v="14"/>
    <s v="VALIDATED"/>
    <n v="1"/>
    <s v="01.11.80.302.6100.0000"/>
    <n v="1309.5"/>
    <s v="11"/>
    <s v="6100"/>
    <n v="21177.37"/>
    <n v="1309.5"/>
    <s v="CREDITOR"/>
    <n v="0"/>
    <n v="0"/>
    <n v="0"/>
    <n v="0"/>
    <n v="1309.5"/>
  </r>
  <r>
    <n v="59614799"/>
    <s v="N"/>
    <n v="21392014"/>
    <s v="3000014015350017"/>
    <s v="CIVIL"/>
    <d v="2023-06-21T00:00:00"/>
    <d v="2023-07-18T19:00:27"/>
    <m/>
    <d v="2023-07-18T00:00:00"/>
    <n v="409"/>
    <n v="14052"/>
    <s v="59614799"/>
    <s v="59614799"/>
    <m/>
    <m/>
    <n v="22732876"/>
    <m/>
    <m/>
    <m/>
    <s v="SOLFIN"/>
    <s v="SOLFIN"/>
    <s v="CCMS"/>
    <n v="21392014"/>
    <n v="10835.83"/>
    <m/>
    <s v="N"/>
    <n v="41"/>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53"/>
    <d v="2023-07-18T19:00:35"/>
    <s v="Y"/>
    <s v="Attendance upon client"/>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70"/>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96"/>
    <d v="2023-07-18T19:00:35"/>
    <s v="Y"/>
    <s v="Preparation - drafting pleadings"/>
    <s v="Prescribed Hourly Rates"/>
    <s v="Profit Cost"/>
    <s v="EAC"/>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107"/>
    <d v="2023-07-18T19:00:35"/>
    <s v="Y"/>
    <s v="Preparation - drafting pleadings"/>
    <s v="Prescribed Hourly Rates"/>
    <s v="Profit Cost"/>
    <s v="EAC"/>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119"/>
    <d v="2023-07-18T19:00:35"/>
    <s v="Y"/>
    <s v="Preparation - drafting application"/>
    <s v="Prescribed Hourly Rates"/>
    <s v="Profit Cost"/>
    <s v="EAC"/>
    <s v="Y"/>
    <n v="27.45"/>
    <n v="5.49"/>
    <x v="14"/>
    <s v="VALIDATED"/>
    <n v="1"/>
    <s v="01.11.80.302.6100.0000"/>
    <n v="27.45"/>
    <s v="11"/>
    <s v="6100"/>
    <n v="21177.37"/>
    <n v="27.45"/>
    <s v="CREDITOR"/>
    <n v="0"/>
    <n v="0"/>
    <n v="0"/>
    <n v="0"/>
    <n v="27.45"/>
  </r>
  <r>
    <n v="59614799"/>
    <s v="N"/>
    <n v="21392014"/>
    <s v="3000014015350017"/>
    <s v="CIVIL"/>
    <d v="2023-06-21T00:00:00"/>
    <d v="2023-07-18T19:00:27"/>
    <m/>
    <d v="2023-07-18T00:00:00"/>
    <n v="409"/>
    <n v="14052"/>
    <s v="59614799"/>
    <s v="59614799"/>
    <m/>
    <m/>
    <n v="22732876"/>
    <m/>
    <m/>
    <m/>
    <s v="SOLFIN"/>
    <s v="SOLFIN"/>
    <s v="CCMS"/>
    <n v="21392014"/>
    <n v="10835.83"/>
    <m/>
    <s v="N"/>
    <n v="30"/>
    <d v="2023-07-18T19:00:35"/>
    <s v="Y"/>
    <s v="Preparation - drafting pleadings"/>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24"/>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34"/>
    <d v="2023-07-18T19:00:35"/>
    <s v="Y"/>
    <s v="Preparation - drafting pleadings"/>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56"/>
    <d v="2023-07-18T19:00:35"/>
    <s v="Y"/>
    <s v="Preparation - drafting attendance n"/>
    <s v="Prescribed Hourly Rates"/>
    <s v="Profit Cost"/>
    <s v="ZH"/>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78"/>
    <d v="2023-07-18T19:00:35"/>
    <s v="Y"/>
    <s v="Preparation - drafting attendance n"/>
    <s v="Prescribed Hourly Rates"/>
    <s v="Profit Cost"/>
    <s v="OLD"/>
    <s v="Y"/>
    <n v="5.49"/>
    <n v="1.1"/>
    <x v="14"/>
    <s v="VALIDATED"/>
    <n v="1"/>
    <s v="01.11.80.302.6100.0000"/>
    <n v="5.49"/>
    <s v="11"/>
    <s v="6100"/>
    <n v="21177.37"/>
    <n v="5.49"/>
    <s v="CREDITOR"/>
    <n v="0"/>
    <n v="0"/>
    <n v="0"/>
    <n v="0"/>
    <n v="5.49"/>
  </r>
  <r>
    <n v="60004918"/>
    <s v="N"/>
    <n v="21331263"/>
    <s v="3000014344490002"/>
    <s v="CIVIL"/>
    <d v="2023-06-22T00:00:00"/>
    <d v="2023-07-05T19:01:47"/>
    <m/>
    <d v="2023-07-05T00:00:00"/>
    <n v="409"/>
    <n v="14052"/>
    <s v="60004918"/>
    <s v="60004918"/>
    <m/>
    <m/>
    <n v="22741422"/>
    <m/>
    <m/>
    <m/>
    <s v="SOLFIN"/>
    <s v="SOLFIN"/>
    <s v="CCMS"/>
    <n v="21331263"/>
    <n v="1477.16"/>
    <m/>
    <s v="N"/>
    <n v="1"/>
    <d v="2023-07-05T19:02:12"/>
    <s v="Y"/>
    <s v="Hearing Unit 2.31 - 5.00 Hours"/>
    <s v="Private Law Children"/>
    <s v="Advocacy"/>
    <s v="MH"/>
    <s v="Y"/>
    <n v="313.48"/>
    <n v="62.7"/>
    <x v="6"/>
    <s v="VALIDATED"/>
    <n v="1"/>
    <s v="01.11.80.307.6100.0000"/>
    <n v="313.48"/>
    <s v="11"/>
    <s v="6100"/>
    <n v="21177.37"/>
    <n v="313.48"/>
    <s v="CREDITOR"/>
    <n v="0"/>
    <n v="0"/>
    <n v="0"/>
    <n v="0"/>
    <n v="313.48"/>
  </r>
  <r>
    <n v="59614799"/>
    <s v="N"/>
    <n v="21392014"/>
    <s v="3000014015350017"/>
    <s v="CIVIL"/>
    <d v="2023-06-21T00:00:00"/>
    <d v="2023-07-18T19:00:27"/>
    <m/>
    <d v="2023-07-18T00:00:00"/>
    <n v="409"/>
    <n v="14052"/>
    <s v="59614799"/>
    <s v="59614799"/>
    <m/>
    <m/>
    <n v="22732876"/>
    <m/>
    <m/>
    <m/>
    <s v="SOLFIN"/>
    <s v="SOLFIN"/>
    <s v="CCMS"/>
    <n v="21392014"/>
    <n v="10835.83"/>
    <m/>
    <s v="N"/>
    <n v="80"/>
    <d v="2023-07-18T19:00:35"/>
    <s v="Y"/>
    <s v="Preparation - drafting attendance n"/>
    <s v="Prescribed Hourly Rates"/>
    <s v="Profit Cost"/>
    <s v="OLD"/>
    <s v="Y"/>
    <n v="5.49"/>
    <n v="1.1"/>
    <x v="14"/>
    <s v="VALIDATED"/>
    <n v="1"/>
    <s v="01.11.80.302.6100.0000"/>
    <n v="5.49"/>
    <s v="11"/>
    <s v="6100"/>
    <n v="21177.37"/>
    <n v="5.49"/>
    <s v="CREDITOR"/>
    <n v="0"/>
    <n v="0"/>
    <n v="0"/>
    <n v="0"/>
    <n v="5.49"/>
  </r>
  <r>
    <n v="59614799"/>
    <s v="N"/>
    <n v="21392014"/>
    <s v="3000014015350017"/>
    <s v="CIVIL"/>
    <d v="2023-06-21T00:00:00"/>
    <d v="2023-07-18T19:00:27"/>
    <m/>
    <d v="2023-07-18T00:00:00"/>
    <n v="409"/>
    <n v="14052"/>
    <s v="59614799"/>
    <s v="59614799"/>
    <m/>
    <m/>
    <n v="22732876"/>
    <m/>
    <m/>
    <m/>
    <s v="SOLFIN"/>
    <s v="SOLFIN"/>
    <s v="CCMS"/>
    <n v="21392014"/>
    <n v="10835.83"/>
    <m/>
    <s v="N"/>
    <n v="62"/>
    <d v="2023-07-18T19:00:35"/>
    <s v="Y"/>
    <s v="Preparation - drafting application"/>
    <s v="Prescribed Hourly Rates"/>
    <s v="Profit Cost"/>
    <s v="ZH"/>
    <s v="Y"/>
    <n v="16.47"/>
    <n v="3.29"/>
    <x v="14"/>
    <s v="VALIDATED"/>
    <n v="1"/>
    <s v="01.11.80.302.6100.0000"/>
    <n v="16.47"/>
    <s v="11"/>
    <s v="6100"/>
    <n v="21177.37"/>
    <n v="16.47"/>
    <s v="CREDITOR"/>
    <n v="0"/>
    <n v="0"/>
    <n v="0"/>
    <n v="0"/>
    <n v="16.47"/>
  </r>
  <r>
    <n v="59614799"/>
    <s v="N"/>
    <n v="21392014"/>
    <s v="3000014015350017"/>
    <s v="CIVIL"/>
    <d v="2023-06-21T00:00:00"/>
    <d v="2023-07-18T19:00:27"/>
    <m/>
    <d v="2023-07-18T00:00:00"/>
    <n v="409"/>
    <n v="14052"/>
    <s v="59614799"/>
    <s v="59614799"/>
    <m/>
    <m/>
    <n v="22732876"/>
    <m/>
    <m/>
    <m/>
    <s v="SOLFIN"/>
    <s v="SOLFIN"/>
    <s v="CCMS"/>
    <n v="21392014"/>
    <n v="10835.83"/>
    <m/>
    <s v="N"/>
    <n v="113"/>
    <d v="2023-07-18T19:00:35"/>
    <s v="Y"/>
    <s v="Preparation - other"/>
    <s v="Prescribed Hourly Rates"/>
    <s v="Profit Cost"/>
    <s v="CJD"/>
    <s v="Y"/>
    <n v="21.96"/>
    <n v="4.39"/>
    <x v="14"/>
    <s v="VALIDATED"/>
    <n v="1"/>
    <s v="01.11.80.302.6100.0000"/>
    <n v="21.96"/>
    <s v="11"/>
    <s v="6100"/>
    <n v="21177.37"/>
    <n v="21.96"/>
    <s v="CREDITOR"/>
    <n v="0"/>
    <n v="0"/>
    <n v="0"/>
    <n v="0"/>
    <n v="21.96"/>
  </r>
  <r>
    <n v="59614799"/>
    <s v="N"/>
    <n v="21392014"/>
    <s v="3000014015350017"/>
    <s v="CIVIL"/>
    <d v="2023-06-21T00:00:00"/>
    <d v="2023-07-18T19:00:27"/>
    <m/>
    <d v="2023-07-18T00:00:00"/>
    <n v="409"/>
    <n v="14052"/>
    <s v="59614799"/>
    <s v="59614799"/>
    <m/>
    <m/>
    <n v="22732876"/>
    <m/>
    <m/>
    <m/>
    <s v="SOLFIN"/>
    <s v="SOLFIN"/>
    <s v="CCMS"/>
    <n v="21392014"/>
    <n v="10835.83"/>
    <m/>
    <s v="N"/>
    <n v="124"/>
    <d v="2023-07-18T19:00:35"/>
    <s v="Y"/>
    <s v="Preparation - other"/>
    <s v="Prescribed Hourly Rates"/>
    <s v="Profit Cost"/>
    <s v="BG"/>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60"/>
    <d v="2023-07-18T19:00:35"/>
    <s v="Y"/>
    <s v="Attendance upon client"/>
    <s v="Prescribed Hourly Rates"/>
    <s v="Profit Cost"/>
    <s v="ZH"/>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121"/>
    <d v="2023-07-18T19:00:35"/>
    <s v="Y"/>
    <s v="Preparation - other"/>
    <s v="Prescribed Hourly Rates"/>
    <s v="Profit Cost"/>
    <s v="CJD"/>
    <s v="Y"/>
    <n v="10.98"/>
    <n v="2.2"/>
    <x v="14"/>
    <s v="VALIDATED"/>
    <n v="1"/>
    <s v="01.11.80.302.6100.0000"/>
    <n v="10.98"/>
    <s v="11"/>
    <s v="6100"/>
    <n v="21177.37"/>
    <n v="10.98"/>
    <s v="CREDITOR"/>
    <n v="0"/>
    <n v="0"/>
    <n v="0"/>
    <n v="0"/>
    <n v="10.98"/>
  </r>
  <r>
    <n v="59614799"/>
    <s v="N"/>
    <n v="21392014"/>
    <s v="3000014015350017"/>
    <s v="CIVIL"/>
    <d v="2023-06-21T00:00:00"/>
    <d v="2023-07-18T19:00:27"/>
    <m/>
    <d v="2023-07-18T00:00:00"/>
    <n v="409"/>
    <n v="14052"/>
    <s v="59614799"/>
    <s v="59614799"/>
    <m/>
    <m/>
    <n v="22732876"/>
    <m/>
    <m/>
    <m/>
    <s v="SOLFIN"/>
    <s v="SOLFIN"/>
    <s v="CCMS"/>
    <n v="21392014"/>
    <n v="10835.83"/>
    <m/>
    <s v="N"/>
    <n v="42"/>
    <d v="2023-07-18T19:00:35"/>
    <s v="Y"/>
    <s v="Attendance upon client"/>
    <s v="Prescribed Hourly Rates"/>
    <s v="Profit Cost"/>
    <s v="ZH"/>
    <s v="Y"/>
    <n v="120.78"/>
    <n v="24.16"/>
    <x v="14"/>
    <s v="VALIDATED"/>
    <n v="1"/>
    <s v="01.11.80.302.6100.0000"/>
    <n v="120.78"/>
    <s v="11"/>
    <s v="6100"/>
    <n v="21177.37"/>
    <n v="120.78"/>
    <s v="CREDITOR"/>
    <n v="0"/>
    <n v="0"/>
    <n v="0"/>
    <n v="0"/>
    <n v="120.78"/>
  </r>
  <r>
    <n v="5529976"/>
    <s v="N"/>
    <n v="21320116"/>
    <s v="3000002255250030"/>
    <s v="CIVIL"/>
    <d v="2023-06-27T00:00:00"/>
    <d v="2023-07-03T19:04:24"/>
    <m/>
    <d v="2023-07-03T00:00:00"/>
    <n v="412"/>
    <n v="14750"/>
    <s v="5529976"/>
    <s v="5529976"/>
    <m/>
    <m/>
    <n v="22773008"/>
    <m/>
    <m/>
    <m/>
    <s v="SOLPOA"/>
    <s v="SOLPOA"/>
    <s v="CCMS"/>
    <n v="21320116"/>
    <n v="180"/>
    <m/>
    <s v="N"/>
    <n v="1"/>
    <d v="2023-07-03T19:04:29"/>
    <s v="N"/>
    <s v="Expert Cost"/>
    <s v="Expert Cost"/>
    <s v="Expert Disbursement"/>
    <s v="Richard Money-Kyrle"/>
    <s v="N"/>
    <n v="180"/>
    <n v="0"/>
    <x v="3"/>
    <s v="VALIDATED"/>
    <n v="1"/>
    <s v="01.11.80.202.2012.0000"/>
    <n v="180"/>
    <s v="11"/>
    <s v="2012"/>
    <n v="180"/>
    <n v="180"/>
    <s v="CREDITOR"/>
    <n v="180"/>
    <n v="0"/>
    <n v="0"/>
    <n v="0"/>
    <n v="0"/>
  </r>
  <r>
    <n v="60260850"/>
    <s v="N"/>
    <n v="21356334"/>
    <s v="3000014565110012RC"/>
    <s v="CIVIL"/>
    <d v="2023-06-28T00:00:00"/>
    <d v="2023-07-10T19:47:44"/>
    <m/>
    <d v="2023-07-10T00:00:00"/>
    <n v="413"/>
    <n v="14085"/>
    <s v="60260850"/>
    <s v="60260850"/>
    <m/>
    <m/>
    <m/>
    <m/>
    <m/>
    <m/>
    <s v="SOLRECOUP"/>
    <s v="SOLRECOUP"/>
    <s v="POARECOUP"/>
    <n v="21356334"/>
    <n v="-1282.5"/>
    <m/>
    <s v="Y"/>
    <n v="2"/>
    <d v="2023-07-10T19:47:44"/>
    <s v="N"/>
    <m/>
    <m/>
    <s v="Expert Disbursement"/>
    <m/>
    <s v="N"/>
    <n v="0"/>
    <n v="-213.75"/>
    <x v="2"/>
    <s v="VALIDATED"/>
    <n v="1"/>
    <s v="01.11.80.308.2013.0000"/>
    <n v="-213.75"/>
    <s v="11"/>
    <s v="2013"/>
    <n v="14201.69"/>
    <n v="-213.75"/>
    <s v="CREDITOR"/>
    <n v="0"/>
    <n v="0"/>
    <n v="-213.75"/>
    <n v="0"/>
    <n v="0"/>
  </r>
  <r>
    <n v="60260850"/>
    <s v="N"/>
    <n v="21356335"/>
    <s v="3000014565110013RC"/>
    <s v="CIVIL"/>
    <d v="2023-06-28T00:00:00"/>
    <d v="2023-07-10T19:47:44"/>
    <m/>
    <d v="2023-07-10T00:00:00"/>
    <n v="413"/>
    <n v="14085"/>
    <s v="60260850"/>
    <s v="60260850"/>
    <m/>
    <m/>
    <m/>
    <m/>
    <m/>
    <m/>
    <s v="SOLRECOUP"/>
    <s v="SOLRECOUP"/>
    <s v="POARECOUP"/>
    <n v="21356335"/>
    <n v="-198.9"/>
    <m/>
    <s v="Y"/>
    <n v="1"/>
    <d v="2023-07-10T19:47:44"/>
    <s v="N"/>
    <m/>
    <m/>
    <s v="Expert Disbursement"/>
    <m/>
    <s v="N"/>
    <n v="-165.75"/>
    <n v="0"/>
    <x v="2"/>
    <s v="VALIDATED"/>
    <n v="1"/>
    <s v="01.11.80.308.2013.0000"/>
    <n v="-165.75"/>
    <s v="11"/>
    <s v="2013"/>
    <n v="14201.69"/>
    <n v="-165.75"/>
    <s v="CREDITOR"/>
    <n v="0"/>
    <n v="0"/>
    <n v="-165.75"/>
    <n v="0"/>
    <n v="0"/>
  </r>
  <r>
    <n v="60260850"/>
    <s v="N"/>
    <n v="21356335"/>
    <s v="3000014565110013RC"/>
    <s v="CIVIL"/>
    <d v="2023-06-28T00:00:00"/>
    <d v="2023-07-10T19:47:44"/>
    <m/>
    <d v="2023-07-10T00:00:00"/>
    <n v="413"/>
    <n v="14085"/>
    <s v="60260850"/>
    <s v="60260850"/>
    <m/>
    <m/>
    <m/>
    <m/>
    <m/>
    <m/>
    <s v="SOLRECOUP"/>
    <s v="SOLRECOUP"/>
    <s v="POARECOUP"/>
    <n v="21356335"/>
    <n v="-198.9"/>
    <m/>
    <s v="Y"/>
    <n v="2"/>
    <d v="2023-07-10T19:47:44"/>
    <s v="N"/>
    <m/>
    <m/>
    <s v="Expert Disbursement"/>
    <m/>
    <s v="N"/>
    <n v="0"/>
    <n v="-33.15"/>
    <x v="2"/>
    <s v="VALIDATED"/>
    <n v="1"/>
    <s v="01.11.80.308.2013.0000"/>
    <n v="-33.15"/>
    <s v="11"/>
    <s v="2013"/>
    <n v="14201.69"/>
    <n v="-33.15"/>
    <s v="CREDITOR"/>
    <n v="0"/>
    <n v="0"/>
    <n v="-33.15"/>
    <n v="0"/>
    <n v="0"/>
  </r>
  <r>
    <n v="60260850"/>
    <s v="N"/>
    <n v="21356336"/>
    <s v="3000014565110017RC"/>
    <s v="CIVIL"/>
    <d v="2023-06-28T00:00:00"/>
    <d v="2023-07-10T19:47:44"/>
    <m/>
    <d v="2023-07-10T00:00:00"/>
    <n v="413"/>
    <n v="14085"/>
    <s v="60260850"/>
    <s v="60260850"/>
    <m/>
    <m/>
    <m/>
    <m/>
    <m/>
    <m/>
    <s v="SOLRECOUP"/>
    <s v="SOLRECOUP"/>
    <s v="POARECOUP"/>
    <n v="21356336"/>
    <n v="-486"/>
    <m/>
    <s v="Y"/>
    <n v="1"/>
    <d v="2023-07-10T19:47:44"/>
    <s v="N"/>
    <m/>
    <m/>
    <s v="Expert Disbursement"/>
    <m/>
    <s v="N"/>
    <n v="-405"/>
    <n v="0"/>
    <x v="2"/>
    <s v="VALIDATED"/>
    <n v="1"/>
    <s v="01.11.80.308.2013.0000"/>
    <n v="-405"/>
    <s v="11"/>
    <s v="2013"/>
    <n v="14201.69"/>
    <n v="-405"/>
    <s v="CREDITOR"/>
    <n v="0"/>
    <n v="0"/>
    <n v="-405"/>
    <n v="0"/>
    <n v="0"/>
  </r>
  <r>
    <n v="60260850"/>
    <s v="N"/>
    <n v="21356336"/>
    <s v="3000014565110017RC"/>
    <s v="CIVIL"/>
    <d v="2023-06-28T00:00:00"/>
    <d v="2023-07-10T19:47:44"/>
    <m/>
    <d v="2023-07-10T00:00:00"/>
    <n v="413"/>
    <n v="14085"/>
    <s v="60260850"/>
    <s v="60260850"/>
    <m/>
    <m/>
    <m/>
    <m/>
    <m/>
    <m/>
    <s v="SOLRECOUP"/>
    <s v="SOLRECOUP"/>
    <s v="POARECOUP"/>
    <n v="21356336"/>
    <n v="-486"/>
    <m/>
    <s v="Y"/>
    <n v="2"/>
    <d v="2023-07-10T19:47:44"/>
    <s v="N"/>
    <m/>
    <m/>
    <s v="Expert Disbursement"/>
    <m/>
    <s v="N"/>
    <n v="0"/>
    <n v="-81"/>
    <x v="2"/>
    <s v="VALIDATED"/>
    <n v="1"/>
    <s v="01.11.80.308.2013.0000"/>
    <n v="-81"/>
    <s v="11"/>
    <s v="2013"/>
    <n v="14201.69"/>
    <n v="-81"/>
    <s v="CREDITOR"/>
    <n v="0"/>
    <n v="0"/>
    <n v="-81"/>
    <n v="0"/>
    <n v="0"/>
  </r>
  <r>
    <n v="60260850"/>
    <s v="N"/>
    <n v="21356337"/>
    <s v="3000014565110007RC"/>
    <s v="CIVIL"/>
    <d v="2023-06-28T00:00:00"/>
    <d v="2023-07-10T19:47:44"/>
    <m/>
    <d v="2023-07-10T00:00:00"/>
    <n v="413"/>
    <n v="14085"/>
    <s v="60260850"/>
    <s v="60260850"/>
    <m/>
    <m/>
    <m/>
    <m/>
    <m/>
    <m/>
    <s v="SOLRECOUP"/>
    <s v="SOLRECOUP"/>
    <s v="POARECOUP"/>
    <n v="21356337"/>
    <n v="-30"/>
    <m/>
    <s v="Y"/>
    <n v="1"/>
    <d v="2023-07-10T19:47:44"/>
    <s v="N"/>
    <m/>
    <m/>
    <s v="Expert Disbursement"/>
    <m/>
    <s v="N"/>
    <n v="-30"/>
    <n v="0"/>
    <x v="2"/>
    <s v="VALIDATED"/>
    <n v="1"/>
    <s v="01.11.80.308.2013.0000"/>
    <n v="-30"/>
    <s v="11"/>
    <s v="2013"/>
    <n v="14201.69"/>
    <n v="-30"/>
    <s v="CREDITOR"/>
    <n v="0"/>
    <n v="0"/>
    <n v="-30"/>
    <n v="0"/>
    <n v="0"/>
  </r>
  <r>
    <n v="60260850"/>
    <s v="N"/>
    <n v="21356337"/>
    <s v="3000014565110007RC"/>
    <s v="CIVIL"/>
    <d v="2023-06-28T00:00:00"/>
    <d v="2023-07-10T19:47:44"/>
    <m/>
    <d v="2023-07-10T00:00:00"/>
    <n v="413"/>
    <n v="14085"/>
    <s v="60260850"/>
    <s v="60260850"/>
    <m/>
    <m/>
    <m/>
    <m/>
    <m/>
    <m/>
    <s v="SOLRECOUP"/>
    <s v="SOLRECOUP"/>
    <s v="POARECOUP"/>
    <n v="21356337"/>
    <n v="-30"/>
    <m/>
    <s v="Y"/>
    <n v="2"/>
    <d v="2023-07-10T19:47:44"/>
    <s v="N"/>
    <m/>
    <m/>
    <s v="Expert Disbursement"/>
    <m/>
    <s v="N"/>
    <n v="0"/>
    <n v="0"/>
    <x v="2"/>
    <s v="VALIDATED"/>
    <n v="1"/>
    <s v="01.11.80.000.0000.0000"/>
    <n v="0"/>
    <s v="11"/>
    <s v="0000"/>
    <n v="14201.69"/>
    <n v="0"/>
    <s v="CREDITOR"/>
    <n v="0"/>
    <n v="0"/>
    <n v="0"/>
    <n v="0"/>
    <n v="0"/>
  </r>
  <r>
    <n v="60260850"/>
    <s v="N"/>
    <n v="21356338"/>
    <s v="3000014565110020RC"/>
    <s v="CIVIL"/>
    <d v="2023-06-28T00:00:00"/>
    <d v="2023-07-10T19:47:44"/>
    <m/>
    <d v="2023-07-10T00:00:00"/>
    <n v="413"/>
    <n v="14085"/>
    <s v="60260850"/>
    <s v="60260850"/>
    <m/>
    <m/>
    <m/>
    <m/>
    <m/>
    <m/>
    <s v="SOLRECOUP"/>
    <s v="SOLRECOUP"/>
    <s v="POARECOUP"/>
    <n v="21356338"/>
    <n v="-97.2"/>
    <m/>
    <s v="Y"/>
    <n v="1"/>
    <d v="2023-07-10T19:47:44"/>
    <s v="N"/>
    <m/>
    <m/>
    <s v="Expert Disbursement"/>
    <m/>
    <s v="N"/>
    <n v="-81"/>
    <n v="0"/>
    <x v="2"/>
    <s v="VALIDATED"/>
    <n v="1"/>
    <s v="01.11.80.308.2013.0000"/>
    <n v="-81"/>
    <s v="11"/>
    <s v="2013"/>
    <n v="14201.69"/>
    <n v="-81"/>
    <s v="CREDITOR"/>
    <n v="0"/>
    <n v="0"/>
    <n v="-81"/>
    <n v="0"/>
    <n v="0"/>
  </r>
  <r>
    <n v="60260850"/>
    <s v="N"/>
    <n v="21356338"/>
    <s v="3000014565110020RC"/>
    <s v="CIVIL"/>
    <d v="2023-06-28T00:00:00"/>
    <d v="2023-07-10T19:47:44"/>
    <m/>
    <d v="2023-07-10T00:00:00"/>
    <n v="413"/>
    <n v="14085"/>
    <s v="60260850"/>
    <s v="60260850"/>
    <m/>
    <m/>
    <m/>
    <m/>
    <m/>
    <m/>
    <s v="SOLRECOUP"/>
    <s v="SOLRECOUP"/>
    <s v="POARECOUP"/>
    <n v="21356338"/>
    <n v="-97.2"/>
    <m/>
    <s v="Y"/>
    <n v="2"/>
    <d v="2023-07-10T19:47:44"/>
    <s v="N"/>
    <m/>
    <m/>
    <s v="Expert Disbursement"/>
    <m/>
    <s v="N"/>
    <n v="0"/>
    <n v="-16.2"/>
    <x v="2"/>
    <s v="VALIDATED"/>
    <n v="1"/>
    <s v="01.11.80.308.2013.0000"/>
    <n v="-16.2"/>
    <s v="11"/>
    <s v="2013"/>
    <n v="14201.69"/>
    <n v="-16.2"/>
    <s v="CREDITOR"/>
    <n v="0"/>
    <n v="0"/>
    <n v="-16.2"/>
    <n v="0"/>
    <n v="0"/>
  </r>
  <r>
    <n v="60260850"/>
    <s v="N"/>
    <n v="21356339"/>
    <s v="3000014565110024RC"/>
    <s v="CIVIL"/>
    <d v="2023-06-28T00:00:00"/>
    <d v="2023-07-10T19:47:44"/>
    <m/>
    <d v="2023-07-10T00:00:00"/>
    <n v="413"/>
    <n v="14085"/>
    <s v="60260850"/>
    <s v="60260850"/>
    <m/>
    <m/>
    <m/>
    <m/>
    <m/>
    <m/>
    <s v="SOLRECOUP"/>
    <s v="SOLRECOUP"/>
    <s v="POARECOUP"/>
    <n v="21356339"/>
    <n v="-90.90000000000001"/>
    <m/>
    <s v="Y"/>
    <n v="1"/>
    <d v="2023-07-10T19:47:44"/>
    <s v="N"/>
    <m/>
    <m/>
    <s v="Expert Disbursement"/>
    <m/>
    <s v="N"/>
    <n v="-75.75"/>
    <n v="0"/>
    <x v="2"/>
    <s v="VALIDATED"/>
    <n v="1"/>
    <s v="01.11.80.308.2013.0000"/>
    <n v="-75.75"/>
    <s v="11"/>
    <s v="2013"/>
    <n v="14201.69"/>
    <n v="-75.75"/>
    <s v="CREDITOR"/>
    <n v="0"/>
    <n v="0"/>
    <n v="-75.75"/>
    <n v="0"/>
    <n v="0"/>
  </r>
  <r>
    <n v="60260850"/>
    <s v="N"/>
    <n v="21349868"/>
    <s v="3000014565110032"/>
    <s v="CIVIL"/>
    <d v="2023-06-28T00:00:00"/>
    <d v="2023-07-10T19:01:40"/>
    <m/>
    <d v="2023-07-10T00:00:00"/>
    <n v="413"/>
    <n v="14085"/>
    <s v="60260850"/>
    <s v="60260850"/>
    <m/>
    <m/>
    <n v="22776734"/>
    <m/>
    <m/>
    <m/>
    <s v="SOLFIN"/>
    <s v="SOLFIN"/>
    <s v="CCMS"/>
    <n v="21349868"/>
    <n v="20942.09"/>
    <m/>
    <s v="N"/>
    <n v="31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0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7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47"/>
    <d v="2023-07-10T19:02:00"/>
    <s v="Y"/>
    <s v="Preparation - other"/>
    <s v="Care Remuneration Hourly Rates"/>
    <s v="Profit Cost"/>
    <s v="LN"/>
    <s v="Y"/>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59"/>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18"/>
    <d v="2023-07-10T19:02:00"/>
    <s v="Y"/>
    <s v="Preparation - drafting statement"/>
    <s v="Care Remuneration Hourly Rates"/>
    <s v="Profit Cost"/>
    <s v="LN"/>
    <s v="Y"/>
    <n v="215.54"/>
    <n v="43.1"/>
    <x v="2"/>
    <s v="VALIDATED"/>
    <n v="1"/>
    <s v="01.11.80.308.6100.0000"/>
    <n v="215.54"/>
    <s v="11"/>
    <s v="6100"/>
    <n v="14201.69"/>
    <n v="215.54"/>
    <s v="CREDITOR"/>
    <n v="0"/>
    <n v="0"/>
    <n v="0"/>
    <n v="0"/>
    <n v="215.54"/>
  </r>
  <r>
    <n v="61573572"/>
    <s v="N"/>
    <n v="21338263"/>
    <s v="3000015686760003"/>
    <s v="CIVIL"/>
    <d v="2023-06-28T00:00:00"/>
    <d v="2023-07-06T19:21:01"/>
    <m/>
    <d v="2023-07-06T00:00:00"/>
    <n v="413"/>
    <n v="14085"/>
    <s v="61573572"/>
    <s v="61573572"/>
    <m/>
    <m/>
    <n v="22776764"/>
    <m/>
    <m/>
    <m/>
    <s v="SOLFIN"/>
    <s v="SOLFIN"/>
    <s v="CCMS"/>
    <n v="21338263"/>
    <n v="1263.86"/>
    <m/>
    <s v="N"/>
    <n v="4"/>
    <d v="2023-07-06T19:21:14"/>
    <s v="Y"/>
    <s v="Level 4 Fixed Fee"/>
    <s v="Domestic Abuse"/>
    <s v="Profit Cost"/>
    <s v="Zoe Sayer"/>
    <s v="Y"/>
    <n v="507"/>
    <n v="101.4"/>
    <x v="4"/>
    <s v="VALIDATED"/>
    <n v="1"/>
    <s v="01.11.80.302.6100.0000"/>
    <n v="507"/>
    <s v="11"/>
    <s v="6100"/>
    <n v="14201.69"/>
    <n v="507"/>
    <s v="CREDITOR"/>
    <n v="0"/>
    <n v="0"/>
    <n v="0"/>
    <n v="0"/>
    <n v="507"/>
  </r>
  <r>
    <n v="62190137"/>
    <s v="N"/>
    <n v="21318343"/>
    <s v="3000016200790003"/>
    <s v="CIVIL"/>
    <d v="2023-06-22T00:00:00"/>
    <d v="2023-07-03T19:01:49"/>
    <m/>
    <d v="2023-07-03T00:00:00"/>
    <n v="413"/>
    <n v="14085"/>
    <s v="62190137"/>
    <s v="62190137"/>
    <m/>
    <m/>
    <n v="22744488"/>
    <m/>
    <m/>
    <m/>
    <s v="SOLFIN"/>
    <s v="SOLFIN"/>
    <s v="CCMS"/>
    <n v="21318343"/>
    <n v="1304.65"/>
    <m/>
    <s v="N"/>
    <n v="4"/>
    <d v="2023-07-03T19:01:54"/>
    <s v="Y"/>
    <s v="Final Hearing - 1 Day"/>
    <s v="Domestic Abuse"/>
    <s v="Advocacy"/>
    <s v="SM"/>
    <s v="Y"/>
    <n v="361.17"/>
    <n v="72.23"/>
    <x v="3"/>
    <s v="VALIDATED"/>
    <n v="1"/>
    <s v="01.11.80.302.6100.0000"/>
    <n v="361.17"/>
    <s v="11"/>
    <s v="6100"/>
    <n v="14201.69"/>
    <n v="361.17"/>
    <s v="CREDITOR"/>
    <n v="0"/>
    <n v="0"/>
    <n v="0"/>
    <n v="0"/>
    <n v="361.17"/>
  </r>
  <r>
    <n v="60260850"/>
    <s v="N"/>
    <n v="21349868"/>
    <s v="3000014565110032"/>
    <s v="CIVIL"/>
    <d v="2023-06-28T00:00:00"/>
    <d v="2023-07-10T19:01:40"/>
    <m/>
    <d v="2023-07-10T00:00:00"/>
    <n v="413"/>
    <n v="14085"/>
    <s v="60260850"/>
    <s v="60260850"/>
    <m/>
    <m/>
    <n v="22776734"/>
    <m/>
    <m/>
    <m/>
    <s v="SOLFIN"/>
    <s v="SOLFIN"/>
    <s v="CCMS"/>
    <n v="21349868"/>
    <n v="20942.09"/>
    <m/>
    <s v="N"/>
    <n v="271"/>
    <d v="2023-07-10T19:02:00"/>
    <s v="Y"/>
    <s v="Preparation - other"/>
    <s v="Care Remuneration Hourly Rates"/>
    <s v="Profit Cost"/>
    <s v="LN"/>
    <s v="Y"/>
    <n v="47.31"/>
    <n v="9.460000000000001"/>
    <x v="2"/>
    <s v="VALIDATED"/>
    <n v="1"/>
    <s v="01.11.80.308.6100.0000"/>
    <n v="47.31"/>
    <s v="11"/>
    <s v="6100"/>
    <n v="14201.69"/>
    <n v="47.31"/>
    <s v="CREDITOR"/>
    <n v="0"/>
    <n v="0"/>
    <n v="0"/>
    <n v="0"/>
    <n v="47.31"/>
  </r>
  <r>
    <n v="60260850"/>
    <s v="N"/>
    <n v="21349868"/>
    <s v="3000014565110032"/>
    <s v="CIVIL"/>
    <d v="2023-06-28T00:00:00"/>
    <d v="2023-07-10T19:01:40"/>
    <m/>
    <d v="2023-07-10T00:00:00"/>
    <n v="413"/>
    <n v="14085"/>
    <s v="60260850"/>
    <s v="60260850"/>
    <m/>
    <m/>
    <n v="22776734"/>
    <m/>
    <m/>
    <m/>
    <s v="SOLFIN"/>
    <s v="SOLFIN"/>
    <s v="CCMS"/>
    <n v="21349868"/>
    <n v="20942.09"/>
    <m/>
    <s v="N"/>
    <n v="309"/>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57"/>
    <d v="2023-07-10T19:02:00"/>
    <s v="Y"/>
    <s v="Toxicologist"/>
    <s v="Care Remuneration Hourly Rates"/>
    <s v="Expert Disbursement"/>
    <s v="LN"/>
    <s v="Y"/>
    <n v="201.5"/>
    <n v="40.3"/>
    <x v="2"/>
    <s v="VALIDATED"/>
    <n v="1"/>
    <s v="01.11.80.308.6300.0000"/>
    <n v="201.5"/>
    <s v="11"/>
    <s v="6300"/>
    <n v="14201.69"/>
    <n v="201.5"/>
    <s v="CREDITOR"/>
    <n v="0"/>
    <n v="0"/>
    <n v="0"/>
    <n v="0"/>
    <n v="201.5"/>
  </r>
  <r>
    <n v="60260850"/>
    <s v="N"/>
    <n v="21349868"/>
    <s v="3000014565110032"/>
    <s v="CIVIL"/>
    <d v="2023-06-28T00:00:00"/>
    <d v="2023-07-10T19:01:40"/>
    <m/>
    <d v="2023-07-10T00:00:00"/>
    <n v="413"/>
    <n v="14085"/>
    <s v="60260850"/>
    <s v="60260850"/>
    <m/>
    <m/>
    <n v="22776734"/>
    <m/>
    <m/>
    <m/>
    <s v="SOLFIN"/>
    <s v="SOLFIN"/>
    <s v="CCMS"/>
    <n v="21349868"/>
    <n v="20942.09"/>
    <m/>
    <s v="N"/>
    <n v="25"/>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54"/>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56"/>
    <d v="2023-07-10T19:02:00"/>
    <s v="Y"/>
    <s v="Preparation - other"/>
    <s v="Care Remuneration Hourly Rates"/>
    <s v="Profit Cost"/>
    <s v="LN"/>
    <s v="Y"/>
    <n v="10.51"/>
    <n v="2.1"/>
    <x v="2"/>
    <s v="VALIDATED"/>
    <n v="1"/>
    <s v="01.11.80.308.6100.0000"/>
    <n v="10.51"/>
    <s v="11"/>
    <s v="6100"/>
    <n v="14201.69"/>
    <n v="10.51"/>
    <s v="CREDITOR"/>
    <n v="0"/>
    <n v="0"/>
    <n v="0"/>
    <n v="0"/>
    <n v="10.51"/>
  </r>
  <r>
    <n v="61573572"/>
    <s v="N"/>
    <n v="21338263"/>
    <s v="3000015686760003"/>
    <s v="CIVIL"/>
    <d v="2023-06-28T00:00:00"/>
    <d v="2023-07-06T19:21:01"/>
    <m/>
    <d v="2023-07-06T00:00:00"/>
    <n v="413"/>
    <n v="14085"/>
    <s v="61573572"/>
    <s v="61573572"/>
    <m/>
    <m/>
    <n v="22776764"/>
    <m/>
    <m/>
    <m/>
    <s v="SOLFIN"/>
    <s v="SOLFIN"/>
    <s v="CCMS"/>
    <n v="21338263"/>
    <n v="1263.86"/>
    <m/>
    <s v="N"/>
    <n v="2"/>
    <d v="2023-07-06T19:21:14"/>
    <s v="Y"/>
    <s v="Solicitor Travel Mileage"/>
    <s v="Private Law Children"/>
    <s v="Non Expert Disbursement"/>
    <s v="Zoe Sayer"/>
    <s v="Y"/>
    <n v="17.48"/>
    <n v="3.5"/>
    <x v="4"/>
    <s v="VALIDATED"/>
    <n v="1"/>
    <s v="01.11.80.302.6300.0000"/>
    <n v="17.48"/>
    <s v="11"/>
    <s v="6300"/>
    <n v="14201.69"/>
    <n v="17.48"/>
    <s v="CREDITOR"/>
    <n v="0"/>
    <n v="0"/>
    <n v="0"/>
    <n v="0"/>
    <n v="17.48"/>
  </r>
  <r>
    <n v="61966996"/>
    <s v="N"/>
    <n v="21327677"/>
    <s v="3000016014780003"/>
    <s v="CIVIL"/>
    <d v="2023-06-26T00:00:00"/>
    <d v="2023-07-04T19:00:44"/>
    <m/>
    <d v="2023-07-04T00:00:00"/>
    <n v="413"/>
    <n v="14085"/>
    <s v="61966996"/>
    <s v="61966996"/>
    <m/>
    <m/>
    <n v="22757456"/>
    <m/>
    <m/>
    <m/>
    <s v="SOLFIN"/>
    <s v="SOLFIN"/>
    <s v="CCMS"/>
    <n v="21327677"/>
    <n v="1548.21"/>
    <m/>
    <s v="N"/>
    <n v="3"/>
    <d v="2023-07-04T19:00:52"/>
    <s v="Y"/>
    <s v="Hearing Unit 1.01 - 2.30 Hours"/>
    <s v="Domestic Abuse"/>
    <s v="Advocacy"/>
    <s v="EQ"/>
    <s v="Y"/>
    <n v="203.76"/>
    <n v="40.75"/>
    <x v="1"/>
    <s v="VALIDATED"/>
    <n v="1"/>
    <s v="01.11.80.302.6100.0000"/>
    <n v="203.76"/>
    <s v="11"/>
    <s v="6100"/>
    <n v="14201.69"/>
    <n v="203.76"/>
    <s v="CREDITOR"/>
    <n v="0"/>
    <n v="0"/>
    <n v="0"/>
    <n v="0"/>
    <n v="203.76"/>
  </r>
  <r>
    <n v="62190137"/>
    <s v="N"/>
    <n v="21324314"/>
    <s v="3000016200790001RC"/>
    <s v="CIVIL"/>
    <d v="2023-06-22T00:00:00"/>
    <d v="2023-07-03T19:42:50"/>
    <m/>
    <d v="2023-07-03T00:00:00"/>
    <n v="413"/>
    <n v="14085"/>
    <s v="62190137"/>
    <s v="62190137"/>
    <m/>
    <m/>
    <m/>
    <m/>
    <m/>
    <m/>
    <s v="SOLRECOUP"/>
    <s v="SOLRECOUP"/>
    <s v="POARECOUP"/>
    <n v="21324314"/>
    <n v="-27.5"/>
    <m/>
    <s v="Y"/>
    <n v="1"/>
    <d v="2023-07-03T19:42:51"/>
    <s v="N"/>
    <m/>
    <m/>
    <s v="Non Expert Disbursement"/>
    <m/>
    <s v="N"/>
    <n v="-27.5"/>
    <n v="0"/>
    <x v="3"/>
    <s v="VALIDATED"/>
    <n v="1"/>
    <s v="01.11.80.302.2013.0000"/>
    <n v="-27.5"/>
    <s v="11"/>
    <s v="2013"/>
    <n v="14201.69"/>
    <n v="-27.5"/>
    <s v="CREDITOR"/>
    <n v="0"/>
    <n v="0"/>
    <n v="-27.5"/>
    <n v="0"/>
    <n v="0"/>
  </r>
  <r>
    <n v="62190137"/>
    <s v="N"/>
    <n v="21324314"/>
    <s v="3000016200790001RC"/>
    <s v="CIVIL"/>
    <d v="2023-06-22T00:00:00"/>
    <d v="2023-07-03T19:42:50"/>
    <m/>
    <d v="2023-07-03T00:00:00"/>
    <n v="413"/>
    <n v="14085"/>
    <s v="62190137"/>
    <s v="62190137"/>
    <m/>
    <m/>
    <m/>
    <m/>
    <m/>
    <m/>
    <s v="SOLRECOUP"/>
    <s v="SOLRECOUP"/>
    <s v="POARECOUP"/>
    <n v="21324314"/>
    <n v="-27.5"/>
    <m/>
    <s v="Y"/>
    <n v="2"/>
    <d v="2023-07-03T19:42:51"/>
    <s v="N"/>
    <m/>
    <m/>
    <s v="Non Expert Disbursement"/>
    <m/>
    <s v="N"/>
    <n v="0"/>
    <n v="0"/>
    <x v="3"/>
    <s v="VALIDATED"/>
    <n v="1"/>
    <s v="01.11.80.000.0000.0000"/>
    <n v="0"/>
    <s v="11"/>
    <s v="0000"/>
    <n v="14201.69"/>
    <n v="0"/>
    <s v="CREDITOR"/>
    <n v="0"/>
    <n v="0"/>
    <n v="0"/>
    <n v="0"/>
    <n v="0"/>
  </r>
  <r>
    <n v="62190137"/>
    <s v="N"/>
    <n v="21324315"/>
    <s v="3000016200790002RC"/>
    <s v="CIVIL"/>
    <d v="2023-06-22T00:00:00"/>
    <d v="2023-07-03T19:42:50"/>
    <m/>
    <d v="2023-07-03T00:00:00"/>
    <n v="413"/>
    <n v="14085"/>
    <s v="62190137"/>
    <s v="62190137"/>
    <m/>
    <m/>
    <m/>
    <m/>
    <m/>
    <m/>
    <s v="SOLRECOUP"/>
    <s v="SOLRECOUP"/>
    <s v="POARECOUP"/>
    <n v="21324315"/>
    <n v="-191.4"/>
    <m/>
    <s v="Y"/>
    <n v="2"/>
    <d v="2023-07-03T19:42:51"/>
    <s v="N"/>
    <m/>
    <m/>
    <s v="Non Expert Disbursement"/>
    <m/>
    <s v="N"/>
    <n v="0"/>
    <n v="-31.9"/>
    <x v="3"/>
    <s v="VALIDATED"/>
    <n v="1"/>
    <s v="01.11.80.302.2013.0000"/>
    <n v="-31.9"/>
    <s v="11"/>
    <s v="2013"/>
    <n v="14201.69"/>
    <n v="-31.9"/>
    <s v="CREDITOR"/>
    <n v="0"/>
    <n v="0"/>
    <n v="-31.9"/>
    <n v="0"/>
    <n v="0"/>
  </r>
  <r>
    <n v="62190137"/>
    <s v="N"/>
    <n v="21324315"/>
    <s v="3000016200790002RC"/>
    <s v="CIVIL"/>
    <d v="2023-06-22T00:00:00"/>
    <d v="2023-07-03T19:42:50"/>
    <m/>
    <d v="2023-07-03T00:00:00"/>
    <n v="413"/>
    <n v="14085"/>
    <s v="62190137"/>
    <s v="62190137"/>
    <m/>
    <m/>
    <m/>
    <m/>
    <m/>
    <m/>
    <s v="SOLRECOUP"/>
    <s v="SOLRECOUP"/>
    <s v="POARECOUP"/>
    <n v="21324315"/>
    <n v="-191.4"/>
    <m/>
    <s v="Y"/>
    <n v="1"/>
    <d v="2023-07-03T19:42:51"/>
    <s v="N"/>
    <m/>
    <m/>
    <s v="Non Expert Disbursement"/>
    <m/>
    <s v="N"/>
    <n v="-159.5"/>
    <n v="0"/>
    <x v="3"/>
    <s v="VALIDATED"/>
    <n v="1"/>
    <s v="01.11.80.302.2013.0000"/>
    <n v="-159.5"/>
    <s v="11"/>
    <s v="2013"/>
    <n v="14201.69"/>
    <n v="-159.5"/>
    <s v="CREDITOR"/>
    <n v="0"/>
    <n v="0"/>
    <n v="-159.5"/>
    <n v="0"/>
    <n v="0"/>
  </r>
  <r>
    <n v="62085083"/>
    <s v="N"/>
    <n v="21333761"/>
    <s v="3000016114350001RC"/>
    <s v="CIVIL"/>
    <d v="2023-06-27T00:00:00"/>
    <d v="2023-07-05T19:42:28"/>
    <m/>
    <d v="2023-07-05T00:00:00"/>
    <n v="413"/>
    <n v="14085"/>
    <s v="62085083"/>
    <s v="62085083"/>
    <m/>
    <m/>
    <m/>
    <m/>
    <m/>
    <m/>
    <s v="SOLRECOUP"/>
    <s v="SOLRECOUP"/>
    <s v="POARECOUP"/>
    <n v="21333761"/>
    <n v="-240.48"/>
    <m/>
    <s v="Y"/>
    <n v="1"/>
    <d v="2023-07-05T19:42:28"/>
    <s v="N"/>
    <m/>
    <m/>
    <s v="Non Expert Disbursement"/>
    <m/>
    <s v="N"/>
    <n v="-200.4"/>
    <n v="0"/>
    <x v="6"/>
    <s v="VALIDATED"/>
    <n v="1"/>
    <s v="01.11.80.302.2013.0000"/>
    <n v="-200.4"/>
    <s v="11"/>
    <s v="2013"/>
    <n v="14201.69"/>
    <n v="-200.4"/>
    <s v="CREDITOR"/>
    <n v="0"/>
    <n v="0"/>
    <n v="-200.4"/>
    <n v="0"/>
    <n v="0"/>
  </r>
  <r>
    <n v="62085083"/>
    <s v="N"/>
    <n v="21333761"/>
    <s v="3000016114350001RC"/>
    <s v="CIVIL"/>
    <d v="2023-06-27T00:00:00"/>
    <d v="2023-07-05T19:42:28"/>
    <m/>
    <d v="2023-07-05T00:00:00"/>
    <n v="413"/>
    <n v="14085"/>
    <s v="62085083"/>
    <s v="62085083"/>
    <m/>
    <m/>
    <m/>
    <m/>
    <m/>
    <m/>
    <s v="SOLRECOUP"/>
    <s v="SOLRECOUP"/>
    <s v="POARECOUP"/>
    <n v="21333761"/>
    <n v="-240.48"/>
    <m/>
    <s v="Y"/>
    <n v="2"/>
    <d v="2023-07-05T19:42:28"/>
    <s v="N"/>
    <m/>
    <m/>
    <s v="Non Expert Disbursement"/>
    <m/>
    <s v="N"/>
    <n v="0"/>
    <n v="-40.08"/>
    <x v="6"/>
    <s v="VALIDATED"/>
    <n v="1"/>
    <s v="01.11.80.302.2013.0000"/>
    <n v="-40.08"/>
    <s v="11"/>
    <s v="2013"/>
    <n v="14201.69"/>
    <n v="-40.08"/>
    <s v="CREDITOR"/>
    <n v="0"/>
    <n v="0"/>
    <n v="-40.08"/>
    <n v="0"/>
    <n v="0"/>
  </r>
  <r>
    <n v="61966996"/>
    <s v="N"/>
    <n v="21328609"/>
    <s v="3000016014780001RC"/>
    <s v="CIVIL"/>
    <d v="2023-06-26T00:00:00"/>
    <d v="2023-07-04T19:38:21"/>
    <m/>
    <d v="2023-07-04T00:00:00"/>
    <n v="413"/>
    <n v="14085"/>
    <s v="61966996"/>
    <s v="61966996"/>
    <m/>
    <m/>
    <m/>
    <m/>
    <m/>
    <m/>
    <s v="SOLRECOUP"/>
    <s v="SOLRECOUP"/>
    <s v="POARECOUP"/>
    <n v="21328609"/>
    <n v="-261.9"/>
    <m/>
    <s v="Y"/>
    <n v="2"/>
    <d v="2023-07-04T19:38:22"/>
    <s v="N"/>
    <m/>
    <m/>
    <s v="Expert Disbursement"/>
    <m/>
    <s v="N"/>
    <n v="0"/>
    <n v="-43.65"/>
    <x v="1"/>
    <s v="VALIDATED"/>
    <n v="1"/>
    <s v="01.11.80.302.2013.0000"/>
    <n v="-43.65"/>
    <s v="11"/>
    <s v="2013"/>
    <n v="14201.69"/>
    <n v="-43.65"/>
    <s v="CREDITOR"/>
    <n v="0"/>
    <n v="0"/>
    <n v="-43.65"/>
    <n v="0"/>
    <n v="0"/>
  </r>
  <r>
    <n v="61966996"/>
    <s v="N"/>
    <n v="21328609"/>
    <s v="3000016014780001RC"/>
    <s v="CIVIL"/>
    <d v="2023-06-26T00:00:00"/>
    <d v="2023-07-04T19:38:21"/>
    <m/>
    <d v="2023-07-04T00:00:00"/>
    <n v="413"/>
    <n v="14085"/>
    <s v="61966996"/>
    <s v="61966996"/>
    <m/>
    <m/>
    <m/>
    <m/>
    <m/>
    <m/>
    <s v="SOLRECOUP"/>
    <s v="SOLRECOUP"/>
    <s v="POARECOUP"/>
    <n v="21328609"/>
    <n v="-261.9"/>
    <m/>
    <s v="Y"/>
    <n v="1"/>
    <d v="2023-07-04T19:38:22"/>
    <s v="N"/>
    <m/>
    <m/>
    <s v="Expert Disbursement"/>
    <m/>
    <s v="N"/>
    <n v="-218.25"/>
    <n v="0"/>
    <x v="1"/>
    <s v="VALIDATED"/>
    <n v="1"/>
    <s v="01.11.80.302.2013.0000"/>
    <n v="-218.25"/>
    <s v="11"/>
    <s v="2013"/>
    <n v="14201.69"/>
    <n v="-218.25"/>
    <s v="CREDITOR"/>
    <n v="0"/>
    <n v="0"/>
    <n v="-218.25"/>
    <n v="0"/>
    <n v="0"/>
  </r>
  <r>
    <n v="60260850"/>
    <s v="N"/>
    <n v="21356339"/>
    <s v="3000014565110024RC"/>
    <s v="CIVIL"/>
    <d v="2023-06-28T00:00:00"/>
    <d v="2023-07-10T19:47:44"/>
    <m/>
    <d v="2023-07-10T00:00:00"/>
    <n v="413"/>
    <n v="14085"/>
    <s v="60260850"/>
    <s v="60260850"/>
    <m/>
    <m/>
    <m/>
    <m/>
    <m/>
    <m/>
    <s v="SOLRECOUP"/>
    <s v="SOLRECOUP"/>
    <s v="POARECOUP"/>
    <n v="21356339"/>
    <n v="-90.90000000000001"/>
    <m/>
    <s v="Y"/>
    <n v="2"/>
    <d v="2023-07-10T19:47:44"/>
    <s v="N"/>
    <m/>
    <m/>
    <s v="Expert Disbursement"/>
    <m/>
    <s v="N"/>
    <n v="0"/>
    <n v="-15.15"/>
    <x v="2"/>
    <s v="VALIDATED"/>
    <n v="1"/>
    <s v="01.11.80.308.2013.0000"/>
    <n v="-15.15"/>
    <s v="11"/>
    <s v="2013"/>
    <n v="14201.69"/>
    <n v="-15.15"/>
    <s v="CREDITOR"/>
    <n v="0"/>
    <n v="0"/>
    <n v="-15.15"/>
    <n v="0"/>
    <n v="0"/>
  </r>
  <r>
    <n v="60260850"/>
    <s v="N"/>
    <n v="21356340"/>
    <s v="3000014565110018RC"/>
    <s v="CIVIL"/>
    <d v="2023-06-28T00:00:00"/>
    <d v="2023-07-10T19:47:44"/>
    <m/>
    <d v="2023-07-10T00:00:00"/>
    <n v="413"/>
    <n v="14085"/>
    <s v="60260850"/>
    <s v="60260850"/>
    <m/>
    <m/>
    <m/>
    <m/>
    <m/>
    <m/>
    <s v="SOLRECOUP"/>
    <s v="SOLRECOUP"/>
    <s v="POARECOUP"/>
    <n v="21356340"/>
    <n v="-135"/>
    <m/>
    <s v="Y"/>
    <n v="1"/>
    <d v="2023-07-10T19:47:44"/>
    <s v="N"/>
    <m/>
    <m/>
    <s v="Expert Disbursement"/>
    <m/>
    <s v="N"/>
    <n v="-135"/>
    <n v="0"/>
    <x v="2"/>
    <s v="VALIDATED"/>
    <n v="1"/>
    <s v="01.11.80.308.2013.0000"/>
    <n v="-135"/>
    <s v="11"/>
    <s v="2013"/>
    <n v="14201.69"/>
    <n v="-135"/>
    <s v="CREDITOR"/>
    <n v="0"/>
    <n v="0"/>
    <n v="-135"/>
    <n v="0"/>
    <n v="0"/>
  </r>
  <r>
    <n v="60260850"/>
    <s v="N"/>
    <n v="21356340"/>
    <s v="3000014565110018RC"/>
    <s v="CIVIL"/>
    <d v="2023-06-28T00:00:00"/>
    <d v="2023-07-10T19:47:44"/>
    <m/>
    <d v="2023-07-10T00:00:00"/>
    <n v="413"/>
    <n v="14085"/>
    <s v="60260850"/>
    <s v="60260850"/>
    <m/>
    <m/>
    <m/>
    <m/>
    <m/>
    <m/>
    <s v="SOLRECOUP"/>
    <s v="SOLRECOUP"/>
    <s v="POARECOUP"/>
    <n v="21356340"/>
    <n v="-135"/>
    <m/>
    <s v="Y"/>
    <n v="2"/>
    <d v="2023-07-10T19:47:44"/>
    <s v="N"/>
    <m/>
    <m/>
    <s v="Expert Disbursement"/>
    <m/>
    <s v="N"/>
    <n v="0"/>
    <n v="0"/>
    <x v="2"/>
    <s v="VALIDATED"/>
    <n v="1"/>
    <s v="01.11.80.000.0000.0000"/>
    <n v="0"/>
    <s v="11"/>
    <s v="0000"/>
    <n v="14201.69"/>
    <n v="0"/>
    <s v="CREDITOR"/>
    <n v="0"/>
    <n v="0"/>
    <n v="0"/>
    <n v="0"/>
    <n v="0"/>
  </r>
  <r>
    <n v="60260850"/>
    <s v="N"/>
    <n v="21356341"/>
    <s v="3000014565110019RC"/>
    <s v="CIVIL"/>
    <d v="2023-06-28T00:00:00"/>
    <d v="2023-07-10T19:47:44"/>
    <m/>
    <d v="2023-07-10T00:00:00"/>
    <n v="413"/>
    <n v="14085"/>
    <s v="60260850"/>
    <s v="60260850"/>
    <m/>
    <m/>
    <m/>
    <m/>
    <m/>
    <m/>
    <s v="SOLRECOUP"/>
    <s v="SOLRECOUP"/>
    <s v="POARECOUP"/>
    <n v="21356341"/>
    <n v="-64.8"/>
    <m/>
    <s v="Y"/>
    <n v="1"/>
    <d v="2023-07-10T19:47:44"/>
    <s v="N"/>
    <m/>
    <m/>
    <s v="Expert Disbursement"/>
    <m/>
    <s v="N"/>
    <n v="-54"/>
    <n v="0"/>
    <x v="2"/>
    <s v="VALIDATED"/>
    <n v="1"/>
    <s v="01.11.80.308.2013.0000"/>
    <n v="-54"/>
    <s v="11"/>
    <s v="2013"/>
    <n v="14201.69"/>
    <n v="-54"/>
    <s v="CREDITOR"/>
    <n v="0"/>
    <n v="0"/>
    <n v="-54"/>
    <n v="0"/>
    <n v="0"/>
  </r>
  <r>
    <n v="60260850"/>
    <s v="N"/>
    <n v="21356341"/>
    <s v="3000014565110019RC"/>
    <s v="CIVIL"/>
    <d v="2023-06-28T00:00:00"/>
    <d v="2023-07-10T19:47:44"/>
    <m/>
    <d v="2023-07-10T00:00:00"/>
    <n v="413"/>
    <n v="14085"/>
    <s v="60260850"/>
    <s v="60260850"/>
    <m/>
    <m/>
    <m/>
    <m/>
    <m/>
    <m/>
    <s v="SOLRECOUP"/>
    <s v="SOLRECOUP"/>
    <s v="POARECOUP"/>
    <n v="21356341"/>
    <n v="-64.8"/>
    <m/>
    <s v="Y"/>
    <n v="2"/>
    <d v="2023-07-10T19:47:44"/>
    <s v="N"/>
    <m/>
    <m/>
    <s v="Expert Disbursement"/>
    <m/>
    <s v="N"/>
    <n v="0"/>
    <n v="-10.8"/>
    <x v="2"/>
    <s v="VALIDATED"/>
    <n v="1"/>
    <s v="01.11.80.308.2013.0000"/>
    <n v="-10.8"/>
    <s v="11"/>
    <s v="2013"/>
    <n v="14201.69"/>
    <n v="-10.8"/>
    <s v="CREDITOR"/>
    <n v="0"/>
    <n v="0"/>
    <n v="-10.8"/>
    <n v="0"/>
    <n v="0"/>
  </r>
  <r>
    <n v="60260850"/>
    <s v="N"/>
    <n v="21356342"/>
    <s v="3000014565110021RC"/>
    <s v="CIVIL"/>
    <d v="2023-06-28T00:00:00"/>
    <d v="2023-07-10T19:47:44"/>
    <m/>
    <d v="2023-07-10T00:00:00"/>
    <n v="413"/>
    <n v="14085"/>
    <s v="60260850"/>
    <s v="60260850"/>
    <m/>
    <m/>
    <m/>
    <m/>
    <m/>
    <m/>
    <s v="SOLRECOUP"/>
    <s v="SOLRECOUP"/>
    <s v="POARECOUP"/>
    <n v="21356342"/>
    <n v="-540"/>
    <m/>
    <s v="Y"/>
    <n v="1"/>
    <d v="2023-07-10T19:47:44"/>
    <s v="N"/>
    <m/>
    <m/>
    <s v="Expert Disbursement"/>
    <m/>
    <s v="N"/>
    <n v="-450"/>
    <n v="0"/>
    <x v="2"/>
    <s v="VALIDATED"/>
    <n v="1"/>
    <s v="01.11.80.308.2013.0000"/>
    <n v="-450"/>
    <s v="11"/>
    <s v="2013"/>
    <n v="14201.69"/>
    <n v="-450"/>
    <s v="CREDITOR"/>
    <n v="0"/>
    <n v="0"/>
    <n v="-450"/>
    <n v="0"/>
    <n v="0"/>
  </r>
  <r>
    <n v="60260850"/>
    <s v="N"/>
    <n v="21356342"/>
    <s v="3000014565110021RC"/>
    <s v="CIVIL"/>
    <d v="2023-06-28T00:00:00"/>
    <d v="2023-07-10T19:47:44"/>
    <m/>
    <d v="2023-07-10T00:00:00"/>
    <n v="413"/>
    <n v="14085"/>
    <s v="60260850"/>
    <s v="60260850"/>
    <m/>
    <m/>
    <m/>
    <m/>
    <m/>
    <m/>
    <s v="SOLRECOUP"/>
    <s v="SOLRECOUP"/>
    <s v="POARECOUP"/>
    <n v="21356342"/>
    <n v="-540"/>
    <m/>
    <s v="Y"/>
    <n v="2"/>
    <d v="2023-07-10T19:47:44"/>
    <s v="N"/>
    <m/>
    <m/>
    <s v="Expert Disbursement"/>
    <m/>
    <s v="N"/>
    <n v="0"/>
    <n v="-90"/>
    <x v="2"/>
    <s v="VALIDATED"/>
    <n v="1"/>
    <s v="01.11.80.308.2013.0000"/>
    <n v="-90"/>
    <s v="11"/>
    <s v="2013"/>
    <n v="14201.69"/>
    <n v="-90"/>
    <s v="CREDITOR"/>
    <n v="0"/>
    <n v="0"/>
    <n v="-90"/>
    <n v="0"/>
    <n v="0"/>
  </r>
  <r>
    <n v="60260850"/>
    <s v="N"/>
    <n v="21356343"/>
    <s v="3000014565110022RC"/>
    <s v="CIVIL"/>
    <d v="2023-06-28T00:00:00"/>
    <d v="2023-07-10T19:47:44"/>
    <m/>
    <d v="2023-07-10T00:00:00"/>
    <n v="413"/>
    <n v="14085"/>
    <s v="60260850"/>
    <s v="60260850"/>
    <m/>
    <m/>
    <m/>
    <m/>
    <m/>
    <m/>
    <s v="SOLRECOUP"/>
    <s v="SOLRECOUP"/>
    <s v="POARECOUP"/>
    <n v="21356343"/>
    <n v="-129.6"/>
    <m/>
    <s v="Y"/>
    <n v="1"/>
    <d v="2023-07-10T19:47:44"/>
    <s v="N"/>
    <m/>
    <m/>
    <s v="Expert Disbursement"/>
    <m/>
    <s v="N"/>
    <n v="-108"/>
    <n v="0"/>
    <x v="2"/>
    <s v="VALIDATED"/>
    <n v="1"/>
    <s v="01.11.80.308.2013.0000"/>
    <n v="-108"/>
    <s v="11"/>
    <s v="2013"/>
    <n v="14201.69"/>
    <n v="-108"/>
    <s v="CREDITOR"/>
    <n v="0"/>
    <n v="0"/>
    <n v="-108"/>
    <n v="0"/>
    <n v="0"/>
  </r>
  <r>
    <n v="60260850"/>
    <s v="N"/>
    <n v="21356343"/>
    <s v="3000014565110022RC"/>
    <s v="CIVIL"/>
    <d v="2023-06-28T00:00:00"/>
    <d v="2023-07-10T19:47:44"/>
    <m/>
    <d v="2023-07-10T00:00:00"/>
    <n v="413"/>
    <n v="14085"/>
    <s v="60260850"/>
    <s v="60260850"/>
    <m/>
    <m/>
    <m/>
    <m/>
    <m/>
    <m/>
    <s v="SOLRECOUP"/>
    <s v="SOLRECOUP"/>
    <s v="POARECOUP"/>
    <n v="21356343"/>
    <n v="-129.6"/>
    <m/>
    <s v="Y"/>
    <n v="2"/>
    <d v="2023-07-10T19:47:44"/>
    <s v="N"/>
    <m/>
    <m/>
    <s v="Expert Disbursement"/>
    <m/>
    <s v="N"/>
    <n v="0"/>
    <n v="-21.6"/>
    <x v="2"/>
    <s v="VALIDATED"/>
    <n v="1"/>
    <s v="01.11.80.308.2013.0000"/>
    <n v="-21.6"/>
    <s v="11"/>
    <s v="2013"/>
    <n v="14201.69"/>
    <n v="-21.6"/>
    <s v="CREDITOR"/>
    <n v="0"/>
    <n v="0"/>
    <n v="-21.6"/>
    <n v="0"/>
    <n v="0"/>
  </r>
  <r>
    <n v="60260850"/>
    <s v="N"/>
    <n v="21356344"/>
    <s v="3000014565110023RC"/>
    <s v="CIVIL"/>
    <d v="2023-06-28T00:00:00"/>
    <d v="2023-07-10T19:47:44"/>
    <m/>
    <d v="2023-07-10T00:00:00"/>
    <n v="413"/>
    <n v="14085"/>
    <s v="60260850"/>
    <s v="60260850"/>
    <m/>
    <m/>
    <m/>
    <m/>
    <m/>
    <m/>
    <s v="SOLRECOUP"/>
    <s v="SOLRECOUP"/>
    <s v="POARECOUP"/>
    <n v="21356344"/>
    <n v="-208.5"/>
    <m/>
    <s v="Y"/>
    <n v="1"/>
    <d v="2023-07-10T19:47:44"/>
    <s v="N"/>
    <m/>
    <m/>
    <s v="Expert Disbursement"/>
    <m/>
    <s v="N"/>
    <n v="-173.75"/>
    <n v="0"/>
    <x v="2"/>
    <s v="VALIDATED"/>
    <n v="1"/>
    <s v="01.11.80.308.2013.0000"/>
    <n v="-173.75"/>
    <s v="11"/>
    <s v="2013"/>
    <n v="14201.69"/>
    <n v="-173.75"/>
    <s v="CREDITOR"/>
    <n v="0"/>
    <n v="0"/>
    <n v="-173.75"/>
    <n v="0"/>
    <n v="0"/>
  </r>
  <r>
    <n v="60260850"/>
    <s v="N"/>
    <n v="21356344"/>
    <s v="3000014565110023RC"/>
    <s v="CIVIL"/>
    <d v="2023-06-28T00:00:00"/>
    <d v="2023-07-10T19:47:44"/>
    <m/>
    <d v="2023-07-10T00:00:00"/>
    <n v="413"/>
    <n v="14085"/>
    <s v="60260850"/>
    <s v="60260850"/>
    <m/>
    <m/>
    <m/>
    <m/>
    <m/>
    <m/>
    <s v="SOLRECOUP"/>
    <s v="SOLRECOUP"/>
    <s v="POARECOUP"/>
    <n v="21356344"/>
    <n v="-208.5"/>
    <m/>
    <s v="Y"/>
    <n v="2"/>
    <d v="2023-07-10T19:47:44"/>
    <s v="N"/>
    <m/>
    <m/>
    <s v="Expert Disbursement"/>
    <m/>
    <s v="N"/>
    <n v="0"/>
    <n v="-34.75"/>
    <x v="2"/>
    <s v="VALIDATED"/>
    <n v="1"/>
    <s v="01.11.80.308.2013.0000"/>
    <n v="-34.75"/>
    <s v="11"/>
    <s v="2013"/>
    <n v="14201.69"/>
    <n v="-34.75"/>
    <s v="CREDITOR"/>
    <n v="0"/>
    <n v="0"/>
    <n v="-34.75"/>
    <n v="0"/>
    <n v="0"/>
  </r>
  <r>
    <n v="60260850"/>
    <s v="N"/>
    <n v="21356345"/>
    <s v="3000014565110025RC"/>
    <s v="CIVIL"/>
    <d v="2023-06-28T00:00:00"/>
    <d v="2023-07-10T19:47:44"/>
    <m/>
    <d v="2023-07-10T00:00:00"/>
    <n v="413"/>
    <n v="14085"/>
    <s v="60260850"/>
    <s v="60260850"/>
    <m/>
    <m/>
    <m/>
    <m/>
    <m/>
    <m/>
    <s v="SOLRECOUP"/>
    <s v="SOLRECOUP"/>
    <s v="POARECOUP"/>
    <n v="21356345"/>
    <n v="-97.2"/>
    <m/>
    <s v="Y"/>
    <n v="1"/>
    <d v="2023-07-10T19:47:44"/>
    <s v="N"/>
    <m/>
    <m/>
    <s v="Expert Disbursement"/>
    <m/>
    <s v="N"/>
    <n v="-81"/>
    <n v="0"/>
    <x v="2"/>
    <s v="VALIDATED"/>
    <n v="1"/>
    <s v="01.11.80.308.2013.0000"/>
    <n v="-81"/>
    <s v="11"/>
    <s v="2013"/>
    <n v="14201.69"/>
    <n v="-81"/>
    <s v="CREDITOR"/>
    <n v="0"/>
    <n v="0"/>
    <n v="-81"/>
    <n v="0"/>
    <n v="0"/>
  </r>
  <r>
    <n v="60260850"/>
    <s v="N"/>
    <n v="21356345"/>
    <s v="3000014565110025RC"/>
    <s v="CIVIL"/>
    <d v="2023-06-28T00:00:00"/>
    <d v="2023-07-10T19:47:44"/>
    <m/>
    <d v="2023-07-10T00:00:00"/>
    <n v="413"/>
    <n v="14085"/>
    <s v="60260850"/>
    <s v="60260850"/>
    <m/>
    <m/>
    <m/>
    <m/>
    <m/>
    <m/>
    <s v="SOLRECOUP"/>
    <s v="SOLRECOUP"/>
    <s v="POARECOUP"/>
    <n v="21356345"/>
    <n v="-97.2"/>
    <m/>
    <s v="Y"/>
    <n v="2"/>
    <d v="2023-07-10T19:47:44"/>
    <s v="N"/>
    <m/>
    <m/>
    <s v="Expert Disbursement"/>
    <m/>
    <s v="N"/>
    <n v="0"/>
    <n v="-16.2"/>
    <x v="2"/>
    <s v="VALIDATED"/>
    <n v="1"/>
    <s v="01.11.80.308.2013.0000"/>
    <n v="-16.2"/>
    <s v="11"/>
    <s v="2013"/>
    <n v="14201.69"/>
    <n v="-16.2"/>
    <s v="CREDITOR"/>
    <n v="0"/>
    <n v="0"/>
    <n v="-16.2"/>
    <n v="0"/>
    <n v="0"/>
  </r>
  <r>
    <n v="60260850"/>
    <s v="N"/>
    <n v="21356346"/>
    <s v="3000014565110026RC"/>
    <s v="CIVIL"/>
    <d v="2023-06-28T00:00:00"/>
    <d v="2023-07-10T19:47:44"/>
    <m/>
    <d v="2023-07-10T00:00:00"/>
    <n v="413"/>
    <n v="14085"/>
    <s v="60260850"/>
    <s v="60260850"/>
    <m/>
    <m/>
    <m/>
    <m/>
    <m/>
    <m/>
    <s v="SOLRECOUP"/>
    <s v="SOLRECOUP"/>
    <s v="POARECOUP"/>
    <n v="21356346"/>
    <n v="-153.9"/>
    <m/>
    <s v="Y"/>
    <n v="2"/>
    <d v="2023-07-10T19:47:44"/>
    <s v="N"/>
    <m/>
    <m/>
    <s v="Expert Disbursement"/>
    <m/>
    <s v="N"/>
    <n v="0"/>
    <n v="-25.65"/>
    <x v="2"/>
    <s v="VALIDATED"/>
    <n v="1"/>
    <s v="01.11.80.308.2013.0000"/>
    <n v="-25.65"/>
    <s v="11"/>
    <s v="2013"/>
    <n v="14201.69"/>
    <n v="-25.65"/>
    <s v="CREDITOR"/>
    <n v="0"/>
    <n v="0"/>
    <n v="-25.65"/>
    <n v="0"/>
    <n v="0"/>
  </r>
  <r>
    <n v="60260850"/>
    <s v="N"/>
    <n v="21356346"/>
    <s v="3000014565110026RC"/>
    <s v="CIVIL"/>
    <d v="2023-06-28T00:00:00"/>
    <d v="2023-07-10T19:47:44"/>
    <m/>
    <d v="2023-07-10T00:00:00"/>
    <n v="413"/>
    <n v="14085"/>
    <s v="60260850"/>
    <s v="60260850"/>
    <m/>
    <m/>
    <m/>
    <m/>
    <m/>
    <m/>
    <s v="SOLRECOUP"/>
    <s v="SOLRECOUP"/>
    <s v="POARECOUP"/>
    <n v="21356346"/>
    <n v="-153.9"/>
    <m/>
    <s v="Y"/>
    <n v="1"/>
    <d v="2023-07-10T19:47:44"/>
    <s v="N"/>
    <m/>
    <m/>
    <s v="Expert Disbursement"/>
    <m/>
    <s v="N"/>
    <n v="-128.25"/>
    <n v="0"/>
    <x v="2"/>
    <s v="VALIDATED"/>
    <n v="1"/>
    <s v="01.11.80.308.2013.0000"/>
    <n v="-128.25"/>
    <s v="11"/>
    <s v="2013"/>
    <n v="14201.69"/>
    <n v="-128.25"/>
    <s v="CREDITOR"/>
    <n v="0"/>
    <n v="0"/>
    <n v="-128.25"/>
    <n v="0"/>
    <n v="0"/>
  </r>
  <r>
    <n v="60260850"/>
    <s v="N"/>
    <n v="21356347"/>
    <s v="3000014565110028RC"/>
    <s v="CIVIL"/>
    <d v="2023-06-28T00:00:00"/>
    <d v="2023-07-10T19:47:44"/>
    <m/>
    <d v="2023-07-10T00:00:00"/>
    <n v="413"/>
    <n v="14085"/>
    <s v="60260850"/>
    <s v="60260850"/>
    <m/>
    <m/>
    <m/>
    <m/>
    <m/>
    <m/>
    <s v="SOLRECOUP"/>
    <s v="SOLRECOUP"/>
    <s v="POARECOUP"/>
    <n v="21356347"/>
    <n v="-168.75"/>
    <m/>
    <s v="Y"/>
    <n v="2"/>
    <d v="2023-07-10T19:47:44"/>
    <s v="N"/>
    <m/>
    <m/>
    <s v="Expert Disbursement"/>
    <m/>
    <s v="N"/>
    <n v="0"/>
    <n v="0"/>
    <x v="2"/>
    <s v="VALIDATED"/>
    <n v="1"/>
    <s v="01.11.80.000.0000.0000"/>
    <n v="0"/>
    <s v="11"/>
    <s v="0000"/>
    <n v="14201.69"/>
    <n v="0"/>
    <s v="CREDITOR"/>
    <n v="0"/>
    <n v="0"/>
    <n v="0"/>
    <n v="0"/>
    <n v="0"/>
  </r>
  <r>
    <n v="60260850"/>
    <s v="N"/>
    <n v="21356347"/>
    <s v="3000014565110028RC"/>
    <s v="CIVIL"/>
    <d v="2023-06-28T00:00:00"/>
    <d v="2023-07-10T19:47:44"/>
    <m/>
    <d v="2023-07-10T00:00:00"/>
    <n v="413"/>
    <n v="14085"/>
    <s v="60260850"/>
    <s v="60260850"/>
    <m/>
    <m/>
    <m/>
    <m/>
    <m/>
    <m/>
    <s v="SOLRECOUP"/>
    <s v="SOLRECOUP"/>
    <s v="POARECOUP"/>
    <n v="21356347"/>
    <n v="-168.75"/>
    <m/>
    <s v="Y"/>
    <n v="1"/>
    <d v="2023-07-10T19:47:44"/>
    <s v="N"/>
    <m/>
    <m/>
    <s v="Expert Disbursement"/>
    <m/>
    <s v="N"/>
    <n v="-168.75"/>
    <n v="0"/>
    <x v="2"/>
    <s v="VALIDATED"/>
    <n v="1"/>
    <s v="01.11.80.308.2013.0000"/>
    <n v="-168.75"/>
    <s v="11"/>
    <s v="2013"/>
    <n v="14201.69"/>
    <n v="-168.75"/>
    <s v="CREDITOR"/>
    <n v="0"/>
    <n v="0"/>
    <n v="-168.75"/>
    <n v="0"/>
    <n v="0"/>
  </r>
  <r>
    <n v="60260850"/>
    <s v="N"/>
    <n v="21356348"/>
    <s v="3000014565110027RC"/>
    <s v="CIVIL"/>
    <d v="2023-06-28T00:00:00"/>
    <d v="2023-07-10T19:47:44"/>
    <m/>
    <d v="2023-07-10T00:00:00"/>
    <n v="413"/>
    <n v="14085"/>
    <s v="60260850"/>
    <s v="60260850"/>
    <m/>
    <m/>
    <m/>
    <m/>
    <m/>
    <m/>
    <s v="SOLRECOUP"/>
    <s v="SOLRECOUP"/>
    <s v="POARECOUP"/>
    <n v="21356348"/>
    <n v="-337.5"/>
    <m/>
    <s v="Y"/>
    <n v="2"/>
    <d v="2023-07-10T19:47:44"/>
    <s v="N"/>
    <m/>
    <m/>
    <s v="Expert Disbursement"/>
    <m/>
    <s v="N"/>
    <n v="0"/>
    <n v="0"/>
    <x v="2"/>
    <s v="VALIDATED"/>
    <n v="1"/>
    <s v="01.11.80.000.0000.0000"/>
    <n v="0"/>
    <s v="11"/>
    <s v="0000"/>
    <n v="14201.69"/>
    <n v="0"/>
    <s v="CREDITOR"/>
    <n v="0"/>
    <n v="0"/>
    <n v="0"/>
    <n v="0"/>
    <n v="0"/>
  </r>
  <r>
    <n v="60260850"/>
    <s v="N"/>
    <n v="21356348"/>
    <s v="3000014565110027RC"/>
    <s v="CIVIL"/>
    <d v="2023-06-28T00:00:00"/>
    <d v="2023-07-10T19:47:44"/>
    <m/>
    <d v="2023-07-10T00:00:00"/>
    <n v="413"/>
    <n v="14085"/>
    <s v="60260850"/>
    <s v="60260850"/>
    <m/>
    <m/>
    <m/>
    <m/>
    <m/>
    <m/>
    <s v="SOLRECOUP"/>
    <s v="SOLRECOUP"/>
    <s v="POARECOUP"/>
    <n v="21356348"/>
    <n v="-337.5"/>
    <m/>
    <s v="Y"/>
    <n v="1"/>
    <d v="2023-07-10T19:47:44"/>
    <s v="N"/>
    <m/>
    <m/>
    <s v="Expert Disbursement"/>
    <m/>
    <s v="N"/>
    <n v="-337.5"/>
    <n v="0"/>
    <x v="2"/>
    <s v="VALIDATED"/>
    <n v="1"/>
    <s v="01.11.80.308.2013.0000"/>
    <n v="-337.5"/>
    <s v="11"/>
    <s v="2013"/>
    <n v="14201.69"/>
    <n v="-337.5"/>
    <s v="CREDITOR"/>
    <n v="0"/>
    <n v="0"/>
    <n v="-337.5"/>
    <n v="0"/>
    <n v="0"/>
  </r>
  <r>
    <n v="60260850"/>
    <s v="N"/>
    <n v="21356327"/>
    <s v="3000014565110005RC"/>
    <s v="CIVIL"/>
    <d v="2023-06-28T00:00:00"/>
    <d v="2023-07-10T19:47:44"/>
    <m/>
    <d v="2023-07-10T00:00:00"/>
    <n v="413"/>
    <n v="14085"/>
    <s v="60260850"/>
    <s v="60260850"/>
    <m/>
    <m/>
    <m/>
    <m/>
    <m/>
    <m/>
    <s v="SOLRECOUP"/>
    <s v="SOLRECOUP"/>
    <s v="POARECOUP"/>
    <n v="21356327"/>
    <n v="-90.90000000000001"/>
    <m/>
    <s v="Y"/>
    <n v="1"/>
    <d v="2023-07-10T19:47:44"/>
    <s v="N"/>
    <m/>
    <m/>
    <s v="Expert Disbursement"/>
    <m/>
    <s v="N"/>
    <n v="-75.75"/>
    <n v="0"/>
    <x v="2"/>
    <s v="VALIDATED"/>
    <n v="1"/>
    <s v="01.11.80.308.2013.0000"/>
    <n v="-75.75"/>
    <s v="11"/>
    <s v="2013"/>
    <n v="14201.69"/>
    <n v="-75.75"/>
    <s v="CREDITOR"/>
    <n v="0"/>
    <n v="0"/>
    <n v="-75.75"/>
    <n v="0"/>
    <n v="0"/>
  </r>
  <r>
    <n v="60260850"/>
    <s v="N"/>
    <n v="21356327"/>
    <s v="3000014565110005RC"/>
    <s v="CIVIL"/>
    <d v="2023-06-28T00:00:00"/>
    <d v="2023-07-10T19:47:44"/>
    <m/>
    <d v="2023-07-10T00:00:00"/>
    <n v="413"/>
    <n v="14085"/>
    <s v="60260850"/>
    <s v="60260850"/>
    <m/>
    <m/>
    <m/>
    <m/>
    <m/>
    <m/>
    <s v="SOLRECOUP"/>
    <s v="SOLRECOUP"/>
    <s v="POARECOUP"/>
    <n v="21356327"/>
    <n v="-90.90000000000001"/>
    <m/>
    <s v="Y"/>
    <n v="2"/>
    <d v="2023-07-10T19:47:44"/>
    <s v="N"/>
    <m/>
    <m/>
    <s v="Expert Disbursement"/>
    <m/>
    <s v="N"/>
    <n v="0"/>
    <n v="-15.15"/>
    <x v="2"/>
    <s v="VALIDATED"/>
    <n v="1"/>
    <s v="01.11.80.308.2013.0000"/>
    <n v="-15.15"/>
    <s v="11"/>
    <s v="2013"/>
    <n v="14201.69"/>
    <n v="-15.15"/>
    <s v="CREDITOR"/>
    <n v="0"/>
    <n v="0"/>
    <n v="-15.15"/>
    <n v="0"/>
    <n v="0"/>
  </r>
  <r>
    <n v="60260850"/>
    <s v="N"/>
    <n v="21356328"/>
    <s v="3000014565110014RC"/>
    <s v="CIVIL"/>
    <d v="2023-06-28T00:00:00"/>
    <d v="2023-07-10T19:47:44"/>
    <m/>
    <d v="2023-07-10T00:00:00"/>
    <n v="413"/>
    <n v="14085"/>
    <s v="60260850"/>
    <s v="60260850"/>
    <m/>
    <m/>
    <m/>
    <m/>
    <m/>
    <m/>
    <s v="SOLRECOUP"/>
    <s v="SOLRECOUP"/>
    <s v="POARECOUP"/>
    <n v="21356328"/>
    <n v="-216"/>
    <m/>
    <s v="Y"/>
    <n v="1"/>
    <d v="2023-07-10T19:47:44"/>
    <s v="N"/>
    <m/>
    <m/>
    <s v="Expert Disbursement"/>
    <m/>
    <s v="N"/>
    <n v="-180"/>
    <n v="0"/>
    <x v="2"/>
    <s v="VALIDATED"/>
    <n v="1"/>
    <s v="01.11.80.308.2013.0000"/>
    <n v="-180"/>
    <s v="11"/>
    <s v="2013"/>
    <n v="14201.69"/>
    <n v="-180"/>
    <s v="CREDITOR"/>
    <n v="0"/>
    <n v="0"/>
    <n v="-180"/>
    <n v="0"/>
    <n v="0"/>
  </r>
  <r>
    <n v="60260850"/>
    <s v="N"/>
    <n v="21356328"/>
    <s v="3000014565110014RC"/>
    <s v="CIVIL"/>
    <d v="2023-06-28T00:00:00"/>
    <d v="2023-07-10T19:47:44"/>
    <m/>
    <d v="2023-07-10T00:00:00"/>
    <n v="413"/>
    <n v="14085"/>
    <s v="60260850"/>
    <s v="60260850"/>
    <m/>
    <m/>
    <m/>
    <m/>
    <m/>
    <m/>
    <s v="SOLRECOUP"/>
    <s v="SOLRECOUP"/>
    <s v="POARECOUP"/>
    <n v="21356328"/>
    <n v="-216"/>
    <m/>
    <s v="Y"/>
    <n v="2"/>
    <d v="2023-07-10T19:47:44"/>
    <s v="N"/>
    <m/>
    <m/>
    <s v="Expert Disbursement"/>
    <m/>
    <s v="N"/>
    <n v="0"/>
    <n v="-36"/>
    <x v="2"/>
    <s v="VALIDATED"/>
    <n v="1"/>
    <s v="01.11.80.308.2013.0000"/>
    <n v="-36"/>
    <s v="11"/>
    <s v="2013"/>
    <n v="14201.69"/>
    <n v="-36"/>
    <s v="CREDITOR"/>
    <n v="0"/>
    <n v="0"/>
    <n v="-36"/>
    <n v="0"/>
    <n v="0"/>
  </r>
  <r>
    <n v="60260850"/>
    <s v="N"/>
    <n v="21356329"/>
    <s v="3000014565110015RC"/>
    <s v="CIVIL"/>
    <d v="2023-06-28T00:00:00"/>
    <d v="2023-07-10T19:47:44"/>
    <m/>
    <d v="2023-07-10T00:00:00"/>
    <n v="413"/>
    <n v="14085"/>
    <s v="60260850"/>
    <s v="60260850"/>
    <m/>
    <m/>
    <m/>
    <m/>
    <m/>
    <m/>
    <s v="SOLRECOUP"/>
    <s v="SOLRECOUP"/>
    <s v="POARECOUP"/>
    <n v="21356329"/>
    <n v="-241.8"/>
    <m/>
    <s v="Y"/>
    <n v="1"/>
    <d v="2023-07-10T19:47:44"/>
    <s v="N"/>
    <m/>
    <m/>
    <s v="Expert Disbursement"/>
    <m/>
    <s v="N"/>
    <n v="-201.5"/>
    <n v="0"/>
    <x v="2"/>
    <s v="VALIDATED"/>
    <n v="1"/>
    <s v="01.11.80.308.2013.0000"/>
    <n v="-201.5"/>
    <s v="11"/>
    <s v="2013"/>
    <n v="14201.69"/>
    <n v="-201.5"/>
    <s v="CREDITOR"/>
    <n v="0"/>
    <n v="0"/>
    <n v="-201.5"/>
    <n v="0"/>
    <n v="0"/>
  </r>
  <r>
    <n v="60260850"/>
    <s v="N"/>
    <n v="21356329"/>
    <s v="3000014565110015RC"/>
    <s v="CIVIL"/>
    <d v="2023-06-28T00:00:00"/>
    <d v="2023-07-10T19:47:44"/>
    <m/>
    <d v="2023-07-10T00:00:00"/>
    <n v="413"/>
    <n v="14085"/>
    <s v="60260850"/>
    <s v="60260850"/>
    <m/>
    <m/>
    <m/>
    <m/>
    <m/>
    <m/>
    <s v="SOLRECOUP"/>
    <s v="SOLRECOUP"/>
    <s v="POARECOUP"/>
    <n v="21356329"/>
    <n v="-241.8"/>
    <m/>
    <s v="Y"/>
    <n v="2"/>
    <d v="2023-07-10T19:47:44"/>
    <s v="N"/>
    <m/>
    <m/>
    <s v="Expert Disbursement"/>
    <m/>
    <s v="N"/>
    <n v="0"/>
    <n v="-40.3"/>
    <x v="2"/>
    <s v="VALIDATED"/>
    <n v="1"/>
    <s v="01.11.80.308.2013.0000"/>
    <n v="-40.3"/>
    <s v="11"/>
    <s v="2013"/>
    <n v="14201.69"/>
    <n v="-40.3"/>
    <s v="CREDITOR"/>
    <n v="0"/>
    <n v="0"/>
    <n v="-40.3"/>
    <n v="0"/>
    <n v="0"/>
  </r>
  <r>
    <n v="60260850"/>
    <s v="N"/>
    <n v="21356330"/>
    <s v="3000014565110016RC"/>
    <s v="CIVIL"/>
    <d v="2023-06-28T00:00:00"/>
    <d v="2023-07-10T19:47:44"/>
    <m/>
    <d v="2023-07-10T00:00:00"/>
    <n v="413"/>
    <n v="14085"/>
    <s v="60260850"/>
    <s v="60260850"/>
    <m/>
    <m/>
    <m/>
    <m/>
    <m/>
    <m/>
    <s v="SOLRECOUP"/>
    <s v="SOLRECOUP"/>
    <s v="POARECOUP"/>
    <n v="21356330"/>
    <n v="-102.6"/>
    <m/>
    <s v="Y"/>
    <n v="1"/>
    <d v="2023-07-10T19:47:44"/>
    <s v="N"/>
    <m/>
    <m/>
    <s v="Expert Disbursement"/>
    <m/>
    <s v="N"/>
    <n v="-85.5"/>
    <n v="0"/>
    <x v="2"/>
    <s v="VALIDATED"/>
    <n v="1"/>
    <s v="01.11.80.308.2013.0000"/>
    <n v="-85.5"/>
    <s v="11"/>
    <s v="2013"/>
    <n v="14201.69"/>
    <n v="-85.5"/>
    <s v="CREDITOR"/>
    <n v="0"/>
    <n v="0"/>
    <n v="-85.5"/>
    <n v="0"/>
    <n v="0"/>
  </r>
  <r>
    <n v="61840377"/>
    <s v="N"/>
    <n v="21346269"/>
    <s v="3000015907640001RC"/>
    <s v="CIVIL"/>
    <d v="2023-06-28T00:00:00"/>
    <d v="2023-07-07T19:34:21"/>
    <m/>
    <d v="2023-07-07T00:00:00"/>
    <n v="413"/>
    <n v="14085"/>
    <s v="61840377"/>
    <s v="61840377"/>
    <m/>
    <m/>
    <m/>
    <m/>
    <m/>
    <m/>
    <s v="SOLRECOUP"/>
    <s v="SOLRECOUP"/>
    <s v="POARECOUP"/>
    <n v="21346269"/>
    <n v="-189.92"/>
    <m/>
    <s v="Y"/>
    <n v="1"/>
    <d v="2023-07-07T19:34:22"/>
    <s v="N"/>
    <m/>
    <m/>
    <s v="Non Expert Disbursement"/>
    <m/>
    <s v="N"/>
    <n v="-158.27"/>
    <n v="0"/>
    <x v="9"/>
    <s v="VALIDATED"/>
    <n v="1"/>
    <s v="01.11.80.302.2013.0000"/>
    <n v="-158.27"/>
    <s v="11"/>
    <s v="2013"/>
    <n v="14201.69"/>
    <n v="-158.27"/>
    <s v="CREDITOR"/>
    <n v="0"/>
    <n v="0"/>
    <n v="-158.27"/>
    <n v="0"/>
    <n v="0"/>
  </r>
  <r>
    <n v="61840377"/>
    <s v="N"/>
    <n v="21346269"/>
    <s v="3000015907640001RC"/>
    <s v="CIVIL"/>
    <d v="2023-06-28T00:00:00"/>
    <d v="2023-07-07T19:34:21"/>
    <m/>
    <d v="2023-07-07T00:00:00"/>
    <n v="413"/>
    <n v="14085"/>
    <s v="61840377"/>
    <s v="61840377"/>
    <m/>
    <m/>
    <m/>
    <m/>
    <m/>
    <m/>
    <s v="SOLRECOUP"/>
    <s v="SOLRECOUP"/>
    <s v="POARECOUP"/>
    <n v="21346269"/>
    <n v="-189.92"/>
    <m/>
    <s v="Y"/>
    <n v="2"/>
    <d v="2023-07-07T19:34:22"/>
    <s v="N"/>
    <m/>
    <m/>
    <s v="Non Expert Disbursement"/>
    <m/>
    <s v="N"/>
    <n v="0"/>
    <n v="-31.65"/>
    <x v="9"/>
    <s v="VALIDATED"/>
    <n v="1"/>
    <s v="01.11.80.302.2013.0000"/>
    <n v="-31.65"/>
    <s v="11"/>
    <s v="2013"/>
    <n v="14201.69"/>
    <n v="-31.65"/>
    <s v="CREDITOR"/>
    <n v="0"/>
    <n v="0"/>
    <n v="-31.65"/>
    <n v="0"/>
    <n v="0"/>
  </r>
  <r>
    <n v="62097866"/>
    <s v="N"/>
    <n v="21366295"/>
    <s v="3000016124670001RC"/>
    <s v="CIVIL"/>
    <d v="2023-06-28T00:00:00"/>
    <d v="2023-07-12T19:45:17"/>
    <m/>
    <d v="2023-07-12T00:00:00"/>
    <n v="413"/>
    <n v="14085"/>
    <s v="62097866"/>
    <s v="62097866"/>
    <m/>
    <m/>
    <m/>
    <m/>
    <m/>
    <m/>
    <s v="SOLRECOUP"/>
    <s v="SOLRECOUP"/>
    <s v="POARECOUP"/>
    <n v="21366295"/>
    <n v="-219"/>
    <m/>
    <s v="Y"/>
    <n v="1"/>
    <d v="2023-07-12T19:45:17"/>
    <s v="N"/>
    <m/>
    <m/>
    <s v="Expert Disbursement"/>
    <m/>
    <s v="N"/>
    <n v="-182.5"/>
    <n v="0"/>
    <x v="0"/>
    <s v="VALIDATED"/>
    <n v="1"/>
    <s v="01.11.80.302.2013.0000"/>
    <n v="-182.5"/>
    <s v="11"/>
    <s v="2013"/>
    <n v="14201.69"/>
    <n v="-182.5"/>
    <s v="CREDITOR"/>
    <n v="0"/>
    <n v="0"/>
    <n v="-182.5"/>
    <n v="0"/>
    <n v="0"/>
  </r>
  <r>
    <n v="62097866"/>
    <s v="N"/>
    <n v="21366295"/>
    <s v="3000016124670001RC"/>
    <s v="CIVIL"/>
    <d v="2023-06-28T00:00:00"/>
    <d v="2023-07-12T19:45:17"/>
    <m/>
    <d v="2023-07-12T00:00:00"/>
    <n v="413"/>
    <n v="14085"/>
    <s v="62097866"/>
    <s v="62097866"/>
    <m/>
    <m/>
    <m/>
    <m/>
    <m/>
    <m/>
    <s v="SOLRECOUP"/>
    <s v="SOLRECOUP"/>
    <s v="POARECOUP"/>
    <n v="21366295"/>
    <n v="-219"/>
    <m/>
    <s v="Y"/>
    <n v="2"/>
    <d v="2023-07-12T19:45:17"/>
    <s v="N"/>
    <m/>
    <m/>
    <s v="Expert Disbursement"/>
    <m/>
    <s v="N"/>
    <n v="0"/>
    <n v="-36.5"/>
    <x v="0"/>
    <s v="VALIDATED"/>
    <n v="1"/>
    <s v="01.11.80.302.2013.0000"/>
    <n v="-36.5"/>
    <s v="11"/>
    <s v="2013"/>
    <n v="14201.69"/>
    <n v="-36.5"/>
    <s v="CREDITOR"/>
    <n v="0"/>
    <n v="0"/>
    <n v="-36.5"/>
    <n v="0"/>
    <n v="0"/>
  </r>
  <r>
    <n v="61469228"/>
    <s v="N"/>
    <n v="21366297"/>
    <s v="3000015598170003RC"/>
    <s v="CIVIL"/>
    <d v="2023-06-29T00:00:00"/>
    <d v="2023-07-12T19:45:17"/>
    <m/>
    <d v="2023-07-12T00:00:00"/>
    <n v="413"/>
    <n v="14085"/>
    <s v="61469228"/>
    <s v="61469228"/>
    <m/>
    <m/>
    <m/>
    <m/>
    <m/>
    <m/>
    <s v="SOLRECOUP"/>
    <s v="SOLRECOUP"/>
    <s v="POARECOUP"/>
    <n v="21366297"/>
    <n v="-292.8"/>
    <m/>
    <s v="Y"/>
    <n v="1"/>
    <d v="2023-07-12T19:45:17"/>
    <s v="N"/>
    <m/>
    <m/>
    <s v="Expert Disbursement"/>
    <m/>
    <s v="N"/>
    <n v="-244"/>
    <n v="0"/>
    <x v="0"/>
    <s v="VALIDATED"/>
    <n v="1"/>
    <s v="01.11.80.308.2013.0000"/>
    <n v="-244"/>
    <s v="11"/>
    <s v="2013"/>
    <n v="14201.69"/>
    <n v="-244"/>
    <s v="CREDITOR"/>
    <n v="0"/>
    <n v="0"/>
    <n v="-244"/>
    <n v="0"/>
    <n v="0"/>
  </r>
  <r>
    <n v="61469228"/>
    <s v="N"/>
    <n v="21366297"/>
    <s v="3000015598170003RC"/>
    <s v="CIVIL"/>
    <d v="2023-06-29T00:00:00"/>
    <d v="2023-07-12T19:45:17"/>
    <m/>
    <d v="2023-07-12T00:00:00"/>
    <n v="413"/>
    <n v="14085"/>
    <s v="61469228"/>
    <s v="61469228"/>
    <m/>
    <m/>
    <m/>
    <m/>
    <m/>
    <m/>
    <s v="SOLRECOUP"/>
    <s v="SOLRECOUP"/>
    <s v="POARECOUP"/>
    <n v="21366297"/>
    <n v="-292.8"/>
    <m/>
    <s v="Y"/>
    <n v="2"/>
    <d v="2023-07-12T19:45:17"/>
    <s v="N"/>
    <m/>
    <m/>
    <s v="Expert Disbursement"/>
    <m/>
    <s v="N"/>
    <n v="0"/>
    <n v="-48.8"/>
    <x v="0"/>
    <s v="VALIDATED"/>
    <n v="1"/>
    <s v="01.11.80.308.2013.0000"/>
    <n v="-48.8"/>
    <s v="11"/>
    <s v="2013"/>
    <n v="14201.69"/>
    <n v="-48.8"/>
    <s v="CREDITOR"/>
    <n v="0"/>
    <n v="0"/>
    <n v="-48.8"/>
    <n v="0"/>
    <n v="0"/>
  </r>
  <r>
    <n v="60260850"/>
    <s v="N"/>
    <n v="21356330"/>
    <s v="3000014565110016RC"/>
    <s v="CIVIL"/>
    <d v="2023-06-28T00:00:00"/>
    <d v="2023-07-10T19:47:44"/>
    <m/>
    <d v="2023-07-10T00:00:00"/>
    <n v="413"/>
    <n v="14085"/>
    <s v="60260850"/>
    <s v="60260850"/>
    <m/>
    <m/>
    <m/>
    <m/>
    <m/>
    <m/>
    <s v="SOLRECOUP"/>
    <s v="SOLRECOUP"/>
    <s v="POARECOUP"/>
    <n v="21356330"/>
    <n v="-102.6"/>
    <m/>
    <s v="Y"/>
    <n v="2"/>
    <d v="2023-07-10T19:47:44"/>
    <s v="N"/>
    <m/>
    <m/>
    <s v="Expert Disbursement"/>
    <m/>
    <s v="N"/>
    <n v="0"/>
    <n v="-17.1"/>
    <x v="2"/>
    <s v="VALIDATED"/>
    <n v="1"/>
    <s v="01.11.80.308.2013.0000"/>
    <n v="-17.1"/>
    <s v="11"/>
    <s v="2013"/>
    <n v="14201.69"/>
    <n v="-17.1"/>
    <s v="CREDITOR"/>
    <n v="0"/>
    <n v="0"/>
    <n v="-17.1"/>
    <n v="0"/>
    <n v="0"/>
  </r>
  <r>
    <n v="60260850"/>
    <s v="N"/>
    <n v="21356331"/>
    <s v="3000014565110029RC"/>
    <s v="CIVIL"/>
    <d v="2023-06-28T00:00:00"/>
    <d v="2023-07-10T19:47:44"/>
    <m/>
    <d v="2023-07-10T00:00:00"/>
    <n v="413"/>
    <n v="14085"/>
    <s v="60260850"/>
    <s v="60260850"/>
    <m/>
    <m/>
    <m/>
    <m/>
    <m/>
    <m/>
    <s v="SOLRECOUP"/>
    <s v="SOLRECOUP"/>
    <s v="POARECOUP"/>
    <n v="21356331"/>
    <n v="-32.4"/>
    <m/>
    <s v="Y"/>
    <n v="1"/>
    <d v="2023-07-10T19:47:44"/>
    <s v="N"/>
    <m/>
    <m/>
    <s v="Expert Disbursement"/>
    <m/>
    <s v="N"/>
    <n v="-27"/>
    <n v="0"/>
    <x v="2"/>
    <s v="VALIDATED"/>
    <n v="1"/>
    <s v="01.11.80.308.2013.0000"/>
    <n v="-27"/>
    <s v="11"/>
    <s v="2013"/>
    <n v="14201.69"/>
    <n v="-27"/>
    <s v="CREDITOR"/>
    <n v="0"/>
    <n v="0"/>
    <n v="-27"/>
    <n v="0"/>
    <n v="0"/>
  </r>
  <r>
    <n v="60260850"/>
    <s v="N"/>
    <n v="21356331"/>
    <s v="3000014565110029RC"/>
    <s v="CIVIL"/>
    <d v="2023-06-28T00:00:00"/>
    <d v="2023-07-10T19:47:44"/>
    <m/>
    <d v="2023-07-10T00:00:00"/>
    <n v="413"/>
    <n v="14085"/>
    <s v="60260850"/>
    <s v="60260850"/>
    <m/>
    <m/>
    <m/>
    <m/>
    <m/>
    <m/>
    <s v="SOLRECOUP"/>
    <s v="SOLRECOUP"/>
    <s v="POARECOUP"/>
    <n v="21356331"/>
    <n v="-32.4"/>
    <m/>
    <s v="Y"/>
    <n v="2"/>
    <d v="2023-07-10T19:47:44"/>
    <s v="N"/>
    <m/>
    <m/>
    <s v="Expert Disbursement"/>
    <m/>
    <s v="N"/>
    <n v="0"/>
    <n v="-5.4"/>
    <x v="2"/>
    <s v="VALIDATED"/>
    <n v="1"/>
    <s v="01.11.80.308.2013.0000"/>
    <n v="-5.4"/>
    <s v="11"/>
    <s v="2013"/>
    <n v="14201.69"/>
    <n v="-5.4"/>
    <s v="CREDITOR"/>
    <n v="0"/>
    <n v="0"/>
    <n v="-5.4"/>
    <n v="0"/>
    <n v="0"/>
  </r>
  <r>
    <n v="60260850"/>
    <s v="N"/>
    <n v="21356332"/>
    <s v="3000014565110004RC"/>
    <s v="CIVIL"/>
    <d v="2023-06-28T00:00:00"/>
    <d v="2023-07-10T19:47:44"/>
    <m/>
    <d v="2023-07-10T00:00:00"/>
    <n v="413"/>
    <n v="14085"/>
    <s v="60260850"/>
    <s v="60260850"/>
    <m/>
    <m/>
    <m/>
    <m/>
    <m/>
    <m/>
    <s v="SOLRECOUP"/>
    <s v="SOLRECOUP"/>
    <s v="POARECOUP"/>
    <n v="21356332"/>
    <n v="-6357.53"/>
    <m/>
    <s v="Y"/>
    <n v="1"/>
    <d v="2023-07-10T19:47:44"/>
    <s v="N"/>
    <m/>
    <m/>
    <s v="Profit Cost"/>
    <m/>
    <s v="N"/>
    <n v="-5297.94"/>
    <n v="0"/>
    <x v="2"/>
    <s v="VALIDATED"/>
    <n v="1"/>
    <s v="01.11.80.308.2013.0000"/>
    <n v="-5297.94"/>
    <s v="11"/>
    <s v="2013"/>
    <n v="14201.69"/>
    <n v="-5297.94"/>
    <s v="CREDITOR"/>
    <n v="0"/>
    <n v="0"/>
    <n v="-5297.94"/>
    <n v="-1324.485"/>
    <n v="0"/>
  </r>
  <r>
    <n v="60260850"/>
    <s v="N"/>
    <n v="21356332"/>
    <s v="3000014565110004RC"/>
    <s v="CIVIL"/>
    <d v="2023-06-28T00:00:00"/>
    <d v="2023-07-10T19:47:44"/>
    <m/>
    <d v="2023-07-10T00:00:00"/>
    <n v="413"/>
    <n v="14085"/>
    <s v="60260850"/>
    <s v="60260850"/>
    <m/>
    <m/>
    <m/>
    <m/>
    <m/>
    <m/>
    <s v="SOLRECOUP"/>
    <s v="SOLRECOUP"/>
    <s v="POARECOUP"/>
    <n v="21356332"/>
    <n v="-6357.53"/>
    <m/>
    <s v="Y"/>
    <n v="2"/>
    <d v="2023-07-10T19:47:44"/>
    <s v="N"/>
    <m/>
    <m/>
    <s v="Profit Cost"/>
    <m/>
    <s v="N"/>
    <n v="0"/>
    <n v="-1059.59"/>
    <x v="2"/>
    <s v="VALIDATED"/>
    <n v="1"/>
    <s v="01.11.80.308.2013.0000"/>
    <n v="-1059.59"/>
    <s v="11"/>
    <s v="2013"/>
    <n v="14201.69"/>
    <n v="-1059.59"/>
    <s v="CREDITOR"/>
    <n v="0"/>
    <n v="0"/>
    <n v="-1059.59"/>
    <n v="-264.8975"/>
    <n v="0"/>
  </r>
  <r>
    <n v="60260850"/>
    <s v="N"/>
    <n v="21356333"/>
    <s v="3000014565110009RC"/>
    <s v="CIVIL"/>
    <d v="2023-06-28T00:00:00"/>
    <d v="2023-07-10T19:47:44"/>
    <m/>
    <d v="2023-07-10T00:00:00"/>
    <n v="413"/>
    <n v="14085"/>
    <s v="60260850"/>
    <s v="60260850"/>
    <m/>
    <m/>
    <m/>
    <m/>
    <m/>
    <m/>
    <s v="SOLRECOUP"/>
    <s v="SOLRECOUP"/>
    <s v="POARECOUP"/>
    <n v="21356333"/>
    <n v="-338.1"/>
    <m/>
    <s v="Y"/>
    <n v="1"/>
    <d v="2023-07-10T19:47:44"/>
    <s v="N"/>
    <m/>
    <m/>
    <s v="Expert Disbursement"/>
    <m/>
    <s v="N"/>
    <n v="-281.75"/>
    <n v="0"/>
    <x v="2"/>
    <s v="VALIDATED"/>
    <n v="1"/>
    <s v="01.11.80.308.2013.0000"/>
    <n v="-281.75"/>
    <s v="11"/>
    <s v="2013"/>
    <n v="14201.69"/>
    <n v="-281.75"/>
    <s v="CREDITOR"/>
    <n v="0"/>
    <n v="0"/>
    <n v="-281.75"/>
    <n v="0"/>
    <n v="0"/>
  </r>
  <r>
    <n v="60260850"/>
    <s v="N"/>
    <n v="21356333"/>
    <s v="3000014565110009RC"/>
    <s v="CIVIL"/>
    <d v="2023-06-28T00:00:00"/>
    <d v="2023-07-10T19:47:44"/>
    <m/>
    <d v="2023-07-10T00:00:00"/>
    <n v="413"/>
    <n v="14085"/>
    <s v="60260850"/>
    <s v="60260850"/>
    <m/>
    <m/>
    <m/>
    <m/>
    <m/>
    <m/>
    <s v="SOLRECOUP"/>
    <s v="SOLRECOUP"/>
    <s v="POARECOUP"/>
    <n v="21356333"/>
    <n v="-338.1"/>
    <m/>
    <s v="Y"/>
    <n v="2"/>
    <d v="2023-07-10T19:47:44"/>
    <s v="N"/>
    <m/>
    <m/>
    <s v="Expert Disbursement"/>
    <m/>
    <s v="N"/>
    <n v="0"/>
    <n v="-56.35"/>
    <x v="2"/>
    <s v="VALIDATED"/>
    <n v="1"/>
    <s v="01.11.80.308.2013.0000"/>
    <n v="-56.35"/>
    <s v="11"/>
    <s v="2013"/>
    <n v="14201.69"/>
    <n v="-56.35"/>
    <s v="CREDITOR"/>
    <n v="0"/>
    <n v="0"/>
    <n v="-56.35"/>
    <n v="0"/>
    <n v="0"/>
  </r>
  <r>
    <n v="60260850"/>
    <s v="N"/>
    <n v="21356334"/>
    <s v="3000014565110012RC"/>
    <s v="CIVIL"/>
    <d v="2023-06-28T00:00:00"/>
    <d v="2023-07-10T19:47:44"/>
    <m/>
    <d v="2023-07-10T00:00:00"/>
    <n v="413"/>
    <n v="14085"/>
    <s v="60260850"/>
    <s v="60260850"/>
    <m/>
    <m/>
    <m/>
    <m/>
    <m/>
    <m/>
    <s v="SOLRECOUP"/>
    <s v="SOLRECOUP"/>
    <s v="POARECOUP"/>
    <n v="21356334"/>
    <n v="-1282.5"/>
    <m/>
    <s v="Y"/>
    <n v="1"/>
    <d v="2023-07-10T19:47:44"/>
    <s v="N"/>
    <m/>
    <m/>
    <s v="Expert Disbursement"/>
    <m/>
    <s v="N"/>
    <n v="-1068.75"/>
    <n v="0"/>
    <x v="2"/>
    <s v="VALIDATED"/>
    <n v="1"/>
    <s v="01.11.80.308.2013.0000"/>
    <n v="-1068.75"/>
    <s v="11"/>
    <s v="2013"/>
    <n v="14201.69"/>
    <n v="-1068.75"/>
    <s v="CREDITOR"/>
    <n v="0"/>
    <n v="0"/>
    <n v="-1068.75"/>
    <n v="0"/>
    <n v="0"/>
  </r>
  <r>
    <n v="60260850"/>
    <s v="N"/>
    <n v="21349868"/>
    <s v="3000014565110032"/>
    <s v="CIVIL"/>
    <d v="2023-06-28T00:00:00"/>
    <d v="2023-07-10T19:01:40"/>
    <m/>
    <d v="2023-07-10T00:00:00"/>
    <n v="413"/>
    <n v="14085"/>
    <s v="60260850"/>
    <s v="60260850"/>
    <m/>
    <m/>
    <n v="22776734"/>
    <m/>
    <m/>
    <m/>
    <s v="SOLFIN"/>
    <s v="SOLFIN"/>
    <s v="CCMS"/>
    <n v="21349868"/>
    <n v="20942.09"/>
    <m/>
    <s v="N"/>
    <n v="266"/>
    <d v="2023-07-10T19:02:00"/>
    <s v="Y"/>
    <s v="Preparation - other"/>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236"/>
    <d v="2023-07-10T19:02:00"/>
    <s v="Y"/>
    <s v="Attendance upon client"/>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07"/>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68"/>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5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31"/>
    <d v="2023-07-10T19:02:00"/>
    <s v="Y"/>
    <s v="Preparation - other"/>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335"/>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54"/>
    <d v="2023-07-10T19:02:00"/>
    <s v="Y"/>
    <s v="Paediatrician"/>
    <s v="Care Remuneration Hourly Rates"/>
    <s v="Expert Disbursement"/>
    <s v="LN"/>
    <s v="Y"/>
    <n v="405"/>
    <n v="80.98999999999999"/>
    <x v="2"/>
    <s v="VALIDATED"/>
    <n v="1"/>
    <s v="01.11.80.308.6300.0000"/>
    <n v="405"/>
    <s v="11"/>
    <s v="6300"/>
    <n v="14201.69"/>
    <n v="405"/>
    <s v="CREDITOR"/>
    <n v="0"/>
    <n v="0"/>
    <n v="0"/>
    <n v="0"/>
    <n v="405"/>
  </r>
  <r>
    <n v="60260850"/>
    <s v="N"/>
    <n v="21349868"/>
    <s v="3000014565110032"/>
    <s v="CIVIL"/>
    <d v="2023-06-28T00:00:00"/>
    <d v="2023-07-10T19:01:40"/>
    <m/>
    <d v="2023-07-10T00:00:00"/>
    <n v="413"/>
    <n v="14085"/>
    <s v="60260850"/>
    <s v="60260850"/>
    <m/>
    <m/>
    <n v="22776734"/>
    <m/>
    <m/>
    <m/>
    <s v="SOLFIN"/>
    <s v="SOLFIN"/>
    <s v="CCMS"/>
    <n v="21349868"/>
    <n v="20942.09"/>
    <m/>
    <s v="N"/>
    <n v="296"/>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9"/>
    <d v="2023-07-10T19:02:00"/>
    <s v="N"/>
    <s v="Preparation - other"/>
    <s v="Care Remuneration Hourly Rates"/>
    <s v="Profit Cost"/>
    <s v="LN"/>
    <s v="N"/>
    <n v="10.51"/>
    <n v="2.1"/>
    <x v="2"/>
    <s v="VALIDATED"/>
    <n v="1"/>
    <s v="01.11.80.308.6100.0000"/>
    <n v="10.51"/>
    <s v="11"/>
    <s v="6100"/>
    <n v="14201.69"/>
    <n v="10.51"/>
    <s v="CREDITOR"/>
    <n v="0"/>
    <n v="0"/>
    <n v="0"/>
    <n v="0"/>
    <n v="10.51"/>
  </r>
  <r>
    <n v="61552462"/>
    <s v="N"/>
    <n v="21338000"/>
    <s v="3000015668050004"/>
    <s v="CIVIL"/>
    <d v="2023-06-28T00:00:00"/>
    <d v="2023-07-06T19:21:01"/>
    <m/>
    <d v="2023-07-06T00:00:00"/>
    <n v="413"/>
    <n v="14085"/>
    <s v="61552462"/>
    <s v="61552462"/>
    <m/>
    <m/>
    <n v="22779338"/>
    <m/>
    <m/>
    <m/>
    <s v="SOLPOA"/>
    <s v="SOLPOA"/>
    <s v="CCMS"/>
    <n v="21338000"/>
    <n v="544.4299999999999"/>
    <m/>
    <s v="N"/>
    <n v="1"/>
    <d v="2023-07-06T19:21:11"/>
    <s v="N"/>
    <s v="Expert Cost - Private Law Children"/>
    <s v="Expert Cost - Private Law Chil"/>
    <s v="Expert Disbursement"/>
    <s v="Zoe Sayer"/>
    <s v="N"/>
    <n v="453.69"/>
    <n v="90.73999999999999"/>
    <x v="4"/>
    <s v="VALIDATED"/>
    <n v="1"/>
    <s v="01.11.80.307.2012.0000"/>
    <n v="453.69"/>
    <s v="11"/>
    <s v="2012"/>
    <n v="14201.69"/>
    <n v="453.69"/>
    <s v="CREDITOR"/>
    <n v="453.69"/>
    <n v="0"/>
    <n v="0"/>
    <n v="0"/>
    <n v="0"/>
  </r>
  <r>
    <n v="60260850"/>
    <s v="N"/>
    <n v="21349868"/>
    <s v="3000014565110032"/>
    <s v="CIVIL"/>
    <d v="2023-06-28T00:00:00"/>
    <d v="2023-07-10T19:01:40"/>
    <m/>
    <d v="2023-07-10T00:00:00"/>
    <n v="413"/>
    <n v="14085"/>
    <s v="60260850"/>
    <s v="60260850"/>
    <m/>
    <m/>
    <n v="22776734"/>
    <m/>
    <m/>
    <m/>
    <s v="SOLFIN"/>
    <s v="SOLFIN"/>
    <s v="CCMS"/>
    <n v="21349868"/>
    <n v="20942.09"/>
    <m/>
    <s v="N"/>
    <n v="116"/>
    <d v="2023-07-10T19:02:00"/>
    <s v="Y"/>
    <s v="Preparation - drafting application"/>
    <s v="Care Remuneration Hourly Rates"/>
    <s v="Profit Cost"/>
    <s v="LN"/>
    <s v="Y"/>
    <n v="94.63"/>
    <n v="18.92"/>
    <x v="2"/>
    <s v="VALIDATED"/>
    <n v="1"/>
    <s v="01.11.80.308.6100.0000"/>
    <n v="94.63"/>
    <s v="11"/>
    <s v="6100"/>
    <n v="14201.69"/>
    <n v="94.63"/>
    <s v="CREDITOR"/>
    <n v="0"/>
    <n v="0"/>
    <n v="0"/>
    <n v="0"/>
    <n v="94.63"/>
  </r>
  <r>
    <n v="60260850"/>
    <s v="N"/>
    <n v="21349868"/>
    <s v="3000014565110032"/>
    <s v="CIVIL"/>
    <d v="2023-06-28T00:00:00"/>
    <d v="2023-07-10T19:01:40"/>
    <m/>
    <d v="2023-07-10T00:00:00"/>
    <n v="413"/>
    <n v="14085"/>
    <s v="60260850"/>
    <s v="60260850"/>
    <m/>
    <m/>
    <n v="22776734"/>
    <m/>
    <m/>
    <m/>
    <s v="SOLFIN"/>
    <s v="SOLFIN"/>
    <s v="CCMS"/>
    <n v="21349868"/>
    <n v="20942.09"/>
    <m/>
    <s v="N"/>
    <n v="121"/>
    <d v="2023-07-10T19:02:00"/>
    <s v="Y"/>
    <s v="Preparation - other"/>
    <s v="Care Remuneration Hourly Rates"/>
    <s v="Profit Cost"/>
    <s v="LN"/>
    <s v="Y"/>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11"/>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74"/>
    <d v="2023-07-10T19:02:00"/>
    <s v="Y"/>
    <s v="Preparation - other"/>
    <s v="Care Remuneration Hourly Rates"/>
    <s v="Profit Cost"/>
    <s v="LN"/>
    <s v="Y"/>
    <n v="78.86"/>
    <n v="15.77"/>
    <x v="2"/>
    <s v="VALIDATED"/>
    <n v="1"/>
    <s v="01.11.80.308.6100.0000"/>
    <n v="78.86"/>
    <s v="11"/>
    <s v="6100"/>
    <n v="14201.69"/>
    <n v="78.86"/>
    <s v="CREDITOR"/>
    <n v="0"/>
    <n v="0"/>
    <n v="0"/>
    <n v="0"/>
    <n v="78.86"/>
  </r>
  <r>
    <n v="61742395"/>
    <s v="N"/>
    <n v="21319575"/>
    <s v="3000015773900002"/>
    <s v="CIVIL"/>
    <d v="2023-06-27T00:00:00"/>
    <d v="2023-07-03T19:04:24"/>
    <m/>
    <d v="2023-07-03T00:00:00"/>
    <n v="413"/>
    <n v="14085"/>
    <s v="61742395"/>
    <s v="61742395"/>
    <m/>
    <m/>
    <n v="22772074"/>
    <m/>
    <m/>
    <m/>
    <s v="SOLPOA"/>
    <s v="SOLPOA"/>
    <s v="CCMS"/>
    <n v="21319575"/>
    <n v="1886.84"/>
    <m/>
    <s v="N"/>
    <n v="1"/>
    <d v="2023-07-03T19:04:26"/>
    <s v="N"/>
    <s v="Expert Cost"/>
    <s v="Expert Cost"/>
    <s v="Expert Disbursement"/>
    <s v="Lucy Nash"/>
    <s v="N"/>
    <n v="1572.37"/>
    <n v="314.47"/>
    <x v="3"/>
    <s v="VALIDATED"/>
    <n v="1"/>
    <s v="01.11.80.308.2012.0000"/>
    <n v="1572.37"/>
    <s v="11"/>
    <s v="2012"/>
    <n v="14201.69"/>
    <n v="1572.37"/>
    <s v="CREDITOR"/>
    <n v="1572.37"/>
    <n v="0"/>
    <n v="0"/>
    <n v="0"/>
    <n v="0"/>
  </r>
  <r>
    <n v="60260850"/>
    <s v="N"/>
    <n v="21349868"/>
    <s v="3000014565110032"/>
    <s v="CIVIL"/>
    <d v="2023-06-28T00:00:00"/>
    <d v="2023-07-10T19:01:40"/>
    <m/>
    <d v="2023-07-10T00:00:00"/>
    <n v="413"/>
    <n v="14085"/>
    <s v="60260850"/>
    <s v="60260850"/>
    <m/>
    <m/>
    <n v="22776734"/>
    <m/>
    <m/>
    <m/>
    <s v="SOLFIN"/>
    <s v="SOLFIN"/>
    <s v="CCMS"/>
    <n v="21349868"/>
    <n v="20942.09"/>
    <m/>
    <s v="N"/>
    <n v="58"/>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08"/>
    <d v="2023-07-10T19:02:00"/>
    <s v="Y"/>
    <s v="Attendance upon client"/>
    <s v="Care Remuneration Hourly Rates"/>
    <s v="Profit Cost"/>
    <s v="LN"/>
    <s v="Y"/>
    <n v="15.77"/>
    <n v="3.15"/>
    <x v="2"/>
    <s v="VALIDATED"/>
    <n v="1"/>
    <s v="01.11.80.308.6100.0000"/>
    <n v="15.77"/>
    <s v="11"/>
    <s v="6100"/>
    <n v="14201.69"/>
    <n v="15.77"/>
    <s v="CREDITOR"/>
    <n v="0"/>
    <n v="0"/>
    <n v="0"/>
    <n v="0"/>
    <n v="15.77"/>
  </r>
  <r>
    <n v="61840377"/>
    <s v="N"/>
    <n v="21343898"/>
    <s v="3000015907640004"/>
    <s v="CIVIL"/>
    <d v="2023-06-28T00:00:00"/>
    <d v="2023-07-07T19:03:00"/>
    <m/>
    <d v="2023-07-07T00:00:00"/>
    <n v="413"/>
    <n v="14085"/>
    <s v="61840377"/>
    <s v="61840377"/>
    <m/>
    <m/>
    <n v="22776806"/>
    <m/>
    <m/>
    <m/>
    <s v="SOLFIN"/>
    <s v="SOLFIN"/>
    <s v="CCMS"/>
    <n v="21343898"/>
    <n v="1221.92"/>
    <m/>
    <s v="N"/>
    <n v="3"/>
    <d v="2023-07-07T19:03:16"/>
    <s v="Y"/>
    <s v="Level 3 Fixed Fee"/>
    <s v="Private Law Children"/>
    <s v="Profit Cost"/>
    <s v="Zoe Sayer"/>
    <s v="Y"/>
    <n v="353"/>
    <n v="70.59999999999999"/>
    <x v="9"/>
    <s v="VALIDATED"/>
    <n v="1"/>
    <s v="01.11.80.302.6100.0000"/>
    <n v="353"/>
    <s v="11"/>
    <s v="6100"/>
    <n v="14201.69"/>
    <n v="353"/>
    <s v="CREDITOR"/>
    <n v="0"/>
    <n v="0"/>
    <n v="0"/>
    <n v="0"/>
    <n v="353"/>
  </r>
  <r>
    <n v="60260850"/>
    <s v="N"/>
    <n v="21349868"/>
    <s v="3000014565110032"/>
    <s v="CIVIL"/>
    <d v="2023-06-28T00:00:00"/>
    <d v="2023-07-10T19:01:40"/>
    <m/>
    <d v="2023-07-10T00:00:00"/>
    <n v="413"/>
    <n v="14085"/>
    <s v="60260850"/>
    <s v="60260850"/>
    <m/>
    <m/>
    <n v="22776734"/>
    <m/>
    <m/>
    <m/>
    <s v="SOLFIN"/>
    <s v="SOLFIN"/>
    <s v="CCMS"/>
    <n v="21349868"/>
    <n v="20942.09"/>
    <m/>
    <s v="N"/>
    <n v="37"/>
    <d v="2023-07-10T19:02:00"/>
    <s v="N"/>
    <s v="Preparation - other"/>
    <s v="Care Remuneration Hourly Rates"/>
    <s v="Profit Cost"/>
    <s v="LN"/>
    <s v="N"/>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289"/>
    <d v="2023-07-10T19:02:00"/>
    <s v="Y"/>
    <s v="Attendance upon client"/>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24"/>
    <d v="2023-07-10T19:02:00"/>
    <s v="Y"/>
    <s v="Advocacy - In court behind counsel"/>
    <s v="Care Remuneration Hourly Rates"/>
    <s v="Advocacy"/>
    <s v="LN"/>
    <s v="Y"/>
    <n v="32.34"/>
    <n v="6.47"/>
    <x v="2"/>
    <s v="VALIDATED"/>
    <n v="1"/>
    <s v="01.11.80.308.6100.0000"/>
    <n v="32.34"/>
    <s v="11"/>
    <s v="6100"/>
    <n v="14201.69"/>
    <n v="32.34"/>
    <s v="CREDITOR"/>
    <n v="0"/>
    <n v="0"/>
    <n v="0"/>
    <n v="0"/>
    <n v="32.34"/>
  </r>
  <r>
    <n v="60260850"/>
    <s v="N"/>
    <n v="21349868"/>
    <s v="3000014565110032"/>
    <s v="CIVIL"/>
    <d v="2023-06-28T00:00:00"/>
    <d v="2023-07-10T19:01:40"/>
    <m/>
    <d v="2023-07-10T00:00:00"/>
    <n v="413"/>
    <n v="14085"/>
    <s v="60260850"/>
    <s v="60260850"/>
    <m/>
    <m/>
    <n v="22776734"/>
    <m/>
    <m/>
    <m/>
    <s v="SOLFIN"/>
    <s v="SOLFIN"/>
    <s v="CCMS"/>
    <n v="21349868"/>
    <n v="20942.09"/>
    <m/>
    <s v="N"/>
    <n v="227"/>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94"/>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4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52"/>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33"/>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98"/>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1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37"/>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44"/>
    <d v="2023-07-10T19:02:00"/>
    <s v="Y"/>
    <s v="Preparation - other"/>
    <s v="Care Remuneration Hourly Rates"/>
    <s v="Profit Cost"/>
    <s v="CD"/>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59"/>
    <d v="2023-07-10T19:02:00"/>
    <s v="Y"/>
    <s v="Radiologist"/>
    <s v="Care Remuneration Hourly Rates"/>
    <s v="Expert Disbursement"/>
    <s v="LN"/>
    <s v="Y"/>
    <n v="337.5"/>
    <n v="0"/>
    <x v="2"/>
    <s v="VALIDATED"/>
    <n v="1"/>
    <s v="01.11.80.308.6300.0000"/>
    <n v="337.5"/>
    <s v="11"/>
    <s v="6300"/>
    <n v="14201.69"/>
    <n v="337.5"/>
    <s v="CREDITOR"/>
    <n v="0"/>
    <n v="0"/>
    <n v="0"/>
    <n v="0"/>
    <n v="337.5"/>
  </r>
  <r>
    <n v="60260850"/>
    <s v="N"/>
    <n v="21349868"/>
    <s v="3000014565110032"/>
    <s v="CIVIL"/>
    <d v="2023-06-28T00:00:00"/>
    <d v="2023-07-10T19:01:40"/>
    <m/>
    <d v="2023-07-10T00:00:00"/>
    <n v="413"/>
    <n v="14085"/>
    <s v="60260850"/>
    <s v="60260850"/>
    <m/>
    <m/>
    <n v="22776734"/>
    <m/>
    <m/>
    <m/>
    <s v="SOLFIN"/>
    <s v="SOLFIN"/>
    <s v="CCMS"/>
    <n v="21349868"/>
    <n v="20942.09"/>
    <m/>
    <s v="N"/>
    <n v="140"/>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84"/>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70"/>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54"/>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74"/>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86"/>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76"/>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73"/>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30"/>
    <d v="2023-07-10T19:02:00"/>
    <s v="Y"/>
    <s v="Preparation - other"/>
    <s v="Care Remuneration Hourly Rates"/>
    <s v="Profit Cost"/>
    <s v="LN"/>
    <s v="Y"/>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29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12"/>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48"/>
    <d v="2023-07-10T19:02:00"/>
    <s v="Y"/>
    <s v="Preparation - other"/>
    <s v="Care Remuneration Hourly Rates"/>
    <s v="Profit Cost"/>
    <s v="LN"/>
    <s v="Y"/>
    <n v="217.29"/>
    <n v="43.45"/>
    <x v="2"/>
    <s v="VALIDATED"/>
    <n v="1"/>
    <s v="01.11.80.308.6100.0000"/>
    <n v="217.29"/>
    <s v="11"/>
    <s v="6100"/>
    <n v="14201.69"/>
    <n v="217.29"/>
    <s v="CREDITOR"/>
    <n v="0"/>
    <n v="0"/>
    <n v="0"/>
    <n v="0"/>
    <n v="217.29"/>
  </r>
  <r>
    <n v="60260850"/>
    <s v="N"/>
    <n v="21349868"/>
    <s v="3000014565110032"/>
    <s v="CIVIL"/>
    <d v="2023-06-28T00:00:00"/>
    <d v="2023-07-10T19:01:40"/>
    <m/>
    <d v="2023-07-10T00:00:00"/>
    <n v="413"/>
    <n v="14085"/>
    <s v="60260850"/>
    <s v="60260850"/>
    <m/>
    <m/>
    <n v="22776734"/>
    <m/>
    <m/>
    <m/>
    <s v="SOLFIN"/>
    <s v="SOLFIN"/>
    <s v="CCMS"/>
    <n v="21349868"/>
    <n v="20942.09"/>
    <m/>
    <s v="N"/>
    <n v="330"/>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205"/>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3"/>
    <d v="2023-07-10T19:02:00"/>
    <s v="N"/>
    <s v="Preparation - other"/>
    <s v="Care Remuneration Hourly Rates"/>
    <s v="Profit Cost"/>
    <s v="LN"/>
    <s v="N"/>
    <n v="1109.23"/>
    <n v="221.82"/>
    <x v="2"/>
    <s v="VALIDATED"/>
    <n v="1"/>
    <s v="01.11.80.308.6100.0000"/>
    <n v="1109.23"/>
    <s v="11"/>
    <s v="6100"/>
    <n v="14201.69"/>
    <n v="1109.23"/>
    <s v="CREDITOR"/>
    <n v="0"/>
    <n v="0"/>
    <n v="0"/>
    <n v="0"/>
    <n v="1109.23"/>
  </r>
  <r>
    <n v="60260850"/>
    <s v="N"/>
    <n v="21349868"/>
    <s v="3000014565110032"/>
    <s v="CIVIL"/>
    <d v="2023-06-28T00:00:00"/>
    <d v="2023-07-10T19:01:40"/>
    <m/>
    <d v="2023-07-10T00:00:00"/>
    <n v="413"/>
    <n v="14085"/>
    <s v="60260850"/>
    <s v="60260850"/>
    <m/>
    <m/>
    <n v="22776734"/>
    <m/>
    <m/>
    <m/>
    <s v="SOLFIN"/>
    <s v="SOLFIN"/>
    <s v="CCMS"/>
    <n v="21349868"/>
    <n v="20942.09"/>
    <m/>
    <s v="N"/>
    <n v="163"/>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66"/>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42"/>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260"/>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26"/>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22"/>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58"/>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59"/>
    <d v="2023-07-10T19:02:00"/>
    <s v="Y"/>
    <s v="Preparation - other"/>
    <s v="Care Remuneration Hourly Rates"/>
    <s v="Profit Cost"/>
    <s v="LN"/>
    <s v="Y"/>
    <n v="157.71"/>
    <n v="31.54"/>
    <x v="2"/>
    <s v="VALIDATED"/>
    <n v="1"/>
    <s v="01.11.80.308.6100.0000"/>
    <n v="157.71"/>
    <s v="11"/>
    <s v="6100"/>
    <n v="14201.69"/>
    <n v="157.71"/>
    <s v="CREDITOR"/>
    <n v="0"/>
    <n v="0"/>
    <n v="0"/>
    <n v="0"/>
    <n v="157.71"/>
  </r>
  <r>
    <n v="60260850"/>
    <s v="N"/>
    <n v="21349868"/>
    <s v="3000014565110032"/>
    <s v="CIVIL"/>
    <d v="2023-06-28T00:00:00"/>
    <d v="2023-07-10T19:01:40"/>
    <m/>
    <d v="2023-07-10T00:00:00"/>
    <n v="413"/>
    <n v="14085"/>
    <s v="60260850"/>
    <s v="60260850"/>
    <m/>
    <m/>
    <n v="22776734"/>
    <m/>
    <m/>
    <m/>
    <s v="SOLFIN"/>
    <s v="SOLFIN"/>
    <s v="CCMS"/>
    <n v="21349868"/>
    <n v="20942.09"/>
    <m/>
    <s v="N"/>
    <n v="267"/>
    <d v="2023-07-10T19:02:00"/>
    <s v="Y"/>
    <s v="Preparation - other"/>
    <s v="Care Remuneration Hourly Rates"/>
    <s v="Profit Cost"/>
    <s v="LN"/>
    <s v="Y"/>
    <n v="84.11"/>
    <n v="16.82"/>
    <x v="2"/>
    <s v="VALIDATED"/>
    <n v="1"/>
    <s v="01.11.80.308.6100.0000"/>
    <n v="84.11"/>
    <s v="11"/>
    <s v="6100"/>
    <n v="14201.69"/>
    <n v="84.11"/>
    <s v="CREDITOR"/>
    <n v="0"/>
    <n v="0"/>
    <n v="0"/>
    <n v="0"/>
    <n v="84.11"/>
  </r>
  <r>
    <n v="60260850"/>
    <s v="N"/>
    <n v="21349868"/>
    <s v="3000014565110032"/>
    <s v="CIVIL"/>
    <d v="2023-06-28T00:00:00"/>
    <d v="2023-07-10T19:01:40"/>
    <m/>
    <d v="2023-07-10T00:00:00"/>
    <n v="413"/>
    <n v="14085"/>
    <s v="60260850"/>
    <s v="60260850"/>
    <m/>
    <m/>
    <n v="22776734"/>
    <m/>
    <m/>
    <m/>
    <s v="SOLFIN"/>
    <s v="SOLFIN"/>
    <s v="CCMS"/>
    <n v="21349868"/>
    <n v="20942.09"/>
    <m/>
    <s v="N"/>
    <n v="18"/>
    <d v="2023-07-10T19:02:00"/>
    <s v="N"/>
    <s v="Attendance upon client"/>
    <s v="Care Remuneration Hourly Rates"/>
    <s v="Profit Cost"/>
    <s v="LN"/>
    <s v="N"/>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281"/>
    <d v="2023-07-10T19:02:00"/>
    <s v="Y"/>
    <s v="Preparation - other"/>
    <s v="Care Remuneration Hourly Rates"/>
    <s v="Profit Cost"/>
    <s v="LN"/>
    <s v="Y"/>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145"/>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18"/>
    <d v="2023-07-10T19:02:00"/>
    <s v="Y"/>
    <s v="Attendance upon client"/>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48"/>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50"/>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63"/>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31"/>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0"/>
    <d v="2023-07-10T19:02:00"/>
    <s v="N"/>
    <s v="Preparation - other"/>
    <s v="Care Remuneration Hourly Rates"/>
    <s v="Profit Cost"/>
    <s v="LN"/>
    <s v="N"/>
    <n v="47.31"/>
    <n v="9.460000000000001"/>
    <x v="2"/>
    <s v="VALIDATED"/>
    <n v="1"/>
    <s v="01.11.80.308.6100.0000"/>
    <n v="47.31"/>
    <s v="11"/>
    <s v="6100"/>
    <n v="14201.69"/>
    <n v="47.31"/>
    <s v="CREDITOR"/>
    <n v="0"/>
    <n v="0"/>
    <n v="0"/>
    <n v="0"/>
    <n v="47.31"/>
  </r>
  <r>
    <n v="60260850"/>
    <s v="N"/>
    <n v="21349868"/>
    <s v="3000014565110032"/>
    <s v="CIVIL"/>
    <d v="2023-06-28T00:00:00"/>
    <d v="2023-07-10T19:01:40"/>
    <m/>
    <d v="2023-07-10T00:00:00"/>
    <n v="413"/>
    <n v="14085"/>
    <s v="60260850"/>
    <s v="60260850"/>
    <m/>
    <m/>
    <n v="22776734"/>
    <m/>
    <m/>
    <m/>
    <s v="SOLFIN"/>
    <s v="SOLFIN"/>
    <s v="CCMS"/>
    <n v="21349868"/>
    <n v="20942.09"/>
    <m/>
    <s v="N"/>
    <n v="230"/>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14"/>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97"/>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03"/>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58"/>
    <d v="2023-07-10T19:02:00"/>
    <s v="Y"/>
    <s v="Geneticist"/>
    <s v="Care Remuneration Hourly Rates"/>
    <s v="Expert Disbursement"/>
    <s v="LN"/>
    <s v="Y"/>
    <n v="85.5"/>
    <n v="17.1"/>
    <x v="2"/>
    <s v="VALIDATED"/>
    <n v="1"/>
    <s v="01.11.80.308.6300.0000"/>
    <n v="85.5"/>
    <s v="11"/>
    <s v="6300"/>
    <n v="14201.69"/>
    <n v="85.5"/>
    <s v="CREDITOR"/>
    <n v="0"/>
    <n v="0"/>
    <n v="0"/>
    <n v="0"/>
    <n v="85.5"/>
  </r>
  <r>
    <n v="60260850"/>
    <s v="N"/>
    <n v="21349868"/>
    <s v="3000014565110032"/>
    <s v="CIVIL"/>
    <d v="2023-06-28T00:00:00"/>
    <d v="2023-07-10T19:01:40"/>
    <m/>
    <d v="2023-07-10T00:00:00"/>
    <n v="413"/>
    <n v="14085"/>
    <s v="60260850"/>
    <s v="60260850"/>
    <m/>
    <m/>
    <n v="22776734"/>
    <m/>
    <m/>
    <m/>
    <s v="SOLFIN"/>
    <s v="SOLFIN"/>
    <s v="CCMS"/>
    <n v="21349868"/>
    <n v="20942.09"/>
    <m/>
    <s v="N"/>
    <n v="124"/>
    <d v="2023-07-10T19:02:00"/>
    <s v="Y"/>
    <s v="Preparation - drafting statement"/>
    <s v="Care Remuneration Hourly Rates"/>
    <s v="Profit Cost"/>
    <s v="LN"/>
    <s v="Y"/>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28"/>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34"/>
    <d v="2023-07-10T19:02:00"/>
    <s v="Y"/>
    <s v="Preparation - other"/>
    <s v="Care Remuneration Hourly Rates"/>
    <s v="Profit Cost"/>
    <s v="LN"/>
    <s v="Y"/>
    <n v="10.51"/>
    <n v="2.1"/>
    <x v="2"/>
    <s v="VALIDATED"/>
    <n v="1"/>
    <s v="01.11.80.308.6100.0000"/>
    <n v="10.51"/>
    <s v="11"/>
    <s v="6100"/>
    <n v="14201.69"/>
    <n v="10.51"/>
    <s v="CREDITOR"/>
    <n v="0"/>
    <n v="0"/>
    <n v="0"/>
    <n v="0"/>
    <n v="10.51"/>
  </r>
  <r>
    <n v="62268790"/>
    <s v="N"/>
    <n v="21319837"/>
    <s v="3000016265080003"/>
    <s v="CIVIL"/>
    <d v="2023-06-28T00:00:00"/>
    <d v="2023-07-03T19:04:24"/>
    <m/>
    <d v="2023-07-03T00:00:00"/>
    <n v="413"/>
    <n v="14085"/>
    <s v="62268790"/>
    <s v="62268790"/>
    <m/>
    <m/>
    <n v="22776266"/>
    <m/>
    <m/>
    <m/>
    <s v="SOLPOA"/>
    <s v="SOLPOA"/>
    <s v="CCMS"/>
    <n v="21319837"/>
    <n v="506.85"/>
    <m/>
    <s v="N"/>
    <n v="1"/>
    <d v="2023-07-03T19:04:27"/>
    <s v="N"/>
    <s v="Non Expert Disbursement - Private L"/>
    <s v="Non Expert Disbursement - Priv"/>
    <s v="Non Expert Disbursement"/>
    <s v="LB"/>
    <s v="N"/>
    <n v="506.85"/>
    <n v="0"/>
    <x v="3"/>
    <s v="VALIDATED"/>
    <n v="1"/>
    <s v="01.11.80.302.2012.0000"/>
    <n v="506.85"/>
    <s v="11"/>
    <s v="2012"/>
    <n v="14201.69"/>
    <n v="506.85"/>
    <s v="CREDITOR"/>
    <n v="506.85"/>
    <n v="0"/>
    <n v="0"/>
    <n v="0"/>
    <n v="0"/>
  </r>
  <r>
    <n v="60260850"/>
    <s v="N"/>
    <n v="21349868"/>
    <s v="3000014565110032"/>
    <s v="CIVIL"/>
    <d v="2023-06-28T00:00:00"/>
    <d v="2023-07-10T19:01:40"/>
    <m/>
    <d v="2023-07-10T00:00:00"/>
    <n v="413"/>
    <n v="14085"/>
    <s v="60260850"/>
    <s v="60260850"/>
    <m/>
    <m/>
    <n v="22776734"/>
    <m/>
    <m/>
    <m/>
    <s v="SOLFIN"/>
    <s v="SOLFIN"/>
    <s v="CCMS"/>
    <n v="21349868"/>
    <n v="20942.09"/>
    <m/>
    <s v="N"/>
    <n v="329"/>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70"/>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78"/>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96"/>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77"/>
    <d v="2023-07-10T19:02:00"/>
    <s v="Y"/>
    <s v="Preparation - drafting application"/>
    <s v="Care Remuneration Hourly Rates"/>
    <s v="Profit Cost"/>
    <s v="LN"/>
    <s v="Y"/>
    <n v="105.14"/>
    <n v="21.03"/>
    <x v="2"/>
    <s v="VALIDATED"/>
    <n v="1"/>
    <s v="01.11.80.308.6100.0000"/>
    <n v="105.14"/>
    <s v="11"/>
    <s v="6100"/>
    <n v="14201.69"/>
    <n v="105.14"/>
    <s v="CREDITOR"/>
    <n v="0"/>
    <n v="0"/>
    <n v="0"/>
    <n v="0"/>
    <n v="105.14"/>
  </r>
  <r>
    <n v="60260850"/>
    <s v="N"/>
    <n v="21349868"/>
    <s v="3000014565110032"/>
    <s v="CIVIL"/>
    <d v="2023-06-28T00:00:00"/>
    <d v="2023-07-10T19:01:40"/>
    <m/>
    <d v="2023-07-10T00:00:00"/>
    <n v="413"/>
    <n v="14085"/>
    <s v="60260850"/>
    <s v="60260850"/>
    <m/>
    <m/>
    <n v="22776734"/>
    <m/>
    <m/>
    <m/>
    <s v="SOLFIN"/>
    <s v="SOLFIN"/>
    <s v="CCMS"/>
    <n v="21349868"/>
    <n v="20942.09"/>
    <m/>
    <s v="N"/>
    <n v="368"/>
    <d v="2023-07-10T19:02:00"/>
    <s v="Y"/>
    <s v="Expert - Other"/>
    <s v="Care Remuneration Hourly Rates"/>
    <s v="Expert Disbursement"/>
    <s v="LN"/>
    <s v="Y"/>
    <n v="81"/>
    <n v="16.2"/>
    <x v="2"/>
    <s v="VALIDATED"/>
    <n v="1"/>
    <s v="01.11.80.308.6300.0000"/>
    <n v="81"/>
    <s v="11"/>
    <s v="6300"/>
    <n v="14201.69"/>
    <n v="81"/>
    <s v="CREDITOR"/>
    <n v="0"/>
    <n v="0"/>
    <n v="0"/>
    <n v="0"/>
    <n v="81"/>
  </r>
  <r>
    <n v="60260850"/>
    <s v="N"/>
    <n v="21349868"/>
    <s v="3000014565110032"/>
    <s v="CIVIL"/>
    <d v="2023-06-28T00:00:00"/>
    <d v="2023-07-10T19:01:40"/>
    <m/>
    <d v="2023-07-10T00:00:00"/>
    <n v="413"/>
    <n v="14085"/>
    <s v="60260850"/>
    <s v="60260850"/>
    <m/>
    <m/>
    <n v="22776734"/>
    <m/>
    <m/>
    <m/>
    <s v="SOLFIN"/>
    <s v="SOLFIN"/>
    <s v="CCMS"/>
    <n v="21349868"/>
    <n v="20942.09"/>
    <m/>
    <s v="N"/>
    <n v="305"/>
    <d v="2023-07-10T19:02:00"/>
    <s v="Y"/>
    <s v="Preparation - drafting instructions"/>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8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2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27"/>
    <d v="2023-07-10T19:02:00"/>
    <s v="Y"/>
    <s v="Preparation - drafting instructions"/>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7"/>
    <d v="2023-07-10T19:02:00"/>
    <s v="N"/>
    <s v="Preparation - other"/>
    <s v="Care Remuneration Hourly Rates"/>
    <s v="Profit Cost"/>
    <s v="LN"/>
    <s v="N"/>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71"/>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49"/>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84"/>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65"/>
    <d v="2023-07-10T19:02:00"/>
    <s v="Y"/>
    <s v="Preparation - other"/>
    <s v="Care Remuneration Hourly Rates"/>
    <s v="Profit Cost"/>
    <s v="LN"/>
    <s v="Y"/>
    <n v="42.06"/>
    <n v="8.41"/>
    <x v="2"/>
    <s v="VALIDATED"/>
    <n v="1"/>
    <s v="01.11.80.308.6100.0000"/>
    <n v="42.06"/>
    <s v="11"/>
    <s v="6100"/>
    <n v="14201.69"/>
    <n v="42.06"/>
    <s v="CREDITOR"/>
    <n v="0"/>
    <n v="0"/>
    <n v="0"/>
    <n v="0"/>
    <n v="42.06"/>
  </r>
  <r>
    <n v="61573572"/>
    <s v="N"/>
    <n v="21338263"/>
    <s v="3000015686760003"/>
    <s v="CIVIL"/>
    <d v="2023-06-28T00:00:00"/>
    <d v="2023-07-06T19:21:01"/>
    <m/>
    <d v="2023-07-06T00:00:00"/>
    <n v="413"/>
    <n v="14085"/>
    <s v="61573572"/>
    <s v="61573572"/>
    <m/>
    <m/>
    <n v="22776764"/>
    <m/>
    <m/>
    <m/>
    <s v="SOLFIN"/>
    <s v="SOLFIN"/>
    <s v="CCMS"/>
    <n v="21338263"/>
    <n v="1263.86"/>
    <m/>
    <s v="N"/>
    <n v="3"/>
    <d v="2023-07-06T19:21:14"/>
    <s v="Y"/>
    <s v="Hearing Unit 1.01 - 2.30 Hours"/>
    <s v="Private Law Children"/>
    <s v="Advocacy"/>
    <s v="Zoe Sayer"/>
    <s v="Y"/>
    <n v="172.4"/>
    <n v="34.48"/>
    <x v="4"/>
    <s v="VALIDATED"/>
    <n v="1"/>
    <s v="01.11.80.302.6100.0000"/>
    <n v="172.4"/>
    <s v="11"/>
    <s v="6100"/>
    <n v="14201.69"/>
    <n v="172.4"/>
    <s v="CREDITOR"/>
    <n v="0"/>
    <n v="0"/>
    <n v="0"/>
    <n v="0"/>
    <n v="172.4"/>
  </r>
  <r>
    <n v="60260850"/>
    <s v="N"/>
    <n v="21349868"/>
    <s v="3000014565110032"/>
    <s v="CIVIL"/>
    <d v="2023-06-28T00:00:00"/>
    <d v="2023-07-10T19:01:40"/>
    <m/>
    <d v="2023-07-10T00:00:00"/>
    <n v="413"/>
    <n v="14085"/>
    <s v="60260850"/>
    <s v="60260850"/>
    <m/>
    <m/>
    <n v="22776734"/>
    <m/>
    <m/>
    <m/>
    <s v="SOLFIN"/>
    <s v="SOLFIN"/>
    <s v="CCMS"/>
    <n v="21349868"/>
    <n v="20942.09"/>
    <m/>
    <s v="N"/>
    <n v="298"/>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26"/>
    <d v="2023-07-10T19:02:00"/>
    <s v="Y"/>
    <s v="Preparation - drafting statement"/>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179"/>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88"/>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10"/>
    <d v="2023-07-10T19:02:00"/>
    <s v="Y"/>
    <s v="Preparation - other"/>
    <s v="Care Remuneration Hourly Rates"/>
    <s v="Profit Cost"/>
    <s v="LN"/>
    <s v="Y"/>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216"/>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64"/>
    <d v="2023-07-10T19:02:00"/>
    <s v="Y"/>
    <s v="Preparation - other"/>
    <s v="Care Remuneration Hourly Rates"/>
    <s v="Profit Cost"/>
    <s v="LN"/>
    <s v="Y"/>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65"/>
    <d v="2023-07-10T19:02:00"/>
    <s v="N"/>
    <s v="Attendance upon client"/>
    <s v="Care Remuneration Hourly Rates"/>
    <s v="Profit Cost"/>
    <s v="LN"/>
    <s v="N"/>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29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60"/>
    <d v="2023-07-10T19:02:00"/>
    <s v="Y"/>
    <s v="Radiologist"/>
    <s v="Care Remuneration Hourly Rates"/>
    <s v="Expert Disbursement"/>
    <s v="LN"/>
    <s v="Y"/>
    <n v="135"/>
    <n v="0"/>
    <x v="2"/>
    <s v="VALIDATED"/>
    <n v="1"/>
    <s v="01.11.80.308.6300.0000"/>
    <n v="135"/>
    <s v="11"/>
    <s v="6300"/>
    <n v="14201.69"/>
    <n v="135"/>
    <s v="CREDITOR"/>
    <n v="0"/>
    <n v="0"/>
    <n v="0"/>
    <n v="0"/>
    <n v="135"/>
  </r>
  <r>
    <n v="60260850"/>
    <s v="N"/>
    <n v="21349868"/>
    <s v="3000014565110032"/>
    <s v="CIVIL"/>
    <d v="2023-06-28T00:00:00"/>
    <d v="2023-07-10T19:01:40"/>
    <m/>
    <d v="2023-07-10T00:00:00"/>
    <n v="413"/>
    <n v="14085"/>
    <s v="60260850"/>
    <s v="60260850"/>
    <m/>
    <m/>
    <n v="22776734"/>
    <m/>
    <m/>
    <m/>
    <s v="SOLFIN"/>
    <s v="SOLFIN"/>
    <s v="CCMS"/>
    <n v="21349868"/>
    <n v="20942.09"/>
    <m/>
    <s v="N"/>
    <n v="316"/>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28"/>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81"/>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44"/>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69"/>
    <d v="2023-07-10T19:02:00"/>
    <s v="Y"/>
    <s v="Preparation - other"/>
    <s v="Care Remuneration Hourly Rates"/>
    <s v="Profit Cost"/>
    <s v="LN"/>
    <s v="Y"/>
    <n v="15.77"/>
    <n v="3.15"/>
    <x v="2"/>
    <s v="VALIDATED"/>
    <n v="1"/>
    <s v="01.11.80.308.6100.0000"/>
    <n v="15.77"/>
    <s v="11"/>
    <s v="6100"/>
    <n v="14201.69"/>
    <n v="15.77"/>
    <s v="CREDITOR"/>
    <n v="0"/>
    <n v="0"/>
    <n v="0"/>
    <n v="0"/>
    <n v="15.77"/>
  </r>
  <r>
    <n v="62097866"/>
    <s v="N"/>
    <n v="21338257"/>
    <s v="3000016124670002"/>
    <s v="CIVIL"/>
    <d v="2023-06-28T00:00:00"/>
    <d v="2023-07-06T19:21:01"/>
    <m/>
    <d v="2023-07-06T00:00:00"/>
    <n v="413"/>
    <n v="14085"/>
    <s v="62097866"/>
    <s v="62097866"/>
    <m/>
    <m/>
    <n v="22776720"/>
    <m/>
    <m/>
    <m/>
    <s v="SOLFIN"/>
    <s v="SOLFIN"/>
    <s v="CCMS"/>
    <n v="21338257"/>
    <n v="827.4"/>
    <m/>
    <s v="N"/>
    <n v="1"/>
    <d v="2023-07-06T19:21:14"/>
    <s v="Y"/>
    <s v="Process server"/>
    <s v="Domestic Abuse"/>
    <s v="Expert Disbursement"/>
    <s v="Zoe Sayer"/>
    <s v="Y"/>
    <n v="182.5"/>
    <n v="36.5"/>
    <x v="4"/>
    <s v="VALIDATED"/>
    <n v="1"/>
    <s v="01.11.80.302.6300.0000"/>
    <n v="182.5"/>
    <s v="11"/>
    <s v="6300"/>
    <n v="14201.69"/>
    <n v="182.5"/>
    <s v="CREDITOR"/>
    <n v="0"/>
    <n v="0"/>
    <n v="0"/>
    <n v="0"/>
    <n v="182.5"/>
  </r>
  <r>
    <n v="62190137"/>
    <s v="N"/>
    <n v="21318343"/>
    <s v="3000016200790003"/>
    <s v="CIVIL"/>
    <d v="2023-06-22T00:00:00"/>
    <d v="2023-07-03T19:01:49"/>
    <m/>
    <d v="2023-07-03T00:00:00"/>
    <n v="413"/>
    <n v="14085"/>
    <s v="62190137"/>
    <s v="62190137"/>
    <m/>
    <m/>
    <n v="22744488"/>
    <m/>
    <m/>
    <m/>
    <s v="SOLFIN"/>
    <s v="SOLFIN"/>
    <s v="CCMS"/>
    <n v="21318343"/>
    <n v="1304.65"/>
    <m/>
    <s v="N"/>
    <n v="2"/>
    <d v="2023-07-03T19:01:54"/>
    <s v="Y"/>
    <s v="Solicitor Travel Mileage"/>
    <s v="Domestic Abuse"/>
    <s v="Non Expert Disbursement"/>
    <s v="SM"/>
    <s v="Y"/>
    <n v="27.5"/>
    <n v="5.5"/>
    <x v="3"/>
    <s v="VALIDATED"/>
    <n v="1"/>
    <s v="01.11.80.302.6300.0000"/>
    <n v="27.5"/>
    <s v="11"/>
    <s v="6300"/>
    <n v="14201.69"/>
    <n v="27.5"/>
    <s v="CREDITOR"/>
    <n v="0"/>
    <n v="0"/>
    <n v="0"/>
    <n v="0"/>
    <n v="27.5"/>
  </r>
  <r>
    <n v="62190137"/>
    <s v="N"/>
    <n v="21318343"/>
    <s v="3000016200790003"/>
    <s v="CIVIL"/>
    <d v="2023-06-22T00:00:00"/>
    <d v="2023-07-03T19:01:49"/>
    <m/>
    <d v="2023-07-03T00:00:00"/>
    <n v="413"/>
    <n v="14085"/>
    <s v="62190137"/>
    <s v="62190137"/>
    <m/>
    <m/>
    <n v="22744488"/>
    <m/>
    <m/>
    <m/>
    <s v="SOLFIN"/>
    <s v="SOLFIN"/>
    <s v="CCMS"/>
    <n v="21318343"/>
    <n v="1304.65"/>
    <m/>
    <s v="N"/>
    <n v="3"/>
    <d v="2023-07-03T19:01:54"/>
    <s v="Y"/>
    <s v="Process server"/>
    <s v="Domestic Abuse"/>
    <s v="Expert Disbursement"/>
    <s v="SM"/>
    <s v="Y"/>
    <n v="159.5"/>
    <n v="31.9"/>
    <x v="3"/>
    <s v="VALIDATED"/>
    <n v="1"/>
    <s v="01.11.80.302.6300.0000"/>
    <n v="159.5"/>
    <s v="11"/>
    <s v="6300"/>
    <n v="14201.69"/>
    <n v="159.5"/>
    <s v="CREDITOR"/>
    <n v="0"/>
    <n v="0"/>
    <n v="0"/>
    <n v="0"/>
    <n v="159.5"/>
  </r>
  <r>
    <n v="60260850"/>
    <s v="N"/>
    <n v="21349868"/>
    <s v="3000014565110032"/>
    <s v="CIVIL"/>
    <d v="2023-06-28T00:00:00"/>
    <d v="2023-07-10T19:01:40"/>
    <m/>
    <d v="2023-07-10T00:00:00"/>
    <n v="413"/>
    <n v="14085"/>
    <s v="60260850"/>
    <s v="60260850"/>
    <m/>
    <m/>
    <n v="22776734"/>
    <m/>
    <m/>
    <m/>
    <s v="SOLFIN"/>
    <s v="SOLFIN"/>
    <s v="CCMS"/>
    <n v="21349868"/>
    <n v="20942.09"/>
    <m/>
    <s v="N"/>
    <n v="370"/>
    <d v="2023-07-10T19:02:00"/>
    <s v="Y"/>
    <s v="Paediatrician"/>
    <s v="Care Remuneration Hourly Rates"/>
    <s v="Expert Disbursement"/>
    <s v="LN"/>
    <s v="Y"/>
    <n v="27"/>
    <n v="5.4"/>
    <x v="2"/>
    <s v="VALIDATED"/>
    <n v="1"/>
    <s v="01.11.80.308.6300.0000"/>
    <n v="27"/>
    <s v="11"/>
    <s v="6300"/>
    <n v="14201.69"/>
    <n v="27"/>
    <s v="CREDITOR"/>
    <n v="0"/>
    <n v="0"/>
    <n v="0"/>
    <n v="0"/>
    <n v="27"/>
  </r>
  <r>
    <n v="60260850"/>
    <s v="N"/>
    <n v="21349868"/>
    <s v="3000014565110032"/>
    <s v="CIVIL"/>
    <d v="2023-06-28T00:00:00"/>
    <d v="2023-07-10T19:01:40"/>
    <m/>
    <d v="2023-07-10T00:00:00"/>
    <n v="413"/>
    <n v="14085"/>
    <s v="60260850"/>
    <s v="60260850"/>
    <m/>
    <m/>
    <n v="22776734"/>
    <m/>
    <m/>
    <m/>
    <s v="SOLFIN"/>
    <s v="SOLFIN"/>
    <s v="CCMS"/>
    <n v="21349868"/>
    <n v="20942.09"/>
    <m/>
    <s v="N"/>
    <n v="362"/>
    <d v="2023-07-10T19:02:00"/>
    <s v="Y"/>
    <s v="Paediatrician"/>
    <s v="Care Remuneration Hourly Rates"/>
    <s v="Expert Disbursement"/>
    <s v="LN"/>
    <s v="Y"/>
    <n v="54"/>
    <n v="10.8"/>
    <x v="2"/>
    <s v="VALIDATED"/>
    <n v="1"/>
    <s v="01.11.80.308.6300.0000"/>
    <n v="54"/>
    <s v="11"/>
    <s v="6300"/>
    <n v="14201.69"/>
    <n v="54"/>
    <s v="CREDITOR"/>
    <n v="0"/>
    <n v="0"/>
    <n v="0"/>
    <n v="0"/>
    <n v="54"/>
  </r>
  <r>
    <n v="60260850"/>
    <s v="N"/>
    <n v="21349868"/>
    <s v="3000014565110032"/>
    <s v="CIVIL"/>
    <d v="2023-06-28T00:00:00"/>
    <d v="2023-07-10T19:01:40"/>
    <m/>
    <d v="2023-07-10T00:00:00"/>
    <n v="413"/>
    <n v="14085"/>
    <s v="60260850"/>
    <s v="60260850"/>
    <m/>
    <m/>
    <n v="22776734"/>
    <m/>
    <m/>
    <m/>
    <s v="SOLFIN"/>
    <s v="SOLFIN"/>
    <s v="CCMS"/>
    <n v="21349868"/>
    <n v="20942.09"/>
    <m/>
    <s v="N"/>
    <n v="61"/>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75"/>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60"/>
    <d v="2023-07-10T19:02:00"/>
    <s v="Y"/>
    <s v="Attendance upon client"/>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29"/>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79"/>
    <d v="2023-07-10T19:02:00"/>
    <s v="Y"/>
    <s v="Attendance upon client"/>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282"/>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62"/>
    <d v="2023-07-10T19:02:00"/>
    <s v="Y"/>
    <s v="Preparation - other"/>
    <s v="Care Remuneration Hourly Rates"/>
    <s v="Profit Cost"/>
    <s v="LN"/>
    <s v="Y"/>
    <n v="144.57"/>
    <n v="28.91"/>
    <x v="2"/>
    <s v="VALIDATED"/>
    <n v="1"/>
    <s v="01.11.80.308.6100.0000"/>
    <n v="144.57"/>
    <s v="11"/>
    <s v="6100"/>
    <n v="14201.69"/>
    <n v="144.57"/>
    <s v="CREDITOR"/>
    <n v="0"/>
    <n v="0"/>
    <n v="0"/>
    <n v="0"/>
    <n v="144.57"/>
  </r>
  <r>
    <n v="60260850"/>
    <s v="N"/>
    <n v="21349868"/>
    <s v="3000014565110032"/>
    <s v="CIVIL"/>
    <d v="2023-06-28T00:00:00"/>
    <d v="2023-07-10T19:01:40"/>
    <m/>
    <d v="2023-07-10T00:00:00"/>
    <n v="413"/>
    <n v="14085"/>
    <s v="60260850"/>
    <s v="60260850"/>
    <m/>
    <m/>
    <n v="22776734"/>
    <m/>
    <m/>
    <m/>
    <s v="SOLFIN"/>
    <s v="SOLFIN"/>
    <s v="CCMS"/>
    <n v="21349868"/>
    <n v="20942.09"/>
    <m/>
    <s v="N"/>
    <n v="80"/>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39"/>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91"/>
    <d v="2023-07-10T19:02:00"/>
    <s v="N"/>
    <s v="Attendance upon client"/>
    <s v="Care Remuneration Hourly Rates"/>
    <s v="Profit Cost"/>
    <s v="LN"/>
    <s v="N"/>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15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93"/>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15"/>
    <d v="2023-07-10T19:02:00"/>
    <s v="Y"/>
    <s v="Attendance upon other"/>
    <s v="Care Remuneration Hourly Rates"/>
    <s v="Profit Cost"/>
    <s v="LN"/>
    <s v="Y"/>
    <n v="31.54"/>
    <n v="6.31"/>
    <x v="2"/>
    <s v="VALIDATED"/>
    <n v="1"/>
    <s v="01.11.80.308.6100.0000"/>
    <n v="31.54"/>
    <s v="11"/>
    <s v="6100"/>
    <n v="14201.69"/>
    <n v="31.54"/>
    <s v="CREDITOR"/>
    <n v="0"/>
    <n v="0"/>
    <n v="0"/>
    <n v="0"/>
    <n v="31.54"/>
  </r>
  <r>
    <n v="61372876"/>
    <s v="N"/>
    <n v="21331119"/>
    <s v="3000015519130001"/>
    <s v="CIVIL"/>
    <d v="2023-06-27T00:00:00"/>
    <d v="2023-07-05T19:01:47"/>
    <m/>
    <d v="2023-07-05T00:00:00"/>
    <n v="413"/>
    <n v="14085"/>
    <s v="61372876"/>
    <s v="61372876"/>
    <m/>
    <m/>
    <n v="22769354"/>
    <m/>
    <m/>
    <m/>
    <s v="SOLFIN"/>
    <s v="SOLFIN"/>
    <s v="CCMS"/>
    <n v="21331119"/>
    <n v="608.4"/>
    <m/>
    <s v="N"/>
    <n v="1"/>
    <d v="2023-07-05T19:02:07"/>
    <s v="Y"/>
    <s v="Level 4 Fixed Fee"/>
    <s v="Domestic Abuse"/>
    <s v="Profit Cost"/>
    <s v="Emma Quirke"/>
    <s v="Y"/>
    <n v="507"/>
    <n v="101.4"/>
    <x v="6"/>
    <s v="VALIDATED"/>
    <n v="1"/>
    <s v="01.11.80.302.6100.0000"/>
    <n v="507"/>
    <s v="11"/>
    <s v="6100"/>
    <n v="14201.69"/>
    <n v="507"/>
    <s v="CREDITOR"/>
    <n v="0"/>
    <n v="0"/>
    <n v="0"/>
    <n v="0"/>
    <n v="507"/>
  </r>
  <r>
    <n v="60260850"/>
    <s v="N"/>
    <n v="21349868"/>
    <s v="3000014565110032"/>
    <s v="CIVIL"/>
    <d v="2023-06-28T00:00:00"/>
    <d v="2023-07-10T19:01:40"/>
    <m/>
    <d v="2023-07-10T00:00:00"/>
    <n v="413"/>
    <n v="14085"/>
    <s v="60260850"/>
    <s v="60260850"/>
    <m/>
    <m/>
    <n v="22776734"/>
    <m/>
    <m/>
    <m/>
    <s v="SOLFIN"/>
    <s v="SOLFIN"/>
    <s v="CCMS"/>
    <n v="21349868"/>
    <n v="20942.09"/>
    <m/>
    <s v="N"/>
    <n v="213"/>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43"/>
    <d v="2023-07-10T19:02:00"/>
    <s v="Y"/>
    <s v="Preparation - other"/>
    <s v="Care Remuneration Hourly Rates"/>
    <s v="Profit Cost"/>
    <s v="LN"/>
    <s v="Y"/>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127"/>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35"/>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90"/>
    <d v="2023-07-10T19:02:00"/>
    <s v="N"/>
    <s v="Preparation - other"/>
    <s v="Care Remuneration Hourly Rates"/>
    <s v="Profit Cost"/>
    <s v="LN"/>
    <s v="N"/>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109"/>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2"/>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68"/>
    <d v="2023-07-10T19:02:00"/>
    <s v="Y"/>
    <s v="Preparation - other"/>
    <s v="Care Remuneration Hourly Rates"/>
    <s v="Profit Cost"/>
    <s v="LN"/>
    <s v="Y"/>
    <n v="10.51"/>
    <n v="2.1"/>
    <x v="2"/>
    <s v="VALIDATED"/>
    <n v="1"/>
    <s v="01.11.80.308.6100.0000"/>
    <n v="10.51"/>
    <s v="11"/>
    <s v="6100"/>
    <n v="14201.69"/>
    <n v="10.51"/>
    <s v="CREDITOR"/>
    <n v="0"/>
    <n v="0"/>
    <n v="0"/>
    <n v="0"/>
    <n v="10.51"/>
  </r>
  <r>
    <n v="61813780"/>
    <s v="N"/>
    <n v="21319718"/>
    <s v="3000015885310011"/>
    <s v="CIVIL"/>
    <d v="2023-06-27T00:00:00"/>
    <d v="2023-07-03T19:04:24"/>
    <m/>
    <d v="2023-07-03T00:00:00"/>
    <n v="413"/>
    <n v="14085"/>
    <s v="61813780"/>
    <s v="61813780"/>
    <m/>
    <m/>
    <n v="22773382"/>
    <m/>
    <m/>
    <m/>
    <s v="SOLPOA"/>
    <s v="SOLPOA"/>
    <s v="CCMS"/>
    <n v="21319718"/>
    <n v="97.2"/>
    <m/>
    <s v="N"/>
    <n v="1"/>
    <d v="2023-07-03T19:04:27"/>
    <s v="N"/>
    <s v="Expert Cost"/>
    <s v="Expert Cost"/>
    <s v="Expert Disbursement"/>
    <s v="LB"/>
    <s v="N"/>
    <n v="81"/>
    <n v="16.2"/>
    <x v="3"/>
    <s v="VALIDATED"/>
    <n v="1"/>
    <s v="01.11.80.308.2012.0000"/>
    <n v="81"/>
    <s v="11"/>
    <s v="2012"/>
    <n v="14201.69"/>
    <n v="81"/>
    <s v="CREDITOR"/>
    <n v="81"/>
    <n v="0"/>
    <n v="0"/>
    <n v="0"/>
    <n v="0"/>
  </r>
  <r>
    <n v="61469228"/>
    <s v="N"/>
    <n v="21363332"/>
    <s v="3000015598170016"/>
    <s v="CIVIL"/>
    <d v="2023-06-29T00:00:00"/>
    <d v="2023-07-12T19:01:49"/>
    <m/>
    <d v="2023-07-12T00:00:00"/>
    <n v="413"/>
    <n v="14085"/>
    <s v="61469228"/>
    <s v="61469228"/>
    <m/>
    <m/>
    <n v="22789214"/>
    <m/>
    <m/>
    <m/>
    <s v="SOLINT"/>
    <s v="SOLINT"/>
    <s v="CCMS"/>
    <n v="21363332"/>
    <n v="0"/>
    <m/>
    <s v="N"/>
    <n v="1"/>
    <d v="2023-07-12T19:01:59"/>
    <s v="N"/>
    <s v="NIL BILL"/>
    <s v="Public Law Children"/>
    <s v="Profit Cost"/>
    <s v="LB"/>
    <s v="N"/>
    <n v="0"/>
    <n v="0"/>
    <x v="0"/>
    <s v="VALIDATED"/>
    <n v="1"/>
    <s v="01.11.80.308.6100.0000"/>
    <n v="0"/>
    <s v="11"/>
    <s v="6100"/>
    <n v="14201.69"/>
    <n v="0"/>
    <s v="CREDITOR"/>
    <n v="0"/>
    <n v="0"/>
    <n v="0"/>
    <n v="0"/>
    <n v="0"/>
  </r>
  <r>
    <n v="60260850"/>
    <s v="N"/>
    <n v="21349868"/>
    <s v="3000014565110032"/>
    <s v="CIVIL"/>
    <d v="2023-06-28T00:00:00"/>
    <d v="2023-07-10T19:01:40"/>
    <m/>
    <d v="2023-07-10T00:00:00"/>
    <n v="413"/>
    <n v="14085"/>
    <s v="60260850"/>
    <s v="60260850"/>
    <m/>
    <m/>
    <n v="22776734"/>
    <m/>
    <m/>
    <m/>
    <s v="SOLFIN"/>
    <s v="SOLFIN"/>
    <s v="CCMS"/>
    <n v="21349868"/>
    <n v="20942.09"/>
    <m/>
    <s v="N"/>
    <n v="196"/>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61"/>
    <d v="2023-07-10T19:02:00"/>
    <s v="Y"/>
    <s v="Paediatrician"/>
    <s v="Care Remuneration Hourly Rates"/>
    <s v="Expert Disbursement"/>
    <s v="LN"/>
    <s v="Y"/>
    <n v="81"/>
    <n v="16.2"/>
    <x v="2"/>
    <s v="VALIDATED"/>
    <n v="1"/>
    <s v="01.11.80.308.6300.0000"/>
    <n v="81"/>
    <s v="11"/>
    <s v="6300"/>
    <n v="14201.69"/>
    <n v="81"/>
    <s v="CREDITOR"/>
    <n v="0"/>
    <n v="0"/>
    <n v="0"/>
    <n v="0"/>
    <n v="81"/>
  </r>
  <r>
    <n v="60260850"/>
    <s v="N"/>
    <n v="21349868"/>
    <s v="3000014565110032"/>
    <s v="CIVIL"/>
    <d v="2023-06-28T00:00:00"/>
    <d v="2023-07-10T19:01:40"/>
    <m/>
    <d v="2023-07-10T00:00:00"/>
    <n v="413"/>
    <n v="14085"/>
    <s v="60260850"/>
    <s v="60260850"/>
    <m/>
    <m/>
    <n v="22776734"/>
    <m/>
    <m/>
    <m/>
    <s v="SOLFIN"/>
    <s v="SOLFIN"/>
    <s v="CCMS"/>
    <n v="21349868"/>
    <n v="20942.09"/>
    <m/>
    <s v="N"/>
    <n v="62"/>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40"/>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97"/>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20"/>
    <d v="2023-07-10T19:02:00"/>
    <s v="Y"/>
    <s v="Preparation - other"/>
    <s v="Care Remuneration Hourly Rates"/>
    <s v="Profit Cost"/>
    <s v="LN"/>
    <s v="Y"/>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204"/>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25"/>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19"/>
    <d v="2023-07-10T19:02:00"/>
    <s v="Y"/>
    <s v="Preparation - other"/>
    <s v="Care Remuneration Hourly Rates"/>
    <s v="Profit Cost"/>
    <s v="LN"/>
    <s v="Y"/>
    <n v="5.26"/>
    <n v="1.05"/>
    <x v="2"/>
    <s v="VALIDATED"/>
    <n v="1"/>
    <s v="01.11.80.308.6100.0000"/>
    <n v="5.26"/>
    <s v="11"/>
    <s v="6100"/>
    <n v="14201.69"/>
    <n v="5.26"/>
    <s v="CREDITOR"/>
    <n v="0"/>
    <n v="0"/>
    <n v="0"/>
    <n v="0"/>
    <n v="5.26"/>
  </r>
  <r>
    <n v="62084966"/>
    <s v="N"/>
    <n v="21349778"/>
    <s v="3000016113990009"/>
    <s v="CIVIL"/>
    <d v="2023-06-27T00:00:00"/>
    <d v="2023-07-10T19:01:40"/>
    <m/>
    <d v="2023-07-10T00:00:00"/>
    <n v="413"/>
    <n v="14085"/>
    <s v="62084966"/>
    <s v="62084966"/>
    <m/>
    <m/>
    <n v="22773038"/>
    <m/>
    <m/>
    <m/>
    <s v="SOLPOA"/>
    <s v="SOLPOA"/>
    <s v="CCMS"/>
    <n v="21349778"/>
    <n v="81.22"/>
    <m/>
    <s v="N"/>
    <n v="1"/>
    <d v="2023-07-10T19:01:57"/>
    <s v="N"/>
    <s v="Non Expert Disbursement"/>
    <s v="Non Expert Disbursement"/>
    <s v="Non Expert Disbursement"/>
    <s v="EQ"/>
    <s v="N"/>
    <n v="67.68000000000001"/>
    <n v="13.54"/>
    <x v="2"/>
    <s v="VALIDATED"/>
    <n v="1"/>
    <s v="01.11.80.308.2012.0000"/>
    <n v="67.68000000000001"/>
    <s v="11"/>
    <s v="2012"/>
    <n v="14201.69"/>
    <n v="67.68000000000001"/>
    <s v="CREDITOR"/>
    <n v="67.68000000000001"/>
    <n v="0"/>
    <n v="0"/>
    <n v="0"/>
    <n v="0"/>
  </r>
  <r>
    <n v="60260850"/>
    <s v="N"/>
    <n v="21349868"/>
    <s v="3000014565110032"/>
    <s v="CIVIL"/>
    <d v="2023-06-28T00:00:00"/>
    <d v="2023-07-10T19:01:40"/>
    <m/>
    <d v="2023-07-10T00:00:00"/>
    <n v="413"/>
    <n v="14085"/>
    <s v="60260850"/>
    <s v="60260850"/>
    <m/>
    <m/>
    <n v="22776734"/>
    <m/>
    <m/>
    <m/>
    <s v="SOLFIN"/>
    <s v="SOLFIN"/>
    <s v="CCMS"/>
    <n v="21349868"/>
    <n v="20942.09"/>
    <m/>
    <s v="N"/>
    <n v="246"/>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06"/>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91"/>
    <d v="2023-07-10T19:02:00"/>
    <s v="Y"/>
    <s v="Preparation - other"/>
    <s v="Care Remuneration Hourly Rates"/>
    <s v="Profit Cost"/>
    <s v="LN"/>
    <s v="Y"/>
    <n v="210.28"/>
    <n v="42.05"/>
    <x v="2"/>
    <s v="VALIDATED"/>
    <n v="1"/>
    <s v="01.11.80.308.6100.0000"/>
    <n v="210.28"/>
    <s v="11"/>
    <s v="6100"/>
    <n v="14201.69"/>
    <n v="210.28"/>
    <s v="CREDITOR"/>
    <n v="0"/>
    <n v="0"/>
    <n v="0"/>
    <n v="0"/>
    <n v="210.28"/>
  </r>
  <r>
    <n v="60260850"/>
    <s v="N"/>
    <n v="21349868"/>
    <s v="3000014565110032"/>
    <s v="CIVIL"/>
    <d v="2023-06-28T00:00:00"/>
    <d v="2023-07-10T19:01:40"/>
    <m/>
    <d v="2023-07-10T00:00:00"/>
    <n v="413"/>
    <n v="14085"/>
    <s v="60260850"/>
    <s v="60260850"/>
    <m/>
    <m/>
    <n v="22776734"/>
    <m/>
    <m/>
    <m/>
    <s v="SOLFIN"/>
    <s v="SOLFIN"/>
    <s v="CCMS"/>
    <n v="21349868"/>
    <n v="20942.09"/>
    <m/>
    <s v="N"/>
    <n v="149"/>
    <d v="2023-07-10T19:02:00"/>
    <s v="Y"/>
    <s v="Attendance upon client"/>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15"/>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39"/>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66"/>
    <d v="2023-07-10T19:02:00"/>
    <s v="Y"/>
    <s v="Toxicologist"/>
    <s v="Care Remuneration Hourly Rates"/>
    <s v="Expert Disbursement"/>
    <s v="LN"/>
    <s v="Y"/>
    <n v="173.75"/>
    <n v="34.75"/>
    <x v="2"/>
    <s v="VALIDATED"/>
    <n v="1"/>
    <s v="01.11.80.308.6300.0000"/>
    <n v="173.75"/>
    <s v="11"/>
    <s v="6300"/>
    <n v="14201.69"/>
    <n v="173.75"/>
    <s v="CREDITOR"/>
    <n v="0"/>
    <n v="0"/>
    <n v="0"/>
    <n v="0"/>
    <n v="173.75"/>
  </r>
  <r>
    <n v="60260850"/>
    <s v="N"/>
    <n v="21349868"/>
    <s v="3000014565110032"/>
    <s v="CIVIL"/>
    <d v="2023-06-28T00:00:00"/>
    <d v="2023-07-10T19:01:40"/>
    <m/>
    <d v="2023-07-10T00:00:00"/>
    <n v="413"/>
    <n v="14085"/>
    <s v="60260850"/>
    <s v="60260850"/>
    <m/>
    <m/>
    <n v="22776734"/>
    <m/>
    <m/>
    <m/>
    <s v="SOLFIN"/>
    <s v="SOLFIN"/>
    <s v="CCMS"/>
    <n v="21349868"/>
    <n v="20942.09"/>
    <m/>
    <s v="N"/>
    <n v="295"/>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2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71"/>
    <d v="2023-07-10T19:02:00"/>
    <s v="N"/>
    <m/>
    <m/>
    <s v="Overall Adjustment"/>
    <m/>
    <s v="N"/>
    <n v="-3502.63"/>
    <n v="-700.2"/>
    <x v="2"/>
    <s v="VALIDATED"/>
    <n v="1"/>
    <s v="01.11.80.308.6100.0000"/>
    <n v="-3502.63"/>
    <s v="11"/>
    <s v="6100"/>
    <n v="14201.69"/>
    <n v="-3502.63"/>
    <s v="CREDITOR"/>
    <n v="0"/>
    <n v="0"/>
    <n v="0"/>
    <n v="0"/>
    <n v="-3502.63"/>
  </r>
  <r>
    <n v="60260850"/>
    <s v="N"/>
    <n v="21349868"/>
    <s v="3000014565110032"/>
    <s v="CIVIL"/>
    <d v="2023-06-28T00:00:00"/>
    <d v="2023-07-10T19:01:40"/>
    <m/>
    <d v="2023-07-10T00:00:00"/>
    <n v="413"/>
    <n v="14085"/>
    <s v="60260850"/>
    <s v="60260850"/>
    <m/>
    <m/>
    <n v="22776734"/>
    <m/>
    <m/>
    <m/>
    <s v="SOLFIN"/>
    <s v="SOLFIN"/>
    <s v="CCMS"/>
    <n v="21349868"/>
    <n v="20942.09"/>
    <m/>
    <s v="N"/>
    <n v="56"/>
    <d v="2023-07-10T19:02:00"/>
    <s v="N"/>
    <s v="Advocacy - In court behind counsel"/>
    <s v="Care Remuneration Hourly Rates"/>
    <s v="Advocacy"/>
    <s v="LN"/>
    <s v="N"/>
    <n v="22.05"/>
    <n v="4.41"/>
    <x v="2"/>
    <s v="VALIDATED"/>
    <n v="1"/>
    <s v="01.11.80.308.6100.0000"/>
    <n v="22.05"/>
    <s v="11"/>
    <s v="6100"/>
    <n v="14201.69"/>
    <n v="22.05"/>
    <s v="CREDITOR"/>
    <n v="0"/>
    <n v="0"/>
    <n v="0"/>
    <n v="0"/>
    <n v="22.05"/>
  </r>
  <r>
    <n v="60260850"/>
    <s v="N"/>
    <n v="21349868"/>
    <s v="3000014565110032"/>
    <s v="CIVIL"/>
    <d v="2023-06-28T00:00:00"/>
    <d v="2023-07-10T19:01:40"/>
    <m/>
    <d v="2023-07-10T00:00:00"/>
    <n v="413"/>
    <n v="14085"/>
    <s v="60260850"/>
    <s v="60260850"/>
    <m/>
    <m/>
    <n v="22776734"/>
    <m/>
    <m/>
    <m/>
    <s v="SOLFIN"/>
    <s v="SOLFIN"/>
    <s v="CCMS"/>
    <n v="21349868"/>
    <n v="20942.09"/>
    <m/>
    <s v="N"/>
    <n v="184"/>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44"/>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53"/>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95"/>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346"/>
    <d v="2023-07-10T19:02:00"/>
    <s v="Y"/>
    <s v="Routine Letter Out"/>
    <s v="Care Remuneration Hourly Rates"/>
    <s v="Profit Cost"/>
    <s v="LN"/>
    <s v="Y"/>
    <n v="2686.32"/>
    <n v="537.2"/>
    <x v="2"/>
    <s v="VALIDATED"/>
    <n v="1"/>
    <s v="01.11.80.308.6100.0000"/>
    <n v="2686.32"/>
    <s v="11"/>
    <s v="6100"/>
    <n v="14201.69"/>
    <n v="2686.32"/>
    <s v="CREDITOR"/>
    <n v="0"/>
    <n v="0"/>
    <n v="0"/>
    <n v="0"/>
    <n v="2686.32"/>
  </r>
  <r>
    <n v="60260850"/>
    <s v="N"/>
    <n v="21349868"/>
    <s v="3000014565110032"/>
    <s v="CIVIL"/>
    <d v="2023-06-28T00:00:00"/>
    <d v="2023-07-10T19:01:40"/>
    <m/>
    <d v="2023-07-10T00:00:00"/>
    <n v="413"/>
    <n v="14085"/>
    <s v="60260850"/>
    <s v="60260850"/>
    <m/>
    <m/>
    <n v="22776734"/>
    <m/>
    <m/>
    <m/>
    <s v="SOLFIN"/>
    <s v="SOLFIN"/>
    <s v="CCMS"/>
    <n v="21349868"/>
    <n v="20942.09"/>
    <m/>
    <s v="N"/>
    <n v="26"/>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53"/>
    <d v="2023-07-10T19:02:00"/>
    <s v="N"/>
    <s v="Preparation - other"/>
    <s v="Care Remuneration Hourly Rates"/>
    <s v="Profit Cost"/>
    <s v="LN"/>
    <s v="N"/>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136"/>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47"/>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15"/>
    <d v="2023-07-10T19:02:00"/>
    <s v="Y"/>
    <s v="Preparation - other"/>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103"/>
    <d v="2023-07-10T19:02:00"/>
    <s v="N"/>
    <s v="Preparation - other"/>
    <s v="Care Remuneration Hourly Rates"/>
    <s v="Profit Cost"/>
    <s v="LN"/>
    <s v="N"/>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294"/>
    <d v="2023-07-10T19:02:00"/>
    <s v="Y"/>
    <s v="Preparation - other"/>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206"/>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43"/>
    <d v="2023-07-10T19:02:00"/>
    <s v="Y"/>
    <s v="Preparation - drafting bill/claim f"/>
    <s v="Care Remuneration Hourly Rates"/>
    <s v="Profit Cost"/>
    <s v="CD"/>
    <s v="Y"/>
    <n v="788.55"/>
    <n v="157.69"/>
    <x v="2"/>
    <s v="VALIDATED"/>
    <n v="1"/>
    <s v="01.11.80.308.6100.0000"/>
    <n v="788.55"/>
    <s v="11"/>
    <s v="6100"/>
    <n v="14201.69"/>
    <n v="788.55"/>
    <s v="CREDITOR"/>
    <n v="0"/>
    <n v="0"/>
    <n v="0"/>
    <n v="0"/>
    <n v="788.55"/>
  </r>
  <r>
    <n v="60260850"/>
    <s v="N"/>
    <n v="21349868"/>
    <s v="3000014565110032"/>
    <s v="CIVIL"/>
    <d v="2023-06-28T00:00:00"/>
    <d v="2023-07-10T19:01:40"/>
    <m/>
    <d v="2023-07-10T00:00:00"/>
    <n v="413"/>
    <n v="14085"/>
    <s v="60260850"/>
    <s v="60260850"/>
    <m/>
    <m/>
    <n v="22776734"/>
    <m/>
    <m/>
    <m/>
    <s v="SOLFIN"/>
    <s v="SOLFIN"/>
    <s v="CCMS"/>
    <n v="21349868"/>
    <n v="20942.09"/>
    <m/>
    <s v="N"/>
    <n v="320"/>
    <d v="2023-07-10T19:02:00"/>
    <s v="Y"/>
    <s v="Preparation - other"/>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353"/>
    <d v="2023-07-10T19:02:00"/>
    <s v="Y"/>
    <s v="Toxicologist"/>
    <s v="Care Remuneration Hourly Rates"/>
    <s v="Expert Disbursement"/>
    <s v="LN"/>
    <s v="Y"/>
    <n v="281.75"/>
    <n v="56.34"/>
    <x v="2"/>
    <s v="VALIDATED"/>
    <n v="1"/>
    <s v="01.11.80.308.6300.0000"/>
    <n v="281.75"/>
    <s v="11"/>
    <s v="6300"/>
    <n v="14201.69"/>
    <n v="281.75"/>
    <s v="CREDITOR"/>
    <n v="0"/>
    <n v="0"/>
    <n v="0"/>
    <n v="0"/>
    <n v="281.75"/>
  </r>
  <r>
    <n v="60260850"/>
    <s v="N"/>
    <n v="21349868"/>
    <s v="3000014565110032"/>
    <s v="CIVIL"/>
    <d v="2023-06-28T00:00:00"/>
    <d v="2023-07-10T19:01:40"/>
    <m/>
    <d v="2023-07-10T00:00:00"/>
    <n v="413"/>
    <n v="14085"/>
    <s v="60260850"/>
    <s v="60260850"/>
    <m/>
    <m/>
    <n v="22776734"/>
    <m/>
    <m/>
    <m/>
    <s v="SOLFIN"/>
    <s v="SOLFIN"/>
    <s v="CCMS"/>
    <n v="21349868"/>
    <n v="20942.09"/>
    <m/>
    <s v="N"/>
    <n v="99"/>
    <d v="2023-07-10T19:02:00"/>
    <s v="N"/>
    <s v="Preparation - other"/>
    <s v="Care Remuneration Hourly Rates"/>
    <s v="Profit Cost"/>
    <s v="LN"/>
    <s v="N"/>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225"/>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49"/>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79"/>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37"/>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04"/>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55"/>
    <d v="2023-07-10T19:02:00"/>
    <s v="Y"/>
    <s v="Geneticist"/>
    <s v="Care Remuneration Hourly Rates"/>
    <s v="Expert Disbursement"/>
    <s v="LN"/>
    <s v="Y"/>
    <n v="1068.75"/>
    <n v="213.72"/>
    <x v="2"/>
    <s v="VALIDATED"/>
    <n v="1"/>
    <s v="01.11.80.308.6300.0000"/>
    <n v="1068.75"/>
    <s v="11"/>
    <s v="6300"/>
    <n v="14201.69"/>
    <n v="1068.75"/>
    <s v="CREDITOR"/>
    <n v="0"/>
    <n v="0"/>
    <n v="0"/>
    <n v="0"/>
    <n v="1068.75"/>
  </r>
  <r>
    <n v="60260850"/>
    <s v="N"/>
    <n v="21349868"/>
    <s v="3000014565110032"/>
    <s v="CIVIL"/>
    <d v="2023-06-28T00:00:00"/>
    <d v="2023-07-10T19:01:40"/>
    <m/>
    <d v="2023-07-10T00:00:00"/>
    <n v="413"/>
    <n v="14085"/>
    <s v="60260850"/>
    <s v="60260850"/>
    <m/>
    <m/>
    <n v="22776734"/>
    <m/>
    <m/>
    <m/>
    <s v="SOLFIN"/>
    <s v="SOLFIN"/>
    <s v="CCMS"/>
    <n v="21349868"/>
    <n v="20942.09"/>
    <m/>
    <s v="N"/>
    <n v="265"/>
    <d v="2023-07-10T19:02:00"/>
    <s v="Y"/>
    <s v="Preparation - other"/>
    <s v="Care Remuneration Hourly Rates"/>
    <s v="Profit Cost"/>
    <s v="LN"/>
    <s v="Y"/>
    <n v="84.11"/>
    <n v="16.82"/>
    <x v="2"/>
    <s v="VALIDATED"/>
    <n v="1"/>
    <s v="01.11.80.308.6100.0000"/>
    <n v="84.11"/>
    <s v="11"/>
    <s v="6100"/>
    <n v="14201.69"/>
    <n v="84.11"/>
    <s v="CREDITOR"/>
    <n v="0"/>
    <n v="0"/>
    <n v="0"/>
    <n v="0"/>
    <n v="84.11"/>
  </r>
  <r>
    <n v="60260850"/>
    <s v="N"/>
    <n v="21349868"/>
    <s v="3000014565110032"/>
    <s v="CIVIL"/>
    <d v="2023-06-28T00:00:00"/>
    <d v="2023-07-10T19:01:40"/>
    <m/>
    <d v="2023-07-10T00:00:00"/>
    <n v="413"/>
    <n v="14085"/>
    <s v="60260850"/>
    <s v="60260850"/>
    <m/>
    <m/>
    <n v="22776734"/>
    <m/>
    <m/>
    <m/>
    <s v="SOLFIN"/>
    <s v="SOLFIN"/>
    <s v="CCMS"/>
    <n v="21349868"/>
    <n v="20942.09"/>
    <m/>
    <s v="N"/>
    <n v="182"/>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0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64"/>
    <d v="2023-07-10T19:02:00"/>
    <s v="N"/>
    <s v="Advocacy - In court behind counsel"/>
    <s v="Care Remuneration Hourly Rates"/>
    <s v="Advocacy"/>
    <s v="LN"/>
    <s v="N"/>
    <n v="20.58"/>
    <n v="4.12"/>
    <x v="2"/>
    <s v="VALIDATED"/>
    <n v="1"/>
    <s v="01.11.80.308.6100.0000"/>
    <n v="20.58"/>
    <s v="11"/>
    <s v="6100"/>
    <n v="14201.69"/>
    <n v="20.58"/>
    <s v="CREDITOR"/>
    <n v="0"/>
    <n v="0"/>
    <n v="0"/>
    <n v="0"/>
    <n v="20.58"/>
  </r>
  <r>
    <n v="60260850"/>
    <s v="N"/>
    <n v="21349868"/>
    <s v="3000014565110032"/>
    <s v="CIVIL"/>
    <d v="2023-06-28T00:00:00"/>
    <d v="2023-07-10T19:01:40"/>
    <m/>
    <d v="2023-07-10T00:00:00"/>
    <n v="413"/>
    <n v="14085"/>
    <s v="60260850"/>
    <s v="60260850"/>
    <m/>
    <m/>
    <n v="22776734"/>
    <m/>
    <m/>
    <m/>
    <s v="SOLFIN"/>
    <s v="SOLFIN"/>
    <s v="CCMS"/>
    <n v="21349868"/>
    <n v="20942.09"/>
    <m/>
    <s v="N"/>
    <n v="51"/>
    <d v="2023-07-10T19:02:00"/>
    <s v="N"/>
    <s v="Preparation - other"/>
    <s v="Care Remuneration Hourly Rates"/>
    <s v="Profit Cost"/>
    <s v="LN"/>
    <s v="N"/>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92"/>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70"/>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349"/>
    <d v="2023-07-10T19:02:00"/>
    <s v="Y"/>
    <s v="Court Fee"/>
    <s v="Care Remuneration Hourly Rates"/>
    <s v="Non Expert Disbursement"/>
    <s v="LN"/>
    <s v="Y"/>
    <n v="167"/>
    <n v="0"/>
    <x v="2"/>
    <s v="VALIDATED"/>
    <n v="1"/>
    <s v="01.11.80.308.6300.0000"/>
    <n v="167"/>
    <s v="11"/>
    <s v="6300"/>
    <n v="14201.69"/>
    <n v="167"/>
    <s v="CREDITOR"/>
    <n v="0"/>
    <n v="0"/>
    <n v="0"/>
    <n v="0"/>
    <n v="167"/>
  </r>
  <r>
    <n v="60260850"/>
    <s v="N"/>
    <n v="21349868"/>
    <s v="3000014565110032"/>
    <s v="CIVIL"/>
    <d v="2023-06-28T00:00:00"/>
    <d v="2023-07-10T19:01:40"/>
    <m/>
    <d v="2023-07-10T00:00:00"/>
    <n v="413"/>
    <n v="14085"/>
    <s v="60260850"/>
    <s v="60260850"/>
    <m/>
    <m/>
    <n v="22776734"/>
    <m/>
    <m/>
    <m/>
    <s v="SOLFIN"/>
    <s v="SOLFIN"/>
    <s v="CCMS"/>
    <n v="21349868"/>
    <n v="20942.09"/>
    <m/>
    <s v="N"/>
    <n v="268"/>
    <d v="2023-07-10T19:02:00"/>
    <s v="Y"/>
    <s v="Preparation - other"/>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272"/>
    <d v="2023-07-10T19:02:00"/>
    <s v="Y"/>
    <s v="Preparation - other"/>
    <s v="Care Remuneration Hourly Rates"/>
    <s v="Profit Cost"/>
    <s v="LN"/>
    <s v="Y"/>
    <n v="192.76"/>
    <n v="38.55"/>
    <x v="2"/>
    <s v="VALIDATED"/>
    <n v="1"/>
    <s v="01.11.80.308.6100.0000"/>
    <n v="192.76"/>
    <s v="11"/>
    <s v="6100"/>
    <n v="14201.69"/>
    <n v="192.76"/>
    <s v="CREDITOR"/>
    <n v="0"/>
    <n v="0"/>
    <n v="0"/>
    <n v="0"/>
    <n v="192.76"/>
  </r>
  <r>
    <n v="60260850"/>
    <s v="N"/>
    <n v="21349868"/>
    <s v="3000014565110032"/>
    <s v="CIVIL"/>
    <d v="2023-06-28T00:00:00"/>
    <d v="2023-07-10T19:01:40"/>
    <m/>
    <d v="2023-07-10T00:00:00"/>
    <n v="413"/>
    <n v="14085"/>
    <s v="60260850"/>
    <s v="60260850"/>
    <m/>
    <m/>
    <n v="22776734"/>
    <m/>
    <m/>
    <m/>
    <s v="SOLFIN"/>
    <s v="SOLFIN"/>
    <s v="CCMS"/>
    <n v="21349868"/>
    <n v="20942.09"/>
    <m/>
    <s v="N"/>
    <n v="365"/>
    <d v="2023-07-10T19:02:00"/>
    <s v="Y"/>
    <s v="Toxicologist"/>
    <s v="Care Remuneration Hourly Rates"/>
    <s v="Expert Disbursement"/>
    <s v="LN"/>
    <s v="Y"/>
    <n v="75.75"/>
    <n v="15.15"/>
    <x v="2"/>
    <s v="VALIDATED"/>
    <n v="1"/>
    <s v="01.11.80.308.6300.0000"/>
    <n v="75.75"/>
    <s v="11"/>
    <s v="6300"/>
    <n v="14201.69"/>
    <n v="75.75"/>
    <s v="CREDITOR"/>
    <n v="0"/>
    <n v="0"/>
    <n v="0"/>
    <n v="0"/>
    <n v="75.75"/>
  </r>
  <r>
    <n v="60260850"/>
    <s v="N"/>
    <n v="21349868"/>
    <s v="3000014565110032"/>
    <s v="CIVIL"/>
    <d v="2023-06-28T00:00:00"/>
    <d v="2023-07-10T19:01:40"/>
    <m/>
    <d v="2023-07-10T00:00:00"/>
    <n v="413"/>
    <n v="14085"/>
    <s v="60260850"/>
    <s v="60260850"/>
    <m/>
    <m/>
    <n v="22776734"/>
    <m/>
    <m/>
    <m/>
    <s v="SOLFIN"/>
    <s v="SOLFIN"/>
    <s v="CCMS"/>
    <n v="21349868"/>
    <n v="20942.09"/>
    <m/>
    <s v="N"/>
    <n v="367"/>
    <d v="2023-07-10T19:02:00"/>
    <s v="Y"/>
    <s v="Geneticist"/>
    <s v="Care Remuneration Hourly Rates"/>
    <s v="Expert Disbursement"/>
    <s v="LN"/>
    <s v="Y"/>
    <n v="128.25"/>
    <n v="25.65"/>
    <x v="2"/>
    <s v="VALIDATED"/>
    <n v="1"/>
    <s v="01.11.80.308.6300.0000"/>
    <n v="128.25"/>
    <s v="11"/>
    <s v="6300"/>
    <n v="14201.69"/>
    <n v="128.25"/>
    <s v="CREDITOR"/>
    <n v="0"/>
    <n v="0"/>
    <n v="0"/>
    <n v="0"/>
    <n v="128.25"/>
  </r>
  <r>
    <n v="60260850"/>
    <s v="N"/>
    <n v="21349868"/>
    <s v="3000014565110032"/>
    <s v="CIVIL"/>
    <d v="2023-06-28T00:00:00"/>
    <d v="2023-07-10T19:01:40"/>
    <m/>
    <d v="2023-07-10T00:00:00"/>
    <n v="413"/>
    <n v="14085"/>
    <s v="60260850"/>
    <s v="60260850"/>
    <m/>
    <m/>
    <n v="22776734"/>
    <m/>
    <m/>
    <m/>
    <s v="SOLFIN"/>
    <s v="SOLFIN"/>
    <s v="CCMS"/>
    <n v="21349868"/>
    <n v="20942.09"/>
    <m/>
    <s v="N"/>
    <n v="188"/>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19"/>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36"/>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48"/>
    <d v="2023-07-10T19:02:00"/>
    <s v="N"/>
    <s v="Solicitors Fixed Fee"/>
    <s v="Public Law Children"/>
    <s v="Profit Cost"/>
    <s v="LN"/>
    <s v="N"/>
    <n v="0"/>
    <n v="0"/>
    <x v="2"/>
    <s v="VALIDATED"/>
    <n v="1"/>
    <s v="01.11.80.308.6100.0000"/>
    <n v="0"/>
    <s v="11"/>
    <s v="6100"/>
    <n v="14201.69"/>
    <n v="0"/>
    <s v="CREDITOR"/>
    <n v="0"/>
    <n v="0"/>
    <n v="0"/>
    <n v="0"/>
    <n v="0"/>
  </r>
  <r>
    <n v="60260850"/>
    <s v="N"/>
    <n v="21349868"/>
    <s v="3000014565110032"/>
    <s v="CIVIL"/>
    <d v="2023-06-28T00:00:00"/>
    <d v="2023-07-10T19:01:40"/>
    <m/>
    <d v="2023-07-10T00:00:00"/>
    <n v="413"/>
    <n v="14085"/>
    <s v="60260850"/>
    <s v="60260850"/>
    <m/>
    <m/>
    <n v="22776734"/>
    <m/>
    <m/>
    <m/>
    <s v="SOLFIN"/>
    <s v="SOLFIN"/>
    <s v="CCMS"/>
    <n v="21349868"/>
    <n v="20942.09"/>
    <m/>
    <s v="N"/>
    <n v="33"/>
    <d v="2023-07-10T19:02:00"/>
    <s v="N"/>
    <s v="Preparation - other"/>
    <s v="Care Remuneration Hourly Rates"/>
    <s v="Profit Cost"/>
    <s v="LN"/>
    <s v="N"/>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38"/>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47"/>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45"/>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02"/>
    <d v="2023-07-10T19:02:00"/>
    <s v="N"/>
    <s v="Attendance upon client"/>
    <s v="Care Remuneration Hourly Rates"/>
    <s v="Profit Cost"/>
    <s v="LN"/>
    <s v="N"/>
    <n v="131.43"/>
    <n v="26.28"/>
    <x v="2"/>
    <s v="VALIDATED"/>
    <n v="1"/>
    <s v="01.11.80.308.6100.0000"/>
    <n v="131.43"/>
    <s v="11"/>
    <s v="6100"/>
    <n v="14201.69"/>
    <n v="131.43"/>
    <s v="CREDITOR"/>
    <n v="0"/>
    <n v="0"/>
    <n v="0"/>
    <n v="0"/>
    <n v="131.43"/>
  </r>
  <r>
    <n v="60260850"/>
    <s v="N"/>
    <n v="21349868"/>
    <s v="3000014565110032"/>
    <s v="CIVIL"/>
    <d v="2023-06-28T00:00:00"/>
    <d v="2023-07-10T19:01:40"/>
    <m/>
    <d v="2023-07-10T00:00:00"/>
    <n v="413"/>
    <n v="14085"/>
    <s v="60260850"/>
    <s v="60260850"/>
    <m/>
    <m/>
    <n v="22776734"/>
    <m/>
    <m/>
    <m/>
    <s v="SOLFIN"/>
    <s v="SOLFIN"/>
    <s v="CCMS"/>
    <n v="21349868"/>
    <n v="20942.09"/>
    <m/>
    <s v="N"/>
    <n v="223"/>
    <d v="2023-07-10T19:02:00"/>
    <s v="Y"/>
    <s v="Preparation - drafting instructions"/>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287"/>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0"/>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69"/>
    <d v="2023-07-10T19:02:00"/>
    <s v="Y"/>
    <s v="Radiologist"/>
    <s v="Care Remuneration Hourly Rates"/>
    <s v="Expert Disbursement"/>
    <s v="LN"/>
    <s v="Y"/>
    <n v="168.75"/>
    <n v="0"/>
    <x v="2"/>
    <s v="VALIDATED"/>
    <n v="1"/>
    <s v="01.11.80.308.6300.0000"/>
    <n v="168.75"/>
    <s v="11"/>
    <s v="6300"/>
    <n v="14201.69"/>
    <n v="168.75"/>
    <s v="CREDITOR"/>
    <n v="0"/>
    <n v="0"/>
    <n v="0"/>
    <n v="0"/>
    <n v="168.75"/>
  </r>
  <r>
    <n v="62097866"/>
    <s v="N"/>
    <n v="21338257"/>
    <s v="3000016124670002"/>
    <s v="CIVIL"/>
    <d v="2023-06-28T00:00:00"/>
    <d v="2023-07-06T19:21:01"/>
    <m/>
    <d v="2023-07-06T00:00:00"/>
    <n v="413"/>
    <n v="14085"/>
    <s v="62097866"/>
    <s v="62097866"/>
    <m/>
    <m/>
    <n v="22776720"/>
    <m/>
    <m/>
    <m/>
    <s v="SOLFIN"/>
    <s v="SOLFIN"/>
    <s v="CCMS"/>
    <n v="21338257"/>
    <n v="827.4"/>
    <m/>
    <s v="N"/>
    <n v="2"/>
    <d v="2023-07-06T19:21:14"/>
    <s v="Y"/>
    <s v="Level 4 Fixed Fee"/>
    <s v="Domestic Abuse"/>
    <s v="Profit Cost"/>
    <s v="Zoe Sayer"/>
    <s v="Y"/>
    <n v="507"/>
    <n v="101.4"/>
    <x v="4"/>
    <s v="VALIDATED"/>
    <n v="1"/>
    <s v="01.11.80.302.6100.0000"/>
    <n v="507"/>
    <s v="11"/>
    <s v="6100"/>
    <n v="14201.69"/>
    <n v="507"/>
    <s v="CREDITOR"/>
    <n v="0"/>
    <n v="0"/>
    <n v="0"/>
    <n v="0"/>
    <n v="507"/>
  </r>
  <r>
    <n v="60260850"/>
    <s v="N"/>
    <n v="21349868"/>
    <s v="3000014565110032"/>
    <s v="CIVIL"/>
    <d v="2023-06-28T00:00:00"/>
    <d v="2023-07-10T19:01:40"/>
    <m/>
    <d v="2023-07-10T00:00:00"/>
    <n v="413"/>
    <n v="14085"/>
    <s v="60260850"/>
    <s v="60260850"/>
    <m/>
    <m/>
    <n v="22776734"/>
    <m/>
    <m/>
    <m/>
    <s v="SOLFIN"/>
    <s v="SOLFIN"/>
    <s v="CCMS"/>
    <n v="21349868"/>
    <n v="20942.09"/>
    <m/>
    <s v="N"/>
    <n v="275"/>
    <d v="2023-07-10T19:02:00"/>
    <s v="Y"/>
    <s v="Attendance upon client"/>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283"/>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1"/>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46"/>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55"/>
    <d v="2023-07-10T19:02:00"/>
    <s v="Y"/>
    <s v="Preparation - other"/>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19"/>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99"/>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14"/>
    <d v="2023-07-10T19:02:00"/>
    <s v="Y"/>
    <s v="Attendance upon client"/>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7"/>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7"/>
    <d v="2023-07-10T19:02:00"/>
    <s v="N"/>
    <s v="Preparation - other"/>
    <s v="Care Remuneration Hourly Rates"/>
    <s v="Profit Cost"/>
    <s v="LN"/>
    <s v="N"/>
    <n v="36.8"/>
    <n v="7.36"/>
    <x v="2"/>
    <s v="VALIDATED"/>
    <n v="1"/>
    <s v="01.11.80.308.6100.0000"/>
    <n v="36.8"/>
    <s v="11"/>
    <s v="6100"/>
    <n v="14201.69"/>
    <n v="36.8"/>
    <s v="CREDITOR"/>
    <n v="0"/>
    <n v="0"/>
    <n v="0"/>
    <n v="0"/>
    <n v="36.8"/>
  </r>
  <r>
    <n v="60260850"/>
    <s v="N"/>
    <n v="21349868"/>
    <s v="3000014565110032"/>
    <s v="CIVIL"/>
    <d v="2023-06-28T00:00:00"/>
    <d v="2023-07-10T19:01:40"/>
    <m/>
    <d v="2023-07-10T00:00:00"/>
    <n v="413"/>
    <n v="14085"/>
    <s v="60260850"/>
    <s v="60260850"/>
    <m/>
    <m/>
    <n v="22776734"/>
    <m/>
    <m/>
    <m/>
    <s v="SOLFIN"/>
    <s v="SOLFIN"/>
    <s v="CCMS"/>
    <n v="21349868"/>
    <n v="20942.09"/>
    <m/>
    <s v="N"/>
    <n v="228"/>
    <d v="2023-07-10T19:02:00"/>
    <s v="Y"/>
    <s v="Preparation - other"/>
    <s v="Care Remuneration Hourly Rates"/>
    <s v="Profit Cost"/>
    <s v="LN"/>
    <s v="Y"/>
    <n v="47.31"/>
    <n v="9.460000000000001"/>
    <x v="2"/>
    <s v="VALIDATED"/>
    <n v="1"/>
    <s v="01.11.80.308.6100.0000"/>
    <n v="47.31"/>
    <s v="11"/>
    <s v="6100"/>
    <n v="14201.69"/>
    <n v="47.31"/>
    <s v="CREDITOR"/>
    <n v="0"/>
    <n v="0"/>
    <n v="0"/>
    <n v="0"/>
    <n v="47.31"/>
  </r>
  <r>
    <n v="60260850"/>
    <s v="N"/>
    <n v="21349868"/>
    <s v="3000014565110032"/>
    <s v="CIVIL"/>
    <d v="2023-06-28T00:00:00"/>
    <d v="2023-07-10T19:01:40"/>
    <m/>
    <d v="2023-07-10T00:00:00"/>
    <n v="413"/>
    <n v="14085"/>
    <s v="60260850"/>
    <s v="60260850"/>
    <m/>
    <m/>
    <n v="22776734"/>
    <m/>
    <m/>
    <m/>
    <s v="SOLFIN"/>
    <s v="SOLFIN"/>
    <s v="CCMS"/>
    <n v="21349868"/>
    <n v="20942.09"/>
    <m/>
    <s v="N"/>
    <n v="308"/>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85"/>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74"/>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07"/>
    <d v="2023-07-10T19:02:00"/>
    <s v="Y"/>
    <s v="Attendance upon client"/>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31"/>
    <d v="2023-07-10T19:02:00"/>
    <s v="N"/>
    <s v="Preparation - other"/>
    <s v="Care Remuneration Hourly Rates"/>
    <s v="Profit Cost"/>
    <s v="LN"/>
    <s v="N"/>
    <n v="36.8"/>
    <n v="7.36"/>
    <x v="2"/>
    <s v="VALIDATED"/>
    <n v="1"/>
    <s v="01.11.80.308.6100.0000"/>
    <n v="36.8"/>
    <s v="11"/>
    <s v="6100"/>
    <n v="14201.69"/>
    <n v="36.8"/>
    <s v="CREDITOR"/>
    <n v="0"/>
    <n v="0"/>
    <n v="0"/>
    <n v="0"/>
    <n v="36.8"/>
  </r>
  <r>
    <n v="60260850"/>
    <s v="N"/>
    <n v="21349868"/>
    <s v="3000014565110032"/>
    <s v="CIVIL"/>
    <d v="2023-06-28T00:00:00"/>
    <d v="2023-07-10T19:01:40"/>
    <m/>
    <d v="2023-07-10T00:00:00"/>
    <n v="413"/>
    <n v="14085"/>
    <s v="60260850"/>
    <s v="60260850"/>
    <m/>
    <m/>
    <n v="22776734"/>
    <m/>
    <m/>
    <m/>
    <s v="SOLFIN"/>
    <s v="SOLFIN"/>
    <s v="CCMS"/>
    <n v="21349868"/>
    <n v="20942.09"/>
    <m/>
    <s v="N"/>
    <n v="82"/>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25"/>
    <d v="2023-07-10T19:02:00"/>
    <s v="Y"/>
    <s v="Attendance upon client"/>
    <s v="Care Remuneration Hourly Rates"/>
    <s v="Profit Cost"/>
    <s v="LN"/>
    <s v="Y"/>
    <n v="105.14"/>
    <n v="21.03"/>
    <x v="2"/>
    <s v="VALIDATED"/>
    <n v="1"/>
    <s v="01.11.80.308.6100.0000"/>
    <n v="105.14"/>
    <s v="11"/>
    <s v="6100"/>
    <n v="14201.69"/>
    <n v="105.14"/>
    <s v="CREDITOR"/>
    <n v="0"/>
    <n v="0"/>
    <n v="0"/>
    <n v="0"/>
    <n v="105.14"/>
  </r>
  <r>
    <n v="60260850"/>
    <s v="N"/>
    <n v="21349868"/>
    <s v="3000014565110032"/>
    <s v="CIVIL"/>
    <d v="2023-06-28T00:00:00"/>
    <d v="2023-07-10T19:01:40"/>
    <m/>
    <d v="2023-07-10T00:00:00"/>
    <n v="413"/>
    <n v="14085"/>
    <s v="60260850"/>
    <s v="60260850"/>
    <m/>
    <m/>
    <n v="22776734"/>
    <m/>
    <m/>
    <m/>
    <s v="SOLFIN"/>
    <s v="SOLFIN"/>
    <s v="CCMS"/>
    <n v="21349868"/>
    <n v="20942.09"/>
    <m/>
    <s v="N"/>
    <n v="76"/>
    <d v="2023-07-10T19:02:00"/>
    <s v="N"/>
    <s v="Attendance upon client"/>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61"/>
    <d v="2023-07-10T19:02:00"/>
    <s v="Y"/>
    <s v="Preparation - other"/>
    <s v="Care Remuneration Hourly Rates"/>
    <s v="Profit Cost"/>
    <s v="LN"/>
    <s v="Y"/>
    <n v="105.14"/>
    <n v="21.03"/>
    <x v="2"/>
    <s v="VALIDATED"/>
    <n v="1"/>
    <s v="01.11.80.308.6100.0000"/>
    <n v="105.14"/>
    <s v="11"/>
    <s v="6100"/>
    <n v="14201.69"/>
    <n v="105.14"/>
    <s v="CREDITOR"/>
    <n v="0"/>
    <n v="0"/>
    <n v="0"/>
    <n v="0"/>
    <n v="105.14"/>
  </r>
  <r>
    <n v="60260850"/>
    <s v="N"/>
    <n v="21349868"/>
    <s v="3000014565110032"/>
    <s v="CIVIL"/>
    <d v="2023-06-28T00:00:00"/>
    <d v="2023-07-10T19:01:40"/>
    <m/>
    <d v="2023-07-10T00:00:00"/>
    <n v="413"/>
    <n v="14085"/>
    <s v="60260850"/>
    <s v="60260850"/>
    <m/>
    <m/>
    <n v="22776734"/>
    <m/>
    <m/>
    <m/>
    <s v="SOLFIN"/>
    <s v="SOLFIN"/>
    <s v="CCMS"/>
    <n v="21349868"/>
    <n v="20942.09"/>
    <m/>
    <s v="N"/>
    <n v="5"/>
    <d v="2023-07-10T19:02:00"/>
    <s v="N"/>
    <s v="Preparation - other"/>
    <s v="Care Remuneration Hourly Rates"/>
    <s v="Profit Cost"/>
    <s v="LN"/>
    <s v="N"/>
    <n v="21.03"/>
    <n v="4.21"/>
    <x v="2"/>
    <s v="VALIDATED"/>
    <n v="1"/>
    <s v="01.11.80.308.6100.0000"/>
    <n v="21.03"/>
    <s v="11"/>
    <s v="6100"/>
    <n v="14201.69"/>
    <n v="21.03"/>
    <s v="CREDITOR"/>
    <n v="0"/>
    <n v="0"/>
    <n v="0"/>
    <n v="0"/>
    <n v="21.03"/>
  </r>
  <r>
    <n v="61946760"/>
    <s v="N"/>
    <n v="21321870"/>
    <s v="3000015903700001"/>
    <s v="CIVIL"/>
    <d v="2023-06-28T00:00:00"/>
    <d v="2023-07-03T19:05:17"/>
    <m/>
    <d v="2023-07-03T00:00:00"/>
    <n v="413"/>
    <n v="14085"/>
    <s v="61946760"/>
    <s v="61946760"/>
    <m/>
    <m/>
    <n v="22783748"/>
    <m/>
    <m/>
    <m/>
    <s v="SOLPOA"/>
    <s v="SOLPOA"/>
    <s v="CCMS"/>
    <n v="21321870"/>
    <n v="674.04"/>
    <m/>
    <s v="N"/>
    <n v="1"/>
    <d v="2023-07-03T19:05:21"/>
    <s v="N"/>
    <s v="Expert Cost - Private Law Children"/>
    <s v="Expert Cost - Private Law Chil"/>
    <s v="Expert Disbursement"/>
    <s v="Lucy Nash"/>
    <s v="N"/>
    <n v="561.7"/>
    <n v="112.34"/>
    <x v="3"/>
    <s v="VALIDATED"/>
    <n v="1"/>
    <s v="01.11.80.307.2012.0000"/>
    <n v="561.7"/>
    <s v="11"/>
    <s v="2012"/>
    <n v="14201.69"/>
    <n v="561.7"/>
    <s v="CREDITOR"/>
    <n v="561.7"/>
    <n v="0"/>
    <n v="0"/>
    <n v="0"/>
    <n v="0"/>
  </r>
  <r>
    <n v="60260850"/>
    <s v="N"/>
    <n v="21349868"/>
    <s v="3000014565110032"/>
    <s v="CIVIL"/>
    <d v="2023-06-28T00:00:00"/>
    <d v="2023-07-10T19:01:40"/>
    <m/>
    <d v="2023-07-10T00:00:00"/>
    <n v="413"/>
    <n v="14085"/>
    <s v="60260850"/>
    <s v="60260850"/>
    <m/>
    <m/>
    <n v="22776734"/>
    <m/>
    <m/>
    <m/>
    <s v="SOLFIN"/>
    <s v="SOLFIN"/>
    <s v="CCMS"/>
    <n v="21349868"/>
    <n v="20942.09"/>
    <m/>
    <s v="N"/>
    <n v="269"/>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50"/>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17"/>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324"/>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53"/>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78"/>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42"/>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88"/>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5"/>
    <d v="2023-07-10T19:02:00"/>
    <s v="N"/>
    <s v="Preparation - other"/>
    <s v="Care Remuneration Hourly Rates"/>
    <s v="Profit Cost"/>
    <s v="LN"/>
    <s v="N"/>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173"/>
    <d v="2023-07-10T19:02:00"/>
    <s v="Y"/>
    <s v="Attendance upon client"/>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41"/>
    <d v="2023-07-10T19:02:00"/>
    <s v="Y"/>
    <s v="Preparation - other"/>
    <s v="Care Remuneration Hourly Rates"/>
    <s v="Profit Cost"/>
    <s v="LN"/>
    <s v="Y"/>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356"/>
    <d v="2023-07-10T19:02:00"/>
    <s v="Y"/>
    <s v="Telecoms expert"/>
    <s v="Care Remuneration Hourly Rates"/>
    <s v="Expert Disbursement"/>
    <s v="LN"/>
    <s v="Y"/>
    <n v="180"/>
    <n v="36"/>
    <x v="2"/>
    <s v="VALIDATED"/>
    <n v="1"/>
    <s v="01.11.80.308.6300.0000"/>
    <n v="180"/>
    <s v="11"/>
    <s v="6300"/>
    <n v="14201.69"/>
    <n v="180"/>
    <s v="CREDITOR"/>
    <n v="0"/>
    <n v="0"/>
    <n v="0"/>
    <n v="0"/>
    <n v="180"/>
  </r>
  <r>
    <n v="60260850"/>
    <s v="N"/>
    <n v="21349868"/>
    <s v="3000014565110032"/>
    <s v="CIVIL"/>
    <d v="2023-06-28T00:00:00"/>
    <d v="2023-07-10T19:01:40"/>
    <m/>
    <d v="2023-07-10T00:00:00"/>
    <n v="413"/>
    <n v="14085"/>
    <s v="60260850"/>
    <s v="60260850"/>
    <m/>
    <m/>
    <n v="22776734"/>
    <m/>
    <m/>
    <m/>
    <s v="SOLFIN"/>
    <s v="SOLFIN"/>
    <s v="CCMS"/>
    <n v="21349868"/>
    <n v="20942.09"/>
    <m/>
    <s v="N"/>
    <n v="148"/>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4"/>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78"/>
    <d v="2023-07-10T19:02:00"/>
    <s v="Y"/>
    <s v="Preparation - drafting instructions"/>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17"/>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285"/>
    <d v="2023-07-10T19:02:00"/>
    <s v="Y"/>
    <s v="Preparation - other"/>
    <s v="Care Remuneration Hourly Rates"/>
    <s v="Profit Cost"/>
    <s v="LN"/>
    <s v="Y"/>
    <n v="141.94"/>
    <n v="28.38"/>
    <x v="2"/>
    <s v="VALIDATED"/>
    <n v="1"/>
    <s v="01.11.80.308.6100.0000"/>
    <n v="141.94"/>
    <s v="11"/>
    <s v="6100"/>
    <n v="14201.69"/>
    <n v="141.94"/>
    <s v="CREDITOR"/>
    <n v="0"/>
    <n v="0"/>
    <n v="0"/>
    <n v="0"/>
    <n v="141.94"/>
  </r>
  <r>
    <n v="60260850"/>
    <s v="N"/>
    <n v="21349868"/>
    <s v="3000014565110032"/>
    <s v="CIVIL"/>
    <d v="2023-06-28T00:00:00"/>
    <d v="2023-07-10T19:01:40"/>
    <m/>
    <d v="2023-07-10T00:00:00"/>
    <n v="413"/>
    <n v="14085"/>
    <s v="60260850"/>
    <s v="60260850"/>
    <m/>
    <m/>
    <n v="22776734"/>
    <m/>
    <m/>
    <m/>
    <s v="SOLFIN"/>
    <s v="SOLFIN"/>
    <s v="CCMS"/>
    <n v="21349868"/>
    <n v="20942.09"/>
    <m/>
    <s v="N"/>
    <n v="110"/>
    <d v="2023-07-10T19:02:00"/>
    <s v="Y"/>
    <s v="Attendance upon/with Counsel at Con"/>
    <s v="Care Remuneration Hourly Rates"/>
    <s v="Profit Cost"/>
    <s v="LN"/>
    <s v="Y"/>
    <n v="14.7"/>
    <n v="2.94"/>
    <x v="2"/>
    <s v="VALIDATED"/>
    <n v="1"/>
    <s v="01.11.80.308.6100.0000"/>
    <n v="14.7"/>
    <s v="11"/>
    <s v="6100"/>
    <n v="14201.69"/>
    <n v="14.7"/>
    <s v="CREDITOR"/>
    <n v="0"/>
    <n v="0"/>
    <n v="0"/>
    <n v="0"/>
    <n v="14.7"/>
  </r>
  <r>
    <n v="60260850"/>
    <s v="N"/>
    <n v="21349868"/>
    <s v="3000014565110032"/>
    <s v="CIVIL"/>
    <d v="2023-06-28T00:00:00"/>
    <d v="2023-07-10T19:01:40"/>
    <m/>
    <d v="2023-07-10T00:00:00"/>
    <n v="413"/>
    <n v="14085"/>
    <s v="60260850"/>
    <s v="60260850"/>
    <m/>
    <m/>
    <n v="22776734"/>
    <m/>
    <m/>
    <m/>
    <s v="SOLFIN"/>
    <s v="SOLFIN"/>
    <s v="CCMS"/>
    <n v="21349868"/>
    <n v="20942.09"/>
    <m/>
    <s v="N"/>
    <n v="6"/>
    <d v="2023-07-10T19:02:00"/>
    <s v="N"/>
    <s v="Preparation - other"/>
    <s v="Care Remuneration Hourly Rates"/>
    <s v="Profit Cost"/>
    <s v="LN"/>
    <s v="N"/>
    <n v="21.03"/>
    <n v="4.21"/>
    <x v="2"/>
    <s v="VALIDATED"/>
    <n v="1"/>
    <s v="01.11.80.308.6100.0000"/>
    <n v="21.03"/>
    <s v="11"/>
    <s v="6100"/>
    <n v="14201.69"/>
    <n v="21.03"/>
    <s v="CREDITOR"/>
    <n v="0"/>
    <n v="0"/>
    <n v="0"/>
    <n v="0"/>
    <n v="21.03"/>
  </r>
  <r>
    <n v="61573572"/>
    <s v="N"/>
    <n v="21338263"/>
    <s v="3000015686760003"/>
    <s v="CIVIL"/>
    <d v="2023-06-28T00:00:00"/>
    <d v="2023-07-06T19:21:01"/>
    <m/>
    <d v="2023-07-06T00:00:00"/>
    <n v="413"/>
    <n v="14085"/>
    <s v="61573572"/>
    <s v="61573572"/>
    <m/>
    <m/>
    <n v="22776764"/>
    <m/>
    <m/>
    <m/>
    <s v="SOLFIN"/>
    <s v="SOLFIN"/>
    <s v="CCMS"/>
    <n v="21338263"/>
    <n v="1263.86"/>
    <m/>
    <s v="N"/>
    <n v="1"/>
    <d v="2023-07-06T19:21:14"/>
    <s v="Y"/>
    <s v="Solicitor Travel Expenses"/>
    <s v="Private Law Children"/>
    <s v="Non Expert Disbursement"/>
    <s v="Zoe Sayer"/>
    <s v="Y"/>
    <n v="3.33"/>
    <n v="0.67"/>
    <x v="4"/>
    <s v="VALIDATED"/>
    <n v="1"/>
    <s v="01.11.80.302.6300.0000"/>
    <n v="3.33"/>
    <s v="11"/>
    <s v="6300"/>
    <n v="14201.69"/>
    <n v="3.33"/>
    <s v="CREDITOR"/>
    <n v="0"/>
    <n v="0"/>
    <n v="0"/>
    <n v="0"/>
    <n v="3.33"/>
  </r>
  <r>
    <n v="61966996"/>
    <s v="N"/>
    <n v="21327677"/>
    <s v="3000016014780003"/>
    <s v="CIVIL"/>
    <d v="2023-06-26T00:00:00"/>
    <d v="2023-07-04T19:00:44"/>
    <m/>
    <d v="2023-07-04T00:00:00"/>
    <n v="413"/>
    <n v="14085"/>
    <s v="61966996"/>
    <s v="61966996"/>
    <m/>
    <m/>
    <n v="22757456"/>
    <m/>
    <m/>
    <m/>
    <s v="SOLFIN"/>
    <s v="SOLFIN"/>
    <s v="CCMS"/>
    <n v="21327677"/>
    <n v="1548.21"/>
    <m/>
    <s v="N"/>
    <n v="1"/>
    <d v="2023-07-04T19:00:52"/>
    <s v="Y"/>
    <s v="Process server"/>
    <s v="Domestic Abuse"/>
    <s v="Expert Disbursement"/>
    <s v="EQ"/>
    <s v="Y"/>
    <n v="218.25"/>
    <n v="43.65"/>
    <x v="1"/>
    <s v="VALIDATED"/>
    <n v="1"/>
    <s v="01.11.80.302.6300.0000"/>
    <n v="218.25"/>
    <s v="11"/>
    <s v="6300"/>
    <n v="14201.69"/>
    <n v="218.25"/>
    <s v="CREDITOR"/>
    <n v="0"/>
    <n v="0"/>
    <n v="0"/>
    <n v="0"/>
    <n v="218.25"/>
  </r>
  <r>
    <n v="60260850"/>
    <s v="N"/>
    <n v="21349868"/>
    <s v="3000014565110032"/>
    <s v="CIVIL"/>
    <d v="2023-06-28T00:00:00"/>
    <d v="2023-07-10T19:01:40"/>
    <m/>
    <d v="2023-07-10T00:00:00"/>
    <n v="413"/>
    <n v="14085"/>
    <s v="60260850"/>
    <s v="60260850"/>
    <m/>
    <m/>
    <n v="22776734"/>
    <m/>
    <m/>
    <m/>
    <s v="SOLFIN"/>
    <s v="SOLFIN"/>
    <s v="CCMS"/>
    <n v="21349868"/>
    <n v="20942.09"/>
    <m/>
    <s v="N"/>
    <n v="183"/>
    <d v="2023-07-10T19:02:00"/>
    <s v="Y"/>
    <s v="Preparation - other"/>
    <s v="Care Remuneration Hourly Rates"/>
    <s v="Profit Cost"/>
    <s v="LN"/>
    <s v="Y"/>
    <n v="15.77"/>
    <n v="3.15"/>
    <x v="2"/>
    <s v="VALIDATED"/>
    <n v="1"/>
    <s v="01.11.80.308.6100.0000"/>
    <n v="15.77"/>
    <s v="11"/>
    <s v="6100"/>
    <n v="14201.69"/>
    <n v="15.77"/>
    <s v="CREDITOR"/>
    <n v="0"/>
    <n v="0"/>
    <n v="0"/>
    <n v="0"/>
    <n v="15.77"/>
  </r>
  <r>
    <n v="62190137"/>
    <s v="N"/>
    <n v="21318343"/>
    <s v="3000016200790003"/>
    <s v="CIVIL"/>
    <d v="2023-06-22T00:00:00"/>
    <d v="2023-07-03T19:01:49"/>
    <m/>
    <d v="2023-07-03T00:00:00"/>
    <n v="413"/>
    <n v="14085"/>
    <s v="62190137"/>
    <s v="62190137"/>
    <m/>
    <m/>
    <n v="22744488"/>
    <m/>
    <m/>
    <m/>
    <s v="SOLFIN"/>
    <s v="SOLFIN"/>
    <s v="CCMS"/>
    <n v="21318343"/>
    <n v="1304.65"/>
    <m/>
    <s v="N"/>
    <n v="1"/>
    <d v="2023-07-03T19:01:54"/>
    <s v="Y"/>
    <s v="Exceptional Travel"/>
    <s v="Domestic Abuse"/>
    <s v="Advocacy"/>
    <s v="SM"/>
    <s v="Y"/>
    <n v="32.04"/>
    <n v="6.41"/>
    <x v="3"/>
    <s v="VALIDATED"/>
    <n v="1"/>
    <s v="01.11.80.302.6100.0000"/>
    <n v="32.04"/>
    <s v="11"/>
    <s v="6100"/>
    <n v="14201.69"/>
    <n v="32.04"/>
    <s v="CREDITOR"/>
    <n v="0"/>
    <n v="0"/>
    <n v="0"/>
    <n v="0"/>
    <n v="32.04"/>
  </r>
  <r>
    <n v="60260850"/>
    <s v="N"/>
    <n v="21349868"/>
    <s v="3000014565110032"/>
    <s v="CIVIL"/>
    <d v="2023-06-28T00:00:00"/>
    <d v="2023-07-10T19:01:40"/>
    <m/>
    <d v="2023-07-10T00:00:00"/>
    <n v="413"/>
    <n v="14085"/>
    <s v="60260850"/>
    <s v="60260850"/>
    <m/>
    <m/>
    <n v="22776734"/>
    <m/>
    <m/>
    <m/>
    <s v="SOLFIN"/>
    <s v="SOLFIN"/>
    <s v="CCMS"/>
    <n v="21349868"/>
    <n v="20942.09"/>
    <m/>
    <s v="N"/>
    <n v="338"/>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63"/>
    <d v="2023-07-10T19:02:00"/>
    <s v="Y"/>
    <s v="Geneticist"/>
    <s v="Care Remuneration Hourly Rates"/>
    <s v="Expert Disbursement"/>
    <s v="LN"/>
    <s v="Y"/>
    <n v="450"/>
    <n v="89.98999999999999"/>
    <x v="2"/>
    <s v="VALIDATED"/>
    <n v="1"/>
    <s v="01.11.80.308.6300.0000"/>
    <n v="450"/>
    <s v="11"/>
    <s v="6300"/>
    <n v="14201.69"/>
    <n v="450"/>
    <s v="CREDITOR"/>
    <n v="0"/>
    <n v="0"/>
    <n v="0"/>
    <n v="0"/>
    <n v="450"/>
  </r>
  <r>
    <n v="60260850"/>
    <s v="N"/>
    <n v="21349868"/>
    <s v="3000014565110032"/>
    <s v="CIVIL"/>
    <d v="2023-06-28T00:00:00"/>
    <d v="2023-07-10T19:01:40"/>
    <m/>
    <d v="2023-07-10T00:00:00"/>
    <n v="413"/>
    <n v="14085"/>
    <s v="60260850"/>
    <s v="60260850"/>
    <m/>
    <m/>
    <n v="22776734"/>
    <m/>
    <m/>
    <m/>
    <s v="SOLFIN"/>
    <s v="SOLFIN"/>
    <s v="CCMS"/>
    <n v="21349868"/>
    <n v="20942.09"/>
    <m/>
    <s v="N"/>
    <n v="252"/>
    <d v="2023-07-10T19:02:00"/>
    <s v="Y"/>
    <s v="Preparation - drafting instructions"/>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57"/>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00"/>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63"/>
    <d v="2023-07-10T19:02:00"/>
    <s v="Y"/>
    <s v="Preparation - other"/>
    <s v="Care Remuneration Hourly Rates"/>
    <s v="Profit Cost"/>
    <s v="LN"/>
    <s v="Y"/>
    <n v="65.70999999999999"/>
    <n v="13.14"/>
    <x v="2"/>
    <s v="VALIDATED"/>
    <n v="1"/>
    <s v="01.11.80.308.6100.0000"/>
    <n v="65.70999999999999"/>
    <s v="11"/>
    <s v="6100"/>
    <n v="14201.69"/>
    <n v="65.70999999999999"/>
    <s v="CREDITOR"/>
    <n v="0"/>
    <n v="0"/>
    <n v="0"/>
    <n v="0"/>
    <n v="65.70999999999999"/>
  </r>
  <r>
    <n v="60260850"/>
    <s v="N"/>
    <n v="21349868"/>
    <s v="3000014565110032"/>
    <s v="CIVIL"/>
    <d v="2023-06-28T00:00:00"/>
    <d v="2023-07-10T19:01:40"/>
    <m/>
    <d v="2023-07-10T00:00:00"/>
    <n v="413"/>
    <n v="14085"/>
    <s v="60260850"/>
    <s v="60260850"/>
    <m/>
    <m/>
    <n v="22776734"/>
    <m/>
    <m/>
    <m/>
    <s v="SOLFIN"/>
    <s v="SOLFIN"/>
    <s v="CCMS"/>
    <n v="21349868"/>
    <n v="20942.09"/>
    <m/>
    <s v="N"/>
    <n v="108"/>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52"/>
    <d v="2023-07-10T19:02:00"/>
    <s v="Y"/>
    <s v="GP (records report)"/>
    <s v="Care Remuneration Hourly Rates"/>
    <s v="Expert Disbursement"/>
    <s v="LN"/>
    <s v="Y"/>
    <n v="30"/>
    <n v="0"/>
    <x v="2"/>
    <s v="VALIDATED"/>
    <n v="1"/>
    <s v="01.11.80.308.6300.0000"/>
    <n v="30"/>
    <s v="11"/>
    <s v="6300"/>
    <n v="14201.69"/>
    <n v="30"/>
    <s v="CREDITOR"/>
    <n v="0"/>
    <n v="0"/>
    <n v="0"/>
    <n v="0"/>
    <n v="30"/>
  </r>
  <r>
    <n v="60260850"/>
    <s v="N"/>
    <n v="21349868"/>
    <s v="3000014565110032"/>
    <s v="CIVIL"/>
    <d v="2023-06-28T00:00:00"/>
    <d v="2023-07-10T19:01:40"/>
    <m/>
    <d v="2023-07-10T00:00:00"/>
    <n v="413"/>
    <n v="14085"/>
    <s v="60260850"/>
    <s v="60260850"/>
    <m/>
    <m/>
    <n v="22776734"/>
    <m/>
    <m/>
    <m/>
    <s v="SOLFIN"/>
    <s v="SOLFIN"/>
    <s v="CCMS"/>
    <n v="21349868"/>
    <n v="20942.09"/>
    <m/>
    <s v="N"/>
    <n v="180"/>
    <d v="2023-07-10T19:02:00"/>
    <s v="Y"/>
    <s v="Attendance upon client"/>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45"/>
    <d v="2023-07-10T19:02:00"/>
    <s v="Y"/>
    <s v="Routine Telephone Call"/>
    <s v="Care Remuneration Hourly Rates"/>
    <s v="Profit Cost"/>
    <s v="LN"/>
    <s v="Y"/>
    <n v="391.14"/>
    <n v="78.22"/>
    <x v="2"/>
    <s v="VALIDATED"/>
    <n v="1"/>
    <s v="01.11.80.308.6100.0000"/>
    <n v="391.14"/>
    <s v="11"/>
    <s v="6100"/>
    <n v="14201.69"/>
    <n v="391.14"/>
    <s v="CREDITOR"/>
    <n v="0"/>
    <n v="0"/>
    <n v="0"/>
    <n v="0"/>
    <n v="391.14"/>
  </r>
  <r>
    <n v="60260850"/>
    <s v="N"/>
    <n v="21349868"/>
    <s v="3000014565110032"/>
    <s v="CIVIL"/>
    <d v="2023-06-28T00:00:00"/>
    <d v="2023-07-10T19:01:40"/>
    <m/>
    <d v="2023-07-10T00:00:00"/>
    <n v="413"/>
    <n v="14085"/>
    <s v="60260850"/>
    <s v="60260850"/>
    <m/>
    <m/>
    <n v="22776734"/>
    <m/>
    <m/>
    <m/>
    <s v="SOLFIN"/>
    <s v="SOLFIN"/>
    <s v="CCMS"/>
    <n v="21349868"/>
    <n v="20942.09"/>
    <m/>
    <s v="N"/>
    <n v="347"/>
    <d v="2023-07-10T19:02:00"/>
    <s v="Y"/>
    <s v="Routine Letter In"/>
    <s v="Care Remuneration Hourly Rates"/>
    <s v="Profit Cost"/>
    <s v="LN"/>
    <s v="Y"/>
    <n v="1933.25"/>
    <n v="386.6"/>
    <x v="2"/>
    <s v="VALIDATED"/>
    <n v="1"/>
    <s v="01.11.80.308.6100.0000"/>
    <n v="1933.25"/>
    <s v="11"/>
    <s v="6100"/>
    <n v="14201.69"/>
    <n v="1933.25"/>
    <s v="CREDITOR"/>
    <n v="0"/>
    <n v="0"/>
    <n v="0"/>
    <n v="0"/>
    <n v="1933.25"/>
  </r>
  <r>
    <n v="60260850"/>
    <s v="N"/>
    <n v="21349868"/>
    <s v="3000014565110032"/>
    <s v="CIVIL"/>
    <d v="2023-06-28T00:00:00"/>
    <d v="2023-07-10T19:01:40"/>
    <m/>
    <d v="2023-07-10T00:00:00"/>
    <n v="413"/>
    <n v="14085"/>
    <s v="60260850"/>
    <s v="60260850"/>
    <m/>
    <m/>
    <n v="22776734"/>
    <m/>
    <m/>
    <m/>
    <s v="SOLFIN"/>
    <s v="SOLFIN"/>
    <s v="CCMS"/>
    <n v="21349868"/>
    <n v="20942.09"/>
    <m/>
    <s v="N"/>
    <n v="139"/>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2"/>
    <d v="2023-07-10T19:02:00"/>
    <s v="N"/>
    <s v="Preparation - other"/>
    <s v="Care Remuneration Hourly Rates"/>
    <s v="Profit Cost"/>
    <s v="LN"/>
    <s v="N"/>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8"/>
    <d v="2023-07-10T19:02:00"/>
    <s v="N"/>
    <s v="Preparation - drafting instructions"/>
    <s v="Care Remuneration Hourly Rates"/>
    <s v="Profit Cost"/>
    <s v="LN"/>
    <s v="N"/>
    <n v="189.25"/>
    <n v="37.85"/>
    <x v="2"/>
    <s v="VALIDATED"/>
    <n v="1"/>
    <s v="01.11.80.308.6100.0000"/>
    <n v="189.25"/>
    <s v="11"/>
    <s v="6100"/>
    <n v="14201.69"/>
    <n v="189.25"/>
    <s v="CREDITOR"/>
    <n v="0"/>
    <n v="0"/>
    <n v="0"/>
    <n v="0"/>
    <n v="189.25"/>
  </r>
  <r>
    <n v="60260850"/>
    <s v="N"/>
    <n v="21349868"/>
    <s v="3000014565110032"/>
    <s v="CIVIL"/>
    <d v="2023-06-28T00:00:00"/>
    <d v="2023-07-10T19:01:40"/>
    <m/>
    <d v="2023-07-10T00:00:00"/>
    <n v="413"/>
    <n v="14085"/>
    <s v="60260850"/>
    <s v="60260850"/>
    <m/>
    <m/>
    <n v="22776734"/>
    <m/>
    <m/>
    <m/>
    <s v="SOLFIN"/>
    <s v="SOLFIN"/>
    <s v="CCMS"/>
    <n v="21349868"/>
    <n v="20942.09"/>
    <m/>
    <s v="N"/>
    <n v="159"/>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0"/>
    <d v="2023-07-10T19:02:00"/>
    <s v="N"/>
    <s v="Preparation - other"/>
    <s v="Care Remuneration Hourly Rates"/>
    <s v="Profit Cost"/>
    <s v="LN"/>
    <s v="N"/>
    <n v="10.51"/>
    <n v="2.1"/>
    <x v="2"/>
    <s v="VALIDATED"/>
    <n v="1"/>
    <s v="01.11.80.308.6100.0000"/>
    <n v="10.51"/>
    <s v="11"/>
    <s v="6100"/>
    <n v="14201.69"/>
    <n v="10.51"/>
    <s v="CREDITOR"/>
    <n v="0"/>
    <n v="0"/>
    <n v="0"/>
    <n v="0"/>
    <n v="10.51"/>
  </r>
  <r>
    <n v="61573572"/>
    <s v="N"/>
    <n v="21338263"/>
    <s v="3000015686760003"/>
    <s v="CIVIL"/>
    <d v="2023-06-28T00:00:00"/>
    <d v="2023-07-06T19:21:01"/>
    <m/>
    <d v="2023-07-06T00:00:00"/>
    <n v="413"/>
    <n v="14085"/>
    <s v="61573572"/>
    <s v="61573572"/>
    <m/>
    <m/>
    <n v="22776764"/>
    <m/>
    <m/>
    <m/>
    <s v="SOLFIN"/>
    <s v="SOLFIN"/>
    <s v="CCMS"/>
    <n v="21338263"/>
    <n v="1263.86"/>
    <m/>
    <s v="N"/>
    <n v="5"/>
    <d v="2023-07-06T19:21:14"/>
    <s v="Y"/>
    <s v="Level 3 Fixed Fee"/>
    <s v="Private Law Children"/>
    <s v="Profit Cost"/>
    <s v="Zoe Sayer"/>
    <s v="Y"/>
    <n v="353"/>
    <n v="70.59999999999999"/>
    <x v="4"/>
    <s v="VALIDATED"/>
    <n v="1"/>
    <s v="01.11.80.302.6100.0000"/>
    <n v="353"/>
    <s v="11"/>
    <s v="6100"/>
    <n v="14201.69"/>
    <n v="353"/>
    <s v="CREDITOR"/>
    <n v="0"/>
    <n v="0"/>
    <n v="0"/>
    <n v="0"/>
    <n v="353"/>
  </r>
  <r>
    <n v="62085083"/>
    <s v="N"/>
    <n v="21330766"/>
    <s v="3000016114350003"/>
    <s v="CIVIL"/>
    <d v="2023-06-27T00:00:00"/>
    <d v="2023-07-05T19:01:47"/>
    <m/>
    <d v="2023-07-05T00:00:00"/>
    <n v="413"/>
    <n v="14085"/>
    <s v="62085083"/>
    <s v="62085083"/>
    <m/>
    <m/>
    <n v="22768866"/>
    <m/>
    <m/>
    <m/>
    <s v="SOLFIN"/>
    <s v="SOLFIN"/>
    <s v="CCMS"/>
    <n v="21330766"/>
    <n v="423.6"/>
    <m/>
    <s v="N"/>
    <n v="1"/>
    <d v="2023-07-05T19:01:54"/>
    <s v="Y"/>
    <s v="Level 3 Fixed Fee"/>
    <s v="Private Law Children"/>
    <s v="Profit Cost"/>
    <s v="Sarah McDonald"/>
    <s v="Y"/>
    <n v="353"/>
    <n v="70.59999999999999"/>
    <x v="6"/>
    <s v="VALIDATED"/>
    <n v="1"/>
    <s v="01.11.80.302.6100.0000"/>
    <n v="353"/>
    <s v="11"/>
    <s v="6100"/>
    <n v="14201.69"/>
    <n v="353"/>
    <s v="CREDITOR"/>
    <n v="0"/>
    <n v="0"/>
    <n v="0"/>
    <n v="0"/>
    <n v="353"/>
  </r>
  <r>
    <n v="60260850"/>
    <s v="N"/>
    <n v="21349868"/>
    <s v="3000014565110032"/>
    <s v="CIVIL"/>
    <d v="2023-06-28T00:00:00"/>
    <d v="2023-07-10T19:01:40"/>
    <m/>
    <d v="2023-07-10T00:00:00"/>
    <n v="413"/>
    <n v="14085"/>
    <s v="60260850"/>
    <s v="60260850"/>
    <m/>
    <m/>
    <n v="22776734"/>
    <m/>
    <m/>
    <m/>
    <s v="SOLFIN"/>
    <s v="SOLFIN"/>
    <s v="CCMS"/>
    <n v="21349868"/>
    <n v="20942.09"/>
    <m/>
    <s v="N"/>
    <n v="186"/>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207"/>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40"/>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19"/>
    <d v="2023-07-10T19:02:00"/>
    <s v="Y"/>
    <s v="Preparation - drafting instructions"/>
    <s v="Care Remuneration Hourly Rates"/>
    <s v="Profit Cost"/>
    <s v="LN"/>
    <s v="Y"/>
    <n v="105.14"/>
    <n v="21.03"/>
    <x v="2"/>
    <s v="VALIDATED"/>
    <n v="1"/>
    <s v="01.11.80.308.6100.0000"/>
    <n v="105.14"/>
    <s v="11"/>
    <s v="6100"/>
    <n v="14201.69"/>
    <n v="105.14"/>
    <s v="CREDITOR"/>
    <n v="0"/>
    <n v="0"/>
    <n v="0"/>
    <n v="0"/>
    <n v="105.14"/>
  </r>
  <r>
    <n v="60260850"/>
    <s v="N"/>
    <n v="21349868"/>
    <s v="3000014565110032"/>
    <s v="CIVIL"/>
    <d v="2023-06-28T00:00:00"/>
    <d v="2023-07-10T19:01:40"/>
    <m/>
    <d v="2023-07-10T00:00:00"/>
    <n v="413"/>
    <n v="14085"/>
    <s v="60260850"/>
    <s v="60260850"/>
    <m/>
    <m/>
    <n v="22776734"/>
    <m/>
    <m/>
    <m/>
    <s v="SOLFIN"/>
    <s v="SOLFIN"/>
    <s v="CCMS"/>
    <n v="21349868"/>
    <n v="20942.09"/>
    <m/>
    <s v="N"/>
    <n v="29"/>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37"/>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38"/>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50"/>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13"/>
    <d v="2023-07-10T19:02:00"/>
    <s v="Y"/>
    <s v="Preparation - drafting statement"/>
    <s v="Care Remuneration Hourly Rates"/>
    <s v="Profit Cost"/>
    <s v="LN"/>
    <s v="Y"/>
    <n v="131.43"/>
    <n v="26.28"/>
    <x v="2"/>
    <s v="VALIDATED"/>
    <n v="1"/>
    <s v="01.11.80.308.6100.0000"/>
    <n v="131.43"/>
    <s v="11"/>
    <s v="6100"/>
    <n v="14201.69"/>
    <n v="131.43"/>
    <s v="CREDITOR"/>
    <n v="0"/>
    <n v="0"/>
    <n v="0"/>
    <n v="0"/>
    <n v="131.43"/>
  </r>
  <r>
    <n v="60260850"/>
    <s v="N"/>
    <n v="21349868"/>
    <s v="3000014565110032"/>
    <s v="CIVIL"/>
    <d v="2023-06-28T00:00:00"/>
    <d v="2023-07-10T19:01:40"/>
    <m/>
    <d v="2023-07-10T00:00:00"/>
    <n v="413"/>
    <n v="14085"/>
    <s v="60260850"/>
    <s v="60260850"/>
    <m/>
    <m/>
    <n v="22776734"/>
    <m/>
    <m/>
    <m/>
    <s v="SOLFIN"/>
    <s v="SOLFIN"/>
    <s v="CCMS"/>
    <n v="21349868"/>
    <n v="20942.09"/>
    <m/>
    <s v="N"/>
    <n v="158"/>
    <d v="2023-07-10T19:02:00"/>
    <s v="Y"/>
    <s v="Preparation - other"/>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221"/>
    <d v="2023-07-10T19:02:00"/>
    <s v="Y"/>
    <s v="Preparation - other"/>
    <s v="Care Remuneration Hourly Rates"/>
    <s v="Profit Cost"/>
    <s v="LN"/>
    <s v="Y"/>
    <n v="52.57"/>
    <n v="10.51"/>
    <x v="2"/>
    <s v="VALIDATED"/>
    <n v="1"/>
    <s v="01.11.80.308.6100.0000"/>
    <n v="52.57"/>
    <s v="11"/>
    <s v="6100"/>
    <n v="14201.69"/>
    <n v="52.57"/>
    <s v="CREDITOR"/>
    <n v="0"/>
    <n v="0"/>
    <n v="0"/>
    <n v="0"/>
    <n v="52.57"/>
  </r>
  <r>
    <n v="61840377"/>
    <s v="N"/>
    <n v="21343898"/>
    <s v="3000015907640004"/>
    <s v="CIVIL"/>
    <d v="2023-06-28T00:00:00"/>
    <d v="2023-07-07T19:03:00"/>
    <m/>
    <d v="2023-07-07T00:00:00"/>
    <n v="413"/>
    <n v="14085"/>
    <s v="61840377"/>
    <s v="61840377"/>
    <m/>
    <m/>
    <n v="22776806"/>
    <m/>
    <m/>
    <m/>
    <s v="SOLFIN"/>
    <s v="SOLFIN"/>
    <s v="CCMS"/>
    <n v="21343898"/>
    <n v="1221.92"/>
    <m/>
    <s v="N"/>
    <n v="1"/>
    <d v="2023-07-07T19:03:16"/>
    <s v="Y"/>
    <s v="Process server"/>
    <s v="Domestic Abuse"/>
    <s v="Expert Disbursement"/>
    <s v="Zoe Sayer"/>
    <s v="Y"/>
    <n v="158.27"/>
    <n v="31.65"/>
    <x v="9"/>
    <s v="VALIDATED"/>
    <n v="1"/>
    <s v="01.11.80.302.6300.0000"/>
    <n v="158.27"/>
    <s v="11"/>
    <s v="6300"/>
    <n v="14201.69"/>
    <n v="158.27"/>
    <s v="CREDITOR"/>
    <n v="0"/>
    <n v="0"/>
    <n v="0"/>
    <n v="0"/>
    <n v="158.27"/>
  </r>
  <r>
    <n v="60260850"/>
    <s v="N"/>
    <n v="21349868"/>
    <s v="3000014565110032"/>
    <s v="CIVIL"/>
    <d v="2023-06-28T00:00:00"/>
    <d v="2023-07-10T19:01:40"/>
    <m/>
    <d v="2023-07-10T00:00:00"/>
    <n v="413"/>
    <n v="14085"/>
    <s v="60260850"/>
    <s v="60260850"/>
    <m/>
    <m/>
    <n v="22776734"/>
    <m/>
    <m/>
    <m/>
    <s v="SOLFIN"/>
    <s v="SOLFIN"/>
    <s v="CCMS"/>
    <n v="21349868"/>
    <n v="20942.09"/>
    <m/>
    <s v="N"/>
    <n v="323"/>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64"/>
    <d v="2023-07-10T19:02:00"/>
    <s v="Y"/>
    <s v="Paediatrician"/>
    <s v="Care Remuneration Hourly Rates"/>
    <s v="Expert Disbursement"/>
    <s v="LN"/>
    <s v="Y"/>
    <n v="108"/>
    <n v="21.6"/>
    <x v="2"/>
    <s v="VALIDATED"/>
    <n v="1"/>
    <s v="01.11.80.308.6300.0000"/>
    <n v="108"/>
    <s v="11"/>
    <s v="6300"/>
    <n v="14201.69"/>
    <n v="108"/>
    <s v="CREDITOR"/>
    <n v="0"/>
    <n v="0"/>
    <n v="0"/>
    <n v="0"/>
    <n v="108"/>
  </r>
  <r>
    <n v="60260850"/>
    <s v="N"/>
    <n v="21349868"/>
    <s v="3000014565110032"/>
    <s v="CIVIL"/>
    <d v="2023-06-28T00:00:00"/>
    <d v="2023-07-10T19:01:40"/>
    <m/>
    <d v="2023-07-10T00:00:00"/>
    <n v="413"/>
    <n v="14085"/>
    <s v="60260850"/>
    <s v="60260850"/>
    <m/>
    <m/>
    <n v="22776734"/>
    <m/>
    <m/>
    <m/>
    <s v="SOLFIN"/>
    <s v="SOLFIN"/>
    <s v="CCMS"/>
    <n v="21349868"/>
    <n v="20942.09"/>
    <m/>
    <s v="N"/>
    <n v="261"/>
    <d v="2023-07-10T19:02:00"/>
    <s v="Y"/>
    <s v="Preparation - other"/>
    <s v="Care Remuneration Hourly Rates"/>
    <s v="Profit Cost"/>
    <s v="LN"/>
    <s v="Y"/>
    <n v="131.43"/>
    <n v="26.28"/>
    <x v="2"/>
    <s v="VALIDATED"/>
    <n v="1"/>
    <s v="01.11.80.308.6100.0000"/>
    <n v="131.43"/>
    <s v="11"/>
    <s v="6100"/>
    <n v="14201.69"/>
    <n v="131.43"/>
    <s v="CREDITOR"/>
    <n v="0"/>
    <n v="0"/>
    <n v="0"/>
    <n v="0"/>
    <n v="131.43"/>
  </r>
  <r>
    <n v="60260850"/>
    <s v="N"/>
    <n v="21349868"/>
    <s v="3000014565110032"/>
    <s v="CIVIL"/>
    <d v="2023-06-28T00:00:00"/>
    <d v="2023-07-10T19:01:40"/>
    <m/>
    <d v="2023-07-10T00:00:00"/>
    <n v="413"/>
    <n v="14085"/>
    <s v="60260850"/>
    <s v="60260850"/>
    <m/>
    <m/>
    <n v="22776734"/>
    <m/>
    <m/>
    <m/>
    <s v="SOLFIN"/>
    <s v="SOLFIN"/>
    <s v="CCMS"/>
    <n v="21349868"/>
    <n v="20942.09"/>
    <m/>
    <s v="N"/>
    <n v="132"/>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32"/>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95"/>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98"/>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01"/>
    <d v="2023-07-10T19:02:00"/>
    <s v="N"/>
    <s v="Attendance upon client"/>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18"/>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3"/>
    <d v="2023-07-10T19:02:00"/>
    <s v="N"/>
    <s v="Preparation - other"/>
    <s v="Care Remuneration Hourly Rates"/>
    <s v="Profit Cost"/>
    <s v="LN"/>
    <s v="N"/>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83"/>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94"/>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313"/>
    <d v="2023-07-10T19:02:00"/>
    <s v="Y"/>
    <s v="Preparation - drafting application"/>
    <s v="Care Remuneration Hourly Rates"/>
    <s v="Profit Cost"/>
    <s v="LN"/>
    <s v="Y"/>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244"/>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3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67"/>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29"/>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66"/>
    <d v="2023-07-10T19:02:00"/>
    <s v="N"/>
    <s v="Preparation - other"/>
    <s v="Care Remuneration Hourly Rates"/>
    <s v="Profit Cost"/>
    <s v="LN"/>
    <s v="N"/>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238"/>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89"/>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64"/>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175"/>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90"/>
    <d v="2023-07-10T19:02:00"/>
    <s v="Y"/>
    <s v="Preparation - other"/>
    <s v="Care Remuneration Hourly Rates"/>
    <s v="Profit Cost"/>
    <s v="LN"/>
    <s v="Y"/>
    <n v="42.06"/>
    <n v="8.41"/>
    <x v="2"/>
    <s v="VALIDATED"/>
    <n v="1"/>
    <s v="01.11.80.308.6100.0000"/>
    <n v="42.06"/>
    <s v="11"/>
    <s v="6100"/>
    <n v="14201.69"/>
    <n v="42.06"/>
    <s v="CREDITOR"/>
    <n v="0"/>
    <n v="0"/>
    <n v="0"/>
    <n v="0"/>
    <n v="42.06"/>
  </r>
  <r>
    <n v="60260850"/>
    <s v="N"/>
    <n v="21349868"/>
    <s v="3000014565110032"/>
    <s v="CIVIL"/>
    <d v="2023-06-28T00:00:00"/>
    <d v="2023-07-10T19:01:40"/>
    <m/>
    <d v="2023-07-10T00:00:00"/>
    <n v="413"/>
    <n v="14085"/>
    <s v="60260850"/>
    <s v="60260850"/>
    <m/>
    <m/>
    <n v="22776734"/>
    <m/>
    <m/>
    <m/>
    <s v="SOLFIN"/>
    <s v="SOLFIN"/>
    <s v="CCMS"/>
    <n v="21349868"/>
    <n v="20942.09"/>
    <m/>
    <s v="N"/>
    <n v="187"/>
    <d v="2023-07-10T19:02:00"/>
    <s v="Y"/>
    <s v="Preparation - other"/>
    <s v="Care Remuneration Hourly Rates"/>
    <s v="Profit Cost"/>
    <s v="LN"/>
    <s v="Y"/>
    <n v="141.94"/>
    <n v="28.38"/>
    <x v="2"/>
    <s v="VALIDATED"/>
    <n v="1"/>
    <s v="01.11.80.308.6100.0000"/>
    <n v="141.94"/>
    <s v="11"/>
    <s v="6100"/>
    <n v="14201.69"/>
    <n v="141.94"/>
    <s v="CREDITOR"/>
    <n v="0"/>
    <n v="0"/>
    <n v="0"/>
    <n v="0"/>
    <n v="141.94"/>
  </r>
  <r>
    <n v="60260850"/>
    <s v="N"/>
    <n v="21349868"/>
    <s v="3000014565110032"/>
    <s v="CIVIL"/>
    <d v="2023-06-28T00:00:00"/>
    <d v="2023-07-10T19:01:40"/>
    <m/>
    <d v="2023-07-10T00:00:00"/>
    <n v="413"/>
    <n v="14085"/>
    <s v="60260850"/>
    <s v="60260850"/>
    <m/>
    <m/>
    <n v="22776734"/>
    <m/>
    <m/>
    <m/>
    <s v="SOLFIN"/>
    <s v="SOLFIN"/>
    <s v="CCMS"/>
    <n v="21349868"/>
    <n v="20942.09"/>
    <m/>
    <s v="N"/>
    <n v="334"/>
    <d v="2023-07-10T19:02:00"/>
    <s v="Y"/>
    <s v="Preparation - drafting agreement/se"/>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17"/>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77"/>
    <d v="2023-07-10T19:02:00"/>
    <s v="Y"/>
    <s v="Attendance upon client"/>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43"/>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67"/>
    <d v="2023-07-10T19:02:00"/>
    <s v="Y"/>
    <s v="Attendance upon client"/>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90"/>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76"/>
    <d v="2023-07-10T19:02:00"/>
    <s v="Y"/>
    <s v="Preparation - drafting statement"/>
    <s v="Care Remuneration Hourly Rates"/>
    <s v="Profit Cost"/>
    <s v="LN"/>
    <s v="Y"/>
    <n v="168.22"/>
    <n v="33.64"/>
    <x v="2"/>
    <s v="VALIDATED"/>
    <n v="1"/>
    <s v="01.11.80.308.6100.0000"/>
    <n v="168.22"/>
    <s v="11"/>
    <s v="6100"/>
    <n v="14201.69"/>
    <n v="168.22"/>
    <s v="CREDITOR"/>
    <n v="0"/>
    <n v="0"/>
    <n v="0"/>
    <n v="0"/>
    <n v="168.22"/>
  </r>
  <r>
    <n v="60260850"/>
    <s v="N"/>
    <n v="21349868"/>
    <s v="3000014565110032"/>
    <s v="CIVIL"/>
    <d v="2023-06-28T00:00:00"/>
    <d v="2023-07-10T19:01:40"/>
    <m/>
    <d v="2023-07-10T00:00:00"/>
    <n v="413"/>
    <n v="14085"/>
    <s v="60260850"/>
    <s v="60260850"/>
    <m/>
    <m/>
    <n v="22776734"/>
    <m/>
    <m/>
    <m/>
    <s v="SOLFIN"/>
    <s v="SOLFIN"/>
    <s v="CCMS"/>
    <n v="21349868"/>
    <n v="20942.09"/>
    <m/>
    <s v="N"/>
    <n v="193"/>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351"/>
    <d v="2023-07-10T19:02:00"/>
    <s v="Y"/>
    <s v="Toxicologist"/>
    <s v="Care Remuneration Hourly Rates"/>
    <s v="Expert Disbursement"/>
    <s v="LN"/>
    <s v="Y"/>
    <n v="75.75"/>
    <n v="15.15"/>
    <x v="2"/>
    <s v="VALIDATED"/>
    <n v="1"/>
    <s v="01.11.80.308.6300.0000"/>
    <n v="75.75"/>
    <s v="11"/>
    <s v="6300"/>
    <n v="14201.69"/>
    <n v="75.75"/>
    <s v="CREDITOR"/>
    <n v="0"/>
    <n v="0"/>
    <n v="0"/>
    <n v="0"/>
    <n v="75.75"/>
  </r>
  <r>
    <n v="60260850"/>
    <s v="N"/>
    <n v="21349868"/>
    <s v="3000014565110032"/>
    <s v="CIVIL"/>
    <d v="2023-06-28T00:00:00"/>
    <d v="2023-07-10T19:01:40"/>
    <m/>
    <d v="2023-07-10T00:00:00"/>
    <n v="413"/>
    <n v="14085"/>
    <s v="60260850"/>
    <s v="60260850"/>
    <m/>
    <m/>
    <n v="22776734"/>
    <m/>
    <m/>
    <m/>
    <s v="SOLFIN"/>
    <s v="SOLFIN"/>
    <s v="CCMS"/>
    <n v="21349868"/>
    <n v="20942.09"/>
    <m/>
    <s v="N"/>
    <n v="35"/>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4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06"/>
    <d v="2023-07-10T19:02:00"/>
    <s v="N"/>
    <s v="Preparation - drafting statement"/>
    <s v="Care Remuneration Hourly Rates"/>
    <s v="Profit Cost"/>
    <s v="LN"/>
    <s v="N"/>
    <n v="168.16"/>
    <n v="33.63"/>
    <x v="2"/>
    <s v="VALIDATED"/>
    <n v="1"/>
    <s v="01.11.80.308.6100.0000"/>
    <n v="168.16"/>
    <s v="11"/>
    <s v="6100"/>
    <n v="14201.69"/>
    <n v="168.16"/>
    <s v="CREDITOR"/>
    <n v="0"/>
    <n v="0"/>
    <n v="0"/>
    <n v="0"/>
    <n v="168.16"/>
  </r>
  <r>
    <n v="60260850"/>
    <s v="N"/>
    <n v="21349868"/>
    <s v="3000014565110032"/>
    <s v="CIVIL"/>
    <d v="2023-06-28T00:00:00"/>
    <d v="2023-07-10T19:01:40"/>
    <m/>
    <d v="2023-07-10T00:00:00"/>
    <n v="413"/>
    <n v="14085"/>
    <s v="60260850"/>
    <s v="60260850"/>
    <m/>
    <m/>
    <n v="22776734"/>
    <m/>
    <m/>
    <m/>
    <s v="SOLFIN"/>
    <s v="SOLFIN"/>
    <s v="CCMS"/>
    <n v="21349868"/>
    <n v="20942.09"/>
    <m/>
    <s v="N"/>
    <n v="231"/>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57"/>
    <d v="2023-07-10T19:02:00"/>
    <s v="N"/>
    <s v="Preparation - other"/>
    <s v="Care Remuneration Hourly Rates"/>
    <s v="Profit Cost"/>
    <s v="LN"/>
    <s v="N"/>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350"/>
    <d v="2023-07-10T19:02:00"/>
    <s v="Y"/>
    <s v="Court Fee"/>
    <s v="Care Remuneration Hourly Rates"/>
    <s v="Non Expert Disbursement"/>
    <s v="LN"/>
    <s v="Y"/>
    <n v="53"/>
    <n v="0"/>
    <x v="2"/>
    <s v="VALIDATED"/>
    <n v="1"/>
    <s v="01.11.80.308.6300.0000"/>
    <n v="53"/>
    <s v="11"/>
    <s v="6300"/>
    <n v="14201.69"/>
    <n v="53"/>
    <s v="CREDITOR"/>
    <n v="0"/>
    <n v="0"/>
    <n v="0"/>
    <n v="0"/>
    <n v="53"/>
  </r>
  <r>
    <n v="60260850"/>
    <s v="N"/>
    <n v="21349868"/>
    <s v="3000014565110032"/>
    <s v="CIVIL"/>
    <d v="2023-06-28T00:00:00"/>
    <d v="2023-07-10T19:01:40"/>
    <m/>
    <d v="2023-07-10T00:00:00"/>
    <n v="413"/>
    <n v="14085"/>
    <s v="60260850"/>
    <s v="60260850"/>
    <m/>
    <m/>
    <n v="22776734"/>
    <m/>
    <m/>
    <m/>
    <s v="SOLFIN"/>
    <s v="SOLFIN"/>
    <s v="CCMS"/>
    <n v="21349868"/>
    <n v="20942.09"/>
    <m/>
    <s v="N"/>
    <n v="120"/>
    <d v="2023-07-10T19:02:00"/>
    <s v="Y"/>
    <s v="Preparation - other"/>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297"/>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42"/>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14"/>
    <d v="2023-07-10T19:02:00"/>
    <s v="Y"/>
    <s v="Preparation - other"/>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245"/>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04"/>
    <d v="2023-07-10T19:02:00"/>
    <s v="Y"/>
    <s v="Preparation - other"/>
    <s v="Care Remuneration Hourly Rates"/>
    <s v="Profit Cost"/>
    <s v="LN"/>
    <s v="Y"/>
    <n v="31.54"/>
    <n v="6.31"/>
    <x v="2"/>
    <s v="VALIDATED"/>
    <n v="1"/>
    <s v="01.11.80.308.6100.0000"/>
    <n v="31.54"/>
    <s v="11"/>
    <s v="6100"/>
    <n v="14201.69"/>
    <n v="31.54"/>
    <s v="CREDITOR"/>
    <n v="0"/>
    <n v="0"/>
    <n v="0"/>
    <n v="0"/>
    <n v="31.54"/>
  </r>
  <r>
    <n v="60260850"/>
    <s v="N"/>
    <n v="21349868"/>
    <s v="3000014565110032"/>
    <s v="CIVIL"/>
    <d v="2023-06-28T00:00:00"/>
    <d v="2023-07-10T19:01:40"/>
    <m/>
    <d v="2023-07-10T00:00:00"/>
    <n v="413"/>
    <n v="14085"/>
    <s v="60260850"/>
    <s v="60260850"/>
    <m/>
    <m/>
    <n v="22776734"/>
    <m/>
    <m/>
    <m/>
    <s v="SOLFIN"/>
    <s v="SOLFIN"/>
    <s v="CCMS"/>
    <n v="21349868"/>
    <n v="20942.09"/>
    <m/>
    <s v="N"/>
    <n v="30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4"/>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36"/>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43"/>
    <d v="2023-07-10T19:02:00"/>
    <s v="Y"/>
    <s v="Preparation - other"/>
    <s v="Care Remuneration Hourly Rates"/>
    <s v="Profit Cost"/>
    <s v="LN"/>
    <s v="Y"/>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39"/>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41"/>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6"/>
    <d v="2023-07-10T19:02:00"/>
    <s v="N"/>
    <s v="Preparation - other"/>
    <s v="Care Remuneration Hourly Rates"/>
    <s v="Profit Cost"/>
    <s v="LN"/>
    <s v="N"/>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92"/>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99"/>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46"/>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7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26"/>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256"/>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4"/>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05"/>
    <d v="2023-07-10T19:02:00"/>
    <s v="Y"/>
    <s v="Preparation - drafting statement"/>
    <s v="Care Remuneration Hourly Rates"/>
    <s v="Profit Cost"/>
    <s v="LN"/>
    <s v="Y"/>
    <n v="94.69"/>
    <n v="18.94"/>
    <x v="2"/>
    <s v="VALIDATED"/>
    <n v="1"/>
    <s v="01.11.80.308.6100.0000"/>
    <n v="94.69"/>
    <s v="11"/>
    <s v="6100"/>
    <n v="14201.69"/>
    <n v="94.69"/>
    <s v="CREDITOR"/>
    <n v="0"/>
    <n v="0"/>
    <n v="0"/>
    <n v="0"/>
    <n v="94.69"/>
  </r>
  <r>
    <n v="60260850"/>
    <s v="N"/>
    <n v="21349868"/>
    <s v="3000014565110032"/>
    <s v="CIVIL"/>
    <d v="2023-06-28T00:00:00"/>
    <d v="2023-07-10T19:01:40"/>
    <m/>
    <d v="2023-07-10T00:00:00"/>
    <n v="413"/>
    <n v="14085"/>
    <s v="60260850"/>
    <s v="60260850"/>
    <m/>
    <m/>
    <n v="22776734"/>
    <m/>
    <m/>
    <m/>
    <s v="SOLFIN"/>
    <s v="SOLFIN"/>
    <s v="CCMS"/>
    <n v="21349868"/>
    <n v="20942.09"/>
    <m/>
    <s v="N"/>
    <n v="100"/>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21"/>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60"/>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28"/>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69"/>
    <d v="2023-07-10T19:02:00"/>
    <s v="N"/>
    <s v="Preparation - other"/>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35"/>
    <d v="2023-07-10T19:02:00"/>
    <s v="Y"/>
    <s v="Preparation - other"/>
    <s v="Care Remuneration Hourly Rates"/>
    <s v="Profit Cost"/>
    <s v="LN"/>
    <s v="Y"/>
    <n v="26.29"/>
    <n v="5.26"/>
    <x v="2"/>
    <s v="VALIDATED"/>
    <n v="1"/>
    <s v="01.11.80.308.6100.0000"/>
    <n v="26.29"/>
    <s v="11"/>
    <s v="6100"/>
    <n v="14201.69"/>
    <n v="26.29"/>
    <s v="CREDITOR"/>
    <n v="0"/>
    <n v="0"/>
    <n v="0"/>
    <n v="0"/>
    <n v="26.29"/>
  </r>
  <r>
    <n v="60260850"/>
    <s v="N"/>
    <n v="21349868"/>
    <s v="3000014565110032"/>
    <s v="CIVIL"/>
    <d v="2023-06-28T00:00:00"/>
    <d v="2023-07-10T19:01:40"/>
    <m/>
    <d v="2023-07-10T00:00:00"/>
    <n v="413"/>
    <n v="14085"/>
    <s v="60260850"/>
    <s v="60260850"/>
    <m/>
    <m/>
    <n v="22776734"/>
    <m/>
    <m/>
    <m/>
    <s v="SOLFIN"/>
    <s v="SOLFIN"/>
    <s v="CCMS"/>
    <n v="21349868"/>
    <n v="20942.09"/>
    <m/>
    <s v="N"/>
    <n v="233"/>
    <d v="2023-07-10T19:02:00"/>
    <s v="Y"/>
    <s v="Preparation - other"/>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112"/>
    <d v="2023-07-10T19:02:00"/>
    <s v="Y"/>
    <s v="Preparation - other"/>
    <s v="Care Remuneration Hourly Rates"/>
    <s v="Profit Cost"/>
    <s v="LN"/>
    <s v="Y"/>
    <n v="78.86"/>
    <n v="15.77"/>
    <x v="2"/>
    <s v="VALIDATED"/>
    <n v="1"/>
    <s v="01.11.80.308.6100.0000"/>
    <n v="78.86"/>
    <s v="11"/>
    <s v="6100"/>
    <n v="14201.69"/>
    <n v="78.86"/>
    <s v="CREDITOR"/>
    <n v="0"/>
    <n v="0"/>
    <n v="0"/>
    <n v="0"/>
    <n v="78.86"/>
  </r>
  <r>
    <n v="61966996"/>
    <s v="N"/>
    <n v="21327677"/>
    <s v="3000016014780003"/>
    <s v="CIVIL"/>
    <d v="2023-06-26T00:00:00"/>
    <d v="2023-07-04T19:00:44"/>
    <m/>
    <d v="2023-07-04T00:00:00"/>
    <n v="413"/>
    <n v="14085"/>
    <s v="61966996"/>
    <s v="61966996"/>
    <m/>
    <m/>
    <n v="22757456"/>
    <m/>
    <m/>
    <m/>
    <s v="SOLFIN"/>
    <s v="SOLFIN"/>
    <s v="CCMS"/>
    <n v="21327677"/>
    <n v="1548.21"/>
    <m/>
    <s v="N"/>
    <n v="4"/>
    <d v="2023-07-04T19:00:52"/>
    <s v="Y"/>
    <s v="Level 4 Fixed Fee"/>
    <s v="Domestic Abuse"/>
    <s v="Profit Cost"/>
    <s v="EQ"/>
    <s v="Y"/>
    <n v="507"/>
    <n v="101.4"/>
    <x v="1"/>
    <s v="VALIDATED"/>
    <n v="1"/>
    <s v="01.11.80.302.6100.0000"/>
    <n v="507"/>
    <s v="11"/>
    <s v="6100"/>
    <n v="14201.69"/>
    <n v="507"/>
    <s v="CREDITOR"/>
    <n v="0"/>
    <n v="0"/>
    <n v="0"/>
    <n v="0"/>
    <n v="507"/>
  </r>
  <r>
    <n v="62190137"/>
    <s v="N"/>
    <n v="21318343"/>
    <s v="3000016200790003"/>
    <s v="CIVIL"/>
    <d v="2023-06-22T00:00:00"/>
    <d v="2023-07-03T19:01:49"/>
    <m/>
    <d v="2023-07-03T00:00:00"/>
    <n v="413"/>
    <n v="14085"/>
    <s v="62190137"/>
    <s v="62190137"/>
    <m/>
    <m/>
    <n v="22744488"/>
    <m/>
    <m/>
    <m/>
    <s v="SOLFIN"/>
    <s v="SOLFIN"/>
    <s v="CCMS"/>
    <n v="21318343"/>
    <n v="1304.65"/>
    <m/>
    <s v="N"/>
    <n v="5"/>
    <d v="2023-07-03T19:01:54"/>
    <s v="Y"/>
    <s v="Level 4 Fixed Fee"/>
    <s v="Domestic Abuse"/>
    <s v="Profit Cost"/>
    <s v="SM"/>
    <s v="Y"/>
    <n v="507"/>
    <n v="101.4"/>
    <x v="3"/>
    <s v="VALIDATED"/>
    <n v="1"/>
    <s v="01.11.80.302.6100.0000"/>
    <n v="507"/>
    <s v="11"/>
    <s v="6100"/>
    <n v="14201.69"/>
    <n v="507"/>
    <s v="CREDITOR"/>
    <n v="0"/>
    <n v="0"/>
    <n v="0"/>
    <n v="0"/>
    <n v="507"/>
  </r>
  <r>
    <n v="60260850"/>
    <s v="N"/>
    <n v="21349868"/>
    <s v="3000014565110032"/>
    <s v="CIVIL"/>
    <d v="2023-06-28T00:00:00"/>
    <d v="2023-07-10T19:01:40"/>
    <m/>
    <d v="2023-07-10T00:00:00"/>
    <n v="413"/>
    <n v="14085"/>
    <s v="60260850"/>
    <s v="60260850"/>
    <m/>
    <m/>
    <n v="22776734"/>
    <m/>
    <m/>
    <m/>
    <s v="SOLFIN"/>
    <s v="SOLFIN"/>
    <s v="CCMS"/>
    <n v="21349868"/>
    <n v="20942.09"/>
    <m/>
    <s v="N"/>
    <n v="93"/>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00"/>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80"/>
    <d v="2023-07-10T19:02:00"/>
    <s v="Y"/>
    <s v="Attendance upon client"/>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01"/>
    <d v="2023-07-10T19:02:00"/>
    <s v="Y"/>
    <s v="Preparation - other"/>
    <s v="Care Remuneration Hourly Rates"/>
    <s v="Profit Cost"/>
    <s v="LN"/>
    <s v="Y"/>
    <n v="210.28"/>
    <n v="42.05"/>
    <x v="2"/>
    <s v="VALIDATED"/>
    <n v="1"/>
    <s v="01.11.80.308.6100.0000"/>
    <n v="210.28"/>
    <s v="11"/>
    <s v="6100"/>
    <n v="14201.69"/>
    <n v="210.28"/>
    <s v="CREDITOR"/>
    <n v="0"/>
    <n v="0"/>
    <n v="0"/>
    <n v="0"/>
    <n v="210.28"/>
  </r>
  <r>
    <n v="60260850"/>
    <s v="N"/>
    <n v="21349868"/>
    <s v="3000014565110032"/>
    <s v="CIVIL"/>
    <d v="2023-06-28T00:00:00"/>
    <d v="2023-07-10T19:01:40"/>
    <m/>
    <d v="2023-07-10T00:00:00"/>
    <n v="413"/>
    <n v="14085"/>
    <s v="60260850"/>
    <s v="60260850"/>
    <m/>
    <m/>
    <n v="22776734"/>
    <m/>
    <m/>
    <m/>
    <s v="SOLFIN"/>
    <s v="SOLFIN"/>
    <s v="CCMS"/>
    <n v="21349868"/>
    <n v="20942.09"/>
    <m/>
    <s v="N"/>
    <n v="123"/>
    <d v="2023-07-10T19:02:00"/>
    <s v="Y"/>
    <s v="Attendance upon client"/>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255"/>
    <d v="2023-07-10T19:02:00"/>
    <s v="Y"/>
    <s v="Preparation - other"/>
    <s v="Care Remuneration Hourly Rates"/>
    <s v="Profit Cost"/>
    <s v="LN"/>
    <s v="Y"/>
    <n v="21.03"/>
    <n v="4.21"/>
    <x v="2"/>
    <s v="VALIDATED"/>
    <n v="1"/>
    <s v="01.11.80.308.6100.0000"/>
    <n v="21.03"/>
    <s v="11"/>
    <s v="6100"/>
    <n v="14201.69"/>
    <n v="21.03"/>
    <s v="CREDITOR"/>
    <n v="0"/>
    <n v="0"/>
    <n v="0"/>
    <n v="0"/>
    <n v="21.03"/>
  </r>
  <r>
    <n v="61840377"/>
    <s v="N"/>
    <n v="21343898"/>
    <s v="3000015907640004"/>
    <s v="CIVIL"/>
    <d v="2023-06-28T00:00:00"/>
    <d v="2023-07-07T19:03:00"/>
    <m/>
    <d v="2023-07-07T00:00:00"/>
    <n v="413"/>
    <n v="14085"/>
    <s v="61840377"/>
    <s v="61840377"/>
    <m/>
    <m/>
    <n v="22776806"/>
    <m/>
    <m/>
    <m/>
    <s v="SOLFIN"/>
    <s v="SOLFIN"/>
    <s v="CCMS"/>
    <n v="21343898"/>
    <n v="1221.92"/>
    <m/>
    <s v="N"/>
    <n v="2"/>
    <d v="2023-07-07T19:03:16"/>
    <s v="Y"/>
    <s v="Level 4 Fixed Fee"/>
    <s v="Domestic Abuse"/>
    <s v="Profit Cost"/>
    <s v="Zoe Sayer"/>
    <s v="Y"/>
    <n v="507"/>
    <n v="101.4"/>
    <x v="9"/>
    <s v="VALIDATED"/>
    <n v="1"/>
    <s v="01.11.80.302.6100.0000"/>
    <n v="507"/>
    <s v="11"/>
    <s v="6100"/>
    <n v="14201.69"/>
    <n v="507"/>
    <s v="CREDITOR"/>
    <n v="0"/>
    <n v="0"/>
    <n v="0"/>
    <n v="0"/>
    <n v="507"/>
  </r>
  <r>
    <n v="60260850"/>
    <s v="N"/>
    <n v="21349868"/>
    <s v="3000014565110032"/>
    <s v="CIVIL"/>
    <d v="2023-06-28T00:00:00"/>
    <d v="2023-07-10T19:01:40"/>
    <m/>
    <d v="2023-07-10T00:00:00"/>
    <n v="413"/>
    <n v="14085"/>
    <s v="60260850"/>
    <s v="60260850"/>
    <m/>
    <m/>
    <n v="22776734"/>
    <m/>
    <m/>
    <m/>
    <s v="SOLFIN"/>
    <s v="SOLFIN"/>
    <s v="CCMS"/>
    <n v="21349868"/>
    <n v="20942.09"/>
    <m/>
    <s v="N"/>
    <n v="303"/>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32"/>
    <d v="2023-07-10T19:02:00"/>
    <s v="N"/>
    <s v="Preparation - other"/>
    <s v="Care Remuneration Hourly Rates"/>
    <s v="Profit Cost"/>
    <s v="LN"/>
    <s v="N"/>
    <n v="36.8"/>
    <n v="7.36"/>
    <x v="2"/>
    <s v="VALIDATED"/>
    <n v="1"/>
    <s v="01.11.80.308.6100.0000"/>
    <n v="36.8"/>
    <s v="11"/>
    <s v="6100"/>
    <n v="14201.69"/>
    <n v="36.8"/>
    <s v="CREDITOR"/>
    <n v="0"/>
    <n v="0"/>
    <n v="0"/>
    <n v="0"/>
    <n v="36.8"/>
  </r>
  <r>
    <n v="60260850"/>
    <s v="N"/>
    <n v="21349868"/>
    <s v="3000014565110032"/>
    <s v="CIVIL"/>
    <d v="2023-06-28T00:00:00"/>
    <d v="2023-07-10T19:01:40"/>
    <m/>
    <d v="2023-07-10T00:00:00"/>
    <n v="413"/>
    <n v="14085"/>
    <s v="60260850"/>
    <s v="60260850"/>
    <m/>
    <m/>
    <n v="22776734"/>
    <m/>
    <m/>
    <m/>
    <s v="SOLFIN"/>
    <s v="SOLFIN"/>
    <s v="CCMS"/>
    <n v="21349868"/>
    <n v="20942.09"/>
    <m/>
    <s v="N"/>
    <n v="209"/>
    <d v="2023-07-10T19:02:00"/>
    <s v="Y"/>
    <s v="Preparation - other"/>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333"/>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72"/>
    <d v="2023-07-10T19:02:00"/>
    <s v="N"/>
    <s v="Preparation - other"/>
    <s v="Care Remuneration Hourly Rates"/>
    <s v="Profit Cost"/>
    <s v="LN"/>
    <s v="N"/>
    <n v="21.03"/>
    <n v="4.21"/>
    <x v="2"/>
    <s v="VALIDATED"/>
    <n v="1"/>
    <s v="01.11.80.308.6100.0000"/>
    <n v="21.03"/>
    <s v="11"/>
    <s v="6100"/>
    <n v="14201.69"/>
    <n v="21.03"/>
    <s v="CREDITOR"/>
    <n v="0"/>
    <n v="0"/>
    <n v="0"/>
    <n v="0"/>
    <n v="21.03"/>
  </r>
  <r>
    <n v="60260850"/>
    <s v="N"/>
    <n v="21349868"/>
    <s v="3000014565110032"/>
    <s v="CIVIL"/>
    <d v="2023-06-28T00:00:00"/>
    <d v="2023-07-10T19:01:40"/>
    <m/>
    <d v="2023-07-10T00:00:00"/>
    <n v="413"/>
    <n v="14085"/>
    <s v="60260850"/>
    <s v="60260850"/>
    <m/>
    <m/>
    <n v="22776734"/>
    <m/>
    <m/>
    <m/>
    <s v="SOLFIN"/>
    <s v="SOLFIN"/>
    <s v="CCMS"/>
    <n v="21349868"/>
    <n v="20942.09"/>
    <m/>
    <s v="N"/>
    <n v="85"/>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52"/>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11"/>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40"/>
    <d v="2023-07-10T19:02:00"/>
    <s v="Y"/>
    <s v="Preparation - drafting instructions"/>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57"/>
    <d v="2023-07-10T19:02:00"/>
    <s v="Y"/>
    <s v="Preparation - other"/>
    <s v="Care Remuneration Hourly Rates"/>
    <s v="Profit Cost"/>
    <s v="LN"/>
    <s v="Y"/>
    <n v="78.86"/>
    <n v="15.77"/>
    <x v="2"/>
    <s v="VALIDATED"/>
    <n v="1"/>
    <s v="01.11.80.308.6100.0000"/>
    <n v="78.86"/>
    <s v="11"/>
    <s v="6100"/>
    <n v="14201.69"/>
    <n v="78.86"/>
    <s v="CREDITOR"/>
    <n v="0"/>
    <n v="0"/>
    <n v="0"/>
    <n v="0"/>
    <n v="78.86"/>
  </r>
  <r>
    <n v="60260850"/>
    <s v="N"/>
    <n v="21349868"/>
    <s v="3000014565110032"/>
    <s v="CIVIL"/>
    <d v="2023-06-28T00:00:00"/>
    <d v="2023-07-10T19:01:40"/>
    <m/>
    <d v="2023-07-10T00:00:00"/>
    <n v="413"/>
    <n v="14085"/>
    <s v="60260850"/>
    <s v="60260850"/>
    <m/>
    <m/>
    <n v="22776734"/>
    <m/>
    <m/>
    <m/>
    <s v="SOLFIN"/>
    <s v="SOLFIN"/>
    <s v="CCMS"/>
    <n v="21349868"/>
    <n v="20942.09"/>
    <m/>
    <s v="N"/>
    <n v="286"/>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62"/>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14"/>
    <d v="2023-07-10T19:02:00"/>
    <s v="N"/>
    <s v="Advocacy - In court behind counsel"/>
    <s v="Care Remuneration Hourly Rates"/>
    <s v="Advocacy"/>
    <s v="LN"/>
    <s v="N"/>
    <n v="58.8"/>
    <n v="11.76"/>
    <x v="2"/>
    <s v="VALIDATED"/>
    <n v="1"/>
    <s v="01.11.80.308.6100.0000"/>
    <n v="58.8"/>
    <s v="11"/>
    <s v="6100"/>
    <n v="14201.69"/>
    <n v="58.8"/>
    <s v="CREDITOR"/>
    <n v="0"/>
    <n v="0"/>
    <n v="0"/>
    <n v="0"/>
    <n v="58.8"/>
  </r>
  <r>
    <n v="62097866"/>
    <s v="N"/>
    <n v="21337856"/>
    <s v="3000016124670001"/>
    <s v="CIVIL"/>
    <d v="2023-06-28T00:00:00"/>
    <d v="2023-07-06T19:21:01"/>
    <m/>
    <d v="2023-07-06T00:00:00"/>
    <n v="413"/>
    <n v="14085"/>
    <s v="62097866"/>
    <s v="62097866"/>
    <m/>
    <m/>
    <n v="22779240"/>
    <m/>
    <m/>
    <m/>
    <s v="SOLPOA"/>
    <s v="SOLPOA"/>
    <s v="CCMS"/>
    <n v="21337856"/>
    <n v="219"/>
    <m/>
    <s v="N"/>
    <n v="1"/>
    <d v="2023-07-06T19:21:09"/>
    <s v="N"/>
    <s v="Expert Cost - Domestic Abuse"/>
    <s v="Expert Cost - Domestic Abuse"/>
    <s v="Expert Disbursement"/>
    <s v="Zoe Sayer"/>
    <s v="N"/>
    <n v="182.5"/>
    <n v="36.5"/>
    <x v="4"/>
    <s v="VALIDATED"/>
    <n v="1"/>
    <s v="01.11.80.302.2012.0000"/>
    <n v="182.5"/>
    <s v="11"/>
    <s v="2012"/>
    <n v="14201.69"/>
    <n v="182.5"/>
    <s v="CREDITOR"/>
    <n v="182.5"/>
    <n v="0"/>
    <n v="0"/>
    <n v="0"/>
    <n v="0"/>
  </r>
  <r>
    <n v="61966996"/>
    <s v="N"/>
    <n v="21327677"/>
    <s v="3000016014780003"/>
    <s v="CIVIL"/>
    <d v="2023-06-26T00:00:00"/>
    <d v="2023-07-04T19:00:44"/>
    <m/>
    <d v="2023-07-04T00:00:00"/>
    <n v="413"/>
    <n v="14085"/>
    <s v="61966996"/>
    <s v="61966996"/>
    <m/>
    <m/>
    <n v="22757456"/>
    <m/>
    <m/>
    <m/>
    <s v="SOLFIN"/>
    <s v="SOLFIN"/>
    <s v="CCMS"/>
    <n v="21327677"/>
    <n v="1548.21"/>
    <m/>
    <s v="N"/>
    <n v="2"/>
    <d v="2023-07-04T19:00:52"/>
    <s v="Y"/>
    <s v="Final Hearing - 1 Day"/>
    <s v="Domestic Abuse"/>
    <s v="Advocacy"/>
    <s v="EQ"/>
    <s v="Y"/>
    <n v="361.17"/>
    <n v="72.23"/>
    <x v="1"/>
    <s v="VALIDATED"/>
    <n v="1"/>
    <s v="01.11.80.302.6100.0000"/>
    <n v="361.17"/>
    <s v="11"/>
    <s v="6100"/>
    <n v="14201.69"/>
    <n v="361.17"/>
    <s v="CREDITOR"/>
    <n v="0"/>
    <n v="0"/>
    <n v="0"/>
    <n v="0"/>
    <n v="361.17"/>
  </r>
  <r>
    <n v="60260850"/>
    <s v="N"/>
    <n v="21349868"/>
    <s v="3000014565110032"/>
    <s v="CIVIL"/>
    <d v="2023-06-28T00:00:00"/>
    <d v="2023-07-10T19:01:40"/>
    <m/>
    <d v="2023-07-10T00:00:00"/>
    <n v="413"/>
    <n v="14085"/>
    <s v="60260850"/>
    <s v="60260850"/>
    <m/>
    <m/>
    <n v="22776734"/>
    <m/>
    <m/>
    <m/>
    <s v="SOLFIN"/>
    <s v="SOLFIN"/>
    <s v="CCMS"/>
    <n v="21349868"/>
    <n v="20942.09"/>
    <m/>
    <s v="N"/>
    <n v="242"/>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134"/>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77"/>
    <d v="2023-07-10T19:02:00"/>
    <s v="N"/>
    <s v="Attendance upon client"/>
    <s v="Care Remuneration Hourly Rates"/>
    <s v="Profit Cost"/>
    <s v="LN"/>
    <s v="N"/>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87"/>
    <d v="2023-07-10T19:02:00"/>
    <s v="N"/>
    <s v="Preparation - other"/>
    <s v="Care Remuneration Hourly Rates"/>
    <s v="Profit Cost"/>
    <s v="LN"/>
    <s v="N"/>
    <n v="52.57"/>
    <n v="10.51"/>
    <x v="2"/>
    <s v="VALIDATED"/>
    <n v="1"/>
    <s v="01.11.80.308.6100.0000"/>
    <n v="52.57"/>
    <s v="11"/>
    <s v="6100"/>
    <n v="14201.69"/>
    <n v="52.57"/>
    <s v="CREDITOR"/>
    <n v="0"/>
    <n v="0"/>
    <n v="0"/>
    <n v="0"/>
    <n v="52.57"/>
  </r>
  <r>
    <n v="60260850"/>
    <s v="N"/>
    <n v="21349868"/>
    <s v="3000014565110032"/>
    <s v="CIVIL"/>
    <d v="2023-06-28T00:00:00"/>
    <d v="2023-07-10T19:01:40"/>
    <m/>
    <d v="2023-07-10T00:00:00"/>
    <n v="413"/>
    <n v="14085"/>
    <s v="60260850"/>
    <s v="60260850"/>
    <m/>
    <m/>
    <n v="22776734"/>
    <m/>
    <m/>
    <m/>
    <s v="SOLFIN"/>
    <s v="SOLFIN"/>
    <s v="CCMS"/>
    <n v="21349868"/>
    <n v="20942.09"/>
    <m/>
    <s v="N"/>
    <n v="154"/>
    <d v="2023-07-10T19:02:00"/>
    <s v="Y"/>
    <s v="Preparation - other"/>
    <s v="Care Remuneration Hourly Rates"/>
    <s v="Profit Cost"/>
    <s v="LN"/>
    <s v="Y"/>
    <n v="10.51"/>
    <n v="2.1"/>
    <x v="2"/>
    <s v="VALIDATED"/>
    <n v="1"/>
    <s v="01.11.80.308.6100.0000"/>
    <n v="10.51"/>
    <s v="11"/>
    <s v="6100"/>
    <n v="14201.69"/>
    <n v="10.51"/>
    <s v="CREDITOR"/>
    <n v="0"/>
    <n v="0"/>
    <n v="0"/>
    <n v="0"/>
    <n v="10.51"/>
  </r>
  <r>
    <n v="60260850"/>
    <s v="N"/>
    <n v="21349868"/>
    <s v="3000014565110032"/>
    <s v="CIVIL"/>
    <d v="2023-06-28T00:00:00"/>
    <d v="2023-07-10T19:01:40"/>
    <m/>
    <d v="2023-07-10T00:00:00"/>
    <n v="413"/>
    <n v="14085"/>
    <s v="60260850"/>
    <s v="60260850"/>
    <m/>
    <m/>
    <n v="22776734"/>
    <m/>
    <m/>
    <m/>
    <s v="SOLFIN"/>
    <s v="SOLFIN"/>
    <s v="CCMS"/>
    <n v="21349868"/>
    <n v="20942.09"/>
    <m/>
    <s v="N"/>
    <n v="273"/>
    <d v="2023-07-10T19:02:00"/>
    <s v="Y"/>
    <s v="Preparation - other"/>
    <s v="Care Remuneration Hourly Rates"/>
    <s v="Profit Cost"/>
    <s v="LN"/>
    <s v="Y"/>
    <n v="157.71"/>
    <n v="31.54"/>
    <x v="2"/>
    <s v="VALIDATED"/>
    <n v="1"/>
    <s v="01.11.80.308.6100.0000"/>
    <n v="157.71"/>
    <s v="11"/>
    <s v="6100"/>
    <n v="14201.69"/>
    <n v="157.71"/>
    <s v="CREDITOR"/>
    <n v="0"/>
    <n v="0"/>
    <n v="0"/>
    <n v="0"/>
    <n v="157.71"/>
  </r>
  <r>
    <n v="60260850"/>
    <s v="N"/>
    <n v="21349868"/>
    <s v="3000014565110032"/>
    <s v="CIVIL"/>
    <d v="2023-06-28T00:00:00"/>
    <d v="2023-07-10T19:01:40"/>
    <m/>
    <d v="2023-07-10T00:00:00"/>
    <n v="413"/>
    <n v="14085"/>
    <s v="60260850"/>
    <s v="60260850"/>
    <m/>
    <m/>
    <n v="22776734"/>
    <m/>
    <m/>
    <m/>
    <s v="SOLFIN"/>
    <s v="SOLFIN"/>
    <s v="CCMS"/>
    <n v="21349868"/>
    <n v="20942.09"/>
    <m/>
    <s v="N"/>
    <n v="55"/>
    <d v="2023-07-10T19:02:00"/>
    <s v="N"/>
    <s v="Preparation - other"/>
    <s v="Care Remuneration Hourly Rates"/>
    <s v="Profit Cost"/>
    <s v="LN"/>
    <s v="N"/>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189"/>
    <d v="2023-07-10T19:02:00"/>
    <s v="Y"/>
    <s v="Preparation - other"/>
    <s v="Care Remuneration Hourly Rates"/>
    <s v="Profit Cost"/>
    <s v="LN"/>
    <s v="Y"/>
    <n v="5.26"/>
    <n v="1.05"/>
    <x v="2"/>
    <s v="VALIDATED"/>
    <n v="1"/>
    <s v="01.11.80.308.6100.0000"/>
    <n v="5.26"/>
    <s v="11"/>
    <s v="6100"/>
    <n v="14201.69"/>
    <n v="5.26"/>
    <s v="CREDITOR"/>
    <n v="0"/>
    <n v="0"/>
    <n v="0"/>
    <n v="0"/>
    <n v="5.26"/>
  </r>
  <r>
    <n v="60260850"/>
    <s v="N"/>
    <n v="21349868"/>
    <s v="3000014565110032"/>
    <s v="CIVIL"/>
    <d v="2023-06-28T00:00:00"/>
    <d v="2023-07-10T19:01:40"/>
    <m/>
    <d v="2023-07-10T00:00:00"/>
    <n v="413"/>
    <n v="14085"/>
    <s v="60260850"/>
    <s v="60260850"/>
    <m/>
    <m/>
    <n v="22776734"/>
    <m/>
    <m/>
    <m/>
    <s v="SOLFIN"/>
    <s v="SOLFIN"/>
    <s v="CCMS"/>
    <n v="21349868"/>
    <n v="20942.09"/>
    <m/>
    <s v="N"/>
    <n v="310"/>
    <d v="2023-07-10T19:02:00"/>
    <s v="Y"/>
    <s v="Preparation - other"/>
    <s v="Care Remuneration Hourly Rates"/>
    <s v="Profit Cost"/>
    <s v="LN"/>
    <s v="Y"/>
    <n v="15.77"/>
    <n v="3.15"/>
    <x v="2"/>
    <s v="VALIDATED"/>
    <n v="1"/>
    <s v="01.11.80.308.6100.0000"/>
    <n v="15.77"/>
    <s v="11"/>
    <s v="6100"/>
    <n v="14201.69"/>
    <n v="15.77"/>
    <s v="CREDITOR"/>
    <n v="0"/>
    <n v="0"/>
    <n v="0"/>
    <n v="0"/>
    <n v="15.77"/>
  </r>
  <r>
    <n v="60260850"/>
    <s v="N"/>
    <n v="21349868"/>
    <s v="3000014565110032"/>
    <s v="CIVIL"/>
    <d v="2023-06-28T00:00:00"/>
    <d v="2023-07-10T19:01:40"/>
    <m/>
    <d v="2023-07-10T00:00:00"/>
    <n v="413"/>
    <n v="14085"/>
    <s v="60260850"/>
    <s v="60260850"/>
    <m/>
    <m/>
    <n v="22776734"/>
    <m/>
    <m/>
    <m/>
    <s v="SOLFIN"/>
    <s v="SOLFIN"/>
    <s v="CCMS"/>
    <n v="21349868"/>
    <n v="20942.09"/>
    <m/>
    <s v="N"/>
    <n v="212"/>
    <d v="2023-07-10T19:02:00"/>
    <s v="Y"/>
    <s v="Preparation - other"/>
    <s v="Care Remuneration Hourly Rates"/>
    <s v="Profit Cost"/>
    <s v="LN"/>
    <s v="Y"/>
    <n v="15.77"/>
    <n v="3.15"/>
    <x v="2"/>
    <s v="VALIDATED"/>
    <n v="1"/>
    <s v="01.11.80.308.6100.0000"/>
    <n v="15.77"/>
    <s v="11"/>
    <s v="6100"/>
    <n v="14201.69"/>
    <n v="15.77"/>
    <s v="CREDITOR"/>
    <n v="0"/>
    <n v="0"/>
    <n v="0"/>
    <n v="0"/>
    <n v="15.77"/>
  </r>
  <r>
    <n v="59839080"/>
    <s v="N"/>
    <n v="21318815"/>
    <s v="3000014203590024"/>
    <s v="CIVIL"/>
    <d v="2023-06-20T00:00:00"/>
    <d v="2023-07-03T19:01:49"/>
    <m/>
    <d v="2023-07-03T00:00:00"/>
    <n v="418"/>
    <n v="14752"/>
    <s v="59839080"/>
    <s v="59839080"/>
    <m/>
    <m/>
    <n v="22726612"/>
    <m/>
    <m/>
    <m/>
    <s v="SOLFIN"/>
    <s v="SOLFIN"/>
    <s v="CCMS"/>
    <n v="21318815"/>
    <n v="13136.2"/>
    <m/>
    <s v="N"/>
    <n v="16"/>
    <d v="2023-07-03T19:02:03"/>
    <s v="Y"/>
    <s v="Paediatrician"/>
    <s v="Public Law Children"/>
    <s v="Expert Disbursement"/>
    <s v="JLS"/>
    <s v="Y"/>
    <n v="1296"/>
    <n v="259.2"/>
    <x v="3"/>
    <s v="VALIDATED"/>
    <n v="1"/>
    <s v="01.11.80.308.6300.0000"/>
    <n v="1296"/>
    <s v="11"/>
    <s v="6300"/>
    <n v="33459.28"/>
    <n v="1296"/>
    <s v="CREDITOR"/>
    <n v="0"/>
    <n v="0"/>
    <n v="0"/>
    <n v="0"/>
    <n v="1296"/>
  </r>
  <r>
    <n v="40167068"/>
    <s v="N"/>
    <n v="21319043"/>
    <s v="3000010786360008"/>
    <s v="CIVIL"/>
    <d v="2023-06-09T00:00:00"/>
    <d v="2023-07-03T19:01:49"/>
    <m/>
    <d v="2023-07-03T00:00:00"/>
    <n v="418"/>
    <n v="14752"/>
    <s v="40167068"/>
    <s v="40167068"/>
    <m/>
    <m/>
    <n v="22656592"/>
    <m/>
    <m/>
    <m/>
    <s v="SOLFIN"/>
    <s v="SOLFIN"/>
    <s v="CCMS"/>
    <n v="21319043"/>
    <n v="7412.38"/>
    <m/>
    <s v="N"/>
    <n v="36"/>
    <d v="2023-07-03T19:02:09"/>
    <s v="Y"/>
    <s v="Hearing Unit 0.00 - 1.00 Hours"/>
    <s v="Other Public Law Children"/>
    <s v="Advocacy"/>
    <s v="JS"/>
    <s v="Y"/>
    <n v="83.39"/>
    <n v="16.68"/>
    <x v="3"/>
    <s v="VALIDATED"/>
    <n v="1"/>
    <s v="01.11.80.305.6100.0000"/>
    <n v="83.39"/>
    <s v="11"/>
    <s v="6100"/>
    <n v="33459.28"/>
    <n v="83.39"/>
    <s v="CREDITOR"/>
    <n v="0"/>
    <n v="0"/>
    <n v="0"/>
    <n v="0"/>
    <n v="83.39"/>
  </r>
  <r>
    <n v="40167068"/>
    <s v="N"/>
    <n v="21319043"/>
    <s v="3000010786360008"/>
    <s v="CIVIL"/>
    <d v="2023-06-09T00:00:00"/>
    <d v="2023-07-03T19:01:49"/>
    <m/>
    <d v="2023-07-03T00:00:00"/>
    <n v="418"/>
    <n v="14752"/>
    <s v="40167068"/>
    <s v="40167068"/>
    <m/>
    <m/>
    <n v="22656592"/>
    <m/>
    <m/>
    <m/>
    <s v="SOLFIN"/>
    <s v="SOLFIN"/>
    <s v="CCMS"/>
    <n v="21319043"/>
    <n v="7412.38"/>
    <m/>
    <s v="N"/>
    <n v="6"/>
    <d v="2023-07-03T19:02:09"/>
    <s v="Y"/>
    <s v="Preparation - drafting consent orde"/>
    <s v="Care Remuneration Hourly Rates"/>
    <s v="Profit Cost"/>
    <s v="MT"/>
    <s v="Y"/>
    <n v="6.72"/>
    <n v="1.34"/>
    <x v="3"/>
    <s v="VALIDATED"/>
    <n v="1"/>
    <s v="01.11.80.305.6100.0000"/>
    <n v="6.72"/>
    <s v="11"/>
    <s v="6100"/>
    <n v="33459.28"/>
    <n v="6.72"/>
    <s v="CREDITOR"/>
    <n v="0"/>
    <n v="0"/>
    <n v="0"/>
    <n v="0"/>
    <n v="6.72"/>
  </r>
  <r>
    <n v="40167068"/>
    <s v="N"/>
    <n v="21319043"/>
    <s v="3000010786360008"/>
    <s v="CIVIL"/>
    <d v="2023-06-09T00:00:00"/>
    <d v="2023-07-03T19:01:49"/>
    <m/>
    <d v="2023-07-03T00:00:00"/>
    <n v="418"/>
    <n v="14752"/>
    <s v="40167068"/>
    <s v="40167068"/>
    <m/>
    <m/>
    <n v="22656592"/>
    <m/>
    <m/>
    <m/>
    <s v="SOLFIN"/>
    <s v="SOLFIN"/>
    <s v="CCMS"/>
    <n v="21319043"/>
    <n v="7412.38"/>
    <m/>
    <s v="N"/>
    <n v="1"/>
    <d v="2023-07-03T19:02:09"/>
    <s v="Y"/>
    <s v="Preparation - other"/>
    <s v="Care Remuneration Hourly Rates"/>
    <s v="Profit Cost"/>
    <s v="MT"/>
    <s v="Y"/>
    <n v="67.17"/>
    <n v="13.43"/>
    <x v="3"/>
    <s v="VALIDATED"/>
    <n v="1"/>
    <s v="01.11.80.305.6100.0000"/>
    <n v="67.17"/>
    <s v="11"/>
    <s v="6100"/>
    <n v="33459.28"/>
    <n v="67.17"/>
    <s v="CREDITOR"/>
    <n v="0"/>
    <n v="0"/>
    <n v="0"/>
    <n v="0"/>
    <n v="67.17"/>
  </r>
  <r>
    <n v="60959858"/>
    <s v="N"/>
    <n v="21328276"/>
    <s v="3000015173120002"/>
    <s v="CIVIL"/>
    <d v="2023-06-27T00:00:00"/>
    <d v="2023-07-04T19:00:44"/>
    <m/>
    <d v="2023-07-04T00:00:00"/>
    <n v="418"/>
    <n v="14752"/>
    <s v="60959858"/>
    <s v="60959858"/>
    <m/>
    <m/>
    <n v="22769790"/>
    <m/>
    <m/>
    <m/>
    <s v="SOLFIN"/>
    <s v="SOLFIN"/>
    <s v="CCMS"/>
    <n v="21328276"/>
    <n v="194.47"/>
    <m/>
    <s v="N"/>
    <n v="1"/>
    <d v="2023-07-04T19:01:11"/>
    <s v="Y"/>
    <s v="Preparation - other"/>
    <s v="Care Remuneration Hourly Rates"/>
    <s v="Profit Cost"/>
    <s v="AR"/>
    <s v="Y"/>
    <n v="11.68"/>
    <n v="2.34"/>
    <x v="1"/>
    <s v="VALIDATED"/>
    <n v="1"/>
    <s v="01.11.80.308.6100.0000"/>
    <n v="11.68"/>
    <s v="11"/>
    <s v="6100"/>
    <n v="33459.28"/>
    <n v="11.68"/>
    <s v="CREDITOR"/>
    <n v="0"/>
    <n v="0"/>
    <n v="0"/>
    <n v="0"/>
    <n v="11.68"/>
  </r>
  <r>
    <n v="60954153"/>
    <s v="N"/>
    <n v="21327626"/>
    <s v="3000015168920004"/>
    <s v="CIVIL"/>
    <d v="2023-06-26T00:00:00"/>
    <d v="2023-07-04T19:00:44"/>
    <m/>
    <d v="2023-07-04T00:00:00"/>
    <n v="418"/>
    <n v="14752"/>
    <s v="60954153"/>
    <s v="60954153"/>
    <m/>
    <m/>
    <n v="22758442"/>
    <m/>
    <m/>
    <m/>
    <s v="SOLFIN"/>
    <s v="SOLFIN"/>
    <s v="CCMS"/>
    <n v="21327626"/>
    <n v="817.11"/>
    <m/>
    <s v="N"/>
    <n v="1"/>
    <d v="2023-07-04T19:00:51"/>
    <s v="Y"/>
    <s v="Solicitor Travel Expenses"/>
    <s v="Care Remuneration Hourly Rates"/>
    <s v="Non Expert Disbursement"/>
    <s v="MAT"/>
    <s v="Y"/>
    <n v="4.6"/>
    <n v="0.92"/>
    <x v="1"/>
    <s v="VALIDATED"/>
    <n v="1"/>
    <s v="01.11.80.305.6300.0000"/>
    <n v="4.6"/>
    <s v="11"/>
    <s v="6300"/>
    <n v="33459.28"/>
    <n v="4.6"/>
    <s v="CREDITOR"/>
    <n v="0"/>
    <n v="0"/>
    <n v="0"/>
    <n v="0"/>
    <n v="4.6"/>
  </r>
  <r>
    <n v="40167068"/>
    <s v="N"/>
    <n v="21319043"/>
    <s v="3000010786360008"/>
    <s v="CIVIL"/>
    <d v="2023-06-09T00:00:00"/>
    <d v="2023-07-03T19:01:49"/>
    <m/>
    <d v="2023-07-03T00:00:00"/>
    <n v="418"/>
    <n v="14752"/>
    <s v="40167068"/>
    <s v="40167068"/>
    <m/>
    <m/>
    <n v="22656592"/>
    <m/>
    <m/>
    <m/>
    <s v="SOLFIN"/>
    <s v="SOLFIN"/>
    <s v="CCMS"/>
    <n v="21319043"/>
    <n v="7412.38"/>
    <m/>
    <s v="N"/>
    <n v="2"/>
    <d v="2023-07-03T19:02:09"/>
    <s v="Y"/>
    <s v="Preparation - other"/>
    <s v="Care Remuneration Hourly Rates"/>
    <s v="Profit Cost"/>
    <s v="MT"/>
    <s v="Y"/>
    <n v="67.17"/>
    <n v="13.43"/>
    <x v="3"/>
    <s v="VALIDATED"/>
    <n v="1"/>
    <s v="01.11.80.305.6100.0000"/>
    <n v="67.17"/>
    <s v="11"/>
    <s v="6100"/>
    <n v="33459.28"/>
    <n v="67.17"/>
    <s v="CREDITOR"/>
    <n v="0"/>
    <n v="0"/>
    <n v="0"/>
    <n v="0"/>
    <n v="67.17"/>
  </r>
  <r>
    <n v="61283867"/>
    <s v="N"/>
    <n v="21338268"/>
    <s v="3000015446240006"/>
    <s v="CIVIL"/>
    <d v="2023-06-26T00:00:00"/>
    <d v="2023-07-06T19:21:01"/>
    <m/>
    <d v="2023-07-06T00:00:00"/>
    <n v="418"/>
    <n v="14752"/>
    <s v="61283867"/>
    <s v="61283867"/>
    <m/>
    <m/>
    <n v="22757658"/>
    <m/>
    <m/>
    <m/>
    <s v="SOLFIN"/>
    <s v="SOLFIN"/>
    <s v="CCMS"/>
    <n v="21338268"/>
    <n v="7341.02"/>
    <m/>
    <s v="N"/>
    <n v="9"/>
    <d v="2023-07-06T19:21:15"/>
    <s v="Y"/>
    <s v="Toxicologist"/>
    <s v="Public Law Children"/>
    <s v="Expert Disbursement"/>
    <s v="MAT"/>
    <s v="Y"/>
    <n v="325.01"/>
    <n v="65"/>
    <x v="4"/>
    <s v="VALIDATED"/>
    <n v="1"/>
    <s v="01.11.80.308.6300.0000"/>
    <n v="325.01"/>
    <s v="11"/>
    <s v="6300"/>
    <n v="33459.28"/>
    <n v="325.01"/>
    <s v="CREDITOR"/>
    <n v="0"/>
    <n v="0"/>
    <n v="0"/>
    <n v="0"/>
    <n v="325.01"/>
  </r>
  <r>
    <n v="40167068"/>
    <s v="N"/>
    <n v="21319043"/>
    <s v="3000010786360008"/>
    <s v="CIVIL"/>
    <d v="2023-06-09T00:00:00"/>
    <d v="2023-07-03T19:01:49"/>
    <m/>
    <d v="2023-07-03T00:00:00"/>
    <n v="418"/>
    <n v="14752"/>
    <s v="40167068"/>
    <s v="40167068"/>
    <m/>
    <m/>
    <n v="22656592"/>
    <m/>
    <m/>
    <m/>
    <s v="SOLFIN"/>
    <s v="SOLFIN"/>
    <s v="CCMS"/>
    <n v="21319043"/>
    <n v="7412.38"/>
    <m/>
    <s v="N"/>
    <n v="10"/>
    <d v="2023-07-03T19:02:09"/>
    <s v="Y"/>
    <s v="Preparation - drafting consent orde"/>
    <s v="Care Remuneration Hourly Rates"/>
    <s v="Profit Cost"/>
    <s v="KT"/>
    <s v="Y"/>
    <n v="11.68"/>
    <n v="2.34"/>
    <x v="3"/>
    <s v="VALIDATED"/>
    <n v="1"/>
    <s v="01.11.80.305.6100.0000"/>
    <n v="11.68"/>
    <s v="11"/>
    <s v="6100"/>
    <n v="33459.28"/>
    <n v="11.68"/>
    <s v="CREDITOR"/>
    <n v="0"/>
    <n v="0"/>
    <n v="0"/>
    <n v="0"/>
    <n v="11.68"/>
  </r>
  <r>
    <n v="61709374"/>
    <s v="N"/>
    <n v="21331235"/>
    <s v="3000015799560002"/>
    <s v="CIVIL"/>
    <d v="2023-06-26T00:00:00"/>
    <d v="2023-07-05T19:01:47"/>
    <m/>
    <d v="2023-07-05T00:00:00"/>
    <n v="418"/>
    <n v="14752"/>
    <s v="61709374"/>
    <s v="61709374"/>
    <m/>
    <m/>
    <n v="22760324"/>
    <m/>
    <m/>
    <m/>
    <s v="SOLFIN"/>
    <s v="SOLFIN"/>
    <s v="CCMS"/>
    <n v="21331235"/>
    <n v="3998.85"/>
    <m/>
    <s v="N"/>
    <n v="6"/>
    <d v="2023-07-05T19:02:11"/>
    <s v="Y"/>
    <s v="Hearing Unit 1.01 - 2.30 Hours"/>
    <s v="Public Law Children"/>
    <s v="Advocacy"/>
    <s v="KFT"/>
    <s v="Y"/>
    <n v="238.46"/>
    <n v="47.69"/>
    <x v="6"/>
    <s v="VALIDATED"/>
    <n v="1"/>
    <s v="01.11.80.308.6100.0000"/>
    <n v="238.46"/>
    <s v="11"/>
    <s v="6100"/>
    <n v="33459.28"/>
    <n v="238.46"/>
    <s v="CREDITOR"/>
    <n v="0"/>
    <n v="0"/>
    <n v="0"/>
    <n v="0"/>
    <n v="238.46"/>
  </r>
  <r>
    <n v="60959858"/>
    <s v="N"/>
    <n v="21328276"/>
    <s v="3000015173120002"/>
    <s v="CIVIL"/>
    <d v="2023-06-27T00:00:00"/>
    <d v="2023-07-04T19:00:44"/>
    <m/>
    <d v="2023-07-04T00:00:00"/>
    <n v="418"/>
    <n v="14752"/>
    <s v="60959858"/>
    <s v="60959858"/>
    <m/>
    <m/>
    <n v="22769790"/>
    <m/>
    <m/>
    <m/>
    <s v="SOLFIN"/>
    <s v="SOLFIN"/>
    <s v="CCMS"/>
    <n v="21328276"/>
    <n v="194.47"/>
    <m/>
    <s v="N"/>
    <n v="8"/>
    <d v="2023-07-04T19:01:11"/>
    <s v="Y"/>
    <s v="Preparation - drafting instructions"/>
    <s v="Care Remuneration Hourly Rates"/>
    <s v="Profit Cost"/>
    <s v="KFT"/>
    <s v="Y"/>
    <n v="23.36"/>
    <n v="4.67"/>
    <x v="1"/>
    <s v="VALIDATED"/>
    <n v="1"/>
    <s v="01.11.80.308.6100.0000"/>
    <n v="23.36"/>
    <s v="11"/>
    <s v="6100"/>
    <n v="33459.28"/>
    <n v="23.36"/>
    <s v="CREDITOR"/>
    <n v="0"/>
    <n v="0"/>
    <n v="0"/>
    <n v="0"/>
    <n v="23.36"/>
  </r>
  <r>
    <n v="40167068"/>
    <s v="N"/>
    <n v="21319043"/>
    <s v="3000010786360008"/>
    <s v="CIVIL"/>
    <d v="2023-06-09T00:00:00"/>
    <d v="2023-07-03T19:01:49"/>
    <m/>
    <d v="2023-07-03T00:00:00"/>
    <n v="418"/>
    <n v="14752"/>
    <s v="40167068"/>
    <s v="40167068"/>
    <m/>
    <m/>
    <n v="22656592"/>
    <m/>
    <m/>
    <m/>
    <s v="SOLFIN"/>
    <s v="SOLFIN"/>
    <s v="CCMS"/>
    <n v="21319043"/>
    <n v="7412.38"/>
    <m/>
    <s v="N"/>
    <n v="7"/>
    <d v="2023-07-03T19:02:09"/>
    <s v="Y"/>
    <s v="Preparation - drafting statement"/>
    <s v="Care Remuneration Hourly Rates"/>
    <s v="Profit Cost"/>
    <s v="MT"/>
    <s v="Y"/>
    <n v="67.17"/>
    <n v="13.43"/>
    <x v="3"/>
    <s v="VALIDATED"/>
    <n v="1"/>
    <s v="01.11.80.305.6100.0000"/>
    <n v="67.17"/>
    <s v="11"/>
    <s v="6100"/>
    <n v="33459.28"/>
    <n v="67.17"/>
    <s v="CREDITOR"/>
    <n v="0"/>
    <n v="0"/>
    <n v="0"/>
    <n v="0"/>
    <n v="67.17"/>
  </r>
  <r>
    <n v="59839080"/>
    <s v="N"/>
    <n v="21318815"/>
    <s v="3000014203590024"/>
    <s v="CIVIL"/>
    <d v="2023-06-20T00:00:00"/>
    <d v="2023-07-03T19:01:49"/>
    <m/>
    <d v="2023-07-03T00:00:00"/>
    <n v="418"/>
    <n v="14752"/>
    <s v="59839080"/>
    <s v="59839080"/>
    <m/>
    <m/>
    <n v="22726612"/>
    <m/>
    <m/>
    <m/>
    <s v="SOLFIN"/>
    <s v="SOLFIN"/>
    <s v="CCMS"/>
    <n v="21318815"/>
    <n v="13136.2"/>
    <m/>
    <s v="N"/>
    <n v="23"/>
    <d v="2023-07-03T19:02:03"/>
    <s v="Y"/>
    <s v="Expert - Other"/>
    <s v="Public Law Children"/>
    <s v="Expert Disbursement"/>
    <s v="JLS"/>
    <s v="Y"/>
    <n v="120"/>
    <n v="24"/>
    <x v="3"/>
    <s v="VALIDATED"/>
    <n v="1"/>
    <s v="01.11.80.308.6300.0000"/>
    <n v="120"/>
    <s v="11"/>
    <s v="6300"/>
    <n v="33459.28"/>
    <n v="120"/>
    <s v="CREDITOR"/>
    <n v="0"/>
    <n v="0"/>
    <n v="0"/>
    <n v="0"/>
    <n v="120"/>
  </r>
  <r>
    <n v="59839080"/>
    <s v="N"/>
    <n v="21318815"/>
    <s v="3000014203590024"/>
    <s v="CIVIL"/>
    <d v="2023-06-20T00:00:00"/>
    <d v="2023-07-03T19:01:49"/>
    <m/>
    <d v="2023-07-03T00:00:00"/>
    <n v="418"/>
    <n v="14752"/>
    <s v="59839080"/>
    <s v="59839080"/>
    <m/>
    <m/>
    <n v="22726612"/>
    <m/>
    <m/>
    <m/>
    <s v="SOLFIN"/>
    <s v="SOLFIN"/>
    <s v="CCMS"/>
    <n v="21318815"/>
    <n v="13136.2"/>
    <m/>
    <s v="N"/>
    <n v="27"/>
    <d v="2023-07-03T19:02:03"/>
    <s v="Y"/>
    <s v="Advocates Meeting"/>
    <s v="Public Law Children"/>
    <s v="Advocacy"/>
    <s v="KFT"/>
    <s v="Y"/>
    <n v="140.99"/>
    <n v="28.2"/>
    <x v="3"/>
    <s v="VALIDATED"/>
    <n v="1"/>
    <s v="01.11.80.308.6100.0000"/>
    <n v="140.99"/>
    <s v="11"/>
    <s v="6100"/>
    <n v="33459.28"/>
    <n v="140.99"/>
    <s v="CREDITOR"/>
    <n v="0"/>
    <n v="0"/>
    <n v="0"/>
    <n v="0"/>
    <n v="140.99"/>
  </r>
  <r>
    <n v="40167068"/>
    <s v="N"/>
    <n v="21319043"/>
    <s v="3000010786360008"/>
    <s v="CIVIL"/>
    <d v="2023-06-09T00:00:00"/>
    <d v="2023-07-03T19:01:49"/>
    <m/>
    <d v="2023-07-03T00:00:00"/>
    <n v="418"/>
    <n v="14752"/>
    <s v="40167068"/>
    <s v="40167068"/>
    <m/>
    <m/>
    <n v="22656592"/>
    <m/>
    <m/>
    <m/>
    <s v="SOLFIN"/>
    <s v="SOLFIN"/>
    <s v="CCMS"/>
    <n v="21319043"/>
    <n v="7412.38"/>
    <m/>
    <s v="N"/>
    <n v="12"/>
    <d v="2023-07-03T19:02:09"/>
    <s v="Y"/>
    <s v="Preparation - drafting application"/>
    <s v="Care Remuneration Hourly Rates"/>
    <s v="Profit Cost"/>
    <s v="KT"/>
    <s v="Y"/>
    <n v="11.68"/>
    <n v="2.34"/>
    <x v="3"/>
    <s v="VALIDATED"/>
    <n v="1"/>
    <s v="01.11.80.305.6100.0000"/>
    <n v="11.68"/>
    <s v="11"/>
    <s v="6100"/>
    <n v="33459.28"/>
    <n v="11.68"/>
    <s v="CREDITOR"/>
    <n v="0"/>
    <n v="0"/>
    <n v="0"/>
    <n v="0"/>
    <n v="11.68"/>
  </r>
  <r>
    <n v="60949177"/>
    <s v="N"/>
    <n v="21338409"/>
    <s v="3000015164440011"/>
    <s v="CIVIL"/>
    <d v="2023-06-27T00:00:00"/>
    <d v="2023-07-06T19:21:01"/>
    <m/>
    <d v="2023-07-06T00:00:00"/>
    <n v="418"/>
    <n v="14752"/>
    <s v="60949177"/>
    <s v="60949177"/>
    <m/>
    <m/>
    <n v="22770004"/>
    <m/>
    <m/>
    <m/>
    <s v="SOLFIN"/>
    <s v="SOLFIN"/>
    <s v="CCMS"/>
    <n v="21338409"/>
    <n v="6354.31"/>
    <m/>
    <s v="N"/>
    <n v="6"/>
    <d v="2023-07-06T19:21:24"/>
    <s v="Y"/>
    <s v="Toxicologist"/>
    <s v="Public Law Children"/>
    <s v="Expert Disbursement"/>
    <s v="KFT"/>
    <s v="Y"/>
    <n v="145.75"/>
    <n v="29.15"/>
    <x v="4"/>
    <s v="VALIDATED"/>
    <n v="1"/>
    <s v="01.11.80.308.6300.0000"/>
    <n v="145.75"/>
    <s v="11"/>
    <s v="6300"/>
    <n v="33459.28"/>
    <n v="145.75"/>
    <s v="CREDITOR"/>
    <n v="0"/>
    <n v="0"/>
    <n v="0"/>
    <n v="0"/>
    <n v="145.75"/>
  </r>
  <r>
    <n v="61431337"/>
    <s v="N"/>
    <n v="21331095"/>
    <s v="3000015566430002"/>
    <s v="CIVIL"/>
    <d v="2023-06-26T00:00:00"/>
    <d v="2023-07-05T19:01:47"/>
    <m/>
    <d v="2023-07-05T00:00:00"/>
    <n v="418"/>
    <n v="14752"/>
    <s v="61431337"/>
    <s v="61431337"/>
    <m/>
    <m/>
    <n v="22759804"/>
    <m/>
    <m/>
    <m/>
    <s v="SOLFIN"/>
    <s v="SOLFIN"/>
    <s v="CCMS"/>
    <n v="21331095"/>
    <n v="4483.97"/>
    <m/>
    <s v="N"/>
    <n v="7"/>
    <d v="2023-07-05T19:02:05"/>
    <s v="Y"/>
    <s v="Advocates Meeting"/>
    <s v="Public Law Children"/>
    <s v="Advocacy"/>
    <s v="MAT"/>
    <s v="Y"/>
    <n v="140.99"/>
    <n v="28.2"/>
    <x v="6"/>
    <s v="VALIDATED"/>
    <n v="1"/>
    <s v="01.11.80.308.6100.0000"/>
    <n v="140.99"/>
    <s v="11"/>
    <s v="6100"/>
    <n v="33459.28"/>
    <n v="140.99"/>
    <s v="CREDITOR"/>
    <n v="0"/>
    <n v="0"/>
    <n v="0"/>
    <n v="0"/>
    <n v="140.99"/>
  </r>
  <r>
    <n v="40167068"/>
    <s v="N"/>
    <n v="21319043"/>
    <s v="3000010786360008"/>
    <s v="CIVIL"/>
    <d v="2023-06-09T00:00:00"/>
    <d v="2023-07-03T19:01:49"/>
    <m/>
    <d v="2023-07-03T00:00:00"/>
    <n v="418"/>
    <n v="14752"/>
    <s v="40167068"/>
    <s v="40167068"/>
    <m/>
    <m/>
    <n v="22656592"/>
    <m/>
    <m/>
    <m/>
    <s v="SOLFIN"/>
    <s v="SOLFIN"/>
    <s v="CCMS"/>
    <n v="21319043"/>
    <n v="7412.38"/>
    <m/>
    <s v="N"/>
    <n v="33"/>
    <d v="2023-07-03T19:02:09"/>
    <s v="Y"/>
    <s v="Hearing Unit 1.01 - 2.30 Hours"/>
    <s v="Other Public Law Children"/>
    <s v="Advocacy"/>
    <s v="MT"/>
    <s v="Y"/>
    <n v="208.53"/>
    <n v="41.71"/>
    <x v="3"/>
    <s v="VALIDATED"/>
    <n v="1"/>
    <s v="01.11.80.305.6100.0000"/>
    <n v="208.53"/>
    <s v="11"/>
    <s v="6100"/>
    <n v="33459.28"/>
    <n v="208.53"/>
    <s v="CREDITOR"/>
    <n v="0"/>
    <n v="0"/>
    <n v="0"/>
    <n v="0"/>
    <n v="208.53"/>
  </r>
  <r>
    <n v="61802148"/>
    <s v="N"/>
    <n v="21338059"/>
    <s v="3000015874730001"/>
    <s v="CIVIL"/>
    <d v="2023-06-26T00:00:00"/>
    <d v="2023-07-06T19:21:01"/>
    <m/>
    <d v="2023-07-06T00:00:00"/>
    <n v="418"/>
    <n v="14752"/>
    <s v="61802148"/>
    <s v="61802148"/>
    <m/>
    <m/>
    <n v="22760510"/>
    <m/>
    <m/>
    <m/>
    <s v="SOLPOA"/>
    <s v="SOLPOA"/>
    <s v="CCMS"/>
    <n v="21338059"/>
    <n v="254.7"/>
    <m/>
    <s v="N"/>
    <n v="1"/>
    <d v="2023-07-06T19:21:11"/>
    <s v="N"/>
    <s v="Expert Cost"/>
    <s v="Expert Cost"/>
    <s v="Expert Disbursement"/>
    <s v="MAT"/>
    <s v="N"/>
    <n v="212.25"/>
    <n v="42.45"/>
    <x v="4"/>
    <s v="VALIDATED"/>
    <n v="1"/>
    <s v="01.11.80.308.2012.0000"/>
    <n v="212.25"/>
    <s v="11"/>
    <s v="2012"/>
    <n v="33459.28"/>
    <n v="212.25"/>
    <s v="CREDITOR"/>
    <n v="212.25"/>
    <n v="0"/>
    <n v="0"/>
    <n v="0"/>
    <n v="0"/>
  </r>
  <r>
    <n v="60949177"/>
    <s v="N"/>
    <n v="21338409"/>
    <s v="3000015164440011"/>
    <s v="CIVIL"/>
    <d v="2023-06-27T00:00:00"/>
    <d v="2023-07-06T19:21:01"/>
    <m/>
    <d v="2023-07-06T00:00:00"/>
    <n v="418"/>
    <n v="14752"/>
    <s v="60949177"/>
    <s v="60949177"/>
    <m/>
    <m/>
    <n v="22770004"/>
    <m/>
    <m/>
    <m/>
    <s v="SOLFIN"/>
    <s v="SOLFIN"/>
    <s v="CCMS"/>
    <n v="21338409"/>
    <n v="6354.31"/>
    <m/>
    <s v="N"/>
    <n v="7"/>
    <d v="2023-07-06T19:21:24"/>
    <s v="Y"/>
    <s v="DNA - test of sample"/>
    <s v="Public Law Children"/>
    <s v="Expert Disbursement"/>
    <s v="KFT"/>
    <s v="Y"/>
    <n v="266"/>
    <n v="53.2"/>
    <x v="4"/>
    <s v="VALIDATED"/>
    <n v="1"/>
    <s v="01.11.80.308.6300.0000"/>
    <n v="266"/>
    <s v="11"/>
    <s v="6300"/>
    <n v="33459.28"/>
    <n v="266"/>
    <s v="CREDITOR"/>
    <n v="0"/>
    <n v="0"/>
    <n v="0"/>
    <n v="0"/>
    <n v="266"/>
  </r>
  <r>
    <n v="60954153"/>
    <s v="N"/>
    <n v="21327626"/>
    <s v="3000015168920004"/>
    <s v="CIVIL"/>
    <d v="2023-06-26T00:00:00"/>
    <d v="2023-07-04T19:00:44"/>
    <m/>
    <d v="2023-07-04T00:00:00"/>
    <n v="418"/>
    <n v="14752"/>
    <s v="60954153"/>
    <s v="60954153"/>
    <m/>
    <m/>
    <n v="22758442"/>
    <m/>
    <m/>
    <m/>
    <s v="SOLFIN"/>
    <s v="SOLFIN"/>
    <s v="CCMS"/>
    <n v="21327626"/>
    <n v="817.11"/>
    <m/>
    <s v="N"/>
    <n v="4"/>
    <d v="2023-07-04T19:00:51"/>
    <s v="Y"/>
    <s v="Preparation - other"/>
    <s v="Care Remuneration Hourly Rates"/>
    <s v="Profit Cost"/>
    <s v="KDS"/>
    <s v="Y"/>
    <n v="17.52"/>
    <n v="3.5"/>
    <x v="1"/>
    <s v="VALIDATED"/>
    <n v="1"/>
    <s v="01.11.80.305.6100.0000"/>
    <n v="17.52"/>
    <s v="11"/>
    <s v="6100"/>
    <n v="33459.28"/>
    <n v="17.52"/>
    <s v="CREDITOR"/>
    <n v="0"/>
    <n v="0"/>
    <n v="0"/>
    <n v="0"/>
    <n v="17.52"/>
  </r>
  <r>
    <n v="60949177"/>
    <s v="N"/>
    <n v="21338409"/>
    <s v="3000015164440011"/>
    <s v="CIVIL"/>
    <d v="2023-06-27T00:00:00"/>
    <d v="2023-07-06T19:21:01"/>
    <m/>
    <d v="2023-07-06T00:00:00"/>
    <n v="418"/>
    <n v="14752"/>
    <s v="60949177"/>
    <s v="60949177"/>
    <m/>
    <m/>
    <n v="22770004"/>
    <m/>
    <m/>
    <m/>
    <s v="SOLFIN"/>
    <s v="SOLFIN"/>
    <s v="CCMS"/>
    <n v="21338409"/>
    <n v="6354.31"/>
    <m/>
    <s v="N"/>
    <n v="8"/>
    <d v="2023-07-06T19:21:24"/>
    <s v="Y"/>
    <s v="Psychologist"/>
    <s v="Public Law Children"/>
    <s v="Expert Disbursement"/>
    <s v="KFT"/>
    <s v="Y"/>
    <n v="526.14"/>
    <n v="105.23"/>
    <x v="4"/>
    <s v="VALIDATED"/>
    <n v="1"/>
    <s v="01.11.80.308.6300.0000"/>
    <n v="526.14"/>
    <s v="11"/>
    <s v="6300"/>
    <n v="33459.28"/>
    <n v="526.14"/>
    <s v="CREDITOR"/>
    <n v="0"/>
    <n v="0"/>
    <n v="0"/>
    <n v="0"/>
    <n v="526.14"/>
  </r>
  <r>
    <n v="60954153"/>
    <s v="N"/>
    <n v="21327626"/>
    <s v="3000015168920004"/>
    <s v="CIVIL"/>
    <d v="2023-06-26T00:00:00"/>
    <d v="2023-07-04T19:00:44"/>
    <m/>
    <d v="2023-07-04T00:00:00"/>
    <n v="418"/>
    <n v="14752"/>
    <s v="60954153"/>
    <s v="60954153"/>
    <m/>
    <m/>
    <n v="22758442"/>
    <m/>
    <m/>
    <m/>
    <s v="SOLFIN"/>
    <s v="SOLFIN"/>
    <s v="CCMS"/>
    <n v="21327626"/>
    <n v="817.11"/>
    <m/>
    <s v="N"/>
    <n v="10"/>
    <d v="2023-07-04T19:00:51"/>
    <s v="Y"/>
    <s v="Preparation - drafting instructions"/>
    <s v="Care Remuneration Hourly Rates"/>
    <s v="Profit Cost"/>
    <s v="MAT"/>
    <s v="Y"/>
    <n v="20.15"/>
    <n v="4.03"/>
    <x v="1"/>
    <s v="VALIDATED"/>
    <n v="1"/>
    <s v="01.11.80.305.6100.0000"/>
    <n v="20.15"/>
    <s v="11"/>
    <s v="6100"/>
    <n v="33459.28"/>
    <n v="20.15"/>
    <s v="CREDITOR"/>
    <n v="0"/>
    <n v="0"/>
    <n v="0"/>
    <n v="0"/>
    <n v="20.15"/>
  </r>
  <r>
    <n v="59839080"/>
    <s v="N"/>
    <n v="21318815"/>
    <s v="3000014203590024"/>
    <s v="CIVIL"/>
    <d v="2023-06-20T00:00:00"/>
    <d v="2023-07-03T19:01:49"/>
    <m/>
    <d v="2023-07-03T00:00:00"/>
    <n v="418"/>
    <n v="14752"/>
    <s v="59839080"/>
    <s v="59839080"/>
    <m/>
    <m/>
    <n v="22726612"/>
    <m/>
    <m/>
    <m/>
    <s v="SOLFIN"/>
    <s v="SOLFIN"/>
    <s v="CCMS"/>
    <n v="21318815"/>
    <n v="13136.2"/>
    <m/>
    <s v="N"/>
    <n v="10"/>
    <d v="2023-07-03T19:02:03"/>
    <s v="Y"/>
    <s v="Solicitor Travel Mileage"/>
    <s v="Public Law Children"/>
    <s v="Non Expert Disbursement"/>
    <s v="JLS"/>
    <s v="Y"/>
    <n v="19.8"/>
    <n v="3.96"/>
    <x v="3"/>
    <s v="VALIDATED"/>
    <n v="1"/>
    <s v="01.11.80.308.6300.0000"/>
    <n v="19.8"/>
    <s v="11"/>
    <s v="6300"/>
    <n v="33459.28"/>
    <n v="19.8"/>
    <s v="CREDITOR"/>
    <n v="0"/>
    <n v="0"/>
    <n v="0"/>
    <n v="0"/>
    <n v="19.8"/>
  </r>
  <r>
    <n v="60949177"/>
    <s v="N"/>
    <n v="21338409"/>
    <s v="3000015164440011"/>
    <s v="CIVIL"/>
    <d v="2023-06-27T00:00:00"/>
    <d v="2023-07-06T19:21:01"/>
    <m/>
    <d v="2023-07-06T00:00:00"/>
    <n v="418"/>
    <n v="14752"/>
    <s v="60949177"/>
    <s v="60949177"/>
    <m/>
    <m/>
    <n v="22770004"/>
    <m/>
    <m/>
    <m/>
    <s v="SOLFIN"/>
    <s v="SOLFIN"/>
    <s v="CCMS"/>
    <n v="21338409"/>
    <n v="6354.31"/>
    <m/>
    <s v="N"/>
    <n v="4"/>
    <d v="2023-07-06T19:21:24"/>
    <s v="Y"/>
    <s v="Solicitor Travel Expenses"/>
    <s v="Public Law Children"/>
    <s v="Non Expert Disbursement"/>
    <s v="KFT"/>
    <s v="Y"/>
    <n v="6.2"/>
    <n v="1.24"/>
    <x v="4"/>
    <s v="VALIDATED"/>
    <n v="1"/>
    <s v="01.11.80.308.6300.0000"/>
    <n v="6.2"/>
    <s v="11"/>
    <s v="6300"/>
    <n v="33459.28"/>
    <n v="6.2"/>
    <s v="CREDITOR"/>
    <n v="0"/>
    <n v="0"/>
    <n v="0"/>
    <n v="0"/>
    <n v="6.2"/>
  </r>
  <r>
    <n v="60954153"/>
    <s v="N"/>
    <n v="21327626"/>
    <s v="3000015168920004"/>
    <s v="CIVIL"/>
    <d v="2023-06-26T00:00:00"/>
    <d v="2023-07-04T19:00:44"/>
    <m/>
    <d v="2023-07-04T00:00:00"/>
    <n v="418"/>
    <n v="14752"/>
    <s v="60954153"/>
    <s v="60954153"/>
    <m/>
    <m/>
    <n v="22758442"/>
    <m/>
    <m/>
    <m/>
    <s v="SOLFIN"/>
    <s v="SOLFIN"/>
    <s v="CCMS"/>
    <n v="21327626"/>
    <n v="817.11"/>
    <m/>
    <s v="N"/>
    <n v="11"/>
    <d v="2023-07-04T19:00:51"/>
    <s v="Y"/>
    <s v="Preparation - other"/>
    <s v="Care Remuneration Hourly Rates"/>
    <s v="Profit Cost"/>
    <s v="KDS"/>
    <s v="Y"/>
    <n v="5.84"/>
    <n v="1.17"/>
    <x v="1"/>
    <s v="VALIDATED"/>
    <n v="1"/>
    <s v="01.11.80.305.6100.0000"/>
    <n v="5.84"/>
    <s v="11"/>
    <s v="6100"/>
    <n v="33459.28"/>
    <n v="5.84"/>
    <s v="CREDITOR"/>
    <n v="0"/>
    <n v="0"/>
    <n v="0"/>
    <n v="0"/>
    <n v="5.84"/>
  </r>
  <r>
    <n v="62410804"/>
    <s v="N"/>
    <n v="21323594"/>
    <s v="3000016383510001"/>
    <s v="CIVIL"/>
    <d v="2023-06-30T00:00:00"/>
    <d v="2023-07-03T19:05:56"/>
    <m/>
    <d v="2023-07-03T00:00:00"/>
    <n v="418"/>
    <n v="14752"/>
    <s v="62410804"/>
    <s v="62410804"/>
    <m/>
    <m/>
    <n v="22795700"/>
    <m/>
    <m/>
    <m/>
    <s v="SOLPOA"/>
    <s v="SOLPOA"/>
    <s v="CCMS"/>
    <n v="21323594"/>
    <n v="165.6"/>
    <m/>
    <s v="N"/>
    <n v="1"/>
    <d v="2023-07-03T19:05:58"/>
    <s v="N"/>
    <s v="Expert Cost"/>
    <s v="Expert Cost"/>
    <s v="Expert Disbursement"/>
    <s v="Mark Tooley"/>
    <s v="N"/>
    <n v="165.6"/>
    <n v="0"/>
    <x v="3"/>
    <s v="VALIDATED"/>
    <n v="1"/>
    <s v="01.11.80.308.2012.0000"/>
    <n v="165.6"/>
    <s v="11"/>
    <s v="2012"/>
    <n v="33459.28"/>
    <n v="165.6"/>
    <s v="CREDITOR"/>
    <n v="165.6"/>
    <n v="0"/>
    <n v="0"/>
    <n v="0"/>
    <n v="0"/>
  </r>
  <r>
    <n v="59839080"/>
    <s v="N"/>
    <n v="21318815"/>
    <s v="3000014203590024"/>
    <s v="CIVIL"/>
    <d v="2023-06-20T00:00:00"/>
    <d v="2023-07-03T19:01:49"/>
    <m/>
    <d v="2023-07-03T00:00:00"/>
    <n v="418"/>
    <n v="14752"/>
    <s v="59839080"/>
    <s v="59839080"/>
    <m/>
    <m/>
    <n v="22726612"/>
    <m/>
    <m/>
    <m/>
    <s v="SOLFIN"/>
    <s v="SOLFIN"/>
    <s v="CCMS"/>
    <n v="21318815"/>
    <n v="13136.2"/>
    <m/>
    <s v="N"/>
    <n v="20"/>
    <d v="2023-07-03T19:02:03"/>
    <s v="Y"/>
    <s v="Neuroradiologist"/>
    <s v="Public Law Children"/>
    <s v="Expert Disbursement"/>
    <s v="JLS"/>
    <s v="Y"/>
    <n v="360"/>
    <n v="72"/>
    <x v="3"/>
    <s v="VALIDATED"/>
    <n v="1"/>
    <s v="01.11.80.308.6300.0000"/>
    <n v="360"/>
    <s v="11"/>
    <s v="6300"/>
    <n v="33459.28"/>
    <n v="360"/>
    <s v="CREDITOR"/>
    <n v="0"/>
    <n v="0"/>
    <n v="0"/>
    <n v="0"/>
    <n v="360"/>
  </r>
  <r>
    <n v="59839080"/>
    <s v="N"/>
    <n v="21318815"/>
    <s v="3000014203590024"/>
    <s v="CIVIL"/>
    <d v="2023-06-20T00:00:00"/>
    <d v="2023-07-03T19:01:49"/>
    <m/>
    <d v="2023-07-03T00:00:00"/>
    <n v="418"/>
    <n v="14752"/>
    <s v="59839080"/>
    <s v="59839080"/>
    <m/>
    <m/>
    <n v="22726612"/>
    <m/>
    <m/>
    <m/>
    <s v="SOLFIN"/>
    <s v="SOLFIN"/>
    <s v="CCMS"/>
    <n v="21318815"/>
    <n v="13136.2"/>
    <m/>
    <s v="N"/>
    <n v="12"/>
    <d v="2023-07-03T19:02:03"/>
    <s v="Y"/>
    <s v="Haematologist"/>
    <s v="Public Law Children"/>
    <s v="Expert Disbursement"/>
    <s v="JLS"/>
    <s v="Y"/>
    <n v="367.2"/>
    <n v="0"/>
    <x v="3"/>
    <s v="VALIDATED"/>
    <n v="1"/>
    <s v="01.11.80.308.6300.0000"/>
    <n v="367.2"/>
    <s v="11"/>
    <s v="6300"/>
    <n v="33459.28"/>
    <n v="367.2"/>
    <s v="CREDITOR"/>
    <n v="0"/>
    <n v="0"/>
    <n v="0"/>
    <n v="0"/>
    <n v="367.2"/>
  </r>
  <r>
    <n v="60954153"/>
    <s v="N"/>
    <n v="21327626"/>
    <s v="3000015168920004"/>
    <s v="CIVIL"/>
    <d v="2023-06-26T00:00:00"/>
    <d v="2023-07-04T19:00:44"/>
    <m/>
    <d v="2023-07-04T00:00:00"/>
    <n v="418"/>
    <n v="14752"/>
    <s v="60954153"/>
    <s v="60954153"/>
    <m/>
    <m/>
    <n v="22758442"/>
    <m/>
    <m/>
    <m/>
    <s v="SOLFIN"/>
    <s v="SOLFIN"/>
    <s v="CCMS"/>
    <n v="21327626"/>
    <n v="817.11"/>
    <m/>
    <s v="N"/>
    <n v="12"/>
    <d v="2023-07-04T19:00:51"/>
    <s v="Y"/>
    <s v="Preparation - other"/>
    <s v="Care Remuneration Hourly Rates"/>
    <s v="Profit Cost"/>
    <s v="MAT"/>
    <s v="Y"/>
    <n v="33.59"/>
    <n v="6.72"/>
    <x v="1"/>
    <s v="VALIDATED"/>
    <n v="1"/>
    <s v="01.11.80.305.6100.0000"/>
    <n v="33.59"/>
    <s v="11"/>
    <s v="6100"/>
    <n v="33459.28"/>
    <n v="33.59"/>
    <s v="CREDITOR"/>
    <n v="0"/>
    <n v="0"/>
    <n v="0"/>
    <n v="0"/>
    <n v="33.59"/>
  </r>
  <r>
    <n v="40167068"/>
    <s v="N"/>
    <n v="21319043"/>
    <s v="3000010786360008"/>
    <s v="CIVIL"/>
    <d v="2023-06-09T00:00:00"/>
    <d v="2023-07-03T19:01:49"/>
    <m/>
    <d v="2023-07-03T00:00:00"/>
    <n v="418"/>
    <n v="14752"/>
    <s v="40167068"/>
    <s v="40167068"/>
    <m/>
    <m/>
    <n v="22656592"/>
    <m/>
    <m/>
    <m/>
    <s v="SOLFIN"/>
    <s v="SOLFIN"/>
    <s v="CCMS"/>
    <n v="21319043"/>
    <n v="7412.38"/>
    <m/>
    <s v="N"/>
    <n v="11"/>
    <d v="2023-07-03T19:02:09"/>
    <s v="Y"/>
    <s v="Preparation - drafting consent orde"/>
    <s v="Care Remuneration Hourly Rates"/>
    <s v="Profit Cost"/>
    <s v="KT"/>
    <s v="Y"/>
    <n v="5.84"/>
    <n v="1.17"/>
    <x v="3"/>
    <s v="VALIDATED"/>
    <n v="1"/>
    <s v="01.11.80.305.6100.0000"/>
    <n v="5.84"/>
    <s v="11"/>
    <s v="6100"/>
    <n v="33459.28"/>
    <n v="5.84"/>
    <s v="CREDITOR"/>
    <n v="0"/>
    <n v="0"/>
    <n v="0"/>
    <n v="0"/>
    <n v="5.84"/>
  </r>
  <r>
    <n v="59839080"/>
    <s v="N"/>
    <n v="21318815"/>
    <s v="3000014203590024"/>
    <s v="CIVIL"/>
    <d v="2023-06-20T00:00:00"/>
    <d v="2023-07-03T19:01:49"/>
    <m/>
    <d v="2023-07-03T00:00:00"/>
    <n v="418"/>
    <n v="14752"/>
    <s v="59839080"/>
    <s v="59839080"/>
    <m/>
    <m/>
    <n v="22726612"/>
    <m/>
    <m/>
    <m/>
    <s v="SOLFIN"/>
    <s v="SOLFIN"/>
    <s v="CCMS"/>
    <n v="21318815"/>
    <n v="13136.2"/>
    <m/>
    <s v="N"/>
    <n v="22"/>
    <d v="2023-07-03T19:02:03"/>
    <s v="Y"/>
    <s v="Neurosurgeon"/>
    <s v="Public Law Children"/>
    <s v="Expert Disbursement"/>
    <s v="JLS"/>
    <s v="Y"/>
    <n v="574.5599999999999"/>
    <n v="114.91"/>
    <x v="3"/>
    <s v="VALIDATED"/>
    <n v="1"/>
    <s v="01.11.80.308.6300.0000"/>
    <n v="574.5599999999999"/>
    <s v="11"/>
    <s v="6300"/>
    <n v="33459.28"/>
    <n v="574.5599999999999"/>
    <s v="CREDITOR"/>
    <n v="0"/>
    <n v="0"/>
    <n v="0"/>
    <n v="0"/>
    <n v="574.5599999999999"/>
  </r>
  <r>
    <n v="61283867"/>
    <s v="N"/>
    <n v="21338268"/>
    <s v="3000015446240006"/>
    <s v="CIVIL"/>
    <d v="2023-06-26T00:00:00"/>
    <d v="2023-07-06T19:21:01"/>
    <m/>
    <d v="2023-07-06T00:00:00"/>
    <n v="418"/>
    <n v="14752"/>
    <s v="61283867"/>
    <s v="61283867"/>
    <m/>
    <m/>
    <n v="22757658"/>
    <m/>
    <m/>
    <m/>
    <s v="SOLFIN"/>
    <s v="SOLFIN"/>
    <s v="CCMS"/>
    <n v="21338268"/>
    <n v="7341.02"/>
    <m/>
    <s v="N"/>
    <n v="8"/>
    <d v="2023-07-06T19:21:15"/>
    <s v="Y"/>
    <s v="Psychologist"/>
    <s v="Public Law Children"/>
    <s v="Expert Disbursement"/>
    <s v="MAT"/>
    <s v="Y"/>
    <n v="579.15"/>
    <n v="115.83"/>
    <x v="4"/>
    <s v="VALIDATED"/>
    <n v="1"/>
    <s v="01.11.80.308.6300.0000"/>
    <n v="579.15"/>
    <s v="11"/>
    <s v="6300"/>
    <n v="33459.28"/>
    <n v="579.15"/>
    <s v="CREDITOR"/>
    <n v="0"/>
    <n v="0"/>
    <n v="0"/>
    <n v="0"/>
    <n v="579.15"/>
  </r>
  <r>
    <n v="60954153"/>
    <s v="N"/>
    <n v="21327626"/>
    <s v="3000015168920004"/>
    <s v="CIVIL"/>
    <d v="2023-06-26T00:00:00"/>
    <d v="2023-07-04T19:00:44"/>
    <m/>
    <d v="2023-07-04T00:00:00"/>
    <n v="418"/>
    <n v="14752"/>
    <s v="60954153"/>
    <s v="60954153"/>
    <m/>
    <m/>
    <n v="22758442"/>
    <m/>
    <m/>
    <m/>
    <s v="SOLFIN"/>
    <s v="SOLFIN"/>
    <s v="CCMS"/>
    <n v="21327626"/>
    <n v="817.11"/>
    <m/>
    <s v="N"/>
    <n v="15"/>
    <d v="2023-07-04T19:00:51"/>
    <s v="Y"/>
    <s v="Preparation - other"/>
    <s v="Care Remuneration Hourly Rates"/>
    <s v="Profit Cost"/>
    <s v="KDS"/>
    <s v="Y"/>
    <n v="5.84"/>
    <n v="1.17"/>
    <x v="1"/>
    <s v="VALIDATED"/>
    <n v="1"/>
    <s v="01.11.80.305.6100.0000"/>
    <n v="5.84"/>
    <s v="11"/>
    <s v="6100"/>
    <n v="33459.28"/>
    <n v="5.84"/>
    <s v="CREDITOR"/>
    <n v="0"/>
    <n v="0"/>
    <n v="0"/>
    <n v="0"/>
    <n v="5.84"/>
  </r>
  <r>
    <n v="60949177"/>
    <s v="N"/>
    <n v="21338409"/>
    <s v="3000015164440011"/>
    <s v="CIVIL"/>
    <d v="2023-06-27T00:00:00"/>
    <d v="2023-07-06T19:21:01"/>
    <m/>
    <d v="2023-07-06T00:00:00"/>
    <n v="418"/>
    <n v="14752"/>
    <s v="60949177"/>
    <s v="60949177"/>
    <m/>
    <m/>
    <n v="22770004"/>
    <m/>
    <m/>
    <m/>
    <s v="SOLFIN"/>
    <s v="SOLFIN"/>
    <s v="CCMS"/>
    <n v="21338409"/>
    <n v="6354.31"/>
    <m/>
    <s v="N"/>
    <n v="11"/>
    <d v="2023-07-06T19:21:24"/>
    <s v="Y"/>
    <s v="Hearing Unit 2.31 - 5.00 Hours"/>
    <s v="Public Law Children"/>
    <s v="Advocacy"/>
    <s v="KFT"/>
    <s v="Y"/>
    <n v="476.92"/>
    <n v="95.38"/>
    <x v="4"/>
    <s v="VALIDATED"/>
    <n v="1"/>
    <s v="01.11.80.308.6100.0000"/>
    <n v="476.92"/>
    <s v="11"/>
    <s v="6100"/>
    <n v="33459.28"/>
    <n v="476.92"/>
    <s v="CREDITOR"/>
    <n v="0"/>
    <n v="0"/>
    <n v="0"/>
    <n v="0"/>
    <n v="476.92"/>
  </r>
  <r>
    <n v="60959858"/>
    <s v="N"/>
    <n v="21328276"/>
    <s v="3000015173120002"/>
    <s v="CIVIL"/>
    <d v="2023-06-27T00:00:00"/>
    <d v="2023-07-04T19:00:44"/>
    <m/>
    <d v="2023-07-04T00:00:00"/>
    <n v="418"/>
    <n v="14752"/>
    <s v="60959858"/>
    <s v="60959858"/>
    <m/>
    <m/>
    <n v="22769790"/>
    <m/>
    <m/>
    <m/>
    <s v="SOLFIN"/>
    <s v="SOLFIN"/>
    <s v="CCMS"/>
    <n v="21328276"/>
    <n v="194.47"/>
    <m/>
    <s v="N"/>
    <n v="4"/>
    <d v="2023-07-04T19:01:11"/>
    <s v="Y"/>
    <s v="Routine Letter In"/>
    <s v="Care Remuneration Hourly Rates"/>
    <s v="Profit Cost"/>
    <s v="KFT"/>
    <s v="Y"/>
    <n v="16.65"/>
    <n v="3.33"/>
    <x v="1"/>
    <s v="VALIDATED"/>
    <n v="1"/>
    <s v="01.11.80.308.6100.0000"/>
    <n v="16.65"/>
    <s v="11"/>
    <s v="6100"/>
    <n v="33459.28"/>
    <n v="16.65"/>
    <s v="CREDITOR"/>
    <n v="0"/>
    <n v="0"/>
    <n v="0"/>
    <n v="0"/>
    <n v="16.65"/>
  </r>
  <r>
    <n v="60954153"/>
    <s v="N"/>
    <n v="21327626"/>
    <s v="3000015168920004"/>
    <s v="CIVIL"/>
    <d v="2023-06-26T00:00:00"/>
    <d v="2023-07-04T19:00:44"/>
    <m/>
    <d v="2023-07-04T00:00:00"/>
    <n v="418"/>
    <n v="14752"/>
    <s v="60954153"/>
    <s v="60954153"/>
    <m/>
    <m/>
    <n v="22758442"/>
    <m/>
    <m/>
    <m/>
    <s v="SOLFIN"/>
    <s v="SOLFIN"/>
    <s v="CCMS"/>
    <n v="21327626"/>
    <n v="817.11"/>
    <m/>
    <s v="N"/>
    <n v="9"/>
    <d v="2023-07-04T19:00:51"/>
    <s v="Y"/>
    <s v="Preparation - other"/>
    <s v="Care Remuneration Hourly Rates"/>
    <s v="Profit Cost"/>
    <s v="KDS"/>
    <s v="Y"/>
    <n v="5.84"/>
    <n v="1.17"/>
    <x v="1"/>
    <s v="VALIDATED"/>
    <n v="1"/>
    <s v="01.11.80.305.6100.0000"/>
    <n v="5.84"/>
    <s v="11"/>
    <s v="6100"/>
    <n v="33459.28"/>
    <n v="5.84"/>
    <s v="CREDITOR"/>
    <n v="0"/>
    <n v="0"/>
    <n v="0"/>
    <n v="0"/>
    <n v="5.84"/>
  </r>
  <r>
    <n v="60954153"/>
    <s v="N"/>
    <n v="21327626"/>
    <s v="3000015168920004"/>
    <s v="CIVIL"/>
    <d v="2023-06-26T00:00:00"/>
    <d v="2023-07-04T19:00:44"/>
    <m/>
    <d v="2023-07-04T00:00:00"/>
    <n v="418"/>
    <n v="14752"/>
    <s v="60954153"/>
    <s v="60954153"/>
    <m/>
    <m/>
    <n v="22758442"/>
    <m/>
    <m/>
    <m/>
    <s v="SOLFIN"/>
    <s v="SOLFIN"/>
    <s v="CCMS"/>
    <n v="21327626"/>
    <n v="817.11"/>
    <m/>
    <s v="N"/>
    <n v="14"/>
    <d v="2023-07-04T19:00:51"/>
    <s v="Y"/>
    <s v="Routine Letter Out"/>
    <s v="Care Remuneration Hourly Rates"/>
    <s v="Profit Cost"/>
    <s v="MAT"/>
    <s v="Y"/>
    <n v="93.36"/>
    <n v="18.67"/>
    <x v="1"/>
    <s v="VALIDATED"/>
    <n v="1"/>
    <s v="01.11.80.305.6100.0000"/>
    <n v="93.36"/>
    <s v="11"/>
    <s v="6100"/>
    <n v="33459.28"/>
    <n v="93.36"/>
    <s v="CREDITOR"/>
    <n v="0"/>
    <n v="0"/>
    <n v="0"/>
    <n v="0"/>
    <n v="93.36"/>
  </r>
  <r>
    <n v="59839080"/>
    <s v="N"/>
    <n v="21318815"/>
    <s v="3000014203590024"/>
    <s v="CIVIL"/>
    <d v="2023-06-20T00:00:00"/>
    <d v="2023-07-03T19:01:49"/>
    <m/>
    <d v="2023-07-03T00:00:00"/>
    <n v="418"/>
    <n v="14752"/>
    <s v="59839080"/>
    <s v="59839080"/>
    <m/>
    <m/>
    <n v="22726612"/>
    <m/>
    <m/>
    <m/>
    <s v="SOLFIN"/>
    <s v="SOLFIN"/>
    <s v="CCMS"/>
    <n v="21318815"/>
    <n v="13136.2"/>
    <m/>
    <s v="N"/>
    <n v="21"/>
    <d v="2023-07-03T19:02:03"/>
    <s v="Y"/>
    <s v="Paediatrician"/>
    <s v="Public Law Children"/>
    <s v="Expert Disbursement"/>
    <s v="JLS"/>
    <s v="Y"/>
    <n v="218.7"/>
    <n v="43.74"/>
    <x v="3"/>
    <s v="VALIDATED"/>
    <n v="1"/>
    <s v="01.11.80.308.6300.0000"/>
    <n v="218.7"/>
    <s v="11"/>
    <s v="6300"/>
    <n v="33459.28"/>
    <n v="218.7"/>
    <s v="CREDITOR"/>
    <n v="0"/>
    <n v="0"/>
    <n v="0"/>
    <n v="0"/>
    <n v="218.7"/>
  </r>
  <r>
    <n v="59839080"/>
    <s v="N"/>
    <n v="21318815"/>
    <s v="3000014203590024"/>
    <s v="CIVIL"/>
    <d v="2023-06-20T00:00:00"/>
    <d v="2023-07-03T19:01:49"/>
    <m/>
    <d v="2023-07-03T00:00:00"/>
    <n v="418"/>
    <n v="14752"/>
    <s v="59839080"/>
    <s v="59839080"/>
    <m/>
    <m/>
    <n v="22726612"/>
    <m/>
    <m/>
    <m/>
    <s v="SOLFIN"/>
    <s v="SOLFIN"/>
    <s v="CCMS"/>
    <n v="21318815"/>
    <n v="13136.2"/>
    <m/>
    <s v="N"/>
    <n v="28"/>
    <d v="2023-07-03T19:02:03"/>
    <s v="Y"/>
    <s v="Advocates Meeting"/>
    <s v="Public Law Children"/>
    <s v="Advocacy"/>
    <s v="JLS"/>
    <s v="Y"/>
    <n v="140.99"/>
    <n v="28.2"/>
    <x v="3"/>
    <s v="VALIDATED"/>
    <n v="1"/>
    <s v="01.11.80.308.6100.0000"/>
    <n v="140.99"/>
    <s v="11"/>
    <s v="6100"/>
    <n v="33459.28"/>
    <n v="140.99"/>
    <s v="CREDITOR"/>
    <n v="0"/>
    <n v="0"/>
    <n v="0"/>
    <n v="0"/>
    <n v="140.99"/>
  </r>
  <r>
    <n v="59524195"/>
    <s v="N"/>
    <n v="21331320"/>
    <s v="3000013935620001"/>
    <s v="CIVIL"/>
    <d v="2023-06-26T00:00:00"/>
    <d v="2023-07-05T19:01:47"/>
    <m/>
    <d v="2023-07-05T00:00:00"/>
    <n v="418"/>
    <n v="14752"/>
    <s v="59524195"/>
    <s v="59524195"/>
    <m/>
    <m/>
    <n v="22758400"/>
    <m/>
    <m/>
    <m/>
    <s v="SOLFIN"/>
    <s v="SOLFIN"/>
    <s v="CCMS"/>
    <n v="21331320"/>
    <n v="8089.22"/>
    <m/>
    <s v="N"/>
    <n v="10"/>
    <d v="2023-07-05T19:02:14"/>
    <s v="Y"/>
    <s v="Interim Hearing Court Bundle/Advoca"/>
    <s v="Public Law Children"/>
    <s v="Advocacy"/>
    <s v="MT"/>
    <s v="Y"/>
    <n v="89.09999999999999"/>
    <n v="17.82"/>
    <x v="6"/>
    <s v="VALIDATED"/>
    <n v="1"/>
    <s v="01.11.80.308.6100.0000"/>
    <n v="89.09999999999999"/>
    <s v="11"/>
    <s v="6100"/>
    <n v="33459.28"/>
    <n v="89.09999999999999"/>
    <s v="CREDITOR"/>
    <n v="0"/>
    <n v="0"/>
    <n v="0"/>
    <n v="0"/>
    <n v="89.09999999999999"/>
  </r>
  <r>
    <n v="60954153"/>
    <s v="N"/>
    <n v="21327626"/>
    <s v="3000015168920004"/>
    <s v="CIVIL"/>
    <d v="2023-06-26T00:00:00"/>
    <d v="2023-07-04T19:00:44"/>
    <m/>
    <d v="2023-07-04T00:00:00"/>
    <n v="418"/>
    <n v="14752"/>
    <s v="60954153"/>
    <s v="60954153"/>
    <m/>
    <m/>
    <n v="22758442"/>
    <m/>
    <m/>
    <m/>
    <s v="SOLFIN"/>
    <s v="SOLFIN"/>
    <s v="CCMS"/>
    <n v="21327626"/>
    <n v="817.11"/>
    <m/>
    <s v="N"/>
    <n v="7"/>
    <d v="2023-07-04T19:00:51"/>
    <s v="Y"/>
    <s v="Preparation - drafting instructions"/>
    <s v="Care Remuneration Hourly Rates"/>
    <s v="Profit Cost"/>
    <s v="MAT"/>
    <s v="Y"/>
    <n v="20.15"/>
    <n v="4.03"/>
    <x v="1"/>
    <s v="VALIDATED"/>
    <n v="1"/>
    <s v="01.11.80.305.6100.0000"/>
    <n v="20.15"/>
    <s v="11"/>
    <s v="6100"/>
    <n v="33459.28"/>
    <n v="20.15"/>
    <s v="CREDITOR"/>
    <n v="0"/>
    <n v="0"/>
    <n v="0"/>
    <n v="0"/>
    <n v="20.15"/>
  </r>
  <r>
    <n v="61757168"/>
    <s v="N"/>
    <n v="21319949"/>
    <s v="3000015836350006"/>
    <s v="CIVIL"/>
    <d v="2023-06-28T00:00:00"/>
    <d v="2023-07-03T19:04:24"/>
    <m/>
    <d v="2023-07-03T00:00:00"/>
    <n v="418"/>
    <n v="14752"/>
    <s v="61757168"/>
    <s v="61757168"/>
    <m/>
    <m/>
    <n v="22777398"/>
    <m/>
    <m/>
    <m/>
    <s v="SOLPOA"/>
    <s v="SOLPOA"/>
    <s v="CCMS"/>
    <n v="21319949"/>
    <n v="70.55"/>
    <m/>
    <s v="N"/>
    <n v="1"/>
    <d v="2023-07-03T19:04:28"/>
    <s v="N"/>
    <s v="Expert Cost"/>
    <s v="Expert Cost"/>
    <s v="Expert Disbursement"/>
    <s v="Jennie Swaby"/>
    <s v="N"/>
    <n v="70.55"/>
    <n v="0"/>
    <x v="3"/>
    <s v="VALIDATED"/>
    <n v="1"/>
    <s v="01.11.80.308.2012.0000"/>
    <n v="70.55"/>
    <s v="11"/>
    <s v="2012"/>
    <n v="33459.28"/>
    <n v="70.55"/>
    <s v="CREDITOR"/>
    <n v="70.55"/>
    <n v="0"/>
    <n v="0"/>
    <n v="0"/>
    <n v="0"/>
  </r>
  <r>
    <n v="40167068"/>
    <s v="N"/>
    <n v="21319043"/>
    <s v="3000010786360008"/>
    <s v="CIVIL"/>
    <d v="2023-06-09T00:00:00"/>
    <d v="2023-07-03T19:01:49"/>
    <m/>
    <d v="2023-07-03T00:00:00"/>
    <n v="418"/>
    <n v="14752"/>
    <s v="40167068"/>
    <s v="40167068"/>
    <m/>
    <m/>
    <n v="22656592"/>
    <m/>
    <m/>
    <m/>
    <s v="SOLFIN"/>
    <s v="SOLFIN"/>
    <s v="CCMS"/>
    <n v="21319043"/>
    <n v="7412.38"/>
    <m/>
    <s v="N"/>
    <n v="8"/>
    <d v="2023-07-03T19:02:09"/>
    <s v="Y"/>
    <s v="Preparation - drafting statement"/>
    <s v="Care Remuneration Hourly Rates"/>
    <s v="Profit Cost"/>
    <s v="MT"/>
    <s v="Y"/>
    <n v="53.74"/>
    <n v="10.75"/>
    <x v="3"/>
    <s v="VALIDATED"/>
    <n v="1"/>
    <s v="01.11.80.305.6100.0000"/>
    <n v="53.74"/>
    <s v="11"/>
    <s v="6100"/>
    <n v="33459.28"/>
    <n v="53.74"/>
    <s v="CREDITOR"/>
    <n v="0"/>
    <n v="0"/>
    <n v="0"/>
    <n v="0"/>
    <n v="53.74"/>
  </r>
  <r>
    <n v="61283867"/>
    <s v="N"/>
    <n v="21338268"/>
    <s v="3000015446240006"/>
    <s v="CIVIL"/>
    <d v="2023-06-26T00:00:00"/>
    <d v="2023-07-06T19:21:01"/>
    <m/>
    <d v="2023-07-06T00:00:00"/>
    <n v="418"/>
    <n v="14752"/>
    <s v="61283867"/>
    <s v="61283867"/>
    <m/>
    <m/>
    <n v="22757658"/>
    <m/>
    <m/>
    <m/>
    <s v="SOLFIN"/>
    <s v="SOLFIN"/>
    <s v="CCMS"/>
    <n v="21338268"/>
    <n v="7341.02"/>
    <m/>
    <s v="N"/>
    <n v="4"/>
    <d v="2023-07-06T19:21:15"/>
    <s v="Y"/>
    <s v="Solicitor Travel Expenses"/>
    <s v="Public Law Children"/>
    <s v="Non Expert Disbursement"/>
    <s v="MAT"/>
    <s v="Y"/>
    <n v="6.3"/>
    <n v="1.26"/>
    <x v="4"/>
    <s v="VALIDATED"/>
    <n v="1"/>
    <s v="01.11.80.308.6300.0000"/>
    <n v="6.3"/>
    <s v="11"/>
    <s v="6300"/>
    <n v="33459.28"/>
    <n v="6.3"/>
    <s v="CREDITOR"/>
    <n v="0"/>
    <n v="0"/>
    <n v="0"/>
    <n v="0"/>
    <n v="6.3"/>
  </r>
  <r>
    <n v="40167068"/>
    <s v="N"/>
    <n v="21319043"/>
    <s v="3000010786360008"/>
    <s v="CIVIL"/>
    <d v="2023-06-09T00:00:00"/>
    <d v="2023-07-03T19:01:49"/>
    <m/>
    <d v="2023-07-03T00:00:00"/>
    <n v="418"/>
    <n v="14752"/>
    <s v="40167068"/>
    <s v="40167068"/>
    <m/>
    <m/>
    <n v="22656592"/>
    <m/>
    <m/>
    <m/>
    <s v="SOLFIN"/>
    <s v="SOLFIN"/>
    <s v="CCMS"/>
    <n v="21319043"/>
    <n v="7412.38"/>
    <m/>
    <s v="N"/>
    <n v="25"/>
    <d v="2023-07-03T19:02:09"/>
    <s v="Y"/>
    <s v="Routine Letter Out"/>
    <s v="Care Remuneration Hourly Rates"/>
    <s v="Profit Cost"/>
    <s v="HA"/>
    <s v="Y"/>
    <n v="645.75"/>
    <n v="129.15"/>
    <x v="3"/>
    <s v="VALIDATED"/>
    <n v="1"/>
    <s v="01.11.80.305.6100.0000"/>
    <n v="645.75"/>
    <s v="11"/>
    <s v="6100"/>
    <n v="33459.28"/>
    <n v="645.75"/>
    <s v="CREDITOR"/>
    <n v="0"/>
    <n v="0"/>
    <n v="0"/>
    <n v="0"/>
    <n v="645.75"/>
  </r>
  <r>
    <n v="61431337"/>
    <s v="N"/>
    <n v="21331095"/>
    <s v="3000015566430002"/>
    <s v="CIVIL"/>
    <d v="2023-06-26T00:00:00"/>
    <d v="2023-07-05T19:01:47"/>
    <m/>
    <d v="2023-07-05T00:00:00"/>
    <n v="418"/>
    <n v="14752"/>
    <s v="61431337"/>
    <s v="61431337"/>
    <m/>
    <m/>
    <n v="22759804"/>
    <m/>
    <m/>
    <m/>
    <s v="SOLFIN"/>
    <s v="SOLFIN"/>
    <s v="CCMS"/>
    <n v="21331095"/>
    <n v="4483.97"/>
    <m/>
    <s v="N"/>
    <n v="4"/>
    <d v="2023-07-05T19:02:05"/>
    <s v="Y"/>
    <s v="Hearing Unit 2.31 - 5.00 Hours"/>
    <s v="Public Law Children"/>
    <s v="Advocacy"/>
    <s v="MAT"/>
    <s v="Y"/>
    <n v="476.92"/>
    <n v="95.38"/>
    <x v="6"/>
    <s v="VALIDATED"/>
    <n v="1"/>
    <s v="01.11.80.308.6100.0000"/>
    <n v="476.92"/>
    <s v="11"/>
    <s v="6100"/>
    <n v="33459.28"/>
    <n v="476.92"/>
    <s v="CREDITOR"/>
    <n v="0"/>
    <n v="0"/>
    <n v="0"/>
    <n v="0"/>
    <n v="476.92"/>
  </r>
  <r>
    <n v="61431337"/>
    <s v="N"/>
    <n v="21331095"/>
    <s v="3000015566430002"/>
    <s v="CIVIL"/>
    <d v="2023-06-26T00:00:00"/>
    <d v="2023-07-05T19:01:47"/>
    <m/>
    <d v="2023-07-05T00:00:00"/>
    <n v="418"/>
    <n v="14752"/>
    <s v="61431337"/>
    <s v="61431337"/>
    <m/>
    <m/>
    <n v="22759804"/>
    <m/>
    <m/>
    <m/>
    <s v="SOLFIN"/>
    <s v="SOLFIN"/>
    <s v="CCMS"/>
    <n v="21331095"/>
    <n v="4483.97"/>
    <m/>
    <s v="N"/>
    <n v="6"/>
    <d v="2023-07-05T19:02:05"/>
    <s v="Y"/>
    <s v="Final Hearing - 1 Day"/>
    <s v="Public Law Children"/>
    <s v="Advocacy"/>
    <s v="MAT"/>
    <s v="Y"/>
    <n v="556.88"/>
    <n v="111.38"/>
    <x v="6"/>
    <s v="VALIDATED"/>
    <n v="1"/>
    <s v="01.11.80.308.6100.0000"/>
    <n v="556.88"/>
    <s v="11"/>
    <s v="6100"/>
    <n v="33459.28"/>
    <n v="556.88"/>
    <s v="CREDITOR"/>
    <n v="0"/>
    <n v="0"/>
    <n v="0"/>
    <n v="0"/>
    <n v="556.88"/>
  </r>
  <r>
    <n v="60959858"/>
    <s v="N"/>
    <n v="21328276"/>
    <s v="3000015173120002"/>
    <s v="CIVIL"/>
    <d v="2023-06-27T00:00:00"/>
    <d v="2023-07-04T19:00:44"/>
    <m/>
    <d v="2023-07-04T00:00:00"/>
    <n v="418"/>
    <n v="14752"/>
    <s v="60959858"/>
    <s v="60959858"/>
    <m/>
    <m/>
    <n v="22769790"/>
    <m/>
    <m/>
    <m/>
    <s v="SOLFIN"/>
    <s v="SOLFIN"/>
    <s v="CCMS"/>
    <n v="21328276"/>
    <n v="194.47"/>
    <m/>
    <s v="N"/>
    <n v="3"/>
    <d v="2023-07-04T19:01:11"/>
    <s v="Y"/>
    <s v="Routine Letter Out"/>
    <s v="Care Remuneration Hourly Rates"/>
    <s v="Profit Cost"/>
    <s v="KFT"/>
    <s v="Y"/>
    <n v="11.07"/>
    <n v="2.21"/>
    <x v="1"/>
    <s v="VALIDATED"/>
    <n v="1"/>
    <s v="01.11.80.308.6100.0000"/>
    <n v="11.07"/>
    <s v="11"/>
    <s v="6100"/>
    <n v="33459.28"/>
    <n v="11.07"/>
    <s v="CREDITOR"/>
    <n v="0"/>
    <n v="0"/>
    <n v="0"/>
    <n v="0"/>
    <n v="11.07"/>
  </r>
  <r>
    <n v="61431337"/>
    <s v="N"/>
    <n v="21331095"/>
    <s v="3000015566430002"/>
    <s v="CIVIL"/>
    <d v="2023-06-26T00:00:00"/>
    <d v="2023-07-05T19:01:47"/>
    <m/>
    <d v="2023-07-05T00:00:00"/>
    <n v="418"/>
    <n v="14752"/>
    <s v="61431337"/>
    <s v="61431337"/>
    <m/>
    <m/>
    <n v="22759804"/>
    <m/>
    <m/>
    <m/>
    <s v="SOLFIN"/>
    <s v="SOLFIN"/>
    <s v="CCMS"/>
    <n v="21331095"/>
    <n v="4483.97"/>
    <m/>
    <s v="N"/>
    <n v="8"/>
    <d v="2023-07-05T19:02:05"/>
    <s v="Y"/>
    <s v="Hearing Unit 1.01 - 2.30 Hours"/>
    <s v="Public Law Children"/>
    <s v="Advocacy"/>
    <s v="JLS"/>
    <s v="Y"/>
    <n v="238.46"/>
    <n v="47.69"/>
    <x v="6"/>
    <s v="VALIDATED"/>
    <n v="1"/>
    <s v="01.11.80.308.6100.0000"/>
    <n v="238.46"/>
    <s v="11"/>
    <s v="6100"/>
    <n v="33459.28"/>
    <n v="238.46"/>
    <s v="CREDITOR"/>
    <n v="0"/>
    <n v="0"/>
    <n v="0"/>
    <n v="0"/>
    <n v="238.46"/>
  </r>
  <r>
    <n v="59839080"/>
    <s v="N"/>
    <n v="21318815"/>
    <s v="3000014203590024"/>
    <s v="CIVIL"/>
    <d v="2023-06-20T00:00:00"/>
    <d v="2023-07-03T19:01:49"/>
    <m/>
    <d v="2023-07-03T00:00:00"/>
    <n v="418"/>
    <n v="14752"/>
    <s v="59839080"/>
    <s v="59839080"/>
    <m/>
    <m/>
    <n v="22726612"/>
    <m/>
    <m/>
    <m/>
    <s v="SOLFIN"/>
    <s v="SOLFIN"/>
    <s v="CCMS"/>
    <n v="21318815"/>
    <n v="13136.2"/>
    <m/>
    <s v="N"/>
    <n v="19"/>
    <d v="2023-07-03T19:02:03"/>
    <s v="Y"/>
    <s v="Paediatrician"/>
    <s v="Public Law Children"/>
    <s v="Expert Disbursement"/>
    <s v="JLS"/>
    <s v="Y"/>
    <n v="194.4"/>
    <n v="38.88"/>
    <x v="3"/>
    <s v="VALIDATED"/>
    <n v="1"/>
    <s v="01.11.80.308.6300.0000"/>
    <n v="194.4"/>
    <s v="11"/>
    <s v="6300"/>
    <n v="33459.28"/>
    <n v="194.4"/>
    <s v="CREDITOR"/>
    <n v="0"/>
    <n v="0"/>
    <n v="0"/>
    <n v="0"/>
    <n v="194.4"/>
  </r>
  <r>
    <n v="59839080"/>
    <s v="N"/>
    <n v="21318815"/>
    <s v="3000014203590024"/>
    <s v="CIVIL"/>
    <d v="2023-06-20T00:00:00"/>
    <d v="2023-07-03T19:01:49"/>
    <m/>
    <d v="2023-07-03T00:00:00"/>
    <n v="418"/>
    <n v="14752"/>
    <s v="59839080"/>
    <s v="59839080"/>
    <m/>
    <m/>
    <n v="22726612"/>
    <m/>
    <m/>
    <m/>
    <s v="SOLFIN"/>
    <s v="SOLFIN"/>
    <s v="CCMS"/>
    <n v="21318815"/>
    <n v="13136.2"/>
    <m/>
    <s v="N"/>
    <n v="11"/>
    <d v="2023-07-03T19:02:03"/>
    <s v="Y"/>
    <s v="Solicitor Travel Expenses"/>
    <s v="Public Law Children"/>
    <s v="Non Expert Disbursement"/>
    <s v="JLS"/>
    <s v="Y"/>
    <n v="4.7"/>
    <n v="0.9399999999999999"/>
    <x v="3"/>
    <s v="VALIDATED"/>
    <n v="1"/>
    <s v="01.11.80.308.6300.0000"/>
    <n v="4.7"/>
    <s v="11"/>
    <s v="6300"/>
    <n v="33459.28"/>
    <n v="4.7"/>
    <s v="CREDITOR"/>
    <n v="0"/>
    <n v="0"/>
    <n v="0"/>
    <n v="0"/>
    <n v="4.7"/>
  </r>
  <r>
    <n v="59524195"/>
    <s v="N"/>
    <n v="21331320"/>
    <s v="3000013935620001"/>
    <s v="CIVIL"/>
    <d v="2023-06-26T00:00:00"/>
    <d v="2023-07-05T19:01:47"/>
    <m/>
    <d v="2023-07-05T00:00:00"/>
    <n v="418"/>
    <n v="14752"/>
    <s v="59524195"/>
    <s v="59524195"/>
    <m/>
    <m/>
    <n v="22758400"/>
    <m/>
    <m/>
    <m/>
    <s v="SOLFIN"/>
    <s v="SOLFIN"/>
    <s v="CCMS"/>
    <n v="21331320"/>
    <n v="8089.22"/>
    <m/>
    <s v="N"/>
    <n v="6"/>
    <d v="2023-07-05T19:02:14"/>
    <s v="Y"/>
    <s v="Hearing Unit 2.31 - 5.00 Hours"/>
    <s v="Public Law Children"/>
    <s v="Advocacy"/>
    <s v="MT"/>
    <s v="Y"/>
    <n v="476.92"/>
    <n v="95.38"/>
    <x v="6"/>
    <s v="VALIDATED"/>
    <n v="1"/>
    <s v="01.11.80.308.6100.0000"/>
    <n v="476.92"/>
    <s v="11"/>
    <s v="6100"/>
    <n v="33459.28"/>
    <n v="476.92"/>
    <s v="CREDITOR"/>
    <n v="0"/>
    <n v="0"/>
    <n v="0"/>
    <n v="0"/>
    <n v="476.92"/>
  </r>
  <r>
    <n v="60959858"/>
    <s v="N"/>
    <n v="21328276"/>
    <s v="3000015173120002"/>
    <s v="CIVIL"/>
    <d v="2023-06-27T00:00:00"/>
    <d v="2023-07-04T19:00:44"/>
    <m/>
    <d v="2023-07-04T00:00:00"/>
    <n v="418"/>
    <n v="14752"/>
    <s v="60959858"/>
    <s v="60959858"/>
    <m/>
    <m/>
    <n v="22769790"/>
    <m/>
    <m/>
    <m/>
    <s v="SOLFIN"/>
    <s v="SOLFIN"/>
    <s v="CCMS"/>
    <n v="21328276"/>
    <n v="194.47"/>
    <m/>
    <s v="N"/>
    <n v="7"/>
    <d v="2023-07-04T19:01:11"/>
    <s v="Y"/>
    <s v="Preparation - other"/>
    <s v="Care Remuneration Hourly Rates"/>
    <s v="Profit Cost"/>
    <s v="KFT"/>
    <s v="Y"/>
    <n v="5.84"/>
    <n v="1.17"/>
    <x v="1"/>
    <s v="VALIDATED"/>
    <n v="1"/>
    <s v="01.11.80.308.6100.0000"/>
    <n v="5.84"/>
    <s v="11"/>
    <s v="6100"/>
    <n v="33459.28"/>
    <n v="5.84"/>
    <s v="CREDITOR"/>
    <n v="0"/>
    <n v="0"/>
    <n v="0"/>
    <n v="0"/>
    <n v="5.84"/>
  </r>
  <r>
    <n v="60954153"/>
    <s v="N"/>
    <n v="21327626"/>
    <s v="3000015168920004"/>
    <s v="CIVIL"/>
    <d v="2023-06-26T00:00:00"/>
    <d v="2023-07-04T19:00:44"/>
    <m/>
    <d v="2023-07-04T00:00:00"/>
    <n v="418"/>
    <n v="14752"/>
    <s v="60954153"/>
    <s v="60954153"/>
    <m/>
    <m/>
    <n v="22758442"/>
    <m/>
    <m/>
    <m/>
    <s v="SOLFIN"/>
    <s v="SOLFIN"/>
    <s v="CCMS"/>
    <n v="21327626"/>
    <n v="817.11"/>
    <m/>
    <s v="N"/>
    <n v="5"/>
    <d v="2023-07-04T19:00:51"/>
    <s v="Y"/>
    <s v="Preparation - other"/>
    <s v="Care Remuneration Hourly Rates"/>
    <s v="Profit Cost"/>
    <s v="KDS"/>
    <s v="Y"/>
    <n v="17.52"/>
    <n v="3.5"/>
    <x v="1"/>
    <s v="VALIDATED"/>
    <n v="1"/>
    <s v="01.11.80.305.6100.0000"/>
    <n v="17.52"/>
    <s v="11"/>
    <s v="6100"/>
    <n v="33459.28"/>
    <n v="17.52"/>
    <s v="CREDITOR"/>
    <n v="0"/>
    <n v="0"/>
    <n v="0"/>
    <n v="0"/>
    <n v="17.52"/>
  </r>
  <r>
    <n v="61283867"/>
    <s v="N"/>
    <n v="21338268"/>
    <s v="3000015446240006"/>
    <s v="CIVIL"/>
    <d v="2023-06-26T00:00:00"/>
    <d v="2023-07-06T19:21:01"/>
    <m/>
    <d v="2023-07-06T00:00:00"/>
    <n v="418"/>
    <n v="14752"/>
    <s v="61283867"/>
    <s v="61283867"/>
    <m/>
    <m/>
    <n v="22757658"/>
    <m/>
    <m/>
    <m/>
    <s v="SOLFIN"/>
    <s v="SOLFIN"/>
    <s v="CCMS"/>
    <n v="21338268"/>
    <n v="7341.02"/>
    <m/>
    <s v="N"/>
    <n v="14"/>
    <d v="2023-07-06T19:21:15"/>
    <s v="Y"/>
    <s v="Advocates Meeting"/>
    <s v="Public Law Children"/>
    <s v="Advocacy"/>
    <s v="MAT"/>
    <s v="Y"/>
    <n v="140.99"/>
    <n v="28.2"/>
    <x v="4"/>
    <s v="VALIDATED"/>
    <n v="1"/>
    <s v="01.11.80.308.6100.0000"/>
    <n v="140.99"/>
    <s v="11"/>
    <s v="6100"/>
    <n v="33459.28"/>
    <n v="140.99"/>
    <s v="CREDITOR"/>
    <n v="0"/>
    <n v="0"/>
    <n v="0"/>
    <n v="0"/>
    <n v="140.99"/>
  </r>
  <r>
    <n v="59839080"/>
    <s v="N"/>
    <n v="21318815"/>
    <s v="3000014203590024"/>
    <s v="CIVIL"/>
    <d v="2023-06-20T00:00:00"/>
    <d v="2023-07-03T19:01:49"/>
    <m/>
    <d v="2023-07-03T00:00:00"/>
    <n v="418"/>
    <n v="14752"/>
    <s v="59839080"/>
    <s v="59839080"/>
    <m/>
    <m/>
    <n v="22726612"/>
    <m/>
    <m/>
    <m/>
    <s v="SOLFIN"/>
    <s v="SOLFIN"/>
    <s v="CCMS"/>
    <n v="21318815"/>
    <n v="13136.2"/>
    <m/>
    <s v="N"/>
    <n v="14"/>
    <d v="2023-07-03T19:02:03"/>
    <s v="Y"/>
    <s v="Haematologist"/>
    <s v="Public Law Children"/>
    <s v="Expert Disbursement"/>
    <s v="JLS"/>
    <s v="Y"/>
    <n v="153"/>
    <n v="0"/>
    <x v="3"/>
    <s v="VALIDATED"/>
    <n v="1"/>
    <s v="01.11.80.308.6300.0000"/>
    <n v="153"/>
    <s v="11"/>
    <s v="6300"/>
    <n v="33459.28"/>
    <n v="153"/>
    <s v="CREDITOR"/>
    <n v="0"/>
    <n v="0"/>
    <n v="0"/>
    <n v="0"/>
    <n v="153"/>
  </r>
  <r>
    <n v="59524195"/>
    <s v="N"/>
    <n v="21331320"/>
    <s v="3000013935620001"/>
    <s v="CIVIL"/>
    <d v="2023-06-26T00:00:00"/>
    <d v="2023-07-05T19:01:47"/>
    <m/>
    <d v="2023-07-05T00:00:00"/>
    <n v="418"/>
    <n v="14752"/>
    <s v="59524195"/>
    <s v="59524195"/>
    <m/>
    <m/>
    <n v="22758400"/>
    <m/>
    <m/>
    <m/>
    <s v="SOLFIN"/>
    <s v="SOLFIN"/>
    <s v="CCMS"/>
    <n v="21331320"/>
    <n v="8089.22"/>
    <m/>
    <s v="N"/>
    <n v="9"/>
    <d v="2023-07-05T19:02:14"/>
    <s v="Y"/>
    <s v="Final Hearing - 2 Days"/>
    <s v="Public Law Children"/>
    <s v="Advocacy"/>
    <s v="MT"/>
    <s v="Y"/>
    <n v="1113.76"/>
    <n v="222.75"/>
    <x v="6"/>
    <s v="VALIDATED"/>
    <n v="1"/>
    <s v="01.11.80.308.6100.0000"/>
    <n v="1113.76"/>
    <s v="11"/>
    <s v="6100"/>
    <n v="33459.28"/>
    <n v="1113.76"/>
    <s v="CREDITOR"/>
    <n v="0"/>
    <n v="0"/>
    <n v="0"/>
    <n v="0"/>
    <n v="1113.76"/>
  </r>
  <r>
    <n v="59524195"/>
    <s v="N"/>
    <n v="21331320"/>
    <s v="3000013935620001"/>
    <s v="CIVIL"/>
    <d v="2023-06-26T00:00:00"/>
    <d v="2023-07-05T19:01:47"/>
    <m/>
    <d v="2023-07-05T00:00:00"/>
    <n v="418"/>
    <n v="14752"/>
    <s v="59524195"/>
    <s v="59524195"/>
    <m/>
    <m/>
    <n v="22758400"/>
    <m/>
    <m/>
    <m/>
    <s v="SOLFIN"/>
    <s v="SOLFIN"/>
    <s v="CCMS"/>
    <n v="21331320"/>
    <n v="8089.22"/>
    <m/>
    <s v="N"/>
    <n v="4"/>
    <d v="2023-07-05T19:02:14"/>
    <s v="Y"/>
    <s v="Advocates Meeting"/>
    <s v="Public Law Children"/>
    <s v="Advocacy"/>
    <s v="MT"/>
    <s v="Y"/>
    <n v="140.99"/>
    <n v="28.2"/>
    <x v="6"/>
    <s v="VALIDATED"/>
    <n v="1"/>
    <s v="01.11.80.308.6100.0000"/>
    <n v="140.99"/>
    <s v="11"/>
    <s v="6100"/>
    <n v="33459.28"/>
    <n v="140.99"/>
    <s v="CREDITOR"/>
    <n v="0"/>
    <n v="0"/>
    <n v="0"/>
    <n v="0"/>
    <n v="140.99"/>
  </r>
  <r>
    <n v="40167068"/>
    <s v="N"/>
    <n v="21319043"/>
    <s v="3000010786360008"/>
    <s v="CIVIL"/>
    <d v="2023-06-09T00:00:00"/>
    <d v="2023-07-03T19:01:49"/>
    <m/>
    <d v="2023-07-03T00:00:00"/>
    <n v="418"/>
    <n v="14752"/>
    <s v="40167068"/>
    <s v="40167068"/>
    <m/>
    <m/>
    <n v="22656592"/>
    <m/>
    <m/>
    <m/>
    <s v="SOLFIN"/>
    <s v="SOLFIN"/>
    <s v="CCMS"/>
    <n v="21319043"/>
    <n v="7412.38"/>
    <m/>
    <s v="N"/>
    <n v="37"/>
    <d v="2023-07-03T19:02:09"/>
    <s v="Y"/>
    <s v="Final Hearing - 2 Days"/>
    <s v="Other Public Law Children"/>
    <s v="Advocacy"/>
    <s v="MT"/>
    <s v="Y"/>
    <n v="1021.5"/>
    <n v="204.31"/>
    <x v="3"/>
    <s v="VALIDATED"/>
    <n v="1"/>
    <s v="01.11.80.305.6100.0000"/>
    <n v="1021.5"/>
    <s v="11"/>
    <s v="6100"/>
    <n v="33459.28"/>
    <n v="1021.5"/>
    <s v="CREDITOR"/>
    <n v="0"/>
    <n v="0"/>
    <n v="0"/>
    <n v="0"/>
    <n v="1021.5"/>
  </r>
  <r>
    <n v="60954153"/>
    <s v="N"/>
    <n v="21327626"/>
    <s v="3000015168920004"/>
    <s v="CIVIL"/>
    <d v="2023-06-26T00:00:00"/>
    <d v="2023-07-04T19:00:44"/>
    <m/>
    <d v="2023-07-04T00:00:00"/>
    <n v="418"/>
    <n v="14752"/>
    <s v="60954153"/>
    <s v="60954153"/>
    <m/>
    <m/>
    <n v="22758442"/>
    <m/>
    <m/>
    <m/>
    <s v="SOLFIN"/>
    <s v="SOLFIN"/>
    <s v="CCMS"/>
    <n v="21327626"/>
    <n v="817.11"/>
    <m/>
    <s v="N"/>
    <n v="3"/>
    <d v="2023-07-04T19:00:51"/>
    <s v="Y"/>
    <s v="Preparation - other"/>
    <s v="Care Remuneration Hourly Rates"/>
    <s v="Profit Cost"/>
    <s v="KDS"/>
    <s v="Y"/>
    <n v="17.52"/>
    <n v="3.5"/>
    <x v="1"/>
    <s v="VALIDATED"/>
    <n v="1"/>
    <s v="01.11.80.305.6100.0000"/>
    <n v="17.52"/>
    <s v="11"/>
    <s v="6100"/>
    <n v="33459.28"/>
    <n v="17.52"/>
    <s v="CREDITOR"/>
    <n v="0"/>
    <n v="0"/>
    <n v="0"/>
    <n v="0"/>
    <n v="17.52"/>
  </r>
  <r>
    <n v="59839080"/>
    <s v="N"/>
    <n v="21318815"/>
    <s v="3000014203590024"/>
    <s v="CIVIL"/>
    <d v="2023-06-20T00:00:00"/>
    <d v="2023-07-03T19:01:49"/>
    <m/>
    <d v="2023-07-03T00:00:00"/>
    <n v="418"/>
    <n v="14752"/>
    <s v="59839080"/>
    <s v="59839080"/>
    <m/>
    <m/>
    <n v="22726612"/>
    <m/>
    <m/>
    <m/>
    <s v="SOLFIN"/>
    <s v="SOLFIN"/>
    <s v="CCMS"/>
    <n v="21318815"/>
    <n v="13136.2"/>
    <m/>
    <s v="N"/>
    <n v="17"/>
    <d v="2023-07-03T19:02:03"/>
    <s v="Y"/>
    <s v="Neuroradiologist (non-clin neg cere"/>
    <s v="Public Law Children"/>
    <s v="Expert Disbursement"/>
    <s v="JLS"/>
    <s v="Y"/>
    <n v="252"/>
    <n v="50.4"/>
    <x v="3"/>
    <s v="VALIDATED"/>
    <n v="1"/>
    <s v="01.11.80.308.6300.0000"/>
    <n v="252"/>
    <s v="11"/>
    <s v="6300"/>
    <n v="33459.28"/>
    <n v="252"/>
    <s v="CREDITOR"/>
    <n v="0"/>
    <n v="0"/>
    <n v="0"/>
    <n v="0"/>
    <n v="252"/>
  </r>
  <r>
    <n v="59524195"/>
    <s v="N"/>
    <n v="21331320"/>
    <s v="3000013935620001"/>
    <s v="CIVIL"/>
    <d v="2023-06-26T00:00:00"/>
    <d v="2023-07-05T19:01:47"/>
    <m/>
    <d v="2023-07-05T00:00:00"/>
    <n v="418"/>
    <n v="14752"/>
    <s v="59524195"/>
    <s v="59524195"/>
    <m/>
    <m/>
    <n v="22758400"/>
    <m/>
    <m/>
    <m/>
    <s v="SOLFIN"/>
    <s v="SOLFIN"/>
    <s v="CCMS"/>
    <n v="21331320"/>
    <n v="8089.22"/>
    <m/>
    <s v="N"/>
    <n v="3"/>
    <d v="2023-07-05T19:02:14"/>
    <s v="Y"/>
    <s v="Hearing Unit 5.01 - 7.30 Hours"/>
    <s v="Public Law Children"/>
    <s v="Advocacy"/>
    <s v="MT"/>
    <s v="Y"/>
    <n v="715.38"/>
    <n v="143.08"/>
    <x v="6"/>
    <s v="VALIDATED"/>
    <n v="1"/>
    <s v="01.11.80.308.6100.0000"/>
    <n v="715.38"/>
    <s v="11"/>
    <s v="6100"/>
    <n v="33459.28"/>
    <n v="715.38"/>
    <s v="CREDITOR"/>
    <n v="0"/>
    <n v="0"/>
    <n v="0"/>
    <n v="0"/>
    <n v="715.38"/>
  </r>
  <r>
    <n v="61431337"/>
    <s v="N"/>
    <n v="21331095"/>
    <s v="3000015566430002"/>
    <s v="CIVIL"/>
    <d v="2023-06-26T00:00:00"/>
    <d v="2023-07-05T19:01:47"/>
    <m/>
    <d v="2023-07-05T00:00:00"/>
    <n v="418"/>
    <n v="14752"/>
    <s v="61431337"/>
    <s v="61431337"/>
    <m/>
    <m/>
    <n v="22759804"/>
    <m/>
    <m/>
    <m/>
    <s v="SOLFIN"/>
    <s v="SOLFIN"/>
    <s v="CCMS"/>
    <n v="21331095"/>
    <n v="4483.97"/>
    <m/>
    <s v="N"/>
    <n v="9"/>
    <d v="2023-07-05T19:02:05"/>
    <s v="Y"/>
    <s v="Solicitors Fixed Fee"/>
    <s v="Public Law Children"/>
    <s v="Profit Cost"/>
    <s v="MAT"/>
    <s v="Y"/>
    <n v="2013"/>
    <n v="402.6"/>
    <x v="6"/>
    <s v="VALIDATED"/>
    <n v="1"/>
    <s v="01.11.80.308.6100.0000"/>
    <n v="2013"/>
    <s v="11"/>
    <s v="6100"/>
    <n v="33459.28"/>
    <n v="2013"/>
    <s v="CREDITOR"/>
    <n v="0"/>
    <n v="0"/>
    <n v="0"/>
    <n v="0"/>
    <n v="2013"/>
  </r>
  <r>
    <n v="40167068"/>
    <s v="N"/>
    <n v="21319043"/>
    <s v="3000010786360008"/>
    <s v="CIVIL"/>
    <d v="2023-06-09T00:00:00"/>
    <d v="2023-07-03T19:01:49"/>
    <m/>
    <d v="2023-07-03T00:00:00"/>
    <n v="418"/>
    <n v="14752"/>
    <s v="40167068"/>
    <s v="40167068"/>
    <m/>
    <m/>
    <n v="22656592"/>
    <m/>
    <m/>
    <m/>
    <s v="SOLFIN"/>
    <s v="SOLFIN"/>
    <s v="CCMS"/>
    <n v="21319043"/>
    <n v="7412.38"/>
    <m/>
    <s v="N"/>
    <n v="15"/>
    <d v="2023-07-03T19:02:09"/>
    <s v="Y"/>
    <s v="Preparation - other"/>
    <s v="Care Remuneration Hourly Rates"/>
    <s v="Profit Cost"/>
    <s v="MT"/>
    <s v="Y"/>
    <n v="33.59"/>
    <n v="6.72"/>
    <x v="3"/>
    <s v="VALIDATED"/>
    <n v="1"/>
    <s v="01.11.80.305.6100.0000"/>
    <n v="33.59"/>
    <s v="11"/>
    <s v="6100"/>
    <n v="33459.28"/>
    <n v="33.59"/>
    <s v="CREDITOR"/>
    <n v="0"/>
    <n v="0"/>
    <n v="0"/>
    <n v="0"/>
    <n v="33.59"/>
  </r>
  <r>
    <n v="60765290"/>
    <s v="N"/>
    <n v="21331107"/>
    <s v="3000015004620001"/>
    <s v="CIVIL"/>
    <d v="2023-06-26T00:00:00"/>
    <d v="2023-07-05T19:01:47"/>
    <m/>
    <d v="2023-07-05T00:00:00"/>
    <n v="418"/>
    <n v="14752"/>
    <s v="60765290"/>
    <s v="60765290"/>
    <m/>
    <m/>
    <n v="22760536"/>
    <m/>
    <m/>
    <m/>
    <s v="SOLFIN"/>
    <s v="SOLFIN"/>
    <s v="CCMS"/>
    <n v="21331107"/>
    <n v="0"/>
    <m/>
    <s v="N"/>
    <n v="1"/>
    <d v="2023-07-05T19:02:06"/>
    <s v="N"/>
    <s v="NIL BILL"/>
    <s v="Public Law Children"/>
    <s v="Profit Cost"/>
    <s v="AR"/>
    <s v="N"/>
    <n v="0"/>
    <n v="0"/>
    <x v="6"/>
    <s v="VALIDATED"/>
    <n v="1"/>
    <s v="01.11.80.308.6100.0000"/>
    <n v="0"/>
    <s v="11"/>
    <s v="6100"/>
    <n v="33459.28"/>
    <n v="0"/>
    <s v="CREDITOR"/>
    <n v="0"/>
    <n v="0"/>
    <n v="0"/>
    <n v="0"/>
    <n v="0"/>
  </r>
  <r>
    <n v="61130256"/>
    <s v="N"/>
    <n v="21370364"/>
    <s v="3000015317200002"/>
    <s v="CIVIL"/>
    <d v="2023-06-27T00:00:00"/>
    <d v="2023-07-13T19:21:05"/>
    <m/>
    <d v="2023-07-13T00:00:00"/>
    <n v="418"/>
    <n v="14752"/>
    <s v="61130256"/>
    <s v="61130256"/>
    <m/>
    <m/>
    <n v="22771566"/>
    <m/>
    <m/>
    <m/>
    <s v="SOLFIN"/>
    <s v="SOLFIN"/>
    <s v="CCMS"/>
    <n v="21370364"/>
    <n v="5096.53"/>
    <m/>
    <s v="N"/>
    <n v="3"/>
    <d v="2023-07-13T19:21:22"/>
    <s v="Y"/>
    <s v="Final Hearing - 1 Day"/>
    <s v="Public Law Children"/>
    <s v="Advocacy"/>
    <s v="JLS"/>
    <s v="Y"/>
    <n v="556.88"/>
    <n v="111.38"/>
    <x v="11"/>
    <s v="VALIDATED"/>
    <n v="1"/>
    <s v="01.11.80.308.6100.0000"/>
    <n v="556.88"/>
    <s v="11"/>
    <s v="6100"/>
    <n v="33459.28"/>
    <n v="556.88"/>
    <s v="CREDITOR"/>
    <n v="0"/>
    <n v="0"/>
    <n v="0"/>
    <n v="0"/>
    <n v="556.88"/>
  </r>
  <r>
    <n v="61939142"/>
    <s v="N"/>
    <n v="21328006"/>
    <s v="3000015991500001"/>
    <s v="CIVIL"/>
    <d v="2023-06-16T00:00:00"/>
    <d v="2023-07-04T19:00:44"/>
    <m/>
    <d v="2023-07-04T00:00:00"/>
    <n v="418"/>
    <n v="14752"/>
    <s v="61939142"/>
    <s v="61939142"/>
    <m/>
    <m/>
    <n v="22709382"/>
    <m/>
    <m/>
    <m/>
    <s v="SOLFIN"/>
    <s v="SOLFIN"/>
    <s v="CCMS"/>
    <n v="21328006"/>
    <n v="0"/>
    <m/>
    <s v="N"/>
    <n v="1"/>
    <d v="2023-07-04T19:01:01"/>
    <s v="N"/>
    <s v="NIL BILL"/>
    <s v="Care Remuneration Hourly Rates"/>
    <s v="Profit Cost"/>
    <s v="AR"/>
    <s v="N"/>
    <n v="0"/>
    <n v="0"/>
    <x v="1"/>
    <s v="VALIDATED"/>
    <n v="1"/>
    <s v="01.11.80.308.6100.0000"/>
    <n v="0"/>
    <s v="11"/>
    <s v="6100"/>
    <n v="33459.28"/>
    <n v="0"/>
    <s v="CREDITOR"/>
    <n v="0"/>
    <n v="0"/>
    <n v="0"/>
    <n v="0"/>
    <n v="0"/>
  </r>
  <r>
    <n v="40167068"/>
    <s v="N"/>
    <n v="21319043"/>
    <s v="3000010786360008"/>
    <s v="CIVIL"/>
    <d v="2023-06-09T00:00:00"/>
    <d v="2023-07-03T19:01:49"/>
    <m/>
    <d v="2023-07-03T00:00:00"/>
    <n v="418"/>
    <n v="14752"/>
    <s v="40167068"/>
    <s v="40167068"/>
    <m/>
    <m/>
    <n v="22656592"/>
    <m/>
    <m/>
    <m/>
    <s v="SOLFIN"/>
    <s v="SOLFIN"/>
    <s v="CCMS"/>
    <n v="21319043"/>
    <n v="7412.38"/>
    <m/>
    <s v="N"/>
    <n v="38"/>
    <d v="2023-07-03T19:02:09"/>
    <s v="Y"/>
    <s v="Final Hearing Court Bundle/Advocate"/>
    <s v="Other Public Law Children"/>
    <s v="Advocacy"/>
    <s v="MT"/>
    <s v="Y"/>
    <n v="239.4"/>
    <n v="47.88"/>
    <x v="3"/>
    <s v="VALIDATED"/>
    <n v="1"/>
    <s v="01.11.80.305.6100.0000"/>
    <n v="239.4"/>
    <s v="11"/>
    <s v="6100"/>
    <n v="33459.28"/>
    <n v="239.4"/>
    <s v="CREDITOR"/>
    <n v="0"/>
    <n v="0"/>
    <n v="0"/>
    <n v="0"/>
    <n v="239.4"/>
  </r>
  <r>
    <n v="59524195"/>
    <s v="N"/>
    <n v="21331320"/>
    <s v="3000013935620001"/>
    <s v="CIVIL"/>
    <d v="2023-06-26T00:00:00"/>
    <d v="2023-07-05T19:01:47"/>
    <m/>
    <d v="2023-07-05T00:00:00"/>
    <n v="418"/>
    <n v="14752"/>
    <s v="59524195"/>
    <s v="59524195"/>
    <m/>
    <m/>
    <n v="22758400"/>
    <m/>
    <m/>
    <m/>
    <s v="SOLFIN"/>
    <s v="SOLFIN"/>
    <s v="CCMS"/>
    <n v="21331320"/>
    <n v="8089.22"/>
    <m/>
    <s v="N"/>
    <n v="12"/>
    <d v="2023-07-05T19:02:14"/>
    <s v="Y"/>
    <s v="Final Hearing Court Bundle/Advocate"/>
    <s v="Public Law Children"/>
    <s v="Advocacy"/>
    <s v="MT"/>
    <s v="Y"/>
    <n v="239.4"/>
    <n v="47.88"/>
    <x v="6"/>
    <s v="VALIDATED"/>
    <n v="1"/>
    <s v="01.11.80.308.6100.0000"/>
    <n v="239.4"/>
    <s v="11"/>
    <s v="6100"/>
    <n v="33459.28"/>
    <n v="239.4"/>
    <s v="CREDITOR"/>
    <n v="0"/>
    <n v="0"/>
    <n v="0"/>
    <n v="0"/>
    <n v="239.4"/>
  </r>
  <r>
    <n v="61939109"/>
    <s v="N"/>
    <n v="21328134"/>
    <s v="3000015991480001"/>
    <s v="CIVIL"/>
    <d v="2023-06-16T00:00:00"/>
    <d v="2023-07-04T19:00:44"/>
    <m/>
    <d v="2023-07-04T00:00:00"/>
    <n v="418"/>
    <n v="14752"/>
    <s v="61939109"/>
    <s v="61939109"/>
    <m/>
    <m/>
    <n v="22709362"/>
    <m/>
    <m/>
    <m/>
    <s v="SOLFIN"/>
    <s v="SOLFIN"/>
    <s v="CCMS"/>
    <n v="21328134"/>
    <n v="0"/>
    <m/>
    <s v="N"/>
    <n v="1"/>
    <d v="2023-07-04T19:01:05"/>
    <s v="N"/>
    <s v="NIL BILL"/>
    <s v="Care Remuneration Hourly Rates"/>
    <s v="Profit Cost"/>
    <s v="AR"/>
    <s v="N"/>
    <n v="0"/>
    <n v="0"/>
    <x v="1"/>
    <s v="VALIDATED"/>
    <n v="1"/>
    <s v="01.11.80.308.6100.0000"/>
    <n v="0"/>
    <s v="11"/>
    <s v="6100"/>
    <n v="33459.28"/>
    <n v="0"/>
    <s v="CREDITOR"/>
    <n v="0"/>
    <n v="0"/>
    <n v="0"/>
    <n v="0"/>
    <n v="0"/>
  </r>
  <r>
    <n v="60954153"/>
    <s v="N"/>
    <n v="21327626"/>
    <s v="3000015168920004"/>
    <s v="CIVIL"/>
    <d v="2023-06-26T00:00:00"/>
    <d v="2023-07-04T19:00:44"/>
    <m/>
    <d v="2023-07-04T00:00:00"/>
    <n v="418"/>
    <n v="14752"/>
    <s v="60954153"/>
    <s v="60954153"/>
    <m/>
    <m/>
    <n v="22758442"/>
    <m/>
    <m/>
    <m/>
    <s v="SOLFIN"/>
    <s v="SOLFIN"/>
    <s v="CCMS"/>
    <n v="21327626"/>
    <n v="817.11"/>
    <m/>
    <s v="N"/>
    <n v="8"/>
    <d v="2023-07-04T19:00:51"/>
    <s v="Y"/>
    <s v="Preparation - drafting instructions"/>
    <s v="Care Remuneration Hourly Rates"/>
    <s v="Profit Cost"/>
    <s v="MAT"/>
    <s v="Y"/>
    <n v="20.15"/>
    <n v="4.03"/>
    <x v="1"/>
    <s v="VALIDATED"/>
    <n v="1"/>
    <s v="01.11.80.305.6100.0000"/>
    <n v="20.15"/>
    <s v="11"/>
    <s v="6100"/>
    <n v="33459.28"/>
    <n v="20.15"/>
    <s v="CREDITOR"/>
    <n v="0"/>
    <n v="0"/>
    <n v="0"/>
    <n v="0"/>
    <n v="20.15"/>
  </r>
  <r>
    <n v="59839080"/>
    <s v="N"/>
    <n v="21318815"/>
    <s v="3000014203590024"/>
    <s v="CIVIL"/>
    <d v="2023-06-20T00:00:00"/>
    <d v="2023-07-03T19:01:49"/>
    <m/>
    <d v="2023-07-03T00:00:00"/>
    <n v="418"/>
    <n v="14752"/>
    <s v="59839080"/>
    <s v="59839080"/>
    <m/>
    <m/>
    <n v="22726612"/>
    <m/>
    <m/>
    <m/>
    <s v="SOLFIN"/>
    <s v="SOLFIN"/>
    <s v="CCMS"/>
    <n v="21318815"/>
    <n v="13136.2"/>
    <m/>
    <s v="N"/>
    <n v="25"/>
    <d v="2023-07-03T19:02:03"/>
    <s v="Y"/>
    <s v="Hearing Unit 1.01 - 2.30 Hours"/>
    <s v="Public Law Children"/>
    <s v="Advocacy"/>
    <s v="JLS"/>
    <s v="Y"/>
    <n v="238.46"/>
    <n v="47.69"/>
    <x v="3"/>
    <s v="VALIDATED"/>
    <n v="1"/>
    <s v="01.11.80.308.6100.0000"/>
    <n v="238.46"/>
    <s v="11"/>
    <s v="6100"/>
    <n v="33459.28"/>
    <n v="238.46"/>
    <s v="CREDITOR"/>
    <n v="0"/>
    <n v="0"/>
    <n v="0"/>
    <n v="0"/>
    <n v="238.46"/>
  </r>
  <r>
    <n v="40167068"/>
    <s v="N"/>
    <n v="21319043"/>
    <s v="3000010786360008"/>
    <s v="CIVIL"/>
    <d v="2023-06-09T00:00:00"/>
    <d v="2023-07-03T19:01:49"/>
    <m/>
    <d v="2023-07-03T00:00:00"/>
    <n v="418"/>
    <n v="14752"/>
    <s v="40167068"/>
    <s v="40167068"/>
    <m/>
    <m/>
    <n v="22656592"/>
    <m/>
    <m/>
    <m/>
    <s v="SOLFIN"/>
    <s v="SOLFIN"/>
    <s v="CCMS"/>
    <n v="21319043"/>
    <n v="7412.38"/>
    <m/>
    <s v="N"/>
    <n v="16"/>
    <d v="2023-07-03T19:02:09"/>
    <s v="Y"/>
    <s v="Preparation - other"/>
    <s v="Care Remuneration Hourly Rates"/>
    <s v="Profit Cost"/>
    <s v="MT"/>
    <s v="Y"/>
    <n v="13.43"/>
    <n v="2.69"/>
    <x v="3"/>
    <s v="VALIDATED"/>
    <n v="1"/>
    <s v="01.11.80.305.6100.0000"/>
    <n v="13.43"/>
    <s v="11"/>
    <s v="6100"/>
    <n v="33459.28"/>
    <n v="13.43"/>
    <s v="CREDITOR"/>
    <n v="0"/>
    <n v="0"/>
    <n v="0"/>
    <n v="0"/>
    <n v="13.43"/>
  </r>
  <r>
    <n v="40167068"/>
    <s v="N"/>
    <n v="21319043"/>
    <s v="3000010786360008"/>
    <s v="CIVIL"/>
    <d v="2023-06-09T00:00:00"/>
    <d v="2023-07-03T19:01:49"/>
    <m/>
    <d v="2023-07-03T00:00:00"/>
    <n v="418"/>
    <n v="14752"/>
    <s v="40167068"/>
    <s v="40167068"/>
    <m/>
    <m/>
    <n v="22656592"/>
    <m/>
    <m/>
    <m/>
    <s v="SOLFIN"/>
    <s v="SOLFIN"/>
    <s v="CCMS"/>
    <n v="21319043"/>
    <n v="7412.38"/>
    <m/>
    <s v="N"/>
    <n v="19"/>
    <d v="2023-07-03T19:02:09"/>
    <s v="Y"/>
    <s v="Preparation - other"/>
    <s v="Care Remuneration Hourly Rates"/>
    <s v="Profit Cost"/>
    <s v="MT"/>
    <s v="Y"/>
    <n v="20.15"/>
    <n v="4.03"/>
    <x v="3"/>
    <s v="VALIDATED"/>
    <n v="1"/>
    <s v="01.11.80.305.6100.0000"/>
    <n v="20.15"/>
    <s v="11"/>
    <s v="6100"/>
    <n v="33459.28"/>
    <n v="20.15"/>
    <s v="CREDITOR"/>
    <n v="0"/>
    <n v="0"/>
    <n v="0"/>
    <n v="0"/>
    <n v="20.15"/>
  </r>
  <r>
    <n v="60949177"/>
    <s v="N"/>
    <n v="21338409"/>
    <s v="3000015164440011"/>
    <s v="CIVIL"/>
    <d v="2023-06-27T00:00:00"/>
    <d v="2023-07-06T19:21:01"/>
    <m/>
    <d v="2023-07-06T00:00:00"/>
    <n v="418"/>
    <n v="14752"/>
    <s v="60949177"/>
    <s v="60949177"/>
    <m/>
    <m/>
    <n v="22770004"/>
    <m/>
    <m/>
    <m/>
    <s v="SOLFIN"/>
    <s v="SOLFIN"/>
    <s v="CCMS"/>
    <n v="21338409"/>
    <n v="6354.31"/>
    <m/>
    <s v="N"/>
    <n v="10"/>
    <d v="2023-07-06T19:21:24"/>
    <s v="Y"/>
    <s v="Hearing Unit 1.01 - 2.30 Hours"/>
    <s v="Public Law Children"/>
    <s v="Advocacy"/>
    <s v="KFT"/>
    <s v="Y"/>
    <n v="238.46"/>
    <n v="47.69"/>
    <x v="4"/>
    <s v="VALIDATED"/>
    <n v="1"/>
    <s v="01.11.80.308.6100.0000"/>
    <n v="238.46"/>
    <s v="11"/>
    <s v="6100"/>
    <n v="33459.28"/>
    <n v="238.46"/>
    <s v="CREDITOR"/>
    <n v="0"/>
    <n v="0"/>
    <n v="0"/>
    <n v="0"/>
    <n v="238.46"/>
  </r>
  <r>
    <n v="40167068"/>
    <s v="N"/>
    <n v="21319043"/>
    <s v="3000010786360008"/>
    <s v="CIVIL"/>
    <d v="2023-06-09T00:00:00"/>
    <d v="2023-07-03T19:01:49"/>
    <m/>
    <d v="2023-07-03T00:00:00"/>
    <n v="418"/>
    <n v="14752"/>
    <s v="40167068"/>
    <s v="40167068"/>
    <m/>
    <m/>
    <n v="22656592"/>
    <m/>
    <m/>
    <m/>
    <s v="SOLFIN"/>
    <s v="SOLFIN"/>
    <s v="CCMS"/>
    <n v="21319043"/>
    <n v="7412.38"/>
    <m/>
    <s v="N"/>
    <n v="14"/>
    <d v="2023-07-03T19:02:09"/>
    <s v="Y"/>
    <s v="Preparation - drafting consent orde"/>
    <s v="Care Remuneration Hourly Rates"/>
    <s v="Profit Cost"/>
    <s v="MT"/>
    <s v="Y"/>
    <n v="6.72"/>
    <n v="1.34"/>
    <x v="3"/>
    <s v="VALIDATED"/>
    <n v="1"/>
    <s v="01.11.80.305.6100.0000"/>
    <n v="6.72"/>
    <s v="11"/>
    <s v="6100"/>
    <n v="33459.28"/>
    <n v="6.72"/>
    <s v="CREDITOR"/>
    <n v="0"/>
    <n v="0"/>
    <n v="0"/>
    <n v="0"/>
    <n v="6.72"/>
  </r>
  <r>
    <n v="61463291"/>
    <s v="N"/>
    <n v="21323621"/>
    <s v="3000015593060021"/>
    <s v="CIVIL"/>
    <d v="2023-06-30T00:00:00"/>
    <d v="2023-07-03T19:05:56"/>
    <m/>
    <d v="2023-07-03T00:00:00"/>
    <n v="418"/>
    <n v="14752"/>
    <s v="61463291"/>
    <s v="61463291"/>
    <m/>
    <m/>
    <n v="22795454"/>
    <m/>
    <m/>
    <m/>
    <s v="SOLPOA"/>
    <s v="SOLPOA"/>
    <s v="CCMS"/>
    <n v="21323621"/>
    <n v="212.5"/>
    <m/>
    <s v="N"/>
    <n v="1"/>
    <d v="2023-07-03T19:05:58"/>
    <s v="N"/>
    <s v="Expert Cost"/>
    <s v="Expert Cost"/>
    <s v="Expert Disbursement"/>
    <s v="Mark Tooley"/>
    <s v="N"/>
    <n v="212.5"/>
    <n v="0"/>
    <x v="3"/>
    <s v="VALIDATED"/>
    <n v="1"/>
    <s v="01.11.80.308.2012.0000"/>
    <n v="212.5"/>
    <s v="11"/>
    <s v="2012"/>
    <n v="33459.28"/>
    <n v="212.5"/>
    <s v="CREDITOR"/>
    <n v="212.5"/>
    <n v="0"/>
    <n v="0"/>
    <n v="0"/>
    <n v="0"/>
  </r>
  <r>
    <n v="60959858"/>
    <s v="N"/>
    <n v="21328276"/>
    <s v="3000015173120002"/>
    <s v="CIVIL"/>
    <d v="2023-06-27T00:00:00"/>
    <d v="2023-07-04T19:00:44"/>
    <m/>
    <d v="2023-07-04T00:00:00"/>
    <n v="418"/>
    <n v="14752"/>
    <s v="60959858"/>
    <s v="60959858"/>
    <m/>
    <m/>
    <n v="22769790"/>
    <m/>
    <m/>
    <m/>
    <s v="SOLFIN"/>
    <s v="SOLFIN"/>
    <s v="CCMS"/>
    <n v="21328276"/>
    <n v="194.47"/>
    <m/>
    <s v="N"/>
    <n v="6"/>
    <d v="2023-07-04T19:01:11"/>
    <s v="Y"/>
    <s v="Attendance upon client"/>
    <s v="Care Remuneration Hourly Rates"/>
    <s v="Profit Cost"/>
    <s v="KFT"/>
    <s v="Y"/>
    <n v="17.52"/>
    <n v="3.5"/>
    <x v="1"/>
    <s v="VALIDATED"/>
    <n v="1"/>
    <s v="01.11.80.308.6100.0000"/>
    <n v="17.52"/>
    <s v="11"/>
    <s v="6100"/>
    <n v="33459.28"/>
    <n v="17.52"/>
    <s v="CREDITOR"/>
    <n v="0"/>
    <n v="0"/>
    <n v="0"/>
    <n v="0"/>
    <n v="17.52"/>
  </r>
  <r>
    <n v="40167068"/>
    <s v="N"/>
    <n v="21319043"/>
    <s v="3000010786360008"/>
    <s v="CIVIL"/>
    <d v="2023-06-09T00:00:00"/>
    <d v="2023-07-03T19:01:49"/>
    <m/>
    <d v="2023-07-03T00:00:00"/>
    <n v="418"/>
    <n v="14752"/>
    <s v="40167068"/>
    <s v="40167068"/>
    <m/>
    <m/>
    <n v="22656592"/>
    <m/>
    <m/>
    <m/>
    <s v="SOLFIN"/>
    <s v="SOLFIN"/>
    <s v="CCMS"/>
    <n v="21319043"/>
    <n v="7412.38"/>
    <m/>
    <s v="N"/>
    <n v="30"/>
    <d v="2023-07-03T19:02:09"/>
    <s v="Y"/>
    <s v="Child psychiatrist"/>
    <s v="Care Remuneration Hourly Rates"/>
    <s v="Expert Disbursement"/>
    <s v="XXX"/>
    <s v="Y"/>
    <n v="27"/>
    <n v="5.4"/>
    <x v="3"/>
    <s v="VALIDATED"/>
    <n v="1"/>
    <s v="01.11.80.305.6300.0000"/>
    <n v="27"/>
    <s v="11"/>
    <s v="6300"/>
    <n v="33459.28"/>
    <n v="27"/>
    <s v="CREDITOR"/>
    <n v="0"/>
    <n v="0"/>
    <n v="0"/>
    <n v="0"/>
    <n v="27"/>
  </r>
  <r>
    <n v="61283867"/>
    <s v="N"/>
    <n v="21338268"/>
    <s v="3000015446240006"/>
    <s v="CIVIL"/>
    <d v="2023-06-26T00:00:00"/>
    <d v="2023-07-06T19:21:01"/>
    <m/>
    <d v="2023-07-06T00:00:00"/>
    <n v="418"/>
    <n v="14752"/>
    <s v="61283867"/>
    <s v="61283867"/>
    <m/>
    <m/>
    <n v="22757658"/>
    <m/>
    <m/>
    <m/>
    <s v="SOLFIN"/>
    <s v="SOLFIN"/>
    <s v="CCMS"/>
    <n v="21338268"/>
    <n v="7341.02"/>
    <m/>
    <s v="N"/>
    <n v="15"/>
    <d v="2023-07-06T19:21:15"/>
    <s v="Y"/>
    <s v="Hearing Unit 2.31 - 5.00 Hours"/>
    <s v="Public Law Children"/>
    <s v="Advocacy"/>
    <s v="MAT"/>
    <s v="Y"/>
    <n v="476.92"/>
    <n v="95.38"/>
    <x v="4"/>
    <s v="VALIDATED"/>
    <n v="1"/>
    <s v="01.11.80.308.6100.0000"/>
    <n v="476.92"/>
    <s v="11"/>
    <s v="6100"/>
    <n v="33459.28"/>
    <n v="476.92"/>
    <s v="CREDITOR"/>
    <n v="0"/>
    <n v="0"/>
    <n v="0"/>
    <n v="0"/>
    <n v="476.92"/>
  </r>
  <r>
    <n v="60954153"/>
    <s v="N"/>
    <n v="21327626"/>
    <s v="3000015168920004"/>
    <s v="CIVIL"/>
    <d v="2023-06-26T00:00:00"/>
    <d v="2023-07-04T19:00:44"/>
    <m/>
    <d v="2023-07-04T00:00:00"/>
    <n v="418"/>
    <n v="14752"/>
    <s v="60954153"/>
    <s v="60954153"/>
    <m/>
    <m/>
    <n v="22758442"/>
    <m/>
    <m/>
    <m/>
    <s v="SOLFIN"/>
    <s v="SOLFIN"/>
    <s v="CCMS"/>
    <n v="21327626"/>
    <n v="817.11"/>
    <m/>
    <s v="N"/>
    <n v="17"/>
    <d v="2023-07-04T19:00:51"/>
    <s v="Y"/>
    <s v="Routine Letter In"/>
    <s v="Care Remuneration Hourly Rates"/>
    <s v="Profit Cost"/>
    <s v="MAT"/>
    <s v="Y"/>
    <n v="53.19"/>
    <n v="10.64"/>
    <x v="1"/>
    <s v="VALIDATED"/>
    <n v="1"/>
    <s v="01.11.80.305.6100.0000"/>
    <n v="53.19"/>
    <s v="11"/>
    <s v="6100"/>
    <n v="33459.28"/>
    <n v="53.19"/>
    <s v="CREDITOR"/>
    <n v="0"/>
    <n v="0"/>
    <n v="0"/>
    <n v="0"/>
    <n v="53.19"/>
  </r>
  <r>
    <n v="60949177"/>
    <s v="N"/>
    <n v="21338409"/>
    <s v="3000015164440011"/>
    <s v="CIVIL"/>
    <d v="2023-06-27T00:00:00"/>
    <d v="2023-07-06T19:21:01"/>
    <m/>
    <d v="2023-07-06T00:00:00"/>
    <n v="418"/>
    <n v="14752"/>
    <s v="60949177"/>
    <s v="60949177"/>
    <m/>
    <m/>
    <n v="22770004"/>
    <m/>
    <m/>
    <m/>
    <s v="SOLFIN"/>
    <s v="SOLFIN"/>
    <s v="CCMS"/>
    <n v="21338409"/>
    <n v="6354.31"/>
    <m/>
    <s v="N"/>
    <n v="9"/>
    <d v="2023-07-06T19:21:24"/>
    <s v="Y"/>
    <s v="Hearing Unit 1.01 - 2.30 Hours"/>
    <s v="Public Law Children"/>
    <s v="Advocacy"/>
    <s v="KFT"/>
    <s v="Y"/>
    <n v="238.46"/>
    <n v="47.69"/>
    <x v="4"/>
    <s v="VALIDATED"/>
    <n v="1"/>
    <s v="01.11.80.308.6100.0000"/>
    <n v="238.46"/>
    <s v="11"/>
    <s v="6100"/>
    <n v="33459.28"/>
    <n v="238.46"/>
    <s v="CREDITOR"/>
    <n v="0"/>
    <n v="0"/>
    <n v="0"/>
    <n v="0"/>
    <n v="238.46"/>
  </r>
  <r>
    <n v="61709374"/>
    <s v="N"/>
    <n v="21331235"/>
    <s v="3000015799560002"/>
    <s v="CIVIL"/>
    <d v="2023-06-26T00:00:00"/>
    <d v="2023-07-05T19:01:47"/>
    <m/>
    <d v="2023-07-05T00:00:00"/>
    <n v="418"/>
    <n v="14752"/>
    <s v="61709374"/>
    <s v="61709374"/>
    <m/>
    <m/>
    <n v="22760324"/>
    <m/>
    <m/>
    <m/>
    <s v="SOLFIN"/>
    <s v="SOLFIN"/>
    <s v="CCMS"/>
    <n v="21331235"/>
    <n v="3998.85"/>
    <m/>
    <s v="N"/>
    <n v="4"/>
    <d v="2023-07-05T19:02:11"/>
    <s v="Y"/>
    <s v="Final Hearing - 1 Day"/>
    <s v="Public Law Children"/>
    <s v="Advocacy"/>
    <s v="MAT"/>
    <s v="Y"/>
    <n v="556.88"/>
    <n v="111.37"/>
    <x v="6"/>
    <s v="VALIDATED"/>
    <n v="1"/>
    <s v="01.11.80.308.6100.0000"/>
    <n v="556.88"/>
    <s v="11"/>
    <s v="6100"/>
    <n v="33459.28"/>
    <n v="556.88"/>
    <s v="CREDITOR"/>
    <n v="0"/>
    <n v="0"/>
    <n v="0"/>
    <n v="0"/>
    <n v="556.88"/>
  </r>
  <r>
    <n v="60959858"/>
    <s v="N"/>
    <n v="21328276"/>
    <s v="3000015173120002"/>
    <s v="CIVIL"/>
    <d v="2023-06-27T00:00:00"/>
    <d v="2023-07-04T19:00:44"/>
    <m/>
    <d v="2023-07-04T00:00:00"/>
    <n v="418"/>
    <n v="14752"/>
    <s v="60959858"/>
    <s v="60959858"/>
    <m/>
    <m/>
    <n v="22769790"/>
    <m/>
    <m/>
    <m/>
    <s v="SOLFIN"/>
    <s v="SOLFIN"/>
    <s v="CCMS"/>
    <n v="21328276"/>
    <n v="194.47"/>
    <m/>
    <s v="N"/>
    <n v="10"/>
    <d v="2023-07-04T19:01:11"/>
    <s v="Y"/>
    <s v="Preparation - other"/>
    <s v="Care Remuneration Hourly Rates"/>
    <s v="Profit Cost"/>
    <s v="KFT"/>
    <s v="Y"/>
    <n v="5.84"/>
    <n v="1.17"/>
    <x v="1"/>
    <s v="VALIDATED"/>
    <n v="1"/>
    <s v="01.11.80.308.6100.0000"/>
    <n v="5.84"/>
    <s v="11"/>
    <s v="6100"/>
    <n v="33459.28"/>
    <n v="5.84"/>
    <s v="CREDITOR"/>
    <n v="0"/>
    <n v="0"/>
    <n v="0"/>
    <n v="0"/>
    <n v="5.84"/>
  </r>
  <r>
    <n v="60954153"/>
    <s v="N"/>
    <n v="21327626"/>
    <s v="3000015168920004"/>
    <s v="CIVIL"/>
    <d v="2023-06-26T00:00:00"/>
    <d v="2023-07-04T19:00:44"/>
    <m/>
    <d v="2023-07-04T00:00:00"/>
    <n v="418"/>
    <n v="14752"/>
    <s v="60954153"/>
    <s v="60954153"/>
    <m/>
    <m/>
    <n v="22758442"/>
    <m/>
    <m/>
    <m/>
    <s v="SOLFIN"/>
    <s v="SOLFIN"/>
    <s v="CCMS"/>
    <n v="21327626"/>
    <n v="817.11"/>
    <m/>
    <s v="N"/>
    <n v="16"/>
    <d v="2023-07-04T19:00:51"/>
    <s v="Y"/>
    <s v="Preparation - other"/>
    <s v="Care Remuneration Hourly Rates"/>
    <s v="Profit Cost"/>
    <s v="AR"/>
    <s v="Y"/>
    <n v="17.52"/>
    <n v="3.5"/>
    <x v="1"/>
    <s v="VALIDATED"/>
    <n v="1"/>
    <s v="01.11.80.305.6100.0000"/>
    <n v="17.52"/>
    <s v="11"/>
    <s v="6100"/>
    <n v="33459.28"/>
    <n v="17.52"/>
    <s v="CREDITOR"/>
    <n v="0"/>
    <n v="0"/>
    <n v="0"/>
    <n v="0"/>
    <n v="17.52"/>
  </r>
  <r>
    <n v="40167068"/>
    <s v="N"/>
    <n v="21319043"/>
    <s v="3000010786360008"/>
    <s v="CIVIL"/>
    <d v="2023-06-09T00:00:00"/>
    <d v="2023-07-03T19:01:49"/>
    <m/>
    <d v="2023-07-03T00:00:00"/>
    <n v="418"/>
    <n v="14752"/>
    <s v="40167068"/>
    <s v="40167068"/>
    <m/>
    <m/>
    <n v="22656592"/>
    <m/>
    <m/>
    <m/>
    <s v="SOLFIN"/>
    <s v="SOLFIN"/>
    <s v="CCMS"/>
    <n v="21319043"/>
    <n v="7412.38"/>
    <m/>
    <s v="N"/>
    <n v="17"/>
    <d v="2023-07-03T19:02:09"/>
    <s v="Y"/>
    <s v="Preparation - other"/>
    <s v="Care Remuneration Hourly Rates"/>
    <s v="Profit Cost"/>
    <s v="MT"/>
    <s v="Y"/>
    <n v="33.59"/>
    <n v="6.72"/>
    <x v="3"/>
    <s v="VALIDATED"/>
    <n v="1"/>
    <s v="01.11.80.305.6100.0000"/>
    <n v="33.59"/>
    <s v="11"/>
    <s v="6100"/>
    <n v="33459.28"/>
    <n v="33.59"/>
    <s v="CREDITOR"/>
    <n v="0"/>
    <n v="0"/>
    <n v="0"/>
    <n v="0"/>
    <n v="33.59"/>
  </r>
  <r>
    <n v="59839080"/>
    <s v="N"/>
    <n v="21318815"/>
    <s v="3000014203590024"/>
    <s v="CIVIL"/>
    <d v="2023-06-20T00:00:00"/>
    <d v="2023-07-03T19:01:49"/>
    <m/>
    <d v="2023-07-03T00:00:00"/>
    <n v="418"/>
    <n v="14752"/>
    <s v="59839080"/>
    <s v="59839080"/>
    <m/>
    <m/>
    <n v="22726612"/>
    <m/>
    <m/>
    <m/>
    <s v="SOLFIN"/>
    <s v="SOLFIN"/>
    <s v="CCMS"/>
    <n v="21318815"/>
    <n v="13136.2"/>
    <m/>
    <s v="N"/>
    <n v="6"/>
    <d v="2023-07-03T19:02:03"/>
    <s v="Y"/>
    <s v="Geneticist"/>
    <s v="Public Law Children"/>
    <s v="Expert Disbursement"/>
    <s v="JLS"/>
    <s v="Y"/>
    <n v="189.81"/>
    <n v="37.96"/>
    <x v="3"/>
    <s v="VALIDATED"/>
    <n v="1"/>
    <s v="01.11.80.308.6300.0000"/>
    <n v="189.81"/>
    <s v="11"/>
    <s v="6300"/>
    <n v="33459.28"/>
    <n v="189.81"/>
    <s v="CREDITOR"/>
    <n v="0"/>
    <n v="0"/>
    <n v="0"/>
    <n v="0"/>
    <n v="189.81"/>
  </r>
  <r>
    <n v="40167068"/>
    <s v="N"/>
    <n v="21319043"/>
    <s v="3000010786360008"/>
    <s v="CIVIL"/>
    <d v="2023-06-09T00:00:00"/>
    <d v="2023-07-03T19:01:49"/>
    <m/>
    <d v="2023-07-03T00:00:00"/>
    <n v="418"/>
    <n v="14752"/>
    <s v="40167068"/>
    <s v="40167068"/>
    <m/>
    <m/>
    <n v="22656592"/>
    <m/>
    <m/>
    <m/>
    <s v="SOLFIN"/>
    <s v="SOLFIN"/>
    <s v="CCMS"/>
    <n v="21319043"/>
    <n v="7412.38"/>
    <m/>
    <s v="N"/>
    <n v="5"/>
    <d v="2023-07-03T19:02:09"/>
    <s v="Y"/>
    <s v="Preparation - other"/>
    <s v="Care Remuneration Hourly Rates"/>
    <s v="Profit Cost"/>
    <s v="MT"/>
    <s v="Y"/>
    <n v="20.15"/>
    <n v="4.03"/>
    <x v="3"/>
    <s v="VALIDATED"/>
    <n v="1"/>
    <s v="01.11.80.305.6100.0000"/>
    <n v="20.15"/>
    <s v="11"/>
    <s v="6100"/>
    <n v="33459.28"/>
    <n v="20.15"/>
    <s v="CREDITOR"/>
    <n v="0"/>
    <n v="0"/>
    <n v="0"/>
    <n v="0"/>
    <n v="20.15"/>
  </r>
  <r>
    <n v="62118752"/>
    <s v="N"/>
    <n v="21322623"/>
    <s v="3000016142800003"/>
    <s v="CIVIL"/>
    <d v="2023-06-29T00:00:00"/>
    <d v="2023-07-03T19:05:36"/>
    <m/>
    <d v="2023-07-03T00:00:00"/>
    <n v="418"/>
    <n v="14752"/>
    <s v="62118752"/>
    <s v="62118752"/>
    <m/>
    <m/>
    <n v="22789242"/>
    <m/>
    <m/>
    <m/>
    <s v="SOLPOA"/>
    <s v="SOLPOA"/>
    <s v="CCMS"/>
    <n v="21322623"/>
    <n v="207.36"/>
    <m/>
    <s v="N"/>
    <n v="1"/>
    <d v="2023-07-03T19:05:39"/>
    <s v="N"/>
    <s v="Expert Cost"/>
    <s v="Expert Cost"/>
    <s v="Expert Disbursement"/>
    <s v="Mark Tooley"/>
    <s v="N"/>
    <n v="207.36"/>
    <n v="0"/>
    <x v="3"/>
    <s v="VALIDATED"/>
    <n v="1"/>
    <s v="01.11.80.308.2012.0000"/>
    <n v="207.36"/>
    <s v="11"/>
    <s v="2012"/>
    <n v="33459.28"/>
    <n v="207.36"/>
    <s v="CREDITOR"/>
    <n v="207.36"/>
    <n v="0"/>
    <n v="0"/>
    <n v="0"/>
    <n v="0"/>
  </r>
  <r>
    <n v="61149255"/>
    <s v="N"/>
    <n v="21322484"/>
    <s v="3000015333000003"/>
    <s v="CIVIL"/>
    <d v="2023-06-29T00:00:00"/>
    <d v="2023-07-03T19:05:36"/>
    <m/>
    <d v="2023-07-03T00:00:00"/>
    <n v="418"/>
    <n v="14752"/>
    <s v="61149255"/>
    <s v="61149255"/>
    <m/>
    <m/>
    <n v="22789274"/>
    <m/>
    <m/>
    <m/>
    <s v="SOLPOA"/>
    <s v="SOLPOA"/>
    <s v="CCMS"/>
    <n v="21322484"/>
    <n v="191.6"/>
    <m/>
    <s v="N"/>
    <n v="1"/>
    <d v="2023-07-03T19:05:38"/>
    <s v="N"/>
    <s v="Expert Cost"/>
    <s v="Expert Cost"/>
    <s v="Expert Disbursement"/>
    <s v="Jennie Swaby"/>
    <s v="N"/>
    <n v="191.6"/>
    <n v="0"/>
    <x v="3"/>
    <s v="VALIDATED"/>
    <n v="1"/>
    <s v="01.11.80.308.2012.0000"/>
    <n v="191.6"/>
    <s v="11"/>
    <s v="2012"/>
    <n v="33459.28"/>
    <n v="191.6"/>
    <s v="CREDITOR"/>
    <n v="191.6"/>
    <n v="0"/>
    <n v="0"/>
    <n v="0"/>
    <n v="0"/>
  </r>
  <r>
    <n v="40167068"/>
    <s v="N"/>
    <n v="21319043"/>
    <s v="3000010786360008"/>
    <s v="CIVIL"/>
    <d v="2023-06-09T00:00:00"/>
    <d v="2023-07-03T19:01:49"/>
    <m/>
    <d v="2023-07-03T00:00:00"/>
    <n v="418"/>
    <n v="14752"/>
    <s v="40167068"/>
    <s v="40167068"/>
    <m/>
    <m/>
    <n v="22656592"/>
    <m/>
    <m/>
    <m/>
    <s v="SOLFIN"/>
    <s v="SOLFIN"/>
    <s v="CCMS"/>
    <n v="21319043"/>
    <n v="7412.38"/>
    <m/>
    <s v="N"/>
    <n v="22"/>
    <d v="2023-07-03T19:02:09"/>
    <s v="Y"/>
    <s v="Preparation - drafting bill/claim f"/>
    <s v="Care Remuneration Hourly Rates"/>
    <s v="Profit Cost"/>
    <s v="MT"/>
    <s v="Y"/>
    <n v="13.43"/>
    <n v="2.69"/>
    <x v="3"/>
    <s v="VALIDATED"/>
    <n v="1"/>
    <s v="01.11.80.305.6100.0000"/>
    <n v="13.43"/>
    <s v="11"/>
    <s v="6100"/>
    <n v="33459.28"/>
    <n v="13.43"/>
    <s v="CREDITOR"/>
    <n v="0"/>
    <n v="0"/>
    <n v="0"/>
    <n v="0"/>
    <n v="13.43"/>
  </r>
  <r>
    <n v="40167068"/>
    <s v="N"/>
    <n v="21319043"/>
    <s v="3000010786360008"/>
    <s v="CIVIL"/>
    <d v="2023-06-09T00:00:00"/>
    <d v="2023-07-03T19:01:49"/>
    <m/>
    <d v="2023-07-03T00:00:00"/>
    <n v="418"/>
    <n v="14752"/>
    <s v="40167068"/>
    <s v="40167068"/>
    <m/>
    <m/>
    <n v="22656592"/>
    <m/>
    <m/>
    <m/>
    <s v="SOLFIN"/>
    <s v="SOLFIN"/>
    <s v="CCMS"/>
    <n v="21319043"/>
    <n v="7412.38"/>
    <m/>
    <s v="N"/>
    <n v="27"/>
    <d v="2023-07-03T19:02:09"/>
    <s v="Y"/>
    <s v="Routine Letter In"/>
    <s v="Care Remuneration Hourly Rates"/>
    <s v="Profit Cost"/>
    <s v="KS"/>
    <s v="Y"/>
    <n v="296"/>
    <n v="59.2"/>
    <x v="3"/>
    <s v="VALIDATED"/>
    <n v="1"/>
    <s v="01.11.80.305.6100.0000"/>
    <n v="296"/>
    <s v="11"/>
    <s v="6100"/>
    <n v="33459.28"/>
    <n v="296"/>
    <s v="CREDITOR"/>
    <n v="0"/>
    <n v="0"/>
    <n v="0"/>
    <n v="0"/>
    <n v="296"/>
  </r>
  <r>
    <n v="40167068"/>
    <s v="N"/>
    <n v="21319043"/>
    <s v="3000010786360008"/>
    <s v="CIVIL"/>
    <d v="2023-06-09T00:00:00"/>
    <d v="2023-07-03T19:01:49"/>
    <m/>
    <d v="2023-07-03T00:00:00"/>
    <n v="418"/>
    <n v="14752"/>
    <s v="40167068"/>
    <s v="40167068"/>
    <m/>
    <m/>
    <n v="22656592"/>
    <m/>
    <m/>
    <m/>
    <s v="SOLFIN"/>
    <s v="SOLFIN"/>
    <s v="CCMS"/>
    <n v="21319043"/>
    <n v="7412.38"/>
    <m/>
    <s v="N"/>
    <n v="35"/>
    <d v="2023-07-03T19:02:09"/>
    <s v="Y"/>
    <s v="Hearing Unit 1.01 - 2.30 Hours"/>
    <s v="Other Public Law Children"/>
    <s v="Advocacy"/>
    <s v="MT"/>
    <s v="Y"/>
    <n v="208.53"/>
    <n v="41.71"/>
    <x v="3"/>
    <s v="VALIDATED"/>
    <n v="1"/>
    <s v="01.11.80.305.6100.0000"/>
    <n v="208.53"/>
    <s v="11"/>
    <s v="6100"/>
    <n v="33459.28"/>
    <n v="208.53"/>
    <s v="CREDITOR"/>
    <n v="0"/>
    <n v="0"/>
    <n v="0"/>
    <n v="0"/>
    <n v="208.53"/>
  </r>
  <r>
    <n v="60954153"/>
    <s v="N"/>
    <n v="21327626"/>
    <s v="3000015168920004"/>
    <s v="CIVIL"/>
    <d v="2023-06-26T00:00:00"/>
    <d v="2023-07-04T19:00:44"/>
    <m/>
    <d v="2023-07-04T00:00:00"/>
    <n v="418"/>
    <n v="14752"/>
    <s v="60954153"/>
    <s v="60954153"/>
    <m/>
    <m/>
    <n v="22758442"/>
    <m/>
    <m/>
    <m/>
    <s v="SOLFIN"/>
    <s v="SOLFIN"/>
    <s v="CCMS"/>
    <n v="21327626"/>
    <n v="817.11"/>
    <m/>
    <s v="N"/>
    <n v="6"/>
    <d v="2023-07-04T19:00:51"/>
    <s v="Y"/>
    <s v="Preparation - drafting statement"/>
    <s v="Care Remuneration Hourly Rates"/>
    <s v="Profit Cost"/>
    <s v="MAT"/>
    <s v="Y"/>
    <n v="40.31"/>
    <n v="8.06"/>
    <x v="1"/>
    <s v="VALIDATED"/>
    <n v="1"/>
    <s v="01.11.80.305.6100.0000"/>
    <n v="40.31"/>
    <s v="11"/>
    <s v="6100"/>
    <n v="33459.28"/>
    <n v="40.31"/>
    <s v="CREDITOR"/>
    <n v="0"/>
    <n v="0"/>
    <n v="0"/>
    <n v="0"/>
    <n v="40.31"/>
  </r>
  <r>
    <n v="60959858"/>
    <s v="N"/>
    <n v="21328276"/>
    <s v="3000015173120002"/>
    <s v="CIVIL"/>
    <d v="2023-06-27T00:00:00"/>
    <d v="2023-07-04T19:00:44"/>
    <m/>
    <d v="2023-07-04T00:00:00"/>
    <n v="418"/>
    <n v="14752"/>
    <s v="60959858"/>
    <s v="60959858"/>
    <m/>
    <m/>
    <n v="22769790"/>
    <m/>
    <m/>
    <m/>
    <s v="SOLFIN"/>
    <s v="SOLFIN"/>
    <s v="CCMS"/>
    <n v="21328276"/>
    <n v="194.47"/>
    <m/>
    <s v="N"/>
    <n v="2"/>
    <d v="2023-07-04T19:01:11"/>
    <s v="Y"/>
    <s v="Preparation - drafting bill/claim f"/>
    <s v="Care Remuneration Hourly Rates"/>
    <s v="Profit Cost"/>
    <s v="AR"/>
    <s v="Y"/>
    <n v="29.21"/>
    <n v="5.84"/>
    <x v="1"/>
    <s v="VALIDATED"/>
    <n v="1"/>
    <s v="01.11.80.308.6100.0000"/>
    <n v="29.21"/>
    <s v="11"/>
    <s v="6100"/>
    <n v="33459.28"/>
    <n v="29.21"/>
    <s v="CREDITOR"/>
    <n v="0"/>
    <n v="0"/>
    <n v="0"/>
    <n v="0"/>
    <n v="29.21"/>
  </r>
  <r>
    <n v="62138985"/>
    <s v="N"/>
    <n v="21323993"/>
    <s v="3000016160350002"/>
    <s v="CIVIL"/>
    <d v="2023-06-30T00:00:00"/>
    <d v="2023-07-03T19:05:56"/>
    <m/>
    <d v="2023-07-03T00:00:00"/>
    <n v="418"/>
    <n v="14752"/>
    <s v="62138985"/>
    <s v="62138985"/>
    <m/>
    <m/>
    <n v="22795678"/>
    <m/>
    <m/>
    <m/>
    <s v="SOLPOA"/>
    <s v="SOLPOA"/>
    <s v="CCMS"/>
    <n v="21323993"/>
    <n v="466.8"/>
    <m/>
    <s v="N"/>
    <n v="1"/>
    <d v="2023-07-03T19:06:00"/>
    <s v="N"/>
    <s v="Expert Cost"/>
    <s v="Expert Cost"/>
    <s v="Expert Disbursement"/>
    <s v="Jennie Swaby"/>
    <s v="N"/>
    <n v="466.8"/>
    <n v="0"/>
    <x v="3"/>
    <s v="VALIDATED"/>
    <n v="1"/>
    <s v="01.11.80.308.2012.0000"/>
    <n v="466.8"/>
    <s v="11"/>
    <s v="2012"/>
    <n v="33459.28"/>
    <n v="466.8"/>
    <s v="CREDITOR"/>
    <n v="466.8"/>
    <n v="0"/>
    <n v="0"/>
    <n v="0"/>
    <n v="0"/>
  </r>
  <r>
    <n v="61283867"/>
    <s v="N"/>
    <n v="21338268"/>
    <s v="3000015446240006"/>
    <s v="CIVIL"/>
    <d v="2023-06-26T00:00:00"/>
    <d v="2023-07-06T19:21:01"/>
    <m/>
    <d v="2023-07-06T00:00:00"/>
    <n v="418"/>
    <n v="14752"/>
    <s v="61283867"/>
    <s v="61283867"/>
    <m/>
    <m/>
    <n v="22757658"/>
    <m/>
    <m/>
    <m/>
    <s v="SOLFIN"/>
    <s v="SOLFIN"/>
    <s v="CCMS"/>
    <n v="21338268"/>
    <n v="7341.02"/>
    <m/>
    <s v="N"/>
    <n v="10"/>
    <d v="2023-07-06T19:21:15"/>
    <s v="Y"/>
    <s v="Final Hearing - 1 Day"/>
    <s v="Public Law Children"/>
    <s v="Advocacy"/>
    <s v="MAT"/>
    <s v="Y"/>
    <n v="556.88"/>
    <n v="111.38"/>
    <x v="4"/>
    <s v="VALIDATED"/>
    <n v="1"/>
    <s v="01.11.80.308.6100.0000"/>
    <n v="556.88"/>
    <s v="11"/>
    <s v="6100"/>
    <n v="33459.28"/>
    <n v="556.88"/>
    <s v="CREDITOR"/>
    <n v="0"/>
    <n v="0"/>
    <n v="0"/>
    <n v="0"/>
    <n v="556.88"/>
  </r>
  <r>
    <n v="61709374"/>
    <s v="N"/>
    <n v="21331235"/>
    <s v="3000015799560002"/>
    <s v="CIVIL"/>
    <d v="2023-06-26T00:00:00"/>
    <d v="2023-07-05T19:01:47"/>
    <m/>
    <d v="2023-07-05T00:00:00"/>
    <n v="418"/>
    <n v="14752"/>
    <s v="61709374"/>
    <s v="61709374"/>
    <m/>
    <m/>
    <n v="22760324"/>
    <m/>
    <m/>
    <m/>
    <s v="SOLFIN"/>
    <s v="SOLFIN"/>
    <s v="CCMS"/>
    <n v="21331235"/>
    <n v="3998.85"/>
    <m/>
    <s v="N"/>
    <n v="7"/>
    <d v="2023-07-05T19:02:11"/>
    <s v="Y"/>
    <s v="Solicitors Fixed Fee"/>
    <s v="Public Law Children"/>
    <s v="Profit Cost"/>
    <s v="MAT"/>
    <s v="Y"/>
    <n v="2013"/>
    <n v="402.61"/>
    <x v="6"/>
    <s v="VALIDATED"/>
    <n v="1"/>
    <s v="01.11.80.308.6100.0000"/>
    <n v="2013"/>
    <s v="11"/>
    <s v="6100"/>
    <n v="33459.28"/>
    <n v="2013"/>
    <s v="CREDITOR"/>
    <n v="0"/>
    <n v="0"/>
    <n v="0"/>
    <n v="0"/>
    <n v="2013"/>
  </r>
  <r>
    <n v="59839080"/>
    <s v="N"/>
    <n v="21318815"/>
    <s v="3000014203590024"/>
    <s v="CIVIL"/>
    <d v="2023-06-20T00:00:00"/>
    <d v="2023-07-03T19:01:49"/>
    <m/>
    <d v="2023-07-03T00:00:00"/>
    <n v="418"/>
    <n v="14752"/>
    <s v="59839080"/>
    <s v="59839080"/>
    <m/>
    <m/>
    <n v="22726612"/>
    <m/>
    <m/>
    <m/>
    <s v="SOLFIN"/>
    <s v="SOLFIN"/>
    <s v="CCMS"/>
    <n v="21318815"/>
    <n v="13136.2"/>
    <m/>
    <s v="N"/>
    <n v="15"/>
    <d v="2023-07-03T19:02:03"/>
    <s v="Y"/>
    <s v="Neuroradiologist"/>
    <s v="Public Law Children"/>
    <s v="Expert Disbursement"/>
    <s v="JLS"/>
    <s v="Y"/>
    <n v="144"/>
    <n v="28.8"/>
    <x v="3"/>
    <s v="VALIDATED"/>
    <n v="1"/>
    <s v="01.11.80.308.6300.0000"/>
    <n v="144"/>
    <s v="11"/>
    <s v="6300"/>
    <n v="33459.28"/>
    <n v="144"/>
    <s v="CREDITOR"/>
    <n v="0"/>
    <n v="0"/>
    <n v="0"/>
    <n v="0"/>
    <n v="144"/>
  </r>
  <r>
    <n v="61130256"/>
    <s v="N"/>
    <n v="21370364"/>
    <s v="3000015317200002"/>
    <s v="CIVIL"/>
    <d v="2023-06-27T00:00:00"/>
    <d v="2023-07-13T19:21:05"/>
    <m/>
    <d v="2023-07-13T00:00:00"/>
    <n v="418"/>
    <n v="14752"/>
    <s v="61130256"/>
    <s v="61130256"/>
    <m/>
    <m/>
    <n v="22771566"/>
    <m/>
    <m/>
    <m/>
    <s v="SOLFIN"/>
    <s v="SOLFIN"/>
    <s v="CCMS"/>
    <n v="21370364"/>
    <n v="5096.53"/>
    <m/>
    <s v="N"/>
    <n v="4"/>
    <d v="2023-07-13T19:21:22"/>
    <s v="Y"/>
    <s v="Advocates Meeting"/>
    <s v="Public Law Children"/>
    <s v="Advocacy"/>
    <s v="KFT"/>
    <s v="Y"/>
    <n v="140.99"/>
    <n v="28.2"/>
    <x v="11"/>
    <s v="VALIDATED"/>
    <n v="1"/>
    <s v="01.11.80.308.6100.0000"/>
    <n v="140.99"/>
    <s v="11"/>
    <s v="6100"/>
    <n v="33459.28"/>
    <n v="140.99"/>
    <s v="CREDITOR"/>
    <n v="0"/>
    <n v="0"/>
    <n v="0"/>
    <n v="0"/>
    <n v="140.99"/>
  </r>
  <r>
    <n v="61283867"/>
    <s v="N"/>
    <n v="21338268"/>
    <s v="3000015446240006"/>
    <s v="CIVIL"/>
    <d v="2023-06-26T00:00:00"/>
    <d v="2023-07-06T19:21:01"/>
    <m/>
    <d v="2023-07-06T00:00:00"/>
    <n v="418"/>
    <n v="14752"/>
    <s v="61283867"/>
    <s v="61283867"/>
    <m/>
    <m/>
    <n v="22757658"/>
    <m/>
    <m/>
    <m/>
    <s v="SOLFIN"/>
    <s v="SOLFIN"/>
    <s v="CCMS"/>
    <n v="21338268"/>
    <n v="7341.02"/>
    <m/>
    <s v="N"/>
    <n v="5"/>
    <d v="2023-07-06T19:21:15"/>
    <s v="Y"/>
    <s v="Solicitor Travel Expenses"/>
    <s v="Public Law Children"/>
    <s v="Non Expert Disbursement"/>
    <s v="MAT"/>
    <s v="Y"/>
    <n v="4.6"/>
    <n v="0.92"/>
    <x v="4"/>
    <s v="VALIDATED"/>
    <n v="1"/>
    <s v="01.11.80.308.6300.0000"/>
    <n v="4.6"/>
    <s v="11"/>
    <s v="6300"/>
    <n v="33459.28"/>
    <n v="4.6"/>
    <s v="CREDITOR"/>
    <n v="0"/>
    <n v="0"/>
    <n v="0"/>
    <n v="0"/>
    <n v="4.6"/>
  </r>
  <r>
    <n v="61283867"/>
    <s v="N"/>
    <n v="21338268"/>
    <s v="3000015446240006"/>
    <s v="CIVIL"/>
    <d v="2023-06-26T00:00:00"/>
    <d v="2023-07-06T19:21:01"/>
    <m/>
    <d v="2023-07-06T00:00:00"/>
    <n v="418"/>
    <n v="14752"/>
    <s v="61283867"/>
    <s v="61283867"/>
    <m/>
    <m/>
    <n v="22757658"/>
    <m/>
    <m/>
    <m/>
    <s v="SOLFIN"/>
    <s v="SOLFIN"/>
    <s v="CCMS"/>
    <n v="21338268"/>
    <n v="7341.02"/>
    <m/>
    <s v="N"/>
    <n v="11"/>
    <d v="2023-07-06T19:21:15"/>
    <s v="Y"/>
    <s v="Hearing Unit 2.31 - 5.00 Hours"/>
    <s v="Public Law Children"/>
    <s v="Advocacy"/>
    <s v="JLS"/>
    <s v="Y"/>
    <n v="476.92"/>
    <n v="95.38"/>
    <x v="4"/>
    <s v="VALIDATED"/>
    <n v="1"/>
    <s v="01.11.80.308.6100.0000"/>
    <n v="476.92"/>
    <s v="11"/>
    <s v="6100"/>
    <n v="33459.28"/>
    <n v="476.92"/>
    <s v="CREDITOR"/>
    <n v="0"/>
    <n v="0"/>
    <n v="0"/>
    <n v="0"/>
    <n v="476.92"/>
  </r>
  <r>
    <n v="61283867"/>
    <s v="N"/>
    <n v="21338268"/>
    <s v="3000015446240006"/>
    <s v="CIVIL"/>
    <d v="2023-06-26T00:00:00"/>
    <d v="2023-07-06T19:21:01"/>
    <m/>
    <d v="2023-07-06T00:00:00"/>
    <n v="418"/>
    <n v="14752"/>
    <s v="61283867"/>
    <s v="61283867"/>
    <m/>
    <m/>
    <n v="22757658"/>
    <m/>
    <m/>
    <m/>
    <s v="SOLFIN"/>
    <s v="SOLFIN"/>
    <s v="CCMS"/>
    <n v="21338268"/>
    <n v="7341.02"/>
    <m/>
    <s v="N"/>
    <n v="12"/>
    <d v="2023-07-06T19:21:15"/>
    <s v="Y"/>
    <s v="Advocates Meeting"/>
    <s v="Public Law Children"/>
    <s v="Advocacy"/>
    <s v="MAT"/>
    <s v="Y"/>
    <n v="140.99"/>
    <n v="28.2"/>
    <x v="4"/>
    <s v="VALIDATED"/>
    <n v="1"/>
    <s v="01.11.80.308.6100.0000"/>
    <n v="140.99"/>
    <s v="11"/>
    <s v="6100"/>
    <n v="33459.28"/>
    <n v="140.99"/>
    <s v="CREDITOR"/>
    <n v="0"/>
    <n v="0"/>
    <n v="0"/>
    <n v="0"/>
    <n v="140.99"/>
  </r>
  <r>
    <n v="61709374"/>
    <s v="N"/>
    <n v="21331235"/>
    <s v="3000015799560002"/>
    <s v="CIVIL"/>
    <d v="2023-06-26T00:00:00"/>
    <d v="2023-07-05T19:01:47"/>
    <m/>
    <d v="2023-07-05T00:00:00"/>
    <n v="418"/>
    <n v="14752"/>
    <s v="61709374"/>
    <s v="61709374"/>
    <m/>
    <m/>
    <n v="22760324"/>
    <m/>
    <m/>
    <m/>
    <s v="SOLFIN"/>
    <s v="SOLFIN"/>
    <s v="CCMS"/>
    <n v="21331235"/>
    <n v="3998.85"/>
    <m/>
    <s v="N"/>
    <n v="1"/>
    <d v="2023-07-05T19:02:11"/>
    <s v="Y"/>
    <s v="Solicitor Travel Expenses"/>
    <s v="Public Law Children"/>
    <s v="Non Expert Disbursement"/>
    <s v="KFT"/>
    <s v="Y"/>
    <n v="6.3"/>
    <n v="1.26"/>
    <x v="6"/>
    <s v="VALIDATED"/>
    <n v="1"/>
    <s v="01.11.80.308.6300.0000"/>
    <n v="6.3"/>
    <s v="11"/>
    <s v="6300"/>
    <n v="33459.28"/>
    <n v="6.3"/>
    <s v="CREDITOR"/>
    <n v="0"/>
    <n v="0"/>
    <n v="0"/>
    <n v="0"/>
    <n v="6.3"/>
  </r>
  <r>
    <n v="61757168"/>
    <s v="N"/>
    <n v="21361010"/>
    <s v="3000015836350008"/>
    <s v="CIVIL"/>
    <d v="2023-06-28T00:00:00"/>
    <d v="2023-07-11T19:00:25"/>
    <m/>
    <d v="2023-07-11T00:00:00"/>
    <n v="418"/>
    <n v="14752"/>
    <s v="61757168"/>
    <s v="61757168"/>
    <m/>
    <m/>
    <n v="22777452"/>
    <m/>
    <m/>
    <m/>
    <s v="SOLINT"/>
    <s v="SOLINT"/>
    <s v="CCMS"/>
    <n v="21361010"/>
    <n v="0"/>
    <m/>
    <s v="N"/>
    <n v="1"/>
    <d v="2023-07-11T19:00:42"/>
    <s v="N"/>
    <s v="NIL BILL"/>
    <s v="Public Law Children"/>
    <s v="Profit Cost"/>
    <s v="Jennie Swaby"/>
    <s v="N"/>
    <n v="0"/>
    <n v="0"/>
    <x v="7"/>
    <s v="VALIDATED"/>
    <n v="1"/>
    <s v="01.11.80.308.6100.0000"/>
    <n v="0"/>
    <s v="11"/>
    <s v="6100"/>
    <n v="33459.28"/>
    <n v="0"/>
    <s v="CREDITOR"/>
    <n v="0"/>
    <n v="0"/>
    <n v="0"/>
    <n v="0"/>
    <n v="0"/>
  </r>
  <r>
    <n v="61283867"/>
    <s v="N"/>
    <n v="21338268"/>
    <s v="3000015446240006"/>
    <s v="CIVIL"/>
    <d v="2023-06-26T00:00:00"/>
    <d v="2023-07-06T19:21:01"/>
    <m/>
    <d v="2023-07-06T00:00:00"/>
    <n v="418"/>
    <n v="14752"/>
    <s v="61283867"/>
    <s v="61283867"/>
    <m/>
    <m/>
    <n v="22757658"/>
    <m/>
    <m/>
    <m/>
    <s v="SOLFIN"/>
    <s v="SOLFIN"/>
    <s v="CCMS"/>
    <n v="21338268"/>
    <n v="7341.02"/>
    <m/>
    <s v="N"/>
    <n v="16"/>
    <d v="2023-07-06T19:21:15"/>
    <s v="Y"/>
    <s v="Solicitors Fixed Fee"/>
    <s v="Public Law Children"/>
    <s v="Profit Cost"/>
    <s v="MAT"/>
    <s v="Y"/>
    <n v="2013"/>
    <n v="402.6"/>
    <x v="4"/>
    <s v="VALIDATED"/>
    <n v="1"/>
    <s v="01.11.80.308.6100.0000"/>
    <n v="2013"/>
    <s v="11"/>
    <s v="6100"/>
    <n v="33459.28"/>
    <n v="2013"/>
    <s v="CREDITOR"/>
    <n v="0"/>
    <n v="0"/>
    <n v="0"/>
    <n v="0"/>
    <n v="2013"/>
  </r>
  <r>
    <n v="60949177"/>
    <s v="N"/>
    <n v="21338409"/>
    <s v="3000015164440011"/>
    <s v="CIVIL"/>
    <d v="2023-06-27T00:00:00"/>
    <d v="2023-07-06T19:21:01"/>
    <m/>
    <d v="2023-07-06T00:00:00"/>
    <n v="418"/>
    <n v="14752"/>
    <s v="60949177"/>
    <s v="60949177"/>
    <m/>
    <m/>
    <n v="22770004"/>
    <m/>
    <m/>
    <m/>
    <s v="SOLFIN"/>
    <s v="SOLFIN"/>
    <s v="CCMS"/>
    <n v="21338409"/>
    <n v="6354.31"/>
    <m/>
    <s v="N"/>
    <n v="12"/>
    <d v="2023-07-06T19:21:24"/>
    <s v="Y"/>
    <s v="Solicitors Fixed Fee"/>
    <s v="Public Law Children"/>
    <s v="Profit Cost"/>
    <s v="KFT"/>
    <s v="Y"/>
    <n v="2616"/>
    <n v="523.2"/>
    <x v="4"/>
    <s v="VALIDATED"/>
    <n v="1"/>
    <s v="01.11.80.308.6100.0000"/>
    <n v="2616"/>
    <s v="11"/>
    <s v="6100"/>
    <n v="33459.28"/>
    <n v="2616"/>
    <s v="CREDITOR"/>
    <n v="0"/>
    <n v="0"/>
    <n v="0"/>
    <n v="0"/>
    <n v="2616"/>
  </r>
  <r>
    <n v="59524195"/>
    <s v="N"/>
    <n v="21331320"/>
    <s v="3000013935620001"/>
    <s v="CIVIL"/>
    <d v="2023-06-26T00:00:00"/>
    <d v="2023-07-05T19:01:47"/>
    <m/>
    <d v="2023-07-05T00:00:00"/>
    <n v="418"/>
    <n v="14752"/>
    <s v="59524195"/>
    <s v="59524195"/>
    <m/>
    <m/>
    <n v="22758400"/>
    <m/>
    <m/>
    <m/>
    <s v="SOLFIN"/>
    <s v="SOLFIN"/>
    <s v="CCMS"/>
    <n v="21331320"/>
    <n v="8089.22"/>
    <m/>
    <s v="N"/>
    <n v="1"/>
    <d v="2023-07-05T19:02:14"/>
    <s v="Y"/>
    <s v="Solicitors Fixed Fee"/>
    <s v="Public Law Children"/>
    <s v="Profit Cost"/>
    <s v="XXX"/>
    <s v="Y"/>
    <n v="3020"/>
    <n v="604"/>
    <x v="6"/>
    <s v="VALIDATED"/>
    <n v="1"/>
    <s v="01.11.80.308.6100.0000"/>
    <n v="3020"/>
    <s v="11"/>
    <s v="6100"/>
    <n v="33459.28"/>
    <n v="3020"/>
    <s v="CREDITOR"/>
    <n v="0"/>
    <n v="0"/>
    <n v="0"/>
    <n v="0"/>
    <n v="3020"/>
  </r>
  <r>
    <n v="61709374"/>
    <s v="N"/>
    <n v="21331235"/>
    <s v="3000015799560002"/>
    <s v="CIVIL"/>
    <d v="2023-06-26T00:00:00"/>
    <d v="2023-07-05T19:01:47"/>
    <m/>
    <d v="2023-07-05T00:00:00"/>
    <n v="418"/>
    <n v="14752"/>
    <s v="61709374"/>
    <s v="61709374"/>
    <m/>
    <m/>
    <n v="22760324"/>
    <m/>
    <m/>
    <m/>
    <s v="SOLFIN"/>
    <s v="SOLFIN"/>
    <s v="CCMS"/>
    <n v="21331235"/>
    <n v="3998.85"/>
    <m/>
    <s v="N"/>
    <n v="3"/>
    <d v="2023-07-05T19:02:11"/>
    <s v="Y"/>
    <s v="Toxicologist"/>
    <s v="Public Law Children"/>
    <s v="Expert Disbursement"/>
    <s v="MAT"/>
    <s v="Y"/>
    <n v="36.67"/>
    <n v="7.33"/>
    <x v="6"/>
    <s v="VALIDATED"/>
    <n v="1"/>
    <s v="01.11.80.308.6300.0000"/>
    <n v="36.67"/>
    <s v="11"/>
    <s v="6300"/>
    <n v="33459.28"/>
    <n v="36.67"/>
    <s v="CREDITOR"/>
    <n v="0"/>
    <n v="0"/>
    <n v="0"/>
    <n v="0"/>
    <n v="36.67"/>
  </r>
  <r>
    <n v="61130256"/>
    <s v="N"/>
    <n v="21370364"/>
    <s v="3000015317200002"/>
    <s v="CIVIL"/>
    <d v="2023-06-27T00:00:00"/>
    <d v="2023-07-13T19:21:05"/>
    <m/>
    <d v="2023-07-13T00:00:00"/>
    <n v="418"/>
    <n v="14752"/>
    <s v="61130256"/>
    <s v="61130256"/>
    <m/>
    <m/>
    <n v="22771566"/>
    <m/>
    <m/>
    <m/>
    <s v="SOLFIN"/>
    <s v="SOLFIN"/>
    <s v="CCMS"/>
    <n v="21370364"/>
    <n v="5096.53"/>
    <m/>
    <s v="N"/>
    <n v="2"/>
    <d v="2023-07-13T19:21:22"/>
    <s v="Y"/>
    <s v="Child psychiatrist"/>
    <s v="Public Law Children"/>
    <s v="Expert Disbursement"/>
    <s v="KFT"/>
    <s v="Y"/>
    <n v="762.45"/>
    <n v="0"/>
    <x v="11"/>
    <s v="VALIDATED"/>
    <n v="1"/>
    <s v="01.11.80.308.6300.0000"/>
    <n v="762.45"/>
    <s v="11"/>
    <s v="6300"/>
    <n v="33459.28"/>
    <n v="762.45"/>
    <s v="CREDITOR"/>
    <n v="0"/>
    <n v="0"/>
    <n v="0"/>
    <n v="0"/>
    <n v="762.45"/>
  </r>
  <r>
    <n v="61283867"/>
    <s v="N"/>
    <n v="21338268"/>
    <s v="3000015446240006"/>
    <s v="CIVIL"/>
    <d v="2023-06-26T00:00:00"/>
    <d v="2023-07-06T19:21:01"/>
    <m/>
    <d v="2023-07-06T00:00:00"/>
    <n v="418"/>
    <n v="14752"/>
    <s v="61283867"/>
    <s v="61283867"/>
    <m/>
    <m/>
    <n v="22757658"/>
    <m/>
    <m/>
    <m/>
    <s v="SOLFIN"/>
    <s v="SOLFIN"/>
    <s v="CCMS"/>
    <n v="21338268"/>
    <n v="7341.02"/>
    <m/>
    <s v="N"/>
    <n v="13"/>
    <d v="2023-07-06T19:21:15"/>
    <s v="Y"/>
    <s v="Hearing Unit 1.01 - 2.30 Hours"/>
    <s v="Public Law Children"/>
    <s v="Advocacy"/>
    <s v="MAT"/>
    <s v="Y"/>
    <n v="238.46"/>
    <n v="47.69"/>
    <x v="4"/>
    <s v="VALIDATED"/>
    <n v="1"/>
    <s v="01.11.80.308.6100.0000"/>
    <n v="238.46"/>
    <s v="11"/>
    <s v="6100"/>
    <n v="33459.28"/>
    <n v="238.46"/>
    <s v="CREDITOR"/>
    <n v="0"/>
    <n v="0"/>
    <n v="0"/>
    <n v="0"/>
    <n v="238.46"/>
  </r>
  <r>
    <n v="40167068"/>
    <s v="N"/>
    <n v="21319043"/>
    <s v="3000010786360008"/>
    <s v="CIVIL"/>
    <d v="2023-06-09T00:00:00"/>
    <d v="2023-07-03T19:01:49"/>
    <m/>
    <d v="2023-07-03T00:00:00"/>
    <n v="418"/>
    <n v="14752"/>
    <s v="40167068"/>
    <s v="40167068"/>
    <m/>
    <m/>
    <n v="22656592"/>
    <m/>
    <m/>
    <m/>
    <s v="SOLFIN"/>
    <s v="SOLFIN"/>
    <s v="CCMS"/>
    <n v="21319043"/>
    <n v="7412.38"/>
    <m/>
    <s v="N"/>
    <n v="13"/>
    <d v="2023-07-03T19:02:09"/>
    <s v="Y"/>
    <s v="Preparation - drafting statement"/>
    <s v="Care Remuneration Hourly Rates"/>
    <s v="Profit Cost"/>
    <s v="KT"/>
    <s v="Y"/>
    <n v="11.68"/>
    <n v="2.34"/>
    <x v="3"/>
    <s v="VALIDATED"/>
    <n v="1"/>
    <s v="01.11.80.305.6100.0000"/>
    <n v="11.68"/>
    <s v="11"/>
    <s v="6100"/>
    <n v="33459.28"/>
    <n v="11.68"/>
    <s v="CREDITOR"/>
    <n v="0"/>
    <n v="0"/>
    <n v="0"/>
    <n v="0"/>
    <n v="11.68"/>
  </r>
  <r>
    <n v="40167068"/>
    <s v="N"/>
    <n v="21319043"/>
    <s v="3000010786360008"/>
    <s v="CIVIL"/>
    <d v="2023-06-09T00:00:00"/>
    <d v="2023-07-03T19:01:49"/>
    <m/>
    <d v="2023-07-03T00:00:00"/>
    <n v="418"/>
    <n v="14752"/>
    <s v="40167068"/>
    <s v="40167068"/>
    <m/>
    <m/>
    <n v="22656592"/>
    <m/>
    <m/>
    <m/>
    <s v="SOLFIN"/>
    <s v="SOLFIN"/>
    <s v="CCMS"/>
    <n v="21319043"/>
    <n v="7412.38"/>
    <m/>
    <s v="N"/>
    <n v="28"/>
    <d v="2023-07-03T19:02:09"/>
    <s v="Y"/>
    <s v="Child psychiatrist"/>
    <s v="Care Remuneration Hourly Rates"/>
    <s v="Expert Disbursement"/>
    <s v="XXX"/>
    <s v="Y"/>
    <n v="1728"/>
    <n v="345.59"/>
    <x v="3"/>
    <s v="VALIDATED"/>
    <n v="1"/>
    <s v="01.11.80.305.6300.0000"/>
    <n v="1728"/>
    <s v="11"/>
    <s v="6300"/>
    <n v="33459.28"/>
    <n v="1728"/>
    <s v="CREDITOR"/>
    <n v="0"/>
    <n v="0"/>
    <n v="0"/>
    <n v="0"/>
    <n v="1728"/>
  </r>
  <r>
    <n v="40167068"/>
    <s v="N"/>
    <n v="21319043"/>
    <s v="3000010786360008"/>
    <s v="CIVIL"/>
    <d v="2023-06-09T00:00:00"/>
    <d v="2023-07-03T19:01:49"/>
    <m/>
    <d v="2023-07-03T00:00:00"/>
    <n v="418"/>
    <n v="14752"/>
    <s v="40167068"/>
    <s v="40167068"/>
    <m/>
    <m/>
    <n v="22656592"/>
    <m/>
    <m/>
    <m/>
    <s v="SOLFIN"/>
    <s v="SOLFIN"/>
    <s v="CCMS"/>
    <n v="21319043"/>
    <n v="7412.38"/>
    <m/>
    <s v="N"/>
    <n v="4"/>
    <d v="2023-07-03T19:02:09"/>
    <s v="Y"/>
    <s v="Preparation - drafting consent orde"/>
    <s v="Care Remuneration Hourly Rates"/>
    <s v="Profit Cost"/>
    <s v="MT"/>
    <s v="Y"/>
    <n v="6.72"/>
    <n v="1.34"/>
    <x v="3"/>
    <s v="VALIDATED"/>
    <n v="1"/>
    <s v="01.11.80.305.6100.0000"/>
    <n v="6.72"/>
    <s v="11"/>
    <s v="6100"/>
    <n v="33459.28"/>
    <n v="6.72"/>
    <s v="CREDITOR"/>
    <n v="0"/>
    <n v="0"/>
    <n v="0"/>
    <n v="0"/>
    <n v="6.72"/>
  </r>
  <r>
    <n v="61283867"/>
    <s v="N"/>
    <n v="21338268"/>
    <s v="3000015446240006"/>
    <s v="CIVIL"/>
    <d v="2023-06-26T00:00:00"/>
    <d v="2023-07-06T19:21:01"/>
    <m/>
    <d v="2023-07-06T00:00:00"/>
    <n v="418"/>
    <n v="14752"/>
    <s v="61283867"/>
    <s v="61283867"/>
    <m/>
    <m/>
    <n v="22757658"/>
    <m/>
    <m/>
    <m/>
    <s v="SOLFIN"/>
    <s v="SOLFIN"/>
    <s v="CCMS"/>
    <n v="21338268"/>
    <n v="7341.02"/>
    <m/>
    <s v="N"/>
    <n v="1"/>
    <d v="2023-07-06T19:21:15"/>
    <s v="Y"/>
    <s v="Final Hearing Court Bundle/Advocate"/>
    <s v="Public Law Children"/>
    <s v="Advocacy"/>
    <s v="MAT"/>
    <s v="Y"/>
    <n v="239.4"/>
    <n v="47.88"/>
    <x v="4"/>
    <s v="VALIDATED"/>
    <n v="1"/>
    <s v="01.11.80.308.6100.0000"/>
    <n v="239.4"/>
    <s v="11"/>
    <s v="6100"/>
    <n v="33459.28"/>
    <n v="239.4"/>
    <s v="CREDITOR"/>
    <n v="0"/>
    <n v="0"/>
    <n v="0"/>
    <n v="0"/>
    <n v="239.4"/>
  </r>
  <r>
    <n v="60765398"/>
    <s v="N"/>
    <n v="21331311"/>
    <s v="3000015004750001"/>
    <s v="CIVIL"/>
    <d v="2023-06-26T00:00:00"/>
    <d v="2023-07-05T19:01:47"/>
    <m/>
    <d v="2023-07-05T00:00:00"/>
    <n v="418"/>
    <n v="14752"/>
    <s v="60765398"/>
    <s v="60765398"/>
    <m/>
    <m/>
    <n v="22760634"/>
    <m/>
    <m/>
    <m/>
    <s v="SOLFIN"/>
    <s v="SOLFIN"/>
    <s v="CCMS"/>
    <n v="21331311"/>
    <n v="0"/>
    <m/>
    <s v="N"/>
    <n v="1"/>
    <d v="2023-07-05T19:02:14"/>
    <s v="N"/>
    <s v="NIL BILL"/>
    <s v="Public Law Children"/>
    <s v="Profit Cost"/>
    <s v="AR"/>
    <s v="N"/>
    <n v="0"/>
    <n v="0"/>
    <x v="6"/>
    <s v="VALIDATED"/>
    <n v="1"/>
    <s v="01.11.80.308.6100.0000"/>
    <n v="0"/>
    <s v="11"/>
    <s v="6100"/>
    <n v="33459.28"/>
    <n v="0"/>
    <s v="CREDITOR"/>
    <n v="0"/>
    <n v="0"/>
    <n v="0"/>
    <n v="0"/>
    <n v="0"/>
  </r>
  <r>
    <n v="59839080"/>
    <s v="N"/>
    <n v="21318815"/>
    <s v="3000014203590024"/>
    <s v="CIVIL"/>
    <d v="2023-06-20T00:00:00"/>
    <d v="2023-07-03T19:01:49"/>
    <m/>
    <d v="2023-07-03T00:00:00"/>
    <n v="418"/>
    <n v="14752"/>
    <s v="59839080"/>
    <s v="59839080"/>
    <m/>
    <m/>
    <n v="22726612"/>
    <m/>
    <m/>
    <m/>
    <s v="SOLFIN"/>
    <s v="SOLFIN"/>
    <s v="CCMS"/>
    <n v="21318815"/>
    <n v="13136.2"/>
    <m/>
    <s v="N"/>
    <n v="18"/>
    <d v="2023-07-03T19:02:03"/>
    <s v="Y"/>
    <s v="Court Fee"/>
    <s v="Public Law Children"/>
    <s v="Non Expert Disbursement"/>
    <s v="JLS"/>
    <s v="Y"/>
    <n v="53"/>
    <n v="0"/>
    <x v="3"/>
    <s v="VALIDATED"/>
    <n v="1"/>
    <s v="01.11.80.308.6300.0000"/>
    <n v="53"/>
    <s v="11"/>
    <s v="6300"/>
    <n v="33459.28"/>
    <n v="53"/>
    <s v="CREDITOR"/>
    <n v="0"/>
    <n v="0"/>
    <n v="0"/>
    <n v="0"/>
    <n v="53"/>
  </r>
  <r>
    <n v="61130256"/>
    <s v="N"/>
    <n v="21370364"/>
    <s v="3000015317200002"/>
    <s v="CIVIL"/>
    <d v="2023-06-27T00:00:00"/>
    <d v="2023-07-13T19:21:05"/>
    <m/>
    <d v="2023-07-13T00:00:00"/>
    <n v="418"/>
    <n v="14752"/>
    <s v="61130256"/>
    <s v="61130256"/>
    <m/>
    <m/>
    <n v="22771566"/>
    <m/>
    <m/>
    <m/>
    <s v="SOLFIN"/>
    <s v="SOLFIN"/>
    <s v="CCMS"/>
    <n v="21370364"/>
    <n v="5096.53"/>
    <m/>
    <s v="N"/>
    <n v="1"/>
    <d v="2023-07-13T19:21:22"/>
    <s v="Y"/>
    <s v="Interim Hearing Court Bundle/Advoca"/>
    <s v="Public Law Children"/>
    <s v="Advocacy"/>
    <s v="JLS"/>
    <s v="Y"/>
    <n v="59.4"/>
    <n v="11.88"/>
    <x v="11"/>
    <s v="VALIDATED"/>
    <n v="1"/>
    <s v="01.11.80.308.6100.0000"/>
    <n v="59.4"/>
    <s v="11"/>
    <s v="6100"/>
    <n v="33459.28"/>
    <n v="59.4"/>
    <s v="CREDITOR"/>
    <n v="0"/>
    <n v="0"/>
    <n v="0"/>
    <n v="0"/>
    <n v="59.4"/>
  </r>
  <r>
    <n v="60949177"/>
    <s v="N"/>
    <n v="21338409"/>
    <s v="3000015164440011"/>
    <s v="CIVIL"/>
    <d v="2023-06-27T00:00:00"/>
    <d v="2023-07-06T19:21:01"/>
    <m/>
    <d v="2023-07-06T00:00:00"/>
    <n v="418"/>
    <n v="14752"/>
    <s v="60949177"/>
    <s v="60949177"/>
    <m/>
    <m/>
    <n v="22770004"/>
    <m/>
    <m/>
    <m/>
    <s v="SOLFIN"/>
    <s v="SOLFIN"/>
    <s v="CCMS"/>
    <n v="21338409"/>
    <n v="6354.31"/>
    <m/>
    <s v="N"/>
    <n v="3"/>
    <d v="2023-07-06T19:21:24"/>
    <s v="Y"/>
    <s v="Toxicologist"/>
    <s v="Public Law Children"/>
    <s v="Expert Disbursement"/>
    <s v="KFT"/>
    <s v="Y"/>
    <n v="155.33"/>
    <n v="31.07"/>
    <x v="4"/>
    <s v="VALIDATED"/>
    <n v="1"/>
    <s v="01.11.80.308.6300.0000"/>
    <n v="155.33"/>
    <s v="11"/>
    <s v="6300"/>
    <n v="33459.28"/>
    <n v="155.33"/>
    <s v="CREDITOR"/>
    <n v="0"/>
    <n v="0"/>
    <n v="0"/>
    <n v="0"/>
    <n v="155.33"/>
  </r>
  <r>
    <n v="61142647"/>
    <s v="N"/>
    <n v="21331297"/>
    <s v="3000015327810002"/>
    <s v="CIVIL"/>
    <d v="2023-06-26T00:00:00"/>
    <d v="2023-07-05T19:01:47"/>
    <m/>
    <d v="2023-07-05T00:00:00"/>
    <n v="418"/>
    <n v="14752"/>
    <s v="61142647"/>
    <s v="61142647"/>
    <m/>
    <m/>
    <n v="22760704"/>
    <m/>
    <m/>
    <m/>
    <s v="SOLFIN"/>
    <s v="SOLFIN"/>
    <s v="CCMS"/>
    <n v="21331297"/>
    <n v="0"/>
    <m/>
    <s v="N"/>
    <n v="1"/>
    <d v="2023-07-05T19:02:13"/>
    <s v="N"/>
    <s v="NIL BILL"/>
    <s v="Public Law Children"/>
    <s v="Profit Cost"/>
    <s v="AR"/>
    <s v="N"/>
    <n v="0"/>
    <n v="0"/>
    <x v="6"/>
    <s v="VALIDATED"/>
    <n v="1"/>
    <s v="01.11.80.308.6100.0000"/>
    <n v="0"/>
    <s v="11"/>
    <s v="6100"/>
    <n v="33459.28"/>
    <n v="0"/>
    <s v="CREDITOR"/>
    <n v="0"/>
    <n v="0"/>
    <n v="0"/>
    <n v="0"/>
    <n v="0"/>
  </r>
  <r>
    <n v="59524195"/>
    <s v="N"/>
    <n v="21331320"/>
    <s v="3000013935620001"/>
    <s v="CIVIL"/>
    <d v="2023-06-26T00:00:00"/>
    <d v="2023-07-05T19:01:47"/>
    <m/>
    <d v="2023-07-05T00:00:00"/>
    <n v="418"/>
    <n v="14752"/>
    <s v="59524195"/>
    <s v="59524195"/>
    <m/>
    <m/>
    <n v="22758400"/>
    <m/>
    <m/>
    <m/>
    <s v="SOLFIN"/>
    <s v="SOLFIN"/>
    <s v="CCMS"/>
    <n v="21331320"/>
    <n v="8089.22"/>
    <m/>
    <s v="N"/>
    <n v="8"/>
    <d v="2023-07-05T19:02:14"/>
    <s v="Y"/>
    <s v="Hearing Unit 1.01 - 2.30 Hours"/>
    <s v="Public Law Children"/>
    <s v="Advocacy"/>
    <s v="MT"/>
    <s v="Y"/>
    <n v="238.46"/>
    <n v="47.69"/>
    <x v="6"/>
    <s v="VALIDATED"/>
    <n v="1"/>
    <s v="01.11.80.308.6100.0000"/>
    <n v="238.46"/>
    <s v="11"/>
    <s v="6100"/>
    <n v="33459.28"/>
    <n v="238.46"/>
    <s v="CREDITOR"/>
    <n v="0"/>
    <n v="0"/>
    <n v="0"/>
    <n v="0"/>
    <n v="238.46"/>
  </r>
  <r>
    <n v="60954153"/>
    <s v="N"/>
    <n v="21327626"/>
    <s v="3000015168920004"/>
    <s v="CIVIL"/>
    <d v="2023-06-26T00:00:00"/>
    <d v="2023-07-04T19:00:44"/>
    <m/>
    <d v="2023-07-04T00:00:00"/>
    <n v="418"/>
    <n v="14752"/>
    <s v="60954153"/>
    <s v="60954153"/>
    <m/>
    <m/>
    <n v="22758442"/>
    <m/>
    <m/>
    <m/>
    <s v="SOLFIN"/>
    <s v="SOLFIN"/>
    <s v="CCMS"/>
    <n v="21327626"/>
    <n v="817.11"/>
    <m/>
    <s v="N"/>
    <n v="13"/>
    <d v="2023-07-04T19:00:51"/>
    <s v="Y"/>
    <s v="Preparation - drafting bill/claim f"/>
    <s v="Care Remuneration Hourly Rates"/>
    <s v="Profit Cost"/>
    <s v="AR"/>
    <s v="Y"/>
    <n v="40.89"/>
    <n v="8.18"/>
    <x v="1"/>
    <s v="VALIDATED"/>
    <n v="1"/>
    <s v="01.11.80.305.6100.0000"/>
    <n v="40.89"/>
    <s v="11"/>
    <s v="6100"/>
    <n v="33459.28"/>
    <n v="40.89"/>
    <s v="CREDITOR"/>
    <n v="0"/>
    <n v="0"/>
    <n v="0"/>
    <n v="0"/>
    <n v="40.89"/>
  </r>
  <r>
    <n v="61130256"/>
    <s v="N"/>
    <n v="21370364"/>
    <s v="3000015317200002"/>
    <s v="CIVIL"/>
    <d v="2023-06-27T00:00:00"/>
    <d v="2023-07-13T19:21:05"/>
    <m/>
    <d v="2023-07-13T00:00:00"/>
    <n v="418"/>
    <n v="14752"/>
    <s v="61130256"/>
    <s v="61130256"/>
    <m/>
    <m/>
    <n v="22771566"/>
    <m/>
    <m/>
    <m/>
    <s v="SOLFIN"/>
    <s v="SOLFIN"/>
    <s v="CCMS"/>
    <n v="21370364"/>
    <n v="5096.53"/>
    <m/>
    <s v="N"/>
    <n v="6"/>
    <d v="2023-07-13T19:21:22"/>
    <s v="Y"/>
    <s v="Solicitors Fixed Fee"/>
    <s v="Public Law Children"/>
    <s v="Profit Cost"/>
    <s v="KFT"/>
    <s v="Y"/>
    <n v="2616"/>
    <n v="523.2"/>
    <x v="11"/>
    <s v="VALIDATED"/>
    <n v="1"/>
    <s v="01.11.80.308.6100.0000"/>
    <n v="2616"/>
    <s v="11"/>
    <s v="6100"/>
    <n v="33459.28"/>
    <n v="2616"/>
    <s v="CREDITOR"/>
    <n v="0"/>
    <n v="0"/>
    <n v="0"/>
    <n v="0"/>
    <n v="2616"/>
  </r>
  <r>
    <n v="61283867"/>
    <s v="N"/>
    <n v="21338268"/>
    <s v="3000015446240006"/>
    <s v="CIVIL"/>
    <d v="2023-06-26T00:00:00"/>
    <d v="2023-07-06T19:21:01"/>
    <m/>
    <d v="2023-07-06T00:00:00"/>
    <n v="418"/>
    <n v="14752"/>
    <s v="61283867"/>
    <s v="61283867"/>
    <m/>
    <m/>
    <n v="22757658"/>
    <m/>
    <m/>
    <m/>
    <s v="SOLFIN"/>
    <s v="SOLFIN"/>
    <s v="CCMS"/>
    <n v="21338268"/>
    <n v="7341.02"/>
    <m/>
    <s v="N"/>
    <n v="2"/>
    <d v="2023-07-06T19:21:15"/>
    <s v="Y"/>
    <s v="Interim Hearing Court Bundle/Advoca"/>
    <s v="Public Law Children"/>
    <s v="Advocacy"/>
    <s v="MAT"/>
    <s v="Y"/>
    <n v="59.4"/>
    <n v="11.88"/>
    <x v="4"/>
    <s v="VALIDATED"/>
    <n v="1"/>
    <s v="01.11.80.308.6100.0000"/>
    <n v="59.4"/>
    <s v="11"/>
    <s v="6100"/>
    <n v="33459.28"/>
    <n v="59.4"/>
    <s v="CREDITOR"/>
    <n v="0"/>
    <n v="0"/>
    <n v="0"/>
    <n v="0"/>
    <n v="59.4"/>
  </r>
  <r>
    <n v="59839080"/>
    <s v="N"/>
    <n v="21318815"/>
    <s v="3000014203590024"/>
    <s v="CIVIL"/>
    <d v="2023-06-20T00:00:00"/>
    <d v="2023-07-03T19:01:49"/>
    <m/>
    <d v="2023-07-03T00:00:00"/>
    <n v="418"/>
    <n v="14752"/>
    <s v="59839080"/>
    <s v="59839080"/>
    <m/>
    <m/>
    <n v="22726612"/>
    <m/>
    <m/>
    <m/>
    <s v="SOLFIN"/>
    <s v="SOLFIN"/>
    <s v="CCMS"/>
    <n v="21318815"/>
    <n v="13136.2"/>
    <m/>
    <s v="N"/>
    <n v="24"/>
    <d v="2023-07-03T19:02:03"/>
    <s v="Y"/>
    <s v="Hearing Unit 2.31 - 5.00 Hours"/>
    <s v="Public Law Children"/>
    <s v="Advocacy"/>
    <s v="KFT"/>
    <s v="Y"/>
    <n v="476.92"/>
    <n v="95.38"/>
    <x v="3"/>
    <s v="VALIDATED"/>
    <n v="1"/>
    <s v="01.11.80.308.6100.0000"/>
    <n v="476.92"/>
    <s v="11"/>
    <s v="6100"/>
    <n v="33459.28"/>
    <n v="476.92"/>
    <s v="CREDITOR"/>
    <n v="0"/>
    <n v="0"/>
    <n v="0"/>
    <n v="0"/>
    <n v="476.92"/>
  </r>
  <r>
    <n v="59839080"/>
    <s v="N"/>
    <n v="21318815"/>
    <s v="3000014203590024"/>
    <s v="CIVIL"/>
    <d v="2023-06-20T00:00:00"/>
    <d v="2023-07-03T19:01:49"/>
    <m/>
    <d v="2023-07-03T00:00:00"/>
    <n v="418"/>
    <n v="14752"/>
    <s v="59839080"/>
    <s v="59839080"/>
    <m/>
    <m/>
    <n v="22726612"/>
    <m/>
    <m/>
    <m/>
    <s v="SOLFIN"/>
    <s v="SOLFIN"/>
    <s v="CCMS"/>
    <n v="21318815"/>
    <n v="13136.2"/>
    <m/>
    <s v="N"/>
    <n v="3"/>
    <d v="2023-07-03T19:02:03"/>
    <s v="Y"/>
    <s v="Paediatrician"/>
    <s v="Public Law Children"/>
    <s v="Expert Disbursement"/>
    <s v="JLS"/>
    <s v="Y"/>
    <n v="162"/>
    <n v="32.4"/>
    <x v="3"/>
    <s v="VALIDATED"/>
    <n v="1"/>
    <s v="01.11.80.308.6300.0000"/>
    <n v="162"/>
    <s v="11"/>
    <s v="6300"/>
    <n v="33459.28"/>
    <n v="162"/>
    <s v="CREDITOR"/>
    <n v="0"/>
    <n v="0"/>
    <n v="0"/>
    <n v="0"/>
    <n v="162"/>
  </r>
  <r>
    <n v="40167068"/>
    <s v="N"/>
    <n v="21319043"/>
    <s v="3000010786360008"/>
    <s v="CIVIL"/>
    <d v="2023-06-09T00:00:00"/>
    <d v="2023-07-03T19:01:49"/>
    <m/>
    <d v="2023-07-03T00:00:00"/>
    <n v="418"/>
    <n v="14752"/>
    <s v="40167068"/>
    <s v="40167068"/>
    <m/>
    <m/>
    <n v="22656592"/>
    <m/>
    <m/>
    <m/>
    <s v="SOLFIN"/>
    <s v="SOLFIN"/>
    <s v="CCMS"/>
    <n v="21319043"/>
    <n v="7412.38"/>
    <m/>
    <s v="N"/>
    <n v="34"/>
    <d v="2023-07-03T19:02:09"/>
    <s v="Y"/>
    <s v="Advocates Meeting"/>
    <s v="Other Public Law Children"/>
    <s v="Advocacy"/>
    <s v="MT"/>
    <s v="Y"/>
    <n v="140.99"/>
    <n v="28.2"/>
    <x v="3"/>
    <s v="VALIDATED"/>
    <n v="1"/>
    <s v="01.11.80.305.6100.0000"/>
    <n v="140.99"/>
    <s v="11"/>
    <s v="6100"/>
    <n v="33459.28"/>
    <n v="140.99"/>
    <s v="CREDITOR"/>
    <n v="0"/>
    <n v="0"/>
    <n v="0"/>
    <n v="0"/>
    <n v="140.99"/>
  </r>
  <r>
    <n v="59839080"/>
    <s v="N"/>
    <n v="21318815"/>
    <s v="3000014203590024"/>
    <s v="CIVIL"/>
    <d v="2023-06-20T00:00:00"/>
    <d v="2023-07-03T19:01:49"/>
    <m/>
    <d v="2023-07-03T00:00:00"/>
    <n v="418"/>
    <n v="14752"/>
    <s v="59839080"/>
    <s v="59839080"/>
    <m/>
    <m/>
    <n v="22726612"/>
    <m/>
    <m/>
    <m/>
    <s v="SOLFIN"/>
    <s v="SOLFIN"/>
    <s v="CCMS"/>
    <n v="21318815"/>
    <n v="13136.2"/>
    <m/>
    <s v="N"/>
    <n v="9"/>
    <d v="2023-07-03T19:02:03"/>
    <s v="Y"/>
    <s v="Geneticist"/>
    <s v="Public Law Children"/>
    <s v="Expert Disbursement"/>
    <s v="JLS"/>
    <s v="Y"/>
    <n v="1339.2"/>
    <n v="267.84"/>
    <x v="3"/>
    <s v="VALIDATED"/>
    <n v="1"/>
    <s v="01.11.80.308.6300.0000"/>
    <n v="1339.2"/>
    <s v="11"/>
    <s v="6300"/>
    <n v="33459.28"/>
    <n v="1339.2"/>
    <s v="CREDITOR"/>
    <n v="0"/>
    <n v="0"/>
    <n v="0"/>
    <n v="0"/>
    <n v="1339.2"/>
  </r>
  <r>
    <n v="40167068"/>
    <s v="N"/>
    <n v="21319043"/>
    <s v="3000010786360008"/>
    <s v="CIVIL"/>
    <d v="2023-06-09T00:00:00"/>
    <d v="2023-07-03T19:01:49"/>
    <m/>
    <d v="2023-07-03T00:00:00"/>
    <n v="418"/>
    <n v="14752"/>
    <s v="40167068"/>
    <s v="40167068"/>
    <m/>
    <m/>
    <n v="22656592"/>
    <m/>
    <m/>
    <m/>
    <s v="SOLFIN"/>
    <s v="SOLFIN"/>
    <s v="CCMS"/>
    <n v="21319043"/>
    <n v="7412.38"/>
    <m/>
    <s v="N"/>
    <n v="9"/>
    <d v="2023-07-03T19:02:09"/>
    <s v="Y"/>
    <s v="Preparation - other"/>
    <s v="Care Remuneration Hourly Rates"/>
    <s v="Profit Cost"/>
    <s v="MT"/>
    <s v="Y"/>
    <n v="13.43"/>
    <n v="2.69"/>
    <x v="3"/>
    <s v="VALIDATED"/>
    <n v="1"/>
    <s v="01.11.80.305.6100.0000"/>
    <n v="13.43"/>
    <s v="11"/>
    <s v="6100"/>
    <n v="33459.28"/>
    <n v="13.43"/>
    <s v="CREDITOR"/>
    <n v="0"/>
    <n v="0"/>
    <n v="0"/>
    <n v="0"/>
    <n v="13.43"/>
  </r>
  <r>
    <n v="40167068"/>
    <s v="N"/>
    <n v="21319043"/>
    <s v="3000010786360008"/>
    <s v="CIVIL"/>
    <d v="2023-06-09T00:00:00"/>
    <d v="2023-07-03T19:01:49"/>
    <m/>
    <d v="2023-07-03T00:00:00"/>
    <n v="418"/>
    <n v="14752"/>
    <s v="40167068"/>
    <s v="40167068"/>
    <m/>
    <m/>
    <n v="22656592"/>
    <m/>
    <m/>
    <m/>
    <s v="SOLFIN"/>
    <s v="SOLFIN"/>
    <s v="CCMS"/>
    <n v="21319043"/>
    <n v="7412.38"/>
    <m/>
    <s v="N"/>
    <n v="18"/>
    <d v="2023-07-03T19:02:09"/>
    <s v="Y"/>
    <s v="Preparation - drafting statement"/>
    <s v="Care Remuneration Hourly Rates"/>
    <s v="Profit Cost"/>
    <s v="MT"/>
    <s v="Y"/>
    <n v="33.59"/>
    <n v="6.72"/>
    <x v="3"/>
    <s v="VALIDATED"/>
    <n v="1"/>
    <s v="01.11.80.305.6100.0000"/>
    <n v="33.59"/>
    <s v="11"/>
    <s v="6100"/>
    <n v="33459.28"/>
    <n v="33.59"/>
    <s v="CREDITOR"/>
    <n v="0"/>
    <n v="0"/>
    <n v="0"/>
    <n v="0"/>
    <n v="33.59"/>
  </r>
  <r>
    <n v="40167068"/>
    <s v="N"/>
    <n v="21319043"/>
    <s v="3000010786360008"/>
    <s v="CIVIL"/>
    <d v="2023-06-09T00:00:00"/>
    <d v="2023-07-03T19:01:49"/>
    <m/>
    <d v="2023-07-03T00:00:00"/>
    <n v="418"/>
    <n v="14752"/>
    <s v="40167068"/>
    <s v="40167068"/>
    <m/>
    <m/>
    <n v="22656592"/>
    <m/>
    <m/>
    <m/>
    <s v="SOLFIN"/>
    <s v="SOLFIN"/>
    <s v="CCMS"/>
    <n v="21319043"/>
    <n v="7412.38"/>
    <m/>
    <s v="N"/>
    <n v="20"/>
    <d v="2023-07-03T19:02:09"/>
    <s v="Y"/>
    <s v="Preparation - drafting bill/claim f"/>
    <s v="Care Remuneration Hourly Rates"/>
    <s v="Profit Cost"/>
    <s v="CD"/>
    <s v="Y"/>
    <n v="75.93000000000001"/>
    <n v="15.19"/>
    <x v="3"/>
    <s v="VALIDATED"/>
    <n v="1"/>
    <s v="01.11.80.305.6100.0000"/>
    <n v="75.93000000000001"/>
    <s v="11"/>
    <s v="6100"/>
    <n v="33459.28"/>
    <n v="75.93000000000001"/>
    <s v="CREDITOR"/>
    <n v="0"/>
    <n v="0"/>
    <n v="0"/>
    <n v="0"/>
    <n v="75.93000000000001"/>
  </r>
  <r>
    <n v="59839080"/>
    <s v="N"/>
    <n v="21318815"/>
    <s v="3000014203590024"/>
    <s v="CIVIL"/>
    <d v="2023-06-20T00:00:00"/>
    <d v="2023-07-03T19:01:49"/>
    <m/>
    <d v="2023-07-03T00:00:00"/>
    <n v="418"/>
    <n v="14752"/>
    <s v="59839080"/>
    <s v="59839080"/>
    <m/>
    <m/>
    <n v="22726612"/>
    <m/>
    <m/>
    <m/>
    <s v="SOLFIN"/>
    <s v="SOLFIN"/>
    <s v="CCMS"/>
    <n v="21318815"/>
    <n v="13136.2"/>
    <m/>
    <s v="N"/>
    <n v="4"/>
    <d v="2023-07-03T19:02:03"/>
    <s v="Y"/>
    <s v="Paediatrician"/>
    <s v="Public Law Children"/>
    <s v="Expert Disbursement"/>
    <s v="JLS"/>
    <s v="Y"/>
    <n v="372.6"/>
    <n v="74.52"/>
    <x v="3"/>
    <s v="VALIDATED"/>
    <n v="1"/>
    <s v="01.11.80.308.6300.0000"/>
    <n v="372.6"/>
    <s v="11"/>
    <s v="6300"/>
    <n v="33459.28"/>
    <n v="372.6"/>
    <s v="CREDITOR"/>
    <n v="0"/>
    <n v="0"/>
    <n v="0"/>
    <n v="0"/>
    <n v="372.6"/>
  </r>
  <r>
    <n v="60959858"/>
    <s v="N"/>
    <n v="21328276"/>
    <s v="3000015173120002"/>
    <s v="CIVIL"/>
    <d v="2023-06-27T00:00:00"/>
    <d v="2023-07-04T19:00:44"/>
    <m/>
    <d v="2023-07-04T00:00:00"/>
    <n v="418"/>
    <n v="14752"/>
    <s v="60959858"/>
    <s v="60959858"/>
    <m/>
    <m/>
    <n v="22769790"/>
    <m/>
    <m/>
    <m/>
    <s v="SOLFIN"/>
    <s v="SOLFIN"/>
    <s v="CCMS"/>
    <n v="21328276"/>
    <n v="194.47"/>
    <m/>
    <s v="N"/>
    <n v="9"/>
    <d v="2023-07-04T19:01:11"/>
    <s v="Y"/>
    <s v="Preparation - other"/>
    <s v="Care Remuneration Hourly Rates"/>
    <s v="Profit Cost"/>
    <s v="KFT"/>
    <s v="Y"/>
    <n v="11.68"/>
    <n v="2.34"/>
    <x v="1"/>
    <s v="VALIDATED"/>
    <n v="1"/>
    <s v="01.11.80.308.6100.0000"/>
    <n v="11.68"/>
    <s v="11"/>
    <s v="6100"/>
    <n v="33459.28"/>
    <n v="11.68"/>
    <s v="CREDITOR"/>
    <n v="0"/>
    <n v="0"/>
    <n v="0"/>
    <n v="0"/>
    <n v="11.68"/>
  </r>
  <r>
    <n v="40167068"/>
    <s v="N"/>
    <n v="21319043"/>
    <s v="3000010786360008"/>
    <s v="CIVIL"/>
    <d v="2023-06-09T00:00:00"/>
    <d v="2023-07-03T19:01:49"/>
    <m/>
    <d v="2023-07-03T00:00:00"/>
    <n v="418"/>
    <n v="14752"/>
    <s v="40167068"/>
    <s v="40167068"/>
    <m/>
    <m/>
    <n v="22656592"/>
    <m/>
    <m/>
    <m/>
    <s v="SOLFIN"/>
    <s v="SOLFIN"/>
    <s v="CCMS"/>
    <n v="21319043"/>
    <n v="7412.38"/>
    <m/>
    <s v="N"/>
    <n v="21"/>
    <d v="2023-07-03T19:02:09"/>
    <s v="Y"/>
    <s v="Preparation - drafting bill/claim f"/>
    <s v="Care Remuneration Hourly Rates"/>
    <s v="Profit Cost"/>
    <s v="MT"/>
    <s v="Y"/>
    <n v="13.43"/>
    <n v="2.69"/>
    <x v="3"/>
    <s v="VALIDATED"/>
    <n v="1"/>
    <s v="01.11.80.305.6100.0000"/>
    <n v="13.43"/>
    <s v="11"/>
    <s v="6100"/>
    <n v="33459.28"/>
    <n v="13.43"/>
    <s v="CREDITOR"/>
    <n v="0"/>
    <n v="0"/>
    <n v="0"/>
    <n v="0"/>
    <n v="13.43"/>
  </r>
  <r>
    <n v="60949177"/>
    <s v="N"/>
    <n v="21338409"/>
    <s v="3000015164440011"/>
    <s v="CIVIL"/>
    <d v="2023-06-27T00:00:00"/>
    <d v="2023-07-06T19:21:01"/>
    <m/>
    <d v="2023-07-06T00:00:00"/>
    <n v="418"/>
    <n v="14752"/>
    <s v="60949177"/>
    <s v="60949177"/>
    <m/>
    <m/>
    <n v="22770004"/>
    <m/>
    <m/>
    <m/>
    <s v="SOLFIN"/>
    <s v="SOLFIN"/>
    <s v="CCMS"/>
    <n v="21338409"/>
    <n v="6354.31"/>
    <m/>
    <s v="N"/>
    <n v="1"/>
    <d v="2023-07-06T19:21:24"/>
    <s v="Y"/>
    <s v="Psychologist"/>
    <s v="Public Law Children"/>
    <s v="Expert Disbursement"/>
    <s v="KFT"/>
    <s v="Y"/>
    <n v="243.85"/>
    <n v="48.77"/>
    <x v="4"/>
    <s v="VALIDATED"/>
    <n v="1"/>
    <s v="01.11.80.308.6300.0000"/>
    <n v="243.85"/>
    <s v="11"/>
    <s v="6300"/>
    <n v="33459.28"/>
    <n v="243.85"/>
    <s v="CREDITOR"/>
    <n v="0"/>
    <n v="0"/>
    <n v="0"/>
    <n v="0"/>
    <n v="243.85"/>
  </r>
  <r>
    <n v="62354451"/>
    <s v="N"/>
    <n v="21338003"/>
    <s v="3000016337860002"/>
    <s v="CIVIL"/>
    <d v="2023-06-26T00:00:00"/>
    <d v="2023-07-06T19:21:01"/>
    <m/>
    <d v="2023-07-06T00:00:00"/>
    <n v="418"/>
    <n v="14752"/>
    <s v="62354451"/>
    <s v="62354451"/>
    <m/>
    <m/>
    <n v="22760570"/>
    <m/>
    <m/>
    <m/>
    <s v="SOLPOA"/>
    <s v="SOLPOA"/>
    <s v="CCMS"/>
    <n v="21338003"/>
    <n v="258.9"/>
    <m/>
    <s v="N"/>
    <n v="1"/>
    <d v="2023-07-06T19:21:11"/>
    <s v="N"/>
    <s v="Expert Cost"/>
    <s v="Expert Cost"/>
    <s v="Expert Disbursement"/>
    <s v="MAT"/>
    <s v="N"/>
    <n v="215.75"/>
    <n v="43.15"/>
    <x v="4"/>
    <s v="VALIDATED"/>
    <n v="1"/>
    <s v="01.11.80.308.2012.0000"/>
    <n v="215.75"/>
    <s v="11"/>
    <s v="2012"/>
    <n v="33459.28"/>
    <n v="215.75"/>
    <s v="CREDITOR"/>
    <n v="215.75"/>
    <n v="0"/>
    <n v="0"/>
    <n v="0"/>
    <n v="0"/>
  </r>
  <r>
    <n v="61283867"/>
    <s v="N"/>
    <n v="21338268"/>
    <s v="3000015446240006"/>
    <s v="CIVIL"/>
    <d v="2023-06-26T00:00:00"/>
    <d v="2023-07-06T19:21:01"/>
    <m/>
    <d v="2023-07-06T00:00:00"/>
    <n v="418"/>
    <n v="14752"/>
    <s v="61283867"/>
    <s v="61283867"/>
    <m/>
    <m/>
    <n v="22757658"/>
    <m/>
    <m/>
    <m/>
    <s v="SOLFIN"/>
    <s v="SOLFIN"/>
    <s v="CCMS"/>
    <n v="21338268"/>
    <n v="7341.02"/>
    <m/>
    <s v="N"/>
    <n v="3"/>
    <d v="2023-07-06T19:21:15"/>
    <s v="Y"/>
    <s v="DNA - test of sample"/>
    <s v="Public Law Children"/>
    <s v="Expert Disbursement"/>
    <s v="MAT"/>
    <s v="Y"/>
    <n v="198"/>
    <n v="39.6"/>
    <x v="4"/>
    <s v="VALIDATED"/>
    <n v="1"/>
    <s v="01.11.80.308.6300.0000"/>
    <n v="198"/>
    <s v="11"/>
    <s v="6300"/>
    <n v="33459.28"/>
    <n v="198"/>
    <s v="CREDITOR"/>
    <n v="0"/>
    <n v="0"/>
    <n v="0"/>
    <n v="0"/>
    <n v="198"/>
  </r>
  <r>
    <n v="61709374"/>
    <s v="N"/>
    <n v="21331235"/>
    <s v="3000015799560002"/>
    <s v="CIVIL"/>
    <d v="2023-06-26T00:00:00"/>
    <d v="2023-07-05T19:01:47"/>
    <m/>
    <d v="2023-07-05T00:00:00"/>
    <n v="418"/>
    <n v="14752"/>
    <s v="61709374"/>
    <s v="61709374"/>
    <m/>
    <m/>
    <n v="22760324"/>
    <m/>
    <m/>
    <m/>
    <s v="SOLFIN"/>
    <s v="SOLFIN"/>
    <s v="CCMS"/>
    <n v="21331235"/>
    <n v="3998.85"/>
    <m/>
    <s v="N"/>
    <n v="5"/>
    <d v="2023-07-05T19:02:11"/>
    <s v="Y"/>
    <s v="Hearing Unit 2.31 - 5.00 Hours"/>
    <s v="Public Law Children"/>
    <s v="Advocacy"/>
    <s v="JLS"/>
    <s v="Y"/>
    <n v="476.92"/>
    <n v="95.38"/>
    <x v="6"/>
    <s v="VALIDATED"/>
    <n v="1"/>
    <s v="01.11.80.308.6100.0000"/>
    <n v="476.92"/>
    <s v="11"/>
    <s v="6100"/>
    <n v="33459.28"/>
    <n v="476.92"/>
    <s v="CREDITOR"/>
    <n v="0"/>
    <n v="0"/>
    <n v="0"/>
    <n v="0"/>
    <n v="476.92"/>
  </r>
  <r>
    <n v="61431337"/>
    <s v="N"/>
    <n v="21331095"/>
    <s v="3000015566430002"/>
    <s v="CIVIL"/>
    <d v="2023-06-26T00:00:00"/>
    <d v="2023-07-05T19:01:47"/>
    <m/>
    <d v="2023-07-05T00:00:00"/>
    <n v="418"/>
    <n v="14752"/>
    <s v="61431337"/>
    <s v="61431337"/>
    <m/>
    <m/>
    <n v="22759804"/>
    <m/>
    <m/>
    <m/>
    <s v="SOLFIN"/>
    <s v="SOLFIN"/>
    <s v="CCMS"/>
    <n v="21331095"/>
    <n v="4483.97"/>
    <m/>
    <s v="N"/>
    <n v="3"/>
    <d v="2023-07-05T19:02:05"/>
    <s v="Y"/>
    <s v="Solicitor Travel Expenses"/>
    <s v="Public Law Children"/>
    <s v="Non Expert Disbursement"/>
    <s v="MAT"/>
    <s v="Y"/>
    <n v="3.9"/>
    <n v="0.78"/>
    <x v="6"/>
    <s v="VALIDATED"/>
    <n v="1"/>
    <s v="01.11.80.308.6300.0000"/>
    <n v="3.9"/>
    <s v="11"/>
    <s v="6300"/>
    <n v="33459.28"/>
    <n v="3.9"/>
    <s v="CREDITOR"/>
    <n v="0"/>
    <n v="0"/>
    <n v="0"/>
    <n v="0"/>
    <n v="3.9"/>
  </r>
  <r>
    <n v="40167068"/>
    <s v="N"/>
    <n v="21319043"/>
    <s v="3000010786360008"/>
    <s v="CIVIL"/>
    <d v="2023-06-09T00:00:00"/>
    <d v="2023-07-03T19:01:49"/>
    <m/>
    <d v="2023-07-03T00:00:00"/>
    <n v="418"/>
    <n v="14752"/>
    <s v="40167068"/>
    <s v="40167068"/>
    <m/>
    <m/>
    <n v="22656592"/>
    <m/>
    <m/>
    <m/>
    <s v="SOLFIN"/>
    <s v="SOLFIN"/>
    <s v="CCMS"/>
    <n v="21319043"/>
    <n v="7412.38"/>
    <m/>
    <s v="N"/>
    <n v="23"/>
    <d v="2023-07-03T19:02:09"/>
    <s v="Y"/>
    <s v="Routine Telephone Call"/>
    <s v="Care Remuneration Hourly Rates"/>
    <s v="Profit Cost"/>
    <s v="KS"/>
    <s v="Y"/>
    <n v="7.38"/>
    <n v="1.48"/>
    <x v="3"/>
    <s v="VALIDATED"/>
    <n v="1"/>
    <s v="01.11.80.305.6100.0000"/>
    <n v="7.38"/>
    <s v="11"/>
    <s v="6100"/>
    <n v="33459.28"/>
    <n v="7.38"/>
    <s v="CREDITOR"/>
    <n v="0"/>
    <n v="0"/>
    <n v="0"/>
    <n v="0"/>
    <n v="7.38"/>
  </r>
  <r>
    <n v="40167068"/>
    <s v="N"/>
    <n v="21319043"/>
    <s v="3000010786360008"/>
    <s v="CIVIL"/>
    <d v="2023-06-09T00:00:00"/>
    <d v="2023-07-03T19:01:49"/>
    <m/>
    <d v="2023-07-03T00:00:00"/>
    <n v="418"/>
    <n v="14752"/>
    <s v="40167068"/>
    <s v="40167068"/>
    <m/>
    <m/>
    <n v="22656592"/>
    <m/>
    <m/>
    <m/>
    <s v="SOLFIN"/>
    <s v="SOLFIN"/>
    <s v="CCMS"/>
    <n v="21319043"/>
    <n v="7412.38"/>
    <m/>
    <s v="N"/>
    <n v="24"/>
    <d v="2023-07-03T19:02:09"/>
    <s v="Y"/>
    <s v="Routine Letter Out"/>
    <s v="Care Remuneration Hourly Rates"/>
    <s v="Profit Cost"/>
    <s v="MT"/>
    <s v="Y"/>
    <n v="161.25"/>
    <n v="32.25"/>
    <x v="3"/>
    <s v="VALIDATED"/>
    <n v="1"/>
    <s v="01.11.80.305.6100.0000"/>
    <n v="161.25"/>
    <s v="11"/>
    <s v="6100"/>
    <n v="33459.28"/>
    <n v="161.25"/>
    <s v="CREDITOR"/>
    <n v="0"/>
    <n v="0"/>
    <n v="0"/>
    <n v="0"/>
    <n v="161.25"/>
  </r>
  <r>
    <n v="61283867"/>
    <s v="N"/>
    <n v="21338268"/>
    <s v="3000015446240006"/>
    <s v="CIVIL"/>
    <d v="2023-06-26T00:00:00"/>
    <d v="2023-07-06T19:21:01"/>
    <m/>
    <d v="2023-07-06T00:00:00"/>
    <n v="418"/>
    <n v="14752"/>
    <s v="61283867"/>
    <s v="61283867"/>
    <m/>
    <m/>
    <n v="22757658"/>
    <m/>
    <m/>
    <m/>
    <s v="SOLFIN"/>
    <s v="SOLFIN"/>
    <s v="CCMS"/>
    <n v="21338268"/>
    <n v="7341.02"/>
    <m/>
    <s v="N"/>
    <n v="7"/>
    <d v="2023-07-06T19:21:15"/>
    <s v="Y"/>
    <s v="Toxicologist"/>
    <s v="Public Law Children"/>
    <s v="Expert Disbursement"/>
    <s v="MAT"/>
    <s v="Y"/>
    <n v="256.5"/>
    <n v="51.3"/>
    <x v="4"/>
    <s v="VALIDATED"/>
    <n v="1"/>
    <s v="01.11.80.308.6300.0000"/>
    <n v="256.5"/>
    <s v="11"/>
    <s v="6300"/>
    <n v="33459.28"/>
    <n v="256.5"/>
    <s v="CREDITOR"/>
    <n v="0"/>
    <n v="0"/>
    <n v="0"/>
    <n v="0"/>
    <n v="256.5"/>
  </r>
  <r>
    <n v="59524195"/>
    <s v="N"/>
    <n v="21331320"/>
    <s v="3000013935620001"/>
    <s v="CIVIL"/>
    <d v="2023-06-26T00:00:00"/>
    <d v="2023-07-05T19:01:47"/>
    <m/>
    <d v="2023-07-05T00:00:00"/>
    <n v="418"/>
    <n v="14752"/>
    <s v="59524195"/>
    <s v="59524195"/>
    <m/>
    <m/>
    <n v="22758400"/>
    <m/>
    <m/>
    <m/>
    <s v="SOLFIN"/>
    <s v="SOLFIN"/>
    <s v="CCMS"/>
    <n v="21331320"/>
    <n v="8089.22"/>
    <m/>
    <s v="N"/>
    <n v="5"/>
    <d v="2023-07-05T19:02:14"/>
    <s v="Y"/>
    <s v="Hearing Unit 1.01 - 2.30 Hours"/>
    <s v="Public Law Children"/>
    <s v="Advocacy"/>
    <s v="MT"/>
    <s v="Y"/>
    <n v="238.46"/>
    <n v="47.69"/>
    <x v="6"/>
    <s v="VALIDATED"/>
    <n v="1"/>
    <s v="01.11.80.308.6100.0000"/>
    <n v="238.46"/>
    <s v="11"/>
    <s v="6100"/>
    <n v="33459.28"/>
    <n v="238.46"/>
    <s v="CREDITOR"/>
    <n v="0"/>
    <n v="0"/>
    <n v="0"/>
    <n v="0"/>
    <n v="238.46"/>
  </r>
  <r>
    <n v="40167068"/>
    <s v="N"/>
    <n v="21319043"/>
    <s v="3000010786360008"/>
    <s v="CIVIL"/>
    <d v="2023-06-09T00:00:00"/>
    <d v="2023-07-03T19:01:49"/>
    <m/>
    <d v="2023-07-03T00:00:00"/>
    <n v="418"/>
    <n v="14752"/>
    <s v="40167068"/>
    <s v="40167068"/>
    <m/>
    <m/>
    <n v="22656592"/>
    <m/>
    <m/>
    <m/>
    <s v="SOLFIN"/>
    <s v="SOLFIN"/>
    <s v="CCMS"/>
    <n v="21319043"/>
    <n v="7412.38"/>
    <m/>
    <s v="N"/>
    <n v="31"/>
    <d v="2023-07-03T19:02:09"/>
    <s v="Y"/>
    <s v="Child psychiatrist"/>
    <s v="Care Remuneration Hourly Rates"/>
    <s v="Expert Disbursement"/>
    <s v="XXX"/>
    <s v="Y"/>
    <n v="216"/>
    <n v="43.2"/>
    <x v="3"/>
    <s v="VALIDATED"/>
    <n v="1"/>
    <s v="01.11.80.305.6300.0000"/>
    <n v="216"/>
    <s v="11"/>
    <s v="6300"/>
    <n v="33459.28"/>
    <n v="216"/>
    <s v="CREDITOR"/>
    <n v="0"/>
    <n v="0"/>
    <n v="0"/>
    <n v="0"/>
    <n v="216"/>
  </r>
  <r>
    <n v="60954153"/>
    <s v="N"/>
    <n v="21327626"/>
    <s v="3000015168920004"/>
    <s v="CIVIL"/>
    <d v="2023-06-26T00:00:00"/>
    <d v="2023-07-04T19:00:44"/>
    <m/>
    <d v="2023-07-04T00:00:00"/>
    <n v="418"/>
    <n v="14752"/>
    <s v="60954153"/>
    <s v="60954153"/>
    <m/>
    <m/>
    <n v="22758442"/>
    <m/>
    <m/>
    <m/>
    <s v="SOLFIN"/>
    <s v="SOLFIN"/>
    <s v="CCMS"/>
    <n v="21327626"/>
    <n v="817.11"/>
    <m/>
    <s v="N"/>
    <n v="2"/>
    <d v="2023-07-04T19:00:51"/>
    <s v="Y"/>
    <s v="Preparation - other"/>
    <s v="Care Remuneration Hourly Rates"/>
    <s v="Profit Cost"/>
    <s v="KDS"/>
    <s v="Y"/>
    <n v="58.41"/>
    <n v="11.68"/>
    <x v="1"/>
    <s v="VALIDATED"/>
    <n v="1"/>
    <s v="01.11.80.305.6100.0000"/>
    <n v="58.41"/>
    <s v="11"/>
    <s v="6100"/>
    <n v="33459.28"/>
    <n v="58.41"/>
    <s v="CREDITOR"/>
    <n v="0"/>
    <n v="0"/>
    <n v="0"/>
    <n v="0"/>
    <n v="58.41"/>
  </r>
  <r>
    <n v="61431337"/>
    <s v="N"/>
    <n v="21331095"/>
    <s v="3000015566430002"/>
    <s v="CIVIL"/>
    <d v="2023-06-26T00:00:00"/>
    <d v="2023-07-05T19:01:47"/>
    <m/>
    <d v="2023-07-05T00:00:00"/>
    <n v="418"/>
    <n v="14752"/>
    <s v="61431337"/>
    <s v="61431337"/>
    <m/>
    <m/>
    <n v="22759804"/>
    <m/>
    <m/>
    <m/>
    <s v="SOLFIN"/>
    <s v="SOLFIN"/>
    <s v="CCMS"/>
    <n v="21331095"/>
    <n v="4483.97"/>
    <m/>
    <s v="N"/>
    <n v="2"/>
    <d v="2023-07-05T19:02:05"/>
    <s v="Y"/>
    <s v="Solicitor Travel Expenses"/>
    <s v="Public Law Children"/>
    <s v="Non Expert Disbursement"/>
    <s v="MAT"/>
    <s v="Y"/>
    <n v="6.2"/>
    <n v="1.24"/>
    <x v="6"/>
    <s v="VALIDATED"/>
    <n v="1"/>
    <s v="01.11.80.308.6300.0000"/>
    <n v="6.2"/>
    <s v="11"/>
    <s v="6300"/>
    <n v="33459.28"/>
    <n v="6.2"/>
    <s v="CREDITOR"/>
    <n v="0"/>
    <n v="0"/>
    <n v="0"/>
    <n v="0"/>
    <n v="6.2"/>
  </r>
  <r>
    <n v="40167068"/>
    <s v="N"/>
    <n v="21319043"/>
    <s v="3000010786360008"/>
    <s v="CIVIL"/>
    <d v="2023-06-09T00:00:00"/>
    <d v="2023-07-03T19:01:49"/>
    <m/>
    <d v="2023-07-03T00:00:00"/>
    <n v="418"/>
    <n v="14752"/>
    <s v="40167068"/>
    <s v="40167068"/>
    <m/>
    <m/>
    <n v="22656592"/>
    <m/>
    <m/>
    <m/>
    <s v="SOLFIN"/>
    <s v="SOLFIN"/>
    <s v="CCMS"/>
    <n v="21319043"/>
    <n v="7412.38"/>
    <m/>
    <s v="N"/>
    <n v="3"/>
    <d v="2023-07-03T19:02:09"/>
    <s v="Y"/>
    <s v="Attendance upon client"/>
    <s v="Care Remuneration Hourly Rates"/>
    <s v="Profit Cost"/>
    <s v="MT"/>
    <s v="Y"/>
    <n v="26.86"/>
    <n v="5.37"/>
    <x v="3"/>
    <s v="VALIDATED"/>
    <n v="1"/>
    <s v="01.11.80.305.6100.0000"/>
    <n v="26.86"/>
    <s v="11"/>
    <s v="6100"/>
    <n v="33459.28"/>
    <n v="26.86"/>
    <s v="CREDITOR"/>
    <n v="0"/>
    <n v="0"/>
    <n v="0"/>
    <n v="0"/>
    <n v="26.86"/>
  </r>
  <r>
    <n v="59839080"/>
    <s v="N"/>
    <n v="21318815"/>
    <s v="3000014203590024"/>
    <s v="CIVIL"/>
    <d v="2023-06-20T00:00:00"/>
    <d v="2023-07-03T19:01:49"/>
    <m/>
    <d v="2023-07-03T00:00:00"/>
    <n v="418"/>
    <n v="14752"/>
    <s v="59839080"/>
    <s v="59839080"/>
    <m/>
    <m/>
    <n v="22726612"/>
    <m/>
    <m/>
    <m/>
    <s v="SOLFIN"/>
    <s v="SOLFIN"/>
    <s v="CCMS"/>
    <n v="21318815"/>
    <n v="13136.2"/>
    <m/>
    <s v="N"/>
    <n v="2"/>
    <d v="2023-07-03T19:02:03"/>
    <s v="Y"/>
    <s v="Neurosurgeon"/>
    <s v="Public Law Children"/>
    <s v="Expert Disbursement"/>
    <s v="JLS"/>
    <s v="Y"/>
    <n v="239.4"/>
    <n v="47.88"/>
    <x v="3"/>
    <s v="VALIDATED"/>
    <n v="1"/>
    <s v="01.11.80.308.6300.0000"/>
    <n v="239.4"/>
    <s v="11"/>
    <s v="6300"/>
    <n v="33459.28"/>
    <n v="239.4"/>
    <s v="CREDITOR"/>
    <n v="0"/>
    <n v="0"/>
    <n v="0"/>
    <n v="0"/>
    <n v="239.4"/>
  </r>
  <r>
    <n v="59524195"/>
    <s v="N"/>
    <n v="21331320"/>
    <s v="3000013935620001"/>
    <s v="CIVIL"/>
    <d v="2023-06-26T00:00:00"/>
    <d v="2023-07-05T19:01:47"/>
    <m/>
    <d v="2023-07-05T00:00:00"/>
    <n v="418"/>
    <n v="14752"/>
    <s v="59524195"/>
    <s v="59524195"/>
    <m/>
    <m/>
    <n v="22758400"/>
    <m/>
    <m/>
    <m/>
    <s v="SOLFIN"/>
    <s v="SOLFIN"/>
    <s v="CCMS"/>
    <n v="21331320"/>
    <n v="8089.22"/>
    <m/>
    <s v="N"/>
    <n v="11"/>
    <d v="2023-07-05T19:02:14"/>
    <s v="Y"/>
    <s v="Interim Hearing Court Bundle/Advoca"/>
    <s v="Public Law Children"/>
    <s v="Advocacy"/>
    <s v="MT"/>
    <s v="Y"/>
    <n v="89.09999999999999"/>
    <n v="17.82"/>
    <x v="6"/>
    <s v="VALIDATED"/>
    <n v="1"/>
    <s v="01.11.80.308.6100.0000"/>
    <n v="89.09999999999999"/>
    <s v="11"/>
    <s v="6100"/>
    <n v="33459.28"/>
    <n v="89.09999999999999"/>
    <s v="CREDITOR"/>
    <n v="0"/>
    <n v="0"/>
    <n v="0"/>
    <n v="0"/>
    <n v="89.09999999999999"/>
  </r>
  <r>
    <n v="61709374"/>
    <s v="N"/>
    <n v="21331235"/>
    <s v="3000015799560002"/>
    <s v="CIVIL"/>
    <d v="2023-06-26T00:00:00"/>
    <d v="2023-07-05T19:01:47"/>
    <m/>
    <d v="2023-07-05T00:00:00"/>
    <n v="418"/>
    <n v="14752"/>
    <s v="61709374"/>
    <s v="61709374"/>
    <m/>
    <m/>
    <n v="22760324"/>
    <m/>
    <m/>
    <m/>
    <s v="SOLFIN"/>
    <s v="SOLFIN"/>
    <s v="CCMS"/>
    <n v="21331235"/>
    <n v="3998.85"/>
    <m/>
    <s v="N"/>
    <n v="2"/>
    <d v="2023-07-05T19:02:11"/>
    <s v="Y"/>
    <s v="Solicitor Travel Expenses"/>
    <s v="Public Law Children"/>
    <s v="Non Expert Disbursement"/>
    <s v="JLS"/>
    <s v="Y"/>
    <n v="4.15"/>
    <n v="0.83"/>
    <x v="6"/>
    <s v="VALIDATED"/>
    <n v="1"/>
    <s v="01.11.80.308.6300.0000"/>
    <n v="4.15"/>
    <s v="11"/>
    <s v="6300"/>
    <n v="33459.28"/>
    <n v="4.15"/>
    <s v="CREDITOR"/>
    <n v="0"/>
    <n v="0"/>
    <n v="0"/>
    <n v="0"/>
    <n v="4.15"/>
  </r>
  <r>
    <n v="61431337"/>
    <s v="N"/>
    <n v="21331095"/>
    <s v="3000015566430002"/>
    <s v="CIVIL"/>
    <d v="2023-06-26T00:00:00"/>
    <d v="2023-07-05T19:01:47"/>
    <m/>
    <d v="2023-07-05T00:00:00"/>
    <n v="418"/>
    <n v="14752"/>
    <s v="61431337"/>
    <s v="61431337"/>
    <m/>
    <m/>
    <n v="22759804"/>
    <m/>
    <m/>
    <m/>
    <s v="SOLFIN"/>
    <s v="SOLFIN"/>
    <s v="CCMS"/>
    <n v="21331095"/>
    <n v="4483.97"/>
    <m/>
    <s v="N"/>
    <n v="1"/>
    <d v="2023-07-05T19:02:05"/>
    <s v="Y"/>
    <s v="Final Hearing Court Bundle/Advocate"/>
    <s v="Public Law Children"/>
    <s v="Advocacy"/>
    <s v="MAT"/>
    <s v="Y"/>
    <n v="159.3"/>
    <n v="31.86"/>
    <x v="6"/>
    <s v="VALIDATED"/>
    <n v="1"/>
    <s v="01.11.80.308.6100.0000"/>
    <n v="159.3"/>
    <s v="11"/>
    <s v="6100"/>
    <n v="33459.28"/>
    <n v="159.3"/>
    <s v="CREDITOR"/>
    <n v="0"/>
    <n v="0"/>
    <n v="0"/>
    <n v="0"/>
    <n v="159.3"/>
  </r>
  <r>
    <n v="60954153"/>
    <s v="N"/>
    <n v="21327626"/>
    <s v="3000015168920004"/>
    <s v="CIVIL"/>
    <d v="2023-06-26T00:00:00"/>
    <d v="2023-07-04T19:00:44"/>
    <m/>
    <d v="2023-07-04T00:00:00"/>
    <n v="418"/>
    <n v="14752"/>
    <s v="60954153"/>
    <s v="60954153"/>
    <m/>
    <m/>
    <n v="22758442"/>
    <m/>
    <m/>
    <m/>
    <s v="SOLFIN"/>
    <s v="SOLFIN"/>
    <s v="CCMS"/>
    <n v="21327626"/>
    <n v="817.11"/>
    <m/>
    <s v="N"/>
    <n v="18"/>
    <d v="2023-07-04T19:00:51"/>
    <s v="Y"/>
    <s v="Hearing Unit 1.01 - 2.30 Hours"/>
    <s v="Other Public Law Children"/>
    <s v="Advocacy"/>
    <s v="MAT"/>
    <s v="Y"/>
    <n v="208.53"/>
    <n v="41.71"/>
    <x v="1"/>
    <s v="VALIDATED"/>
    <n v="1"/>
    <s v="01.11.80.305.6100.0000"/>
    <n v="208.53"/>
    <s v="11"/>
    <s v="6100"/>
    <n v="33459.28"/>
    <n v="208.53"/>
    <s v="CREDITOR"/>
    <n v="0"/>
    <n v="0"/>
    <n v="0"/>
    <n v="0"/>
    <n v="208.53"/>
  </r>
  <r>
    <n v="59839080"/>
    <s v="N"/>
    <n v="21318815"/>
    <s v="3000014203590024"/>
    <s v="CIVIL"/>
    <d v="2023-06-20T00:00:00"/>
    <d v="2023-07-03T19:01:49"/>
    <m/>
    <d v="2023-07-03T00:00:00"/>
    <n v="418"/>
    <n v="14752"/>
    <s v="59839080"/>
    <s v="59839080"/>
    <m/>
    <m/>
    <n v="22726612"/>
    <m/>
    <m/>
    <m/>
    <s v="SOLFIN"/>
    <s v="SOLFIN"/>
    <s v="CCMS"/>
    <n v="21318815"/>
    <n v="13136.2"/>
    <m/>
    <s v="N"/>
    <n v="5"/>
    <d v="2023-07-03T19:02:03"/>
    <s v="Y"/>
    <s v="Paediatrician"/>
    <s v="Public Law Children"/>
    <s v="Expert Disbursement"/>
    <s v="JLS"/>
    <s v="Y"/>
    <n v="40.5"/>
    <n v="8.1"/>
    <x v="3"/>
    <s v="VALIDATED"/>
    <n v="1"/>
    <s v="01.11.80.308.6300.0000"/>
    <n v="40.5"/>
    <s v="11"/>
    <s v="6300"/>
    <n v="33459.28"/>
    <n v="40.5"/>
    <s v="CREDITOR"/>
    <n v="0"/>
    <n v="0"/>
    <n v="0"/>
    <n v="0"/>
    <n v="40.5"/>
  </r>
  <r>
    <n v="60949177"/>
    <s v="N"/>
    <n v="21338409"/>
    <s v="3000015164440011"/>
    <s v="CIVIL"/>
    <d v="2023-06-27T00:00:00"/>
    <d v="2023-07-06T19:21:01"/>
    <m/>
    <d v="2023-07-06T00:00:00"/>
    <n v="418"/>
    <n v="14752"/>
    <s v="60949177"/>
    <s v="60949177"/>
    <m/>
    <m/>
    <n v="22770004"/>
    <m/>
    <m/>
    <m/>
    <s v="SOLFIN"/>
    <s v="SOLFIN"/>
    <s v="CCMS"/>
    <n v="21338409"/>
    <n v="6354.31"/>
    <m/>
    <s v="N"/>
    <n v="2"/>
    <d v="2023-07-06T19:21:24"/>
    <s v="Y"/>
    <s v="Toxicologist"/>
    <s v="Public Law Children"/>
    <s v="Expert Disbursement"/>
    <s v="KFT"/>
    <s v="Y"/>
    <n v="186.4"/>
    <n v="37.28"/>
    <x v="4"/>
    <s v="VALIDATED"/>
    <n v="1"/>
    <s v="01.11.80.308.6300.0000"/>
    <n v="186.4"/>
    <s v="11"/>
    <s v="6300"/>
    <n v="33459.28"/>
    <n v="186.4"/>
    <s v="CREDITOR"/>
    <n v="0"/>
    <n v="0"/>
    <n v="0"/>
    <n v="0"/>
    <n v="186.4"/>
  </r>
  <r>
    <n v="61330693"/>
    <s v="N"/>
    <n v="21337761"/>
    <s v="3000015483210003"/>
    <s v="CIVIL"/>
    <d v="2023-06-23T00:00:00"/>
    <d v="2023-07-06T19:21:01"/>
    <m/>
    <d v="2023-07-06T00:00:00"/>
    <n v="418"/>
    <n v="14752"/>
    <s v="61330693"/>
    <s v="61330693"/>
    <m/>
    <m/>
    <n v="22749910"/>
    <m/>
    <m/>
    <m/>
    <s v="SOLPOA"/>
    <s v="SOLPOA"/>
    <s v="CCMS"/>
    <n v="21337761"/>
    <n v="140.2"/>
    <m/>
    <s v="N"/>
    <n v="1"/>
    <d v="2023-07-06T19:21:07"/>
    <s v="N"/>
    <s v="Expert Cost"/>
    <s v="Expert Cost"/>
    <s v="Expert Disbursement"/>
    <s v="MAT"/>
    <s v="N"/>
    <n v="116.83"/>
    <n v="23.37"/>
    <x v="4"/>
    <s v="VALIDATED"/>
    <n v="1"/>
    <s v="01.11.80.308.2012.0000"/>
    <n v="116.83"/>
    <s v="11"/>
    <s v="2012"/>
    <n v="33459.28"/>
    <n v="116.83"/>
    <s v="CREDITOR"/>
    <n v="116.83"/>
    <n v="0"/>
    <n v="0"/>
    <n v="0"/>
    <n v="0"/>
  </r>
  <r>
    <n v="59524195"/>
    <s v="N"/>
    <n v="21331320"/>
    <s v="3000013935620001"/>
    <s v="CIVIL"/>
    <d v="2023-06-26T00:00:00"/>
    <d v="2023-07-05T19:01:47"/>
    <m/>
    <d v="2023-07-05T00:00:00"/>
    <n v="418"/>
    <n v="14752"/>
    <s v="59524195"/>
    <s v="59524195"/>
    <m/>
    <m/>
    <n v="22758400"/>
    <m/>
    <m/>
    <m/>
    <s v="SOLFIN"/>
    <s v="SOLFIN"/>
    <s v="CCMS"/>
    <n v="21331320"/>
    <n v="8089.22"/>
    <m/>
    <s v="N"/>
    <n v="2"/>
    <d v="2023-07-05T19:02:14"/>
    <s v="Y"/>
    <s v="Hearing Unit 1.01 - 2.30 Hours"/>
    <s v="Public Law Children"/>
    <s v="Advocacy"/>
    <s v="MT"/>
    <s v="Y"/>
    <n v="238.46"/>
    <n v="47.69"/>
    <x v="6"/>
    <s v="VALIDATED"/>
    <n v="1"/>
    <s v="01.11.80.308.6100.0000"/>
    <n v="238.46"/>
    <s v="11"/>
    <s v="6100"/>
    <n v="33459.28"/>
    <n v="238.46"/>
    <s v="CREDITOR"/>
    <n v="0"/>
    <n v="0"/>
    <n v="0"/>
    <n v="0"/>
    <n v="238.46"/>
  </r>
  <r>
    <n v="59839080"/>
    <s v="N"/>
    <n v="21318815"/>
    <s v="3000014203590024"/>
    <s v="CIVIL"/>
    <d v="2023-06-20T00:00:00"/>
    <d v="2023-07-03T19:01:49"/>
    <m/>
    <d v="2023-07-03T00:00:00"/>
    <n v="418"/>
    <n v="14752"/>
    <s v="59839080"/>
    <s v="59839080"/>
    <m/>
    <m/>
    <n v="22726612"/>
    <m/>
    <m/>
    <m/>
    <s v="SOLFIN"/>
    <s v="SOLFIN"/>
    <s v="CCMS"/>
    <n v="21318815"/>
    <n v="13136.2"/>
    <m/>
    <s v="N"/>
    <n v="13"/>
    <d v="2023-07-03T19:02:03"/>
    <s v="Y"/>
    <s v="Paediatrician"/>
    <s v="Public Law Children"/>
    <s v="Expert Disbursement"/>
    <s v="JLS"/>
    <s v="Y"/>
    <n v="89.09999999999999"/>
    <n v="17.82"/>
    <x v="3"/>
    <s v="VALIDATED"/>
    <n v="1"/>
    <s v="01.11.80.308.6300.0000"/>
    <n v="89.09999999999999"/>
    <s v="11"/>
    <s v="6300"/>
    <n v="33459.28"/>
    <n v="89.09999999999999"/>
    <s v="CREDITOR"/>
    <n v="0"/>
    <n v="0"/>
    <n v="0"/>
    <n v="0"/>
    <n v="89.09999999999999"/>
  </r>
  <r>
    <n v="40167068"/>
    <s v="N"/>
    <n v="21319043"/>
    <s v="3000010786360008"/>
    <s v="CIVIL"/>
    <d v="2023-06-09T00:00:00"/>
    <d v="2023-07-03T19:01:49"/>
    <m/>
    <d v="2023-07-03T00:00:00"/>
    <n v="418"/>
    <n v="14752"/>
    <s v="40167068"/>
    <s v="40167068"/>
    <m/>
    <m/>
    <n v="22656592"/>
    <m/>
    <m/>
    <m/>
    <s v="SOLFIN"/>
    <s v="SOLFIN"/>
    <s v="CCMS"/>
    <n v="21319043"/>
    <n v="7412.38"/>
    <m/>
    <s v="N"/>
    <n v="26"/>
    <d v="2023-07-03T19:02:09"/>
    <s v="Y"/>
    <s v="Routine Letter In"/>
    <s v="Care Remuneration Hourly Rates"/>
    <s v="Profit Cost"/>
    <s v="MT"/>
    <s v="Y"/>
    <n v="170.2"/>
    <n v="34.04"/>
    <x v="3"/>
    <s v="VALIDATED"/>
    <n v="1"/>
    <s v="01.11.80.305.6100.0000"/>
    <n v="170.2"/>
    <s v="11"/>
    <s v="6100"/>
    <n v="33459.28"/>
    <n v="170.2"/>
    <s v="CREDITOR"/>
    <n v="0"/>
    <n v="0"/>
    <n v="0"/>
    <n v="0"/>
    <n v="170.2"/>
  </r>
  <r>
    <n v="59839080"/>
    <s v="N"/>
    <n v="21318815"/>
    <s v="3000014203590024"/>
    <s v="CIVIL"/>
    <d v="2023-06-20T00:00:00"/>
    <d v="2023-07-03T19:01:49"/>
    <m/>
    <d v="2023-07-03T00:00:00"/>
    <n v="418"/>
    <n v="14752"/>
    <s v="59839080"/>
    <s v="59839080"/>
    <m/>
    <m/>
    <n v="22726612"/>
    <m/>
    <m/>
    <m/>
    <s v="SOLFIN"/>
    <s v="SOLFIN"/>
    <s v="CCMS"/>
    <n v="21318815"/>
    <n v="13136.2"/>
    <m/>
    <s v="N"/>
    <n v="29"/>
    <d v="2023-07-03T19:02:03"/>
    <s v="Y"/>
    <s v="Solicitors Fixed Fee"/>
    <s v="Public Law Children"/>
    <s v="Profit Cost"/>
    <s v="JLS"/>
    <s v="Y"/>
    <n v="3020"/>
    <n v="604"/>
    <x v="3"/>
    <s v="VALIDATED"/>
    <n v="1"/>
    <s v="01.11.80.308.6100.0000"/>
    <n v="3020"/>
    <s v="11"/>
    <s v="6100"/>
    <n v="33459.28"/>
    <n v="3020"/>
    <s v="CREDITOR"/>
    <n v="0"/>
    <n v="0"/>
    <n v="0"/>
    <n v="0"/>
    <n v="3020"/>
  </r>
  <r>
    <n v="60949177"/>
    <s v="N"/>
    <n v="21338409"/>
    <s v="3000015164440011"/>
    <s v="CIVIL"/>
    <d v="2023-06-27T00:00:00"/>
    <d v="2023-07-06T19:21:01"/>
    <m/>
    <d v="2023-07-06T00:00:00"/>
    <n v="418"/>
    <n v="14752"/>
    <s v="60949177"/>
    <s v="60949177"/>
    <m/>
    <m/>
    <n v="22770004"/>
    <m/>
    <m/>
    <m/>
    <s v="SOLFIN"/>
    <s v="SOLFIN"/>
    <s v="CCMS"/>
    <n v="21338409"/>
    <n v="6354.31"/>
    <m/>
    <s v="N"/>
    <n v="5"/>
    <d v="2023-07-06T19:21:24"/>
    <s v="Y"/>
    <s v="Toxicologist"/>
    <s v="Public Law Children"/>
    <s v="Expert Disbursement"/>
    <s v="KFT"/>
    <s v="Y"/>
    <n v="195.75"/>
    <n v="39.15"/>
    <x v="4"/>
    <s v="VALIDATED"/>
    <n v="1"/>
    <s v="01.11.80.308.6300.0000"/>
    <n v="195.75"/>
    <s v="11"/>
    <s v="6300"/>
    <n v="33459.28"/>
    <n v="195.75"/>
    <s v="CREDITOR"/>
    <n v="0"/>
    <n v="0"/>
    <n v="0"/>
    <n v="0"/>
    <n v="195.75"/>
  </r>
  <r>
    <n v="59524195"/>
    <s v="N"/>
    <n v="21331320"/>
    <s v="3000013935620001"/>
    <s v="CIVIL"/>
    <d v="2023-06-26T00:00:00"/>
    <d v="2023-07-05T19:01:47"/>
    <m/>
    <d v="2023-07-05T00:00:00"/>
    <n v="418"/>
    <n v="14752"/>
    <s v="59524195"/>
    <s v="59524195"/>
    <m/>
    <m/>
    <n v="22758400"/>
    <m/>
    <m/>
    <m/>
    <s v="SOLFIN"/>
    <s v="SOLFIN"/>
    <s v="CCMS"/>
    <n v="21331320"/>
    <n v="8089.22"/>
    <m/>
    <s v="N"/>
    <n v="7"/>
    <d v="2023-07-05T19:02:14"/>
    <s v="Y"/>
    <s v="Advocates Meeting"/>
    <s v="Public Law Children"/>
    <s v="Advocacy"/>
    <s v="MT"/>
    <s v="Y"/>
    <n v="140.99"/>
    <n v="28.2"/>
    <x v="6"/>
    <s v="VALIDATED"/>
    <n v="1"/>
    <s v="01.11.80.308.6100.0000"/>
    <n v="140.99"/>
    <s v="11"/>
    <s v="6100"/>
    <n v="33459.28"/>
    <n v="140.99"/>
    <s v="CREDITOR"/>
    <n v="0"/>
    <n v="0"/>
    <n v="0"/>
    <n v="0"/>
    <n v="140.99"/>
  </r>
  <r>
    <n v="59839080"/>
    <s v="N"/>
    <n v="21318815"/>
    <s v="3000014203590024"/>
    <s v="CIVIL"/>
    <d v="2023-06-20T00:00:00"/>
    <d v="2023-07-03T19:01:49"/>
    <m/>
    <d v="2023-07-03T00:00:00"/>
    <n v="418"/>
    <n v="14752"/>
    <s v="59839080"/>
    <s v="59839080"/>
    <m/>
    <m/>
    <n v="22726612"/>
    <m/>
    <m/>
    <m/>
    <s v="SOLFIN"/>
    <s v="SOLFIN"/>
    <s v="CCMS"/>
    <n v="21318815"/>
    <n v="13136.2"/>
    <m/>
    <s v="N"/>
    <n v="26"/>
    <d v="2023-07-03T19:02:03"/>
    <s v="Y"/>
    <s v="Final Hearing - 1 Day"/>
    <s v="Public Law Children"/>
    <s v="Advocacy"/>
    <s v="JLS"/>
    <s v="Y"/>
    <n v="556.88"/>
    <n v="111.38"/>
    <x v="3"/>
    <s v="VALIDATED"/>
    <n v="1"/>
    <s v="01.11.80.308.6100.0000"/>
    <n v="556.88"/>
    <s v="11"/>
    <s v="6100"/>
    <n v="33459.28"/>
    <n v="556.88"/>
    <s v="CREDITOR"/>
    <n v="0"/>
    <n v="0"/>
    <n v="0"/>
    <n v="0"/>
    <n v="556.88"/>
  </r>
  <r>
    <n v="59839080"/>
    <s v="N"/>
    <n v="21318815"/>
    <s v="3000014203590024"/>
    <s v="CIVIL"/>
    <d v="2023-06-20T00:00:00"/>
    <d v="2023-07-03T19:01:49"/>
    <m/>
    <d v="2023-07-03T00:00:00"/>
    <n v="418"/>
    <n v="14752"/>
    <s v="59839080"/>
    <s v="59839080"/>
    <m/>
    <m/>
    <n v="22726612"/>
    <m/>
    <m/>
    <m/>
    <s v="SOLFIN"/>
    <s v="SOLFIN"/>
    <s v="CCMS"/>
    <n v="21318815"/>
    <n v="13136.2"/>
    <m/>
    <s v="N"/>
    <n v="8"/>
    <d v="2023-07-03T19:02:03"/>
    <s v="Y"/>
    <s v="Toxicologist"/>
    <s v="Public Law Children"/>
    <s v="Expert Disbursement"/>
    <s v="JLS"/>
    <s v="Y"/>
    <n v="148.2"/>
    <n v="29.64"/>
    <x v="3"/>
    <s v="VALIDATED"/>
    <n v="1"/>
    <s v="01.11.80.308.6300.0000"/>
    <n v="148.2"/>
    <s v="11"/>
    <s v="6300"/>
    <n v="33459.28"/>
    <n v="148.2"/>
    <s v="CREDITOR"/>
    <n v="0"/>
    <n v="0"/>
    <n v="0"/>
    <n v="0"/>
    <n v="148.2"/>
  </r>
  <r>
    <n v="59839080"/>
    <s v="N"/>
    <n v="21318815"/>
    <s v="3000014203590024"/>
    <s v="CIVIL"/>
    <d v="2023-06-20T00:00:00"/>
    <d v="2023-07-03T19:01:49"/>
    <m/>
    <d v="2023-07-03T00:00:00"/>
    <n v="418"/>
    <n v="14752"/>
    <s v="59839080"/>
    <s v="59839080"/>
    <m/>
    <m/>
    <n v="22726612"/>
    <m/>
    <m/>
    <m/>
    <s v="SOLFIN"/>
    <s v="SOLFIN"/>
    <s v="CCMS"/>
    <n v="21318815"/>
    <n v="13136.2"/>
    <m/>
    <s v="N"/>
    <n v="1"/>
    <d v="2023-07-03T19:02:03"/>
    <s v="Y"/>
    <s v="Neurosurgeon"/>
    <s v="Public Law Children"/>
    <s v="Expert Disbursement"/>
    <s v="JLS"/>
    <s v="Y"/>
    <n v="88.92"/>
    <n v="17.78"/>
    <x v="3"/>
    <s v="VALIDATED"/>
    <n v="1"/>
    <s v="01.11.80.308.6300.0000"/>
    <n v="88.92"/>
    <s v="11"/>
    <s v="6300"/>
    <n v="33459.28"/>
    <n v="88.92"/>
    <s v="CREDITOR"/>
    <n v="0"/>
    <n v="0"/>
    <n v="0"/>
    <n v="0"/>
    <n v="88.92"/>
  </r>
  <r>
    <n v="59839080"/>
    <s v="N"/>
    <n v="21318815"/>
    <s v="3000014203590024"/>
    <s v="CIVIL"/>
    <d v="2023-06-20T00:00:00"/>
    <d v="2023-07-03T19:01:49"/>
    <m/>
    <d v="2023-07-03T00:00:00"/>
    <n v="418"/>
    <n v="14752"/>
    <s v="59839080"/>
    <s v="59839080"/>
    <m/>
    <m/>
    <n v="22726612"/>
    <m/>
    <m/>
    <m/>
    <s v="SOLFIN"/>
    <s v="SOLFIN"/>
    <s v="CCMS"/>
    <n v="21318815"/>
    <n v="13136.2"/>
    <m/>
    <s v="N"/>
    <n v="7"/>
    <d v="2023-07-03T19:02:03"/>
    <s v="Y"/>
    <s v="Neurosurgeon"/>
    <s v="Public Law Children"/>
    <s v="Expert Disbursement"/>
    <s v="JLS"/>
    <s v="Y"/>
    <n v="41.04"/>
    <n v="8.210000000000001"/>
    <x v="3"/>
    <s v="VALIDATED"/>
    <n v="1"/>
    <s v="01.11.80.308.6300.0000"/>
    <n v="41.04"/>
    <s v="11"/>
    <s v="6300"/>
    <n v="33459.28"/>
    <n v="41.04"/>
    <s v="CREDITOR"/>
    <n v="0"/>
    <n v="0"/>
    <n v="0"/>
    <n v="0"/>
    <n v="41.04"/>
  </r>
  <r>
    <n v="40167068"/>
    <s v="N"/>
    <n v="21319043"/>
    <s v="3000010786360008"/>
    <s v="CIVIL"/>
    <d v="2023-06-09T00:00:00"/>
    <d v="2023-07-03T19:01:49"/>
    <m/>
    <d v="2023-07-03T00:00:00"/>
    <n v="418"/>
    <n v="14752"/>
    <s v="40167068"/>
    <s v="40167068"/>
    <m/>
    <m/>
    <n v="22656592"/>
    <m/>
    <m/>
    <m/>
    <s v="SOLFIN"/>
    <s v="SOLFIN"/>
    <s v="CCMS"/>
    <n v="21319043"/>
    <n v="7412.38"/>
    <m/>
    <s v="N"/>
    <n v="29"/>
    <d v="2023-07-03T19:02:09"/>
    <s v="Y"/>
    <s v="Court Fee"/>
    <s v="Care Remuneration Hourly Rates"/>
    <s v="Non Expert Disbursement"/>
    <s v="XXX"/>
    <s v="Y"/>
    <n v="167"/>
    <n v="0"/>
    <x v="3"/>
    <s v="VALIDATED"/>
    <n v="1"/>
    <s v="01.11.80.305.6300.0000"/>
    <n v="167"/>
    <s v="11"/>
    <s v="6300"/>
    <n v="33459.28"/>
    <n v="167"/>
    <s v="CREDITOR"/>
    <n v="0"/>
    <n v="0"/>
    <n v="0"/>
    <n v="0"/>
    <n v="167"/>
  </r>
  <r>
    <n v="40167068"/>
    <s v="N"/>
    <n v="21319043"/>
    <s v="3000010786360008"/>
    <s v="CIVIL"/>
    <d v="2023-06-09T00:00:00"/>
    <d v="2023-07-03T19:01:49"/>
    <m/>
    <d v="2023-07-03T00:00:00"/>
    <n v="418"/>
    <n v="14752"/>
    <s v="40167068"/>
    <s v="40167068"/>
    <m/>
    <m/>
    <n v="22656592"/>
    <m/>
    <m/>
    <m/>
    <s v="SOLFIN"/>
    <s v="SOLFIN"/>
    <s v="CCMS"/>
    <n v="21319043"/>
    <n v="7412.38"/>
    <m/>
    <s v="N"/>
    <n v="32"/>
    <d v="2023-07-03T19:02:09"/>
    <s v="Y"/>
    <s v="Child psychiatrist"/>
    <s v="Care Remuneration Hourly Rates"/>
    <s v="Expert Disbursement"/>
    <s v="XXX"/>
    <s v="Y"/>
    <n v="270"/>
    <n v="54"/>
    <x v="3"/>
    <s v="VALIDATED"/>
    <n v="1"/>
    <s v="01.11.80.305.6300.0000"/>
    <n v="270"/>
    <s v="11"/>
    <s v="6300"/>
    <n v="33459.28"/>
    <n v="270"/>
    <s v="CREDITOR"/>
    <n v="0"/>
    <n v="0"/>
    <n v="0"/>
    <n v="0"/>
    <n v="270"/>
  </r>
  <r>
    <n v="61283867"/>
    <s v="N"/>
    <n v="21338268"/>
    <s v="3000015446240006"/>
    <s v="CIVIL"/>
    <d v="2023-06-26T00:00:00"/>
    <d v="2023-07-06T19:21:01"/>
    <m/>
    <d v="2023-07-06T00:00:00"/>
    <n v="418"/>
    <n v="14752"/>
    <s v="61283867"/>
    <s v="61283867"/>
    <m/>
    <m/>
    <n v="22757658"/>
    <m/>
    <m/>
    <m/>
    <s v="SOLFIN"/>
    <s v="SOLFIN"/>
    <s v="CCMS"/>
    <n v="21338268"/>
    <n v="7341.02"/>
    <m/>
    <s v="N"/>
    <n v="6"/>
    <d v="2023-07-06T19:21:15"/>
    <s v="Y"/>
    <s v="Psychiatrist"/>
    <s v="Public Law Children"/>
    <s v="Expert Disbursement"/>
    <s v="MAT"/>
    <s v="Y"/>
    <n v="405"/>
    <n v="81"/>
    <x v="4"/>
    <s v="VALIDATED"/>
    <n v="1"/>
    <s v="01.11.80.308.6300.0000"/>
    <n v="405"/>
    <s v="11"/>
    <s v="6300"/>
    <n v="33459.28"/>
    <n v="405"/>
    <s v="CREDITOR"/>
    <n v="0"/>
    <n v="0"/>
    <n v="0"/>
    <n v="0"/>
    <n v="405"/>
  </r>
  <r>
    <n v="61431337"/>
    <s v="N"/>
    <n v="21331095"/>
    <s v="3000015566430002"/>
    <s v="CIVIL"/>
    <d v="2023-06-26T00:00:00"/>
    <d v="2023-07-05T19:01:47"/>
    <m/>
    <d v="2023-07-05T00:00:00"/>
    <n v="418"/>
    <n v="14752"/>
    <s v="61431337"/>
    <s v="61431337"/>
    <m/>
    <m/>
    <n v="22759804"/>
    <m/>
    <m/>
    <m/>
    <s v="SOLFIN"/>
    <s v="SOLFIN"/>
    <s v="CCMS"/>
    <n v="21331095"/>
    <n v="4483.97"/>
    <m/>
    <s v="N"/>
    <n v="5"/>
    <d v="2023-07-05T19:02:05"/>
    <s v="Y"/>
    <s v="Advocates Meeting"/>
    <s v="Public Law Children"/>
    <s v="Advocacy"/>
    <s v="MAT"/>
    <s v="Y"/>
    <n v="140.99"/>
    <n v="28.2"/>
    <x v="6"/>
    <s v="VALIDATED"/>
    <n v="1"/>
    <s v="01.11.80.308.6100.0000"/>
    <n v="140.99"/>
    <s v="11"/>
    <s v="6100"/>
    <n v="33459.28"/>
    <n v="140.99"/>
    <s v="CREDITOR"/>
    <n v="0"/>
    <n v="0"/>
    <n v="0"/>
    <n v="0"/>
    <n v="140.99"/>
  </r>
  <r>
    <n v="60959858"/>
    <s v="N"/>
    <n v="21328276"/>
    <s v="3000015173120002"/>
    <s v="CIVIL"/>
    <d v="2023-06-27T00:00:00"/>
    <d v="2023-07-04T19:00:44"/>
    <m/>
    <d v="2023-07-04T00:00:00"/>
    <n v="418"/>
    <n v="14752"/>
    <s v="60959858"/>
    <s v="60959858"/>
    <m/>
    <m/>
    <n v="22769790"/>
    <m/>
    <m/>
    <m/>
    <s v="SOLFIN"/>
    <s v="SOLFIN"/>
    <s v="CCMS"/>
    <n v="21328276"/>
    <n v="194.47"/>
    <m/>
    <s v="N"/>
    <n v="5"/>
    <d v="2023-07-04T19:01:11"/>
    <s v="Y"/>
    <s v="Preparation - other"/>
    <s v="Care Remuneration Hourly Rates"/>
    <s v="Profit Cost"/>
    <s v="KFT"/>
    <s v="Y"/>
    <n v="29.21"/>
    <n v="5.84"/>
    <x v="1"/>
    <s v="VALIDATED"/>
    <n v="1"/>
    <s v="01.11.80.308.6100.0000"/>
    <n v="29.21"/>
    <s v="11"/>
    <s v="6100"/>
    <n v="33459.28"/>
    <n v="29.21"/>
    <s v="CREDITOR"/>
    <n v="0"/>
    <n v="0"/>
    <n v="0"/>
    <n v="0"/>
    <n v="29.21"/>
  </r>
  <r>
    <n v="40167068"/>
    <s v="N"/>
    <n v="21324324"/>
    <s v="3000010786360003RC"/>
    <s v="CIVIL"/>
    <d v="2023-06-09T00:00:00"/>
    <d v="2023-07-03T19:42:50"/>
    <m/>
    <d v="2023-07-03T00:00:00"/>
    <n v="418"/>
    <n v="14752"/>
    <s v="40167068"/>
    <s v="40167068"/>
    <m/>
    <m/>
    <m/>
    <m/>
    <m/>
    <m/>
    <s v="SOLRECOUP"/>
    <s v="SOLRECOUP"/>
    <s v="POARECOUP"/>
    <n v="21324324"/>
    <n v="-32.4"/>
    <m/>
    <s v="Y"/>
    <n v="1"/>
    <d v="2023-07-03T19:42:51"/>
    <s v="N"/>
    <m/>
    <m/>
    <s v="Expert Disbursement"/>
    <m/>
    <s v="N"/>
    <n v="-32.4"/>
    <n v="0"/>
    <x v="3"/>
    <s v="VALIDATED"/>
    <n v="1"/>
    <s v="01.11.80.305.2013.0000"/>
    <n v="-32.4"/>
    <s v="11"/>
    <s v="2013"/>
    <n v="33459.28"/>
    <n v="-32.4"/>
    <s v="CREDITOR"/>
    <n v="0"/>
    <n v="0"/>
    <n v="-32.4"/>
    <n v="0"/>
    <n v="0"/>
  </r>
  <r>
    <n v="59839080"/>
    <s v="N"/>
    <n v="21324325"/>
    <s v="3000014203590001RC"/>
    <s v="CIVIL"/>
    <d v="2023-06-20T00:00:00"/>
    <d v="2023-07-03T19:42:50"/>
    <m/>
    <d v="2023-07-03T00:00:00"/>
    <n v="418"/>
    <n v="14752"/>
    <s v="59839080"/>
    <s v="59839080"/>
    <m/>
    <m/>
    <m/>
    <m/>
    <m/>
    <m/>
    <s v="SOLRECOUP"/>
    <s v="SOLRECOUP"/>
    <s v="POARECOUP"/>
    <n v="21324325"/>
    <n v="-177.84"/>
    <m/>
    <s v="Y"/>
    <n v="2"/>
    <d v="2023-07-03T19:42:51"/>
    <s v="N"/>
    <m/>
    <m/>
    <s v="Expert Disbursement"/>
    <m/>
    <s v="N"/>
    <n v="0"/>
    <n v="0"/>
    <x v="3"/>
    <s v="VALIDATED"/>
    <n v="1"/>
    <s v="01.11.80.000.0000.0000"/>
    <n v="0"/>
    <s v="11"/>
    <s v="0000"/>
    <n v="33459.28"/>
    <n v="0"/>
    <s v="CREDITOR"/>
    <n v="0"/>
    <n v="0"/>
    <n v="0"/>
    <n v="0"/>
    <n v="0"/>
  </r>
  <r>
    <n v="59839080"/>
    <s v="N"/>
    <n v="21324325"/>
    <s v="3000014203590001RC"/>
    <s v="CIVIL"/>
    <d v="2023-06-20T00:00:00"/>
    <d v="2023-07-03T19:42:50"/>
    <m/>
    <d v="2023-07-03T00:00:00"/>
    <n v="418"/>
    <n v="14752"/>
    <s v="59839080"/>
    <s v="59839080"/>
    <m/>
    <m/>
    <m/>
    <m/>
    <m/>
    <m/>
    <s v="SOLRECOUP"/>
    <s v="SOLRECOUP"/>
    <s v="POARECOUP"/>
    <n v="21324325"/>
    <n v="-177.84"/>
    <m/>
    <s v="Y"/>
    <n v="1"/>
    <d v="2023-07-03T19:42:51"/>
    <s v="N"/>
    <m/>
    <m/>
    <s v="Expert Disbursement"/>
    <m/>
    <s v="N"/>
    <n v="-177.84"/>
    <n v="0"/>
    <x v="3"/>
    <s v="VALIDATED"/>
    <n v="1"/>
    <s v="01.11.80.308.2013.0000"/>
    <n v="-177.84"/>
    <s v="11"/>
    <s v="2013"/>
    <n v="33459.28"/>
    <n v="-177.84"/>
    <s v="CREDITOR"/>
    <n v="0"/>
    <n v="0"/>
    <n v="-177.84"/>
    <n v="0"/>
    <n v="0"/>
  </r>
  <r>
    <n v="40167068"/>
    <s v="N"/>
    <n v="21324326"/>
    <s v="3000010786360004RC"/>
    <s v="CIVIL"/>
    <d v="2023-06-09T00:00:00"/>
    <d v="2023-07-03T19:42:50"/>
    <m/>
    <d v="2023-07-03T00:00:00"/>
    <n v="418"/>
    <n v="14752"/>
    <s v="40167068"/>
    <s v="40167068"/>
    <m/>
    <m/>
    <m/>
    <m/>
    <m/>
    <m/>
    <s v="SOLRECOUP"/>
    <s v="SOLRECOUP"/>
    <s v="POARECOUP"/>
    <n v="21324326"/>
    <n v="-259.2"/>
    <m/>
    <s v="Y"/>
    <n v="1"/>
    <d v="2023-07-03T19:42:51"/>
    <s v="N"/>
    <m/>
    <m/>
    <s v="Expert Disbursement"/>
    <m/>
    <s v="N"/>
    <n v="-259.2"/>
    <n v="0"/>
    <x v="3"/>
    <s v="VALIDATED"/>
    <n v="1"/>
    <s v="01.11.80.305.2013.0000"/>
    <n v="-259.2"/>
    <s v="11"/>
    <s v="2013"/>
    <n v="33459.28"/>
    <n v="-259.2"/>
    <s v="CREDITOR"/>
    <n v="0"/>
    <n v="0"/>
    <n v="-259.2"/>
    <n v="0"/>
    <n v="0"/>
  </r>
  <r>
    <n v="40167068"/>
    <s v="N"/>
    <n v="21324326"/>
    <s v="3000010786360004RC"/>
    <s v="CIVIL"/>
    <d v="2023-06-09T00:00:00"/>
    <d v="2023-07-03T19:42:50"/>
    <m/>
    <d v="2023-07-03T00:00:00"/>
    <n v="418"/>
    <n v="14752"/>
    <s v="40167068"/>
    <s v="40167068"/>
    <m/>
    <m/>
    <m/>
    <m/>
    <m/>
    <m/>
    <s v="SOLRECOUP"/>
    <s v="SOLRECOUP"/>
    <s v="POARECOUP"/>
    <n v="21324326"/>
    <n v="-259.2"/>
    <m/>
    <s v="Y"/>
    <n v="2"/>
    <d v="2023-07-03T19:42:51"/>
    <s v="N"/>
    <m/>
    <m/>
    <s v="Expert Disbursement"/>
    <m/>
    <s v="N"/>
    <n v="0"/>
    <n v="0"/>
    <x v="3"/>
    <s v="VALIDATED"/>
    <n v="1"/>
    <s v="01.11.80.000.0000.0000"/>
    <n v="0"/>
    <s v="11"/>
    <s v="0000"/>
    <n v="33459.28"/>
    <n v="0"/>
    <s v="CREDITOR"/>
    <n v="0"/>
    <n v="0"/>
    <n v="0"/>
    <n v="0"/>
    <n v="0"/>
  </r>
  <r>
    <n v="40167068"/>
    <s v="N"/>
    <n v="21324327"/>
    <s v="3000010786360005RC"/>
    <s v="CIVIL"/>
    <d v="2023-06-09T00:00:00"/>
    <d v="2023-07-03T19:42:50"/>
    <m/>
    <d v="2023-07-03T00:00:00"/>
    <n v="418"/>
    <n v="14752"/>
    <s v="40167068"/>
    <s v="40167068"/>
    <m/>
    <m/>
    <m/>
    <m/>
    <m/>
    <m/>
    <s v="SOLRECOUP"/>
    <s v="SOLRECOUP"/>
    <s v="POARECOUP"/>
    <n v="21324327"/>
    <n v="-324"/>
    <m/>
    <s v="Y"/>
    <n v="1"/>
    <d v="2023-07-03T19:42:51"/>
    <s v="N"/>
    <m/>
    <m/>
    <s v="Expert Disbursement"/>
    <m/>
    <s v="N"/>
    <n v="-324"/>
    <n v="0"/>
    <x v="3"/>
    <s v="VALIDATED"/>
    <n v="1"/>
    <s v="01.11.80.305.2013.0000"/>
    <n v="-324"/>
    <s v="11"/>
    <s v="2013"/>
    <n v="33459.28"/>
    <n v="-324"/>
    <s v="CREDITOR"/>
    <n v="0"/>
    <n v="0"/>
    <n v="-324"/>
    <n v="0"/>
    <n v="0"/>
  </r>
  <r>
    <n v="40167068"/>
    <s v="N"/>
    <n v="21324327"/>
    <s v="3000010786360005RC"/>
    <s v="CIVIL"/>
    <d v="2023-06-09T00:00:00"/>
    <d v="2023-07-03T19:42:50"/>
    <m/>
    <d v="2023-07-03T00:00:00"/>
    <n v="418"/>
    <n v="14752"/>
    <s v="40167068"/>
    <s v="40167068"/>
    <m/>
    <m/>
    <m/>
    <m/>
    <m/>
    <m/>
    <s v="SOLRECOUP"/>
    <s v="SOLRECOUP"/>
    <s v="POARECOUP"/>
    <n v="21324327"/>
    <n v="-324"/>
    <m/>
    <s v="Y"/>
    <n v="2"/>
    <d v="2023-07-03T19:42:51"/>
    <s v="N"/>
    <m/>
    <m/>
    <s v="Expert Disbursement"/>
    <m/>
    <s v="N"/>
    <n v="0"/>
    <n v="0"/>
    <x v="3"/>
    <s v="VALIDATED"/>
    <n v="1"/>
    <s v="01.11.80.000.0000.0000"/>
    <n v="0"/>
    <s v="11"/>
    <s v="0000"/>
    <n v="33459.28"/>
    <n v="0"/>
    <s v="CREDITOR"/>
    <n v="0"/>
    <n v="0"/>
    <n v="0"/>
    <n v="0"/>
    <n v="0"/>
  </r>
  <r>
    <n v="59839080"/>
    <s v="N"/>
    <n v="21324328"/>
    <s v="3000014203590007RC"/>
    <s v="CIVIL"/>
    <d v="2023-06-20T00:00:00"/>
    <d v="2023-07-03T19:42:50"/>
    <m/>
    <d v="2023-07-03T00:00:00"/>
    <n v="418"/>
    <n v="14752"/>
    <s v="59839080"/>
    <s v="59839080"/>
    <m/>
    <m/>
    <m/>
    <m/>
    <m/>
    <m/>
    <s v="SOLRECOUP"/>
    <s v="SOLRECOUP"/>
    <s v="POARECOUP"/>
    <n v="21324328"/>
    <n v="-262.44"/>
    <m/>
    <s v="Y"/>
    <n v="1"/>
    <d v="2023-07-03T19:42:51"/>
    <s v="N"/>
    <m/>
    <m/>
    <s v="Expert Disbursement"/>
    <m/>
    <s v="N"/>
    <n v="-262.44"/>
    <n v="0"/>
    <x v="3"/>
    <s v="VALIDATED"/>
    <n v="1"/>
    <s v="01.11.80.308.2013.0000"/>
    <n v="-262.44"/>
    <s v="11"/>
    <s v="2013"/>
    <n v="33459.28"/>
    <n v="-262.44"/>
    <s v="CREDITOR"/>
    <n v="0"/>
    <n v="0"/>
    <n v="-262.44"/>
    <n v="0"/>
    <n v="0"/>
  </r>
  <r>
    <n v="59839080"/>
    <s v="N"/>
    <n v="21324328"/>
    <s v="3000014203590007RC"/>
    <s v="CIVIL"/>
    <d v="2023-06-20T00:00:00"/>
    <d v="2023-07-03T19:42:50"/>
    <m/>
    <d v="2023-07-03T00:00:00"/>
    <n v="418"/>
    <n v="14752"/>
    <s v="59839080"/>
    <s v="59839080"/>
    <m/>
    <m/>
    <m/>
    <m/>
    <m/>
    <m/>
    <s v="SOLRECOUP"/>
    <s v="SOLRECOUP"/>
    <s v="POARECOUP"/>
    <n v="21324328"/>
    <n v="-262.44"/>
    <m/>
    <s v="Y"/>
    <n v="2"/>
    <d v="2023-07-03T19:42:51"/>
    <s v="N"/>
    <m/>
    <m/>
    <s v="Expert Disbursement"/>
    <m/>
    <s v="N"/>
    <n v="0"/>
    <n v="0"/>
    <x v="3"/>
    <s v="VALIDATED"/>
    <n v="1"/>
    <s v="01.11.80.000.0000.0000"/>
    <n v="0"/>
    <s v="11"/>
    <s v="0000"/>
    <n v="33459.28"/>
    <n v="0"/>
    <s v="CREDITOR"/>
    <n v="0"/>
    <n v="0"/>
    <n v="0"/>
    <n v="0"/>
    <n v="0"/>
  </r>
  <r>
    <n v="59839080"/>
    <s v="N"/>
    <n v="21324329"/>
    <s v="3000014203590013RC"/>
    <s v="CIVIL"/>
    <d v="2023-06-20T00:00:00"/>
    <d v="2023-07-03T19:42:50"/>
    <m/>
    <d v="2023-07-03T00:00:00"/>
    <n v="418"/>
    <n v="14752"/>
    <s v="59839080"/>
    <s v="59839080"/>
    <m/>
    <m/>
    <m/>
    <m/>
    <m/>
    <m/>
    <s v="SOLRECOUP"/>
    <s v="SOLRECOUP"/>
    <s v="POARECOUP"/>
    <n v="21324329"/>
    <n v="-172.8"/>
    <m/>
    <s v="Y"/>
    <n v="1"/>
    <d v="2023-07-03T19:42:51"/>
    <s v="N"/>
    <m/>
    <m/>
    <s v="Expert Disbursement"/>
    <m/>
    <s v="N"/>
    <n v="-172.8"/>
    <n v="0"/>
    <x v="3"/>
    <s v="VALIDATED"/>
    <n v="1"/>
    <s v="01.11.80.308.2013.0000"/>
    <n v="-172.8"/>
    <s v="11"/>
    <s v="2013"/>
    <n v="33459.28"/>
    <n v="-172.8"/>
    <s v="CREDITOR"/>
    <n v="0"/>
    <n v="0"/>
    <n v="-172.8"/>
    <n v="0"/>
    <n v="0"/>
  </r>
  <r>
    <n v="59839080"/>
    <s v="N"/>
    <n v="21324329"/>
    <s v="3000014203590013RC"/>
    <s v="CIVIL"/>
    <d v="2023-06-20T00:00:00"/>
    <d v="2023-07-03T19:42:50"/>
    <m/>
    <d v="2023-07-03T00:00:00"/>
    <n v="418"/>
    <n v="14752"/>
    <s v="59839080"/>
    <s v="59839080"/>
    <m/>
    <m/>
    <m/>
    <m/>
    <m/>
    <m/>
    <s v="SOLRECOUP"/>
    <s v="SOLRECOUP"/>
    <s v="POARECOUP"/>
    <n v="21324329"/>
    <n v="-172.8"/>
    <m/>
    <s v="Y"/>
    <n v="2"/>
    <d v="2023-07-03T19:42:51"/>
    <s v="N"/>
    <m/>
    <m/>
    <s v="Expert Disbursement"/>
    <m/>
    <s v="N"/>
    <n v="0"/>
    <n v="0"/>
    <x v="3"/>
    <s v="VALIDATED"/>
    <n v="1"/>
    <s v="01.11.80.000.0000.0000"/>
    <n v="0"/>
    <s v="11"/>
    <s v="0000"/>
    <n v="33459.28"/>
    <n v="0"/>
    <s v="CREDITOR"/>
    <n v="0"/>
    <n v="0"/>
    <n v="0"/>
    <n v="0"/>
    <n v="0"/>
  </r>
  <r>
    <n v="59839080"/>
    <s v="N"/>
    <n v="21324330"/>
    <s v="3000014203590016RC"/>
    <s v="CIVIL"/>
    <d v="2023-06-20T00:00:00"/>
    <d v="2023-07-03T19:42:50"/>
    <m/>
    <d v="2023-07-03T00:00:00"/>
    <n v="418"/>
    <n v="14752"/>
    <s v="59839080"/>
    <s v="59839080"/>
    <m/>
    <m/>
    <m/>
    <m/>
    <m/>
    <m/>
    <s v="SOLRECOUP"/>
    <s v="SOLRECOUP"/>
    <s v="POARECOUP"/>
    <n v="21324330"/>
    <n v="-447.12"/>
    <m/>
    <s v="Y"/>
    <n v="1"/>
    <d v="2023-07-03T19:42:51"/>
    <s v="N"/>
    <m/>
    <m/>
    <s v="Expert Disbursement"/>
    <m/>
    <s v="N"/>
    <n v="-447.12"/>
    <n v="0"/>
    <x v="3"/>
    <s v="VALIDATED"/>
    <n v="1"/>
    <s v="01.11.80.308.2013.0000"/>
    <n v="-447.12"/>
    <s v="11"/>
    <s v="2013"/>
    <n v="33459.28"/>
    <n v="-447.12"/>
    <s v="CREDITOR"/>
    <n v="0"/>
    <n v="0"/>
    <n v="-447.12"/>
    <n v="0"/>
    <n v="0"/>
  </r>
  <r>
    <n v="59839080"/>
    <s v="N"/>
    <n v="21324330"/>
    <s v="3000014203590016RC"/>
    <s v="CIVIL"/>
    <d v="2023-06-20T00:00:00"/>
    <d v="2023-07-03T19:42:50"/>
    <m/>
    <d v="2023-07-03T00:00:00"/>
    <n v="418"/>
    <n v="14752"/>
    <s v="59839080"/>
    <s v="59839080"/>
    <m/>
    <m/>
    <m/>
    <m/>
    <m/>
    <m/>
    <s v="SOLRECOUP"/>
    <s v="SOLRECOUP"/>
    <s v="POARECOUP"/>
    <n v="21324330"/>
    <n v="-447.12"/>
    <m/>
    <s v="Y"/>
    <n v="2"/>
    <d v="2023-07-03T19:42:51"/>
    <s v="N"/>
    <m/>
    <m/>
    <s v="Expert Disbursement"/>
    <m/>
    <s v="N"/>
    <n v="0"/>
    <n v="0"/>
    <x v="3"/>
    <s v="VALIDATED"/>
    <n v="1"/>
    <s v="01.11.80.000.0000.0000"/>
    <n v="0"/>
    <s v="11"/>
    <s v="0000"/>
    <n v="33459.28"/>
    <n v="0"/>
    <s v="CREDITOR"/>
    <n v="0"/>
    <n v="0"/>
    <n v="0"/>
    <n v="0"/>
    <n v="0"/>
  </r>
  <r>
    <n v="59839080"/>
    <s v="N"/>
    <n v="21324331"/>
    <s v="3000014203590017RC"/>
    <s v="CIVIL"/>
    <d v="2023-06-20T00:00:00"/>
    <d v="2023-07-03T19:42:50"/>
    <m/>
    <d v="2023-07-03T00:00:00"/>
    <n v="418"/>
    <n v="14752"/>
    <s v="59839080"/>
    <s v="59839080"/>
    <m/>
    <m/>
    <m/>
    <m/>
    <m/>
    <m/>
    <s v="SOLRECOUP"/>
    <s v="SOLRECOUP"/>
    <s v="POARECOUP"/>
    <n v="21324331"/>
    <n v="-194.4"/>
    <m/>
    <s v="Y"/>
    <n v="1"/>
    <d v="2023-07-03T19:42:51"/>
    <s v="N"/>
    <m/>
    <m/>
    <s v="Expert Disbursement"/>
    <m/>
    <s v="N"/>
    <n v="-194.4"/>
    <n v="0"/>
    <x v="3"/>
    <s v="VALIDATED"/>
    <n v="1"/>
    <s v="01.11.80.308.2013.0000"/>
    <n v="-194.4"/>
    <s v="11"/>
    <s v="2013"/>
    <n v="33459.28"/>
    <n v="-194.4"/>
    <s v="CREDITOR"/>
    <n v="0"/>
    <n v="0"/>
    <n v="-194.4"/>
    <n v="0"/>
    <n v="0"/>
  </r>
  <r>
    <n v="59839080"/>
    <s v="N"/>
    <n v="21324331"/>
    <s v="3000014203590017RC"/>
    <s v="CIVIL"/>
    <d v="2023-06-20T00:00:00"/>
    <d v="2023-07-03T19:42:50"/>
    <m/>
    <d v="2023-07-03T00:00:00"/>
    <n v="418"/>
    <n v="14752"/>
    <s v="59839080"/>
    <s v="59839080"/>
    <m/>
    <m/>
    <m/>
    <m/>
    <m/>
    <m/>
    <s v="SOLRECOUP"/>
    <s v="SOLRECOUP"/>
    <s v="POARECOUP"/>
    <n v="21324331"/>
    <n v="-194.4"/>
    <m/>
    <s v="Y"/>
    <n v="2"/>
    <d v="2023-07-03T19:42:51"/>
    <s v="N"/>
    <m/>
    <m/>
    <s v="Expert Disbursement"/>
    <m/>
    <s v="N"/>
    <n v="0"/>
    <n v="0"/>
    <x v="3"/>
    <s v="VALIDATED"/>
    <n v="1"/>
    <s v="01.11.80.000.0000.0000"/>
    <n v="0"/>
    <s v="11"/>
    <s v="0000"/>
    <n v="33459.28"/>
    <n v="0"/>
    <s v="CREDITOR"/>
    <n v="0"/>
    <n v="0"/>
    <n v="0"/>
    <n v="0"/>
    <n v="0"/>
  </r>
  <r>
    <n v="59839080"/>
    <s v="N"/>
    <n v="21324332"/>
    <s v="3000014203590009RC"/>
    <s v="CIVIL"/>
    <d v="2023-06-20T00:00:00"/>
    <d v="2023-07-03T19:42:50"/>
    <m/>
    <d v="2023-07-03T00:00:00"/>
    <n v="418"/>
    <n v="14752"/>
    <s v="59839080"/>
    <s v="59839080"/>
    <m/>
    <m/>
    <m/>
    <m/>
    <m/>
    <m/>
    <s v="SOLRECOUP"/>
    <s v="SOLRECOUP"/>
    <s v="POARECOUP"/>
    <n v="21324332"/>
    <n v="-144"/>
    <m/>
    <s v="Y"/>
    <n v="1"/>
    <d v="2023-07-03T19:42:51"/>
    <s v="N"/>
    <m/>
    <m/>
    <s v="Expert Disbursement"/>
    <m/>
    <s v="N"/>
    <n v="-144"/>
    <n v="0"/>
    <x v="3"/>
    <s v="VALIDATED"/>
    <n v="1"/>
    <s v="01.11.80.308.2013.0000"/>
    <n v="-144"/>
    <s v="11"/>
    <s v="2013"/>
    <n v="33459.28"/>
    <n v="-144"/>
    <s v="CREDITOR"/>
    <n v="0"/>
    <n v="0"/>
    <n v="-144"/>
    <n v="0"/>
    <n v="0"/>
  </r>
  <r>
    <n v="59839080"/>
    <s v="N"/>
    <n v="21324332"/>
    <s v="3000014203590009RC"/>
    <s v="CIVIL"/>
    <d v="2023-06-20T00:00:00"/>
    <d v="2023-07-03T19:42:50"/>
    <m/>
    <d v="2023-07-03T00:00:00"/>
    <n v="418"/>
    <n v="14752"/>
    <s v="59839080"/>
    <s v="59839080"/>
    <m/>
    <m/>
    <m/>
    <m/>
    <m/>
    <m/>
    <s v="SOLRECOUP"/>
    <s v="SOLRECOUP"/>
    <s v="POARECOUP"/>
    <n v="21324332"/>
    <n v="-144"/>
    <m/>
    <s v="Y"/>
    <n v="2"/>
    <d v="2023-07-03T19:42:51"/>
    <s v="N"/>
    <m/>
    <m/>
    <s v="Expert Disbursement"/>
    <m/>
    <s v="N"/>
    <n v="0"/>
    <n v="0"/>
    <x v="3"/>
    <s v="VALIDATED"/>
    <n v="1"/>
    <s v="01.11.80.000.0000.0000"/>
    <n v="0"/>
    <s v="11"/>
    <s v="0000"/>
    <n v="33459.28"/>
    <n v="0"/>
    <s v="CREDITOR"/>
    <n v="0"/>
    <n v="0"/>
    <n v="0"/>
    <n v="0"/>
    <n v="0"/>
  </r>
  <r>
    <n v="59839080"/>
    <s v="N"/>
    <n v="21324333"/>
    <s v="3000014203590012RC"/>
    <s v="CIVIL"/>
    <d v="2023-06-20T00:00:00"/>
    <d v="2023-07-03T19:42:50"/>
    <m/>
    <d v="2023-07-03T00:00:00"/>
    <n v="418"/>
    <n v="14752"/>
    <s v="59839080"/>
    <s v="59839080"/>
    <m/>
    <m/>
    <m/>
    <m/>
    <m/>
    <m/>
    <s v="SOLRECOUP"/>
    <s v="SOLRECOUP"/>
    <s v="POARECOUP"/>
    <n v="21324333"/>
    <n v="-106.7"/>
    <m/>
    <s v="Y"/>
    <n v="1"/>
    <d v="2023-07-03T19:42:51"/>
    <s v="N"/>
    <m/>
    <m/>
    <s v="Expert Disbursement"/>
    <m/>
    <s v="N"/>
    <n v="-106.7"/>
    <n v="0"/>
    <x v="3"/>
    <s v="VALIDATED"/>
    <n v="1"/>
    <s v="01.11.80.308.2013.0000"/>
    <n v="-106.7"/>
    <s v="11"/>
    <s v="2013"/>
    <n v="33459.28"/>
    <n v="-106.7"/>
    <s v="CREDITOR"/>
    <n v="0"/>
    <n v="0"/>
    <n v="-106.7"/>
    <n v="0"/>
    <n v="0"/>
  </r>
  <r>
    <n v="59839080"/>
    <s v="N"/>
    <n v="21324333"/>
    <s v="3000014203590012RC"/>
    <s v="CIVIL"/>
    <d v="2023-06-20T00:00:00"/>
    <d v="2023-07-03T19:42:50"/>
    <m/>
    <d v="2023-07-03T00:00:00"/>
    <n v="418"/>
    <n v="14752"/>
    <s v="59839080"/>
    <s v="59839080"/>
    <m/>
    <m/>
    <m/>
    <m/>
    <m/>
    <m/>
    <s v="SOLRECOUP"/>
    <s v="SOLRECOUP"/>
    <s v="POARECOUP"/>
    <n v="21324333"/>
    <n v="-106.7"/>
    <m/>
    <s v="Y"/>
    <n v="2"/>
    <d v="2023-07-03T19:42:51"/>
    <s v="N"/>
    <m/>
    <m/>
    <s v="Expert Disbursement"/>
    <m/>
    <s v="N"/>
    <n v="0"/>
    <n v="0"/>
    <x v="3"/>
    <s v="VALIDATED"/>
    <n v="1"/>
    <s v="01.11.80.000.0000.0000"/>
    <n v="0"/>
    <s v="11"/>
    <s v="0000"/>
    <n v="33459.28"/>
    <n v="0"/>
    <s v="CREDITOR"/>
    <n v="0"/>
    <n v="0"/>
    <n v="0"/>
    <n v="0"/>
    <n v="0"/>
  </r>
  <r>
    <n v="59839080"/>
    <s v="N"/>
    <n v="21324334"/>
    <s v="3000014203590015RC"/>
    <s v="CIVIL"/>
    <d v="2023-06-20T00:00:00"/>
    <d v="2023-07-03T19:42:50"/>
    <m/>
    <d v="2023-07-03T00:00:00"/>
    <n v="418"/>
    <n v="14752"/>
    <s v="59839080"/>
    <s v="59839080"/>
    <m/>
    <m/>
    <m/>
    <m/>
    <m/>
    <m/>
    <s v="SOLRECOUP"/>
    <s v="SOLRECOUP"/>
    <s v="POARECOUP"/>
    <n v="21324334"/>
    <n v="-227.77"/>
    <m/>
    <s v="Y"/>
    <n v="1"/>
    <d v="2023-07-03T19:42:51"/>
    <s v="N"/>
    <m/>
    <m/>
    <s v="Expert Disbursement"/>
    <m/>
    <s v="N"/>
    <n v="-227.77"/>
    <n v="0"/>
    <x v="3"/>
    <s v="VALIDATED"/>
    <n v="1"/>
    <s v="01.11.80.308.2013.0000"/>
    <n v="-227.77"/>
    <s v="11"/>
    <s v="2013"/>
    <n v="33459.28"/>
    <n v="-227.77"/>
    <s v="CREDITOR"/>
    <n v="0"/>
    <n v="0"/>
    <n v="-227.77"/>
    <n v="0"/>
    <n v="0"/>
  </r>
  <r>
    <n v="59839080"/>
    <s v="N"/>
    <n v="21324334"/>
    <s v="3000014203590015RC"/>
    <s v="CIVIL"/>
    <d v="2023-06-20T00:00:00"/>
    <d v="2023-07-03T19:42:50"/>
    <m/>
    <d v="2023-07-03T00:00:00"/>
    <n v="418"/>
    <n v="14752"/>
    <s v="59839080"/>
    <s v="59839080"/>
    <m/>
    <m/>
    <m/>
    <m/>
    <m/>
    <m/>
    <s v="SOLRECOUP"/>
    <s v="SOLRECOUP"/>
    <s v="POARECOUP"/>
    <n v="21324334"/>
    <n v="-227.77"/>
    <m/>
    <s v="Y"/>
    <n v="2"/>
    <d v="2023-07-03T19:42:51"/>
    <s v="N"/>
    <m/>
    <m/>
    <s v="Expert Disbursement"/>
    <m/>
    <s v="N"/>
    <n v="0"/>
    <n v="0"/>
    <x v="3"/>
    <s v="VALIDATED"/>
    <n v="1"/>
    <s v="01.11.80.000.0000.0000"/>
    <n v="0"/>
    <s v="11"/>
    <s v="0000"/>
    <n v="33459.28"/>
    <n v="0"/>
    <s v="CREDITOR"/>
    <n v="0"/>
    <n v="0"/>
    <n v="0"/>
    <n v="0"/>
    <n v="0"/>
  </r>
  <r>
    <n v="59839080"/>
    <s v="N"/>
    <n v="21324335"/>
    <s v="3000014203590010RC"/>
    <s v="CIVIL"/>
    <d v="2023-06-20T00:00:00"/>
    <d v="2023-07-03T19:42:50"/>
    <m/>
    <d v="2023-07-03T00:00:00"/>
    <n v="418"/>
    <n v="14752"/>
    <s v="59839080"/>
    <s v="59839080"/>
    <m/>
    <m/>
    <m/>
    <m/>
    <m/>
    <m/>
    <s v="SOLRECOUP"/>
    <s v="SOLRECOUP"/>
    <s v="POARECOUP"/>
    <n v="21324335"/>
    <n v="-106.92"/>
    <m/>
    <s v="Y"/>
    <n v="1"/>
    <d v="2023-07-03T19:42:51"/>
    <s v="N"/>
    <m/>
    <m/>
    <s v="Expert Disbursement"/>
    <m/>
    <s v="N"/>
    <n v="-106.92"/>
    <n v="0"/>
    <x v="3"/>
    <s v="VALIDATED"/>
    <n v="1"/>
    <s v="01.11.80.308.2013.0000"/>
    <n v="-106.92"/>
    <s v="11"/>
    <s v="2013"/>
    <n v="33459.28"/>
    <n v="-106.92"/>
    <s v="CREDITOR"/>
    <n v="0"/>
    <n v="0"/>
    <n v="-106.92"/>
    <n v="0"/>
    <n v="0"/>
  </r>
  <r>
    <n v="59839080"/>
    <s v="N"/>
    <n v="21324335"/>
    <s v="3000014203590010RC"/>
    <s v="CIVIL"/>
    <d v="2023-06-20T00:00:00"/>
    <d v="2023-07-03T19:42:50"/>
    <m/>
    <d v="2023-07-03T00:00:00"/>
    <n v="418"/>
    <n v="14752"/>
    <s v="59839080"/>
    <s v="59839080"/>
    <m/>
    <m/>
    <m/>
    <m/>
    <m/>
    <m/>
    <s v="SOLRECOUP"/>
    <s v="SOLRECOUP"/>
    <s v="POARECOUP"/>
    <n v="21324335"/>
    <n v="-106.92"/>
    <m/>
    <s v="Y"/>
    <n v="2"/>
    <d v="2023-07-03T19:42:51"/>
    <s v="N"/>
    <m/>
    <m/>
    <s v="Expert Disbursement"/>
    <m/>
    <s v="N"/>
    <n v="0"/>
    <n v="0"/>
    <x v="3"/>
    <s v="VALIDATED"/>
    <n v="1"/>
    <s v="01.11.80.000.0000.0000"/>
    <n v="0"/>
    <s v="11"/>
    <s v="0000"/>
    <n v="33459.28"/>
    <n v="0"/>
    <s v="CREDITOR"/>
    <n v="0"/>
    <n v="0"/>
    <n v="0"/>
    <n v="0"/>
    <n v="0"/>
  </r>
  <r>
    <n v="59839080"/>
    <s v="N"/>
    <n v="21324336"/>
    <s v="3000014203590021RC"/>
    <s v="CIVIL"/>
    <d v="2023-06-20T00:00:00"/>
    <d v="2023-07-03T19:42:50"/>
    <m/>
    <d v="2023-07-03T00:00:00"/>
    <n v="418"/>
    <n v="14752"/>
    <s v="59839080"/>
    <s v="59839080"/>
    <m/>
    <m/>
    <m/>
    <m/>
    <m/>
    <m/>
    <s v="SOLRECOUP"/>
    <s v="SOLRECOUP"/>
    <s v="POARECOUP"/>
    <n v="21324336"/>
    <n v="-49.25"/>
    <m/>
    <s v="Y"/>
    <n v="1"/>
    <d v="2023-07-03T19:42:51"/>
    <s v="N"/>
    <m/>
    <m/>
    <s v="Expert Disbursement"/>
    <m/>
    <s v="N"/>
    <n v="-41.04"/>
    <n v="0"/>
    <x v="3"/>
    <s v="VALIDATED"/>
    <n v="1"/>
    <s v="01.11.80.308.2013.0000"/>
    <n v="-41.04"/>
    <s v="11"/>
    <s v="2013"/>
    <n v="33459.28"/>
    <n v="-41.04"/>
    <s v="CREDITOR"/>
    <n v="0"/>
    <n v="0"/>
    <n v="-41.04"/>
    <n v="0"/>
    <n v="0"/>
  </r>
  <r>
    <n v="59839080"/>
    <s v="N"/>
    <n v="21324336"/>
    <s v="3000014203590021RC"/>
    <s v="CIVIL"/>
    <d v="2023-06-20T00:00:00"/>
    <d v="2023-07-03T19:42:50"/>
    <m/>
    <d v="2023-07-03T00:00:00"/>
    <n v="418"/>
    <n v="14752"/>
    <s v="59839080"/>
    <s v="59839080"/>
    <m/>
    <m/>
    <m/>
    <m/>
    <m/>
    <m/>
    <s v="SOLRECOUP"/>
    <s v="SOLRECOUP"/>
    <s v="POARECOUP"/>
    <n v="21324336"/>
    <n v="-49.25"/>
    <m/>
    <s v="Y"/>
    <n v="2"/>
    <d v="2023-07-03T19:42:51"/>
    <s v="N"/>
    <m/>
    <m/>
    <s v="Expert Disbursement"/>
    <m/>
    <s v="N"/>
    <n v="0"/>
    <n v="-8.210000000000001"/>
    <x v="3"/>
    <s v="VALIDATED"/>
    <n v="1"/>
    <s v="01.11.80.308.2013.0000"/>
    <n v="-8.210000000000001"/>
    <s v="11"/>
    <s v="2013"/>
    <n v="33459.28"/>
    <n v="-8.210000000000001"/>
    <s v="CREDITOR"/>
    <n v="0"/>
    <n v="0"/>
    <n v="-8.210000000000001"/>
    <n v="0"/>
    <n v="0"/>
  </r>
  <r>
    <n v="59839080"/>
    <s v="N"/>
    <n v="21324337"/>
    <s v="3000014203590011RC"/>
    <s v="CIVIL"/>
    <d v="2023-06-20T00:00:00"/>
    <d v="2023-07-03T19:42:50"/>
    <m/>
    <d v="2023-07-03T00:00:00"/>
    <n v="418"/>
    <n v="14752"/>
    <s v="59839080"/>
    <s v="59839080"/>
    <m/>
    <m/>
    <m/>
    <m/>
    <m/>
    <m/>
    <s v="SOLRECOUP"/>
    <s v="SOLRECOUP"/>
    <s v="POARECOUP"/>
    <n v="21324337"/>
    <n v="-1067.04"/>
    <m/>
    <s v="Y"/>
    <n v="1"/>
    <d v="2023-07-03T19:42:51"/>
    <s v="N"/>
    <m/>
    <m/>
    <s v="Expert Disbursement"/>
    <m/>
    <s v="N"/>
    <n v="-1067.04"/>
    <n v="0"/>
    <x v="3"/>
    <s v="VALIDATED"/>
    <n v="1"/>
    <s v="01.11.80.308.2013.0000"/>
    <n v="-1067.04"/>
    <s v="11"/>
    <s v="2013"/>
    <n v="33459.28"/>
    <n v="-1067.04"/>
    <s v="CREDITOR"/>
    <n v="0"/>
    <n v="0"/>
    <n v="-1067.04"/>
    <n v="0"/>
    <n v="0"/>
  </r>
  <r>
    <n v="59839080"/>
    <s v="N"/>
    <n v="21324337"/>
    <s v="3000014203590011RC"/>
    <s v="CIVIL"/>
    <d v="2023-06-20T00:00:00"/>
    <d v="2023-07-03T19:42:50"/>
    <m/>
    <d v="2023-07-03T00:00:00"/>
    <n v="418"/>
    <n v="14752"/>
    <s v="59839080"/>
    <s v="59839080"/>
    <m/>
    <m/>
    <m/>
    <m/>
    <m/>
    <m/>
    <s v="SOLRECOUP"/>
    <s v="SOLRECOUP"/>
    <s v="POARECOUP"/>
    <n v="21324337"/>
    <n v="-1067.04"/>
    <m/>
    <s v="Y"/>
    <n v="2"/>
    <d v="2023-07-03T19:42:51"/>
    <s v="N"/>
    <m/>
    <m/>
    <s v="Expert Disbursement"/>
    <m/>
    <s v="N"/>
    <n v="0"/>
    <n v="0"/>
    <x v="3"/>
    <s v="VALIDATED"/>
    <n v="1"/>
    <s v="01.11.80.000.0000.0000"/>
    <n v="0"/>
    <s v="11"/>
    <s v="0000"/>
    <n v="33459.28"/>
    <n v="0"/>
    <s v="CREDITOR"/>
    <n v="0"/>
    <n v="0"/>
    <n v="0"/>
    <n v="0"/>
    <n v="0"/>
  </r>
  <r>
    <n v="59839080"/>
    <s v="N"/>
    <n v="21324338"/>
    <s v="3000014203590014RC"/>
    <s v="CIVIL"/>
    <d v="2023-06-20T00:00:00"/>
    <d v="2023-07-03T19:42:50"/>
    <m/>
    <d v="2023-07-03T00:00:00"/>
    <n v="418"/>
    <n v="14752"/>
    <s v="59839080"/>
    <s v="59839080"/>
    <m/>
    <m/>
    <m/>
    <m/>
    <m/>
    <m/>
    <s v="SOLRECOUP"/>
    <s v="SOLRECOUP"/>
    <s v="POARECOUP"/>
    <n v="21324338"/>
    <n v="-287.28"/>
    <m/>
    <s v="Y"/>
    <n v="1"/>
    <d v="2023-07-03T19:42:51"/>
    <s v="N"/>
    <m/>
    <m/>
    <s v="Expert Disbursement"/>
    <m/>
    <s v="N"/>
    <n v="-287.28"/>
    <n v="0"/>
    <x v="3"/>
    <s v="VALIDATED"/>
    <n v="1"/>
    <s v="01.11.80.308.2013.0000"/>
    <n v="-287.28"/>
    <s v="11"/>
    <s v="2013"/>
    <n v="33459.28"/>
    <n v="-287.28"/>
    <s v="CREDITOR"/>
    <n v="0"/>
    <n v="0"/>
    <n v="-287.28"/>
    <n v="0"/>
    <n v="0"/>
  </r>
  <r>
    <n v="59839080"/>
    <s v="N"/>
    <n v="21324338"/>
    <s v="3000014203590014RC"/>
    <s v="CIVIL"/>
    <d v="2023-06-20T00:00:00"/>
    <d v="2023-07-03T19:42:50"/>
    <m/>
    <d v="2023-07-03T00:00:00"/>
    <n v="418"/>
    <n v="14752"/>
    <s v="59839080"/>
    <s v="59839080"/>
    <m/>
    <m/>
    <m/>
    <m/>
    <m/>
    <m/>
    <s v="SOLRECOUP"/>
    <s v="SOLRECOUP"/>
    <s v="POARECOUP"/>
    <n v="21324338"/>
    <n v="-287.28"/>
    <m/>
    <s v="Y"/>
    <n v="2"/>
    <d v="2023-07-03T19:42:51"/>
    <s v="N"/>
    <m/>
    <m/>
    <s v="Expert Disbursement"/>
    <m/>
    <s v="N"/>
    <n v="0"/>
    <n v="0"/>
    <x v="3"/>
    <s v="VALIDATED"/>
    <n v="1"/>
    <s v="01.11.80.000.0000.0000"/>
    <n v="0"/>
    <s v="11"/>
    <s v="0000"/>
    <n v="33459.28"/>
    <n v="0"/>
    <s v="CREDITOR"/>
    <n v="0"/>
    <n v="0"/>
    <n v="0"/>
    <n v="0"/>
    <n v="0"/>
  </r>
  <r>
    <n v="59839080"/>
    <s v="N"/>
    <n v="21324339"/>
    <s v="3000014203590018RC"/>
    <s v="CIVIL"/>
    <d v="2023-06-20T00:00:00"/>
    <d v="2023-07-03T19:42:50"/>
    <m/>
    <d v="2023-07-03T00:00:00"/>
    <n v="418"/>
    <n v="14752"/>
    <s v="59839080"/>
    <s v="59839080"/>
    <m/>
    <m/>
    <m/>
    <m/>
    <m/>
    <m/>
    <s v="SOLRECOUP"/>
    <s v="SOLRECOUP"/>
    <s v="POARECOUP"/>
    <n v="21324339"/>
    <n v="-302.4"/>
    <m/>
    <s v="Y"/>
    <n v="1"/>
    <d v="2023-07-03T19:42:51"/>
    <s v="N"/>
    <m/>
    <m/>
    <s v="Expert Disbursement"/>
    <m/>
    <s v="N"/>
    <n v="-302.4"/>
    <n v="0"/>
    <x v="3"/>
    <s v="VALIDATED"/>
    <n v="1"/>
    <s v="01.11.80.308.2013.0000"/>
    <n v="-302.4"/>
    <s v="11"/>
    <s v="2013"/>
    <n v="33459.28"/>
    <n v="-302.4"/>
    <s v="CREDITOR"/>
    <n v="0"/>
    <n v="0"/>
    <n v="-302.4"/>
    <n v="0"/>
    <n v="0"/>
  </r>
  <r>
    <n v="59839080"/>
    <s v="N"/>
    <n v="21324339"/>
    <s v="3000014203590018RC"/>
    <s v="CIVIL"/>
    <d v="2023-06-20T00:00:00"/>
    <d v="2023-07-03T19:42:50"/>
    <m/>
    <d v="2023-07-03T00:00:00"/>
    <n v="418"/>
    <n v="14752"/>
    <s v="59839080"/>
    <s v="59839080"/>
    <m/>
    <m/>
    <m/>
    <m/>
    <m/>
    <m/>
    <s v="SOLRECOUP"/>
    <s v="SOLRECOUP"/>
    <s v="POARECOUP"/>
    <n v="21324339"/>
    <n v="-302.4"/>
    <m/>
    <s v="Y"/>
    <n v="2"/>
    <d v="2023-07-03T19:42:51"/>
    <s v="N"/>
    <m/>
    <m/>
    <s v="Expert Disbursement"/>
    <m/>
    <s v="N"/>
    <n v="0"/>
    <n v="0"/>
    <x v="3"/>
    <s v="VALIDATED"/>
    <n v="1"/>
    <s v="01.11.80.000.0000.0000"/>
    <n v="0"/>
    <s v="11"/>
    <s v="0000"/>
    <n v="33459.28"/>
    <n v="0"/>
    <s v="CREDITOR"/>
    <n v="0"/>
    <n v="0"/>
    <n v="0"/>
    <n v="0"/>
    <n v="0"/>
  </r>
  <r>
    <n v="59839080"/>
    <s v="N"/>
    <n v="21324340"/>
    <s v="3000014203590019RC"/>
    <s v="CIVIL"/>
    <d v="2023-06-20T00:00:00"/>
    <d v="2023-07-03T19:42:50"/>
    <m/>
    <d v="2023-07-03T00:00:00"/>
    <n v="418"/>
    <n v="14752"/>
    <s v="59839080"/>
    <s v="59839080"/>
    <m/>
    <m/>
    <m/>
    <m/>
    <m/>
    <m/>
    <s v="SOLRECOUP"/>
    <s v="SOLRECOUP"/>
    <s v="POARECOUP"/>
    <n v="21324340"/>
    <n v="-48.6"/>
    <m/>
    <s v="Y"/>
    <n v="1"/>
    <d v="2023-07-03T19:42:51"/>
    <s v="N"/>
    <m/>
    <m/>
    <s v="Expert Disbursement"/>
    <m/>
    <s v="N"/>
    <n v="-40.5"/>
    <n v="0"/>
    <x v="3"/>
    <s v="VALIDATED"/>
    <n v="1"/>
    <s v="01.11.80.308.2013.0000"/>
    <n v="-40.5"/>
    <s v="11"/>
    <s v="2013"/>
    <n v="33459.28"/>
    <n v="-40.5"/>
    <s v="CREDITOR"/>
    <n v="0"/>
    <n v="0"/>
    <n v="-40.5"/>
    <n v="0"/>
    <n v="0"/>
  </r>
  <r>
    <n v="59839080"/>
    <s v="N"/>
    <n v="21324340"/>
    <s v="3000014203590019RC"/>
    <s v="CIVIL"/>
    <d v="2023-06-20T00:00:00"/>
    <d v="2023-07-03T19:42:50"/>
    <m/>
    <d v="2023-07-03T00:00:00"/>
    <n v="418"/>
    <n v="14752"/>
    <s v="59839080"/>
    <s v="59839080"/>
    <m/>
    <m/>
    <m/>
    <m/>
    <m/>
    <m/>
    <s v="SOLRECOUP"/>
    <s v="SOLRECOUP"/>
    <s v="POARECOUP"/>
    <n v="21324340"/>
    <n v="-48.6"/>
    <m/>
    <s v="Y"/>
    <n v="2"/>
    <d v="2023-07-03T19:42:51"/>
    <s v="N"/>
    <m/>
    <m/>
    <s v="Expert Disbursement"/>
    <m/>
    <s v="N"/>
    <n v="0"/>
    <n v="-8.1"/>
    <x v="3"/>
    <s v="VALIDATED"/>
    <n v="1"/>
    <s v="01.11.80.308.2013.0000"/>
    <n v="-8.1"/>
    <s v="11"/>
    <s v="2013"/>
    <n v="33459.28"/>
    <n v="-8.1"/>
    <s v="CREDITOR"/>
    <n v="0"/>
    <n v="0"/>
    <n v="-8.1"/>
    <n v="0"/>
    <n v="0"/>
  </r>
  <r>
    <n v="59839080"/>
    <s v="N"/>
    <n v="21324341"/>
    <s v="3000014203590023RC"/>
    <s v="CIVIL"/>
    <d v="2023-06-20T00:00:00"/>
    <d v="2023-07-03T19:42:50"/>
    <m/>
    <d v="2023-07-03T00:00:00"/>
    <n v="418"/>
    <n v="14752"/>
    <s v="59839080"/>
    <s v="59839080"/>
    <m/>
    <m/>
    <m/>
    <m/>
    <m/>
    <m/>
    <s v="SOLRECOUP"/>
    <s v="SOLRECOUP"/>
    <s v="POARECOUP"/>
    <n v="21324341"/>
    <n v="-540"/>
    <m/>
    <s v="Y"/>
    <n v="1"/>
    <d v="2023-07-03T19:42:51"/>
    <s v="N"/>
    <m/>
    <m/>
    <s v="Expert Disbursement"/>
    <m/>
    <s v="N"/>
    <n v="-540"/>
    <n v="0"/>
    <x v="3"/>
    <s v="VALIDATED"/>
    <n v="1"/>
    <s v="01.11.80.308.2013.0000"/>
    <n v="-540"/>
    <s v="11"/>
    <s v="2013"/>
    <n v="33459.28"/>
    <n v="-540"/>
    <s v="CREDITOR"/>
    <n v="0"/>
    <n v="0"/>
    <n v="-540"/>
    <n v="0"/>
    <n v="0"/>
  </r>
  <r>
    <n v="59839080"/>
    <s v="N"/>
    <n v="21324341"/>
    <s v="3000014203590023RC"/>
    <s v="CIVIL"/>
    <d v="2023-06-20T00:00:00"/>
    <d v="2023-07-03T19:42:50"/>
    <m/>
    <d v="2023-07-03T00:00:00"/>
    <n v="418"/>
    <n v="14752"/>
    <s v="59839080"/>
    <s v="59839080"/>
    <m/>
    <m/>
    <m/>
    <m/>
    <m/>
    <m/>
    <s v="SOLRECOUP"/>
    <s v="SOLRECOUP"/>
    <s v="POARECOUP"/>
    <n v="21324341"/>
    <n v="-540"/>
    <m/>
    <s v="Y"/>
    <n v="2"/>
    <d v="2023-07-03T19:42:51"/>
    <s v="N"/>
    <m/>
    <m/>
    <s v="Expert Disbursement"/>
    <m/>
    <s v="N"/>
    <n v="0"/>
    <n v="0"/>
    <x v="3"/>
    <s v="VALIDATED"/>
    <n v="1"/>
    <s v="01.11.80.000.0000.0000"/>
    <n v="0"/>
    <s v="11"/>
    <s v="0000"/>
    <n v="33459.28"/>
    <n v="0"/>
    <s v="CREDITOR"/>
    <n v="0"/>
    <n v="0"/>
    <n v="0"/>
    <n v="0"/>
    <n v="0"/>
  </r>
  <r>
    <n v="59839080"/>
    <s v="N"/>
    <n v="21324316"/>
    <s v="3000014203590002RC"/>
    <s v="CIVIL"/>
    <d v="2023-06-20T00:00:00"/>
    <d v="2023-07-03T19:42:50"/>
    <m/>
    <d v="2023-07-03T00:00:00"/>
    <n v="418"/>
    <n v="14752"/>
    <s v="59839080"/>
    <s v="59839080"/>
    <m/>
    <m/>
    <m/>
    <m/>
    <m/>
    <m/>
    <s v="SOLRECOUP"/>
    <s v="SOLRECOUP"/>
    <s v="POARECOUP"/>
    <n v="21324316"/>
    <n v="-367.2"/>
    <m/>
    <s v="Y"/>
    <n v="2"/>
    <d v="2023-07-03T19:42:51"/>
    <s v="N"/>
    <m/>
    <m/>
    <s v="Expert Disbursement"/>
    <m/>
    <s v="N"/>
    <n v="0"/>
    <n v="0"/>
    <x v="3"/>
    <s v="VALIDATED"/>
    <n v="1"/>
    <s v="01.11.80.000.0000.0000"/>
    <n v="0"/>
    <s v="11"/>
    <s v="0000"/>
    <n v="33459.28"/>
    <n v="0"/>
    <s v="CREDITOR"/>
    <n v="0"/>
    <n v="0"/>
    <n v="0"/>
    <n v="0"/>
    <n v="0"/>
  </r>
  <r>
    <n v="59839080"/>
    <s v="N"/>
    <n v="21324316"/>
    <s v="3000014203590002RC"/>
    <s v="CIVIL"/>
    <d v="2023-06-20T00:00:00"/>
    <d v="2023-07-03T19:42:50"/>
    <m/>
    <d v="2023-07-03T00:00:00"/>
    <n v="418"/>
    <n v="14752"/>
    <s v="59839080"/>
    <s v="59839080"/>
    <m/>
    <m/>
    <m/>
    <m/>
    <m/>
    <m/>
    <s v="SOLRECOUP"/>
    <s v="SOLRECOUP"/>
    <s v="POARECOUP"/>
    <n v="21324316"/>
    <n v="-367.2"/>
    <m/>
    <s v="Y"/>
    <n v="1"/>
    <d v="2023-07-03T19:42:51"/>
    <s v="N"/>
    <m/>
    <m/>
    <s v="Expert Disbursement"/>
    <m/>
    <s v="N"/>
    <n v="-367.2"/>
    <n v="0"/>
    <x v="3"/>
    <s v="VALIDATED"/>
    <n v="1"/>
    <s v="01.11.80.308.2013.0000"/>
    <n v="-367.2"/>
    <s v="11"/>
    <s v="2013"/>
    <n v="33459.28"/>
    <n v="-367.2"/>
    <s v="CREDITOR"/>
    <n v="0"/>
    <n v="0"/>
    <n v="-367.2"/>
    <n v="0"/>
    <n v="0"/>
  </r>
  <r>
    <n v="40167068"/>
    <s v="N"/>
    <n v="21324317"/>
    <s v="3000010786360001RC"/>
    <s v="CIVIL"/>
    <d v="2023-06-09T00:00:00"/>
    <d v="2023-07-03T19:42:50"/>
    <m/>
    <d v="2023-07-03T00:00:00"/>
    <n v="418"/>
    <n v="14752"/>
    <s v="40167068"/>
    <s v="40167068"/>
    <m/>
    <m/>
    <m/>
    <m/>
    <m/>
    <m/>
    <s v="SOLRECOUP"/>
    <s v="SOLRECOUP"/>
    <s v="POARECOUP"/>
    <n v="21324317"/>
    <n v="-210.17"/>
    <m/>
    <s v="Y"/>
    <n v="2"/>
    <d v="2023-07-03T19:42:51"/>
    <s v="N"/>
    <m/>
    <m/>
    <s v="Expert Disbursement"/>
    <m/>
    <s v="N"/>
    <n v="0"/>
    <n v="-35.03"/>
    <x v="3"/>
    <s v="VALIDATED"/>
    <n v="1"/>
    <s v="01.11.80.305.2013.0000"/>
    <n v="-35.03"/>
    <s v="11"/>
    <s v="2013"/>
    <n v="33459.28"/>
    <n v="-35.03"/>
    <s v="CREDITOR"/>
    <n v="0"/>
    <n v="0"/>
    <n v="-35.03"/>
    <n v="0"/>
    <n v="0"/>
  </r>
  <r>
    <n v="40167068"/>
    <s v="N"/>
    <n v="21324317"/>
    <s v="3000010786360001RC"/>
    <s v="CIVIL"/>
    <d v="2023-06-09T00:00:00"/>
    <d v="2023-07-03T19:42:50"/>
    <m/>
    <d v="2023-07-03T00:00:00"/>
    <n v="418"/>
    <n v="14752"/>
    <s v="40167068"/>
    <s v="40167068"/>
    <m/>
    <m/>
    <m/>
    <m/>
    <m/>
    <m/>
    <s v="SOLRECOUP"/>
    <s v="SOLRECOUP"/>
    <s v="POARECOUP"/>
    <n v="21324317"/>
    <n v="-210.17"/>
    <m/>
    <s v="Y"/>
    <n v="1"/>
    <d v="2023-07-03T19:42:51"/>
    <s v="N"/>
    <m/>
    <m/>
    <s v="Expert Disbursement"/>
    <m/>
    <s v="N"/>
    <n v="-175.14"/>
    <n v="0"/>
    <x v="3"/>
    <s v="VALIDATED"/>
    <n v="1"/>
    <s v="01.11.80.305.2013.0000"/>
    <n v="-175.14"/>
    <s v="11"/>
    <s v="2013"/>
    <n v="33459.28"/>
    <n v="-175.14"/>
    <s v="CREDITOR"/>
    <n v="0"/>
    <n v="0"/>
    <n v="-175.14"/>
    <n v="0"/>
    <n v="0"/>
  </r>
  <r>
    <n v="59839080"/>
    <s v="N"/>
    <n v="21324318"/>
    <s v="3000014203590004RC"/>
    <s v="CIVIL"/>
    <d v="2023-06-20T00:00:00"/>
    <d v="2023-07-03T19:42:50"/>
    <m/>
    <d v="2023-07-03T00:00:00"/>
    <n v="418"/>
    <n v="14752"/>
    <s v="59839080"/>
    <s v="59839080"/>
    <m/>
    <m/>
    <m/>
    <m/>
    <m/>
    <m/>
    <s v="SOLRECOUP"/>
    <s v="SOLRECOUP"/>
    <s v="POARECOUP"/>
    <n v="21324318"/>
    <n v="-1555.2"/>
    <m/>
    <s v="Y"/>
    <n v="2"/>
    <d v="2023-07-03T19:42:51"/>
    <s v="N"/>
    <m/>
    <m/>
    <s v="Expert Disbursement"/>
    <m/>
    <s v="N"/>
    <n v="0"/>
    <n v="0"/>
    <x v="3"/>
    <s v="VALIDATED"/>
    <n v="1"/>
    <s v="01.11.80.000.0000.0000"/>
    <n v="0"/>
    <s v="11"/>
    <s v="0000"/>
    <n v="33459.28"/>
    <n v="0"/>
    <s v="CREDITOR"/>
    <n v="0"/>
    <n v="0"/>
    <n v="0"/>
    <n v="0"/>
    <n v="0"/>
  </r>
  <r>
    <n v="59839080"/>
    <s v="N"/>
    <n v="21324318"/>
    <s v="3000014203590004RC"/>
    <s v="CIVIL"/>
    <d v="2023-06-20T00:00:00"/>
    <d v="2023-07-03T19:42:50"/>
    <m/>
    <d v="2023-07-03T00:00:00"/>
    <n v="418"/>
    <n v="14752"/>
    <s v="59839080"/>
    <s v="59839080"/>
    <m/>
    <m/>
    <m/>
    <m/>
    <m/>
    <m/>
    <s v="SOLRECOUP"/>
    <s v="SOLRECOUP"/>
    <s v="POARECOUP"/>
    <n v="21324318"/>
    <n v="-1555.2"/>
    <m/>
    <s v="Y"/>
    <n v="1"/>
    <d v="2023-07-03T19:42:51"/>
    <s v="N"/>
    <m/>
    <m/>
    <s v="Expert Disbursement"/>
    <m/>
    <s v="N"/>
    <n v="-1555.2"/>
    <n v="0"/>
    <x v="3"/>
    <s v="VALIDATED"/>
    <n v="1"/>
    <s v="01.11.80.308.2013.0000"/>
    <n v="-1555.2"/>
    <s v="11"/>
    <s v="2013"/>
    <n v="33459.28"/>
    <n v="-1555.2"/>
    <s v="CREDITOR"/>
    <n v="0"/>
    <n v="0"/>
    <n v="-1555.2"/>
    <n v="0"/>
    <n v="0"/>
  </r>
  <r>
    <n v="59839080"/>
    <s v="N"/>
    <n v="21324319"/>
    <s v="3000014203590006RC"/>
    <s v="CIVIL"/>
    <d v="2023-06-20T00:00:00"/>
    <d v="2023-07-03T19:42:50"/>
    <m/>
    <d v="2023-07-03T00:00:00"/>
    <n v="418"/>
    <n v="14752"/>
    <s v="59839080"/>
    <s v="59839080"/>
    <m/>
    <m/>
    <m/>
    <m/>
    <m/>
    <m/>
    <s v="SOLRECOUP"/>
    <s v="SOLRECOUP"/>
    <s v="POARECOUP"/>
    <n v="21324319"/>
    <n v="-432"/>
    <m/>
    <s v="Y"/>
    <n v="2"/>
    <d v="2023-07-03T19:42:51"/>
    <s v="N"/>
    <m/>
    <m/>
    <s v="Expert Disbursement"/>
    <m/>
    <s v="N"/>
    <n v="0"/>
    <n v="0"/>
    <x v="3"/>
    <s v="VALIDATED"/>
    <n v="1"/>
    <s v="01.11.80.000.0000.0000"/>
    <n v="0"/>
    <s v="11"/>
    <s v="0000"/>
    <n v="33459.28"/>
    <n v="0"/>
    <s v="CREDITOR"/>
    <n v="0"/>
    <n v="0"/>
    <n v="0"/>
    <n v="0"/>
    <n v="0"/>
  </r>
  <r>
    <n v="59839080"/>
    <s v="N"/>
    <n v="21324319"/>
    <s v="3000014203590006RC"/>
    <s v="CIVIL"/>
    <d v="2023-06-20T00:00:00"/>
    <d v="2023-07-03T19:42:50"/>
    <m/>
    <d v="2023-07-03T00:00:00"/>
    <n v="418"/>
    <n v="14752"/>
    <s v="59839080"/>
    <s v="59839080"/>
    <m/>
    <m/>
    <m/>
    <m/>
    <m/>
    <m/>
    <s v="SOLRECOUP"/>
    <s v="SOLRECOUP"/>
    <s v="POARECOUP"/>
    <n v="21324319"/>
    <n v="-432"/>
    <m/>
    <s v="Y"/>
    <n v="1"/>
    <d v="2023-07-03T19:42:51"/>
    <s v="N"/>
    <m/>
    <m/>
    <s v="Expert Disbursement"/>
    <m/>
    <s v="N"/>
    <n v="-432"/>
    <n v="0"/>
    <x v="3"/>
    <s v="VALIDATED"/>
    <n v="1"/>
    <s v="01.11.80.308.2013.0000"/>
    <n v="-432"/>
    <s v="11"/>
    <s v="2013"/>
    <n v="33459.28"/>
    <n v="-432"/>
    <s v="CREDITOR"/>
    <n v="0"/>
    <n v="0"/>
    <n v="-432"/>
    <n v="0"/>
    <n v="0"/>
  </r>
  <r>
    <n v="59839080"/>
    <s v="N"/>
    <n v="21324320"/>
    <s v="3000014203590008RC"/>
    <s v="CIVIL"/>
    <d v="2023-06-20T00:00:00"/>
    <d v="2023-07-03T19:42:50"/>
    <m/>
    <d v="2023-07-03T00:00:00"/>
    <n v="418"/>
    <n v="14752"/>
    <s v="59839080"/>
    <s v="59839080"/>
    <m/>
    <m/>
    <m/>
    <m/>
    <m/>
    <m/>
    <s v="SOLRECOUP"/>
    <s v="SOLRECOUP"/>
    <s v="POARECOUP"/>
    <n v="21324320"/>
    <n v="-689.47"/>
    <m/>
    <s v="Y"/>
    <n v="2"/>
    <d v="2023-07-03T19:42:51"/>
    <s v="N"/>
    <m/>
    <m/>
    <s v="Expert Disbursement"/>
    <m/>
    <s v="N"/>
    <n v="0"/>
    <n v="0"/>
    <x v="3"/>
    <s v="VALIDATED"/>
    <n v="1"/>
    <s v="01.11.80.000.0000.0000"/>
    <n v="0"/>
    <s v="11"/>
    <s v="0000"/>
    <n v="33459.28"/>
    <n v="0"/>
    <s v="CREDITOR"/>
    <n v="0"/>
    <n v="0"/>
    <n v="0"/>
    <n v="0"/>
    <n v="0"/>
  </r>
  <r>
    <n v="61130256"/>
    <s v="N"/>
    <n v="21370364"/>
    <s v="3000015317200002"/>
    <s v="CIVIL"/>
    <d v="2023-06-27T00:00:00"/>
    <d v="2023-07-13T19:21:05"/>
    <m/>
    <d v="2023-07-13T00:00:00"/>
    <n v="418"/>
    <n v="14752"/>
    <s v="61130256"/>
    <s v="61130256"/>
    <m/>
    <m/>
    <n v="22771566"/>
    <m/>
    <m/>
    <m/>
    <s v="SOLFIN"/>
    <s v="SOLFIN"/>
    <s v="CCMS"/>
    <n v="21370364"/>
    <n v="5096.53"/>
    <m/>
    <s v="N"/>
    <n v="5"/>
    <d v="2023-07-13T19:21:22"/>
    <s v="Y"/>
    <s v="Hearing Unit 1.01 - 2.30 Hours"/>
    <s v="Public Law Children"/>
    <s v="Advocacy"/>
    <s v="JLS"/>
    <s v="Y"/>
    <n v="238.46"/>
    <n v="47.69"/>
    <x v="11"/>
    <s v="VALIDATED"/>
    <n v="1"/>
    <s v="01.11.80.308.6100.0000"/>
    <n v="238.46"/>
    <s v="11"/>
    <s v="6100"/>
    <n v="33459.28"/>
    <n v="238.46"/>
    <s v="CREDITOR"/>
    <n v="0"/>
    <n v="0"/>
    <n v="0"/>
    <n v="0"/>
    <n v="238.46"/>
  </r>
  <r>
    <n v="61283867"/>
    <s v="N"/>
    <n v="21339889"/>
    <s v="3000015446240004RC"/>
    <s v="CIVIL"/>
    <d v="2023-06-26T00:00:00"/>
    <d v="2023-07-06T19:54:22"/>
    <m/>
    <d v="2023-07-06T00:00:00"/>
    <n v="418"/>
    <n v="14752"/>
    <s v="61283867"/>
    <s v="61283867"/>
    <m/>
    <m/>
    <m/>
    <m/>
    <m/>
    <m/>
    <s v="SOLRECOUP"/>
    <s v="SOLRECOUP"/>
    <s v="POARECOUP"/>
    <n v="21339889"/>
    <n v="-309.83"/>
    <m/>
    <s v="Y"/>
    <n v="1"/>
    <d v="2023-07-06T19:54:22"/>
    <s v="N"/>
    <m/>
    <m/>
    <s v="Expert Disbursement"/>
    <m/>
    <s v="N"/>
    <n v="-258.19"/>
    <n v="0"/>
    <x v="4"/>
    <s v="VALIDATED"/>
    <n v="1"/>
    <s v="01.11.80.308.2013.0000"/>
    <n v="-258.19"/>
    <s v="11"/>
    <s v="2013"/>
    <n v="33459.28"/>
    <n v="-258.19"/>
    <s v="CREDITOR"/>
    <n v="0"/>
    <n v="0"/>
    <n v="-258.19"/>
    <n v="0"/>
    <n v="0"/>
  </r>
  <r>
    <n v="61283867"/>
    <s v="N"/>
    <n v="21339889"/>
    <s v="3000015446240004RC"/>
    <s v="CIVIL"/>
    <d v="2023-06-26T00:00:00"/>
    <d v="2023-07-06T19:54:22"/>
    <m/>
    <d v="2023-07-06T00:00:00"/>
    <n v="418"/>
    <n v="14752"/>
    <s v="61283867"/>
    <s v="61283867"/>
    <m/>
    <m/>
    <m/>
    <m/>
    <m/>
    <m/>
    <s v="SOLRECOUP"/>
    <s v="SOLRECOUP"/>
    <s v="POARECOUP"/>
    <n v="21339889"/>
    <n v="-309.83"/>
    <m/>
    <s v="Y"/>
    <n v="2"/>
    <d v="2023-07-06T19:54:22"/>
    <s v="N"/>
    <m/>
    <m/>
    <s v="Expert Disbursement"/>
    <m/>
    <s v="N"/>
    <n v="0"/>
    <n v="-51.64"/>
    <x v="4"/>
    <s v="VALIDATED"/>
    <n v="1"/>
    <s v="01.11.80.308.2013.0000"/>
    <n v="-51.64"/>
    <s v="11"/>
    <s v="2013"/>
    <n v="33459.28"/>
    <n v="-51.64"/>
    <s v="CREDITOR"/>
    <n v="0"/>
    <n v="0"/>
    <n v="-51.64"/>
    <n v="0"/>
    <n v="0"/>
  </r>
  <r>
    <n v="60949177"/>
    <s v="N"/>
    <n v="21339890"/>
    <s v="3000015164440001RC"/>
    <s v="CIVIL"/>
    <d v="2023-06-27T00:00:00"/>
    <d v="2023-07-06T19:54:22"/>
    <m/>
    <d v="2023-07-06T00:00:00"/>
    <n v="418"/>
    <n v="14752"/>
    <s v="60949177"/>
    <s v="60949177"/>
    <m/>
    <m/>
    <m/>
    <m/>
    <m/>
    <m/>
    <s v="SOLRECOUP"/>
    <s v="SOLRECOUP"/>
    <s v="POARECOUP"/>
    <n v="21339890"/>
    <n v="-234.9"/>
    <m/>
    <s v="Y"/>
    <n v="1"/>
    <d v="2023-07-06T19:54:22"/>
    <s v="N"/>
    <m/>
    <m/>
    <s v="Expert Disbursement"/>
    <m/>
    <s v="N"/>
    <n v="-234.9"/>
    <n v="0"/>
    <x v="4"/>
    <s v="VALIDATED"/>
    <n v="1"/>
    <s v="01.11.80.308.2013.0000"/>
    <n v="-234.9"/>
    <s v="11"/>
    <s v="2013"/>
    <n v="33459.28"/>
    <n v="-234.9"/>
    <s v="CREDITOR"/>
    <n v="0"/>
    <n v="0"/>
    <n v="-234.9"/>
    <n v="0"/>
    <n v="0"/>
  </r>
  <r>
    <n v="60949177"/>
    <s v="N"/>
    <n v="21339890"/>
    <s v="3000015164440001RC"/>
    <s v="CIVIL"/>
    <d v="2023-06-27T00:00:00"/>
    <d v="2023-07-06T19:54:22"/>
    <m/>
    <d v="2023-07-06T00:00:00"/>
    <n v="418"/>
    <n v="14752"/>
    <s v="60949177"/>
    <s v="60949177"/>
    <m/>
    <m/>
    <m/>
    <m/>
    <m/>
    <m/>
    <s v="SOLRECOUP"/>
    <s v="SOLRECOUP"/>
    <s v="POARECOUP"/>
    <n v="21339890"/>
    <n v="-234.9"/>
    <m/>
    <s v="Y"/>
    <n v="2"/>
    <d v="2023-07-06T19:54:22"/>
    <s v="N"/>
    <m/>
    <m/>
    <s v="Expert Disbursement"/>
    <m/>
    <s v="N"/>
    <n v="0"/>
    <n v="0"/>
    <x v="4"/>
    <s v="VALIDATED"/>
    <n v="1"/>
    <s v="01.11.80.000.0000.0000"/>
    <n v="0"/>
    <s v="11"/>
    <s v="0000"/>
    <n v="33459.28"/>
    <n v="0"/>
    <s v="CREDITOR"/>
    <n v="0"/>
    <n v="0"/>
    <n v="0"/>
    <n v="0"/>
    <n v="0"/>
  </r>
  <r>
    <n v="60949177"/>
    <s v="N"/>
    <n v="21339891"/>
    <s v="3000015164440002RC"/>
    <s v="CIVIL"/>
    <d v="2023-06-27T00:00:00"/>
    <d v="2023-07-06T19:54:22"/>
    <m/>
    <d v="2023-07-06T00:00:00"/>
    <n v="418"/>
    <n v="14752"/>
    <s v="60949177"/>
    <s v="60949177"/>
    <m/>
    <m/>
    <m/>
    <m/>
    <m/>
    <m/>
    <s v="SOLRECOUP"/>
    <s v="SOLRECOUP"/>
    <s v="POARECOUP"/>
    <n v="21339891"/>
    <n v="-174.9"/>
    <m/>
    <s v="Y"/>
    <n v="1"/>
    <d v="2023-07-06T19:54:22"/>
    <s v="N"/>
    <m/>
    <m/>
    <s v="Expert Disbursement"/>
    <m/>
    <s v="N"/>
    <n v="-174.9"/>
    <n v="0"/>
    <x v="4"/>
    <s v="VALIDATED"/>
    <n v="1"/>
    <s v="01.11.80.308.2013.0000"/>
    <n v="-174.9"/>
    <s v="11"/>
    <s v="2013"/>
    <n v="33459.28"/>
    <n v="-174.9"/>
    <s v="CREDITOR"/>
    <n v="0"/>
    <n v="0"/>
    <n v="-174.9"/>
    <n v="0"/>
    <n v="0"/>
  </r>
  <r>
    <n v="60949177"/>
    <s v="N"/>
    <n v="21339891"/>
    <s v="3000015164440002RC"/>
    <s v="CIVIL"/>
    <d v="2023-06-27T00:00:00"/>
    <d v="2023-07-06T19:54:22"/>
    <m/>
    <d v="2023-07-06T00:00:00"/>
    <n v="418"/>
    <n v="14752"/>
    <s v="60949177"/>
    <s v="60949177"/>
    <m/>
    <m/>
    <m/>
    <m/>
    <m/>
    <m/>
    <s v="SOLRECOUP"/>
    <s v="SOLRECOUP"/>
    <s v="POARECOUP"/>
    <n v="21339891"/>
    <n v="-174.9"/>
    <m/>
    <s v="Y"/>
    <n v="2"/>
    <d v="2023-07-06T19:54:22"/>
    <s v="N"/>
    <m/>
    <m/>
    <s v="Expert Disbursement"/>
    <m/>
    <s v="N"/>
    <n v="0"/>
    <n v="0"/>
    <x v="4"/>
    <s v="VALIDATED"/>
    <n v="1"/>
    <s v="01.11.80.000.0000.0000"/>
    <n v="0"/>
    <s v="11"/>
    <s v="0000"/>
    <n v="33459.28"/>
    <n v="0"/>
    <s v="CREDITOR"/>
    <n v="0"/>
    <n v="0"/>
    <n v="0"/>
    <n v="0"/>
    <n v="0"/>
  </r>
  <r>
    <n v="60949177"/>
    <s v="N"/>
    <n v="21339892"/>
    <s v="3000015164440003RC"/>
    <s v="CIVIL"/>
    <d v="2023-06-27T00:00:00"/>
    <d v="2023-07-06T19:54:22"/>
    <m/>
    <d v="2023-07-06T00:00:00"/>
    <n v="418"/>
    <n v="14752"/>
    <s v="60949177"/>
    <s v="60949177"/>
    <m/>
    <m/>
    <m/>
    <m/>
    <m/>
    <m/>
    <s v="SOLRECOUP"/>
    <s v="SOLRECOUP"/>
    <s v="POARECOUP"/>
    <n v="21339892"/>
    <n v="-319.2"/>
    <m/>
    <s v="Y"/>
    <n v="1"/>
    <d v="2023-07-06T19:54:22"/>
    <s v="N"/>
    <m/>
    <m/>
    <s v="Expert Disbursement"/>
    <m/>
    <s v="N"/>
    <n v="-319.2"/>
    <n v="0"/>
    <x v="4"/>
    <s v="VALIDATED"/>
    <n v="1"/>
    <s v="01.11.80.308.2013.0000"/>
    <n v="-319.2"/>
    <s v="11"/>
    <s v="2013"/>
    <n v="33459.28"/>
    <n v="-319.2"/>
    <s v="CREDITOR"/>
    <n v="0"/>
    <n v="0"/>
    <n v="-319.2"/>
    <n v="0"/>
    <n v="0"/>
  </r>
  <r>
    <n v="60949177"/>
    <s v="N"/>
    <n v="21339892"/>
    <s v="3000015164440003RC"/>
    <s v="CIVIL"/>
    <d v="2023-06-27T00:00:00"/>
    <d v="2023-07-06T19:54:22"/>
    <m/>
    <d v="2023-07-06T00:00:00"/>
    <n v="418"/>
    <n v="14752"/>
    <s v="60949177"/>
    <s v="60949177"/>
    <m/>
    <m/>
    <m/>
    <m/>
    <m/>
    <m/>
    <s v="SOLRECOUP"/>
    <s v="SOLRECOUP"/>
    <s v="POARECOUP"/>
    <n v="21339892"/>
    <n v="-319.2"/>
    <m/>
    <s v="Y"/>
    <n v="2"/>
    <d v="2023-07-06T19:54:22"/>
    <s v="N"/>
    <m/>
    <m/>
    <s v="Expert Disbursement"/>
    <m/>
    <s v="N"/>
    <n v="0"/>
    <n v="0"/>
    <x v="4"/>
    <s v="VALIDATED"/>
    <n v="1"/>
    <s v="01.11.80.000.0000.0000"/>
    <n v="0"/>
    <s v="11"/>
    <s v="0000"/>
    <n v="33459.28"/>
    <n v="0"/>
    <s v="CREDITOR"/>
    <n v="0"/>
    <n v="0"/>
    <n v="0"/>
    <n v="0"/>
    <n v="0"/>
  </r>
  <r>
    <n v="61283867"/>
    <s v="N"/>
    <n v="21339893"/>
    <s v="3000015446240001RC"/>
    <s v="CIVIL"/>
    <d v="2023-06-26T00:00:00"/>
    <d v="2023-07-06T19:54:22"/>
    <m/>
    <d v="2023-07-06T00:00:00"/>
    <n v="418"/>
    <n v="14752"/>
    <s v="61283867"/>
    <s v="61283867"/>
    <m/>
    <m/>
    <m/>
    <m/>
    <m/>
    <m/>
    <s v="SOLRECOUP"/>
    <s v="SOLRECOUP"/>
    <s v="POARECOUP"/>
    <n v="21339893"/>
    <n v="-237.6"/>
    <m/>
    <s v="Y"/>
    <n v="1"/>
    <d v="2023-07-06T19:54:22"/>
    <s v="N"/>
    <m/>
    <m/>
    <s v="Expert Disbursement"/>
    <m/>
    <s v="N"/>
    <n v="-237.6"/>
    <n v="0"/>
    <x v="4"/>
    <s v="VALIDATED"/>
    <n v="1"/>
    <s v="01.11.80.308.2013.0000"/>
    <n v="-237.6"/>
    <s v="11"/>
    <s v="2013"/>
    <n v="33459.28"/>
    <n v="-237.6"/>
    <s v="CREDITOR"/>
    <n v="0"/>
    <n v="0"/>
    <n v="-237.6"/>
    <n v="0"/>
    <n v="0"/>
  </r>
  <r>
    <n v="61283867"/>
    <s v="N"/>
    <n v="21339893"/>
    <s v="3000015446240001RC"/>
    <s v="CIVIL"/>
    <d v="2023-06-26T00:00:00"/>
    <d v="2023-07-06T19:54:22"/>
    <m/>
    <d v="2023-07-06T00:00:00"/>
    <n v="418"/>
    <n v="14752"/>
    <s v="61283867"/>
    <s v="61283867"/>
    <m/>
    <m/>
    <m/>
    <m/>
    <m/>
    <m/>
    <s v="SOLRECOUP"/>
    <s v="SOLRECOUP"/>
    <s v="POARECOUP"/>
    <n v="21339893"/>
    <n v="-237.6"/>
    <m/>
    <s v="Y"/>
    <n v="2"/>
    <d v="2023-07-06T19:54:22"/>
    <s v="N"/>
    <m/>
    <m/>
    <s v="Expert Disbursement"/>
    <m/>
    <s v="N"/>
    <n v="0"/>
    <n v="0"/>
    <x v="4"/>
    <s v="VALIDATED"/>
    <n v="1"/>
    <s v="01.11.80.000.0000.0000"/>
    <n v="0"/>
    <s v="11"/>
    <s v="0000"/>
    <n v="33459.28"/>
    <n v="0"/>
    <s v="CREDITOR"/>
    <n v="0"/>
    <n v="0"/>
    <n v="0"/>
    <n v="0"/>
    <n v="0"/>
  </r>
  <r>
    <n v="61283867"/>
    <s v="N"/>
    <n v="21339894"/>
    <s v="3000015446240003RC"/>
    <s v="CIVIL"/>
    <d v="2023-06-26T00:00:00"/>
    <d v="2023-07-06T19:54:22"/>
    <m/>
    <d v="2023-07-06T00:00:00"/>
    <n v="418"/>
    <n v="14752"/>
    <s v="61283867"/>
    <s v="61283867"/>
    <m/>
    <m/>
    <m/>
    <m/>
    <m/>
    <m/>
    <s v="SOLRECOUP"/>
    <s v="SOLRECOUP"/>
    <s v="POARECOUP"/>
    <n v="21339894"/>
    <n v="-694.98"/>
    <m/>
    <s v="Y"/>
    <n v="1"/>
    <d v="2023-07-06T19:54:22"/>
    <s v="N"/>
    <m/>
    <m/>
    <s v="Expert Disbursement"/>
    <m/>
    <s v="N"/>
    <n v="-579.15"/>
    <n v="0"/>
    <x v="4"/>
    <s v="VALIDATED"/>
    <n v="1"/>
    <s v="01.11.80.308.2013.0000"/>
    <n v="-579.15"/>
    <s v="11"/>
    <s v="2013"/>
    <n v="33459.28"/>
    <n v="-579.15"/>
    <s v="CREDITOR"/>
    <n v="0"/>
    <n v="0"/>
    <n v="-579.15"/>
    <n v="0"/>
    <n v="0"/>
  </r>
  <r>
    <n v="61283867"/>
    <s v="N"/>
    <n v="21339894"/>
    <s v="3000015446240003RC"/>
    <s v="CIVIL"/>
    <d v="2023-06-26T00:00:00"/>
    <d v="2023-07-06T19:54:22"/>
    <m/>
    <d v="2023-07-06T00:00:00"/>
    <n v="418"/>
    <n v="14752"/>
    <s v="61283867"/>
    <s v="61283867"/>
    <m/>
    <m/>
    <m/>
    <m/>
    <m/>
    <m/>
    <s v="SOLRECOUP"/>
    <s v="SOLRECOUP"/>
    <s v="POARECOUP"/>
    <n v="21339894"/>
    <n v="-694.98"/>
    <m/>
    <s v="Y"/>
    <n v="2"/>
    <d v="2023-07-06T19:54:22"/>
    <s v="N"/>
    <m/>
    <m/>
    <s v="Expert Disbursement"/>
    <m/>
    <s v="N"/>
    <n v="0"/>
    <n v="-115.83"/>
    <x v="4"/>
    <s v="VALIDATED"/>
    <n v="1"/>
    <s v="01.11.80.308.2013.0000"/>
    <n v="-115.83"/>
    <s v="11"/>
    <s v="2013"/>
    <n v="33459.28"/>
    <n v="-115.83"/>
    <s v="CREDITOR"/>
    <n v="0"/>
    <n v="0"/>
    <n v="-115.83"/>
    <n v="0"/>
    <n v="0"/>
  </r>
  <r>
    <n v="61283867"/>
    <s v="N"/>
    <n v="21339895"/>
    <s v="3000015446240005RC"/>
    <s v="CIVIL"/>
    <d v="2023-06-26T00:00:00"/>
    <d v="2023-07-06T19:54:22"/>
    <m/>
    <d v="2023-07-06T00:00:00"/>
    <n v="418"/>
    <n v="14752"/>
    <s v="61283867"/>
    <s v="61283867"/>
    <m/>
    <m/>
    <m/>
    <m/>
    <m/>
    <m/>
    <s v="SOLRECOUP"/>
    <s v="SOLRECOUP"/>
    <s v="POARECOUP"/>
    <n v="21339895"/>
    <n v="-615.6"/>
    <m/>
    <s v="Y"/>
    <n v="1"/>
    <d v="2023-07-06T19:54:22"/>
    <s v="N"/>
    <m/>
    <m/>
    <s v="Expert Disbursement"/>
    <m/>
    <s v="N"/>
    <n v="-513"/>
    <n v="0"/>
    <x v="4"/>
    <s v="VALIDATED"/>
    <n v="1"/>
    <s v="01.11.80.308.2013.0000"/>
    <n v="-513"/>
    <s v="11"/>
    <s v="2013"/>
    <n v="33459.28"/>
    <n v="-513"/>
    <s v="CREDITOR"/>
    <n v="0"/>
    <n v="0"/>
    <n v="-513"/>
    <n v="0"/>
    <n v="0"/>
  </r>
  <r>
    <n v="61283867"/>
    <s v="N"/>
    <n v="21339895"/>
    <s v="3000015446240005RC"/>
    <s v="CIVIL"/>
    <d v="2023-06-26T00:00:00"/>
    <d v="2023-07-06T19:54:22"/>
    <m/>
    <d v="2023-07-06T00:00:00"/>
    <n v="418"/>
    <n v="14752"/>
    <s v="61283867"/>
    <s v="61283867"/>
    <m/>
    <m/>
    <m/>
    <m/>
    <m/>
    <m/>
    <s v="SOLRECOUP"/>
    <s v="SOLRECOUP"/>
    <s v="POARECOUP"/>
    <n v="21339895"/>
    <n v="-615.6"/>
    <m/>
    <s v="Y"/>
    <n v="2"/>
    <d v="2023-07-06T19:54:22"/>
    <s v="N"/>
    <m/>
    <m/>
    <s v="Expert Disbursement"/>
    <m/>
    <s v="N"/>
    <n v="0"/>
    <n v="-102.6"/>
    <x v="4"/>
    <s v="VALIDATED"/>
    <n v="1"/>
    <s v="01.11.80.308.2013.0000"/>
    <n v="-102.6"/>
    <s v="11"/>
    <s v="2013"/>
    <n v="33459.28"/>
    <n v="-102.6"/>
    <s v="CREDITOR"/>
    <n v="0"/>
    <n v="0"/>
    <n v="-102.6"/>
    <n v="0"/>
    <n v="0"/>
  </r>
  <r>
    <n v="61431337"/>
    <s v="N"/>
    <n v="21333762"/>
    <s v="3000015566430001RC"/>
    <s v="CIVIL"/>
    <d v="2023-06-26T00:00:00"/>
    <d v="2023-07-05T19:42:28"/>
    <m/>
    <d v="2023-07-05T00:00:00"/>
    <n v="418"/>
    <n v="14752"/>
    <s v="61431337"/>
    <s v="61431337"/>
    <m/>
    <m/>
    <m/>
    <m/>
    <m/>
    <m/>
    <s v="SOLRECOUP"/>
    <s v="SOLRECOUP"/>
    <s v="POARECOUP"/>
    <n v="21333762"/>
    <n v="-474.4"/>
    <m/>
    <s v="Y"/>
    <n v="1"/>
    <d v="2023-07-05T19:42:28"/>
    <s v="N"/>
    <m/>
    <m/>
    <s v="Profit Cost"/>
    <m/>
    <s v="N"/>
    <n v="-395.33"/>
    <n v="0"/>
    <x v="6"/>
    <s v="VALIDATED"/>
    <n v="1"/>
    <s v="01.11.80.308.2013.0000"/>
    <n v="-395.33"/>
    <s v="11"/>
    <s v="2013"/>
    <n v="33459.28"/>
    <n v="-395.33"/>
    <s v="CREDITOR"/>
    <n v="0"/>
    <n v="0"/>
    <n v="-395.33"/>
    <n v="-98.8325"/>
    <n v="0"/>
  </r>
  <r>
    <n v="61431337"/>
    <s v="N"/>
    <n v="21333762"/>
    <s v="3000015566430001RC"/>
    <s v="CIVIL"/>
    <d v="2023-06-26T00:00:00"/>
    <d v="2023-07-05T19:42:28"/>
    <m/>
    <d v="2023-07-05T00:00:00"/>
    <n v="418"/>
    <n v="14752"/>
    <s v="61431337"/>
    <s v="61431337"/>
    <m/>
    <m/>
    <m/>
    <m/>
    <m/>
    <m/>
    <s v="SOLRECOUP"/>
    <s v="SOLRECOUP"/>
    <s v="POARECOUP"/>
    <n v="21333762"/>
    <n v="-474.4"/>
    <m/>
    <s v="Y"/>
    <n v="2"/>
    <d v="2023-07-05T19:42:28"/>
    <s v="N"/>
    <m/>
    <m/>
    <s v="Profit Cost"/>
    <m/>
    <s v="N"/>
    <n v="0"/>
    <n v="-79.06999999999999"/>
    <x v="6"/>
    <s v="VALIDATED"/>
    <n v="1"/>
    <s v="01.11.80.308.2013.0000"/>
    <n v="-79.06999999999999"/>
    <s v="11"/>
    <s v="2013"/>
    <n v="33459.28"/>
    <n v="-79.06999999999999"/>
    <s v="CREDITOR"/>
    <n v="0"/>
    <n v="0"/>
    <n v="-79.06999999999999"/>
    <n v="-19.7675"/>
    <n v="0"/>
  </r>
  <r>
    <n v="61142647"/>
    <s v="N"/>
    <n v="21333763"/>
    <s v="3000015327810001RC"/>
    <s v="CIVIL"/>
    <d v="2023-06-26T00:00:00"/>
    <d v="2023-07-05T19:42:28"/>
    <m/>
    <d v="2023-07-05T00:00:00"/>
    <n v="418"/>
    <n v="14752"/>
    <s v="61142647"/>
    <s v="61142647"/>
    <m/>
    <m/>
    <m/>
    <m/>
    <m/>
    <m/>
    <s v="SOLRECOUP"/>
    <s v="SOLRECOUP"/>
    <s v="POARECOUP"/>
    <n v="21333763"/>
    <n v="-191.6"/>
    <m/>
    <s v="Y"/>
    <n v="1"/>
    <d v="2023-07-05T19:42:28"/>
    <s v="N"/>
    <m/>
    <m/>
    <s v="Expert Disbursement"/>
    <m/>
    <s v="N"/>
    <n v="-159.67"/>
    <n v="0"/>
    <x v="6"/>
    <s v="VALIDATED"/>
    <n v="1"/>
    <s v="01.11.80.308.2013.0000"/>
    <n v="-159.67"/>
    <s v="11"/>
    <s v="2013"/>
    <n v="33459.28"/>
    <n v="-159.67"/>
    <s v="CREDITOR"/>
    <n v="0"/>
    <n v="0"/>
    <n v="-159.67"/>
    <n v="0"/>
    <n v="0"/>
  </r>
  <r>
    <n v="61142647"/>
    <s v="N"/>
    <n v="21333763"/>
    <s v="3000015327810001RC"/>
    <s v="CIVIL"/>
    <d v="2023-06-26T00:00:00"/>
    <d v="2023-07-05T19:42:28"/>
    <m/>
    <d v="2023-07-05T00:00:00"/>
    <n v="418"/>
    <n v="14752"/>
    <s v="61142647"/>
    <s v="61142647"/>
    <m/>
    <m/>
    <m/>
    <m/>
    <m/>
    <m/>
    <s v="SOLRECOUP"/>
    <s v="SOLRECOUP"/>
    <s v="POARECOUP"/>
    <n v="21333763"/>
    <n v="-191.6"/>
    <m/>
    <s v="Y"/>
    <n v="2"/>
    <d v="2023-07-05T19:42:28"/>
    <s v="N"/>
    <m/>
    <m/>
    <s v="Expert Disbursement"/>
    <m/>
    <s v="N"/>
    <n v="0"/>
    <n v="-31.93"/>
    <x v="6"/>
    <s v="VALIDATED"/>
    <n v="1"/>
    <s v="01.11.80.308.2013.0000"/>
    <n v="-31.93"/>
    <s v="11"/>
    <s v="2013"/>
    <n v="33459.28"/>
    <n v="-31.93"/>
    <s v="CREDITOR"/>
    <n v="0"/>
    <n v="0"/>
    <n v="-31.93"/>
    <n v="0"/>
    <n v="0"/>
  </r>
  <r>
    <n v="61709374"/>
    <s v="N"/>
    <n v="21333764"/>
    <s v="3000015799560001RC"/>
    <s v="CIVIL"/>
    <d v="2023-06-26T00:00:00"/>
    <d v="2023-07-05T19:42:28"/>
    <m/>
    <d v="2023-07-05T00:00:00"/>
    <n v="418"/>
    <n v="14752"/>
    <s v="61709374"/>
    <s v="61709374"/>
    <m/>
    <m/>
    <m/>
    <m/>
    <m/>
    <m/>
    <s v="SOLRECOUP"/>
    <s v="SOLRECOUP"/>
    <s v="POARECOUP"/>
    <n v="21333764"/>
    <n v="-44"/>
    <m/>
    <s v="Y"/>
    <n v="1"/>
    <d v="2023-07-05T19:42:28"/>
    <s v="N"/>
    <m/>
    <m/>
    <s v="Expert Disbursement"/>
    <m/>
    <s v="N"/>
    <n v="-44"/>
    <n v="0"/>
    <x v="6"/>
    <s v="VALIDATED"/>
    <n v="1"/>
    <s v="01.11.80.308.2013.0000"/>
    <n v="-44"/>
    <s v="11"/>
    <s v="2013"/>
    <n v="33459.28"/>
    <n v="-44"/>
    <s v="CREDITOR"/>
    <n v="0"/>
    <n v="0"/>
    <n v="-44"/>
    <n v="0"/>
    <n v="0"/>
  </r>
  <r>
    <n v="61709374"/>
    <s v="N"/>
    <n v="21333764"/>
    <s v="3000015799560001RC"/>
    <s v="CIVIL"/>
    <d v="2023-06-26T00:00:00"/>
    <d v="2023-07-05T19:42:28"/>
    <m/>
    <d v="2023-07-05T00:00:00"/>
    <n v="418"/>
    <n v="14752"/>
    <s v="61709374"/>
    <s v="61709374"/>
    <m/>
    <m/>
    <m/>
    <m/>
    <m/>
    <m/>
    <s v="SOLRECOUP"/>
    <s v="SOLRECOUP"/>
    <s v="POARECOUP"/>
    <n v="21333764"/>
    <n v="-44"/>
    <m/>
    <s v="Y"/>
    <n v="2"/>
    <d v="2023-07-05T19:42:28"/>
    <s v="N"/>
    <m/>
    <m/>
    <s v="Expert Disbursement"/>
    <m/>
    <s v="N"/>
    <n v="0"/>
    <n v="0"/>
    <x v="6"/>
    <s v="VALIDATED"/>
    <n v="1"/>
    <s v="01.11.80.000.0000.0000"/>
    <n v="0"/>
    <s v="11"/>
    <s v="0000"/>
    <n v="33459.28"/>
    <n v="0"/>
    <s v="CREDITOR"/>
    <n v="0"/>
    <n v="0"/>
    <n v="0"/>
    <n v="0"/>
    <n v="0"/>
  </r>
  <r>
    <n v="59839080"/>
    <s v="N"/>
    <n v="21324320"/>
    <s v="3000014203590008RC"/>
    <s v="CIVIL"/>
    <d v="2023-06-20T00:00:00"/>
    <d v="2023-07-03T19:42:50"/>
    <m/>
    <d v="2023-07-03T00:00:00"/>
    <n v="418"/>
    <n v="14752"/>
    <s v="59839080"/>
    <s v="59839080"/>
    <m/>
    <m/>
    <m/>
    <m/>
    <m/>
    <m/>
    <s v="SOLRECOUP"/>
    <s v="SOLRECOUP"/>
    <s v="POARECOUP"/>
    <n v="21324320"/>
    <n v="-689.47"/>
    <m/>
    <s v="Y"/>
    <n v="1"/>
    <d v="2023-07-03T19:42:51"/>
    <s v="N"/>
    <m/>
    <m/>
    <s v="Expert Disbursement"/>
    <m/>
    <s v="N"/>
    <n v="-689.47"/>
    <n v="0"/>
    <x v="3"/>
    <s v="VALIDATED"/>
    <n v="1"/>
    <s v="01.11.80.308.2013.0000"/>
    <n v="-689.47"/>
    <s v="11"/>
    <s v="2013"/>
    <n v="33459.28"/>
    <n v="-689.47"/>
    <s v="CREDITOR"/>
    <n v="0"/>
    <n v="0"/>
    <n v="-689.47"/>
    <n v="0"/>
    <n v="0"/>
  </r>
  <r>
    <n v="59839080"/>
    <s v="N"/>
    <n v="21324321"/>
    <s v="3000014203590005RC"/>
    <s v="CIVIL"/>
    <d v="2023-06-20T00:00:00"/>
    <d v="2023-07-03T19:42:50"/>
    <m/>
    <d v="2023-07-03T00:00:00"/>
    <n v="418"/>
    <n v="14752"/>
    <s v="59839080"/>
    <s v="59839080"/>
    <m/>
    <m/>
    <m/>
    <m/>
    <m/>
    <m/>
    <s v="SOLRECOUP"/>
    <s v="SOLRECOUP"/>
    <s v="POARECOUP"/>
    <n v="21324321"/>
    <n v="-233.28"/>
    <m/>
    <s v="Y"/>
    <n v="2"/>
    <d v="2023-07-03T19:42:51"/>
    <s v="N"/>
    <m/>
    <m/>
    <s v="Expert Disbursement"/>
    <m/>
    <s v="N"/>
    <n v="0"/>
    <n v="0"/>
    <x v="3"/>
    <s v="VALIDATED"/>
    <n v="1"/>
    <s v="01.11.80.000.0000.0000"/>
    <n v="0"/>
    <s v="11"/>
    <s v="0000"/>
    <n v="33459.28"/>
    <n v="0"/>
    <s v="CREDITOR"/>
    <n v="0"/>
    <n v="0"/>
    <n v="0"/>
    <n v="0"/>
    <n v="0"/>
  </r>
  <r>
    <n v="59839080"/>
    <s v="N"/>
    <n v="21324321"/>
    <s v="3000014203590005RC"/>
    <s v="CIVIL"/>
    <d v="2023-06-20T00:00:00"/>
    <d v="2023-07-03T19:42:50"/>
    <m/>
    <d v="2023-07-03T00:00:00"/>
    <n v="418"/>
    <n v="14752"/>
    <s v="59839080"/>
    <s v="59839080"/>
    <m/>
    <m/>
    <m/>
    <m/>
    <m/>
    <m/>
    <s v="SOLRECOUP"/>
    <s v="SOLRECOUP"/>
    <s v="POARECOUP"/>
    <n v="21324321"/>
    <n v="-233.28"/>
    <m/>
    <s v="Y"/>
    <n v="1"/>
    <d v="2023-07-03T19:42:51"/>
    <s v="N"/>
    <m/>
    <m/>
    <s v="Expert Disbursement"/>
    <m/>
    <s v="N"/>
    <n v="-233.28"/>
    <n v="0"/>
    <x v="3"/>
    <s v="VALIDATED"/>
    <n v="1"/>
    <s v="01.11.80.308.2013.0000"/>
    <n v="-233.28"/>
    <s v="11"/>
    <s v="2013"/>
    <n v="33459.28"/>
    <n v="-233.28"/>
    <s v="CREDITOR"/>
    <n v="0"/>
    <n v="0"/>
    <n v="-233.28"/>
    <n v="0"/>
    <n v="0"/>
  </r>
  <r>
    <n v="40167068"/>
    <s v="N"/>
    <n v="21324322"/>
    <s v="3000010786360002RC"/>
    <s v="CIVIL"/>
    <d v="2023-06-09T00:00:00"/>
    <d v="2023-07-03T19:42:50"/>
    <m/>
    <d v="2023-07-03T00:00:00"/>
    <n v="418"/>
    <n v="14752"/>
    <s v="40167068"/>
    <s v="40167068"/>
    <m/>
    <m/>
    <m/>
    <m/>
    <m/>
    <m/>
    <s v="SOLRECOUP"/>
    <s v="SOLRECOUP"/>
    <s v="POARECOUP"/>
    <n v="21324322"/>
    <n v="-2073.6"/>
    <m/>
    <s v="Y"/>
    <n v="2"/>
    <d v="2023-07-03T19:42:51"/>
    <s v="N"/>
    <m/>
    <m/>
    <s v="Expert Disbursement"/>
    <m/>
    <s v="N"/>
    <n v="0"/>
    <n v="-345.6"/>
    <x v="3"/>
    <s v="VALIDATED"/>
    <n v="1"/>
    <s v="01.11.80.305.2013.0000"/>
    <n v="-345.6"/>
    <s v="11"/>
    <s v="2013"/>
    <n v="33459.28"/>
    <n v="-345.6"/>
    <s v="CREDITOR"/>
    <n v="0"/>
    <n v="0"/>
    <n v="-345.6"/>
    <n v="0"/>
    <n v="0"/>
  </r>
  <r>
    <n v="40167068"/>
    <s v="N"/>
    <n v="21324322"/>
    <s v="3000010786360002RC"/>
    <s v="CIVIL"/>
    <d v="2023-06-09T00:00:00"/>
    <d v="2023-07-03T19:42:50"/>
    <m/>
    <d v="2023-07-03T00:00:00"/>
    <n v="418"/>
    <n v="14752"/>
    <s v="40167068"/>
    <s v="40167068"/>
    <m/>
    <m/>
    <m/>
    <m/>
    <m/>
    <m/>
    <s v="SOLRECOUP"/>
    <s v="SOLRECOUP"/>
    <s v="POARECOUP"/>
    <n v="21324322"/>
    <n v="-2073.6"/>
    <m/>
    <s v="Y"/>
    <n v="1"/>
    <d v="2023-07-03T19:42:51"/>
    <s v="N"/>
    <m/>
    <m/>
    <s v="Expert Disbursement"/>
    <m/>
    <s v="N"/>
    <n v="-1728"/>
    <n v="0"/>
    <x v="3"/>
    <s v="VALIDATED"/>
    <n v="1"/>
    <s v="01.11.80.305.2013.0000"/>
    <n v="-1728"/>
    <s v="11"/>
    <s v="2013"/>
    <n v="33459.28"/>
    <n v="-1728"/>
    <s v="CREDITOR"/>
    <n v="0"/>
    <n v="0"/>
    <n v="-1728"/>
    <n v="0"/>
    <n v="0"/>
  </r>
  <r>
    <n v="59839080"/>
    <s v="N"/>
    <n v="21324323"/>
    <s v="3000014203590003RC"/>
    <s v="CIVIL"/>
    <d v="2023-06-20T00:00:00"/>
    <d v="2023-07-03T19:42:50"/>
    <m/>
    <d v="2023-07-03T00:00:00"/>
    <n v="418"/>
    <n v="14752"/>
    <s v="59839080"/>
    <s v="59839080"/>
    <m/>
    <m/>
    <m/>
    <m/>
    <m/>
    <m/>
    <s v="SOLRECOUP"/>
    <s v="SOLRECOUP"/>
    <s v="POARECOUP"/>
    <n v="21324323"/>
    <n v="-153"/>
    <m/>
    <s v="Y"/>
    <n v="2"/>
    <d v="2023-07-03T19:42:51"/>
    <s v="N"/>
    <m/>
    <m/>
    <s v="Expert Disbursement"/>
    <m/>
    <s v="N"/>
    <n v="0"/>
    <n v="0"/>
    <x v="3"/>
    <s v="VALIDATED"/>
    <n v="1"/>
    <s v="01.11.80.000.0000.0000"/>
    <n v="0"/>
    <s v="11"/>
    <s v="0000"/>
    <n v="33459.28"/>
    <n v="0"/>
    <s v="CREDITOR"/>
    <n v="0"/>
    <n v="0"/>
    <n v="0"/>
    <n v="0"/>
    <n v="0"/>
  </r>
  <r>
    <n v="59839080"/>
    <s v="N"/>
    <n v="21324323"/>
    <s v="3000014203590003RC"/>
    <s v="CIVIL"/>
    <d v="2023-06-20T00:00:00"/>
    <d v="2023-07-03T19:42:50"/>
    <m/>
    <d v="2023-07-03T00:00:00"/>
    <n v="418"/>
    <n v="14752"/>
    <s v="59839080"/>
    <s v="59839080"/>
    <m/>
    <m/>
    <m/>
    <m/>
    <m/>
    <m/>
    <s v="SOLRECOUP"/>
    <s v="SOLRECOUP"/>
    <s v="POARECOUP"/>
    <n v="21324323"/>
    <n v="-153"/>
    <m/>
    <s v="Y"/>
    <n v="1"/>
    <d v="2023-07-03T19:42:51"/>
    <s v="N"/>
    <m/>
    <m/>
    <s v="Expert Disbursement"/>
    <m/>
    <s v="N"/>
    <n v="-153"/>
    <n v="0"/>
    <x v="3"/>
    <s v="VALIDATED"/>
    <n v="1"/>
    <s v="01.11.80.308.2013.0000"/>
    <n v="-153"/>
    <s v="11"/>
    <s v="2013"/>
    <n v="33459.28"/>
    <n v="-153"/>
    <s v="CREDITOR"/>
    <n v="0"/>
    <n v="0"/>
    <n v="-153"/>
    <n v="0"/>
    <n v="0"/>
  </r>
  <r>
    <n v="40167068"/>
    <s v="N"/>
    <n v="21324324"/>
    <s v="3000010786360003RC"/>
    <s v="CIVIL"/>
    <d v="2023-06-09T00:00:00"/>
    <d v="2023-07-03T19:42:50"/>
    <m/>
    <d v="2023-07-03T00:00:00"/>
    <n v="418"/>
    <n v="14752"/>
    <s v="40167068"/>
    <s v="40167068"/>
    <m/>
    <m/>
    <m/>
    <m/>
    <m/>
    <m/>
    <s v="SOLRECOUP"/>
    <s v="SOLRECOUP"/>
    <s v="POARECOUP"/>
    <n v="21324324"/>
    <n v="-32.4"/>
    <m/>
    <s v="Y"/>
    <n v="2"/>
    <d v="2023-07-03T19:42:51"/>
    <s v="N"/>
    <m/>
    <m/>
    <s v="Expert Disbursement"/>
    <m/>
    <s v="N"/>
    <n v="0"/>
    <n v="0"/>
    <x v="3"/>
    <s v="VALIDATED"/>
    <n v="1"/>
    <s v="01.11.80.000.0000.0000"/>
    <n v="0"/>
    <s v="11"/>
    <s v="0000"/>
    <n v="33459.28"/>
    <n v="0"/>
    <s v="CREDITOR"/>
    <n v="0"/>
    <n v="0"/>
    <n v="0"/>
    <n v="0"/>
    <n v="0"/>
  </r>
  <r>
    <n v="60949177"/>
    <s v="N"/>
    <n v="21339885"/>
    <s v="3000015164440007RC"/>
    <s v="CIVIL"/>
    <d v="2023-06-27T00:00:00"/>
    <d v="2023-07-06T19:54:22"/>
    <m/>
    <d v="2023-07-06T00:00:00"/>
    <n v="418"/>
    <n v="14752"/>
    <s v="60949177"/>
    <s v="60949177"/>
    <m/>
    <m/>
    <m/>
    <m/>
    <m/>
    <m/>
    <s v="SOLRECOUP"/>
    <s v="SOLRECOUP"/>
    <s v="POARECOUP"/>
    <n v="21339885"/>
    <n v="-292.62"/>
    <m/>
    <s v="Y"/>
    <n v="1"/>
    <d v="2023-07-06T19:54:22"/>
    <s v="N"/>
    <m/>
    <m/>
    <s v="Expert Disbursement"/>
    <m/>
    <s v="N"/>
    <n v="-243.85"/>
    <n v="0"/>
    <x v="4"/>
    <s v="VALIDATED"/>
    <n v="1"/>
    <s v="01.11.80.308.2013.0000"/>
    <n v="-243.85"/>
    <s v="11"/>
    <s v="2013"/>
    <n v="33459.28"/>
    <n v="-243.85"/>
    <s v="CREDITOR"/>
    <n v="0"/>
    <n v="0"/>
    <n v="-243.85"/>
    <n v="0"/>
    <n v="0"/>
  </r>
  <r>
    <n v="60949177"/>
    <s v="N"/>
    <n v="21339885"/>
    <s v="3000015164440007RC"/>
    <s v="CIVIL"/>
    <d v="2023-06-27T00:00:00"/>
    <d v="2023-07-06T19:54:22"/>
    <m/>
    <d v="2023-07-06T00:00:00"/>
    <n v="418"/>
    <n v="14752"/>
    <s v="60949177"/>
    <s v="60949177"/>
    <m/>
    <m/>
    <m/>
    <m/>
    <m/>
    <m/>
    <s v="SOLRECOUP"/>
    <s v="SOLRECOUP"/>
    <s v="POARECOUP"/>
    <n v="21339885"/>
    <n v="-292.62"/>
    <m/>
    <s v="Y"/>
    <n v="2"/>
    <d v="2023-07-06T19:54:22"/>
    <s v="N"/>
    <m/>
    <m/>
    <s v="Expert Disbursement"/>
    <m/>
    <s v="N"/>
    <n v="0"/>
    <n v="-48.77"/>
    <x v="4"/>
    <s v="VALIDATED"/>
    <n v="1"/>
    <s v="01.11.80.308.2013.0000"/>
    <n v="-48.77"/>
    <s v="11"/>
    <s v="2013"/>
    <n v="33459.28"/>
    <n v="-48.77"/>
    <s v="CREDITOR"/>
    <n v="0"/>
    <n v="0"/>
    <n v="-48.77"/>
    <n v="0"/>
    <n v="0"/>
  </r>
  <r>
    <n v="60949177"/>
    <s v="N"/>
    <n v="21339886"/>
    <s v="3000015164440009RC"/>
    <s v="CIVIL"/>
    <d v="2023-06-27T00:00:00"/>
    <d v="2023-07-06T19:54:22"/>
    <m/>
    <d v="2023-07-06T00:00:00"/>
    <n v="418"/>
    <n v="14752"/>
    <s v="60949177"/>
    <s v="60949177"/>
    <m/>
    <m/>
    <m/>
    <m/>
    <m/>
    <m/>
    <s v="SOLRECOUP"/>
    <s v="SOLRECOUP"/>
    <s v="POARECOUP"/>
    <n v="21339886"/>
    <n v="-186.4"/>
    <m/>
    <s v="Y"/>
    <n v="1"/>
    <d v="2023-07-06T19:54:22"/>
    <s v="N"/>
    <m/>
    <m/>
    <s v="Expert Disbursement"/>
    <m/>
    <s v="N"/>
    <n v="-186.4"/>
    <n v="0"/>
    <x v="4"/>
    <s v="VALIDATED"/>
    <n v="1"/>
    <s v="01.11.80.308.2013.0000"/>
    <n v="-186.4"/>
    <s v="11"/>
    <s v="2013"/>
    <n v="33459.28"/>
    <n v="-186.4"/>
    <s v="CREDITOR"/>
    <n v="0"/>
    <n v="0"/>
    <n v="-186.4"/>
    <n v="0"/>
    <n v="0"/>
  </r>
  <r>
    <n v="60949177"/>
    <s v="N"/>
    <n v="21339886"/>
    <s v="3000015164440009RC"/>
    <s v="CIVIL"/>
    <d v="2023-06-27T00:00:00"/>
    <d v="2023-07-06T19:54:22"/>
    <m/>
    <d v="2023-07-06T00:00:00"/>
    <n v="418"/>
    <n v="14752"/>
    <s v="60949177"/>
    <s v="60949177"/>
    <m/>
    <m/>
    <m/>
    <m/>
    <m/>
    <m/>
    <s v="SOLRECOUP"/>
    <s v="SOLRECOUP"/>
    <s v="POARECOUP"/>
    <n v="21339886"/>
    <n v="-186.4"/>
    <m/>
    <s v="Y"/>
    <n v="2"/>
    <d v="2023-07-06T19:54:22"/>
    <s v="N"/>
    <m/>
    <m/>
    <s v="Expert Disbursement"/>
    <m/>
    <s v="N"/>
    <n v="0"/>
    <n v="0"/>
    <x v="4"/>
    <s v="VALIDATED"/>
    <n v="1"/>
    <s v="01.11.80.000.0000.0000"/>
    <n v="0"/>
    <s v="11"/>
    <s v="0000"/>
    <n v="33459.28"/>
    <n v="0"/>
    <s v="CREDITOR"/>
    <n v="0"/>
    <n v="0"/>
    <n v="0"/>
    <n v="0"/>
    <n v="0"/>
  </r>
  <r>
    <n v="61283867"/>
    <s v="N"/>
    <n v="21339887"/>
    <s v="3000015446240002RC"/>
    <s v="CIVIL"/>
    <d v="2023-06-26T00:00:00"/>
    <d v="2023-07-06T19:54:22"/>
    <m/>
    <d v="2023-07-06T00:00:00"/>
    <n v="418"/>
    <n v="14752"/>
    <s v="61283867"/>
    <s v="61283867"/>
    <m/>
    <m/>
    <m/>
    <m/>
    <m/>
    <m/>
    <s v="SOLRECOUP"/>
    <s v="SOLRECOUP"/>
    <s v="POARECOUP"/>
    <n v="21339887"/>
    <n v="-392.71"/>
    <m/>
    <s v="Y"/>
    <n v="1"/>
    <d v="2023-07-06T19:54:22"/>
    <s v="N"/>
    <m/>
    <m/>
    <s v="Expert Disbursement"/>
    <m/>
    <s v="N"/>
    <n v="-327.26"/>
    <n v="0"/>
    <x v="4"/>
    <s v="VALIDATED"/>
    <n v="1"/>
    <s v="01.11.80.308.2013.0000"/>
    <n v="-327.26"/>
    <s v="11"/>
    <s v="2013"/>
    <n v="33459.28"/>
    <n v="-327.26"/>
    <s v="CREDITOR"/>
    <n v="0"/>
    <n v="0"/>
    <n v="-327.26"/>
    <n v="0"/>
    <n v="0"/>
  </r>
  <r>
    <n v="61283867"/>
    <s v="N"/>
    <n v="21339887"/>
    <s v="3000015446240002RC"/>
    <s v="CIVIL"/>
    <d v="2023-06-26T00:00:00"/>
    <d v="2023-07-06T19:54:22"/>
    <m/>
    <d v="2023-07-06T00:00:00"/>
    <n v="418"/>
    <n v="14752"/>
    <s v="61283867"/>
    <s v="61283867"/>
    <m/>
    <m/>
    <m/>
    <m/>
    <m/>
    <m/>
    <s v="SOLRECOUP"/>
    <s v="SOLRECOUP"/>
    <s v="POARECOUP"/>
    <n v="21339887"/>
    <n v="-392.71"/>
    <m/>
    <s v="Y"/>
    <n v="2"/>
    <d v="2023-07-06T19:54:22"/>
    <s v="N"/>
    <m/>
    <m/>
    <s v="Expert Disbursement"/>
    <m/>
    <s v="N"/>
    <n v="0"/>
    <n v="-65.45"/>
    <x v="4"/>
    <s v="VALIDATED"/>
    <n v="1"/>
    <s v="01.11.80.308.2013.0000"/>
    <n v="-65.45"/>
    <s v="11"/>
    <s v="2013"/>
    <n v="33459.28"/>
    <n v="-65.45"/>
    <s v="CREDITOR"/>
    <n v="0"/>
    <n v="0"/>
    <n v="-65.45"/>
    <n v="0"/>
    <n v="0"/>
  </r>
  <r>
    <n v="60949177"/>
    <s v="N"/>
    <n v="21339888"/>
    <s v="3000015164440004RC"/>
    <s v="CIVIL"/>
    <d v="2023-06-27T00:00:00"/>
    <d v="2023-07-06T19:54:22"/>
    <m/>
    <d v="2023-07-06T00:00:00"/>
    <n v="418"/>
    <n v="14752"/>
    <s v="60949177"/>
    <s v="60949177"/>
    <m/>
    <m/>
    <m/>
    <m/>
    <m/>
    <m/>
    <s v="SOLRECOUP"/>
    <s v="SOLRECOUP"/>
    <s v="POARECOUP"/>
    <n v="21339888"/>
    <n v="-631.37"/>
    <m/>
    <s v="Y"/>
    <n v="1"/>
    <d v="2023-07-06T19:54:22"/>
    <s v="N"/>
    <m/>
    <m/>
    <s v="Expert Disbursement"/>
    <m/>
    <s v="N"/>
    <n v="-631.37"/>
    <n v="0"/>
    <x v="4"/>
    <s v="VALIDATED"/>
    <n v="1"/>
    <s v="01.11.80.308.2013.0000"/>
    <n v="-631.37"/>
    <s v="11"/>
    <s v="2013"/>
    <n v="33459.28"/>
    <n v="-631.37"/>
    <s v="CREDITOR"/>
    <n v="0"/>
    <n v="0"/>
    <n v="-631.37"/>
    <n v="0"/>
    <n v="0"/>
  </r>
  <r>
    <n v="60949177"/>
    <s v="N"/>
    <n v="21339888"/>
    <s v="3000015164440004RC"/>
    <s v="CIVIL"/>
    <d v="2023-06-27T00:00:00"/>
    <d v="2023-07-06T19:54:22"/>
    <m/>
    <d v="2023-07-06T00:00:00"/>
    <n v="418"/>
    <n v="14752"/>
    <s v="60949177"/>
    <s v="60949177"/>
    <m/>
    <m/>
    <m/>
    <m/>
    <m/>
    <m/>
    <s v="SOLRECOUP"/>
    <s v="SOLRECOUP"/>
    <s v="POARECOUP"/>
    <n v="21339888"/>
    <n v="-631.37"/>
    <m/>
    <s v="Y"/>
    <n v="2"/>
    <d v="2023-07-06T19:54:22"/>
    <s v="N"/>
    <m/>
    <m/>
    <s v="Expert Disbursement"/>
    <m/>
    <s v="N"/>
    <n v="0"/>
    <n v="0"/>
    <x v="4"/>
    <s v="VALIDATED"/>
    <n v="1"/>
    <s v="01.11.80.000.0000.0000"/>
    <n v="0"/>
    <s v="11"/>
    <s v="0000"/>
    <n v="33459.28"/>
    <n v="0"/>
    <s v="CREDITOR"/>
    <n v="0"/>
    <n v="0"/>
    <n v="0"/>
    <n v="0"/>
    <n v="0"/>
  </r>
  <r>
    <n v="61130256"/>
    <s v="N"/>
    <n v="21371606"/>
    <s v="3000015317200001RC"/>
    <s v="CIVIL"/>
    <d v="2023-06-27T00:00:00"/>
    <d v="2023-07-13T19:53:16"/>
    <m/>
    <d v="2023-07-13T00:00:00"/>
    <n v="418"/>
    <n v="14752"/>
    <s v="61130256"/>
    <s v="61130256"/>
    <m/>
    <m/>
    <m/>
    <m/>
    <m/>
    <m/>
    <s v="SOLRECOUP"/>
    <s v="SOLRECOUP"/>
    <s v="POARECOUP"/>
    <n v="21371606"/>
    <n v="-762.45"/>
    <m/>
    <s v="Y"/>
    <n v="1"/>
    <d v="2023-07-13T19:53:16"/>
    <s v="N"/>
    <m/>
    <m/>
    <s v="Expert Disbursement"/>
    <m/>
    <s v="N"/>
    <n v="-762.45"/>
    <n v="0"/>
    <x v="11"/>
    <s v="VALIDATED"/>
    <n v="1"/>
    <s v="01.11.80.308.2013.0000"/>
    <n v="-762.45"/>
    <s v="11"/>
    <s v="2013"/>
    <n v="33459.28"/>
    <n v="-762.45"/>
    <s v="CREDITOR"/>
    <n v="0"/>
    <n v="0"/>
    <n v="-762.45"/>
    <n v="0"/>
    <n v="0"/>
  </r>
  <r>
    <n v="61130256"/>
    <s v="N"/>
    <n v="21371606"/>
    <s v="3000015317200001RC"/>
    <s v="CIVIL"/>
    <d v="2023-06-27T00:00:00"/>
    <d v="2023-07-13T19:53:16"/>
    <m/>
    <d v="2023-07-13T00:00:00"/>
    <n v="418"/>
    <n v="14752"/>
    <s v="61130256"/>
    <s v="61130256"/>
    <m/>
    <m/>
    <m/>
    <m/>
    <m/>
    <m/>
    <s v="SOLRECOUP"/>
    <s v="SOLRECOUP"/>
    <s v="POARECOUP"/>
    <n v="21371606"/>
    <n v="-762.45"/>
    <m/>
    <s v="Y"/>
    <n v="2"/>
    <d v="2023-07-13T19:53:16"/>
    <s v="N"/>
    <m/>
    <m/>
    <s v="Expert Disbursement"/>
    <m/>
    <s v="N"/>
    <n v="0"/>
    <n v="0"/>
    <x v="11"/>
    <s v="VALIDATED"/>
    <n v="1"/>
    <s v="01.11.80.000.0000.0000"/>
    <n v="0"/>
    <s v="11"/>
    <s v="0000"/>
    <n v="33459.28"/>
    <n v="0"/>
    <s v="CREDITOR"/>
    <n v="0"/>
    <n v="0"/>
    <n v="0"/>
    <n v="0"/>
    <n v="0"/>
  </r>
  <r>
    <n v="61757168"/>
    <s v="N"/>
    <n v="21361336"/>
    <s v="3000015836350005RC"/>
    <s v="CIVIL"/>
    <d v="2023-06-28T00:00:00"/>
    <d v="2023-07-11T19:38:00"/>
    <m/>
    <d v="2023-07-11T00:00:00"/>
    <n v="418"/>
    <n v="14752"/>
    <s v="61757168"/>
    <s v="61757168"/>
    <m/>
    <m/>
    <m/>
    <m/>
    <m/>
    <m/>
    <s v="SOLRECOUP"/>
    <s v="SOLRECOUP"/>
    <s v="POARECOUP"/>
    <n v="21361336"/>
    <n v="-60.47"/>
    <m/>
    <s v="Y"/>
    <n v="1"/>
    <d v="2023-07-11T19:38:00"/>
    <s v="N"/>
    <m/>
    <m/>
    <s v="Expert Disbursement"/>
    <m/>
    <s v="N"/>
    <n v="-60.47"/>
    <n v="0"/>
    <x v="7"/>
    <s v="VALIDATED"/>
    <n v="1"/>
    <s v="01.11.80.308.2013.0000"/>
    <n v="-60.47"/>
    <s v="11"/>
    <s v="2013"/>
    <n v="33459.28"/>
    <n v="-60.47"/>
    <s v="CREDITOR"/>
    <n v="0"/>
    <n v="0"/>
    <n v="-60.47"/>
    <n v="0"/>
    <n v="0"/>
  </r>
  <r>
    <n v="61757168"/>
    <s v="N"/>
    <n v="21361336"/>
    <s v="3000015836350005RC"/>
    <s v="CIVIL"/>
    <d v="2023-06-28T00:00:00"/>
    <d v="2023-07-11T19:38:00"/>
    <m/>
    <d v="2023-07-11T00:00:00"/>
    <n v="418"/>
    <n v="14752"/>
    <s v="61757168"/>
    <s v="61757168"/>
    <m/>
    <m/>
    <m/>
    <m/>
    <m/>
    <m/>
    <s v="SOLRECOUP"/>
    <s v="SOLRECOUP"/>
    <s v="POARECOUP"/>
    <n v="21361336"/>
    <n v="-60.47"/>
    <m/>
    <s v="Y"/>
    <n v="2"/>
    <d v="2023-07-11T19:38:00"/>
    <s v="N"/>
    <m/>
    <m/>
    <s v="Expert Disbursement"/>
    <m/>
    <s v="N"/>
    <n v="0"/>
    <n v="0"/>
    <x v="7"/>
    <s v="VALIDATED"/>
    <n v="1"/>
    <s v="01.11.80.000.0000.0000"/>
    <n v="0"/>
    <s v="11"/>
    <s v="0000"/>
    <n v="33459.28"/>
    <n v="0"/>
    <s v="CREDITOR"/>
    <n v="0"/>
    <n v="0"/>
    <n v="0"/>
    <n v="0"/>
    <n v="0"/>
  </r>
  <r>
    <n v="61723608"/>
    <s v="N"/>
    <n v="21338413"/>
    <s v="3000015811030002"/>
    <s v="CIVIL"/>
    <d v="2023-06-27T00:00:00"/>
    <d v="2023-07-06T19:21:01"/>
    <m/>
    <d v="2023-07-06T00:00:00"/>
    <n v="424"/>
    <n v="14130"/>
    <s v="61723608"/>
    <s v="61723608"/>
    <m/>
    <m/>
    <n v="22770522"/>
    <m/>
    <m/>
    <m/>
    <s v="SOLFIN"/>
    <s v="SOLFIN"/>
    <s v="CCMS"/>
    <n v="21338413"/>
    <n v="7083.59"/>
    <m/>
    <s v="N"/>
    <n v="2"/>
    <d v="2023-07-06T19:21:24"/>
    <s v="Y"/>
    <s v="Psychologist"/>
    <s v="Public Law Children"/>
    <s v="Expert Disbursement"/>
    <s v="Chanon Hessell"/>
    <s v="Y"/>
    <n v="904.4"/>
    <n v="180.88"/>
    <x v="4"/>
    <s v="VALIDATED"/>
    <n v="1"/>
    <s v="01.11.80.308.6300.0000"/>
    <n v="904.4"/>
    <s v="11"/>
    <s v="6300"/>
    <n v="21705.84"/>
    <n v="904.4"/>
    <s v="CREDITOR"/>
    <n v="0"/>
    <n v="0"/>
    <n v="0"/>
    <n v="0"/>
    <n v="904.4"/>
  </r>
  <r>
    <n v="61619805"/>
    <s v="N"/>
    <n v="21331210"/>
    <s v="3000015725450002"/>
    <s v="CIVIL"/>
    <d v="2023-06-27T00:00:00"/>
    <d v="2023-07-05T19:01:47"/>
    <m/>
    <d v="2023-07-05T00:00:00"/>
    <n v="424"/>
    <n v="14130"/>
    <s v="61619805"/>
    <s v="61619805"/>
    <m/>
    <m/>
    <n v="22774208"/>
    <m/>
    <m/>
    <m/>
    <s v="SOLFIN"/>
    <s v="SOLFIN"/>
    <s v="CCMS"/>
    <n v="21331210"/>
    <n v="3323.9"/>
    <m/>
    <s v="N"/>
    <n v="1"/>
    <d v="2023-07-05T19:02:10"/>
    <s v="Y"/>
    <s v="Exceptional Travel"/>
    <s v="Public Law Children"/>
    <s v="Advocacy"/>
    <s v="Neil Puttock"/>
    <s v="Y"/>
    <n v="32.04"/>
    <n v="6.41"/>
    <x v="6"/>
    <s v="VALIDATED"/>
    <n v="1"/>
    <s v="01.11.80.308.6100.0000"/>
    <n v="32.04"/>
    <s v="11"/>
    <s v="6100"/>
    <n v="21705.84"/>
    <n v="32.04"/>
    <s v="CREDITOR"/>
    <n v="0"/>
    <n v="0"/>
    <n v="0"/>
    <n v="0"/>
    <n v="32.04"/>
  </r>
  <r>
    <n v="61160638"/>
    <s v="N"/>
    <n v="21331391"/>
    <s v="3000015343610002"/>
    <s v="CIVIL"/>
    <d v="2023-06-27T00:00:00"/>
    <d v="2023-07-05T19:01:47"/>
    <m/>
    <d v="2023-07-05T00:00:00"/>
    <n v="424"/>
    <n v="14130"/>
    <s v="61160638"/>
    <s v="61160638"/>
    <m/>
    <m/>
    <n v="22773022"/>
    <m/>
    <m/>
    <m/>
    <s v="SOLFIN"/>
    <s v="SOLFIN"/>
    <s v="CCMS"/>
    <n v="21331391"/>
    <n v="5061.01"/>
    <m/>
    <s v="N"/>
    <n v="8"/>
    <d v="2023-07-05T19:02:17"/>
    <s v="Y"/>
    <s v="Advocates Meeting"/>
    <s v="Public Law Children"/>
    <s v="Advocacy"/>
    <s v="Neil Puttock"/>
    <s v="Y"/>
    <n v="140.99"/>
    <n v="28.2"/>
    <x v="6"/>
    <s v="VALIDATED"/>
    <n v="1"/>
    <s v="01.11.80.308.6100.0000"/>
    <n v="140.99"/>
    <s v="11"/>
    <s v="6100"/>
    <n v="21705.84"/>
    <n v="140.99"/>
    <s v="CREDITOR"/>
    <n v="0"/>
    <n v="0"/>
    <n v="0"/>
    <n v="0"/>
    <n v="140.99"/>
  </r>
  <r>
    <n v="61462756"/>
    <s v="N"/>
    <n v="21321386"/>
    <s v="3000015592610038"/>
    <s v="CIVIL"/>
    <d v="2023-06-29T00:00:00"/>
    <d v="2023-07-03T19:05:17"/>
    <m/>
    <d v="2023-07-03T00:00:00"/>
    <n v="424"/>
    <n v="14130"/>
    <s v="61462756"/>
    <s v="61462756"/>
    <m/>
    <m/>
    <n v="22786650"/>
    <m/>
    <m/>
    <m/>
    <s v="SOLPOA"/>
    <s v="SOLPOA"/>
    <s v="CCMS"/>
    <n v="21321386"/>
    <n v="212.51"/>
    <m/>
    <s v="N"/>
    <n v="1"/>
    <d v="2023-07-03T19:05:18"/>
    <s v="N"/>
    <s v="Expert Cost"/>
    <s v="Expert Cost"/>
    <s v="Expert Disbursement"/>
    <s v="Chanon Hessell"/>
    <s v="N"/>
    <n v="177.09"/>
    <n v="35.42"/>
    <x v="3"/>
    <s v="VALIDATED"/>
    <n v="1"/>
    <s v="01.11.80.308.2012.0000"/>
    <n v="177.09"/>
    <s v="11"/>
    <s v="2012"/>
    <n v="21705.84"/>
    <n v="177.09"/>
    <s v="CREDITOR"/>
    <n v="177.09"/>
    <n v="0"/>
    <n v="0"/>
    <n v="0"/>
    <n v="0"/>
  </r>
  <r>
    <n v="61160545"/>
    <s v="N"/>
    <n v="21343504"/>
    <s v="3000015343470001"/>
    <s v="CIVIL"/>
    <d v="2023-06-28T00:00:00"/>
    <d v="2023-07-07T19:03:00"/>
    <m/>
    <d v="2023-07-07T00:00:00"/>
    <n v="424"/>
    <n v="14130"/>
    <s v="61160545"/>
    <s v="61160545"/>
    <m/>
    <m/>
    <n v="22779570"/>
    <m/>
    <m/>
    <m/>
    <s v="SOLFIN"/>
    <s v="SOLFIN"/>
    <s v="CCMS"/>
    <n v="21343504"/>
    <n v="5035.52"/>
    <m/>
    <s v="N"/>
    <n v="12"/>
    <d v="2023-07-07T19:03:10"/>
    <s v="Y"/>
    <s v="Solicitors Fixed Fee"/>
    <s v="Public Law Children"/>
    <s v="Profit Cost"/>
    <s v="Neil Puttock"/>
    <s v="Y"/>
    <n v="2013"/>
    <n v="402.6"/>
    <x v="9"/>
    <s v="VALIDATED"/>
    <n v="1"/>
    <s v="01.11.80.308.6100.0000"/>
    <n v="2013"/>
    <s v="11"/>
    <s v="6100"/>
    <n v="21705.84"/>
    <n v="2013"/>
    <s v="CREDITOR"/>
    <n v="0"/>
    <n v="0"/>
    <n v="0"/>
    <n v="0"/>
    <n v="2013"/>
  </r>
  <r>
    <n v="61195780"/>
    <s v="N"/>
    <n v="21343903"/>
    <s v="3000015370460002"/>
    <s v="CIVIL"/>
    <d v="2023-06-28T00:00:00"/>
    <d v="2023-07-07T19:03:00"/>
    <m/>
    <d v="2023-07-07T00:00:00"/>
    <n v="424"/>
    <n v="14130"/>
    <s v="61195780"/>
    <s v="61195780"/>
    <m/>
    <m/>
    <n v="22783972"/>
    <m/>
    <m/>
    <m/>
    <s v="SOLFIN"/>
    <s v="SOLFIN"/>
    <s v="CCMS"/>
    <n v="21343903"/>
    <n v="1757.42"/>
    <m/>
    <s v="N"/>
    <n v="8"/>
    <d v="2023-07-07T19:03:16"/>
    <s v="Y"/>
    <s v="Preparation - drafting bill/claim f"/>
    <s v="Prescribed Hourly Rates"/>
    <s v="Profit Cost"/>
    <s v="Julie Till"/>
    <s v="Y"/>
    <n v="82.34999999999999"/>
    <n v="16.47"/>
    <x v="9"/>
    <s v="VALIDATED"/>
    <n v="1"/>
    <s v="01.11.80.307.6100.0000"/>
    <n v="82.34999999999999"/>
    <s v="11"/>
    <s v="6100"/>
    <n v="21705.84"/>
    <n v="82.34999999999999"/>
    <s v="CREDITOR"/>
    <n v="0"/>
    <n v="0"/>
    <n v="0"/>
    <n v="0"/>
    <n v="82.34999999999999"/>
  </r>
  <r>
    <n v="61619805"/>
    <s v="N"/>
    <n v="21331210"/>
    <s v="3000015725450002"/>
    <s v="CIVIL"/>
    <d v="2023-06-27T00:00:00"/>
    <d v="2023-07-05T19:01:47"/>
    <m/>
    <d v="2023-07-05T00:00:00"/>
    <n v="424"/>
    <n v="14130"/>
    <s v="61619805"/>
    <s v="61619805"/>
    <m/>
    <m/>
    <n v="22774208"/>
    <m/>
    <m/>
    <m/>
    <s v="SOLFIN"/>
    <s v="SOLFIN"/>
    <s v="CCMS"/>
    <n v="21331210"/>
    <n v="3323.9"/>
    <m/>
    <s v="N"/>
    <n v="2"/>
    <d v="2023-07-05T19:02:10"/>
    <s v="Y"/>
    <s v="Solicitor Travel Mileage"/>
    <s v="Public Law Children"/>
    <s v="Non Expert Disbursement"/>
    <s v="Neil Puttock"/>
    <s v="Y"/>
    <n v="27"/>
    <n v="5.4"/>
    <x v="6"/>
    <s v="VALIDATED"/>
    <n v="1"/>
    <s v="01.11.80.308.6300.0000"/>
    <n v="27"/>
    <s v="11"/>
    <s v="6300"/>
    <n v="21705.84"/>
    <n v="27"/>
    <s v="CREDITOR"/>
    <n v="0"/>
    <n v="0"/>
    <n v="0"/>
    <n v="0"/>
    <n v="27"/>
  </r>
  <r>
    <n v="61195780"/>
    <s v="N"/>
    <n v="21343903"/>
    <s v="3000015370460002"/>
    <s v="CIVIL"/>
    <d v="2023-06-28T00:00:00"/>
    <d v="2023-07-07T19:03:00"/>
    <m/>
    <d v="2023-07-07T00:00:00"/>
    <n v="424"/>
    <n v="14130"/>
    <s v="61195780"/>
    <s v="61195780"/>
    <m/>
    <m/>
    <n v="22783972"/>
    <m/>
    <m/>
    <m/>
    <s v="SOLFIN"/>
    <s v="SOLFIN"/>
    <s v="CCMS"/>
    <n v="21343903"/>
    <n v="1757.42"/>
    <m/>
    <s v="N"/>
    <n v="4"/>
    <d v="2023-07-07T19:03:16"/>
    <s v="Y"/>
    <s v="Routine Telephone Call"/>
    <s v="Prescribed Hourly Rates"/>
    <s v="Profit Cost"/>
    <s v="Neil Puttock"/>
    <s v="Y"/>
    <n v="6.21"/>
    <n v="1.24"/>
    <x v="9"/>
    <s v="VALIDATED"/>
    <n v="1"/>
    <s v="01.11.80.307.6100.0000"/>
    <n v="6.21"/>
    <s v="11"/>
    <s v="6100"/>
    <n v="21705.84"/>
    <n v="6.21"/>
    <s v="CREDITOR"/>
    <n v="0"/>
    <n v="0"/>
    <n v="0"/>
    <n v="0"/>
    <n v="6.21"/>
  </r>
  <r>
    <n v="61195780"/>
    <s v="N"/>
    <n v="21343903"/>
    <s v="3000015370460002"/>
    <s v="CIVIL"/>
    <d v="2023-06-28T00:00:00"/>
    <d v="2023-07-07T19:03:00"/>
    <m/>
    <d v="2023-07-07T00:00:00"/>
    <n v="424"/>
    <n v="14130"/>
    <s v="61195780"/>
    <s v="61195780"/>
    <m/>
    <m/>
    <n v="22783972"/>
    <m/>
    <m/>
    <m/>
    <s v="SOLFIN"/>
    <s v="SOLFIN"/>
    <s v="CCMS"/>
    <n v="21343903"/>
    <n v="1757.42"/>
    <m/>
    <s v="N"/>
    <n v="2"/>
    <d v="2023-07-07T19:03:16"/>
    <s v="Y"/>
    <s v="Routine Letter In"/>
    <s v="Prescribed Hourly Rates"/>
    <s v="Profit Cost"/>
    <s v="Neil Puttock"/>
    <s v="Y"/>
    <n v="117.99"/>
    <n v="23.6"/>
    <x v="9"/>
    <s v="VALIDATED"/>
    <n v="1"/>
    <s v="01.11.80.307.6100.0000"/>
    <n v="117.99"/>
    <s v="11"/>
    <s v="6100"/>
    <n v="21705.84"/>
    <n v="117.99"/>
    <s v="CREDITOR"/>
    <n v="0"/>
    <n v="0"/>
    <n v="0"/>
    <n v="0"/>
    <n v="117.99"/>
  </r>
  <r>
    <n v="61195780"/>
    <s v="N"/>
    <n v="21343903"/>
    <s v="3000015370460002"/>
    <s v="CIVIL"/>
    <d v="2023-06-28T00:00:00"/>
    <d v="2023-07-07T19:03:00"/>
    <m/>
    <d v="2023-07-07T00:00:00"/>
    <n v="424"/>
    <n v="14130"/>
    <s v="61195780"/>
    <s v="61195780"/>
    <m/>
    <m/>
    <n v="22783972"/>
    <m/>
    <m/>
    <m/>
    <s v="SOLFIN"/>
    <s v="SOLFIN"/>
    <s v="CCMS"/>
    <n v="21343903"/>
    <n v="1757.42"/>
    <m/>
    <s v="N"/>
    <n v="18"/>
    <d v="2023-07-07T19:03:16"/>
    <s v="Y"/>
    <s v="Preparation - drafting pleadings"/>
    <s v="Prescribed Hourly Rates"/>
    <s v="Profit Cost"/>
    <s v="Neil Puttock"/>
    <s v="Y"/>
    <n v="6.31"/>
    <n v="1.26"/>
    <x v="9"/>
    <s v="VALIDATED"/>
    <n v="1"/>
    <s v="01.11.80.307.6100.0000"/>
    <n v="6.31"/>
    <s v="11"/>
    <s v="6100"/>
    <n v="21705.84"/>
    <n v="6.31"/>
    <s v="CREDITOR"/>
    <n v="0"/>
    <n v="0"/>
    <n v="0"/>
    <n v="0"/>
    <n v="6.31"/>
  </r>
  <r>
    <n v="61723608"/>
    <s v="N"/>
    <n v="21338413"/>
    <s v="3000015811030002"/>
    <s v="CIVIL"/>
    <d v="2023-06-27T00:00:00"/>
    <d v="2023-07-06T19:21:01"/>
    <m/>
    <d v="2023-07-06T00:00:00"/>
    <n v="424"/>
    <n v="14130"/>
    <s v="61723608"/>
    <s v="61723608"/>
    <m/>
    <m/>
    <n v="22770522"/>
    <m/>
    <m/>
    <m/>
    <s v="SOLFIN"/>
    <s v="SOLFIN"/>
    <s v="CCMS"/>
    <n v="21338413"/>
    <n v="7083.59"/>
    <m/>
    <s v="N"/>
    <n v="12"/>
    <d v="2023-07-06T19:21:24"/>
    <s v="Y"/>
    <s v="Advocates Meeting"/>
    <s v="Public Law Children"/>
    <s v="Advocacy"/>
    <s v="Chanon Hessell"/>
    <s v="Y"/>
    <n v="140.99"/>
    <n v="28.2"/>
    <x v="4"/>
    <s v="VALIDATED"/>
    <n v="1"/>
    <s v="01.11.80.308.6100.0000"/>
    <n v="140.99"/>
    <s v="11"/>
    <s v="6100"/>
    <n v="21705.84"/>
    <n v="140.99"/>
    <s v="CREDITOR"/>
    <n v="0"/>
    <n v="0"/>
    <n v="0"/>
    <n v="0"/>
    <n v="140.99"/>
  </r>
  <r>
    <n v="61195780"/>
    <s v="N"/>
    <n v="21343903"/>
    <s v="3000015370460002"/>
    <s v="CIVIL"/>
    <d v="2023-06-28T00:00:00"/>
    <d v="2023-07-07T19:03:00"/>
    <m/>
    <d v="2023-07-07T00:00:00"/>
    <n v="424"/>
    <n v="14130"/>
    <s v="61195780"/>
    <s v="61195780"/>
    <m/>
    <m/>
    <n v="22783972"/>
    <m/>
    <m/>
    <m/>
    <s v="SOLFIN"/>
    <s v="SOLFIN"/>
    <s v="CCMS"/>
    <n v="21343903"/>
    <n v="1757.42"/>
    <m/>
    <s v="N"/>
    <n v="24"/>
    <d v="2023-07-07T19:03:16"/>
    <s v="Y"/>
    <s v="Attendance upon client"/>
    <s v="Prescribed Hourly Rates"/>
    <s v="Profit Cost"/>
    <s v="Cristiane Taylor"/>
    <s v="Y"/>
    <n v="27.45"/>
    <n v="5.49"/>
    <x v="9"/>
    <s v="VALIDATED"/>
    <n v="1"/>
    <s v="01.11.80.307.6100.0000"/>
    <n v="27.45"/>
    <s v="11"/>
    <s v="6100"/>
    <n v="21705.84"/>
    <n v="27.45"/>
    <s v="CREDITOR"/>
    <n v="0"/>
    <n v="0"/>
    <n v="0"/>
    <n v="0"/>
    <n v="27.45"/>
  </r>
  <r>
    <n v="61195780"/>
    <s v="N"/>
    <n v="21343903"/>
    <s v="3000015370460002"/>
    <s v="CIVIL"/>
    <d v="2023-06-28T00:00:00"/>
    <d v="2023-07-07T19:03:00"/>
    <m/>
    <d v="2023-07-07T00:00:00"/>
    <n v="424"/>
    <n v="14130"/>
    <s v="61195780"/>
    <s v="61195780"/>
    <m/>
    <m/>
    <n v="22783972"/>
    <m/>
    <m/>
    <m/>
    <s v="SOLFIN"/>
    <s v="SOLFIN"/>
    <s v="CCMS"/>
    <n v="21343903"/>
    <n v="1757.42"/>
    <m/>
    <s v="N"/>
    <n v="25"/>
    <d v="2023-07-07T19:03:16"/>
    <s v="Y"/>
    <s v="Preparation - drafting pleadings"/>
    <s v="Prescribed Hourly Rates"/>
    <s v="Profit Cost"/>
    <s v="Emma Bailey"/>
    <s v="Y"/>
    <n v="27.45"/>
    <n v="5.49"/>
    <x v="9"/>
    <s v="VALIDATED"/>
    <n v="1"/>
    <s v="01.11.80.307.6100.0000"/>
    <n v="27.45"/>
    <s v="11"/>
    <s v="6100"/>
    <n v="21705.84"/>
    <n v="27.45"/>
    <s v="CREDITOR"/>
    <n v="0"/>
    <n v="0"/>
    <n v="0"/>
    <n v="0"/>
    <n v="27.45"/>
  </r>
  <r>
    <n v="61195780"/>
    <s v="N"/>
    <n v="21343903"/>
    <s v="3000015370460002"/>
    <s v="CIVIL"/>
    <d v="2023-06-28T00:00:00"/>
    <d v="2023-07-07T19:03:00"/>
    <m/>
    <d v="2023-07-07T00:00:00"/>
    <n v="424"/>
    <n v="14130"/>
    <s v="61195780"/>
    <s v="61195780"/>
    <m/>
    <m/>
    <n v="22783972"/>
    <m/>
    <m/>
    <m/>
    <s v="SOLFIN"/>
    <s v="SOLFIN"/>
    <s v="CCMS"/>
    <n v="21343903"/>
    <n v="1757.42"/>
    <m/>
    <s v="N"/>
    <n v="23"/>
    <d v="2023-07-07T19:03:16"/>
    <s v="Y"/>
    <s v="Preparation - drafting pleadings"/>
    <s v="Prescribed Hourly Rates"/>
    <s v="Profit Cost"/>
    <s v="Cristiane Taylor"/>
    <s v="Y"/>
    <n v="54.9"/>
    <n v="10.98"/>
    <x v="9"/>
    <s v="VALIDATED"/>
    <n v="1"/>
    <s v="01.11.80.307.6100.0000"/>
    <n v="54.9"/>
    <s v="11"/>
    <s v="6100"/>
    <n v="21705.84"/>
    <n v="54.9"/>
    <s v="CREDITOR"/>
    <n v="0"/>
    <n v="0"/>
    <n v="0"/>
    <n v="0"/>
    <n v="54.9"/>
  </r>
  <r>
    <n v="61559403"/>
    <s v="N"/>
    <n v="21338450"/>
    <s v="3000015674720001"/>
    <s v="CIVIL"/>
    <d v="2023-06-28T00:00:00"/>
    <d v="2023-07-06T19:21:01"/>
    <m/>
    <d v="2023-07-06T00:00:00"/>
    <n v="424"/>
    <n v="14130"/>
    <s v="61559403"/>
    <s v="61559403"/>
    <m/>
    <m/>
    <n v="22781598"/>
    <m/>
    <m/>
    <m/>
    <s v="SOLFIN"/>
    <s v="SOLFIN"/>
    <s v="CCMS"/>
    <n v="21338450"/>
    <n v="885.51"/>
    <m/>
    <s v="N"/>
    <n v="12"/>
    <d v="2023-07-06T19:21:25"/>
    <s v="Y"/>
    <s v="Routine Letter In"/>
    <s v="Care Remuneration Hourly Rates"/>
    <s v="Profit Cost"/>
    <s v="Cristiane Taylor"/>
    <s v="Y"/>
    <n v="5.55"/>
    <n v="1.11"/>
    <x v="4"/>
    <s v="VALIDATED"/>
    <n v="1"/>
    <s v="01.11.80.305.6100.0000"/>
    <n v="5.55"/>
    <s v="11"/>
    <s v="6100"/>
    <n v="21705.84"/>
    <n v="5.55"/>
    <s v="CREDITOR"/>
    <n v="0"/>
    <n v="0"/>
    <n v="0"/>
    <n v="0"/>
    <n v="5.55"/>
  </r>
  <r>
    <n v="61195780"/>
    <s v="N"/>
    <n v="21343903"/>
    <s v="3000015370460002"/>
    <s v="CIVIL"/>
    <d v="2023-06-28T00:00:00"/>
    <d v="2023-07-07T19:03:00"/>
    <m/>
    <d v="2023-07-07T00:00:00"/>
    <n v="424"/>
    <n v="14130"/>
    <s v="61195780"/>
    <s v="61195780"/>
    <m/>
    <m/>
    <n v="22783972"/>
    <m/>
    <m/>
    <m/>
    <s v="SOLFIN"/>
    <s v="SOLFIN"/>
    <s v="CCMS"/>
    <n v="21343903"/>
    <n v="1757.42"/>
    <m/>
    <s v="N"/>
    <n v="9"/>
    <d v="2023-07-07T19:03:16"/>
    <s v="Y"/>
    <s v="Preparation - drafting statement"/>
    <s v="Prescribed Hourly Rates"/>
    <s v="Profit Cost"/>
    <s v="Neil Puttock"/>
    <s v="Y"/>
    <n v="94.7"/>
    <n v="18.94"/>
    <x v="9"/>
    <s v="VALIDATED"/>
    <n v="1"/>
    <s v="01.11.80.307.6100.0000"/>
    <n v="94.7"/>
    <s v="11"/>
    <s v="6100"/>
    <n v="21705.84"/>
    <n v="94.7"/>
    <s v="CREDITOR"/>
    <n v="0"/>
    <n v="0"/>
    <n v="0"/>
    <n v="0"/>
    <n v="94.7"/>
  </r>
  <r>
    <n v="61195780"/>
    <s v="N"/>
    <n v="21343903"/>
    <s v="3000015370460002"/>
    <s v="CIVIL"/>
    <d v="2023-06-28T00:00:00"/>
    <d v="2023-07-07T19:03:00"/>
    <m/>
    <d v="2023-07-07T00:00:00"/>
    <n v="424"/>
    <n v="14130"/>
    <s v="61195780"/>
    <s v="61195780"/>
    <m/>
    <m/>
    <n v="22783972"/>
    <m/>
    <m/>
    <m/>
    <s v="SOLFIN"/>
    <s v="SOLFIN"/>
    <s v="CCMS"/>
    <n v="21343903"/>
    <n v="1757.42"/>
    <m/>
    <s v="N"/>
    <n v="10"/>
    <d v="2023-07-07T19:03:16"/>
    <s v="Y"/>
    <s v="Preparation - drafting pleadings"/>
    <s v="Prescribed Hourly Rates"/>
    <s v="Profit Cost"/>
    <s v="Neil Puttock"/>
    <s v="Y"/>
    <n v="126.27"/>
    <n v="25.25"/>
    <x v="9"/>
    <s v="VALIDATED"/>
    <n v="1"/>
    <s v="01.11.80.307.6100.0000"/>
    <n v="126.27"/>
    <s v="11"/>
    <s v="6100"/>
    <n v="21705.84"/>
    <n v="126.27"/>
    <s v="CREDITOR"/>
    <n v="0"/>
    <n v="0"/>
    <n v="0"/>
    <n v="0"/>
    <n v="126.27"/>
  </r>
  <r>
    <n v="61160638"/>
    <s v="N"/>
    <n v="21331391"/>
    <s v="3000015343610002"/>
    <s v="CIVIL"/>
    <d v="2023-06-27T00:00:00"/>
    <d v="2023-07-05T19:01:47"/>
    <m/>
    <d v="2023-07-05T00:00:00"/>
    <n v="424"/>
    <n v="14130"/>
    <s v="61160638"/>
    <s v="61160638"/>
    <m/>
    <m/>
    <n v="22773022"/>
    <m/>
    <m/>
    <m/>
    <s v="SOLFIN"/>
    <s v="SOLFIN"/>
    <s v="CCMS"/>
    <n v="21331391"/>
    <n v="5061.01"/>
    <m/>
    <s v="N"/>
    <n v="2"/>
    <d v="2023-07-05T19:02:17"/>
    <s v="Y"/>
    <s v="Independent Social Worker"/>
    <s v="Public Law Children"/>
    <s v="Expert Disbursement"/>
    <s v="Neil Puttock"/>
    <s v="Y"/>
    <n v="409.72"/>
    <n v="0"/>
    <x v="6"/>
    <s v="VALIDATED"/>
    <n v="1"/>
    <s v="01.11.80.308.6300.0000"/>
    <n v="409.72"/>
    <s v="11"/>
    <s v="6300"/>
    <n v="21705.84"/>
    <n v="409.72"/>
    <s v="CREDITOR"/>
    <n v="0"/>
    <n v="0"/>
    <n v="0"/>
    <n v="0"/>
    <n v="409.72"/>
  </r>
  <r>
    <n v="61559403"/>
    <s v="N"/>
    <n v="21338450"/>
    <s v="3000015674720001"/>
    <s v="CIVIL"/>
    <d v="2023-06-28T00:00:00"/>
    <d v="2023-07-06T19:21:01"/>
    <m/>
    <d v="2023-07-06T00:00:00"/>
    <n v="424"/>
    <n v="14130"/>
    <s v="61559403"/>
    <s v="61559403"/>
    <m/>
    <m/>
    <n v="22781598"/>
    <m/>
    <m/>
    <m/>
    <s v="SOLFIN"/>
    <s v="SOLFIN"/>
    <s v="CCMS"/>
    <n v="21338450"/>
    <n v="885.51"/>
    <m/>
    <s v="N"/>
    <n v="5"/>
    <d v="2023-07-06T19:21:25"/>
    <s v="Y"/>
    <s v="Preparation - drafting statement"/>
    <s v="Care Remuneration Hourly Rates"/>
    <s v="Profit Cost"/>
    <s v="Neil Puttock"/>
    <s v="Y"/>
    <n v="33.59"/>
    <n v="6.72"/>
    <x v="4"/>
    <s v="VALIDATED"/>
    <n v="1"/>
    <s v="01.11.80.305.6100.0000"/>
    <n v="33.59"/>
    <s v="11"/>
    <s v="6100"/>
    <n v="21705.84"/>
    <n v="33.59"/>
    <s v="CREDITOR"/>
    <n v="0"/>
    <n v="0"/>
    <n v="0"/>
    <n v="0"/>
    <n v="33.59"/>
  </r>
  <r>
    <n v="61691557"/>
    <s v="N"/>
    <n v="21337835"/>
    <s v="3000015777890001"/>
    <s v="CIVIL"/>
    <d v="2023-06-30T00:00:00"/>
    <d v="2023-07-06T19:21:01"/>
    <m/>
    <d v="2023-07-06T00:00:00"/>
    <n v="424"/>
    <n v="14130"/>
    <s v="61691557"/>
    <s v="61691557"/>
    <m/>
    <m/>
    <n v="22800150"/>
    <m/>
    <m/>
    <m/>
    <s v="SOLPOA"/>
    <s v="SOLPOA"/>
    <s v="CCMS"/>
    <n v="21337835"/>
    <n v="5969.76"/>
    <m/>
    <s v="N"/>
    <n v="1"/>
    <d v="2023-07-06T19:21:09"/>
    <s v="N"/>
    <s v="Expert Cost"/>
    <s v="Expert Cost"/>
    <s v="Expert Disbursement"/>
    <s v="NEIL PUTTOCK"/>
    <s v="N"/>
    <n v="4974.8"/>
    <n v="994.96"/>
    <x v="4"/>
    <s v="VALIDATED"/>
    <n v="1"/>
    <s v="01.11.80.307.2012.0000"/>
    <n v="4974.8"/>
    <s v="11"/>
    <s v="2012"/>
    <n v="21705.84"/>
    <n v="4974.8"/>
    <s v="CREDITOR"/>
    <n v="4974.8"/>
    <n v="0"/>
    <n v="0"/>
    <n v="0"/>
    <n v="0"/>
  </r>
  <r>
    <n v="61619805"/>
    <s v="N"/>
    <n v="21331210"/>
    <s v="3000015725450002"/>
    <s v="CIVIL"/>
    <d v="2023-06-27T00:00:00"/>
    <d v="2023-07-05T19:01:47"/>
    <m/>
    <d v="2023-07-05T00:00:00"/>
    <n v="424"/>
    <n v="14130"/>
    <s v="61619805"/>
    <s v="61619805"/>
    <m/>
    <m/>
    <n v="22774208"/>
    <m/>
    <m/>
    <m/>
    <s v="SOLFIN"/>
    <s v="SOLFIN"/>
    <s v="CCMS"/>
    <n v="21331210"/>
    <n v="3323.9"/>
    <m/>
    <s v="N"/>
    <n v="5"/>
    <d v="2023-07-05T19:02:10"/>
    <s v="Y"/>
    <s v="Solicitors Fixed Fee"/>
    <s v="Public Law Children"/>
    <s v="Profit Cost"/>
    <s v="Neil Puttock"/>
    <s v="Y"/>
    <n v="2013"/>
    <n v="402.6"/>
    <x v="6"/>
    <s v="VALIDATED"/>
    <n v="1"/>
    <s v="01.11.80.308.6100.0000"/>
    <n v="2013"/>
    <s v="11"/>
    <s v="6100"/>
    <n v="21705.84"/>
    <n v="2013"/>
    <s v="CREDITOR"/>
    <n v="0"/>
    <n v="0"/>
    <n v="0"/>
    <n v="0"/>
    <n v="2013"/>
  </r>
  <r>
    <n v="61195780"/>
    <s v="N"/>
    <n v="21343903"/>
    <s v="3000015370460002"/>
    <s v="CIVIL"/>
    <d v="2023-06-28T00:00:00"/>
    <d v="2023-07-07T19:03:00"/>
    <m/>
    <d v="2023-07-07T00:00:00"/>
    <n v="424"/>
    <n v="14130"/>
    <s v="61195780"/>
    <s v="61195780"/>
    <m/>
    <m/>
    <n v="22783972"/>
    <m/>
    <m/>
    <m/>
    <s v="SOLFIN"/>
    <s v="SOLFIN"/>
    <s v="CCMS"/>
    <n v="21343903"/>
    <n v="1757.42"/>
    <m/>
    <s v="N"/>
    <n v="3"/>
    <d v="2023-07-07T19:03:16"/>
    <s v="Y"/>
    <s v="Preparation - drafting statement"/>
    <s v="Prescribed Hourly Rates"/>
    <s v="Profit Cost"/>
    <s v="Neil Puttock"/>
    <s v="Y"/>
    <n v="18.94"/>
    <n v="3.79"/>
    <x v="9"/>
    <s v="VALIDATED"/>
    <n v="1"/>
    <s v="01.11.80.307.6100.0000"/>
    <n v="18.94"/>
    <s v="11"/>
    <s v="6100"/>
    <n v="21705.84"/>
    <n v="18.94"/>
    <s v="CREDITOR"/>
    <n v="0"/>
    <n v="0"/>
    <n v="0"/>
    <n v="0"/>
    <n v="18.94"/>
  </r>
  <r>
    <n v="61723608"/>
    <s v="N"/>
    <n v="21338413"/>
    <s v="3000015811030002"/>
    <s v="CIVIL"/>
    <d v="2023-06-27T00:00:00"/>
    <d v="2023-07-06T19:21:01"/>
    <m/>
    <d v="2023-07-06T00:00:00"/>
    <n v="424"/>
    <n v="14130"/>
    <s v="61723608"/>
    <s v="61723608"/>
    <m/>
    <m/>
    <n v="22770522"/>
    <m/>
    <m/>
    <m/>
    <s v="SOLFIN"/>
    <s v="SOLFIN"/>
    <s v="CCMS"/>
    <n v="21338413"/>
    <n v="7083.59"/>
    <m/>
    <s v="N"/>
    <n v="7"/>
    <d v="2023-07-06T19:21:24"/>
    <s v="Y"/>
    <s v="Final Hearing - 1 Day"/>
    <s v="Public Law Children"/>
    <s v="Advocacy"/>
    <s v="Chanon Hessll"/>
    <s v="Y"/>
    <n v="556.88"/>
    <n v="111.38"/>
    <x v="4"/>
    <s v="VALIDATED"/>
    <n v="1"/>
    <s v="01.11.80.308.6100.0000"/>
    <n v="556.88"/>
    <s v="11"/>
    <s v="6100"/>
    <n v="21705.84"/>
    <n v="556.88"/>
    <s v="CREDITOR"/>
    <n v="0"/>
    <n v="0"/>
    <n v="0"/>
    <n v="0"/>
    <n v="556.88"/>
  </r>
  <r>
    <n v="61723608"/>
    <s v="N"/>
    <n v="21339896"/>
    <s v="3000015811030001RC"/>
    <s v="CIVIL"/>
    <d v="2023-06-27T00:00:00"/>
    <d v="2023-07-06T19:54:22"/>
    <m/>
    <d v="2023-07-06T00:00:00"/>
    <n v="424"/>
    <n v="14130"/>
    <s v="61723608"/>
    <s v="61723608"/>
    <m/>
    <m/>
    <m/>
    <m/>
    <m/>
    <m/>
    <s v="SOLRECOUP"/>
    <s v="SOLRECOUP"/>
    <s v="POARECOUP"/>
    <n v="21339896"/>
    <n v="-1085.28"/>
    <m/>
    <s v="Y"/>
    <n v="2"/>
    <d v="2023-07-06T19:54:22"/>
    <s v="N"/>
    <m/>
    <m/>
    <s v="Expert Disbursement"/>
    <m/>
    <s v="N"/>
    <n v="0"/>
    <n v="-180.88"/>
    <x v="4"/>
    <s v="VALIDATED"/>
    <n v="1"/>
    <s v="01.11.80.308.2013.0000"/>
    <n v="-180.88"/>
    <s v="11"/>
    <s v="2013"/>
    <n v="21705.84"/>
    <n v="-180.88"/>
    <s v="CREDITOR"/>
    <n v="0"/>
    <n v="0"/>
    <n v="-180.88"/>
    <n v="0"/>
    <n v="0"/>
  </r>
  <r>
    <n v="61723608"/>
    <s v="N"/>
    <n v="21339896"/>
    <s v="3000015811030001RC"/>
    <s v="CIVIL"/>
    <d v="2023-06-27T00:00:00"/>
    <d v="2023-07-06T19:54:22"/>
    <m/>
    <d v="2023-07-06T00:00:00"/>
    <n v="424"/>
    <n v="14130"/>
    <s v="61723608"/>
    <s v="61723608"/>
    <m/>
    <m/>
    <m/>
    <m/>
    <m/>
    <m/>
    <s v="SOLRECOUP"/>
    <s v="SOLRECOUP"/>
    <s v="POARECOUP"/>
    <n v="21339896"/>
    <n v="-1085.28"/>
    <m/>
    <s v="Y"/>
    <n v="1"/>
    <d v="2023-07-06T19:54:22"/>
    <s v="N"/>
    <m/>
    <m/>
    <s v="Expert Disbursement"/>
    <m/>
    <s v="N"/>
    <n v="-904.4"/>
    <n v="0"/>
    <x v="4"/>
    <s v="VALIDATED"/>
    <n v="1"/>
    <s v="01.11.80.308.2013.0000"/>
    <n v="-904.4"/>
    <s v="11"/>
    <s v="2013"/>
    <n v="21705.84"/>
    <n v="-904.4"/>
    <s v="CREDITOR"/>
    <n v="0"/>
    <n v="0"/>
    <n v="-904.4"/>
    <n v="0"/>
    <n v="0"/>
  </r>
  <r>
    <n v="61160638"/>
    <s v="N"/>
    <n v="21333765"/>
    <s v="3000015343610001RC"/>
    <s v="CIVIL"/>
    <d v="2023-06-27T00:00:00"/>
    <d v="2023-07-05T19:42:28"/>
    <m/>
    <d v="2023-07-05T00:00:00"/>
    <n v="424"/>
    <n v="14130"/>
    <s v="61160638"/>
    <s v="61160638"/>
    <m/>
    <m/>
    <m/>
    <m/>
    <m/>
    <m/>
    <s v="SOLRECOUP"/>
    <s v="SOLRECOUP"/>
    <s v="POARECOUP"/>
    <n v="21333765"/>
    <n v="-409.72"/>
    <m/>
    <s v="Y"/>
    <n v="1"/>
    <d v="2023-07-05T19:42:28"/>
    <s v="N"/>
    <m/>
    <m/>
    <s v="Expert Disbursement"/>
    <m/>
    <s v="N"/>
    <n v="-409.72"/>
    <n v="0"/>
    <x v="6"/>
    <s v="VALIDATED"/>
    <n v="1"/>
    <s v="01.11.80.308.2013.0000"/>
    <n v="-409.72"/>
    <s v="11"/>
    <s v="2013"/>
    <n v="21705.84"/>
    <n v="-409.72"/>
    <s v="CREDITOR"/>
    <n v="0"/>
    <n v="0"/>
    <n v="-409.72"/>
    <n v="0"/>
    <n v="0"/>
  </r>
  <r>
    <n v="61160638"/>
    <s v="N"/>
    <n v="21333765"/>
    <s v="3000015343610001RC"/>
    <s v="CIVIL"/>
    <d v="2023-06-27T00:00:00"/>
    <d v="2023-07-05T19:42:28"/>
    <m/>
    <d v="2023-07-05T00:00:00"/>
    <n v="424"/>
    <n v="14130"/>
    <s v="61160638"/>
    <s v="61160638"/>
    <m/>
    <m/>
    <m/>
    <m/>
    <m/>
    <m/>
    <s v="SOLRECOUP"/>
    <s v="SOLRECOUP"/>
    <s v="POARECOUP"/>
    <n v="21333765"/>
    <n v="-409.72"/>
    <m/>
    <s v="Y"/>
    <n v="2"/>
    <d v="2023-07-05T19:42:28"/>
    <s v="N"/>
    <m/>
    <m/>
    <s v="Expert Disbursement"/>
    <m/>
    <s v="N"/>
    <n v="0"/>
    <n v="0"/>
    <x v="6"/>
    <s v="VALIDATED"/>
    <n v="1"/>
    <s v="01.11.80.000.0000.0000"/>
    <n v="0"/>
    <s v="11"/>
    <s v="0000"/>
    <n v="21705.84"/>
    <n v="0"/>
    <s v="CREDITOR"/>
    <n v="0"/>
    <n v="0"/>
    <n v="0"/>
    <n v="0"/>
    <n v="0"/>
  </r>
  <r>
    <n v="61195780"/>
    <s v="N"/>
    <n v="21346270"/>
    <s v="3000015370460001RC"/>
    <s v="CIVIL"/>
    <d v="2023-06-28T00:00:00"/>
    <d v="2023-07-07T19:34:21"/>
    <m/>
    <d v="2023-07-07T00:00:00"/>
    <n v="424"/>
    <n v="14130"/>
    <s v="61195780"/>
    <s v="61195780"/>
    <m/>
    <m/>
    <m/>
    <m/>
    <m/>
    <m/>
    <s v="SOLRECOUP"/>
    <s v="SOLRECOUP"/>
    <s v="POARECOUP"/>
    <n v="21346270"/>
    <n v="-221.64"/>
    <m/>
    <s v="Y"/>
    <n v="1"/>
    <d v="2023-07-07T19:34:22"/>
    <s v="N"/>
    <m/>
    <m/>
    <s v="Expert Disbursement"/>
    <m/>
    <s v="N"/>
    <n v="-184.7"/>
    <n v="0"/>
    <x v="9"/>
    <s v="VALIDATED"/>
    <n v="1"/>
    <s v="01.11.80.307.2013.0000"/>
    <n v="-184.7"/>
    <s v="11"/>
    <s v="2013"/>
    <n v="21705.84"/>
    <n v="-184.7"/>
    <s v="CREDITOR"/>
    <n v="0"/>
    <n v="0"/>
    <n v="-184.7"/>
    <n v="0"/>
    <n v="0"/>
  </r>
  <r>
    <n v="61195780"/>
    <s v="N"/>
    <n v="21346270"/>
    <s v="3000015370460001RC"/>
    <s v="CIVIL"/>
    <d v="2023-06-28T00:00:00"/>
    <d v="2023-07-07T19:34:21"/>
    <m/>
    <d v="2023-07-07T00:00:00"/>
    <n v="424"/>
    <n v="14130"/>
    <s v="61195780"/>
    <s v="61195780"/>
    <m/>
    <m/>
    <m/>
    <m/>
    <m/>
    <m/>
    <s v="SOLRECOUP"/>
    <s v="SOLRECOUP"/>
    <s v="POARECOUP"/>
    <n v="21346270"/>
    <n v="-221.64"/>
    <m/>
    <s v="Y"/>
    <n v="2"/>
    <d v="2023-07-07T19:34:22"/>
    <s v="N"/>
    <m/>
    <m/>
    <s v="Expert Disbursement"/>
    <m/>
    <s v="N"/>
    <n v="0"/>
    <n v="-36.94"/>
    <x v="9"/>
    <s v="VALIDATED"/>
    <n v="1"/>
    <s v="01.11.80.307.2013.0000"/>
    <n v="-36.94"/>
    <s v="11"/>
    <s v="2013"/>
    <n v="21705.84"/>
    <n v="-36.94"/>
    <s v="CREDITOR"/>
    <n v="0"/>
    <n v="0"/>
    <n v="-36.94"/>
    <n v="0"/>
    <n v="0"/>
  </r>
  <r>
    <n v="61150447"/>
    <s v="N"/>
    <n v="21387993"/>
    <s v="3000015334270001RC"/>
    <s v="CIVIL"/>
    <d v="2023-06-23T00:00:00"/>
    <d v="2023-07-17T19:42:13"/>
    <m/>
    <d v="2023-07-17T00:00:00"/>
    <n v="424"/>
    <n v="14130"/>
    <s v="61150447"/>
    <s v="61150447"/>
    <m/>
    <m/>
    <m/>
    <m/>
    <m/>
    <m/>
    <s v="SOLRECOUP"/>
    <s v="SOLRECOUP"/>
    <s v="POARECOUP"/>
    <n v="21387993"/>
    <n v="-1086.8"/>
    <m/>
    <s v="Y"/>
    <n v="1"/>
    <d v="2023-07-17T19:42:14"/>
    <s v="N"/>
    <m/>
    <m/>
    <s v="Expert Disbursement"/>
    <m/>
    <s v="N"/>
    <n v="-905.67"/>
    <n v="0"/>
    <x v="8"/>
    <s v="VALIDATED"/>
    <n v="1"/>
    <s v="01.11.80.308.2013.0000"/>
    <n v="-905.67"/>
    <s v="11"/>
    <s v="2013"/>
    <n v="21705.84"/>
    <n v="-905.67"/>
    <s v="CREDITOR"/>
    <n v="0"/>
    <n v="0"/>
    <n v="-905.67"/>
    <n v="0"/>
    <n v="0"/>
  </r>
  <r>
    <n v="61150447"/>
    <s v="N"/>
    <n v="21387993"/>
    <s v="3000015334270001RC"/>
    <s v="CIVIL"/>
    <d v="2023-06-23T00:00:00"/>
    <d v="2023-07-17T19:42:13"/>
    <m/>
    <d v="2023-07-17T00:00:00"/>
    <n v="424"/>
    <n v="14130"/>
    <s v="61150447"/>
    <s v="61150447"/>
    <m/>
    <m/>
    <m/>
    <m/>
    <m/>
    <m/>
    <s v="SOLRECOUP"/>
    <s v="SOLRECOUP"/>
    <s v="POARECOUP"/>
    <n v="21387993"/>
    <n v="-1086.8"/>
    <m/>
    <s v="Y"/>
    <n v="2"/>
    <d v="2023-07-17T19:42:14"/>
    <s v="N"/>
    <m/>
    <m/>
    <s v="Expert Disbursement"/>
    <m/>
    <s v="N"/>
    <n v="0"/>
    <n v="-181.13"/>
    <x v="8"/>
    <s v="VALIDATED"/>
    <n v="1"/>
    <s v="01.11.80.308.2013.0000"/>
    <n v="-181.13"/>
    <s v="11"/>
    <s v="2013"/>
    <n v="21705.84"/>
    <n v="-181.13"/>
    <s v="CREDITOR"/>
    <n v="0"/>
    <n v="0"/>
    <n v="-181.13"/>
    <n v="0"/>
    <n v="0"/>
  </r>
  <r>
    <n v="61559403"/>
    <s v="N"/>
    <n v="21338450"/>
    <s v="3000015674720001"/>
    <s v="CIVIL"/>
    <d v="2023-06-28T00:00:00"/>
    <d v="2023-07-06T19:21:01"/>
    <m/>
    <d v="2023-07-06T00:00:00"/>
    <n v="424"/>
    <n v="14130"/>
    <s v="61559403"/>
    <s v="61559403"/>
    <m/>
    <m/>
    <n v="22781598"/>
    <m/>
    <m/>
    <m/>
    <s v="SOLFIN"/>
    <s v="SOLFIN"/>
    <s v="CCMS"/>
    <n v="21338450"/>
    <n v="885.51"/>
    <m/>
    <s v="N"/>
    <n v="4"/>
    <d v="2023-07-06T19:21:25"/>
    <s v="Y"/>
    <s v="Preparation - drafting statement"/>
    <s v="Care Remuneration Hourly Rates"/>
    <s v="Profit Cost"/>
    <s v="Neil Puttock"/>
    <s v="Y"/>
    <n v="33.59"/>
    <n v="6.72"/>
    <x v="4"/>
    <s v="VALIDATED"/>
    <n v="1"/>
    <s v="01.11.80.305.6100.0000"/>
    <n v="33.59"/>
    <s v="11"/>
    <s v="6100"/>
    <n v="21705.84"/>
    <n v="33.59"/>
    <s v="CREDITOR"/>
    <n v="0"/>
    <n v="0"/>
    <n v="0"/>
    <n v="0"/>
    <n v="33.59"/>
  </r>
  <r>
    <n v="61160638"/>
    <s v="N"/>
    <n v="21331391"/>
    <s v="3000015343610002"/>
    <s v="CIVIL"/>
    <d v="2023-06-27T00:00:00"/>
    <d v="2023-07-05T19:01:47"/>
    <m/>
    <d v="2023-07-05T00:00:00"/>
    <n v="424"/>
    <n v="14130"/>
    <s v="61160638"/>
    <s v="61160638"/>
    <m/>
    <m/>
    <n v="22773022"/>
    <m/>
    <m/>
    <m/>
    <s v="SOLFIN"/>
    <s v="SOLFIN"/>
    <s v="CCMS"/>
    <n v="21331391"/>
    <n v="5061.01"/>
    <m/>
    <s v="N"/>
    <n v="1"/>
    <d v="2023-07-05T19:02:17"/>
    <s v="Y"/>
    <s v="Final Hearing Court Bundle/Advocate"/>
    <s v="Public Law Children"/>
    <s v="Advocacy"/>
    <s v="Neil Puttock"/>
    <s v="Y"/>
    <n v="159.3"/>
    <n v="31.86"/>
    <x v="6"/>
    <s v="VALIDATED"/>
    <n v="1"/>
    <s v="01.11.80.308.6100.0000"/>
    <n v="159.3"/>
    <s v="11"/>
    <s v="6100"/>
    <n v="21705.84"/>
    <n v="159.3"/>
    <s v="CREDITOR"/>
    <n v="0"/>
    <n v="0"/>
    <n v="0"/>
    <n v="0"/>
    <n v="159.3"/>
  </r>
  <r>
    <n v="61195780"/>
    <s v="N"/>
    <n v="21343903"/>
    <s v="3000015370460002"/>
    <s v="CIVIL"/>
    <d v="2023-06-28T00:00:00"/>
    <d v="2023-07-07T19:03:00"/>
    <m/>
    <d v="2023-07-07T00:00:00"/>
    <n v="424"/>
    <n v="14130"/>
    <s v="61195780"/>
    <s v="61195780"/>
    <m/>
    <m/>
    <n v="22783972"/>
    <m/>
    <m/>
    <m/>
    <s v="SOLFIN"/>
    <s v="SOLFIN"/>
    <s v="CCMS"/>
    <n v="21343903"/>
    <n v="1757.42"/>
    <m/>
    <s v="N"/>
    <n v="28"/>
    <d v="2023-07-07T19:03:16"/>
    <s v="Y"/>
    <s v="Process server"/>
    <s v="Prescribed Hourly Rates"/>
    <s v="Expert Disbursement"/>
    <s v="Neil Puttock"/>
    <s v="Y"/>
    <n v="184.7"/>
    <n v="36.94"/>
    <x v="9"/>
    <s v="VALIDATED"/>
    <n v="1"/>
    <s v="01.11.80.307.6300.0000"/>
    <n v="184.7"/>
    <s v="11"/>
    <s v="6300"/>
    <n v="21705.84"/>
    <n v="184.7"/>
    <s v="CREDITOR"/>
    <n v="0"/>
    <n v="0"/>
    <n v="0"/>
    <n v="0"/>
    <n v="184.7"/>
  </r>
  <r>
    <n v="61160545"/>
    <s v="N"/>
    <n v="21343504"/>
    <s v="3000015343470001"/>
    <s v="CIVIL"/>
    <d v="2023-06-28T00:00:00"/>
    <d v="2023-07-07T19:03:00"/>
    <m/>
    <d v="2023-07-07T00:00:00"/>
    <n v="424"/>
    <n v="14130"/>
    <s v="61160545"/>
    <s v="61160545"/>
    <m/>
    <m/>
    <n v="22779570"/>
    <m/>
    <m/>
    <m/>
    <s v="SOLFIN"/>
    <s v="SOLFIN"/>
    <s v="CCMS"/>
    <n v="21343504"/>
    <n v="5035.52"/>
    <m/>
    <s v="N"/>
    <n v="7"/>
    <d v="2023-07-07T19:03:10"/>
    <s v="Y"/>
    <s v="Hearing Unit 2.31 - 5.00 Hours"/>
    <s v="Public Law Children"/>
    <s v="Advocacy"/>
    <s v="Neil Puttock"/>
    <s v="Y"/>
    <n v="476.92"/>
    <n v="95.38"/>
    <x v="9"/>
    <s v="VALIDATED"/>
    <n v="1"/>
    <s v="01.11.80.308.6100.0000"/>
    <n v="476.92"/>
    <s v="11"/>
    <s v="6100"/>
    <n v="21705.84"/>
    <n v="476.92"/>
    <s v="CREDITOR"/>
    <n v="0"/>
    <n v="0"/>
    <n v="0"/>
    <n v="0"/>
    <n v="476.92"/>
  </r>
  <r>
    <n v="61160638"/>
    <s v="N"/>
    <n v="21331391"/>
    <s v="3000015343610002"/>
    <s v="CIVIL"/>
    <d v="2023-06-27T00:00:00"/>
    <d v="2023-07-05T19:01:47"/>
    <m/>
    <d v="2023-07-05T00:00:00"/>
    <n v="424"/>
    <n v="14130"/>
    <s v="61160638"/>
    <s v="61160638"/>
    <m/>
    <m/>
    <n v="22773022"/>
    <m/>
    <m/>
    <m/>
    <s v="SOLFIN"/>
    <s v="SOLFIN"/>
    <s v="CCMS"/>
    <n v="21331391"/>
    <n v="5061.01"/>
    <m/>
    <s v="N"/>
    <n v="10"/>
    <d v="2023-07-05T19:02:17"/>
    <s v="Y"/>
    <s v="Hearing Unit 2.31 - 5.00 Hours"/>
    <s v="Public Law Children"/>
    <s v="Advocacy"/>
    <s v="Neil Puttock"/>
    <s v="Y"/>
    <n v="476.92"/>
    <n v="95.38"/>
    <x v="6"/>
    <s v="VALIDATED"/>
    <n v="1"/>
    <s v="01.11.80.308.6100.0000"/>
    <n v="476.92"/>
    <s v="11"/>
    <s v="6100"/>
    <n v="21705.84"/>
    <n v="476.92"/>
    <s v="CREDITOR"/>
    <n v="0"/>
    <n v="0"/>
    <n v="0"/>
    <n v="0"/>
    <n v="476.92"/>
  </r>
  <r>
    <n v="61559403"/>
    <s v="N"/>
    <n v="21338450"/>
    <s v="3000015674720001"/>
    <s v="CIVIL"/>
    <d v="2023-06-28T00:00:00"/>
    <d v="2023-07-06T19:21:01"/>
    <m/>
    <d v="2023-07-06T00:00:00"/>
    <n v="424"/>
    <n v="14130"/>
    <s v="61559403"/>
    <s v="61559403"/>
    <m/>
    <m/>
    <n v="22781598"/>
    <m/>
    <m/>
    <m/>
    <s v="SOLFIN"/>
    <s v="SOLFIN"/>
    <s v="CCMS"/>
    <n v="21338450"/>
    <n v="885.51"/>
    <m/>
    <s v="N"/>
    <n v="13"/>
    <d v="2023-07-06T19:21:25"/>
    <s v="Y"/>
    <s v="Routine Letter Out"/>
    <s v="Care Remuneration Hourly Rates"/>
    <s v="Profit Cost"/>
    <s v="Cristiane Taylor"/>
    <s v="Y"/>
    <n v="11.07"/>
    <n v="2.21"/>
    <x v="4"/>
    <s v="VALIDATED"/>
    <n v="1"/>
    <s v="01.11.80.305.6100.0000"/>
    <n v="11.07"/>
    <s v="11"/>
    <s v="6100"/>
    <n v="21705.84"/>
    <n v="11.07"/>
    <s v="CREDITOR"/>
    <n v="0"/>
    <n v="0"/>
    <n v="0"/>
    <n v="0"/>
    <n v="11.07"/>
  </r>
  <r>
    <n v="61723608"/>
    <s v="N"/>
    <n v="21338413"/>
    <s v="3000015811030002"/>
    <s v="CIVIL"/>
    <d v="2023-06-27T00:00:00"/>
    <d v="2023-07-06T19:21:01"/>
    <m/>
    <d v="2023-07-06T00:00:00"/>
    <n v="424"/>
    <n v="14130"/>
    <s v="61723608"/>
    <s v="61723608"/>
    <m/>
    <m/>
    <n v="22770522"/>
    <m/>
    <m/>
    <m/>
    <s v="SOLFIN"/>
    <s v="SOLFIN"/>
    <s v="CCMS"/>
    <n v="21338413"/>
    <n v="7083.59"/>
    <m/>
    <s v="N"/>
    <n v="9"/>
    <d v="2023-07-06T19:21:24"/>
    <s v="Y"/>
    <s v="Hearing Unit 5.01 - 7.30 Hours"/>
    <s v="Public Law Children"/>
    <s v="Advocacy"/>
    <s v="Chanon Hessell"/>
    <s v="Y"/>
    <n v="715.38"/>
    <n v="143.08"/>
    <x v="4"/>
    <s v="VALIDATED"/>
    <n v="1"/>
    <s v="01.11.80.308.6100.0000"/>
    <n v="715.38"/>
    <s v="11"/>
    <s v="6100"/>
    <n v="21705.84"/>
    <n v="715.38"/>
    <s v="CREDITOR"/>
    <n v="0"/>
    <n v="0"/>
    <n v="0"/>
    <n v="0"/>
    <n v="715.38"/>
  </r>
  <r>
    <n v="61160545"/>
    <s v="N"/>
    <n v="21343504"/>
    <s v="3000015343470001"/>
    <s v="CIVIL"/>
    <d v="2023-06-28T00:00:00"/>
    <d v="2023-07-07T19:03:00"/>
    <m/>
    <d v="2023-07-07T00:00:00"/>
    <n v="424"/>
    <n v="14130"/>
    <s v="61160545"/>
    <s v="61160545"/>
    <m/>
    <m/>
    <n v="22779570"/>
    <m/>
    <m/>
    <m/>
    <s v="SOLFIN"/>
    <s v="SOLFIN"/>
    <s v="CCMS"/>
    <n v="21343504"/>
    <n v="5035.52"/>
    <m/>
    <s v="N"/>
    <n v="2"/>
    <d v="2023-07-07T19:03:10"/>
    <s v="Y"/>
    <s v="Interim Hearing Court Bundle/Advoca"/>
    <s v="Public Law Children"/>
    <s v="Advocacy"/>
    <s v="Neil Puttock"/>
    <s v="Y"/>
    <n v="89.09999999999999"/>
    <n v="17.82"/>
    <x v="9"/>
    <s v="VALIDATED"/>
    <n v="1"/>
    <s v="01.11.80.308.6100.0000"/>
    <n v="89.09999999999999"/>
    <s v="11"/>
    <s v="6100"/>
    <n v="21705.84"/>
    <n v="89.09999999999999"/>
    <s v="CREDITOR"/>
    <n v="0"/>
    <n v="0"/>
    <n v="0"/>
    <n v="0"/>
    <n v="89.09999999999999"/>
  </r>
  <r>
    <n v="62062263"/>
    <s v="N"/>
    <n v="21330812"/>
    <s v="3000016095700001"/>
    <s v="CIVIL"/>
    <d v="2023-06-27T00:00:00"/>
    <d v="2023-07-05T19:01:47"/>
    <m/>
    <d v="2023-07-05T00:00:00"/>
    <n v="424"/>
    <n v="14130"/>
    <s v="62062263"/>
    <s v="62062263"/>
    <m/>
    <m/>
    <n v="22770300"/>
    <m/>
    <m/>
    <m/>
    <s v="SOLFIN"/>
    <s v="SOLFIN"/>
    <s v="CCMS"/>
    <n v="21330812"/>
    <n v="0"/>
    <m/>
    <s v="N"/>
    <n v="1"/>
    <d v="2023-07-05T19:01:54"/>
    <s v="N"/>
    <s v="NIL BILL"/>
    <s v="Public Law Children"/>
    <s v="Profit Cost"/>
    <s v="Chanon Hessell"/>
    <s v="N"/>
    <n v="0"/>
    <n v="0"/>
    <x v="6"/>
    <s v="VALIDATED"/>
    <n v="1"/>
    <s v="01.11.80.308.6100.0000"/>
    <n v="0"/>
    <s v="11"/>
    <s v="6100"/>
    <n v="21705.84"/>
    <n v="0"/>
    <s v="CREDITOR"/>
    <n v="0"/>
    <n v="0"/>
    <n v="0"/>
    <n v="0"/>
    <n v="0"/>
  </r>
  <r>
    <n v="61160638"/>
    <s v="N"/>
    <n v="21331391"/>
    <s v="3000015343610002"/>
    <s v="CIVIL"/>
    <d v="2023-06-27T00:00:00"/>
    <d v="2023-07-05T19:01:47"/>
    <m/>
    <d v="2023-07-05T00:00:00"/>
    <n v="424"/>
    <n v="14130"/>
    <s v="61160638"/>
    <s v="61160638"/>
    <m/>
    <m/>
    <n v="22773022"/>
    <m/>
    <m/>
    <m/>
    <s v="SOLFIN"/>
    <s v="SOLFIN"/>
    <s v="CCMS"/>
    <n v="21331391"/>
    <n v="5061.01"/>
    <m/>
    <s v="N"/>
    <n v="4"/>
    <d v="2023-07-05T19:02:17"/>
    <s v="Y"/>
    <s v="Solicitor Travel Expenses"/>
    <s v="Public Law Children"/>
    <s v="Non Expert Disbursement"/>
    <s v="Neil Puttock"/>
    <s v="Y"/>
    <n v="6.83"/>
    <n v="1.37"/>
    <x v="6"/>
    <s v="VALIDATED"/>
    <n v="1"/>
    <s v="01.11.80.308.6300.0000"/>
    <n v="6.83"/>
    <s v="11"/>
    <s v="6300"/>
    <n v="21705.84"/>
    <n v="6.83"/>
    <s v="CREDITOR"/>
    <n v="0"/>
    <n v="0"/>
    <n v="0"/>
    <n v="0"/>
    <n v="6.83"/>
  </r>
  <r>
    <n v="61195780"/>
    <s v="N"/>
    <n v="21343903"/>
    <s v="3000015370460002"/>
    <s v="CIVIL"/>
    <d v="2023-06-28T00:00:00"/>
    <d v="2023-07-07T19:03:00"/>
    <m/>
    <d v="2023-07-07T00:00:00"/>
    <n v="424"/>
    <n v="14130"/>
    <s v="61195780"/>
    <s v="61195780"/>
    <m/>
    <m/>
    <n v="22783972"/>
    <m/>
    <m/>
    <m/>
    <s v="SOLFIN"/>
    <s v="SOLFIN"/>
    <s v="CCMS"/>
    <n v="21343903"/>
    <n v="1757.42"/>
    <m/>
    <s v="N"/>
    <n v="19"/>
    <d v="2023-07-07T19:03:16"/>
    <s v="Y"/>
    <s v="Preparation - drafting pleadings"/>
    <s v="Prescribed Hourly Rates"/>
    <s v="Profit Cost"/>
    <s v="Neil Puttock"/>
    <s v="Y"/>
    <n v="6.31"/>
    <n v="1.26"/>
    <x v="9"/>
    <s v="VALIDATED"/>
    <n v="1"/>
    <s v="01.11.80.307.6100.0000"/>
    <n v="6.31"/>
    <s v="11"/>
    <s v="6100"/>
    <n v="21705.84"/>
    <n v="6.31"/>
    <s v="CREDITOR"/>
    <n v="0"/>
    <n v="0"/>
    <n v="0"/>
    <n v="0"/>
    <n v="6.31"/>
  </r>
  <r>
    <n v="61559403"/>
    <s v="N"/>
    <n v="21338450"/>
    <s v="3000015674720001"/>
    <s v="CIVIL"/>
    <d v="2023-06-28T00:00:00"/>
    <d v="2023-07-06T19:21:01"/>
    <m/>
    <d v="2023-07-06T00:00:00"/>
    <n v="424"/>
    <n v="14130"/>
    <s v="61559403"/>
    <s v="61559403"/>
    <m/>
    <m/>
    <n v="22781598"/>
    <m/>
    <m/>
    <m/>
    <s v="SOLFIN"/>
    <s v="SOLFIN"/>
    <s v="CCMS"/>
    <n v="21338450"/>
    <n v="885.51"/>
    <m/>
    <s v="N"/>
    <n v="3"/>
    <d v="2023-07-06T19:21:25"/>
    <s v="Y"/>
    <s v="Preparation - drafting pleadings"/>
    <s v="Care Remuneration Hourly Rates"/>
    <s v="Profit Cost"/>
    <s v="Neil Puttock"/>
    <s v="Y"/>
    <n v="134.34"/>
    <n v="26.87"/>
    <x v="4"/>
    <s v="VALIDATED"/>
    <n v="1"/>
    <s v="01.11.80.305.6100.0000"/>
    <n v="134.34"/>
    <s v="11"/>
    <s v="6100"/>
    <n v="21705.84"/>
    <n v="134.34"/>
    <s v="CREDITOR"/>
    <n v="0"/>
    <n v="0"/>
    <n v="0"/>
    <n v="0"/>
    <n v="134.34"/>
  </r>
  <r>
    <n v="61160545"/>
    <s v="N"/>
    <n v="21343504"/>
    <s v="3000015343470001"/>
    <s v="CIVIL"/>
    <d v="2023-06-28T00:00:00"/>
    <d v="2023-07-07T19:03:00"/>
    <m/>
    <d v="2023-07-07T00:00:00"/>
    <n v="424"/>
    <n v="14130"/>
    <s v="61160545"/>
    <s v="61160545"/>
    <m/>
    <m/>
    <n v="22779570"/>
    <m/>
    <m/>
    <m/>
    <s v="SOLFIN"/>
    <s v="SOLFIN"/>
    <s v="CCMS"/>
    <n v="21343504"/>
    <n v="5035.52"/>
    <m/>
    <s v="N"/>
    <n v="10"/>
    <d v="2023-07-07T19:03:10"/>
    <s v="Y"/>
    <s v="Advocates Meeting"/>
    <s v="Public Law Children"/>
    <s v="Advocacy"/>
    <s v="Neil Puttock"/>
    <s v="Y"/>
    <n v="140.99"/>
    <n v="28.2"/>
    <x v="9"/>
    <s v="VALIDATED"/>
    <n v="1"/>
    <s v="01.11.80.308.6100.0000"/>
    <n v="140.99"/>
    <s v="11"/>
    <s v="6100"/>
    <n v="21705.84"/>
    <n v="140.99"/>
    <s v="CREDITOR"/>
    <n v="0"/>
    <n v="0"/>
    <n v="0"/>
    <n v="0"/>
    <n v="140.99"/>
  </r>
  <r>
    <n v="61195780"/>
    <s v="N"/>
    <n v="21343903"/>
    <s v="3000015370460002"/>
    <s v="CIVIL"/>
    <d v="2023-06-28T00:00:00"/>
    <d v="2023-07-07T19:03:00"/>
    <m/>
    <d v="2023-07-07T00:00:00"/>
    <n v="424"/>
    <n v="14130"/>
    <s v="61195780"/>
    <s v="61195780"/>
    <m/>
    <m/>
    <n v="22783972"/>
    <m/>
    <m/>
    <m/>
    <s v="SOLFIN"/>
    <s v="SOLFIN"/>
    <s v="CCMS"/>
    <n v="21343903"/>
    <n v="1757.42"/>
    <m/>
    <s v="N"/>
    <n v="5"/>
    <d v="2023-07-07T19:03:16"/>
    <s v="Y"/>
    <s v="Routine Letter Out"/>
    <s v="Prescribed Hourly Rates"/>
    <s v="Profit Cost"/>
    <s v="Cristiane Taylor"/>
    <s v="Y"/>
    <n v="54"/>
    <n v="10.8"/>
    <x v="9"/>
    <s v="VALIDATED"/>
    <n v="1"/>
    <s v="01.11.80.307.6100.0000"/>
    <n v="54"/>
    <s v="11"/>
    <s v="6100"/>
    <n v="21705.84"/>
    <n v="54"/>
    <s v="CREDITOR"/>
    <n v="0"/>
    <n v="0"/>
    <n v="0"/>
    <n v="0"/>
    <n v="54"/>
  </r>
  <r>
    <n v="61723608"/>
    <s v="N"/>
    <n v="21338413"/>
    <s v="3000015811030002"/>
    <s v="CIVIL"/>
    <d v="2023-06-27T00:00:00"/>
    <d v="2023-07-06T19:21:01"/>
    <m/>
    <d v="2023-07-06T00:00:00"/>
    <n v="424"/>
    <n v="14130"/>
    <s v="61723608"/>
    <s v="61723608"/>
    <m/>
    <m/>
    <n v="22770522"/>
    <m/>
    <m/>
    <m/>
    <s v="SOLFIN"/>
    <s v="SOLFIN"/>
    <s v="CCMS"/>
    <n v="21338413"/>
    <n v="7083.59"/>
    <m/>
    <s v="N"/>
    <n v="11"/>
    <d v="2023-07-06T19:21:24"/>
    <s v="Y"/>
    <s v="Hearing Unit 2.31 - 5.00 Hours"/>
    <s v="Public Law Children"/>
    <s v="Advocacy"/>
    <s v="Chanon Hessell"/>
    <s v="Y"/>
    <n v="476.92"/>
    <n v="95.39"/>
    <x v="4"/>
    <s v="VALIDATED"/>
    <n v="1"/>
    <s v="01.11.80.308.6100.0000"/>
    <n v="476.92"/>
    <s v="11"/>
    <s v="6100"/>
    <n v="21705.84"/>
    <n v="476.92"/>
    <s v="CREDITOR"/>
    <n v="0"/>
    <n v="0"/>
    <n v="0"/>
    <n v="0"/>
    <n v="476.92"/>
  </r>
  <r>
    <n v="61160638"/>
    <s v="N"/>
    <n v="21331391"/>
    <s v="3000015343610002"/>
    <s v="CIVIL"/>
    <d v="2023-06-27T00:00:00"/>
    <d v="2023-07-05T19:01:47"/>
    <m/>
    <d v="2023-07-05T00:00:00"/>
    <n v="424"/>
    <n v="14130"/>
    <s v="61160638"/>
    <s v="61160638"/>
    <m/>
    <m/>
    <n v="22773022"/>
    <m/>
    <m/>
    <m/>
    <s v="SOLFIN"/>
    <s v="SOLFIN"/>
    <s v="CCMS"/>
    <n v="21331391"/>
    <n v="5061.01"/>
    <m/>
    <s v="N"/>
    <n v="7"/>
    <d v="2023-07-05T19:02:17"/>
    <s v="Y"/>
    <s v="Hearing Unit 2.31 - 5.00 Hours"/>
    <s v="Public Law Children"/>
    <s v="Advocacy"/>
    <s v="Neil Puttock"/>
    <s v="Y"/>
    <n v="476.92"/>
    <n v="95.38"/>
    <x v="6"/>
    <s v="VALIDATED"/>
    <n v="1"/>
    <s v="01.11.80.308.6100.0000"/>
    <n v="476.92"/>
    <s v="11"/>
    <s v="6100"/>
    <n v="21705.84"/>
    <n v="476.92"/>
    <s v="CREDITOR"/>
    <n v="0"/>
    <n v="0"/>
    <n v="0"/>
    <n v="0"/>
    <n v="476.92"/>
  </r>
  <r>
    <n v="61160545"/>
    <s v="N"/>
    <n v="21343504"/>
    <s v="3000015343470001"/>
    <s v="CIVIL"/>
    <d v="2023-06-28T00:00:00"/>
    <d v="2023-07-07T19:03:00"/>
    <m/>
    <d v="2023-07-07T00:00:00"/>
    <n v="424"/>
    <n v="14130"/>
    <s v="61160545"/>
    <s v="61160545"/>
    <m/>
    <m/>
    <n v="22779570"/>
    <m/>
    <m/>
    <m/>
    <s v="SOLFIN"/>
    <s v="SOLFIN"/>
    <s v="CCMS"/>
    <n v="21343504"/>
    <n v="5035.52"/>
    <m/>
    <s v="N"/>
    <n v="4"/>
    <d v="2023-07-07T19:03:10"/>
    <s v="Y"/>
    <s v="Solicitor Travel Expenses"/>
    <s v="Public Law Children"/>
    <s v="Non Expert Disbursement"/>
    <s v="Neil Puttock"/>
    <s v="Y"/>
    <n v="10.33"/>
    <n v="2.07"/>
    <x v="9"/>
    <s v="VALIDATED"/>
    <n v="1"/>
    <s v="01.11.80.308.6300.0000"/>
    <n v="10.33"/>
    <s v="11"/>
    <s v="6300"/>
    <n v="21705.84"/>
    <n v="10.33"/>
    <s v="CREDITOR"/>
    <n v="0"/>
    <n v="0"/>
    <n v="0"/>
    <n v="0"/>
    <n v="10.33"/>
  </r>
  <r>
    <n v="61160545"/>
    <s v="N"/>
    <n v="21343504"/>
    <s v="3000015343470001"/>
    <s v="CIVIL"/>
    <d v="2023-06-28T00:00:00"/>
    <d v="2023-07-07T19:03:00"/>
    <m/>
    <d v="2023-07-07T00:00:00"/>
    <n v="424"/>
    <n v="14130"/>
    <s v="61160545"/>
    <s v="61160545"/>
    <m/>
    <m/>
    <n v="22779570"/>
    <m/>
    <m/>
    <m/>
    <s v="SOLFIN"/>
    <s v="SOLFIN"/>
    <s v="CCMS"/>
    <n v="21343504"/>
    <n v="5035.52"/>
    <m/>
    <s v="N"/>
    <n v="9"/>
    <d v="2023-07-07T19:03:10"/>
    <s v="Y"/>
    <s v="Final Hearing - 1 Day"/>
    <s v="Public Law Children"/>
    <s v="Advocacy"/>
    <s v="Neil Puttock"/>
    <s v="Y"/>
    <n v="556.88"/>
    <n v="111.38"/>
    <x v="9"/>
    <s v="VALIDATED"/>
    <n v="1"/>
    <s v="01.11.80.308.6100.0000"/>
    <n v="556.88"/>
    <s v="11"/>
    <s v="6100"/>
    <n v="21705.84"/>
    <n v="556.88"/>
    <s v="CREDITOR"/>
    <n v="0"/>
    <n v="0"/>
    <n v="0"/>
    <n v="0"/>
    <n v="556.88"/>
  </r>
  <r>
    <n v="61559403"/>
    <s v="N"/>
    <n v="21338450"/>
    <s v="3000015674720001"/>
    <s v="CIVIL"/>
    <d v="2023-06-28T00:00:00"/>
    <d v="2023-07-06T19:21:01"/>
    <m/>
    <d v="2023-07-06T00:00:00"/>
    <n v="424"/>
    <n v="14130"/>
    <s v="61559403"/>
    <s v="61559403"/>
    <m/>
    <m/>
    <n v="22781598"/>
    <m/>
    <m/>
    <m/>
    <s v="SOLFIN"/>
    <s v="SOLFIN"/>
    <s v="CCMS"/>
    <n v="21338450"/>
    <n v="885.51"/>
    <m/>
    <s v="N"/>
    <n v="11"/>
    <d v="2023-07-06T19:21:25"/>
    <s v="Y"/>
    <s v="Routine Letter Out"/>
    <s v="Care Remuneration Hourly Rates"/>
    <s v="Profit Cost"/>
    <s v="Neil Puttock"/>
    <s v="Y"/>
    <n v="127.31"/>
    <n v="25.46"/>
    <x v="4"/>
    <s v="VALIDATED"/>
    <n v="1"/>
    <s v="01.11.80.305.6100.0000"/>
    <n v="127.31"/>
    <s v="11"/>
    <s v="6100"/>
    <n v="21705.84"/>
    <n v="127.31"/>
    <s v="CREDITOR"/>
    <n v="0"/>
    <n v="0"/>
    <n v="0"/>
    <n v="0"/>
    <n v="127.31"/>
  </r>
  <r>
    <n v="61160638"/>
    <s v="N"/>
    <n v="21331391"/>
    <s v="3000015343610002"/>
    <s v="CIVIL"/>
    <d v="2023-06-27T00:00:00"/>
    <d v="2023-07-05T19:01:47"/>
    <m/>
    <d v="2023-07-05T00:00:00"/>
    <n v="424"/>
    <n v="14130"/>
    <s v="61160638"/>
    <s v="61160638"/>
    <m/>
    <m/>
    <n v="22773022"/>
    <m/>
    <m/>
    <m/>
    <s v="SOLFIN"/>
    <s v="SOLFIN"/>
    <s v="CCMS"/>
    <n v="21331391"/>
    <n v="5061.01"/>
    <m/>
    <s v="N"/>
    <n v="3"/>
    <d v="2023-07-05T19:02:17"/>
    <s v="Y"/>
    <s v="Solicitor Travel Mileage"/>
    <s v="Public Law Children"/>
    <s v="Non Expert Disbursement"/>
    <s v="Neil Puttock"/>
    <s v="Y"/>
    <n v="20.7"/>
    <n v="4.14"/>
    <x v="6"/>
    <s v="VALIDATED"/>
    <n v="1"/>
    <s v="01.11.80.308.6300.0000"/>
    <n v="20.7"/>
    <s v="11"/>
    <s v="6300"/>
    <n v="21705.84"/>
    <n v="20.7"/>
    <s v="CREDITOR"/>
    <n v="0"/>
    <n v="0"/>
    <n v="0"/>
    <n v="0"/>
    <n v="20.7"/>
  </r>
  <r>
    <n v="61195780"/>
    <s v="N"/>
    <n v="21343903"/>
    <s v="3000015370460002"/>
    <s v="CIVIL"/>
    <d v="2023-06-28T00:00:00"/>
    <d v="2023-07-07T19:03:00"/>
    <m/>
    <d v="2023-07-07T00:00:00"/>
    <n v="424"/>
    <n v="14130"/>
    <s v="61195780"/>
    <s v="61195780"/>
    <m/>
    <m/>
    <n v="22783972"/>
    <m/>
    <m/>
    <m/>
    <s v="SOLFIN"/>
    <s v="SOLFIN"/>
    <s v="CCMS"/>
    <n v="21343903"/>
    <n v="1757.42"/>
    <m/>
    <s v="N"/>
    <n v="26"/>
    <d v="2023-07-07T19:03:16"/>
    <s v="Y"/>
    <s v="Preparation - drafting bill/claim f"/>
    <s v="Prescribed Hourly Rates"/>
    <s v="Profit Cost"/>
    <s v="Julie Till"/>
    <s v="Y"/>
    <n v="10.98"/>
    <n v="2.2"/>
    <x v="9"/>
    <s v="VALIDATED"/>
    <n v="1"/>
    <s v="01.11.80.307.6100.0000"/>
    <n v="10.98"/>
    <s v="11"/>
    <s v="6100"/>
    <n v="21705.84"/>
    <n v="10.98"/>
    <s v="CREDITOR"/>
    <n v="0"/>
    <n v="0"/>
    <n v="0"/>
    <n v="0"/>
    <n v="10.98"/>
  </r>
  <r>
    <n v="61195780"/>
    <s v="N"/>
    <n v="21343903"/>
    <s v="3000015370460002"/>
    <s v="CIVIL"/>
    <d v="2023-06-28T00:00:00"/>
    <d v="2023-07-07T19:03:00"/>
    <m/>
    <d v="2023-07-07T00:00:00"/>
    <n v="424"/>
    <n v="14130"/>
    <s v="61195780"/>
    <s v="61195780"/>
    <m/>
    <m/>
    <n v="22783972"/>
    <m/>
    <m/>
    <m/>
    <s v="SOLFIN"/>
    <s v="SOLFIN"/>
    <s v="CCMS"/>
    <n v="21343903"/>
    <n v="1757.42"/>
    <m/>
    <s v="N"/>
    <n v="1"/>
    <d v="2023-07-07T19:03:16"/>
    <s v="Y"/>
    <s v="Routine Letter Out"/>
    <s v="Prescribed Hourly Rates"/>
    <s v="Profit Cost"/>
    <s v="Neil Puttock"/>
    <s v="Y"/>
    <n v="291.87"/>
    <n v="58.37"/>
    <x v="9"/>
    <s v="VALIDATED"/>
    <n v="1"/>
    <s v="01.11.80.307.6100.0000"/>
    <n v="291.87"/>
    <s v="11"/>
    <s v="6100"/>
    <n v="21705.84"/>
    <n v="291.87"/>
    <s v="CREDITOR"/>
    <n v="0"/>
    <n v="0"/>
    <n v="0"/>
    <n v="0"/>
    <n v="291.87"/>
  </r>
  <r>
    <n v="61723608"/>
    <s v="N"/>
    <n v="21338413"/>
    <s v="3000015811030002"/>
    <s v="CIVIL"/>
    <d v="2023-06-27T00:00:00"/>
    <d v="2023-07-06T19:21:01"/>
    <m/>
    <d v="2023-07-06T00:00:00"/>
    <n v="424"/>
    <n v="14130"/>
    <s v="61723608"/>
    <s v="61723608"/>
    <m/>
    <m/>
    <n v="22770522"/>
    <m/>
    <m/>
    <m/>
    <s v="SOLFIN"/>
    <s v="SOLFIN"/>
    <s v="CCMS"/>
    <n v="21338413"/>
    <n v="7083.59"/>
    <m/>
    <s v="N"/>
    <n v="4"/>
    <d v="2023-07-06T19:21:24"/>
    <s v="Y"/>
    <s v="Solicitor Travel Expenses"/>
    <s v="Public Law Children"/>
    <s v="Non Expert Disbursement"/>
    <s v="Chanon Hessell"/>
    <s v="Y"/>
    <n v="10.33"/>
    <n v="2.07"/>
    <x v="4"/>
    <s v="VALIDATED"/>
    <n v="1"/>
    <s v="01.11.80.308.6300.0000"/>
    <n v="10.33"/>
    <s v="11"/>
    <s v="6300"/>
    <n v="21705.84"/>
    <n v="10.33"/>
    <s v="CREDITOR"/>
    <n v="0"/>
    <n v="0"/>
    <n v="0"/>
    <n v="0"/>
    <n v="10.33"/>
  </r>
  <r>
    <n v="61195941"/>
    <s v="N"/>
    <n v="21338483"/>
    <s v="3000015370500001"/>
    <s v="CIVIL"/>
    <d v="2023-06-28T00:00:00"/>
    <d v="2023-07-06T19:21:01"/>
    <m/>
    <d v="2023-07-06T00:00:00"/>
    <n v="424"/>
    <n v="14130"/>
    <s v="61195941"/>
    <s v="61195941"/>
    <m/>
    <m/>
    <n v="22783082"/>
    <m/>
    <m/>
    <m/>
    <s v="SOLFIN"/>
    <s v="SOLFIN"/>
    <s v="CCMS"/>
    <n v="21338483"/>
    <n v="0"/>
    <m/>
    <s v="N"/>
    <n v="1"/>
    <d v="2023-07-06T19:21:26"/>
    <s v="N"/>
    <s v="NIL BILL"/>
    <s v="Prescribed Hourly Rates"/>
    <s v="Profit Cost"/>
    <s v="Neil Puttock"/>
    <s v="N"/>
    <n v="0"/>
    <n v="0"/>
    <x v="4"/>
    <s v="VALIDATED"/>
    <n v="1"/>
    <s v="01.11.80.307.6100.0000"/>
    <n v="0"/>
    <s v="11"/>
    <s v="6100"/>
    <n v="21705.84"/>
    <n v="0"/>
    <s v="CREDITOR"/>
    <n v="0"/>
    <n v="0"/>
    <n v="0"/>
    <n v="0"/>
    <n v="0"/>
  </r>
  <r>
    <n v="61619805"/>
    <s v="N"/>
    <n v="21331210"/>
    <s v="3000015725450002"/>
    <s v="CIVIL"/>
    <d v="2023-06-27T00:00:00"/>
    <d v="2023-07-05T19:01:47"/>
    <m/>
    <d v="2023-07-05T00:00:00"/>
    <n v="424"/>
    <n v="14130"/>
    <s v="61619805"/>
    <s v="61619805"/>
    <m/>
    <m/>
    <n v="22774208"/>
    <m/>
    <m/>
    <m/>
    <s v="SOLFIN"/>
    <s v="SOLFIN"/>
    <s v="CCMS"/>
    <n v="21331210"/>
    <n v="3323.9"/>
    <m/>
    <s v="N"/>
    <n v="3"/>
    <d v="2023-07-05T19:02:10"/>
    <s v="Y"/>
    <s v="Final Hearing - 1 Day"/>
    <s v="Public Law Children"/>
    <s v="Advocacy"/>
    <s v="Neil Puttock"/>
    <s v="Y"/>
    <n v="556.88"/>
    <n v="111.38"/>
    <x v="6"/>
    <s v="VALIDATED"/>
    <n v="1"/>
    <s v="01.11.80.308.6100.0000"/>
    <n v="556.88"/>
    <s v="11"/>
    <s v="6100"/>
    <n v="21705.84"/>
    <n v="556.88"/>
    <s v="CREDITOR"/>
    <n v="0"/>
    <n v="0"/>
    <n v="0"/>
    <n v="0"/>
    <n v="556.88"/>
  </r>
  <r>
    <n v="61160638"/>
    <s v="N"/>
    <n v="21331391"/>
    <s v="3000015343610002"/>
    <s v="CIVIL"/>
    <d v="2023-06-27T00:00:00"/>
    <d v="2023-07-05T19:01:47"/>
    <m/>
    <d v="2023-07-05T00:00:00"/>
    <n v="424"/>
    <n v="14130"/>
    <s v="61160638"/>
    <s v="61160638"/>
    <m/>
    <m/>
    <n v="22773022"/>
    <m/>
    <m/>
    <m/>
    <s v="SOLFIN"/>
    <s v="SOLFIN"/>
    <s v="CCMS"/>
    <n v="21331391"/>
    <n v="5061.01"/>
    <m/>
    <s v="N"/>
    <n v="5"/>
    <d v="2023-07-05T19:02:17"/>
    <s v="Y"/>
    <s v="Solicitor Travel Mileage"/>
    <s v="Public Law Children"/>
    <s v="Non Expert Disbursement"/>
    <s v="Neil Puttock"/>
    <s v="Y"/>
    <n v="20.7"/>
    <n v="4.14"/>
    <x v="6"/>
    <s v="VALIDATED"/>
    <n v="1"/>
    <s v="01.11.80.308.6300.0000"/>
    <n v="20.7"/>
    <s v="11"/>
    <s v="6300"/>
    <n v="21705.84"/>
    <n v="20.7"/>
    <s v="CREDITOR"/>
    <n v="0"/>
    <n v="0"/>
    <n v="0"/>
    <n v="0"/>
    <n v="20.7"/>
  </r>
  <r>
    <n v="61559403"/>
    <s v="N"/>
    <n v="21338450"/>
    <s v="3000015674720001"/>
    <s v="CIVIL"/>
    <d v="2023-06-28T00:00:00"/>
    <d v="2023-07-06T19:21:01"/>
    <m/>
    <d v="2023-07-06T00:00:00"/>
    <n v="424"/>
    <n v="14130"/>
    <s v="61559403"/>
    <s v="61559403"/>
    <m/>
    <m/>
    <n v="22781598"/>
    <m/>
    <m/>
    <m/>
    <s v="SOLFIN"/>
    <s v="SOLFIN"/>
    <s v="CCMS"/>
    <n v="21338450"/>
    <n v="885.51"/>
    <m/>
    <s v="N"/>
    <n v="1"/>
    <d v="2023-07-06T19:21:25"/>
    <s v="Y"/>
    <s v="Preparation - drafting application"/>
    <s v="Care Remuneration Hourly Rates"/>
    <s v="Profit Cost"/>
    <s v="Julie Till"/>
    <s v="Y"/>
    <n v="29.21"/>
    <n v="5.84"/>
    <x v="4"/>
    <s v="VALIDATED"/>
    <n v="1"/>
    <s v="01.11.80.305.6100.0000"/>
    <n v="29.21"/>
    <s v="11"/>
    <s v="6100"/>
    <n v="21705.84"/>
    <n v="29.21"/>
    <s v="CREDITOR"/>
    <n v="0"/>
    <n v="0"/>
    <n v="0"/>
    <n v="0"/>
    <n v="29.21"/>
  </r>
  <r>
    <n v="61160638"/>
    <s v="N"/>
    <n v="21331391"/>
    <s v="3000015343610002"/>
    <s v="CIVIL"/>
    <d v="2023-06-27T00:00:00"/>
    <d v="2023-07-05T19:01:47"/>
    <m/>
    <d v="2023-07-05T00:00:00"/>
    <n v="424"/>
    <n v="14130"/>
    <s v="61160638"/>
    <s v="61160638"/>
    <m/>
    <m/>
    <n v="22773022"/>
    <m/>
    <m/>
    <m/>
    <s v="SOLFIN"/>
    <s v="SOLFIN"/>
    <s v="CCMS"/>
    <n v="21331391"/>
    <n v="5061.01"/>
    <m/>
    <s v="N"/>
    <n v="9"/>
    <d v="2023-07-05T19:02:17"/>
    <s v="Y"/>
    <s v="Final Hearing - 1 Day"/>
    <s v="Public Law Children"/>
    <s v="Advocacy"/>
    <s v="Neil Puttock"/>
    <s v="Y"/>
    <n v="556.88"/>
    <n v="111.38"/>
    <x v="6"/>
    <s v="VALIDATED"/>
    <n v="1"/>
    <s v="01.11.80.308.6100.0000"/>
    <n v="556.88"/>
    <s v="11"/>
    <s v="6100"/>
    <n v="21705.84"/>
    <n v="556.88"/>
    <s v="CREDITOR"/>
    <n v="0"/>
    <n v="0"/>
    <n v="0"/>
    <n v="0"/>
    <n v="556.88"/>
  </r>
  <r>
    <n v="61559403"/>
    <s v="N"/>
    <n v="21338450"/>
    <s v="3000015674720001"/>
    <s v="CIVIL"/>
    <d v="2023-06-28T00:00:00"/>
    <d v="2023-07-06T19:21:01"/>
    <m/>
    <d v="2023-07-06T00:00:00"/>
    <n v="424"/>
    <n v="14130"/>
    <s v="61559403"/>
    <s v="61559403"/>
    <m/>
    <m/>
    <n v="22781598"/>
    <m/>
    <m/>
    <m/>
    <s v="SOLFIN"/>
    <s v="SOLFIN"/>
    <s v="CCMS"/>
    <n v="21338450"/>
    <n v="885.51"/>
    <m/>
    <s v="N"/>
    <n v="9"/>
    <d v="2023-07-06T19:21:25"/>
    <s v="Y"/>
    <s v="Preparation - drafting bill/claim f"/>
    <s v="Care Remuneration Hourly Rates"/>
    <s v="Profit Cost"/>
    <s v="Julie Till"/>
    <s v="Y"/>
    <n v="58.41"/>
    <n v="11.68"/>
    <x v="4"/>
    <s v="VALIDATED"/>
    <n v="1"/>
    <s v="01.11.80.305.6100.0000"/>
    <n v="58.41"/>
    <s v="11"/>
    <s v="6100"/>
    <n v="21705.84"/>
    <n v="58.41"/>
    <s v="CREDITOR"/>
    <n v="0"/>
    <n v="0"/>
    <n v="0"/>
    <n v="0"/>
    <n v="58.41"/>
  </r>
  <r>
    <n v="61195780"/>
    <s v="N"/>
    <n v="21343903"/>
    <s v="3000015370460002"/>
    <s v="CIVIL"/>
    <d v="2023-06-28T00:00:00"/>
    <d v="2023-07-07T19:03:00"/>
    <m/>
    <d v="2023-07-07T00:00:00"/>
    <n v="424"/>
    <n v="14130"/>
    <s v="61195780"/>
    <s v="61195780"/>
    <m/>
    <m/>
    <n v="22783972"/>
    <m/>
    <m/>
    <m/>
    <s v="SOLFIN"/>
    <s v="SOLFIN"/>
    <s v="CCMS"/>
    <n v="21343903"/>
    <n v="1757.42"/>
    <m/>
    <s v="N"/>
    <n v="22"/>
    <d v="2023-07-07T19:03:16"/>
    <s v="Y"/>
    <s v="Attendance upon client"/>
    <s v="Prescribed Hourly Rates"/>
    <s v="Profit Cost"/>
    <s v="Cristiane Taylor"/>
    <s v="Y"/>
    <n v="16.47"/>
    <n v="3.29"/>
    <x v="9"/>
    <s v="VALIDATED"/>
    <n v="1"/>
    <s v="01.11.80.307.6100.0000"/>
    <n v="16.47"/>
    <s v="11"/>
    <s v="6100"/>
    <n v="21705.84"/>
    <n v="16.47"/>
    <s v="CREDITOR"/>
    <n v="0"/>
    <n v="0"/>
    <n v="0"/>
    <n v="0"/>
    <n v="16.47"/>
  </r>
  <r>
    <n v="61195780"/>
    <s v="N"/>
    <n v="21343903"/>
    <s v="3000015370460002"/>
    <s v="CIVIL"/>
    <d v="2023-06-28T00:00:00"/>
    <d v="2023-07-07T19:03:00"/>
    <m/>
    <d v="2023-07-07T00:00:00"/>
    <n v="424"/>
    <n v="14130"/>
    <s v="61195780"/>
    <s v="61195780"/>
    <m/>
    <m/>
    <n v="22783972"/>
    <m/>
    <m/>
    <m/>
    <s v="SOLFIN"/>
    <s v="SOLFIN"/>
    <s v="CCMS"/>
    <n v="21343903"/>
    <n v="1757.42"/>
    <m/>
    <s v="N"/>
    <n v="27"/>
    <d v="2023-07-07T19:03:16"/>
    <s v="Y"/>
    <s v="Preparation - drafting statement"/>
    <s v="Prescribed Hourly Rates"/>
    <s v="Profit Cost"/>
    <s v="Neil Puttock"/>
    <s v="Y"/>
    <n v="6.31"/>
    <n v="1.26"/>
    <x v="9"/>
    <s v="VALIDATED"/>
    <n v="1"/>
    <s v="01.11.80.307.6100.0000"/>
    <n v="6.31"/>
    <s v="11"/>
    <s v="6100"/>
    <n v="21705.84"/>
    <n v="6.31"/>
    <s v="CREDITOR"/>
    <n v="0"/>
    <n v="0"/>
    <n v="0"/>
    <n v="0"/>
    <n v="6.31"/>
  </r>
  <r>
    <n v="61160638"/>
    <s v="N"/>
    <n v="21331391"/>
    <s v="3000015343610002"/>
    <s v="CIVIL"/>
    <d v="2023-06-27T00:00:00"/>
    <d v="2023-07-05T19:01:47"/>
    <m/>
    <d v="2023-07-05T00:00:00"/>
    <n v="424"/>
    <n v="14130"/>
    <s v="61160638"/>
    <s v="61160638"/>
    <m/>
    <m/>
    <n v="22773022"/>
    <m/>
    <m/>
    <m/>
    <s v="SOLFIN"/>
    <s v="SOLFIN"/>
    <s v="CCMS"/>
    <n v="21331391"/>
    <n v="5061.01"/>
    <m/>
    <s v="N"/>
    <n v="6"/>
    <d v="2023-07-05T19:02:17"/>
    <s v="Y"/>
    <s v="Solicitor Travel Expenses"/>
    <s v="Public Law Children"/>
    <s v="Non Expert Disbursement"/>
    <s v="Neil Puttock"/>
    <s v="Y"/>
    <n v="3.83"/>
    <n v="0.77"/>
    <x v="6"/>
    <s v="VALIDATED"/>
    <n v="1"/>
    <s v="01.11.80.308.6300.0000"/>
    <n v="3.83"/>
    <s v="11"/>
    <s v="6300"/>
    <n v="21705.84"/>
    <n v="3.83"/>
    <s v="CREDITOR"/>
    <n v="0"/>
    <n v="0"/>
    <n v="0"/>
    <n v="0"/>
    <n v="3.83"/>
  </r>
  <r>
    <n v="61195780"/>
    <s v="N"/>
    <n v="21343903"/>
    <s v="3000015370460002"/>
    <s v="CIVIL"/>
    <d v="2023-06-28T00:00:00"/>
    <d v="2023-07-07T19:03:00"/>
    <m/>
    <d v="2023-07-07T00:00:00"/>
    <n v="424"/>
    <n v="14130"/>
    <s v="61195780"/>
    <s v="61195780"/>
    <m/>
    <m/>
    <n v="22783972"/>
    <m/>
    <m/>
    <m/>
    <s v="SOLFIN"/>
    <s v="SOLFIN"/>
    <s v="CCMS"/>
    <n v="21343903"/>
    <n v="1757.42"/>
    <m/>
    <s v="N"/>
    <n v="7"/>
    <d v="2023-07-07T19:03:16"/>
    <s v="Y"/>
    <s v="Routine Telephone Call"/>
    <s v="Prescribed Hourly Rates"/>
    <s v="Profit Cost"/>
    <s v="Cristiane Taylor"/>
    <s v="Y"/>
    <n v="5.4"/>
    <n v="1.08"/>
    <x v="9"/>
    <s v="VALIDATED"/>
    <n v="1"/>
    <s v="01.11.80.307.6100.0000"/>
    <n v="5.4"/>
    <s v="11"/>
    <s v="6100"/>
    <n v="21705.84"/>
    <n v="5.4"/>
    <s v="CREDITOR"/>
    <n v="0"/>
    <n v="0"/>
    <n v="0"/>
    <n v="0"/>
    <n v="5.4"/>
  </r>
  <r>
    <n v="61195780"/>
    <s v="N"/>
    <n v="21343903"/>
    <s v="3000015370460002"/>
    <s v="CIVIL"/>
    <d v="2023-06-28T00:00:00"/>
    <d v="2023-07-07T19:03:00"/>
    <m/>
    <d v="2023-07-07T00:00:00"/>
    <n v="424"/>
    <n v="14130"/>
    <s v="61195780"/>
    <s v="61195780"/>
    <m/>
    <m/>
    <n v="22783972"/>
    <m/>
    <m/>
    <m/>
    <s v="SOLFIN"/>
    <s v="SOLFIN"/>
    <s v="CCMS"/>
    <n v="21343903"/>
    <n v="1757.42"/>
    <m/>
    <s v="N"/>
    <n v="17"/>
    <d v="2023-07-07T19:03:16"/>
    <s v="Y"/>
    <s v="Preparation - other"/>
    <s v="Prescribed Hourly Rates"/>
    <s v="Profit Cost"/>
    <s v="Julie Till"/>
    <s v="Y"/>
    <n v="21.96"/>
    <n v="4.39"/>
    <x v="9"/>
    <s v="VALIDATED"/>
    <n v="1"/>
    <s v="01.11.80.307.6100.0000"/>
    <n v="21.96"/>
    <s v="11"/>
    <s v="6100"/>
    <n v="21705.84"/>
    <n v="21.96"/>
    <s v="CREDITOR"/>
    <n v="0"/>
    <n v="0"/>
    <n v="0"/>
    <n v="0"/>
    <n v="21.96"/>
  </r>
  <r>
    <n v="61723608"/>
    <s v="N"/>
    <n v="21338413"/>
    <s v="3000015811030002"/>
    <s v="CIVIL"/>
    <d v="2023-06-27T00:00:00"/>
    <d v="2023-07-06T19:21:01"/>
    <m/>
    <d v="2023-07-06T00:00:00"/>
    <n v="424"/>
    <n v="14130"/>
    <s v="61723608"/>
    <s v="61723608"/>
    <m/>
    <m/>
    <n v="22770522"/>
    <m/>
    <m/>
    <m/>
    <s v="SOLFIN"/>
    <s v="SOLFIN"/>
    <s v="CCMS"/>
    <n v="21338413"/>
    <n v="7083.59"/>
    <m/>
    <s v="N"/>
    <n v="5"/>
    <d v="2023-07-06T19:21:24"/>
    <s v="Y"/>
    <s v="Solicitor Travel Mileage"/>
    <s v="Public Law Children"/>
    <s v="Non Expert Disbursement"/>
    <s v="Chanon Hessell"/>
    <s v="Y"/>
    <n v="18.9"/>
    <n v="3.78"/>
    <x v="4"/>
    <s v="VALIDATED"/>
    <n v="1"/>
    <s v="01.11.80.308.6300.0000"/>
    <n v="18.9"/>
    <s v="11"/>
    <s v="6300"/>
    <n v="21705.84"/>
    <n v="18.9"/>
    <s v="CREDITOR"/>
    <n v="0"/>
    <n v="0"/>
    <n v="0"/>
    <n v="0"/>
    <n v="18.9"/>
  </r>
  <r>
    <n v="61723608"/>
    <s v="N"/>
    <n v="21338413"/>
    <s v="3000015811030002"/>
    <s v="CIVIL"/>
    <d v="2023-06-27T00:00:00"/>
    <d v="2023-07-06T19:21:01"/>
    <m/>
    <d v="2023-07-06T00:00:00"/>
    <n v="424"/>
    <n v="14130"/>
    <s v="61723608"/>
    <s v="61723608"/>
    <m/>
    <m/>
    <n v="22770522"/>
    <m/>
    <m/>
    <m/>
    <s v="SOLFIN"/>
    <s v="SOLFIN"/>
    <s v="CCMS"/>
    <n v="21338413"/>
    <n v="7083.59"/>
    <m/>
    <s v="N"/>
    <n v="10"/>
    <d v="2023-07-06T19:21:24"/>
    <s v="Y"/>
    <s v="Advocates Meeting"/>
    <s v="Public Law Children"/>
    <s v="Advocacy"/>
    <s v="Chanon Hessell"/>
    <s v="Y"/>
    <n v="140.99"/>
    <n v="28.2"/>
    <x v="4"/>
    <s v="VALIDATED"/>
    <n v="1"/>
    <s v="01.11.80.308.6100.0000"/>
    <n v="140.99"/>
    <s v="11"/>
    <s v="6100"/>
    <n v="21705.84"/>
    <n v="140.99"/>
    <s v="CREDITOR"/>
    <n v="0"/>
    <n v="0"/>
    <n v="0"/>
    <n v="0"/>
    <n v="140.99"/>
  </r>
  <r>
    <n v="61195780"/>
    <s v="N"/>
    <n v="21343903"/>
    <s v="3000015370460002"/>
    <s v="CIVIL"/>
    <d v="2023-06-28T00:00:00"/>
    <d v="2023-07-07T19:03:00"/>
    <m/>
    <d v="2023-07-07T00:00:00"/>
    <n v="424"/>
    <n v="14130"/>
    <s v="61195780"/>
    <s v="61195780"/>
    <m/>
    <m/>
    <n v="22783972"/>
    <m/>
    <m/>
    <m/>
    <s v="SOLFIN"/>
    <s v="SOLFIN"/>
    <s v="CCMS"/>
    <n v="21343903"/>
    <n v="1757.42"/>
    <m/>
    <s v="N"/>
    <n v="16"/>
    <d v="2023-07-07T19:03:16"/>
    <s v="Y"/>
    <s v="Preparation - drafting pleadings"/>
    <s v="Prescribed Hourly Rates"/>
    <s v="Profit Cost"/>
    <s v="Emma Bailey"/>
    <s v="Y"/>
    <n v="27.45"/>
    <n v="5.49"/>
    <x v="9"/>
    <s v="VALIDATED"/>
    <n v="1"/>
    <s v="01.11.80.307.6100.0000"/>
    <n v="27.45"/>
    <s v="11"/>
    <s v="6100"/>
    <n v="21705.84"/>
    <n v="27.45"/>
    <s v="CREDITOR"/>
    <n v="0"/>
    <n v="0"/>
    <n v="0"/>
    <n v="0"/>
    <n v="27.45"/>
  </r>
  <r>
    <n v="61195780"/>
    <s v="N"/>
    <n v="21343903"/>
    <s v="3000015370460002"/>
    <s v="CIVIL"/>
    <d v="2023-06-28T00:00:00"/>
    <d v="2023-07-07T19:03:00"/>
    <m/>
    <d v="2023-07-07T00:00:00"/>
    <n v="424"/>
    <n v="14130"/>
    <s v="61195780"/>
    <s v="61195780"/>
    <m/>
    <m/>
    <n v="22783972"/>
    <m/>
    <m/>
    <m/>
    <s v="SOLFIN"/>
    <s v="SOLFIN"/>
    <s v="CCMS"/>
    <n v="21343903"/>
    <n v="1757.42"/>
    <m/>
    <s v="N"/>
    <n v="11"/>
    <d v="2023-07-07T19:03:16"/>
    <s v="Y"/>
    <s v="Attendance upon client"/>
    <s v="Prescribed Hourly Rates"/>
    <s v="Profit Cost"/>
    <s v="Neil Puttock"/>
    <s v="Y"/>
    <n v="18.94"/>
    <n v="3.79"/>
    <x v="9"/>
    <s v="VALIDATED"/>
    <n v="1"/>
    <s v="01.11.80.307.6100.0000"/>
    <n v="18.94"/>
    <s v="11"/>
    <s v="6100"/>
    <n v="21705.84"/>
    <n v="18.94"/>
    <s v="CREDITOR"/>
    <n v="0"/>
    <n v="0"/>
    <n v="0"/>
    <n v="0"/>
    <n v="18.94"/>
  </r>
  <r>
    <n v="61160545"/>
    <s v="N"/>
    <n v="21343504"/>
    <s v="3000015343470001"/>
    <s v="CIVIL"/>
    <d v="2023-06-28T00:00:00"/>
    <d v="2023-07-07T19:03:00"/>
    <m/>
    <d v="2023-07-07T00:00:00"/>
    <n v="424"/>
    <n v="14130"/>
    <s v="61160545"/>
    <s v="61160545"/>
    <m/>
    <m/>
    <n v="22779570"/>
    <m/>
    <m/>
    <m/>
    <s v="SOLFIN"/>
    <s v="SOLFIN"/>
    <s v="CCMS"/>
    <n v="21343504"/>
    <n v="5035.52"/>
    <m/>
    <s v="N"/>
    <n v="8"/>
    <d v="2023-07-07T19:03:10"/>
    <s v="Y"/>
    <s v="Advocates Meeting"/>
    <s v="Public Law Children"/>
    <s v="Advocacy"/>
    <s v="Neil Puttock"/>
    <s v="Y"/>
    <n v="140.99"/>
    <n v="28.2"/>
    <x v="9"/>
    <s v="VALIDATED"/>
    <n v="1"/>
    <s v="01.11.80.308.6100.0000"/>
    <n v="140.99"/>
    <s v="11"/>
    <s v="6100"/>
    <n v="21705.84"/>
    <n v="140.99"/>
    <s v="CREDITOR"/>
    <n v="0"/>
    <n v="0"/>
    <n v="0"/>
    <n v="0"/>
    <n v="140.99"/>
  </r>
  <r>
    <n v="61559403"/>
    <s v="N"/>
    <n v="21338450"/>
    <s v="3000015674720001"/>
    <s v="CIVIL"/>
    <d v="2023-06-28T00:00:00"/>
    <d v="2023-07-06T19:21:01"/>
    <m/>
    <d v="2023-07-06T00:00:00"/>
    <n v="424"/>
    <n v="14130"/>
    <s v="61559403"/>
    <s v="61559403"/>
    <m/>
    <m/>
    <n v="22781598"/>
    <m/>
    <m/>
    <m/>
    <s v="SOLFIN"/>
    <s v="SOLFIN"/>
    <s v="CCMS"/>
    <n v="21338450"/>
    <n v="885.51"/>
    <m/>
    <s v="N"/>
    <n v="6"/>
    <d v="2023-07-06T19:21:25"/>
    <s v="Y"/>
    <s v="Preparation - drafting pleadings"/>
    <s v="Care Remuneration Hourly Rates"/>
    <s v="Profit Cost"/>
    <s v="Neil Puttock"/>
    <s v="Y"/>
    <n v="6.72"/>
    <n v="1.34"/>
    <x v="4"/>
    <s v="VALIDATED"/>
    <n v="1"/>
    <s v="01.11.80.305.6100.0000"/>
    <n v="6.72"/>
    <s v="11"/>
    <s v="6100"/>
    <n v="21705.84"/>
    <n v="6.72"/>
    <s v="CREDITOR"/>
    <n v="0"/>
    <n v="0"/>
    <n v="0"/>
    <n v="0"/>
    <n v="6.72"/>
  </r>
  <r>
    <n v="61195780"/>
    <s v="N"/>
    <n v="21343903"/>
    <s v="3000015370460002"/>
    <s v="CIVIL"/>
    <d v="2023-06-28T00:00:00"/>
    <d v="2023-07-07T19:03:00"/>
    <m/>
    <d v="2023-07-07T00:00:00"/>
    <n v="424"/>
    <n v="14130"/>
    <s v="61195780"/>
    <s v="61195780"/>
    <m/>
    <m/>
    <n v="22783972"/>
    <m/>
    <m/>
    <m/>
    <s v="SOLFIN"/>
    <s v="SOLFIN"/>
    <s v="CCMS"/>
    <n v="21343903"/>
    <n v="1757.42"/>
    <m/>
    <s v="N"/>
    <n v="21"/>
    <d v="2023-07-07T19:03:16"/>
    <s v="Y"/>
    <s v="Advocacy - Directions Hearing"/>
    <s v="Prescribed Hourly Rates"/>
    <s v="Advocacy"/>
    <s v="Cristiane Taylor"/>
    <s v="Y"/>
    <n v="17.01"/>
    <n v="3.4"/>
    <x v="9"/>
    <s v="VALIDATED"/>
    <n v="1"/>
    <s v="01.11.80.307.6100.0000"/>
    <n v="17.01"/>
    <s v="11"/>
    <s v="6100"/>
    <n v="21705.84"/>
    <n v="17.01"/>
    <s v="CREDITOR"/>
    <n v="0"/>
    <n v="0"/>
    <n v="0"/>
    <n v="0"/>
    <n v="17.01"/>
  </r>
  <r>
    <n v="61160545"/>
    <s v="N"/>
    <n v="21343504"/>
    <s v="3000015343470001"/>
    <s v="CIVIL"/>
    <d v="2023-06-28T00:00:00"/>
    <d v="2023-07-07T19:03:00"/>
    <m/>
    <d v="2023-07-07T00:00:00"/>
    <n v="424"/>
    <n v="14130"/>
    <s v="61160545"/>
    <s v="61160545"/>
    <m/>
    <m/>
    <n v="22779570"/>
    <m/>
    <m/>
    <m/>
    <s v="SOLFIN"/>
    <s v="SOLFIN"/>
    <s v="CCMS"/>
    <n v="21343504"/>
    <n v="5035.52"/>
    <m/>
    <s v="N"/>
    <n v="3"/>
    <d v="2023-07-07T19:03:10"/>
    <s v="Y"/>
    <s v="Solicitor Travel Mileage"/>
    <s v="Public Law Children"/>
    <s v="Non Expert Disbursement"/>
    <s v="Neil Puttock"/>
    <s v="Y"/>
    <n v="20.7"/>
    <n v="4.14"/>
    <x v="9"/>
    <s v="VALIDATED"/>
    <n v="1"/>
    <s v="01.11.80.308.6300.0000"/>
    <n v="20.7"/>
    <s v="11"/>
    <s v="6300"/>
    <n v="21705.84"/>
    <n v="20.7"/>
    <s v="CREDITOR"/>
    <n v="0"/>
    <n v="0"/>
    <n v="0"/>
    <n v="0"/>
    <n v="20.7"/>
  </r>
  <r>
    <n v="61723608"/>
    <s v="N"/>
    <n v="21338413"/>
    <s v="3000015811030002"/>
    <s v="CIVIL"/>
    <d v="2023-06-27T00:00:00"/>
    <d v="2023-07-06T19:21:01"/>
    <m/>
    <d v="2023-07-06T00:00:00"/>
    <n v="424"/>
    <n v="14130"/>
    <s v="61723608"/>
    <s v="61723608"/>
    <m/>
    <m/>
    <n v="22770522"/>
    <m/>
    <m/>
    <m/>
    <s v="SOLFIN"/>
    <s v="SOLFIN"/>
    <s v="CCMS"/>
    <n v="21338413"/>
    <n v="7083.59"/>
    <m/>
    <s v="N"/>
    <n v="13"/>
    <d v="2023-07-06T19:21:24"/>
    <s v="Y"/>
    <s v="Solicitors Fixed Fee"/>
    <s v="Public Law Children"/>
    <s v="Profit Cost"/>
    <s v="Chanon Hessell"/>
    <s v="Y"/>
    <n v="2616"/>
    <n v="523.1900000000001"/>
    <x v="4"/>
    <s v="VALIDATED"/>
    <n v="1"/>
    <s v="01.11.80.308.6100.0000"/>
    <n v="2616"/>
    <s v="11"/>
    <s v="6100"/>
    <n v="21705.84"/>
    <n v="2616"/>
    <s v="CREDITOR"/>
    <n v="0"/>
    <n v="0"/>
    <n v="0"/>
    <n v="0"/>
    <n v="2616"/>
  </r>
  <r>
    <n v="61195780"/>
    <s v="N"/>
    <n v="21343903"/>
    <s v="3000015370460002"/>
    <s v="CIVIL"/>
    <d v="2023-06-28T00:00:00"/>
    <d v="2023-07-07T19:03:00"/>
    <m/>
    <d v="2023-07-07T00:00:00"/>
    <n v="424"/>
    <n v="14130"/>
    <s v="61195780"/>
    <s v="61195780"/>
    <m/>
    <m/>
    <n v="22783972"/>
    <m/>
    <m/>
    <m/>
    <s v="SOLFIN"/>
    <s v="SOLFIN"/>
    <s v="CCMS"/>
    <n v="21343903"/>
    <n v="1757.42"/>
    <m/>
    <s v="N"/>
    <n v="13"/>
    <d v="2023-07-07T19:03:16"/>
    <s v="Y"/>
    <s v="Preparation - drafting pleadings"/>
    <s v="Prescribed Hourly Rates"/>
    <s v="Profit Cost"/>
    <s v="Neil Puttock"/>
    <s v="Y"/>
    <n v="6.31"/>
    <n v="1.26"/>
    <x v="9"/>
    <s v="VALIDATED"/>
    <n v="1"/>
    <s v="01.11.80.307.6100.0000"/>
    <n v="6.31"/>
    <s v="11"/>
    <s v="6100"/>
    <n v="21705.84"/>
    <n v="6.31"/>
    <s v="CREDITOR"/>
    <n v="0"/>
    <n v="0"/>
    <n v="0"/>
    <n v="0"/>
    <n v="6.31"/>
  </r>
  <r>
    <n v="61559403"/>
    <s v="N"/>
    <n v="21338450"/>
    <s v="3000015674720001"/>
    <s v="CIVIL"/>
    <d v="2023-06-28T00:00:00"/>
    <d v="2023-07-06T19:21:01"/>
    <m/>
    <d v="2023-07-06T00:00:00"/>
    <n v="424"/>
    <n v="14130"/>
    <s v="61559403"/>
    <s v="61559403"/>
    <m/>
    <m/>
    <n v="22781598"/>
    <m/>
    <m/>
    <m/>
    <s v="SOLFIN"/>
    <s v="SOLFIN"/>
    <s v="CCMS"/>
    <n v="21338450"/>
    <n v="885.51"/>
    <m/>
    <s v="N"/>
    <n v="14"/>
    <d v="2023-07-06T19:21:25"/>
    <s v="Y"/>
    <s v="Hearing Unit 1.01 - 2.30 Hours"/>
    <s v="Other Public Law Children"/>
    <s v="Advocacy"/>
    <s v="Cristiane Taylor"/>
    <s v="Y"/>
    <n v="208.53"/>
    <n v="41.71"/>
    <x v="4"/>
    <s v="VALIDATED"/>
    <n v="1"/>
    <s v="01.11.80.305.6100.0000"/>
    <n v="208.53"/>
    <s v="11"/>
    <s v="6100"/>
    <n v="21705.84"/>
    <n v="208.53"/>
    <s v="CREDITOR"/>
    <n v="0"/>
    <n v="0"/>
    <n v="0"/>
    <n v="0"/>
    <n v="208.53"/>
  </r>
  <r>
    <n v="61723608"/>
    <s v="N"/>
    <n v="21338413"/>
    <s v="3000015811030002"/>
    <s v="CIVIL"/>
    <d v="2023-06-27T00:00:00"/>
    <d v="2023-07-06T19:21:01"/>
    <m/>
    <d v="2023-07-06T00:00:00"/>
    <n v="424"/>
    <n v="14130"/>
    <s v="61723608"/>
    <s v="61723608"/>
    <m/>
    <m/>
    <n v="22770522"/>
    <m/>
    <m/>
    <m/>
    <s v="SOLFIN"/>
    <s v="SOLFIN"/>
    <s v="CCMS"/>
    <n v="21338413"/>
    <n v="7083.59"/>
    <m/>
    <s v="N"/>
    <n v="3"/>
    <d v="2023-07-06T19:21:24"/>
    <s v="Y"/>
    <s v="Solicitor Travel Mileage"/>
    <s v="Public Law Children"/>
    <s v="Non Expert Disbursement"/>
    <s v="Chanon Hessell"/>
    <s v="Y"/>
    <n v="18.9"/>
    <n v="3.78"/>
    <x v="4"/>
    <s v="VALIDATED"/>
    <n v="1"/>
    <s v="01.11.80.308.6300.0000"/>
    <n v="18.9"/>
    <s v="11"/>
    <s v="6300"/>
    <n v="21705.84"/>
    <n v="18.9"/>
    <s v="CREDITOR"/>
    <n v="0"/>
    <n v="0"/>
    <n v="0"/>
    <n v="0"/>
    <n v="18.9"/>
  </r>
  <r>
    <n v="61619805"/>
    <s v="N"/>
    <n v="21331210"/>
    <s v="3000015725450002"/>
    <s v="CIVIL"/>
    <d v="2023-06-27T00:00:00"/>
    <d v="2023-07-05T19:01:47"/>
    <m/>
    <d v="2023-07-05T00:00:00"/>
    <n v="424"/>
    <n v="14130"/>
    <s v="61619805"/>
    <s v="61619805"/>
    <m/>
    <m/>
    <n v="22774208"/>
    <m/>
    <m/>
    <m/>
    <s v="SOLFIN"/>
    <s v="SOLFIN"/>
    <s v="CCMS"/>
    <n v="21331210"/>
    <n v="3323.9"/>
    <m/>
    <s v="N"/>
    <n v="4"/>
    <d v="2023-07-05T19:02:10"/>
    <s v="Y"/>
    <s v="Advocates Meeting"/>
    <s v="Public Law Children"/>
    <s v="Advocacy"/>
    <s v="Neil Puttock"/>
    <s v="Y"/>
    <n v="140.99"/>
    <n v="28.2"/>
    <x v="6"/>
    <s v="VALIDATED"/>
    <n v="1"/>
    <s v="01.11.80.308.6100.0000"/>
    <n v="140.99"/>
    <s v="11"/>
    <s v="6100"/>
    <n v="21705.84"/>
    <n v="140.99"/>
    <s v="CREDITOR"/>
    <n v="0"/>
    <n v="0"/>
    <n v="0"/>
    <n v="0"/>
    <n v="140.99"/>
  </r>
  <r>
    <n v="61160545"/>
    <s v="N"/>
    <n v="21343504"/>
    <s v="3000015343470001"/>
    <s v="CIVIL"/>
    <d v="2023-06-28T00:00:00"/>
    <d v="2023-07-07T19:03:00"/>
    <m/>
    <d v="2023-07-07T00:00:00"/>
    <n v="424"/>
    <n v="14130"/>
    <s v="61160545"/>
    <s v="61160545"/>
    <m/>
    <m/>
    <n v="22779570"/>
    <m/>
    <m/>
    <m/>
    <s v="SOLFIN"/>
    <s v="SOLFIN"/>
    <s v="CCMS"/>
    <n v="21343504"/>
    <n v="5035.52"/>
    <m/>
    <s v="N"/>
    <n v="11"/>
    <d v="2023-07-07T19:03:10"/>
    <s v="Y"/>
    <s v="Hearing Unit 2.31 - 5.00 Hours"/>
    <s v="Public Law Children"/>
    <s v="Advocacy"/>
    <s v="Neil Puttock"/>
    <s v="Y"/>
    <n v="476.92"/>
    <n v="95.38"/>
    <x v="9"/>
    <s v="VALIDATED"/>
    <n v="1"/>
    <s v="01.11.80.308.6100.0000"/>
    <n v="476.92"/>
    <s v="11"/>
    <s v="6100"/>
    <n v="21705.84"/>
    <n v="476.92"/>
    <s v="CREDITOR"/>
    <n v="0"/>
    <n v="0"/>
    <n v="0"/>
    <n v="0"/>
    <n v="476.92"/>
  </r>
  <r>
    <n v="61195780"/>
    <s v="N"/>
    <n v="21343903"/>
    <s v="3000015370460002"/>
    <s v="CIVIL"/>
    <d v="2023-06-28T00:00:00"/>
    <d v="2023-07-07T19:03:00"/>
    <m/>
    <d v="2023-07-07T00:00:00"/>
    <n v="424"/>
    <n v="14130"/>
    <s v="61195780"/>
    <s v="61195780"/>
    <m/>
    <m/>
    <n v="22783972"/>
    <m/>
    <m/>
    <m/>
    <s v="SOLFIN"/>
    <s v="SOLFIN"/>
    <s v="CCMS"/>
    <n v="21343903"/>
    <n v="1757.42"/>
    <m/>
    <s v="N"/>
    <n v="6"/>
    <d v="2023-07-07T19:03:16"/>
    <s v="Y"/>
    <s v="Routine Letter In"/>
    <s v="Prescribed Hourly Rates"/>
    <s v="Profit Cost"/>
    <s v="Cristiane Taylor"/>
    <s v="Y"/>
    <n v="24.3"/>
    <n v="4.86"/>
    <x v="9"/>
    <s v="VALIDATED"/>
    <n v="1"/>
    <s v="01.11.80.307.6100.0000"/>
    <n v="24.3"/>
    <s v="11"/>
    <s v="6100"/>
    <n v="21705.84"/>
    <n v="24.3"/>
    <s v="CREDITOR"/>
    <n v="0"/>
    <n v="0"/>
    <n v="0"/>
    <n v="0"/>
    <n v="24.3"/>
  </r>
  <r>
    <n v="61195780"/>
    <s v="N"/>
    <n v="21343903"/>
    <s v="3000015370460002"/>
    <s v="CIVIL"/>
    <d v="2023-06-28T00:00:00"/>
    <d v="2023-07-07T19:03:00"/>
    <m/>
    <d v="2023-07-07T00:00:00"/>
    <n v="424"/>
    <n v="14130"/>
    <s v="61195780"/>
    <s v="61195780"/>
    <m/>
    <m/>
    <n v="22783972"/>
    <m/>
    <m/>
    <m/>
    <s v="SOLFIN"/>
    <s v="SOLFIN"/>
    <s v="CCMS"/>
    <n v="21343903"/>
    <n v="1757.42"/>
    <m/>
    <s v="N"/>
    <n v="14"/>
    <d v="2023-07-07T19:03:16"/>
    <s v="Y"/>
    <s v="Advocacy - Directions Hearing"/>
    <s v="Prescribed Hourly Rates"/>
    <s v="Advocacy"/>
    <s v="Neil Puttock"/>
    <s v="Y"/>
    <n v="110.85"/>
    <n v="22.17"/>
    <x v="9"/>
    <s v="VALIDATED"/>
    <n v="1"/>
    <s v="01.11.80.307.6100.0000"/>
    <n v="110.85"/>
    <s v="11"/>
    <s v="6100"/>
    <n v="21705.84"/>
    <n v="110.85"/>
    <s v="CREDITOR"/>
    <n v="0"/>
    <n v="0"/>
    <n v="0"/>
    <n v="0"/>
    <n v="110.85"/>
  </r>
  <r>
    <n v="61559403"/>
    <s v="N"/>
    <n v="21338450"/>
    <s v="3000015674720001"/>
    <s v="CIVIL"/>
    <d v="2023-06-28T00:00:00"/>
    <d v="2023-07-06T19:21:01"/>
    <m/>
    <d v="2023-07-06T00:00:00"/>
    <n v="424"/>
    <n v="14130"/>
    <s v="61559403"/>
    <s v="61559403"/>
    <m/>
    <m/>
    <n v="22781598"/>
    <m/>
    <m/>
    <m/>
    <s v="SOLFIN"/>
    <s v="SOLFIN"/>
    <s v="CCMS"/>
    <n v="21338450"/>
    <n v="885.51"/>
    <m/>
    <s v="N"/>
    <n v="10"/>
    <d v="2023-07-06T19:21:25"/>
    <s v="Y"/>
    <s v="Routine Letter In"/>
    <s v="Care Remuneration Hourly Rates"/>
    <s v="Profit Cost"/>
    <s v="Neil Puttock"/>
    <s v="Y"/>
    <n v="51.06"/>
    <n v="10.21"/>
    <x v="4"/>
    <s v="VALIDATED"/>
    <n v="1"/>
    <s v="01.11.80.305.6100.0000"/>
    <n v="51.06"/>
    <s v="11"/>
    <s v="6100"/>
    <n v="21705.84"/>
    <n v="51.06"/>
    <s v="CREDITOR"/>
    <n v="0"/>
    <n v="0"/>
    <n v="0"/>
    <n v="0"/>
    <n v="51.06"/>
  </r>
  <r>
    <n v="61723608"/>
    <s v="N"/>
    <n v="21338413"/>
    <s v="3000015811030002"/>
    <s v="CIVIL"/>
    <d v="2023-06-27T00:00:00"/>
    <d v="2023-07-06T19:21:01"/>
    <m/>
    <d v="2023-07-06T00:00:00"/>
    <n v="424"/>
    <n v="14130"/>
    <s v="61723608"/>
    <s v="61723608"/>
    <m/>
    <m/>
    <n v="22770522"/>
    <m/>
    <m/>
    <m/>
    <s v="SOLFIN"/>
    <s v="SOLFIN"/>
    <s v="CCMS"/>
    <n v="21338413"/>
    <n v="7083.59"/>
    <m/>
    <s v="N"/>
    <n v="8"/>
    <d v="2023-07-06T19:21:24"/>
    <s v="Y"/>
    <s v="Advocates Meeting"/>
    <s v="Public Law Children"/>
    <s v="Advocacy"/>
    <s v="Chanon Hessell"/>
    <s v="Y"/>
    <n v="140.99"/>
    <n v="28.2"/>
    <x v="4"/>
    <s v="VALIDATED"/>
    <n v="1"/>
    <s v="01.11.80.308.6100.0000"/>
    <n v="140.99"/>
    <s v="11"/>
    <s v="6100"/>
    <n v="21705.84"/>
    <n v="140.99"/>
    <s v="CREDITOR"/>
    <n v="0"/>
    <n v="0"/>
    <n v="0"/>
    <n v="0"/>
    <n v="140.99"/>
  </r>
  <r>
    <n v="61559403"/>
    <s v="N"/>
    <n v="21338450"/>
    <s v="3000015674720001"/>
    <s v="CIVIL"/>
    <d v="2023-06-28T00:00:00"/>
    <d v="2023-07-06T19:21:01"/>
    <m/>
    <d v="2023-07-06T00:00:00"/>
    <n v="424"/>
    <n v="14130"/>
    <s v="61559403"/>
    <s v="61559403"/>
    <m/>
    <m/>
    <n v="22781598"/>
    <m/>
    <m/>
    <m/>
    <s v="SOLFIN"/>
    <s v="SOLFIN"/>
    <s v="CCMS"/>
    <n v="21338450"/>
    <n v="885.51"/>
    <m/>
    <s v="N"/>
    <n v="7"/>
    <d v="2023-07-06T19:21:25"/>
    <s v="Y"/>
    <s v="Preparation - drafting pleadings"/>
    <s v="Care Remuneration Hourly Rates"/>
    <s v="Profit Cost"/>
    <s v="Neil Puttock"/>
    <s v="Y"/>
    <n v="13.43"/>
    <n v="2.69"/>
    <x v="4"/>
    <s v="VALIDATED"/>
    <n v="1"/>
    <s v="01.11.80.305.6100.0000"/>
    <n v="13.43"/>
    <s v="11"/>
    <s v="6100"/>
    <n v="21705.84"/>
    <n v="13.43"/>
    <s v="CREDITOR"/>
    <n v="0"/>
    <n v="0"/>
    <n v="0"/>
    <n v="0"/>
    <n v="13.43"/>
  </r>
  <r>
    <n v="61160638"/>
    <s v="N"/>
    <n v="21331391"/>
    <s v="3000015343610002"/>
    <s v="CIVIL"/>
    <d v="2023-06-27T00:00:00"/>
    <d v="2023-07-05T19:01:47"/>
    <m/>
    <d v="2023-07-05T00:00:00"/>
    <n v="424"/>
    <n v="14130"/>
    <s v="61160638"/>
    <s v="61160638"/>
    <m/>
    <m/>
    <n v="22773022"/>
    <m/>
    <m/>
    <m/>
    <s v="SOLFIN"/>
    <s v="SOLFIN"/>
    <s v="CCMS"/>
    <n v="21331391"/>
    <n v="5061.01"/>
    <m/>
    <s v="N"/>
    <n v="11"/>
    <d v="2023-07-05T19:02:17"/>
    <s v="Y"/>
    <s v="Solicitors Fixed Fee"/>
    <s v="Public Law Children"/>
    <s v="Profit Cost"/>
    <s v="Neil Puttock"/>
    <s v="Y"/>
    <n v="2013"/>
    <n v="402.6"/>
    <x v="6"/>
    <s v="VALIDATED"/>
    <n v="1"/>
    <s v="01.11.80.308.6100.0000"/>
    <n v="2013"/>
    <s v="11"/>
    <s v="6100"/>
    <n v="21705.84"/>
    <n v="2013"/>
    <s v="CREDITOR"/>
    <n v="0"/>
    <n v="0"/>
    <n v="0"/>
    <n v="0"/>
    <n v="2013"/>
  </r>
  <r>
    <n v="61195780"/>
    <s v="N"/>
    <n v="21343903"/>
    <s v="3000015370460002"/>
    <s v="CIVIL"/>
    <d v="2023-06-28T00:00:00"/>
    <d v="2023-07-07T19:03:00"/>
    <m/>
    <d v="2023-07-07T00:00:00"/>
    <n v="424"/>
    <n v="14130"/>
    <s v="61195780"/>
    <s v="61195780"/>
    <m/>
    <m/>
    <n v="22783972"/>
    <m/>
    <m/>
    <m/>
    <s v="SOLFIN"/>
    <s v="SOLFIN"/>
    <s v="CCMS"/>
    <n v="21343903"/>
    <n v="1757.42"/>
    <m/>
    <s v="N"/>
    <n v="12"/>
    <d v="2023-07-07T19:03:16"/>
    <s v="Y"/>
    <s v="Preparation - drafting notice(s)"/>
    <s v="Prescribed Hourly Rates"/>
    <s v="Profit Cost"/>
    <s v="Neil Puttock"/>
    <s v="Y"/>
    <n v="12.63"/>
    <n v="2.53"/>
    <x v="9"/>
    <s v="VALIDATED"/>
    <n v="1"/>
    <s v="01.11.80.307.6100.0000"/>
    <n v="12.63"/>
    <s v="11"/>
    <s v="6100"/>
    <n v="21705.84"/>
    <n v="12.63"/>
    <s v="CREDITOR"/>
    <n v="0"/>
    <n v="0"/>
    <n v="0"/>
    <n v="0"/>
    <n v="12.63"/>
  </r>
  <r>
    <n v="61195780"/>
    <s v="N"/>
    <n v="21343903"/>
    <s v="3000015370460002"/>
    <s v="CIVIL"/>
    <d v="2023-06-28T00:00:00"/>
    <d v="2023-07-07T19:03:00"/>
    <m/>
    <d v="2023-07-07T00:00:00"/>
    <n v="424"/>
    <n v="14130"/>
    <s v="61195780"/>
    <s v="61195780"/>
    <m/>
    <m/>
    <n v="22783972"/>
    <m/>
    <m/>
    <m/>
    <s v="SOLFIN"/>
    <s v="SOLFIN"/>
    <s v="CCMS"/>
    <n v="21343903"/>
    <n v="1757.42"/>
    <m/>
    <s v="N"/>
    <n v="15"/>
    <d v="2023-07-07T19:03:16"/>
    <s v="Y"/>
    <s v="Preparation - other"/>
    <s v="Prescribed Hourly Rates"/>
    <s v="Profit Cost"/>
    <s v="Neil Puttock"/>
    <s v="Y"/>
    <n v="31.57"/>
    <n v="6.31"/>
    <x v="9"/>
    <s v="VALIDATED"/>
    <n v="1"/>
    <s v="01.11.80.307.6100.0000"/>
    <n v="31.57"/>
    <s v="11"/>
    <s v="6100"/>
    <n v="21705.84"/>
    <n v="31.57"/>
    <s v="CREDITOR"/>
    <n v="0"/>
    <n v="0"/>
    <n v="0"/>
    <n v="0"/>
    <n v="31.57"/>
  </r>
  <r>
    <n v="61160545"/>
    <s v="N"/>
    <n v="21343504"/>
    <s v="3000015343470001"/>
    <s v="CIVIL"/>
    <d v="2023-06-28T00:00:00"/>
    <d v="2023-07-07T19:03:00"/>
    <m/>
    <d v="2023-07-07T00:00:00"/>
    <n v="424"/>
    <n v="14130"/>
    <s v="61160545"/>
    <s v="61160545"/>
    <m/>
    <m/>
    <n v="22779570"/>
    <m/>
    <m/>
    <m/>
    <s v="SOLFIN"/>
    <s v="SOLFIN"/>
    <s v="CCMS"/>
    <n v="21343504"/>
    <n v="5035.52"/>
    <m/>
    <s v="N"/>
    <n v="1"/>
    <d v="2023-07-07T19:03:10"/>
    <s v="Y"/>
    <s v="Final Hearing Court Bundle/Advocate"/>
    <s v="Public Law Children"/>
    <s v="Advocacy"/>
    <s v="Neil Puttock"/>
    <s v="Y"/>
    <n v="239.4"/>
    <n v="47.88"/>
    <x v="9"/>
    <s v="VALIDATED"/>
    <n v="1"/>
    <s v="01.11.80.308.6100.0000"/>
    <n v="239.4"/>
    <s v="11"/>
    <s v="6100"/>
    <n v="21705.84"/>
    <n v="239.4"/>
    <s v="CREDITOR"/>
    <n v="0"/>
    <n v="0"/>
    <n v="0"/>
    <n v="0"/>
    <n v="239.4"/>
  </r>
  <r>
    <n v="61160545"/>
    <s v="N"/>
    <n v="21343504"/>
    <s v="3000015343470001"/>
    <s v="CIVIL"/>
    <d v="2023-06-28T00:00:00"/>
    <d v="2023-07-07T19:03:00"/>
    <m/>
    <d v="2023-07-07T00:00:00"/>
    <n v="424"/>
    <n v="14130"/>
    <s v="61160545"/>
    <s v="61160545"/>
    <m/>
    <m/>
    <n v="22779570"/>
    <m/>
    <m/>
    <m/>
    <s v="SOLFIN"/>
    <s v="SOLFIN"/>
    <s v="CCMS"/>
    <n v="21343504"/>
    <n v="5035.52"/>
    <m/>
    <s v="N"/>
    <n v="6"/>
    <d v="2023-07-07T19:03:10"/>
    <s v="Y"/>
    <s v="Solicitor Travel Expenses"/>
    <s v="Public Law Children"/>
    <s v="Non Expert Disbursement"/>
    <s v="Neil Puttock"/>
    <s v="Y"/>
    <n v="10.33"/>
    <n v="2.07"/>
    <x v="9"/>
    <s v="VALIDATED"/>
    <n v="1"/>
    <s v="01.11.80.308.6300.0000"/>
    <n v="10.33"/>
    <s v="11"/>
    <s v="6300"/>
    <n v="21705.84"/>
    <n v="10.33"/>
    <s v="CREDITOR"/>
    <n v="0"/>
    <n v="0"/>
    <n v="0"/>
    <n v="0"/>
    <n v="10.33"/>
  </r>
  <r>
    <n v="61195780"/>
    <s v="N"/>
    <n v="21343903"/>
    <s v="3000015370460002"/>
    <s v="CIVIL"/>
    <d v="2023-06-28T00:00:00"/>
    <d v="2023-07-07T19:03:00"/>
    <m/>
    <d v="2023-07-07T00:00:00"/>
    <n v="424"/>
    <n v="14130"/>
    <s v="61195780"/>
    <s v="61195780"/>
    <m/>
    <m/>
    <n v="22783972"/>
    <m/>
    <m/>
    <m/>
    <s v="SOLFIN"/>
    <s v="SOLFIN"/>
    <s v="CCMS"/>
    <n v="21343903"/>
    <n v="1757.42"/>
    <m/>
    <s v="N"/>
    <n v="20"/>
    <d v="2023-07-07T19:03:16"/>
    <s v="Y"/>
    <s v="Preparation - drafting pleadings"/>
    <s v="Prescribed Hourly Rates"/>
    <s v="Profit Cost"/>
    <s v="Cristiane Taylor"/>
    <s v="Y"/>
    <n v="54.9"/>
    <n v="10.98"/>
    <x v="9"/>
    <s v="VALIDATED"/>
    <n v="1"/>
    <s v="01.11.80.307.6100.0000"/>
    <n v="54.9"/>
    <s v="11"/>
    <s v="6100"/>
    <n v="21705.84"/>
    <n v="54.9"/>
    <s v="CREDITOR"/>
    <n v="0"/>
    <n v="0"/>
    <n v="0"/>
    <n v="0"/>
    <n v="54.9"/>
  </r>
  <r>
    <n v="61723608"/>
    <s v="N"/>
    <n v="21338413"/>
    <s v="3000015811030002"/>
    <s v="CIVIL"/>
    <d v="2023-06-27T00:00:00"/>
    <d v="2023-07-06T19:21:01"/>
    <m/>
    <d v="2023-07-06T00:00:00"/>
    <n v="424"/>
    <n v="14130"/>
    <s v="61723608"/>
    <s v="61723608"/>
    <m/>
    <m/>
    <n v="22770522"/>
    <m/>
    <m/>
    <m/>
    <s v="SOLFIN"/>
    <s v="SOLFIN"/>
    <s v="CCMS"/>
    <n v="21338413"/>
    <n v="7083.59"/>
    <m/>
    <s v="N"/>
    <n v="1"/>
    <d v="2023-07-06T19:21:24"/>
    <s v="Y"/>
    <s v="Final Hearing Court Bundle/Advocate"/>
    <s v="Public Law Children"/>
    <s v="Advocacy"/>
    <s v="Chanon Hessell"/>
    <s v="Y"/>
    <n v="159.3"/>
    <n v="31.86"/>
    <x v="4"/>
    <s v="VALIDATED"/>
    <n v="1"/>
    <s v="01.11.80.308.6100.0000"/>
    <n v="159.3"/>
    <s v="11"/>
    <s v="6100"/>
    <n v="21705.84"/>
    <n v="159.3"/>
    <s v="CREDITOR"/>
    <n v="0"/>
    <n v="0"/>
    <n v="0"/>
    <n v="0"/>
    <n v="159.3"/>
  </r>
  <r>
    <n v="61160545"/>
    <s v="N"/>
    <n v="21343504"/>
    <s v="3000015343470001"/>
    <s v="CIVIL"/>
    <d v="2023-06-28T00:00:00"/>
    <d v="2023-07-07T19:03:00"/>
    <m/>
    <d v="2023-07-07T00:00:00"/>
    <n v="424"/>
    <n v="14130"/>
    <s v="61160545"/>
    <s v="61160545"/>
    <m/>
    <m/>
    <n v="22779570"/>
    <m/>
    <m/>
    <m/>
    <s v="SOLFIN"/>
    <s v="SOLFIN"/>
    <s v="CCMS"/>
    <n v="21343504"/>
    <n v="5035.52"/>
    <m/>
    <s v="N"/>
    <n v="5"/>
    <d v="2023-07-07T19:03:10"/>
    <s v="Y"/>
    <s v="Solicitor Travel Mileage"/>
    <s v="Public Law Children"/>
    <s v="Non Expert Disbursement"/>
    <s v="Neil Puttock"/>
    <s v="Y"/>
    <n v="20.7"/>
    <n v="4.14"/>
    <x v="9"/>
    <s v="VALIDATED"/>
    <n v="1"/>
    <s v="01.11.80.308.6300.0000"/>
    <n v="20.7"/>
    <s v="11"/>
    <s v="6300"/>
    <n v="21705.84"/>
    <n v="20.7"/>
    <s v="CREDITOR"/>
    <n v="0"/>
    <n v="0"/>
    <n v="0"/>
    <n v="0"/>
    <n v="20.7"/>
  </r>
  <r>
    <n v="61723608"/>
    <s v="N"/>
    <n v="21338413"/>
    <s v="3000015811030002"/>
    <s v="CIVIL"/>
    <d v="2023-06-27T00:00:00"/>
    <d v="2023-07-06T19:21:01"/>
    <m/>
    <d v="2023-07-06T00:00:00"/>
    <n v="424"/>
    <n v="14130"/>
    <s v="61723608"/>
    <s v="61723608"/>
    <m/>
    <m/>
    <n v="22770522"/>
    <m/>
    <m/>
    <m/>
    <s v="SOLFIN"/>
    <s v="SOLFIN"/>
    <s v="CCMS"/>
    <n v="21338413"/>
    <n v="7083.59"/>
    <m/>
    <s v="N"/>
    <n v="6"/>
    <d v="2023-07-06T19:21:24"/>
    <s v="Y"/>
    <s v="Solicitor Travel Expenses"/>
    <s v="Public Law Children"/>
    <s v="Non Expert Disbursement"/>
    <s v="Chanon Hessell"/>
    <s v="Y"/>
    <n v="3"/>
    <n v="0.6"/>
    <x v="4"/>
    <s v="VALIDATED"/>
    <n v="1"/>
    <s v="01.11.80.308.6300.0000"/>
    <n v="3"/>
    <s v="11"/>
    <s v="6300"/>
    <n v="21705.84"/>
    <n v="3"/>
    <s v="CREDITOR"/>
    <n v="0"/>
    <n v="0"/>
    <n v="0"/>
    <n v="0"/>
    <n v="3"/>
  </r>
  <r>
    <n v="61559403"/>
    <s v="N"/>
    <n v="21338450"/>
    <s v="3000015674720001"/>
    <s v="CIVIL"/>
    <d v="2023-06-28T00:00:00"/>
    <d v="2023-07-06T19:21:01"/>
    <m/>
    <d v="2023-07-06T00:00:00"/>
    <n v="424"/>
    <n v="14130"/>
    <s v="61559403"/>
    <s v="61559403"/>
    <m/>
    <m/>
    <n v="22781598"/>
    <m/>
    <m/>
    <m/>
    <s v="SOLFIN"/>
    <s v="SOLFIN"/>
    <s v="CCMS"/>
    <n v="21338450"/>
    <n v="885.51"/>
    <m/>
    <s v="N"/>
    <n v="8"/>
    <d v="2023-07-06T19:21:25"/>
    <s v="Y"/>
    <s v="Preparation - other"/>
    <s v="Care Remuneration Hourly Rates"/>
    <s v="Profit Cost"/>
    <s v="Julie Till"/>
    <s v="Y"/>
    <n v="11.68"/>
    <n v="2.34"/>
    <x v="4"/>
    <s v="VALIDATED"/>
    <n v="1"/>
    <s v="01.11.80.305.6100.0000"/>
    <n v="11.68"/>
    <s v="11"/>
    <s v="6100"/>
    <n v="21705.84"/>
    <n v="11.68"/>
    <s v="CREDITOR"/>
    <n v="0"/>
    <n v="0"/>
    <n v="0"/>
    <n v="0"/>
    <n v="11.68"/>
  </r>
  <r>
    <n v="61559403"/>
    <s v="N"/>
    <n v="21338450"/>
    <s v="3000015674720001"/>
    <s v="CIVIL"/>
    <d v="2023-06-28T00:00:00"/>
    <d v="2023-07-06T19:21:01"/>
    <m/>
    <d v="2023-07-06T00:00:00"/>
    <n v="424"/>
    <n v="14130"/>
    <s v="61559403"/>
    <s v="61559403"/>
    <m/>
    <m/>
    <n v="22781598"/>
    <m/>
    <m/>
    <m/>
    <s v="SOLFIN"/>
    <s v="SOLFIN"/>
    <s v="CCMS"/>
    <n v="21338450"/>
    <n v="885.51"/>
    <m/>
    <s v="N"/>
    <n v="2"/>
    <d v="2023-07-06T19:21:25"/>
    <s v="Y"/>
    <s v="Preparation - drafting notice(s)"/>
    <s v="Care Remuneration Hourly Rates"/>
    <s v="Profit Cost"/>
    <s v="Neil Puttock"/>
    <s v="Y"/>
    <n v="13.43"/>
    <n v="2.69"/>
    <x v="4"/>
    <s v="VALIDATED"/>
    <n v="1"/>
    <s v="01.11.80.305.6100.0000"/>
    <n v="13.43"/>
    <s v="11"/>
    <s v="6100"/>
    <n v="21705.84"/>
    <n v="13.43"/>
    <s v="CREDITOR"/>
    <n v="0"/>
    <n v="0"/>
    <n v="0"/>
    <n v="0"/>
    <n v="13.43"/>
  </r>
  <r>
    <n v="60724616"/>
    <s v="N"/>
    <n v="21338533"/>
    <s v="3000014965230002"/>
    <s v="CIVIL"/>
    <d v="2023-06-29T00:00:00"/>
    <d v="2023-07-06T19:21:01"/>
    <m/>
    <d v="2023-07-06T00:00:00"/>
    <n v="425"/>
    <n v="14130"/>
    <s v="60724616"/>
    <s v="60724616"/>
    <m/>
    <m/>
    <n v="22790828"/>
    <m/>
    <m/>
    <m/>
    <s v="SOLFIN"/>
    <s v="SOLFIN"/>
    <s v="CCMS"/>
    <n v="21338533"/>
    <n v="1675.24"/>
    <m/>
    <s v="N"/>
    <n v="2"/>
    <d v="2023-07-06T19:21:28"/>
    <s v="Y"/>
    <s v="Solicitor Travel Expenses"/>
    <s v="Private Law Children"/>
    <s v="Non Expert Disbursement"/>
    <s v="Cristiane Taylor"/>
    <s v="Y"/>
    <n v="3.5"/>
    <n v="0.7"/>
    <x v="4"/>
    <s v="VALIDATED"/>
    <n v="1"/>
    <s v="01.11.80.307.6300.0000"/>
    <n v="3.5"/>
    <s v="11"/>
    <s v="6300"/>
    <n v="3549.22"/>
    <n v="3.5"/>
    <s v="CREDITOR"/>
    <n v="0"/>
    <n v="0"/>
    <n v="0"/>
    <n v="0"/>
    <n v="3.5"/>
  </r>
  <r>
    <n v="60724616"/>
    <s v="N"/>
    <n v="21338533"/>
    <s v="3000014965230002"/>
    <s v="CIVIL"/>
    <d v="2023-06-29T00:00:00"/>
    <d v="2023-07-06T19:21:01"/>
    <m/>
    <d v="2023-07-06T00:00:00"/>
    <n v="425"/>
    <n v="14130"/>
    <s v="60724616"/>
    <s v="60724616"/>
    <m/>
    <m/>
    <n v="22790828"/>
    <m/>
    <m/>
    <m/>
    <s v="SOLFIN"/>
    <s v="SOLFIN"/>
    <s v="CCMS"/>
    <n v="21338533"/>
    <n v="1675.24"/>
    <m/>
    <s v="N"/>
    <n v="1"/>
    <d v="2023-07-06T19:21:28"/>
    <s v="Y"/>
    <s v="Solicitor Travel Expenses"/>
    <s v="Private Law Children"/>
    <s v="Non Expert Disbursement"/>
    <s v="Cristiane Taylor"/>
    <s v="Y"/>
    <n v="7"/>
    <n v="1.4"/>
    <x v="4"/>
    <s v="VALIDATED"/>
    <n v="1"/>
    <s v="01.11.80.307.6300.0000"/>
    <n v="7"/>
    <s v="11"/>
    <s v="6300"/>
    <n v="3549.22"/>
    <n v="7"/>
    <s v="CREDITOR"/>
    <n v="0"/>
    <n v="0"/>
    <n v="0"/>
    <n v="0"/>
    <n v="7"/>
  </r>
  <r>
    <n v="60867804"/>
    <s v="N"/>
    <n v="21349323"/>
    <s v="3000015092790001"/>
    <s v="CIVIL"/>
    <d v="2023-06-29T00:00:00"/>
    <d v="2023-07-10T19:01:40"/>
    <m/>
    <d v="2023-07-10T00:00:00"/>
    <n v="425"/>
    <n v="14130"/>
    <s v="60867804"/>
    <s v="60867804"/>
    <m/>
    <m/>
    <n v="22792786"/>
    <m/>
    <m/>
    <m/>
    <s v="SOLFIN"/>
    <s v="SOLFIN"/>
    <s v="CCMS"/>
    <n v="21349323"/>
    <n v="4074.07"/>
    <m/>
    <s v="N"/>
    <n v="3"/>
    <d v="2023-07-10T19:01:47"/>
    <s v="Y"/>
    <s v="Solicitor Travel Mileage"/>
    <s v="Public Law Children"/>
    <s v="Non Expert Disbursement"/>
    <s v="Cristiane Taylor"/>
    <s v="Y"/>
    <n v="27"/>
    <n v="5.4"/>
    <x v="2"/>
    <s v="VALIDATED"/>
    <n v="1"/>
    <s v="01.11.80.308.6300.0000"/>
    <n v="27"/>
    <s v="11"/>
    <s v="6300"/>
    <n v="3549.22"/>
    <n v="27"/>
    <s v="CREDITOR"/>
    <n v="0"/>
    <n v="0"/>
    <n v="0"/>
    <n v="0"/>
    <n v="27"/>
  </r>
  <r>
    <n v="60867804"/>
    <s v="N"/>
    <n v="21349323"/>
    <s v="3000015092790001"/>
    <s v="CIVIL"/>
    <d v="2023-06-29T00:00:00"/>
    <d v="2023-07-10T19:01:40"/>
    <m/>
    <d v="2023-07-10T00:00:00"/>
    <n v="425"/>
    <n v="14130"/>
    <s v="60867804"/>
    <s v="60867804"/>
    <m/>
    <m/>
    <n v="22792786"/>
    <m/>
    <m/>
    <m/>
    <s v="SOLFIN"/>
    <s v="SOLFIN"/>
    <s v="CCMS"/>
    <n v="21349323"/>
    <n v="4074.07"/>
    <m/>
    <s v="N"/>
    <n v="2"/>
    <d v="2023-07-10T19:01:47"/>
    <s v="Y"/>
    <s v="Final Hearing Court Bundle/Advocate"/>
    <s v="Public Law Children"/>
    <s v="Advocacy"/>
    <s v="Cristiane Taylor"/>
    <s v="Y"/>
    <n v="159.3"/>
    <n v="31.86"/>
    <x v="2"/>
    <s v="VALIDATED"/>
    <n v="1"/>
    <s v="01.11.80.308.6100.0000"/>
    <n v="159.3"/>
    <s v="11"/>
    <s v="6100"/>
    <n v="3549.22"/>
    <n v="159.3"/>
    <s v="CREDITOR"/>
    <n v="0"/>
    <n v="0"/>
    <n v="0"/>
    <n v="0"/>
    <n v="159.3"/>
  </r>
  <r>
    <n v="60724616"/>
    <s v="N"/>
    <n v="21338533"/>
    <s v="3000014965230002"/>
    <s v="CIVIL"/>
    <d v="2023-06-29T00:00:00"/>
    <d v="2023-07-06T19:21:01"/>
    <m/>
    <d v="2023-07-06T00:00:00"/>
    <n v="425"/>
    <n v="14130"/>
    <s v="60724616"/>
    <s v="60724616"/>
    <m/>
    <m/>
    <n v="22790828"/>
    <m/>
    <m/>
    <m/>
    <s v="SOLFIN"/>
    <s v="SOLFIN"/>
    <s v="CCMS"/>
    <n v="21338533"/>
    <n v="1675.24"/>
    <m/>
    <s v="N"/>
    <n v="4"/>
    <d v="2023-07-06T19:21:28"/>
    <s v="Y"/>
    <s v="Final Hearing - 1 Day"/>
    <s v="Private Law Children"/>
    <s v="Advocacy"/>
    <s v="Cristiane Taylor"/>
    <s v="Y"/>
    <n v="436.73"/>
    <n v="87.34999999999999"/>
    <x v="4"/>
    <s v="VALIDATED"/>
    <n v="1"/>
    <s v="01.11.80.307.6100.0000"/>
    <n v="436.73"/>
    <s v="11"/>
    <s v="6100"/>
    <n v="3549.22"/>
    <n v="436.73"/>
    <s v="CREDITOR"/>
    <n v="0"/>
    <n v="0"/>
    <n v="0"/>
    <n v="0"/>
    <n v="436.73"/>
  </r>
  <r>
    <n v="60867804"/>
    <s v="N"/>
    <n v="21349323"/>
    <s v="3000015092790001"/>
    <s v="CIVIL"/>
    <d v="2023-06-29T00:00:00"/>
    <d v="2023-07-10T19:01:40"/>
    <m/>
    <d v="2023-07-10T00:00:00"/>
    <n v="425"/>
    <n v="14130"/>
    <s v="60867804"/>
    <s v="60867804"/>
    <m/>
    <m/>
    <n v="22792786"/>
    <m/>
    <m/>
    <m/>
    <s v="SOLFIN"/>
    <s v="SOLFIN"/>
    <s v="CCMS"/>
    <n v="21349323"/>
    <n v="4074.07"/>
    <m/>
    <s v="N"/>
    <n v="5"/>
    <d v="2023-07-10T19:01:47"/>
    <s v="Y"/>
    <s v="Final Hearing - 1 Day"/>
    <s v="Public Law Children"/>
    <s v="Advocacy"/>
    <s v="Cristiane Taylor"/>
    <s v="Y"/>
    <n v="556.88"/>
    <n v="111.38"/>
    <x v="2"/>
    <s v="VALIDATED"/>
    <n v="1"/>
    <s v="01.11.80.308.6100.0000"/>
    <n v="556.88"/>
    <s v="11"/>
    <s v="6100"/>
    <n v="3549.22"/>
    <n v="556.88"/>
    <s v="CREDITOR"/>
    <n v="0"/>
    <n v="0"/>
    <n v="0"/>
    <n v="0"/>
    <n v="556.88"/>
  </r>
  <r>
    <n v="60724616"/>
    <s v="N"/>
    <n v="21338533"/>
    <s v="3000014965230002"/>
    <s v="CIVIL"/>
    <d v="2023-06-29T00:00:00"/>
    <d v="2023-07-06T19:21:01"/>
    <m/>
    <d v="2023-07-06T00:00:00"/>
    <n v="425"/>
    <n v="14130"/>
    <s v="60724616"/>
    <s v="60724616"/>
    <m/>
    <m/>
    <n v="22790828"/>
    <m/>
    <m/>
    <m/>
    <s v="SOLFIN"/>
    <s v="SOLFIN"/>
    <s v="CCMS"/>
    <n v="21338533"/>
    <n v="1675.24"/>
    <m/>
    <s v="N"/>
    <n v="3"/>
    <d v="2023-07-06T19:21:28"/>
    <s v="Y"/>
    <s v="Hearing Unit 1.01 - 2.30 Hours"/>
    <s v="Private Law Children"/>
    <s v="Advocacy"/>
    <s v="Cristiane Taylor"/>
    <s v="Y"/>
    <n v="172.4"/>
    <n v="34.48"/>
    <x v="4"/>
    <s v="VALIDATED"/>
    <n v="1"/>
    <s v="01.11.80.307.6100.0000"/>
    <n v="172.4"/>
    <s v="11"/>
    <s v="6100"/>
    <n v="3549.22"/>
    <n v="172.4"/>
    <s v="CREDITOR"/>
    <n v="0"/>
    <n v="0"/>
    <n v="0"/>
    <n v="0"/>
    <n v="172.4"/>
  </r>
  <r>
    <n v="60724616"/>
    <s v="N"/>
    <n v="21338533"/>
    <s v="3000014965230002"/>
    <s v="CIVIL"/>
    <d v="2023-06-29T00:00:00"/>
    <d v="2023-07-06T19:21:01"/>
    <m/>
    <d v="2023-07-06T00:00:00"/>
    <n v="425"/>
    <n v="14130"/>
    <s v="60724616"/>
    <s v="60724616"/>
    <m/>
    <m/>
    <n v="22790828"/>
    <m/>
    <m/>
    <m/>
    <s v="SOLFIN"/>
    <s v="SOLFIN"/>
    <s v="CCMS"/>
    <n v="21338533"/>
    <n v="1675.24"/>
    <m/>
    <s v="N"/>
    <n v="6"/>
    <d v="2023-07-06T19:21:28"/>
    <s v="Y"/>
    <s v="Level 3 &amp; Level 4 Fixed Fee"/>
    <s v="Private Law Children"/>
    <s v="Profit Cost"/>
    <s v="Cristiane Taylor"/>
    <s v="Y"/>
    <n v="604"/>
    <n v="120.8"/>
    <x v="4"/>
    <s v="VALIDATED"/>
    <n v="1"/>
    <s v="01.11.80.307.6100.0000"/>
    <n v="604"/>
    <s v="11"/>
    <s v="6100"/>
    <n v="3549.22"/>
    <n v="604"/>
    <s v="CREDITOR"/>
    <n v="0"/>
    <n v="0"/>
    <n v="0"/>
    <n v="0"/>
    <n v="604"/>
  </r>
  <r>
    <n v="60724616"/>
    <s v="N"/>
    <n v="21338533"/>
    <s v="3000014965230002"/>
    <s v="CIVIL"/>
    <d v="2023-06-29T00:00:00"/>
    <d v="2023-07-06T19:21:01"/>
    <m/>
    <d v="2023-07-06T00:00:00"/>
    <n v="425"/>
    <n v="14130"/>
    <s v="60724616"/>
    <s v="60724616"/>
    <m/>
    <m/>
    <n v="22790828"/>
    <m/>
    <m/>
    <m/>
    <s v="SOLFIN"/>
    <s v="SOLFIN"/>
    <s v="CCMS"/>
    <n v="21338533"/>
    <n v="1675.24"/>
    <m/>
    <s v="N"/>
    <n v="5"/>
    <d v="2023-07-06T19:21:28"/>
    <s v="Y"/>
    <s v="Hearing Unit 1.01 - 2.30 Hours"/>
    <s v="Private Law Children"/>
    <s v="Advocacy"/>
    <s v="Cristiane Taylor"/>
    <s v="Y"/>
    <n v="172.4"/>
    <n v="34.48"/>
    <x v="4"/>
    <s v="VALIDATED"/>
    <n v="1"/>
    <s v="01.11.80.307.6100.0000"/>
    <n v="172.4"/>
    <s v="11"/>
    <s v="6100"/>
    <n v="3549.22"/>
    <n v="172.4"/>
    <s v="CREDITOR"/>
    <n v="0"/>
    <n v="0"/>
    <n v="0"/>
    <n v="0"/>
    <n v="172.4"/>
  </r>
  <r>
    <n v="60867804"/>
    <s v="N"/>
    <n v="21349323"/>
    <s v="3000015092790001"/>
    <s v="CIVIL"/>
    <d v="2023-06-29T00:00:00"/>
    <d v="2023-07-10T19:01:40"/>
    <m/>
    <d v="2023-07-10T00:00:00"/>
    <n v="425"/>
    <n v="14130"/>
    <s v="60867804"/>
    <s v="60867804"/>
    <m/>
    <m/>
    <n v="22792786"/>
    <m/>
    <m/>
    <m/>
    <s v="SOLFIN"/>
    <s v="SOLFIN"/>
    <s v="CCMS"/>
    <n v="21349323"/>
    <n v="4074.07"/>
    <m/>
    <s v="N"/>
    <n v="6"/>
    <d v="2023-07-10T19:01:47"/>
    <s v="Y"/>
    <s v="Solicitors Fixed Fee"/>
    <s v="Public Law Children"/>
    <s v="Profit Cost"/>
    <s v="Cristiane Taylor"/>
    <s v="Y"/>
    <n v="2616"/>
    <n v="523.2"/>
    <x v="2"/>
    <s v="VALIDATED"/>
    <n v="1"/>
    <s v="01.11.80.308.6100.0000"/>
    <n v="2616"/>
    <s v="11"/>
    <s v="6100"/>
    <n v="3549.22"/>
    <n v="2616"/>
    <s v="CREDITOR"/>
    <n v="0"/>
    <n v="0"/>
    <n v="0"/>
    <n v="0"/>
    <n v="2616"/>
  </r>
  <r>
    <n v="60867804"/>
    <s v="N"/>
    <n v="21349323"/>
    <s v="3000015092790001"/>
    <s v="CIVIL"/>
    <d v="2023-06-29T00:00:00"/>
    <d v="2023-07-10T19:01:40"/>
    <m/>
    <d v="2023-07-10T00:00:00"/>
    <n v="425"/>
    <n v="14130"/>
    <s v="60867804"/>
    <s v="60867804"/>
    <m/>
    <m/>
    <n v="22792786"/>
    <m/>
    <m/>
    <m/>
    <s v="SOLFIN"/>
    <s v="SOLFIN"/>
    <s v="CCMS"/>
    <n v="21349323"/>
    <n v="4074.07"/>
    <m/>
    <s v="N"/>
    <n v="4"/>
    <d v="2023-07-10T19:01:47"/>
    <s v="Y"/>
    <s v="Solicitor Travel Expenses"/>
    <s v="Public Law Children"/>
    <s v="Non Expert Disbursement"/>
    <s v="Cristiane Taylor"/>
    <s v="Y"/>
    <n v="3.83"/>
    <n v="0.77"/>
    <x v="2"/>
    <s v="VALIDATED"/>
    <n v="1"/>
    <s v="01.11.80.308.6300.0000"/>
    <n v="3.83"/>
    <s v="11"/>
    <s v="6300"/>
    <n v="3549.22"/>
    <n v="3.83"/>
    <s v="CREDITOR"/>
    <n v="0"/>
    <n v="0"/>
    <n v="0"/>
    <n v="0"/>
    <n v="3.83"/>
  </r>
  <r>
    <n v="60867804"/>
    <s v="N"/>
    <n v="21349323"/>
    <s v="3000015092790001"/>
    <s v="CIVIL"/>
    <d v="2023-06-29T00:00:00"/>
    <d v="2023-07-10T19:01:40"/>
    <m/>
    <d v="2023-07-10T00:00:00"/>
    <n v="425"/>
    <n v="14130"/>
    <s v="60867804"/>
    <s v="60867804"/>
    <m/>
    <m/>
    <n v="22792786"/>
    <m/>
    <m/>
    <m/>
    <s v="SOLFIN"/>
    <s v="SOLFIN"/>
    <s v="CCMS"/>
    <n v="21349323"/>
    <n v="4074.07"/>
    <m/>
    <s v="N"/>
    <n v="1"/>
    <d v="2023-07-10T19:01:47"/>
    <s v="Y"/>
    <s v="Exceptional Travel"/>
    <s v="Public Law Children"/>
    <s v="Advocacy"/>
    <s v="Cristiane Taylor"/>
    <s v="Y"/>
    <n v="32.04"/>
    <n v="6.41"/>
    <x v="2"/>
    <s v="VALIDATED"/>
    <n v="1"/>
    <s v="01.11.80.308.6100.0000"/>
    <n v="32.04"/>
    <s v="11"/>
    <s v="6100"/>
    <n v="3549.22"/>
    <n v="32.04"/>
    <s v="CREDITOR"/>
    <n v="0"/>
    <n v="0"/>
    <n v="0"/>
    <n v="0"/>
    <n v="32.04"/>
  </r>
  <r>
    <n v="60724616"/>
    <s v="N"/>
    <n v="21339897"/>
    <s v="3000014965230001RC"/>
    <s v="CIVIL"/>
    <d v="2023-06-29T00:00:00"/>
    <d v="2023-07-06T19:54:22"/>
    <m/>
    <d v="2023-07-06T00:00:00"/>
    <n v="425"/>
    <n v="14130"/>
    <s v="60724616"/>
    <s v="60724616"/>
    <m/>
    <m/>
    <m/>
    <m/>
    <m/>
    <m/>
    <s v="SOLRECOUP"/>
    <s v="SOLRECOUP"/>
    <s v="POARECOUP"/>
    <n v="21339897"/>
    <n v="-1241.86"/>
    <m/>
    <s v="Y"/>
    <n v="2"/>
    <d v="2023-07-06T19:54:23"/>
    <s v="N"/>
    <m/>
    <m/>
    <s v="Profit Cost"/>
    <m/>
    <s v="N"/>
    <n v="0"/>
    <n v="-206.98"/>
    <x v="4"/>
    <s v="VALIDATED"/>
    <n v="1"/>
    <s v="01.11.80.307.2013.0000"/>
    <n v="-206.98"/>
    <s v="11"/>
    <s v="2013"/>
    <n v="3549.22"/>
    <n v="-206.98"/>
    <s v="CREDITOR"/>
    <n v="0"/>
    <n v="0"/>
    <n v="-206.98"/>
    <n v="-51.745"/>
    <n v="0"/>
  </r>
  <r>
    <n v="60724616"/>
    <s v="N"/>
    <n v="21339897"/>
    <s v="3000014965230001RC"/>
    <s v="CIVIL"/>
    <d v="2023-06-29T00:00:00"/>
    <d v="2023-07-06T19:54:22"/>
    <m/>
    <d v="2023-07-06T00:00:00"/>
    <n v="425"/>
    <n v="14130"/>
    <s v="60724616"/>
    <s v="60724616"/>
    <m/>
    <m/>
    <m/>
    <m/>
    <m/>
    <m/>
    <s v="SOLRECOUP"/>
    <s v="SOLRECOUP"/>
    <s v="POARECOUP"/>
    <n v="21339897"/>
    <n v="-1241.86"/>
    <m/>
    <s v="Y"/>
    <n v="1"/>
    <d v="2023-07-06T19:54:23"/>
    <s v="N"/>
    <m/>
    <m/>
    <s v="Profit Cost"/>
    <m/>
    <s v="N"/>
    <n v="-1034.88"/>
    <n v="0"/>
    <x v="4"/>
    <s v="VALIDATED"/>
    <n v="1"/>
    <s v="01.11.80.307.2013.0000"/>
    <n v="-1034.88"/>
    <s v="11"/>
    <s v="2013"/>
    <n v="3549.22"/>
    <n v="-1034.88"/>
    <s v="CREDITOR"/>
    <n v="0"/>
    <n v="0"/>
    <n v="-1034.88"/>
    <n v="-258.72"/>
    <n v="0"/>
  </r>
  <r>
    <n v="60427325"/>
    <s v="N"/>
    <n v="21318595"/>
    <s v="3000014713170011"/>
    <s v="CIVIL"/>
    <d v="2023-06-17T00:00:00"/>
    <d v="2023-07-03T19:01:49"/>
    <m/>
    <d v="2023-07-03T00:00:00"/>
    <n v="427"/>
    <n v="14152"/>
    <s v="60427325"/>
    <s v="60427325"/>
    <m/>
    <m/>
    <n v="22710708"/>
    <m/>
    <m/>
    <m/>
    <s v="SOLFIN"/>
    <s v="SOLFIN"/>
    <s v="CCMS"/>
    <n v="21318595"/>
    <n v="5963.83"/>
    <m/>
    <s v="N"/>
    <n v="9"/>
    <d v="2023-07-03T19:02:00"/>
    <s v="Y"/>
    <s v="Advocates Meeting"/>
    <s v="Public Law Children"/>
    <s v="Advocacy"/>
    <s v="GRAEME BARCLAY"/>
    <s v="Y"/>
    <n v="140.99"/>
    <n v="28.2"/>
    <x v="3"/>
    <s v="VALIDATED"/>
    <n v="1"/>
    <s v="01.11.80.308.6100.0000"/>
    <n v="140.99"/>
    <s v="11"/>
    <s v="6100"/>
    <n v="5867.37"/>
    <n v="140.99"/>
    <s v="CREDITOR"/>
    <n v="0"/>
    <n v="0"/>
    <n v="0"/>
    <n v="0"/>
    <n v="140.99"/>
  </r>
  <r>
    <n v="61759929"/>
    <s v="N"/>
    <n v="21337714"/>
    <s v="3000015839130006"/>
    <s v="CIVIL"/>
    <d v="2023-06-28T00:00:00"/>
    <d v="2023-07-06T19:21:01"/>
    <m/>
    <d v="2023-07-06T00:00:00"/>
    <n v="427"/>
    <n v="14152"/>
    <s v="61759929"/>
    <s v="61759929"/>
    <m/>
    <m/>
    <n v="22784460"/>
    <m/>
    <m/>
    <m/>
    <s v="SOLFIN"/>
    <s v="SOLFIN"/>
    <s v="CCMS"/>
    <n v="21337714"/>
    <n v="4055.81"/>
    <m/>
    <s v="N"/>
    <n v="6"/>
    <d v="2023-07-06T19:21:05"/>
    <s v="Y"/>
    <s v="Advocates Meeting"/>
    <s v="Public Law Children"/>
    <s v="Advocacy"/>
    <s v="Graeme Barclay"/>
    <s v="Y"/>
    <n v="140.99"/>
    <n v="28.2"/>
    <x v="4"/>
    <s v="VALIDATED"/>
    <n v="1"/>
    <s v="01.11.80.308.6100.0000"/>
    <n v="140.99"/>
    <s v="11"/>
    <s v="6100"/>
    <n v="5867.37"/>
    <n v="140.99"/>
    <s v="CREDITOR"/>
    <n v="0"/>
    <n v="0"/>
    <n v="0"/>
    <n v="0"/>
    <n v="140.99"/>
  </r>
  <r>
    <n v="61759929"/>
    <s v="N"/>
    <n v="21337714"/>
    <s v="3000015839130006"/>
    <s v="CIVIL"/>
    <d v="2023-06-28T00:00:00"/>
    <d v="2023-07-06T19:21:01"/>
    <m/>
    <d v="2023-07-06T00:00:00"/>
    <n v="427"/>
    <n v="14152"/>
    <s v="61759929"/>
    <s v="61759929"/>
    <m/>
    <m/>
    <n v="22784460"/>
    <m/>
    <m/>
    <m/>
    <s v="SOLFIN"/>
    <s v="SOLFIN"/>
    <s v="CCMS"/>
    <n v="21337714"/>
    <n v="4055.81"/>
    <m/>
    <s v="N"/>
    <n v="1"/>
    <d v="2023-07-06T19:21:05"/>
    <s v="Y"/>
    <s v="Interim Hearing Court Bundle/Advoca"/>
    <s v="Public Law Children"/>
    <s v="Advocacy"/>
    <s v="GRAEME BARCLAY"/>
    <s v="Y"/>
    <n v="59.4"/>
    <n v="11.88"/>
    <x v="4"/>
    <s v="VALIDATED"/>
    <n v="1"/>
    <s v="01.11.80.308.6100.0000"/>
    <n v="59.4"/>
    <s v="11"/>
    <s v="6100"/>
    <n v="5867.37"/>
    <n v="59.4"/>
    <s v="CREDITOR"/>
    <n v="0"/>
    <n v="0"/>
    <n v="0"/>
    <n v="0"/>
    <n v="59.4"/>
  </r>
  <r>
    <n v="60427325"/>
    <s v="N"/>
    <n v="21318595"/>
    <s v="3000014713170011"/>
    <s v="CIVIL"/>
    <d v="2023-06-17T00:00:00"/>
    <d v="2023-07-03T19:01:49"/>
    <m/>
    <d v="2023-07-03T00:00:00"/>
    <n v="427"/>
    <n v="14152"/>
    <s v="60427325"/>
    <s v="60427325"/>
    <m/>
    <m/>
    <n v="22710708"/>
    <m/>
    <m/>
    <m/>
    <s v="SOLFIN"/>
    <s v="SOLFIN"/>
    <s v="CCMS"/>
    <n v="21318595"/>
    <n v="5963.83"/>
    <m/>
    <s v="N"/>
    <n v="8"/>
    <d v="2023-07-03T19:02:00"/>
    <s v="Y"/>
    <s v="Advocates Meeting"/>
    <s v="Public Law Children"/>
    <s v="Advocacy"/>
    <s v="GRAEME BARCLAY"/>
    <s v="Y"/>
    <n v="140.99"/>
    <n v="28.2"/>
    <x v="3"/>
    <s v="VALIDATED"/>
    <n v="1"/>
    <s v="01.11.80.308.6100.0000"/>
    <n v="140.99"/>
    <s v="11"/>
    <s v="6100"/>
    <n v="5867.37"/>
    <n v="140.99"/>
    <s v="CREDITOR"/>
    <n v="0"/>
    <n v="0"/>
    <n v="0"/>
    <n v="0"/>
    <n v="140.99"/>
  </r>
  <r>
    <n v="60427325"/>
    <s v="N"/>
    <n v="21318595"/>
    <s v="3000014713170011"/>
    <s v="CIVIL"/>
    <d v="2023-06-17T00:00:00"/>
    <d v="2023-07-03T19:01:49"/>
    <m/>
    <d v="2023-07-03T00:00:00"/>
    <n v="427"/>
    <n v="14152"/>
    <s v="60427325"/>
    <s v="60427325"/>
    <m/>
    <m/>
    <n v="22710708"/>
    <m/>
    <m/>
    <m/>
    <s v="SOLFIN"/>
    <s v="SOLFIN"/>
    <s v="CCMS"/>
    <n v="21318595"/>
    <n v="5963.83"/>
    <m/>
    <s v="N"/>
    <n v="2"/>
    <d v="2023-07-03T19:02:00"/>
    <s v="Y"/>
    <s v="Doctor (GP)"/>
    <s v="Public Law Children"/>
    <s v="Expert Disbursement"/>
    <s v="GRAEME BARCLAY"/>
    <s v="Y"/>
    <n v="50"/>
    <n v="0"/>
    <x v="3"/>
    <s v="VALIDATED"/>
    <n v="1"/>
    <s v="01.11.80.308.6300.0000"/>
    <n v="50"/>
    <s v="11"/>
    <s v="6300"/>
    <n v="5867.37"/>
    <n v="50"/>
    <s v="CREDITOR"/>
    <n v="0"/>
    <n v="0"/>
    <n v="0"/>
    <n v="0"/>
    <n v="50"/>
  </r>
  <r>
    <n v="61245105"/>
    <s v="N"/>
    <n v="21360779"/>
    <s v="3000015412580007"/>
    <s v="CIVIL"/>
    <d v="2023-06-28T00:00:00"/>
    <d v="2023-07-11T19:00:25"/>
    <m/>
    <d v="2023-07-11T00:00:00"/>
    <n v="427"/>
    <n v="14152"/>
    <s v="61245105"/>
    <s v="61245105"/>
    <m/>
    <m/>
    <n v="22784398"/>
    <m/>
    <m/>
    <m/>
    <s v="SOLFIN"/>
    <s v="SOLFIN"/>
    <s v="CCMS"/>
    <n v="21360779"/>
    <n v="3308.39"/>
    <m/>
    <s v="N"/>
    <n v="1"/>
    <d v="2023-07-11T19:00:34"/>
    <s v="Y"/>
    <s v="Advocates Meeting"/>
    <s v="Public Law Children"/>
    <s v="Advocacy"/>
    <s v="Graeme Barclay"/>
    <s v="Y"/>
    <n v="140.99"/>
    <n v="28.2"/>
    <x v="7"/>
    <s v="VALIDATED"/>
    <n v="1"/>
    <s v="01.11.80.308.6100.0000"/>
    <n v="140.99"/>
    <s v="11"/>
    <s v="6100"/>
    <n v="5867.37"/>
    <n v="140.99"/>
    <s v="CREDITOR"/>
    <n v="0"/>
    <n v="0"/>
    <n v="0"/>
    <n v="0"/>
    <n v="140.99"/>
  </r>
  <r>
    <n v="60427325"/>
    <s v="N"/>
    <n v="21318595"/>
    <s v="3000014713170011"/>
    <s v="CIVIL"/>
    <d v="2023-06-17T00:00:00"/>
    <d v="2023-07-03T19:01:49"/>
    <m/>
    <d v="2023-07-03T00:00:00"/>
    <n v="427"/>
    <n v="14152"/>
    <s v="60427325"/>
    <s v="60427325"/>
    <m/>
    <m/>
    <n v="22710708"/>
    <m/>
    <m/>
    <m/>
    <s v="SOLFIN"/>
    <s v="SOLFIN"/>
    <s v="CCMS"/>
    <n v="21318595"/>
    <n v="5963.83"/>
    <m/>
    <s v="N"/>
    <n v="4"/>
    <d v="2023-07-03T19:02:00"/>
    <s v="Y"/>
    <s v="Toxicologist"/>
    <s v="Public Law Children"/>
    <s v="Expert Disbursement"/>
    <s v="GRAEME BARCLAY"/>
    <s v="Y"/>
    <n v="61.33"/>
    <n v="12.27"/>
    <x v="3"/>
    <s v="VALIDATED"/>
    <n v="1"/>
    <s v="01.11.80.308.6300.0000"/>
    <n v="61.33"/>
    <s v="11"/>
    <s v="6300"/>
    <n v="5867.37"/>
    <n v="61.33"/>
    <s v="CREDITOR"/>
    <n v="0"/>
    <n v="0"/>
    <n v="0"/>
    <n v="0"/>
    <n v="61.33"/>
  </r>
  <r>
    <n v="60427325"/>
    <s v="N"/>
    <n v="21318595"/>
    <s v="3000014713170011"/>
    <s v="CIVIL"/>
    <d v="2023-06-17T00:00:00"/>
    <d v="2023-07-03T19:01:49"/>
    <m/>
    <d v="2023-07-03T00:00:00"/>
    <n v="427"/>
    <n v="14152"/>
    <s v="60427325"/>
    <s v="60427325"/>
    <m/>
    <m/>
    <n v="22710708"/>
    <m/>
    <m/>
    <m/>
    <s v="SOLFIN"/>
    <s v="SOLFIN"/>
    <s v="CCMS"/>
    <n v="21318595"/>
    <n v="5963.83"/>
    <m/>
    <s v="N"/>
    <n v="7"/>
    <d v="2023-07-03T19:02:00"/>
    <s v="Y"/>
    <s v="Hearing Unit 2.31 - 5.00 Hours"/>
    <s v="Public Law Children"/>
    <s v="Advocacy"/>
    <s v="GRAEME BARCLAY"/>
    <s v="Y"/>
    <n v="476.92"/>
    <n v="95.38"/>
    <x v="3"/>
    <s v="VALIDATED"/>
    <n v="1"/>
    <s v="01.11.80.308.6100.0000"/>
    <n v="476.92"/>
    <s v="11"/>
    <s v="6100"/>
    <n v="5867.37"/>
    <n v="476.92"/>
    <s v="CREDITOR"/>
    <n v="0"/>
    <n v="0"/>
    <n v="0"/>
    <n v="0"/>
    <n v="476.92"/>
  </r>
  <r>
    <n v="61759929"/>
    <s v="N"/>
    <n v="21337714"/>
    <s v="3000015839130006"/>
    <s v="CIVIL"/>
    <d v="2023-06-28T00:00:00"/>
    <d v="2023-07-06T19:21:01"/>
    <m/>
    <d v="2023-07-06T00:00:00"/>
    <n v="427"/>
    <n v="14152"/>
    <s v="61759929"/>
    <s v="61759929"/>
    <m/>
    <m/>
    <n v="22784460"/>
    <m/>
    <m/>
    <m/>
    <s v="SOLFIN"/>
    <s v="SOLFIN"/>
    <s v="CCMS"/>
    <n v="21337714"/>
    <n v="4055.81"/>
    <m/>
    <s v="N"/>
    <n v="4"/>
    <d v="2023-07-06T19:21:05"/>
    <s v="Y"/>
    <s v="Hearing Unit 1.01 - 2.30 Hours"/>
    <s v="Public Law Children"/>
    <s v="Advocacy"/>
    <s v="GRAEME BARCLAY"/>
    <s v="Y"/>
    <n v="238.46"/>
    <n v="47.69"/>
    <x v="4"/>
    <s v="VALIDATED"/>
    <n v="1"/>
    <s v="01.11.80.308.6100.0000"/>
    <n v="238.46"/>
    <s v="11"/>
    <s v="6100"/>
    <n v="5867.37"/>
    <n v="238.46"/>
    <s v="CREDITOR"/>
    <n v="0"/>
    <n v="0"/>
    <n v="0"/>
    <n v="0"/>
    <n v="238.46"/>
  </r>
  <r>
    <n v="61759929"/>
    <s v="N"/>
    <n v="21337714"/>
    <s v="3000015839130006"/>
    <s v="CIVIL"/>
    <d v="2023-06-28T00:00:00"/>
    <d v="2023-07-06T19:21:01"/>
    <m/>
    <d v="2023-07-06T00:00:00"/>
    <n v="427"/>
    <n v="14152"/>
    <s v="61759929"/>
    <s v="61759929"/>
    <m/>
    <m/>
    <n v="22784460"/>
    <m/>
    <m/>
    <m/>
    <s v="SOLFIN"/>
    <s v="SOLFIN"/>
    <s v="CCMS"/>
    <n v="21337714"/>
    <n v="4055.81"/>
    <m/>
    <s v="N"/>
    <n v="7"/>
    <d v="2023-07-06T19:21:05"/>
    <s v="Y"/>
    <s v="Solicitors Fixed Fee"/>
    <s v="Public Law Children"/>
    <s v="Profit Cost"/>
    <s v="GRAEME BARCLAY"/>
    <s v="Y"/>
    <n v="2616"/>
    <n v="523.2"/>
    <x v="4"/>
    <s v="VALIDATED"/>
    <n v="1"/>
    <s v="01.11.80.308.6100.0000"/>
    <n v="2616"/>
    <s v="11"/>
    <s v="6100"/>
    <n v="5867.37"/>
    <n v="2616"/>
    <s v="CREDITOR"/>
    <n v="0"/>
    <n v="0"/>
    <n v="0"/>
    <n v="0"/>
    <n v="2616"/>
  </r>
  <r>
    <n v="62148566"/>
    <s v="N"/>
    <n v="21322921"/>
    <s v="3000016167560001"/>
    <s v="CIVIL"/>
    <d v="2023-06-29T00:00:00"/>
    <d v="2023-07-03T19:05:36"/>
    <m/>
    <d v="2023-07-03T00:00:00"/>
    <n v="427"/>
    <n v="14152"/>
    <s v="62148566"/>
    <s v="62148566"/>
    <m/>
    <m/>
    <n v="22792956"/>
    <m/>
    <m/>
    <m/>
    <s v="SOLPOA"/>
    <s v="SOLPOA"/>
    <s v="CCMS"/>
    <n v="21322921"/>
    <n v="935.39"/>
    <m/>
    <s v="N"/>
    <n v="1"/>
    <d v="2023-07-03T19:05:40"/>
    <s v="N"/>
    <s v="Solicitors Fixed Fee"/>
    <s v="Public Law Children"/>
    <s v="Profit Cost"/>
    <s v="GRAEME BARCLAY"/>
    <s v="N"/>
    <n v="779.49"/>
    <n v="155.9"/>
    <x v="3"/>
    <s v="VALIDATED"/>
    <n v="1"/>
    <s v="01.11.80.308.2012.0000"/>
    <n v="779.49"/>
    <s v="11"/>
    <s v="2012"/>
    <n v="5867.37"/>
    <n v="779.49"/>
    <s v="CREDITOR"/>
    <n v="779.49"/>
    <n v="194.8725"/>
    <n v="0"/>
    <n v="0"/>
    <n v="0"/>
  </r>
  <r>
    <n v="60427325"/>
    <s v="N"/>
    <n v="21318595"/>
    <s v="3000014713170011"/>
    <s v="CIVIL"/>
    <d v="2023-06-17T00:00:00"/>
    <d v="2023-07-03T19:01:49"/>
    <m/>
    <d v="2023-07-03T00:00:00"/>
    <n v="427"/>
    <n v="14152"/>
    <s v="60427325"/>
    <s v="60427325"/>
    <m/>
    <m/>
    <n v="22710708"/>
    <m/>
    <m/>
    <m/>
    <s v="SOLFIN"/>
    <s v="SOLFIN"/>
    <s v="CCMS"/>
    <n v="21318595"/>
    <n v="5963.83"/>
    <m/>
    <s v="N"/>
    <n v="3"/>
    <d v="2023-07-03T19:02:00"/>
    <s v="Y"/>
    <s v="Toxicologist"/>
    <s v="Public Law Children"/>
    <s v="Expert Disbursement"/>
    <s v="GRAEME BARCLAY"/>
    <s v="Y"/>
    <n v="143.4"/>
    <n v="28.68"/>
    <x v="3"/>
    <s v="VALIDATED"/>
    <n v="1"/>
    <s v="01.11.80.308.6300.0000"/>
    <n v="143.4"/>
    <s v="11"/>
    <s v="6300"/>
    <n v="5867.37"/>
    <n v="143.4"/>
    <s v="CREDITOR"/>
    <n v="0"/>
    <n v="0"/>
    <n v="0"/>
    <n v="0"/>
    <n v="143.4"/>
  </r>
  <r>
    <n v="60427325"/>
    <s v="N"/>
    <n v="21318595"/>
    <s v="3000014713170011"/>
    <s v="CIVIL"/>
    <d v="2023-06-17T00:00:00"/>
    <d v="2023-07-03T19:01:49"/>
    <m/>
    <d v="2023-07-03T00:00:00"/>
    <n v="427"/>
    <n v="14152"/>
    <s v="60427325"/>
    <s v="60427325"/>
    <m/>
    <m/>
    <n v="22710708"/>
    <m/>
    <m/>
    <m/>
    <s v="SOLFIN"/>
    <s v="SOLFIN"/>
    <s v="CCMS"/>
    <n v="21318595"/>
    <n v="5963.83"/>
    <m/>
    <s v="N"/>
    <n v="6"/>
    <d v="2023-07-03T19:02:00"/>
    <s v="Y"/>
    <s v="Psychologist"/>
    <s v="Public Law Children"/>
    <s v="Expert Disbursement"/>
    <s v="GRAEME BARCLAY"/>
    <s v="Y"/>
    <n v="249.6"/>
    <n v="49.92"/>
    <x v="3"/>
    <s v="VALIDATED"/>
    <n v="1"/>
    <s v="01.11.80.308.6300.0000"/>
    <n v="249.6"/>
    <s v="11"/>
    <s v="6300"/>
    <n v="5867.37"/>
    <n v="249.6"/>
    <s v="CREDITOR"/>
    <n v="0"/>
    <n v="0"/>
    <n v="0"/>
    <n v="0"/>
    <n v="249.6"/>
  </r>
  <r>
    <n v="61245105"/>
    <s v="N"/>
    <n v="21360779"/>
    <s v="3000015412580007"/>
    <s v="CIVIL"/>
    <d v="2023-06-28T00:00:00"/>
    <d v="2023-07-11T19:00:25"/>
    <m/>
    <d v="2023-07-11T00:00:00"/>
    <n v="427"/>
    <n v="14152"/>
    <s v="61245105"/>
    <s v="61245105"/>
    <m/>
    <m/>
    <n v="22784398"/>
    <m/>
    <m/>
    <m/>
    <s v="SOLFIN"/>
    <s v="SOLFIN"/>
    <s v="CCMS"/>
    <n v="21360779"/>
    <n v="3308.39"/>
    <m/>
    <s v="N"/>
    <n v="2"/>
    <d v="2023-07-11T19:00:34"/>
    <s v="Y"/>
    <s v="Solicitors Fixed Fee"/>
    <s v="Public Law Children"/>
    <s v="Profit Cost"/>
    <s v="Graeme Barclay"/>
    <s v="Y"/>
    <n v="2616"/>
    <n v="523.2"/>
    <x v="7"/>
    <s v="VALIDATED"/>
    <n v="1"/>
    <s v="01.11.80.308.6100.0000"/>
    <n v="2616"/>
    <s v="11"/>
    <s v="6100"/>
    <n v="5867.37"/>
    <n v="2616"/>
    <s v="CREDITOR"/>
    <n v="0"/>
    <n v="0"/>
    <n v="0"/>
    <n v="0"/>
    <n v="2616"/>
  </r>
  <r>
    <n v="60427325"/>
    <s v="N"/>
    <n v="21318595"/>
    <s v="3000014713170011"/>
    <s v="CIVIL"/>
    <d v="2023-06-17T00:00:00"/>
    <d v="2023-07-03T19:01:49"/>
    <m/>
    <d v="2023-07-03T00:00:00"/>
    <n v="427"/>
    <n v="14152"/>
    <s v="60427325"/>
    <s v="60427325"/>
    <m/>
    <m/>
    <n v="22710708"/>
    <m/>
    <m/>
    <m/>
    <s v="SOLFIN"/>
    <s v="SOLFIN"/>
    <s v="CCMS"/>
    <n v="21318595"/>
    <n v="5963.83"/>
    <m/>
    <s v="N"/>
    <n v="13"/>
    <d v="2023-07-03T19:02:00"/>
    <s v="Y"/>
    <s v="Solicitors Fixed Fee"/>
    <s v="Public Law Children"/>
    <s v="Profit Cost"/>
    <s v="GRAEME BARCLAY"/>
    <s v="Y"/>
    <n v="2616"/>
    <n v="523.2"/>
    <x v="3"/>
    <s v="VALIDATED"/>
    <n v="1"/>
    <s v="01.11.80.308.6100.0000"/>
    <n v="2616"/>
    <s v="11"/>
    <s v="6100"/>
    <n v="5867.37"/>
    <n v="2616"/>
    <s v="CREDITOR"/>
    <n v="0"/>
    <n v="0"/>
    <n v="0"/>
    <n v="0"/>
    <n v="2616"/>
  </r>
  <r>
    <n v="60427325"/>
    <s v="N"/>
    <n v="21318595"/>
    <s v="3000014713170011"/>
    <s v="CIVIL"/>
    <d v="2023-06-17T00:00:00"/>
    <d v="2023-07-03T19:01:49"/>
    <m/>
    <d v="2023-07-03T00:00:00"/>
    <n v="427"/>
    <n v="14152"/>
    <s v="60427325"/>
    <s v="60427325"/>
    <m/>
    <m/>
    <n v="22710708"/>
    <m/>
    <m/>
    <m/>
    <s v="SOLFIN"/>
    <s v="SOLFIN"/>
    <s v="CCMS"/>
    <n v="21318595"/>
    <n v="5963.83"/>
    <m/>
    <s v="N"/>
    <n v="5"/>
    <d v="2023-07-03T19:02:00"/>
    <s v="Y"/>
    <s v="Paediatrician"/>
    <s v="Public Law Children"/>
    <s v="Expert Disbursement"/>
    <s v="GRAEME BARCLAY"/>
    <s v="Y"/>
    <n v="550.8"/>
    <n v="110.16"/>
    <x v="3"/>
    <s v="VALIDATED"/>
    <n v="1"/>
    <s v="01.11.80.308.6300.0000"/>
    <n v="550.8"/>
    <s v="11"/>
    <s v="6300"/>
    <n v="5867.37"/>
    <n v="550.8"/>
    <s v="CREDITOR"/>
    <n v="0"/>
    <n v="0"/>
    <n v="0"/>
    <n v="0"/>
    <n v="550.8"/>
  </r>
  <r>
    <n v="60427325"/>
    <s v="N"/>
    <n v="21318595"/>
    <s v="3000014713170011"/>
    <s v="CIVIL"/>
    <d v="2023-06-17T00:00:00"/>
    <d v="2023-07-03T19:01:49"/>
    <m/>
    <d v="2023-07-03T00:00:00"/>
    <n v="427"/>
    <n v="14152"/>
    <s v="60427325"/>
    <s v="60427325"/>
    <m/>
    <m/>
    <n v="22710708"/>
    <m/>
    <m/>
    <m/>
    <s v="SOLFIN"/>
    <s v="SOLFIN"/>
    <s v="CCMS"/>
    <n v="21318595"/>
    <n v="5963.83"/>
    <m/>
    <s v="N"/>
    <n v="11"/>
    <d v="2023-07-03T19:02:00"/>
    <s v="Y"/>
    <s v="Advocates Meeting"/>
    <s v="Public Law Children"/>
    <s v="Advocacy"/>
    <s v="GRAEME BARCLAY"/>
    <s v="Y"/>
    <n v="140.99"/>
    <n v="28.2"/>
    <x v="3"/>
    <s v="VALIDATED"/>
    <n v="1"/>
    <s v="01.11.80.308.6100.0000"/>
    <n v="140.99"/>
    <s v="11"/>
    <s v="6100"/>
    <n v="5867.37"/>
    <n v="140.99"/>
    <s v="CREDITOR"/>
    <n v="0"/>
    <n v="0"/>
    <n v="0"/>
    <n v="0"/>
    <n v="140.99"/>
  </r>
  <r>
    <n v="61759929"/>
    <s v="N"/>
    <n v="21337714"/>
    <s v="3000015839130006"/>
    <s v="CIVIL"/>
    <d v="2023-06-28T00:00:00"/>
    <d v="2023-07-06T19:21:01"/>
    <m/>
    <d v="2023-07-06T00:00:00"/>
    <n v="427"/>
    <n v="14152"/>
    <s v="61759929"/>
    <s v="61759929"/>
    <m/>
    <m/>
    <n v="22784460"/>
    <m/>
    <m/>
    <m/>
    <s v="SOLFIN"/>
    <s v="SOLFIN"/>
    <s v="CCMS"/>
    <n v="21337714"/>
    <n v="4055.81"/>
    <m/>
    <s v="N"/>
    <n v="3"/>
    <d v="2023-07-06T19:21:05"/>
    <s v="Y"/>
    <s v="Toxicologist"/>
    <s v="Public Law Children"/>
    <s v="Expert Disbursement"/>
    <s v="GRAEME BARCLAY"/>
    <s v="Y"/>
    <n v="92"/>
    <n v="18.4"/>
    <x v="4"/>
    <s v="VALIDATED"/>
    <n v="1"/>
    <s v="01.11.80.308.6300.0000"/>
    <n v="92"/>
    <s v="11"/>
    <s v="6300"/>
    <n v="5867.37"/>
    <n v="92"/>
    <s v="CREDITOR"/>
    <n v="0"/>
    <n v="0"/>
    <n v="0"/>
    <n v="0"/>
    <n v="92"/>
  </r>
  <r>
    <n v="61759929"/>
    <s v="N"/>
    <n v="21337714"/>
    <s v="3000015839130006"/>
    <s v="CIVIL"/>
    <d v="2023-06-28T00:00:00"/>
    <d v="2023-07-06T19:21:01"/>
    <m/>
    <d v="2023-07-06T00:00:00"/>
    <n v="427"/>
    <n v="14152"/>
    <s v="61759929"/>
    <s v="61759929"/>
    <m/>
    <m/>
    <n v="22784460"/>
    <m/>
    <m/>
    <m/>
    <s v="SOLFIN"/>
    <s v="SOLFIN"/>
    <s v="CCMS"/>
    <n v="21337714"/>
    <n v="4055.81"/>
    <m/>
    <s v="N"/>
    <n v="5"/>
    <d v="2023-07-06T19:21:05"/>
    <s v="Y"/>
    <s v="Advocates Meeting"/>
    <s v="Public Law Children"/>
    <s v="Advocacy"/>
    <s v="GRAEME BARCLAY"/>
    <s v="Y"/>
    <n v="140.99"/>
    <n v="28.2"/>
    <x v="4"/>
    <s v="VALIDATED"/>
    <n v="1"/>
    <s v="01.11.80.308.6100.0000"/>
    <n v="140.99"/>
    <s v="11"/>
    <s v="6100"/>
    <n v="5867.37"/>
    <n v="140.99"/>
    <s v="CREDITOR"/>
    <n v="0"/>
    <n v="0"/>
    <n v="0"/>
    <n v="0"/>
    <n v="140.99"/>
  </r>
  <r>
    <n v="61759929"/>
    <s v="N"/>
    <n v="21337714"/>
    <s v="3000015839130006"/>
    <s v="CIVIL"/>
    <d v="2023-06-28T00:00:00"/>
    <d v="2023-07-06T19:21:01"/>
    <m/>
    <d v="2023-07-06T00:00:00"/>
    <n v="427"/>
    <n v="14152"/>
    <s v="61759929"/>
    <s v="61759929"/>
    <m/>
    <m/>
    <n v="22784460"/>
    <m/>
    <m/>
    <m/>
    <s v="SOLFIN"/>
    <s v="SOLFIN"/>
    <s v="CCMS"/>
    <n v="21337714"/>
    <n v="4055.81"/>
    <m/>
    <s v="N"/>
    <n v="2"/>
    <d v="2023-07-06T19:21:05"/>
    <s v="Y"/>
    <s v="Toxicologist"/>
    <s v="Public Law Children"/>
    <s v="Expert Disbursement"/>
    <s v="GRAEME BARCLAY"/>
    <s v="Y"/>
    <n v="92"/>
    <n v="18.4"/>
    <x v="4"/>
    <s v="VALIDATED"/>
    <n v="1"/>
    <s v="01.11.80.308.6300.0000"/>
    <n v="92"/>
    <s v="11"/>
    <s v="6300"/>
    <n v="5867.37"/>
    <n v="92"/>
    <s v="CREDITOR"/>
    <n v="0"/>
    <n v="0"/>
    <n v="0"/>
    <n v="0"/>
    <n v="92"/>
  </r>
  <r>
    <n v="60427325"/>
    <s v="N"/>
    <n v="21318595"/>
    <s v="3000014713170011"/>
    <s v="CIVIL"/>
    <d v="2023-06-17T00:00:00"/>
    <d v="2023-07-03T19:01:49"/>
    <m/>
    <d v="2023-07-03T00:00:00"/>
    <n v="427"/>
    <n v="14152"/>
    <s v="60427325"/>
    <s v="60427325"/>
    <m/>
    <m/>
    <n v="22710708"/>
    <m/>
    <m/>
    <m/>
    <s v="SOLFIN"/>
    <s v="SOLFIN"/>
    <s v="CCMS"/>
    <n v="21318595"/>
    <n v="5963.83"/>
    <m/>
    <s v="N"/>
    <n v="12"/>
    <d v="2023-07-03T19:02:00"/>
    <s v="Y"/>
    <s v="Advocates Meeting"/>
    <s v="Public Law Children"/>
    <s v="Advocacy"/>
    <s v="GRAEME BARCLAY"/>
    <s v="Y"/>
    <n v="140.99"/>
    <n v="28.2"/>
    <x v="3"/>
    <s v="VALIDATED"/>
    <n v="1"/>
    <s v="01.11.80.308.6100.0000"/>
    <n v="140.99"/>
    <s v="11"/>
    <s v="6100"/>
    <n v="5867.37"/>
    <n v="140.99"/>
    <s v="CREDITOR"/>
    <n v="0"/>
    <n v="0"/>
    <n v="0"/>
    <n v="0"/>
    <n v="140.99"/>
  </r>
  <r>
    <n v="61821530"/>
    <s v="N"/>
    <n v="21320084"/>
    <s v="3000015892150007"/>
    <s v="CIVIL"/>
    <d v="2023-06-27T00:00:00"/>
    <d v="2023-07-03T19:04:24"/>
    <m/>
    <d v="2023-07-03T00:00:00"/>
    <n v="427"/>
    <n v="14152"/>
    <s v="61821530"/>
    <s v="61821530"/>
    <m/>
    <m/>
    <n v="22775058"/>
    <m/>
    <m/>
    <m/>
    <s v="SOLPOA"/>
    <s v="SOLPOA"/>
    <s v="CCMS"/>
    <n v="21320084"/>
    <n v="97.59999999999999"/>
    <m/>
    <s v="N"/>
    <n v="1"/>
    <d v="2023-07-03T19:04:29"/>
    <s v="N"/>
    <s v="Expert Cost"/>
    <s v="Expert Cost"/>
    <s v="Expert Disbursement"/>
    <s v="GRAEME BARCLAY"/>
    <s v="N"/>
    <n v="81.33"/>
    <n v="16.27"/>
    <x v="3"/>
    <s v="VALIDATED"/>
    <n v="1"/>
    <s v="01.11.80.308.2012.0000"/>
    <n v="81.33"/>
    <s v="11"/>
    <s v="2012"/>
    <n v="5867.37"/>
    <n v="81.33"/>
    <s v="CREDITOR"/>
    <n v="81.33"/>
    <n v="0"/>
    <n v="0"/>
    <n v="0"/>
    <n v="0"/>
  </r>
  <r>
    <n v="60427325"/>
    <s v="N"/>
    <n v="21318595"/>
    <s v="3000014713170011"/>
    <s v="CIVIL"/>
    <d v="2023-06-17T00:00:00"/>
    <d v="2023-07-03T19:01:49"/>
    <m/>
    <d v="2023-07-03T00:00:00"/>
    <n v="427"/>
    <n v="14152"/>
    <s v="60427325"/>
    <s v="60427325"/>
    <m/>
    <m/>
    <n v="22710708"/>
    <m/>
    <m/>
    <m/>
    <s v="SOLFIN"/>
    <s v="SOLFIN"/>
    <s v="CCMS"/>
    <n v="21318595"/>
    <n v="5963.83"/>
    <m/>
    <s v="N"/>
    <n v="1"/>
    <d v="2023-07-03T19:02:00"/>
    <s v="Y"/>
    <s v="Expert - Other"/>
    <s v="Public Law Children"/>
    <s v="Expert Disbursement"/>
    <s v="GRAEME BARCLAY"/>
    <s v="Y"/>
    <n v="27.72"/>
    <n v="5.54"/>
    <x v="3"/>
    <s v="VALIDATED"/>
    <n v="1"/>
    <s v="01.11.80.308.6300.0000"/>
    <n v="27.72"/>
    <s v="11"/>
    <s v="6300"/>
    <n v="5867.37"/>
    <n v="27.72"/>
    <s v="CREDITOR"/>
    <n v="0"/>
    <n v="0"/>
    <n v="0"/>
    <n v="0"/>
    <n v="27.72"/>
  </r>
  <r>
    <n v="60427325"/>
    <s v="N"/>
    <n v="21318595"/>
    <s v="3000014713170011"/>
    <s v="CIVIL"/>
    <d v="2023-06-17T00:00:00"/>
    <d v="2023-07-03T19:01:49"/>
    <m/>
    <d v="2023-07-03T00:00:00"/>
    <n v="427"/>
    <n v="14152"/>
    <s v="60427325"/>
    <s v="60427325"/>
    <m/>
    <m/>
    <n v="22710708"/>
    <m/>
    <m/>
    <m/>
    <s v="SOLFIN"/>
    <s v="SOLFIN"/>
    <s v="CCMS"/>
    <n v="21318595"/>
    <n v="5963.83"/>
    <m/>
    <s v="N"/>
    <n v="10"/>
    <d v="2023-07-03T19:02:00"/>
    <s v="Y"/>
    <s v="Hearing Unit 1.01 - 2.30 Hours"/>
    <s v="Public Law Children"/>
    <s v="Advocacy"/>
    <s v="GRAEME BARCLAY"/>
    <s v="Y"/>
    <n v="238.46"/>
    <n v="47.69"/>
    <x v="3"/>
    <s v="VALIDATED"/>
    <n v="1"/>
    <s v="01.11.80.308.6100.0000"/>
    <n v="238.46"/>
    <s v="11"/>
    <s v="6100"/>
    <n v="5867.37"/>
    <n v="238.46"/>
    <s v="CREDITOR"/>
    <n v="0"/>
    <n v="0"/>
    <n v="0"/>
    <n v="0"/>
    <n v="238.46"/>
  </r>
  <r>
    <n v="60427325"/>
    <s v="N"/>
    <n v="21324342"/>
    <s v="3000014713170005RC"/>
    <s v="CIVIL"/>
    <d v="2023-06-17T00:00:00"/>
    <d v="2023-07-03T19:42:50"/>
    <m/>
    <d v="2023-07-03T00:00:00"/>
    <n v="427"/>
    <n v="14152"/>
    <s v="60427325"/>
    <s v="60427325"/>
    <m/>
    <m/>
    <m/>
    <m/>
    <m/>
    <m/>
    <s v="SOLRECOUP"/>
    <s v="SOLRECOUP"/>
    <s v="POARECOUP"/>
    <n v="21324342"/>
    <n v="-110.16"/>
    <m/>
    <s v="Y"/>
    <n v="1"/>
    <d v="2023-07-03T19:42:51"/>
    <s v="N"/>
    <m/>
    <m/>
    <s v="Expert Disbursement"/>
    <m/>
    <s v="N"/>
    <n v="-91.8"/>
    <n v="0"/>
    <x v="3"/>
    <s v="VALIDATED"/>
    <n v="1"/>
    <s v="01.11.80.308.2013.0000"/>
    <n v="-91.8"/>
    <s v="11"/>
    <s v="2013"/>
    <n v="5867.37"/>
    <n v="-91.8"/>
    <s v="CREDITOR"/>
    <n v="0"/>
    <n v="0"/>
    <n v="-91.8"/>
    <n v="0"/>
    <n v="0"/>
  </r>
  <r>
    <n v="60427325"/>
    <s v="N"/>
    <n v="21324342"/>
    <s v="3000014713170005RC"/>
    <s v="CIVIL"/>
    <d v="2023-06-17T00:00:00"/>
    <d v="2023-07-03T19:42:50"/>
    <m/>
    <d v="2023-07-03T00:00:00"/>
    <n v="427"/>
    <n v="14152"/>
    <s v="60427325"/>
    <s v="60427325"/>
    <m/>
    <m/>
    <m/>
    <m/>
    <m/>
    <m/>
    <s v="SOLRECOUP"/>
    <s v="SOLRECOUP"/>
    <s v="POARECOUP"/>
    <n v="21324342"/>
    <n v="-110.16"/>
    <m/>
    <s v="Y"/>
    <n v="2"/>
    <d v="2023-07-03T19:42:51"/>
    <s v="N"/>
    <m/>
    <m/>
    <s v="Expert Disbursement"/>
    <m/>
    <s v="N"/>
    <n v="0"/>
    <n v="-18.36"/>
    <x v="3"/>
    <s v="VALIDATED"/>
    <n v="1"/>
    <s v="01.11.80.308.2013.0000"/>
    <n v="-18.36"/>
    <s v="11"/>
    <s v="2013"/>
    <n v="5867.37"/>
    <n v="-18.36"/>
    <s v="CREDITOR"/>
    <n v="0"/>
    <n v="0"/>
    <n v="-18.36"/>
    <n v="0"/>
    <n v="0"/>
  </r>
  <r>
    <n v="60427325"/>
    <s v="N"/>
    <n v="21324343"/>
    <s v="3000014713170006RC"/>
    <s v="CIVIL"/>
    <d v="2023-06-17T00:00:00"/>
    <d v="2023-07-03T19:42:50"/>
    <m/>
    <d v="2023-07-03T00:00:00"/>
    <n v="427"/>
    <n v="14152"/>
    <s v="60427325"/>
    <s v="60427325"/>
    <m/>
    <m/>
    <m/>
    <m/>
    <m/>
    <m/>
    <s v="SOLRECOUP"/>
    <s v="SOLRECOUP"/>
    <s v="POARECOUP"/>
    <n v="21324343"/>
    <n v="-73.59999999999999"/>
    <m/>
    <s v="Y"/>
    <n v="1"/>
    <d v="2023-07-03T19:42:51"/>
    <s v="N"/>
    <m/>
    <m/>
    <s v="Expert Disbursement"/>
    <m/>
    <s v="N"/>
    <n v="-61.33"/>
    <n v="0"/>
    <x v="3"/>
    <s v="VALIDATED"/>
    <n v="1"/>
    <s v="01.11.80.308.2013.0000"/>
    <n v="-61.33"/>
    <s v="11"/>
    <s v="2013"/>
    <n v="5867.37"/>
    <n v="-61.33"/>
    <s v="CREDITOR"/>
    <n v="0"/>
    <n v="0"/>
    <n v="-61.33"/>
    <n v="0"/>
    <n v="0"/>
  </r>
  <r>
    <n v="60427325"/>
    <s v="N"/>
    <n v="21324343"/>
    <s v="3000014713170006RC"/>
    <s v="CIVIL"/>
    <d v="2023-06-17T00:00:00"/>
    <d v="2023-07-03T19:42:50"/>
    <m/>
    <d v="2023-07-03T00:00:00"/>
    <n v="427"/>
    <n v="14152"/>
    <s v="60427325"/>
    <s v="60427325"/>
    <m/>
    <m/>
    <m/>
    <m/>
    <m/>
    <m/>
    <s v="SOLRECOUP"/>
    <s v="SOLRECOUP"/>
    <s v="POARECOUP"/>
    <n v="21324343"/>
    <n v="-73.59999999999999"/>
    <m/>
    <s v="Y"/>
    <n v="2"/>
    <d v="2023-07-03T19:42:51"/>
    <s v="N"/>
    <m/>
    <m/>
    <s v="Expert Disbursement"/>
    <m/>
    <s v="N"/>
    <n v="0"/>
    <n v="-12.27"/>
    <x v="3"/>
    <s v="VALIDATED"/>
    <n v="1"/>
    <s v="01.11.80.308.2013.0000"/>
    <n v="-12.27"/>
    <s v="11"/>
    <s v="2013"/>
    <n v="5867.37"/>
    <n v="-12.27"/>
    <s v="CREDITOR"/>
    <n v="0"/>
    <n v="0"/>
    <n v="-12.27"/>
    <n v="0"/>
    <n v="0"/>
  </r>
  <r>
    <n v="60427325"/>
    <s v="N"/>
    <n v="21324344"/>
    <s v="3000014713170002RC"/>
    <s v="CIVIL"/>
    <d v="2023-06-17T00:00:00"/>
    <d v="2023-07-03T19:42:50"/>
    <m/>
    <d v="2023-07-03T00:00:00"/>
    <n v="427"/>
    <n v="14152"/>
    <s v="60427325"/>
    <s v="60427325"/>
    <m/>
    <m/>
    <m/>
    <m/>
    <m/>
    <m/>
    <s v="SOLRECOUP"/>
    <s v="SOLRECOUP"/>
    <s v="POARECOUP"/>
    <n v="21324344"/>
    <n v="-299.52"/>
    <m/>
    <s v="Y"/>
    <n v="1"/>
    <d v="2023-07-03T19:42:51"/>
    <s v="N"/>
    <m/>
    <m/>
    <s v="Expert Disbursement"/>
    <m/>
    <s v="N"/>
    <n v="-249.6"/>
    <n v="0"/>
    <x v="3"/>
    <s v="VALIDATED"/>
    <n v="1"/>
    <s v="01.11.80.308.2013.0000"/>
    <n v="-249.6"/>
    <s v="11"/>
    <s v="2013"/>
    <n v="5867.37"/>
    <n v="-249.6"/>
    <s v="CREDITOR"/>
    <n v="0"/>
    <n v="0"/>
    <n v="-249.6"/>
    <n v="0"/>
    <n v="0"/>
  </r>
  <r>
    <n v="60427325"/>
    <s v="N"/>
    <n v="21324344"/>
    <s v="3000014713170002RC"/>
    <s v="CIVIL"/>
    <d v="2023-06-17T00:00:00"/>
    <d v="2023-07-03T19:42:50"/>
    <m/>
    <d v="2023-07-03T00:00:00"/>
    <n v="427"/>
    <n v="14152"/>
    <s v="60427325"/>
    <s v="60427325"/>
    <m/>
    <m/>
    <m/>
    <m/>
    <m/>
    <m/>
    <s v="SOLRECOUP"/>
    <s v="SOLRECOUP"/>
    <s v="POARECOUP"/>
    <n v="21324344"/>
    <n v="-299.52"/>
    <m/>
    <s v="Y"/>
    <n v="2"/>
    <d v="2023-07-03T19:42:51"/>
    <s v="N"/>
    <m/>
    <m/>
    <s v="Expert Disbursement"/>
    <m/>
    <s v="N"/>
    <n v="0"/>
    <n v="-49.92"/>
    <x v="3"/>
    <s v="VALIDATED"/>
    <n v="1"/>
    <s v="01.11.80.308.2013.0000"/>
    <n v="-49.92"/>
    <s v="11"/>
    <s v="2013"/>
    <n v="5867.37"/>
    <n v="-49.92"/>
    <s v="CREDITOR"/>
    <n v="0"/>
    <n v="0"/>
    <n v="-49.92"/>
    <n v="0"/>
    <n v="0"/>
  </r>
  <r>
    <n v="60427325"/>
    <s v="N"/>
    <n v="21324345"/>
    <s v="3000014713170004RC"/>
    <s v="CIVIL"/>
    <d v="2023-06-17T00:00:00"/>
    <d v="2023-07-03T19:42:50"/>
    <m/>
    <d v="2023-07-03T00:00:00"/>
    <n v="427"/>
    <n v="14152"/>
    <s v="60427325"/>
    <s v="60427325"/>
    <m/>
    <m/>
    <m/>
    <m/>
    <m/>
    <m/>
    <s v="SOLRECOUP"/>
    <s v="SOLRECOUP"/>
    <s v="POARECOUP"/>
    <n v="21324345"/>
    <n v="-2066.2"/>
    <m/>
    <s v="Y"/>
    <n v="1"/>
    <d v="2023-07-03T19:42:51"/>
    <s v="N"/>
    <m/>
    <m/>
    <s v="Profit Cost"/>
    <m/>
    <s v="N"/>
    <n v="-1721.83"/>
    <n v="0"/>
    <x v="3"/>
    <s v="VALIDATED"/>
    <n v="1"/>
    <s v="01.11.80.308.2013.0000"/>
    <n v="-1721.83"/>
    <s v="11"/>
    <s v="2013"/>
    <n v="5867.37"/>
    <n v="-1721.83"/>
    <s v="CREDITOR"/>
    <n v="0"/>
    <n v="0"/>
    <n v="-1721.83"/>
    <n v="-430.4575"/>
    <n v="0"/>
  </r>
  <r>
    <n v="60427325"/>
    <s v="N"/>
    <n v="21324345"/>
    <s v="3000014713170004RC"/>
    <s v="CIVIL"/>
    <d v="2023-06-17T00:00:00"/>
    <d v="2023-07-03T19:42:50"/>
    <m/>
    <d v="2023-07-03T00:00:00"/>
    <n v="427"/>
    <n v="14152"/>
    <s v="60427325"/>
    <s v="60427325"/>
    <m/>
    <m/>
    <m/>
    <m/>
    <m/>
    <m/>
    <s v="SOLRECOUP"/>
    <s v="SOLRECOUP"/>
    <s v="POARECOUP"/>
    <n v="21324345"/>
    <n v="-2066.2"/>
    <m/>
    <s v="Y"/>
    <n v="2"/>
    <d v="2023-07-03T19:42:51"/>
    <s v="N"/>
    <m/>
    <m/>
    <s v="Profit Cost"/>
    <m/>
    <s v="N"/>
    <n v="0"/>
    <n v="-344.37"/>
    <x v="3"/>
    <s v="VALIDATED"/>
    <n v="1"/>
    <s v="01.11.80.308.2013.0000"/>
    <n v="-344.37"/>
    <s v="11"/>
    <s v="2013"/>
    <n v="5867.37"/>
    <n v="-344.37"/>
    <s v="CREDITOR"/>
    <n v="0"/>
    <n v="0"/>
    <n v="-344.37"/>
    <n v="-86.0925"/>
    <n v="0"/>
  </r>
  <r>
    <n v="60427325"/>
    <s v="N"/>
    <n v="21324346"/>
    <s v="3000014713170003RC"/>
    <s v="CIVIL"/>
    <d v="2023-06-17T00:00:00"/>
    <d v="2023-07-03T19:42:50"/>
    <m/>
    <d v="2023-07-03T00:00:00"/>
    <n v="427"/>
    <n v="14152"/>
    <s v="60427325"/>
    <s v="60427325"/>
    <m/>
    <m/>
    <m/>
    <m/>
    <m/>
    <m/>
    <s v="SOLRECOUP"/>
    <s v="SOLRECOUP"/>
    <s v="POARECOUP"/>
    <n v="21324346"/>
    <n v="-660.96"/>
    <m/>
    <s v="Y"/>
    <n v="1"/>
    <d v="2023-07-03T19:42:51"/>
    <s v="N"/>
    <m/>
    <m/>
    <s v="Expert Disbursement"/>
    <m/>
    <s v="N"/>
    <n v="-550.8"/>
    <n v="0"/>
    <x v="3"/>
    <s v="VALIDATED"/>
    <n v="1"/>
    <s v="01.11.80.308.2013.0000"/>
    <n v="-550.8"/>
    <s v="11"/>
    <s v="2013"/>
    <n v="5867.37"/>
    <n v="-550.8"/>
    <s v="CREDITOR"/>
    <n v="0"/>
    <n v="0"/>
    <n v="-550.8"/>
    <n v="0"/>
    <n v="0"/>
  </r>
  <r>
    <n v="60427325"/>
    <s v="N"/>
    <n v="21324346"/>
    <s v="3000014713170003RC"/>
    <s v="CIVIL"/>
    <d v="2023-06-17T00:00:00"/>
    <d v="2023-07-03T19:42:50"/>
    <m/>
    <d v="2023-07-03T00:00:00"/>
    <n v="427"/>
    <n v="14152"/>
    <s v="60427325"/>
    <s v="60427325"/>
    <m/>
    <m/>
    <m/>
    <m/>
    <m/>
    <m/>
    <s v="SOLRECOUP"/>
    <s v="SOLRECOUP"/>
    <s v="POARECOUP"/>
    <n v="21324346"/>
    <n v="-660.96"/>
    <m/>
    <s v="Y"/>
    <n v="2"/>
    <d v="2023-07-03T19:42:51"/>
    <s v="N"/>
    <m/>
    <m/>
    <s v="Expert Disbursement"/>
    <m/>
    <s v="N"/>
    <n v="0"/>
    <n v="-110.16"/>
    <x v="3"/>
    <s v="VALIDATED"/>
    <n v="1"/>
    <s v="01.11.80.308.2013.0000"/>
    <n v="-110.16"/>
    <s v="11"/>
    <s v="2013"/>
    <n v="5867.37"/>
    <n v="-110.16"/>
    <s v="CREDITOR"/>
    <n v="0"/>
    <n v="0"/>
    <n v="-110.16"/>
    <n v="0"/>
    <n v="0"/>
  </r>
  <r>
    <n v="60427325"/>
    <s v="N"/>
    <n v="21324347"/>
    <s v="3000014713170009RC"/>
    <s v="CIVIL"/>
    <d v="2023-06-17T00:00:00"/>
    <d v="2023-07-03T19:42:50"/>
    <m/>
    <d v="2023-07-03T00:00:00"/>
    <n v="427"/>
    <n v="14152"/>
    <s v="60427325"/>
    <s v="60427325"/>
    <m/>
    <m/>
    <m/>
    <m/>
    <m/>
    <m/>
    <s v="SOLRECOUP"/>
    <s v="SOLRECOUP"/>
    <s v="POARECOUP"/>
    <n v="21324347"/>
    <n v="-172.08"/>
    <m/>
    <s v="Y"/>
    <n v="1"/>
    <d v="2023-07-03T19:42:51"/>
    <s v="N"/>
    <m/>
    <m/>
    <s v="Expert Disbursement"/>
    <m/>
    <s v="N"/>
    <n v="-143.4"/>
    <n v="0"/>
    <x v="3"/>
    <s v="VALIDATED"/>
    <n v="1"/>
    <s v="01.11.80.308.2013.0000"/>
    <n v="-143.4"/>
    <s v="11"/>
    <s v="2013"/>
    <n v="5867.37"/>
    <n v="-143.4"/>
    <s v="CREDITOR"/>
    <n v="0"/>
    <n v="0"/>
    <n v="-143.4"/>
    <n v="0"/>
    <n v="0"/>
  </r>
  <r>
    <n v="60427325"/>
    <s v="N"/>
    <n v="21324347"/>
    <s v="3000014713170009RC"/>
    <s v="CIVIL"/>
    <d v="2023-06-17T00:00:00"/>
    <d v="2023-07-03T19:42:50"/>
    <m/>
    <d v="2023-07-03T00:00:00"/>
    <n v="427"/>
    <n v="14152"/>
    <s v="60427325"/>
    <s v="60427325"/>
    <m/>
    <m/>
    <m/>
    <m/>
    <m/>
    <m/>
    <s v="SOLRECOUP"/>
    <s v="SOLRECOUP"/>
    <s v="POARECOUP"/>
    <n v="21324347"/>
    <n v="-172.08"/>
    <m/>
    <s v="Y"/>
    <n v="2"/>
    <d v="2023-07-03T19:42:51"/>
    <s v="N"/>
    <m/>
    <m/>
    <s v="Expert Disbursement"/>
    <m/>
    <s v="N"/>
    <n v="0"/>
    <n v="-28.68"/>
    <x v="3"/>
    <s v="VALIDATED"/>
    <n v="1"/>
    <s v="01.11.80.308.2013.0000"/>
    <n v="-28.68"/>
    <s v="11"/>
    <s v="2013"/>
    <n v="5867.37"/>
    <n v="-28.68"/>
    <s v="CREDITOR"/>
    <n v="0"/>
    <n v="0"/>
    <n v="-28.68"/>
    <n v="0"/>
    <n v="0"/>
  </r>
  <r>
    <n v="61759929"/>
    <s v="N"/>
    <n v="21339898"/>
    <s v="3000015839130003RC"/>
    <s v="CIVIL"/>
    <d v="2023-06-28T00:00:00"/>
    <d v="2023-07-06T19:54:22"/>
    <m/>
    <d v="2023-07-06T00:00:00"/>
    <n v="427"/>
    <n v="14152"/>
    <s v="61759929"/>
    <s v="61759929"/>
    <m/>
    <m/>
    <m/>
    <m/>
    <m/>
    <m/>
    <s v="SOLRECOUP"/>
    <s v="SOLRECOUP"/>
    <s v="POARECOUP"/>
    <n v="21339898"/>
    <n v="-713.02"/>
    <m/>
    <s v="Y"/>
    <n v="2"/>
    <d v="2023-07-06T19:54:23"/>
    <s v="N"/>
    <m/>
    <m/>
    <s v="Profit Cost"/>
    <m/>
    <s v="N"/>
    <n v="0"/>
    <n v="-118.84"/>
    <x v="4"/>
    <s v="VALIDATED"/>
    <n v="1"/>
    <s v="01.11.80.308.2013.0000"/>
    <n v="-118.84"/>
    <s v="11"/>
    <s v="2013"/>
    <n v="5867.37"/>
    <n v="-118.84"/>
    <s v="CREDITOR"/>
    <n v="0"/>
    <n v="0"/>
    <n v="-118.84"/>
    <n v="-29.71"/>
    <n v="0"/>
  </r>
  <r>
    <n v="61759929"/>
    <s v="N"/>
    <n v="21339898"/>
    <s v="3000015839130003RC"/>
    <s v="CIVIL"/>
    <d v="2023-06-28T00:00:00"/>
    <d v="2023-07-06T19:54:22"/>
    <m/>
    <d v="2023-07-06T00:00:00"/>
    <n v="427"/>
    <n v="14152"/>
    <s v="61759929"/>
    <s v="61759929"/>
    <m/>
    <m/>
    <m/>
    <m/>
    <m/>
    <m/>
    <s v="SOLRECOUP"/>
    <s v="SOLRECOUP"/>
    <s v="POARECOUP"/>
    <n v="21339898"/>
    <n v="-713.02"/>
    <m/>
    <s v="Y"/>
    <n v="1"/>
    <d v="2023-07-06T19:54:23"/>
    <s v="N"/>
    <m/>
    <m/>
    <s v="Profit Cost"/>
    <m/>
    <s v="N"/>
    <n v="-594.1799999999999"/>
    <n v="0"/>
    <x v="4"/>
    <s v="VALIDATED"/>
    <n v="1"/>
    <s v="01.11.80.308.2013.0000"/>
    <n v="-594.1799999999999"/>
    <s v="11"/>
    <s v="2013"/>
    <n v="5867.37"/>
    <n v="-594.1799999999999"/>
    <s v="CREDITOR"/>
    <n v="0"/>
    <n v="0"/>
    <n v="-594.1799999999999"/>
    <n v="-148.545"/>
    <n v="0"/>
  </r>
  <r>
    <n v="61759929"/>
    <s v="N"/>
    <n v="21339899"/>
    <s v="3000015839130002RC"/>
    <s v="CIVIL"/>
    <d v="2023-06-28T00:00:00"/>
    <d v="2023-07-06T19:54:22"/>
    <m/>
    <d v="2023-07-06T00:00:00"/>
    <n v="427"/>
    <n v="14152"/>
    <s v="61759929"/>
    <s v="61759929"/>
    <m/>
    <m/>
    <m/>
    <m/>
    <m/>
    <m/>
    <s v="SOLRECOUP"/>
    <s v="SOLRECOUP"/>
    <s v="POARECOUP"/>
    <n v="21339899"/>
    <n v="-110.4"/>
    <m/>
    <s v="Y"/>
    <n v="2"/>
    <d v="2023-07-06T19:54:23"/>
    <s v="N"/>
    <m/>
    <m/>
    <s v="Expert Disbursement"/>
    <m/>
    <s v="N"/>
    <n v="0"/>
    <n v="-18.4"/>
    <x v="4"/>
    <s v="VALIDATED"/>
    <n v="1"/>
    <s v="01.11.80.308.2013.0000"/>
    <n v="-18.4"/>
    <s v="11"/>
    <s v="2013"/>
    <n v="5867.37"/>
    <n v="-18.4"/>
    <s v="CREDITOR"/>
    <n v="0"/>
    <n v="0"/>
    <n v="-18.4"/>
    <n v="0"/>
    <n v="0"/>
  </r>
  <r>
    <n v="61759929"/>
    <s v="N"/>
    <n v="21339899"/>
    <s v="3000015839130002RC"/>
    <s v="CIVIL"/>
    <d v="2023-06-28T00:00:00"/>
    <d v="2023-07-06T19:54:22"/>
    <m/>
    <d v="2023-07-06T00:00:00"/>
    <n v="427"/>
    <n v="14152"/>
    <s v="61759929"/>
    <s v="61759929"/>
    <m/>
    <m/>
    <m/>
    <m/>
    <m/>
    <m/>
    <s v="SOLRECOUP"/>
    <s v="SOLRECOUP"/>
    <s v="POARECOUP"/>
    <n v="21339899"/>
    <n v="-110.4"/>
    <m/>
    <s v="Y"/>
    <n v="1"/>
    <d v="2023-07-06T19:54:23"/>
    <s v="N"/>
    <m/>
    <m/>
    <s v="Expert Disbursement"/>
    <m/>
    <s v="N"/>
    <n v="-92"/>
    <n v="0"/>
    <x v="4"/>
    <s v="VALIDATED"/>
    <n v="1"/>
    <s v="01.11.80.308.2013.0000"/>
    <n v="-92"/>
    <s v="11"/>
    <s v="2013"/>
    <n v="5867.37"/>
    <n v="-92"/>
    <s v="CREDITOR"/>
    <n v="0"/>
    <n v="0"/>
    <n v="-92"/>
    <n v="0"/>
    <n v="0"/>
  </r>
  <r>
    <n v="61759929"/>
    <s v="N"/>
    <n v="21339900"/>
    <s v="3000015839130001RC"/>
    <s v="CIVIL"/>
    <d v="2023-06-28T00:00:00"/>
    <d v="2023-07-06T19:54:22"/>
    <m/>
    <d v="2023-07-06T00:00:00"/>
    <n v="427"/>
    <n v="14152"/>
    <s v="61759929"/>
    <s v="61759929"/>
    <m/>
    <m/>
    <m/>
    <m/>
    <m/>
    <m/>
    <s v="SOLRECOUP"/>
    <s v="SOLRECOUP"/>
    <s v="POARECOUP"/>
    <n v="21339900"/>
    <n v="-110.4"/>
    <m/>
    <s v="Y"/>
    <n v="2"/>
    <d v="2023-07-06T19:54:23"/>
    <s v="N"/>
    <m/>
    <m/>
    <s v="Expert Disbursement"/>
    <m/>
    <s v="N"/>
    <n v="0"/>
    <n v="-18.4"/>
    <x v="4"/>
    <s v="VALIDATED"/>
    <n v="1"/>
    <s v="01.11.80.308.2013.0000"/>
    <n v="-18.4"/>
    <s v="11"/>
    <s v="2013"/>
    <n v="5867.37"/>
    <n v="-18.4"/>
    <s v="CREDITOR"/>
    <n v="0"/>
    <n v="0"/>
    <n v="-18.4"/>
    <n v="0"/>
    <n v="0"/>
  </r>
  <r>
    <n v="61759929"/>
    <s v="N"/>
    <n v="21339900"/>
    <s v="3000015839130001RC"/>
    <s v="CIVIL"/>
    <d v="2023-06-28T00:00:00"/>
    <d v="2023-07-06T19:54:22"/>
    <m/>
    <d v="2023-07-06T00:00:00"/>
    <n v="427"/>
    <n v="14152"/>
    <s v="61759929"/>
    <s v="61759929"/>
    <m/>
    <m/>
    <m/>
    <m/>
    <m/>
    <m/>
    <s v="SOLRECOUP"/>
    <s v="SOLRECOUP"/>
    <s v="POARECOUP"/>
    <n v="21339900"/>
    <n v="-110.4"/>
    <m/>
    <s v="Y"/>
    <n v="1"/>
    <d v="2023-07-06T19:54:23"/>
    <s v="N"/>
    <m/>
    <m/>
    <s v="Expert Disbursement"/>
    <m/>
    <s v="N"/>
    <n v="-92"/>
    <n v="0"/>
    <x v="4"/>
    <s v="VALIDATED"/>
    <n v="1"/>
    <s v="01.11.80.308.2013.0000"/>
    <n v="-92"/>
    <s v="11"/>
    <s v="2013"/>
    <n v="5867.37"/>
    <n v="-92"/>
    <s v="CREDITOR"/>
    <n v="0"/>
    <n v="0"/>
    <n v="-92"/>
    <n v="0"/>
    <n v="0"/>
  </r>
  <r>
    <n v="61245105"/>
    <s v="N"/>
    <n v="21361337"/>
    <s v="3000015412580005RC"/>
    <s v="CIVIL"/>
    <d v="2023-06-28T00:00:00"/>
    <d v="2023-07-11T19:38:00"/>
    <m/>
    <d v="2023-07-11T00:00:00"/>
    <n v="427"/>
    <n v="14152"/>
    <s v="61245105"/>
    <s v="61245105"/>
    <m/>
    <m/>
    <m/>
    <m/>
    <m/>
    <m/>
    <s v="SOLRECOUP"/>
    <s v="SOLRECOUP"/>
    <s v="POARECOUP"/>
    <n v="21361337"/>
    <n v="-1051.27"/>
    <m/>
    <s v="Y"/>
    <n v="1"/>
    <d v="2023-07-11T19:38:00"/>
    <s v="N"/>
    <m/>
    <m/>
    <s v="Profit Cost"/>
    <m/>
    <s v="N"/>
    <n v="-876.0599999999999"/>
    <n v="0"/>
    <x v="7"/>
    <s v="VALIDATED"/>
    <n v="1"/>
    <s v="01.11.80.308.2013.0000"/>
    <n v="-876.0599999999999"/>
    <s v="11"/>
    <s v="2013"/>
    <n v="5867.37"/>
    <n v="-876.0599999999999"/>
    <s v="CREDITOR"/>
    <n v="0"/>
    <n v="0"/>
    <n v="-876.0599999999999"/>
    <n v="-219.015"/>
    <n v="0"/>
  </r>
  <r>
    <n v="61245105"/>
    <s v="N"/>
    <n v="21361337"/>
    <s v="3000015412580005RC"/>
    <s v="CIVIL"/>
    <d v="2023-06-28T00:00:00"/>
    <d v="2023-07-11T19:38:00"/>
    <m/>
    <d v="2023-07-11T00:00:00"/>
    <n v="427"/>
    <n v="14152"/>
    <s v="61245105"/>
    <s v="61245105"/>
    <m/>
    <m/>
    <m/>
    <m/>
    <m/>
    <m/>
    <s v="SOLRECOUP"/>
    <s v="SOLRECOUP"/>
    <s v="POARECOUP"/>
    <n v="21361337"/>
    <n v="-1051.27"/>
    <m/>
    <s v="Y"/>
    <n v="2"/>
    <d v="2023-07-11T19:38:00"/>
    <s v="N"/>
    <m/>
    <m/>
    <s v="Profit Cost"/>
    <m/>
    <s v="N"/>
    <n v="0"/>
    <n v="-175.21"/>
    <x v="7"/>
    <s v="VALIDATED"/>
    <n v="1"/>
    <s v="01.11.80.308.2013.0000"/>
    <n v="-175.21"/>
    <s v="11"/>
    <s v="2013"/>
    <n v="5867.37"/>
    <n v="-175.21"/>
    <s v="CREDITOR"/>
    <n v="0"/>
    <n v="0"/>
    <n v="-175.21"/>
    <n v="-43.8025"/>
    <n v="0"/>
  </r>
  <r>
    <n v="61245105"/>
    <s v="N"/>
    <n v="21361338"/>
    <s v="3000015412580002RC"/>
    <s v="CIVIL"/>
    <d v="2023-06-28T00:00:00"/>
    <d v="2023-07-11T19:38:00"/>
    <m/>
    <d v="2023-07-11T00:00:00"/>
    <n v="427"/>
    <n v="14152"/>
    <s v="61245105"/>
    <s v="61245105"/>
    <m/>
    <m/>
    <m/>
    <m/>
    <m/>
    <m/>
    <s v="SOLRECOUP"/>
    <s v="SOLRECOUP"/>
    <s v="POARECOUP"/>
    <n v="21361338"/>
    <n v="-740.86"/>
    <m/>
    <s v="Y"/>
    <n v="1"/>
    <d v="2023-07-11T19:38:00"/>
    <s v="N"/>
    <m/>
    <m/>
    <s v="Profit Cost"/>
    <m/>
    <s v="N"/>
    <n v="-617.38"/>
    <n v="0"/>
    <x v="7"/>
    <s v="VALIDATED"/>
    <n v="1"/>
    <s v="01.11.80.308.2013.0000"/>
    <n v="-617.38"/>
    <s v="11"/>
    <s v="2013"/>
    <n v="5867.37"/>
    <n v="-617.38"/>
    <s v="CREDITOR"/>
    <n v="0"/>
    <n v="0"/>
    <n v="-617.38"/>
    <n v="-154.345"/>
    <n v="0"/>
  </r>
  <r>
    <n v="61245105"/>
    <s v="N"/>
    <n v="21361338"/>
    <s v="3000015412580002RC"/>
    <s v="CIVIL"/>
    <d v="2023-06-28T00:00:00"/>
    <d v="2023-07-11T19:38:00"/>
    <m/>
    <d v="2023-07-11T00:00:00"/>
    <n v="427"/>
    <n v="14152"/>
    <s v="61245105"/>
    <s v="61245105"/>
    <m/>
    <m/>
    <m/>
    <m/>
    <m/>
    <m/>
    <s v="SOLRECOUP"/>
    <s v="SOLRECOUP"/>
    <s v="POARECOUP"/>
    <n v="21361338"/>
    <n v="-740.86"/>
    <m/>
    <s v="Y"/>
    <n v="2"/>
    <d v="2023-07-11T19:38:00"/>
    <s v="N"/>
    <m/>
    <m/>
    <s v="Profit Cost"/>
    <m/>
    <s v="N"/>
    <n v="0"/>
    <n v="-123.48"/>
    <x v="7"/>
    <s v="VALIDATED"/>
    <n v="1"/>
    <s v="01.11.80.308.2013.0000"/>
    <n v="-123.48"/>
    <s v="11"/>
    <s v="2013"/>
    <n v="5867.37"/>
    <n v="-123.48"/>
    <s v="CREDITOR"/>
    <n v="0"/>
    <n v="0"/>
    <n v="-123.48"/>
    <n v="-30.87"/>
    <n v="0"/>
  </r>
  <r>
    <n v="54897548"/>
    <s v="N"/>
    <n v="21338371"/>
    <s v="3000013046820002"/>
    <s v="CIVIL"/>
    <d v="2023-06-23T00:00:00"/>
    <d v="2023-07-06T19:21:01"/>
    <m/>
    <d v="2023-07-06T00:00:00"/>
    <n v="434"/>
    <n v="14174"/>
    <s v="54897548"/>
    <s v="54897548"/>
    <m/>
    <m/>
    <n v="22754042"/>
    <m/>
    <m/>
    <m/>
    <s v="SOLFIN"/>
    <s v="SOLFIN"/>
    <s v="CCMS"/>
    <n v="21338371"/>
    <n v="1300.34"/>
    <m/>
    <s v="N"/>
    <n v="14"/>
    <d v="2023-07-06T19:21:22"/>
    <s v="Y"/>
    <s v="Preparation - other"/>
    <s v="Non Family Hourly Rates"/>
    <s v="Profit Cost"/>
    <s v="LJ"/>
    <s v="Y"/>
    <n v="40.5"/>
    <n v="8.1"/>
    <x v="4"/>
    <s v="VALIDATED"/>
    <n v="1"/>
    <s v="01.11.80.201.6100.0000"/>
    <n v="40.5"/>
    <s v="11"/>
    <s v="6100"/>
    <n v="1083.61"/>
    <n v="40.5"/>
    <s v="CREDITOR"/>
    <n v="0"/>
    <n v="0"/>
    <n v="0"/>
    <n v="0"/>
    <n v="40.5"/>
  </r>
  <r>
    <n v="54897548"/>
    <s v="N"/>
    <n v="21338371"/>
    <s v="3000013046820002"/>
    <s v="CIVIL"/>
    <d v="2023-06-23T00:00:00"/>
    <d v="2023-07-06T19:21:01"/>
    <m/>
    <d v="2023-07-06T00:00:00"/>
    <n v="434"/>
    <n v="14174"/>
    <s v="54897548"/>
    <s v="54897548"/>
    <m/>
    <m/>
    <n v="22754042"/>
    <m/>
    <m/>
    <m/>
    <s v="SOLFIN"/>
    <s v="SOLFIN"/>
    <s v="CCMS"/>
    <n v="21338371"/>
    <n v="1300.34"/>
    <m/>
    <s v="N"/>
    <n v="12"/>
    <d v="2023-07-06T19:21:22"/>
    <s v="Y"/>
    <s v="Attendance upon client"/>
    <s v="Non Family Hourly Rates"/>
    <s v="Profit Cost"/>
    <s v="LJ"/>
    <s v="Y"/>
    <n v="40.5"/>
    <n v="8.1"/>
    <x v="4"/>
    <s v="VALIDATED"/>
    <n v="1"/>
    <s v="01.11.80.201.6100.0000"/>
    <n v="40.5"/>
    <s v="11"/>
    <s v="6100"/>
    <n v="1083.61"/>
    <n v="40.5"/>
    <s v="CREDITOR"/>
    <n v="0"/>
    <n v="0"/>
    <n v="0"/>
    <n v="0"/>
    <n v="40.5"/>
  </r>
  <r>
    <n v="54897548"/>
    <s v="N"/>
    <n v="21338371"/>
    <s v="3000013046820002"/>
    <s v="CIVIL"/>
    <d v="2023-06-23T00:00:00"/>
    <d v="2023-07-06T19:21:01"/>
    <m/>
    <d v="2023-07-06T00:00:00"/>
    <n v="434"/>
    <n v="14174"/>
    <s v="54897548"/>
    <s v="54897548"/>
    <m/>
    <m/>
    <n v="22754042"/>
    <m/>
    <m/>
    <m/>
    <s v="SOLFIN"/>
    <s v="SOLFIN"/>
    <s v="CCMS"/>
    <n v="21338371"/>
    <n v="1300.34"/>
    <m/>
    <s v="N"/>
    <n v="9"/>
    <d v="2023-07-06T19:21:22"/>
    <s v="Y"/>
    <s v="Preparation - other"/>
    <s v="Non Family Hourly Rates"/>
    <s v="Profit Cost"/>
    <s v="LJ"/>
    <s v="Y"/>
    <n v="20.25"/>
    <n v="4.05"/>
    <x v="4"/>
    <s v="VALIDATED"/>
    <n v="1"/>
    <s v="01.11.80.201.6100.0000"/>
    <n v="20.25"/>
    <s v="11"/>
    <s v="6100"/>
    <n v="1083.61"/>
    <n v="20.25"/>
    <s v="CREDITOR"/>
    <n v="0"/>
    <n v="0"/>
    <n v="0"/>
    <n v="0"/>
    <n v="20.25"/>
  </r>
  <r>
    <n v="54897548"/>
    <s v="N"/>
    <n v="21338371"/>
    <s v="3000013046820002"/>
    <s v="CIVIL"/>
    <d v="2023-06-23T00:00:00"/>
    <d v="2023-07-06T19:21:01"/>
    <m/>
    <d v="2023-07-06T00:00:00"/>
    <n v="434"/>
    <n v="14174"/>
    <s v="54897548"/>
    <s v="54897548"/>
    <m/>
    <m/>
    <n v="22754042"/>
    <m/>
    <m/>
    <m/>
    <s v="SOLFIN"/>
    <s v="SOLFIN"/>
    <s v="CCMS"/>
    <n v="21338371"/>
    <n v="1300.34"/>
    <m/>
    <s v="N"/>
    <n v="7"/>
    <d v="2023-07-06T19:21:22"/>
    <s v="Y"/>
    <s v="Preparation - other"/>
    <s v="Non Family Hourly Rates"/>
    <s v="Profit Cost"/>
    <s v="GW"/>
    <s v="Y"/>
    <n v="20.25"/>
    <n v="4.05"/>
    <x v="4"/>
    <s v="VALIDATED"/>
    <n v="1"/>
    <s v="01.11.80.201.6100.0000"/>
    <n v="20.25"/>
    <s v="11"/>
    <s v="6100"/>
    <n v="1083.61"/>
    <n v="20.25"/>
    <s v="CREDITOR"/>
    <n v="0"/>
    <n v="0"/>
    <n v="0"/>
    <n v="0"/>
    <n v="20.25"/>
  </r>
  <r>
    <n v="54897548"/>
    <s v="N"/>
    <n v="21338371"/>
    <s v="3000013046820002"/>
    <s v="CIVIL"/>
    <d v="2023-06-23T00:00:00"/>
    <d v="2023-07-06T19:21:01"/>
    <m/>
    <d v="2023-07-06T00:00:00"/>
    <n v="434"/>
    <n v="14174"/>
    <s v="54897548"/>
    <s v="54897548"/>
    <m/>
    <m/>
    <n v="22754042"/>
    <m/>
    <m/>
    <m/>
    <s v="SOLFIN"/>
    <s v="SOLFIN"/>
    <s v="CCMS"/>
    <n v="21338371"/>
    <n v="1300.34"/>
    <m/>
    <s v="N"/>
    <n v="2"/>
    <d v="2023-07-06T19:21:22"/>
    <s v="Y"/>
    <s v="Preparation - other"/>
    <s v="Non Family Hourly Rates"/>
    <s v="Profit Cost"/>
    <s v="Linda Jewell"/>
    <s v="Y"/>
    <n v="263.25"/>
    <n v="52.65"/>
    <x v="4"/>
    <s v="VALIDATED"/>
    <n v="1"/>
    <s v="01.11.80.201.6100.0000"/>
    <n v="263.25"/>
    <s v="11"/>
    <s v="6100"/>
    <n v="1083.61"/>
    <n v="263.25"/>
    <s v="CREDITOR"/>
    <n v="0"/>
    <n v="0"/>
    <n v="0"/>
    <n v="0"/>
    <n v="263.25"/>
  </r>
  <r>
    <n v="54897548"/>
    <s v="N"/>
    <n v="21338371"/>
    <s v="3000013046820002"/>
    <s v="CIVIL"/>
    <d v="2023-06-23T00:00:00"/>
    <d v="2023-07-06T19:21:01"/>
    <m/>
    <d v="2023-07-06T00:00:00"/>
    <n v="434"/>
    <n v="14174"/>
    <s v="54897548"/>
    <s v="54897548"/>
    <m/>
    <m/>
    <n v="22754042"/>
    <m/>
    <m/>
    <m/>
    <s v="SOLFIN"/>
    <s v="SOLFIN"/>
    <s v="CCMS"/>
    <n v="21338371"/>
    <n v="1300.34"/>
    <m/>
    <s v="N"/>
    <n v="11"/>
    <d v="2023-07-06T19:21:22"/>
    <s v="Y"/>
    <s v="Preparation - other"/>
    <s v="Non Family Hourly Rates"/>
    <s v="Profit Cost"/>
    <s v="GW"/>
    <s v="Y"/>
    <n v="40.5"/>
    <n v="8.1"/>
    <x v="4"/>
    <s v="VALIDATED"/>
    <n v="1"/>
    <s v="01.11.80.201.6100.0000"/>
    <n v="40.5"/>
    <s v="11"/>
    <s v="6100"/>
    <n v="1083.61"/>
    <n v="40.5"/>
    <s v="CREDITOR"/>
    <n v="0"/>
    <n v="0"/>
    <n v="0"/>
    <n v="0"/>
    <n v="40.5"/>
  </r>
  <r>
    <n v="54897548"/>
    <s v="N"/>
    <n v="21338371"/>
    <s v="3000013046820002"/>
    <s v="CIVIL"/>
    <d v="2023-06-23T00:00:00"/>
    <d v="2023-07-06T19:21:01"/>
    <m/>
    <d v="2023-07-06T00:00:00"/>
    <n v="434"/>
    <n v="14174"/>
    <s v="54897548"/>
    <s v="54897548"/>
    <m/>
    <m/>
    <n v="22754042"/>
    <m/>
    <m/>
    <m/>
    <s v="SOLFIN"/>
    <s v="SOLFIN"/>
    <s v="CCMS"/>
    <n v="21338371"/>
    <n v="1300.34"/>
    <m/>
    <s v="N"/>
    <n v="23"/>
    <d v="2023-07-06T19:21:22"/>
    <s v="Y"/>
    <s v="Preparation - drafting attendance n"/>
    <s v="Non Family Hourly Rates"/>
    <s v="Profit Cost"/>
    <s v="LJ"/>
    <s v="Y"/>
    <n v="8.1"/>
    <n v="1.62"/>
    <x v="4"/>
    <s v="VALIDATED"/>
    <n v="1"/>
    <s v="01.11.80.201.6100.0000"/>
    <n v="8.1"/>
    <s v="11"/>
    <s v="6100"/>
    <n v="1083.61"/>
    <n v="8.1"/>
    <s v="CREDITOR"/>
    <n v="0"/>
    <n v="0"/>
    <n v="0"/>
    <n v="0"/>
    <n v="8.1"/>
  </r>
  <r>
    <n v="54897548"/>
    <s v="N"/>
    <n v="21338371"/>
    <s v="3000013046820002"/>
    <s v="CIVIL"/>
    <d v="2023-06-23T00:00:00"/>
    <d v="2023-07-06T19:21:01"/>
    <m/>
    <d v="2023-07-06T00:00:00"/>
    <n v="434"/>
    <n v="14174"/>
    <s v="54897548"/>
    <s v="54897548"/>
    <m/>
    <m/>
    <n v="22754042"/>
    <m/>
    <m/>
    <m/>
    <s v="SOLFIN"/>
    <s v="SOLFIN"/>
    <s v="CCMS"/>
    <n v="21338371"/>
    <n v="1300.34"/>
    <m/>
    <s v="N"/>
    <n v="8"/>
    <d v="2023-07-06T19:21:22"/>
    <s v="Y"/>
    <s v="Routine Letter Out"/>
    <s v="Non Family Hourly Rates"/>
    <s v="Profit Cost"/>
    <s v="GW"/>
    <s v="Y"/>
    <n v="81"/>
    <n v="16.2"/>
    <x v="4"/>
    <s v="VALIDATED"/>
    <n v="1"/>
    <s v="01.11.80.201.6100.0000"/>
    <n v="81"/>
    <s v="11"/>
    <s v="6100"/>
    <n v="1083.61"/>
    <n v="81"/>
    <s v="CREDITOR"/>
    <n v="0"/>
    <n v="0"/>
    <n v="0"/>
    <n v="0"/>
    <n v="81"/>
  </r>
  <r>
    <n v="54897548"/>
    <s v="N"/>
    <n v="21338371"/>
    <s v="3000013046820002"/>
    <s v="CIVIL"/>
    <d v="2023-06-23T00:00:00"/>
    <d v="2023-07-06T19:21:01"/>
    <m/>
    <d v="2023-07-06T00:00:00"/>
    <n v="434"/>
    <n v="14174"/>
    <s v="54897548"/>
    <s v="54897548"/>
    <m/>
    <m/>
    <n v="22754042"/>
    <m/>
    <m/>
    <m/>
    <s v="SOLFIN"/>
    <s v="SOLFIN"/>
    <s v="CCMS"/>
    <n v="21338371"/>
    <n v="1300.34"/>
    <m/>
    <s v="N"/>
    <n v="17"/>
    <d v="2023-07-06T19:21:22"/>
    <s v="Y"/>
    <s v="Preparation - other"/>
    <s v="Non Family Hourly Rates"/>
    <s v="Profit Cost"/>
    <s v="LJ"/>
    <s v="Y"/>
    <n v="40.5"/>
    <n v="8.1"/>
    <x v="4"/>
    <s v="VALIDATED"/>
    <n v="1"/>
    <s v="01.11.80.201.6100.0000"/>
    <n v="40.5"/>
    <s v="11"/>
    <s v="6100"/>
    <n v="1083.61"/>
    <n v="40.5"/>
    <s v="CREDITOR"/>
    <n v="0"/>
    <n v="0"/>
    <n v="0"/>
    <n v="0"/>
    <n v="40.5"/>
  </r>
  <r>
    <n v="54897548"/>
    <s v="N"/>
    <n v="21338371"/>
    <s v="3000013046820002"/>
    <s v="CIVIL"/>
    <d v="2023-06-23T00:00:00"/>
    <d v="2023-07-06T19:21:01"/>
    <m/>
    <d v="2023-07-06T00:00:00"/>
    <n v="434"/>
    <n v="14174"/>
    <s v="54897548"/>
    <s v="54897548"/>
    <m/>
    <m/>
    <n v="22754042"/>
    <m/>
    <m/>
    <m/>
    <s v="SOLFIN"/>
    <s v="SOLFIN"/>
    <s v="CCMS"/>
    <n v="21338371"/>
    <n v="1300.34"/>
    <m/>
    <s v="N"/>
    <n v="18"/>
    <d v="2023-07-06T19:21:22"/>
    <s v="Y"/>
    <s v="Preparation - drafting bill/claim f"/>
    <s v="Non Family Hourly Rates"/>
    <s v="Profit Cost"/>
    <s v="GW"/>
    <s v="Y"/>
    <n v="16.2"/>
    <n v="3.24"/>
    <x v="4"/>
    <s v="VALIDATED"/>
    <n v="1"/>
    <s v="01.11.80.201.6100.0000"/>
    <n v="16.2"/>
    <s v="11"/>
    <s v="6100"/>
    <n v="1083.61"/>
    <n v="16.2"/>
    <s v="CREDITOR"/>
    <n v="0"/>
    <n v="0"/>
    <n v="0"/>
    <n v="0"/>
    <n v="16.2"/>
  </r>
  <r>
    <n v="54897548"/>
    <s v="N"/>
    <n v="21338371"/>
    <s v="3000013046820002"/>
    <s v="CIVIL"/>
    <d v="2023-06-23T00:00:00"/>
    <d v="2023-07-06T19:21:01"/>
    <m/>
    <d v="2023-07-06T00:00:00"/>
    <n v="434"/>
    <n v="14174"/>
    <s v="54897548"/>
    <s v="54897548"/>
    <m/>
    <m/>
    <n v="22754042"/>
    <m/>
    <m/>
    <m/>
    <s v="SOLFIN"/>
    <s v="SOLFIN"/>
    <s v="CCMS"/>
    <n v="21338371"/>
    <n v="1300.34"/>
    <m/>
    <s v="N"/>
    <n v="19"/>
    <d v="2023-07-06T19:21:22"/>
    <s v="Y"/>
    <s v="Preparation - other"/>
    <s v="Non Family Hourly Rates"/>
    <s v="Profit Cost"/>
    <s v="LJ"/>
    <s v="Y"/>
    <n v="141.75"/>
    <n v="28.35"/>
    <x v="4"/>
    <s v="VALIDATED"/>
    <n v="1"/>
    <s v="01.11.80.201.6100.0000"/>
    <n v="141.75"/>
    <s v="11"/>
    <s v="6100"/>
    <n v="1083.61"/>
    <n v="141.75"/>
    <s v="CREDITOR"/>
    <n v="0"/>
    <n v="0"/>
    <n v="0"/>
    <n v="0"/>
    <n v="141.75"/>
  </r>
  <r>
    <n v="54897548"/>
    <s v="N"/>
    <n v="21338371"/>
    <s v="3000013046820002"/>
    <s v="CIVIL"/>
    <d v="2023-06-23T00:00:00"/>
    <d v="2023-07-06T19:21:01"/>
    <m/>
    <d v="2023-07-06T00:00:00"/>
    <n v="434"/>
    <n v="14174"/>
    <s v="54897548"/>
    <s v="54897548"/>
    <m/>
    <m/>
    <n v="22754042"/>
    <m/>
    <m/>
    <m/>
    <s v="SOLFIN"/>
    <s v="SOLFIN"/>
    <s v="CCMS"/>
    <n v="21338371"/>
    <n v="1300.34"/>
    <m/>
    <s v="N"/>
    <n v="24"/>
    <d v="2023-07-06T19:21:22"/>
    <s v="Y"/>
    <s v="Preparation - drafting attendance n"/>
    <s v="Non Family Hourly Rates"/>
    <s v="Profit Cost"/>
    <s v="LJ"/>
    <s v="Y"/>
    <n v="8.1"/>
    <n v="1.62"/>
    <x v="4"/>
    <s v="VALIDATED"/>
    <n v="1"/>
    <s v="01.11.80.201.6100.0000"/>
    <n v="8.1"/>
    <s v="11"/>
    <s v="6100"/>
    <n v="1083.61"/>
    <n v="8.1"/>
    <s v="CREDITOR"/>
    <n v="0"/>
    <n v="0"/>
    <n v="0"/>
    <n v="0"/>
    <n v="8.1"/>
  </r>
  <r>
    <n v="54897548"/>
    <s v="N"/>
    <n v="21338371"/>
    <s v="3000013046820002"/>
    <s v="CIVIL"/>
    <d v="2023-06-23T00:00:00"/>
    <d v="2023-07-06T19:21:01"/>
    <m/>
    <d v="2023-07-06T00:00:00"/>
    <n v="434"/>
    <n v="14174"/>
    <s v="54897548"/>
    <s v="54897548"/>
    <m/>
    <m/>
    <n v="22754042"/>
    <m/>
    <m/>
    <m/>
    <s v="SOLFIN"/>
    <s v="SOLFIN"/>
    <s v="CCMS"/>
    <n v="21338371"/>
    <n v="1300.34"/>
    <m/>
    <s v="N"/>
    <n v="10"/>
    <d v="2023-07-06T19:21:22"/>
    <s v="Y"/>
    <s v="Preparation - other"/>
    <s v="Non Family Hourly Rates"/>
    <s v="Profit Cost"/>
    <s v="GW"/>
    <s v="Y"/>
    <n v="121.5"/>
    <n v="24.3"/>
    <x v="4"/>
    <s v="VALIDATED"/>
    <n v="1"/>
    <s v="01.11.80.201.6100.0000"/>
    <n v="121.5"/>
    <s v="11"/>
    <s v="6100"/>
    <n v="1083.61"/>
    <n v="121.5"/>
    <s v="CREDITOR"/>
    <n v="0"/>
    <n v="0"/>
    <n v="0"/>
    <n v="0"/>
    <n v="121.5"/>
  </r>
  <r>
    <n v="54897548"/>
    <s v="N"/>
    <n v="21338371"/>
    <s v="3000013046820002"/>
    <s v="CIVIL"/>
    <d v="2023-06-23T00:00:00"/>
    <d v="2023-07-06T19:21:01"/>
    <m/>
    <d v="2023-07-06T00:00:00"/>
    <n v="434"/>
    <n v="14174"/>
    <s v="54897548"/>
    <s v="54897548"/>
    <m/>
    <m/>
    <n v="22754042"/>
    <m/>
    <m/>
    <m/>
    <s v="SOLFIN"/>
    <s v="SOLFIN"/>
    <s v="CCMS"/>
    <n v="21338371"/>
    <n v="1300.34"/>
    <m/>
    <s v="N"/>
    <n v="21"/>
    <d v="2023-07-06T19:21:22"/>
    <s v="Y"/>
    <s v="Preparation - drafting attendance n"/>
    <s v="Non Family Hourly Rates"/>
    <s v="Profit Cost"/>
    <s v="LJ"/>
    <s v="Y"/>
    <n v="8.1"/>
    <n v="1.62"/>
    <x v="4"/>
    <s v="VALIDATED"/>
    <n v="1"/>
    <s v="01.11.80.201.6100.0000"/>
    <n v="8.1"/>
    <s v="11"/>
    <s v="6100"/>
    <n v="1083.61"/>
    <n v="8.1"/>
    <s v="CREDITOR"/>
    <n v="0"/>
    <n v="0"/>
    <n v="0"/>
    <n v="0"/>
    <n v="8.1"/>
  </r>
  <r>
    <n v="54897548"/>
    <s v="N"/>
    <n v="21338371"/>
    <s v="3000013046820002"/>
    <s v="CIVIL"/>
    <d v="2023-06-23T00:00:00"/>
    <d v="2023-07-06T19:21:01"/>
    <m/>
    <d v="2023-07-06T00:00:00"/>
    <n v="434"/>
    <n v="14174"/>
    <s v="54897548"/>
    <s v="54897548"/>
    <m/>
    <m/>
    <n v="22754042"/>
    <m/>
    <m/>
    <m/>
    <s v="SOLFIN"/>
    <s v="SOLFIN"/>
    <s v="CCMS"/>
    <n v="21338371"/>
    <n v="1300.34"/>
    <m/>
    <s v="N"/>
    <n v="1"/>
    <d v="2023-07-06T19:21:22"/>
    <s v="Y"/>
    <s v="Preparation - drafting attendance n"/>
    <s v="Non Family Hourly Rates"/>
    <s v="Profit Cost"/>
    <s v="LJ"/>
    <s v="Y"/>
    <n v="8.1"/>
    <n v="1.62"/>
    <x v="4"/>
    <s v="VALIDATED"/>
    <n v="1"/>
    <s v="01.11.80.201.6100.0000"/>
    <n v="8.1"/>
    <s v="11"/>
    <s v="6100"/>
    <n v="1083.61"/>
    <n v="8.1"/>
    <s v="CREDITOR"/>
    <n v="0"/>
    <n v="0"/>
    <n v="0"/>
    <n v="0"/>
    <n v="8.1"/>
  </r>
  <r>
    <n v="54897548"/>
    <s v="N"/>
    <n v="21338371"/>
    <s v="3000013046820002"/>
    <s v="CIVIL"/>
    <d v="2023-06-23T00:00:00"/>
    <d v="2023-07-06T19:21:01"/>
    <m/>
    <d v="2023-07-06T00:00:00"/>
    <n v="434"/>
    <n v="14174"/>
    <s v="54897548"/>
    <s v="54897548"/>
    <m/>
    <m/>
    <n v="22754042"/>
    <m/>
    <m/>
    <m/>
    <s v="SOLFIN"/>
    <s v="SOLFIN"/>
    <s v="CCMS"/>
    <n v="21338371"/>
    <n v="1300.34"/>
    <m/>
    <s v="N"/>
    <n v="4"/>
    <d v="2023-07-06T19:21:22"/>
    <s v="Y"/>
    <s v="Preparation - other"/>
    <s v="Non Family Hourly Rates"/>
    <s v="Profit Cost"/>
    <s v="LJ"/>
    <s v="Y"/>
    <n v="10.13"/>
    <n v="2.03"/>
    <x v="4"/>
    <s v="VALIDATED"/>
    <n v="1"/>
    <s v="01.11.80.201.6100.0000"/>
    <n v="10.13"/>
    <s v="11"/>
    <s v="6100"/>
    <n v="1083.61"/>
    <n v="10.13"/>
    <s v="CREDITOR"/>
    <n v="0"/>
    <n v="0"/>
    <n v="0"/>
    <n v="0"/>
    <n v="10.13"/>
  </r>
  <r>
    <n v="54897548"/>
    <s v="N"/>
    <n v="21338371"/>
    <s v="3000013046820002"/>
    <s v="CIVIL"/>
    <d v="2023-06-23T00:00:00"/>
    <d v="2023-07-06T19:21:01"/>
    <m/>
    <d v="2023-07-06T00:00:00"/>
    <n v="434"/>
    <n v="14174"/>
    <s v="54897548"/>
    <s v="54897548"/>
    <m/>
    <m/>
    <n v="22754042"/>
    <m/>
    <m/>
    <m/>
    <s v="SOLFIN"/>
    <s v="SOLFIN"/>
    <s v="CCMS"/>
    <n v="21338371"/>
    <n v="1300.34"/>
    <m/>
    <s v="N"/>
    <n v="6"/>
    <d v="2023-07-06T19:21:22"/>
    <s v="Y"/>
    <s v="Routine Telephone Call"/>
    <s v="Non Family Hourly Rates"/>
    <s v="Profit Cost"/>
    <s v="Gary Walker"/>
    <s v="Y"/>
    <n v="29.92"/>
    <n v="5.98"/>
    <x v="4"/>
    <s v="VALIDATED"/>
    <n v="1"/>
    <s v="01.11.80.201.6100.0000"/>
    <n v="29.92"/>
    <s v="11"/>
    <s v="6100"/>
    <n v="1083.61"/>
    <n v="29.92"/>
    <s v="CREDITOR"/>
    <n v="0"/>
    <n v="0"/>
    <n v="0"/>
    <n v="0"/>
    <n v="29.92"/>
  </r>
  <r>
    <n v="54897548"/>
    <s v="N"/>
    <n v="21338371"/>
    <s v="3000013046820002"/>
    <s v="CIVIL"/>
    <d v="2023-06-23T00:00:00"/>
    <d v="2023-07-06T19:21:01"/>
    <m/>
    <d v="2023-07-06T00:00:00"/>
    <n v="434"/>
    <n v="14174"/>
    <s v="54897548"/>
    <s v="54897548"/>
    <m/>
    <m/>
    <n v="22754042"/>
    <m/>
    <m/>
    <m/>
    <s v="SOLFIN"/>
    <s v="SOLFIN"/>
    <s v="CCMS"/>
    <n v="21338371"/>
    <n v="1300.34"/>
    <m/>
    <s v="N"/>
    <n v="3"/>
    <d v="2023-07-06T19:21:22"/>
    <s v="Y"/>
    <s v="Preparation - other"/>
    <s v="Non Family Hourly Rates"/>
    <s v="Profit Cost"/>
    <s v="GW"/>
    <s v="Y"/>
    <n v="40.5"/>
    <n v="8.1"/>
    <x v="4"/>
    <s v="VALIDATED"/>
    <n v="1"/>
    <s v="01.11.80.201.6100.0000"/>
    <n v="40.5"/>
    <s v="11"/>
    <s v="6100"/>
    <n v="1083.61"/>
    <n v="40.5"/>
    <s v="CREDITOR"/>
    <n v="0"/>
    <n v="0"/>
    <n v="0"/>
    <n v="0"/>
    <n v="40.5"/>
  </r>
  <r>
    <n v="54897548"/>
    <s v="N"/>
    <n v="21338371"/>
    <s v="3000013046820002"/>
    <s v="CIVIL"/>
    <d v="2023-06-23T00:00:00"/>
    <d v="2023-07-06T19:21:01"/>
    <m/>
    <d v="2023-07-06T00:00:00"/>
    <n v="434"/>
    <n v="14174"/>
    <s v="54897548"/>
    <s v="54897548"/>
    <m/>
    <m/>
    <n v="22754042"/>
    <m/>
    <m/>
    <m/>
    <s v="SOLFIN"/>
    <s v="SOLFIN"/>
    <s v="CCMS"/>
    <n v="21338371"/>
    <n v="1300.34"/>
    <m/>
    <s v="N"/>
    <n v="13"/>
    <d v="2023-07-06T19:21:22"/>
    <s v="Y"/>
    <s v="Preparation - other"/>
    <s v="Non Family Hourly Rates"/>
    <s v="Profit Cost"/>
    <s v="LJ"/>
    <s v="Y"/>
    <n v="10.13"/>
    <n v="2.03"/>
    <x v="4"/>
    <s v="VALIDATED"/>
    <n v="1"/>
    <s v="01.11.80.201.6100.0000"/>
    <n v="10.13"/>
    <s v="11"/>
    <s v="6100"/>
    <n v="1083.61"/>
    <n v="10.13"/>
    <s v="CREDITOR"/>
    <n v="0"/>
    <n v="0"/>
    <n v="0"/>
    <n v="0"/>
    <n v="10.13"/>
  </r>
  <r>
    <n v="54897548"/>
    <s v="N"/>
    <n v="21338371"/>
    <s v="3000013046820002"/>
    <s v="CIVIL"/>
    <d v="2023-06-23T00:00:00"/>
    <d v="2023-07-06T19:21:01"/>
    <m/>
    <d v="2023-07-06T00:00:00"/>
    <n v="434"/>
    <n v="14174"/>
    <s v="54897548"/>
    <s v="54897548"/>
    <m/>
    <m/>
    <n v="22754042"/>
    <m/>
    <m/>
    <m/>
    <s v="SOLFIN"/>
    <s v="SOLFIN"/>
    <s v="CCMS"/>
    <n v="21338371"/>
    <n v="1300.34"/>
    <m/>
    <s v="N"/>
    <n v="16"/>
    <d v="2023-07-06T19:21:22"/>
    <s v="Y"/>
    <s v="Attendance upon other side"/>
    <s v="Non Family Hourly Rates"/>
    <s v="Profit Cost"/>
    <s v="LJ"/>
    <s v="Y"/>
    <n v="20.25"/>
    <n v="4.05"/>
    <x v="4"/>
    <s v="VALIDATED"/>
    <n v="1"/>
    <s v="01.11.80.201.6100.0000"/>
    <n v="20.25"/>
    <s v="11"/>
    <s v="6100"/>
    <n v="1083.61"/>
    <n v="20.25"/>
    <s v="CREDITOR"/>
    <n v="0"/>
    <n v="0"/>
    <n v="0"/>
    <n v="0"/>
    <n v="20.25"/>
  </r>
  <r>
    <n v="54897548"/>
    <s v="N"/>
    <n v="21338371"/>
    <s v="3000013046820002"/>
    <s v="CIVIL"/>
    <d v="2023-06-23T00:00:00"/>
    <d v="2023-07-06T19:21:01"/>
    <m/>
    <d v="2023-07-06T00:00:00"/>
    <n v="434"/>
    <n v="14174"/>
    <s v="54897548"/>
    <s v="54897548"/>
    <m/>
    <m/>
    <n v="22754042"/>
    <m/>
    <m/>
    <m/>
    <s v="SOLFIN"/>
    <s v="SOLFIN"/>
    <s v="CCMS"/>
    <n v="21338371"/>
    <n v="1300.34"/>
    <m/>
    <s v="N"/>
    <n v="22"/>
    <d v="2023-07-06T19:21:22"/>
    <s v="Y"/>
    <s v="Preparation - other"/>
    <s v="Non Family Hourly Rates"/>
    <s v="Profit Cost"/>
    <s v="LJ"/>
    <s v="Y"/>
    <n v="30.38"/>
    <n v="6.08"/>
    <x v="4"/>
    <s v="VALIDATED"/>
    <n v="1"/>
    <s v="01.11.80.201.6100.0000"/>
    <n v="30.38"/>
    <s v="11"/>
    <s v="6100"/>
    <n v="1083.61"/>
    <n v="30.38"/>
    <s v="CREDITOR"/>
    <n v="0"/>
    <n v="0"/>
    <n v="0"/>
    <n v="0"/>
    <n v="30.38"/>
  </r>
  <r>
    <n v="54897548"/>
    <s v="N"/>
    <n v="21338371"/>
    <s v="3000013046820002"/>
    <s v="CIVIL"/>
    <d v="2023-06-23T00:00:00"/>
    <d v="2023-07-06T19:21:01"/>
    <m/>
    <d v="2023-07-06T00:00:00"/>
    <n v="434"/>
    <n v="14174"/>
    <s v="54897548"/>
    <s v="54897548"/>
    <m/>
    <m/>
    <n v="22754042"/>
    <m/>
    <m/>
    <m/>
    <s v="SOLFIN"/>
    <s v="SOLFIN"/>
    <s v="CCMS"/>
    <n v="21338371"/>
    <n v="1300.34"/>
    <m/>
    <s v="N"/>
    <n v="15"/>
    <d v="2023-07-06T19:21:22"/>
    <s v="Y"/>
    <s v="Preparation - drafting attendance n"/>
    <s v="Non Family Hourly Rates"/>
    <s v="Profit Cost"/>
    <s v="LJ"/>
    <s v="Y"/>
    <n v="8.1"/>
    <n v="1.62"/>
    <x v="4"/>
    <s v="VALIDATED"/>
    <n v="1"/>
    <s v="01.11.80.201.6100.0000"/>
    <n v="8.1"/>
    <s v="11"/>
    <s v="6100"/>
    <n v="1083.61"/>
    <n v="8.1"/>
    <s v="CREDITOR"/>
    <n v="0"/>
    <n v="0"/>
    <n v="0"/>
    <n v="0"/>
    <n v="8.1"/>
  </r>
  <r>
    <n v="54897548"/>
    <s v="N"/>
    <n v="21338371"/>
    <s v="3000013046820002"/>
    <s v="CIVIL"/>
    <d v="2023-06-23T00:00:00"/>
    <d v="2023-07-06T19:21:01"/>
    <m/>
    <d v="2023-07-06T00:00:00"/>
    <n v="434"/>
    <n v="14174"/>
    <s v="54897548"/>
    <s v="54897548"/>
    <m/>
    <m/>
    <n v="22754042"/>
    <m/>
    <m/>
    <m/>
    <s v="SOLFIN"/>
    <s v="SOLFIN"/>
    <s v="CCMS"/>
    <n v="21338371"/>
    <n v="1300.34"/>
    <m/>
    <s v="N"/>
    <n v="20"/>
    <d v="2023-07-06T19:21:22"/>
    <s v="Y"/>
    <s v="Preparation - drafting bill/claim f"/>
    <s v="Non Family Hourly Rates"/>
    <s v="Profit Cost"/>
    <s v="Costs Draftsman"/>
    <s v="Y"/>
    <n v="67.5"/>
    <n v="13.5"/>
    <x v="4"/>
    <s v="VALIDATED"/>
    <n v="1"/>
    <s v="01.11.80.201.6100.0000"/>
    <n v="67.5"/>
    <s v="11"/>
    <s v="6100"/>
    <n v="1083.61"/>
    <n v="67.5"/>
    <s v="CREDITOR"/>
    <n v="0"/>
    <n v="0"/>
    <n v="0"/>
    <n v="0"/>
    <n v="67.5"/>
  </r>
  <r>
    <n v="54897548"/>
    <s v="N"/>
    <n v="21338371"/>
    <s v="3000013046820002"/>
    <s v="CIVIL"/>
    <d v="2023-06-23T00:00:00"/>
    <d v="2023-07-06T19:21:01"/>
    <m/>
    <d v="2023-07-06T00:00:00"/>
    <n v="434"/>
    <n v="14174"/>
    <s v="54897548"/>
    <s v="54897548"/>
    <m/>
    <m/>
    <n v="22754042"/>
    <m/>
    <m/>
    <m/>
    <s v="SOLFIN"/>
    <s v="SOLFIN"/>
    <s v="CCMS"/>
    <n v="21338371"/>
    <n v="1300.34"/>
    <m/>
    <s v="N"/>
    <n v="5"/>
    <d v="2023-07-06T19:21:22"/>
    <s v="Y"/>
    <s v="Preparation - drafting attendance n"/>
    <s v="Non Family Hourly Rates"/>
    <s v="Profit Cost"/>
    <s v="LJ"/>
    <s v="Y"/>
    <n v="8.1"/>
    <n v="1.62"/>
    <x v="4"/>
    <s v="VALIDATED"/>
    <n v="1"/>
    <s v="01.11.80.201.6100.0000"/>
    <n v="8.1"/>
    <s v="11"/>
    <s v="6100"/>
    <n v="1083.61"/>
    <n v="8.1"/>
    <s v="CREDITOR"/>
    <n v="0"/>
    <n v="0"/>
    <n v="0"/>
    <n v="0"/>
    <n v="8.1"/>
  </r>
  <r>
    <n v="61788013"/>
    <s v="N"/>
    <n v="21331345"/>
    <s v="3000015863610001"/>
    <s v="CIVIL"/>
    <d v="2023-06-27T00:00:00"/>
    <d v="2023-07-05T19:01:47"/>
    <m/>
    <d v="2023-07-05T00:00:00"/>
    <n v="460"/>
    <n v="14507"/>
    <s v="61788013"/>
    <s v="61788013"/>
    <m/>
    <m/>
    <n v="22771904"/>
    <m/>
    <m/>
    <m/>
    <s v="SOLFIN"/>
    <s v="SOLFIN"/>
    <s v="CCMS"/>
    <n v="21331345"/>
    <n v="5806.57"/>
    <m/>
    <s v="N"/>
    <n v="6"/>
    <d v="2023-07-05T19:02:15"/>
    <s v="Y"/>
    <s v="Advocates Meeting"/>
    <s v="Public Law Children"/>
    <s v="Advocacy"/>
    <s v="Damian Summerscales"/>
    <s v="Y"/>
    <n v="140.99"/>
    <n v="28.2"/>
    <x v="6"/>
    <s v="VALIDATED"/>
    <n v="1"/>
    <s v="01.11.80.308.6100.0000"/>
    <n v="140.99"/>
    <s v="11"/>
    <s v="6100"/>
    <n v="7210.63"/>
    <n v="140.99"/>
    <s v="CREDITOR"/>
    <n v="0"/>
    <n v="0"/>
    <n v="0"/>
    <n v="0"/>
    <n v="140.99"/>
  </r>
  <r>
    <n v="61507260"/>
    <s v="N"/>
    <n v="21331383"/>
    <s v="3000015630140010"/>
    <s v="CIVIL"/>
    <d v="2023-06-27T00:00:00"/>
    <d v="2023-07-05T19:01:47"/>
    <m/>
    <d v="2023-07-05T00:00:00"/>
    <n v="460"/>
    <n v="14507"/>
    <s v="61507260"/>
    <s v="61507260"/>
    <m/>
    <m/>
    <n v="22771976"/>
    <m/>
    <m/>
    <m/>
    <s v="SOLFIN"/>
    <s v="SOLFIN"/>
    <s v="CCMS"/>
    <n v="21331383"/>
    <n v="5757.12"/>
    <m/>
    <s v="N"/>
    <n v="5"/>
    <d v="2023-07-05T19:02:17"/>
    <s v="Y"/>
    <s v="Other"/>
    <s v="Public Law Children"/>
    <s v="Non Expert Disbursement"/>
    <s v="Cansford Laboratories"/>
    <s v="Y"/>
    <n v="36.67"/>
    <n v="7.33"/>
    <x v="6"/>
    <s v="VALIDATED"/>
    <n v="1"/>
    <s v="01.11.80.308.6300.0000"/>
    <n v="36.67"/>
    <s v="11"/>
    <s v="6300"/>
    <n v="7210.63"/>
    <n v="36.67"/>
    <s v="CREDITOR"/>
    <n v="0"/>
    <n v="0"/>
    <n v="0"/>
    <n v="0"/>
    <n v="36.67"/>
  </r>
  <r>
    <n v="61744432"/>
    <s v="N"/>
    <n v="21320029"/>
    <s v="3000015825040007"/>
    <s v="CIVIL"/>
    <d v="2023-06-28T00:00:00"/>
    <d v="2023-07-03T19:04:24"/>
    <m/>
    <d v="2023-07-03T00:00:00"/>
    <n v="460"/>
    <n v="14507"/>
    <s v="61744432"/>
    <s v="61744432"/>
    <m/>
    <m/>
    <n v="22777128"/>
    <m/>
    <m/>
    <m/>
    <s v="SOLPOA"/>
    <s v="SOLPOA"/>
    <s v="CCMS"/>
    <n v="21320029"/>
    <n v="245.83"/>
    <m/>
    <s v="N"/>
    <n v="1"/>
    <d v="2023-07-03T19:04:28"/>
    <s v="N"/>
    <s v="Non Expert Disbursement"/>
    <s v="Non Expert Disbursement"/>
    <s v="Non Expert Disbursement"/>
    <s v="Cansford Laboratories"/>
    <s v="N"/>
    <n v="204.86"/>
    <n v="40.97"/>
    <x v="3"/>
    <s v="VALIDATED"/>
    <n v="1"/>
    <s v="01.11.80.308.2012.0000"/>
    <n v="204.86"/>
    <s v="11"/>
    <s v="2012"/>
    <n v="7210.63"/>
    <n v="204.86"/>
    <s v="CREDITOR"/>
    <n v="204.86"/>
    <n v="0"/>
    <n v="0"/>
    <n v="0"/>
    <n v="0"/>
  </r>
  <r>
    <n v="61788013"/>
    <s v="N"/>
    <n v="21331345"/>
    <s v="3000015863610001"/>
    <s v="CIVIL"/>
    <d v="2023-06-27T00:00:00"/>
    <d v="2023-07-05T19:01:47"/>
    <m/>
    <d v="2023-07-05T00:00:00"/>
    <n v="460"/>
    <n v="14507"/>
    <s v="61788013"/>
    <s v="61788013"/>
    <m/>
    <m/>
    <n v="22771904"/>
    <m/>
    <m/>
    <m/>
    <s v="SOLFIN"/>
    <s v="SOLFIN"/>
    <s v="CCMS"/>
    <n v="21331345"/>
    <n v="5806.57"/>
    <m/>
    <s v="N"/>
    <n v="3"/>
    <d v="2023-07-05T19:02:15"/>
    <s v="Y"/>
    <s v="Final Hearing - 1 Day"/>
    <s v="Public Law Children"/>
    <s v="Advocacy"/>
    <s v="Damian Summerscales"/>
    <s v="Y"/>
    <n v="556.88"/>
    <n v="111.38"/>
    <x v="6"/>
    <s v="VALIDATED"/>
    <n v="1"/>
    <s v="01.11.80.308.6100.0000"/>
    <n v="556.88"/>
    <s v="11"/>
    <s v="6100"/>
    <n v="7210.63"/>
    <n v="556.88"/>
    <s v="CREDITOR"/>
    <n v="0"/>
    <n v="0"/>
    <n v="0"/>
    <n v="0"/>
    <n v="556.88"/>
  </r>
  <r>
    <n v="61507260"/>
    <s v="N"/>
    <n v="21331383"/>
    <s v="3000015630140010"/>
    <s v="CIVIL"/>
    <d v="2023-06-27T00:00:00"/>
    <d v="2023-07-05T19:01:47"/>
    <m/>
    <d v="2023-07-05T00:00:00"/>
    <n v="460"/>
    <n v="14507"/>
    <s v="61507260"/>
    <s v="61507260"/>
    <m/>
    <m/>
    <n v="22771976"/>
    <m/>
    <m/>
    <m/>
    <s v="SOLFIN"/>
    <s v="SOLFIN"/>
    <s v="CCMS"/>
    <n v="21331383"/>
    <n v="5757.12"/>
    <m/>
    <s v="N"/>
    <n v="6"/>
    <d v="2023-07-05T19:02:17"/>
    <s v="Y"/>
    <s v="Solicitors Fixed Fee"/>
    <s v="Public Law Children"/>
    <s v="Profit Cost"/>
    <s v="Damian Summerscales"/>
    <s v="Y"/>
    <n v="2616"/>
    <n v="523.2"/>
    <x v="6"/>
    <s v="VALIDATED"/>
    <n v="1"/>
    <s v="01.11.80.308.6100.0000"/>
    <n v="2616"/>
    <s v="11"/>
    <s v="6100"/>
    <n v="7210.63"/>
    <n v="2616"/>
    <s v="CREDITOR"/>
    <n v="0"/>
    <n v="0"/>
    <n v="0"/>
    <n v="0"/>
    <n v="2616"/>
  </r>
  <r>
    <n v="61788013"/>
    <s v="N"/>
    <n v="21331345"/>
    <s v="3000015863610001"/>
    <s v="CIVIL"/>
    <d v="2023-06-27T00:00:00"/>
    <d v="2023-07-05T19:01:47"/>
    <m/>
    <d v="2023-07-05T00:00:00"/>
    <n v="460"/>
    <n v="14507"/>
    <s v="61788013"/>
    <s v="61788013"/>
    <m/>
    <m/>
    <n v="22771904"/>
    <m/>
    <m/>
    <m/>
    <s v="SOLFIN"/>
    <s v="SOLFIN"/>
    <s v="CCMS"/>
    <n v="21331345"/>
    <n v="5806.57"/>
    <m/>
    <s v="N"/>
    <n v="8"/>
    <d v="2023-07-05T19:02:15"/>
    <s v="Y"/>
    <s v="Advocates Meeting"/>
    <s v="Public Law Children"/>
    <s v="Advocacy"/>
    <s v="Damian Summerscales"/>
    <s v="Y"/>
    <n v="140.99"/>
    <n v="28.2"/>
    <x v="6"/>
    <s v="VALIDATED"/>
    <n v="1"/>
    <s v="01.11.80.308.6100.0000"/>
    <n v="140.99"/>
    <s v="11"/>
    <s v="6100"/>
    <n v="7210.63"/>
    <n v="140.99"/>
    <s v="CREDITOR"/>
    <n v="0"/>
    <n v="0"/>
    <n v="0"/>
    <n v="0"/>
    <n v="140.99"/>
  </r>
  <r>
    <n v="61788013"/>
    <s v="N"/>
    <n v="21331345"/>
    <s v="3000015863610001"/>
    <s v="CIVIL"/>
    <d v="2023-06-27T00:00:00"/>
    <d v="2023-07-05T19:01:47"/>
    <m/>
    <d v="2023-07-05T00:00:00"/>
    <n v="460"/>
    <n v="14507"/>
    <s v="61788013"/>
    <s v="61788013"/>
    <m/>
    <m/>
    <n v="22771904"/>
    <m/>
    <m/>
    <m/>
    <s v="SOLFIN"/>
    <s v="SOLFIN"/>
    <s v="CCMS"/>
    <n v="21331345"/>
    <n v="5806.57"/>
    <m/>
    <s v="N"/>
    <n v="5"/>
    <d v="2023-07-05T19:02:15"/>
    <s v="Y"/>
    <s v="Hearing Unit 2.31 - 5.00 Hours"/>
    <s v="Public Law Children"/>
    <s v="Advocacy"/>
    <s v="Damian Summerscales"/>
    <s v="Y"/>
    <n v="476.92"/>
    <n v="95.38"/>
    <x v="6"/>
    <s v="VALIDATED"/>
    <n v="1"/>
    <s v="01.11.80.308.6100.0000"/>
    <n v="476.92"/>
    <s v="11"/>
    <s v="6100"/>
    <n v="7210.63"/>
    <n v="476.92"/>
    <s v="CREDITOR"/>
    <n v="0"/>
    <n v="0"/>
    <n v="0"/>
    <n v="0"/>
    <n v="476.92"/>
  </r>
  <r>
    <n v="61788013"/>
    <s v="N"/>
    <n v="21331345"/>
    <s v="3000015863610001"/>
    <s v="CIVIL"/>
    <d v="2023-06-27T00:00:00"/>
    <d v="2023-07-05T19:01:47"/>
    <m/>
    <d v="2023-07-05T00:00:00"/>
    <n v="460"/>
    <n v="14507"/>
    <s v="61788013"/>
    <s v="61788013"/>
    <m/>
    <m/>
    <n v="22771904"/>
    <m/>
    <m/>
    <m/>
    <s v="SOLFIN"/>
    <s v="SOLFIN"/>
    <s v="CCMS"/>
    <n v="21331345"/>
    <n v="5806.57"/>
    <m/>
    <s v="N"/>
    <n v="1"/>
    <d v="2023-07-05T19:02:15"/>
    <s v="Y"/>
    <s v="Doctor (GP)"/>
    <s v="Public Law Children"/>
    <s v="Expert Disbursement"/>
    <s v="The Canford Heath Group Practice"/>
    <s v="Y"/>
    <n v="50.4"/>
    <n v="10.08"/>
    <x v="6"/>
    <s v="VALIDATED"/>
    <n v="1"/>
    <s v="01.11.80.308.6300.0000"/>
    <n v="50.4"/>
    <s v="11"/>
    <s v="6300"/>
    <n v="7210.63"/>
    <n v="50.4"/>
    <s v="CREDITOR"/>
    <n v="0"/>
    <n v="0"/>
    <n v="0"/>
    <n v="0"/>
    <n v="50.4"/>
  </r>
  <r>
    <n v="61507260"/>
    <s v="N"/>
    <n v="21331383"/>
    <s v="3000015630140010"/>
    <s v="CIVIL"/>
    <d v="2023-06-27T00:00:00"/>
    <d v="2023-07-05T19:01:47"/>
    <m/>
    <d v="2023-07-05T00:00:00"/>
    <n v="460"/>
    <n v="14507"/>
    <s v="61507260"/>
    <s v="61507260"/>
    <m/>
    <m/>
    <n v="22771976"/>
    <m/>
    <m/>
    <m/>
    <s v="SOLFIN"/>
    <s v="SOLFIN"/>
    <s v="CCMS"/>
    <n v="21331383"/>
    <n v="5757.12"/>
    <m/>
    <s v="N"/>
    <n v="1"/>
    <d v="2023-07-05T19:02:17"/>
    <s v="Y"/>
    <s v="Other"/>
    <s v="Public Law Children"/>
    <s v="Non Expert Disbursement"/>
    <s v="Cansford Laboratories"/>
    <s v="Y"/>
    <n v="36.67"/>
    <n v="7.33"/>
    <x v="6"/>
    <s v="VALIDATED"/>
    <n v="1"/>
    <s v="01.11.80.308.6300.0000"/>
    <n v="36.67"/>
    <s v="11"/>
    <s v="6300"/>
    <n v="7210.63"/>
    <n v="36.67"/>
    <s v="CREDITOR"/>
    <n v="0"/>
    <n v="0"/>
    <n v="0"/>
    <n v="0"/>
    <n v="36.67"/>
  </r>
  <r>
    <n v="61788013"/>
    <s v="N"/>
    <n v="21331345"/>
    <s v="3000015863610001"/>
    <s v="CIVIL"/>
    <d v="2023-06-27T00:00:00"/>
    <d v="2023-07-05T19:01:47"/>
    <m/>
    <d v="2023-07-05T00:00:00"/>
    <n v="460"/>
    <n v="14507"/>
    <s v="61788013"/>
    <s v="61788013"/>
    <m/>
    <m/>
    <n v="22771904"/>
    <m/>
    <m/>
    <m/>
    <s v="SOLFIN"/>
    <s v="SOLFIN"/>
    <s v="CCMS"/>
    <n v="21331345"/>
    <n v="5806.57"/>
    <m/>
    <s v="N"/>
    <n v="4"/>
    <d v="2023-07-05T19:02:15"/>
    <s v="Y"/>
    <s v="Advocates Meeting"/>
    <s v="Public Law Children"/>
    <s v="Advocacy"/>
    <s v="Damian Summerscales"/>
    <s v="Y"/>
    <n v="140.99"/>
    <n v="28.2"/>
    <x v="6"/>
    <s v="VALIDATED"/>
    <n v="1"/>
    <s v="01.11.80.308.6100.0000"/>
    <n v="140.99"/>
    <s v="11"/>
    <s v="6100"/>
    <n v="7210.63"/>
    <n v="140.99"/>
    <s v="CREDITOR"/>
    <n v="0"/>
    <n v="0"/>
    <n v="0"/>
    <n v="0"/>
    <n v="140.99"/>
  </r>
  <r>
    <n v="61788013"/>
    <s v="N"/>
    <n v="21331345"/>
    <s v="3000015863610001"/>
    <s v="CIVIL"/>
    <d v="2023-06-27T00:00:00"/>
    <d v="2023-07-05T19:01:47"/>
    <m/>
    <d v="2023-07-05T00:00:00"/>
    <n v="460"/>
    <n v="14507"/>
    <s v="61788013"/>
    <s v="61788013"/>
    <m/>
    <m/>
    <n v="22771904"/>
    <m/>
    <m/>
    <m/>
    <s v="SOLFIN"/>
    <s v="SOLFIN"/>
    <s v="CCMS"/>
    <n v="21331345"/>
    <n v="5806.57"/>
    <m/>
    <s v="N"/>
    <n v="9"/>
    <d v="2023-07-05T19:02:15"/>
    <s v="Y"/>
    <s v="Solicitors Fixed Fee"/>
    <s v="Public Law Children"/>
    <s v="Profit Cost"/>
    <s v="Damian Summerscales"/>
    <s v="Y"/>
    <n v="2616"/>
    <n v="523.2"/>
    <x v="6"/>
    <s v="VALIDATED"/>
    <n v="1"/>
    <s v="01.11.80.308.6100.0000"/>
    <n v="2616"/>
    <s v="11"/>
    <s v="6100"/>
    <n v="7210.63"/>
    <n v="2616"/>
    <s v="CREDITOR"/>
    <n v="0"/>
    <n v="0"/>
    <n v="0"/>
    <n v="0"/>
    <n v="2616"/>
  </r>
  <r>
    <n v="61744432"/>
    <s v="N"/>
    <n v="21361011"/>
    <s v="3000015825040009"/>
    <s v="CIVIL"/>
    <d v="2023-06-27T00:00:00"/>
    <d v="2023-07-11T19:00:25"/>
    <m/>
    <d v="2023-07-11T00:00:00"/>
    <n v="460"/>
    <n v="14507"/>
    <s v="61744432"/>
    <s v="61744432"/>
    <m/>
    <m/>
    <n v="22770742"/>
    <m/>
    <m/>
    <m/>
    <s v="SOLINT"/>
    <s v="SOLINT"/>
    <s v="CCMS"/>
    <n v="21361011"/>
    <n v="0"/>
    <m/>
    <s v="N"/>
    <n v="1"/>
    <d v="2023-07-11T19:00:42"/>
    <s v="N"/>
    <s v="NIL BILL"/>
    <s v="Public Law Children"/>
    <s v="Profit Cost"/>
    <s v="Damian Summerscales"/>
    <s v="N"/>
    <n v="0"/>
    <n v="0"/>
    <x v="7"/>
    <s v="VALIDATED"/>
    <n v="1"/>
    <s v="01.11.80.308.6100.0000"/>
    <n v="0"/>
    <s v="11"/>
    <s v="6100"/>
    <n v="7210.63"/>
    <n v="0"/>
    <s v="CREDITOR"/>
    <n v="0"/>
    <n v="0"/>
    <n v="0"/>
    <n v="0"/>
    <n v="0"/>
  </r>
  <r>
    <n v="61788013"/>
    <s v="N"/>
    <n v="21331345"/>
    <s v="3000015863610001"/>
    <s v="CIVIL"/>
    <d v="2023-06-27T00:00:00"/>
    <d v="2023-07-05T19:01:47"/>
    <m/>
    <d v="2023-07-05T00:00:00"/>
    <n v="460"/>
    <n v="14507"/>
    <s v="61788013"/>
    <s v="61788013"/>
    <m/>
    <m/>
    <n v="22771904"/>
    <m/>
    <m/>
    <m/>
    <s v="SOLFIN"/>
    <s v="SOLFIN"/>
    <s v="CCMS"/>
    <n v="21331345"/>
    <n v="5806.57"/>
    <m/>
    <s v="N"/>
    <n v="2"/>
    <d v="2023-07-05T19:02:15"/>
    <s v="Y"/>
    <s v="Independent Social Worker"/>
    <s v="Public Law Children"/>
    <s v="Expert Disbursement"/>
    <s v="A S Bartram"/>
    <s v="Y"/>
    <n v="286.46"/>
    <n v="0"/>
    <x v="6"/>
    <s v="VALIDATED"/>
    <n v="1"/>
    <s v="01.11.80.308.6300.0000"/>
    <n v="286.46"/>
    <s v="11"/>
    <s v="6300"/>
    <n v="7210.63"/>
    <n v="286.46"/>
    <s v="CREDITOR"/>
    <n v="0"/>
    <n v="0"/>
    <n v="0"/>
    <n v="0"/>
    <n v="286.46"/>
  </r>
  <r>
    <n v="61788013"/>
    <s v="N"/>
    <n v="21331345"/>
    <s v="3000015863610001"/>
    <s v="CIVIL"/>
    <d v="2023-06-27T00:00:00"/>
    <d v="2023-07-05T19:01:47"/>
    <m/>
    <d v="2023-07-05T00:00:00"/>
    <n v="460"/>
    <n v="14507"/>
    <s v="61788013"/>
    <s v="61788013"/>
    <m/>
    <m/>
    <n v="22771904"/>
    <m/>
    <m/>
    <m/>
    <s v="SOLFIN"/>
    <s v="SOLFIN"/>
    <s v="CCMS"/>
    <n v="21331345"/>
    <n v="5806.57"/>
    <m/>
    <s v="N"/>
    <n v="7"/>
    <d v="2023-07-05T19:02:15"/>
    <s v="Y"/>
    <s v="Hearing Unit 2.31 - 5.00 Hours"/>
    <s v="Public Law Children"/>
    <s v="Advocacy"/>
    <s v="Damian Summerscales"/>
    <s v="Y"/>
    <n v="476.92"/>
    <n v="95.38"/>
    <x v="6"/>
    <s v="VALIDATED"/>
    <n v="1"/>
    <s v="01.11.80.308.6100.0000"/>
    <n v="476.92"/>
    <s v="11"/>
    <s v="6100"/>
    <n v="7210.63"/>
    <n v="476.92"/>
    <s v="CREDITOR"/>
    <n v="0"/>
    <n v="0"/>
    <n v="0"/>
    <n v="0"/>
    <n v="476.92"/>
  </r>
  <r>
    <n v="61507260"/>
    <s v="N"/>
    <n v="21331383"/>
    <s v="3000015630140010"/>
    <s v="CIVIL"/>
    <d v="2023-06-27T00:00:00"/>
    <d v="2023-07-05T19:01:47"/>
    <m/>
    <d v="2023-07-05T00:00:00"/>
    <n v="460"/>
    <n v="14507"/>
    <s v="61507260"/>
    <s v="61507260"/>
    <m/>
    <m/>
    <n v="22771976"/>
    <m/>
    <m/>
    <m/>
    <s v="SOLFIN"/>
    <s v="SOLFIN"/>
    <s v="CCMS"/>
    <n v="21331383"/>
    <n v="5757.12"/>
    <m/>
    <s v="N"/>
    <n v="4"/>
    <d v="2023-07-05T19:02:17"/>
    <s v="Y"/>
    <s v="Psychologist"/>
    <s v="Public Law Children"/>
    <s v="Expert Disbursement"/>
    <s v="Dt T Grange"/>
    <s v="Y"/>
    <n v="1336.6"/>
    <n v="267.32"/>
    <x v="6"/>
    <s v="VALIDATED"/>
    <n v="1"/>
    <s v="01.11.80.308.6300.0000"/>
    <n v="1336.6"/>
    <s v="11"/>
    <s v="6300"/>
    <n v="7210.63"/>
    <n v="1336.6"/>
    <s v="CREDITOR"/>
    <n v="0"/>
    <n v="0"/>
    <n v="0"/>
    <n v="0"/>
    <n v="1336.6"/>
  </r>
  <r>
    <n v="61507260"/>
    <s v="N"/>
    <n v="21331383"/>
    <s v="3000015630140010"/>
    <s v="CIVIL"/>
    <d v="2023-06-27T00:00:00"/>
    <d v="2023-07-05T19:01:47"/>
    <m/>
    <d v="2023-07-05T00:00:00"/>
    <n v="460"/>
    <n v="14507"/>
    <s v="61507260"/>
    <s v="61507260"/>
    <m/>
    <m/>
    <n v="22771976"/>
    <m/>
    <m/>
    <m/>
    <s v="SOLFIN"/>
    <s v="SOLFIN"/>
    <s v="CCMS"/>
    <n v="21331383"/>
    <n v="5757.12"/>
    <m/>
    <s v="N"/>
    <n v="3"/>
    <d v="2023-07-05T19:02:17"/>
    <s v="Y"/>
    <s v="Other"/>
    <s v="Public Law Children"/>
    <s v="Non Expert Disbursement"/>
    <s v="Cansford Laboratories Limited"/>
    <s v="Y"/>
    <n v="735"/>
    <n v="147"/>
    <x v="6"/>
    <s v="VALIDATED"/>
    <n v="1"/>
    <s v="01.11.80.308.6300.0000"/>
    <n v="735"/>
    <s v="11"/>
    <s v="6300"/>
    <n v="7210.63"/>
    <n v="735"/>
    <s v="CREDITOR"/>
    <n v="0"/>
    <n v="0"/>
    <n v="0"/>
    <n v="0"/>
    <n v="735"/>
  </r>
  <r>
    <n v="61507260"/>
    <s v="N"/>
    <n v="21331383"/>
    <s v="3000015630140010"/>
    <s v="CIVIL"/>
    <d v="2023-06-27T00:00:00"/>
    <d v="2023-07-05T19:01:47"/>
    <m/>
    <d v="2023-07-05T00:00:00"/>
    <n v="460"/>
    <n v="14507"/>
    <s v="61507260"/>
    <s v="61507260"/>
    <m/>
    <m/>
    <n v="22771976"/>
    <m/>
    <m/>
    <m/>
    <s v="SOLFIN"/>
    <s v="SOLFIN"/>
    <s v="CCMS"/>
    <n v="21331383"/>
    <n v="5757.12"/>
    <m/>
    <s v="N"/>
    <n v="2"/>
    <d v="2023-07-05T19:02:17"/>
    <s v="Y"/>
    <s v="Other"/>
    <s v="Public Law Children"/>
    <s v="Non Expert Disbursement"/>
    <s v="Cansford Laboratories"/>
    <s v="Y"/>
    <n v="36.67"/>
    <n v="7.33"/>
    <x v="6"/>
    <s v="VALIDATED"/>
    <n v="1"/>
    <s v="01.11.80.308.6300.0000"/>
    <n v="36.67"/>
    <s v="11"/>
    <s v="6300"/>
    <n v="7210.63"/>
    <n v="36.67"/>
    <s v="CREDITOR"/>
    <n v="0"/>
    <n v="0"/>
    <n v="0"/>
    <n v="0"/>
    <n v="36.67"/>
  </r>
  <r>
    <n v="61507260"/>
    <s v="N"/>
    <n v="21333766"/>
    <s v="3000015630140004RC"/>
    <s v="CIVIL"/>
    <d v="2023-06-27T00:00:00"/>
    <d v="2023-07-05T19:42:28"/>
    <m/>
    <d v="2023-07-05T00:00:00"/>
    <n v="460"/>
    <n v="14507"/>
    <s v="61507260"/>
    <s v="61507260"/>
    <m/>
    <m/>
    <m/>
    <m/>
    <m/>
    <m/>
    <s v="SOLRECOUP"/>
    <s v="SOLRECOUP"/>
    <s v="POARECOUP"/>
    <n v="21333766"/>
    <n v="-1603.92"/>
    <m/>
    <s v="Y"/>
    <n v="1"/>
    <d v="2023-07-05T19:42:28"/>
    <s v="N"/>
    <m/>
    <m/>
    <s v="Expert Disbursement"/>
    <m/>
    <s v="N"/>
    <n v="-1336.6"/>
    <n v="0"/>
    <x v="6"/>
    <s v="VALIDATED"/>
    <n v="1"/>
    <s v="01.11.80.308.2013.0000"/>
    <n v="-1336.6"/>
    <s v="11"/>
    <s v="2013"/>
    <n v="7210.63"/>
    <n v="-1336.6"/>
    <s v="CREDITOR"/>
    <n v="0"/>
    <n v="0"/>
    <n v="-1336.6"/>
    <n v="0"/>
    <n v="0"/>
  </r>
  <r>
    <n v="61507260"/>
    <s v="N"/>
    <n v="21333766"/>
    <s v="3000015630140004RC"/>
    <s v="CIVIL"/>
    <d v="2023-06-27T00:00:00"/>
    <d v="2023-07-05T19:42:28"/>
    <m/>
    <d v="2023-07-05T00:00:00"/>
    <n v="460"/>
    <n v="14507"/>
    <s v="61507260"/>
    <s v="61507260"/>
    <m/>
    <m/>
    <m/>
    <m/>
    <m/>
    <m/>
    <s v="SOLRECOUP"/>
    <s v="SOLRECOUP"/>
    <s v="POARECOUP"/>
    <n v="21333766"/>
    <n v="-1603.92"/>
    <m/>
    <s v="Y"/>
    <n v="2"/>
    <d v="2023-07-05T19:42:28"/>
    <s v="N"/>
    <m/>
    <m/>
    <s v="Expert Disbursement"/>
    <m/>
    <s v="N"/>
    <n v="0"/>
    <n v="-267.32"/>
    <x v="6"/>
    <s v="VALIDATED"/>
    <n v="1"/>
    <s v="01.11.80.308.2013.0000"/>
    <n v="-267.32"/>
    <s v="11"/>
    <s v="2013"/>
    <n v="7210.63"/>
    <n v="-267.32"/>
    <s v="CREDITOR"/>
    <n v="0"/>
    <n v="0"/>
    <n v="-267.32"/>
    <n v="0"/>
    <n v="0"/>
  </r>
  <r>
    <n v="61507260"/>
    <s v="N"/>
    <n v="21333767"/>
    <s v="3000015630140008RC"/>
    <s v="CIVIL"/>
    <d v="2023-06-27T00:00:00"/>
    <d v="2023-07-05T19:42:28"/>
    <m/>
    <d v="2023-07-05T00:00:00"/>
    <n v="460"/>
    <n v="14507"/>
    <s v="61507260"/>
    <s v="61507260"/>
    <m/>
    <m/>
    <m/>
    <m/>
    <m/>
    <m/>
    <s v="SOLRECOUP"/>
    <s v="SOLRECOUP"/>
    <s v="POARECOUP"/>
    <n v="21333767"/>
    <n v="-44"/>
    <m/>
    <s v="Y"/>
    <n v="1"/>
    <d v="2023-07-05T19:42:28"/>
    <s v="N"/>
    <m/>
    <m/>
    <s v="Non Expert Disbursement"/>
    <m/>
    <s v="N"/>
    <n v="-36.67"/>
    <n v="0"/>
    <x v="6"/>
    <s v="VALIDATED"/>
    <n v="1"/>
    <s v="01.11.80.308.2013.0000"/>
    <n v="-36.67"/>
    <s v="11"/>
    <s v="2013"/>
    <n v="7210.63"/>
    <n v="-36.67"/>
    <s v="CREDITOR"/>
    <n v="0"/>
    <n v="0"/>
    <n v="-36.67"/>
    <n v="0"/>
    <n v="0"/>
  </r>
  <r>
    <n v="61507260"/>
    <s v="N"/>
    <n v="21333767"/>
    <s v="3000015630140008RC"/>
    <s v="CIVIL"/>
    <d v="2023-06-27T00:00:00"/>
    <d v="2023-07-05T19:42:28"/>
    <m/>
    <d v="2023-07-05T00:00:00"/>
    <n v="460"/>
    <n v="14507"/>
    <s v="61507260"/>
    <s v="61507260"/>
    <m/>
    <m/>
    <m/>
    <m/>
    <m/>
    <m/>
    <s v="SOLRECOUP"/>
    <s v="SOLRECOUP"/>
    <s v="POARECOUP"/>
    <n v="21333767"/>
    <n v="-44"/>
    <m/>
    <s v="Y"/>
    <n v="2"/>
    <d v="2023-07-05T19:42:28"/>
    <s v="N"/>
    <m/>
    <m/>
    <s v="Non Expert Disbursement"/>
    <m/>
    <s v="N"/>
    <n v="0"/>
    <n v="-7.33"/>
    <x v="6"/>
    <s v="VALIDATED"/>
    <n v="1"/>
    <s v="01.11.80.308.2013.0000"/>
    <n v="-7.33"/>
    <s v="11"/>
    <s v="2013"/>
    <n v="7210.63"/>
    <n v="-7.33"/>
    <s v="CREDITOR"/>
    <n v="0"/>
    <n v="0"/>
    <n v="-7.33"/>
    <n v="0"/>
    <n v="0"/>
  </r>
  <r>
    <n v="61507260"/>
    <s v="N"/>
    <n v="21333768"/>
    <s v="3000015630140007RC"/>
    <s v="CIVIL"/>
    <d v="2023-06-27T00:00:00"/>
    <d v="2023-07-05T19:42:28"/>
    <m/>
    <d v="2023-07-05T00:00:00"/>
    <n v="460"/>
    <n v="14507"/>
    <s v="61507260"/>
    <s v="61507260"/>
    <m/>
    <m/>
    <m/>
    <m/>
    <m/>
    <m/>
    <s v="SOLRECOUP"/>
    <s v="SOLRECOUP"/>
    <s v="POARECOUP"/>
    <n v="21333768"/>
    <n v="-44"/>
    <m/>
    <s v="Y"/>
    <n v="1"/>
    <d v="2023-07-05T19:42:28"/>
    <s v="N"/>
    <m/>
    <m/>
    <s v="Non Expert Disbursement"/>
    <m/>
    <s v="N"/>
    <n v="-36.67"/>
    <n v="0"/>
    <x v="6"/>
    <s v="VALIDATED"/>
    <n v="1"/>
    <s v="01.11.80.308.2013.0000"/>
    <n v="-36.67"/>
    <s v="11"/>
    <s v="2013"/>
    <n v="7210.63"/>
    <n v="-36.67"/>
    <s v="CREDITOR"/>
    <n v="0"/>
    <n v="0"/>
    <n v="-36.67"/>
    <n v="0"/>
    <n v="0"/>
  </r>
  <r>
    <n v="61507260"/>
    <s v="N"/>
    <n v="21333768"/>
    <s v="3000015630140007RC"/>
    <s v="CIVIL"/>
    <d v="2023-06-27T00:00:00"/>
    <d v="2023-07-05T19:42:28"/>
    <m/>
    <d v="2023-07-05T00:00:00"/>
    <n v="460"/>
    <n v="14507"/>
    <s v="61507260"/>
    <s v="61507260"/>
    <m/>
    <m/>
    <m/>
    <m/>
    <m/>
    <m/>
    <s v="SOLRECOUP"/>
    <s v="SOLRECOUP"/>
    <s v="POARECOUP"/>
    <n v="21333768"/>
    <n v="-44"/>
    <m/>
    <s v="Y"/>
    <n v="2"/>
    <d v="2023-07-05T19:42:28"/>
    <s v="N"/>
    <m/>
    <m/>
    <s v="Non Expert Disbursement"/>
    <m/>
    <s v="N"/>
    <n v="0"/>
    <n v="-7.33"/>
    <x v="6"/>
    <s v="VALIDATED"/>
    <n v="1"/>
    <s v="01.11.80.308.2013.0000"/>
    <n v="-7.33"/>
    <s v="11"/>
    <s v="2013"/>
    <n v="7210.63"/>
    <n v="-7.33"/>
    <s v="CREDITOR"/>
    <n v="0"/>
    <n v="0"/>
    <n v="-7.33"/>
    <n v="0"/>
    <n v="0"/>
  </r>
  <r>
    <n v="61507260"/>
    <s v="N"/>
    <n v="21333769"/>
    <s v="3000015630140002RC"/>
    <s v="CIVIL"/>
    <d v="2023-06-27T00:00:00"/>
    <d v="2023-07-05T19:42:28"/>
    <m/>
    <d v="2023-07-05T00:00:00"/>
    <n v="460"/>
    <n v="14507"/>
    <s v="61507260"/>
    <s v="61507260"/>
    <m/>
    <m/>
    <m/>
    <m/>
    <m/>
    <m/>
    <s v="SOLRECOUP"/>
    <s v="SOLRECOUP"/>
    <s v="POARECOUP"/>
    <n v="21333769"/>
    <n v="-44"/>
    <m/>
    <s v="Y"/>
    <n v="1"/>
    <d v="2023-07-05T19:42:28"/>
    <s v="N"/>
    <m/>
    <m/>
    <s v="Non Expert Disbursement"/>
    <m/>
    <s v="N"/>
    <n v="-36.67"/>
    <n v="0"/>
    <x v="6"/>
    <s v="VALIDATED"/>
    <n v="1"/>
    <s v="01.11.80.308.2013.0000"/>
    <n v="-36.67"/>
    <s v="11"/>
    <s v="2013"/>
    <n v="7210.63"/>
    <n v="-36.67"/>
    <s v="CREDITOR"/>
    <n v="0"/>
    <n v="0"/>
    <n v="-36.67"/>
    <n v="0"/>
    <n v="0"/>
  </r>
  <r>
    <n v="61507260"/>
    <s v="N"/>
    <n v="21333769"/>
    <s v="3000015630140002RC"/>
    <s v="CIVIL"/>
    <d v="2023-06-27T00:00:00"/>
    <d v="2023-07-05T19:42:28"/>
    <m/>
    <d v="2023-07-05T00:00:00"/>
    <n v="460"/>
    <n v="14507"/>
    <s v="61507260"/>
    <s v="61507260"/>
    <m/>
    <m/>
    <m/>
    <m/>
    <m/>
    <m/>
    <s v="SOLRECOUP"/>
    <s v="SOLRECOUP"/>
    <s v="POARECOUP"/>
    <n v="21333769"/>
    <n v="-44"/>
    <m/>
    <s v="Y"/>
    <n v="2"/>
    <d v="2023-07-05T19:42:28"/>
    <s v="N"/>
    <m/>
    <m/>
    <s v="Non Expert Disbursement"/>
    <m/>
    <s v="N"/>
    <n v="0"/>
    <n v="-7.33"/>
    <x v="6"/>
    <s v="VALIDATED"/>
    <n v="1"/>
    <s v="01.11.80.308.2013.0000"/>
    <n v="-7.33"/>
    <s v="11"/>
    <s v="2013"/>
    <n v="7210.63"/>
    <n v="-7.33"/>
    <s v="CREDITOR"/>
    <n v="0"/>
    <n v="0"/>
    <n v="-7.33"/>
    <n v="0"/>
    <n v="0"/>
  </r>
  <r>
    <n v="61507260"/>
    <s v="N"/>
    <n v="21333770"/>
    <s v="3000015630140003RC"/>
    <s v="CIVIL"/>
    <d v="2023-06-27T00:00:00"/>
    <d v="2023-07-05T19:42:28"/>
    <m/>
    <d v="2023-07-05T00:00:00"/>
    <n v="460"/>
    <n v="14507"/>
    <s v="61507260"/>
    <s v="61507260"/>
    <m/>
    <m/>
    <m/>
    <m/>
    <m/>
    <m/>
    <s v="SOLRECOUP"/>
    <s v="SOLRECOUP"/>
    <s v="POARECOUP"/>
    <n v="21333770"/>
    <n v="-882"/>
    <m/>
    <s v="Y"/>
    <n v="1"/>
    <d v="2023-07-05T19:42:28"/>
    <s v="N"/>
    <m/>
    <m/>
    <s v="Non Expert Disbursement"/>
    <m/>
    <s v="N"/>
    <n v="-735"/>
    <n v="0"/>
    <x v="6"/>
    <s v="VALIDATED"/>
    <n v="1"/>
    <s v="01.11.80.308.2013.0000"/>
    <n v="-735"/>
    <s v="11"/>
    <s v="2013"/>
    <n v="7210.63"/>
    <n v="-735"/>
    <s v="CREDITOR"/>
    <n v="0"/>
    <n v="0"/>
    <n v="-735"/>
    <n v="0"/>
    <n v="0"/>
  </r>
  <r>
    <n v="61507260"/>
    <s v="N"/>
    <n v="21333770"/>
    <s v="3000015630140003RC"/>
    <s v="CIVIL"/>
    <d v="2023-06-27T00:00:00"/>
    <d v="2023-07-05T19:42:28"/>
    <m/>
    <d v="2023-07-05T00:00:00"/>
    <n v="460"/>
    <n v="14507"/>
    <s v="61507260"/>
    <s v="61507260"/>
    <m/>
    <m/>
    <m/>
    <m/>
    <m/>
    <m/>
    <s v="SOLRECOUP"/>
    <s v="SOLRECOUP"/>
    <s v="POARECOUP"/>
    <n v="21333770"/>
    <n v="-882"/>
    <m/>
    <s v="Y"/>
    <n v="2"/>
    <d v="2023-07-05T19:42:28"/>
    <s v="N"/>
    <m/>
    <m/>
    <s v="Non Expert Disbursement"/>
    <m/>
    <s v="N"/>
    <n v="0"/>
    <n v="-147"/>
    <x v="6"/>
    <s v="VALIDATED"/>
    <n v="1"/>
    <s v="01.11.80.308.2013.0000"/>
    <n v="-147"/>
    <s v="11"/>
    <s v="2013"/>
    <n v="7210.63"/>
    <n v="-147"/>
    <s v="CREDITOR"/>
    <n v="0"/>
    <n v="0"/>
    <n v="-147"/>
    <n v="0"/>
    <n v="0"/>
  </r>
  <r>
    <n v="61744432"/>
    <s v="N"/>
    <n v="21361339"/>
    <s v="3000015825040004RC"/>
    <s v="CIVIL"/>
    <d v="2023-06-27T00:00:00"/>
    <d v="2023-07-11T19:38:00"/>
    <m/>
    <d v="2023-07-11T00:00:00"/>
    <n v="460"/>
    <n v="14507"/>
    <s v="61744432"/>
    <s v="61744432"/>
    <m/>
    <m/>
    <m/>
    <m/>
    <m/>
    <m/>
    <s v="SOLRECOUP"/>
    <s v="SOLRECOUP"/>
    <s v="POARECOUP"/>
    <n v="21361339"/>
    <n v="-60.47"/>
    <m/>
    <s v="Y"/>
    <n v="1"/>
    <d v="2023-07-11T19:38:00"/>
    <s v="N"/>
    <m/>
    <m/>
    <s v="Non Expert Disbursement"/>
    <m/>
    <s v="N"/>
    <n v="-50.39"/>
    <n v="0"/>
    <x v="7"/>
    <s v="VALIDATED"/>
    <n v="1"/>
    <s v="01.11.80.308.2013.0000"/>
    <n v="-50.39"/>
    <s v="11"/>
    <s v="2013"/>
    <n v="7210.63"/>
    <n v="-50.39"/>
    <s v="CREDITOR"/>
    <n v="0"/>
    <n v="0"/>
    <n v="-50.39"/>
    <n v="0"/>
    <n v="0"/>
  </r>
  <r>
    <n v="61744432"/>
    <s v="N"/>
    <n v="21361339"/>
    <s v="3000015825040004RC"/>
    <s v="CIVIL"/>
    <d v="2023-06-27T00:00:00"/>
    <d v="2023-07-11T19:38:00"/>
    <m/>
    <d v="2023-07-11T00:00:00"/>
    <n v="460"/>
    <n v="14507"/>
    <s v="61744432"/>
    <s v="61744432"/>
    <m/>
    <m/>
    <m/>
    <m/>
    <m/>
    <m/>
    <s v="SOLRECOUP"/>
    <s v="SOLRECOUP"/>
    <s v="POARECOUP"/>
    <n v="21361339"/>
    <n v="-60.47"/>
    <m/>
    <s v="Y"/>
    <n v="2"/>
    <d v="2023-07-11T19:38:00"/>
    <s v="N"/>
    <m/>
    <m/>
    <s v="Non Expert Disbursement"/>
    <m/>
    <s v="N"/>
    <n v="0"/>
    <n v="-10.08"/>
    <x v="7"/>
    <s v="VALIDATED"/>
    <n v="1"/>
    <s v="01.11.80.308.2013.0000"/>
    <n v="-10.08"/>
    <s v="11"/>
    <s v="2013"/>
    <n v="7210.63"/>
    <n v="-10.08"/>
    <s v="CREDITOR"/>
    <n v="0"/>
    <n v="0"/>
    <n v="-10.08"/>
    <n v="0"/>
    <n v="0"/>
  </r>
  <r>
    <n v="61529818"/>
    <s v="N"/>
    <n v="21319873"/>
    <s v="3000015641430006"/>
    <s v="CIVIL"/>
    <d v="2023-06-28T00:00:00"/>
    <d v="2023-07-03T19:04:24"/>
    <m/>
    <d v="2023-07-03T00:00:00"/>
    <n v="468"/>
    <n v="14585"/>
    <s v="61529818"/>
    <s v="61529818"/>
    <m/>
    <m/>
    <n v="22777512"/>
    <m/>
    <m/>
    <m/>
    <s v="SOLPOA"/>
    <s v="SOLPOA"/>
    <s v="CCMS"/>
    <n v="21319873"/>
    <n v="550.6"/>
    <m/>
    <s v="N"/>
    <n v="1"/>
    <d v="2023-07-03T19:04:28"/>
    <s v="N"/>
    <s v="Expert Cost"/>
    <s v="Expert Cost"/>
    <s v="Expert Disbursement"/>
    <s v="Zak Routledge"/>
    <s v="N"/>
    <n v="458.83"/>
    <n v="91.77"/>
    <x v="3"/>
    <s v="VALIDATED"/>
    <n v="1"/>
    <s v="01.11.80.308.2012.0000"/>
    <n v="458.83"/>
    <s v="11"/>
    <s v="2012"/>
    <n v="889.61"/>
    <n v="458.83"/>
    <s v="CREDITOR"/>
    <n v="458.83"/>
    <n v="0"/>
    <n v="0"/>
    <n v="0"/>
    <n v="0"/>
  </r>
  <r>
    <n v="60287128"/>
    <s v="N"/>
    <n v="21327767"/>
    <s v="3000014592430005"/>
    <s v="CIVIL"/>
    <d v="2023-06-30T00:00:00"/>
    <d v="2023-07-04T19:00:44"/>
    <m/>
    <d v="2023-07-04T00:00:00"/>
    <n v="468"/>
    <n v="14585"/>
    <s v="60287128"/>
    <s v="60287128"/>
    <m/>
    <m/>
    <n v="22795200"/>
    <m/>
    <m/>
    <m/>
    <s v="SOLAPP"/>
    <s v="SOLAPP"/>
    <s v="CCMS"/>
    <n v="21327767"/>
    <n v="516.9299999999999"/>
    <m/>
    <s v="N"/>
    <n v="6"/>
    <d v="2023-07-04T19:00:54"/>
    <s v="Y"/>
    <s v="Routine Telephone Call"/>
    <s v="Prescribed Hourly Rates"/>
    <s v="Profit Cost"/>
    <s v="Zak Routledge"/>
    <s v="Y"/>
    <n v="7.3"/>
    <n v="1.46"/>
    <x v="1"/>
    <s v="VALIDATED"/>
    <n v="1"/>
    <s v="01.11.80.305.6100.0000"/>
    <n v="7.3"/>
    <s v="11"/>
    <s v="6100"/>
    <n v="889.61"/>
    <n v="7.3"/>
    <s v="CREDITOR"/>
    <n v="0"/>
    <n v="0"/>
    <n v="0"/>
    <n v="0"/>
    <n v="7.3"/>
  </r>
  <r>
    <n v="60287128"/>
    <s v="N"/>
    <n v="21327767"/>
    <s v="3000014592430005"/>
    <s v="CIVIL"/>
    <d v="2023-06-30T00:00:00"/>
    <d v="2023-07-04T19:00:44"/>
    <m/>
    <d v="2023-07-04T00:00:00"/>
    <n v="468"/>
    <n v="14585"/>
    <s v="60287128"/>
    <s v="60287128"/>
    <m/>
    <m/>
    <n v="22795200"/>
    <m/>
    <m/>
    <m/>
    <s v="SOLAPP"/>
    <s v="SOLAPP"/>
    <s v="CCMS"/>
    <n v="21327767"/>
    <n v="516.9299999999999"/>
    <m/>
    <s v="N"/>
    <n v="1"/>
    <d v="2023-07-04T19:00:54"/>
    <s v="Y"/>
    <s v="Preparation - drafting consent orde"/>
    <s v="Prescribed Hourly Rates"/>
    <s v="Profit Cost"/>
    <s v="Zak Routledge"/>
    <s v="Y"/>
    <n v="7.57"/>
    <n v="1.51"/>
    <x v="1"/>
    <s v="VALIDATED"/>
    <n v="1"/>
    <s v="01.11.80.305.6100.0000"/>
    <n v="7.57"/>
    <s v="11"/>
    <s v="6100"/>
    <n v="889.61"/>
    <n v="7.57"/>
    <s v="CREDITOR"/>
    <n v="0"/>
    <n v="0"/>
    <n v="0"/>
    <n v="0"/>
    <n v="7.57"/>
  </r>
  <r>
    <n v="60287128"/>
    <s v="N"/>
    <n v="21327767"/>
    <s v="3000014592430005"/>
    <s v="CIVIL"/>
    <d v="2023-06-30T00:00:00"/>
    <d v="2023-07-04T19:00:44"/>
    <m/>
    <d v="2023-07-04T00:00:00"/>
    <n v="468"/>
    <n v="14585"/>
    <s v="60287128"/>
    <s v="60287128"/>
    <m/>
    <m/>
    <n v="22795200"/>
    <m/>
    <m/>
    <m/>
    <s v="SOLAPP"/>
    <s v="SOLAPP"/>
    <s v="CCMS"/>
    <n v="21327767"/>
    <n v="516.9299999999999"/>
    <m/>
    <s v="N"/>
    <n v="2"/>
    <d v="2023-07-04T19:00:54"/>
    <s v="Y"/>
    <s v="Preparation - other"/>
    <s v="Prescribed Hourly Rates"/>
    <s v="Profit Cost"/>
    <s v="Zak Routledge"/>
    <s v="Y"/>
    <n v="136.1"/>
    <n v="27.24"/>
    <x v="1"/>
    <s v="VALIDATED"/>
    <n v="1"/>
    <s v="01.11.80.305.6100.0000"/>
    <n v="136.1"/>
    <s v="11"/>
    <s v="6100"/>
    <n v="889.61"/>
    <n v="136.1"/>
    <s v="CREDITOR"/>
    <n v="0"/>
    <n v="0"/>
    <n v="0"/>
    <n v="0"/>
    <n v="136.1"/>
  </r>
  <r>
    <n v="60287128"/>
    <s v="N"/>
    <n v="21327767"/>
    <s v="3000014592430005"/>
    <s v="CIVIL"/>
    <d v="2023-06-30T00:00:00"/>
    <d v="2023-07-04T19:00:44"/>
    <m/>
    <d v="2023-07-04T00:00:00"/>
    <n v="468"/>
    <n v="14585"/>
    <s v="60287128"/>
    <s v="60287128"/>
    <m/>
    <m/>
    <n v="22795200"/>
    <m/>
    <m/>
    <m/>
    <s v="SOLAPP"/>
    <s v="SOLAPP"/>
    <s v="CCMS"/>
    <n v="21327767"/>
    <n v="516.9299999999999"/>
    <m/>
    <s v="N"/>
    <n v="5"/>
    <d v="2023-07-04T19:00:54"/>
    <s v="Y"/>
    <s v="Routine Letter In"/>
    <s v="Prescribed Hourly Rates"/>
    <s v="Profit Cost"/>
    <s v="Zak Routledge"/>
    <s v="Y"/>
    <n v="101.43"/>
    <n v="20.28"/>
    <x v="1"/>
    <s v="VALIDATED"/>
    <n v="1"/>
    <s v="01.11.80.305.6100.0000"/>
    <n v="101.43"/>
    <s v="11"/>
    <s v="6100"/>
    <n v="889.61"/>
    <n v="101.43"/>
    <s v="CREDITOR"/>
    <n v="0"/>
    <n v="0"/>
    <n v="0"/>
    <n v="0"/>
    <n v="101.43"/>
  </r>
  <r>
    <n v="60287128"/>
    <s v="N"/>
    <n v="21327767"/>
    <s v="3000014592430005"/>
    <s v="CIVIL"/>
    <d v="2023-06-30T00:00:00"/>
    <d v="2023-07-04T19:00:44"/>
    <m/>
    <d v="2023-07-04T00:00:00"/>
    <n v="468"/>
    <n v="14585"/>
    <s v="60287128"/>
    <s v="60287128"/>
    <m/>
    <m/>
    <n v="22795200"/>
    <m/>
    <m/>
    <m/>
    <s v="SOLAPP"/>
    <s v="SOLAPP"/>
    <s v="CCMS"/>
    <n v="21327767"/>
    <n v="516.9299999999999"/>
    <m/>
    <s v="N"/>
    <n v="7"/>
    <d v="2023-07-04T19:00:54"/>
    <s v="Y"/>
    <s v="Routine Letter Out"/>
    <s v="Prescribed Hourly Rates"/>
    <s v="Profit Cost"/>
    <s v="Zak Routledge"/>
    <s v="Y"/>
    <n v="87.63"/>
    <n v="17.52"/>
    <x v="1"/>
    <s v="VALIDATED"/>
    <n v="1"/>
    <s v="01.11.80.305.6100.0000"/>
    <n v="87.63"/>
    <s v="11"/>
    <s v="6100"/>
    <n v="889.61"/>
    <n v="87.63"/>
    <s v="CREDITOR"/>
    <n v="0"/>
    <n v="0"/>
    <n v="0"/>
    <n v="0"/>
    <n v="87.63"/>
  </r>
  <r>
    <n v="60287128"/>
    <s v="N"/>
    <n v="21327767"/>
    <s v="3000014592430005"/>
    <s v="CIVIL"/>
    <d v="2023-06-30T00:00:00"/>
    <d v="2023-07-04T19:00:44"/>
    <m/>
    <d v="2023-07-04T00:00:00"/>
    <n v="468"/>
    <n v="14585"/>
    <s v="60287128"/>
    <s v="60287128"/>
    <m/>
    <m/>
    <n v="22795200"/>
    <m/>
    <m/>
    <m/>
    <s v="SOLAPP"/>
    <s v="SOLAPP"/>
    <s v="CCMS"/>
    <n v="21327767"/>
    <n v="516.9299999999999"/>
    <m/>
    <s v="N"/>
    <n v="8"/>
    <d v="2023-07-04T19:00:54"/>
    <s v="Y"/>
    <s v="Preparation - drafting statement"/>
    <s v="Prescribed Hourly Rates"/>
    <s v="Profit Cost"/>
    <s v="Zak Routledge"/>
    <s v="Y"/>
    <n v="45.37"/>
    <n v="9.07"/>
    <x v="1"/>
    <s v="VALIDATED"/>
    <n v="1"/>
    <s v="01.11.80.305.6100.0000"/>
    <n v="45.37"/>
    <s v="11"/>
    <s v="6100"/>
    <n v="889.61"/>
    <n v="45.37"/>
    <s v="CREDITOR"/>
    <n v="0"/>
    <n v="0"/>
    <n v="0"/>
    <n v="0"/>
    <n v="45.37"/>
  </r>
  <r>
    <n v="60287128"/>
    <s v="N"/>
    <n v="21327767"/>
    <s v="3000014592430005"/>
    <s v="CIVIL"/>
    <d v="2023-06-30T00:00:00"/>
    <d v="2023-07-04T19:00:44"/>
    <m/>
    <d v="2023-07-04T00:00:00"/>
    <n v="468"/>
    <n v="14585"/>
    <s v="60287128"/>
    <s v="60287128"/>
    <m/>
    <m/>
    <n v="22795200"/>
    <m/>
    <m/>
    <m/>
    <s v="SOLAPP"/>
    <s v="SOLAPP"/>
    <s v="CCMS"/>
    <n v="21327767"/>
    <n v="516.9299999999999"/>
    <m/>
    <s v="N"/>
    <n v="3"/>
    <d v="2023-07-04T19:00:54"/>
    <s v="Y"/>
    <s v="Preparation - other"/>
    <s v="Prescribed Hourly Rates"/>
    <s v="Profit Cost"/>
    <s v="Zak Routledge"/>
    <s v="Y"/>
    <n v="37.81"/>
    <n v="7.56"/>
    <x v="1"/>
    <s v="VALIDATED"/>
    <n v="1"/>
    <s v="01.11.80.305.6100.0000"/>
    <n v="37.81"/>
    <s v="11"/>
    <s v="6100"/>
    <n v="889.61"/>
    <n v="37.81"/>
    <s v="CREDITOR"/>
    <n v="0"/>
    <n v="0"/>
    <n v="0"/>
    <n v="0"/>
    <n v="37.81"/>
  </r>
  <r>
    <n v="60287128"/>
    <s v="N"/>
    <n v="21327767"/>
    <s v="3000014592430005"/>
    <s v="CIVIL"/>
    <d v="2023-06-30T00:00:00"/>
    <d v="2023-07-04T19:00:44"/>
    <m/>
    <d v="2023-07-04T00:00:00"/>
    <n v="468"/>
    <n v="14585"/>
    <s v="60287128"/>
    <s v="60287128"/>
    <m/>
    <m/>
    <n v="22795200"/>
    <m/>
    <m/>
    <m/>
    <s v="SOLAPP"/>
    <s v="SOLAPP"/>
    <s v="CCMS"/>
    <n v="21327767"/>
    <n v="516.9299999999999"/>
    <m/>
    <s v="N"/>
    <n v="4"/>
    <d v="2023-07-04T19:00:54"/>
    <s v="Y"/>
    <s v="Preparation - drafting consent orde"/>
    <s v="Prescribed Hourly Rates"/>
    <s v="Profit Cost"/>
    <s v="Zak Routledge"/>
    <s v="Y"/>
    <n v="7.57"/>
    <n v="1.51"/>
    <x v="1"/>
    <s v="VALIDATED"/>
    <n v="1"/>
    <s v="01.11.80.305.6100.0000"/>
    <n v="7.57"/>
    <s v="11"/>
    <s v="6100"/>
    <n v="889.61"/>
    <n v="7.57"/>
    <s v="CREDITOR"/>
    <n v="0"/>
    <n v="0"/>
    <n v="0"/>
    <n v="0"/>
    <n v="7.57"/>
  </r>
  <r>
    <n v="62283218"/>
    <s v="N"/>
    <n v="21322879"/>
    <s v="3000016277790002"/>
    <s v="CIVIL"/>
    <d v="2023-06-29T00:00:00"/>
    <d v="2023-07-03T19:05:36"/>
    <m/>
    <d v="2023-07-03T00:00:00"/>
    <n v="470"/>
    <n v="14596"/>
    <s v="62283218"/>
    <s v="62283218"/>
    <m/>
    <m/>
    <n v="22790602"/>
    <m/>
    <m/>
    <m/>
    <s v="SOLPOA"/>
    <s v="SOLPOA"/>
    <s v="CCMS"/>
    <n v="21322879"/>
    <n v="50.4"/>
    <m/>
    <s v="N"/>
    <n v="1"/>
    <d v="2023-07-03T19:05:40"/>
    <s v="N"/>
    <s v="Expert Cost"/>
    <s v="Expert Cost"/>
    <s v="Expert Disbursement"/>
    <s v="OC"/>
    <s v="N"/>
    <n v="50.4"/>
    <n v="0"/>
    <x v="3"/>
    <s v="VALIDATED"/>
    <n v="1"/>
    <s v="01.11.80.308.2012.0000"/>
    <n v="50.4"/>
    <s v="11"/>
    <s v="2012"/>
    <n v="1200.2"/>
    <n v="50.4"/>
    <s v="CREDITOR"/>
    <n v="50.4"/>
    <n v="0"/>
    <n v="0"/>
    <n v="0"/>
    <n v="0"/>
  </r>
  <r>
    <n v="62283218"/>
    <s v="N"/>
    <n v="21322940"/>
    <s v="3000016277790004"/>
    <s v="CIVIL"/>
    <d v="2023-06-29T00:00:00"/>
    <d v="2023-07-03T19:05:36"/>
    <m/>
    <d v="2023-07-03T00:00:00"/>
    <n v="470"/>
    <n v="14596"/>
    <s v="62283218"/>
    <s v="62283218"/>
    <m/>
    <m/>
    <n v="22790590"/>
    <m/>
    <m/>
    <m/>
    <s v="SOLPOA"/>
    <s v="SOLPOA"/>
    <s v="CCMS"/>
    <n v="21322940"/>
    <n v="50.4"/>
    <m/>
    <s v="N"/>
    <n v="1"/>
    <d v="2023-07-03T19:05:41"/>
    <s v="N"/>
    <s v="Expert Cost"/>
    <s v="Expert Cost"/>
    <s v="Expert Disbursement"/>
    <s v="OC"/>
    <s v="N"/>
    <n v="50.4"/>
    <n v="0"/>
    <x v="3"/>
    <s v="VALIDATED"/>
    <n v="1"/>
    <s v="01.11.80.308.2012.0000"/>
    <n v="50.4"/>
    <s v="11"/>
    <s v="2012"/>
    <n v="1200.2"/>
    <n v="50.4"/>
    <s v="CREDITOR"/>
    <n v="50.4"/>
    <n v="0"/>
    <n v="0"/>
    <n v="0"/>
    <n v="0"/>
  </r>
  <r>
    <n v="62283218"/>
    <s v="N"/>
    <n v="21322926"/>
    <s v="3000016277790003"/>
    <s v="CIVIL"/>
    <d v="2023-06-29T00:00:00"/>
    <d v="2023-07-03T19:05:36"/>
    <m/>
    <d v="2023-07-03T00:00:00"/>
    <n v="470"/>
    <n v="14596"/>
    <s v="62283218"/>
    <s v="62283218"/>
    <m/>
    <m/>
    <n v="22790660"/>
    <m/>
    <m/>
    <m/>
    <s v="SOLPOA"/>
    <s v="SOLPOA"/>
    <s v="CCMS"/>
    <n v="21322926"/>
    <n v="110.4"/>
    <m/>
    <s v="N"/>
    <n v="1"/>
    <d v="2023-07-03T19:05:41"/>
    <s v="N"/>
    <s v="Expert Cost"/>
    <s v="Expert Cost"/>
    <s v="Expert Disbursement"/>
    <s v="OC"/>
    <s v="N"/>
    <n v="92"/>
    <n v="18.4"/>
    <x v="3"/>
    <s v="VALIDATED"/>
    <n v="1"/>
    <s v="01.11.80.308.2012.0000"/>
    <n v="92"/>
    <s v="11"/>
    <s v="2012"/>
    <n v="1200.2"/>
    <n v="92"/>
    <s v="CREDITOR"/>
    <n v="92"/>
    <n v="0"/>
    <n v="0"/>
    <n v="0"/>
    <n v="0"/>
  </r>
  <r>
    <n v="59922759"/>
    <s v="N"/>
    <n v="21320136"/>
    <s v="3000014266940024"/>
    <s v="CIVIL"/>
    <d v="2023-06-27T00:00:00"/>
    <d v="2023-07-03T19:04:24"/>
    <m/>
    <d v="2023-07-03T00:00:00"/>
    <n v="470"/>
    <n v="14596"/>
    <s v="59922759"/>
    <s v="59922759"/>
    <m/>
    <m/>
    <n v="22768432"/>
    <m/>
    <m/>
    <m/>
    <s v="SOLPOA"/>
    <s v="SOLPOA"/>
    <s v="CCMS"/>
    <n v="21320136"/>
    <n v="78"/>
    <m/>
    <s v="N"/>
    <n v="1"/>
    <d v="2023-07-03T19:04:29"/>
    <s v="N"/>
    <s v="Non Expert Disbursement - Private L"/>
    <s v="Non Expert Disbursement - Priv"/>
    <s v="Non Expert Disbursement"/>
    <s v="RMC"/>
    <s v="N"/>
    <n v="65"/>
    <n v="13"/>
    <x v="3"/>
    <s v="VALIDATED"/>
    <n v="1"/>
    <s v="01.11.80.307.2012.0000"/>
    <n v="65"/>
    <s v="11"/>
    <s v="2012"/>
    <n v="1200.2"/>
    <n v="65"/>
    <s v="CREDITOR"/>
    <n v="65"/>
    <n v="0"/>
    <n v="0"/>
    <n v="0"/>
    <n v="0"/>
  </r>
  <r>
    <n v="60330148"/>
    <s v="N"/>
    <n v="21323644"/>
    <s v="3000014587870010"/>
    <s v="CIVIL"/>
    <d v="2023-06-30T00:00:00"/>
    <d v="2023-07-03T19:05:56"/>
    <m/>
    <d v="2023-07-03T00:00:00"/>
    <n v="470"/>
    <n v="14596"/>
    <s v="60330148"/>
    <s v="60330148"/>
    <m/>
    <m/>
    <n v="22795588"/>
    <m/>
    <m/>
    <m/>
    <s v="SOLPOA"/>
    <s v="SOLPOA"/>
    <s v="CCMS"/>
    <n v="21323644"/>
    <n v="167"/>
    <m/>
    <s v="N"/>
    <n v="1"/>
    <d v="2023-07-03T19:05:58"/>
    <s v="N"/>
    <s v="Non Expert Disbursement - Finance"/>
    <s v="Non Expert Disbursement - Fina"/>
    <s v="Non Expert Disbursement"/>
    <s v="Rachael Cole"/>
    <s v="N"/>
    <n v="167"/>
    <n v="0"/>
    <x v="3"/>
    <s v="VALIDATED"/>
    <n v="1"/>
    <s v="01.11.80.303.2012.0000"/>
    <n v="167"/>
    <s v="11"/>
    <s v="2012"/>
    <n v="1200.2"/>
    <n v="167"/>
    <s v="CREDITOR"/>
    <n v="167"/>
    <n v="0"/>
    <n v="0"/>
    <n v="0"/>
    <n v="0"/>
  </r>
  <r>
    <n v="60330148"/>
    <s v="N"/>
    <n v="21323603"/>
    <s v="3000014587870009"/>
    <s v="CIVIL"/>
    <d v="2023-06-30T00:00:00"/>
    <d v="2023-07-03T19:05:56"/>
    <m/>
    <d v="2023-07-03T00:00:00"/>
    <n v="470"/>
    <n v="14596"/>
    <s v="60330148"/>
    <s v="60330148"/>
    <m/>
    <m/>
    <n v="22795624"/>
    <m/>
    <m/>
    <m/>
    <s v="SOLPOA"/>
    <s v="SOLPOA"/>
    <s v="CCMS"/>
    <n v="21323603"/>
    <n v="167"/>
    <m/>
    <s v="N"/>
    <n v="1"/>
    <d v="2023-07-03T19:05:58"/>
    <s v="N"/>
    <s v="Non Expert Disbursement - Finance"/>
    <s v="Non Expert Disbursement - Fina"/>
    <s v="Non Expert Disbursement"/>
    <s v="Rachael Cole"/>
    <s v="N"/>
    <n v="167"/>
    <n v="0"/>
    <x v="3"/>
    <s v="VALIDATED"/>
    <n v="1"/>
    <s v="01.11.80.303.2012.0000"/>
    <n v="167"/>
    <s v="11"/>
    <s v="2012"/>
    <n v="1200.2"/>
    <n v="167"/>
    <s v="CREDITOR"/>
    <n v="167"/>
    <n v="0"/>
    <n v="0"/>
    <n v="0"/>
    <n v="0"/>
  </r>
  <r>
    <n v="62283218"/>
    <s v="N"/>
    <n v="21322832"/>
    <s v="3000016277790001"/>
    <s v="CIVIL"/>
    <d v="2023-06-29T00:00:00"/>
    <d v="2023-07-03T19:05:36"/>
    <m/>
    <d v="2023-07-03T00:00:00"/>
    <n v="470"/>
    <n v="14596"/>
    <s v="62283218"/>
    <s v="62283218"/>
    <m/>
    <m/>
    <n v="22790622"/>
    <m/>
    <m/>
    <m/>
    <s v="SOLPOA"/>
    <s v="SOLPOA"/>
    <s v="CCMS"/>
    <n v="21322832"/>
    <n v="730.08"/>
    <m/>
    <s v="N"/>
    <n v="1"/>
    <d v="2023-07-03T19:05:40"/>
    <s v="N"/>
    <s v="Expert Cost"/>
    <s v="Expert Cost"/>
    <s v="Expert Disbursement"/>
    <s v="OC"/>
    <s v="N"/>
    <n v="608.4"/>
    <n v="121.68"/>
    <x v="3"/>
    <s v="VALIDATED"/>
    <n v="1"/>
    <s v="01.11.80.308.2012.0000"/>
    <n v="608.4"/>
    <s v="11"/>
    <s v="2012"/>
    <n v="1200.2"/>
    <n v="608.4"/>
    <s v="CREDITOR"/>
    <n v="608.4"/>
    <n v="0"/>
    <n v="0"/>
    <n v="0"/>
    <n v="0"/>
  </r>
  <r>
    <n v="59922334"/>
    <s v="N"/>
    <n v="21378083"/>
    <s v="3000014275730002RC"/>
    <s v="CIVIL"/>
    <d v="2023-06-30T00:00:00"/>
    <d v="2023-07-14T19:33:52"/>
    <m/>
    <d v="2023-07-14T00:00:00"/>
    <n v="478"/>
    <n v="14663"/>
    <s v="59922334"/>
    <s v="59922334"/>
    <m/>
    <m/>
    <m/>
    <m/>
    <m/>
    <m/>
    <s v="SOLRECOUP"/>
    <s v="SOLRECOUP"/>
    <s v="POARECOUP"/>
    <n v="21378083"/>
    <n v="-415.58"/>
    <m/>
    <s v="Y"/>
    <n v="1"/>
    <d v="2023-07-14T19:33:52"/>
    <s v="N"/>
    <m/>
    <m/>
    <s v="Expert Disbursement"/>
    <m/>
    <s v="N"/>
    <n v="-346.32"/>
    <n v="0"/>
    <x v="10"/>
    <s v="VALIDATED"/>
    <n v="1"/>
    <s v="01.11.80.308.2013.0000"/>
    <n v="-346.32"/>
    <s v="11"/>
    <s v="2013"/>
    <n v="-3136.98"/>
    <n v="-346.32"/>
    <s v="DEBTOR"/>
    <n v="0"/>
    <n v="0"/>
    <n v="0"/>
    <n v="0"/>
    <n v="0"/>
  </r>
  <r>
    <n v="59922334"/>
    <s v="N"/>
    <n v="21378084"/>
    <s v="3000014275730008RC"/>
    <s v="CIVIL"/>
    <d v="2023-06-30T00:00:00"/>
    <d v="2023-07-14T19:33:52"/>
    <m/>
    <d v="2023-07-14T00:00:00"/>
    <n v="478"/>
    <n v="14663"/>
    <s v="59922334"/>
    <s v="59922334"/>
    <m/>
    <m/>
    <m/>
    <m/>
    <m/>
    <m/>
    <s v="SOLRECOUP"/>
    <s v="SOLRECOUP"/>
    <s v="POARECOUP"/>
    <n v="21378084"/>
    <n v="-224.64"/>
    <m/>
    <s v="Y"/>
    <n v="1"/>
    <d v="2023-07-14T19:33:52"/>
    <s v="N"/>
    <m/>
    <m/>
    <s v="Non Expert Disbursement"/>
    <m/>
    <s v="N"/>
    <n v="-187.2"/>
    <n v="0"/>
    <x v="10"/>
    <s v="VALIDATED"/>
    <n v="1"/>
    <s v="01.11.80.308.2013.0000"/>
    <n v="-187.2"/>
    <s v="11"/>
    <s v="2013"/>
    <n v="-3136.98"/>
    <n v="-187.2"/>
    <s v="DEBTOR"/>
    <n v="0"/>
    <n v="0"/>
    <n v="0"/>
    <n v="0"/>
    <n v="0"/>
  </r>
  <r>
    <n v="59922334"/>
    <s v="N"/>
    <n v="21378084"/>
    <s v="3000014275730008RC"/>
    <s v="CIVIL"/>
    <d v="2023-06-30T00:00:00"/>
    <d v="2023-07-14T19:33:52"/>
    <m/>
    <d v="2023-07-14T00:00:00"/>
    <n v="478"/>
    <n v="14663"/>
    <s v="59922334"/>
    <s v="59922334"/>
    <m/>
    <m/>
    <m/>
    <m/>
    <m/>
    <m/>
    <s v="SOLRECOUP"/>
    <s v="SOLRECOUP"/>
    <s v="POARECOUP"/>
    <n v="21378084"/>
    <n v="-224.64"/>
    <m/>
    <s v="Y"/>
    <n v="2"/>
    <d v="2023-07-14T19:33:52"/>
    <s v="N"/>
    <m/>
    <m/>
    <s v="Non Expert Disbursement"/>
    <m/>
    <s v="N"/>
    <n v="0"/>
    <n v="-37.44"/>
    <x v="10"/>
    <s v="VALIDATED"/>
    <n v="1"/>
    <s v="01.11.80.308.2013.0000"/>
    <n v="-37.44"/>
    <s v="11"/>
    <s v="2013"/>
    <n v="-3136.98"/>
    <n v="-37.44"/>
    <s v="DEBTOR"/>
    <n v="0"/>
    <n v="0"/>
    <n v="0"/>
    <n v="0"/>
    <n v="0"/>
  </r>
  <r>
    <n v="59922334"/>
    <s v="N"/>
    <n v="21378085"/>
    <s v="3000014275730006RC"/>
    <s v="CIVIL"/>
    <d v="2023-06-30T00:00:00"/>
    <d v="2023-07-14T19:33:52"/>
    <m/>
    <d v="2023-07-14T00:00:00"/>
    <n v="478"/>
    <n v="14663"/>
    <s v="59922334"/>
    <s v="59922334"/>
    <m/>
    <m/>
    <m/>
    <m/>
    <m/>
    <m/>
    <s v="SOLRECOUP"/>
    <s v="SOLRECOUP"/>
    <s v="POARECOUP"/>
    <n v="21378085"/>
    <n v="-270.96"/>
    <m/>
    <s v="Y"/>
    <n v="1"/>
    <d v="2023-07-14T19:33:52"/>
    <s v="N"/>
    <m/>
    <m/>
    <s v="Non Expert Disbursement"/>
    <m/>
    <s v="N"/>
    <n v="-225.8"/>
    <n v="0"/>
    <x v="10"/>
    <s v="VALIDATED"/>
    <n v="1"/>
    <s v="01.11.80.308.2013.0000"/>
    <n v="-225.8"/>
    <s v="11"/>
    <s v="2013"/>
    <n v="-3136.98"/>
    <n v="-225.8"/>
    <s v="DEBTOR"/>
    <n v="0"/>
    <n v="0"/>
    <n v="0"/>
    <n v="0"/>
    <n v="0"/>
  </r>
  <r>
    <n v="59922334"/>
    <s v="N"/>
    <n v="21378085"/>
    <s v="3000014275730006RC"/>
    <s v="CIVIL"/>
    <d v="2023-06-30T00:00:00"/>
    <d v="2023-07-14T19:33:52"/>
    <m/>
    <d v="2023-07-14T00:00:00"/>
    <n v="478"/>
    <n v="14663"/>
    <s v="59922334"/>
    <s v="59922334"/>
    <m/>
    <m/>
    <m/>
    <m/>
    <m/>
    <m/>
    <s v="SOLRECOUP"/>
    <s v="SOLRECOUP"/>
    <s v="POARECOUP"/>
    <n v="21378085"/>
    <n v="-270.96"/>
    <m/>
    <s v="Y"/>
    <n v="2"/>
    <d v="2023-07-14T19:33:52"/>
    <s v="N"/>
    <m/>
    <m/>
    <s v="Non Expert Disbursement"/>
    <m/>
    <s v="N"/>
    <n v="0"/>
    <n v="-45.16"/>
    <x v="10"/>
    <s v="VALIDATED"/>
    <n v="1"/>
    <s v="01.11.80.308.2013.0000"/>
    <n v="-45.16"/>
    <s v="11"/>
    <s v="2013"/>
    <n v="-3136.98"/>
    <n v="-45.16"/>
    <s v="DEBTOR"/>
    <n v="0"/>
    <n v="0"/>
    <n v="0"/>
    <n v="0"/>
    <n v="0"/>
  </r>
  <r>
    <n v="59922334"/>
    <s v="N"/>
    <n v="21378086"/>
    <s v="3000014275730001RC"/>
    <s v="CIVIL"/>
    <d v="2023-06-30T00:00:00"/>
    <d v="2023-07-14T19:33:52"/>
    <m/>
    <d v="2023-07-14T00:00:00"/>
    <n v="478"/>
    <n v="14663"/>
    <s v="59922334"/>
    <s v="59922334"/>
    <m/>
    <m/>
    <m/>
    <m/>
    <m/>
    <m/>
    <s v="SOLRECOUP"/>
    <s v="SOLRECOUP"/>
    <s v="POARECOUP"/>
    <n v="21378086"/>
    <n v="-126.9"/>
    <m/>
    <s v="Y"/>
    <n v="1"/>
    <d v="2023-07-14T19:33:52"/>
    <s v="N"/>
    <m/>
    <m/>
    <s v="Expert Disbursement"/>
    <m/>
    <s v="N"/>
    <n v="-105.75"/>
    <n v="0"/>
    <x v="10"/>
    <s v="VALIDATED"/>
    <n v="1"/>
    <s v="01.11.80.308.2013.0000"/>
    <n v="-105.75"/>
    <s v="11"/>
    <s v="2013"/>
    <n v="-3136.98"/>
    <n v="-105.75"/>
    <s v="DEBTOR"/>
    <n v="0"/>
    <n v="0"/>
    <n v="0"/>
    <n v="0"/>
    <n v="0"/>
  </r>
  <r>
    <n v="59922334"/>
    <s v="N"/>
    <n v="21378086"/>
    <s v="3000014275730001RC"/>
    <s v="CIVIL"/>
    <d v="2023-06-30T00:00:00"/>
    <d v="2023-07-14T19:33:52"/>
    <m/>
    <d v="2023-07-14T00:00:00"/>
    <n v="478"/>
    <n v="14663"/>
    <s v="59922334"/>
    <s v="59922334"/>
    <m/>
    <m/>
    <m/>
    <m/>
    <m/>
    <m/>
    <s v="SOLRECOUP"/>
    <s v="SOLRECOUP"/>
    <s v="POARECOUP"/>
    <n v="21378086"/>
    <n v="-126.9"/>
    <m/>
    <s v="Y"/>
    <n v="2"/>
    <d v="2023-07-14T19:33:52"/>
    <s v="N"/>
    <m/>
    <m/>
    <s v="Expert Disbursement"/>
    <m/>
    <s v="N"/>
    <n v="0"/>
    <n v="-21.15"/>
    <x v="10"/>
    <s v="VALIDATED"/>
    <n v="1"/>
    <s v="01.11.80.308.2013.0000"/>
    <n v="-21.15"/>
    <s v="11"/>
    <s v="2013"/>
    <n v="-3136.98"/>
    <n v="-21.15"/>
    <s v="DEBTOR"/>
    <n v="0"/>
    <n v="0"/>
    <n v="0"/>
    <n v="0"/>
    <n v="0"/>
  </r>
  <r>
    <n v="59922334"/>
    <s v="N"/>
    <n v="21378087"/>
    <s v="3000014275730003RC"/>
    <s v="CIVIL"/>
    <d v="2023-06-30T00:00:00"/>
    <d v="2023-07-14T19:33:52"/>
    <m/>
    <d v="2023-07-14T00:00:00"/>
    <n v="478"/>
    <n v="14663"/>
    <s v="59922334"/>
    <s v="59922334"/>
    <m/>
    <m/>
    <m/>
    <m/>
    <m/>
    <m/>
    <s v="SOLRECOUP"/>
    <s v="SOLRECOUP"/>
    <s v="POARECOUP"/>
    <n v="21378087"/>
    <n v="-112.8"/>
    <m/>
    <s v="Y"/>
    <n v="2"/>
    <d v="2023-07-14T19:33:52"/>
    <s v="N"/>
    <m/>
    <m/>
    <s v="Expert Disbursement"/>
    <m/>
    <s v="N"/>
    <n v="0"/>
    <n v="-18.8"/>
    <x v="10"/>
    <s v="VALIDATED"/>
    <n v="1"/>
    <s v="01.11.80.308.2013.0000"/>
    <n v="-18.8"/>
    <s v="11"/>
    <s v="2013"/>
    <n v="-3136.98"/>
    <n v="-18.8"/>
    <s v="DEBTOR"/>
    <n v="0"/>
    <n v="0"/>
    <n v="0"/>
    <n v="0"/>
    <n v="0"/>
  </r>
  <r>
    <n v="59922334"/>
    <s v="N"/>
    <n v="21378087"/>
    <s v="3000014275730003RC"/>
    <s v="CIVIL"/>
    <d v="2023-06-30T00:00:00"/>
    <d v="2023-07-14T19:33:52"/>
    <m/>
    <d v="2023-07-14T00:00:00"/>
    <n v="478"/>
    <n v="14663"/>
    <s v="59922334"/>
    <s v="59922334"/>
    <m/>
    <m/>
    <m/>
    <m/>
    <m/>
    <m/>
    <s v="SOLRECOUP"/>
    <s v="SOLRECOUP"/>
    <s v="POARECOUP"/>
    <n v="21378087"/>
    <n v="-112.8"/>
    <m/>
    <s v="Y"/>
    <n v="1"/>
    <d v="2023-07-14T19:33:52"/>
    <s v="N"/>
    <m/>
    <m/>
    <s v="Expert Disbursement"/>
    <m/>
    <s v="N"/>
    <n v="-94"/>
    <n v="0"/>
    <x v="10"/>
    <s v="VALIDATED"/>
    <n v="1"/>
    <s v="01.11.80.308.2013.0000"/>
    <n v="-94"/>
    <s v="11"/>
    <s v="2013"/>
    <n v="-3136.98"/>
    <n v="-94"/>
    <s v="DEBTOR"/>
    <n v="0"/>
    <n v="0"/>
    <n v="0"/>
    <n v="0"/>
    <n v="0"/>
  </r>
  <r>
    <n v="59922334"/>
    <s v="N"/>
    <n v="21378088"/>
    <s v="3000014275730004RC"/>
    <s v="CIVIL"/>
    <d v="2023-06-30T00:00:00"/>
    <d v="2023-07-14T19:33:52"/>
    <m/>
    <d v="2023-07-14T00:00:00"/>
    <n v="478"/>
    <n v="14663"/>
    <s v="59922334"/>
    <s v="59922334"/>
    <m/>
    <m/>
    <m/>
    <m/>
    <m/>
    <m/>
    <s v="SOLRECOUP"/>
    <s v="SOLRECOUP"/>
    <s v="POARECOUP"/>
    <n v="21378088"/>
    <n v="-256.8"/>
    <m/>
    <s v="Y"/>
    <n v="1"/>
    <d v="2023-07-14T19:33:52"/>
    <s v="N"/>
    <m/>
    <m/>
    <s v="Expert Disbursement"/>
    <m/>
    <s v="N"/>
    <n v="-214"/>
    <n v="0"/>
    <x v="10"/>
    <s v="VALIDATED"/>
    <n v="1"/>
    <s v="01.11.80.308.2013.0000"/>
    <n v="-214"/>
    <s v="11"/>
    <s v="2013"/>
    <n v="-3136.98"/>
    <n v="-214"/>
    <s v="DEBTOR"/>
    <n v="0"/>
    <n v="0"/>
    <n v="0"/>
    <n v="0"/>
    <n v="0"/>
  </r>
  <r>
    <n v="59922334"/>
    <s v="N"/>
    <n v="21378088"/>
    <s v="3000014275730004RC"/>
    <s v="CIVIL"/>
    <d v="2023-06-30T00:00:00"/>
    <d v="2023-07-14T19:33:52"/>
    <m/>
    <d v="2023-07-14T00:00:00"/>
    <n v="478"/>
    <n v="14663"/>
    <s v="59922334"/>
    <s v="59922334"/>
    <m/>
    <m/>
    <m/>
    <m/>
    <m/>
    <m/>
    <s v="SOLRECOUP"/>
    <s v="SOLRECOUP"/>
    <s v="POARECOUP"/>
    <n v="21378088"/>
    <n v="-256.8"/>
    <m/>
    <s v="Y"/>
    <n v="2"/>
    <d v="2023-07-14T19:33:52"/>
    <s v="N"/>
    <m/>
    <m/>
    <s v="Expert Disbursement"/>
    <m/>
    <s v="N"/>
    <n v="0"/>
    <n v="-42.8"/>
    <x v="10"/>
    <s v="VALIDATED"/>
    <n v="1"/>
    <s v="01.11.80.308.2013.0000"/>
    <n v="-42.8"/>
    <s v="11"/>
    <s v="2013"/>
    <n v="-3136.98"/>
    <n v="-42.8"/>
    <s v="DEBTOR"/>
    <n v="0"/>
    <n v="0"/>
    <n v="0"/>
    <n v="0"/>
    <n v="0"/>
  </r>
  <r>
    <n v="59922334"/>
    <s v="N"/>
    <n v="21378089"/>
    <s v="3000014275730005RC"/>
    <s v="CIVIL"/>
    <d v="2023-06-30T00:00:00"/>
    <d v="2023-07-14T19:33:52"/>
    <m/>
    <d v="2023-07-14T00:00:00"/>
    <n v="478"/>
    <n v="14663"/>
    <s v="59922334"/>
    <s v="59922334"/>
    <m/>
    <m/>
    <m/>
    <m/>
    <m/>
    <m/>
    <s v="SOLRECOUP"/>
    <s v="SOLRECOUP"/>
    <s v="POARECOUP"/>
    <n v="21378089"/>
    <n v="-1255.68"/>
    <m/>
    <s v="Y"/>
    <n v="1"/>
    <d v="2023-07-14T19:33:52"/>
    <s v="N"/>
    <m/>
    <m/>
    <s v="Profit Cost"/>
    <m/>
    <s v="N"/>
    <n v="-1046.4"/>
    <n v="0"/>
    <x v="10"/>
    <s v="VALIDATED"/>
    <n v="1"/>
    <s v="01.11.80.308.2013.0000"/>
    <n v="-1046.4"/>
    <s v="11"/>
    <s v="2013"/>
    <n v="-3136.98"/>
    <n v="-1046.4"/>
    <s v="DEBTOR"/>
    <n v="0"/>
    <n v="0"/>
    <n v="0"/>
    <n v="0"/>
    <n v="0"/>
  </r>
  <r>
    <n v="59922334"/>
    <s v="N"/>
    <n v="21378089"/>
    <s v="3000014275730005RC"/>
    <s v="CIVIL"/>
    <d v="2023-06-30T00:00:00"/>
    <d v="2023-07-14T19:33:52"/>
    <m/>
    <d v="2023-07-14T00:00:00"/>
    <n v="478"/>
    <n v="14663"/>
    <s v="59922334"/>
    <s v="59922334"/>
    <m/>
    <m/>
    <m/>
    <m/>
    <m/>
    <m/>
    <s v="SOLRECOUP"/>
    <s v="SOLRECOUP"/>
    <s v="POARECOUP"/>
    <n v="21378089"/>
    <n v="-1255.68"/>
    <m/>
    <s v="Y"/>
    <n v="2"/>
    <d v="2023-07-14T19:33:52"/>
    <s v="N"/>
    <m/>
    <m/>
    <s v="Profit Cost"/>
    <m/>
    <s v="N"/>
    <n v="0"/>
    <n v="-209.28"/>
    <x v="10"/>
    <s v="VALIDATED"/>
    <n v="1"/>
    <s v="01.11.80.308.2013.0000"/>
    <n v="-209.28"/>
    <s v="11"/>
    <s v="2013"/>
    <n v="-3136.98"/>
    <n v="-209.28"/>
    <s v="DEBTOR"/>
    <n v="0"/>
    <n v="0"/>
    <n v="0"/>
    <n v="0"/>
    <n v="0"/>
  </r>
  <r>
    <n v="59922334"/>
    <s v="N"/>
    <n v="21378090"/>
    <s v="3000014275730007RC"/>
    <s v="CIVIL"/>
    <d v="2023-06-30T00:00:00"/>
    <d v="2023-07-14T19:33:52"/>
    <m/>
    <d v="2023-07-14T00:00:00"/>
    <n v="478"/>
    <n v="14663"/>
    <s v="59922334"/>
    <s v="59922334"/>
    <m/>
    <m/>
    <m/>
    <m/>
    <m/>
    <m/>
    <s v="SOLRECOUP"/>
    <s v="SOLRECOUP"/>
    <s v="POARECOUP"/>
    <n v="21378090"/>
    <n v="-473.62"/>
    <m/>
    <s v="Y"/>
    <n v="2"/>
    <d v="2023-07-14T19:33:52"/>
    <s v="N"/>
    <m/>
    <m/>
    <s v="Non Expert Disbursement"/>
    <m/>
    <s v="N"/>
    <n v="0"/>
    <n v="-78.94"/>
    <x v="10"/>
    <s v="VALIDATED"/>
    <n v="1"/>
    <s v="01.11.80.308.2013.0000"/>
    <n v="-78.94"/>
    <s v="11"/>
    <s v="2013"/>
    <n v="-3136.98"/>
    <n v="-78.94"/>
    <s v="DEBTOR"/>
    <n v="0"/>
    <n v="0"/>
    <n v="0"/>
    <n v="0"/>
    <n v="0"/>
  </r>
  <r>
    <n v="59922334"/>
    <s v="N"/>
    <n v="21378090"/>
    <s v="3000014275730007RC"/>
    <s v="CIVIL"/>
    <d v="2023-06-30T00:00:00"/>
    <d v="2023-07-14T19:33:52"/>
    <m/>
    <d v="2023-07-14T00:00:00"/>
    <n v="478"/>
    <n v="14663"/>
    <s v="59922334"/>
    <s v="59922334"/>
    <m/>
    <m/>
    <m/>
    <m/>
    <m/>
    <m/>
    <s v="SOLRECOUP"/>
    <s v="SOLRECOUP"/>
    <s v="POARECOUP"/>
    <n v="21378090"/>
    <n v="-473.62"/>
    <m/>
    <s v="Y"/>
    <n v="1"/>
    <d v="2023-07-14T19:33:52"/>
    <s v="N"/>
    <m/>
    <m/>
    <s v="Non Expert Disbursement"/>
    <m/>
    <s v="N"/>
    <n v="-394.68"/>
    <n v="0"/>
    <x v="10"/>
    <s v="VALIDATED"/>
    <n v="1"/>
    <s v="01.11.80.308.2013.0000"/>
    <n v="-394.68"/>
    <s v="11"/>
    <s v="2013"/>
    <n v="-3136.98"/>
    <n v="-394.68"/>
    <s v="DEBTOR"/>
    <n v="0"/>
    <n v="0"/>
    <n v="0"/>
    <n v="0"/>
    <n v="0"/>
  </r>
  <r>
    <n v="59922334"/>
    <s v="N"/>
    <n v="21378083"/>
    <s v="3000014275730002RC"/>
    <s v="CIVIL"/>
    <d v="2023-06-30T00:00:00"/>
    <d v="2023-07-14T19:33:52"/>
    <m/>
    <d v="2023-07-14T00:00:00"/>
    <n v="478"/>
    <n v="14663"/>
    <s v="59922334"/>
    <s v="59922334"/>
    <m/>
    <m/>
    <m/>
    <m/>
    <m/>
    <m/>
    <s v="SOLRECOUP"/>
    <s v="SOLRECOUP"/>
    <s v="POARECOUP"/>
    <n v="21378083"/>
    <n v="-415.58"/>
    <m/>
    <s v="Y"/>
    <n v="2"/>
    <d v="2023-07-14T19:33:52"/>
    <s v="N"/>
    <m/>
    <m/>
    <s v="Expert Disbursement"/>
    <m/>
    <s v="N"/>
    <n v="0"/>
    <n v="-69.26000000000001"/>
    <x v="10"/>
    <s v="VALIDATED"/>
    <n v="1"/>
    <s v="01.11.80.308.2013.0000"/>
    <n v="-69.26000000000001"/>
    <s v="11"/>
    <s v="2013"/>
    <n v="-3136.98"/>
    <n v="-69.26000000000001"/>
    <s v="DEBTOR"/>
    <n v="0"/>
    <n v="0"/>
    <n v="0"/>
    <n v="0"/>
    <n v="0"/>
  </r>
  <r>
    <n v="29103542"/>
    <s v="N"/>
    <n v="21349757"/>
    <s v="3000009403110009"/>
    <s v="CIVIL"/>
    <d v="2023-06-29T00:00:00"/>
    <d v="2023-07-10T19:01:40"/>
    <m/>
    <d v="2023-07-10T00:00:00"/>
    <n v="489"/>
    <n v="14740"/>
    <s v="29103542"/>
    <s v="29103542"/>
    <m/>
    <m/>
    <n v="22787106"/>
    <m/>
    <m/>
    <m/>
    <s v="SOLFIN"/>
    <s v="SOLFIN"/>
    <s v="CCMS"/>
    <n v="21349757"/>
    <n v="4205.3"/>
    <m/>
    <s v="N"/>
    <n v="4"/>
    <d v="2023-07-10T19:01:56"/>
    <s v="Y"/>
    <s v="Profit Costs (Summary)"/>
    <s v="Private Law Children"/>
    <s v="Profit Cost"/>
    <s v="Lucian Sandu (LS)"/>
    <s v="Y"/>
    <n v="2149.31"/>
    <n v="429.86"/>
    <x v="2"/>
    <s v="VALIDATED"/>
    <n v="1"/>
    <s v="01.11.80.307.6100.0000"/>
    <n v="2149.31"/>
    <s v="11"/>
    <s v="6100"/>
    <n v="2119.97"/>
    <n v="2149.31"/>
    <s v="CREDITOR"/>
    <n v="0"/>
    <n v="0"/>
    <n v="0"/>
    <n v="0"/>
    <n v="2149.31"/>
  </r>
  <r>
    <n v="29103542"/>
    <s v="N"/>
    <n v="21349757"/>
    <s v="3000009403110009"/>
    <s v="CIVIL"/>
    <d v="2023-06-29T00:00:00"/>
    <d v="2023-07-10T19:01:40"/>
    <m/>
    <d v="2023-07-10T00:00:00"/>
    <n v="489"/>
    <n v="14740"/>
    <s v="29103542"/>
    <s v="29103542"/>
    <m/>
    <m/>
    <n v="22787106"/>
    <m/>
    <m/>
    <m/>
    <s v="SOLFIN"/>
    <s v="SOLFIN"/>
    <s v="CCMS"/>
    <n v="21349757"/>
    <n v="4205.3"/>
    <m/>
    <s v="N"/>
    <n v="6"/>
    <d v="2023-07-10T19:01:56"/>
    <s v="N"/>
    <s v="Court Assess Cost LA"/>
    <s v="Private Law Children"/>
    <s v="Costs of Assessment"/>
    <s v="LS"/>
    <s v="N"/>
    <n v="94"/>
    <n v="0"/>
    <x v="2"/>
    <s v="VALIDATED"/>
    <n v="1"/>
    <s v="01.11.80.307.6200.0000"/>
    <n v="94"/>
    <s v="11"/>
    <s v="6200"/>
    <n v="2119.97"/>
    <n v="94"/>
    <s v="CREDITOR"/>
    <n v="0"/>
    <n v="0"/>
    <n v="0"/>
    <n v="0"/>
    <n v="94"/>
  </r>
  <r>
    <n v="29103542"/>
    <s v="N"/>
    <n v="21349757"/>
    <s v="3000009403110009"/>
    <s v="CIVIL"/>
    <d v="2023-06-29T00:00:00"/>
    <d v="2023-07-10T19:01:40"/>
    <m/>
    <d v="2023-07-10T00:00:00"/>
    <n v="489"/>
    <n v="14740"/>
    <s v="29103542"/>
    <s v="29103542"/>
    <m/>
    <m/>
    <n v="22787106"/>
    <m/>
    <m/>
    <m/>
    <s v="SOLFIN"/>
    <s v="SOLFIN"/>
    <s v="CCMS"/>
    <n v="21349757"/>
    <n v="4205.3"/>
    <m/>
    <s v="N"/>
    <n v="2"/>
    <d v="2023-07-10T19:01:56"/>
    <s v="Y"/>
    <s v="Police Records"/>
    <s v="Private Law Children"/>
    <s v="Non Expert Disbursement"/>
    <s v="LS"/>
    <s v="Y"/>
    <n v="500.15"/>
    <n v="0"/>
    <x v="2"/>
    <s v="VALIDATED"/>
    <n v="1"/>
    <s v="01.11.80.307.6300.0000"/>
    <n v="500.15"/>
    <s v="11"/>
    <s v="6300"/>
    <n v="2119.97"/>
    <n v="500.15"/>
    <s v="CREDITOR"/>
    <n v="0"/>
    <n v="0"/>
    <n v="0"/>
    <n v="0"/>
    <n v="500.15"/>
  </r>
  <r>
    <n v="29103542"/>
    <s v="N"/>
    <n v="21349757"/>
    <s v="3000009403110009"/>
    <s v="CIVIL"/>
    <d v="2023-06-29T00:00:00"/>
    <d v="2023-07-10T19:01:40"/>
    <m/>
    <d v="2023-07-10T00:00:00"/>
    <n v="489"/>
    <n v="14740"/>
    <s v="29103542"/>
    <s v="29103542"/>
    <m/>
    <m/>
    <n v="22787106"/>
    <m/>
    <m/>
    <m/>
    <s v="SOLFIN"/>
    <s v="SOLFIN"/>
    <s v="CCMS"/>
    <n v="21349757"/>
    <n v="4205.3"/>
    <m/>
    <s v="N"/>
    <n v="7"/>
    <d v="2023-07-10T19:01:56"/>
    <s v="Y"/>
    <s v="Toxicologist"/>
    <s v="Private Law Children"/>
    <s v="Expert Disbursement"/>
    <s v="LS"/>
    <s v="Y"/>
    <n v="726.63"/>
    <n v="145.33"/>
    <x v="2"/>
    <s v="VALIDATED"/>
    <n v="1"/>
    <s v="01.11.80.307.6300.0000"/>
    <n v="726.63"/>
    <s v="11"/>
    <s v="6300"/>
    <n v="2119.97"/>
    <n v="726.63"/>
    <s v="CREDITOR"/>
    <n v="0"/>
    <n v="0"/>
    <n v="0"/>
    <n v="0"/>
    <n v="726.63"/>
  </r>
  <r>
    <n v="29103542"/>
    <s v="N"/>
    <n v="21349757"/>
    <s v="3000009403110009"/>
    <s v="CIVIL"/>
    <d v="2023-06-29T00:00:00"/>
    <d v="2023-07-10T19:01:40"/>
    <m/>
    <d v="2023-07-10T00:00:00"/>
    <n v="489"/>
    <n v="14740"/>
    <s v="29103542"/>
    <s v="29103542"/>
    <m/>
    <m/>
    <n v="22787106"/>
    <m/>
    <m/>
    <m/>
    <s v="SOLFIN"/>
    <s v="SOLFIN"/>
    <s v="CCMS"/>
    <n v="21349757"/>
    <n v="4205.3"/>
    <m/>
    <s v="N"/>
    <n v="1"/>
    <d v="2023-07-10T19:01:56"/>
    <s v="Y"/>
    <s v="Expert - Other"/>
    <s v="Private Law Children"/>
    <s v="Expert Disbursement"/>
    <s v="LS"/>
    <s v="Y"/>
    <n v="44.8"/>
    <n v="8.960000000000001"/>
    <x v="2"/>
    <s v="VALIDATED"/>
    <n v="1"/>
    <s v="01.11.80.307.6300.0000"/>
    <n v="44.8"/>
    <s v="11"/>
    <s v="6300"/>
    <n v="2119.97"/>
    <n v="44.8"/>
    <s v="CREDITOR"/>
    <n v="0"/>
    <n v="0"/>
    <n v="0"/>
    <n v="0"/>
    <n v="44.8"/>
  </r>
  <r>
    <n v="29103542"/>
    <s v="N"/>
    <n v="21349757"/>
    <s v="3000009403110009"/>
    <s v="CIVIL"/>
    <d v="2023-06-29T00:00:00"/>
    <d v="2023-07-10T19:01:40"/>
    <m/>
    <d v="2023-07-10T00:00:00"/>
    <n v="489"/>
    <n v="14740"/>
    <s v="29103542"/>
    <s v="29103542"/>
    <m/>
    <m/>
    <n v="22787106"/>
    <m/>
    <m/>
    <m/>
    <s v="SOLFIN"/>
    <s v="SOLFIN"/>
    <s v="CCMS"/>
    <n v="21349757"/>
    <n v="4205.3"/>
    <m/>
    <s v="N"/>
    <n v="5"/>
    <d v="2023-07-10T19:01:56"/>
    <s v="N"/>
    <s v="Court Assess Cost LA"/>
    <s v="Private Law Children"/>
    <s v="Costs of Assessment"/>
    <s v="LS"/>
    <s v="N"/>
    <n v="50.51"/>
    <n v="10.1"/>
    <x v="2"/>
    <s v="VALIDATED"/>
    <n v="1"/>
    <s v="01.11.80.307.6200.0000"/>
    <n v="50.51"/>
    <s v="11"/>
    <s v="6200"/>
    <n v="2119.97"/>
    <n v="50.51"/>
    <s v="CREDITOR"/>
    <n v="0"/>
    <n v="0"/>
    <n v="0"/>
    <n v="0"/>
    <n v="50.51"/>
  </r>
  <r>
    <n v="29103542"/>
    <s v="N"/>
    <n v="21349757"/>
    <s v="3000009403110009"/>
    <s v="CIVIL"/>
    <d v="2023-06-29T00:00:00"/>
    <d v="2023-07-10T19:01:40"/>
    <m/>
    <d v="2023-07-10T00:00:00"/>
    <n v="489"/>
    <n v="14740"/>
    <s v="29103542"/>
    <s v="29103542"/>
    <m/>
    <m/>
    <n v="22787106"/>
    <m/>
    <m/>
    <m/>
    <s v="SOLFIN"/>
    <s v="SOLFIN"/>
    <s v="CCMS"/>
    <n v="21349757"/>
    <n v="4205.3"/>
    <m/>
    <s v="N"/>
    <n v="3"/>
    <d v="2023-07-10T19:01:56"/>
    <s v="Y"/>
    <s v="Police Records"/>
    <s v="Private Law Children"/>
    <s v="Non Expert Disbursement"/>
    <s v="LS"/>
    <s v="Y"/>
    <n v="45.65"/>
    <n v="0"/>
    <x v="2"/>
    <s v="VALIDATED"/>
    <n v="1"/>
    <s v="01.11.80.307.6300.0000"/>
    <n v="45.65"/>
    <s v="11"/>
    <s v="6300"/>
    <n v="2119.97"/>
    <n v="45.65"/>
    <s v="CREDITOR"/>
    <n v="0"/>
    <n v="0"/>
    <n v="0"/>
    <n v="0"/>
    <n v="45.65"/>
  </r>
  <r>
    <n v="29103542"/>
    <s v="N"/>
    <n v="21356286"/>
    <s v="3000009403110001RC"/>
    <s v="CIVIL"/>
    <d v="2023-06-29T00:00:00"/>
    <d v="2023-07-10T19:47:44"/>
    <m/>
    <d v="2023-07-10T00:00:00"/>
    <n v="489"/>
    <n v="14740"/>
    <s v="29103542"/>
    <s v="29103542"/>
    <m/>
    <m/>
    <m/>
    <m/>
    <m/>
    <m/>
    <s v="SOLRECOUP"/>
    <s v="SOLRECOUP"/>
    <s v="POARECOUP"/>
    <n v="21356286"/>
    <n v="-871.96"/>
    <m/>
    <s v="Y"/>
    <n v="2"/>
    <d v="2023-07-10T19:47:44"/>
    <s v="N"/>
    <m/>
    <m/>
    <s v="Expert Disbursement"/>
    <m/>
    <s v="N"/>
    <n v="0"/>
    <n v="-145.33"/>
    <x v="2"/>
    <s v="VALIDATED"/>
    <n v="1"/>
    <s v="01.11.80.307.2013.0000"/>
    <n v="-145.33"/>
    <s v="11"/>
    <s v="2013"/>
    <n v="2119.97"/>
    <n v="-145.33"/>
    <s v="CREDITOR"/>
    <n v="0"/>
    <n v="0"/>
    <n v="-145.33"/>
    <n v="0"/>
    <n v="0"/>
  </r>
  <r>
    <n v="29103542"/>
    <s v="N"/>
    <n v="21356286"/>
    <s v="3000009403110001RC"/>
    <s v="CIVIL"/>
    <d v="2023-06-29T00:00:00"/>
    <d v="2023-07-10T19:47:44"/>
    <m/>
    <d v="2023-07-10T00:00:00"/>
    <n v="489"/>
    <n v="14740"/>
    <s v="29103542"/>
    <s v="29103542"/>
    <m/>
    <m/>
    <m/>
    <m/>
    <m/>
    <m/>
    <s v="SOLRECOUP"/>
    <s v="SOLRECOUP"/>
    <s v="POARECOUP"/>
    <n v="21356286"/>
    <n v="-871.96"/>
    <m/>
    <s v="Y"/>
    <n v="1"/>
    <d v="2023-07-10T19:47:44"/>
    <s v="N"/>
    <m/>
    <m/>
    <s v="Expert Disbursement"/>
    <m/>
    <s v="N"/>
    <n v="-726.63"/>
    <n v="0"/>
    <x v="2"/>
    <s v="VALIDATED"/>
    <n v="1"/>
    <s v="01.11.80.307.2013.0000"/>
    <n v="-726.63"/>
    <s v="11"/>
    <s v="2013"/>
    <n v="2119.97"/>
    <n v="-726.63"/>
    <s v="CREDITOR"/>
    <n v="0"/>
    <n v="0"/>
    <n v="-726.63"/>
    <n v="0"/>
    <n v="0"/>
  </r>
  <r>
    <n v="29103542"/>
    <s v="N"/>
    <n v="21356287"/>
    <s v="3000009403110003RC"/>
    <s v="CIVIL"/>
    <d v="2023-06-29T00:00:00"/>
    <d v="2023-07-10T19:47:44"/>
    <m/>
    <d v="2023-07-10T00:00:00"/>
    <n v="489"/>
    <n v="14740"/>
    <s v="29103542"/>
    <s v="29103542"/>
    <m/>
    <m/>
    <m/>
    <m/>
    <m/>
    <m/>
    <s v="SOLRECOUP"/>
    <s v="SOLRECOUP"/>
    <s v="POARECOUP"/>
    <n v="21356287"/>
    <n v="-45.65"/>
    <m/>
    <s v="Y"/>
    <n v="2"/>
    <d v="2023-07-10T19:47:44"/>
    <s v="N"/>
    <m/>
    <m/>
    <s v="Non Expert Disbursement"/>
    <m/>
    <s v="N"/>
    <n v="0"/>
    <n v="0"/>
    <x v="2"/>
    <s v="VALIDATED"/>
    <n v="1"/>
    <s v="01.11.80.000.0000.0000"/>
    <n v="0"/>
    <s v="11"/>
    <s v="0000"/>
    <n v="2119.97"/>
    <n v="0"/>
    <s v="CREDITOR"/>
    <n v="0"/>
    <n v="0"/>
    <n v="0"/>
    <n v="0"/>
    <n v="0"/>
  </r>
  <r>
    <n v="29103542"/>
    <s v="N"/>
    <n v="21356287"/>
    <s v="3000009403110003RC"/>
    <s v="CIVIL"/>
    <d v="2023-06-29T00:00:00"/>
    <d v="2023-07-10T19:47:44"/>
    <m/>
    <d v="2023-07-10T00:00:00"/>
    <n v="489"/>
    <n v="14740"/>
    <s v="29103542"/>
    <s v="29103542"/>
    <m/>
    <m/>
    <m/>
    <m/>
    <m/>
    <m/>
    <s v="SOLRECOUP"/>
    <s v="SOLRECOUP"/>
    <s v="POARECOUP"/>
    <n v="21356287"/>
    <n v="-45.65"/>
    <m/>
    <s v="Y"/>
    <n v="1"/>
    <d v="2023-07-10T19:47:44"/>
    <s v="N"/>
    <m/>
    <m/>
    <s v="Non Expert Disbursement"/>
    <m/>
    <s v="N"/>
    <n v="-45.65"/>
    <n v="0"/>
    <x v="2"/>
    <s v="VALIDATED"/>
    <n v="1"/>
    <s v="01.11.80.307.2013.0000"/>
    <n v="-45.65"/>
    <s v="11"/>
    <s v="2013"/>
    <n v="2119.97"/>
    <n v="-45.65"/>
    <s v="CREDITOR"/>
    <n v="0"/>
    <n v="0"/>
    <n v="-45.65"/>
    <n v="0"/>
    <n v="0"/>
  </r>
  <r>
    <n v="29103542"/>
    <s v="N"/>
    <n v="21356288"/>
    <s v="3000009403110002RC"/>
    <s v="CIVIL"/>
    <d v="2023-06-29T00:00:00"/>
    <d v="2023-07-10T19:47:44"/>
    <m/>
    <d v="2023-07-10T00:00:00"/>
    <n v="489"/>
    <n v="14740"/>
    <s v="29103542"/>
    <s v="29103542"/>
    <m/>
    <m/>
    <m/>
    <m/>
    <m/>
    <m/>
    <s v="SOLRECOUP"/>
    <s v="SOLRECOUP"/>
    <s v="POARECOUP"/>
    <n v="21356288"/>
    <n v="-500.15"/>
    <m/>
    <s v="Y"/>
    <n v="2"/>
    <d v="2023-07-10T19:47:44"/>
    <s v="N"/>
    <m/>
    <m/>
    <s v="Non Expert Disbursement"/>
    <m/>
    <s v="N"/>
    <n v="0"/>
    <n v="0"/>
    <x v="2"/>
    <s v="VALIDATED"/>
    <n v="1"/>
    <s v="01.11.80.000.0000.0000"/>
    <n v="0"/>
    <s v="11"/>
    <s v="0000"/>
    <n v="2119.97"/>
    <n v="0"/>
    <s v="CREDITOR"/>
    <n v="0"/>
    <n v="0"/>
    <n v="0"/>
    <n v="0"/>
    <n v="0"/>
  </r>
  <r>
    <n v="29103542"/>
    <s v="N"/>
    <n v="21356288"/>
    <s v="3000009403110002RC"/>
    <s v="CIVIL"/>
    <d v="2023-06-29T00:00:00"/>
    <d v="2023-07-10T19:47:44"/>
    <m/>
    <d v="2023-07-10T00:00:00"/>
    <n v="489"/>
    <n v="14740"/>
    <s v="29103542"/>
    <s v="29103542"/>
    <m/>
    <m/>
    <m/>
    <m/>
    <m/>
    <m/>
    <s v="SOLRECOUP"/>
    <s v="SOLRECOUP"/>
    <s v="POARECOUP"/>
    <n v="21356288"/>
    <n v="-500.15"/>
    <m/>
    <s v="Y"/>
    <n v="1"/>
    <d v="2023-07-10T19:47:44"/>
    <s v="N"/>
    <m/>
    <m/>
    <s v="Non Expert Disbursement"/>
    <m/>
    <s v="N"/>
    <n v="-500.15"/>
    <n v="0"/>
    <x v="2"/>
    <s v="VALIDATED"/>
    <n v="1"/>
    <s v="01.11.80.307.2013.0000"/>
    <n v="-500.15"/>
    <s v="11"/>
    <s v="2013"/>
    <n v="2119.97"/>
    <n v="-500.15"/>
    <s v="CREDITOR"/>
    <n v="0"/>
    <n v="0"/>
    <n v="-500.15"/>
    <n v="0"/>
    <n v="0"/>
  </r>
  <r>
    <n v="29103542"/>
    <s v="N"/>
    <n v="21356289"/>
    <s v="3000009403110005RC"/>
    <s v="CIVIL"/>
    <d v="2023-06-29T00:00:00"/>
    <d v="2023-07-10T19:47:44"/>
    <m/>
    <d v="2023-07-10T00:00:00"/>
    <n v="489"/>
    <n v="14740"/>
    <s v="29103542"/>
    <s v="29103542"/>
    <m/>
    <m/>
    <m/>
    <m/>
    <m/>
    <m/>
    <s v="SOLRECOUP"/>
    <s v="SOLRECOUP"/>
    <s v="POARECOUP"/>
    <n v="21356289"/>
    <n v="-73.31999999999999"/>
    <m/>
    <s v="Y"/>
    <n v="1"/>
    <d v="2023-07-10T19:47:44"/>
    <s v="N"/>
    <m/>
    <m/>
    <s v="Expert Disbursement"/>
    <m/>
    <s v="N"/>
    <n v="-61.1"/>
    <n v="0"/>
    <x v="2"/>
    <s v="VALIDATED"/>
    <n v="1"/>
    <s v="01.11.80.307.2013.0000"/>
    <n v="-61.1"/>
    <s v="11"/>
    <s v="2013"/>
    <n v="2119.97"/>
    <n v="-61.1"/>
    <s v="CREDITOR"/>
    <n v="0"/>
    <n v="0"/>
    <n v="-61.1"/>
    <n v="0"/>
    <n v="0"/>
  </r>
  <r>
    <n v="29103542"/>
    <s v="N"/>
    <n v="21356289"/>
    <s v="3000009403110005RC"/>
    <s v="CIVIL"/>
    <d v="2023-06-29T00:00:00"/>
    <d v="2023-07-10T19:47:44"/>
    <m/>
    <d v="2023-07-10T00:00:00"/>
    <n v="489"/>
    <n v="14740"/>
    <s v="29103542"/>
    <s v="29103542"/>
    <m/>
    <m/>
    <m/>
    <m/>
    <m/>
    <m/>
    <s v="SOLRECOUP"/>
    <s v="SOLRECOUP"/>
    <s v="POARECOUP"/>
    <n v="21356289"/>
    <n v="-73.31999999999999"/>
    <m/>
    <s v="Y"/>
    <n v="2"/>
    <d v="2023-07-10T19:47:44"/>
    <s v="N"/>
    <m/>
    <m/>
    <s v="Expert Disbursement"/>
    <m/>
    <s v="N"/>
    <n v="0"/>
    <n v="-12.22"/>
    <x v="2"/>
    <s v="VALIDATED"/>
    <n v="1"/>
    <s v="01.11.80.307.2013.0000"/>
    <n v="-12.22"/>
    <s v="11"/>
    <s v="2013"/>
    <n v="2119.97"/>
    <n v="-12.22"/>
    <s v="CREDITOR"/>
    <n v="0"/>
    <n v="0"/>
    <n v="-12.22"/>
    <n v="0"/>
    <n v="0"/>
  </r>
  <r>
    <n v="61700261"/>
    <s v="N"/>
    <n v="21349386"/>
    <s v="3000015784750007"/>
    <s v="CIVIL"/>
    <d v="2023-06-29T00:00:00"/>
    <d v="2023-07-10T19:01:40"/>
    <m/>
    <d v="2023-07-10T00:00:00"/>
    <n v="493"/>
    <n v="14196"/>
    <s v="61700261"/>
    <s v="61700261"/>
    <m/>
    <m/>
    <n v="22786364"/>
    <m/>
    <m/>
    <m/>
    <s v="SOLFIN"/>
    <s v="SOLFIN"/>
    <s v="CCMS"/>
    <n v="21349386"/>
    <n v="8438.030000000001"/>
    <m/>
    <s v="N"/>
    <n v="8"/>
    <d v="2023-07-10T19:01:48"/>
    <s v="Y"/>
    <s v="Final Hearing - 1 Day"/>
    <s v="Public Law Children"/>
    <s v="Advocacy"/>
    <s v="DJL"/>
    <s v="Y"/>
    <n v="556.88"/>
    <n v="111.38"/>
    <x v="2"/>
    <s v="VALIDATED"/>
    <n v="1"/>
    <s v="01.11.80.308.6100.0000"/>
    <n v="556.88"/>
    <s v="11"/>
    <s v="6100"/>
    <n v="2083.58"/>
    <n v="556.88"/>
    <s v="CREDITOR"/>
    <n v="0"/>
    <n v="0"/>
    <n v="0"/>
    <n v="0"/>
    <n v="556.88"/>
  </r>
  <r>
    <n v="62357403"/>
    <s v="N"/>
    <n v="21323512"/>
    <s v="3000016337850002"/>
    <s v="CIVIL"/>
    <d v="2023-06-30T00:00:00"/>
    <d v="2023-07-03T19:05:56"/>
    <m/>
    <d v="2023-07-03T00:00:00"/>
    <n v="493"/>
    <n v="14196"/>
    <s v="62357403"/>
    <s v="62357403"/>
    <m/>
    <m/>
    <n v="22795768"/>
    <m/>
    <m/>
    <m/>
    <s v="SOLPOA"/>
    <s v="SOLPOA"/>
    <s v="CCMS"/>
    <n v="21323512"/>
    <n v="167"/>
    <m/>
    <s v="N"/>
    <n v="1"/>
    <d v="2023-07-03T19:05:57"/>
    <s v="N"/>
    <s v="Non Expert Disbursement"/>
    <s v="Non Expert Disbursement"/>
    <s v="Non Expert Disbursement"/>
    <s v="DJL"/>
    <s v="N"/>
    <n v="167"/>
    <n v="0"/>
    <x v="3"/>
    <s v="VALIDATED"/>
    <n v="1"/>
    <s v="01.11.80.308.2012.0000"/>
    <n v="167"/>
    <s v="11"/>
    <s v="2012"/>
    <n v="2083.58"/>
    <n v="167"/>
    <s v="CREDITOR"/>
    <n v="167"/>
    <n v="0"/>
    <n v="0"/>
    <n v="0"/>
    <n v="0"/>
  </r>
  <r>
    <n v="61700261"/>
    <s v="N"/>
    <n v="21349386"/>
    <s v="3000015784750007"/>
    <s v="CIVIL"/>
    <d v="2023-06-29T00:00:00"/>
    <d v="2023-07-10T19:01:40"/>
    <m/>
    <d v="2023-07-10T00:00:00"/>
    <n v="493"/>
    <n v="14196"/>
    <s v="61700261"/>
    <s v="61700261"/>
    <m/>
    <m/>
    <n v="22786364"/>
    <m/>
    <m/>
    <m/>
    <s v="SOLFIN"/>
    <s v="SOLFIN"/>
    <s v="CCMS"/>
    <n v="21349386"/>
    <n v="8438.030000000001"/>
    <m/>
    <s v="N"/>
    <n v="11"/>
    <d v="2023-07-10T19:01:48"/>
    <s v="Y"/>
    <s v="Solicitors Fixed Fee"/>
    <s v="Public Law Children"/>
    <s v="Profit Cost"/>
    <s v="DJL"/>
    <s v="Y"/>
    <n v="3020"/>
    <n v="604"/>
    <x v="2"/>
    <s v="VALIDATED"/>
    <n v="1"/>
    <s v="01.11.80.308.6100.0000"/>
    <n v="3020"/>
    <s v="11"/>
    <s v="6100"/>
    <n v="2083.58"/>
    <n v="3020"/>
    <s v="CREDITOR"/>
    <n v="0"/>
    <n v="0"/>
    <n v="0"/>
    <n v="0"/>
    <n v="3020"/>
  </r>
  <r>
    <n v="62357403"/>
    <s v="N"/>
    <n v="21321994"/>
    <s v="3000016337850001"/>
    <s v="CIVIL"/>
    <d v="2023-06-29T00:00:00"/>
    <d v="2023-07-03T19:05:17"/>
    <m/>
    <d v="2023-07-03T00:00:00"/>
    <n v="493"/>
    <n v="14196"/>
    <s v="62357403"/>
    <s v="62357403"/>
    <m/>
    <m/>
    <n v="22788088"/>
    <m/>
    <m/>
    <m/>
    <s v="SOLPOA"/>
    <s v="SOLPOA"/>
    <s v="CCMS"/>
    <n v="21321994"/>
    <n v="18.6"/>
    <m/>
    <s v="N"/>
    <n v="1"/>
    <d v="2023-07-03T19:05:21"/>
    <s v="N"/>
    <s v="Non Expert Disbursement"/>
    <s v="Non Expert Disbursement"/>
    <s v="Non Expert Disbursement"/>
    <s v="GP surgery"/>
    <s v="N"/>
    <n v="15.5"/>
    <n v="3.1"/>
    <x v="3"/>
    <s v="VALIDATED"/>
    <n v="1"/>
    <s v="01.11.80.308.2012.0000"/>
    <n v="15.5"/>
    <s v="11"/>
    <s v="2012"/>
    <n v="2083.58"/>
    <n v="15.5"/>
    <s v="CREDITOR"/>
    <n v="15.5"/>
    <n v="0"/>
    <n v="0"/>
    <n v="0"/>
    <n v="0"/>
  </r>
  <r>
    <n v="61700261"/>
    <s v="N"/>
    <n v="21349386"/>
    <s v="3000015784750007"/>
    <s v="CIVIL"/>
    <d v="2023-06-29T00:00:00"/>
    <d v="2023-07-10T19:01:40"/>
    <m/>
    <d v="2023-07-10T00:00:00"/>
    <n v="493"/>
    <n v="14196"/>
    <s v="61700261"/>
    <s v="61700261"/>
    <m/>
    <m/>
    <n v="22786364"/>
    <m/>
    <m/>
    <m/>
    <s v="SOLFIN"/>
    <s v="SOLFIN"/>
    <s v="CCMS"/>
    <n v="21349386"/>
    <n v="8438.030000000001"/>
    <m/>
    <s v="N"/>
    <n v="4"/>
    <d v="2023-07-10T19:01:48"/>
    <s v="Y"/>
    <s v="Psychologist"/>
    <s v="Public Law Children"/>
    <s v="Expert Disbursement"/>
    <s v="DGA"/>
    <s v="Y"/>
    <n v="1726.96"/>
    <n v="345.39"/>
    <x v="2"/>
    <s v="VALIDATED"/>
    <n v="1"/>
    <s v="01.11.80.308.6300.0000"/>
    <n v="1726.96"/>
    <s v="11"/>
    <s v="6300"/>
    <n v="2083.58"/>
    <n v="1726.96"/>
    <s v="CREDITOR"/>
    <n v="0"/>
    <n v="0"/>
    <n v="0"/>
    <n v="0"/>
    <n v="1726.96"/>
  </r>
  <r>
    <n v="61700261"/>
    <s v="N"/>
    <n v="21349386"/>
    <s v="3000015784750007"/>
    <s v="CIVIL"/>
    <d v="2023-06-29T00:00:00"/>
    <d v="2023-07-10T19:01:40"/>
    <m/>
    <d v="2023-07-10T00:00:00"/>
    <n v="493"/>
    <n v="14196"/>
    <s v="61700261"/>
    <s v="61700261"/>
    <m/>
    <m/>
    <n v="22786364"/>
    <m/>
    <m/>
    <m/>
    <s v="SOLFIN"/>
    <s v="SOLFIN"/>
    <s v="CCMS"/>
    <n v="21349386"/>
    <n v="8438.030000000001"/>
    <m/>
    <s v="N"/>
    <n v="6"/>
    <d v="2023-07-10T19:01:48"/>
    <s v="Y"/>
    <s v="Toxicologist"/>
    <s v="Public Law Children"/>
    <s v="Expert Disbursement"/>
    <s v="51992"/>
    <s v="Y"/>
    <n v="144.6"/>
    <n v="28.92"/>
    <x v="2"/>
    <s v="VALIDATED"/>
    <n v="1"/>
    <s v="01.11.80.308.6300.0000"/>
    <n v="144.6"/>
    <s v="11"/>
    <s v="6300"/>
    <n v="2083.58"/>
    <n v="144.6"/>
    <s v="CREDITOR"/>
    <n v="0"/>
    <n v="0"/>
    <n v="0"/>
    <n v="0"/>
    <n v="144.6"/>
  </r>
  <r>
    <n v="62418081"/>
    <s v="N"/>
    <n v="21323766"/>
    <s v="3000016383000003"/>
    <s v="CIVIL"/>
    <d v="2023-06-30T00:00:00"/>
    <d v="2023-07-03T19:05:56"/>
    <m/>
    <d v="2023-07-03T00:00:00"/>
    <n v="493"/>
    <n v="14196"/>
    <s v="62418081"/>
    <s v="62418081"/>
    <m/>
    <m/>
    <n v="22795662"/>
    <m/>
    <m/>
    <m/>
    <s v="SOLPOA"/>
    <s v="SOLPOA"/>
    <s v="CCMS"/>
    <n v="21323766"/>
    <n v="33"/>
    <m/>
    <s v="N"/>
    <n v="1"/>
    <d v="2023-07-03T19:05:58"/>
    <s v="N"/>
    <s v="Expert Cost"/>
    <s v="Expert Cost"/>
    <s v="Expert Disbursement"/>
    <s v="DJL"/>
    <s v="N"/>
    <n v="27.5"/>
    <n v="5.5"/>
    <x v="3"/>
    <s v="VALIDATED"/>
    <n v="1"/>
    <s v="01.11.80.308.2012.0000"/>
    <n v="27.5"/>
    <s v="11"/>
    <s v="2012"/>
    <n v="2083.58"/>
    <n v="27.5"/>
    <s v="CREDITOR"/>
    <n v="27.5"/>
    <n v="0"/>
    <n v="0"/>
    <n v="0"/>
    <n v="0"/>
  </r>
  <r>
    <n v="61700261"/>
    <s v="N"/>
    <n v="21349386"/>
    <s v="3000015784750007"/>
    <s v="CIVIL"/>
    <d v="2023-06-29T00:00:00"/>
    <d v="2023-07-10T19:01:40"/>
    <m/>
    <d v="2023-07-10T00:00:00"/>
    <n v="493"/>
    <n v="14196"/>
    <s v="61700261"/>
    <s v="61700261"/>
    <m/>
    <m/>
    <n v="22786364"/>
    <m/>
    <m/>
    <m/>
    <s v="SOLFIN"/>
    <s v="SOLFIN"/>
    <s v="CCMS"/>
    <n v="21349386"/>
    <n v="8438.030000000001"/>
    <m/>
    <s v="N"/>
    <n v="3"/>
    <d v="2023-07-10T19:01:48"/>
    <s v="Y"/>
    <s v="Toxicologist"/>
    <s v="Public Law Children"/>
    <s v="Expert Disbursement"/>
    <s v="4191038"/>
    <s v="Y"/>
    <n v="173.2"/>
    <n v="34.64"/>
    <x v="2"/>
    <s v="VALIDATED"/>
    <n v="1"/>
    <s v="01.11.80.308.6300.0000"/>
    <n v="173.2"/>
    <s v="11"/>
    <s v="6300"/>
    <n v="2083.58"/>
    <n v="173.2"/>
    <s v="CREDITOR"/>
    <n v="0"/>
    <n v="0"/>
    <n v="0"/>
    <n v="0"/>
    <n v="173.2"/>
  </r>
  <r>
    <n v="61700261"/>
    <s v="N"/>
    <n v="21349386"/>
    <s v="3000015784750007"/>
    <s v="CIVIL"/>
    <d v="2023-06-29T00:00:00"/>
    <d v="2023-07-10T19:01:40"/>
    <m/>
    <d v="2023-07-10T00:00:00"/>
    <n v="493"/>
    <n v="14196"/>
    <s v="61700261"/>
    <s v="61700261"/>
    <m/>
    <m/>
    <n v="22786364"/>
    <m/>
    <m/>
    <m/>
    <s v="SOLFIN"/>
    <s v="SOLFIN"/>
    <s v="CCMS"/>
    <n v="21349386"/>
    <n v="8438.030000000001"/>
    <m/>
    <s v="N"/>
    <n v="5"/>
    <d v="2023-07-10T19:01:48"/>
    <s v="Y"/>
    <s v="Psychologist"/>
    <s v="Public Law Children"/>
    <s v="Expert Disbursement"/>
    <s v="DGA"/>
    <s v="Y"/>
    <n v="80.64"/>
    <n v="16.13"/>
    <x v="2"/>
    <s v="VALIDATED"/>
    <n v="1"/>
    <s v="01.11.80.308.6300.0000"/>
    <n v="80.64"/>
    <s v="11"/>
    <s v="6300"/>
    <n v="2083.58"/>
    <n v="80.64"/>
    <s v="CREDITOR"/>
    <n v="0"/>
    <n v="0"/>
    <n v="0"/>
    <n v="0"/>
    <n v="80.64"/>
  </r>
  <r>
    <n v="61700261"/>
    <s v="N"/>
    <n v="21349386"/>
    <s v="3000015784750007"/>
    <s v="CIVIL"/>
    <d v="2023-06-29T00:00:00"/>
    <d v="2023-07-10T19:01:40"/>
    <m/>
    <d v="2023-07-10T00:00:00"/>
    <n v="493"/>
    <n v="14196"/>
    <s v="61700261"/>
    <s v="61700261"/>
    <m/>
    <m/>
    <n v="22786364"/>
    <m/>
    <m/>
    <m/>
    <s v="SOLFIN"/>
    <s v="SOLFIN"/>
    <s v="CCMS"/>
    <n v="21349386"/>
    <n v="8438.030000000001"/>
    <m/>
    <s v="N"/>
    <n v="7"/>
    <d v="2023-07-10T19:01:48"/>
    <s v="Y"/>
    <s v="Toxicologist"/>
    <s v="Public Law Children"/>
    <s v="Expert Disbursement"/>
    <s v="57183"/>
    <s v="Y"/>
    <n v="303.8"/>
    <n v="60.76"/>
    <x v="2"/>
    <s v="VALIDATED"/>
    <n v="1"/>
    <s v="01.11.80.308.6300.0000"/>
    <n v="303.8"/>
    <s v="11"/>
    <s v="6300"/>
    <n v="2083.58"/>
    <n v="303.8"/>
    <s v="CREDITOR"/>
    <n v="0"/>
    <n v="0"/>
    <n v="0"/>
    <n v="0"/>
    <n v="303.8"/>
  </r>
  <r>
    <n v="61700261"/>
    <s v="N"/>
    <n v="21349386"/>
    <s v="3000015784750007"/>
    <s v="CIVIL"/>
    <d v="2023-06-29T00:00:00"/>
    <d v="2023-07-10T19:01:40"/>
    <m/>
    <d v="2023-07-10T00:00:00"/>
    <n v="493"/>
    <n v="14196"/>
    <s v="61700261"/>
    <s v="61700261"/>
    <m/>
    <m/>
    <n v="22786364"/>
    <m/>
    <m/>
    <m/>
    <s v="SOLFIN"/>
    <s v="SOLFIN"/>
    <s v="CCMS"/>
    <n v="21349386"/>
    <n v="8438.030000000001"/>
    <m/>
    <s v="N"/>
    <n v="10"/>
    <d v="2023-07-10T19:01:48"/>
    <s v="Y"/>
    <s v="Hearing Unit 2.31 - 5.00 Hours"/>
    <s v="Public Law Children"/>
    <s v="Advocacy"/>
    <s v="DJL"/>
    <s v="Y"/>
    <n v="476.92"/>
    <n v="95.38"/>
    <x v="2"/>
    <s v="VALIDATED"/>
    <n v="1"/>
    <s v="01.11.80.308.6100.0000"/>
    <n v="476.92"/>
    <s v="11"/>
    <s v="6100"/>
    <n v="2083.58"/>
    <n v="476.92"/>
    <s v="CREDITOR"/>
    <n v="0"/>
    <n v="0"/>
    <n v="0"/>
    <n v="0"/>
    <n v="476.92"/>
  </r>
  <r>
    <n v="62418081"/>
    <s v="N"/>
    <n v="21323758"/>
    <s v="3000016383000002"/>
    <s v="CIVIL"/>
    <d v="2023-06-30T00:00:00"/>
    <d v="2023-07-03T19:05:56"/>
    <m/>
    <d v="2023-07-03T00:00:00"/>
    <n v="493"/>
    <n v="14196"/>
    <s v="62418081"/>
    <s v="62418081"/>
    <m/>
    <m/>
    <n v="22795632"/>
    <m/>
    <m/>
    <m/>
    <s v="SOLPOA"/>
    <s v="SOLPOA"/>
    <s v="CCMS"/>
    <n v="21323758"/>
    <n v="1203.9"/>
    <m/>
    <s v="N"/>
    <n v="1"/>
    <d v="2023-07-03T19:05:58"/>
    <s v="N"/>
    <s v="Expert Cost"/>
    <s v="Expert Cost"/>
    <s v="Expert Disbursement"/>
    <s v="DJL"/>
    <s v="N"/>
    <n v="1003.25"/>
    <n v="200.65"/>
    <x v="3"/>
    <s v="VALIDATED"/>
    <n v="1"/>
    <s v="01.11.80.308.2012.0000"/>
    <n v="1003.25"/>
    <s v="11"/>
    <s v="2012"/>
    <n v="2083.58"/>
    <n v="1003.25"/>
    <s v="CREDITOR"/>
    <n v="1003.25"/>
    <n v="0"/>
    <n v="0"/>
    <n v="0"/>
    <n v="0"/>
  </r>
  <r>
    <n v="61700261"/>
    <s v="N"/>
    <n v="21349386"/>
    <s v="3000015784750007"/>
    <s v="CIVIL"/>
    <d v="2023-06-29T00:00:00"/>
    <d v="2023-07-10T19:01:40"/>
    <m/>
    <d v="2023-07-10T00:00:00"/>
    <n v="493"/>
    <n v="14196"/>
    <s v="61700261"/>
    <s v="61700261"/>
    <m/>
    <m/>
    <n v="22786364"/>
    <m/>
    <m/>
    <m/>
    <s v="SOLFIN"/>
    <s v="SOLFIN"/>
    <s v="CCMS"/>
    <n v="21349386"/>
    <n v="8438.030000000001"/>
    <m/>
    <s v="N"/>
    <n v="2"/>
    <d v="2023-07-10T19:01:48"/>
    <s v="Y"/>
    <s v="Interim Hearing Court Bundle/Advoca"/>
    <s v="Public Law Children"/>
    <s v="Advocacy"/>
    <s v="DJL"/>
    <s v="Y"/>
    <n v="89.09999999999999"/>
    <n v="17.82"/>
    <x v="2"/>
    <s v="VALIDATED"/>
    <n v="1"/>
    <s v="01.11.80.308.6100.0000"/>
    <n v="89.09999999999999"/>
    <s v="11"/>
    <s v="6100"/>
    <n v="2083.58"/>
    <n v="89.09999999999999"/>
    <s v="CREDITOR"/>
    <n v="0"/>
    <n v="0"/>
    <n v="0"/>
    <n v="0"/>
    <n v="89.09999999999999"/>
  </r>
  <r>
    <n v="61700261"/>
    <s v="N"/>
    <n v="21349386"/>
    <s v="3000015784750007"/>
    <s v="CIVIL"/>
    <d v="2023-06-29T00:00:00"/>
    <d v="2023-07-10T19:01:40"/>
    <m/>
    <d v="2023-07-10T00:00:00"/>
    <n v="493"/>
    <n v="14196"/>
    <s v="61700261"/>
    <s v="61700261"/>
    <m/>
    <m/>
    <n v="22786364"/>
    <m/>
    <m/>
    <m/>
    <s v="SOLFIN"/>
    <s v="SOLFIN"/>
    <s v="CCMS"/>
    <n v="21349386"/>
    <n v="8438.030000000001"/>
    <m/>
    <s v="N"/>
    <n v="9"/>
    <d v="2023-07-10T19:01:48"/>
    <s v="Y"/>
    <s v="Advocates Meeting"/>
    <s v="Public Law Children"/>
    <s v="Advocacy"/>
    <s v="DJL"/>
    <s v="Y"/>
    <n v="140.99"/>
    <n v="28.2"/>
    <x v="2"/>
    <s v="VALIDATED"/>
    <n v="1"/>
    <s v="01.11.80.308.6100.0000"/>
    <n v="140.99"/>
    <s v="11"/>
    <s v="6100"/>
    <n v="2083.58"/>
    <n v="140.99"/>
    <s v="CREDITOR"/>
    <n v="0"/>
    <n v="0"/>
    <n v="0"/>
    <n v="0"/>
    <n v="140.99"/>
  </r>
  <r>
    <n v="61700261"/>
    <s v="N"/>
    <n v="21349386"/>
    <s v="3000015784750007"/>
    <s v="CIVIL"/>
    <d v="2023-06-29T00:00:00"/>
    <d v="2023-07-10T19:01:40"/>
    <m/>
    <d v="2023-07-10T00:00:00"/>
    <n v="493"/>
    <n v="14196"/>
    <s v="61700261"/>
    <s v="61700261"/>
    <m/>
    <m/>
    <n v="22786364"/>
    <m/>
    <m/>
    <m/>
    <s v="SOLFIN"/>
    <s v="SOLFIN"/>
    <s v="CCMS"/>
    <n v="21349386"/>
    <n v="8438.030000000001"/>
    <m/>
    <s v="N"/>
    <n v="1"/>
    <d v="2023-07-10T19:01:48"/>
    <s v="Y"/>
    <s v="Final Hearing Court Bundle/Advocate"/>
    <s v="Public Law Children"/>
    <s v="Advocacy"/>
    <s v="DJL"/>
    <s v="Y"/>
    <n v="318.6"/>
    <n v="63.72"/>
    <x v="2"/>
    <s v="VALIDATED"/>
    <n v="1"/>
    <s v="01.11.80.308.6100.0000"/>
    <n v="318.6"/>
    <s v="11"/>
    <s v="6100"/>
    <n v="2083.58"/>
    <n v="318.6"/>
    <s v="CREDITOR"/>
    <n v="0"/>
    <n v="0"/>
    <n v="0"/>
    <n v="0"/>
    <n v="318.6"/>
  </r>
  <r>
    <n v="61700277"/>
    <s v="N"/>
    <n v="21349496"/>
    <s v="3000015785190001"/>
    <s v="CIVIL"/>
    <d v="2023-06-29T00:00:00"/>
    <d v="2023-07-10T19:01:40"/>
    <m/>
    <d v="2023-07-10T00:00:00"/>
    <n v="493"/>
    <n v="14196"/>
    <s v="61700277"/>
    <s v="61700277"/>
    <m/>
    <m/>
    <n v="22786148"/>
    <m/>
    <m/>
    <m/>
    <s v="SOLFIN"/>
    <s v="SOLFIN"/>
    <s v="CCMS"/>
    <n v="21349496"/>
    <n v="0"/>
    <m/>
    <s v="N"/>
    <n v="1"/>
    <d v="2023-07-10T19:01:52"/>
    <s v="N"/>
    <s v="NIL BILL"/>
    <s v="Public Law Children"/>
    <s v="Profit Cost"/>
    <s v="Nil Bill"/>
    <s v="N"/>
    <n v="0"/>
    <n v="0"/>
    <x v="2"/>
    <s v="VALIDATED"/>
    <n v="1"/>
    <s v="01.11.80.308.6100.0000"/>
    <n v="0"/>
    <s v="11"/>
    <s v="6100"/>
    <n v="2083.58"/>
    <n v="0"/>
    <s v="CREDITOR"/>
    <n v="0"/>
    <n v="0"/>
    <n v="0"/>
    <n v="0"/>
    <n v="0"/>
  </r>
  <r>
    <n v="61690643"/>
    <s v="N"/>
    <n v="21349558"/>
    <s v="3000015785100001"/>
    <s v="CIVIL"/>
    <d v="2023-06-29T00:00:00"/>
    <d v="2023-07-10T19:01:40"/>
    <m/>
    <d v="2023-07-10T00:00:00"/>
    <n v="493"/>
    <n v="14196"/>
    <s v="61690643"/>
    <s v="61690643"/>
    <m/>
    <m/>
    <n v="22786010"/>
    <m/>
    <m/>
    <m/>
    <s v="SOLFIN"/>
    <s v="SOLFIN"/>
    <s v="CCMS"/>
    <n v="21349558"/>
    <n v="0"/>
    <m/>
    <s v="N"/>
    <n v="1"/>
    <d v="2023-07-10T19:01:53"/>
    <s v="N"/>
    <s v="NIL BILL"/>
    <s v="Public Law Children"/>
    <s v="Profit Cost"/>
    <s v="Nil Bill"/>
    <s v="N"/>
    <n v="0"/>
    <n v="0"/>
    <x v="2"/>
    <s v="VALIDATED"/>
    <n v="1"/>
    <s v="01.11.80.308.6100.0000"/>
    <n v="0"/>
    <s v="11"/>
    <s v="6100"/>
    <n v="2083.58"/>
    <n v="0"/>
    <s v="CREDITOR"/>
    <n v="0"/>
    <n v="0"/>
    <n v="0"/>
    <n v="0"/>
    <n v="0"/>
  </r>
  <r>
    <n v="62482363"/>
    <s v="N"/>
    <n v="21323507"/>
    <s v="3000016441830001"/>
    <s v="CIVIL"/>
    <d v="2023-06-30T00:00:00"/>
    <d v="2023-07-03T19:05:56"/>
    <m/>
    <d v="2023-07-03T00:00:00"/>
    <n v="493"/>
    <n v="14196"/>
    <s v="62482363"/>
    <s v="62482363"/>
    <m/>
    <m/>
    <n v="22799318"/>
    <m/>
    <m/>
    <m/>
    <s v="SOLPOA"/>
    <s v="SOLPOA"/>
    <s v="CCMS"/>
    <n v="21323507"/>
    <n v="167"/>
    <m/>
    <s v="N"/>
    <n v="1"/>
    <d v="2023-07-03T19:05:57"/>
    <s v="N"/>
    <s v="Non Expert Disbursement"/>
    <s v="Non Expert Disbursement"/>
    <s v="Non Expert Disbursement"/>
    <s v="DJL"/>
    <s v="N"/>
    <n v="167"/>
    <n v="0"/>
    <x v="3"/>
    <s v="VALIDATED"/>
    <n v="1"/>
    <s v="01.11.80.308.2012.0000"/>
    <n v="167"/>
    <s v="11"/>
    <s v="2012"/>
    <n v="2083.58"/>
    <n v="167"/>
    <s v="CREDITOR"/>
    <n v="167"/>
    <n v="0"/>
    <n v="0"/>
    <n v="0"/>
    <n v="0"/>
  </r>
  <r>
    <n v="62482363"/>
    <s v="N"/>
    <n v="21382343"/>
    <s v="3000016441830002"/>
    <s v="CIVIL"/>
    <d v="2023-06-30T00:00:00"/>
    <d v="2023-07-17T19:01:46"/>
    <m/>
    <d v="2023-07-17T00:00:00"/>
    <n v="493"/>
    <n v="14196"/>
    <s v="62482363"/>
    <s v="62482363"/>
    <m/>
    <m/>
    <n v="22796222"/>
    <m/>
    <m/>
    <m/>
    <s v="SOLPOA"/>
    <s v="SOLPOA"/>
    <s v="CCMS"/>
    <n v="21382343"/>
    <n v="33.94"/>
    <m/>
    <s v="N"/>
    <n v="1"/>
    <d v="2023-07-17T19:02:07"/>
    <s v="N"/>
    <s v="Non Expert Disbursement"/>
    <s v="Non Expert Disbursement"/>
    <s v="Non Expert Disbursement"/>
    <s v="SRB"/>
    <s v="N"/>
    <n v="28.28"/>
    <n v="5.66"/>
    <x v="8"/>
    <s v="VALIDATED"/>
    <n v="1"/>
    <s v="01.11.80.308.2012.0000"/>
    <n v="28.28"/>
    <s v="11"/>
    <s v="2012"/>
    <n v="2083.58"/>
    <n v="28.28"/>
    <s v="CREDITOR"/>
    <n v="28.28"/>
    <n v="0"/>
    <n v="0"/>
    <n v="0"/>
    <n v="0"/>
  </r>
  <r>
    <n v="61700261"/>
    <s v="N"/>
    <n v="21356290"/>
    <s v="3000015784750004RC"/>
    <s v="CIVIL"/>
    <d v="2023-06-29T00:00:00"/>
    <d v="2023-07-10T19:47:44"/>
    <m/>
    <d v="2023-07-10T00:00:00"/>
    <n v="493"/>
    <n v="14196"/>
    <s v="61700261"/>
    <s v="61700261"/>
    <m/>
    <m/>
    <m/>
    <m/>
    <m/>
    <m/>
    <s v="SOLRECOUP"/>
    <s v="SOLRECOUP"/>
    <s v="POARECOUP"/>
    <n v="21356290"/>
    <n v="-207.84"/>
    <m/>
    <s v="Y"/>
    <n v="2"/>
    <d v="2023-07-10T19:47:44"/>
    <s v="N"/>
    <m/>
    <m/>
    <s v="Expert Disbursement"/>
    <m/>
    <s v="N"/>
    <n v="0"/>
    <n v="-34.64"/>
    <x v="2"/>
    <s v="VALIDATED"/>
    <n v="1"/>
    <s v="01.11.80.308.2013.0000"/>
    <n v="-34.64"/>
    <s v="11"/>
    <s v="2013"/>
    <n v="2083.58"/>
    <n v="-34.64"/>
    <s v="CREDITOR"/>
    <n v="0"/>
    <n v="0"/>
    <n v="-34.64"/>
    <n v="0"/>
    <n v="0"/>
  </r>
  <r>
    <n v="61700261"/>
    <s v="N"/>
    <n v="21356290"/>
    <s v="3000015784750004RC"/>
    <s v="CIVIL"/>
    <d v="2023-06-29T00:00:00"/>
    <d v="2023-07-10T19:47:44"/>
    <m/>
    <d v="2023-07-10T00:00:00"/>
    <n v="493"/>
    <n v="14196"/>
    <s v="61700261"/>
    <s v="61700261"/>
    <m/>
    <m/>
    <m/>
    <m/>
    <m/>
    <m/>
    <s v="SOLRECOUP"/>
    <s v="SOLRECOUP"/>
    <s v="POARECOUP"/>
    <n v="21356290"/>
    <n v="-207.84"/>
    <m/>
    <s v="Y"/>
    <n v="1"/>
    <d v="2023-07-10T19:47:44"/>
    <s v="N"/>
    <m/>
    <m/>
    <s v="Expert Disbursement"/>
    <m/>
    <s v="N"/>
    <n v="-173.2"/>
    <n v="0"/>
    <x v="2"/>
    <s v="VALIDATED"/>
    <n v="1"/>
    <s v="01.11.80.308.2013.0000"/>
    <n v="-173.2"/>
    <s v="11"/>
    <s v="2013"/>
    <n v="2083.58"/>
    <n v="-173.2"/>
    <s v="CREDITOR"/>
    <n v="0"/>
    <n v="0"/>
    <n v="-173.2"/>
    <n v="0"/>
    <n v="0"/>
  </r>
  <r>
    <n v="61700261"/>
    <s v="N"/>
    <n v="21356291"/>
    <s v="3000015784750001RC"/>
    <s v="CIVIL"/>
    <d v="2023-06-29T00:00:00"/>
    <d v="2023-07-10T19:47:44"/>
    <m/>
    <d v="2023-07-10T00:00:00"/>
    <n v="493"/>
    <n v="14196"/>
    <s v="61700261"/>
    <s v="61700261"/>
    <m/>
    <m/>
    <m/>
    <m/>
    <m/>
    <m/>
    <s v="SOLRECOUP"/>
    <s v="SOLRECOUP"/>
    <s v="POARECOUP"/>
    <n v="21356291"/>
    <n v="-173.52"/>
    <m/>
    <s v="Y"/>
    <n v="1"/>
    <d v="2023-07-10T19:47:44"/>
    <s v="N"/>
    <m/>
    <m/>
    <s v="Expert Disbursement"/>
    <m/>
    <s v="N"/>
    <n v="-144.6"/>
    <n v="0"/>
    <x v="2"/>
    <s v="VALIDATED"/>
    <n v="1"/>
    <s v="01.11.80.308.2013.0000"/>
    <n v="-144.6"/>
    <s v="11"/>
    <s v="2013"/>
    <n v="2083.58"/>
    <n v="-144.6"/>
    <s v="CREDITOR"/>
    <n v="0"/>
    <n v="0"/>
    <n v="-144.6"/>
    <n v="0"/>
    <n v="0"/>
  </r>
  <r>
    <n v="61700261"/>
    <s v="N"/>
    <n v="21356291"/>
    <s v="3000015784750001RC"/>
    <s v="CIVIL"/>
    <d v="2023-06-29T00:00:00"/>
    <d v="2023-07-10T19:47:44"/>
    <m/>
    <d v="2023-07-10T00:00:00"/>
    <n v="493"/>
    <n v="14196"/>
    <s v="61700261"/>
    <s v="61700261"/>
    <m/>
    <m/>
    <m/>
    <m/>
    <m/>
    <m/>
    <s v="SOLRECOUP"/>
    <s v="SOLRECOUP"/>
    <s v="POARECOUP"/>
    <n v="21356291"/>
    <n v="-173.52"/>
    <m/>
    <s v="Y"/>
    <n v="2"/>
    <d v="2023-07-10T19:47:44"/>
    <s v="N"/>
    <m/>
    <m/>
    <s v="Expert Disbursement"/>
    <m/>
    <s v="N"/>
    <n v="0"/>
    <n v="-28.92"/>
    <x v="2"/>
    <s v="VALIDATED"/>
    <n v="1"/>
    <s v="01.11.80.308.2013.0000"/>
    <n v="-28.92"/>
    <s v="11"/>
    <s v="2013"/>
    <n v="2083.58"/>
    <n v="-28.92"/>
    <s v="CREDITOR"/>
    <n v="0"/>
    <n v="0"/>
    <n v="-28.92"/>
    <n v="0"/>
    <n v="0"/>
  </r>
  <r>
    <n v="61700261"/>
    <s v="N"/>
    <n v="21356292"/>
    <s v="3000015784750003RC"/>
    <s v="CIVIL"/>
    <d v="2023-06-29T00:00:00"/>
    <d v="2023-07-10T19:47:44"/>
    <m/>
    <d v="2023-07-10T00:00:00"/>
    <n v="493"/>
    <n v="14196"/>
    <s v="61700261"/>
    <s v="61700261"/>
    <m/>
    <m/>
    <m/>
    <m/>
    <m/>
    <m/>
    <s v="SOLRECOUP"/>
    <s v="SOLRECOUP"/>
    <s v="POARECOUP"/>
    <n v="21356292"/>
    <n v="-2072.35"/>
    <m/>
    <s v="Y"/>
    <n v="2"/>
    <d v="2023-07-10T19:47:44"/>
    <s v="N"/>
    <m/>
    <m/>
    <s v="Expert Disbursement"/>
    <m/>
    <s v="N"/>
    <n v="0"/>
    <n v="-345.39"/>
    <x v="2"/>
    <s v="VALIDATED"/>
    <n v="1"/>
    <s v="01.11.80.308.2013.0000"/>
    <n v="-345.39"/>
    <s v="11"/>
    <s v="2013"/>
    <n v="2083.58"/>
    <n v="-345.39"/>
    <s v="CREDITOR"/>
    <n v="0"/>
    <n v="0"/>
    <n v="-345.39"/>
    <n v="0"/>
    <n v="0"/>
  </r>
  <r>
    <n v="61700261"/>
    <s v="N"/>
    <n v="21356292"/>
    <s v="3000015784750003RC"/>
    <s v="CIVIL"/>
    <d v="2023-06-29T00:00:00"/>
    <d v="2023-07-10T19:47:44"/>
    <m/>
    <d v="2023-07-10T00:00:00"/>
    <n v="493"/>
    <n v="14196"/>
    <s v="61700261"/>
    <s v="61700261"/>
    <m/>
    <m/>
    <m/>
    <m/>
    <m/>
    <m/>
    <s v="SOLRECOUP"/>
    <s v="SOLRECOUP"/>
    <s v="POARECOUP"/>
    <n v="21356292"/>
    <n v="-2072.35"/>
    <m/>
    <s v="Y"/>
    <n v="1"/>
    <d v="2023-07-10T19:47:44"/>
    <s v="N"/>
    <m/>
    <m/>
    <s v="Expert Disbursement"/>
    <m/>
    <s v="N"/>
    <n v="-1726.96"/>
    <n v="0"/>
    <x v="2"/>
    <s v="VALIDATED"/>
    <n v="1"/>
    <s v="01.11.80.308.2013.0000"/>
    <n v="-1726.96"/>
    <s v="11"/>
    <s v="2013"/>
    <n v="2083.58"/>
    <n v="-1726.96"/>
    <s v="CREDITOR"/>
    <n v="0"/>
    <n v="0"/>
    <n v="-1726.96"/>
    <n v="0"/>
    <n v="0"/>
  </r>
  <r>
    <n v="61700261"/>
    <s v="N"/>
    <n v="21356293"/>
    <s v="3000015784750006RC"/>
    <s v="CIVIL"/>
    <d v="2023-06-29T00:00:00"/>
    <d v="2023-07-10T19:47:44"/>
    <m/>
    <d v="2023-07-10T00:00:00"/>
    <n v="493"/>
    <n v="14196"/>
    <s v="61700261"/>
    <s v="61700261"/>
    <m/>
    <m/>
    <m/>
    <m/>
    <m/>
    <m/>
    <s v="SOLRECOUP"/>
    <s v="SOLRECOUP"/>
    <s v="POARECOUP"/>
    <n v="21356293"/>
    <n v="-364.56"/>
    <m/>
    <s v="Y"/>
    <n v="2"/>
    <d v="2023-07-10T19:47:44"/>
    <s v="N"/>
    <m/>
    <m/>
    <s v="Expert Disbursement"/>
    <m/>
    <s v="N"/>
    <n v="0"/>
    <n v="-60.76"/>
    <x v="2"/>
    <s v="VALIDATED"/>
    <n v="1"/>
    <s v="01.11.80.308.2013.0000"/>
    <n v="-60.76"/>
    <s v="11"/>
    <s v="2013"/>
    <n v="2083.58"/>
    <n v="-60.76"/>
    <s v="CREDITOR"/>
    <n v="0"/>
    <n v="0"/>
    <n v="-60.76"/>
    <n v="0"/>
    <n v="0"/>
  </r>
  <r>
    <n v="61700261"/>
    <s v="N"/>
    <n v="21356293"/>
    <s v="3000015784750006RC"/>
    <s v="CIVIL"/>
    <d v="2023-06-29T00:00:00"/>
    <d v="2023-07-10T19:47:44"/>
    <m/>
    <d v="2023-07-10T00:00:00"/>
    <n v="493"/>
    <n v="14196"/>
    <s v="61700261"/>
    <s v="61700261"/>
    <m/>
    <m/>
    <m/>
    <m/>
    <m/>
    <m/>
    <s v="SOLRECOUP"/>
    <s v="SOLRECOUP"/>
    <s v="POARECOUP"/>
    <n v="21356293"/>
    <n v="-364.56"/>
    <m/>
    <s v="Y"/>
    <n v="1"/>
    <d v="2023-07-10T19:47:44"/>
    <s v="N"/>
    <m/>
    <m/>
    <s v="Expert Disbursement"/>
    <m/>
    <s v="N"/>
    <n v="-303.8"/>
    <n v="0"/>
    <x v="2"/>
    <s v="VALIDATED"/>
    <n v="1"/>
    <s v="01.11.80.308.2013.0000"/>
    <n v="-303.8"/>
    <s v="11"/>
    <s v="2013"/>
    <n v="2083.58"/>
    <n v="-303.8"/>
    <s v="CREDITOR"/>
    <n v="0"/>
    <n v="0"/>
    <n v="-303.8"/>
    <n v="0"/>
    <n v="0"/>
  </r>
  <r>
    <n v="61700261"/>
    <s v="N"/>
    <n v="21356294"/>
    <s v="3000015784750002RC"/>
    <s v="CIVIL"/>
    <d v="2023-06-29T00:00:00"/>
    <d v="2023-07-10T19:47:44"/>
    <m/>
    <d v="2023-07-10T00:00:00"/>
    <n v="493"/>
    <n v="14196"/>
    <s v="61700261"/>
    <s v="61700261"/>
    <m/>
    <m/>
    <m/>
    <m/>
    <m/>
    <m/>
    <s v="SOLRECOUP"/>
    <s v="SOLRECOUP"/>
    <s v="POARECOUP"/>
    <n v="21356294"/>
    <n v="-3441.6"/>
    <m/>
    <s v="Y"/>
    <n v="2"/>
    <d v="2023-07-10T19:47:44"/>
    <s v="N"/>
    <m/>
    <m/>
    <s v="Profit Cost"/>
    <m/>
    <s v="N"/>
    <n v="0"/>
    <n v="-573.6"/>
    <x v="2"/>
    <s v="VALIDATED"/>
    <n v="1"/>
    <s v="01.11.80.308.2013.0000"/>
    <n v="-573.6"/>
    <s v="11"/>
    <s v="2013"/>
    <n v="2083.58"/>
    <n v="-573.6"/>
    <s v="CREDITOR"/>
    <n v="0"/>
    <n v="0"/>
    <n v="-573.6"/>
    <n v="-143.4"/>
    <n v="0"/>
  </r>
  <r>
    <n v="61700261"/>
    <s v="N"/>
    <n v="21356294"/>
    <s v="3000015784750002RC"/>
    <s v="CIVIL"/>
    <d v="2023-06-29T00:00:00"/>
    <d v="2023-07-10T19:47:44"/>
    <m/>
    <d v="2023-07-10T00:00:00"/>
    <n v="493"/>
    <n v="14196"/>
    <s v="61700261"/>
    <s v="61700261"/>
    <m/>
    <m/>
    <m/>
    <m/>
    <m/>
    <m/>
    <s v="SOLRECOUP"/>
    <s v="SOLRECOUP"/>
    <s v="POARECOUP"/>
    <n v="21356294"/>
    <n v="-3441.6"/>
    <m/>
    <s v="Y"/>
    <n v="1"/>
    <d v="2023-07-10T19:47:44"/>
    <s v="N"/>
    <m/>
    <m/>
    <s v="Profit Cost"/>
    <m/>
    <s v="N"/>
    <n v="-2868"/>
    <n v="0"/>
    <x v="2"/>
    <s v="VALIDATED"/>
    <n v="1"/>
    <s v="01.11.80.308.2013.0000"/>
    <n v="-2868"/>
    <s v="11"/>
    <s v="2013"/>
    <n v="2083.58"/>
    <n v="-2868"/>
    <s v="CREDITOR"/>
    <n v="0"/>
    <n v="0"/>
    <n v="-2868"/>
    <n v="-717"/>
    <n v="0"/>
  </r>
  <r>
    <n v="61700261"/>
    <s v="N"/>
    <n v="21356295"/>
    <s v="3000015784750005RC"/>
    <s v="CIVIL"/>
    <d v="2023-06-29T00:00:00"/>
    <d v="2023-07-10T19:47:44"/>
    <m/>
    <d v="2023-07-10T00:00:00"/>
    <n v="493"/>
    <n v="14196"/>
    <s v="61700261"/>
    <s v="61700261"/>
    <m/>
    <m/>
    <m/>
    <m/>
    <m/>
    <m/>
    <s v="SOLRECOUP"/>
    <s v="SOLRECOUP"/>
    <s v="POARECOUP"/>
    <n v="21356295"/>
    <n v="-96.77"/>
    <m/>
    <s v="Y"/>
    <n v="1"/>
    <d v="2023-07-10T19:47:44"/>
    <s v="N"/>
    <m/>
    <m/>
    <s v="Expert Disbursement"/>
    <m/>
    <s v="N"/>
    <n v="-80.64"/>
    <n v="0"/>
    <x v="2"/>
    <s v="VALIDATED"/>
    <n v="1"/>
    <s v="01.11.80.308.2013.0000"/>
    <n v="-80.64"/>
    <s v="11"/>
    <s v="2013"/>
    <n v="2083.58"/>
    <n v="-80.64"/>
    <s v="CREDITOR"/>
    <n v="0"/>
    <n v="0"/>
    <n v="-80.64"/>
    <n v="0"/>
    <n v="0"/>
  </r>
  <r>
    <n v="61700261"/>
    <s v="N"/>
    <n v="21356295"/>
    <s v="3000015784750005RC"/>
    <s v="CIVIL"/>
    <d v="2023-06-29T00:00:00"/>
    <d v="2023-07-10T19:47:44"/>
    <m/>
    <d v="2023-07-10T00:00:00"/>
    <n v="493"/>
    <n v="14196"/>
    <s v="61700261"/>
    <s v="61700261"/>
    <m/>
    <m/>
    <m/>
    <m/>
    <m/>
    <m/>
    <s v="SOLRECOUP"/>
    <s v="SOLRECOUP"/>
    <s v="POARECOUP"/>
    <n v="21356295"/>
    <n v="-96.77"/>
    <m/>
    <s v="Y"/>
    <n v="2"/>
    <d v="2023-07-10T19:47:44"/>
    <s v="N"/>
    <m/>
    <m/>
    <s v="Expert Disbursement"/>
    <m/>
    <s v="N"/>
    <n v="0"/>
    <n v="-16.13"/>
    <x v="2"/>
    <s v="VALIDATED"/>
    <n v="1"/>
    <s v="01.11.80.308.2013.0000"/>
    <n v="-16.13"/>
    <s v="11"/>
    <s v="2013"/>
    <n v="2083.58"/>
    <n v="-16.13"/>
    <s v="CREDITOR"/>
    <n v="0"/>
    <n v="0"/>
    <n v="-16.13"/>
    <n v="0"/>
    <n v="0"/>
  </r>
  <r>
    <n v="43560825"/>
    <s v="N"/>
    <n v="21356307"/>
    <s v="3000011565500018RC"/>
    <s v="CIVIL"/>
    <d v="2023-06-26T00:00:00"/>
    <d v="2023-07-10T19:47:44"/>
    <m/>
    <d v="2023-07-10T00:00:00"/>
    <n v="502"/>
    <n v="15208"/>
    <s v="43560825"/>
    <s v="43560825"/>
    <m/>
    <m/>
    <m/>
    <m/>
    <m/>
    <m/>
    <s v="SOLRECOUP"/>
    <s v="SOLRECOUP"/>
    <s v="POARECOUP"/>
    <n v="21356307"/>
    <n v="-668.12"/>
    <m/>
    <s v="Y"/>
    <n v="1"/>
    <d v="2023-07-10T19:47:44"/>
    <s v="N"/>
    <m/>
    <m/>
    <s v="Profit Cost"/>
    <m/>
    <s v="N"/>
    <n v="-556.77"/>
    <n v="0"/>
    <x v="2"/>
    <s v="VALIDATED"/>
    <n v="1"/>
    <s v="01.11.80.307.2013.0000"/>
    <n v="-556.77"/>
    <s v="11"/>
    <s v="2013"/>
    <n v="14912.76"/>
    <n v="-556.77"/>
    <s v="CREDITOR"/>
    <n v="0"/>
    <n v="0"/>
    <n v="-556.77"/>
    <n v="-139.1925"/>
    <n v="0"/>
  </r>
  <r>
    <n v="43560825"/>
    <s v="N"/>
    <n v="21356307"/>
    <s v="3000011565500018RC"/>
    <s v="CIVIL"/>
    <d v="2023-06-26T00:00:00"/>
    <d v="2023-07-10T19:47:44"/>
    <m/>
    <d v="2023-07-10T00:00:00"/>
    <n v="502"/>
    <n v="15208"/>
    <s v="43560825"/>
    <s v="43560825"/>
    <m/>
    <m/>
    <m/>
    <m/>
    <m/>
    <m/>
    <s v="SOLRECOUP"/>
    <s v="SOLRECOUP"/>
    <s v="POARECOUP"/>
    <n v="21356307"/>
    <n v="-668.12"/>
    <m/>
    <s v="Y"/>
    <n v="2"/>
    <d v="2023-07-10T19:47:44"/>
    <s v="N"/>
    <m/>
    <m/>
    <s v="Profit Cost"/>
    <m/>
    <s v="N"/>
    <n v="0"/>
    <n v="-111.35"/>
    <x v="2"/>
    <s v="VALIDATED"/>
    <n v="1"/>
    <s v="01.11.80.307.2013.0000"/>
    <n v="-111.35"/>
    <s v="11"/>
    <s v="2013"/>
    <n v="14912.76"/>
    <n v="-111.35"/>
    <s v="CREDITOR"/>
    <n v="0"/>
    <n v="0"/>
    <n v="-111.35"/>
    <n v="-27.8375"/>
    <n v="0"/>
  </r>
  <r>
    <n v="43560825"/>
    <s v="N"/>
    <n v="21356308"/>
    <s v="3000011565500019RC"/>
    <s v="CIVIL"/>
    <d v="2023-06-26T00:00:00"/>
    <d v="2023-07-10T19:47:44"/>
    <m/>
    <d v="2023-07-10T00:00:00"/>
    <n v="502"/>
    <n v="15208"/>
    <s v="43560825"/>
    <s v="43560825"/>
    <m/>
    <m/>
    <m/>
    <m/>
    <m/>
    <m/>
    <s v="SOLRECOUP"/>
    <s v="SOLRECOUP"/>
    <s v="POARECOUP"/>
    <n v="21356308"/>
    <n v="-16.8"/>
    <m/>
    <s v="Y"/>
    <n v="1"/>
    <d v="2023-07-10T19:47:44"/>
    <s v="N"/>
    <m/>
    <m/>
    <s v="Non Expert Disbursement"/>
    <m/>
    <s v="N"/>
    <n v="-16.8"/>
    <n v="0"/>
    <x v="2"/>
    <s v="VALIDATED"/>
    <n v="1"/>
    <s v="01.11.80.307.2013.0000"/>
    <n v="-16.8"/>
    <s v="11"/>
    <s v="2013"/>
    <n v="14912.76"/>
    <n v="-16.8"/>
    <s v="CREDITOR"/>
    <n v="0"/>
    <n v="0"/>
    <n v="-16.8"/>
    <n v="0"/>
    <n v="0"/>
  </r>
  <r>
    <n v="43560825"/>
    <s v="N"/>
    <n v="21356308"/>
    <s v="3000011565500019RC"/>
    <s v="CIVIL"/>
    <d v="2023-06-26T00:00:00"/>
    <d v="2023-07-10T19:47:44"/>
    <m/>
    <d v="2023-07-10T00:00:00"/>
    <n v="502"/>
    <n v="15208"/>
    <s v="43560825"/>
    <s v="43560825"/>
    <m/>
    <m/>
    <m/>
    <m/>
    <m/>
    <m/>
    <s v="SOLRECOUP"/>
    <s v="SOLRECOUP"/>
    <s v="POARECOUP"/>
    <n v="21356308"/>
    <n v="-16.8"/>
    <m/>
    <s v="Y"/>
    <n v="2"/>
    <d v="2023-07-10T19:47:44"/>
    <s v="N"/>
    <m/>
    <m/>
    <s v="Non Expert Disbursement"/>
    <m/>
    <s v="N"/>
    <n v="0"/>
    <n v="0"/>
    <x v="2"/>
    <s v="VALIDATED"/>
    <n v="1"/>
    <s v="01.11.80.000.0000.0000"/>
    <n v="0"/>
    <s v="11"/>
    <s v="0000"/>
    <n v="14912.76"/>
    <n v="0"/>
    <s v="CREDITOR"/>
    <n v="0"/>
    <n v="0"/>
    <n v="0"/>
    <n v="0"/>
    <n v="0"/>
  </r>
  <r>
    <n v="43560825"/>
    <s v="N"/>
    <n v="21356296"/>
    <s v="3000011565500002RC"/>
    <s v="CIVIL"/>
    <d v="2023-06-26T00:00:00"/>
    <d v="2023-07-10T19:47:44"/>
    <m/>
    <d v="2023-07-10T00:00:00"/>
    <n v="502"/>
    <n v="15208"/>
    <s v="43560825"/>
    <s v="43560825"/>
    <m/>
    <m/>
    <m/>
    <m/>
    <m/>
    <m/>
    <s v="SOLRECOUP"/>
    <s v="SOLRECOUP"/>
    <s v="POARECOUP"/>
    <n v="21356296"/>
    <n v="-215"/>
    <m/>
    <s v="Y"/>
    <n v="1"/>
    <d v="2023-07-10T19:47:44"/>
    <s v="N"/>
    <m/>
    <m/>
    <s v="Non Expert Disbursement"/>
    <m/>
    <s v="N"/>
    <n v="-215"/>
    <n v="0"/>
    <x v="2"/>
    <s v="VALIDATED"/>
    <n v="1"/>
    <s v="01.11.80.307.2013.0000"/>
    <n v="-215"/>
    <s v="11"/>
    <s v="2013"/>
    <n v="14912.76"/>
    <n v="-215"/>
    <s v="CREDITOR"/>
    <n v="0"/>
    <n v="0"/>
    <n v="-215"/>
    <n v="0"/>
    <n v="0"/>
  </r>
  <r>
    <n v="43560825"/>
    <s v="N"/>
    <n v="21356296"/>
    <s v="3000011565500002RC"/>
    <s v="CIVIL"/>
    <d v="2023-06-26T00:00:00"/>
    <d v="2023-07-10T19:47:44"/>
    <m/>
    <d v="2023-07-10T00:00:00"/>
    <n v="502"/>
    <n v="15208"/>
    <s v="43560825"/>
    <s v="43560825"/>
    <m/>
    <m/>
    <m/>
    <m/>
    <m/>
    <m/>
    <s v="SOLRECOUP"/>
    <s v="SOLRECOUP"/>
    <s v="POARECOUP"/>
    <n v="21356296"/>
    <n v="-215"/>
    <m/>
    <s v="Y"/>
    <n v="2"/>
    <d v="2023-07-10T19:47:44"/>
    <s v="N"/>
    <m/>
    <m/>
    <s v="Non Expert Disbursement"/>
    <m/>
    <s v="N"/>
    <n v="0"/>
    <n v="0"/>
    <x v="2"/>
    <s v="VALIDATED"/>
    <n v="1"/>
    <s v="01.11.80.000.0000.0000"/>
    <n v="0"/>
    <s v="11"/>
    <s v="0000"/>
    <n v="14912.76"/>
    <n v="0"/>
    <s v="CREDITOR"/>
    <n v="0"/>
    <n v="0"/>
    <n v="0"/>
    <n v="0"/>
    <n v="0"/>
  </r>
  <r>
    <n v="43560825"/>
    <s v="N"/>
    <n v="21356297"/>
    <s v="3000011565500003RC"/>
    <s v="CIVIL"/>
    <d v="2023-06-26T00:00:00"/>
    <d v="2023-07-10T19:47:44"/>
    <m/>
    <d v="2023-07-10T00:00:00"/>
    <n v="502"/>
    <n v="15208"/>
    <s v="43560825"/>
    <s v="43560825"/>
    <m/>
    <m/>
    <m/>
    <m/>
    <m/>
    <m/>
    <s v="SOLRECOUP"/>
    <s v="SOLRECOUP"/>
    <s v="POARECOUP"/>
    <n v="21356297"/>
    <n v="-40"/>
    <m/>
    <s v="Y"/>
    <n v="1"/>
    <d v="2023-07-10T19:47:44"/>
    <s v="N"/>
    <m/>
    <m/>
    <s v="Expert Disbursement"/>
    <m/>
    <s v="N"/>
    <n v="-40"/>
    <n v="0"/>
    <x v="2"/>
    <s v="VALIDATED"/>
    <n v="1"/>
    <s v="01.11.80.307.2013.0000"/>
    <n v="-40"/>
    <s v="11"/>
    <s v="2013"/>
    <n v="14912.76"/>
    <n v="-40"/>
    <s v="CREDITOR"/>
    <n v="0"/>
    <n v="0"/>
    <n v="-40"/>
    <n v="0"/>
    <n v="0"/>
  </r>
  <r>
    <n v="43560825"/>
    <s v="N"/>
    <n v="21356297"/>
    <s v="3000011565500003RC"/>
    <s v="CIVIL"/>
    <d v="2023-06-26T00:00:00"/>
    <d v="2023-07-10T19:47:44"/>
    <m/>
    <d v="2023-07-10T00:00:00"/>
    <n v="502"/>
    <n v="15208"/>
    <s v="43560825"/>
    <s v="43560825"/>
    <m/>
    <m/>
    <m/>
    <m/>
    <m/>
    <m/>
    <s v="SOLRECOUP"/>
    <s v="SOLRECOUP"/>
    <s v="POARECOUP"/>
    <n v="21356297"/>
    <n v="-40"/>
    <m/>
    <s v="Y"/>
    <n v="2"/>
    <d v="2023-07-10T19:47:44"/>
    <s v="N"/>
    <m/>
    <m/>
    <s v="Expert Disbursement"/>
    <m/>
    <s v="N"/>
    <n v="0"/>
    <n v="0"/>
    <x v="2"/>
    <s v="VALIDATED"/>
    <n v="1"/>
    <s v="01.11.80.000.0000.0000"/>
    <n v="0"/>
    <s v="11"/>
    <s v="0000"/>
    <n v="14912.76"/>
    <n v="0"/>
    <s v="CREDITOR"/>
    <n v="0"/>
    <n v="0"/>
    <n v="0"/>
    <n v="0"/>
    <n v="0"/>
  </r>
  <r>
    <n v="43560825"/>
    <s v="N"/>
    <n v="21356298"/>
    <s v="3000011565500004RC"/>
    <s v="CIVIL"/>
    <d v="2023-06-26T00:00:00"/>
    <d v="2023-07-10T19:47:44"/>
    <m/>
    <d v="2023-07-10T00:00:00"/>
    <n v="502"/>
    <n v="15208"/>
    <s v="43560825"/>
    <s v="43560825"/>
    <m/>
    <m/>
    <m/>
    <m/>
    <m/>
    <m/>
    <s v="SOLRECOUP"/>
    <s v="SOLRECOUP"/>
    <s v="POARECOUP"/>
    <n v="21356298"/>
    <n v="-1417.8"/>
    <m/>
    <s v="Y"/>
    <n v="2"/>
    <d v="2023-07-10T19:47:44"/>
    <s v="N"/>
    <m/>
    <m/>
    <s v="Expert Disbursement"/>
    <m/>
    <s v="N"/>
    <n v="0"/>
    <n v="-236.3"/>
    <x v="2"/>
    <s v="VALIDATED"/>
    <n v="1"/>
    <s v="01.11.80.307.2013.0000"/>
    <n v="-236.3"/>
    <s v="11"/>
    <s v="2013"/>
    <n v="14912.76"/>
    <n v="-236.3"/>
    <s v="CREDITOR"/>
    <n v="0"/>
    <n v="0"/>
    <n v="-236.3"/>
    <n v="0"/>
    <n v="0"/>
  </r>
  <r>
    <n v="10053033"/>
    <s v="N"/>
    <n v="21346263"/>
    <s v="3000005943310001RC"/>
    <s v="CIVIL"/>
    <d v="2023-06-22T00:00:00"/>
    <d v="2023-07-07T19:34:21"/>
    <m/>
    <d v="2023-07-07T00:00:00"/>
    <n v="502"/>
    <n v="15208"/>
    <s v="10053033"/>
    <s v="10053033"/>
    <m/>
    <m/>
    <m/>
    <m/>
    <m/>
    <m/>
    <s v="SOLRECOUP"/>
    <s v="SOLRECOUP"/>
    <s v="POARECOUP"/>
    <n v="21346263"/>
    <n v="-779"/>
    <m/>
    <s v="Y"/>
    <n v="1"/>
    <d v="2023-07-07T19:34:22"/>
    <s v="N"/>
    <m/>
    <m/>
    <s v="Profit Cost"/>
    <m/>
    <s v="N"/>
    <n v="-649.17"/>
    <n v="0"/>
    <x v="9"/>
    <s v="VALIDATED"/>
    <n v="1"/>
    <s v="01.11.80.308.2013.0000"/>
    <n v="-649.17"/>
    <s v="11"/>
    <s v="2013"/>
    <n v="14912.76"/>
    <n v="-649.17"/>
    <s v="CREDITOR"/>
    <n v="0"/>
    <n v="0"/>
    <n v="-649.17"/>
    <n v="-162.2925"/>
    <n v="0"/>
  </r>
  <r>
    <n v="10053033"/>
    <s v="N"/>
    <n v="21346263"/>
    <s v="3000005943310001RC"/>
    <s v="CIVIL"/>
    <d v="2023-06-22T00:00:00"/>
    <d v="2023-07-07T19:34:21"/>
    <m/>
    <d v="2023-07-07T00:00:00"/>
    <n v="502"/>
    <n v="15208"/>
    <s v="10053033"/>
    <s v="10053033"/>
    <m/>
    <m/>
    <m/>
    <m/>
    <m/>
    <m/>
    <s v="SOLRECOUP"/>
    <s v="SOLRECOUP"/>
    <s v="POARECOUP"/>
    <n v="21346263"/>
    <n v="-779"/>
    <m/>
    <s v="Y"/>
    <n v="2"/>
    <d v="2023-07-07T19:34:22"/>
    <s v="N"/>
    <m/>
    <m/>
    <s v="Profit Cost"/>
    <m/>
    <s v="N"/>
    <n v="0"/>
    <n v="-129.83"/>
    <x v="9"/>
    <s v="VALIDATED"/>
    <n v="1"/>
    <s v="01.11.80.308.2013.0000"/>
    <n v="-129.83"/>
    <s v="11"/>
    <s v="2013"/>
    <n v="14912.76"/>
    <n v="-129.83"/>
    <s v="CREDITOR"/>
    <n v="0"/>
    <n v="0"/>
    <n v="-129.83"/>
    <n v="-32.4575"/>
    <n v="0"/>
  </r>
  <r>
    <n v="10053033"/>
    <s v="N"/>
    <n v="21346264"/>
    <s v="3000005943310003RC"/>
    <s v="CIVIL"/>
    <d v="2023-06-22T00:00:00"/>
    <d v="2023-07-07T19:34:21"/>
    <m/>
    <d v="2023-07-07T00:00:00"/>
    <n v="502"/>
    <n v="15208"/>
    <s v="10053033"/>
    <s v="10053033"/>
    <m/>
    <m/>
    <m/>
    <m/>
    <m/>
    <m/>
    <s v="SOLRECOUP"/>
    <s v="SOLRECOUP"/>
    <s v="POARECOUP"/>
    <n v="21346264"/>
    <n v="-903.65"/>
    <m/>
    <s v="Y"/>
    <n v="1"/>
    <d v="2023-07-07T19:34:22"/>
    <s v="N"/>
    <m/>
    <m/>
    <s v="Profit Cost"/>
    <m/>
    <s v="N"/>
    <n v="-753.04"/>
    <n v="0"/>
    <x v="9"/>
    <s v="VALIDATED"/>
    <n v="1"/>
    <s v="01.11.80.308.2013.0000"/>
    <n v="-753.04"/>
    <s v="11"/>
    <s v="2013"/>
    <n v="14912.76"/>
    <n v="-753.04"/>
    <s v="CREDITOR"/>
    <n v="0"/>
    <n v="0"/>
    <n v="-753.04"/>
    <n v="-188.26"/>
    <n v="0"/>
  </r>
  <r>
    <n v="10053033"/>
    <s v="N"/>
    <n v="21346264"/>
    <s v="3000005943310003RC"/>
    <s v="CIVIL"/>
    <d v="2023-06-22T00:00:00"/>
    <d v="2023-07-07T19:34:21"/>
    <m/>
    <d v="2023-07-07T00:00:00"/>
    <n v="502"/>
    <n v="15208"/>
    <s v="10053033"/>
    <s v="10053033"/>
    <m/>
    <m/>
    <m/>
    <m/>
    <m/>
    <m/>
    <s v="SOLRECOUP"/>
    <s v="SOLRECOUP"/>
    <s v="POARECOUP"/>
    <n v="21346264"/>
    <n v="-903.65"/>
    <m/>
    <s v="Y"/>
    <n v="2"/>
    <d v="2023-07-07T19:34:22"/>
    <s v="N"/>
    <m/>
    <m/>
    <s v="Profit Cost"/>
    <m/>
    <s v="N"/>
    <n v="0"/>
    <n v="-150.61"/>
    <x v="9"/>
    <s v="VALIDATED"/>
    <n v="1"/>
    <s v="01.11.80.308.2013.0000"/>
    <n v="-150.61"/>
    <s v="11"/>
    <s v="2013"/>
    <n v="14912.76"/>
    <n v="-150.61"/>
    <s v="CREDITOR"/>
    <n v="0"/>
    <n v="0"/>
    <n v="-150.61"/>
    <n v="-37.6525"/>
    <n v="0"/>
  </r>
  <r>
    <n v="10053033"/>
    <s v="N"/>
    <n v="21346265"/>
    <s v="3000005943310006RC"/>
    <s v="CIVIL"/>
    <d v="2023-06-22T00:00:00"/>
    <d v="2023-07-07T19:34:21"/>
    <m/>
    <d v="2023-07-07T00:00:00"/>
    <n v="502"/>
    <n v="15208"/>
    <s v="10053033"/>
    <s v="10053033"/>
    <m/>
    <m/>
    <m/>
    <m/>
    <m/>
    <m/>
    <s v="SOLRECOUP"/>
    <s v="SOLRECOUP"/>
    <s v="POARECOUP"/>
    <n v="21346265"/>
    <n v="-155"/>
    <m/>
    <s v="Y"/>
    <n v="1"/>
    <d v="2023-07-07T19:34:22"/>
    <s v="N"/>
    <m/>
    <m/>
    <s v="Non Expert Disbursement"/>
    <m/>
    <s v="N"/>
    <n v="-155"/>
    <n v="0"/>
    <x v="9"/>
    <s v="VALIDATED"/>
    <n v="1"/>
    <s v="01.11.80.308.2013.0000"/>
    <n v="-155"/>
    <s v="11"/>
    <s v="2013"/>
    <n v="14912.76"/>
    <n v="-155"/>
    <s v="CREDITOR"/>
    <n v="0"/>
    <n v="0"/>
    <n v="-155"/>
    <n v="0"/>
    <n v="0"/>
  </r>
  <r>
    <n v="10053033"/>
    <s v="N"/>
    <n v="21346265"/>
    <s v="3000005943310006RC"/>
    <s v="CIVIL"/>
    <d v="2023-06-22T00:00:00"/>
    <d v="2023-07-07T19:34:21"/>
    <m/>
    <d v="2023-07-07T00:00:00"/>
    <n v="502"/>
    <n v="15208"/>
    <s v="10053033"/>
    <s v="10053033"/>
    <m/>
    <m/>
    <m/>
    <m/>
    <m/>
    <m/>
    <s v="SOLRECOUP"/>
    <s v="SOLRECOUP"/>
    <s v="POARECOUP"/>
    <n v="21346265"/>
    <n v="-155"/>
    <m/>
    <s v="Y"/>
    <n v="2"/>
    <d v="2023-07-07T19:34:22"/>
    <s v="N"/>
    <m/>
    <m/>
    <s v="Non Expert Disbursement"/>
    <m/>
    <s v="N"/>
    <n v="0"/>
    <n v="0"/>
    <x v="9"/>
    <s v="VALIDATED"/>
    <n v="1"/>
    <s v="01.11.80.000.0000.0000"/>
    <n v="0"/>
    <s v="11"/>
    <s v="0000"/>
    <n v="14912.76"/>
    <n v="0"/>
    <s v="CREDITOR"/>
    <n v="0"/>
    <n v="0"/>
    <n v="0"/>
    <n v="0"/>
    <n v="0"/>
  </r>
  <r>
    <n v="43560825"/>
    <s v="N"/>
    <n v="21356298"/>
    <s v="3000011565500004RC"/>
    <s v="CIVIL"/>
    <d v="2023-06-26T00:00:00"/>
    <d v="2023-07-10T19:47:44"/>
    <m/>
    <d v="2023-07-10T00:00:00"/>
    <n v="502"/>
    <n v="15208"/>
    <s v="43560825"/>
    <s v="43560825"/>
    <m/>
    <m/>
    <m/>
    <m/>
    <m/>
    <m/>
    <s v="SOLRECOUP"/>
    <s v="SOLRECOUP"/>
    <s v="POARECOUP"/>
    <n v="21356298"/>
    <n v="-1417.8"/>
    <m/>
    <s v="Y"/>
    <n v="1"/>
    <d v="2023-07-10T19:47:44"/>
    <s v="N"/>
    <m/>
    <m/>
    <s v="Expert Disbursement"/>
    <m/>
    <s v="N"/>
    <n v="-1181.5"/>
    <n v="0"/>
    <x v="2"/>
    <s v="VALIDATED"/>
    <n v="1"/>
    <s v="01.11.80.307.2013.0000"/>
    <n v="-1181.5"/>
    <s v="11"/>
    <s v="2013"/>
    <n v="14912.76"/>
    <n v="-1181.5"/>
    <s v="CREDITOR"/>
    <n v="0"/>
    <n v="0"/>
    <n v="-1181.5"/>
    <n v="0"/>
    <n v="0"/>
  </r>
  <r>
    <n v="43560825"/>
    <s v="N"/>
    <n v="21356299"/>
    <s v="3000011565500008RC"/>
    <s v="CIVIL"/>
    <d v="2023-06-26T00:00:00"/>
    <d v="2023-07-10T19:47:44"/>
    <m/>
    <d v="2023-07-10T00:00:00"/>
    <n v="502"/>
    <n v="15208"/>
    <s v="43560825"/>
    <s v="43560825"/>
    <m/>
    <m/>
    <m/>
    <m/>
    <m/>
    <m/>
    <s v="SOLRECOUP"/>
    <s v="SOLRECOUP"/>
    <s v="POARECOUP"/>
    <n v="21356299"/>
    <n v="-1932.66"/>
    <m/>
    <s v="Y"/>
    <n v="2"/>
    <d v="2023-07-10T19:47:44"/>
    <s v="N"/>
    <m/>
    <m/>
    <s v="Profit Cost"/>
    <m/>
    <s v="N"/>
    <n v="0"/>
    <n v="-322.11"/>
    <x v="2"/>
    <s v="VALIDATED"/>
    <n v="1"/>
    <s v="01.11.80.307.2013.0000"/>
    <n v="-322.11"/>
    <s v="11"/>
    <s v="2013"/>
    <n v="14912.76"/>
    <n v="-322.11"/>
    <s v="CREDITOR"/>
    <n v="0"/>
    <n v="0"/>
    <n v="-322.11"/>
    <n v="-80.5275"/>
    <n v="0"/>
  </r>
  <r>
    <n v="43560825"/>
    <s v="N"/>
    <n v="21356299"/>
    <s v="3000011565500008RC"/>
    <s v="CIVIL"/>
    <d v="2023-06-26T00:00:00"/>
    <d v="2023-07-10T19:47:44"/>
    <m/>
    <d v="2023-07-10T00:00:00"/>
    <n v="502"/>
    <n v="15208"/>
    <s v="43560825"/>
    <s v="43560825"/>
    <m/>
    <m/>
    <m/>
    <m/>
    <m/>
    <m/>
    <s v="SOLRECOUP"/>
    <s v="SOLRECOUP"/>
    <s v="POARECOUP"/>
    <n v="21356299"/>
    <n v="-1932.66"/>
    <m/>
    <s v="Y"/>
    <n v="1"/>
    <d v="2023-07-10T19:47:44"/>
    <s v="N"/>
    <m/>
    <m/>
    <s v="Profit Cost"/>
    <m/>
    <s v="N"/>
    <n v="-1610.55"/>
    <n v="0"/>
    <x v="2"/>
    <s v="VALIDATED"/>
    <n v="1"/>
    <s v="01.11.80.307.2013.0000"/>
    <n v="-1610.55"/>
    <s v="11"/>
    <s v="2013"/>
    <n v="14912.76"/>
    <n v="-1610.55"/>
    <s v="CREDITOR"/>
    <n v="0"/>
    <n v="0"/>
    <n v="-1610.55"/>
    <n v="-402.6375"/>
    <n v="0"/>
  </r>
  <r>
    <n v="43560825"/>
    <s v="N"/>
    <n v="21356300"/>
    <s v="3000011565500006RC"/>
    <s v="CIVIL"/>
    <d v="2023-06-26T00:00:00"/>
    <d v="2023-07-10T19:47:44"/>
    <m/>
    <d v="2023-07-10T00:00:00"/>
    <n v="502"/>
    <n v="15208"/>
    <s v="43560825"/>
    <s v="43560825"/>
    <m/>
    <m/>
    <m/>
    <m/>
    <m/>
    <m/>
    <s v="SOLRECOUP"/>
    <s v="SOLRECOUP"/>
    <s v="POARECOUP"/>
    <n v="21356300"/>
    <n v="-120"/>
    <m/>
    <s v="Y"/>
    <n v="1"/>
    <d v="2023-07-10T19:47:44"/>
    <s v="N"/>
    <m/>
    <m/>
    <s v="Expert Disbursement"/>
    <m/>
    <s v="N"/>
    <n v="-120"/>
    <n v="0"/>
    <x v="2"/>
    <s v="VALIDATED"/>
    <n v="1"/>
    <s v="01.11.80.307.2013.0000"/>
    <n v="-120"/>
    <s v="11"/>
    <s v="2013"/>
    <n v="14912.76"/>
    <n v="-120"/>
    <s v="CREDITOR"/>
    <n v="0"/>
    <n v="0"/>
    <n v="-120"/>
    <n v="0"/>
    <n v="0"/>
  </r>
  <r>
    <n v="59943096"/>
    <s v="N"/>
    <n v="21331096"/>
    <s v="3000014295590004"/>
    <s v="CIVIL"/>
    <d v="2023-06-05T00:00:00"/>
    <d v="2023-07-05T19:01:47"/>
    <m/>
    <d v="2023-07-05T00:00:00"/>
    <n v="502"/>
    <n v="15208"/>
    <s v="59943096"/>
    <s v="59943096"/>
    <m/>
    <m/>
    <n v="22615402"/>
    <m/>
    <m/>
    <m/>
    <s v="SOLFIN"/>
    <s v="SOLFIN"/>
    <s v="CCMS"/>
    <n v="21331096"/>
    <n v="3875.39"/>
    <m/>
    <s v="N"/>
    <n v="7"/>
    <d v="2023-07-05T19:02:05"/>
    <s v="Y"/>
    <s v="Preparation - other"/>
    <s v="Prescribed Hourly Rates"/>
    <s v="Profit Cost"/>
    <s v="ELBT"/>
    <s v="Y"/>
    <n v="18.94"/>
    <n v="3.79"/>
    <x v="6"/>
    <s v="VALIDATED"/>
    <n v="1"/>
    <s v="01.11.80.302.6100.0000"/>
    <n v="18.94"/>
    <s v="11"/>
    <s v="6100"/>
    <n v="14912.76"/>
    <n v="18.94"/>
    <s v="CREDITOR"/>
    <n v="0"/>
    <n v="0"/>
    <n v="0"/>
    <n v="0"/>
    <n v="18.94"/>
  </r>
  <r>
    <n v="59943096"/>
    <s v="N"/>
    <n v="21331096"/>
    <s v="3000014295590004"/>
    <s v="CIVIL"/>
    <d v="2023-06-05T00:00:00"/>
    <d v="2023-07-05T19:01:47"/>
    <m/>
    <d v="2023-07-05T00:00:00"/>
    <n v="502"/>
    <n v="15208"/>
    <s v="59943096"/>
    <s v="59943096"/>
    <m/>
    <m/>
    <n v="22615402"/>
    <m/>
    <m/>
    <m/>
    <s v="SOLFIN"/>
    <s v="SOLFIN"/>
    <s v="CCMS"/>
    <n v="21331096"/>
    <n v="3875.39"/>
    <m/>
    <s v="N"/>
    <n v="30"/>
    <d v="2023-07-05T19:02:05"/>
    <s v="Y"/>
    <s v="Preparation - other"/>
    <s v="Prescribed Hourly Rates"/>
    <s v="Profit Cost"/>
    <s v="ELBT"/>
    <s v="Y"/>
    <n v="12.63"/>
    <n v="2.53"/>
    <x v="6"/>
    <s v="VALIDATED"/>
    <n v="1"/>
    <s v="01.11.80.302.6100.0000"/>
    <n v="12.63"/>
    <s v="11"/>
    <s v="6100"/>
    <n v="14912.76"/>
    <n v="12.63"/>
    <s v="CREDITOR"/>
    <n v="0"/>
    <n v="0"/>
    <n v="0"/>
    <n v="0"/>
    <n v="12.63"/>
  </r>
  <r>
    <n v="59943096"/>
    <s v="N"/>
    <n v="21331096"/>
    <s v="3000014295590004"/>
    <s v="CIVIL"/>
    <d v="2023-06-05T00:00:00"/>
    <d v="2023-07-05T19:01:47"/>
    <m/>
    <d v="2023-07-05T00:00:00"/>
    <n v="502"/>
    <n v="15208"/>
    <s v="59943096"/>
    <s v="59943096"/>
    <m/>
    <m/>
    <n v="22615402"/>
    <m/>
    <m/>
    <m/>
    <s v="SOLFIN"/>
    <s v="SOLFIN"/>
    <s v="CCMS"/>
    <n v="21331096"/>
    <n v="3875.39"/>
    <m/>
    <s v="N"/>
    <n v="3"/>
    <d v="2023-07-05T19:02:05"/>
    <s v="Y"/>
    <s v="Preparation - drafting bill/claim f"/>
    <s v="Prescribed Hourly Rates"/>
    <s v="Profit Cost"/>
    <s v="JJA"/>
    <s v="Y"/>
    <n v="159.21"/>
    <n v="31.84"/>
    <x v="6"/>
    <s v="VALIDATED"/>
    <n v="1"/>
    <s v="01.11.80.302.6100.0000"/>
    <n v="159.21"/>
    <s v="11"/>
    <s v="6100"/>
    <n v="14912.76"/>
    <n v="159.21"/>
    <s v="CREDITOR"/>
    <n v="0"/>
    <n v="0"/>
    <n v="0"/>
    <n v="0"/>
    <n v="159.21"/>
  </r>
  <r>
    <n v="61332311"/>
    <s v="N"/>
    <n v="21319400"/>
    <s v="3000015474220005"/>
    <s v="CIVIL"/>
    <d v="2023-06-27T00:00:00"/>
    <d v="2023-07-03T19:04:24"/>
    <m/>
    <d v="2023-07-03T00:00:00"/>
    <n v="502"/>
    <n v="15208"/>
    <s v="61332311"/>
    <s v="61332311"/>
    <m/>
    <m/>
    <n v="22767530"/>
    <m/>
    <m/>
    <m/>
    <s v="SOLPOA"/>
    <s v="SOLPOA"/>
    <s v="CCMS"/>
    <n v="21319400"/>
    <n v="135"/>
    <m/>
    <s v="N"/>
    <n v="1"/>
    <d v="2023-07-03T19:04:25"/>
    <s v="N"/>
    <s v="Non Expert Disbursement - Private L"/>
    <s v="Non Expert Disbursement - Priv"/>
    <s v="Non Expert Disbursement"/>
    <s v="TGW/WOO722/1"/>
    <s v="N"/>
    <n v="135"/>
    <n v="0"/>
    <x v="3"/>
    <s v="VALIDATED"/>
    <n v="1"/>
    <s v="01.11.80.307.2012.0000"/>
    <n v="135"/>
    <s v="11"/>
    <s v="2012"/>
    <n v="14912.76"/>
    <n v="135"/>
    <s v="CREDITOR"/>
    <n v="135"/>
    <n v="0"/>
    <n v="0"/>
    <n v="0"/>
    <n v="0"/>
  </r>
  <r>
    <n v="10053033"/>
    <s v="N"/>
    <n v="21343530"/>
    <s v="3000005943310008"/>
    <s v="CIVIL"/>
    <d v="2023-06-22T00:00:00"/>
    <d v="2023-07-07T19:03:00"/>
    <m/>
    <d v="2023-07-07T00:00:00"/>
    <n v="502"/>
    <n v="15208"/>
    <s v="10053033"/>
    <s v="10053033"/>
    <m/>
    <m/>
    <n v="22743126"/>
    <m/>
    <m/>
    <m/>
    <s v="SOLFIN"/>
    <s v="SOLFIN"/>
    <s v="CCMS"/>
    <n v="21343530"/>
    <n v="3538.99"/>
    <m/>
    <s v="N"/>
    <n v="3"/>
    <d v="2023-07-07T19:03:10"/>
    <s v="Y"/>
    <s v="Solicitor Travel Mileage"/>
    <s v="Public Law Children"/>
    <s v="Non Expert Disbursement"/>
    <s v="ALK"/>
    <s v="Y"/>
    <n v="31.5"/>
    <n v="6.3"/>
    <x v="9"/>
    <s v="VALIDATED"/>
    <n v="1"/>
    <s v="01.11.80.308.6300.0000"/>
    <n v="31.5"/>
    <s v="11"/>
    <s v="6300"/>
    <n v="14912.76"/>
    <n v="31.5"/>
    <s v="CREDITOR"/>
    <n v="0"/>
    <n v="0"/>
    <n v="0"/>
    <n v="0"/>
    <n v="31.5"/>
  </r>
  <r>
    <n v="59943096"/>
    <s v="N"/>
    <n v="21331096"/>
    <s v="3000014295590004"/>
    <s v="CIVIL"/>
    <d v="2023-06-05T00:00:00"/>
    <d v="2023-07-05T19:01:47"/>
    <m/>
    <d v="2023-07-05T00:00:00"/>
    <n v="502"/>
    <n v="15208"/>
    <s v="59943096"/>
    <s v="59943096"/>
    <m/>
    <m/>
    <n v="22615402"/>
    <m/>
    <m/>
    <m/>
    <s v="SOLFIN"/>
    <s v="SOLFIN"/>
    <s v="CCMS"/>
    <n v="21331096"/>
    <n v="3875.39"/>
    <m/>
    <s v="N"/>
    <n v="34"/>
    <d v="2023-07-05T19:02:05"/>
    <s v="Y"/>
    <s v="Preparation - other"/>
    <s v="Prescribed Hourly Rates"/>
    <s v="Profit Cost"/>
    <s v="AIP"/>
    <s v="Y"/>
    <n v="27.45"/>
    <n v="5.49"/>
    <x v="6"/>
    <s v="VALIDATED"/>
    <n v="1"/>
    <s v="01.11.80.302.6100.0000"/>
    <n v="27.45"/>
    <s v="11"/>
    <s v="6100"/>
    <n v="14912.76"/>
    <n v="27.45"/>
    <s v="CREDITOR"/>
    <n v="0"/>
    <n v="0"/>
    <n v="0"/>
    <n v="0"/>
    <n v="27.45"/>
  </r>
  <r>
    <n v="59943096"/>
    <s v="N"/>
    <n v="21331096"/>
    <s v="3000014295590004"/>
    <s v="CIVIL"/>
    <d v="2023-06-05T00:00:00"/>
    <d v="2023-07-05T19:01:47"/>
    <m/>
    <d v="2023-07-05T00:00:00"/>
    <n v="502"/>
    <n v="15208"/>
    <s v="59943096"/>
    <s v="59943096"/>
    <m/>
    <m/>
    <n v="22615402"/>
    <m/>
    <m/>
    <m/>
    <s v="SOLFIN"/>
    <s v="SOLFIN"/>
    <s v="CCMS"/>
    <n v="21331096"/>
    <n v="3875.39"/>
    <m/>
    <s v="N"/>
    <n v="44"/>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47"/>
    <d v="2023-07-05T19:02:05"/>
    <s v="Y"/>
    <s v="Preparation - other"/>
    <s v="Prescribed Hourly Rates"/>
    <s v="Profit Cost"/>
    <s v="AIP"/>
    <s v="Y"/>
    <n v="27.45"/>
    <n v="5.49"/>
    <x v="6"/>
    <s v="VALIDATED"/>
    <n v="1"/>
    <s v="01.11.80.302.6100.0000"/>
    <n v="27.45"/>
    <s v="11"/>
    <s v="6100"/>
    <n v="14912.76"/>
    <n v="27.45"/>
    <s v="CREDITOR"/>
    <n v="0"/>
    <n v="0"/>
    <n v="0"/>
    <n v="0"/>
    <n v="27.45"/>
  </r>
  <r>
    <n v="4746359"/>
    <s v="N"/>
    <n v="21319153"/>
    <s v="3000001747510043"/>
    <s v="CIVIL"/>
    <d v="2017-03-30T00:00:00"/>
    <d v="2023-07-03T19:01:49"/>
    <m/>
    <d v="2023-07-03T00:00:00"/>
    <n v="502"/>
    <n v="15208"/>
    <s v="4746359"/>
    <s v="4746359"/>
    <m/>
    <m/>
    <n v="3647762"/>
    <m/>
    <m/>
    <m/>
    <s v="SOLPOA"/>
    <s v="SOLPOA"/>
    <s v="CCMS"/>
    <n v="21319153"/>
    <n v="519.23"/>
    <m/>
    <s v="N"/>
    <n v="1"/>
    <d v="2023-07-03T19:02:13"/>
    <s v="N"/>
    <s v="Level 3 Fixed Fee"/>
    <s v="Private Law Children"/>
    <s v="Profit Cost"/>
    <s v="sally alexander"/>
    <s v="N"/>
    <n v="432.69"/>
    <n v="86.54000000000001"/>
    <x v="3"/>
    <s v="VALIDATED"/>
    <n v="1"/>
    <s v="01.11.80.307.2012.0000"/>
    <n v="432.69"/>
    <s v="11"/>
    <s v="2012"/>
    <n v="14912.76"/>
    <n v="432.69"/>
    <s v="CREDITOR"/>
    <n v="432.69"/>
    <n v="108.1725"/>
    <n v="0"/>
    <n v="0"/>
    <n v="0"/>
  </r>
  <r>
    <n v="56159186"/>
    <s v="N"/>
    <n v="21319053"/>
    <s v="3000013318490011"/>
    <s v="CIVIL"/>
    <d v="2023-06-23T00:00:00"/>
    <d v="2023-07-03T19:01:49"/>
    <m/>
    <d v="2023-07-03T00:00:00"/>
    <n v="502"/>
    <n v="15208"/>
    <s v="56159186"/>
    <s v="56159186"/>
    <m/>
    <m/>
    <n v="22754074"/>
    <m/>
    <m/>
    <m/>
    <s v="SOLFIN"/>
    <s v="SOLFIN"/>
    <s v="CCMS"/>
    <n v="21319053"/>
    <n v="6471.99"/>
    <m/>
    <s v="N"/>
    <n v="2"/>
    <d v="2023-07-03T19:02:09"/>
    <s v="Y"/>
    <s v="Toxicologist"/>
    <s v="Public Law Children"/>
    <s v="Expert Disbursement"/>
    <s v="ALK"/>
    <s v="Y"/>
    <n v="175.25"/>
    <n v="35.05"/>
    <x v="3"/>
    <s v="VALIDATED"/>
    <n v="1"/>
    <s v="01.11.80.308.6300.0000"/>
    <n v="175.25"/>
    <s v="11"/>
    <s v="6300"/>
    <n v="14912.76"/>
    <n v="175.25"/>
    <s v="CREDITOR"/>
    <n v="0"/>
    <n v="0"/>
    <n v="0"/>
    <n v="0"/>
    <n v="175.25"/>
  </r>
  <r>
    <n v="59943096"/>
    <s v="N"/>
    <n v="21331096"/>
    <s v="3000014295590004"/>
    <s v="CIVIL"/>
    <d v="2023-06-05T00:00:00"/>
    <d v="2023-07-05T19:01:47"/>
    <m/>
    <d v="2023-07-05T00:00:00"/>
    <n v="502"/>
    <n v="15208"/>
    <s v="59943096"/>
    <s v="59943096"/>
    <m/>
    <m/>
    <n v="22615402"/>
    <m/>
    <m/>
    <m/>
    <s v="SOLFIN"/>
    <s v="SOLFIN"/>
    <s v="CCMS"/>
    <n v="21331096"/>
    <n v="3875.39"/>
    <m/>
    <s v="N"/>
    <n v="6"/>
    <d v="2023-07-05T19:02:05"/>
    <s v="Y"/>
    <s v="Preparation - other"/>
    <s v="Prescribed Hourly Rates"/>
    <s v="Profit Cost"/>
    <s v="ELBT"/>
    <s v="Y"/>
    <n v="12.63"/>
    <n v="2.53"/>
    <x v="6"/>
    <s v="VALIDATED"/>
    <n v="1"/>
    <s v="01.11.80.302.6100.0000"/>
    <n v="12.63"/>
    <s v="11"/>
    <s v="6100"/>
    <n v="14912.76"/>
    <n v="12.63"/>
    <s v="CREDITOR"/>
    <n v="0"/>
    <n v="0"/>
    <n v="0"/>
    <n v="0"/>
    <n v="12.63"/>
  </r>
  <r>
    <n v="59943096"/>
    <s v="N"/>
    <n v="21331096"/>
    <s v="3000014295590004"/>
    <s v="CIVIL"/>
    <d v="2023-06-05T00:00:00"/>
    <d v="2023-07-05T19:01:47"/>
    <m/>
    <d v="2023-07-05T00:00:00"/>
    <n v="502"/>
    <n v="15208"/>
    <s v="59943096"/>
    <s v="59943096"/>
    <m/>
    <m/>
    <n v="22615402"/>
    <m/>
    <m/>
    <m/>
    <s v="SOLFIN"/>
    <s v="SOLFIN"/>
    <s v="CCMS"/>
    <n v="21331096"/>
    <n v="3875.39"/>
    <m/>
    <s v="N"/>
    <n v="40"/>
    <d v="2023-07-05T19:02:05"/>
    <s v="Y"/>
    <s v="Preparation - other"/>
    <s v="Prescribed Hourly Rates"/>
    <s v="Profit Cost"/>
    <s v="AIP"/>
    <s v="Y"/>
    <n v="27.45"/>
    <n v="5.49"/>
    <x v="6"/>
    <s v="VALIDATED"/>
    <n v="1"/>
    <s v="01.11.80.302.6100.0000"/>
    <n v="27.45"/>
    <s v="11"/>
    <s v="6100"/>
    <n v="14912.76"/>
    <n v="27.45"/>
    <s v="CREDITOR"/>
    <n v="0"/>
    <n v="0"/>
    <n v="0"/>
    <n v="0"/>
    <n v="27.45"/>
  </r>
  <r>
    <n v="59943096"/>
    <s v="N"/>
    <n v="21331096"/>
    <s v="3000014295590004"/>
    <s v="CIVIL"/>
    <d v="2023-06-05T00:00:00"/>
    <d v="2023-07-05T19:01:47"/>
    <m/>
    <d v="2023-07-05T00:00:00"/>
    <n v="502"/>
    <n v="15208"/>
    <s v="59943096"/>
    <s v="59943096"/>
    <m/>
    <m/>
    <n v="22615402"/>
    <m/>
    <m/>
    <m/>
    <s v="SOLFIN"/>
    <s v="SOLFIN"/>
    <s v="CCMS"/>
    <n v="21331096"/>
    <n v="3875.39"/>
    <m/>
    <s v="N"/>
    <n v="42"/>
    <d v="2023-07-05T19:02:05"/>
    <s v="Y"/>
    <s v="Preparation - other"/>
    <s v="Prescribed Hourly Rates"/>
    <s v="Profit Cost"/>
    <s v="ELBT"/>
    <s v="Y"/>
    <n v="18.94"/>
    <n v="3.79"/>
    <x v="6"/>
    <s v="VALIDATED"/>
    <n v="1"/>
    <s v="01.11.80.302.6100.0000"/>
    <n v="18.94"/>
    <s v="11"/>
    <s v="6100"/>
    <n v="14912.76"/>
    <n v="18.94"/>
    <s v="CREDITOR"/>
    <n v="0"/>
    <n v="0"/>
    <n v="0"/>
    <n v="0"/>
    <n v="18.94"/>
  </r>
  <r>
    <n v="59943096"/>
    <s v="N"/>
    <n v="21331096"/>
    <s v="3000014295590004"/>
    <s v="CIVIL"/>
    <d v="2023-06-05T00:00:00"/>
    <d v="2023-07-05T19:01:47"/>
    <m/>
    <d v="2023-07-05T00:00:00"/>
    <n v="502"/>
    <n v="15208"/>
    <s v="59943096"/>
    <s v="59943096"/>
    <m/>
    <m/>
    <n v="22615402"/>
    <m/>
    <m/>
    <m/>
    <s v="SOLFIN"/>
    <s v="SOLFIN"/>
    <s v="CCMS"/>
    <n v="21331096"/>
    <n v="3875.39"/>
    <m/>
    <s v="N"/>
    <n v="53"/>
    <d v="2023-07-05T19:02:05"/>
    <s v="Y"/>
    <s v="Process server"/>
    <s v="Domestic Abuse"/>
    <s v="Expert Disbursement"/>
    <s v="ELBT"/>
    <s v="Y"/>
    <n v="196.79"/>
    <n v="39.36"/>
    <x v="6"/>
    <s v="VALIDATED"/>
    <n v="1"/>
    <s v="01.11.80.302.6300.0000"/>
    <n v="196.79"/>
    <s v="11"/>
    <s v="6300"/>
    <n v="14912.76"/>
    <n v="196.79"/>
    <s v="CREDITOR"/>
    <n v="0"/>
    <n v="0"/>
    <n v="0"/>
    <n v="0"/>
    <n v="196.79"/>
  </r>
  <r>
    <n v="59943096"/>
    <s v="N"/>
    <n v="21331096"/>
    <s v="3000014295590004"/>
    <s v="CIVIL"/>
    <d v="2023-06-05T00:00:00"/>
    <d v="2023-07-05T19:01:47"/>
    <m/>
    <d v="2023-07-05T00:00:00"/>
    <n v="502"/>
    <n v="15208"/>
    <s v="59943096"/>
    <s v="59943096"/>
    <m/>
    <m/>
    <n v="22615402"/>
    <m/>
    <m/>
    <m/>
    <s v="SOLFIN"/>
    <s v="SOLFIN"/>
    <s v="CCMS"/>
    <n v="21331096"/>
    <n v="3875.39"/>
    <m/>
    <s v="N"/>
    <n v="54"/>
    <d v="2023-07-05T19:02:05"/>
    <s v="Y"/>
    <s v="Court Fee"/>
    <s v="Finance"/>
    <s v="Non Expert Disbursement"/>
    <s v="ELBT"/>
    <s v="Y"/>
    <n v="275"/>
    <n v="0"/>
    <x v="6"/>
    <s v="VALIDATED"/>
    <n v="1"/>
    <s v="01.11.80.302.6300.0000"/>
    <n v="275"/>
    <s v="11"/>
    <s v="6300"/>
    <n v="14912.76"/>
    <n v="275"/>
    <s v="CREDITOR"/>
    <n v="0"/>
    <n v="0"/>
    <n v="0"/>
    <n v="0"/>
    <n v="275"/>
  </r>
  <r>
    <n v="56159186"/>
    <s v="N"/>
    <n v="21319053"/>
    <s v="3000013318490011"/>
    <s v="CIVIL"/>
    <d v="2023-06-23T00:00:00"/>
    <d v="2023-07-03T19:01:49"/>
    <m/>
    <d v="2023-07-03T00:00:00"/>
    <n v="502"/>
    <n v="15208"/>
    <s v="56159186"/>
    <s v="56159186"/>
    <m/>
    <m/>
    <n v="22754074"/>
    <m/>
    <m/>
    <m/>
    <s v="SOLFIN"/>
    <s v="SOLFIN"/>
    <s v="CCMS"/>
    <n v="21319053"/>
    <n v="6471.99"/>
    <m/>
    <s v="N"/>
    <n v="6"/>
    <d v="2023-07-03T19:02:09"/>
    <s v="Y"/>
    <s v="Final Hearing - 1 Day"/>
    <s v="Public Law Children"/>
    <s v="Advocacy"/>
    <s v="ALK"/>
    <s v="Y"/>
    <n v="556.88"/>
    <n v="111.38"/>
    <x v="3"/>
    <s v="VALIDATED"/>
    <n v="1"/>
    <s v="01.11.80.308.6100.0000"/>
    <n v="556.88"/>
    <s v="11"/>
    <s v="6100"/>
    <n v="14912.76"/>
    <n v="556.88"/>
    <s v="CREDITOR"/>
    <n v="0"/>
    <n v="0"/>
    <n v="0"/>
    <n v="0"/>
    <n v="556.88"/>
  </r>
  <r>
    <n v="43560825"/>
    <s v="N"/>
    <n v="21349927"/>
    <s v="3000011565500020"/>
    <s v="CIVIL"/>
    <d v="2023-06-26T00:00:00"/>
    <d v="2023-07-10T19:01:40"/>
    <m/>
    <d v="2023-07-10T00:00:00"/>
    <n v="502"/>
    <n v="15208"/>
    <s v="43560825"/>
    <s v="43560825"/>
    <m/>
    <m/>
    <n v="22760370"/>
    <m/>
    <m/>
    <m/>
    <s v="SOLFIN"/>
    <s v="SOLFIN"/>
    <s v="CCMS"/>
    <n v="21349927"/>
    <n v="12148.97"/>
    <m/>
    <s v="N"/>
    <n v="9"/>
    <d v="2023-07-10T19:02:04"/>
    <s v="Y"/>
    <s v="GP (records report)"/>
    <s v="Private Law Children"/>
    <s v="Expert Disbursement"/>
    <s v="Rolle Medical Partnerhsip"/>
    <s v="Y"/>
    <n v="40"/>
    <n v="0"/>
    <x v="2"/>
    <s v="VALIDATED"/>
    <n v="1"/>
    <s v="01.11.80.307.6300.0000"/>
    <n v="40"/>
    <s v="11"/>
    <s v="6300"/>
    <n v="14912.76"/>
    <n v="40"/>
    <s v="CREDITOR"/>
    <n v="0"/>
    <n v="0"/>
    <n v="0"/>
    <n v="0"/>
    <n v="40"/>
  </r>
  <r>
    <n v="59943096"/>
    <s v="N"/>
    <n v="21331096"/>
    <s v="3000014295590004"/>
    <s v="CIVIL"/>
    <d v="2023-06-05T00:00:00"/>
    <d v="2023-07-05T19:01:47"/>
    <m/>
    <d v="2023-07-05T00:00:00"/>
    <n v="502"/>
    <n v="15208"/>
    <s v="59943096"/>
    <s v="59943096"/>
    <m/>
    <m/>
    <n v="22615402"/>
    <m/>
    <m/>
    <m/>
    <s v="SOLFIN"/>
    <s v="SOLFIN"/>
    <s v="CCMS"/>
    <n v="21331096"/>
    <n v="3875.39"/>
    <m/>
    <s v="N"/>
    <n v="25"/>
    <d v="2023-07-05T19:02:05"/>
    <s v="Y"/>
    <s v="Preparation - other"/>
    <s v="Prescribed Hourly Rates"/>
    <s v="Profit Cost"/>
    <s v="ELBT"/>
    <s v="Y"/>
    <n v="25.25"/>
    <n v="5.05"/>
    <x v="6"/>
    <s v="VALIDATED"/>
    <n v="1"/>
    <s v="01.11.80.302.6100.0000"/>
    <n v="25.25"/>
    <s v="11"/>
    <s v="6100"/>
    <n v="14912.76"/>
    <n v="25.25"/>
    <s v="CREDITOR"/>
    <n v="0"/>
    <n v="0"/>
    <n v="0"/>
    <n v="0"/>
    <n v="25.25"/>
  </r>
  <r>
    <n v="59943096"/>
    <s v="N"/>
    <n v="21331096"/>
    <s v="3000014295590004"/>
    <s v="CIVIL"/>
    <d v="2023-06-05T00:00:00"/>
    <d v="2023-07-05T19:01:47"/>
    <m/>
    <d v="2023-07-05T00:00:00"/>
    <n v="502"/>
    <n v="15208"/>
    <s v="59943096"/>
    <s v="59943096"/>
    <m/>
    <m/>
    <n v="22615402"/>
    <m/>
    <m/>
    <m/>
    <s v="SOLFIN"/>
    <s v="SOLFIN"/>
    <s v="CCMS"/>
    <n v="21331096"/>
    <n v="3875.39"/>
    <m/>
    <s v="N"/>
    <n v="24"/>
    <d v="2023-07-05T19:02:05"/>
    <s v="Y"/>
    <s v="Preparation - other"/>
    <s v="Prescribed Hourly Rates"/>
    <s v="Profit Cost"/>
    <s v="AIP"/>
    <s v="Y"/>
    <n v="10.98"/>
    <n v="2.2"/>
    <x v="6"/>
    <s v="VALIDATED"/>
    <n v="1"/>
    <s v="01.11.80.302.6100.0000"/>
    <n v="10.98"/>
    <s v="11"/>
    <s v="6100"/>
    <n v="14912.76"/>
    <n v="10.98"/>
    <s v="CREDITOR"/>
    <n v="0"/>
    <n v="0"/>
    <n v="0"/>
    <n v="0"/>
    <n v="10.98"/>
  </r>
  <r>
    <n v="60331924"/>
    <s v="N"/>
    <n v="21319376"/>
    <s v="3000014630730065"/>
    <s v="CIVIL"/>
    <d v="2023-06-28T00:00:00"/>
    <d v="2023-07-03T19:04:24"/>
    <m/>
    <d v="2023-07-03T00:00:00"/>
    <n v="502"/>
    <n v="15208"/>
    <s v="60331924"/>
    <s v="60331924"/>
    <m/>
    <m/>
    <n v="22777668"/>
    <m/>
    <m/>
    <m/>
    <s v="SOLPOA"/>
    <s v="SOLPOA"/>
    <s v="CCMS"/>
    <n v="21319376"/>
    <n v="263.5"/>
    <m/>
    <s v="N"/>
    <n v="1"/>
    <d v="2023-07-03T19:04:25"/>
    <s v="N"/>
    <s v="Expert Cost"/>
    <s v="Expert Cost"/>
    <s v="Expert Disbursement"/>
    <s v="TGW/HAJ1/5"/>
    <s v="N"/>
    <n v="263.5"/>
    <n v="0"/>
    <x v="3"/>
    <s v="VALIDATED"/>
    <n v="1"/>
    <s v="01.11.80.308.2012.0000"/>
    <n v="263.5"/>
    <s v="11"/>
    <s v="2012"/>
    <n v="14912.76"/>
    <n v="263.5"/>
    <s v="CREDITOR"/>
    <n v="263.5"/>
    <n v="0"/>
    <n v="0"/>
    <n v="0"/>
    <n v="0"/>
  </r>
  <r>
    <n v="59943096"/>
    <s v="N"/>
    <n v="21331096"/>
    <s v="3000014295590004"/>
    <s v="CIVIL"/>
    <d v="2023-06-05T00:00:00"/>
    <d v="2023-07-05T19:01:47"/>
    <m/>
    <d v="2023-07-05T00:00:00"/>
    <n v="502"/>
    <n v="15208"/>
    <s v="59943096"/>
    <s v="59943096"/>
    <m/>
    <m/>
    <n v="22615402"/>
    <m/>
    <m/>
    <m/>
    <s v="SOLFIN"/>
    <s v="SOLFIN"/>
    <s v="CCMS"/>
    <n v="21331096"/>
    <n v="3875.39"/>
    <m/>
    <s v="N"/>
    <n v="16"/>
    <d v="2023-07-05T19:02:05"/>
    <s v="Y"/>
    <s v="Preparation - other"/>
    <s v="Prescribed Hourly Rates"/>
    <s v="Profit Cost"/>
    <s v="ELBT"/>
    <s v="Y"/>
    <n v="31.57"/>
    <n v="6.31"/>
    <x v="6"/>
    <s v="VALIDATED"/>
    <n v="1"/>
    <s v="01.11.80.302.6100.0000"/>
    <n v="31.57"/>
    <s v="11"/>
    <s v="6100"/>
    <n v="14912.76"/>
    <n v="31.57"/>
    <s v="CREDITOR"/>
    <n v="0"/>
    <n v="0"/>
    <n v="0"/>
    <n v="0"/>
    <n v="31.57"/>
  </r>
  <r>
    <n v="60490189"/>
    <s v="N"/>
    <n v="21343587"/>
    <s v="3000014767050006"/>
    <s v="CIVIL"/>
    <d v="2023-06-29T00:00:00"/>
    <d v="2023-07-07T19:03:00"/>
    <m/>
    <d v="2023-07-07T00:00:00"/>
    <n v="502"/>
    <n v="15208"/>
    <s v="60490189"/>
    <s v="60490189"/>
    <m/>
    <m/>
    <n v="22792372"/>
    <m/>
    <m/>
    <m/>
    <s v="SOLPOA"/>
    <s v="SOLPOA"/>
    <s v="CCMS"/>
    <n v="21343587"/>
    <n v="50"/>
    <m/>
    <s v="N"/>
    <n v="1"/>
    <d v="2023-07-07T19:03:11"/>
    <s v="N"/>
    <s v="Non Expert Disbursement - Private L"/>
    <s v="Non Expert Disbursement - Priv"/>
    <s v="Non Expert Disbursement"/>
    <s v="TGW/QUI71/3"/>
    <s v="N"/>
    <n v="50"/>
    <n v="0"/>
    <x v="9"/>
    <s v="VALIDATED"/>
    <n v="1"/>
    <s v="01.11.80.307.2012.0000"/>
    <n v="50"/>
    <s v="11"/>
    <s v="2012"/>
    <n v="14912.76"/>
    <n v="50"/>
    <s v="CREDITOR"/>
    <n v="50"/>
    <n v="0"/>
    <n v="0"/>
    <n v="0"/>
    <n v="0"/>
  </r>
  <r>
    <n v="59943096"/>
    <s v="N"/>
    <n v="21331096"/>
    <s v="3000014295590004"/>
    <s v="CIVIL"/>
    <d v="2023-06-05T00:00:00"/>
    <d v="2023-07-05T19:01:47"/>
    <m/>
    <d v="2023-07-05T00:00:00"/>
    <n v="502"/>
    <n v="15208"/>
    <s v="59943096"/>
    <s v="59943096"/>
    <m/>
    <m/>
    <n v="22615402"/>
    <m/>
    <m/>
    <m/>
    <s v="SOLFIN"/>
    <s v="SOLFIN"/>
    <s v="CCMS"/>
    <n v="21331096"/>
    <n v="3875.39"/>
    <m/>
    <s v="N"/>
    <n v="57"/>
    <d v="2023-07-05T19:02:05"/>
    <s v="N"/>
    <s v="Level 3 Fixed Fee"/>
    <s v="Finance"/>
    <s v="Profit Cost"/>
    <s v="ELBT"/>
    <s v="N"/>
    <n v="0"/>
    <n v="0"/>
    <x v="6"/>
    <s v="VALIDATED"/>
    <n v="1"/>
    <s v="01.11.80.302.6100.0000"/>
    <n v="0"/>
    <s v="11"/>
    <s v="6100"/>
    <n v="14912.76"/>
    <n v="0"/>
    <s v="CREDITOR"/>
    <n v="0"/>
    <n v="0"/>
    <n v="0"/>
    <n v="0"/>
    <n v="0"/>
  </r>
  <r>
    <n v="59943096"/>
    <s v="N"/>
    <n v="21331096"/>
    <s v="3000014295590004"/>
    <s v="CIVIL"/>
    <d v="2023-06-05T00:00:00"/>
    <d v="2023-07-05T19:01:47"/>
    <m/>
    <d v="2023-07-05T00:00:00"/>
    <n v="502"/>
    <n v="15208"/>
    <s v="59943096"/>
    <s v="59943096"/>
    <m/>
    <m/>
    <n v="22615402"/>
    <m/>
    <m/>
    <m/>
    <s v="SOLFIN"/>
    <s v="SOLFIN"/>
    <s v="CCMS"/>
    <n v="21331096"/>
    <n v="3875.39"/>
    <m/>
    <s v="N"/>
    <n v="14"/>
    <d v="2023-07-05T19:02:05"/>
    <s v="Y"/>
    <s v="Preparation - other"/>
    <s v="Prescribed Hourly Rates"/>
    <s v="Profit Cost"/>
    <s v="ELBT"/>
    <s v="Y"/>
    <n v="31.57"/>
    <n v="6.31"/>
    <x v="6"/>
    <s v="VALIDATED"/>
    <n v="1"/>
    <s v="01.11.80.302.6100.0000"/>
    <n v="31.57"/>
    <s v="11"/>
    <s v="6100"/>
    <n v="14912.76"/>
    <n v="31.57"/>
    <s v="CREDITOR"/>
    <n v="0"/>
    <n v="0"/>
    <n v="0"/>
    <n v="0"/>
    <n v="31.57"/>
  </r>
  <r>
    <n v="10053033"/>
    <s v="N"/>
    <n v="21343530"/>
    <s v="3000005943310008"/>
    <s v="CIVIL"/>
    <d v="2023-06-22T00:00:00"/>
    <d v="2023-07-07T19:03:00"/>
    <m/>
    <d v="2023-07-07T00:00:00"/>
    <n v="502"/>
    <n v="15208"/>
    <s v="10053033"/>
    <s v="10053033"/>
    <m/>
    <m/>
    <n v="22743126"/>
    <m/>
    <m/>
    <m/>
    <s v="SOLFIN"/>
    <s v="SOLFIN"/>
    <s v="CCMS"/>
    <n v="21343530"/>
    <n v="3538.99"/>
    <m/>
    <s v="N"/>
    <n v="4"/>
    <d v="2023-07-07T19:03:10"/>
    <s v="Y"/>
    <s v="Advocates Meeting"/>
    <s v="Public Law Children"/>
    <s v="Advocacy"/>
    <s v="ALK"/>
    <s v="Y"/>
    <n v="140.99"/>
    <n v="28.2"/>
    <x v="9"/>
    <s v="VALIDATED"/>
    <n v="1"/>
    <s v="01.11.80.308.6100.0000"/>
    <n v="140.99"/>
    <s v="11"/>
    <s v="6100"/>
    <n v="14912.76"/>
    <n v="140.99"/>
    <s v="CREDITOR"/>
    <n v="0"/>
    <n v="0"/>
    <n v="0"/>
    <n v="0"/>
    <n v="140.99"/>
  </r>
  <r>
    <n v="56159186"/>
    <s v="N"/>
    <n v="21324303"/>
    <s v="3000013318490008RC"/>
    <s v="CIVIL"/>
    <d v="2023-06-23T00:00:00"/>
    <d v="2023-07-03T19:42:50"/>
    <m/>
    <d v="2023-07-03T00:00:00"/>
    <n v="502"/>
    <n v="15208"/>
    <s v="56159186"/>
    <s v="56159186"/>
    <m/>
    <m/>
    <m/>
    <m/>
    <m/>
    <m/>
    <s v="SOLRECOUP"/>
    <s v="SOLRECOUP"/>
    <s v="POARECOUP"/>
    <n v="21324303"/>
    <n v="-156.3"/>
    <m/>
    <s v="Y"/>
    <n v="1"/>
    <d v="2023-07-03T19:42:51"/>
    <s v="N"/>
    <m/>
    <m/>
    <s v="Expert Disbursement"/>
    <m/>
    <s v="N"/>
    <n v="-130.25"/>
    <n v="0"/>
    <x v="3"/>
    <s v="VALIDATED"/>
    <n v="1"/>
    <s v="01.11.80.308.2013.0000"/>
    <n v="-130.25"/>
    <s v="11"/>
    <s v="2013"/>
    <n v="14912.76"/>
    <n v="-130.25"/>
    <s v="CREDITOR"/>
    <n v="0"/>
    <n v="0"/>
    <n v="-130.25"/>
    <n v="0"/>
    <n v="0"/>
  </r>
  <r>
    <n v="56159186"/>
    <s v="N"/>
    <n v="21324303"/>
    <s v="3000013318490008RC"/>
    <s v="CIVIL"/>
    <d v="2023-06-23T00:00:00"/>
    <d v="2023-07-03T19:42:50"/>
    <m/>
    <d v="2023-07-03T00:00:00"/>
    <n v="502"/>
    <n v="15208"/>
    <s v="56159186"/>
    <s v="56159186"/>
    <m/>
    <m/>
    <m/>
    <m/>
    <m/>
    <m/>
    <s v="SOLRECOUP"/>
    <s v="SOLRECOUP"/>
    <s v="POARECOUP"/>
    <n v="21324303"/>
    <n v="-156.3"/>
    <m/>
    <s v="Y"/>
    <n v="2"/>
    <d v="2023-07-03T19:42:51"/>
    <s v="N"/>
    <m/>
    <m/>
    <s v="Expert Disbursement"/>
    <m/>
    <s v="N"/>
    <n v="0"/>
    <n v="-26.05"/>
    <x v="3"/>
    <s v="VALIDATED"/>
    <n v="1"/>
    <s v="01.11.80.308.2013.0000"/>
    <n v="-26.05"/>
    <s v="11"/>
    <s v="2013"/>
    <n v="14912.76"/>
    <n v="-26.05"/>
    <s v="CREDITOR"/>
    <n v="0"/>
    <n v="0"/>
    <n v="-26.05"/>
    <n v="0"/>
    <n v="0"/>
  </r>
  <r>
    <n v="56159186"/>
    <s v="N"/>
    <n v="21324304"/>
    <s v="3000013318490009RC"/>
    <s v="CIVIL"/>
    <d v="2023-06-23T00:00:00"/>
    <d v="2023-07-03T19:42:50"/>
    <m/>
    <d v="2023-07-03T00:00:00"/>
    <n v="502"/>
    <n v="15208"/>
    <s v="56159186"/>
    <s v="56159186"/>
    <m/>
    <m/>
    <m/>
    <m/>
    <m/>
    <m/>
    <s v="SOLRECOUP"/>
    <s v="SOLRECOUP"/>
    <s v="POARECOUP"/>
    <n v="21324304"/>
    <n v="-579.79"/>
    <m/>
    <s v="Y"/>
    <n v="1"/>
    <d v="2023-07-03T19:42:51"/>
    <s v="N"/>
    <m/>
    <m/>
    <s v="Profit Cost"/>
    <m/>
    <s v="N"/>
    <n v="-483.16"/>
    <n v="0"/>
    <x v="3"/>
    <s v="VALIDATED"/>
    <n v="1"/>
    <s v="01.11.80.308.2013.0000"/>
    <n v="-483.16"/>
    <s v="11"/>
    <s v="2013"/>
    <n v="14912.76"/>
    <n v="-483.16"/>
    <s v="CREDITOR"/>
    <n v="0"/>
    <n v="0"/>
    <n v="-483.16"/>
    <n v="-120.79"/>
    <n v="0"/>
  </r>
  <r>
    <n v="56159186"/>
    <s v="N"/>
    <n v="21324304"/>
    <s v="3000013318490009RC"/>
    <s v="CIVIL"/>
    <d v="2023-06-23T00:00:00"/>
    <d v="2023-07-03T19:42:50"/>
    <m/>
    <d v="2023-07-03T00:00:00"/>
    <n v="502"/>
    <n v="15208"/>
    <s v="56159186"/>
    <s v="56159186"/>
    <m/>
    <m/>
    <m/>
    <m/>
    <m/>
    <m/>
    <s v="SOLRECOUP"/>
    <s v="SOLRECOUP"/>
    <s v="POARECOUP"/>
    <n v="21324304"/>
    <n v="-579.79"/>
    <m/>
    <s v="Y"/>
    <n v="2"/>
    <d v="2023-07-03T19:42:51"/>
    <s v="N"/>
    <m/>
    <m/>
    <s v="Profit Cost"/>
    <m/>
    <s v="N"/>
    <n v="0"/>
    <n v="-96.63"/>
    <x v="3"/>
    <s v="VALIDATED"/>
    <n v="1"/>
    <s v="01.11.80.308.2013.0000"/>
    <n v="-96.63"/>
    <s v="11"/>
    <s v="2013"/>
    <n v="14912.76"/>
    <n v="-96.63"/>
    <s v="CREDITOR"/>
    <n v="0"/>
    <n v="0"/>
    <n v="-96.63"/>
    <n v="-24.1575"/>
    <n v="0"/>
  </r>
  <r>
    <n v="56159186"/>
    <s v="N"/>
    <n v="21324305"/>
    <s v="3000013318490010RC"/>
    <s v="CIVIL"/>
    <d v="2023-06-23T00:00:00"/>
    <d v="2023-07-03T19:42:50"/>
    <m/>
    <d v="2023-07-03T00:00:00"/>
    <n v="502"/>
    <n v="15208"/>
    <s v="56159186"/>
    <s v="56159186"/>
    <m/>
    <m/>
    <m/>
    <m/>
    <m/>
    <m/>
    <s v="SOLRECOUP"/>
    <s v="SOLRECOUP"/>
    <s v="POARECOUP"/>
    <n v="21324305"/>
    <n v="-758.16"/>
    <m/>
    <s v="Y"/>
    <n v="1"/>
    <d v="2023-07-03T19:42:51"/>
    <s v="N"/>
    <m/>
    <m/>
    <s v="Expert Disbursement"/>
    <m/>
    <s v="N"/>
    <n v="-631.8"/>
    <n v="0"/>
    <x v="3"/>
    <s v="VALIDATED"/>
    <n v="1"/>
    <s v="01.11.80.308.2013.0000"/>
    <n v="-631.8"/>
    <s v="11"/>
    <s v="2013"/>
    <n v="14912.76"/>
    <n v="-631.8"/>
    <s v="CREDITOR"/>
    <n v="0"/>
    <n v="0"/>
    <n v="-631.8"/>
    <n v="0"/>
    <n v="0"/>
  </r>
  <r>
    <n v="56159186"/>
    <s v="N"/>
    <n v="21324305"/>
    <s v="3000013318490010RC"/>
    <s v="CIVIL"/>
    <d v="2023-06-23T00:00:00"/>
    <d v="2023-07-03T19:42:50"/>
    <m/>
    <d v="2023-07-03T00:00:00"/>
    <n v="502"/>
    <n v="15208"/>
    <s v="56159186"/>
    <s v="56159186"/>
    <m/>
    <m/>
    <m/>
    <m/>
    <m/>
    <m/>
    <s v="SOLRECOUP"/>
    <s v="SOLRECOUP"/>
    <s v="POARECOUP"/>
    <n v="21324305"/>
    <n v="-758.16"/>
    <m/>
    <s v="Y"/>
    <n v="2"/>
    <d v="2023-07-03T19:42:51"/>
    <s v="N"/>
    <m/>
    <m/>
    <s v="Expert Disbursement"/>
    <m/>
    <s v="N"/>
    <n v="0"/>
    <n v="-126.36"/>
    <x v="3"/>
    <s v="VALIDATED"/>
    <n v="1"/>
    <s v="01.11.80.308.2013.0000"/>
    <n v="-126.36"/>
    <s v="11"/>
    <s v="2013"/>
    <n v="14912.76"/>
    <n v="-126.36"/>
    <s v="CREDITOR"/>
    <n v="0"/>
    <n v="0"/>
    <n v="-126.36"/>
    <n v="0"/>
    <n v="0"/>
  </r>
  <r>
    <n v="56159186"/>
    <s v="N"/>
    <n v="21324306"/>
    <s v="3000013318490002RC"/>
    <s v="CIVIL"/>
    <d v="2023-06-23T00:00:00"/>
    <d v="2023-07-03T19:42:50"/>
    <m/>
    <d v="2023-07-03T00:00:00"/>
    <n v="502"/>
    <n v="15208"/>
    <s v="56159186"/>
    <s v="56159186"/>
    <m/>
    <m/>
    <m/>
    <m/>
    <m/>
    <m/>
    <s v="SOLRECOUP"/>
    <s v="SOLRECOUP"/>
    <s v="POARECOUP"/>
    <n v="21324306"/>
    <n v="-384.9"/>
    <m/>
    <s v="Y"/>
    <n v="1"/>
    <d v="2023-07-03T19:42:51"/>
    <s v="N"/>
    <m/>
    <m/>
    <s v="Expert Disbursement"/>
    <m/>
    <s v="N"/>
    <n v="-320.75"/>
    <n v="0"/>
    <x v="3"/>
    <s v="VALIDATED"/>
    <n v="1"/>
    <s v="01.11.80.308.2013.0000"/>
    <n v="-320.75"/>
    <s v="11"/>
    <s v="2013"/>
    <n v="14912.76"/>
    <n v="-320.75"/>
    <s v="CREDITOR"/>
    <n v="0"/>
    <n v="0"/>
    <n v="-320.75"/>
    <n v="0"/>
    <n v="0"/>
  </r>
  <r>
    <n v="56159186"/>
    <s v="N"/>
    <n v="21324306"/>
    <s v="3000013318490002RC"/>
    <s v="CIVIL"/>
    <d v="2023-06-23T00:00:00"/>
    <d v="2023-07-03T19:42:50"/>
    <m/>
    <d v="2023-07-03T00:00:00"/>
    <n v="502"/>
    <n v="15208"/>
    <s v="56159186"/>
    <s v="56159186"/>
    <m/>
    <m/>
    <m/>
    <m/>
    <m/>
    <m/>
    <s v="SOLRECOUP"/>
    <s v="SOLRECOUP"/>
    <s v="POARECOUP"/>
    <n v="21324306"/>
    <n v="-384.9"/>
    <m/>
    <s v="Y"/>
    <n v="2"/>
    <d v="2023-07-03T19:42:51"/>
    <s v="N"/>
    <m/>
    <m/>
    <s v="Expert Disbursement"/>
    <m/>
    <s v="N"/>
    <n v="0"/>
    <n v="-64.15000000000001"/>
    <x v="3"/>
    <s v="VALIDATED"/>
    <n v="1"/>
    <s v="01.11.80.308.2013.0000"/>
    <n v="-64.15000000000001"/>
    <s v="11"/>
    <s v="2013"/>
    <n v="14912.76"/>
    <n v="-64.15000000000001"/>
    <s v="CREDITOR"/>
    <n v="0"/>
    <n v="0"/>
    <n v="-64.15000000000001"/>
    <n v="0"/>
    <n v="0"/>
  </r>
  <r>
    <n v="56159186"/>
    <s v="N"/>
    <n v="21324307"/>
    <s v="3000013318490003RC"/>
    <s v="CIVIL"/>
    <d v="2023-06-23T00:00:00"/>
    <d v="2023-07-03T19:42:50"/>
    <m/>
    <d v="2023-07-03T00:00:00"/>
    <n v="502"/>
    <n v="15208"/>
    <s v="56159186"/>
    <s v="56159186"/>
    <m/>
    <m/>
    <m/>
    <m/>
    <m/>
    <m/>
    <s v="SOLRECOUP"/>
    <s v="SOLRECOUP"/>
    <s v="POARECOUP"/>
    <n v="21324307"/>
    <n v="-2067.48"/>
    <m/>
    <s v="Y"/>
    <n v="1"/>
    <d v="2023-07-03T19:42:51"/>
    <s v="N"/>
    <m/>
    <m/>
    <s v="Profit Cost"/>
    <m/>
    <s v="N"/>
    <n v="-1722.9"/>
    <n v="0"/>
    <x v="3"/>
    <s v="VALIDATED"/>
    <n v="1"/>
    <s v="01.11.80.308.2013.0000"/>
    <n v="-1722.9"/>
    <s v="11"/>
    <s v="2013"/>
    <n v="14912.76"/>
    <n v="-1722.9"/>
    <s v="CREDITOR"/>
    <n v="0"/>
    <n v="0"/>
    <n v="-1722.9"/>
    <n v="-430.725"/>
    <n v="0"/>
  </r>
  <r>
    <n v="56159186"/>
    <s v="N"/>
    <n v="21324307"/>
    <s v="3000013318490003RC"/>
    <s v="CIVIL"/>
    <d v="2023-06-23T00:00:00"/>
    <d v="2023-07-03T19:42:50"/>
    <m/>
    <d v="2023-07-03T00:00:00"/>
    <n v="502"/>
    <n v="15208"/>
    <s v="56159186"/>
    <s v="56159186"/>
    <m/>
    <m/>
    <m/>
    <m/>
    <m/>
    <m/>
    <s v="SOLRECOUP"/>
    <s v="SOLRECOUP"/>
    <s v="POARECOUP"/>
    <n v="21324307"/>
    <n v="-2067.48"/>
    <m/>
    <s v="Y"/>
    <n v="2"/>
    <d v="2023-07-03T19:42:51"/>
    <s v="N"/>
    <m/>
    <m/>
    <s v="Profit Cost"/>
    <m/>
    <s v="N"/>
    <n v="0"/>
    <n v="-344.58"/>
    <x v="3"/>
    <s v="VALIDATED"/>
    <n v="1"/>
    <s v="01.11.80.308.2013.0000"/>
    <n v="-344.58"/>
    <s v="11"/>
    <s v="2013"/>
    <n v="14912.76"/>
    <n v="-344.58"/>
    <s v="CREDITOR"/>
    <n v="0"/>
    <n v="0"/>
    <n v="-344.58"/>
    <n v="-86.145"/>
    <n v="0"/>
  </r>
  <r>
    <n v="56159186"/>
    <s v="N"/>
    <n v="21324308"/>
    <s v="3000013318490005RC"/>
    <s v="CIVIL"/>
    <d v="2023-06-23T00:00:00"/>
    <d v="2023-07-03T19:42:50"/>
    <m/>
    <d v="2023-07-03T00:00:00"/>
    <n v="502"/>
    <n v="15208"/>
    <s v="56159186"/>
    <s v="56159186"/>
    <m/>
    <m/>
    <m/>
    <m/>
    <m/>
    <m/>
    <s v="SOLRECOUP"/>
    <s v="SOLRECOUP"/>
    <s v="POARECOUP"/>
    <n v="21324308"/>
    <n v="-985.6799999999999"/>
    <m/>
    <s v="Y"/>
    <n v="1"/>
    <d v="2023-07-03T19:42:51"/>
    <s v="N"/>
    <m/>
    <m/>
    <s v="Expert Disbursement"/>
    <m/>
    <s v="N"/>
    <n v="-821.4"/>
    <n v="0"/>
    <x v="3"/>
    <s v="VALIDATED"/>
    <n v="1"/>
    <s v="01.11.80.308.2013.0000"/>
    <n v="-821.4"/>
    <s v="11"/>
    <s v="2013"/>
    <n v="14912.76"/>
    <n v="-821.4"/>
    <s v="CREDITOR"/>
    <n v="0"/>
    <n v="0"/>
    <n v="-821.4"/>
    <n v="0"/>
    <n v="0"/>
  </r>
  <r>
    <n v="56159186"/>
    <s v="N"/>
    <n v="21324308"/>
    <s v="3000013318490005RC"/>
    <s v="CIVIL"/>
    <d v="2023-06-23T00:00:00"/>
    <d v="2023-07-03T19:42:50"/>
    <m/>
    <d v="2023-07-03T00:00:00"/>
    <n v="502"/>
    <n v="15208"/>
    <s v="56159186"/>
    <s v="56159186"/>
    <m/>
    <m/>
    <m/>
    <m/>
    <m/>
    <m/>
    <s v="SOLRECOUP"/>
    <s v="SOLRECOUP"/>
    <s v="POARECOUP"/>
    <n v="21324308"/>
    <n v="-985.6799999999999"/>
    <m/>
    <s v="Y"/>
    <n v="2"/>
    <d v="2023-07-03T19:42:51"/>
    <s v="N"/>
    <m/>
    <m/>
    <s v="Expert Disbursement"/>
    <m/>
    <s v="N"/>
    <n v="0"/>
    <n v="-164.28"/>
    <x v="3"/>
    <s v="VALIDATED"/>
    <n v="1"/>
    <s v="01.11.80.308.2013.0000"/>
    <n v="-164.28"/>
    <s v="11"/>
    <s v="2013"/>
    <n v="14912.76"/>
    <n v="-164.28"/>
    <s v="CREDITOR"/>
    <n v="0"/>
    <n v="0"/>
    <n v="-164.28"/>
    <n v="0"/>
    <n v="0"/>
  </r>
  <r>
    <n v="56159186"/>
    <s v="N"/>
    <n v="21324309"/>
    <s v="3000013318490006RC"/>
    <s v="CIVIL"/>
    <d v="2023-06-23T00:00:00"/>
    <d v="2023-07-03T19:42:50"/>
    <m/>
    <d v="2023-07-03T00:00:00"/>
    <n v="502"/>
    <n v="15208"/>
    <s v="56159186"/>
    <s v="56159186"/>
    <m/>
    <m/>
    <m/>
    <m/>
    <m/>
    <m/>
    <s v="SOLRECOUP"/>
    <s v="SOLRECOUP"/>
    <s v="POARECOUP"/>
    <n v="21324309"/>
    <n v="-210.3"/>
    <m/>
    <s v="Y"/>
    <n v="1"/>
    <d v="2023-07-03T19:42:51"/>
    <s v="N"/>
    <m/>
    <m/>
    <s v="Expert Disbursement"/>
    <m/>
    <s v="N"/>
    <n v="-175.25"/>
    <n v="0"/>
    <x v="3"/>
    <s v="VALIDATED"/>
    <n v="1"/>
    <s v="01.11.80.308.2013.0000"/>
    <n v="-175.25"/>
    <s v="11"/>
    <s v="2013"/>
    <n v="14912.76"/>
    <n v="-175.25"/>
    <s v="CREDITOR"/>
    <n v="0"/>
    <n v="0"/>
    <n v="-175.25"/>
    <n v="0"/>
    <n v="0"/>
  </r>
  <r>
    <n v="56159186"/>
    <s v="N"/>
    <n v="21324309"/>
    <s v="3000013318490006RC"/>
    <s v="CIVIL"/>
    <d v="2023-06-23T00:00:00"/>
    <d v="2023-07-03T19:42:50"/>
    <m/>
    <d v="2023-07-03T00:00:00"/>
    <n v="502"/>
    <n v="15208"/>
    <s v="56159186"/>
    <s v="56159186"/>
    <m/>
    <m/>
    <m/>
    <m/>
    <m/>
    <m/>
    <s v="SOLRECOUP"/>
    <s v="SOLRECOUP"/>
    <s v="POARECOUP"/>
    <n v="21324309"/>
    <n v="-210.3"/>
    <m/>
    <s v="Y"/>
    <n v="2"/>
    <d v="2023-07-03T19:42:51"/>
    <s v="N"/>
    <m/>
    <m/>
    <s v="Expert Disbursement"/>
    <m/>
    <s v="N"/>
    <n v="0"/>
    <n v="-35.05"/>
    <x v="3"/>
    <s v="VALIDATED"/>
    <n v="1"/>
    <s v="01.11.80.308.2013.0000"/>
    <n v="-35.05"/>
    <s v="11"/>
    <s v="2013"/>
    <n v="14912.76"/>
    <n v="-35.05"/>
    <s v="CREDITOR"/>
    <n v="0"/>
    <n v="0"/>
    <n v="-35.05"/>
    <n v="0"/>
    <n v="0"/>
  </r>
  <r>
    <n v="56159186"/>
    <s v="N"/>
    <n v="21324310"/>
    <s v="3000013318490007RC"/>
    <s v="CIVIL"/>
    <d v="2023-06-23T00:00:00"/>
    <d v="2023-07-03T19:42:50"/>
    <m/>
    <d v="2023-07-03T00:00:00"/>
    <n v="502"/>
    <n v="15208"/>
    <s v="56159186"/>
    <s v="56159186"/>
    <m/>
    <m/>
    <m/>
    <m/>
    <m/>
    <m/>
    <s v="SOLRECOUP"/>
    <s v="SOLRECOUP"/>
    <s v="POARECOUP"/>
    <n v="21324310"/>
    <n v="-210.3"/>
    <m/>
    <s v="Y"/>
    <n v="1"/>
    <d v="2023-07-03T19:42:51"/>
    <s v="N"/>
    <m/>
    <m/>
    <s v="Expert Disbursement"/>
    <m/>
    <s v="N"/>
    <n v="-175.25"/>
    <n v="0"/>
    <x v="3"/>
    <s v="VALIDATED"/>
    <n v="1"/>
    <s v="01.11.80.308.2013.0000"/>
    <n v="-175.25"/>
    <s v="11"/>
    <s v="2013"/>
    <n v="14912.76"/>
    <n v="-175.25"/>
    <s v="CREDITOR"/>
    <n v="0"/>
    <n v="0"/>
    <n v="-175.25"/>
    <n v="0"/>
    <n v="0"/>
  </r>
  <r>
    <n v="56159186"/>
    <s v="N"/>
    <n v="21324310"/>
    <s v="3000013318490007RC"/>
    <s v="CIVIL"/>
    <d v="2023-06-23T00:00:00"/>
    <d v="2023-07-03T19:42:50"/>
    <m/>
    <d v="2023-07-03T00:00:00"/>
    <n v="502"/>
    <n v="15208"/>
    <s v="56159186"/>
    <s v="56159186"/>
    <m/>
    <m/>
    <m/>
    <m/>
    <m/>
    <m/>
    <s v="SOLRECOUP"/>
    <s v="SOLRECOUP"/>
    <s v="POARECOUP"/>
    <n v="21324310"/>
    <n v="-210.3"/>
    <m/>
    <s v="Y"/>
    <n v="2"/>
    <d v="2023-07-03T19:42:51"/>
    <s v="N"/>
    <m/>
    <m/>
    <s v="Expert Disbursement"/>
    <m/>
    <s v="N"/>
    <n v="0"/>
    <n v="-35.05"/>
    <x v="3"/>
    <s v="VALIDATED"/>
    <n v="1"/>
    <s v="01.11.80.308.2013.0000"/>
    <n v="-35.05"/>
    <s v="11"/>
    <s v="2013"/>
    <n v="14912.76"/>
    <n v="-35.05"/>
    <s v="CREDITOR"/>
    <n v="0"/>
    <n v="0"/>
    <n v="-35.05"/>
    <n v="0"/>
    <n v="0"/>
  </r>
  <r>
    <n v="59943096"/>
    <s v="N"/>
    <n v="21331096"/>
    <s v="3000014295590004"/>
    <s v="CIVIL"/>
    <d v="2023-06-05T00:00:00"/>
    <d v="2023-07-05T19:01:47"/>
    <m/>
    <d v="2023-07-05T00:00:00"/>
    <n v="502"/>
    <n v="15208"/>
    <s v="59943096"/>
    <s v="59943096"/>
    <m/>
    <m/>
    <n v="22615402"/>
    <m/>
    <m/>
    <m/>
    <s v="SOLFIN"/>
    <s v="SOLFIN"/>
    <s v="CCMS"/>
    <n v="21331096"/>
    <n v="3875.39"/>
    <m/>
    <s v="N"/>
    <n v="33"/>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51"/>
    <d v="2023-07-05T19:02:05"/>
    <s v="Y"/>
    <s v="Routine Letter In"/>
    <s v="Prescribed Hourly Rates"/>
    <s v="Profit Cost"/>
    <s v="AIP"/>
    <s v="Y"/>
    <n v="29.7"/>
    <n v="5.94"/>
    <x v="6"/>
    <s v="VALIDATED"/>
    <n v="1"/>
    <s v="01.11.80.302.6100.0000"/>
    <n v="29.7"/>
    <s v="11"/>
    <s v="6100"/>
    <n v="14912.76"/>
    <n v="29.7"/>
    <s v="CREDITOR"/>
    <n v="0"/>
    <n v="0"/>
    <n v="0"/>
    <n v="0"/>
    <n v="29.7"/>
  </r>
  <r>
    <n v="59943096"/>
    <s v="N"/>
    <n v="21331096"/>
    <s v="3000014295590004"/>
    <s v="CIVIL"/>
    <d v="2023-06-05T00:00:00"/>
    <d v="2023-07-05T19:01:47"/>
    <m/>
    <d v="2023-07-05T00:00:00"/>
    <n v="502"/>
    <n v="15208"/>
    <s v="59943096"/>
    <s v="59943096"/>
    <m/>
    <m/>
    <n v="22615402"/>
    <m/>
    <m/>
    <m/>
    <s v="SOLFIN"/>
    <s v="SOLFIN"/>
    <s v="CCMS"/>
    <n v="21331096"/>
    <n v="3875.39"/>
    <m/>
    <s v="N"/>
    <n v="10"/>
    <d v="2023-07-05T19:02:05"/>
    <s v="Y"/>
    <s v="Preparation - other"/>
    <s v="Prescribed Hourly Rates"/>
    <s v="Profit Cost"/>
    <s v="ELBT"/>
    <s v="Y"/>
    <n v="18.94"/>
    <n v="3.79"/>
    <x v="6"/>
    <s v="VALIDATED"/>
    <n v="1"/>
    <s v="01.11.80.302.6100.0000"/>
    <n v="18.94"/>
    <s v="11"/>
    <s v="6100"/>
    <n v="14912.76"/>
    <n v="18.94"/>
    <s v="CREDITOR"/>
    <n v="0"/>
    <n v="0"/>
    <n v="0"/>
    <n v="0"/>
    <n v="18.94"/>
  </r>
  <r>
    <n v="59943096"/>
    <s v="N"/>
    <n v="21331096"/>
    <s v="3000014295590004"/>
    <s v="CIVIL"/>
    <d v="2023-06-05T00:00:00"/>
    <d v="2023-07-05T19:01:47"/>
    <m/>
    <d v="2023-07-05T00:00:00"/>
    <n v="502"/>
    <n v="15208"/>
    <s v="59943096"/>
    <s v="59943096"/>
    <m/>
    <m/>
    <n v="22615402"/>
    <m/>
    <m/>
    <m/>
    <s v="SOLFIN"/>
    <s v="SOLFIN"/>
    <s v="CCMS"/>
    <n v="21331096"/>
    <n v="3875.39"/>
    <m/>
    <s v="N"/>
    <n v="18"/>
    <d v="2023-07-05T19:02:05"/>
    <s v="Y"/>
    <s v="Preparation - other"/>
    <s v="Prescribed Hourly Rates"/>
    <s v="Profit Cost"/>
    <s v="ELBT"/>
    <s v="Y"/>
    <n v="31.57"/>
    <n v="6.31"/>
    <x v="6"/>
    <s v="VALIDATED"/>
    <n v="1"/>
    <s v="01.11.80.302.6100.0000"/>
    <n v="31.57"/>
    <s v="11"/>
    <s v="6100"/>
    <n v="14912.76"/>
    <n v="31.57"/>
    <s v="CREDITOR"/>
    <n v="0"/>
    <n v="0"/>
    <n v="0"/>
    <n v="0"/>
    <n v="31.57"/>
  </r>
  <r>
    <n v="59943096"/>
    <s v="N"/>
    <n v="21331096"/>
    <s v="3000014295590004"/>
    <s v="CIVIL"/>
    <d v="2023-06-05T00:00:00"/>
    <d v="2023-07-05T19:01:47"/>
    <m/>
    <d v="2023-07-05T00:00:00"/>
    <n v="502"/>
    <n v="15208"/>
    <s v="59943096"/>
    <s v="59943096"/>
    <m/>
    <m/>
    <n v="22615402"/>
    <m/>
    <m/>
    <m/>
    <s v="SOLFIN"/>
    <s v="SOLFIN"/>
    <s v="CCMS"/>
    <n v="21331096"/>
    <n v="3875.39"/>
    <m/>
    <s v="N"/>
    <n v="23"/>
    <d v="2023-07-05T19:02:05"/>
    <s v="Y"/>
    <s v="Preparation - other"/>
    <s v="Prescribed Hourly Rates"/>
    <s v="Profit Cost"/>
    <s v="ELBT"/>
    <s v="Y"/>
    <n v="25.25"/>
    <n v="5.05"/>
    <x v="6"/>
    <s v="VALIDATED"/>
    <n v="1"/>
    <s v="01.11.80.302.6100.0000"/>
    <n v="25.25"/>
    <s v="11"/>
    <s v="6100"/>
    <n v="14912.76"/>
    <n v="25.25"/>
    <s v="CREDITOR"/>
    <n v="0"/>
    <n v="0"/>
    <n v="0"/>
    <n v="0"/>
    <n v="25.25"/>
  </r>
  <r>
    <n v="59943096"/>
    <s v="N"/>
    <n v="21331096"/>
    <s v="3000014295590004"/>
    <s v="CIVIL"/>
    <d v="2023-06-05T00:00:00"/>
    <d v="2023-07-05T19:01:47"/>
    <m/>
    <d v="2023-07-05T00:00:00"/>
    <n v="502"/>
    <n v="15208"/>
    <s v="59943096"/>
    <s v="59943096"/>
    <m/>
    <m/>
    <n v="22615402"/>
    <m/>
    <m/>
    <m/>
    <s v="SOLFIN"/>
    <s v="SOLFIN"/>
    <s v="CCMS"/>
    <n v="21331096"/>
    <n v="3875.39"/>
    <m/>
    <s v="N"/>
    <n v="49"/>
    <d v="2023-07-05T19:02:05"/>
    <s v="Y"/>
    <s v="Preparation - other"/>
    <s v="Prescribed Hourly Rates"/>
    <s v="Profit Cost"/>
    <s v="ELBT"/>
    <s v="Y"/>
    <n v="63.14"/>
    <n v="12.63"/>
    <x v="6"/>
    <s v="VALIDATED"/>
    <n v="1"/>
    <s v="01.11.80.302.6100.0000"/>
    <n v="63.14"/>
    <s v="11"/>
    <s v="6100"/>
    <n v="14912.76"/>
    <n v="63.14"/>
    <s v="CREDITOR"/>
    <n v="0"/>
    <n v="0"/>
    <n v="0"/>
    <n v="0"/>
    <n v="63.14"/>
  </r>
  <r>
    <n v="59943096"/>
    <s v="N"/>
    <n v="21333755"/>
    <s v="3000014295590001RC"/>
    <s v="CIVIL"/>
    <d v="2023-06-05T00:00:00"/>
    <d v="2023-07-05T19:42:28"/>
    <m/>
    <d v="2023-07-05T00:00:00"/>
    <n v="502"/>
    <n v="15208"/>
    <s v="59943096"/>
    <s v="59943096"/>
    <m/>
    <m/>
    <m/>
    <m/>
    <m/>
    <m/>
    <s v="SOLRECOUP"/>
    <s v="SOLRECOUP"/>
    <s v="POARECOUP"/>
    <n v="21333755"/>
    <n v="-236.15"/>
    <m/>
    <s v="Y"/>
    <n v="1"/>
    <d v="2023-07-05T19:42:28"/>
    <s v="N"/>
    <m/>
    <m/>
    <s v="Expert Disbursement"/>
    <m/>
    <s v="N"/>
    <n v="-196.79"/>
    <n v="0"/>
    <x v="6"/>
    <s v="VALIDATED"/>
    <n v="1"/>
    <s v="01.11.80.302.2013.0000"/>
    <n v="-196.79"/>
    <s v="11"/>
    <s v="2013"/>
    <n v="14912.76"/>
    <n v="-196.79"/>
    <s v="CREDITOR"/>
    <n v="0"/>
    <n v="0"/>
    <n v="-196.79"/>
    <n v="0"/>
    <n v="0"/>
  </r>
  <r>
    <n v="59943096"/>
    <s v="N"/>
    <n v="21333755"/>
    <s v="3000014295590001RC"/>
    <s v="CIVIL"/>
    <d v="2023-06-05T00:00:00"/>
    <d v="2023-07-05T19:42:28"/>
    <m/>
    <d v="2023-07-05T00:00:00"/>
    <n v="502"/>
    <n v="15208"/>
    <s v="59943096"/>
    <s v="59943096"/>
    <m/>
    <m/>
    <m/>
    <m/>
    <m/>
    <m/>
    <s v="SOLRECOUP"/>
    <s v="SOLRECOUP"/>
    <s v="POARECOUP"/>
    <n v="21333755"/>
    <n v="-236.15"/>
    <m/>
    <s v="Y"/>
    <n v="2"/>
    <d v="2023-07-05T19:42:28"/>
    <s v="N"/>
    <m/>
    <m/>
    <s v="Expert Disbursement"/>
    <m/>
    <s v="N"/>
    <n v="0"/>
    <n v="-39.36"/>
    <x v="6"/>
    <s v="VALIDATED"/>
    <n v="1"/>
    <s v="01.11.80.302.2013.0000"/>
    <n v="-39.36"/>
    <s v="11"/>
    <s v="2013"/>
    <n v="14912.76"/>
    <n v="-39.36"/>
    <s v="CREDITOR"/>
    <n v="0"/>
    <n v="0"/>
    <n v="-39.36"/>
    <n v="0"/>
    <n v="0"/>
  </r>
  <r>
    <n v="59943096"/>
    <s v="N"/>
    <n v="21333756"/>
    <s v="3000014295590003RC"/>
    <s v="CIVIL"/>
    <d v="2023-06-05T00:00:00"/>
    <d v="2023-07-05T19:42:28"/>
    <m/>
    <d v="2023-07-05T00:00:00"/>
    <n v="502"/>
    <n v="15208"/>
    <s v="59943096"/>
    <s v="59943096"/>
    <m/>
    <m/>
    <m/>
    <m/>
    <m/>
    <m/>
    <s v="SOLRECOUP"/>
    <s v="SOLRECOUP"/>
    <s v="POARECOUP"/>
    <n v="21333756"/>
    <n v="-275"/>
    <m/>
    <s v="Y"/>
    <n v="1"/>
    <d v="2023-07-05T19:42:28"/>
    <s v="N"/>
    <m/>
    <m/>
    <s v="Non Expert Disbursement"/>
    <m/>
    <s v="N"/>
    <n v="-275"/>
    <n v="0"/>
    <x v="6"/>
    <s v="VALIDATED"/>
    <n v="1"/>
    <s v="01.11.80.302.2013.0000"/>
    <n v="-275"/>
    <s v="11"/>
    <s v="2013"/>
    <n v="14912.76"/>
    <n v="-275"/>
    <s v="CREDITOR"/>
    <n v="0"/>
    <n v="0"/>
    <n v="-275"/>
    <n v="0"/>
    <n v="0"/>
  </r>
  <r>
    <n v="59943096"/>
    <s v="N"/>
    <n v="21333756"/>
    <s v="3000014295590003RC"/>
    <s v="CIVIL"/>
    <d v="2023-06-05T00:00:00"/>
    <d v="2023-07-05T19:42:28"/>
    <m/>
    <d v="2023-07-05T00:00:00"/>
    <n v="502"/>
    <n v="15208"/>
    <s v="59943096"/>
    <s v="59943096"/>
    <m/>
    <m/>
    <m/>
    <m/>
    <m/>
    <m/>
    <s v="SOLRECOUP"/>
    <s v="SOLRECOUP"/>
    <s v="POARECOUP"/>
    <n v="21333756"/>
    <n v="-275"/>
    <m/>
    <s v="Y"/>
    <n v="2"/>
    <d v="2023-07-05T19:42:28"/>
    <s v="N"/>
    <m/>
    <m/>
    <s v="Non Expert Disbursement"/>
    <m/>
    <s v="N"/>
    <n v="0"/>
    <n v="0"/>
    <x v="6"/>
    <s v="VALIDATED"/>
    <n v="1"/>
    <s v="01.11.80.000.0000.0000"/>
    <n v="0"/>
    <s v="11"/>
    <s v="0000"/>
    <n v="14912.76"/>
    <n v="0"/>
    <s v="CREDITOR"/>
    <n v="0"/>
    <n v="0"/>
    <n v="0"/>
    <n v="0"/>
    <n v="0"/>
  </r>
  <r>
    <n v="43560825"/>
    <s v="N"/>
    <n v="21356300"/>
    <s v="3000011565500006RC"/>
    <s v="CIVIL"/>
    <d v="2023-06-26T00:00:00"/>
    <d v="2023-07-10T19:47:44"/>
    <m/>
    <d v="2023-07-10T00:00:00"/>
    <n v="502"/>
    <n v="15208"/>
    <s v="43560825"/>
    <s v="43560825"/>
    <m/>
    <m/>
    <m/>
    <m/>
    <m/>
    <m/>
    <s v="SOLRECOUP"/>
    <s v="SOLRECOUP"/>
    <s v="POARECOUP"/>
    <n v="21356300"/>
    <n v="-120"/>
    <m/>
    <s v="Y"/>
    <n v="2"/>
    <d v="2023-07-10T19:47:44"/>
    <s v="N"/>
    <m/>
    <m/>
    <s v="Expert Disbursement"/>
    <m/>
    <s v="N"/>
    <n v="0"/>
    <n v="0"/>
    <x v="2"/>
    <s v="VALIDATED"/>
    <n v="1"/>
    <s v="01.11.80.000.0000.0000"/>
    <n v="0"/>
    <s v="11"/>
    <s v="0000"/>
    <n v="14912.76"/>
    <n v="0"/>
    <s v="CREDITOR"/>
    <n v="0"/>
    <n v="0"/>
    <n v="0"/>
    <n v="0"/>
    <n v="0"/>
  </r>
  <r>
    <n v="43560825"/>
    <s v="N"/>
    <n v="21356301"/>
    <s v="3000011565500013RC"/>
    <s v="CIVIL"/>
    <d v="2023-06-26T00:00:00"/>
    <d v="2023-07-10T19:47:44"/>
    <m/>
    <d v="2023-07-10T00:00:00"/>
    <n v="502"/>
    <n v="15208"/>
    <s v="43560825"/>
    <s v="43560825"/>
    <m/>
    <m/>
    <m/>
    <m/>
    <m/>
    <m/>
    <s v="SOLRECOUP"/>
    <s v="SOLRECOUP"/>
    <s v="POARECOUP"/>
    <n v="21356301"/>
    <n v="-167"/>
    <m/>
    <s v="Y"/>
    <n v="1"/>
    <d v="2023-07-10T19:47:44"/>
    <s v="N"/>
    <m/>
    <m/>
    <s v="Non Expert Disbursement"/>
    <m/>
    <s v="N"/>
    <n v="-167"/>
    <n v="0"/>
    <x v="2"/>
    <s v="VALIDATED"/>
    <n v="1"/>
    <s v="01.11.80.307.2013.0000"/>
    <n v="-167"/>
    <s v="11"/>
    <s v="2013"/>
    <n v="14912.76"/>
    <n v="-167"/>
    <s v="CREDITOR"/>
    <n v="0"/>
    <n v="0"/>
    <n v="-167"/>
    <n v="0"/>
    <n v="0"/>
  </r>
  <r>
    <n v="43560825"/>
    <s v="N"/>
    <n v="21356301"/>
    <s v="3000011565500013RC"/>
    <s v="CIVIL"/>
    <d v="2023-06-26T00:00:00"/>
    <d v="2023-07-10T19:47:44"/>
    <m/>
    <d v="2023-07-10T00:00:00"/>
    <n v="502"/>
    <n v="15208"/>
    <s v="43560825"/>
    <s v="43560825"/>
    <m/>
    <m/>
    <m/>
    <m/>
    <m/>
    <m/>
    <s v="SOLRECOUP"/>
    <s v="SOLRECOUP"/>
    <s v="POARECOUP"/>
    <n v="21356301"/>
    <n v="-167"/>
    <m/>
    <s v="Y"/>
    <n v="2"/>
    <d v="2023-07-10T19:47:44"/>
    <s v="N"/>
    <m/>
    <m/>
    <s v="Non Expert Disbursement"/>
    <m/>
    <s v="N"/>
    <n v="0"/>
    <n v="0"/>
    <x v="2"/>
    <s v="VALIDATED"/>
    <n v="1"/>
    <s v="01.11.80.000.0000.0000"/>
    <n v="0"/>
    <s v="11"/>
    <s v="0000"/>
    <n v="14912.76"/>
    <n v="0"/>
    <s v="CREDITOR"/>
    <n v="0"/>
    <n v="0"/>
    <n v="0"/>
    <n v="0"/>
    <n v="0"/>
  </r>
  <r>
    <n v="43560825"/>
    <s v="N"/>
    <n v="21356302"/>
    <s v="3000011565500007RC"/>
    <s v="CIVIL"/>
    <d v="2023-06-26T00:00:00"/>
    <d v="2023-07-10T19:47:44"/>
    <m/>
    <d v="2023-07-10T00:00:00"/>
    <n v="502"/>
    <n v="15208"/>
    <s v="43560825"/>
    <s v="43560825"/>
    <m/>
    <m/>
    <m/>
    <m/>
    <m/>
    <m/>
    <s v="SOLRECOUP"/>
    <s v="SOLRECOUP"/>
    <s v="POARECOUP"/>
    <n v="21356302"/>
    <n v="-155"/>
    <m/>
    <s v="Y"/>
    <n v="1"/>
    <d v="2023-07-10T19:47:44"/>
    <s v="N"/>
    <m/>
    <m/>
    <s v="Non Expert Disbursement"/>
    <m/>
    <s v="N"/>
    <n v="-155"/>
    <n v="0"/>
    <x v="2"/>
    <s v="VALIDATED"/>
    <n v="1"/>
    <s v="01.11.80.307.2013.0000"/>
    <n v="-155"/>
    <s v="11"/>
    <s v="2013"/>
    <n v="14912.76"/>
    <n v="-155"/>
    <s v="CREDITOR"/>
    <n v="0"/>
    <n v="0"/>
    <n v="-155"/>
    <n v="0"/>
    <n v="0"/>
  </r>
  <r>
    <n v="43560825"/>
    <s v="N"/>
    <n v="21356302"/>
    <s v="3000011565500007RC"/>
    <s v="CIVIL"/>
    <d v="2023-06-26T00:00:00"/>
    <d v="2023-07-10T19:47:44"/>
    <m/>
    <d v="2023-07-10T00:00:00"/>
    <n v="502"/>
    <n v="15208"/>
    <s v="43560825"/>
    <s v="43560825"/>
    <m/>
    <m/>
    <m/>
    <m/>
    <m/>
    <m/>
    <s v="SOLRECOUP"/>
    <s v="SOLRECOUP"/>
    <s v="POARECOUP"/>
    <n v="21356302"/>
    <n v="-155"/>
    <m/>
    <s v="Y"/>
    <n v="2"/>
    <d v="2023-07-10T19:47:44"/>
    <s v="N"/>
    <m/>
    <m/>
    <s v="Non Expert Disbursement"/>
    <m/>
    <s v="N"/>
    <n v="0"/>
    <n v="0"/>
    <x v="2"/>
    <s v="VALIDATED"/>
    <n v="1"/>
    <s v="01.11.80.000.0000.0000"/>
    <n v="0"/>
    <s v="11"/>
    <s v="0000"/>
    <n v="14912.76"/>
    <n v="0"/>
    <s v="CREDITOR"/>
    <n v="0"/>
    <n v="0"/>
    <n v="0"/>
    <n v="0"/>
    <n v="0"/>
  </r>
  <r>
    <n v="43560825"/>
    <s v="N"/>
    <n v="21356303"/>
    <s v="3000011565500009RC"/>
    <s v="CIVIL"/>
    <d v="2023-06-26T00:00:00"/>
    <d v="2023-07-10T19:47:44"/>
    <m/>
    <d v="2023-07-10T00:00:00"/>
    <n v="502"/>
    <n v="15208"/>
    <s v="43560825"/>
    <s v="43560825"/>
    <m/>
    <m/>
    <m/>
    <m/>
    <m/>
    <m/>
    <s v="SOLRECOUP"/>
    <s v="SOLRECOUP"/>
    <s v="POARECOUP"/>
    <n v="21356303"/>
    <n v="-657.4"/>
    <m/>
    <s v="Y"/>
    <n v="1"/>
    <d v="2023-07-10T19:47:44"/>
    <s v="N"/>
    <m/>
    <m/>
    <s v="Profit Cost"/>
    <m/>
    <s v="N"/>
    <n v="-547.83"/>
    <n v="0"/>
    <x v="2"/>
    <s v="VALIDATED"/>
    <n v="1"/>
    <s v="01.11.80.307.2013.0000"/>
    <n v="-547.83"/>
    <s v="11"/>
    <s v="2013"/>
    <n v="14912.76"/>
    <n v="-547.83"/>
    <s v="CREDITOR"/>
    <n v="0"/>
    <n v="0"/>
    <n v="-547.83"/>
    <n v="-136.9575"/>
    <n v="0"/>
  </r>
  <r>
    <n v="43560825"/>
    <s v="N"/>
    <n v="21356303"/>
    <s v="3000011565500009RC"/>
    <s v="CIVIL"/>
    <d v="2023-06-26T00:00:00"/>
    <d v="2023-07-10T19:47:44"/>
    <m/>
    <d v="2023-07-10T00:00:00"/>
    <n v="502"/>
    <n v="15208"/>
    <s v="43560825"/>
    <s v="43560825"/>
    <m/>
    <m/>
    <m/>
    <m/>
    <m/>
    <m/>
    <s v="SOLRECOUP"/>
    <s v="SOLRECOUP"/>
    <s v="POARECOUP"/>
    <n v="21356303"/>
    <n v="-657.4"/>
    <m/>
    <s v="Y"/>
    <n v="2"/>
    <d v="2023-07-10T19:47:44"/>
    <s v="N"/>
    <m/>
    <m/>
    <s v="Profit Cost"/>
    <m/>
    <s v="N"/>
    <n v="0"/>
    <n v="-109.57"/>
    <x v="2"/>
    <s v="VALIDATED"/>
    <n v="1"/>
    <s v="01.11.80.307.2013.0000"/>
    <n v="-109.57"/>
    <s v="11"/>
    <s v="2013"/>
    <n v="14912.76"/>
    <n v="-109.57"/>
    <s v="CREDITOR"/>
    <n v="0"/>
    <n v="0"/>
    <n v="-109.57"/>
    <n v="-27.3925"/>
    <n v="0"/>
  </r>
  <r>
    <n v="43560825"/>
    <s v="N"/>
    <n v="21356304"/>
    <s v="3000011565500010RC"/>
    <s v="CIVIL"/>
    <d v="2023-06-26T00:00:00"/>
    <d v="2023-07-10T19:47:44"/>
    <m/>
    <d v="2023-07-10T00:00:00"/>
    <n v="502"/>
    <n v="15208"/>
    <s v="43560825"/>
    <s v="43560825"/>
    <m/>
    <m/>
    <m/>
    <m/>
    <m/>
    <m/>
    <s v="SOLRECOUP"/>
    <s v="SOLRECOUP"/>
    <s v="POARECOUP"/>
    <n v="21356304"/>
    <n v="-1252.2"/>
    <m/>
    <s v="Y"/>
    <n v="1"/>
    <d v="2023-07-10T19:47:44"/>
    <s v="N"/>
    <m/>
    <m/>
    <s v="Expert Disbursement"/>
    <m/>
    <s v="N"/>
    <n v="-1043.5"/>
    <n v="0"/>
    <x v="2"/>
    <s v="VALIDATED"/>
    <n v="1"/>
    <s v="01.11.80.307.2013.0000"/>
    <n v="-1043.5"/>
    <s v="11"/>
    <s v="2013"/>
    <n v="14912.76"/>
    <n v="-1043.5"/>
    <s v="CREDITOR"/>
    <n v="0"/>
    <n v="0"/>
    <n v="-1043.5"/>
    <n v="0"/>
    <n v="0"/>
  </r>
  <r>
    <n v="43560825"/>
    <s v="N"/>
    <n v="21356304"/>
    <s v="3000011565500010RC"/>
    <s v="CIVIL"/>
    <d v="2023-06-26T00:00:00"/>
    <d v="2023-07-10T19:47:44"/>
    <m/>
    <d v="2023-07-10T00:00:00"/>
    <n v="502"/>
    <n v="15208"/>
    <s v="43560825"/>
    <s v="43560825"/>
    <m/>
    <m/>
    <m/>
    <m/>
    <m/>
    <m/>
    <s v="SOLRECOUP"/>
    <s v="SOLRECOUP"/>
    <s v="POARECOUP"/>
    <n v="21356304"/>
    <n v="-1252.2"/>
    <m/>
    <s v="Y"/>
    <n v="2"/>
    <d v="2023-07-10T19:47:44"/>
    <s v="N"/>
    <m/>
    <m/>
    <s v="Expert Disbursement"/>
    <m/>
    <s v="N"/>
    <n v="0"/>
    <n v="-208.7"/>
    <x v="2"/>
    <s v="VALIDATED"/>
    <n v="1"/>
    <s v="01.11.80.307.2013.0000"/>
    <n v="-208.7"/>
    <s v="11"/>
    <s v="2013"/>
    <n v="14912.76"/>
    <n v="-208.7"/>
    <s v="CREDITOR"/>
    <n v="0"/>
    <n v="0"/>
    <n v="-208.7"/>
    <n v="0"/>
    <n v="0"/>
  </r>
  <r>
    <n v="43560825"/>
    <s v="N"/>
    <n v="21356305"/>
    <s v="3000011565500011RC"/>
    <s v="CIVIL"/>
    <d v="2023-06-26T00:00:00"/>
    <d v="2023-07-10T19:47:44"/>
    <m/>
    <d v="2023-07-10T00:00:00"/>
    <n v="502"/>
    <n v="15208"/>
    <s v="43560825"/>
    <s v="43560825"/>
    <m/>
    <m/>
    <m/>
    <m/>
    <m/>
    <m/>
    <s v="SOLRECOUP"/>
    <s v="SOLRECOUP"/>
    <s v="POARECOUP"/>
    <n v="21356305"/>
    <n v="-337.2"/>
    <m/>
    <s v="Y"/>
    <n v="1"/>
    <d v="2023-07-10T19:47:44"/>
    <s v="N"/>
    <m/>
    <m/>
    <s v="Expert Disbursement"/>
    <m/>
    <s v="N"/>
    <n v="-281"/>
    <n v="0"/>
    <x v="2"/>
    <s v="VALIDATED"/>
    <n v="1"/>
    <s v="01.11.80.307.2013.0000"/>
    <n v="-281"/>
    <s v="11"/>
    <s v="2013"/>
    <n v="14912.76"/>
    <n v="-281"/>
    <s v="CREDITOR"/>
    <n v="0"/>
    <n v="0"/>
    <n v="-281"/>
    <n v="0"/>
    <n v="0"/>
  </r>
  <r>
    <n v="43560825"/>
    <s v="N"/>
    <n v="21356305"/>
    <s v="3000011565500011RC"/>
    <s v="CIVIL"/>
    <d v="2023-06-26T00:00:00"/>
    <d v="2023-07-10T19:47:44"/>
    <m/>
    <d v="2023-07-10T00:00:00"/>
    <n v="502"/>
    <n v="15208"/>
    <s v="43560825"/>
    <s v="43560825"/>
    <m/>
    <m/>
    <m/>
    <m/>
    <m/>
    <m/>
    <s v="SOLRECOUP"/>
    <s v="SOLRECOUP"/>
    <s v="POARECOUP"/>
    <n v="21356305"/>
    <n v="-337.2"/>
    <m/>
    <s v="Y"/>
    <n v="2"/>
    <d v="2023-07-10T19:47:44"/>
    <s v="N"/>
    <m/>
    <m/>
    <s v="Expert Disbursement"/>
    <m/>
    <s v="N"/>
    <n v="0"/>
    <n v="-56.2"/>
    <x v="2"/>
    <s v="VALIDATED"/>
    <n v="1"/>
    <s v="01.11.80.307.2013.0000"/>
    <n v="-56.2"/>
    <s v="11"/>
    <s v="2013"/>
    <n v="14912.76"/>
    <n v="-56.2"/>
    <s v="CREDITOR"/>
    <n v="0"/>
    <n v="0"/>
    <n v="-56.2"/>
    <n v="0"/>
    <n v="0"/>
  </r>
  <r>
    <n v="43560825"/>
    <s v="N"/>
    <n v="21356306"/>
    <s v="3000011565500017RC"/>
    <s v="CIVIL"/>
    <d v="2023-06-26T00:00:00"/>
    <d v="2023-07-10T19:47:44"/>
    <m/>
    <d v="2023-07-10T00:00:00"/>
    <n v="502"/>
    <n v="15208"/>
    <s v="43560825"/>
    <s v="43560825"/>
    <m/>
    <m/>
    <m/>
    <m/>
    <m/>
    <m/>
    <s v="SOLRECOUP"/>
    <s v="SOLRECOUP"/>
    <s v="POARECOUP"/>
    <n v="21356306"/>
    <n v="-2610.95"/>
    <m/>
    <s v="Y"/>
    <n v="1"/>
    <d v="2023-07-10T19:47:44"/>
    <s v="N"/>
    <m/>
    <m/>
    <s v="Profit Cost"/>
    <m/>
    <s v="N"/>
    <n v="-2175.79"/>
    <n v="0"/>
    <x v="2"/>
    <s v="VALIDATED"/>
    <n v="1"/>
    <s v="01.11.80.307.2013.0000"/>
    <n v="-2175.79"/>
    <s v="11"/>
    <s v="2013"/>
    <n v="14912.76"/>
    <n v="-2175.79"/>
    <s v="CREDITOR"/>
    <n v="0"/>
    <n v="0"/>
    <n v="-2175.79"/>
    <n v="-543.9475"/>
    <n v="0"/>
  </r>
  <r>
    <n v="43560825"/>
    <s v="N"/>
    <n v="21356306"/>
    <s v="3000011565500017RC"/>
    <s v="CIVIL"/>
    <d v="2023-06-26T00:00:00"/>
    <d v="2023-07-10T19:47:44"/>
    <m/>
    <d v="2023-07-10T00:00:00"/>
    <n v="502"/>
    <n v="15208"/>
    <s v="43560825"/>
    <s v="43560825"/>
    <m/>
    <m/>
    <m/>
    <m/>
    <m/>
    <m/>
    <s v="SOLRECOUP"/>
    <s v="SOLRECOUP"/>
    <s v="POARECOUP"/>
    <n v="21356306"/>
    <n v="-2610.95"/>
    <m/>
    <s v="Y"/>
    <n v="2"/>
    <d v="2023-07-10T19:47:44"/>
    <s v="N"/>
    <m/>
    <m/>
    <s v="Profit Cost"/>
    <m/>
    <s v="N"/>
    <n v="0"/>
    <n v="-435.16"/>
    <x v="2"/>
    <s v="VALIDATED"/>
    <n v="1"/>
    <s v="01.11.80.307.2013.0000"/>
    <n v="-435.16"/>
    <s v="11"/>
    <s v="2013"/>
    <n v="14912.76"/>
    <n v="-435.16"/>
    <s v="CREDITOR"/>
    <n v="0"/>
    <n v="0"/>
    <n v="-435.16"/>
    <n v="-108.79"/>
    <n v="0"/>
  </r>
  <r>
    <n v="56159186"/>
    <s v="N"/>
    <n v="21319053"/>
    <s v="3000013318490011"/>
    <s v="CIVIL"/>
    <d v="2023-06-23T00:00:00"/>
    <d v="2023-07-03T19:01:49"/>
    <m/>
    <d v="2023-07-03T00:00:00"/>
    <n v="502"/>
    <n v="15208"/>
    <s v="56159186"/>
    <s v="56159186"/>
    <m/>
    <m/>
    <n v="22754074"/>
    <m/>
    <m/>
    <m/>
    <s v="SOLFIN"/>
    <s v="SOLFIN"/>
    <s v="CCMS"/>
    <n v="21319053"/>
    <n v="6471.99"/>
    <m/>
    <s v="N"/>
    <n v="3"/>
    <d v="2023-07-03T19:02:09"/>
    <s v="Y"/>
    <s v="Toxicologist"/>
    <s v="Public Law Children"/>
    <s v="Expert Disbursement"/>
    <s v="ALK"/>
    <s v="Y"/>
    <n v="320.75"/>
    <n v="64.15000000000001"/>
    <x v="3"/>
    <s v="VALIDATED"/>
    <n v="1"/>
    <s v="01.11.80.308.6300.0000"/>
    <n v="320.75"/>
    <s v="11"/>
    <s v="6300"/>
    <n v="14912.76"/>
    <n v="320.75"/>
    <s v="CREDITOR"/>
    <n v="0"/>
    <n v="0"/>
    <n v="0"/>
    <n v="0"/>
    <n v="320.75"/>
  </r>
  <r>
    <n v="59943096"/>
    <s v="N"/>
    <n v="21331096"/>
    <s v="3000014295590004"/>
    <s v="CIVIL"/>
    <d v="2023-06-05T00:00:00"/>
    <d v="2023-07-05T19:01:47"/>
    <m/>
    <d v="2023-07-05T00:00:00"/>
    <n v="502"/>
    <n v="15208"/>
    <s v="59943096"/>
    <s v="59943096"/>
    <m/>
    <m/>
    <n v="22615402"/>
    <m/>
    <m/>
    <m/>
    <s v="SOLFIN"/>
    <s v="SOLFIN"/>
    <s v="CCMS"/>
    <n v="21331096"/>
    <n v="3875.39"/>
    <m/>
    <s v="N"/>
    <n v="43"/>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22"/>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41"/>
    <d v="2023-07-05T19:02:05"/>
    <s v="Y"/>
    <s v="Preparation - other"/>
    <s v="Prescribed Hourly Rates"/>
    <s v="Profit Cost"/>
    <s v="ELBT"/>
    <s v="Y"/>
    <n v="25.25"/>
    <n v="5.05"/>
    <x v="6"/>
    <s v="VALIDATED"/>
    <n v="1"/>
    <s v="01.11.80.302.6100.0000"/>
    <n v="25.25"/>
    <s v="11"/>
    <s v="6100"/>
    <n v="14912.76"/>
    <n v="25.25"/>
    <s v="CREDITOR"/>
    <n v="0"/>
    <n v="0"/>
    <n v="0"/>
    <n v="0"/>
    <n v="25.25"/>
  </r>
  <r>
    <n v="59943096"/>
    <s v="N"/>
    <n v="21331096"/>
    <s v="3000014295590004"/>
    <s v="CIVIL"/>
    <d v="2023-06-05T00:00:00"/>
    <d v="2023-07-05T19:01:47"/>
    <m/>
    <d v="2023-07-05T00:00:00"/>
    <n v="502"/>
    <n v="15208"/>
    <s v="59943096"/>
    <s v="59943096"/>
    <m/>
    <m/>
    <n v="22615402"/>
    <m/>
    <m/>
    <m/>
    <s v="SOLFIN"/>
    <s v="SOLFIN"/>
    <s v="CCMS"/>
    <n v="21331096"/>
    <n v="3875.39"/>
    <m/>
    <s v="N"/>
    <n v="55"/>
    <d v="2023-07-05T19:02:05"/>
    <s v="Y"/>
    <s v="FDR Hearing Unit 0.00 - 1.00 Hours"/>
    <s v="Private Law Finance"/>
    <s v="Advocacy"/>
    <s v="ELBT"/>
    <s v="Y"/>
    <n v="101.07"/>
    <n v="20.22"/>
    <x v="6"/>
    <s v="VALIDATED"/>
    <n v="1"/>
    <s v="01.11.80.302.6100.0000"/>
    <n v="101.07"/>
    <s v="11"/>
    <s v="6100"/>
    <n v="14912.76"/>
    <n v="101.07"/>
    <s v="CREDITOR"/>
    <n v="0"/>
    <n v="0"/>
    <n v="0"/>
    <n v="0"/>
    <n v="101.07"/>
  </r>
  <r>
    <n v="43560825"/>
    <s v="N"/>
    <n v="21349927"/>
    <s v="3000011565500020"/>
    <s v="CIVIL"/>
    <d v="2023-06-26T00:00:00"/>
    <d v="2023-07-10T19:01:40"/>
    <m/>
    <d v="2023-07-10T00:00:00"/>
    <n v="502"/>
    <n v="15208"/>
    <s v="43560825"/>
    <s v="43560825"/>
    <m/>
    <m/>
    <n v="22760370"/>
    <m/>
    <m/>
    <m/>
    <s v="SOLFIN"/>
    <s v="SOLFIN"/>
    <s v="CCMS"/>
    <n v="21349927"/>
    <n v="12148.97"/>
    <m/>
    <s v="N"/>
    <n v="2"/>
    <d v="2023-07-10T19:02:04"/>
    <s v="Y"/>
    <s v="Toxicologist"/>
    <s v="Private Law Children"/>
    <s v="Expert Disbursement"/>
    <s v="Cansford"/>
    <s v="Y"/>
    <n v="1043.5"/>
    <n v="208.7"/>
    <x v="2"/>
    <s v="VALIDATED"/>
    <n v="1"/>
    <s v="01.11.80.307.6300.0000"/>
    <n v="1043.5"/>
    <s v="11"/>
    <s v="6300"/>
    <n v="14912.76"/>
    <n v="1043.5"/>
    <s v="CREDITOR"/>
    <n v="0"/>
    <n v="0"/>
    <n v="0"/>
    <n v="0"/>
    <n v="1043.5"/>
  </r>
  <r>
    <n v="61332311"/>
    <s v="N"/>
    <n v="21319693"/>
    <s v="3000015474220006"/>
    <s v="CIVIL"/>
    <d v="2023-06-27T00:00:00"/>
    <d v="2023-07-03T19:04:24"/>
    <m/>
    <d v="2023-07-03T00:00:00"/>
    <n v="502"/>
    <n v="15208"/>
    <s v="61332311"/>
    <s v="61332311"/>
    <m/>
    <m/>
    <n v="22770304"/>
    <m/>
    <m/>
    <m/>
    <s v="SOLPOA"/>
    <s v="SOLPOA"/>
    <s v="CCMS"/>
    <n v="21319693"/>
    <n v="2880"/>
    <m/>
    <s v="N"/>
    <n v="1"/>
    <d v="2023-07-03T19:04:27"/>
    <s v="N"/>
    <s v="Level 3 Fixed Fee"/>
    <s v="Private Law Children"/>
    <s v="Profit Cost"/>
    <s v="TGW/WOO722"/>
    <s v="N"/>
    <n v="2400"/>
    <n v="480"/>
    <x v="3"/>
    <s v="VALIDATED"/>
    <n v="1"/>
    <s v="01.11.80.307.2012.0000"/>
    <n v="2400"/>
    <s v="11"/>
    <s v="2012"/>
    <n v="14912.76"/>
    <n v="2400"/>
    <s v="CREDITOR"/>
    <n v="2400"/>
    <n v="600"/>
    <n v="0"/>
    <n v="0"/>
    <n v="0"/>
  </r>
  <r>
    <n v="43560825"/>
    <s v="N"/>
    <n v="21349927"/>
    <s v="3000011565500020"/>
    <s v="CIVIL"/>
    <d v="2023-06-26T00:00:00"/>
    <d v="2023-07-10T19:01:40"/>
    <m/>
    <d v="2023-07-10T00:00:00"/>
    <n v="502"/>
    <n v="15208"/>
    <s v="43560825"/>
    <s v="43560825"/>
    <m/>
    <m/>
    <n v="22760370"/>
    <m/>
    <m/>
    <m/>
    <s v="SOLFIN"/>
    <s v="SOLFIN"/>
    <s v="CCMS"/>
    <n v="21349927"/>
    <n v="12148.97"/>
    <m/>
    <s v="N"/>
    <n v="5"/>
    <d v="2023-07-10T19:02:04"/>
    <s v="Y"/>
    <s v="Court Fee"/>
    <s v="Private Law Children"/>
    <s v="Non Expert Disbursement"/>
    <s v="HMCTS"/>
    <s v="Y"/>
    <n v="155"/>
    <n v="0"/>
    <x v="2"/>
    <s v="VALIDATED"/>
    <n v="1"/>
    <s v="01.11.80.307.6300.0000"/>
    <n v="155"/>
    <s v="11"/>
    <s v="6300"/>
    <n v="14912.76"/>
    <n v="155"/>
    <s v="CREDITOR"/>
    <n v="0"/>
    <n v="0"/>
    <n v="0"/>
    <n v="0"/>
    <n v="155"/>
  </r>
  <r>
    <n v="59943096"/>
    <s v="N"/>
    <n v="21331096"/>
    <s v="3000014295590004"/>
    <s v="CIVIL"/>
    <d v="2023-06-05T00:00:00"/>
    <d v="2023-07-05T19:01:47"/>
    <m/>
    <d v="2023-07-05T00:00:00"/>
    <n v="502"/>
    <n v="15208"/>
    <s v="59943096"/>
    <s v="59943096"/>
    <m/>
    <m/>
    <n v="22615402"/>
    <m/>
    <m/>
    <m/>
    <s v="SOLFIN"/>
    <s v="SOLFIN"/>
    <s v="CCMS"/>
    <n v="21331096"/>
    <n v="3875.39"/>
    <m/>
    <s v="N"/>
    <n v="48"/>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37"/>
    <d v="2023-07-05T19:02:05"/>
    <s v="Y"/>
    <s v="Preparation - other"/>
    <s v="Prescribed Hourly Rates"/>
    <s v="Profit Cost"/>
    <s v="ELBT"/>
    <s v="Y"/>
    <n v="12.63"/>
    <n v="2.53"/>
    <x v="6"/>
    <s v="VALIDATED"/>
    <n v="1"/>
    <s v="01.11.80.302.6100.0000"/>
    <n v="12.63"/>
    <s v="11"/>
    <s v="6100"/>
    <n v="14912.76"/>
    <n v="12.63"/>
    <s v="CREDITOR"/>
    <n v="0"/>
    <n v="0"/>
    <n v="0"/>
    <n v="0"/>
    <n v="12.63"/>
  </r>
  <r>
    <n v="56159186"/>
    <s v="N"/>
    <n v="21319053"/>
    <s v="3000013318490011"/>
    <s v="CIVIL"/>
    <d v="2023-06-23T00:00:00"/>
    <d v="2023-07-03T19:01:49"/>
    <m/>
    <d v="2023-07-03T00:00:00"/>
    <n v="502"/>
    <n v="15208"/>
    <s v="56159186"/>
    <s v="56159186"/>
    <m/>
    <m/>
    <n v="22754074"/>
    <m/>
    <m/>
    <m/>
    <s v="SOLFIN"/>
    <s v="SOLFIN"/>
    <s v="CCMS"/>
    <n v="21319053"/>
    <n v="6471.99"/>
    <m/>
    <s v="N"/>
    <n v="1"/>
    <d v="2023-07-03T19:02:09"/>
    <s v="Y"/>
    <s v="Psychologist"/>
    <s v="Public Law Children"/>
    <s v="Expert Disbursement"/>
    <s v="ALK"/>
    <s v="Y"/>
    <n v="631.8"/>
    <n v="126.36"/>
    <x v="3"/>
    <s v="VALIDATED"/>
    <n v="1"/>
    <s v="01.11.80.308.6300.0000"/>
    <n v="631.8"/>
    <s v="11"/>
    <s v="6300"/>
    <n v="14912.76"/>
    <n v="631.8"/>
    <s v="CREDITOR"/>
    <n v="0"/>
    <n v="0"/>
    <n v="0"/>
    <n v="0"/>
    <n v="631.8"/>
  </r>
  <r>
    <n v="59943096"/>
    <s v="N"/>
    <n v="21331096"/>
    <s v="3000014295590004"/>
    <s v="CIVIL"/>
    <d v="2023-06-05T00:00:00"/>
    <d v="2023-07-05T19:01:47"/>
    <m/>
    <d v="2023-07-05T00:00:00"/>
    <n v="502"/>
    <n v="15208"/>
    <s v="59943096"/>
    <s v="59943096"/>
    <m/>
    <m/>
    <n v="22615402"/>
    <m/>
    <m/>
    <m/>
    <s v="SOLFIN"/>
    <s v="SOLFIN"/>
    <s v="CCMS"/>
    <n v="21331096"/>
    <n v="3875.39"/>
    <m/>
    <s v="N"/>
    <n v="21"/>
    <d v="2023-07-05T19:02:05"/>
    <s v="Y"/>
    <s v="Preparation - other"/>
    <s v="Prescribed Hourly Rates"/>
    <s v="Profit Cost"/>
    <s v="ELBT"/>
    <s v="Y"/>
    <n v="18.94"/>
    <n v="3.79"/>
    <x v="6"/>
    <s v="VALIDATED"/>
    <n v="1"/>
    <s v="01.11.80.302.6100.0000"/>
    <n v="18.94"/>
    <s v="11"/>
    <s v="6100"/>
    <n v="14912.76"/>
    <n v="18.94"/>
    <s v="CREDITOR"/>
    <n v="0"/>
    <n v="0"/>
    <n v="0"/>
    <n v="0"/>
    <n v="18.94"/>
  </r>
  <r>
    <n v="59943096"/>
    <s v="N"/>
    <n v="21331096"/>
    <s v="3000014295590004"/>
    <s v="CIVIL"/>
    <d v="2023-06-05T00:00:00"/>
    <d v="2023-07-05T19:01:47"/>
    <m/>
    <d v="2023-07-05T00:00:00"/>
    <n v="502"/>
    <n v="15208"/>
    <s v="59943096"/>
    <s v="59943096"/>
    <m/>
    <m/>
    <n v="22615402"/>
    <m/>
    <m/>
    <m/>
    <s v="SOLFIN"/>
    <s v="SOLFIN"/>
    <s v="CCMS"/>
    <n v="21331096"/>
    <n v="3875.39"/>
    <m/>
    <s v="N"/>
    <n v="52"/>
    <d v="2023-07-05T19:02:05"/>
    <s v="Y"/>
    <s v="Early Resolution Fee"/>
    <s v="Private Law Finance"/>
    <s v="Advocacy"/>
    <s v="ELBT"/>
    <s v="Y"/>
    <n v="126.36"/>
    <n v="25.27"/>
    <x v="6"/>
    <s v="VALIDATED"/>
    <n v="1"/>
    <s v="01.11.80.302.6100.0000"/>
    <n v="126.36"/>
    <s v="11"/>
    <s v="6100"/>
    <n v="14912.76"/>
    <n v="126.36"/>
    <s v="CREDITOR"/>
    <n v="0"/>
    <n v="0"/>
    <n v="0"/>
    <n v="0"/>
    <n v="126.36"/>
  </r>
  <r>
    <n v="59943096"/>
    <s v="N"/>
    <n v="21331096"/>
    <s v="3000014295590004"/>
    <s v="CIVIL"/>
    <d v="2023-06-05T00:00:00"/>
    <d v="2023-07-05T19:01:47"/>
    <m/>
    <d v="2023-07-05T00:00:00"/>
    <n v="502"/>
    <n v="15208"/>
    <s v="59943096"/>
    <s v="59943096"/>
    <m/>
    <m/>
    <n v="22615402"/>
    <m/>
    <m/>
    <m/>
    <s v="SOLFIN"/>
    <s v="SOLFIN"/>
    <s v="CCMS"/>
    <n v="21331096"/>
    <n v="3875.39"/>
    <m/>
    <s v="N"/>
    <n v="4"/>
    <d v="2023-07-05T19:02:05"/>
    <s v="Y"/>
    <s v="Preparation - other"/>
    <s v="Prescribed Hourly Rates"/>
    <s v="Profit Cost"/>
    <s v="ELBT"/>
    <s v="Y"/>
    <n v="12.63"/>
    <n v="2.53"/>
    <x v="6"/>
    <s v="VALIDATED"/>
    <n v="1"/>
    <s v="01.11.80.302.6100.0000"/>
    <n v="12.63"/>
    <s v="11"/>
    <s v="6100"/>
    <n v="14912.76"/>
    <n v="12.63"/>
    <s v="CREDITOR"/>
    <n v="0"/>
    <n v="0"/>
    <n v="0"/>
    <n v="0"/>
    <n v="12.63"/>
  </r>
  <r>
    <n v="61764441"/>
    <s v="N"/>
    <n v="21322876"/>
    <s v="3000015842080002"/>
    <s v="CIVIL"/>
    <d v="2023-06-29T00:00:00"/>
    <d v="2023-07-03T19:05:36"/>
    <m/>
    <d v="2023-07-03T00:00:00"/>
    <n v="502"/>
    <n v="15208"/>
    <s v="61764441"/>
    <s v="61764441"/>
    <m/>
    <m/>
    <n v="22793858"/>
    <m/>
    <m/>
    <m/>
    <s v="SOLPOA"/>
    <s v="SOLPOA"/>
    <s v="CCMS"/>
    <n v="21322876"/>
    <n v="1136.5"/>
    <m/>
    <s v="N"/>
    <n v="1"/>
    <d v="2023-07-03T19:05:40"/>
    <s v="N"/>
    <s v="Solicitors Fixed Fee"/>
    <s v="Public Law Children"/>
    <s v="Profit Cost"/>
    <s v="ALK"/>
    <s v="N"/>
    <n v="947.08"/>
    <n v="189.42"/>
    <x v="3"/>
    <s v="VALIDATED"/>
    <n v="1"/>
    <s v="01.11.80.308.2012.0000"/>
    <n v="947.08"/>
    <s v="11"/>
    <s v="2012"/>
    <n v="14912.76"/>
    <n v="947.08"/>
    <s v="CREDITOR"/>
    <n v="947.08"/>
    <n v="236.77"/>
    <n v="0"/>
    <n v="0"/>
    <n v="0"/>
  </r>
  <r>
    <n v="10053033"/>
    <s v="N"/>
    <n v="21343530"/>
    <s v="3000005943310008"/>
    <s v="CIVIL"/>
    <d v="2023-06-22T00:00:00"/>
    <d v="2023-07-07T19:03:00"/>
    <m/>
    <d v="2023-07-07T00:00:00"/>
    <n v="502"/>
    <n v="15208"/>
    <s v="10053033"/>
    <s v="10053033"/>
    <m/>
    <m/>
    <n v="22743126"/>
    <m/>
    <m/>
    <m/>
    <s v="SOLFIN"/>
    <s v="SOLFIN"/>
    <s v="CCMS"/>
    <n v="21343530"/>
    <n v="3538.99"/>
    <m/>
    <s v="N"/>
    <n v="5"/>
    <d v="2023-07-07T19:03:10"/>
    <s v="Y"/>
    <s v="Solicitors Fixed Fee"/>
    <s v="Public Law Children"/>
    <s v="Profit Cost"/>
    <s v="ALK"/>
    <s v="Y"/>
    <n v="2616"/>
    <n v="523.2"/>
    <x v="9"/>
    <s v="VALIDATED"/>
    <n v="1"/>
    <s v="01.11.80.308.6100.0000"/>
    <n v="2616"/>
    <s v="11"/>
    <s v="6100"/>
    <n v="14912.76"/>
    <n v="2616"/>
    <s v="CREDITOR"/>
    <n v="0"/>
    <n v="0"/>
    <n v="0"/>
    <n v="0"/>
    <n v="2616"/>
  </r>
  <r>
    <n v="59943096"/>
    <s v="N"/>
    <n v="21331096"/>
    <s v="3000014295590004"/>
    <s v="CIVIL"/>
    <d v="2023-06-05T00:00:00"/>
    <d v="2023-07-05T19:01:47"/>
    <m/>
    <d v="2023-07-05T00:00:00"/>
    <n v="502"/>
    <n v="15208"/>
    <s v="59943096"/>
    <s v="59943096"/>
    <m/>
    <m/>
    <n v="22615402"/>
    <m/>
    <m/>
    <m/>
    <s v="SOLFIN"/>
    <s v="SOLFIN"/>
    <s v="CCMS"/>
    <n v="21331096"/>
    <n v="3875.39"/>
    <m/>
    <s v="N"/>
    <n v="31"/>
    <d v="2023-07-05T19:02:05"/>
    <s v="Y"/>
    <s v="Preparation - other"/>
    <s v="Prescribed Hourly Rates"/>
    <s v="Profit Cost"/>
    <s v="ELBT"/>
    <s v="Y"/>
    <n v="6.31"/>
    <n v="1.26"/>
    <x v="6"/>
    <s v="VALIDATED"/>
    <n v="1"/>
    <s v="01.11.80.302.6100.0000"/>
    <n v="6.31"/>
    <s v="11"/>
    <s v="6100"/>
    <n v="14912.76"/>
    <n v="6.31"/>
    <s v="CREDITOR"/>
    <n v="0"/>
    <n v="0"/>
    <n v="0"/>
    <n v="0"/>
    <n v="6.31"/>
  </r>
  <r>
    <n v="10053033"/>
    <s v="N"/>
    <n v="21343530"/>
    <s v="3000005943310008"/>
    <s v="CIVIL"/>
    <d v="2023-06-22T00:00:00"/>
    <d v="2023-07-07T19:03:00"/>
    <m/>
    <d v="2023-07-07T00:00:00"/>
    <n v="502"/>
    <n v="15208"/>
    <s v="10053033"/>
    <s v="10053033"/>
    <m/>
    <m/>
    <n v="22743126"/>
    <m/>
    <m/>
    <m/>
    <s v="SOLFIN"/>
    <s v="SOLFIN"/>
    <s v="CCMS"/>
    <n v="21343530"/>
    <n v="3538.99"/>
    <m/>
    <s v="N"/>
    <n v="1"/>
    <d v="2023-07-07T19:03:10"/>
    <s v="Y"/>
    <s v="Court Fee"/>
    <s v="Public Law Children"/>
    <s v="Non Expert Disbursement"/>
    <s v="ALK"/>
    <s v="Y"/>
    <n v="155"/>
    <n v="0"/>
    <x v="9"/>
    <s v="VALIDATED"/>
    <n v="1"/>
    <s v="01.11.80.308.6300.0000"/>
    <n v="155"/>
    <s v="11"/>
    <s v="6300"/>
    <n v="14912.76"/>
    <n v="155"/>
    <s v="CREDITOR"/>
    <n v="0"/>
    <n v="0"/>
    <n v="0"/>
    <n v="0"/>
    <n v="155"/>
  </r>
  <r>
    <n v="59943096"/>
    <s v="N"/>
    <n v="21331096"/>
    <s v="3000014295590004"/>
    <s v="CIVIL"/>
    <d v="2023-06-05T00:00:00"/>
    <d v="2023-07-05T19:01:47"/>
    <m/>
    <d v="2023-07-05T00:00:00"/>
    <n v="502"/>
    <n v="15208"/>
    <s v="59943096"/>
    <s v="59943096"/>
    <m/>
    <m/>
    <n v="22615402"/>
    <m/>
    <m/>
    <m/>
    <s v="SOLFIN"/>
    <s v="SOLFIN"/>
    <s v="CCMS"/>
    <n v="21331096"/>
    <n v="3875.39"/>
    <m/>
    <s v="N"/>
    <n v="15"/>
    <d v="2023-07-05T19:02:05"/>
    <s v="Y"/>
    <s v="Preparation - other"/>
    <s v="Prescribed Hourly Rates"/>
    <s v="Profit Cost"/>
    <s v="ELBT"/>
    <s v="Y"/>
    <n v="31.57"/>
    <n v="6.31"/>
    <x v="6"/>
    <s v="VALIDATED"/>
    <n v="1"/>
    <s v="01.11.80.302.6100.0000"/>
    <n v="31.57"/>
    <s v="11"/>
    <s v="6100"/>
    <n v="14912.76"/>
    <n v="31.57"/>
    <s v="CREDITOR"/>
    <n v="0"/>
    <n v="0"/>
    <n v="0"/>
    <n v="0"/>
    <n v="31.57"/>
  </r>
  <r>
    <n v="59943096"/>
    <s v="N"/>
    <n v="21331096"/>
    <s v="3000014295590004"/>
    <s v="CIVIL"/>
    <d v="2023-06-05T00:00:00"/>
    <d v="2023-07-05T19:01:47"/>
    <m/>
    <d v="2023-07-05T00:00:00"/>
    <n v="502"/>
    <n v="15208"/>
    <s v="59943096"/>
    <s v="59943096"/>
    <m/>
    <m/>
    <n v="22615402"/>
    <m/>
    <m/>
    <m/>
    <s v="SOLFIN"/>
    <s v="SOLFIN"/>
    <s v="CCMS"/>
    <n v="21331096"/>
    <n v="3875.39"/>
    <m/>
    <s v="N"/>
    <n v="50"/>
    <d v="2023-07-05T19:02:05"/>
    <s v="Y"/>
    <s v="Routine Letter In"/>
    <s v="Prescribed Hourly Rates"/>
    <s v="Profit Cost"/>
    <s v="ELBT"/>
    <s v="Y"/>
    <n v="273.24"/>
    <n v="54.65"/>
    <x v="6"/>
    <s v="VALIDATED"/>
    <n v="1"/>
    <s v="01.11.80.302.6100.0000"/>
    <n v="273.24"/>
    <s v="11"/>
    <s v="6100"/>
    <n v="14912.76"/>
    <n v="273.24"/>
    <s v="CREDITOR"/>
    <n v="0"/>
    <n v="0"/>
    <n v="0"/>
    <n v="0"/>
    <n v="273.24"/>
  </r>
  <r>
    <n v="59943096"/>
    <s v="N"/>
    <n v="21331096"/>
    <s v="3000014295590004"/>
    <s v="CIVIL"/>
    <d v="2023-06-05T00:00:00"/>
    <d v="2023-07-05T19:01:47"/>
    <m/>
    <d v="2023-07-05T00:00:00"/>
    <n v="502"/>
    <n v="15208"/>
    <s v="59943096"/>
    <s v="59943096"/>
    <m/>
    <m/>
    <n v="22615402"/>
    <m/>
    <m/>
    <m/>
    <s v="SOLFIN"/>
    <s v="SOLFIN"/>
    <s v="CCMS"/>
    <n v="21331096"/>
    <n v="3875.39"/>
    <m/>
    <s v="N"/>
    <n v="19"/>
    <d v="2023-07-05T19:02:05"/>
    <s v="Y"/>
    <s v="Preparation - other"/>
    <s v="Prescribed Hourly Rates"/>
    <s v="Profit Cost"/>
    <s v="ELBT"/>
    <s v="Y"/>
    <n v="25.25"/>
    <n v="5.05"/>
    <x v="6"/>
    <s v="VALIDATED"/>
    <n v="1"/>
    <s v="01.11.80.302.6100.0000"/>
    <n v="25.25"/>
    <s v="11"/>
    <s v="6100"/>
    <n v="14912.76"/>
    <n v="25.25"/>
    <s v="CREDITOR"/>
    <n v="0"/>
    <n v="0"/>
    <n v="0"/>
    <n v="0"/>
    <n v="25.25"/>
  </r>
  <r>
    <n v="59943096"/>
    <s v="N"/>
    <n v="21331096"/>
    <s v="3000014295590004"/>
    <s v="CIVIL"/>
    <d v="2023-06-05T00:00:00"/>
    <d v="2023-07-05T19:01:47"/>
    <m/>
    <d v="2023-07-05T00:00:00"/>
    <n v="502"/>
    <n v="15208"/>
    <s v="59943096"/>
    <s v="59943096"/>
    <m/>
    <m/>
    <n v="22615402"/>
    <m/>
    <m/>
    <m/>
    <s v="SOLFIN"/>
    <s v="SOLFIN"/>
    <s v="CCMS"/>
    <n v="21331096"/>
    <n v="3875.39"/>
    <m/>
    <s v="N"/>
    <n v="2"/>
    <d v="2023-07-05T19:02:05"/>
    <s v="Y"/>
    <s v="Routine Letter Out"/>
    <s v="Prescribed Hourly Rates"/>
    <s v="Profit Cost"/>
    <s v="AIP"/>
    <s v="Y"/>
    <n v="75.59999999999999"/>
    <n v="15.12"/>
    <x v="6"/>
    <s v="VALIDATED"/>
    <n v="1"/>
    <s v="01.11.80.302.6100.0000"/>
    <n v="75.59999999999999"/>
    <s v="11"/>
    <s v="6100"/>
    <n v="14912.76"/>
    <n v="75.59999999999999"/>
    <s v="CREDITOR"/>
    <n v="0"/>
    <n v="0"/>
    <n v="0"/>
    <n v="0"/>
    <n v="75.59999999999999"/>
  </r>
  <r>
    <n v="60331924"/>
    <s v="N"/>
    <n v="21319422"/>
    <s v="3000014630730066"/>
    <s v="CIVIL"/>
    <d v="2023-06-28T00:00:00"/>
    <d v="2023-07-03T19:04:24"/>
    <m/>
    <d v="2023-07-03T00:00:00"/>
    <n v="502"/>
    <n v="15208"/>
    <s v="60331924"/>
    <s v="60331924"/>
    <m/>
    <m/>
    <n v="22777780"/>
    <m/>
    <m/>
    <m/>
    <s v="SOLPOA"/>
    <s v="SOLPOA"/>
    <s v="CCMS"/>
    <n v="21319422"/>
    <n v="359.4"/>
    <m/>
    <s v="N"/>
    <n v="1"/>
    <d v="2023-07-03T19:04:25"/>
    <s v="N"/>
    <s v="Non Expert Disbursement"/>
    <s v="Non Expert Disbursement"/>
    <s v="Non Expert Disbursement"/>
    <s v="TGW/HAJ1/5"/>
    <s v="N"/>
    <n v="299.5"/>
    <n v="59.9"/>
    <x v="3"/>
    <s v="VALIDATED"/>
    <n v="1"/>
    <s v="01.11.80.308.2012.0000"/>
    <n v="299.5"/>
    <s v="11"/>
    <s v="2012"/>
    <n v="14912.76"/>
    <n v="299.5"/>
    <s v="CREDITOR"/>
    <n v="299.5"/>
    <n v="0"/>
    <n v="0"/>
    <n v="0"/>
    <n v="0"/>
  </r>
  <r>
    <n v="59943096"/>
    <s v="N"/>
    <n v="21331096"/>
    <s v="3000014295590004"/>
    <s v="CIVIL"/>
    <d v="2023-06-05T00:00:00"/>
    <d v="2023-07-05T19:01:47"/>
    <m/>
    <d v="2023-07-05T00:00:00"/>
    <n v="502"/>
    <n v="15208"/>
    <s v="59943096"/>
    <s v="59943096"/>
    <m/>
    <m/>
    <n v="22615402"/>
    <m/>
    <m/>
    <m/>
    <s v="SOLFIN"/>
    <s v="SOLFIN"/>
    <s v="CCMS"/>
    <n v="21331096"/>
    <n v="3875.39"/>
    <m/>
    <s v="N"/>
    <n v="20"/>
    <d v="2023-07-05T19:02:05"/>
    <s v="Y"/>
    <s v="Preparation - other"/>
    <s v="Prescribed Hourly Rates"/>
    <s v="Profit Cost"/>
    <s v="ELBT"/>
    <s v="Y"/>
    <n v="12.63"/>
    <n v="2.53"/>
    <x v="6"/>
    <s v="VALIDATED"/>
    <n v="1"/>
    <s v="01.11.80.302.6100.0000"/>
    <n v="12.63"/>
    <s v="11"/>
    <s v="6100"/>
    <n v="14912.76"/>
    <n v="12.63"/>
    <s v="CREDITOR"/>
    <n v="0"/>
    <n v="0"/>
    <n v="0"/>
    <n v="0"/>
    <n v="12.63"/>
  </r>
  <r>
    <n v="43560825"/>
    <s v="N"/>
    <n v="21349927"/>
    <s v="3000011565500020"/>
    <s v="CIVIL"/>
    <d v="2023-06-26T00:00:00"/>
    <d v="2023-07-10T19:01:40"/>
    <m/>
    <d v="2023-07-10T00:00:00"/>
    <n v="502"/>
    <n v="15208"/>
    <s v="43560825"/>
    <s v="43560825"/>
    <m/>
    <m/>
    <n v="22760370"/>
    <m/>
    <m/>
    <m/>
    <s v="SOLFIN"/>
    <s v="SOLFIN"/>
    <s v="CCMS"/>
    <n v="21349927"/>
    <n v="12148.97"/>
    <m/>
    <s v="N"/>
    <n v="6"/>
    <d v="2023-07-10T19:02:04"/>
    <s v="Y"/>
    <s v="Profit Costs (Summary)"/>
    <s v="Private Law Children"/>
    <s v="Profit Cost"/>
    <s v="TGW"/>
    <s v="Y"/>
    <n v="7020.51"/>
    <n v="1404.1"/>
    <x v="2"/>
    <s v="VALIDATED"/>
    <n v="1"/>
    <s v="01.11.80.307.6100.0000"/>
    <n v="7020.51"/>
    <s v="11"/>
    <s v="6100"/>
    <n v="14912.76"/>
    <n v="7020.51"/>
    <s v="CREDITOR"/>
    <n v="0"/>
    <n v="0"/>
    <n v="0"/>
    <n v="0"/>
    <n v="7020.51"/>
  </r>
  <r>
    <n v="43560825"/>
    <s v="N"/>
    <n v="21349927"/>
    <s v="3000011565500020"/>
    <s v="CIVIL"/>
    <d v="2023-06-26T00:00:00"/>
    <d v="2023-07-10T19:01:40"/>
    <m/>
    <d v="2023-07-10T00:00:00"/>
    <n v="502"/>
    <n v="15208"/>
    <s v="43560825"/>
    <s v="43560825"/>
    <m/>
    <m/>
    <n v="22760370"/>
    <m/>
    <m/>
    <m/>
    <s v="SOLFIN"/>
    <s v="SOLFIN"/>
    <s v="CCMS"/>
    <n v="21349927"/>
    <n v="12148.97"/>
    <m/>
    <s v="N"/>
    <n v="7"/>
    <d v="2023-07-10T19:02:04"/>
    <s v="Y"/>
    <s v="Court Fee"/>
    <s v="Private Law Children"/>
    <s v="Non Expert Disbursement"/>
    <s v="HMCTS"/>
    <s v="Y"/>
    <n v="167"/>
    <n v="0"/>
    <x v="2"/>
    <s v="VALIDATED"/>
    <n v="1"/>
    <s v="01.11.80.307.6300.0000"/>
    <n v="167"/>
    <s v="11"/>
    <s v="6300"/>
    <n v="14912.76"/>
    <n v="167"/>
    <s v="CREDITOR"/>
    <n v="0"/>
    <n v="0"/>
    <n v="0"/>
    <n v="0"/>
    <n v="167"/>
  </r>
  <r>
    <n v="59943096"/>
    <s v="N"/>
    <n v="21331096"/>
    <s v="3000014295590004"/>
    <s v="CIVIL"/>
    <d v="2023-06-05T00:00:00"/>
    <d v="2023-07-05T19:01:47"/>
    <m/>
    <d v="2023-07-05T00:00:00"/>
    <n v="502"/>
    <n v="15208"/>
    <s v="59943096"/>
    <s v="59943096"/>
    <m/>
    <m/>
    <n v="22615402"/>
    <m/>
    <m/>
    <m/>
    <s v="SOLFIN"/>
    <s v="SOLFIN"/>
    <s v="CCMS"/>
    <n v="21331096"/>
    <n v="3875.39"/>
    <m/>
    <s v="N"/>
    <n v="38"/>
    <d v="2023-07-05T19:02:05"/>
    <s v="Y"/>
    <s v="Preparation - other"/>
    <s v="Prescribed Hourly Rates"/>
    <s v="Profit Cost"/>
    <s v="ELBT"/>
    <s v="Y"/>
    <n v="18.94"/>
    <n v="3.79"/>
    <x v="6"/>
    <s v="VALIDATED"/>
    <n v="1"/>
    <s v="01.11.80.302.6100.0000"/>
    <n v="18.94"/>
    <s v="11"/>
    <s v="6100"/>
    <n v="14912.76"/>
    <n v="18.94"/>
    <s v="CREDITOR"/>
    <n v="0"/>
    <n v="0"/>
    <n v="0"/>
    <n v="0"/>
    <n v="18.94"/>
  </r>
  <r>
    <n v="62052052"/>
    <s v="N"/>
    <n v="21322813"/>
    <s v="3000016086410003"/>
    <s v="CIVIL"/>
    <d v="2023-06-29T00:00:00"/>
    <d v="2023-07-03T19:05:36"/>
    <m/>
    <d v="2023-07-03T00:00:00"/>
    <n v="502"/>
    <n v="15208"/>
    <s v="62052052"/>
    <s v="62052052"/>
    <m/>
    <m/>
    <n v="22793842"/>
    <m/>
    <m/>
    <m/>
    <s v="SOLPOA"/>
    <s v="SOLPOA"/>
    <s v="CCMS"/>
    <n v="21322813"/>
    <n v="2130.17"/>
    <m/>
    <s v="N"/>
    <n v="1"/>
    <d v="2023-07-03T19:05:40"/>
    <s v="N"/>
    <s v="Solicitors Fixed Fee"/>
    <s v="Public Law Children"/>
    <s v="Profit Cost"/>
    <s v="ALK"/>
    <s v="N"/>
    <n v="1775.14"/>
    <n v="355.03"/>
    <x v="3"/>
    <s v="VALIDATED"/>
    <n v="1"/>
    <s v="01.11.80.308.2012.0000"/>
    <n v="1775.14"/>
    <s v="11"/>
    <s v="2012"/>
    <n v="14912.76"/>
    <n v="1775.14"/>
    <s v="CREDITOR"/>
    <n v="1775.14"/>
    <n v="443.785"/>
    <n v="0"/>
    <n v="0"/>
    <n v="0"/>
  </r>
  <r>
    <n v="56159186"/>
    <s v="N"/>
    <n v="21319053"/>
    <s v="3000013318490011"/>
    <s v="CIVIL"/>
    <d v="2023-06-23T00:00:00"/>
    <d v="2023-07-03T19:01:49"/>
    <m/>
    <d v="2023-07-03T00:00:00"/>
    <n v="502"/>
    <n v="15208"/>
    <s v="56159186"/>
    <s v="56159186"/>
    <m/>
    <m/>
    <n v="22754074"/>
    <m/>
    <m/>
    <m/>
    <s v="SOLFIN"/>
    <s v="SOLFIN"/>
    <s v="CCMS"/>
    <n v="21319053"/>
    <n v="6471.99"/>
    <m/>
    <s v="N"/>
    <n v="5"/>
    <d v="2023-07-03T19:02:09"/>
    <s v="Y"/>
    <s v="Toxicologist"/>
    <s v="Public Law Children"/>
    <s v="Expert Disbursement"/>
    <s v="ALK"/>
    <s v="Y"/>
    <n v="130.25"/>
    <n v="26.05"/>
    <x v="3"/>
    <s v="VALIDATED"/>
    <n v="1"/>
    <s v="01.11.80.308.6300.0000"/>
    <n v="130.25"/>
    <s v="11"/>
    <s v="6300"/>
    <n v="14912.76"/>
    <n v="130.25"/>
    <s v="CREDITOR"/>
    <n v="0"/>
    <n v="0"/>
    <n v="0"/>
    <n v="0"/>
    <n v="130.25"/>
  </r>
  <r>
    <n v="59943096"/>
    <s v="N"/>
    <n v="21331096"/>
    <s v="3000014295590004"/>
    <s v="CIVIL"/>
    <d v="2023-06-05T00:00:00"/>
    <d v="2023-07-05T19:01:47"/>
    <m/>
    <d v="2023-07-05T00:00:00"/>
    <n v="502"/>
    <n v="15208"/>
    <s v="59943096"/>
    <s v="59943096"/>
    <m/>
    <m/>
    <n v="22615402"/>
    <m/>
    <m/>
    <m/>
    <s v="SOLFIN"/>
    <s v="SOLFIN"/>
    <s v="CCMS"/>
    <n v="21331096"/>
    <n v="3875.39"/>
    <m/>
    <s v="N"/>
    <n v="17"/>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32"/>
    <d v="2023-07-05T19:02:05"/>
    <s v="Y"/>
    <s v="Preparation - other"/>
    <s v="Prescribed Hourly Rates"/>
    <s v="Profit Cost"/>
    <s v="ELBT"/>
    <s v="Y"/>
    <n v="31.57"/>
    <n v="6.31"/>
    <x v="6"/>
    <s v="VALIDATED"/>
    <n v="1"/>
    <s v="01.11.80.302.6100.0000"/>
    <n v="31.57"/>
    <s v="11"/>
    <s v="6100"/>
    <n v="14912.76"/>
    <n v="31.57"/>
    <s v="CREDITOR"/>
    <n v="0"/>
    <n v="0"/>
    <n v="0"/>
    <n v="0"/>
    <n v="31.57"/>
  </r>
  <r>
    <n v="59943096"/>
    <s v="N"/>
    <n v="21331096"/>
    <s v="3000014295590004"/>
    <s v="CIVIL"/>
    <d v="2023-06-05T00:00:00"/>
    <d v="2023-07-05T19:01:47"/>
    <m/>
    <d v="2023-07-05T00:00:00"/>
    <n v="502"/>
    <n v="15208"/>
    <s v="59943096"/>
    <s v="59943096"/>
    <m/>
    <m/>
    <n v="22615402"/>
    <m/>
    <m/>
    <m/>
    <s v="SOLFIN"/>
    <s v="SOLFIN"/>
    <s v="CCMS"/>
    <n v="21331096"/>
    <n v="3875.39"/>
    <m/>
    <s v="N"/>
    <n v="35"/>
    <d v="2023-07-05T19:02:05"/>
    <s v="Y"/>
    <s v="Preparation - other"/>
    <s v="Prescribed Hourly Rates"/>
    <s v="Profit Cost"/>
    <s v="AIP"/>
    <s v="Y"/>
    <n v="41.18"/>
    <n v="8.24"/>
    <x v="6"/>
    <s v="VALIDATED"/>
    <n v="1"/>
    <s v="01.11.80.302.6100.0000"/>
    <n v="41.18"/>
    <s v="11"/>
    <s v="6100"/>
    <n v="14912.76"/>
    <n v="41.18"/>
    <s v="CREDITOR"/>
    <n v="0"/>
    <n v="0"/>
    <n v="0"/>
    <n v="0"/>
    <n v="41.18"/>
  </r>
  <r>
    <n v="59943096"/>
    <s v="N"/>
    <n v="21331096"/>
    <s v="3000014295590004"/>
    <s v="CIVIL"/>
    <d v="2023-06-05T00:00:00"/>
    <d v="2023-07-05T19:01:47"/>
    <m/>
    <d v="2023-07-05T00:00:00"/>
    <n v="502"/>
    <n v="15208"/>
    <s v="59943096"/>
    <s v="59943096"/>
    <m/>
    <m/>
    <n v="22615402"/>
    <m/>
    <m/>
    <m/>
    <s v="SOLFIN"/>
    <s v="SOLFIN"/>
    <s v="CCMS"/>
    <n v="21331096"/>
    <n v="3875.39"/>
    <m/>
    <s v="N"/>
    <n v="5"/>
    <d v="2023-07-05T19:02:05"/>
    <s v="Y"/>
    <s v="Preparation - other"/>
    <s v="Prescribed Hourly Rates"/>
    <s v="Profit Cost"/>
    <s v="ELBT"/>
    <s v="Y"/>
    <n v="6.31"/>
    <n v="1.26"/>
    <x v="6"/>
    <s v="VALIDATED"/>
    <n v="1"/>
    <s v="01.11.80.302.6100.0000"/>
    <n v="6.31"/>
    <s v="11"/>
    <s v="6100"/>
    <n v="14912.76"/>
    <n v="6.31"/>
    <s v="CREDITOR"/>
    <n v="0"/>
    <n v="0"/>
    <n v="0"/>
    <n v="0"/>
    <n v="6.31"/>
  </r>
  <r>
    <n v="43560825"/>
    <s v="N"/>
    <n v="21349927"/>
    <s v="3000011565500020"/>
    <s v="CIVIL"/>
    <d v="2023-06-26T00:00:00"/>
    <d v="2023-07-10T19:01:40"/>
    <m/>
    <d v="2023-07-10T00:00:00"/>
    <n v="502"/>
    <n v="15208"/>
    <s v="43560825"/>
    <s v="43560825"/>
    <m/>
    <m/>
    <n v="22760370"/>
    <m/>
    <m/>
    <m/>
    <s v="SOLFIN"/>
    <s v="SOLFIN"/>
    <s v="CCMS"/>
    <n v="21349927"/>
    <n v="12148.97"/>
    <m/>
    <s v="N"/>
    <n v="10"/>
    <d v="2023-07-10T19:02:04"/>
    <s v="Y"/>
    <s v="Toxicologist"/>
    <s v="Private Law Children"/>
    <s v="Expert Disbursement"/>
    <s v="Lextox"/>
    <s v="Y"/>
    <n v="1181.5"/>
    <n v="236.3"/>
    <x v="2"/>
    <s v="VALIDATED"/>
    <n v="1"/>
    <s v="01.11.80.307.6300.0000"/>
    <n v="1181.5"/>
    <s v="11"/>
    <s v="6300"/>
    <n v="14912.76"/>
    <n v="1181.5"/>
    <s v="CREDITOR"/>
    <n v="0"/>
    <n v="0"/>
    <n v="0"/>
    <n v="0"/>
    <n v="1181.5"/>
  </r>
  <r>
    <n v="61108000"/>
    <s v="N"/>
    <n v="21343323"/>
    <s v="3000015298860026"/>
    <s v="CIVIL"/>
    <d v="2023-06-29T00:00:00"/>
    <d v="2023-07-07T19:03:00"/>
    <m/>
    <d v="2023-07-07T00:00:00"/>
    <n v="502"/>
    <n v="15208"/>
    <s v="61108000"/>
    <s v="61108000"/>
    <m/>
    <m/>
    <n v="22792442"/>
    <m/>
    <m/>
    <m/>
    <s v="SOLPOA"/>
    <s v="SOLPOA"/>
    <s v="CCMS"/>
    <n v="21343323"/>
    <n v="160.75"/>
    <m/>
    <s v="N"/>
    <n v="1"/>
    <d v="2023-07-07T19:03:08"/>
    <s v="N"/>
    <s v="Non Expert Disbursement"/>
    <s v="Non Expert Disbursement"/>
    <s v="Non Expert Disbursement"/>
    <s v="TGW/ENG49/1"/>
    <s v="N"/>
    <n v="160.75"/>
    <n v="0"/>
    <x v="9"/>
    <s v="VALIDATED"/>
    <n v="1"/>
    <s v="01.11.80.308.2012.0000"/>
    <n v="160.75"/>
    <s v="11"/>
    <s v="2012"/>
    <n v="14912.76"/>
    <n v="160.75"/>
    <s v="CREDITOR"/>
    <n v="160.75"/>
    <n v="0"/>
    <n v="0"/>
    <n v="0"/>
    <n v="0"/>
  </r>
  <r>
    <n v="59943096"/>
    <s v="N"/>
    <n v="21331096"/>
    <s v="3000014295590004"/>
    <s v="CIVIL"/>
    <d v="2023-06-05T00:00:00"/>
    <d v="2023-07-05T19:01:47"/>
    <m/>
    <d v="2023-07-05T00:00:00"/>
    <n v="502"/>
    <n v="15208"/>
    <s v="59943096"/>
    <s v="59943096"/>
    <m/>
    <m/>
    <n v="22615402"/>
    <m/>
    <m/>
    <m/>
    <s v="SOLFIN"/>
    <s v="SOLFIN"/>
    <s v="CCMS"/>
    <n v="21331096"/>
    <n v="3875.39"/>
    <m/>
    <s v="N"/>
    <n v="27"/>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9"/>
    <d v="2023-07-05T19:02:05"/>
    <s v="Y"/>
    <s v="Preparation - other"/>
    <s v="Prescribed Hourly Rates"/>
    <s v="Profit Cost"/>
    <s v="ELBT"/>
    <s v="Y"/>
    <n v="12.63"/>
    <n v="2.53"/>
    <x v="6"/>
    <s v="VALIDATED"/>
    <n v="1"/>
    <s v="01.11.80.302.6100.0000"/>
    <n v="12.63"/>
    <s v="11"/>
    <s v="6100"/>
    <n v="14912.76"/>
    <n v="12.63"/>
    <s v="CREDITOR"/>
    <n v="0"/>
    <n v="0"/>
    <n v="0"/>
    <n v="0"/>
    <n v="12.63"/>
  </r>
  <r>
    <n v="60331924"/>
    <s v="N"/>
    <n v="21319691"/>
    <s v="3000014630730068"/>
    <s v="CIVIL"/>
    <d v="2023-06-28T00:00:00"/>
    <d v="2023-07-03T19:04:24"/>
    <m/>
    <d v="2023-07-03T00:00:00"/>
    <n v="502"/>
    <n v="15208"/>
    <s v="60331924"/>
    <s v="60331924"/>
    <m/>
    <m/>
    <n v="22777558"/>
    <m/>
    <m/>
    <m/>
    <s v="SOLPOA"/>
    <s v="SOLPOA"/>
    <s v="CCMS"/>
    <n v="21319691"/>
    <n v="1281.38"/>
    <m/>
    <s v="N"/>
    <n v="1"/>
    <d v="2023-07-03T19:04:27"/>
    <s v="N"/>
    <s v="Expert Cost"/>
    <s v="Expert Cost"/>
    <s v="Expert Disbursement"/>
    <s v="TGW/HAJ1/5"/>
    <s v="N"/>
    <n v="1281.38"/>
    <n v="0"/>
    <x v="3"/>
    <s v="VALIDATED"/>
    <n v="1"/>
    <s v="01.11.80.308.2012.0000"/>
    <n v="1281.38"/>
    <s v="11"/>
    <s v="2012"/>
    <n v="14912.76"/>
    <n v="1281.38"/>
    <s v="CREDITOR"/>
    <n v="1281.38"/>
    <n v="0"/>
    <n v="0"/>
    <n v="0"/>
    <n v="0"/>
  </r>
  <r>
    <n v="43560825"/>
    <s v="N"/>
    <n v="21349927"/>
    <s v="3000011565500020"/>
    <s v="CIVIL"/>
    <d v="2023-06-26T00:00:00"/>
    <d v="2023-07-10T19:01:40"/>
    <m/>
    <d v="2023-07-10T00:00:00"/>
    <n v="502"/>
    <n v="15208"/>
    <s v="43560825"/>
    <s v="43560825"/>
    <m/>
    <m/>
    <n v="22760370"/>
    <m/>
    <m/>
    <m/>
    <s v="SOLFIN"/>
    <s v="SOLFIN"/>
    <s v="CCMS"/>
    <n v="21349927"/>
    <n v="12148.97"/>
    <m/>
    <s v="N"/>
    <n v="11"/>
    <d v="2023-07-10T19:02:04"/>
    <s v="N"/>
    <s v="Level 3 &amp; Level 4 Fixed Fee"/>
    <s v="Private Law Children"/>
    <s v="Profit Cost"/>
    <s v="TGW"/>
    <s v="N"/>
    <n v="0"/>
    <n v="0"/>
    <x v="2"/>
    <s v="VALIDATED"/>
    <n v="1"/>
    <s v="01.11.80.307.6100.0000"/>
    <n v="0"/>
    <s v="11"/>
    <s v="6100"/>
    <n v="14912.76"/>
    <n v="0"/>
    <s v="CREDITOR"/>
    <n v="0"/>
    <n v="0"/>
    <n v="0"/>
    <n v="0"/>
    <n v="0"/>
  </r>
  <r>
    <n v="43560825"/>
    <s v="N"/>
    <n v="21349927"/>
    <s v="3000011565500020"/>
    <s v="CIVIL"/>
    <d v="2023-06-26T00:00:00"/>
    <d v="2023-07-10T19:01:40"/>
    <m/>
    <d v="2023-07-10T00:00:00"/>
    <n v="502"/>
    <n v="15208"/>
    <s v="43560825"/>
    <s v="43560825"/>
    <m/>
    <m/>
    <n v="22760370"/>
    <m/>
    <m/>
    <m/>
    <s v="SOLFIN"/>
    <s v="SOLFIN"/>
    <s v="CCMS"/>
    <n v="21349927"/>
    <n v="12148.97"/>
    <m/>
    <s v="N"/>
    <n v="4"/>
    <d v="2023-07-10T19:02:04"/>
    <s v="Y"/>
    <s v="Court Fee"/>
    <s v="Private Law Children"/>
    <s v="Non Expert Disbursement"/>
    <s v="HMCTS"/>
    <s v="Y"/>
    <n v="215"/>
    <n v="0"/>
    <x v="2"/>
    <s v="VALIDATED"/>
    <n v="1"/>
    <s v="01.11.80.307.6300.0000"/>
    <n v="215"/>
    <s v="11"/>
    <s v="6300"/>
    <n v="14912.76"/>
    <n v="215"/>
    <s v="CREDITOR"/>
    <n v="0"/>
    <n v="0"/>
    <n v="0"/>
    <n v="0"/>
    <n v="215"/>
  </r>
  <r>
    <n v="43560825"/>
    <s v="N"/>
    <n v="21349927"/>
    <s v="3000011565500020"/>
    <s v="CIVIL"/>
    <d v="2023-06-26T00:00:00"/>
    <d v="2023-07-10T19:01:40"/>
    <m/>
    <d v="2023-07-10T00:00:00"/>
    <n v="502"/>
    <n v="15208"/>
    <s v="43560825"/>
    <s v="43560825"/>
    <m/>
    <m/>
    <n v="22760370"/>
    <m/>
    <m/>
    <m/>
    <s v="SOLFIN"/>
    <s v="SOLFIN"/>
    <s v="CCMS"/>
    <n v="21349927"/>
    <n v="12148.97"/>
    <m/>
    <s v="N"/>
    <n v="1"/>
    <d v="2023-07-10T19:02:04"/>
    <s v="Y"/>
    <s v="GP (records report)"/>
    <s v="Private Law Children"/>
    <s v="Expert Disbursement"/>
    <s v="Honiton Surgery"/>
    <s v="Y"/>
    <n v="120"/>
    <n v="0"/>
    <x v="2"/>
    <s v="VALIDATED"/>
    <n v="1"/>
    <s v="01.11.80.307.6300.0000"/>
    <n v="120"/>
    <s v="11"/>
    <s v="6300"/>
    <n v="14912.76"/>
    <n v="120"/>
    <s v="CREDITOR"/>
    <n v="0"/>
    <n v="0"/>
    <n v="0"/>
    <n v="0"/>
    <n v="120"/>
  </r>
  <r>
    <n v="59943096"/>
    <s v="N"/>
    <n v="21331096"/>
    <s v="3000014295590004"/>
    <s v="CIVIL"/>
    <d v="2023-06-05T00:00:00"/>
    <d v="2023-07-05T19:01:47"/>
    <m/>
    <d v="2023-07-05T00:00:00"/>
    <n v="502"/>
    <n v="15208"/>
    <s v="59943096"/>
    <s v="59943096"/>
    <m/>
    <m/>
    <n v="22615402"/>
    <m/>
    <m/>
    <m/>
    <s v="SOLFIN"/>
    <s v="SOLFIN"/>
    <s v="CCMS"/>
    <n v="21331096"/>
    <n v="3875.39"/>
    <m/>
    <s v="N"/>
    <n v="45"/>
    <d v="2023-07-05T19:02:05"/>
    <s v="Y"/>
    <s v="Preparation - other"/>
    <s v="Prescribed Hourly Rates"/>
    <s v="Profit Cost"/>
    <s v="ELBT"/>
    <s v="Y"/>
    <n v="12.63"/>
    <n v="2.53"/>
    <x v="6"/>
    <s v="VALIDATED"/>
    <n v="1"/>
    <s v="01.11.80.302.6100.0000"/>
    <n v="12.63"/>
    <s v="11"/>
    <s v="6100"/>
    <n v="14912.76"/>
    <n v="12.63"/>
    <s v="CREDITOR"/>
    <n v="0"/>
    <n v="0"/>
    <n v="0"/>
    <n v="0"/>
    <n v="12.63"/>
  </r>
  <r>
    <n v="60331924"/>
    <s v="N"/>
    <n v="21319654"/>
    <s v="3000014630730067"/>
    <s v="CIVIL"/>
    <d v="2023-06-28T00:00:00"/>
    <d v="2023-07-03T19:04:24"/>
    <m/>
    <d v="2023-07-03T00:00:00"/>
    <n v="502"/>
    <n v="15208"/>
    <s v="60331924"/>
    <s v="60331924"/>
    <m/>
    <m/>
    <n v="22777616"/>
    <m/>
    <m/>
    <m/>
    <s v="SOLPOA"/>
    <s v="SOLPOA"/>
    <s v="CCMS"/>
    <n v="21319654"/>
    <n v="100.8"/>
    <m/>
    <s v="N"/>
    <n v="1"/>
    <d v="2023-07-03T19:04:27"/>
    <s v="N"/>
    <s v="Expert Cost"/>
    <s v="Expert Cost"/>
    <s v="Expert Disbursement"/>
    <s v="TGW/HAJ1/5"/>
    <s v="N"/>
    <n v="100.8"/>
    <n v="0"/>
    <x v="3"/>
    <s v="VALIDATED"/>
    <n v="1"/>
    <s v="01.11.80.308.2012.0000"/>
    <n v="100.8"/>
    <s v="11"/>
    <s v="2012"/>
    <n v="14912.76"/>
    <n v="100.8"/>
    <s v="CREDITOR"/>
    <n v="100.8"/>
    <n v="0"/>
    <n v="0"/>
    <n v="0"/>
    <n v="0"/>
  </r>
  <r>
    <n v="59943096"/>
    <s v="N"/>
    <n v="21331096"/>
    <s v="3000014295590004"/>
    <s v="CIVIL"/>
    <d v="2023-06-05T00:00:00"/>
    <d v="2023-07-05T19:01:47"/>
    <m/>
    <d v="2023-07-05T00:00:00"/>
    <n v="502"/>
    <n v="15208"/>
    <s v="59943096"/>
    <s v="59943096"/>
    <m/>
    <m/>
    <n v="22615402"/>
    <m/>
    <m/>
    <m/>
    <s v="SOLFIN"/>
    <s v="SOLFIN"/>
    <s v="CCMS"/>
    <n v="21331096"/>
    <n v="3875.39"/>
    <m/>
    <s v="N"/>
    <n v="1"/>
    <d v="2023-07-05T19:02:05"/>
    <s v="Y"/>
    <s v="Routine Letter Out"/>
    <s v="Prescribed Hourly Rates"/>
    <s v="Profit Cost"/>
    <s v="ELBT"/>
    <s v="Y"/>
    <n v="490.59"/>
    <n v="98.12"/>
    <x v="6"/>
    <s v="VALIDATED"/>
    <n v="1"/>
    <s v="01.11.80.302.6100.0000"/>
    <n v="490.59"/>
    <s v="11"/>
    <s v="6100"/>
    <n v="14912.76"/>
    <n v="490.59"/>
    <s v="CREDITOR"/>
    <n v="0"/>
    <n v="0"/>
    <n v="0"/>
    <n v="0"/>
    <n v="490.59"/>
  </r>
  <r>
    <n v="59943096"/>
    <s v="N"/>
    <n v="21331096"/>
    <s v="3000014295590004"/>
    <s v="CIVIL"/>
    <d v="2023-06-05T00:00:00"/>
    <d v="2023-07-05T19:01:47"/>
    <m/>
    <d v="2023-07-05T00:00:00"/>
    <n v="502"/>
    <n v="15208"/>
    <s v="59943096"/>
    <s v="59943096"/>
    <m/>
    <m/>
    <n v="22615402"/>
    <m/>
    <m/>
    <m/>
    <s v="SOLFIN"/>
    <s v="SOLFIN"/>
    <s v="CCMS"/>
    <n v="21331096"/>
    <n v="3875.39"/>
    <m/>
    <s v="N"/>
    <n v="13"/>
    <d v="2023-07-05T19:02:05"/>
    <s v="Y"/>
    <s v="Preparation - other"/>
    <s v="Prescribed Hourly Rates"/>
    <s v="Profit Cost"/>
    <s v="ELBT"/>
    <s v="Y"/>
    <n v="18.94"/>
    <n v="3.79"/>
    <x v="6"/>
    <s v="VALIDATED"/>
    <n v="1"/>
    <s v="01.11.80.302.6100.0000"/>
    <n v="18.94"/>
    <s v="11"/>
    <s v="6100"/>
    <n v="14912.76"/>
    <n v="18.94"/>
    <s v="CREDITOR"/>
    <n v="0"/>
    <n v="0"/>
    <n v="0"/>
    <n v="0"/>
    <n v="18.94"/>
  </r>
  <r>
    <n v="59943096"/>
    <s v="N"/>
    <n v="21331096"/>
    <s v="3000014295590004"/>
    <s v="CIVIL"/>
    <d v="2023-06-05T00:00:00"/>
    <d v="2023-07-05T19:01:47"/>
    <m/>
    <d v="2023-07-05T00:00:00"/>
    <n v="502"/>
    <n v="15208"/>
    <s v="59943096"/>
    <s v="59943096"/>
    <m/>
    <m/>
    <n v="22615402"/>
    <m/>
    <m/>
    <m/>
    <s v="SOLFIN"/>
    <s v="SOLFIN"/>
    <s v="CCMS"/>
    <n v="21331096"/>
    <n v="3875.39"/>
    <m/>
    <s v="N"/>
    <n v="12"/>
    <d v="2023-07-05T19:02:05"/>
    <s v="Y"/>
    <s v="Preparation - other"/>
    <s v="Prescribed Hourly Rates"/>
    <s v="Profit Cost"/>
    <s v="ELBT"/>
    <s v="Y"/>
    <n v="25.25"/>
    <n v="5.05"/>
    <x v="6"/>
    <s v="VALIDATED"/>
    <n v="1"/>
    <s v="01.11.80.302.6100.0000"/>
    <n v="25.25"/>
    <s v="11"/>
    <s v="6100"/>
    <n v="14912.76"/>
    <n v="25.25"/>
    <s v="CREDITOR"/>
    <n v="0"/>
    <n v="0"/>
    <n v="0"/>
    <n v="0"/>
    <n v="25.25"/>
  </r>
  <r>
    <n v="56159186"/>
    <s v="N"/>
    <n v="21319053"/>
    <s v="3000013318490011"/>
    <s v="CIVIL"/>
    <d v="2023-06-23T00:00:00"/>
    <d v="2023-07-03T19:01:49"/>
    <m/>
    <d v="2023-07-03T00:00:00"/>
    <n v="502"/>
    <n v="15208"/>
    <s v="56159186"/>
    <s v="56159186"/>
    <m/>
    <m/>
    <n v="22754074"/>
    <m/>
    <m/>
    <m/>
    <s v="SOLFIN"/>
    <s v="SOLFIN"/>
    <s v="CCMS"/>
    <n v="21319053"/>
    <n v="6471.99"/>
    <m/>
    <s v="N"/>
    <n v="8"/>
    <d v="2023-07-03T19:02:09"/>
    <s v="Y"/>
    <s v="Solicitors Fixed Fee"/>
    <s v="Public Law Children"/>
    <s v="Profit Cost"/>
    <s v="ALK"/>
    <s v="Y"/>
    <n v="2616"/>
    <n v="523.2"/>
    <x v="3"/>
    <s v="VALIDATED"/>
    <n v="1"/>
    <s v="01.11.80.308.6100.0000"/>
    <n v="2616"/>
    <s v="11"/>
    <s v="6100"/>
    <n v="14912.76"/>
    <n v="2616"/>
    <s v="CREDITOR"/>
    <n v="0"/>
    <n v="0"/>
    <n v="0"/>
    <n v="0"/>
    <n v="2616"/>
  </r>
  <r>
    <n v="59943096"/>
    <s v="N"/>
    <n v="21331096"/>
    <s v="3000014295590004"/>
    <s v="CIVIL"/>
    <d v="2023-06-05T00:00:00"/>
    <d v="2023-07-05T19:01:47"/>
    <m/>
    <d v="2023-07-05T00:00:00"/>
    <n v="502"/>
    <n v="15208"/>
    <s v="59943096"/>
    <s v="59943096"/>
    <m/>
    <m/>
    <n v="22615402"/>
    <m/>
    <m/>
    <m/>
    <s v="SOLFIN"/>
    <s v="SOLFIN"/>
    <s v="CCMS"/>
    <n v="21331096"/>
    <n v="3875.39"/>
    <m/>
    <s v="N"/>
    <n v="36"/>
    <d v="2023-07-05T19:02:05"/>
    <s v="Y"/>
    <s v="Preparation - other"/>
    <s v="Prescribed Hourly Rates"/>
    <s v="Profit Cost"/>
    <s v="AIP"/>
    <s v="Y"/>
    <n v="41.18"/>
    <n v="8.24"/>
    <x v="6"/>
    <s v="VALIDATED"/>
    <n v="1"/>
    <s v="01.11.80.302.6100.0000"/>
    <n v="41.18"/>
    <s v="11"/>
    <s v="6100"/>
    <n v="14912.76"/>
    <n v="41.18"/>
    <s v="CREDITOR"/>
    <n v="0"/>
    <n v="0"/>
    <n v="0"/>
    <n v="0"/>
    <n v="41.18"/>
  </r>
  <r>
    <n v="62078258"/>
    <s v="N"/>
    <n v="21322900"/>
    <s v="3000016108360002"/>
    <s v="CIVIL"/>
    <d v="2023-06-29T00:00:00"/>
    <d v="2023-07-03T19:05:36"/>
    <m/>
    <d v="2023-07-03T00:00:00"/>
    <n v="502"/>
    <n v="15208"/>
    <s v="62078258"/>
    <s v="62078258"/>
    <m/>
    <m/>
    <n v="22793848"/>
    <m/>
    <m/>
    <m/>
    <s v="SOLPOA"/>
    <s v="SOLPOA"/>
    <s v="CCMS"/>
    <n v="21322900"/>
    <n v="1049.81"/>
    <m/>
    <s v="N"/>
    <n v="1"/>
    <d v="2023-07-03T19:05:40"/>
    <s v="N"/>
    <s v="Solicitors Fixed Fee"/>
    <s v="Public Law Children"/>
    <s v="Profit Cost"/>
    <s v="ALK"/>
    <s v="N"/>
    <n v="874.84"/>
    <n v="174.97"/>
    <x v="3"/>
    <s v="VALIDATED"/>
    <n v="1"/>
    <s v="01.11.80.308.2012.0000"/>
    <n v="874.84"/>
    <s v="11"/>
    <s v="2012"/>
    <n v="14912.76"/>
    <n v="874.84"/>
    <s v="CREDITOR"/>
    <n v="874.84"/>
    <n v="218.71"/>
    <n v="0"/>
    <n v="0"/>
    <n v="0"/>
  </r>
  <r>
    <n v="59943096"/>
    <s v="N"/>
    <n v="21331096"/>
    <s v="3000014295590004"/>
    <s v="CIVIL"/>
    <d v="2023-06-05T00:00:00"/>
    <d v="2023-07-05T19:01:47"/>
    <m/>
    <d v="2023-07-05T00:00:00"/>
    <n v="502"/>
    <n v="15208"/>
    <s v="59943096"/>
    <s v="59943096"/>
    <m/>
    <m/>
    <n v="22615402"/>
    <m/>
    <m/>
    <m/>
    <s v="SOLFIN"/>
    <s v="SOLFIN"/>
    <s v="CCMS"/>
    <n v="21331096"/>
    <n v="3875.39"/>
    <m/>
    <s v="N"/>
    <n v="28"/>
    <d v="2023-07-05T19:02:05"/>
    <s v="Y"/>
    <s v="Preparation - other"/>
    <s v="Prescribed Hourly Rates"/>
    <s v="Profit Cost"/>
    <s v="ELBT"/>
    <s v="Y"/>
    <n v="12.63"/>
    <n v="2.53"/>
    <x v="6"/>
    <s v="VALIDATED"/>
    <n v="1"/>
    <s v="01.11.80.302.6100.0000"/>
    <n v="12.63"/>
    <s v="11"/>
    <s v="6100"/>
    <n v="14912.76"/>
    <n v="12.63"/>
    <s v="CREDITOR"/>
    <n v="0"/>
    <n v="0"/>
    <n v="0"/>
    <n v="0"/>
    <n v="12.63"/>
  </r>
  <r>
    <n v="43560825"/>
    <s v="N"/>
    <n v="21349927"/>
    <s v="3000011565500020"/>
    <s v="CIVIL"/>
    <d v="2023-06-26T00:00:00"/>
    <d v="2023-07-10T19:01:40"/>
    <m/>
    <d v="2023-07-10T00:00:00"/>
    <n v="502"/>
    <n v="15208"/>
    <s v="43560825"/>
    <s v="43560825"/>
    <m/>
    <m/>
    <n v="22760370"/>
    <m/>
    <m/>
    <m/>
    <s v="SOLFIN"/>
    <s v="SOLFIN"/>
    <s v="CCMS"/>
    <n v="21349927"/>
    <n v="12148.97"/>
    <m/>
    <s v="N"/>
    <n v="8"/>
    <d v="2023-07-10T19:02:04"/>
    <s v="Y"/>
    <s v="Solicitor Travel Mileage"/>
    <s v="Private Law Children"/>
    <s v="Non Expert Disbursement"/>
    <s v="TGW"/>
    <s v="Y"/>
    <n v="16.8"/>
    <n v="3.36"/>
    <x v="2"/>
    <s v="VALIDATED"/>
    <n v="1"/>
    <s v="01.11.80.307.6300.0000"/>
    <n v="16.8"/>
    <s v="11"/>
    <s v="6300"/>
    <n v="14912.76"/>
    <n v="16.8"/>
    <s v="CREDITOR"/>
    <n v="0"/>
    <n v="0"/>
    <n v="0"/>
    <n v="0"/>
    <n v="16.8"/>
  </r>
  <r>
    <n v="59943096"/>
    <s v="N"/>
    <n v="21331096"/>
    <s v="3000014295590004"/>
    <s v="CIVIL"/>
    <d v="2023-06-05T00:00:00"/>
    <d v="2023-07-05T19:01:47"/>
    <m/>
    <d v="2023-07-05T00:00:00"/>
    <n v="502"/>
    <n v="15208"/>
    <s v="59943096"/>
    <s v="59943096"/>
    <m/>
    <m/>
    <n v="22615402"/>
    <m/>
    <m/>
    <m/>
    <s v="SOLFIN"/>
    <s v="SOLFIN"/>
    <s v="CCMS"/>
    <n v="21331096"/>
    <n v="3875.39"/>
    <m/>
    <s v="N"/>
    <n v="29"/>
    <d v="2023-07-05T19:02:05"/>
    <s v="Y"/>
    <s v="Preparation - other"/>
    <s v="Prescribed Hourly Rates"/>
    <s v="Profit Cost"/>
    <s v="ELBT"/>
    <s v="Y"/>
    <n v="18.94"/>
    <n v="3.79"/>
    <x v="6"/>
    <s v="VALIDATED"/>
    <n v="1"/>
    <s v="01.11.80.302.6100.0000"/>
    <n v="18.94"/>
    <s v="11"/>
    <s v="6100"/>
    <n v="14912.76"/>
    <n v="18.94"/>
    <s v="CREDITOR"/>
    <n v="0"/>
    <n v="0"/>
    <n v="0"/>
    <n v="0"/>
    <n v="18.94"/>
  </r>
  <r>
    <n v="59943096"/>
    <s v="N"/>
    <n v="21331096"/>
    <s v="3000014295590004"/>
    <s v="CIVIL"/>
    <d v="2023-06-05T00:00:00"/>
    <d v="2023-07-05T19:01:47"/>
    <m/>
    <d v="2023-07-05T00:00:00"/>
    <n v="502"/>
    <n v="15208"/>
    <s v="59943096"/>
    <s v="59943096"/>
    <m/>
    <m/>
    <n v="22615402"/>
    <m/>
    <m/>
    <m/>
    <s v="SOLFIN"/>
    <s v="SOLFIN"/>
    <s v="CCMS"/>
    <n v="21331096"/>
    <n v="3875.39"/>
    <m/>
    <s v="N"/>
    <n v="11"/>
    <d v="2023-07-05T19:02:05"/>
    <s v="Y"/>
    <s v="Preparation - other"/>
    <s v="Prescribed Hourly Rates"/>
    <s v="Profit Cost"/>
    <s v="ELBT"/>
    <s v="Y"/>
    <n v="12.63"/>
    <n v="2.53"/>
    <x v="6"/>
    <s v="VALIDATED"/>
    <n v="1"/>
    <s v="01.11.80.302.6100.0000"/>
    <n v="12.63"/>
    <s v="11"/>
    <s v="6100"/>
    <n v="14912.76"/>
    <n v="12.63"/>
    <s v="CREDITOR"/>
    <n v="0"/>
    <n v="0"/>
    <n v="0"/>
    <n v="0"/>
    <n v="12.63"/>
  </r>
  <r>
    <n v="59943096"/>
    <s v="N"/>
    <n v="21331096"/>
    <s v="3000014295590004"/>
    <s v="CIVIL"/>
    <d v="2023-06-05T00:00:00"/>
    <d v="2023-07-05T19:01:47"/>
    <m/>
    <d v="2023-07-05T00:00:00"/>
    <n v="502"/>
    <n v="15208"/>
    <s v="59943096"/>
    <s v="59943096"/>
    <m/>
    <m/>
    <n v="22615402"/>
    <m/>
    <m/>
    <m/>
    <s v="SOLFIN"/>
    <s v="SOLFIN"/>
    <s v="CCMS"/>
    <n v="21331096"/>
    <n v="3875.39"/>
    <m/>
    <s v="N"/>
    <n v="39"/>
    <d v="2023-07-05T19:02:05"/>
    <s v="Y"/>
    <s v="Preparation - other"/>
    <s v="Prescribed Hourly Rates"/>
    <s v="Profit Cost"/>
    <s v="ELBT"/>
    <s v="Y"/>
    <n v="12.63"/>
    <n v="2.53"/>
    <x v="6"/>
    <s v="VALIDATED"/>
    <n v="1"/>
    <s v="01.11.80.302.6100.0000"/>
    <n v="12.63"/>
    <s v="11"/>
    <s v="6100"/>
    <n v="14912.76"/>
    <n v="12.63"/>
    <s v="CREDITOR"/>
    <n v="0"/>
    <n v="0"/>
    <n v="0"/>
    <n v="0"/>
    <n v="12.63"/>
  </r>
  <r>
    <n v="61804016"/>
    <s v="N"/>
    <n v="21322704"/>
    <s v="3000015872090004"/>
    <s v="CIVIL"/>
    <d v="2023-06-29T00:00:00"/>
    <d v="2023-07-03T19:05:36"/>
    <m/>
    <d v="2023-07-03T00:00:00"/>
    <n v="502"/>
    <n v="15208"/>
    <s v="61804016"/>
    <s v="61804016"/>
    <m/>
    <m/>
    <n v="22789542"/>
    <m/>
    <m/>
    <m/>
    <s v="SOLPOA"/>
    <s v="SOLPOA"/>
    <s v="CCMS"/>
    <n v="21322704"/>
    <n v="1920"/>
    <m/>
    <s v="N"/>
    <n v="1"/>
    <d v="2023-07-03T19:05:39"/>
    <s v="N"/>
    <s v="Level 3 Fixed Fee"/>
    <s v="Private Law Children"/>
    <s v="Profit Cost"/>
    <s v="TGW/KNA32"/>
    <s v="N"/>
    <n v="1600"/>
    <n v="320"/>
    <x v="3"/>
    <s v="VALIDATED"/>
    <n v="1"/>
    <s v="01.11.80.307.2012.0000"/>
    <n v="1600"/>
    <s v="11"/>
    <s v="2012"/>
    <n v="14912.76"/>
    <n v="1600"/>
    <s v="CREDITOR"/>
    <n v="1600"/>
    <n v="400"/>
    <n v="0"/>
    <n v="0"/>
    <n v="0"/>
  </r>
  <r>
    <n v="56159186"/>
    <s v="N"/>
    <n v="21319053"/>
    <s v="3000013318490011"/>
    <s v="CIVIL"/>
    <d v="2023-06-23T00:00:00"/>
    <d v="2023-07-03T19:01:49"/>
    <m/>
    <d v="2023-07-03T00:00:00"/>
    <n v="502"/>
    <n v="15208"/>
    <s v="56159186"/>
    <s v="56159186"/>
    <m/>
    <m/>
    <n v="22754074"/>
    <m/>
    <m/>
    <m/>
    <s v="SOLFIN"/>
    <s v="SOLFIN"/>
    <s v="CCMS"/>
    <n v="21319053"/>
    <n v="6471.99"/>
    <m/>
    <s v="N"/>
    <n v="7"/>
    <d v="2023-07-03T19:02:09"/>
    <s v="Y"/>
    <s v="Advocates Meeting"/>
    <s v="Public Law Children"/>
    <s v="Advocacy"/>
    <s v="ALK"/>
    <s v="Y"/>
    <n v="140.99"/>
    <n v="28.2"/>
    <x v="3"/>
    <s v="VALIDATED"/>
    <n v="1"/>
    <s v="01.11.80.308.6100.0000"/>
    <n v="140.99"/>
    <s v="11"/>
    <s v="6100"/>
    <n v="14912.76"/>
    <n v="140.99"/>
    <s v="CREDITOR"/>
    <n v="0"/>
    <n v="0"/>
    <n v="0"/>
    <n v="0"/>
    <n v="140.99"/>
  </r>
  <r>
    <n v="43560825"/>
    <s v="N"/>
    <n v="21349927"/>
    <s v="3000011565500020"/>
    <s v="CIVIL"/>
    <d v="2023-06-26T00:00:00"/>
    <d v="2023-07-10T19:01:40"/>
    <m/>
    <d v="2023-07-10T00:00:00"/>
    <n v="502"/>
    <n v="15208"/>
    <s v="43560825"/>
    <s v="43560825"/>
    <m/>
    <m/>
    <n v="22760370"/>
    <m/>
    <m/>
    <m/>
    <s v="SOLFIN"/>
    <s v="SOLFIN"/>
    <s v="CCMS"/>
    <n v="21349927"/>
    <n v="12148.97"/>
    <m/>
    <s v="N"/>
    <n v="3"/>
    <d v="2023-07-10T19:02:04"/>
    <s v="Y"/>
    <s v="Toxicologist"/>
    <s v="Private Law Children"/>
    <s v="Expert Disbursement"/>
    <s v="Cansford"/>
    <s v="Y"/>
    <n v="281"/>
    <n v="56.2"/>
    <x v="2"/>
    <s v="VALIDATED"/>
    <n v="1"/>
    <s v="01.11.80.307.6300.0000"/>
    <n v="281"/>
    <s v="11"/>
    <s v="6300"/>
    <n v="14912.76"/>
    <n v="281"/>
    <s v="CREDITOR"/>
    <n v="0"/>
    <n v="0"/>
    <n v="0"/>
    <n v="0"/>
    <n v="281"/>
  </r>
  <r>
    <n v="59943096"/>
    <s v="N"/>
    <n v="21331096"/>
    <s v="3000014295590004"/>
    <s v="CIVIL"/>
    <d v="2023-06-05T00:00:00"/>
    <d v="2023-07-05T19:01:47"/>
    <m/>
    <d v="2023-07-05T00:00:00"/>
    <n v="502"/>
    <n v="15208"/>
    <s v="59943096"/>
    <s v="59943096"/>
    <m/>
    <m/>
    <n v="22615402"/>
    <m/>
    <m/>
    <m/>
    <s v="SOLFIN"/>
    <s v="SOLFIN"/>
    <s v="CCMS"/>
    <n v="21331096"/>
    <n v="3875.39"/>
    <m/>
    <s v="N"/>
    <n v="26"/>
    <d v="2023-07-05T19:02:05"/>
    <s v="Y"/>
    <s v="Preparation - other"/>
    <s v="Prescribed Hourly Rates"/>
    <s v="Profit Cost"/>
    <s v="ELBT"/>
    <s v="Y"/>
    <n v="6.31"/>
    <n v="1.26"/>
    <x v="6"/>
    <s v="VALIDATED"/>
    <n v="1"/>
    <s v="01.11.80.302.6100.0000"/>
    <n v="6.31"/>
    <s v="11"/>
    <s v="6100"/>
    <n v="14912.76"/>
    <n v="6.31"/>
    <s v="CREDITOR"/>
    <n v="0"/>
    <n v="0"/>
    <n v="0"/>
    <n v="0"/>
    <n v="6.31"/>
  </r>
  <r>
    <n v="59943096"/>
    <s v="N"/>
    <n v="21331096"/>
    <s v="3000014295590004"/>
    <s v="CIVIL"/>
    <d v="2023-06-05T00:00:00"/>
    <d v="2023-07-05T19:01:47"/>
    <m/>
    <d v="2023-07-05T00:00:00"/>
    <n v="502"/>
    <n v="15208"/>
    <s v="59943096"/>
    <s v="59943096"/>
    <m/>
    <m/>
    <n v="22615402"/>
    <m/>
    <m/>
    <m/>
    <s v="SOLFIN"/>
    <s v="SOLFIN"/>
    <s v="CCMS"/>
    <n v="21331096"/>
    <n v="3875.39"/>
    <m/>
    <s v="N"/>
    <n v="56"/>
    <d v="2023-07-05T19:02:05"/>
    <s v="Y"/>
    <s v="Hearing Unit 1.01 - 2.30 Hours"/>
    <s v="Private Law Finance"/>
    <s v="Advocacy"/>
    <s v="AIP"/>
    <s v="Y"/>
    <n v="157.95"/>
    <n v="31.59"/>
    <x v="6"/>
    <s v="VALIDATED"/>
    <n v="1"/>
    <s v="01.11.80.302.6100.0000"/>
    <n v="157.95"/>
    <s v="11"/>
    <s v="6100"/>
    <n v="14912.76"/>
    <n v="157.95"/>
    <s v="CREDITOR"/>
    <n v="0"/>
    <n v="0"/>
    <n v="0"/>
    <n v="0"/>
    <n v="157.95"/>
  </r>
  <r>
    <n v="10053033"/>
    <s v="N"/>
    <n v="21343530"/>
    <s v="3000005943310008"/>
    <s v="CIVIL"/>
    <d v="2023-06-22T00:00:00"/>
    <d v="2023-07-07T19:03:00"/>
    <m/>
    <d v="2023-07-07T00:00:00"/>
    <n v="502"/>
    <n v="15208"/>
    <s v="10053033"/>
    <s v="10053033"/>
    <m/>
    <m/>
    <n v="22743126"/>
    <m/>
    <m/>
    <m/>
    <s v="SOLFIN"/>
    <s v="SOLFIN"/>
    <s v="CCMS"/>
    <n v="21343530"/>
    <n v="3538.99"/>
    <m/>
    <s v="N"/>
    <n v="2"/>
    <d v="2023-07-07T19:03:10"/>
    <s v="Y"/>
    <s v="Solicitor Travel Mileage"/>
    <s v="Public Law Children"/>
    <s v="Non Expert Disbursement"/>
    <s v="ALK"/>
    <s v="Y"/>
    <n v="31.5"/>
    <n v="6.3"/>
    <x v="9"/>
    <s v="VALIDATED"/>
    <n v="1"/>
    <s v="01.11.80.308.6300.0000"/>
    <n v="31.5"/>
    <s v="11"/>
    <s v="6300"/>
    <n v="14912.76"/>
    <n v="31.5"/>
    <s v="CREDITOR"/>
    <n v="0"/>
    <n v="0"/>
    <n v="0"/>
    <n v="0"/>
    <n v="31.5"/>
  </r>
  <r>
    <n v="56159186"/>
    <s v="N"/>
    <n v="21319053"/>
    <s v="3000013318490011"/>
    <s v="CIVIL"/>
    <d v="2023-06-23T00:00:00"/>
    <d v="2023-07-03T19:01:49"/>
    <m/>
    <d v="2023-07-03T00:00:00"/>
    <n v="502"/>
    <n v="15208"/>
    <s v="56159186"/>
    <s v="56159186"/>
    <m/>
    <m/>
    <n v="22754074"/>
    <m/>
    <m/>
    <m/>
    <s v="SOLFIN"/>
    <s v="SOLFIN"/>
    <s v="CCMS"/>
    <n v="21319053"/>
    <n v="6471.99"/>
    <m/>
    <s v="N"/>
    <n v="4"/>
    <d v="2023-07-03T19:02:09"/>
    <s v="Y"/>
    <s v="Child psychologist"/>
    <s v="Public Law Children"/>
    <s v="Expert Disbursement"/>
    <s v="ALK"/>
    <s v="Y"/>
    <n v="821.4"/>
    <n v="164.28"/>
    <x v="3"/>
    <s v="VALIDATED"/>
    <n v="1"/>
    <s v="01.11.80.308.6300.0000"/>
    <n v="821.4"/>
    <s v="11"/>
    <s v="6300"/>
    <n v="14912.76"/>
    <n v="821.4"/>
    <s v="CREDITOR"/>
    <n v="0"/>
    <n v="0"/>
    <n v="0"/>
    <n v="0"/>
    <n v="821.4"/>
  </r>
  <r>
    <n v="59943096"/>
    <s v="N"/>
    <n v="21331096"/>
    <s v="3000014295590004"/>
    <s v="CIVIL"/>
    <d v="2023-06-05T00:00:00"/>
    <d v="2023-07-05T19:01:47"/>
    <m/>
    <d v="2023-07-05T00:00:00"/>
    <n v="502"/>
    <n v="15208"/>
    <s v="59943096"/>
    <s v="59943096"/>
    <m/>
    <m/>
    <n v="22615402"/>
    <m/>
    <m/>
    <m/>
    <s v="SOLFIN"/>
    <s v="SOLFIN"/>
    <s v="CCMS"/>
    <n v="21331096"/>
    <n v="3875.39"/>
    <m/>
    <s v="N"/>
    <n v="58"/>
    <d v="2023-07-05T19:02:05"/>
    <s v="Y"/>
    <s v="Level 4 Fixed Fee"/>
    <s v="Domestic Abuse"/>
    <s v="Profit Cost"/>
    <s v="ELBT"/>
    <s v="Y"/>
    <n v="507"/>
    <n v="101.39"/>
    <x v="6"/>
    <s v="VALIDATED"/>
    <n v="1"/>
    <s v="01.11.80.302.6100.0000"/>
    <n v="507"/>
    <s v="11"/>
    <s v="6100"/>
    <n v="14912.76"/>
    <n v="507"/>
    <s v="CREDITOR"/>
    <n v="0"/>
    <n v="0"/>
    <n v="0"/>
    <n v="0"/>
    <n v="507"/>
  </r>
  <r>
    <n v="59943096"/>
    <s v="N"/>
    <n v="21331096"/>
    <s v="3000014295590004"/>
    <s v="CIVIL"/>
    <d v="2023-06-05T00:00:00"/>
    <d v="2023-07-05T19:01:47"/>
    <m/>
    <d v="2023-07-05T00:00:00"/>
    <n v="502"/>
    <n v="15208"/>
    <s v="59943096"/>
    <s v="59943096"/>
    <m/>
    <m/>
    <n v="22615402"/>
    <m/>
    <m/>
    <m/>
    <s v="SOLFIN"/>
    <s v="SOLFIN"/>
    <s v="CCMS"/>
    <n v="21331096"/>
    <n v="3875.39"/>
    <m/>
    <s v="N"/>
    <n v="46"/>
    <d v="2023-07-05T19:02:05"/>
    <s v="Y"/>
    <s v="Preparation - other"/>
    <s v="Prescribed Hourly Rates"/>
    <s v="Profit Cost"/>
    <s v="ELBT"/>
    <s v="Y"/>
    <n v="18.94"/>
    <n v="3.79"/>
    <x v="6"/>
    <s v="VALIDATED"/>
    <n v="1"/>
    <s v="01.11.80.302.6100.0000"/>
    <n v="18.94"/>
    <s v="11"/>
    <s v="6100"/>
    <n v="14912.76"/>
    <n v="18.94"/>
    <s v="CREDITOR"/>
    <n v="0"/>
    <n v="0"/>
    <n v="0"/>
    <n v="0"/>
    <n v="18.94"/>
  </r>
  <r>
    <n v="59943096"/>
    <s v="N"/>
    <n v="21331096"/>
    <s v="3000014295590004"/>
    <s v="CIVIL"/>
    <d v="2023-06-05T00:00:00"/>
    <d v="2023-07-05T19:01:47"/>
    <m/>
    <d v="2023-07-05T00:00:00"/>
    <n v="502"/>
    <n v="15208"/>
    <s v="59943096"/>
    <s v="59943096"/>
    <m/>
    <m/>
    <n v="22615402"/>
    <m/>
    <m/>
    <m/>
    <s v="SOLFIN"/>
    <s v="SOLFIN"/>
    <s v="CCMS"/>
    <n v="21331096"/>
    <n v="3875.39"/>
    <m/>
    <s v="N"/>
    <n v="8"/>
    <d v="2023-07-05T19:02:05"/>
    <s v="Y"/>
    <s v="Preparation - other"/>
    <s v="Prescribed Hourly Rates"/>
    <s v="Profit Cost"/>
    <s v="ELBT"/>
    <s v="Y"/>
    <n v="18.94"/>
    <n v="3.79"/>
    <x v="6"/>
    <s v="VALIDATED"/>
    <n v="1"/>
    <s v="01.11.80.302.6100.0000"/>
    <n v="18.94"/>
    <s v="11"/>
    <s v="6100"/>
    <n v="14912.76"/>
    <n v="18.94"/>
    <s v="CREDITOR"/>
    <n v="0"/>
    <n v="0"/>
    <n v="0"/>
    <n v="0"/>
    <n v="18.94"/>
  </r>
  <r>
    <n v="61933462"/>
    <s v="N"/>
    <n v="21338364"/>
    <s v="3000015985360001"/>
    <s v="CIVIL"/>
    <d v="2023-06-28T00:00:00"/>
    <d v="2023-07-06T19:21:01"/>
    <m/>
    <d v="2023-07-06T00:00:00"/>
    <n v="507"/>
    <n v="7335"/>
    <s v="61933462"/>
    <s v="61933462"/>
    <m/>
    <m/>
    <n v="22782338"/>
    <m/>
    <m/>
    <m/>
    <s v="SOLFIN"/>
    <s v="SOLFIN"/>
    <s v="CCMS"/>
    <n v="21338364"/>
    <n v="4023.77"/>
    <m/>
    <s v="N"/>
    <n v="3"/>
    <d v="2023-07-06T19:21:22"/>
    <s v="Y"/>
    <s v="Solicitors Fixed Fee"/>
    <s v="Public Law Children"/>
    <s v="Profit Cost"/>
    <s v="RAJINDER GARVEY"/>
    <s v="Y"/>
    <n v="2616"/>
    <n v="523.2"/>
    <x v="4"/>
    <s v="VALIDATED"/>
    <n v="1"/>
    <s v="01.11.80.308.6100.0000"/>
    <n v="2616"/>
    <s v="11"/>
    <s v="6100"/>
    <n v="15699.41"/>
    <n v="2616"/>
    <s v="CREDITOR"/>
    <n v="0"/>
    <n v="0"/>
    <n v="0"/>
    <n v="0"/>
    <n v="2616"/>
  </r>
  <r>
    <n v="60985307"/>
    <s v="N"/>
    <n v="21327766"/>
    <s v="3000015190330032"/>
    <s v="CIVIL"/>
    <d v="2023-06-29T00:00:00"/>
    <d v="2023-07-04T19:00:44"/>
    <m/>
    <d v="2023-07-04T00:00:00"/>
    <n v="507"/>
    <n v="7335"/>
    <s v="60985307"/>
    <s v="60985307"/>
    <m/>
    <m/>
    <n v="22788750"/>
    <m/>
    <m/>
    <m/>
    <s v="SOLINT"/>
    <s v="SOLINT"/>
    <s v="CCMS"/>
    <n v="21327766"/>
    <n v="6692.89"/>
    <m/>
    <s v="N"/>
    <n v="57"/>
    <d v="2023-07-04T19:00:54"/>
    <s v="Y"/>
    <s v="Preparation - other"/>
    <s v="VHCC"/>
    <s v="Profit Cost"/>
    <s v="SLR"/>
    <s v="Y"/>
    <n v="25.04"/>
    <n v="5.01"/>
    <x v="1"/>
    <s v="VALIDATED"/>
    <n v="1"/>
    <s v="01.11.80.209.6100.0000"/>
    <n v="25.04"/>
    <s v="11"/>
    <s v="6100"/>
    <n v="15699.41"/>
    <n v="25.04"/>
    <s v="CREDITOR"/>
    <n v="0"/>
    <n v="0"/>
    <n v="0"/>
    <n v="0"/>
    <n v="25.04"/>
  </r>
  <r>
    <n v="59988478"/>
    <s v="N"/>
    <n v="21327532"/>
    <s v="3000014327360010"/>
    <s v="CIVIL"/>
    <d v="2023-06-27T00:00:00"/>
    <d v="2023-07-04T19:00:44"/>
    <m/>
    <d v="2023-07-04T00:00:00"/>
    <n v="507"/>
    <n v="7335"/>
    <s v="59988478"/>
    <s v="59988478"/>
    <m/>
    <m/>
    <n v="22767290"/>
    <m/>
    <m/>
    <m/>
    <s v="SOLFIN"/>
    <s v="SOLFIN"/>
    <s v="CCMS"/>
    <n v="21327532"/>
    <n v="3397.07"/>
    <m/>
    <s v="N"/>
    <n v="36"/>
    <d v="2023-07-04T19:00:49"/>
    <s v="Y"/>
    <s v="Preparation - other"/>
    <s v="VHCC"/>
    <s v="Profit Cost"/>
    <s v="CWS"/>
    <s v="Y"/>
    <n v="42.93"/>
    <n v="8.59"/>
    <x v="1"/>
    <s v="VALIDATED"/>
    <n v="1"/>
    <s v="01.11.80.203.6100.0000"/>
    <n v="42.93"/>
    <s v="11"/>
    <s v="6100"/>
    <n v="15699.41"/>
    <n v="42.93"/>
    <s v="CREDITOR"/>
    <n v="0"/>
    <n v="0"/>
    <n v="0"/>
    <n v="0"/>
    <n v="42.93"/>
  </r>
  <r>
    <n v="61718760"/>
    <s v="N"/>
    <n v="21395045"/>
    <s v="3000015806460004"/>
    <s v="CIVIL"/>
    <d v="2023-06-27T00:00:00"/>
    <d v="2023-07-19T19:02:01"/>
    <m/>
    <d v="2023-07-19T00:00:00"/>
    <n v="507"/>
    <n v="7335"/>
    <s v="61718760"/>
    <s v="61718760"/>
    <m/>
    <m/>
    <n v="22767438"/>
    <m/>
    <m/>
    <m/>
    <s v="SOLFIN"/>
    <s v="SOLFIN"/>
    <s v="CCMS"/>
    <n v="21395045"/>
    <n v="2548.79"/>
    <m/>
    <s v="N"/>
    <n v="20"/>
    <d v="2023-07-19T19:02:15"/>
    <s v="Y"/>
    <s v="Waiting - other"/>
    <s v="Non Family Hourly Rates"/>
    <s v="Profit Cost"/>
    <s v="OAI"/>
    <s v="Y"/>
    <n v="5.26"/>
    <n v="1.05"/>
    <x v="5"/>
    <s v="VALIDATED"/>
    <n v="1"/>
    <s v="01.11.80.208.6100.0000"/>
    <n v="5.26"/>
    <s v="11"/>
    <s v="6100"/>
    <n v="15699.41"/>
    <n v="5.26"/>
    <s v="CREDITOR"/>
    <n v="0"/>
    <n v="0"/>
    <n v="0"/>
    <n v="0"/>
    <n v="5.26"/>
  </r>
  <r>
    <n v="61718760"/>
    <s v="N"/>
    <n v="21395045"/>
    <s v="3000015806460004"/>
    <s v="CIVIL"/>
    <d v="2023-06-27T00:00:00"/>
    <d v="2023-07-19T19:02:01"/>
    <m/>
    <d v="2023-07-19T00:00:00"/>
    <n v="507"/>
    <n v="7335"/>
    <s v="61718760"/>
    <s v="61718760"/>
    <m/>
    <m/>
    <n v="22767438"/>
    <m/>
    <m/>
    <m/>
    <s v="SOLFIN"/>
    <s v="SOLFIN"/>
    <s v="CCMS"/>
    <n v="21395045"/>
    <n v="2548.79"/>
    <m/>
    <s v="N"/>
    <n v="9"/>
    <d v="2023-07-19T19:02:15"/>
    <s v="Y"/>
    <s v="Attendance upon client"/>
    <s v="Non Family Hourly Rates"/>
    <s v="Profit Cost"/>
    <s v="OAI"/>
    <s v="Y"/>
    <n v="63"/>
    <n v="12.6"/>
    <x v="5"/>
    <s v="VALIDATED"/>
    <n v="1"/>
    <s v="01.11.80.208.6100.0000"/>
    <n v="63"/>
    <s v="11"/>
    <s v="6100"/>
    <n v="15699.41"/>
    <n v="63"/>
    <s v="CREDITOR"/>
    <n v="0"/>
    <n v="0"/>
    <n v="0"/>
    <n v="0"/>
    <n v="63"/>
  </r>
  <r>
    <n v="60487684"/>
    <s v="N"/>
    <n v="21350117"/>
    <s v="3000014762060005"/>
    <s v="CIVIL"/>
    <d v="2023-06-29T00:00:00"/>
    <d v="2023-07-10T19:01:40"/>
    <m/>
    <d v="2023-07-10T00:00:00"/>
    <n v="507"/>
    <n v="7335"/>
    <s v="60487684"/>
    <s v="60487684"/>
    <m/>
    <m/>
    <n v="22788246"/>
    <m/>
    <m/>
    <m/>
    <s v="SOLFIN"/>
    <s v="SOLFIN"/>
    <s v="CCMS"/>
    <n v="21350117"/>
    <n v="10152.47"/>
    <m/>
    <s v="N"/>
    <n v="3"/>
    <d v="2023-07-10T19:02:14"/>
    <s v="Y"/>
    <s v="Profit Costs (Summary)"/>
    <s v="Care Remuneration Hourly Rates"/>
    <s v="Profit Cost"/>
    <s v="MU"/>
    <s v="Y"/>
    <n v="1324.64"/>
    <n v="264.93"/>
    <x v="2"/>
    <s v="VALIDATED"/>
    <n v="1"/>
    <s v="01.11.80.305.6100.0000"/>
    <n v="1324.64"/>
    <s v="11"/>
    <s v="6100"/>
    <n v="15699.41"/>
    <n v="1324.64"/>
    <s v="CREDITOR"/>
    <n v="0"/>
    <n v="0"/>
    <n v="0"/>
    <n v="0"/>
    <n v="1324.64"/>
  </r>
  <r>
    <n v="60999544"/>
    <s v="N"/>
    <n v="21343259"/>
    <s v="3000015204440002"/>
    <s v="CIVIL"/>
    <d v="2023-06-27T00:00:00"/>
    <d v="2023-07-07T19:03:00"/>
    <m/>
    <d v="2023-07-07T00:00:00"/>
    <n v="507"/>
    <n v="7335"/>
    <s v="60999544"/>
    <s v="60999544"/>
    <m/>
    <m/>
    <n v="22769690"/>
    <m/>
    <m/>
    <m/>
    <s v="SOLFIN"/>
    <s v="SOLFIN"/>
    <s v="CCMS"/>
    <n v="21343259"/>
    <n v="0"/>
    <m/>
    <s v="N"/>
    <n v="1"/>
    <d v="2023-07-07T19:03:05"/>
    <s v="N"/>
    <s v="NIL BILL"/>
    <s v="Non Family Hourly Rates"/>
    <s v="Profit Cost"/>
    <s v="James Harrison"/>
    <s v="N"/>
    <n v="0"/>
    <n v="0"/>
    <x v="9"/>
    <s v="VALIDATED"/>
    <n v="1"/>
    <s v="01.11.80.208.6100.0000"/>
    <n v="0"/>
    <s v="11"/>
    <s v="6100"/>
    <n v="15699.41"/>
    <n v="0"/>
    <s v="CREDITOR"/>
    <n v="0"/>
    <n v="0"/>
    <n v="0"/>
    <n v="0"/>
    <n v="0"/>
  </r>
  <r>
    <n v="60985307"/>
    <s v="N"/>
    <n v="21327766"/>
    <s v="3000015190330032"/>
    <s v="CIVIL"/>
    <d v="2023-06-29T00:00:00"/>
    <d v="2023-07-04T19:00:44"/>
    <m/>
    <d v="2023-07-04T00:00:00"/>
    <n v="507"/>
    <n v="7335"/>
    <s v="60985307"/>
    <s v="60985307"/>
    <m/>
    <m/>
    <n v="22788750"/>
    <m/>
    <m/>
    <m/>
    <s v="SOLINT"/>
    <s v="SOLINT"/>
    <s v="CCMS"/>
    <n v="21327766"/>
    <n v="6692.89"/>
    <m/>
    <s v="N"/>
    <n v="4"/>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49"/>
    <d v="2023-07-04T19:00:54"/>
    <s v="Y"/>
    <s v="Attendance upon other"/>
    <s v="VHCC"/>
    <s v="Profit Cost"/>
    <s v="SLR"/>
    <s v="Y"/>
    <n v="100.17"/>
    <n v="20.03"/>
    <x v="1"/>
    <s v="VALIDATED"/>
    <n v="1"/>
    <s v="01.11.80.209.6100.0000"/>
    <n v="100.17"/>
    <s v="11"/>
    <s v="6100"/>
    <n v="15699.41"/>
    <n v="100.17"/>
    <s v="CREDITOR"/>
    <n v="0"/>
    <n v="0"/>
    <n v="0"/>
    <n v="0"/>
    <n v="100.17"/>
  </r>
  <r>
    <n v="61718760"/>
    <s v="N"/>
    <n v="21395045"/>
    <s v="3000015806460004"/>
    <s v="CIVIL"/>
    <d v="2023-06-27T00:00:00"/>
    <d v="2023-07-19T19:02:01"/>
    <m/>
    <d v="2023-07-19T00:00:00"/>
    <n v="507"/>
    <n v="7335"/>
    <s v="61718760"/>
    <s v="61718760"/>
    <m/>
    <m/>
    <n v="22767438"/>
    <m/>
    <m/>
    <m/>
    <s v="SOLFIN"/>
    <s v="SOLFIN"/>
    <s v="CCMS"/>
    <n v="21395045"/>
    <n v="2548.79"/>
    <m/>
    <s v="N"/>
    <n v="15"/>
    <d v="2023-07-19T19:02:15"/>
    <s v="Y"/>
    <s v="Preparation - other"/>
    <s v="Non Family Hourly Rates"/>
    <s v="Profit Cost"/>
    <s v="OAI"/>
    <s v="Y"/>
    <n v="12.6"/>
    <n v="2.52"/>
    <x v="5"/>
    <s v="VALIDATED"/>
    <n v="1"/>
    <s v="01.11.80.208.6100.0000"/>
    <n v="12.6"/>
    <s v="11"/>
    <s v="6100"/>
    <n v="15699.41"/>
    <n v="12.6"/>
    <s v="CREDITOR"/>
    <n v="0"/>
    <n v="0"/>
    <n v="0"/>
    <n v="0"/>
    <n v="12.6"/>
  </r>
  <r>
    <n v="59988478"/>
    <s v="N"/>
    <n v="21327532"/>
    <s v="3000014327360010"/>
    <s v="CIVIL"/>
    <d v="2023-06-27T00:00:00"/>
    <d v="2023-07-04T19:00:44"/>
    <m/>
    <d v="2023-07-04T00:00:00"/>
    <n v="507"/>
    <n v="7335"/>
    <s v="59988478"/>
    <s v="59988478"/>
    <m/>
    <m/>
    <n v="22767290"/>
    <m/>
    <m/>
    <m/>
    <s v="SOLFIN"/>
    <s v="SOLFIN"/>
    <s v="CCMS"/>
    <n v="21327532"/>
    <n v="3397.07"/>
    <m/>
    <s v="N"/>
    <n v="9"/>
    <d v="2023-07-04T19:00:49"/>
    <s v="Y"/>
    <s v="Preparation - other"/>
    <s v="VHCC"/>
    <s v="Profit Cost"/>
    <s v="SLR"/>
    <s v="Y"/>
    <n v="14.31"/>
    <n v="2.86"/>
    <x v="1"/>
    <s v="VALIDATED"/>
    <n v="1"/>
    <s v="01.11.80.203.6100.0000"/>
    <n v="14.31"/>
    <s v="11"/>
    <s v="6100"/>
    <n v="15699.41"/>
    <n v="14.31"/>
    <s v="CREDITOR"/>
    <n v="0"/>
    <n v="0"/>
    <n v="0"/>
    <n v="0"/>
    <n v="14.31"/>
  </r>
  <r>
    <n v="59988478"/>
    <s v="N"/>
    <n v="21327532"/>
    <s v="3000014327360010"/>
    <s v="CIVIL"/>
    <d v="2023-06-27T00:00:00"/>
    <d v="2023-07-04T19:00:44"/>
    <m/>
    <d v="2023-07-04T00:00:00"/>
    <n v="507"/>
    <n v="7335"/>
    <s v="59988478"/>
    <s v="59988478"/>
    <m/>
    <m/>
    <n v="22767290"/>
    <m/>
    <m/>
    <m/>
    <s v="SOLFIN"/>
    <s v="SOLFIN"/>
    <s v="CCMS"/>
    <n v="21327532"/>
    <n v="3397.07"/>
    <m/>
    <s v="N"/>
    <n v="38"/>
    <d v="2023-07-04T19:00:49"/>
    <s v="Y"/>
    <s v="Preparation - other"/>
    <s v="VHCC"/>
    <s v="Profit Cost"/>
    <s v="SLR50"/>
    <s v="Y"/>
    <n v="64.39"/>
    <n v="12.88"/>
    <x v="1"/>
    <s v="VALIDATED"/>
    <n v="1"/>
    <s v="01.11.80.203.6100.0000"/>
    <n v="64.39"/>
    <s v="11"/>
    <s v="6100"/>
    <n v="15699.41"/>
    <n v="64.39"/>
    <s v="CREDITOR"/>
    <n v="0"/>
    <n v="0"/>
    <n v="0"/>
    <n v="0"/>
    <n v="64.39"/>
  </r>
  <r>
    <n v="60985307"/>
    <s v="N"/>
    <n v="21327766"/>
    <s v="3000015190330032"/>
    <s v="CIVIL"/>
    <d v="2023-06-29T00:00:00"/>
    <d v="2023-07-04T19:00:44"/>
    <m/>
    <d v="2023-07-04T00:00:00"/>
    <n v="507"/>
    <n v="7335"/>
    <s v="60985307"/>
    <s v="60985307"/>
    <m/>
    <m/>
    <n v="22788750"/>
    <m/>
    <m/>
    <m/>
    <s v="SOLINT"/>
    <s v="SOLINT"/>
    <s v="CCMS"/>
    <n v="21327766"/>
    <n v="6692.89"/>
    <m/>
    <s v="N"/>
    <n v="71"/>
    <d v="2023-07-04T19:00:54"/>
    <s v="Y"/>
    <s v="Preparation - other"/>
    <s v="VHCC"/>
    <s v="Profit Cost"/>
    <s v="SLR"/>
    <s v="Y"/>
    <n v="12.52"/>
    <n v="2.5"/>
    <x v="1"/>
    <s v="VALIDATED"/>
    <n v="1"/>
    <s v="01.11.80.209.6100.0000"/>
    <n v="12.52"/>
    <s v="11"/>
    <s v="6100"/>
    <n v="15699.41"/>
    <n v="12.52"/>
    <s v="CREDITOR"/>
    <n v="0"/>
    <n v="0"/>
    <n v="0"/>
    <n v="0"/>
    <n v="12.52"/>
  </r>
  <r>
    <n v="59989660"/>
    <s v="N"/>
    <n v="21338335"/>
    <s v="3000014333930011"/>
    <s v="CIVIL"/>
    <d v="2023-06-26T00:00:00"/>
    <d v="2023-07-06T19:21:01"/>
    <m/>
    <d v="2023-07-06T00:00:00"/>
    <n v="507"/>
    <n v="7335"/>
    <s v="59989660"/>
    <s v="59989660"/>
    <m/>
    <m/>
    <n v="22760524"/>
    <m/>
    <m/>
    <m/>
    <s v="SOLFIN"/>
    <s v="SOLFIN"/>
    <s v="CCMS"/>
    <n v="21338335"/>
    <n v="18577.62"/>
    <m/>
    <s v="N"/>
    <n v="13"/>
    <d v="2023-07-06T19:21:20"/>
    <s v="Y"/>
    <s v="Advocates Meeting"/>
    <s v="Public Law Children"/>
    <s v="Advocacy"/>
    <s v="RAJ"/>
    <s v="Y"/>
    <n v="140.99"/>
    <n v="28.2"/>
    <x v="4"/>
    <s v="VALIDATED"/>
    <n v="1"/>
    <s v="01.11.80.308.6100.0000"/>
    <n v="140.99"/>
    <s v="11"/>
    <s v="6100"/>
    <n v="15699.41"/>
    <n v="140.99"/>
    <s v="CREDITOR"/>
    <n v="0"/>
    <n v="0"/>
    <n v="0"/>
    <n v="0"/>
    <n v="140.99"/>
  </r>
  <r>
    <n v="60985307"/>
    <s v="N"/>
    <n v="21327766"/>
    <s v="3000015190330032"/>
    <s v="CIVIL"/>
    <d v="2023-06-29T00:00:00"/>
    <d v="2023-07-04T19:00:44"/>
    <m/>
    <d v="2023-07-04T00:00:00"/>
    <n v="507"/>
    <n v="7335"/>
    <s v="60985307"/>
    <s v="60985307"/>
    <m/>
    <m/>
    <n v="22788750"/>
    <m/>
    <m/>
    <m/>
    <s v="SOLINT"/>
    <s v="SOLINT"/>
    <s v="CCMS"/>
    <n v="21327766"/>
    <n v="6692.89"/>
    <m/>
    <s v="N"/>
    <n v="22"/>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37"/>
    <d v="2023-07-04T19:00:54"/>
    <s v="Y"/>
    <s v="Preparation - Periodic file review"/>
    <s v="VHCC"/>
    <s v="Profit Cost"/>
    <s v="SLR"/>
    <s v="Y"/>
    <n v="7.16"/>
    <n v="1.43"/>
    <x v="1"/>
    <s v="VALIDATED"/>
    <n v="1"/>
    <s v="01.11.80.209.6100.0000"/>
    <n v="7.16"/>
    <s v="11"/>
    <s v="6100"/>
    <n v="15699.41"/>
    <n v="7.16"/>
    <s v="CREDITOR"/>
    <n v="0"/>
    <n v="0"/>
    <n v="0"/>
    <n v="0"/>
    <n v="7.16"/>
  </r>
  <r>
    <n v="60487684"/>
    <s v="N"/>
    <n v="21350117"/>
    <s v="3000014762060005"/>
    <s v="CIVIL"/>
    <d v="2023-06-29T00:00:00"/>
    <d v="2023-07-10T19:01:40"/>
    <m/>
    <d v="2023-07-10T00:00:00"/>
    <n v="507"/>
    <n v="7335"/>
    <s v="60487684"/>
    <s v="60487684"/>
    <m/>
    <m/>
    <n v="22788246"/>
    <m/>
    <m/>
    <m/>
    <s v="SOLFIN"/>
    <s v="SOLFIN"/>
    <s v="CCMS"/>
    <n v="21350117"/>
    <n v="10152.47"/>
    <m/>
    <s v="N"/>
    <n v="2"/>
    <d v="2023-07-10T19:02:14"/>
    <s v="Y"/>
    <s v="Profit Costs (Summary)"/>
    <s v="Care Remuneration Hourly Rates"/>
    <s v="Profit Cost"/>
    <s v="MU"/>
    <s v="Y"/>
    <n v="7135.75"/>
    <n v="1427.15"/>
    <x v="2"/>
    <s v="VALIDATED"/>
    <n v="1"/>
    <s v="01.11.80.305.6100.0000"/>
    <n v="7135.75"/>
    <s v="11"/>
    <s v="6100"/>
    <n v="15699.41"/>
    <n v="7135.75"/>
    <s v="CREDITOR"/>
    <n v="0"/>
    <n v="0"/>
    <n v="0"/>
    <n v="0"/>
    <n v="7135.75"/>
  </r>
  <r>
    <n v="60985307"/>
    <s v="N"/>
    <n v="21327766"/>
    <s v="3000015190330032"/>
    <s v="CIVIL"/>
    <d v="2023-06-29T00:00:00"/>
    <d v="2023-07-04T19:00:44"/>
    <m/>
    <d v="2023-07-04T00:00:00"/>
    <n v="507"/>
    <n v="7335"/>
    <s v="60985307"/>
    <s v="60985307"/>
    <m/>
    <m/>
    <n v="22788750"/>
    <m/>
    <m/>
    <m/>
    <s v="SOLINT"/>
    <s v="SOLINT"/>
    <s v="CCMS"/>
    <n v="21327766"/>
    <n v="6692.89"/>
    <m/>
    <s v="N"/>
    <n v="13"/>
    <d v="2023-07-04T19:00:54"/>
    <s v="Y"/>
    <s v="Waiting - other"/>
    <s v="VHCC"/>
    <s v="Profit Cost"/>
    <s v="SLR"/>
    <s v="Y"/>
    <n v="5.99"/>
    <n v="1.2"/>
    <x v="1"/>
    <s v="VALIDATED"/>
    <n v="1"/>
    <s v="01.11.80.209.6100.0000"/>
    <n v="5.99"/>
    <s v="11"/>
    <s v="6100"/>
    <n v="15699.41"/>
    <n v="5.99"/>
    <s v="CREDITOR"/>
    <n v="0"/>
    <n v="0"/>
    <n v="0"/>
    <n v="0"/>
    <n v="5.99"/>
  </r>
  <r>
    <n v="59988478"/>
    <s v="N"/>
    <n v="21327532"/>
    <s v="3000014327360010"/>
    <s v="CIVIL"/>
    <d v="2023-06-27T00:00:00"/>
    <d v="2023-07-04T19:00:44"/>
    <m/>
    <d v="2023-07-04T00:00:00"/>
    <n v="507"/>
    <n v="7335"/>
    <s v="59988478"/>
    <s v="59988478"/>
    <m/>
    <m/>
    <n v="22767290"/>
    <m/>
    <m/>
    <m/>
    <s v="SOLFIN"/>
    <s v="SOLFIN"/>
    <s v="CCMS"/>
    <n v="21327532"/>
    <n v="3397.07"/>
    <m/>
    <s v="N"/>
    <n v="53"/>
    <d v="2023-07-04T19:00:49"/>
    <s v="Y"/>
    <s v="Preparation - other"/>
    <s v="VHCC"/>
    <s v="Profit Cost"/>
    <s v="SLR50"/>
    <s v="Y"/>
    <n v="32.2"/>
    <n v="6.44"/>
    <x v="1"/>
    <s v="VALIDATED"/>
    <n v="1"/>
    <s v="01.11.80.203.6100.0000"/>
    <n v="32.2"/>
    <s v="11"/>
    <s v="6100"/>
    <n v="15699.41"/>
    <n v="32.2"/>
    <s v="CREDITOR"/>
    <n v="0"/>
    <n v="0"/>
    <n v="0"/>
    <n v="0"/>
    <n v="32.2"/>
  </r>
  <r>
    <n v="59988478"/>
    <s v="N"/>
    <n v="21327532"/>
    <s v="3000014327360010"/>
    <s v="CIVIL"/>
    <d v="2023-06-27T00:00:00"/>
    <d v="2023-07-04T19:00:44"/>
    <m/>
    <d v="2023-07-04T00:00:00"/>
    <n v="507"/>
    <n v="7335"/>
    <s v="59988478"/>
    <s v="59988478"/>
    <m/>
    <m/>
    <n v="22767290"/>
    <m/>
    <m/>
    <m/>
    <s v="SOLFIN"/>
    <s v="SOLFIN"/>
    <s v="CCMS"/>
    <n v="21327532"/>
    <n v="3397.07"/>
    <m/>
    <s v="N"/>
    <n v="57"/>
    <d v="2023-07-04T19:00:49"/>
    <s v="Y"/>
    <s v="Item - Routine Outgoing letter"/>
    <s v="VHCC"/>
    <s v="Profit Cost"/>
    <s v="SLR"/>
    <s v="Y"/>
    <n v="715.5"/>
    <n v="143.1"/>
    <x v="1"/>
    <s v="VALIDATED"/>
    <n v="1"/>
    <s v="01.11.80.203.6100.0000"/>
    <n v="715.5"/>
    <s v="11"/>
    <s v="6100"/>
    <n v="15699.41"/>
    <n v="715.5"/>
    <s v="CREDITOR"/>
    <n v="0"/>
    <n v="0"/>
    <n v="0"/>
    <n v="0"/>
    <n v="715.5"/>
  </r>
  <r>
    <n v="59988478"/>
    <s v="N"/>
    <n v="21327532"/>
    <s v="3000014327360010"/>
    <s v="CIVIL"/>
    <d v="2023-06-27T00:00:00"/>
    <d v="2023-07-04T19:00:44"/>
    <m/>
    <d v="2023-07-04T00:00:00"/>
    <n v="507"/>
    <n v="7335"/>
    <s v="59988478"/>
    <s v="59988478"/>
    <m/>
    <m/>
    <n v="22767290"/>
    <m/>
    <m/>
    <m/>
    <s v="SOLFIN"/>
    <s v="SOLFIN"/>
    <s v="CCMS"/>
    <n v="21327532"/>
    <n v="3397.07"/>
    <m/>
    <s v="N"/>
    <n v="19"/>
    <d v="2023-07-04T19:00:49"/>
    <s v="Y"/>
    <s v="Preparation - other"/>
    <s v="VHCC"/>
    <s v="Profit Cost"/>
    <s v="SLR50"/>
    <s v="Y"/>
    <n v="21.46"/>
    <n v="4.29"/>
    <x v="1"/>
    <s v="VALIDATED"/>
    <n v="1"/>
    <s v="01.11.80.203.6100.0000"/>
    <n v="21.46"/>
    <s v="11"/>
    <s v="6100"/>
    <n v="15699.41"/>
    <n v="21.46"/>
    <s v="CREDITOR"/>
    <n v="0"/>
    <n v="0"/>
    <n v="0"/>
    <n v="0"/>
    <n v="21.46"/>
  </r>
  <r>
    <n v="61718760"/>
    <s v="N"/>
    <n v="21395045"/>
    <s v="3000015806460004"/>
    <s v="CIVIL"/>
    <d v="2023-06-27T00:00:00"/>
    <d v="2023-07-19T19:02:01"/>
    <m/>
    <d v="2023-07-19T00:00:00"/>
    <n v="507"/>
    <n v="7335"/>
    <s v="61718760"/>
    <s v="61718760"/>
    <m/>
    <m/>
    <n v="22767438"/>
    <m/>
    <m/>
    <m/>
    <s v="SOLFIN"/>
    <s v="SOLFIN"/>
    <s v="CCMS"/>
    <n v="21395045"/>
    <n v="2548.79"/>
    <m/>
    <s v="N"/>
    <n v="25"/>
    <d v="2023-07-19T19:02:15"/>
    <s v="Y"/>
    <s v="Attendance upon other"/>
    <s v="Non Family Hourly Rates"/>
    <s v="Profit Cost"/>
    <s v="ZAN"/>
    <s v="Y"/>
    <n v="25.2"/>
    <n v="5.04"/>
    <x v="5"/>
    <s v="VALIDATED"/>
    <n v="1"/>
    <s v="01.11.80.208.6100.0000"/>
    <n v="25.2"/>
    <s v="11"/>
    <s v="6100"/>
    <n v="15699.41"/>
    <n v="25.2"/>
    <s v="CREDITOR"/>
    <n v="0"/>
    <n v="0"/>
    <n v="0"/>
    <n v="0"/>
    <n v="25.2"/>
  </r>
  <r>
    <n v="59988478"/>
    <s v="N"/>
    <n v="21327532"/>
    <s v="3000014327360010"/>
    <s v="CIVIL"/>
    <d v="2023-06-27T00:00:00"/>
    <d v="2023-07-04T19:00:44"/>
    <m/>
    <d v="2023-07-04T00:00:00"/>
    <n v="507"/>
    <n v="7335"/>
    <s v="59988478"/>
    <s v="59988478"/>
    <m/>
    <m/>
    <n v="22767290"/>
    <m/>
    <m/>
    <m/>
    <s v="SOLFIN"/>
    <s v="SOLFIN"/>
    <s v="CCMS"/>
    <n v="21327532"/>
    <n v="3397.07"/>
    <m/>
    <s v="N"/>
    <n v="7"/>
    <d v="2023-07-04T19:00:49"/>
    <s v="Y"/>
    <s v="Preparation - other"/>
    <s v="VHCC"/>
    <s v="Profit Cost"/>
    <s v="CWS"/>
    <s v="Y"/>
    <n v="50.09"/>
    <n v="10.02"/>
    <x v="1"/>
    <s v="VALIDATED"/>
    <n v="1"/>
    <s v="01.11.80.203.6100.0000"/>
    <n v="50.09"/>
    <s v="11"/>
    <s v="6100"/>
    <n v="15699.41"/>
    <n v="50.09"/>
    <s v="CREDITOR"/>
    <n v="0"/>
    <n v="0"/>
    <n v="0"/>
    <n v="0"/>
    <n v="50.09"/>
  </r>
  <r>
    <n v="60985307"/>
    <s v="N"/>
    <n v="21327766"/>
    <s v="3000015190330032"/>
    <s v="CIVIL"/>
    <d v="2023-06-29T00:00:00"/>
    <d v="2023-07-04T19:00:44"/>
    <m/>
    <d v="2023-07-04T00:00:00"/>
    <n v="507"/>
    <n v="7335"/>
    <s v="60985307"/>
    <s v="60985307"/>
    <m/>
    <m/>
    <n v="22788750"/>
    <m/>
    <m/>
    <m/>
    <s v="SOLINT"/>
    <s v="SOLINT"/>
    <s v="CCMS"/>
    <n v="21327766"/>
    <n v="6692.89"/>
    <m/>
    <s v="N"/>
    <n v="1"/>
    <d v="2023-07-04T19:00:54"/>
    <s v="Y"/>
    <s v="Preparation - other"/>
    <s v="VHCC"/>
    <s v="Profit Cost"/>
    <s v="SLR"/>
    <s v="Y"/>
    <n v="37.56"/>
    <n v="7.51"/>
    <x v="1"/>
    <s v="VALIDATED"/>
    <n v="1"/>
    <s v="01.11.80.209.6100.0000"/>
    <n v="37.56"/>
    <s v="11"/>
    <s v="6100"/>
    <n v="15699.41"/>
    <n v="37.56"/>
    <s v="CREDITOR"/>
    <n v="0"/>
    <n v="0"/>
    <n v="0"/>
    <n v="0"/>
    <n v="37.56"/>
  </r>
  <r>
    <n v="60985307"/>
    <s v="N"/>
    <n v="21327766"/>
    <s v="3000015190330032"/>
    <s v="CIVIL"/>
    <d v="2023-06-29T00:00:00"/>
    <d v="2023-07-04T19:00:44"/>
    <m/>
    <d v="2023-07-04T00:00:00"/>
    <n v="507"/>
    <n v="7335"/>
    <s v="60985307"/>
    <s v="60985307"/>
    <m/>
    <m/>
    <n v="22788750"/>
    <m/>
    <m/>
    <m/>
    <s v="SOLINT"/>
    <s v="SOLINT"/>
    <s v="CCMS"/>
    <n v="21327766"/>
    <n v="6692.89"/>
    <m/>
    <s v="N"/>
    <n v="47"/>
    <d v="2023-07-04T19:00:54"/>
    <s v="Y"/>
    <s v="Preparation - other"/>
    <s v="VHCC"/>
    <s v="Profit Cost"/>
    <s v="SLR"/>
    <s v="Y"/>
    <n v="25.04"/>
    <n v="5.01"/>
    <x v="1"/>
    <s v="VALIDATED"/>
    <n v="1"/>
    <s v="01.11.80.209.6100.0000"/>
    <n v="25.04"/>
    <s v="11"/>
    <s v="6100"/>
    <n v="15699.41"/>
    <n v="25.04"/>
    <s v="CREDITOR"/>
    <n v="0"/>
    <n v="0"/>
    <n v="0"/>
    <n v="0"/>
    <n v="25.04"/>
  </r>
  <r>
    <n v="60985307"/>
    <s v="N"/>
    <n v="21327766"/>
    <s v="3000015190330032"/>
    <s v="CIVIL"/>
    <d v="2023-06-29T00:00:00"/>
    <d v="2023-07-04T19:00:44"/>
    <m/>
    <d v="2023-07-04T00:00:00"/>
    <n v="507"/>
    <n v="7335"/>
    <s v="60985307"/>
    <s v="60985307"/>
    <m/>
    <m/>
    <n v="22788750"/>
    <m/>
    <m/>
    <m/>
    <s v="SOLINT"/>
    <s v="SOLINT"/>
    <s v="CCMS"/>
    <n v="21327766"/>
    <n v="6692.89"/>
    <m/>
    <s v="N"/>
    <n v="68"/>
    <d v="2023-07-04T19:00:54"/>
    <s v="Y"/>
    <s v="Preparation - drafting attendance n"/>
    <s v="VHCC"/>
    <s v="Profit Cost"/>
    <s v="SLR"/>
    <s v="Y"/>
    <n v="7.16"/>
    <n v="1.43"/>
    <x v="1"/>
    <s v="VALIDATED"/>
    <n v="1"/>
    <s v="01.11.80.209.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19"/>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25"/>
    <d v="2023-07-04T19:00:54"/>
    <s v="Y"/>
    <s v="Preparation - other"/>
    <s v="VHCC"/>
    <s v="Profit Cost"/>
    <s v="SLR"/>
    <s v="Y"/>
    <n v="37.56"/>
    <n v="7.51"/>
    <x v="1"/>
    <s v="VALIDATED"/>
    <n v="1"/>
    <s v="01.11.80.209.6100.0000"/>
    <n v="37.56"/>
    <s v="11"/>
    <s v="6100"/>
    <n v="15699.41"/>
    <n v="37.56"/>
    <s v="CREDITOR"/>
    <n v="0"/>
    <n v="0"/>
    <n v="0"/>
    <n v="0"/>
    <n v="37.56"/>
  </r>
  <r>
    <n v="60985307"/>
    <s v="N"/>
    <n v="21327766"/>
    <s v="3000015190330032"/>
    <s v="CIVIL"/>
    <d v="2023-06-29T00:00:00"/>
    <d v="2023-07-04T19:00:44"/>
    <m/>
    <d v="2023-07-04T00:00:00"/>
    <n v="507"/>
    <n v="7335"/>
    <s v="60985307"/>
    <s v="60985307"/>
    <m/>
    <m/>
    <n v="22788750"/>
    <m/>
    <m/>
    <m/>
    <s v="SOLINT"/>
    <s v="SOLINT"/>
    <s v="CCMS"/>
    <n v="21327766"/>
    <n v="6692.89"/>
    <m/>
    <s v="N"/>
    <n v="45"/>
    <d v="2023-07-04T19:00:54"/>
    <s v="Y"/>
    <s v="Preparation - drafting bill/claim f"/>
    <s v="VHCC"/>
    <s v="Profit Cost"/>
    <s v="SLR"/>
    <s v="Y"/>
    <n v="14.31"/>
    <n v="2.86"/>
    <x v="1"/>
    <s v="VALIDATED"/>
    <n v="1"/>
    <s v="01.11.80.209.6100.0000"/>
    <n v="14.31"/>
    <s v="11"/>
    <s v="6100"/>
    <n v="15699.41"/>
    <n v="14.31"/>
    <s v="CREDITOR"/>
    <n v="0"/>
    <n v="0"/>
    <n v="0"/>
    <n v="0"/>
    <n v="14.31"/>
  </r>
  <r>
    <n v="59988478"/>
    <s v="N"/>
    <n v="21327532"/>
    <s v="3000014327360010"/>
    <s v="CIVIL"/>
    <d v="2023-06-27T00:00:00"/>
    <d v="2023-07-04T19:00:44"/>
    <m/>
    <d v="2023-07-04T00:00:00"/>
    <n v="507"/>
    <n v="7335"/>
    <s v="59988478"/>
    <s v="59988478"/>
    <m/>
    <m/>
    <n v="22767290"/>
    <m/>
    <m/>
    <m/>
    <s v="SOLFIN"/>
    <s v="SOLFIN"/>
    <s v="CCMS"/>
    <n v="21327532"/>
    <n v="3397.07"/>
    <m/>
    <s v="N"/>
    <n v="2"/>
    <d v="2023-07-04T19:00:49"/>
    <s v="Y"/>
    <s v="Attendance upon client"/>
    <s v="VHCC"/>
    <s v="Profit Cost"/>
    <s v="SLR50"/>
    <s v="Y"/>
    <n v="32.2"/>
    <n v="6.44"/>
    <x v="1"/>
    <s v="VALIDATED"/>
    <n v="1"/>
    <s v="01.11.80.203.6100.0000"/>
    <n v="32.2"/>
    <s v="11"/>
    <s v="6100"/>
    <n v="15699.41"/>
    <n v="32.2"/>
    <s v="CREDITOR"/>
    <n v="0"/>
    <n v="0"/>
    <n v="0"/>
    <n v="0"/>
    <n v="32.2"/>
  </r>
  <r>
    <n v="59988478"/>
    <s v="N"/>
    <n v="21327532"/>
    <s v="3000014327360010"/>
    <s v="CIVIL"/>
    <d v="2023-06-27T00:00:00"/>
    <d v="2023-07-04T19:00:44"/>
    <m/>
    <d v="2023-07-04T00:00:00"/>
    <n v="507"/>
    <n v="7335"/>
    <s v="59988478"/>
    <s v="59988478"/>
    <m/>
    <m/>
    <n v="22767290"/>
    <m/>
    <m/>
    <m/>
    <s v="SOLFIN"/>
    <s v="SOLFIN"/>
    <s v="CCMS"/>
    <n v="21327532"/>
    <n v="3397.07"/>
    <m/>
    <s v="N"/>
    <n v="30"/>
    <d v="2023-07-04T19:00:49"/>
    <s v="Y"/>
    <s v="Preparation - other"/>
    <s v="VHCC"/>
    <s v="Profit Cost"/>
    <s v="SLR50"/>
    <s v="Y"/>
    <n v="21.46"/>
    <n v="4.29"/>
    <x v="1"/>
    <s v="VALIDATED"/>
    <n v="1"/>
    <s v="01.11.80.203.6100.0000"/>
    <n v="21.46"/>
    <s v="11"/>
    <s v="6100"/>
    <n v="15699.41"/>
    <n v="21.46"/>
    <s v="CREDITOR"/>
    <n v="0"/>
    <n v="0"/>
    <n v="0"/>
    <n v="0"/>
    <n v="21.46"/>
  </r>
  <r>
    <n v="60985307"/>
    <s v="N"/>
    <n v="21327766"/>
    <s v="3000015190330032"/>
    <s v="CIVIL"/>
    <d v="2023-06-29T00:00:00"/>
    <d v="2023-07-04T19:00:44"/>
    <m/>
    <d v="2023-07-04T00:00:00"/>
    <n v="507"/>
    <n v="7335"/>
    <s v="60985307"/>
    <s v="60985307"/>
    <m/>
    <m/>
    <n v="22788750"/>
    <m/>
    <m/>
    <m/>
    <s v="SOLINT"/>
    <s v="SOLINT"/>
    <s v="CCMS"/>
    <n v="21327766"/>
    <n v="6692.89"/>
    <m/>
    <s v="N"/>
    <n v="80"/>
    <d v="2023-07-04T19:00:54"/>
    <s v="Y"/>
    <s v="Preparation - drafting bill/claim f"/>
    <s v="VHCC"/>
    <s v="Profit Cost"/>
    <s v="MSK"/>
    <s v="Y"/>
    <n v="293.36"/>
    <n v="58.67"/>
    <x v="1"/>
    <s v="VALIDATED"/>
    <n v="1"/>
    <s v="01.11.80.209.6100.0000"/>
    <n v="293.36"/>
    <s v="11"/>
    <s v="6100"/>
    <n v="15699.41"/>
    <n v="293.36"/>
    <s v="CREDITOR"/>
    <n v="0"/>
    <n v="0"/>
    <n v="0"/>
    <n v="0"/>
    <n v="293.36"/>
  </r>
  <r>
    <n v="60985307"/>
    <s v="N"/>
    <n v="21327766"/>
    <s v="3000015190330032"/>
    <s v="CIVIL"/>
    <d v="2023-06-29T00:00:00"/>
    <d v="2023-07-04T19:00:44"/>
    <m/>
    <d v="2023-07-04T00:00:00"/>
    <n v="507"/>
    <n v="7335"/>
    <s v="60985307"/>
    <s v="60985307"/>
    <m/>
    <m/>
    <n v="22788750"/>
    <m/>
    <m/>
    <m/>
    <s v="SOLINT"/>
    <s v="SOLINT"/>
    <s v="CCMS"/>
    <n v="21327766"/>
    <n v="6692.89"/>
    <m/>
    <s v="N"/>
    <n v="64"/>
    <d v="2023-07-04T19:00:54"/>
    <s v="Y"/>
    <s v="Preparation - other"/>
    <s v="VHCC"/>
    <s v="Profit Cost"/>
    <s v="SLR"/>
    <s v="Y"/>
    <n v="12.52"/>
    <n v="2.5"/>
    <x v="1"/>
    <s v="VALIDATED"/>
    <n v="1"/>
    <s v="01.11.80.209.6100.0000"/>
    <n v="12.52"/>
    <s v="11"/>
    <s v="6100"/>
    <n v="15699.41"/>
    <n v="12.52"/>
    <s v="CREDITOR"/>
    <n v="0"/>
    <n v="0"/>
    <n v="0"/>
    <n v="0"/>
    <n v="12.52"/>
  </r>
  <r>
    <n v="59988478"/>
    <s v="N"/>
    <n v="21327532"/>
    <s v="3000014327360010"/>
    <s v="CIVIL"/>
    <d v="2023-06-27T00:00:00"/>
    <d v="2023-07-04T19:00:44"/>
    <m/>
    <d v="2023-07-04T00:00:00"/>
    <n v="507"/>
    <n v="7335"/>
    <s v="59988478"/>
    <s v="59988478"/>
    <m/>
    <m/>
    <n v="22767290"/>
    <m/>
    <m/>
    <m/>
    <s v="SOLFIN"/>
    <s v="SOLFIN"/>
    <s v="CCMS"/>
    <n v="21327532"/>
    <n v="3397.07"/>
    <m/>
    <s v="N"/>
    <n v="55"/>
    <d v="2023-07-04T19:00:49"/>
    <s v="Y"/>
    <s v="Preparation - drafting bill/claim f"/>
    <s v="VHCC"/>
    <s v="Profit Cost"/>
    <s v="SLR"/>
    <s v="Y"/>
    <n v="28.62"/>
    <n v="5.72"/>
    <x v="1"/>
    <s v="VALIDATED"/>
    <n v="1"/>
    <s v="01.11.80.203.6100.0000"/>
    <n v="28.62"/>
    <s v="11"/>
    <s v="6100"/>
    <n v="15699.41"/>
    <n v="28.62"/>
    <s v="CREDITOR"/>
    <n v="0"/>
    <n v="0"/>
    <n v="0"/>
    <n v="0"/>
    <n v="28.62"/>
  </r>
  <r>
    <n v="54298401"/>
    <s v="N"/>
    <n v="21319097"/>
    <s v="3000012964040004"/>
    <s v="CIVIL"/>
    <d v="2023-06-19T00:00:00"/>
    <d v="2023-07-03T19:01:49"/>
    <m/>
    <d v="2023-07-03T00:00:00"/>
    <n v="507"/>
    <n v="7335"/>
    <s v="54298401"/>
    <s v="54298401"/>
    <m/>
    <m/>
    <n v="22718764"/>
    <m/>
    <m/>
    <m/>
    <s v="SOLFIN"/>
    <s v="SOLFIN"/>
    <s v="CCMS"/>
    <n v="21319097"/>
    <n v="406.57"/>
    <m/>
    <s v="N"/>
    <n v="3"/>
    <d v="2023-07-03T19:02:11"/>
    <s v="Y"/>
    <s v="Preparation - drafting application"/>
    <s v="Non Family Hourly Rates"/>
    <s v="Profit Cost"/>
    <s v="SM"/>
    <s v="Y"/>
    <n v="63"/>
    <n v="12.6"/>
    <x v="3"/>
    <s v="VALIDATED"/>
    <n v="1"/>
    <s v="01.11.80.208.6100.0000"/>
    <n v="63"/>
    <s v="11"/>
    <s v="6100"/>
    <n v="15699.41"/>
    <n v="63"/>
    <s v="CREDITOR"/>
    <n v="0"/>
    <n v="0"/>
    <n v="0"/>
    <n v="0"/>
    <n v="63"/>
  </r>
  <r>
    <n v="59988478"/>
    <s v="N"/>
    <n v="21327532"/>
    <s v="3000014327360010"/>
    <s v="CIVIL"/>
    <d v="2023-06-27T00:00:00"/>
    <d v="2023-07-04T19:00:44"/>
    <m/>
    <d v="2023-07-04T00:00:00"/>
    <n v="507"/>
    <n v="7335"/>
    <s v="59988478"/>
    <s v="59988478"/>
    <m/>
    <m/>
    <n v="22767290"/>
    <m/>
    <m/>
    <m/>
    <s v="SOLFIN"/>
    <s v="SOLFIN"/>
    <s v="CCMS"/>
    <n v="21327532"/>
    <n v="3397.07"/>
    <m/>
    <s v="N"/>
    <n v="20"/>
    <d v="2023-07-04T19:00:49"/>
    <s v="Y"/>
    <s v="Preparation - other"/>
    <s v="VHCC"/>
    <s v="Profit Cost"/>
    <s v="SLR50"/>
    <s v="Y"/>
    <n v="107.32"/>
    <n v="21.46"/>
    <x v="1"/>
    <s v="VALIDATED"/>
    <n v="1"/>
    <s v="01.11.80.203.6100.0000"/>
    <n v="107.32"/>
    <s v="11"/>
    <s v="6100"/>
    <n v="15699.41"/>
    <n v="107.32"/>
    <s v="CREDITOR"/>
    <n v="0"/>
    <n v="0"/>
    <n v="0"/>
    <n v="0"/>
    <n v="107.32"/>
  </r>
  <r>
    <n v="59988478"/>
    <s v="N"/>
    <n v="21327532"/>
    <s v="3000014327360010"/>
    <s v="CIVIL"/>
    <d v="2023-06-27T00:00:00"/>
    <d v="2023-07-04T19:00:44"/>
    <m/>
    <d v="2023-07-04T00:00:00"/>
    <n v="507"/>
    <n v="7335"/>
    <s v="59988478"/>
    <s v="59988478"/>
    <m/>
    <m/>
    <n v="22767290"/>
    <m/>
    <m/>
    <m/>
    <s v="SOLFIN"/>
    <s v="SOLFIN"/>
    <s v="CCMS"/>
    <n v="21327532"/>
    <n v="3397.07"/>
    <m/>
    <s v="N"/>
    <n v="22"/>
    <d v="2023-07-04T19:00:49"/>
    <s v="Y"/>
    <s v="Preparation - other"/>
    <s v="VHCC"/>
    <s v="Profit Cost"/>
    <s v="SLR50"/>
    <s v="Y"/>
    <n v="21.46"/>
    <n v="4.29"/>
    <x v="1"/>
    <s v="VALIDATED"/>
    <n v="1"/>
    <s v="01.11.80.203.6100.0000"/>
    <n v="21.46"/>
    <s v="11"/>
    <s v="6100"/>
    <n v="15699.41"/>
    <n v="21.46"/>
    <s v="CREDITOR"/>
    <n v="0"/>
    <n v="0"/>
    <n v="0"/>
    <n v="0"/>
    <n v="21.46"/>
  </r>
  <r>
    <n v="54298401"/>
    <s v="N"/>
    <n v="21319097"/>
    <s v="3000012964040004"/>
    <s v="CIVIL"/>
    <d v="2023-06-19T00:00:00"/>
    <d v="2023-07-03T19:01:49"/>
    <m/>
    <d v="2023-07-03T00:00:00"/>
    <n v="507"/>
    <n v="7335"/>
    <s v="54298401"/>
    <s v="54298401"/>
    <m/>
    <m/>
    <n v="22718764"/>
    <m/>
    <m/>
    <m/>
    <s v="SOLFIN"/>
    <s v="SOLFIN"/>
    <s v="CCMS"/>
    <n v="21319097"/>
    <n v="406.57"/>
    <m/>
    <s v="N"/>
    <n v="8"/>
    <d v="2023-07-03T19:02:11"/>
    <s v="Y"/>
    <s v="Routine Letter Out"/>
    <s v="Non Family Hourly Rates"/>
    <s v="Profit Cost"/>
    <s v="SM"/>
    <s v="Y"/>
    <n v="77.22"/>
    <n v="15.44"/>
    <x v="3"/>
    <s v="VALIDATED"/>
    <n v="1"/>
    <s v="01.11.80.208.6100.0000"/>
    <n v="77.22"/>
    <s v="11"/>
    <s v="6100"/>
    <n v="15699.41"/>
    <n v="77.22"/>
    <s v="CREDITOR"/>
    <n v="0"/>
    <n v="0"/>
    <n v="0"/>
    <n v="0"/>
    <n v="77.22"/>
  </r>
  <r>
    <n v="61718760"/>
    <s v="N"/>
    <n v="21395045"/>
    <s v="3000015806460004"/>
    <s v="CIVIL"/>
    <d v="2023-06-27T00:00:00"/>
    <d v="2023-07-19T19:02:01"/>
    <m/>
    <d v="2023-07-19T00:00:00"/>
    <n v="507"/>
    <n v="7335"/>
    <s v="61718760"/>
    <s v="61718760"/>
    <m/>
    <m/>
    <n v="22767438"/>
    <m/>
    <m/>
    <m/>
    <s v="SOLFIN"/>
    <s v="SOLFIN"/>
    <s v="CCMS"/>
    <n v="21395045"/>
    <n v="2548.79"/>
    <m/>
    <s v="N"/>
    <n v="5"/>
    <d v="2023-07-19T19:02:15"/>
    <s v="Y"/>
    <s v="Expert - Other"/>
    <s v="Non Family Hourly Rates"/>
    <s v="Expert Disbursement"/>
    <s v="OAI"/>
    <s v="Y"/>
    <n v="58.66"/>
    <n v="11.73"/>
    <x v="5"/>
    <s v="VALIDATED"/>
    <n v="1"/>
    <s v="01.11.80.208.6300.0000"/>
    <n v="58.66"/>
    <s v="11"/>
    <s v="6300"/>
    <n v="15699.41"/>
    <n v="58.66"/>
    <s v="CREDITOR"/>
    <n v="0"/>
    <n v="0"/>
    <n v="0"/>
    <n v="0"/>
    <n v="58.66"/>
  </r>
  <r>
    <n v="60985307"/>
    <s v="N"/>
    <n v="21327766"/>
    <s v="3000015190330032"/>
    <s v="CIVIL"/>
    <d v="2023-06-29T00:00:00"/>
    <d v="2023-07-04T19:00:44"/>
    <m/>
    <d v="2023-07-04T00:00:00"/>
    <n v="507"/>
    <n v="7335"/>
    <s v="60985307"/>
    <s v="60985307"/>
    <m/>
    <m/>
    <n v="22788750"/>
    <m/>
    <m/>
    <m/>
    <s v="SOLINT"/>
    <s v="SOLINT"/>
    <s v="CCMS"/>
    <n v="21327766"/>
    <n v="6692.89"/>
    <m/>
    <s v="N"/>
    <n v="78"/>
    <d v="2023-07-04T19:00:54"/>
    <s v="Y"/>
    <s v="Preparation - drafting attendance n"/>
    <s v="VHCC"/>
    <s v="Profit Cost"/>
    <s v="JLM"/>
    <s v="Y"/>
    <n v="107.33"/>
    <n v="21.46"/>
    <x v="1"/>
    <s v="VALIDATED"/>
    <n v="1"/>
    <s v="01.11.80.209.6100.0000"/>
    <n v="107.33"/>
    <s v="11"/>
    <s v="6100"/>
    <n v="15699.41"/>
    <n v="107.33"/>
    <s v="CREDITOR"/>
    <n v="0"/>
    <n v="0"/>
    <n v="0"/>
    <n v="0"/>
    <n v="107.33"/>
  </r>
  <r>
    <n v="60985307"/>
    <s v="N"/>
    <n v="21327766"/>
    <s v="3000015190330032"/>
    <s v="CIVIL"/>
    <d v="2023-06-29T00:00:00"/>
    <d v="2023-07-04T19:00:44"/>
    <m/>
    <d v="2023-07-04T00:00:00"/>
    <n v="507"/>
    <n v="7335"/>
    <s v="60985307"/>
    <s v="60985307"/>
    <m/>
    <m/>
    <n v="22788750"/>
    <m/>
    <m/>
    <m/>
    <s v="SOLINT"/>
    <s v="SOLINT"/>
    <s v="CCMS"/>
    <n v="21327766"/>
    <n v="6692.89"/>
    <m/>
    <s v="N"/>
    <n v="39"/>
    <d v="2023-07-04T19:00:54"/>
    <s v="Y"/>
    <s v="Preparation - drafting attendance n"/>
    <s v="VHCC"/>
    <s v="Profit Cost"/>
    <s v="SLR"/>
    <s v="Y"/>
    <n v="7.16"/>
    <n v="1.43"/>
    <x v="1"/>
    <s v="VALIDATED"/>
    <n v="1"/>
    <s v="01.11.80.209.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58"/>
    <d v="2023-07-04T19:00:54"/>
    <s v="Y"/>
    <s v="Preparation - other"/>
    <s v="VHCC"/>
    <s v="Profit Cost"/>
    <s v="SLR"/>
    <s v="Y"/>
    <n v="12.52"/>
    <n v="2.5"/>
    <x v="1"/>
    <s v="VALIDATED"/>
    <n v="1"/>
    <s v="01.11.80.209.6100.0000"/>
    <n v="12.52"/>
    <s v="11"/>
    <s v="6100"/>
    <n v="15699.41"/>
    <n v="12.52"/>
    <s v="CREDITOR"/>
    <n v="0"/>
    <n v="0"/>
    <n v="0"/>
    <n v="0"/>
    <n v="12.52"/>
  </r>
  <r>
    <n v="59988478"/>
    <s v="N"/>
    <n v="21327532"/>
    <s v="3000014327360010"/>
    <s v="CIVIL"/>
    <d v="2023-06-27T00:00:00"/>
    <d v="2023-07-04T19:00:44"/>
    <m/>
    <d v="2023-07-04T00:00:00"/>
    <n v="507"/>
    <n v="7335"/>
    <s v="59988478"/>
    <s v="59988478"/>
    <m/>
    <m/>
    <n v="22767290"/>
    <m/>
    <m/>
    <m/>
    <s v="SOLFIN"/>
    <s v="SOLFIN"/>
    <s v="CCMS"/>
    <n v="21327532"/>
    <n v="3397.07"/>
    <m/>
    <s v="N"/>
    <n v="11"/>
    <d v="2023-07-04T19:00:49"/>
    <s v="Y"/>
    <s v="Attendance upon client"/>
    <s v="VHCC"/>
    <s v="Profit Cost"/>
    <s v="SLR50"/>
    <s v="Y"/>
    <n v="21.46"/>
    <n v="4.29"/>
    <x v="1"/>
    <s v="VALIDATED"/>
    <n v="1"/>
    <s v="01.11.80.203.6100.0000"/>
    <n v="21.46"/>
    <s v="11"/>
    <s v="6100"/>
    <n v="15699.41"/>
    <n v="21.46"/>
    <s v="CREDITOR"/>
    <n v="0"/>
    <n v="0"/>
    <n v="0"/>
    <n v="0"/>
    <n v="21.46"/>
  </r>
  <r>
    <n v="59988478"/>
    <s v="N"/>
    <n v="21327532"/>
    <s v="3000014327360010"/>
    <s v="CIVIL"/>
    <d v="2023-06-27T00:00:00"/>
    <d v="2023-07-04T19:00:44"/>
    <m/>
    <d v="2023-07-04T00:00:00"/>
    <n v="507"/>
    <n v="7335"/>
    <s v="59988478"/>
    <s v="59988478"/>
    <m/>
    <m/>
    <n v="22767290"/>
    <m/>
    <m/>
    <m/>
    <s v="SOLFIN"/>
    <s v="SOLFIN"/>
    <s v="CCMS"/>
    <n v="21327532"/>
    <n v="3397.07"/>
    <m/>
    <s v="N"/>
    <n v="18"/>
    <d v="2023-07-04T19:00:49"/>
    <s v="Y"/>
    <s v="Preparation - other"/>
    <s v="VHCC"/>
    <s v="Profit Cost"/>
    <s v="SLR"/>
    <s v="Y"/>
    <n v="14.31"/>
    <n v="2.86"/>
    <x v="1"/>
    <s v="VALIDATED"/>
    <n v="1"/>
    <s v="01.11.80.203.6100.0000"/>
    <n v="14.31"/>
    <s v="11"/>
    <s v="6100"/>
    <n v="15699.41"/>
    <n v="14.31"/>
    <s v="CREDITOR"/>
    <n v="0"/>
    <n v="0"/>
    <n v="0"/>
    <n v="0"/>
    <n v="14.31"/>
  </r>
  <r>
    <n v="60985307"/>
    <s v="N"/>
    <n v="21327766"/>
    <s v="3000015190330032"/>
    <s v="CIVIL"/>
    <d v="2023-06-29T00:00:00"/>
    <d v="2023-07-04T19:00:44"/>
    <m/>
    <d v="2023-07-04T00:00:00"/>
    <n v="507"/>
    <n v="7335"/>
    <s v="60985307"/>
    <s v="60985307"/>
    <m/>
    <m/>
    <n v="22788750"/>
    <m/>
    <m/>
    <m/>
    <s v="SOLINT"/>
    <s v="SOLINT"/>
    <s v="CCMS"/>
    <n v="21327766"/>
    <n v="6692.89"/>
    <m/>
    <s v="N"/>
    <n v="81"/>
    <d v="2023-07-04T19:00:54"/>
    <s v="Y"/>
    <s v="Preparation - drafting bill/claim f"/>
    <s v="VHCC"/>
    <s v="Profit Cost"/>
    <s v="SLR"/>
    <s v="Y"/>
    <n v="35.78"/>
    <n v="7.16"/>
    <x v="1"/>
    <s v="VALIDATED"/>
    <n v="1"/>
    <s v="01.11.80.209.6100.0000"/>
    <n v="35.78"/>
    <s v="11"/>
    <s v="6100"/>
    <n v="15699.41"/>
    <n v="35.78"/>
    <s v="CREDITOR"/>
    <n v="0"/>
    <n v="0"/>
    <n v="0"/>
    <n v="0"/>
    <n v="35.78"/>
  </r>
  <r>
    <n v="59988478"/>
    <s v="N"/>
    <n v="21327532"/>
    <s v="3000014327360010"/>
    <s v="CIVIL"/>
    <d v="2023-06-27T00:00:00"/>
    <d v="2023-07-04T19:00:44"/>
    <m/>
    <d v="2023-07-04T00:00:00"/>
    <n v="507"/>
    <n v="7335"/>
    <s v="59988478"/>
    <s v="59988478"/>
    <m/>
    <m/>
    <n v="22767290"/>
    <m/>
    <m/>
    <m/>
    <s v="SOLFIN"/>
    <s v="SOLFIN"/>
    <s v="CCMS"/>
    <n v="21327532"/>
    <n v="3397.07"/>
    <m/>
    <s v="N"/>
    <n v="50"/>
    <d v="2023-07-04T19:00:49"/>
    <s v="Y"/>
    <s v="Attendance upon client"/>
    <s v="VHCC"/>
    <s v="Profit Cost"/>
    <s v="SLR50"/>
    <s v="Y"/>
    <n v="53.66"/>
    <n v="10.73"/>
    <x v="1"/>
    <s v="VALIDATED"/>
    <n v="1"/>
    <s v="01.11.80.203.6100.0000"/>
    <n v="53.66"/>
    <s v="11"/>
    <s v="6100"/>
    <n v="15699.41"/>
    <n v="53.66"/>
    <s v="CREDITOR"/>
    <n v="0"/>
    <n v="0"/>
    <n v="0"/>
    <n v="0"/>
    <n v="53.66"/>
  </r>
  <r>
    <n v="61718760"/>
    <s v="N"/>
    <n v="21395045"/>
    <s v="3000015806460004"/>
    <s v="CIVIL"/>
    <d v="2023-06-27T00:00:00"/>
    <d v="2023-07-19T19:02:01"/>
    <m/>
    <d v="2023-07-19T00:00:00"/>
    <n v="507"/>
    <n v="7335"/>
    <s v="61718760"/>
    <s v="61718760"/>
    <m/>
    <m/>
    <n v="22767438"/>
    <m/>
    <m/>
    <m/>
    <s v="SOLFIN"/>
    <s v="SOLFIN"/>
    <s v="CCMS"/>
    <n v="21395045"/>
    <n v="2548.79"/>
    <m/>
    <s v="N"/>
    <n v="21"/>
    <d v="2023-07-19T19:02:15"/>
    <s v="Y"/>
    <s v="Preparation - drafting instructions"/>
    <s v="Non Family Hourly Rates"/>
    <s v="Profit Cost"/>
    <s v="OAI"/>
    <s v="Y"/>
    <n v="50.4"/>
    <n v="10.08"/>
    <x v="5"/>
    <s v="VALIDATED"/>
    <n v="1"/>
    <s v="01.11.80.208.6100.0000"/>
    <n v="50.4"/>
    <s v="11"/>
    <s v="6100"/>
    <n v="15699.41"/>
    <n v="50.4"/>
    <s v="CREDITOR"/>
    <n v="0"/>
    <n v="0"/>
    <n v="0"/>
    <n v="0"/>
    <n v="50.4"/>
  </r>
  <r>
    <n v="60985307"/>
    <s v="N"/>
    <n v="21327766"/>
    <s v="3000015190330032"/>
    <s v="CIVIL"/>
    <d v="2023-06-29T00:00:00"/>
    <d v="2023-07-04T19:00:44"/>
    <m/>
    <d v="2023-07-04T00:00:00"/>
    <n v="507"/>
    <n v="7335"/>
    <s v="60985307"/>
    <s v="60985307"/>
    <m/>
    <m/>
    <n v="22788750"/>
    <m/>
    <m/>
    <m/>
    <s v="SOLINT"/>
    <s v="SOLINT"/>
    <s v="CCMS"/>
    <n v="21327766"/>
    <n v="6692.89"/>
    <m/>
    <s v="N"/>
    <n v="74"/>
    <d v="2023-07-04T19:00:54"/>
    <s v="Y"/>
    <s v="Preparation - other"/>
    <s v="VHCC"/>
    <s v="Profit Cost"/>
    <s v="JLM"/>
    <s v="Y"/>
    <n v="112.69"/>
    <n v="22.54"/>
    <x v="1"/>
    <s v="VALIDATED"/>
    <n v="1"/>
    <s v="01.11.80.209.6100.0000"/>
    <n v="112.69"/>
    <s v="11"/>
    <s v="6100"/>
    <n v="15699.41"/>
    <n v="112.69"/>
    <s v="CREDITOR"/>
    <n v="0"/>
    <n v="0"/>
    <n v="0"/>
    <n v="0"/>
    <n v="112.69"/>
  </r>
  <r>
    <n v="59988478"/>
    <s v="N"/>
    <n v="21327532"/>
    <s v="3000014327360010"/>
    <s v="CIVIL"/>
    <d v="2023-06-27T00:00:00"/>
    <d v="2023-07-04T19:00:44"/>
    <m/>
    <d v="2023-07-04T00:00:00"/>
    <n v="507"/>
    <n v="7335"/>
    <s v="59988478"/>
    <s v="59988478"/>
    <m/>
    <m/>
    <n v="22767290"/>
    <m/>
    <m/>
    <m/>
    <s v="SOLFIN"/>
    <s v="SOLFIN"/>
    <s v="CCMS"/>
    <n v="21327532"/>
    <n v="3397.07"/>
    <m/>
    <s v="N"/>
    <n v="1"/>
    <d v="2023-07-04T19:00:49"/>
    <s v="Y"/>
    <s v="Preparation - other"/>
    <s v="VHCC"/>
    <s v="Profit Cost"/>
    <s v="SLR"/>
    <s v="Y"/>
    <n v="7.16"/>
    <n v="1.43"/>
    <x v="1"/>
    <s v="VALIDATED"/>
    <n v="1"/>
    <s v="01.11.80.203.6100.0000"/>
    <n v="7.16"/>
    <s v="11"/>
    <s v="6100"/>
    <n v="15699.41"/>
    <n v="7.16"/>
    <s v="CREDITOR"/>
    <n v="0"/>
    <n v="0"/>
    <n v="0"/>
    <n v="0"/>
    <n v="7.16"/>
  </r>
  <r>
    <n v="59988478"/>
    <s v="N"/>
    <n v="21327532"/>
    <s v="3000014327360010"/>
    <s v="CIVIL"/>
    <d v="2023-06-27T00:00:00"/>
    <d v="2023-07-04T19:00:44"/>
    <m/>
    <d v="2023-07-04T00:00:00"/>
    <n v="507"/>
    <n v="7335"/>
    <s v="59988478"/>
    <s v="59988478"/>
    <m/>
    <m/>
    <n v="22767290"/>
    <m/>
    <m/>
    <m/>
    <s v="SOLFIN"/>
    <s v="SOLFIN"/>
    <s v="CCMS"/>
    <n v="21327532"/>
    <n v="3397.07"/>
    <m/>
    <s v="N"/>
    <n v="35"/>
    <d v="2023-07-04T19:00:49"/>
    <s v="Y"/>
    <s v="Attendance upon client"/>
    <s v="VHCC"/>
    <s v="Profit Cost"/>
    <s v="SLR50"/>
    <s v="Y"/>
    <n v="32.2"/>
    <n v="6.44"/>
    <x v="1"/>
    <s v="VALIDATED"/>
    <n v="1"/>
    <s v="01.11.80.203.6100.0000"/>
    <n v="32.2"/>
    <s v="11"/>
    <s v="6100"/>
    <n v="15699.41"/>
    <n v="32.2"/>
    <s v="CREDITOR"/>
    <n v="0"/>
    <n v="0"/>
    <n v="0"/>
    <n v="0"/>
    <n v="32.2"/>
  </r>
  <r>
    <n v="54298401"/>
    <s v="N"/>
    <n v="21319097"/>
    <s v="3000012964040004"/>
    <s v="CIVIL"/>
    <d v="2023-06-19T00:00:00"/>
    <d v="2023-07-03T19:01:49"/>
    <m/>
    <d v="2023-07-03T00:00:00"/>
    <n v="507"/>
    <n v="7335"/>
    <s v="54298401"/>
    <s v="54298401"/>
    <m/>
    <m/>
    <n v="22718764"/>
    <m/>
    <m/>
    <m/>
    <s v="SOLFIN"/>
    <s v="SOLFIN"/>
    <s v="CCMS"/>
    <n v="21319097"/>
    <n v="406.57"/>
    <m/>
    <s v="N"/>
    <n v="6"/>
    <d v="2023-07-03T19:02:11"/>
    <s v="Y"/>
    <s v="Routine Telephone Call"/>
    <s v="Non Family Hourly Rates"/>
    <s v="Profit Cost"/>
    <s v="SM"/>
    <s v="Y"/>
    <n v="3.29"/>
    <n v="0.66"/>
    <x v="3"/>
    <s v="VALIDATED"/>
    <n v="1"/>
    <s v="01.11.80.208.6100.0000"/>
    <n v="3.29"/>
    <s v="11"/>
    <s v="6100"/>
    <n v="15699.41"/>
    <n v="3.29"/>
    <s v="CREDITOR"/>
    <n v="0"/>
    <n v="0"/>
    <n v="0"/>
    <n v="0"/>
    <n v="3.29"/>
  </r>
  <r>
    <n v="60985307"/>
    <s v="N"/>
    <n v="21327766"/>
    <s v="3000015190330032"/>
    <s v="CIVIL"/>
    <d v="2023-06-29T00:00:00"/>
    <d v="2023-07-04T19:00:44"/>
    <m/>
    <d v="2023-07-04T00:00:00"/>
    <n v="507"/>
    <n v="7335"/>
    <s v="60985307"/>
    <s v="60985307"/>
    <m/>
    <m/>
    <n v="22788750"/>
    <m/>
    <m/>
    <m/>
    <s v="SOLINT"/>
    <s v="SOLINT"/>
    <s v="CCMS"/>
    <n v="21327766"/>
    <n v="6692.89"/>
    <m/>
    <s v="N"/>
    <n v="40"/>
    <d v="2023-07-04T19:00:54"/>
    <s v="Y"/>
    <s v="Preparation - drafting statement"/>
    <s v="VHCC"/>
    <s v="Profit Cost"/>
    <s v="SLR"/>
    <s v="Y"/>
    <n v="50.08"/>
    <n v="10.02"/>
    <x v="1"/>
    <s v="VALIDATED"/>
    <n v="1"/>
    <s v="01.11.80.209.6100.0000"/>
    <n v="50.08"/>
    <s v="11"/>
    <s v="6100"/>
    <n v="15699.41"/>
    <n v="50.08"/>
    <s v="CREDITOR"/>
    <n v="0"/>
    <n v="0"/>
    <n v="0"/>
    <n v="0"/>
    <n v="50.08"/>
  </r>
  <r>
    <n v="59988478"/>
    <s v="N"/>
    <n v="21327532"/>
    <s v="3000014327360010"/>
    <s v="CIVIL"/>
    <d v="2023-06-27T00:00:00"/>
    <d v="2023-07-04T19:00:44"/>
    <m/>
    <d v="2023-07-04T00:00:00"/>
    <n v="507"/>
    <n v="7335"/>
    <s v="59988478"/>
    <s v="59988478"/>
    <m/>
    <m/>
    <n v="22767290"/>
    <m/>
    <m/>
    <m/>
    <s v="SOLFIN"/>
    <s v="SOLFIN"/>
    <s v="CCMS"/>
    <n v="21327532"/>
    <n v="3397.07"/>
    <m/>
    <s v="N"/>
    <n v="46"/>
    <d v="2023-07-04T19:00:49"/>
    <s v="Y"/>
    <s v="Preparation - other"/>
    <s v="VHCC"/>
    <s v="Profit Cost"/>
    <s v="SLR50"/>
    <s v="Y"/>
    <n v="10.73"/>
    <n v="2.15"/>
    <x v="1"/>
    <s v="VALIDATED"/>
    <n v="1"/>
    <s v="01.11.80.203.6100.0000"/>
    <n v="10.73"/>
    <s v="11"/>
    <s v="6100"/>
    <n v="15699.41"/>
    <n v="10.73"/>
    <s v="CREDITOR"/>
    <n v="0"/>
    <n v="0"/>
    <n v="0"/>
    <n v="0"/>
    <n v="10.73"/>
  </r>
  <r>
    <n v="54298401"/>
    <s v="N"/>
    <n v="21319097"/>
    <s v="3000012964040004"/>
    <s v="CIVIL"/>
    <d v="2023-06-19T00:00:00"/>
    <d v="2023-07-03T19:01:49"/>
    <m/>
    <d v="2023-07-03T00:00:00"/>
    <n v="507"/>
    <n v="7335"/>
    <s v="54298401"/>
    <s v="54298401"/>
    <m/>
    <m/>
    <n v="22718764"/>
    <m/>
    <m/>
    <m/>
    <s v="SOLFIN"/>
    <s v="SOLFIN"/>
    <s v="CCMS"/>
    <n v="21319097"/>
    <n v="406.57"/>
    <m/>
    <s v="N"/>
    <n v="10"/>
    <d v="2023-07-03T19:02:11"/>
    <s v="Y"/>
    <s v="Preparation - drafting bill/claim f"/>
    <s v="Non Family Hourly Rates"/>
    <s v="Profit Cost"/>
    <s v="SM"/>
    <s v="Y"/>
    <n v="44.1"/>
    <n v="8.82"/>
    <x v="3"/>
    <s v="VALIDATED"/>
    <n v="1"/>
    <s v="01.11.80.208.6100.0000"/>
    <n v="44.1"/>
    <s v="11"/>
    <s v="6100"/>
    <n v="15699.41"/>
    <n v="44.1"/>
    <s v="CREDITOR"/>
    <n v="0"/>
    <n v="0"/>
    <n v="0"/>
    <n v="0"/>
    <n v="44.1"/>
  </r>
  <r>
    <n v="61718760"/>
    <s v="N"/>
    <n v="21395045"/>
    <s v="3000015806460004"/>
    <s v="CIVIL"/>
    <d v="2023-06-27T00:00:00"/>
    <d v="2023-07-19T19:02:01"/>
    <m/>
    <d v="2023-07-19T00:00:00"/>
    <n v="507"/>
    <n v="7335"/>
    <s v="61718760"/>
    <s v="61718760"/>
    <m/>
    <m/>
    <n v="22767438"/>
    <m/>
    <m/>
    <m/>
    <s v="SOLFIN"/>
    <s v="SOLFIN"/>
    <s v="CCMS"/>
    <n v="21395045"/>
    <n v="2548.79"/>
    <m/>
    <s v="N"/>
    <n v="10"/>
    <d v="2023-07-19T19:02:15"/>
    <s v="Y"/>
    <s v="Preparation - drafting notice(s)"/>
    <s v="Non Family Hourly Rates"/>
    <s v="Profit Cost"/>
    <s v="OAI"/>
    <s v="Y"/>
    <n v="6.3"/>
    <n v="1.26"/>
    <x v="5"/>
    <s v="VALIDATED"/>
    <n v="1"/>
    <s v="01.11.80.208.6100.0000"/>
    <n v="6.3"/>
    <s v="11"/>
    <s v="6100"/>
    <n v="15699.41"/>
    <n v="6.3"/>
    <s v="CREDITOR"/>
    <n v="0"/>
    <n v="0"/>
    <n v="0"/>
    <n v="0"/>
    <n v="6.3"/>
  </r>
  <r>
    <n v="61933462"/>
    <s v="N"/>
    <n v="21338364"/>
    <s v="3000015985360001"/>
    <s v="CIVIL"/>
    <d v="2023-06-28T00:00:00"/>
    <d v="2023-07-06T19:21:01"/>
    <m/>
    <d v="2023-07-06T00:00:00"/>
    <n v="507"/>
    <n v="7335"/>
    <s v="61933462"/>
    <s v="61933462"/>
    <m/>
    <m/>
    <n v="22782338"/>
    <m/>
    <m/>
    <m/>
    <s v="SOLFIN"/>
    <s v="SOLFIN"/>
    <s v="CCMS"/>
    <n v="21338364"/>
    <n v="4023.77"/>
    <m/>
    <s v="N"/>
    <n v="2"/>
    <d v="2023-07-06T19:21:22"/>
    <s v="Y"/>
    <s v="Advocates Meeting"/>
    <s v="Public Law Children"/>
    <s v="Advocacy"/>
    <s v="RAJINDER GARVEY"/>
    <s v="Y"/>
    <n v="140.99"/>
    <n v="28.2"/>
    <x v="4"/>
    <s v="VALIDATED"/>
    <n v="1"/>
    <s v="01.11.80.308.6100.0000"/>
    <n v="140.99"/>
    <s v="11"/>
    <s v="6100"/>
    <n v="15699.41"/>
    <n v="140.99"/>
    <s v="CREDITOR"/>
    <n v="0"/>
    <n v="0"/>
    <n v="0"/>
    <n v="0"/>
    <n v="140.99"/>
  </r>
  <r>
    <n v="60985307"/>
    <s v="N"/>
    <n v="21327766"/>
    <s v="3000015190330032"/>
    <s v="CIVIL"/>
    <d v="2023-06-29T00:00:00"/>
    <d v="2023-07-04T19:00:44"/>
    <m/>
    <d v="2023-07-04T00:00:00"/>
    <n v="507"/>
    <n v="7335"/>
    <s v="60985307"/>
    <s v="60985307"/>
    <m/>
    <m/>
    <n v="22788750"/>
    <m/>
    <m/>
    <m/>
    <s v="SOLINT"/>
    <s v="SOLINT"/>
    <s v="CCMS"/>
    <n v="21327766"/>
    <n v="6692.89"/>
    <m/>
    <s v="N"/>
    <n v="73"/>
    <d v="2023-07-04T19:00:54"/>
    <s v="Y"/>
    <s v="Preparation - other"/>
    <s v="VHCC"/>
    <s v="Profit Cost"/>
    <s v="SLR"/>
    <s v="Y"/>
    <n v="7.16"/>
    <n v="1.43"/>
    <x v="1"/>
    <s v="VALIDATED"/>
    <n v="1"/>
    <s v="01.11.80.209.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82"/>
    <d v="2023-07-04T19:00:54"/>
    <s v="Y"/>
    <s v="Item - Routine Telephone Call"/>
    <s v="VHCC"/>
    <s v="Profit Cost"/>
    <s v="SLR"/>
    <s v="Y"/>
    <n v="26.18"/>
    <n v="5.24"/>
    <x v="1"/>
    <s v="VALIDATED"/>
    <n v="1"/>
    <s v="01.11.80.209.6100.0000"/>
    <n v="26.18"/>
    <s v="11"/>
    <s v="6100"/>
    <n v="15699.41"/>
    <n v="26.18"/>
    <s v="CREDITOR"/>
    <n v="0"/>
    <n v="0"/>
    <n v="0"/>
    <n v="0"/>
    <n v="26.18"/>
  </r>
  <r>
    <n v="60985307"/>
    <s v="N"/>
    <n v="21327766"/>
    <s v="3000015190330032"/>
    <s v="CIVIL"/>
    <d v="2023-06-29T00:00:00"/>
    <d v="2023-07-04T19:00:44"/>
    <m/>
    <d v="2023-07-04T00:00:00"/>
    <n v="507"/>
    <n v="7335"/>
    <s v="60985307"/>
    <s v="60985307"/>
    <m/>
    <m/>
    <n v="22788750"/>
    <m/>
    <m/>
    <m/>
    <s v="SOLINT"/>
    <s v="SOLINT"/>
    <s v="CCMS"/>
    <n v="21327766"/>
    <n v="6692.89"/>
    <m/>
    <s v="N"/>
    <n v="34"/>
    <d v="2023-07-04T19:00:54"/>
    <s v="Y"/>
    <s v="Preparation - drafting statement"/>
    <s v="VHCC"/>
    <s v="Profit Cost"/>
    <s v="SLR"/>
    <s v="Y"/>
    <n v="250.42"/>
    <n v="50.08"/>
    <x v="1"/>
    <s v="VALIDATED"/>
    <n v="1"/>
    <s v="01.11.80.209.6100.0000"/>
    <n v="250.42"/>
    <s v="11"/>
    <s v="6100"/>
    <n v="15699.41"/>
    <n v="250.42"/>
    <s v="CREDITOR"/>
    <n v="0"/>
    <n v="0"/>
    <n v="0"/>
    <n v="0"/>
    <n v="250.42"/>
  </r>
  <r>
    <n v="60985307"/>
    <s v="N"/>
    <n v="21327766"/>
    <s v="3000015190330032"/>
    <s v="CIVIL"/>
    <d v="2023-06-29T00:00:00"/>
    <d v="2023-07-04T19:00:44"/>
    <m/>
    <d v="2023-07-04T00:00:00"/>
    <n v="507"/>
    <n v="7335"/>
    <s v="60985307"/>
    <s v="60985307"/>
    <m/>
    <m/>
    <n v="22788750"/>
    <m/>
    <m/>
    <m/>
    <s v="SOLINT"/>
    <s v="SOLINT"/>
    <s v="CCMS"/>
    <n v="21327766"/>
    <n v="6692.89"/>
    <m/>
    <s v="N"/>
    <n v="88"/>
    <d v="2023-07-04T19:00:54"/>
    <s v="Y"/>
    <s v="Interpreter"/>
    <s v="VHCC"/>
    <s v="Expert Disbursement"/>
    <s v="XXX"/>
    <s v="Y"/>
    <n v="85.65000000000001"/>
    <n v="17.13"/>
    <x v="1"/>
    <s v="VALIDATED"/>
    <n v="1"/>
    <s v="01.11.80.209.6300.0000"/>
    <n v="85.65000000000001"/>
    <s v="11"/>
    <s v="6300"/>
    <n v="15699.41"/>
    <n v="85.65000000000001"/>
    <s v="CREDITOR"/>
    <n v="0"/>
    <n v="0"/>
    <n v="0"/>
    <n v="0"/>
    <n v="85.65000000000001"/>
  </r>
  <r>
    <n v="61718760"/>
    <s v="N"/>
    <n v="21395045"/>
    <s v="3000015806460004"/>
    <s v="CIVIL"/>
    <d v="2023-06-27T00:00:00"/>
    <d v="2023-07-19T19:02:01"/>
    <m/>
    <d v="2023-07-19T00:00:00"/>
    <n v="507"/>
    <n v="7335"/>
    <s v="61718760"/>
    <s v="61718760"/>
    <m/>
    <m/>
    <n v="22767438"/>
    <m/>
    <m/>
    <m/>
    <s v="SOLFIN"/>
    <s v="SOLFIN"/>
    <s v="CCMS"/>
    <n v="21395045"/>
    <n v="2548.79"/>
    <m/>
    <s v="N"/>
    <n v="4"/>
    <d v="2023-07-19T19:02:15"/>
    <s v="Y"/>
    <s v="Land Registry Fees"/>
    <s v="Non Family Hourly Rates"/>
    <s v="Non Expert Disbursement"/>
    <s v="OAI"/>
    <s v="Y"/>
    <n v="3"/>
    <n v="0"/>
    <x v="5"/>
    <s v="VALIDATED"/>
    <n v="1"/>
    <s v="01.11.80.208.6300.0000"/>
    <n v="3"/>
    <s v="11"/>
    <s v="6300"/>
    <n v="15699.41"/>
    <n v="3"/>
    <s v="CREDITOR"/>
    <n v="0"/>
    <n v="0"/>
    <n v="0"/>
    <n v="0"/>
    <n v="3"/>
  </r>
  <r>
    <n v="60985307"/>
    <s v="N"/>
    <n v="21327766"/>
    <s v="3000015190330032"/>
    <s v="CIVIL"/>
    <d v="2023-06-29T00:00:00"/>
    <d v="2023-07-04T19:00:44"/>
    <m/>
    <d v="2023-07-04T00:00:00"/>
    <n v="507"/>
    <n v="7335"/>
    <s v="60985307"/>
    <s v="60985307"/>
    <m/>
    <m/>
    <n v="22788750"/>
    <m/>
    <m/>
    <m/>
    <s v="SOLINT"/>
    <s v="SOLINT"/>
    <s v="CCMS"/>
    <n v="21327766"/>
    <n v="6692.89"/>
    <m/>
    <s v="N"/>
    <n v="83"/>
    <d v="2023-07-04T19:00:54"/>
    <s v="Y"/>
    <s v="Item - Routine Outgoing letter"/>
    <s v="VHCC"/>
    <s v="Profit Cost"/>
    <s v="SLR"/>
    <s v="Y"/>
    <n v="965.25"/>
    <n v="193.11"/>
    <x v="1"/>
    <s v="VALIDATED"/>
    <n v="1"/>
    <s v="01.11.80.209.6100.0000"/>
    <n v="965.25"/>
    <s v="11"/>
    <s v="6100"/>
    <n v="15699.41"/>
    <n v="965.25"/>
    <s v="CREDITOR"/>
    <n v="0"/>
    <n v="0"/>
    <n v="0"/>
    <n v="0"/>
    <n v="965.25"/>
  </r>
  <r>
    <n v="60985307"/>
    <s v="N"/>
    <n v="21327766"/>
    <s v="3000015190330032"/>
    <s v="CIVIL"/>
    <d v="2023-06-29T00:00:00"/>
    <d v="2023-07-04T19:00:44"/>
    <m/>
    <d v="2023-07-04T00:00:00"/>
    <n v="507"/>
    <n v="7335"/>
    <s v="60985307"/>
    <s v="60985307"/>
    <m/>
    <m/>
    <n v="22788750"/>
    <m/>
    <m/>
    <m/>
    <s v="SOLINT"/>
    <s v="SOLINT"/>
    <s v="CCMS"/>
    <n v="21327766"/>
    <n v="6692.89"/>
    <m/>
    <s v="N"/>
    <n v="5"/>
    <d v="2023-07-04T19:00:54"/>
    <s v="Y"/>
    <s v="Preparation - other"/>
    <s v="VHCC"/>
    <s v="Profit Cost"/>
    <s v="SLR"/>
    <s v="Y"/>
    <n v="25.04"/>
    <n v="5.01"/>
    <x v="1"/>
    <s v="VALIDATED"/>
    <n v="1"/>
    <s v="01.11.80.209.6100.0000"/>
    <n v="25.04"/>
    <s v="11"/>
    <s v="6100"/>
    <n v="15699.41"/>
    <n v="25.04"/>
    <s v="CREDITOR"/>
    <n v="0"/>
    <n v="0"/>
    <n v="0"/>
    <n v="0"/>
    <n v="25.04"/>
  </r>
  <r>
    <n v="60985307"/>
    <s v="N"/>
    <n v="21327766"/>
    <s v="3000015190330032"/>
    <s v="CIVIL"/>
    <d v="2023-06-29T00:00:00"/>
    <d v="2023-07-04T19:00:44"/>
    <m/>
    <d v="2023-07-04T00:00:00"/>
    <n v="507"/>
    <n v="7335"/>
    <s v="60985307"/>
    <s v="60985307"/>
    <m/>
    <m/>
    <n v="22788750"/>
    <m/>
    <m/>
    <m/>
    <s v="SOLINT"/>
    <s v="SOLINT"/>
    <s v="CCMS"/>
    <n v="21327766"/>
    <n v="6692.89"/>
    <m/>
    <s v="N"/>
    <n v="31"/>
    <d v="2023-07-04T19:00:54"/>
    <s v="Y"/>
    <s v="Preparation - other"/>
    <s v="VHCC"/>
    <s v="Profit Cost"/>
    <s v="SLR"/>
    <s v="Y"/>
    <n v="12.52"/>
    <n v="2.5"/>
    <x v="1"/>
    <s v="VALIDATED"/>
    <n v="1"/>
    <s v="01.11.80.209.6100.0000"/>
    <n v="12.52"/>
    <s v="11"/>
    <s v="6100"/>
    <n v="15699.41"/>
    <n v="12.52"/>
    <s v="CREDITOR"/>
    <n v="0"/>
    <n v="0"/>
    <n v="0"/>
    <n v="0"/>
    <n v="12.52"/>
  </r>
  <r>
    <n v="59988478"/>
    <s v="N"/>
    <n v="21327532"/>
    <s v="3000014327360010"/>
    <s v="CIVIL"/>
    <d v="2023-06-27T00:00:00"/>
    <d v="2023-07-04T19:00:44"/>
    <m/>
    <d v="2023-07-04T00:00:00"/>
    <n v="507"/>
    <n v="7335"/>
    <s v="59988478"/>
    <s v="59988478"/>
    <m/>
    <m/>
    <n v="22767290"/>
    <m/>
    <m/>
    <m/>
    <s v="SOLFIN"/>
    <s v="SOLFIN"/>
    <s v="CCMS"/>
    <n v="21327532"/>
    <n v="3397.07"/>
    <m/>
    <s v="N"/>
    <n v="42"/>
    <d v="2023-07-04T19:00:49"/>
    <s v="Y"/>
    <s v="Attendance upon client"/>
    <s v="VHCC"/>
    <s v="Profit Cost"/>
    <s v="SLR50"/>
    <s v="Y"/>
    <n v="42.93"/>
    <n v="8.59"/>
    <x v="1"/>
    <s v="VALIDATED"/>
    <n v="1"/>
    <s v="01.11.80.203.6100.0000"/>
    <n v="42.93"/>
    <s v="11"/>
    <s v="6100"/>
    <n v="15699.41"/>
    <n v="42.93"/>
    <s v="CREDITOR"/>
    <n v="0"/>
    <n v="0"/>
    <n v="0"/>
    <n v="0"/>
    <n v="42.93"/>
  </r>
  <r>
    <n v="59989660"/>
    <s v="N"/>
    <n v="21338335"/>
    <s v="3000014333930011"/>
    <s v="CIVIL"/>
    <d v="2023-06-26T00:00:00"/>
    <d v="2023-07-06T19:21:01"/>
    <m/>
    <d v="2023-07-06T00:00:00"/>
    <n v="507"/>
    <n v="7335"/>
    <s v="59989660"/>
    <s v="59989660"/>
    <m/>
    <m/>
    <n v="22760524"/>
    <m/>
    <m/>
    <m/>
    <s v="SOLFIN"/>
    <s v="SOLFIN"/>
    <s v="CCMS"/>
    <n v="21338335"/>
    <n v="18577.62"/>
    <m/>
    <s v="N"/>
    <n v="16"/>
    <d v="2023-07-06T19:21:20"/>
    <s v="Y"/>
    <s v="Final Hearing - 1 Day"/>
    <s v="Public Law Children"/>
    <s v="Advocacy"/>
    <s v="RAJ"/>
    <s v="Y"/>
    <n v="556.88"/>
    <n v="111.38"/>
    <x v="4"/>
    <s v="VALIDATED"/>
    <n v="1"/>
    <s v="01.11.80.308.6100.0000"/>
    <n v="556.88"/>
    <s v="11"/>
    <s v="6100"/>
    <n v="15699.41"/>
    <n v="556.88"/>
    <s v="CREDITOR"/>
    <n v="0"/>
    <n v="0"/>
    <n v="0"/>
    <n v="0"/>
    <n v="556.88"/>
  </r>
  <r>
    <n v="59988478"/>
    <s v="N"/>
    <n v="21327532"/>
    <s v="3000014327360010"/>
    <s v="CIVIL"/>
    <d v="2023-06-27T00:00:00"/>
    <d v="2023-07-04T19:00:44"/>
    <m/>
    <d v="2023-07-04T00:00:00"/>
    <n v="507"/>
    <n v="7335"/>
    <s v="59988478"/>
    <s v="59988478"/>
    <m/>
    <m/>
    <n v="22767290"/>
    <m/>
    <m/>
    <m/>
    <s v="SOLFIN"/>
    <s v="SOLFIN"/>
    <s v="CCMS"/>
    <n v="21327532"/>
    <n v="3397.07"/>
    <m/>
    <s v="N"/>
    <n v="21"/>
    <d v="2023-07-04T19:00:49"/>
    <s v="Y"/>
    <s v="Attendance upon client"/>
    <s v="VHCC"/>
    <s v="Profit Cost"/>
    <s v="SLR50"/>
    <s v="Y"/>
    <n v="32.2"/>
    <n v="6.44"/>
    <x v="1"/>
    <s v="VALIDATED"/>
    <n v="1"/>
    <s v="01.11.80.203.6100.0000"/>
    <n v="32.2"/>
    <s v="11"/>
    <s v="6100"/>
    <n v="15699.41"/>
    <n v="32.2"/>
    <s v="CREDITOR"/>
    <n v="0"/>
    <n v="0"/>
    <n v="0"/>
    <n v="0"/>
    <n v="32.2"/>
  </r>
  <r>
    <n v="59988478"/>
    <s v="N"/>
    <n v="21327532"/>
    <s v="3000014327360010"/>
    <s v="CIVIL"/>
    <d v="2023-06-27T00:00:00"/>
    <d v="2023-07-04T19:00:44"/>
    <m/>
    <d v="2023-07-04T00:00:00"/>
    <n v="507"/>
    <n v="7335"/>
    <s v="59988478"/>
    <s v="59988478"/>
    <m/>
    <m/>
    <n v="22767290"/>
    <m/>
    <m/>
    <m/>
    <s v="SOLFIN"/>
    <s v="SOLFIN"/>
    <s v="CCMS"/>
    <n v="21327532"/>
    <n v="3397.07"/>
    <m/>
    <s v="N"/>
    <n v="37"/>
    <d v="2023-07-04T19:00:49"/>
    <s v="Y"/>
    <s v="Preparation - other"/>
    <s v="VHCC"/>
    <s v="Profit Cost"/>
    <s v="SLR50"/>
    <s v="Y"/>
    <n v="21.46"/>
    <n v="4.29"/>
    <x v="1"/>
    <s v="VALIDATED"/>
    <n v="1"/>
    <s v="01.11.80.203.6100.0000"/>
    <n v="21.46"/>
    <s v="11"/>
    <s v="6100"/>
    <n v="15699.41"/>
    <n v="21.46"/>
    <s v="CREDITOR"/>
    <n v="0"/>
    <n v="0"/>
    <n v="0"/>
    <n v="0"/>
    <n v="21.46"/>
  </r>
  <r>
    <n v="60985307"/>
    <s v="N"/>
    <n v="21327766"/>
    <s v="3000015190330032"/>
    <s v="CIVIL"/>
    <d v="2023-06-29T00:00:00"/>
    <d v="2023-07-04T19:00:44"/>
    <m/>
    <d v="2023-07-04T00:00:00"/>
    <n v="507"/>
    <n v="7335"/>
    <s v="60985307"/>
    <s v="60985307"/>
    <m/>
    <m/>
    <n v="22788750"/>
    <m/>
    <m/>
    <m/>
    <s v="SOLINT"/>
    <s v="SOLINT"/>
    <s v="CCMS"/>
    <n v="21327766"/>
    <n v="6692.89"/>
    <m/>
    <s v="N"/>
    <n v="54"/>
    <d v="2023-07-04T19:00:54"/>
    <s v="Y"/>
    <s v="Preparation - drafting attendance n"/>
    <s v="VHCC"/>
    <s v="Profit Cost"/>
    <s v="SLR"/>
    <s v="Y"/>
    <n v="21.47"/>
    <n v="4.29"/>
    <x v="1"/>
    <s v="VALIDATED"/>
    <n v="1"/>
    <s v="01.11.80.209.6100.0000"/>
    <n v="21.47"/>
    <s v="11"/>
    <s v="6100"/>
    <n v="15699.41"/>
    <n v="21.47"/>
    <s v="CREDITOR"/>
    <n v="0"/>
    <n v="0"/>
    <n v="0"/>
    <n v="0"/>
    <n v="21.47"/>
  </r>
  <r>
    <n v="54298401"/>
    <s v="N"/>
    <n v="21319097"/>
    <s v="3000012964040004"/>
    <s v="CIVIL"/>
    <d v="2023-06-19T00:00:00"/>
    <d v="2023-07-03T19:01:49"/>
    <m/>
    <d v="2023-07-03T00:00:00"/>
    <n v="507"/>
    <n v="7335"/>
    <s v="54298401"/>
    <s v="54298401"/>
    <m/>
    <m/>
    <n v="22718764"/>
    <m/>
    <m/>
    <m/>
    <s v="SOLFIN"/>
    <s v="SOLFIN"/>
    <s v="CCMS"/>
    <n v="21319097"/>
    <n v="406.57"/>
    <m/>
    <s v="N"/>
    <n v="1"/>
    <d v="2023-07-03T19:02:11"/>
    <s v="Y"/>
    <s v="Preparation - other"/>
    <s v="Non Family Hourly Rates"/>
    <s v="Profit Cost"/>
    <s v="SM"/>
    <s v="Y"/>
    <n v="18.9"/>
    <n v="3.78"/>
    <x v="3"/>
    <s v="VALIDATED"/>
    <n v="1"/>
    <s v="01.11.80.208.6100.0000"/>
    <n v="18.9"/>
    <s v="11"/>
    <s v="6100"/>
    <n v="15699.41"/>
    <n v="18.9"/>
    <s v="CREDITOR"/>
    <n v="0"/>
    <n v="0"/>
    <n v="0"/>
    <n v="0"/>
    <n v="18.9"/>
  </r>
  <r>
    <n v="61718760"/>
    <s v="N"/>
    <n v="21395045"/>
    <s v="3000015806460004"/>
    <s v="CIVIL"/>
    <d v="2023-06-27T00:00:00"/>
    <d v="2023-07-19T19:02:01"/>
    <m/>
    <d v="2023-07-19T00:00:00"/>
    <n v="507"/>
    <n v="7335"/>
    <s v="61718760"/>
    <s v="61718760"/>
    <m/>
    <m/>
    <n v="22767438"/>
    <m/>
    <m/>
    <m/>
    <s v="SOLFIN"/>
    <s v="SOLFIN"/>
    <s v="CCMS"/>
    <n v="21395045"/>
    <n v="2548.79"/>
    <m/>
    <s v="N"/>
    <n v="31"/>
    <d v="2023-07-19T19:02:15"/>
    <s v="Y"/>
    <s v="Preparation - other"/>
    <s v="Non Family Hourly Rates"/>
    <s v="Profit Cost"/>
    <s v="OAI"/>
    <s v="Y"/>
    <n v="12.6"/>
    <n v="2.52"/>
    <x v="5"/>
    <s v="VALIDATED"/>
    <n v="1"/>
    <s v="01.11.80.208.6100.0000"/>
    <n v="12.6"/>
    <s v="11"/>
    <s v="6100"/>
    <n v="15699.41"/>
    <n v="12.6"/>
    <s v="CREDITOR"/>
    <n v="0"/>
    <n v="0"/>
    <n v="0"/>
    <n v="0"/>
    <n v="12.6"/>
  </r>
  <r>
    <n v="59988478"/>
    <s v="N"/>
    <n v="21327532"/>
    <s v="3000014327360010"/>
    <s v="CIVIL"/>
    <d v="2023-06-27T00:00:00"/>
    <d v="2023-07-04T19:00:44"/>
    <m/>
    <d v="2023-07-04T00:00:00"/>
    <n v="507"/>
    <n v="7335"/>
    <s v="59988478"/>
    <s v="59988478"/>
    <m/>
    <m/>
    <n v="22767290"/>
    <m/>
    <m/>
    <m/>
    <s v="SOLFIN"/>
    <s v="SOLFIN"/>
    <s v="CCMS"/>
    <n v="21327532"/>
    <n v="3397.07"/>
    <m/>
    <s v="N"/>
    <n v="27"/>
    <d v="2023-07-04T19:00:49"/>
    <s v="Y"/>
    <s v="Attendance upon client"/>
    <s v="VHCC"/>
    <s v="Profit Cost"/>
    <s v="SLR50"/>
    <s v="Y"/>
    <n v="32.2"/>
    <n v="6.44"/>
    <x v="1"/>
    <s v="VALIDATED"/>
    <n v="1"/>
    <s v="01.11.80.203.6100.0000"/>
    <n v="32.2"/>
    <s v="11"/>
    <s v="6100"/>
    <n v="15699.41"/>
    <n v="32.2"/>
    <s v="CREDITOR"/>
    <n v="0"/>
    <n v="0"/>
    <n v="0"/>
    <n v="0"/>
    <n v="32.2"/>
  </r>
  <r>
    <n v="61718760"/>
    <s v="N"/>
    <n v="21395045"/>
    <s v="3000015806460004"/>
    <s v="CIVIL"/>
    <d v="2023-06-27T00:00:00"/>
    <d v="2023-07-19T19:02:01"/>
    <m/>
    <d v="2023-07-19T00:00:00"/>
    <n v="507"/>
    <n v="7335"/>
    <s v="61718760"/>
    <s v="61718760"/>
    <m/>
    <m/>
    <n v="22767438"/>
    <m/>
    <m/>
    <m/>
    <s v="SOLFIN"/>
    <s v="SOLFIN"/>
    <s v="CCMS"/>
    <n v="21395045"/>
    <n v="2548.79"/>
    <m/>
    <s v="N"/>
    <n v="18"/>
    <d v="2023-07-19T19:02:15"/>
    <s v="Y"/>
    <s v="Preparation - other"/>
    <s v="Non Family Hourly Rates"/>
    <s v="Profit Cost"/>
    <s v="OAI"/>
    <s v="Y"/>
    <n v="12.6"/>
    <n v="2.52"/>
    <x v="5"/>
    <s v="VALIDATED"/>
    <n v="1"/>
    <s v="01.11.80.208.6100.0000"/>
    <n v="12.6"/>
    <s v="11"/>
    <s v="6100"/>
    <n v="15699.41"/>
    <n v="12.6"/>
    <s v="CREDITOR"/>
    <n v="0"/>
    <n v="0"/>
    <n v="0"/>
    <n v="0"/>
    <n v="12.6"/>
  </r>
  <r>
    <n v="54298401"/>
    <s v="N"/>
    <n v="21319097"/>
    <s v="3000012964040004"/>
    <s v="CIVIL"/>
    <d v="2023-06-19T00:00:00"/>
    <d v="2023-07-03T19:01:49"/>
    <m/>
    <d v="2023-07-03T00:00:00"/>
    <n v="507"/>
    <n v="7335"/>
    <s v="54298401"/>
    <s v="54298401"/>
    <m/>
    <m/>
    <n v="22718764"/>
    <m/>
    <m/>
    <m/>
    <s v="SOLFIN"/>
    <s v="SOLFIN"/>
    <s v="CCMS"/>
    <n v="21319097"/>
    <n v="406.57"/>
    <m/>
    <s v="N"/>
    <n v="5"/>
    <d v="2023-07-03T19:02:11"/>
    <s v="Y"/>
    <s v="Preparation - other"/>
    <s v="Non Family Hourly Rates"/>
    <s v="Profit Cost"/>
    <s v="SM"/>
    <s v="Y"/>
    <n v="18.9"/>
    <n v="3.78"/>
    <x v="3"/>
    <s v="VALIDATED"/>
    <n v="1"/>
    <s v="01.11.80.208.6100.0000"/>
    <n v="18.9"/>
    <s v="11"/>
    <s v="6100"/>
    <n v="15699.41"/>
    <n v="18.9"/>
    <s v="CREDITOR"/>
    <n v="0"/>
    <n v="0"/>
    <n v="0"/>
    <n v="0"/>
    <n v="18.9"/>
  </r>
  <r>
    <n v="59988478"/>
    <s v="N"/>
    <n v="21327532"/>
    <s v="3000014327360010"/>
    <s v="CIVIL"/>
    <d v="2023-06-27T00:00:00"/>
    <d v="2023-07-04T19:00:44"/>
    <m/>
    <d v="2023-07-04T00:00:00"/>
    <n v="507"/>
    <n v="7335"/>
    <s v="59988478"/>
    <s v="59988478"/>
    <m/>
    <m/>
    <n v="22767290"/>
    <m/>
    <m/>
    <m/>
    <s v="SOLFIN"/>
    <s v="SOLFIN"/>
    <s v="CCMS"/>
    <n v="21327532"/>
    <n v="3397.07"/>
    <m/>
    <s v="N"/>
    <n v="56"/>
    <d v="2023-07-04T19:00:49"/>
    <s v="Y"/>
    <s v="Item - Routine Telephone Call"/>
    <s v="VHCC"/>
    <s v="Profit Cost"/>
    <s v="SLR"/>
    <s v="Y"/>
    <n v="26.18"/>
    <n v="5.24"/>
    <x v="1"/>
    <s v="VALIDATED"/>
    <n v="1"/>
    <s v="01.11.80.203.6100.0000"/>
    <n v="26.18"/>
    <s v="11"/>
    <s v="6100"/>
    <n v="15699.41"/>
    <n v="26.18"/>
    <s v="CREDITOR"/>
    <n v="0"/>
    <n v="0"/>
    <n v="0"/>
    <n v="0"/>
    <n v="26.18"/>
  </r>
  <r>
    <n v="61718760"/>
    <s v="N"/>
    <n v="21395045"/>
    <s v="3000015806460004"/>
    <s v="CIVIL"/>
    <d v="2023-06-27T00:00:00"/>
    <d v="2023-07-19T19:02:01"/>
    <m/>
    <d v="2023-07-19T00:00:00"/>
    <n v="507"/>
    <n v="7335"/>
    <s v="61718760"/>
    <s v="61718760"/>
    <m/>
    <m/>
    <n v="22767438"/>
    <m/>
    <m/>
    <m/>
    <s v="SOLFIN"/>
    <s v="SOLFIN"/>
    <s v="CCMS"/>
    <n v="21395045"/>
    <n v="2548.79"/>
    <m/>
    <s v="N"/>
    <n v="2"/>
    <d v="2023-07-19T19:02:15"/>
    <s v="N"/>
    <s v="Court Fee"/>
    <s v="Non Family Hourly Rates"/>
    <s v="Non Expert Disbursement"/>
    <s v="OAI"/>
    <s v="N"/>
    <n v="147.86"/>
    <n v="0"/>
    <x v="5"/>
    <s v="VALIDATED"/>
    <n v="1"/>
    <s v="01.11.80.208.6300.0000"/>
    <n v="147.86"/>
    <s v="11"/>
    <s v="6300"/>
    <n v="15699.41"/>
    <n v="147.86"/>
    <s v="CREDITOR"/>
    <n v="0"/>
    <n v="0"/>
    <n v="0"/>
    <n v="0"/>
    <n v="147.86"/>
  </r>
  <r>
    <n v="59988478"/>
    <s v="N"/>
    <n v="21327532"/>
    <s v="3000014327360010"/>
    <s v="CIVIL"/>
    <d v="2023-06-27T00:00:00"/>
    <d v="2023-07-04T19:00:44"/>
    <m/>
    <d v="2023-07-04T00:00:00"/>
    <n v="507"/>
    <n v="7335"/>
    <s v="59988478"/>
    <s v="59988478"/>
    <m/>
    <m/>
    <n v="22767290"/>
    <m/>
    <m/>
    <m/>
    <s v="SOLFIN"/>
    <s v="SOLFIN"/>
    <s v="CCMS"/>
    <n v="21327532"/>
    <n v="3397.07"/>
    <m/>
    <s v="N"/>
    <n v="24"/>
    <d v="2023-07-04T19:00:49"/>
    <s v="Y"/>
    <s v="Attendance upon other side"/>
    <s v="VHCC"/>
    <s v="Profit Cost"/>
    <s v="SLR50"/>
    <s v="Y"/>
    <n v="214.64"/>
    <n v="42.93"/>
    <x v="1"/>
    <s v="VALIDATED"/>
    <n v="1"/>
    <s v="01.11.80.203.6100.0000"/>
    <n v="214.64"/>
    <s v="11"/>
    <s v="6100"/>
    <n v="15699.41"/>
    <n v="214.64"/>
    <s v="CREDITOR"/>
    <n v="0"/>
    <n v="0"/>
    <n v="0"/>
    <n v="0"/>
    <n v="214.64"/>
  </r>
  <r>
    <n v="60985307"/>
    <s v="N"/>
    <n v="21327766"/>
    <s v="3000015190330032"/>
    <s v="CIVIL"/>
    <d v="2023-06-29T00:00:00"/>
    <d v="2023-07-04T19:00:44"/>
    <m/>
    <d v="2023-07-04T00:00:00"/>
    <n v="507"/>
    <n v="7335"/>
    <s v="60985307"/>
    <s v="60985307"/>
    <m/>
    <m/>
    <n v="22788750"/>
    <m/>
    <m/>
    <m/>
    <s v="SOLINT"/>
    <s v="SOLINT"/>
    <s v="CCMS"/>
    <n v="21327766"/>
    <n v="6692.89"/>
    <m/>
    <s v="N"/>
    <n v="60"/>
    <d v="2023-07-04T19:00:54"/>
    <s v="Y"/>
    <s v="Preparation - other"/>
    <s v="VHCC"/>
    <s v="Profit Cost"/>
    <s v="SLR"/>
    <s v="Y"/>
    <n v="25.04"/>
    <n v="5.01"/>
    <x v="1"/>
    <s v="VALIDATED"/>
    <n v="1"/>
    <s v="01.11.80.209.6100.0000"/>
    <n v="25.04"/>
    <s v="11"/>
    <s v="6100"/>
    <n v="15699.41"/>
    <n v="25.04"/>
    <s v="CREDITOR"/>
    <n v="0"/>
    <n v="0"/>
    <n v="0"/>
    <n v="0"/>
    <n v="25.04"/>
  </r>
  <r>
    <n v="61718760"/>
    <s v="N"/>
    <n v="21395045"/>
    <s v="3000015806460004"/>
    <s v="CIVIL"/>
    <d v="2023-06-27T00:00:00"/>
    <d v="2023-07-19T19:02:01"/>
    <m/>
    <d v="2023-07-19T00:00:00"/>
    <n v="507"/>
    <n v="7335"/>
    <s v="61718760"/>
    <s v="61718760"/>
    <m/>
    <m/>
    <n v="22767438"/>
    <m/>
    <m/>
    <m/>
    <s v="SOLFIN"/>
    <s v="SOLFIN"/>
    <s v="CCMS"/>
    <n v="21395045"/>
    <n v="2548.79"/>
    <m/>
    <s v="N"/>
    <n v="13"/>
    <d v="2023-07-19T19:02:15"/>
    <s v="Y"/>
    <s v="Preparation - other"/>
    <s v="Non Family Hourly Rates"/>
    <s v="Profit Cost"/>
    <s v="OAI"/>
    <s v="Y"/>
    <n v="18.9"/>
    <n v="3.78"/>
    <x v="5"/>
    <s v="VALIDATED"/>
    <n v="1"/>
    <s v="01.11.80.208.6100.0000"/>
    <n v="18.9"/>
    <s v="11"/>
    <s v="6100"/>
    <n v="15699.41"/>
    <n v="18.9"/>
    <s v="CREDITOR"/>
    <n v="0"/>
    <n v="0"/>
    <n v="0"/>
    <n v="0"/>
    <n v="18.9"/>
  </r>
  <r>
    <n v="59989660"/>
    <s v="N"/>
    <n v="21338335"/>
    <s v="3000014333930011"/>
    <s v="CIVIL"/>
    <d v="2023-06-26T00:00:00"/>
    <d v="2023-07-06T19:21:01"/>
    <m/>
    <d v="2023-07-06T00:00:00"/>
    <n v="507"/>
    <n v="7335"/>
    <s v="59989660"/>
    <s v="59989660"/>
    <m/>
    <m/>
    <n v="22760524"/>
    <m/>
    <m/>
    <m/>
    <s v="SOLFIN"/>
    <s v="SOLFIN"/>
    <s v="CCMS"/>
    <n v="21338335"/>
    <n v="18577.62"/>
    <m/>
    <s v="N"/>
    <n v="17"/>
    <d v="2023-07-06T19:21:20"/>
    <s v="Y"/>
    <s v="Interim Hearing Court Bundle/Advoca"/>
    <s v="Public Law Children"/>
    <s v="Advocacy"/>
    <s v="RAJ"/>
    <s v="Y"/>
    <n v="89.09999999999999"/>
    <n v="17.82"/>
    <x v="4"/>
    <s v="VALIDATED"/>
    <n v="1"/>
    <s v="01.11.80.308.6100.0000"/>
    <n v="89.09999999999999"/>
    <s v="11"/>
    <s v="6100"/>
    <n v="15699.41"/>
    <n v="89.09999999999999"/>
    <s v="CREDITOR"/>
    <n v="0"/>
    <n v="0"/>
    <n v="0"/>
    <n v="0"/>
    <n v="89.09999999999999"/>
  </r>
  <r>
    <n v="60985307"/>
    <s v="N"/>
    <n v="21327766"/>
    <s v="3000015190330032"/>
    <s v="CIVIL"/>
    <d v="2023-06-29T00:00:00"/>
    <d v="2023-07-04T19:00:44"/>
    <m/>
    <d v="2023-07-04T00:00:00"/>
    <n v="507"/>
    <n v="7335"/>
    <s v="60985307"/>
    <s v="60985307"/>
    <m/>
    <m/>
    <n v="22788750"/>
    <m/>
    <m/>
    <m/>
    <s v="SOLINT"/>
    <s v="SOLINT"/>
    <s v="CCMS"/>
    <n v="21327766"/>
    <n v="6692.89"/>
    <m/>
    <s v="N"/>
    <n v="44"/>
    <d v="2023-07-04T19:00:54"/>
    <s v="Y"/>
    <s v="Preparation - drafting bill/claim f"/>
    <s v="VHCC"/>
    <s v="Profit Cost"/>
    <s v="SLR"/>
    <s v="Y"/>
    <n v="14.31"/>
    <n v="2.86"/>
    <x v="1"/>
    <s v="VALIDATED"/>
    <n v="1"/>
    <s v="01.11.80.209.6100.0000"/>
    <n v="14.31"/>
    <s v="11"/>
    <s v="6100"/>
    <n v="15699.41"/>
    <n v="14.31"/>
    <s v="CREDITOR"/>
    <n v="0"/>
    <n v="0"/>
    <n v="0"/>
    <n v="0"/>
    <n v="14.31"/>
  </r>
  <r>
    <n v="60985307"/>
    <s v="N"/>
    <n v="21327766"/>
    <s v="3000015190330032"/>
    <s v="CIVIL"/>
    <d v="2023-06-29T00:00:00"/>
    <d v="2023-07-04T19:00:44"/>
    <m/>
    <d v="2023-07-04T00:00:00"/>
    <n v="507"/>
    <n v="7335"/>
    <s v="60985307"/>
    <s v="60985307"/>
    <m/>
    <m/>
    <n v="22788750"/>
    <m/>
    <m/>
    <m/>
    <s v="SOLINT"/>
    <s v="SOLINT"/>
    <s v="CCMS"/>
    <n v="21327766"/>
    <n v="6692.89"/>
    <m/>
    <s v="N"/>
    <n v="56"/>
    <d v="2023-07-04T19:00:54"/>
    <s v="Y"/>
    <s v="Preparation - other"/>
    <s v="VHCC"/>
    <s v="Profit Cost"/>
    <s v="SLR"/>
    <s v="Y"/>
    <n v="25.04"/>
    <n v="5.01"/>
    <x v="1"/>
    <s v="VALIDATED"/>
    <n v="1"/>
    <s v="01.11.80.209.6100.0000"/>
    <n v="25.04"/>
    <s v="11"/>
    <s v="6100"/>
    <n v="15699.41"/>
    <n v="25.04"/>
    <s v="CREDITOR"/>
    <n v="0"/>
    <n v="0"/>
    <n v="0"/>
    <n v="0"/>
    <n v="25.04"/>
  </r>
  <r>
    <n v="59988478"/>
    <s v="N"/>
    <n v="21327532"/>
    <s v="3000014327360010"/>
    <s v="CIVIL"/>
    <d v="2023-06-27T00:00:00"/>
    <d v="2023-07-04T19:00:44"/>
    <m/>
    <d v="2023-07-04T00:00:00"/>
    <n v="507"/>
    <n v="7335"/>
    <s v="59988478"/>
    <s v="59988478"/>
    <m/>
    <m/>
    <n v="22767290"/>
    <m/>
    <m/>
    <m/>
    <s v="SOLFIN"/>
    <s v="SOLFIN"/>
    <s v="CCMS"/>
    <n v="21327532"/>
    <n v="3397.07"/>
    <m/>
    <s v="N"/>
    <n v="47"/>
    <d v="2023-07-04T19:00:49"/>
    <s v="Y"/>
    <s v="Preparation - other"/>
    <s v="VHCC"/>
    <s v="Profit Cost"/>
    <s v="SLR"/>
    <s v="Y"/>
    <n v="7.16"/>
    <n v="1.43"/>
    <x v="1"/>
    <s v="VALIDATED"/>
    <n v="1"/>
    <s v="01.11.80.203.6100.0000"/>
    <n v="7.16"/>
    <s v="11"/>
    <s v="6100"/>
    <n v="15699.41"/>
    <n v="7.16"/>
    <s v="CREDITOR"/>
    <n v="0"/>
    <n v="0"/>
    <n v="0"/>
    <n v="0"/>
    <n v="7.16"/>
  </r>
  <r>
    <n v="59989660"/>
    <s v="N"/>
    <n v="21338335"/>
    <s v="3000014333930011"/>
    <s v="CIVIL"/>
    <d v="2023-06-26T00:00:00"/>
    <d v="2023-07-06T19:21:01"/>
    <m/>
    <d v="2023-07-06T00:00:00"/>
    <n v="507"/>
    <n v="7335"/>
    <s v="59989660"/>
    <s v="59989660"/>
    <m/>
    <m/>
    <n v="22760524"/>
    <m/>
    <m/>
    <m/>
    <s v="SOLFIN"/>
    <s v="SOLFIN"/>
    <s v="CCMS"/>
    <n v="21338335"/>
    <n v="18577.62"/>
    <m/>
    <s v="N"/>
    <n v="9"/>
    <d v="2023-07-06T19:21:20"/>
    <s v="Y"/>
    <s v="Advocates Meeting"/>
    <s v="Public Law Children"/>
    <s v="Advocacy"/>
    <s v="RAJ"/>
    <s v="Y"/>
    <n v="140.99"/>
    <n v="28.2"/>
    <x v="4"/>
    <s v="VALIDATED"/>
    <n v="1"/>
    <s v="01.11.80.308.6100.0000"/>
    <n v="140.99"/>
    <s v="11"/>
    <s v="6100"/>
    <n v="15699.41"/>
    <n v="140.99"/>
    <s v="CREDITOR"/>
    <n v="0"/>
    <n v="0"/>
    <n v="0"/>
    <n v="0"/>
    <n v="140.99"/>
  </r>
  <r>
    <n v="59988478"/>
    <s v="N"/>
    <n v="21327532"/>
    <s v="3000014327360010"/>
    <s v="CIVIL"/>
    <d v="2023-06-27T00:00:00"/>
    <d v="2023-07-04T19:00:44"/>
    <m/>
    <d v="2023-07-04T00:00:00"/>
    <n v="507"/>
    <n v="7335"/>
    <s v="59988478"/>
    <s v="59988478"/>
    <m/>
    <m/>
    <n v="22767290"/>
    <m/>
    <m/>
    <m/>
    <s v="SOLFIN"/>
    <s v="SOLFIN"/>
    <s v="CCMS"/>
    <n v="21327532"/>
    <n v="3397.07"/>
    <m/>
    <s v="N"/>
    <n v="16"/>
    <d v="2023-07-04T19:00:49"/>
    <s v="Y"/>
    <s v="Preparation - other"/>
    <s v="VHCC"/>
    <s v="Profit Cost"/>
    <s v="SLR50"/>
    <s v="Y"/>
    <n v="21.46"/>
    <n v="4.29"/>
    <x v="1"/>
    <s v="VALIDATED"/>
    <n v="1"/>
    <s v="01.11.80.203.6100.0000"/>
    <n v="21.46"/>
    <s v="11"/>
    <s v="6100"/>
    <n v="15699.41"/>
    <n v="21.46"/>
    <s v="CREDITOR"/>
    <n v="0"/>
    <n v="0"/>
    <n v="0"/>
    <n v="0"/>
    <n v="21.46"/>
  </r>
  <r>
    <n v="60985307"/>
    <s v="N"/>
    <n v="21327766"/>
    <s v="3000015190330032"/>
    <s v="CIVIL"/>
    <d v="2023-06-29T00:00:00"/>
    <d v="2023-07-04T19:00:44"/>
    <m/>
    <d v="2023-07-04T00:00:00"/>
    <n v="507"/>
    <n v="7335"/>
    <s v="60985307"/>
    <s v="60985307"/>
    <m/>
    <m/>
    <n v="22788750"/>
    <m/>
    <m/>
    <m/>
    <s v="SOLINT"/>
    <s v="SOLINT"/>
    <s v="CCMS"/>
    <n v="21327766"/>
    <n v="6692.89"/>
    <m/>
    <s v="N"/>
    <n v="17"/>
    <d v="2023-07-04T19:00:54"/>
    <s v="Y"/>
    <s v="Preparation - drafting bill/claim f"/>
    <s v="VHCC"/>
    <s v="Profit Cost"/>
    <s v="SLR"/>
    <s v="Y"/>
    <n v="14.31"/>
    <n v="2.86"/>
    <x v="1"/>
    <s v="VALIDATED"/>
    <n v="1"/>
    <s v="01.11.80.209.6100.0000"/>
    <n v="14.31"/>
    <s v="11"/>
    <s v="6100"/>
    <n v="15699.41"/>
    <n v="14.31"/>
    <s v="CREDITOR"/>
    <n v="0"/>
    <n v="0"/>
    <n v="0"/>
    <n v="0"/>
    <n v="14.31"/>
  </r>
  <r>
    <n v="61718760"/>
    <s v="N"/>
    <n v="21395045"/>
    <s v="3000015806460004"/>
    <s v="CIVIL"/>
    <d v="2023-06-27T00:00:00"/>
    <d v="2023-07-19T19:02:01"/>
    <m/>
    <d v="2023-07-19T00:00:00"/>
    <n v="507"/>
    <n v="7335"/>
    <s v="61718760"/>
    <s v="61718760"/>
    <m/>
    <m/>
    <n v="22767438"/>
    <m/>
    <m/>
    <m/>
    <s v="SOLFIN"/>
    <s v="SOLFIN"/>
    <s v="CCMS"/>
    <n v="21395045"/>
    <n v="2548.79"/>
    <m/>
    <s v="N"/>
    <n v="16"/>
    <d v="2023-07-19T19:02:15"/>
    <s v="Y"/>
    <s v="Preparation - other"/>
    <s v="Non Family Hourly Rates"/>
    <s v="Profit Cost"/>
    <s v="OAI"/>
    <s v="Y"/>
    <n v="6.3"/>
    <n v="1.26"/>
    <x v="5"/>
    <s v="VALIDATED"/>
    <n v="1"/>
    <s v="01.11.80.208.6100.0000"/>
    <n v="6.3"/>
    <s v="11"/>
    <s v="6100"/>
    <n v="15699.41"/>
    <n v="6.3"/>
    <s v="CREDITOR"/>
    <n v="0"/>
    <n v="0"/>
    <n v="0"/>
    <n v="0"/>
    <n v="6.3"/>
  </r>
  <r>
    <n v="60733433"/>
    <s v="N"/>
    <n v="21338488"/>
    <s v="3000014976460003"/>
    <s v="CIVIL"/>
    <d v="2023-06-27T00:00:00"/>
    <d v="2023-07-06T19:21:01"/>
    <m/>
    <d v="2023-07-06T00:00:00"/>
    <n v="507"/>
    <n v="7335"/>
    <s v="60733433"/>
    <s v="60733433"/>
    <m/>
    <m/>
    <n v="22772112"/>
    <m/>
    <m/>
    <m/>
    <s v="SOLFIN"/>
    <s v="SOLFIN"/>
    <s v="CCMS"/>
    <n v="21338488"/>
    <n v="0"/>
    <m/>
    <s v="N"/>
    <n v="1"/>
    <d v="2023-07-06T19:21:26"/>
    <s v="N"/>
    <s v="NIL BILL"/>
    <s v="Non Family Hourly Rates"/>
    <s v="Profit Cost"/>
    <s v="Olukemi Ajayi"/>
    <s v="N"/>
    <n v="0"/>
    <n v="0"/>
    <x v="4"/>
    <s v="VALIDATED"/>
    <n v="1"/>
    <s v="01.11.80.208.6100.0000"/>
    <n v="0"/>
    <s v="11"/>
    <s v="6100"/>
    <n v="15699.41"/>
    <n v="0"/>
    <s v="CREDITOR"/>
    <n v="0"/>
    <n v="0"/>
    <n v="0"/>
    <n v="0"/>
    <n v="0"/>
  </r>
  <r>
    <n v="59989660"/>
    <s v="N"/>
    <n v="21338335"/>
    <s v="3000014333930011"/>
    <s v="CIVIL"/>
    <d v="2023-06-26T00:00:00"/>
    <d v="2023-07-06T19:21:01"/>
    <m/>
    <d v="2023-07-06T00:00:00"/>
    <n v="507"/>
    <n v="7335"/>
    <s v="59989660"/>
    <s v="59989660"/>
    <m/>
    <m/>
    <n v="22760524"/>
    <m/>
    <m/>
    <m/>
    <s v="SOLFIN"/>
    <s v="SOLFIN"/>
    <s v="CCMS"/>
    <n v="21338335"/>
    <n v="18577.62"/>
    <m/>
    <s v="N"/>
    <n v="12"/>
    <d v="2023-07-06T19:21:20"/>
    <s v="Y"/>
    <s v="Hearing Unit 2.31 - 5.00 Hours"/>
    <s v="Public Law Children"/>
    <s v="Advocacy"/>
    <s v="RAJ"/>
    <s v="Y"/>
    <n v="476.92"/>
    <n v="95.38"/>
    <x v="4"/>
    <s v="VALIDATED"/>
    <n v="1"/>
    <s v="01.11.80.308.6100.0000"/>
    <n v="476.92"/>
    <s v="11"/>
    <s v="6100"/>
    <n v="15699.41"/>
    <n v="476.92"/>
    <s v="CREDITOR"/>
    <n v="0"/>
    <n v="0"/>
    <n v="0"/>
    <n v="0"/>
    <n v="476.92"/>
  </r>
  <r>
    <n v="60008418"/>
    <s v="N"/>
    <n v="21330495"/>
    <s v="3000014352040001"/>
    <s v="CIVIL"/>
    <d v="2023-06-22T00:00:00"/>
    <d v="2023-07-05T19:01:47"/>
    <m/>
    <d v="2023-07-05T00:00:00"/>
    <n v="507"/>
    <n v="7335"/>
    <s v="60008418"/>
    <s v="60008418"/>
    <m/>
    <m/>
    <n v="22743350"/>
    <m/>
    <m/>
    <m/>
    <s v="SOLFIN"/>
    <s v="SOLFIN"/>
    <s v="CCMS"/>
    <n v="21330495"/>
    <n v="0"/>
    <m/>
    <s v="N"/>
    <n v="1"/>
    <d v="2023-07-05T19:01:50"/>
    <s v="N"/>
    <s v="NIL BILL"/>
    <s v="Public Law Children"/>
    <s v="Profit Cost"/>
    <s v="Rajinder Garvey"/>
    <s v="N"/>
    <n v="0"/>
    <n v="0"/>
    <x v="6"/>
    <s v="VALIDATED"/>
    <n v="1"/>
    <s v="01.11.80.308.6100.0000"/>
    <n v="0"/>
    <s v="11"/>
    <s v="6100"/>
    <n v="15699.41"/>
    <n v="0"/>
    <s v="CREDITOR"/>
    <n v="0"/>
    <n v="0"/>
    <n v="0"/>
    <n v="0"/>
    <n v="0"/>
  </r>
  <r>
    <n v="60985307"/>
    <s v="N"/>
    <n v="21327766"/>
    <s v="3000015190330032"/>
    <s v="CIVIL"/>
    <d v="2023-06-29T00:00:00"/>
    <d v="2023-07-04T19:00:44"/>
    <m/>
    <d v="2023-07-04T00:00:00"/>
    <n v="507"/>
    <n v="7335"/>
    <s v="60985307"/>
    <s v="60985307"/>
    <m/>
    <m/>
    <n v="22788750"/>
    <m/>
    <m/>
    <m/>
    <s v="SOLINT"/>
    <s v="SOLINT"/>
    <s v="CCMS"/>
    <n v="21327766"/>
    <n v="6692.89"/>
    <m/>
    <s v="N"/>
    <n v="76"/>
    <d v="2023-07-04T19:00:54"/>
    <s v="Y"/>
    <s v="Attendance upon Counsel"/>
    <s v="VHCC"/>
    <s v="Profit Cost"/>
    <s v="JLM"/>
    <s v="Y"/>
    <n v="113.22"/>
    <n v="22.64"/>
    <x v="1"/>
    <s v="VALIDATED"/>
    <n v="1"/>
    <s v="01.11.80.209.6100.0000"/>
    <n v="113.22"/>
    <s v="11"/>
    <s v="6100"/>
    <n v="15699.41"/>
    <n v="113.22"/>
    <s v="CREDITOR"/>
    <n v="0"/>
    <n v="0"/>
    <n v="0"/>
    <n v="0"/>
    <n v="113.22"/>
  </r>
  <r>
    <n v="60985307"/>
    <s v="N"/>
    <n v="21327766"/>
    <s v="3000015190330032"/>
    <s v="CIVIL"/>
    <d v="2023-06-29T00:00:00"/>
    <d v="2023-07-04T19:00:44"/>
    <m/>
    <d v="2023-07-04T00:00:00"/>
    <n v="507"/>
    <n v="7335"/>
    <s v="60985307"/>
    <s v="60985307"/>
    <m/>
    <m/>
    <n v="22788750"/>
    <m/>
    <m/>
    <m/>
    <s v="SOLINT"/>
    <s v="SOLINT"/>
    <s v="CCMS"/>
    <n v="21327766"/>
    <n v="6692.89"/>
    <m/>
    <s v="N"/>
    <n v="10"/>
    <d v="2023-07-04T19:00:54"/>
    <s v="Y"/>
    <s v="Preparation - other"/>
    <s v="VHCC"/>
    <s v="Profit Cost"/>
    <s v="SLR"/>
    <s v="Y"/>
    <n v="25.04"/>
    <n v="5.01"/>
    <x v="1"/>
    <s v="VALIDATED"/>
    <n v="1"/>
    <s v="01.11.80.209.6100.0000"/>
    <n v="25.04"/>
    <s v="11"/>
    <s v="6100"/>
    <n v="15699.41"/>
    <n v="25.04"/>
    <s v="CREDITOR"/>
    <n v="0"/>
    <n v="0"/>
    <n v="0"/>
    <n v="0"/>
    <n v="25.04"/>
  </r>
  <r>
    <n v="59988478"/>
    <s v="N"/>
    <n v="21327532"/>
    <s v="3000014327360010"/>
    <s v="CIVIL"/>
    <d v="2023-06-27T00:00:00"/>
    <d v="2023-07-04T19:00:44"/>
    <m/>
    <d v="2023-07-04T00:00:00"/>
    <n v="507"/>
    <n v="7335"/>
    <s v="59988478"/>
    <s v="59988478"/>
    <m/>
    <m/>
    <n v="22767290"/>
    <m/>
    <m/>
    <m/>
    <s v="SOLFIN"/>
    <s v="SOLFIN"/>
    <s v="CCMS"/>
    <n v="21327532"/>
    <n v="3397.07"/>
    <m/>
    <s v="N"/>
    <n v="32"/>
    <d v="2023-07-04T19:00:49"/>
    <s v="Y"/>
    <s v="Preparation - other"/>
    <s v="VHCC"/>
    <s v="Profit Cost"/>
    <s v="SLR50"/>
    <s v="Y"/>
    <n v="21.46"/>
    <n v="4.29"/>
    <x v="1"/>
    <s v="VALIDATED"/>
    <n v="1"/>
    <s v="01.11.80.203.6100.0000"/>
    <n v="21.46"/>
    <s v="11"/>
    <s v="6100"/>
    <n v="15699.41"/>
    <n v="21.46"/>
    <s v="CREDITOR"/>
    <n v="0"/>
    <n v="0"/>
    <n v="0"/>
    <n v="0"/>
    <n v="21.46"/>
  </r>
  <r>
    <n v="61718760"/>
    <s v="N"/>
    <n v="21395045"/>
    <s v="3000015806460004"/>
    <s v="CIVIL"/>
    <d v="2023-06-27T00:00:00"/>
    <d v="2023-07-19T19:02:01"/>
    <m/>
    <d v="2023-07-19T00:00:00"/>
    <n v="507"/>
    <n v="7335"/>
    <s v="61718760"/>
    <s v="61718760"/>
    <m/>
    <m/>
    <n v="22767438"/>
    <m/>
    <m/>
    <m/>
    <s v="SOLFIN"/>
    <s v="SOLFIN"/>
    <s v="CCMS"/>
    <n v="21395045"/>
    <n v="2548.79"/>
    <m/>
    <s v="N"/>
    <n v="3"/>
    <d v="2023-07-19T19:02:15"/>
    <s v="Y"/>
    <s v="Land Registry Fees"/>
    <s v="Non Family Hourly Rates"/>
    <s v="Non Expert Disbursement"/>
    <s v="OAI"/>
    <s v="Y"/>
    <n v="3"/>
    <n v="0"/>
    <x v="5"/>
    <s v="VALIDATED"/>
    <n v="1"/>
    <s v="01.11.80.208.6300.0000"/>
    <n v="3"/>
    <s v="11"/>
    <s v="6300"/>
    <n v="15699.41"/>
    <n v="3"/>
    <s v="CREDITOR"/>
    <n v="0"/>
    <n v="0"/>
    <n v="0"/>
    <n v="0"/>
    <n v="3"/>
  </r>
  <r>
    <n v="59989660"/>
    <s v="N"/>
    <n v="21338335"/>
    <s v="3000014333930011"/>
    <s v="CIVIL"/>
    <d v="2023-06-26T00:00:00"/>
    <d v="2023-07-06T19:21:01"/>
    <m/>
    <d v="2023-07-06T00:00:00"/>
    <n v="507"/>
    <n v="7335"/>
    <s v="59989660"/>
    <s v="59989660"/>
    <m/>
    <m/>
    <n v="22760524"/>
    <m/>
    <m/>
    <m/>
    <s v="SOLFIN"/>
    <s v="SOLFIN"/>
    <s v="CCMS"/>
    <n v="21338335"/>
    <n v="18577.62"/>
    <m/>
    <s v="N"/>
    <n v="4"/>
    <d v="2023-07-06T19:21:20"/>
    <s v="Y"/>
    <s v="Disbursements (Summary)"/>
    <s v="Care Remuneration Hourly Rates"/>
    <s v="Non Expert Disbursement"/>
    <s v="RAG"/>
    <s v="Y"/>
    <n v="1018.27"/>
    <n v="203.65"/>
    <x v="4"/>
    <s v="VALIDATED"/>
    <n v="1"/>
    <s v="01.11.80.308.6300.0000"/>
    <n v="1018.27"/>
    <s v="11"/>
    <s v="6300"/>
    <n v="15699.41"/>
    <n v="1018.27"/>
    <s v="CREDITOR"/>
    <n v="0"/>
    <n v="0"/>
    <n v="0"/>
    <n v="0"/>
    <n v="1018.27"/>
  </r>
  <r>
    <n v="60985307"/>
    <s v="N"/>
    <n v="21327766"/>
    <s v="3000015190330032"/>
    <s v="CIVIL"/>
    <d v="2023-06-29T00:00:00"/>
    <d v="2023-07-04T19:00:44"/>
    <m/>
    <d v="2023-07-04T00:00:00"/>
    <n v="507"/>
    <n v="7335"/>
    <s v="60985307"/>
    <s v="60985307"/>
    <m/>
    <m/>
    <n v="22788750"/>
    <m/>
    <m/>
    <m/>
    <s v="SOLINT"/>
    <s v="SOLINT"/>
    <s v="CCMS"/>
    <n v="21327766"/>
    <n v="6692.89"/>
    <m/>
    <s v="N"/>
    <n v="52"/>
    <d v="2023-07-04T19:00:54"/>
    <s v="Y"/>
    <s v="Attendance upon Counsel"/>
    <s v="VHCC"/>
    <s v="Profit Cost"/>
    <s v="SLR"/>
    <s v="Y"/>
    <n v="53.28"/>
    <n v="10.66"/>
    <x v="1"/>
    <s v="VALIDATED"/>
    <n v="1"/>
    <s v="01.11.80.209.6100.0000"/>
    <n v="53.28"/>
    <s v="11"/>
    <s v="6100"/>
    <n v="15699.41"/>
    <n v="53.28"/>
    <s v="CREDITOR"/>
    <n v="0"/>
    <n v="0"/>
    <n v="0"/>
    <n v="0"/>
    <n v="53.28"/>
  </r>
  <r>
    <n v="60985307"/>
    <s v="N"/>
    <n v="21327766"/>
    <s v="3000015190330032"/>
    <s v="CIVIL"/>
    <d v="2023-06-29T00:00:00"/>
    <d v="2023-07-04T19:00:44"/>
    <m/>
    <d v="2023-07-04T00:00:00"/>
    <n v="507"/>
    <n v="7335"/>
    <s v="60985307"/>
    <s v="60985307"/>
    <m/>
    <m/>
    <n v="22788750"/>
    <m/>
    <m/>
    <m/>
    <s v="SOLINT"/>
    <s v="SOLINT"/>
    <s v="CCMS"/>
    <n v="21327766"/>
    <n v="6692.89"/>
    <m/>
    <s v="N"/>
    <n v="55"/>
    <d v="2023-07-04T19:00:54"/>
    <s v="Y"/>
    <s v="Preparation - other"/>
    <s v="VHCC"/>
    <s v="Profit Cost"/>
    <s v="SLR"/>
    <s v="Y"/>
    <n v="12.52"/>
    <n v="2.5"/>
    <x v="1"/>
    <s v="VALIDATED"/>
    <n v="1"/>
    <s v="01.11.80.209.6100.0000"/>
    <n v="12.52"/>
    <s v="11"/>
    <s v="6100"/>
    <n v="15699.41"/>
    <n v="12.52"/>
    <s v="CREDITOR"/>
    <n v="0"/>
    <n v="0"/>
    <n v="0"/>
    <n v="0"/>
    <n v="12.52"/>
  </r>
  <r>
    <n v="59988478"/>
    <s v="N"/>
    <n v="21327532"/>
    <s v="3000014327360010"/>
    <s v="CIVIL"/>
    <d v="2023-06-27T00:00:00"/>
    <d v="2023-07-04T19:00:44"/>
    <m/>
    <d v="2023-07-04T00:00:00"/>
    <n v="507"/>
    <n v="7335"/>
    <s v="59988478"/>
    <s v="59988478"/>
    <m/>
    <m/>
    <n v="22767290"/>
    <m/>
    <m/>
    <m/>
    <s v="SOLFIN"/>
    <s v="SOLFIN"/>
    <s v="CCMS"/>
    <n v="21327532"/>
    <n v="3397.07"/>
    <m/>
    <s v="N"/>
    <n v="23"/>
    <d v="2023-07-04T19:00:49"/>
    <s v="Y"/>
    <s v="Preparation - other"/>
    <s v="VHCC"/>
    <s v="Profit Cost"/>
    <s v="SLR50"/>
    <s v="Y"/>
    <n v="32.2"/>
    <n v="6.44"/>
    <x v="1"/>
    <s v="VALIDATED"/>
    <n v="1"/>
    <s v="01.11.80.203.6100.0000"/>
    <n v="32.2"/>
    <s v="11"/>
    <s v="6100"/>
    <n v="15699.41"/>
    <n v="32.2"/>
    <s v="CREDITOR"/>
    <n v="0"/>
    <n v="0"/>
    <n v="0"/>
    <n v="0"/>
    <n v="32.2"/>
  </r>
  <r>
    <n v="59988478"/>
    <s v="N"/>
    <n v="21327532"/>
    <s v="3000014327360010"/>
    <s v="CIVIL"/>
    <d v="2023-06-27T00:00:00"/>
    <d v="2023-07-04T19:00:44"/>
    <m/>
    <d v="2023-07-04T00:00:00"/>
    <n v="507"/>
    <n v="7335"/>
    <s v="59988478"/>
    <s v="59988478"/>
    <m/>
    <m/>
    <n v="22767290"/>
    <m/>
    <m/>
    <m/>
    <s v="SOLFIN"/>
    <s v="SOLFIN"/>
    <s v="CCMS"/>
    <n v="21327532"/>
    <n v="3397.07"/>
    <m/>
    <s v="N"/>
    <n v="48"/>
    <d v="2023-07-04T19:00:49"/>
    <s v="Y"/>
    <s v="Preparation - other"/>
    <s v="VHCC"/>
    <s v="Profit Cost"/>
    <s v="SLR"/>
    <s v="Y"/>
    <n v="7.16"/>
    <n v="1.43"/>
    <x v="1"/>
    <s v="VALIDATED"/>
    <n v="1"/>
    <s v="01.11.80.203.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70"/>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29"/>
    <d v="2023-07-04T19:00:54"/>
    <s v="Y"/>
    <s v="Attendance upon client"/>
    <s v="VHCC"/>
    <s v="Profit Cost"/>
    <s v="SLR"/>
    <s v="Y"/>
    <n v="187.82"/>
    <n v="37.56"/>
    <x v="1"/>
    <s v="VALIDATED"/>
    <n v="1"/>
    <s v="01.11.80.209.6100.0000"/>
    <n v="187.82"/>
    <s v="11"/>
    <s v="6100"/>
    <n v="15699.41"/>
    <n v="187.82"/>
    <s v="CREDITOR"/>
    <n v="0"/>
    <n v="0"/>
    <n v="0"/>
    <n v="0"/>
    <n v="187.82"/>
  </r>
  <r>
    <n v="60985307"/>
    <s v="N"/>
    <n v="21327766"/>
    <s v="3000015190330032"/>
    <s v="CIVIL"/>
    <d v="2023-06-29T00:00:00"/>
    <d v="2023-07-04T19:00:44"/>
    <m/>
    <d v="2023-07-04T00:00:00"/>
    <n v="507"/>
    <n v="7335"/>
    <s v="60985307"/>
    <s v="60985307"/>
    <m/>
    <m/>
    <n v="22788750"/>
    <m/>
    <m/>
    <m/>
    <s v="SOLINT"/>
    <s v="SOLINT"/>
    <s v="CCMS"/>
    <n v="21327766"/>
    <n v="6692.89"/>
    <m/>
    <s v="N"/>
    <n v="59"/>
    <d v="2023-07-04T19:00:54"/>
    <s v="Y"/>
    <s v="Preparation - drafting bill/claim f"/>
    <s v="VHCC"/>
    <s v="Profit Cost"/>
    <s v="SLR"/>
    <s v="Y"/>
    <n v="14.31"/>
    <n v="2.86"/>
    <x v="1"/>
    <s v="VALIDATED"/>
    <n v="1"/>
    <s v="01.11.80.209.6100.0000"/>
    <n v="14.31"/>
    <s v="11"/>
    <s v="6100"/>
    <n v="15699.41"/>
    <n v="14.31"/>
    <s v="CREDITOR"/>
    <n v="0"/>
    <n v="0"/>
    <n v="0"/>
    <n v="0"/>
    <n v="14.31"/>
  </r>
  <r>
    <n v="61718760"/>
    <s v="N"/>
    <n v="21395045"/>
    <s v="3000015806460004"/>
    <s v="CIVIL"/>
    <d v="2023-06-27T00:00:00"/>
    <d v="2023-07-19T19:02:01"/>
    <m/>
    <d v="2023-07-19T00:00:00"/>
    <n v="507"/>
    <n v="7335"/>
    <s v="61718760"/>
    <s v="61718760"/>
    <m/>
    <m/>
    <n v="22767438"/>
    <m/>
    <m/>
    <m/>
    <s v="SOLFIN"/>
    <s v="SOLFIN"/>
    <s v="CCMS"/>
    <n v="21395045"/>
    <n v="2548.79"/>
    <m/>
    <s v="N"/>
    <n v="19"/>
    <d v="2023-07-19T19:02:15"/>
    <s v="Y"/>
    <s v="Preparation - other"/>
    <s v="Non Family Hourly Rates"/>
    <s v="Profit Cost"/>
    <s v="OAI"/>
    <s v="Y"/>
    <n v="18.9"/>
    <n v="3.78"/>
    <x v="5"/>
    <s v="VALIDATED"/>
    <n v="1"/>
    <s v="01.11.80.208.6100.0000"/>
    <n v="18.9"/>
    <s v="11"/>
    <s v="6100"/>
    <n v="15699.41"/>
    <n v="18.9"/>
    <s v="CREDITOR"/>
    <n v="0"/>
    <n v="0"/>
    <n v="0"/>
    <n v="0"/>
    <n v="18.9"/>
  </r>
  <r>
    <n v="59988478"/>
    <s v="N"/>
    <n v="21327532"/>
    <s v="3000014327360010"/>
    <s v="CIVIL"/>
    <d v="2023-06-27T00:00:00"/>
    <d v="2023-07-04T19:00:44"/>
    <m/>
    <d v="2023-07-04T00:00:00"/>
    <n v="507"/>
    <n v="7335"/>
    <s v="59988478"/>
    <s v="59988478"/>
    <m/>
    <m/>
    <n v="22767290"/>
    <m/>
    <m/>
    <m/>
    <s v="SOLFIN"/>
    <s v="SOLFIN"/>
    <s v="CCMS"/>
    <n v="21327532"/>
    <n v="3397.07"/>
    <m/>
    <s v="N"/>
    <n v="49"/>
    <d v="2023-07-04T19:00:49"/>
    <s v="Y"/>
    <s v="Preparation - other"/>
    <s v="VHCC"/>
    <s v="Profit Cost"/>
    <s v="SLR50"/>
    <s v="Y"/>
    <n v="21.46"/>
    <n v="4.29"/>
    <x v="1"/>
    <s v="VALIDATED"/>
    <n v="1"/>
    <s v="01.11.80.203.6100.0000"/>
    <n v="21.46"/>
    <s v="11"/>
    <s v="6100"/>
    <n v="15699.41"/>
    <n v="21.46"/>
    <s v="CREDITOR"/>
    <n v="0"/>
    <n v="0"/>
    <n v="0"/>
    <n v="0"/>
    <n v="21.46"/>
  </r>
  <r>
    <n v="54298401"/>
    <s v="N"/>
    <n v="21319097"/>
    <s v="3000012964040004"/>
    <s v="CIVIL"/>
    <d v="2023-06-19T00:00:00"/>
    <d v="2023-07-03T19:01:49"/>
    <m/>
    <d v="2023-07-03T00:00:00"/>
    <n v="507"/>
    <n v="7335"/>
    <s v="54298401"/>
    <s v="54298401"/>
    <m/>
    <m/>
    <n v="22718764"/>
    <m/>
    <m/>
    <m/>
    <s v="SOLFIN"/>
    <s v="SOLFIN"/>
    <s v="CCMS"/>
    <n v="21319097"/>
    <n v="406.57"/>
    <m/>
    <s v="N"/>
    <n v="9"/>
    <d v="2023-07-03T19:02:11"/>
    <s v="Y"/>
    <s v="Preparation - other"/>
    <s v="Non Family Hourly Rates"/>
    <s v="Profit Cost"/>
    <s v="SM"/>
    <s v="Y"/>
    <n v="12.6"/>
    <n v="2.52"/>
    <x v="3"/>
    <s v="VALIDATED"/>
    <n v="1"/>
    <s v="01.11.80.208.6100.0000"/>
    <n v="12.6"/>
    <s v="11"/>
    <s v="6100"/>
    <n v="15699.41"/>
    <n v="12.6"/>
    <s v="CREDITOR"/>
    <n v="0"/>
    <n v="0"/>
    <n v="0"/>
    <n v="0"/>
    <n v="12.6"/>
  </r>
  <r>
    <n v="61718760"/>
    <s v="N"/>
    <n v="21395045"/>
    <s v="3000015806460004"/>
    <s v="CIVIL"/>
    <d v="2023-06-27T00:00:00"/>
    <d v="2023-07-19T19:02:01"/>
    <m/>
    <d v="2023-07-19T00:00:00"/>
    <n v="507"/>
    <n v="7335"/>
    <s v="61718760"/>
    <s v="61718760"/>
    <m/>
    <m/>
    <n v="22767438"/>
    <m/>
    <m/>
    <m/>
    <s v="SOLFIN"/>
    <s v="SOLFIN"/>
    <s v="CCMS"/>
    <n v="21395045"/>
    <n v="2548.79"/>
    <m/>
    <s v="N"/>
    <n v="36"/>
    <d v="2023-07-19T19:02:15"/>
    <s v="Y"/>
    <s v="Routine Letter Out"/>
    <s v="Non Family Hourly Rates"/>
    <s v="Profit Cost"/>
    <s v="OAI"/>
    <s v="Y"/>
    <n v="463.32"/>
    <n v="92.66"/>
    <x v="5"/>
    <s v="VALIDATED"/>
    <n v="1"/>
    <s v="01.11.80.208.6100.0000"/>
    <n v="463.32"/>
    <s v="11"/>
    <s v="6100"/>
    <n v="15699.41"/>
    <n v="463.32"/>
    <s v="CREDITOR"/>
    <n v="0"/>
    <n v="0"/>
    <n v="0"/>
    <n v="0"/>
    <n v="463.32"/>
  </r>
  <r>
    <n v="59988478"/>
    <s v="N"/>
    <n v="21327532"/>
    <s v="3000014327360010"/>
    <s v="CIVIL"/>
    <d v="2023-06-27T00:00:00"/>
    <d v="2023-07-04T19:00:44"/>
    <m/>
    <d v="2023-07-04T00:00:00"/>
    <n v="507"/>
    <n v="7335"/>
    <s v="59988478"/>
    <s v="59988478"/>
    <m/>
    <m/>
    <n v="22767290"/>
    <m/>
    <m/>
    <m/>
    <s v="SOLFIN"/>
    <s v="SOLFIN"/>
    <s v="CCMS"/>
    <n v="21327532"/>
    <n v="3397.07"/>
    <m/>
    <s v="N"/>
    <n v="10"/>
    <d v="2023-07-04T19:00:49"/>
    <s v="Y"/>
    <s v="Preparation - other"/>
    <s v="VHCC"/>
    <s v="Profit Cost"/>
    <s v="CWS"/>
    <s v="Y"/>
    <n v="121.64"/>
    <n v="24.33"/>
    <x v="1"/>
    <s v="VALIDATED"/>
    <n v="1"/>
    <s v="01.11.80.203.6100.0000"/>
    <n v="121.64"/>
    <s v="11"/>
    <s v="6100"/>
    <n v="15699.41"/>
    <n v="121.64"/>
    <s v="CREDITOR"/>
    <n v="0"/>
    <n v="0"/>
    <n v="0"/>
    <n v="0"/>
    <n v="121.64"/>
  </r>
  <r>
    <n v="59988478"/>
    <s v="N"/>
    <n v="21327532"/>
    <s v="3000014327360010"/>
    <s v="CIVIL"/>
    <d v="2023-06-27T00:00:00"/>
    <d v="2023-07-04T19:00:44"/>
    <m/>
    <d v="2023-07-04T00:00:00"/>
    <n v="507"/>
    <n v="7335"/>
    <s v="59988478"/>
    <s v="59988478"/>
    <m/>
    <m/>
    <n v="22767290"/>
    <m/>
    <m/>
    <m/>
    <s v="SOLFIN"/>
    <s v="SOLFIN"/>
    <s v="CCMS"/>
    <n v="21327532"/>
    <n v="3397.07"/>
    <m/>
    <s v="N"/>
    <n v="33"/>
    <d v="2023-07-04T19:00:49"/>
    <s v="Y"/>
    <s v="Preparation - other"/>
    <s v="VHCC"/>
    <s v="Profit Cost"/>
    <s v="SLR50"/>
    <s v="Y"/>
    <n v="21.46"/>
    <n v="4.29"/>
    <x v="1"/>
    <s v="VALIDATED"/>
    <n v="1"/>
    <s v="01.11.80.203.6100.0000"/>
    <n v="21.46"/>
    <s v="11"/>
    <s v="6100"/>
    <n v="15699.41"/>
    <n v="21.46"/>
    <s v="CREDITOR"/>
    <n v="0"/>
    <n v="0"/>
    <n v="0"/>
    <n v="0"/>
    <n v="21.46"/>
  </r>
  <r>
    <n v="59988478"/>
    <s v="N"/>
    <n v="21327532"/>
    <s v="3000014327360010"/>
    <s v="CIVIL"/>
    <d v="2023-06-27T00:00:00"/>
    <d v="2023-07-04T19:00:44"/>
    <m/>
    <d v="2023-07-04T00:00:00"/>
    <n v="507"/>
    <n v="7335"/>
    <s v="59988478"/>
    <s v="59988478"/>
    <m/>
    <m/>
    <n v="22767290"/>
    <m/>
    <m/>
    <m/>
    <s v="SOLFIN"/>
    <s v="SOLFIN"/>
    <s v="CCMS"/>
    <n v="21327532"/>
    <n v="3397.07"/>
    <m/>
    <s v="N"/>
    <n v="39"/>
    <d v="2023-07-04T19:00:49"/>
    <s v="Y"/>
    <s v="Preparation - other"/>
    <s v="VHCC"/>
    <s v="Profit Cost"/>
    <s v="SLR50"/>
    <s v="Y"/>
    <n v="10.73"/>
    <n v="2.15"/>
    <x v="1"/>
    <s v="VALIDATED"/>
    <n v="1"/>
    <s v="01.11.80.203.6100.0000"/>
    <n v="10.73"/>
    <s v="11"/>
    <s v="6100"/>
    <n v="15699.41"/>
    <n v="10.73"/>
    <s v="CREDITOR"/>
    <n v="0"/>
    <n v="0"/>
    <n v="0"/>
    <n v="0"/>
    <n v="10.73"/>
  </r>
  <r>
    <n v="54298401"/>
    <s v="N"/>
    <n v="21319097"/>
    <s v="3000012964040004"/>
    <s v="CIVIL"/>
    <d v="2023-06-19T00:00:00"/>
    <d v="2023-07-03T19:01:49"/>
    <m/>
    <d v="2023-07-03T00:00:00"/>
    <n v="507"/>
    <n v="7335"/>
    <s v="54298401"/>
    <s v="54298401"/>
    <m/>
    <m/>
    <n v="22718764"/>
    <m/>
    <m/>
    <m/>
    <s v="SOLFIN"/>
    <s v="SOLFIN"/>
    <s v="CCMS"/>
    <n v="21319097"/>
    <n v="406.57"/>
    <m/>
    <s v="N"/>
    <n v="11"/>
    <d v="2023-07-03T19:02:11"/>
    <s v="Y"/>
    <s v="Preparation - other"/>
    <s v="Non Family Hourly Rates"/>
    <s v="Profit Cost"/>
    <s v="SM"/>
    <s v="Y"/>
    <n v="18.9"/>
    <n v="3.78"/>
    <x v="3"/>
    <s v="VALIDATED"/>
    <n v="1"/>
    <s v="01.11.80.208.6100.0000"/>
    <n v="18.9"/>
    <s v="11"/>
    <s v="6100"/>
    <n v="15699.41"/>
    <n v="18.9"/>
    <s v="CREDITOR"/>
    <n v="0"/>
    <n v="0"/>
    <n v="0"/>
    <n v="0"/>
    <n v="18.9"/>
  </r>
  <r>
    <n v="60985307"/>
    <s v="N"/>
    <n v="21327766"/>
    <s v="3000015190330032"/>
    <s v="CIVIL"/>
    <d v="2023-06-29T00:00:00"/>
    <d v="2023-07-04T19:00:44"/>
    <m/>
    <d v="2023-07-04T00:00:00"/>
    <n v="507"/>
    <n v="7335"/>
    <s v="60985307"/>
    <s v="60985307"/>
    <m/>
    <m/>
    <n v="22788750"/>
    <m/>
    <m/>
    <m/>
    <s v="SOLINT"/>
    <s v="SOLINT"/>
    <s v="CCMS"/>
    <n v="21327766"/>
    <n v="6692.89"/>
    <m/>
    <s v="N"/>
    <n v="12"/>
    <d v="2023-07-04T19:00:54"/>
    <s v="Y"/>
    <s v="Preparation - other"/>
    <s v="VHCC"/>
    <s v="Profit Cost"/>
    <s v="SLR"/>
    <s v="Y"/>
    <n v="87.65000000000001"/>
    <n v="17.53"/>
    <x v="1"/>
    <s v="VALIDATED"/>
    <n v="1"/>
    <s v="01.11.80.209.6100.0000"/>
    <n v="87.65000000000001"/>
    <s v="11"/>
    <s v="6100"/>
    <n v="15699.41"/>
    <n v="87.65000000000001"/>
    <s v="CREDITOR"/>
    <n v="0"/>
    <n v="0"/>
    <n v="0"/>
    <n v="0"/>
    <n v="87.65000000000001"/>
  </r>
  <r>
    <n v="59989660"/>
    <s v="N"/>
    <n v="21338335"/>
    <s v="3000014333930011"/>
    <s v="CIVIL"/>
    <d v="2023-06-26T00:00:00"/>
    <d v="2023-07-06T19:21:01"/>
    <m/>
    <d v="2023-07-06T00:00:00"/>
    <n v="507"/>
    <n v="7335"/>
    <s v="59989660"/>
    <s v="59989660"/>
    <m/>
    <m/>
    <n v="22760524"/>
    <m/>
    <m/>
    <m/>
    <s v="SOLFIN"/>
    <s v="SOLFIN"/>
    <s v="CCMS"/>
    <n v="21338335"/>
    <n v="18577.62"/>
    <m/>
    <s v="N"/>
    <n v="10"/>
    <d v="2023-07-06T19:21:20"/>
    <s v="Y"/>
    <s v="Hearing Unit 2.31 - 5.00 Hours"/>
    <s v="Public Law Children"/>
    <s v="Advocacy"/>
    <s v="RAJ"/>
    <s v="Y"/>
    <n v="476.92"/>
    <n v="95.38"/>
    <x v="4"/>
    <s v="VALIDATED"/>
    <n v="1"/>
    <s v="01.11.80.308.6100.0000"/>
    <n v="476.92"/>
    <s v="11"/>
    <s v="6100"/>
    <n v="15699.41"/>
    <n v="476.92"/>
    <s v="CREDITOR"/>
    <n v="0"/>
    <n v="0"/>
    <n v="0"/>
    <n v="0"/>
    <n v="476.92"/>
  </r>
  <r>
    <n v="61933462"/>
    <s v="N"/>
    <n v="21338364"/>
    <s v="3000015985360001"/>
    <s v="CIVIL"/>
    <d v="2023-06-28T00:00:00"/>
    <d v="2023-07-06T19:21:01"/>
    <m/>
    <d v="2023-07-06T00:00:00"/>
    <n v="507"/>
    <n v="7335"/>
    <s v="61933462"/>
    <s v="61933462"/>
    <m/>
    <m/>
    <n v="22782338"/>
    <m/>
    <m/>
    <m/>
    <s v="SOLFIN"/>
    <s v="SOLFIN"/>
    <s v="CCMS"/>
    <n v="21338364"/>
    <n v="4023.77"/>
    <m/>
    <s v="N"/>
    <n v="1"/>
    <d v="2023-07-06T19:21:22"/>
    <s v="Y"/>
    <s v="Hearing Unit 2.31 - 5.00 Hours"/>
    <s v="Public Law Children"/>
    <s v="Advocacy"/>
    <s v="Rajinder Garvey"/>
    <s v="Y"/>
    <n v="596.15"/>
    <n v="119.23"/>
    <x v="4"/>
    <s v="VALIDATED"/>
    <n v="1"/>
    <s v="01.11.80.308.6100.0000"/>
    <n v="596.15"/>
    <s v="11"/>
    <s v="6100"/>
    <n v="15699.41"/>
    <n v="596.15"/>
    <s v="CREDITOR"/>
    <n v="0"/>
    <n v="0"/>
    <n v="0"/>
    <n v="0"/>
    <n v="596.15"/>
  </r>
  <r>
    <n v="60985307"/>
    <s v="N"/>
    <n v="21327766"/>
    <s v="3000015190330032"/>
    <s v="CIVIL"/>
    <d v="2023-06-29T00:00:00"/>
    <d v="2023-07-04T19:00:44"/>
    <m/>
    <d v="2023-07-04T00:00:00"/>
    <n v="507"/>
    <n v="7335"/>
    <s v="60985307"/>
    <s v="60985307"/>
    <m/>
    <m/>
    <n v="22788750"/>
    <m/>
    <m/>
    <m/>
    <s v="SOLINT"/>
    <s v="SOLINT"/>
    <s v="CCMS"/>
    <n v="21327766"/>
    <n v="6692.89"/>
    <m/>
    <s v="N"/>
    <n v="28"/>
    <d v="2023-07-04T19:00:54"/>
    <s v="Y"/>
    <s v="Waiting - other"/>
    <s v="VHCC"/>
    <s v="Profit Cost"/>
    <s v="SLR"/>
    <s v="Y"/>
    <n v="5.99"/>
    <n v="1.2"/>
    <x v="1"/>
    <s v="VALIDATED"/>
    <n v="1"/>
    <s v="01.11.80.209.6100.0000"/>
    <n v="5.99"/>
    <s v="11"/>
    <s v="6100"/>
    <n v="15699.41"/>
    <n v="5.99"/>
    <s v="CREDITOR"/>
    <n v="0"/>
    <n v="0"/>
    <n v="0"/>
    <n v="0"/>
    <n v="5.99"/>
  </r>
  <r>
    <n v="54298401"/>
    <s v="N"/>
    <n v="21319097"/>
    <s v="3000012964040004"/>
    <s v="CIVIL"/>
    <d v="2023-06-19T00:00:00"/>
    <d v="2023-07-03T19:01:49"/>
    <m/>
    <d v="2023-07-03T00:00:00"/>
    <n v="507"/>
    <n v="7335"/>
    <s v="54298401"/>
    <s v="54298401"/>
    <m/>
    <m/>
    <n v="22718764"/>
    <m/>
    <m/>
    <m/>
    <s v="SOLFIN"/>
    <s v="SOLFIN"/>
    <s v="CCMS"/>
    <n v="21319097"/>
    <n v="406.57"/>
    <m/>
    <s v="N"/>
    <n v="4"/>
    <d v="2023-07-03T19:02:11"/>
    <s v="Y"/>
    <s v="Preparation - other"/>
    <s v="Non Family Hourly Rates"/>
    <s v="Profit Cost"/>
    <s v="SM"/>
    <s v="Y"/>
    <n v="6.3"/>
    <n v="1.26"/>
    <x v="3"/>
    <s v="VALIDATED"/>
    <n v="1"/>
    <s v="01.11.80.208.6100.0000"/>
    <n v="6.3"/>
    <s v="11"/>
    <s v="6100"/>
    <n v="15699.41"/>
    <n v="6.3"/>
    <s v="CREDITOR"/>
    <n v="0"/>
    <n v="0"/>
    <n v="0"/>
    <n v="0"/>
    <n v="6.3"/>
  </r>
  <r>
    <n v="61718760"/>
    <s v="N"/>
    <n v="21395045"/>
    <s v="3000015806460004"/>
    <s v="CIVIL"/>
    <d v="2023-06-27T00:00:00"/>
    <d v="2023-07-19T19:02:01"/>
    <m/>
    <d v="2023-07-19T00:00:00"/>
    <n v="507"/>
    <n v="7335"/>
    <s v="61718760"/>
    <s v="61718760"/>
    <m/>
    <m/>
    <n v="22767438"/>
    <m/>
    <m/>
    <m/>
    <s v="SOLFIN"/>
    <s v="SOLFIN"/>
    <s v="CCMS"/>
    <n v="21395045"/>
    <n v="2548.79"/>
    <m/>
    <s v="N"/>
    <n v="26"/>
    <d v="2023-07-19T19:02:15"/>
    <s v="Y"/>
    <s v="Attendance upon client"/>
    <s v="Non Family Hourly Rates"/>
    <s v="Profit Cost"/>
    <s v="OAI"/>
    <s v="Y"/>
    <n v="37.8"/>
    <n v="7.56"/>
    <x v="5"/>
    <s v="VALIDATED"/>
    <n v="1"/>
    <s v="01.11.80.208.6100.0000"/>
    <n v="37.8"/>
    <s v="11"/>
    <s v="6100"/>
    <n v="15699.41"/>
    <n v="37.8"/>
    <s v="CREDITOR"/>
    <n v="0"/>
    <n v="0"/>
    <n v="0"/>
    <n v="0"/>
    <n v="37.8"/>
  </r>
  <r>
    <n v="59989660"/>
    <s v="N"/>
    <n v="21338335"/>
    <s v="3000014333930011"/>
    <s v="CIVIL"/>
    <d v="2023-06-26T00:00:00"/>
    <d v="2023-07-06T19:21:01"/>
    <m/>
    <d v="2023-07-06T00:00:00"/>
    <n v="507"/>
    <n v="7335"/>
    <s v="59989660"/>
    <s v="59989660"/>
    <m/>
    <m/>
    <n v="22760524"/>
    <m/>
    <m/>
    <m/>
    <s v="SOLFIN"/>
    <s v="SOLFIN"/>
    <s v="CCMS"/>
    <n v="21338335"/>
    <n v="18577.62"/>
    <m/>
    <s v="N"/>
    <n v="7"/>
    <d v="2023-07-06T19:21:20"/>
    <s v="Y"/>
    <s v="Advocates Meeting"/>
    <s v="Public Law Children"/>
    <s v="Advocacy"/>
    <s v="RAJ"/>
    <s v="Y"/>
    <n v="140.99"/>
    <n v="28.2"/>
    <x v="4"/>
    <s v="VALIDATED"/>
    <n v="1"/>
    <s v="01.11.80.308.6100.0000"/>
    <n v="140.99"/>
    <s v="11"/>
    <s v="6100"/>
    <n v="15699.41"/>
    <n v="140.99"/>
    <s v="CREDITOR"/>
    <n v="0"/>
    <n v="0"/>
    <n v="0"/>
    <n v="0"/>
    <n v="140.99"/>
  </r>
  <r>
    <n v="59989660"/>
    <s v="N"/>
    <n v="21338335"/>
    <s v="3000014333930011"/>
    <s v="CIVIL"/>
    <d v="2023-06-26T00:00:00"/>
    <d v="2023-07-06T19:21:01"/>
    <m/>
    <d v="2023-07-06T00:00:00"/>
    <n v="507"/>
    <n v="7335"/>
    <s v="59989660"/>
    <s v="59989660"/>
    <m/>
    <m/>
    <n v="22760524"/>
    <m/>
    <m/>
    <m/>
    <s v="SOLFIN"/>
    <s v="SOLFIN"/>
    <s v="CCMS"/>
    <n v="21338335"/>
    <n v="18577.62"/>
    <m/>
    <s v="N"/>
    <n v="11"/>
    <d v="2023-07-06T19:21:20"/>
    <s v="Y"/>
    <s v="Advocates Meeting"/>
    <s v="Public Law Children"/>
    <s v="Advocacy"/>
    <s v="RAJ"/>
    <s v="Y"/>
    <n v="140.99"/>
    <n v="28.2"/>
    <x v="4"/>
    <s v="VALIDATED"/>
    <n v="1"/>
    <s v="01.11.80.308.6100.0000"/>
    <n v="140.99"/>
    <s v="11"/>
    <s v="6100"/>
    <n v="15699.41"/>
    <n v="140.99"/>
    <s v="CREDITOR"/>
    <n v="0"/>
    <n v="0"/>
    <n v="0"/>
    <n v="0"/>
    <n v="140.99"/>
  </r>
  <r>
    <n v="59988478"/>
    <s v="N"/>
    <n v="21327532"/>
    <s v="3000014327360010"/>
    <s v="CIVIL"/>
    <d v="2023-06-27T00:00:00"/>
    <d v="2023-07-04T19:00:44"/>
    <m/>
    <d v="2023-07-04T00:00:00"/>
    <n v="507"/>
    <n v="7335"/>
    <s v="59988478"/>
    <s v="59988478"/>
    <m/>
    <m/>
    <n v="22767290"/>
    <m/>
    <m/>
    <m/>
    <s v="SOLFIN"/>
    <s v="SOLFIN"/>
    <s v="CCMS"/>
    <n v="21327532"/>
    <n v="3397.07"/>
    <m/>
    <s v="N"/>
    <n v="3"/>
    <d v="2023-07-04T19:00:49"/>
    <s v="Y"/>
    <s v="Preparation - other"/>
    <s v="VHCC"/>
    <s v="Profit Cost"/>
    <s v="SLR"/>
    <s v="Y"/>
    <n v="7.16"/>
    <n v="1.43"/>
    <x v="1"/>
    <s v="VALIDATED"/>
    <n v="1"/>
    <s v="01.11.80.203.6100.0000"/>
    <n v="7.16"/>
    <s v="11"/>
    <s v="6100"/>
    <n v="15699.41"/>
    <n v="7.16"/>
    <s v="CREDITOR"/>
    <n v="0"/>
    <n v="0"/>
    <n v="0"/>
    <n v="0"/>
    <n v="7.16"/>
  </r>
  <r>
    <n v="61718760"/>
    <s v="N"/>
    <n v="21395045"/>
    <s v="3000015806460004"/>
    <s v="CIVIL"/>
    <d v="2023-06-27T00:00:00"/>
    <d v="2023-07-19T19:02:01"/>
    <m/>
    <d v="2023-07-19T00:00:00"/>
    <n v="507"/>
    <n v="7335"/>
    <s v="61718760"/>
    <s v="61718760"/>
    <m/>
    <m/>
    <n v="22767438"/>
    <m/>
    <m/>
    <m/>
    <s v="SOLFIN"/>
    <s v="SOLFIN"/>
    <s v="CCMS"/>
    <n v="21395045"/>
    <n v="2548.79"/>
    <m/>
    <s v="N"/>
    <n v="11"/>
    <d v="2023-07-19T19:02:15"/>
    <s v="Y"/>
    <s v="Preparation - drafting notice(s)"/>
    <s v="Non Family Hourly Rates"/>
    <s v="Profit Cost"/>
    <s v="OAI"/>
    <s v="Y"/>
    <n v="6.3"/>
    <n v="1.26"/>
    <x v="5"/>
    <s v="VALIDATED"/>
    <n v="1"/>
    <s v="01.11.80.208.6100.0000"/>
    <n v="6.3"/>
    <s v="11"/>
    <s v="6100"/>
    <n v="15699.41"/>
    <n v="6.3"/>
    <s v="CREDITOR"/>
    <n v="0"/>
    <n v="0"/>
    <n v="0"/>
    <n v="0"/>
    <n v="6.3"/>
  </r>
  <r>
    <n v="60985307"/>
    <s v="N"/>
    <n v="21327766"/>
    <s v="3000015190330032"/>
    <s v="CIVIL"/>
    <d v="2023-06-29T00:00:00"/>
    <d v="2023-07-04T19:00:44"/>
    <m/>
    <d v="2023-07-04T00:00:00"/>
    <n v="507"/>
    <n v="7335"/>
    <s v="60985307"/>
    <s v="60985307"/>
    <m/>
    <m/>
    <n v="22788750"/>
    <m/>
    <m/>
    <m/>
    <s v="SOLINT"/>
    <s v="SOLINT"/>
    <s v="CCMS"/>
    <n v="21327766"/>
    <n v="6692.89"/>
    <m/>
    <s v="N"/>
    <n v="65"/>
    <d v="2023-07-04T19:00:54"/>
    <s v="Y"/>
    <s v="Preparation - other"/>
    <s v="VHCC"/>
    <s v="Profit Cost"/>
    <s v="SLR"/>
    <s v="Y"/>
    <n v="75.13"/>
    <n v="15.02"/>
    <x v="1"/>
    <s v="VALIDATED"/>
    <n v="1"/>
    <s v="01.11.80.209.6100.0000"/>
    <n v="75.13"/>
    <s v="11"/>
    <s v="6100"/>
    <n v="15699.41"/>
    <n v="75.13"/>
    <s v="CREDITOR"/>
    <n v="0"/>
    <n v="0"/>
    <n v="0"/>
    <n v="0"/>
    <n v="75.13"/>
  </r>
  <r>
    <n v="59988478"/>
    <s v="N"/>
    <n v="21327532"/>
    <s v="3000014327360010"/>
    <s v="CIVIL"/>
    <d v="2023-06-27T00:00:00"/>
    <d v="2023-07-04T19:00:44"/>
    <m/>
    <d v="2023-07-04T00:00:00"/>
    <n v="507"/>
    <n v="7335"/>
    <s v="59988478"/>
    <s v="59988478"/>
    <m/>
    <m/>
    <n v="22767290"/>
    <m/>
    <m/>
    <m/>
    <s v="SOLFIN"/>
    <s v="SOLFIN"/>
    <s v="CCMS"/>
    <n v="21327532"/>
    <n v="3397.07"/>
    <m/>
    <s v="N"/>
    <n v="52"/>
    <d v="2023-07-04T19:00:49"/>
    <s v="Y"/>
    <s v="Preparation - other"/>
    <s v="VHCC"/>
    <s v="Profit Cost"/>
    <s v="SLR50"/>
    <s v="Y"/>
    <n v="10.73"/>
    <n v="2.15"/>
    <x v="1"/>
    <s v="VALIDATED"/>
    <n v="1"/>
    <s v="01.11.80.203.6100.0000"/>
    <n v="10.73"/>
    <s v="11"/>
    <s v="6100"/>
    <n v="15699.41"/>
    <n v="10.73"/>
    <s v="CREDITOR"/>
    <n v="0"/>
    <n v="0"/>
    <n v="0"/>
    <n v="0"/>
    <n v="10.73"/>
  </r>
  <r>
    <n v="54298401"/>
    <s v="N"/>
    <n v="21319097"/>
    <s v="3000012964040004"/>
    <s v="CIVIL"/>
    <d v="2023-06-19T00:00:00"/>
    <d v="2023-07-03T19:01:49"/>
    <m/>
    <d v="2023-07-03T00:00:00"/>
    <n v="507"/>
    <n v="7335"/>
    <s v="54298401"/>
    <s v="54298401"/>
    <m/>
    <m/>
    <n v="22718764"/>
    <m/>
    <m/>
    <m/>
    <s v="SOLFIN"/>
    <s v="SOLFIN"/>
    <s v="CCMS"/>
    <n v="21319097"/>
    <n v="406.57"/>
    <m/>
    <s v="N"/>
    <n v="12"/>
    <d v="2023-07-03T19:02:11"/>
    <s v="Y"/>
    <s v="Preparation - drafting application"/>
    <s v="Non Family Hourly Rates"/>
    <s v="Profit Cost"/>
    <s v="SM"/>
    <s v="Y"/>
    <n v="25.2"/>
    <n v="5.04"/>
    <x v="3"/>
    <s v="VALIDATED"/>
    <n v="1"/>
    <s v="01.11.80.208.6100.0000"/>
    <n v="25.2"/>
    <s v="11"/>
    <s v="6100"/>
    <n v="15699.41"/>
    <n v="25.2"/>
    <s v="CREDITOR"/>
    <n v="0"/>
    <n v="0"/>
    <n v="0"/>
    <n v="0"/>
    <n v="25.2"/>
  </r>
  <r>
    <n v="61718760"/>
    <s v="N"/>
    <n v="21395045"/>
    <s v="3000015806460004"/>
    <s v="CIVIL"/>
    <d v="2023-06-27T00:00:00"/>
    <d v="2023-07-19T19:02:01"/>
    <m/>
    <d v="2023-07-19T00:00:00"/>
    <n v="507"/>
    <n v="7335"/>
    <s v="61718760"/>
    <s v="61718760"/>
    <m/>
    <m/>
    <n v="22767438"/>
    <m/>
    <m/>
    <m/>
    <s v="SOLFIN"/>
    <s v="SOLFIN"/>
    <s v="CCMS"/>
    <n v="21395045"/>
    <n v="2548.79"/>
    <m/>
    <s v="N"/>
    <n v="34"/>
    <d v="2023-07-19T19:02:15"/>
    <s v="Y"/>
    <s v="Preparation - drafting bill/claim f"/>
    <s v="Non Family Hourly Rates"/>
    <s v="Profit Cost"/>
    <s v="OAI"/>
    <s v="Y"/>
    <n v="18.9"/>
    <n v="3.78"/>
    <x v="5"/>
    <s v="VALIDATED"/>
    <n v="1"/>
    <s v="01.11.80.208.6100.0000"/>
    <n v="18.9"/>
    <s v="11"/>
    <s v="6100"/>
    <n v="15699.41"/>
    <n v="18.9"/>
    <s v="CREDITOR"/>
    <n v="0"/>
    <n v="0"/>
    <n v="0"/>
    <n v="0"/>
    <n v="18.9"/>
  </r>
  <r>
    <n v="60985307"/>
    <s v="N"/>
    <n v="21327766"/>
    <s v="3000015190330032"/>
    <s v="CIVIL"/>
    <d v="2023-06-29T00:00:00"/>
    <d v="2023-07-04T19:00:44"/>
    <m/>
    <d v="2023-07-04T00:00:00"/>
    <n v="507"/>
    <n v="7335"/>
    <s v="60985307"/>
    <s v="60985307"/>
    <m/>
    <m/>
    <n v="22788750"/>
    <m/>
    <m/>
    <m/>
    <s v="SOLINT"/>
    <s v="SOLINT"/>
    <s v="CCMS"/>
    <n v="21327766"/>
    <n v="6692.89"/>
    <m/>
    <s v="N"/>
    <n v="77"/>
    <d v="2023-07-04T19:00:54"/>
    <s v="Y"/>
    <s v="Attendance upon court with counsel"/>
    <s v="VHCC"/>
    <s v="Profit Cost"/>
    <s v="JLM"/>
    <s v="Y"/>
    <n v="103.23"/>
    <n v="20.64"/>
    <x v="1"/>
    <s v="VALIDATED"/>
    <n v="1"/>
    <s v="01.11.80.209.6100.0000"/>
    <n v="103.23"/>
    <s v="11"/>
    <s v="6100"/>
    <n v="15699.41"/>
    <n v="103.23"/>
    <s v="CREDITOR"/>
    <n v="0"/>
    <n v="0"/>
    <n v="0"/>
    <n v="0"/>
    <n v="103.23"/>
  </r>
  <r>
    <n v="60985307"/>
    <s v="N"/>
    <n v="21327766"/>
    <s v="3000015190330032"/>
    <s v="CIVIL"/>
    <d v="2023-06-29T00:00:00"/>
    <d v="2023-07-04T19:00:44"/>
    <m/>
    <d v="2023-07-04T00:00:00"/>
    <n v="507"/>
    <n v="7335"/>
    <s v="60985307"/>
    <s v="60985307"/>
    <m/>
    <m/>
    <n v="22788750"/>
    <m/>
    <m/>
    <m/>
    <s v="SOLINT"/>
    <s v="SOLINT"/>
    <s v="CCMS"/>
    <n v="21327766"/>
    <n v="6692.89"/>
    <m/>
    <s v="N"/>
    <n v="14"/>
    <d v="2023-07-04T19:00:54"/>
    <s v="Y"/>
    <s v="Attendance upon client"/>
    <s v="VHCC"/>
    <s v="Profit Cost"/>
    <s v="SLR"/>
    <s v="Y"/>
    <n v="350.59"/>
    <n v="70.11"/>
    <x v="1"/>
    <s v="VALIDATED"/>
    <n v="1"/>
    <s v="01.11.80.209.6100.0000"/>
    <n v="350.59"/>
    <s v="11"/>
    <s v="6100"/>
    <n v="15699.41"/>
    <n v="350.59"/>
    <s v="CREDITOR"/>
    <n v="0"/>
    <n v="0"/>
    <n v="0"/>
    <n v="0"/>
    <n v="350.59"/>
  </r>
  <r>
    <n v="60985307"/>
    <s v="N"/>
    <n v="21327766"/>
    <s v="3000015190330032"/>
    <s v="CIVIL"/>
    <d v="2023-06-29T00:00:00"/>
    <d v="2023-07-04T19:00:44"/>
    <m/>
    <d v="2023-07-04T00:00:00"/>
    <n v="507"/>
    <n v="7335"/>
    <s v="60985307"/>
    <s v="60985307"/>
    <m/>
    <m/>
    <n v="22788750"/>
    <m/>
    <m/>
    <m/>
    <s v="SOLINT"/>
    <s v="SOLINT"/>
    <s v="CCMS"/>
    <n v="21327766"/>
    <n v="6692.89"/>
    <m/>
    <s v="N"/>
    <n v="35"/>
    <d v="2023-07-04T19:00:54"/>
    <s v="Y"/>
    <s v="Preparation - drafting statement"/>
    <s v="VHCC"/>
    <s v="Profit Cost"/>
    <s v="SLR"/>
    <s v="Y"/>
    <n v="37.56"/>
    <n v="7.51"/>
    <x v="1"/>
    <s v="VALIDATED"/>
    <n v="1"/>
    <s v="01.11.80.209.6100.0000"/>
    <n v="37.56"/>
    <s v="11"/>
    <s v="6100"/>
    <n v="15699.41"/>
    <n v="37.56"/>
    <s v="CREDITOR"/>
    <n v="0"/>
    <n v="0"/>
    <n v="0"/>
    <n v="0"/>
    <n v="37.56"/>
  </r>
  <r>
    <n v="59988478"/>
    <s v="N"/>
    <n v="21327532"/>
    <s v="3000014327360010"/>
    <s v="CIVIL"/>
    <d v="2023-06-27T00:00:00"/>
    <d v="2023-07-04T19:00:44"/>
    <m/>
    <d v="2023-07-04T00:00:00"/>
    <n v="507"/>
    <n v="7335"/>
    <s v="59988478"/>
    <s v="59988478"/>
    <m/>
    <m/>
    <n v="22767290"/>
    <m/>
    <m/>
    <m/>
    <s v="SOLFIN"/>
    <s v="SOLFIN"/>
    <s v="CCMS"/>
    <n v="21327532"/>
    <n v="3397.07"/>
    <m/>
    <s v="N"/>
    <n v="41"/>
    <d v="2023-07-04T19:00:49"/>
    <s v="Y"/>
    <s v="Preparation - other"/>
    <s v="VHCC"/>
    <s v="Profit Cost"/>
    <s v="SLR50"/>
    <s v="Y"/>
    <n v="10.73"/>
    <n v="2.15"/>
    <x v="1"/>
    <s v="VALIDATED"/>
    <n v="1"/>
    <s v="01.11.80.203.6100.0000"/>
    <n v="10.73"/>
    <s v="11"/>
    <s v="6100"/>
    <n v="15699.41"/>
    <n v="10.73"/>
    <s v="CREDITOR"/>
    <n v="0"/>
    <n v="0"/>
    <n v="0"/>
    <n v="0"/>
    <n v="10.73"/>
  </r>
  <r>
    <n v="60985307"/>
    <s v="N"/>
    <n v="21327766"/>
    <s v="3000015190330032"/>
    <s v="CIVIL"/>
    <d v="2023-06-29T00:00:00"/>
    <d v="2023-07-04T19:00:44"/>
    <m/>
    <d v="2023-07-04T00:00:00"/>
    <n v="507"/>
    <n v="7335"/>
    <s v="60985307"/>
    <s v="60985307"/>
    <m/>
    <m/>
    <n v="22788750"/>
    <m/>
    <m/>
    <m/>
    <s v="SOLINT"/>
    <s v="SOLINT"/>
    <s v="CCMS"/>
    <n v="21327766"/>
    <n v="6692.89"/>
    <m/>
    <s v="N"/>
    <n v="75"/>
    <d v="2023-07-04T19:00:54"/>
    <s v="Y"/>
    <s v="Travel to court"/>
    <s v="VHCC"/>
    <s v="Profit Cost"/>
    <s v="JLM"/>
    <s v="Y"/>
    <n v="38.91"/>
    <n v="7.78"/>
    <x v="1"/>
    <s v="VALIDATED"/>
    <n v="1"/>
    <s v="01.11.80.209.6100.0000"/>
    <n v="38.91"/>
    <s v="11"/>
    <s v="6100"/>
    <n v="15699.41"/>
    <n v="38.91"/>
    <s v="CREDITOR"/>
    <n v="0"/>
    <n v="0"/>
    <n v="0"/>
    <n v="0"/>
    <n v="38.91"/>
  </r>
  <r>
    <n v="59988478"/>
    <s v="N"/>
    <n v="21327532"/>
    <s v="3000014327360010"/>
    <s v="CIVIL"/>
    <d v="2023-06-27T00:00:00"/>
    <d v="2023-07-04T19:00:44"/>
    <m/>
    <d v="2023-07-04T00:00:00"/>
    <n v="507"/>
    <n v="7335"/>
    <s v="59988478"/>
    <s v="59988478"/>
    <m/>
    <m/>
    <n v="22767290"/>
    <m/>
    <m/>
    <m/>
    <s v="SOLFIN"/>
    <s v="SOLFIN"/>
    <s v="CCMS"/>
    <n v="21327532"/>
    <n v="3397.07"/>
    <m/>
    <s v="N"/>
    <n v="14"/>
    <d v="2023-07-04T19:00:49"/>
    <s v="Y"/>
    <s v="Preparation - other"/>
    <s v="VHCC"/>
    <s v="Profit Cost"/>
    <s v="SLR50"/>
    <s v="Y"/>
    <n v="10.73"/>
    <n v="2.15"/>
    <x v="1"/>
    <s v="VALIDATED"/>
    <n v="1"/>
    <s v="01.11.80.203.6100.0000"/>
    <n v="10.73"/>
    <s v="11"/>
    <s v="6100"/>
    <n v="15699.41"/>
    <n v="10.73"/>
    <s v="CREDITOR"/>
    <n v="0"/>
    <n v="0"/>
    <n v="0"/>
    <n v="0"/>
    <n v="10.73"/>
  </r>
  <r>
    <n v="61718760"/>
    <s v="N"/>
    <n v="21395045"/>
    <s v="3000015806460004"/>
    <s v="CIVIL"/>
    <d v="2023-06-27T00:00:00"/>
    <d v="2023-07-19T19:02:01"/>
    <m/>
    <d v="2023-07-19T00:00:00"/>
    <n v="507"/>
    <n v="7335"/>
    <s v="61718760"/>
    <s v="61718760"/>
    <m/>
    <m/>
    <n v="22767438"/>
    <m/>
    <m/>
    <m/>
    <s v="SOLFIN"/>
    <s v="SOLFIN"/>
    <s v="CCMS"/>
    <n v="21395045"/>
    <n v="2548.79"/>
    <m/>
    <s v="N"/>
    <n v="35"/>
    <d v="2023-07-19T19:02:15"/>
    <s v="Y"/>
    <s v="Routine Telephone Call"/>
    <s v="Non Family Hourly Rates"/>
    <s v="Profit Cost"/>
    <s v="OAI"/>
    <s v="Y"/>
    <n v="115.15"/>
    <n v="23.03"/>
    <x v="5"/>
    <s v="VALIDATED"/>
    <n v="1"/>
    <s v="01.11.80.208.6100.0000"/>
    <n v="115.15"/>
    <s v="11"/>
    <s v="6100"/>
    <n v="15699.41"/>
    <n v="115.15"/>
    <s v="CREDITOR"/>
    <n v="0"/>
    <n v="0"/>
    <n v="0"/>
    <n v="0"/>
    <n v="115.15"/>
  </r>
  <r>
    <n v="60985307"/>
    <s v="N"/>
    <n v="21327766"/>
    <s v="3000015190330032"/>
    <s v="CIVIL"/>
    <d v="2023-06-29T00:00:00"/>
    <d v="2023-07-04T19:00:44"/>
    <m/>
    <d v="2023-07-04T00:00:00"/>
    <n v="507"/>
    <n v="7335"/>
    <s v="60985307"/>
    <s v="60985307"/>
    <m/>
    <m/>
    <n v="22788750"/>
    <m/>
    <m/>
    <m/>
    <s v="SOLINT"/>
    <s v="SOLINT"/>
    <s v="CCMS"/>
    <n v="21327766"/>
    <n v="6692.89"/>
    <m/>
    <s v="N"/>
    <n v="87"/>
    <d v="2023-07-04T19:00:54"/>
    <s v="Y"/>
    <s v="Interpreter"/>
    <s v="VHCC"/>
    <s v="Expert Disbursement"/>
    <s v="XXX"/>
    <s v="Y"/>
    <n v="45.83"/>
    <n v="9.17"/>
    <x v="1"/>
    <s v="VALIDATED"/>
    <n v="1"/>
    <s v="01.11.80.209.6300.0000"/>
    <n v="45.83"/>
    <s v="11"/>
    <s v="6300"/>
    <n v="15699.41"/>
    <n v="45.83"/>
    <s v="CREDITOR"/>
    <n v="0"/>
    <n v="0"/>
    <n v="0"/>
    <n v="0"/>
    <n v="45.83"/>
  </r>
  <r>
    <n v="59988478"/>
    <s v="N"/>
    <n v="21327532"/>
    <s v="3000014327360010"/>
    <s v="CIVIL"/>
    <d v="2023-06-27T00:00:00"/>
    <d v="2023-07-04T19:00:44"/>
    <m/>
    <d v="2023-07-04T00:00:00"/>
    <n v="507"/>
    <n v="7335"/>
    <s v="59988478"/>
    <s v="59988478"/>
    <m/>
    <m/>
    <n v="22767290"/>
    <m/>
    <m/>
    <m/>
    <s v="SOLFIN"/>
    <s v="SOLFIN"/>
    <s v="CCMS"/>
    <n v="21327532"/>
    <n v="3397.07"/>
    <m/>
    <s v="N"/>
    <n v="31"/>
    <d v="2023-07-04T19:00:49"/>
    <s v="Y"/>
    <s v="Preparation - other"/>
    <s v="VHCC"/>
    <s v="Profit Cost"/>
    <s v="SLR50"/>
    <s v="Y"/>
    <n v="10.73"/>
    <n v="2.15"/>
    <x v="1"/>
    <s v="VALIDATED"/>
    <n v="1"/>
    <s v="01.11.80.203.6100.0000"/>
    <n v="10.73"/>
    <s v="11"/>
    <s v="6100"/>
    <n v="15699.41"/>
    <n v="10.73"/>
    <s v="CREDITOR"/>
    <n v="0"/>
    <n v="0"/>
    <n v="0"/>
    <n v="0"/>
    <n v="10.73"/>
  </r>
  <r>
    <n v="61718760"/>
    <s v="N"/>
    <n v="21395045"/>
    <s v="3000015806460004"/>
    <s v="CIVIL"/>
    <d v="2023-06-27T00:00:00"/>
    <d v="2023-07-19T19:02:01"/>
    <m/>
    <d v="2023-07-19T00:00:00"/>
    <n v="507"/>
    <n v="7335"/>
    <s v="61718760"/>
    <s v="61718760"/>
    <m/>
    <m/>
    <n v="22767438"/>
    <m/>
    <m/>
    <m/>
    <s v="SOLFIN"/>
    <s v="SOLFIN"/>
    <s v="CCMS"/>
    <n v="21395045"/>
    <n v="2548.79"/>
    <m/>
    <s v="N"/>
    <n v="24"/>
    <d v="2023-07-19T19:02:15"/>
    <s v="Y"/>
    <s v="Attendance upon client"/>
    <s v="Non Family Hourly Rates"/>
    <s v="Profit Cost"/>
    <s v="ZAN"/>
    <s v="Y"/>
    <n v="100.8"/>
    <n v="20.16"/>
    <x v="5"/>
    <s v="VALIDATED"/>
    <n v="1"/>
    <s v="01.11.80.208.6100.0000"/>
    <n v="100.8"/>
    <s v="11"/>
    <s v="6100"/>
    <n v="15699.41"/>
    <n v="100.8"/>
    <s v="CREDITOR"/>
    <n v="0"/>
    <n v="0"/>
    <n v="0"/>
    <n v="0"/>
    <n v="100.8"/>
  </r>
  <r>
    <n v="59989660"/>
    <s v="N"/>
    <n v="21338335"/>
    <s v="3000014333930011"/>
    <s v="CIVIL"/>
    <d v="2023-06-26T00:00:00"/>
    <d v="2023-07-06T19:21:01"/>
    <m/>
    <d v="2023-07-06T00:00:00"/>
    <n v="507"/>
    <n v="7335"/>
    <s v="59989660"/>
    <s v="59989660"/>
    <m/>
    <m/>
    <n v="22760524"/>
    <m/>
    <m/>
    <m/>
    <s v="SOLFIN"/>
    <s v="SOLFIN"/>
    <s v="CCMS"/>
    <n v="21338335"/>
    <n v="18577.62"/>
    <m/>
    <s v="N"/>
    <n v="8"/>
    <d v="2023-07-06T19:21:20"/>
    <s v="Y"/>
    <s v="Hearing Unit 2.31 - 5.00 Hours"/>
    <s v="Public Law Children"/>
    <s v="Advocacy"/>
    <s v="MAM"/>
    <s v="Y"/>
    <n v="476.92"/>
    <n v="95.38"/>
    <x v="4"/>
    <s v="VALIDATED"/>
    <n v="1"/>
    <s v="01.11.80.308.6100.0000"/>
    <n v="476.92"/>
    <s v="11"/>
    <s v="6100"/>
    <n v="15699.41"/>
    <n v="476.92"/>
    <s v="CREDITOR"/>
    <n v="0"/>
    <n v="0"/>
    <n v="0"/>
    <n v="0"/>
    <n v="476.92"/>
  </r>
  <r>
    <n v="60985307"/>
    <s v="N"/>
    <n v="21327766"/>
    <s v="3000015190330032"/>
    <s v="CIVIL"/>
    <d v="2023-06-29T00:00:00"/>
    <d v="2023-07-04T19:00:44"/>
    <m/>
    <d v="2023-07-04T00:00:00"/>
    <n v="507"/>
    <n v="7335"/>
    <s v="60985307"/>
    <s v="60985307"/>
    <m/>
    <m/>
    <n v="22788750"/>
    <m/>
    <m/>
    <m/>
    <s v="SOLINT"/>
    <s v="SOLINT"/>
    <s v="CCMS"/>
    <n v="21327766"/>
    <n v="6692.89"/>
    <m/>
    <s v="N"/>
    <n v="46"/>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50"/>
    <d v="2023-07-04T19:00:54"/>
    <s v="Y"/>
    <s v="Preparation - drafting attendance n"/>
    <s v="VHCC"/>
    <s v="Profit Cost"/>
    <s v="SLR"/>
    <s v="Y"/>
    <n v="7.16"/>
    <n v="1.43"/>
    <x v="1"/>
    <s v="VALIDATED"/>
    <n v="1"/>
    <s v="01.11.80.209.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63"/>
    <d v="2023-07-04T19:00:54"/>
    <s v="Y"/>
    <s v="Preparation - other"/>
    <s v="VHCC"/>
    <s v="Profit Cost"/>
    <s v="SLR"/>
    <s v="Y"/>
    <n v="25.04"/>
    <n v="5.01"/>
    <x v="1"/>
    <s v="VALIDATED"/>
    <n v="1"/>
    <s v="01.11.80.209.6100.0000"/>
    <n v="25.04"/>
    <s v="11"/>
    <s v="6100"/>
    <n v="15699.41"/>
    <n v="25.04"/>
    <s v="CREDITOR"/>
    <n v="0"/>
    <n v="0"/>
    <n v="0"/>
    <n v="0"/>
    <n v="25.04"/>
  </r>
  <r>
    <n v="59988478"/>
    <s v="N"/>
    <n v="21327532"/>
    <s v="3000014327360010"/>
    <s v="CIVIL"/>
    <d v="2023-06-27T00:00:00"/>
    <d v="2023-07-04T19:00:44"/>
    <m/>
    <d v="2023-07-04T00:00:00"/>
    <n v="507"/>
    <n v="7335"/>
    <s v="59988478"/>
    <s v="59988478"/>
    <m/>
    <m/>
    <n v="22767290"/>
    <m/>
    <m/>
    <m/>
    <s v="SOLFIN"/>
    <s v="SOLFIN"/>
    <s v="CCMS"/>
    <n v="21327532"/>
    <n v="3397.07"/>
    <m/>
    <s v="N"/>
    <n v="45"/>
    <d v="2023-07-04T19:00:49"/>
    <s v="Y"/>
    <s v="Preparation - other"/>
    <s v="VHCC"/>
    <s v="Profit Cost"/>
    <s v="SLR50"/>
    <s v="Y"/>
    <n v="10.73"/>
    <n v="2.15"/>
    <x v="1"/>
    <s v="VALIDATED"/>
    <n v="1"/>
    <s v="01.11.80.203.6100.0000"/>
    <n v="10.73"/>
    <s v="11"/>
    <s v="6100"/>
    <n v="15699.41"/>
    <n v="10.73"/>
    <s v="CREDITOR"/>
    <n v="0"/>
    <n v="0"/>
    <n v="0"/>
    <n v="0"/>
    <n v="10.73"/>
  </r>
  <r>
    <n v="61718760"/>
    <s v="N"/>
    <n v="21395045"/>
    <s v="3000015806460004"/>
    <s v="CIVIL"/>
    <d v="2023-06-27T00:00:00"/>
    <d v="2023-07-19T19:02:01"/>
    <m/>
    <d v="2023-07-19T00:00:00"/>
    <n v="507"/>
    <n v="7335"/>
    <s v="61718760"/>
    <s v="61718760"/>
    <m/>
    <m/>
    <n v="22767438"/>
    <m/>
    <m/>
    <m/>
    <s v="SOLFIN"/>
    <s v="SOLFIN"/>
    <s v="CCMS"/>
    <n v="21395045"/>
    <n v="2548.79"/>
    <m/>
    <s v="N"/>
    <n v="23"/>
    <d v="2023-07-19T19:02:15"/>
    <s v="Y"/>
    <s v="Preparation - other"/>
    <s v="Non Family Hourly Rates"/>
    <s v="Profit Cost"/>
    <s v="OAI"/>
    <s v="Y"/>
    <n v="31.5"/>
    <n v="6.3"/>
    <x v="5"/>
    <s v="VALIDATED"/>
    <n v="1"/>
    <s v="01.11.80.208.6100.0000"/>
    <n v="31.5"/>
    <s v="11"/>
    <s v="6100"/>
    <n v="15699.41"/>
    <n v="31.5"/>
    <s v="CREDITOR"/>
    <n v="0"/>
    <n v="0"/>
    <n v="0"/>
    <n v="0"/>
    <n v="31.5"/>
  </r>
  <r>
    <n v="60985307"/>
    <s v="N"/>
    <n v="21327766"/>
    <s v="3000015190330032"/>
    <s v="CIVIL"/>
    <d v="2023-06-29T00:00:00"/>
    <d v="2023-07-04T19:00:44"/>
    <m/>
    <d v="2023-07-04T00:00:00"/>
    <n v="507"/>
    <n v="7335"/>
    <s v="60985307"/>
    <s v="60985307"/>
    <m/>
    <m/>
    <n v="22788750"/>
    <m/>
    <m/>
    <m/>
    <s v="SOLINT"/>
    <s v="SOLINT"/>
    <s v="CCMS"/>
    <n v="21327766"/>
    <n v="6692.89"/>
    <m/>
    <s v="N"/>
    <n v="20"/>
    <d v="2023-07-04T19:00:54"/>
    <s v="Y"/>
    <s v="Preparation - other"/>
    <s v="VHCC"/>
    <s v="Profit Cost"/>
    <s v="SLR"/>
    <s v="Y"/>
    <n v="12.52"/>
    <n v="2.5"/>
    <x v="1"/>
    <s v="VALIDATED"/>
    <n v="1"/>
    <s v="01.11.80.209.6100.0000"/>
    <n v="12.52"/>
    <s v="11"/>
    <s v="6100"/>
    <n v="15699.41"/>
    <n v="12.52"/>
    <s v="CREDITOR"/>
    <n v="0"/>
    <n v="0"/>
    <n v="0"/>
    <n v="0"/>
    <n v="12.52"/>
  </r>
  <r>
    <n v="59988478"/>
    <s v="N"/>
    <n v="21327532"/>
    <s v="3000014327360010"/>
    <s v="CIVIL"/>
    <d v="2023-06-27T00:00:00"/>
    <d v="2023-07-04T19:00:44"/>
    <m/>
    <d v="2023-07-04T00:00:00"/>
    <n v="507"/>
    <n v="7335"/>
    <s v="59988478"/>
    <s v="59988478"/>
    <m/>
    <m/>
    <n v="22767290"/>
    <m/>
    <m/>
    <m/>
    <s v="SOLFIN"/>
    <s v="SOLFIN"/>
    <s v="CCMS"/>
    <n v="21327532"/>
    <n v="3397.07"/>
    <m/>
    <s v="N"/>
    <n v="8"/>
    <d v="2023-07-04T19:00:49"/>
    <s v="Y"/>
    <s v="Preparation - other"/>
    <s v="VHCC"/>
    <s v="Profit Cost"/>
    <s v="SLR50"/>
    <s v="Y"/>
    <n v="10.73"/>
    <n v="2.15"/>
    <x v="1"/>
    <s v="VALIDATED"/>
    <n v="1"/>
    <s v="01.11.80.203.6100.0000"/>
    <n v="10.73"/>
    <s v="11"/>
    <s v="6100"/>
    <n v="15699.41"/>
    <n v="10.73"/>
    <s v="CREDITOR"/>
    <n v="0"/>
    <n v="0"/>
    <n v="0"/>
    <n v="0"/>
    <n v="10.73"/>
  </r>
  <r>
    <n v="61718760"/>
    <s v="N"/>
    <n v="21395045"/>
    <s v="3000015806460004"/>
    <s v="CIVIL"/>
    <d v="2023-06-27T00:00:00"/>
    <d v="2023-07-19T19:02:01"/>
    <m/>
    <d v="2023-07-19T00:00:00"/>
    <n v="507"/>
    <n v="7335"/>
    <s v="61718760"/>
    <s v="61718760"/>
    <m/>
    <m/>
    <n v="22767438"/>
    <m/>
    <m/>
    <m/>
    <s v="SOLFIN"/>
    <s v="SOLFIN"/>
    <s v="CCMS"/>
    <n v="21395045"/>
    <n v="2548.79"/>
    <m/>
    <s v="N"/>
    <n v="8"/>
    <d v="2023-07-19T19:02:15"/>
    <s v="Y"/>
    <s v="Expert - Other"/>
    <s v="Non Family Hourly Rates"/>
    <s v="Expert Disbursement"/>
    <s v="OAI"/>
    <s v="Y"/>
    <n v="96"/>
    <n v="19.2"/>
    <x v="5"/>
    <s v="VALIDATED"/>
    <n v="1"/>
    <s v="01.11.80.208.6300.0000"/>
    <n v="96"/>
    <s v="11"/>
    <s v="6300"/>
    <n v="15699.41"/>
    <n v="96"/>
    <s v="CREDITOR"/>
    <n v="0"/>
    <n v="0"/>
    <n v="0"/>
    <n v="0"/>
    <n v="96"/>
  </r>
  <r>
    <n v="59989660"/>
    <s v="N"/>
    <n v="21338335"/>
    <s v="3000014333930011"/>
    <s v="CIVIL"/>
    <d v="2023-06-26T00:00:00"/>
    <d v="2023-07-06T19:21:01"/>
    <m/>
    <d v="2023-07-06T00:00:00"/>
    <n v="507"/>
    <n v="7335"/>
    <s v="59989660"/>
    <s v="59989660"/>
    <m/>
    <m/>
    <n v="22760524"/>
    <m/>
    <m/>
    <m/>
    <s v="SOLFIN"/>
    <s v="SOLFIN"/>
    <s v="CCMS"/>
    <n v="21338335"/>
    <n v="18577.62"/>
    <m/>
    <s v="N"/>
    <n v="18"/>
    <d v="2023-07-06T19:21:20"/>
    <s v="Y"/>
    <s v="Interim Hearing Court Bundle/Advoca"/>
    <s v="Public Law Children"/>
    <s v="Advocacy"/>
    <s v="RAJ"/>
    <s v="Y"/>
    <n v="89.09999999999999"/>
    <n v="17.82"/>
    <x v="4"/>
    <s v="VALIDATED"/>
    <n v="1"/>
    <s v="01.11.80.308.6100.0000"/>
    <n v="89.09999999999999"/>
    <s v="11"/>
    <s v="6100"/>
    <n v="15699.41"/>
    <n v="89.09999999999999"/>
    <s v="CREDITOR"/>
    <n v="0"/>
    <n v="0"/>
    <n v="0"/>
    <n v="0"/>
    <n v="89.09999999999999"/>
  </r>
  <r>
    <n v="60985307"/>
    <s v="N"/>
    <n v="21327766"/>
    <s v="3000015190330032"/>
    <s v="CIVIL"/>
    <d v="2023-06-29T00:00:00"/>
    <d v="2023-07-04T19:00:44"/>
    <m/>
    <d v="2023-07-04T00:00:00"/>
    <n v="507"/>
    <n v="7335"/>
    <s v="60985307"/>
    <s v="60985307"/>
    <m/>
    <m/>
    <n v="22788750"/>
    <m/>
    <m/>
    <m/>
    <s v="SOLINT"/>
    <s v="SOLINT"/>
    <s v="CCMS"/>
    <n v="21327766"/>
    <n v="6692.89"/>
    <m/>
    <s v="N"/>
    <n v="16"/>
    <d v="2023-07-04T19:00:54"/>
    <s v="Y"/>
    <s v="Other"/>
    <s v="VHCC"/>
    <s v="Profit Cost"/>
    <s v="SLR"/>
    <s v="Y"/>
    <n v="14.31"/>
    <n v="2.86"/>
    <x v="1"/>
    <s v="VALIDATED"/>
    <n v="1"/>
    <s v="01.11.80.209.6100.0000"/>
    <n v="14.31"/>
    <s v="11"/>
    <s v="6100"/>
    <n v="15699.41"/>
    <n v="14.31"/>
    <s v="CREDITOR"/>
    <n v="0"/>
    <n v="0"/>
    <n v="0"/>
    <n v="0"/>
    <n v="14.31"/>
  </r>
  <r>
    <n v="59988478"/>
    <s v="N"/>
    <n v="21327532"/>
    <s v="3000014327360010"/>
    <s v="CIVIL"/>
    <d v="2023-06-27T00:00:00"/>
    <d v="2023-07-04T19:00:44"/>
    <m/>
    <d v="2023-07-04T00:00:00"/>
    <n v="507"/>
    <n v="7335"/>
    <s v="59988478"/>
    <s v="59988478"/>
    <m/>
    <m/>
    <n v="22767290"/>
    <m/>
    <m/>
    <m/>
    <s v="SOLFIN"/>
    <s v="SOLFIN"/>
    <s v="CCMS"/>
    <n v="21327532"/>
    <n v="3397.07"/>
    <m/>
    <s v="N"/>
    <n v="5"/>
    <d v="2023-07-04T19:00:49"/>
    <s v="Y"/>
    <s v="Preparation - other"/>
    <s v="VHCC"/>
    <s v="Profit Cost"/>
    <s v="SLR50"/>
    <s v="Y"/>
    <n v="10.73"/>
    <n v="2.15"/>
    <x v="1"/>
    <s v="VALIDATED"/>
    <n v="1"/>
    <s v="01.11.80.203.6100.0000"/>
    <n v="10.73"/>
    <s v="11"/>
    <s v="6100"/>
    <n v="15699.41"/>
    <n v="10.73"/>
    <s v="CREDITOR"/>
    <n v="0"/>
    <n v="0"/>
    <n v="0"/>
    <n v="0"/>
    <n v="10.73"/>
  </r>
  <r>
    <n v="59988478"/>
    <s v="N"/>
    <n v="21327532"/>
    <s v="3000014327360010"/>
    <s v="CIVIL"/>
    <d v="2023-06-27T00:00:00"/>
    <d v="2023-07-04T19:00:44"/>
    <m/>
    <d v="2023-07-04T00:00:00"/>
    <n v="507"/>
    <n v="7335"/>
    <s v="59988478"/>
    <s v="59988478"/>
    <m/>
    <m/>
    <n v="22767290"/>
    <m/>
    <m/>
    <m/>
    <s v="SOLFIN"/>
    <s v="SOLFIN"/>
    <s v="CCMS"/>
    <n v="21327532"/>
    <n v="3397.07"/>
    <m/>
    <s v="N"/>
    <n v="6"/>
    <d v="2023-07-04T19:00:49"/>
    <s v="Y"/>
    <s v="Preparation - other"/>
    <s v="VHCC"/>
    <s v="Profit Cost"/>
    <s v="SLR"/>
    <s v="Y"/>
    <n v="14.31"/>
    <n v="2.86"/>
    <x v="1"/>
    <s v="VALIDATED"/>
    <n v="1"/>
    <s v="01.11.80.203.6100.0000"/>
    <n v="14.31"/>
    <s v="11"/>
    <s v="6100"/>
    <n v="15699.41"/>
    <n v="14.31"/>
    <s v="CREDITOR"/>
    <n v="0"/>
    <n v="0"/>
    <n v="0"/>
    <n v="0"/>
    <n v="14.31"/>
  </r>
  <r>
    <n v="61718760"/>
    <s v="N"/>
    <n v="21395045"/>
    <s v="3000015806460004"/>
    <s v="CIVIL"/>
    <d v="2023-06-27T00:00:00"/>
    <d v="2023-07-19T19:02:01"/>
    <m/>
    <d v="2023-07-19T00:00:00"/>
    <n v="507"/>
    <n v="7335"/>
    <s v="61718760"/>
    <s v="61718760"/>
    <m/>
    <m/>
    <n v="22767438"/>
    <m/>
    <m/>
    <m/>
    <s v="SOLFIN"/>
    <s v="SOLFIN"/>
    <s v="CCMS"/>
    <n v="21395045"/>
    <n v="2548.79"/>
    <m/>
    <s v="N"/>
    <n v="28"/>
    <d v="2023-07-19T19:02:15"/>
    <s v="Y"/>
    <s v="Preparation - Periodic file review"/>
    <s v="Non Family Hourly Rates"/>
    <s v="Profit Cost"/>
    <s v="OAI"/>
    <s v="Y"/>
    <n v="18.9"/>
    <n v="3.78"/>
    <x v="5"/>
    <s v="VALIDATED"/>
    <n v="1"/>
    <s v="01.11.80.208.6100.0000"/>
    <n v="18.9"/>
    <s v="11"/>
    <s v="6100"/>
    <n v="15699.41"/>
    <n v="18.9"/>
    <s v="CREDITOR"/>
    <n v="0"/>
    <n v="0"/>
    <n v="0"/>
    <n v="0"/>
    <n v="18.9"/>
  </r>
  <r>
    <n v="60985307"/>
    <s v="N"/>
    <n v="21327766"/>
    <s v="3000015190330032"/>
    <s v="CIVIL"/>
    <d v="2023-06-29T00:00:00"/>
    <d v="2023-07-04T19:00:44"/>
    <m/>
    <d v="2023-07-04T00:00:00"/>
    <n v="507"/>
    <n v="7335"/>
    <s v="60985307"/>
    <s v="60985307"/>
    <m/>
    <m/>
    <n v="22788750"/>
    <m/>
    <m/>
    <m/>
    <s v="SOLINT"/>
    <s v="SOLINT"/>
    <s v="CCMS"/>
    <n v="21327766"/>
    <n v="6692.89"/>
    <m/>
    <s v="N"/>
    <n v="85"/>
    <d v="2023-07-04T19:00:54"/>
    <s v="Y"/>
    <s v="Interpreter"/>
    <s v="VHCC"/>
    <s v="Expert Disbursement"/>
    <s v="XXX"/>
    <s v="Y"/>
    <n v="80.67"/>
    <n v="16.13"/>
    <x v="1"/>
    <s v="VALIDATED"/>
    <n v="1"/>
    <s v="01.11.80.209.6300.0000"/>
    <n v="80.67"/>
    <s v="11"/>
    <s v="6300"/>
    <n v="15699.41"/>
    <n v="80.67"/>
    <s v="CREDITOR"/>
    <n v="0"/>
    <n v="0"/>
    <n v="0"/>
    <n v="0"/>
    <n v="80.67"/>
  </r>
  <r>
    <n v="60985307"/>
    <s v="N"/>
    <n v="21327766"/>
    <s v="3000015190330032"/>
    <s v="CIVIL"/>
    <d v="2023-06-29T00:00:00"/>
    <d v="2023-07-04T19:00:44"/>
    <m/>
    <d v="2023-07-04T00:00:00"/>
    <n v="507"/>
    <n v="7335"/>
    <s v="60985307"/>
    <s v="60985307"/>
    <m/>
    <m/>
    <n v="22788750"/>
    <m/>
    <m/>
    <m/>
    <s v="SOLINT"/>
    <s v="SOLINT"/>
    <s v="CCMS"/>
    <n v="21327766"/>
    <n v="6692.89"/>
    <m/>
    <s v="N"/>
    <n v="11"/>
    <d v="2023-07-04T19:00:54"/>
    <s v="Y"/>
    <s v="Preparation - other"/>
    <s v="VHCC"/>
    <s v="Profit Cost"/>
    <s v="SLR"/>
    <s v="Y"/>
    <n v="7.16"/>
    <n v="1.43"/>
    <x v="1"/>
    <s v="VALIDATED"/>
    <n v="1"/>
    <s v="01.11.80.209.6100.0000"/>
    <n v="7.16"/>
    <s v="11"/>
    <s v="6100"/>
    <n v="15699.41"/>
    <n v="7.16"/>
    <s v="CREDITOR"/>
    <n v="0"/>
    <n v="0"/>
    <n v="0"/>
    <n v="0"/>
    <n v="7.16"/>
  </r>
  <r>
    <n v="59988478"/>
    <s v="N"/>
    <n v="21327532"/>
    <s v="3000014327360010"/>
    <s v="CIVIL"/>
    <d v="2023-06-27T00:00:00"/>
    <d v="2023-07-04T19:00:44"/>
    <m/>
    <d v="2023-07-04T00:00:00"/>
    <n v="507"/>
    <n v="7335"/>
    <s v="59988478"/>
    <s v="59988478"/>
    <m/>
    <m/>
    <n v="22767290"/>
    <m/>
    <m/>
    <m/>
    <s v="SOLFIN"/>
    <s v="SOLFIN"/>
    <s v="CCMS"/>
    <n v="21327532"/>
    <n v="3397.07"/>
    <m/>
    <s v="N"/>
    <n v="15"/>
    <d v="2023-07-04T19:00:49"/>
    <s v="Y"/>
    <s v="Preparation - other"/>
    <s v="VHCC"/>
    <s v="Profit Cost"/>
    <s v="SLR50"/>
    <s v="Y"/>
    <n v="10.73"/>
    <n v="2.15"/>
    <x v="1"/>
    <s v="VALIDATED"/>
    <n v="1"/>
    <s v="01.11.80.203.6100.0000"/>
    <n v="10.73"/>
    <s v="11"/>
    <s v="6100"/>
    <n v="15699.41"/>
    <n v="10.73"/>
    <s v="CREDITOR"/>
    <n v="0"/>
    <n v="0"/>
    <n v="0"/>
    <n v="0"/>
    <n v="10.73"/>
  </r>
  <r>
    <n v="59989660"/>
    <s v="N"/>
    <n v="21338335"/>
    <s v="3000014333930011"/>
    <s v="CIVIL"/>
    <d v="2023-06-26T00:00:00"/>
    <d v="2023-07-06T19:21:01"/>
    <m/>
    <d v="2023-07-06T00:00:00"/>
    <n v="507"/>
    <n v="7335"/>
    <s v="59989660"/>
    <s v="59989660"/>
    <m/>
    <m/>
    <n v="22760524"/>
    <m/>
    <m/>
    <m/>
    <s v="SOLFIN"/>
    <s v="SOLFIN"/>
    <s v="CCMS"/>
    <n v="21338335"/>
    <n v="18577.62"/>
    <m/>
    <s v="N"/>
    <n v="6"/>
    <d v="2023-07-06T19:21:20"/>
    <s v="Y"/>
    <s v="Hearing Unit 2.31 - 5.00 Hours"/>
    <s v="Public Law Children"/>
    <s v="Advocacy"/>
    <s v="RAJ"/>
    <s v="Y"/>
    <n v="476.92"/>
    <n v="95.38"/>
    <x v="4"/>
    <s v="VALIDATED"/>
    <n v="1"/>
    <s v="01.11.80.308.6100.0000"/>
    <n v="476.92"/>
    <s v="11"/>
    <s v="6100"/>
    <n v="15699.41"/>
    <n v="476.92"/>
    <s v="CREDITOR"/>
    <n v="0"/>
    <n v="0"/>
    <n v="0"/>
    <n v="0"/>
    <n v="476.92"/>
  </r>
  <r>
    <n v="60985307"/>
    <s v="N"/>
    <n v="21327766"/>
    <s v="3000015190330032"/>
    <s v="CIVIL"/>
    <d v="2023-06-29T00:00:00"/>
    <d v="2023-07-04T19:00:44"/>
    <m/>
    <d v="2023-07-04T00:00:00"/>
    <n v="507"/>
    <n v="7335"/>
    <s v="60985307"/>
    <s v="60985307"/>
    <m/>
    <m/>
    <n v="22788750"/>
    <m/>
    <m/>
    <m/>
    <s v="SOLINT"/>
    <s v="SOLINT"/>
    <s v="CCMS"/>
    <n v="21327766"/>
    <n v="6692.89"/>
    <m/>
    <s v="N"/>
    <n v="6"/>
    <d v="2023-07-04T19:00:54"/>
    <s v="Y"/>
    <s v="Preparation - other"/>
    <s v="VHCC"/>
    <s v="Profit Cost"/>
    <s v="SLR"/>
    <s v="Y"/>
    <n v="37.56"/>
    <n v="7.51"/>
    <x v="1"/>
    <s v="VALIDATED"/>
    <n v="1"/>
    <s v="01.11.80.209.6100.0000"/>
    <n v="37.56"/>
    <s v="11"/>
    <s v="6100"/>
    <n v="15699.41"/>
    <n v="37.56"/>
    <s v="CREDITOR"/>
    <n v="0"/>
    <n v="0"/>
    <n v="0"/>
    <n v="0"/>
    <n v="37.56"/>
  </r>
  <r>
    <n v="60985307"/>
    <s v="N"/>
    <n v="21327766"/>
    <s v="3000015190330032"/>
    <s v="CIVIL"/>
    <d v="2023-06-29T00:00:00"/>
    <d v="2023-07-04T19:00:44"/>
    <m/>
    <d v="2023-07-04T00:00:00"/>
    <n v="507"/>
    <n v="7335"/>
    <s v="60985307"/>
    <s v="60985307"/>
    <m/>
    <m/>
    <n v="22788750"/>
    <m/>
    <m/>
    <m/>
    <s v="SOLINT"/>
    <s v="SOLINT"/>
    <s v="CCMS"/>
    <n v="21327766"/>
    <n v="6692.89"/>
    <m/>
    <s v="N"/>
    <n v="36"/>
    <d v="2023-07-04T19:00:54"/>
    <s v="Y"/>
    <s v="Preparation - other"/>
    <s v="VHCC"/>
    <s v="Profit Cost"/>
    <s v="SLR"/>
    <s v="Y"/>
    <n v="25.04"/>
    <n v="5.01"/>
    <x v="1"/>
    <s v="VALIDATED"/>
    <n v="1"/>
    <s v="01.11.80.209.6100.0000"/>
    <n v="25.04"/>
    <s v="11"/>
    <s v="6100"/>
    <n v="15699.41"/>
    <n v="25.04"/>
    <s v="CREDITOR"/>
    <n v="0"/>
    <n v="0"/>
    <n v="0"/>
    <n v="0"/>
    <n v="25.04"/>
  </r>
  <r>
    <n v="60985307"/>
    <s v="N"/>
    <n v="21327766"/>
    <s v="3000015190330032"/>
    <s v="CIVIL"/>
    <d v="2023-06-29T00:00:00"/>
    <d v="2023-07-04T19:00:44"/>
    <m/>
    <d v="2023-07-04T00:00:00"/>
    <n v="507"/>
    <n v="7335"/>
    <s v="60985307"/>
    <s v="60985307"/>
    <m/>
    <m/>
    <n v="22788750"/>
    <m/>
    <m/>
    <m/>
    <s v="SOLINT"/>
    <s v="SOLINT"/>
    <s v="CCMS"/>
    <n v="21327766"/>
    <n v="6692.89"/>
    <m/>
    <s v="N"/>
    <n v="62"/>
    <d v="2023-07-04T19:00:54"/>
    <s v="Y"/>
    <s v="Preparation - other"/>
    <s v="VHCC"/>
    <s v="Profit Cost"/>
    <s v="SLR"/>
    <s v="Y"/>
    <n v="12.52"/>
    <n v="2.5"/>
    <x v="1"/>
    <s v="VALIDATED"/>
    <n v="1"/>
    <s v="01.11.80.209.6100.0000"/>
    <n v="12.52"/>
    <s v="11"/>
    <s v="6100"/>
    <n v="15699.41"/>
    <n v="12.52"/>
    <s v="CREDITOR"/>
    <n v="0"/>
    <n v="0"/>
    <n v="0"/>
    <n v="0"/>
    <n v="12.52"/>
  </r>
  <r>
    <n v="59988478"/>
    <s v="N"/>
    <n v="21327532"/>
    <s v="3000014327360010"/>
    <s v="CIVIL"/>
    <d v="2023-06-27T00:00:00"/>
    <d v="2023-07-04T19:00:44"/>
    <m/>
    <d v="2023-07-04T00:00:00"/>
    <n v="507"/>
    <n v="7335"/>
    <s v="59988478"/>
    <s v="59988478"/>
    <m/>
    <m/>
    <n v="22767290"/>
    <m/>
    <m/>
    <m/>
    <s v="SOLFIN"/>
    <s v="SOLFIN"/>
    <s v="CCMS"/>
    <n v="21327532"/>
    <n v="3397.07"/>
    <m/>
    <s v="N"/>
    <n v="54"/>
    <d v="2023-07-04T19:00:49"/>
    <s v="Y"/>
    <s v="Preparation - drafting bill/claim f"/>
    <s v="VHCC"/>
    <s v="Profit Cost"/>
    <s v="CD"/>
    <s v="Y"/>
    <n v="164.57"/>
    <n v="32.91"/>
    <x v="1"/>
    <s v="VALIDATED"/>
    <n v="1"/>
    <s v="01.11.80.203.6100.0000"/>
    <n v="164.57"/>
    <s v="11"/>
    <s v="6100"/>
    <n v="15699.41"/>
    <n v="164.57"/>
    <s v="CREDITOR"/>
    <n v="0"/>
    <n v="0"/>
    <n v="0"/>
    <n v="0"/>
    <n v="164.57"/>
  </r>
  <r>
    <n v="61718760"/>
    <s v="N"/>
    <n v="21395045"/>
    <s v="3000015806460004"/>
    <s v="CIVIL"/>
    <d v="2023-06-27T00:00:00"/>
    <d v="2023-07-19T19:02:01"/>
    <m/>
    <d v="2023-07-19T00:00:00"/>
    <n v="507"/>
    <n v="7335"/>
    <s v="61718760"/>
    <s v="61718760"/>
    <m/>
    <m/>
    <n v="22767438"/>
    <m/>
    <m/>
    <m/>
    <s v="SOLFIN"/>
    <s v="SOLFIN"/>
    <s v="CCMS"/>
    <n v="21395045"/>
    <n v="2548.79"/>
    <m/>
    <s v="N"/>
    <n v="27"/>
    <d v="2023-07-19T19:02:15"/>
    <s v="Y"/>
    <s v="Attendance upon client"/>
    <s v="Non Family Hourly Rates"/>
    <s v="Profit Cost"/>
    <s v="OAI"/>
    <s v="Y"/>
    <n v="12.6"/>
    <n v="2.52"/>
    <x v="5"/>
    <s v="VALIDATED"/>
    <n v="1"/>
    <s v="01.11.80.208.6100.0000"/>
    <n v="12.6"/>
    <s v="11"/>
    <s v="6100"/>
    <n v="15699.41"/>
    <n v="12.6"/>
    <s v="CREDITOR"/>
    <n v="0"/>
    <n v="0"/>
    <n v="0"/>
    <n v="0"/>
    <n v="12.6"/>
  </r>
  <r>
    <n v="59989660"/>
    <s v="N"/>
    <n v="21338335"/>
    <s v="3000014333930011"/>
    <s v="CIVIL"/>
    <d v="2023-06-26T00:00:00"/>
    <d v="2023-07-06T19:21:01"/>
    <m/>
    <d v="2023-07-06T00:00:00"/>
    <n v="507"/>
    <n v="7335"/>
    <s v="59989660"/>
    <s v="59989660"/>
    <m/>
    <m/>
    <n v="22760524"/>
    <m/>
    <m/>
    <m/>
    <s v="SOLFIN"/>
    <s v="SOLFIN"/>
    <s v="CCMS"/>
    <n v="21338335"/>
    <n v="18577.62"/>
    <m/>
    <s v="N"/>
    <n v="2"/>
    <d v="2023-07-06T19:21:20"/>
    <s v="Y"/>
    <s v="Profit Costs (Summary)"/>
    <s v="Care Remuneration Hourly Rates"/>
    <s v="Profit Cost"/>
    <s v="RAG"/>
    <s v="Y"/>
    <n v="8109.47"/>
    <n v="1621.89"/>
    <x v="4"/>
    <s v="VALIDATED"/>
    <n v="1"/>
    <s v="01.11.80.308.6100.0000"/>
    <n v="8109.47"/>
    <s v="11"/>
    <s v="6100"/>
    <n v="15699.41"/>
    <n v="8109.47"/>
    <s v="CREDITOR"/>
    <n v="0"/>
    <n v="0"/>
    <n v="0"/>
    <n v="0"/>
    <n v="8109.47"/>
  </r>
  <r>
    <n v="59988478"/>
    <s v="N"/>
    <n v="21327532"/>
    <s v="3000014327360010"/>
    <s v="CIVIL"/>
    <d v="2023-06-27T00:00:00"/>
    <d v="2023-07-04T19:00:44"/>
    <m/>
    <d v="2023-07-04T00:00:00"/>
    <n v="507"/>
    <n v="7335"/>
    <s v="59988478"/>
    <s v="59988478"/>
    <m/>
    <m/>
    <n v="22767290"/>
    <m/>
    <m/>
    <m/>
    <s v="SOLFIN"/>
    <s v="SOLFIN"/>
    <s v="CCMS"/>
    <n v="21327532"/>
    <n v="3397.07"/>
    <m/>
    <s v="N"/>
    <n v="13"/>
    <d v="2023-07-04T19:00:49"/>
    <s v="Y"/>
    <s v="Preparation - other"/>
    <s v="VHCC"/>
    <s v="Profit Cost"/>
    <s v="SLR50"/>
    <s v="Y"/>
    <n v="21.46"/>
    <n v="4.29"/>
    <x v="1"/>
    <s v="VALIDATED"/>
    <n v="1"/>
    <s v="01.11.80.203.6100.0000"/>
    <n v="21.46"/>
    <s v="11"/>
    <s v="6100"/>
    <n v="15699.41"/>
    <n v="21.46"/>
    <s v="CREDITOR"/>
    <n v="0"/>
    <n v="0"/>
    <n v="0"/>
    <n v="0"/>
    <n v="21.46"/>
  </r>
  <r>
    <n v="60985307"/>
    <s v="N"/>
    <n v="21327766"/>
    <s v="3000015190330032"/>
    <s v="CIVIL"/>
    <d v="2023-06-29T00:00:00"/>
    <d v="2023-07-04T19:00:44"/>
    <m/>
    <d v="2023-07-04T00:00:00"/>
    <n v="507"/>
    <n v="7335"/>
    <s v="60985307"/>
    <s v="60985307"/>
    <m/>
    <m/>
    <n v="22788750"/>
    <m/>
    <m/>
    <m/>
    <s v="SOLINT"/>
    <s v="SOLINT"/>
    <s v="CCMS"/>
    <n v="21327766"/>
    <n v="6692.89"/>
    <m/>
    <s v="N"/>
    <n v="8"/>
    <d v="2023-07-04T19:00:54"/>
    <s v="Y"/>
    <s v="Preparation - other"/>
    <s v="VHCC"/>
    <s v="Profit Cost"/>
    <s v="SLR"/>
    <s v="Y"/>
    <n v="25.04"/>
    <n v="5.01"/>
    <x v="1"/>
    <s v="VALIDATED"/>
    <n v="1"/>
    <s v="01.11.80.209.6100.0000"/>
    <n v="25.04"/>
    <s v="11"/>
    <s v="6100"/>
    <n v="15699.41"/>
    <n v="25.04"/>
    <s v="CREDITOR"/>
    <n v="0"/>
    <n v="0"/>
    <n v="0"/>
    <n v="0"/>
    <n v="25.04"/>
  </r>
  <r>
    <n v="59989660"/>
    <s v="N"/>
    <n v="21338335"/>
    <s v="3000014333930011"/>
    <s v="CIVIL"/>
    <d v="2023-06-26T00:00:00"/>
    <d v="2023-07-06T19:21:01"/>
    <m/>
    <d v="2023-07-06T00:00:00"/>
    <n v="507"/>
    <n v="7335"/>
    <s v="59989660"/>
    <s v="59989660"/>
    <m/>
    <m/>
    <n v="22760524"/>
    <m/>
    <m/>
    <m/>
    <s v="SOLFIN"/>
    <s v="SOLFIN"/>
    <s v="CCMS"/>
    <n v="21338335"/>
    <n v="18577.62"/>
    <m/>
    <s v="N"/>
    <n v="14"/>
    <d v="2023-07-06T19:21:20"/>
    <s v="Y"/>
    <s v="Hearing Unit 2.31 - 5.00 Hours"/>
    <s v="Public Law Children"/>
    <s v="Advocacy"/>
    <s v="RAJ"/>
    <s v="Y"/>
    <n v="476.92"/>
    <n v="95.38"/>
    <x v="4"/>
    <s v="VALIDATED"/>
    <n v="1"/>
    <s v="01.11.80.308.6100.0000"/>
    <n v="476.92"/>
    <s v="11"/>
    <s v="6100"/>
    <n v="15699.41"/>
    <n v="476.92"/>
    <s v="CREDITOR"/>
    <n v="0"/>
    <n v="0"/>
    <n v="0"/>
    <n v="0"/>
    <n v="476.92"/>
  </r>
  <r>
    <n v="60985307"/>
    <s v="N"/>
    <n v="21327766"/>
    <s v="3000015190330032"/>
    <s v="CIVIL"/>
    <d v="2023-06-29T00:00:00"/>
    <d v="2023-07-04T19:00:44"/>
    <m/>
    <d v="2023-07-04T00:00:00"/>
    <n v="507"/>
    <n v="7335"/>
    <s v="60985307"/>
    <s v="60985307"/>
    <m/>
    <m/>
    <n v="22788750"/>
    <m/>
    <m/>
    <m/>
    <s v="SOLINT"/>
    <s v="SOLINT"/>
    <s v="CCMS"/>
    <n v="21327766"/>
    <n v="6692.89"/>
    <m/>
    <s v="N"/>
    <n v="41"/>
    <d v="2023-07-04T19:00:54"/>
    <s v="Y"/>
    <s v="Attendance upon other side"/>
    <s v="VHCC"/>
    <s v="Profit Cost"/>
    <s v="SLR"/>
    <s v="Y"/>
    <n v="225.38"/>
    <n v="45.07"/>
    <x v="1"/>
    <s v="VALIDATED"/>
    <n v="1"/>
    <s v="01.11.80.209.6100.0000"/>
    <n v="225.38"/>
    <s v="11"/>
    <s v="6100"/>
    <n v="15699.41"/>
    <n v="225.38"/>
    <s v="CREDITOR"/>
    <n v="0"/>
    <n v="0"/>
    <n v="0"/>
    <n v="0"/>
    <n v="225.38"/>
  </r>
  <r>
    <n v="60985307"/>
    <s v="N"/>
    <n v="21327766"/>
    <s v="3000015190330032"/>
    <s v="CIVIL"/>
    <d v="2023-06-29T00:00:00"/>
    <d v="2023-07-04T19:00:44"/>
    <m/>
    <d v="2023-07-04T00:00:00"/>
    <n v="507"/>
    <n v="7335"/>
    <s v="60985307"/>
    <s v="60985307"/>
    <m/>
    <m/>
    <n v="22788750"/>
    <m/>
    <m/>
    <m/>
    <s v="SOLINT"/>
    <s v="SOLINT"/>
    <s v="CCMS"/>
    <n v="21327766"/>
    <n v="6692.89"/>
    <m/>
    <s v="N"/>
    <n v="66"/>
    <d v="2023-07-04T19:00:54"/>
    <s v="Y"/>
    <s v="Preparation - other"/>
    <s v="VHCC"/>
    <s v="Profit Cost"/>
    <s v="SLR"/>
    <s v="Y"/>
    <n v="100.17"/>
    <n v="20.03"/>
    <x v="1"/>
    <s v="VALIDATED"/>
    <n v="1"/>
    <s v="01.11.80.209.6100.0000"/>
    <n v="100.17"/>
    <s v="11"/>
    <s v="6100"/>
    <n v="15699.41"/>
    <n v="100.17"/>
    <s v="CREDITOR"/>
    <n v="0"/>
    <n v="0"/>
    <n v="0"/>
    <n v="0"/>
    <n v="100.17"/>
  </r>
  <r>
    <n v="60985307"/>
    <s v="N"/>
    <n v="21327766"/>
    <s v="3000015190330032"/>
    <s v="CIVIL"/>
    <d v="2023-06-29T00:00:00"/>
    <d v="2023-07-04T19:00:44"/>
    <m/>
    <d v="2023-07-04T00:00:00"/>
    <n v="507"/>
    <n v="7335"/>
    <s v="60985307"/>
    <s v="60985307"/>
    <m/>
    <m/>
    <n v="22788750"/>
    <m/>
    <m/>
    <m/>
    <s v="SOLINT"/>
    <s v="SOLINT"/>
    <s v="CCMS"/>
    <n v="21327766"/>
    <n v="6692.89"/>
    <m/>
    <s v="N"/>
    <n v="21"/>
    <d v="2023-07-04T19:00:54"/>
    <s v="Y"/>
    <s v="Preparation - other"/>
    <s v="VHCC"/>
    <s v="Profit Cost"/>
    <s v="SLR"/>
    <s v="Y"/>
    <n v="162.77"/>
    <n v="32.55"/>
    <x v="1"/>
    <s v="VALIDATED"/>
    <n v="1"/>
    <s v="01.11.80.209.6100.0000"/>
    <n v="162.77"/>
    <s v="11"/>
    <s v="6100"/>
    <n v="15699.41"/>
    <n v="162.77"/>
    <s v="CREDITOR"/>
    <n v="0"/>
    <n v="0"/>
    <n v="0"/>
    <n v="0"/>
    <n v="162.77"/>
  </r>
  <r>
    <n v="60985307"/>
    <s v="N"/>
    <n v="21327766"/>
    <s v="3000015190330032"/>
    <s v="CIVIL"/>
    <d v="2023-06-29T00:00:00"/>
    <d v="2023-07-04T19:00:44"/>
    <m/>
    <d v="2023-07-04T00:00:00"/>
    <n v="507"/>
    <n v="7335"/>
    <s v="60985307"/>
    <s v="60985307"/>
    <m/>
    <m/>
    <n v="22788750"/>
    <m/>
    <m/>
    <m/>
    <s v="SOLINT"/>
    <s v="SOLINT"/>
    <s v="CCMS"/>
    <n v="21327766"/>
    <n v="6692.89"/>
    <m/>
    <s v="N"/>
    <n v="32"/>
    <d v="2023-07-04T19:00:54"/>
    <s v="Y"/>
    <s v="Preparation - other"/>
    <s v="VHCC"/>
    <s v="Profit Cost"/>
    <s v="SLR"/>
    <s v="Y"/>
    <n v="37.56"/>
    <n v="7.51"/>
    <x v="1"/>
    <s v="VALIDATED"/>
    <n v="1"/>
    <s v="01.11.80.209.6100.0000"/>
    <n v="37.56"/>
    <s v="11"/>
    <s v="6100"/>
    <n v="15699.41"/>
    <n v="37.56"/>
    <s v="CREDITOR"/>
    <n v="0"/>
    <n v="0"/>
    <n v="0"/>
    <n v="0"/>
    <n v="37.56"/>
  </r>
  <r>
    <n v="60985307"/>
    <s v="N"/>
    <n v="21327766"/>
    <s v="3000015190330032"/>
    <s v="CIVIL"/>
    <d v="2023-06-29T00:00:00"/>
    <d v="2023-07-04T19:00:44"/>
    <m/>
    <d v="2023-07-04T00:00:00"/>
    <n v="507"/>
    <n v="7335"/>
    <s v="60985307"/>
    <s v="60985307"/>
    <m/>
    <m/>
    <n v="22788750"/>
    <m/>
    <m/>
    <m/>
    <s v="SOLINT"/>
    <s v="SOLINT"/>
    <s v="CCMS"/>
    <n v="21327766"/>
    <n v="6692.89"/>
    <m/>
    <s v="N"/>
    <n v="33"/>
    <d v="2023-07-04T19:00:54"/>
    <s v="Y"/>
    <s v="Preparation - other"/>
    <s v="VHCC"/>
    <s v="Profit Cost"/>
    <s v="SLR"/>
    <s v="Y"/>
    <n v="12.52"/>
    <n v="2.5"/>
    <x v="1"/>
    <s v="VALIDATED"/>
    <n v="1"/>
    <s v="01.11.80.209.6100.0000"/>
    <n v="12.52"/>
    <s v="11"/>
    <s v="6100"/>
    <n v="15699.41"/>
    <n v="12.52"/>
    <s v="CREDITOR"/>
    <n v="0"/>
    <n v="0"/>
    <n v="0"/>
    <n v="0"/>
    <n v="12.52"/>
  </r>
  <r>
    <n v="59988478"/>
    <s v="N"/>
    <n v="21327532"/>
    <s v="3000014327360010"/>
    <s v="CIVIL"/>
    <d v="2023-06-27T00:00:00"/>
    <d v="2023-07-04T19:00:44"/>
    <m/>
    <d v="2023-07-04T00:00:00"/>
    <n v="507"/>
    <n v="7335"/>
    <s v="59988478"/>
    <s v="59988478"/>
    <m/>
    <m/>
    <n v="22767290"/>
    <m/>
    <m/>
    <m/>
    <s v="SOLFIN"/>
    <s v="SOLFIN"/>
    <s v="CCMS"/>
    <n v="21327532"/>
    <n v="3397.07"/>
    <m/>
    <s v="N"/>
    <n v="43"/>
    <d v="2023-07-04T19:00:49"/>
    <s v="Y"/>
    <s v="Preparation - drafting attendance n"/>
    <s v="VHCC"/>
    <s v="Profit Cost"/>
    <s v="SLR"/>
    <s v="Y"/>
    <n v="7.16"/>
    <n v="1.43"/>
    <x v="1"/>
    <s v="VALIDATED"/>
    <n v="1"/>
    <s v="01.11.80.203.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61"/>
    <d v="2023-07-04T19:00:54"/>
    <s v="Y"/>
    <s v="Preparation - other"/>
    <s v="VHCC"/>
    <s v="Profit Cost"/>
    <s v="SLR"/>
    <s v="Y"/>
    <n v="7.16"/>
    <n v="1.43"/>
    <x v="1"/>
    <s v="VALIDATED"/>
    <n v="1"/>
    <s v="01.11.80.209.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48"/>
    <d v="2023-07-04T19:00:54"/>
    <s v="Y"/>
    <s v="Preparation - other"/>
    <s v="VHCC"/>
    <s v="Profit Cost"/>
    <s v="SLR"/>
    <s v="Y"/>
    <n v="7.16"/>
    <n v="1.43"/>
    <x v="1"/>
    <s v="VALIDATED"/>
    <n v="1"/>
    <s v="01.11.80.209.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51"/>
    <d v="2023-07-04T19:00:54"/>
    <s v="Y"/>
    <s v="Waiting - other"/>
    <s v="VHCC"/>
    <s v="Profit Cost"/>
    <s v="SLR"/>
    <s v="Y"/>
    <n v="5.99"/>
    <n v="1.2"/>
    <x v="1"/>
    <s v="VALIDATED"/>
    <n v="1"/>
    <s v="01.11.80.209.6100.0000"/>
    <n v="5.99"/>
    <s v="11"/>
    <s v="6100"/>
    <n v="15699.41"/>
    <n v="5.99"/>
    <s v="CREDITOR"/>
    <n v="0"/>
    <n v="0"/>
    <n v="0"/>
    <n v="0"/>
    <n v="5.99"/>
  </r>
  <r>
    <n v="60985307"/>
    <s v="N"/>
    <n v="21327766"/>
    <s v="3000015190330032"/>
    <s v="CIVIL"/>
    <d v="2023-06-29T00:00:00"/>
    <d v="2023-07-04T19:00:44"/>
    <m/>
    <d v="2023-07-04T00:00:00"/>
    <n v="507"/>
    <n v="7335"/>
    <s v="60985307"/>
    <s v="60985307"/>
    <m/>
    <m/>
    <n v="22788750"/>
    <m/>
    <m/>
    <m/>
    <s v="SOLINT"/>
    <s v="SOLINT"/>
    <s v="CCMS"/>
    <n v="21327766"/>
    <n v="6692.89"/>
    <m/>
    <s v="N"/>
    <n v="23"/>
    <d v="2023-07-04T19:00:54"/>
    <s v="Y"/>
    <s v="Preparation - drafting bill/claim f"/>
    <s v="VHCC"/>
    <s v="Profit Cost"/>
    <s v="SLR"/>
    <s v="Y"/>
    <n v="14.31"/>
    <n v="2.86"/>
    <x v="1"/>
    <s v="VALIDATED"/>
    <n v="1"/>
    <s v="01.11.80.209.6100.0000"/>
    <n v="14.31"/>
    <s v="11"/>
    <s v="6100"/>
    <n v="15699.41"/>
    <n v="14.31"/>
    <s v="CREDITOR"/>
    <n v="0"/>
    <n v="0"/>
    <n v="0"/>
    <n v="0"/>
    <n v="14.31"/>
  </r>
  <r>
    <n v="60985307"/>
    <s v="N"/>
    <n v="21327766"/>
    <s v="3000015190330032"/>
    <s v="CIVIL"/>
    <d v="2023-06-29T00:00:00"/>
    <d v="2023-07-04T19:00:44"/>
    <m/>
    <d v="2023-07-04T00:00:00"/>
    <n v="507"/>
    <n v="7335"/>
    <s v="60985307"/>
    <s v="60985307"/>
    <m/>
    <m/>
    <n v="22788750"/>
    <m/>
    <m/>
    <m/>
    <s v="SOLINT"/>
    <s v="SOLINT"/>
    <s v="CCMS"/>
    <n v="21327766"/>
    <n v="6692.89"/>
    <m/>
    <s v="N"/>
    <n v="67"/>
    <d v="2023-07-04T19:00:54"/>
    <s v="Y"/>
    <s v="Attendance upon client"/>
    <s v="VHCC"/>
    <s v="Profit Cost"/>
    <s v="SLR"/>
    <s v="Y"/>
    <n v="225.38"/>
    <n v="45.07"/>
    <x v="1"/>
    <s v="VALIDATED"/>
    <n v="1"/>
    <s v="01.11.80.209.6100.0000"/>
    <n v="225.38"/>
    <s v="11"/>
    <s v="6100"/>
    <n v="15699.41"/>
    <n v="225.38"/>
    <s v="CREDITOR"/>
    <n v="0"/>
    <n v="0"/>
    <n v="0"/>
    <n v="0"/>
    <n v="225.38"/>
  </r>
  <r>
    <n v="59988478"/>
    <s v="N"/>
    <n v="21327532"/>
    <s v="3000014327360010"/>
    <s v="CIVIL"/>
    <d v="2023-06-27T00:00:00"/>
    <d v="2023-07-04T19:00:44"/>
    <m/>
    <d v="2023-07-04T00:00:00"/>
    <n v="507"/>
    <n v="7335"/>
    <s v="59988478"/>
    <s v="59988478"/>
    <m/>
    <m/>
    <n v="22767290"/>
    <m/>
    <m/>
    <m/>
    <s v="SOLFIN"/>
    <s v="SOLFIN"/>
    <s v="CCMS"/>
    <n v="21327532"/>
    <n v="3397.07"/>
    <m/>
    <s v="N"/>
    <n v="28"/>
    <d v="2023-07-04T19:00:49"/>
    <s v="Y"/>
    <s v="Preparation - other"/>
    <s v="VHCC"/>
    <s v="Profit Cost"/>
    <s v="PB50"/>
    <s v="Y"/>
    <n v="214.64"/>
    <n v="42.93"/>
    <x v="1"/>
    <s v="VALIDATED"/>
    <n v="1"/>
    <s v="01.11.80.203.6100.0000"/>
    <n v="214.64"/>
    <s v="11"/>
    <s v="6100"/>
    <n v="15699.41"/>
    <n v="214.64"/>
    <s v="CREDITOR"/>
    <n v="0"/>
    <n v="0"/>
    <n v="0"/>
    <n v="0"/>
    <n v="214.64"/>
  </r>
  <r>
    <n v="54298401"/>
    <s v="N"/>
    <n v="21319097"/>
    <s v="3000012964040004"/>
    <s v="CIVIL"/>
    <d v="2023-06-19T00:00:00"/>
    <d v="2023-07-03T19:01:49"/>
    <m/>
    <d v="2023-07-03T00:00:00"/>
    <n v="507"/>
    <n v="7335"/>
    <s v="54298401"/>
    <s v="54298401"/>
    <m/>
    <m/>
    <n v="22718764"/>
    <m/>
    <m/>
    <m/>
    <s v="SOLFIN"/>
    <s v="SOLFIN"/>
    <s v="CCMS"/>
    <n v="21319097"/>
    <n v="406.57"/>
    <m/>
    <s v="N"/>
    <n v="7"/>
    <d v="2023-07-03T19:02:11"/>
    <s v="Y"/>
    <s v="Preparation - other"/>
    <s v="Non Family Hourly Rates"/>
    <s v="Profit Cost"/>
    <s v="SM"/>
    <s v="Y"/>
    <n v="12.6"/>
    <n v="2.52"/>
    <x v="3"/>
    <s v="VALIDATED"/>
    <n v="1"/>
    <s v="01.11.80.208.6100.0000"/>
    <n v="12.6"/>
    <s v="11"/>
    <s v="6100"/>
    <n v="15699.41"/>
    <n v="12.6"/>
    <s v="CREDITOR"/>
    <n v="0"/>
    <n v="0"/>
    <n v="0"/>
    <n v="0"/>
    <n v="12.6"/>
  </r>
  <r>
    <n v="61718760"/>
    <s v="N"/>
    <n v="21395045"/>
    <s v="3000015806460004"/>
    <s v="CIVIL"/>
    <d v="2023-06-27T00:00:00"/>
    <d v="2023-07-19T19:02:01"/>
    <m/>
    <d v="2023-07-19T00:00:00"/>
    <n v="507"/>
    <n v="7335"/>
    <s v="61718760"/>
    <s v="61718760"/>
    <m/>
    <m/>
    <n v="22767438"/>
    <m/>
    <m/>
    <m/>
    <s v="SOLFIN"/>
    <s v="SOLFIN"/>
    <s v="CCMS"/>
    <n v="21395045"/>
    <n v="2548.79"/>
    <m/>
    <s v="N"/>
    <n v="33"/>
    <d v="2023-07-19T19:02:15"/>
    <s v="Y"/>
    <s v="Preparation - drafting bill/claim f"/>
    <s v="Non Family Hourly Rates"/>
    <s v="Profit Cost"/>
    <s v="CD"/>
    <s v="Y"/>
    <n v="81.90000000000001"/>
    <n v="16.38"/>
    <x v="5"/>
    <s v="VALIDATED"/>
    <n v="1"/>
    <s v="01.11.80.208.6100.0000"/>
    <n v="81.90000000000001"/>
    <s v="11"/>
    <s v="6100"/>
    <n v="15699.41"/>
    <n v="81.90000000000001"/>
    <s v="CREDITOR"/>
    <n v="0"/>
    <n v="0"/>
    <n v="0"/>
    <n v="0"/>
    <n v="81.90000000000001"/>
  </r>
  <r>
    <n v="61718760"/>
    <s v="N"/>
    <n v="21395045"/>
    <s v="3000015806460004"/>
    <s v="CIVIL"/>
    <d v="2023-06-27T00:00:00"/>
    <d v="2023-07-19T19:02:01"/>
    <m/>
    <d v="2023-07-19T00:00:00"/>
    <n v="507"/>
    <n v="7335"/>
    <s v="61718760"/>
    <s v="61718760"/>
    <m/>
    <m/>
    <n v="22767438"/>
    <m/>
    <m/>
    <m/>
    <s v="SOLFIN"/>
    <s v="SOLFIN"/>
    <s v="CCMS"/>
    <n v="21395045"/>
    <n v="2548.79"/>
    <m/>
    <s v="N"/>
    <n v="12"/>
    <d v="2023-07-19T19:02:15"/>
    <s v="Y"/>
    <s v="Attendance upon client"/>
    <s v="Non Family Hourly Rates"/>
    <s v="Profit Cost"/>
    <s v="OAI"/>
    <s v="Y"/>
    <n v="81.90000000000001"/>
    <n v="16.38"/>
    <x v="5"/>
    <s v="VALIDATED"/>
    <n v="1"/>
    <s v="01.11.80.208.6100.0000"/>
    <n v="81.90000000000001"/>
    <s v="11"/>
    <s v="6100"/>
    <n v="15699.41"/>
    <n v="81.90000000000001"/>
    <s v="CREDITOR"/>
    <n v="0"/>
    <n v="0"/>
    <n v="0"/>
    <n v="0"/>
    <n v="81.90000000000001"/>
  </r>
  <r>
    <n v="60985307"/>
    <s v="N"/>
    <n v="21327766"/>
    <s v="3000015190330032"/>
    <s v="CIVIL"/>
    <d v="2023-06-29T00:00:00"/>
    <d v="2023-07-04T19:00:44"/>
    <m/>
    <d v="2023-07-04T00:00:00"/>
    <n v="507"/>
    <n v="7335"/>
    <s v="60985307"/>
    <s v="60985307"/>
    <m/>
    <m/>
    <n v="22788750"/>
    <m/>
    <m/>
    <m/>
    <s v="SOLINT"/>
    <s v="SOLINT"/>
    <s v="CCMS"/>
    <n v="21327766"/>
    <n v="6692.89"/>
    <m/>
    <s v="N"/>
    <n v="27"/>
    <d v="2023-07-04T19:00:54"/>
    <s v="Y"/>
    <s v="Preparation - other"/>
    <s v="VHCC"/>
    <s v="Profit Cost"/>
    <s v="SLR"/>
    <s v="Y"/>
    <n v="62.61"/>
    <n v="12.52"/>
    <x v="1"/>
    <s v="VALIDATED"/>
    <n v="1"/>
    <s v="01.11.80.209.6100.0000"/>
    <n v="62.61"/>
    <s v="11"/>
    <s v="6100"/>
    <n v="15699.41"/>
    <n v="62.61"/>
    <s v="CREDITOR"/>
    <n v="0"/>
    <n v="0"/>
    <n v="0"/>
    <n v="0"/>
    <n v="62.61"/>
  </r>
  <r>
    <n v="60985307"/>
    <s v="N"/>
    <n v="21327766"/>
    <s v="3000015190330032"/>
    <s v="CIVIL"/>
    <d v="2023-06-29T00:00:00"/>
    <d v="2023-07-04T19:00:44"/>
    <m/>
    <d v="2023-07-04T00:00:00"/>
    <n v="507"/>
    <n v="7335"/>
    <s v="60985307"/>
    <s v="60985307"/>
    <m/>
    <m/>
    <n v="22788750"/>
    <m/>
    <m/>
    <m/>
    <s v="SOLINT"/>
    <s v="SOLINT"/>
    <s v="CCMS"/>
    <n v="21327766"/>
    <n v="6692.89"/>
    <m/>
    <s v="N"/>
    <n v="53"/>
    <d v="2023-07-04T19:00:54"/>
    <s v="Y"/>
    <s v="Attendance upon other"/>
    <s v="VHCC"/>
    <s v="Profit Cost"/>
    <s v="SLR"/>
    <s v="Y"/>
    <n v="14.31"/>
    <n v="2.86"/>
    <x v="1"/>
    <s v="VALIDATED"/>
    <n v="1"/>
    <s v="01.11.80.209.6100.0000"/>
    <n v="14.31"/>
    <s v="11"/>
    <s v="6100"/>
    <n v="15699.41"/>
    <n v="14.31"/>
    <s v="CREDITOR"/>
    <n v="0"/>
    <n v="0"/>
    <n v="0"/>
    <n v="0"/>
    <n v="14.31"/>
  </r>
  <r>
    <n v="59988478"/>
    <s v="N"/>
    <n v="21327532"/>
    <s v="3000014327360010"/>
    <s v="CIVIL"/>
    <d v="2023-06-27T00:00:00"/>
    <d v="2023-07-04T19:00:44"/>
    <m/>
    <d v="2023-07-04T00:00:00"/>
    <n v="507"/>
    <n v="7335"/>
    <s v="59988478"/>
    <s v="59988478"/>
    <m/>
    <m/>
    <n v="22767290"/>
    <m/>
    <m/>
    <m/>
    <s v="SOLFIN"/>
    <s v="SOLFIN"/>
    <s v="CCMS"/>
    <n v="21327532"/>
    <n v="3397.07"/>
    <m/>
    <s v="N"/>
    <n v="4"/>
    <d v="2023-07-04T19:00:49"/>
    <s v="Y"/>
    <s v="Preparation - drafting statement"/>
    <s v="VHCC"/>
    <s v="Profit Cost"/>
    <s v="SLR50"/>
    <s v="Y"/>
    <n v="10.73"/>
    <n v="2.15"/>
    <x v="1"/>
    <s v="VALIDATED"/>
    <n v="1"/>
    <s v="01.11.80.203.6100.0000"/>
    <n v="10.73"/>
    <s v="11"/>
    <s v="6100"/>
    <n v="15699.41"/>
    <n v="10.73"/>
    <s v="CREDITOR"/>
    <n v="0"/>
    <n v="0"/>
    <n v="0"/>
    <n v="0"/>
    <n v="10.73"/>
  </r>
  <r>
    <n v="60985307"/>
    <s v="N"/>
    <n v="21327766"/>
    <s v="3000015190330032"/>
    <s v="CIVIL"/>
    <d v="2023-06-29T00:00:00"/>
    <d v="2023-07-04T19:00:44"/>
    <m/>
    <d v="2023-07-04T00:00:00"/>
    <n v="507"/>
    <n v="7335"/>
    <s v="60985307"/>
    <s v="60985307"/>
    <m/>
    <m/>
    <n v="22788750"/>
    <m/>
    <m/>
    <m/>
    <s v="SOLINT"/>
    <s v="SOLINT"/>
    <s v="CCMS"/>
    <n v="21327766"/>
    <n v="6692.89"/>
    <m/>
    <s v="N"/>
    <n v="69"/>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2"/>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3"/>
    <d v="2023-07-04T19:00:54"/>
    <s v="Y"/>
    <s v="Preparation - other"/>
    <s v="VHCC"/>
    <s v="Profit Cost"/>
    <s v="SLR"/>
    <s v="Y"/>
    <n v="37.56"/>
    <n v="7.51"/>
    <x v="1"/>
    <s v="VALIDATED"/>
    <n v="1"/>
    <s v="01.11.80.209.6100.0000"/>
    <n v="37.56"/>
    <s v="11"/>
    <s v="6100"/>
    <n v="15699.41"/>
    <n v="37.56"/>
    <s v="CREDITOR"/>
    <n v="0"/>
    <n v="0"/>
    <n v="0"/>
    <n v="0"/>
    <n v="37.56"/>
  </r>
  <r>
    <n v="60985307"/>
    <s v="N"/>
    <n v="21327766"/>
    <s v="3000015190330032"/>
    <s v="CIVIL"/>
    <d v="2023-06-29T00:00:00"/>
    <d v="2023-07-04T19:00:44"/>
    <m/>
    <d v="2023-07-04T00:00:00"/>
    <n v="507"/>
    <n v="7335"/>
    <s v="60985307"/>
    <s v="60985307"/>
    <m/>
    <m/>
    <n v="22788750"/>
    <m/>
    <m/>
    <m/>
    <s v="SOLINT"/>
    <s v="SOLINT"/>
    <s v="CCMS"/>
    <n v="21327766"/>
    <n v="6692.89"/>
    <m/>
    <s v="N"/>
    <n v="42"/>
    <d v="2023-07-04T19:00:54"/>
    <s v="Y"/>
    <s v="Preparation - drafting attendance n"/>
    <s v="VHCC"/>
    <s v="Profit Cost"/>
    <s v="SLR"/>
    <s v="Y"/>
    <n v="7.16"/>
    <n v="1.43"/>
    <x v="1"/>
    <s v="VALIDATED"/>
    <n v="1"/>
    <s v="01.11.80.209.6100.0000"/>
    <n v="7.16"/>
    <s v="11"/>
    <s v="6100"/>
    <n v="15699.41"/>
    <n v="7.16"/>
    <s v="CREDITOR"/>
    <n v="0"/>
    <n v="0"/>
    <n v="0"/>
    <n v="0"/>
    <n v="7.16"/>
  </r>
  <r>
    <n v="59988478"/>
    <s v="N"/>
    <n v="21327532"/>
    <s v="3000014327360010"/>
    <s v="CIVIL"/>
    <d v="2023-06-27T00:00:00"/>
    <d v="2023-07-04T19:00:44"/>
    <m/>
    <d v="2023-07-04T00:00:00"/>
    <n v="507"/>
    <n v="7335"/>
    <s v="59988478"/>
    <s v="59988478"/>
    <m/>
    <m/>
    <n v="22767290"/>
    <m/>
    <m/>
    <m/>
    <s v="SOLFIN"/>
    <s v="SOLFIN"/>
    <s v="CCMS"/>
    <n v="21327532"/>
    <n v="3397.07"/>
    <m/>
    <s v="N"/>
    <n v="25"/>
    <d v="2023-07-04T19:00:49"/>
    <s v="Y"/>
    <s v="Attendance upon other side"/>
    <s v="VHCC"/>
    <s v="Profit Cost"/>
    <s v="PB"/>
    <s v="Y"/>
    <n v="143.1"/>
    <n v="28.62"/>
    <x v="1"/>
    <s v="VALIDATED"/>
    <n v="1"/>
    <s v="01.11.80.203.6100.0000"/>
    <n v="143.1"/>
    <s v="11"/>
    <s v="6100"/>
    <n v="15699.41"/>
    <n v="143.1"/>
    <s v="CREDITOR"/>
    <n v="0"/>
    <n v="0"/>
    <n v="0"/>
    <n v="0"/>
    <n v="143.1"/>
  </r>
  <r>
    <n v="59988478"/>
    <s v="N"/>
    <n v="21327532"/>
    <s v="3000014327360010"/>
    <s v="CIVIL"/>
    <d v="2023-06-27T00:00:00"/>
    <d v="2023-07-04T19:00:44"/>
    <m/>
    <d v="2023-07-04T00:00:00"/>
    <n v="507"/>
    <n v="7335"/>
    <s v="59988478"/>
    <s v="59988478"/>
    <m/>
    <m/>
    <n v="22767290"/>
    <m/>
    <m/>
    <m/>
    <s v="SOLFIN"/>
    <s v="SOLFIN"/>
    <s v="CCMS"/>
    <n v="21327532"/>
    <n v="3397.07"/>
    <m/>
    <s v="N"/>
    <n v="26"/>
    <d v="2023-07-04T19:00:49"/>
    <s v="Y"/>
    <s v="Preparation - drafting attendance n"/>
    <s v="VHCC"/>
    <s v="Profit Cost"/>
    <s v="SLR"/>
    <s v="Y"/>
    <n v="7.16"/>
    <n v="1.43"/>
    <x v="1"/>
    <s v="VALIDATED"/>
    <n v="1"/>
    <s v="01.11.80.203.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79"/>
    <d v="2023-07-04T19:00:54"/>
    <s v="Y"/>
    <s v="Preparation - other"/>
    <s v="VHCC"/>
    <s v="Profit Cost"/>
    <s v="JLM"/>
    <s v="Y"/>
    <n v="37.56"/>
    <n v="7.51"/>
    <x v="1"/>
    <s v="VALIDATED"/>
    <n v="1"/>
    <s v="01.11.80.209.6100.0000"/>
    <n v="37.56"/>
    <s v="11"/>
    <s v="6100"/>
    <n v="15699.41"/>
    <n v="37.56"/>
    <s v="CREDITOR"/>
    <n v="0"/>
    <n v="0"/>
    <n v="0"/>
    <n v="0"/>
    <n v="37.56"/>
  </r>
  <r>
    <n v="61718760"/>
    <s v="N"/>
    <n v="21395045"/>
    <s v="3000015806460004"/>
    <s v="CIVIL"/>
    <d v="2023-06-27T00:00:00"/>
    <d v="2023-07-19T19:02:01"/>
    <m/>
    <d v="2023-07-19T00:00:00"/>
    <n v="507"/>
    <n v="7335"/>
    <s v="61718760"/>
    <s v="61718760"/>
    <m/>
    <m/>
    <n v="22767438"/>
    <m/>
    <m/>
    <m/>
    <s v="SOLFIN"/>
    <s v="SOLFIN"/>
    <s v="CCMS"/>
    <n v="21395045"/>
    <n v="2548.79"/>
    <m/>
    <s v="N"/>
    <n v="14"/>
    <d v="2023-07-19T19:02:15"/>
    <s v="Y"/>
    <s v="Preparation - drafting application"/>
    <s v="Non Family Hourly Rates"/>
    <s v="Profit Cost"/>
    <s v="OAI"/>
    <s v="Y"/>
    <n v="94.5"/>
    <n v="18.9"/>
    <x v="5"/>
    <s v="VALIDATED"/>
    <n v="1"/>
    <s v="01.11.80.208.6100.0000"/>
    <n v="94.5"/>
    <s v="11"/>
    <s v="6100"/>
    <n v="15699.41"/>
    <n v="94.5"/>
    <s v="CREDITOR"/>
    <n v="0"/>
    <n v="0"/>
    <n v="0"/>
    <n v="0"/>
    <n v="94.5"/>
  </r>
  <r>
    <n v="60985307"/>
    <s v="N"/>
    <n v="21327766"/>
    <s v="3000015190330032"/>
    <s v="CIVIL"/>
    <d v="2023-06-29T00:00:00"/>
    <d v="2023-07-04T19:00:44"/>
    <m/>
    <d v="2023-07-04T00:00:00"/>
    <n v="507"/>
    <n v="7335"/>
    <s v="60985307"/>
    <s v="60985307"/>
    <m/>
    <m/>
    <n v="22788750"/>
    <m/>
    <m/>
    <m/>
    <s v="SOLINT"/>
    <s v="SOLINT"/>
    <s v="CCMS"/>
    <n v="21327766"/>
    <n v="6692.89"/>
    <m/>
    <s v="N"/>
    <n v="84"/>
    <d v="2023-07-04T19:00:54"/>
    <s v="Y"/>
    <s v="Interpreter"/>
    <s v="VHCC"/>
    <s v="Expert Disbursement"/>
    <s v="XXX"/>
    <s v="Y"/>
    <n v="137.2"/>
    <n v="27.44"/>
    <x v="1"/>
    <s v="VALIDATED"/>
    <n v="1"/>
    <s v="01.11.80.209.6300.0000"/>
    <n v="137.2"/>
    <s v="11"/>
    <s v="6300"/>
    <n v="15699.41"/>
    <n v="137.2"/>
    <s v="CREDITOR"/>
    <n v="0"/>
    <n v="0"/>
    <n v="0"/>
    <n v="0"/>
    <n v="137.2"/>
  </r>
  <r>
    <n v="60985307"/>
    <s v="N"/>
    <n v="21327766"/>
    <s v="3000015190330032"/>
    <s v="CIVIL"/>
    <d v="2023-06-29T00:00:00"/>
    <d v="2023-07-04T19:00:44"/>
    <m/>
    <d v="2023-07-04T00:00:00"/>
    <n v="507"/>
    <n v="7335"/>
    <s v="60985307"/>
    <s v="60985307"/>
    <m/>
    <m/>
    <n v="22788750"/>
    <m/>
    <m/>
    <m/>
    <s v="SOLINT"/>
    <s v="SOLINT"/>
    <s v="CCMS"/>
    <n v="21327766"/>
    <n v="6692.89"/>
    <m/>
    <s v="N"/>
    <n v="15"/>
    <d v="2023-07-04T19:00:54"/>
    <s v="Y"/>
    <s v="Preparation - drafting attendance n"/>
    <s v="VHCC"/>
    <s v="Profit Cost"/>
    <s v="SLR"/>
    <s v="Y"/>
    <n v="7.16"/>
    <n v="1.43"/>
    <x v="1"/>
    <s v="VALIDATED"/>
    <n v="1"/>
    <s v="01.11.80.209.6100.0000"/>
    <n v="7.16"/>
    <s v="11"/>
    <s v="6100"/>
    <n v="15699.41"/>
    <n v="7.16"/>
    <s v="CREDITOR"/>
    <n v="0"/>
    <n v="0"/>
    <n v="0"/>
    <n v="0"/>
    <n v="7.16"/>
  </r>
  <r>
    <n v="60985307"/>
    <s v="N"/>
    <n v="21327766"/>
    <s v="3000015190330032"/>
    <s v="CIVIL"/>
    <d v="2023-06-29T00:00:00"/>
    <d v="2023-07-04T19:00:44"/>
    <m/>
    <d v="2023-07-04T00:00:00"/>
    <n v="507"/>
    <n v="7335"/>
    <s v="60985307"/>
    <s v="60985307"/>
    <m/>
    <m/>
    <n v="22788750"/>
    <m/>
    <m/>
    <m/>
    <s v="SOLINT"/>
    <s v="SOLINT"/>
    <s v="CCMS"/>
    <n v="21327766"/>
    <n v="6692.89"/>
    <m/>
    <s v="N"/>
    <n v="24"/>
    <d v="2023-07-04T19:00:54"/>
    <s v="Y"/>
    <s v="Preparation - other"/>
    <s v="VHCC"/>
    <s v="Profit Cost"/>
    <s v="SLR"/>
    <s v="Y"/>
    <n v="37.56"/>
    <n v="7.51"/>
    <x v="1"/>
    <s v="VALIDATED"/>
    <n v="1"/>
    <s v="01.11.80.209.6100.0000"/>
    <n v="37.56"/>
    <s v="11"/>
    <s v="6100"/>
    <n v="15699.41"/>
    <n v="37.56"/>
    <s v="CREDITOR"/>
    <n v="0"/>
    <n v="0"/>
    <n v="0"/>
    <n v="0"/>
    <n v="37.56"/>
  </r>
  <r>
    <n v="60985307"/>
    <s v="N"/>
    <n v="21327766"/>
    <s v="3000015190330032"/>
    <s v="CIVIL"/>
    <d v="2023-06-29T00:00:00"/>
    <d v="2023-07-04T19:00:44"/>
    <m/>
    <d v="2023-07-04T00:00:00"/>
    <n v="507"/>
    <n v="7335"/>
    <s v="60985307"/>
    <s v="60985307"/>
    <m/>
    <m/>
    <n v="22788750"/>
    <m/>
    <m/>
    <m/>
    <s v="SOLINT"/>
    <s v="SOLINT"/>
    <s v="CCMS"/>
    <n v="21327766"/>
    <n v="6692.89"/>
    <m/>
    <s v="N"/>
    <n v="7"/>
    <d v="2023-07-04T19:00:54"/>
    <s v="Y"/>
    <s v="Other"/>
    <s v="VHCC"/>
    <s v="Profit Cost"/>
    <s v="MSK"/>
    <s v="Y"/>
    <n v="71.55"/>
    <n v="14.31"/>
    <x v="1"/>
    <s v="VALIDATED"/>
    <n v="1"/>
    <s v="01.11.80.209.6100.0000"/>
    <n v="71.55"/>
    <s v="11"/>
    <s v="6100"/>
    <n v="15699.41"/>
    <n v="71.55"/>
    <s v="CREDITOR"/>
    <n v="0"/>
    <n v="0"/>
    <n v="0"/>
    <n v="0"/>
    <n v="71.55"/>
  </r>
  <r>
    <n v="60985307"/>
    <s v="N"/>
    <n v="21327766"/>
    <s v="3000015190330032"/>
    <s v="CIVIL"/>
    <d v="2023-06-29T00:00:00"/>
    <d v="2023-07-04T19:00:44"/>
    <m/>
    <d v="2023-07-04T00:00:00"/>
    <n v="507"/>
    <n v="7335"/>
    <s v="60985307"/>
    <s v="60985307"/>
    <m/>
    <m/>
    <n v="22788750"/>
    <m/>
    <m/>
    <m/>
    <s v="SOLINT"/>
    <s v="SOLINT"/>
    <s v="CCMS"/>
    <n v="21327766"/>
    <n v="6692.89"/>
    <m/>
    <s v="N"/>
    <n v="43"/>
    <d v="2023-07-04T19:00:54"/>
    <s v="Y"/>
    <s v="Preparation - other"/>
    <s v="VHCC"/>
    <s v="Profit Cost"/>
    <s v="SLR"/>
    <s v="Y"/>
    <n v="25.04"/>
    <n v="5.01"/>
    <x v="1"/>
    <s v="VALIDATED"/>
    <n v="1"/>
    <s v="01.11.80.209.6100.0000"/>
    <n v="25.04"/>
    <s v="11"/>
    <s v="6100"/>
    <n v="15699.41"/>
    <n v="25.04"/>
    <s v="CREDITOR"/>
    <n v="0"/>
    <n v="0"/>
    <n v="0"/>
    <n v="0"/>
    <n v="25.04"/>
  </r>
  <r>
    <n v="59988478"/>
    <s v="N"/>
    <n v="21327532"/>
    <s v="3000014327360010"/>
    <s v="CIVIL"/>
    <d v="2023-06-27T00:00:00"/>
    <d v="2023-07-04T19:00:44"/>
    <m/>
    <d v="2023-07-04T00:00:00"/>
    <n v="507"/>
    <n v="7335"/>
    <s v="59988478"/>
    <s v="59988478"/>
    <m/>
    <m/>
    <n v="22767290"/>
    <m/>
    <m/>
    <m/>
    <s v="SOLFIN"/>
    <s v="SOLFIN"/>
    <s v="CCMS"/>
    <n v="21327532"/>
    <n v="3397.07"/>
    <m/>
    <s v="N"/>
    <n v="44"/>
    <d v="2023-07-04T19:00:49"/>
    <s v="Y"/>
    <s v="Preparation - other"/>
    <s v="VHCC"/>
    <s v="Profit Cost"/>
    <s v="SLR50"/>
    <s v="Y"/>
    <n v="21.46"/>
    <n v="4.29"/>
    <x v="1"/>
    <s v="VALIDATED"/>
    <n v="1"/>
    <s v="01.11.80.203.6100.0000"/>
    <n v="21.46"/>
    <s v="11"/>
    <s v="6100"/>
    <n v="15699.41"/>
    <n v="21.46"/>
    <s v="CREDITOR"/>
    <n v="0"/>
    <n v="0"/>
    <n v="0"/>
    <n v="0"/>
    <n v="21.46"/>
  </r>
  <r>
    <n v="54298401"/>
    <s v="N"/>
    <n v="21319097"/>
    <s v="3000012964040004"/>
    <s v="CIVIL"/>
    <d v="2023-06-19T00:00:00"/>
    <d v="2023-07-03T19:01:49"/>
    <m/>
    <d v="2023-07-03T00:00:00"/>
    <n v="507"/>
    <n v="7335"/>
    <s v="54298401"/>
    <s v="54298401"/>
    <m/>
    <m/>
    <n v="22718764"/>
    <m/>
    <m/>
    <m/>
    <s v="SOLFIN"/>
    <s v="SOLFIN"/>
    <s v="CCMS"/>
    <n v="21319097"/>
    <n v="406.57"/>
    <m/>
    <s v="N"/>
    <n v="2"/>
    <d v="2023-07-03T19:02:11"/>
    <s v="Y"/>
    <s v="Preparation - drafting application"/>
    <s v="Non Family Hourly Rates"/>
    <s v="Profit Cost"/>
    <s v="SM"/>
    <s v="Y"/>
    <n v="37.8"/>
    <n v="7.56"/>
    <x v="3"/>
    <s v="VALIDATED"/>
    <n v="1"/>
    <s v="01.11.80.208.6100.0000"/>
    <n v="37.8"/>
    <s v="11"/>
    <s v="6100"/>
    <n v="15699.41"/>
    <n v="37.8"/>
    <s v="CREDITOR"/>
    <n v="0"/>
    <n v="0"/>
    <n v="0"/>
    <n v="0"/>
    <n v="37.8"/>
  </r>
  <r>
    <n v="61718760"/>
    <s v="N"/>
    <n v="21395045"/>
    <s v="3000015806460004"/>
    <s v="CIVIL"/>
    <d v="2023-06-27T00:00:00"/>
    <d v="2023-07-19T19:02:01"/>
    <m/>
    <d v="2023-07-19T00:00:00"/>
    <n v="507"/>
    <n v="7335"/>
    <s v="61718760"/>
    <s v="61718760"/>
    <m/>
    <m/>
    <n v="22767438"/>
    <m/>
    <m/>
    <m/>
    <s v="SOLFIN"/>
    <s v="SOLFIN"/>
    <s v="CCMS"/>
    <n v="21395045"/>
    <n v="2548.79"/>
    <m/>
    <s v="N"/>
    <n v="17"/>
    <d v="2023-07-19T19:02:15"/>
    <s v="Y"/>
    <s v="Preparation - drafting consent orde"/>
    <s v="Non Family Hourly Rates"/>
    <s v="Profit Cost"/>
    <s v="OAI"/>
    <s v="Y"/>
    <n v="18.9"/>
    <n v="3.78"/>
    <x v="5"/>
    <s v="VALIDATED"/>
    <n v="1"/>
    <s v="01.11.80.208.6100.0000"/>
    <n v="18.9"/>
    <s v="11"/>
    <s v="6100"/>
    <n v="15699.41"/>
    <n v="18.9"/>
    <s v="CREDITOR"/>
    <n v="0"/>
    <n v="0"/>
    <n v="0"/>
    <n v="0"/>
    <n v="18.9"/>
  </r>
  <r>
    <n v="61718760"/>
    <s v="N"/>
    <n v="21395045"/>
    <s v="3000015806460004"/>
    <s v="CIVIL"/>
    <d v="2023-06-27T00:00:00"/>
    <d v="2023-07-19T19:02:01"/>
    <m/>
    <d v="2023-07-19T00:00:00"/>
    <n v="507"/>
    <n v="7335"/>
    <s v="61718760"/>
    <s v="61718760"/>
    <m/>
    <m/>
    <n v="22767438"/>
    <m/>
    <m/>
    <m/>
    <s v="SOLFIN"/>
    <s v="SOLFIN"/>
    <s v="CCMS"/>
    <n v="21395045"/>
    <n v="2548.79"/>
    <m/>
    <s v="N"/>
    <n v="7"/>
    <d v="2023-07-19T19:02:15"/>
    <s v="Y"/>
    <s v="Expert - Other"/>
    <s v="Non Family Hourly Rates"/>
    <s v="Expert Disbursement"/>
    <s v="OAI"/>
    <s v="Y"/>
    <n v="78.09999999999999"/>
    <n v="15.62"/>
    <x v="5"/>
    <s v="VALIDATED"/>
    <n v="1"/>
    <s v="01.11.80.208.6300.0000"/>
    <n v="78.09999999999999"/>
    <s v="11"/>
    <s v="6300"/>
    <n v="15699.41"/>
    <n v="78.09999999999999"/>
    <s v="CREDITOR"/>
    <n v="0"/>
    <n v="0"/>
    <n v="0"/>
    <n v="0"/>
    <n v="78.09999999999999"/>
  </r>
  <r>
    <n v="59989660"/>
    <s v="N"/>
    <n v="21338335"/>
    <s v="3000014333930011"/>
    <s v="CIVIL"/>
    <d v="2023-06-26T00:00:00"/>
    <d v="2023-07-06T19:21:01"/>
    <m/>
    <d v="2023-07-06T00:00:00"/>
    <n v="507"/>
    <n v="7335"/>
    <s v="59989660"/>
    <s v="59989660"/>
    <m/>
    <m/>
    <n v="22760524"/>
    <m/>
    <m/>
    <m/>
    <s v="SOLFIN"/>
    <s v="SOLFIN"/>
    <s v="CCMS"/>
    <n v="21338335"/>
    <n v="18577.62"/>
    <m/>
    <s v="N"/>
    <n v="15"/>
    <d v="2023-07-06T19:21:20"/>
    <s v="Y"/>
    <s v="Advocates Meeting"/>
    <s v="Public Law Children"/>
    <s v="Advocacy"/>
    <s v="RAJ"/>
    <s v="Y"/>
    <n v="140.99"/>
    <n v="28.2"/>
    <x v="4"/>
    <s v="VALIDATED"/>
    <n v="1"/>
    <s v="01.11.80.308.6100.0000"/>
    <n v="140.99"/>
    <s v="11"/>
    <s v="6100"/>
    <n v="15699.41"/>
    <n v="140.99"/>
    <s v="CREDITOR"/>
    <n v="0"/>
    <n v="0"/>
    <n v="0"/>
    <n v="0"/>
    <n v="140.99"/>
  </r>
  <r>
    <n v="61718760"/>
    <s v="N"/>
    <n v="21395045"/>
    <s v="3000015806460004"/>
    <s v="CIVIL"/>
    <d v="2023-06-27T00:00:00"/>
    <d v="2023-07-19T19:02:01"/>
    <m/>
    <d v="2023-07-19T00:00:00"/>
    <n v="507"/>
    <n v="7335"/>
    <s v="61718760"/>
    <s v="61718760"/>
    <m/>
    <m/>
    <n v="22767438"/>
    <m/>
    <m/>
    <m/>
    <s v="SOLFIN"/>
    <s v="SOLFIN"/>
    <s v="CCMS"/>
    <n v="21395045"/>
    <n v="2548.79"/>
    <m/>
    <s v="N"/>
    <n v="6"/>
    <d v="2023-07-19T19:02:15"/>
    <s v="Y"/>
    <s v="Expert - Other"/>
    <s v="Non Family Hourly Rates"/>
    <s v="Expert Disbursement"/>
    <s v="OAI"/>
    <s v="Y"/>
    <n v="44.17"/>
    <n v="8.83"/>
    <x v="5"/>
    <s v="VALIDATED"/>
    <n v="1"/>
    <s v="01.11.80.208.6300.0000"/>
    <n v="44.17"/>
    <s v="11"/>
    <s v="6300"/>
    <n v="15699.41"/>
    <n v="44.17"/>
    <s v="CREDITOR"/>
    <n v="0"/>
    <n v="0"/>
    <n v="0"/>
    <n v="0"/>
    <n v="44.17"/>
  </r>
  <r>
    <n v="59989660"/>
    <s v="N"/>
    <n v="21338335"/>
    <s v="3000014333930011"/>
    <s v="CIVIL"/>
    <d v="2023-06-26T00:00:00"/>
    <d v="2023-07-06T19:21:01"/>
    <m/>
    <d v="2023-07-06T00:00:00"/>
    <n v="507"/>
    <n v="7335"/>
    <s v="59989660"/>
    <s v="59989660"/>
    <m/>
    <m/>
    <n v="22760524"/>
    <m/>
    <m/>
    <m/>
    <s v="SOLFIN"/>
    <s v="SOLFIN"/>
    <s v="CCMS"/>
    <n v="21338335"/>
    <n v="18577.62"/>
    <m/>
    <s v="N"/>
    <n v="3"/>
    <d v="2023-07-06T19:21:20"/>
    <s v="Y"/>
    <s v="Profit Costs (Summary)"/>
    <s v="Care Remuneration Hourly Rates"/>
    <s v="Profit Cost"/>
    <s v="RAG"/>
    <s v="Y"/>
    <n v="2148.6"/>
    <n v="429.72"/>
    <x v="4"/>
    <s v="VALIDATED"/>
    <n v="1"/>
    <s v="01.11.80.308.6100.0000"/>
    <n v="2148.6"/>
    <s v="11"/>
    <s v="6100"/>
    <n v="15699.41"/>
    <n v="2148.6"/>
    <s v="CREDITOR"/>
    <n v="0"/>
    <n v="0"/>
    <n v="0"/>
    <n v="0"/>
    <n v="2148.6"/>
  </r>
  <r>
    <n v="59988478"/>
    <s v="N"/>
    <n v="21327532"/>
    <s v="3000014327360010"/>
    <s v="CIVIL"/>
    <d v="2023-06-27T00:00:00"/>
    <d v="2023-07-04T19:00:44"/>
    <m/>
    <d v="2023-07-04T00:00:00"/>
    <n v="507"/>
    <n v="7335"/>
    <s v="59988478"/>
    <s v="59988478"/>
    <m/>
    <m/>
    <n v="22767290"/>
    <m/>
    <m/>
    <m/>
    <s v="SOLFIN"/>
    <s v="SOLFIN"/>
    <s v="CCMS"/>
    <n v="21327532"/>
    <n v="3397.07"/>
    <m/>
    <s v="N"/>
    <n v="51"/>
    <d v="2023-07-04T19:00:49"/>
    <s v="Y"/>
    <s v="Preparation - drafting attendance n"/>
    <s v="VHCC"/>
    <s v="Profit Cost"/>
    <s v="SLR"/>
    <s v="Y"/>
    <n v="7.16"/>
    <n v="1.43"/>
    <x v="1"/>
    <s v="VALIDATED"/>
    <n v="1"/>
    <s v="01.11.80.203.6100.0000"/>
    <n v="7.16"/>
    <s v="11"/>
    <s v="6100"/>
    <n v="15699.41"/>
    <n v="7.16"/>
    <s v="CREDITOR"/>
    <n v="0"/>
    <n v="0"/>
    <n v="0"/>
    <n v="0"/>
    <n v="7.16"/>
  </r>
  <r>
    <n v="59988478"/>
    <s v="N"/>
    <n v="21327532"/>
    <s v="3000014327360010"/>
    <s v="CIVIL"/>
    <d v="2023-06-27T00:00:00"/>
    <d v="2023-07-04T19:00:44"/>
    <m/>
    <d v="2023-07-04T00:00:00"/>
    <n v="507"/>
    <n v="7335"/>
    <s v="59988478"/>
    <s v="59988478"/>
    <m/>
    <m/>
    <n v="22767290"/>
    <m/>
    <m/>
    <m/>
    <s v="SOLFIN"/>
    <s v="SOLFIN"/>
    <s v="CCMS"/>
    <n v="21327532"/>
    <n v="3397.07"/>
    <m/>
    <s v="N"/>
    <n v="17"/>
    <d v="2023-07-04T19:00:49"/>
    <s v="Y"/>
    <s v="Preparation - other"/>
    <s v="VHCC"/>
    <s v="Profit Cost"/>
    <s v="SLR50"/>
    <s v="Y"/>
    <n v="21.46"/>
    <n v="4.29"/>
    <x v="1"/>
    <s v="VALIDATED"/>
    <n v="1"/>
    <s v="01.11.80.203.6100.0000"/>
    <n v="21.46"/>
    <s v="11"/>
    <s v="6100"/>
    <n v="15699.41"/>
    <n v="21.46"/>
    <s v="CREDITOR"/>
    <n v="0"/>
    <n v="0"/>
    <n v="0"/>
    <n v="0"/>
    <n v="21.46"/>
  </r>
  <r>
    <n v="60985307"/>
    <s v="N"/>
    <n v="21327766"/>
    <s v="3000015190330032"/>
    <s v="CIVIL"/>
    <d v="2023-06-29T00:00:00"/>
    <d v="2023-07-04T19:00:44"/>
    <m/>
    <d v="2023-07-04T00:00:00"/>
    <n v="507"/>
    <n v="7335"/>
    <s v="60985307"/>
    <s v="60985307"/>
    <m/>
    <m/>
    <n v="22788750"/>
    <m/>
    <m/>
    <m/>
    <s v="SOLINT"/>
    <s v="SOLINT"/>
    <s v="CCMS"/>
    <n v="21327766"/>
    <n v="6692.89"/>
    <m/>
    <s v="N"/>
    <n v="18"/>
    <d v="2023-07-04T19:00:54"/>
    <s v="Y"/>
    <s v="Preparation - other"/>
    <s v="VHCC"/>
    <s v="Profit Cost"/>
    <s v="SLR"/>
    <s v="Y"/>
    <n v="12.52"/>
    <n v="2.5"/>
    <x v="1"/>
    <s v="VALIDATED"/>
    <n v="1"/>
    <s v="01.11.80.209.6100.0000"/>
    <n v="12.52"/>
    <s v="11"/>
    <s v="6100"/>
    <n v="15699.41"/>
    <n v="12.52"/>
    <s v="CREDITOR"/>
    <n v="0"/>
    <n v="0"/>
    <n v="0"/>
    <n v="0"/>
    <n v="12.52"/>
  </r>
  <r>
    <n v="61718760"/>
    <s v="N"/>
    <n v="21395045"/>
    <s v="3000015806460004"/>
    <s v="CIVIL"/>
    <d v="2023-06-27T00:00:00"/>
    <d v="2023-07-19T19:02:01"/>
    <m/>
    <d v="2023-07-19T00:00:00"/>
    <n v="507"/>
    <n v="7335"/>
    <s v="61718760"/>
    <s v="61718760"/>
    <m/>
    <m/>
    <n v="22767438"/>
    <m/>
    <m/>
    <m/>
    <s v="SOLFIN"/>
    <s v="SOLFIN"/>
    <s v="CCMS"/>
    <n v="21395045"/>
    <n v="2548.79"/>
    <m/>
    <s v="N"/>
    <n v="30"/>
    <d v="2023-07-19T19:02:15"/>
    <s v="Y"/>
    <s v="Preparation - other"/>
    <s v="Non Family Hourly Rates"/>
    <s v="Profit Cost"/>
    <s v="OAI"/>
    <s v="Y"/>
    <n v="12.6"/>
    <n v="2.52"/>
    <x v="5"/>
    <s v="VALIDATED"/>
    <n v="1"/>
    <s v="01.11.80.208.6100.0000"/>
    <n v="12.6"/>
    <s v="11"/>
    <s v="6100"/>
    <n v="15699.41"/>
    <n v="12.6"/>
    <s v="CREDITOR"/>
    <n v="0"/>
    <n v="0"/>
    <n v="0"/>
    <n v="0"/>
    <n v="12.6"/>
  </r>
  <r>
    <n v="61718760"/>
    <s v="N"/>
    <n v="21395045"/>
    <s v="3000015806460004"/>
    <s v="CIVIL"/>
    <d v="2023-06-27T00:00:00"/>
    <d v="2023-07-19T19:02:01"/>
    <m/>
    <d v="2023-07-19T00:00:00"/>
    <n v="507"/>
    <n v="7335"/>
    <s v="61718760"/>
    <s v="61718760"/>
    <m/>
    <m/>
    <n v="22767438"/>
    <m/>
    <m/>
    <m/>
    <s v="SOLFIN"/>
    <s v="SOLFIN"/>
    <s v="CCMS"/>
    <n v="21395045"/>
    <n v="2548.79"/>
    <m/>
    <s v="N"/>
    <n v="22"/>
    <d v="2023-07-19T19:02:15"/>
    <s v="Y"/>
    <s v="Preparation - other"/>
    <s v="Non Family Hourly Rates"/>
    <s v="Profit Cost"/>
    <s v="ZAN"/>
    <s v="Y"/>
    <n v="12.6"/>
    <n v="2.52"/>
    <x v="5"/>
    <s v="VALIDATED"/>
    <n v="1"/>
    <s v="01.11.80.208.6100.0000"/>
    <n v="12.6"/>
    <s v="11"/>
    <s v="6100"/>
    <n v="15699.41"/>
    <n v="12.6"/>
    <s v="CREDITOR"/>
    <n v="0"/>
    <n v="0"/>
    <n v="0"/>
    <n v="0"/>
    <n v="12.6"/>
  </r>
  <r>
    <n v="61718760"/>
    <s v="N"/>
    <n v="21395045"/>
    <s v="3000015806460004"/>
    <s v="CIVIL"/>
    <d v="2023-06-27T00:00:00"/>
    <d v="2023-07-19T19:02:01"/>
    <m/>
    <d v="2023-07-19T00:00:00"/>
    <n v="507"/>
    <n v="7335"/>
    <s v="61718760"/>
    <s v="61718760"/>
    <m/>
    <m/>
    <n v="22767438"/>
    <m/>
    <m/>
    <m/>
    <s v="SOLFIN"/>
    <s v="SOLFIN"/>
    <s v="CCMS"/>
    <n v="21395045"/>
    <n v="2548.79"/>
    <m/>
    <s v="N"/>
    <n v="37"/>
    <d v="2023-07-19T19:02:15"/>
    <s v="N"/>
    <m/>
    <m/>
    <s v="Overall Adjustment"/>
    <m/>
    <s v="N"/>
    <n v="-147.86"/>
    <n v="-29.57"/>
    <x v="5"/>
    <s v="VALIDATED"/>
    <n v="1"/>
    <s v="01.11.80.208.6100.0000"/>
    <n v="-147.86"/>
    <s v="11"/>
    <s v="6100"/>
    <n v="15699.41"/>
    <n v="-147.86"/>
    <s v="CREDITOR"/>
    <n v="0"/>
    <n v="0"/>
    <n v="0"/>
    <n v="0"/>
    <n v="-147.86"/>
  </r>
  <r>
    <n v="60985307"/>
    <s v="N"/>
    <n v="21327766"/>
    <s v="3000015190330032"/>
    <s v="CIVIL"/>
    <d v="2023-06-29T00:00:00"/>
    <d v="2023-07-04T19:00:44"/>
    <m/>
    <d v="2023-07-04T00:00:00"/>
    <n v="507"/>
    <n v="7335"/>
    <s v="60985307"/>
    <s v="60985307"/>
    <m/>
    <m/>
    <n v="22788750"/>
    <m/>
    <m/>
    <m/>
    <s v="SOLINT"/>
    <s v="SOLINT"/>
    <s v="CCMS"/>
    <n v="21327766"/>
    <n v="6692.89"/>
    <m/>
    <s v="N"/>
    <n v="72"/>
    <d v="2023-07-04T19:00:54"/>
    <s v="Y"/>
    <s v="Preparation - other"/>
    <s v="VHCC"/>
    <s v="Profit Cost"/>
    <s v="SLR"/>
    <s v="Y"/>
    <n v="12.52"/>
    <n v="2.5"/>
    <x v="1"/>
    <s v="VALIDATED"/>
    <n v="1"/>
    <s v="01.11.80.209.6100.0000"/>
    <n v="12.52"/>
    <s v="11"/>
    <s v="6100"/>
    <n v="15699.41"/>
    <n v="12.52"/>
    <s v="CREDITOR"/>
    <n v="0"/>
    <n v="0"/>
    <n v="0"/>
    <n v="0"/>
    <n v="12.52"/>
  </r>
  <r>
    <n v="60985307"/>
    <s v="N"/>
    <n v="21327766"/>
    <s v="3000015190330032"/>
    <s v="CIVIL"/>
    <d v="2023-06-29T00:00:00"/>
    <d v="2023-07-04T19:00:44"/>
    <m/>
    <d v="2023-07-04T00:00:00"/>
    <n v="507"/>
    <n v="7335"/>
    <s v="60985307"/>
    <s v="60985307"/>
    <m/>
    <m/>
    <n v="22788750"/>
    <m/>
    <m/>
    <m/>
    <s v="SOLINT"/>
    <s v="SOLINT"/>
    <s v="CCMS"/>
    <n v="21327766"/>
    <n v="6692.89"/>
    <m/>
    <s v="N"/>
    <n v="9"/>
    <d v="2023-07-04T19:00:54"/>
    <s v="Y"/>
    <s v="Preparation - other"/>
    <s v="VHCC"/>
    <s v="Profit Cost"/>
    <s v="SLR"/>
    <s v="Y"/>
    <n v="187.82"/>
    <n v="37.56"/>
    <x v="1"/>
    <s v="VALIDATED"/>
    <n v="1"/>
    <s v="01.11.80.209.6100.0000"/>
    <n v="187.82"/>
    <s v="11"/>
    <s v="6100"/>
    <n v="15699.41"/>
    <n v="187.82"/>
    <s v="CREDITOR"/>
    <n v="0"/>
    <n v="0"/>
    <n v="0"/>
    <n v="0"/>
    <n v="187.82"/>
  </r>
  <r>
    <n v="59988478"/>
    <s v="N"/>
    <n v="21327532"/>
    <s v="3000014327360010"/>
    <s v="CIVIL"/>
    <d v="2023-06-27T00:00:00"/>
    <d v="2023-07-04T19:00:44"/>
    <m/>
    <d v="2023-07-04T00:00:00"/>
    <n v="507"/>
    <n v="7335"/>
    <s v="59988478"/>
    <s v="59988478"/>
    <m/>
    <m/>
    <n v="22767290"/>
    <m/>
    <m/>
    <m/>
    <s v="SOLFIN"/>
    <s v="SOLFIN"/>
    <s v="CCMS"/>
    <n v="21327532"/>
    <n v="3397.07"/>
    <m/>
    <s v="N"/>
    <n v="29"/>
    <d v="2023-07-04T19:00:49"/>
    <s v="Y"/>
    <s v="Preparation - other"/>
    <s v="VHCC"/>
    <s v="Profit Cost"/>
    <s v="SLR50"/>
    <s v="Y"/>
    <n v="64.39"/>
    <n v="12.88"/>
    <x v="1"/>
    <s v="VALIDATED"/>
    <n v="1"/>
    <s v="01.11.80.203.6100.0000"/>
    <n v="64.39"/>
    <s v="11"/>
    <s v="6100"/>
    <n v="15699.41"/>
    <n v="64.39"/>
    <s v="CREDITOR"/>
    <n v="0"/>
    <n v="0"/>
    <n v="0"/>
    <n v="0"/>
    <n v="64.39"/>
  </r>
  <r>
    <n v="59988478"/>
    <s v="N"/>
    <n v="21327532"/>
    <s v="3000014327360010"/>
    <s v="CIVIL"/>
    <d v="2023-06-27T00:00:00"/>
    <d v="2023-07-04T19:00:44"/>
    <m/>
    <d v="2023-07-04T00:00:00"/>
    <n v="507"/>
    <n v="7335"/>
    <s v="59988478"/>
    <s v="59988478"/>
    <m/>
    <m/>
    <n v="22767290"/>
    <m/>
    <m/>
    <m/>
    <s v="SOLFIN"/>
    <s v="SOLFIN"/>
    <s v="CCMS"/>
    <n v="21327532"/>
    <n v="3397.07"/>
    <m/>
    <s v="N"/>
    <n v="40"/>
    <d v="2023-07-04T19:00:49"/>
    <s v="Y"/>
    <s v="Preparation - other"/>
    <s v="VHCC"/>
    <s v="Profit Cost"/>
    <s v="SLR50"/>
    <s v="Y"/>
    <n v="96.59"/>
    <n v="19.32"/>
    <x v="1"/>
    <s v="VALIDATED"/>
    <n v="1"/>
    <s v="01.11.80.203.6100.0000"/>
    <n v="96.59"/>
    <s v="11"/>
    <s v="6100"/>
    <n v="15699.41"/>
    <n v="96.59"/>
    <s v="CREDITOR"/>
    <n v="0"/>
    <n v="0"/>
    <n v="0"/>
    <n v="0"/>
    <n v="96.59"/>
  </r>
  <r>
    <n v="60985307"/>
    <s v="N"/>
    <n v="21327766"/>
    <s v="3000015190330032"/>
    <s v="CIVIL"/>
    <d v="2023-06-29T00:00:00"/>
    <d v="2023-07-04T19:00:44"/>
    <m/>
    <d v="2023-07-04T00:00:00"/>
    <n v="507"/>
    <n v="7335"/>
    <s v="60985307"/>
    <s v="60985307"/>
    <m/>
    <m/>
    <n v="22788750"/>
    <m/>
    <m/>
    <m/>
    <s v="SOLINT"/>
    <s v="SOLINT"/>
    <s v="CCMS"/>
    <n v="21327766"/>
    <n v="6692.89"/>
    <m/>
    <s v="N"/>
    <n v="38"/>
    <d v="2023-07-04T19:00:54"/>
    <s v="Y"/>
    <s v="Attendance upon client"/>
    <s v="VHCC"/>
    <s v="Profit Cost"/>
    <s v="SLR"/>
    <s v="Y"/>
    <n v="187.82"/>
    <n v="37.56"/>
    <x v="1"/>
    <s v="VALIDATED"/>
    <n v="1"/>
    <s v="01.11.80.209.6100.0000"/>
    <n v="187.82"/>
    <s v="11"/>
    <s v="6100"/>
    <n v="15699.41"/>
    <n v="187.82"/>
    <s v="CREDITOR"/>
    <n v="0"/>
    <n v="0"/>
    <n v="0"/>
    <n v="0"/>
    <n v="187.82"/>
  </r>
  <r>
    <n v="61718760"/>
    <s v="N"/>
    <n v="21395045"/>
    <s v="3000015806460004"/>
    <s v="CIVIL"/>
    <d v="2023-06-27T00:00:00"/>
    <d v="2023-07-19T19:02:01"/>
    <m/>
    <d v="2023-07-19T00:00:00"/>
    <n v="507"/>
    <n v="7335"/>
    <s v="61718760"/>
    <s v="61718760"/>
    <m/>
    <m/>
    <n v="22767438"/>
    <m/>
    <m/>
    <m/>
    <s v="SOLFIN"/>
    <s v="SOLFIN"/>
    <s v="CCMS"/>
    <n v="21395045"/>
    <n v="2548.79"/>
    <m/>
    <s v="N"/>
    <n v="1"/>
    <d v="2023-07-19T19:02:15"/>
    <s v="Y"/>
    <s v="Court Fee"/>
    <s v="Non Family Hourly Rates"/>
    <s v="Non Expert Disbursement"/>
    <s v="OAI"/>
    <s v="Y"/>
    <n v="602.14"/>
    <n v="0"/>
    <x v="5"/>
    <s v="VALIDATED"/>
    <n v="1"/>
    <s v="01.11.80.208.6300.0000"/>
    <n v="602.14"/>
    <s v="11"/>
    <s v="6300"/>
    <n v="15699.41"/>
    <n v="602.14"/>
    <s v="CREDITOR"/>
    <n v="0"/>
    <n v="0"/>
    <n v="0"/>
    <n v="0"/>
    <n v="602.14"/>
  </r>
  <r>
    <n v="60985307"/>
    <s v="N"/>
    <n v="21327766"/>
    <s v="3000015190330032"/>
    <s v="CIVIL"/>
    <d v="2023-06-29T00:00:00"/>
    <d v="2023-07-04T19:00:44"/>
    <m/>
    <d v="2023-07-04T00:00:00"/>
    <n v="507"/>
    <n v="7335"/>
    <s v="60985307"/>
    <s v="60985307"/>
    <m/>
    <m/>
    <n v="22788750"/>
    <m/>
    <m/>
    <m/>
    <s v="SOLINT"/>
    <s v="SOLINT"/>
    <s v="CCMS"/>
    <n v="21327766"/>
    <n v="6692.89"/>
    <m/>
    <s v="N"/>
    <n v="26"/>
    <d v="2023-07-04T19:00:54"/>
    <s v="Y"/>
    <s v="Preparation - drafting bill/claim f"/>
    <s v="VHCC"/>
    <s v="Profit Cost"/>
    <s v="SLR"/>
    <s v="Y"/>
    <n v="14.31"/>
    <n v="2.86"/>
    <x v="1"/>
    <s v="VALIDATED"/>
    <n v="1"/>
    <s v="01.11.80.209.6100.0000"/>
    <n v="14.31"/>
    <s v="11"/>
    <s v="6100"/>
    <n v="15699.41"/>
    <n v="14.31"/>
    <s v="CREDITOR"/>
    <n v="0"/>
    <n v="0"/>
    <n v="0"/>
    <n v="0"/>
    <n v="14.31"/>
  </r>
  <r>
    <n v="54298401"/>
    <s v="N"/>
    <n v="21324311"/>
    <s v="3000012964040003RC"/>
    <s v="CIVIL"/>
    <d v="2023-06-19T00:00:00"/>
    <d v="2023-07-03T19:42:50"/>
    <m/>
    <d v="2023-07-03T00:00:00"/>
    <n v="507"/>
    <n v="7335"/>
    <s v="54298401"/>
    <s v="54298401"/>
    <m/>
    <m/>
    <m/>
    <m/>
    <m/>
    <m/>
    <s v="SOLRECOUP"/>
    <s v="SOLRECOUP"/>
    <s v="POARECOUP"/>
    <n v="21324311"/>
    <n v="-1560.46"/>
    <m/>
    <s v="Y"/>
    <n v="1"/>
    <d v="2023-07-03T19:42:51"/>
    <s v="N"/>
    <m/>
    <m/>
    <s v="Profit Cost"/>
    <m/>
    <s v="N"/>
    <n v="-1300.38"/>
    <n v="0"/>
    <x v="3"/>
    <s v="VALIDATED"/>
    <n v="1"/>
    <s v="01.11.80.208.2013.0000"/>
    <n v="-1300.38"/>
    <s v="11"/>
    <s v="2013"/>
    <n v="15699.41"/>
    <n v="-1300.38"/>
    <s v="CREDITOR"/>
    <n v="0"/>
    <n v="0"/>
    <n v="-1300.38"/>
    <n v="-325.095"/>
    <n v="0"/>
  </r>
  <r>
    <n v="54298401"/>
    <s v="N"/>
    <n v="21324311"/>
    <s v="3000012964040003RC"/>
    <s v="CIVIL"/>
    <d v="2023-06-19T00:00:00"/>
    <d v="2023-07-03T19:42:50"/>
    <m/>
    <d v="2023-07-03T00:00:00"/>
    <n v="507"/>
    <n v="7335"/>
    <s v="54298401"/>
    <s v="54298401"/>
    <m/>
    <m/>
    <m/>
    <m/>
    <m/>
    <m/>
    <s v="SOLRECOUP"/>
    <s v="SOLRECOUP"/>
    <s v="POARECOUP"/>
    <n v="21324311"/>
    <n v="-1560.46"/>
    <m/>
    <s v="Y"/>
    <n v="2"/>
    <d v="2023-07-03T19:42:51"/>
    <s v="N"/>
    <m/>
    <m/>
    <s v="Profit Cost"/>
    <m/>
    <s v="N"/>
    <n v="0"/>
    <n v="-260.08"/>
    <x v="3"/>
    <s v="VALIDATED"/>
    <n v="1"/>
    <s v="01.11.80.208.2013.0000"/>
    <n v="-260.08"/>
    <s v="11"/>
    <s v="2013"/>
    <n v="15699.41"/>
    <n v="-260.08"/>
    <s v="CREDITOR"/>
    <n v="0"/>
    <n v="0"/>
    <n v="-260.08"/>
    <n v="-65.02"/>
    <n v="0"/>
  </r>
  <r>
    <n v="54298401"/>
    <s v="N"/>
    <n v="21324312"/>
    <s v="3000012964040002RC"/>
    <s v="CIVIL"/>
    <d v="2023-06-19T00:00:00"/>
    <d v="2023-07-03T19:42:50"/>
    <m/>
    <d v="2023-07-03T00:00:00"/>
    <n v="507"/>
    <n v="7335"/>
    <s v="54298401"/>
    <s v="54298401"/>
    <m/>
    <m/>
    <m/>
    <m/>
    <m/>
    <m/>
    <s v="SOLRECOUP"/>
    <s v="SOLRECOUP"/>
    <s v="POARECOUP"/>
    <n v="21324312"/>
    <n v="-140"/>
    <m/>
    <s v="Y"/>
    <n v="1"/>
    <d v="2023-07-03T19:42:51"/>
    <s v="N"/>
    <m/>
    <m/>
    <s v="Non Expert Disbursement"/>
    <m/>
    <s v="N"/>
    <n v="-140"/>
    <n v="0"/>
    <x v="3"/>
    <s v="VALIDATED"/>
    <n v="1"/>
    <s v="01.11.80.208.2013.0000"/>
    <n v="-140"/>
    <s v="11"/>
    <s v="2013"/>
    <n v="15699.41"/>
    <n v="-140"/>
    <s v="CREDITOR"/>
    <n v="0"/>
    <n v="0"/>
    <n v="-140"/>
    <n v="0"/>
    <n v="0"/>
  </r>
  <r>
    <n v="54298401"/>
    <s v="N"/>
    <n v="21324312"/>
    <s v="3000012964040002RC"/>
    <s v="CIVIL"/>
    <d v="2023-06-19T00:00:00"/>
    <d v="2023-07-03T19:42:50"/>
    <m/>
    <d v="2023-07-03T00:00:00"/>
    <n v="507"/>
    <n v="7335"/>
    <s v="54298401"/>
    <s v="54298401"/>
    <m/>
    <m/>
    <m/>
    <m/>
    <m/>
    <m/>
    <s v="SOLRECOUP"/>
    <s v="SOLRECOUP"/>
    <s v="POARECOUP"/>
    <n v="21324312"/>
    <n v="-140"/>
    <m/>
    <s v="Y"/>
    <n v="2"/>
    <d v="2023-07-03T19:42:51"/>
    <s v="N"/>
    <m/>
    <m/>
    <s v="Non Expert Disbursement"/>
    <m/>
    <s v="N"/>
    <n v="0"/>
    <n v="0"/>
    <x v="3"/>
    <s v="VALIDATED"/>
    <n v="1"/>
    <s v="01.11.80.000.0000.0000"/>
    <n v="0"/>
    <s v="11"/>
    <s v="0000"/>
    <n v="15699.41"/>
    <n v="0"/>
    <s v="CREDITOR"/>
    <n v="0"/>
    <n v="0"/>
    <n v="0"/>
    <n v="0"/>
    <n v="0"/>
  </r>
  <r>
    <n v="61718760"/>
    <s v="N"/>
    <n v="21395045"/>
    <s v="3000015806460004"/>
    <s v="CIVIL"/>
    <d v="2023-06-27T00:00:00"/>
    <d v="2023-07-19T19:02:01"/>
    <m/>
    <d v="2023-07-19T00:00:00"/>
    <n v="507"/>
    <n v="7335"/>
    <s v="61718760"/>
    <s v="61718760"/>
    <m/>
    <m/>
    <n v="22767438"/>
    <m/>
    <m/>
    <m/>
    <s v="SOLFIN"/>
    <s v="SOLFIN"/>
    <s v="CCMS"/>
    <n v="21395045"/>
    <n v="2548.79"/>
    <m/>
    <s v="N"/>
    <n v="32"/>
    <d v="2023-07-19T19:02:15"/>
    <s v="Y"/>
    <s v="Preparation - other"/>
    <s v="Non Family Hourly Rates"/>
    <s v="Profit Cost"/>
    <s v="OAI"/>
    <s v="Y"/>
    <n v="12.6"/>
    <n v="2.52"/>
    <x v="5"/>
    <s v="VALIDATED"/>
    <n v="1"/>
    <s v="01.11.80.208.6100.0000"/>
    <n v="12.6"/>
    <s v="11"/>
    <s v="6100"/>
    <n v="15699.41"/>
    <n v="12.6"/>
    <s v="CREDITOR"/>
    <n v="0"/>
    <n v="0"/>
    <n v="0"/>
    <n v="0"/>
    <n v="12.6"/>
  </r>
  <r>
    <n v="60487684"/>
    <s v="N"/>
    <n v="21350117"/>
    <s v="3000014762060005"/>
    <s v="CIVIL"/>
    <d v="2023-06-29T00:00:00"/>
    <d v="2023-07-10T19:01:40"/>
    <m/>
    <d v="2023-07-10T00:00:00"/>
    <n v="507"/>
    <n v="7335"/>
    <s v="60487684"/>
    <s v="60487684"/>
    <m/>
    <m/>
    <n v="22788246"/>
    <m/>
    <m/>
    <m/>
    <s v="SOLFIN"/>
    <s v="SOLFIN"/>
    <s v="CCMS"/>
    <n v="21350117"/>
    <n v="10152.47"/>
    <m/>
    <s v="N"/>
    <n v="1"/>
    <d v="2023-07-10T19:02:14"/>
    <s v="N"/>
    <s v="Solicitors Fixed Fee"/>
    <s v="Public Law Children"/>
    <s v="Profit Cost"/>
    <s v="MU"/>
    <s v="N"/>
    <n v="0"/>
    <n v="0"/>
    <x v="2"/>
    <s v="VALIDATED"/>
    <n v="1"/>
    <s v="01.11.80.305.6100.0000"/>
    <n v="0"/>
    <s v="11"/>
    <s v="6100"/>
    <n v="15699.41"/>
    <n v="0"/>
    <s v="CREDITOR"/>
    <n v="0"/>
    <n v="0"/>
    <n v="0"/>
    <n v="0"/>
    <n v="0"/>
  </r>
  <r>
    <n v="59989660"/>
    <s v="N"/>
    <n v="21338335"/>
    <s v="3000014333930011"/>
    <s v="CIVIL"/>
    <d v="2023-06-26T00:00:00"/>
    <d v="2023-07-06T19:21:01"/>
    <m/>
    <d v="2023-07-06T00:00:00"/>
    <n v="507"/>
    <n v="7335"/>
    <s v="59989660"/>
    <s v="59989660"/>
    <m/>
    <m/>
    <n v="22760524"/>
    <m/>
    <m/>
    <m/>
    <s v="SOLFIN"/>
    <s v="SOLFIN"/>
    <s v="CCMS"/>
    <n v="21338335"/>
    <n v="18577.62"/>
    <m/>
    <s v="N"/>
    <n v="1"/>
    <d v="2023-07-06T19:21:20"/>
    <s v="N"/>
    <s v="Solicitors Fixed Fee"/>
    <s v="Public Law Children"/>
    <s v="Profit Cost"/>
    <s v="RAG"/>
    <s v="N"/>
    <n v="0"/>
    <n v="0"/>
    <x v="4"/>
    <s v="VALIDATED"/>
    <n v="1"/>
    <s v="01.11.80.308.6100.0000"/>
    <n v="0"/>
    <s v="11"/>
    <s v="6100"/>
    <n v="15699.41"/>
    <n v="0"/>
    <s v="CREDITOR"/>
    <n v="0"/>
    <n v="0"/>
    <n v="0"/>
    <n v="0"/>
    <n v="0"/>
  </r>
  <r>
    <n v="59989660"/>
    <s v="N"/>
    <n v="21338335"/>
    <s v="3000014333930011"/>
    <s v="CIVIL"/>
    <d v="2023-06-26T00:00:00"/>
    <d v="2023-07-06T19:21:01"/>
    <m/>
    <d v="2023-07-06T00:00:00"/>
    <n v="507"/>
    <n v="7335"/>
    <s v="59989660"/>
    <s v="59989660"/>
    <m/>
    <m/>
    <n v="22760524"/>
    <m/>
    <m/>
    <m/>
    <s v="SOLFIN"/>
    <s v="SOLFIN"/>
    <s v="CCMS"/>
    <n v="21338335"/>
    <n v="18577.62"/>
    <m/>
    <s v="N"/>
    <n v="5"/>
    <d v="2023-07-06T19:21:20"/>
    <s v="Y"/>
    <s v="Advocates Meeting"/>
    <s v="Public Law Children"/>
    <s v="Advocacy"/>
    <s v="RAJ"/>
    <s v="Y"/>
    <n v="140.99"/>
    <n v="28.2"/>
    <x v="4"/>
    <s v="VALIDATED"/>
    <n v="1"/>
    <s v="01.11.80.308.6100.0000"/>
    <n v="140.99"/>
    <s v="11"/>
    <s v="6100"/>
    <n v="15699.41"/>
    <n v="140.99"/>
    <s v="CREDITOR"/>
    <n v="0"/>
    <n v="0"/>
    <n v="0"/>
    <n v="0"/>
    <n v="140.99"/>
  </r>
  <r>
    <n v="60985307"/>
    <s v="N"/>
    <n v="21327766"/>
    <s v="3000015190330032"/>
    <s v="CIVIL"/>
    <d v="2023-06-29T00:00:00"/>
    <d v="2023-07-04T19:00:44"/>
    <m/>
    <d v="2023-07-04T00:00:00"/>
    <n v="507"/>
    <n v="7335"/>
    <s v="60985307"/>
    <s v="60985307"/>
    <m/>
    <m/>
    <n v="22788750"/>
    <m/>
    <m/>
    <m/>
    <s v="SOLINT"/>
    <s v="SOLINT"/>
    <s v="CCMS"/>
    <n v="21327766"/>
    <n v="6692.89"/>
    <m/>
    <s v="N"/>
    <n v="30"/>
    <d v="2023-07-04T19:00:54"/>
    <s v="Y"/>
    <s v="Preparation - drafting attendance n"/>
    <s v="VHCC"/>
    <s v="Profit Cost"/>
    <s v="SLR"/>
    <s v="Y"/>
    <n v="14.31"/>
    <n v="2.86"/>
    <x v="1"/>
    <s v="VALIDATED"/>
    <n v="1"/>
    <s v="01.11.80.209.6100.0000"/>
    <n v="14.31"/>
    <s v="11"/>
    <s v="6100"/>
    <n v="15699.41"/>
    <n v="14.31"/>
    <s v="CREDITOR"/>
    <n v="0"/>
    <n v="0"/>
    <n v="0"/>
    <n v="0"/>
    <n v="14.31"/>
  </r>
  <r>
    <n v="59988478"/>
    <s v="N"/>
    <n v="21327532"/>
    <s v="3000014327360010"/>
    <s v="CIVIL"/>
    <d v="2023-06-27T00:00:00"/>
    <d v="2023-07-04T19:00:44"/>
    <m/>
    <d v="2023-07-04T00:00:00"/>
    <n v="507"/>
    <n v="7335"/>
    <s v="59988478"/>
    <s v="59988478"/>
    <m/>
    <m/>
    <n v="22767290"/>
    <m/>
    <m/>
    <m/>
    <s v="SOLFIN"/>
    <s v="SOLFIN"/>
    <s v="CCMS"/>
    <n v="21327532"/>
    <n v="3397.07"/>
    <m/>
    <s v="N"/>
    <n v="34"/>
    <d v="2023-07-04T19:00:49"/>
    <s v="Y"/>
    <s v="Preparation - other"/>
    <s v="VHCC"/>
    <s v="Profit Cost"/>
    <s v="SLR50"/>
    <s v="Y"/>
    <n v="10.73"/>
    <n v="2.15"/>
    <x v="1"/>
    <s v="VALIDATED"/>
    <n v="1"/>
    <s v="01.11.80.203.6100.0000"/>
    <n v="10.73"/>
    <s v="11"/>
    <s v="6100"/>
    <n v="15699.41"/>
    <n v="10.73"/>
    <s v="CREDITOR"/>
    <n v="0"/>
    <n v="0"/>
    <n v="0"/>
    <n v="0"/>
    <n v="10.73"/>
  </r>
  <r>
    <n v="61718760"/>
    <s v="N"/>
    <n v="21395045"/>
    <s v="3000015806460004"/>
    <s v="CIVIL"/>
    <d v="2023-06-27T00:00:00"/>
    <d v="2023-07-19T19:02:01"/>
    <m/>
    <d v="2023-07-19T00:00:00"/>
    <n v="507"/>
    <n v="7335"/>
    <s v="61718760"/>
    <s v="61718760"/>
    <m/>
    <m/>
    <n v="22767438"/>
    <m/>
    <m/>
    <m/>
    <s v="SOLFIN"/>
    <s v="SOLFIN"/>
    <s v="CCMS"/>
    <n v="21395045"/>
    <n v="2548.79"/>
    <m/>
    <s v="N"/>
    <n v="29"/>
    <d v="2023-07-19T19:02:15"/>
    <s v="Y"/>
    <s v="Attendance upon client"/>
    <s v="Non Family Hourly Rates"/>
    <s v="Profit Cost"/>
    <s v="OAI"/>
    <s v="Y"/>
    <n v="12.6"/>
    <n v="2.52"/>
    <x v="5"/>
    <s v="VALIDATED"/>
    <n v="1"/>
    <s v="01.11.80.208.6100.0000"/>
    <n v="12.6"/>
    <s v="11"/>
    <s v="6100"/>
    <n v="15699.41"/>
    <n v="12.6"/>
    <s v="CREDITOR"/>
    <n v="0"/>
    <n v="0"/>
    <n v="0"/>
    <n v="0"/>
    <n v="12.6"/>
  </r>
  <r>
    <n v="59989660"/>
    <s v="N"/>
    <n v="21338335"/>
    <s v="3000014333930011"/>
    <s v="CIVIL"/>
    <d v="2023-06-26T00:00:00"/>
    <d v="2023-07-06T19:21:01"/>
    <m/>
    <d v="2023-07-06T00:00:00"/>
    <n v="507"/>
    <n v="7335"/>
    <s v="59989660"/>
    <s v="59989660"/>
    <m/>
    <m/>
    <n v="22760524"/>
    <m/>
    <m/>
    <m/>
    <s v="SOLFIN"/>
    <s v="SOLFIN"/>
    <s v="CCMS"/>
    <n v="21338335"/>
    <n v="18577.62"/>
    <m/>
    <s v="N"/>
    <n v="19"/>
    <d v="2023-07-06T19:21:20"/>
    <s v="Y"/>
    <s v="Final Hearing Court Bundle/Advocate"/>
    <s v="Public Law Children"/>
    <s v="Advocacy"/>
    <s v="RAJ"/>
    <s v="Y"/>
    <n v="239.4"/>
    <n v="47.88"/>
    <x v="4"/>
    <s v="VALIDATED"/>
    <n v="1"/>
    <s v="01.11.80.308.6100.0000"/>
    <n v="239.4"/>
    <s v="11"/>
    <s v="6100"/>
    <n v="15699.41"/>
    <n v="239.4"/>
    <s v="CREDITOR"/>
    <n v="0"/>
    <n v="0"/>
    <n v="0"/>
    <n v="0"/>
    <n v="239.4"/>
  </r>
  <r>
    <n v="60985307"/>
    <s v="N"/>
    <n v="21327766"/>
    <s v="3000015190330032"/>
    <s v="CIVIL"/>
    <d v="2023-06-29T00:00:00"/>
    <d v="2023-07-04T19:00:44"/>
    <m/>
    <d v="2023-07-04T00:00:00"/>
    <n v="507"/>
    <n v="7335"/>
    <s v="60985307"/>
    <s v="60985307"/>
    <m/>
    <m/>
    <n v="22788750"/>
    <m/>
    <m/>
    <m/>
    <s v="SOLINT"/>
    <s v="SOLINT"/>
    <s v="CCMS"/>
    <n v="21327766"/>
    <n v="6692.89"/>
    <m/>
    <s v="N"/>
    <n v="86"/>
    <d v="2023-07-04T19:00:54"/>
    <s v="Y"/>
    <s v="Interpreter"/>
    <s v="VHCC"/>
    <s v="Expert Disbursement"/>
    <s v="XXX"/>
    <s v="Y"/>
    <n v="50"/>
    <n v="10"/>
    <x v="1"/>
    <s v="VALIDATED"/>
    <n v="1"/>
    <s v="01.11.80.209.6300.0000"/>
    <n v="50"/>
    <s v="11"/>
    <s v="6300"/>
    <n v="15699.41"/>
    <n v="50"/>
    <s v="CREDITOR"/>
    <n v="0"/>
    <n v="0"/>
    <n v="0"/>
    <n v="0"/>
    <n v="50"/>
  </r>
  <r>
    <n v="59988478"/>
    <s v="N"/>
    <n v="21327532"/>
    <s v="3000014327360010"/>
    <s v="CIVIL"/>
    <d v="2023-06-27T00:00:00"/>
    <d v="2023-07-04T19:00:44"/>
    <m/>
    <d v="2023-07-04T00:00:00"/>
    <n v="507"/>
    <n v="7335"/>
    <s v="59988478"/>
    <s v="59988478"/>
    <m/>
    <m/>
    <n v="22767290"/>
    <m/>
    <m/>
    <m/>
    <s v="SOLFIN"/>
    <s v="SOLFIN"/>
    <s v="CCMS"/>
    <n v="21327532"/>
    <n v="3397.07"/>
    <m/>
    <s v="N"/>
    <n v="12"/>
    <d v="2023-07-04T19:00:49"/>
    <s v="Y"/>
    <s v="Preparation - drafting attendance n"/>
    <s v="VHCC"/>
    <s v="Profit Cost"/>
    <s v="SLR"/>
    <s v="Y"/>
    <n v="7.16"/>
    <n v="1.43"/>
    <x v="1"/>
    <s v="VALIDATED"/>
    <n v="1"/>
    <s v="01.11.80.203.6100.0000"/>
    <n v="7.16"/>
    <s v="11"/>
    <s v="6100"/>
    <n v="15699.41"/>
    <n v="7.16"/>
    <s v="CREDITOR"/>
    <n v="0"/>
    <n v="0"/>
    <n v="0"/>
    <n v="0"/>
    <n v="7.16"/>
  </r>
  <r>
    <n v="59989660"/>
    <s v="N"/>
    <n v="21339882"/>
    <s v="3000014333930010RC"/>
    <s v="CIVIL"/>
    <d v="2023-06-26T00:00:00"/>
    <d v="2023-07-06T19:54:22"/>
    <m/>
    <d v="2023-07-06T00:00:00"/>
    <n v="507"/>
    <n v="7335"/>
    <s v="59989660"/>
    <s v="59989660"/>
    <m/>
    <m/>
    <m/>
    <m/>
    <m/>
    <m/>
    <s v="SOLRECOUP"/>
    <s v="SOLRECOUP"/>
    <s v="POARECOUP"/>
    <n v="21339882"/>
    <n v="-7471.39"/>
    <m/>
    <s v="Y"/>
    <n v="2"/>
    <d v="2023-07-06T19:54:22"/>
    <s v="N"/>
    <m/>
    <m/>
    <s v="Profit Cost"/>
    <m/>
    <s v="N"/>
    <n v="0"/>
    <n v="-1245.23"/>
    <x v="4"/>
    <s v="VALIDATED"/>
    <n v="1"/>
    <s v="01.11.80.308.2013.0000"/>
    <n v="-1245.23"/>
    <s v="11"/>
    <s v="2013"/>
    <n v="15699.41"/>
    <n v="-1245.23"/>
    <s v="CREDITOR"/>
    <n v="0"/>
    <n v="0"/>
    <n v="-1245.23"/>
    <n v="-311.3075"/>
    <n v="0"/>
  </r>
  <r>
    <n v="59989660"/>
    <s v="N"/>
    <n v="21339873"/>
    <s v="3000014333930006RC"/>
    <s v="CIVIL"/>
    <d v="2023-06-26T00:00:00"/>
    <d v="2023-07-06T19:54:22"/>
    <m/>
    <d v="2023-07-06T00:00:00"/>
    <n v="507"/>
    <n v="7335"/>
    <s v="59989660"/>
    <s v="59989660"/>
    <m/>
    <m/>
    <m/>
    <m/>
    <m/>
    <m/>
    <s v="SOLRECOUP"/>
    <s v="SOLRECOUP"/>
    <s v="POARECOUP"/>
    <n v="21339873"/>
    <n v="-88.5"/>
    <m/>
    <s v="Y"/>
    <n v="1"/>
    <d v="2023-07-06T19:54:22"/>
    <s v="N"/>
    <m/>
    <m/>
    <s v="Non Expert Disbursement"/>
    <m/>
    <s v="N"/>
    <n v="-73.75"/>
    <n v="0"/>
    <x v="4"/>
    <s v="VALIDATED"/>
    <n v="1"/>
    <s v="01.11.80.308.2013.0000"/>
    <n v="-73.75"/>
    <s v="11"/>
    <s v="2013"/>
    <n v="15699.41"/>
    <n v="-73.75"/>
    <s v="CREDITOR"/>
    <n v="0"/>
    <n v="0"/>
    <n v="-73.75"/>
    <n v="0"/>
    <n v="0"/>
  </r>
  <r>
    <n v="59989660"/>
    <s v="N"/>
    <n v="21339873"/>
    <s v="3000014333930006RC"/>
    <s v="CIVIL"/>
    <d v="2023-06-26T00:00:00"/>
    <d v="2023-07-06T19:54:22"/>
    <m/>
    <d v="2023-07-06T00:00:00"/>
    <n v="507"/>
    <n v="7335"/>
    <s v="59989660"/>
    <s v="59989660"/>
    <m/>
    <m/>
    <m/>
    <m/>
    <m/>
    <m/>
    <s v="SOLRECOUP"/>
    <s v="SOLRECOUP"/>
    <s v="POARECOUP"/>
    <n v="21339873"/>
    <n v="-88.5"/>
    <m/>
    <s v="Y"/>
    <n v="2"/>
    <d v="2023-07-06T19:54:22"/>
    <s v="N"/>
    <m/>
    <m/>
    <s v="Non Expert Disbursement"/>
    <m/>
    <s v="N"/>
    <n v="0"/>
    <n v="-14.75"/>
    <x v="4"/>
    <s v="VALIDATED"/>
    <n v="1"/>
    <s v="01.11.80.308.2013.0000"/>
    <n v="-14.75"/>
    <s v="11"/>
    <s v="2013"/>
    <n v="15699.41"/>
    <n v="-14.75"/>
    <s v="CREDITOR"/>
    <n v="0"/>
    <n v="0"/>
    <n v="-14.75"/>
    <n v="0"/>
    <n v="0"/>
  </r>
  <r>
    <n v="59989660"/>
    <s v="N"/>
    <n v="21339874"/>
    <s v="3000014333930007RC"/>
    <s v="CIVIL"/>
    <d v="2023-06-26T00:00:00"/>
    <d v="2023-07-06T19:54:22"/>
    <m/>
    <d v="2023-07-06T00:00:00"/>
    <n v="507"/>
    <n v="7335"/>
    <s v="59989660"/>
    <s v="59989660"/>
    <m/>
    <m/>
    <m/>
    <m/>
    <m/>
    <m/>
    <s v="SOLRECOUP"/>
    <s v="SOLRECOUP"/>
    <s v="POARECOUP"/>
    <n v="21339874"/>
    <n v="-179.4"/>
    <m/>
    <s v="Y"/>
    <n v="1"/>
    <d v="2023-07-06T19:54:22"/>
    <s v="N"/>
    <m/>
    <m/>
    <s v="Non Expert Disbursement"/>
    <m/>
    <s v="N"/>
    <n v="-149.5"/>
    <n v="0"/>
    <x v="4"/>
    <s v="VALIDATED"/>
    <n v="1"/>
    <s v="01.11.80.308.2013.0000"/>
    <n v="-149.5"/>
    <s v="11"/>
    <s v="2013"/>
    <n v="15699.41"/>
    <n v="-149.5"/>
    <s v="CREDITOR"/>
    <n v="0"/>
    <n v="0"/>
    <n v="-149.5"/>
    <n v="0"/>
    <n v="0"/>
  </r>
  <r>
    <n v="59989660"/>
    <s v="N"/>
    <n v="21339874"/>
    <s v="3000014333930007RC"/>
    <s v="CIVIL"/>
    <d v="2023-06-26T00:00:00"/>
    <d v="2023-07-06T19:54:22"/>
    <m/>
    <d v="2023-07-06T00:00:00"/>
    <n v="507"/>
    <n v="7335"/>
    <s v="59989660"/>
    <s v="59989660"/>
    <m/>
    <m/>
    <m/>
    <m/>
    <m/>
    <m/>
    <s v="SOLRECOUP"/>
    <s v="SOLRECOUP"/>
    <s v="POARECOUP"/>
    <n v="21339874"/>
    <n v="-179.4"/>
    <m/>
    <s v="Y"/>
    <n v="2"/>
    <d v="2023-07-06T19:54:22"/>
    <s v="N"/>
    <m/>
    <m/>
    <s v="Non Expert Disbursement"/>
    <m/>
    <s v="N"/>
    <n v="0"/>
    <n v="-29.9"/>
    <x v="4"/>
    <s v="VALIDATED"/>
    <n v="1"/>
    <s v="01.11.80.308.2013.0000"/>
    <n v="-29.9"/>
    <s v="11"/>
    <s v="2013"/>
    <n v="15699.41"/>
    <n v="-29.9"/>
    <s v="CREDITOR"/>
    <n v="0"/>
    <n v="0"/>
    <n v="-29.9"/>
    <n v="0"/>
    <n v="0"/>
  </r>
  <r>
    <n v="59989660"/>
    <s v="N"/>
    <n v="21339875"/>
    <s v="3000014333930005RC"/>
    <s v="CIVIL"/>
    <d v="2023-06-26T00:00:00"/>
    <d v="2023-07-06T19:54:22"/>
    <m/>
    <d v="2023-07-06T00:00:00"/>
    <n v="507"/>
    <n v="7335"/>
    <s v="59989660"/>
    <s v="59989660"/>
    <m/>
    <m/>
    <m/>
    <m/>
    <m/>
    <m/>
    <s v="SOLRECOUP"/>
    <s v="SOLRECOUP"/>
    <s v="POARECOUP"/>
    <n v="21339875"/>
    <n v="-81"/>
    <m/>
    <s v="Y"/>
    <n v="1"/>
    <d v="2023-07-06T19:54:22"/>
    <s v="N"/>
    <m/>
    <m/>
    <s v="Non Expert Disbursement"/>
    <m/>
    <s v="N"/>
    <n v="-67.5"/>
    <n v="0"/>
    <x v="4"/>
    <s v="VALIDATED"/>
    <n v="1"/>
    <s v="01.11.80.308.2013.0000"/>
    <n v="-67.5"/>
    <s v="11"/>
    <s v="2013"/>
    <n v="15699.41"/>
    <n v="-67.5"/>
    <s v="CREDITOR"/>
    <n v="0"/>
    <n v="0"/>
    <n v="-67.5"/>
    <n v="0"/>
    <n v="0"/>
  </r>
  <r>
    <n v="59989660"/>
    <s v="N"/>
    <n v="21339875"/>
    <s v="3000014333930005RC"/>
    <s v="CIVIL"/>
    <d v="2023-06-26T00:00:00"/>
    <d v="2023-07-06T19:54:22"/>
    <m/>
    <d v="2023-07-06T00:00:00"/>
    <n v="507"/>
    <n v="7335"/>
    <s v="59989660"/>
    <s v="59989660"/>
    <m/>
    <m/>
    <m/>
    <m/>
    <m/>
    <m/>
    <s v="SOLRECOUP"/>
    <s v="SOLRECOUP"/>
    <s v="POARECOUP"/>
    <n v="21339875"/>
    <n v="-81"/>
    <m/>
    <s v="Y"/>
    <n v="2"/>
    <d v="2023-07-06T19:54:22"/>
    <s v="N"/>
    <m/>
    <m/>
    <s v="Non Expert Disbursement"/>
    <m/>
    <s v="N"/>
    <n v="0"/>
    <n v="-13.5"/>
    <x v="4"/>
    <s v="VALIDATED"/>
    <n v="1"/>
    <s v="01.11.80.308.2013.0000"/>
    <n v="-13.5"/>
    <s v="11"/>
    <s v="2013"/>
    <n v="15699.41"/>
    <n v="-13.5"/>
    <s v="CREDITOR"/>
    <n v="0"/>
    <n v="0"/>
    <n v="-13.5"/>
    <n v="0"/>
    <n v="0"/>
  </r>
  <r>
    <n v="59989660"/>
    <s v="N"/>
    <n v="21339876"/>
    <s v="3000014333930004RC"/>
    <s v="CIVIL"/>
    <d v="2023-06-26T00:00:00"/>
    <d v="2023-07-06T19:54:22"/>
    <m/>
    <d v="2023-07-06T00:00:00"/>
    <n v="507"/>
    <n v="7335"/>
    <s v="59989660"/>
    <s v="59989660"/>
    <m/>
    <m/>
    <m/>
    <m/>
    <m/>
    <m/>
    <s v="SOLRECOUP"/>
    <s v="SOLRECOUP"/>
    <s v="POARECOUP"/>
    <n v="21339876"/>
    <n v="-2067.83"/>
    <m/>
    <s v="Y"/>
    <n v="1"/>
    <d v="2023-07-06T19:54:22"/>
    <s v="N"/>
    <m/>
    <m/>
    <s v="Profit Cost"/>
    <m/>
    <s v="N"/>
    <n v="-1723.19"/>
    <n v="0"/>
    <x v="4"/>
    <s v="VALIDATED"/>
    <n v="1"/>
    <s v="01.11.80.308.2013.0000"/>
    <n v="-1723.19"/>
    <s v="11"/>
    <s v="2013"/>
    <n v="15699.41"/>
    <n v="-1723.19"/>
    <s v="CREDITOR"/>
    <n v="0"/>
    <n v="0"/>
    <n v="-1723.19"/>
    <n v="-430.7975"/>
    <n v="0"/>
  </r>
  <r>
    <n v="59989660"/>
    <s v="N"/>
    <n v="21339876"/>
    <s v="3000014333930004RC"/>
    <s v="CIVIL"/>
    <d v="2023-06-26T00:00:00"/>
    <d v="2023-07-06T19:54:22"/>
    <m/>
    <d v="2023-07-06T00:00:00"/>
    <n v="507"/>
    <n v="7335"/>
    <s v="59989660"/>
    <s v="59989660"/>
    <m/>
    <m/>
    <m/>
    <m/>
    <m/>
    <m/>
    <s v="SOLRECOUP"/>
    <s v="SOLRECOUP"/>
    <s v="POARECOUP"/>
    <n v="21339876"/>
    <n v="-2067.83"/>
    <m/>
    <s v="Y"/>
    <n v="2"/>
    <d v="2023-07-06T19:54:22"/>
    <s v="N"/>
    <m/>
    <m/>
    <s v="Profit Cost"/>
    <m/>
    <s v="N"/>
    <n v="0"/>
    <n v="-344.64"/>
    <x v="4"/>
    <s v="VALIDATED"/>
    <n v="1"/>
    <s v="01.11.80.308.2013.0000"/>
    <n v="-344.64"/>
    <s v="11"/>
    <s v="2013"/>
    <n v="15699.41"/>
    <n v="-344.64"/>
    <s v="CREDITOR"/>
    <n v="0"/>
    <n v="0"/>
    <n v="-344.64"/>
    <n v="-86.16"/>
    <n v="0"/>
  </r>
  <r>
    <n v="59989660"/>
    <s v="N"/>
    <n v="21339877"/>
    <s v="3000014333930001RC"/>
    <s v="CIVIL"/>
    <d v="2023-06-26T00:00:00"/>
    <d v="2023-07-06T19:54:22"/>
    <m/>
    <d v="2023-07-06T00:00:00"/>
    <n v="507"/>
    <n v="7335"/>
    <s v="59989660"/>
    <s v="59989660"/>
    <m/>
    <m/>
    <m/>
    <m/>
    <m/>
    <m/>
    <s v="SOLRECOUP"/>
    <s v="SOLRECOUP"/>
    <s v="POARECOUP"/>
    <n v="21339877"/>
    <n v="-232.01"/>
    <m/>
    <s v="Y"/>
    <n v="1"/>
    <d v="2023-07-06T19:54:22"/>
    <s v="N"/>
    <m/>
    <m/>
    <s v="Expert Disbursement"/>
    <m/>
    <s v="N"/>
    <n v="-193.34"/>
    <n v="0"/>
    <x v="4"/>
    <s v="VALIDATED"/>
    <n v="1"/>
    <s v="01.11.80.308.2013.0000"/>
    <n v="-193.34"/>
    <s v="11"/>
    <s v="2013"/>
    <n v="15699.41"/>
    <n v="-193.34"/>
    <s v="CREDITOR"/>
    <n v="0"/>
    <n v="0"/>
    <n v="-193.34"/>
    <n v="0"/>
    <n v="0"/>
  </r>
  <r>
    <n v="59989660"/>
    <s v="N"/>
    <n v="21339877"/>
    <s v="3000014333930001RC"/>
    <s v="CIVIL"/>
    <d v="2023-06-26T00:00:00"/>
    <d v="2023-07-06T19:54:22"/>
    <m/>
    <d v="2023-07-06T00:00:00"/>
    <n v="507"/>
    <n v="7335"/>
    <s v="59989660"/>
    <s v="59989660"/>
    <m/>
    <m/>
    <m/>
    <m/>
    <m/>
    <m/>
    <s v="SOLRECOUP"/>
    <s v="SOLRECOUP"/>
    <s v="POARECOUP"/>
    <n v="21339877"/>
    <n v="-232.01"/>
    <m/>
    <s v="Y"/>
    <n v="2"/>
    <d v="2023-07-06T19:54:22"/>
    <s v="N"/>
    <m/>
    <m/>
    <s v="Expert Disbursement"/>
    <m/>
    <s v="N"/>
    <n v="0"/>
    <n v="-38.67"/>
    <x v="4"/>
    <s v="VALIDATED"/>
    <n v="1"/>
    <s v="01.11.80.308.2013.0000"/>
    <n v="-38.67"/>
    <s v="11"/>
    <s v="2013"/>
    <n v="15699.41"/>
    <n v="-38.67"/>
    <s v="CREDITOR"/>
    <n v="0"/>
    <n v="0"/>
    <n v="-38.67"/>
    <n v="0"/>
    <n v="0"/>
  </r>
  <r>
    <n v="59989660"/>
    <s v="N"/>
    <n v="21339878"/>
    <s v="3000014333930002RC"/>
    <s v="CIVIL"/>
    <d v="2023-06-26T00:00:00"/>
    <d v="2023-07-06T19:54:22"/>
    <m/>
    <d v="2023-07-06T00:00:00"/>
    <n v="507"/>
    <n v="7335"/>
    <s v="59989660"/>
    <s v="59989660"/>
    <m/>
    <m/>
    <m/>
    <m/>
    <m/>
    <m/>
    <s v="SOLRECOUP"/>
    <s v="SOLRECOUP"/>
    <s v="POARECOUP"/>
    <n v="21339878"/>
    <n v="-184.01"/>
    <m/>
    <s v="Y"/>
    <n v="1"/>
    <d v="2023-07-06T19:54:22"/>
    <s v="N"/>
    <m/>
    <m/>
    <s v="Expert Disbursement"/>
    <m/>
    <s v="N"/>
    <n v="-153.34"/>
    <n v="0"/>
    <x v="4"/>
    <s v="VALIDATED"/>
    <n v="1"/>
    <s v="01.11.80.308.2013.0000"/>
    <n v="-153.34"/>
    <s v="11"/>
    <s v="2013"/>
    <n v="15699.41"/>
    <n v="-153.34"/>
    <s v="CREDITOR"/>
    <n v="0"/>
    <n v="0"/>
    <n v="-153.34"/>
    <n v="0"/>
    <n v="0"/>
  </r>
  <r>
    <n v="59989660"/>
    <s v="N"/>
    <n v="21339878"/>
    <s v="3000014333930002RC"/>
    <s v="CIVIL"/>
    <d v="2023-06-26T00:00:00"/>
    <d v="2023-07-06T19:54:22"/>
    <m/>
    <d v="2023-07-06T00:00:00"/>
    <n v="507"/>
    <n v="7335"/>
    <s v="59989660"/>
    <s v="59989660"/>
    <m/>
    <m/>
    <m/>
    <m/>
    <m/>
    <m/>
    <s v="SOLRECOUP"/>
    <s v="SOLRECOUP"/>
    <s v="POARECOUP"/>
    <n v="21339878"/>
    <n v="-184.01"/>
    <m/>
    <s v="Y"/>
    <n v="2"/>
    <d v="2023-07-06T19:54:22"/>
    <s v="N"/>
    <m/>
    <m/>
    <s v="Expert Disbursement"/>
    <m/>
    <s v="N"/>
    <n v="0"/>
    <n v="-30.67"/>
    <x v="4"/>
    <s v="VALIDATED"/>
    <n v="1"/>
    <s v="01.11.80.308.2013.0000"/>
    <n v="-30.67"/>
    <s v="11"/>
    <s v="2013"/>
    <n v="15699.41"/>
    <n v="-30.67"/>
    <s v="CREDITOR"/>
    <n v="0"/>
    <n v="0"/>
    <n v="-30.67"/>
    <n v="0"/>
    <n v="0"/>
  </r>
  <r>
    <n v="59989660"/>
    <s v="N"/>
    <n v="21339879"/>
    <s v="3000014333930003RC"/>
    <s v="CIVIL"/>
    <d v="2023-06-26T00:00:00"/>
    <d v="2023-07-06T19:54:22"/>
    <m/>
    <d v="2023-07-06T00:00:00"/>
    <n v="507"/>
    <n v="7335"/>
    <s v="59989660"/>
    <s v="59989660"/>
    <m/>
    <m/>
    <m/>
    <m/>
    <m/>
    <m/>
    <s v="SOLRECOUP"/>
    <s v="SOLRECOUP"/>
    <s v="POARECOUP"/>
    <n v="21339879"/>
    <n v="-108"/>
    <m/>
    <s v="Y"/>
    <n v="1"/>
    <d v="2023-07-06T19:54:22"/>
    <s v="N"/>
    <m/>
    <m/>
    <s v="Expert Disbursement"/>
    <m/>
    <s v="N"/>
    <n v="-90"/>
    <n v="0"/>
    <x v="4"/>
    <s v="VALIDATED"/>
    <n v="1"/>
    <s v="01.11.80.308.2013.0000"/>
    <n v="-90"/>
    <s v="11"/>
    <s v="2013"/>
    <n v="15699.41"/>
    <n v="-90"/>
    <s v="CREDITOR"/>
    <n v="0"/>
    <n v="0"/>
    <n v="-90"/>
    <n v="0"/>
    <n v="0"/>
  </r>
  <r>
    <n v="59989660"/>
    <s v="N"/>
    <n v="21339879"/>
    <s v="3000014333930003RC"/>
    <s v="CIVIL"/>
    <d v="2023-06-26T00:00:00"/>
    <d v="2023-07-06T19:54:22"/>
    <m/>
    <d v="2023-07-06T00:00:00"/>
    <n v="507"/>
    <n v="7335"/>
    <s v="59989660"/>
    <s v="59989660"/>
    <m/>
    <m/>
    <m/>
    <m/>
    <m/>
    <m/>
    <s v="SOLRECOUP"/>
    <s v="SOLRECOUP"/>
    <s v="POARECOUP"/>
    <n v="21339879"/>
    <n v="-108"/>
    <m/>
    <s v="Y"/>
    <n v="2"/>
    <d v="2023-07-06T19:54:22"/>
    <s v="N"/>
    <m/>
    <m/>
    <s v="Expert Disbursement"/>
    <m/>
    <s v="N"/>
    <n v="0"/>
    <n v="-18"/>
    <x v="4"/>
    <s v="VALIDATED"/>
    <n v="1"/>
    <s v="01.11.80.308.2013.0000"/>
    <n v="-18"/>
    <s v="11"/>
    <s v="2013"/>
    <n v="15699.41"/>
    <n v="-18"/>
    <s v="CREDITOR"/>
    <n v="0"/>
    <n v="0"/>
    <n v="-18"/>
    <n v="0"/>
    <n v="0"/>
  </r>
  <r>
    <n v="59989660"/>
    <s v="N"/>
    <n v="21339880"/>
    <s v="3000014333930009RC"/>
    <s v="CIVIL"/>
    <d v="2023-06-26T00:00:00"/>
    <d v="2023-07-06T19:54:22"/>
    <m/>
    <d v="2023-07-06T00:00:00"/>
    <n v="507"/>
    <n v="7335"/>
    <s v="59989660"/>
    <s v="59989660"/>
    <m/>
    <m/>
    <m/>
    <m/>
    <m/>
    <m/>
    <s v="SOLRECOUP"/>
    <s v="SOLRECOUP"/>
    <s v="POARECOUP"/>
    <n v="21339880"/>
    <n v="-232.01"/>
    <m/>
    <s v="Y"/>
    <n v="1"/>
    <d v="2023-07-06T19:54:22"/>
    <s v="N"/>
    <m/>
    <m/>
    <s v="Non Expert Disbursement"/>
    <m/>
    <s v="N"/>
    <n v="-193.34"/>
    <n v="0"/>
    <x v="4"/>
    <s v="VALIDATED"/>
    <n v="1"/>
    <s v="01.11.80.308.2013.0000"/>
    <n v="-193.34"/>
    <s v="11"/>
    <s v="2013"/>
    <n v="15699.41"/>
    <n v="-193.34"/>
    <s v="CREDITOR"/>
    <n v="0"/>
    <n v="0"/>
    <n v="-193.34"/>
    <n v="0"/>
    <n v="0"/>
  </r>
  <r>
    <n v="59989660"/>
    <s v="N"/>
    <n v="21339880"/>
    <s v="3000014333930009RC"/>
    <s v="CIVIL"/>
    <d v="2023-06-26T00:00:00"/>
    <d v="2023-07-06T19:54:22"/>
    <m/>
    <d v="2023-07-06T00:00:00"/>
    <n v="507"/>
    <n v="7335"/>
    <s v="59989660"/>
    <s v="59989660"/>
    <m/>
    <m/>
    <m/>
    <m/>
    <m/>
    <m/>
    <s v="SOLRECOUP"/>
    <s v="SOLRECOUP"/>
    <s v="POARECOUP"/>
    <n v="21339880"/>
    <n v="-232.01"/>
    <m/>
    <s v="Y"/>
    <n v="2"/>
    <d v="2023-07-06T19:54:22"/>
    <s v="N"/>
    <m/>
    <m/>
    <s v="Non Expert Disbursement"/>
    <m/>
    <s v="N"/>
    <n v="0"/>
    <n v="-38.67"/>
    <x v="4"/>
    <s v="VALIDATED"/>
    <n v="1"/>
    <s v="01.11.80.308.2013.0000"/>
    <n v="-38.67"/>
    <s v="11"/>
    <s v="2013"/>
    <n v="15699.41"/>
    <n v="-38.67"/>
    <s v="CREDITOR"/>
    <n v="0"/>
    <n v="0"/>
    <n v="-38.67"/>
    <n v="0"/>
    <n v="0"/>
  </r>
  <r>
    <n v="59989660"/>
    <s v="N"/>
    <n v="21339881"/>
    <s v="3000014333930008RC"/>
    <s v="CIVIL"/>
    <d v="2023-06-26T00:00:00"/>
    <d v="2023-07-06T19:54:22"/>
    <m/>
    <d v="2023-07-06T00:00:00"/>
    <n v="507"/>
    <n v="7335"/>
    <s v="59989660"/>
    <s v="59989660"/>
    <m/>
    <m/>
    <m/>
    <m/>
    <m/>
    <m/>
    <s v="SOLRECOUP"/>
    <s v="SOLRECOUP"/>
    <s v="POARECOUP"/>
    <n v="21339881"/>
    <n v="-3185.47"/>
    <m/>
    <s v="Y"/>
    <n v="1"/>
    <d v="2023-07-06T19:54:22"/>
    <s v="N"/>
    <m/>
    <m/>
    <s v="Profit Cost"/>
    <m/>
    <s v="N"/>
    <n v="-2654.56"/>
    <n v="0"/>
    <x v="4"/>
    <s v="VALIDATED"/>
    <n v="1"/>
    <s v="01.11.80.308.2013.0000"/>
    <n v="-2654.56"/>
    <s v="11"/>
    <s v="2013"/>
    <n v="15699.41"/>
    <n v="-2654.56"/>
    <s v="CREDITOR"/>
    <n v="0"/>
    <n v="0"/>
    <n v="-2654.56"/>
    <n v="-663.64"/>
    <n v="0"/>
  </r>
  <r>
    <n v="59989660"/>
    <s v="N"/>
    <n v="21339881"/>
    <s v="3000014333930008RC"/>
    <s v="CIVIL"/>
    <d v="2023-06-26T00:00:00"/>
    <d v="2023-07-06T19:54:22"/>
    <m/>
    <d v="2023-07-06T00:00:00"/>
    <n v="507"/>
    <n v="7335"/>
    <s v="59989660"/>
    <s v="59989660"/>
    <m/>
    <m/>
    <m/>
    <m/>
    <m/>
    <m/>
    <s v="SOLRECOUP"/>
    <s v="SOLRECOUP"/>
    <s v="POARECOUP"/>
    <n v="21339881"/>
    <n v="-3185.47"/>
    <m/>
    <s v="Y"/>
    <n v="2"/>
    <d v="2023-07-06T19:54:22"/>
    <s v="N"/>
    <m/>
    <m/>
    <s v="Profit Cost"/>
    <m/>
    <s v="N"/>
    <n v="0"/>
    <n v="-530.91"/>
    <x v="4"/>
    <s v="VALIDATED"/>
    <n v="1"/>
    <s v="01.11.80.308.2013.0000"/>
    <n v="-530.91"/>
    <s v="11"/>
    <s v="2013"/>
    <n v="15699.41"/>
    <n v="-530.91"/>
    <s v="CREDITOR"/>
    <n v="0"/>
    <n v="0"/>
    <n v="-530.91"/>
    <n v="-132.7275"/>
    <n v="0"/>
  </r>
  <r>
    <n v="59989660"/>
    <s v="N"/>
    <n v="21339882"/>
    <s v="3000014333930010RC"/>
    <s v="CIVIL"/>
    <d v="2023-06-26T00:00:00"/>
    <d v="2023-07-06T19:54:22"/>
    <m/>
    <d v="2023-07-06T00:00:00"/>
    <n v="507"/>
    <n v="7335"/>
    <s v="59989660"/>
    <s v="59989660"/>
    <m/>
    <m/>
    <m/>
    <m/>
    <m/>
    <m/>
    <s v="SOLRECOUP"/>
    <s v="SOLRECOUP"/>
    <s v="POARECOUP"/>
    <n v="21339882"/>
    <n v="-7471.39"/>
    <m/>
    <s v="Y"/>
    <n v="1"/>
    <d v="2023-07-06T19:54:22"/>
    <s v="N"/>
    <m/>
    <m/>
    <s v="Profit Cost"/>
    <m/>
    <s v="N"/>
    <n v="-6226.16"/>
    <n v="0"/>
    <x v="4"/>
    <s v="VALIDATED"/>
    <n v="1"/>
    <s v="01.11.80.308.2013.0000"/>
    <n v="-6226.16"/>
    <s v="11"/>
    <s v="2013"/>
    <n v="15699.41"/>
    <n v="-6226.16"/>
    <s v="CREDITOR"/>
    <n v="0"/>
    <n v="0"/>
    <n v="-6226.16"/>
    <n v="-1556.54"/>
    <n v="0"/>
  </r>
  <r>
    <n v="59988478"/>
    <s v="N"/>
    <n v="21328601"/>
    <s v="3000014327360001RC"/>
    <s v="CIVIL"/>
    <d v="2023-06-27T00:00:00"/>
    <d v="2023-07-04T19:38:21"/>
    <m/>
    <d v="2023-07-04T00:00:00"/>
    <n v="507"/>
    <n v="7335"/>
    <s v="59988478"/>
    <s v="59988478"/>
    <m/>
    <m/>
    <m/>
    <m/>
    <m/>
    <m/>
    <s v="SOLRECOUP"/>
    <s v="SOLRECOUP"/>
    <s v="POARECOUP"/>
    <n v="21328601"/>
    <n v="-371"/>
    <m/>
    <s v="Y"/>
    <n v="1"/>
    <d v="2023-07-04T19:38:22"/>
    <s v="N"/>
    <m/>
    <m/>
    <s v="Non Expert Disbursement"/>
    <m/>
    <s v="N"/>
    <n v="-371"/>
    <n v="0"/>
    <x v="1"/>
    <s v="VALIDATED"/>
    <n v="1"/>
    <s v="01.11.80.203.2013.0000"/>
    <n v="-371"/>
    <s v="11"/>
    <s v="2013"/>
    <n v="15699.41"/>
    <n v="-371"/>
    <s v="CREDITOR"/>
    <n v="0"/>
    <n v="0"/>
    <n v="-371"/>
    <n v="0"/>
    <n v="0"/>
  </r>
  <r>
    <n v="59988478"/>
    <s v="N"/>
    <n v="21328601"/>
    <s v="3000014327360001RC"/>
    <s v="CIVIL"/>
    <d v="2023-06-27T00:00:00"/>
    <d v="2023-07-04T19:38:21"/>
    <m/>
    <d v="2023-07-04T00:00:00"/>
    <n v="507"/>
    <n v="7335"/>
    <s v="59988478"/>
    <s v="59988478"/>
    <m/>
    <m/>
    <m/>
    <m/>
    <m/>
    <m/>
    <s v="SOLRECOUP"/>
    <s v="SOLRECOUP"/>
    <s v="POARECOUP"/>
    <n v="21328601"/>
    <n v="-371"/>
    <m/>
    <s v="Y"/>
    <n v="2"/>
    <d v="2023-07-04T19:38:22"/>
    <s v="N"/>
    <m/>
    <m/>
    <s v="Non Expert Disbursement"/>
    <m/>
    <s v="N"/>
    <n v="0"/>
    <n v="0"/>
    <x v="1"/>
    <s v="VALIDATED"/>
    <n v="1"/>
    <s v="01.11.80.000.0000.0000"/>
    <n v="0"/>
    <s v="11"/>
    <s v="0000"/>
    <n v="15699.41"/>
    <n v="0"/>
    <s v="CREDITOR"/>
    <n v="0"/>
    <n v="0"/>
    <n v="0"/>
    <n v="0"/>
    <n v="0"/>
  </r>
  <r>
    <n v="60487684"/>
    <s v="N"/>
    <n v="21356309"/>
    <s v="3000014762060004RC"/>
    <s v="CIVIL"/>
    <d v="2023-06-29T00:00:00"/>
    <d v="2023-07-10T19:47:44"/>
    <m/>
    <d v="2023-07-10T00:00:00"/>
    <n v="507"/>
    <n v="7335"/>
    <s v="60487684"/>
    <s v="60487684"/>
    <m/>
    <m/>
    <m/>
    <m/>
    <m/>
    <m/>
    <s v="SOLRECOUP"/>
    <s v="SOLRECOUP"/>
    <s v="POARECOUP"/>
    <n v="21356309"/>
    <n v="-5732.66"/>
    <m/>
    <s v="Y"/>
    <n v="1"/>
    <d v="2023-07-10T19:47:44"/>
    <s v="N"/>
    <m/>
    <m/>
    <s v="Profit Cost"/>
    <m/>
    <s v="N"/>
    <n v="-4777.22"/>
    <n v="0"/>
    <x v="2"/>
    <s v="VALIDATED"/>
    <n v="1"/>
    <s v="01.11.80.305.2013.0000"/>
    <n v="-4777.22"/>
    <s v="11"/>
    <s v="2013"/>
    <n v="15699.41"/>
    <n v="-4777.22"/>
    <s v="CREDITOR"/>
    <n v="0"/>
    <n v="0"/>
    <n v="-4777.22"/>
    <n v="-1194.305"/>
    <n v="0"/>
  </r>
  <r>
    <n v="60487684"/>
    <s v="N"/>
    <n v="21356309"/>
    <s v="3000014762060004RC"/>
    <s v="CIVIL"/>
    <d v="2023-06-29T00:00:00"/>
    <d v="2023-07-10T19:47:44"/>
    <m/>
    <d v="2023-07-10T00:00:00"/>
    <n v="507"/>
    <n v="7335"/>
    <s v="60487684"/>
    <s v="60487684"/>
    <m/>
    <m/>
    <m/>
    <m/>
    <m/>
    <m/>
    <s v="SOLRECOUP"/>
    <s v="SOLRECOUP"/>
    <s v="POARECOUP"/>
    <n v="21356309"/>
    <n v="-5732.66"/>
    <m/>
    <s v="Y"/>
    <n v="2"/>
    <d v="2023-07-10T19:47:44"/>
    <s v="N"/>
    <m/>
    <m/>
    <s v="Profit Cost"/>
    <m/>
    <s v="N"/>
    <n v="0"/>
    <n v="-955.4400000000001"/>
    <x v="2"/>
    <s v="VALIDATED"/>
    <n v="1"/>
    <s v="01.11.80.305.2013.0000"/>
    <n v="-955.4400000000001"/>
    <s v="11"/>
    <s v="2013"/>
    <n v="15699.41"/>
    <n v="-955.4400000000001"/>
    <s v="CREDITOR"/>
    <n v="0"/>
    <n v="0"/>
    <n v="-955.4400000000001"/>
    <n v="-238.86"/>
    <n v="0"/>
  </r>
  <r>
    <n v="61718760"/>
    <s v="N"/>
    <n v="21399810"/>
    <s v="3000015806460002RC"/>
    <s v="CIVIL"/>
    <d v="2023-06-27T00:00:00"/>
    <d v="2023-07-19T19:44:15"/>
    <m/>
    <d v="2023-07-19T00:00:00"/>
    <n v="507"/>
    <n v="7335"/>
    <s v="61718760"/>
    <s v="61718760"/>
    <m/>
    <m/>
    <m/>
    <m/>
    <m/>
    <m/>
    <s v="SOLRECOUP"/>
    <s v="SOLRECOUP"/>
    <s v="POARECOUP"/>
    <n v="21399810"/>
    <n v="-93.72"/>
    <m/>
    <s v="Y"/>
    <n v="2"/>
    <d v="2023-07-19T19:44:17"/>
    <s v="N"/>
    <m/>
    <m/>
    <s v="Non Expert Disbursement"/>
    <m/>
    <s v="N"/>
    <n v="0"/>
    <n v="-15.62"/>
    <x v="5"/>
    <s v="VALIDATED"/>
    <n v="1"/>
    <s v="01.11.80.208.2013.0000"/>
    <n v="-15.62"/>
    <s v="11"/>
    <s v="2013"/>
    <n v="15699.41"/>
    <n v="-15.62"/>
    <s v="CREDITOR"/>
    <n v="0"/>
    <n v="0"/>
    <n v="-15.62"/>
    <n v="0"/>
    <n v="0"/>
  </r>
  <r>
    <n v="61718760"/>
    <s v="N"/>
    <n v="21399810"/>
    <s v="3000015806460002RC"/>
    <s v="CIVIL"/>
    <d v="2023-06-27T00:00:00"/>
    <d v="2023-07-19T19:44:15"/>
    <m/>
    <d v="2023-07-19T00:00:00"/>
    <n v="507"/>
    <n v="7335"/>
    <s v="61718760"/>
    <s v="61718760"/>
    <m/>
    <m/>
    <m/>
    <m/>
    <m/>
    <m/>
    <s v="SOLRECOUP"/>
    <s v="SOLRECOUP"/>
    <s v="POARECOUP"/>
    <n v="21399810"/>
    <n v="-93.72"/>
    <m/>
    <s v="Y"/>
    <n v="1"/>
    <d v="2023-07-19T19:44:17"/>
    <s v="N"/>
    <m/>
    <m/>
    <s v="Non Expert Disbursement"/>
    <m/>
    <s v="N"/>
    <n v="-78.09999999999999"/>
    <n v="0"/>
    <x v="5"/>
    <s v="VALIDATED"/>
    <n v="1"/>
    <s v="01.11.80.208.2013.0000"/>
    <n v="-78.09999999999999"/>
    <s v="11"/>
    <s v="2013"/>
    <n v="15699.41"/>
    <n v="-78.09999999999999"/>
    <s v="CREDITOR"/>
    <n v="0"/>
    <n v="0"/>
    <n v="-78.09999999999999"/>
    <n v="0"/>
    <n v="0"/>
  </r>
  <r>
    <n v="61718760"/>
    <s v="N"/>
    <n v="21399812"/>
    <s v="3000015806460001RC"/>
    <s v="CIVIL"/>
    <d v="2023-06-27T00:00:00"/>
    <d v="2023-07-19T19:44:15"/>
    <m/>
    <d v="2023-07-19T00:00:00"/>
    <n v="507"/>
    <n v="7335"/>
    <s v="61718760"/>
    <s v="61718760"/>
    <m/>
    <m/>
    <m/>
    <m/>
    <m/>
    <m/>
    <s v="SOLRECOUP"/>
    <s v="SOLRECOUP"/>
    <s v="POARECOUP"/>
    <n v="21399812"/>
    <n v="-115.2"/>
    <m/>
    <s v="Y"/>
    <n v="1"/>
    <d v="2023-07-19T19:44:17"/>
    <s v="N"/>
    <m/>
    <m/>
    <s v="Non Expert Disbursement"/>
    <m/>
    <s v="N"/>
    <n v="-96"/>
    <n v="0"/>
    <x v="5"/>
    <s v="VALIDATED"/>
    <n v="1"/>
    <s v="01.11.80.208.2013.0000"/>
    <n v="-96"/>
    <s v="11"/>
    <s v="2013"/>
    <n v="15699.41"/>
    <n v="-96"/>
    <s v="CREDITOR"/>
    <n v="0"/>
    <n v="0"/>
    <n v="-96"/>
    <n v="0"/>
    <n v="0"/>
  </r>
  <r>
    <n v="61718760"/>
    <s v="N"/>
    <n v="21399812"/>
    <s v="3000015806460001RC"/>
    <s v="CIVIL"/>
    <d v="2023-06-27T00:00:00"/>
    <d v="2023-07-19T19:44:15"/>
    <m/>
    <d v="2023-07-19T00:00:00"/>
    <n v="507"/>
    <n v="7335"/>
    <s v="61718760"/>
    <s v="61718760"/>
    <m/>
    <m/>
    <m/>
    <m/>
    <m/>
    <m/>
    <s v="SOLRECOUP"/>
    <s v="SOLRECOUP"/>
    <s v="POARECOUP"/>
    <n v="21399812"/>
    <n v="-115.2"/>
    <m/>
    <s v="Y"/>
    <n v="2"/>
    <d v="2023-07-19T19:44:17"/>
    <s v="N"/>
    <m/>
    <m/>
    <s v="Non Expert Disbursement"/>
    <m/>
    <s v="N"/>
    <n v="0"/>
    <n v="-19.2"/>
    <x v="5"/>
    <s v="VALIDATED"/>
    <n v="1"/>
    <s v="01.11.80.208.2013.0000"/>
    <n v="-19.2"/>
    <s v="11"/>
    <s v="2013"/>
    <n v="15699.41"/>
    <n v="-19.2"/>
    <s v="CREDITOR"/>
    <n v="0"/>
    <n v="0"/>
    <n v="-19.2"/>
    <n v="0"/>
    <n v="0"/>
  </r>
  <r>
    <n v="61718760"/>
    <s v="N"/>
    <n v="21399818"/>
    <s v="3000015806460003RC"/>
    <s v="CIVIL"/>
    <d v="2023-06-27T00:00:00"/>
    <d v="2023-07-19T19:44:15"/>
    <m/>
    <d v="2023-07-19T00:00:00"/>
    <n v="507"/>
    <n v="7335"/>
    <s v="61718760"/>
    <s v="61718760"/>
    <m/>
    <m/>
    <m/>
    <m/>
    <m/>
    <m/>
    <s v="SOLRECOUP"/>
    <s v="SOLRECOUP"/>
    <s v="POARECOUP"/>
    <n v="21399818"/>
    <n v="-750"/>
    <m/>
    <s v="Y"/>
    <n v="1"/>
    <d v="2023-07-19T19:44:17"/>
    <s v="N"/>
    <m/>
    <m/>
    <s v="Non Expert Disbursement"/>
    <m/>
    <s v="N"/>
    <n v="-750"/>
    <n v="0"/>
    <x v="5"/>
    <s v="VALIDATED"/>
    <n v="1"/>
    <s v="01.11.80.208.2013.0000"/>
    <n v="-750"/>
    <s v="11"/>
    <s v="2013"/>
    <n v="15699.41"/>
    <n v="-750"/>
    <s v="CREDITOR"/>
    <n v="0"/>
    <n v="0"/>
    <n v="-750"/>
    <n v="0"/>
    <n v="0"/>
  </r>
  <r>
    <n v="61718760"/>
    <s v="N"/>
    <n v="21399818"/>
    <s v="3000015806460003RC"/>
    <s v="CIVIL"/>
    <d v="2023-06-27T00:00:00"/>
    <d v="2023-07-19T19:44:15"/>
    <m/>
    <d v="2023-07-19T00:00:00"/>
    <n v="507"/>
    <n v="7335"/>
    <s v="61718760"/>
    <s v="61718760"/>
    <m/>
    <m/>
    <m/>
    <m/>
    <m/>
    <m/>
    <s v="SOLRECOUP"/>
    <s v="SOLRECOUP"/>
    <s v="POARECOUP"/>
    <n v="21399818"/>
    <n v="-750"/>
    <m/>
    <s v="Y"/>
    <n v="2"/>
    <d v="2023-07-19T19:44:17"/>
    <s v="N"/>
    <m/>
    <m/>
    <s v="Non Expert Disbursement"/>
    <m/>
    <s v="N"/>
    <n v="0"/>
    <n v="0"/>
    <x v="5"/>
    <s v="VALIDATED"/>
    <n v="1"/>
    <s v="01.11.80.000.0000.0000"/>
    <n v="0"/>
    <s v="11"/>
    <s v="0000"/>
    <n v="15699.41"/>
    <n v="0"/>
    <s v="CREDITOR"/>
    <n v="0"/>
    <n v="0"/>
    <n v="0"/>
    <n v="0"/>
    <n v="0"/>
  </r>
  <r>
    <n v="61173544"/>
    <s v="N"/>
    <n v="21338515"/>
    <s v="3000015353970004"/>
    <s v="CIVIL"/>
    <d v="2023-06-27T00:00:00"/>
    <d v="2023-07-06T19:21:01"/>
    <m/>
    <d v="2023-07-06T00:00:00"/>
    <n v="509"/>
    <n v="7335"/>
    <s v="61173544"/>
    <s v="61173544"/>
    <m/>
    <m/>
    <n v="22771616"/>
    <m/>
    <m/>
    <m/>
    <s v="SOLFIN"/>
    <s v="SOLFIN"/>
    <s v="CCMS"/>
    <n v="21338515"/>
    <n v="0"/>
    <m/>
    <s v="N"/>
    <n v="1"/>
    <d v="2023-07-06T19:21:27"/>
    <s v="N"/>
    <s v="NIL BILL"/>
    <s v="Non Family Hourly Rates"/>
    <s v="Profit Cost"/>
    <s v="James Harrison"/>
    <s v="N"/>
    <n v="0"/>
    <n v="0"/>
    <x v="4"/>
    <s v="VALIDATED"/>
    <n v="1"/>
    <s v="01.11.80.208.6100.0000"/>
    <n v="0"/>
    <s v="11"/>
    <s v="6100"/>
    <n v="-1248"/>
    <n v="0"/>
    <s v="DEBTOR"/>
    <n v="0"/>
    <n v="0"/>
    <n v="0"/>
    <n v="0"/>
    <n v="0"/>
  </r>
  <r>
    <n v="61173544"/>
    <s v="N"/>
    <n v="21339883"/>
    <s v="3000015353970003RC"/>
    <s v="CIVIL"/>
    <d v="2023-06-27T00:00:00"/>
    <d v="2023-07-06T19:54:22"/>
    <m/>
    <d v="2023-07-06T00:00:00"/>
    <n v="509"/>
    <n v="7335"/>
    <s v="61173544"/>
    <s v="61173544"/>
    <m/>
    <m/>
    <m/>
    <m/>
    <m/>
    <m/>
    <s v="SOLRECOUP"/>
    <s v="SOLRECOUP"/>
    <s v="POARECOUP"/>
    <n v="21339883"/>
    <n v="-1248"/>
    <m/>
    <s v="Y"/>
    <n v="1"/>
    <d v="2023-07-06T19:54:22"/>
    <s v="N"/>
    <m/>
    <m/>
    <s v="Profit Cost"/>
    <m/>
    <s v="N"/>
    <n v="-1040"/>
    <n v="0"/>
    <x v="4"/>
    <s v="VALIDATED"/>
    <n v="1"/>
    <s v="01.11.80.208.2013.0000"/>
    <n v="-1040"/>
    <s v="11"/>
    <s v="2013"/>
    <n v="-1248"/>
    <n v="-1040"/>
    <s v="DEBTOR"/>
    <n v="0"/>
    <n v="0"/>
    <n v="0"/>
    <n v="0"/>
    <n v="0"/>
  </r>
  <r>
    <n v="61173544"/>
    <s v="N"/>
    <n v="21339883"/>
    <s v="3000015353970003RC"/>
    <s v="CIVIL"/>
    <d v="2023-06-27T00:00:00"/>
    <d v="2023-07-06T19:54:22"/>
    <m/>
    <d v="2023-07-06T00:00:00"/>
    <n v="509"/>
    <n v="7335"/>
    <s v="61173544"/>
    <s v="61173544"/>
    <m/>
    <m/>
    <m/>
    <m/>
    <m/>
    <m/>
    <s v="SOLRECOUP"/>
    <s v="SOLRECOUP"/>
    <s v="POARECOUP"/>
    <n v="21339883"/>
    <n v="-1248"/>
    <m/>
    <s v="Y"/>
    <n v="2"/>
    <d v="2023-07-06T19:54:22"/>
    <s v="N"/>
    <m/>
    <m/>
    <s v="Profit Cost"/>
    <m/>
    <s v="N"/>
    <n v="0"/>
    <n v="-208"/>
    <x v="4"/>
    <s v="VALIDATED"/>
    <n v="1"/>
    <s v="01.11.80.208.2013.0000"/>
    <n v="-208"/>
    <s v="11"/>
    <s v="2013"/>
    <n v="-1248"/>
    <n v="-208"/>
    <s v="DEBTOR"/>
    <n v="0"/>
    <n v="0"/>
    <n v="0"/>
    <n v="0"/>
    <n v="0"/>
  </r>
  <r>
    <n v="61405801"/>
    <s v="N"/>
    <n v="21330898"/>
    <s v="3000015542370008"/>
    <s v="CIVIL"/>
    <d v="2023-06-26T00:00:00"/>
    <d v="2023-07-05T19:01:47"/>
    <m/>
    <d v="2023-07-05T00:00:00"/>
    <n v="513"/>
    <n v="7668"/>
    <s v="61405801"/>
    <s v="61405801"/>
    <m/>
    <m/>
    <n v="22759682"/>
    <m/>
    <m/>
    <m/>
    <s v="SOLINT"/>
    <s v="SOLINT"/>
    <s v="CCMS"/>
    <n v="21330898"/>
    <n v="5004.1"/>
    <m/>
    <s v="N"/>
    <n v="2"/>
    <d v="2023-07-05T19:01:55"/>
    <s v="Y"/>
    <s v="Child psychologist"/>
    <s v="Public Law Children"/>
    <s v="Expert Disbursement"/>
    <s v="RB"/>
    <s v="Y"/>
    <n v="1125.6"/>
    <n v="0"/>
    <x v="6"/>
    <s v="VALIDATED"/>
    <n v="1"/>
    <s v="01.11.80.308.6300.0000"/>
    <n v="1125.6"/>
    <s v="11"/>
    <s v="6300"/>
    <n v="2636.73"/>
    <n v="1125.6"/>
    <s v="CREDITOR"/>
    <n v="0"/>
    <n v="0"/>
    <n v="0"/>
    <n v="0"/>
    <n v="1125.6"/>
  </r>
  <r>
    <n v="61405801"/>
    <s v="N"/>
    <n v="21330898"/>
    <s v="3000015542370008"/>
    <s v="CIVIL"/>
    <d v="2023-06-26T00:00:00"/>
    <d v="2023-07-05T19:01:47"/>
    <m/>
    <d v="2023-07-05T00:00:00"/>
    <n v="513"/>
    <n v="7668"/>
    <s v="61405801"/>
    <s v="61405801"/>
    <m/>
    <m/>
    <n v="22759682"/>
    <m/>
    <m/>
    <m/>
    <s v="SOLINT"/>
    <s v="SOLINT"/>
    <s v="CCMS"/>
    <n v="21330898"/>
    <n v="5004.1"/>
    <m/>
    <s v="N"/>
    <n v="1"/>
    <d v="2023-07-05T19:01:55"/>
    <s v="Y"/>
    <s v="Court Fee"/>
    <s v="Public Law Children"/>
    <s v="Non Expert Disbursement"/>
    <s v="RB"/>
    <s v="Y"/>
    <n v="167"/>
    <n v="0"/>
    <x v="6"/>
    <s v="VALIDATED"/>
    <n v="1"/>
    <s v="01.11.80.308.6300.0000"/>
    <n v="167"/>
    <s v="11"/>
    <s v="6300"/>
    <n v="2636.73"/>
    <n v="167"/>
    <s v="CREDITOR"/>
    <n v="0"/>
    <n v="0"/>
    <n v="0"/>
    <n v="0"/>
    <n v="167"/>
  </r>
  <r>
    <n v="15128035"/>
    <s v="N"/>
    <n v="21343867"/>
    <s v="3000007546190021"/>
    <s v="CIVIL"/>
    <d v="2023-06-28T00:00:00"/>
    <d v="2023-07-07T19:03:00"/>
    <m/>
    <d v="2023-07-07T00:00:00"/>
    <n v="513"/>
    <n v="7668"/>
    <s v="15128035"/>
    <s v="15128035"/>
    <m/>
    <m/>
    <n v="22783386"/>
    <m/>
    <m/>
    <m/>
    <s v="SOLFIN"/>
    <s v="SOLFIN"/>
    <s v="CCMS"/>
    <n v="21343867"/>
    <n v="2329.09"/>
    <m/>
    <s v="N"/>
    <n v="1"/>
    <d v="2023-07-07T19:03:14"/>
    <s v="Y"/>
    <s v="Profit Costs (Summary)"/>
    <s v="VHCC"/>
    <s v="Profit Cost"/>
    <s v="RB"/>
    <s v="Y"/>
    <n v="1940.91"/>
    <n v="388.18"/>
    <x v="9"/>
    <s v="VALIDATED"/>
    <n v="1"/>
    <s v="01.11.80.307.6100.0000"/>
    <n v="1940.91"/>
    <s v="11"/>
    <s v="6100"/>
    <n v="2636.73"/>
    <n v="1940.91"/>
    <s v="CREDITOR"/>
    <n v="0"/>
    <n v="0"/>
    <n v="0"/>
    <n v="0"/>
    <n v="1940.91"/>
  </r>
  <r>
    <n v="61405801"/>
    <s v="N"/>
    <n v="21330898"/>
    <s v="3000015542370008"/>
    <s v="CIVIL"/>
    <d v="2023-06-26T00:00:00"/>
    <d v="2023-07-05T19:01:47"/>
    <m/>
    <d v="2023-07-05T00:00:00"/>
    <n v="513"/>
    <n v="7668"/>
    <s v="61405801"/>
    <s v="61405801"/>
    <m/>
    <m/>
    <n v="22759682"/>
    <m/>
    <m/>
    <m/>
    <s v="SOLINT"/>
    <s v="SOLINT"/>
    <s v="CCMS"/>
    <n v="21330898"/>
    <n v="5004.1"/>
    <m/>
    <s v="N"/>
    <n v="3"/>
    <d v="2023-07-05T19:01:55"/>
    <s v="Y"/>
    <s v="Hearing Unit 2.31 - 5.00 Hours"/>
    <s v="Public Law Children"/>
    <s v="Advocacy"/>
    <s v="RB"/>
    <s v="Y"/>
    <n v="476.92"/>
    <n v="95.38"/>
    <x v="6"/>
    <s v="VALIDATED"/>
    <n v="1"/>
    <s v="01.11.80.308.6100.0000"/>
    <n v="476.92"/>
    <s v="11"/>
    <s v="6100"/>
    <n v="2636.73"/>
    <n v="476.92"/>
    <s v="CREDITOR"/>
    <n v="0"/>
    <n v="0"/>
    <n v="0"/>
    <n v="0"/>
    <n v="476.92"/>
  </r>
  <r>
    <n v="61405801"/>
    <s v="N"/>
    <n v="21330898"/>
    <s v="3000015542370008"/>
    <s v="CIVIL"/>
    <d v="2023-06-26T00:00:00"/>
    <d v="2023-07-05T19:01:47"/>
    <m/>
    <d v="2023-07-05T00:00:00"/>
    <n v="513"/>
    <n v="7668"/>
    <s v="61405801"/>
    <s v="61405801"/>
    <m/>
    <m/>
    <n v="22759682"/>
    <m/>
    <m/>
    <m/>
    <s v="SOLINT"/>
    <s v="SOLINT"/>
    <s v="CCMS"/>
    <n v="21330898"/>
    <n v="5004.1"/>
    <m/>
    <s v="N"/>
    <n v="4"/>
    <d v="2023-07-05T19:01:55"/>
    <s v="Y"/>
    <s v="Solicitors Fixed Fee"/>
    <s v="Public Law Children"/>
    <s v="Profit Cost"/>
    <s v="RB"/>
    <s v="Y"/>
    <n v="2616"/>
    <n v="523.2"/>
    <x v="6"/>
    <s v="VALIDATED"/>
    <n v="1"/>
    <s v="01.11.80.308.6100.0000"/>
    <n v="2616"/>
    <s v="11"/>
    <s v="6100"/>
    <n v="2636.73"/>
    <n v="2616"/>
    <s v="CREDITOR"/>
    <n v="0"/>
    <n v="0"/>
    <n v="0"/>
    <n v="0"/>
    <n v="2616"/>
  </r>
  <r>
    <n v="61405801"/>
    <s v="N"/>
    <n v="21333757"/>
    <s v="3000015542370006RC"/>
    <s v="CIVIL"/>
    <d v="2023-06-26T00:00:00"/>
    <d v="2023-07-05T19:42:28"/>
    <m/>
    <d v="2023-07-05T00:00:00"/>
    <n v="513"/>
    <n v="7668"/>
    <s v="61405801"/>
    <s v="61405801"/>
    <m/>
    <m/>
    <m/>
    <m/>
    <m/>
    <m/>
    <s v="SOLRECOUP"/>
    <s v="SOLRECOUP"/>
    <s v="POARECOUP"/>
    <n v="21333757"/>
    <n v="-1125.6"/>
    <m/>
    <s v="Y"/>
    <n v="1"/>
    <d v="2023-07-05T19:42:28"/>
    <s v="N"/>
    <m/>
    <m/>
    <s v="Expert Disbursement"/>
    <m/>
    <s v="N"/>
    <n v="-1125.6"/>
    <n v="0"/>
    <x v="6"/>
    <s v="VALIDATED"/>
    <n v="1"/>
    <s v="01.11.80.308.2013.0000"/>
    <n v="-1125.6"/>
    <s v="11"/>
    <s v="2013"/>
    <n v="2636.73"/>
    <n v="-1125.6"/>
    <s v="CREDITOR"/>
    <n v="0"/>
    <n v="0"/>
    <n v="-1125.6"/>
    <n v="0"/>
    <n v="0"/>
  </r>
  <r>
    <n v="61405801"/>
    <s v="N"/>
    <n v="21333757"/>
    <s v="3000015542370006RC"/>
    <s v="CIVIL"/>
    <d v="2023-06-26T00:00:00"/>
    <d v="2023-07-05T19:42:28"/>
    <m/>
    <d v="2023-07-05T00:00:00"/>
    <n v="513"/>
    <n v="7668"/>
    <s v="61405801"/>
    <s v="61405801"/>
    <m/>
    <m/>
    <m/>
    <m/>
    <m/>
    <m/>
    <s v="SOLRECOUP"/>
    <s v="SOLRECOUP"/>
    <s v="POARECOUP"/>
    <n v="21333757"/>
    <n v="-1125.6"/>
    <m/>
    <s v="Y"/>
    <n v="2"/>
    <d v="2023-07-05T19:42:28"/>
    <s v="N"/>
    <m/>
    <m/>
    <s v="Expert Disbursement"/>
    <m/>
    <s v="N"/>
    <n v="0"/>
    <n v="0"/>
    <x v="6"/>
    <s v="VALIDATED"/>
    <n v="1"/>
    <s v="01.11.80.000.0000.0000"/>
    <n v="0"/>
    <s v="11"/>
    <s v="0000"/>
    <n v="2636.73"/>
    <n v="0"/>
    <s v="CREDITOR"/>
    <n v="0"/>
    <n v="0"/>
    <n v="0"/>
    <n v="0"/>
    <n v="0"/>
  </r>
  <r>
    <n v="61405801"/>
    <s v="N"/>
    <n v="21333758"/>
    <s v="3000015542370003RC"/>
    <s v="CIVIL"/>
    <d v="2023-06-26T00:00:00"/>
    <d v="2023-07-05T19:42:28"/>
    <m/>
    <d v="2023-07-05T00:00:00"/>
    <n v="513"/>
    <n v="7668"/>
    <s v="61405801"/>
    <s v="61405801"/>
    <m/>
    <m/>
    <m/>
    <m/>
    <m/>
    <m/>
    <s v="SOLRECOUP"/>
    <s v="SOLRECOUP"/>
    <s v="POARECOUP"/>
    <n v="21333758"/>
    <n v="-167"/>
    <m/>
    <s v="Y"/>
    <n v="1"/>
    <d v="2023-07-05T19:42:28"/>
    <s v="N"/>
    <m/>
    <m/>
    <s v="Non Expert Disbursement"/>
    <m/>
    <s v="N"/>
    <n v="-167"/>
    <n v="0"/>
    <x v="6"/>
    <s v="VALIDATED"/>
    <n v="1"/>
    <s v="01.11.80.308.2013.0000"/>
    <n v="-167"/>
    <s v="11"/>
    <s v="2013"/>
    <n v="2636.73"/>
    <n v="-167"/>
    <s v="CREDITOR"/>
    <n v="0"/>
    <n v="0"/>
    <n v="-167"/>
    <n v="0"/>
    <n v="0"/>
  </r>
  <r>
    <n v="61405801"/>
    <s v="N"/>
    <n v="21333758"/>
    <s v="3000015542370003RC"/>
    <s v="CIVIL"/>
    <d v="2023-06-26T00:00:00"/>
    <d v="2023-07-05T19:42:28"/>
    <m/>
    <d v="2023-07-05T00:00:00"/>
    <n v="513"/>
    <n v="7668"/>
    <s v="61405801"/>
    <s v="61405801"/>
    <m/>
    <m/>
    <m/>
    <m/>
    <m/>
    <m/>
    <s v="SOLRECOUP"/>
    <s v="SOLRECOUP"/>
    <s v="POARECOUP"/>
    <n v="21333758"/>
    <n v="-167"/>
    <m/>
    <s v="Y"/>
    <n v="2"/>
    <d v="2023-07-05T19:42:28"/>
    <s v="N"/>
    <m/>
    <m/>
    <s v="Non Expert Disbursement"/>
    <m/>
    <s v="N"/>
    <n v="0"/>
    <n v="0"/>
    <x v="6"/>
    <s v="VALIDATED"/>
    <n v="1"/>
    <s v="01.11.80.000.0000.0000"/>
    <n v="0"/>
    <s v="11"/>
    <s v="0000"/>
    <n v="2636.73"/>
    <n v="0"/>
    <s v="CREDITOR"/>
    <n v="0"/>
    <n v="0"/>
    <n v="0"/>
    <n v="0"/>
    <n v="0"/>
  </r>
  <r>
    <n v="61405801"/>
    <s v="N"/>
    <n v="21333759"/>
    <s v="3000015542370004RC"/>
    <s v="CIVIL"/>
    <d v="2023-06-26T00:00:00"/>
    <d v="2023-07-05T19:42:28"/>
    <m/>
    <d v="2023-07-05T00:00:00"/>
    <n v="513"/>
    <n v="7668"/>
    <s v="61405801"/>
    <s v="61405801"/>
    <m/>
    <m/>
    <m/>
    <m/>
    <m/>
    <m/>
    <s v="SOLRECOUP"/>
    <s v="SOLRECOUP"/>
    <s v="POARECOUP"/>
    <n v="21333759"/>
    <n v="-2397.1"/>
    <m/>
    <s v="Y"/>
    <n v="1"/>
    <d v="2023-07-05T19:42:28"/>
    <s v="N"/>
    <m/>
    <m/>
    <s v="Profit Cost"/>
    <m/>
    <s v="N"/>
    <n v="-1997.58"/>
    <n v="0"/>
    <x v="6"/>
    <s v="VALIDATED"/>
    <n v="1"/>
    <s v="01.11.80.308.2013.0000"/>
    <n v="-1997.58"/>
    <s v="11"/>
    <s v="2013"/>
    <n v="2636.73"/>
    <n v="-1997.58"/>
    <s v="CREDITOR"/>
    <n v="0"/>
    <n v="0"/>
    <n v="-1997.58"/>
    <n v="-499.395"/>
    <n v="0"/>
  </r>
  <r>
    <n v="61405801"/>
    <s v="N"/>
    <n v="21333759"/>
    <s v="3000015542370004RC"/>
    <s v="CIVIL"/>
    <d v="2023-06-26T00:00:00"/>
    <d v="2023-07-05T19:42:28"/>
    <m/>
    <d v="2023-07-05T00:00:00"/>
    <n v="513"/>
    <n v="7668"/>
    <s v="61405801"/>
    <s v="61405801"/>
    <m/>
    <m/>
    <m/>
    <m/>
    <m/>
    <m/>
    <s v="SOLRECOUP"/>
    <s v="SOLRECOUP"/>
    <s v="POARECOUP"/>
    <n v="21333759"/>
    <n v="-2397.1"/>
    <m/>
    <s v="Y"/>
    <n v="2"/>
    <d v="2023-07-05T19:42:28"/>
    <s v="N"/>
    <m/>
    <m/>
    <s v="Profit Cost"/>
    <m/>
    <s v="N"/>
    <n v="0"/>
    <n v="-399.52"/>
    <x v="6"/>
    <s v="VALIDATED"/>
    <n v="1"/>
    <s v="01.11.80.308.2013.0000"/>
    <n v="-399.52"/>
    <s v="11"/>
    <s v="2013"/>
    <n v="2636.73"/>
    <n v="-399.52"/>
    <s v="CREDITOR"/>
    <n v="0"/>
    <n v="0"/>
    <n v="-399.52"/>
    <n v="-99.88"/>
    <n v="0"/>
  </r>
  <r>
    <n v="60984254"/>
    <s v="N"/>
    <n v="21327850"/>
    <s v="3000015191740009"/>
    <s v="CIVIL"/>
    <d v="2023-06-30T00:00:00"/>
    <d v="2023-07-04T19:00:44"/>
    <m/>
    <d v="2023-07-04T00:00:00"/>
    <n v="514"/>
    <n v="7668"/>
    <s v="60984254"/>
    <s v="60984254"/>
    <m/>
    <m/>
    <n v="22800636"/>
    <m/>
    <m/>
    <m/>
    <s v="SOLAPP"/>
    <s v="SOLAPP"/>
    <s v="CCMS"/>
    <n v="21327850"/>
    <n v="1093.92"/>
    <m/>
    <s v="N"/>
    <n v="1"/>
    <d v="2023-07-04T19:00:56"/>
    <s v="Y"/>
    <s v="Profit Costs (Summary)"/>
    <s v="Private Law Children"/>
    <s v="Profit Cost"/>
    <s v="RB"/>
    <s v="Y"/>
    <n v="911.6"/>
    <n v="182.32"/>
    <x v="1"/>
    <s v="VALIDATED"/>
    <n v="1"/>
    <s v="01.11.80.302.6100.0000"/>
    <n v="911.6"/>
    <s v="11"/>
    <s v="6100"/>
    <n v="911.6"/>
    <n v="911.6"/>
    <s v="CREDITOR"/>
    <n v="0"/>
    <n v="0"/>
    <n v="0"/>
    <n v="0"/>
    <n v="911.6"/>
  </r>
  <r>
    <n v="19789575"/>
    <s v="N"/>
    <n v="21344010"/>
    <s v="3000008331720002"/>
    <s v="CIVIL"/>
    <d v="2023-06-27T00:00:00"/>
    <d v="2023-07-07T19:03:00"/>
    <m/>
    <d v="2023-07-07T00:00:00"/>
    <n v="518"/>
    <n v="8113"/>
    <s v="19789575"/>
    <s v="19789575"/>
    <m/>
    <m/>
    <n v="22768862"/>
    <m/>
    <m/>
    <m/>
    <s v="SOLFIN"/>
    <s v="SOLFIN"/>
    <s v="CCMS"/>
    <n v="21344010"/>
    <n v="1359.54"/>
    <m/>
    <s v="N"/>
    <n v="33"/>
    <d v="2023-07-07T19:03:20"/>
    <s v="Y"/>
    <s v="Routine Telephone Call"/>
    <s v="Non Family Hourly Rates"/>
    <s v="Profit Cost"/>
    <s v="Tori Sicher"/>
    <s v="Y"/>
    <n v="3.74"/>
    <n v="0.75"/>
    <x v="9"/>
    <s v="VALIDATED"/>
    <n v="1"/>
    <s v="01.11.80.401.6100.0000"/>
    <n v="3.74"/>
    <s v="11"/>
    <s v="6100"/>
    <n v="455.02"/>
    <n v="3.74"/>
    <s v="CREDITOR"/>
    <n v="0"/>
    <n v="0"/>
    <n v="0"/>
    <n v="0"/>
    <n v="3.74"/>
  </r>
  <r>
    <n v="19789575"/>
    <s v="N"/>
    <n v="21344010"/>
    <s v="3000008331720002"/>
    <s v="CIVIL"/>
    <d v="2023-06-27T00:00:00"/>
    <d v="2023-07-07T19:03:00"/>
    <m/>
    <d v="2023-07-07T00:00:00"/>
    <n v="518"/>
    <n v="8113"/>
    <s v="19789575"/>
    <s v="19789575"/>
    <m/>
    <m/>
    <n v="22768862"/>
    <m/>
    <m/>
    <m/>
    <s v="SOLFIN"/>
    <s v="SOLFIN"/>
    <s v="CCMS"/>
    <n v="21344010"/>
    <n v="1359.54"/>
    <m/>
    <s v="N"/>
    <n v="47"/>
    <d v="2023-07-07T19:03:20"/>
    <s v="Y"/>
    <s v="Preparation - other"/>
    <s v="Non Family Hourly Rates"/>
    <s v="Profit Cost"/>
    <s v="Tori Sicher"/>
    <s v="Y"/>
    <n v="21.47"/>
    <n v="4.29"/>
    <x v="9"/>
    <s v="VALIDATED"/>
    <n v="1"/>
    <s v="01.11.80.401.6100.0000"/>
    <n v="21.47"/>
    <s v="11"/>
    <s v="6100"/>
    <n v="455.02"/>
    <n v="21.47"/>
    <s v="CREDITOR"/>
    <n v="0"/>
    <n v="0"/>
    <n v="0"/>
    <n v="0"/>
    <n v="21.47"/>
  </r>
  <r>
    <n v="19789575"/>
    <s v="N"/>
    <n v="21344010"/>
    <s v="3000008331720002"/>
    <s v="CIVIL"/>
    <d v="2023-06-27T00:00:00"/>
    <d v="2023-07-07T19:03:00"/>
    <m/>
    <d v="2023-07-07T00:00:00"/>
    <n v="518"/>
    <n v="8113"/>
    <s v="19789575"/>
    <s v="19789575"/>
    <m/>
    <m/>
    <n v="22768862"/>
    <m/>
    <m/>
    <m/>
    <s v="SOLFIN"/>
    <s v="SOLFIN"/>
    <s v="CCMS"/>
    <n v="21344010"/>
    <n v="1359.54"/>
    <m/>
    <s v="N"/>
    <n v="41"/>
    <d v="2023-07-07T19:03:20"/>
    <s v="Y"/>
    <s v="Preparation - other"/>
    <s v="Non Family Hourly Rates"/>
    <s v="Profit Cost"/>
    <s v="Maria Savic"/>
    <s v="Y"/>
    <n v="7.16"/>
    <n v="1.43"/>
    <x v="9"/>
    <s v="VALIDATED"/>
    <n v="1"/>
    <s v="01.11.80.401.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64"/>
    <d v="2023-07-07T19:03:20"/>
    <s v="Y"/>
    <s v="Preparation - other"/>
    <s v="Non Family Hourly Rates"/>
    <s v="Profit Cost"/>
    <s v="Maria Georgian"/>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10"/>
    <d v="2023-07-07T19:03:20"/>
    <s v="Y"/>
    <s v="Routine Telephone Call"/>
    <s v="Non Family Hourly Rates"/>
    <s v="Profit Cost"/>
    <s v="Tori Sicher"/>
    <s v="Y"/>
    <n v="3.74"/>
    <n v="0.75"/>
    <x v="9"/>
    <s v="VALIDATED"/>
    <n v="1"/>
    <s v="01.11.80.401.6100.0000"/>
    <n v="3.74"/>
    <s v="11"/>
    <s v="6100"/>
    <n v="455.02"/>
    <n v="3.74"/>
    <s v="CREDITOR"/>
    <n v="0"/>
    <n v="0"/>
    <n v="0"/>
    <n v="0"/>
    <n v="3.74"/>
  </r>
  <r>
    <n v="61362625"/>
    <s v="N"/>
    <n v="21360279"/>
    <s v="3000015509630004"/>
    <s v="CIVIL"/>
    <d v="2023-06-28T00:00:00"/>
    <d v="2023-07-11T11:50:54"/>
    <m/>
    <d v="2023-07-11T00:00:00"/>
    <n v="518"/>
    <n v="8113"/>
    <s v="61362625"/>
    <s v="61362625"/>
    <m/>
    <m/>
    <n v="22781668"/>
    <m/>
    <m/>
    <m/>
    <s v="SOLFIN"/>
    <s v="SOLFIN"/>
    <s v="CCMS"/>
    <n v="21360279"/>
    <n v="3880.8"/>
    <m/>
    <s v="N"/>
    <n v="46"/>
    <d v="2023-07-11T11:51:00"/>
    <s v="Y"/>
    <s v="Preparation - other"/>
    <s v="VHCC"/>
    <s v="Profit Cost"/>
    <s v="Zofia Duszynska"/>
    <s v="Y"/>
    <n v="7.16"/>
    <n v="1.43"/>
    <x v="7"/>
    <s v="VALIDATED"/>
    <n v="1"/>
    <s v="01.11.80.400.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17"/>
    <d v="2023-07-11T11:51:00"/>
    <s v="Y"/>
    <s v="Item - Routine Outgoing letter"/>
    <s v="VHCC"/>
    <s v="Profit Cost"/>
    <s v="Zofia Duszynska"/>
    <s v="Y"/>
    <n v="81"/>
    <n v="16.2"/>
    <x v="7"/>
    <s v="VALIDATED"/>
    <n v="1"/>
    <s v="01.11.80.400.6100.0000"/>
    <n v="81"/>
    <s v="11"/>
    <s v="6100"/>
    <n v="455.02"/>
    <n v="81"/>
    <s v="CREDITOR"/>
    <n v="0"/>
    <n v="0"/>
    <n v="0"/>
    <n v="0"/>
    <n v="81"/>
  </r>
  <r>
    <n v="19789575"/>
    <s v="N"/>
    <n v="21344010"/>
    <s v="3000008331720002"/>
    <s v="CIVIL"/>
    <d v="2023-06-27T00:00:00"/>
    <d v="2023-07-07T19:03:00"/>
    <m/>
    <d v="2023-07-07T00:00:00"/>
    <n v="518"/>
    <n v="8113"/>
    <s v="19789575"/>
    <s v="19789575"/>
    <m/>
    <m/>
    <n v="22768862"/>
    <m/>
    <m/>
    <m/>
    <s v="SOLFIN"/>
    <s v="SOLFIN"/>
    <s v="CCMS"/>
    <n v="21344010"/>
    <n v="1359.54"/>
    <m/>
    <s v="N"/>
    <n v="1"/>
    <d v="2023-07-07T19:03:20"/>
    <s v="Y"/>
    <s v="Preparation - other"/>
    <s v="Non Family Hourly Rates"/>
    <s v="Profit Cost"/>
    <s v="Tori Sicher"/>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11"/>
    <d v="2023-07-07T19:03:20"/>
    <s v="Y"/>
    <s v="Routine Telephone Call"/>
    <s v="Non Family Hourly Rates"/>
    <s v="Profit Cost"/>
    <s v="Tori Sicher"/>
    <s v="Y"/>
    <n v="7.48"/>
    <n v="1.5"/>
    <x v="9"/>
    <s v="VALIDATED"/>
    <n v="1"/>
    <s v="01.11.80.401.6100.0000"/>
    <n v="7.48"/>
    <s v="11"/>
    <s v="6100"/>
    <n v="455.02"/>
    <n v="7.48"/>
    <s v="CREDITOR"/>
    <n v="0"/>
    <n v="0"/>
    <n v="0"/>
    <n v="0"/>
    <n v="7.48"/>
  </r>
  <r>
    <n v="61362625"/>
    <s v="N"/>
    <n v="21360279"/>
    <s v="3000015509630004"/>
    <s v="CIVIL"/>
    <d v="2023-06-28T00:00:00"/>
    <d v="2023-07-11T11:50:54"/>
    <m/>
    <d v="2023-07-11T00:00:00"/>
    <n v="518"/>
    <n v="8113"/>
    <s v="61362625"/>
    <s v="61362625"/>
    <m/>
    <m/>
    <n v="22781668"/>
    <m/>
    <m/>
    <m/>
    <s v="SOLFIN"/>
    <s v="SOLFIN"/>
    <s v="CCMS"/>
    <n v="21360279"/>
    <n v="3880.8"/>
    <m/>
    <s v="N"/>
    <n v="3"/>
    <d v="2023-07-11T11:51:00"/>
    <s v="Y"/>
    <s v="Attendance upon client"/>
    <s v="VHCC"/>
    <s v="Profit Cost"/>
    <s v="Zofia Duszynska"/>
    <s v="Y"/>
    <n v="2.29"/>
    <n v="0.46"/>
    <x v="7"/>
    <s v="VALIDATED"/>
    <n v="1"/>
    <s v="01.11.80.400.6100.0000"/>
    <n v="2.29"/>
    <s v="11"/>
    <s v="6100"/>
    <n v="455.02"/>
    <n v="2.29"/>
    <s v="CREDITOR"/>
    <n v="0"/>
    <n v="0"/>
    <n v="0"/>
    <n v="0"/>
    <n v="2.29"/>
  </r>
  <r>
    <n v="19789575"/>
    <s v="N"/>
    <n v="21344010"/>
    <s v="3000008331720002"/>
    <s v="CIVIL"/>
    <d v="2023-06-27T00:00:00"/>
    <d v="2023-07-07T19:03:00"/>
    <m/>
    <d v="2023-07-07T00:00:00"/>
    <n v="518"/>
    <n v="8113"/>
    <s v="19789575"/>
    <s v="19789575"/>
    <m/>
    <m/>
    <n v="22768862"/>
    <m/>
    <m/>
    <m/>
    <s v="SOLFIN"/>
    <s v="SOLFIN"/>
    <s v="CCMS"/>
    <n v="21344010"/>
    <n v="1359.54"/>
    <m/>
    <s v="N"/>
    <n v="38"/>
    <d v="2023-07-07T19:03:20"/>
    <s v="Y"/>
    <s v="Preparation - other"/>
    <s v="Non Family Hourly Rates"/>
    <s v="Profit Cost"/>
    <s v="Tori Sicher"/>
    <s v="Y"/>
    <n v="35.78"/>
    <n v="7.15"/>
    <x v="9"/>
    <s v="VALIDATED"/>
    <n v="1"/>
    <s v="01.11.80.401.6100.0000"/>
    <n v="35.78"/>
    <s v="11"/>
    <s v="6100"/>
    <n v="455.02"/>
    <n v="35.78"/>
    <s v="CREDITOR"/>
    <n v="0"/>
    <n v="0"/>
    <n v="0"/>
    <n v="0"/>
    <n v="35.78"/>
  </r>
  <r>
    <n v="19789575"/>
    <s v="N"/>
    <n v="21344010"/>
    <s v="3000008331720002"/>
    <s v="CIVIL"/>
    <d v="2023-06-27T00:00:00"/>
    <d v="2023-07-07T19:03:00"/>
    <m/>
    <d v="2023-07-07T00:00:00"/>
    <n v="518"/>
    <n v="8113"/>
    <s v="19789575"/>
    <s v="19789575"/>
    <m/>
    <m/>
    <n v="22768862"/>
    <m/>
    <m/>
    <m/>
    <s v="SOLFIN"/>
    <s v="SOLFIN"/>
    <s v="CCMS"/>
    <n v="21344010"/>
    <n v="1359.54"/>
    <m/>
    <s v="N"/>
    <n v="30"/>
    <d v="2023-07-07T19:03:20"/>
    <s v="Y"/>
    <s v="Preparation - other"/>
    <s v="Non Family Hourly Rates"/>
    <s v="Profit Cost"/>
    <s v="Maria Georgian"/>
    <s v="Y"/>
    <n v="7.16"/>
    <n v="1.43"/>
    <x v="9"/>
    <s v="VALIDATED"/>
    <n v="1"/>
    <s v="01.11.80.401.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62"/>
    <d v="2023-07-07T19:03:20"/>
    <s v="Y"/>
    <s v="Preparation - other"/>
    <s v="Non Family Hourly Rates"/>
    <s v="Profit Cost"/>
    <s v="Maria Georgian"/>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2"/>
    <d v="2023-07-07T19:03:20"/>
    <s v="Y"/>
    <s v="Preparation - drafting application"/>
    <s v="Non Family Hourly Rates"/>
    <s v="Profit Cost"/>
    <s v="Maria Georgian"/>
    <s v="Y"/>
    <n v="14.31"/>
    <n v="2.86"/>
    <x v="9"/>
    <s v="VALIDATED"/>
    <n v="1"/>
    <s v="01.11.80.401.6100.0000"/>
    <n v="14.31"/>
    <s v="11"/>
    <s v="6100"/>
    <n v="455.02"/>
    <n v="14.31"/>
    <s v="CREDITOR"/>
    <n v="0"/>
    <n v="0"/>
    <n v="0"/>
    <n v="0"/>
    <n v="14.31"/>
  </r>
  <r>
    <n v="61362625"/>
    <s v="N"/>
    <n v="21360279"/>
    <s v="3000015509630004"/>
    <s v="CIVIL"/>
    <d v="2023-06-28T00:00:00"/>
    <d v="2023-07-11T11:50:54"/>
    <m/>
    <d v="2023-07-11T00:00:00"/>
    <n v="518"/>
    <n v="8113"/>
    <s v="61362625"/>
    <s v="61362625"/>
    <m/>
    <m/>
    <n v="22781668"/>
    <m/>
    <m/>
    <m/>
    <s v="SOLFIN"/>
    <s v="SOLFIN"/>
    <s v="CCMS"/>
    <n v="21360279"/>
    <n v="3880.8"/>
    <m/>
    <s v="N"/>
    <n v="24"/>
    <d v="2023-07-11T11:51:00"/>
    <s v="Y"/>
    <s v="Preparation - other"/>
    <s v="VHCC"/>
    <s v="Profit Cost"/>
    <s v="Zofia Duszynska"/>
    <s v="Y"/>
    <n v="121.64"/>
    <n v="24.33"/>
    <x v="7"/>
    <s v="VALIDATED"/>
    <n v="1"/>
    <s v="01.11.80.400.6100.0000"/>
    <n v="121.64"/>
    <s v="11"/>
    <s v="6100"/>
    <n v="455.02"/>
    <n v="121.64"/>
    <s v="CREDITOR"/>
    <n v="0"/>
    <n v="0"/>
    <n v="0"/>
    <n v="0"/>
    <n v="121.64"/>
  </r>
  <r>
    <n v="61362625"/>
    <s v="N"/>
    <n v="21360279"/>
    <s v="3000015509630004"/>
    <s v="CIVIL"/>
    <d v="2023-06-28T00:00:00"/>
    <d v="2023-07-11T11:50:54"/>
    <m/>
    <d v="2023-07-11T00:00:00"/>
    <n v="518"/>
    <n v="8113"/>
    <s v="61362625"/>
    <s v="61362625"/>
    <m/>
    <m/>
    <n v="22781668"/>
    <m/>
    <m/>
    <m/>
    <s v="SOLFIN"/>
    <s v="SOLFIN"/>
    <s v="CCMS"/>
    <n v="21360279"/>
    <n v="3880.8"/>
    <m/>
    <s v="N"/>
    <n v="28"/>
    <d v="2023-07-11T11:51:00"/>
    <s v="Y"/>
    <s v="Preparation - other"/>
    <s v="VHCC"/>
    <s v="Profit Cost"/>
    <s v="Zofia Duszynska"/>
    <s v="Y"/>
    <n v="7.16"/>
    <n v="1.43"/>
    <x v="7"/>
    <s v="VALIDATED"/>
    <n v="1"/>
    <s v="01.11.80.400.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16"/>
    <d v="2023-07-11T11:51:00"/>
    <s v="Y"/>
    <s v="Preparation - drafting bill/claim f"/>
    <s v="VHCC"/>
    <s v="Profit Cost"/>
    <s v="Maria Georgian"/>
    <s v="Y"/>
    <n v="71.55"/>
    <n v="14.31"/>
    <x v="7"/>
    <s v="VALIDATED"/>
    <n v="1"/>
    <s v="01.11.80.400.6100.0000"/>
    <n v="71.55"/>
    <s v="11"/>
    <s v="6100"/>
    <n v="455.02"/>
    <n v="71.55"/>
    <s v="CREDITOR"/>
    <n v="0"/>
    <n v="0"/>
    <n v="0"/>
    <n v="0"/>
    <n v="71.55"/>
  </r>
  <r>
    <n v="19789575"/>
    <s v="N"/>
    <n v="21344010"/>
    <s v="3000008331720002"/>
    <s v="CIVIL"/>
    <d v="2023-06-27T00:00:00"/>
    <d v="2023-07-07T19:03:00"/>
    <m/>
    <d v="2023-07-07T00:00:00"/>
    <n v="518"/>
    <n v="8113"/>
    <s v="19789575"/>
    <s v="19789575"/>
    <m/>
    <m/>
    <n v="22768862"/>
    <m/>
    <m/>
    <m/>
    <s v="SOLFIN"/>
    <s v="SOLFIN"/>
    <s v="CCMS"/>
    <n v="21344010"/>
    <n v="1359.54"/>
    <m/>
    <s v="N"/>
    <n v="21"/>
    <d v="2023-07-07T19:03:20"/>
    <s v="Y"/>
    <s v="Routine Letter Out"/>
    <s v="Non Family Hourly Rates"/>
    <s v="Profit Cost"/>
    <s v="Tori Sicher"/>
    <s v="Y"/>
    <n v="13.5"/>
    <n v="2.7"/>
    <x v="9"/>
    <s v="VALIDATED"/>
    <n v="1"/>
    <s v="01.11.80.401.6100.0000"/>
    <n v="13.5"/>
    <s v="11"/>
    <s v="6100"/>
    <n v="455.02"/>
    <n v="13.5"/>
    <s v="CREDITOR"/>
    <n v="0"/>
    <n v="0"/>
    <n v="0"/>
    <n v="0"/>
    <n v="13.5"/>
  </r>
  <r>
    <n v="19789575"/>
    <s v="N"/>
    <n v="21344010"/>
    <s v="3000008331720002"/>
    <s v="CIVIL"/>
    <d v="2023-06-27T00:00:00"/>
    <d v="2023-07-07T19:03:00"/>
    <m/>
    <d v="2023-07-07T00:00:00"/>
    <n v="518"/>
    <n v="8113"/>
    <s v="19789575"/>
    <s v="19789575"/>
    <m/>
    <m/>
    <n v="22768862"/>
    <m/>
    <m/>
    <m/>
    <s v="SOLFIN"/>
    <s v="SOLFIN"/>
    <s v="CCMS"/>
    <n v="21344010"/>
    <n v="1359.54"/>
    <m/>
    <s v="N"/>
    <n v="52"/>
    <d v="2023-07-07T19:03:20"/>
    <s v="Y"/>
    <s v="Preparation - other"/>
    <s v="Non Family Hourly Rates"/>
    <s v="Profit Cost"/>
    <s v="Tori Sicher"/>
    <s v="Y"/>
    <n v="21.47"/>
    <n v="4.29"/>
    <x v="9"/>
    <s v="VALIDATED"/>
    <n v="1"/>
    <s v="01.11.80.401.6100.0000"/>
    <n v="21.47"/>
    <s v="11"/>
    <s v="6100"/>
    <n v="455.02"/>
    <n v="21.47"/>
    <s v="CREDITOR"/>
    <n v="0"/>
    <n v="0"/>
    <n v="0"/>
    <n v="0"/>
    <n v="21.47"/>
  </r>
  <r>
    <n v="61362625"/>
    <s v="N"/>
    <n v="21360279"/>
    <s v="3000015509630004"/>
    <s v="CIVIL"/>
    <d v="2023-06-28T00:00:00"/>
    <d v="2023-07-11T11:50:54"/>
    <m/>
    <d v="2023-07-11T00:00:00"/>
    <n v="518"/>
    <n v="8113"/>
    <s v="61362625"/>
    <s v="61362625"/>
    <m/>
    <m/>
    <n v="22781668"/>
    <m/>
    <m/>
    <m/>
    <s v="SOLFIN"/>
    <s v="SOLFIN"/>
    <s v="CCMS"/>
    <n v="21360279"/>
    <n v="3880.8"/>
    <m/>
    <s v="N"/>
    <n v="43"/>
    <d v="2023-07-11T11:51:00"/>
    <s v="Y"/>
    <s v="Preparation - other"/>
    <s v="VHCC"/>
    <s v="Profit Cost"/>
    <s v="Zofia Duszynska"/>
    <s v="Y"/>
    <n v="21.47"/>
    <n v="4.29"/>
    <x v="7"/>
    <s v="VALIDATED"/>
    <n v="1"/>
    <s v="01.11.80.400.6100.0000"/>
    <n v="21.47"/>
    <s v="11"/>
    <s v="6100"/>
    <n v="455.02"/>
    <n v="21.47"/>
    <s v="CREDITOR"/>
    <n v="0"/>
    <n v="0"/>
    <n v="0"/>
    <n v="0"/>
    <n v="21.47"/>
  </r>
  <r>
    <n v="19789575"/>
    <s v="N"/>
    <n v="21344010"/>
    <s v="3000008331720002"/>
    <s v="CIVIL"/>
    <d v="2023-06-27T00:00:00"/>
    <d v="2023-07-07T19:03:00"/>
    <m/>
    <d v="2023-07-07T00:00:00"/>
    <n v="518"/>
    <n v="8113"/>
    <s v="19789575"/>
    <s v="19789575"/>
    <m/>
    <m/>
    <n v="22768862"/>
    <m/>
    <m/>
    <m/>
    <s v="SOLFIN"/>
    <s v="SOLFIN"/>
    <s v="CCMS"/>
    <n v="21344010"/>
    <n v="1359.54"/>
    <m/>
    <s v="N"/>
    <n v="4"/>
    <d v="2023-07-07T19:03:20"/>
    <s v="Y"/>
    <s v="Routine Letter Out"/>
    <s v="Non Family Hourly Rates"/>
    <s v="Profit Cost"/>
    <s v="Maria Georgian"/>
    <s v="Y"/>
    <n v="6.75"/>
    <n v="1.35"/>
    <x v="9"/>
    <s v="VALIDATED"/>
    <n v="1"/>
    <s v="01.11.80.401.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13"/>
    <d v="2023-07-11T11:51:00"/>
    <s v="Y"/>
    <s v="Item - Routine Outgoing letter"/>
    <s v="VHCC"/>
    <s v="Profit Cost"/>
    <s v="Zofia Duszynska"/>
    <s v="Y"/>
    <n v="81"/>
    <n v="16.2"/>
    <x v="7"/>
    <s v="VALIDATED"/>
    <n v="1"/>
    <s v="01.11.80.400.6100.0000"/>
    <n v="81"/>
    <s v="11"/>
    <s v="6100"/>
    <n v="455.02"/>
    <n v="81"/>
    <s v="CREDITOR"/>
    <n v="0"/>
    <n v="0"/>
    <n v="0"/>
    <n v="0"/>
    <n v="81"/>
  </r>
  <r>
    <n v="19789575"/>
    <s v="N"/>
    <n v="21344010"/>
    <s v="3000008331720002"/>
    <s v="CIVIL"/>
    <d v="2023-06-27T00:00:00"/>
    <d v="2023-07-07T19:03:00"/>
    <m/>
    <d v="2023-07-07T00:00:00"/>
    <n v="518"/>
    <n v="8113"/>
    <s v="19789575"/>
    <s v="19789575"/>
    <m/>
    <m/>
    <n v="22768862"/>
    <m/>
    <m/>
    <m/>
    <s v="SOLFIN"/>
    <s v="SOLFIN"/>
    <s v="CCMS"/>
    <n v="21344010"/>
    <n v="1359.54"/>
    <m/>
    <s v="N"/>
    <n v="61"/>
    <d v="2023-07-07T19:03:20"/>
    <s v="Y"/>
    <s v="Routine Letter Out"/>
    <s v="Non Family Hourly Rates"/>
    <s v="Profit Cost"/>
    <s v="Maria Georgian"/>
    <s v="Y"/>
    <n v="6.75"/>
    <n v="1.35"/>
    <x v="9"/>
    <s v="VALIDATED"/>
    <n v="1"/>
    <s v="01.11.80.401.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40"/>
    <d v="2023-07-11T11:51:00"/>
    <s v="Y"/>
    <s v="Preparation - other"/>
    <s v="VHCC"/>
    <s v="Profit Cost"/>
    <s v="Zofia Duszynska"/>
    <s v="Y"/>
    <n v="35.78"/>
    <n v="7.16"/>
    <x v="7"/>
    <s v="VALIDATED"/>
    <n v="1"/>
    <s v="01.11.80.400.6100.0000"/>
    <n v="35.78"/>
    <s v="11"/>
    <s v="6100"/>
    <n v="455.02"/>
    <n v="35.78"/>
    <s v="CREDITOR"/>
    <n v="0"/>
    <n v="0"/>
    <n v="0"/>
    <n v="0"/>
    <n v="35.78"/>
  </r>
  <r>
    <n v="19789575"/>
    <s v="N"/>
    <n v="21344010"/>
    <s v="3000008331720002"/>
    <s v="CIVIL"/>
    <d v="2023-06-27T00:00:00"/>
    <d v="2023-07-07T19:03:00"/>
    <m/>
    <d v="2023-07-07T00:00:00"/>
    <n v="518"/>
    <n v="8113"/>
    <s v="19789575"/>
    <s v="19789575"/>
    <m/>
    <m/>
    <n v="22768862"/>
    <m/>
    <m/>
    <m/>
    <s v="SOLFIN"/>
    <s v="SOLFIN"/>
    <s v="CCMS"/>
    <n v="21344010"/>
    <n v="1359.54"/>
    <m/>
    <s v="N"/>
    <n v="29"/>
    <d v="2023-07-07T19:03:20"/>
    <s v="Y"/>
    <s v="Routine Telephone Call"/>
    <s v="Non Family Hourly Rates"/>
    <s v="Profit Cost"/>
    <s v="Tori Sicher"/>
    <s v="Y"/>
    <n v="3.74"/>
    <n v="0.75"/>
    <x v="9"/>
    <s v="VALIDATED"/>
    <n v="1"/>
    <s v="01.11.80.401.6100.0000"/>
    <n v="3.74"/>
    <s v="11"/>
    <s v="6100"/>
    <n v="455.02"/>
    <n v="3.74"/>
    <s v="CREDITOR"/>
    <n v="0"/>
    <n v="0"/>
    <n v="0"/>
    <n v="0"/>
    <n v="3.74"/>
  </r>
  <r>
    <n v="61362625"/>
    <s v="N"/>
    <n v="21360279"/>
    <s v="3000015509630004"/>
    <s v="CIVIL"/>
    <d v="2023-06-28T00:00:00"/>
    <d v="2023-07-11T11:50:54"/>
    <m/>
    <d v="2023-07-11T00:00:00"/>
    <n v="518"/>
    <n v="8113"/>
    <s v="61362625"/>
    <s v="61362625"/>
    <m/>
    <m/>
    <n v="22781668"/>
    <m/>
    <m/>
    <m/>
    <s v="SOLFIN"/>
    <s v="SOLFIN"/>
    <s v="CCMS"/>
    <n v="21360279"/>
    <n v="3880.8"/>
    <m/>
    <s v="N"/>
    <n v="44"/>
    <d v="2023-07-11T11:51:00"/>
    <s v="Y"/>
    <s v="Item - Routine Outgoing letter"/>
    <s v="VHCC"/>
    <s v="Profit Cost"/>
    <s v="Zofia Duszynska"/>
    <s v="Y"/>
    <n v="6.75"/>
    <n v="1.35"/>
    <x v="7"/>
    <s v="VALIDATED"/>
    <n v="1"/>
    <s v="01.11.80.400.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9"/>
    <d v="2023-07-11T11:51:00"/>
    <s v="Y"/>
    <s v="Item - Routine Outgoing letter"/>
    <s v="VHCC"/>
    <s v="Profit Cost"/>
    <s v="Zofia Duszynska"/>
    <s v="Y"/>
    <n v="6.75"/>
    <n v="1.35"/>
    <x v="7"/>
    <s v="VALIDATED"/>
    <n v="1"/>
    <s v="01.11.80.400.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30"/>
    <d v="2023-07-11T11:51:00"/>
    <s v="Y"/>
    <s v="Preparation - other"/>
    <s v="VHCC"/>
    <s v="Profit Cost"/>
    <s v="Zofia Duszynska"/>
    <s v="Y"/>
    <n v="14.31"/>
    <n v="2.86"/>
    <x v="7"/>
    <s v="VALIDATED"/>
    <n v="1"/>
    <s v="01.11.80.400.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50"/>
    <d v="2023-07-07T19:03:20"/>
    <s v="Y"/>
    <s v="Routine Telephone Call"/>
    <s v="Non Family Hourly Rates"/>
    <s v="Profit Cost"/>
    <s v="Tori Sicher"/>
    <s v="Y"/>
    <n v="3.74"/>
    <n v="0.75"/>
    <x v="9"/>
    <s v="VALIDATED"/>
    <n v="1"/>
    <s v="01.11.80.401.6100.0000"/>
    <n v="3.74"/>
    <s v="11"/>
    <s v="6100"/>
    <n v="455.02"/>
    <n v="3.74"/>
    <s v="CREDITOR"/>
    <n v="0"/>
    <n v="0"/>
    <n v="0"/>
    <n v="0"/>
    <n v="3.74"/>
  </r>
  <r>
    <n v="61362625"/>
    <s v="N"/>
    <n v="21360279"/>
    <s v="3000015509630004"/>
    <s v="CIVIL"/>
    <d v="2023-06-28T00:00:00"/>
    <d v="2023-07-11T11:50:54"/>
    <m/>
    <d v="2023-07-11T00:00:00"/>
    <n v="518"/>
    <n v="8113"/>
    <s v="61362625"/>
    <s v="61362625"/>
    <m/>
    <m/>
    <n v="22781668"/>
    <m/>
    <m/>
    <m/>
    <s v="SOLFIN"/>
    <s v="SOLFIN"/>
    <s v="CCMS"/>
    <n v="21360279"/>
    <n v="3880.8"/>
    <m/>
    <s v="N"/>
    <n v="2"/>
    <d v="2023-07-11T11:51:00"/>
    <s v="N"/>
    <s v="Item - Routine Telephone Call"/>
    <s v="VHCC"/>
    <s v="Profit Cost"/>
    <s v="Zofia Duszynska"/>
    <s v="N"/>
    <n v="3.74"/>
    <n v="0.75"/>
    <x v="7"/>
    <s v="VALIDATED"/>
    <n v="1"/>
    <s v="01.11.80.400.6100.0000"/>
    <n v="3.74"/>
    <s v="11"/>
    <s v="6100"/>
    <n v="455.02"/>
    <n v="3.74"/>
    <s v="CREDITOR"/>
    <n v="0"/>
    <n v="0"/>
    <n v="0"/>
    <n v="0"/>
    <n v="3.74"/>
  </r>
  <r>
    <n v="61362625"/>
    <s v="N"/>
    <n v="21360279"/>
    <s v="3000015509630004"/>
    <s v="CIVIL"/>
    <d v="2023-06-28T00:00:00"/>
    <d v="2023-07-11T11:50:54"/>
    <m/>
    <d v="2023-07-11T00:00:00"/>
    <n v="518"/>
    <n v="8113"/>
    <s v="61362625"/>
    <s v="61362625"/>
    <m/>
    <m/>
    <n v="22781668"/>
    <m/>
    <m/>
    <m/>
    <s v="SOLFIN"/>
    <s v="SOLFIN"/>
    <s v="CCMS"/>
    <n v="21360279"/>
    <n v="3880.8"/>
    <m/>
    <s v="N"/>
    <n v="7"/>
    <d v="2023-07-11T11:51:00"/>
    <s v="Y"/>
    <s v="Item - Routine Outgoing letter"/>
    <s v="VHCC"/>
    <s v="Profit Cost"/>
    <s v="Zofia Duszynska"/>
    <s v="Y"/>
    <n v="13.5"/>
    <n v="2.7"/>
    <x v="7"/>
    <s v="VALIDATED"/>
    <n v="1"/>
    <s v="01.11.80.400.6100.0000"/>
    <n v="13.5"/>
    <s v="11"/>
    <s v="6100"/>
    <n v="455.02"/>
    <n v="13.5"/>
    <s v="CREDITOR"/>
    <n v="0"/>
    <n v="0"/>
    <n v="0"/>
    <n v="0"/>
    <n v="13.5"/>
  </r>
  <r>
    <n v="19789575"/>
    <s v="N"/>
    <n v="21344010"/>
    <s v="3000008331720002"/>
    <s v="CIVIL"/>
    <d v="2023-06-27T00:00:00"/>
    <d v="2023-07-07T19:03:00"/>
    <m/>
    <d v="2023-07-07T00:00:00"/>
    <n v="518"/>
    <n v="8113"/>
    <s v="19789575"/>
    <s v="19789575"/>
    <m/>
    <m/>
    <n v="22768862"/>
    <m/>
    <m/>
    <m/>
    <s v="SOLFIN"/>
    <s v="SOLFIN"/>
    <s v="CCMS"/>
    <n v="21344010"/>
    <n v="1359.54"/>
    <m/>
    <s v="N"/>
    <n v="56"/>
    <d v="2023-07-07T19:03:20"/>
    <s v="Y"/>
    <s v="Preparation - other"/>
    <s v="Non Family Hourly Rates"/>
    <s v="Profit Cost"/>
    <s v="Tori Sicher"/>
    <s v="Y"/>
    <n v="7.16"/>
    <n v="1.43"/>
    <x v="9"/>
    <s v="VALIDATED"/>
    <n v="1"/>
    <s v="01.11.80.401.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59"/>
    <d v="2023-07-07T19:03:20"/>
    <s v="Y"/>
    <s v="Preparation - other"/>
    <s v="Non Family Hourly Rates"/>
    <s v="Profit Cost"/>
    <s v="Tori Sicher"/>
    <s v="Y"/>
    <n v="35.78"/>
    <n v="7.15"/>
    <x v="9"/>
    <s v="VALIDATED"/>
    <n v="1"/>
    <s v="01.11.80.401.6100.0000"/>
    <n v="35.78"/>
    <s v="11"/>
    <s v="6100"/>
    <n v="455.02"/>
    <n v="35.78"/>
    <s v="CREDITOR"/>
    <n v="0"/>
    <n v="0"/>
    <n v="0"/>
    <n v="0"/>
    <n v="35.78"/>
  </r>
  <r>
    <n v="61362625"/>
    <s v="N"/>
    <n v="21360279"/>
    <s v="3000015509630004"/>
    <s v="CIVIL"/>
    <d v="2023-06-28T00:00:00"/>
    <d v="2023-07-11T11:50:54"/>
    <m/>
    <d v="2023-07-11T00:00:00"/>
    <n v="518"/>
    <n v="8113"/>
    <s v="61362625"/>
    <s v="61362625"/>
    <m/>
    <m/>
    <n v="22781668"/>
    <m/>
    <m/>
    <m/>
    <s v="SOLFIN"/>
    <s v="SOLFIN"/>
    <s v="CCMS"/>
    <n v="21360279"/>
    <n v="3880.8"/>
    <m/>
    <s v="N"/>
    <n v="48"/>
    <d v="2023-07-11T11:51:00"/>
    <s v="N"/>
    <m/>
    <m/>
    <s v="Overall Adjustment"/>
    <m/>
    <s v="N"/>
    <n v="-251.88"/>
    <n v="-50.37"/>
    <x v="7"/>
    <s v="VALIDATED"/>
    <n v="1"/>
    <s v="01.11.80.400.6100.0000"/>
    <n v="-251.88"/>
    <s v="11"/>
    <s v="6100"/>
    <n v="455.02"/>
    <n v="-251.88"/>
    <s v="CREDITOR"/>
    <n v="0"/>
    <n v="0"/>
    <n v="0"/>
    <n v="0"/>
    <n v="-251.88"/>
  </r>
  <r>
    <n v="61362625"/>
    <s v="N"/>
    <n v="21360279"/>
    <s v="3000015509630004"/>
    <s v="CIVIL"/>
    <d v="2023-06-28T00:00:00"/>
    <d v="2023-07-11T11:50:54"/>
    <m/>
    <d v="2023-07-11T00:00:00"/>
    <n v="518"/>
    <n v="8113"/>
    <s v="61362625"/>
    <s v="61362625"/>
    <m/>
    <m/>
    <n v="22781668"/>
    <m/>
    <m/>
    <m/>
    <s v="SOLFIN"/>
    <s v="SOLFIN"/>
    <s v="CCMS"/>
    <n v="21360279"/>
    <n v="3880.8"/>
    <m/>
    <s v="N"/>
    <n v="21"/>
    <d v="2023-07-11T11:51:00"/>
    <s v="Y"/>
    <s v="Preparation - other"/>
    <s v="VHCC"/>
    <s v="Profit Cost"/>
    <s v="Zofia Duszynska"/>
    <s v="Y"/>
    <n v="7.16"/>
    <n v="1.43"/>
    <x v="7"/>
    <s v="VALIDATED"/>
    <n v="1"/>
    <s v="01.11.80.400.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40"/>
    <d v="2023-07-07T19:03:20"/>
    <s v="Y"/>
    <s v="Routine Telephone Call"/>
    <s v="Non Family Hourly Rates"/>
    <s v="Profit Cost"/>
    <s v="Maria Savic"/>
    <s v="Y"/>
    <n v="3.74"/>
    <n v="0.75"/>
    <x v="9"/>
    <s v="VALIDATED"/>
    <n v="1"/>
    <s v="01.11.80.401.6100.0000"/>
    <n v="3.74"/>
    <s v="11"/>
    <s v="6100"/>
    <n v="455.02"/>
    <n v="3.74"/>
    <s v="CREDITOR"/>
    <n v="0"/>
    <n v="0"/>
    <n v="0"/>
    <n v="0"/>
    <n v="3.74"/>
  </r>
  <r>
    <n v="61362625"/>
    <s v="N"/>
    <n v="21360279"/>
    <s v="3000015509630004"/>
    <s v="CIVIL"/>
    <d v="2023-06-28T00:00:00"/>
    <d v="2023-07-11T11:50:54"/>
    <m/>
    <d v="2023-07-11T00:00:00"/>
    <n v="518"/>
    <n v="8113"/>
    <s v="61362625"/>
    <s v="61362625"/>
    <m/>
    <m/>
    <n v="22781668"/>
    <m/>
    <m/>
    <m/>
    <s v="SOLFIN"/>
    <s v="SOLFIN"/>
    <s v="CCMS"/>
    <n v="21360279"/>
    <n v="3880.8"/>
    <m/>
    <s v="N"/>
    <n v="19"/>
    <d v="2023-07-11T11:51:00"/>
    <s v="Y"/>
    <s v="Item - Routine Outgoing letter"/>
    <s v="VHCC"/>
    <s v="Profit Cost"/>
    <s v="Zofia Duszynska"/>
    <s v="Y"/>
    <n v="6.75"/>
    <n v="1.35"/>
    <x v="7"/>
    <s v="VALIDATED"/>
    <n v="1"/>
    <s v="01.11.80.400.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8"/>
    <d v="2023-07-07T19:03:20"/>
    <s v="Y"/>
    <s v="Preparation - other"/>
    <s v="Non Family Hourly Rates"/>
    <s v="Profit Cost"/>
    <s v="Tori Sicher"/>
    <s v="Y"/>
    <n v="21.47"/>
    <n v="4.29"/>
    <x v="9"/>
    <s v="VALIDATED"/>
    <n v="1"/>
    <s v="01.11.80.401.6100.0000"/>
    <n v="21.47"/>
    <s v="11"/>
    <s v="6100"/>
    <n v="455.02"/>
    <n v="21.47"/>
    <s v="CREDITOR"/>
    <n v="0"/>
    <n v="0"/>
    <n v="0"/>
    <n v="0"/>
    <n v="21.47"/>
  </r>
  <r>
    <n v="19789575"/>
    <s v="N"/>
    <n v="21344010"/>
    <s v="3000008331720002"/>
    <s v="CIVIL"/>
    <d v="2023-06-27T00:00:00"/>
    <d v="2023-07-07T19:03:00"/>
    <m/>
    <d v="2023-07-07T00:00:00"/>
    <n v="518"/>
    <n v="8113"/>
    <s v="19789575"/>
    <s v="19789575"/>
    <m/>
    <m/>
    <n v="22768862"/>
    <m/>
    <m/>
    <m/>
    <s v="SOLFIN"/>
    <s v="SOLFIN"/>
    <s v="CCMS"/>
    <n v="21344010"/>
    <n v="1359.54"/>
    <m/>
    <s v="N"/>
    <n v="17"/>
    <d v="2023-07-07T19:03:20"/>
    <s v="Y"/>
    <s v="Preparation - other"/>
    <s v="Non Family Hourly Rates"/>
    <s v="Profit Cost"/>
    <s v="Maria Georgian"/>
    <s v="Y"/>
    <n v="42.93"/>
    <n v="8.58"/>
    <x v="9"/>
    <s v="VALIDATED"/>
    <n v="1"/>
    <s v="01.11.80.401.6100.0000"/>
    <n v="42.93"/>
    <s v="11"/>
    <s v="6100"/>
    <n v="455.02"/>
    <n v="42.93"/>
    <s v="CREDITOR"/>
    <n v="0"/>
    <n v="0"/>
    <n v="0"/>
    <n v="0"/>
    <n v="42.93"/>
  </r>
  <r>
    <n v="61362625"/>
    <s v="N"/>
    <n v="21360279"/>
    <s v="3000015509630004"/>
    <s v="CIVIL"/>
    <d v="2023-06-28T00:00:00"/>
    <d v="2023-07-11T11:50:54"/>
    <m/>
    <d v="2023-07-11T00:00:00"/>
    <n v="518"/>
    <n v="8113"/>
    <s v="61362625"/>
    <s v="61362625"/>
    <m/>
    <m/>
    <n v="22781668"/>
    <m/>
    <m/>
    <m/>
    <s v="SOLFIN"/>
    <s v="SOLFIN"/>
    <s v="CCMS"/>
    <n v="21360279"/>
    <n v="3880.8"/>
    <m/>
    <s v="N"/>
    <n v="39"/>
    <d v="2023-07-11T11:51:00"/>
    <s v="Y"/>
    <s v="Preparation - other"/>
    <s v="VHCC"/>
    <s v="Profit Cost"/>
    <s v="Zofia Duszynska"/>
    <s v="Y"/>
    <n v="7.16"/>
    <n v="1.43"/>
    <x v="7"/>
    <s v="VALIDATED"/>
    <n v="1"/>
    <s v="01.11.80.400.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4"/>
    <d v="2023-07-11T11:51:00"/>
    <s v="N"/>
    <s v="Attendance upon client"/>
    <s v="VHCC"/>
    <s v="Profit Cost"/>
    <s v="Zofia Duszynska"/>
    <s v="N"/>
    <n v="147.97"/>
    <n v="29.59"/>
    <x v="7"/>
    <s v="VALIDATED"/>
    <n v="1"/>
    <s v="01.11.80.400.6100.0000"/>
    <n v="147.97"/>
    <s v="11"/>
    <s v="6100"/>
    <n v="455.02"/>
    <n v="147.97"/>
    <s v="CREDITOR"/>
    <n v="0"/>
    <n v="0"/>
    <n v="0"/>
    <n v="0"/>
    <n v="147.97"/>
  </r>
  <r>
    <n v="19789575"/>
    <s v="N"/>
    <n v="21344010"/>
    <s v="3000008331720002"/>
    <s v="CIVIL"/>
    <d v="2023-06-27T00:00:00"/>
    <d v="2023-07-07T19:03:00"/>
    <m/>
    <d v="2023-07-07T00:00:00"/>
    <n v="518"/>
    <n v="8113"/>
    <s v="19789575"/>
    <s v="19789575"/>
    <m/>
    <m/>
    <n v="22768862"/>
    <m/>
    <m/>
    <m/>
    <s v="SOLFIN"/>
    <s v="SOLFIN"/>
    <s v="CCMS"/>
    <n v="21344010"/>
    <n v="1359.54"/>
    <m/>
    <s v="N"/>
    <n v="19"/>
    <d v="2023-07-07T19:03:20"/>
    <s v="Y"/>
    <s v="Routine Letter Out"/>
    <s v="Non Family Hourly Rates"/>
    <s v="Profit Cost"/>
    <s v="Tori Sicher"/>
    <s v="Y"/>
    <n v="6.75"/>
    <n v="1.35"/>
    <x v="9"/>
    <s v="VALIDATED"/>
    <n v="1"/>
    <s v="01.11.80.401.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26"/>
    <d v="2023-07-11T11:51:00"/>
    <s v="Y"/>
    <s v="Preparation - other"/>
    <s v="VHCC"/>
    <s v="Profit Cost"/>
    <s v="Zofia Duszynska"/>
    <s v="Y"/>
    <n v="14.31"/>
    <n v="2.86"/>
    <x v="7"/>
    <s v="VALIDATED"/>
    <n v="1"/>
    <s v="01.11.80.400.6100.0000"/>
    <n v="14.31"/>
    <s v="11"/>
    <s v="6100"/>
    <n v="455.02"/>
    <n v="14.31"/>
    <s v="CREDITOR"/>
    <n v="0"/>
    <n v="0"/>
    <n v="0"/>
    <n v="0"/>
    <n v="14.31"/>
  </r>
  <r>
    <n v="61362625"/>
    <s v="N"/>
    <n v="21360279"/>
    <s v="3000015509630004"/>
    <s v="CIVIL"/>
    <d v="2023-06-28T00:00:00"/>
    <d v="2023-07-11T11:50:54"/>
    <m/>
    <d v="2023-07-11T00:00:00"/>
    <n v="518"/>
    <n v="8113"/>
    <s v="61362625"/>
    <s v="61362625"/>
    <m/>
    <m/>
    <n v="22781668"/>
    <m/>
    <m/>
    <m/>
    <s v="SOLFIN"/>
    <s v="SOLFIN"/>
    <s v="CCMS"/>
    <n v="21360279"/>
    <n v="3880.8"/>
    <m/>
    <s v="N"/>
    <n v="36"/>
    <d v="2023-07-11T11:51:00"/>
    <s v="Y"/>
    <s v="Preparation - other"/>
    <s v="VHCC"/>
    <s v="Profit Cost"/>
    <s v="Zofia Duszynska"/>
    <s v="Y"/>
    <n v="7.16"/>
    <n v="1.43"/>
    <x v="7"/>
    <s v="VALIDATED"/>
    <n v="1"/>
    <s v="01.11.80.400.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25"/>
    <d v="2023-07-07T19:03:20"/>
    <s v="Y"/>
    <s v="Preparation - other"/>
    <s v="Non Family Hourly Rates"/>
    <s v="Profit Cost"/>
    <s v="Maria Georgian"/>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54"/>
    <d v="2023-07-07T19:03:20"/>
    <s v="Y"/>
    <s v="Preparation - other"/>
    <s v="Non Family Hourly Rates"/>
    <s v="Profit Cost"/>
    <s v="Maria Georgian"/>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44"/>
    <d v="2023-07-07T19:03:20"/>
    <s v="Y"/>
    <s v="Preparation - other"/>
    <s v="Non Family Hourly Rates"/>
    <s v="Profit Cost"/>
    <s v="Tori Sicher"/>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45"/>
    <d v="2023-07-07T19:03:20"/>
    <s v="Y"/>
    <s v="Preparation - other"/>
    <s v="Non Family Hourly Rates"/>
    <s v="Profit Cost"/>
    <s v="Tori Sicher"/>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57"/>
    <d v="2023-07-07T19:03:20"/>
    <s v="Y"/>
    <s v="Preparation - other"/>
    <s v="Non Family Hourly Rates"/>
    <s v="Profit Cost"/>
    <s v="Tori Sicher"/>
    <s v="Y"/>
    <n v="35.78"/>
    <n v="7.15"/>
    <x v="9"/>
    <s v="VALIDATED"/>
    <n v="1"/>
    <s v="01.11.80.401.6100.0000"/>
    <n v="35.78"/>
    <s v="11"/>
    <s v="6100"/>
    <n v="455.02"/>
    <n v="35.78"/>
    <s v="CREDITOR"/>
    <n v="0"/>
    <n v="0"/>
    <n v="0"/>
    <n v="0"/>
    <n v="35.78"/>
  </r>
  <r>
    <n v="19789575"/>
    <s v="N"/>
    <n v="21344010"/>
    <s v="3000008331720002"/>
    <s v="CIVIL"/>
    <d v="2023-06-27T00:00:00"/>
    <d v="2023-07-07T19:03:00"/>
    <m/>
    <d v="2023-07-07T00:00:00"/>
    <n v="518"/>
    <n v="8113"/>
    <s v="19789575"/>
    <s v="19789575"/>
    <m/>
    <m/>
    <n v="22768862"/>
    <m/>
    <m/>
    <m/>
    <s v="SOLFIN"/>
    <s v="SOLFIN"/>
    <s v="CCMS"/>
    <n v="21344010"/>
    <n v="1359.54"/>
    <m/>
    <s v="N"/>
    <n v="58"/>
    <d v="2023-07-07T19:03:20"/>
    <s v="Y"/>
    <s v="Routine Telephone Call"/>
    <s v="Non Family Hourly Rates"/>
    <s v="Profit Cost"/>
    <s v="Tori Sicher"/>
    <s v="Y"/>
    <n v="3.74"/>
    <n v="0.75"/>
    <x v="9"/>
    <s v="VALIDATED"/>
    <n v="1"/>
    <s v="01.11.80.401.6100.0000"/>
    <n v="3.74"/>
    <s v="11"/>
    <s v="6100"/>
    <n v="455.02"/>
    <n v="3.74"/>
    <s v="CREDITOR"/>
    <n v="0"/>
    <n v="0"/>
    <n v="0"/>
    <n v="0"/>
    <n v="3.74"/>
  </r>
  <r>
    <n v="19789575"/>
    <s v="N"/>
    <n v="21346266"/>
    <s v="3000008331720001RC"/>
    <s v="CIVIL"/>
    <d v="2023-06-27T00:00:00"/>
    <d v="2023-07-07T19:34:21"/>
    <m/>
    <d v="2023-07-07T00:00:00"/>
    <n v="518"/>
    <n v="8113"/>
    <s v="19789575"/>
    <s v="19789575"/>
    <m/>
    <m/>
    <m/>
    <m/>
    <m/>
    <m/>
    <s v="SOLRECOUP"/>
    <s v="SOLRECOUP"/>
    <s v="POARECOUP"/>
    <n v="21346266"/>
    <n v="-2304"/>
    <m/>
    <s v="Y"/>
    <n v="1"/>
    <d v="2023-07-07T19:34:22"/>
    <s v="N"/>
    <m/>
    <m/>
    <s v="Profit Cost"/>
    <m/>
    <s v="N"/>
    <n v="-1920"/>
    <n v="0"/>
    <x v="9"/>
    <s v="VALIDATED"/>
    <n v="1"/>
    <s v="01.11.80.401.2013.0000"/>
    <n v="-1920"/>
    <s v="11"/>
    <s v="2013"/>
    <n v="455.02"/>
    <n v="-1920"/>
    <s v="CREDITOR"/>
    <n v="0"/>
    <n v="0"/>
    <n v="-1920"/>
    <n v="-480"/>
    <n v="0"/>
  </r>
  <r>
    <n v="19789575"/>
    <s v="N"/>
    <n v="21346266"/>
    <s v="3000008331720001RC"/>
    <s v="CIVIL"/>
    <d v="2023-06-27T00:00:00"/>
    <d v="2023-07-07T19:34:21"/>
    <m/>
    <d v="2023-07-07T00:00:00"/>
    <n v="518"/>
    <n v="8113"/>
    <s v="19789575"/>
    <s v="19789575"/>
    <m/>
    <m/>
    <m/>
    <m/>
    <m/>
    <m/>
    <s v="SOLRECOUP"/>
    <s v="SOLRECOUP"/>
    <s v="POARECOUP"/>
    <n v="21346266"/>
    <n v="-2304"/>
    <m/>
    <s v="Y"/>
    <n v="2"/>
    <d v="2023-07-07T19:34:22"/>
    <s v="N"/>
    <m/>
    <m/>
    <s v="Profit Cost"/>
    <m/>
    <s v="N"/>
    <n v="0"/>
    <n v="-384"/>
    <x v="9"/>
    <s v="VALIDATED"/>
    <n v="1"/>
    <s v="01.11.80.401.2013.0000"/>
    <n v="-384"/>
    <s v="11"/>
    <s v="2013"/>
    <n v="455.02"/>
    <n v="-384"/>
    <s v="CREDITOR"/>
    <n v="0"/>
    <n v="0"/>
    <n v="-384"/>
    <n v="-96"/>
    <n v="0"/>
  </r>
  <r>
    <n v="61362625"/>
    <s v="N"/>
    <n v="21361316"/>
    <s v="3000015509630001RC"/>
    <s v="CIVIL"/>
    <d v="2023-06-28T00:00:00"/>
    <d v="2023-07-11T19:38:00"/>
    <m/>
    <d v="2023-07-11T00:00:00"/>
    <n v="518"/>
    <n v="8113"/>
    <s v="61362625"/>
    <s v="61362625"/>
    <m/>
    <m/>
    <m/>
    <m/>
    <m/>
    <m/>
    <s v="SOLRECOUP"/>
    <s v="SOLRECOUP"/>
    <s v="POARECOUP"/>
    <n v="21361316"/>
    <n v="-2808"/>
    <m/>
    <s v="Y"/>
    <n v="1"/>
    <d v="2023-07-11T19:38:00"/>
    <s v="N"/>
    <m/>
    <m/>
    <s v="Expert Disbursement"/>
    <m/>
    <s v="N"/>
    <n v="-2340"/>
    <n v="0"/>
    <x v="7"/>
    <s v="VALIDATED"/>
    <n v="1"/>
    <s v="01.11.80.400.2013.0000"/>
    <n v="-2340"/>
    <s v="11"/>
    <s v="2013"/>
    <n v="455.02"/>
    <n v="-2340"/>
    <s v="CREDITOR"/>
    <n v="0"/>
    <n v="0"/>
    <n v="-2340"/>
    <n v="0"/>
    <n v="0"/>
  </r>
  <r>
    <n v="61362625"/>
    <s v="N"/>
    <n v="21361316"/>
    <s v="3000015509630001RC"/>
    <s v="CIVIL"/>
    <d v="2023-06-28T00:00:00"/>
    <d v="2023-07-11T19:38:00"/>
    <m/>
    <d v="2023-07-11T00:00:00"/>
    <n v="518"/>
    <n v="8113"/>
    <s v="61362625"/>
    <s v="61362625"/>
    <m/>
    <m/>
    <m/>
    <m/>
    <m/>
    <m/>
    <s v="SOLRECOUP"/>
    <s v="SOLRECOUP"/>
    <s v="POARECOUP"/>
    <n v="21361316"/>
    <n v="-2808"/>
    <m/>
    <s v="Y"/>
    <n v="2"/>
    <d v="2023-07-11T19:38:00"/>
    <s v="N"/>
    <m/>
    <m/>
    <s v="Expert Disbursement"/>
    <m/>
    <s v="N"/>
    <n v="0"/>
    <n v="-468"/>
    <x v="7"/>
    <s v="VALIDATED"/>
    <n v="1"/>
    <s v="01.11.80.400.2013.0000"/>
    <n v="-468"/>
    <s v="11"/>
    <s v="2013"/>
    <n v="455.02"/>
    <n v="-468"/>
    <s v="CREDITOR"/>
    <n v="0"/>
    <n v="0"/>
    <n v="-468"/>
    <n v="0"/>
    <n v="0"/>
  </r>
  <r>
    <n v="19789575"/>
    <s v="N"/>
    <n v="21344010"/>
    <s v="3000008331720002"/>
    <s v="CIVIL"/>
    <d v="2023-06-27T00:00:00"/>
    <d v="2023-07-07T19:03:00"/>
    <m/>
    <d v="2023-07-07T00:00:00"/>
    <n v="518"/>
    <n v="8113"/>
    <s v="19789575"/>
    <s v="19789575"/>
    <m/>
    <m/>
    <n v="22768862"/>
    <m/>
    <m/>
    <m/>
    <s v="SOLFIN"/>
    <s v="SOLFIN"/>
    <s v="CCMS"/>
    <n v="21344010"/>
    <n v="1359.54"/>
    <m/>
    <s v="N"/>
    <n v="24"/>
    <d v="2023-07-07T19:03:20"/>
    <s v="Y"/>
    <s v="Preparation - other"/>
    <s v="Non Family Hourly Rates"/>
    <s v="Profit Cost"/>
    <s v="Maria Georgian"/>
    <s v="Y"/>
    <n v="7.16"/>
    <n v="1.43"/>
    <x v="9"/>
    <s v="VALIDATED"/>
    <n v="1"/>
    <s v="01.11.80.401.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16"/>
    <d v="2023-07-07T19:03:20"/>
    <s v="Y"/>
    <s v="Routine Telephone Call"/>
    <s v="Non Family Hourly Rates"/>
    <s v="Profit Cost"/>
    <s v="Maria Georgian"/>
    <s v="Y"/>
    <n v="3.74"/>
    <n v="0.75"/>
    <x v="9"/>
    <s v="VALIDATED"/>
    <n v="1"/>
    <s v="01.11.80.401.6100.0000"/>
    <n v="3.74"/>
    <s v="11"/>
    <s v="6100"/>
    <n v="455.02"/>
    <n v="3.74"/>
    <s v="CREDITOR"/>
    <n v="0"/>
    <n v="0"/>
    <n v="0"/>
    <n v="0"/>
    <n v="3.74"/>
  </r>
  <r>
    <n v="61362625"/>
    <s v="N"/>
    <n v="21360279"/>
    <s v="3000015509630004"/>
    <s v="CIVIL"/>
    <d v="2023-06-28T00:00:00"/>
    <d v="2023-07-11T11:50:54"/>
    <m/>
    <d v="2023-07-11T00:00:00"/>
    <n v="518"/>
    <n v="8113"/>
    <s v="61362625"/>
    <s v="61362625"/>
    <m/>
    <m/>
    <n v="22781668"/>
    <m/>
    <m/>
    <m/>
    <s v="SOLFIN"/>
    <s v="SOLFIN"/>
    <s v="CCMS"/>
    <n v="21360279"/>
    <n v="3880.8"/>
    <m/>
    <s v="N"/>
    <n v="10"/>
    <d v="2023-07-11T11:51:00"/>
    <s v="Y"/>
    <s v="Item - Routine Outgoing letter"/>
    <s v="VHCC"/>
    <s v="Profit Cost"/>
    <s v="Zofia Duszynska"/>
    <s v="Y"/>
    <n v="6.75"/>
    <n v="1.35"/>
    <x v="7"/>
    <s v="VALIDATED"/>
    <n v="1"/>
    <s v="01.11.80.400.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12"/>
    <d v="2023-07-11T11:51:00"/>
    <s v="Y"/>
    <s v="Preparation - drafting application"/>
    <s v="VHCC"/>
    <s v="Profit Cost"/>
    <s v="Zofia Duszynska"/>
    <s v="Y"/>
    <n v="28.62"/>
    <n v="5.72"/>
    <x v="7"/>
    <s v="VALIDATED"/>
    <n v="1"/>
    <s v="01.11.80.400.6100.0000"/>
    <n v="28.62"/>
    <s v="11"/>
    <s v="6100"/>
    <n v="455.02"/>
    <n v="28.62"/>
    <s v="CREDITOR"/>
    <n v="0"/>
    <n v="0"/>
    <n v="0"/>
    <n v="0"/>
    <n v="28.62"/>
  </r>
  <r>
    <n v="19789575"/>
    <s v="N"/>
    <n v="21344010"/>
    <s v="3000008331720002"/>
    <s v="CIVIL"/>
    <d v="2023-06-27T00:00:00"/>
    <d v="2023-07-07T19:03:00"/>
    <m/>
    <d v="2023-07-07T00:00:00"/>
    <n v="518"/>
    <n v="8113"/>
    <s v="19789575"/>
    <s v="19789575"/>
    <m/>
    <m/>
    <n v="22768862"/>
    <m/>
    <m/>
    <m/>
    <s v="SOLFIN"/>
    <s v="SOLFIN"/>
    <s v="CCMS"/>
    <n v="21344010"/>
    <n v="1359.54"/>
    <m/>
    <s v="N"/>
    <n v="18"/>
    <d v="2023-07-07T19:03:20"/>
    <s v="Y"/>
    <s v="Routine Telephone Call"/>
    <s v="Non Family Hourly Rates"/>
    <s v="Profit Cost"/>
    <s v="Tori Sicher"/>
    <s v="Y"/>
    <n v="3.74"/>
    <n v="0.75"/>
    <x v="9"/>
    <s v="VALIDATED"/>
    <n v="1"/>
    <s v="01.11.80.401.6100.0000"/>
    <n v="3.74"/>
    <s v="11"/>
    <s v="6100"/>
    <n v="455.02"/>
    <n v="3.74"/>
    <s v="CREDITOR"/>
    <n v="0"/>
    <n v="0"/>
    <n v="0"/>
    <n v="0"/>
    <n v="3.74"/>
  </r>
  <r>
    <n v="19789575"/>
    <s v="N"/>
    <n v="21344010"/>
    <s v="3000008331720002"/>
    <s v="CIVIL"/>
    <d v="2023-06-27T00:00:00"/>
    <d v="2023-07-07T19:03:00"/>
    <m/>
    <d v="2023-07-07T00:00:00"/>
    <n v="518"/>
    <n v="8113"/>
    <s v="19789575"/>
    <s v="19789575"/>
    <m/>
    <m/>
    <n v="22768862"/>
    <m/>
    <m/>
    <m/>
    <s v="SOLFIN"/>
    <s v="SOLFIN"/>
    <s v="CCMS"/>
    <n v="21344010"/>
    <n v="1359.54"/>
    <m/>
    <s v="N"/>
    <n v="48"/>
    <d v="2023-07-07T19:03:20"/>
    <s v="Y"/>
    <s v="Preparation - other"/>
    <s v="Non Family Hourly Rates"/>
    <s v="Profit Cost"/>
    <s v="Tori Sicher"/>
    <s v="Y"/>
    <n v="7.16"/>
    <n v="1.43"/>
    <x v="9"/>
    <s v="VALIDATED"/>
    <n v="1"/>
    <s v="01.11.80.401.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42"/>
    <d v="2023-07-07T19:03:20"/>
    <s v="Y"/>
    <s v="Preparation - other"/>
    <s v="Non Family Hourly Rates"/>
    <s v="Profit Cost"/>
    <s v="Tori Sicher"/>
    <s v="Y"/>
    <n v="7.16"/>
    <n v="1.43"/>
    <x v="9"/>
    <s v="VALIDATED"/>
    <n v="1"/>
    <s v="01.11.80.401.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47"/>
    <d v="2023-07-11T11:51:00"/>
    <s v="Y"/>
    <s v="Item - Routine Outgoing letter"/>
    <s v="VHCC"/>
    <s v="Profit Cost"/>
    <s v="Zofia Duszynska"/>
    <s v="Y"/>
    <n v="6.75"/>
    <n v="1.35"/>
    <x v="7"/>
    <s v="VALIDATED"/>
    <n v="1"/>
    <s v="01.11.80.400.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36"/>
    <d v="2023-07-07T19:03:20"/>
    <s v="Y"/>
    <s v="Preparation - other"/>
    <s v="Non Family Hourly Rates"/>
    <s v="Profit Cost"/>
    <s v="Tori Sicher"/>
    <s v="Y"/>
    <n v="14.31"/>
    <n v="2.86"/>
    <x v="9"/>
    <s v="VALIDATED"/>
    <n v="1"/>
    <s v="01.11.80.401.6100.0000"/>
    <n v="14.31"/>
    <s v="11"/>
    <s v="6100"/>
    <n v="455.02"/>
    <n v="14.31"/>
    <s v="CREDITOR"/>
    <n v="0"/>
    <n v="0"/>
    <n v="0"/>
    <n v="0"/>
    <n v="14.31"/>
  </r>
  <r>
    <n v="61362625"/>
    <s v="N"/>
    <n v="21360279"/>
    <s v="3000015509630004"/>
    <s v="CIVIL"/>
    <d v="2023-06-28T00:00:00"/>
    <d v="2023-07-11T11:50:54"/>
    <m/>
    <d v="2023-07-11T00:00:00"/>
    <n v="518"/>
    <n v="8113"/>
    <s v="61362625"/>
    <s v="61362625"/>
    <m/>
    <m/>
    <n v="22781668"/>
    <m/>
    <m/>
    <m/>
    <s v="SOLFIN"/>
    <s v="SOLFIN"/>
    <s v="CCMS"/>
    <n v="21360279"/>
    <n v="3880.8"/>
    <m/>
    <s v="N"/>
    <n v="20"/>
    <d v="2023-07-11T11:51:00"/>
    <s v="Y"/>
    <s v="Preparation - other"/>
    <s v="VHCC"/>
    <s v="Profit Cost"/>
    <s v="Zofia Duszynska"/>
    <s v="Y"/>
    <n v="14.31"/>
    <n v="2.86"/>
    <x v="7"/>
    <s v="VALIDATED"/>
    <n v="1"/>
    <s v="01.11.80.400.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20"/>
    <d v="2023-07-07T19:03:20"/>
    <s v="Y"/>
    <s v="Preparation - other"/>
    <s v="Non Family Hourly Rates"/>
    <s v="Profit Cost"/>
    <s v="Maria Georgian"/>
    <s v="Y"/>
    <n v="7.16"/>
    <n v="1.43"/>
    <x v="9"/>
    <s v="VALIDATED"/>
    <n v="1"/>
    <s v="01.11.80.401.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45"/>
    <d v="2023-07-11T11:51:00"/>
    <s v="Y"/>
    <s v="Item - Routine Outgoing letter"/>
    <s v="VHCC"/>
    <s v="Profit Cost"/>
    <s v="Zofia Duszynska"/>
    <s v="Y"/>
    <n v="13.5"/>
    <n v="2.7"/>
    <x v="7"/>
    <s v="VALIDATED"/>
    <n v="1"/>
    <s v="01.11.80.400.6100.0000"/>
    <n v="13.5"/>
    <s v="11"/>
    <s v="6100"/>
    <n v="455.02"/>
    <n v="13.5"/>
    <s v="CREDITOR"/>
    <n v="0"/>
    <n v="0"/>
    <n v="0"/>
    <n v="0"/>
    <n v="13.5"/>
  </r>
  <r>
    <n v="19789575"/>
    <s v="N"/>
    <n v="21344010"/>
    <s v="3000008331720002"/>
    <s v="CIVIL"/>
    <d v="2023-06-27T00:00:00"/>
    <d v="2023-07-07T19:03:00"/>
    <m/>
    <d v="2023-07-07T00:00:00"/>
    <n v="518"/>
    <n v="8113"/>
    <s v="19789575"/>
    <s v="19789575"/>
    <m/>
    <m/>
    <n v="22768862"/>
    <m/>
    <m/>
    <m/>
    <s v="SOLFIN"/>
    <s v="SOLFIN"/>
    <s v="CCMS"/>
    <n v="21344010"/>
    <n v="1359.54"/>
    <m/>
    <s v="N"/>
    <n v="37"/>
    <d v="2023-07-07T19:03:20"/>
    <s v="Y"/>
    <s v="Routine Telephone Call"/>
    <s v="Non Family Hourly Rates"/>
    <s v="Profit Cost"/>
    <s v="Tori Sicher"/>
    <s v="Y"/>
    <n v="3.74"/>
    <n v="0.75"/>
    <x v="9"/>
    <s v="VALIDATED"/>
    <n v="1"/>
    <s v="01.11.80.401.6100.0000"/>
    <n v="3.74"/>
    <s v="11"/>
    <s v="6100"/>
    <n v="455.02"/>
    <n v="3.74"/>
    <s v="CREDITOR"/>
    <n v="0"/>
    <n v="0"/>
    <n v="0"/>
    <n v="0"/>
    <n v="3.74"/>
  </r>
  <r>
    <n v="19789575"/>
    <s v="N"/>
    <n v="21344010"/>
    <s v="3000008331720002"/>
    <s v="CIVIL"/>
    <d v="2023-06-27T00:00:00"/>
    <d v="2023-07-07T19:03:00"/>
    <m/>
    <d v="2023-07-07T00:00:00"/>
    <n v="518"/>
    <n v="8113"/>
    <s v="19789575"/>
    <s v="19789575"/>
    <m/>
    <m/>
    <n v="22768862"/>
    <m/>
    <m/>
    <m/>
    <s v="SOLFIN"/>
    <s v="SOLFIN"/>
    <s v="CCMS"/>
    <n v="21344010"/>
    <n v="1359.54"/>
    <m/>
    <s v="N"/>
    <n v="12"/>
    <d v="2023-07-07T19:03:20"/>
    <s v="Y"/>
    <s v="Routine Letter Out"/>
    <s v="Non Family Hourly Rates"/>
    <s v="Profit Cost"/>
    <s v="Maria Georgian"/>
    <s v="Y"/>
    <n v="6.75"/>
    <n v="1.35"/>
    <x v="9"/>
    <s v="VALIDATED"/>
    <n v="1"/>
    <s v="01.11.80.401.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32"/>
    <d v="2023-07-11T11:51:00"/>
    <s v="Y"/>
    <s v="Preparation - other"/>
    <s v="VHCC"/>
    <s v="Profit Cost"/>
    <s v="Zofia Duszynska"/>
    <s v="Y"/>
    <n v="85.86"/>
    <n v="17.17"/>
    <x v="7"/>
    <s v="VALIDATED"/>
    <n v="1"/>
    <s v="01.11.80.400.6100.0000"/>
    <n v="85.86"/>
    <s v="11"/>
    <s v="6100"/>
    <n v="455.02"/>
    <n v="85.86"/>
    <s v="CREDITOR"/>
    <n v="0"/>
    <n v="0"/>
    <n v="0"/>
    <n v="0"/>
    <n v="85.86"/>
  </r>
  <r>
    <n v="19789575"/>
    <s v="N"/>
    <n v="21344010"/>
    <s v="3000008331720002"/>
    <s v="CIVIL"/>
    <d v="2023-06-27T00:00:00"/>
    <d v="2023-07-07T19:03:00"/>
    <m/>
    <d v="2023-07-07T00:00:00"/>
    <n v="518"/>
    <n v="8113"/>
    <s v="19789575"/>
    <s v="19789575"/>
    <m/>
    <m/>
    <n v="22768862"/>
    <m/>
    <m/>
    <m/>
    <s v="SOLFIN"/>
    <s v="SOLFIN"/>
    <s v="CCMS"/>
    <n v="21344010"/>
    <n v="1359.54"/>
    <m/>
    <s v="N"/>
    <n v="23"/>
    <d v="2023-07-07T19:03:20"/>
    <s v="Y"/>
    <s v="Routine Telephone Call"/>
    <s v="Non Family Hourly Rates"/>
    <s v="Profit Cost"/>
    <s v="Tori Sicher"/>
    <s v="Y"/>
    <n v="7.48"/>
    <n v="1.5"/>
    <x v="9"/>
    <s v="VALIDATED"/>
    <n v="1"/>
    <s v="01.11.80.401.6100.0000"/>
    <n v="7.48"/>
    <s v="11"/>
    <s v="6100"/>
    <n v="455.02"/>
    <n v="7.48"/>
    <s v="CREDITOR"/>
    <n v="0"/>
    <n v="0"/>
    <n v="0"/>
    <n v="0"/>
    <n v="7.48"/>
  </r>
  <r>
    <n v="19789575"/>
    <s v="N"/>
    <n v="21344010"/>
    <s v="3000008331720002"/>
    <s v="CIVIL"/>
    <d v="2023-06-27T00:00:00"/>
    <d v="2023-07-07T19:03:00"/>
    <m/>
    <d v="2023-07-07T00:00:00"/>
    <n v="518"/>
    <n v="8113"/>
    <s v="19789575"/>
    <s v="19789575"/>
    <m/>
    <m/>
    <n v="22768862"/>
    <m/>
    <m/>
    <m/>
    <s v="SOLFIN"/>
    <s v="SOLFIN"/>
    <s v="CCMS"/>
    <n v="21344010"/>
    <n v="1359.54"/>
    <m/>
    <s v="N"/>
    <n v="7"/>
    <d v="2023-07-07T19:03:20"/>
    <s v="Y"/>
    <s v="Preparation - other"/>
    <s v="Non Family Hourly Rates"/>
    <s v="Profit Cost"/>
    <s v="Maria Georgian"/>
    <s v="Y"/>
    <n v="7.16"/>
    <n v="1.43"/>
    <x v="9"/>
    <s v="VALIDATED"/>
    <n v="1"/>
    <s v="01.11.80.401.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22"/>
    <d v="2023-07-11T11:51:00"/>
    <s v="Y"/>
    <s v="Item - Routine Outgoing letter"/>
    <s v="VHCC"/>
    <s v="Profit Cost"/>
    <s v="Zofia Duszynska"/>
    <s v="Y"/>
    <n v="6.75"/>
    <n v="1.35"/>
    <x v="7"/>
    <s v="VALIDATED"/>
    <n v="1"/>
    <s v="01.11.80.400.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34"/>
    <d v="2023-07-07T19:03:20"/>
    <s v="Y"/>
    <s v="Routine Letter Out"/>
    <s v="Non Family Hourly Rates"/>
    <s v="Profit Cost"/>
    <s v="Tori Sicher"/>
    <s v="Y"/>
    <n v="6.75"/>
    <n v="1.35"/>
    <x v="9"/>
    <s v="VALIDATED"/>
    <n v="1"/>
    <s v="01.11.80.401.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25"/>
    <d v="2023-07-11T11:51:00"/>
    <s v="Y"/>
    <s v="Preparation - other"/>
    <s v="VHCC"/>
    <s v="Profit Cost"/>
    <s v="Zofia Duszynska"/>
    <s v="Y"/>
    <n v="7.16"/>
    <n v="1.43"/>
    <x v="7"/>
    <s v="VALIDATED"/>
    <n v="1"/>
    <s v="01.11.80.400.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37"/>
    <d v="2023-07-11T11:51:00"/>
    <s v="Y"/>
    <s v="Item - Routine Outgoing letter"/>
    <s v="VHCC"/>
    <s v="Profit Cost"/>
    <s v="Zofia Duszynska"/>
    <s v="Y"/>
    <n v="6.75"/>
    <n v="1.35"/>
    <x v="7"/>
    <s v="VALIDATED"/>
    <n v="1"/>
    <s v="01.11.80.400.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41"/>
    <d v="2023-07-11T11:51:00"/>
    <s v="Y"/>
    <s v="Preparation - other"/>
    <s v="VHCC"/>
    <s v="Profit Cost"/>
    <s v="Zofia Duszynska"/>
    <s v="Y"/>
    <n v="7.16"/>
    <n v="1.43"/>
    <x v="7"/>
    <s v="VALIDATED"/>
    <n v="1"/>
    <s v="01.11.80.400.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9"/>
    <d v="2023-07-07T19:03:20"/>
    <s v="Y"/>
    <s v="Routine Telephone Call"/>
    <s v="Non Family Hourly Rates"/>
    <s v="Profit Cost"/>
    <s v="Tori Sicher"/>
    <s v="Y"/>
    <n v="3.74"/>
    <n v="0.75"/>
    <x v="9"/>
    <s v="VALIDATED"/>
    <n v="1"/>
    <s v="01.11.80.401.6100.0000"/>
    <n v="3.74"/>
    <s v="11"/>
    <s v="6100"/>
    <n v="455.02"/>
    <n v="3.74"/>
    <s v="CREDITOR"/>
    <n v="0"/>
    <n v="0"/>
    <n v="0"/>
    <n v="0"/>
    <n v="3.74"/>
  </r>
  <r>
    <n v="19789575"/>
    <s v="N"/>
    <n v="21344010"/>
    <s v="3000008331720002"/>
    <s v="CIVIL"/>
    <d v="2023-06-27T00:00:00"/>
    <d v="2023-07-07T19:03:00"/>
    <m/>
    <d v="2023-07-07T00:00:00"/>
    <n v="518"/>
    <n v="8113"/>
    <s v="19789575"/>
    <s v="19789575"/>
    <m/>
    <m/>
    <n v="22768862"/>
    <m/>
    <m/>
    <m/>
    <s v="SOLFIN"/>
    <s v="SOLFIN"/>
    <s v="CCMS"/>
    <n v="21344010"/>
    <n v="1359.54"/>
    <m/>
    <s v="N"/>
    <n v="15"/>
    <d v="2023-07-07T19:03:20"/>
    <s v="Y"/>
    <s v="Attendance upon client"/>
    <s v="Non Family Hourly Rates"/>
    <s v="Profit Cost"/>
    <s v="Tori Sicher"/>
    <s v="Y"/>
    <n v="21.47"/>
    <n v="4.29"/>
    <x v="9"/>
    <s v="VALIDATED"/>
    <n v="1"/>
    <s v="01.11.80.401.6100.0000"/>
    <n v="21.47"/>
    <s v="11"/>
    <s v="6100"/>
    <n v="455.02"/>
    <n v="21.47"/>
    <s v="CREDITOR"/>
    <n v="0"/>
    <n v="0"/>
    <n v="0"/>
    <n v="0"/>
    <n v="21.47"/>
  </r>
  <r>
    <n v="19789575"/>
    <s v="N"/>
    <n v="21344010"/>
    <s v="3000008331720002"/>
    <s v="CIVIL"/>
    <d v="2023-06-27T00:00:00"/>
    <d v="2023-07-07T19:03:00"/>
    <m/>
    <d v="2023-07-07T00:00:00"/>
    <n v="518"/>
    <n v="8113"/>
    <s v="19789575"/>
    <s v="19789575"/>
    <m/>
    <m/>
    <n v="22768862"/>
    <m/>
    <m/>
    <m/>
    <s v="SOLFIN"/>
    <s v="SOLFIN"/>
    <s v="CCMS"/>
    <n v="21344010"/>
    <n v="1359.54"/>
    <m/>
    <s v="N"/>
    <n v="53"/>
    <d v="2023-07-07T19:03:20"/>
    <s v="Y"/>
    <s v="Preparation - other"/>
    <s v="Non Family Hourly Rates"/>
    <s v="Profit Cost"/>
    <s v="Tori Sicher"/>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60"/>
    <d v="2023-07-07T19:03:20"/>
    <s v="Y"/>
    <s v="Preparation - other"/>
    <s v="Non Family Hourly Rates"/>
    <s v="Profit Cost"/>
    <s v="Maria Georgian"/>
    <s v="Y"/>
    <n v="14.31"/>
    <n v="2.86"/>
    <x v="9"/>
    <s v="VALIDATED"/>
    <n v="1"/>
    <s v="01.11.80.401.6100.0000"/>
    <n v="14.31"/>
    <s v="11"/>
    <s v="6100"/>
    <n v="455.02"/>
    <n v="14.31"/>
    <s v="CREDITOR"/>
    <n v="0"/>
    <n v="0"/>
    <n v="0"/>
    <n v="0"/>
    <n v="14.31"/>
  </r>
  <r>
    <n v="61362625"/>
    <s v="N"/>
    <n v="21360279"/>
    <s v="3000015509630004"/>
    <s v="CIVIL"/>
    <d v="2023-06-28T00:00:00"/>
    <d v="2023-07-11T11:50:54"/>
    <m/>
    <d v="2023-07-11T00:00:00"/>
    <n v="518"/>
    <n v="8113"/>
    <s v="61362625"/>
    <s v="61362625"/>
    <m/>
    <m/>
    <n v="22781668"/>
    <m/>
    <m/>
    <m/>
    <s v="SOLFIN"/>
    <s v="SOLFIN"/>
    <s v="CCMS"/>
    <n v="21360279"/>
    <n v="3880.8"/>
    <m/>
    <s v="N"/>
    <n v="15"/>
    <d v="2023-07-11T11:51:00"/>
    <s v="Y"/>
    <s v="Preparation - other"/>
    <s v="VHCC"/>
    <s v="Profit Cost"/>
    <s v="Zofia Duszynska"/>
    <s v="Y"/>
    <n v="7.16"/>
    <n v="1.43"/>
    <x v="7"/>
    <s v="VALIDATED"/>
    <n v="1"/>
    <s v="01.11.80.400.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5"/>
    <d v="2023-07-11T11:51:00"/>
    <s v="Y"/>
    <s v="Attendance upon client"/>
    <s v="VHCC"/>
    <s v="Profit Cost"/>
    <s v="Zofia Duszynska"/>
    <s v="Y"/>
    <n v="85.86"/>
    <n v="17.17"/>
    <x v="7"/>
    <s v="VALIDATED"/>
    <n v="1"/>
    <s v="01.11.80.400.6100.0000"/>
    <n v="85.86"/>
    <s v="11"/>
    <s v="6100"/>
    <n v="455.02"/>
    <n v="85.86"/>
    <s v="CREDITOR"/>
    <n v="0"/>
    <n v="0"/>
    <n v="0"/>
    <n v="0"/>
    <n v="85.86"/>
  </r>
  <r>
    <n v="61362625"/>
    <s v="N"/>
    <n v="21360279"/>
    <s v="3000015509630004"/>
    <s v="CIVIL"/>
    <d v="2023-06-28T00:00:00"/>
    <d v="2023-07-11T11:50:54"/>
    <m/>
    <d v="2023-07-11T00:00:00"/>
    <n v="518"/>
    <n v="8113"/>
    <s v="61362625"/>
    <s v="61362625"/>
    <m/>
    <m/>
    <n v="22781668"/>
    <m/>
    <m/>
    <m/>
    <s v="SOLFIN"/>
    <s v="SOLFIN"/>
    <s v="CCMS"/>
    <n v="21360279"/>
    <n v="3880.8"/>
    <m/>
    <s v="N"/>
    <n v="34"/>
    <d v="2023-07-11T11:51:00"/>
    <s v="Y"/>
    <s v="Item - Routine Outgoing letter"/>
    <s v="VHCC"/>
    <s v="Profit Cost"/>
    <s v="Zofia Duszynska"/>
    <s v="Y"/>
    <n v="6.75"/>
    <n v="1.35"/>
    <x v="7"/>
    <s v="VALIDATED"/>
    <n v="1"/>
    <s v="01.11.80.400.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63"/>
    <d v="2023-07-07T19:03:20"/>
    <s v="Y"/>
    <s v="Routine Letter Out"/>
    <s v="Non Family Hourly Rates"/>
    <s v="Profit Cost"/>
    <s v="Maria Georgian"/>
    <s v="Y"/>
    <n v="6.75"/>
    <n v="1.35"/>
    <x v="9"/>
    <s v="VALIDATED"/>
    <n v="1"/>
    <s v="01.11.80.401.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3"/>
    <d v="2023-07-07T19:03:20"/>
    <s v="Y"/>
    <s v="Preparation - other"/>
    <s v="Non Family Hourly Rates"/>
    <s v="Profit Cost"/>
    <s v="Tori Sicher"/>
    <s v="Y"/>
    <n v="7.16"/>
    <n v="1.43"/>
    <x v="9"/>
    <s v="VALIDATED"/>
    <n v="1"/>
    <s v="01.11.80.401.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35"/>
    <d v="2023-07-11T11:51:00"/>
    <s v="Y"/>
    <s v="Item - Routine Outgoing letter"/>
    <s v="VHCC"/>
    <s v="Profit Cost"/>
    <s v="Zofia Duszynska"/>
    <s v="Y"/>
    <n v="6.75"/>
    <n v="1.35"/>
    <x v="7"/>
    <s v="VALIDATED"/>
    <n v="1"/>
    <s v="01.11.80.400.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49"/>
    <d v="2023-07-07T19:03:20"/>
    <s v="Y"/>
    <s v="Preparation - other"/>
    <s v="Non Family Hourly Rates"/>
    <s v="Profit Cost"/>
    <s v="Maria Georgian"/>
    <s v="Y"/>
    <n v="21.47"/>
    <n v="4.29"/>
    <x v="9"/>
    <s v="VALIDATED"/>
    <n v="1"/>
    <s v="01.11.80.401.6100.0000"/>
    <n v="21.47"/>
    <s v="11"/>
    <s v="6100"/>
    <n v="455.02"/>
    <n v="21.47"/>
    <s v="CREDITOR"/>
    <n v="0"/>
    <n v="0"/>
    <n v="0"/>
    <n v="0"/>
    <n v="21.47"/>
  </r>
  <r>
    <n v="19789575"/>
    <s v="N"/>
    <n v="21344010"/>
    <s v="3000008331720002"/>
    <s v="CIVIL"/>
    <d v="2023-06-27T00:00:00"/>
    <d v="2023-07-07T19:03:00"/>
    <m/>
    <d v="2023-07-07T00:00:00"/>
    <n v="518"/>
    <n v="8113"/>
    <s v="19789575"/>
    <s v="19789575"/>
    <m/>
    <m/>
    <n v="22768862"/>
    <m/>
    <m/>
    <m/>
    <s v="SOLFIN"/>
    <s v="SOLFIN"/>
    <s v="CCMS"/>
    <n v="21344010"/>
    <n v="1359.54"/>
    <m/>
    <s v="N"/>
    <n v="39"/>
    <d v="2023-07-07T19:03:20"/>
    <s v="Y"/>
    <s v="Preparation - other"/>
    <s v="Non Family Hourly Rates"/>
    <s v="Profit Cost"/>
    <s v="Tori Sicher"/>
    <s v="Y"/>
    <n v="28.62"/>
    <n v="5.72"/>
    <x v="9"/>
    <s v="VALIDATED"/>
    <n v="1"/>
    <s v="01.11.80.401.6100.0000"/>
    <n v="28.62"/>
    <s v="11"/>
    <s v="6100"/>
    <n v="455.02"/>
    <n v="28.62"/>
    <s v="CREDITOR"/>
    <n v="0"/>
    <n v="0"/>
    <n v="0"/>
    <n v="0"/>
    <n v="28.62"/>
  </r>
  <r>
    <n v="61362625"/>
    <s v="N"/>
    <n v="21360279"/>
    <s v="3000015509630004"/>
    <s v="CIVIL"/>
    <d v="2023-06-28T00:00:00"/>
    <d v="2023-07-11T11:50:54"/>
    <m/>
    <d v="2023-07-11T00:00:00"/>
    <n v="518"/>
    <n v="8113"/>
    <s v="61362625"/>
    <s v="61362625"/>
    <m/>
    <m/>
    <n v="22781668"/>
    <m/>
    <m/>
    <m/>
    <s v="SOLFIN"/>
    <s v="SOLFIN"/>
    <s v="CCMS"/>
    <n v="21360279"/>
    <n v="3880.8"/>
    <m/>
    <s v="N"/>
    <n v="38"/>
    <d v="2023-07-11T11:51:00"/>
    <s v="Y"/>
    <s v="Preparation - drafting application"/>
    <s v="VHCC"/>
    <s v="Profit Cost"/>
    <s v="Zofia Duszynska"/>
    <s v="Y"/>
    <n v="7.16"/>
    <n v="1.43"/>
    <x v="7"/>
    <s v="VALIDATED"/>
    <n v="1"/>
    <s v="01.11.80.400.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33"/>
    <d v="2023-07-11T11:51:00"/>
    <s v="Y"/>
    <s v="Attendance upon client"/>
    <s v="VHCC"/>
    <s v="Profit Cost"/>
    <s v="Zofia Duszynska"/>
    <s v="Y"/>
    <n v="14.31"/>
    <n v="2.86"/>
    <x v="7"/>
    <s v="VALIDATED"/>
    <n v="1"/>
    <s v="01.11.80.400.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5"/>
    <d v="2023-07-07T19:03:20"/>
    <s v="Y"/>
    <s v="Preparation - other"/>
    <s v="Non Family Hourly Rates"/>
    <s v="Profit Cost"/>
    <s v="Maria Georgian"/>
    <s v="Y"/>
    <n v="7.16"/>
    <n v="1.43"/>
    <x v="9"/>
    <s v="VALIDATED"/>
    <n v="1"/>
    <s v="01.11.80.401.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6"/>
    <d v="2023-07-07T19:03:20"/>
    <s v="Y"/>
    <s v="Routine Letter Out"/>
    <s v="Non Family Hourly Rates"/>
    <s v="Profit Cost"/>
    <s v="Maria Georgian"/>
    <s v="Y"/>
    <n v="6.75"/>
    <n v="1.35"/>
    <x v="9"/>
    <s v="VALIDATED"/>
    <n v="1"/>
    <s v="01.11.80.401.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8"/>
    <d v="2023-07-11T11:51:00"/>
    <s v="Y"/>
    <s v="Item - Routine Outgoing letter"/>
    <s v="VHCC"/>
    <s v="Profit Cost"/>
    <s v="Zofia Duszynska"/>
    <s v="Y"/>
    <n v="6.75"/>
    <n v="1.35"/>
    <x v="7"/>
    <s v="VALIDATED"/>
    <n v="1"/>
    <s v="01.11.80.400.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29"/>
    <d v="2023-07-11T11:51:00"/>
    <s v="Y"/>
    <s v="Item - Routine Outgoing letter"/>
    <s v="VHCC"/>
    <s v="Profit Cost"/>
    <s v="Zofia Duszynska"/>
    <s v="Y"/>
    <n v="6.75"/>
    <n v="1.35"/>
    <x v="7"/>
    <s v="VALIDATED"/>
    <n v="1"/>
    <s v="01.11.80.400.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31"/>
    <d v="2023-07-11T11:51:00"/>
    <s v="Y"/>
    <s v="Preparation - other"/>
    <s v="VHCC"/>
    <s v="Profit Cost"/>
    <s v="Zofia Duszynska"/>
    <s v="Y"/>
    <n v="7.16"/>
    <n v="1.43"/>
    <x v="7"/>
    <s v="VALIDATED"/>
    <n v="1"/>
    <s v="01.11.80.400.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22"/>
    <d v="2023-07-07T19:03:20"/>
    <s v="Y"/>
    <s v="Preparation - drafting bill/claim f"/>
    <s v="Non Family Hourly Rates"/>
    <s v="Profit Cost"/>
    <s v="Maria Georgian"/>
    <s v="Y"/>
    <n v="243.27"/>
    <n v="48.72"/>
    <x v="9"/>
    <s v="VALIDATED"/>
    <n v="1"/>
    <s v="01.11.80.401.6100.0000"/>
    <n v="243.27"/>
    <s v="11"/>
    <s v="6100"/>
    <n v="455.02"/>
    <n v="243.27"/>
    <s v="CREDITOR"/>
    <n v="0"/>
    <n v="0"/>
    <n v="0"/>
    <n v="0"/>
    <n v="243.27"/>
  </r>
  <r>
    <n v="19789575"/>
    <s v="N"/>
    <n v="21344010"/>
    <s v="3000008331720002"/>
    <s v="CIVIL"/>
    <d v="2023-06-27T00:00:00"/>
    <d v="2023-07-07T19:03:00"/>
    <m/>
    <d v="2023-07-07T00:00:00"/>
    <n v="518"/>
    <n v="8113"/>
    <s v="19789575"/>
    <s v="19789575"/>
    <m/>
    <m/>
    <n v="22768862"/>
    <m/>
    <m/>
    <m/>
    <s v="SOLFIN"/>
    <s v="SOLFIN"/>
    <s v="CCMS"/>
    <n v="21344010"/>
    <n v="1359.54"/>
    <m/>
    <s v="N"/>
    <n v="27"/>
    <d v="2023-07-07T19:03:20"/>
    <s v="Y"/>
    <s v="Preparation - other"/>
    <s v="Non Family Hourly Rates"/>
    <s v="Profit Cost"/>
    <s v="Maria Georgian"/>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55"/>
    <d v="2023-07-07T19:03:20"/>
    <s v="Y"/>
    <s v="Routine Telephone Call"/>
    <s v="Non Family Hourly Rates"/>
    <s v="Profit Cost"/>
    <s v="Maria Savic"/>
    <s v="Y"/>
    <n v="3.74"/>
    <n v="0.75"/>
    <x v="9"/>
    <s v="VALIDATED"/>
    <n v="1"/>
    <s v="01.11.80.401.6100.0000"/>
    <n v="3.74"/>
    <s v="11"/>
    <s v="6100"/>
    <n v="455.02"/>
    <n v="3.74"/>
    <s v="CREDITOR"/>
    <n v="0"/>
    <n v="0"/>
    <n v="0"/>
    <n v="0"/>
    <n v="3.74"/>
  </r>
  <r>
    <n v="62118870"/>
    <s v="N"/>
    <n v="21323450"/>
    <s v="3000016142230002"/>
    <s v="CIVIL"/>
    <d v="2023-06-30T00:00:00"/>
    <d v="2023-07-03T19:05:56"/>
    <m/>
    <d v="2023-07-03T00:00:00"/>
    <n v="518"/>
    <n v="8113"/>
    <s v="62118870"/>
    <s v="62118870"/>
    <m/>
    <m/>
    <n v="22801092"/>
    <m/>
    <m/>
    <m/>
    <s v="SOLPOA"/>
    <s v="SOLPOA"/>
    <s v="CCMS"/>
    <n v="21323450"/>
    <n v="1200"/>
    <m/>
    <s v="N"/>
    <n v="1"/>
    <d v="2023-07-03T19:05:57"/>
    <s v="N"/>
    <s v="Profit Cost"/>
    <s v="Profit Cost"/>
    <s v="Profit Cost"/>
    <s v="Nafsika"/>
    <s v="N"/>
    <n v="1200"/>
    <n v="0"/>
    <x v="3"/>
    <s v="VALIDATED"/>
    <n v="1"/>
    <s v="01.11.80.401.2012.0000"/>
    <n v="1200"/>
    <s v="11"/>
    <s v="2012"/>
    <n v="455.02"/>
    <n v="1200"/>
    <s v="CREDITOR"/>
    <n v="1200"/>
    <n v="300"/>
    <n v="0"/>
    <n v="0"/>
    <n v="0"/>
  </r>
  <r>
    <n v="61362625"/>
    <s v="N"/>
    <n v="21360279"/>
    <s v="3000015509630004"/>
    <s v="CIVIL"/>
    <d v="2023-06-28T00:00:00"/>
    <d v="2023-07-11T11:50:54"/>
    <m/>
    <d v="2023-07-11T00:00:00"/>
    <n v="518"/>
    <n v="8113"/>
    <s v="61362625"/>
    <s v="61362625"/>
    <m/>
    <m/>
    <n v="22781668"/>
    <m/>
    <m/>
    <m/>
    <s v="SOLFIN"/>
    <s v="SOLFIN"/>
    <s v="CCMS"/>
    <n v="21360279"/>
    <n v="3880.8"/>
    <m/>
    <s v="N"/>
    <n v="14"/>
    <d v="2023-07-11T11:51:00"/>
    <s v="Y"/>
    <s v="Preparation - other"/>
    <s v="VHCC"/>
    <s v="Profit Cost"/>
    <s v="Zofia Duszynska"/>
    <s v="Y"/>
    <n v="7.16"/>
    <n v="1.43"/>
    <x v="7"/>
    <s v="VALIDATED"/>
    <n v="1"/>
    <s v="01.11.80.400.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28"/>
    <d v="2023-07-07T19:03:20"/>
    <s v="Y"/>
    <s v="Preparation - other"/>
    <s v="Non Family Hourly Rates"/>
    <s v="Profit Cost"/>
    <s v="Maria Georgian"/>
    <s v="Y"/>
    <n v="21.47"/>
    <n v="4.29"/>
    <x v="9"/>
    <s v="VALIDATED"/>
    <n v="1"/>
    <s v="01.11.80.401.6100.0000"/>
    <n v="21.47"/>
    <s v="11"/>
    <s v="6100"/>
    <n v="455.02"/>
    <n v="21.47"/>
    <s v="CREDITOR"/>
    <n v="0"/>
    <n v="0"/>
    <n v="0"/>
    <n v="0"/>
    <n v="21.47"/>
  </r>
  <r>
    <n v="19789575"/>
    <s v="N"/>
    <n v="21344010"/>
    <s v="3000008331720002"/>
    <s v="CIVIL"/>
    <d v="2023-06-27T00:00:00"/>
    <d v="2023-07-07T19:03:00"/>
    <m/>
    <d v="2023-07-07T00:00:00"/>
    <n v="518"/>
    <n v="8113"/>
    <s v="19789575"/>
    <s v="19789575"/>
    <m/>
    <m/>
    <n v="22768862"/>
    <m/>
    <m/>
    <m/>
    <s v="SOLFIN"/>
    <s v="SOLFIN"/>
    <s v="CCMS"/>
    <n v="21344010"/>
    <n v="1359.54"/>
    <m/>
    <s v="N"/>
    <n v="32"/>
    <d v="2023-07-07T19:03:20"/>
    <s v="Y"/>
    <s v="Preparation - other"/>
    <s v="Non Family Hourly Rates"/>
    <s v="Profit Cost"/>
    <s v="Tori Sicher"/>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35"/>
    <d v="2023-07-07T19:03:20"/>
    <s v="Y"/>
    <s v="Preparation - other"/>
    <s v="Non Family Hourly Rates"/>
    <s v="Profit Cost"/>
    <s v="Tori Sicher"/>
    <s v="Y"/>
    <n v="35.78"/>
    <n v="7.15"/>
    <x v="9"/>
    <s v="VALIDATED"/>
    <n v="1"/>
    <s v="01.11.80.401.6100.0000"/>
    <n v="35.78"/>
    <s v="11"/>
    <s v="6100"/>
    <n v="455.02"/>
    <n v="35.78"/>
    <s v="CREDITOR"/>
    <n v="0"/>
    <n v="0"/>
    <n v="0"/>
    <n v="0"/>
    <n v="35.78"/>
  </r>
  <r>
    <n v="19789575"/>
    <s v="N"/>
    <n v="21344010"/>
    <s v="3000008331720002"/>
    <s v="CIVIL"/>
    <d v="2023-06-27T00:00:00"/>
    <d v="2023-07-07T19:03:00"/>
    <m/>
    <d v="2023-07-07T00:00:00"/>
    <n v="518"/>
    <n v="8113"/>
    <s v="19789575"/>
    <s v="19789575"/>
    <m/>
    <m/>
    <n v="22768862"/>
    <m/>
    <m/>
    <m/>
    <s v="SOLFIN"/>
    <s v="SOLFIN"/>
    <s v="CCMS"/>
    <n v="21344010"/>
    <n v="1359.54"/>
    <m/>
    <s v="N"/>
    <n v="65"/>
    <d v="2023-07-07T19:03:20"/>
    <s v="Y"/>
    <s v="Attendance upon other"/>
    <s v="Non Family Hourly Rates"/>
    <s v="Profit Cost"/>
    <s v="Maria Georgian"/>
    <s v="Y"/>
    <n v="14.31"/>
    <n v="2.86"/>
    <x v="9"/>
    <s v="VALIDATED"/>
    <n v="1"/>
    <s v="01.11.80.401.6100.0000"/>
    <n v="14.31"/>
    <s v="11"/>
    <s v="6100"/>
    <n v="455.02"/>
    <n v="14.31"/>
    <s v="CREDITOR"/>
    <n v="0"/>
    <n v="0"/>
    <n v="0"/>
    <n v="0"/>
    <n v="14.31"/>
  </r>
  <r>
    <n v="61362625"/>
    <s v="N"/>
    <n v="21360279"/>
    <s v="3000015509630004"/>
    <s v="CIVIL"/>
    <d v="2023-06-28T00:00:00"/>
    <d v="2023-07-11T11:50:54"/>
    <m/>
    <d v="2023-07-11T00:00:00"/>
    <n v="518"/>
    <n v="8113"/>
    <s v="61362625"/>
    <s v="61362625"/>
    <m/>
    <m/>
    <n v="22781668"/>
    <m/>
    <m/>
    <m/>
    <s v="SOLFIN"/>
    <s v="SOLFIN"/>
    <s v="CCMS"/>
    <n v="21360279"/>
    <n v="3880.8"/>
    <m/>
    <s v="N"/>
    <n v="11"/>
    <d v="2023-07-11T11:51:00"/>
    <s v="Y"/>
    <s v="Preparation - other"/>
    <s v="VHCC"/>
    <s v="Profit Cost"/>
    <s v="Zofia Duszynska"/>
    <s v="Y"/>
    <n v="14.31"/>
    <n v="2.86"/>
    <x v="7"/>
    <s v="VALIDATED"/>
    <n v="1"/>
    <s v="01.11.80.400.6100.0000"/>
    <n v="14.31"/>
    <s v="11"/>
    <s v="6100"/>
    <n v="455.02"/>
    <n v="14.31"/>
    <s v="CREDITOR"/>
    <n v="0"/>
    <n v="0"/>
    <n v="0"/>
    <n v="0"/>
    <n v="14.31"/>
  </r>
  <r>
    <n v="61362625"/>
    <s v="N"/>
    <n v="21360279"/>
    <s v="3000015509630004"/>
    <s v="CIVIL"/>
    <d v="2023-06-28T00:00:00"/>
    <d v="2023-07-11T11:50:54"/>
    <m/>
    <d v="2023-07-11T00:00:00"/>
    <n v="518"/>
    <n v="8113"/>
    <s v="61362625"/>
    <s v="61362625"/>
    <m/>
    <m/>
    <n v="22781668"/>
    <m/>
    <m/>
    <m/>
    <s v="SOLFIN"/>
    <s v="SOLFIN"/>
    <s v="CCMS"/>
    <n v="21360279"/>
    <n v="3880.8"/>
    <m/>
    <s v="N"/>
    <n v="27"/>
    <d v="2023-07-11T11:51:00"/>
    <s v="Y"/>
    <s v="Preparation - other"/>
    <s v="VHCC"/>
    <s v="Profit Cost"/>
    <s v="Zofia Duszynska"/>
    <s v="Y"/>
    <n v="7.16"/>
    <n v="1.43"/>
    <x v="7"/>
    <s v="VALIDATED"/>
    <n v="1"/>
    <s v="01.11.80.400.6100.0000"/>
    <n v="7.16"/>
    <s v="11"/>
    <s v="6100"/>
    <n v="455.02"/>
    <n v="7.16"/>
    <s v="CREDITOR"/>
    <n v="0"/>
    <n v="0"/>
    <n v="0"/>
    <n v="0"/>
    <n v="7.16"/>
  </r>
  <r>
    <n v="61362625"/>
    <s v="N"/>
    <n v="21360279"/>
    <s v="3000015509630004"/>
    <s v="CIVIL"/>
    <d v="2023-06-28T00:00:00"/>
    <d v="2023-07-11T11:50:54"/>
    <m/>
    <d v="2023-07-11T00:00:00"/>
    <n v="518"/>
    <n v="8113"/>
    <s v="61362625"/>
    <s v="61362625"/>
    <m/>
    <m/>
    <n v="22781668"/>
    <m/>
    <m/>
    <m/>
    <s v="SOLFIN"/>
    <s v="SOLFIN"/>
    <s v="CCMS"/>
    <n v="21360279"/>
    <n v="3880.8"/>
    <m/>
    <s v="N"/>
    <n v="1"/>
    <d v="2023-07-11T11:51:00"/>
    <s v="N"/>
    <s v="Preparation - drafting statement"/>
    <s v="VHCC"/>
    <s v="Profit Cost"/>
    <s v="Zofia Duszynska"/>
    <s v="N"/>
    <n v="100.17"/>
    <n v="20.03"/>
    <x v="7"/>
    <s v="VALIDATED"/>
    <n v="1"/>
    <s v="01.11.80.400.6100.0000"/>
    <n v="100.17"/>
    <s v="11"/>
    <s v="6100"/>
    <n v="455.02"/>
    <n v="100.17"/>
    <s v="CREDITOR"/>
    <n v="0"/>
    <n v="0"/>
    <n v="0"/>
    <n v="0"/>
    <n v="100.17"/>
  </r>
  <r>
    <n v="19789575"/>
    <s v="N"/>
    <n v="21344010"/>
    <s v="3000008331720002"/>
    <s v="CIVIL"/>
    <d v="2023-06-27T00:00:00"/>
    <d v="2023-07-07T19:03:00"/>
    <m/>
    <d v="2023-07-07T00:00:00"/>
    <n v="518"/>
    <n v="8113"/>
    <s v="19789575"/>
    <s v="19789575"/>
    <m/>
    <m/>
    <n v="22768862"/>
    <m/>
    <m/>
    <m/>
    <s v="SOLFIN"/>
    <s v="SOLFIN"/>
    <s v="CCMS"/>
    <n v="21344010"/>
    <n v="1359.54"/>
    <m/>
    <s v="N"/>
    <n v="51"/>
    <d v="2023-07-07T19:03:20"/>
    <s v="Y"/>
    <s v="Preparation - drafting application"/>
    <s v="Non Family Hourly Rates"/>
    <s v="Profit Cost"/>
    <s v="Maria Georgian"/>
    <s v="Y"/>
    <n v="35.78"/>
    <n v="7.15"/>
    <x v="9"/>
    <s v="VALIDATED"/>
    <n v="1"/>
    <s v="01.11.80.401.6100.0000"/>
    <n v="35.78"/>
    <s v="11"/>
    <s v="6100"/>
    <n v="455.02"/>
    <n v="35.78"/>
    <s v="CREDITOR"/>
    <n v="0"/>
    <n v="0"/>
    <n v="0"/>
    <n v="0"/>
    <n v="35.78"/>
  </r>
  <r>
    <n v="61362625"/>
    <s v="N"/>
    <n v="21360279"/>
    <s v="3000015509630004"/>
    <s v="CIVIL"/>
    <d v="2023-06-28T00:00:00"/>
    <d v="2023-07-11T11:50:54"/>
    <m/>
    <d v="2023-07-11T00:00:00"/>
    <n v="518"/>
    <n v="8113"/>
    <s v="61362625"/>
    <s v="61362625"/>
    <m/>
    <m/>
    <n v="22781668"/>
    <m/>
    <m/>
    <m/>
    <s v="SOLFIN"/>
    <s v="SOLFIN"/>
    <s v="CCMS"/>
    <n v="21360279"/>
    <n v="3880.8"/>
    <m/>
    <s v="N"/>
    <n v="6"/>
    <d v="2023-07-11T11:51:00"/>
    <s v="Y"/>
    <s v="Item - Routine Outgoing letter"/>
    <s v="VHCC"/>
    <s v="Profit Cost"/>
    <s v="Zofia Duszynska"/>
    <s v="Y"/>
    <n v="6.75"/>
    <n v="1.35"/>
    <x v="7"/>
    <s v="VALIDATED"/>
    <n v="1"/>
    <s v="01.11.80.400.6100.0000"/>
    <n v="6.75"/>
    <s v="11"/>
    <s v="6100"/>
    <n v="455.02"/>
    <n v="6.75"/>
    <s v="CREDITOR"/>
    <n v="0"/>
    <n v="0"/>
    <n v="0"/>
    <n v="0"/>
    <n v="6.75"/>
  </r>
  <r>
    <n v="61362625"/>
    <s v="N"/>
    <n v="21360279"/>
    <s v="3000015509630004"/>
    <s v="CIVIL"/>
    <d v="2023-06-28T00:00:00"/>
    <d v="2023-07-11T11:50:54"/>
    <m/>
    <d v="2023-07-11T00:00:00"/>
    <n v="518"/>
    <n v="8113"/>
    <s v="61362625"/>
    <s v="61362625"/>
    <m/>
    <m/>
    <n v="22781668"/>
    <m/>
    <m/>
    <m/>
    <s v="SOLFIN"/>
    <s v="SOLFIN"/>
    <s v="CCMS"/>
    <n v="21360279"/>
    <n v="3880.8"/>
    <m/>
    <s v="N"/>
    <n v="23"/>
    <d v="2023-07-11T11:51:00"/>
    <s v="Y"/>
    <s v="Item - Routine Outgoing letter"/>
    <s v="VHCC"/>
    <s v="Profit Cost"/>
    <s v="Zofia Duszynska"/>
    <s v="Y"/>
    <n v="6.75"/>
    <n v="1.35"/>
    <x v="7"/>
    <s v="VALIDATED"/>
    <n v="1"/>
    <s v="01.11.80.400.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43"/>
    <d v="2023-07-07T19:03:20"/>
    <s v="Y"/>
    <s v="Preparation - other"/>
    <s v="Non Family Hourly Rates"/>
    <s v="Profit Cost"/>
    <s v="Tori Sicher"/>
    <s v="Y"/>
    <n v="42.93"/>
    <n v="8.58"/>
    <x v="9"/>
    <s v="VALIDATED"/>
    <n v="1"/>
    <s v="01.11.80.401.6100.0000"/>
    <n v="42.93"/>
    <s v="11"/>
    <s v="6100"/>
    <n v="455.02"/>
    <n v="42.93"/>
    <s v="CREDITOR"/>
    <n v="0"/>
    <n v="0"/>
    <n v="0"/>
    <n v="0"/>
    <n v="42.93"/>
  </r>
  <r>
    <n v="19789575"/>
    <s v="N"/>
    <n v="21344010"/>
    <s v="3000008331720002"/>
    <s v="CIVIL"/>
    <d v="2023-06-27T00:00:00"/>
    <d v="2023-07-07T19:03:00"/>
    <m/>
    <d v="2023-07-07T00:00:00"/>
    <n v="518"/>
    <n v="8113"/>
    <s v="19789575"/>
    <s v="19789575"/>
    <m/>
    <m/>
    <n v="22768862"/>
    <m/>
    <m/>
    <m/>
    <s v="SOLFIN"/>
    <s v="SOLFIN"/>
    <s v="CCMS"/>
    <n v="21344010"/>
    <n v="1359.54"/>
    <m/>
    <s v="N"/>
    <n v="46"/>
    <d v="2023-07-07T19:03:20"/>
    <s v="Y"/>
    <s v="Preparation - other"/>
    <s v="Non Family Hourly Rates"/>
    <s v="Profit Cost"/>
    <s v="Tori Sicher"/>
    <s v="Y"/>
    <n v="21.47"/>
    <n v="4.29"/>
    <x v="9"/>
    <s v="VALIDATED"/>
    <n v="1"/>
    <s v="01.11.80.401.6100.0000"/>
    <n v="21.47"/>
    <s v="11"/>
    <s v="6100"/>
    <n v="455.02"/>
    <n v="21.47"/>
    <s v="CREDITOR"/>
    <n v="0"/>
    <n v="0"/>
    <n v="0"/>
    <n v="0"/>
    <n v="21.47"/>
  </r>
  <r>
    <n v="19789575"/>
    <s v="N"/>
    <n v="21344010"/>
    <s v="3000008331720002"/>
    <s v="CIVIL"/>
    <d v="2023-06-27T00:00:00"/>
    <d v="2023-07-07T19:03:00"/>
    <m/>
    <d v="2023-07-07T00:00:00"/>
    <n v="518"/>
    <n v="8113"/>
    <s v="19789575"/>
    <s v="19789575"/>
    <m/>
    <m/>
    <n v="22768862"/>
    <m/>
    <m/>
    <m/>
    <s v="SOLFIN"/>
    <s v="SOLFIN"/>
    <s v="CCMS"/>
    <n v="21344010"/>
    <n v="1359.54"/>
    <m/>
    <s v="N"/>
    <n v="14"/>
    <d v="2023-07-07T19:03:20"/>
    <s v="Y"/>
    <s v="Preparation - other"/>
    <s v="Non Family Hourly Rates"/>
    <s v="Profit Cost"/>
    <s v="Maria Georgian"/>
    <s v="Y"/>
    <n v="7.16"/>
    <n v="1.43"/>
    <x v="9"/>
    <s v="VALIDATED"/>
    <n v="1"/>
    <s v="01.11.80.401.6100.0000"/>
    <n v="7.16"/>
    <s v="11"/>
    <s v="6100"/>
    <n v="455.02"/>
    <n v="7.16"/>
    <s v="CREDITOR"/>
    <n v="0"/>
    <n v="0"/>
    <n v="0"/>
    <n v="0"/>
    <n v="7.16"/>
  </r>
  <r>
    <n v="19789575"/>
    <s v="N"/>
    <n v="21344010"/>
    <s v="3000008331720002"/>
    <s v="CIVIL"/>
    <d v="2023-06-27T00:00:00"/>
    <d v="2023-07-07T19:03:00"/>
    <m/>
    <d v="2023-07-07T00:00:00"/>
    <n v="518"/>
    <n v="8113"/>
    <s v="19789575"/>
    <s v="19789575"/>
    <m/>
    <m/>
    <n v="22768862"/>
    <m/>
    <m/>
    <m/>
    <s v="SOLFIN"/>
    <s v="SOLFIN"/>
    <s v="CCMS"/>
    <n v="21344010"/>
    <n v="1359.54"/>
    <m/>
    <s v="N"/>
    <n v="13"/>
    <d v="2023-07-07T19:03:20"/>
    <s v="Y"/>
    <s v="Preparation - other"/>
    <s v="Non Family Hourly Rates"/>
    <s v="Profit Cost"/>
    <s v="Tori Sicher"/>
    <s v="Y"/>
    <n v="14.31"/>
    <n v="2.86"/>
    <x v="9"/>
    <s v="VALIDATED"/>
    <n v="1"/>
    <s v="01.11.80.401.6100.0000"/>
    <n v="14.31"/>
    <s v="11"/>
    <s v="6100"/>
    <n v="455.02"/>
    <n v="14.31"/>
    <s v="CREDITOR"/>
    <n v="0"/>
    <n v="0"/>
    <n v="0"/>
    <n v="0"/>
    <n v="14.31"/>
  </r>
  <r>
    <n v="19789575"/>
    <s v="N"/>
    <n v="21344010"/>
    <s v="3000008331720002"/>
    <s v="CIVIL"/>
    <d v="2023-06-27T00:00:00"/>
    <d v="2023-07-07T19:03:00"/>
    <m/>
    <d v="2023-07-07T00:00:00"/>
    <n v="518"/>
    <n v="8113"/>
    <s v="19789575"/>
    <s v="19789575"/>
    <m/>
    <m/>
    <n v="22768862"/>
    <m/>
    <m/>
    <m/>
    <s v="SOLFIN"/>
    <s v="SOLFIN"/>
    <s v="CCMS"/>
    <n v="21344010"/>
    <n v="1359.54"/>
    <m/>
    <s v="N"/>
    <n v="26"/>
    <d v="2023-07-07T19:03:20"/>
    <s v="Y"/>
    <s v="Preparation - drafting application"/>
    <s v="Non Family Hourly Rates"/>
    <s v="Profit Cost"/>
    <s v="Maria Georgian"/>
    <s v="Y"/>
    <n v="14.31"/>
    <n v="2.86"/>
    <x v="9"/>
    <s v="VALIDATED"/>
    <n v="1"/>
    <s v="01.11.80.401.6100.0000"/>
    <n v="14.31"/>
    <s v="11"/>
    <s v="6100"/>
    <n v="455.02"/>
    <n v="14.31"/>
    <s v="CREDITOR"/>
    <n v="0"/>
    <n v="0"/>
    <n v="0"/>
    <n v="0"/>
    <n v="14.31"/>
  </r>
  <r>
    <n v="61362625"/>
    <s v="N"/>
    <n v="21360279"/>
    <s v="3000015509630004"/>
    <s v="CIVIL"/>
    <d v="2023-06-28T00:00:00"/>
    <d v="2023-07-11T11:50:54"/>
    <m/>
    <d v="2023-07-11T00:00:00"/>
    <n v="518"/>
    <n v="8113"/>
    <s v="61362625"/>
    <s v="61362625"/>
    <m/>
    <m/>
    <n v="22781668"/>
    <m/>
    <m/>
    <m/>
    <s v="SOLFIN"/>
    <s v="SOLFIN"/>
    <s v="CCMS"/>
    <n v="21360279"/>
    <n v="3880.8"/>
    <m/>
    <s v="N"/>
    <n v="42"/>
    <d v="2023-07-11T11:51:00"/>
    <s v="Y"/>
    <s v="Item - Routine Outgoing letter"/>
    <s v="VHCC"/>
    <s v="Profit Cost"/>
    <s v="Zofia Duszynska"/>
    <s v="Y"/>
    <n v="6.75"/>
    <n v="1.35"/>
    <x v="7"/>
    <s v="VALIDATED"/>
    <n v="1"/>
    <s v="01.11.80.400.6100.0000"/>
    <n v="6.75"/>
    <s v="11"/>
    <s v="6100"/>
    <n v="455.02"/>
    <n v="6.75"/>
    <s v="CREDITOR"/>
    <n v="0"/>
    <n v="0"/>
    <n v="0"/>
    <n v="0"/>
    <n v="6.75"/>
  </r>
  <r>
    <n v="19789575"/>
    <s v="N"/>
    <n v="21344010"/>
    <s v="3000008331720002"/>
    <s v="CIVIL"/>
    <d v="2023-06-27T00:00:00"/>
    <d v="2023-07-07T19:03:00"/>
    <m/>
    <d v="2023-07-07T00:00:00"/>
    <n v="518"/>
    <n v="8113"/>
    <s v="19789575"/>
    <s v="19789575"/>
    <m/>
    <m/>
    <n v="22768862"/>
    <m/>
    <m/>
    <m/>
    <s v="SOLFIN"/>
    <s v="SOLFIN"/>
    <s v="CCMS"/>
    <n v="21344010"/>
    <n v="1359.54"/>
    <m/>
    <s v="N"/>
    <n v="31"/>
    <d v="2023-07-07T19:03:20"/>
    <s v="Y"/>
    <s v="Preparation - drafting application"/>
    <s v="Non Family Hourly Rates"/>
    <s v="Profit Cost"/>
    <s v="Maria Georgian"/>
    <s v="Y"/>
    <n v="21.47"/>
    <n v="4.29"/>
    <x v="9"/>
    <s v="VALIDATED"/>
    <n v="1"/>
    <s v="01.11.80.401.6100.0000"/>
    <n v="21.47"/>
    <s v="11"/>
    <s v="6100"/>
    <n v="455.02"/>
    <n v="21.47"/>
    <s v="CREDITOR"/>
    <n v="0"/>
    <n v="0"/>
    <n v="0"/>
    <n v="0"/>
    <n v="21.47"/>
  </r>
  <r>
    <n v="61362625"/>
    <s v="N"/>
    <n v="21360279"/>
    <s v="3000015509630004"/>
    <s v="CIVIL"/>
    <d v="2023-06-28T00:00:00"/>
    <d v="2023-07-11T11:50:54"/>
    <m/>
    <d v="2023-07-11T00:00:00"/>
    <n v="518"/>
    <n v="8113"/>
    <s v="61362625"/>
    <s v="61362625"/>
    <m/>
    <m/>
    <n v="22781668"/>
    <m/>
    <m/>
    <m/>
    <s v="SOLFIN"/>
    <s v="SOLFIN"/>
    <s v="CCMS"/>
    <n v="21360279"/>
    <n v="3880.8"/>
    <m/>
    <s v="N"/>
    <n v="18"/>
    <d v="2023-07-11T11:51:00"/>
    <s v="Y"/>
    <s v="Psychologist"/>
    <s v="VHCC"/>
    <s v="Expert Disbursement"/>
    <s v="Hope-Borland Associated Ltd"/>
    <s v="Y"/>
    <n v="2340"/>
    <n v="467.99"/>
    <x v="7"/>
    <s v="VALIDATED"/>
    <n v="1"/>
    <s v="01.11.80.400.6300.0000"/>
    <n v="2340"/>
    <s v="11"/>
    <s v="6300"/>
    <n v="455.02"/>
    <n v="2340"/>
    <s v="CREDITOR"/>
    <n v="0"/>
    <n v="0"/>
    <n v="0"/>
    <n v="0"/>
    <n v="2340"/>
  </r>
  <r>
    <n v="61268415"/>
    <s v="N"/>
    <n v="21375842"/>
    <s v="3000015431890014"/>
    <s v="CIVIL"/>
    <d v="2023-06-28T00:00:00"/>
    <d v="2023-07-14T10:00:03"/>
    <m/>
    <d v="2023-07-14T00:00:00"/>
    <n v="526"/>
    <n v="9002"/>
    <s v="61268415"/>
    <s v="61268415"/>
    <m/>
    <m/>
    <n v="22775808"/>
    <m/>
    <m/>
    <m/>
    <s v="SOLPOA"/>
    <s v="SOLPOA"/>
    <s v="CCMS"/>
    <n v="21375842"/>
    <n v="1229.6"/>
    <m/>
    <s v="N"/>
    <n v="1"/>
    <d v="2023-07-14T10:00:18"/>
    <s v="N"/>
    <s v="Non Expert Disbursement"/>
    <s v="Non Expert Disbursement"/>
    <s v="Non Expert Disbursement"/>
    <s v="SA"/>
    <s v="N"/>
    <n v="1229.6"/>
    <n v="0"/>
    <x v="10"/>
    <s v="VALIDATED"/>
    <n v="1"/>
    <s v="01.11.80.308.2012.0000"/>
    <n v="1229.6"/>
    <s v="11"/>
    <s v="2012"/>
    <n v="1229.6"/>
    <n v="1229.6"/>
    <s v="CREDITOR"/>
    <n v="1229.6"/>
    <n v="0"/>
    <n v="0"/>
    <n v="0"/>
    <n v="0"/>
  </r>
  <r>
    <n v="16116379"/>
    <s v="N"/>
    <n v="21361323"/>
    <s v="3000007731850016RC"/>
    <s v="CIVIL"/>
    <d v="2023-06-28T00:00:00"/>
    <d v="2023-07-11T19:38:00"/>
    <m/>
    <d v="2023-07-11T00:00:00"/>
    <n v="534"/>
    <n v="13663"/>
    <s v="16116379"/>
    <s v="16116379"/>
    <m/>
    <m/>
    <m/>
    <m/>
    <m/>
    <m/>
    <s v="SOLRECOUP"/>
    <s v="SOLRECOUP"/>
    <s v="POARECOUP"/>
    <n v="21361323"/>
    <n v="-215"/>
    <m/>
    <s v="Y"/>
    <n v="1"/>
    <d v="2023-07-11T19:38:00"/>
    <s v="N"/>
    <m/>
    <m/>
    <s v="Non Expert Disbursement"/>
    <m/>
    <s v="N"/>
    <n v="-215"/>
    <n v="0"/>
    <x v="7"/>
    <s v="VALIDATED"/>
    <n v="1"/>
    <s v="01.11.80.307.2013.0000"/>
    <n v="-215"/>
    <s v="11"/>
    <s v="2013"/>
    <n v="5510.85"/>
    <n v="-215"/>
    <s v="CREDITOR"/>
    <n v="0"/>
    <n v="0"/>
    <n v="-215"/>
    <n v="0"/>
    <n v="0"/>
  </r>
  <r>
    <n v="16116379"/>
    <s v="N"/>
    <n v="21361323"/>
    <s v="3000007731850016RC"/>
    <s v="CIVIL"/>
    <d v="2023-06-28T00:00:00"/>
    <d v="2023-07-11T19:38:00"/>
    <m/>
    <d v="2023-07-11T00:00:00"/>
    <n v="534"/>
    <n v="13663"/>
    <s v="16116379"/>
    <s v="16116379"/>
    <m/>
    <m/>
    <m/>
    <m/>
    <m/>
    <m/>
    <s v="SOLRECOUP"/>
    <s v="SOLRECOUP"/>
    <s v="POARECOUP"/>
    <n v="21361323"/>
    <n v="-215"/>
    <m/>
    <s v="Y"/>
    <n v="2"/>
    <d v="2023-07-11T19:38:00"/>
    <s v="N"/>
    <m/>
    <m/>
    <s v="Non Expert Disbursement"/>
    <m/>
    <s v="N"/>
    <n v="0"/>
    <n v="0"/>
    <x v="7"/>
    <s v="VALIDATED"/>
    <n v="1"/>
    <s v="01.11.80.000.0000.0000"/>
    <n v="0"/>
    <s v="11"/>
    <s v="0000"/>
    <n v="5510.85"/>
    <n v="0"/>
    <s v="CREDITOR"/>
    <n v="0"/>
    <n v="0"/>
    <n v="0"/>
    <n v="0"/>
    <n v="0"/>
  </r>
  <r>
    <n v="16116379"/>
    <s v="N"/>
    <n v="21361324"/>
    <s v="3000007731850021RC"/>
    <s v="CIVIL"/>
    <d v="2023-06-28T00:00:00"/>
    <d v="2023-07-11T19:38:00"/>
    <m/>
    <d v="2023-07-11T00:00:00"/>
    <n v="534"/>
    <n v="13663"/>
    <s v="16116379"/>
    <s v="16116379"/>
    <m/>
    <m/>
    <m/>
    <m/>
    <m/>
    <m/>
    <s v="SOLRECOUP"/>
    <s v="SOLRECOUP"/>
    <s v="POARECOUP"/>
    <n v="21361324"/>
    <n v="-102"/>
    <m/>
    <s v="Y"/>
    <n v="1"/>
    <d v="2023-07-11T19:38:00"/>
    <s v="N"/>
    <m/>
    <m/>
    <s v="Non Expert Disbursement"/>
    <m/>
    <s v="N"/>
    <n v="-102"/>
    <n v="0"/>
    <x v="7"/>
    <s v="VALIDATED"/>
    <n v="1"/>
    <s v="01.11.80.307.2013.0000"/>
    <n v="-102"/>
    <s v="11"/>
    <s v="2013"/>
    <n v="5510.85"/>
    <n v="-102"/>
    <s v="CREDITOR"/>
    <n v="0"/>
    <n v="0"/>
    <n v="-102"/>
    <n v="0"/>
    <n v="0"/>
  </r>
  <r>
    <n v="16116379"/>
    <s v="N"/>
    <n v="21361324"/>
    <s v="3000007731850021RC"/>
    <s v="CIVIL"/>
    <d v="2023-06-28T00:00:00"/>
    <d v="2023-07-11T19:38:00"/>
    <m/>
    <d v="2023-07-11T00:00:00"/>
    <n v="534"/>
    <n v="13663"/>
    <s v="16116379"/>
    <s v="16116379"/>
    <m/>
    <m/>
    <m/>
    <m/>
    <m/>
    <m/>
    <s v="SOLRECOUP"/>
    <s v="SOLRECOUP"/>
    <s v="POARECOUP"/>
    <n v="21361324"/>
    <n v="-102"/>
    <m/>
    <s v="Y"/>
    <n v="2"/>
    <d v="2023-07-11T19:38:00"/>
    <s v="N"/>
    <m/>
    <m/>
    <s v="Non Expert Disbursement"/>
    <m/>
    <s v="N"/>
    <n v="0"/>
    <n v="0"/>
    <x v="7"/>
    <s v="VALIDATED"/>
    <n v="1"/>
    <s v="01.11.80.000.0000.0000"/>
    <n v="0"/>
    <s v="11"/>
    <s v="0000"/>
    <n v="5510.85"/>
    <n v="0"/>
    <s v="CREDITOR"/>
    <n v="0"/>
    <n v="0"/>
    <n v="0"/>
    <n v="0"/>
    <n v="0"/>
  </r>
  <r>
    <n v="16116379"/>
    <s v="N"/>
    <n v="21361325"/>
    <s v="3000007731850017RC"/>
    <s v="CIVIL"/>
    <d v="2023-06-28T00:00:00"/>
    <d v="2023-07-11T19:38:00"/>
    <m/>
    <d v="2023-07-11T00:00:00"/>
    <n v="534"/>
    <n v="13663"/>
    <s v="16116379"/>
    <s v="16116379"/>
    <m/>
    <m/>
    <m/>
    <m/>
    <m/>
    <m/>
    <s v="SOLRECOUP"/>
    <s v="SOLRECOUP"/>
    <s v="POARECOUP"/>
    <n v="21361325"/>
    <n v="-486.16"/>
    <m/>
    <s v="Y"/>
    <n v="1"/>
    <d v="2023-07-11T19:38:00"/>
    <s v="N"/>
    <m/>
    <m/>
    <s v="Non Expert Disbursement"/>
    <m/>
    <s v="N"/>
    <n v="-405.13"/>
    <n v="0"/>
    <x v="7"/>
    <s v="VALIDATED"/>
    <n v="1"/>
    <s v="01.11.80.307.2013.0000"/>
    <n v="-405.13"/>
    <s v="11"/>
    <s v="2013"/>
    <n v="5510.85"/>
    <n v="-405.13"/>
    <s v="CREDITOR"/>
    <n v="0"/>
    <n v="0"/>
    <n v="-405.13"/>
    <n v="0"/>
    <n v="0"/>
  </r>
  <r>
    <n v="16116379"/>
    <s v="N"/>
    <n v="21361325"/>
    <s v="3000007731850017RC"/>
    <s v="CIVIL"/>
    <d v="2023-06-28T00:00:00"/>
    <d v="2023-07-11T19:38:00"/>
    <m/>
    <d v="2023-07-11T00:00:00"/>
    <n v="534"/>
    <n v="13663"/>
    <s v="16116379"/>
    <s v="16116379"/>
    <m/>
    <m/>
    <m/>
    <m/>
    <m/>
    <m/>
    <s v="SOLRECOUP"/>
    <s v="SOLRECOUP"/>
    <s v="POARECOUP"/>
    <n v="21361325"/>
    <n v="-486.16"/>
    <m/>
    <s v="Y"/>
    <n v="2"/>
    <d v="2023-07-11T19:38:00"/>
    <s v="N"/>
    <m/>
    <m/>
    <s v="Non Expert Disbursement"/>
    <m/>
    <s v="N"/>
    <n v="0"/>
    <n v="-81.03"/>
    <x v="7"/>
    <s v="VALIDATED"/>
    <n v="1"/>
    <s v="01.11.80.307.2013.0000"/>
    <n v="-81.03"/>
    <s v="11"/>
    <s v="2013"/>
    <n v="5510.85"/>
    <n v="-81.03"/>
    <s v="CREDITOR"/>
    <n v="0"/>
    <n v="0"/>
    <n v="-81.03"/>
    <n v="0"/>
    <n v="0"/>
  </r>
  <r>
    <n v="16116379"/>
    <s v="N"/>
    <n v="21361326"/>
    <s v="3000007731850020RC"/>
    <s v="CIVIL"/>
    <d v="2023-06-28T00:00:00"/>
    <d v="2023-07-11T19:38:00"/>
    <m/>
    <d v="2023-07-11T00:00:00"/>
    <n v="534"/>
    <n v="13663"/>
    <s v="16116379"/>
    <s v="16116379"/>
    <m/>
    <m/>
    <m/>
    <m/>
    <m/>
    <m/>
    <s v="SOLRECOUP"/>
    <s v="SOLRECOUP"/>
    <s v="POARECOUP"/>
    <n v="21361326"/>
    <n v="-5570.39"/>
    <m/>
    <s v="Y"/>
    <n v="1"/>
    <d v="2023-07-11T19:38:00"/>
    <s v="N"/>
    <m/>
    <m/>
    <s v="Profit Cost"/>
    <m/>
    <s v="N"/>
    <n v="-4641.99"/>
    <n v="0"/>
    <x v="7"/>
    <s v="VALIDATED"/>
    <n v="1"/>
    <s v="01.11.80.307.2013.0000"/>
    <n v="-4641.99"/>
    <s v="11"/>
    <s v="2013"/>
    <n v="5510.85"/>
    <n v="-4641.99"/>
    <s v="CREDITOR"/>
    <n v="0"/>
    <n v="0"/>
    <n v="-4641.99"/>
    <n v="-1160.4975"/>
    <n v="0"/>
  </r>
  <r>
    <n v="16116379"/>
    <s v="N"/>
    <n v="21361326"/>
    <s v="3000007731850020RC"/>
    <s v="CIVIL"/>
    <d v="2023-06-28T00:00:00"/>
    <d v="2023-07-11T19:38:00"/>
    <m/>
    <d v="2023-07-11T00:00:00"/>
    <n v="534"/>
    <n v="13663"/>
    <s v="16116379"/>
    <s v="16116379"/>
    <m/>
    <m/>
    <m/>
    <m/>
    <m/>
    <m/>
    <s v="SOLRECOUP"/>
    <s v="SOLRECOUP"/>
    <s v="POARECOUP"/>
    <n v="21361326"/>
    <n v="-5570.39"/>
    <m/>
    <s v="Y"/>
    <n v="2"/>
    <d v="2023-07-11T19:38:00"/>
    <s v="N"/>
    <m/>
    <m/>
    <s v="Profit Cost"/>
    <m/>
    <s v="N"/>
    <n v="0"/>
    <n v="-928.4"/>
    <x v="7"/>
    <s v="VALIDATED"/>
    <n v="1"/>
    <s v="01.11.80.307.2013.0000"/>
    <n v="-928.4"/>
    <s v="11"/>
    <s v="2013"/>
    <n v="5510.85"/>
    <n v="-928.4"/>
    <s v="CREDITOR"/>
    <n v="0"/>
    <n v="0"/>
    <n v="-928.4"/>
    <n v="-232.1"/>
    <n v="0"/>
  </r>
  <r>
    <n v="16116379"/>
    <s v="N"/>
    <n v="21361317"/>
    <s v="3000007731850003RC"/>
    <s v="CIVIL"/>
    <d v="2023-06-28T00:00:00"/>
    <d v="2023-07-11T19:38:00"/>
    <m/>
    <d v="2023-07-11T00:00:00"/>
    <n v="534"/>
    <n v="13663"/>
    <s v="16116379"/>
    <s v="16116379"/>
    <m/>
    <m/>
    <m/>
    <m/>
    <m/>
    <m/>
    <s v="SOLRECOUP"/>
    <s v="SOLRECOUP"/>
    <s v="POARECOUP"/>
    <n v="21361317"/>
    <n v="-155"/>
    <m/>
    <s v="Y"/>
    <n v="1"/>
    <d v="2023-07-11T19:38:00"/>
    <s v="N"/>
    <m/>
    <m/>
    <s v="Non Expert Disbursement"/>
    <m/>
    <s v="N"/>
    <n v="-155"/>
    <n v="0"/>
    <x v="7"/>
    <s v="VALIDATED"/>
    <n v="1"/>
    <s v="01.11.80.307.2013.0000"/>
    <n v="-155"/>
    <s v="11"/>
    <s v="2013"/>
    <n v="5510.85"/>
    <n v="-155"/>
    <s v="CREDITOR"/>
    <n v="0"/>
    <n v="0"/>
    <n v="-155"/>
    <n v="0"/>
    <n v="0"/>
  </r>
  <r>
    <n v="16116379"/>
    <s v="N"/>
    <n v="21361317"/>
    <s v="3000007731850003RC"/>
    <s v="CIVIL"/>
    <d v="2023-06-28T00:00:00"/>
    <d v="2023-07-11T19:38:00"/>
    <m/>
    <d v="2023-07-11T00:00:00"/>
    <n v="534"/>
    <n v="13663"/>
    <s v="16116379"/>
    <s v="16116379"/>
    <m/>
    <m/>
    <m/>
    <m/>
    <m/>
    <m/>
    <s v="SOLRECOUP"/>
    <s v="SOLRECOUP"/>
    <s v="POARECOUP"/>
    <n v="21361317"/>
    <n v="-155"/>
    <m/>
    <s v="Y"/>
    <n v="2"/>
    <d v="2023-07-11T19:38:00"/>
    <s v="N"/>
    <m/>
    <m/>
    <s v="Non Expert Disbursement"/>
    <m/>
    <s v="N"/>
    <n v="0"/>
    <n v="0"/>
    <x v="7"/>
    <s v="VALIDATED"/>
    <n v="1"/>
    <s v="01.11.80.000.0000.0000"/>
    <n v="0"/>
    <s v="11"/>
    <s v="0000"/>
    <n v="5510.85"/>
    <n v="0"/>
    <s v="CREDITOR"/>
    <n v="0"/>
    <n v="0"/>
    <n v="0"/>
    <n v="0"/>
    <n v="0"/>
  </r>
  <r>
    <n v="16116379"/>
    <s v="N"/>
    <n v="21361318"/>
    <s v="3000007731850007RC"/>
    <s v="CIVIL"/>
    <d v="2023-06-28T00:00:00"/>
    <d v="2023-07-11T19:38:00"/>
    <m/>
    <d v="2023-07-11T00:00:00"/>
    <n v="534"/>
    <n v="13663"/>
    <s v="16116379"/>
    <s v="16116379"/>
    <m/>
    <m/>
    <m/>
    <m/>
    <m/>
    <m/>
    <s v="SOLRECOUP"/>
    <s v="SOLRECOUP"/>
    <s v="POARECOUP"/>
    <n v="21361318"/>
    <n v="-204.04"/>
    <m/>
    <s v="Y"/>
    <n v="1"/>
    <d v="2023-07-11T19:38:00"/>
    <s v="N"/>
    <m/>
    <m/>
    <s v="Profit Cost"/>
    <m/>
    <s v="N"/>
    <n v="-170.03"/>
    <n v="0"/>
    <x v="7"/>
    <s v="VALIDATED"/>
    <n v="1"/>
    <s v="01.11.80.307.2013.0000"/>
    <n v="-170.03"/>
    <s v="11"/>
    <s v="2013"/>
    <n v="5510.85"/>
    <n v="-170.03"/>
    <s v="CREDITOR"/>
    <n v="0"/>
    <n v="0"/>
    <n v="-170.03"/>
    <n v="-42.5075"/>
    <n v="0"/>
  </r>
  <r>
    <n v="16116379"/>
    <s v="N"/>
    <n v="21361318"/>
    <s v="3000007731850007RC"/>
    <s v="CIVIL"/>
    <d v="2023-06-28T00:00:00"/>
    <d v="2023-07-11T19:38:00"/>
    <m/>
    <d v="2023-07-11T00:00:00"/>
    <n v="534"/>
    <n v="13663"/>
    <s v="16116379"/>
    <s v="16116379"/>
    <m/>
    <m/>
    <m/>
    <m/>
    <m/>
    <m/>
    <s v="SOLRECOUP"/>
    <s v="SOLRECOUP"/>
    <s v="POARECOUP"/>
    <n v="21361318"/>
    <n v="-204.04"/>
    <m/>
    <s v="Y"/>
    <n v="2"/>
    <d v="2023-07-11T19:38:00"/>
    <s v="N"/>
    <m/>
    <m/>
    <s v="Profit Cost"/>
    <m/>
    <s v="N"/>
    <n v="0"/>
    <n v="-34.01"/>
    <x v="7"/>
    <s v="VALIDATED"/>
    <n v="1"/>
    <s v="01.11.80.307.2013.0000"/>
    <n v="-34.01"/>
    <s v="11"/>
    <s v="2013"/>
    <n v="5510.85"/>
    <n v="-34.01"/>
    <s v="CREDITOR"/>
    <n v="0"/>
    <n v="0"/>
    <n v="-34.01"/>
    <n v="-8.5025"/>
    <n v="0"/>
  </r>
  <r>
    <n v="16116379"/>
    <s v="N"/>
    <n v="21361319"/>
    <s v="3000007731850001RC"/>
    <s v="CIVIL"/>
    <d v="2023-06-28T00:00:00"/>
    <d v="2023-07-11T19:38:00"/>
    <m/>
    <d v="2023-07-11T00:00:00"/>
    <n v="534"/>
    <n v="13663"/>
    <s v="16116379"/>
    <s v="16116379"/>
    <m/>
    <m/>
    <m/>
    <m/>
    <m/>
    <m/>
    <s v="SOLRECOUP"/>
    <s v="SOLRECOUP"/>
    <s v="POARECOUP"/>
    <n v="21361319"/>
    <n v="-91.3"/>
    <m/>
    <s v="Y"/>
    <n v="1"/>
    <d v="2023-07-11T19:38:00"/>
    <s v="N"/>
    <m/>
    <m/>
    <s v="Expert Disbursement"/>
    <m/>
    <s v="N"/>
    <n v="-91.3"/>
    <n v="0"/>
    <x v="7"/>
    <s v="VALIDATED"/>
    <n v="1"/>
    <s v="01.11.80.307.2013.0000"/>
    <n v="-91.3"/>
    <s v="11"/>
    <s v="2013"/>
    <n v="5510.85"/>
    <n v="-91.3"/>
    <s v="CREDITOR"/>
    <n v="0"/>
    <n v="0"/>
    <n v="-91.3"/>
    <n v="0"/>
    <n v="0"/>
  </r>
  <r>
    <n v="16116379"/>
    <s v="N"/>
    <n v="21360475"/>
    <s v="3000007731850023"/>
    <s v="CIVIL"/>
    <d v="2023-06-28T00:00:00"/>
    <d v="2023-07-11T11:50:54"/>
    <m/>
    <d v="2023-07-11T00:00:00"/>
    <n v="534"/>
    <n v="13663"/>
    <s v="16116379"/>
    <s v="16116379"/>
    <m/>
    <m/>
    <n v="22784210"/>
    <m/>
    <m/>
    <m/>
    <s v="SOLFIN"/>
    <s v="SOLFIN"/>
    <s v="CCMS"/>
    <n v="21360475"/>
    <n v="14764.95"/>
    <m/>
    <s v="N"/>
    <n v="107"/>
    <d v="2023-07-11T11:51:05"/>
    <s v="Y"/>
    <s v="Attendance upon client"/>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114"/>
    <d v="2023-07-11T11:51:05"/>
    <s v="Y"/>
    <s v="Attendance upon client"/>
    <s v="Prescribed Hourly Rates"/>
    <s v="Profit Cost"/>
    <s v="CF"/>
    <s v="Y"/>
    <n v="10.98"/>
    <n v="2.2"/>
    <x v="7"/>
    <s v="VALIDATED"/>
    <n v="1"/>
    <s v="01.11.80.307.6100.0000"/>
    <n v="10.98"/>
    <s v="11"/>
    <s v="6100"/>
    <n v="5510.85"/>
    <n v="10.98"/>
    <s v="CREDITOR"/>
    <n v="0"/>
    <n v="0"/>
    <n v="0"/>
    <n v="0"/>
    <n v="10.98"/>
  </r>
  <r>
    <n v="62327592"/>
    <s v="N"/>
    <n v="21319681"/>
    <s v="3000016315190003"/>
    <s v="CIVIL"/>
    <d v="2023-06-26T00:00:00"/>
    <d v="2023-07-03T19:04:24"/>
    <m/>
    <d v="2023-07-03T00:00:00"/>
    <n v="534"/>
    <n v="13663"/>
    <s v="62327592"/>
    <s v="62327592"/>
    <m/>
    <m/>
    <n v="22764370"/>
    <m/>
    <m/>
    <m/>
    <s v="SOLPOA"/>
    <s v="SOLPOA"/>
    <s v="CCMS"/>
    <n v="21319681"/>
    <n v="276.16"/>
    <m/>
    <s v="N"/>
    <n v="1"/>
    <d v="2023-07-03T19:04:27"/>
    <s v="N"/>
    <s v="Expert Cost"/>
    <s v="Expert Cost"/>
    <s v="Expert Disbursement"/>
    <s v="SARBJIT MUNDAY"/>
    <s v="N"/>
    <n v="230.13"/>
    <n v="46.03"/>
    <x v="3"/>
    <s v="VALIDATED"/>
    <n v="1"/>
    <s v="01.11.80.308.2012.0000"/>
    <n v="230.13"/>
    <s v="11"/>
    <s v="2012"/>
    <n v="5510.85"/>
    <n v="230.13"/>
    <s v="CREDITOR"/>
    <n v="230.13"/>
    <n v="0"/>
    <n v="0"/>
    <n v="0"/>
    <n v="0"/>
  </r>
  <r>
    <n v="16116379"/>
    <s v="N"/>
    <n v="21360475"/>
    <s v="3000007731850023"/>
    <s v="CIVIL"/>
    <d v="2023-06-28T00:00:00"/>
    <d v="2023-07-11T11:50:54"/>
    <m/>
    <d v="2023-07-11T00:00:00"/>
    <n v="534"/>
    <n v="13663"/>
    <s v="16116379"/>
    <s v="16116379"/>
    <m/>
    <m/>
    <n v="22784210"/>
    <m/>
    <m/>
    <m/>
    <s v="SOLFIN"/>
    <s v="SOLFIN"/>
    <s v="CCMS"/>
    <n v="21360475"/>
    <n v="14764.95"/>
    <m/>
    <s v="N"/>
    <n v="113"/>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4"/>
    <d v="2023-07-11T11:51:05"/>
    <s v="Y"/>
    <s v="Court Fee"/>
    <s v="Prescribed Hourly Rates"/>
    <s v="Non Expert Disbursement"/>
    <s v="XXX"/>
    <s v="Y"/>
    <n v="155"/>
    <n v="0"/>
    <x v="7"/>
    <s v="VALIDATED"/>
    <n v="1"/>
    <s v="01.11.80.307.6300.0000"/>
    <n v="155"/>
    <s v="11"/>
    <s v="6300"/>
    <n v="5510.85"/>
    <n v="155"/>
    <s v="CREDITOR"/>
    <n v="0"/>
    <n v="0"/>
    <n v="0"/>
    <n v="0"/>
    <n v="155"/>
  </r>
  <r>
    <n v="16116379"/>
    <s v="N"/>
    <n v="21360475"/>
    <s v="3000007731850023"/>
    <s v="CIVIL"/>
    <d v="2023-06-28T00:00:00"/>
    <d v="2023-07-11T11:50:54"/>
    <m/>
    <d v="2023-07-11T00:00:00"/>
    <n v="534"/>
    <n v="13663"/>
    <s v="16116379"/>
    <s v="16116379"/>
    <m/>
    <m/>
    <n v="22784210"/>
    <m/>
    <m/>
    <m/>
    <s v="SOLFIN"/>
    <s v="SOLFIN"/>
    <s v="CCMS"/>
    <n v="21360475"/>
    <n v="14764.95"/>
    <m/>
    <s v="N"/>
    <n v="38"/>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57"/>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51"/>
    <d v="2023-07-11T11:51:05"/>
    <s v="Y"/>
    <s v="Preparation - drafting instructions"/>
    <s v="Prescribed Hourly Rates"/>
    <s v="Profit Cost"/>
    <s v="KM"/>
    <s v="Y"/>
    <n v="63.14"/>
    <n v="12.63"/>
    <x v="7"/>
    <s v="VALIDATED"/>
    <n v="1"/>
    <s v="01.11.80.307.6100.0000"/>
    <n v="63.14"/>
    <s v="11"/>
    <s v="6100"/>
    <n v="5510.85"/>
    <n v="63.14"/>
    <s v="CREDITOR"/>
    <n v="0"/>
    <n v="0"/>
    <n v="0"/>
    <n v="0"/>
    <n v="63.14"/>
  </r>
  <r>
    <n v="16116379"/>
    <s v="N"/>
    <n v="21360475"/>
    <s v="3000007731850023"/>
    <s v="CIVIL"/>
    <d v="2023-06-28T00:00:00"/>
    <d v="2023-07-11T11:50:54"/>
    <m/>
    <d v="2023-07-11T00:00:00"/>
    <n v="534"/>
    <n v="13663"/>
    <s v="16116379"/>
    <s v="16116379"/>
    <m/>
    <m/>
    <n v="22784210"/>
    <m/>
    <m/>
    <m/>
    <s v="SOLFIN"/>
    <s v="SOLFIN"/>
    <s v="CCMS"/>
    <n v="21360475"/>
    <n v="14764.95"/>
    <m/>
    <s v="N"/>
    <n v="130"/>
    <d v="2023-07-11T11:51:05"/>
    <s v="Y"/>
    <s v="Attendance upon client"/>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3"/>
    <d v="2023-07-11T11:51:05"/>
    <s v="Y"/>
    <s v="Police Records"/>
    <s v="Prescribed Hourly Rates"/>
    <s v="Non Expert Disbursement"/>
    <s v="XXX"/>
    <s v="Y"/>
    <n v="76.08"/>
    <n v="15.22"/>
    <x v="7"/>
    <s v="VALIDATED"/>
    <n v="1"/>
    <s v="01.11.80.307.6300.0000"/>
    <n v="76.08"/>
    <s v="11"/>
    <s v="6300"/>
    <n v="5510.85"/>
    <n v="76.08"/>
    <s v="CREDITOR"/>
    <n v="0"/>
    <n v="0"/>
    <n v="0"/>
    <n v="0"/>
    <n v="76.08"/>
  </r>
  <r>
    <n v="16116379"/>
    <s v="N"/>
    <n v="21360475"/>
    <s v="3000007731850023"/>
    <s v="CIVIL"/>
    <d v="2023-06-28T00:00:00"/>
    <d v="2023-07-11T11:50:54"/>
    <m/>
    <d v="2023-07-11T00:00:00"/>
    <n v="534"/>
    <n v="13663"/>
    <s v="16116379"/>
    <s v="16116379"/>
    <m/>
    <m/>
    <n v="22784210"/>
    <m/>
    <m/>
    <m/>
    <s v="SOLFIN"/>
    <s v="SOLFIN"/>
    <s v="CCMS"/>
    <n v="21360475"/>
    <n v="14764.95"/>
    <m/>
    <s v="N"/>
    <n v="153"/>
    <d v="2023-07-11T11:51:05"/>
    <s v="Y"/>
    <s v="Routine Telephone Call"/>
    <s v="Prescribed Hourly Rates"/>
    <s v="Profit Cost"/>
    <s v="KM"/>
    <s v="Y"/>
    <n v="273.24"/>
    <n v="54.65"/>
    <x v="7"/>
    <s v="VALIDATED"/>
    <n v="1"/>
    <s v="01.11.80.307.6100.0000"/>
    <n v="273.24"/>
    <s v="11"/>
    <s v="6100"/>
    <n v="5510.85"/>
    <n v="273.24"/>
    <s v="CREDITOR"/>
    <n v="0"/>
    <n v="0"/>
    <n v="0"/>
    <n v="0"/>
    <n v="273.24"/>
  </r>
  <r>
    <n v="60121206"/>
    <s v="N"/>
    <n v="21382322"/>
    <s v="3000014450460009"/>
    <s v="CIVIL"/>
    <d v="2023-06-30T00:00:00"/>
    <d v="2023-07-17T19:01:46"/>
    <m/>
    <d v="2023-07-17T00:00:00"/>
    <n v="534"/>
    <n v="13663"/>
    <s v="60121206"/>
    <s v="60121206"/>
    <m/>
    <m/>
    <n v="22798194"/>
    <m/>
    <m/>
    <m/>
    <s v="SOLFIN"/>
    <s v="SOLFIN"/>
    <s v="CCMS"/>
    <n v="21382322"/>
    <n v="5869.52"/>
    <m/>
    <s v="N"/>
    <n v="1"/>
    <d v="2023-07-17T19:02:06"/>
    <s v="Y"/>
    <s v="Psychologist"/>
    <s v="Public Law Children"/>
    <s v="Expert Disbursement"/>
    <s v="ROBERT MAHER"/>
    <s v="Y"/>
    <n v="1062.13"/>
    <n v="212.43"/>
    <x v="8"/>
    <s v="VALIDATED"/>
    <n v="1"/>
    <s v="01.11.80.308.6300.0000"/>
    <n v="1062.13"/>
    <s v="11"/>
    <s v="6300"/>
    <n v="5510.85"/>
    <n v="1062.13"/>
    <s v="CREDITOR"/>
    <n v="0"/>
    <n v="0"/>
    <n v="0"/>
    <n v="0"/>
    <n v="1062.13"/>
  </r>
  <r>
    <n v="16116379"/>
    <s v="N"/>
    <n v="21360475"/>
    <s v="3000007731850023"/>
    <s v="CIVIL"/>
    <d v="2023-06-28T00:00:00"/>
    <d v="2023-07-11T11:50:54"/>
    <m/>
    <d v="2023-07-11T00:00:00"/>
    <n v="534"/>
    <n v="13663"/>
    <s v="16116379"/>
    <s v="16116379"/>
    <m/>
    <m/>
    <n v="22784210"/>
    <m/>
    <m/>
    <m/>
    <s v="SOLFIN"/>
    <s v="SOLFIN"/>
    <s v="CCMS"/>
    <n v="21360475"/>
    <n v="14764.95"/>
    <m/>
    <s v="N"/>
    <n v="8"/>
    <d v="2023-07-11T11:51:05"/>
    <s v="N"/>
    <s v="Level 3 &amp; Enforcement Fixed Fee"/>
    <s v="Private Law Children"/>
    <s v="Profit Cost"/>
    <s v="XXX"/>
    <s v="N"/>
    <n v="0"/>
    <n v="0"/>
    <x v="7"/>
    <s v="VALIDATED"/>
    <n v="1"/>
    <s v="01.11.80.307.6100.0000"/>
    <n v="0"/>
    <s v="11"/>
    <s v="6100"/>
    <n v="5510.85"/>
    <n v="0"/>
    <s v="CREDITOR"/>
    <n v="0"/>
    <n v="0"/>
    <n v="0"/>
    <n v="0"/>
    <n v="0"/>
  </r>
  <r>
    <n v="16116379"/>
    <s v="N"/>
    <n v="21360475"/>
    <s v="3000007731850023"/>
    <s v="CIVIL"/>
    <d v="2023-06-28T00:00:00"/>
    <d v="2023-07-11T11:50:54"/>
    <m/>
    <d v="2023-07-11T00:00:00"/>
    <n v="534"/>
    <n v="13663"/>
    <s v="16116379"/>
    <s v="16116379"/>
    <m/>
    <m/>
    <n v="22784210"/>
    <m/>
    <m/>
    <m/>
    <s v="SOLFIN"/>
    <s v="SOLFIN"/>
    <s v="CCMS"/>
    <n v="21360475"/>
    <n v="14764.95"/>
    <m/>
    <s v="N"/>
    <n v="15"/>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57"/>
    <d v="2023-07-11T11:51:05"/>
    <s v="Y"/>
    <s v="Routine Letter In"/>
    <s v="Prescribed Hourly Rates"/>
    <s v="Profit Cost"/>
    <s v="KM"/>
    <s v="Y"/>
    <n v="2285.28"/>
    <n v="456.97"/>
    <x v="7"/>
    <s v="VALIDATED"/>
    <n v="1"/>
    <s v="01.11.80.307.6100.0000"/>
    <n v="2285.28"/>
    <s v="11"/>
    <s v="6100"/>
    <n v="5510.85"/>
    <n v="2285.28"/>
    <s v="CREDITOR"/>
    <n v="0"/>
    <n v="0"/>
    <n v="0"/>
    <n v="0"/>
    <n v="2285.28"/>
  </r>
  <r>
    <n v="16116379"/>
    <s v="N"/>
    <n v="21360475"/>
    <s v="3000007731850023"/>
    <s v="CIVIL"/>
    <d v="2023-06-28T00:00:00"/>
    <d v="2023-07-11T11:50:54"/>
    <m/>
    <d v="2023-07-11T00:00:00"/>
    <n v="534"/>
    <n v="13663"/>
    <s v="16116379"/>
    <s v="16116379"/>
    <m/>
    <m/>
    <n v="22784210"/>
    <m/>
    <m/>
    <m/>
    <s v="SOLFIN"/>
    <s v="SOLFIN"/>
    <s v="CCMS"/>
    <n v="21360475"/>
    <n v="14764.95"/>
    <m/>
    <s v="N"/>
    <n v="146"/>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78"/>
    <d v="2023-07-11T11:51:05"/>
    <s v="Y"/>
    <s v="Attendance upon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17"/>
    <d v="2023-07-11T11:51:05"/>
    <s v="Y"/>
    <s v="Preparation - other"/>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67"/>
    <d v="2023-07-11T11:51:05"/>
    <s v="Y"/>
    <s v="Attendance upon client"/>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127"/>
    <d v="2023-07-11T11:51:05"/>
    <s v="Y"/>
    <s v="Attendance upon other"/>
    <s v="Prescribed Hourly Rates"/>
    <s v="Profit Cost"/>
    <s v="KM"/>
    <s v="Y"/>
    <n v="25.25"/>
    <n v="5.05"/>
    <x v="7"/>
    <s v="VALIDATED"/>
    <n v="1"/>
    <s v="01.11.80.307.6100.0000"/>
    <n v="25.25"/>
    <s v="11"/>
    <s v="6100"/>
    <n v="5510.85"/>
    <n v="25.25"/>
    <s v="CREDITOR"/>
    <n v="0"/>
    <n v="0"/>
    <n v="0"/>
    <n v="0"/>
    <n v="25.25"/>
  </r>
  <r>
    <n v="60245115"/>
    <s v="N"/>
    <n v="21320995"/>
    <s v="3000014555230017"/>
    <s v="CIVIL"/>
    <d v="2023-06-28T00:00:00"/>
    <d v="2023-07-03T19:04:52"/>
    <m/>
    <d v="2023-07-03T00:00:00"/>
    <n v="534"/>
    <n v="13663"/>
    <s v="60245115"/>
    <s v="60245115"/>
    <m/>
    <m/>
    <n v="22779348"/>
    <m/>
    <m/>
    <m/>
    <s v="SOLPOA"/>
    <s v="SOLPOA"/>
    <s v="CCMS"/>
    <n v="21320995"/>
    <n v="88.8"/>
    <m/>
    <s v="N"/>
    <n v="1"/>
    <d v="2023-07-03T19:04:57"/>
    <s v="N"/>
    <s v="Expert Cost"/>
    <s v="Expert Cost"/>
    <s v="Expert Disbursement"/>
    <s v="SARBJIT MUNDAY"/>
    <s v="N"/>
    <n v="74"/>
    <n v="14.8"/>
    <x v="3"/>
    <s v="VALIDATED"/>
    <n v="1"/>
    <s v="01.11.80.308.2012.0000"/>
    <n v="74"/>
    <s v="11"/>
    <s v="2012"/>
    <n v="5510.85"/>
    <n v="74"/>
    <s v="CREDITOR"/>
    <n v="74"/>
    <n v="0"/>
    <n v="0"/>
    <n v="0"/>
    <n v="0"/>
  </r>
  <r>
    <n v="16116379"/>
    <s v="N"/>
    <n v="21360475"/>
    <s v="3000007731850023"/>
    <s v="CIVIL"/>
    <d v="2023-06-28T00:00:00"/>
    <d v="2023-07-11T11:50:54"/>
    <m/>
    <d v="2023-07-11T00:00:00"/>
    <n v="534"/>
    <n v="13663"/>
    <s v="16116379"/>
    <s v="16116379"/>
    <m/>
    <m/>
    <n v="22784210"/>
    <m/>
    <m/>
    <m/>
    <s v="SOLFIN"/>
    <s v="SOLFIN"/>
    <s v="CCMS"/>
    <n v="21360475"/>
    <n v="14764.95"/>
    <m/>
    <s v="N"/>
    <n v="39"/>
    <d v="2023-07-11T11:51:05"/>
    <s v="Y"/>
    <s v="Preparation - other"/>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21"/>
    <d v="2023-07-11T11:51:05"/>
    <s v="Y"/>
    <s v="Preparation - drafting statement"/>
    <s v="Prescribed Hourly Rates"/>
    <s v="Profit Cost"/>
    <s v="KM"/>
    <s v="Y"/>
    <n v="113.64"/>
    <n v="22.73"/>
    <x v="7"/>
    <s v="VALIDATED"/>
    <n v="1"/>
    <s v="01.11.80.307.6100.0000"/>
    <n v="113.64"/>
    <s v="11"/>
    <s v="6100"/>
    <n v="5510.85"/>
    <n v="113.64"/>
    <s v="CREDITOR"/>
    <n v="0"/>
    <n v="0"/>
    <n v="0"/>
    <n v="0"/>
    <n v="113.64"/>
  </r>
  <r>
    <n v="60121206"/>
    <s v="N"/>
    <n v="21382322"/>
    <s v="3000014450460009"/>
    <s v="CIVIL"/>
    <d v="2023-06-30T00:00:00"/>
    <d v="2023-07-17T19:01:46"/>
    <m/>
    <d v="2023-07-17T00:00:00"/>
    <n v="534"/>
    <n v="13663"/>
    <s v="60121206"/>
    <s v="60121206"/>
    <m/>
    <m/>
    <n v="22798194"/>
    <m/>
    <m/>
    <m/>
    <s v="SOLFIN"/>
    <s v="SOLFIN"/>
    <s v="CCMS"/>
    <n v="21382322"/>
    <n v="5869.52"/>
    <m/>
    <s v="N"/>
    <n v="9"/>
    <d v="2023-07-17T19:02:06"/>
    <s v="Y"/>
    <s v="Hearing Unit 2.31 - 5.00 Hours"/>
    <s v="Public Law Children"/>
    <s v="Advocacy"/>
    <s v="SARBJIT MUNDAY"/>
    <s v="Y"/>
    <n v="433.62"/>
    <n v="86.72"/>
    <x v="8"/>
    <s v="VALIDATED"/>
    <n v="1"/>
    <s v="01.11.80.308.6100.0000"/>
    <n v="433.62"/>
    <s v="11"/>
    <s v="6100"/>
    <n v="5510.85"/>
    <n v="433.62"/>
    <s v="CREDITOR"/>
    <n v="0"/>
    <n v="0"/>
    <n v="0"/>
    <n v="0"/>
    <n v="433.62"/>
  </r>
  <r>
    <n v="16116379"/>
    <s v="N"/>
    <n v="21360475"/>
    <s v="3000007731850023"/>
    <s v="CIVIL"/>
    <d v="2023-06-28T00:00:00"/>
    <d v="2023-07-11T11:50:54"/>
    <m/>
    <d v="2023-07-11T00:00:00"/>
    <n v="534"/>
    <n v="13663"/>
    <s v="16116379"/>
    <s v="16116379"/>
    <m/>
    <m/>
    <n v="22784210"/>
    <m/>
    <m/>
    <m/>
    <s v="SOLFIN"/>
    <s v="SOLFIN"/>
    <s v="CCMS"/>
    <n v="21360475"/>
    <n v="14764.95"/>
    <m/>
    <s v="N"/>
    <n v="43"/>
    <d v="2023-07-11T11:51:05"/>
    <s v="Y"/>
    <s v="Preparation - drafting instructions"/>
    <s v="Prescribed Hourly Rates"/>
    <s v="Profit Cost"/>
    <s v="KM"/>
    <s v="Y"/>
    <n v="37.88"/>
    <n v="7.58"/>
    <x v="7"/>
    <s v="VALIDATED"/>
    <n v="1"/>
    <s v="01.11.80.307.6100.0000"/>
    <n v="37.88"/>
    <s v="11"/>
    <s v="6100"/>
    <n v="5510.85"/>
    <n v="37.88"/>
    <s v="CREDITOR"/>
    <n v="0"/>
    <n v="0"/>
    <n v="0"/>
    <n v="0"/>
    <n v="37.88"/>
  </r>
  <r>
    <n v="16116379"/>
    <s v="N"/>
    <n v="21360475"/>
    <s v="3000007731850023"/>
    <s v="CIVIL"/>
    <d v="2023-06-28T00:00:00"/>
    <d v="2023-07-11T11:50:54"/>
    <m/>
    <d v="2023-07-11T00:00:00"/>
    <n v="534"/>
    <n v="13663"/>
    <s v="16116379"/>
    <s v="16116379"/>
    <m/>
    <m/>
    <n v="22784210"/>
    <m/>
    <m/>
    <m/>
    <s v="SOLFIN"/>
    <s v="SOLFIN"/>
    <s v="CCMS"/>
    <n v="21360475"/>
    <n v="14764.95"/>
    <m/>
    <s v="N"/>
    <n v="91"/>
    <d v="2023-07-11T11:51:05"/>
    <s v="Y"/>
    <s v="Preparation - drafting instructions"/>
    <s v="Prescribed Hourly Rates"/>
    <s v="Profit Cost"/>
    <s v="KM"/>
    <s v="Y"/>
    <n v="44.19"/>
    <n v="8.84"/>
    <x v="7"/>
    <s v="VALIDATED"/>
    <n v="1"/>
    <s v="01.11.80.307.6100.0000"/>
    <n v="44.19"/>
    <s v="11"/>
    <s v="6100"/>
    <n v="5510.85"/>
    <n v="44.19"/>
    <s v="CREDITOR"/>
    <n v="0"/>
    <n v="0"/>
    <n v="0"/>
    <n v="0"/>
    <n v="44.19"/>
  </r>
  <r>
    <n v="16116379"/>
    <s v="N"/>
    <n v="21360475"/>
    <s v="3000007731850023"/>
    <s v="CIVIL"/>
    <d v="2023-06-28T00:00:00"/>
    <d v="2023-07-11T11:50:54"/>
    <m/>
    <d v="2023-07-11T00:00:00"/>
    <n v="534"/>
    <n v="13663"/>
    <s v="16116379"/>
    <s v="16116379"/>
    <m/>
    <m/>
    <n v="22784210"/>
    <m/>
    <m/>
    <m/>
    <s v="SOLFIN"/>
    <s v="SOLFIN"/>
    <s v="CCMS"/>
    <n v="21360475"/>
    <n v="14764.95"/>
    <m/>
    <s v="N"/>
    <n v="96"/>
    <d v="2023-07-11T11:51:05"/>
    <s v="Y"/>
    <s v="Attendance upon client"/>
    <s v="Prescribed Hourly Rates"/>
    <s v="Profit Cost"/>
    <s v="KM"/>
    <s v="Y"/>
    <n v="63.14"/>
    <n v="12.63"/>
    <x v="7"/>
    <s v="VALIDATED"/>
    <n v="1"/>
    <s v="01.11.80.307.6100.0000"/>
    <n v="63.14"/>
    <s v="11"/>
    <s v="6100"/>
    <n v="5510.85"/>
    <n v="63.14"/>
    <s v="CREDITOR"/>
    <n v="0"/>
    <n v="0"/>
    <n v="0"/>
    <n v="0"/>
    <n v="63.14"/>
  </r>
  <r>
    <n v="16116379"/>
    <s v="N"/>
    <n v="21360475"/>
    <s v="3000007731850023"/>
    <s v="CIVIL"/>
    <d v="2023-06-28T00:00:00"/>
    <d v="2023-07-11T11:50:54"/>
    <m/>
    <d v="2023-07-11T00:00:00"/>
    <n v="534"/>
    <n v="13663"/>
    <s v="16116379"/>
    <s v="16116379"/>
    <m/>
    <m/>
    <n v="22784210"/>
    <m/>
    <m/>
    <m/>
    <s v="SOLFIN"/>
    <s v="SOLFIN"/>
    <s v="CCMS"/>
    <n v="21360475"/>
    <n v="14764.95"/>
    <m/>
    <s v="N"/>
    <n v="118"/>
    <d v="2023-07-11T11:51:05"/>
    <s v="Y"/>
    <s v="Preparation - other"/>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106"/>
    <d v="2023-07-11T11:51:05"/>
    <s v="Y"/>
    <s v="Attendance upon client"/>
    <s v="Prescribed Hourly Rates"/>
    <s v="Profit Cost"/>
    <s v="KM"/>
    <s v="Y"/>
    <n v="18.94"/>
    <n v="3.79"/>
    <x v="7"/>
    <s v="VALIDATED"/>
    <n v="1"/>
    <s v="01.11.80.307.6100.0000"/>
    <n v="18.94"/>
    <s v="11"/>
    <s v="6100"/>
    <n v="5510.85"/>
    <n v="18.94"/>
    <s v="CREDITOR"/>
    <n v="0"/>
    <n v="0"/>
    <n v="0"/>
    <n v="0"/>
    <n v="18.94"/>
  </r>
  <r>
    <n v="60121206"/>
    <s v="N"/>
    <n v="21382322"/>
    <s v="3000014450460009"/>
    <s v="CIVIL"/>
    <d v="2023-06-30T00:00:00"/>
    <d v="2023-07-17T19:01:46"/>
    <m/>
    <d v="2023-07-17T00:00:00"/>
    <n v="534"/>
    <n v="13663"/>
    <s v="60121206"/>
    <s v="60121206"/>
    <m/>
    <m/>
    <n v="22798194"/>
    <m/>
    <m/>
    <m/>
    <s v="SOLFIN"/>
    <s v="SOLFIN"/>
    <s v="CCMS"/>
    <n v="21382322"/>
    <n v="5869.52"/>
    <m/>
    <s v="N"/>
    <n v="8"/>
    <d v="2023-07-17T19:02:06"/>
    <s v="Y"/>
    <s v="Advocates Meeting"/>
    <s v="Public Law Children"/>
    <s v="Advocacy"/>
    <s v="SARBJIT MUNDAY"/>
    <s v="Y"/>
    <n v="128.16"/>
    <n v="25.63"/>
    <x v="8"/>
    <s v="VALIDATED"/>
    <n v="1"/>
    <s v="01.11.80.308.6100.0000"/>
    <n v="128.16"/>
    <s v="11"/>
    <s v="6100"/>
    <n v="5510.85"/>
    <n v="128.16"/>
    <s v="CREDITOR"/>
    <n v="0"/>
    <n v="0"/>
    <n v="0"/>
    <n v="0"/>
    <n v="128.16"/>
  </r>
  <r>
    <n v="16116379"/>
    <s v="N"/>
    <n v="21360475"/>
    <s v="3000007731850023"/>
    <s v="CIVIL"/>
    <d v="2023-06-28T00:00:00"/>
    <d v="2023-07-11T11:50:54"/>
    <m/>
    <d v="2023-07-11T00:00:00"/>
    <n v="534"/>
    <n v="13663"/>
    <s v="16116379"/>
    <s v="16116379"/>
    <m/>
    <m/>
    <n v="22784210"/>
    <m/>
    <m/>
    <m/>
    <s v="SOLFIN"/>
    <s v="SOLFIN"/>
    <s v="CCMS"/>
    <n v="21360475"/>
    <n v="14764.95"/>
    <m/>
    <s v="N"/>
    <n v="83"/>
    <d v="2023-07-11T11:51:05"/>
    <s v="Y"/>
    <s v="Attendance upon client"/>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55"/>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72"/>
    <d v="2023-07-11T11:51:05"/>
    <s v="Y"/>
    <s v="Attendance upon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20"/>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53"/>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94"/>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34"/>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42"/>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155"/>
    <d v="2023-07-11T11:51:05"/>
    <s v="Y"/>
    <s v="Routine Letter Out"/>
    <s v="Prescribed Hourly Rates"/>
    <s v="Profit Cost"/>
    <s v="KM"/>
    <s v="Y"/>
    <n v="2216.97"/>
    <n v="443.43"/>
    <x v="7"/>
    <s v="VALIDATED"/>
    <n v="1"/>
    <s v="01.11.80.307.6100.0000"/>
    <n v="2216.97"/>
    <s v="11"/>
    <s v="6100"/>
    <n v="5510.85"/>
    <n v="2216.97"/>
    <s v="CREDITOR"/>
    <n v="0"/>
    <n v="0"/>
    <n v="0"/>
    <n v="0"/>
    <n v="2216.97"/>
  </r>
  <r>
    <n v="16116379"/>
    <s v="N"/>
    <n v="21360475"/>
    <s v="3000007731850023"/>
    <s v="CIVIL"/>
    <d v="2023-06-28T00:00:00"/>
    <d v="2023-07-11T11:50:54"/>
    <m/>
    <d v="2023-07-11T00:00:00"/>
    <n v="534"/>
    <n v="13663"/>
    <s v="16116379"/>
    <s v="16116379"/>
    <m/>
    <m/>
    <n v="22784210"/>
    <m/>
    <m/>
    <m/>
    <s v="SOLFIN"/>
    <s v="SOLFIN"/>
    <s v="CCMS"/>
    <n v="21360475"/>
    <n v="14764.95"/>
    <m/>
    <s v="N"/>
    <n v="79"/>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22"/>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29"/>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37"/>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50"/>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02"/>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143"/>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40"/>
    <d v="2023-07-11T11:51:05"/>
    <s v="Y"/>
    <s v="Preparation - other"/>
    <s v="Prescribed Hourly Rates"/>
    <s v="Profit Cost"/>
    <s v="KM"/>
    <s v="Y"/>
    <n v="12.63"/>
    <n v="2.53"/>
    <x v="7"/>
    <s v="VALIDATED"/>
    <n v="1"/>
    <s v="01.11.80.307.6100.0000"/>
    <n v="12.63"/>
    <s v="11"/>
    <s v="6100"/>
    <n v="5510.85"/>
    <n v="12.63"/>
    <s v="CREDITOR"/>
    <n v="0"/>
    <n v="0"/>
    <n v="0"/>
    <n v="0"/>
    <n v="12.63"/>
  </r>
  <r>
    <n v="60121206"/>
    <s v="N"/>
    <n v="21387987"/>
    <s v="3000014450460003RC"/>
    <s v="CIVIL"/>
    <d v="2023-06-30T00:00:00"/>
    <d v="2023-07-17T19:42:13"/>
    <m/>
    <d v="2023-07-17T00:00:00"/>
    <n v="534"/>
    <n v="13663"/>
    <s v="60121206"/>
    <s v="60121206"/>
    <m/>
    <m/>
    <m/>
    <m/>
    <m/>
    <m/>
    <s v="SOLRECOUP"/>
    <s v="SOLRECOUP"/>
    <s v="POARECOUP"/>
    <n v="21387987"/>
    <n v="-1274.56"/>
    <m/>
    <s v="Y"/>
    <n v="1"/>
    <d v="2023-07-17T19:42:14"/>
    <s v="N"/>
    <m/>
    <m/>
    <s v="Expert Disbursement"/>
    <m/>
    <s v="N"/>
    <n v="-1062.13"/>
    <n v="0"/>
    <x v="8"/>
    <s v="VALIDATED"/>
    <n v="1"/>
    <s v="01.11.80.308.2013.0000"/>
    <n v="-1062.13"/>
    <s v="11"/>
    <s v="2013"/>
    <n v="5510.85"/>
    <n v="-1062.13"/>
    <s v="CREDITOR"/>
    <n v="0"/>
    <n v="0"/>
    <n v="-1062.13"/>
    <n v="0"/>
    <n v="0"/>
  </r>
  <r>
    <n v="60121206"/>
    <s v="N"/>
    <n v="21387987"/>
    <s v="3000014450460003RC"/>
    <s v="CIVIL"/>
    <d v="2023-06-30T00:00:00"/>
    <d v="2023-07-17T19:42:13"/>
    <m/>
    <d v="2023-07-17T00:00:00"/>
    <n v="534"/>
    <n v="13663"/>
    <s v="60121206"/>
    <s v="60121206"/>
    <m/>
    <m/>
    <m/>
    <m/>
    <m/>
    <m/>
    <s v="SOLRECOUP"/>
    <s v="SOLRECOUP"/>
    <s v="POARECOUP"/>
    <n v="21387987"/>
    <n v="-1274.56"/>
    <m/>
    <s v="Y"/>
    <n v="2"/>
    <d v="2023-07-17T19:42:14"/>
    <s v="N"/>
    <m/>
    <m/>
    <s v="Expert Disbursement"/>
    <m/>
    <s v="N"/>
    <n v="0"/>
    <n v="-212.43"/>
    <x v="8"/>
    <s v="VALIDATED"/>
    <n v="1"/>
    <s v="01.11.80.308.2013.0000"/>
    <n v="-212.43"/>
    <s v="11"/>
    <s v="2013"/>
    <n v="5510.85"/>
    <n v="-212.43"/>
    <s v="CREDITOR"/>
    <n v="0"/>
    <n v="0"/>
    <n v="-212.43"/>
    <n v="0"/>
    <n v="0"/>
  </r>
  <r>
    <n v="60121206"/>
    <s v="N"/>
    <n v="21387988"/>
    <s v="3000014450460005RC"/>
    <s v="CIVIL"/>
    <d v="2023-06-30T00:00:00"/>
    <d v="2023-07-17T19:42:13"/>
    <m/>
    <d v="2023-07-17T00:00:00"/>
    <n v="534"/>
    <n v="13663"/>
    <s v="60121206"/>
    <s v="60121206"/>
    <m/>
    <m/>
    <m/>
    <m/>
    <m/>
    <m/>
    <s v="SOLRECOUP"/>
    <s v="SOLRECOUP"/>
    <s v="POARECOUP"/>
    <n v="21387988"/>
    <n v="-243"/>
    <m/>
    <s v="Y"/>
    <n v="2"/>
    <d v="2023-07-17T19:42:14"/>
    <s v="N"/>
    <m/>
    <m/>
    <s v="Expert Disbursement"/>
    <m/>
    <s v="N"/>
    <n v="0"/>
    <n v="0"/>
    <x v="8"/>
    <s v="VALIDATED"/>
    <n v="1"/>
    <s v="01.11.80.000.0000.0000"/>
    <n v="0"/>
    <s v="11"/>
    <s v="0000"/>
    <n v="5510.85"/>
    <n v="0"/>
    <s v="CREDITOR"/>
    <n v="0"/>
    <n v="0"/>
    <n v="0"/>
    <n v="0"/>
    <n v="0"/>
  </r>
  <r>
    <n v="60121206"/>
    <s v="N"/>
    <n v="21387988"/>
    <s v="3000014450460005RC"/>
    <s v="CIVIL"/>
    <d v="2023-06-30T00:00:00"/>
    <d v="2023-07-17T19:42:13"/>
    <m/>
    <d v="2023-07-17T00:00:00"/>
    <n v="534"/>
    <n v="13663"/>
    <s v="60121206"/>
    <s v="60121206"/>
    <m/>
    <m/>
    <m/>
    <m/>
    <m/>
    <m/>
    <s v="SOLRECOUP"/>
    <s v="SOLRECOUP"/>
    <s v="POARECOUP"/>
    <n v="21387988"/>
    <n v="-243"/>
    <m/>
    <s v="Y"/>
    <n v="1"/>
    <d v="2023-07-17T19:42:14"/>
    <s v="N"/>
    <m/>
    <m/>
    <s v="Expert Disbursement"/>
    <m/>
    <s v="N"/>
    <n v="-243"/>
    <n v="0"/>
    <x v="8"/>
    <s v="VALIDATED"/>
    <n v="1"/>
    <s v="01.11.80.308.2013.0000"/>
    <n v="-243"/>
    <s v="11"/>
    <s v="2013"/>
    <n v="5510.85"/>
    <n v="-243"/>
    <s v="CREDITOR"/>
    <n v="0"/>
    <n v="0"/>
    <n v="-243"/>
    <n v="0"/>
    <n v="0"/>
  </r>
  <r>
    <n v="60121206"/>
    <s v="N"/>
    <n v="21387989"/>
    <s v="3000014450460002RC"/>
    <s v="CIVIL"/>
    <d v="2023-06-30T00:00:00"/>
    <d v="2023-07-17T19:42:13"/>
    <m/>
    <d v="2023-07-17T00:00:00"/>
    <n v="534"/>
    <n v="13663"/>
    <s v="60121206"/>
    <s v="60121206"/>
    <m/>
    <m/>
    <m/>
    <m/>
    <m/>
    <m/>
    <s v="SOLRECOUP"/>
    <s v="SOLRECOUP"/>
    <s v="POARECOUP"/>
    <n v="21387989"/>
    <n v="-271.8"/>
    <m/>
    <s v="Y"/>
    <n v="2"/>
    <d v="2023-07-17T19:42:14"/>
    <s v="N"/>
    <m/>
    <m/>
    <s v="Expert Disbursement"/>
    <m/>
    <s v="N"/>
    <n v="0"/>
    <n v="-45.3"/>
    <x v="8"/>
    <s v="VALIDATED"/>
    <n v="1"/>
    <s v="01.11.80.308.2013.0000"/>
    <n v="-45.3"/>
    <s v="11"/>
    <s v="2013"/>
    <n v="5510.85"/>
    <n v="-45.3"/>
    <s v="CREDITOR"/>
    <n v="0"/>
    <n v="0"/>
    <n v="-45.3"/>
    <n v="0"/>
    <n v="0"/>
  </r>
  <r>
    <n v="60121206"/>
    <s v="N"/>
    <n v="21387989"/>
    <s v="3000014450460002RC"/>
    <s v="CIVIL"/>
    <d v="2023-06-30T00:00:00"/>
    <d v="2023-07-17T19:42:13"/>
    <m/>
    <d v="2023-07-17T00:00:00"/>
    <n v="534"/>
    <n v="13663"/>
    <s v="60121206"/>
    <s v="60121206"/>
    <m/>
    <m/>
    <m/>
    <m/>
    <m/>
    <m/>
    <s v="SOLRECOUP"/>
    <s v="SOLRECOUP"/>
    <s v="POARECOUP"/>
    <n v="21387989"/>
    <n v="-271.8"/>
    <m/>
    <s v="Y"/>
    <n v="1"/>
    <d v="2023-07-17T19:42:14"/>
    <s v="N"/>
    <m/>
    <m/>
    <s v="Expert Disbursement"/>
    <m/>
    <s v="N"/>
    <n v="-226.5"/>
    <n v="0"/>
    <x v="8"/>
    <s v="VALIDATED"/>
    <n v="1"/>
    <s v="01.11.80.308.2013.0000"/>
    <n v="-226.5"/>
    <s v="11"/>
    <s v="2013"/>
    <n v="5510.85"/>
    <n v="-226.5"/>
    <s v="CREDITOR"/>
    <n v="0"/>
    <n v="0"/>
    <n v="-226.5"/>
    <n v="0"/>
    <n v="0"/>
  </r>
  <r>
    <n v="60121206"/>
    <s v="N"/>
    <n v="21387990"/>
    <s v="3000014450460004RC"/>
    <s v="CIVIL"/>
    <d v="2023-06-30T00:00:00"/>
    <d v="2023-07-17T19:42:13"/>
    <m/>
    <d v="2023-07-17T00:00:00"/>
    <n v="534"/>
    <n v="13663"/>
    <s v="60121206"/>
    <s v="60121206"/>
    <m/>
    <m/>
    <m/>
    <m/>
    <m/>
    <m/>
    <s v="SOLRECOUP"/>
    <s v="SOLRECOUP"/>
    <s v="POARECOUP"/>
    <n v="21387990"/>
    <n v="-215.1"/>
    <m/>
    <s v="Y"/>
    <n v="2"/>
    <d v="2023-07-17T19:42:14"/>
    <s v="N"/>
    <m/>
    <m/>
    <s v="Expert Disbursement"/>
    <m/>
    <s v="N"/>
    <n v="0"/>
    <n v="-35.85"/>
    <x v="8"/>
    <s v="VALIDATED"/>
    <n v="1"/>
    <s v="01.11.80.308.2013.0000"/>
    <n v="-35.85"/>
    <s v="11"/>
    <s v="2013"/>
    <n v="5510.85"/>
    <n v="-35.85"/>
    <s v="CREDITOR"/>
    <n v="0"/>
    <n v="0"/>
    <n v="-35.85"/>
    <n v="0"/>
    <n v="0"/>
  </r>
  <r>
    <n v="60121206"/>
    <s v="N"/>
    <n v="21387990"/>
    <s v="3000014450460004RC"/>
    <s v="CIVIL"/>
    <d v="2023-06-30T00:00:00"/>
    <d v="2023-07-17T19:42:13"/>
    <m/>
    <d v="2023-07-17T00:00:00"/>
    <n v="534"/>
    <n v="13663"/>
    <s v="60121206"/>
    <s v="60121206"/>
    <m/>
    <m/>
    <m/>
    <m/>
    <m/>
    <m/>
    <s v="SOLRECOUP"/>
    <s v="SOLRECOUP"/>
    <s v="POARECOUP"/>
    <n v="21387990"/>
    <n v="-215.1"/>
    <m/>
    <s v="Y"/>
    <n v="1"/>
    <d v="2023-07-17T19:42:14"/>
    <s v="N"/>
    <m/>
    <m/>
    <s v="Expert Disbursement"/>
    <m/>
    <s v="N"/>
    <n v="-179.25"/>
    <n v="0"/>
    <x v="8"/>
    <s v="VALIDATED"/>
    <n v="1"/>
    <s v="01.11.80.308.2013.0000"/>
    <n v="-179.25"/>
    <s v="11"/>
    <s v="2013"/>
    <n v="5510.85"/>
    <n v="-179.25"/>
    <s v="CREDITOR"/>
    <n v="0"/>
    <n v="0"/>
    <n v="-179.25"/>
    <n v="0"/>
    <n v="0"/>
  </r>
  <r>
    <n v="60121206"/>
    <s v="N"/>
    <n v="21387991"/>
    <s v="3000014450460008RC"/>
    <s v="CIVIL"/>
    <d v="2023-06-30T00:00:00"/>
    <d v="2023-07-17T19:42:13"/>
    <m/>
    <d v="2023-07-17T00:00:00"/>
    <n v="534"/>
    <n v="13663"/>
    <s v="60121206"/>
    <s v="60121206"/>
    <m/>
    <m/>
    <m/>
    <m/>
    <m/>
    <m/>
    <s v="SOLRECOUP"/>
    <s v="SOLRECOUP"/>
    <s v="POARECOUP"/>
    <n v="21387991"/>
    <n v="-2089.36"/>
    <m/>
    <s v="Y"/>
    <n v="2"/>
    <d v="2023-07-17T19:42:14"/>
    <s v="N"/>
    <m/>
    <m/>
    <s v="Profit Cost"/>
    <m/>
    <s v="N"/>
    <n v="0"/>
    <n v="-348.23"/>
    <x v="8"/>
    <s v="VALIDATED"/>
    <n v="1"/>
    <s v="01.11.80.308.2013.0000"/>
    <n v="-348.23"/>
    <s v="11"/>
    <s v="2013"/>
    <n v="5510.85"/>
    <n v="-348.23"/>
    <s v="CREDITOR"/>
    <n v="0"/>
    <n v="0"/>
    <n v="-348.23"/>
    <n v="-87.0575"/>
    <n v="0"/>
  </r>
  <r>
    <n v="60121206"/>
    <s v="N"/>
    <n v="21387991"/>
    <s v="3000014450460008RC"/>
    <s v="CIVIL"/>
    <d v="2023-06-30T00:00:00"/>
    <d v="2023-07-17T19:42:13"/>
    <m/>
    <d v="2023-07-17T00:00:00"/>
    <n v="534"/>
    <n v="13663"/>
    <s v="60121206"/>
    <s v="60121206"/>
    <m/>
    <m/>
    <m/>
    <m/>
    <m/>
    <m/>
    <s v="SOLRECOUP"/>
    <s v="SOLRECOUP"/>
    <s v="POARECOUP"/>
    <n v="21387991"/>
    <n v="-2089.36"/>
    <m/>
    <s v="Y"/>
    <n v="1"/>
    <d v="2023-07-17T19:42:14"/>
    <s v="N"/>
    <m/>
    <m/>
    <s v="Profit Cost"/>
    <m/>
    <s v="N"/>
    <n v="-1741.13"/>
    <n v="0"/>
    <x v="8"/>
    <s v="VALIDATED"/>
    <n v="1"/>
    <s v="01.11.80.308.2013.0000"/>
    <n v="-1741.13"/>
    <s v="11"/>
    <s v="2013"/>
    <n v="5510.85"/>
    <n v="-1741.13"/>
    <s v="CREDITOR"/>
    <n v="0"/>
    <n v="0"/>
    <n v="-1741.13"/>
    <n v="-435.2825"/>
    <n v="0"/>
  </r>
  <r>
    <n v="16116379"/>
    <s v="N"/>
    <n v="21361319"/>
    <s v="3000007731850001RC"/>
    <s v="CIVIL"/>
    <d v="2023-06-28T00:00:00"/>
    <d v="2023-07-11T19:38:00"/>
    <m/>
    <d v="2023-07-11T00:00:00"/>
    <n v="534"/>
    <n v="13663"/>
    <s v="16116379"/>
    <s v="16116379"/>
    <m/>
    <m/>
    <m/>
    <m/>
    <m/>
    <m/>
    <s v="SOLRECOUP"/>
    <s v="SOLRECOUP"/>
    <s v="POARECOUP"/>
    <n v="21361319"/>
    <n v="-91.3"/>
    <m/>
    <s v="Y"/>
    <n v="2"/>
    <d v="2023-07-11T19:38:00"/>
    <s v="N"/>
    <m/>
    <m/>
    <s v="Expert Disbursement"/>
    <m/>
    <s v="N"/>
    <n v="0"/>
    <n v="0"/>
    <x v="7"/>
    <s v="VALIDATED"/>
    <n v="1"/>
    <s v="01.11.80.000.0000.0000"/>
    <n v="0"/>
    <s v="11"/>
    <s v="0000"/>
    <n v="5510.85"/>
    <n v="0"/>
    <s v="CREDITOR"/>
    <n v="0"/>
    <n v="0"/>
    <n v="0"/>
    <n v="0"/>
    <n v="0"/>
  </r>
  <r>
    <n v="16116379"/>
    <s v="N"/>
    <n v="21361320"/>
    <s v="3000007731850008RC"/>
    <s v="CIVIL"/>
    <d v="2023-06-28T00:00:00"/>
    <d v="2023-07-11T19:38:00"/>
    <m/>
    <d v="2023-07-11T00:00:00"/>
    <n v="534"/>
    <n v="13663"/>
    <s v="16116379"/>
    <s v="16116379"/>
    <m/>
    <m/>
    <m/>
    <m/>
    <m/>
    <m/>
    <s v="SOLRECOUP"/>
    <s v="SOLRECOUP"/>
    <s v="POARECOUP"/>
    <n v="21361320"/>
    <n v="-608.4"/>
    <m/>
    <s v="Y"/>
    <n v="1"/>
    <d v="2023-07-11T19:38:00"/>
    <s v="N"/>
    <m/>
    <m/>
    <s v="Expert Disbursement"/>
    <m/>
    <s v="N"/>
    <n v="-507"/>
    <n v="0"/>
    <x v="7"/>
    <s v="VALIDATED"/>
    <n v="1"/>
    <s v="01.11.80.307.2013.0000"/>
    <n v="-507"/>
    <s v="11"/>
    <s v="2013"/>
    <n v="5510.85"/>
    <n v="-507"/>
    <s v="CREDITOR"/>
    <n v="0"/>
    <n v="0"/>
    <n v="-507"/>
    <n v="0"/>
    <n v="0"/>
  </r>
  <r>
    <n v="16116379"/>
    <s v="N"/>
    <n v="21361320"/>
    <s v="3000007731850008RC"/>
    <s v="CIVIL"/>
    <d v="2023-06-28T00:00:00"/>
    <d v="2023-07-11T19:38:00"/>
    <m/>
    <d v="2023-07-11T00:00:00"/>
    <n v="534"/>
    <n v="13663"/>
    <s v="16116379"/>
    <s v="16116379"/>
    <m/>
    <m/>
    <m/>
    <m/>
    <m/>
    <m/>
    <s v="SOLRECOUP"/>
    <s v="SOLRECOUP"/>
    <s v="POARECOUP"/>
    <n v="21361320"/>
    <n v="-608.4"/>
    <m/>
    <s v="Y"/>
    <n v="2"/>
    <d v="2023-07-11T19:38:00"/>
    <s v="N"/>
    <m/>
    <m/>
    <s v="Expert Disbursement"/>
    <m/>
    <s v="N"/>
    <n v="0"/>
    <n v="-101.4"/>
    <x v="7"/>
    <s v="VALIDATED"/>
    <n v="1"/>
    <s v="01.11.80.307.2013.0000"/>
    <n v="-101.4"/>
    <s v="11"/>
    <s v="2013"/>
    <n v="5510.85"/>
    <n v="-101.4"/>
    <s v="CREDITOR"/>
    <n v="0"/>
    <n v="0"/>
    <n v="-101.4"/>
    <n v="0"/>
    <n v="0"/>
  </r>
  <r>
    <n v="16116379"/>
    <s v="N"/>
    <n v="21361321"/>
    <s v="3000007731850006RC"/>
    <s v="CIVIL"/>
    <d v="2023-06-28T00:00:00"/>
    <d v="2023-07-11T19:38:00"/>
    <m/>
    <d v="2023-07-11T00:00:00"/>
    <n v="534"/>
    <n v="13663"/>
    <s v="16116379"/>
    <s v="16116379"/>
    <m/>
    <m/>
    <m/>
    <m/>
    <m/>
    <m/>
    <s v="SOLRECOUP"/>
    <s v="SOLRECOUP"/>
    <s v="POARECOUP"/>
    <n v="21361321"/>
    <n v="-1921.87"/>
    <m/>
    <s v="Y"/>
    <n v="1"/>
    <d v="2023-07-11T19:38:00"/>
    <s v="N"/>
    <m/>
    <m/>
    <s v="Profit Cost"/>
    <m/>
    <s v="N"/>
    <n v="-1601.56"/>
    <n v="0"/>
    <x v="7"/>
    <s v="VALIDATED"/>
    <n v="1"/>
    <s v="01.11.80.307.2013.0000"/>
    <n v="-1601.56"/>
    <s v="11"/>
    <s v="2013"/>
    <n v="5510.85"/>
    <n v="-1601.56"/>
    <s v="CREDITOR"/>
    <n v="0"/>
    <n v="0"/>
    <n v="-1601.56"/>
    <n v="-400.39"/>
    <n v="0"/>
  </r>
  <r>
    <n v="16116379"/>
    <s v="N"/>
    <n v="21361321"/>
    <s v="3000007731850006RC"/>
    <s v="CIVIL"/>
    <d v="2023-06-28T00:00:00"/>
    <d v="2023-07-11T19:38:00"/>
    <m/>
    <d v="2023-07-11T00:00:00"/>
    <n v="534"/>
    <n v="13663"/>
    <s v="16116379"/>
    <s v="16116379"/>
    <m/>
    <m/>
    <m/>
    <m/>
    <m/>
    <m/>
    <s v="SOLRECOUP"/>
    <s v="SOLRECOUP"/>
    <s v="POARECOUP"/>
    <n v="21361321"/>
    <n v="-1921.87"/>
    <m/>
    <s v="Y"/>
    <n v="2"/>
    <d v="2023-07-11T19:38:00"/>
    <s v="N"/>
    <m/>
    <m/>
    <s v="Profit Cost"/>
    <m/>
    <s v="N"/>
    <n v="0"/>
    <n v="-320.31"/>
    <x v="7"/>
    <s v="VALIDATED"/>
    <n v="1"/>
    <s v="01.11.80.307.2013.0000"/>
    <n v="-320.31"/>
    <s v="11"/>
    <s v="2013"/>
    <n v="5510.85"/>
    <n v="-320.31"/>
    <s v="CREDITOR"/>
    <n v="0"/>
    <n v="0"/>
    <n v="-320.31"/>
    <n v="-80.0775"/>
    <n v="0"/>
  </r>
  <r>
    <n v="16116379"/>
    <s v="N"/>
    <n v="21361322"/>
    <s v="3000007731850011RC"/>
    <s v="CIVIL"/>
    <d v="2023-06-28T00:00:00"/>
    <d v="2023-07-11T19:38:00"/>
    <m/>
    <d v="2023-07-11T00:00:00"/>
    <n v="534"/>
    <n v="13663"/>
    <s v="16116379"/>
    <s v="16116379"/>
    <m/>
    <m/>
    <m/>
    <m/>
    <m/>
    <m/>
    <s v="SOLRECOUP"/>
    <s v="SOLRECOUP"/>
    <s v="POARECOUP"/>
    <n v="21361322"/>
    <n v="-608.4"/>
    <m/>
    <s v="Y"/>
    <n v="1"/>
    <d v="2023-07-11T19:38:00"/>
    <s v="N"/>
    <m/>
    <m/>
    <s v="Expert Disbursement"/>
    <m/>
    <s v="N"/>
    <n v="-507"/>
    <n v="0"/>
    <x v="7"/>
    <s v="VALIDATED"/>
    <n v="1"/>
    <s v="01.11.80.307.2013.0000"/>
    <n v="-507"/>
    <s v="11"/>
    <s v="2013"/>
    <n v="5510.85"/>
    <n v="-507"/>
    <s v="CREDITOR"/>
    <n v="0"/>
    <n v="0"/>
    <n v="-507"/>
    <n v="0"/>
    <n v="0"/>
  </r>
  <r>
    <n v="16116379"/>
    <s v="N"/>
    <n v="21361322"/>
    <s v="3000007731850011RC"/>
    <s v="CIVIL"/>
    <d v="2023-06-28T00:00:00"/>
    <d v="2023-07-11T19:38:00"/>
    <m/>
    <d v="2023-07-11T00:00:00"/>
    <n v="534"/>
    <n v="13663"/>
    <s v="16116379"/>
    <s v="16116379"/>
    <m/>
    <m/>
    <m/>
    <m/>
    <m/>
    <m/>
    <s v="SOLRECOUP"/>
    <s v="SOLRECOUP"/>
    <s v="POARECOUP"/>
    <n v="21361322"/>
    <n v="-608.4"/>
    <m/>
    <s v="Y"/>
    <n v="2"/>
    <d v="2023-07-11T19:38:00"/>
    <s v="N"/>
    <m/>
    <m/>
    <s v="Expert Disbursement"/>
    <m/>
    <s v="N"/>
    <n v="0"/>
    <n v="-101.4"/>
    <x v="7"/>
    <s v="VALIDATED"/>
    <n v="1"/>
    <s v="01.11.80.307.2013.0000"/>
    <n v="-101.4"/>
    <s v="11"/>
    <s v="2013"/>
    <n v="5510.85"/>
    <n v="-101.4"/>
    <s v="CREDITOR"/>
    <n v="0"/>
    <n v="0"/>
    <n v="-101.4"/>
    <n v="0"/>
    <n v="0"/>
  </r>
  <r>
    <n v="16116379"/>
    <s v="N"/>
    <n v="21360475"/>
    <s v="3000007731850023"/>
    <s v="CIVIL"/>
    <d v="2023-06-28T00:00:00"/>
    <d v="2023-07-11T11:50:54"/>
    <m/>
    <d v="2023-07-11T00:00:00"/>
    <n v="534"/>
    <n v="13663"/>
    <s v="16116379"/>
    <s v="16116379"/>
    <m/>
    <m/>
    <n v="22784210"/>
    <m/>
    <m/>
    <m/>
    <s v="SOLFIN"/>
    <s v="SOLFIN"/>
    <s v="CCMS"/>
    <n v="21360475"/>
    <n v="14764.95"/>
    <m/>
    <s v="N"/>
    <n v="76"/>
    <d v="2023-07-11T11:51:05"/>
    <s v="Y"/>
    <s v="Attendance upon client"/>
    <s v="Prescribed Hourly Rates"/>
    <s v="Profit Cost"/>
    <s v="KM"/>
    <s v="Y"/>
    <n v="12.63"/>
    <n v="2.53"/>
    <x v="7"/>
    <s v="VALIDATED"/>
    <n v="1"/>
    <s v="01.11.80.307.6100.0000"/>
    <n v="12.63"/>
    <s v="11"/>
    <s v="6100"/>
    <n v="5510.85"/>
    <n v="12.63"/>
    <s v="CREDITOR"/>
    <n v="0"/>
    <n v="0"/>
    <n v="0"/>
    <n v="0"/>
    <n v="12.63"/>
  </r>
  <r>
    <n v="60121206"/>
    <s v="N"/>
    <n v="21382322"/>
    <s v="3000014450460009"/>
    <s v="CIVIL"/>
    <d v="2023-06-30T00:00:00"/>
    <d v="2023-07-17T19:01:46"/>
    <m/>
    <d v="2023-07-17T00:00:00"/>
    <n v="534"/>
    <n v="13663"/>
    <s v="60121206"/>
    <s v="60121206"/>
    <m/>
    <m/>
    <n v="22798194"/>
    <m/>
    <m/>
    <m/>
    <s v="SOLFIN"/>
    <s v="SOLFIN"/>
    <s v="CCMS"/>
    <n v="21382322"/>
    <n v="5869.52"/>
    <m/>
    <s v="N"/>
    <n v="2"/>
    <d v="2023-07-17T19:02:06"/>
    <s v="Y"/>
    <s v="Toxicologist"/>
    <s v="Public Law Children"/>
    <s v="Expert Disbursement"/>
    <s v="ROBERT MAHER"/>
    <s v="Y"/>
    <n v="179.25"/>
    <n v="35.85"/>
    <x v="8"/>
    <s v="VALIDATED"/>
    <n v="1"/>
    <s v="01.11.80.308.6300.0000"/>
    <n v="179.25"/>
    <s v="11"/>
    <s v="6300"/>
    <n v="5510.85"/>
    <n v="179.25"/>
    <s v="CREDITOR"/>
    <n v="0"/>
    <n v="0"/>
    <n v="0"/>
    <n v="0"/>
    <n v="179.25"/>
  </r>
  <r>
    <n v="16116379"/>
    <s v="N"/>
    <n v="21360475"/>
    <s v="3000007731850023"/>
    <s v="CIVIL"/>
    <d v="2023-06-28T00:00:00"/>
    <d v="2023-07-11T11:50:54"/>
    <m/>
    <d v="2023-07-11T00:00:00"/>
    <n v="534"/>
    <n v="13663"/>
    <s v="16116379"/>
    <s v="16116379"/>
    <m/>
    <m/>
    <n v="22784210"/>
    <m/>
    <m/>
    <m/>
    <s v="SOLFIN"/>
    <s v="SOLFIN"/>
    <s v="CCMS"/>
    <n v="21360475"/>
    <n v="14764.95"/>
    <m/>
    <s v="N"/>
    <n v="7"/>
    <d v="2023-07-11T11:51:05"/>
    <s v="Y"/>
    <s v="Toxicologist"/>
    <s v="Prescribed Hourly Rates"/>
    <s v="Expert Disbursement"/>
    <s v="XXX"/>
    <s v="Y"/>
    <n v="507"/>
    <n v="101.41"/>
    <x v="7"/>
    <s v="VALIDATED"/>
    <n v="1"/>
    <s v="01.11.80.307.6300.0000"/>
    <n v="507"/>
    <s v="11"/>
    <s v="6300"/>
    <n v="5510.85"/>
    <n v="507"/>
    <s v="CREDITOR"/>
    <n v="0"/>
    <n v="0"/>
    <n v="0"/>
    <n v="0"/>
    <n v="507"/>
  </r>
  <r>
    <n v="16116379"/>
    <s v="N"/>
    <n v="21360475"/>
    <s v="3000007731850023"/>
    <s v="CIVIL"/>
    <d v="2023-06-28T00:00:00"/>
    <d v="2023-07-11T11:50:54"/>
    <m/>
    <d v="2023-07-11T00:00:00"/>
    <n v="534"/>
    <n v="13663"/>
    <s v="16116379"/>
    <s v="16116379"/>
    <m/>
    <m/>
    <n v="22784210"/>
    <m/>
    <m/>
    <m/>
    <s v="SOLFIN"/>
    <s v="SOLFIN"/>
    <s v="CCMS"/>
    <n v="21360475"/>
    <n v="14764.95"/>
    <m/>
    <s v="N"/>
    <n v="46"/>
    <d v="2023-07-11T11:51:05"/>
    <s v="Y"/>
    <s v="Preparation - drafting statement"/>
    <s v="Prescribed Hourly Rates"/>
    <s v="Profit Cost"/>
    <s v="KM"/>
    <s v="Y"/>
    <n v="94.7"/>
    <n v="18.94"/>
    <x v="7"/>
    <s v="VALIDATED"/>
    <n v="1"/>
    <s v="01.11.80.307.6100.0000"/>
    <n v="94.7"/>
    <s v="11"/>
    <s v="6100"/>
    <n v="5510.85"/>
    <n v="94.7"/>
    <s v="CREDITOR"/>
    <n v="0"/>
    <n v="0"/>
    <n v="0"/>
    <n v="0"/>
    <n v="94.7"/>
  </r>
  <r>
    <n v="16116379"/>
    <s v="N"/>
    <n v="21360475"/>
    <s v="3000007731850023"/>
    <s v="CIVIL"/>
    <d v="2023-06-28T00:00:00"/>
    <d v="2023-07-11T11:50:54"/>
    <m/>
    <d v="2023-07-11T00:00:00"/>
    <n v="534"/>
    <n v="13663"/>
    <s v="16116379"/>
    <s v="16116379"/>
    <m/>
    <m/>
    <n v="22784210"/>
    <m/>
    <m/>
    <m/>
    <s v="SOLFIN"/>
    <s v="SOLFIN"/>
    <s v="CCMS"/>
    <n v="21360475"/>
    <n v="14764.95"/>
    <m/>
    <s v="N"/>
    <n v="84"/>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68"/>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41"/>
    <d v="2023-07-11T11:51:05"/>
    <s v="Y"/>
    <s v="Attendance upon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56"/>
    <d v="2023-07-11T11:51:05"/>
    <s v="Y"/>
    <s v="Routine Letter Out"/>
    <s v="Prescribed Hourly Rates"/>
    <s v="Profit Cost"/>
    <s v="CF"/>
    <s v="Y"/>
    <n v="2165.4"/>
    <n v="433.11"/>
    <x v="7"/>
    <s v="VALIDATED"/>
    <n v="1"/>
    <s v="01.11.80.307.6100.0000"/>
    <n v="2165.4"/>
    <s v="11"/>
    <s v="6100"/>
    <n v="5510.85"/>
    <n v="2165.4"/>
    <s v="CREDITOR"/>
    <n v="0"/>
    <n v="0"/>
    <n v="0"/>
    <n v="0"/>
    <n v="2165.4"/>
  </r>
  <r>
    <n v="16116379"/>
    <s v="N"/>
    <n v="21360475"/>
    <s v="3000007731850023"/>
    <s v="CIVIL"/>
    <d v="2023-06-28T00:00:00"/>
    <d v="2023-07-11T11:50:54"/>
    <m/>
    <d v="2023-07-11T00:00:00"/>
    <n v="534"/>
    <n v="13663"/>
    <s v="16116379"/>
    <s v="16116379"/>
    <m/>
    <m/>
    <n v="22784210"/>
    <m/>
    <m/>
    <m/>
    <s v="SOLFIN"/>
    <s v="SOLFIN"/>
    <s v="CCMS"/>
    <n v="21360475"/>
    <n v="14764.95"/>
    <m/>
    <s v="N"/>
    <n v="139"/>
    <d v="2023-07-11T11:51:05"/>
    <s v="Y"/>
    <s v="Attendance upon other"/>
    <s v="Prescribed Hourly Rates"/>
    <s v="Profit Cost"/>
    <s v="RC"/>
    <s v="Y"/>
    <n v="10.98"/>
    <n v="2.2"/>
    <x v="7"/>
    <s v="VALIDATED"/>
    <n v="1"/>
    <s v="01.11.80.307.6100.0000"/>
    <n v="10.98"/>
    <s v="11"/>
    <s v="6100"/>
    <n v="5510.85"/>
    <n v="10.98"/>
    <s v="CREDITOR"/>
    <n v="0"/>
    <n v="0"/>
    <n v="0"/>
    <n v="0"/>
    <n v="10.98"/>
  </r>
  <r>
    <n v="16116379"/>
    <s v="N"/>
    <n v="21360475"/>
    <s v="3000007731850023"/>
    <s v="CIVIL"/>
    <d v="2023-06-28T00:00:00"/>
    <d v="2023-07-11T11:50:54"/>
    <m/>
    <d v="2023-07-11T00:00:00"/>
    <n v="534"/>
    <n v="13663"/>
    <s v="16116379"/>
    <s v="16116379"/>
    <m/>
    <m/>
    <n v="22784210"/>
    <m/>
    <m/>
    <m/>
    <s v="SOLFIN"/>
    <s v="SOLFIN"/>
    <s v="CCMS"/>
    <n v="21360475"/>
    <n v="14764.95"/>
    <m/>
    <s v="N"/>
    <n v="22"/>
    <d v="2023-07-11T11:51:05"/>
    <s v="Y"/>
    <s v="Preparation - other"/>
    <s v="Prescribed Hourly Rates"/>
    <s v="Profit Cost"/>
    <s v="KM"/>
    <s v="Y"/>
    <n v="44.19"/>
    <n v="8.84"/>
    <x v="7"/>
    <s v="VALIDATED"/>
    <n v="1"/>
    <s v="01.11.80.307.6100.0000"/>
    <n v="44.19"/>
    <s v="11"/>
    <s v="6100"/>
    <n v="5510.85"/>
    <n v="44.19"/>
    <s v="CREDITOR"/>
    <n v="0"/>
    <n v="0"/>
    <n v="0"/>
    <n v="0"/>
    <n v="44.19"/>
  </r>
  <r>
    <n v="16116379"/>
    <s v="N"/>
    <n v="21360475"/>
    <s v="3000007731850023"/>
    <s v="CIVIL"/>
    <d v="2023-06-28T00:00:00"/>
    <d v="2023-07-11T11:50:54"/>
    <m/>
    <d v="2023-07-11T00:00:00"/>
    <n v="534"/>
    <n v="13663"/>
    <s v="16116379"/>
    <s v="16116379"/>
    <m/>
    <m/>
    <n v="22784210"/>
    <m/>
    <m/>
    <m/>
    <s v="SOLFIN"/>
    <s v="SOLFIN"/>
    <s v="CCMS"/>
    <n v="21360475"/>
    <n v="14764.95"/>
    <m/>
    <s v="N"/>
    <n v="45"/>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63"/>
    <d v="2023-07-11T11:51:05"/>
    <s v="Y"/>
    <s v="Preparation - drafting instructions"/>
    <s v="Prescribed Hourly Rates"/>
    <s v="Profit Cost"/>
    <s v="KM"/>
    <s v="Y"/>
    <n v="44.19"/>
    <n v="8.84"/>
    <x v="7"/>
    <s v="VALIDATED"/>
    <n v="1"/>
    <s v="01.11.80.307.6100.0000"/>
    <n v="44.19"/>
    <s v="11"/>
    <s v="6100"/>
    <n v="5510.85"/>
    <n v="44.19"/>
    <s v="CREDITOR"/>
    <n v="0"/>
    <n v="0"/>
    <n v="0"/>
    <n v="0"/>
    <n v="44.19"/>
  </r>
  <r>
    <n v="16116379"/>
    <s v="N"/>
    <n v="21360475"/>
    <s v="3000007731850023"/>
    <s v="CIVIL"/>
    <d v="2023-06-28T00:00:00"/>
    <d v="2023-07-11T11:50:54"/>
    <m/>
    <d v="2023-07-11T00:00:00"/>
    <n v="534"/>
    <n v="13663"/>
    <s v="16116379"/>
    <s v="16116379"/>
    <m/>
    <m/>
    <n v="22784210"/>
    <m/>
    <m/>
    <m/>
    <s v="SOLFIN"/>
    <s v="SOLFIN"/>
    <s v="CCMS"/>
    <n v="21360475"/>
    <n v="14764.95"/>
    <m/>
    <s v="N"/>
    <n v="149"/>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6"/>
    <d v="2023-07-11T11:51:05"/>
    <s v="Y"/>
    <s v="Court Fee"/>
    <s v="Prescribed Hourly Rates"/>
    <s v="Non Expert Disbursement"/>
    <s v="XXX"/>
    <s v="Y"/>
    <n v="102"/>
    <n v="0"/>
    <x v="7"/>
    <s v="VALIDATED"/>
    <n v="1"/>
    <s v="01.11.80.307.6300.0000"/>
    <n v="102"/>
    <s v="11"/>
    <s v="6300"/>
    <n v="5510.85"/>
    <n v="102"/>
    <s v="CREDITOR"/>
    <n v="0"/>
    <n v="0"/>
    <n v="0"/>
    <n v="0"/>
    <n v="102"/>
  </r>
  <r>
    <n v="16116379"/>
    <s v="N"/>
    <n v="21360475"/>
    <s v="3000007731850023"/>
    <s v="CIVIL"/>
    <d v="2023-06-28T00:00:00"/>
    <d v="2023-07-11T11:50:54"/>
    <m/>
    <d v="2023-07-11T00:00:00"/>
    <n v="534"/>
    <n v="13663"/>
    <s v="16116379"/>
    <s v="16116379"/>
    <m/>
    <m/>
    <n v="22784210"/>
    <m/>
    <m/>
    <m/>
    <s v="SOLFIN"/>
    <s v="SOLFIN"/>
    <s v="CCMS"/>
    <n v="21360475"/>
    <n v="14764.95"/>
    <m/>
    <s v="N"/>
    <n v="148"/>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15"/>
    <d v="2023-07-11T11:51:05"/>
    <s v="Y"/>
    <s v="Attendance upon client"/>
    <s v="Prescribed Hourly Rates"/>
    <s v="Profit Cost"/>
    <s v="SJ"/>
    <s v="Y"/>
    <n v="10.98"/>
    <n v="2.2"/>
    <x v="7"/>
    <s v="VALIDATED"/>
    <n v="1"/>
    <s v="01.11.80.307.6100.0000"/>
    <n v="10.98"/>
    <s v="11"/>
    <s v="6100"/>
    <n v="5510.85"/>
    <n v="10.98"/>
    <s v="CREDITOR"/>
    <n v="0"/>
    <n v="0"/>
    <n v="0"/>
    <n v="0"/>
    <n v="10.98"/>
  </r>
  <r>
    <n v="16116379"/>
    <s v="N"/>
    <n v="21360475"/>
    <s v="3000007731850023"/>
    <s v="CIVIL"/>
    <d v="2023-06-28T00:00:00"/>
    <d v="2023-07-11T11:50:54"/>
    <m/>
    <d v="2023-07-11T00:00:00"/>
    <n v="534"/>
    <n v="13663"/>
    <s v="16116379"/>
    <s v="16116379"/>
    <m/>
    <m/>
    <n v="22784210"/>
    <m/>
    <m/>
    <m/>
    <s v="SOLFIN"/>
    <s v="SOLFIN"/>
    <s v="CCMS"/>
    <n v="21360475"/>
    <n v="14764.95"/>
    <m/>
    <s v="N"/>
    <n v="125"/>
    <d v="2023-07-11T11:51:05"/>
    <s v="Y"/>
    <s v="Preparation - drafting instructions"/>
    <s v="Prescribed Hourly Rates"/>
    <s v="Profit Cost"/>
    <s v="KM"/>
    <s v="Y"/>
    <n v="50.51"/>
    <n v="10.1"/>
    <x v="7"/>
    <s v="VALIDATED"/>
    <n v="1"/>
    <s v="01.11.80.307.6100.0000"/>
    <n v="50.51"/>
    <s v="11"/>
    <s v="6100"/>
    <n v="5510.85"/>
    <n v="50.51"/>
    <s v="CREDITOR"/>
    <n v="0"/>
    <n v="0"/>
    <n v="0"/>
    <n v="0"/>
    <n v="50.51"/>
  </r>
  <r>
    <n v="16116379"/>
    <s v="N"/>
    <n v="21360475"/>
    <s v="3000007731850023"/>
    <s v="CIVIL"/>
    <d v="2023-06-28T00:00:00"/>
    <d v="2023-07-11T11:50:54"/>
    <m/>
    <d v="2023-07-11T00:00:00"/>
    <n v="534"/>
    <n v="13663"/>
    <s v="16116379"/>
    <s v="16116379"/>
    <m/>
    <m/>
    <n v="22784210"/>
    <m/>
    <m/>
    <m/>
    <s v="SOLFIN"/>
    <s v="SOLFIN"/>
    <s v="CCMS"/>
    <n v="21360475"/>
    <n v="14764.95"/>
    <m/>
    <s v="N"/>
    <n v="2"/>
    <d v="2023-07-11T11:51:05"/>
    <s v="Y"/>
    <s v="Other"/>
    <s v="Prescribed Hourly Rates"/>
    <s v="Non Expert Disbursement"/>
    <s v="XXX"/>
    <s v="Y"/>
    <n v="405.13"/>
    <n v="81.03"/>
    <x v="7"/>
    <s v="VALIDATED"/>
    <n v="1"/>
    <s v="01.11.80.307.6300.0000"/>
    <n v="405.13"/>
    <s v="11"/>
    <s v="6300"/>
    <n v="5510.85"/>
    <n v="405.13"/>
    <s v="CREDITOR"/>
    <n v="0"/>
    <n v="0"/>
    <n v="0"/>
    <n v="0"/>
    <n v="405.13"/>
  </r>
  <r>
    <n v="16116379"/>
    <s v="N"/>
    <n v="21360475"/>
    <s v="3000007731850023"/>
    <s v="CIVIL"/>
    <d v="2023-06-28T00:00:00"/>
    <d v="2023-07-11T11:50:54"/>
    <m/>
    <d v="2023-07-11T00:00:00"/>
    <n v="534"/>
    <n v="13663"/>
    <s v="16116379"/>
    <s v="16116379"/>
    <m/>
    <m/>
    <n v="22784210"/>
    <m/>
    <m/>
    <m/>
    <s v="SOLFIN"/>
    <s v="SOLFIN"/>
    <s v="CCMS"/>
    <n v="21360475"/>
    <n v="14764.95"/>
    <m/>
    <s v="N"/>
    <n v="36"/>
    <d v="2023-07-11T11:51:05"/>
    <s v="Y"/>
    <s v="Attendance upon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82"/>
    <d v="2023-07-11T11:51:05"/>
    <s v="Y"/>
    <s v="Preparation - drafting instructions"/>
    <s v="Prescribed Hourly Rates"/>
    <s v="Profit Cost"/>
    <s v="KM"/>
    <s v="Y"/>
    <n v="56.82"/>
    <n v="11.36"/>
    <x v="7"/>
    <s v="VALIDATED"/>
    <n v="1"/>
    <s v="01.11.80.307.6100.0000"/>
    <n v="56.82"/>
    <s v="11"/>
    <s v="6100"/>
    <n v="5510.85"/>
    <n v="56.82"/>
    <s v="CREDITOR"/>
    <n v="0"/>
    <n v="0"/>
    <n v="0"/>
    <n v="0"/>
    <n v="56.82"/>
  </r>
  <r>
    <n v="16116379"/>
    <s v="N"/>
    <n v="21360475"/>
    <s v="3000007731850023"/>
    <s v="CIVIL"/>
    <d v="2023-06-28T00:00:00"/>
    <d v="2023-07-11T11:50:54"/>
    <m/>
    <d v="2023-07-11T00:00:00"/>
    <n v="534"/>
    <n v="13663"/>
    <s v="16116379"/>
    <s v="16116379"/>
    <m/>
    <m/>
    <n v="22784210"/>
    <m/>
    <m/>
    <m/>
    <s v="SOLFIN"/>
    <s v="SOLFIN"/>
    <s v="CCMS"/>
    <n v="21360475"/>
    <n v="14764.95"/>
    <m/>
    <s v="N"/>
    <n v="9"/>
    <d v="2023-07-11T11:51:05"/>
    <s v="Y"/>
    <s v="Preparation - other"/>
    <s v="Prescribed Hourly Rates"/>
    <s v="Profit Cost"/>
    <s v="KM"/>
    <s v="Y"/>
    <n v="50.51"/>
    <n v="10.1"/>
    <x v="7"/>
    <s v="VALIDATED"/>
    <n v="1"/>
    <s v="01.11.80.307.6100.0000"/>
    <n v="50.51"/>
    <s v="11"/>
    <s v="6100"/>
    <n v="5510.85"/>
    <n v="50.51"/>
    <s v="CREDITOR"/>
    <n v="0"/>
    <n v="0"/>
    <n v="0"/>
    <n v="0"/>
    <n v="50.51"/>
  </r>
  <r>
    <n v="16116379"/>
    <s v="N"/>
    <n v="21360475"/>
    <s v="3000007731850023"/>
    <s v="CIVIL"/>
    <d v="2023-06-28T00:00:00"/>
    <d v="2023-07-11T11:50:54"/>
    <m/>
    <d v="2023-07-11T00:00:00"/>
    <n v="534"/>
    <n v="13663"/>
    <s v="16116379"/>
    <s v="16116379"/>
    <m/>
    <m/>
    <n v="22784210"/>
    <m/>
    <m/>
    <m/>
    <s v="SOLFIN"/>
    <s v="SOLFIN"/>
    <s v="CCMS"/>
    <n v="21360475"/>
    <n v="14764.95"/>
    <m/>
    <s v="N"/>
    <n v="145"/>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47"/>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77"/>
    <d v="2023-07-11T11:51:05"/>
    <s v="Y"/>
    <s v="Preparation - other"/>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105"/>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36"/>
    <d v="2023-07-11T11:51:05"/>
    <s v="Y"/>
    <s v="Preparation - other"/>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14"/>
    <d v="2023-07-11T11:51:05"/>
    <s v="Y"/>
    <s v="Attendance upon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08"/>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1"/>
    <d v="2023-07-11T11:51:05"/>
    <s v="Y"/>
    <s v="Preparation - drafting instructions"/>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64"/>
    <d v="2023-07-11T11:51:05"/>
    <s v="Y"/>
    <s v="Attendance upon client"/>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71"/>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26"/>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7"/>
    <d v="2023-07-11T11:51:05"/>
    <s v="Y"/>
    <s v="Preparation - drafting application"/>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09"/>
    <d v="2023-07-11T11:51:05"/>
    <s v="Y"/>
    <s v="Attendance upon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11"/>
    <d v="2023-07-11T11:51:05"/>
    <s v="Y"/>
    <s v="Preparation - other"/>
    <s v="Prescribed Hourly Rates"/>
    <s v="Profit Cost"/>
    <s v="KM"/>
    <s v="Y"/>
    <n v="44.19"/>
    <n v="8.84"/>
    <x v="7"/>
    <s v="VALIDATED"/>
    <n v="1"/>
    <s v="01.11.80.307.6100.0000"/>
    <n v="44.19"/>
    <s v="11"/>
    <s v="6100"/>
    <n v="5510.85"/>
    <n v="44.19"/>
    <s v="CREDITOR"/>
    <n v="0"/>
    <n v="0"/>
    <n v="0"/>
    <n v="0"/>
    <n v="44.19"/>
  </r>
  <r>
    <n v="16116379"/>
    <s v="N"/>
    <n v="21360475"/>
    <s v="3000007731850023"/>
    <s v="CIVIL"/>
    <d v="2023-06-28T00:00:00"/>
    <d v="2023-07-11T11:50:54"/>
    <m/>
    <d v="2023-07-11T00:00:00"/>
    <n v="534"/>
    <n v="13663"/>
    <s v="16116379"/>
    <s v="16116379"/>
    <m/>
    <m/>
    <n v="22784210"/>
    <m/>
    <m/>
    <m/>
    <s v="SOLFIN"/>
    <s v="SOLFIN"/>
    <s v="CCMS"/>
    <n v="21360475"/>
    <n v="14764.95"/>
    <m/>
    <s v="N"/>
    <n v="137"/>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35"/>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59"/>
    <d v="2023-07-11T11:51:05"/>
    <s v="Y"/>
    <s v="Preparation - other"/>
    <s v="Prescribed Hourly Rates"/>
    <s v="Profit Cost"/>
    <s v="CF"/>
    <s v="Y"/>
    <n v="5.49"/>
    <n v="1.1"/>
    <x v="7"/>
    <s v="VALIDATED"/>
    <n v="1"/>
    <s v="01.11.80.307.6100.0000"/>
    <n v="5.49"/>
    <s v="11"/>
    <s v="6100"/>
    <n v="5510.85"/>
    <n v="5.49"/>
    <s v="CREDITOR"/>
    <n v="0"/>
    <n v="0"/>
    <n v="0"/>
    <n v="0"/>
    <n v="5.49"/>
  </r>
  <r>
    <n v="16116379"/>
    <s v="N"/>
    <n v="21360475"/>
    <s v="3000007731850023"/>
    <s v="CIVIL"/>
    <d v="2023-06-28T00:00:00"/>
    <d v="2023-07-11T11:50:54"/>
    <m/>
    <d v="2023-07-11T00:00:00"/>
    <n v="534"/>
    <n v="13663"/>
    <s v="16116379"/>
    <s v="16116379"/>
    <m/>
    <m/>
    <n v="22784210"/>
    <m/>
    <m/>
    <m/>
    <s v="SOLFIN"/>
    <s v="SOLFIN"/>
    <s v="CCMS"/>
    <n v="21360475"/>
    <n v="14764.95"/>
    <m/>
    <s v="N"/>
    <n v="10"/>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30"/>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24"/>
    <d v="2023-07-11T11:51:05"/>
    <s v="Y"/>
    <s v="Preparation - other"/>
    <s v="Prescribed Hourly Rates"/>
    <s v="Profit Cost"/>
    <s v="KM"/>
    <s v="Y"/>
    <n v="56.82"/>
    <n v="11.36"/>
    <x v="7"/>
    <s v="VALIDATED"/>
    <n v="1"/>
    <s v="01.11.80.307.6100.0000"/>
    <n v="56.82"/>
    <s v="11"/>
    <s v="6100"/>
    <n v="5510.85"/>
    <n v="56.82"/>
    <s v="CREDITOR"/>
    <n v="0"/>
    <n v="0"/>
    <n v="0"/>
    <n v="0"/>
    <n v="56.82"/>
  </r>
  <r>
    <n v="16116379"/>
    <s v="N"/>
    <n v="21360475"/>
    <s v="3000007731850023"/>
    <s v="CIVIL"/>
    <d v="2023-06-28T00:00:00"/>
    <d v="2023-07-11T11:50:54"/>
    <m/>
    <d v="2023-07-11T00:00:00"/>
    <n v="534"/>
    <n v="13663"/>
    <s v="16116379"/>
    <s v="16116379"/>
    <m/>
    <m/>
    <n v="22784210"/>
    <m/>
    <m/>
    <m/>
    <s v="SOLFIN"/>
    <s v="SOLFIN"/>
    <s v="CCMS"/>
    <n v="21360475"/>
    <n v="14764.95"/>
    <m/>
    <s v="N"/>
    <n v="86"/>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56"/>
    <d v="2023-07-11T11:51:05"/>
    <s v="Y"/>
    <s v="Preparation - other"/>
    <s v="Prescribed Hourly Rates"/>
    <s v="Profit Cost"/>
    <s v="KM"/>
    <s v="Y"/>
    <n v="63.14"/>
    <n v="12.63"/>
    <x v="7"/>
    <s v="VALIDATED"/>
    <n v="1"/>
    <s v="01.11.80.307.6100.0000"/>
    <n v="63.14"/>
    <s v="11"/>
    <s v="6100"/>
    <n v="5510.85"/>
    <n v="63.14"/>
    <s v="CREDITOR"/>
    <n v="0"/>
    <n v="0"/>
    <n v="0"/>
    <n v="0"/>
    <n v="63.14"/>
  </r>
  <r>
    <n v="16116379"/>
    <s v="N"/>
    <n v="21360475"/>
    <s v="3000007731850023"/>
    <s v="CIVIL"/>
    <d v="2023-06-28T00:00:00"/>
    <d v="2023-07-11T11:50:54"/>
    <m/>
    <d v="2023-07-11T00:00:00"/>
    <n v="534"/>
    <n v="13663"/>
    <s v="16116379"/>
    <s v="16116379"/>
    <m/>
    <m/>
    <n v="22784210"/>
    <m/>
    <m/>
    <m/>
    <s v="SOLFIN"/>
    <s v="SOLFIN"/>
    <s v="CCMS"/>
    <n v="21360475"/>
    <n v="14764.95"/>
    <m/>
    <s v="N"/>
    <n v="18"/>
    <d v="2023-07-11T11:51:05"/>
    <s v="Y"/>
    <s v="Preparation - other"/>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19"/>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5"/>
    <d v="2023-07-11T11:51:05"/>
    <s v="Y"/>
    <s v="Court Fee"/>
    <s v="Prescribed Hourly Rates"/>
    <s v="Non Expert Disbursement"/>
    <s v="XXX"/>
    <s v="Y"/>
    <n v="215"/>
    <n v="0"/>
    <x v="7"/>
    <s v="VALIDATED"/>
    <n v="1"/>
    <s v="01.11.80.307.6300.0000"/>
    <n v="215"/>
    <s v="11"/>
    <s v="6300"/>
    <n v="5510.85"/>
    <n v="215"/>
    <s v="CREDITOR"/>
    <n v="0"/>
    <n v="0"/>
    <n v="0"/>
    <n v="0"/>
    <n v="215"/>
  </r>
  <r>
    <n v="16116379"/>
    <s v="N"/>
    <n v="21360475"/>
    <s v="3000007731850023"/>
    <s v="CIVIL"/>
    <d v="2023-06-28T00:00:00"/>
    <d v="2023-07-11T11:50:54"/>
    <m/>
    <d v="2023-07-11T00:00:00"/>
    <n v="534"/>
    <n v="13663"/>
    <s v="16116379"/>
    <s v="16116379"/>
    <m/>
    <m/>
    <n v="22784210"/>
    <m/>
    <m/>
    <m/>
    <s v="SOLFIN"/>
    <s v="SOLFIN"/>
    <s v="CCMS"/>
    <n v="21360475"/>
    <n v="14764.95"/>
    <m/>
    <s v="N"/>
    <n v="27"/>
    <d v="2023-07-11T11:51:05"/>
    <s v="Y"/>
    <s v="Attendance upon client"/>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74"/>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33"/>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152"/>
    <d v="2023-07-11T11:51:05"/>
    <s v="Y"/>
    <s v="Attendance upon client"/>
    <s v="Prescribed Hourly Rates"/>
    <s v="Profit Cost"/>
    <s v="KM"/>
    <s v="Y"/>
    <n v="25.25"/>
    <n v="5.05"/>
    <x v="7"/>
    <s v="VALIDATED"/>
    <n v="1"/>
    <s v="01.11.80.307.6100.0000"/>
    <n v="25.25"/>
    <s v="11"/>
    <s v="6100"/>
    <n v="5510.85"/>
    <n v="25.25"/>
    <s v="CREDITOR"/>
    <n v="0"/>
    <n v="0"/>
    <n v="0"/>
    <n v="0"/>
    <n v="25.25"/>
  </r>
  <r>
    <n v="61089642"/>
    <s v="N"/>
    <n v="21321978"/>
    <s v="3000015282740002"/>
    <s v="CIVIL"/>
    <d v="2023-06-28T00:00:00"/>
    <d v="2023-07-03T19:05:17"/>
    <m/>
    <d v="2023-07-03T00:00:00"/>
    <n v="534"/>
    <n v="13663"/>
    <s v="61089642"/>
    <s v="61089642"/>
    <m/>
    <m/>
    <n v="22783782"/>
    <m/>
    <m/>
    <m/>
    <s v="SOLPOA"/>
    <s v="SOLPOA"/>
    <s v="CCMS"/>
    <n v="21321978"/>
    <n v="1201.49"/>
    <m/>
    <s v="N"/>
    <n v="1"/>
    <d v="2023-07-03T19:05:21"/>
    <s v="N"/>
    <s v="Expert Cost"/>
    <s v="Expert Cost"/>
    <s v="Expert Disbursement"/>
    <s v="CLARE MORTIMER"/>
    <s v="N"/>
    <n v="1201.49"/>
    <n v="0"/>
    <x v="3"/>
    <s v="VALIDATED"/>
    <n v="1"/>
    <s v="01.11.80.308.2012.0000"/>
    <n v="1201.49"/>
    <s v="11"/>
    <s v="2012"/>
    <n v="5510.85"/>
    <n v="1201.49"/>
    <s v="CREDITOR"/>
    <n v="1201.49"/>
    <n v="0"/>
    <n v="0"/>
    <n v="0"/>
    <n v="0"/>
  </r>
  <r>
    <n v="16116379"/>
    <s v="N"/>
    <n v="21360475"/>
    <s v="3000007731850023"/>
    <s v="CIVIL"/>
    <d v="2023-06-28T00:00:00"/>
    <d v="2023-07-11T11:50:54"/>
    <m/>
    <d v="2023-07-11T00:00:00"/>
    <n v="534"/>
    <n v="13663"/>
    <s v="16116379"/>
    <s v="16116379"/>
    <m/>
    <m/>
    <n v="22784210"/>
    <m/>
    <m/>
    <m/>
    <s v="SOLFIN"/>
    <s v="SOLFIN"/>
    <s v="CCMS"/>
    <n v="21360475"/>
    <n v="14764.95"/>
    <m/>
    <s v="N"/>
    <n v="13"/>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80"/>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110"/>
    <d v="2023-07-11T11:51:05"/>
    <s v="Y"/>
    <s v="Attendance upon client"/>
    <s v="Prescribed Hourly Rates"/>
    <s v="Profit Cost"/>
    <s v="KM"/>
    <s v="Y"/>
    <n v="12.63"/>
    <n v="2.53"/>
    <x v="7"/>
    <s v="VALIDATED"/>
    <n v="1"/>
    <s v="01.11.80.307.6100.0000"/>
    <n v="12.63"/>
    <s v="11"/>
    <s v="6100"/>
    <n v="5510.85"/>
    <n v="12.63"/>
    <s v="CREDITOR"/>
    <n v="0"/>
    <n v="0"/>
    <n v="0"/>
    <n v="0"/>
    <n v="12.63"/>
  </r>
  <r>
    <n v="62327592"/>
    <s v="N"/>
    <n v="21319749"/>
    <s v="3000016315190004"/>
    <s v="CIVIL"/>
    <d v="2023-06-26T00:00:00"/>
    <d v="2023-07-03T19:04:24"/>
    <m/>
    <d v="2023-07-03T00:00:00"/>
    <n v="534"/>
    <n v="13663"/>
    <s v="62327592"/>
    <s v="62327592"/>
    <m/>
    <m/>
    <n v="22764406"/>
    <m/>
    <m/>
    <m/>
    <s v="SOLPOA"/>
    <s v="SOLPOA"/>
    <s v="CCMS"/>
    <n v="21319749"/>
    <n v="279.16"/>
    <m/>
    <s v="N"/>
    <n v="1"/>
    <d v="2023-07-03T19:04:27"/>
    <s v="N"/>
    <s v="Expert Cost"/>
    <s v="Expert Cost"/>
    <s v="Expert Disbursement"/>
    <s v="SARBJIT MUNDAY"/>
    <s v="N"/>
    <n v="232.63"/>
    <n v="46.53"/>
    <x v="3"/>
    <s v="VALIDATED"/>
    <n v="1"/>
    <s v="01.11.80.308.2012.0000"/>
    <n v="232.63"/>
    <s v="11"/>
    <s v="2012"/>
    <n v="5510.85"/>
    <n v="232.63"/>
    <s v="CREDITOR"/>
    <n v="232.63"/>
    <n v="0"/>
    <n v="0"/>
    <n v="0"/>
    <n v="0"/>
  </r>
  <r>
    <n v="16116379"/>
    <s v="N"/>
    <n v="21360475"/>
    <s v="3000007731850023"/>
    <s v="CIVIL"/>
    <d v="2023-06-28T00:00:00"/>
    <d v="2023-07-11T11:50:54"/>
    <m/>
    <d v="2023-07-11T00:00:00"/>
    <n v="534"/>
    <n v="13663"/>
    <s v="16116379"/>
    <s v="16116379"/>
    <m/>
    <m/>
    <n v="22784210"/>
    <m/>
    <m/>
    <m/>
    <s v="SOLFIN"/>
    <s v="SOLFIN"/>
    <s v="CCMS"/>
    <n v="21360475"/>
    <n v="14764.95"/>
    <m/>
    <s v="N"/>
    <n v="90"/>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121"/>
    <d v="2023-07-11T11:51:05"/>
    <s v="Y"/>
    <s v="Attendance upon client"/>
    <s v="Prescribed Hourly Rates"/>
    <s v="Profit Cost"/>
    <s v="KM"/>
    <s v="Y"/>
    <n v="69.45"/>
    <n v="13.89"/>
    <x v="7"/>
    <s v="VALIDATED"/>
    <n v="1"/>
    <s v="01.11.80.307.6100.0000"/>
    <n v="69.45"/>
    <s v="11"/>
    <s v="6100"/>
    <n v="5510.85"/>
    <n v="69.45"/>
    <s v="CREDITOR"/>
    <n v="0"/>
    <n v="0"/>
    <n v="0"/>
    <n v="0"/>
    <n v="69.45"/>
  </r>
  <r>
    <n v="16116379"/>
    <s v="N"/>
    <n v="21360475"/>
    <s v="3000007731850023"/>
    <s v="CIVIL"/>
    <d v="2023-06-28T00:00:00"/>
    <d v="2023-07-11T11:50:54"/>
    <m/>
    <d v="2023-07-11T00:00:00"/>
    <n v="534"/>
    <n v="13663"/>
    <s v="16116379"/>
    <s v="16116379"/>
    <m/>
    <m/>
    <n v="22784210"/>
    <m/>
    <m/>
    <m/>
    <s v="SOLFIN"/>
    <s v="SOLFIN"/>
    <s v="CCMS"/>
    <n v="21360475"/>
    <n v="14764.95"/>
    <m/>
    <s v="N"/>
    <n v="23"/>
    <d v="2023-07-11T11:51:05"/>
    <s v="Y"/>
    <s v="Preparation - other"/>
    <s v="Prescribed Hourly Rates"/>
    <s v="Profit Cost"/>
    <s v="KM"/>
    <s v="Y"/>
    <n v="6.31"/>
    <n v="1.26"/>
    <x v="7"/>
    <s v="VALIDATED"/>
    <n v="1"/>
    <s v="01.11.80.307.6100.0000"/>
    <n v="6.31"/>
    <s v="11"/>
    <s v="6100"/>
    <n v="5510.85"/>
    <n v="6.31"/>
    <s v="CREDITOR"/>
    <n v="0"/>
    <n v="0"/>
    <n v="0"/>
    <n v="0"/>
    <n v="6.31"/>
  </r>
  <r>
    <n v="62245097"/>
    <s v="N"/>
    <n v="21320439"/>
    <s v="3000016245830003"/>
    <s v="CIVIL"/>
    <d v="2023-06-28T00:00:00"/>
    <d v="2023-07-03T19:04:52"/>
    <m/>
    <d v="2023-07-03T00:00:00"/>
    <n v="534"/>
    <n v="13663"/>
    <s v="62245097"/>
    <s v="62245097"/>
    <m/>
    <m/>
    <n v="22780076"/>
    <m/>
    <m/>
    <m/>
    <s v="SOLPOA"/>
    <s v="SOLPOA"/>
    <s v="CCMS"/>
    <n v="21320439"/>
    <n v="162.96"/>
    <m/>
    <s v="N"/>
    <n v="1"/>
    <d v="2023-07-03T19:04:54"/>
    <s v="N"/>
    <s v="Expert Cost"/>
    <s v="Expert Cost"/>
    <s v="Expert Disbursement"/>
    <s v="CLARE MORTIMER"/>
    <s v="N"/>
    <n v="135.8"/>
    <n v="27.16"/>
    <x v="3"/>
    <s v="VALIDATED"/>
    <n v="1"/>
    <s v="01.11.80.308.2012.0000"/>
    <n v="135.8"/>
    <s v="11"/>
    <s v="2012"/>
    <n v="5510.85"/>
    <n v="135.8"/>
    <s v="CREDITOR"/>
    <n v="135.8"/>
    <n v="0"/>
    <n v="0"/>
    <n v="0"/>
    <n v="0"/>
  </r>
  <r>
    <n v="16116379"/>
    <s v="N"/>
    <n v="21360475"/>
    <s v="3000007731850023"/>
    <s v="CIVIL"/>
    <d v="2023-06-28T00:00:00"/>
    <d v="2023-07-11T11:50:54"/>
    <m/>
    <d v="2023-07-11T00:00:00"/>
    <n v="534"/>
    <n v="13663"/>
    <s v="16116379"/>
    <s v="16116379"/>
    <m/>
    <m/>
    <n v="22784210"/>
    <m/>
    <m/>
    <m/>
    <s v="SOLFIN"/>
    <s v="SOLFIN"/>
    <s v="CCMS"/>
    <n v="21360475"/>
    <n v="14764.95"/>
    <m/>
    <s v="N"/>
    <n v="31"/>
    <d v="2023-07-11T11:51:05"/>
    <s v="Y"/>
    <s v="Preparation - other"/>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62"/>
    <d v="2023-07-11T11:51:05"/>
    <s v="Y"/>
    <s v="Preparation - other"/>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119"/>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26"/>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73"/>
    <d v="2023-07-11T11:51:05"/>
    <s v="Y"/>
    <s v="Attendance upon client"/>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47"/>
    <d v="2023-07-11T11:51:05"/>
    <s v="Y"/>
    <s v="Preparation - drafting instructions"/>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60"/>
    <d v="2023-07-11T11:51:05"/>
    <s v="Y"/>
    <s v="Preparation - other"/>
    <s v="Prescribed Hourly Rates"/>
    <s v="Profit Cost"/>
    <s v="KM"/>
    <s v="Y"/>
    <n v="44.19"/>
    <n v="8.84"/>
    <x v="7"/>
    <s v="VALIDATED"/>
    <n v="1"/>
    <s v="01.11.80.307.6100.0000"/>
    <n v="44.19"/>
    <s v="11"/>
    <s v="6100"/>
    <n v="5510.85"/>
    <n v="44.19"/>
    <s v="CREDITOR"/>
    <n v="0"/>
    <n v="0"/>
    <n v="0"/>
    <n v="0"/>
    <n v="44.19"/>
  </r>
  <r>
    <n v="16116379"/>
    <s v="N"/>
    <n v="21360475"/>
    <s v="3000007731850023"/>
    <s v="CIVIL"/>
    <d v="2023-06-28T00:00:00"/>
    <d v="2023-07-11T11:50:54"/>
    <m/>
    <d v="2023-07-11T00:00:00"/>
    <n v="534"/>
    <n v="13663"/>
    <s v="16116379"/>
    <s v="16116379"/>
    <m/>
    <m/>
    <n v="22784210"/>
    <m/>
    <m/>
    <m/>
    <s v="SOLFIN"/>
    <s v="SOLFIN"/>
    <s v="CCMS"/>
    <n v="21360475"/>
    <n v="14764.95"/>
    <m/>
    <s v="N"/>
    <n v="65"/>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28"/>
    <d v="2023-07-11T11:51:05"/>
    <s v="Y"/>
    <s v="Attendance upon client"/>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29"/>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44"/>
    <d v="2023-07-11T11:51:05"/>
    <s v="Y"/>
    <s v="Attendance upon client"/>
    <s v="Prescribed Hourly Rates"/>
    <s v="Profit Cost"/>
    <s v="KM"/>
    <s v="Y"/>
    <n v="12.63"/>
    <n v="2.53"/>
    <x v="7"/>
    <s v="VALIDATED"/>
    <n v="1"/>
    <s v="01.11.80.307.6100.0000"/>
    <n v="12.63"/>
    <s v="11"/>
    <s v="6100"/>
    <n v="5510.85"/>
    <n v="12.63"/>
    <s v="CREDITOR"/>
    <n v="0"/>
    <n v="0"/>
    <n v="0"/>
    <n v="0"/>
    <n v="12.63"/>
  </r>
  <r>
    <n v="62294316"/>
    <s v="N"/>
    <n v="21319337"/>
    <s v="3000016286690001"/>
    <s v="CIVIL"/>
    <d v="2023-06-26T00:00:00"/>
    <d v="2023-07-03T19:04:24"/>
    <m/>
    <d v="2023-07-03T00:00:00"/>
    <n v="534"/>
    <n v="13663"/>
    <s v="62294316"/>
    <s v="62294316"/>
    <m/>
    <m/>
    <n v="22764230"/>
    <m/>
    <m/>
    <m/>
    <s v="SOLPOA"/>
    <s v="SOLPOA"/>
    <s v="CCMS"/>
    <n v="21319337"/>
    <n v="140.58"/>
    <m/>
    <s v="N"/>
    <n v="1"/>
    <d v="2023-07-03T19:04:25"/>
    <s v="N"/>
    <s v="Expert Cost"/>
    <s v="Expert Cost"/>
    <s v="Expert Disbursement"/>
    <s v="CLARE MORTIMER"/>
    <s v="N"/>
    <n v="117.15"/>
    <n v="23.43"/>
    <x v="3"/>
    <s v="VALIDATED"/>
    <n v="1"/>
    <s v="01.11.80.308.2012.0000"/>
    <n v="117.15"/>
    <s v="11"/>
    <s v="2012"/>
    <n v="5510.85"/>
    <n v="117.15"/>
    <s v="CREDITOR"/>
    <n v="117.15"/>
    <n v="0"/>
    <n v="0"/>
    <n v="0"/>
    <n v="0"/>
  </r>
  <r>
    <n v="60121206"/>
    <s v="N"/>
    <n v="21382322"/>
    <s v="3000014450460009"/>
    <s v="CIVIL"/>
    <d v="2023-06-30T00:00:00"/>
    <d v="2023-07-17T19:01:46"/>
    <m/>
    <d v="2023-07-17T00:00:00"/>
    <n v="534"/>
    <n v="13663"/>
    <s v="60121206"/>
    <s v="60121206"/>
    <m/>
    <m/>
    <n v="22798194"/>
    <m/>
    <m/>
    <m/>
    <s v="SOLFIN"/>
    <s v="SOLFIN"/>
    <s v="CCMS"/>
    <n v="21382322"/>
    <n v="5869.52"/>
    <m/>
    <s v="N"/>
    <n v="6"/>
    <d v="2023-07-17T19:02:06"/>
    <s v="Y"/>
    <s v="Client Travel Expenses"/>
    <s v="Public Law Children"/>
    <s v="Non Expert Disbursement"/>
    <s v="ROBERT MAHER"/>
    <s v="Y"/>
    <n v="9.779999999999999"/>
    <n v="0"/>
    <x v="8"/>
    <s v="VALIDATED"/>
    <n v="1"/>
    <s v="01.11.80.308.6300.0000"/>
    <n v="9.779999999999999"/>
    <s v="11"/>
    <s v="6300"/>
    <n v="5510.85"/>
    <n v="9.779999999999999"/>
    <s v="CREDITOR"/>
    <n v="0"/>
    <n v="0"/>
    <n v="0"/>
    <n v="0"/>
    <n v="9.779999999999999"/>
  </r>
  <r>
    <n v="16116379"/>
    <s v="N"/>
    <n v="21360475"/>
    <s v="3000007731850023"/>
    <s v="CIVIL"/>
    <d v="2023-06-28T00:00:00"/>
    <d v="2023-07-11T11:50:54"/>
    <m/>
    <d v="2023-07-11T00:00:00"/>
    <n v="534"/>
    <n v="13663"/>
    <s v="16116379"/>
    <s v="16116379"/>
    <m/>
    <m/>
    <n v="22784210"/>
    <m/>
    <m/>
    <m/>
    <s v="SOLFIN"/>
    <s v="SOLFIN"/>
    <s v="CCMS"/>
    <n v="21360475"/>
    <n v="14764.95"/>
    <m/>
    <s v="N"/>
    <n v="25"/>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44"/>
    <d v="2023-07-11T11:51:05"/>
    <s v="Y"/>
    <s v="Attendance upon other"/>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134"/>
    <d v="2023-07-11T11:51:05"/>
    <s v="Y"/>
    <s v="Preparation - drafting bill/claim f"/>
    <s v="Prescribed Hourly Rates"/>
    <s v="Profit Cost"/>
    <s v="RB"/>
    <s v="Y"/>
    <n v="433.71"/>
    <n v="86.75"/>
    <x v="7"/>
    <s v="VALIDATED"/>
    <n v="1"/>
    <s v="01.11.80.307.6100.0000"/>
    <n v="433.71"/>
    <s v="11"/>
    <s v="6100"/>
    <n v="5510.85"/>
    <n v="433.71"/>
    <s v="CREDITOR"/>
    <n v="0"/>
    <n v="0"/>
    <n v="0"/>
    <n v="0"/>
    <n v="433.71"/>
  </r>
  <r>
    <n v="16116379"/>
    <s v="N"/>
    <n v="21360475"/>
    <s v="3000007731850023"/>
    <s v="CIVIL"/>
    <d v="2023-06-28T00:00:00"/>
    <d v="2023-07-11T11:50:54"/>
    <m/>
    <d v="2023-07-11T00:00:00"/>
    <n v="534"/>
    <n v="13663"/>
    <s v="16116379"/>
    <s v="16116379"/>
    <m/>
    <m/>
    <n v="22784210"/>
    <m/>
    <m/>
    <m/>
    <s v="SOLFIN"/>
    <s v="SOLFIN"/>
    <s v="CCMS"/>
    <n v="21360475"/>
    <n v="14764.95"/>
    <m/>
    <s v="N"/>
    <n v="140"/>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41"/>
    <d v="2023-07-11T11:51:05"/>
    <s v="Y"/>
    <s v="Attendance upon other"/>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95"/>
    <d v="2023-07-11T11:51:05"/>
    <s v="Y"/>
    <s v="Attendance upon client"/>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123"/>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87"/>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92"/>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00"/>
    <d v="2023-07-11T11:51:05"/>
    <s v="Y"/>
    <s v="Attendance upon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04"/>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48"/>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132"/>
    <d v="2023-07-11T11:51:05"/>
    <s v="Y"/>
    <s v="Attendance upon client"/>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99"/>
    <d v="2023-07-11T11:51:05"/>
    <s v="Y"/>
    <s v="Attendance upon other"/>
    <s v="Prescribed Hourly Rates"/>
    <s v="Profit Cost"/>
    <s v="VC"/>
    <s v="Y"/>
    <n v="10.98"/>
    <n v="2.2"/>
    <x v="7"/>
    <s v="VALIDATED"/>
    <n v="1"/>
    <s v="01.11.80.307.6100.0000"/>
    <n v="10.98"/>
    <s v="11"/>
    <s v="6100"/>
    <n v="5510.85"/>
    <n v="10.98"/>
    <s v="CREDITOR"/>
    <n v="0"/>
    <n v="0"/>
    <n v="0"/>
    <n v="0"/>
    <n v="10.98"/>
  </r>
  <r>
    <n v="16116379"/>
    <s v="N"/>
    <n v="21360475"/>
    <s v="3000007731850023"/>
    <s v="CIVIL"/>
    <d v="2023-06-28T00:00:00"/>
    <d v="2023-07-11T11:50:54"/>
    <m/>
    <d v="2023-07-11T00:00:00"/>
    <n v="534"/>
    <n v="13663"/>
    <s v="16116379"/>
    <s v="16116379"/>
    <m/>
    <m/>
    <n v="22784210"/>
    <m/>
    <m/>
    <m/>
    <s v="SOLFIN"/>
    <s v="SOLFIN"/>
    <s v="CCMS"/>
    <n v="21360475"/>
    <n v="14764.95"/>
    <m/>
    <s v="N"/>
    <n v="28"/>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54"/>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75"/>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32"/>
    <d v="2023-07-11T11:51:05"/>
    <s v="Y"/>
    <s v="Preparation - drafting instructions"/>
    <s v="Prescribed Hourly Rates"/>
    <s v="Profit Cost"/>
    <s v="KM"/>
    <s v="Y"/>
    <n v="44.19"/>
    <n v="8.84"/>
    <x v="7"/>
    <s v="VALIDATED"/>
    <n v="1"/>
    <s v="01.11.80.307.6100.0000"/>
    <n v="44.19"/>
    <s v="11"/>
    <s v="6100"/>
    <n v="5510.85"/>
    <n v="44.19"/>
    <s v="CREDITOR"/>
    <n v="0"/>
    <n v="0"/>
    <n v="0"/>
    <n v="0"/>
    <n v="44.19"/>
  </r>
  <r>
    <n v="16116379"/>
    <s v="N"/>
    <n v="21360475"/>
    <s v="3000007731850023"/>
    <s v="CIVIL"/>
    <d v="2023-06-28T00:00:00"/>
    <d v="2023-07-11T11:50:54"/>
    <m/>
    <d v="2023-07-11T00:00:00"/>
    <n v="534"/>
    <n v="13663"/>
    <s v="16116379"/>
    <s v="16116379"/>
    <m/>
    <m/>
    <n v="22784210"/>
    <m/>
    <m/>
    <m/>
    <s v="SOLFIN"/>
    <s v="SOLFIN"/>
    <s v="CCMS"/>
    <n v="21360475"/>
    <n v="14764.95"/>
    <m/>
    <s v="N"/>
    <n v="88"/>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69"/>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31"/>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38"/>
    <d v="2023-07-11T11:51:05"/>
    <s v="Y"/>
    <s v="Preparation - drafting instructions"/>
    <s v="Prescribed Hourly Rates"/>
    <s v="Profit Cost"/>
    <s v="KM"/>
    <s v="Y"/>
    <n v="37.88"/>
    <n v="7.58"/>
    <x v="7"/>
    <s v="VALIDATED"/>
    <n v="1"/>
    <s v="01.11.80.307.6100.0000"/>
    <n v="37.88"/>
    <s v="11"/>
    <s v="6100"/>
    <n v="5510.85"/>
    <n v="37.88"/>
    <s v="CREDITOR"/>
    <n v="0"/>
    <n v="0"/>
    <n v="0"/>
    <n v="0"/>
    <n v="37.88"/>
  </r>
  <r>
    <n v="60121206"/>
    <s v="N"/>
    <n v="21382322"/>
    <s v="3000014450460009"/>
    <s v="CIVIL"/>
    <d v="2023-06-30T00:00:00"/>
    <d v="2023-07-17T19:01:46"/>
    <m/>
    <d v="2023-07-17T00:00:00"/>
    <n v="534"/>
    <n v="13663"/>
    <s v="60121206"/>
    <s v="60121206"/>
    <m/>
    <m/>
    <n v="22798194"/>
    <m/>
    <m/>
    <m/>
    <s v="SOLFIN"/>
    <s v="SOLFIN"/>
    <s v="CCMS"/>
    <n v="21382322"/>
    <n v="5869.52"/>
    <m/>
    <s v="N"/>
    <n v="5"/>
    <d v="2023-07-17T19:02:06"/>
    <s v="Y"/>
    <s v="Client Travel Expenses"/>
    <s v="Public Law Children"/>
    <s v="Non Expert Disbursement"/>
    <s v="ROBERT MAHER"/>
    <s v="Y"/>
    <n v="30"/>
    <n v="0"/>
    <x v="8"/>
    <s v="VALIDATED"/>
    <n v="1"/>
    <s v="01.11.80.308.6300.0000"/>
    <n v="30"/>
    <s v="11"/>
    <s v="6300"/>
    <n v="5510.85"/>
    <n v="30"/>
    <s v="CREDITOR"/>
    <n v="0"/>
    <n v="0"/>
    <n v="0"/>
    <n v="0"/>
    <n v="30"/>
  </r>
  <r>
    <n v="16116379"/>
    <s v="N"/>
    <n v="21360475"/>
    <s v="3000007731850023"/>
    <s v="CIVIL"/>
    <d v="2023-06-28T00:00:00"/>
    <d v="2023-07-11T11:50:54"/>
    <m/>
    <d v="2023-07-11T00:00:00"/>
    <n v="534"/>
    <n v="13663"/>
    <s v="16116379"/>
    <s v="16116379"/>
    <m/>
    <m/>
    <n v="22784210"/>
    <m/>
    <m/>
    <m/>
    <s v="SOLFIN"/>
    <s v="SOLFIN"/>
    <s v="CCMS"/>
    <n v="21360475"/>
    <n v="14764.95"/>
    <m/>
    <s v="N"/>
    <n v="49"/>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66"/>
    <d v="2023-07-11T11:51:05"/>
    <s v="Y"/>
    <s v="Preparation - drafting instructions"/>
    <s v="Prescribed Hourly Rates"/>
    <s v="Profit Cost"/>
    <s v="KM"/>
    <s v="Y"/>
    <n v="50.51"/>
    <n v="10.1"/>
    <x v="7"/>
    <s v="VALIDATED"/>
    <n v="1"/>
    <s v="01.11.80.307.6100.0000"/>
    <n v="50.51"/>
    <s v="11"/>
    <s v="6100"/>
    <n v="5510.85"/>
    <n v="50.51"/>
    <s v="CREDITOR"/>
    <n v="0"/>
    <n v="0"/>
    <n v="0"/>
    <n v="0"/>
    <n v="50.51"/>
  </r>
  <r>
    <n v="16116379"/>
    <s v="N"/>
    <n v="21360475"/>
    <s v="3000007731850023"/>
    <s v="CIVIL"/>
    <d v="2023-06-28T00:00:00"/>
    <d v="2023-07-11T11:50:54"/>
    <m/>
    <d v="2023-07-11T00:00:00"/>
    <n v="534"/>
    <n v="13663"/>
    <s v="16116379"/>
    <s v="16116379"/>
    <m/>
    <m/>
    <n v="22784210"/>
    <m/>
    <m/>
    <m/>
    <s v="SOLFIN"/>
    <s v="SOLFIN"/>
    <s v="CCMS"/>
    <n v="21360475"/>
    <n v="14764.95"/>
    <m/>
    <s v="N"/>
    <n v="112"/>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03"/>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24"/>
    <d v="2023-07-11T11:51:05"/>
    <s v="Y"/>
    <s v="Preparation - drafting instructions"/>
    <s v="Prescribed Hourly Rates"/>
    <s v="Profit Cost"/>
    <s v="KM"/>
    <s v="Y"/>
    <n v="37.88"/>
    <n v="7.58"/>
    <x v="7"/>
    <s v="VALIDATED"/>
    <n v="1"/>
    <s v="01.11.80.307.6100.0000"/>
    <n v="37.88"/>
    <s v="11"/>
    <s v="6100"/>
    <n v="5510.85"/>
    <n v="37.88"/>
    <s v="CREDITOR"/>
    <n v="0"/>
    <n v="0"/>
    <n v="0"/>
    <n v="0"/>
    <n v="37.88"/>
  </r>
  <r>
    <n v="16116379"/>
    <s v="N"/>
    <n v="21360475"/>
    <s v="3000007731850023"/>
    <s v="CIVIL"/>
    <d v="2023-06-28T00:00:00"/>
    <d v="2023-07-11T11:50:54"/>
    <m/>
    <d v="2023-07-11T00:00:00"/>
    <n v="534"/>
    <n v="13663"/>
    <s v="16116379"/>
    <s v="16116379"/>
    <m/>
    <m/>
    <n v="22784210"/>
    <m/>
    <m/>
    <m/>
    <s v="SOLFIN"/>
    <s v="SOLFIN"/>
    <s v="CCMS"/>
    <n v="21360475"/>
    <n v="14764.95"/>
    <m/>
    <s v="N"/>
    <n v="12"/>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50"/>
    <d v="2023-07-11T11:51:05"/>
    <s v="Y"/>
    <s v="Attendance upon client"/>
    <s v="Prescribed Hourly Rates"/>
    <s v="Profit Cost"/>
    <s v="KM"/>
    <s v="Y"/>
    <n v="69.45"/>
    <n v="13.89"/>
    <x v="7"/>
    <s v="VALIDATED"/>
    <n v="1"/>
    <s v="01.11.80.307.6100.0000"/>
    <n v="69.45"/>
    <s v="11"/>
    <s v="6100"/>
    <n v="5510.85"/>
    <n v="69.45"/>
    <s v="CREDITOR"/>
    <n v="0"/>
    <n v="0"/>
    <n v="0"/>
    <n v="0"/>
    <n v="69.45"/>
  </r>
  <r>
    <n v="60121206"/>
    <s v="N"/>
    <n v="21382322"/>
    <s v="3000014450460009"/>
    <s v="CIVIL"/>
    <d v="2023-06-30T00:00:00"/>
    <d v="2023-07-17T19:01:46"/>
    <m/>
    <d v="2023-07-17T00:00:00"/>
    <n v="534"/>
    <n v="13663"/>
    <s v="60121206"/>
    <s v="60121206"/>
    <m/>
    <m/>
    <n v="22798194"/>
    <m/>
    <m/>
    <m/>
    <s v="SOLFIN"/>
    <s v="SOLFIN"/>
    <s v="CCMS"/>
    <n v="21382322"/>
    <n v="5869.52"/>
    <m/>
    <s v="N"/>
    <n v="3"/>
    <d v="2023-07-17T19:02:06"/>
    <s v="Y"/>
    <s v="Psychiatrist"/>
    <s v="Public Law Children"/>
    <s v="Expert Disbursement"/>
    <s v="ROBERT MAHER"/>
    <s v="Y"/>
    <n v="243"/>
    <n v="0"/>
    <x v="8"/>
    <s v="VALIDATED"/>
    <n v="1"/>
    <s v="01.11.80.308.6300.0000"/>
    <n v="243"/>
    <s v="11"/>
    <s v="6300"/>
    <n v="5510.85"/>
    <n v="243"/>
    <s v="CREDITOR"/>
    <n v="0"/>
    <n v="0"/>
    <n v="0"/>
    <n v="0"/>
    <n v="243"/>
  </r>
  <r>
    <n v="60121206"/>
    <s v="N"/>
    <n v="21382322"/>
    <s v="3000014450460009"/>
    <s v="CIVIL"/>
    <d v="2023-06-30T00:00:00"/>
    <d v="2023-07-17T19:01:46"/>
    <m/>
    <d v="2023-07-17T00:00:00"/>
    <n v="534"/>
    <n v="13663"/>
    <s v="60121206"/>
    <s v="60121206"/>
    <m/>
    <m/>
    <n v="22798194"/>
    <m/>
    <m/>
    <m/>
    <s v="SOLFIN"/>
    <s v="SOLFIN"/>
    <s v="CCMS"/>
    <n v="21382322"/>
    <n v="5869.52"/>
    <m/>
    <s v="N"/>
    <n v="7"/>
    <d v="2023-07-17T19:02:06"/>
    <s v="Y"/>
    <s v="Toxicologist"/>
    <s v="Public Law Children"/>
    <s v="Expert Disbursement"/>
    <s v="ROBERT MAHER"/>
    <s v="Y"/>
    <n v="226.5"/>
    <n v="45.3"/>
    <x v="8"/>
    <s v="VALIDATED"/>
    <n v="1"/>
    <s v="01.11.80.308.6300.0000"/>
    <n v="226.5"/>
    <s v="11"/>
    <s v="6300"/>
    <n v="5510.85"/>
    <n v="226.5"/>
    <s v="CREDITOR"/>
    <n v="0"/>
    <n v="0"/>
    <n v="0"/>
    <n v="0"/>
    <n v="226.5"/>
  </r>
  <r>
    <n v="16116379"/>
    <s v="N"/>
    <n v="21360475"/>
    <s v="3000007731850023"/>
    <s v="CIVIL"/>
    <d v="2023-06-28T00:00:00"/>
    <d v="2023-07-11T11:50:54"/>
    <m/>
    <d v="2023-07-11T00:00:00"/>
    <n v="534"/>
    <n v="13663"/>
    <s v="16116379"/>
    <s v="16116379"/>
    <m/>
    <m/>
    <n v="22784210"/>
    <m/>
    <m/>
    <m/>
    <s v="SOLFIN"/>
    <s v="SOLFIN"/>
    <s v="CCMS"/>
    <n v="21360475"/>
    <n v="14764.95"/>
    <m/>
    <s v="N"/>
    <n v="158"/>
    <d v="2023-07-11T11:51:05"/>
    <s v="Y"/>
    <s v="Routine Letter In"/>
    <s v="Prescribed Hourly Rates"/>
    <s v="Profit Cost"/>
    <s v="CF"/>
    <s v="Y"/>
    <n v="194.4"/>
    <n v="38.88"/>
    <x v="7"/>
    <s v="VALIDATED"/>
    <n v="1"/>
    <s v="01.11.80.307.6100.0000"/>
    <n v="194.4"/>
    <s v="11"/>
    <s v="6100"/>
    <n v="5510.85"/>
    <n v="194.4"/>
    <s v="CREDITOR"/>
    <n v="0"/>
    <n v="0"/>
    <n v="0"/>
    <n v="0"/>
    <n v="194.4"/>
  </r>
  <r>
    <n v="16116379"/>
    <s v="N"/>
    <n v="21360475"/>
    <s v="3000007731850023"/>
    <s v="CIVIL"/>
    <d v="2023-06-28T00:00:00"/>
    <d v="2023-07-11T11:50:54"/>
    <m/>
    <d v="2023-07-11T00:00:00"/>
    <n v="534"/>
    <n v="13663"/>
    <s v="16116379"/>
    <s v="16116379"/>
    <m/>
    <m/>
    <n v="22784210"/>
    <m/>
    <m/>
    <m/>
    <s v="SOLFIN"/>
    <s v="SOLFIN"/>
    <s v="CCMS"/>
    <n v="21360475"/>
    <n v="14764.95"/>
    <m/>
    <s v="N"/>
    <n v="116"/>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35"/>
    <d v="2023-07-11T11:51:05"/>
    <s v="Y"/>
    <s v="Preparation - other"/>
    <s v="Prescribed Hourly Rates"/>
    <s v="Profit Cost"/>
    <s v="KM"/>
    <s v="Y"/>
    <n v="31.57"/>
    <n v="6.31"/>
    <x v="7"/>
    <s v="VALIDATED"/>
    <n v="1"/>
    <s v="01.11.80.307.6100.0000"/>
    <n v="31.57"/>
    <s v="11"/>
    <s v="6100"/>
    <n v="5510.85"/>
    <n v="31.57"/>
    <s v="CREDITOR"/>
    <n v="0"/>
    <n v="0"/>
    <n v="0"/>
    <n v="0"/>
    <n v="31.57"/>
  </r>
  <r>
    <n v="60121206"/>
    <s v="N"/>
    <n v="21382322"/>
    <s v="3000014450460009"/>
    <s v="CIVIL"/>
    <d v="2023-06-30T00:00:00"/>
    <d v="2023-07-17T19:01:46"/>
    <m/>
    <d v="2023-07-17T00:00:00"/>
    <n v="534"/>
    <n v="13663"/>
    <s v="60121206"/>
    <s v="60121206"/>
    <m/>
    <m/>
    <n v="22798194"/>
    <m/>
    <m/>
    <m/>
    <s v="SOLFIN"/>
    <s v="SOLFIN"/>
    <s v="CCMS"/>
    <n v="21382322"/>
    <n v="5869.52"/>
    <m/>
    <s v="N"/>
    <n v="10"/>
    <d v="2023-07-17T19:02:06"/>
    <s v="Y"/>
    <s v="Solicitors Fixed Fee"/>
    <s v="Public Law Children"/>
    <s v="Profit Cost"/>
    <s v="ROBERT MAHER"/>
    <s v="Y"/>
    <n v="2616"/>
    <n v="523.2"/>
    <x v="8"/>
    <s v="VALIDATED"/>
    <n v="1"/>
    <s v="01.11.80.308.6100.0000"/>
    <n v="2616"/>
    <s v="11"/>
    <s v="6100"/>
    <n v="5510.85"/>
    <n v="2616"/>
    <s v="CREDITOR"/>
    <n v="0"/>
    <n v="0"/>
    <n v="0"/>
    <n v="0"/>
    <n v="2616"/>
  </r>
  <r>
    <n v="16116379"/>
    <s v="N"/>
    <n v="21360475"/>
    <s v="3000007731850023"/>
    <s v="CIVIL"/>
    <d v="2023-06-28T00:00:00"/>
    <d v="2023-07-11T11:50:54"/>
    <m/>
    <d v="2023-07-11T00:00:00"/>
    <n v="534"/>
    <n v="13663"/>
    <s v="16116379"/>
    <s v="16116379"/>
    <m/>
    <m/>
    <n v="22784210"/>
    <m/>
    <m/>
    <m/>
    <s v="SOLFIN"/>
    <s v="SOLFIN"/>
    <s v="CCMS"/>
    <n v="21360475"/>
    <n v="14764.95"/>
    <m/>
    <s v="N"/>
    <n v="85"/>
    <d v="2023-07-11T11:51:05"/>
    <s v="Y"/>
    <s v="Attendance upon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93"/>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1"/>
    <d v="2023-07-11T11:51:05"/>
    <s v="Y"/>
    <s v="Police Records"/>
    <s v="Prescribed Hourly Rates"/>
    <s v="Non Expert Disbursement"/>
    <s v="XXX"/>
    <s v="Y"/>
    <n v="72.5"/>
    <n v="14.5"/>
    <x v="7"/>
    <s v="VALIDATED"/>
    <n v="1"/>
    <s v="01.11.80.307.6300.0000"/>
    <n v="72.5"/>
    <s v="11"/>
    <s v="6300"/>
    <n v="5510.85"/>
    <n v="72.5"/>
    <s v="CREDITOR"/>
    <n v="0"/>
    <n v="0"/>
    <n v="0"/>
    <n v="0"/>
    <n v="72.5"/>
  </r>
  <r>
    <n v="16116379"/>
    <s v="N"/>
    <n v="21360475"/>
    <s v="3000007731850023"/>
    <s v="CIVIL"/>
    <d v="2023-06-28T00:00:00"/>
    <d v="2023-07-11T11:50:54"/>
    <m/>
    <d v="2023-07-11T00:00:00"/>
    <n v="534"/>
    <n v="13663"/>
    <s v="16116379"/>
    <s v="16116379"/>
    <m/>
    <m/>
    <n v="22784210"/>
    <m/>
    <m/>
    <m/>
    <s v="SOLFIN"/>
    <s v="SOLFIN"/>
    <s v="CCMS"/>
    <n v="21360475"/>
    <n v="14764.95"/>
    <m/>
    <s v="N"/>
    <n v="52"/>
    <d v="2023-07-11T11:51:05"/>
    <s v="Y"/>
    <s v="Preparation - other"/>
    <s v="Prescribed Hourly Rates"/>
    <s v="Profit Cost"/>
    <s v="KM"/>
    <s v="Y"/>
    <n v="31.57"/>
    <n v="6.31"/>
    <x v="7"/>
    <s v="VALIDATED"/>
    <n v="1"/>
    <s v="01.11.80.307.6100.0000"/>
    <n v="31.57"/>
    <s v="11"/>
    <s v="6100"/>
    <n v="5510.85"/>
    <n v="31.57"/>
    <s v="CREDITOR"/>
    <n v="0"/>
    <n v="0"/>
    <n v="0"/>
    <n v="0"/>
    <n v="31.57"/>
  </r>
  <r>
    <n v="16116379"/>
    <s v="N"/>
    <n v="21360475"/>
    <s v="3000007731850023"/>
    <s v="CIVIL"/>
    <d v="2023-06-28T00:00:00"/>
    <d v="2023-07-11T11:50:54"/>
    <m/>
    <d v="2023-07-11T00:00:00"/>
    <n v="534"/>
    <n v="13663"/>
    <s v="16116379"/>
    <s v="16116379"/>
    <m/>
    <m/>
    <n v="22784210"/>
    <m/>
    <m/>
    <m/>
    <s v="SOLFIN"/>
    <s v="SOLFIN"/>
    <s v="CCMS"/>
    <n v="21360475"/>
    <n v="14764.95"/>
    <m/>
    <s v="N"/>
    <n v="89"/>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70"/>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54"/>
    <d v="2023-07-11T11:51:05"/>
    <s v="Y"/>
    <s v="Routine Telephone Call"/>
    <s v="Prescribed Hourly Rates"/>
    <s v="Profit Cost"/>
    <s v="CF"/>
    <s v="Y"/>
    <n v="43.2"/>
    <n v="8.640000000000001"/>
    <x v="7"/>
    <s v="VALIDATED"/>
    <n v="1"/>
    <s v="01.11.80.307.6100.0000"/>
    <n v="43.2"/>
    <s v="11"/>
    <s v="6100"/>
    <n v="5510.85"/>
    <n v="43.2"/>
    <s v="CREDITOR"/>
    <n v="0"/>
    <n v="0"/>
    <n v="0"/>
    <n v="0"/>
    <n v="43.2"/>
  </r>
  <r>
    <n v="16116379"/>
    <s v="N"/>
    <n v="21360475"/>
    <s v="3000007731850023"/>
    <s v="CIVIL"/>
    <d v="2023-06-28T00:00:00"/>
    <d v="2023-07-11T11:50:54"/>
    <m/>
    <d v="2023-07-11T00:00:00"/>
    <n v="534"/>
    <n v="13663"/>
    <s v="16116379"/>
    <s v="16116379"/>
    <m/>
    <m/>
    <n v="22784210"/>
    <m/>
    <m/>
    <m/>
    <s v="SOLFIN"/>
    <s v="SOLFIN"/>
    <s v="CCMS"/>
    <n v="21360475"/>
    <n v="14764.95"/>
    <m/>
    <s v="N"/>
    <n v="33"/>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51"/>
    <d v="2023-07-11T11:51:05"/>
    <s v="Y"/>
    <s v="Preparation - other"/>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97"/>
    <d v="2023-07-11T11:51:05"/>
    <s v="Y"/>
    <s v="Preparation - other"/>
    <s v="Prescribed Hourly Rates"/>
    <s v="Profit Cost"/>
    <s v="KM"/>
    <s v="Y"/>
    <n v="18.94"/>
    <n v="3.79"/>
    <x v="7"/>
    <s v="VALIDATED"/>
    <n v="1"/>
    <s v="01.11.80.307.6100.0000"/>
    <n v="18.94"/>
    <s v="11"/>
    <s v="6100"/>
    <n v="5510.85"/>
    <n v="18.94"/>
    <s v="CREDITOR"/>
    <n v="0"/>
    <n v="0"/>
    <n v="0"/>
    <n v="0"/>
    <n v="18.94"/>
  </r>
  <r>
    <n v="16116379"/>
    <s v="N"/>
    <n v="21360475"/>
    <s v="3000007731850023"/>
    <s v="CIVIL"/>
    <d v="2023-06-28T00:00:00"/>
    <d v="2023-07-11T11:50:54"/>
    <m/>
    <d v="2023-07-11T00:00:00"/>
    <n v="534"/>
    <n v="13663"/>
    <s v="16116379"/>
    <s v="16116379"/>
    <m/>
    <m/>
    <n v="22784210"/>
    <m/>
    <m/>
    <m/>
    <s v="SOLFIN"/>
    <s v="SOLFIN"/>
    <s v="CCMS"/>
    <n v="21360475"/>
    <n v="14764.95"/>
    <m/>
    <s v="N"/>
    <n v="101"/>
    <d v="2023-07-11T11:51:05"/>
    <s v="Y"/>
    <s v="Preparation - other"/>
    <s v="Prescribed Hourly Rates"/>
    <s v="Profit Cost"/>
    <s v="KM"/>
    <s v="Y"/>
    <n v="88.39"/>
    <n v="17.68"/>
    <x v="7"/>
    <s v="VALIDATED"/>
    <n v="1"/>
    <s v="01.11.80.307.6100.0000"/>
    <n v="88.39"/>
    <s v="11"/>
    <s v="6100"/>
    <n v="5510.85"/>
    <n v="88.39"/>
    <s v="CREDITOR"/>
    <n v="0"/>
    <n v="0"/>
    <n v="0"/>
    <n v="0"/>
    <n v="88.39"/>
  </r>
  <r>
    <n v="62039033"/>
    <s v="N"/>
    <n v="21320550"/>
    <s v="3000016076170007"/>
    <s v="CIVIL"/>
    <d v="2023-06-28T00:00:00"/>
    <d v="2023-07-03T19:04:52"/>
    <m/>
    <d v="2023-07-03T00:00:00"/>
    <n v="534"/>
    <n v="13663"/>
    <s v="62039033"/>
    <s v="62039033"/>
    <m/>
    <m/>
    <n v="22783622"/>
    <m/>
    <m/>
    <m/>
    <s v="SOLPOA"/>
    <s v="SOLPOA"/>
    <s v="CCMS"/>
    <n v="21320550"/>
    <n v="303.6"/>
    <m/>
    <s v="N"/>
    <n v="1"/>
    <d v="2023-07-03T19:04:55"/>
    <s v="N"/>
    <s v="Expert Cost"/>
    <s v="Expert Cost"/>
    <s v="Expert Disbursement"/>
    <s v="CLARE MORTIMER"/>
    <s v="N"/>
    <n v="253"/>
    <n v="50.6"/>
    <x v="3"/>
    <s v="VALIDATED"/>
    <n v="1"/>
    <s v="01.11.80.308.2012.0000"/>
    <n v="253"/>
    <s v="11"/>
    <s v="2012"/>
    <n v="5510.85"/>
    <n v="253"/>
    <s v="CREDITOR"/>
    <n v="253"/>
    <n v="0"/>
    <n v="0"/>
    <n v="0"/>
    <n v="0"/>
  </r>
  <r>
    <n v="60121206"/>
    <s v="N"/>
    <n v="21382322"/>
    <s v="3000014450460009"/>
    <s v="CIVIL"/>
    <d v="2023-06-30T00:00:00"/>
    <d v="2023-07-17T19:01:46"/>
    <m/>
    <d v="2023-07-17T00:00:00"/>
    <n v="534"/>
    <n v="13663"/>
    <s v="60121206"/>
    <s v="60121206"/>
    <m/>
    <m/>
    <n v="22798194"/>
    <m/>
    <m/>
    <m/>
    <s v="SOLFIN"/>
    <s v="SOLFIN"/>
    <s v="CCMS"/>
    <n v="21382322"/>
    <n v="5869.52"/>
    <m/>
    <s v="N"/>
    <n v="4"/>
    <d v="2023-07-17T19:02:06"/>
    <s v="Y"/>
    <s v="Client Travel Expenses"/>
    <s v="Public Law Children"/>
    <s v="Non Expert Disbursement"/>
    <s v="ROBERT MAHER"/>
    <s v="Y"/>
    <n v="11.95"/>
    <n v="0"/>
    <x v="8"/>
    <s v="VALIDATED"/>
    <n v="1"/>
    <s v="01.11.80.308.6300.0000"/>
    <n v="11.95"/>
    <s v="11"/>
    <s v="6300"/>
    <n v="5510.85"/>
    <n v="11.95"/>
    <s v="CREDITOR"/>
    <n v="0"/>
    <n v="0"/>
    <n v="0"/>
    <n v="0"/>
    <n v="11.95"/>
  </r>
  <r>
    <n v="16116379"/>
    <s v="N"/>
    <n v="21360475"/>
    <s v="3000007731850023"/>
    <s v="CIVIL"/>
    <d v="2023-06-28T00:00:00"/>
    <d v="2023-07-11T11:50:54"/>
    <m/>
    <d v="2023-07-11T00:00:00"/>
    <n v="534"/>
    <n v="13663"/>
    <s v="16116379"/>
    <s v="16116379"/>
    <m/>
    <m/>
    <n v="22784210"/>
    <m/>
    <m/>
    <m/>
    <s v="SOLFIN"/>
    <s v="SOLFIN"/>
    <s v="CCMS"/>
    <n v="21360475"/>
    <n v="14764.95"/>
    <m/>
    <s v="N"/>
    <n v="16"/>
    <d v="2023-07-11T11:51:05"/>
    <s v="Y"/>
    <s v="Attendance upon client"/>
    <s v="Prescribed Hourly Rates"/>
    <s v="Profit Cost"/>
    <s v="KM"/>
    <s v="Y"/>
    <n v="12.63"/>
    <n v="2.53"/>
    <x v="7"/>
    <s v="VALIDATED"/>
    <n v="1"/>
    <s v="01.11.80.307.6100.0000"/>
    <n v="12.63"/>
    <s v="11"/>
    <s v="6100"/>
    <n v="5510.85"/>
    <n v="12.63"/>
    <s v="CREDITOR"/>
    <n v="0"/>
    <n v="0"/>
    <n v="0"/>
    <n v="0"/>
    <n v="12.63"/>
  </r>
  <r>
    <n v="16116379"/>
    <s v="N"/>
    <n v="21360475"/>
    <s v="3000007731850023"/>
    <s v="CIVIL"/>
    <d v="2023-06-28T00:00:00"/>
    <d v="2023-07-11T11:50:54"/>
    <m/>
    <d v="2023-07-11T00:00:00"/>
    <n v="534"/>
    <n v="13663"/>
    <s v="16116379"/>
    <s v="16116379"/>
    <m/>
    <m/>
    <n v="22784210"/>
    <m/>
    <m/>
    <m/>
    <s v="SOLFIN"/>
    <s v="SOLFIN"/>
    <s v="CCMS"/>
    <n v="21360475"/>
    <n v="14764.95"/>
    <m/>
    <s v="N"/>
    <n v="58"/>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98"/>
    <d v="2023-07-11T11:51:05"/>
    <s v="Y"/>
    <s v="Preparation - other"/>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120"/>
    <d v="2023-07-11T11:51:05"/>
    <s v="Y"/>
    <s v="Attendance upon other"/>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81"/>
    <d v="2023-07-11T11:51:05"/>
    <s v="Y"/>
    <s v="Preparation - other"/>
    <s v="Prescribed Hourly Rates"/>
    <s v="Profit Cost"/>
    <s v="KM"/>
    <s v="Y"/>
    <n v="6.31"/>
    <n v="1.26"/>
    <x v="7"/>
    <s v="VALIDATED"/>
    <n v="1"/>
    <s v="01.11.80.307.6100.0000"/>
    <n v="6.31"/>
    <s v="11"/>
    <s v="6100"/>
    <n v="5510.85"/>
    <n v="6.31"/>
    <s v="CREDITOR"/>
    <n v="0"/>
    <n v="0"/>
    <n v="0"/>
    <n v="0"/>
    <n v="6.31"/>
  </r>
  <r>
    <n v="16116379"/>
    <s v="N"/>
    <n v="21360475"/>
    <s v="3000007731850023"/>
    <s v="CIVIL"/>
    <d v="2023-06-28T00:00:00"/>
    <d v="2023-07-11T11:50:54"/>
    <m/>
    <d v="2023-07-11T00:00:00"/>
    <n v="534"/>
    <n v="13663"/>
    <s v="16116379"/>
    <s v="16116379"/>
    <m/>
    <m/>
    <n v="22784210"/>
    <m/>
    <m/>
    <m/>
    <s v="SOLFIN"/>
    <s v="SOLFIN"/>
    <s v="CCMS"/>
    <n v="21360475"/>
    <n v="14764.95"/>
    <m/>
    <s v="N"/>
    <n v="61"/>
    <d v="2023-07-11T11:51:05"/>
    <s v="Y"/>
    <s v="Attendance upon client"/>
    <s v="Prescribed Hourly Rates"/>
    <s v="Profit Cost"/>
    <s v="KM"/>
    <s v="Y"/>
    <n v="25.25"/>
    <n v="5.05"/>
    <x v="7"/>
    <s v="VALIDATED"/>
    <n v="1"/>
    <s v="01.11.80.307.6100.0000"/>
    <n v="25.25"/>
    <s v="11"/>
    <s v="6100"/>
    <n v="5510.85"/>
    <n v="25.25"/>
    <s v="CREDITOR"/>
    <n v="0"/>
    <n v="0"/>
    <n v="0"/>
    <n v="0"/>
    <n v="25.25"/>
  </r>
  <r>
    <n v="16116379"/>
    <s v="N"/>
    <n v="21360475"/>
    <s v="3000007731850023"/>
    <s v="CIVIL"/>
    <d v="2023-06-28T00:00:00"/>
    <d v="2023-07-11T11:50:54"/>
    <m/>
    <d v="2023-07-11T00:00:00"/>
    <n v="534"/>
    <n v="13663"/>
    <s v="16116379"/>
    <s v="16116379"/>
    <m/>
    <m/>
    <n v="22784210"/>
    <m/>
    <m/>
    <m/>
    <s v="SOLFIN"/>
    <s v="SOLFIN"/>
    <s v="CCMS"/>
    <n v="21360475"/>
    <n v="14764.95"/>
    <m/>
    <s v="N"/>
    <n v="142"/>
    <d v="2023-07-11T11:51:05"/>
    <s v="Y"/>
    <s v="Preparation - other"/>
    <s v="Prescribed Hourly Rates"/>
    <s v="Profit Cost"/>
    <s v="KM"/>
    <s v="Y"/>
    <n v="18.94"/>
    <n v="3.79"/>
    <x v="7"/>
    <s v="VALIDATED"/>
    <n v="1"/>
    <s v="01.11.80.307.6100.0000"/>
    <n v="18.94"/>
    <s v="11"/>
    <s v="6100"/>
    <n v="5510.85"/>
    <n v="18.94"/>
    <s v="CREDITOR"/>
    <n v="0"/>
    <n v="0"/>
    <n v="0"/>
    <n v="0"/>
    <n v="18.94"/>
  </r>
  <r>
    <n v="60969370"/>
    <s v="N"/>
    <n v="21356320"/>
    <s v="3000015180820001RC"/>
    <s v="CIVIL"/>
    <d v="2023-06-30T00:00:00"/>
    <d v="2023-07-10T19:47:44"/>
    <m/>
    <d v="2023-07-10T00:00:00"/>
    <n v="550"/>
    <n v="17374"/>
    <s v="60969370"/>
    <s v="60969370"/>
    <m/>
    <m/>
    <m/>
    <m/>
    <m/>
    <m/>
    <s v="SOLRECOUP"/>
    <s v="SOLRECOUP"/>
    <s v="POARECOUP"/>
    <n v="21356320"/>
    <n v="-226.8"/>
    <m/>
    <s v="Y"/>
    <n v="2"/>
    <d v="2023-07-10T19:47:44"/>
    <s v="N"/>
    <m/>
    <m/>
    <s v="Expert Disbursement"/>
    <m/>
    <s v="N"/>
    <n v="0"/>
    <n v="-37.8"/>
    <x v="2"/>
    <s v="VALIDATED"/>
    <n v="1"/>
    <s v="01.11.80.308.2013.0000"/>
    <n v="-37.8"/>
    <s v="11"/>
    <s v="2013"/>
    <n v="9413.32"/>
    <n v="-37.8"/>
    <s v="CREDITOR"/>
    <n v="0"/>
    <n v="0"/>
    <n v="-37.8"/>
    <n v="0"/>
    <n v="0"/>
  </r>
  <r>
    <n v="60881169"/>
    <s v="N"/>
    <n v="21356321"/>
    <s v="3000015105360005RC"/>
    <s v="CIVIL"/>
    <d v="2023-06-30T00:00:00"/>
    <d v="2023-07-10T19:47:44"/>
    <m/>
    <d v="2023-07-10T00:00:00"/>
    <n v="550"/>
    <n v="17374"/>
    <s v="60881169"/>
    <s v="60881169"/>
    <m/>
    <m/>
    <m/>
    <m/>
    <m/>
    <m/>
    <s v="SOLRECOUP"/>
    <s v="SOLRECOUP"/>
    <s v="POARECOUP"/>
    <n v="21356321"/>
    <n v="-167"/>
    <m/>
    <s v="Y"/>
    <n v="1"/>
    <d v="2023-07-10T19:47:44"/>
    <s v="N"/>
    <m/>
    <m/>
    <s v="Non Expert Disbursement"/>
    <m/>
    <s v="N"/>
    <n v="-167"/>
    <n v="0"/>
    <x v="2"/>
    <s v="VALIDATED"/>
    <n v="1"/>
    <s v="01.11.80.308.2013.0000"/>
    <n v="-167"/>
    <s v="11"/>
    <s v="2013"/>
    <n v="9413.32"/>
    <n v="-167"/>
    <s v="CREDITOR"/>
    <n v="0"/>
    <n v="0"/>
    <n v="-167"/>
    <n v="0"/>
    <n v="0"/>
  </r>
  <r>
    <n v="60881169"/>
    <s v="N"/>
    <n v="21356321"/>
    <s v="3000015105360005RC"/>
    <s v="CIVIL"/>
    <d v="2023-06-30T00:00:00"/>
    <d v="2023-07-10T19:47:44"/>
    <m/>
    <d v="2023-07-10T00:00:00"/>
    <n v="550"/>
    <n v="17374"/>
    <s v="60881169"/>
    <s v="60881169"/>
    <m/>
    <m/>
    <m/>
    <m/>
    <m/>
    <m/>
    <s v="SOLRECOUP"/>
    <s v="SOLRECOUP"/>
    <s v="POARECOUP"/>
    <n v="21356321"/>
    <n v="-167"/>
    <m/>
    <s v="Y"/>
    <n v="2"/>
    <d v="2023-07-10T19:47:44"/>
    <s v="N"/>
    <m/>
    <m/>
    <s v="Non Expert Disbursement"/>
    <m/>
    <s v="N"/>
    <n v="0"/>
    <n v="0"/>
    <x v="2"/>
    <s v="VALIDATED"/>
    <n v="1"/>
    <s v="01.11.80.000.0000.0000"/>
    <n v="0"/>
    <s v="11"/>
    <s v="0000"/>
    <n v="9413.32"/>
    <n v="0"/>
    <s v="CREDITOR"/>
    <n v="0"/>
    <n v="0"/>
    <n v="0"/>
    <n v="0"/>
    <n v="0"/>
  </r>
  <r>
    <n v="60881169"/>
    <s v="N"/>
    <n v="21356322"/>
    <s v="3000015105360008RC"/>
    <s v="CIVIL"/>
    <d v="2023-06-30T00:00:00"/>
    <d v="2023-07-10T19:47:44"/>
    <m/>
    <d v="2023-07-10T00:00:00"/>
    <n v="550"/>
    <n v="17374"/>
    <s v="60881169"/>
    <s v="60881169"/>
    <m/>
    <m/>
    <m/>
    <m/>
    <m/>
    <m/>
    <s v="SOLRECOUP"/>
    <s v="SOLRECOUP"/>
    <s v="POARECOUP"/>
    <n v="21356322"/>
    <n v="-51"/>
    <m/>
    <s v="Y"/>
    <n v="1"/>
    <d v="2023-07-10T19:47:44"/>
    <s v="N"/>
    <m/>
    <m/>
    <s v="Expert Disbursement"/>
    <m/>
    <s v="N"/>
    <n v="-42.5"/>
    <n v="0"/>
    <x v="2"/>
    <s v="VALIDATED"/>
    <n v="1"/>
    <s v="01.11.80.308.2013.0000"/>
    <n v="-42.5"/>
    <s v="11"/>
    <s v="2013"/>
    <n v="9413.32"/>
    <n v="-42.5"/>
    <s v="CREDITOR"/>
    <n v="0"/>
    <n v="0"/>
    <n v="-42.5"/>
    <n v="0"/>
    <n v="0"/>
  </r>
  <r>
    <n v="60881169"/>
    <s v="N"/>
    <n v="21356322"/>
    <s v="3000015105360008RC"/>
    <s v="CIVIL"/>
    <d v="2023-06-30T00:00:00"/>
    <d v="2023-07-10T19:47:44"/>
    <m/>
    <d v="2023-07-10T00:00:00"/>
    <n v="550"/>
    <n v="17374"/>
    <s v="60881169"/>
    <s v="60881169"/>
    <m/>
    <m/>
    <m/>
    <m/>
    <m/>
    <m/>
    <s v="SOLRECOUP"/>
    <s v="SOLRECOUP"/>
    <s v="POARECOUP"/>
    <n v="21356322"/>
    <n v="-51"/>
    <m/>
    <s v="Y"/>
    <n v="2"/>
    <d v="2023-07-10T19:47:44"/>
    <s v="N"/>
    <m/>
    <m/>
    <s v="Expert Disbursement"/>
    <m/>
    <s v="N"/>
    <n v="0"/>
    <n v="-8.5"/>
    <x v="2"/>
    <s v="VALIDATED"/>
    <n v="1"/>
    <s v="01.11.80.308.2013.0000"/>
    <n v="-8.5"/>
    <s v="11"/>
    <s v="2013"/>
    <n v="9413.32"/>
    <n v="-8.5"/>
    <s v="CREDITOR"/>
    <n v="0"/>
    <n v="0"/>
    <n v="-8.5"/>
    <n v="0"/>
    <n v="0"/>
  </r>
  <r>
    <n v="60881169"/>
    <s v="N"/>
    <n v="21356323"/>
    <s v="3000015105360010RC"/>
    <s v="CIVIL"/>
    <d v="2023-06-30T00:00:00"/>
    <d v="2023-07-10T19:47:44"/>
    <m/>
    <d v="2023-07-10T00:00:00"/>
    <n v="550"/>
    <n v="17374"/>
    <s v="60881169"/>
    <s v="60881169"/>
    <m/>
    <m/>
    <m/>
    <m/>
    <m/>
    <m/>
    <s v="SOLRECOUP"/>
    <s v="SOLRECOUP"/>
    <s v="POARECOUP"/>
    <n v="21356323"/>
    <n v="-129.6"/>
    <m/>
    <s v="Y"/>
    <n v="1"/>
    <d v="2023-07-10T19:47:44"/>
    <s v="N"/>
    <m/>
    <m/>
    <s v="Expert Disbursement"/>
    <m/>
    <s v="N"/>
    <n v="-108"/>
    <n v="0"/>
    <x v="2"/>
    <s v="VALIDATED"/>
    <n v="1"/>
    <s v="01.11.80.308.2013.0000"/>
    <n v="-108"/>
    <s v="11"/>
    <s v="2013"/>
    <n v="9413.32"/>
    <n v="-108"/>
    <s v="CREDITOR"/>
    <n v="0"/>
    <n v="0"/>
    <n v="-108"/>
    <n v="0"/>
    <n v="0"/>
  </r>
  <r>
    <n v="60881169"/>
    <s v="N"/>
    <n v="21356323"/>
    <s v="3000015105360010RC"/>
    <s v="CIVIL"/>
    <d v="2023-06-30T00:00:00"/>
    <d v="2023-07-10T19:47:44"/>
    <m/>
    <d v="2023-07-10T00:00:00"/>
    <n v="550"/>
    <n v="17374"/>
    <s v="60881169"/>
    <s v="60881169"/>
    <m/>
    <m/>
    <m/>
    <m/>
    <m/>
    <m/>
    <s v="SOLRECOUP"/>
    <s v="SOLRECOUP"/>
    <s v="POARECOUP"/>
    <n v="21356323"/>
    <n v="-129.6"/>
    <m/>
    <s v="Y"/>
    <n v="2"/>
    <d v="2023-07-10T19:47:44"/>
    <s v="N"/>
    <m/>
    <m/>
    <s v="Expert Disbursement"/>
    <m/>
    <s v="N"/>
    <n v="0"/>
    <n v="-21.6"/>
    <x v="2"/>
    <s v="VALIDATED"/>
    <n v="1"/>
    <s v="01.11.80.308.2013.0000"/>
    <n v="-21.6"/>
    <s v="11"/>
    <s v="2013"/>
    <n v="9413.32"/>
    <n v="-21.6"/>
    <s v="CREDITOR"/>
    <n v="0"/>
    <n v="0"/>
    <n v="-21.6"/>
    <n v="0"/>
    <n v="0"/>
  </r>
  <r>
    <n v="60969370"/>
    <s v="N"/>
    <n v="21356324"/>
    <s v="3000015180820004RC"/>
    <s v="CIVIL"/>
    <d v="2023-06-30T00:00:00"/>
    <d v="2023-07-10T19:47:44"/>
    <m/>
    <d v="2023-07-10T00:00:00"/>
    <n v="550"/>
    <n v="17374"/>
    <s v="60969370"/>
    <s v="60969370"/>
    <m/>
    <m/>
    <m/>
    <m/>
    <m/>
    <m/>
    <s v="SOLRECOUP"/>
    <s v="SOLRECOUP"/>
    <s v="POARECOUP"/>
    <n v="21356324"/>
    <n v="-3992.02"/>
    <m/>
    <s v="Y"/>
    <n v="1"/>
    <d v="2023-07-10T19:47:44"/>
    <s v="N"/>
    <m/>
    <m/>
    <s v="Profit Cost"/>
    <m/>
    <s v="N"/>
    <n v="-3326.68"/>
    <n v="0"/>
    <x v="2"/>
    <s v="VALIDATED"/>
    <n v="1"/>
    <s v="01.11.80.308.2013.0000"/>
    <n v="-3326.68"/>
    <s v="11"/>
    <s v="2013"/>
    <n v="9413.32"/>
    <n v="-3326.68"/>
    <s v="CREDITOR"/>
    <n v="0"/>
    <n v="0"/>
    <n v="-3326.68"/>
    <n v="-831.67"/>
    <n v="0"/>
  </r>
  <r>
    <n v="60969370"/>
    <s v="N"/>
    <n v="21356324"/>
    <s v="3000015180820004RC"/>
    <s v="CIVIL"/>
    <d v="2023-06-30T00:00:00"/>
    <d v="2023-07-10T19:47:44"/>
    <m/>
    <d v="2023-07-10T00:00:00"/>
    <n v="550"/>
    <n v="17374"/>
    <s v="60969370"/>
    <s v="60969370"/>
    <m/>
    <m/>
    <m/>
    <m/>
    <m/>
    <m/>
    <s v="SOLRECOUP"/>
    <s v="SOLRECOUP"/>
    <s v="POARECOUP"/>
    <n v="21356324"/>
    <n v="-3992.02"/>
    <m/>
    <s v="Y"/>
    <n v="2"/>
    <d v="2023-07-10T19:47:44"/>
    <s v="N"/>
    <m/>
    <m/>
    <s v="Profit Cost"/>
    <m/>
    <s v="N"/>
    <n v="0"/>
    <n v="-665.34"/>
    <x v="2"/>
    <s v="VALIDATED"/>
    <n v="1"/>
    <s v="01.11.80.308.2013.0000"/>
    <n v="-665.34"/>
    <s v="11"/>
    <s v="2013"/>
    <n v="9413.32"/>
    <n v="-665.34"/>
    <s v="CREDITOR"/>
    <n v="0"/>
    <n v="0"/>
    <n v="-665.34"/>
    <n v="-166.335"/>
    <n v="0"/>
  </r>
  <r>
    <n v="60881169"/>
    <s v="N"/>
    <n v="21356325"/>
    <s v="3000015105360011RC"/>
    <s v="CIVIL"/>
    <d v="2023-06-30T00:00:00"/>
    <d v="2023-07-10T19:47:44"/>
    <m/>
    <d v="2023-07-10T00:00:00"/>
    <n v="550"/>
    <n v="17374"/>
    <s v="60881169"/>
    <s v="60881169"/>
    <m/>
    <m/>
    <m/>
    <m/>
    <m/>
    <m/>
    <s v="SOLRECOUP"/>
    <s v="SOLRECOUP"/>
    <s v="POARECOUP"/>
    <n v="21356325"/>
    <n v="-267.84"/>
    <m/>
    <s v="Y"/>
    <n v="1"/>
    <d v="2023-07-10T19:47:44"/>
    <s v="N"/>
    <m/>
    <m/>
    <s v="Expert Disbursement"/>
    <m/>
    <s v="N"/>
    <n v="-267.84"/>
    <n v="0"/>
    <x v="2"/>
    <s v="VALIDATED"/>
    <n v="1"/>
    <s v="01.11.80.308.2013.0000"/>
    <n v="-267.84"/>
    <s v="11"/>
    <s v="2013"/>
    <n v="9413.32"/>
    <n v="-267.84"/>
    <s v="CREDITOR"/>
    <n v="0"/>
    <n v="0"/>
    <n v="-267.84"/>
    <n v="0"/>
    <n v="0"/>
  </r>
  <r>
    <n v="60881169"/>
    <s v="N"/>
    <n v="21356325"/>
    <s v="3000015105360011RC"/>
    <s v="CIVIL"/>
    <d v="2023-06-30T00:00:00"/>
    <d v="2023-07-10T19:47:44"/>
    <m/>
    <d v="2023-07-10T00:00:00"/>
    <n v="550"/>
    <n v="17374"/>
    <s v="60881169"/>
    <s v="60881169"/>
    <m/>
    <m/>
    <m/>
    <m/>
    <m/>
    <m/>
    <s v="SOLRECOUP"/>
    <s v="SOLRECOUP"/>
    <s v="POARECOUP"/>
    <n v="21356325"/>
    <n v="-267.84"/>
    <m/>
    <s v="Y"/>
    <n v="2"/>
    <d v="2023-07-10T19:47:44"/>
    <s v="N"/>
    <m/>
    <m/>
    <s v="Expert Disbursement"/>
    <m/>
    <s v="N"/>
    <n v="0"/>
    <n v="0"/>
    <x v="2"/>
    <s v="VALIDATED"/>
    <n v="1"/>
    <s v="01.11.80.000.0000.0000"/>
    <n v="0"/>
    <s v="11"/>
    <s v="0000"/>
    <n v="9413.32"/>
    <n v="0"/>
    <s v="CREDITOR"/>
    <n v="0"/>
    <n v="0"/>
    <n v="0"/>
    <n v="0"/>
    <n v="0"/>
  </r>
  <r>
    <n v="60881169"/>
    <s v="N"/>
    <n v="21356326"/>
    <s v="3000015105360012RC"/>
    <s v="CIVIL"/>
    <d v="2023-06-30T00:00:00"/>
    <d v="2023-07-10T19:47:44"/>
    <m/>
    <d v="2023-07-10T00:00:00"/>
    <n v="550"/>
    <n v="17374"/>
    <s v="60881169"/>
    <s v="60881169"/>
    <m/>
    <m/>
    <m/>
    <m/>
    <m/>
    <m/>
    <s v="SOLRECOUP"/>
    <s v="SOLRECOUP"/>
    <s v="POARECOUP"/>
    <n v="21356326"/>
    <n v="-5779.2"/>
    <m/>
    <s v="Y"/>
    <n v="1"/>
    <d v="2023-07-10T19:47:44"/>
    <s v="N"/>
    <m/>
    <m/>
    <s v="Profit Cost"/>
    <m/>
    <s v="N"/>
    <n v="-4816"/>
    <n v="0"/>
    <x v="2"/>
    <s v="VALIDATED"/>
    <n v="1"/>
    <s v="01.11.80.308.2013.0000"/>
    <n v="-4816"/>
    <s v="11"/>
    <s v="2013"/>
    <n v="9413.32"/>
    <n v="-4816"/>
    <s v="CREDITOR"/>
    <n v="0"/>
    <n v="0"/>
    <n v="-4816"/>
    <n v="-1204"/>
    <n v="0"/>
  </r>
  <r>
    <n v="60881169"/>
    <s v="N"/>
    <n v="21356326"/>
    <s v="3000015105360012RC"/>
    <s v="CIVIL"/>
    <d v="2023-06-30T00:00:00"/>
    <d v="2023-07-10T19:47:44"/>
    <m/>
    <d v="2023-07-10T00:00:00"/>
    <n v="550"/>
    <n v="17374"/>
    <s v="60881169"/>
    <s v="60881169"/>
    <m/>
    <m/>
    <m/>
    <m/>
    <m/>
    <m/>
    <s v="SOLRECOUP"/>
    <s v="SOLRECOUP"/>
    <s v="POARECOUP"/>
    <n v="21356326"/>
    <n v="-5779.2"/>
    <m/>
    <s v="Y"/>
    <n v="2"/>
    <d v="2023-07-10T19:47:44"/>
    <s v="N"/>
    <m/>
    <m/>
    <s v="Profit Cost"/>
    <m/>
    <s v="N"/>
    <n v="0"/>
    <n v="-963.2"/>
    <x v="2"/>
    <s v="VALIDATED"/>
    <n v="1"/>
    <s v="01.11.80.308.2013.0000"/>
    <n v="-963.2"/>
    <s v="11"/>
    <s v="2013"/>
    <n v="9413.32"/>
    <n v="-963.2"/>
    <s v="CREDITOR"/>
    <n v="0"/>
    <n v="0"/>
    <n v="-963.2"/>
    <n v="-240.8"/>
    <n v="0"/>
  </r>
  <r>
    <n v="61214468"/>
    <s v="N"/>
    <n v="21361329"/>
    <s v="3000015385170001RC"/>
    <s v="CIVIL"/>
    <d v="2023-06-30T00:00:00"/>
    <d v="2023-07-11T19:38:00"/>
    <m/>
    <d v="2023-07-11T00:00:00"/>
    <n v="550"/>
    <n v="17374"/>
    <s v="61214468"/>
    <s v="61214468"/>
    <m/>
    <m/>
    <m/>
    <m/>
    <m/>
    <m/>
    <s v="SOLRECOUP"/>
    <s v="SOLRECOUP"/>
    <s v="POARECOUP"/>
    <n v="21361329"/>
    <n v="-3263.47"/>
    <m/>
    <s v="Y"/>
    <n v="1"/>
    <d v="2023-07-11T19:38:00"/>
    <s v="N"/>
    <m/>
    <m/>
    <s v="Profit Cost"/>
    <m/>
    <s v="N"/>
    <n v="-2719.56"/>
    <n v="0"/>
    <x v="7"/>
    <s v="VALIDATED"/>
    <n v="1"/>
    <s v="01.11.80.308.2013.0000"/>
    <n v="-2719.56"/>
    <s v="11"/>
    <s v="2013"/>
    <n v="9413.32"/>
    <n v="-2719.56"/>
    <s v="CREDITOR"/>
    <n v="0"/>
    <n v="0"/>
    <n v="-2719.56"/>
    <n v="-679.89"/>
    <n v="0"/>
  </r>
  <r>
    <n v="61214468"/>
    <s v="N"/>
    <n v="21361329"/>
    <s v="3000015385170001RC"/>
    <s v="CIVIL"/>
    <d v="2023-06-30T00:00:00"/>
    <d v="2023-07-11T19:38:00"/>
    <m/>
    <d v="2023-07-11T00:00:00"/>
    <n v="550"/>
    <n v="17374"/>
    <s v="61214468"/>
    <s v="61214468"/>
    <m/>
    <m/>
    <m/>
    <m/>
    <m/>
    <m/>
    <s v="SOLRECOUP"/>
    <s v="SOLRECOUP"/>
    <s v="POARECOUP"/>
    <n v="21361329"/>
    <n v="-3263.47"/>
    <m/>
    <s v="Y"/>
    <n v="2"/>
    <d v="2023-07-11T19:38:00"/>
    <s v="N"/>
    <m/>
    <m/>
    <s v="Profit Cost"/>
    <m/>
    <s v="N"/>
    <n v="0"/>
    <n v="-543.91"/>
    <x v="7"/>
    <s v="VALIDATED"/>
    <n v="1"/>
    <s v="01.11.80.308.2013.0000"/>
    <n v="-543.91"/>
    <s v="11"/>
    <s v="2013"/>
    <n v="9413.32"/>
    <n v="-543.91"/>
    <s v="CREDITOR"/>
    <n v="0"/>
    <n v="0"/>
    <n v="-543.91"/>
    <n v="-135.9775"/>
    <n v="0"/>
  </r>
  <r>
    <n v="61214468"/>
    <s v="N"/>
    <n v="21361331"/>
    <s v="3000015385170003RC"/>
    <s v="CIVIL"/>
    <d v="2023-06-30T00:00:00"/>
    <d v="2023-07-11T19:38:00"/>
    <m/>
    <d v="2023-07-11T00:00:00"/>
    <n v="550"/>
    <n v="17374"/>
    <s v="61214468"/>
    <s v="61214468"/>
    <m/>
    <m/>
    <m/>
    <m/>
    <m/>
    <m/>
    <s v="SOLRECOUP"/>
    <s v="SOLRECOUP"/>
    <s v="POARECOUP"/>
    <n v="21361331"/>
    <n v="-40.06"/>
    <m/>
    <s v="Y"/>
    <n v="1"/>
    <d v="2023-07-11T19:38:00"/>
    <s v="N"/>
    <m/>
    <m/>
    <s v="Expert Disbursement"/>
    <m/>
    <s v="N"/>
    <n v="-33.38"/>
    <n v="0"/>
    <x v="7"/>
    <s v="VALIDATED"/>
    <n v="1"/>
    <s v="01.11.80.308.2013.0000"/>
    <n v="-33.38"/>
    <s v="11"/>
    <s v="2013"/>
    <n v="9413.32"/>
    <n v="-33.38"/>
    <s v="CREDITOR"/>
    <n v="0"/>
    <n v="0"/>
    <n v="-33.38"/>
    <n v="0"/>
    <n v="0"/>
  </r>
  <r>
    <n v="61214468"/>
    <s v="N"/>
    <n v="21361331"/>
    <s v="3000015385170003RC"/>
    <s v="CIVIL"/>
    <d v="2023-06-30T00:00:00"/>
    <d v="2023-07-11T19:38:00"/>
    <m/>
    <d v="2023-07-11T00:00:00"/>
    <n v="550"/>
    <n v="17374"/>
    <s v="61214468"/>
    <s v="61214468"/>
    <m/>
    <m/>
    <m/>
    <m/>
    <m/>
    <m/>
    <s v="SOLRECOUP"/>
    <s v="SOLRECOUP"/>
    <s v="POARECOUP"/>
    <n v="21361331"/>
    <n v="-40.06"/>
    <m/>
    <s v="Y"/>
    <n v="2"/>
    <d v="2023-07-11T19:38:00"/>
    <s v="N"/>
    <m/>
    <m/>
    <s v="Expert Disbursement"/>
    <m/>
    <s v="N"/>
    <n v="0"/>
    <n v="-6.68"/>
    <x v="7"/>
    <s v="VALIDATED"/>
    <n v="1"/>
    <s v="01.11.80.308.2013.0000"/>
    <n v="-6.68"/>
    <s v="11"/>
    <s v="2013"/>
    <n v="9413.32"/>
    <n v="-6.68"/>
    <s v="CREDITOR"/>
    <n v="0"/>
    <n v="0"/>
    <n v="-6.68"/>
    <n v="0"/>
    <n v="0"/>
  </r>
  <r>
    <n v="61214494"/>
    <s v="N"/>
    <n v="21349858"/>
    <s v="3000015386430001"/>
    <s v="CIVIL"/>
    <d v="2023-06-30T00:00:00"/>
    <d v="2023-07-10T19:01:40"/>
    <m/>
    <d v="2023-07-10T00:00:00"/>
    <n v="550"/>
    <n v="17374"/>
    <s v="61214494"/>
    <s v="61214494"/>
    <m/>
    <m/>
    <n v="22794612"/>
    <m/>
    <m/>
    <m/>
    <s v="SOLFIN"/>
    <s v="SOLFIN"/>
    <s v="CCMS"/>
    <n v="21349858"/>
    <n v="0"/>
    <m/>
    <s v="N"/>
    <n v="1"/>
    <d v="2023-07-10T19:01:59"/>
    <s v="N"/>
    <s v="NIL BILL"/>
    <s v="Public Law Children"/>
    <s v="Profit Cost"/>
    <s v="CW"/>
    <s v="N"/>
    <n v="0"/>
    <n v="0"/>
    <x v="2"/>
    <s v="VALIDATED"/>
    <n v="1"/>
    <s v="01.11.80.308.6100.0000"/>
    <n v="0"/>
    <s v="11"/>
    <s v="6100"/>
    <n v="9413.32"/>
    <n v="0"/>
    <s v="CREDITOR"/>
    <n v="0"/>
    <n v="0"/>
    <n v="0"/>
    <n v="0"/>
    <n v="0"/>
  </r>
  <r>
    <n v="61696704"/>
    <s v="N"/>
    <n v="21323194"/>
    <s v="3000015789980010"/>
    <s v="CIVIL"/>
    <d v="2023-06-30T00:00:00"/>
    <d v="2023-07-03T19:05:56"/>
    <m/>
    <d v="2023-07-03T00:00:00"/>
    <n v="550"/>
    <n v="17374"/>
    <s v="61696704"/>
    <s v="61696704"/>
    <m/>
    <m/>
    <n v="22796596"/>
    <m/>
    <m/>
    <m/>
    <s v="SOLPOA"/>
    <s v="SOLPOA"/>
    <s v="CCMS"/>
    <n v="21323194"/>
    <n v="19.98"/>
    <m/>
    <s v="N"/>
    <n v="1"/>
    <d v="2023-07-03T19:05:56"/>
    <s v="N"/>
    <s v="Non Expert Disbursement"/>
    <s v="Non Expert Disbursement"/>
    <s v="Non Expert Disbursement"/>
    <s v="rs"/>
    <s v="N"/>
    <n v="16.65"/>
    <n v="3.33"/>
    <x v="3"/>
    <s v="VALIDATED"/>
    <n v="1"/>
    <s v="01.11.80.308.2012.0000"/>
    <n v="16.65"/>
    <s v="11"/>
    <s v="2012"/>
    <n v="9413.32"/>
    <n v="16.65"/>
    <s v="CREDITOR"/>
    <n v="16.65"/>
    <n v="0"/>
    <n v="0"/>
    <n v="0"/>
    <n v="0"/>
  </r>
  <r>
    <n v="60969370"/>
    <s v="N"/>
    <n v="21349934"/>
    <s v="3000015180820006"/>
    <s v="CIVIL"/>
    <d v="2023-06-30T00:00:00"/>
    <d v="2023-07-10T19:01:40"/>
    <m/>
    <d v="2023-07-10T00:00:00"/>
    <n v="550"/>
    <n v="17374"/>
    <s v="60969370"/>
    <s v="60969370"/>
    <m/>
    <m/>
    <n v="22796840"/>
    <m/>
    <m/>
    <m/>
    <s v="SOLFIN"/>
    <s v="SOLFIN"/>
    <s v="CCMS"/>
    <n v="21349934"/>
    <n v="6345.57"/>
    <m/>
    <s v="N"/>
    <n v="4"/>
    <d v="2023-07-10T19:02:04"/>
    <s v="Y"/>
    <s v="Expert - Other"/>
    <s v="Public Law Children"/>
    <s v="Expert Disbursement"/>
    <s v="DNA Legal"/>
    <s v="Y"/>
    <n v="189"/>
    <n v="37.8"/>
    <x v="2"/>
    <s v="VALIDATED"/>
    <n v="1"/>
    <s v="01.11.80.308.6300.0000"/>
    <n v="189"/>
    <s v="11"/>
    <s v="6300"/>
    <n v="9413.32"/>
    <n v="189"/>
    <s v="CREDITOR"/>
    <n v="0"/>
    <n v="0"/>
    <n v="0"/>
    <n v="0"/>
    <n v="189"/>
  </r>
  <r>
    <n v="60969370"/>
    <s v="N"/>
    <n v="21349934"/>
    <s v="3000015180820006"/>
    <s v="CIVIL"/>
    <d v="2023-06-30T00:00:00"/>
    <d v="2023-07-10T19:01:40"/>
    <m/>
    <d v="2023-07-10T00:00:00"/>
    <n v="550"/>
    <n v="17374"/>
    <s v="60969370"/>
    <s v="60969370"/>
    <m/>
    <m/>
    <n v="22796840"/>
    <m/>
    <m/>
    <m/>
    <s v="SOLFIN"/>
    <s v="SOLFIN"/>
    <s v="CCMS"/>
    <n v="21349934"/>
    <n v="6345.57"/>
    <m/>
    <s v="N"/>
    <n v="10"/>
    <d v="2023-07-10T19:02:04"/>
    <s v="Y"/>
    <s v="Hearing Unit 1.01 - 2.30 Hours"/>
    <s v="Public Law Children"/>
    <s v="Advocacy"/>
    <s v="CW"/>
    <s v="Y"/>
    <n v="238.46"/>
    <n v="47.69"/>
    <x v="2"/>
    <s v="VALIDATED"/>
    <n v="1"/>
    <s v="01.11.80.308.6100.0000"/>
    <n v="238.46"/>
    <s v="11"/>
    <s v="6100"/>
    <n v="9413.32"/>
    <n v="238.46"/>
    <s v="CREDITOR"/>
    <n v="0"/>
    <n v="0"/>
    <n v="0"/>
    <n v="0"/>
    <n v="238.46"/>
  </r>
  <r>
    <n v="61214541"/>
    <s v="N"/>
    <n v="21349833"/>
    <s v="3000015386490001"/>
    <s v="CIVIL"/>
    <d v="2023-06-30T00:00:00"/>
    <d v="2023-07-10T19:01:40"/>
    <m/>
    <d v="2023-07-10T00:00:00"/>
    <n v="550"/>
    <n v="17374"/>
    <s v="61214541"/>
    <s v="61214541"/>
    <m/>
    <m/>
    <n v="22794668"/>
    <m/>
    <m/>
    <m/>
    <s v="SOLFIN"/>
    <s v="SOLFIN"/>
    <s v="CCMS"/>
    <n v="21349833"/>
    <n v="0"/>
    <m/>
    <s v="N"/>
    <n v="1"/>
    <d v="2023-07-10T19:01:58"/>
    <s v="N"/>
    <s v="NIL BILL"/>
    <s v="Public Law Children"/>
    <s v="Profit Cost"/>
    <s v="CW"/>
    <s v="N"/>
    <n v="0"/>
    <n v="0"/>
    <x v="2"/>
    <s v="VALIDATED"/>
    <n v="1"/>
    <s v="01.11.80.308.6100.0000"/>
    <n v="0"/>
    <s v="11"/>
    <s v="6100"/>
    <n v="9413.32"/>
    <n v="0"/>
    <s v="CREDITOR"/>
    <n v="0"/>
    <n v="0"/>
    <n v="0"/>
    <n v="0"/>
    <n v="0"/>
  </r>
  <r>
    <n v="61214468"/>
    <s v="N"/>
    <n v="21360397"/>
    <s v="3000015385170004"/>
    <s v="CIVIL"/>
    <d v="2023-06-30T00:00:00"/>
    <d v="2023-07-11T11:50:54"/>
    <m/>
    <d v="2023-07-11T00:00:00"/>
    <n v="550"/>
    <n v="17374"/>
    <s v="61214468"/>
    <s v="61214468"/>
    <m/>
    <m/>
    <n v="22797392"/>
    <m/>
    <m/>
    <m/>
    <s v="SOLFIN"/>
    <s v="SOLFIN"/>
    <s v="CCMS"/>
    <n v="21360397"/>
    <n v="5888.53"/>
    <m/>
    <s v="N"/>
    <n v="1"/>
    <d v="2023-07-11T11:51:03"/>
    <s v="Y"/>
    <s v="Expert - Other"/>
    <s v="Public Law Children"/>
    <s v="Expert Disbursement"/>
    <s v="EScribers"/>
    <s v="Y"/>
    <n v="33.38"/>
    <n v="6.68"/>
    <x v="7"/>
    <s v="VALIDATED"/>
    <n v="1"/>
    <s v="01.11.80.308.6300.0000"/>
    <n v="33.38"/>
    <s v="11"/>
    <s v="6300"/>
    <n v="9413.32"/>
    <n v="33.38"/>
    <s v="CREDITOR"/>
    <n v="0"/>
    <n v="0"/>
    <n v="0"/>
    <n v="0"/>
    <n v="33.38"/>
  </r>
  <r>
    <n v="60881169"/>
    <s v="N"/>
    <n v="21349454"/>
    <s v="3000015105360014"/>
    <s v="CIVIL"/>
    <d v="2023-06-30T00:00:00"/>
    <d v="2023-07-10T19:01:40"/>
    <m/>
    <d v="2023-07-10T00:00:00"/>
    <n v="550"/>
    <n v="17374"/>
    <s v="60881169"/>
    <s v="60881169"/>
    <m/>
    <m/>
    <n v="22794250"/>
    <m/>
    <m/>
    <m/>
    <s v="SOLFIN"/>
    <s v="SOLFIN"/>
    <s v="CCMS"/>
    <n v="21349454"/>
    <n v="8961.84"/>
    <m/>
    <s v="N"/>
    <n v="12"/>
    <d v="2023-07-10T19:01:50"/>
    <s v="Y"/>
    <s v="Hearing Unit 2.31 - 5.00 Hours"/>
    <s v="Public Law Children"/>
    <s v="Advocacy"/>
    <s v="RS"/>
    <s v="Y"/>
    <n v="476.92"/>
    <n v="95.38"/>
    <x v="2"/>
    <s v="VALIDATED"/>
    <n v="1"/>
    <s v="01.11.80.308.6100.0000"/>
    <n v="476.92"/>
    <s v="11"/>
    <s v="6100"/>
    <n v="9413.32"/>
    <n v="476.92"/>
    <s v="CREDITOR"/>
    <n v="0"/>
    <n v="0"/>
    <n v="0"/>
    <n v="0"/>
    <n v="476.92"/>
  </r>
  <r>
    <n v="60881169"/>
    <s v="N"/>
    <n v="21349454"/>
    <s v="3000015105360014"/>
    <s v="CIVIL"/>
    <d v="2023-06-30T00:00:00"/>
    <d v="2023-07-10T19:01:40"/>
    <m/>
    <d v="2023-07-10T00:00:00"/>
    <n v="550"/>
    <n v="17374"/>
    <s v="60881169"/>
    <s v="60881169"/>
    <m/>
    <m/>
    <n v="22794250"/>
    <m/>
    <m/>
    <m/>
    <s v="SOLFIN"/>
    <s v="SOLFIN"/>
    <s v="CCMS"/>
    <n v="21349454"/>
    <n v="8961.84"/>
    <m/>
    <s v="N"/>
    <n v="9"/>
    <d v="2023-07-10T19:01:50"/>
    <s v="Y"/>
    <s v="DNA - preparation of report"/>
    <s v="Public Law Children"/>
    <s v="Expert Disbursement"/>
    <s v="Cellmark"/>
    <s v="Y"/>
    <n v="85"/>
    <n v="17"/>
    <x v="2"/>
    <s v="VALIDATED"/>
    <n v="1"/>
    <s v="01.11.80.308.6300.0000"/>
    <n v="85"/>
    <s v="11"/>
    <s v="6300"/>
    <n v="9413.32"/>
    <n v="85"/>
    <s v="CREDITOR"/>
    <n v="0"/>
    <n v="0"/>
    <n v="0"/>
    <n v="0"/>
    <n v="85"/>
  </r>
  <r>
    <n v="60881169"/>
    <s v="N"/>
    <n v="21349454"/>
    <s v="3000015105360014"/>
    <s v="CIVIL"/>
    <d v="2023-06-30T00:00:00"/>
    <d v="2023-07-10T19:01:40"/>
    <m/>
    <d v="2023-07-10T00:00:00"/>
    <n v="550"/>
    <n v="17374"/>
    <s v="60881169"/>
    <s v="60881169"/>
    <m/>
    <m/>
    <n v="22794250"/>
    <m/>
    <m/>
    <m/>
    <s v="SOLFIN"/>
    <s v="SOLFIN"/>
    <s v="CCMS"/>
    <n v="21349454"/>
    <n v="8961.84"/>
    <m/>
    <s v="N"/>
    <n v="7"/>
    <d v="2023-07-10T19:01:50"/>
    <s v="Y"/>
    <s v="Court Fee"/>
    <s v="Public Law Children"/>
    <s v="Non Expert Disbursement"/>
    <s v="RS"/>
    <s v="Y"/>
    <n v="167"/>
    <n v="0"/>
    <x v="2"/>
    <s v="VALIDATED"/>
    <n v="1"/>
    <s v="01.11.80.308.6300.0000"/>
    <n v="167"/>
    <s v="11"/>
    <s v="6300"/>
    <n v="9413.32"/>
    <n v="167"/>
    <s v="CREDITOR"/>
    <n v="0"/>
    <n v="0"/>
    <n v="0"/>
    <n v="0"/>
    <n v="167"/>
  </r>
  <r>
    <n v="60881169"/>
    <s v="N"/>
    <n v="21349454"/>
    <s v="3000015105360014"/>
    <s v="CIVIL"/>
    <d v="2023-06-30T00:00:00"/>
    <d v="2023-07-10T19:01:40"/>
    <m/>
    <d v="2023-07-10T00:00:00"/>
    <n v="550"/>
    <n v="17374"/>
    <s v="60881169"/>
    <s v="60881169"/>
    <m/>
    <m/>
    <n v="22794250"/>
    <m/>
    <m/>
    <m/>
    <s v="SOLFIN"/>
    <s v="SOLFIN"/>
    <s v="CCMS"/>
    <n v="21349454"/>
    <n v="8961.84"/>
    <m/>
    <s v="N"/>
    <n v="13"/>
    <d v="2023-07-10T19:01:50"/>
    <s v="Y"/>
    <s v="Hearing Unit 1.01 - 2.30 Hours"/>
    <s v="Public Law Children"/>
    <s v="Advocacy"/>
    <s v="RS"/>
    <s v="Y"/>
    <n v="238.46"/>
    <n v="47.69"/>
    <x v="2"/>
    <s v="VALIDATED"/>
    <n v="1"/>
    <s v="01.11.80.308.6100.0000"/>
    <n v="238.46"/>
    <s v="11"/>
    <s v="6100"/>
    <n v="9413.32"/>
    <n v="238.46"/>
    <s v="CREDITOR"/>
    <n v="0"/>
    <n v="0"/>
    <n v="0"/>
    <n v="0"/>
    <n v="238.46"/>
  </r>
  <r>
    <n v="60969370"/>
    <s v="N"/>
    <n v="21349934"/>
    <s v="3000015180820006"/>
    <s v="CIVIL"/>
    <d v="2023-06-30T00:00:00"/>
    <d v="2023-07-10T19:01:40"/>
    <m/>
    <d v="2023-07-10T00:00:00"/>
    <n v="550"/>
    <n v="17374"/>
    <s v="60969370"/>
    <s v="60969370"/>
    <m/>
    <m/>
    <n v="22796840"/>
    <m/>
    <m/>
    <m/>
    <s v="SOLFIN"/>
    <s v="SOLFIN"/>
    <s v="CCMS"/>
    <n v="21349934"/>
    <n v="6345.57"/>
    <m/>
    <s v="N"/>
    <n v="8"/>
    <d v="2023-07-10T19:02:04"/>
    <s v="Y"/>
    <s v="Hearing Unit 2.31 - 5.00 Hours"/>
    <s v="Public Law Children"/>
    <s v="Advocacy"/>
    <s v="CW"/>
    <s v="Y"/>
    <n v="476.92"/>
    <n v="95.38"/>
    <x v="2"/>
    <s v="VALIDATED"/>
    <n v="1"/>
    <s v="01.11.80.308.6100.0000"/>
    <n v="476.92"/>
    <s v="11"/>
    <s v="6100"/>
    <n v="9413.32"/>
    <n v="476.92"/>
    <s v="CREDITOR"/>
    <n v="0"/>
    <n v="0"/>
    <n v="0"/>
    <n v="0"/>
    <n v="476.92"/>
  </r>
  <r>
    <n v="62411244"/>
    <s v="N"/>
    <n v="21323212"/>
    <s v="3000016383760001"/>
    <s v="CIVIL"/>
    <d v="2023-06-30T00:00:00"/>
    <d v="2023-07-03T19:05:56"/>
    <m/>
    <d v="2023-07-03T00:00:00"/>
    <n v="550"/>
    <n v="17374"/>
    <s v="62411244"/>
    <s v="62411244"/>
    <m/>
    <m/>
    <n v="22796670"/>
    <m/>
    <m/>
    <m/>
    <s v="SOLPOA"/>
    <s v="SOLPOA"/>
    <s v="CCMS"/>
    <n v="21323212"/>
    <n v="19.98"/>
    <m/>
    <s v="N"/>
    <n v="1"/>
    <d v="2023-07-03T19:05:56"/>
    <s v="N"/>
    <s v="Non Expert Disbursement"/>
    <s v="Non Expert Disbursement"/>
    <s v="Non Expert Disbursement"/>
    <s v="rs"/>
    <s v="N"/>
    <n v="16.65"/>
    <n v="3.33"/>
    <x v="3"/>
    <s v="VALIDATED"/>
    <n v="1"/>
    <s v="01.11.80.308.2012.0000"/>
    <n v="16.65"/>
    <s v="11"/>
    <s v="2012"/>
    <n v="9413.32"/>
    <n v="16.65"/>
    <s v="CREDITOR"/>
    <n v="16.65"/>
    <n v="0"/>
    <n v="0"/>
    <n v="0"/>
    <n v="0"/>
  </r>
  <r>
    <n v="60969370"/>
    <s v="N"/>
    <n v="21349934"/>
    <s v="3000015180820006"/>
    <s v="CIVIL"/>
    <d v="2023-06-30T00:00:00"/>
    <d v="2023-07-10T19:01:40"/>
    <m/>
    <d v="2023-07-10T00:00:00"/>
    <n v="550"/>
    <n v="17374"/>
    <s v="60969370"/>
    <s v="60969370"/>
    <m/>
    <m/>
    <n v="22796840"/>
    <m/>
    <m/>
    <m/>
    <s v="SOLFIN"/>
    <s v="SOLFIN"/>
    <s v="CCMS"/>
    <n v="21349934"/>
    <n v="6345.57"/>
    <m/>
    <s v="N"/>
    <n v="6"/>
    <d v="2023-07-10T19:02:04"/>
    <s v="Y"/>
    <s v="Final Hearing - 1 Day"/>
    <s v="Public Law Children"/>
    <s v="Advocacy"/>
    <s v="CW"/>
    <s v="Y"/>
    <n v="556.88"/>
    <n v="111.38"/>
    <x v="2"/>
    <s v="VALIDATED"/>
    <n v="1"/>
    <s v="01.11.80.308.6100.0000"/>
    <n v="556.88"/>
    <s v="11"/>
    <s v="6100"/>
    <n v="9413.32"/>
    <n v="556.88"/>
    <s v="CREDITOR"/>
    <n v="0"/>
    <n v="0"/>
    <n v="0"/>
    <n v="0"/>
    <n v="556.88"/>
  </r>
  <r>
    <n v="61214468"/>
    <s v="N"/>
    <n v="21360397"/>
    <s v="3000015385170004"/>
    <s v="CIVIL"/>
    <d v="2023-06-30T00:00:00"/>
    <d v="2023-07-11T11:50:54"/>
    <m/>
    <d v="2023-07-11T00:00:00"/>
    <n v="550"/>
    <n v="17374"/>
    <s v="61214468"/>
    <s v="61214468"/>
    <m/>
    <m/>
    <n v="22797392"/>
    <m/>
    <m/>
    <m/>
    <s v="SOLFIN"/>
    <s v="SOLFIN"/>
    <s v="CCMS"/>
    <n v="21360397"/>
    <n v="5888.53"/>
    <m/>
    <s v="N"/>
    <n v="6"/>
    <d v="2023-07-11T11:51:03"/>
    <s v="Y"/>
    <s v="Hearing Unit 2.31 - 5.00 Hours"/>
    <s v="Public Law Children"/>
    <s v="Advocacy"/>
    <s v="CW"/>
    <s v="Y"/>
    <n v="476.92"/>
    <n v="95.38"/>
    <x v="7"/>
    <s v="VALIDATED"/>
    <n v="1"/>
    <s v="01.11.80.308.6100.0000"/>
    <n v="476.92"/>
    <s v="11"/>
    <s v="6100"/>
    <n v="9413.32"/>
    <n v="476.92"/>
    <s v="CREDITOR"/>
    <n v="0"/>
    <n v="0"/>
    <n v="0"/>
    <n v="0"/>
    <n v="476.92"/>
  </r>
  <r>
    <n v="62249786"/>
    <s v="N"/>
    <n v="21321771"/>
    <s v="3000016249830007"/>
    <s v="CIVIL"/>
    <d v="2023-06-29T00:00:00"/>
    <d v="2023-07-03T19:05:17"/>
    <m/>
    <d v="2023-07-03T00:00:00"/>
    <n v="550"/>
    <n v="17374"/>
    <s v="62249786"/>
    <s v="62249786"/>
    <m/>
    <m/>
    <n v="22785032"/>
    <m/>
    <m/>
    <m/>
    <s v="SOLPOA"/>
    <s v="SOLPOA"/>
    <s v="CCMS"/>
    <n v="21321771"/>
    <n v="109.79"/>
    <m/>
    <s v="N"/>
    <n v="1"/>
    <d v="2023-07-03T19:05:20"/>
    <s v="N"/>
    <s v="Expert Cost"/>
    <s v="Expert Cost"/>
    <s v="Expert Disbursement"/>
    <s v="Harriet Woodman"/>
    <s v="N"/>
    <n v="91.48999999999999"/>
    <n v="18.3"/>
    <x v="3"/>
    <s v="VALIDATED"/>
    <n v="1"/>
    <s v="01.11.80.308.2012.0000"/>
    <n v="91.48999999999999"/>
    <s v="11"/>
    <s v="2012"/>
    <n v="9413.32"/>
    <n v="91.48999999999999"/>
    <s v="CREDITOR"/>
    <n v="91.48999999999999"/>
    <n v="0"/>
    <n v="0"/>
    <n v="0"/>
    <n v="0"/>
  </r>
  <r>
    <n v="60969370"/>
    <s v="N"/>
    <n v="21349934"/>
    <s v="3000015180820006"/>
    <s v="CIVIL"/>
    <d v="2023-06-30T00:00:00"/>
    <d v="2023-07-10T19:01:40"/>
    <m/>
    <d v="2023-07-10T00:00:00"/>
    <n v="550"/>
    <n v="17374"/>
    <s v="60969370"/>
    <s v="60969370"/>
    <m/>
    <m/>
    <n v="22796840"/>
    <m/>
    <m/>
    <m/>
    <s v="SOLFIN"/>
    <s v="SOLFIN"/>
    <s v="CCMS"/>
    <n v="21349934"/>
    <n v="6345.57"/>
    <m/>
    <s v="N"/>
    <n v="5"/>
    <d v="2023-07-10T19:02:04"/>
    <s v="Y"/>
    <s v="Expert - Other"/>
    <s v="Public Law Children"/>
    <s v="Expert Disbursement"/>
    <s v="DNA Legal"/>
    <s v="Y"/>
    <n v="173.2"/>
    <n v="34.64"/>
    <x v="2"/>
    <s v="VALIDATED"/>
    <n v="1"/>
    <s v="01.11.80.308.6300.0000"/>
    <n v="173.2"/>
    <s v="11"/>
    <s v="6300"/>
    <n v="9413.32"/>
    <n v="173.2"/>
    <s v="CREDITOR"/>
    <n v="0"/>
    <n v="0"/>
    <n v="0"/>
    <n v="0"/>
    <n v="173.2"/>
  </r>
  <r>
    <n v="60969370"/>
    <s v="N"/>
    <n v="21349934"/>
    <s v="3000015180820006"/>
    <s v="CIVIL"/>
    <d v="2023-06-30T00:00:00"/>
    <d v="2023-07-10T19:01:40"/>
    <m/>
    <d v="2023-07-10T00:00:00"/>
    <n v="550"/>
    <n v="17374"/>
    <s v="60969370"/>
    <s v="60969370"/>
    <m/>
    <m/>
    <n v="22796840"/>
    <m/>
    <m/>
    <m/>
    <s v="SOLFIN"/>
    <s v="SOLFIN"/>
    <s v="CCMS"/>
    <n v="21349934"/>
    <n v="6345.57"/>
    <m/>
    <s v="N"/>
    <n v="2"/>
    <d v="2023-07-10T19:02:04"/>
    <s v="Y"/>
    <s v="Final Hearing Court Bundle/Advocate"/>
    <s v="Public Law Children"/>
    <s v="Advocacy"/>
    <s v="CW"/>
    <s v="Y"/>
    <n v="159.3"/>
    <n v="31.86"/>
    <x v="2"/>
    <s v="VALIDATED"/>
    <n v="1"/>
    <s v="01.11.80.308.6100.0000"/>
    <n v="159.3"/>
    <s v="11"/>
    <s v="6100"/>
    <n v="9413.32"/>
    <n v="159.3"/>
    <s v="CREDITOR"/>
    <n v="0"/>
    <n v="0"/>
    <n v="0"/>
    <n v="0"/>
    <n v="159.3"/>
  </r>
  <r>
    <n v="60881169"/>
    <s v="N"/>
    <n v="21349454"/>
    <s v="3000015105360014"/>
    <s v="CIVIL"/>
    <d v="2023-06-30T00:00:00"/>
    <d v="2023-07-10T19:01:40"/>
    <m/>
    <d v="2023-07-10T00:00:00"/>
    <n v="550"/>
    <n v="17374"/>
    <s v="60881169"/>
    <s v="60881169"/>
    <m/>
    <m/>
    <n v="22794250"/>
    <m/>
    <m/>
    <m/>
    <s v="SOLFIN"/>
    <s v="SOLFIN"/>
    <s v="CCMS"/>
    <n v="21349454"/>
    <n v="8961.84"/>
    <m/>
    <s v="N"/>
    <n v="10"/>
    <d v="2023-07-10T19:01:50"/>
    <s v="Y"/>
    <s v="Final Hearing - 1 Day"/>
    <s v="Public Law Children"/>
    <s v="Advocacy"/>
    <s v="RS"/>
    <s v="Y"/>
    <n v="556.88"/>
    <n v="111.38"/>
    <x v="2"/>
    <s v="VALIDATED"/>
    <n v="1"/>
    <s v="01.11.80.308.6100.0000"/>
    <n v="556.88"/>
    <s v="11"/>
    <s v="6100"/>
    <n v="9413.32"/>
    <n v="556.88"/>
    <s v="CREDITOR"/>
    <n v="0"/>
    <n v="0"/>
    <n v="0"/>
    <n v="0"/>
    <n v="556.88"/>
  </r>
  <r>
    <n v="61214468"/>
    <s v="N"/>
    <n v="21360397"/>
    <s v="3000015385170004"/>
    <s v="CIVIL"/>
    <d v="2023-06-30T00:00:00"/>
    <d v="2023-07-11T11:50:54"/>
    <m/>
    <d v="2023-07-11T00:00:00"/>
    <n v="550"/>
    <n v="17374"/>
    <s v="61214468"/>
    <s v="61214468"/>
    <m/>
    <m/>
    <n v="22797392"/>
    <m/>
    <m/>
    <m/>
    <s v="SOLFIN"/>
    <s v="SOLFIN"/>
    <s v="CCMS"/>
    <n v="21360397"/>
    <n v="5888.53"/>
    <m/>
    <s v="N"/>
    <n v="4"/>
    <d v="2023-07-11T11:51:03"/>
    <s v="Y"/>
    <s v="Advocates Meeting"/>
    <s v="Public Law Children"/>
    <s v="Advocacy"/>
    <s v="CW"/>
    <s v="Y"/>
    <n v="140.99"/>
    <n v="28.2"/>
    <x v="7"/>
    <s v="VALIDATED"/>
    <n v="1"/>
    <s v="01.11.80.308.6100.0000"/>
    <n v="140.99"/>
    <s v="11"/>
    <s v="6100"/>
    <n v="9413.32"/>
    <n v="140.99"/>
    <s v="CREDITOR"/>
    <n v="0"/>
    <n v="0"/>
    <n v="0"/>
    <n v="0"/>
    <n v="140.99"/>
  </r>
  <r>
    <n v="62309536"/>
    <s v="N"/>
    <n v="21322773"/>
    <s v="3000016300390001"/>
    <s v="CIVIL"/>
    <d v="2023-06-29T00:00:00"/>
    <d v="2023-07-03T19:05:36"/>
    <m/>
    <d v="2023-07-03T00:00:00"/>
    <n v="550"/>
    <n v="17374"/>
    <s v="62309536"/>
    <s v="62309536"/>
    <m/>
    <m/>
    <n v="22790950"/>
    <m/>
    <m/>
    <m/>
    <s v="SOLPOA"/>
    <s v="SOLPOA"/>
    <s v="CCMS"/>
    <n v="21322773"/>
    <n v="757.99"/>
    <m/>
    <s v="N"/>
    <n v="1"/>
    <d v="2023-07-03T19:05:40"/>
    <s v="N"/>
    <s v="Expert Cost"/>
    <s v="Expert Cost"/>
    <s v="Expert Disbursement"/>
    <s v="RS"/>
    <s v="N"/>
    <n v="631.66"/>
    <n v="126.33"/>
    <x v="3"/>
    <s v="VALIDATED"/>
    <n v="1"/>
    <s v="01.11.80.308.2012.0000"/>
    <n v="631.66"/>
    <s v="11"/>
    <s v="2012"/>
    <n v="9413.32"/>
    <n v="631.66"/>
    <s v="CREDITOR"/>
    <n v="631.66"/>
    <n v="0"/>
    <n v="0"/>
    <n v="0"/>
    <n v="0"/>
  </r>
  <r>
    <n v="60881169"/>
    <s v="N"/>
    <n v="21349454"/>
    <s v="3000015105360014"/>
    <s v="CIVIL"/>
    <d v="2023-06-30T00:00:00"/>
    <d v="2023-07-10T19:01:40"/>
    <m/>
    <d v="2023-07-10T00:00:00"/>
    <n v="550"/>
    <n v="17374"/>
    <s v="60881169"/>
    <s v="60881169"/>
    <m/>
    <m/>
    <n v="22794250"/>
    <m/>
    <m/>
    <m/>
    <s v="SOLFIN"/>
    <s v="SOLFIN"/>
    <s v="CCMS"/>
    <n v="21349454"/>
    <n v="8961.84"/>
    <m/>
    <s v="N"/>
    <n v="15"/>
    <d v="2023-07-10T19:01:50"/>
    <s v="Y"/>
    <s v="Advocates Meeting"/>
    <s v="Public Law Children"/>
    <s v="Advocacy"/>
    <s v="RS"/>
    <s v="Y"/>
    <n v="140.99"/>
    <n v="28.2"/>
    <x v="2"/>
    <s v="VALIDATED"/>
    <n v="1"/>
    <s v="01.11.80.308.6100.0000"/>
    <n v="140.99"/>
    <s v="11"/>
    <s v="6100"/>
    <n v="9413.32"/>
    <n v="140.99"/>
    <s v="CREDITOR"/>
    <n v="0"/>
    <n v="0"/>
    <n v="0"/>
    <n v="0"/>
    <n v="140.99"/>
  </r>
  <r>
    <n v="60969370"/>
    <s v="N"/>
    <n v="21349934"/>
    <s v="3000015180820006"/>
    <s v="CIVIL"/>
    <d v="2023-06-30T00:00:00"/>
    <d v="2023-07-10T19:01:40"/>
    <m/>
    <d v="2023-07-10T00:00:00"/>
    <n v="550"/>
    <n v="17374"/>
    <s v="60969370"/>
    <s v="60969370"/>
    <m/>
    <m/>
    <n v="22796840"/>
    <m/>
    <m/>
    <m/>
    <s v="SOLFIN"/>
    <s v="SOLFIN"/>
    <s v="CCMS"/>
    <n v="21349934"/>
    <n v="6345.57"/>
    <m/>
    <s v="N"/>
    <n v="9"/>
    <d v="2023-07-10T19:02:04"/>
    <s v="Y"/>
    <s v="Advocates Meeting"/>
    <s v="Public Law Children"/>
    <s v="Advocacy"/>
    <s v="CW"/>
    <s v="Y"/>
    <n v="140.99"/>
    <n v="28.2"/>
    <x v="2"/>
    <s v="VALIDATED"/>
    <n v="1"/>
    <s v="01.11.80.308.6100.0000"/>
    <n v="140.99"/>
    <s v="11"/>
    <s v="6100"/>
    <n v="9413.32"/>
    <n v="140.99"/>
    <s v="CREDITOR"/>
    <n v="0"/>
    <n v="0"/>
    <n v="0"/>
    <n v="0"/>
    <n v="140.99"/>
  </r>
  <r>
    <n v="60711152"/>
    <s v="N"/>
    <n v="21318624"/>
    <s v="3000014956570016"/>
    <s v="CIVIL"/>
    <d v="2023-06-12T00:00:00"/>
    <d v="2023-07-03T19:01:49"/>
    <m/>
    <d v="2023-07-03T00:00:00"/>
    <n v="550"/>
    <n v="17374"/>
    <s v="60711152"/>
    <s v="60711152"/>
    <m/>
    <m/>
    <n v="22667704"/>
    <m/>
    <m/>
    <m/>
    <s v="SOLPOA"/>
    <s v="SOLPOA"/>
    <s v="CCMS"/>
    <n v="21318624"/>
    <n v="6105.6"/>
    <m/>
    <s v="N"/>
    <n v="1"/>
    <d v="2023-07-03T19:02:00"/>
    <s v="N"/>
    <s v="Profit Cost"/>
    <s v="Profit Cost"/>
    <s v="Profit Cost"/>
    <s v="Kathryn Locke"/>
    <s v="N"/>
    <n v="5088"/>
    <n v="1017.6"/>
    <x v="3"/>
    <s v="VALIDATED"/>
    <n v="1"/>
    <s v="01.11.80.308.2012.0000"/>
    <n v="5088"/>
    <s v="11"/>
    <s v="2012"/>
    <n v="9413.32"/>
    <n v="5088"/>
    <s v="CREDITOR"/>
    <n v="5088"/>
    <n v="1272"/>
    <n v="0"/>
    <n v="0"/>
    <n v="0"/>
  </r>
  <r>
    <n v="60881169"/>
    <s v="N"/>
    <n v="21349454"/>
    <s v="3000015105360014"/>
    <s v="CIVIL"/>
    <d v="2023-06-30T00:00:00"/>
    <d v="2023-07-10T19:01:40"/>
    <m/>
    <d v="2023-07-10T00:00:00"/>
    <n v="550"/>
    <n v="17374"/>
    <s v="60881169"/>
    <s v="60881169"/>
    <m/>
    <m/>
    <n v="22794250"/>
    <m/>
    <m/>
    <m/>
    <s v="SOLFIN"/>
    <s v="SOLFIN"/>
    <s v="CCMS"/>
    <n v="21349454"/>
    <n v="8961.84"/>
    <m/>
    <s v="N"/>
    <n v="4"/>
    <d v="2023-07-10T19:01:50"/>
    <s v="Y"/>
    <s v="Radiologist"/>
    <s v="Public Law Children"/>
    <s v="Expert Disbursement"/>
    <s v="Dr Barnes Foresight"/>
    <s v="Y"/>
    <n v="108"/>
    <n v="21.6"/>
    <x v="2"/>
    <s v="VALIDATED"/>
    <n v="1"/>
    <s v="01.11.80.308.6300.0000"/>
    <n v="108"/>
    <s v="11"/>
    <s v="6300"/>
    <n v="9413.32"/>
    <n v="108"/>
    <s v="CREDITOR"/>
    <n v="0"/>
    <n v="0"/>
    <n v="0"/>
    <n v="0"/>
    <n v="108"/>
  </r>
  <r>
    <n v="60881169"/>
    <s v="N"/>
    <n v="21349454"/>
    <s v="3000015105360014"/>
    <s v="CIVIL"/>
    <d v="2023-06-30T00:00:00"/>
    <d v="2023-07-10T19:01:40"/>
    <m/>
    <d v="2023-07-10T00:00:00"/>
    <n v="550"/>
    <n v="17374"/>
    <s v="60881169"/>
    <s v="60881169"/>
    <m/>
    <m/>
    <n v="22794250"/>
    <m/>
    <m/>
    <m/>
    <s v="SOLFIN"/>
    <s v="SOLFIN"/>
    <s v="CCMS"/>
    <n v="21349454"/>
    <n v="8961.84"/>
    <m/>
    <s v="N"/>
    <n v="11"/>
    <d v="2023-07-10T19:01:50"/>
    <s v="Y"/>
    <s v="Advocates Meeting"/>
    <s v="Public Law Children"/>
    <s v="Advocacy"/>
    <s v="RS"/>
    <s v="Y"/>
    <n v="140.99"/>
    <n v="28.2"/>
    <x v="2"/>
    <s v="VALIDATED"/>
    <n v="1"/>
    <s v="01.11.80.308.6100.0000"/>
    <n v="140.99"/>
    <s v="11"/>
    <s v="6100"/>
    <n v="9413.32"/>
    <n v="140.99"/>
    <s v="CREDITOR"/>
    <n v="0"/>
    <n v="0"/>
    <n v="0"/>
    <n v="0"/>
    <n v="140.99"/>
  </r>
  <r>
    <n v="61696704"/>
    <s v="N"/>
    <n v="21323295"/>
    <s v="3000015789980011"/>
    <s v="CIVIL"/>
    <d v="2023-06-30T00:00:00"/>
    <d v="2023-07-03T19:05:56"/>
    <m/>
    <d v="2023-07-03T00:00:00"/>
    <n v="550"/>
    <n v="17374"/>
    <s v="61696704"/>
    <s v="61696704"/>
    <m/>
    <m/>
    <n v="22795788"/>
    <m/>
    <m/>
    <m/>
    <s v="SOLPOA"/>
    <s v="SOLPOA"/>
    <s v="CCMS"/>
    <n v="21323295"/>
    <n v="4"/>
    <m/>
    <s v="N"/>
    <n v="1"/>
    <d v="2023-07-03T19:05:56"/>
    <s v="N"/>
    <s v="Non Expert Disbursement"/>
    <s v="Non Expert Disbursement"/>
    <s v="Non Expert Disbursement"/>
    <s v="CW"/>
    <s v="N"/>
    <n v="3.33"/>
    <n v="0.67"/>
    <x v="3"/>
    <s v="VALIDATED"/>
    <n v="1"/>
    <s v="01.11.80.308.2012.0000"/>
    <n v="3.33"/>
    <s v="11"/>
    <s v="2012"/>
    <n v="9413.32"/>
    <n v="3.33"/>
    <s v="CREDITOR"/>
    <n v="3.33"/>
    <n v="0"/>
    <n v="0"/>
    <n v="0"/>
    <n v="0"/>
  </r>
  <r>
    <n v="60969370"/>
    <s v="N"/>
    <n v="21349934"/>
    <s v="3000015180820006"/>
    <s v="CIVIL"/>
    <d v="2023-06-30T00:00:00"/>
    <d v="2023-07-10T19:01:40"/>
    <m/>
    <d v="2023-07-10T00:00:00"/>
    <n v="550"/>
    <n v="17374"/>
    <s v="60969370"/>
    <s v="60969370"/>
    <m/>
    <m/>
    <n v="22796840"/>
    <m/>
    <m/>
    <m/>
    <s v="SOLFIN"/>
    <s v="SOLFIN"/>
    <s v="CCMS"/>
    <n v="21349934"/>
    <n v="6345.57"/>
    <m/>
    <s v="N"/>
    <n v="7"/>
    <d v="2023-07-10T19:02:04"/>
    <s v="Y"/>
    <s v="Advocates Meeting"/>
    <s v="Public Law Children"/>
    <s v="Advocacy"/>
    <s v="CW"/>
    <s v="Y"/>
    <n v="140.99"/>
    <n v="28.2"/>
    <x v="2"/>
    <s v="VALIDATED"/>
    <n v="1"/>
    <s v="01.11.80.308.6100.0000"/>
    <n v="140.99"/>
    <s v="11"/>
    <s v="6100"/>
    <n v="9413.32"/>
    <n v="140.99"/>
    <s v="CREDITOR"/>
    <n v="0"/>
    <n v="0"/>
    <n v="0"/>
    <n v="0"/>
    <n v="140.99"/>
  </r>
  <r>
    <n v="61214468"/>
    <s v="N"/>
    <n v="21360397"/>
    <s v="3000015385170004"/>
    <s v="CIVIL"/>
    <d v="2023-06-30T00:00:00"/>
    <d v="2023-07-11T11:50:54"/>
    <m/>
    <d v="2023-07-11T00:00:00"/>
    <n v="550"/>
    <n v="17374"/>
    <s v="61214468"/>
    <s v="61214468"/>
    <m/>
    <m/>
    <n v="22797392"/>
    <m/>
    <m/>
    <m/>
    <s v="SOLFIN"/>
    <s v="SOLFIN"/>
    <s v="CCMS"/>
    <n v="21360397"/>
    <n v="5888.53"/>
    <m/>
    <s v="N"/>
    <n v="3"/>
    <d v="2023-07-11T11:51:03"/>
    <s v="Y"/>
    <s v="Hearing Unit 2.31 - 5.00 Hours"/>
    <s v="Public Law Children"/>
    <s v="Advocacy"/>
    <s v="CW"/>
    <s v="Y"/>
    <n v="476.92"/>
    <n v="95.38"/>
    <x v="7"/>
    <s v="VALIDATED"/>
    <n v="1"/>
    <s v="01.11.80.308.6100.0000"/>
    <n v="476.92"/>
    <s v="11"/>
    <s v="6100"/>
    <n v="9413.32"/>
    <n v="476.92"/>
    <s v="CREDITOR"/>
    <n v="0"/>
    <n v="0"/>
    <n v="0"/>
    <n v="0"/>
    <n v="476.92"/>
  </r>
  <r>
    <n v="61214468"/>
    <s v="N"/>
    <n v="21360397"/>
    <s v="3000015385170004"/>
    <s v="CIVIL"/>
    <d v="2023-06-30T00:00:00"/>
    <d v="2023-07-11T11:50:54"/>
    <m/>
    <d v="2023-07-11T00:00:00"/>
    <n v="550"/>
    <n v="17374"/>
    <s v="61214468"/>
    <s v="61214468"/>
    <m/>
    <m/>
    <n v="22797392"/>
    <m/>
    <m/>
    <m/>
    <s v="SOLFIN"/>
    <s v="SOLFIN"/>
    <s v="CCMS"/>
    <n v="21360397"/>
    <n v="5888.53"/>
    <m/>
    <s v="N"/>
    <n v="5"/>
    <d v="2023-07-11T11:51:03"/>
    <s v="Y"/>
    <s v="Advocates Meeting"/>
    <s v="Public Law Children"/>
    <s v="Advocacy"/>
    <s v="CW"/>
    <s v="Y"/>
    <n v="140.99"/>
    <n v="28.2"/>
    <x v="7"/>
    <s v="VALIDATED"/>
    <n v="1"/>
    <s v="01.11.80.308.6100.0000"/>
    <n v="140.99"/>
    <s v="11"/>
    <s v="6100"/>
    <n v="9413.32"/>
    <n v="140.99"/>
    <s v="CREDITOR"/>
    <n v="0"/>
    <n v="0"/>
    <n v="0"/>
    <n v="0"/>
    <n v="140.99"/>
  </r>
  <r>
    <n v="60881455"/>
    <s v="N"/>
    <n v="21349550"/>
    <s v="3000015105580001"/>
    <s v="CIVIL"/>
    <d v="2023-06-30T00:00:00"/>
    <d v="2023-07-10T19:01:40"/>
    <m/>
    <d v="2023-07-10T00:00:00"/>
    <n v="550"/>
    <n v="17374"/>
    <s v="60881455"/>
    <s v="60881455"/>
    <m/>
    <m/>
    <n v="22794266"/>
    <m/>
    <m/>
    <m/>
    <s v="SOLFIN"/>
    <s v="SOLFIN"/>
    <s v="CCMS"/>
    <n v="21349550"/>
    <n v="0"/>
    <m/>
    <s v="N"/>
    <n v="1"/>
    <d v="2023-07-10T19:01:53"/>
    <s v="N"/>
    <s v="NIL BILL"/>
    <s v="Public Law Children"/>
    <s v="Profit Cost"/>
    <s v="RS"/>
    <s v="N"/>
    <n v="0"/>
    <n v="0"/>
    <x v="2"/>
    <s v="VALIDATED"/>
    <n v="1"/>
    <s v="01.11.80.308.6100.0000"/>
    <n v="0"/>
    <s v="11"/>
    <s v="6100"/>
    <n v="9413.32"/>
    <n v="0"/>
    <s v="CREDITOR"/>
    <n v="0"/>
    <n v="0"/>
    <n v="0"/>
    <n v="0"/>
    <n v="0"/>
  </r>
  <r>
    <n v="60143320"/>
    <s v="N"/>
    <n v="21324045"/>
    <s v="3000014468940012"/>
    <s v="CIVIL"/>
    <d v="2023-06-30T00:00:00"/>
    <d v="2023-07-03T19:05:56"/>
    <m/>
    <d v="2023-07-03T00:00:00"/>
    <n v="550"/>
    <n v="17374"/>
    <s v="60143320"/>
    <s v="60143320"/>
    <m/>
    <m/>
    <n v="22800478"/>
    <m/>
    <m/>
    <m/>
    <s v="SOLPOA"/>
    <s v="SOLPOA"/>
    <s v="CCMS"/>
    <n v="21324045"/>
    <n v="278.58"/>
    <m/>
    <s v="N"/>
    <n v="1"/>
    <d v="2023-07-03T19:06:00"/>
    <s v="N"/>
    <s v="Expert Cost"/>
    <s v="Expert Cost"/>
    <s v="Expert Disbursement"/>
    <s v="RS"/>
    <s v="N"/>
    <n v="278.58"/>
    <n v="0"/>
    <x v="3"/>
    <s v="VALIDATED"/>
    <n v="1"/>
    <s v="01.11.80.308.2012.0000"/>
    <n v="278.58"/>
    <s v="11"/>
    <s v="2012"/>
    <n v="9413.32"/>
    <n v="278.58"/>
    <s v="CREDITOR"/>
    <n v="278.58"/>
    <n v="0"/>
    <n v="0"/>
    <n v="0"/>
    <n v="0"/>
  </r>
  <r>
    <n v="62154014"/>
    <s v="N"/>
    <n v="21323820"/>
    <s v="3000016171900001"/>
    <s v="CIVIL"/>
    <d v="2023-06-30T00:00:00"/>
    <d v="2023-07-03T19:05:56"/>
    <m/>
    <d v="2023-07-03T00:00:00"/>
    <n v="550"/>
    <n v="17374"/>
    <s v="62154014"/>
    <s v="62154014"/>
    <m/>
    <m/>
    <n v="22798076"/>
    <m/>
    <m/>
    <m/>
    <s v="SOLPOA"/>
    <s v="SOLPOA"/>
    <s v="CCMS"/>
    <n v="21323820"/>
    <n v="628.4"/>
    <m/>
    <s v="N"/>
    <n v="1"/>
    <d v="2023-07-03T19:05:59"/>
    <s v="N"/>
    <s v="Expert Cost"/>
    <s v="Expert Cost"/>
    <s v="Expert Disbursement"/>
    <s v="Kathryn Locke"/>
    <s v="N"/>
    <n v="523.67"/>
    <n v="104.73"/>
    <x v="3"/>
    <s v="VALIDATED"/>
    <n v="1"/>
    <s v="01.11.80.308.2012.0000"/>
    <n v="523.67"/>
    <s v="11"/>
    <s v="2012"/>
    <n v="9413.32"/>
    <n v="523.67"/>
    <s v="CREDITOR"/>
    <n v="523.67"/>
    <n v="0"/>
    <n v="0"/>
    <n v="0"/>
    <n v="0"/>
  </r>
  <r>
    <n v="60881169"/>
    <s v="N"/>
    <n v="21349454"/>
    <s v="3000015105360014"/>
    <s v="CIVIL"/>
    <d v="2023-06-30T00:00:00"/>
    <d v="2023-07-10T19:01:40"/>
    <m/>
    <d v="2023-07-10T00:00:00"/>
    <n v="550"/>
    <n v="17374"/>
    <s v="60881169"/>
    <s v="60881169"/>
    <m/>
    <m/>
    <n v="22794250"/>
    <m/>
    <m/>
    <m/>
    <s v="SOLFIN"/>
    <s v="SOLFIN"/>
    <s v="CCMS"/>
    <n v="21349454"/>
    <n v="8961.84"/>
    <m/>
    <s v="N"/>
    <n v="8"/>
    <d v="2023-07-10T19:01:50"/>
    <s v="Y"/>
    <s v="Psychologist"/>
    <s v="Public Law Children"/>
    <s v="Expert Disbursement"/>
    <s v="Dr White"/>
    <s v="Y"/>
    <n v="168.48"/>
    <n v="33.7"/>
    <x v="2"/>
    <s v="VALIDATED"/>
    <n v="1"/>
    <s v="01.11.80.308.6300.0000"/>
    <n v="168.48"/>
    <s v="11"/>
    <s v="6300"/>
    <n v="9413.32"/>
    <n v="168.48"/>
    <s v="CREDITOR"/>
    <n v="0"/>
    <n v="0"/>
    <n v="0"/>
    <n v="0"/>
    <n v="168.48"/>
  </r>
  <r>
    <n v="60881169"/>
    <s v="N"/>
    <n v="21349454"/>
    <s v="3000015105360014"/>
    <s v="CIVIL"/>
    <d v="2023-06-30T00:00:00"/>
    <d v="2023-07-10T19:01:40"/>
    <m/>
    <d v="2023-07-10T00:00:00"/>
    <n v="550"/>
    <n v="17374"/>
    <s v="60881169"/>
    <s v="60881169"/>
    <m/>
    <m/>
    <n v="22794250"/>
    <m/>
    <m/>
    <m/>
    <s v="SOLFIN"/>
    <s v="SOLFIN"/>
    <s v="CCMS"/>
    <n v="21349454"/>
    <n v="8961.84"/>
    <m/>
    <s v="N"/>
    <n v="16"/>
    <d v="2023-07-10T19:01:50"/>
    <s v="Y"/>
    <s v="Solicitors Fixed Fee"/>
    <s v="Public Law Children"/>
    <s v="Profit Cost"/>
    <s v="RS"/>
    <s v="Y"/>
    <n v="3020"/>
    <n v="604"/>
    <x v="2"/>
    <s v="VALIDATED"/>
    <n v="1"/>
    <s v="01.11.80.308.6100.0000"/>
    <n v="3020"/>
    <s v="11"/>
    <s v="6100"/>
    <n v="9413.32"/>
    <n v="3020"/>
    <s v="CREDITOR"/>
    <n v="0"/>
    <n v="0"/>
    <n v="0"/>
    <n v="0"/>
    <n v="3020"/>
  </r>
  <r>
    <n v="60881169"/>
    <s v="N"/>
    <n v="21349454"/>
    <s v="3000015105360014"/>
    <s v="CIVIL"/>
    <d v="2023-06-30T00:00:00"/>
    <d v="2023-07-10T19:01:40"/>
    <m/>
    <d v="2023-07-10T00:00:00"/>
    <n v="550"/>
    <n v="17374"/>
    <s v="60881169"/>
    <s v="60881169"/>
    <m/>
    <m/>
    <n v="22794250"/>
    <m/>
    <m/>
    <m/>
    <s v="SOLFIN"/>
    <s v="SOLFIN"/>
    <s v="CCMS"/>
    <n v="21349454"/>
    <n v="8961.84"/>
    <m/>
    <s v="N"/>
    <n v="14"/>
    <d v="2023-07-10T19:01:50"/>
    <s v="Y"/>
    <s v="Final Hearing - 3 Days"/>
    <s v="Public Law Children"/>
    <s v="Advocacy"/>
    <s v="RS"/>
    <s v="Y"/>
    <n v="1670.64"/>
    <n v="334.13"/>
    <x v="2"/>
    <s v="VALIDATED"/>
    <n v="1"/>
    <s v="01.11.80.308.6100.0000"/>
    <n v="1670.64"/>
    <s v="11"/>
    <s v="6100"/>
    <n v="9413.32"/>
    <n v="1670.64"/>
    <s v="CREDITOR"/>
    <n v="0"/>
    <n v="0"/>
    <n v="0"/>
    <n v="0"/>
    <n v="1670.64"/>
  </r>
  <r>
    <n v="60881169"/>
    <s v="N"/>
    <n v="21349454"/>
    <s v="3000015105360014"/>
    <s v="CIVIL"/>
    <d v="2023-06-30T00:00:00"/>
    <d v="2023-07-10T19:01:40"/>
    <m/>
    <d v="2023-07-10T00:00:00"/>
    <n v="550"/>
    <n v="17374"/>
    <s v="60881169"/>
    <s v="60881169"/>
    <m/>
    <m/>
    <n v="22794250"/>
    <m/>
    <m/>
    <m/>
    <s v="SOLFIN"/>
    <s v="SOLFIN"/>
    <s v="CCMS"/>
    <n v="21349454"/>
    <n v="8961.84"/>
    <m/>
    <s v="N"/>
    <n v="6"/>
    <d v="2023-07-10T19:01:50"/>
    <s v="Y"/>
    <s v="Court Fee"/>
    <s v="Public Law Children"/>
    <s v="Non Expert Disbursement"/>
    <s v="RS"/>
    <s v="Y"/>
    <n v="167"/>
    <n v="0"/>
    <x v="2"/>
    <s v="VALIDATED"/>
    <n v="1"/>
    <s v="01.11.80.308.6300.0000"/>
    <n v="167"/>
    <s v="11"/>
    <s v="6300"/>
    <n v="9413.32"/>
    <n v="167"/>
    <s v="CREDITOR"/>
    <n v="0"/>
    <n v="0"/>
    <n v="0"/>
    <n v="0"/>
    <n v="167"/>
  </r>
  <r>
    <n v="60969370"/>
    <s v="N"/>
    <n v="21349934"/>
    <s v="3000015180820006"/>
    <s v="CIVIL"/>
    <d v="2023-06-30T00:00:00"/>
    <d v="2023-07-10T19:01:40"/>
    <m/>
    <d v="2023-07-10T00:00:00"/>
    <n v="550"/>
    <n v="17374"/>
    <s v="60969370"/>
    <s v="60969370"/>
    <m/>
    <m/>
    <n v="22796840"/>
    <m/>
    <m/>
    <m/>
    <s v="SOLFIN"/>
    <s v="SOLFIN"/>
    <s v="CCMS"/>
    <n v="21349934"/>
    <n v="6345.57"/>
    <m/>
    <s v="N"/>
    <n v="11"/>
    <d v="2023-07-10T19:02:04"/>
    <s v="Y"/>
    <s v="Advocates Meeting"/>
    <s v="Public Law Children"/>
    <s v="Advocacy"/>
    <s v="CW"/>
    <s v="Y"/>
    <n v="140.99"/>
    <n v="28.2"/>
    <x v="2"/>
    <s v="VALIDATED"/>
    <n v="1"/>
    <s v="01.11.80.308.6100.0000"/>
    <n v="140.99"/>
    <s v="11"/>
    <s v="6100"/>
    <n v="9413.32"/>
    <n v="140.99"/>
    <s v="CREDITOR"/>
    <n v="0"/>
    <n v="0"/>
    <n v="0"/>
    <n v="0"/>
    <n v="140.99"/>
  </r>
  <r>
    <n v="60881169"/>
    <s v="N"/>
    <n v="21349454"/>
    <s v="3000015105360014"/>
    <s v="CIVIL"/>
    <d v="2023-06-30T00:00:00"/>
    <d v="2023-07-10T19:01:40"/>
    <m/>
    <d v="2023-07-10T00:00:00"/>
    <n v="550"/>
    <n v="17374"/>
    <s v="60881169"/>
    <s v="60881169"/>
    <m/>
    <m/>
    <n v="22794250"/>
    <m/>
    <m/>
    <m/>
    <s v="SOLFIN"/>
    <s v="SOLFIN"/>
    <s v="CCMS"/>
    <n v="21349454"/>
    <n v="8961.84"/>
    <m/>
    <s v="N"/>
    <n v="3"/>
    <d v="2023-07-10T19:01:50"/>
    <s v="Y"/>
    <s v="Expert - Other"/>
    <s v="Public Law Children"/>
    <s v="Expert Disbursement"/>
    <s v="Lextox"/>
    <s v="Y"/>
    <n v="78.40000000000001"/>
    <n v="15.68"/>
    <x v="2"/>
    <s v="VALIDATED"/>
    <n v="1"/>
    <s v="01.11.80.308.6300.0000"/>
    <n v="78.40000000000001"/>
    <s v="11"/>
    <s v="6300"/>
    <n v="9413.32"/>
    <n v="78.40000000000001"/>
    <s v="CREDITOR"/>
    <n v="0"/>
    <n v="0"/>
    <n v="0"/>
    <n v="0"/>
    <n v="78.40000000000001"/>
  </r>
  <r>
    <n v="60969370"/>
    <s v="N"/>
    <n v="21349934"/>
    <s v="3000015180820006"/>
    <s v="CIVIL"/>
    <d v="2023-06-30T00:00:00"/>
    <d v="2023-07-10T19:01:40"/>
    <m/>
    <d v="2023-07-10T00:00:00"/>
    <n v="550"/>
    <n v="17374"/>
    <s v="60969370"/>
    <s v="60969370"/>
    <m/>
    <m/>
    <n v="22796840"/>
    <m/>
    <m/>
    <m/>
    <s v="SOLFIN"/>
    <s v="SOLFIN"/>
    <s v="CCMS"/>
    <n v="21349934"/>
    <n v="6345.57"/>
    <m/>
    <s v="N"/>
    <n v="1"/>
    <d v="2023-07-10T19:02:04"/>
    <s v="Y"/>
    <s v="Exceptional Travel"/>
    <s v="Public Law Children"/>
    <s v="Advocacy"/>
    <s v="CW"/>
    <s v="Y"/>
    <n v="32.04"/>
    <n v="6.41"/>
    <x v="2"/>
    <s v="VALIDATED"/>
    <n v="1"/>
    <s v="01.11.80.308.6100.0000"/>
    <n v="32.04"/>
    <s v="11"/>
    <s v="6100"/>
    <n v="9413.32"/>
    <n v="32.04"/>
    <s v="CREDITOR"/>
    <n v="0"/>
    <n v="0"/>
    <n v="0"/>
    <n v="0"/>
    <n v="32.04"/>
  </r>
  <r>
    <n v="61133289"/>
    <s v="N"/>
    <n v="21327512"/>
    <s v="3000015319780024"/>
    <s v="CIVIL"/>
    <d v="2023-06-22T00:00:00"/>
    <d v="2023-07-04T19:00:44"/>
    <m/>
    <d v="2023-07-04T00:00:00"/>
    <n v="550"/>
    <n v="17374"/>
    <s v="61133289"/>
    <s v="61133289"/>
    <m/>
    <m/>
    <n v="22746242"/>
    <m/>
    <m/>
    <m/>
    <s v="SOLINT"/>
    <s v="SOLINT"/>
    <s v="CCMS"/>
    <n v="21327512"/>
    <n v="0"/>
    <m/>
    <s v="N"/>
    <n v="1"/>
    <d v="2023-07-04T19:00:49"/>
    <s v="N"/>
    <s v="NIL BILL"/>
    <s v="VHCC"/>
    <s v="Profit Cost"/>
    <s v="Kathryn Locke"/>
    <s v="N"/>
    <n v="0"/>
    <n v="0"/>
    <x v="1"/>
    <s v="VALIDATED"/>
    <n v="1"/>
    <s v="01.11.80.308.6100.0000"/>
    <n v="0"/>
    <s v="11"/>
    <s v="6100"/>
    <n v="9413.32"/>
    <n v="0"/>
    <s v="CREDITOR"/>
    <n v="0"/>
    <n v="0"/>
    <n v="0"/>
    <n v="0"/>
    <n v="0"/>
  </r>
  <r>
    <n v="61214468"/>
    <s v="N"/>
    <n v="21360397"/>
    <s v="3000015385170004"/>
    <s v="CIVIL"/>
    <d v="2023-06-30T00:00:00"/>
    <d v="2023-07-11T11:50:54"/>
    <m/>
    <d v="2023-07-11T00:00:00"/>
    <n v="550"/>
    <n v="17374"/>
    <s v="61214468"/>
    <s v="61214468"/>
    <m/>
    <m/>
    <n v="22797392"/>
    <m/>
    <m/>
    <m/>
    <s v="SOLFIN"/>
    <s v="SOLFIN"/>
    <s v="CCMS"/>
    <n v="21360397"/>
    <n v="5888.53"/>
    <m/>
    <s v="N"/>
    <n v="2"/>
    <d v="2023-07-11T11:51:03"/>
    <s v="Y"/>
    <s v="Advocates Meeting"/>
    <s v="Public Law Children"/>
    <s v="Advocacy"/>
    <s v="CW"/>
    <s v="Y"/>
    <n v="140.99"/>
    <n v="28.2"/>
    <x v="7"/>
    <s v="VALIDATED"/>
    <n v="1"/>
    <s v="01.11.80.308.6100.0000"/>
    <n v="140.99"/>
    <s v="11"/>
    <s v="6100"/>
    <n v="9413.32"/>
    <n v="140.99"/>
    <s v="CREDITOR"/>
    <n v="0"/>
    <n v="0"/>
    <n v="0"/>
    <n v="0"/>
    <n v="140.99"/>
  </r>
  <r>
    <n v="60969370"/>
    <s v="N"/>
    <n v="21349934"/>
    <s v="3000015180820006"/>
    <s v="CIVIL"/>
    <d v="2023-06-30T00:00:00"/>
    <d v="2023-07-10T19:01:40"/>
    <m/>
    <d v="2023-07-10T00:00:00"/>
    <n v="550"/>
    <n v="17374"/>
    <s v="60969370"/>
    <s v="60969370"/>
    <m/>
    <m/>
    <n v="22796840"/>
    <m/>
    <m/>
    <m/>
    <s v="SOLFIN"/>
    <s v="SOLFIN"/>
    <s v="CCMS"/>
    <n v="21349934"/>
    <n v="6345.57"/>
    <m/>
    <s v="N"/>
    <n v="3"/>
    <d v="2023-07-10T19:02:04"/>
    <s v="Y"/>
    <s v="Solicitor Travel Expenses"/>
    <s v="Public Law Children"/>
    <s v="Non Expert Disbursement"/>
    <s v="CW"/>
    <s v="Y"/>
    <n v="19.2"/>
    <n v="3.84"/>
    <x v="2"/>
    <s v="VALIDATED"/>
    <n v="1"/>
    <s v="01.11.80.308.6300.0000"/>
    <n v="19.2"/>
    <s v="11"/>
    <s v="6300"/>
    <n v="9413.32"/>
    <n v="19.2"/>
    <s v="CREDITOR"/>
    <n v="0"/>
    <n v="0"/>
    <n v="0"/>
    <n v="0"/>
    <n v="19.2"/>
  </r>
  <r>
    <n v="60969382"/>
    <s v="N"/>
    <n v="21349930"/>
    <s v="3000015180900001"/>
    <s v="CIVIL"/>
    <d v="2023-06-30T00:00:00"/>
    <d v="2023-07-10T19:01:40"/>
    <m/>
    <d v="2023-07-10T00:00:00"/>
    <n v="550"/>
    <n v="17374"/>
    <s v="60969382"/>
    <s v="60969382"/>
    <m/>
    <m/>
    <n v="22795830"/>
    <m/>
    <m/>
    <m/>
    <s v="SOLFIN"/>
    <s v="SOLFIN"/>
    <s v="CCMS"/>
    <n v="21349930"/>
    <n v="0"/>
    <m/>
    <s v="N"/>
    <n v="1"/>
    <d v="2023-07-10T19:02:04"/>
    <s v="N"/>
    <s v="NIL BILL"/>
    <s v="Public Law Children"/>
    <s v="Profit Cost"/>
    <s v="CW"/>
    <s v="N"/>
    <n v="0"/>
    <n v="0"/>
    <x v="2"/>
    <s v="VALIDATED"/>
    <n v="1"/>
    <s v="01.11.80.308.6100.0000"/>
    <n v="0"/>
    <s v="11"/>
    <s v="6100"/>
    <n v="9413.32"/>
    <n v="0"/>
    <s v="CREDITOR"/>
    <n v="0"/>
    <n v="0"/>
    <n v="0"/>
    <n v="0"/>
    <n v="0"/>
  </r>
  <r>
    <n v="60969370"/>
    <s v="N"/>
    <n v="21349934"/>
    <s v="3000015180820006"/>
    <s v="CIVIL"/>
    <d v="2023-06-30T00:00:00"/>
    <d v="2023-07-10T19:01:40"/>
    <m/>
    <d v="2023-07-10T00:00:00"/>
    <n v="550"/>
    <n v="17374"/>
    <s v="60969370"/>
    <s v="60969370"/>
    <m/>
    <m/>
    <n v="22796840"/>
    <m/>
    <m/>
    <m/>
    <s v="SOLFIN"/>
    <s v="SOLFIN"/>
    <s v="CCMS"/>
    <n v="21349934"/>
    <n v="6345.57"/>
    <m/>
    <s v="N"/>
    <n v="12"/>
    <d v="2023-07-10T19:02:04"/>
    <s v="Y"/>
    <s v="Solicitors Fixed Fee"/>
    <s v="Public Law Children"/>
    <s v="Profit Cost"/>
    <s v="CW"/>
    <s v="Y"/>
    <n v="3020"/>
    <n v="604"/>
    <x v="2"/>
    <s v="VALIDATED"/>
    <n v="1"/>
    <s v="01.11.80.308.6100.0000"/>
    <n v="3020"/>
    <s v="11"/>
    <s v="6100"/>
    <n v="9413.32"/>
    <n v="3020"/>
    <s v="CREDITOR"/>
    <n v="0"/>
    <n v="0"/>
    <n v="0"/>
    <n v="0"/>
    <n v="3020"/>
  </r>
  <r>
    <n v="60881169"/>
    <s v="N"/>
    <n v="21349454"/>
    <s v="3000015105360014"/>
    <s v="CIVIL"/>
    <d v="2023-06-30T00:00:00"/>
    <d v="2023-07-10T19:01:40"/>
    <m/>
    <d v="2023-07-10T00:00:00"/>
    <n v="550"/>
    <n v="17374"/>
    <s v="60881169"/>
    <s v="60881169"/>
    <m/>
    <m/>
    <n v="22794250"/>
    <m/>
    <m/>
    <m/>
    <s v="SOLFIN"/>
    <s v="SOLFIN"/>
    <s v="CCMS"/>
    <n v="21349454"/>
    <n v="8961.84"/>
    <m/>
    <s v="N"/>
    <n v="2"/>
    <d v="2023-07-10T19:01:50"/>
    <s v="Y"/>
    <s v="DNA - preparation of report"/>
    <s v="Public Law Children"/>
    <s v="Expert Disbursement"/>
    <s v="Cellmark"/>
    <s v="Y"/>
    <n v="42.5"/>
    <n v="8.5"/>
    <x v="2"/>
    <s v="VALIDATED"/>
    <n v="1"/>
    <s v="01.11.80.308.6300.0000"/>
    <n v="42.5"/>
    <s v="11"/>
    <s v="6300"/>
    <n v="9413.32"/>
    <n v="42.5"/>
    <s v="CREDITOR"/>
    <n v="0"/>
    <n v="0"/>
    <n v="0"/>
    <n v="0"/>
    <n v="42.5"/>
  </r>
  <r>
    <n v="61214468"/>
    <s v="N"/>
    <n v="21360397"/>
    <s v="3000015385170004"/>
    <s v="CIVIL"/>
    <d v="2023-06-30T00:00:00"/>
    <d v="2023-07-11T11:50:54"/>
    <m/>
    <d v="2023-07-11T00:00:00"/>
    <n v="550"/>
    <n v="17374"/>
    <s v="61214468"/>
    <s v="61214468"/>
    <m/>
    <m/>
    <n v="22797392"/>
    <m/>
    <m/>
    <m/>
    <s v="SOLFIN"/>
    <s v="SOLFIN"/>
    <s v="CCMS"/>
    <n v="21360397"/>
    <n v="5888.53"/>
    <m/>
    <s v="N"/>
    <n v="8"/>
    <d v="2023-07-11T11:51:03"/>
    <s v="Y"/>
    <s v="Solicitors Fixed Fee"/>
    <s v="Public Law Children"/>
    <s v="Profit Cost"/>
    <s v="CW"/>
    <s v="Y"/>
    <n v="3020"/>
    <n v="604"/>
    <x v="7"/>
    <s v="VALIDATED"/>
    <n v="1"/>
    <s v="01.11.80.308.6100.0000"/>
    <n v="3020"/>
    <s v="11"/>
    <s v="6100"/>
    <n v="9413.32"/>
    <n v="3020"/>
    <s v="CREDITOR"/>
    <n v="0"/>
    <n v="0"/>
    <n v="0"/>
    <n v="0"/>
    <n v="3020"/>
  </r>
  <r>
    <n v="61214468"/>
    <s v="N"/>
    <n v="21360397"/>
    <s v="3000015385170004"/>
    <s v="CIVIL"/>
    <d v="2023-06-30T00:00:00"/>
    <d v="2023-07-11T11:50:54"/>
    <m/>
    <d v="2023-07-11T00:00:00"/>
    <n v="550"/>
    <n v="17374"/>
    <s v="61214468"/>
    <s v="61214468"/>
    <m/>
    <m/>
    <n v="22797392"/>
    <m/>
    <m/>
    <m/>
    <s v="SOLFIN"/>
    <s v="SOLFIN"/>
    <s v="CCMS"/>
    <n v="21360397"/>
    <n v="5888.53"/>
    <m/>
    <s v="N"/>
    <n v="7"/>
    <d v="2023-07-11T11:51:03"/>
    <s v="Y"/>
    <s v="Hearing Unit 2.31 - 5.00 Hours"/>
    <s v="Public Law Children"/>
    <s v="Advocacy"/>
    <s v="CW"/>
    <s v="Y"/>
    <n v="476.92"/>
    <n v="95.38"/>
    <x v="7"/>
    <s v="VALIDATED"/>
    <n v="1"/>
    <s v="01.11.80.308.6100.0000"/>
    <n v="476.92"/>
    <s v="11"/>
    <s v="6100"/>
    <n v="9413.32"/>
    <n v="476.92"/>
    <s v="CREDITOR"/>
    <n v="0"/>
    <n v="0"/>
    <n v="0"/>
    <n v="0"/>
    <n v="476.92"/>
  </r>
  <r>
    <n v="60881169"/>
    <s v="N"/>
    <n v="21349454"/>
    <s v="3000015105360014"/>
    <s v="CIVIL"/>
    <d v="2023-06-30T00:00:00"/>
    <d v="2023-07-10T19:01:40"/>
    <m/>
    <d v="2023-07-10T00:00:00"/>
    <n v="550"/>
    <n v="17374"/>
    <s v="60881169"/>
    <s v="60881169"/>
    <m/>
    <m/>
    <n v="22794250"/>
    <m/>
    <m/>
    <m/>
    <s v="SOLFIN"/>
    <s v="SOLFIN"/>
    <s v="CCMS"/>
    <n v="21349454"/>
    <n v="8961.84"/>
    <m/>
    <s v="N"/>
    <n v="1"/>
    <d v="2023-07-10T19:01:50"/>
    <s v="Y"/>
    <s v="Final Hearing Court Bundle/Advocate"/>
    <s v="Public Law Children"/>
    <s v="Advocacy"/>
    <s v="RS"/>
    <s v="Y"/>
    <n v="239.4"/>
    <n v="47.88"/>
    <x v="2"/>
    <s v="VALIDATED"/>
    <n v="1"/>
    <s v="01.11.80.308.6100.0000"/>
    <n v="239.4"/>
    <s v="11"/>
    <s v="6100"/>
    <n v="9413.32"/>
    <n v="239.4"/>
    <s v="CREDITOR"/>
    <n v="0"/>
    <n v="0"/>
    <n v="0"/>
    <n v="0"/>
    <n v="239.4"/>
  </r>
  <r>
    <n v="60881169"/>
    <s v="N"/>
    <n v="21349454"/>
    <s v="3000015105360014"/>
    <s v="CIVIL"/>
    <d v="2023-06-30T00:00:00"/>
    <d v="2023-07-10T19:01:40"/>
    <m/>
    <d v="2023-07-10T00:00:00"/>
    <n v="550"/>
    <n v="17374"/>
    <s v="60881169"/>
    <s v="60881169"/>
    <m/>
    <m/>
    <n v="22794250"/>
    <m/>
    <m/>
    <m/>
    <s v="SOLFIN"/>
    <s v="SOLFIN"/>
    <s v="CCMS"/>
    <n v="21349454"/>
    <n v="8961.84"/>
    <m/>
    <s v="N"/>
    <n v="5"/>
    <d v="2023-07-10T19:01:50"/>
    <s v="Y"/>
    <s v="Paediatrician"/>
    <s v="Public Law Children"/>
    <s v="Expert Disbursement"/>
    <s v="Dr Rylance"/>
    <s v="Y"/>
    <n v="267.84"/>
    <n v="0"/>
    <x v="2"/>
    <s v="VALIDATED"/>
    <n v="1"/>
    <s v="01.11.80.308.6300.0000"/>
    <n v="267.84"/>
    <s v="11"/>
    <s v="6300"/>
    <n v="9413.32"/>
    <n v="267.84"/>
    <s v="CREDITOR"/>
    <n v="0"/>
    <n v="0"/>
    <n v="0"/>
    <n v="0"/>
    <n v="267.84"/>
  </r>
  <r>
    <n v="61133289"/>
    <s v="N"/>
    <n v="21328604"/>
    <s v="3000015319780020RC"/>
    <s v="CIVIL"/>
    <d v="2023-06-22T00:00:00"/>
    <d v="2023-07-04T19:38:21"/>
    <m/>
    <d v="2023-07-04T00:00:00"/>
    <n v="550"/>
    <n v="17374"/>
    <s v="61133289"/>
    <s v="61133289"/>
    <m/>
    <m/>
    <m/>
    <m/>
    <m/>
    <m/>
    <s v="SOLRECOUP"/>
    <s v="SOLRECOUP"/>
    <s v="POARECOUP"/>
    <n v="21328604"/>
    <n v="-291"/>
    <m/>
    <s v="Y"/>
    <n v="1"/>
    <d v="2023-07-04T19:38:22"/>
    <s v="N"/>
    <m/>
    <m/>
    <s v="Expert Disbursement"/>
    <m/>
    <s v="N"/>
    <n v="-242.5"/>
    <n v="0"/>
    <x v="1"/>
    <s v="VALIDATED"/>
    <n v="1"/>
    <s v="01.11.80.308.2013.0000"/>
    <n v="-242.5"/>
    <s v="11"/>
    <s v="2013"/>
    <n v="9413.32"/>
    <n v="-242.5"/>
    <s v="CREDITOR"/>
    <n v="0"/>
    <n v="0"/>
    <n v="-242.5"/>
    <n v="0"/>
    <n v="0"/>
  </r>
  <r>
    <n v="61133289"/>
    <s v="N"/>
    <n v="21328604"/>
    <s v="3000015319780020RC"/>
    <s v="CIVIL"/>
    <d v="2023-06-22T00:00:00"/>
    <d v="2023-07-04T19:38:21"/>
    <m/>
    <d v="2023-07-04T00:00:00"/>
    <n v="550"/>
    <n v="17374"/>
    <s v="61133289"/>
    <s v="61133289"/>
    <m/>
    <m/>
    <m/>
    <m/>
    <m/>
    <m/>
    <s v="SOLRECOUP"/>
    <s v="SOLRECOUP"/>
    <s v="POARECOUP"/>
    <n v="21328604"/>
    <n v="-291"/>
    <m/>
    <s v="Y"/>
    <n v="2"/>
    <d v="2023-07-04T19:38:22"/>
    <s v="N"/>
    <m/>
    <m/>
    <s v="Expert Disbursement"/>
    <m/>
    <s v="N"/>
    <n v="0"/>
    <n v="-48.5"/>
    <x v="1"/>
    <s v="VALIDATED"/>
    <n v="1"/>
    <s v="01.11.80.308.2013.0000"/>
    <n v="-48.5"/>
    <s v="11"/>
    <s v="2013"/>
    <n v="9413.32"/>
    <n v="-48.5"/>
    <s v="CREDITOR"/>
    <n v="0"/>
    <n v="0"/>
    <n v="-48.5"/>
    <n v="0"/>
    <n v="0"/>
  </r>
  <r>
    <n v="60969370"/>
    <s v="N"/>
    <n v="21356314"/>
    <s v="3000015180820005RC"/>
    <s v="CIVIL"/>
    <d v="2023-06-30T00:00:00"/>
    <d v="2023-07-10T19:47:44"/>
    <m/>
    <d v="2023-07-10T00:00:00"/>
    <n v="550"/>
    <n v="17374"/>
    <s v="60969370"/>
    <s v="60969370"/>
    <m/>
    <m/>
    <m/>
    <m/>
    <m/>
    <m/>
    <s v="SOLRECOUP"/>
    <s v="SOLRECOUP"/>
    <s v="POARECOUP"/>
    <n v="21356314"/>
    <n v="-19.2"/>
    <m/>
    <s v="Y"/>
    <n v="1"/>
    <d v="2023-07-10T19:47:44"/>
    <s v="N"/>
    <m/>
    <m/>
    <s v="Non Expert Disbursement"/>
    <m/>
    <s v="N"/>
    <n v="-19.2"/>
    <n v="0"/>
    <x v="2"/>
    <s v="VALIDATED"/>
    <n v="1"/>
    <s v="01.11.80.308.2013.0000"/>
    <n v="-19.2"/>
    <s v="11"/>
    <s v="2013"/>
    <n v="9413.32"/>
    <n v="-19.2"/>
    <s v="CREDITOR"/>
    <n v="0"/>
    <n v="0"/>
    <n v="-19.2"/>
    <n v="0"/>
    <n v="0"/>
  </r>
  <r>
    <n v="60969370"/>
    <s v="N"/>
    <n v="21356314"/>
    <s v="3000015180820005RC"/>
    <s v="CIVIL"/>
    <d v="2023-06-30T00:00:00"/>
    <d v="2023-07-10T19:47:44"/>
    <m/>
    <d v="2023-07-10T00:00:00"/>
    <n v="550"/>
    <n v="17374"/>
    <s v="60969370"/>
    <s v="60969370"/>
    <m/>
    <m/>
    <m/>
    <m/>
    <m/>
    <m/>
    <s v="SOLRECOUP"/>
    <s v="SOLRECOUP"/>
    <s v="POARECOUP"/>
    <n v="21356314"/>
    <n v="-19.2"/>
    <m/>
    <s v="Y"/>
    <n v="2"/>
    <d v="2023-07-10T19:47:44"/>
    <s v="N"/>
    <m/>
    <m/>
    <s v="Non Expert Disbursement"/>
    <m/>
    <s v="N"/>
    <n v="0"/>
    <n v="0"/>
    <x v="2"/>
    <s v="VALIDATED"/>
    <n v="1"/>
    <s v="01.11.80.000.0000.0000"/>
    <n v="0"/>
    <s v="11"/>
    <s v="0000"/>
    <n v="9413.32"/>
    <n v="0"/>
    <s v="CREDITOR"/>
    <n v="0"/>
    <n v="0"/>
    <n v="0"/>
    <n v="0"/>
    <n v="0"/>
  </r>
  <r>
    <n v="60881169"/>
    <s v="N"/>
    <n v="21356315"/>
    <s v="3000015105360001RC"/>
    <s v="CIVIL"/>
    <d v="2023-06-30T00:00:00"/>
    <d v="2023-07-10T19:47:44"/>
    <m/>
    <d v="2023-07-10T00:00:00"/>
    <n v="550"/>
    <n v="17374"/>
    <s v="60881169"/>
    <s v="60881169"/>
    <m/>
    <m/>
    <m/>
    <m/>
    <m/>
    <m/>
    <s v="SOLRECOUP"/>
    <s v="SOLRECOUP"/>
    <s v="POARECOUP"/>
    <n v="21356315"/>
    <n v="-167"/>
    <m/>
    <s v="Y"/>
    <n v="1"/>
    <d v="2023-07-10T19:47:44"/>
    <s v="N"/>
    <m/>
    <m/>
    <s v="Non Expert Disbursement"/>
    <m/>
    <s v="N"/>
    <n v="-167"/>
    <n v="0"/>
    <x v="2"/>
    <s v="VALIDATED"/>
    <n v="1"/>
    <s v="01.11.80.308.2013.0000"/>
    <n v="-167"/>
    <s v="11"/>
    <s v="2013"/>
    <n v="9413.32"/>
    <n v="-167"/>
    <s v="CREDITOR"/>
    <n v="0"/>
    <n v="0"/>
    <n v="-167"/>
    <n v="0"/>
    <n v="0"/>
  </r>
  <r>
    <n v="60881169"/>
    <s v="N"/>
    <n v="21356315"/>
    <s v="3000015105360001RC"/>
    <s v="CIVIL"/>
    <d v="2023-06-30T00:00:00"/>
    <d v="2023-07-10T19:47:44"/>
    <m/>
    <d v="2023-07-10T00:00:00"/>
    <n v="550"/>
    <n v="17374"/>
    <s v="60881169"/>
    <s v="60881169"/>
    <m/>
    <m/>
    <m/>
    <m/>
    <m/>
    <m/>
    <s v="SOLRECOUP"/>
    <s v="SOLRECOUP"/>
    <s v="POARECOUP"/>
    <n v="21356315"/>
    <n v="-167"/>
    <m/>
    <s v="Y"/>
    <n v="2"/>
    <d v="2023-07-10T19:47:44"/>
    <s v="N"/>
    <m/>
    <m/>
    <s v="Non Expert Disbursement"/>
    <m/>
    <s v="N"/>
    <n v="0"/>
    <n v="0"/>
    <x v="2"/>
    <s v="VALIDATED"/>
    <n v="1"/>
    <s v="01.11.80.000.0000.0000"/>
    <n v="0"/>
    <s v="11"/>
    <s v="0000"/>
    <n v="9413.32"/>
    <n v="0"/>
    <s v="CREDITOR"/>
    <n v="0"/>
    <n v="0"/>
    <n v="0"/>
    <n v="0"/>
    <n v="0"/>
  </r>
  <r>
    <n v="60881169"/>
    <s v="N"/>
    <n v="21356316"/>
    <s v="3000015105360003RC"/>
    <s v="CIVIL"/>
    <d v="2023-06-30T00:00:00"/>
    <d v="2023-07-10T19:47:44"/>
    <m/>
    <d v="2023-07-10T00:00:00"/>
    <n v="550"/>
    <n v="17374"/>
    <s v="60881169"/>
    <s v="60881169"/>
    <m/>
    <m/>
    <m/>
    <m/>
    <m/>
    <m/>
    <s v="SOLRECOUP"/>
    <s v="SOLRECOUP"/>
    <s v="POARECOUP"/>
    <n v="21356316"/>
    <n v="-202.18"/>
    <m/>
    <s v="Y"/>
    <n v="1"/>
    <d v="2023-07-10T19:47:44"/>
    <s v="N"/>
    <m/>
    <m/>
    <s v="Expert Disbursement"/>
    <m/>
    <s v="N"/>
    <n v="-168.48"/>
    <n v="0"/>
    <x v="2"/>
    <s v="VALIDATED"/>
    <n v="1"/>
    <s v="01.11.80.308.2013.0000"/>
    <n v="-168.48"/>
    <s v="11"/>
    <s v="2013"/>
    <n v="9413.32"/>
    <n v="-168.48"/>
    <s v="CREDITOR"/>
    <n v="0"/>
    <n v="0"/>
    <n v="-168.48"/>
    <n v="0"/>
    <n v="0"/>
  </r>
  <r>
    <n v="60881169"/>
    <s v="N"/>
    <n v="21356316"/>
    <s v="3000015105360003RC"/>
    <s v="CIVIL"/>
    <d v="2023-06-30T00:00:00"/>
    <d v="2023-07-10T19:47:44"/>
    <m/>
    <d v="2023-07-10T00:00:00"/>
    <n v="550"/>
    <n v="17374"/>
    <s v="60881169"/>
    <s v="60881169"/>
    <m/>
    <m/>
    <m/>
    <m/>
    <m/>
    <m/>
    <s v="SOLRECOUP"/>
    <s v="SOLRECOUP"/>
    <s v="POARECOUP"/>
    <n v="21356316"/>
    <n v="-202.18"/>
    <m/>
    <s v="Y"/>
    <n v="2"/>
    <d v="2023-07-10T19:47:44"/>
    <s v="N"/>
    <m/>
    <m/>
    <s v="Expert Disbursement"/>
    <m/>
    <s v="N"/>
    <n v="0"/>
    <n v="-33.7"/>
    <x v="2"/>
    <s v="VALIDATED"/>
    <n v="1"/>
    <s v="01.11.80.308.2013.0000"/>
    <n v="-33.7"/>
    <s v="11"/>
    <s v="2013"/>
    <n v="9413.32"/>
    <n v="-33.7"/>
    <s v="CREDITOR"/>
    <n v="0"/>
    <n v="0"/>
    <n v="-33.7"/>
    <n v="0"/>
    <n v="0"/>
  </r>
  <r>
    <n v="60881169"/>
    <s v="N"/>
    <n v="21356317"/>
    <s v="3000015105360006RC"/>
    <s v="CIVIL"/>
    <d v="2023-06-30T00:00:00"/>
    <d v="2023-07-10T19:47:44"/>
    <m/>
    <d v="2023-07-10T00:00:00"/>
    <n v="550"/>
    <n v="17374"/>
    <s v="60881169"/>
    <s v="60881169"/>
    <m/>
    <m/>
    <m/>
    <m/>
    <m/>
    <m/>
    <s v="SOLRECOUP"/>
    <s v="SOLRECOUP"/>
    <s v="POARECOUP"/>
    <n v="21356317"/>
    <n v="-94.08"/>
    <m/>
    <s v="Y"/>
    <n v="1"/>
    <d v="2023-07-10T19:47:44"/>
    <s v="N"/>
    <m/>
    <m/>
    <s v="Expert Disbursement"/>
    <m/>
    <s v="N"/>
    <n v="-78.40000000000001"/>
    <n v="0"/>
    <x v="2"/>
    <s v="VALIDATED"/>
    <n v="1"/>
    <s v="01.11.80.308.2013.0000"/>
    <n v="-78.40000000000001"/>
    <s v="11"/>
    <s v="2013"/>
    <n v="9413.32"/>
    <n v="-78.40000000000001"/>
    <s v="CREDITOR"/>
    <n v="0"/>
    <n v="0"/>
    <n v="-78.40000000000001"/>
    <n v="0"/>
    <n v="0"/>
  </r>
  <r>
    <n v="60881169"/>
    <s v="N"/>
    <n v="21356317"/>
    <s v="3000015105360006RC"/>
    <s v="CIVIL"/>
    <d v="2023-06-30T00:00:00"/>
    <d v="2023-07-10T19:47:44"/>
    <m/>
    <d v="2023-07-10T00:00:00"/>
    <n v="550"/>
    <n v="17374"/>
    <s v="60881169"/>
    <s v="60881169"/>
    <m/>
    <m/>
    <m/>
    <m/>
    <m/>
    <m/>
    <s v="SOLRECOUP"/>
    <s v="SOLRECOUP"/>
    <s v="POARECOUP"/>
    <n v="21356317"/>
    <n v="-94.08"/>
    <m/>
    <s v="Y"/>
    <n v="2"/>
    <d v="2023-07-10T19:47:44"/>
    <s v="N"/>
    <m/>
    <m/>
    <s v="Expert Disbursement"/>
    <m/>
    <s v="N"/>
    <n v="0"/>
    <n v="-15.68"/>
    <x v="2"/>
    <s v="VALIDATED"/>
    <n v="1"/>
    <s v="01.11.80.308.2013.0000"/>
    <n v="-15.68"/>
    <s v="11"/>
    <s v="2013"/>
    <n v="9413.32"/>
    <n v="-15.68"/>
    <s v="CREDITOR"/>
    <n v="0"/>
    <n v="0"/>
    <n v="-15.68"/>
    <n v="0"/>
    <n v="0"/>
  </r>
  <r>
    <n v="60881169"/>
    <s v="N"/>
    <n v="21356318"/>
    <s v="3000015105360007RC"/>
    <s v="CIVIL"/>
    <d v="2023-06-30T00:00:00"/>
    <d v="2023-07-10T19:47:44"/>
    <m/>
    <d v="2023-07-10T00:00:00"/>
    <n v="550"/>
    <n v="17374"/>
    <s v="60881169"/>
    <s v="60881169"/>
    <m/>
    <m/>
    <m/>
    <m/>
    <m/>
    <m/>
    <s v="SOLRECOUP"/>
    <s v="SOLRECOUP"/>
    <s v="POARECOUP"/>
    <n v="21356318"/>
    <n v="-102"/>
    <m/>
    <s v="Y"/>
    <n v="1"/>
    <d v="2023-07-10T19:47:44"/>
    <s v="N"/>
    <m/>
    <m/>
    <s v="Expert Disbursement"/>
    <m/>
    <s v="N"/>
    <n v="-85"/>
    <n v="0"/>
    <x v="2"/>
    <s v="VALIDATED"/>
    <n v="1"/>
    <s v="01.11.80.308.2013.0000"/>
    <n v="-85"/>
    <s v="11"/>
    <s v="2013"/>
    <n v="9413.32"/>
    <n v="-85"/>
    <s v="CREDITOR"/>
    <n v="0"/>
    <n v="0"/>
    <n v="-85"/>
    <n v="0"/>
    <n v="0"/>
  </r>
  <r>
    <n v="60881169"/>
    <s v="N"/>
    <n v="21356318"/>
    <s v="3000015105360007RC"/>
    <s v="CIVIL"/>
    <d v="2023-06-30T00:00:00"/>
    <d v="2023-07-10T19:47:44"/>
    <m/>
    <d v="2023-07-10T00:00:00"/>
    <n v="550"/>
    <n v="17374"/>
    <s v="60881169"/>
    <s v="60881169"/>
    <m/>
    <m/>
    <m/>
    <m/>
    <m/>
    <m/>
    <s v="SOLRECOUP"/>
    <s v="SOLRECOUP"/>
    <s v="POARECOUP"/>
    <n v="21356318"/>
    <n v="-102"/>
    <m/>
    <s v="Y"/>
    <n v="2"/>
    <d v="2023-07-10T19:47:44"/>
    <s v="N"/>
    <m/>
    <m/>
    <s v="Expert Disbursement"/>
    <m/>
    <s v="N"/>
    <n v="0"/>
    <n v="-17"/>
    <x v="2"/>
    <s v="VALIDATED"/>
    <n v="1"/>
    <s v="01.11.80.308.2013.0000"/>
    <n v="-17"/>
    <s v="11"/>
    <s v="2013"/>
    <n v="9413.32"/>
    <n v="-17"/>
    <s v="CREDITOR"/>
    <n v="0"/>
    <n v="0"/>
    <n v="-17"/>
    <n v="0"/>
    <n v="0"/>
  </r>
  <r>
    <n v="60969370"/>
    <s v="N"/>
    <n v="21356319"/>
    <s v="3000015180820002RC"/>
    <s v="CIVIL"/>
    <d v="2023-06-30T00:00:00"/>
    <d v="2023-07-10T19:47:44"/>
    <m/>
    <d v="2023-07-10T00:00:00"/>
    <n v="550"/>
    <n v="17374"/>
    <s v="60969370"/>
    <s v="60969370"/>
    <m/>
    <m/>
    <m/>
    <m/>
    <m/>
    <m/>
    <s v="SOLRECOUP"/>
    <s v="SOLRECOUP"/>
    <s v="POARECOUP"/>
    <n v="21356319"/>
    <n v="-207.84"/>
    <m/>
    <s v="Y"/>
    <n v="1"/>
    <d v="2023-07-10T19:47:44"/>
    <s v="N"/>
    <m/>
    <m/>
    <s v="Expert Disbursement"/>
    <m/>
    <s v="N"/>
    <n v="-173.2"/>
    <n v="0"/>
    <x v="2"/>
    <s v="VALIDATED"/>
    <n v="1"/>
    <s v="01.11.80.308.2013.0000"/>
    <n v="-173.2"/>
    <s v="11"/>
    <s v="2013"/>
    <n v="9413.32"/>
    <n v="-173.2"/>
    <s v="CREDITOR"/>
    <n v="0"/>
    <n v="0"/>
    <n v="-173.2"/>
    <n v="0"/>
    <n v="0"/>
  </r>
  <r>
    <n v="60969370"/>
    <s v="N"/>
    <n v="21356319"/>
    <s v="3000015180820002RC"/>
    <s v="CIVIL"/>
    <d v="2023-06-30T00:00:00"/>
    <d v="2023-07-10T19:47:44"/>
    <m/>
    <d v="2023-07-10T00:00:00"/>
    <n v="550"/>
    <n v="17374"/>
    <s v="60969370"/>
    <s v="60969370"/>
    <m/>
    <m/>
    <m/>
    <m/>
    <m/>
    <m/>
    <s v="SOLRECOUP"/>
    <s v="SOLRECOUP"/>
    <s v="POARECOUP"/>
    <n v="21356319"/>
    <n v="-207.84"/>
    <m/>
    <s v="Y"/>
    <n v="2"/>
    <d v="2023-07-10T19:47:44"/>
    <s v="N"/>
    <m/>
    <m/>
    <s v="Expert Disbursement"/>
    <m/>
    <s v="N"/>
    <n v="0"/>
    <n v="-34.64"/>
    <x v="2"/>
    <s v="VALIDATED"/>
    <n v="1"/>
    <s v="01.11.80.308.2013.0000"/>
    <n v="-34.64"/>
    <s v="11"/>
    <s v="2013"/>
    <n v="9413.32"/>
    <n v="-34.64"/>
    <s v="CREDITOR"/>
    <n v="0"/>
    <n v="0"/>
    <n v="-34.64"/>
    <n v="0"/>
    <n v="0"/>
  </r>
  <r>
    <n v="60969370"/>
    <s v="N"/>
    <n v="21356320"/>
    <s v="3000015180820001RC"/>
    <s v="CIVIL"/>
    <d v="2023-06-30T00:00:00"/>
    <d v="2023-07-10T19:47:44"/>
    <m/>
    <d v="2023-07-10T00:00:00"/>
    <n v="550"/>
    <n v="17374"/>
    <s v="60969370"/>
    <s v="60969370"/>
    <m/>
    <m/>
    <m/>
    <m/>
    <m/>
    <m/>
    <s v="SOLRECOUP"/>
    <s v="SOLRECOUP"/>
    <s v="POARECOUP"/>
    <n v="21356320"/>
    <n v="-226.8"/>
    <m/>
    <s v="Y"/>
    <n v="1"/>
    <d v="2023-07-10T19:47:44"/>
    <s v="N"/>
    <m/>
    <m/>
    <s v="Expert Disbursement"/>
    <m/>
    <s v="N"/>
    <n v="-189"/>
    <n v="0"/>
    <x v="2"/>
    <s v="VALIDATED"/>
    <n v="1"/>
    <s v="01.11.80.308.2013.0000"/>
    <n v="-189"/>
    <s v="11"/>
    <s v="2013"/>
    <n v="9413.32"/>
    <n v="-189"/>
    <s v="CREDITOR"/>
    <n v="0"/>
    <n v="0"/>
    <n v="-189"/>
    <n v="0"/>
    <n v="0"/>
  </r>
  <r>
    <n v="60481634"/>
    <s v="N"/>
    <n v="21320138"/>
    <s v="3000014760280014"/>
    <s v="CIVIL"/>
    <d v="2023-06-27T00:00:00"/>
    <d v="2023-07-03T19:04:24"/>
    <m/>
    <d v="2023-07-03T00:00:00"/>
    <n v="552"/>
    <n v="17385"/>
    <s v="60481634"/>
    <s v="60481634"/>
    <m/>
    <m/>
    <n v="22774164"/>
    <m/>
    <m/>
    <m/>
    <s v="SOLPOA"/>
    <s v="SOLPOA"/>
    <s v="CCMS"/>
    <n v="21320138"/>
    <n v="835.5599999999999"/>
    <m/>
    <s v="N"/>
    <n v="1"/>
    <d v="2023-07-03T19:04:29"/>
    <s v="N"/>
    <s v="Solicitors Fixed Fee"/>
    <s v="Public Law Children"/>
    <s v="Profit Cost"/>
    <s v="Nichola Williams"/>
    <s v="N"/>
    <n v="696.3"/>
    <n v="139.26"/>
    <x v="3"/>
    <s v="VALIDATED"/>
    <n v="1"/>
    <s v="01.11.80.308.2012.0000"/>
    <n v="696.3"/>
    <s v="11"/>
    <s v="2012"/>
    <n v="20288.9"/>
    <n v="696.3"/>
    <s v="CREDITOR"/>
    <n v="696.3"/>
    <n v="174.075"/>
    <n v="0"/>
    <n v="0"/>
    <n v="0"/>
  </r>
  <r>
    <n v="60438049"/>
    <s v="N"/>
    <n v="21320141"/>
    <s v="3000014722960018"/>
    <s v="CIVIL"/>
    <d v="2023-06-27T00:00:00"/>
    <d v="2023-07-03T19:04:24"/>
    <m/>
    <d v="2023-07-03T00:00:00"/>
    <n v="552"/>
    <n v="17385"/>
    <s v="60438049"/>
    <s v="60438049"/>
    <m/>
    <m/>
    <n v="22773894"/>
    <m/>
    <m/>
    <m/>
    <s v="SOLPOA"/>
    <s v="SOLPOA"/>
    <s v="CCMS"/>
    <n v="21320141"/>
    <n v="4333.7"/>
    <m/>
    <s v="N"/>
    <n v="1"/>
    <d v="2023-07-03T19:04:29"/>
    <s v="N"/>
    <s v="Solicitors Fixed Fee"/>
    <s v="Public Law Children"/>
    <s v="Profit Cost"/>
    <s v="Catherine Barton"/>
    <s v="N"/>
    <n v="3611.42"/>
    <n v="722.28"/>
    <x v="3"/>
    <s v="VALIDATED"/>
    <n v="1"/>
    <s v="01.11.80.308.2012.0000"/>
    <n v="3611.42"/>
    <s v="11"/>
    <s v="2012"/>
    <n v="20288.9"/>
    <n v="3611.42"/>
    <s v="CREDITOR"/>
    <n v="3611.42"/>
    <n v="902.855"/>
    <n v="0"/>
    <n v="0"/>
    <n v="0"/>
  </r>
  <r>
    <n v="45949545"/>
    <s v="N"/>
    <n v="21337855"/>
    <s v="3000011458900006"/>
    <s v="CIVIL"/>
    <d v="2023-06-26T00:00:00"/>
    <d v="2023-07-06T19:21:01"/>
    <m/>
    <d v="2023-07-06T00:00:00"/>
    <n v="552"/>
    <n v="17385"/>
    <s v="45949545"/>
    <s v="45949545"/>
    <m/>
    <m/>
    <n v="22763900"/>
    <m/>
    <m/>
    <m/>
    <s v="SOLPOA"/>
    <s v="SOLPOA"/>
    <s v="CCMS"/>
    <n v="21337855"/>
    <n v="1145.92"/>
    <m/>
    <s v="N"/>
    <n v="1"/>
    <d v="2023-07-06T19:21:09"/>
    <s v="N"/>
    <s v="Level 3 Fixed Fee"/>
    <s v="Private Law Children"/>
    <s v="Profit Cost"/>
    <s v="Vivien Bell"/>
    <s v="N"/>
    <n v="954.9299999999999"/>
    <n v="190.99"/>
    <x v="4"/>
    <s v="VALIDATED"/>
    <n v="1"/>
    <s v="01.11.80.307.2012.0000"/>
    <n v="954.9299999999999"/>
    <s v="11"/>
    <s v="2012"/>
    <n v="20288.9"/>
    <n v="954.9299999999999"/>
    <s v="CREDITOR"/>
    <n v="954.9299999999999"/>
    <n v="238.7325"/>
    <n v="0"/>
    <n v="0"/>
    <n v="0"/>
  </r>
  <r>
    <n v="60510316"/>
    <s v="N"/>
    <n v="21338044"/>
    <s v="3000014784840014"/>
    <s v="CIVIL"/>
    <d v="2023-06-01T00:00:00"/>
    <d v="2023-07-06T19:21:01"/>
    <m/>
    <d v="2023-07-06T00:00:00"/>
    <n v="552"/>
    <n v="17385"/>
    <s v="60510316"/>
    <s v="60510316"/>
    <m/>
    <m/>
    <n v="22594168"/>
    <m/>
    <m/>
    <m/>
    <s v="SOLPOA"/>
    <s v="SOLPOA"/>
    <s v="CCMS"/>
    <n v="21338044"/>
    <n v="53"/>
    <m/>
    <s v="N"/>
    <n v="1"/>
    <d v="2023-07-06T19:21:11"/>
    <s v="N"/>
    <s v="Non Expert Disbursement"/>
    <s v="Non Expert Disbursement"/>
    <s v="Non Expert Disbursement"/>
    <s v="Nichola Williams"/>
    <s v="N"/>
    <n v="53"/>
    <n v="0"/>
    <x v="4"/>
    <s v="VALIDATED"/>
    <n v="1"/>
    <s v="01.11.80.308.2012.0000"/>
    <n v="53"/>
    <s v="11"/>
    <s v="2012"/>
    <n v="20288.9"/>
    <n v="53"/>
    <s v="CREDITOR"/>
    <n v="53"/>
    <n v="0"/>
    <n v="0"/>
    <n v="0"/>
    <n v="0"/>
  </r>
  <r>
    <n v="60333764"/>
    <s v="N"/>
    <n v="21320152"/>
    <s v="3000014632450018"/>
    <s v="CIVIL"/>
    <d v="2023-06-27T00:00:00"/>
    <d v="2023-07-03T19:04:24"/>
    <m/>
    <d v="2023-07-03T00:00:00"/>
    <n v="552"/>
    <n v="17385"/>
    <s v="60333764"/>
    <s v="60333764"/>
    <m/>
    <m/>
    <n v="22774324"/>
    <m/>
    <m/>
    <m/>
    <s v="SOLPOA"/>
    <s v="SOLPOA"/>
    <s v="CCMS"/>
    <n v="21320152"/>
    <n v="627.89"/>
    <m/>
    <s v="N"/>
    <n v="1"/>
    <d v="2023-07-03T19:04:29"/>
    <s v="N"/>
    <s v="Solicitors Fixed Fee"/>
    <s v="Public Law Children"/>
    <s v="Profit Cost"/>
    <s v="Laura Middleton"/>
    <s v="N"/>
    <n v="523.24"/>
    <n v="104.65"/>
    <x v="3"/>
    <s v="VALIDATED"/>
    <n v="1"/>
    <s v="01.11.80.308.2012.0000"/>
    <n v="523.24"/>
    <s v="11"/>
    <s v="2012"/>
    <n v="20288.9"/>
    <n v="523.24"/>
    <s v="CREDITOR"/>
    <n v="523.24"/>
    <n v="130.81"/>
    <n v="0"/>
    <n v="0"/>
    <n v="0"/>
  </r>
  <r>
    <n v="60208557"/>
    <s v="N"/>
    <n v="21337821"/>
    <s v="3000014523070017"/>
    <s v="CIVIL"/>
    <d v="2023-06-22T00:00:00"/>
    <d v="2023-07-06T19:21:01"/>
    <m/>
    <d v="2023-07-06T00:00:00"/>
    <n v="552"/>
    <n v="17385"/>
    <s v="60208557"/>
    <s v="60208557"/>
    <m/>
    <m/>
    <n v="22745928"/>
    <m/>
    <m/>
    <m/>
    <s v="SOLPOA"/>
    <s v="SOLPOA"/>
    <s v="CCMS"/>
    <n v="21337821"/>
    <n v="155.52"/>
    <m/>
    <s v="N"/>
    <n v="1"/>
    <d v="2023-07-06T19:21:08"/>
    <s v="N"/>
    <s v="Expert Cost"/>
    <s v="Expert Cost"/>
    <s v="Expert Disbursement"/>
    <s v="Laura Middleton"/>
    <s v="N"/>
    <n v="155.52"/>
    <n v="0"/>
    <x v="4"/>
    <s v="VALIDATED"/>
    <n v="1"/>
    <s v="01.11.80.308.2012.0000"/>
    <n v="155.52"/>
    <s v="11"/>
    <s v="2012"/>
    <n v="20288.9"/>
    <n v="155.52"/>
    <s v="CREDITOR"/>
    <n v="155.52"/>
    <n v="0"/>
    <n v="0"/>
    <n v="0"/>
    <n v="0"/>
  </r>
  <r>
    <n v="61222711"/>
    <s v="N"/>
    <n v="21318640"/>
    <s v="3000015393650020"/>
    <s v="CIVIL"/>
    <d v="2023-05-22T00:00:00"/>
    <d v="2023-07-03T19:01:49"/>
    <m/>
    <d v="2023-07-03T00:00:00"/>
    <n v="552"/>
    <n v="17385"/>
    <s v="61222711"/>
    <s v="61222711"/>
    <m/>
    <m/>
    <n v="22549816"/>
    <m/>
    <m/>
    <m/>
    <s v="SOLPOA"/>
    <s v="SOLPOA"/>
    <s v="CCMS"/>
    <n v="21318640"/>
    <n v="222.6"/>
    <m/>
    <s v="N"/>
    <n v="1"/>
    <d v="2023-07-03T19:02:00"/>
    <s v="N"/>
    <s v="Expert Cost"/>
    <s v="Expert Cost"/>
    <s v="Expert Disbursement"/>
    <s v="Nichola Williams"/>
    <s v="N"/>
    <n v="185.5"/>
    <n v="37.1"/>
    <x v="3"/>
    <s v="VALIDATED"/>
    <n v="1"/>
    <s v="01.11.80.308.2012.0000"/>
    <n v="185.5"/>
    <s v="11"/>
    <s v="2012"/>
    <n v="20288.9"/>
    <n v="185.5"/>
    <s v="CREDITOR"/>
    <n v="185.5"/>
    <n v="0"/>
    <n v="0"/>
    <n v="0"/>
    <n v="0"/>
  </r>
  <r>
    <n v="62135222"/>
    <s v="N"/>
    <n v="21338002"/>
    <s v="3000016157150008"/>
    <s v="CIVIL"/>
    <d v="2023-06-26T00:00:00"/>
    <d v="2023-07-06T19:21:01"/>
    <m/>
    <d v="2023-07-06T00:00:00"/>
    <n v="552"/>
    <n v="17385"/>
    <s v="62135222"/>
    <s v="62135222"/>
    <m/>
    <m/>
    <n v="22758548"/>
    <m/>
    <m/>
    <m/>
    <s v="SOLPOA"/>
    <s v="SOLPOA"/>
    <s v="CCMS"/>
    <n v="21338002"/>
    <n v="208"/>
    <m/>
    <s v="N"/>
    <n v="1"/>
    <d v="2023-07-06T19:21:11"/>
    <s v="N"/>
    <s v="Expert Cost"/>
    <s v="Expert Cost"/>
    <s v="Expert Disbursement"/>
    <s v="Nichola Williams"/>
    <s v="N"/>
    <n v="208"/>
    <n v="0"/>
    <x v="4"/>
    <s v="VALIDATED"/>
    <n v="1"/>
    <s v="01.11.80.308.2012.0000"/>
    <n v="208"/>
    <s v="11"/>
    <s v="2012"/>
    <n v="20288.9"/>
    <n v="208"/>
    <s v="CREDITOR"/>
    <n v="208"/>
    <n v="0"/>
    <n v="0"/>
    <n v="0"/>
    <n v="0"/>
  </r>
  <r>
    <n v="61222711"/>
    <s v="N"/>
    <n v="21322896"/>
    <s v="3000015393650021"/>
    <s v="CIVIL"/>
    <d v="2023-06-29T00:00:00"/>
    <d v="2023-07-03T19:05:36"/>
    <m/>
    <d v="2023-07-03T00:00:00"/>
    <n v="552"/>
    <n v="17385"/>
    <s v="61222711"/>
    <s v="61222711"/>
    <m/>
    <m/>
    <n v="22793204"/>
    <m/>
    <m/>
    <m/>
    <s v="SOLPOA"/>
    <s v="SOLPOA"/>
    <s v="CCMS"/>
    <n v="21322896"/>
    <n v="433.8"/>
    <m/>
    <s v="N"/>
    <n v="1"/>
    <d v="2023-07-03T19:05:40"/>
    <s v="N"/>
    <s v="Expert Cost"/>
    <s v="Expert Cost"/>
    <s v="Expert Disbursement"/>
    <s v="Nichola Williams"/>
    <s v="N"/>
    <n v="361.5"/>
    <n v="72.3"/>
    <x v="3"/>
    <s v="VALIDATED"/>
    <n v="1"/>
    <s v="01.11.80.308.2012.0000"/>
    <n v="361.5"/>
    <s v="11"/>
    <s v="2012"/>
    <n v="20288.9"/>
    <n v="361.5"/>
    <s v="CREDITOR"/>
    <n v="361.5"/>
    <n v="0"/>
    <n v="0"/>
    <n v="0"/>
    <n v="0"/>
  </r>
  <r>
    <n v="61222711"/>
    <s v="N"/>
    <n v="21320139"/>
    <s v="3000015393650023"/>
    <s v="CIVIL"/>
    <d v="2023-06-27T00:00:00"/>
    <d v="2023-07-03T19:04:24"/>
    <m/>
    <d v="2023-07-03T00:00:00"/>
    <n v="552"/>
    <n v="17385"/>
    <s v="61222711"/>
    <s v="61222711"/>
    <m/>
    <m/>
    <n v="22774014"/>
    <m/>
    <m/>
    <m/>
    <s v="SOLPOA"/>
    <s v="SOLPOA"/>
    <s v="CCMS"/>
    <n v="21320139"/>
    <n v="6694.82"/>
    <m/>
    <s v="N"/>
    <n v="1"/>
    <d v="2023-07-03T19:04:29"/>
    <s v="N"/>
    <s v="Solicitors Fixed Fee"/>
    <s v="Public Law Children"/>
    <s v="Profit Cost"/>
    <s v="Nichola Williams"/>
    <s v="N"/>
    <n v="5579.02"/>
    <n v="1115.8"/>
    <x v="3"/>
    <s v="VALIDATED"/>
    <n v="1"/>
    <s v="01.11.80.308.2012.0000"/>
    <n v="5579.02"/>
    <s v="11"/>
    <s v="2012"/>
    <n v="20288.9"/>
    <n v="5579.02"/>
    <s v="CREDITOR"/>
    <n v="5579.02"/>
    <n v="1394.755"/>
    <n v="0"/>
    <n v="0"/>
    <n v="0"/>
  </r>
  <r>
    <n v="61622922"/>
    <s v="N"/>
    <n v="21343553"/>
    <s v="3000015728080011"/>
    <s v="CIVIL"/>
    <d v="2023-06-08T00:00:00"/>
    <d v="2023-07-07T19:03:00"/>
    <m/>
    <d v="2023-07-07T00:00:00"/>
    <n v="552"/>
    <n v="17385"/>
    <s v="61622922"/>
    <s v="61622922"/>
    <m/>
    <m/>
    <n v="22650862"/>
    <m/>
    <m/>
    <m/>
    <s v="SOLPOA"/>
    <s v="SOLPOA"/>
    <s v="CCMS"/>
    <n v="21343553"/>
    <n v="24"/>
    <m/>
    <s v="N"/>
    <n v="1"/>
    <d v="2023-07-07T19:03:10"/>
    <s v="N"/>
    <s v="Expert Cost"/>
    <s v="Expert Cost"/>
    <s v="Expert Disbursement"/>
    <s v="nichola williams"/>
    <s v="N"/>
    <n v="24"/>
    <n v="0"/>
    <x v="9"/>
    <s v="VALIDATED"/>
    <n v="1"/>
    <s v="01.11.80.308.2012.0000"/>
    <n v="24"/>
    <s v="11"/>
    <s v="2012"/>
    <n v="20288.9"/>
    <n v="24"/>
    <s v="CREDITOR"/>
    <n v="24"/>
    <n v="0"/>
    <n v="0"/>
    <n v="0"/>
    <n v="0"/>
  </r>
  <r>
    <n v="62379758"/>
    <s v="N"/>
    <n v="21338082"/>
    <s v="3000016357380002"/>
    <s v="CIVIL"/>
    <d v="2023-06-21T00:00:00"/>
    <d v="2023-07-06T19:21:01"/>
    <m/>
    <d v="2023-07-06T00:00:00"/>
    <n v="552"/>
    <n v="17385"/>
    <s v="62379758"/>
    <s v="62379758"/>
    <m/>
    <m/>
    <n v="22738298"/>
    <m/>
    <m/>
    <m/>
    <s v="SOLPOA"/>
    <s v="SOLPOA"/>
    <s v="CCMS"/>
    <n v="21338082"/>
    <n v="527.52"/>
    <m/>
    <s v="N"/>
    <n v="1"/>
    <d v="2023-07-06T19:21:11"/>
    <s v="N"/>
    <s v="Expert Cost"/>
    <s v="Expert Cost"/>
    <s v="Expert Disbursement"/>
    <s v="Nichola Williams"/>
    <s v="N"/>
    <n v="439.6"/>
    <n v="87.92"/>
    <x v="4"/>
    <s v="VALIDATED"/>
    <n v="1"/>
    <s v="01.11.80.308.2012.0000"/>
    <n v="439.6"/>
    <s v="11"/>
    <s v="2012"/>
    <n v="20288.9"/>
    <n v="439.6"/>
    <s v="CREDITOR"/>
    <n v="439.6"/>
    <n v="0"/>
    <n v="0"/>
    <n v="0"/>
    <n v="0"/>
  </r>
  <r>
    <n v="62379758"/>
    <s v="N"/>
    <n v="21337861"/>
    <s v="3000016357380001"/>
    <s v="CIVIL"/>
    <d v="2023-06-26T00:00:00"/>
    <d v="2023-07-06T19:21:01"/>
    <m/>
    <d v="2023-07-06T00:00:00"/>
    <n v="552"/>
    <n v="17385"/>
    <s v="62379758"/>
    <s v="62379758"/>
    <m/>
    <m/>
    <n v="22762754"/>
    <m/>
    <m/>
    <m/>
    <s v="SOLPOA"/>
    <s v="SOLPOA"/>
    <s v="CCMS"/>
    <n v="21337861"/>
    <n v="689.42"/>
    <m/>
    <s v="N"/>
    <n v="1"/>
    <d v="2023-07-06T19:21:09"/>
    <s v="N"/>
    <s v="Expert Cost"/>
    <s v="Expert Cost"/>
    <s v="Expert Disbursement"/>
    <s v="Nichola Williams"/>
    <s v="N"/>
    <n v="574.52"/>
    <n v="114.9"/>
    <x v="4"/>
    <s v="VALIDATED"/>
    <n v="1"/>
    <s v="01.11.80.308.2012.0000"/>
    <n v="574.52"/>
    <s v="11"/>
    <s v="2012"/>
    <n v="20288.9"/>
    <n v="574.52"/>
    <s v="CREDITOR"/>
    <n v="574.52"/>
    <n v="0"/>
    <n v="0"/>
    <n v="0"/>
    <n v="0"/>
  </r>
  <r>
    <n v="61611633"/>
    <s v="N"/>
    <n v="21318351"/>
    <s v="3000015718780010"/>
    <s v="CIVIL"/>
    <d v="2023-06-13T00:00:00"/>
    <d v="2023-07-03T19:01:49"/>
    <m/>
    <d v="2023-07-03T00:00:00"/>
    <n v="552"/>
    <n v="17385"/>
    <s v="61611633"/>
    <s v="61611633"/>
    <m/>
    <m/>
    <n v="22679524"/>
    <m/>
    <m/>
    <m/>
    <s v="SOLPOA"/>
    <s v="SOLPOA"/>
    <s v="CCMS"/>
    <n v="21318351"/>
    <n v="1195.12"/>
    <m/>
    <s v="N"/>
    <n v="1"/>
    <d v="2023-07-03T19:01:54"/>
    <s v="N"/>
    <s v="Expert Cost"/>
    <s v="Expert Cost"/>
    <s v="Expert Disbursement"/>
    <s v="Catherine Barton"/>
    <s v="N"/>
    <n v="1195.12"/>
    <n v="0"/>
    <x v="3"/>
    <s v="VALIDATED"/>
    <n v="1"/>
    <s v="01.11.80.308.2012.0000"/>
    <n v="1195.12"/>
    <s v="11"/>
    <s v="2012"/>
    <n v="20288.9"/>
    <n v="1195.12"/>
    <s v="CREDITOR"/>
    <n v="1195.12"/>
    <n v="0"/>
    <n v="0"/>
    <n v="0"/>
    <n v="0"/>
  </r>
  <r>
    <n v="61222711"/>
    <s v="N"/>
    <n v="21318807"/>
    <s v="3000015393650022"/>
    <s v="CIVIL"/>
    <d v="2023-06-21T00:00:00"/>
    <d v="2023-07-03T19:01:49"/>
    <m/>
    <d v="2023-07-03T00:00:00"/>
    <n v="552"/>
    <n v="17385"/>
    <s v="61222711"/>
    <s v="61222711"/>
    <m/>
    <m/>
    <n v="22738128"/>
    <m/>
    <m/>
    <m/>
    <s v="SOLPOA"/>
    <s v="SOLPOA"/>
    <s v="CCMS"/>
    <n v="21318807"/>
    <n v="652.97"/>
    <m/>
    <s v="N"/>
    <n v="1"/>
    <d v="2023-07-03T19:02:03"/>
    <s v="N"/>
    <s v="Expert Cost"/>
    <s v="Expert Cost"/>
    <s v="Expert Disbursement"/>
    <s v="Nichola Williams"/>
    <s v="N"/>
    <n v="544.14"/>
    <n v="108.83"/>
    <x v="3"/>
    <s v="VALIDATED"/>
    <n v="1"/>
    <s v="01.11.80.308.2012.0000"/>
    <n v="544.14"/>
    <s v="11"/>
    <s v="2012"/>
    <n v="20288.9"/>
    <n v="544.14"/>
    <s v="CREDITOR"/>
    <n v="544.14"/>
    <n v="0"/>
    <n v="0"/>
    <n v="0"/>
    <n v="0"/>
  </r>
  <r>
    <n v="60208557"/>
    <s v="N"/>
    <n v="21320148"/>
    <s v="3000014523070016"/>
    <s v="CIVIL"/>
    <d v="2023-06-27T00:00:00"/>
    <d v="2023-07-03T19:04:24"/>
    <m/>
    <d v="2023-07-03T00:00:00"/>
    <n v="552"/>
    <n v="17385"/>
    <s v="60208557"/>
    <s v="60208557"/>
    <m/>
    <m/>
    <n v="22773648"/>
    <m/>
    <m/>
    <m/>
    <s v="SOLPOA"/>
    <s v="SOLPOA"/>
    <s v="CCMS"/>
    <n v="21320148"/>
    <n v="5336.51"/>
    <m/>
    <s v="N"/>
    <n v="1"/>
    <d v="2023-07-03T19:04:29"/>
    <s v="N"/>
    <s v="Solicitors Fixed Fee"/>
    <s v="Public Law Children"/>
    <s v="Profit Cost"/>
    <s v="Laura Middleton"/>
    <s v="N"/>
    <n v="4447.09"/>
    <n v="889.42"/>
    <x v="3"/>
    <s v="VALIDATED"/>
    <n v="1"/>
    <s v="01.11.80.308.2012.0000"/>
    <n v="4447.09"/>
    <s v="11"/>
    <s v="2012"/>
    <n v="20288.9"/>
    <n v="4447.09"/>
    <s v="CREDITOR"/>
    <n v="4447.09"/>
    <n v="1111.7725"/>
    <n v="0"/>
    <n v="0"/>
    <n v="0"/>
  </r>
  <r>
    <n v="62047476"/>
    <s v="N"/>
    <n v="21337965"/>
    <s v="3000016078000001"/>
    <s v="CIVIL"/>
    <d v="2023-06-06T00:00:00"/>
    <d v="2023-07-06T19:21:01"/>
    <m/>
    <d v="2023-07-06T00:00:00"/>
    <n v="552"/>
    <n v="17385"/>
    <s v="62047476"/>
    <s v="62047476"/>
    <m/>
    <m/>
    <n v="22632658"/>
    <m/>
    <m/>
    <m/>
    <s v="SOLPOA"/>
    <s v="SOLPOA"/>
    <s v="CCMS"/>
    <n v="21337965"/>
    <n v="682.8"/>
    <m/>
    <s v="N"/>
    <n v="1"/>
    <d v="2023-07-06T19:21:10"/>
    <s v="N"/>
    <s v="Expert Cost - Private Law Children"/>
    <s v="Expert Cost - Private Law Chil"/>
    <s v="Expert Disbursement"/>
    <s v="Vivien Bell"/>
    <s v="N"/>
    <n v="569"/>
    <n v="113.8"/>
    <x v="4"/>
    <s v="VALIDATED"/>
    <n v="1"/>
    <s v="01.11.80.307.2012.0000"/>
    <n v="569"/>
    <s v="11"/>
    <s v="2012"/>
    <n v="20288.9"/>
    <n v="569"/>
    <s v="CREDITOR"/>
    <n v="569"/>
    <n v="0"/>
    <n v="0"/>
    <n v="0"/>
    <n v="0"/>
  </r>
  <r>
    <n v="62327606"/>
    <s v="N"/>
    <n v="21338033"/>
    <s v="3000016315150004"/>
    <s v="CIVIL"/>
    <d v="2023-06-21T00:00:00"/>
    <d v="2023-07-06T19:21:01"/>
    <m/>
    <d v="2023-07-06T00:00:00"/>
    <n v="552"/>
    <n v="17385"/>
    <s v="62327606"/>
    <s v="62327606"/>
    <m/>
    <m/>
    <n v="22738374"/>
    <m/>
    <m/>
    <m/>
    <s v="SOLPOA"/>
    <s v="SOLPOA"/>
    <s v="CCMS"/>
    <n v="21338033"/>
    <n v="167"/>
    <m/>
    <s v="N"/>
    <n v="1"/>
    <d v="2023-07-06T19:21:11"/>
    <s v="N"/>
    <s v="Non Expert Disbursement"/>
    <s v="Non Expert Disbursement"/>
    <s v="Non Expert Disbursement"/>
    <s v="Nichola Williams"/>
    <s v="N"/>
    <n v="167"/>
    <n v="0"/>
    <x v="4"/>
    <s v="VALIDATED"/>
    <n v="1"/>
    <s v="01.11.80.308.2012.0000"/>
    <n v="167"/>
    <s v="11"/>
    <s v="2012"/>
    <n v="20288.9"/>
    <n v="167"/>
    <s v="CREDITOR"/>
    <n v="167"/>
    <n v="0"/>
    <n v="0"/>
    <n v="0"/>
    <n v="0"/>
  </r>
  <r>
    <n v="12893054"/>
    <s v="N"/>
    <n v="21320929"/>
    <s v="3000007251110027"/>
    <s v="CIVIL"/>
    <d v="2023-06-28T00:00:00"/>
    <d v="2023-07-03T19:04:52"/>
    <m/>
    <d v="2023-07-03T00:00:00"/>
    <n v="572"/>
    <n v="13852"/>
    <s v="12893054"/>
    <s v="12893054"/>
    <m/>
    <m/>
    <n v="22781862"/>
    <m/>
    <m/>
    <m/>
    <s v="SOLPOA"/>
    <s v="SOLPOA"/>
    <s v="CCMS"/>
    <n v="21320929"/>
    <n v="90"/>
    <m/>
    <s v="N"/>
    <n v="1"/>
    <d v="2023-07-03T19:04:57"/>
    <s v="N"/>
    <s v="Non Expert Disbursement - Private L"/>
    <s v="Non Expert Disbursement - Priv"/>
    <s v="Non Expert Disbursement"/>
    <s v="Filip Bakardzhiev"/>
    <s v="N"/>
    <n v="75"/>
    <n v="15"/>
    <x v="3"/>
    <s v="VALIDATED"/>
    <n v="1"/>
    <s v="01.11.80.307.2012.0000"/>
    <n v="75"/>
    <s v="11"/>
    <s v="2012"/>
    <n v="2493.93"/>
    <n v="75"/>
    <s v="CREDITOR"/>
    <n v="75"/>
    <n v="0"/>
    <n v="0"/>
    <n v="0"/>
    <n v="0"/>
  </r>
  <r>
    <n v="62367198"/>
    <s v="N"/>
    <n v="21319367"/>
    <s v="3000016347520004"/>
    <s v="CIVIL"/>
    <d v="2023-06-28T00:00:00"/>
    <d v="2023-07-03T19:04:24"/>
    <m/>
    <d v="2023-07-03T00:00:00"/>
    <n v="572"/>
    <n v="13852"/>
    <s v="62367198"/>
    <s v="62367198"/>
    <m/>
    <m/>
    <n v="22776754"/>
    <m/>
    <m/>
    <m/>
    <s v="SOLPOA"/>
    <s v="SOLPOA"/>
    <s v="CCMS"/>
    <n v="21319367"/>
    <n v="26.4"/>
    <m/>
    <s v="N"/>
    <n v="1"/>
    <d v="2023-07-03T19:04:25"/>
    <s v="N"/>
    <s v="Expert Cost"/>
    <s v="Expert Cost"/>
    <s v="Expert Disbursement"/>
    <s v="Tracey Haynes"/>
    <s v="N"/>
    <n v="22"/>
    <n v="4.4"/>
    <x v="3"/>
    <s v="VALIDATED"/>
    <n v="1"/>
    <s v="01.11.80.308.2012.0000"/>
    <n v="22"/>
    <s v="11"/>
    <s v="2012"/>
    <n v="2493.93"/>
    <n v="22"/>
    <s v="CREDITOR"/>
    <n v="22"/>
    <n v="0"/>
    <n v="0"/>
    <n v="0"/>
    <n v="0"/>
  </r>
  <r>
    <n v="12893054"/>
    <s v="N"/>
    <n v="21320942"/>
    <s v="3000007251110028"/>
    <s v="CIVIL"/>
    <d v="2023-06-28T00:00:00"/>
    <d v="2023-07-03T19:04:52"/>
    <m/>
    <d v="2023-07-03T00:00:00"/>
    <n v="572"/>
    <n v="13852"/>
    <s v="12893054"/>
    <s v="12893054"/>
    <m/>
    <m/>
    <n v="22781924"/>
    <m/>
    <m/>
    <m/>
    <s v="SOLPOA"/>
    <s v="SOLPOA"/>
    <s v="CCMS"/>
    <n v="21320942"/>
    <n v="1652.35"/>
    <m/>
    <s v="N"/>
    <n v="1"/>
    <d v="2023-07-03T19:04:57"/>
    <s v="N"/>
    <s v="Non Expert Disbursement - Private L"/>
    <s v="Non Expert Disbursement - Priv"/>
    <s v="Non Expert Disbursement"/>
    <s v="Filip Bakardzhiev"/>
    <s v="N"/>
    <n v="1376.96"/>
    <n v="275.39"/>
    <x v="3"/>
    <s v="VALIDATED"/>
    <n v="1"/>
    <s v="01.11.80.307.2012.0000"/>
    <n v="1376.96"/>
    <s v="11"/>
    <s v="2012"/>
    <n v="2493.93"/>
    <n v="1376.96"/>
    <s v="CREDITOR"/>
    <n v="1376.96"/>
    <n v="0"/>
    <n v="0"/>
    <n v="0"/>
    <n v="0"/>
  </r>
  <r>
    <n v="61147972"/>
    <s v="N"/>
    <n v="21323240"/>
    <s v="3000015331670017"/>
    <s v="CIVIL"/>
    <d v="2023-06-30T00:00:00"/>
    <d v="2023-07-03T19:05:56"/>
    <m/>
    <d v="2023-07-03T00:00:00"/>
    <n v="572"/>
    <n v="13852"/>
    <s v="61147972"/>
    <s v="61147972"/>
    <m/>
    <m/>
    <n v="22794916"/>
    <m/>
    <m/>
    <m/>
    <s v="SOLPOA"/>
    <s v="SOLPOA"/>
    <s v="CCMS"/>
    <n v="21323240"/>
    <n v="10.8"/>
    <m/>
    <s v="N"/>
    <n v="1"/>
    <d v="2023-07-03T19:05:56"/>
    <s v="N"/>
    <s v="Non Expert Disbursement"/>
    <s v="Non Expert Disbursement"/>
    <s v="Non Expert Disbursement"/>
    <s v="CF"/>
    <s v="N"/>
    <n v="9"/>
    <n v="1.8"/>
    <x v="3"/>
    <s v="VALIDATED"/>
    <n v="1"/>
    <s v="01.11.80.308.2012.0000"/>
    <n v="9"/>
    <s v="11"/>
    <s v="2012"/>
    <n v="2493.93"/>
    <n v="9"/>
    <s v="CREDITOR"/>
    <n v="9"/>
    <n v="0"/>
    <n v="0"/>
    <n v="0"/>
    <n v="0"/>
  </r>
  <r>
    <n v="61147972"/>
    <s v="N"/>
    <n v="21322007"/>
    <s v="3000015331670018"/>
    <s v="CIVIL"/>
    <d v="2023-06-29T00:00:00"/>
    <d v="2023-07-03T19:05:17"/>
    <m/>
    <d v="2023-07-03T00:00:00"/>
    <n v="572"/>
    <n v="13852"/>
    <s v="61147972"/>
    <s v="61147972"/>
    <m/>
    <m/>
    <n v="22788030"/>
    <m/>
    <m/>
    <m/>
    <s v="SOLPOA"/>
    <s v="SOLPOA"/>
    <s v="CCMS"/>
    <n v="21322007"/>
    <n v="10.8"/>
    <m/>
    <s v="N"/>
    <n v="1"/>
    <d v="2023-07-03T19:05:22"/>
    <s v="N"/>
    <s v="Non Expert Disbursement"/>
    <s v="Non Expert Disbursement"/>
    <s v="Non Expert Disbursement"/>
    <s v="CF"/>
    <s v="N"/>
    <n v="9"/>
    <n v="1.8"/>
    <x v="3"/>
    <s v="VALIDATED"/>
    <n v="1"/>
    <s v="01.11.80.308.2012.0000"/>
    <n v="9"/>
    <s v="11"/>
    <s v="2012"/>
    <n v="2493.93"/>
    <n v="9"/>
    <s v="CREDITOR"/>
    <n v="9"/>
    <n v="0"/>
    <n v="0"/>
    <n v="0"/>
    <n v="0"/>
  </r>
  <r>
    <n v="61044387"/>
    <s v="N"/>
    <n v="21337930"/>
    <s v="3000015242330007"/>
    <s v="CIVIL"/>
    <d v="2023-06-29T00:00:00"/>
    <d v="2023-07-06T19:21:01"/>
    <m/>
    <d v="2023-07-06T00:00:00"/>
    <n v="572"/>
    <n v="13852"/>
    <s v="61044387"/>
    <s v="61044387"/>
    <m/>
    <m/>
    <n v="22787476"/>
    <m/>
    <m/>
    <m/>
    <s v="SOLPOA"/>
    <s v="SOLPOA"/>
    <s v="CCMS"/>
    <n v="21337930"/>
    <n v="644.5599999999999"/>
    <m/>
    <s v="N"/>
    <n v="1"/>
    <d v="2023-07-06T19:21:10"/>
    <s v="N"/>
    <s v="Expert Cost"/>
    <s v="Expert Cost"/>
    <s v="Expert Disbursement"/>
    <s v="Tracey Haynes"/>
    <s v="N"/>
    <n v="537.13"/>
    <n v="107.43"/>
    <x v="4"/>
    <s v="VALIDATED"/>
    <n v="1"/>
    <s v="01.11.80.305.2012.0000"/>
    <n v="537.13"/>
    <s v="11"/>
    <s v="2012"/>
    <n v="2493.93"/>
    <n v="537.13"/>
    <s v="CREDITOR"/>
    <n v="537.13"/>
    <n v="0"/>
    <n v="0"/>
    <n v="0"/>
    <n v="0"/>
  </r>
  <r>
    <n v="62367198"/>
    <s v="N"/>
    <n v="21319716"/>
    <s v="3000016347520005"/>
    <s v="CIVIL"/>
    <d v="2023-06-28T00:00:00"/>
    <d v="2023-07-03T19:04:24"/>
    <m/>
    <d v="2023-07-03T00:00:00"/>
    <n v="572"/>
    <n v="13852"/>
    <s v="62367198"/>
    <s v="62367198"/>
    <m/>
    <m/>
    <n v="22776702"/>
    <m/>
    <m/>
    <m/>
    <s v="SOLPOA"/>
    <s v="SOLPOA"/>
    <s v="CCMS"/>
    <n v="21319716"/>
    <n v="310.75"/>
    <m/>
    <s v="N"/>
    <n v="1"/>
    <d v="2023-07-03T19:04:27"/>
    <s v="N"/>
    <s v="Expert Cost"/>
    <s v="Expert Cost"/>
    <s v="Expert Disbursement"/>
    <s v="Tracey Haynes"/>
    <s v="N"/>
    <n v="258.96"/>
    <n v="51.79"/>
    <x v="3"/>
    <s v="VALIDATED"/>
    <n v="1"/>
    <s v="01.11.80.308.2012.0000"/>
    <n v="258.96"/>
    <s v="11"/>
    <s v="2012"/>
    <n v="2493.93"/>
    <n v="258.96"/>
    <s v="CREDITOR"/>
    <n v="258.96"/>
    <n v="0"/>
    <n v="0"/>
    <n v="0"/>
    <n v="0"/>
  </r>
  <r>
    <n v="62367198"/>
    <s v="N"/>
    <n v="21319230"/>
    <s v="3000016347520003"/>
    <s v="CIVIL"/>
    <d v="2023-06-28T00:00:00"/>
    <d v="2023-07-03T19:04:24"/>
    <m/>
    <d v="2023-07-03T00:00:00"/>
    <n v="572"/>
    <n v="13852"/>
    <s v="62367198"/>
    <s v="62367198"/>
    <m/>
    <m/>
    <n v="22776724"/>
    <m/>
    <m/>
    <m/>
    <s v="SOLPOA"/>
    <s v="SOLPOA"/>
    <s v="CCMS"/>
    <n v="21319230"/>
    <n v="187.06"/>
    <m/>
    <s v="N"/>
    <n v="1"/>
    <d v="2023-07-03T19:04:24"/>
    <s v="N"/>
    <s v="Expert Cost"/>
    <s v="Expert Cost"/>
    <s v="Expert Disbursement"/>
    <s v="Tracey Haynes"/>
    <s v="N"/>
    <n v="155.88"/>
    <n v="31.18"/>
    <x v="3"/>
    <s v="VALIDATED"/>
    <n v="1"/>
    <s v="01.11.80.308.2012.0000"/>
    <n v="155.88"/>
    <s v="11"/>
    <s v="2012"/>
    <n v="2493.93"/>
    <n v="155.88"/>
    <s v="CREDITOR"/>
    <n v="155.88"/>
    <n v="0"/>
    <n v="0"/>
    <n v="0"/>
    <n v="0"/>
  </r>
  <r>
    <n v="12893054"/>
    <s v="N"/>
    <n v="21320882"/>
    <s v="3000007251110026"/>
    <s v="CIVIL"/>
    <d v="2023-06-28T00:00:00"/>
    <d v="2023-07-03T19:04:52"/>
    <m/>
    <d v="2023-07-03T00:00:00"/>
    <n v="572"/>
    <n v="13852"/>
    <s v="12893054"/>
    <s v="12893054"/>
    <m/>
    <m/>
    <n v="22781078"/>
    <m/>
    <m/>
    <m/>
    <s v="SOLPOA"/>
    <s v="SOLPOA"/>
    <s v="CCMS"/>
    <n v="21320882"/>
    <n v="60"/>
    <m/>
    <s v="N"/>
    <n v="1"/>
    <d v="2023-07-03T19:04:56"/>
    <s v="N"/>
    <s v="Non Expert Disbursement - Private L"/>
    <s v="Non Expert Disbursement - Priv"/>
    <s v="Non Expert Disbursement"/>
    <s v="Filip Bakardzhiev"/>
    <s v="N"/>
    <n v="50"/>
    <n v="10"/>
    <x v="3"/>
    <s v="VALIDATED"/>
    <n v="1"/>
    <s v="01.11.80.307.2012.0000"/>
    <n v="50"/>
    <s v="11"/>
    <s v="2012"/>
    <n v="2493.93"/>
    <n v="50"/>
    <s v="CREDITOR"/>
    <n v="50"/>
    <n v="0"/>
    <n v="0"/>
    <n v="0"/>
    <n v="0"/>
  </r>
  <r>
    <n v="61444343"/>
    <s v="N"/>
    <n v="21327729"/>
    <s v="3000015577550003"/>
    <s v="CIVIL"/>
    <d v="2023-06-23T00:00:00"/>
    <d v="2023-07-04T19:00:44"/>
    <m/>
    <d v="2023-07-04T00:00:00"/>
    <n v="579"/>
    <n v="15341"/>
    <s v="61444343"/>
    <s v="61444343"/>
    <m/>
    <m/>
    <n v="22752310"/>
    <m/>
    <m/>
    <m/>
    <s v="SOLFIN"/>
    <s v="SOLFIN"/>
    <s v="CCMS"/>
    <n v="21327729"/>
    <n v="5838.97"/>
    <m/>
    <s v="N"/>
    <n v="6"/>
    <d v="2023-07-04T19:00:53"/>
    <s v="Y"/>
    <s v="Solicitor Travel Mileage"/>
    <s v="Public Law Children"/>
    <s v="Non Expert Disbursement"/>
    <s v="PL"/>
    <s v="Y"/>
    <n v="37.8"/>
    <n v="7.56"/>
    <x v="1"/>
    <s v="VALIDATED"/>
    <n v="1"/>
    <s v="01.11.80.308.6300.0000"/>
    <n v="37.8"/>
    <s v="11"/>
    <s v="6300"/>
    <n v="6603.9"/>
    <n v="37.8"/>
    <s v="CREDITOR"/>
    <n v="0"/>
    <n v="0"/>
    <n v="0"/>
    <n v="0"/>
    <n v="37.8"/>
  </r>
  <r>
    <n v="61444343"/>
    <s v="N"/>
    <n v="21327729"/>
    <s v="3000015577550003"/>
    <s v="CIVIL"/>
    <d v="2023-06-23T00:00:00"/>
    <d v="2023-07-04T19:00:44"/>
    <m/>
    <d v="2023-07-04T00:00:00"/>
    <n v="579"/>
    <n v="15341"/>
    <s v="61444343"/>
    <s v="61444343"/>
    <m/>
    <m/>
    <n v="22752310"/>
    <m/>
    <m/>
    <m/>
    <s v="SOLFIN"/>
    <s v="SOLFIN"/>
    <s v="CCMS"/>
    <n v="21327729"/>
    <n v="5838.97"/>
    <m/>
    <s v="N"/>
    <n v="14"/>
    <d v="2023-07-04T19:00:53"/>
    <s v="Y"/>
    <s v="Solicitors Fixed Fee"/>
    <s v="Public Law Children"/>
    <s v="Profit Cost"/>
    <s v="PL"/>
    <s v="Y"/>
    <n v="2013"/>
    <n v="402.6"/>
    <x v="1"/>
    <s v="VALIDATED"/>
    <n v="1"/>
    <s v="01.11.80.308.6100.0000"/>
    <n v="2013"/>
    <s v="11"/>
    <s v="6100"/>
    <n v="6603.9"/>
    <n v="2013"/>
    <s v="CREDITOR"/>
    <n v="0"/>
    <n v="0"/>
    <n v="0"/>
    <n v="0"/>
    <n v="2013"/>
  </r>
  <r>
    <n v="61444343"/>
    <s v="N"/>
    <n v="21327729"/>
    <s v="3000015577550003"/>
    <s v="CIVIL"/>
    <d v="2023-06-23T00:00:00"/>
    <d v="2023-07-04T19:00:44"/>
    <m/>
    <d v="2023-07-04T00:00:00"/>
    <n v="579"/>
    <n v="15341"/>
    <s v="61444343"/>
    <s v="61444343"/>
    <m/>
    <m/>
    <n v="22752310"/>
    <m/>
    <m/>
    <m/>
    <s v="SOLFIN"/>
    <s v="SOLFIN"/>
    <s v="CCMS"/>
    <n v="21327729"/>
    <n v="5838.97"/>
    <m/>
    <s v="N"/>
    <n v="5"/>
    <d v="2023-07-04T19:00:53"/>
    <s v="Y"/>
    <s v="Solicitor Travel Mileage"/>
    <s v="Public Law Children"/>
    <s v="Non Expert Disbursement"/>
    <s v="PL"/>
    <s v="Y"/>
    <n v="36"/>
    <n v="7.2"/>
    <x v="1"/>
    <s v="VALIDATED"/>
    <n v="1"/>
    <s v="01.11.80.308.6300.0000"/>
    <n v="36"/>
    <s v="11"/>
    <s v="6300"/>
    <n v="6603.9"/>
    <n v="36"/>
    <s v="CREDITOR"/>
    <n v="0"/>
    <n v="0"/>
    <n v="0"/>
    <n v="0"/>
    <n v="36"/>
  </r>
  <r>
    <n v="60511253"/>
    <s v="N"/>
    <n v="21349828"/>
    <s v="3000014785450007"/>
    <s v="CIVIL"/>
    <d v="2023-06-30T00:00:00"/>
    <d v="2023-07-10T19:01:40"/>
    <m/>
    <d v="2023-07-10T00:00:00"/>
    <n v="579"/>
    <n v="15341"/>
    <s v="60511253"/>
    <s v="60511253"/>
    <m/>
    <m/>
    <n v="22797400"/>
    <m/>
    <m/>
    <m/>
    <s v="SOLFIN"/>
    <s v="SOLFIN"/>
    <s v="CCMS"/>
    <n v="21349828"/>
    <n v="10360.48"/>
    <m/>
    <s v="N"/>
    <n v="6"/>
    <d v="2023-07-10T19:01:58"/>
    <s v="Y"/>
    <s v="Paediatrician"/>
    <s v="Public Law Children"/>
    <s v="Expert Disbursement"/>
    <s v="PL"/>
    <s v="Y"/>
    <n v="326.25"/>
    <n v="0"/>
    <x v="2"/>
    <s v="VALIDATED"/>
    <n v="1"/>
    <s v="01.11.80.308.6300.0000"/>
    <n v="326.25"/>
    <s v="11"/>
    <s v="6300"/>
    <n v="6603.9"/>
    <n v="326.25"/>
    <s v="CREDITOR"/>
    <n v="0"/>
    <n v="0"/>
    <n v="0"/>
    <n v="0"/>
    <n v="326.25"/>
  </r>
  <r>
    <n v="60511253"/>
    <s v="N"/>
    <n v="21349828"/>
    <s v="3000014785450007"/>
    <s v="CIVIL"/>
    <d v="2023-06-30T00:00:00"/>
    <d v="2023-07-10T19:01:40"/>
    <m/>
    <d v="2023-07-10T00:00:00"/>
    <n v="579"/>
    <n v="15341"/>
    <s v="60511253"/>
    <s v="60511253"/>
    <m/>
    <m/>
    <n v="22797400"/>
    <m/>
    <m/>
    <m/>
    <s v="SOLFIN"/>
    <s v="SOLFIN"/>
    <s v="CCMS"/>
    <n v="21349828"/>
    <n v="10360.48"/>
    <m/>
    <s v="N"/>
    <n v="1"/>
    <d v="2023-07-10T19:01:58"/>
    <s v="Y"/>
    <s v="Interim Hearing Court Bundle/Advoca"/>
    <s v="Public Law Children"/>
    <s v="Advocacy"/>
    <s v="PL"/>
    <s v="Y"/>
    <n v="89.09999999999999"/>
    <n v="17.82"/>
    <x v="2"/>
    <s v="VALIDATED"/>
    <n v="1"/>
    <s v="01.11.80.308.6100.0000"/>
    <n v="89.09999999999999"/>
    <s v="11"/>
    <s v="6100"/>
    <n v="6603.9"/>
    <n v="89.09999999999999"/>
    <s v="CREDITOR"/>
    <n v="0"/>
    <n v="0"/>
    <n v="0"/>
    <n v="0"/>
    <n v="89.09999999999999"/>
  </r>
  <r>
    <n v="60511253"/>
    <s v="N"/>
    <n v="21349828"/>
    <s v="3000014785450007"/>
    <s v="CIVIL"/>
    <d v="2023-06-30T00:00:00"/>
    <d v="2023-07-10T19:01:40"/>
    <m/>
    <d v="2023-07-10T00:00:00"/>
    <n v="579"/>
    <n v="15341"/>
    <s v="60511253"/>
    <s v="60511253"/>
    <m/>
    <m/>
    <n v="22797400"/>
    <m/>
    <m/>
    <m/>
    <s v="SOLFIN"/>
    <s v="SOLFIN"/>
    <s v="CCMS"/>
    <n v="21349828"/>
    <n v="10360.48"/>
    <m/>
    <s v="N"/>
    <n v="10"/>
    <d v="2023-07-10T19:01:58"/>
    <s v="Y"/>
    <s v="Advocates Meeting"/>
    <s v="Public Law Children"/>
    <s v="Advocacy"/>
    <s v="PL"/>
    <s v="Y"/>
    <n v="140.99"/>
    <n v="28.2"/>
    <x v="2"/>
    <s v="VALIDATED"/>
    <n v="1"/>
    <s v="01.11.80.308.6100.0000"/>
    <n v="140.99"/>
    <s v="11"/>
    <s v="6100"/>
    <n v="6603.9"/>
    <n v="140.99"/>
    <s v="CREDITOR"/>
    <n v="0"/>
    <n v="0"/>
    <n v="0"/>
    <n v="0"/>
    <n v="140.99"/>
  </r>
  <r>
    <n v="60511253"/>
    <s v="N"/>
    <n v="21349828"/>
    <s v="3000014785450007"/>
    <s v="CIVIL"/>
    <d v="2023-06-30T00:00:00"/>
    <d v="2023-07-10T19:01:40"/>
    <m/>
    <d v="2023-07-10T00:00:00"/>
    <n v="579"/>
    <n v="15341"/>
    <s v="60511253"/>
    <s v="60511253"/>
    <m/>
    <m/>
    <n v="22797400"/>
    <m/>
    <m/>
    <m/>
    <s v="SOLFIN"/>
    <s v="SOLFIN"/>
    <s v="CCMS"/>
    <n v="21349828"/>
    <n v="10360.48"/>
    <m/>
    <s v="N"/>
    <n v="4"/>
    <d v="2023-07-10T19:01:58"/>
    <s v="Y"/>
    <s v="Profit Costs (Summary)"/>
    <s v="Public Law Children"/>
    <s v="Profit Cost"/>
    <s v="PL"/>
    <s v="Y"/>
    <n v="5227.01"/>
    <n v="1045.4"/>
    <x v="2"/>
    <s v="VALIDATED"/>
    <n v="1"/>
    <s v="01.11.80.308.6100.0000"/>
    <n v="5227.01"/>
    <s v="11"/>
    <s v="6100"/>
    <n v="6603.9"/>
    <n v="5227.01"/>
    <s v="CREDITOR"/>
    <n v="0"/>
    <n v="0"/>
    <n v="0"/>
    <n v="0"/>
    <n v="5227.01"/>
  </r>
  <r>
    <n v="60511253"/>
    <s v="N"/>
    <n v="21349828"/>
    <s v="3000014785450007"/>
    <s v="CIVIL"/>
    <d v="2023-06-30T00:00:00"/>
    <d v="2023-07-10T19:01:40"/>
    <m/>
    <d v="2023-07-10T00:00:00"/>
    <n v="579"/>
    <n v="15341"/>
    <s v="60511253"/>
    <s v="60511253"/>
    <m/>
    <m/>
    <n v="22797400"/>
    <m/>
    <m/>
    <m/>
    <s v="SOLFIN"/>
    <s v="SOLFIN"/>
    <s v="CCMS"/>
    <n v="21349828"/>
    <n v="10360.48"/>
    <m/>
    <s v="N"/>
    <n v="3"/>
    <d v="2023-07-10T19:01:58"/>
    <s v="Y"/>
    <s v="Child psychologist"/>
    <s v="Public Law Children"/>
    <s v="Expert Disbursement"/>
    <s v="PL"/>
    <s v="Y"/>
    <n v="956.5700000000001"/>
    <n v="0"/>
    <x v="2"/>
    <s v="VALIDATED"/>
    <n v="1"/>
    <s v="01.11.80.308.6300.0000"/>
    <n v="956.5700000000001"/>
    <s v="11"/>
    <s v="6300"/>
    <n v="6603.9"/>
    <n v="956.5700000000001"/>
    <s v="CREDITOR"/>
    <n v="0"/>
    <n v="0"/>
    <n v="0"/>
    <n v="0"/>
    <n v="956.5700000000001"/>
  </r>
  <r>
    <n v="61444343"/>
    <s v="N"/>
    <n v="21327729"/>
    <s v="3000015577550003"/>
    <s v="CIVIL"/>
    <d v="2023-06-23T00:00:00"/>
    <d v="2023-07-04T19:00:44"/>
    <m/>
    <d v="2023-07-04T00:00:00"/>
    <n v="579"/>
    <n v="15341"/>
    <s v="61444343"/>
    <s v="61444343"/>
    <m/>
    <m/>
    <n v="22752310"/>
    <m/>
    <m/>
    <m/>
    <s v="SOLFIN"/>
    <s v="SOLFIN"/>
    <s v="CCMS"/>
    <n v="21327729"/>
    <n v="5838.97"/>
    <m/>
    <s v="N"/>
    <n v="10"/>
    <d v="2023-07-04T19:00:53"/>
    <s v="Y"/>
    <s v="Hearing Unit 2.31 - 5.00 Hours"/>
    <s v="Public Law Children"/>
    <s v="Advocacy"/>
    <s v="PL"/>
    <s v="Y"/>
    <n v="476.92"/>
    <n v="95.38"/>
    <x v="1"/>
    <s v="VALIDATED"/>
    <n v="1"/>
    <s v="01.11.80.308.6100.0000"/>
    <n v="476.92"/>
    <s v="11"/>
    <s v="6100"/>
    <n v="6603.9"/>
    <n v="476.92"/>
    <s v="CREDITOR"/>
    <n v="0"/>
    <n v="0"/>
    <n v="0"/>
    <n v="0"/>
    <n v="476.92"/>
  </r>
  <r>
    <n v="61444343"/>
    <s v="N"/>
    <n v="21327729"/>
    <s v="3000015577550003"/>
    <s v="CIVIL"/>
    <d v="2023-06-23T00:00:00"/>
    <d v="2023-07-04T19:00:44"/>
    <m/>
    <d v="2023-07-04T00:00:00"/>
    <n v="579"/>
    <n v="15341"/>
    <s v="61444343"/>
    <s v="61444343"/>
    <m/>
    <m/>
    <n v="22752310"/>
    <m/>
    <m/>
    <m/>
    <s v="SOLFIN"/>
    <s v="SOLFIN"/>
    <s v="CCMS"/>
    <n v="21327729"/>
    <n v="5838.97"/>
    <m/>
    <s v="N"/>
    <n v="4"/>
    <d v="2023-07-04T19:00:53"/>
    <s v="Y"/>
    <s v="Child psychiatrist"/>
    <s v="Public Law Children"/>
    <s v="Expert Disbursement"/>
    <s v="PL"/>
    <s v="Y"/>
    <n v="607"/>
    <n v="0"/>
    <x v="1"/>
    <s v="VALIDATED"/>
    <n v="1"/>
    <s v="01.11.80.308.6300.0000"/>
    <n v="607"/>
    <s v="11"/>
    <s v="6300"/>
    <n v="6603.9"/>
    <n v="607"/>
    <s v="CREDITOR"/>
    <n v="0"/>
    <n v="0"/>
    <n v="0"/>
    <n v="0"/>
    <n v="607"/>
  </r>
  <r>
    <n v="60511253"/>
    <s v="N"/>
    <n v="21349828"/>
    <s v="3000014785450007"/>
    <s v="CIVIL"/>
    <d v="2023-06-30T00:00:00"/>
    <d v="2023-07-10T19:01:40"/>
    <m/>
    <d v="2023-07-10T00:00:00"/>
    <n v="579"/>
    <n v="15341"/>
    <s v="60511253"/>
    <s v="60511253"/>
    <m/>
    <m/>
    <n v="22797400"/>
    <m/>
    <m/>
    <m/>
    <s v="SOLFIN"/>
    <s v="SOLFIN"/>
    <s v="CCMS"/>
    <n v="21349828"/>
    <n v="10360.48"/>
    <m/>
    <s v="N"/>
    <n v="2"/>
    <d v="2023-07-10T19:01:58"/>
    <s v="Y"/>
    <s v="Expert - Other"/>
    <s v="Public Law Children"/>
    <s v="Expert Disbursement"/>
    <s v="PL"/>
    <s v="Y"/>
    <n v="200.5"/>
    <n v="40.1"/>
    <x v="2"/>
    <s v="VALIDATED"/>
    <n v="1"/>
    <s v="01.11.80.308.6300.0000"/>
    <n v="200.5"/>
    <s v="11"/>
    <s v="6300"/>
    <n v="6603.9"/>
    <n v="200.5"/>
    <s v="CREDITOR"/>
    <n v="0"/>
    <n v="0"/>
    <n v="0"/>
    <n v="0"/>
    <n v="200.5"/>
  </r>
  <r>
    <n v="61444343"/>
    <s v="N"/>
    <n v="21327729"/>
    <s v="3000015577550003"/>
    <s v="CIVIL"/>
    <d v="2023-06-23T00:00:00"/>
    <d v="2023-07-04T19:00:44"/>
    <m/>
    <d v="2023-07-04T00:00:00"/>
    <n v="579"/>
    <n v="15341"/>
    <s v="61444343"/>
    <s v="61444343"/>
    <m/>
    <m/>
    <n v="22752310"/>
    <m/>
    <m/>
    <m/>
    <s v="SOLFIN"/>
    <s v="SOLFIN"/>
    <s v="CCMS"/>
    <n v="21327729"/>
    <n v="5838.97"/>
    <m/>
    <s v="N"/>
    <n v="3"/>
    <d v="2023-07-04T19:00:53"/>
    <s v="Y"/>
    <s v="Final Hearing Court Bundle/Advocate"/>
    <s v="Public Law Children"/>
    <s v="Advocacy"/>
    <s v="PL"/>
    <s v="Y"/>
    <n v="239.4"/>
    <n v="47.88"/>
    <x v="1"/>
    <s v="VALIDATED"/>
    <n v="1"/>
    <s v="01.11.80.308.6100.0000"/>
    <n v="239.4"/>
    <s v="11"/>
    <s v="6100"/>
    <n v="6603.9"/>
    <n v="239.4"/>
    <s v="CREDITOR"/>
    <n v="0"/>
    <n v="0"/>
    <n v="0"/>
    <n v="0"/>
    <n v="239.4"/>
  </r>
  <r>
    <n v="61444343"/>
    <s v="N"/>
    <n v="21327729"/>
    <s v="3000015577550003"/>
    <s v="CIVIL"/>
    <d v="2023-06-23T00:00:00"/>
    <d v="2023-07-04T19:00:44"/>
    <m/>
    <d v="2023-07-04T00:00:00"/>
    <n v="579"/>
    <n v="15341"/>
    <s v="61444343"/>
    <s v="61444343"/>
    <m/>
    <m/>
    <n v="22752310"/>
    <m/>
    <m/>
    <m/>
    <s v="SOLFIN"/>
    <s v="SOLFIN"/>
    <s v="CCMS"/>
    <n v="21327729"/>
    <n v="5838.97"/>
    <m/>
    <s v="N"/>
    <n v="11"/>
    <d v="2023-07-04T19:00:53"/>
    <s v="Y"/>
    <s v="Advocates Meeting"/>
    <s v="Public Law Children"/>
    <s v="Advocacy"/>
    <s v="PL"/>
    <s v="Y"/>
    <n v="140.99"/>
    <n v="28.2"/>
    <x v="1"/>
    <s v="VALIDATED"/>
    <n v="1"/>
    <s v="01.11.80.308.6100.0000"/>
    <n v="140.99"/>
    <s v="11"/>
    <s v="6100"/>
    <n v="6603.9"/>
    <n v="140.99"/>
    <s v="CREDITOR"/>
    <n v="0"/>
    <n v="0"/>
    <n v="0"/>
    <n v="0"/>
    <n v="140.99"/>
  </r>
  <r>
    <n v="61444343"/>
    <s v="N"/>
    <n v="21327729"/>
    <s v="3000015577550003"/>
    <s v="CIVIL"/>
    <d v="2023-06-23T00:00:00"/>
    <d v="2023-07-04T19:00:44"/>
    <m/>
    <d v="2023-07-04T00:00:00"/>
    <n v="579"/>
    <n v="15341"/>
    <s v="61444343"/>
    <s v="61444343"/>
    <m/>
    <m/>
    <n v="22752310"/>
    <m/>
    <m/>
    <m/>
    <s v="SOLFIN"/>
    <s v="SOLFIN"/>
    <s v="CCMS"/>
    <n v="21327729"/>
    <n v="5838.97"/>
    <m/>
    <s v="N"/>
    <n v="7"/>
    <d v="2023-07-04T19:00:53"/>
    <s v="Y"/>
    <s v="Solicitor Travel Mileage"/>
    <s v="Public Law Children"/>
    <s v="Non Expert Disbursement"/>
    <s v="PL"/>
    <s v="Y"/>
    <n v="36"/>
    <n v="7.2"/>
    <x v="1"/>
    <s v="VALIDATED"/>
    <n v="1"/>
    <s v="01.11.80.308.6300.0000"/>
    <n v="36"/>
    <s v="11"/>
    <s v="6300"/>
    <n v="6603.9"/>
    <n v="36"/>
    <s v="CREDITOR"/>
    <n v="0"/>
    <n v="0"/>
    <n v="0"/>
    <n v="0"/>
    <n v="36"/>
  </r>
  <r>
    <n v="60511253"/>
    <s v="N"/>
    <n v="21349828"/>
    <s v="3000014785450007"/>
    <s v="CIVIL"/>
    <d v="2023-06-30T00:00:00"/>
    <d v="2023-07-10T19:01:40"/>
    <m/>
    <d v="2023-07-10T00:00:00"/>
    <n v="579"/>
    <n v="15341"/>
    <s v="60511253"/>
    <s v="60511253"/>
    <m/>
    <m/>
    <n v="22797400"/>
    <m/>
    <m/>
    <m/>
    <s v="SOLFIN"/>
    <s v="SOLFIN"/>
    <s v="CCMS"/>
    <n v="21349828"/>
    <n v="10360.48"/>
    <m/>
    <s v="N"/>
    <n v="7"/>
    <d v="2023-07-10T19:01:58"/>
    <s v="Y"/>
    <s v="Haematologist"/>
    <s v="Public Law Children"/>
    <s v="Expert Disbursement"/>
    <s v="PL"/>
    <s v="Y"/>
    <n v="488"/>
    <n v="97.59999999999999"/>
    <x v="2"/>
    <s v="VALIDATED"/>
    <n v="1"/>
    <s v="01.11.80.308.6300.0000"/>
    <n v="488"/>
    <s v="11"/>
    <s v="6300"/>
    <n v="6603.9"/>
    <n v="488"/>
    <s v="CREDITOR"/>
    <n v="0"/>
    <n v="0"/>
    <n v="0"/>
    <n v="0"/>
    <n v="488"/>
  </r>
  <r>
    <n v="61444343"/>
    <s v="N"/>
    <n v="21327729"/>
    <s v="3000015577550003"/>
    <s v="CIVIL"/>
    <d v="2023-06-23T00:00:00"/>
    <d v="2023-07-04T19:00:44"/>
    <m/>
    <d v="2023-07-04T00:00:00"/>
    <n v="579"/>
    <n v="15341"/>
    <s v="61444343"/>
    <s v="61444343"/>
    <m/>
    <m/>
    <n v="22752310"/>
    <m/>
    <m/>
    <m/>
    <s v="SOLFIN"/>
    <s v="SOLFIN"/>
    <s v="CCMS"/>
    <n v="21327729"/>
    <n v="5838.97"/>
    <m/>
    <s v="N"/>
    <n v="8"/>
    <d v="2023-07-04T19:00:53"/>
    <s v="Y"/>
    <s v="Final Hearing - 1 Day"/>
    <s v="Public Law Children"/>
    <s v="Advocacy"/>
    <s v="PL"/>
    <s v="Y"/>
    <n v="556.88"/>
    <n v="111.38"/>
    <x v="1"/>
    <s v="VALIDATED"/>
    <n v="1"/>
    <s v="01.11.80.308.6100.0000"/>
    <n v="556.88"/>
    <s v="11"/>
    <s v="6100"/>
    <n v="6603.9"/>
    <n v="556.88"/>
    <s v="CREDITOR"/>
    <n v="0"/>
    <n v="0"/>
    <n v="0"/>
    <n v="0"/>
    <n v="556.88"/>
  </r>
  <r>
    <n v="61444343"/>
    <s v="N"/>
    <n v="21327729"/>
    <s v="3000015577550003"/>
    <s v="CIVIL"/>
    <d v="2023-06-23T00:00:00"/>
    <d v="2023-07-04T19:00:44"/>
    <m/>
    <d v="2023-07-04T00:00:00"/>
    <n v="579"/>
    <n v="15341"/>
    <s v="61444343"/>
    <s v="61444343"/>
    <m/>
    <m/>
    <n v="22752310"/>
    <m/>
    <m/>
    <m/>
    <s v="SOLFIN"/>
    <s v="SOLFIN"/>
    <s v="CCMS"/>
    <n v="21327729"/>
    <n v="5838.97"/>
    <m/>
    <s v="N"/>
    <n v="12"/>
    <d v="2023-07-04T19:00:53"/>
    <s v="Y"/>
    <s v="Hearing Unit 2.31 - 5.00 Hours"/>
    <s v="Public Law Children"/>
    <s v="Advocacy"/>
    <s v="PL"/>
    <s v="Y"/>
    <n v="476.92"/>
    <n v="95.38"/>
    <x v="1"/>
    <s v="VALIDATED"/>
    <n v="1"/>
    <s v="01.11.80.308.6100.0000"/>
    <n v="476.92"/>
    <s v="11"/>
    <s v="6100"/>
    <n v="6603.9"/>
    <n v="476.92"/>
    <s v="CREDITOR"/>
    <n v="0"/>
    <n v="0"/>
    <n v="0"/>
    <n v="0"/>
    <n v="476.92"/>
  </r>
  <r>
    <n v="60511253"/>
    <s v="N"/>
    <n v="21349828"/>
    <s v="3000014785450007"/>
    <s v="CIVIL"/>
    <d v="2023-06-30T00:00:00"/>
    <d v="2023-07-10T19:01:40"/>
    <m/>
    <d v="2023-07-10T00:00:00"/>
    <n v="579"/>
    <n v="15341"/>
    <s v="60511253"/>
    <s v="60511253"/>
    <m/>
    <m/>
    <n v="22797400"/>
    <m/>
    <m/>
    <m/>
    <s v="SOLFIN"/>
    <s v="SOLFIN"/>
    <s v="CCMS"/>
    <n v="21349828"/>
    <n v="10360.48"/>
    <m/>
    <s v="N"/>
    <n v="12"/>
    <d v="2023-07-10T19:01:58"/>
    <s v="Y"/>
    <s v="Hearing Unit 2.31 - 5.00 Hours"/>
    <s v="Public Law Children"/>
    <s v="Advocacy"/>
    <s v="PL"/>
    <s v="Y"/>
    <n v="476.92"/>
    <n v="95.38"/>
    <x v="2"/>
    <s v="VALIDATED"/>
    <n v="1"/>
    <s v="01.11.80.308.6100.0000"/>
    <n v="476.92"/>
    <s v="11"/>
    <s v="6100"/>
    <n v="6603.9"/>
    <n v="476.92"/>
    <s v="CREDITOR"/>
    <n v="0"/>
    <n v="0"/>
    <n v="0"/>
    <n v="0"/>
    <n v="476.92"/>
  </r>
  <r>
    <n v="60511253"/>
    <s v="N"/>
    <n v="21349828"/>
    <s v="3000014785450007"/>
    <s v="CIVIL"/>
    <d v="2023-06-30T00:00:00"/>
    <d v="2023-07-10T19:01:40"/>
    <m/>
    <d v="2023-07-10T00:00:00"/>
    <n v="579"/>
    <n v="15341"/>
    <s v="60511253"/>
    <s v="60511253"/>
    <m/>
    <m/>
    <n v="22797400"/>
    <m/>
    <m/>
    <m/>
    <s v="SOLFIN"/>
    <s v="SOLFIN"/>
    <s v="CCMS"/>
    <n v="21349828"/>
    <n v="10360.48"/>
    <m/>
    <s v="N"/>
    <n v="11"/>
    <d v="2023-07-10T19:01:58"/>
    <s v="Y"/>
    <s v="Hearing Unit 1.01 - 2.30 Hours"/>
    <s v="Public Law Children"/>
    <s v="Advocacy"/>
    <s v="PL"/>
    <s v="Y"/>
    <n v="238.46"/>
    <n v="47.69"/>
    <x v="2"/>
    <s v="VALIDATED"/>
    <n v="1"/>
    <s v="01.11.80.308.6100.0000"/>
    <n v="238.46"/>
    <s v="11"/>
    <s v="6100"/>
    <n v="6603.9"/>
    <n v="238.46"/>
    <s v="CREDITOR"/>
    <n v="0"/>
    <n v="0"/>
    <n v="0"/>
    <n v="0"/>
    <n v="238.46"/>
  </r>
  <r>
    <n v="60511253"/>
    <s v="N"/>
    <n v="21349828"/>
    <s v="3000014785450007"/>
    <s v="CIVIL"/>
    <d v="2023-06-30T00:00:00"/>
    <d v="2023-07-10T19:01:40"/>
    <m/>
    <d v="2023-07-10T00:00:00"/>
    <n v="579"/>
    <n v="15341"/>
    <s v="60511253"/>
    <s v="60511253"/>
    <m/>
    <m/>
    <n v="22797400"/>
    <m/>
    <m/>
    <m/>
    <s v="SOLFIN"/>
    <s v="SOLFIN"/>
    <s v="CCMS"/>
    <n v="21349828"/>
    <n v="10360.48"/>
    <m/>
    <s v="N"/>
    <n v="9"/>
    <d v="2023-07-10T19:01:58"/>
    <s v="Y"/>
    <s v="Advocates Meeting"/>
    <s v="Public Law Children"/>
    <s v="Advocacy"/>
    <s v="PL"/>
    <s v="Y"/>
    <n v="140.99"/>
    <n v="28.2"/>
    <x v="2"/>
    <s v="VALIDATED"/>
    <n v="1"/>
    <s v="01.11.80.308.6100.0000"/>
    <n v="140.99"/>
    <s v="11"/>
    <s v="6100"/>
    <n v="6603.9"/>
    <n v="140.99"/>
    <s v="CREDITOR"/>
    <n v="0"/>
    <n v="0"/>
    <n v="0"/>
    <n v="0"/>
    <n v="140.99"/>
  </r>
  <r>
    <n v="60511253"/>
    <s v="N"/>
    <n v="21349828"/>
    <s v="3000014785450007"/>
    <s v="CIVIL"/>
    <d v="2023-06-30T00:00:00"/>
    <d v="2023-07-10T19:01:40"/>
    <m/>
    <d v="2023-07-10T00:00:00"/>
    <n v="579"/>
    <n v="15341"/>
    <s v="60511253"/>
    <s v="60511253"/>
    <m/>
    <m/>
    <n v="22797400"/>
    <m/>
    <m/>
    <m/>
    <s v="SOLFIN"/>
    <s v="SOLFIN"/>
    <s v="CCMS"/>
    <n v="21349828"/>
    <n v="10360.48"/>
    <m/>
    <s v="N"/>
    <n v="5"/>
    <d v="2023-07-10T19:01:58"/>
    <s v="Y"/>
    <s v="Solicitor Travel Mileage"/>
    <s v="Public Law Children"/>
    <s v="Non Expert Disbursement"/>
    <s v="PL"/>
    <s v="Y"/>
    <n v="13.5"/>
    <n v="2.7"/>
    <x v="2"/>
    <s v="VALIDATED"/>
    <n v="1"/>
    <s v="01.11.80.308.6300.0000"/>
    <n v="13.5"/>
    <s v="11"/>
    <s v="6300"/>
    <n v="6603.9"/>
    <n v="13.5"/>
    <s v="CREDITOR"/>
    <n v="0"/>
    <n v="0"/>
    <n v="0"/>
    <n v="0"/>
    <n v="13.5"/>
  </r>
  <r>
    <n v="61444343"/>
    <s v="N"/>
    <n v="21327729"/>
    <s v="3000015577550003"/>
    <s v="CIVIL"/>
    <d v="2023-06-23T00:00:00"/>
    <d v="2023-07-04T19:00:44"/>
    <m/>
    <d v="2023-07-04T00:00:00"/>
    <n v="579"/>
    <n v="15341"/>
    <s v="61444343"/>
    <s v="61444343"/>
    <m/>
    <m/>
    <n v="22752310"/>
    <m/>
    <m/>
    <m/>
    <s v="SOLFIN"/>
    <s v="SOLFIN"/>
    <s v="CCMS"/>
    <n v="21327729"/>
    <n v="5838.97"/>
    <m/>
    <s v="N"/>
    <n v="13"/>
    <d v="2023-07-04T19:00:53"/>
    <s v="Y"/>
    <s v="Advocates Meeting"/>
    <s v="Public Law Children"/>
    <s v="Advocacy"/>
    <s v="PL"/>
    <s v="Y"/>
    <n v="140.99"/>
    <n v="28.2"/>
    <x v="1"/>
    <s v="VALIDATED"/>
    <n v="1"/>
    <s v="01.11.80.308.6100.0000"/>
    <n v="140.99"/>
    <s v="11"/>
    <s v="6100"/>
    <n v="6603.9"/>
    <n v="140.99"/>
    <s v="CREDITOR"/>
    <n v="0"/>
    <n v="0"/>
    <n v="0"/>
    <n v="0"/>
    <n v="140.99"/>
  </r>
  <r>
    <n v="61444343"/>
    <s v="N"/>
    <n v="21327729"/>
    <s v="3000015577550003"/>
    <s v="CIVIL"/>
    <d v="2023-06-23T00:00:00"/>
    <d v="2023-07-04T19:00:44"/>
    <m/>
    <d v="2023-07-04T00:00:00"/>
    <n v="579"/>
    <n v="15341"/>
    <s v="61444343"/>
    <s v="61444343"/>
    <m/>
    <m/>
    <n v="22752310"/>
    <m/>
    <m/>
    <m/>
    <s v="SOLFIN"/>
    <s v="SOLFIN"/>
    <s v="CCMS"/>
    <n v="21327729"/>
    <n v="5838.97"/>
    <m/>
    <s v="N"/>
    <n v="9"/>
    <d v="2023-07-04T19:00:53"/>
    <s v="Y"/>
    <s v="Advocates Meeting"/>
    <s v="Public Law Children"/>
    <s v="Advocacy"/>
    <s v="PL"/>
    <s v="Y"/>
    <n v="140.99"/>
    <n v="28.2"/>
    <x v="1"/>
    <s v="VALIDATED"/>
    <n v="1"/>
    <s v="01.11.80.308.6100.0000"/>
    <n v="140.99"/>
    <s v="11"/>
    <s v="6100"/>
    <n v="6603.9"/>
    <n v="140.99"/>
    <s v="CREDITOR"/>
    <n v="0"/>
    <n v="0"/>
    <n v="0"/>
    <n v="0"/>
    <n v="140.99"/>
  </r>
  <r>
    <n v="60511253"/>
    <s v="N"/>
    <n v="21349828"/>
    <s v="3000014785450007"/>
    <s v="CIVIL"/>
    <d v="2023-06-30T00:00:00"/>
    <d v="2023-07-10T19:01:40"/>
    <m/>
    <d v="2023-07-10T00:00:00"/>
    <n v="579"/>
    <n v="15341"/>
    <s v="60511253"/>
    <s v="60511253"/>
    <m/>
    <m/>
    <n v="22797400"/>
    <m/>
    <m/>
    <m/>
    <s v="SOLFIN"/>
    <s v="SOLFIN"/>
    <s v="CCMS"/>
    <n v="21349828"/>
    <n v="10360.48"/>
    <m/>
    <s v="N"/>
    <n v="8"/>
    <d v="2023-07-10T19:01:58"/>
    <s v="Y"/>
    <s v="Expert - Other"/>
    <s v="Public Law Children"/>
    <s v="Expert Disbursement"/>
    <s v="PL"/>
    <s v="Y"/>
    <n v="549.25"/>
    <n v="109.85"/>
    <x v="2"/>
    <s v="VALIDATED"/>
    <n v="1"/>
    <s v="01.11.80.308.6300.0000"/>
    <n v="549.25"/>
    <s v="11"/>
    <s v="6300"/>
    <n v="6603.9"/>
    <n v="549.25"/>
    <s v="CREDITOR"/>
    <n v="0"/>
    <n v="0"/>
    <n v="0"/>
    <n v="0"/>
    <n v="549.25"/>
  </r>
  <r>
    <n v="61444343"/>
    <s v="N"/>
    <n v="21327729"/>
    <s v="3000015577550003"/>
    <s v="CIVIL"/>
    <d v="2023-06-23T00:00:00"/>
    <d v="2023-07-04T19:00:44"/>
    <m/>
    <d v="2023-07-04T00:00:00"/>
    <n v="579"/>
    <n v="15341"/>
    <s v="61444343"/>
    <s v="61444343"/>
    <m/>
    <m/>
    <n v="22752310"/>
    <m/>
    <m/>
    <m/>
    <s v="SOLFIN"/>
    <s v="SOLFIN"/>
    <s v="CCMS"/>
    <n v="21327729"/>
    <n v="5838.97"/>
    <m/>
    <s v="N"/>
    <n v="1"/>
    <d v="2023-07-04T19:00:53"/>
    <s v="Y"/>
    <s v="Exceptional Travel"/>
    <s v="Public Law Children"/>
    <s v="Advocacy"/>
    <s v="PL"/>
    <s v="Y"/>
    <n v="32.04"/>
    <n v="6.41"/>
    <x v="1"/>
    <s v="VALIDATED"/>
    <n v="1"/>
    <s v="01.11.80.308.6100.0000"/>
    <n v="32.04"/>
    <s v="11"/>
    <s v="6100"/>
    <n v="6603.9"/>
    <n v="32.04"/>
    <s v="CREDITOR"/>
    <n v="0"/>
    <n v="0"/>
    <n v="0"/>
    <n v="0"/>
    <n v="32.04"/>
  </r>
  <r>
    <n v="61444343"/>
    <s v="N"/>
    <n v="21327729"/>
    <s v="3000015577550003"/>
    <s v="CIVIL"/>
    <d v="2023-06-23T00:00:00"/>
    <d v="2023-07-04T19:00:44"/>
    <m/>
    <d v="2023-07-04T00:00:00"/>
    <n v="579"/>
    <n v="15341"/>
    <s v="61444343"/>
    <s v="61444343"/>
    <m/>
    <m/>
    <n v="22752310"/>
    <m/>
    <m/>
    <m/>
    <s v="SOLFIN"/>
    <s v="SOLFIN"/>
    <s v="CCMS"/>
    <n v="21327729"/>
    <n v="5838.97"/>
    <m/>
    <s v="N"/>
    <n v="2"/>
    <d v="2023-07-04T19:00:53"/>
    <s v="Y"/>
    <s v="Exceptional Travel"/>
    <s v="Public Law Children"/>
    <s v="Advocacy"/>
    <s v="PL"/>
    <s v="Y"/>
    <n v="32.04"/>
    <n v="6.41"/>
    <x v="1"/>
    <s v="VALIDATED"/>
    <n v="1"/>
    <s v="01.11.80.308.6100.0000"/>
    <n v="32.04"/>
    <s v="11"/>
    <s v="6100"/>
    <n v="6603.9"/>
    <n v="32.04"/>
    <s v="CREDITOR"/>
    <n v="0"/>
    <n v="0"/>
    <n v="0"/>
    <n v="0"/>
    <n v="32.04"/>
  </r>
  <r>
    <n v="61444343"/>
    <s v="N"/>
    <n v="21328602"/>
    <s v="3000015577550002RC"/>
    <s v="CIVIL"/>
    <d v="2023-06-23T00:00:00"/>
    <d v="2023-07-04T19:38:21"/>
    <m/>
    <d v="2023-07-04T00:00:00"/>
    <n v="579"/>
    <n v="15341"/>
    <s v="61444343"/>
    <s v="61444343"/>
    <m/>
    <m/>
    <m/>
    <m/>
    <m/>
    <m/>
    <s v="SOLRECOUP"/>
    <s v="SOLRECOUP"/>
    <s v="POARECOUP"/>
    <n v="21328602"/>
    <n v="-607"/>
    <m/>
    <s v="Y"/>
    <n v="1"/>
    <d v="2023-07-04T19:38:22"/>
    <s v="N"/>
    <m/>
    <m/>
    <s v="Expert Disbursement"/>
    <m/>
    <s v="N"/>
    <n v="-607"/>
    <n v="0"/>
    <x v="1"/>
    <s v="VALIDATED"/>
    <n v="1"/>
    <s v="01.11.80.308.2013.0000"/>
    <n v="-607"/>
    <s v="11"/>
    <s v="2013"/>
    <n v="6603.9"/>
    <n v="-607"/>
    <s v="CREDITOR"/>
    <n v="0"/>
    <n v="0"/>
    <n v="-607"/>
    <n v="0"/>
    <n v="0"/>
  </r>
  <r>
    <n v="61444343"/>
    <s v="N"/>
    <n v="21328602"/>
    <s v="3000015577550002RC"/>
    <s v="CIVIL"/>
    <d v="2023-06-23T00:00:00"/>
    <d v="2023-07-04T19:38:21"/>
    <m/>
    <d v="2023-07-04T00:00:00"/>
    <n v="579"/>
    <n v="15341"/>
    <s v="61444343"/>
    <s v="61444343"/>
    <m/>
    <m/>
    <m/>
    <m/>
    <m/>
    <m/>
    <s v="SOLRECOUP"/>
    <s v="SOLRECOUP"/>
    <s v="POARECOUP"/>
    <n v="21328602"/>
    <n v="-607"/>
    <m/>
    <s v="Y"/>
    <n v="2"/>
    <d v="2023-07-04T19:38:22"/>
    <s v="N"/>
    <m/>
    <m/>
    <s v="Expert Disbursement"/>
    <m/>
    <s v="N"/>
    <n v="0"/>
    <n v="0"/>
    <x v="1"/>
    <s v="VALIDATED"/>
    <n v="1"/>
    <s v="01.11.80.000.0000.0000"/>
    <n v="0"/>
    <s v="11"/>
    <s v="0000"/>
    <n v="6603.9"/>
    <n v="0"/>
    <s v="CREDITOR"/>
    <n v="0"/>
    <n v="0"/>
    <n v="0"/>
    <n v="0"/>
    <n v="0"/>
  </r>
  <r>
    <n v="61444343"/>
    <s v="N"/>
    <n v="21328603"/>
    <s v="3000015577550001RC"/>
    <s v="CIVIL"/>
    <d v="2023-06-23T00:00:00"/>
    <d v="2023-07-04T19:38:21"/>
    <m/>
    <d v="2023-07-04T00:00:00"/>
    <n v="579"/>
    <n v="15341"/>
    <s v="61444343"/>
    <s v="61444343"/>
    <m/>
    <m/>
    <m/>
    <m/>
    <m/>
    <m/>
    <s v="SOLRECOUP"/>
    <s v="SOLRECOUP"/>
    <s v="POARECOUP"/>
    <n v="21328603"/>
    <n v="-2504.57"/>
    <m/>
    <s v="Y"/>
    <n v="1"/>
    <d v="2023-07-04T19:38:22"/>
    <s v="N"/>
    <m/>
    <m/>
    <s v="Profit Cost"/>
    <m/>
    <s v="N"/>
    <n v="-2087.14"/>
    <n v="0"/>
    <x v="1"/>
    <s v="VALIDATED"/>
    <n v="1"/>
    <s v="01.11.80.308.2013.0000"/>
    <n v="-2087.14"/>
    <s v="11"/>
    <s v="2013"/>
    <n v="6603.9"/>
    <n v="-2087.14"/>
    <s v="CREDITOR"/>
    <n v="0"/>
    <n v="0"/>
    <n v="-2087.14"/>
    <n v="-521.785"/>
    <n v="0"/>
  </r>
  <r>
    <n v="61444343"/>
    <s v="N"/>
    <n v="21328603"/>
    <s v="3000015577550001RC"/>
    <s v="CIVIL"/>
    <d v="2023-06-23T00:00:00"/>
    <d v="2023-07-04T19:38:21"/>
    <m/>
    <d v="2023-07-04T00:00:00"/>
    <n v="579"/>
    <n v="15341"/>
    <s v="61444343"/>
    <s v="61444343"/>
    <m/>
    <m/>
    <m/>
    <m/>
    <m/>
    <m/>
    <s v="SOLRECOUP"/>
    <s v="SOLRECOUP"/>
    <s v="POARECOUP"/>
    <n v="21328603"/>
    <n v="-2504.57"/>
    <m/>
    <s v="Y"/>
    <n v="2"/>
    <d v="2023-07-04T19:38:22"/>
    <s v="N"/>
    <m/>
    <m/>
    <s v="Profit Cost"/>
    <m/>
    <s v="N"/>
    <n v="0"/>
    <n v="-417.43"/>
    <x v="1"/>
    <s v="VALIDATED"/>
    <n v="1"/>
    <s v="01.11.80.308.2013.0000"/>
    <n v="-417.43"/>
    <s v="11"/>
    <s v="2013"/>
    <n v="6603.9"/>
    <n v="-417.43"/>
    <s v="CREDITOR"/>
    <n v="0"/>
    <n v="0"/>
    <n v="-417.43"/>
    <n v="-104.3575"/>
    <n v="0"/>
  </r>
  <r>
    <n v="60511253"/>
    <s v="N"/>
    <n v="21356310"/>
    <s v="3000014785450001RC"/>
    <s v="CIVIL"/>
    <d v="2023-06-30T00:00:00"/>
    <d v="2023-07-10T19:47:44"/>
    <m/>
    <d v="2023-07-10T00:00:00"/>
    <n v="579"/>
    <n v="15341"/>
    <s v="60511253"/>
    <s v="60511253"/>
    <m/>
    <m/>
    <m/>
    <m/>
    <m/>
    <m/>
    <s v="SOLRECOUP"/>
    <s v="SOLRECOUP"/>
    <s v="POARECOUP"/>
    <n v="21356310"/>
    <n v="-659.1"/>
    <m/>
    <s v="Y"/>
    <n v="1"/>
    <d v="2023-07-10T19:47:44"/>
    <s v="N"/>
    <m/>
    <m/>
    <s v="Expert Disbursement"/>
    <m/>
    <s v="N"/>
    <n v="-549.25"/>
    <n v="0"/>
    <x v="2"/>
    <s v="VALIDATED"/>
    <n v="1"/>
    <s v="01.11.80.308.2013.0000"/>
    <n v="-549.25"/>
    <s v="11"/>
    <s v="2013"/>
    <n v="6603.9"/>
    <n v="-549.25"/>
    <s v="CREDITOR"/>
    <n v="0"/>
    <n v="0"/>
    <n v="-549.25"/>
    <n v="0"/>
    <n v="0"/>
  </r>
  <r>
    <n v="60511253"/>
    <s v="N"/>
    <n v="21356310"/>
    <s v="3000014785450001RC"/>
    <s v="CIVIL"/>
    <d v="2023-06-30T00:00:00"/>
    <d v="2023-07-10T19:47:44"/>
    <m/>
    <d v="2023-07-10T00:00:00"/>
    <n v="579"/>
    <n v="15341"/>
    <s v="60511253"/>
    <s v="60511253"/>
    <m/>
    <m/>
    <m/>
    <m/>
    <m/>
    <m/>
    <s v="SOLRECOUP"/>
    <s v="SOLRECOUP"/>
    <s v="POARECOUP"/>
    <n v="21356310"/>
    <n v="-659.1"/>
    <m/>
    <s v="Y"/>
    <n v="2"/>
    <d v="2023-07-10T19:47:44"/>
    <s v="N"/>
    <m/>
    <m/>
    <s v="Expert Disbursement"/>
    <m/>
    <s v="N"/>
    <n v="0"/>
    <n v="-109.85"/>
    <x v="2"/>
    <s v="VALIDATED"/>
    <n v="1"/>
    <s v="01.11.80.308.2013.0000"/>
    <n v="-109.85"/>
    <s v="11"/>
    <s v="2013"/>
    <n v="6603.9"/>
    <n v="-109.85"/>
    <s v="CREDITOR"/>
    <n v="0"/>
    <n v="0"/>
    <n v="-109.85"/>
    <n v="0"/>
    <n v="0"/>
  </r>
  <r>
    <n v="60511253"/>
    <s v="N"/>
    <n v="21356311"/>
    <s v="3000014785450002RC"/>
    <s v="CIVIL"/>
    <d v="2023-06-30T00:00:00"/>
    <d v="2023-07-10T19:47:44"/>
    <m/>
    <d v="2023-07-10T00:00:00"/>
    <n v="579"/>
    <n v="15341"/>
    <s v="60511253"/>
    <s v="60511253"/>
    <m/>
    <m/>
    <m/>
    <m/>
    <m/>
    <m/>
    <s v="SOLRECOUP"/>
    <s v="SOLRECOUP"/>
    <s v="POARECOUP"/>
    <n v="21356311"/>
    <n v="-2379.29"/>
    <m/>
    <s v="Y"/>
    <n v="1"/>
    <d v="2023-07-10T19:47:44"/>
    <s v="N"/>
    <m/>
    <m/>
    <s v="Profit Cost"/>
    <m/>
    <s v="N"/>
    <n v="-1982.74"/>
    <n v="0"/>
    <x v="2"/>
    <s v="VALIDATED"/>
    <n v="1"/>
    <s v="01.11.80.308.2013.0000"/>
    <n v="-1982.74"/>
    <s v="11"/>
    <s v="2013"/>
    <n v="6603.9"/>
    <n v="-1982.74"/>
    <s v="CREDITOR"/>
    <n v="0"/>
    <n v="0"/>
    <n v="-1982.74"/>
    <n v="-495.685"/>
    <n v="0"/>
  </r>
  <r>
    <n v="60511253"/>
    <s v="N"/>
    <n v="21356311"/>
    <s v="3000014785450002RC"/>
    <s v="CIVIL"/>
    <d v="2023-06-30T00:00:00"/>
    <d v="2023-07-10T19:47:44"/>
    <m/>
    <d v="2023-07-10T00:00:00"/>
    <n v="579"/>
    <n v="15341"/>
    <s v="60511253"/>
    <s v="60511253"/>
    <m/>
    <m/>
    <m/>
    <m/>
    <m/>
    <m/>
    <s v="SOLRECOUP"/>
    <s v="SOLRECOUP"/>
    <s v="POARECOUP"/>
    <n v="21356311"/>
    <n v="-2379.29"/>
    <m/>
    <s v="Y"/>
    <n v="2"/>
    <d v="2023-07-10T19:47:44"/>
    <s v="N"/>
    <m/>
    <m/>
    <s v="Profit Cost"/>
    <m/>
    <s v="N"/>
    <n v="0"/>
    <n v="-396.55"/>
    <x v="2"/>
    <s v="VALIDATED"/>
    <n v="1"/>
    <s v="01.11.80.308.2013.0000"/>
    <n v="-396.55"/>
    <s v="11"/>
    <s v="2013"/>
    <n v="6603.9"/>
    <n v="-396.55"/>
    <s v="CREDITOR"/>
    <n v="0"/>
    <n v="0"/>
    <n v="-396.55"/>
    <n v="-99.1375"/>
    <n v="0"/>
  </r>
  <r>
    <n v="60511253"/>
    <s v="N"/>
    <n v="21356312"/>
    <s v="3000014785450004RC"/>
    <s v="CIVIL"/>
    <d v="2023-06-30T00:00:00"/>
    <d v="2023-07-10T19:47:44"/>
    <m/>
    <d v="2023-07-10T00:00:00"/>
    <n v="579"/>
    <n v="15341"/>
    <s v="60511253"/>
    <s v="60511253"/>
    <m/>
    <m/>
    <m/>
    <m/>
    <m/>
    <m/>
    <s v="SOLRECOUP"/>
    <s v="SOLRECOUP"/>
    <s v="POARECOUP"/>
    <n v="21356312"/>
    <n v="-326.25"/>
    <m/>
    <s v="Y"/>
    <n v="1"/>
    <d v="2023-07-10T19:47:44"/>
    <s v="N"/>
    <m/>
    <m/>
    <s v="Expert Disbursement"/>
    <m/>
    <s v="N"/>
    <n v="-326.25"/>
    <n v="0"/>
    <x v="2"/>
    <s v="VALIDATED"/>
    <n v="1"/>
    <s v="01.11.80.308.2013.0000"/>
    <n v="-326.25"/>
    <s v="11"/>
    <s v="2013"/>
    <n v="6603.9"/>
    <n v="-326.25"/>
    <s v="CREDITOR"/>
    <n v="0"/>
    <n v="0"/>
    <n v="-326.25"/>
    <n v="0"/>
    <n v="0"/>
  </r>
  <r>
    <n v="60511253"/>
    <s v="N"/>
    <n v="21356312"/>
    <s v="3000014785450004RC"/>
    <s v="CIVIL"/>
    <d v="2023-06-30T00:00:00"/>
    <d v="2023-07-10T19:47:44"/>
    <m/>
    <d v="2023-07-10T00:00:00"/>
    <n v="579"/>
    <n v="15341"/>
    <s v="60511253"/>
    <s v="60511253"/>
    <m/>
    <m/>
    <m/>
    <m/>
    <m/>
    <m/>
    <s v="SOLRECOUP"/>
    <s v="SOLRECOUP"/>
    <s v="POARECOUP"/>
    <n v="21356312"/>
    <n v="-326.25"/>
    <m/>
    <s v="Y"/>
    <n v="2"/>
    <d v="2023-07-10T19:47:44"/>
    <s v="N"/>
    <m/>
    <m/>
    <s v="Expert Disbursement"/>
    <m/>
    <s v="N"/>
    <n v="0"/>
    <n v="0"/>
    <x v="2"/>
    <s v="VALIDATED"/>
    <n v="1"/>
    <s v="01.11.80.000.0000.0000"/>
    <n v="0"/>
    <s v="11"/>
    <s v="0000"/>
    <n v="6603.9"/>
    <n v="0"/>
    <s v="CREDITOR"/>
    <n v="0"/>
    <n v="0"/>
    <n v="0"/>
    <n v="0"/>
    <n v="0"/>
  </r>
  <r>
    <n v="60511253"/>
    <s v="N"/>
    <n v="21356313"/>
    <s v="3000014785450003RC"/>
    <s v="CIVIL"/>
    <d v="2023-06-30T00:00:00"/>
    <d v="2023-07-10T19:47:44"/>
    <m/>
    <d v="2023-07-10T00:00:00"/>
    <n v="579"/>
    <n v="15341"/>
    <s v="60511253"/>
    <s v="60511253"/>
    <m/>
    <m/>
    <m/>
    <m/>
    <m/>
    <m/>
    <s v="SOLRECOUP"/>
    <s v="SOLRECOUP"/>
    <s v="POARECOUP"/>
    <n v="21356313"/>
    <n v="-734.4"/>
    <m/>
    <s v="Y"/>
    <n v="1"/>
    <d v="2023-07-10T19:47:44"/>
    <s v="N"/>
    <m/>
    <m/>
    <s v="Expert Disbursement"/>
    <m/>
    <s v="N"/>
    <n v="-612"/>
    <n v="0"/>
    <x v="2"/>
    <s v="VALIDATED"/>
    <n v="1"/>
    <s v="01.11.80.308.2013.0000"/>
    <n v="-612"/>
    <s v="11"/>
    <s v="2013"/>
    <n v="6603.9"/>
    <n v="-612"/>
    <s v="CREDITOR"/>
    <n v="0"/>
    <n v="0"/>
    <n v="-612"/>
    <n v="0"/>
    <n v="0"/>
  </r>
  <r>
    <n v="60511253"/>
    <s v="N"/>
    <n v="21356313"/>
    <s v="3000014785450003RC"/>
    <s v="CIVIL"/>
    <d v="2023-06-30T00:00:00"/>
    <d v="2023-07-10T19:47:44"/>
    <m/>
    <d v="2023-07-10T00:00:00"/>
    <n v="579"/>
    <n v="15341"/>
    <s v="60511253"/>
    <s v="60511253"/>
    <m/>
    <m/>
    <m/>
    <m/>
    <m/>
    <m/>
    <s v="SOLRECOUP"/>
    <s v="SOLRECOUP"/>
    <s v="POARECOUP"/>
    <n v="21356313"/>
    <n v="-734.4"/>
    <m/>
    <s v="Y"/>
    <n v="2"/>
    <d v="2023-07-10T19:47:44"/>
    <s v="N"/>
    <m/>
    <m/>
    <s v="Expert Disbursement"/>
    <m/>
    <s v="N"/>
    <n v="0"/>
    <n v="-122.4"/>
    <x v="2"/>
    <s v="VALIDATED"/>
    <n v="1"/>
    <s v="01.11.80.308.2013.0000"/>
    <n v="-122.4"/>
    <s v="11"/>
    <s v="2013"/>
    <n v="6603.9"/>
    <n v="-122.4"/>
    <s v="CREDITOR"/>
    <n v="0"/>
    <n v="0"/>
    <n v="-122.4"/>
    <n v="0"/>
    <n v="0"/>
  </r>
  <r>
    <n v="61817753"/>
    <s v="N"/>
    <n v="21339903"/>
    <s v="3000015888310005RC"/>
    <s v="CIVIL"/>
    <d v="2023-06-27T00:00:00"/>
    <d v="2023-07-06T19:54:22"/>
    <m/>
    <d v="2023-07-06T00:00:00"/>
    <n v="587"/>
    <n v="18206"/>
    <s v="61817753"/>
    <s v="61817753"/>
    <m/>
    <m/>
    <m/>
    <m/>
    <m/>
    <m/>
    <s v="SOLRECOUP"/>
    <s v="SOLRECOUP"/>
    <s v="POARECOUP"/>
    <n v="21339903"/>
    <n v="-167.1"/>
    <m/>
    <s v="Y"/>
    <n v="2"/>
    <d v="2023-07-06T19:54:23"/>
    <s v="N"/>
    <m/>
    <m/>
    <s v="Expert Disbursement"/>
    <m/>
    <s v="N"/>
    <n v="0"/>
    <n v="-27.85"/>
    <x v="4"/>
    <s v="VALIDATED"/>
    <n v="1"/>
    <s v="01.11.80.308.2013.0000"/>
    <n v="-27.85"/>
    <s v="11"/>
    <s v="2013"/>
    <n v="5770.85"/>
    <n v="-27.85"/>
    <s v="CREDITOR"/>
    <n v="0"/>
    <n v="0"/>
    <n v="-27.85"/>
    <n v="0"/>
    <n v="0"/>
  </r>
  <r>
    <n v="61817753"/>
    <s v="N"/>
    <n v="21339903"/>
    <s v="3000015888310005RC"/>
    <s v="CIVIL"/>
    <d v="2023-06-27T00:00:00"/>
    <d v="2023-07-06T19:54:22"/>
    <m/>
    <d v="2023-07-06T00:00:00"/>
    <n v="587"/>
    <n v="18206"/>
    <s v="61817753"/>
    <s v="61817753"/>
    <m/>
    <m/>
    <m/>
    <m/>
    <m/>
    <m/>
    <s v="SOLRECOUP"/>
    <s v="SOLRECOUP"/>
    <s v="POARECOUP"/>
    <n v="21339903"/>
    <n v="-167.1"/>
    <m/>
    <s v="Y"/>
    <n v="1"/>
    <d v="2023-07-06T19:54:23"/>
    <s v="N"/>
    <m/>
    <m/>
    <s v="Expert Disbursement"/>
    <m/>
    <s v="N"/>
    <n v="-139.25"/>
    <n v="0"/>
    <x v="4"/>
    <s v="VALIDATED"/>
    <n v="1"/>
    <s v="01.11.80.308.2013.0000"/>
    <n v="-139.25"/>
    <s v="11"/>
    <s v="2013"/>
    <n v="5770.85"/>
    <n v="-139.25"/>
    <s v="CREDITOR"/>
    <n v="0"/>
    <n v="0"/>
    <n v="-139.25"/>
    <n v="0"/>
    <n v="0"/>
  </r>
  <r>
    <n v="61817753"/>
    <s v="N"/>
    <n v="21339904"/>
    <s v="3000015888310001RC"/>
    <s v="CIVIL"/>
    <d v="2023-06-27T00:00:00"/>
    <d v="2023-07-06T19:54:22"/>
    <m/>
    <d v="2023-07-06T00:00:00"/>
    <n v="587"/>
    <n v="18206"/>
    <s v="61817753"/>
    <s v="61817753"/>
    <m/>
    <m/>
    <m/>
    <m/>
    <m/>
    <m/>
    <s v="SOLRECOUP"/>
    <s v="SOLRECOUP"/>
    <s v="POARECOUP"/>
    <n v="21339904"/>
    <n v="-63.96"/>
    <m/>
    <s v="Y"/>
    <n v="1"/>
    <d v="2023-07-06T19:54:23"/>
    <s v="N"/>
    <m/>
    <m/>
    <s v="Non Expert Disbursement"/>
    <m/>
    <s v="N"/>
    <n v="-53.3"/>
    <n v="0"/>
    <x v="4"/>
    <s v="VALIDATED"/>
    <n v="1"/>
    <s v="01.11.80.308.2013.0000"/>
    <n v="-53.3"/>
    <s v="11"/>
    <s v="2013"/>
    <n v="5770.85"/>
    <n v="-53.3"/>
    <s v="CREDITOR"/>
    <n v="0"/>
    <n v="0"/>
    <n v="-53.3"/>
    <n v="0"/>
    <n v="0"/>
  </r>
  <r>
    <n v="61817753"/>
    <s v="N"/>
    <n v="21339904"/>
    <s v="3000015888310001RC"/>
    <s v="CIVIL"/>
    <d v="2023-06-27T00:00:00"/>
    <d v="2023-07-06T19:54:22"/>
    <m/>
    <d v="2023-07-06T00:00:00"/>
    <n v="587"/>
    <n v="18206"/>
    <s v="61817753"/>
    <s v="61817753"/>
    <m/>
    <m/>
    <m/>
    <m/>
    <m/>
    <m/>
    <s v="SOLRECOUP"/>
    <s v="SOLRECOUP"/>
    <s v="POARECOUP"/>
    <n v="21339904"/>
    <n v="-63.96"/>
    <m/>
    <s v="Y"/>
    <n v="2"/>
    <d v="2023-07-06T19:54:23"/>
    <s v="N"/>
    <m/>
    <m/>
    <s v="Non Expert Disbursement"/>
    <m/>
    <s v="N"/>
    <n v="0"/>
    <n v="-10.66"/>
    <x v="4"/>
    <s v="VALIDATED"/>
    <n v="1"/>
    <s v="01.11.80.308.2013.0000"/>
    <n v="-10.66"/>
    <s v="11"/>
    <s v="2013"/>
    <n v="5770.85"/>
    <n v="-10.66"/>
    <s v="CREDITOR"/>
    <n v="0"/>
    <n v="0"/>
    <n v="-10.66"/>
    <n v="0"/>
    <n v="0"/>
  </r>
  <r>
    <n v="61817753"/>
    <s v="N"/>
    <n v="21339905"/>
    <s v="3000015888310003RC"/>
    <s v="CIVIL"/>
    <d v="2023-06-27T00:00:00"/>
    <d v="2023-07-06T19:54:22"/>
    <m/>
    <d v="2023-07-06T00:00:00"/>
    <n v="587"/>
    <n v="18206"/>
    <s v="61817753"/>
    <s v="61817753"/>
    <m/>
    <m/>
    <m/>
    <m/>
    <m/>
    <m/>
    <s v="SOLRECOUP"/>
    <s v="SOLRECOUP"/>
    <s v="POARECOUP"/>
    <n v="21339905"/>
    <n v="-127.92"/>
    <m/>
    <s v="Y"/>
    <n v="1"/>
    <d v="2023-07-06T19:54:23"/>
    <s v="N"/>
    <m/>
    <m/>
    <s v="Expert Disbursement"/>
    <m/>
    <s v="N"/>
    <n v="-106.6"/>
    <n v="0"/>
    <x v="4"/>
    <s v="VALIDATED"/>
    <n v="1"/>
    <s v="01.11.80.308.2013.0000"/>
    <n v="-106.6"/>
    <s v="11"/>
    <s v="2013"/>
    <n v="5770.85"/>
    <n v="-106.6"/>
    <s v="CREDITOR"/>
    <n v="0"/>
    <n v="0"/>
    <n v="-106.6"/>
    <n v="0"/>
    <n v="0"/>
  </r>
  <r>
    <n v="61817753"/>
    <s v="N"/>
    <n v="21339905"/>
    <s v="3000015888310003RC"/>
    <s v="CIVIL"/>
    <d v="2023-06-27T00:00:00"/>
    <d v="2023-07-06T19:54:22"/>
    <m/>
    <d v="2023-07-06T00:00:00"/>
    <n v="587"/>
    <n v="18206"/>
    <s v="61817753"/>
    <s v="61817753"/>
    <m/>
    <m/>
    <m/>
    <m/>
    <m/>
    <m/>
    <s v="SOLRECOUP"/>
    <s v="SOLRECOUP"/>
    <s v="POARECOUP"/>
    <n v="21339905"/>
    <n v="-127.92"/>
    <m/>
    <s v="Y"/>
    <n v="2"/>
    <d v="2023-07-06T19:54:23"/>
    <s v="N"/>
    <m/>
    <m/>
    <s v="Expert Disbursement"/>
    <m/>
    <s v="N"/>
    <n v="0"/>
    <n v="-21.32"/>
    <x v="4"/>
    <s v="VALIDATED"/>
    <n v="1"/>
    <s v="01.11.80.308.2013.0000"/>
    <n v="-21.32"/>
    <s v="11"/>
    <s v="2013"/>
    <n v="5770.85"/>
    <n v="-21.32"/>
    <s v="CREDITOR"/>
    <n v="0"/>
    <n v="0"/>
    <n v="-21.32"/>
    <n v="0"/>
    <n v="0"/>
  </r>
  <r>
    <n v="61817753"/>
    <s v="N"/>
    <n v="21339906"/>
    <s v="3000015888310004RC"/>
    <s v="CIVIL"/>
    <d v="2023-06-27T00:00:00"/>
    <d v="2023-07-06T19:54:22"/>
    <m/>
    <d v="2023-07-06T00:00:00"/>
    <n v="587"/>
    <n v="18206"/>
    <s v="61817753"/>
    <s v="61817753"/>
    <m/>
    <m/>
    <m/>
    <m/>
    <m/>
    <m/>
    <s v="SOLRECOUP"/>
    <s v="SOLRECOUP"/>
    <s v="POARECOUP"/>
    <n v="21339906"/>
    <n v="-3140.68"/>
    <m/>
    <s v="Y"/>
    <n v="1"/>
    <d v="2023-07-06T19:54:23"/>
    <s v="N"/>
    <m/>
    <m/>
    <s v="Profit Cost"/>
    <m/>
    <s v="N"/>
    <n v="-2617.23"/>
    <n v="0"/>
    <x v="4"/>
    <s v="VALIDATED"/>
    <n v="1"/>
    <s v="01.11.80.308.2013.0000"/>
    <n v="-2617.23"/>
    <s v="11"/>
    <s v="2013"/>
    <n v="5770.85"/>
    <n v="-2617.23"/>
    <s v="CREDITOR"/>
    <n v="0"/>
    <n v="0"/>
    <n v="-2617.23"/>
    <n v="-654.3075"/>
    <n v="0"/>
  </r>
  <r>
    <n v="61817753"/>
    <s v="N"/>
    <n v="21339906"/>
    <s v="3000015888310004RC"/>
    <s v="CIVIL"/>
    <d v="2023-06-27T00:00:00"/>
    <d v="2023-07-06T19:54:22"/>
    <m/>
    <d v="2023-07-06T00:00:00"/>
    <n v="587"/>
    <n v="18206"/>
    <s v="61817753"/>
    <s v="61817753"/>
    <m/>
    <m/>
    <m/>
    <m/>
    <m/>
    <m/>
    <s v="SOLRECOUP"/>
    <s v="SOLRECOUP"/>
    <s v="POARECOUP"/>
    <n v="21339906"/>
    <n v="-3140.68"/>
    <m/>
    <s v="Y"/>
    <n v="2"/>
    <d v="2023-07-06T19:54:23"/>
    <s v="N"/>
    <m/>
    <m/>
    <s v="Profit Cost"/>
    <m/>
    <s v="N"/>
    <n v="0"/>
    <n v="-523.45"/>
    <x v="4"/>
    <s v="VALIDATED"/>
    <n v="1"/>
    <s v="01.11.80.308.2013.0000"/>
    <n v="-523.45"/>
    <s v="11"/>
    <s v="2013"/>
    <n v="5770.85"/>
    <n v="-523.45"/>
    <s v="CREDITOR"/>
    <n v="0"/>
    <n v="0"/>
    <n v="-523.45"/>
    <n v="-130.8625"/>
    <n v="0"/>
  </r>
  <r>
    <n v="60047800"/>
    <s v="N"/>
    <n v="21324354"/>
    <s v="3000014385970002RC"/>
    <s v="CIVIL"/>
    <d v="2023-06-23T00:00:00"/>
    <d v="2023-07-03T19:42:50"/>
    <m/>
    <d v="2023-07-03T00:00:00"/>
    <n v="587"/>
    <n v="18206"/>
    <s v="60047800"/>
    <s v="60047800"/>
    <m/>
    <m/>
    <m/>
    <m/>
    <m/>
    <m/>
    <s v="SOLRECOUP"/>
    <s v="SOLRECOUP"/>
    <s v="POARECOUP"/>
    <n v="21324354"/>
    <n v="-179.2"/>
    <m/>
    <s v="Y"/>
    <n v="1"/>
    <d v="2023-07-03T19:42:51"/>
    <s v="N"/>
    <m/>
    <m/>
    <s v="Non Expert Disbursement"/>
    <m/>
    <s v="N"/>
    <n v="-149.33"/>
    <n v="0"/>
    <x v="3"/>
    <s v="VALIDATED"/>
    <n v="1"/>
    <s v="01.11.80.308.2013.0000"/>
    <n v="-149.33"/>
    <s v="11"/>
    <s v="2013"/>
    <n v="5770.85"/>
    <n v="-149.33"/>
    <s v="CREDITOR"/>
    <n v="0"/>
    <n v="0"/>
    <n v="-149.33"/>
    <n v="0"/>
    <n v="0"/>
  </r>
  <r>
    <n v="60047800"/>
    <s v="N"/>
    <n v="21324354"/>
    <s v="3000014385970002RC"/>
    <s v="CIVIL"/>
    <d v="2023-06-23T00:00:00"/>
    <d v="2023-07-03T19:42:50"/>
    <m/>
    <d v="2023-07-03T00:00:00"/>
    <n v="587"/>
    <n v="18206"/>
    <s v="60047800"/>
    <s v="60047800"/>
    <m/>
    <m/>
    <m/>
    <m/>
    <m/>
    <m/>
    <s v="SOLRECOUP"/>
    <s v="SOLRECOUP"/>
    <s v="POARECOUP"/>
    <n v="21324354"/>
    <n v="-179.2"/>
    <m/>
    <s v="Y"/>
    <n v="2"/>
    <d v="2023-07-03T19:42:51"/>
    <s v="N"/>
    <m/>
    <m/>
    <s v="Non Expert Disbursement"/>
    <m/>
    <s v="N"/>
    <n v="0"/>
    <n v="-29.87"/>
    <x v="3"/>
    <s v="VALIDATED"/>
    <n v="1"/>
    <s v="01.11.80.308.2013.0000"/>
    <n v="-29.87"/>
    <s v="11"/>
    <s v="2013"/>
    <n v="5770.85"/>
    <n v="-29.87"/>
    <s v="CREDITOR"/>
    <n v="0"/>
    <n v="0"/>
    <n v="-29.87"/>
    <n v="0"/>
    <n v="0"/>
  </r>
  <r>
    <n v="60047800"/>
    <s v="N"/>
    <n v="21324355"/>
    <s v="3000014385970008RC"/>
    <s v="CIVIL"/>
    <d v="2023-06-23T00:00:00"/>
    <d v="2023-07-03T19:42:50"/>
    <m/>
    <d v="2023-07-03T00:00:00"/>
    <n v="587"/>
    <n v="18206"/>
    <s v="60047800"/>
    <s v="60047800"/>
    <m/>
    <m/>
    <m/>
    <m/>
    <m/>
    <m/>
    <s v="SOLRECOUP"/>
    <s v="SOLRECOUP"/>
    <s v="POARECOUP"/>
    <n v="21324355"/>
    <n v="-82.2"/>
    <m/>
    <s v="Y"/>
    <n v="1"/>
    <d v="2023-07-03T19:42:51"/>
    <s v="N"/>
    <m/>
    <m/>
    <s v="Non Expert Disbursement"/>
    <m/>
    <s v="N"/>
    <n v="-68.5"/>
    <n v="0"/>
    <x v="3"/>
    <s v="VALIDATED"/>
    <n v="1"/>
    <s v="01.11.80.308.2013.0000"/>
    <n v="-68.5"/>
    <s v="11"/>
    <s v="2013"/>
    <n v="5770.85"/>
    <n v="-68.5"/>
    <s v="CREDITOR"/>
    <n v="0"/>
    <n v="0"/>
    <n v="-68.5"/>
    <n v="0"/>
    <n v="0"/>
  </r>
  <r>
    <n v="60047800"/>
    <s v="N"/>
    <n v="21324355"/>
    <s v="3000014385970008RC"/>
    <s v="CIVIL"/>
    <d v="2023-06-23T00:00:00"/>
    <d v="2023-07-03T19:42:50"/>
    <m/>
    <d v="2023-07-03T00:00:00"/>
    <n v="587"/>
    <n v="18206"/>
    <s v="60047800"/>
    <s v="60047800"/>
    <m/>
    <m/>
    <m/>
    <m/>
    <m/>
    <m/>
    <s v="SOLRECOUP"/>
    <s v="SOLRECOUP"/>
    <s v="POARECOUP"/>
    <n v="21324355"/>
    <n v="-82.2"/>
    <m/>
    <s v="Y"/>
    <n v="2"/>
    <d v="2023-07-03T19:42:51"/>
    <s v="N"/>
    <m/>
    <m/>
    <s v="Non Expert Disbursement"/>
    <m/>
    <s v="N"/>
    <n v="0"/>
    <n v="-13.7"/>
    <x v="3"/>
    <s v="VALIDATED"/>
    <n v="1"/>
    <s v="01.11.80.308.2013.0000"/>
    <n v="-13.7"/>
    <s v="11"/>
    <s v="2013"/>
    <n v="5770.85"/>
    <n v="-13.7"/>
    <s v="CREDITOR"/>
    <n v="0"/>
    <n v="0"/>
    <n v="-13.7"/>
    <n v="0"/>
    <n v="0"/>
  </r>
  <r>
    <n v="60047800"/>
    <s v="N"/>
    <n v="21324356"/>
    <s v="3000014385970003RC"/>
    <s v="CIVIL"/>
    <d v="2023-06-23T00:00:00"/>
    <d v="2023-07-03T19:42:50"/>
    <m/>
    <d v="2023-07-03T00:00:00"/>
    <n v="587"/>
    <n v="18206"/>
    <s v="60047800"/>
    <s v="60047800"/>
    <m/>
    <m/>
    <m/>
    <m/>
    <m/>
    <m/>
    <s v="SOLRECOUP"/>
    <s v="SOLRECOUP"/>
    <s v="POARECOUP"/>
    <n v="21324356"/>
    <n v="-42"/>
    <m/>
    <s v="Y"/>
    <n v="1"/>
    <d v="2023-07-03T19:42:51"/>
    <s v="N"/>
    <m/>
    <m/>
    <s v="Non Expert Disbursement"/>
    <m/>
    <s v="N"/>
    <n v="-35"/>
    <n v="0"/>
    <x v="3"/>
    <s v="VALIDATED"/>
    <n v="1"/>
    <s v="01.11.80.308.2013.0000"/>
    <n v="-35"/>
    <s v="11"/>
    <s v="2013"/>
    <n v="5770.85"/>
    <n v="-35"/>
    <s v="CREDITOR"/>
    <n v="0"/>
    <n v="0"/>
    <n v="-35"/>
    <n v="0"/>
    <n v="0"/>
  </r>
  <r>
    <n v="60047800"/>
    <s v="N"/>
    <n v="21324356"/>
    <s v="3000014385970003RC"/>
    <s v="CIVIL"/>
    <d v="2023-06-23T00:00:00"/>
    <d v="2023-07-03T19:42:50"/>
    <m/>
    <d v="2023-07-03T00:00:00"/>
    <n v="587"/>
    <n v="18206"/>
    <s v="60047800"/>
    <s v="60047800"/>
    <m/>
    <m/>
    <m/>
    <m/>
    <m/>
    <m/>
    <s v="SOLRECOUP"/>
    <s v="SOLRECOUP"/>
    <s v="POARECOUP"/>
    <n v="21324356"/>
    <n v="-42"/>
    <m/>
    <s v="Y"/>
    <n v="2"/>
    <d v="2023-07-03T19:42:51"/>
    <s v="N"/>
    <m/>
    <m/>
    <s v="Non Expert Disbursement"/>
    <m/>
    <s v="N"/>
    <n v="0"/>
    <n v="-7"/>
    <x v="3"/>
    <s v="VALIDATED"/>
    <n v="1"/>
    <s v="01.11.80.308.2013.0000"/>
    <n v="-7"/>
    <s v="11"/>
    <s v="2013"/>
    <n v="5770.85"/>
    <n v="-7"/>
    <s v="CREDITOR"/>
    <n v="0"/>
    <n v="0"/>
    <n v="-7"/>
    <n v="0"/>
    <n v="0"/>
  </r>
  <r>
    <n v="60047800"/>
    <s v="N"/>
    <n v="21324357"/>
    <s v="3000014385970004RC"/>
    <s v="CIVIL"/>
    <d v="2023-06-23T00:00:00"/>
    <d v="2023-07-03T19:42:50"/>
    <m/>
    <d v="2023-07-03T00:00:00"/>
    <n v="587"/>
    <n v="18206"/>
    <s v="60047800"/>
    <s v="60047800"/>
    <m/>
    <m/>
    <m/>
    <m/>
    <m/>
    <m/>
    <s v="SOLRECOUP"/>
    <s v="SOLRECOUP"/>
    <s v="POARECOUP"/>
    <n v="21324357"/>
    <n v="-192.8"/>
    <m/>
    <s v="Y"/>
    <n v="1"/>
    <d v="2023-07-03T19:42:51"/>
    <s v="N"/>
    <m/>
    <m/>
    <s v="Non Expert Disbursement"/>
    <m/>
    <s v="N"/>
    <n v="-160.67"/>
    <n v="0"/>
    <x v="3"/>
    <s v="VALIDATED"/>
    <n v="1"/>
    <s v="01.11.80.308.2013.0000"/>
    <n v="-160.67"/>
    <s v="11"/>
    <s v="2013"/>
    <n v="5770.85"/>
    <n v="-160.67"/>
    <s v="CREDITOR"/>
    <n v="0"/>
    <n v="0"/>
    <n v="-160.67"/>
    <n v="0"/>
    <n v="0"/>
  </r>
  <r>
    <n v="60047800"/>
    <s v="N"/>
    <n v="21324357"/>
    <s v="3000014385970004RC"/>
    <s v="CIVIL"/>
    <d v="2023-06-23T00:00:00"/>
    <d v="2023-07-03T19:42:50"/>
    <m/>
    <d v="2023-07-03T00:00:00"/>
    <n v="587"/>
    <n v="18206"/>
    <s v="60047800"/>
    <s v="60047800"/>
    <m/>
    <m/>
    <m/>
    <m/>
    <m/>
    <m/>
    <s v="SOLRECOUP"/>
    <s v="SOLRECOUP"/>
    <s v="POARECOUP"/>
    <n v="21324357"/>
    <n v="-192.8"/>
    <m/>
    <s v="Y"/>
    <n v="2"/>
    <d v="2023-07-03T19:42:51"/>
    <s v="N"/>
    <m/>
    <m/>
    <s v="Non Expert Disbursement"/>
    <m/>
    <s v="N"/>
    <n v="0"/>
    <n v="-32.13"/>
    <x v="3"/>
    <s v="VALIDATED"/>
    <n v="1"/>
    <s v="01.11.80.308.2013.0000"/>
    <n v="-32.13"/>
    <s v="11"/>
    <s v="2013"/>
    <n v="5770.85"/>
    <n v="-32.13"/>
    <s v="CREDITOR"/>
    <n v="0"/>
    <n v="0"/>
    <n v="-32.13"/>
    <n v="0"/>
    <n v="0"/>
  </r>
  <r>
    <n v="60047800"/>
    <s v="N"/>
    <n v="21324358"/>
    <s v="3000014385970005RC"/>
    <s v="CIVIL"/>
    <d v="2023-06-23T00:00:00"/>
    <d v="2023-07-03T19:42:50"/>
    <m/>
    <d v="2023-07-03T00:00:00"/>
    <n v="587"/>
    <n v="18206"/>
    <s v="60047800"/>
    <s v="60047800"/>
    <m/>
    <m/>
    <m/>
    <m/>
    <m/>
    <m/>
    <s v="SOLRECOUP"/>
    <s v="SOLRECOUP"/>
    <s v="POARECOUP"/>
    <n v="21324358"/>
    <n v="-61.2"/>
    <m/>
    <s v="Y"/>
    <n v="1"/>
    <d v="2023-07-03T19:42:51"/>
    <s v="N"/>
    <m/>
    <m/>
    <s v="Non Expert Disbursement"/>
    <m/>
    <s v="N"/>
    <n v="-51"/>
    <n v="0"/>
    <x v="3"/>
    <s v="VALIDATED"/>
    <n v="1"/>
    <s v="01.11.80.308.2013.0000"/>
    <n v="-51"/>
    <s v="11"/>
    <s v="2013"/>
    <n v="5770.85"/>
    <n v="-51"/>
    <s v="CREDITOR"/>
    <n v="0"/>
    <n v="0"/>
    <n v="-51"/>
    <n v="0"/>
    <n v="0"/>
  </r>
  <r>
    <n v="60047800"/>
    <s v="N"/>
    <n v="21324358"/>
    <s v="3000014385970005RC"/>
    <s v="CIVIL"/>
    <d v="2023-06-23T00:00:00"/>
    <d v="2023-07-03T19:42:50"/>
    <m/>
    <d v="2023-07-03T00:00:00"/>
    <n v="587"/>
    <n v="18206"/>
    <s v="60047800"/>
    <s v="60047800"/>
    <m/>
    <m/>
    <m/>
    <m/>
    <m/>
    <m/>
    <s v="SOLRECOUP"/>
    <s v="SOLRECOUP"/>
    <s v="POARECOUP"/>
    <n v="21324358"/>
    <n v="-61.2"/>
    <m/>
    <s v="Y"/>
    <n v="2"/>
    <d v="2023-07-03T19:42:51"/>
    <s v="N"/>
    <m/>
    <m/>
    <s v="Non Expert Disbursement"/>
    <m/>
    <s v="N"/>
    <n v="0"/>
    <n v="-10.2"/>
    <x v="3"/>
    <s v="VALIDATED"/>
    <n v="1"/>
    <s v="01.11.80.308.2013.0000"/>
    <n v="-10.2"/>
    <s v="11"/>
    <s v="2013"/>
    <n v="5770.85"/>
    <n v="-10.2"/>
    <s v="CREDITOR"/>
    <n v="0"/>
    <n v="0"/>
    <n v="-10.2"/>
    <n v="0"/>
    <n v="0"/>
  </r>
  <r>
    <n v="60047800"/>
    <s v="N"/>
    <n v="21324359"/>
    <s v="3000014385970006RC"/>
    <s v="CIVIL"/>
    <d v="2023-06-23T00:00:00"/>
    <d v="2023-07-03T19:42:50"/>
    <m/>
    <d v="2023-07-03T00:00:00"/>
    <n v="587"/>
    <n v="18206"/>
    <s v="60047800"/>
    <s v="60047800"/>
    <m/>
    <m/>
    <m/>
    <m/>
    <m/>
    <m/>
    <s v="SOLRECOUP"/>
    <s v="SOLRECOUP"/>
    <s v="POARECOUP"/>
    <n v="21324359"/>
    <n v="-2511.36"/>
    <m/>
    <s v="Y"/>
    <n v="1"/>
    <d v="2023-07-03T19:42:51"/>
    <s v="N"/>
    <m/>
    <m/>
    <s v="Profit Cost"/>
    <m/>
    <s v="N"/>
    <n v="-2092.8"/>
    <n v="0"/>
    <x v="3"/>
    <s v="VALIDATED"/>
    <n v="1"/>
    <s v="01.11.80.308.2013.0000"/>
    <n v="-2092.8"/>
    <s v="11"/>
    <s v="2013"/>
    <n v="5770.85"/>
    <n v="-2092.8"/>
    <s v="CREDITOR"/>
    <n v="0"/>
    <n v="0"/>
    <n v="-2092.8"/>
    <n v="-523.2"/>
    <n v="0"/>
  </r>
  <r>
    <n v="60047800"/>
    <s v="N"/>
    <n v="21324359"/>
    <s v="3000014385970006RC"/>
    <s v="CIVIL"/>
    <d v="2023-06-23T00:00:00"/>
    <d v="2023-07-03T19:42:50"/>
    <m/>
    <d v="2023-07-03T00:00:00"/>
    <n v="587"/>
    <n v="18206"/>
    <s v="60047800"/>
    <s v="60047800"/>
    <m/>
    <m/>
    <m/>
    <m/>
    <m/>
    <m/>
    <s v="SOLRECOUP"/>
    <s v="SOLRECOUP"/>
    <s v="POARECOUP"/>
    <n v="21324359"/>
    <n v="-2511.36"/>
    <m/>
    <s v="Y"/>
    <n v="2"/>
    <d v="2023-07-03T19:42:51"/>
    <s v="N"/>
    <m/>
    <m/>
    <s v="Profit Cost"/>
    <m/>
    <s v="N"/>
    <n v="0"/>
    <n v="-418.56"/>
    <x v="3"/>
    <s v="VALIDATED"/>
    <n v="1"/>
    <s v="01.11.80.308.2013.0000"/>
    <n v="-418.56"/>
    <s v="11"/>
    <s v="2013"/>
    <n v="5770.85"/>
    <n v="-418.56"/>
    <s v="CREDITOR"/>
    <n v="0"/>
    <n v="0"/>
    <n v="-418.56"/>
    <n v="-104.64"/>
    <n v="0"/>
  </r>
  <r>
    <n v="61035112"/>
    <s v="N"/>
    <n v="21356375"/>
    <s v="3000015236530014RC"/>
    <s v="CIVIL"/>
    <d v="2023-06-30T00:00:00"/>
    <d v="2023-07-10T19:47:44"/>
    <m/>
    <d v="2023-07-10T00:00:00"/>
    <n v="587"/>
    <n v="18206"/>
    <s v="61035112"/>
    <s v="61035112"/>
    <m/>
    <m/>
    <m/>
    <m/>
    <m/>
    <m/>
    <s v="SOLRECOUP"/>
    <s v="SOLRECOUP"/>
    <s v="POARECOUP"/>
    <n v="21356375"/>
    <n v="-3839.86"/>
    <m/>
    <s v="Y"/>
    <n v="1"/>
    <d v="2023-07-10T19:47:44"/>
    <s v="N"/>
    <m/>
    <m/>
    <s v="Profit Cost"/>
    <m/>
    <s v="N"/>
    <n v="-3199.88"/>
    <n v="0"/>
    <x v="2"/>
    <s v="VALIDATED"/>
    <n v="1"/>
    <s v="01.11.80.308.2013.0000"/>
    <n v="-3199.88"/>
    <s v="11"/>
    <s v="2013"/>
    <n v="5770.85"/>
    <n v="-3199.88"/>
    <s v="CREDITOR"/>
    <n v="0"/>
    <n v="0"/>
    <n v="-3199.88"/>
    <n v="-799.97"/>
    <n v="0"/>
  </r>
  <r>
    <n v="61035112"/>
    <s v="N"/>
    <n v="21356376"/>
    <s v="3000015236530001RC"/>
    <s v="CIVIL"/>
    <d v="2023-06-30T00:00:00"/>
    <d v="2023-07-10T19:47:44"/>
    <m/>
    <d v="2023-07-10T00:00:00"/>
    <n v="587"/>
    <n v="18206"/>
    <s v="61035112"/>
    <s v="61035112"/>
    <m/>
    <m/>
    <m/>
    <m/>
    <m/>
    <m/>
    <s v="SOLRECOUP"/>
    <s v="SOLRECOUP"/>
    <s v="POARECOUP"/>
    <n v="21356376"/>
    <n v="-179.7"/>
    <m/>
    <s v="Y"/>
    <n v="1"/>
    <d v="2023-07-10T19:47:44"/>
    <s v="N"/>
    <m/>
    <m/>
    <s v="Non Expert Disbursement"/>
    <m/>
    <s v="N"/>
    <n v="-149.75"/>
    <n v="0"/>
    <x v="2"/>
    <s v="VALIDATED"/>
    <n v="1"/>
    <s v="01.11.80.308.2013.0000"/>
    <n v="-149.75"/>
    <s v="11"/>
    <s v="2013"/>
    <n v="5770.85"/>
    <n v="-149.75"/>
    <s v="CREDITOR"/>
    <n v="0"/>
    <n v="0"/>
    <n v="-149.75"/>
    <n v="0"/>
    <n v="0"/>
  </r>
  <r>
    <n v="61035112"/>
    <s v="N"/>
    <n v="21356376"/>
    <s v="3000015236530001RC"/>
    <s v="CIVIL"/>
    <d v="2023-06-30T00:00:00"/>
    <d v="2023-07-10T19:47:44"/>
    <m/>
    <d v="2023-07-10T00:00:00"/>
    <n v="587"/>
    <n v="18206"/>
    <s v="61035112"/>
    <s v="61035112"/>
    <m/>
    <m/>
    <m/>
    <m/>
    <m/>
    <m/>
    <s v="SOLRECOUP"/>
    <s v="SOLRECOUP"/>
    <s v="POARECOUP"/>
    <n v="21356376"/>
    <n v="-179.7"/>
    <m/>
    <s v="Y"/>
    <n v="2"/>
    <d v="2023-07-10T19:47:44"/>
    <s v="N"/>
    <m/>
    <m/>
    <s v="Non Expert Disbursement"/>
    <m/>
    <s v="N"/>
    <n v="0"/>
    <n v="-29.95"/>
    <x v="2"/>
    <s v="VALIDATED"/>
    <n v="1"/>
    <s v="01.11.80.308.2013.0000"/>
    <n v="-29.95"/>
    <s v="11"/>
    <s v="2013"/>
    <n v="5770.85"/>
    <n v="-29.95"/>
    <s v="CREDITOR"/>
    <n v="0"/>
    <n v="0"/>
    <n v="-29.95"/>
    <n v="0"/>
    <n v="0"/>
  </r>
  <r>
    <n v="61035112"/>
    <s v="N"/>
    <n v="21356377"/>
    <s v="3000015236530013RC"/>
    <s v="CIVIL"/>
    <d v="2023-06-30T00:00:00"/>
    <d v="2023-07-10T19:47:44"/>
    <m/>
    <d v="2023-07-10T00:00:00"/>
    <n v="587"/>
    <n v="18206"/>
    <s v="61035112"/>
    <s v="61035112"/>
    <m/>
    <m/>
    <m/>
    <m/>
    <m/>
    <m/>
    <s v="SOLRECOUP"/>
    <s v="SOLRECOUP"/>
    <s v="POARECOUP"/>
    <n v="21356377"/>
    <n v="-67.59999999999999"/>
    <m/>
    <s v="Y"/>
    <n v="1"/>
    <d v="2023-07-10T19:47:44"/>
    <s v="N"/>
    <m/>
    <m/>
    <s v="Expert Disbursement"/>
    <m/>
    <s v="N"/>
    <n v="-56.33"/>
    <n v="0"/>
    <x v="2"/>
    <s v="VALIDATED"/>
    <n v="1"/>
    <s v="01.11.80.308.2013.0000"/>
    <n v="-56.33"/>
    <s v="11"/>
    <s v="2013"/>
    <n v="5770.85"/>
    <n v="-56.33"/>
    <s v="CREDITOR"/>
    <n v="0"/>
    <n v="0"/>
    <n v="-56.33"/>
    <n v="0"/>
    <n v="0"/>
  </r>
  <r>
    <n v="61035112"/>
    <s v="N"/>
    <n v="21356377"/>
    <s v="3000015236530013RC"/>
    <s v="CIVIL"/>
    <d v="2023-06-30T00:00:00"/>
    <d v="2023-07-10T19:47:44"/>
    <m/>
    <d v="2023-07-10T00:00:00"/>
    <n v="587"/>
    <n v="18206"/>
    <s v="61035112"/>
    <s v="61035112"/>
    <m/>
    <m/>
    <m/>
    <m/>
    <m/>
    <m/>
    <s v="SOLRECOUP"/>
    <s v="SOLRECOUP"/>
    <s v="POARECOUP"/>
    <n v="21356377"/>
    <n v="-67.59999999999999"/>
    <m/>
    <s v="Y"/>
    <n v="2"/>
    <d v="2023-07-10T19:47:44"/>
    <s v="N"/>
    <m/>
    <m/>
    <s v="Expert Disbursement"/>
    <m/>
    <s v="N"/>
    <n v="0"/>
    <n v="-11.27"/>
    <x v="2"/>
    <s v="VALIDATED"/>
    <n v="1"/>
    <s v="01.11.80.308.2013.0000"/>
    <n v="-11.27"/>
    <s v="11"/>
    <s v="2013"/>
    <n v="5770.85"/>
    <n v="-11.27"/>
    <s v="CREDITOR"/>
    <n v="0"/>
    <n v="0"/>
    <n v="-11.27"/>
    <n v="0"/>
    <n v="0"/>
  </r>
  <r>
    <n v="61035112"/>
    <s v="N"/>
    <n v="21356378"/>
    <s v="3000015236530003RC"/>
    <s v="CIVIL"/>
    <d v="2023-06-30T00:00:00"/>
    <d v="2023-07-10T19:47:44"/>
    <m/>
    <d v="2023-07-10T00:00:00"/>
    <n v="587"/>
    <n v="18206"/>
    <s v="61035112"/>
    <s v="61035112"/>
    <m/>
    <m/>
    <m/>
    <m/>
    <m/>
    <m/>
    <s v="SOLRECOUP"/>
    <s v="SOLRECOUP"/>
    <s v="POARECOUP"/>
    <n v="21356378"/>
    <n v="-239.1"/>
    <m/>
    <s v="Y"/>
    <n v="1"/>
    <d v="2023-07-10T19:47:44"/>
    <s v="N"/>
    <m/>
    <m/>
    <s v="Non Expert Disbursement"/>
    <m/>
    <s v="N"/>
    <n v="-199.25"/>
    <n v="0"/>
    <x v="2"/>
    <s v="VALIDATED"/>
    <n v="1"/>
    <s v="01.11.80.308.2013.0000"/>
    <n v="-199.25"/>
    <s v="11"/>
    <s v="2013"/>
    <n v="5770.85"/>
    <n v="-199.25"/>
    <s v="CREDITOR"/>
    <n v="0"/>
    <n v="0"/>
    <n v="-199.25"/>
    <n v="0"/>
    <n v="0"/>
  </r>
  <r>
    <n v="61035112"/>
    <s v="N"/>
    <n v="21356378"/>
    <s v="3000015236530003RC"/>
    <s v="CIVIL"/>
    <d v="2023-06-30T00:00:00"/>
    <d v="2023-07-10T19:47:44"/>
    <m/>
    <d v="2023-07-10T00:00:00"/>
    <n v="587"/>
    <n v="18206"/>
    <s v="61035112"/>
    <s v="61035112"/>
    <m/>
    <m/>
    <m/>
    <m/>
    <m/>
    <m/>
    <s v="SOLRECOUP"/>
    <s v="SOLRECOUP"/>
    <s v="POARECOUP"/>
    <n v="21356378"/>
    <n v="-239.1"/>
    <m/>
    <s v="Y"/>
    <n v="2"/>
    <d v="2023-07-10T19:47:44"/>
    <s v="N"/>
    <m/>
    <m/>
    <s v="Non Expert Disbursement"/>
    <m/>
    <s v="N"/>
    <n v="0"/>
    <n v="-39.85"/>
    <x v="2"/>
    <s v="VALIDATED"/>
    <n v="1"/>
    <s v="01.11.80.308.2013.0000"/>
    <n v="-39.85"/>
    <s v="11"/>
    <s v="2013"/>
    <n v="5770.85"/>
    <n v="-39.85"/>
    <s v="CREDITOR"/>
    <n v="0"/>
    <n v="0"/>
    <n v="-39.85"/>
    <n v="0"/>
    <n v="0"/>
  </r>
  <r>
    <n v="61035112"/>
    <s v="N"/>
    <n v="21356379"/>
    <s v="3000015236530006RC"/>
    <s v="CIVIL"/>
    <d v="2023-06-30T00:00:00"/>
    <d v="2023-07-10T19:47:44"/>
    <m/>
    <d v="2023-07-10T00:00:00"/>
    <n v="587"/>
    <n v="18206"/>
    <s v="61035112"/>
    <s v="61035112"/>
    <m/>
    <m/>
    <m/>
    <m/>
    <m/>
    <m/>
    <s v="SOLRECOUP"/>
    <s v="SOLRECOUP"/>
    <s v="POARECOUP"/>
    <n v="21356379"/>
    <n v="-786.24"/>
    <m/>
    <s v="Y"/>
    <n v="1"/>
    <d v="2023-07-10T19:47:44"/>
    <s v="N"/>
    <m/>
    <m/>
    <s v="Non Expert Disbursement"/>
    <m/>
    <s v="N"/>
    <n v="-655.2"/>
    <n v="0"/>
    <x v="2"/>
    <s v="VALIDATED"/>
    <n v="1"/>
    <s v="01.11.80.308.2013.0000"/>
    <n v="-655.2"/>
    <s v="11"/>
    <s v="2013"/>
    <n v="5770.85"/>
    <n v="-655.2"/>
    <s v="CREDITOR"/>
    <n v="0"/>
    <n v="0"/>
    <n v="-655.2"/>
    <n v="0"/>
    <n v="0"/>
  </r>
  <r>
    <n v="61035112"/>
    <s v="N"/>
    <n v="21356379"/>
    <s v="3000015236530006RC"/>
    <s v="CIVIL"/>
    <d v="2023-06-30T00:00:00"/>
    <d v="2023-07-10T19:47:44"/>
    <m/>
    <d v="2023-07-10T00:00:00"/>
    <n v="587"/>
    <n v="18206"/>
    <s v="61035112"/>
    <s v="61035112"/>
    <m/>
    <m/>
    <m/>
    <m/>
    <m/>
    <m/>
    <s v="SOLRECOUP"/>
    <s v="SOLRECOUP"/>
    <s v="POARECOUP"/>
    <n v="21356379"/>
    <n v="-786.24"/>
    <m/>
    <s v="Y"/>
    <n v="2"/>
    <d v="2023-07-10T19:47:44"/>
    <s v="N"/>
    <m/>
    <m/>
    <s v="Non Expert Disbursement"/>
    <m/>
    <s v="N"/>
    <n v="0"/>
    <n v="-131.04"/>
    <x v="2"/>
    <s v="VALIDATED"/>
    <n v="1"/>
    <s v="01.11.80.308.2013.0000"/>
    <n v="-131.04"/>
    <s v="11"/>
    <s v="2013"/>
    <n v="5770.85"/>
    <n v="-131.04"/>
    <s v="CREDITOR"/>
    <n v="0"/>
    <n v="0"/>
    <n v="-131.04"/>
    <n v="0"/>
    <n v="0"/>
  </r>
  <r>
    <n v="61035112"/>
    <s v="N"/>
    <n v="21356380"/>
    <s v="3000015236530015RC"/>
    <s v="CIVIL"/>
    <d v="2023-06-30T00:00:00"/>
    <d v="2023-07-10T19:47:44"/>
    <m/>
    <d v="2023-07-10T00:00:00"/>
    <n v="587"/>
    <n v="18206"/>
    <s v="61035112"/>
    <s v="61035112"/>
    <m/>
    <m/>
    <m/>
    <m/>
    <m/>
    <m/>
    <s v="SOLRECOUP"/>
    <s v="SOLRECOUP"/>
    <s v="POARECOUP"/>
    <n v="21356380"/>
    <n v="-110.4"/>
    <m/>
    <s v="Y"/>
    <n v="1"/>
    <d v="2023-07-10T19:47:44"/>
    <s v="N"/>
    <m/>
    <m/>
    <s v="Expert Disbursement"/>
    <m/>
    <s v="N"/>
    <n v="-92"/>
    <n v="0"/>
    <x v="2"/>
    <s v="VALIDATED"/>
    <n v="1"/>
    <s v="01.11.80.308.2013.0000"/>
    <n v="-92"/>
    <s v="11"/>
    <s v="2013"/>
    <n v="5770.85"/>
    <n v="-92"/>
    <s v="CREDITOR"/>
    <n v="0"/>
    <n v="0"/>
    <n v="-92"/>
    <n v="0"/>
    <n v="0"/>
  </r>
  <r>
    <n v="61035112"/>
    <s v="N"/>
    <n v="21356380"/>
    <s v="3000015236530015RC"/>
    <s v="CIVIL"/>
    <d v="2023-06-30T00:00:00"/>
    <d v="2023-07-10T19:47:44"/>
    <m/>
    <d v="2023-07-10T00:00:00"/>
    <n v="587"/>
    <n v="18206"/>
    <s v="61035112"/>
    <s v="61035112"/>
    <m/>
    <m/>
    <m/>
    <m/>
    <m/>
    <m/>
    <s v="SOLRECOUP"/>
    <s v="SOLRECOUP"/>
    <s v="POARECOUP"/>
    <n v="21356380"/>
    <n v="-110.4"/>
    <m/>
    <s v="Y"/>
    <n v="2"/>
    <d v="2023-07-10T19:47:44"/>
    <s v="N"/>
    <m/>
    <m/>
    <s v="Expert Disbursement"/>
    <m/>
    <s v="N"/>
    <n v="0"/>
    <n v="-18.4"/>
    <x v="2"/>
    <s v="VALIDATED"/>
    <n v="1"/>
    <s v="01.11.80.308.2013.0000"/>
    <n v="-18.4"/>
    <s v="11"/>
    <s v="2013"/>
    <n v="5770.85"/>
    <n v="-18.4"/>
    <s v="CREDITOR"/>
    <n v="0"/>
    <n v="0"/>
    <n v="-18.4"/>
    <n v="0"/>
    <n v="0"/>
  </r>
  <r>
    <n v="61035112"/>
    <s v="N"/>
    <n v="21356381"/>
    <s v="3000015236530007RC"/>
    <s v="CIVIL"/>
    <d v="2023-06-30T00:00:00"/>
    <d v="2023-07-10T19:47:44"/>
    <m/>
    <d v="2023-07-10T00:00:00"/>
    <n v="587"/>
    <n v="18206"/>
    <s v="61035112"/>
    <s v="61035112"/>
    <m/>
    <m/>
    <m/>
    <m/>
    <m/>
    <m/>
    <s v="SOLRECOUP"/>
    <s v="SOLRECOUP"/>
    <s v="POARECOUP"/>
    <n v="21356381"/>
    <n v="-110.4"/>
    <m/>
    <s v="Y"/>
    <n v="2"/>
    <d v="2023-07-10T19:47:44"/>
    <s v="N"/>
    <m/>
    <m/>
    <s v="Non Expert Disbursement"/>
    <m/>
    <s v="N"/>
    <n v="0"/>
    <n v="-18.4"/>
    <x v="2"/>
    <s v="VALIDATED"/>
    <n v="1"/>
    <s v="01.11.80.308.2013.0000"/>
    <n v="-18.4"/>
    <s v="11"/>
    <s v="2013"/>
    <n v="5770.85"/>
    <n v="-18.4"/>
    <s v="CREDITOR"/>
    <n v="0"/>
    <n v="0"/>
    <n v="-18.4"/>
    <n v="0"/>
    <n v="0"/>
  </r>
  <r>
    <n v="61035112"/>
    <s v="N"/>
    <n v="21356381"/>
    <s v="3000015236530007RC"/>
    <s v="CIVIL"/>
    <d v="2023-06-30T00:00:00"/>
    <d v="2023-07-10T19:47:44"/>
    <m/>
    <d v="2023-07-10T00:00:00"/>
    <n v="587"/>
    <n v="18206"/>
    <s v="61035112"/>
    <s v="61035112"/>
    <m/>
    <m/>
    <m/>
    <m/>
    <m/>
    <m/>
    <s v="SOLRECOUP"/>
    <s v="SOLRECOUP"/>
    <s v="POARECOUP"/>
    <n v="21356381"/>
    <n v="-110.4"/>
    <m/>
    <s v="Y"/>
    <n v="1"/>
    <d v="2023-07-10T19:47:44"/>
    <s v="N"/>
    <m/>
    <m/>
    <s v="Non Expert Disbursement"/>
    <m/>
    <s v="N"/>
    <n v="-92"/>
    <n v="0"/>
    <x v="2"/>
    <s v="VALIDATED"/>
    <n v="1"/>
    <s v="01.11.80.308.2013.0000"/>
    <n v="-92"/>
    <s v="11"/>
    <s v="2013"/>
    <n v="5770.85"/>
    <n v="-92"/>
    <s v="CREDITOR"/>
    <n v="0"/>
    <n v="0"/>
    <n v="-92"/>
    <n v="0"/>
    <n v="0"/>
  </r>
  <r>
    <n v="61035112"/>
    <s v="N"/>
    <n v="21356382"/>
    <s v="3000015236530009RC"/>
    <s v="CIVIL"/>
    <d v="2023-06-30T00:00:00"/>
    <d v="2023-07-10T19:47:44"/>
    <m/>
    <d v="2023-07-10T00:00:00"/>
    <n v="587"/>
    <n v="18206"/>
    <s v="61035112"/>
    <s v="61035112"/>
    <m/>
    <m/>
    <m/>
    <m/>
    <m/>
    <m/>
    <s v="SOLRECOUP"/>
    <s v="SOLRECOUP"/>
    <s v="POARECOUP"/>
    <n v="21356382"/>
    <n v="-110.4"/>
    <m/>
    <s v="Y"/>
    <n v="2"/>
    <d v="2023-07-10T19:47:44"/>
    <s v="N"/>
    <m/>
    <m/>
    <s v="Expert Disbursement"/>
    <m/>
    <s v="N"/>
    <n v="0"/>
    <n v="-18.4"/>
    <x v="2"/>
    <s v="VALIDATED"/>
    <n v="1"/>
    <s v="01.11.80.308.2013.0000"/>
    <n v="-18.4"/>
    <s v="11"/>
    <s v="2013"/>
    <n v="5770.85"/>
    <n v="-18.4"/>
    <s v="CREDITOR"/>
    <n v="0"/>
    <n v="0"/>
    <n v="-18.4"/>
    <n v="0"/>
    <n v="0"/>
  </r>
  <r>
    <n v="61035112"/>
    <s v="N"/>
    <n v="21356382"/>
    <s v="3000015236530009RC"/>
    <s v="CIVIL"/>
    <d v="2023-06-30T00:00:00"/>
    <d v="2023-07-10T19:47:44"/>
    <m/>
    <d v="2023-07-10T00:00:00"/>
    <n v="587"/>
    <n v="18206"/>
    <s v="61035112"/>
    <s v="61035112"/>
    <m/>
    <m/>
    <m/>
    <m/>
    <m/>
    <m/>
    <s v="SOLRECOUP"/>
    <s v="SOLRECOUP"/>
    <s v="POARECOUP"/>
    <n v="21356382"/>
    <n v="-110.4"/>
    <m/>
    <s v="Y"/>
    <n v="1"/>
    <d v="2023-07-10T19:47:44"/>
    <s v="N"/>
    <m/>
    <m/>
    <s v="Expert Disbursement"/>
    <m/>
    <s v="N"/>
    <n v="-92"/>
    <n v="0"/>
    <x v="2"/>
    <s v="VALIDATED"/>
    <n v="1"/>
    <s v="01.11.80.308.2013.0000"/>
    <n v="-92"/>
    <s v="11"/>
    <s v="2013"/>
    <n v="5770.85"/>
    <n v="-92"/>
    <s v="CREDITOR"/>
    <n v="0"/>
    <n v="0"/>
    <n v="-92"/>
    <n v="0"/>
    <n v="0"/>
  </r>
  <r>
    <n v="61035112"/>
    <s v="N"/>
    <n v="21356383"/>
    <s v="3000015236530011RC"/>
    <s v="CIVIL"/>
    <d v="2023-06-30T00:00:00"/>
    <d v="2023-07-10T19:47:44"/>
    <m/>
    <d v="2023-07-10T00:00:00"/>
    <n v="587"/>
    <n v="18206"/>
    <s v="61035112"/>
    <s v="61035112"/>
    <m/>
    <m/>
    <m/>
    <m/>
    <m/>
    <m/>
    <s v="SOLRECOUP"/>
    <s v="SOLRECOUP"/>
    <s v="POARECOUP"/>
    <n v="21356383"/>
    <n v="-203.58"/>
    <m/>
    <s v="Y"/>
    <n v="2"/>
    <d v="2023-07-10T19:47:44"/>
    <s v="N"/>
    <m/>
    <m/>
    <s v="Expert Disbursement"/>
    <m/>
    <s v="N"/>
    <n v="0"/>
    <n v="-33.93"/>
    <x v="2"/>
    <s v="VALIDATED"/>
    <n v="1"/>
    <s v="01.11.80.308.2013.0000"/>
    <n v="-33.93"/>
    <s v="11"/>
    <s v="2013"/>
    <n v="5770.85"/>
    <n v="-33.93"/>
    <s v="CREDITOR"/>
    <n v="0"/>
    <n v="0"/>
    <n v="-33.93"/>
    <n v="0"/>
    <n v="0"/>
  </r>
  <r>
    <n v="61035112"/>
    <s v="N"/>
    <n v="21356383"/>
    <s v="3000015236530011RC"/>
    <s v="CIVIL"/>
    <d v="2023-06-30T00:00:00"/>
    <d v="2023-07-10T19:47:44"/>
    <m/>
    <d v="2023-07-10T00:00:00"/>
    <n v="587"/>
    <n v="18206"/>
    <s v="61035112"/>
    <s v="61035112"/>
    <m/>
    <m/>
    <m/>
    <m/>
    <m/>
    <m/>
    <s v="SOLRECOUP"/>
    <s v="SOLRECOUP"/>
    <s v="POARECOUP"/>
    <n v="21356383"/>
    <n v="-203.58"/>
    <m/>
    <s v="Y"/>
    <n v="1"/>
    <d v="2023-07-10T19:47:44"/>
    <s v="N"/>
    <m/>
    <m/>
    <s v="Expert Disbursement"/>
    <m/>
    <s v="N"/>
    <n v="-169.65"/>
    <n v="0"/>
    <x v="2"/>
    <s v="VALIDATED"/>
    <n v="1"/>
    <s v="01.11.80.308.2013.0000"/>
    <n v="-169.65"/>
    <s v="11"/>
    <s v="2013"/>
    <n v="5770.85"/>
    <n v="-169.65"/>
    <s v="CREDITOR"/>
    <n v="0"/>
    <n v="0"/>
    <n v="-169.65"/>
    <n v="0"/>
    <n v="0"/>
  </r>
  <r>
    <n v="61035112"/>
    <s v="N"/>
    <n v="21356375"/>
    <s v="3000015236530014RC"/>
    <s v="CIVIL"/>
    <d v="2023-06-30T00:00:00"/>
    <d v="2023-07-10T19:47:44"/>
    <m/>
    <d v="2023-07-10T00:00:00"/>
    <n v="587"/>
    <n v="18206"/>
    <s v="61035112"/>
    <s v="61035112"/>
    <m/>
    <m/>
    <m/>
    <m/>
    <m/>
    <m/>
    <s v="SOLRECOUP"/>
    <s v="SOLRECOUP"/>
    <s v="POARECOUP"/>
    <n v="21356375"/>
    <n v="-3839.86"/>
    <m/>
    <s v="Y"/>
    <n v="2"/>
    <d v="2023-07-10T19:47:44"/>
    <s v="N"/>
    <m/>
    <m/>
    <s v="Profit Cost"/>
    <m/>
    <s v="N"/>
    <n v="0"/>
    <n v="-639.98"/>
    <x v="2"/>
    <s v="VALIDATED"/>
    <n v="1"/>
    <s v="01.11.80.308.2013.0000"/>
    <n v="-639.98"/>
    <s v="11"/>
    <s v="2013"/>
    <n v="5770.85"/>
    <n v="-639.98"/>
    <s v="CREDITOR"/>
    <n v="0"/>
    <n v="0"/>
    <n v="-639.98"/>
    <n v="-159.995"/>
    <n v="0"/>
  </r>
  <r>
    <n v="62106997"/>
    <s v="N"/>
    <n v="21322864"/>
    <s v="3000016133170003"/>
    <s v="CIVIL"/>
    <d v="2023-06-29T00:00:00"/>
    <d v="2023-07-03T19:05:36"/>
    <m/>
    <d v="2023-07-03T00:00:00"/>
    <n v="587"/>
    <n v="18206"/>
    <s v="62106997"/>
    <s v="62106997"/>
    <m/>
    <m/>
    <n v="22790410"/>
    <m/>
    <m/>
    <m/>
    <s v="SOLPOA"/>
    <s v="SOLPOA"/>
    <s v="CCMS"/>
    <n v="21322864"/>
    <n v="2646.71"/>
    <m/>
    <s v="N"/>
    <n v="1"/>
    <d v="2023-07-03T19:05:40"/>
    <s v="N"/>
    <s v="Solicitors Fixed Fee"/>
    <s v="Public Law Children"/>
    <s v="Profit Cost"/>
    <s v="AMH"/>
    <s v="N"/>
    <n v="2205.59"/>
    <n v="441.12"/>
    <x v="3"/>
    <s v="VALIDATED"/>
    <n v="1"/>
    <s v="01.11.80.308.2012.0000"/>
    <n v="2205.59"/>
    <s v="11"/>
    <s v="2012"/>
    <n v="5770.85"/>
    <n v="2205.59"/>
    <s v="CREDITOR"/>
    <n v="2205.59"/>
    <n v="551.3975"/>
    <n v="0"/>
    <n v="0"/>
    <n v="0"/>
  </r>
  <r>
    <n v="60047800"/>
    <s v="N"/>
    <n v="21318476"/>
    <s v="3000014385970014"/>
    <s v="CIVIL"/>
    <d v="2023-06-23T00:00:00"/>
    <d v="2023-07-03T19:01:49"/>
    <m/>
    <d v="2023-07-03T00:00:00"/>
    <n v="587"/>
    <n v="18206"/>
    <s v="60047800"/>
    <s v="60047800"/>
    <m/>
    <m/>
    <n v="22750528"/>
    <m/>
    <m/>
    <m/>
    <s v="SOLFIN"/>
    <s v="SOLFIN"/>
    <s v="CCMS"/>
    <n v="21318476"/>
    <n v="5211.33"/>
    <m/>
    <s v="N"/>
    <n v="13"/>
    <d v="2023-07-03T19:01:57"/>
    <s v="Y"/>
    <s v="Final Hearing Court Bundle/Advocate"/>
    <s v="Public Law Children"/>
    <s v="Advocacy"/>
    <s v="AH"/>
    <s v="Y"/>
    <n v="239.4"/>
    <n v="47.88"/>
    <x v="3"/>
    <s v="VALIDATED"/>
    <n v="1"/>
    <s v="01.11.80.308.6100.0000"/>
    <n v="239.4"/>
    <s v="11"/>
    <s v="6100"/>
    <n v="5770.85"/>
    <n v="239.4"/>
    <s v="CREDITOR"/>
    <n v="0"/>
    <n v="0"/>
    <n v="0"/>
    <n v="0"/>
    <n v="239.4"/>
  </r>
  <r>
    <n v="61035112"/>
    <s v="N"/>
    <n v="21350087"/>
    <s v="3000015236530016"/>
    <s v="CIVIL"/>
    <d v="2023-06-30T00:00:00"/>
    <d v="2023-07-10T19:01:40"/>
    <m/>
    <d v="2023-07-10T00:00:00"/>
    <n v="587"/>
    <n v="18206"/>
    <s v="61035112"/>
    <s v="61035112"/>
    <m/>
    <m/>
    <n v="22799888"/>
    <m/>
    <m/>
    <m/>
    <s v="SOLFIN"/>
    <s v="SOLFIN"/>
    <s v="CCMS"/>
    <n v="21350087"/>
    <n v="6776.44"/>
    <m/>
    <s v="N"/>
    <n v="14"/>
    <d v="2023-07-10T19:02:13"/>
    <s v="Y"/>
    <s v="Final Hearing - 1 Day"/>
    <s v="Public Law Children"/>
    <s v="Advocacy"/>
    <s v="DC"/>
    <s v="Y"/>
    <n v="556.88"/>
    <n v="111.38"/>
    <x v="2"/>
    <s v="VALIDATED"/>
    <n v="1"/>
    <s v="01.11.80.308.6100.0000"/>
    <n v="556.88"/>
    <s v="11"/>
    <s v="6100"/>
    <n v="5770.85"/>
    <n v="556.88"/>
    <s v="CREDITOR"/>
    <n v="0"/>
    <n v="0"/>
    <n v="0"/>
    <n v="0"/>
    <n v="556.88"/>
  </r>
  <r>
    <n v="61035112"/>
    <s v="N"/>
    <n v="21350087"/>
    <s v="3000015236530016"/>
    <s v="CIVIL"/>
    <d v="2023-06-30T00:00:00"/>
    <d v="2023-07-10T19:01:40"/>
    <m/>
    <d v="2023-07-10T00:00:00"/>
    <n v="587"/>
    <n v="18206"/>
    <s v="61035112"/>
    <s v="61035112"/>
    <m/>
    <m/>
    <n v="22799888"/>
    <m/>
    <m/>
    <m/>
    <s v="SOLFIN"/>
    <s v="SOLFIN"/>
    <s v="CCMS"/>
    <n v="21350087"/>
    <n v="6776.44"/>
    <m/>
    <s v="N"/>
    <n v="8"/>
    <d v="2023-07-10T19:02:13"/>
    <s v="Y"/>
    <s v="Toxicologist"/>
    <s v="Public Law Children"/>
    <s v="Expert Disbursement"/>
    <s v="XXX"/>
    <s v="Y"/>
    <n v="92"/>
    <n v="18.4"/>
    <x v="2"/>
    <s v="VALIDATED"/>
    <n v="1"/>
    <s v="01.11.80.308.6300.0000"/>
    <n v="92"/>
    <s v="11"/>
    <s v="6300"/>
    <n v="5770.85"/>
    <n v="92"/>
    <s v="CREDITOR"/>
    <n v="0"/>
    <n v="0"/>
    <n v="0"/>
    <n v="0"/>
    <n v="92"/>
  </r>
  <r>
    <n v="60047800"/>
    <s v="N"/>
    <n v="21318476"/>
    <s v="3000014385970014"/>
    <s v="CIVIL"/>
    <d v="2023-06-23T00:00:00"/>
    <d v="2023-07-03T19:01:49"/>
    <m/>
    <d v="2023-07-03T00:00:00"/>
    <n v="587"/>
    <n v="18206"/>
    <s v="60047800"/>
    <s v="60047800"/>
    <m/>
    <m/>
    <n v="22750528"/>
    <m/>
    <m/>
    <m/>
    <s v="SOLFIN"/>
    <s v="SOLFIN"/>
    <s v="CCMS"/>
    <n v="21318476"/>
    <n v="5211.33"/>
    <m/>
    <s v="N"/>
    <n v="6"/>
    <d v="2023-07-03T19:01:57"/>
    <s v="Y"/>
    <s v="Expert - Other"/>
    <s v="Public Law Children"/>
    <s v="Expert Disbursement"/>
    <s v="XXX"/>
    <s v="Y"/>
    <n v="35"/>
    <n v="7"/>
    <x v="3"/>
    <s v="VALIDATED"/>
    <n v="1"/>
    <s v="01.11.80.308.6300.0000"/>
    <n v="35"/>
    <s v="11"/>
    <s v="6300"/>
    <n v="5770.85"/>
    <n v="35"/>
    <s v="CREDITOR"/>
    <n v="0"/>
    <n v="0"/>
    <n v="0"/>
    <n v="0"/>
    <n v="35"/>
  </r>
  <r>
    <n v="60047800"/>
    <s v="N"/>
    <n v="21318476"/>
    <s v="3000014385970014"/>
    <s v="CIVIL"/>
    <d v="2023-06-23T00:00:00"/>
    <d v="2023-07-03T19:01:49"/>
    <m/>
    <d v="2023-07-03T00:00:00"/>
    <n v="587"/>
    <n v="18206"/>
    <s v="60047800"/>
    <s v="60047800"/>
    <m/>
    <m/>
    <n v="22750528"/>
    <m/>
    <m/>
    <m/>
    <s v="SOLFIN"/>
    <s v="SOLFIN"/>
    <s v="CCMS"/>
    <n v="21318476"/>
    <n v="5211.33"/>
    <m/>
    <s v="N"/>
    <n v="10"/>
    <d v="2023-07-03T19:01:57"/>
    <s v="Y"/>
    <s v="Expert - Other"/>
    <s v="Public Law Children"/>
    <s v="Expert Disbursement"/>
    <s v="XXX"/>
    <s v="Y"/>
    <n v="137"/>
    <n v="27.4"/>
    <x v="3"/>
    <s v="VALIDATED"/>
    <n v="1"/>
    <s v="01.11.80.308.6300.0000"/>
    <n v="137"/>
    <s v="11"/>
    <s v="6300"/>
    <n v="5770.85"/>
    <n v="137"/>
    <s v="CREDITOR"/>
    <n v="0"/>
    <n v="0"/>
    <n v="0"/>
    <n v="0"/>
    <n v="137"/>
  </r>
  <r>
    <n v="61035112"/>
    <s v="N"/>
    <n v="21350087"/>
    <s v="3000015236530016"/>
    <s v="CIVIL"/>
    <d v="2023-06-30T00:00:00"/>
    <d v="2023-07-10T19:01:40"/>
    <m/>
    <d v="2023-07-10T00:00:00"/>
    <n v="587"/>
    <n v="18206"/>
    <s v="61035112"/>
    <s v="61035112"/>
    <m/>
    <m/>
    <n v="22799888"/>
    <m/>
    <m/>
    <m/>
    <s v="SOLFIN"/>
    <s v="SOLFIN"/>
    <s v="CCMS"/>
    <n v="21350087"/>
    <n v="6776.44"/>
    <m/>
    <s v="N"/>
    <n v="7"/>
    <d v="2023-07-10T19:02:13"/>
    <s v="Y"/>
    <s v="Psychologist"/>
    <s v="Public Law Children"/>
    <s v="Expert Disbursement"/>
    <s v="XXX"/>
    <s v="Y"/>
    <n v="169.65"/>
    <n v="33.93"/>
    <x v="2"/>
    <s v="VALIDATED"/>
    <n v="1"/>
    <s v="01.11.80.308.6300.0000"/>
    <n v="169.65"/>
    <s v="11"/>
    <s v="6300"/>
    <n v="5770.85"/>
    <n v="169.65"/>
    <s v="CREDITOR"/>
    <n v="0"/>
    <n v="0"/>
    <n v="0"/>
    <n v="0"/>
    <n v="169.65"/>
  </r>
  <r>
    <n v="60047800"/>
    <s v="N"/>
    <n v="21318476"/>
    <s v="3000014385970014"/>
    <s v="CIVIL"/>
    <d v="2023-06-23T00:00:00"/>
    <d v="2023-07-03T19:01:49"/>
    <m/>
    <d v="2023-07-03T00:00:00"/>
    <n v="587"/>
    <n v="18206"/>
    <s v="60047800"/>
    <s v="60047800"/>
    <m/>
    <m/>
    <n v="22750528"/>
    <m/>
    <m/>
    <m/>
    <s v="SOLFIN"/>
    <s v="SOLFIN"/>
    <s v="CCMS"/>
    <n v="21318476"/>
    <n v="5211.33"/>
    <m/>
    <s v="N"/>
    <n v="2"/>
    <d v="2023-07-03T19:01:57"/>
    <s v="Y"/>
    <s v="DNA - test of sample"/>
    <s v="Public Law Children"/>
    <s v="Expert Disbursement"/>
    <s v="XXX"/>
    <s v="Y"/>
    <n v="149.33"/>
    <n v="29.87"/>
    <x v="3"/>
    <s v="VALIDATED"/>
    <n v="1"/>
    <s v="01.11.80.308.6300.0000"/>
    <n v="149.33"/>
    <s v="11"/>
    <s v="6300"/>
    <n v="5770.85"/>
    <n v="149.33"/>
    <s v="CREDITOR"/>
    <n v="0"/>
    <n v="0"/>
    <n v="0"/>
    <n v="0"/>
    <n v="149.33"/>
  </r>
  <r>
    <n v="61035112"/>
    <s v="N"/>
    <n v="21350087"/>
    <s v="3000015236530016"/>
    <s v="CIVIL"/>
    <d v="2023-06-30T00:00:00"/>
    <d v="2023-07-10T19:01:40"/>
    <m/>
    <d v="2023-07-10T00:00:00"/>
    <n v="587"/>
    <n v="18206"/>
    <s v="61035112"/>
    <s v="61035112"/>
    <m/>
    <m/>
    <n v="22799888"/>
    <m/>
    <m/>
    <m/>
    <s v="SOLFIN"/>
    <s v="SOLFIN"/>
    <s v="CCMS"/>
    <n v="21350087"/>
    <n v="6776.44"/>
    <m/>
    <s v="N"/>
    <n v="9"/>
    <d v="2023-07-10T19:02:13"/>
    <s v="Y"/>
    <s v="Expert - Other"/>
    <s v="Public Law Children"/>
    <s v="Expert Disbursement"/>
    <s v="XXX"/>
    <s v="Y"/>
    <n v="56.33"/>
    <n v="11.27"/>
    <x v="2"/>
    <s v="VALIDATED"/>
    <n v="1"/>
    <s v="01.11.80.308.6300.0000"/>
    <n v="56.33"/>
    <s v="11"/>
    <s v="6300"/>
    <n v="5770.85"/>
    <n v="56.33"/>
    <s v="CREDITOR"/>
    <n v="0"/>
    <n v="0"/>
    <n v="0"/>
    <n v="0"/>
    <n v="56.33"/>
  </r>
  <r>
    <n v="61817753"/>
    <s v="N"/>
    <n v="21338375"/>
    <s v="3000015888310006"/>
    <s v="CIVIL"/>
    <d v="2023-06-27T00:00:00"/>
    <d v="2023-07-06T19:21:01"/>
    <m/>
    <d v="2023-07-06T00:00:00"/>
    <n v="587"/>
    <n v="18206"/>
    <s v="61817753"/>
    <s v="61817753"/>
    <m/>
    <m/>
    <n v="22767528"/>
    <m/>
    <m/>
    <m/>
    <s v="SOLFIN"/>
    <s v="SOLFIN"/>
    <s v="CCMS"/>
    <n v="21338375"/>
    <n v="6031.43"/>
    <m/>
    <s v="N"/>
    <n v="3"/>
    <d v="2023-07-06T19:21:22"/>
    <s v="Y"/>
    <s v="Expert - Other"/>
    <s v="Public Law Children"/>
    <s v="Expert Disbursement"/>
    <s v="XXX"/>
    <s v="Y"/>
    <n v="15.3"/>
    <n v="3.06"/>
    <x v="4"/>
    <s v="VALIDATED"/>
    <n v="1"/>
    <s v="01.11.80.308.6300.0000"/>
    <n v="15.3"/>
    <s v="11"/>
    <s v="6300"/>
    <n v="5770.85"/>
    <n v="15.3"/>
    <s v="CREDITOR"/>
    <n v="0"/>
    <n v="0"/>
    <n v="0"/>
    <n v="0"/>
    <n v="15.3"/>
  </r>
  <r>
    <n v="61817753"/>
    <s v="N"/>
    <n v="21338375"/>
    <s v="3000015888310006"/>
    <s v="CIVIL"/>
    <d v="2023-06-27T00:00:00"/>
    <d v="2023-07-06T19:21:01"/>
    <m/>
    <d v="2023-07-06T00:00:00"/>
    <n v="587"/>
    <n v="18206"/>
    <s v="61817753"/>
    <s v="61817753"/>
    <m/>
    <m/>
    <n v="22767528"/>
    <m/>
    <m/>
    <m/>
    <s v="SOLFIN"/>
    <s v="SOLFIN"/>
    <s v="CCMS"/>
    <n v="21338375"/>
    <n v="6031.43"/>
    <m/>
    <s v="N"/>
    <n v="5"/>
    <d v="2023-07-06T19:21:22"/>
    <s v="Y"/>
    <s v="Toxicologist"/>
    <s v="Public Law Children"/>
    <s v="Expert Disbursement"/>
    <s v="XXX"/>
    <s v="Y"/>
    <n v="518.5"/>
    <n v="103.7"/>
    <x v="4"/>
    <s v="VALIDATED"/>
    <n v="1"/>
    <s v="01.11.80.308.6300.0000"/>
    <n v="518.5"/>
    <s v="11"/>
    <s v="6300"/>
    <n v="5770.85"/>
    <n v="518.5"/>
    <s v="CREDITOR"/>
    <n v="0"/>
    <n v="0"/>
    <n v="0"/>
    <n v="0"/>
    <n v="518.5"/>
  </r>
  <r>
    <n v="61035112"/>
    <s v="N"/>
    <n v="21350087"/>
    <s v="3000015236530016"/>
    <s v="CIVIL"/>
    <d v="2023-06-30T00:00:00"/>
    <d v="2023-07-10T19:01:40"/>
    <m/>
    <d v="2023-07-10T00:00:00"/>
    <n v="587"/>
    <n v="18206"/>
    <s v="61035112"/>
    <s v="61035112"/>
    <m/>
    <m/>
    <n v="22799888"/>
    <m/>
    <m/>
    <m/>
    <s v="SOLFIN"/>
    <s v="SOLFIN"/>
    <s v="CCMS"/>
    <n v="21350087"/>
    <n v="6776.44"/>
    <m/>
    <s v="N"/>
    <n v="6"/>
    <d v="2023-07-10T19:02:13"/>
    <s v="Y"/>
    <s v="Toxicologist"/>
    <s v="Public Law Children"/>
    <s v="Expert Disbursement"/>
    <s v="XXX"/>
    <s v="Y"/>
    <n v="92"/>
    <n v="18.4"/>
    <x v="2"/>
    <s v="VALIDATED"/>
    <n v="1"/>
    <s v="01.11.80.308.6300.0000"/>
    <n v="92"/>
    <s v="11"/>
    <s v="6300"/>
    <n v="5770.85"/>
    <n v="92"/>
    <s v="CREDITOR"/>
    <n v="0"/>
    <n v="0"/>
    <n v="0"/>
    <n v="0"/>
    <n v="92"/>
  </r>
  <r>
    <n v="61022703"/>
    <s v="N"/>
    <n v="21323579"/>
    <s v="3000015211340022"/>
    <s v="CIVIL"/>
    <d v="2023-06-30T00:00:00"/>
    <d v="2023-07-03T19:05:56"/>
    <m/>
    <d v="2023-07-03T00:00:00"/>
    <n v="587"/>
    <n v="18206"/>
    <s v="61022703"/>
    <s v="61022703"/>
    <m/>
    <m/>
    <n v="22795424"/>
    <m/>
    <m/>
    <m/>
    <s v="SOLPOA"/>
    <s v="SOLPOA"/>
    <s v="CCMS"/>
    <n v="21323579"/>
    <n v="90"/>
    <m/>
    <s v="N"/>
    <n v="1"/>
    <d v="2023-07-03T19:05:57"/>
    <s v="N"/>
    <s v="Non Expert Disbursement"/>
    <s v="Non Expert Disbursement"/>
    <s v="Non Expert Disbursement"/>
    <s v="Mrs Philippa Morgan"/>
    <s v="N"/>
    <n v="75"/>
    <n v="15"/>
    <x v="3"/>
    <s v="VALIDATED"/>
    <n v="1"/>
    <s v="01.11.80.305.2012.0000"/>
    <n v="75"/>
    <s v="11"/>
    <s v="2012"/>
    <n v="5770.85"/>
    <n v="75"/>
    <s v="CREDITOR"/>
    <n v="75"/>
    <n v="0"/>
    <n v="0"/>
    <n v="0"/>
    <n v="0"/>
  </r>
  <r>
    <n v="61035112"/>
    <s v="N"/>
    <n v="21350087"/>
    <s v="3000015236530016"/>
    <s v="CIVIL"/>
    <d v="2023-06-30T00:00:00"/>
    <d v="2023-07-10T19:01:40"/>
    <m/>
    <d v="2023-07-10T00:00:00"/>
    <n v="587"/>
    <n v="18206"/>
    <s v="61035112"/>
    <s v="61035112"/>
    <m/>
    <m/>
    <n v="22799888"/>
    <m/>
    <m/>
    <m/>
    <s v="SOLFIN"/>
    <s v="SOLFIN"/>
    <s v="CCMS"/>
    <n v="21350087"/>
    <n v="6776.44"/>
    <m/>
    <s v="N"/>
    <n v="4"/>
    <d v="2023-07-10T19:02:13"/>
    <s v="Y"/>
    <s v="Psychologist"/>
    <s v="Public Law Children"/>
    <s v="Expert Disbursement"/>
    <s v="XXX"/>
    <s v="Y"/>
    <n v="655.2"/>
    <n v="131.04"/>
    <x v="2"/>
    <s v="VALIDATED"/>
    <n v="1"/>
    <s v="01.11.80.308.6300.0000"/>
    <n v="655.2"/>
    <s v="11"/>
    <s v="6300"/>
    <n v="5770.85"/>
    <n v="655.2"/>
    <s v="CREDITOR"/>
    <n v="0"/>
    <n v="0"/>
    <n v="0"/>
    <n v="0"/>
    <n v="655.2"/>
  </r>
  <r>
    <n v="61817753"/>
    <s v="N"/>
    <n v="21338375"/>
    <s v="3000015888310006"/>
    <s v="CIVIL"/>
    <d v="2023-06-27T00:00:00"/>
    <d v="2023-07-06T19:21:01"/>
    <m/>
    <d v="2023-07-06T00:00:00"/>
    <n v="587"/>
    <n v="18206"/>
    <s v="61817753"/>
    <s v="61817753"/>
    <m/>
    <m/>
    <n v="22767528"/>
    <m/>
    <m/>
    <m/>
    <s v="SOLFIN"/>
    <s v="SOLFIN"/>
    <s v="CCMS"/>
    <n v="21338375"/>
    <n v="6031.43"/>
    <m/>
    <s v="N"/>
    <n v="1"/>
    <d v="2023-07-06T19:21:22"/>
    <s v="Y"/>
    <s v="Solicitors Fixed Fee"/>
    <s v="Public Law Children"/>
    <s v="Profit Cost"/>
    <s v="XXX"/>
    <s v="Y"/>
    <n v="2616"/>
    <n v="523.2"/>
    <x v="4"/>
    <s v="VALIDATED"/>
    <n v="1"/>
    <s v="01.11.80.308.6100.0000"/>
    <n v="2616"/>
    <s v="11"/>
    <s v="6100"/>
    <n v="5770.85"/>
    <n v="2616"/>
    <s v="CREDITOR"/>
    <n v="0"/>
    <n v="0"/>
    <n v="0"/>
    <n v="0"/>
    <n v="2616"/>
  </r>
  <r>
    <n v="60185992"/>
    <s v="N"/>
    <n v="21320055"/>
    <s v="3000014502590012"/>
    <s v="CIVIL"/>
    <d v="2023-06-28T00:00:00"/>
    <d v="2023-07-03T19:04:24"/>
    <m/>
    <d v="2023-07-03T00:00:00"/>
    <n v="587"/>
    <n v="18206"/>
    <s v="60185992"/>
    <s v="60185992"/>
    <m/>
    <m/>
    <n v="22776942"/>
    <m/>
    <m/>
    <m/>
    <s v="SOLPOA"/>
    <s v="SOLPOA"/>
    <s v="CCMS"/>
    <n v="21320055"/>
    <n v="278.58"/>
    <m/>
    <s v="N"/>
    <n v="1"/>
    <d v="2023-07-03T19:04:29"/>
    <s v="N"/>
    <s v="Expert Cost"/>
    <s v="Expert Cost"/>
    <s v="Expert Disbursement"/>
    <s v="MG"/>
    <s v="N"/>
    <n v="278.58"/>
    <n v="0"/>
    <x v="3"/>
    <s v="VALIDATED"/>
    <n v="1"/>
    <s v="01.11.80.308.2012.0000"/>
    <n v="278.58"/>
    <s v="11"/>
    <s v="2012"/>
    <n v="5770.85"/>
    <n v="278.58"/>
    <s v="CREDITOR"/>
    <n v="278.58"/>
    <n v="0"/>
    <n v="0"/>
    <n v="0"/>
    <n v="0"/>
  </r>
  <r>
    <n v="60047800"/>
    <s v="N"/>
    <n v="21318476"/>
    <s v="3000014385970014"/>
    <s v="CIVIL"/>
    <d v="2023-06-23T00:00:00"/>
    <d v="2023-07-03T19:01:49"/>
    <m/>
    <d v="2023-07-03T00:00:00"/>
    <n v="587"/>
    <n v="18206"/>
    <s v="60047800"/>
    <s v="60047800"/>
    <m/>
    <m/>
    <n v="22750528"/>
    <m/>
    <m/>
    <m/>
    <s v="SOLFIN"/>
    <s v="SOLFIN"/>
    <s v="CCMS"/>
    <n v="21318476"/>
    <n v="5211.33"/>
    <m/>
    <s v="N"/>
    <n v="1"/>
    <d v="2023-07-03T19:01:57"/>
    <s v="Y"/>
    <s v="Solicitors Fixed Fee"/>
    <s v="Public Law Children"/>
    <s v="Profit Cost"/>
    <s v="XXX"/>
    <s v="Y"/>
    <n v="2616"/>
    <n v="523.2"/>
    <x v="3"/>
    <s v="VALIDATED"/>
    <n v="1"/>
    <s v="01.11.80.308.6100.0000"/>
    <n v="2616"/>
    <s v="11"/>
    <s v="6100"/>
    <n v="5770.85"/>
    <n v="2616"/>
    <s v="CREDITOR"/>
    <n v="0"/>
    <n v="0"/>
    <n v="0"/>
    <n v="0"/>
    <n v="2616"/>
  </r>
  <r>
    <n v="60047800"/>
    <s v="N"/>
    <n v="21318476"/>
    <s v="3000014385970014"/>
    <s v="CIVIL"/>
    <d v="2023-06-23T00:00:00"/>
    <d v="2023-07-03T19:01:49"/>
    <m/>
    <d v="2023-07-03T00:00:00"/>
    <n v="587"/>
    <n v="18206"/>
    <s v="60047800"/>
    <s v="60047800"/>
    <m/>
    <m/>
    <n v="22750528"/>
    <m/>
    <m/>
    <m/>
    <s v="SOLFIN"/>
    <s v="SOLFIN"/>
    <s v="CCMS"/>
    <n v="21318476"/>
    <n v="5211.33"/>
    <m/>
    <s v="N"/>
    <n v="12"/>
    <d v="2023-07-03T19:01:57"/>
    <s v="Y"/>
    <s v="Final Hearing - 1 Day"/>
    <s v="Public Law Children"/>
    <s v="Advocacy"/>
    <s v="AH"/>
    <s v="Y"/>
    <n v="556.88"/>
    <n v="111.38"/>
    <x v="3"/>
    <s v="VALIDATED"/>
    <n v="1"/>
    <s v="01.11.80.308.6100.0000"/>
    <n v="556.88"/>
    <s v="11"/>
    <s v="6100"/>
    <n v="5770.85"/>
    <n v="556.88"/>
    <s v="CREDITOR"/>
    <n v="0"/>
    <n v="0"/>
    <n v="0"/>
    <n v="0"/>
    <n v="556.88"/>
  </r>
  <r>
    <n v="61817753"/>
    <s v="N"/>
    <n v="21338375"/>
    <s v="3000015888310006"/>
    <s v="CIVIL"/>
    <d v="2023-06-27T00:00:00"/>
    <d v="2023-07-06T19:21:01"/>
    <m/>
    <d v="2023-07-06T00:00:00"/>
    <n v="587"/>
    <n v="18206"/>
    <s v="61817753"/>
    <s v="61817753"/>
    <m/>
    <m/>
    <n v="22767528"/>
    <m/>
    <m/>
    <m/>
    <s v="SOLFIN"/>
    <s v="SOLFIN"/>
    <s v="CCMS"/>
    <n v="21338375"/>
    <n v="6031.43"/>
    <m/>
    <s v="N"/>
    <n v="2"/>
    <d v="2023-07-06T19:21:22"/>
    <s v="Y"/>
    <s v="Expert - Other"/>
    <s v="Public Law Children"/>
    <s v="Expert Disbursement"/>
    <s v="XXX"/>
    <s v="Y"/>
    <n v="38"/>
    <n v="7.6"/>
    <x v="4"/>
    <s v="VALIDATED"/>
    <n v="1"/>
    <s v="01.11.80.308.6300.0000"/>
    <n v="38"/>
    <s v="11"/>
    <s v="6300"/>
    <n v="5770.85"/>
    <n v="38"/>
    <s v="CREDITOR"/>
    <n v="0"/>
    <n v="0"/>
    <n v="0"/>
    <n v="0"/>
    <n v="38"/>
  </r>
  <r>
    <n v="62106997"/>
    <s v="N"/>
    <n v="21319522"/>
    <s v="3000016133170002"/>
    <s v="CIVIL"/>
    <d v="2023-06-28T00:00:00"/>
    <d v="2023-07-03T19:04:24"/>
    <m/>
    <d v="2023-07-03T00:00:00"/>
    <n v="587"/>
    <n v="18206"/>
    <s v="62106997"/>
    <s v="62106997"/>
    <m/>
    <m/>
    <n v="22775972"/>
    <m/>
    <m/>
    <m/>
    <s v="SOLPOA"/>
    <s v="SOLPOA"/>
    <s v="CCMS"/>
    <n v="21319522"/>
    <n v="486"/>
    <m/>
    <s v="N"/>
    <n v="1"/>
    <d v="2023-07-03T19:04:26"/>
    <s v="N"/>
    <s v="Expert Cost"/>
    <s v="Expert Cost"/>
    <s v="Expert Disbursement"/>
    <s v="AMH"/>
    <s v="N"/>
    <n v="405"/>
    <n v="81"/>
    <x v="3"/>
    <s v="VALIDATED"/>
    <n v="1"/>
    <s v="01.11.80.308.2012.0000"/>
    <n v="405"/>
    <s v="11"/>
    <s v="2012"/>
    <n v="5770.85"/>
    <n v="405"/>
    <s v="CREDITOR"/>
    <n v="405"/>
    <n v="0"/>
    <n v="0"/>
    <n v="0"/>
    <n v="0"/>
  </r>
  <r>
    <n v="61817753"/>
    <s v="N"/>
    <n v="21338375"/>
    <s v="3000015888310006"/>
    <s v="CIVIL"/>
    <d v="2023-06-27T00:00:00"/>
    <d v="2023-07-06T19:21:01"/>
    <m/>
    <d v="2023-07-06T00:00:00"/>
    <n v="587"/>
    <n v="18206"/>
    <s v="61817753"/>
    <s v="61817753"/>
    <m/>
    <m/>
    <n v="22767528"/>
    <m/>
    <m/>
    <m/>
    <s v="SOLFIN"/>
    <s v="SOLFIN"/>
    <s v="CCMS"/>
    <n v="21338375"/>
    <n v="6031.43"/>
    <m/>
    <s v="N"/>
    <n v="8"/>
    <d v="2023-07-06T19:21:22"/>
    <s v="Y"/>
    <s v="Hearing Unit 2.31 - 5.00 Hours"/>
    <s v="Public Law Children"/>
    <s v="Advocacy"/>
    <s v="IP"/>
    <s v="Y"/>
    <n v="596.15"/>
    <n v="119.23"/>
    <x v="4"/>
    <s v="VALIDATED"/>
    <n v="1"/>
    <s v="01.11.80.308.6100.0000"/>
    <n v="596.15"/>
    <s v="11"/>
    <s v="6100"/>
    <n v="5770.85"/>
    <n v="596.15"/>
    <s v="CREDITOR"/>
    <n v="0"/>
    <n v="0"/>
    <n v="0"/>
    <n v="0"/>
    <n v="596.15"/>
  </r>
  <r>
    <n v="60047800"/>
    <s v="N"/>
    <n v="21318476"/>
    <s v="3000014385970014"/>
    <s v="CIVIL"/>
    <d v="2023-06-23T00:00:00"/>
    <d v="2023-07-03T19:01:49"/>
    <m/>
    <d v="2023-07-03T00:00:00"/>
    <n v="587"/>
    <n v="18206"/>
    <s v="60047800"/>
    <s v="60047800"/>
    <m/>
    <m/>
    <n v="22750528"/>
    <m/>
    <m/>
    <m/>
    <s v="SOLFIN"/>
    <s v="SOLFIN"/>
    <s v="CCMS"/>
    <n v="21318476"/>
    <n v="5211.33"/>
    <m/>
    <s v="N"/>
    <n v="5"/>
    <d v="2023-07-03T19:01:57"/>
    <s v="Y"/>
    <s v="Expert - Other"/>
    <s v="Public Law Children"/>
    <s v="Expert Disbursement"/>
    <s v="XXX"/>
    <s v="Y"/>
    <n v="51"/>
    <n v="10.2"/>
    <x v="3"/>
    <s v="VALIDATED"/>
    <n v="1"/>
    <s v="01.11.80.308.6300.0000"/>
    <n v="51"/>
    <s v="11"/>
    <s v="6300"/>
    <n v="5770.85"/>
    <n v="51"/>
    <s v="CREDITOR"/>
    <n v="0"/>
    <n v="0"/>
    <n v="0"/>
    <n v="0"/>
    <n v="51"/>
  </r>
  <r>
    <n v="60047800"/>
    <s v="N"/>
    <n v="21318476"/>
    <s v="3000014385970014"/>
    <s v="CIVIL"/>
    <d v="2023-06-23T00:00:00"/>
    <d v="2023-07-03T19:01:49"/>
    <m/>
    <d v="2023-07-03T00:00:00"/>
    <n v="587"/>
    <n v="18206"/>
    <s v="60047800"/>
    <s v="60047800"/>
    <m/>
    <m/>
    <n v="22750528"/>
    <m/>
    <m/>
    <m/>
    <s v="SOLFIN"/>
    <s v="SOLFIN"/>
    <s v="CCMS"/>
    <n v="21318476"/>
    <n v="5211.33"/>
    <m/>
    <s v="N"/>
    <n v="7"/>
    <d v="2023-07-03T19:01:57"/>
    <s v="Y"/>
    <s v="Expert - Other"/>
    <s v="Public Law Children"/>
    <s v="Expert Disbursement"/>
    <s v="XXX"/>
    <s v="Y"/>
    <n v="35"/>
    <n v="7"/>
    <x v="3"/>
    <s v="VALIDATED"/>
    <n v="1"/>
    <s v="01.11.80.308.6300.0000"/>
    <n v="35"/>
    <s v="11"/>
    <s v="6300"/>
    <n v="5770.85"/>
    <n v="35"/>
    <s v="CREDITOR"/>
    <n v="0"/>
    <n v="0"/>
    <n v="0"/>
    <n v="0"/>
    <n v="35"/>
  </r>
  <r>
    <n v="61883778"/>
    <s v="N"/>
    <n v="21320497"/>
    <s v="3000015942570005"/>
    <s v="CIVIL"/>
    <d v="2023-06-28T00:00:00"/>
    <d v="2023-07-03T19:04:52"/>
    <m/>
    <d v="2023-07-03T00:00:00"/>
    <n v="587"/>
    <n v="18206"/>
    <s v="61883778"/>
    <s v="61883778"/>
    <m/>
    <m/>
    <n v="22778776"/>
    <m/>
    <m/>
    <m/>
    <s v="SOLPOA"/>
    <s v="SOLPOA"/>
    <s v="CCMS"/>
    <n v="21320497"/>
    <n v="72.36"/>
    <m/>
    <s v="N"/>
    <n v="1"/>
    <d v="2023-07-03T19:04:54"/>
    <s v="N"/>
    <s v="Expert Cost"/>
    <s v="Expert Cost"/>
    <s v="Expert Disbursement"/>
    <s v="MG"/>
    <s v="N"/>
    <n v="60.3"/>
    <n v="12.06"/>
    <x v="3"/>
    <s v="VALIDATED"/>
    <n v="1"/>
    <s v="01.11.80.308.2012.0000"/>
    <n v="60.3"/>
    <s v="11"/>
    <s v="2012"/>
    <n v="5770.85"/>
    <n v="60.3"/>
    <s v="CREDITOR"/>
    <n v="60.3"/>
    <n v="0"/>
    <n v="0"/>
    <n v="0"/>
    <n v="0"/>
  </r>
  <r>
    <n v="61900875"/>
    <s v="N"/>
    <n v="21319277"/>
    <s v="3000015958440013"/>
    <s v="CIVIL"/>
    <d v="2023-06-28T00:00:00"/>
    <d v="2023-07-03T19:04:24"/>
    <m/>
    <d v="2023-07-03T00:00:00"/>
    <n v="587"/>
    <n v="18206"/>
    <s v="61900875"/>
    <s v="61900875"/>
    <m/>
    <m/>
    <n v="22778270"/>
    <m/>
    <m/>
    <m/>
    <s v="SOLPOA"/>
    <s v="SOLPOA"/>
    <s v="CCMS"/>
    <n v="21319277"/>
    <n v="93.90000000000001"/>
    <m/>
    <s v="N"/>
    <n v="1"/>
    <d v="2023-07-03T19:04:25"/>
    <s v="N"/>
    <s v="Expert Cost"/>
    <s v="Expert Cost"/>
    <s v="Expert Disbursement"/>
    <s v="AMH"/>
    <s v="N"/>
    <n v="78.25"/>
    <n v="15.65"/>
    <x v="3"/>
    <s v="VALIDATED"/>
    <n v="1"/>
    <s v="01.11.80.308.2012.0000"/>
    <n v="78.25"/>
    <s v="11"/>
    <s v="2012"/>
    <n v="5770.85"/>
    <n v="78.25"/>
    <s v="CREDITOR"/>
    <n v="78.25"/>
    <n v="0"/>
    <n v="0"/>
    <n v="0"/>
    <n v="0"/>
  </r>
  <r>
    <n v="60426355"/>
    <s v="N"/>
    <n v="21323609"/>
    <s v="3000014712260013"/>
    <s v="CIVIL"/>
    <d v="2023-06-30T00:00:00"/>
    <d v="2023-07-03T19:05:56"/>
    <m/>
    <d v="2023-07-03T00:00:00"/>
    <n v="587"/>
    <n v="18206"/>
    <s v="60426355"/>
    <s v="60426355"/>
    <m/>
    <m/>
    <n v="22797210"/>
    <m/>
    <m/>
    <m/>
    <s v="SOLPOA"/>
    <s v="SOLPOA"/>
    <s v="CCMS"/>
    <n v="21323609"/>
    <n v="103.26"/>
    <m/>
    <s v="N"/>
    <n v="1"/>
    <d v="2023-07-03T19:05:58"/>
    <s v="N"/>
    <s v="Expert Cost"/>
    <s v="Expert Cost"/>
    <s v="Expert Disbursement"/>
    <s v="DC"/>
    <s v="N"/>
    <n v="86.05"/>
    <n v="17.21"/>
    <x v="3"/>
    <s v="VALIDATED"/>
    <n v="1"/>
    <s v="01.11.80.308.2012.0000"/>
    <n v="86.05"/>
    <s v="11"/>
    <s v="2012"/>
    <n v="5770.85"/>
    <n v="86.05"/>
    <s v="CREDITOR"/>
    <n v="86.05"/>
    <n v="0"/>
    <n v="0"/>
    <n v="0"/>
    <n v="0"/>
  </r>
  <r>
    <n v="61035112"/>
    <s v="N"/>
    <n v="21350087"/>
    <s v="3000015236530016"/>
    <s v="CIVIL"/>
    <d v="2023-06-30T00:00:00"/>
    <d v="2023-07-10T19:01:40"/>
    <m/>
    <d v="2023-07-10T00:00:00"/>
    <n v="587"/>
    <n v="18206"/>
    <s v="61035112"/>
    <s v="61035112"/>
    <m/>
    <m/>
    <n v="22799888"/>
    <m/>
    <m/>
    <m/>
    <s v="SOLFIN"/>
    <s v="SOLFIN"/>
    <s v="CCMS"/>
    <n v="21350087"/>
    <n v="6776.44"/>
    <m/>
    <s v="N"/>
    <n v="13"/>
    <d v="2023-07-10T19:02:13"/>
    <s v="Y"/>
    <s v="Advocates Meeting"/>
    <s v="Public Law Children"/>
    <s v="Advocacy"/>
    <s v="DC"/>
    <s v="Y"/>
    <n v="140.99"/>
    <n v="28.2"/>
    <x v="2"/>
    <s v="VALIDATED"/>
    <n v="1"/>
    <s v="01.11.80.308.6100.0000"/>
    <n v="140.99"/>
    <s v="11"/>
    <s v="6100"/>
    <n v="5770.85"/>
    <n v="140.99"/>
    <s v="CREDITOR"/>
    <n v="0"/>
    <n v="0"/>
    <n v="0"/>
    <n v="0"/>
    <n v="140.99"/>
  </r>
  <r>
    <n v="60906958"/>
    <s v="N"/>
    <n v="21323571"/>
    <s v="3000015110860026"/>
    <s v="CIVIL"/>
    <d v="2023-06-30T00:00:00"/>
    <d v="2023-07-03T19:05:56"/>
    <m/>
    <d v="2023-07-03T00:00:00"/>
    <n v="587"/>
    <n v="18206"/>
    <s v="60906958"/>
    <s v="60906958"/>
    <m/>
    <m/>
    <n v="22795542"/>
    <m/>
    <m/>
    <m/>
    <s v="SOLPOA"/>
    <s v="SOLPOA"/>
    <s v="CCMS"/>
    <n v="21323571"/>
    <n v="90"/>
    <m/>
    <s v="N"/>
    <n v="1"/>
    <d v="2023-07-03T19:05:57"/>
    <s v="N"/>
    <s v="Non Expert Disbursement"/>
    <s v="Non Expert Disbursement"/>
    <s v="Non Expert Disbursement"/>
    <s v="Philippa Morgan"/>
    <s v="N"/>
    <n v="75"/>
    <n v="15"/>
    <x v="3"/>
    <s v="VALIDATED"/>
    <n v="1"/>
    <s v="01.11.80.305.2012.0000"/>
    <n v="75"/>
    <s v="11"/>
    <s v="2012"/>
    <n v="5770.85"/>
    <n v="75"/>
    <s v="CREDITOR"/>
    <n v="75"/>
    <n v="0"/>
    <n v="0"/>
    <n v="0"/>
    <n v="0"/>
  </r>
  <r>
    <n v="61035112"/>
    <s v="N"/>
    <n v="21350087"/>
    <s v="3000015236530016"/>
    <s v="CIVIL"/>
    <d v="2023-06-30T00:00:00"/>
    <d v="2023-07-10T19:01:40"/>
    <m/>
    <d v="2023-07-10T00:00:00"/>
    <n v="587"/>
    <n v="18206"/>
    <s v="61035112"/>
    <s v="61035112"/>
    <m/>
    <m/>
    <n v="22799888"/>
    <m/>
    <m/>
    <m/>
    <s v="SOLFIN"/>
    <s v="SOLFIN"/>
    <s v="CCMS"/>
    <n v="21350087"/>
    <n v="6776.44"/>
    <m/>
    <s v="N"/>
    <n v="1"/>
    <d v="2023-07-10T19:02:13"/>
    <s v="Y"/>
    <s v="Solicitors Fixed Fee"/>
    <s v="Public Law Children"/>
    <s v="Profit Cost"/>
    <s v="XXX"/>
    <s v="Y"/>
    <n v="3020"/>
    <n v="604"/>
    <x v="2"/>
    <s v="VALIDATED"/>
    <n v="1"/>
    <s v="01.11.80.308.6100.0000"/>
    <n v="3020"/>
    <s v="11"/>
    <s v="6100"/>
    <n v="5770.85"/>
    <n v="3020"/>
    <s v="CREDITOR"/>
    <n v="0"/>
    <n v="0"/>
    <n v="0"/>
    <n v="0"/>
    <n v="3020"/>
  </r>
  <r>
    <n v="61812277"/>
    <s v="N"/>
    <n v="21323582"/>
    <s v="3000015882020007"/>
    <s v="CIVIL"/>
    <d v="2023-06-30T00:00:00"/>
    <d v="2023-07-03T19:05:56"/>
    <m/>
    <d v="2023-07-03T00:00:00"/>
    <n v="587"/>
    <n v="18206"/>
    <s v="61812277"/>
    <s v="61812277"/>
    <m/>
    <m/>
    <n v="22799144"/>
    <m/>
    <m/>
    <m/>
    <s v="SOLPOA"/>
    <s v="SOLPOA"/>
    <s v="CCMS"/>
    <n v="21323582"/>
    <n v="216.84"/>
    <m/>
    <s v="N"/>
    <n v="1"/>
    <d v="2023-07-03T19:05:57"/>
    <s v="N"/>
    <s v="Non Expert Disbursement"/>
    <s v="Non Expert Disbursement"/>
    <s v="Non Expert Disbursement"/>
    <s v="Philippa Morgan"/>
    <s v="N"/>
    <n v="180.7"/>
    <n v="36.14"/>
    <x v="3"/>
    <s v="VALIDATED"/>
    <n v="1"/>
    <s v="01.11.80.305.2012.0000"/>
    <n v="180.7"/>
    <s v="11"/>
    <s v="2012"/>
    <n v="5770.85"/>
    <n v="180.7"/>
    <s v="CREDITOR"/>
    <n v="180.7"/>
    <n v="0"/>
    <n v="0"/>
    <n v="0"/>
    <n v="0"/>
  </r>
  <r>
    <n v="60047800"/>
    <s v="N"/>
    <n v="21318476"/>
    <s v="3000014385970014"/>
    <s v="CIVIL"/>
    <d v="2023-06-23T00:00:00"/>
    <d v="2023-07-03T19:01:49"/>
    <m/>
    <d v="2023-07-03T00:00:00"/>
    <n v="587"/>
    <n v="18206"/>
    <s v="60047800"/>
    <s v="60047800"/>
    <m/>
    <m/>
    <n v="22750528"/>
    <m/>
    <m/>
    <m/>
    <s v="SOLFIN"/>
    <s v="SOLFIN"/>
    <s v="CCMS"/>
    <n v="21318476"/>
    <n v="5211.33"/>
    <m/>
    <s v="N"/>
    <n v="11"/>
    <d v="2023-07-03T19:01:57"/>
    <s v="Y"/>
    <s v="Advocates Meeting"/>
    <s v="Public Law Children"/>
    <s v="Advocacy"/>
    <s v="AH"/>
    <s v="Y"/>
    <n v="140.99"/>
    <n v="28.2"/>
    <x v="3"/>
    <s v="VALIDATED"/>
    <n v="1"/>
    <s v="01.11.80.308.6100.0000"/>
    <n v="140.99"/>
    <s v="11"/>
    <s v="6100"/>
    <n v="5770.85"/>
    <n v="140.99"/>
    <s v="CREDITOR"/>
    <n v="0"/>
    <n v="0"/>
    <n v="0"/>
    <n v="0"/>
    <n v="140.99"/>
  </r>
  <r>
    <n v="61817753"/>
    <s v="N"/>
    <n v="21338375"/>
    <s v="3000015888310006"/>
    <s v="CIVIL"/>
    <d v="2023-06-27T00:00:00"/>
    <d v="2023-07-06T19:21:01"/>
    <m/>
    <d v="2023-07-06T00:00:00"/>
    <n v="587"/>
    <n v="18206"/>
    <s v="61817753"/>
    <s v="61817753"/>
    <m/>
    <m/>
    <n v="22767528"/>
    <m/>
    <m/>
    <m/>
    <s v="SOLFIN"/>
    <s v="SOLFIN"/>
    <s v="CCMS"/>
    <n v="21338375"/>
    <n v="6031.43"/>
    <m/>
    <s v="N"/>
    <n v="10"/>
    <d v="2023-07-06T19:21:22"/>
    <s v="Y"/>
    <s v="Final Hearing - 1 Day"/>
    <s v="Public Law Children"/>
    <s v="Advocacy"/>
    <s v="IP"/>
    <s v="Y"/>
    <n v="696.1"/>
    <n v="139.22"/>
    <x v="4"/>
    <s v="VALIDATED"/>
    <n v="1"/>
    <s v="01.11.80.308.6100.0000"/>
    <n v="696.1"/>
    <s v="11"/>
    <s v="6100"/>
    <n v="5770.85"/>
    <n v="696.1"/>
    <s v="CREDITOR"/>
    <n v="0"/>
    <n v="0"/>
    <n v="0"/>
    <n v="0"/>
    <n v="696.1"/>
  </r>
  <r>
    <n v="60047800"/>
    <s v="N"/>
    <n v="21318476"/>
    <s v="3000014385970014"/>
    <s v="CIVIL"/>
    <d v="2023-06-23T00:00:00"/>
    <d v="2023-07-03T19:01:49"/>
    <m/>
    <d v="2023-07-03T00:00:00"/>
    <n v="587"/>
    <n v="18206"/>
    <s v="60047800"/>
    <s v="60047800"/>
    <m/>
    <m/>
    <n v="22750528"/>
    <m/>
    <m/>
    <m/>
    <s v="SOLFIN"/>
    <s v="SOLFIN"/>
    <s v="CCMS"/>
    <n v="21318476"/>
    <n v="5211.33"/>
    <m/>
    <s v="N"/>
    <n v="9"/>
    <d v="2023-07-03T19:01:57"/>
    <s v="Y"/>
    <s v="Expert - Other"/>
    <s v="Public Law Children"/>
    <s v="Expert Disbursement"/>
    <s v="XXX"/>
    <s v="Y"/>
    <n v="118"/>
    <n v="23.6"/>
    <x v="3"/>
    <s v="VALIDATED"/>
    <n v="1"/>
    <s v="01.11.80.308.6300.0000"/>
    <n v="118"/>
    <s v="11"/>
    <s v="6300"/>
    <n v="5770.85"/>
    <n v="118"/>
    <s v="CREDITOR"/>
    <n v="0"/>
    <n v="0"/>
    <n v="0"/>
    <n v="0"/>
    <n v="118"/>
  </r>
  <r>
    <n v="61035112"/>
    <s v="N"/>
    <n v="21350087"/>
    <s v="3000015236530016"/>
    <s v="CIVIL"/>
    <d v="2023-06-30T00:00:00"/>
    <d v="2023-07-10T19:01:40"/>
    <m/>
    <d v="2023-07-10T00:00:00"/>
    <n v="587"/>
    <n v="18206"/>
    <s v="61035112"/>
    <s v="61035112"/>
    <m/>
    <m/>
    <n v="22799888"/>
    <m/>
    <m/>
    <m/>
    <s v="SOLFIN"/>
    <s v="SOLFIN"/>
    <s v="CCMS"/>
    <n v="21350087"/>
    <n v="6776.44"/>
    <m/>
    <s v="N"/>
    <n v="5"/>
    <d v="2023-07-10T19:02:13"/>
    <s v="Y"/>
    <s v="Toxicologist"/>
    <s v="Public Law Children"/>
    <s v="Expert Disbursement"/>
    <s v="XXX"/>
    <s v="Y"/>
    <n v="92"/>
    <n v="18.4"/>
    <x v="2"/>
    <s v="VALIDATED"/>
    <n v="1"/>
    <s v="01.11.80.308.6300.0000"/>
    <n v="92"/>
    <s v="11"/>
    <s v="6300"/>
    <n v="5770.85"/>
    <n v="92"/>
    <s v="CREDITOR"/>
    <n v="0"/>
    <n v="0"/>
    <n v="0"/>
    <n v="0"/>
    <n v="92"/>
  </r>
  <r>
    <n v="61035112"/>
    <s v="N"/>
    <n v="21350087"/>
    <s v="3000015236530016"/>
    <s v="CIVIL"/>
    <d v="2023-06-30T00:00:00"/>
    <d v="2023-07-10T19:01:40"/>
    <m/>
    <d v="2023-07-10T00:00:00"/>
    <n v="587"/>
    <n v="18206"/>
    <s v="61035112"/>
    <s v="61035112"/>
    <m/>
    <m/>
    <n v="22799888"/>
    <m/>
    <m/>
    <m/>
    <s v="SOLFIN"/>
    <s v="SOLFIN"/>
    <s v="CCMS"/>
    <n v="21350087"/>
    <n v="6776.44"/>
    <m/>
    <s v="N"/>
    <n v="2"/>
    <d v="2023-07-10T19:02:13"/>
    <s v="Y"/>
    <s v="Toxicologist"/>
    <s v="Public Law Children"/>
    <s v="Expert Disbursement"/>
    <s v="XXX"/>
    <s v="Y"/>
    <n v="149.75"/>
    <n v="29.95"/>
    <x v="2"/>
    <s v="VALIDATED"/>
    <n v="1"/>
    <s v="01.11.80.308.6300.0000"/>
    <n v="149.75"/>
    <s v="11"/>
    <s v="6300"/>
    <n v="5770.85"/>
    <n v="149.75"/>
    <s v="CREDITOR"/>
    <n v="0"/>
    <n v="0"/>
    <n v="0"/>
    <n v="0"/>
    <n v="149.75"/>
  </r>
  <r>
    <n v="60906958"/>
    <s v="N"/>
    <n v="21324011"/>
    <s v="3000015110860027"/>
    <s v="CIVIL"/>
    <d v="2023-06-30T00:00:00"/>
    <d v="2023-07-03T19:05:56"/>
    <m/>
    <d v="2023-07-03T00:00:00"/>
    <n v="587"/>
    <n v="18206"/>
    <s v="60906958"/>
    <s v="60906958"/>
    <m/>
    <m/>
    <n v="22799796"/>
    <m/>
    <m/>
    <m/>
    <s v="SOLPOA"/>
    <s v="SOLPOA"/>
    <s v="CCMS"/>
    <n v="21324011"/>
    <n v="194.4"/>
    <m/>
    <s v="N"/>
    <n v="1"/>
    <d v="2023-07-03T19:06:00"/>
    <s v="N"/>
    <s v="Non Expert Disbursement"/>
    <s v="Non Expert Disbursement"/>
    <s v="Non Expert Disbursement"/>
    <s v="Philippa Morgan"/>
    <s v="N"/>
    <n v="162"/>
    <n v="32.4"/>
    <x v="3"/>
    <s v="VALIDATED"/>
    <n v="1"/>
    <s v="01.11.80.305.2012.0000"/>
    <n v="162"/>
    <s v="11"/>
    <s v="2012"/>
    <n v="5770.85"/>
    <n v="162"/>
    <s v="CREDITOR"/>
    <n v="162"/>
    <n v="0"/>
    <n v="0"/>
    <n v="0"/>
    <n v="0"/>
  </r>
  <r>
    <n v="61035112"/>
    <s v="N"/>
    <n v="21350087"/>
    <s v="3000015236530016"/>
    <s v="CIVIL"/>
    <d v="2023-06-30T00:00:00"/>
    <d v="2023-07-10T19:01:40"/>
    <m/>
    <d v="2023-07-10T00:00:00"/>
    <n v="587"/>
    <n v="18206"/>
    <s v="61035112"/>
    <s v="61035112"/>
    <m/>
    <m/>
    <n v="22799888"/>
    <m/>
    <m/>
    <m/>
    <s v="SOLFIN"/>
    <s v="SOLFIN"/>
    <s v="CCMS"/>
    <n v="21350087"/>
    <n v="6776.44"/>
    <m/>
    <s v="N"/>
    <n v="3"/>
    <d v="2023-07-10T19:02:13"/>
    <s v="Y"/>
    <s v="Toxicologist"/>
    <s v="Public Law Children"/>
    <s v="Expert Disbursement"/>
    <s v="XXX"/>
    <s v="Y"/>
    <n v="199.25"/>
    <n v="39.85"/>
    <x v="2"/>
    <s v="VALIDATED"/>
    <n v="1"/>
    <s v="01.11.80.308.6300.0000"/>
    <n v="199.25"/>
    <s v="11"/>
    <s v="6300"/>
    <n v="5770.85"/>
    <n v="199.25"/>
    <s v="CREDITOR"/>
    <n v="0"/>
    <n v="0"/>
    <n v="0"/>
    <n v="0"/>
    <n v="199.25"/>
  </r>
  <r>
    <n v="61035112"/>
    <s v="N"/>
    <n v="21350087"/>
    <s v="3000015236530016"/>
    <s v="CIVIL"/>
    <d v="2023-06-30T00:00:00"/>
    <d v="2023-07-10T19:01:40"/>
    <m/>
    <d v="2023-07-10T00:00:00"/>
    <n v="587"/>
    <n v="18206"/>
    <s v="61035112"/>
    <s v="61035112"/>
    <m/>
    <m/>
    <n v="22799888"/>
    <m/>
    <m/>
    <m/>
    <s v="SOLFIN"/>
    <s v="SOLFIN"/>
    <s v="CCMS"/>
    <n v="21350087"/>
    <n v="6776.44"/>
    <m/>
    <s v="N"/>
    <n v="10"/>
    <d v="2023-07-10T19:02:13"/>
    <s v="Y"/>
    <s v="Advocates Meeting"/>
    <s v="Public Law Children"/>
    <s v="Advocacy"/>
    <s v="DC"/>
    <s v="Y"/>
    <n v="140.99"/>
    <n v="28.2"/>
    <x v="2"/>
    <s v="VALIDATED"/>
    <n v="1"/>
    <s v="01.11.80.308.6100.0000"/>
    <n v="140.99"/>
    <s v="11"/>
    <s v="6100"/>
    <n v="5770.85"/>
    <n v="140.99"/>
    <s v="CREDITOR"/>
    <n v="0"/>
    <n v="0"/>
    <n v="0"/>
    <n v="0"/>
    <n v="140.99"/>
  </r>
  <r>
    <n v="61817753"/>
    <s v="N"/>
    <n v="21338375"/>
    <s v="3000015888310006"/>
    <s v="CIVIL"/>
    <d v="2023-06-27T00:00:00"/>
    <d v="2023-07-06T19:21:01"/>
    <m/>
    <d v="2023-07-06T00:00:00"/>
    <n v="587"/>
    <n v="18206"/>
    <s v="61817753"/>
    <s v="61817753"/>
    <m/>
    <m/>
    <n v="22767528"/>
    <m/>
    <m/>
    <m/>
    <s v="SOLFIN"/>
    <s v="SOLFIN"/>
    <s v="CCMS"/>
    <n v="21338375"/>
    <n v="6031.43"/>
    <m/>
    <s v="N"/>
    <n v="4"/>
    <d v="2023-07-06T19:21:22"/>
    <s v="Y"/>
    <s v="Toxicologist"/>
    <s v="Public Law Children"/>
    <s v="Expert Disbursement"/>
    <s v="XXX"/>
    <s v="Y"/>
    <n v="139.25"/>
    <n v="27.85"/>
    <x v="4"/>
    <s v="VALIDATED"/>
    <n v="1"/>
    <s v="01.11.80.308.6300.0000"/>
    <n v="139.25"/>
    <s v="11"/>
    <s v="6300"/>
    <n v="5770.85"/>
    <n v="139.25"/>
    <s v="CREDITOR"/>
    <n v="0"/>
    <n v="0"/>
    <n v="0"/>
    <n v="0"/>
    <n v="139.25"/>
  </r>
  <r>
    <n v="61817753"/>
    <s v="N"/>
    <n v="21338375"/>
    <s v="3000015888310006"/>
    <s v="CIVIL"/>
    <d v="2023-06-27T00:00:00"/>
    <d v="2023-07-06T19:21:01"/>
    <m/>
    <d v="2023-07-06T00:00:00"/>
    <n v="587"/>
    <n v="18206"/>
    <s v="61817753"/>
    <s v="61817753"/>
    <m/>
    <m/>
    <n v="22767528"/>
    <m/>
    <m/>
    <m/>
    <s v="SOLFIN"/>
    <s v="SOLFIN"/>
    <s v="CCMS"/>
    <n v="21338375"/>
    <n v="6031.43"/>
    <m/>
    <s v="N"/>
    <n v="7"/>
    <d v="2023-07-06T19:21:22"/>
    <s v="Y"/>
    <s v="Expert - Other"/>
    <s v="Public Law Children"/>
    <s v="Expert Disbursement"/>
    <s v="XXX"/>
    <s v="Y"/>
    <n v="30.6"/>
    <n v="6.12"/>
    <x v="4"/>
    <s v="VALIDATED"/>
    <n v="1"/>
    <s v="01.11.80.308.6300.0000"/>
    <n v="30.6"/>
    <s v="11"/>
    <s v="6300"/>
    <n v="5770.85"/>
    <n v="30.6"/>
    <s v="CREDITOR"/>
    <n v="0"/>
    <n v="0"/>
    <n v="0"/>
    <n v="0"/>
    <n v="30.6"/>
  </r>
  <r>
    <n v="61035312"/>
    <s v="N"/>
    <n v="21350067"/>
    <s v="3000015237020001"/>
    <s v="CIVIL"/>
    <d v="2023-06-30T00:00:00"/>
    <d v="2023-07-10T19:01:40"/>
    <m/>
    <d v="2023-07-10T00:00:00"/>
    <n v="587"/>
    <n v="18206"/>
    <s v="61035312"/>
    <s v="61035312"/>
    <m/>
    <m/>
    <n v="22799714"/>
    <m/>
    <m/>
    <m/>
    <s v="SOLFIN"/>
    <s v="SOLFIN"/>
    <s v="CCMS"/>
    <n v="21350067"/>
    <n v="0"/>
    <m/>
    <s v="N"/>
    <n v="1"/>
    <d v="2023-07-10T19:02:12"/>
    <s v="N"/>
    <s v="NIL BILL"/>
    <s v="Public Law Children"/>
    <s v="Profit Cost"/>
    <s v="DC"/>
    <s v="N"/>
    <n v="0"/>
    <n v="0"/>
    <x v="2"/>
    <s v="VALIDATED"/>
    <n v="1"/>
    <s v="01.11.80.308.6100.0000"/>
    <n v="0"/>
    <s v="11"/>
    <s v="6100"/>
    <n v="5770.85"/>
    <n v="0"/>
    <s v="CREDITOR"/>
    <n v="0"/>
    <n v="0"/>
    <n v="0"/>
    <n v="0"/>
    <n v="0"/>
  </r>
  <r>
    <n v="60047800"/>
    <s v="N"/>
    <n v="21318476"/>
    <s v="3000014385970014"/>
    <s v="CIVIL"/>
    <d v="2023-06-23T00:00:00"/>
    <d v="2023-07-03T19:01:49"/>
    <m/>
    <d v="2023-07-03T00:00:00"/>
    <n v="587"/>
    <n v="18206"/>
    <s v="60047800"/>
    <s v="60047800"/>
    <m/>
    <m/>
    <n v="22750528"/>
    <m/>
    <m/>
    <m/>
    <s v="SOLFIN"/>
    <s v="SOLFIN"/>
    <s v="CCMS"/>
    <n v="21318476"/>
    <n v="5211.33"/>
    <m/>
    <s v="N"/>
    <n v="3"/>
    <d v="2023-07-03T19:01:57"/>
    <s v="Y"/>
    <s v="Expert - Other"/>
    <s v="Public Law Children"/>
    <s v="Expert Disbursement"/>
    <s v="XXX"/>
    <s v="Y"/>
    <n v="35"/>
    <n v="7"/>
    <x v="3"/>
    <s v="VALIDATED"/>
    <n v="1"/>
    <s v="01.11.80.308.6300.0000"/>
    <n v="35"/>
    <s v="11"/>
    <s v="6300"/>
    <n v="5770.85"/>
    <n v="35"/>
    <s v="CREDITOR"/>
    <n v="0"/>
    <n v="0"/>
    <n v="0"/>
    <n v="0"/>
    <n v="35"/>
  </r>
  <r>
    <n v="61116277"/>
    <s v="N"/>
    <n v="21321452"/>
    <s v="3000015305080020"/>
    <s v="CIVIL"/>
    <d v="2023-06-29T00:00:00"/>
    <d v="2023-07-03T19:05:17"/>
    <m/>
    <d v="2023-07-03T00:00:00"/>
    <n v="587"/>
    <n v="18206"/>
    <s v="61116277"/>
    <s v="61116277"/>
    <m/>
    <m/>
    <n v="22786158"/>
    <m/>
    <m/>
    <m/>
    <s v="SOLPOA"/>
    <s v="SOLPOA"/>
    <s v="CCMS"/>
    <n v="21321452"/>
    <n v="64.8"/>
    <m/>
    <s v="N"/>
    <n v="1"/>
    <d v="2023-07-03T19:05:19"/>
    <s v="N"/>
    <s v="Expert Cost"/>
    <s v="Expert Cost"/>
    <s v="Expert Disbursement"/>
    <s v="MG"/>
    <s v="N"/>
    <n v="54"/>
    <n v="10.8"/>
    <x v="3"/>
    <s v="VALIDATED"/>
    <n v="1"/>
    <s v="01.11.80.308.2012.0000"/>
    <n v="54"/>
    <s v="11"/>
    <s v="2012"/>
    <n v="5770.85"/>
    <n v="54"/>
    <s v="CREDITOR"/>
    <n v="54"/>
    <n v="0"/>
    <n v="0"/>
    <n v="0"/>
    <n v="0"/>
  </r>
  <r>
    <n v="61685419"/>
    <s v="N"/>
    <n v="21323157"/>
    <s v="3000015780340006"/>
    <s v="CIVIL"/>
    <d v="2023-06-30T00:00:00"/>
    <d v="2023-07-03T19:05:36"/>
    <m/>
    <d v="2023-07-03T00:00:00"/>
    <n v="587"/>
    <n v="18206"/>
    <s v="61685419"/>
    <s v="61685419"/>
    <m/>
    <m/>
    <n v="22794372"/>
    <m/>
    <m/>
    <m/>
    <s v="SOLPOA"/>
    <s v="SOLPOA"/>
    <s v="CCMS"/>
    <n v="21323157"/>
    <n v="299.4"/>
    <m/>
    <s v="N"/>
    <n v="1"/>
    <d v="2023-07-03T19:05:41"/>
    <s v="N"/>
    <s v="Expert Cost"/>
    <s v="Expert Cost"/>
    <s v="Expert Disbursement"/>
    <s v="ICP"/>
    <s v="N"/>
    <n v="249.5"/>
    <n v="49.9"/>
    <x v="3"/>
    <s v="VALIDATED"/>
    <n v="1"/>
    <s v="01.11.80.308.2012.0000"/>
    <n v="249.5"/>
    <s v="11"/>
    <s v="2012"/>
    <n v="5770.85"/>
    <n v="249.5"/>
    <s v="CREDITOR"/>
    <n v="249.5"/>
    <n v="0"/>
    <n v="0"/>
    <n v="0"/>
    <n v="0"/>
  </r>
  <r>
    <n v="61035112"/>
    <s v="N"/>
    <n v="21350087"/>
    <s v="3000015236530016"/>
    <s v="CIVIL"/>
    <d v="2023-06-30T00:00:00"/>
    <d v="2023-07-10T19:01:40"/>
    <m/>
    <d v="2023-07-10T00:00:00"/>
    <n v="587"/>
    <n v="18206"/>
    <s v="61035112"/>
    <s v="61035112"/>
    <m/>
    <m/>
    <n v="22799888"/>
    <m/>
    <m/>
    <m/>
    <s v="SOLFIN"/>
    <s v="SOLFIN"/>
    <s v="CCMS"/>
    <n v="21350087"/>
    <n v="6776.44"/>
    <m/>
    <s v="N"/>
    <n v="11"/>
    <d v="2023-07-10T19:02:13"/>
    <s v="Y"/>
    <s v="Advocates Meeting"/>
    <s v="Public Law Children"/>
    <s v="Advocacy"/>
    <s v="DC"/>
    <s v="Y"/>
    <n v="140.99"/>
    <n v="28.2"/>
    <x v="2"/>
    <s v="VALIDATED"/>
    <n v="1"/>
    <s v="01.11.80.308.6100.0000"/>
    <n v="140.99"/>
    <s v="11"/>
    <s v="6100"/>
    <n v="5770.85"/>
    <n v="140.99"/>
    <s v="CREDITOR"/>
    <n v="0"/>
    <n v="0"/>
    <n v="0"/>
    <n v="0"/>
    <n v="140.99"/>
  </r>
  <r>
    <n v="61035519"/>
    <s v="N"/>
    <n v="21350068"/>
    <s v="3000015237140001"/>
    <s v="CIVIL"/>
    <d v="2023-06-30T00:00:00"/>
    <d v="2023-07-10T19:01:40"/>
    <m/>
    <d v="2023-07-10T00:00:00"/>
    <n v="587"/>
    <n v="18206"/>
    <s v="61035519"/>
    <s v="61035519"/>
    <m/>
    <m/>
    <n v="22799876"/>
    <m/>
    <m/>
    <m/>
    <s v="SOLFIN"/>
    <s v="SOLFIN"/>
    <s v="CCMS"/>
    <n v="21350068"/>
    <n v="0"/>
    <m/>
    <s v="N"/>
    <n v="1"/>
    <d v="2023-07-10T19:02:12"/>
    <s v="N"/>
    <s v="NIL BILL"/>
    <s v="Public Law Children"/>
    <s v="Profit Cost"/>
    <s v="DC"/>
    <s v="N"/>
    <n v="0"/>
    <n v="0"/>
    <x v="2"/>
    <s v="VALIDATED"/>
    <n v="1"/>
    <s v="01.11.80.308.6100.0000"/>
    <n v="0"/>
    <s v="11"/>
    <s v="6100"/>
    <n v="5770.85"/>
    <n v="0"/>
    <s v="CREDITOR"/>
    <n v="0"/>
    <n v="0"/>
    <n v="0"/>
    <n v="0"/>
    <n v="0"/>
  </r>
  <r>
    <n v="61817753"/>
    <s v="N"/>
    <n v="21338375"/>
    <s v="3000015888310006"/>
    <s v="CIVIL"/>
    <d v="2023-06-27T00:00:00"/>
    <d v="2023-07-06T19:21:01"/>
    <m/>
    <d v="2023-07-06T00:00:00"/>
    <n v="587"/>
    <n v="18206"/>
    <s v="61817753"/>
    <s v="61817753"/>
    <m/>
    <m/>
    <n v="22767528"/>
    <m/>
    <m/>
    <m/>
    <s v="SOLFIN"/>
    <s v="SOLFIN"/>
    <s v="CCMS"/>
    <n v="21338375"/>
    <n v="6031.43"/>
    <m/>
    <s v="N"/>
    <n v="11"/>
    <d v="2023-07-06T19:21:22"/>
    <s v="Y"/>
    <s v="Final Hearing Court Bundle/Advocate"/>
    <s v="Public Law Children"/>
    <s v="Advocacy"/>
    <s v="IP"/>
    <s v="Y"/>
    <n v="159.3"/>
    <n v="31.86"/>
    <x v="4"/>
    <s v="VALIDATED"/>
    <n v="1"/>
    <s v="01.11.80.308.6100.0000"/>
    <n v="159.3"/>
    <s v="11"/>
    <s v="6100"/>
    <n v="5770.85"/>
    <n v="159.3"/>
    <s v="CREDITOR"/>
    <n v="0"/>
    <n v="0"/>
    <n v="0"/>
    <n v="0"/>
    <n v="159.3"/>
  </r>
  <r>
    <n v="62261402"/>
    <s v="N"/>
    <n v="21320992"/>
    <s v="3000016258720002"/>
    <s v="CIVIL"/>
    <d v="2023-06-28T00:00:00"/>
    <d v="2023-07-03T19:04:52"/>
    <m/>
    <d v="2023-07-03T00:00:00"/>
    <n v="587"/>
    <n v="18206"/>
    <s v="62261402"/>
    <s v="62261402"/>
    <m/>
    <m/>
    <n v="22781978"/>
    <m/>
    <m/>
    <m/>
    <s v="SOLPOA"/>
    <s v="SOLPOA"/>
    <s v="CCMS"/>
    <n v="21320992"/>
    <n v="87.36"/>
    <m/>
    <s v="N"/>
    <n v="1"/>
    <d v="2023-07-03T19:04:57"/>
    <s v="N"/>
    <s v="Expert Cost"/>
    <s v="Expert Cost"/>
    <s v="Expert Disbursement"/>
    <s v="DC"/>
    <s v="N"/>
    <n v="72.8"/>
    <n v="14.56"/>
    <x v="3"/>
    <s v="VALIDATED"/>
    <n v="1"/>
    <s v="01.11.80.308.2012.0000"/>
    <n v="72.8"/>
    <s v="11"/>
    <s v="2012"/>
    <n v="5770.85"/>
    <n v="72.8"/>
    <s v="CREDITOR"/>
    <n v="72.8"/>
    <n v="0"/>
    <n v="0"/>
    <n v="0"/>
    <n v="0"/>
  </r>
  <r>
    <n v="60047800"/>
    <s v="N"/>
    <n v="21318476"/>
    <s v="3000014385970014"/>
    <s v="CIVIL"/>
    <d v="2023-06-23T00:00:00"/>
    <d v="2023-07-03T19:01:49"/>
    <m/>
    <d v="2023-07-03T00:00:00"/>
    <n v="587"/>
    <n v="18206"/>
    <s v="60047800"/>
    <s v="60047800"/>
    <m/>
    <m/>
    <n v="22750528"/>
    <m/>
    <m/>
    <m/>
    <s v="SOLFIN"/>
    <s v="SOLFIN"/>
    <s v="CCMS"/>
    <n v="21318476"/>
    <n v="5211.33"/>
    <m/>
    <s v="N"/>
    <n v="8"/>
    <d v="2023-07-03T19:01:57"/>
    <s v="Y"/>
    <s v="Expert - Other"/>
    <s v="Public Law Children"/>
    <s v="Expert Disbursement"/>
    <s v="XXX"/>
    <s v="Y"/>
    <n v="68.5"/>
    <n v="13.7"/>
    <x v="3"/>
    <s v="VALIDATED"/>
    <n v="1"/>
    <s v="01.11.80.308.6300.0000"/>
    <n v="68.5"/>
    <s v="11"/>
    <s v="6300"/>
    <n v="5770.85"/>
    <n v="68.5"/>
    <s v="CREDITOR"/>
    <n v="0"/>
    <n v="0"/>
    <n v="0"/>
    <n v="0"/>
    <n v="68.5"/>
  </r>
  <r>
    <n v="61035112"/>
    <s v="N"/>
    <n v="21350087"/>
    <s v="3000015236530016"/>
    <s v="CIVIL"/>
    <d v="2023-06-30T00:00:00"/>
    <d v="2023-07-10T19:01:40"/>
    <m/>
    <d v="2023-07-10T00:00:00"/>
    <n v="587"/>
    <n v="18206"/>
    <s v="61035112"/>
    <s v="61035112"/>
    <m/>
    <m/>
    <n v="22799888"/>
    <m/>
    <m/>
    <m/>
    <s v="SOLFIN"/>
    <s v="SOLFIN"/>
    <s v="CCMS"/>
    <n v="21350087"/>
    <n v="6776.44"/>
    <m/>
    <s v="N"/>
    <n v="12"/>
    <d v="2023-07-10T19:02:13"/>
    <s v="Y"/>
    <s v="Advocates Meeting"/>
    <s v="Public Law Children"/>
    <s v="Advocacy"/>
    <s v="DC"/>
    <s v="Y"/>
    <n v="140.99"/>
    <n v="28.2"/>
    <x v="2"/>
    <s v="VALIDATED"/>
    <n v="1"/>
    <s v="01.11.80.308.6100.0000"/>
    <n v="140.99"/>
    <s v="11"/>
    <s v="6100"/>
    <n v="5770.85"/>
    <n v="140.99"/>
    <s v="CREDITOR"/>
    <n v="0"/>
    <n v="0"/>
    <n v="0"/>
    <n v="0"/>
    <n v="140.99"/>
  </r>
  <r>
    <n v="10462081"/>
    <s v="N"/>
    <n v="21338469"/>
    <s v="3000006312590001"/>
    <s v="CIVIL"/>
    <d v="2023-06-29T00:00:00"/>
    <d v="2023-07-06T19:21:01"/>
    <m/>
    <d v="2023-07-06T00:00:00"/>
    <n v="587"/>
    <n v="18206"/>
    <s v="10462081"/>
    <s v="10462081"/>
    <m/>
    <m/>
    <n v="22785356"/>
    <m/>
    <m/>
    <m/>
    <s v="SOLFIN"/>
    <s v="SOLFIN"/>
    <s v="CCMS"/>
    <n v="21338469"/>
    <n v="0"/>
    <m/>
    <s v="N"/>
    <n v="1"/>
    <d v="2023-07-06T19:21:26"/>
    <s v="N"/>
    <s v="NIL BILL"/>
    <s v="Care Remuneration Hourly Rates"/>
    <s v="Profit Cost"/>
    <s v="DC"/>
    <s v="N"/>
    <n v="0"/>
    <n v="0"/>
    <x v="4"/>
    <s v="VALIDATED"/>
    <n v="1"/>
    <s v="01.11.80.308.6100.0000"/>
    <n v="0"/>
    <s v="11"/>
    <s v="6100"/>
    <n v="5770.85"/>
    <n v="0"/>
    <s v="CREDITOR"/>
    <n v="0"/>
    <n v="0"/>
    <n v="0"/>
    <n v="0"/>
    <n v="0"/>
  </r>
  <r>
    <n v="60047800"/>
    <s v="N"/>
    <n v="21324360"/>
    <s v="3000014385970007RC"/>
    <s v="CIVIL"/>
    <d v="2023-06-23T00:00:00"/>
    <d v="2023-07-03T19:42:50"/>
    <m/>
    <d v="2023-07-03T00:00:00"/>
    <n v="587"/>
    <n v="18206"/>
    <s v="60047800"/>
    <s v="60047800"/>
    <m/>
    <m/>
    <m/>
    <m/>
    <m/>
    <m/>
    <s v="SOLRECOUP"/>
    <s v="SOLRECOUP"/>
    <s v="POARECOUP"/>
    <n v="21324360"/>
    <n v="-42"/>
    <m/>
    <s v="Y"/>
    <n v="1"/>
    <d v="2023-07-03T19:42:51"/>
    <s v="N"/>
    <m/>
    <m/>
    <s v="Non Expert Disbursement"/>
    <m/>
    <s v="N"/>
    <n v="-35"/>
    <n v="0"/>
    <x v="3"/>
    <s v="VALIDATED"/>
    <n v="1"/>
    <s v="01.11.80.308.2013.0000"/>
    <n v="-35"/>
    <s v="11"/>
    <s v="2013"/>
    <n v="5770.85"/>
    <n v="-35"/>
    <s v="CREDITOR"/>
    <n v="0"/>
    <n v="0"/>
    <n v="-35"/>
    <n v="0"/>
    <n v="0"/>
  </r>
  <r>
    <n v="60047800"/>
    <s v="N"/>
    <n v="21324360"/>
    <s v="3000014385970007RC"/>
    <s v="CIVIL"/>
    <d v="2023-06-23T00:00:00"/>
    <d v="2023-07-03T19:42:50"/>
    <m/>
    <d v="2023-07-03T00:00:00"/>
    <n v="587"/>
    <n v="18206"/>
    <s v="60047800"/>
    <s v="60047800"/>
    <m/>
    <m/>
    <m/>
    <m/>
    <m/>
    <m/>
    <s v="SOLRECOUP"/>
    <s v="SOLRECOUP"/>
    <s v="POARECOUP"/>
    <n v="21324360"/>
    <n v="-42"/>
    <m/>
    <s v="Y"/>
    <n v="2"/>
    <d v="2023-07-03T19:42:51"/>
    <s v="N"/>
    <m/>
    <m/>
    <s v="Non Expert Disbursement"/>
    <m/>
    <s v="N"/>
    <n v="0"/>
    <n v="-7"/>
    <x v="3"/>
    <s v="VALIDATED"/>
    <n v="1"/>
    <s v="01.11.80.308.2013.0000"/>
    <n v="-7"/>
    <s v="11"/>
    <s v="2013"/>
    <n v="5770.85"/>
    <n v="-7"/>
    <s v="CREDITOR"/>
    <n v="0"/>
    <n v="0"/>
    <n v="-7"/>
    <n v="0"/>
    <n v="0"/>
  </r>
  <r>
    <n v="60047800"/>
    <s v="N"/>
    <n v="21324361"/>
    <s v="3000014385970010RC"/>
    <s v="CIVIL"/>
    <d v="2023-06-23T00:00:00"/>
    <d v="2023-07-03T19:42:50"/>
    <m/>
    <d v="2023-07-03T00:00:00"/>
    <n v="587"/>
    <n v="18206"/>
    <s v="60047800"/>
    <s v="60047800"/>
    <m/>
    <m/>
    <m/>
    <m/>
    <m/>
    <m/>
    <s v="SOLRECOUP"/>
    <s v="SOLRECOUP"/>
    <s v="POARECOUP"/>
    <n v="21324361"/>
    <n v="-164.4"/>
    <m/>
    <s v="Y"/>
    <n v="1"/>
    <d v="2023-07-03T19:42:51"/>
    <s v="N"/>
    <m/>
    <m/>
    <s v="Non Expert Disbursement"/>
    <m/>
    <s v="N"/>
    <n v="-137"/>
    <n v="0"/>
    <x v="3"/>
    <s v="VALIDATED"/>
    <n v="1"/>
    <s v="01.11.80.308.2013.0000"/>
    <n v="-137"/>
    <s v="11"/>
    <s v="2013"/>
    <n v="5770.85"/>
    <n v="-137"/>
    <s v="CREDITOR"/>
    <n v="0"/>
    <n v="0"/>
    <n v="-137"/>
    <n v="0"/>
    <n v="0"/>
  </r>
  <r>
    <n v="60047800"/>
    <s v="N"/>
    <n v="21324361"/>
    <s v="3000014385970010RC"/>
    <s v="CIVIL"/>
    <d v="2023-06-23T00:00:00"/>
    <d v="2023-07-03T19:42:50"/>
    <m/>
    <d v="2023-07-03T00:00:00"/>
    <n v="587"/>
    <n v="18206"/>
    <s v="60047800"/>
    <s v="60047800"/>
    <m/>
    <m/>
    <m/>
    <m/>
    <m/>
    <m/>
    <s v="SOLRECOUP"/>
    <s v="SOLRECOUP"/>
    <s v="POARECOUP"/>
    <n v="21324361"/>
    <n v="-164.4"/>
    <m/>
    <s v="Y"/>
    <n v="2"/>
    <d v="2023-07-03T19:42:51"/>
    <s v="N"/>
    <m/>
    <m/>
    <s v="Non Expert Disbursement"/>
    <m/>
    <s v="N"/>
    <n v="0"/>
    <n v="-27.4"/>
    <x v="3"/>
    <s v="VALIDATED"/>
    <n v="1"/>
    <s v="01.11.80.308.2013.0000"/>
    <n v="-27.4"/>
    <s v="11"/>
    <s v="2013"/>
    <n v="5770.85"/>
    <n v="-27.4"/>
    <s v="CREDITOR"/>
    <n v="0"/>
    <n v="0"/>
    <n v="-27.4"/>
    <n v="0"/>
    <n v="0"/>
  </r>
  <r>
    <n v="60047800"/>
    <s v="N"/>
    <n v="21324362"/>
    <s v="3000014385970011RC"/>
    <s v="CIVIL"/>
    <d v="2023-06-23T00:00:00"/>
    <d v="2023-07-03T19:42:50"/>
    <m/>
    <d v="2023-07-03T00:00:00"/>
    <n v="587"/>
    <n v="18206"/>
    <s v="60047800"/>
    <s v="60047800"/>
    <m/>
    <m/>
    <m/>
    <m/>
    <m/>
    <m/>
    <s v="SOLRECOUP"/>
    <s v="SOLRECOUP"/>
    <s v="POARECOUP"/>
    <n v="21324362"/>
    <n v="-42"/>
    <m/>
    <s v="Y"/>
    <n v="1"/>
    <d v="2023-07-03T19:42:51"/>
    <s v="N"/>
    <m/>
    <m/>
    <s v="Non Expert Disbursement"/>
    <m/>
    <s v="N"/>
    <n v="-35"/>
    <n v="0"/>
    <x v="3"/>
    <s v="VALIDATED"/>
    <n v="1"/>
    <s v="01.11.80.308.2013.0000"/>
    <n v="-35"/>
    <s v="11"/>
    <s v="2013"/>
    <n v="5770.85"/>
    <n v="-35"/>
    <s v="CREDITOR"/>
    <n v="0"/>
    <n v="0"/>
    <n v="-35"/>
    <n v="0"/>
    <n v="0"/>
  </r>
  <r>
    <n v="60047800"/>
    <s v="N"/>
    <n v="21324362"/>
    <s v="3000014385970011RC"/>
    <s v="CIVIL"/>
    <d v="2023-06-23T00:00:00"/>
    <d v="2023-07-03T19:42:50"/>
    <m/>
    <d v="2023-07-03T00:00:00"/>
    <n v="587"/>
    <n v="18206"/>
    <s v="60047800"/>
    <s v="60047800"/>
    <m/>
    <m/>
    <m/>
    <m/>
    <m/>
    <m/>
    <s v="SOLRECOUP"/>
    <s v="SOLRECOUP"/>
    <s v="POARECOUP"/>
    <n v="21324362"/>
    <n v="-42"/>
    <m/>
    <s v="Y"/>
    <n v="2"/>
    <d v="2023-07-03T19:42:51"/>
    <s v="N"/>
    <m/>
    <m/>
    <s v="Non Expert Disbursement"/>
    <m/>
    <s v="N"/>
    <n v="0"/>
    <n v="-7"/>
    <x v="3"/>
    <s v="VALIDATED"/>
    <n v="1"/>
    <s v="01.11.80.308.2013.0000"/>
    <n v="-7"/>
    <s v="11"/>
    <s v="2013"/>
    <n v="5770.85"/>
    <n v="-7"/>
    <s v="CREDITOR"/>
    <n v="0"/>
    <n v="0"/>
    <n v="-7"/>
    <n v="0"/>
    <n v="0"/>
  </r>
  <r>
    <n v="60047800"/>
    <s v="N"/>
    <n v="21324363"/>
    <s v="3000014385970012RC"/>
    <s v="CIVIL"/>
    <d v="2023-06-23T00:00:00"/>
    <d v="2023-07-03T19:42:50"/>
    <m/>
    <d v="2023-07-03T00:00:00"/>
    <n v="587"/>
    <n v="18206"/>
    <s v="60047800"/>
    <s v="60047800"/>
    <m/>
    <m/>
    <m/>
    <m/>
    <m/>
    <m/>
    <s v="SOLRECOUP"/>
    <s v="SOLRECOUP"/>
    <s v="POARECOUP"/>
    <n v="21324363"/>
    <n v="-141.6"/>
    <m/>
    <s v="Y"/>
    <n v="1"/>
    <d v="2023-07-03T19:42:51"/>
    <s v="N"/>
    <m/>
    <m/>
    <s v="Non Expert Disbursement"/>
    <m/>
    <s v="N"/>
    <n v="-118"/>
    <n v="0"/>
    <x v="3"/>
    <s v="VALIDATED"/>
    <n v="1"/>
    <s v="01.11.80.308.2013.0000"/>
    <n v="-118"/>
    <s v="11"/>
    <s v="2013"/>
    <n v="5770.85"/>
    <n v="-118"/>
    <s v="CREDITOR"/>
    <n v="0"/>
    <n v="0"/>
    <n v="-118"/>
    <n v="0"/>
    <n v="0"/>
  </r>
  <r>
    <n v="60047800"/>
    <s v="N"/>
    <n v="21324363"/>
    <s v="3000014385970012RC"/>
    <s v="CIVIL"/>
    <d v="2023-06-23T00:00:00"/>
    <d v="2023-07-03T19:42:50"/>
    <m/>
    <d v="2023-07-03T00:00:00"/>
    <n v="587"/>
    <n v="18206"/>
    <s v="60047800"/>
    <s v="60047800"/>
    <m/>
    <m/>
    <m/>
    <m/>
    <m/>
    <m/>
    <s v="SOLRECOUP"/>
    <s v="SOLRECOUP"/>
    <s v="POARECOUP"/>
    <n v="21324363"/>
    <n v="-141.6"/>
    <m/>
    <s v="Y"/>
    <n v="2"/>
    <d v="2023-07-03T19:42:51"/>
    <s v="N"/>
    <m/>
    <m/>
    <s v="Non Expert Disbursement"/>
    <m/>
    <s v="N"/>
    <n v="0"/>
    <n v="-23.6"/>
    <x v="3"/>
    <s v="VALIDATED"/>
    <n v="1"/>
    <s v="01.11.80.308.2013.0000"/>
    <n v="-23.6"/>
    <s v="11"/>
    <s v="2013"/>
    <n v="5770.85"/>
    <n v="-23.6"/>
    <s v="CREDITOR"/>
    <n v="0"/>
    <n v="0"/>
    <n v="-23.6"/>
    <n v="0"/>
    <n v="0"/>
  </r>
  <r>
    <n v="61817753"/>
    <s v="N"/>
    <n v="21338375"/>
    <s v="3000015888310006"/>
    <s v="CIVIL"/>
    <d v="2023-06-27T00:00:00"/>
    <d v="2023-07-06T19:21:01"/>
    <m/>
    <d v="2023-07-06T00:00:00"/>
    <n v="587"/>
    <n v="18206"/>
    <s v="61817753"/>
    <s v="61817753"/>
    <m/>
    <m/>
    <n v="22767528"/>
    <m/>
    <m/>
    <m/>
    <s v="SOLFIN"/>
    <s v="SOLFIN"/>
    <s v="CCMS"/>
    <n v="21338375"/>
    <n v="6031.43"/>
    <m/>
    <s v="N"/>
    <n v="6"/>
    <d v="2023-07-06T19:21:22"/>
    <s v="Y"/>
    <s v="Expert - Other"/>
    <s v="Public Law Children"/>
    <s v="Expert Disbursement"/>
    <s v="XXX"/>
    <s v="Y"/>
    <n v="76"/>
    <n v="15.2"/>
    <x v="4"/>
    <s v="VALIDATED"/>
    <n v="1"/>
    <s v="01.11.80.308.6300.0000"/>
    <n v="76"/>
    <s v="11"/>
    <s v="6300"/>
    <n v="5770.85"/>
    <n v="76"/>
    <s v="CREDITOR"/>
    <n v="0"/>
    <n v="0"/>
    <n v="0"/>
    <n v="0"/>
    <n v="76"/>
  </r>
  <r>
    <n v="61817753"/>
    <s v="N"/>
    <n v="21338375"/>
    <s v="3000015888310006"/>
    <s v="CIVIL"/>
    <d v="2023-06-27T00:00:00"/>
    <d v="2023-07-06T19:21:01"/>
    <m/>
    <d v="2023-07-06T00:00:00"/>
    <n v="587"/>
    <n v="18206"/>
    <s v="61817753"/>
    <s v="61817753"/>
    <m/>
    <m/>
    <n v="22767528"/>
    <m/>
    <m/>
    <m/>
    <s v="SOLFIN"/>
    <s v="SOLFIN"/>
    <s v="CCMS"/>
    <n v="21338375"/>
    <n v="6031.43"/>
    <m/>
    <s v="N"/>
    <n v="9"/>
    <d v="2023-07-06T19:21:22"/>
    <s v="Y"/>
    <s v="Advocates Meeting"/>
    <s v="Public Law Children"/>
    <s v="Advocacy"/>
    <s v="IP"/>
    <s v="Y"/>
    <n v="140.99"/>
    <n v="28.2"/>
    <x v="4"/>
    <s v="VALIDATED"/>
    <n v="1"/>
    <s v="01.11.80.308.6100.0000"/>
    <n v="140.99"/>
    <s v="11"/>
    <s v="6100"/>
    <n v="5770.85"/>
    <n v="140.99"/>
    <s v="CREDITOR"/>
    <n v="0"/>
    <n v="0"/>
    <n v="0"/>
    <n v="0"/>
    <n v="140.99"/>
  </r>
  <r>
    <n v="60047800"/>
    <s v="N"/>
    <n v="21318476"/>
    <s v="3000014385970014"/>
    <s v="CIVIL"/>
    <d v="2023-06-23T00:00:00"/>
    <d v="2023-07-03T19:01:49"/>
    <m/>
    <d v="2023-07-03T00:00:00"/>
    <n v="587"/>
    <n v="18206"/>
    <s v="60047800"/>
    <s v="60047800"/>
    <m/>
    <m/>
    <n v="22750528"/>
    <m/>
    <m/>
    <m/>
    <s v="SOLFIN"/>
    <s v="SOLFIN"/>
    <s v="CCMS"/>
    <n v="21318476"/>
    <n v="5211.33"/>
    <m/>
    <s v="N"/>
    <n v="4"/>
    <d v="2023-07-03T19:01:57"/>
    <s v="Y"/>
    <s v="DNA - test of sample"/>
    <s v="Public Law Children"/>
    <s v="Expert Disbursement"/>
    <s v="XXX"/>
    <s v="Y"/>
    <n v="160.67"/>
    <n v="32.13"/>
    <x v="3"/>
    <s v="VALIDATED"/>
    <n v="1"/>
    <s v="01.11.80.308.6300.0000"/>
    <n v="160.67"/>
    <s v="11"/>
    <s v="6300"/>
    <n v="5770.85"/>
    <n v="160.67"/>
    <s v="CREDITOR"/>
    <n v="0"/>
    <n v="0"/>
    <n v="0"/>
    <n v="0"/>
    <n v="160.67"/>
  </r>
  <r>
    <n v="61817753"/>
    <s v="N"/>
    <n v="21339902"/>
    <s v="3000015888310002RC"/>
    <s v="CIVIL"/>
    <d v="2023-06-27T00:00:00"/>
    <d v="2023-07-06T19:54:22"/>
    <m/>
    <d v="2023-07-06T00:00:00"/>
    <n v="587"/>
    <n v="18206"/>
    <s v="61817753"/>
    <s v="61817753"/>
    <m/>
    <m/>
    <m/>
    <m/>
    <m/>
    <m/>
    <s v="SOLRECOUP"/>
    <s v="SOLRECOUP"/>
    <s v="POARECOUP"/>
    <n v="21339902"/>
    <n v="-622.2"/>
    <m/>
    <s v="Y"/>
    <n v="2"/>
    <d v="2023-07-06T19:54:23"/>
    <s v="N"/>
    <m/>
    <m/>
    <s v="Expert Disbursement"/>
    <m/>
    <s v="N"/>
    <n v="0"/>
    <n v="-103.7"/>
    <x v="4"/>
    <s v="VALIDATED"/>
    <n v="1"/>
    <s v="01.11.80.308.2013.0000"/>
    <n v="-103.7"/>
    <s v="11"/>
    <s v="2013"/>
    <n v="5770.85"/>
    <n v="-103.7"/>
    <s v="CREDITOR"/>
    <n v="0"/>
    <n v="0"/>
    <n v="-103.7"/>
    <n v="0"/>
    <n v="0"/>
  </r>
  <r>
    <n v="61817753"/>
    <s v="N"/>
    <n v="21339902"/>
    <s v="3000015888310002RC"/>
    <s v="CIVIL"/>
    <d v="2023-06-27T00:00:00"/>
    <d v="2023-07-06T19:54:22"/>
    <m/>
    <d v="2023-07-06T00:00:00"/>
    <n v="587"/>
    <n v="18206"/>
    <s v="61817753"/>
    <s v="61817753"/>
    <m/>
    <m/>
    <m/>
    <m/>
    <m/>
    <m/>
    <s v="SOLRECOUP"/>
    <s v="SOLRECOUP"/>
    <s v="POARECOUP"/>
    <n v="21339902"/>
    <n v="-622.2"/>
    <m/>
    <s v="Y"/>
    <n v="1"/>
    <d v="2023-07-06T19:54:23"/>
    <s v="N"/>
    <m/>
    <m/>
    <s v="Expert Disbursement"/>
    <m/>
    <s v="N"/>
    <n v="-518.5"/>
    <n v="0"/>
    <x v="4"/>
    <s v="VALIDATED"/>
    <n v="1"/>
    <s v="01.11.80.308.2013.0000"/>
    <n v="-518.5"/>
    <s v="11"/>
    <s v="2013"/>
    <n v="5770.85"/>
    <n v="-518.5"/>
    <s v="CREDITOR"/>
    <n v="0"/>
    <n v="0"/>
    <n v="-518.5"/>
    <n v="0"/>
    <n v="0"/>
  </r>
  <r>
    <n v="60295814"/>
    <s v="N"/>
    <n v="21356384"/>
    <s v="3000014595140001RC"/>
    <s v="CIVIL"/>
    <d v="2023-06-26T00:00:00"/>
    <d v="2023-07-10T19:47:44"/>
    <m/>
    <d v="2023-07-10T00:00:00"/>
    <n v="603"/>
    <n v="16774"/>
    <s v="60295814"/>
    <s v="60295814"/>
    <m/>
    <m/>
    <m/>
    <m/>
    <m/>
    <m/>
    <s v="SOLRECOUP"/>
    <s v="SOLRECOUP"/>
    <s v="POARECOUP"/>
    <n v="21356384"/>
    <n v="-2568.7"/>
    <m/>
    <s v="Y"/>
    <n v="1"/>
    <d v="2023-07-10T19:47:44"/>
    <s v="N"/>
    <m/>
    <m/>
    <s v="Profit Cost"/>
    <m/>
    <s v="N"/>
    <n v="-2140.58"/>
    <n v="0"/>
    <x v="2"/>
    <s v="VALIDATED"/>
    <n v="1"/>
    <s v="01.11.80.308.2013.0000"/>
    <n v="-2140.58"/>
    <s v="11"/>
    <s v="2013"/>
    <n v="-5594.58"/>
    <n v="-2140.58"/>
    <s v="DEBTOR"/>
    <n v="0"/>
    <n v="0"/>
    <n v="0"/>
    <n v="0"/>
    <n v="0"/>
  </r>
  <r>
    <n v="60295814"/>
    <s v="N"/>
    <n v="21356384"/>
    <s v="3000014595140001RC"/>
    <s v="CIVIL"/>
    <d v="2023-06-26T00:00:00"/>
    <d v="2023-07-10T19:47:44"/>
    <m/>
    <d v="2023-07-10T00:00:00"/>
    <n v="603"/>
    <n v="16774"/>
    <s v="60295814"/>
    <s v="60295814"/>
    <m/>
    <m/>
    <m/>
    <m/>
    <m/>
    <m/>
    <s v="SOLRECOUP"/>
    <s v="SOLRECOUP"/>
    <s v="POARECOUP"/>
    <n v="21356384"/>
    <n v="-2568.7"/>
    <m/>
    <s v="Y"/>
    <n v="2"/>
    <d v="2023-07-10T19:47:44"/>
    <s v="N"/>
    <m/>
    <m/>
    <s v="Profit Cost"/>
    <m/>
    <s v="N"/>
    <n v="0"/>
    <n v="-428.12"/>
    <x v="2"/>
    <s v="VALIDATED"/>
    <n v="1"/>
    <s v="01.11.80.308.2013.0000"/>
    <n v="-428.12"/>
    <s v="11"/>
    <s v="2013"/>
    <n v="-5594.58"/>
    <n v="-428.12"/>
    <s v="DEBTOR"/>
    <n v="0"/>
    <n v="0"/>
    <n v="0"/>
    <n v="0"/>
    <n v="0"/>
  </r>
  <r>
    <n v="60142183"/>
    <s v="N"/>
    <n v="21366306"/>
    <s v="3000014468120004RC"/>
    <s v="CIVIL"/>
    <d v="2023-06-23T00:00:00"/>
    <d v="2023-07-12T19:45:17"/>
    <m/>
    <d v="2023-07-12T00:00:00"/>
    <n v="603"/>
    <n v="16774"/>
    <s v="60142183"/>
    <s v="60142183"/>
    <m/>
    <m/>
    <m/>
    <m/>
    <m/>
    <m/>
    <s v="SOLRECOUP"/>
    <s v="SOLRECOUP"/>
    <s v="POARECOUP"/>
    <n v="21366306"/>
    <n v="-556.4400000000001"/>
    <m/>
    <s v="Y"/>
    <n v="2"/>
    <d v="2023-07-12T19:45:17"/>
    <s v="N"/>
    <m/>
    <m/>
    <s v="Expert Disbursement"/>
    <m/>
    <s v="N"/>
    <n v="0"/>
    <n v="-92.73999999999999"/>
    <x v="0"/>
    <s v="VALIDATED"/>
    <n v="1"/>
    <s v="01.11.80.308.2013.0000"/>
    <n v="-92.73999999999999"/>
    <s v="11"/>
    <s v="2013"/>
    <n v="-5594.58"/>
    <n v="-92.73999999999999"/>
    <s v="DEBTOR"/>
    <n v="0"/>
    <n v="0"/>
    <n v="0"/>
    <n v="0"/>
    <n v="0"/>
  </r>
  <r>
    <n v="60142183"/>
    <s v="N"/>
    <n v="21366306"/>
    <s v="3000014468120004RC"/>
    <s v="CIVIL"/>
    <d v="2023-06-23T00:00:00"/>
    <d v="2023-07-12T19:45:17"/>
    <m/>
    <d v="2023-07-12T00:00:00"/>
    <n v="603"/>
    <n v="16774"/>
    <s v="60142183"/>
    <s v="60142183"/>
    <m/>
    <m/>
    <m/>
    <m/>
    <m/>
    <m/>
    <s v="SOLRECOUP"/>
    <s v="SOLRECOUP"/>
    <s v="POARECOUP"/>
    <n v="21366306"/>
    <n v="-556.4400000000001"/>
    <m/>
    <s v="Y"/>
    <n v="1"/>
    <d v="2023-07-12T19:45:17"/>
    <s v="N"/>
    <m/>
    <m/>
    <s v="Expert Disbursement"/>
    <m/>
    <s v="N"/>
    <n v="-463.7"/>
    <n v="0"/>
    <x v="0"/>
    <s v="VALIDATED"/>
    <n v="1"/>
    <s v="01.11.80.308.2013.0000"/>
    <n v="-463.7"/>
    <s v="11"/>
    <s v="2013"/>
    <n v="-5594.58"/>
    <n v="-463.7"/>
    <s v="DEBTOR"/>
    <n v="0"/>
    <n v="0"/>
    <n v="0"/>
    <n v="0"/>
    <n v="0"/>
  </r>
  <r>
    <n v="60142183"/>
    <s v="N"/>
    <n v="21366307"/>
    <s v="3000014468120006RC"/>
    <s v="CIVIL"/>
    <d v="2023-06-23T00:00:00"/>
    <d v="2023-07-12T19:45:17"/>
    <m/>
    <d v="2023-07-12T00:00:00"/>
    <n v="603"/>
    <n v="16774"/>
    <s v="60142183"/>
    <s v="60142183"/>
    <m/>
    <m/>
    <m/>
    <m/>
    <m/>
    <m/>
    <s v="SOLRECOUP"/>
    <s v="SOLRECOUP"/>
    <s v="POARECOUP"/>
    <n v="21366307"/>
    <n v="-533.64"/>
    <m/>
    <s v="Y"/>
    <n v="2"/>
    <d v="2023-07-12T19:45:17"/>
    <s v="N"/>
    <m/>
    <m/>
    <s v="Expert Disbursement"/>
    <m/>
    <s v="N"/>
    <n v="0"/>
    <n v="-88.94"/>
    <x v="0"/>
    <s v="VALIDATED"/>
    <n v="1"/>
    <s v="01.11.80.308.2013.0000"/>
    <n v="-88.94"/>
    <s v="11"/>
    <s v="2013"/>
    <n v="-5594.58"/>
    <n v="-88.94"/>
    <s v="DEBTOR"/>
    <n v="0"/>
    <n v="0"/>
    <n v="0"/>
    <n v="0"/>
    <n v="0"/>
  </r>
  <r>
    <n v="60142183"/>
    <s v="N"/>
    <n v="21366307"/>
    <s v="3000014468120006RC"/>
    <s v="CIVIL"/>
    <d v="2023-06-23T00:00:00"/>
    <d v="2023-07-12T19:45:17"/>
    <m/>
    <d v="2023-07-12T00:00:00"/>
    <n v="603"/>
    <n v="16774"/>
    <s v="60142183"/>
    <s v="60142183"/>
    <m/>
    <m/>
    <m/>
    <m/>
    <m/>
    <m/>
    <s v="SOLRECOUP"/>
    <s v="SOLRECOUP"/>
    <s v="POARECOUP"/>
    <n v="21366307"/>
    <n v="-533.64"/>
    <m/>
    <s v="Y"/>
    <n v="1"/>
    <d v="2023-07-12T19:45:17"/>
    <s v="N"/>
    <m/>
    <m/>
    <s v="Expert Disbursement"/>
    <m/>
    <s v="N"/>
    <n v="-444.7"/>
    <n v="0"/>
    <x v="0"/>
    <s v="VALIDATED"/>
    <n v="1"/>
    <s v="01.11.80.308.2013.0000"/>
    <n v="-444.7"/>
    <s v="11"/>
    <s v="2013"/>
    <n v="-5594.58"/>
    <n v="-444.7"/>
    <s v="DEBTOR"/>
    <n v="0"/>
    <n v="0"/>
    <n v="0"/>
    <n v="0"/>
    <n v="0"/>
  </r>
  <r>
    <n v="60142183"/>
    <s v="N"/>
    <n v="21366302"/>
    <s v="3000014468120005RC"/>
    <s v="CIVIL"/>
    <d v="2023-06-23T00:00:00"/>
    <d v="2023-07-12T19:45:17"/>
    <m/>
    <d v="2023-07-12T00:00:00"/>
    <n v="603"/>
    <n v="16774"/>
    <s v="60142183"/>
    <s v="60142183"/>
    <m/>
    <m/>
    <m/>
    <m/>
    <m/>
    <m/>
    <s v="SOLRECOUP"/>
    <s v="SOLRECOUP"/>
    <s v="POARECOUP"/>
    <n v="21366302"/>
    <n v="-167"/>
    <m/>
    <s v="Y"/>
    <n v="2"/>
    <d v="2023-07-12T19:45:17"/>
    <s v="N"/>
    <m/>
    <m/>
    <s v="Non Expert Disbursement"/>
    <m/>
    <s v="N"/>
    <n v="0"/>
    <n v="0"/>
    <x v="0"/>
    <s v="VALIDATED"/>
    <n v="1"/>
    <s v="01.11.80.000.0000.0000"/>
    <n v="0"/>
    <s v="11"/>
    <s v="0000"/>
    <n v="-5594.58"/>
    <n v="0"/>
    <s v="DEBTOR"/>
    <n v="0"/>
    <n v="0"/>
    <n v="0"/>
    <n v="0"/>
    <n v="0"/>
  </r>
  <r>
    <n v="60142183"/>
    <s v="N"/>
    <n v="21366302"/>
    <s v="3000014468120005RC"/>
    <s v="CIVIL"/>
    <d v="2023-06-23T00:00:00"/>
    <d v="2023-07-12T19:45:17"/>
    <m/>
    <d v="2023-07-12T00:00:00"/>
    <n v="603"/>
    <n v="16774"/>
    <s v="60142183"/>
    <s v="60142183"/>
    <m/>
    <m/>
    <m/>
    <m/>
    <m/>
    <m/>
    <s v="SOLRECOUP"/>
    <s v="SOLRECOUP"/>
    <s v="POARECOUP"/>
    <n v="21366302"/>
    <n v="-167"/>
    <m/>
    <s v="Y"/>
    <n v="1"/>
    <d v="2023-07-12T19:45:17"/>
    <s v="N"/>
    <m/>
    <m/>
    <s v="Non Expert Disbursement"/>
    <m/>
    <s v="N"/>
    <n v="-167"/>
    <n v="0"/>
    <x v="0"/>
    <s v="VALIDATED"/>
    <n v="1"/>
    <s v="01.11.80.308.2013.0000"/>
    <n v="-167"/>
    <s v="11"/>
    <s v="2013"/>
    <n v="-5594.58"/>
    <n v="-167"/>
    <s v="DEBTOR"/>
    <n v="0"/>
    <n v="0"/>
    <n v="0"/>
    <n v="0"/>
    <n v="0"/>
  </r>
  <r>
    <n v="60142183"/>
    <s v="N"/>
    <n v="21366303"/>
    <s v="3000014468120001RC"/>
    <s v="CIVIL"/>
    <d v="2023-06-23T00:00:00"/>
    <d v="2023-07-12T19:45:17"/>
    <m/>
    <d v="2023-07-12T00:00:00"/>
    <n v="603"/>
    <n v="16774"/>
    <s v="60142183"/>
    <s v="60142183"/>
    <m/>
    <m/>
    <m/>
    <m/>
    <m/>
    <m/>
    <s v="SOLRECOUP"/>
    <s v="SOLRECOUP"/>
    <s v="POARECOUP"/>
    <n v="21366303"/>
    <n v="-661.8"/>
    <m/>
    <s v="Y"/>
    <n v="2"/>
    <d v="2023-07-12T19:45:17"/>
    <s v="N"/>
    <m/>
    <m/>
    <s v="Expert Disbursement"/>
    <m/>
    <s v="N"/>
    <n v="0"/>
    <n v="-110.3"/>
    <x v="0"/>
    <s v="VALIDATED"/>
    <n v="1"/>
    <s v="01.11.80.308.2013.0000"/>
    <n v="-110.3"/>
    <s v="11"/>
    <s v="2013"/>
    <n v="-5594.58"/>
    <n v="-110.3"/>
    <s v="DEBTOR"/>
    <n v="0"/>
    <n v="0"/>
    <n v="0"/>
    <n v="0"/>
    <n v="0"/>
  </r>
  <r>
    <n v="60142183"/>
    <s v="N"/>
    <n v="21366303"/>
    <s v="3000014468120001RC"/>
    <s v="CIVIL"/>
    <d v="2023-06-23T00:00:00"/>
    <d v="2023-07-12T19:45:17"/>
    <m/>
    <d v="2023-07-12T00:00:00"/>
    <n v="603"/>
    <n v="16774"/>
    <s v="60142183"/>
    <s v="60142183"/>
    <m/>
    <m/>
    <m/>
    <m/>
    <m/>
    <m/>
    <s v="SOLRECOUP"/>
    <s v="SOLRECOUP"/>
    <s v="POARECOUP"/>
    <n v="21366303"/>
    <n v="-661.8"/>
    <m/>
    <s v="Y"/>
    <n v="1"/>
    <d v="2023-07-12T19:45:17"/>
    <s v="N"/>
    <m/>
    <m/>
    <s v="Expert Disbursement"/>
    <m/>
    <s v="N"/>
    <n v="-551.5"/>
    <n v="0"/>
    <x v="0"/>
    <s v="VALIDATED"/>
    <n v="1"/>
    <s v="01.11.80.308.2013.0000"/>
    <n v="-551.5"/>
    <s v="11"/>
    <s v="2013"/>
    <n v="-5594.58"/>
    <n v="-551.5"/>
    <s v="DEBTOR"/>
    <n v="0"/>
    <n v="0"/>
    <n v="0"/>
    <n v="0"/>
    <n v="0"/>
  </r>
  <r>
    <n v="60142183"/>
    <s v="N"/>
    <n v="21366304"/>
    <s v="3000014468120002RC"/>
    <s v="CIVIL"/>
    <d v="2023-06-23T00:00:00"/>
    <d v="2023-07-12T19:45:17"/>
    <m/>
    <d v="2023-07-12T00:00:00"/>
    <n v="603"/>
    <n v="16774"/>
    <s v="60142183"/>
    <s v="60142183"/>
    <m/>
    <m/>
    <m/>
    <m/>
    <m/>
    <m/>
    <s v="SOLRECOUP"/>
    <s v="SOLRECOUP"/>
    <s v="POARECOUP"/>
    <n v="21366304"/>
    <n v="-405"/>
    <m/>
    <s v="Y"/>
    <n v="2"/>
    <d v="2023-07-12T19:45:17"/>
    <s v="N"/>
    <m/>
    <m/>
    <s v="Expert Disbursement"/>
    <m/>
    <s v="N"/>
    <n v="0"/>
    <n v="0"/>
    <x v="0"/>
    <s v="VALIDATED"/>
    <n v="1"/>
    <s v="01.11.80.000.0000.0000"/>
    <n v="0"/>
    <s v="11"/>
    <s v="0000"/>
    <n v="-5594.58"/>
    <n v="0"/>
    <s v="DEBTOR"/>
    <n v="0"/>
    <n v="0"/>
    <n v="0"/>
    <n v="0"/>
    <n v="0"/>
  </r>
  <r>
    <n v="60142183"/>
    <s v="N"/>
    <n v="21366304"/>
    <s v="3000014468120002RC"/>
    <s v="CIVIL"/>
    <d v="2023-06-23T00:00:00"/>
    <d v="2023-07-12T19:45:17"/>
    <m/>
    <d v="2023-07-12T00:00:00"/>
    <n v="603"/>
    <n v="16774"/>
    <s v="60142183"/>
    <s v="60142183"/>
    <m/>
    <m/>
    <m/>
    <m/>
    <m/>
    <m/>
    <s v="SOLRECOUP"/>
    <s v="SOLRECOUP"/>
    <s v="POARECOUP"/>
    <n v="21366304"/>
    <n v="-405"/>
    <m/>
    <s v="Y"/>
    <n v="1"/>
    <d v="2023-07-12T19:45:17"/>
    <s v="N"/>
    <m/>
    <m/>
    <s v="Expert Disbursement"/>
    <m/>
    <s v="N"/>
    <n v="-405"/>
    <n v="0"/>
    <x v="0"/>
    <s v="VALIDATED"/>
    <n v="1"/>
    <s v="01.11.80.308.2013.0000"/>
    <n v="-405"/>
    <s v="11"/>
    <s v="2013"/>
    <n v="-5594.58"/>
    <n v="-405"/>
    <s v="DEBTOR"/>
    <n v="0"/>
    <n v="0"/>
    <n v="0"/>
    <n v="0"/>
    <n v="0"/>
  </r>
  <r>
    <n v="60142183"/>
    <s v="N"/>
    <n v="21366305"/>
    <s v="3000014468120003RC"/>
    <s v="CIVIL"/>
    <d v="2023-06-23T00:00:00"/>
    <d v="2023-07-12T19:45:17"/>
    <m/>
    <d v="2023-07-12T00:00:00"/>
    <n v="603"/>
    <n v="16774"/>
    <s v="60142183"/>
    <s v="60142183"/>
    <m/>
    <m/>
    <m/>
    <m/>
    <m/>
    <m/>
    <s v="SOLRECOUP"/>
    <s v="SOLRECOUP"/>
    <s v="POARECOUP"/>
    <n v="21366305"/>
    <n v="-702"/>
    <m/>
    <s v="Y"/>
    <n v="1"/>
    <d v="2023-07-12T19:45:17"/>
    <s v="N"/>
    <m/>
    <m/>
    <s v="Expert Disbursement"/>
    <m/>
    <s v="N"/>
    <n v="-585"/>
    <n v="0"/>
    <x v="0"/>
    <s v="VALIDATED"/>
    <n v="1"/>
    <s v="01.11.80.308.2013.0000"/>
    <n v="-585"/>
    <s v="11"/>
    <s v="2013"/>
    <n v="-5594.58"/>
    <n v="-585"/>
    <s v="DEBTOR"/>
    <n v="0"/>
    <n v="0"/>
    <n v="0"/>
    <n v="0"/>
    <n v="0"/>
  </r>
  <r>
    <n v="60142183"/>
    <s v="N"/>
    <n v="21366305"/>
    <s v="3000014468120003RC"/>
    <s v="CIVIL"/>
    <d v="2023-06-23T00:00:00"/>
    <d v="2023-07-12T19:45:17"/>
    <m/>
    <d v="2023-07-12T00:00:00"/>
    <n v="603"/>
    <n v="16774"/>
    <s v="60142183"/>
    <s v="60142183"/>
    <m/>
    <m/>
    <m/>
    <m/>
    <m/>
    <m/>
    <s v="SOLRECOUP"/>
    <s v="SOLRECOUP"/>
    <s v="POARECOUP"/>
    <n v="21366305"/>
    <n v="-702"/>
    <m/>
    <s v="Y"/>
    <n v="2"/>
    <d v="2023-07-12T19:45:17"/>
    <s v="N"/>
    <m/>
    <m/>
    <s v="Expert Disbursement"/>
    <m/>
    <s v="N"/>
    <n v="0"/>
    <n v="-117"/>
    <x v="0"/>
    <s v="VALIDATED"/>
    <n v="1"/>
    <s v="01.11.80.308.2013.0000"/>
    <n v="-117"/>
    <s v="11"/>
    <s v="2013"/>
    <n v="-5594.58"/>
    <n v="-117"/>
    <s v="DEBTOR"/>
    <n v="0"/>
    <n v="0"/>
    <n v="0"/>
    <n v="0"/>
    <n v="0"/>
  </r>
  <r>
    <n v="61748302"/>
    <s v="N"/>
    <n v="21395409"/>
    <s v="3000015824270002"/>
    <s v="CIVIL"/>
    <d v="2023-06-28T00:00:00"/>
    <d v="2023-07-19T19:02:01"/>
    <m/>
    <d v="2023-07-19T00:00:00"/>
    <n v="605"/>
    <n v="14792"/>
    <s v="61748302"/>
    <s v="61748302"/>
    <m/>
    <m/>
    <n v="22784490"/>
    <m/>
    <m/>
    <m/>
    <s v="SOLFIN"/>
    <s v="SOLFIN"/>
    <s v="CCMS"/>
    <n v="21395409"/>
    <n v="0"/>
    <m/>
    <s v="N"/>
    <n v="1"/>
    <d v="2023-07-19T19:02:26"/>
    <s v="N"/>
    <s v="NIL BILL"/>
    <s v="Private Law Children"/>
    <s v="Profit Cost"/>
    <s v="WSP"/>
    <s v="N"/>
    <n v="0"/>
    <n v="0"/>
    <x v="5"/>
    <s v="VALIDATED"/>
    <n v="1"/>
    <s v="01.11.80.307.6100.0000"/>
    <n v="0"/>
    <s v="11"/>
    <s v="6100"/>
    <n v="2217.46"/>
    <n v="0"/>
    <s v="CREDITOR"/>
    <n v="0"/>
    <n v="0"/>
    <n v="0"/>
    <n v="0"/>
    <n v="0"/>
  </r>
  <r>
    <n v="60755793"/>
    <s v="N"/>
    <n v="21319523"/>
    <s v="3000014996440006"/>
    <s v="CIVIL"/>
    <d v="2023-06-28T00:00:00"/>
    <d v="2023-07-03T19:04:24"/>
    <m/>
    <d v="2023-07-03T00:00:00"/>
    <n v="605"/>
    <n v="14792"/>
    <s v="60755793"/>
    <s v="60755793"/>
    <m/>
    <m/>
    <n v="22778046"/>
    <m/>
    <m/>
    <m/>
    <s v="SOLPOA"/>
    <s v="SOLPOA"/>
    <s v="CCMS"/>
    <n v="21319523"/>
    <n v="2771.59"/>
    <m/>
    <s v="N"/>
    <n v="1"/>
    <d v="2023-07-03T19:04:26"/>
    <s v="N"/>
    <s v="Level 3 Fixed Fee"/>
    <s v="Private Law Children"/>
    <s v="Profit Cost"/>
    <s v="Louise Kelly"/>
    <s v="N"/>
    <n v="2309.66"/>
    <n v="461.93"/>
    <x v="3"/>
    <s v="VALIDATED"/>
    <n v="1"/>
    <s v="01.11.80.302.2012.0000"/>
    <n v="2309.66"/>
    <s v="11"/>
    <s v="2012"/>
    <n v="2217.46"/>
    <n v="2309.66"/>
    <s v="CREDITOR"/>
    <n v="2309.66"/>
    <n v="577.415"/>
    <n v="0"/>
    <n v="0"/>
    <n v="0"/>
  </r>
  <r>
    <n v="62393537"/>
    <s v="N"/>
    <n v="21322540"/>
    <s v="3000016247000001"/>
    <s v="CIVIL"/>
    <d v="2023-06-29T00:00:00"/>
    <d v="2023-07-03T19:05:36"/>
    <m/>
    <d v="2023-07-03T00:00:00"/>
    <n v="605"/>
    <n v="14792"/>
    <s v="62393537"/>
    <s v="62393537"/>
    <m/>
    <m/>
    <n v="22791352"/>
    <m/>
    <m/>
    <m/>
    <s v="SOLPOA"/>
    <s v="SOLPOA"/>
    <s v="CCMS"/>
    <n v="21322540"/>
    <n v="139.8"/>
    <m/>
    <s v="N"/>
    <n v="1"/>
    <d v="2023-07-03T19:05:38"/>
    <s v="N"/>
    <s v="Non Expert Disbursement - Domestic "/>
    <s v="Non Expert Disbursement - Dome"/>
    <s v="Non Expert Disbursement"/>
    <s v="Amara McCalla"/>
    <s v="N"/>
    <n v="139.8"/>
    <n v="0"/>
    <x v="3"/>
    <s v="VALIDATED"/>
    <n v="1"/>
    <s v="01.11.80.302.2012.0000"/>
    <n v="139.8"/>
    <s v="11"/>
    <s v="2012"/>
    <n v="2217.46"/>
    <n v="139.8"/>
    <s v="CREDITOR"/>
    <n v="139.8"/>
    <n v="0"/>
    <n v="0"/>
    <n v="0"/>
    <n v="0"/>
  </r>
  <r>
    <n v="61748302"/>
    <s v="N"/>
    <n v="21399699"/>
    <s v="3000015824270001RC"/>
    <s v="CIVIL"/>
    <d v="2023-06-28T00:00:00"/>
    <d v="2023-07-19T19:44:15"/>
    <m/>
    <d v="2023-07-19T00:00:00"/>
    <n v="605"/>
    <n v="14792"/>
    <s v="61748302"/>
    <s v="61748302"/>
    <m/>
    <m/>
    <m/>
    <m/>
    <m/>
    <m/>
    <s v="SOLRECOUP"/>
    <s v="SOLRECOUP"/>
    <s v="POARECOUP"/>
    <n v="21399699"/>
    <n v="-232"/>
    <m/>
    <s v="Y"/>
    <n v="2"/>
    <d v="2023-07-19T19:44:16"/>
    <s v="N"/>
    <m/>
    <m/>
    <s v="Non Expert Disbursement"/>
    <m/>
    <s v="N"/>
    <n v="0"/>
    <n v="0"/>
    <x v="5"/>
    <s v="VALIDATED"/>
    <n v="1"/>
    <s v="01.11.80.000.0000.0000"/>
    <n v="0"/>
    <s v="11"/>
    <s v="0000"/>
    <n v="2217.46"/>
    <n v="0"/>
    <s v="CREDITOR"/>
    <n v="0"/>
    <n v="0"/>
    <n v="0"/>
    <n v="0"/>
    <n v="0"/>
  </r>
  <r>
    <n v="61748302"/>
    <s v="N"/>
    <n v="21399699"/>
    <s v="3000015824270001RC"/>
    <s v="CIVIL"/>
    <d v="2023-06-28T00:00:00"/>
    <d v="2023-07-19T19:44:15"/>
    <m/>
    <d v="2023-07-19T00:00:00"/>
    <n v="605"/>
    <n v="14792"/>
    <s v="61748302"/>
    <s v="61748302"/>
    <m/>
    <m/>
    <m/>
    <m/>
    <m/>
    <m/>
    <s v="SOLRECOUP"/>
    <s v="SOLRECOUP"/>
    <s v="POARECOUP"/>
    <n v="21399699"/>
    <n v="-232"/>
    <m/>
    <s v="Y"/>
    <n v="1"/>
    <d v="2023-07-19T19:44:16"/>
    <s v="N"/>
    <m/>
    <m/>
    <s v="Non Expert Disbursement"/>
    <m/>
    <s v="N"/>
    <n v="-232"/>
    <n v="0"/>
    <x v="5"/>
    <s v="VALIDATED"/>
    <n v="1"/>
    <s v="01.11.80.307.2013.0000"/>
    <n v="-232"/>
    <s v="11"/>
    <s v="2013"/>
    <n v="2217.46"/>
    <n v="-232"/>
    <s v="CREDITOR"/>
    <n v="0"/>
    <n v="0"/>
    <n v="-232"/>
    <n v="0"/>
    <n v="0"/>
  </r>
  <r>
    <n v="61167384"/>
    <s v="N"/>
    <n v="21338421"/>
    <s v="3000015348820004"/>
    <s v="CIVIL"/>
    <d v="2023-06-19T00:00:00"/>
    <d v="2023-07-06T19:21:01"/>
    <m/>
    <d v="2023-07-06T00:00:00"/>
    <n v="622"/>
    <n v="16862"/>
    <s v="61167384"/>
    <s v="61167384"/>
    <m/>
    <m/>
    <n v="22717324"/>
    <m/>
    <m/>
    <m/>
    <s v="SOLFIN"/>
    <s v="SOLFIN"/>
    <s v="CCMS"/>
    <n v="21338421"/>
    <n v="5675.67"/>
    <m/>
    <s v="N"/>
    <n v="1"/>
    <d v="2023-07-06T19:21:24"/>
    <s v="Y"/>
    <s v="Interim Hearing Court Bundle/Advoca"/>
    <s v="Public Law Children"/>
    <s v="Advocacy"/>
    <s v="Anne Goodenough"/>
    <s v="Y"/>
    <n v="59.4"/>
    <n v="11.88"/>
    <x v="4"/>
    <s v="VALIDATED"/>
    <n v="1"/>
    <s v="01.11.80.308.6100.0000"/>
    <n v="59.4"/>
    <s v="11"/>
    <s v="6100"/>
    <n v="2147.41"/>
    <n v="59.4"/>
    <s v="CREDITOR"/>
    <n v="0"/>
    <n v="0"/>
    <n v="0"/>
    <n v="0"/>
    <n v="59.4"/>
  </r>
  <r>
    <n v="61167384"/>
    <s v="N"/>
    <n v="21338421"/>
    <s v="3000015348820004"/>
    <s v="CIVIL"/>
    <d v="2023-06-19T00:00:00"/>
    <d v="2023-07-06T19:21:01"/>
    <m/>
    <d v="2023-07-06T00:00:00"/>
    <n v="622"/>
    <n v="16862"/>
    <s v="61167384"/>
    <s v="61167384"/>
    <m/>
    <m/>
    <n v="22717324"/>
    <m/>
    <m/>
    <m/>
    <s v="SOLFIN"/>
    <s v="SOLFIN"/>
    <s v="CCMS"/>
    <n v="21338421"/>
    <n v="5675.67"/>
    <m/>
    <s v="N"/>
    <n v="2"/>
    <d v="2023-07-06T19:21:24"/>
    <s v="Y"/>
    <s v="Solicitor Travel Expenses"/>
    <s v="Public Law Children"/>
    <s v="Non Expert Disbursement"/>
    <s v="Anne Goodenough"/>
    <s v="Y"/>
    <n v="2.83"/>
    <n v="0.57"/>
    <x v="4"/>
    <s v="VALIDATED"/>
    <n v="1"/>
    <s v="01.11.80.308.6300.0000"/>
    <n v="2.83"/>
    <s v="11"/>
    <s v="6300"/>
    <n v="2147.41"/>
    <n v="2.83"/>
    <s v="CREDITOR"/>
    <n v="0"/>
    <n v="0"/>
    <n v="0"/>
    <n v="0"/>
    <n v="2.83"/>
  </r>
  <r>
    <n v="62333723"/>
    <s v="N"/>
    <n v="21319389"/>
    <s v="3000016317700001"/>
    <s v="CIVIL"/>
    <d v="2023-06-27T00:00:00"/>
    <d v="2023-07-03T19:04:24"/>
    <m/>
    <d v="2023-07-03T00:00:00"/>
    <n v="622"/>
    <n v="16862"/>
    <s v="62333723"/>
    <s v="62333723"/>
    <m/>
    <m/>
    <n v="22769650"/>
    <m/>
    <m/>
    <m/>
    <s v="SOLPOA"/>
    <s v="SOLPOA"/>
    <s v="CCMS"/>
    <n v="21319389"/>
    <n v="220.8"/>
    <m/>
    <s v="N"/>
    <n v="1"/>
    <d v="2023-07-03T19:04:25"/>
    <s v="N"/>
    <s v="Expert Cost"/>
    <s v="Expert Cost"/>
    <s v="Expert Disbursement"/>
    <s v="Kelly Davy"/>
    <s v="N"/>
    <n v="184"/>
    <n v="36.8"/>
    <x v="3"/>
    <s v="VALIDATED"/>
    <n v="1"/>
    <s v="01.11.80.308.2012.0000"/>
    <n v="184"/>
    <s v="11"/>
    <s v="2012"/>
    <n v="2147.41"/>
    <n v="184"/>
    <s v="CREDITOR"/>
    <n v="184"/>
    <n v="0"/>
    <n v="0"/>
    <n v="0"/>
    <n v="0"/>
  </r>
  <r>
    <n v="61167384"/>
    <s v="N"/>
    <n v="21338421"/>
    <s v="3000015348820004"/>
    <s v="CIVIL"/>
    <d v="2023-06-19T00:00:00"/>
    <d v="2023-07-06T19:21:01"/>
    <m/>
    <d v="2023-07-06T00:00:00"/>
    <n v="622"/>
    <n v="16862"/>
    <s v="61167384"/>
    <s v="61167384"/>
    <m/>
    <m/>
    <n v="22717324"/>
    <m/>
    <m/>
    <m/>
    <s v="SOLFIN"/>
    <s v="SOLFIN"/>
    <s v="CCMS"/>
    <n v="21338421"/>
    <n v="5675.67"/>
    <m/>
    <s v="N"/>
    <n v="9"/>
    <d v="2023-07-06T19:21:24"/>
    <s v="Y"/>
    <s v="Solicitors Fixed Fee"/>
    <s v="Public Law Children"/>
    <s v="Profit Cost"/>
    <s v="Anne Goodenough"/>
    <s v="Y"/>
    <n v="2616"/>
    <n v="523.2"/>
    <x v="4"/>
    <s v="VALIDATED"/>
    <n v="1"/>
    <s v="01.11.80.308.6100.0000"/>
    <n v="2616"/>
    <s v="11"/>
    <s v="6100"/>
    <n v="2147.41"/>
    <n v="2616"/>
    <s v="CREDITOR"/>
    <n v="0"/>
    <n v="0"/>
    <n v="0"/>
    <n v="0"/>
    <n v="2616"/>
  </r>
  <r>
    <n v="61167384"/>
    <s v="N"/>
    <n v="21338421"/>
    <s v="3000015348820004"/>
    <s v="CIVIL"/>
    <d v="2023-06-19T00:00:00"/>
    <d v="2023-07-06T19:21:01"/>
    <m/>
    <d v="2023-07-06T00:00:00"/>
    <n v="622"/>
    <n v="16862"/>
    <s v="61167384"/>
    <s v="61167384"/>
    <m/>
    <m/>
    <n v="22717324"/>
    <m/>
    <m/>
    <m/>
    <s v="SOLFIN"/>
    <s v="SOLFIN"/>
    <s v="CCMS"/>
    <n v="21338421"/>
    <n v="5675.67"/>
    <m/>
    <s v="N"/>
    <n v="8"/>
    <d v="2023-07-06T19:21:24"/>
    <s v="Y"/>
    <s v="Hearing Unit 2.31 - 5.00 Hours"/>
    <s v="Public Law Children"/>
    <s v="Advocacy"/>
    <s v="Abbie Winters"/>
    <s v="Y"/>
    <n v="476.92"/>
    <n v="95.38"/>
    <x v="4"/>
    <s v="VALIDATED"/>
    <n v="1"/>
    <s v="01.11.80.308.6100.0000"/>
    <n v="476.92"/>
    <s v="11"/>
    <s v="6100"/>
    <n v="2147.41"/>
    <n v="476.92"/>
    <s v="CREDITOR"/>
    <n v="0"/>
    <n v="0"/>
    <n v="0"/>
    <n v="0"/>
    <n v="476.92"/>
  </r>
  <r>
    <n v="61167384"/>
    <s v="N"/>
    <n v="21338421"/>
    <s v="3000015348820004"/>
    <s v="CIVIL"/>
    <d v="2023-06-19T00:00:00"/>
    <d v="2023-07-06T19:21:01"/>
    <m/>
    <d v="2023-07-06T00:00:00"/>
    <n v="622"/>
    <n v="16862"/>
    <s v="61167384"/>
    <s v="61167384"/>
    <m/>
    <m/>
    <n v="22717324"/>
    <m/>
    <m/>
    <m/>
    <s v="SOLFIN"/>
    <s v="SOLFIN"/>
    <s v="CCMS"/>
    <n v="21338421"/>
    <n v="5675.67"/>
    <m/>
    <s v="N"/>
    <n v="4"/>
    <d v="2023-07-06T19:21:24"/>
    <s v="Y"/>
    <s v="Hearing Unit 2.31 - 5.00 Hours"/>
    <s v="Public Law Children"/>
    <s v="Advocacy"/>
    <s v="Anne Goodenough"/>
    <s v="Y"/>
    <n v="476.92"/>
    <n v="95.38"/>
    <x v="4"/>
    <s v="VALIDATED"/>
    <n v="1"/>
    <s v="01.11.80.308.6100.0000"/>
    <n v="476.92"/>
    <s v="11"/>
    <s v="6100"/>
    <n v="2147.41"/>
    <n v="476.92"/>
    <s v="CREDITOR"/>
    <n v="0"/>
    <n v="0"/>
    <n v="0"/>
    <n v="0"/>
    <n v="476.92"/>
  </r>
  <r>
    <n v="61167384"/>
    <s v="N"/>
    <n v="21338421"/>
    <s v="3000015348820004"/>
    <s v="CIVIL"/>
    <d v="2023-06-19T00:00:00"/>
    <d v="2023-07-06T19:21:01"/>
    <m/>
    <d v="2023-07-06T00:00:00"/>
    <n v="622"/>
    <n v="16862"/>
    <s v="61167384"/>
    <s v="61167384"/>
    <m/>
    <m/>
    <n v="22717324"/>
    <m/>
    <m/>
    <m/>
    <s v="SOLFIN"/>
    <s v="SOLFIN"/>
    <s v="CCMS"/>
    <n v="21338421"/>
    <n v="5675.67"/>
    <m/>
    <s v="N"/>
    <n v="7"/>
    <d v="2023-07-06T19:21:24"/>
    <s v="Y"/>
    <s v="Hearing Unit 2.31 - 5.00 Hours"/>
    <s v="Public Law Children"/>
    <s v="Advocacy"/>
    <s v="Anne Goodenough"/>
    <s v="Y"/>
    <n v="476.92"/>
    <n v="95.38"/>
    <x v="4"/>
    <s v="VALIDATED"/>
    <n v="1"/>
    <s v="01.11.80.308.6100.0000"/>
    <n v="476.92"/>
    <s v="11"/>
    <s v="6100"/>
    <n v="2147.41"/>
    <n v="476.92"/>
    <s v="CREDITOR"/>
    <n v="0"/>
    <n v="0"/>
    <n v="0"/>
    <n v="0"/>
    <n v="476.92"/>
  </r>
  <r>
    <n v="61167384"/>
    <s v="N"/>
    <n v="21338421"/>
    <s v="3000015348820004"/>
    <s v="CIVIL"/>
    <d v="2023-06-19T00:00:00"/>
    <d v="2023-07-06T19:21:01"/>
    <m/>
    <d v="2023-07-06T00:00:00"/>
    <n v="622"/>
    <n v="16862"/>
    <s v="61167384"/>
    <s v="61167384"/>
    <m/>
    <m/>
    <n v="22717324"/>
    <m/>
    <m/>
    <m/>
    <s v="SOLFIN"/>
    <s v="SOLFIN"/>
    <s v="CCMS"/>
    <n v="21338421"/>
    <n v="5675.67"/>
    <m/>
    <s v="N"/>
    <n v="6"/>
    <d v="2023-07-06T19:21:24"/>
    <s v="Y"/>
    <s v="Hearing Unit 2.31 - 5.00 Hours"/>
    <s v="Public Law Children"/>
    <s v="Advocacy"/>
    <s v="Anne Goodenough"/>
    <s v="Y"/>
    <n v="476.92"/>
    <n v="95.38"/>
    <x v="4"/>
    <s v="VALIDATED"/>
    <n v="1"/>
    <s v="01.11.80.308.6100.0000"/>
    <n v="476.92"/>
    <s v="11"/>
    <s v="6100"/>
    <n v="2147.41"/>
    <n v="476.92"/>
    <s v="CREDITOR"/>
    <n v="0"/>
    <n v="0"/>
    <n v="0"/>
    <n v="0"/>
    <n v="476.92"/>
  </r>
  <r>
    <n v="61167384"/>
    <s v="N"/>
    <n v="21338421"/>
    <s v="3000015348820004"/>
    <s v="CIVIL"/>
    <d v="2023-06-19T00:00:00"/>
    <d v="2023-07-06T19:21:01"/>
    <m/>
    <d v="2023-07-06T00:00:00"/>
    <n v="622"/>
    <n v="16862"/>
    <s v="61167384"/>
    <s v="61167384"/>
    <m/>
    <m/>
    <n v="22717324"/>
    <m/>
    <m/>
    <m/>
    <s v="SOLFIN"/>
    <s v="SOLFIN"/>
    <s v="CCMS"/>
    <n v="21338421"/>
    <n v="5675.67"/>
    <m/>
    <s v="N"/>
    <n v="3"/>
    <d v="2023-07-06T19:21:24"/>
    <s v="Y"/>
    <s v="Solicitor Travel Expenses"/>
    <s v="Public Law Children"/>
    <s v="Non Expert Disbursement"/>
    <s v="Anne Goodenough"/>
    <s v="Y"/>
    <n v="2.83"/>
    <n v="0.57"/>
    <x v="4"/>
    <s v="VALIDATED"/>
    <n v="1"/>
    <s v="01.11.80.308.6300.0000"/>
    <n v="2.83"/>
    <s v="11"/>
    <s v="6300"/>
    <n v="2147.41"/>
    <n v="2.83"/>
    <s v="CREDITOR"/>
    <n v="0"/>
    <n v="0"/>
    <n v="0"/>
    <n v="0"/>
    <n v="2.83"/>
  </r>
  <r>
    <n v="61167384"/>
    <s v="N"/>
    <n v="21338421"/>
    <s v="3000015348820004"/>
    <s v="CIVIL"/>
    <d v="2023-06-19T00:00:00"/>
    <d v="2023-07-06T19:21:01"/>
    <m/>
    <d v="2023-07-06T00:00:00"/>
    <n v="622"/>
    <n v="16862"/>
    <s v="61167384"/>
    <s v="61167384"/>
    <m/>
    <m/>
    <n v="22717324"/>
    <m/>
    <m/>
    <m/>
    <s v="SOLFIN"/>
    <s v="SOLFIN"/>
    <s v="CCMS"/>
    <n v="21338421"/>
    <n v="5675.67"/>
    <m/>
    <s v="N"/>
    <n v="5"/>
    <d v="2023-07-06T19:21:24"/>
    <s v="Y"/>
    <s v="Advocates Meeting"/>
    <s v="Public Law Children"/>
    <s v="Advocacy"/>
    <s v="Anne Goodenough"/>
    <s v="Y"/>
    <n v="140.99"/>
    <n v="28.2"/>
    <x v="4"/>
    <s v="VALIDATED"/>
    <n v="1"/>
    <s v="01.11.80.308.6100.0000"/>
    <n v="140.99"/>
    <s v="11"/>
    <s v="6100"/>
    <n v="2147.41"/>
    <n v="140.99"/>
    <s v="CREDITOR"/>
    <n v="0"/>
    <n v="0"/>
    <n v="0"/>
    <n v="0"/>
    <n v="140.99"/>
  </r>
  <r>
    <n v="61167384"/>
    <s v="N"/>
    <n v="21339907"/>
    <s v="3000015348820003RC"/>
    <s v="CIVIL"/>
    <d v="2023-06-19T00:00:00"/>
    <d v="2023-07-06T19:54:22"/>
    <m/>
    <d v="2023-07-06T00:00:00"/>
    <n v="622"/>
    <n v="16862"/>
    <s v="61167384"/>
    <s v="61167384"/>
    <m/>
    <m/>
    <m/>
    <m/>
    <m/>
    <m/>
    <s v="SOLRECOUP"/>
    <s v="SOLRECOUP"/>
    <s v="POARECOUP"/>
    <n v="21339907"/>
    <n v="-1415.14"/>
    <m/>
    <s v="Y"/>
    <n v="1"/>
    <d v="2023-07-06T19:54:23"/>
    <s v="N"/>
    <m/>
    <m/>
    <s v="Profit Cost"/>
    <m/>
    <s v="N"/>
    <n v="-1179.28"/>
    <n v="0"/>
    <x v="4"/>
    <s v="VALIDATED"/>
    <n v="1"/>
    <s v="01.11.80.308.2013.0000"/>
    <n v="-1179.28"/>
    <s v="11"/>
    <s v="2013"/>
    <n v="2147.41"/>
    <n v="-1179.28"/>
    <s v="CREDITOR"/>
    <n v="0"/>
    <n v="0"/>
    <n v="-1179.28"/>
    <n v="-294.82"/>
    <n v="0"/>
  </r>
  <r>
    <n v="61167384"/>
    <s v="N"/>
    <n v="21339907"/>
    <s v="3000015348820003RC"/>
    <s v="CIVIL"/>
    <d v="2023-06-19T00:00:00"/>
    <d v="2023-07-06T19:54:22"/>
    <m/>
    <d v="2023-07-06T00:00:00"/>
    <n v="622"/>
    <n v="16862"/>
    <s v="61167384"/>
    <s v="61167384"/>
    <m/>
    <m/>
    <m/>
    <m/>
    <m/>
    <m/>
    <s v="SOLRECOUP"/>
    <s v="SOLRECOUP"/>
    <s v="POARECOUP"/>
    <n v="21339907"/>
    <n v="-1415.14"/>
    <m/>
    <s v="Y"/>
    <n v="2"/>
    <d v="2023-07-06T19:54:23"/>
    <s v="N"/>
    <m/>
    <m/>
    <s v="Profit Cost"/>
    <m/>
    <s v="N"/>
    <n v="0"/>
    <n v="-235.86"/>
    <x v="4"/>
    <s v="VALIDATED"/>
    <n v="1"/>
    <s v="01.11.80.308.2013.0000"/>
    <n v="-235.86"/>
    <s v="11"/>
    <s v="2013"/>
    <n v="2147.41"/>
    <n v="-235.86"/>
    <s v="CREDITOR"/>
    <n v="0"/>
    <n v="0"/>
    <n v="-235.86"/>
    <n v="-58.965"/>
    <n v="0"/>
  </r>
  <r>
    <n v="61167384"/>
    <s v="N"/>
    <n v="21339908"/>
    <s v="3000015348820001RC"/>
    <s v="CIVIL"/>
    <d v="2023-06-19T00:00:00"/>
    <d v="2023-07-06T19:54:22"/>
    <m/>
    <d v="2023-07-06T00:00:00"/>
    <n v="622"/>
    <n v="16862"/>
    <s v="61167384"/>
    <s v="61167384"/>
    <m/>
    <m/>
    <m/>
    <m/>
    <m/>
    <m/>
    <s v="SOLRECOUP"/>
    <s v="SOLRECOUP"/>
    <s v="POARECOUP"/>
    <n v="21339908"/>
    <n v="-1351.18"/>
    <m/>
    <s v="Y"/>
    <n v="1"/>
    <d v="2023-07-06T19:54:23"/>
    <s v="N"/>
    <m/>
    <m/>
    <s v="Profit Cost"/>
    <m/>
    <s v="N"/>
    <n v="-1125.98"/>
    <n v="0"/>
    <x v="4"/>
    <s v="VALIDATED"/>
    <n v="1"/>
    <s v="01.11.80.308.2013.0000"/>
    <n v="-1125.98"/>
    <s v="11"/>
    <s v="2013"/>
    <n v="2147.41"/>
    <n v="-1125.98"/>
    <s v="CREDITOR"/>
    <n v="0"/>
    <n v="0"/>
    <n v="-1125.98"/>
    <n v="-281.495"/>
    <n v="0"/>
  </r>
  <r>
    <n v="61167384"/>
    <s v="N"/>
    <n v="21339908"/>
    <s v="3000015348820001RC"/>
    <s v="CIVIL"/>
    <d v="2023-06-19T00:00:00"/>
    <d v="2023-07-06T19:54:22"/>
    <m/>
    <d v="2023-07-06T00:00:00"/>
    <n v="622"/>
    <n v="16862"/>
    <s v="61167384"/>
    <s v="61167384"/>
    <m/>
    <m/>
    <m/>
    <m/>
    <m/>
    <m/>
    <s v="SOLRECOUP"/>
    <s v="SOLRECOUP"/>
    <s v="POARECOUP"/>
    <n v="21339908"/>
    <n v="-1351.18"/>
    <m/>
    <s v="Y"/>
    <n v="2"/>
    <d v="2023-07-06T19:54:23"/>
    <s v="N"/>
    <m/>
    <m/>
    <s v="Profit Cost"/>
    <m/>
    <s v="N"/>
    <n v="0"/>
    <n v="-225.2"/>
    <x v="4"/>
    <s v="VALIDATED"/>
    <n v="1"/>
    <s v="01.11.80.308.2013.0000"/>
    <n v="-225.2"/>
    <s v="11"/>
    <s v="2013"/>
    <n v="2147.41"/>
    <n v="-225.2"/>
    <s v="CREDITOR"/>
    <n v="0"/>
    <n v="0"/>
    <n v="-225.2"/>
    <n v="-56.3"/>
    <n v="0"/>
  </r>
  <r>
    <n v="61914019"/>
    <s v="N"/>
    <n v="21323944"/>
    <s v="3000015969730003"/>
    <s v="CIVIL"/>
    <d v="2023-06-30T00:00:00"/>
    <d v="2023-07-03T19:05:56"/>
    <m/>
    <d v="2023-07-03T00:00:00"/>
    <n v="623"/>
    <n v="16874"/>
    <s v="61914019"/>
    <s v="61914019"/>
    <m/>
    <m/>
    <n v="22797800"/>
    <m/>
    <m/>
    <m/>
    <s v="SOLPOA"/>
    <s v="SOLPOA"/>
    <s v="CCMS"/>
    <n v="21323944"/>
    <n v="280.8"/>
    <m/>
    <s v="N"/>
    <n v="1"/>
    <d v="2023-07-03T19:05:59"/>
    <s v="N"/>
    <s v="Expert Cost"/>
    <s v="Expert Cost"/>
    <s v="Expert Disbursement"/>
    <s v="Kate Hamilton"/>
    <s v="N"/>
    <n v="234"/>
    <n v="46.8"/>
    <x v="3"/>
    <s v="VALIDATED"/>
    <n v="1"/>
    <s v="01.11.80.308.2012.0000"/>
    <n v="234"/>
    <s v="11"/>
    <s v="2012"/>
    <n v="558"/>
    <n v="234"/>
    <s v="CREDITOR"/>
    <n v="234"/>
    <n v="0"/>
    <n v="0"/>
    <n v="0"/>
    <n v="0"/>
  </r>
  <r>
    <n v="61912226"/>
    <s v="N"/>
    <n v="21323518"/>
    <s v="3000015968130006"/>
    <s v="CIVIL"/>
    <d v="2023-06-30T00:00:00"/>
    <d v="2023-07-03T19:05:56"/>
    <m/>
    <d v="2023-07-03T00:00:00"/>
    <n v="623"/>
    <n v="16874"/>
    <s v="61912226"/>
    <s v="61912226"/>
    <m/>
    <m/>
    <n v="22798036"/>
    <m/>
    <m/>
    <m/>
    <s v="SOLPOA"/>
    <s v="SOLPOA"/>
    <s v="CCMS"/>
    <n v="21323518"/>
    <n v="388.8"/>
    <m/>
    <s v="N"/>
    <n v="1"/>
    <d v="2023-07-03T19:05:57"/>
    <s v="N"/>
    <s v="Expert Cost"/>
    <s v="Expert Cost"/>
    <s v="Expert Disbursement"/>
    <s v="Karen Furness"/>
    <s v="N"/>
    <n v="324"/>
    <n v="64.8"/>
    <x v="3"/>
    <s v="VALIDATED"/>
    <n v="1"/>
    <s v="01.11.80.308.2012.0000"/>
    <n v="324"/>
    <s v="11"/>
    <s v="2012"/>
    <n v="558"/>
    <n v="324"/>
    <s v="CREDITOR"/>
    <n v="324"/>
    <n v="0"/>
    <n v="0"/>
    <n v="0"/>
    <n v="0"/>
  </r>
  <r>
    <n v="60032783"/>
    <s v="N"/>
    <n v="21346272"/>
    <s v="3000014372670001RC"/>
    <s v="CIVIL"/>
    <d v="2023-06-28T00:00:00"/>
    <d v="2023-07-07T19:34:21"/>
    <m/>
    <d v="2023-07-07T00:00:00"/>
    <n v="627"/>
    <n v="16896"/>
    <s v="60032783"/>
    <s v="60032783"/>
    <m/>
    <m/>
    <m/>
    <m/>
    <m/>
    <m/>
    <s v="SOLRECOUP"/>
    <s v="SOLRECOUP"/>
    <s v="POARECOUP"/>
    <n v="21346272"/>
    <n v="-53"/>
    <m/>
    <s v="Y"/>
    <n v="2"/>
    <d v="2023-07-07T19:34:22"/>
    <s v="N"/>
    <m/>
    <m/>
    <s v="Non Expert Disbursement"/>
    <m/>
    <s v="N"/>
    <n v="0"/>
    <n v="0"/>
    <x v="9"/>
    <s v="VALIDATED"/>
    <n v="1"/>
    <s v="01.11.80.000.0000.0000"/>
    <n v="0"/>
    <s v="11"/>
    <s v="0000"/>
    <n v="10342.84"/>
    <n v="0"/>
    <s v="CREDITOR"/>
    <n v="0"/>
    <n v="0"/>
    <n v="0"/>
    <n v="0"/>
    <n v="0"/>
  </r>
  <r>
    <n v="60032783"/>
    <s v="N"/>
    <n v="21346273"/>
    <s v="3000014372670004RC"/>
    <s v="CIVIL"/>
    <d v="2023-06-28T00:00:00"/>
    <d v="2023-07-07T19:34:21"/>
    <m/>
    <d v="2023-07-07T00:00:00"/>
    <n v="627"/>
    <n v="16896"/>
    <s v="60032783"/>
    <s v="60032783"/>
    <m/>
    <m/>
    <m/>
    <m/>
    <m/>
    <m/>
    <s v="SOLRECOUP"/>
    <s v="SOLRECOUP"/>
    <s v="POARECOUP"/>
    <n v="21346273"/>
    <n v="-2160"/>
    <m/>
    <s v="Y"/>
    <n v="1"/>
    <d v="2023-07-07T19:34:22"/>
    <s v="N"/>
    <m/>
    <m/>
    <s v="Expert Disbursement"/>
    <m/>
    <s v="N"/>
    <n v="-2160"/>
    <n v="0"/>
    <x v="9"/>
    <s v="VALIDATED"/>
    <n v="1"/>
    <s v="01.11.80.307.2013.0000"/>
    <n v="-2160"/>
    <s v="11"/>
    <s v="2013"/>
    <n v="10342.84"/>
    <n v="-2160"/>
    <s v="CREDITOR"/>
    <n v="0"/>
    <n v="0"/>
    <n v="-2160"/>
    <n v="0"/>
    <n v="0"/>
  </r>
  <r>
    <n v="60032783"/>
    <s v="N"/>
    <n v="21346273"/>
    <s v="3000014372670004RC"/>
    <s v="CIVIL"/>
    <d v="2023-06-28T00:00:00"/>
    <d v="2023-07-07T19:34:21"/>
    <m/>
    <d v="2023-07-07T00:00:00"/>
    <n v="627"/>
    <n v="16896"/>
    <s v="60032783"/>
    <s v="60032783"/>
    <m/>
    <m/>
    <m/>
    <m/>
    <m/>
    <m/>
    <s v="SOLRECOUP"/>
    <s v="SOLRECOUP"/>
    <s v="POARECOUP"/>
    <n v="21346273"/>
    <n v="-2160"/>
    <m/>
    <s v="Y"/>
    <n v="2"/>
    <d v="2023-07-07T19:34:22"/>
    <s v="N"/>
    <m/>
    <m/>
    <s v="Expert Disbursement"/>
    <m/>
    <s v="N"/>
    <n v="0"/>
    <n v="0"/>
    <x v="9"/>
    <s v="VALIDATED"/>
    <n v="1"/>
    <s v="01.11.80.000.0000.0000"/>
    <n v="0"/>
    <s v="11"/>
    <s v="0000"/>
    <n v="10342.84"/>
    <n v="0"/>
    <s v="CREDITOR"/>
    <n v="0"/>
    <n v="0"/>
    <n v="0"/>
    <n v="0"/>
    <n v="0"/>
  </r>
  <r>
    <n v="60032783"/>
    <s v="N"/>
    <n v="21346274"/>
    <s v="3000014372670003RC"/>
    <s v="CIVIL"/>
    <d v="2023-06-28T00:00:00"/>
    <d v="2023-07-07T19:34:21"/>
    <m/>
    <d v="2023-07-07T00:00:00"/>
    <n v="627"/>
    <n v="16896"/>
    <s v="60032783"/>
    <s v="60032783"/>
    <m/>
    <m/>
    <m/>
    <m/>
    <m/>
    <m/>
    <s v="SOLRECOUP"/>
    <s v="SOLRECOUP"/>
    <s v="POARECOUP"/>
    <n v="21346274"/>
    <n v="-743.74"/>
    <m/>
    <s v="Y"/>
    <n v="1"/>
    <d v="2023-07-07T19:34:22"/>
    <s v="N"/>
    <m/>
    <m/>
    <s v="Profit Cost"/>
    <m/>
    <s v="N"/>
    <n v="-619.78"/>
    <n v="0"/>
    <x v="9"/>
    <s v="VALIDATED"/>
    <n v="1"/>
    <s v="01.11.80.307.2013.0000"/>
    <n v="-619.78"/>
    <s v="11"/>
    <s v="2013"/>
    <n v="10342.84"/>
    <n v="-619.78"/>
    <s v="CREDITOR"/>
    <n v="0"/>
    <n v="0"/>
    <n v="-619.78"/>
    <n v="-154.945"/>
    <n v="0"/>
  </r>
  <r>
    <n v="60032783"/>
    <s v="N"/>
    <n v="21346274"/>
    <s v="3000014372670003RC"/>
    <s v="CIVIL"/>
    <d v="2023-06-28T00:00:00"/>
    <d v="2023-07-07T19:34:21"/>
    <m/>
    <d v="2023-07-07T00:00:00"/>
    <n v="627"/>
    <n v="16896"/>
    <s v="60032783"/>
    <s v="60032783"/>
    <m/>
    <m/>
    <m/>
    <m/>
    <m/>
    <m/>
    <s v="SOLRECOUP"/>
    <s v="SOLRECOUP"/>
    <s v="POARECOUP"/>
    <n v="21346274"/>
    <n v="-743.74"/>
    <m/>
    <s v="Y"/>
    <n v="2"/>
    <d v="2023-07-07T19:34:22"/>
    <s v="N"/>
    <m/>
    <m/>
    <s v="Profit Cost"/>
    <m/>
    <s v="N"/>
    <n v="0"/>
    <n v="-123.96"/>
    <x v="9"/>
    <s v="VALIDATED"/>
    <n v="1"/>
    <s v="01.11.80.307.2013.0000"/>
    <n v="-123.96"/>
    <s v="11"/>
    <s v="2013"/>
    <n v="10342.84"/>
    <n v="-123.96"/>
    <s v="CREDITOR"/>
    <n v="0"/>
    <n v="0"/>
    <n v="-123.96"/>
    <n v="-30.99"/>
    <n v="0"/>
  </r>
  <r>
    <n v="60273351"/>
    <s v="N"/>
    <n v="21361365"/>
    <s v="3000014580050001RC"/>
    <s v="CIVIL"/>
    <d v="2023-06-30T00:00:00"/>
    <d v="2023-07-11T19:38:00"/>
    <m/>
    <d v="2023-07-11T00:00:00"/>
    <n v="627"/>
    <n v="16896"/>
    <s v="60273351"/>
    <s v="60273351"/>
    <m/>
    <m/>
    <m/>
    <m/>
    <m/>
    <m/>
    <s v="SOLRECOUP"/>
    <s v="SOLRECOUP"/>
    <s v="POARECOUP"/>
    <n v="21361365"/>
    <n v="-2707.15"/>
    <m/>
    <s v="Y"/>
    <n v="2"/>
    <d v="2023-07-11T19:38:00"/>
    <s v="N"/>
    <m/>
    <m/>
    <s v="Profit Cost"/>
    <m/>
    <s v="N"/>
    <n v="0"/>
    <n v="-451.19"/>
    <x v="7"/>
    <s v="VALIDATED"/>
    <n v="1"/>
    <s v="01.11.80.308.2013.0000"/>
    <n v="-451.19"/>
    <s v="11"/>
    <s v="2013"/>
    <n v="10342.84"/>
    <n v="-451.19"/>
    <s v="CREDITOR"/>
    <n v="0"/>
    <n v="0"/>
    <n v="-451.19"/>
    <n v="-112.7975"/>
    <n v="0"/>
  </r>
  <r>
    <n v="60273351"/>
    <s v="N"/>
    <n v="21361365"/>
    <s v="3000014580050001RC"/>
    <s v="CIVIL"/>
    <d v="2023-06-30T00:00:00"/>
    <d v="2023-07-11T19:38:00"/>
    <m/>
    <d v="2023-07-11T00:00:00"/>
    <n v="627"/>
    <n v="16896"/>
    <s v="60273351"/>
    <s v="60273351"/>
    <m/>
    <m/>
    <m/>
    <m/>
    <m/>
    <m/>
    <s v="SOLRECOUP"/>
    <s v="SOLRECOUP"/>
    <s v="POARECOUP"/>
    <n v="21361365"/>
    <n v="-2707.15"/>
    <m/>
    <s v="Y"/>
    <n v="1"/>
    <d v="2023-07-11T19:38:00"/>
    <s v="N"/>
    <m/>
    <m/>
    <s v="Profit Cost"/>
    <m/>
    <s v="N"/>
    <n v="-2255.96"/>
    <n v="0"/>
    <x v="7"/>
    <s v="VALIDATED"/>
    <n v="1"/>
    <s v="01.11.80.308.2013.0000"/>
    <n v="-2255.96"/>
    <s v="11"/>
    <s v="2013"/>
    <n v="10342.84"/>
    <n v="-2255.96"/>
    <s v="CREDITOR"/>
    <n v="0"/>
    <n v="0"/>
    <n v="-2255.96"/>
    <n v="-563.99"/>
    <n v="0"/>
  </r>
  <r>
    <n v="61252136"/>
    <s v="N"/>
    <n v="21361368"/>
    <s v="3000015418890002RC"/>
    <s v="CIVIL"/>
    <d v="2023-06-29T00:00:00"/>
    <d v="2023-07-11T19:38:00"/>
    <m/>
    <d v="2023-07-11T00:00:00"/>
    <n v="627"/>
    <n v="16896"/>
    <s v="61252136"/>
    <s v="61252136"/>
    <m/>
    <m/>
    <m/>
    <m/>
    <m/>
    <m/>
    <s v="SOLRECOUP"/>
    <s v="SOLRECOUP"/>
    <s v="POARECOUP"/>
    <n v="21361368"/>
    <n v="-1503.05"/>
    <m/>
    <s v="Y"/>
    <n v="2"/>
    <d v="2023-07-11T19:38:00"/>
    <s v="N"/>
    <m/>
    <m/>
    <s v="Profit Cost"/>
    <m/>
    <s v="N"/>
    <n v="0"/>
    <n v="-250.51"/>
    <x v="7"/>
    <s v="VALIDATED"/>
    <n v="1"/>
    <s v="01.11.80.308.2013.0000"/>
    <n v="-250.51"/>
    <s v="11"/>
    <s v="2013"/>
    <n v="10342.84"/>
    <n v="-250.51"/>
    <s v="CREDITOR"/>
    <n v="0"/>
    <n v="0"/>
    <n v="-250.51"/>
    <n v="-62.6275"/>
    <n v="0"/>
  </r>
  <r>
    <n v="61252136"/>
    <s v="N"/>
    <n v="21361368"/>
    <s v="3000015418890002RC"/>
    <s v="CIVIL"/>
    <d v="2023-06-29T00:00:00"/>
    <d v="2023-07-11T19:38:00"/>
    <m/>
    <d v="2023-07-11T00:00:00"/>
    <n v="627"/>
    <n v="16896"/>
    <s v="61252136"/>
    <s v="61252136"/>
    <m/>
    <m/>
    <m/>
    <m/>
    <m/>
    <m/>
    <s v="SOLRECOUP"/>
    <s v="SOLRECOUP"/>
    <s v="POARECOUP"/>
    <n v="21361368"/>
    <n v="-1503.05"/>
    <m/>
    <s v="Y"/>
    <n v="1"/>
    <d v="2023-07-11T19:38:00"/>
    <s v="N"/>
    <m/>
    <m/>
    <s v="Profit Cost"/>
    <m/>
    <s v="N"/>
    <n v="-1252.54"/>
    <n v="0"/>
    <x v="7"/>
    <s v="VALIDATED"/>
    <n v="1"/>
    <s v="01.11.80.308.2013.0000"/>
    <n v="-1252.54"/>
    <s v="11"/>
    <s v="2013"/>
    <n v="10342.84"/>
    <n v="-1252.54"/>
    <s v="CREDITOR"/>
    <n v="0"/>
    <n v="0"/>
    <n v="-1252.54"/>
    <n v="-313.135"/>
    <n v="0"/>
  </r>
  <r>
    <n v="60273351"/>
    <s v="N"/>
    <n v="21361373"/>
    <s v="3000014580050002RC"/>
    <s v="CIVIL"/>
    <d v="2023-06-30T00:00:00"/>
    <d v="2023-07-11T19:38:00"/>
    <m/>
    <d v="2023-07-11T00:00:00"/>
    <n v="627"/>
    <n v="16896"/>
    <s v="60273351"/>
    <s v="60273351"/>
    <m/>
    <m/>
    <m/>
    <m/>
    <m/>
    <m/>
    <s v="SOLRECOUP"/>
    <s v="SOLRECOUP"/>
    <s v="POARECOUP"/>
    <n v="21361373"/>
    <n v="-284.7"/>
    <m/>
    <s v="Y"/>
    <n v="2"/>
    <d v="2023-07-11T19:38:00"/>
    <s v="N"/>
    <m/>
    <m/>
    <s v="Expert Disbursement"/>
    <m/>
    <s v="N"/>
    <n v="0"/>
    <n v="-47.45"/>
    <x v="7"/>
    <s v="VALIDATED"/>
    <n v="1"/>
    <s v="01.11.80.308.2013.0000"/>
    <n v="-47.45"/>
    <s v="11"/>
    <s v="2013"/>
    <n v="10342.84"/>
    <n v="-47.45"/>
    <s v="CREDITOR"/>
    <n v="0"/>
    <n v="0"/>
    <n v="-47.45"/>
    <n v="0"/>
    <n v="0"/>
  </r>
  <r>
    <n v="60273351"/>
    <s v="N"/>
    <n v="21361373"/>
    <s v="3000014580050002RC"/>
    <s v="CIVIL"/>
    <d v="2023-06-30T00:00:00"/>
    <d v="2023-07-11T19:38:00"/>
    <m/>
    <d v="2023-07-11T00:00:00"/>
    <n v="627"/>
    <n v="16896"/>
    <s v="60273351"/>
    <s v="60273351"/>
    <m/>
    <m/>
    <m/>
    <m/>
    <m/>
    <m/>
    <s v="SOLRECOUP"/>
    <s v="SOLRECOUP"/>
    <s v="POARECOUP"/>
    <n v="21361373"/>
    <n v="-284.7"/>
    <m/>
    <s v="Y"/>
    <n v="1"/>
    <d v="2023-07-11T19:38:00"/>
    <s v="N"/>
    <m/>
    <m/>
    <s v="Expert Disbursement"/>
    <m/>
    <s v="N"/>
    <n v="-237.25"/>
    <n v="0"/>
    <x v="7"/>
    <s v="VALIDATED"/>
    <n v="1"/>
    <s v="01.11.80.308.2013.0000"/>
    <n v="-237.25"/>
    <s v="11"/>
    <s v="2013"/>
    <n v="10342.84"/>
    <n v="-237.25"/>
    <s v="CREDITOR"/>
    <n v="0"/>
    <n v="0"/>
    <n v="-237.25"/>
    <n v="0"/>
    <n v="0"/>
  </r>
  <r>
    <n v="61252136"/>
    <s v="N"/>
    <n v="21361375"/>
    <s v="3000015418890001RC"/>
    <s v="CIVIL"/>
    <d v="2023-06-29T00:00:00"/>
    <d v="2023-07-11T19:38:00"/>
    <m/>
    <d v="2023-07-11T00:00:00"/>
    <n v="627"/>
    <n v="16896"/>
    <s v="61252136"/>
    <s v="61252136"/>
    <m/>
    <m/>
    <m/>
    <m/>
    <m/>
    <m/>
    <s v="SOLRECOUP"/>
    <s v="SOLRECOUP"/>
    <s v="POARECOUP"/>
    <n v="21361375"/>
    <n v="-263.93"/>
    <m/>
    <s v="Y"/>
    <n v="2"/>
    <d v="2023-07-11T19:38:00"/>
    <s v="N"/>
    <m/>
    <m/>
    <s v="Non Expert Disbursement"/>
    <m/>
    <s v="N"/>
    <n v="0"/>
    <n v="-43.99"/>
    <x v="7"/>
    <s v="VALIDATED"/>
    <n v="1"/>
    <s v="01.11.80.308.2013.0000"/>
    <n v="-43.99"/>
    <s v="11"/>
    <s v="2013"/>
    <n v="10342.84"/>
    <n v="-43.99"/>
    <s v="CREDITOR"/>
    <n v="0"/>
    <n v="0"/>
    <n v="-43.99"/>
    <n v="0"/>
    <n v="0"/>
  </r>
  <r>
    <n v="61252136"/>
    <s v="N"/>
    <n v="21361375"/>
    <s v="3000015418890001RC"/>
    <s v="CIVIL"/>
    <d v="2023-06-29T00:00:00"/>
    <d v="2023-07-11T19:38:00"/>
    <m/>
    <d v="2023-07-11T00:00:00"/>
    <n v="627"/>
    <n v="16896"/>
    <s v="61252136"/>
    <s v="61252136"/>
    <m/>
    <m/>
    <m/>
    <m/>
    <m/>
    <m/>
    <s v="SOLRECOUP"/>
    <s v="SOLRECOUP"/>
    <s v="POARECOUP"/>
    <n v="21361375"/>
    <n v="-263.93"/>
    <m/>
    <s v="Y"/>
    <n v="1"/>
    <d v="2023-07-11T19:38:00"/>
    <s v="N"/>
    <m/>
    <m/>
    <s v="Non Expert Disbursement"/>
    <m/>
    <s v="N"/>
    <n v="-219.94"/>
    <n v="0"/>
    <x v="7"/>
    <s v="VALIDATED"/>
    <n v="1"/>
    <s v="01.11.80.308.2013.0000"/>
    <n v="-219.94"/>
    <s v="11"/>
    <s v="2013"/>
    <n v="10342.84"/>
    <n v="-219.94"/>
    <s v="CREDITOR"/>
    <n v="0"/>
    <n v="0"/>
    <n v="-219.94"/>
    <n v="0"/>
    <n v="0"/>
  </r>
  <r>
    <n v="61252136"/>
    <s v="N"/>
    <n v="21361376"/>
    <s v="3000015418890003RC"/>
    <s v="CIVIL"/>
    <d v="2023-06-29T00:00:00"/>
    <d v="2023-07-11T19:38:00"/>
    <m/>
    <d v="2023-07-11T00:00:00"/>
    <n v="627"/>
    <n v="16896"/>
    <s v="61252136"/>
    <s v="61252136"/>
    <m/>
    <m/>
    <m/>
    <m/>
    <m/>
    <m/>
    <s v="SOLRECOUP"/>
    <s v="SOLRECOUP"/>
    <s v="POARECOUP"/>
    <n v="21361376"/>
    <n v="-168.9"/>
    <m/>
    <s v="Y"/>
    <n v="2"/>
    <d v="2023-07-11T19:38:00"/>
    <s v="N"/>
    <m/>
    <m/>
    <s v="Expert Disbursement"/>
    <m/>
    <s v="N"/>
    <n v="0"/>
    <n v="-28.15"/>
    <x v="7"/>
    <s v="VALIDATED"/>
    <n v="1"/>
    <s v="01.11.80.308.2013.0000"/>
    <n v="-28.15"/>
    <s v="11"/>
    <s v="2013"/>
    <n v="10342.84"/>
    <n v="-28.15"/>
    <s v="CREDITOR"/>
    <n v="0"/>
    <n v="0"/>
    <n v="-28.15"/>
    <n v="0"/>
    <n v="0"/>
  </r>
  <r>
    <n v="61252136"/>
    <s v="N"/>
    <n v="21361376"/>
    <s v="3000015418890003RC"/>
    <s v="CIVIL"/>
    <d v="2023-06-29T00:00:00"/>
    <d v="2023-07-11T19:38:00"/>
    <m/>
    <d v="2023-07-11T00:00:00"/>
    <n v="627"/>
    <n v="16896"/>
    <s v="61252136"/>
    <s v="61252136"/>
    <m/>
    <m/>
    <m/>
    <m/>
    <m/>
    <m/>
    <s v="SOLRECOUP"/>
    <s v="SOLRECOUP"/>
    <s v="POARECOUP"/>
    <n v="21361376"/>
    <n v="-168.9"/>
    <m/>
    <s v="Y"/>
    <n v="1"/>
    <d v="2023-07-11T19:38:00"/>
    <s v="N"/>
    <m/>
    <m/>
    <s v="Expert Disbursement"/>
    <m/>
    <s v="N"/>
    <n v="-140.75"/>
    <n v="0"/>
    <x v="7"/>
    <s v="VALIDATED"/>
    <n v="1"/>
    <s v="01.11.80.308.2013.0000"/>
    <n v="-140.75"/>
    <s v="11"/>
    <s v="2013"/>
    <n v="10342.84"/>
    <n v="-140.75"/>
    <s v="CREDITOR"/>
    <n v="0"/>
    <n v="0"/>
    <n v="-140.75"/>
    <n v="0"/>
    <n v="0"/>
  </r>
  <r>
    <n v="61252136"/>
    <s v="N"/>
    <n v="21361377"/>
    <s v="3000015418890004RC"/>
    <s v="CIVIL"/>
    <d v="2023-06-29T00:00:00"/>
    <d v="2023-07-11T19:38:00"/>
    <m/>
    <d v="2023-07-11T00:00:00"/>
    <n v="627"/>
    <n v="16896"/>
    <s v="61252136"/>
    <s v="61252136"/>
    <m/>
    <m/>
    <m/>
    <m/>
    <m/>
    <m/>
    <s v="SOLRECOUP"/>
    <s v="SOLRECOUP"/>
    <s v="POARECOUP"/>
    <n v="21361377"/>
    <n v="-95.38"/>
    <m/>
    <s v="Y"/>
    <n v="2"/>
    <d v="2023-07-11T19:38:00"/>
    <s v="N"/>
    <m/>
    <m/>
    <s v="Expert Disbursement"/>
    <m/>
    <s v="N"/>
    <n v="0"/>
    <n v="-15.9"/>
    <x v="7"/>
    <s v="VALIDATED"/>
    <n v="1"/>
    <s v="01.11.80.308.2013.0000"/>
    <n v="-15.9"/>
    <s v="11"/>
    <s v="2013"/>
    <n v="10342.84"/>
    <n v="-15.9"/>
    <s v="CREDITOR"/>
    <n v="0"/>
    <n v="0"/>
    <n v="-15.9"/>
    <n v="0"/>
    <n v="0"/>
  </r>
  <r>
    <n v="61252136"/>
    <s v="N"/>
    <n v="21361377"/>
    <s v="3000015418890004RC"/>
    <s v="CIVIL"/>
    <d v="2023-06-29T00:00:00"/>
    <d v="2023-07-11T19:38:00"/>
    <m/>
    <d v="2023-07-11T00:00:00"/>
    <n v="627"/>
    <n v="16896"/>
    <s v="61252136"/>
    <s v="61252136"/>
    <m/>
    <m/>
    <m/>
    <m/>
    <m/>
    <m/>
    <s v="SOLRECOUP"/>
    <s v="SOLRECOUP"/>
    <s v="POARECOUP"/>
    <n v="21361377"/>
    <n v="-95.38"/>
    <m/>
    <s v="Y"/>
    <n v="1"/>
    <d v="2023-07-11T19:38:00"/>
    <s v="N"/>
    <m/>
    <m/>
    <s v="Expert Disbursement"/>
    <m/>
    <s v="N"/>
    <n v="-79.48"/>
    <n v="0"/>
    <x v="7"/>
    <s v="VALIDATED"/>
    <n v="1"/>
    <s v="01.11.80.308.2013.0000"/>
    <n v="-79.48"/>
    <s v="11"/>
    <s v="2013"/>
    <n v="10342.84"/>
    <n v="-79.48"/>
    <s v="CREDITOR"/>
    <n v="0"/>
    <n v="0"/>
    <n v="-79.48"/>
    <n v="0"/>
    <n v="0"/>
  </r>
  <r>
    <n v="61252136"/>
    <s v="N"/>
    <n v="21361378"/>
    <s v="3000015418890005RC"/>
    <s v="CIVIL"/>
    <d v="2023-06-29T00:00:00"/>
    <d v="2023-07-11T19:38:00"/>
    <m/>
    <d v="2023-07-11T00:00:00"/>
    <n v="627"/>
    <n v="16896"/>
    <s v="61252136"/>
    <s v="61252136"/>
    <m/>
    <m/>
    <m/>
    <m/>
    <m/>
    <m/>
    <s v="SOLRECOUP"/>
    <s v="SOLRECOUP"/>
    <s v="POARECOUP"/>
    <n v="21361378"/>
    <n v="-36.72"/>
    <m/>
    <s v="Y"/>
    <n v="2"/>
    <d v="2023-07-11T19:38:00"/>
    <s v="N"/>
    <m/>
    <m/>
    <s v="Non Expert Disbursement"/>
    <m/>
    <s v="N"/>
    <n v="0"/>
    <n v="-6.12"/>
    <x v="7"/>
    <s v="VALIDATED"/>
    <n v="1"/>
    <s v="01.11.80.308.2013.0000"/>
    <n v="-6.12"/>
    <s v="11"/>
    <s v="2013"/>
    <n v="10342.84"/>
    <n v="-6.12"/>
    <s v="CREDITOR"/>
    <n v="0"/>
    <n v="0"/>
    <n v="-6.12"/>
    <n v="0"/>
    <n v="0"/>
  </r>
  <r>
    <n v="61252136"/>
    <s v="N"/>
    <n v="21361378"/>
    <s v="3000015418890005RC"/>
    <s v="CIVIL"/>
    <d v="2023-06-29T00:00:00"/>
    <d v="2023-07-11T19:38:00"/>
    <m/>
    <d v="2023-07-11T00:00:00"/>
    <n v="627"/>
    <n v="16896"/>
    <s v="61252136"/>
    <s v="61252136"/>
    <m/>
    <m/>
    <m/>
    <m/>
    <m/>
    <m/>
    <s v="SOLRECOUP"/>
    <s v="SOLRECOUP"/>
    <s v="POARECOUP"/>
    <n v="21361378"/>
    <n v="-36.72"/>
    <m/>
    <s v="Y"/>
    <n v="1"/>
    <d v="2023-07-11T19:38:00"/>
    <s v="N"/>
    <m/>
    <m/>
    <s v="Non Expert Disbursement"/>
    <m/>
    <s v="N"/>
    <n v="-30.6"/>
    <n v="0"/>
    <x v="7"/>
    <s v="VALIDATED"/>
    <n v="1"/>
    <s v="01.11.80.308.2013.0000"/>
    <n v="-30.6"/>
    <s v="11"/>
    <s v="2013"/>
    <n v="10342.84"/>
    <n v="-30.6"/>
    <s v="CREDITOR"/>
    <n v="0"/>
    <n v="0"/>
    <n v="-30.6"/>
    <n v="0"/>
    <n v="0"/>
  </r>
  <r>
    <n v="60777600"/>
    <s v="N"/>
    <n v="21366313"/>
    <s v="3000015015960005RC"/>
    <s v="CIVIL"/>
    <d v="2023-06-30T00:00:00"/>
    <d v="2023-07-12T19:45:17"/>
    <m/>
    <d v="2023-07-12T00:00:00"/>
    <n v="627"/>
    <n v="16896"/>
    <s v="60777600"/>
    <s v="60777600"/>
    <m/>
    <m/>
    <m/>
    <m/>
    <m/>
    <m/>
    <s v="SOLRECOUP"/>
    <s v="SOLRECOUP"/>
    <s v="POARECOUP"/>
    <n v="21366313"/>
    <n v="-338.2"/>
    <m/>
    <s v="Y"/>
    <n v="1"/>
    <d v="2023-07-12T19:45:17"/>
    <s v="N"/>
    <m/>
    <m/>
    <s v="Expert Disbursement"/>
    <m/>
    <s v="N"/>
    <n v="-281.83"/>
    <n v="0"/>
    <x v="0"/>
    <s v="VALIDATED"/>
    <n v="1"/>
    <s v="01.11.80.308.2013.0000"/>
    <n v="-281.83"/>
    <s v="11"/>
    <s v="2013"/>
    <n v="10342.84"/>
    <n v="-281.83"/>
    <s v="CREDITOR"/>
    <n v="0"/>
    <n v="0"/>
    <n v="-281.83"/>
    <n v="0"/>
    <n v="0"/>
  </r>
  <r>
    <n v="60777600"/>
    <s v="N"/>
    <n v="21366313"/>
    <s v="3000015015960005RC"/>
    <s v="CIVIL"/>
    <d v="2023-06-30T00:00:00"/>
    <d v="2023-07-12T19:45:17"/>
    <m/>
    <d v="2023-07-12T00:00:00"/>
    <n v="627"/>
    <n v="16896"/>
    <s v="60777600"/>
    <s v="60777600"/>
    <m/>
    <m/>
    <m/>
    <m/>
    <m/>
    <m/>
    <s v="SOLRECOUP"/>
    <s v="SOLRECOUP"/>
    <s v="POARECOUP"/>
    <n v="21366313"/>
    <n v="-338.2"/>
    <m/>
    <s v="Y"/>
    <n v="2"/>
    <d v="2023-07-12T19:45:17"/>
    <s v="N"/>
    <m/>
    <m/>
    <s v="Expert Disbursement"/>
    <m/>
    <s v="N"/>
    <n v="0"/>
    <n v="-56.37"/>
    <x v="0"/>
    <s v="VALIDATED"/>
    <n v="1"/>
    <s v="01.11.80.308.2013.0000"/>
    <n v="-56.37"/>
    <s v="11"/>
    <s v="2013"/>
    <n v="10342.84"/>
    <n v="-56.37"/>
    <s v="CREDITOR"/>
    <n v="0"/>
    <n v="0"/>
    <n v="-56.37"/>
    <n v="0"/>
    <n v="0"/>
  </r>
  <r>
    <n v="60777600"/>
    <s v="N"/>
    <n v="21366314"/>
    <s v="3000015015960002RC"/>
    <s v="CIVIL"/>
    <d v="2023-06-30T00:00:00"/>
    <d v="2023-07-12T19:45:17"/>
    <m/>
    <d v="2023-07-12T00:00:00"/>
    <n v="627"/>
    <n v="16896"/>
    <s v="60777600"/>
    <s v="60777600"/>
    <m/>
    <m/>
    <m/>
    <m/>
    <m/>
    <m/>
    <s v="SOLRECOUP"/>
    <s v="SOLRECOUP"/>
    <s v="POARECOUP"/>
    <n v="21366314"/>
    <n v="-2325.76"/>
    <m/>
    <s v="Y"/>
    <n v="1"/>
    <d v="2023-07-12T19:45:17"/>
    <s v="N"/>
    <m/>
    <m/>
    <s v="Profit Cost"/>
    <m/>
    <s v="N"/>
    <n v="-1938.13"/>
    <n v="0"/>
    <x v="0"/>
    <s v="VALIDATED"/>
    <n v="1"/>
    <s v="01.11.80.308.2013.0000"/>
    <n v="-1938.13"/>
    <s v="11"/>
    <s v="2013"/>
    <n v="10342.84"/>
    <n v="-1938.13"/>
    <s v="CREDITOR"/>
    <n v="0"/>
    <n v="0"/>
    <n v="-1938.13"/>
    <n v="-484.5325"/>
    <n v="0"/>
  </r>
  <r>
    <n v="60777600"/>
    <s v="N"/>
    <n v="21366314"/>
    <s v="3000015015960002RC"/>
    <s v="CIVIL"/>
    <d v="2023-06-30T00:00:00"/>
    <d v="2023-07-12T19:45:17"/>
    <m/>
    <d v="2023-07-12T00:00:00"/>
    <n v="627"/>
    <n v="16896"/>
    <s v="60777600"/>
    <s v="60777600"/>
    <m/>
    <m/>
    <m/>
    <m/>
    <m/>
    <m/>
    <s v="SOLRECOUP"/>
    <s v="SOLRECOUP"/>
    <s v="POARECOUP"/>
    <n v="21366314"/>
    <n v="-2325.76"/>
    <m/>
    <s v="Y"/>
    <n v="2"/>
    <d v="2023-07-12T19:45:17"/>
    <s v="N"/>
    <m/>
    <m/>
    <s v="Profit Cost"/>
    <m/>
    <s v="N"/>
    <n v="0"/>
    <n v="-387.63"/>
    <x v="0"/>
    <s v="VALIDATED"/>
    <n v="1"/>
    <s v="01.11.80.308.2013.0000"/>
    <n v="-387.63"/>
    <s v="11"/>
    <s v="2013"/>
    <n v="10342.84"/>
    <n v="-387.63"/>
    <s v="CREDITOR"/>
    <n v="0"/>
    <n v="0"/>
    <n v="-387.63"/>
    <n v="-96.9075"/>
    <n v="0"/>
  </r>
  <r>
    <n v="60777600"/>
    <s v="N"/>
    <n v="21366321"/>
    <s v="3000015015960003RC"/>
    <s v="CIVIL"/>
    <d v="2023-06-30T00:00:00"/>
    <d v="2023-07-12T19:45:17"/>
    <m/>
    <d v="2023-07-12T00:00:00"/>
    <n v="627"/>
    <n v="16896"/>
    <s v="60777600"/>
    <s v="60777600"/>
    <m/>
    <m/>
    <m/>
    <m/>
    <m/>
    <m/>
    <s v="SOLRECOUP"/>
    <s v="SOLRECOUP"/>
    <s v="POARECOUP"/>
    <n v="21366321"/>
    <n v="-36.72"/>
    <m/>
    <s v="Y"/>
    <n v="2"/>
    <d v="2023-07-12T19:45:18"/>
    <s v="N"/>
    <m/>
    <m/>
    <s v="Non Expert Disbursement"/>
    <m/>
    <s v="N"/>
    <n v="0"/>
    <n v="-6.12"/>
    <x v="0"/>
    <s v="VALIDATED"/>
    <n v="1"/>
    <s v="01.11.80.308.2013.0000"/>
    <n v="-6.12"/>
    <s v="11"/>
    <s v="2013"/>
    <n v="10342.84"/>
    <n v="-6.12"/>
    <s v="CREDITOR"/>
    <n v="0"/>
    <n v="0"/>
    <n v="-6.12"/>
    <n v="0"/>
    <n v="0"/>
  </r>
  <r>
    <n v="60777600"/>
    <s v="N"/>
    <n v="21366321"/>
    <s v="3000015015960003RC"/>
    <s v="CIVIL"/>
    <d v="2023-06-30T00:00:00"/>
    <d v="2023-07-12T19:45:17"/>
    <m/>
    <d v="2023-07-12T00:00:00"/>
    <n v="627"/>
    <n v="16896"/>
    <s v="60777600"/>
    <s v="60777600"/>
    <m/>
    <m/>
    <m/>
    <m/>
    <m/>
    <m/>
    <s v="SOLRECOUP"/>
    <s v="SOLRECOUP"/>
    <s v="POARECOUP"/>
    <n v="21366321"/>
    <n v="-36.72"/>
    <m/>
    <s v="Y"/>
    <n v="1"/>
    <d v="2023-07-12T19:45:18"/>
    <s v="N"/>
    <m/>
    <m/>
    <s v="Non Expert Disbursement"/>
    <m/>
    <s v="N"/>
    <n v="-30.6"/>
    <n v="0"/>
    <x v="0"/>
    <s v="VALIDATED"/>
    <n v="1"/>
    <s v="01.11.80.308.2013.0000"/>
    <n v="-30.6"/>
    <s v="11"/>
    <s v="2013"/>
    <n v="10342.84"/>
    <n v="-30.6"/>
    <s v="CREDITOR"/>
    <n v="0"/>
    <n v="0"/>
    <n v="-30.6"/>
    <n v="0"/>
    <n v="0"/>
  </r>
  <r>
    <n v="60777600"/>
    <s v="N"/>
    <n v="21366322"/>
    <s v="3000015015960004RC"/>
    <s v="CIVIL"/>
    <d v="2023-06-30T00:00:00"/>
    <d v="2023-07-12T19:45:17"/>
    <m/>
    <d v="2023-07-12T00:00:00"/>
    <n v="627"/>
    <n v="16896"/>
    <s v="60777600"/>
    <s v="60777600"/>
    <m/>
    <m/>
    <m/>
    <m/>
    <m/>
    <m/>
    <s v="SOLRECOUP"/>
    <s v="SOLRECOUP"/>
    <s v="POARECOUP"/>
    <n v="21366322"/>
    <n v="-496.8"/>
    <m/>
    <s v="Y"/>
    <n v="1"/>
    <d v="2023-07-12T19:45:18"/>
    <s v="N"/>
    <m/>
    <m/>
    <s v="Expert Disbursement"/>
    <m/>
    <s v="N"/>
    <n v="-414"/>
    <n v="0"/>
    <x v="0"/>
    <s v="VALIDATED"/>
    <n v="1"/>
    <s v="01.11.80.308.2013.0000"/>
    <n v="-414"/>
    <s v="11"/>
    <s v="2013"/>
    <n v="10342.84"/>
    <n v="-414"/>
    <s v="CREDITOR"/>
    <n v="0"/>
    <n v="0"/>
    <n v="-414"/>
    <n v="0"/>
    <n v="0"/>
  </r>
  <r>
    <n v="60777600"/>
    <s v="N"/>
    <n v="21366322"/>
    <s v="3000015015960004RC"/>
    <s v="CIVIL"/>
    <d v="2023-06-30T00:00:00"/>
    <d v="2023-07-12T19:45:17"/>
    <m/>
    <d v="2023-07-12T00:00:00"/>
    <n v="627"/>
    <n v="16896"/>
    <s v="60777600"/>
    <s v="60777600"/>
    <m/>
    <m/>
    <m/>
    <m/>
    <m/>
    <m/>
    <s v="SOLRECOUP"/>
    <s v="SOLRECOUP"/>
    <s v="POARECOUP"/>
    <n v="21366322"/>
    <n v="-496.8"/>
    <m/>
    <s v="Y"/>
    <n v="2"/>
    <d v="2023-07-12T19:45:18"/>
    <s v="N"/>
    <m/>
    <m/>
    <s v="Expert Disbursement"/>
    <m/>
    <s v="N"/>
    <n v="0"/>
    <n v="-82.8"/>
    <x v="0"/>
    <s v="VALIDATED"/>
    <n v="1"/>
    <s v="01.11.80.308.2013.0000"/>
    <n v="-82.8"/>
    <s v="11"/>
    <s v="2013"/>
    <n v="10342.84"/>
    <n v="-82.8"/>
    <s v="CREDITOR"/>
    <n v="0"/>
    <n v="0"/>
    <n v="-82.8"/>
    <n v="0"/>
    <n v="0"/>
  </r>
  <r>
    <n v="60777600"/>
    <s v="N"/>
    <n v="21366324"/>
    <s v="3000015015960006RC"/>
    <s v="CIVIL"/>
    <d v="2023-06-30T00:00:00"/>
    <d v="2023-07-12T19:45:17"/>
    <m/>
    <d v="2023-07-12T00:00:00"/>
    <n v="627"/>
    <n v="16896"/>
    <s v="60777600"/>
    <s v="60777600"/>
    <m/>
    <m/>
    <m/>
    <m/>
    <m/>
    <m/>
    <s v="SOLRECOUP"/>
    <s v="SOLRECOUP"/>
    <s v="POARECOUP"/>
    <n v="21366324"/>
    <n v="-1422.84"/>
    <m/>
    <s v="Y"/>
    <n v="1"/>
    <d v="2023-07-12T19:45:18"/>
    <s v="N"/>
    <m/>
    <m/>
    <s v="Expert Disbursement"/>
    <m/>
    <s v="N"/>
    <n v="-1422.84"/>
    <n v="0"/>
    <x v="0"/>
    <s v="VALIDATED"/>
    <n v="1"/>
    <s v="01.11.80.308.2013.0000"/>
    <n v="-1422.84"/>
    <s v="11"/>
    <s v="2013"/>
    <n v="10342.84"/>
    <n v="-1422.84"/>
    <s v="CREDITOR"/>
    <n v="0"/>
    <n v="0"/>
    <n v="-1422.84"/>
    <n v="0"/>
    <n v="0"/>
  </r>
  <r>
    <n v="60777600"/>
    <s v="N"/>
    <n v="21366324"/>
    <s v="3000015015960006RC"/>
    <s v="CIVIL"/>
    <d v="2023-06-30T00:00:00"/>
    <d v="2023-07-12T19:45:17"/>
    <m/>
    <d v="2023-07-12T00:00:00"/>
    <n v="627"/>
    <n v="16896"/>
    <s v="60777600"/>
    <s v="60777600"/>
    <m/>
    <m/>
    <m/>
    <m/>
    <m/>
    <m/>
    <s v="SOLRECOUP"/>
    <s v="SOLRECOUP"/>
    <s v="POARECOUP"/>
    <n v="21366324"/>
    <n v="-1422.84"/>
    <m/>
    <s v="Y"/>
    <n v="2"/>
    <d v="2023-07-12T19:45:18"/>
    <s v="N"/>
    <m/>
    <m/>
    <s v="Expert Disbursement"/>
    <m/>
    <s v="N"/>
    <n v="0"/>
    <n v="0"/>
    <x v="0"/>
    <s v="VALIDATED"/>
    <n v="1"/>
    <s v="01.11.80.000.0000.0000"/>
    <n v="0"/>
    <s v="11"/>
    <s v="0000"/>
    <n v="10342.84"/>
    <n v="0"/>
    <s v="CREDITOR"/>
    <n v="0"/>
    <n v="0"/>
    <n v="0"/>
    <n v="0"/>
    <n v="0"/>
  </r>
  <r>
    <n v="60777600"/>
    <s v="N"/>
    <n v="21366326"/>
    <s v="3000015015960007RC"/>
    <s v="CIVIL"/>
    <d v="2023-06-30T00:00:00"/>
    <d v="2023-07-12T19:45:17"/>
    <m/>
    <d v="2023-07-12T00:00:00"/>
    <n v="627"/>
    <n v="16896"/>
    <s v="60777600"/>
    <s v="60777600"/>
    <m/>
    <m/>
    <m/>
    <m/>
    <m/>
    <m/>
    <s v="SOLRECOUP"/>
    <s v="SOLRECOUP"/>
    <s v="POARECOUP"/>
    <n v="21366326"/>
    <n v="-311.52"/>
    <m/>
    <s v="Y"/>
    <n v="2"/>
    <d v="2023-07-12T19:45:18"/>
    <s v="N"/>
    <m/>
    <m/>
    <s v="Expert Disbursement"/>
    <m/>
    <s v="N"/>
    <n v="0"/>
    <n v="-51.92"/>
    <x v="0"/>
    <s v="VALIDATED"/>
    <n v="1"/>
    <s v="01.11.80.308.2013.0000"/>
    <n v="-51.92"/>
    <s v="11"/>
    <s v="2013"/>
    <n v="10342.84"/>
    <n v="-51.92"/>
    <s v="CREDITOR"/>
    <n v="0"/>
    <n v="0"/>
    <n v="-51.92"/>
    <n v="0"/>
    <n v="0"/>
  </r>
  <r>
    <n v="60777600"/>
    <s v="N"/>
    <n v="21366326"/>
    <s v="3000015015960007RC"/>
    <s v="CIVIL"/>
    <d v="2023-06-30T00:00:00"/>
    <d v="2023-07-12T19:45:17"/>
    <m/>
    <d v="2023-07-12T00:00:00"/>
    <n v="627"/>
    <n v="16896"/>
    <s v="60777600"/>
    <s v="60777600"/>
    <m/>
    <m/>
    <m/>
    <m/>
    <m/>
    <m/>
    <s v="SOLRECOUP"/>
    <s v="SOLRECOUP"/>
    <s v="POARECOUP"/>
    <n v="21366326"/>
    <n v="-311.52"/>
    <m/>
    <s v="Y"/>
    <n v="1"/>
    <d v="2023-07-12T19:45:18"/>
    <s v="N"/>
    <m/>
    <m/>
    <s v="Expert Disbursement"/>
    <m/>
    <s v="N"/>
    <n v="-259.6"/>
    <n v="0"/>
    <x v="0"/>
    <s v="VALIDATED"/>
    <n v="1"/>
    <s v="01.11.80.308.2013.0000"/>
    <n v="-259.6"/>
    <s v="11"/>
    <s v="2013"/>
    <n v="10342.84"/>
    <n v="-259.6"/>
    <s v="CREDITOR"/>
    <n v="0"/>
    <n v="0"/>
    <n v="-259.6"/>
    <n v="0"/>
    <n v="0"/>
  </r>
  <r>
    <n v="60777600"/>
    <s v="N"/>
    <n v="21366327"/>
    <s v="3000015015960008RC"/>
    <s v="CIVIL"/>
    <d v="2023-06-30T00:00:00"/>
    <d v="2023-07-12T19:45:17"/>
    <m/>
    <d v="2023-07-12T00:00:00"/>
    <n v="627"/>
    <n v="16896"/>
    <s v="60777600"/>
    <s v="60777600"/>
    <m/>
    <m/>
    <m/>
    <m/>
    <m/>
    <m/>
    <s v="SOLRECOUP"/>
    <s v="SOLRECOUP"/>
    <s v="POARECOUP"/>
    <n v="21366327"/>
    <n v="-36.72"/>
    <m/>
    <s v="Y"/>
    <n v="1"/>
    <d v="2023-07-12T19:45:18"/>
    <s v="N"/>
    <m/>
    <m/>
    <s v="Non Expert Disbursement"/>
    <m/>
    <s v="N"/>
    <n v="-30.6"/>
    <n v="0"/>
    <x v="0"/>
    <s v="VALIDATED"/>
    <n v="1"/>
    <s v="01.11.80.308.2013.0000"/>
    <n v="-30.6"/>
    <s v="11"/>
    <s v="2013"/>
    <n v="10342.84"/>
    <n v="-30.6"/>
    <s v="CREDITOR"/>
    <n v="0"/>
    <n v="0"/>
    <n v="-30.6"/>
    <n v="0"/>
    <n v="0"/>
  </r>
  <r>
    <n v="60777600"/>
    <s v="N"/>
    <n v="21366327"/>
    <s v="3000015015960008RC"/>
    <s v="CIVIL"/>
    <d v="2023-06-30T00:00:00"/>
    <d v="2023-07-12T19:45:17"/>
    <m/>
    <d v="2023-07-12T00:00:00"/>
    <n v="627"/>
    <n v="16896"/>
    <s v="60777600"/>
    <s v="60777600"/>
    <m/>
    <m/>
    <m/>
    <m/>
    <m/>
    <m/>
    <s v="SOLRECOUP"/>
    <s v="SOLRECOUP"/>
    <s v="POARECOUP"/>
    <n v="21366327"/>
    <n v="-36.72"/>
    <m/>
    <s v="Y"/>
    <n v="2"/>
    <d v="2023-07-12T19:45:18"/>
    <s v="N"/>
    <m/>
    <m/>
    <s v="Non Expert Disbursement"/>
    <m/>
    <s v="N"/>
    <n v="0"/>
    <n v="-6.12"/>
    <x v="0"/>
    <s v="VALIDATED"/>
    <n v="1"/>
    <s v="01.11.80.308.2013.0000"/>
    <n v="-6.12"/>
    <s v="11"/>
    <s v="2013"/>
    <n v="10342.84"/>
    <n v="-6.12"/>
    <s v="CREDITOR"/>
    <n v="0"/>
    <n v="0"/>
    <n v="-6.12"/>
    <n v="0"/>
    <n v="0"/>
  </r>
  <r>
    <n v="60032783"/>
    <s v="N"/>
    <n v="21343939"/>
    <s v="3000014372670006"/>
    <s v="CIVIL"/>
    <d v="2023-06-28T00:00:00"/>
    <d v="2023-07-07T19:03:00"/>
    <m/>
    <d v="2023-07-07T00:00:00"/>
    <n v="627"/>
    <n v="16896"/>
    <s v="60032783"/>
    <s v="60032783"/>
    <m/>
    <m/>
    <n v="22782822"/>
    <m/>
    <m/>
    <m/>
    <s v="SOLFIN"/>
    <s v="SOLFIN"/>
    <s v="CCMS"/>
    <n v="21343939"/>
    <n v="5388.21"/>
    <m/>
    <s v="N"/>
    <n v="14"/>
    <d v="2023-07-07T19:03:18"/>
    <s v="Y"/>
    <s v="Preparation - drafting statement"/>
    <s v="Prescribed Hourly Rates"/>
    <s v="Profit Cost"/>
    <s v="Georgina Bacon"/>
    <s v="Y"/>
    <n v="12.63"/>
    <n v="2.53"/>
    <x v="9"/>
    <s v="VALIDATED"/>
    <n v="1"/>
    <s v="01.11.80.307.6100.0000"/>
    <n v="12.63"/>
    <s v="11"/>
    <s v="6100"/>
    <n v="10342.84"/>
    <n v="12.63"/>
    <s v="CREDITOR"/>
    <n v="0"/>
    <n v="0"/>
    <n v="0"/>
    <n v="0"/>
    <n v="12.63"/>
  </r>
  <r>
    <n v="61252136"/>
    <s v="N"/>
    <n v="21360248"/>
    <s v="3000015418890006"/>
    <s v="CIVIL"/>
    <d v="2023-06-29T00:00:00"/>
    <d v="2023-07-11T11:50:54"/>
    <m/>
    <d v="2023-07-11T00:00:00"/>
    <n v="627"/>
    <n v="16896"/>
    <s v="61252136"/>
    <s v="61252136"/>
    <m/>
    <m/>
    <n v="22793530"/>
    <m/>
    <m/>
    <m/>
    <s v="SOLFIN"/>
    <s v="SOLFIN"/>
    <s v="CCMS"/>
    <n v="21360248"/>
    <n v="5573.1"/>
    <m/>
    <s v="N"/>
    <n v="5"/>
    <d v="2023-07-11T11:50:58"/>
    <s v="Y"/>
    <s v="Solicitor Travel Mileage"/>
    <s v="Public Law Children"/>
    <s v="Non Expert Disbursement"/>
    <s v="Gareth Bishop"/>
    <s v="Y"/>
    <n v="30.6"/>
    <n v="6.12"/>
    <x v="7"/>
    <s v="VALIDATED"/>
    <n v="1"/>
    <s v="01.11.80.308.6300.0000"/>
    <n v="30.6"/>
    <s v="11"/>
    <s v="6300"/>
    <n v="10342.84"/>
    <n v="30.6"/>
    <s v="CREDITOR"/>
    <n v="0"/>
    <n v="0"/>
    <n v="0"/>
    <n v="0"/>
    <n v="30.6"/>
  </r>
  <r>
    <n v="60777600"/>
    <s v="N"/>
    <n v="21362994"/>
    <s v="3000015015960009"/>
    <s v="CIVIL"/>
    <d v="2023-06-30T00:00:00"/>
    <d v="2023-07-12T19:01:49"/>
    <m/>
    <d v="2023-07-12T00:00:00"/>
    <n v="627"/>
    <n v="16896"/>
    <s v="60777600"/>
    <s v="60777600"/>
    <m/>
    <m/>
    <n v="22801578"/>
    <m/>
    <m/>
    <m/>
    <s v="SOLFIN"/>
    <s v="SOLFIN"/>
    <s v="CCMS"/>
    <n v="21362994"/>
    <n v="8516"/>
    <m/>
    <s v="N"/>
    <n v="2"/>
    <d v="2023-07-12T19:01:53"/>
    <s v="Y"/>
    <s v="Exceptional Travel"/>
    <s v="Public Law Children"/>
    <s v="Advocacy"/>
    <s v="Gareth Bishop"/>
    <s v="Y"/>
    <n v="32.04"/>
    <n v="6.41"/>
    <x v="0"/>
    <s v="VALIDATED"/>
    <n v="1"/>
    <s v="01.11.80.308.6100.0000"/>
    <n v="32.04"/>
    <s v="11"/>
    <s v="6100"/>
    <n v="10342.84"/>
    <n v="32.04"/>
    <s v="CREDITOR"/>
    <n v="0"/>
    <n v="0"/>
    <n v="0"/>
    <n v="0"/>
    <n v="32.04"/>
  </r>
  <r>
    <n v="60777600"/>
    <s v="N"/>
    <n v="21362994"/>
    <s v="3000015015960009"/>
    <s v="CIVIL"/>
    <d v="2023-06-30T00:00:00"/>
    <d v="2023-07-12T19:01:49"/>
    <m/>
    <d v="2023-07-12T00:00:00"/>
    <n v="627"/>
    <n v="16896"/>
    <s v="60777600"/>
    <s v="60777600"/>
    <m/>
    <m/>
    <n v="22801578"/>
    <m/>
    <m/>
    <m/>
    <s v="SOLFIN"/>
    <s v="SOLFIN"/>
    <s v="CCMS"/>
    <n v="21362994"/>
    <n v="8516"/>
    <m/>
    <s v="N"/>
    <n v="14"/>
    <d v="2023-07-12T19:01:53"/>
    <s v="Y"/>
    <s v="Advocates Meeting"/>
    <s v="Public Law Children"/>
    <s v="Advocacy"/>
    <s v="Gareth Bishop"/>
    <s v="Y"/>
    <n v="140.99"/>
    <n v="28.2"/>
    <x v="0"/>
    <s v="VALIDATED"/>
    <n v="1"/>
    <s v="01.11.80.308.6100.0000"/>
    <n v="140.99"/>
    <s v="11"/>
    <s v="6100"/>
    <n v="10342.84"/>
    <n v="140.99"/>
    <s v="CREDITOR"/>
    <n v="0"/>
    <n v="0"/>
    <n v="0"/>
    <n v="0"/>
    <n v="140.99"/>
  </r>
  <r>
    <n v="60032783"/>
    <s v="N"/>
    <n v="21343939"/>
    <s v="3000014372670006"/>
    <s v="CIVIL"/>
    <d v="2023-06-28T00:00:00"/>
    <d v="2023-07-07T19:03:00"/>
    <m/>
    <d v="2023-07-07T00:00:00"/>
    <n v="627"/>
    <n v="16896"/>
    <s v="60032783"/>
    <s v="60032783"/>
    <m/>
    <m/>
    <n v="22782822"/>
    <m/>
    <m/>
    <m/>
    <s v="SOLFIN"/>
    <s v="SOLFIN"/>
    <s v="CCMS"/>
    <n v="21343939"/>
    <n v="5388.21"/>
    <m/>
    <s v="N"/>
    <n v="27"/>
    <d v="2023-07-07T19:03:18"/>
    <s v="Y"/>
    <s v="Report - other expert's report"/>
    <s v="Prescribed Hourly Rates"/>
    <s v="Profit Cost"/>
    <s v="Georgina Bacon"/>
    <s v="Y"/>
    <n v="41.18"/>
    <n v="8.24"/>
    <x v="9"/>
    <s v="VALIDATED"/>
    <n v="1"/>
    <s v="01.11.80.307.6100.0000"/>
    <n v="41.18"/>
    <s v="11"/>
    <s v="6100"/>
    <n v="10342.84"/>
    <n v="41.18"/>
    <s v="CREDITOR"/>
    <n v="0"/>
    <n v="0"/>
    <n v="0"/>
    <n v="0"/>
    <n v="41.18"/>
  </r>
  <r>
    <n v="61772086"/>
    <s v="N"/>
    <n v="21338474"/>
    <s v="3000015849670001"/>
    <s v="CIVIL"/>
    <d v="2023-06-28T00:00:00"/>
    <d v="2023-07-06T19:21:01"/>
    <m/>
    <d v="2023-07-06T00:00:00"/>
    <n v="627"/>
    <n v="16896"/>
    <s v="61772086"/>
    <s v="61772086"/>
    <m/>
    <m/>
    <n v="22781652"/>
    <m/>
    <m/>
    <m/>
    <s v="SOLFIN"/>
    <s v="SOLFIN"/>
    <s v="CCMS"/>
    <n v="21338474"/>
    <n v="1385.22"/>
    <m/>
    <s v="N"/>
    <n v="11"/>
    <d v="2023-07-06T19:21:26"/>
    <s v="Y"/>
    <s v="Report - other expert's report"/>
    <s v="Care Remuneration Hourly Rates"/>
    <s v="Profit Cost"/>
    <s v="Gareth Bishop"/>
    <s v="Y"/>
    <n v="43.81"/>
    <n v="8.76"/>
    <x v="4"/>
    <s v="VALIDATED"/>
    <n v="1"/>
    <s v="01.11.80.308.6100.0000"/>
    <n v="43.81"/>
    <s v="11"/>
    <s v="6100"/>
    <n v="10342.84"/>
    <n v="43.81"/>
    <s v="CREDITOR"/>
    <n v="0"/>
    <n v="0"/>
    <n v="0"/>
    <n v="0"/>
    <n v="43.81"/>
  </r>
  <r>
    <n v="60032783"/>
    <s v="N"/>
    <n v="21343939"/>
    <s v="3000014372670006"/>
    <s v="CIVIL"/>
    <d v="2023-06-28T00:00:00"/>
    <d v="2023-07-07T19:03:00"/>
    <m/>
    <d v="2023-07-07T00:00:00"/>
    <n v="627"/>
    <n v="16896"/>
    <s v="60032783"/>
    <s v="60032783"/>
    <m/>
    <m/>
    <n v="22782822"/>
    <m/>
    <m/>
    <m/>
    <s v="SOLFIN"/>
    <s v="SOLFIN"/>
    <s v="CCMS"/>
    <n v="21343939"/>
    <n v="5388.21"/>
    <m/>
    <s v="N"/>
    <n v="4"/>
    <d v="2023-07-07T19:03:18"/>
    <s v="Y"/>
    <s v="Preparation - drafting statement"/>
    <s v="Prescribed Hourly Rates"/>
    <s v="Profit Cost"/>
    <s v="Georgina Bacon"/>
    <s v="Y"/>
    <n v="6.31"/>
    <n v="1.26"/>
    <x v="9"/>
    <s v="VALIDATED"/>
    <n v="1"/>
    <s v="01.11.80.307.6100.0000"/>
    <n v="6.31"/>
    <s v="11"/>
    <s v="6100"/>
    <n v="10342.84"/>
    <n v="6.31"/>
    <s v="CREDITOR"/>
    <n v="0"/>
    <n v="0"/>
    <n v="0"/>
    <n v="0"/>
    <n v="6.31"/>
  </r>
  <r>
    <n v="61772086"/>
    <s v="N"/>
    <n v="21338474"/>
    <s v="3000015849670001"/>
    <s v="CIVIL"/>
    <d v="2023-06-28T00:00:00"/>
    <d v="2023-07-06T19:21:01"/>
    <m/>
    <d v="2023-07-06T00:00:00"/>
    <n v="627"/>
    <n v="16896"/>
    <s v="61772086"/>
    <s v="61772086"/>
    <m/>
    <m/>
    <n v="22781652"/>
    <m/>
    <m/>
    <m/>
    <s v="SOLFIN"/>
    <s v="SOLFIN"/>
    <s v="CCMS"/>
    <n v="21338474"/>
    <n v="1385.22"/>
    <m/>
    <s v="N"/>
    <n v="10"/>
    <d v="2023-07-06T19:21:26"/>
    <s v="Y"/>
    <s v="Preparation - drafting pleadings"/>
    <s v="Care Remuneration Hourly Rates"/>
    <s v="Profit Cost"/>
    <s v="Gareth Bishop"/>
    <s v="Y"/>
    <n v="14.6"/>
    <n v="2.92"/>
    <x v="4"/>
    <s v="VALIDATED"/>
    <n v="1"/>
    <s v="01.11.80.308.6100.0000"/>
    <n v="14.6"/>
    <s v="11"/>
    <s v="6100"/>
    <n v="10342.84"/>
    <n v="14.6"/>
    <s v="CREDITOR"/>
    <n v="0"/>
    <n v="0"/>
    <n v="0"/>
    <n v="0"/>
    <n v="14.6"/>
  </r>
  <r>
    <n v="60032783"/>
    <s v="N"/>
    <n v="21343939"/>
    <s v="3000014372670006"/>
    <s v="CIVIL"/>
    <d v="2023-06-28T00:00:00"/>
    <d v="2023-07-07T19:03:00"/>
    <m/>
    <d v="2023-07-07T00:00:00"/>
    <n v="627"/>
    <n v="16896"/>
    <s v="60032783"/>
    <s v="60032783"/>
    <m/>
    <m/>
    <n v="22782822"/>
    <m/>
    <m/>
    <m/>
    <s v="SOLFIN"/>
    <s v="SOLFIN"/>
    <s v="CCMS"/>
    <n v="21343939"/>
    <n v="5388.21"/>
    <m/>
    <s v="N"/>
    <n v="37"/>
    <d v="2023-07-07T19:03:18"/>
    <s v="Y"/>
    <s v="Attendance upon court"/>
    <s v="Prescribed Hourly Rates"/>
    <s v="Profit Cost"/>
    <s v="Hollie Knapman"/>
    <s v="Y"/>
    <n v="157.84"/>
    <n v="31.57"/>
    <x v="9"/>
    <s v="VALIDATED"/>
    <n v="1"/>
    <s v="01.11.80.307.6100.0000"/>
    <n v="157.84"/>
    <s v="11"/>
    <s v="6100"/>
    <n v="10342.84"/>
    <n v="157.84"/>
    <s v="CREDITOR"/>
    <n v="0"/>
    <n v="0"/>
    <n v="0"/>
    <n v="0"/>
    <n v="157.84"/>
  </r>
  <r>
    <n v="60032783"/>
    <s v="N"/>
    <n v="21343939"/>
    <s v="3000014372670006"/>
    <s v="CIVIL"/>
    <d v="2023-06-28T00:00:00"/>
    <d v="2023-07-07T19:03:00"/>
    <m/>
    <d v="2023-07-07T00:00:00"/>
    <n v="627"/>
    <n v="16896"/>
    <s v="60032783"/>
    <s v="60032783"/>
    <m/>
    <m/>
    <n v="22782822"/>
    <m/>
    <m/>
    <m/>
    <s v="SOLFIN"/>
    <s v="SOLFIN"/>
    <s v="CCMS"/>
    <n v="21343939"/>
    <n v="5388.21"/>
    <m/>
    <s v="N"/>
    <n v="43"/>
    <d v="2023-07-07T19:03:18"/>
    <s v="Y"/>
    <s v="Attendance upon other"/>
    <s v="Prescribed Hourly Rates"/>
    <s v="Profit Cost"/>
    <s v="Georgina Bacon"/>
    <s v="Y"/>
    <n v="12.63"/>
    <n v="2.53"/>
    <x v="9"/>
    <s v="VALIDATED"/>
    <n v="1"/>
    <s v="01.11.80.307.6100.0000"/>
    <n v="12.63"/>
    <s v="11"/>
    <s v="6100"/>
    <n v="10342.84"/>
    <n v="12.63"/>
    <s v="CREDITOR"/>
    <n v="0"/>
    <n v="0"/>
    <n v="0"/>
    <n v="0"/>
    <n v="12.63"/>
  </r>
  <r>
    <n v="60777600"/>
    <s v="N"/>
    <n v="21362994"/>
    <s v="3000015015960009"/>
    <s v="CIVIL"/>
    <d v="2023-06-30T00:00:00"/>
    <d v="2023-07-12T19:01:49"/>
    <m/>
    <d v="2023-07-12T00:00:00"/>
    <n v="627"/>
    <n v="16896"/>
    <s v="60777600"/>
    <s v="60777600"/>
    <m/>
    <m/>
    <n v="22801578"/>
    <m/>
    <m/>
    <m/>
    <s v="SOLFIN"/>
    <s v="SOLFIN"/>
    <s v="CCMS"/>
    <n v="21362994"/>
    <n v="8516"/>
    <m/>
    <s v="N"/>
    <n v="10"/>
    <d v="2023-07-12T19:01:53"/>
    <s v="Y"/>
    <s v="Psychologist"/>
    <s v="Public Law Children"/>
    <s v="Expert Disbursement"/>
    <s v="Gareth Bishop"/>
    <s v="Y"/>
    <n v="1422.84"/>
    <n v="284.57"/>
    <x v="0"/>
    <s v="VALIDATED"/>
    <n v="1"/>
    <s v="01.11.80.308.6300.0000"/>
    <n v="1422.84"/>
    <s v="11"/>
    <s v="6300"/>
    <n v="10342.84"/>
    <n v="1422.84"/>
    <s v="CREDITOR"/>
    <n v="0"/>
    <n v="0"/>
    <n v="0"/>
    <n v="0"/>
    <n v="1422.84"/>
  </r>
  <r>
    <n v="61691380"/>
    <s v="N"/>
    <n v="21338429"/>
    <s v="3000015785680002"/>
    <s v="CIVIL"/>
    <d v="2023-06-29T00:00:00"/>
    <d v="2023-07-06T19:21:01"/>
    <m/>
    <d v="2023-07-06T00:00:00"/>
    <n v="627"/>
    <n v="16896"/>
    <s v="61691380"/>
    <s v="61691380"/>
    <m/>
    <m/>
    <n v="22790554"/>
    <m/>
    <m/>
    <m/>
    <s v="SOLFIN"/>
    <s v="SOLFIN"/>
    <s v="CCMS"/>
    <n v="21338429"/>
    <n v="1002.46"/>
    <m/>
    <s v="N"/>
    <n v="3"/>
    <d v="2023-07-06T19:21:24"/>
    <s v="Y"/>
    <s v="Preparation - drafting application"/>
    <s v="Care Remuneration Hourly Rates"/>
    <s v="Profit Cost"/>
    <s v="Gareth Bishop"/>
    <s v="Y"/>
    <n v="33.59"/>
    <n v="6.72"/>
    <x v="4"/>
    <s v="VALIDATED"/>
    <n v="1"/>
    <s v="01.11.80.308.6100.0000"/>
    <n v="33.59"/>
    <s v="11"/>
    <s v="6100"/>
    <n v="10342.84"/>
    <n v="33.59"/>
    <s v="CREDITOR"/>
    <n v="0"/>
    <n v="0"/>
    <n v="0"/>
    <n v="0"/>
    <n v="33.59"/>
  </r>
  <r>
    <n v="60032783"/>
    <s v="N"/>
    <n v="21343939"/>
    <s v="3000014372670006"/>
    <s v="CIVIL"/>
    <d v="2023-06-28T00:00:00"/>
    <d v="2023-07-07T19:03:00"/>
    <m/>
    <d v="2023-07-07T00:00:00"/>
    <n v="627"/>
    <n v="16896"/>
    <s v="60032783"/>
    <s v="60032783"/>
    <m/>
    <m/>
    <n v="22782822"/>
    <m/>
    <m/>
    <m/>
    <s v="SOLFIN"/>
    <s v="SOLFIN"/>
    <s v="CCMS"/>
    <n v="21343939"/>
    <n v="5388.21"/>
    <m/>
    <s v="N"/>
    <n v="35"/>
    <d v="2023-07-07T19:03:18"/>
    <s v="Y"/>
    <s v="Preparation - drafting notice(s)"/>
    <s v="Prescribed Hourly Rates"/>
    <s v="Profit Cost"/>
    <s v="Georgina Bacon"/>
    <s v="Y"/>
    <n v="12.63"/>
    <n v="2.53"/>
    <x v="9"/>
    <s v="VALIDATED"/>
    <n v="1"/>
    <s v="01.11.80.307.6100.0000"/>
    <n v="12.63"/>
    <s v="11"/>
    <s v="6100"/>
    <n v="10342.84"/>
    <n v="12.63"/>
    <s v="CREDITOR"/>
    <n v="0"/>
    <n v="0"/>
    <n v="0"/>
    <n v="0"/>
    <n v="12.63"/>
  </r>
  <r>
    <n v="61772086"/>
    <s v="N"/>
    <n v="21338474"/>
    <s v="3000015849670001"/>
    <s v="CIVIL"/>
    <d v="2023-06-28T00:00:00"/>
    <d v="2023-07-06T19:21:01"/>
    <m/>
    <d v="2023-07-06T00:00:00"/>
    <n v="627"/>
    <n v="16896"/>
    <s v="61772086"/>
    <s v="61772086"/>
    <m/>
    <m/>
    <n v="22781652"/>
    <m/>
    <m/>
    <m/>
    <s v="SOLFIN"/>
    <s v="SOLFIN"/>
    <s v="CCMS"/>
    <n v="21338474"/>
    <n v="1385.22"/>
    <m/>
    <s v="N"/>
    <n v="12"/>
    <d v="2023-07-06T19:21:26"/>
    <s v="Y"/>
    <s v="Preparation - drafting application"/>
    <s v="Care Remuneration Hourly Rates"/>
    <s v="Profit Cost"/>
    <s v="Gareth Bishop"/>
    <s v="Y"/>
    <n v="33.59"/>
    <n v="6.72"/>
    <x v="4"/>
    <s v="VALIDATED"/>
    <n v="1"/>
    <s v="01.11.80.308.6100.0000"/>
    <n v="33.59"/>
    <s v="11"/>
    <s v="6100"/>
    <n v="10342.84"/>
    <n v="33.59"/>
    <s v="CREDITOR"/>
    <n v="0"/>
    <n v="0"/>
    <n v="0"/>
    <n v="0"/>
    <n v="33.59"/>
  </r>
  <r>
    <n v="61252136"/>
    <s v="N"/>
    <n v="21360248"/>
    <s v="3000015418890006"/>
    <s v="CIVIL"/>
    <d v="2023-06-29T00:00:00"/>
    <d v="2023-07-11T11:50:54"/>
    <m/>
    <d v="2023-07-11T00:00:00"/>
    <n v="627"/>
    <n v="16896"/>
    <s v="61252136"/>
    <s v="61252136"/>
    <m/>
    <m/>
    <n v="22793530"/>
    <m/>
    <m/>
    <m/>
    <s v="SOLFIN"/>
    <s v="SOLFIN"/>
    <s v="CCMS"/>
    <n v="21360248"/>
    <n v="5573.1"/>
    <m/>
    <s v="N"/>
    <n v="4"/>
    <d v="2023-07-11T11:50:58"/>
    <s v="Y"/>
    <s v="Toxicologist"/>
    <s v="Public Law Children"/>
    <s v="Expert Disbursement"/>
    <s v="Gareth Bishop"/>
    <s v="Y"/>
    <n v="219.94"/>
    <n v="43.99"/>
    <x v="7"/>
    <s v="VALIDATED"/>
    <n v="1"/>
    <s v="01.11.80.308.6300.0000"/>
    <n v="219.94"/>
    <s v="11"/>
    <s v="6300"/>
    <n v="10342.84"/>
    <n v="219.94"/>
    <s v="CREDITOR"/>
    <n v="0"/>
    <n v="0"/>
    <n v="0"/>
    <n v="0"/>
    <n v="219.94"/>
  </r>
  <r>
    <n v="60274111"/>
    <s v="N"/>
    <n v="21350182"/>
    <s v="3000014580680001"/>
    <s v="CIVIL"/>
    <d v="2023-06-30T00:00:00"/>
    <d v="2023-07-10T19:01:40"/>
    <m/>
    <d v="2023-07-10T00:00:00"/>
    <n v="627"/>
    <n v="16896"/>
    <s v="60274111"/>
    <s v="60274111"/>
    <m/>
    <m/>
    <n v="22799038"/>
    <m/>
    <m/>
    <m/>
    <s v="SOLFIN"/>
    <s v="SOLFIN"/>
    <s v="CCMS"/>
    <n v="21350182"/>
    <n v="0"/>
    <m/>
    <s v="N"/>
    <n v="1"/>
    <d v="2023-07-10T19:02:17"/>
    <s v="N"/>
    <s v="NIL BILL"/>
    <s v="Public Law Children"/>
    <s v="Profit Cost"/>
    <s v="Gareth Bishop"/>
    <s v="N"/>
    <n v="0"/>
    <n v="0"/>
    <x v="2"/>
    <s v="VALIDATED"/>
    <n v="1"/>
    <s v="01.11.80.308.6100.0000"/>
    <n v="0"/>
    <s v="11"/>
    <s v="6100"/>
    <n v="10342.84"/>
    <n v="0"/>
    <s v="CREDITOR"/>
    <n v="0"/>
    <n v="0"/>
    <n v="0"/>
    <n v="0"/>
    <n v="0"/>
  </r>
  <r>
    <n v="60032783"/>
    <s v="N"/>
    <n v="21343939"/>
    <s v="3000014372670006"/>
    <s v="CIVIL"/>
    <d v="2023-06-28T00:00:00"/>
    <d v="2023-07-07T19:03:00"/>
    <m/>
    <d v="2023-07-07T00:00:00"/>
    <n v="627"/>
    <n v="16896"/>
    <s v="60032783"/>
    <s v="60032783"/>
    <m/>
    <m/>
    <n v="22782822"/>
    <m/>
    <m/>
    <m/>
    <s v="SOLFIN"/>
    <s v="SOLFIN"/>
    <s v="CCMS"/>
    <n v="21343939"/>
    <n v="5388.21"/>
    <m/>
    <s v="N"/>
    <n v="44"/>
    <d v="2023-07-07T19:03:18"/>
    <s v="Y"/>
    <s v="Preparation - drafting application"/>
    <s v="Prescribed Hourly Rates"/>
    <s v="Profit Cost"/>
    <s v="Georgina Bacon"/>
    <s v="Y"/>
    <n v="37.88"/>
    <n v="7.58"/>
    <x v="9"/>
    <s v="VALIDATED"/>
    <n v="1"/>
    <s v="01.11.80.307.6100.0000"/>
    <n v="37.88"/>
    <s v="11"/>
    <s v="6100"/>
    <n v="10342.84"/>
    <n v="37.88"/>
    <s v="CREDITOR"/>
    <n v="0"/>
    <n v="0"/>
    <n v="0"/>
    <n v="0"/>
    <n v="37.88"/>
  </r>
  <r>
    <n v="60032783"/>
    <s v="N"/>
    <n v="21343939"/>
    <s v="3000014372670006"/>
    <s v="CIVIL"/>
    <d v="2023-06-28T00:00:00"/>
    <d v="2023-07-07T19:03:00"/>
    <m/>
    <d v="2023-07-07T00:00:00"/>
    <n v="627"/>
    <n v="16896"/>
    <s v="60032783"/>
    <s v="60032783"/>
    <m/>
    <m/>
    <n v="22782822"/>
    <m/>
    <m/>
    <m/>
    <s v="SOLFIN"/>
    <s v="SOLFIN"/>
    <s v="CCMS"/>
    <n v="21343939"/>
    <n v="5388.21"/>
    <m/>
    <s v="N"/>
    <n v="46"/>
    <d v="2023-07-07T19:03:18"/>
    <s v="Y"/>
    <s v="Preparation - drafting statement"/>
    <s v="Prescribed Hourly Rates"/>
    <s v="Profit Cost"/>
    <s v="Georgina Bacon"/>
    <s v="Y"/>
    <n v="25.25"/>
    <n v="5.05"/>
    <x v="9"/>
    <s v="VALIDATED"/>
    <n v="1"/>
    <s v="01.11.80.307.6100.0000"/>
    <n v="25.25"/>
    <s v="11"/>
    <s v="6100"/>
    <n v="10342.84"/>
    <n v="25.25"/>
    <s v="CREDITOR"/>
    <n v="0"/>
    <n v="0"/>
    <n v="0"/>
    <n v="0"/>
    <n v="25.25"/>
  </r>
  <r>
    <n v="61772086"/>
    <s v="N"/>
    <n v="21338474"/>
    <s v="3000015849670001"/>
    <s v="CIVIL"/>
    <d v="2023-06-28T00:00:00"/>
    <d v="2023-07-06T19:21:01"/>
    <m/>
    <d v="2023-07-06T00:00:00"/>
    <n v="627"/>
    <n v="16896"/>
    <s v="61772086"/>
    <s v="61772086"/>
    <m/>
    <m/>
    <n v="22781652"/>
    <m/>
    <m/>
    <m/>
    <s v="SOLFIN"/>
    <s v="SOLFIN"/>
    <s v="CCMS"/>
    <n v="21338474"/>
    <n v="1385.22"/>
    <m/>
    <s v="N"/>
    <n v="14"/>
    <d v="2023-07-06T19:21:26"/>
    <s v="Y"/>
    <s v="Final Hearing - 1 Day"/>
    <s v="Other Public Law Children"/>
    <s v="Advocacy"/>
    <s v="Gareth Bishop"/>
    <s v="Y"/>
    <n v="510.75"/>
    <n v="102.15"/>
    <x v="4"/>
    <s v="VALIDATED"/>
    <n v="1"/>
    <s v="01.11.80.308.6100.0000"/>
    <n v="510.75"/>
    <s v="11"/>
    <s v="6100"/>
    <n v="10342.84"/>
    <n v="510.75"/>
    <s v="CREDITOR"/>
    <n v="0"/>
    <n v="0"/>
    <n v="0"/>
    <n v="0"/>
    <n v="510.75"/>
  </r>
  <r>
    <n v="61691380"/>
    <s v="N"/>
    <n v="21338429"/>
    <s v="3000015785680002"/>
    <s v="CIVIL"/>
    <d v="2023-06-29T00:00:00"/>
    <d v="2023-07-06T19:21:01"/>
    <m/>
    <d v="2023-07-06T00:00:00"/>
    <n v="627"/>
    <n v="16896"/>
    <s v="61691380"/>
    <s v="61691380"/>
    <m/>
    <m/>
    <n v="22790554"/>
    <m/>
    <m/>
    <m/>
    <s v="SOLFIN"/>
    <s v="SOLFIN"/>
    <s v="CCMS"/>
    <n v="21338429"/>
    <n v="1002.46"/>
    <m/>
    <s v="N"/>
    <n v="9"/>
    <d v="2023-07-06T19:21:24"/>
    <s v="Y"/>
    <s v="Preparation - drafting attendance n"/>
    <s v="Care Remuneration Hourly Rates"/>
    <s v="Profit Cost"/>
    <s v="Gareth Bishop"/>
    <s v="Y"/>
    <n v="13.43"/>
    <n v="2.69"/>
    <x v="4"/>
    <s v="VALIDATED"/>
    <n v="1"/>
    <s v="01.11.80.308.6100.0000"/>
    <n v="13.43"/>
    <s v="11"/>
    <s v="6100"/>
    <n v="10342.84"/>
    <n v="13.43"/>
    <s v="CREDITOR"/>
    <n v="0"/>
    <n v="0"/>
    <n v="0"/>
    <n v="0"/>
    <n v="13.43"/>
  </r>
  <r>
    <n v="61691380"/>
    <s v="N"/>
    <n v="21338429"/>
    <s v="3000015785680002"/>
    <s v="CIVIL"/>
    <d v="2023-06-29T00:00:00"/>
    <d v="2023-07-06T19:21:01"/>
    <m/>
    <d v="2023-07-06T00:00:00"/>
    <n v="627"/>
    <n v="16896"/>
    <s v="61691380"/>
    <s v="61691380"/>
    <m/>
    <m/>
    <n v="22790554"/>
    <m/>
    <m/>
    <m/>
    <s v="SOLFIN"/>
    <s v="SOLFIN"/>
    <s v="CCMS"/>
    <n v="21338429"/>
    <n v="1002.46"/>
    <m/>
    <s v="N"/>
    <n v="15"/>
    <d v="2023-07-06T19:21:24"/>
    <s v="Y"/>
    <s v="Preparation - drafting attendance n"/>
    <s v="Care Remuneration Hourly Rates"/>
    <s v="Profit Cost"/>
    <s v="Gareth Bishop"/>
    <s v="Y"/>
    <n v="6.72"/>
    <n v="1.34"/>
    <x v="4"/>
    <s v="VALIDATED"/>
    <n v="1"/>
    <s v="01.11.80.308.6100.0000"/>
    <n v="6.72"/>
    <s v="11"/>
    <s v="6100"/>
    <n v="10342.84"/>
    <n v="6.72"/>
    <s v="CREDITOR"/>
    <n v="0"/>
    <n v="0"/>
    <n v="0"/>
    <n v="0"/>
    <n v="6.72"/>
  </r>
  <r>
    <n v="60777600"/>
    <s v="N"/>
    <n v="21362994"/>
    <s v="3000015015960009"/>
    <s v="CIVIL"/>
    <d v="2023-06-30T00:00:00"/>
    <d v="2023-07-12T19:01:49"/>
    <m/>
    <d v="2023-07-12T00:00:00"/>
    <n v="627"/>
    <n v="16896"/>
    <s v="60777600"/>
    <s v="60777600"/>
    <m/>
    <m/>
    <n v="22801578"/>
    <m/>
    <m/>
    <m/>
    <s v="SOLFIN"/>
    <s v="SOLFIN"/>
    <s v="CCMS"/>
    <n v="21362994"/>
    <n v="8516"/>
    <m/>
    <s v="N"/>
    <n v="8"/>
    <d v="2023-07-12T19:01:53"/>
    <s v="Y"/>
    <s v="Psychiatrist"/>
    <s v="Public Law Children"/>
    <s v="Expert Disbursement"/>
    <s v="Gareth Bishop"/>
    <s v="Y"/>
    <n v="414"/>
    <n v="82.8"/>
    <x v="0"/>
    <s v="VALIDATED"/>
    <n v="1"/>
    <s v="01.11.80.308.6300.0000"/>
    <n v="414"/>
    <s v="11"/>
    <s v="6300"/>
    <n v="10342.84"/>
    <n v="414"/>
    <s v="CREDITOR"/>
    <n v="0"/>
    <n v="0"/>
    <n v="0"/>
    <n v="0"/>
    <n v="414"/>
  </r>
  <r>
    <n v="61252136"/>
    <s v="N"/>
    <n v="21360248"/>
    <s v="3000015418890006"/>
    <s v="CIVIL"/>
    <d v="2023-06-29T00:00:00"/>
    <d v="2023-07-11T11:50:54"/>
    <m/>
    <d v="2023-07-11T00:00:00"/>
    <n v="627"/>
    <n v="16896"/>
    <s v="61252136"/>
    <s v="61252136"/>
    <m/>
    <m/>
    <n v="22793530"/>
    <m/>
    <m/>
    <m/>
    <s v="SOLFIN"/>
    <s v="SOLFIN"/>
    <s v="CCMS"/>
    <n v="21360248"/>
    <n v="5573.1"/>
    <m/>
    <s v="N"/>
    <n v="2"/>
    <d v="2023-07-11T11:50:58"/>
    <s v="Y"/>
    <s v="Exceptional Travel"/>
    <s v="Public Law Children"/>
    <s v="Advocacy"/>
    <s v="Gareth Bishop"/>
    <s v="Y"/>
    <n v="32.04"/>
    <n v="6.41"/>
    <x v="7"/>
    <s v="VALIDATED"/>
    <n v="1"/>
    <s v="01.11.80.308.6100.0000"/>
    <n v="32.04"/>
    <s v="11"/>
    <s v="6100"/>
    <n v="10342.84"/>
    <n v="32.04"/>
    <s v="CREDITOR"/>
    <n v="0"/>
    <n v="0"/>
    <n v="0"/>
    <n v="0"/>
    <n v="32.04"/>
  </r>
  <r>
    <n v="60032783"/>
    <s v="N"/>
    <n v="21343939"/>
    <s v="3000014372670006"/>
    <s v="CIVIL"/>
    <d v="2023-06-28T00:00:00"/>
    <d v="2023-07-07T19:03:00"/>
    <m/>
    <d v="2023-07-07T00:00:00"/>
    <n v="627"/>
    <n v="16896"/>
    <s v="60032783"/>
    <s v="60032783"/>
    <m/>
    <m/>
    <n v="22782822"/>
    <m/>
    <m/>
    <m/>
    <s v="SOLFIN"/>
    <s v="SOLFIN"/>
    <s v="CCMS"/>
    <n v="21343939"/>
    <n v="5388.21"/>
    <m/>
    <s v="N"/>
    <n v="5"/>
    <d v="2023-07-07T19:03:18"/>
    <s v="Y"/>
    <s v="Preparation - drafting statement"/>
    <s v="Prescribed Hourly Rates"/>
    <s v="Profit Cost"/>
    <s v="Georgina Bacon"/>
    <s v="Y"/>
    <n v="6.31"/>
    <n v="1.26"/>
    <x v="9"/>
    <s v="VALIDATED"/>
    <n v="1"/>
    <s v="01.11.80.307.6100.0000"/>
    <n v="6.31"/>
    <s v="11"/>
    <s v="6100"/>
    <n v="10342.84"/>
    <n v="6.31"/>
    <s v="CREDITOR"/>
    <n v="0"/>
    <n v="0"/>
    <n v="0"/>
    <n v="0"/>
    <n v="6.31"/>
  </r>
  <r>
    <n v="60032783"/>
    <s v="N"/>
    <n v="21343939"/>
    <s v="3000014372670006"/>
    <s v="CIVIL"/>
    <d v="2023-06-28T00:00:00"/>
    <d v="2023-07-07T19:03:00"/>
    <m/>
    <d v="2023-07-07T00:00:00"/>
    <n v="627"/>
    <n v="16896"/>
    <s v="60032783"/>
    <s v="60032783"/>
    <m/>
    <m/>
    <n v="22782822"/>
    <m/>
    <m/>
    <m/>
    <s v="SOLFIN"/>
    <s v="SOLFIN"/>
    <s v="CCMS"/>
    <n v="21343939"/>
    <n v="5388.21"/>
    <m/>
    <s v="N"/>
    <n v="8"/>
    <d v="2023-07-07T19:03:18"/>
    <s v="Y"/>
    <s v="Attendance upon client"/>
    <s v="Prescribed Hourly Rates"/>
    <s v="Profit Cost"/>
    <s v="Georgina Bacon"/>
    <s v="Y"/>
    <n v="18.94"/>
    <n v="3.79"/>
    <x v="9"/>
    <s v="VALIDATED"/>
    <n v="1"/>
    <s v="01.11.80.307.6100.0000"/>
    <n v="18.94"/>
    <s v="11"/>
    <s v="6100"/>
    <n v="10342.84"/>
    <n v="18.94"/>
    <s v="CREDITOR"/>
    <n v="0"/>
    <n v="0"/>
    <n v="0"/>
    <n v="0"/>
    <n v="18.94"/>
  </r>
  <r>
    <n v="60032783"/>
    <s v="N"/>
    <n v="21343939"/>
    <s v="3000014372670006"/>
    <s v="CIVIL"/>
    <d v="2023-06-28T00:00:00"/>
    <d v="2023-07-07T19:03:00"/>
    <m/>
    <d v="2023-07-07T00:00:00"/>
    <n v="627"/>
    <n v="16896"/>
    <s v="60032783"/>
    <s v="60032783"/>
    <m/>
    <m/>
    <n v="22782822"/>
    <m/>
    <m/>
    <m/>
    <s v="SOLFIN"/>
    <s v="SOLFIN"/>
    <s v="CCMS"/>
    <n v="21343939"/>
    <n v="5388.21"/>
    <m/>
    <s v="N"/>
    <n v="28"/>
    <d v="2023-07-07T19:03:18"/>
    <s v="Y"/>
    <s v="Report - other"/>
    <s v="Prescribed Hourly Rates"/>
    <s v="Profit Cost"/>
    <s v="Georgina Bacon"/>
    <s v="Y"/>
    <n v="12.63"/>
    <n v="2.53"/>
    <x v="9"/>
    <s v="VALIDATED"/>
    <n v="1"/>
    <s v="01.11.80.307.6100.0000"/>
    <n v="12.63"/>
    <s v="11"/>
    <s v="6100"/>
    <n v="10342.84"/>
    <n v="12.63"/>
    <s v="CREDITOR"/>
    <n v="0"/>
    <n v="0"/>
    <n v="0"/>
    <n v="0"/>
    <n v="12.63"/>
  </r>
  <r>
    <n v="60032783"/>
    <s v="N"/>
    <n v="21343939"/>
    <s v="3000014372670006"/>
    <s v="CIVIL"/>
    <d v="2023-06-28T00:00:00"/>
    <d v="2023-07-07T19:03:00"/>
    <m/>
    <d v="2023-07-07T00:00:00"/>
    <n v="627"/>
    <n v="16896"/>
    <s v="60032783"/>
    <s v="60032783"/>
    <m/>
    <m/>
    <n v="22782822"/>
    <m/>
    <m/>
    <m/>
    <s v="SOLFIN"/>
    <s v="SOLFIN"/>
    <s v="CCMS"/>
    <n v="21343939"/>
    <n v="5388.21"/>
    <m/>
    <s v="N"/>
    <n v="52"/>
    <d v="2023-07-07T19:03:18"/>
    <s v="Y"/>
    <s v="Risk assessment expert"/>
    <s v="Prescribed Hourly Rates"/>
    <s v="Expert Disbursement"/>
    <s v="Georgina Bacon"/>
    <s v="Y"/>
    <n v="2160"/>
    <n v="0"/>
    <x v="9"/>
    <s v="VALIDATED"/>
    <n v="1"/>
    <s v="01.11.80.307.6300.0000"/>
    <n v="2160"/>
    <s v="11"/>
    <s v="6300"/>
    <n v="10342.84"/>
    <n v="2160"/>
    <s v="CREDITOR"/>
    <n v="0"/>
    <n v="0"/>
    <n v="0"/>
    <n v="0"/>
    <n v="2160"/>
  </r>
  <r>
    <n v="61252136"/>
    <s v="N"/>
    <n v="21360248"/>
    <s v="3000015418890006"/>
    <s v="CIVIL"/>
    <d v="2023-06-29T00:00:00"/>
    <d v="2023-07-11T11:50:54"/>
    <m/>
    <d v="2023-07-11T00:00:00"/>
    <n v="627"/>
    <n v="16896"/>
    <s v="61252136"/>
    <s v="61252136"/>
    <m/>
    <m/>
    <n v="22793530"/>
    <m/>
    <m/>
    <m/>
    <s v="SOLFIN"/>
    <s v="SOLFIN"/>
    <s v="CCMS"/>
    <n v="21360248"/>
    <n v="5573.1"/>
    <m/>
    <s v="N"/>
    <n v="3"/>
    <d v="2023-07-11T11:50:58"/>
    <s v="Y"/>
    <s v="Final Hearing Court Bundle/Advocate"/>
    <s v="Public Law Children"/>
    <s v="Advocacy"/>
    <s v="Gareth Bishop"/>
    <s v="Y"/>
    <n v="318.6"/>
    <n v="63.72"/>
    <x v="7"/>
    <s v="VALIDATED"/>
    <n v="1"/>
    <s v="01.11.80.308.6100.0000"/>
    <n v="318.6"/>
    <s v="11"/>
    <s v="6100"/>
    <n v="10342.84"/>
    <n v="318.6"/>
    <s v="CREDITOR"/>
    <n v="0"/>
    <n v="0"/>
    <n v="0"/>
    <n v="0"/>
    <n v="318.6"/>
  </r>
  <r>
    <n v="60032783"/>
    <s v="N"/>
    <n v="21343939"/>
    <s v="3000014372670006"/>
    <s v="CIVIL"/>
    <d v="2023-06-28T00:00:00"/>
    <d v="2023-07-07T19:03:00"/>
    <m/>
    <d v="2023-07-07T00:00:00"/>
    <n v="627"/>
    <n v="16896"/>
    <s v="60032783"/>
    <s v="60032783"/>
    <m/>
    <m/>
    <n v="22782822"/>
    <m/>
    <m/>
    <m/>
    <s v="SOLFIN"/>
    <s v="SOLFIN"/>
    <s v="CCMS"/>
    <n v="21343939"/>
    <n v="5388.21"/>
    <m/>
    <s v="N"/>
    <n v="13"/>
    <d v="2023-07-07T19:03:18"/>
    <s v="Y"/>
    <s v="Preparation - Periodic file review"/>
    <s v="Prescribed Hourly Rates"/>
    <s v="Profit Cost"/>
    <s v="Georgina Bacon"/>
    <s v="Y"/>
    <n v="31.57"/>
    <n v="6.31"/>
    <x v="9"/>
    <s v="VALIDATED"/>
    <n v="1"/>
    <s v="01.11.80.307.6100.0000"/>
    <n v="31.57"/>
    <s v="11"/>
    <s v="6100"/>
    <n v="10342.84"/>
    <n v="31.57"/>
    <s v="CREDITOR"/>
    <n v="0"/>
    <n v="0"/>
    <n v="0"/>
    <n v="0"/>
    <n v="31.57"/>
  </r>
  <r>
    <n v="61691380"/>
    <s v="N"/>
    <n v="21338429"/>
    <s v="3000015785680002"/>
    <s v="CIVIL"/>
    <d v="2023-06-29T00:00:00"/>
    <d v="2023-07-06T19:21:01"/>
    <m/>
    <d v="2023-07-06T00:00:00"/>
    <n v="627"/>
    <n v="16896"/>
    <s v="61691380"/>
    <s v="61691380"/>
    <m/>
    <m/>
    <n v="22790554"/>
    <m/>
    <m/>
    <m/>
    <s v="SOLFIN"/>
    <s v="SOLFIN"/>
    <s v="CCMS"/>
    <n v="21338429"/>
    <n v="1002.46"/>
    <m/>
    <s v="N"/>
    <n v="2"/>
    <d v="2023-07-06T19:21:24"/>
    <s v="Y"/>
    <s v="Routine Letter Out"/>
    <s v="Care Remuneration Hourly Rates"/>
    <s v="Profit Cost"/>
    <s v="Gareth Bishop"/>
    <s v="Y"/>
    <n v="84.87"/>
    <n v="16.97"/>
    <x v="4"/>
    <s v="VALIDATED"/>
    <n v="1"/>
    <s v="01.11.80.308.6100.0000"/>
    <n v="84.87"/>
    <s v="11"/>
    <s v="6100"/>
    <n v="10342.84"/>
    <n v="84.87"/>
    <s v="CREDITOR"/>
    <n v="0"/>
    <n v="0"/>
    <n v="0"/>
    <n v="0"/>
    <n v="84.87"/>
  </r>
  <r>
    <n v="61772086"/>
    <s v="N"/>
    <n v="21338474"/>
    <s v="3000015849670001"/>
    <s v="CIVIL"/>
    <d v="2023-06-28T00:00:00"/>
    <d v="2023-07-06T19:21:01"/>
    <m/>
    <d v="2023-07-06T00:00:00"/>
    <n v="627"/>
    <n v="16896"/>
    <s v="61772086"/>
    <s v="61772086"/>
    <m/>
    <m/>
    <n v="22781652"/>
    <m/>
    <m/>
    <m/>
    <s v="SOLFIN"/>
    <s v="SOLFIN"/>
    <s v="CCMS"/>
    <n v="21338474"/>
    <n v="1385.22"/>
    <m/>
    <s v="N"/>
    <n v="4"/>
    <d v="2023-07-06T19:21:26"/>
    <s v="Y"/>
    <s v="Preparation - drafting pleadings"/>
    <s v="Care Remuneration Hourly Rates"/>
    <s v="Profit Cost"/>
    <s v="Gareth Bishop"/>
    <s v="Y"/>
    <n v="33.59"/>
    <n v="6.72"/>
    <x v="4"/>
    <s v="VALIDATED"/>
    <n v="1"/>
    <s v="01.11.80.308.6100.0000"/>
    <n v="33.59"/>
    <s v="11"/>
    <s v="6100"/>
    <n v="10342.84"/>
    <n v="33.59"/>
    <s v="CREDITOR"/>
    <n v="0"/>
    <n v="0"/>
    <n v="0"/>
    <n v="0"/>
    <n v="33.59"/>
  </r>
  <r>
    <n v="61772086"/>
    <s v="N"/>
    <n v="21338474"/>
    <s v="3000015849670001"/>
    <s v="CIVIL"/>
    <d v="2023-06-28T00:00:00"/>
    <d v="2023-07-06T19:21:01"/>
    <m/>
    <d v="2023-07-06T00:00:00"/>
    <n v="627"/>
    <n v="16896"/>
    <s v="61772086"/>
    <s v="61772086"/>
    <m/>
    <m/>
    <n v="22781652"/>
    <m/>
    <m/>
    <m/>
    <s v="SOLFIN"/>
    <s v="SOLFIN"/>
    <s v="CCMS"/>
    <n v="21338474"/>
    <n v="1385.22"/>
    <m/>
    <s v="N"/>
    <n v="7"/>
    <d v="2023-07-06T19:21:26"/>
    <s v="Y"/>
    <s v="Routine Letter In"/>
    <s v="Care Remuneration Hourly Rates"/>
    <s v="Profit Cost"/>
    <s v="Gareth Bishop"/>
    <s v="Y"/>
    <n v="42.55"/>
    <n v="8.51"/>
    <x v="4"/>
    <s v="VALIDATED"/>
    <n v="1"/>
    <s v="01.11.80.308.6100.0000"/>
    <n v="42.55"/>
    <s v="11"/>
    <s v="6100"/>
    <n v="10342.84"/>
    <n v="42.55"/>
    <s v="CREDITOR"/>
    <n v="0"/>
    <n v="0"/>
    <n v="0"/>
    <n v="0"/>
    <n v="42.55"/>
  </r>
  <r>
    <n v="61772086"/>
    <s v="N"/>
    <n v="21338474"/>
    <s v="3000015849670001"/>
    <s v="CIVIL"/>
    <d v="2023-06-28T00:00:00"/>
    <d v="2023-07-06T19:21:01"/>
    <m/>
    <d v="2023-07-06T00:00:00"/>
    <n v="627"/>
    <n v="16896"/>
    <s v="61772086"/>
    <s v="61772086"/>
    <m/>
    <m/>
    <n v="22781652"/>
    <m/>
    <m/>
    <m/>
    <s v="SOLFIN"/>
    <s v="SOLFIN"/>
    <s v="CCMS"/>
    <n v="21338474"/>
    <n v="1385.22"/>
    <m/>
    <s v="N"/>
    <n v="3"/>
    <d v="2023-07-06T19:21:26"/>
    <s v="Y"/>
    <s v="Preparation - drafting notice(s)"/>
    <s v="Care Remuneration Hourly Rates"/>
    <s v="Profit Cost"/>
    <s v="Gareth Bishop"/>
    <s v="Y"/>
    <n v="13.43"/>
    <n v="2.69"/>
    <x v="4"/>
    <s v="VALIDATED"/>
    <n v="1"/>
    <s v="01.11.80.308.6100.0000"/>
    <n v="13.43"/>
    <s v="11"/>
    <s v="6100"/>
    <n v="10342.84"/>
    <n v="13.43"/>
    <s v="CREDITOR"/>
    <n v="0"/>
    <n v="0"/>
    <n v="0"/>
    <n v="0"/>
    <n v="13.43"/>
  </r>
  <r>
    <n v="60273351"/>
    <s v="N"/>
    <n v="21360296"/>
    <s v="3000014580050004"/>
    <s v="CIVIL"/>
    <d v="2023-06-30T00:00:00"/>
    <d v="2023-07-11T11:50:54"/>
    <m/>
    <d v="2023-07-11T00:00:00"/>
    <n v="627"/>
    <n v="16896"/>
    <s v="60273351"/>
    <s v="60273351"/>
    <m/>
    <m/>
    <n v="22799124"/>
    <m/>
    <m/>
    <m/>
    <s v="SOLFIN"/>
    <s v="SOLFIN"/>
    <s v="CCMS"/>
    <n v="21360296"/>
    <n v="5739.07"/>
    <m/>
    <s v="N"/>
    <n v="8"/>
    <d v="2023-07-11T11:51:01"/>
    <s v="Y"/>
    <s v="Hearing Unit 1.01 - 2.30 Hours"/>
    <s v="Public Law Children"/>
    <s v="Advocacy"/>
    <s v="Gareth Bishop"/>
    <s v="Y"/>
    <n v="238.46"/>
    <n v="47.69"/>
    <x v="7"/>
    <s v="VALIDATED"/>
    <n v="1"/>
    <s v="01.11.80.308.6100.0000"/>
    <n v="238.46"/>
    <s v="11"/>
    <s v="6100"/>
    <n v="10342.84"/>
    <n v="238.46"/>
    <s v="CREDITOR"/>
    <n v="0"/>
    <n v="0"/>
    <n v="0"/>
    <n v="0"/>
    <n v="238.46"/>
  </r>
  <r>
    <n v="60032783"/>
    <s v="N"/>
    <n v="21343939"/>
    <s v="3000014372670006"/>
    <s v="CIVIL"/>
    <d v="2023-06-28T00:00:00"/>
    <d v="2023-07-07T19:03:00"/>
    <m/>
    <d v="2023-07-07T00:00:00"/>
    <n v="627"/>
    <n v="16896"/>
    <s v="60032783"/>
    <s v="60032783"/>
    <m/>
    <m/>
    <n v="22782822"/>
    <m/>
    <m/>
    <m/>
    <s v="SOLFIN"/>
    <s v="SOLFIN"/>
    <s v="CCMS"/>
    <n v="21343939"/>
    <n v="5388.21"/>
    <m/>
    <s v="N"/>
    <n v="10"/>
    <d v="2023-07-07T19:03:18"/>
    <s v="Y"/>
    <s v="Preparation - drafting statement"/>
    <s v="Prescribed Hourly Rates"/>
    <s v="Profit Cost"/>
    <s v="Georgina Bacon"/>
    <s v="Y"/>
    <n v="6.31"/>
    <n v="1.26"/>
    <x v="9"/>
    <s v="VALIDATED"/>
    <n v="1"/>
    <s v="01.11.80.307.6100.0000"/>
    <n v="6.31"/>
    <s v="11"/>
    <s v="6100"/>
    <n v="10342.84"/>
    <n v="6.31"/>
    <s v="CREDITOR"/>
    <n v="0"/>
    <n v="0"/>
    <n v="0"/>
    <n v="0"/>
    <n v="6.31"/>
  </r>
  <r>
    <n v="61691380"/>
    <s v="N"/>
    <n v="21338429"/>
    <s v="3000015785680002"/>
    <s v="CIVIL"/>
    <d v="2023-06-29T00:00:00"/>
    <d v="2023-07-06T19:21:01"/>
    <m/>
    <d v="2023-07-06T00:00:00"/>
    <n v="627"/>
    <n v="16896"/>
    <s v="61691380"/>
    <s v="61691380"/>
    <m/>
    <m/>
    <n v="22790554"/>
    <m/>
    <m/>
    <m/>
    <s v="SOLFIN"/>
    <s v="SOLFIN"/>
    <s v="CCMS"/>
    <n v="21338429"/>
    <n v="1002.46"/>
    <m/>
    <s v="N"/>
    <n v="4"/>
    <d v="2023-07-06T19:21:24"/>
    <s v="Y"/>
    <s v="Preparation - drafting pleadings"/>
    <s v="Care Remuneration Hourly Rates"/>
    <s v="Profit Cost"/>
    <s v="Gareth Bishop"/>
    <s v="Y"/>
    <n v="474.59"/>
    <n v="94.92"/>
    <x v="4"/>
    <s v="VALIDATED"/>
    <n v="1"/>
    <s v="01.11.80.308.6100.0000"/>
    <n v="474.59"/>
    <s v="11"/>
    <s v="6100"/>
    <n v="10342.84"/>
    <n v="474.59"/>
    <s v="CREDITOR"/>
    <n v="0"/>
    <n v="0"/>
    <n v="0"/>
    <n v="0"/>
    <n v="474.59"/>
  </r>
  <r>
    <n v="60777600"/>
    <s v="N"/>
    <n v="21362994"/>
    <s v="3000015015960009"/>
    <s v="CIVIL"/>
    <d v="2023-06-30T00:00:00"/>
    <d v="2023-07-12T19:01:49"/>
    <m/>
    <d v="2023-07-12T00:00:00"/>
    <n v="627"/>
    <n v="16896"/>
    <s v="60777600"/>
    <s v="60777600"/>
    <m/>
    <m/>
    <n v="22801578"/>
    <m/>
    <m/>
    <m/>
    <s v="SOLFIN"/>
    <s v="SOLFIN"/>
    <s v="CCMS"/>
    <n v="21362994"/>
    <n v="8516"/>
    <m/>
    <s v="N"/>
    <n v="16"/>
    <d v="2023-07-12T19:01:53"/>
    <s v="Y"/>
    <s v="Advocates Meeting"/>
    <s v="Public Law Children"/>
    <s v="Advocacy"/>
    <s v="Gareth Bishop"/>
    <s v="Y"/>
    <n v="140.99"/>
    <n v="28.2"/>
    <x v="0"/>
    <s v="VALIDATED"/>
    <n v="1"/>
    <s v="01.11.80.308.6100.0000"/>
    <n v="140.99"/>
    <s v="11"/>
    <s v="6100"/>
    <n v="10342.84"/>
    <n v="140.99"/>
    <s v="CREDITOR"/>
    <n v="0"/>
    <n v="0"/>
    <n v="0"/>
    <n v="0"/>
    <n v="140.99"/>
  </r>
  <r>
    <n v="60032783"/>
    <s v="N"/>
    <n v="21343939"/>
    <s v="3000014372670006"/>
    <s v="CIVIL"/>
    <d v="2023-06-28T00:00:00"/>
    <d v="2023-07-07T19:03:00"/>
    <m/>
    <d v="2023-07-07T00:00:00"/>
    <n v="627"/>
    <n v="16896"/>
    <s v="60032783"/>
    <s v="60032783"/>
    <m/>
    <m/>
    <n v="22782822"/>
    <m/>
    <m/>
    <m/>
    <s v="SOLFIN"/>
    <s v="SOLFIN"/>
    <s v="CCMS"/>
    <n v="21343939"/>
    <n v="5388.21"/>
    <m/>
    <s v="N"/>
    <n v="32"/>
    <d v="2023-07-07T19:03:18"/>
    <s v="Y"/>
    <s v="Routine Letter Out"/>
    <s v="Prescribed Hourly Rates"/>
    <s v="Profit Cost"/>
    <s v="Georgina Bacon"/>
    <s v="Y"/>
    <n v="745.2"/>
    <n v="149.03"/>
    <x v="9"/>
    <s v="VALIDATED"/>
    <n v="1"/>
    <s v="01.11.80.307.6100.0000"/>
    <n v="745.2"/>
    <s v="11"/>
    <s v="6100"/>
    <n v="10342.84"/>
    <n v="745.2"/>
    <s v="CREDITOR"/>
    <n v="0"/>
    <n v="0"/>
    <n v="0"/>
    <n v="0"/>
    <n v="745.2"/>
  </r>
  <r>
    <n v="60777600"/>
    <s v="N"/>
    <n v="21362994"/>
    <s v="3000015015960009"/>
    <s v="CIVIL"/>
    <d v="2023-06-30T00:00:00"/>
    <d v="2023-07-12T19:01:49"/>
    <m/>
    <d v="2023-07-12T00:00:00"/>
    <n v="627"/>
    <n v="16896"/>
    <s v="60777600"/>
    <s v="60777600"/>
    <m/>
    <m/>
    <n v="22801578"/>
    <m/>
    <m/>
    <m/>
    <s v="SOLFIN"/>
    <s v="SOLFIN"/>
    <s v="CCMS"/>
    <n v="21362994"/>
    <n v="8516"/>
    <m/>
    <s v="N"/>
    <n v="19"/>
    <d v="2023-07-12T19:01:53"/>
    <s v="Y"/>
    <s v="Advocates Meeting"/>
    <s v="Public Law Children"/>
    <s v="Advocacy"/>
    <s v="Gareth Bishop"/>
    <s v="Y"/>
    <n v="140.99"/>
    <n v="28.2"/>
    <x v="0"/>
    <s v="VALIDATED"/>
    <n v="1"/>
    <s v="01.11.80.308.6100.0000"/>
    <n v="140.99"/>
    <s v="11"/>
    <s v="6100"/>
    <n v="10342.84"/>
    <n v="140.99"/>
    <s v="CREDITOR"/>
    <n v="0"/>
    <n v="0"/>
    <n v="0"/>
    <n v="0"/>
    <n v="140.99"/>
  </r>
  <r>
    <n v="60273351"/>
    <s v="N"/>
    <n v="21360296"/>
    <s v="3000014580050004"/>
    <s v="CIVIL"/>
    <d v="2023-06-30T00:00:00"/>
    <d v="2023-07-11T11:50:54"/>
    <m/>
    <d v="2023-07-11T00:00:00"/>
    <n v="627"/>
    <n v="16896"/>
    <s v="60273351"/>
    <s v="60273351"/>
    <m/>
    <m/>
    <n v="22799124"/>
    <m/>
    <m/>
    <m/>
    <s v="SOLFIN"/>
    <s v="SOLFIN"/>
    <s v="CCMS"/>
    <n v="21360296"/>
    <n v="5739.07"/>
    <m/>
    <s v="N"/>
    <n v="6"/>
    <d v="2023-07-11T11:51:01"/>
    <s v="Y"/>
    <s v="Hearing Unit 2.31 - 5.00 Hours"/>
    <s v="Public Law Children"/>
    <s v="Advocacy"/>
    <s v="Gareth Bishop"/>
    <s v="Y"/>
    <n v="476.92"/>
    <n v="95.38"/>
    <x v="7"/>
    <s v="VALIDATED"/>
    <n v="1"/>
    <s v="01.11.80.308.6100.0000"/>
    <n v="476.92"/>
    <s v="11"/>
    <s v="6100"/>
    <n v="10342.84"/>
    <n v="476.92"/>
    <s v="CREDITOR"/>
    <n v="0"/>
    <n v="0"/>
    <n v="0"/>
    <n v="0"/>
    <n v="476.92"/>
  </r>
  <r>
    <n v="61772086"/>
    <s v="N"/>
    <n v="21338474"/>
    <s v="3000015849670001"/>
    <s v="CIVIL"/>
    <d v="2023-06-28T00:00:00"/>
    <d v="2023-07-06T19:21:01"/>
    <m/>
    <d v="2023-07-06T00:00:00"/>
    <n v="627"/>
    <n v="16896"/>
    <s v="61772086"/>
    <s v="61772086"/>
    <m/>
    <m/>
    <n v="22781652"/>
    <m/>
    <m/>
    <m/>
    <s v="SOLFIN"/>
    <s v="SOLFIN"/>
    <s v="CCMS"/>
    <n v="21338474"/>
    <n v="1385.22"/>
    <m/>
    <s v="N"/>
    <n v="8"/>
    <d v="2023-07-06T19:21:26"/>
    <s v="Y"/>
    <s v="Preparation - drafting bill/claim f"/>
    <s v="Care Remuneration Hourly Rates"/>
    <s v="Profit Cost"/>
    <s v="Lizzie Seall"/>
    <s v="Y"/>
    <n v="17.52"/>
    <n v="3.5"/>
    <x v="4"/>
    <s v="VALIDATED"/>
    <n v="1"/>
    <s v="01.11.80.308.6100.0000"/>
    <n v="17.52"/>
    <s v="11"/>
    <s v="6100"/>
    <n v="10342.84"/>
    <n v="17.52"/>
    <s v="CREDITOR"/>
    <n v="0"/>
    <n v="0"/>
    <n v="0"/>
    <n v="0"/>
    <n v="17.52"/>
  </r>
  <r>
    <n v="60777600"/>
    <s v="N"/>
    <n v="21362994"/>
    <s v="3000015015960009"/>
    <s v="CIVIL"/>
    <d v="2023-06-30T00:00:00"/>
    <d v="2023-07-12T19:01:49"/>
    <m/>
    <d v="2023-07-12T00:00:00"/>
    <n v="627"/>
    <n v="16896"/>
    <s v="60777600"/>
    <s v="60777600"/>
    <m/>
    <m/>
    <n v="22801578"/>
    <m/>
    <m/>
    <m/>
    <s v="SOLFIN"/>
    <s v="SOLFIN"/>
    <s v="CCMS"/>
    <n v="21362994"/>
    <n v="8516"/>
    <m/>
    <s v="N"/>
    <n v="11"/>
    <d v="2023-07-12T19:01:53"/>
    <s v="Y"/>
    <s v="Hearing Unit 1.01 - 2.30 Hours"/>
    <s v="Public Law Children"/>
    <s v="Advocacy"/>
    <s v="Gareth Bishop"/>
    <s v="Y"/>
    <n v="238.46"/>
    <n v="47.69"/>
    <x v="0"/>
    <s v="VALIDATED"/>
    <n v="1"/>
    <s v="01.11.80.308.6100.0000"/>
    <n v="238.46"/>
    <s v="11"/>
    <s v="6100"/>
    <n v="10342.84"/>
    <n v="238.46"/>
    <s v="CREDITOR"/>
    <n v="0"/>
    <n v="0"/>
    <n v="0"/>
    <n v="0"/>
    <n v="238.46"/>
  </r>
  <r>
    <n v="60032783"/>
    <s v="N"/>
    <n v="21343939"/>
    <s v="3000014372670006"/>
    <s v="CIVIL"/>
    <d v="2023-06-28T00:00:00"/>
    <d v="2023-07-07T19:03:00"/>
    <m/>
    <d v="2023-07-07T00:00:00"/>
    <n v="627"/>
    <n v="16896"/>
    <s v="60032783"/>
    <s v="60032783"/>
    <m/>
    <m/>
    <n v="22782822"/>
    <m/>
    <m/>
    <m/>
    <s v="SOLFIN"/>
    <s v="SOLFIN"/>
    <s v="CCMS"/>
    <n v="21343939"/>
    <n v="5388.21"/>
    <m/>
    <s v="N"/>
    <n v="33"/>
    <d v="2023-07-07T19:03:18"/>
    <s v="Y"/>
    <s v="Routine Letter In"/>
    <s v="Prescribed Hourly Rates"/>
    <s v="Profit Cost"/>
    <s v="Georgina Bacon"/>
    <s v="Y"/>
    <n v="353.16"/>
    <n v="70.64"/>
    <x v="9"/>
    <s v="VALIDATED"/>
    <n v="1"/>
    <s v="01.11.80.307.6100.0000"/>
    <n v="353.16"/>
    <s v="11"/>
    <s v="6100"/>
    <n v="10342.84"/>
    <n v="353.16"/>
    <s v="CREDITOR"/>
    <n v="0"/>
    <n v="0"/>
    <n v="0"/>
    <n v="0"/>
    <n v="353.16"/>
  </r>
  <r>
    <n v="60777600"/>
    <s v="N"/>
    <n v="21362994"/>
    <s v="3000015015960009"/>
    <s v="CIVIL"/>
    <d v="2023-06-30T00:00:00"/>
    <d v="2023-07-12T19:01:49"/>
    <m/>
    <d v="2023-07-12T00:00:00"/>
    <n v="627"/>
    <n v="16896"/>
    <s v="60777600"/>
    <s v="60777600"/>
    <m/>
    <m/>
    <n v="22801578"/>
    <m/>
    <m/>
    <m/>
    <s v="SOLFIN"/>
    <s v="SOLFIN"/>
    <s v="CCMS"/>
    <n v="21362994"/>
    <n v="8516"/>
    <m/>
    <s v="N"/>
    <n v="4"/>
    <d v="2023-07-12T19:01:53"/>
    <s v="Y"/>
    <s v="Final Hearing Court Bundle/Advocate"/>
    <s v="Public Law Children"/>
    <s v="Advocacy"/>
    <s v="Gareth Bishop"/>
    <s v="Y"/>
    <n v="318.6"/>
    <n v="63.72"/>
    <x v="0"/>
    <s v="VALIDATED"/>
    <n v="1"/>
    <s v="01.11.80.308.6100.0000"/>
    <n v="318.6"/>
    <s v="11"/>
    <s v="6100"/>
    <n v="10342.84"/>
    <n v="318.6"/>
    <s v="CREDITOR"/>
    <n v="0"/>
    <n v="0"/>
    <n v="0"/>
    <n v="0"/>
    <n v="318.6"/>
  </r>
  <r>
    <n v="60777600"/>
    <s v="N"/>
    <n v="21362994"/>
    <s v="3000015015960009"/>
    <s v="CIVIL"/>
    <d v="2023-06-30T00:00:00"/>
    <d v="2023-07-12T19:01:49"/>
    <m/>
    <d v="2023-07-12T00:00:00"/>
    <n v="627"/>
    <n v="16896"/>
    <s v="60777600"/>
    <s v="60777600"/>
    <m/>
    <m/>
    <n v="22801578"/>
    <m/>
    <m/>
    <m/>
    <s v="SOLFIN"/>
    <s v="SOLFIN"/>
    <s v="CCMS"/>
    <n v="21362994"/>
    <n v="8516"/>
    <m/>
    <s v="N"/>
    <n v="18"/>
    <d v="2023-07-12T19:01:53"/>
    <s v="Y"/>
    <s v="Advocates Meeting"/>
    <s v="Public Law Children"/>
    <s v="Advocacy"/>
    <s v="Gareth Bishop"/>
    <s v="Y"/>
    <n v="140.99"/>
    <n v="28.2"/>
    <x v="0"/>
    <s v="VALIDATED"/>
    <n v="1"/>
    <s v="01.11.80.308.6100.0000"/>
    <n v="140.99"/>
    <s v="11"/>
    <s v="6100"/>
    <n v="10342.84"/>
    <n v="140.99"/>
    <s v="CREDITOR"/>
    <n v="0"/>
    <n v="0"/>
    <n v="0"/>
    <n v="0"/>
    <n v="140.99"/>
  </r>
  <r>
    <n v="61252136"/>
    <s v="N"/>
    <n v="21360248"/>
    <s v="3000015418890006"/>
    <s v="CIVIL"/>
    <d v="2023-06-29T00:00:00"/>
    <d v="2023-07-11T11:50:54"/>
    <m/>
    <d v="2023-07-11T00:00:00"/>
    <n v="627"/>
    <n v="16896"/>
    <s v="61252136"/>
    <s v="61252136"/>
    <m/>
    <m/>
    <n v="22793530"/>
    <m/>
    <m/>
    <m/>
    <s v="SOLFIN"/>
    <s v="SOLFIN"/>
    <s v="CCMS"/>
    <n v="21360248"/>
    <n v="5573.1"/>
    <m/>
    <s v="N"/>
    <n v="6"/>
    <d v="2023-07-11T11:50:58"/>
    <s v="Y"/>
    <s v="Toxicologist"/>
    <s v="Public Law Children"/>
    <s v="Expert Disbursement"/>
    <s v="Gareth Bishop"/>
    <s v="Y"/>
    <n v="140.75"/>
    <n v="28.15"/>
    <x v="7"/>
    <s v="VALIDATED"/>
    <n v="1"/>
    <s v="01.11.80.308.6300.0000"/>
    <n v="140.75"/>
    <s v="11"/>
    <s v="6300"/>
    <n v="10342.84"/>
    <n v="140.75"/>
    <s v="CREDITOR"/>
    <n v="0"/>
    <n v="0"/>
    <n v="0"/>
    <n v="0"/>
    <n v="140.75"/>
  </r>
  <r>
    <n v="60273351"/>
    <s v="N"/>
    <n v="21360296"/>
    <s v="3000014580050004"/>
    <s v="CIVIL"/>
    <d v="2023-06-30T00:00:00"/>
    <d v="2023-07-11T11:50:54"/>
    <m/>
    <d v="2023-07-11T00:00:00"/>
    <n v="627"/>
    <n v="16896"/>
    <s v="60273351"/>
    <s v="60273351"/>
    <m/>
    <m/>
    <n v="22799124"/>
    <m/>
    <m/>
    <m/>
    <s v="SOLFIN"/>
    <s v="SOLFIN"/>
    <s v="CCMS"/>
    <n v="21360296"/>
    <n v="5739.07"/>
    <m/>
    <s v="N"/>
    <n v="3"/>
    <d v="2023-07-11T11:51:01"/>
    <s v="Y"/>
    <s v="Toxicologist"/>
    <s v="Public Law Children"/>
    <s v="Expert Disbursement"/>
    <s v="Gareth Bishop"/>
    <s v="Y"/>
    <n v="237.25"/>
    <n v="47.45"/>
    <x v="7"/>
    <s v="VALIDATED"/>
    <n v="1"/>
    <s v="01.11.80.308.6300.0000"/>
    <n v="237.25"/>
    <s v="11"/>
    <s v="6300"/>
    <n v="10342.84"/>
    <n v="237.25"/>
    <s v="CREDITOR"/>
    <n v="0"/>
    <n v="0"/>
    <n v="0"/>
    <n v="0"/>
    <n v="237.25"/>
  </r>
  <r>
    <n v="60032783"/>
    <s v="N"/>
    <n v="21343939"/>
    <s v="3000014372670006"/>
    <s v="CIVIL"/>
    <d v="2023-06-28T00:00:00"/>
    <d v="2023-07-07T19:03:00"/>
    <m/>
    <d v="2023-07-07T00:00:00"/>
    <n v="627"/>
    <n v="16896"/>
    <s v="60032783"/>
    <s v="60032783"/>
    <m/>
    <m/>
    <n v="22782822"/>
    <m/>
    <m/>
    <m/>
    <s v="SOLFIN"/>
    <s v="SOLFIN"/>
    <s v="CCMS"/>
    <n v="21343939"/>
    <n v="5388.21"/>
    <m/>
    <s v="N"/>
    <n v="25"/>
    <d v="2023-07-07T19:03:18"/>
    <s v="Y"/>
    <s v="Preparation - drafting pleadings"/>
    <s v="Prescribed Hourly Rates"/>
    <s v="Profit Cost"/>
    <s v="Georgina Bacon"/>
    <s v="Y"/>
    <n v="192.15"/>
    <n v="38.43"/>
    <x v="9"/>
    <s v="VALIDATED"/>
    <n v="1"/>
    <s v="01.11.80.307.6100.0000"/>
    <n v="192.15"/>
    <s v="11"/>
    <s v="6100"/>
    <n v="10342.84"/>
    <n v="192.15"/>
    <s v="CREDITOR"/>
    <n v="0"/>
    <n v="0"/>
    <n v="0"/>
    <n v="0"/>
    <n v="192.15"/>
  </r>
  <r>
    <n v="61691380"/>
    <s v="N"/>
    <n v="21338429"/>
    <s v="3000015785680002"/>
    <s v="CIVIL"/>
    <d v="2023-06-29T00:00:00"/>
    <d v="2023-07-06T19:21:01"/>
    <m/>
    <d v="2023-07-06T00:00:00"/>
    <n v="627"/>
    <n v="16896"/>
    <s v="61691380"/>
    <s v="61691380"/>
    <m/>
    <m/>
    <n v="22790554"/>
    <m/>
    <m/>
    <m/>
    <s v="SOLFIN"/>
    <s v="SOLFIN"/>
    <s v="CCMS"/>
    <n v="21338429"/>
    <n v="1002.46"/>
    <m/>
    <s v="N"/>
    <n v="16"/>
    <d v="2023-07-06T19:21:24"/>
    <s v="Y"/>
    <s v="Preparation - drafting bill/claim f"/>
    <s v="Care Remuneration Hourly Rates"/>
    <s v="Profit Cost"/>
    <s v="Lizzie Seall"/>
    <s v="Y"/>
    <n v="23.36"/>
    <n v="4.67"/>
    <x v="4"/>
    <s v="VALIDATED"/>
    <n v="1"/>
    <s v="01.11.80.308.6100.0000"/>
    <n v="23.36"/>
    <s v="11"/>
    <s v="6100"/>
    <n v="10342.84"/>
    <n v="23.36"/>
    <s v="CREDITOR"/>
    <n v="0"/>
    <n v="0"/>
    <n v="0"/>
    <n v="0"/>
    <n v="23.36"/>
  </r>
  <r>
    <n v="60032783"/>
    <s v="N"/>
    <n v="21343939"/>
    <s v="3000014372670006"/>
    <s v="CIVIL"/>
    <d v="2023-06-28T00:00:00"/>
    <d v="2023-07-07T19:03:00"/>
    <m/>
    <d v="2023-07-07T00:00:00"/>
    <n v="627"/>
    <n v="16896"/>
    <s v="60032783"/>
    <s v="60032783"/>
    <m/>
    <m/>
    <n v="22782822"/>
    <m/>
    <m/>
    <m/>
    <s v="SOLFIN"/>
    <s v="SOLFIN"/>
    <s v="CCMS"/>
    <n v="21343939"/>
    <n v="5388.21"/>
    <m/>
    <s v="N"/>
    <n v="23"/>
    <d v="2023-07-07T19:03:18"/>
    <s v="Y"/>
    <s v="Preparation - drafting statement"/>
    <s v="Prescribed Hourly Rates"/>
    <s v="Profit Cost"/>
    <s v="Georgina Bacon"/>
    <s v="Y"/>
    <n v="31.57"/>
    <n v="6.31"/>
    <x v="9"/>
    <s v="VALIDATED"/>
    <n v="1"/>
    <s v="01.11.80.307.6100.0000"/>
    <n v="31.57"/>
    <s v="11"/>
    <s v="6100"/>
    <n v="10342.84"/>
    <n v="31.57"/>
    <s v="CREDITOR"/>
    <n v="0"/>
    <n v="0"/>
    <n v="0"/>
    <n v="0"/>
    <n v="31.57"/>
  </r>
  <r>
    <n v="60032783"/>
    <s v="N"/>
    <n v="21343939"/>
    <s v="3000014372670006"/>
    <s v="CIVIL"/>
    <d v="2023-06-28T00:00:00"/>
    <d v="2023-07-07T19:03:00"/>
    <m/>
    <d v="2023-07-07T00:00:00"/>
    <n v="627"/>
    <n v="16896"/>
    <s v="60032783"/>
    <s v="60032783"/>
    <m/>
    <m/>
    <n v="22782822"/>
    <m/>
    <m/>
    <m/>
    <s v="SOLFIN"/>
    <s v="SOLFIN"/>
    <s v="CCMS"/>
    <n v="21343939"/>
    <n v="5388.21"/>
    <m/>
    <s v="N"/>
    <n v="2"/>
    <d v="2023-07-07T19:03:18"/>
    <s v="Y"/>
    <s v="Attendance upon court"/>
    <s v="Prescribed Hourly Rates"/>
    <s v="Profit Cost"/>
    <s v="Georgina Bacon"/>
    <s v="Y"/>
    <n v="157.84"/>
    <n v="31.57"/>
    <x v="9"/>
    <s v="VALIDATED"/>
    <n v="1"/>
    <s v="01.11.80.307.6100.0000"/>
    <n v="157.84"/>
    <s v="11"/>
    <s v="6100"/>
    <n v="10342.84"/>
    <n v="157.84"/>
    <s v="CREDITOR"/>
    <n v="0"/>
    <n v="0"/>
    <n v="0"/>
    <n v="0"/>
    <n v="157.84"/>
  </r>
  <r>
    <n v="60032783"/>
    <s v="N"/>
    <n v="21343939"/>
    <s v="3000014372670006"/>
    <s v="CIVIL"/>
    <d v="2023-06-28T00:00:00"/>
    <d v="2023-07-07T19:03:00"/>
    <m/>
    <d v="2023-07-07T00:00:00"/>
    <n v="627"/>
    <n v="16896"/>
    <s v="60032783"/>
    <s v="60032783"/>
    <m/>
    <m/>
    <n v="22782822"/>
    <m/>
    <m/>
    <m/>
    <s v="SOLFIN"/>
    <s v="SOLFIN"/>
    <s v="CCMS"/>
    <n v="21343939"/>
    <n v="5388.21"/>
    <m/>
    <s v="N"/>
    <n v="51"/>
    <d v="2023-07-07T19:03:18"/>
    <s v="Y"/>
    <s v="Court Fee"/>
    <s v="Prescribed Hourly Rates"/>
    <s v="Non Expert Disbursement"/>
    <s v="Georgina Bacon"/>
    <s v="Y"/>
    <n v="53"/>
    <n v="0"/>
    <x v="9"/>
    <s v="VALIDATED"/>
    <n v="1"/>
    <s v="01.11.80.307.6300.0000"/>
    <n v="53"/>
    <s v="11"/>
    <s v="6300"/>
    <n v="10342.84"/>
    <n v="53"/>
    <s v="CREDITOR"/>
    <n v="0"/>
    <n v="0"/>
    <n v="0"/>
    <n v="0"/>
    <n v="53"/>
  </r>
  <r>
    <n v="61252136"/>
    <s v="N"/>
    <n v="21360248"/>
    <s v="3000015418890006"/>
    <s v="CIVIL"/>
    <d v="2023-06-29T00:00:00"/>
    <d v="2023-07-11T11:50:54"/>
    <m/>
    <d v="2023-07-11T00:00:00"/>
    <n v="627"/>
    <n v="16896"/>
    <s v="61252136"/>
    <s v="61252136"/>
    <m/>
    <m/>
    <n v="22793530"/>
    <m/>
    <m/>
    <m/>
    <s v="SOLFIN"/>
    <s v="SOLFIN"/>
    <s v="CCMS"/>
    <n v="21360248"/>
    <n v="5573.1"/>
    <m/>
    <s v="N"/>
    <n v="11"/>
    <d v="2023-07-11T11:50:58"/>
    <s v="Y"/>
    <s v="Solicitors Fixed Fee"/>
    <s v="Public Law Children"/>
    <s v="Profit Cost"/>
    <s v="Gareth Bishop"/>
    <s v="Y"/>
    <n v="2616"/>
    <n v="523.1900000000001"/>
    <x v="7"/>
    <s v="VALIDATED"/>
    <n v="1"/>
    <s v="01.11.80.308.6100.0000"/>
    <n v="2616"/>
    <s v="11"/>
    <s v="6100"/>
    <n v="10342.84"/>
    <n v="2616"/>
    <s v="CREDITOR"/>
    <n v="0"/>
    <n v="0"/>
    <n v="0"/>
    <n v="0"/>
    <n v="2616"/>
  </r>
  <r>
    <n v="61691380"/>
    <s v="N"/>
    <n v="21338429"/>
    <s v="3000015785680002"/>
    <s v="CIVIL"/>
    <d v="2023-06-29T00:00:00"/>
    <d v="2023-07-06T19:21:01"/>
    <m/>
    <d v="2023-07-06T00:00:00"/>
    <n v="627"/>
    <n v="16896"/>
    <s v="61691380"/>
    <s v="61691380"/>
    <m/>
    <m/>
    <n v="22790554"/>
    <m/>
    <m/>
    <m/>
    <s v="SOLFIN"/>
    <s v="SOLFIN"/>
    <s v="CCMS"/>
    <n v="21338429"/>
    <n v="1002.46"/>
    <m/>
    <s v="N"/>
    <n v="13"/>
    <d v="2023-07-06T19:21:24"/>
    <s v="Y"/>
    <s v="Preparation - drafting notice(s)"/>
    <s v="Care Remuneration Hourly Rates"/>
    <s v="Profit Cost"/>
    <s v="Gareth Bishop"/>
    <s v="Y"/>
    <n v="6.72"/>
    <n v="1.34"/>
    <x v="4"/>
    <s v="VALIDATED"/>
    <n v="1"/>
    <s v="01.11.80.308.6100.0000"/>
    <n v="6.72"/>
    <s v="11"/>
    <s v="6100"/>
    <n v="10342.84"/>
    <n v="6.72"/>
    <s v="CREDITOR"/>
    <n v="0"/>
    <n v="0"/>
    <n v="0"/>
    <n v="0"/>
    <n v="6.72"/>
  </r>
  <r>
    <n v="60777600"/>
    <s v="N"/>
    <n v="21362994"/>
    <s v="3000015015960009"/>
    <s v="CIVIL"/>
    <d v="2023-06-30T00:00:00"/>
    <d v="2023-07-12T19:01:49"/>
    <m/>
    <d v="2023-07-12T00:00:00"/>
    <n v="627"/>
    <n v="16896"/>
    <s v="60777600"/>
    <s v="60777600"/>
    <m/>
    <m/>
    <n v="22801578"/>
    <m/>
    <m/>
    <m/>
    <s v="SOLFIN"/>
    <s v="SOLFIN"/>
    <s v="CCMS"/>
    <n v="21362994"/>
    <n v="8516"/>
    <m/>
    <s v="N"/>
    <n v="12"/>
    <d v="2023-07-12T19:01:53"/>
    <s v="Y"/>
    <s v="Advocates Meeting"/>
    <s v="Public Law Children"/>
    <s v="Advocacy"/>
    <s v="Gareth Bishop"/>
    <s v="Y"/>
    <n v="140.99"/>
    <n v="28.2"/>
    <x v="0"/>
    <s v="VALIDATED"/>
    <n v="1"/>
    <s v="01.11.80.308.6100.0000"/>
    <n v="140.99"/>
    <s v="11"/>
    <s v="6100"/>
    <n v="10342.84"/>
    <n v="140.99"/>
    <s v="CREDITOR"/>
    <n v="0"/>
    <n v="0"/>
    <n v="0"/>
    <n v="0"/>
    <n v="140.99"/>
  </r>
  <r>
    <n v="60273351"/>
    <s v="N"/>
    <n v="21360296"/>
    <s v="3000014580050004"/>
    <s v="CIVIL"/>
    <d v="2023-06-30T00:00:00"/>
    <d v="2023-07-11T11:50:54"/>
    <m/>
    <d v="2023-07-11T00:00:00"/>
    <n v="627"/>
    <n v="16896"/>
    <s v="60273351"/>
    <s v="60273351"/>
    <m/>
    <m/>
    <n v="22799124"/>
    <m/>
    <m/>
    <m/>
    <s v="SOLFIN"/>
    <s v="SOLFIN"/>
    <s v="CCMS"/>
    <n v="21360296"/>
    <n v="5739.07"/>
    <m/>
    <s v="N"/>
    <n v="2"/>
    <d v="2023-07-11T11:51:01"/>
    <s v="Y"/>
    <s v="Interim Hearing Court Bundle/Advoca"/>
    <s v="Public Law Children"/>
    <s v="Advocacy"/>
    <s v="Gareth Bishop"/>
    <s v="Y"/>
    <n v="59.4"/>
    <n v="11.88"/>
    <x v="7"/>
    <s v="VALIDATED"/>
    <n v="1"/>
    <s v="01.11.80.308.6100.0000"/>
    <n v="59.4"/>
    <s v="11"/>
    <s v="6100"/>
    <n v="10342.84"/>
    <n v="59.4"/>
    <s v="CREDITOR"/>
    <n v="0"/>
    <n v="0"/>
    <n v="0"/>
    <n v="0"/>
    <n v="59.4"/>
  </r>
  <r>
    <n v="60032783"/>
    <s v="N"/>
    <n v="21343939"/>
    <s v="3000014372670006"/>
    <s v="CIVIL"/>
    <d v="2023-06-28T00:00:00"/>
    <d v="2023-07-07T19:03:00"/>
    <m/>
    <d v="2023-07-07T00:00:00"/>
    <n v="627"/>
    <n v="16896"/>
    <s v="60032783"/>
    <s v="60032783"/>
    <m/>
    <m/>
    <n v="22782822"/>
    <m/>
    <m/>
    <m/>
    <s v="SOLFIN"/>
    <s v="SOLFIN"/>
    <s v="CCMS"/>
    <n v="21343939"/>
    <n v="5388.21"/>
    <m/>
    <s v="N"/>
    <n v="38"/>
    <d v="2023-07-07T19:03:18"/>
    <s v="Y"/>
    <s v="Preparation - drafting application"/>
    <s v="Prescribed Hourly Rates"/>
    <s v="Profit Cost"/>
    <s v="Georgina Bacon"/>
    <s v="Y"/>
    <n v="25.25"/>
    <n v="5.05"/>
    <x v="9"/>
    <s v="VALIDATED"/>
    <n v="1"/>
    <s v="01.11.80.307.6100.0000"/>
    <n v="25.25"/>
    <s v="11"/>
    <s v="6100"/>
    <n v="10342.84"/>
    <n v="25.25"/>
    <s v="CREDITOR"/>
    <n v="0"/>
    <n v="0"/>
    <n v="0"/>
    <n v="0"/>
    <n v="25.25"/>
  </r>
  <r>
    <n v="60032783"/>
    <s v="N"/>
    <n v="21343939"/>
    <s v="3000014372670006"/>
    <s v="CIVIL"/>
    <d v="2023-06-28T00:00:00"/>
    <d v="2023-07-07T19:03:00"/>
    <m/>
    <d v="2023-07-07T00:00:00"/>
    <n v="627"/>
    <n v="16896"/>
    <s v="60032783"/>
    <s v="60032783"/>
    <m/>
    <m/>
    <n v="22782822"/>
    <m/>
    <m/>
    <m/>
    <s v="SOLFIN"/>
    <s v="SOLFIN"/>
    <s v="CCMS"/>
    <n v="21343939"/>
    <n v="5388.21"/>
    <m/>
    <s v="N"/>
    <n v="19"/>
    <d v="2023-07-07T19:03:18"/>
    <s v="Y"/>
    <s v="Preparation - drafting pleadings"/>
    <s v="Prescribed Hourly Rates"/>
    <s v="Profit Cost"/>
    <s v="Georgina Bacon"/>
    <s v="Y"/>
    <n v="6.31"/>
    <n v="1.26"/>
    <x v="9"/>
    <s v="VALIDATED"/>
    <n v="1"/>
    <s v="01.11.80.307.6100.0000"/>
    <n v="6.31"/>
    <s v="11"/>
    <s v="6100"/>
    <n v="10342.84"/>
    <n v="6.31"/>
    <s v="CREDITOR"/>
    <n v="0"/>
    <n v="0"/>
    <n v="0"/>
    <n v="0"/>
    <n v="6.31"/>
  </r>
  <r>
    <n v="61691380"/>
    <s v="N"/>
    <n v="21338429"/>
    <s v="3000015785680002"/>
    <s v="CIVIL"/>
    <d v="2023-06-29T00:00:00"/>
    <d v="2023-07-06T19:21:01"/>
    <m/>
    <d v="2023-07-06T00:00:00"/>
    <n v="627"/>
    <n v="16896"/>
    <s v="61691380"/>
    <s v="61691380"/>
    <m/>
    <m/>
    <n v="22790554"/>
    <m/>
    <m/>
    <m/>
    <s v="SOLFIN"/>
    <s v="SOLFIN"/>
    <s v="CCMS"/>
    <n v="21338429"/>
    <n v="1002.46"/>
    <m/>
    <s v="N"/>
    <n v="8"/>
    <d v="2023-07-06T19:21:24"/>
    <s v="Y"/>
    <s v="Preparation - drafting notice(s)"/>
    <s v="Care Remuneration Hourly Rates"/>
    <s v="Profit Cost"/>
    <s v="Gareth Bishop"/>
    <s v="Y"/>
    <n v="7.3"/>
    <n v="1.46"/>
    <x v="4"/>
    <s v="VALIDATED"/>
    <n v="1"/>
    <s v="01.11.80.308.6100.0000"/>
    <n v="7.3"/>
    <s v="11"/>
    <s v="6100"/>
    <n v="10342.84"/>
    <n v="7.3"/>
    <s v="CREDITOR"/>
    <n v="0"/>
    <n v="0"/>
    <n v="0"/>
    <n v="0"/>
    <n v="7.3"/>
  </r>
  <r>
    <n v="60032783"/>
    <s v="N"/>
    <n v="21343939"/>
    <s v="3000014372670006"/>
    <s v="CIVIL"/>
    <d v="2023-06-28T00:00:00"/>
    <d v="2023-07-07T19:03:00"/>
    <m/>
    <d v="2023-07-07T00:00:00"/>
    <n v="627"/>
    <n v="16896"/>
    <s v="60032783"/>
    <s v="60032783"/>
    <m/>
    <m/>
    <n v="22782822"/>
    <m/>
    <m/>
    <m/>
    <s v="SOLFIN"/>
    <s v="SOLFIN"/>
    <s v="CCMS"/>
    <n v="21343939"/>
    <n v="5388.21"/>
    <m/>
    <s v="N"/>
    <n v="16"/>
    <d v="2023-07-07T19:03:18"/>
    <s v="Y"/>
    <s v="Preparation - drafting attendance n"/>
    <s v="Prescribed Hourly Rates"/>
    <s v="Profit Cost"/>
    <s v="Georgina Bacon"/>
    <s v="Y"/>
    <n v="6.31"/>
    <n v="1.26"/>
    <x v="9"/>
    <s v="VALIDATED"/>
    <n v="1"/>
    <s v="01.11.80.307.6100.0000"/>
    <n v="6.31"/>
    <s v="11"/>
    <s v="6100"/>
    <n v="10342.84"/>
    <n v="6.31"/>
    <s v="CREDITOR"/>
    <n v="0"/>
    <n v="0"/>
    <n v="0"/>
    <n v="0"/>
    <n v="6.31"/>
  </r>
  <r>
    <n v="60032783"/>
    <s v="N"/>
    <n v="21343939"/>
    <s v="3000014372670006"/>
    <s v="CIVIL"/>
    <d v="2023-06-28T00:00:00"/>
    <d v="2023-07-07T19:03:00"/>
    <m/>
    <d v="2023-07-07T00:00:00"/>
    <n v="627"/>
    <n v="16896"/>
    <s v="60032783"/>
    <s v="60032783"/>
    <m/>
    <m/>
    <n v="22782822"/>
    <m/>
    <m/>
    <m/>
    <s v="SOLFIN"/>
    <s v="SOLFIN"/>
    <s v="CCMS"/>
    <n v="21343939"/>
    <n v="5388.21"/>
    <m/>
    <s v="N"/>
    <n v="18"/>
    <d v="2023-07-07T19:03:18"/>
    <s v="Y"/>
    <s v="Preparation - drafting consent orde"/>
    <s v="Prescribed Hourly Rates"/>
    <s v="Profit Cost"/>
    <s v="Georgina Bacon"/>
    <s v="Y"/>
    <n v="12.63"/>
    <n v="2.53"/>
    <x v="9"/>
    <s v="VALIDATED"/>
    <n v="1"/>
    <s v="01.11.80.307.6100.0000"/>
    <n v="12.63"/>
    <s v="11"/>
    <s v="6100"/>
    <n v="10342.84"/>
    <n v="12.63"/>
    <s v="CREDITOR"/>
    <n v="0"/>
    <n v="0"/>
    <n v="0"/>
    <n v="0"/>
    <n v="12.63"/>
  </r>
  <r>
    <n v="60032783"/>
    <s v="N"/>
    <n v="21346271"/>
    <s v="3000014372670005RC"/>
    <s v="CIVIL"/>
    <d v="2023-06-28T00:00:00"/>
    <d v="2023-07-07T19:34:21"/>
    <m/>
    <d v="2023-07-07T00:00:00"/>
    <n v="627"/>
    <n v="16896"/>
    <s v="60032783"/>
    <s v="60032783"/>
    <m/>
    <m/>
    <m/>
    <m/>
    <m/>
    <m/>
    <s v="SOLRECOUP"/>
    <s v="SOLRECOUP"/>
    <s v="POARECOUP"/>
    <n v="21346271"/>
    <n v="-53"/>
    <m/>
    <s v="Y"/>
    <n v="1"/>
    <d v="2023-07-07T19:34:22"/>
    <s v="N"/>
    <m/>
    <m/>
    <s v="Non Expert Disbursement"/>
    <m/>
    <s v="N"/>
    <n v="-53"/>
    <n v="0"/>
    <x v="9"/>
    <s v="VALIDATED"/>
    <n v="1"/>
    <s v="01.11.80.307.2013.0000"/>
    <n v="-53"/>
    <s v="11"/>
    <s v="2013"/>
    <n v="10342.84"/>
    <n v="-53"/>
    <s v="CREDITOR"/>
    <n v="0"/>
    <n v="0"/>
    <n v="-53"/>
    <n v="0"/>
    <n v="0"/>
  </r>
  <r>
    <n v="60032783"/>
    <s v="N"/>
    <n v="21346271"/>
    <s v="3000014372670005RC"/>
    <s v="CIVIL"/>
    <d v="2023-06-28T00:00:00"/>
    <d v="2023-07-07T19:34:21"/>
    <m/>
    <d v="2023-07-07T00:00:00"/>
    <n v="627"/>
    <n v="16896"/>
    <s v="60032783"/>
    <s v="60032783"/>
    <m/>
    <m/>
    <m/>
    <m/>
    <m/>
    <m/>
    <s v="SOLRECOUP"/>
    <s v="SOLRECOUP"/>
    <s v="POARECOUP"/>
    <n v="21346271"/>
    <n v="-53"/>
    <m/>
    <s v="Y"/>
    <n v="2"/>
    <d v="2023-07-07T19:34:22"/>
    <s v="N"/>
    <m/>
    <m/>
    <s v="Non Expert Disbursement"/>
    <m/>
    <s v="N"/>
    <n v="0"/>
    <n v="0"/>
    <x v="9"/>
    <s v="VALIDATED"/>
    <n v="1"/>
    <s v="01.11.80.000.0000.0000"/>
    <n v="0"/>
    <s v="11"/>
    <s v="0000"/>
    <n v="10342.84"/>
    <n v="0"/>
    <s v="CREDITOR"/>
    <n v="0"/>
    <n v="0"/>
    <n v="0"/>
    <n v="0"/>
    <n v="0"/>
  </r>
  <r>
    <n v="60032783"/>
    <s v="N"/>
    <n v="21346272"/>
    <s v="3000014372670001RC"/>
    <s v="CIVIL"/>
    <d v="2023-06-28T00:00:00"/>
    <d v="2023-07-07T19:34:21"/>
    <m/>
    <d v="2023-07-07T00:00:00"/>
    <n v="627"/>
    <n v="16896"/>
    <s v="60032783"/>
    <s v="60032783"/>
    <m/>
    <m/>
    <m/>
    <m/>
    <m/>
    <m/>
    <s v="SOLRECOUP"/>
    <s v="SOLRECOUP"/>
    <s v="POARECOUP"/>
    <n v="21346272"/>
    <n v="-53"/>
    <m/>
    <s v="Y"/>
    <n v="1"/>
    <d v="2023-07-07T19:34:22"/>
    <s v="N"/>
    <m/>
    <m/>
    <s v="Non Expert Disbursement"/>
    <m/>
    <s v="N"/>
    <n v="-53"/>
    <n v="0"/>
    <x v="9"/>
    <s v="VALIDATED"/>
    <n v="1"/>
    <s v="01.11.80.307.2013.0000"/>
    <n v="-53"/>
    <s v="11"/>
    <s v="2013"/>
    <n v="10342.84"/>
    <n v="-53"/>
    <s v="CREDITOR"/>
    <n v="0"/>
    <n v="0"/>
    <n v="-53"/>
    <n v="0"/>
    <n v="0"/>
  </r>
  <r>
    <n v="61252136"/>
    <s v="N"/>
    <n v="21360248"/>
    <s v="3000015418890006"/>
    <s v="CIVIL"/>
    <d v="2023-06-29T00:00:00"/>
    <d v="2023-07-11T11:50:54"/>
    <m/>
    <d v="2023-07-11T00:00:00"/>
    <n v="627"/>
    <n v="16896"/>
    <s v="61252136"/>
    <s v="61252136"/>
    <m/>
    <m/>
    <n v="22793530"/>
    <m/>
    <m/>
    <m/>
    <s v="SOLFIN"/>
    <s v="SOLFIN"/>
    <s v="CCMS"/>
    <n v="21360248"/>
    <n v="5573.1"/>
    <m/>
    <s v="N"/>
    <n v="10"/>
    <d v="2023-07-11T11:50:58"/>
    <s v="Y"/>
    <s v="Hearing Unit 2.31 - 5.00 Hours"/>
    <s v="Public Law Children"/>
    <s v="Advocacy"/>
    <s v="Gareth Bishop"/>
    <s v="Y"/>
    <n v="476.92"/>
    <n v="95.39"/>
    <x v="7"/>
    <s v="VALIDATED"/>
    <n v="1"/>
    <s v="01.11.80.308.6100.0000"/>
    <n v="476.92"/>
    <s v="11"/>
    <s v="6100"/>
    <n v="10342.84"/>
    <n v="476.92"/>
    <s v="CREDITOR"/>
    <n v="0"/>
    <n v="0"/>
    <n v="0"/>
    <n v="0"/>
    <n v="476.92"/>
  </r>
  <r>
    <n v="60777600"/>
    <s v="N"/>
    <n v="21362994"/>
    <s v="3000015015960009"/>
    <s v="CIVIL"/>
    <d v="2023-06-30T00:00:00"/>
    <d v="2023-07-12T19:01:49"/>
    <m/>
    <d v="2023-07-12T00:00:00"/>
    <n v="627"/>
    <n v="16896"/>
    <s v="60777600"/>
    <s v="60777600"/>
    <m/>
    <m/>
    <n v="22801578"/>
    <m/>
    <m/>
    <m/>
    <s v="SOLFIN"/>
    <s v="SOLFIN"/>
    <s v="CCMS"/>
    <n v="21362994"/>
    <n v="8516"/>
    <m/>
    <s v="N"/>
    <n v="7"/>
    <d v="2023-07-12T19:01:53"/>
    <s v="Y"/>
    <s v="Solicitor Travel Mileage"/>
    <s v="Public Law Children"/>
    <s v="Non Expert Disbursement"/>
    <s v="Gareth Bishop"/>
    <s v="Y"/>
    <n v="30.6"/>
    <n v="6.12"/>
    <x v="0"/>
    <s v="VALIDATED"/>
    <n v="1"/>
    <s v="01.11.80.308.6300.0000"/>
    <n v="30.6"/>
    <s v="11"/>
    <s v="6300"/>
    <n v="10342.84"/>
    <n v="30.6"/>
    <s v="CREDITOR"/>
    <n v="0"/>
    <n v="0"/>
    <n v="0"/>
    <n v="0"/>
    <n v="30.6"/>
  </r>
  <r>
    <n v="60032783"/>
    <s v="N"/>
    <n v="21343939"/>
    <s v="3000014372670006"/>
    <s v="CIVIL"/>
    <d v="2023-06-28T00:00:00"/>
    <d v="2023-07-07T19:03:00"/>
    <m/>
    <d v="2023-07-07T00:00:00"/>
    <n v="627"/>
    <n v="16896"/>
    <s v="60032783"/>
    <s v="60032783"/>
    <m/>
    <m/>
    <n v="22782822"/>
    <m/>
    <m/>
    <m/>
    <s v="SOLFIN"/>
    <s v="SOLFIN"/>
    <s v="CCMS"/>
    <n v="21343939"/>
    <n v="5388.21"/>
    <m/>
    <s v="N"/>
    <n v="3"/>
    <d v="2023-07-07T19:03:18"/>
    <s v="Y"/>
    <s v="Preparation - Periodic file review"/>
    <s v="Prescribed Hourly Rates"/>
    <s v="Profit Cost"/>
    <s v="Georgina Bacon"/>
    <s v="Y"/>
    <n v="25.25"/>
    <n v="5.05"/>
    <x v="9"/>
    <s v="VALIDATED"/>
    <n v="1"/>
    <s v="01.11.80.307.6100.0000"/>
    <n v="25.25"/>
    <s v="11"/>
    <s v="6100"/>
    <n v="10342.84"/>
    <n v="25.25"/>
    <s v="CREDITOR"/>
    <n v="0"/>
    <n v="0"/>
    <n v="0"/>
    <n v="0"/>
    <n v="25.25"/>
  </r>
  <r>
    <n v="60273351"/>
    <s v="N"/>
    <n v="21360296"/>
    <s v="3000014580050004"/>
    <s v="CIVIL"/>
    <d v="2023-06-30T00:00:00"/>
    <d v="2023-07-11T11:50:54"/>
    <m/>
    <d v="2023-07-11T00:00:00"/>
    <n v="627"/>
    <n v="16896"/>
    <s v="60273351"/>
    <s v="60273351"/>
    <m/>
    <m/>
    <n v="22799124"/>
    <m/>
    <m/>
    <m/>
    <s v="SOLFIN"/>
    <s v="SOLFIN"/>
    <s v="CCMS"/>
    <n v="21360296"/>
    <n v="5739.07"/>
    <m/>
    <s v="N"/>
    <n v="1"/>
    <d v="2023-07-11T11:51:01"/>
    <s v="Y"/>
    <s v="Interim Hearing Court Bundle/Advoca"/>
    <s v="Public Law Children"/>
    <s v="Advocacy"/>
    <s v="Gareth Bishop"/>
    <s v="Y"/>
    <n v="89.09999999999999"/>
    <n v="17.82"/>
    <x v="7"/>
    <s v="VALIDATED"/>
    <n v="1"/>
    <s v="01.11.80.308.6100.0000"/>
    <n v="89.09999999999999"/>
    <s v="11"/>
    <s v="6100"/>
    <n v="10342.84"/>
    <n v="89.09999999999999"/>
    <s v="CREDITOR"/>
    <n v="0"/>
    <n v="0"/>
    <n v="0"/>
    <n v="0"/>
    <n v="89.09999999999999"/>
  </r>
  <r>
    <n v="60777600"/>
    <s v="N"/>
    <n v="21362994"/>
    <s v="3000015015960009"/>
    <s v="CIVIL"/>
    <d v="2023-06-30T00:00:00"/>
    <d v="2023-07-12T19:01:49"/>
    <m/>
    <d v="2023-07-12T00:00:00"/>
    <n v="627"/>
    <n v="16896"/>
    <s v="60777600"/>
    <s v="60777600"/>
    <m/>
    <m/>
    <n v="22801578"/>
    <m/>
    <m/>
    <m/>
    <s v="SOLFIN"/>
    <s v="SOLFIN"/>
    <s v="CCMS"/>
    <n v="21362994"/>
    <n v="8516"/>
    <m/>
    <s v="N"/>
    <n v="13"/>
    <d v="2023-07-12T19:01:53"/>
    <s v="Y"/>
    <s v="Final Hearing - 1 Day"/>
    <s v="Public Law Children"/>
    <s v="Advocacy"/>
    <s v="Gareth Bishop"/>
    <s v="Y"/>
    <n v="556.88"/>
    <n v="111.38"/>
    <x v="0"/>
    <s v="VALIDATED"/>
    <n v="1"/>
    <s v="01.11.80.308.6100.0000"/>
    <n v="556.88"/>
    <s v="11"/>
    <s v="6100"/>
    <n v="10342.84"/>
    <n v="556.88"/>
    <s v="CREDITOR"/>
    <n v="0"/>
    <n v="0"/>
    <n v="0"/>
    <n v="0"/>
    <n v="556.88"/>
  </r>
  <r>
    <n v="61691380"/>
    <s v="N"/>
    <n v="21338429"/>
    <s v="3000015785680002"/>
    <s v="CIVIL"/>
    <d v="2023-06-29T00:00:00"/>
    <d v="2023-07-06T19:21:01"/>
    <m/>
    <d v="2023-07-06T00:00:00"/>
    <n v="627"/>
    <n v="16896"/>
    <s v="61691380"/>
    <s v="61691380"/>
    <m/>
    <m/>
    <n v="22790554"/>
    <m/>
    <m/>
    <m/>
    <s v="SOLFIN"/>
    <s v="SOLFIN"/>
    <s v="CCMS"/>
    <n v="21338429"/>
    <n v="1002.46"/>
    <m/>
    <s v="N"/>
    <n v="14"/>
    <d v="2023-07-06T19:21:24"/>
    <s v="Y"/>
    <s v="Preparation - drafting notice(s)"/>
    <s v="Care Remuneration Hourly Rates"/>
    <s v="Profit Cost"/>
    <s v="Gareth Bishop"/>
    <s v="Y"/>
    <n v="6.72"/>
    <n v="1.34"/>
    <x v="4"/>
    <s v="VALIDATED"/>
    <n v="1"/>
    <s v="01.11.80.308.6100.0000"/>
    <n v="6.72"/>
    <s v="11"/>
    <s v="6100"/>
    <n v="10342.84"/>
    <n v="6.72"/>
    <s v="CREDITOR"/>
    <n v="0"/>
    <n v="0"/>
    <n v="0"/>
    <n v="0"/>
    <n v="6.72"/>
  </r>
  <r>
    <n v="60273351"/>
    <s v="N"/>
    <n v="21360296"/>
    <s v="3000014580050004"/>
    <s v="CIVIL"/>
    <d v="2023-06-30T00:00:00"/>
    <d v="2023-07-11T11:50:54"/>
    <m/>
    <d v="2023-07-11T00:00:00"/>
    <n v="627"/>
    <n v="16896"/>
    <s v="60273351"/>
    <s v="60273351"/>
    <m/>
    <m/>
    <n v="22799124"/>
    <m/>
    <m/>
    <m/>
    <s v="SOLFIN"/>
    <s v="SOLFIN"/>
    <s v="CCMS"/>
    <n v="21360296"/>
    <n v="5739.07"/>
    <m/>
    <s v="N"/>
    <n v="10"/>
    <d v="2023-07-11T11:51:01"/>
    <s v="Y"/>
    <s v="Solicitors Fixed Fee"/>
    <s v="Public Law Children"/>
    <s v="Profit Cost"/>
    <s v="Gareth Bishop"/>
    <s v="Y"/>
    <n v="3020"/>
    <n v="604"/>
    <x v="7"/>
    <s v="VALIDATED"/>
    <n v="1"/>
    <s v="01.11.80.308.6100.0000"/>
    <n v="3020"/>
    <s v="11"/>
    <s v="6100"/>
    <n v="10342.84"/>
    <n v="3020"/>
    <s v="CREDITOR"/>
    <n v="0"/>
    <n v="0"/>
    <n v="0"/>
    <n v="0"/>
    <n v="3020"/>
  </r>
  <r>
    <n v="60032783"/>
    <s v="N"/>
    <n v="21343939"/>
    <s v="3000014372670006"/>
    <s v="CIVIL"/>
    <d v="2023-06-28T00:00:00"/>
    <d v="2023-07-07T19:03:00"/>
    <m/>
    <d v="2023-07-07T00:00:00"/>
    <n v="627"/>
    <n v="16896"/>
    <s v="60032783"/>
    <s v="60032783"/>
    <m/>
    <m/>
    <n v="22782822"/>
    <m/>
    <m/>
    <m/>
    <s v="SOLFIN"/>
    <s v="SOLFIN"/>
    <s v="CCMS"/>
    <n v="21343939"/>
    <n v="5388.21"/>
    <m/>
    <s v="N"/>
    <n v="39"/>
    <d v="2023-07-07T19:03:18"/>
    <s v="Y"/>
    <s v="Preparation - drafting application"/>
    <s v="Prescribed Hourly Rates"/>
    <s v="Profit Cost"/>
    <s v="Georgina Bacon"/>
    <s v="Y"/>
    <n v="25.25"/>
    <n v="5.05"/>
    <x v="9"/>
    <s v="VALIDATED"/>
    <n v="1"/>
    <s v="01.11.80.307.6100.0000"/>
    <n v="25.25"/>
    <s v="11"/>
    <s v="6100"/>
    <n v="10342.84"/>
    <n v="25.25"/>
    <s v="CREDITOR"/>
    <n v="0"/>
    <n v="0"/>
    <n v="0"/>
    <n v="0"/>
    <n v="25.25"/>
  </r>
  <r>
    <n v="61691380"/>
    <s v="N"/>
    <n v="21338429"/>
    <s v="3000015785680002"/>
    <s v="CIVIL"/>
    <d v="2023-06-29T00:00:00"/>
    <d v="2023-07-06T19:21:01"/>
    <m/>
    <d v="2023-07-06T00:00:00"/>
    <n v="627"/>
    <n v="16896"/>
    <s v="61691380"/>
    <s v="61691380"/>
    <m/>
    <m/>
    <n v="22790554"/>
    <m/>
    <m/>
    <m/>
    <s v="SOLFIN"/>
    <s v="SOLFIN"/>
    <s v="CCMS"/>
    <n v="21338429"/>
    <n v="1002.46"/>
    <m/>
    <s v="N"/>
    <n v="10"/>
    <d v="2023-07-06T19:21:24"/>
    <s v="Y"/>
    <s v="Preparation - drafting pleadings"/>
    <s v="Care Remuneration Hourly Rates"/>
    <s v="Profit Cost"/>
    <s v="Gareth Bishop"/>
    <s v="Y"/>
    <n v="13.43"/>
    <n v="2.69"/>
    <x v="4"/>
    <s v="VALIDATED"/>
    <n v="1"/>
    <s v="01.11.80.308.6100.0000"/>
    <n v="13.43"/>
    <s v="11"/>
    <s v="6100"/>
    <n v="10342.84"/>
    <n v="13.43"/>
    <s v="CREDITOR"/>
    <n v="0"/>
    <n v="0"/>
    <n v="0"/>
    <n v="0"/>
    <n v="13.43"/>
  </r>
  <r>
    <n v="60777600"/>
    <s v="N"/>
    <n v="21362994"/>
    <s v="3000015015960009"/>
    <s v="CIVIL"/>
    <d v="2023-06-30T00:00:00"/>
    <d v="2023-07-12T19:01:49"/>
    <m/>
    <d v="2023-07-12T00:00:00"/>
    <n v="627"/>
    <n v="16896"/>
    <s v="60777600"/>
    <s v="60777600"/>
    <m/>
    <m/>
    <n v="22801578"/>
    <m/>
    <m/>
    <m/>
    <s v="SOLFIN"/>
    <s v="SOLFIN"/>
    <s v="CCMS"/>
    <n v="21362994"/>
    <n v="8516"/>
    <m/>
    <s v="N"/>
    <n v="3"/>
    <d v="2023-07-12T19:01:53"/>
    <s v="Y"/>
    <s v="Interim Hearing Court Bundle/Advoca"/>
    <s v="Public Law Children"/>
    <s v="Advocacy"/>
    <s v="Gareth Bishop"/>
    <s v="Y"/>
    <n v="89.09999999999999"/>
    <n v="17.82"/>
    <x v="0"/>
    <s v="VALIDATED"/>
    <n v="1"/>
    <s v="01.11.80.308.6100.0000"/>
    <n v="89.09999999999999"/>
    <s v="11"/>
    <s v="6100"/>
    <n v="10342.84"/>
    <n v="89.09999999999999"/>
    <s v="CREDITOR"/>
    <n v="0"/>
    <n v="0"/>
    <n v="0"/>
    <n v="0"/>
    <n v="89.09999999999999"/>
  </r>
  <r>
    <n v="60032783"/>
    <s v="N"/>
    <n v="21343939"/>
    <s v="3000014372670006"/>
    <s v="CIVIL"/>
    <d v="2023-06-28T00:00:00"/>
    <d v="2023-07-07T19:03:00"/>
    <m/>
    <d v="2023-07-07T00:00:00"/>
    <n v="627"/>
    <n v="16896"/>
    <s v="60032783"/>
    <s v="60032783"/>
    <m/>
    <m/>
    <n v="22782822"/>
    <m/>
    <m/>
    <m/>
    <s v="SOLFIN"/>
    <s v="SOLFIN"/>
    <s v="CCMS"/>
    <n v="21343939"/>
    <n v="5388.21"/>
    <m/>
    <s v="N"/>
    <n v="21"/>
    <d v="2023-07-07T19:03:18"/>
    <s v="Y"/>
    <s v="Attendance upon other"/>
    <s v="Prescribed Hourly Rates"/>
    <s v="Profit Cost"/>
    <s v="Hollie Knapman"/>
    <s v="Y"/>
    <n v="12.63"/>
    <n v="2.53"/>
    <x v="9"/>
    <s v="VALIDATED"/>
    <n v="1"/>
    <s v="01.11.80.307.6100.0000"/>
    <n v="12.63"/>
    <s v="11"/>
    <s v="6100"/>
    <n v="10342.84"/>
    <n v="12.63"/>
    <s v="CREDITOR"/>
    <n v="0"/>
    <n v="0"/>
    <n v="0"/>
    <n v="0"/>
    <n v="12.63"/>
  </r>
  <r>
    <n v="60032783"/>
    <s v="N"/>
    <n v="21343939"/>
    <s v="3000014372670006"/>
    <s v="CIVIL"/>
    <d v="2023-06-28T00:00:00"/>
    <d v="2023-07-07T19:03:00"/>
    <m/>
    <d v="2023-07-07T00:00:00"/>
    <n v="627"/>
    <n v="16896"/>
    <s v="60032783"/>
    <s v="60032783"/>
    <m/>
    <m/>
    <n v="22782822"/>
    <m/>
    <m/>
    <m/>
    <s v="SOLFIN"/>
    <s v="SOLFIN"/>
    <s v="CCMS"/>
    <n v="21343939"/>
    <n v="5388.21"/>
    <m/>
    <s v="N"/>
    <n v="1"/>
    <d v="2023-07-07T19:03:18"/>
    <s v="Y"/>
    <s v="Preparation - drafting bill/claim f"/>
    <s v="Prescribed Hourly Rates"/>
    <s v="Profit Cost"/>
    <s v="Lizzie Seall"/>
    <s v="Y"/>
    <n v="76.86"/>
    <n v="15.37"/>
    <x v="9"/>
    <s v="VALIDATED"/>
    <n v="1"/>
    <s v="01.11.80.307.6100.0000"/>
    <n v="76.86"/>
    <s v="11"/>
    <s v="6100"/>
    <n v="10342.84"/>
    <n v="76.86"/>
    <s v="CREDITOR"/>
    <n v="0"/>
    <n v="0"/>
    <n v="0"/>
    <n v="0"/>
    <n v="76.86"/>
  </r>
  <r>
    <n v="60032783"/>
    <s v="N"/>
    <n v="21343939"/>
    <s v="3000014372670006"/>
    <s v="CIVIL"/>
    <d v="2023-06-28T00:00:00"/>
    <d v="2023-07-07T19:03:00"/>
    <m/>
    <d v="2023-07-07T00:00:00"/>
    <n v="627"/>
    <n v="16896"/>
    <s v="60032783"/>
    <s v="60032783"/>
    <m/>
    <m/>
    <n v="22782822"/>
    <m/>
    <m/>
    <m/>
    <s v="SOLFIN"/>
    <s v="SOLFIN"/>
    <s v="CCMS"/>
    <n v="21343939"/>
    <n v="5388.21"/>
    <m/>
    <s v="N"/>
    <n v="6"/>
    <d v="2023-07-07T19:03:18"/>
    <s v="Y"/>
    <s v="Preparation - drafting statement"/>
    <s v="Prescribed Hourly Rates"/>
    <s v="Profit Cost"/>
    <s v="Georgina Bacon"/>
    <s v="Y"/>
    <n v="18.94"/>
    <n v="3.79"/>
    <x v="9"/>
    <s v="VALIDATED"/>
    <n v="1"/>
    <s v="01.11.80.307.6100.0000"/>
    <n v="18.94"/>
    <s v="11"/>
    <s v="6100"/>
    <n v="10342.84"/>
    <n v="18.94"/>
    <s v="CREDITOR"/>
    <n v="0"/>
    <n v="0"/>
    <n v="0"/>
    <n v="0"/>
    <n v="18.94"/>
  </r>
  <r>
    <n v="60032783"/>
    <s v="N"/>
    <n v="21343939"/>
    <s v="3000014372670006"/>
    <s v="CIVIL"/>
    <d v="2023-06-28T00:00:00"/>
    <d v="2023-07-07T19:03:00"/>
    <m/>
    <d v="2023-07-07T00:00:00"/>
    <n v="627"/>
    <n v="16896"/>
    <s v="60032783"/>
    <s v="60032783"/>
    <m/>
    <m/>
    <n v="22782822"/>
    <m/>
    <m/>
    <m/>
    <s v="SOLFIN"/>
    <s v="SOLFIN"/>
    <s v="CCMS"/>
    <n v="21343939"/>
    <n v="5388.21"/>
    <m/>
    <s v="N"/>
    <n v="42"/>
    <d v="2023-07-07T19:03:18"/>
    <s v="Y"/>
    <s v="Preparation - drafting attendance n"/>
    <s v="Prescribed Hourly Rates"/>
    <s v="Profit Cost"/>
    <s v="Georgina Bacon"/>
    <s v="Y"/>
    <n v="6.31"/>
    <n v="1.26"/>
    <x v="9"/>
    <s v="VALIDATED"/>
    <n v="1"/>
    <s v="01.11.80.307.6100.0000"/>
    <n v="6.31"/>
    <s v="11"/>
    <s v="6100"/>
    <n v="10342.84"/>
    <n v="6.31"/>
    <s v="CREDITOR"/>
    <n v="0"/>
    <n v="0"/>
    <n v="0"/>
    <n v="0"/>
    <n v="6.31"/>
  </r>
  <r>
    <n v="60032783"/>
    <s v="N"/>
    <n v="21343939"/>
    <s v="3000014372670006"/>
    <s v="CIVIL"/>
    <d v="2023-06-28T00:00:00"/>
    <d v="2023-07-07T19:03:00"/>
    <m/>
    <d v="2023-07-07T00:00:00"/>
    <n v="627"/>
    <n v="16896"/>
    <s v="60032783"/>
    <s v="60032783"/>
    <m/>
    <m/>
    <n v="22782822"/>
    <m/>
    <m/>
    <m/>
    <s v="SOLFIN"/>
    <s v="SOLFIN"/>
    <s v="CCMS"/>
    <n v="21343939"/>
    <n v="5388.21"/>
    <m/>
    <s v="N"/>
    <n v="47"/>
    <d v="2023-07-07T19:03:18"/>
    <s v="Y"/>
    <s v="Preparation - drafting attendance n"/>
    <s v="Prescribed Hourly Rates"/>
    <s v="Profit Cost"/>
    <s v="Georgina Bacon"/>
    <s v="Y"/>
    <n v="12.63"/>
    <n v="2.53"/>
    <x v="9"/>
    <s v="VALIDATED"/>
    <n v="1"/>
    <s v="01.11.80.307.6100.0000"/>
    <n v="12.63"/>
    <s v="11"/>
    <s v="6100"/>
    <n v="10342.84"/>
    <n v="12.63"/>
    <s v="CREDITOR"/>
    <n v="0"/>
    <n v="0"/>
    <n v="0"/>
    <n v="0"/>
    <n v="12.63"/>
  </r>
  <r>
    <n v="60777600"/>
    <s v="N"/>
    <n v="21362994"/>
    <s v="3000015015960009"/>
    <s v="CIVIL"/>
    <d v="2023-06-30T00:00:00"/>
    <d v="2023-07-12T19:01:49"/>
    <m/>
    <d v="2023-07-12T00:00:00"/>
    <n v="627"/>
    <n v="16896"/>
    <s v="60777600"/>
    <s v="60777600"/>
    <m/>
    <m/>
    <n v="22801578"/>
    <m/>
    <m/>
    <m/>
    <s v="SOLFIN"/>
    <s v="SOLFIN"/>
    <s v="CCMS"/>
    <n v="21362994"/>
    <n v="8516"/>
    <m/>
    <s v="N"/>
    <n v="1"/>
    <d v="2023-07-12T19:01:53"/>
    <s v="Y"/>
    <s v="Exceptional Travel"/>
    <s v="Public Law Children"/>
    <s v="Advocacy"/>
    <s v="Gareth Bishop"/>
    <s v="Y"/>
    <n v="32.04"/>
    <n v="6.41"/>
    <x v="0"/>
    <s v="VALIDATED"/>
    <n v="1"/>
    <s v="01.11.80.308.6100.0000"/>
    <n v="32.04"/>
    <s v="11"/>
    <s v="6100"/>
    <n v="10342.84"/>
    <n v="32.04"/>
    <s v="CREDITOR"/>
    <n v="0"/>
    <n v="0"/>
    <n v="0"/>
    <n v="0"/>
    <n v="32.04"/>
  </r>
  <r>
    <n v="61772086"/>
    <s v="N"/>
    <n v="21338474"/>
    <s v="3000015849670001"/>
    <s v="CIVIL"/>
    <d v="2023-06-28T00:00:00"/>
    <d v="2023-07-06T19:21:01"/>
    <m/>
    <d v="2023-07-06T00:00:00"/>
    <n v="627"/>
    <n v="16896"/>
    <s v="61772086"/>
    <s v="61772086"/>
    <m/>
    <m/>
    <n v="22781652"/>
    <m/>
    <m/>
    <m/>
    <s v="SOLFIN"/>
    <s v="SOLFIN"/>
    <s v="CCMS"/>
    <n v="21338474"/>
    <n v="1385.22"/>
    <m/>
    <s v="N"/>
    <n v="2"/>
    <d v="2023-07-06T19:21:26"/>
    <s v="Y"/>
    <s v="Preparation - drafting application"/>
    <s v="Care Remuneration Hourly Rates"/>
    <s v="Profit Cost"/>
    <s v="Gareth Bishop"/>
    <s v="Y"/>
    <n v="13.43"/>
    <n v="2.69"/>
    <x v="4"/>
    <s v="VALIDATED"/>
    <n v="1"/>
    <s v="01.11.80.308.6100.0000"/>
    <n v="13.43"/>
    <s v="11"/>
    <s v="6100"/>
    <n v="10342.84"/>
    <n v="13.43"/>
    <s v="CREDITOR"/>
    <n v="0"/>
    <n v="0"/>
    <n v="0"/>
    <n v="0"/>
    <n v="13.43"/>
  </r>
  <r>
    <n v="60273351"/>
    <s v="N"/>
    <n v="21360296"/>
    <s v="3000014580050004"/>
    <s v="CIVIL"/>
    <d v="2023-06-30T00:00:00"/>
    <d v="2023-07-11T11:50:54"/>
    <m/>
    <d v="2023-07-11T00:00:00"/>
    <n v="627"/>
    <n v="16896"/>
    <s v="60273351"/>
    <s v="60273351"/>
    <m/>
    <m/>
    <n v="22799124"/>
    <m/>
    <m/>
    <m/>
    <s v="SOLFIN"/>
    <s v="SOLFIN"/>
    <s v="CCMS"/>
    <n v="21360296"/>
    <n v="5739.07"/>
    <m/>
    <s v="N"/>
    <n v="9"/>
    <d v="2023-07-11T11:51:01"/>
    <s v="Y"/>
    <s v="Advocates Meeting"/>
    <s v="Public Law Children"/>
    <s v="Advocacy"/>
    <s v="Gareth Bishop"/>
    <s v="Y"/>
    <n v="140.99"/>
    <n v="28.2"/>
    <x v="7"/>
    <s v="VALIDATED"/>
    <n v="1"/>
    <s v="01.11.80.308.6100.0000"/>
    <n v="140.99"/>
    <s v="11"/>
    <s v="6100"/>
    <n v="10342.84"/>
    <n v="140.99"/>
    <s v="CREDITOR"/>
    <n v="0"/>
    <n v="0"/>
    <n v="0"/>
    <n v="0"/>
    <n v="140.99"/>
  </r>
  <r>
    <n v="60032783"/>
    <s v="N"/>
    <n v="21343939"/>
    <s v="3000014372670006"/>
    <s v="CIVIL"/>
    <d v="2023-06-28T00:00:00"/>
    <d v="2023-07-07T19:03:00"/>
    <m/>
    <d v="2023-07-07T00:00:00"/>
    <n v="627"/>
    <n v="16896"/>
    <s v="60032783"/>
    <s v="60032783"/>
    <m/>
    <m/>
    <n v="22782822"/>
    <m/>
    <m/>
    <m/>
    <s v="SOLFIN"/>
    <s v="SOLFIN"/>
    <s v="CCMS"/>
    <n v="21343939"/>
    <n v="5388.21"/>
    <m/>
    <s v="N"/>
    <n v="40"/>
    <d v="2023-07-07T19:03:18"/>
    <s v="Y"/>
    <s v="Preparation - drafting application"/>
    <s v="Prescribed Hourly Rates"/>
    <s v="Profit Cost"/>
    <s v="Georgina Bacon"/>
    <s v="Y"/>
    <n v="12.63"/>
    <n v="2.53"/>
    <x v="9"/>
    <s v="VALIDATED"/>
    <n v="1"/>
    <s v="01.11.80.307.6100.0000"/>
    <n v="12.63"/>
    <s v="11"/>
    <s v="6100"/>
    <n v="10342.84"/>
    <n v="12.63"/>
    <s v="CREDITOR"/>
    <n v="0"/>
    <n v="0"/>
    <n v="0"/>
    <n v="0"/>
    <n v="12.63"/>
  </r>
  <r>
    <n v="60032783"/>
    <s v="N"/>
    <n v="21343939"/>
    <s v="3000014372670006"/>
    <s v="CIVIL"/>
    <d v="2023-06-28T00:00:00"/>
    <d v="2023-07-07T19:03:00"/>
    <m/>
    <d v="2023-07-07T00:00:00"/>
    <n v="627"/>
    <n v="16896"/>
    <s v="60032783"/>
    <s v="60032783"/>
    <m/>
    <m/>
    <n v="22782822"/>
    <m/>
    <m/>
    <m/>
    <s v="SOLFIN"/>
    <s v="SOLFIN"/>
    <s v="CCMS"/>
    <n v="21343939"/>
    <n v="5388.21"/>
    <m/>
    <s v="N"/>
    <n v="9"/>
    <d v="2023-07-07T19:03:18"/>
    <s v="Y"/>
    <s v="Preparation - drafting pleadings"/>
    <s v="Prescribed Hourly Rates"/>
    <s v="Profit Cost"/>
    <s v="Georgina Bacon"/>
    <s v="Y"/>
    <n v="12.63"/>
    <n v="2.53"/>
    <x v="9"/>
    <s v="VALIDATED"/>
    <n v="1"/>
    <s v="01.11.80.307.6100.0000"/>
    <n v="12.63"/>
    <s v="11"/>
    <s v="6100"/>
    <n v="10342.84"/>
    <n v="12.63"/>
    <s v="CREDITOR"/>
    <n v="0"/>
    <n v="0"/>
    <n v="0"/>
    <n v="0"/>
    <n v="12.63"/>
  </r>
  <r>
    <n v="61772086"/>
    <s v="N"/>
    <n v="21338474"/>
    <s v="3000015849670001"/>
    <s v="CIVIL"/>
    <d v="2023-06-28T00:00:00"/>
    <d v="2023-07-06T19:21:01"/>
    <m/>
    <d v="2023-07-06T00:00:00"/>
    <n v="627"/>
    <n v="16896"/>
    <s v="61772086"/>
    <s v="61772086"/>
    <m/>
    <m/>
    <n v="22781652"/>
    <m/>
    <m/>
    <m/>
    <s v="SOLFIN"/>
    <s v="SOLFIN"/>
    <s v="CCMS"/>
    <n v="21338474"/>
    <n v="1385.22"/>
    <m/>
    <s v="N"/>
    <n v="6"/>
    <d v="2023-07-06T19:21:26"/>
    <s v="Y"/>
    <s v="Preparation - drafting pleadings"/>
    <s v="Care Remuneration Hourly Rates"/>
    <s v="Profit Cost"/>
    <s v="Gareth Bishop"/>
    <s v="Y"/>
    <n v="13.43"/>
    <n v="2.69"/>
    <x v="4"/>
    <s v="VALIDATED"/>
    <n v="1"/>
    <s v="01.11.80.308.6100.0000"/>
    <n v="13.43"/>
    <s v="11"/>
    <s v="6100"/>
    <n v="10342.84"/>
    <n v="13.43"/>
    <s v="CREDITOR"/>
    <n v="0"/>
    <n v="0"/>
    <n v="0"/>
    <n v="0"/>
    <n v="13.43"/>
  </r>
  <r>
    <n v="61691380"/>
    <s v="N"/>
    <n v="21338429"/>
    <s v="3000015785680002"/>
    <s v="CIVIL"/>
    <d v="2023-06-29T00:00:00"/>
    <d v="2023-07-06T19:21:01"/>
    <m/>
    <d v="2023-07-06T00:00:00"/>
    <n v="627"/>
    <n v="16896"/>
    <s v="61691380"/>
    <s v="61691380"/>
    <m/>
    <m/>
    <n v="22790554"/>
    <m/>
    <m/>
    <m/>
    <s v="SOLFIN"/>
    <s v="SOLFIN"/>
    <s v="CCMS"/>
    <n v="21338429"/>
    <n v="1002.46"/>
    <m/>
    <s v="N"/>
    <n v="11"/>
    <d v="2023-07-06T19:21:24"/>
    <s v="Y"/>
    <s v="Preparation - drafting application"/>
    <s v="Care Remuneration Hourly Rates"/>
    <s v="Profit Cost"/>
    <s v="Gareth Bishop"/>
    <s v="Y"/>
    <n v="13.43"/>
    <n v="2.69"/>
    <x v="4"/>
    <s v="VALIDATED"/>
    <n v="1"/>
    <s v="01.11.80.308.6100.0000"/>
    <n v="13.43"/>
    <s v="11"/>
    <s v="6100"/>
    <n v="10342.84"/>
    <n v="13.43"/>
    <s v="CREDITOR"/>
    <n v="0"/>
    <n v="0"/>
    <n v="0"/>
    <n v="0"/>
    <n v="13.43"/>
  </r>
  <r>
    <n v="60777600"/>
    <s v="N"/>
    <n v="21362994"/>
    <s v="3000015015960009"/>
    <s v="CIVIL"/>
    <d v="2023-06-30T00:00:00"/>
    <d v="2023-07-12T19:01:49"/>
    <m/>
    <d v="2023-07-12T00:00:00"/>
    <n v="627"/>
    <n v="16896"/>
    <s v="60777600"/>
    <s v="60777600"/>
    <m/>
    <m/>
    <n v="22801578"/>
    <m/>
    <m/>
    <m/>
    <s v="SOLFIN"/>
    <s v="SOLFIN"/>
    <s v="CCMS"/>
    <n v="21362994"/>
    <n v="8516"/>
    <m/>
    <s v="N"/>
    <n v="20"/>
    <d v="2023-07-12T19:01:53"/>
    <s v="Y"/>
    <s v="Solicitors Fixed Fee"/>
    <s v="Public Law Children"/>
    <s v="Profit Cost"/>
    <s v="Gareth Bishop"/>
    <s v="Y"/>
    <n v="2013"/>
    <n v="402.59"/>
    <x v="0"/>
    <s v="VALIDATED"/>
    <n v="1"/>
    <s v="01.11.80.308.6100.0000"/>
    <n v="2013"/>
    <s v="11"/>
    <s v="6100"/>
    <n v="10342.84"/>
    <n v="2013"/>
    <s v="CREDITOR"/>
    <n v="0"/>
    <n v="0"/>
    <n v="0"/>
    <n v="0"/>
    <n v="2013"/>
  </r>
  <r>
    <n v="60032783"/>
    <s v="N"/>
    <n v="21343939"/>
    <s v="3000014372670006"/>
    <s v="CIVIL"/>
    <d v="2023-06-28T00:00:00"/>
    <d v="2023-07-07T19:03:00"/>
    <m/>
    <d v="2023-07-07T00:00:00"/>
    <n v="627"/>
    <n v="16896"/>
    <s v="60032783"/>
    <s v="60032783"/>
    <m/>
    <m/>
    <n v="22782822"/>
    <m/>
    <m/>
    <m/>
    <s v="SOLFIN"/>
    <s v="SOLFIN"/>
    <s v="CCMS"/>
    <n v="21343939"/>
    <n v="5388.21"/>
    <m/>
    <s v="N"/>
    <n v="49"/>
    <d v="2023-07-07T19:03:18"/>
    <s v="Y"/>
    <s v="Report - other"/>
    <s v="Prescribed Hourly Rates"/>
    <s v="Profit Cost"/>
    <s v="Georgina Bacon"/>
    <s v="Y"/>
    <n v="37.88"/>
    <n v="7.58"/>
    <x v="9"/>
    <s v="VALIDATED"/>
    <n v="1"/>
    <s v="01.11.80.307.6100.0000"/>
    <n v="37.88"/>
    <s v="11"/>
    <s v="6100"/>
    <n v="10342.84"/>
    <n v="37.88"/>
    <s v="CREDITOR"/>
    <n v="0"/>
    <n v="0"/>
    <n v="0"/>
    <n v="0"/>
    <n v="37.88"/>
  </r>
  <r>
    <n v="60777600"/>
    <s v="N"/>
    <n v="21362994"/>
    <s v="3000015015960009"/>
    <s v="CIVIL"/>
    <d v="2023-06-30T00:00:00"/>
    <d v="2023-07-12T19:01:49"/>
    <m/>
    <d v="2023-07-12T00:00:00"/>
    <n v="627"/>
    <n v="16896"/>
    <s v="60777600"/>
    <s v="60777600"/>
    <m/>
    <m/>
    <n v="22801578"/>
    <m/>
    <m/>
    <m/>
    <s v="SOLFIN"/>
    <s v="SOLFIN"/>
    <s v="CCMS"/>
    <n v="21362994"/>
    <n v="8516"/>
    <m/>
    <s v="N"/>
    <n v="6"/>
    <d v="2023-07-12T19:01:53"/>
    <s v="Y"/>
    <s v="Toxicologist"/>
    <s v="Public Law Children"/>
    <s v="Expert Disbursement"/>
    <s v="Gareth Bishop"/>
    <s v="Y"/>
    <n v="216.33"/>
    <n v="43.27"/>
    <x v="0"/>
    <s v="VALIDATED"/>
    <n v="1"/>
    <s v="01.11.80.308.6300.0000"/>
    <n v="216.33"/>
    <s v="11"/>
    <s v="6300"/>
    <n v="10342.84"/>
    <n v="216.33"/>
    <s v="CREDITOR"/>
    <n v="0"/>
    <n v="0"/>
    <n v="0"/>
    <n v="0"/>
    <n v="216.33"/>
  </r>
  <r>
    <n v="60273351"/>
    <s v="N"/>
    <n v="21360296"/>
    <s v="3000014580050004"/>
    <s v="CIVIL"/>
    <d v="2023-06-30T00:00:00"/>
    <d v="2023-07-11T11:50:54"/>
    <m/>
    <d v="2023-07-11T00:00:00"/>
    <n v="627"/>
    <n v="16896"/>
    <s v="60273351"/>
    <s v="60273351"/>
    <m/>
    <m/>
    <n v="22799124"/>
    <m/>
    <m/>
    <m/>
    <s v="SOLFIN"/>
    <s v="SOLFIN"/>
    <s v="CCMS"/>
    <n v="21360296"/>
    <n v="5739.07"/>
    <m/>
    <s v="N"/>
    <n v="4"/>
    <d v="2023-07-11T11:51:01"/>
    <s v="Y"/>
    <s v="Hearing Unit 1.01 - 2.30 Hours"/>
    <s v="Public Law Children"/>
    <s v="Advocacy"/>
    <s v="Gareth Bishop"/>
    <s v="Y"/>
    <n v="238.46"/>
    <n v="47.69"/>
    <x v="7"/>
    <s v="VALIDATED"/>
    <n v="1"/>
    <s v="01.11.80.308.6100.0000"/>
    <n v="238.46"/>
    <s v="11"/>
    <s v="6100"/>
    <n v="10342.84"/>
    <n v="238.46"/>
    <s v="CREDITOR"/>
    <n v="0"/>
    <n v="0"/>
    <n v="0"/>
    <n v="0"/>
    <n v="238.46"/>
  </r>
  <r>
    <n v="60032783"/>
    <s v="N"/>
    <n v="21343939"/>
    <s v="3000014372670006"/>
    <s v="CIVIL"/>
    <d v="2023-06-28T00:00:00"/>
    <d v="2023-07-07T19:03:00"/>
    <m/>
    <d v="2023-07-07T00:00:00"/>
    <n v="627"/>
    <n v="16896"/>
    <s v="60032783"/>
    <s v="60032783"/>
    <m/>
    <m/>
    <n v="22782822"/>
    <m/>
    <m/>
    <m/>
    <s v="SOLFIN"/>
    <s v="SOLFIN"/>
    <s v="CCMS"/>
    <n v="21343939"/>
    <n v="5388.21"/>
    <m/>
    <s v="N"/>
    <n v="15"/>
    <d v="2023-07-07T19:03:18"/>
    <s v="Y"/>
    <s v="Preparation - drafting attendance n"/>
    <s v="Prescribed Hourly Rates"/>
    <s v="Profit Cost"/>
    <s v="Georgina Bacon"/>
    <s v="Y"/>
    <n v="6.31"/>
    <n v="1.26"/>
    <x v="9"/>
    <s v="VALIDATED"/>
    <n v="1"/>
    <s v="01.11.80.307.6100.0000"/>
    <n v="6.31"/>
    <s v="11"/>
    <s v="6100"/>
    <n v="10342.84"/>
    <n v="6.31"/>
    <s v="CREDITOR"/>
    <n v="0"/>
    <n v="0"/>
    <n v="0"/>
    <n v="0"/>
    <n v="6.31"/>
  </r>
  <r>
    <n v="61252136"/>
    <s v="N"/>
    <n v="21360248"/>
    <s v="3000015418890006"/>
    <s v="CIVIL"/>
    <d v="2023-06-29T00:00:00"/>
    <d v="2023-07-11T11:50:54"/>
    <m/>
    <d v="2023-07-11T00:00:00"/>
    <n v="627"/>
    <n v="16896"/>
    <s v="61252136"/>
    <s v="61252136"/>
    <m/>
    <m/>
    <n v="22793530"/>
    <m/>
    <m/>
    <m/>
    <s v="SOLFIN"/>
    <s v="SOLFIN"/>
    <s v="CCMS"/>
    <n v="21360248"/>
    <n v="5573.1"/>
    <m/>
    <s v="N"/>
    <n v="9"/>
    <d v="2023-07-11T11:50:58"/>
    <s v="Y"/>
    <s v="Advocates Meeting"/>
    <s v="Public Law Children"/>
    <s v="Advocacy"/>
    <s v="Gareth Bishop"/>
    <s v="Y"/>
    <n v="140.99"/>
    <n v="28.2"/>
    <x v="7"/>
    <s v="VALIDATED"/>
    <n v="1"/>
    <s v="01.11.80.308.6100.0000"/>
    <n v="140.99"/>
    <s v="11"/>
    <s v="6100"/>
    <n v="10342.84"/>
    <n v="140.99"/>
    <s v="CREDITOR"/>
    <n v="0"/>
    <n v="0"/>
    <n v="0"/>
    <n v="0"/>
    <n v="140.99"/>
  </r>
  <r>
    <n v="60032783"/>
    <s v="N"/>
    <n v="21343939"/>
    <s v="3000014372670006"/>
    <s v="CIVIL"/>
    <d v="2023-06-28T00:00:00"/>
    <d v="2023-07-07T19:03:00"/>
    <m/>
    <d v="2023-07-07T00:00:00"/>
    <n v="627"/>
    <n v="16896"/>
    <s v="60032783"/>
    <s v="60032783"/>
    <m/>
    <m/>
    <n v="22782822"/>
    <m/>
    <m/>
    <m/>
    <s v="SOLFIN"/>
    <s v="SOLFIN"/>
    <s v="CCMS"/>
    <n v="21343939"/>
    <n v="5388.21"/>
    <m/>
    <s v="N"/>
    <n v="12"/>
    <d v="2023-07-07T19:03:18"/>
    <s v="Y"/>
    <s v="Attendance upon court"/>
    <s v="Prescribed Hourly Rates"/>
    <s v="Profit Cost"/>
    <s v="Georgina Bacon"/>
    <s v="Y"/>
    <n v="138.9"/>
    <n v="27.78"/>
    <x v="9"/>
    <s v="VALIDATED"/>
    <n v="1"/>
    <s v="01.11.80.307.6100.0000"/>
    <n v="138.9"/>
    <s v="11"/>
    <s v="6100"/>
    <n v="10342.84"/>
    <n v="138.9"/>
    <s v="CREDITOR"/>
    <n v="0"/>
    <n v="0"/>
    <n v="0"/>
    <n v="0"/>
    <n v="138.9"/>
  </r>
  <r>
    <n v="60032783"/>
    <s v="N"/>
    <n v="21343939"/>
    <s v="3000014372670006"/>
    <s v="CIVIL"/>
    <d v="2023-06-28T00:00:00"/>
    <d v="2023-07-07T19:03:00"/>
    <m/>
    <d v="2023-07-07T00:00:00"/>
    <n v="627"/>
    <n v="16896"/>
    <s v="60032783"/>
    <s v="60032783"/>
    <m/>
    <m/>
    <n v="22782822"/>
    <m/>
    <m/>
    <m/>
    <s v="SOLFIN"/>
    <s v="SOLFIN"/>
    <s v="CCMS"/>
    <n v="21343939"/>
    <n v="5388.21"/>
    <m/>
    <s v="N"/>
    <n v="50"/>
    <d v="2023-07-07T19:03:18"/>
    <s v="Y"/>
    <s v="Court Fee"/>
    <s v="Prescribed Hourly Rates"/>
    <s v="Non Expert Disbursement"/>
    <s v="Georgina Bacon"/>
    <s v="Y"/>
    <n v="53"/>
    <n v="0"/>
    <x v="9"/>
    <s v="VALIDATED"/>
    <n v="1"/>
    <s v="01.11.80.307.6300.0000"/>
    <n v="53"/>
    <s v="11"/>
    <s v="6300"/>
    <n v="10342.84"/>
    <n v="53"/>
    <s v="CREDITOR"/>
    <n v="0"/>
    <n v="0"/>
    <n v="0"/>
    <n v="0"/>
    <n v="53"/>
  </r>
  <r>
    <n v="61772086"/>
    <s v="N"/>
    <n v="21338474"/>
    <s v="3000015849670001"/>
    <s v="CIVIL"/>
    <d v="2023-06-28T00:00:00"/>
    <d v="2023-07-06T19:21:01"/>
    <m/>
    <d v="2023-07-06T00:00:00"/>
    <n v="627"/>
    <n v="16896"/>
    <s v="61772086"/>
    <s v="61772086"/>
    <m/>
    <m/>
    <n v="22781652"/>
    <m/>
    <m/>
    <m/>
    <s v="SOLFIN"/>
    <s v="SOLFIN"/>
    <s v="CCMS"/>
    <n v="21338474"/>
    <n v="1385.22"/>
    <m/>
    <s v="N"/>
    <n v="5"/>
    <d v="2023-07-06T19:21:26"/>
    <s v="Y"/>
    <s v="Preparation - drafting attendance n"/>
    <s v="Care Remuneration Hourly Rates"/>
    <s v="Profit Cost"/>
    <s v="Gareth Bishop"/>
    <s v="Y"/>
    <n v="13.43"/>
    <n v="2.69"/>
    <x v="4"/>
    <s v="VALIDATED"/>
    <n v="1"/>
    <s v="01.11.80.308.6100.0000"/>
    <n v="13.43"/>
    <s v="11"/>
    <s v="6100"/>
    <n v="10342.84"/>
    <n v="13.43"/>
    <s v="CREDITOR"/>
    <n v="0"/>
    <n v="0"/>
    <n v="0"/>
    <n v="0"/>
    <n v="13.43"/>
  </r>
  <r>
    <n v="61772086"/>
    <s v="N"/>
    <n v="21338474"/>
    <s v="3000015849670001"/>
    <s v="CIVIL"/>
    <d v="2023-06-28T00:00:00"/>
    <d v="2023-07-06T19:21:01"/>
    <m/>
    <d v="2023-07-06T00:00:00"/>
    <n v="627"/>
    <n v="16896"/>
    <s v="61772086"/>
    <s v="61772086"/>
    <m/>
    <m/>
    <n v="22781652"/>
    <m/>
    <m/>
    <m/>
    <s v="SOLFIN"/>
    <s v="SOLFIN"/>
    <s v="CCMS"/>
    <n v="21338474"/>
    <n v="1385.22"/>
    <m/>
    <s v="N"/>
    <n v="13"/>
    <d v="2023-07-06T19:21:26"/>
    <s v="Y"/>
    <s v="Preparation - drafting pleadings"/>
    <s v="Care Remuneration Hourly Rates"/>
    <s v="Profit Cost"/>
    <s v="Gareth Bishop"/>
    <s v="Y"/>
    <n v="321.25"/>
    <n v="64.25"/>
    <x v="4"/>
    <s v="VALIDATED"/>
    <n v="1"/>
    <s v="01.11.80.308.6100.0000"/>
    <n v="321.25"/>
    <s v="11"/>
    <s v="6100"/>
    <n v="10342.84"/>
    <n v="321.25"/>
    <s v="CREDITOR"/>
    <n v="0"/>
    <n v="0"/>
    <n v="0"/>
    <n v="0"/>
    <n v="321.25"/>
  </r>
  <r>
    <n v="60032783"/>
    <s v="N"/>
    <n v="21343939"/>
    <s v="3000014372670006"/>
    <s v="CIVIL"/>
    <d v="2023-06-28T00:00:00"/>
    <d v="2023-07-07T19:03:00"/>
    <m/>
    <d v="2023-07-07T00:00:00"/>
    <n v="627"/>
    <n v="16896"/>
    <s v="60032783"/>
    <s v="60032783"/>
    <m/>
    <m/>
    <n v="22782822"/>
    <m/>
    <m/>
    <m/>
    <s v="SOLFIN"/>
    <s v="SOLFIN"/>
    <s v="CCMS"/>
    <n v="21343939"/>
    <n v="5388.21"/>
    <m/>
    <s v="N"/>
    <n v="41"/>
    <d v="2023-07-07T19:03:18"/>
    <s v="Y"/>
    <s v="Preparation - drafting application"/>
    <s v="Prescribed Hourly Rates"/>
    <s v="Profit Cost"/>
    <s v="Georgina Bacon"/>
    <s v="Y"/>
    <n v="12.63"/>
    <n v="2.53"/>
    <x v="9"/>
    <s v="VALIDATED"/>
    <n v="1"/>
    <s v="01.11.80.307.6100.0000"/>
    <n v="12.63"/>
    <s v="11"/>
    <s v="6100"/>
    <n v="10342.84"/>
    <n v="12.63"/>
    <s v="CREDITOR"/>
    <n v="0"/>
    <n v="0"/>
    <n v="0"/>
    <n v="0"/>
    <n v="12.63"/>
  </r>
  <r>
    <n v="61691380"/>
    <s v="N"/>
    <n v="21338429"/>
    <s v="3000015785680002"/>
    <s v="CIVIL"/>
    <d v="2023-06-29T00:00:00"/>
    <d v="2023-07-06T19:21:01"/>
    <m/>
    <d v="2023-07-06T00:00:00"/>
    <n v="627"/>
    <n v="16896"/>
    <s v="61691380"/>
    <s v="61691380"/>
    <m/>
    <m/>
    <n v="22790554"/>
    <m/>
    <m/>
    <m/>
    <s v="SOLFIN"/>
    <s v="SOLFIN"/>
    <s v="CCMS"/>
    <n v="21338429"/>
    <n v="1002.46"/>
    <m/>
    <s v="N"/>
    <n v="1"/>
    <d v="2023-07-06T19:21:24"/>
    <s v="Y"/>
    <s v="Routine Letter In"/>
    <s v="Care Remuneration Hourly Rates"/>
    <s v="Profit Cost"/>
    <s v="Gareth Bishop"/>
    <s v="Y"/>
    <n v="65.95"/>
    <n v="13.19"/>
    <x v="4"/>
    <s v="VALIDATED"/>
    <n v="1"/>
    <s v="01.11.80.308.6100.0000"/>
    <n v="65.95"/>
    <s v="11"/>
    <s v="6100"/>
    <n v="10342.84"/>
    <n v="65.95"/>
    <s v="CREDITOR"/>
    <n v="0"/>
    <n v="0"/>
    <n v="0"/>
    <n v="0"/>
    <n v="65.95"/>
  </r>
  <r>
    <n v="60032783"/>
    <s v="N"/>
    <n v="21343939"/>
    <s v="3000014372670006"/>
    <s v="CIVIL"/>
    <d v="2023-06-28T00:00:00"/>
    <d v="2023-07-07T19:03:00"/>
    <m/>
    <d v="2023-07-07T00:00:00"/>
    <n v="627"/>
    <n v="16896"/>
    <s v="60032783"/>
    <s v="60032783"/>
    <m/>
    <m/>
    <n v="22782822"/>
    <m/>
    <m/>
    <m/>
    <s v="SOLFIN"/>
    <s v="SOLFIN"/>
    <s v="CCMS"/>
    <n v="21343939"/>
    <n v="5388.21"/>
    <m/>
    <s v="N"/>
    <n v="24"/>
    <d v="2023-07-07T19:03:18"/>
    <s v="Y"/>
    <s v="Preparation - drafting application"/>
    <s v="Prescribed Hourly Rates"/>
    <s v="Profit Cost"/>
    <s v="Georgina Bacon"/>
    <s v="Y"/>
    <n v="12.63"/>
    <n v="2.53"/>
    <x v="9"/>
    <s v="VALIDATED"/>
    <n v="1"/>
    <s v="01.11.80.307.6100.0000"/>
    <n v="12.63"/>
    <s v="11"/>
    <s v="6100"/>
    <n v="10342.84"/>
    <n v="12.63"/>
    <s v="CREDITOR"/>
    <n v="0"/>
    <n v="0"/>
    <n v="0"/>
    <n v="0"/>
    <n v="12.63"/>
  </r>
  <r>
    <n v="60032783"/>
    <s v="N"/>
    <n v="21343939"/>
    <s v="3000014372670006"/>
    <s v="CIVIL"/>
    <d v="2023-06-28T00:00:00"/>
    <d v="2023-07-07T19:03:00"/>
    <m/>
    <d v="2023-07-07T00:00:00"/>
    <n v="627"/>
    <n v="16896"/>
    <s v="60032783"/>
    <s v="60032783"/>
    <m/>
    <m/>
    <n v="22782822"/>
    <m/>
    <m/>
    <m/>
    <s v="SOLFIN"/>
    <s v="SOLFIN"/>
    <s v="CCMS"/>
    <n v="21343939"/>
    <n v="5388.21"/>
    <m/>
    <s v="N"/>
    <n v="26"/>
    <d v="2023-07-07T19:03:18"/>
    <s v="Y"/>
    <s v="Preparation - drafting application"/>
    <s v="Prescribed Hourly Rates"/>
    <s v="Profit Cost"/>
    <s v="Georgina Bacon"/>
    <s v="Y"/>
    <n v="12.63"/>
    <n v="2.53"/>
    <x v="9"/>
    <s v="VALIDATED"/>
    <n v="1"/>
    <s v="01.11.80.307.6100.0000"/>
    <n v="12.63"/>
    <s v="11"/>
    <s v="6100"/>
    <n v="10342.84"/>
    <n v="12.63"/>
    <s v="CREDITOR"/>
    <n v="0"/>
    <n v="0"/>
    <n v="0"/>
    <n v="0"/>
    <n v="12.63"/>
  </r>
  <r>
    <n v="61772086"/>
    <s v="N"/>
    <n v="21338474"/>
    <s v="3000015849670001"/>
    <s v="CIVIL"/>
    <d v="2023-06-28T00:00:00"/>
    <d v="2023-07-06T19:21:01"/>
    <m/>
    <d v="2023-07-06T00:00:00"/>
    <n v="627"/>
    <n v="16896"/>
    <s v="61772086"/>
    <s v="61772086"/>
    <m/>
    <m/>
    <n v="22781652"/>
    <m/>
    <m/>
    <m/>
    <s v="SOLFIN"/>
    <s v="SOLFIN"/>
    <s v="CCMS"/>
    <n v="21338474"/>
    <n v="1385.22"/>
    <m/>
    <s v="N"/>
    <n v="9"/>
    <d v="2023-07-06T19:21:26"/>
    <s v="Y"/>
    <s v="Routine Letter Out"/>
    <s v="Care Remuneration Hourly Rates"/>
    <s v="Profit Cost"/>
    <s v="Gareth Bishop"/>
    <s v="Y"/>
    <n v="50.92"/>
    <n v="10.18"/>
    <x v="4"/>
    <s v="VALIDATED"/>
    <n v="1"/>
    <s v="01.11.80.308.6100.0000"/>
    <n v="50.92"/>
    <s v="11"/>
    <s v="6100"/>
    <n v="10342.84"/>
    <n v="50.92"/>
    <s v="CREDITOR"/>
    <n v="0"/>
    <n v="0"/>
    <n v="0"/>
    <n v="0"/>
    <n v="50.92"/>
  </r>
  <r>
    <n v="61252136"/>
    <s v="N"/>
    <n v="21360248"/>
    <s v="3000015418890006"/>
    <s v="CIVIL"/>
    <d v="2023-06-29T00:00:00"/>
    <d v="2023-07-11T11:50:54"/>
    <m/>
    <d v="2023-07-11T00:00:00"/>
    <n v="627"/>
    <n v="16896"/>
    <s v="61252136"/>
    <s v="61252136"/>
    <m/>
    <m/>
    <n v="22793530"/>
    <m/>
    <m/>
    <m/>
    <s v="SOLFIN"/>
    <s v="SOLFIN"/>
    <s v="CCMS"/>
    <n v="21360248"/>
    <n v="5573.1"/>
    <m/>
    <s v="N"/>
    <n v="7"/>
    <d v="2023-07-11T11:50:58"/>
    <s v="Y"/>
    <s v="DNA - preparation of report"/>
    <s v="Public Law Children"/>
    <s v="Expert Disbursement"/>
    <s v="Gareth Bishop"/>
    <s v="Y"/>
    <n v="79.48"/>
    <n v="15.9"/>
    <x v="7"/>
    <s v="VALIDATED"/>
    <n v="1"/>
    <s v="01.11.80.308.6300.0000"/>
    <n v="79.48"/>
    <s v="11"/>
    <s v="6300"/>
    <n v="10342.84"/>
    <n v="79.48"/>
    <s v="CREDITOR"/>
    <n v="0"/>
    <n v="0"/>
    <n v="0"/>
    <n v="0"/>
    <n v="79.48"/>
  </r>
  <r>
    <n v="61691380"/>
    <s v="N"/>
    <n v="21338429"/>
    <s v="3000015785680002"/>
    <s v="CIVIL"/>
    <d v="2023-06-29T00:00:00"/>
    <d v="2023-07-06T19:21:01"/>
    <m/>
    <d v="2023-07-06T00:00:00"/>
    <n v="627"/>
    <n v="16896"/>
    <s v="61691380"/>
    <s v="61691380"/>
    <m/>
    <m/>
    <n v="22790554"/>
    <m/>
    <m/>
    <m/>
    <s v="SOLFIN"/>
    <s v="SOLFIN"/>
    <s v="CCMS"/>
    <n v="21338429"/>
    <n v="1002.46"/>
    <m/>
    <s v="N"/>
    <n v="6"/>
    <d v="2023-07-06T19:21:24"/>
    <s v="Y"/>
    <s v="Attendance upon client"/>
    <s v="Care Remuneration Hourly Rates"/>
    <s v="Profit Cost"/>
    <s v="Gareth Bishop"/>
    <s v="Y"/>
    <n v="36.51"/>
    <n v="7.3"/>
    <x v="4"/>
    <s v="VALIDATED"/>
    <n v="1"/>
    <s v="01.11.80.308.6100.0000"/>
    <n v="36.51"/>
    <s v="11"/>
    <s v="6100"/>
    <n v="10342.84"/>
    <n v="36.51"/>
    <s v="CREDITOR"/>
    <n v="0"/>
    <n v="0"/>
    <n v="0"/>
    <n v="0"/>
    <n v="36.51"/>
  </r>
  <r>
    <n v="60273436"/>
    <s v="N"/>
    <n v="21360286"/>
    <s v="3000014580160001"/>
    <s v="CIVIL"/>
    <d v="2023-06-30T00:00:00"/>
    <d v="2023-07-11T11:50:54"/>
    <m/>
    <d v="2023-07-11T00:00:00"/>
    <n v="627"/>
    <n v="16896"/>
    <s v="60273436"/>
    <s v="60273436"/>
    <m/>
    <m/>
    <n v="22799012"/>
    <m/>
    <m/>
    <m/>
    <s v="SOLFIN"/>
    <s v="SOLFIN"/>
    <s v="CCMS"/>
    <n v="21360286"/>
    <n v="0"/>
    <m/>
    <s v="N"/>
    <n v="1"/>
    <d v="2023-07-11T11:51:00"/>
    <s v="N"/>
    <s v="NIL BILL"/>
    <s v="Public Law Children"/>
    <s v="Profit Cost"/>
    <s v="Gareth Bishop"/>
    <s v="N"/>
    <n v="0"/>
    <n v="0"/>
    <x v="7"/>
    <s v="VALIDATED"/>
    <n v="1"/>
    <s v="01.11.80.308.6100.0000"/>
    <n v="0"/>
    <s v="11"/>
    <s v="6100"/>
    <n v="10342.84"/>
    <n v="0"/>
    <s v="CREDITOR"/>
    <n v="0"/>
    <n v="0"/>
    <n v="0"/>
    <n v="0"/>
    <n v="0"/>
  </r>
  <r>
    <n v="61691380"/>
    <s v="N"/>
    <n v="21338429"/>
    <s v="3000015785680002"/>
    <s v="CIVIL"/>
    <d v="2023-06-29T00:00:00"/>
    <d v="2023-07-06T19:21:01"/>
    <m/>
    <d v="2023-07-06T00:00:00"/>
    <n v="627"/>
    <n v="16896"/>
    <s v="61691380"/>
    <s v="61691380"/>
    <m/>
    <m/>
    <n v="22790554"/>
    <m/>
    <m/>
    <m/>
    <s v="SOLFIN"/>
    <s v="SOLFIN"/>
    <s v="CCMS"/>
    <n v="21338429"/>
    <n v="1002.46"/>
    <m/>
    <s v="N"/>
    <n v="12"/>
    <d v="2023-07-06T19:21:24"/>
    <s v="Y"/>
    <s v="Preparation - drafting pleadings"/>
    <s v="Care Remuneration Hourly Rates"/>
    <s v="Profit Cost"/>
    <s v="Gareth Bishop"/>
    <s v="Y"/>
    <n v="13.43"/>
    <n v="2.69"/>
    <x v="4"/>
    <s v="VALIDATED"/>
    <n v="1"/>
    <s v="01.11.80.308.6100.0000"/>
    <n v="13.43"/>
    <s v="11"/>
    <s v="6100"/>
    <n v="10342.84"/>
    <n v="13.43"/>
    <s v="CREDITOR"/>
    <n v="0"/>
    <n v="0"/>
    <n v="0"/>
    <n v="0"/>
    <n v="13.43"/>
  </r>
  <r>
    <n v="60032783"/>
    <s v="N"/>
    <n v="21343939"/>
    <s v="3000014372670006"/>
    <s v="CIVIL"/>
    <d v="2023-06-28T00:00:00"/>
    <d v="2023-07-07T19:03:00"/>
    <m/>
    <d v="2023-07-07T00:00:00"/>
    <n v="627"/>
    <n v="16896"/>
    <s v="60032783"/>
    <s v="60032783"/>
    <m/>
    <m/>
    <n v="22782822"/>
    <m/>
    <m/>
    <m/>
    <s v="SOLFIN"/>
    <s v="SOLFIN"/>
    <s v="CCMS"/>
    <n v="21343939"/>
    <n v="5388.21"/>
    <m/>
    <s v="N"/>
    <n v="36"/>
    <d v="2023-07-07T19:03:18"/>
    <s v="Y"/>
    <s v="Preparation - drafting application"/>
    <s v="Prescribed Hourly Rates"/>
    <s v="Profit Cost"/>
    <s v="Georgina Bacon"/>
    <s v="Y"/>
    <n v="12.63"/>
    <n v="2.53"/>
    <x v="9"/>
    <s v="VALIDATED"/>
    <n v="1"/>
    <s v="01.11.80.307.6100.0000"/>
    <n v="12.63"/>
    <s v="11"/>
    <s v="6100"/>
    <n v="10342.84"/>
    <n v="12.63"/>
    <s v="CREDITOR"/>
    <n v="0"/>
    <n v="0"/>
    <n v="0"/>
    <n v="0"/>
    <n v="12.63"/>
  </r>
  <r>
    <n v="60032783"/>
    <s v="N"/>
    <n v="21343939"/>
    <s v="3000014372670006"/>
    <s v="CIVIL"/>
    <d v="2023-06-28T00:00:00"/>
    <d v="2023-07-07T19:03:00"/>
    <m/>
    <d v="2023-07-07T00:00:00"/>
    <n v="627"/>
    <n v="16896"/>
    <s v="60032783"/>
    <s v="60032783"/>
    <m/>
    <m/>
    <n v="22782822"/>
    <m/>
    <m/>
    <m/>
    <s v="SOLFIN"/>
    <s v="SOLFIN"/>
    <s v="CCMS"/>
    <n v="21343939"/>
    <n v="5388.21"/>
    <m/>
    <s v="N"/>
    <n v="11"/>
    <d v="2023-07-07T19:03:18"/>
    <s v="Y"/>
    <s v="Preparation - drafting statement"/>
    <s v="Prescribed Hourly Rates"/>
    <s v="Profit Cost"/>
    <s v="Georgina Bacon"/>
    <s v="Y"/>
    <n v="6.31"/>
    <n v="1.26"/>
    <x v="9"/>
    <s v="VALIDATED"/>
    <n v="1"/>
    <s v="01.11.80.307.6100.0000"/>
    <n v="6.31"/>
    <s v="11"/>
    <s v="6100"/>
    <n v="10342.84"/>
    <n v="6.31"/>
    <s v="CREDITOR"/>
    <n v="0"/>
    <n v="0"/>
    <n v="0"/>
    <n v="0"/>
    <n v="6.31"/>
  </r>
  <r>
    <n v="60273351"/>
    <s v="N"/>
    <n v="21360296"/>
    <s v="3000014580050004"/>
    <s v="CIVIL"/>
    <d v="2023-06-30T00:00:00"/>
    <d v="2023-07-11T11:50:54"/>
    <m/>
    <d v="2023-07-11T00:00:00"/>
    <n v="627"/>
    <n v="16896"/>
    <s v="60273351"/>
    <s v="60273351"/>
    <m/>
    <m/>
    <n v="22799124"/>
    <m/>
    <m/>
    <m/>
    <s v="SOLFIN"/>
    <s v="SOLFIN"/>
    <s v="CCMS"/>
    <n v="21360296"/>
    <n v="5739.07"/>
    <m/>
    <s v="N"/>
    <n v="7"/>
    <d v="2023-07-11T11:51:01"/>
    <s v="Y"/>
    <s v="Advocates Meeting"/>
    <s v="Public Law Children"/>
    <s v="Advocacy"/>
    <s v="Gareth Bishop"/>
    <s v="Y"/>
    <n v="140.99"/>
    <n v="28.2"/>
    <x v="7"/>
    <s v="VALIDATED"/>
    <n v="1"/>
    <s v="01.11.80.308.6100.0000"/>
    <n v="140.99"/>
    <s v="11"/>
    <s v="6100"/>
    <n v="10342.84"/>
    <n v="140.99"/>
    <s v="CREDITOR"/>
    <n v="0"/>
    <n v="0"/>
    <n v="0"/>
    <n v="0"/>
    <n v="140.99"/>
  </r>
  <r>
    <n v="60032783"/>
    <s v="N"/>
    <n v="21343939"/>
    <s v="3000014372670006"/>
    <s v="CIVIL"/>
    <d v="2023-06-28T00:00:00"/>
    <d v="2023-07-07T19:03:00"/>
    <m/>
    <d v="2023-07-07T00:00:00"/>
    <n v="627"/>
    <n v="16896"/>
    <s v="60032783"/>
    <s v="60032783"/>
    <m/>
    <m/>
    <n v="22782822"/>
    <m/>
    <m/>
    <m/>
    <s v="SOLFIN"/>
    <s v="SOLFIN"/>
    <s v="CCMS"/>
    <n v="21343939"/>
    <n v="5388.21"/>
    <m/>
    <s v="N"/>
    <n v="17"/>
    <d v="2023-07-07T19:03:18"/>
    <s v="Y"/>
    <s v="Attendance upon client"/>
    <s v="Prescribed Hourly Rates"/>
    <s v="Profit Cost"/>
    <s v="Georgina Bacon"/>
    <s v="Y"/>
    <n v="18.94"/>
    <n v="3.79"/>
    <x v="9"/>
    <s v="VALIDATED"/>
    <n v="1"/>
    <s v="01.11.80.307.6100.0000"/>
    <n v="18.94"/>
    <s v="11"/>
    <s v="6100"/>
    <n v="10342.84"/>
    <n v="18.94"/>
    <s v="CREDITOR"/>
    <n v="0"/>
    <n v="0"/>
    <n v="0"/>
    <n v="0"/>
    <n v="18.94"/>
  </r>
  <r>
    <n v="60032783"/>
    <s v="N"/>
    <n v="21343939"/>
    <s v="3000014372670006"/>
    <s v="CIVIL"/>
    <d v="2023-06-28T00:00:00"/>
    <d v="2023-07-07T19:03:00"/>
    <m/>
    <d v="2023-07-07T00:00:00"/>
    <n v="627"/>
    <n v="16896"/>
    <s v="60032783"/>
    <s v="60032783"/>
    <m/>
    <m/>
    <n v="22782822"/>
    <m/>
    <m/>
    <m/>
    <s v="SOLFIN"/>
    <s v="SOLFIN"/>
    <s v="CCMS"/>
    <n v="21343939"/>
    <n v="5388.21"/>
    <m/>
    <s v="N"/>
    <n v="30"/>
    <d v="2023-07-07T19:03:18"/>
    <s v="Y"/>
    <s v="Preparation - drafting notice(s)"/>
    <s v="Prescribed Hourly Rates"/>
    <s v="Profit Cost"/>
    <s v="Georgina Bacon"/>
    <s v="Y"/>
    <n v="6.31"/>
    <n v="1.26"/>
    <x v="9"/>
    <s v="VALIDATED"/>
    <n v="1"/>
    <s v="01.11.80.307.6100.0000"/>
    <n v="6.31"/>
    <s v="11"/>
    <s v="6100"/>
    <n v="10342.84"/>
    <n v="6.31"/>
    <s v="CREDITOR"/>
    <n v="0"/>
    <n v="0"/>
    <n v="0"/>
    <n v="0"/>
    <n v="6.31"/>
  </r>
  <r>
    <n v="61772086"/>
    <s v="N"/>
    <n v="21338474"/>
    <s v="3000015849670001"/>
    <s v="CIVIL"/>
    <d v="2023-06-28T00:00:00"/>
    <d v="2023-07-06T19:21:01"/>
    <m/>
    <d v="2023-07-06T00:00:00"/>
    <n v="627"/>
    <n v="16896"/>
    <s v="61772086"/>
    <s v="61772086"/>
    <m/>
    <m/>
    <n v="22781652"/>
    <m/>
    <m/>
    <m/>
    <s v="SOLFIN"/>
    <s v="SOLFIN"/>
    <s v="CCMS"/>
    <n v="21338474"/>
    <n v="1385.22"/>
    <m/>
    <s v="N"/>
    <n v="1"/>
    <d v="2023-07-06T19:21:26"/>
    <s v="Y"/>
    <s v="Exceptional Travel"/>
    <s v="Other Public Law Children"/>
    <s v="Advocacy"/>
    <s v="Gareth Bishop"/>
    <s v="Y"/>
    <n v="32.04"/>
    <n v="6.41"/>
    <x v="4"/>
    <s v="VALIDATED"/>
    <n v="1"/>
    <s v="01.11.80.308.6100.0000"/>
    <n v="32.04"/>
    <s v="11"/>
    <s v="6100"/>
    <n v="10342.84"/>
    <n v="32.04"/>
    <s v="CREDITOR"/>
    <n v="0"/>
    <n v="0"/>
    <n v="0"/>
    <n v="0"/>
    <n v="32.04"/>
  </r>
  <r>
    <n v="60032783"/>
    <s v="N"/>
    <n v="21343939"/>
    <s v="3000014372670006"/>
    <s v="CIVIL"/>
    <d v="2023-06-28T00:00:00"/>
    <d v="2023-07-07T19:03:00"/>
    <m/>
    <d v="2023-07-07T00:00:00"/>
    <n v="627"/>
    <n v="16896"/>
    <s v="60032783"/>
    <s v="60032783"/>
    <m/>
    <m/>
    <n v="22782822"/>
    <m/>
    <m/>
    <m/>
    <s v="SOLFIN"/>
    <s v="SOLFIN"/>
    <s v="CCMS"/>
    <n v="21343939"/>
    <n v="5388.21"/>
    <m/>
    <s v="N"/>
    <n v="20"/>
    <d v="2023-07-07T19:03:18"/>
    <s v="Y"/>
    <s v="Preparation - drafting attendance n"/>
    <s v="Prescribed Hourly Rates"/>
    <s v="Profit Cost"/>
    <s v="Hollie Knapman"/>
    <s v="Y"/>
    <n v="12.63"/>
    <n v="2.53"/>
    <x v="9"/>
    <s v="VALIDATED"/>
    <n v="1"/>
    <s v="01.11.80.307.6100.0000"/>
    <n v="12.63"/>
    <s v="11"/>
    <s v="6100"/>
    <n v="10342.84"/>
    <n v="12.63"/>
    <s v="CREDITOR"/>
    <n v="0"/>
    <n v="0"/>
    <n v="0"/>
    <n v="0"/>
    <n v="12.63"/>
  </r>
  <r>
    <n v="60777600"/>
    <s v="N"/>
    <n v="21362994"/>
    <s v="3000015015960009"/>
    <s v="CIVIL"/>
    <d v="2023-06-30T00:00:00"/>
    <d v="2023-07-12T19:01:49"/>
    <m/>
    <d v="2023-07-12T00:00:00"/>
    <n v="627"/>
    <n v="16896"/>
    <s v="60777600"/>
    <s v="60777600"/>
    <m/>
    <m/>
    <n v="22801578"/>
    <m/>
    <m/>
    <m/>
    <s v="SOLFIN"/>
    <s v="SOLFIN"/>
    <s v="CCMS"/>
    <n v="21362994"/>
    <n v="8516"/>
    <m/>
    <s v="N"/>
    <n v="5"/>
    <d v="2023-07-12T19:01:53"/>
    <s v="Y"/>
    <s v="Solicitor Travel Mileage"/>
    <s v="Public Law Children"/>
    <s v="Non Expert Disbursement"/>
    <s v="Gareth Bishop"/>
    <s v="Y"/>
    <n v="30.6"/>
    <n v="6.12"/>
    <x v="0"/>
    <s v="VALIDATED"/>
    <n v="1"/>
    <s v="01.11.80.308.6300.0000"/>
    <n v="30.6"/>
    <s v="11"/>
    <s v="6300"/>
    <n v="10342.84"/>
    <n v="30.6"/>
    <s v="CREDITOR"/>
    <n v="0"/>
    <n v="0"/>
    <n v="0"/>
    <n v="0"/>
    <n v="30.6"/>
  </r>
  <r>
    <n v="61252136"/>
    <s v="N"/>
    <n v="21360248"/>
    <s v="3000015418890006"/>
    <s v="CIVIL"/>
    <d v="2023-06-29T00:00:00"/>
    <d v="2023-07-11T11:50:54"/>
    <m/>
    <d v="2023-07-11T00:00:00"/>
    <n v="627"/>
    <n v="16896"/>
    <s v="61252136"/>
    <s v="61252136"/>
    <m/>
    <m/>
    <n v="22793530"/>
    <m/>
    <m/>
    <m/>
    <s v="SOLFIN"/>
    <s v="SOLFIN"/>
    <s v="CCMS"/>
    <n v="21360248"/>
    <n v="5573.1"/>
    <m/>
    <s v="N"/>
    <n v="1"/>
    <d v="2023-07-11T11:50:58"/>
    <s v="Y"/>
    <s v="Exceptional Travel"/>
    <s v="Public Law Children"/>
    <s v="Advocacy"/>
    <s v="Gareth Bishop"/>
    <s v="Y"/>
    <n v="32.04"/>
    <n v="6.41"/>
    <x v="7"/>
    <s v="VALIDATED"/>
    <n v="1"/>
    <s v="01.11.80.308.6100.0000"/>
    <n v="32.04"/>
    <s v="11"/>
    <s v="6100"/>
    <n v="10342.84"/>
    <n v="32.04"/>
    <s v="CREDITOR"/>
    <n v="0"/>
    <n v="0"/>
    <n v="0"/>
    <n v="0"/>
    <n v="32.04"/>
  </r>
  <r>
    <n v="60032783"/>
    <s v="N"/>
    <n v="21343939"/>
    <s v="3000014372670006"/>
    <s v="CIVIL"/>
    <d v="2023-06-28T00:00:00"/>
    <d v="2023-07-07T19:03:00"/>
    <m/>
    <d v="2023-07-07T00:00:00"/>
    <n v="627"/>
    <n v="16896"/>
    <s v="60032783"/>
    <s v="60032783"/>
    <m/>
    <m/>
    <n v="22782822"/>
    <m/>
    <m/>
    <m/>
    <s v="SOLFIN"/>
    <s v="SOLFIN"/>
    <s v="CCMS"/>
    <n v="21343939"/>
    <n v="5388.21"/>
    <m/>
    <s v="N"/>
    <n v="34"/>
    <d v="2023-07-07T19:03:18"/>
    <s v="Y"/>
    <s v="Preparation - drafting application"/>
    <s v="Prescribed Hourly Rates"/>
    <s v="Profit Cost"/>
    <s v="Georgina Bacon"/>
    <s v="Y"/>
    <n v="44.19"/>
    <n v="8.84"/>
    <x v="9"/>
    <s v="VALIDATED"/>
    <n v="1"/>
    <s v="01.11.80.307.6100.0000"/>
    <n v="44.19"/>
    <s v="11"/>
    <s v="6100"/>
    <n v="10342.84"/>
    <n v="44.19"/>
    <s v="CREDITOR"/>
    <n v="0"/>
    <n v="0"/>
    <n v="0"/>
    <n v="0"/>
    <n v="44.19"/>
  </r>
  <r>
    <n v="60032783"/>
    <s v="N"/>
    <n v="21343939"/>
    <s v="3000014372670006"/>
    <s v="CIVIL"/>
    <d v="2023-06-28T00:00:00"/>
    <d v="2023-07-07T19:03:00"/>
    <m/>
    <d v="2023-07-07T00:00:00"/>
    <n v="627"/>
    <n v="16896"/>
    <s v="60032783"/>
    <s v="60032783"/>
    <m/>
    <m/>
    <n v="22782822"/>
    <m/>
    <m/>
    <m/>
    <s v="SOLFIN"/>
    <s v="SOLFIN"/>
    <s v="CCMS"/>
    <n v="21343939"/>
    <n v="5388.21"/>
    <m/>
    <s v="N"/>
    <n v="31"/>
    <d v="2023-07-07T19:03:18"/>
    <s v="Y"/>
    <s v="Preparation - drafting application"/>
    <s v="Prescribed Hourly Rates"/>
    <s v="Profit Cost"/>
    <s v="Georgina Bacon"/>
    <s v="Y"/>
    <n v="63.14"/>
    <n v="12.63"/>
    <x v="9"/>
    <s v="VALIDATED"/>
    <n v="1"/>
    <s v="01.11.80.307.6100.0000"/>
    <n v="63.14"/>
    <s v="11"/>
    <s v="6100"/>
    <n v="10342.84"/>
    <n v="63.14"/>
    <s v="CREDITOR"/>
    <n v="0"/>
    <n v="0"/>
    <n v="0"/>
    <n v="0"/>
    <n v="63.14"/>
  </r>
  <r>
    <n v="60032783"/>
    <s v="N"/>
    <n v="21343939"/>
    <s v="3000014372670006"/>
    <s v="CIVIL"/>
    <d v="2023-06-28T00:00:00"/>
    <d v="2023-07-07T19:03:00"/>
    <m/>
    <d v="2023-07-07T00:00:00"/>
    <n v="627"/>
    <n v="16896"/>
    <s v="60032783"/>
    <s v="60032783"/>
    <m/>
    <m/>
    <n v="22782822"/>
    <m/>
    <m/>
    <m/>
    <s v="SOLFIN"/>
    <s v="SOLFIN"/>
    <s v="CCMS"/>
    <n v="21343939"/>
    <n v="5388.21"/>
    <m/>
    <s v="N"/>
    <n v="29"/>
    <d v="2023-07-07T19:03:18"/>
    <s v="Y"/>
    <s v="Preparation - drafting pleadings"/>
    <s v="Prescribed Hourly Rates"/>
    <s v="Profit Cost"/>
    <s v="Georgina Bacon"/>
    <s v="Y"/>
    <n v="6.31"/>
    <n v="1.26"/>
    <x v="9"/>
    <s v="VALIDATED"/>
    <n v="1"/>
    <s v="01.11.80.307.6100.0000"/>
    <n v="6.31"/>
    <s v="11"/>
    <s v="6100"/>
    <n v="10342.84"/>
    <n v="6.31"/>
    <s v="CREDITOR"/>
    <n v="0"/>
    <n v="0"/>
    <n v="0"/>
    <n v="0"/>
    <n v="6.31"/>
  </r>
  <r>
    <n v="61691380"/>
    <s v="N"/>
    <n v="21338429"/>
    <s v="3000015785680002"/>
    <s v="CIVIL"/>
    <d v="2023-06-29T00:00:00"/>
    <d v="2023-07-06T19:21:01"/>
    <m/>
    <d v="2023-07-06T00:00:00"/>
    <n v="627"/>
    <n v="16896"/>
    <s v="61691380"/>
    <s v="61691380"/>
    <m/>
    <m/>
    <n v="22790554"/>
    <m/>
    <m/>
    <m/>
    <s v="SOLFIN"/>
    <s v="SOLFIN"/>
    <s v="CCMS"/>
    <n v="21338429"/>
    <n v="1002.46"/>
    <m/>
    <s v="N"/>
    <n v="5"/>
    <d v="2023-07-06T19:21:24"/>
    <s v="Y"/>
    <s v="Preparation - drafting attendance n"/>
    <s v="Care Remuneration Hourly Rates"/>
    <s v="Profit Cost"/>
    <s v="Gareth Bishop"/>
    <s v="Y"/>
    <n v="13.43"/>
    <n v="2.69"/>
    <x v="4"/>
    <s v="VALIDATED"/>
    <n v="1"/>
    <s v="01.11.80.308.6100.0000"/>
    <n v="13.43"/>
    <s v="11"/>
    <s v="6100"/>
    <n v="10342.84"/>
    <n v="13.43"/>
    <s v="CREDITOR"/>
    <n v="0"/>
    <n v="0"/>
    <n v="0"/>
    <n v="0"/>
    <n v="13.43"/>
  </r>
  <r>
    <n v="61691380"/>
    <s v="N"/>
    <n v="21338429"/>
    <s v="3000015785680002"/>
    <s v="CIVIL"/>
    <d v="2023-06-29T00:00:00"/>
    <d v="2023-07-06T19:21:01"/>
    <m/>
    <d v="2023-07-06T00:00:00"/>
    <n v="627"/>
    <n v="16896"/>
    <s v="61691380"/>
    <s v="61691380"/>
    <m/>
    <m/>
    <n v="22790554"/>
    <m/>
    <m/>
    <m/>
    <s v="SOLFIN"/>
    <s v="SOLFIN"/>
    <s v="CCMS"/>
    <n v="21338429"/>
    <n v="1002.46"/>
    <m/>
    <s v="N"/>
    <n v="7"/>
    <d v="2023-07-06T19:21:24"/>
    <s v="Y"/>
    <s v="Preparation - drafting instructions"/>
    <s v="Care Remuneration Hourly Rates"/>
    <s v="Profit Cost"/>
    <s v="Gareth Bishop"/>
    <s v="Y"/>
    <n v="21.9"/>
    <n v="4.38"/>
    <x v="4"/>
    <s v="VALIDATED"/>
    <n v="1"/>
    <s v="01.11.80.308.6100.0000"/>
    <n v="21.9"/>
    <s v="11"/>
    <s v="6100"/>
    <n v="10342.84"/>
    <n v="21.9"/>
    <s v="CREDITOR"/>
    <n v="0"/>
    <n v="0"/>
    <n v="0"/>
    <n v="0"/>
    <n v="21.9"/>
  </r>
  <r>
    <n v="60273351"/>
    <s v="N"/>
    <n v="21360296"/>
    <s v="3000014580050004"/>
    <s v="CIVIL"/>
    <d v="2023-06-30T00:00:00"/>
    <d v="2023-07-11T11:50:54"/>
    <m/>
    <d v="2023-07-11T00:00:00"/>
    <n v="627"/>
    <n v="16896"/>
    <s v="60273351"/>
    <s v="60273351"/>
    <m/>
    <m/>
    <n v="22799124"/>
    <m/>
    <m/>
    <m/>
    <s v="SOLFIN"/>
    <s v="SOLFIN"/>
    <s v="CCMS"/>
    <n v="21360296"/>
    <n v="5739.07"/>
    <m/>
    <s v="N"/>
    <n v="5"/>
    <d v="2023-07-11T11:51:01"/>
    <s v="Y"/>
    <s v="Advocates Meeting"/>
    <s v="Public Law Children"/>
    <s v="Advocacy"/>
    <s v="Gareth Bishop"/>
    <s v="Y"/>
    <n v="140.99"/>
    <n v="28.2"/>
    <x v="7"/>
    <s v="VALIDATED"/>
    <n v="1"/>
    <s v="01.11.80.308.6100.0000"/>
    <n v="140.99"/>
    <s v="11"/>
    <s v="6100"/>
    <n v="10342.84"/>
    <n v="140.99"/>
    <s v="CREDITOR"/>
    <n v="0"/>
    <n v="0"/>
    <n v="0"/>
    <n v="0"/>
    <n v="140.99"/>
  </r>
  <r>
    <n v="60777600"/>
    <s v="N"/>
    <n v="21362994"/>
    <s v="3000015015960009"/>
    <s v="CIVIL"/>
    <d v="2023-06-30T00:00:00"/>
    <d v="2023-07-12T19:01:49"/>
    <m/>
    <d v="2023-07-12T00:00:00"/>
    <n v="627"/>
    <n v="16896"/>
    <s v="60777600"/>
    <s v="60777600"/>
    <m/>
    <m/>
    <n v="22801578"/>
    <m/>
    <m/>
    <m/>
    <s v="SOLFIN"/>
    <s v="SOLFIN"/>
    <s v="CCMS"/>
    <n v="21362994"/>
    <n v="8516"/>
    <m/>
    <s v="N"/>
    <n v="9"/>
    <d v="2023-07-12T19:01:53"/>
    <s v="Y"/>
    <s v="Toxicologist"/>
    <s v="Public Law Children"/>
    <s v="Expert Disbursement"/>
    <s v="Gareth Bishop"/>
    <s v="Y"/>
    <n v="281.83"/>
    <n v="56.37"/>
    <x v="0"/>
    <s v="VALIDATED"/>
    <n v="1"/>
    <s v="01.11.80.308.6300.0000"/>
    <n v="281.83"/>
    <s v="11"/>
    <s v="6300"/>
    <n v="10342.84"/>
    <n v="281.83"/>
    <s v="CREDITOR"/>
    <n v="0"/>
    <n v="0"/>
    <n v="0"/>
    <n v="0"/>
    <n v="281.83"/>
  </r>
  <r>
    <n v="61252136"/>
    <s v="N"/>
    <n v="21360248"/>
    <s v="3000015418890006"/>
    <s v="CIVIL"/>
    <d v="2023-06-29T00:00:00"/>
    <d v="2023-07-11T11:50:54"/>
    <m/>
    <d v="2023-07-11T00:00:00"/>
    <n v="627"/>
    <n v="16896"/>
    <s v="61252136"/>
    <s v="61252136"/>
    <m/>
    <m/>
    <n v="22793530"/>
    <m/>
    <m/>
    <m/>
    <s v="SOLFIN"/>
    <s v="SOLFIN"/>
    <s v="CCMS"/>
    <n v="21360248"/>
    <n v="5573.1"/>
    <m/>
    <s v="N"/>
    <n v="8"/>
    <d v="2023-07-11T11:50:58"/>
    <s v="Y"/>
    <s v="Final Hearing - 1 Day"/>
    <s v="Public Law Children"/>
    <s v="Advocacy"/>
    <s v="Gareth Bishop"/>
    <s v="Y"/>
    <n v="556.88"/>
    <n v="111.38"/>
    <x v="7"/>
    <s v="VALIDATED"/>
    <n v="1"/>
    <s v="01.11.80.308.6100.0000"/>
    <n v="556.88"/>
    <s v="11"/>
    <s v="6100"/>
    <n v="10342.84"/>
    <n v="556.88"/>
    <s v="CREDITOR"/>
    <n v="0"/>
    <n v="0"/>
    <n v="0"/>
    <n v="0"/>
    <n v="556.88"/>
  </r>
  <r>
    <n v="60032783"/>
    <s v="N"/>
    <n v="21343939"/>
    <s v="3000014372670006"/>
    <s v="CIVIL"/>
    <d v="2023-06-28T00:00:00"/>
    <d v="2023-07-07T19:03:00"/>
    <m/>
    <d v="2023-07-07T00:00:00"/>
    <n v="627"/>
    <n v="16896"/>
    <s v="60032783"/>
    <s v="60032783"/>
    <m/>
    <m/>
    <n v="22782822"/>
    <m/>
    <m/>
    <m/>
    <s v="SOLFIN"/>
    <s v="SOLFIN"/>
    <s v="CCMS"/>
    <n v="21343939"/>
    <n v="5388.21"/>
    <m/>
    <s v="N"/>
    <n v="22"/>
    <d v="2023-07-07T19:03:18"/>
    <s v="Y"/>
    <s v="Preparation - Periodic file review"/>
    <s v="Prescribed Hourly Rates"/>
    <s v="Profit Cost"/>
    <s v="Hollie Knapman"/>
    <s v="Y"/>
    <n v="44.19"/>
    <n v="8.84"/>
    <x v="9"/>
    <s v="VALIDATED"/>
    <n v="1"/>
    <s v="01.11.80.307.6100.0000"/>
    <n v="44.19"/>
    <s v="11"/>
    <s v="6100"/>
    <n v="10342.84"/>
    <n v="44.19"/>
    <s v="CREDITOR"/>
    <n v="0"/>
    <n v="0"/>
    <n v="0"/>
    <n v="0"/>
    <n v="44.19"/>
  </r>
  <r>
    <n v="60032783"/>
    <s v="N"/>
    <n v="21343939"/>
    <s v="3000014372670006"/>
    <s v="CIVIL"/>
    <d v="2023-06-28T00:00:00"/>
    <d v="2023-07-07T19:03:00"/>
    <m/>
    <d v="2023-07-07T00:00:00"/>
    <n v="627"/>
    <n v="16896"/>
    <s v="60032783"/>
    <s v="60032783"/>
    <m/>
    <m/>
    <n v="22782822"/>
    <m/>
    <m/>
    <m/>
    <s v="SOLFIN"/>
    <s v="SOLFIN"/>
    <s v="CCMS"/>
    <n v="21343939"/>
    <n v="5388.21"/>
    <m/>
    <s v="N"/>
    <n v="48"/>
    <d v="2023-07-07T19:03:18"/>
    <s v="Y"/>
    <s v="Preparation - drafting application"/>
    <s v="Prescribed Hourly Rates"/>
    <s v="Profit Cost"/>
    <s v="Georgina Bacon"/>
    <s v="Y"/>
    <n v="12.63"/>
    <n v="2.53"/>
    <x v="9"/>
    <s v="VALIDATED"/>
    <n v="1"/>
    <s v="01.11.80.307.6100.0000"/>
    <n v="12.63"/>
    <s v="11"/>
    <s v="6100"/>
    <n v="10342.84"/>
    <n v="12.63"/>
    <s v="CREDITOR"/>
    <n v="0"/>
    <n v="0"/>
    <n v="0"/>
    <n v="0"/>
    <n v="12.63"/>
  </r>
  <r>
    <n v="60777600"/>
    <s v="N"/>
    <n v="21362994"/>
    <s v="3000015015960009"/>
    <s v="CIVIL"/>
    <d v="2023-06-30T00:00:00"/>
    <d v="2023-07-12T19:01:49"/>
    <m/>
    <d v="2023-07-12T00:00:00"/>
    <n v="627"/>
    <n v="16896"/>
    <s v="60777600"/>
    <s v="60777600"/>
    <m/>
    <m/>
    <n v="22801578"/>
    <m/>
    <m/>
    <m/>
    <s v="SOLFIN"/>
    <s v="SOLFIN"/>
    <s v="CCMS"/>
    <n v="21362994"/>
    <n v="8516"/>
    <m/>
    <s v="N"/>
    <n v="15"/>
    <d v="2023-07-12T19:01:53"/>
    <s v="Y"/>
    <s v="Hearing Unit 1.01 - 2.30 Hours"/>
    <s v="Public Law Children"/>
    <s v="Advocacy"/>
    <s v="Gareth Bishop"/>
    <s v="Y"/>
    <n v="238.46"/>
    <n v="47.69"/>
    <x v="0"/>
    <s v="VALIDATED"/>
    <n v="1"/>
    <s v="01.11.80.308.6100.0000"/>
    <n v="238.46"/>
    <s v="11"/>
    <s v="6100"/>
    <n v="10342.84"/>
    <n v="238.46"/>
    <s v="CREDITOR"/>
    <n v="0"/>
    <n v="0"/>
    <n v="0"/>
    <n v="0"/>
    <n v="238.46"/>
  </r>
  <r>
    <n v="60032783"/>
    <s v="N"/>
    <n v="21343939"/>
    <s v="3000014372670006"/>
    <s v="CIVIL"/>
    <d v="2023-06-28T00:00:00"/>
    <d v="2023-07-07T19:03:00"/>
    <m/>
    <d v="2023-07-07T00:00:00"/>
    <n v="627"/>
    <n v="16896"/>
    <s v="60032783"/>
    <s v="60032783"/>
    <m/>
    <m/>
    <n v="22782822"/>
    <m/>
    <m/>
    <m/>
    <s v="SOLFIN"/>
    <s v="SOLFIN"/>
    <s v="CCMS"/>
    <n v="21343939"/>
    <n v="5388.21"/>
    <m/>
    <s v="N"/>
    <n v="45"/>
    <d v="2023-07-07T19:03:18"/>
    <s v="Y"/>
    <s v="Preparation - drafting instructions"/>
    <s v="Prescribed Hourly Rates"/>
    <s v="Profit Cost"/>
    <s v="Georgina Bacon"/>
    <s v="Y"/>
    <n v="31.57"/>
    <n v="6.31"/>
    <x v="9"/>
    <s v="VALIDATED"/>
    <n v="1"/>
    <s v="01.11.80.307.6100.0000"/>
    <n v="31.57"/>
    <s v="11"/>
    <s v="6100"/>
    <n v="10342.84"/>
    <n v="31.57"/>
    <s v="CREDITOR"/>
    <n v="0"/>
    <n v="0"/>
    <n v="0"/>
    <n v="0"/>
    <n v="31.57"/>
  </r>
  <r>
    <n v="60032783"/>
    <s v="N"/>
    <n v="21343939"/>
    <s v="3000014372670006"/>
    <s v="CIVIL"/>
    <d v="2023-06-28T00:00:00"/>
    <d v="2023-07-07T19:03:00"/>
    <m/>
    <d v="2023-07-07T00:00:00"/>
    <n v="627"/>
    <n v="16896"/>
    <s v="60032783"/>
    <s v="60032783"/>
    <m/>
    <m/>
    <n v="22782822"/>
    <m/>
    <m/>
    <m/>
    <s v="SOLFIN"/>
    <s v="SOLFIN"/>
    <s v="CCMS"/>
    <n v="21343939"/>
    <n v="5388.21"/>
    <m/>
    <s v="N"/>
    <n v="7"/>
    <d v="2023-07-07T19:03:18"/>
    <s v="Y"/>
    <s v="Preparation - drafting attendance n"/>
    <s v="Prescribed Hourly Rates"/>
    <s v="Profit Cost"/>
    <s v="Georgina Bacon"/>
    <s v="Y"/>
    <n v="6.31"/>
    <n v="1.26"/>
    <x v="9"/>
    <s v="VALIDATED"/>
    <n v="1"/>
    <s v="01.11.80.307.6100.0000"/>
    <n v="6.31"/>
    <s v="11"/>
    <s v="6100"/>
    <n v="10342.84"/>
    <n v="6.31"/>
    <s v="CREDITOR"/>
    <n v="0"/>
    <n v="0"/>
    <n v="0"/>
    <n v="0"/>
    <n v="6.31"/>
  </r>
  <r>
    <n v="60777600"/>
    <s v="N"/>
    <n v="21362994"/>
    <s v="3000015015960009"/>
    <s v="CIVIL"/>
    <d v="2023-06-30T00:00:00"/>
    <d v="2023-07-12T19:01:49"/>
    <m/>
    <d v="2023-07-12T00:00:00"/>
    <n v="627"/>
    <n v="16896"/>
    <s v="60777600"/>
    <s v="60777600"/>
    <m/>
    <m/>
    <n v="22801578"/>
    <m/>
    <m/>
    <m/>
    <s v="SOLFIN"/>
    <s v="SOLFIN"/>
    <s v="CCMS"/>
    <n v="21362994"/>
    <n v="8516"/>
    <m/>
    <s v="N"/>
    <n v="17"/>
    <d v="2023-07-12T19:01:53"/>
    <s v="Y"/>
    <s v="Hearing Unit 2.31 - 5.00 Hours"/>
    <s v="Public Law Children"/>
    <s v="Advocacy"/>
    <s v="Gareth Bishop"/>
    <s v="Y"/>
    <n v="476.92"/>
    <n v="95.39"/>
    <x v="0"/>
    <s v="VALIDATED"/>
    <n v="1"/>
    <s v="01.11.80.308.6100.0000"/>
    <n v="476.92"/>
    <s v="11"/>
    <s v="6100"/>
    <n v="10342.84"/>
    <n v="476.92"/>
    <s v="CREDITOR"/>
    <n v="0"/>
    <n v="0"/>
    <n v="0"/>
    <n v="0"/>
    <n v="476.92"/>
  </r>
  <r>
    <n v="61987307"/>
    <s v="N"/>
    <n v="21318841"/>
    <s v="3000016032430006"/>
    <s v="CIVIL"/>
    <d v="2023-06-22T00:00:00"/>
    <d v="2023-07-03T19:01:49"/>
    <m/>
    <d v="2023-07-03T00:00:00"/>
    <n v="628"/>
    <n v="16896"/>
    <s v="61987307"/>
    <s v="61987307"/>
    <m/>
    <m/>
    <n v="22746280"/>
    <m/>
    <m/>
    <m/>
    <s v="SOLPOA"/>
    <s v="SOLPOA"/>
    <s v="CCMS"/>
    <n v="21318841"/>
    <n v="242.33"/>
    <m/>
    <s v="N"/>
    <n v="1"/>
    <d v="2023-07-03T19:02:04"/>
    <s v="N"/>
    <s v="Expert Cost"/>
    <s v="Expert Cost"/>
    <s v="Expert Disbursement"/>
    <s v="Emily Davies"/>
    <s v="N"/>
    <n v="201.94"/>
    <n v="40.39"/>
    <x v="3"/>
    <s v="VALIDATED"/>
    <n v="1"/>
    <s v="01.11.80.308.2012.0000"/>
    <n v="201.94"/>
    <s v="11"/>
    <s v="2012"/>
    <n v="1519.1"/>
    <n v="201.94"/>
    <s v="CREDITOR"/>
    <n v="201.94"/>
    <n v="0"/>
    <n v="0"/>
    <n v="0"/>
    <n v="0"/>
  </r>
  <r>
    <n v="61535334"/>
    <s v="N"/>
    <n v="21318456"/>
    <s v="3000015654550012"/>
    <s v="CIVIL"/>
    <d v="2023-06-26T00:00:00"/>
    <d v="2023-07-03T19:01:49"/>
    <m/>
    <d v="2023-07-03T00:00:00"/>
    <n v="628"/>
    <n v="16896"/>
    <s v="61535334"/>
    <s v="61535334"/>
    <m/>
    <m/>
    <n v="22759674"/>
    <m/>
    <m/>
    <m/>
    <s v="SOLPOA"/>
    <s v="SOLPOA"/>
    <s v="CCMS"/>
    <n v="21318456"/>
    <n v="150.66"/>
    <m/>
    <s v="N"/>
    <n v="1"/>
    <d v="2023-07-03T19:01:56"/>
    <s v="N"/>
    <s v="Expert Cost"/>
    <s v="Expert Cost"/>
    <s v="Expert Disbursement"/>
    <s v="Emily Davies"/>
    <s v="N"/>
    <n v="125.55"/>
    <n v="25.11"/>
    <x v="3"/>
    <s v="VALIDATED"/>
    <n v="1"/>
    <s v="01.11.80.308.2012.0000"/>
    <n v="125.55"/>
    <s v="11"/>
    <s v="2012"/>
    <n v="1519.1"/>
    <n v="125.55"/>
    <s v="CREDITOR"/>
    <n v="125.55"/>
    <n v="0"/>
    <n v="0"/>
    <n v="0"/>
    <n v="0"/>
  </r>
  <r>
    <n v="62370185"/>
    <s v="N"/>
    <n v="21337795"/>
    <s v="3000016344990001"/>
    <s v="CIVIL"/>
    <d v="2023-06-30T00:00:00"/>
    <d v="2023-07-06T19:21:01"/>
    <m/>
    <d v="2023-07-06T00:00:00"/>
    <n v="628"/>
    <n v="16896"/>
    <s v="62370185"/>
    <s v="62370185"/>
    <m/>
    <m/>
    <n v="22797030"/>
    <m/>
    <m/>
    <m/>
    <s v="SOLPOA"/>
    <s v="SOLPOA"/>
    <s v="CCMS"/>
    <n v="21337795"/>
    <n v="50"/>
    <m/>
    <s v="N"/>
    <n v="1"/>
    <d v="2023-07-06T19:21:08"/>
    <s v="N"/>
    <s v="Expert Cost - Private Law Children"/>
    <s v="Expert Cost - Private Law Chil"/>
    <s v="Expert Disbursement"/>
    <s v="Emily Davies"/>
    <s v="N"/>
    <n v="50"/>
    <n v="0"/>
    <x v="4"/>
    <s v="VALIDATED"/>
    <n v="1"/>
    <s v="01.11.80.307.2012.0000"/>
    <n v="50"/>
    <s v="11"/>
    <s v="2012"/>
    <n v="1519.1"/>
    <n v="50"/>
    <s v="CREDITOR"/>
    <n v="50"/>
    <n v="0"/>
    <n v="0"/>
    <n v="0"/>
    <n v="0"/>
  </r>
  <r>
    <n v="61987307"/>
    <s v="N"/>
    <n v="21320128"/>
    <s v="3000016032430007"/>
    <s v="CIVIL"/>
    <d v="2023-06-28T00:00:00"/>
    <d v="2023-07-03T19:04:24"/>
    <m/>
    <d v="2023-07-03T00:00:00"/>
    <n v="628"/>
    <n v="16896"/>
    <s v="61987307"/>
    <s v="61987307"/>
    <m/>
    <m/>
    <n v="22775986"/>
    <m/>
    <m/>
    <m/>
    <s v="SOLPOA"/>
    <s v="SOLPOA"/>
    <s v="CCMS"/>
    <n v="21320128"/>
    <n v="133.5"/>
    <m/>
    <s v="N"/>
    <n v="1"/>
    <d v="2023-07-03T19:04:29"/>
    <s v="N"/>
    <s v="Expert Cost"/>
    <s v="Expert Cost"/>
    <s v="Expert Disbursement"/>
    <s v="Emily Davies"/>
    <s v="N"/>
    <n v="111.25"/>
    <n v="22.25"/>
    <x v="3"/>
    <s v="VALIDATED"/>
    <n v="1"/>
    <s v="01.11.80.308.2012.0000"/>
    <n v="111.25"/>
    <s v="11"/>
    <s v="2012"/>
    <n v="1519.1"/>
    <n v="111.25"/>
    <s v="CREDITOR"/>
    <n v="111.25"/>
    <n v="0"/>
    <n v="0"/>
    <n v="0"/>
    <n v="0"/>
  </r>
  <r>
    <n v="61897866"/>
    <s v="N"/>
    <n v="21320143"/>
    <s v="3000015955530009"/>
    <s v="CIVIL"/>
    <d v="2023-06-28T00:00:00"/>
    <d v="2023-07-03T19:04:24"/>
    <m/>
    <d v="2023-07-03T00:00:00"/>
    <n v="628"/>
    <n v="16896"/>
    <s v="61897866"/>
    <s v="61897866"/>
    <m/>
    <m/>
    <n v="22776166"/>
    <m/>
    <m/>
    <m/>
    <s v="SOLPOA"/>
    <s v="SOLPOA"/>
    <s v="CCMS"/>
    <n v="21320143"/>
    <n v="619.2"/>
    <m/>
    <s v="N"/>
    <n v="1"/>
    <d v="2023-07-03T19:04:29"/>
    <s v="N"/>
    <s v="Expert Cost"/>
    <s v="Expert Cost"/>
    <s v="Expert Disbursement"/>
    <s v="Emily Davies"/>
    <s v="N"/>
    <n v="516"/>
    <n v="103.2"/>
    <x v="3"/>
    <s v="VALIDATED"/>
    <n v="1"/>
    <s v="01.11.80.308.2012.0000"/>
    <n v="516"/>
    <s v="11"/>
    <s v="2012"/>
    <n v="1519.1"/>
    <n v="516"/>
    <s v="CREDITOR"/>
    <n v="516"/>
    <n v="0"/>
    <n v="0"/>
    <n v="0"/>
    <n v="0"/>
  </r>
  <r>
    <n v="61981497"/>
    <s v="N"/>
    <n v="21321152"/>
    <s v="3000016027230007"/>
    <s v="CIVIL"/>
    <d v="2023-06-28T00:00:00"/>
    <d v="2023-07-03T19:04:52"/>
    <m/>
    <d v="2023-07-03T00:00:00"/>
    <n v="628"/>
    <n v="16896"/>
    <s v="61981497"/>
    <s v="61981497"/>
    <m/>
    <m/>
    <n v="22780236"/>
    <m/>
    <m/>
    <m/>
    <s v="SOLPOA"/>
    <s v="SOLPOA"/>
    <s v="CCMS"/>
    <n v="21321152"/>
    <n v="100.8"/>
    <m/>
    <s v="N"/>
    <n v="1"/>
    <d v="2023-07-03T19:04:58"/>
    <s v="N"/>
    <s v="Non Expert Disbursement"/>
    <s v="Non Expert Disbursement"/>
    <s v="Non Expert Disbursement"/>
    <s v="Alex Adeyemo"/>
    <s v="N"/>
    <n v="84"/>
    <n v="16.8"/>
    <x v="3"/>
    <s v="VALIDATED"/>
    <n v="1"/>
    <s v="01.11.80.308.2012.0000"/>
    <n v="84"/>
    <s v="11"/>
    <s v="2012"/>
    <n v="1519.1"/>
    <n v="84"/>
    <s v="CREDITOR"/>
    <n v="84"/>
    <n v="0"/>
    <n v="0"/>
    <n v="0"/>
    <n v="0"/>
  </r>
  <r>
    <n v="62287417"/>
    <s v="N"/>
    <n v="21318861"/>
    <s v="3000016280240003"/>
    <s v="CIVIL"/>
    <d v="2023-06-21T00:00:00"/>
    <d v="2023-07-03T19:01:49"/>
    <m/>
    <d v="2023-07-03T00:00:00"/>
    <n v="628"/>
    <n v="16896"/>
    <s v="62287417"/>
    <s v="62287417"/>
    <m/>
    <m/>
    <n v="22730530"/>
    <m/>
    <m/>
    <m/>
    <s v="SOLPOA"/>
    <s v="SOLPOA"/>
    <s v="CCMS"/>
    <n v="21318861"/>
    <n v="516.4299999999999"/>
    <m/>
    <s v="N"/>
    <n v="1"/>
    <d v="2023-07-03T19:02:04"/>
    <s v="N"/>
    <s v="Expert Cost"/>
    <s v="Expert Cost"/>
    <s v="Expert Disbursement"/>
    <s v="Emily Davies"/>
    <s v="N"/>
    <n v="430.36"/>
    <n v="86.06999999999999"/>
    <x v="3"/>
    <s v="VALIDATED"/>
    <n v="1"/>
    <s v="01.11.80.308.2012.0000"/>
    <n v="430.36"/>
    <s v="11"/>
    <s v="2012"/>
    <n v="1519.1"/>
    <n v="430.36"/>
    <s v="CREDITOR"/>
    <n v="430.36"/>
    <n v="0"/>
    <n v="0"/>
    <n v="0"/>
    <n v="0"/>
  </r>
  <r>
    <n v="60100745"/>
    <s v="N"/>
    <n v="21324368"/>
    <s v="3000014427470007RC"/>
    <s v="CIVIL"/>
    <d v="2023-06-27T00:00:00"/>
    <d v="2023-07-03T19:42:50"/>
    <m/>
    <d v="2023-07-03T00:00:00"/>
    <n v="630"/>
    <n v="16896"/>
    <s v="60100745"/>
    <s v="60100745"/>
    <m/>
    <m/>
    <m/>
    <m/>
    <m/>
    <m/>
    <s v="SOLRECOUP"/>
    <s v="SOLRECOUP"/>
    <s v="POARECOUP"/>
    <n v="21324368"/>
    <n v="-53"/>
    <m/>
    <s v="Y"/>
    <n v="1"/>
    <d v="2023-07-03T19:42:51"/>
    <s v="N"/>
    <m/>
    <m/>
    <s v="Non Expert Disbursement"/>
    <m/>
    <s v="N"/>
    <n v="-53"/>
    <n v="0"/>
    <x v="3"/>
    <s v="VALIDATED"/>
    <n v="1"/>
    <s v="01.11.80.308.2013.0000"/>
    <n v="-53"/>
    <s v="11"/>
    <s v="2013"/>
    <n v="17067.72"/>
    <n v="-53"/>
    <s v="CREDITOR"/>
    <n v="0"/>
    <n v="0"/>
    <n v="-53"/>
    <n v="0"/>
    <n v="0"/>
  </r>
  <r>
    <n v="60100745"/>
    <s v="N"/>
    <n v="21324368"/>
    <s v="3000014427470007RC"/>
    <s v="CIVIL"/>
    <d v="2023-06-27T00:00:00"/>
    <d v="2023-07-03T19:42:50"/>
    <m/>
    <d v="2023-07-03T00:00:00"/>
    <n v="630"/>
    <n v="16896"/>
    <s v="60100745"/>
    <s v="60100745"/>
    <m/>
    <m/>
    <m/>
    <m/>
    <m/>
    <m/>
    <s v="SOLRECOUP"/>
    <s v="SOLRECOUP"/>
    <s v="POARECOUP"/>
    <n v="21324368"/>
    <n v="-53"/>
    <m/>
    <s v="Y"/>
    <n v="2"/>
    <d v="2023-07-03T19:42:51"/>
    <s v="N"/>
    <m/>
    <m/>
    <s v="Non Expert Disbursement"/>
    <m/>
    <s v="N"/>
    <n v="0"/>
    <n v="0"/>
    <x v="3"/>
    <s v="VALIDATED"/>
    <n v="1"/>
    <s v="01.11.80.000.0000.0000"/>
    <n v="0"/>
    <s v="11"/>
    <s v="0000"/>
    <n v="17067.72"/>
    <n v="0"/>
    <s v="CREDITOR"/>
    <n v="0"/>
    <n v="0"/>
    <n v="0"/>
    <n v="0"/>
    <n v="0"/>
  </r>
  <r>
    <n v="60100745"/>
    <s v="N"/>
    <n v="21324369"/>
    <s v="3000014427470008RC"/>
    <s v="CIVIL"/>
    <d v="2023-06-27T00:00:00"/>
    <d v="2023-07-03T19:42:50"/>
    <m/>
    <d v="2023-07-03T00:00:00"/>
    <n v="630"/>
    <n v="16896"/>
    <s v="60100745"/>
    <s v="60100745"/>
    <m/>
    <m/>
    <m/>
    <m/>
    <m/>
    <m/>
    <s v="SOLRECOUP"/>
    <s v="SOLRECOUP"/>
    <s v="POARECOUP"/>
    <n v="21324369"/>
    <n v="-2369.59"/>
    <m/>
    <s v="Y"/>
    <n v="1"/>
    <d v="2023-07-03T19:42:51"/>
    <s v="N"/>
    <m/>
    <m/>
    <s v="Profit Cost"/>
    <m/>
    <s v="N"/>
    <n v="-1974.66"/>
    <n v="0"/>
    <x v="3"/>
    <s v="VALIDATED"/>
    <n v="1"/>
    <s v="01.11.80.308.2013.0000"/>
    <n v="-1974.66"/>
    <s v="11"/>
    <s v="2013"/>
    <n v="17067.72"/>
    <n v="-1974.66"/>
    <s v="CREDITOR"/>
    <n v="0"/>
    <n v="0"/>
    <n v="-1974.66"/>
    <n v="-493.665"/>
    <n v="0"/>
  </r>
  <r>
    <n v="60100745"/>
    <s v="N"/>
    <n v="21324369"/>
    <s v="3000014427470008RC"/>
    <s v="CIVIL"/>
    <d v="2023-06-27T00:00:00"/>
    <d v="2023-07-03T19:42:50"/>
    <m/>
    <d v="2023-07-03T00:00:00"/>
    <n v="630"/>
    <n v="16896"/>
    <s v="60100745"/>
    <s v="60100745"/>
    <m/>
    <m/>
    <m/>
    <m/>
    <m/>
    <m/>
    <s v="SOLRECOUP"/>
    <s v="SOLRECOUP"/>
    <s v="POARECOUP"/>
    <n v="21324369"/>
    <n v="-2369.59"/>
    <m/>
    <s v="Y"/>
    <n v="2"/>
    <d v="2023-07-03T19:42:51"/>
    <s v="N"/>
    <m/>
    <m/>
    <s v="Profit Cost"/>
    <m/>
    <s v="N"/>
    <n v="0"/>
    <n v="-394.93"/>
    <x v="3"/>
    <s v="VALIDATED"/>
    <n v="1"/>
    <s v="01.11.80.308.2013.0000"/>
    <n v="-394.93"/>
    <s v="11"/>
    <s v="2013"/>
    <n v="17067.72"/>
    <n v="-394.93"/>
    <s v="CREDITOR"/>
    <n v="0"/>
    <n v="0"/>
    <n v="-394.93"/>
    <n v="-98.7325"/>
    <n v="0"/>
  </r>
  <r>
    <n v="60100745"/>
    <s v="N"/>
    <n v="21324370"/>
    <s v="3000014427470002RC"/>
    <s v="CIVIL"/>
    <d v="2023-06-27T00:00:00"/>
    <d v="2023-07-03T19:42:50"/>
    <m/>
    <d v="2023-07-03T00:00:00"/>
    <n v="630"/>
    <n v="16896"/>
    <s v="60100745"/>
    <s v="60100745"/>
    <m/>
    <m/>
    <m/>
    <m/>
    <m/>
    <m/>
    <s v="SOLRECOUP"/>
    <s v="SOLRECOUP"/>
    <s v="POARECOUP"/>
    <n v="21324370"/>
    <n v="-186.88"/>
    <m/>
    <s v="Y"/>
    <n v="1"/>
    <d v="2023-07-03T19:42:51"/>
    <s v="N"/>
    <m/>
    <m/>
    <s v="Expert Disbursement"/>
    <m/>
    <s v="N"/>
    <n v="-155.73"/>
    <n v="0"/>
    <x v="3"/>
    <s v="VALIDATED"/>
    <n v="1"/>
    <s v="01.11.80.308.2013.0000"/>
    <n v="-155.73"/>
    <s v="11"/>
    <s v="2013"/>
    <n v="17067.72"/>
    <n v="-155.73"/>
    <s v="CREDITOR"/>
    <n v="0"/>
    <n v="0"/>
    <n v="-155.73"/>
    <n v="0"/>
    <n v="0"/>
  </r>
  <r>
    <n v="60100745"/>
    <s v="N"/>
    <n v="21324370"/>
    <s v="3000014427470002RC"/>
    <s v="CIVIL"/>
    <d v="2023-06-27T00:00:00"/>
    <d v="2023-07-03T19:42:50"/>
    <m/>
    <d v="2023-07-03T00:00:00"/>
    <n v="630"/>
    <n v="16896"/>
    <s v="60100745"/>
    <s v="60100745"/>
    <m/>
    <m/>
    <m/>
    <m/>
    <m/>
    <m/>
    <s v="SOLRECOUP"/>
    <s v="SOLRECOUP"/>
    <s v="POARECOUP"/>
    <n v="21324370"/>
    <n v="-186.88"/>
    <m/>
    <s v="Y"/>
    <n v="2"/>
    <d v="2023-07-03T19:42:51"/>
    <s v="N"/>
    <m/>
    <m/>
    <s v="Expert Disbursement"/>
    <m/>
    <s v="N"/>
    <n v="0"/>
    <n v="-31.15"/>
    <x v="3"/>
    <s v="VALIDATED"/>
    <n v="1"/>
    <s v="01.11.80.308.2013.0000"/>
    <n v="-31.15"/>
    <s v="11"/>
    <s v="2013"/>
    <n v="17067.72"/>
    <n v="-31.15"/>
    <s v="CREDITOR"/>
    <n v="0"/>
    <n v="0"/>
    <n v="-31.15"/>
    <n v="0"/>
    <n v="0"/>
  </r>
  <r>
    <n v="60100745"/>
    <s v="N"/>
    <n v="21324371"/>
    <s v="3000014427470005RC"/>
    <s v="CIVIL"/>
    <d v="2023-06-27T00:00:00"/>
    <d v="2023-07-03T19:42:50"/>
    <m/>
    <d v="2023-07-03T00:00:00"/>
    <n v="630"/>
    <n v="16896"/>
    <s v="60100745"/>
    <s v="60100745"/>
    <m/>
    <m/>
    <m/>
    <m/>
    <m/>
    <m/>
    <s v="SOLRECOUP"/>
    <s v="SOLRECOUP"/>
    <s v="POARECOUP"/>
    <n v="21324371"/>
    <n v="-1433.78"/>
    <m/>
    <s v="Y"/>
    <n v="1"/>
    <d v="2023-07-03T19:42:51"/>
    <s v="N"/>
    <m/>
    <m/>
    <s v="Expert Disbursement"/>
    <m/>
    <s v="N"/>
    <n v="-1194.82"/>
    <n v="0"/>
    <x v="3"/>
    <s v="VALIDATED"/>
    <n v="1"/>
    <s v="01.11.80.308.2013.0000"/>
    <n v="-1194.82"/>
    <s v="11"/>
    <s v="2013"/>
    <n v="17067.72"/>
    <n v="-1194.82"/>
    <s v="CREDITOR"/>
    <n v="0"/>
    <n v="0"/>
    <n v="-1194.82"/>
    <n v="0"/>
    <n v="0"/>
  </r>
  <r>
    <n v="60100745"/>
    <s v="N"/>
    <n v="21324371"/>
    <s v="3000014427470005RC"/>
    <s v="CIVIL"/>
    <d v="2023-06-27T00:00:00"/>
    <d v="2023-07-03T19:42:50"/>
    <m/>
    <d v="2023-07-03T00:00:00"/>
    <n v="630"/>
    <n v="16896"/>
    <s v="60100745"/>
    <s v="60100745"/>
    <m/>
    <m/>
    <m/>
    <m/>
    <m/>
    <m/>
    <s v="SOLRECOUP"/>
    <s v="SOLRECOUP"/>
    <s v="POARECOUP"/>
    <n v="21324371"/>
    <n v="-1433.78"/>
    <m/>
    <s v="Y"/>
    <n v="2"/>
    <d v="2023-07-03T19:42:51"/>
    <s v="N"/>
    <m/>
    <m/>
    <s v="Expert Disbursement"/>
    <m/>
    <s v="N"/>
    <n v="0"/>
    <n v="-238.96"/>
    <x v="3"/>
    <s v="VALIDATED"/>
    <n v="1"/>
    <s v="01.11.80.308.2013.0000"/>
    <n v="-238.96"/>
    <s v="11"/>
    <s v="2013"/>
    <n v="17067.72"/>
    <n v="-238.96"/>
    <s v="CREDITOR"/>
    <n v="0"/>
    <n v="0"/>
    <n v="-238.96"/>
    <n v="0"/>
    <n v="0"/>
  </r>
  <r>
    <n v="60100745"/>
    <s v="N"/>
    <n v="21324372"/>
    <s v="3000014427470017RC"/>
    <s v="CIVIL"/>
    <d v="2023-06-27T00:00:00"/>
    <d v="2023-07-03T19:42:50"/>
    <m/>
    <d v="2023-07-03T00:00:00"/>
    <n v="630"/>
    <n v="16896"/>
    <s v="60100745"/>
    <s v="60100745"/>
    <m/>
    <m/>
    <m/>
    <m/>
    <m/>
    <m/>
    <s v="SOLRECOUP"/>
    <s v="SOLRECOUP"/>
    <s v="POARECOUP"/>
    <n v="21324372"/>
    <n v="-53"/>
    <m/>
    <s v="Y"/>
    <n v="2"/>
    <d v="2023-07-03T19:42:51"/>
    <s v="N"/>
    <m/>
    <m/>
    <s v="Non Expert Disbursement"/>
    <m/>
    <s v="N"/>
    <n v="0"/>
    <n v="0"/>
    <x v="3"/>
    <s v="VALIDATED"/>
    <n v="1"/>
    <s v="01.11.80.000.0000.0000"/>
    <n v="0"/>
    <s v="11"/>
    <s v="0000"/>
    <n v="17067.72"/>
    <n v="0"/>
    <s v="CREDITOR"/>
    <n v="0"/>
    <n v="0"/>
    <n v="0"/>
    <n v="0"/>
    <n v="0"/>
  </r>
  <r>
    <n v="60100745"/>
    <s v="N"/>
    <n v="21324372"/>
    <s v="3000014427470017RC"/>
    <s v="CIVIL"/>
    <d v="2023-06-27T00:00:00"/>
    <d v="2023-07-03T19:42:50"/>
    <m/>
    <d v="2023-07-03T00:00:00"/>
    <n v="630"/>
    <n v="16896"/>
    <s v="60100745"/>
    <s v="60100745"/>
    <m/>
    <m/>
    <m/>
    <m/>
    <m/>
    <m/>
    <s v="SOLRECOUP"/>
    <s v="SOLRECOUP"/>
    <s v="POARECOUP"/>
    <n v="21324372"/>
    <n v="-53"/>
    <m/>
    <s v="Y"/>
    <n v="1"/>
    <d v="2023-07-03T19:42:51"/>
    <s v="N"/>
    <m/>
    <m/>
    <s v="Non Expert Disbursement"/>
    <m/>
    <s v="N"/>
    <n v="-53"/>
    <n v="0"/>
    <x v="3"/>
    <s v="VALIDATED"/>
    <n v="1"/>
    <s v="01.11.80.308.2013.0000"/>
    <n v="-53"/>
    <s v="11"/>
    <s v="2013"/>
    <n v="17067.72"/>
    <n v="-53"/>
    <s v="CREDITOR"/>
    <n v="0"/>
    <n v="0"/>
    <n v="-53"/>
    <n v="0"/>
    <n v="0"/>
  </r>
  <r>
    <n v="60100745"/>
    <s v="N"/>
    <n v="21324373"/>
    <s v="3000014427470012RC"/>
    <s v="CIVIL"/>
    <d v="2023-06-27T00:00:00"/>
    <d v="2023-07-03T19:42:50"/>
    <m/>
    <d v="2023-07-03T00:00:00"/>
    <n v="630"/>
    <n v="16896"/>
    <s v="60100745"/>
    <s v="60100745"/>
    <m/>
    <m/>
    <m/>
    <m/>
    <m/>
    <m/>
    <s v="SOLRECOUP"/>
    <s v="SOLRECOUP"/>
    <s v="POARECOUP"/>
    <n v="21324373"/>
    <n v="-167"/>
    <m/>
    <s v="Y"/>
    <n v="2"/>
    <d v="2023-07-03T19:42:51"/>
    <s v="N"/>
    <m/>
    <m/>
    <s v="Non Expert Disbursement"/>
    <m/>
    <s v="N"/>
    <n v="0"/>
    <n v="0"/>
    <x v="3"/>
    <s v="VALIDATED"/>
    <n v="1"/>
    <s v="01.11.80.000.0000.0000"/>
    <n v="0"/>
    <s v="11"/>
    <s v="0000"/>
    <n v="17067.72"/>
    <n v="0"/>
    <s v="CREDITOR"/>
    <n v="0"/>
    <n v="0"/>
    <n v="0"/>
    <n v="0"/>
    <n v="0"/>
  </r>
  <r>
    <n v="60100745"/>
    <s v="N"/>
    <n v="21324373"/>
    <s v="3000014427470012RC"/>
    <s v="CIVIL"/>
    <d v="2023-06-27T00:00:00"/>
    <d v="2023-07-03T19:42:50"/>
    <m/>
    <d v="2023-07-03T00:00:00"/>
    <n v="630"/>
    <n v="16896"/>
    <s v="60100745"/>
    <s v="60100745"/>
    <m/>
    <m/>
    <m/>
    <m/>
    <m/>
    <m/>
    <s v="SOLRECOUP"/>
    <s v="SOLRECOUP"/>
    <s v="POARECOUP"/>
    <n v="21324373"/>
    <n v="-167"/>
    <m/>
    <s v="Y"/>
    <n v="1"/>
    <d v="2023-07-03T19:42:51"/>
    <s v="N"/>
    <m/>
    <m/>
    <s v="Non Expert Disbursement"/>
    <m/>
    <s v="N"/>
    <n v="-167"/>
    <n v="0"/>
    <x v="3"/>
    <s v="VALIDATED"/>
    <n v="1"/>
    <s v="01.11.80.308.2013.0000"/>
    <n v="-167"/>
    <s v="11"/>
    <s v="2013"/>
    <n v="17067.72"/>
    <n v="-167"/>
    <s v="CREDITOR"/>
    <n v="0"/>
    <n v="0"/>
    <n v="-167"/>
    <n v="0"/>
    <n v="0"/>
  </r>
  <r>
    <n v="60100745"/>
    <s v="N"/>
    <n v="21324374"/>
    <s v="3000014427470015RC"/>
    <s v="CIVIL"/>
    <d v="2023-06-27T00:00:00"/>
    <d v="2023-07-03T19:42:50"/>
    <m/>
    <d v="2023-07-03T00:00:00"/>
    <n v="630"/>
    <n v="16896"/>
    <s v="60100745"/>
    <s v="60100745"/>
    <m/>
    <m/>
    <m/>
    <m/>
    <m/>
    <m/>
    <s v="SOLRECOUP"/>
    <s v="SOLRECOUP"/>
    <s v="POARECOUP"/>
    <n v="21324374"/>
    <n v="-89.8"/>
    <m/>
    <s v="Y"/>
    <n v="2"/>
    <d v="2023-07-03T19:42:51"/>
    <s v="N"/>
    <m/>
    <m/>
    <s v="Non Expert Disbursement"/>
    <m/>
    <s v="N"/>
    <n v="0"/>
    <n v="0"/>
    <x v="3"/>
    <s v="VALIDATED"/>
    <n v="1"/>
    <s v="01.11.80.000.0000.0000"/>
    <n v="0"/>
    <s v="11"/>
    <s v="0000"/>
    <n v="17067.72"/>
    <n v="0"/>
    <s v="CREDITOR"/>
    <n v="0"/>
    <n v="0"/>
    <n v="0"/>
    <n v="0"/>
    <n v="0"/>
  </r>
  <r>
    <n v="60100745"/>
    <s v="N"/>
    <n v="21324374"/>
    <s v="3000014427470015RC"/>
    <s v="CIVIL"/>
    <d v="2023-06-27T00:00:00"/>
    <d v="2023-07-03T19:42:50"/>
    <m/>
    <d v="2023-07-03T00:00:00"/>
    <n v="630"/>
    <n v="16896"/>
    <s v="60100745"/>
    <s v="60100745"/>
    <m/>
    <m/>
    <m/>
    <m/>
    <m/>
    <m/>
    <s v="SOLRECOUP"/>
    <s v="SOLRECOUP"/>
    <s v="POARECOUP"/>
    <n v="21324374"/>
    <n v="-89.8"/>
    <m/>
    <s v="Y"/>
    <n v="1"/>
    <d v="2023-07-03T19:42:51"/>
    <s v="N"/>
    <m/>
    <m/>
    <s v="Non Expert Disbursement"/>
    <m/>
    <s v="N"/>
    <n v="-89.8"/>
    <n v="0"/>
    <x v="3"/>
    <s v="VALIDATED"/>
    <n v="1"/>
    <s v="01.11.80.308.2013.0000"/>
    <n v="-89.8"/>
    <s v="11"/>
    <s v="2013"/>
    <n v="17067.72"/>
    <n v="-89.8"/>
    <s v="CREDITOR"/>
    <n v="0"/>
    <n v="0"/>
    <n v="-89.8"/>
    <n v="0"/>
    <n v="0"/>
  </r>
  <r>
    <n v="61004276"/>
    <s v="N"/>
    <n v="21324375"/>
    <s v="3000015209550001RC"/>
    <s v="CIVIL"/>
    <d v="2023-06-25T00:00:00"/>
    <d v="2023-07-03T19:42:50"/>
    <m/>
    <d v="2023-07-03T00:00:00"/>
    <n v="630"/>
    <n v="16896"/>
    <s v="61004276"/>
    <s v="61004276"/>
    <m/>
    <m/>
    <m/>
    <m/>
    <m/>
    <m/>
    <s v="SOLRECOUP"/>
    <s v="SOLRECOUP"/>
    <s v="POARECOUP"/>
    <n v="21324375"/>
    <n v="-2135.06"/>
    <m/>
    <s v="Y"/>
    <n v="2"/>
    <d v="2023-07-03T19:42:51"/>
    <s v="N"/>
    <m/>
    <m/>
    <s v="Profit Cost"/>
    <m/>
    <s v="N"/>
    <n v="0"/>
    <n v="-355.84"/>
    <x v="3"/>
    <s v="VALIDATED"/>
    <n v="1"/>
    <s v="01.11.80.308.2013.0000"/>
    <n v="-355.84"/>
    <s v="11"/>
    <s v="2013"/>
    <n v="17067.72"/>
    <n v="-355.84"/>
    <s v="CREDITOR"/>
    <n v="0"/>
    <n v="0"/>
    <n v="-355.84"/>
    <n v="-88.95999999999999"/>
    <n v="0"/>
  </r>
  <r>
    <n v="61004276"/>
    <s v="N"/>
    <n v="21324375"/>
    <s v="3000015209550001RC"/>
    <s v="CIVIL"/>
    <d v="2023-06-25T00:00:00"/>
    <d v="2023-07-03T19:42:50"/>
    <m/>
    <d v="2023-07-03T00:00:00"/>
    <n v="630"/>
    <n v="16896"/>
    <s v="61004276"/>
    <s v="61004276"/>
    <m/>
    <m/>
    <m/>
    <m/>
    <m/>
    <m/>
    <s v="SOLRECOUP"/>
    <s v="SOLRECOUP"/>
    <s v="POARECOUP"/>
    <n v="21324375"/>
    <n v="-2135.06"/>
    <m/>
    <s v="Y"/>
    <n v="1"/>
    <d v="2023-07-03T19:42:51"/>
    <s v="N"/>
    <m/>
    <m/>
    <s v="Profit Cost"/>
    <m/>
    <s v="N"/>
    <n v="-1779.22"/>
    <n v="0"/>
    <x v="3"/>
    <s v="VALIDATED"/>
    <n v="1"/>
    <s v="01.11.80.308.2013.0000"/>
    <n v="-1779.22"/>
    <s v="11"/>
    <s v="2013"/>
    <n v="17067.72"/>
    <n v="-1779.22"/>
    <s v="CREDITOR"/>
    <n v="0"/>
    <n v="0"/>
    <n v="-1779.22"/>
    <n v="-444.805"/>
    <n v="0"/>
  </r>
  <r>
    <n v="60100745"/>
    <s v="N"/>
    <n v="21324376"/>
    <s v="3000014427470021RC"/>
    <s v="CIVIL"/>
    <d v="2023-06-27T00:00:00"/>
    <d v="2023-07-03T19:42:50"/>
    <m/>
    <d v="2023-07-03T00:00:00"/>
    <n v="630"/>
    <n v="16896"/>
    <s v="60100745"/>
    <s v="60100745"/>
    <m/>
    <m/>
    <m/>
    <m/>
    <m/>
    <m/>
    <s v="SOLRECOUP"/>
    <s v="SOLRECOUP"/>
    <s v="POARECOUP"/>
    <n v="21324376"/>
    <n v="-1943.2"/>
    <m/>
    <s v="Y"/>
    <n v="2"/>
    <d v="2023-07-03T19:42:51"/>
    <s v="N"/>
    <m/>
    <m/>
    <s v="Expert Disbursement"/>
    <m/>
    <s v="N"/>
    <n v="0"/>
    <n v="-323.87"/>
    <x v="3"/>
    <s v="VALIDATED"/>
    <n v="1"/>
    <s v="01.11.80.308.2013.0000"/>
    <n v="-323.87"/>
    <s v="11"/>
    <s v="2013"/>
    <n v="17067.72"/>
    <n v="-323.87"/>
    <s v="CREDITOR"/>
    <n v="0"/>
    <n v="0"/>
    <n v="-323.87"/>
    <n v="0"/>
    <n v="0"/>
  </r>
  <r>
    <n v="60100745"/>
    <s v="N"/>
    <n v="21324376"/>
    <s v="3000014427470021RC"/>
    <s v="CIVIL"/>
    <d v="2023-06-27T00:00:00"/>
    <d v="2023-07-03T19:42:50"/>
    <m/>
    <d v="2023-07-03T00:00:00"/>
    <n v="630"/>
    <n v="16896"/>
    <s v="60100745"/>
    <s v="60100745"/>
    <m/>
    <m/>
    <m/>
    <m/>
    <m/>
    <m/>
    <s v="SOLRECOUP"/>
    <s v="SOLRECOUP"/>
    <s v="POARECOUP"/>
    <n v="21324376"/>
    <n v="-1943.2"/>
    <m/>
    <s v="Y"/>
    <n v="1"/>
    <d v="2023-07-03T19:42:51"/>
    <s v="N"/>
    <m/>
    <m/>
    <s v="Expert Disbursement"/>
    <m/>
    <s v="N"/>
    <n v="-1619.33"/>
    <n v="0"/>
    <x v="3"/>
    <s v="VALIDATED"/>
    <n v="1"/>
    <s v="01.11.80.308.2013.0000"/>
    <n v="-1619.33"/>
    <s v="11"/>
    <s v="2013"/>
    <n v="17067.72"/>
    <n v="-1619.33"/>
    <s v="CREDITOR"/>
    <n v="0"/>
    <n v="0"/>
    <n v="-1619.33"/>
    <n v="0"/>
    <n v="0"/>
  </r>
  <r>
    <n v="60100745"/>
    <s v="N"/>
    <n v="21324377"/>
    <s v="3000014427470024RC"/>
    <s v="CIVIL"/>
    <d v="2023-06-27T00:00:00"/>
    <d v="2023-07-03T19:42:50"/>
    <m/>
    <d v="2023-07-03T00:00:00"/>
    <n v="630"/>
    <n v="16896"/>
    <s v="60100745"/>
    <s v="60100745"/>
    <m/>
    <m/>
    <m/>
    <m/>
    <m/>
    <m/>
    <s v="SOLRECOUP"/>
    <s v="SOLRECOUP"/>
    <s v="POARECOUP"/>
    <n v="21324377"/>
    <n v="-465.2"/>
    <m/>
    <s v="Y"/>
    <n v="2"/>
    <d v="2023-07-03T19:42:51"/>
    <s v="N"/>
    <m/>
    <m/>
    <s v="Expert Disbursement"/>
    <m/>
    <s v="N"/>
    <n v="0"/>
    <n v="-77.53"/>
    <x v="3"/>
    <s v="VALIDATED"/>
    <n v="1"/>
    <s v="01.11.80.308.2013.0000"/>
    <n v="-77.53"/>
    <s v="11"/>
    <s v="2013"/>
    <n v="17067.72"/>
    <n v="-77.53"/>
    <s v="CREDITOR"/>
    <n v="0"/>
    <n v="0"/>
    <n v="-77.53"/>
    <n v="0"/>
    <n v="0"/>
  </r>
  <r>
    <n v="60100745"/>
    <s v="N"/>
    <n v="21324377"/>
    <s v="3000014427470024RC"/>
    <s v="CIVIL"/>
    <d v="2023-06-27T00:00:00"/>
    <d v="2023-07-03T19:42:50"/>
    <m/>
    <d v="2023-07-03T00:00:00"/>
    <n v="630"/>
    <n v="16896"/>
    <s v="60100745"/>
    <s v="60100745"/>
    <m/>
    <m/>
    <m/>
    <m/>
    <m/>
    <m/>
    <s v="SOLRECOUP"/>
    <s v="SOLRECOUP"/>
    <s v="POARECOUP"/>
    <n v="21324377"/>
    <n v="-465.2"/>
    <m/>
    <s v="Y"/>
    <n v="1"/>
    <d v="2023-07-03T19:42:51"/>
    <s v="N"/>
    <m/>
    <m/>
    <s v="Expert Disbursement"/>
    <m/>
    <s v="N"/>
    <n v="-387.67"/>
    <n v="0"/>
    <x v="3"/>
    <s v="VALIDATED"/>
    <n v="1"/>
    <s v="01.11.80.308.2013.0000"/>
    <n v="-387.67"/>
    <s v="11"/>
    <s v="2013"/>
    <n v="17067.72"/>
    <n v="-387.67"/>
    <s v="CREDITOR"/>
    <n v="0"/>
    <n v="0"/>
    <n v="-387.67"/>
    <n v="0"/>
    <n v="0"/>
  </r>
  <r>
    <n v="60100745"/>
    <s v="N"/>
    <n v="21324378"/>
    <s v="3000014427470027RC"/>
    <s v="CIVIL"/>
    <d v="2023-06-27T00:00:00"/>
    <d v="2023-07-03T19:42:50"/>
    <m/>
    <d v="2023-07-03T00:00:00"/>
    <n v="630"/>
    <n v="16896"/>
    <s v="60100745"/>
    <s v="60100745"/>
    <m/>
    <m/>
    <m/>
    <m/>
    <m/>
    <m/>
    <s v="SOLRECOUP"/>
    <s v="SOLRECOUP"/>
    <s v="POARECOUP"/>
    <n v="21324378"/>
    <n v="-501"/>
    <m/>
    <s v="Y"/>
    <n v="2"/>
    <d v="2023-07-03T19:42:51"/>
    <s v="N"/>
    <m/>
    <m/>
    <s v="Non Expert Disbursement"/>
    <m/>
    <s v="N"/>
    <n v="0"/>
    <n v="0"/>
    <x v="3"/>
    <s v="VALIDATED"/>
    <n v="1"/>
    <s v="01.11.80.000.0000.0000"/>
    <n v="0"/>
    <s v="11"/>
    <s v="0000"/>
    <n v="17067.72"/>
    <n v="0"/>
    <s v="CREDITOR"/>
    <n v="0"/>
    <n v="0"/>
    <n v="0"/>
    <n v="0"/>
    <n v="0"/>
  </r>
  <r>
    <n v="60100745"/>
    <s v="N"/>
    <n v="21324378"/>
    <s v="3000014427470027RC"/>
    <s v="CIVIL"/>
    <d v="2023-06-27T00:00:00"/>
    <d v="2023-07-03T19:42:50"/>
    <m/>
    <d v="2023-07-03T00:00:00"/>
    <n v="630"/>
    <n v="16896"/>
    <s v="60100745"/>
    <s v="60100745"/>
    <m/>
    <m/>
    <m/>
    <m/>
    <m/>
    <m/>
    <s v="SOLRECOUP"/>
    <s v="SOLRECOUP"/>
    <s v="POARECOUP"/>
    <n v="21324378"/>
    <n v="-501"/>
    <m/>
    <s v="Y"/>
    <n v="1"/>
    <d v="2023-07-03T19:42:51"/>
    <s v="N"/>
    <m/>
    <m/>
    <s v="Non Expert Disbursement"/>
    <m/>
    <s v="N"/>
    <n v="-501"/>
    <n v="0"/>
    <x v="3"/>
    <s v="VALIDATED"/>
    <n v="1"/>
    <s v="01.11.80.308.2013.0000"/>
    <n v="-501"/>
    <s v="11"/>
    <s v="2013"/>
    <n v="17067.72"/>
    <n v="-501"/>
    <s v="CREDITOR"/>
    <n v="0"/>
    <n v="0"/>
    <n v="-501"/>
    <n v="0"/>
    <n v="0"/>
  </r>
  <r>
    <n v="60100745"/>
    <s v="N"/>
    <n v="21324379"/>
    <s v="3000014427470025RC"/>
    <s v="CIVIL"/>
    <d v="2023-06-27T00:00:00"/>
    <d v="2023-07-03T19:42:50"/>
    <m/>
    <d v="2023-07-03T00:00:00"/>
    <n v="630"/>
    <n v="16896"/>
    <s v="60100745"/>
    <s v="60100745"/>
    <m/>
    <m/>
    <m/>
    <m/>
    <m/>
    <m/>
    <s v="SOLRECOUP"/>
    <s v="SOLRECOUP"/>
    <s v="POARECOUP"/>
    <n v="21324379"/>
    <n v="-49.55"/>
    <m/>
    <s v="Y"/>
    <n v="1"/>
    <d v="2023-07-03T19:42:51"/>
    <s v="N"/>
    <m/>
    <m/>
    <s v="Non Expert Disbursement"/>
    <m/>
    <s v="N"/>
    <n v="-49.55"/>
    <n v="0"/>
    <x v="3"/>
    <s v="VALIDATED"/>
    <n v="1"/>
    <s v="01.11.80.308.2013.0000"/>
    <n v="-49.55"/>
    <s v="11"/>
    <s v="2013"/>
    <n v="17067.72"/>
    <n v="-49.55"/>
    <s v="CREDITOR"/>
    <n v="0"/>
    <n v="0"/>
    <n v="-49.55"/>
    <n v="0"/>
    <n v="0"/>
  </r>
  <r>
    <n v="60100745"/>
    <s v="N"/>
    <n v="21324379"/>
    <s v="3000014427470025RC"/>
    <s v="CIVIL"/>
    <d v="2023-06-27T00:00:00"/>
    <d v="2023-07-03T19:42:50"/>
    <m/>
    <d v="2023-07-03T00:00:00"/>
    <n v="630"/>
    <n v="16896"/>
    <s v="60100745"/>
    <s v="60100745"/>
    <m/>
    <m/>
    <m/>
    <m/>
    <m/>
    <m/>
    <s v="SOLRECOUP"/>
    <s v="SOLRECOUP"/>
    <s v="POARECOUP"/>
    <n v="21324379"/>
    <n v="-49.55"/>
    <m/>
    <s v="Y"/>
    <n v="2"/>
    <d v="2023-07-03T19:42:51"/>
    <s v="N"/>
    <m/>
    <m/>
    <s v="Non Expert Disbursement"/>
    <m/>
    <s v="N"/>
    <n v="0"/>
    <n v="0"/>
    <x v="3"/>
    <s v="VALIDATED"/>
    <n v="1"/>
    <s v="01.11.80.000.0000.0000"/>
    <n v="0"/>
    <s v="11"/>
    <s v="0000"/>
    <n v="17067.72"/>
    <n v="0"/>
    <s v="CREDITOR"/>
    <n v="0"/>
    <n v="0"/>
    <n v="0"/>
    <n v="0"/>
    <n v="0"/>
  </r>
  <r>
    <n v="60100745"/>
    <s v="N"/>
    <n v="21324380"/>
    <s v="3000014427470029RC"/>
    <s v="CIVIL"/>
    <d v="2023-06-27T00:00:00"/>
    <d v="2023-07-03T19:42:50"/>
    <m/>
    <d v="2023-07-03T00:00:00"/>
    <n v="630"/>
    <n v="16896"/>
    <s v="60100745"/>
    <s v="60100745"/>
    <m/>
    <m/>
    <m/>
    <m/>
    <m/>
    <m/>
    <s v="SOLRECOUP"/>
    <s v="SOLRECOUP"/>
    <s v="POARECOUP"/>
    <n v="21324380"/>
    <n v="-67.2"/>
    <m/>
    <s v="Y"/>
    <n v="1"/>
    <d v="2023-07-03T19:42:51"/>
    <s v="N"/>
    <m/>
    <m/>
    <s v="Expert Disbursement"/>
    <m/>
    <s v="N"/>
    <n v="-56"/>
    <n v="0"/>
    <x v="3"/>
    <s v="VALIDATED"/>
    <n v="1"/>
    <s v="01.11.80.308.2013.0000"/>
    <n v="-56"/>
    <s v="11"/>
    <s v="2013"/>
    <n v="17067.72"/>
    <n v="-56"/>
    <s v="CREDITOR"/>
    <n v="0"/>
    <n v="0"/>
    <n v="-56"/>
    <n v="0"/>
    <n v="0"/>
  </r>
  <r>
    <n v="60100745"/>
    <s v="N"/>
    <n v="21324380"/>
    <s v="3000014427470029RC"/>
    <s v="CIVIL"/>
    <d v="2023-06-27T00:00:00"/>
    <d v="2023-07-03T19:42:50"/>
    <m/>
    <d v="2023-07-03T00:00:00"/>
    <n v="630"/>
    <n v="16896"/>
    <s v="60100745"/>
    <s v="60100745"/>
    <m/>
    <m/>
    <m/>
    <m/>
    <m/>
    <m/>
    <s v="SOLRECOUP"/>
    <s v="SOLRECOUP"/>
    <s v="POARECOUP"/>
    <n v="21324380"/>
    <n v="-67.2"/>
    <m/>
    <s v="Y"/>
    <n v="2"/>
    <d v="2023-07-03T19:42:51"/>
    <s v="N"/>
    <m/>
    <m/>
    <s v="Expert Disbursement"/>
    <m/>
    <s v="N"/>
    <n v="0"/>
    <n v="-11.2"/>
    <x v="3"/>
    <s v="VALIDATED"/>
    <n v="1"/>
    <s v="01.11.80.308.2013.0000"/>
    <n v="-11.2"/>
    <s v="11"/>
    <s v="2013"/>
    <n v="17067.72"/>
    <n v="-11.2"/>
    <s v="CREDITOR"/>
    <n v="0"/>
    <n v="0"/>
    <n v="-11.2"/>
    <n v="0"/>
    <n v="0"/>
  </r>
  <r>
    <n v="60100745"/>
    <s v="N"/>
    <n v="21324381"/>
    <s v="3000014427470019RC"/>
    <s v="CIVIL"/>
    <d v="2023-06-27T00:00:00"/>
    <d v="2023-07-03T19:42:50"/>
    <m/>
    <d v="2023-07-03T00:00:00"/>
    <n v="630"/>
    <n v="16896"/>
    <s v="60100745"/>
    <s v="60100745"/>
    <m/>
    <m/>
    <m/>
    <m/>
    <m/>
    <m/>
    <s v="SOLRECOUP"/>
    <s v="SOLRECOUP"/>
    <s v="POARECOUP"/>
    <n v="21324381"/>
    <n v="-132.16"/>
    <m/>
    <s v="Y"/>
    <n v="1"/>
    <d v="2023-07-03T19:42:51"/>
    <s v="N"/>
    <m/>
    <m/>
    <s v="Expert Disbursement"/>
    <m/>
    <s v="N"/>
    <n v="-110.13"/>
    <n v="0"/>
    <x v="3"/>
    <s v="VALIDATED"/>
    <n v="1"/>
    <s v="01.11.80.308.2013.0000"/>
    <n v="-110.13"/>
    <s v="11"/>
    <s v="2013"/>
    <n v="17067.72"/>
    <n v="-110.13"/>
    <s v="CREDITOR"/>
    <n v="0"/>
    <n v="0"/>
    <n v="-110.13"/>
    <n v="0"/>
    <n v="0"/>
  </r>
  <r>
    <n v="60100745"/>
    <s v="N"/>
    <n v="21324381"/>
    <s v="3000014427470019RC"/>
    <s v="CIVIL"/>
    <d v="2023-06-27T00:00:00"/>
    <d v="2023-07-03T19:42:50"/>
    <m/>
    <d v="2023-07-03T00:00:00"/>
    <n v="630"/>
    <n v="16896"/>
    <s v="60100745"/>
    <s v="60100745"/>
    <m/>
    <m/>
    <m/>
    <m/>
    <m/>
    <m/>
    <s v="SOLRECOUP"/>
    <s v="SOLRECOUP"/>
    <s v="POARECOUP"/>
    <n v="21324381"/>
    <n v="-132.16"/>
    <m/>
    <s v="Y"/>
    <n v="2"/>
    <d v="2023-07-03T19:42:51"/>
    <s v="N"/>
    <m/>
    <m/>
    <s v="Expert Disbursement"/>
    <m/>
    <s v="N"/>
    <n v="0"/>
    <n v="-22.03"/>
    <x v="3"/>
    <s v="VALIDATED"/>
    <n v="1"/>
    <s v="01.11.80.308.2013.0000"/>
    <n v="-22.03"/>
    <s v="11"/>
    <s v="2013"/>
    <n v="17067.72"/>
    <n v="-22.03"/>
    <s v="CREDITOR"/>
    <n v="0"/>
    <n v="0"/>
    <n v="-22.03"/>
    <n v="0"/>
    <n v="0"/>
  </r>
  <r>
    <n v="60100745"/>
    <s v="N"/>
    <n v="21324382"/>
    <s v="3000014427470020RC"/>
    <s v="CIVIL"/>
    <d v="2023-06-27T00:00:00"/>
    <d v="2023-07-03T19:42:50"/>
    <m/>
    <d v="2023-07-03T00:00:00"/>
    <n v="630"/>
    <n v="16896"/>
    <s v="60100745"/>
    <s v="60100745"/>
    <m/>
    <m/>
    <m/>
    <m/>
    <m/>
    <m/>
    <s v="SOLRECOUP"/>
    <s v="SOLRECOUP"/>
    <s v="POARECOUP"/>
    <n v="21324382"/>
    <n v="-54"/>
    <m/>
    <s v="Y"/>
    <n v="1"/>
    <d v="2023-07-03T19:42:51"/>
    <s v="N"/>
    <m/>
    <m/>
    <s v="Expert Disbursement"/>
    <m/>
    <s v="N"/>
    <n v="-45"/>
    <n v="0"/>
    <x v="3"/>
    <s v="VALIDATED"/>
    <n v="1"/>
    <s v="01.11.80.308.2013.0000"/>
    <n v="-45"/>
    <s v="11"/>
    <s v="2013"/>
    <n v="17067.72"/>
    <n v="-45"/>
    <s v="CREDITOR"/>
    <n v="0"/>
    <n v="0"/>
    <n v="-45"/>
    <n v="0"/>
    <n v="0"/>
  </r>
  <r>
    <n v="60100745"/>
    <s v="N"/>
    <n v="21324384"/>
    <s v="3000014427470023RC"/>
    <s v="CIVIL"/>
    <d v="2023-06-27T00:00:00"/>
    <d v="2023-07-03T19:42:50"/>
    <m/>
    <d v="2023-07-03T00:00:00"/>
    <n v="630"/>
    <n v="16896"/>
    <s v="60100745"/>
    <s v="60100745"/>
    <m/>
    <m/>
    <m/>
    <m/>
    <m/>
    <m/>
    <s v="SOLRECOUP"/>
    <s v="SOLRECOUP"/>
    <s v="POARECOUP"/>
    <n v="21324384"/>
    <n v="-306.11"/>
    <m/>
    <s v="Y"/>
    <n v="2"/>
    <d v="2023-07-03T19:42:51"/>
    <s v="N"/>
    <m/>
    <m/>
    <s v="Expert Disbursement"/>
    <m/>
    <s v="N"/>
    <n v="0"/>
    <n v="-51.02"/>
    <x v="3"/>
    <s v="VALIDATED"/>
    <n v="1"/>
    <s v="01.11.80.308.2013.0000"/>
    <n v="-51.02"/>
    <s v="11"/>
    <s v="2013"/>
    <n v="17067.72"/>
    <n v="-51.02"/>
    <s v="CREDITOR"/>
    <n v="0"/>
    <n v="0"/>
    <n v="-51.02"/>
    <n v="0"/>
    <n v="0"/>
  </r>
  <r>
    <n v="60100745"/>
    <s v="N"/>
    <n v="21324385"/>
    <s v="3000014427470026RC"/>
    <s v="CIVIL"/>
    <d v="2023-06-27T00:00:00"/>
    <d v="2023-07-03T19:42:50"/>
    <m/>
    <d v="2023-07-03T00:00:00"/>
    <n v="630"/>
    <n v="16896"/>
    <s v="60100745"/>
    <s v="60100745"/>
    <m/>
    <m/>
    <m/>
    <m/>
    <m/>
    <m/>
    <s v="SOLRECOUP"/>
    <s v="SOLRECOUP"/>
    <s v="POARECOUP"/>
    <n v="21324385"/>
    <n v="-44.28"/>
    <m/>
    <s v="Y"/>
    <n v="2"/>
    <d v="2023-07-03T19:42:51"/>
    <s v="N"/>
    <m/>
    <m/>
    <s v="Non Expert Disbursement"/>
    <m/>
    <s v="N"/>
    <n v="0"/>
    <n v="-7.38"/>
    <x v="3"/>
    <s v="VALIDATED"/>
    <n v="1"/>
    <s v="01.11.80.308.2013.0000"/>
    <n v="-7.38"/>
    <s v="11"/>
    <s v="2013"/>
    <n v="17067.72"/>
    <n v="-7.38"/>
    <s v="CREDITOR"/>
    <n v="0"/>
    <n v="0"/>
    <n v="-7.38"/>
    <n v="0"/>
    <n v="0"/>
  </r>
  <r>
    <n v="60100745"/>
    <s v="N"/>
    <n v="21324385"/>
    <s v="3000014427470026RC"/>
    <s v="CIVIL"/>
    <d v="2023-06-27T00:00:00"/>
    <d v="2023-07-03T19:42:50"/>
    <m/>
    <d v="2023-07-03T00:00:00"/>
    <n v="630"/>
    <n v="16896"/>
    <s v="60100745"/>
    <s v="60100745"/>
    <m/>
    <m/>
    <m/>
    <m/>
    <m/>
    <m/>
    <s v="SOLRECOUP"/>
    <s v="SOLRECOUP"/>
    <s v="POARECOUP"/>
    <n v="21324385"/>
    <n v="-44.28"/>
    <m/>
    <s v="Y"/>
    <n v="1"/>
    <d v="2023-07-03T19:42:51"/>
    <s v="N"/>
    <m/>
    <m/>
    <s v="Non Expert Disbursement"/>
    <m/>
    <s v="N"/>
    <n v="-36.9"/>
    <n v="0"/>
    <x v="3"/>
    <s v="VALIDATED"/>
    <n v="1"/>
    <s v="01.11.80.308.2013.0000"/>
    <n v="-36.9"/>
    <s v="11"/>
    <s v="2013"/>
    <n v="17067.72"/>
    <n v="-36.9"/>
    <s v="CREDITOR"/>
    <n v="0"/>
    <n v="0"/>
    <n v="-36.9"/>
    <n v="0"/>
    <n v="0"/>
  </r>
  <r>
    <n v="60100745"/>
    <s v="N"/>
    <n v="21324386"/>
    <s v="3000014427470028RC"/>
    <s v="CIVIL"/>
    <d v="2023-06-27T00:00:00"/>
    <d v="2023-07-03T19:42:50"/>
    <m/>
    <d v="2023-07-03T00:00:00"/>
    <n v="630"/>
    <n v="16896"/>
    <s v="60100745"/>
    <s v="60100745"/>
    <m/>
    <m/>
    <m/>
    <m/>
    <m/>
    <m/>
    <s v="SOLRECOUP"/>
    <s v="SOLRECOUP"/>
    <s v="POARECOUP"/>
    <n v="21324386"/>
    <n v="-2116.8"/>
    <m/>
    <s v="Y"/>
    <n v="2"/>
    <d v="2023-07-03T19:42:51"/>
    <s v="N"/>
    <m/>
    <m/>
    <s v="Expert Disbursement"/>
    <m/>
    <s v="N"/>
    <n v="0"/>
    <n v="-352.8"/>
    <x v="3"/>
    <s v="VALIDATED"/>
    <n v="1"/>
    <s v="01.11.80.308.2013.0000"/>
    <n v="-352.8"/>
    <s v="11"/>
    <s v="2013"/>
    <n v="17067.72"/>
    <n v="-352.8"/>
    <s v="CREDITOR"/>
    <n v="0"/>
    <n v="0"/>
    <n v="-352.8"/>
    <n v="0"/>
    <n v="0"/>
  </r>
  <r>
    <n v="60100745"/>
    <s v="N"/>
    <n v="21324386"/>
    <s v="3000014427470028RC"/>
    <s v="CIVIL"/>
    <d v="2023-06-27T00:00:00"/>
    <d v="2023-07-03T19:42:50"/>
    <m/>
    <d v="2023-07-03T00:00:00"/>
    <n v="630"/>
    <n v="16896"/>
    <s v="60100745"/>
    <s v="60100745"/>
    <m/>
    <m/>
    <m/>
    <m/>
    <m/>
    <m/>
    <s v="SOLRECOUP"/>
    <s v="SOLRECOUP"/>
    <s v="POARECOUP"/>
    <n v="21324386"/>
    <n v="-2116.8"/>
    <m/>
    <s v="Y"/>
    <n v="1"/>
    <d v="2023-07-03T19:42:51"/>
    <s v="N"/>
    <m/>
    <m/>
    <s v="Expert Disbursement"/>
    <m/>
    <s v="N"/>
    <n v="-1764"/>
    <n v="0"/>
    <x v="3"/>
    <s v="VALIDATED"/>
    <n v="1"/>
    <s v="01.11.80.308.2013.0000"/>
    <n v="-1764"/>
    <s v="11"/>
    <s v="2013"/>
    <n v="17067.72"/>
    <n v="-1764"/>
    <s v="CREDITOR"/>
    <n v="0"/>
    <n v="0"/>
    <n v="-1764"/>
    <n v="0"/>
    <n v="0"/>
  </r>
  <r>
    <n v="60100745"/>
    <s v="N"/>
    <n v="21324387"/>
    <s v="3000014427470030RC"/>
    <s v="CIVIL"/>
    <d v="2023-06-27T00:00:00"/>
    <d v="2023-07-03T19:42:50"/>
    <m/>
    <d v="2023-07-03T00:00:00"/>
    <n v="630"/>
    <n v="16896"/>
    <s v="60100745"/>
    <s v="60100745"/>
    <m/>
    <m/>
    <m/>
    <m/>
    <m/>
    <m/>
    <s v="SOLRECOUP"/>
    <s v="SOLRECOUP"/>
    <s v="POARECOUP"/>
    <n v="21324387"/>
    <n v="-89.11"/>
    <m/>
    <s v="Y"/>
    <n v="1"/>
    <d v="2023-07-03T19:42:51"/>
    <s v="N"/>
    <m/>
    <m/>
    <s v="Expert Disbursement"/>
    <m/>
    <s v="N"/>
    <n v="-74.26000000000001"/>
    <n v="0"/>
    <x v="3"/>
    <s v="VALIDATED"/>
    <n v="1"/>
    <s v="01.11.80.308.2013.0000"/>
    <n v="-74.26000000000001"/>
    <s v="11"/>
    <s v="2013"/>
    <n v="17067.72"/>
    <n v="-74.26000000000001"/>
    <s v="CREDITOR"/>
    <n v="0"/>
    <n v="0"/>
    <n v="-74.26000000000001"/>
    <n v="0"/>
    <n v="0"/>
  </r>
  <r>
    <n v="60100745"/>
    <s v="N"/>
    <n v="21324387"/>
    <s v="3000014427470030RC"/>
    <s v="CIVIL"/>
    <d v="2023-06-27T00:00:00"/>
    <d v="2023-07-03T19:42:50"/>
    <m/>
    <d v="2023-07-03T00:00:00"/>
    <n v="630"/>
    <n v="16896"/>
    <s v="60100745"/>
    <s v="60100745"/>
    <m/>
    <m/>
    <m/>
    <m/>
    <m/>
    <m/>
    <s v="SOLRECOUP"/>
    <s v="SOLRECOUP"/>
    <s v="POARECOUP"/>
    <n v="21324387"/>
    <n v="-89.11"/>
    <m/>
    <s v="Y"/>
    <n v="2"/>
    <d v="2023-07-03T19:42:51"/>
    <s v="N"/>
    <m/>
    <m/>
    <s v="Expert Disbursement"/>
    <m/>
    <s v="N"/>
    <n v="0"/>
    <n v="-14.85"/>
    <x v="3"/>
    <s v="VALIDATED"/>
    <n v="1"/>
    <s v="01.11.80.308.2013.0000"/>
    <n v="-14.85"/>
    <s v="11"/>
    <s v="2013"/>
    <n v="17067.72"/>
    <n v="-14.85"/>
    <s v="CREDITOR"/>
    <n v="0"/>
    <n v="0"/>
    <n v="-14.85"/>
    <n v="0"/>
    <n v="0"/>
  </r>
  <r>
    <n v="60100745"/>
    <s v="N"/>
    <n v="21324388"/>
    <s v="3000014427470032RC"/>
    <s v="CIVIL"/>
    <d v="2023-06-27T00:00:00"/>
    <d v="2023-07-03T19:42:50"/>
    <m/>
    <d v="2023-07-03T00:00:00"/>
    <n v="630"/>
    <n v="16896"/>
    <s v="60100745"/>
    <s v="60100745"/>
    <m/>
    <m/>
    <m/>
    <m/>
    <m/>
    <m/>
    <s v="SOLRECOUP"/>
    <s v="SOLRECOUP"/>
    <s v="POARECOUP"/>
    <n v="21324388"/>
    <n v="-167"/>
    <m/>
    <s v="Y"/>
    <n v="2"/>
    <d v="2023-07-03T19:42:51"/>
    <s v="N"/>
    <m/>
    <m/>
    <s v="Non Expert Disbursement"/>
    <m/>
    <s v="N"/>
    <n v="0"/>
    <n v="0"/>
    <x v="3"/>
    <s v="VALIDATED"/>
    <n v="1"/>
    <s v="01.11.80.000.0000.0000"/>
    <n v="0"/>
    <s v="11"/>
    <s v="0000"/>
    <n v="17067.72"/>
    <n v="0"/>
    <s v="CREDITOR"/>
    <n v="0"/>
    <n v="0"/>
    <n v="0"/>
    <n v="0"/>
    <n v="0"/>
  </r>
  <r>
    <n v="60100745"/>
    <s v="N"/>
    <n v="21324388"/>
    <s v="3000014427470032RC"/>
    <s v="CIVIL"/>
    <d v="2023-06-27T00:00:00"/>
    <d v="2023-07-03T19:42:50"/>
    <m/>
    <d v="2023-07-03T00:00:00"/>
    <n v="630"/>
    <n v="16896"/>
    <s v="60100745"/>
    <s v="60100745"/>
    <m/>
    <m/>
    <m/>
    <m/>
    <m/>
    <m/>
    <s v="SOLRECOUP"/>
    <s v="SOLRECOUP"/>
    <s v="POARECOUP"/>
    <n v="21324388"/>
    <n v="-167"/>
    <m/>
    <s v="Y"/>
    <n v="1"/>
    <d v="2023-07-03T19:42:51"/>
    <s v="N"/>
    <m/>
    <m/>
    <s v="Non Expert Disbursement"/>
    <m/>
    <s v="N"/>
    <n v="-167"/>
    <n v="0"/>
    <x v="3"/>
    <s v="VALIDATED"/>
    <n v="1"/>
    <s v="01.11.80.308.2013.0000"/>
    <n v="-167"/>
    <s v="11"/>
    <s v="2013"/>
    <n v="17067.72"/>
    <n v="-167"/>
    <s v="CREDITOR"/>
    <n v="0"/>
    <n v="0"/>
    <n v="-167"/>
    <n v="0"/>
    <n v="0"/>
  </r>
  <r>
    <n v="61004276"/>
    <s v="N"/>
    <n v="21324389"/>
    <s v="3000015209550002RC"/>
    <s v="CIVIL"/>
    <d v="2023-06-25T00:00:00"/>
    <d v="2023-07-03T19:42:50"/>
    <m/>
    <d v="2023-07-03T00:00:00"/>
    <n v="630"/>
    <n v="16896"/>
    <s v="61004276"/>
    <s v="61004276"/>
    <m/>
    <m/>
    <m/>
    <m/>
    <m/>
    <m/>
    <s v="SOLRECOUP"/>
    <s v="SOLRECOUP"/>
    <s v="POARECOUP"/>
    <n v="21324389"/>
    <n v="-48.18"/>
    <m/>
    <s v="Y"/>
    <n v="1"/>
    <d v="2023-07-03T19:42:51"/>
    <s v="N"/>
    <m/>
    <m/>
    <s v="Non Expert Disbursement"/>
    <m/>
    <s v="N"/>
    <n v="-40.15"/>
    <n v="0"/>
    <x v="3"/>
    <s v="VALIDATED"/>
    <n v="1"/>
    <s v="01.11.80.308.2013.0000"/>
    <n v="-40.15"/>
    <s v="11"/>
    <s v="2013"/>
    <n v="17067.72"/>
    <n v="-40.15"/>
    <s v="CREDITOR"/>
    <n v="0"/>
    <n v="0"/>
    <n v="-40.15"/>
    <n v="0"/>
    <n v="0"/>
  </r>
  <r>
    <n v="61004276"/>
    <s v="N"/>
    <n v="21324389"/>
    <s v="3000015209550002RC"/>
    <s v="CIVIL"/>
    <d v="2023-06-25T00:00:00"/>
    <d v="2023-07-03T19:42:50"/>
    <m/>
    <d v="2023-07-03T00:00:00"/>
    <n v="630"/>
    <n v="16896"/>
    <s v="61004276"/>
    <s v="61004276"/>
    <m/>
    <m/>
    <m/>
    <m/>
    <m/>
    <m/>
    <s v="SOLRECOUP"/>
    <s v="SOLRECOUP"/>
    <s v="POARECOUP"/>
    <n v="21324389"/>
    <n v="-48.18"/>
    <m/>
    <s v="Y"/>
    <n v="2"/>
    <d v="2023-07-03T19:42:51"/>
    <s v="N"/>
    <m/>
    <m/>
    <s v="Non Expert Disbursement"/>
    <m/>
    <s v="N"/>
    <n v="0"/>
    <n v="-8.029999999999999"/>
    <x v="3"/>
    <s v="VALIDATED"/>
    <n v="1"/>
    <s v="01.11.80.308.2013.0000"/>
    <n v="-8.029999999999999"/>
    <s v="11"/>
    <s v="2013"/>
    <n v="17067.72"/>
    <n v="-8.029999999999999"/>
    <s v="CREDITOR"/>
    <n v="0"/>
    <n v="0"/>
    <n v="-8.029999999999999"/>
    <n v="0"/>
    <n v="0"/>
  </r>
  <r>
    <n v="60100745"/>
    <s v="N"/>
    <n v="21324390"/>
    <s v="3000014427470034RC"/>
    <s v="CIVIL"/>
    <d v="2023-06-27T00:00:00"/>
    <d v="2023-07-03T19:42:50"/>
    <m/>
    <d v="2023-07-03T00:00:00"/>
    <n v="630"/>
    <n v="16896"/>
    <s v="60100745"/>
    <s v="60100745"/>
    <m/>
    <m/>
    <m/>
    <m/>
    <m/>
    <m/>
    <s v="SOLRECOUP"/>
    <s v="SOLRECOUP"/>
    <s v="POARECOUP"/>
    <n v="21324390"/>
    <n v="-136.74"/>
    <m/>
    <s v="Y"/>
    <n v="1"/>
    <d v="2023-07-03T19:42:51"/>
    <s v="N"/>
    <m/>
    <m/>
    <s v="Expert Disbursement"/>
    <m/>
    <s v="N"/>
    <n v="-113.95"/>
    <n v="0"/>
    <x v="3"/>
    <s v="VALIDATED"/>
    <n v="1"/>
    <s v="01.11.80.308.2013.0000"/>
    <n v="-113.95"/>
    <s v="11"/>
    <s v="2013"/>
    <n v="17067.72"/>
    <n v="-113.95"/>
    <s v="CREDITOR"/>
    <n v="0"/>
    <n v="0"/>
    <n v="-113.95"/>
    <n v="0"/>
    <n v="0"/>
  </r>
  <r>
    <n v="60100745"/>
    <s v="N"/>
    <n v="21324390"/>
    <s v="3000014427470034RC"/>
    <s v="CIVIL"/>
    <d v="2023-06-27T00:00:00"/>
    <d v="2023-07-03T19:42:50"/>
    <m/>
    <d v="2023-07-03T00:00:00"/>
    <n v="630"/>
    <n v="16896"/>
    <s v="60100745"/>
    <s v="60100745"/>
    <m/>
    <m/>
    <m/>
    <m/>
    <m/>
    <m/>
    <s v="SOLRECOUP"/>
    <s v="SOLRECOUP"/>
    <s v="POARECOUP"/>
    <n v="21324390"/>
    <n v="-136.74"/>
    <m/>
    <s v="Y"/>
    <n v="2"/>
    <d v="2023-07-03T19:42:51"/>
    <s v="N"/>
    <m/>
    <m/>
    <s v="Expert Disbursement"/>
    <m/>
    <s v="N"/>
    <n v="0"/>
    <n v="-22.79"/>
    <x v="3"/>
    <s v="VALIDATED"/>
    <n v="1"/>
    <s v="01.11.80.308.2013.0000"/>
    <n v="-22.79"/>
    <s v="11"/>
    <s v="2013"/>
    <n v="17067.72"/>
    <n v="-22.79"/>
    <s v="CREDITOR"/>
    <n v="0"/>
    <n v="0"/>
    <n v="-22.79"/>
    <n v="0"/>
    <n v="0"/>
  </r>
  <r>
    <n v="60100745"/>
    <s v="N"/>
    <n v="21324391"/>
    <s v="3000014427470036RC"/>
    <s v="CIVIL"/>
    <d v="2023-06-27T00:00:00"/>
    <d v="2023-07-03T19:42:50"/>
    <m/>
    <d v="2023-07-03T00:00:00"/>
    <n v="630"/>
    <n v="16896"/>
    <s v="60100745"/>
    <s v="60100745"/>
    <m/>
    <m/>
    <m/>
    <m/>
    <m/>
    <m/>
    <s v="SOLRECOUP"/>
    <s v="SOLRECOUP"/>
    <s v="POARECOUP"/>
    <n v="21324391"/>
    <n v="-391.33"/>
    <m/>
    <s v="Y"/>
    <n v="1"/>
    <d v="2023-07-03T19:42:51"/>
    <s v="N"/>
    <m/>
    <m/>
    <s v="Expert Disbursement"/>
    <m/>
    <s v="N"/>
    <n v="-326.11"/>
    <n v="0"/>
    <x v="3"/>
    <s v="VALIDATED"/>
    <n v="1"/>
    <s v="01.11.80.308.2013.0000"/>
    <n v="-326.11"/>
    <s v="11"/>
    <s v="2013"/>
    <n v="17067.72"/>
    <n v="-326.11"/>
    <s v="CREDITOR"/>
    <n v="0"/>
    <n v="0"/>
    <n v="-326.11"/>
    <n v="0"/>
    <n v="0"/>
  </r>
  <r>
    <n v="60100745"/>
    <s v="N"/>
    <n v="21324391"/>
    <s v="3000014427470036RC"/>
    <s v="CIVIL"/>
    <d v="2023-06-27T00:00:00"/>
    <d v="2023-07-03T19:42:50"/>
    <m/>
    <d v="2023-07-03T00:00:00"/>
    <n v="630"/>
    <n v="16896"/>
    <s v="60100745"/>
    <s v="60100745"/>
    <m/>
    <m/>
    <m/>
    <m/>
    <m/>
    <m/>
    <s v="SOLRECOUP"/>
    <s v="SOLRECOUP"/>
    <s v="POARECOUP"/>
    <n v="21324391"/>
    <n v="-391.33"/>
    <m/>
    <s v="Y"/>
    <n v="2"/>
    <d v="2023-07-03T19:42:51"/>
    <s v="N"/>
    <m/>
    <m/>
    <s v="Expert Disbursement"/>
    <m/>
    <s v="N"/>
    <n v="0"/>
    <n v="-65.22"/>
    <x v="3"/>
    <s v="VALIDATED"/>
    <n v="1"/>
    <s v="01.11.80.308.2013.0000"/>
    <n v="-65.22"/>
    <s v="11"/>
    <s v="2013"/>
    <n v="17067.72"/>
    <n v="-65.22"/>
    <s v="CREDITOR"/>
    <n v="0"/>
    <n v="0"/>
    <n v="-65.22"/>
    <n v="0"/>
    <n v="0"/>
  </r>
  <r>
    <n v="60100745"/>
    <s v="N"/>
    <n v="21324392"/>
    <s v="3000014427470031RC"/>
    <s v="CIVIL"/>
    <d v="2023-06-27T00:00:00"/>
    <d v="2023-07-03T19:42:50"/>
    <m/>
    <d v="2023-07-03T00:00:00"/>
    <n v="630"/>
    <n v="16896"/>
    <s v="60100745"/>
    <s v="60100745"/>
    <m/>
    <m/>
    <m/>
    <m/>
    <m/>
    <m/>
    <s v="SOLRECOUP"/>
    <s v="SOLRECOUP"/>
    <s v="POARECOUP"/>
    <n v="21324392"/>
    <n v="-518.24"/>
    <m/>
    <s v="Y"/>
    <n v="1"/>
    <d v="2023-07-03T19:42:51"/>
    <s v="N"/>
    <m/>
    <m/>
    <s v="Expert Disbursement"/>
    <m/>
    <s v="N"/>
    <n v="-431.87"/>
    <n v="0"/>
    <x v="3"/>
    <s v="VALIDATED"/>
    <n v="1"/>
    <s v="01.11.80.308.2013.0000"/>
    <n v="-431.87"/>
    <s v="11"/>
    <s v="2013"/>
    <n v="17067.72"/>
    <n v="-431.87"/>
    <s v="CREDITOR"/>
    <n v="0"/>
    <n v="0"/>
    <n v="-431.87"/>
    <n v="0"/>
    <n v="0"/>
  </r>
  <r>
    <n v="60100745"/>
    <s v="N"/>
    <n v="21324392"/>
    <s v="3000014427470031RC"/>
    <s v="CIVIL"/>
    <d v="2023-06-27T00:00:00"/>
    <d v="2023-07-03T19:42:50"/>
    <m/>
    <d v="2023-07-03T00:00:00"/>
    <n v="630"/>
    <n v="16896"/>
    <s v="60100745"/>
    <s v="60100745"/>
    <m/>
    <m/>
    <m/>
    <m/>
    <m/>
    <m/>
    <s v="SOLRECOUP"/>
    <s v="SOLRECOUP"/>
    <s v="POARECOUP"/>
    <n v="21324392"/>
    <n v="-518.24"/>
    <m/>
    <s v="Y"/>
    <n v="2"/>
    <d v="2023-07-03T19:42:51"/>
    <s v="N"/>
    <m/>
    <m/>
    <s v="Expert Disbursement"/>
    <m/>
    <s v="N"/>
    <n v="0"/>
    <n v="-86.37"/>
    <x v="3"/>
    <s v="VALIDATED"/>
    <n v="1"/>
    <s v="01.11.80.308.2013.0000"/>
    <n v="-86.37"/>
    <s v="11"/>
    <s v="2013"/>
    <n v="17067.72"/>
    <n v="-86.37"/>
    <s v="CREDITOR"/>
    <n v="0"/>
    <n v="0"/>
    <n v="-86.37"/>
    <n v="0"/>
    <n v="0"/>
  </r>
  <r>
    <n v="60100745"/>
    <s v="N"/>
    <n v="21324393"/>
    <s v="3000014427470033RC"/>
    <s v="CIVIL"/>
    <d v="2023-06-27T00:00:00"/>
    <d v="2023-07-03T19:42:50"/>
    <m/>
    <d v="2023-07-03T00:00:00"/>
    <n v="630"/>
    <n v="16896"/>
    <s v="60100745"/>
    <s v="60100745"/>
    <m/>
    <m/>
    <m/>
    <m/>
    <m/>
    <m/>
    <s v="SOLRECOUP"/>
    <s v="SOLRECOUP"/>
    <s v="POARECOUP"/>
    <n v="21324393"/>
    <n v="-67.2"/>
    <m/>
    <s v="Y"/>
    <n v="2"/>
    <d v="2023-07-03T19:42:51"/>
    <s v="N"/>
    <m/>
    <m/>
    <s v="Expert Disbursement"/>
    <m/>
    <s v="N"/>
    <n v="0"/>
    <n v="-11.2"/>
    <x v="3"/>
    <s v="VALIDATED"/>
    <n v="1"/>
    <s v="01.11.80.308.2013.0000"/>
    <n v="-11.2"/>
    <s v="11"/>
    <s v="2013"/>
    <n v="17067.72"/>
    <n v="-11.2"/>
    <s v="CREDITOR"/>
    <n v="0"/>
    <n v="0"/>
    <n v="-11.2"/>
    <n v="0"/>
    <n v="0"/>
  </r>
  <r>
    <n v="60100745"/>
    <s v="N"/>
    <n v="21324393"/>
    <s v="3000014427470033RC"/>
    <s v="CIVIL"/>
    <d v="2023-06-27T00:00:00"/>
    <d v="2023-07-03T19:42:50"/>
    <m/>
    <d v="2023-07-03T00:00:00"/>
    <n v="630"/>
    <n v="16896"/>
    <s v="60100745"/>
    <s v="60100745"/>
    <m/>
    <m/>
    <m/>
    <m/>
    <m/>
    <m/>
    <s v="SOLRECOUP"/>
    <s v="SOLRECOUP"/>
    <s v="POARECOUP"/>
    <n v="21324393"/>
    <n v="-67.2"/>
    <m/>
    <s v="Y"/>
    <n v="1"/>
    <d v="2023-07-03T19:42:51"/>
    <s v="N"/>
    <m/>
    <m/>
    <s v="Expert Disbursement"/>
    <m/>
    <s v="N"/>
    <n v="-56"/>
    <n v="0"/>
    <x v="3"/>
    <s v="VALIDATED"/>
    <n v="1"/>
    <s v="01.11.80.308.2013.0000"/>
    <n v="-56"/>
    <s v="11"/>
    <s v="2013"/>
    <n v="17067.72"/>
    <n v="-56"/>
    <s v="CREDITOR"/>
    <n v="0"/>
    <n v="0"/>
    <n v="-56"/>
    <n v="0"/>
    <n v="0"/>
  </r>
  <r>
    <n v="60100745"/>
    <s v="N"/>
    <n v="21324394"/>
    <s v="3000014427470038RC"/>
    <s v="CIVIL"/>
    <d v="2023-06-27T00:00:00"/>
    <d v="2023-07-03T19:42:50"/>
    <m/>
    <d v="2023-07-03T00:00:00"/>
    <n v="630"/>
    <n v="16896"/>
    <s v="60100745"/>
    <s v="60100745"/>
    <m/>
    <m/>
    <m/>
    <m/>
    <m/>
    <m/>
    <s v="SOLRECOUP"/>
    <s v="SOLRECOUP"/>
    <s v="POARECOUP"/>
    <n v="21324394"/>
    <n v="-151.2"/>
    <m/>
    <s v="Y"/>
    <n v="2"/>
    <d v="2023-07-03T19:42:51"/>
    <s v="N"/>
    <m/>
    <m/>
    <s v="Expert Disbursement"/>
    <m/>
    <s v="N"/>
    <n v="0"/>
    <n v="-25.2"/>
    <x v="3"/>
    <s v="VALIDATED"/>
    <n v="1"/>
    <s v="01.11.80.308.2013.0000"/>
    <n v="-25.2"/>
    <s v="11"/>
    <s v="2013"/>
    <n v="17067.72"/>
    <n v="-25.2"/>
    <s v="CREDITOR"/>
    <n v="0"/>
    <n v="0"/>
    <n v="-25.2"/>
    <n v="0"/>
    <n v="0"/>
  </r>
  <r>
    <n v="60100745"/>
    <s v="N"/>
    <n v="21324394"/>
    <s v="3000014427470038RC"/>
    <s v="CIVIL"/>
    <d v="2023-06-27T00:00:00"/>
    <d v="2023-07-03T19:42:50"/>
    <m/>
    <d v="2023-07-03T00:00:00"/>
    <n v="630"/>
    <n v="16896"/>
    <s v="60100745"/>
    <s v="60100745"/>
    <m/>
    <m/>
    <m/>
    <m/>
    <m/>
    <m/>
    <s v="SOLRECOUP"/>
    <s v="SOLRECOUP"/>
    <s v="POARECOUP"/>
    <n v="21324394"/>
    <n v="-151.2"/>
    <m/>
    <s v="Y"/>
    <n v="1"/>
    <d v="2023-07-03T19:42:51"/>
    <s v="N"/>
    <m/>
    <m/>
    <s v="Expert Disbursement"/>
    <m/>
    <s v="N"/>
    <n v="-126"/>
    <n v="0"/>
    <x v="3"/>
    <s v="VALIDATED"/>
    <n v="1"/>
    <s v="01.11.80.308.2013.0000"/>
    <n v="-126"/>
    <s v="11"/>
    <s v="2013"/>
    <n v="17067.72"/>
    <n v="-126"/>
    <s v="CREDITOR"/>
    <n v="0"/>
    <n v="0"/>
    <n v="-126"/>
    <n v="0"/>
    <n v="0"/>
  </r>
  <r>
    <n v="60100745"/>
    <s v="N"/>
    <n v="21320177"/>
    <s v="3000014427470039"/>
    <s v="CIVIL"/>
    <d v="2023-06-27T00:00:00"/>
    <d v="2023-07-03T19:04:24"/>
    <m/>
    <d v="2023-07-03T00:00:00"/>
    <n v="630"/>
    <n v="16896"/>
    <s v="60100745"/>
    <s v="60100745"/>
    <m/>
    <m/>
    <n v="22768946"/>
    <m/>
    <m/>
    <m/>
    <s v="SOLFIN"/>
    <s v="SOLFIN"/>
    <s v="CCMS"/>
    <n v="21320177"/>
    <n v="32184.08"/>
    <m/>
    <s v="N"/>
    <n v="36"/>
    <d v="2023-07-03T19:04:30"/>
    <s v="Y"/>
    <s v="Toxicologist"/>
    <s v="VHCC"/>
    <s v="Expert Disbursement"/>
    <s v="Gemma Galvani"/>
    <s v="Y"/>
    <n v="387.67"/>
    <n v="77.53"/>
    <x v="3"/>
    <s v="VALIDATED"/>
    <n v="1"/>
    <s v="01.11.80.308.6300.0000"/>
    <n v="387.67"/>
    <s v="11"/>
    <s v="6300"/>
    <n v="17067.72"/>
    <n v="387.67"/>
    <s v="CREDITOR"/>
    <n v="0"/>
    <n v="0"/>
    <n v="0"/>
    <n v="0"/>
    <n v="387.67"/>
  </r>
  <r>
    <n v="60100745"/>
    <s v="N"/>
    <n v="21320177"/>
    <s v="3000014427470039"/>
    <s v="CIVIL"/>
    <d v="2023-06-27T00:00:00"/>
    <d v="2023-07-03T19:04:24"/>
    <m/>
    <d v="2023-07-03T00:00:00"/>
    <n v="630"/>
    <n v="16896"/>
    <s v="60100745"/>
    <s v="60100745"/>
    <m/>
    <m/>
    <n v="22768946"/>
    <m/>
    <m/>
    <m/>
    <s v="SOLFIN"/>
    <s v="SOLFIN"/>
    <s v="CCMS"/>
    <n v="21320177"/>
    <n v="32184.08"/>
    <m/>
    <s v="N"/>
    <n v="19"/>
    <d v="2023-07-03T19:04:30"/>
    <s v="Y"/>
    <s v="Court Fee"/>
    <s v="VHCC"/>
    <s v="Non Expert Disbursement"/>
    <s v="Gemma Galvani"/>
    <s v="Y"/>
    <n v="167"/>
    <n v="0"/>
    <x v="3"/>
    <s v="VALIDATED"/>
    <n v="1"/>
    <s v="01.11.80.308.6300.0000"/>
    <n v="167"/>
    <s v="11"/>
    <s v="6300"/>
    <n v="17067.72"/>
    <n v="167"/>
    <s v="CREDITOR"/>
    <n v="0"/>
    <n v="0"/>
    <n v="0"/>
    <n v="0"/>
    <n v="167"/>
  </r>
  <r>
    <n v="61004276"/>
    <s v="N"/>
    <n v="21319139"/>
    <s v="3000015209550003"/>
    <s v="CIVIL"/>
    <d v="2023-06-25T00:00:00"/>
    <d v="2023-07-03T19:01:49"/>
    <m/>
    <d v="2023-07-03T00:00:00"/>
    <n v="630"/>
    <n v="16896"/>
    <s v="61004276"/>
    <s v="61004276"/>
    <m/>
    <m/>
    <n v="22757062"/>
    <m/>
    <m/>
    <m/>
    <s v="SOLFIN"/>
    <s v="SOLFIN"/>
    <s v="CCMS"/>
    <n v="21319139"/>
    <n v="5453.69"/>
    <m/>
    <s v="N"/>
    <n v="3"/>
    <d v="2023-07-03T19:02:12"/>
    <s v="Y"/>
    <s v="Final Hearing Court Bundle/Advocate"/>
    <s v="Public Law Children"/>
    <s v="Advocacy"/>
    <s v="Ian Berkley-Hurst"/>
    <s v="Y"/>
    <n v="159.3"/>
    <n v="31.86"/>
    <x v="3"/>
    <s v="VALIDATED"/>
    <n v="1"/>
    <s v="01.11.80.308.6100.0000"/>
    <n v="159.3"/>
    <s v="11"/>
    <s v="6100"/>
    <n v="17067.72"/>
    <n v="159.3"/>
    <s v="CREDITOR"/>
    <n v="0"/>
    <n v="0"/>
    <n v="0"/>
    <n v="0"/>
    <n v="159.3"/>
  </r>
  <r>
    <n v="61004276"/>
    <s v="N"/>
    <n v="21319139"/>
    <s v="3000015209550003"/>
    <s v="CIVIL"/>
    <d v="2023-06-25T00:00:00"/>
    <d v="2023-07-03T19:01:49"/>
    <m/>
    <d v="2023-07-03T00:00:00"/>
    <n v="630"/>
    <n v="16896"/>
    <s v="61004276"/>
    <s v="61004276"/>
    <m/>
    <m/>
    <n v="22757062"/>
    <m/>
    <m/>
    <m/>
    <s v="SOLFIN"/>
    <s v="SOLFIN"/>
    <s v="CCMS"/>
    <n v="21319139"/>
    <n v="5453.69"/>
    <m/>
    <s v="N"/>
    <n v="8"/>
    <d v="2023-07-03T19:02:12"/>
    <s v="Y"/>
    <s v="Hearing Unit 2.31 - 5.00 Hours"/>
    <s v="Public Law Children"/>
    <s v="Advocacy"/>
    <s v="Gemma Galvani"/>
    <s v="Y"/>
    <n v="476.92"/>
    <n v="95.38"/>
    <x v="3"/>
    <s v="VALIDATED"/>
    <n v="1"/>
    <s v="01.11.80.308.6100.0000"/>
    <n v="476.92"/>
    <s v="11"/>
    <s v="6100"/>
    <n v="17067.72"/>
    <n v="476.92"/>
    <s v="CREDITOR"/>
    <n v="0"/>
    <n v="0"/>
    <n v="0"/>
    <n v="0"/>
    <n v="476.92"/>
  </r>
  <r>
    <n v="61004276"/>
    <s v="N"/>
    <n v="21319139"/>
    <s v="3000015209550003"/>
    <s v="CIVIL"/>
    <d v="2023-06-25T00:00:00"/>
    <d v="2023-07-03T19:01:49"/>
    <m/>
    <d v="2023-07-03T00:00:00"/>
    <n v="630"/>
    <n v="16896"/>
    <s v="61004276"/>
    <s v="61004276"/>
    <m/>
    <m/>
    <n v="22757062"/>
    <m/>
    <m/>
    <m/>
    <s v="SOLFIN"/>
    <s v="SOLFIN"/>
    <s v="CCMS"/>
    <n v="21319139"/>
    <n v="5453.69"/>
    <m/>
    <s v="N"/>
    <n v="6"/>
    <d v="2023-07-03T19:02:12"/>
    <s v="Y"/>
    <s v="Solicitor Travel Mileage"/>
    <s v="Public Law Children"/>
    <s v="Non Expert Disbursement"/>
    <s v="Ian Berkley-Hurst"/>
    <s v="Y"/>
    <n v="25.2"/>
    <n v="5.04"/>
    <x v="3"/>
    <s v="VALIDATED"/>
    <n v="1"/>
    <s v="01.11.80.308.6300.0000"/>
    <n v="25.2"/>
    <s v="11"/>
    <s v="6300"/>
    <n v="17067.72"/>
    <n v="25.2"/>
    <s v="CREDITOR"/>
    <n v="0"/>
    <n v="0"/>
    <n v="0"/>
    <n v="0"/>
    <n v="25.2"/>
  </r>
  <r>
    <n v="60100745"/>
    <s v="N"/>
    <n v="21320177"/>
    <s v="3000014427470039"/>
    <s v="CIVIL"/>
    <d v="2023-06-27T00:00:00"/>
    <d v="2023-07-03T19:04:24"/>
    <m/>
    <d v="2023-07-03T00:00:00"/>
    <n v="630"/>
    <n v="16896"/>
    <s v="60100745"/>
    <s v="60100745"/>
    <m/>
    <m/>
    <n v="22768946"/>
    <m/>
    <m/>
    <m/>
    <s v="SOLFIN"/>
    <s v="SOLFIN"/>
    <s v="CCMS"/>
    <n v="21320177"/>
    <n v="32184.08"/>
    <m/>
    <s v="N"/>
    <n v="2"/>
    <d v="2023-07-03T19:04:30"/>
    <s v="Y"/>
    <s v="Interpreter"/>
    <s v="VHCC"/>
    <s v="Expert Disbursement"/>
    <s v="Gemma Galvani"/>
    <s v="Y"/>
    <n v="56"/>
    <n v="11.2"/>
    <x v="3"/>
    <s v="VALIDATED"/>
    <n v="1"/>
    <s v="01.11.80.308.6300.0000"/>
    <n v="56"/>
    <s v="11"/>
    <s v="6300"/>
    <n v="17067.72"/>
    <n v="56"/>
    <s v="CREDITOR"/>
    <n v="0"/>
    <n v="0"/>
    <n v="0"/>
    <n v="0"/>
    <n v="56"/>
  </r>
  <r>
    <n v="61004276"/>
    <s v="N"/>
    <n v="21319139"/>
    <s v="3000015209550003"/>
    <s v="CIVIL"/>
    <d v="2023-06-25T00:00:00"/>
    <d v="2023-07-03T19:01:49"/>
    <m/>
    <d v="2023-07-03T00:00:00"/>
    <n v="630"/>
    <n v="16896"/>
    <s v="61004276"/>
    <s v="61004276"/>
    <m/>
    <m/>
    <n v="22757062"/>
    <m/>
    <m/>
    <m/>
    <s v="SOLFIN"/>
    <s v="SOLFIN"/>
    <s v="CCMS"/>
    <n v="21319139"/>
    <n v="5453.69"/>
    <m/>
    <s v="N"/>
    <n v="5"/>
    <d v="2023-07-03T19:02:12"/>
    <s v="Y"/>
    <s v="Solicitor Travel Expenses"/>
    <s v="Public Law Children"/>
    <s v="Non Expert Disbursement"/>
    <s v="Gemma Galvani"/>
    <s v="Y"/>
    <n v="3.25"/>
    <n v="0.65"/>
    <x v="3"/>
    <s v="VALIDATED"/>
    <n v="1"/>
    <s v="01.11.80.308.6300.0000"/>
    <n v="3.25"/>
    <s v="11"/>
    <s v="6300"/>
    <n v="17067.72"/>
    <n v="3.25"/>
    <s v="CREDITOR"/>
    <n v="0"/>
    <n v="0"/>
    <n v="0"/>
    <n v="0"/>
    <n v="3.25"/>
  </r>
  <r>
    <n v="61004276"/>
    <s v="N"/>
    <n v="21319139"/>
    <s v="3000015209550003"/>
    <s v="CIVIL"/>
    <d v="2023-06-25T00:00:00"/>
    <d v="2023-07-03T19:01:49"/>
    <m/>
    <d v="2023-07-03T00:00:00"/>
    <n v="630"/>
    <n v="16896"/>
    <s v="61004276"/>
    <s v="61004276"/>
    <m/>
    <m/>
    <n v="22757062"/>
    <m/>
    <m/>
    <m/>
    <s v="SOLFIN"/>
    <s v="SOLFIN"/>
    <s v="CCMS"/>
    <n v="21319139"/>
    <n v="5453.69"/>
    <m/>
    <s v="N"/>
    <n v="7"/>
    <d v="2023-07-03T19:02:12"/>
    <s v="Y"/>
    <s v="Advocates Meeting"/>
    <s v="Public Law Children"/>
    <s v="Advocacy"/>
    <s v="Ian Berkley-Hurst"/>
    <s v="Y"/>
    <n v="140.99"/>
    <n v="28.2"/>
    <x v="3"/>
    <s v="VALIDATED"/>
    <n v="1"/>
    <s v="01.11.80.308.6100.0000"/>
    <n v="140.99"/>
    <s v="11"/>
    <s v="6100"/>
    <n v="17067.72"/>
    <n v="140.99"/>
    <s v="CREDITOR"/>
    <n v="0"/>
    <n v="0"/>
    <n v="0"/>
    <n v="0"/>
    <n v="140.99"/>
  </r>
  <r>
    <n v="60100745"/>
    <s v="N"/>
    <n v="21320177"/>
    <s v="3000014427470039"/>
    <s v="CIVIL"/>
    <d v="2023-06-27T00:00:00"/>
    <d v="2023-07-03T19:04:24"/>
    <m/>
    <d v="2023-07-03T00:00:00"/>
    <n v="630"/>
    <n v="16896"/>
    <s v="60100745"/>
    <s v="60100745"/>
    <m/>
    <m/>
    <n v="22768946"/>
    <m/>
    <m/>
    <m/>
    <s v="SOLFIN"/>
    <s v="SOLFIN"/>
    <s v="CCMS"/>
    <n v="21320177"/>
    <n v="32184.08"/>
    <m/>
    <s v="N"/>
    <n v="28"/>
    <d v="2023-07-03T19:04:30"/>
    <s v="Y"/>
    <s v="Court Fee"/>
    <s v="VHCC"/>
    <s v="Non Expert Disbursement"/>
    <s v="Gemma Galvani"/>
    <s v="Y"/>
    <n v="167"/>
    <n v="0"/>
    <x v="3"/>
    <s v="VALIDATED"/>
    <n v="1"/>
    <s v="01.11.80.308.6300.0000"/>
    <n v="167"/>
    <s v="11"/>
    <s v="6300"/>
    <n v="17067.72"/>
    <n v="167"/>
    <s v="CREDITOR"/>
    <n v="0"/>
    <n v="0"/>
    <n v="0"/>
    <n v="0"/>
    <n v="167"/>
  </r>
  <r>
    <n v="60100745"/>
    <s v="N"/>
    <n v="21320177"/>
    <s v="3000014427470039"/>
    <s v="CIVIL"/>
    <d v="2023-06-27T00:00:00"/>
    <d v="2023-07-03T19:04:24"/>
    <m/>
    <d v="2023-07-03T00:00:00"/>
    <n v="630"/>
    <n v="16896"/>
    <s v="60100745"/>
    <s v="60100745"/>
    <m/>
    <m/>
    <n v="22768946"/>
    <m/>
    <m/>
    <m/>
    <s v="SOLFIN"/>
    <s v="SOLFIN"/>
    <s v="CCMS"/>
    <n v="21320177"/>
    <n v="32184.08"/>
    <m/>
    <s v="N"/>
    <n v="20"/>
    <d v="2023-07-03T19:04:30"/>
    <s v="Y"/>
    <s v="Psychologist"/>
    <s v="VHCC"/>
    <s v="Expert Disbursement"/>
    <s v="Gemma Galvani"/>
    <s v="Y"/>
    <n v="1194.82"/>
    <n v="238.96"/>
    <x v="3"/>
    <s v="VALIDATED"/>
    <n v="1"/>
    <s v="01.11.80.308.6300.0000"/>
    <n v="1194.82"/>
    <s v="11"/>
    <s v="6300"/>
    <n v="17067.72"/>
    <n v="1194.82"/>
    <s v="CREDITOR"/>
    <n v="0"/>
    <n v="0"/>
    <n v="0"/>
    <n v="0"/>
    <n v="1194.82"/>
  </r>
  <r>
    <n v="60100745"/>
    <s v="N"/>
    <n v="21320177"/>
    <s v="3000014427470039"/>
    <s v="CIVIL"/>
    <d v="2023-06-27T00:00:00"/>
    <d v="2023-07-03T19:04:24"/>
    <m/>
    <d v="2023-07-03T00:00:00"/>
    <n v="630"/>
    <n v="16896"/>
    <s v="60100745"/>
    <s v="60100745"/>
    <m/>
    <m/>
    <n v="22768946"/>
    <m/>
    <m/>
    <m/>
    <s v="SOLFIN"/>
    <s v="SOLFIN"/>
    <s v="CCMS"/>
    <n v="21320177"/>
    <n v="32184.08"/>
    <m/>
    <s v="N"/>
    <n v="27"/>
    <d v="2023-07-03T19:04:30"/>
    <s v="Y"/>
    <s v="Interpreter"/>
    <s v="VHCC"/>
    <s v="Expert Disbursement"/>
    <s v="Gemma Galvani"/>
    <s v="Y"/>
    <n v="1764"/>
    <n v="352.8"/>
    <x v="3"/>
    <s v="VALIDATED"/>
    <n v="1"/>
    <s v="01.11.80.308.6300.0000"/>
    <n v="1764"/>
    <s v="11"/>
    <s v="6300"/>
    <n v="17067.72"/>
    <n v="1764"/>
    <s v="CREDITOR"/>
    <n v="0"/>
    <n v="0"/>
    <n v="0"/>
    <n v="0"/>
    <n v="1764"/>
  </r>
  <r>
    <n v="60100745"/>
    <s v="N"/>
    <n v="21320177"/>
    <s v="3000014427470039"/>
    <s v="CIVIL"/>
    <d v="2023-06-27T00:00:00"/>
    <d v="2023-07-03T19:04:24"/>
    <m/>
    <d v="2023-07-03T00:00:00"/>
    <n v="630"/>
    <n v="16896"/>
    <s v="60100745"/>
    <s v="60100745"/>
    <m/>
    <m/>
    <n v="22768946"/>
    <m/>
    <m/>
    <m/>
    <s v="SOLFIN"/>
    <s v="SOLFIN"/>
    <s v="CCMS"/>
    <n v="21320177"/>
    <n v="32184.08"/>
    <m/>
    <s v="N"/>
    <n v="33"/>
    <d v="2023-07-03T19:04:30"/>
    <s v="Y"/>
    <s v="Interpreter"/>
    <s v="VHCC"/>
    <s v="Expert Disbursement"/>
    <s v="Gemma Galvani"/>
    <s v="Y"/>
    <n v="255.09"/>
    <n v="51.02"/>
    <x v="3"/>
    <s v="VALIDATED"/>
    <n v="1"/>
    <s v="01.11.80.308.6300.0000"/>
    <n v="255.09"/>
    <s v="11"/>
    <s v="6300"/>
    <n v="17067.72"/>
    <n v="255.09"/>
    <s v="CREDITOR"/>
    <n v="0"/>
    <n v="0"/>
    <n v="0"/>
    <n v="0"/>
    <n v="255.09"/>
  </r>
  <r>
    <n v="60100745"/>
    <s v="N"/>
    <n v="21320177"/>
    <s v="3000014427470039"/>
    <s v="CIVIL"/>
    <d v="2023-06-27T00:00:00"/>
    <d v="2023-07-03T19:04:24"/>
    <m/>
    <d v="2023-07-03T00:00:00"/>
    <n v="630"/>
    <n v="16896"/>
    <s v="60100745"/>
    <s v="60100745"/>
    <m/>
    <m/>
    <n v="22768946"/>
    <m/>
    <m/>
    <m/>
    <s v="SOLFIN"/>
    <s v="SOLFIN"/>
    <s v="CCMS"/>
    <n v="21320177"/>
    <n v="32184.08"/>
    <m/>
    <s v="N"/>
    <n v="3"/>
    <d v="2023-07-03T19:04:30"/>
    <s v="Y"/>
    <s v="Expert - Other"/>
    <s v="VHCC"/>
    <s v="Expert Disbursement"/>
    <s v="Gemma Galvani"/>
    <s v="Y"/>
    <n v="113.95"/>
    <n v="22.79"/>
    <x v="3"/>
    <s v="VALIDATED"/>
    <n v="1"/>
    <s v="01.11.80.308.6300.0000"/>
    <n v="113.95"/>
    <s v="11"/>
    <s v="6300"/>
    <n v="17067.72"/>
    <n v="113.95"/>
    <s v="CREDITOR"/>
    <n v="0"/>
    <n v="0"/>
    <n v="0"/>
    <n v="0"/>
    <n v="113.95"/>
  </r>
  <r>
    <n v="61004276"/>
    <s v="N"/>
    <n v="21319139"/>
    <s v="3000015209550003"/>
    <s v="CIVIL"/>
    <d v="2023-06-25T00:00:00"/>
    <d v="2023-07-03T19:01:49"/>
    <m/>
    <d v="2023-07-03T00:00:00"/>
    <n v="630"/>
    <n v="16896"/>
    <s v="61004276"/>
    <s v="61004276"/>
    <m/>
    <m/>
    <n v="22757062"/>
    <m/>
    <m/>
    <m/>
    <s v="SOLFIN"/>
    <s v="SOLFIN"/>
    <s v="CCMS"/>
    <n v="21319139"/>
    <n v="5453.69"/>
    <m/>
    <s v="N"/>
    <n v="10"/>
    <d v="2023-07-03T19:02:12"/>
    <s v="Y"/>
    <s v="Hearing Unit 2.31 - 5.00 Hours"/>
    <s v="Public Law Children"/>
    <s v="Advocacy"/>
    <s v="Gemma Galvani"/>
    <s v="Y"/>
    <n v="476.92"/>
    <n v="95.38"/>
    <x v="3"/>
    <s v="VALIDATED"/>
    <n v="1"/>
    <s v="01.11.80.308.6100.0000"/>
    <n v="476.92"/>
    <s v="11"/>
    <s v="6100"/>
    <n v="17067.72"/>
    <n v="476.92"/>
    <s v="CREDITOR"/>
    <n v="0"/>
    <n v="0"/>
    <n v="0"/>
    <n v="0"/>
    <n v="476.92"/>
  </r>
  <r>
    <n v="60100745"/>
    <s v="N"/>
    <n v="21320177"/>
    <s v="3000014427470039"/>
    <s v="CIVIL"/>
    <d v="2023-06-27T00:00:00"/>
    <d v="2023-07-03T19:04:24"/>
    <m/>
    <d v="2023-07-03T00:00:00"/>
    <n v="630"/>
    <n v="16896"/>
    <s v="60100745"/>
    <s v="60100745"/>
    <m/>
    <m/>
    <n v="22768946"/>
    <m/>
    <m/>
    <m/>
    <s v="SOLFIN"/>
    <s v="SOLFIN"/>
    <s v="CCMS"/>
    <n v="21320177"/>
    <n v="32184.08"/>
    <m/>
    <s v="N"/>
    <n v="23"/>
    <d v="2023-07-03T19:04:30"/>
    <s v="Y"/>
    <s v="Under-Run Payment (Events Model)"/>
    <s v="VHCC"/>
    <s v="Profit Cost"/>
    <s v="Gemma Galvani"/>
    <s v="Y"/>
    <n v="850"/>
    <n v="170"/>
    <x v="3"/>
    <s v="VALIDATED"/>
    <n v="1"/>
    <s v="01.11.80.308.6100.0000"/>
    <n v="850"/>
    <s v="11"/>
    <s v="6100"/>
    <n v="17067.72"/>
    <n v="850"/>
    <s v="CREDITOR"/>
    <n v="0"/>
    <n v="0"/>
    <n v="0"/>
    <n v="0"/>
    <n v="850"/>
  </r>
  <r>
    <n v="60100745"/>
    <s v="N"/>
    <n v="21320177"/>
    <s v="3000014427470039"/>
    <s v="CIVIL"/>
    <d v="2023-06-27T00:00:00"/>
    <d v="2023-07-03T19:04:24"/>
    <m/>
    <d v="2023-07-03T00:00:00"/>
    <n v="630"/>
    <n v="16896"/>
    <s v="60100745"/>
    <s v="60100745"/>
    <m/>
    <m/>
    <n v="22768946"/>
    <m/>
    <m/>
    <m/>
    <s v="SOLFIN"/>
    <s v="SOLFIN"/>
    <s v="CCMS"/>
    <n v="21320177"/>
    <n v="32184.08"/>
    <m/>
    <s v="N"/>
    <n v="38"/>
    <d v="2023-07-03T19:04:30"/>
    <s v="Y"/>
    <s v="Advocates Meeting (Events Model)"/>
    <s v="VHCC"/>
    <s v="Profit Cost"/>
    <s v="Gemma Galvani"/>
    <s v="Y"/>
    <n v="1157"/>
    <n v="231.4"/>
    <x v="3"/>
    <s v="VALIDATED"/>
    <n v="1"/>
    <s v="01.11.80.308.6100.0000"/>
    <n v="1157"/>
    <s v="11"/>
    <s v="6100"/>
    <n v="17067.72"/>
    <n v="1157"/>
    <s v="CREDITOR"/>
    <n v="0"/>
    <n v="0"/>
    <n v="0"/>
    <n v="0"/>
    <n v="1157"/>
  </r>
  <r>
    <n v="60100745"/>
    <s v="N"/>
    <n v="21320177"/>
    <s v="3000014427470039"/>
    <s v="CIVIL"/>
    <d v="2023-06-27T00:00:00"/>
    <d v="2023-07-03T19:04:24"/>
    <m/>
    <d v="2023-07-03T00:00:00"/>
    <n v="630"/>
    <n v="16896"/>
    <s v="60100745"/>
    <s v="60100745"/>
    <m/>
    <m/>
    <n v="22768946"/>
    <m/>
    <m/>
    <m/>
    <s v="SOLFIN"/>
    <s v="SOLFIN"/>
    <s v="CCMS"/>
    <n v="21320177"/>
    <n v="32184.08"/>
    <m/>
    <s v="N"/>
    <n v="12"/>
    <d v="2023-07-03T19:04:30"/>
    <s v="Y"/>
    <s v="Child psychologist"/>
    <s v="VHCC"/>
    <s v="Expert Disbursement"/>
    <s v="Gemma Galvani"/>
    <s v="Y"/>
    <n v="1619.33"/>
    <n v="323.87"/>
    <x v="3"/>
    <s v="VALIDATED"/>
    <n v="1"/>
    <s v="01.11.80.308.6300.0000"/>
    <n v="1619.33"/>
    <s v="11"/>
    <s v="6300"/>
    <n v="17067.72"/>
    <n v="1619.33"/>
    <s v="CREDITOR"/>
    <n v="0"/>
    <n v="0"/>
    <n v="0"/>
    <n v="0"/>
    <n v="1619.33"/>
  </r>
  <r>
    <n v="60100745"/>
    <s v="N"/>
    <n v="21320177"/>
    <s v="3000014427470039"/>
    <s v="CIVIL"/>
    <d v="2023-06-27T00:00:00"/>
    <d v="2023-07-03T19:04:24"/>
    <m/>
    <d v="2023-07-03T00:00:00"/>
    <n v="630"/>
    <n v="16896"/>
    <s v="60100745"/>
    <s v="60100745"/>
    <m/>
    <m/>
    <n v="22768946"/>
    <m/>
    <m/>
    <m/>
    <s v="SOLFIN"/>
    <s v="SOLFIN"/>
    <s v="CCMS"/>
    <n v="21320177"/>
    <n v="32184.08"/>
    <m/>
    <s v="N"/>
    <n v="14"/>
    <d v="2023-07-03T19:04:30"/>
    <s v="Y"/>
    <s v="Toxicologist"/>
    <s v="VHCC"/>
    <s v="Expert Disbursement"/>
    <s v="Gemma Galvani"/>
    <s v="Y"/>
    <n v="383"/>
    <n v="76.59999999999999"/>
    <x v="3"/>
    <s v="VALIDATED"/>
    <n v="1"/>
    <s v="01.11.80.308.6300.0000"/>
    <n v="383"/>
    <s v="11"/>
    <s v="6300"/>
    <n v="17067.72"/>
    <n v="383"/>
    <s v="CREDITOR"/>
    <n v="0"/>
    <n v="0"/>
    <n v="0"/>
    <n v="0"/>
    <n v="383"/>
  </r>
  <r>
    <n v="60100745"/>
    <s v="N"/>
    <n v="21320177"/>
    <s v="3000014427470039"/>
    <s v="CIVIL"/>
    <d v="2023-06-27T00:00:00"/>
    <d v="2023-07-03T19:04:24"/>
    <m/>
    <d v="2023-07-03T00:00:00"/>
    <n v="630"/>
    <n v="16896"/>
    <s v="60100745"/>
    <s v="60100745"/>
    <m/>
    <m/>
    <n v="22768946"/>
    <m/>
    <m/>
    <m/>
    <s v="SOLFIN"/>
    <s v="SOLFIN"/>
    <s v="CCMS"/>
    <n v="21320177"/>
    <n v="32184.08"/>
    <m/>
    <s v="N"/>
    <n v="32"/>
    <d v="2023-07-03T19:04:30"/>
    <s v="Y"/>
    <s v="Interim/Directions/Review Hearing ("/>
    <s v="VHCC"/>
    <s v="Profit Cost"/>
    <s v="Gemma Galvani"/>
    <s v="Y"/>
    <n v="3471"/>
    <n v="694.2"/>
    <x v="3"/>
    <s v="VALIDATED"/>
    <n v="1"/>
    <s v="01.11.80.308.6100.0000"/>
    <n v="3471"/>
    <s v="11"/>
    <s v="6100"/>
    <n v="17067.72"/>
    <n v="3471"/>
    <s v="CREDITOR"/>
    <n v="0"/>
    <n v="0"/>
    <n v="0"/>
    <n v="0"/>
    <n v="3471"/>
  </r>
  <r>
    <n v="60100745"/>
    <s v="N"/>
    <n v="21320177"/>
    <s v="3000014427470039"/>
    <s v="CIVIL"/>
    <d v="2023-06-27T00:00:00"/>
    <d v="2023-07-03T19:04:24"/>
    <m/>
    <d v="2023-07-03T00:00:00"/>
    <n v="630"/>
    <n v="16896"/>
    <s v="60100745"/>
    <s v="60100745"/>
    <m/>
    <m/>
    <n v="22768946"/>
    <m/>
    <m/>
    <m/>
    <s v="SOLFIN"/>
    <s v="SOLFIN"/>
    <s v="CCMS"/>
    <n v="21320177"/>
    <n v="32184.08"/>
    <m/>
    <s v="N"/>
    <n v="29"/>
    <d v="2023-07-03T19:04:30"/>
    <s v="Y"/>
    <s v="Pre-Hearing Review (Events Model)"/>
    <s v="VHCC"/>
    <s v="Profit Cost"/>
    <s v="Gemma Galvani"/>
    <s v="Y"/>
    <n v="1414"/>
    <n v="282.8"/>
    <x v="3"/>
    <s v="VALIDATED"/>
    <n v="1"/>
    <s v="01.11.80.308.6100.0000"/>
    <n v="1414"/>
    <s v="11"/>
    <s v="6100"/>
    <n v="17067.72"/>
    <n v="1414"/>
    <s v="CREDITOR"/>
    <n v="0"/>
    <n v="0"/>
    <n v="0"/>
    <n v="0"/>
    <n v="1414"/>
  </r>
  <r>
    <n v="61004276"/>
    <s v="N"/>
    <n v="21319139"/>
    <s v="3000015209550003"/>
    <s v="CIVIL"/>
    <d v="2023-06-25T00:00:00"/>
    <d v="2023-07-03T19:01:49"/>
    <m/>
    <d v="2023-07-03T00:00:00"/>
    <n v="630"/>
    <n v="16896"/>
    <s v="61004276"/>
    <s v="61004276"/>
    <m/>
    <m/>
    <n v="22757062"/>
    <m/>
    <m/>
    <m/>
    <s v="SOLFIN"/>
    <s v="SOLFIN"/>
    <s v="CCMS"/>
    <n v="21319139"/>
    <n v="5453.69"/>
    <m/>
    <s v="N"/>
    <n v="9"/>
    <d v="2023-07-03T19:02:12"/>
    <s v="Y"/>
    <s v="Final Hearing - 1 Day"/>
    <s v="Public Law Children"/>
    <s v="Advocacy"/>
    <s v="Ian Berkley-Hurst"/>
    <s v="Y"/>
    <n v="556.88"/>
    <n v="111.38"/>
    <x v="3"/>
    <s v="VALIDATED"/>
    <n v="1"/>
    <s v="01.11.80.308.6100.0000"/>
    <n v="556.88"/>
    <s v="11"/>
    <s v="6100"/>
    <n v="17067.72"/>
    <n v="556.88"/>
    <s v="CREDITOR"/>
    <n v="0"/>
    <n v="0"/>
    <n v="0"/>
    <n v="0"/>
    <n v="556.88"/>
  </r>
  <r>
    <n v="60100745"/>
    <s v="N"/>
    <n v="21320177"/>
    <s v="3000014427470039"/>
    <s v="CIVIL"/>
    <d v="2023-06-27T00:00:00"/>
    <d v="2023-07-03T19:04:24"/>
    <m/>
    <d v="2023-07-03T00:00:00"/>
    <n v="630"/>
    <n v="16896"/>
    <s v="60100745"/>
    <s v="60100745"/>
    <m/>
    <m/>
    <n v="22768946"/>
    <m/>
    <m/>
    <m/>
    <s v="SOLFIN"/>
    <s v="SOLFIN"/>
    <s v="CCMS"/>
    <n v="21320177"/>
    <n v="32184.08"/>
    <m/>
    <s v="N"/>
    <n v="7"/>
    <d v="2023-07-03T19:04:30"/>
    <s v="Y"/>
    <s v="Court Fee"/>
    <s v="VHCC"/>
    <s v="Non Expert Disbursement"/>
    <s v="Gemma Galvani"/>
    <s v="Y"/>
    <n v="167"/>
    <n v="0"/>
    <x v="3"/>
    <s v="VALIDATED"/>
    <n v="1"/>
    <s v="01.11.80.308.6300.0000"/>
    <n v="167"/>
    <s v="11"/>
    <s v="6300"/>
    <n v="17067.72"/>
    <n v="167"/>
    <s v="CREDITOR"/>
    <n v="0"/>
    <n v="0"/>
    <n v="0"/>
    <n v="0"/>
    <n v="167"/>
  </r>
  <r>
    <n v="60100745"/>
    <s v="N"/>
    <n v="21320177"/>
    <s v="3000014427470039"/>
    <s v="CIVIL"/>
    <d v="2023-06-27T00:00:00"/>
    <d v="2023-07-03T19:04:24"/>
    <m/>
    <d v="2023-07-03T00:00:00"/>
    <n v="630"/>
    <n v="16896"/>
    <s v="60100745"/>
    <s v="60100745"/>
    <m/>
    <m/>
    <n v="22768946"/>
    <m/>
    <m/>
    <m/>
    <s v="SOLFIN"/>
    <s v="SOLFIN"/>
    <s v="CCMS"/>
    <n v="21320177"/>
    <n v="32184.08"/>
    <m/>
    <s v="N"/>
    <n v="16"/>
    <d v="2023-07-03T19:04:30"/>
    <s v="Y"/>
    <s v="Expert - Other"/>
    <s v="VHCC"/>
    <s v="Expert Disbursement"/>
    <s v="Gemma Galvani"/>
    <s v="Y"/>
    <n v="155.73"/>
    <n v="31.15"/>
    <x v="3"/>
    <s v="VALIDATED"/>
    <n v="1"/>
    <s v="01.11.80.308.6300.0000"/>
    <n v="155.73"/>
    <s v="11"/>
    <s v="6300"/>
    <n v="17067.72"/>
    <n v="155.73"/>
    <s v="CREDITOR"/>
    <n v="0"/>
    <n v="0"/>
    <n v="0"/>
    <n v="0"/>
    <n v="155.73"/>
  </r>
  <r>
    <n v="60109411"/>
    <s v="N"/>
    <n v="21337954"/>
    <s v="3000014439740030"/>
    <s v="CIVIL"/>
    <d v="2023-06-30T00:00:00"/>
    <d v="2023-07-06T19:21:01"/>
    <m/>
    <d v="2023-07-06T00:00:00"/>
    <n v="630"/>
    <n v="16896"/>
    <s v="60109411"/>
    <s v="60109411"/>
    <m/>
    <m/>
    <n v="22795660"/>
    <m/>
    <m/>
    <m/>
    <s v="SOLPOA"/>
    <s v="SOLPOA"/>
    <s v="CCMS"/>
    <n v="21337954"/>
    <n v="96.64"/>
    <m/>
    <s v="N"/>
    <n v="1"/>
    <d v="2023-07-06T19:21:10"/>
    <s v="N"/>
    <s v="Expert Cost"/>
    <s v="Expert Cost"/>
    <s v="Expert Disbursement"/>
    <s v="Emily Davies"/>
    <s v="N"/>
    <n v="80.53"/>
    <n v="16.11"/>
    <x v="4"/>
    <s v="VALIDATED"/>
    <n v="1"/>
    <s v="01.11.80.308.2012.0000"/>
    <n v="80.53"/>
    <s v="11"/>
    <s v="2012"/>
    <n v="17067.72"/>
    <n v="80.53"/>
    <s v="CREDITOR"/>
    <n v="80.53"/>
    <n v="0"/>
    <n v="0"/>
    <n v="0"/>
    <n v="0"/>
  </r>
  <r>
    <n v="60100745"/>
    <s v="N"/>
    <n v="21320177"/>
    <s v="3000014427470039"/>
    <s v="CIVIL"/>
    <d v="2023-06-27T00:00:00"/>
    <d v="2023-07-03T19:04:24"/>
    <m/>
    <d v="2023-07-03T00:00:00"/>
    <n v="630"/>
    <n v="16896"/>
    <s v="60100745"/>
    <s v="60100745"/>
    <m/>
    <m/>
    <n v="22768946"/>
    <m/>
    <m/>
    <m/>
    <s v="SOLFIN"/>
    <s v="SOLFIN"/>
    <s v="CCMS"/>
    <n v="21320177"/>
    <n v="32184.08"/>
    <m/>
    <s v="N"/>
    <n v="13"/>
    <d v="2023-07-03T19:04:30"/>
    <s v="Y"/>
    <s v="Client Travel Expenses"/>
    <s v="VHCC"/>
    <s v="Non Expert Disbursement"/>
    <s v="Gemma Galvani"/>
    <s v="Y"/>
    <n v="37.42"/>
    <n v="0"/>
    <x v="3"/>
    <s v="VALIDATED"/>
    <n v="1"/>
    <s v="01.11.80.308.6300.0000"/>
    <n v="37.42"/>
    <s v="11"/>
    <s v="6300"/>
    <n v="17067.72"/>
    <n v="37.42"/>
    <s v="CREDITOR"/>
    <n v="0"/>
    <n v="0"/>
    <n v="0"/>
    <n v="0"/>
    <n v="37.42"/>
  </r>
  <r>
    <n v="61004276"/>
    <s v="N"/>
    <n v="21319139"/>
    <s v="3000015209550003"/>
    <s v="CIVIL"/>
    <d v="2023-06-25T00:00:00"/>
    <d v="2023-07-03T19:01:49"/>
    <m/>
    <d v="2023-07-03T00:00:00"/>
    <n v="630"/>
    <n v="16896"/>
    <s v="61004276"/>
    <s v="61004276"/>
    <m/>
    <m/>
    <n v="22757062"/>
    <m/>
    <m/>
    <m/>
    <s v="SOLFIN"/>
    <s v="SOLFIN"/>
    <s v="CCMS"/>
    <n v="21319139"/>
    <n v="5453.69"/>
    <m/>
    <s v="N"/>
    <n v="11"/>
    <d v="2023-07-03T19:02:12"/>
    <s v="Y"/>
    <s v="Solicitors Fixed Fee"/>
    <s v="Public Law Children"/>
    <s v="Profit Cost"/>
    <s v="Gemma Galvani"/>
    <s v="Y"/>
    <n v="2616"/>
    <n v="523.2"/>
    <x v="3"/>
    <s v="VALIDATED"/>
    <n v="1"/>
    <s v="01.11.80.308.6100.0000"/>
    <n v="2616"/>
    <s v="11"/>
    <s v="6100"/>
    <n v="17067.72"/>
    <n v="2616"/>
    <s v="CREDITOR"/>
    <n v="0"/>
    <n v="0"/>
    <n v="0"/>
    <n v="0"/>
    <n v="2616"/>
  </r>
  <r>
    <n v="60100745"/>
    <s v="N"/>
    <n v="21320177"/>
    <s v="3000014427470039"/>
    <s v="CIVIL"/>
    <d v="2023-06-27T00:00:00"/>
    <d v="2023-07-03T19:04:24"/>
    <m/>
    <d v="2023-07-03T00:00:00"/>
    <n v="630"/>
    <n v="16896"/>
    <s v="60100745"/>
    <s v="60100745"/>
    <m/>
    <m/>
    <n v="22768946"/>
    <m/>
    <m/>
    <m/>
    <s v="SOLFIN"/>
    <s v="SOLFIN"/>
    <s v="CCMS"/>
    <n v="21320177"/>
    <n v="32184.08"/>
    <m/>
    <s v="N"/>
    <n v="8"/>
    <d v="2023-07-03T19:04:30"/>
    <s v="Y"/>
    <s v="Court Fee"/>
    <s v="VHCC"/>
    <s v="Non Expert Disbursement"/>
    <s v="Gemma Galvani"/>
    <s v="Y"/>
    <n v="167"/>
    <n v="0"/>
    <x v="3"/>
    <s v="VALIDATED"/>
    <n v="1"/>
    <s v="01.11.80.308.6300.0000"/>
    <n v="167"/>
    <s v="11"/>
    <s v="6300"/>
    <n v="17067.72"/>
    <n v="167"/>
    <s v="CREDITOR"/>
    <n v="0"/>
    <n v="0"/>
    <n v="0"/>
    <n v="0"/>
    <n v="167"/>
  </r>
  <r>
    <n v="61004276"/>
    <s v="N"/>
    <n v="21319139"/>
    <s v="3000015209550003"/>
    <s v="CIVIL"/>
    <d v="2023-06-25T00:00:00"/>
    <d v="2023-07-03T19:01:49"/>
    <m/>
    <d v="2023-07-03T00:00:00"/>
    <n v="630"/>
    <n v="16896"/>
    <s v="61004276"/>
    <s v="61004276"/>
    <m/>
    <m/>
    <n v="22757062"/>
    <m/>
    <m/>
    <m/>
    <s v="SOLFIN"/>
    <s v="SOLFIN"/>
    <s v="CCMS"/>
    <n v="21319139"/>
    <n v="5453.69"/>
    <m/>
    <s v="N"/>
    <n v="4"/>
    <d v="2023-07-03T19:02:12"/>
    <s v="Y"/>
    <s v="Solicitor Travel Mileage"/>
    <s v="Public Law Children"/>
    <s v="Non Expert Disbursement"/>
    <s v="Gemma Galvani"/>
    <s v="Y"/>
    <n v="25.2"/>
    <n v="5.04"/>
    <x v="3"/>
    <s v="VALIDATED"/>
    <n v="1"/>
    <s v="01.11.80.308.6300.0000"/>
    <n v="25.2"/>
    <s v="11"/>
    <s v="6300"/>
    <n v="17067.72"/>
    <n v="25.2"/>
    <s v="CREDITOR"/>
    <n v="0"/>
    <n v="0"/>
    <n v="0"/>
    <n v="0"/>
    <n v="25.2"/>
  </r>
  <r>
    <n v="60100745"/>
    <s v="N"/>
    <n v="21320177"/>
    <s v="3000014427470039"/>
    <s v="CIVIL"/>
    <d v="2023-06-27T00:00:00"/>
    <d v="2023-07-03T19:04:24"/>
    <m/>
    <d v="2023-07-03T00:00:00"/>
    <n v="630"/>
    <n v="16896"/>
    <s v="60100745"/>
    <s v="60100745"/>
    <m/>
    <m/>
    <n v="22768946"/>
    <m/>
    <m/>
    <m/>
    <s v="SOLFIN"/>
    <s v="SOLFIN"/>
    <s v="CCMS"/>
    <n v="21320177"/>
    <n v="32184.08"/>
    <m/>
    <s v="N"/>
    <n v="22"/>
    <d v="2023-07-03T19:04:30"/>
    <s v="Y"/>
    <s v="Finding-of-Fact Hearing (Events Mod"/>
    <s v="VHCC"/>
    <s v="Profit Cost"/>
    <s v="Gemma Galvani"/>
    <s v="Y"/>
    <n v="4949"/>
    <n v="989.8"/>
    <x v="3"/>
    <s v="VALIDATED"/>
    <n v="1"/>
    <s v="01.11.80.308.6100.0000"/>
    <n v="4949"/>
    <s v="11"/>
    <s v="6100"/>
    <n v="17067.72"/>
    <n v="4949"/>
    <s v="CREDITOR"/>
    <n v="0"/>
    <n v="0"/>
    <n v="0"/>
    <n v="0"/>
    <n v="4949"/>
  </r>
  <r>
    <n v="60100745"/>
    <s v="N"/>
    <n v="21320177"/>
    <s v="3000014427470039"/>
    <s v="CIVIL"/>
    <d v="2023-06-27T00:00:00"/>
    <d v="2023-07-03T19:04:24"/>
    <m/>
    <d v="2023-07-03T00:00:00"/>
    <n v="630"/>
    <n v="16896"/>
    <s v="60100745"/>
    <s v="60100745"/>
    <m/>
    <m/>
    <n v="22768946"/>
    <m/>
    <m/>
    <m/>
    <s v="SOLFIN"/>
    <s v="SOLFIN"/>
    <s v="CCMS"/>
    <n v="21320177"/>
    <n v="32184.08"/>
    <m/>
    <s v="N"/>
    <n v="17"/>
    <d v="2023-07-03T19:04:30"/>
    <s v="Y"/>
    <s v="Court Fee"/>
    <s v="VHCC"/>
    <s v="Non Expert Disbursement"/>
    <s v="Gemma Galvani"/>
    <s v="Y"/>
    <n v="167"/>
    <n v="0"/>
    <x v="3"/>
    <s v="VALIDATED"/>
    <n v="1"/>
    <s v="01.11.80.308.6300.0000"/>
    <n v="167"/>
    <s v="11"/>
    <s v="6300"/>
    <n v="17067.72"/>
    <n v="167"/>
    <s v="CREDITOR"/>
    <n v="0"/>
    <n v="0"/>
    <n v="0"/>
    <n v="0"/>
    <n v="167"/>
  </r>
  <r>
    <n v="60100745"/>
    <s v="N"/>
    <n v="21320177"/>
    <s v="3000014427470039"/>
    <s v="CIVIL"/>
    <d v="2023-06-27T00:00:00"/>
    <d v="2023-07-03T19:04:24"/>
    <m/>
    <d v="2023-07-03T00:00:00"/>
    <n v="630"/>
    <n v="16896"/>
    <s v="60100745"/>
    <s v="60100745"/>
    <m/>
    <m/>
    <n v="22768946"/>
    <m/>
    <m/>
    <m/>
    <s v="SOLFIN"/>
    <s v="SOLFIN"/>
    <s v="CCMS"/>
    <n v="21320177"/>
    <n v="32184.08"/>
    <m/>
    <s v="N"/>
    <n v="1"/>
    <d v="2023-07-03T19:04:30"/>
    <s v="Y"/>
    <s v="Expert - Other"/>
    <s v="VHCC"/>
    <s v="Expert Disbursement"/>
    <s v="Gemma Galvani"/>
    <s v="Y"/>
    <n v="326.11"/>
    <n v="65.22"/>
    <x v="3"/>
    <s v="VALIDATED"/>
    <n v="1"/>
    <s v="01.11.80.308.6300.0000"/>
    <n v="326.11"/>
    <s v="11"/>
    <s v="6300"/>
    <n v="17067.72"/>
    <n v="326.11"/>
    <s v="CREDITOR"/>
    <n v="0"/>
    <n v="0"/>
    <n v="0"/>
    <n v="0"/>
    <n v="326.11"/>
  </r>
  <r>
    <n v="60100745"/>
    <s v="N"/>
    <n v="21320177"/>
    <s v="3000014427470039"/>
    <s v="CIVIL"/>
    <d v="2023-06-27T00:00:00"/>
    <d v="2023-07-03T19:04:24"/>
    <m/>
    <d v="2023-07-03T00:00:00"/>
    <n v="630"/>
    <n v="16896"/>
    <s v="60100745"/>
    <s v="60100745"/>
    <m/>
    <m/>
    <n v="22768946"/>
    <m/>
    <m/>
    <m/>
    <s v="SOLFIN"/>
    <s v="SOLFIN"/>
    <s v="CCMS"/>
    <n v="21320177"/>
    <n v="32184.08"/>
    <m/>
    <s v="N"/>
    <n v="21"/>
    <d v="2023-07-03T19:04:30"/>
    <s v="Y"/>
    <s v="Final Hearing (Events Model)"/>
    <s v="VHCC"/>
    <s v="Profit Cost"/>
    <s v="Gemma Galvani"/>
    <s v="Y"/>
    <n v="707"/>
    <n v="141.4"/>
    <x v="3"/>
    <s v="VALIDATED"/>
    <n v="1"/>
    <s v="01.11.80.308.6100.0000"/>
    <n v="707"/>
    <s v="11"/>
    <s v="6100"/>
    <n v="17067.72"/>
    <n v="707"/>
    <s v="CREDITOR"/>
    <n v="0"/>
    <n v="0"/>
    <n v="0"/>
    <n v="0"/>
    <n v="707"/>
  </r>
  <r>
    <n v="61004276"/>
    <s v="N"/>
    <n v="21319139"/>
    <s v="3000015209550003"/>
    <s v="CIVIL"/>
    <d v="2023-06-25T00:00:00"/>
    <d v="2023-07-03T19:01:49"/>
    <m/>
    <d v="2023-07-03T00:00:00"/>
    <n v="630"/>
    <n v="16896"/>
    <s v="61004276"/>
    <s v="61004276"/>
    <m/>
    <m/>
    <n v="22757062"/>
    <m/>
    <m/>
    <m/>
    <s v="SOLFIN"/>
    <s v="SOLFIN"/>
    <s v="CCMS"/>
    <n v="21319139"/>
    <n v="5453.69"/>
    <m/>
    <s v="N"/>
    <n v="1"/>
    <d v="2023-07-03T19:02:12"/>
    <s v="Y"/>
    <s v="Exceptional Travel"/>
    <s v="Public Law Children"/>
    <s v="Advocacy"/>
    <s v="Ian Berkley-Hurst"/>
    <s v="Y"/>
    <n v="32.04"/>
    <n v="6.41"/>
    <x v="3"/>
    <s v="VALIDATED"/>
    <n v="1"/>
    <s v="01.11.80.308.6100.0000"/>
    <n v="32.04"/>
    <s v="11"/>
    <s v="6100"/>
    <n v="17067.72"/>
    <n v="32.04"/>
    <s v="CREDITOR"/>
    <n v="0"/>
    <n v="0"/>
    <n v="0"/>
    <n v="0"/>
    <n v="32.04"/>
  </r>
  <r>
    <n v="60100745"/>
    <s v="N"/>
    <n v="21320177"/>
    <s v="3000014427470039"/>
    <s v="CIVIL"/>
    <d v="2023-06-27T00:00:00"/>
    <d v="2023-07-03T19:04:24"/>
    <m/>
    <d v="2023-07-03T00:00:00"/>
    <n v="630"/>
    <n v="16896"/>
    <s v="60100745"/>
    <s v="60100745"/>
    <m/>
    <m/>
    <n v="22768946"/>
    <m/>
    <m/>
    <m/>
    <s v="SOLFIN"/>
    <s v="SOLFIN"/>
    <s v="CCMS"/>
    <n v="21320177"/>
    <n v="32184.08"/>
    <m/>
    <s v="N"/>
    <n v="35"/>
    <d v="2023-07-03T19:04:30"/>
    <s v="Y"/>
    <s v="Interim/Directions/Review Hearing ("/>
    <s v="VHCC"/>
    <s v="Profit Cost"/>
    <s v="Gemma Galvani"/>
    <s v="Y"/>
    <n v="4242"/>
    <n v="848.4"/>
    <x v="3"/>
    <s v="VALIDATED"/>
    <n v="1"/>
    <s v="01.11.80.308.6100.0000"/>
    <n v="4242"/>
    <s v="11"/>
    <s v="6100"/>
    <n v="17067.72"/>
    <n v="4242"/>
    <s v="CREDITOR"/>
    <n v="0"/>
    <n v="0"/>
    <n v="0"/>
    <n v="0"/>
    <n v="4242"/>
  </r>
  <r>
    <n v="60100745"/>
    <s v="N"/>
    <n v="21320177"/>
    <s v="3000014427470039"/>
    <s v="CIVIL"/>
    <d v="2023-06-27T00:00:00"/>
    <d v="2023-07-03T19:04:24"/>
    <m/>
    <d v="2023-07-03T00:00:00"/>
    <n v="630"/>
    <n v="16896"/>
    <s v="60100745"/>
    <s v="60100745"/>
    <m/>
    <m/>
    <n v="22768946"/>
    <m/>
    <m/>
    <m/>
    <s v="SOLFIN"/>
    <s v="SOLFIN"/>
    <s v="CCMS"/>
    <n v="21320177"/>
    <n v="32184.08"/>
    <m/>
    <s v="N"/>
    <n v="4"/>
    <d v="2023-07-03T19:04:30"/>
    <s v="Y"/>
    <s v="Interpreter"/>
    <s v="VHCC"/>
    <s v="Expert Disbursement"/>
    <s v="Gemma Galvani"/>
    <s v="Y"/>
    <n v="56"/>
    <n v="11.2"/>
    <x v="3"/>
    <s v="VALIDATED"/>
    <n v="1"/>
    <s v="01.11.80.308.6300.0000"/>
    <n v="56"/>
    <s v="11"/>
    <s v="6300"/>
    <n v="17067.72"/>
    <n v="56"/>
    <s v="CREDITOR"/>
    <n v="0"/>
    <n v="0"/>
    <n v="0"/>
    <n v="0"/>
    <n v="56"/>
  </r>
  <r>
    <n v="60100745"/>
    <s v="N"/>
    <n v="21320177"/>
    <s v="3000014427470039"/>
    <s v="CIVIL"/>
    <d v="2023-06-27T00:00:00"/>
    <d v="2023-07-03T19:04:24"/>
    <m/>
    <d v="2023-07-03T00:00:00"/>
    <n v="630"/>
    <n v="16896"/>
    <s v="60100745"/>
    <s v="60100745"/>
    <m/>
    <m/>
    <n v="22768946"/>
    <m/>
    <m/>
    <m/>
    <s v="SOLFIN"/>
    <s v="SOLFIN"/>
    <s v="CCMS"/>
    <n v="21320177"/>
    <n v="32184.08"/>
    <m/>
    <s v="N"/>
    <n v="26"/>
    <d v="2023-07-03T19:04:30"/>
    <s v="Y"/>
    <s v="Expert - Other"/>
    <s v="VHCC"/>
    <s v="Expert Disbursement"/>
    <s v="Gemma Galvani"/>
    <s v="Y"/>
    <n v="74.26000000000001"/>
    <n v="14.85"/>
    <x v="3"/>
    <s v="VALIDATED"/>
    <n v="1"/>
    <s v="01.11.80.308.6300.0000"/>
    <n v="74.26000000000001"/>
    <s v="11"/>
    <s v="6300"/>
    <n v="17067.72"/>
    <n v="74.26000000000001"/>
    <s v="CREDITOR"/>
    <n v="0"/>
    <n v="0"/>
    <n v="0"/>
    <n v="0"/>
    <n v="74.26000000000001"/>
  </r>
  <r>
    <n v="60100745"/>
    <s v="N"/>
    <n v="21320177"/>
    <s v="3000014427470039"/>
    <s v="CIVIL"/>
    <d v="2023-06-27T00:00:00"/>
    <d v="2023-07-03T19:04:24"/>
    <m/>
    <d v="2023-07-03T00:00:00"/>
    <n v="630"/>
    <n v="16896"/>
    <s v="60100745"/>
    <s v="60100745"/>
    <m/>
    <m/>
    <n v="22768946"/>
    <m/>
    <m/>
    <m/>
    <s v="SOLFIN"/>
    <s v="SOLFIN"/>
    <s v="CCMS"/>
    <n v="21320177"/>
    <n v="32184.08"/>
    <m/>
    <s v="N"/>
    <n v="15"/>
    <d v="2023-07-03T19:04:30"/>
    <s v="Y"/>
    <s v="Client Travel Expenses"/>
    <s v="VHCC"/>
    <s v="Non Expert Disbursement"/>
    <s v="Gemma Galvani"/>
    <s v="Y"/>
    <n v="12.01"/>
    <n v="0"/>
    <x v="3"/>
    <s v="VALIDATED"/>
    <n v="1"/>
    <s v="01.11.80.308.6300.0000"/>
    <n v="12.01"/>
    <s v="11"/>
    <s v="6300"/>
    <n v="17067.72"/>
    <n v="12.01"/>
    <s v="CREDITOR"/>
    <n v="0"/>
    <n v="0"/>
    <n v="0"/>
    <n v="0"/>
    <n v="12.01"/>
  </r>
  <r>
    <n v="60100745"/>
    <s v="N"/>
    <n v="21320177"/>
    <s v="3000014427470039"/>
    <s v="CIVIL"/>
    <d v="2023-06-27T00:00:00"/>
    <d v="2023-07-03T19:04:24"/>
    <m/>
    <d v="2023-07-03T00:00:00"/>
    <n v="630"/>
    <n v="16896"/>
    <s v="60100745"/>
    <s v="60100745"/>
    <m/>
    <m/>
    <n v="22768946"/>
    <m/>
    <m/>
    <m/>
    <s v="SOLFIN"/>
    <s v="SOLFIN"/>
    <s v="CCMS"/>
    <n v="21320177"/>
    <n v="32184.08"/>
    <m/>
    <s v="N"/>
    <n v="37"/>
    <d v="2023-07-03T19:04:30"/>
    <s v="Y"/>
    <s v="Solicitor Travel Mileage"/>
    <s v="VHCC"/>
    <s v="Non Expert Disbursement"/>
    <s v="Gemma Galvani"/>
    <s v="Y"/>
    <n v="321.3"/>
    <n v="64.26000000000001"/>
    <x v="3"/>
    <s v="VALIDATED"/>
    <n v="1"/>
    <s v="01.11.80.308.6300.0000"/>
    <n v="321.3"/>
    <s v="11"/>
    <s v="6300"/>
    <n v="17067.72"/>
    <n v="321.3"/>
    <s v="CREDITOR"/>
    <n v="0"/>
    <n v="0"/>
    <n v="0"/>
    <n v="0"/>
    <n v="321.3"/>
  </r>
  <r>
    <n v="60100745"/>
    <s v="N"/>
    <n v="21320177"/>
    <s v="3000014427470039"/>
    <s v="CIVIL"/>
    <d v="2023-06-27T00:00:00"/>
    <d v="2023-07-03T19:04:24"/>
    <m/>
    <d v="2023-07-03T00:00:00"/>
    <n v="630"/>
    <n v="16896"/>
    <s v="60100745"/>
    <s v="60100745"/>
    <m/>
    <m/>
    <n v="22768946"/>
    <m/>
    <m/>
    <m/>
    <s v="SOLFIN"/>
    <s v="SOLFIN"/>
    <s v="CCMS"/>
    <n v="21320177"/>
    <n v="32184.08"/>
    <m/>
    <s v="N"/>
    <n v="31"/>
    <d v="2023-07-03T19:04:30"/>
    <s v="Y"/>
    <s v="Solicitor Travel Mileage"/>
    <s v="VHCC"/>
    <s v="Non Expert Disbursement"/>
    <s v="Gemma Galvani"/>
    <s v="Y"/>
    <n v="36.9"/>
    <n v="7.38"/>
    <x v="3"/>
    <s v="VALIDATED"/>
    <n v="1"/>
    <s v="01.11.80.308.6300.0000"/>
    <n v="36.9"/>
    <s v="11"/>
    <s v="6300"/>
    <n v="17067.72"/>
    <n v="36.9"/>
    <s v="CREDITOR"/>
    <n v="0"/>
    <n v="0"/>
    <n v="0"/>
    <n v="0"/>
    <n v="36.9"/>
  </r>
  <r>
    <n v="60100745"/>
    <s v="N"/>
    <n v="21320177"/>
    <s v="3000014427470039"/>
    <s v="CIVIL"/>
    <d v="2023-06-27T00:00:00"/>
    <d v="2023-07-03T19:04:24"/>
    <m/>
    <d v="2023-07-03T00:00:00"/>
    <n v="630"/>
    <n v="16896"/>
    <s v="60100745"/>
    <s v="60100745"/>
    <m/>
    <m/>
    <n v="22768946"/>
    <m/>
    <m/>
    <m/>
    <s v="SOLFIN"/>
    <s v="SOLFIN"/>
    <s v="CCMS"/>
    <n v="21320177"/>
    <n v="32184.08"/>
    <m/>
    <s v="N"/>
    <n v="25"/>
    <d v="2023-07-03T19:04:30"/>
    <s v="Y"/>
    <s v="Expert - Other"/>
    <s v="VHCC"/>
    <s v="Expert Disbursement"/>
    <s v="Gemma Galvani"/>
    <s v="Y"/>
    <n v="431.87"/>
    <n v="86.37"/>
    <x v="3"/>
    <s v="VALIDATED"/>
    <n v="1"/>
    <s v="01.11.80.308.6300.0000"/>
    <n v="431.87"/>
    <s v="11"/>
    <s v="6300"/>
    <n v="17067.72"/>
    <n v="431.87"/>
    <s v="CREDITOR"/>
    <n v="0"/>
    <n v="0"/>
    <n v="0"/>
    <n v="0"/>
    <n v="431.87"/>
  </r>
  <r>
    <n v="60100745"/>
    <s v="N"/>
    <n v="21320177"/>
    <s v="3000014427470039"/>
    <s v="CIVIL"/>
    <d v="2023-06-27T00:00:00"/>
    <d v="2023-07-03T19:04:24"/>
    <m/>
    <d v="2023-07-03T00:00:00"/>
    <n v="630"/>
    <n v="16896"/>
    <s v="60100745"/>
    <s v="60100745"/>
    <m/>
    <m/>
    <n v="22768946"/>
    <m/>
    <m/>
    <m/>
    <s v="SOLFIN"/>
    <s v="SOLFIN"/>
    <s v="CCMS"/>
    <n v="21320177"/>
    <n v="32184.08"/>
    <m/>
    <s v="N"/>
    <n v="40"/>
    <d v="2023-07-03T19:04:30"/>
    <s v="Y"/>
    <s v="Client Travel Expenses"/>
    <s v="VHCC"/>
    <s v="Non Expert Disbursement"/>
    <s v="Gemma Galvani"/>
    <s v="Y"/>
    <n v="44.9"/>
    <n v="0"/>
    <x v="3"/>
    <s v="VALIDATED"/>
    <n v="1"/>
    <s v="01.11.80.308.6300.0000"/>
    <n v="44.9"/>
    <s v="11"/>
    <s v="6300"/>
    <n v="17067.72"/>
    <n v="44.9"/>
    <s v="CREDITOR"/>
    <n v="0"/>
    <n v="0"/>
    <n v="0"/>
    <n v="0"/>
    <n v="44.9"/>
  </r>
  <r>
    <n v="60100745"/>
    <s v="N"/>
    <n v="21320177"/>
    <s v="3000014427470039"/>
    <s v="CIVIL"/>
    <d v="2023-06-27T00:00:00"/>
    <d v="2023-07-03T19:04:24"/>
    <m/>
    <d v="2023-07-03T00:00:00"/>
    <n v="630"/>
    <n v="16896"/>
    <s v="60100745"/>
    <s v="60100745"/>
    <m/>
    <m/>
    <n v="22768946"/>
    <m/>
    <m/>
    <m/>
    <s v="SOLFIN"/>
    <s v="SOLFIN"/>
    <s v="CCMS"/>
    <n v="21320177"/>
    <n v="32184.08"/>
    <m/>
    <s v="N"/>
    <n v="9"/>
    <d v="2023-07-03T19:04:30"/>
    <s v="Y"/>
    <s v="Court Fee"/>
    <s v="VHCC"/>
    <s v="Non Expert Disbursement"/>
    <s v="Gemma Galvani"/>
    <s v="Y"/>
    <n v="167"/>
    <n v="0"/>
    <x v="3"/>
    <s v="VALIDATED"/>
    <n v="1"/>
    <s v="01.11.80.308.6300.0000"/>
    <n v="167"/>
    <s v="11"/>
    <s v="6300"/>
    <n v="17067.72"/>
    <n v="167"/>
    <s v="CREDITOR"/>
    <n v="0"/>
    <n v="0"/>
    <n v="0"/>
    <n v="0"/>
    <n v="167"/>
  </r>
  <r>
    <n v="60100745"/>
    <s v="N"/>
    <n v="21320177"/>
    <s v="3000014427470039"/>
    <s v="CIVIL"/>
    <d v="2023-06-27T00:00:00"/>
    <d v="2023-07-03T19:04:24"/>
    <m/>
    <d v="2023-07-03T00:00:00"/>
    <n v="630"/>
    <n v="16896"/>
    <s v="60100745"/>
    <s v="60100745"/>
    <m/>
    <m/>
    <n v="22768946"/>
    <m/>
    <m/>
    <m/>
    <s v="SOLFIN"/>
    <s v="SOLFIN"/>
    <s v="CCMS"/>
    <n v="21320177"/>
    <n v="32184.08"/>
    <m/>
    <s v="N"/>
    <n v="24"/>
    <d v="2023-07-03T19:04:30"/>
    <s v="Y"/>
    <s v="Advocates Meeting (Events Model)"/>
    <s v="VHCC"/>
    <s v="Profit Cost"/>
    <s v="Gemma Galvani"/>
    <s v="Y"/>
    <n v="1414"/>
    <n v="282.8"/>
    <x v="3"/>
    <s v="VALIDATED"/>
    <n v="1"/>
    <s v="01.11.80.308.6100.0000"/>
    <n v="1414"/>
    <s v="11"/>
    <s v="6100"/>
    <n v="17067.72"/>
    <n v="1414"/>
    <s v="CREDITOR"/>
    <n v="0"/>
    <n v="0"/>
    <n v="0"/>
    <n v="0"/>
    <n v="1414"/>
  </r>
  <r>
    <n v="60100745"/>
    <s v="N"/>
    <n v="21320177"/>
    <s v="3000014427470039"/>
    <s v="CIVIL"/>
    <d v="2023-06-27T00:00:00"/>
    <d v="2023-07-03T19:04:24"/>
    <m/>
    <d v="2023-07-03T00:00:00"/>
    <n v="630"/>
    <n v="16896"/>
    <s v="60100745"/>
    <s v="60100745"/>
    <m/>
    <m/>
    <n v="22768946"/>
    <m/>
    <m/>
    <m/>
    <s v="SOLFIN"/>
    <s v="SOLFIN"/>
    <s v="CCMS"/>
    <n v="21320177"/>
    <n v="32184.08"/>
    <m/>
    <s v="N"/>
    <n v="6"/>
    <d v="2023-07-03T19:04:30"/>
    <s v="Y"/>
    <s v="Court Fee"/>
    <s v="VHCC"/>
    <s v="Non Expert Disbursement"/>
    <s v="Gemma Galvani"/>
    <s v="Y"/>
    <n v="53"/>
    <n v="0"/>
    <x v="3"/>
    <s v="VALIDATED"/>
    <n v="1"/>
    <s v="01.11.80.308.6300.0000"/>
    <n v="53"/>
    <s v="11"/>
    <s v="6300"/>
    <n v="17067.72"/>
    <n v="53"/>
    <s v="CREDITOR"/>
    <n v="0"/>
    <n v="0"/>
    <n v="0"/>
    <n v="0"/>
    <n v="53"/>
  </r>
  <r>
    <n v="60100745"/>
    <s v="N"/>
    <n v="21320177"/>
    <s v="3000014427470039"/>
    <s v="CIVIL"/>
    <d v="2023-06-27T00:00:00"/>
    <d v="2023-07-03T19:04:24"/>
    <m/>
    <d v="2023-07-03T00:00:00"/>
    <n v="630"/>
    <n v="16896"/>
    <s v="60100745"/>
    <s v="60100745"/>
    <m/>
    <m/>
    <n v="22768946"/>
    <m/>
    <m/>
    <m/>
    <s v="SOLFIN"/>
    <s v="SOLFIN"/>
    <s v="CCMS"/>
    <n v="21320177"/>
    <n v="32184.08"/>
    <m/>
    <s v="N"/>
    <n v="39"/>
    <d v="2023-07-03T19:04:30"/>
    <s v="Y"/>
    <s v="Interpreter"/>
    <s v="VHCC"/>
    <s v="Expert Disbursement"/>
    <s v="Gemma Galvani"/>
    <s v="Y"/>
    <n v="20.1"/>
    <n v="4.02"/>
    <x v="3"/>
    <s v="VALIDATED"/>
    <n v="1"/>
    <s v="01.11.80.308.6300.0000"/>
    <n v="20.1"/>
    <s v="11"/>
    <s v="6300"/>
    <n v="17067.72"/>
    <n v="20.1"/>
    <s v="CREDITOR"/>
    <n v="0"/>
    <n v="0"/>
    <n v="0"/>
    <n v="0"/>
    <n v="20.1"/>
  </r>
  <r>
    <n v="60100745"/>
    <s v="N"/>
    <n v="21320177"/>
    <s v="3000014427470039"/>
    <s v="CIVIL"/>
    <d v="2023-06-27T00:00:00"/>
    <d v="2023-07-03T19:04:24"/>
    <m/>
    <d v="2023-07-03T00:00:00"/>
    <n v="630"/>
    <n v="16896"/>
    <s v="60100745"/>
    <s v="60100745"/>
    <m/>
    <m/>
    <n v="22768946"/>
    <m/>
    <m/>
    <m/>
    <s v="SOLFIN"/>
    <s v="SOLFIN"/>
    <s v="CCMS"/>
    <n v="21320177"/>
    <n v="32184.08"/>
    <m/>
    <s v="N"/>
    <n v="18"/>
    <d v="2023-07-03T19:04:30"/>
    <s v="Y"/>
    <s v="Court Fee"/>
    <s v="VHCC"/>
    <s v="Non Expert Disbursement"/>
    <s v="Gemma Galvani"/>
    <s v="Y"/>
    <n v="167"/>
    <n v="0"/>
    <x v="3"/>
    <s v="VALIDATED"/>
    <n v="1"/>
    <s v="01.11.80.308.6300.0000"/>
    <n v="167"/>
    <s v="11"/>
    <s v="6300"/>
    <n v="17067.72"/>
    <n v="167"/>
    <s v="CREDITOR"/>
    <n v="0"/>
    <n v="0"/>
    <n v="0"/>
    <n v="0"/>
    <n v="167"/>
  </r>
  <r>
    <n v="60100745"/>
    <s v="N"/>
    <n v="21320177"/>
    <s v="3000014427470039"/>
    <s v="CIVIL"/>
    <d v="2023-06-27T00:00:00"/>
    <d v="2023-07-03T19:04:24"/>
    <m/>
    <d v="2023-07-03T00:00:00"/>
    <n v="630"/>
    <n v="16896"/>
    <s v="60100745"/>
    <s v="60100745"/>
    <m/>
    <m/>
    <n v="22768946"/>
    <m/>
    <m/>
    <m/>
    <s v="SOLFIN"/>
    <s v="SOLFIN"/>
    <s v="CCMS"/>
    <n v="21320177"/>
    <n v="32184.08"/>
    <m/>
    <s v="N"/>
    <n v="34"/>
    <d v="2023-07-03T19:04:30"/>
    <s v="Y"/>
    <s v="Client Travel Expenses"/>
    <s v="VHCC"/>
    <s v="Non Expert Disbursement"/>
    <s v="Gemma Galvani"/>
    <s v="Y"/>
    <n v="47.4"/>
    <n v="0"/>
    <x v="3"/>
    <s v="VALIDATED"/>
    <n v="1"/>
    <s v="01.11.80.308.6300.0000"/>
    <n v="47.4"/>
    <s v="11"/>
    <s v="6300"/>
    <n v="17067.72"/>
    <n v="47.4"/>
    <s v="CREDITOR"/>
    <n v="0"/>
    <n v="0"/>
    <n v="0"/>
    <n v="0"/>
    <n v="47.4"/>
  </r>
  <r>
    <n v="60100745"/>
    <s v="N"/>
    <n v="21320177"/>
    <s v="3000014427470039"/>
    <s v="CIVIL"/>
    <d v="2023-06-27T00:00:00"/>
    <d v="2023-07-03T19:04:24"/>
    <m/>
    <d v="2023-07-03T00:00:00"/>
    <n v="630"/>
    <n v="16896"/>
    <s v="60100745"/>
    <s v="60100745"/>
    <m/>
    <m/>
    <n v="22768946"/>
    <m/>
    <m/>
    <m/>
    <s v="SOLFIN"/>
    <s v="SOLFIN"/>
    <s v="CCMS"/>
    <n v="21320177"/>
    <n v="32184.08"/>
    <m/>
    <s v="N"/>
    <n v="5"/>
    <d v="2023-07-03T19:04:30"/>
    <s v="Y"/>
    <s v="Court Fee"/>
    <s v="VHCC"/>
    <s v="Non Expert Disbursement"/>
    <s v="Gemma Galvani"/>
    <s v="Y"/>
    <n v="167"/>
    <n v="0"/>
    <x v="3"/>
    <s v="VALIDATED"/>
    <n v="1"/>
    <s v="01.11.80.308.6300.0000"/>
    <n v="167"/>
    <s v="11"/>
    <s v="6300"/>
    <n v="17067.72"/>
    <n v="167"/>
    <s v="CREDITOR"/>
    <n v="0"/>
    <n v="0"/>
    <n v="0"/>
    <n v="0"/>
    <n v="167"/>
  </r>
  <r>
    <n v="60100745"/>
    <s v="N"/>
    <n v="21324382"/>
    <s v="3000014427470020RC"/>
    <s v="CIVIL"/>
    <d v="2023-06-27T00:00:00"/>
    <d v="2023-07-03T19:42:50"/>
    <m/>
    <d v="2023-07-03T00:00:00"/>
    <n v="630"/>
    <n v="16896"/>
    <s v="60100745"/>
    <s v="60100745"/>
    <m/>
    <m/>
    <m/>
    <m/>
    <m/>
    <m/>
    <s v="SOLRECOUP"/>
    <s v="SOLRECOUP"/>
    <s v="POARECOUP"/>
    <n v="21324382"/>
    <n v="-54"/>
    <m/>
    <s v="Y"/>
    <n v="2"/>
    <d v="2023-07-03T19:42:51"/>
    <s v="N"/>
    <m/>
    <m/>
    <s v="Expert Disbursement"/>
    <m/>
    <s v="N"/>
    <n v="0"/>
    <n v="-9"/>
    <x v="3"/>
    <s v="VALIDATED"/>
    <n v="1"/>
    <s v="01.11.80.308.2013.0000"/>
    <n v="-9"/>
    <s v="11"/>
    <s v="2013"/>
    <n v="17067.72"/>
    <n v="-9"/>
    <s v="CREDITOR"/>
    <n v="0"/>
    <n v="0"/>
    <n v="-9"/>
    <n v="0"/>
    <n v="0"/>
  </r>
  <r>
    <n v="60100745"/>
    <s v="N"/>
    <n v="21324383"/>
    <s v="3000014427470035RC"/>
    <s v="CIVIL"/>
    <d v="2023-06-27T00:00:00"/>
    <d v="2023-07-03T19:42:50"/>
    <m/>
    <d v="2023-07-03T00:00:00"/>
    <n v="630"/>
    <n v="16896"/>
    <s v="60100745"/>
    <s v="60100745"/>
    <m/>
    <m/>
    <m/>
    <m/>
    <m/>
    <m/>
    <s v="SOLRECOUP"/>
    <s v="SOLRECOUP"/>
    <s v="POARECOUP"/>
    <n v="21324383"/>
    <n v="-67.2"/>
    <m/>
    <s v="Y"/>
    <n v="2"/>
    <d v="2023-07-03T19:42:51"/>
    <s v="N"/>
    <m/>
    <m/>
    <s v="Expert Disbursement"/>
    <m/>
    <s v="N"/>
    <n v="0"/>
    <n v="-11.2"/>
    <x v="3"/>
    <s v="VALIDATED"/>
    <n v="1"/>
    <s v="01.11.80.308.2013.0000"/>
    <n v="-11.2"/>
    <s v="11"/>
    <s v="2013"/>
    <n v="17067.72"/>
    <n v="-11.2"/>
    <s v="CREDITOR"/>
    <n v="0"/>
    <n v="0"/>
    <n v="-11.2"/>
    <n v="0"/>
    <n v="0"/>
  </r>
  <r>
    <n v="60100745"/>
    <s v="N"/>
    <n v="21324383"/>
    <s v="3000014427470035RC"/>
    <s v="CIVIL"/>
    <d v="2023-06-27T00:00:00"/>
    <d v="2023-07-03T19:42:50"/>
    <m/>
    <d v="2023-07-03T00:00:00"/>
    <n v="630"/>
    <n v="16896"/>
    <s v="60100745"/>
    <s v="60100745"/>
    <m/>
    <m/>
    <m/>
    <m/>
    <m/>
    <m/>
    <s v="SOLRECOUP"/>
    <s v="SOLRECOUP"/>
    <s v="POARECOUP"/>
    <n v="21324383"/>
    <n v="-67.2"/>
    <m/>
    <s v="Y"/>
    <n v="1"/>
    <d v="2023-07-03T19:42:51"/>
    <s v="N"/>
    <m/>
    <m/>
    <s v="Expert Disbursement"/>
    <m/>
    <s v="N"/>
    <n v="-56"/>
    <n v="0"/>
    <x v="3"/>
    <s v="VALIDATED"/>
    <n v="1"/>
    <s v="01.11.80.308.2013.0000"/>
    <n v="-56"/>
    <s v="11"/>
    <s v="2013"/>
    <n v="17067.72"/>
    <n v="-56"/>
    <s v="CREDITOR"/>
    <n v="0"/>
    <n v="0"/>
    <n v="-56"/>
    <n v="0"/>
    <n v="0"/>
  </r>
  <r>
    <n v="60100745"/>
    <s v="N"/>
    <n v="21324384"/>
    <s v="3000014427470023RC"/>
    <s v="CIVIL"/>
    <d v="2023-06-27T00:00:00"/>
    <d v="2023-07-03T19:42:50"/>
    <m/>
    <d v="2023-07-03T00:00:00"/>
    <n v="630"/>
    <n v="16896"/>
    <s v="60100745"/>
    <s v="60100745"/>
    <m/>
    <m/>
    <m/>
    <m/>
    <m/>
    <m/>
    <s v="SOLRECOUP"/>
    <s v="SOLRECOUP"/>
    <s v="POARECOUP"/>
    <n v="21324384"/>
    <n v="-306.11"/>
    <m/>
    <s v="Y"/>
    <n v="1"/>
    <d v="2023-07-03T19:42:51"/>
    <s v="N"/>
    <m/>
    <m/>
    <s v="Expert Disbursement"/>
    <m/>
    <s v="N"/>
    <n v="-255.09"/>
    <n v="0"/>
    <x v="3"/>
    <s v="VALIDATED"/>
    <n v="1"/>
    <s v="01.11.80.308.2013.0000"/>
    <n v="-255.09"/>
    <s v="11"/>
    <s v="2013"/>
    <n v="17067.72"/>
    <n v="-255.09"/>
    <s v="CREDITOR"/>
    <n v="0"/>
    <n v="0"/>
    <n v="-255.09"/>
    <n v="0"/>
    <n v="0"/>
  </r>
  <r>
    <n v="60100745"/>
    <s v="N"/>
    <n v="21320177"/>
    <s v="3000014427470039"/>
    <s v="CIVIL"/>
    <d v="2023-06-27T00:00:00"/>
    <d v="2023-07-03T19:04:24"/>
    <m/>
    <d v="2023-07-03T00:00:00"/>
    <n v="630"/>
    <n v="16896"/>
    <s v="60100745"/>
    <s v="60100745"/>
    <m/>
    <m/>
    <n v="22768946"/>
    <m/>
    <m/>
    <m/>
    <s v="SOLFIN"/>
    <s v="SOLFIN"/>
    <s v="CCMS"/>
    <n v="21320177"/>
    <n v="32184.08"/>
    <m/>
    <s v="N"/>
    <n v="10"/>
    <d v="2023-07-03T19:04:30"/>
    <s v="Y"/>
    <s v="Court Fee"/>
    <s v="VHCC"/>
    <s v="Non Expert Disbursement"/>
    <s v="Gemma Galvani"/>
    <s v="Y"/>
    <n v="53"/>
    <n v="0"/>
    <x v="3"/>
    <s v="VALIDATED"/>
    <n v="1"/>
    <s v="01.11.80.308.6300.0000"/>
    <n v="53"/>
    <s v="11"/>
    <s v="6300"/>
    <n v="17067.72"/>
    <n v="53"/>
    <s v="CREDITOR"/>
    <n v="0"/>
    <n v="0"/>
    <n v="0"/>
    <n v="0"/>
    <n v="53"/>
  </r>
  <r>
    <n v="60100745"/>
    <s v="N"/>
    <n v="21320177"/>
    <s v="3000014427470039"/>
    <s v="CIVIL"/>
    <d v="2023-06-27T00:00:00"/>
    <d v="2023-07-03T19:04:24"/>
    <m/>
    <d v="2023-07-03T00:00:00"/>
    <n v="630"/>
    <n v="16896"/>
    <s v="60100745"/>
    <s v="60100745"/>
    <m/>
    <m/>
    <n v="22768946"/>
    <m/>
    <m/>
    <m/>
    <s v="SOLFIN"/>
    <s v="SOLFIN"/>
    <s v="CCMS"/>
    <n v="21320177"/>
    <n v="32184.08"/>
    <m/>
    <s v="N"/>
    <n v="30"/>
    <d v="2023-07-03T19:04:30"/>
    <s v="Y"/>
    <s v="Interpreter"/>
    <s v="VHCC"/>
    <s v="Expert Disbursement"/>
    <s v="Gemma Galvani"/>
    <s v="Y"/>
    <n v="56"/>
    <n v="11.2"/>
    <x v="3"/>
    <s v="VALIDATED"/>
    <n v="1"/>
    <s v="01.11.80.308.6300.0000"/>
    <n v="56"/>
    <s v="11"/>
    <s v="6300"/>
    <n v="17067.72"/>
    <n v="56"/>
    <s v="CREDITOR"/>
    <n v="0"/>
    <n v="0"/>
    <n v="0"/>
    <n v="0"/>
    <n v="56"/>
  </r>
  <r>
    <n v="60100745"/>
    <s v="N"/>
    <n v="21320177"/>
    <s v="3000014427470039"/>
    <s v="CIVIL"/>
    <d v="2023-06-27T00:00:00"/>
    <d v="2023-07-03T19:04:24"/>
    <m/>
    <d v="2023-07-03T00:00:00"/>
    <n v="630"/>
    <n v="16896"/>
    <s v="60100745"/>
    <s v="60100745"/>
    <m/>
    <m/>
    <n v="22768946"/>
    <m/>
    <m/>
    <m/>
    <s v="SOLFIN"/>
    <s v="SOLFIN"/>
    <s v="CCMS"/>
    <n v="21320177"/>
    <n v="32184.08"/>
    <m/>
    <s v="N"/>
    <n v="11"/>
    <d v="2023-07-03T19:04:30"/>
    <s v="Y"/>
    <s v="Court Fee"/>
    <s v="VHCC"/>
    <s v="Non Expert Disbursement"/>
    <s v="Gemma Galvani"/>
    <s v="Y"/>
    <n v="53"/>
    <n v="0"/>
    <x v="3"/>
    <s v="VALIDATED"/>
    <n v="1"/>
    <s v="01.11.80.308.6300.0000"/>
    <n v="53"/>
    <s v="11"/>
    <s v="6300"/>
    <n v="17067.72"/>
    <n v="53"/>
    <s v="CREDITOR"/>
    <n v="0"/>
    <n v="0"/>
    <n v="0"/>
    <n v="0"/>
    <n v="53"/>
  </r>
  <r>
    <n v="61004276"/>
    <s v="N"/>
    <n v="21319139"/>
    <s v="3000015209550003"/>
    <s v="CIVIL"/>
    <d v="2023-06-25T00:00:00"/>
    <d v="2023-07-03T19:01:49"/>
    <m/>
    <d v="2023-07-03T00:00:00"/>
    <n v="630"/>
    <n v="16896"/>
    <s v="61004276"/>
    <s v="61004276"/>
    <m/>
    <m/>
    <n v="22757062"/>
    <m/>
    <m/>
    <m/>
    <s v="SOLFIN"/>
    <s v="SOLFIN"/>
    <s v="CCMS"/>
    <n v="21319139"/>
    <n v="5453.69"/>
    <m/>
    <s v="N"/>
    <n v="2"/>
    <d v="2023-07-03T19:02:12"/>
    <s v="Y"/>
    <s v="Exceptional Travel"/>
    <s v="Public Law Children"/>
    <s v="Advocacy"/>
    <s v="Gemma Galvani"/>
    <s v="Y"/>
    <n v="32.04"/>
    <n v="6.41"/>
    <x v="3"/>
    <s v="VALIDATED"/>
    <n v="1"/>
    <s v="01.11.80.308.6100.0000"/>
    <n v="32.04"/>
    <s v="11"/>
    <s v="6100"/>
    <n v="17067.72"/>
    <n v="32.04"/>
    <s v="CREDITOR"/>
    <n v="0"/>
    <n v="0"/>
    <n v="0"/>
    <n v="0"/>
    <n v="32.04"/>
  </r>
  <r>
    <n v="60100745"/>
    <s v="N"/>
    <n v="21324364"/>
    <s v="3000014427470010RC"/>
    <s v="CIVIL"/>
    <d v="2023-06-27T00:00:00"/>
    <d v="2023-07-03T19:42:50"/>
    <m/>
    <d v="2023-07-03T00:00:00"/>
    <n v="630"/>
    <n v="16896"/>
    <s v="60100745"/>
    <s v="60100745"/>
    <m/>
    <m/>
    <m/>
    <m/>
    <m/>
    <m/>
    <s v="SOLRECOUP"/>
    <s v="SOLRECOUP"/>
    <s v="POARECOUP"/>
    <n v="21324364"/>
    <n v="-167"/>
    <m/>
    <s v="Y"/>
    <n v="1"/>
    <d v="2023-07-03T19:42:51"/>
    <s v="N"/>
    <m/>
    <m/>
    <s v="Non Expert Disbursement"/>
    <m/>
    <s v="N"/>
    <n v="-167"/>
    <n v="0"/>
    <x v="3"/>
    <s v="VALIDATED"/>
    <n v="1"/>
    <s v="01.11.80.308.2013.0000"/>
    <n v="-167"/>
    <s v="11"/>
    <s v="2013"/>
    <n v="17067.72"/>
    <n v="-167"/>
    <s v="CREDITOR"/>
    <n v="0"/>
    <n v="0"/>
    <n v="-167"/>
    <n v="0"/>
    <n v="0"/>
  </r>
  <r>
    <n v="60100745"/>
    <s v="N"/>
    <n v="21324364"/>
    <s v="3000014427470010RC"/>
    <s v="CIVIL"/>
    <d v="2023-06-27T00:00:00"/>
    <d v="2023-07-03T19:42:50"/>
    <m/>
    <d v="2023-07-03T00:00:00"/>
    <n v="630"/>
    <n v="16896"/>
    <s v="60100745"/>
    <s v="60100745"/>
    <m/>
    <m/>
    <m/>
    <m/>
    <m/>
    <m/>
    <s v="SOLRECOUP"/>
    <s v="SOLRECOUP"/>
    <s v="POARECOUP"/>
    <n v="21324364"/>
    <n v="-167"/>
    <m/>
    <s v="Y"/>
    <n v="2"/>
    <d v="2023-07-03T19:42:51"/>
    <s v="N"/>
    <m/>
    <m/>
    <s v="Non Expert Disbursement"/>
    <m/>
    <s v="N"/>
    <n v="0"/>
    <n v="0"/>
    <x v="3"/>
    <s v="VALIDATED"/>
    <n v="1"/>
    <s v="01.11.80.000.0000.0000"/>
    <n v="0"/>
    <s v="11"/>
    <s v="0000"/>
    <n v="17067.72"/>
    <n v="0"/>
    <s v="CREDITOR"/>
    <n v="0"/>
    <n v="0"/>
    <n v="0"/>
    <n v="0"/>
    <n v="0"/>
  </r>
  <r>
    <n v="60100745"/>
    <s v="N"/>
    <n v="21324365"/>
    <s v="3000014427470016RC"/>
    <s v="CIVIL"/>
    <d v="2023-06-27T00:00:00"/>
    <d v="2023-07-03T19:42:50"/>
    <m/>
    <d v="2023-07-03T00:00:00"/>
    <n v="630"/>
    <n v="16896"/>
    <s v="60100745"/>
    <s v="60100745"/>
    <m/>
    <m/>
    <m/>
    <m/>
    <m/>
    <m/>
    <s v="SOLRECOUP"/>
    <s v="SOLRECOUP"/>
    <s v="POARECOUP"/>
    <n v="21324365"/>
    <n v="-167"/>
    <m/>
    <s v="Y"/>
    <n v="1"/>
    <d v="2023-07-03T19:42:51"/>
    <s v="N"/>
    <m/>
    <m/>
    <s v="Non Expert Disbursement"/>
    <m/>
    <s v="N"/>
    <n v="-167"/>
    <n v="0"/>
    <x v="3"/>
    <s v="VALIDATED"/>
    <n v="1"/>
    <s v="01.11.80.308.2013.0000"/>
    <n v="-167"/>
    <s v="11"/>
    <s v="2013"/>
    <n v="17067.72"/>
    <n v="-167"/>
    <s v="CREDITOR"/>
    <n v="0"/>
    <n v="0"/>
    <n v="-167"/>
    <n v="0"/>
    <n v="0"/>
  </r>
  <r>
    <n v="60100745"/>
    <s v="N"/>
    <n v="21324365"/>
    <s v="3000014427470016RC"/>
    <s v="CIVIL"/>
    <d v="2023-06-27T00:00:00"/>
    <d v="2023-07-03T19:42:50"/>
    <m/>
    <d v="2023-07-03T00:00:00"/>
    <n v="630"/>
    <n v="16896"/>
    <s v="60100745"/>
    <s v="60100745"/>
    <m/>
    <m/>
    <m/>
    <m/>
    <m/>
    <m/>
    <s v="SOLRECOUP"/>
    <s v="SOLRECOUP"/>
    <s v="POARECOUP"/>
    <n v="21324365"/>
    <n v="-167"/>
    <m/>
    <s v="Y"/>
    <n v="2"/>
    <d v="2023-07-03T19:42:51"/>
    <s v="N"/>
    <m/>
    <m/>
    <s v="Non Expert Disbursement"/>
    <m/>
    <s v="N"/>
    <n v="0"/>
    <n v="0"/>
    <x v="3"/>
    <s v="VALIDATED"/>
    <n v="1"/>
    <s v="01.11.80.000.0000.0000"/>
    <n v="0"/>
    <s v="11"/>
    <s v="0000"/>
    <n v="17067.72"/>
    <n v="0"/>
    <s v="CREDITOR"/>
    <n v="0"/>
    <n v="0"/>
    <n v="0"/>
    <n v="0"/>
    <n v="0"/>
  </r>
  <r>
    <n v="60100745"/>
    <s v="N"/>
    <n v="21324366"/>
    <s v="3000014427470004RC"/>
    <s v="CIVIL"/>
    <d v="2023-06-27T00:00:00"/>
    <d v="2023-07-03T19:42:50"/>
    <m/>
    <d v="2023-07-03T00:00:00"/>
    <n v="630"/>
    <n v="16896"/>
    <s v="60100745"/>
    <s v="60100745"/>
    <m/>
    <m/>
    <m/>
    <m/>
    <m/>
    <m/>
    <s v="SOLRECOUP"/>
    <s v="SOLRECOUP"/>
    <s v="POARECOUP"/>
    <n v="21324366"/>
    <n v="-459.6"/>
    <m/>
    <s v="Y"/>
    <n v="1"/>
    <d v="2023-07-03T19:42:51"/>
    <s v="N"/>
    <m/>
    <m/>
    <s v="Expert Disbursement"/>
    <m/>
    <s v="N"/>
    <n v="-383"/>
    <n v="0"/>
    <x v="3"/>
    <s v="VALIDATED"/>
    <n v="1"/>
    <s v="01.11.80.308.2013.0000"/>
    <n v="-383"/>
    <s v="11"/>
    <s v="2013"/>
    <n v="17067.72"/>
    <n v="-383"/>
    <s v="CREDITOR"/>
    <n v="0"/>
    <n v="0"/>
    <n v="-383"/>
    <n v="0"/>
    <n v="0"/>
  </r>
  <r>
    <n v="60100745"/>
    <s v="N"/>
    <n v="21324366"/>
    <s v="3000014427470004RC"/>
    <s v="CIVIL"/>
    <d v="2023-06-27T00:00:00"/>
    <d v="2023-07-03T19:42:50"/>
    <m/>
    <d v="2023-07-03T00:00:00"/>
    <n v="630"/>
    <n v="16896"/>
    <s v="60100745"/>
    <s v="60100745"/>
    <m/>
    <m/>
    <m/>
    <m/>
    <m/>
    <m/>
    <s v="SOLRECOUP"/>
    <s v="SOLRECOUP"/>
    <s v="POARECOUP"/>
    <n v="21324366"/>
    <n v="-459.6"/>
    <m/>
    <s v="Y"/>
    <n v="2"/>
    <d v="2023-07-03T19:42:51"/>
    <s v="N"/>
    <m/>
    <m/>
    <s v="Expert Disbursement"/>
    <m/>
    <s v="N"/>
    <n v="0"/>
    <n v="-76.59999999999999"/>
    <x v="3"/>
    <s v="VALIDATED"/>
    <n v="1"/>
    <s v="01.11.80.308.2013.0000"/>
    <n v="-76.59999999999999"/>
    <s v="11"/>
    <s v="2013"/>
    <n v="17067.72"/>
    <n v="-76.59999999999999"/>
    <s v="CREDITOR"/>
    <n v="0"/>
    <n v="0"/>
    <n v="-76.59999999999999"/>
    <n v="0"/>
    <n v="0"/>
  </r>
  <r>
    <n v="60100745"/>
    <s v="N"/>
    <n v="21324367"/>
    <s v="3000014427470006RC"/>
    <s v="CIVIL"/>
    <d v="2023-06-27T00:00:00"/>
    <d v="2023-07-03T19:42:50"/>
    <m/>
    <d v="2023-07-03T00:00:00"/>
    <n v="630"/>
    <n v="16896"/>
    <s v="60100745"/>
    <s v="60100745"/>
    <m/>
    <m/>
    <m/>
    <m/>
    <m/>
    <m/>
    <s v="SOLRECOUP"/>
    <s v="SOLRECOUP"/>
    <s v="POARECOUP"/>
    <n v="21324367"/>
    <n v="-53"/>
    <m/>
    <s v="Y"/>
    <n v="1"/>
    <d v="2023-07-03T19:42:51"/>
    <s v="N"/>
    <m/>
    <m/>
    <s v="Non Expert Disbursement"/>
    <m/>
    <s v="N"/>
    <n v="-53"/>
    <n v="0"/>
    <x v="3"/>
    <s v="VALIDATED"/>
    <n v="1"/>
    <s v="01.11.80.308.2013.0000"/>
    <n v="-53"/>
    <s v="11"/>
    <s v="2013"/>
    <n v="17067.72"/>
    <n v="-53"/>
    <s v="CREDITOR"/>
    <n v="0"/>
    <n v="0"/>
    <n v="-53"/>
    <n v="0"/>
    <n v="0"/>
  </r>
  <r>
    <n v="60100745"/>
    <s v="N"/>
    <n v="21324367"/>
    <s v="3000014427470006RC"/>
    <s v="CIVIL"/>
    <d v="2023-06-27T00:00:00"/>
    <d v="2023-07-03T19:42:50"/>
    <m/>
    <d v="2023-07-03T00:00:00"/>
    <n v="630"/>
    <n v="16896"/>
    <s v="60100745"/>
    <s v="60100745"/>
    <m/>
    <m/>
    <m/>
    <m/>
    <m/>
    <m/>
    <s v="SOLRECOUP"/>
    <s v="SOLRECOUP"/>
    <s v="POARECOUP"/>
    <n v="21324367"/>
    <n v="-53"/>
    <m/>
    <s v="Y"/>
    <n v="2"/>
    <d v="2023-07-03T19:42:51"/>
    <s v="N"/>
    <m/>
    <m/>
    <s v="Non Expert Disbursement"/>
    <m/>
    <s v="N"/>
    <n v="0"/>
    <n v="0"/>
    <x v="3"/>
    <s v="VALIDATED"/>
    <n v="1"/>
    <s v="01.11.80.000.0000.0000"/>
    <n v="0"/>
    <s v="11"/>
    <s v="0000"/>
    <n v="17067.72"/>
    <n v="0"/>
    <s v="CREDITOR"/>
    <n v="0"/>
    <n v="0"/>
    <n v="0"/>
    <n v="0"/>
    <n v="0"/>
  </r>
  <r>
    <n v="9124328"/>
    <s v="N"/>
    <n v="21339918"/>
    <s v="3000005123040011RC"/>
    <s v="CIVIL"/>
    <d v="2023-06-27T00:00:00"/>
    <d v="2023-07-06T19:54:22"/>
    <m/>
    <d v="2023-07-06T00:00:00"/>
    <n v="636"/>
    <n v="16940"/>
    <s v="9124328"/>
    <s v="9124328"/>
    <m/>
    <m/>
    <m/>
    <m/>
    <m/>
    <m/>
    <s v="SOLRECOUP"/>
    <s v="SOLRECOUP"/>
    <s v="POARECOUP"/>
    <n v="21339918"/>
    <n v="-46.44"/>
    <m/>
    <s v="Y"/>
    <n v="1"/>
    <d v="2023-07-06T19:54:23"/>
    <s v="N"/>
    <m/>
    <m/>
    <s v="Non Expert Disbursement"/>
    <m/>
    <s v="N"/>
    <n v="-38.7"/>
    <n v="0"/>
    <x v="4"/>
    <s v="VALIDATED"/>
    <n v="1"/>
    <s v="01.11.80.308.2013.0000"/>
    <n v="-38.7"/>
    <s v="11"/>
    <s v="2013"/>
    <n v="3204.77"/>
    <n v="-38.7"/>
    <s v="CREDITOR"/>
    <n v="0"/>
    <n v="0"/>
    <n v="-38.7"/>
    <n v="0"/>
    <n v="0"/>
  </r>
  <r>
    <n v="9124328"/>
    <s v="N"/>
    <n v="21339918"/>
    <s v="3000005123040011RC"/>
    <s v="CIVIL"/>
    <d v="2023-06-27T00:00:00"/>
    <d v="2023-07-06T19:54:22"/>
    <m/>
    <d v="2023-07-06T00:00:00"/>
    <n v="636"/>
    <n v="16940"/>
    <s v="9124328"/>
    <s v="9124328"/>
    <m/>
    <m/>
    <m/>
    <m/>
    <m/>
    <m/>
    <s v="SOLRECOUP"/>
    <s v="SOLRECOUP"/>
    <s v="POARECOUP"/>
    <n v="21339918"/>
    <n v="-46.44"/>
    <m/>
    <s v="Y"/>
    <n v="2"/>
    <d v="2023-07-06T19:54:23"/>
    <s v="N"/>
    <m/>
    <m/>
    <s v="Non Expert Disbursement"/>
    <m/>
    <s v="N"/>
    <n v="0"/>
    <n v="-7.74"/>
    <x v="4"/>
    <s v="VALIDATED"/>
    <n v="1"/>
    <s v="01.11.80.308.2013.0000"/>
    <n v="-7.74"/>
    <s v="11"/>
    <s v="2013"/>
    <n v="3204.77"/>
    <n v="-7.74"/>
    <s v="CREDITOR"/>
    <n v="0"/>
    <n v="0"/>
    <n v="-7.74"/>
    <n v="0"/>
    <n v="0"/>
  </r>
  <r>
    <n v="9124328"/>
    <s v="N"/>
    <n v="21339919"/>
    <s v="3000005123040012RC"/>
    <s v="CIVIL"/>
    <d v="2023-06-27T00:00:00"/>
    <d v="2023-07-06T19:54:22"/>
    <m/>
    <d v="2023-07-06T00:00:00"/>
    <n v="636"/>
    <n v="16940"/>
    <s v="9124328"/>
    <s v="9124328"/>
    <m/>
    <m/>
    <m/>
    <m/>
    <m/>
    <m/>
    <s v="SOLRECOUP"/>
    <s v="SOLRECOUP"/>
    <s v="POARECOUP"/>
    <n v="21339919"/>
    <n v="-18.84"/>
    <m/>
    <s v="Y"/>
    <n v="1"/>
    <d v="2023-07-06T19:54:23"/>
    <s v="N"/>
    <m/>
    <m/>
    <s v="Non Expert Disbursement"/>
    <m/>
    <s v="N"/>
    <n v="-15.7"/>
    <n v="0"/>
    <x v="4"/>
    <s v="VALIDATED"/>
    <n v="1"/>
    <s v="01.11.80.308.2013.0000"/>
    <n v="-15.7"/>
    <s v="11"/>
    <s v="2013"/>
    <n v="3204.77"/>
    <n v="-15.7"/>
    <s v="CREDITOR"/>
    <n v="0"/>
    <n v="0"/>
    <n v="-15.7"/>
    <n v="0"/>
    <n v="0"/>
  </r>
  <r>
    <n v="9124328"/>
    <s v="N"/>
    <n v="21339919"/>
    <s v="3000005123040012RC"/>
    <s v="CIVIL"/>
    <d v="2023-06-27T00:00:00"/>
    <d v="2023-07-06T19:54:22"/>
    <m/>
    <d v="2023-07-06T00:00:00"/>
    <n v="636"/>
    <n v="16940"/>
    <s v="9124328"/>
    <s v="9124328"/>
    <m/>
    <m/>
    <m/>
    <m/>
    <m/>
    <m/>
    <s v="SOLRECOUP"/>
    <s v="SOLRECOUP"/>
    <s v="POARECOUP"/>
    <n v="21339919"/>
    <n v="-18.84"/>
    <m/>
    <s v="Y"/>
    <n v="2"/>
    <d v="2023-07-06T19:54:23"/>
    <s v="N"/>
    <m/>
    <m/>
    <s v="Non Expert Disbursement"/>
    <m/>
    <s v="N"/>
    <n v="0"/>
    <n v="-3.14"/>
    <x v="4"/>
    <s v="VALIDATED"/>
    <n v="1"/>
    <s v="01.11.80.308.2013.0000"/>
    <n v="-3.14"/>
    <s v="11"/>
    <s v="2013"/>
    <n v="3204.77"/>
    <n v="-3.14"/>
    <s v="CREDITOR"/>
    <n v="0"/>
    <n v="0"/>
    <n v="-3.14"/>
    <n v="0"/>
    <n v="0"/>
  </r>
  <r>
    <n v="9867407"/>
    <s v="N"/>
    <n v="21366330"/>
    <s v="3000005778270001RC"/>
    <s v="CIVIL"/>
    <d v="2023-06-29T00:00:00"/>
    <d v="2023-07-12T19:45:17"/>
    <m/>
    <d v="2023-07-12T00:00:00"/>
    <n v="636"/>
    <n v="16940"/>
    <s v="9867407"/>
    <s v="9867407"/>
    <m/>
    <m/>
    <m/>
    <m/>
    <m/>
    <m/>
    <s v="SOLRECOUP"/>
    <s v="SOLRECOUP"/>
    <s v="POARECOUP"/>
    <n v="21366330"/>
    <n v="-2293.2"/>
    <m/>
    <s v="Y"/>
    <n v="2"/>
    <d v="2023-07-12T19:45:18"/>
    <s v="N"/>
    <m/>
    <m/>
    <s v="Profit Cost"/>
    <m/>
    <s v="N"/>
    <n v="0"/>
    <n v="-382.2"/>
    <x v="0"/>
    <s v="VALIDATED"/>
    <n v="1"/>
    <s v="01.11.80.305.2013.0000"/>
    <n v="-382.2"/>
    <s v="11"/>
    <s v="2013"/>
    <n v="3204.77"/>
    <n v="-382.2"/>
    <s v="CREDITOR"/>
    <n v="0"/>
    <n v="0"/>
    <n v="-382.2"/>
    <n v="-95.55"/>
    <n v="0"/>
  </r>
  <r>
    <n v="9867407"/>
    <s v="N"/>
    <n v="21366330"/>
    <s v="3000005778270001RC"/>
    <s v="CIVIL"/>
    <d v="2023-06-29T00:00:00"/>
    <d v="2023-07-12T19:45:17"/>
    <m/>
    <d v="2023-07-12T00:00:00"/>
    <n v="636"/>
    <n v="16940"/>
    <s v="9867407"/>
    <s v="9867407"/>
    <m/>
    <m/>
    <m/>
    <m/>
    <m/>
    <m/>
    <s v="SOLRECOUP"/>
    <s v="SOLRECOUP"/>
    <s v="POARECOUP"/>
    <n v="21366330"/>
    <n v="-2293.2"/>
    <m/>
    <s v="Y"/>
    <n v="1"/>
    <d v="2023-07-12T19:45:18"/>
    <s v="N"/>
    <m/>
    <m/>
    <s v="Profit Cost"/>
    <m/>
    <s v="N"/>
    <n v="-1911"/>
    <n v="0"/>
    <x v="0"/>
    <s v="VALIDATED"/>
    <n v="1"/>
    <s v="01.11.80.305.2013.0000"/>
    <n v="-1911"/>
    <s v="11"/>
    <s v="2013"/>
    <n v="3204.77"/>
    <n v="-1911"/>
    <s v="CREDITOR"/>
    <n v="0"/>
    <n v="0"/>
    <n v="-1911"/>
    <n v="-477.75"/>
    <n v="0"/>
  </r>
  <r>
    <n v="9867407"/>
    <s v="N"/>
    <n v="21366331"/>
    <s v="3000005778270002RC"/>
    <s v="CIVIL"/>
    <d v="2023-06-29T00:00:00"/>
    <d v="2023-07-12T19:45:17"/>
    <m/>
    <d v="2023-07-12T00:00:00"/>
    <n v="636"/>
    <n v="16940"/>
    <s v="9867407"/>
    <s v="9867407"/>
    <m/>
    <m/>
    <m/>
    <m/>
    <m/>
    <m/>
    <s v="SOLRECOUP"/>
    <s v="SOLRECOUP"/>
    <s v="POARECOUP"/>
    <n v="21366331"/>
    <n v="-43.2"/>
    <m/>
    <s v="Y"/>
    <n v="2"/>
    <d v="2023-07-12T19:45:18"/>
    <s v="N"/>
    <m/>
    <m/>
    <s v="Non Expert Disbursement"/>
    <m/>
    <s v="N"/>
    <n v="0"/>
    <n v="-7.2"/>
    <x v="0"/>
    <s v="VALIDATED"/>
    <n v="1"/>
    <s v="01.11.80.305.2013.0000"/>
    <n v="-7.2"/>
    <s v="11"/>
    <s v="2013"/>
    <n v="3204.77"/>
    <n v="-7.2"/>
    <s v="CREDITOR"/>
    <n v="0"/>
    <n v="0"/>
    <n v="-7.2"/>
    <n v="0"/>
    <n v="0"/>
  </r>
  <r>
    <n v="9867407"/>
    <s v="N"/>
    <n v="21366331"/>
    <s v="3000005778270002RC"/>
    <s v="CIVIL"/>
    <d v="2023-06-29T00:00:00"/>
    <d v="2023-07-12T19:45:17"/>
    <m/>
    <d v="2023-07-12T00:00:00"/>
    <n v="636"/>
    <n v="16940"/>
    <s v="9867407"/>
    <s v="9867407"/>
    <m/>
    <m/>
    <m/>
    <m/>
    <m/>
    <m/>
    <s v="SOLRECOUP"/>
    <s v="SOLRECOUP"/>
    <s v="POARECOUP"/>
    <n v="21366331"/>
    <n v="-43.2"/>
    <m/>
    <s v="Y"/>
    <n v="1"/>
    <d v="2023-07-12T19:45:18"/>
    <s v="N"/>
    <m/>
    <m/>
    <s v="Non Expert Disbursement"/>
    <m/>
    <s v="N"/>
    <n v="-36"/>
    <n v="0"/>
    <x v="0"/>
    <s v="VALIDATED"/>
    <n v="1"/>
    <s v="01.11.80.305.2013.0000"/>
    <n v="-36"/>
    <s v="11"/>
    <s v="2013"/>
    <n v="3204.77"/>
    <n v="-36"/>
    <s v="CREDITOR"/>
    <n v="0"/>
    <n v="0"/>
    <n v="-36"/>
    <n v="0"/>
    <n v="0"/>
  </r>
  <r>
    <n v="9867407"/>
    <s v="N"/>
    <n v="21366332"/>
    <s v="3000005778270003RC"/>
    <s v="CIVIL"/>
    <d v="2023-06-29T00:00:00"/>
    <d v="2023-07-12T19:45:17"/>
    <m/>
    <d v="2023-07-12T00:00:00"/>
    <n v="636"/>
    <n v="16940"/>
    <s v="9867407"/>
    <s v="9867407"/>
    <m/>
    <m/>
    <m/>
    <m/>
    <m/>
    <m/>
    <s v="SOLRECOUP"/>
    <s v="SOLRECOUP"/>
    <s v="POARECOUP"/>
    <n v="21366332"/>
    <n v="-15.12"/>
    <m/>
    <s v="Y"/>
    <n v="1"/>
    <d v="2023-07-12T19:45:18"/>
    <s v="N"/>
    <m/>
    <m/>
    <s v="Non Expert Disbursement"/>
    <m/>
    <s v="N"/>
    <n v="-12.6"/>
    <n v="0"/>
    <x v="0"/>
    <s v="VALIDATED"/>
    <n v="1"/>
    <s v="01.11.80.305.2013.0000"/>
    <n v="-12.6"/>
    <s v="11"/>
    <s v="2013"/>
    <n v="3204.77"/>
    <n v="-12.6"/>
    <s v="CREDITOR"/>
    <n v="0"/>
    <n v="0"/>
    <n v="-12.6"/>
    <n v="0"/>
    <n v="0"/>
  </r>
  <r>
    <n v="9867407"/>
    <s v="N"/>
    <n v="21366332"/>
    <s v="3000005778270003RC"/>
    <s v="CIVIL"/>
    <d v="2023-06-29T00:00:00"/>
    <d v="2023-07-12T19:45:17"/>
    <m/>
    <d v="2023-07-12T00:00:00"/>
    <n v="636"/>
    <n v="16940"/>
    <s v="9867407"/>
    <s v="9867407"/>
    <m/>
    <m/>
    <m/>
    <m/>
    <m/>
    <m/>
    <s v="SOLRECOUP"/>
    <s v="SOLRECOUP"/>
    <s v="POARECOUP"/>
    <n v="21366332"/>
    <n v="-15.12"/>
    <m/>
    <s v="Y"/>
    <n v="2"/>
    <d v="2023-07-12T19:45:18"/>
    <s v="N"/>
    <m/>
    <m/>
    <s v="Non Expert Disbursement"/>
    <m/>
    <s v="N"/>
    <n v="0"/>
    <n v="-2.52"/>
    <x v="0"/>
    <s v="VALIDATED"/>
    <n v="1"/>
    <s v="01.11.80.305.2013.0000"/>
    <n v="-2.52"/>
    <s v="11"/>
    <s v="2013"/>
    <n v="3204.77"/>
    <n v="-2.52"/>
    <s v="CREDITOR"/>
    <n v="0"/>
    <n v="0"/>
    <n v="-2.52"/>
    <n v="0"/>
    <n v="0"/>
  </r>
  <r>
    <n v="9867407"/>
    <s v="N"/>
    <n v="21366333"/>
    <s v="3000005778270004RC"/>
    <s v="CIVIL"/>
    <d v="2023-06-29T00:00:00"/>
    <d v="2023-07-12T19:45:17"/>
    <m/>
    <d v="2023-07-12T00:00:00"/>
    <n v="636"/>
    <n v="16940"/>
    <s v="9867407"/>
    <s v="9867407"/>
    <m/>
    <m/>
    <m/>
    <m/>
    <m/>
    <m/>
    <s v="SOLRECOUP"/>
    <s v="SOLRECOUP"/>
    <s v="POARECOUP"/>
    <n v="21366333"/>
    <n v="-86.40000000000001"/>
    <m/>
    <s v="Y"/>
    <n v="1"/>
    <d v="2023-07-12T19:45:18"/>
    <s v="N"/>
    <m/>
    <m/>
    <s v="Non Expert Disbursement"/>
    <m/>
    <s v="N"/>
    <n v="-72"/>
    <n v="0"/>
    <x v="0"/>
    <s v="VALIDATED"/>
    <n v="1"/>
    <s v="01.11.80.305.2013.0000"/>
    <n v="-72"/>
    <s v="11"/>
    <s v="2013"/>
    <n v="3204.77"/>
    <n v="-72"/>
    <s v="CREDITOR"/>
    <n v="0"/>
    <n v="0"/>
    <n v="-72"/>
    <n v="0"/>
    <n v="0"/>
  </r>
  <r>
    <n v="9867407"/>
    <s v="N"/>
    <n v="21366333"/>
    <s v="3000005778270004RC"/>
    <s v="CIVIL"/>
    <d v="2023-06-29T00:00:00"/>
    <d v="2023-07-12T19:45:17"/>
    <m/>
    <d v="2023-07-12T00:00:00"/>
    <n v="636"/>
    <n v="16940"/>
    <s v="9867407"/>
    <s v="9867407"/>
    <m/>
    <m/>
    <m/>
    <m/>
    <m/>
    <m/>
    <s v="SOLRECOUP"/>
    <s v="SOLRECOUP"/>
    <s v="POARECOUP"/>
    <n v="21366333"/>
    <n v="-86.40000000000001"/>
    <m/>
    <s v="Y"/>
    <n v="2"/>
    <d v="2023-07-12T19:45:18"/>
    <s v="N"/>
    <m/>
    <m/>
    <s v="Non Expert Disbursement"/>
    <m/>
    <s v="N"/>
    <n v="0"/>
    <n v="-14.4"/>
    <x v="0"/>
    <s v="VALIDATED"/>
    <n v="1"/>
    <s v="01.11.80.305.2013.0000"/>
    <n v="-14.4"/>
    <s v="11"/>
    <s v="2013"/>
    <n v="3204.77"/>
    <n v="-14.4"/>
    <s v="CREDITOR"/>
    <n v="0"/>
    <n v="0"/>
    <n v="-14.4"/>
    <n v="0"/>
    <n v="0"/>
  </r>
  <r>
    <n v="9357342"/>
    <s v="N"/>
    <n v="21333776"/>
    <s v="3000005320400005RC"/>
    <s v="CIVIL"/>
    <d v="2023-06-22T00:00:00"/>
    <d v="2023-07-05T19:42:28"/>
    <m/>
    <d v="2023-07-05T00:00:00"/>
    <n v="636"/>
    <n v="16940"/>
    <s v="9357342"/>
    <s v="9357342"/>
    <m/>
    <m/>
    <m/>
    <m/>
    <m/>
    <m/>
    <s v="SOLRECOUP"/>
    <s v="SOLRECOUP"/>
    <s v="POARECOUP"/>
    <n v="21333776"/>
    <n v="-28.08"/>
    <m/>
    <s v="Y"/>
    <n v="1"/>
    <d v="2023-07-05T19:42:28"/>
    <s v="N"/>
    <m/>
    <m/>
    <s v="Non Expert Disbursement"/>
    <m/>
    <s v="N"/>
    <n v="-23.4"/>
    <n v="0"/>
    <x v="6"/>
    <s v="VALIDATED"/>
    <n v="1"/>
    <s v="01.11.80.308.2013.0000"/>
    <n v="-23.4"/>
    <s v="11"/>
    <s v="2013"/>
    <n v="3204.77"/>
    <n v="-23.4"/>
    <s v="CREDITOR"/>
    <n v="0"/>
    <n v="0"/>
    <n v="-23.4"/>
    <n v="0"/>
    <n v="0"/>
  </r>
  <r>
    <n v="9357342"/>
    <s v="N"/>
    <n v="21333776"/>
    <s v="3000005320400005RC"/>
    <s v="CIVIL"/>
    <d v="2023-06-22T00:00:00"/>
    <d v="2023-07-05T19:42:28"/>
    <m/>
    <d v="2023-07-05T00:00:00"/>
    <n v="636"/>
    <n v="16940"/>
    <s v="9357342"/>
    <s v="9357342"/>
    <m/>
    <m/>
    <m/>
    <m/>
    <m/>
    <m/>
    <s v="SOLRECOUP"/>
    <s v="SOLRECOUP"/>
    <s v="POARECOUP"/>
    <n v="21333776"/>
    <n v="-28.08"/>
    <m/>
    <s v="Y"/>
    <n v="2"/>
    <d v="2023-07-05T19:42:28"/>
    <s v="N"/>
    <m/>
    <m/>
    <s v="Non Expert Disbursement"/>
    <m/>
    <s v="N"/>
    <n v="0"/>
    <n v="-4.68"/>
    <x v="6"/>
    <s v="VALIDATED"/>
    <n v="1"/>
    <s v="01.11.80.308.2013.0000"/>
    <n v="-4.68"/>
    <s v="11"/>
    <s v="2013"/>
    <n v="3204.77"/>
    <n v="-4.68"/>
    <s v="CREDITOR"/>
    <n v="0"/>
    <n v="0"/>
    <n v="-4.68"/>
    <n v="0"/>
    <n v="0"/>
  </r>
  <r>
    <n v="9357342"/>
    <s v="N"/>
    <n v="21333777"/>
    <s v="3000005320400006RC"/>
    <s v="CIVIL"/>
    <d v="2023-06-22T00:00:00"/>
    <d v="2023-07-05T19:42:28"/>
    <m/>
    <d v="2023-07-05T00:00:00"/>
    <n v="636"/>
    <n v="16940"/>
    <s v="9357342"/>
    <s v="9357342"/>
    <m/>
    <m/>
    <m/>
    <m/>
    <m/>
    <m/>
    <s v="SOLRECOUP"/>
    <s v="SOLRECOUP"/>
    <s v="POARECOUP"/>
    <n v="21333777"/>
    <n v="-47.4"/>
    <m/>
    <s v="Y"/>
    <n v="1"/>
    <d v="2023-07-05T19:42:28"/>
    <s v="N"/>
    <m/>
    <m/>
    <s v="Non Expert Disbursement"/>
    <m/>
    <s v="N"/>
    <n v="-39.5"/>
    <n v="0"/>
    <x v="6"/>
    <s v="VALIDATED"/>
    <n v="1"/>
    <s v="01.11.80.308.2013.0000"/>
    <n v="-39.5"/>
    <s v="11"/>
    <s v="2013"/>
    <n v="3204.77"/>
    <n v="-39.5"/>
    <s v="CREDITOR"/>
    <n v="0"/>
    <n v="0"/>
    <n v="-39.5"/>
    <n v="0"/>
    <n v="0"/>
  </r>
  <r>
    <n v="9357342"/>
    <s v="N"/>
    <n v="21333777"/>
    <s v="3000005320400006RC"/>
    <s v="CIVIL"/>
    <d v="2023-06-22T00:00:00"/>
    <d v="2023-07-05T19:42:28"/>
    <m/>
    <d v="2023-07-05T00:00:00"/>
    <n v="636"/>
    <n v="16940"/>
    <s v="9357342"/>
    <s v="9357342"/>
    <m/>
    <m/>
    <m/>
    <m/>
    <m/>
    <m/>
    <s v="SOLRECOUP"/>
    <s v="SOLRECOUP"/>
    <s v="POARECOUP"/>
    <n v="21333777"/>
    <n v="-47.4"/>
    <m/>
    <s v="Y"/>
    <n v="2"/>
    <d v="2023-07-05T19:42:28"/>
    <s v="N"/>
    <m/>
    <m/>
    <s v="Non Expert Disbursement"/>
    <m/>
    <s v="N"/>
    <n v="0"/>
    <n v="-7.9"/>
    <x v="6"/>
    <s v="VALIDATED"/>
    <n v="1"/>
    <s v="01.11.80.308.2013.0000"/>
    <n v="-7.9"/>
    <s v="11"/>
    <s v="2013"/>
    <n v="3204.77"/>
    <n v="-7.9"/>
    <s v="CREDITOR"/>
    <n v="0"/>
    <n v="0"/>
    <n v="-7.9"/>
    <n v="0"/>
    <n v="0"/>
  </r>
  <r>
    <n v="9864254"/>
    <s v="N"/>
    <n v="21333778"/>
    <s v="3000005750570002RC"/>
    <s v="CIVIL"/>
    <d v="2023-06-24T00:00:00"/>
    <d v="2023-07-05T19:42:28"/>
    <m/>
    <d v="2023-07-05T00:00:00"/>
    <n v="636"/>
    <n v="16940"/>
    <s v="9864254"/>
    <s v="9864254"/>
    <m/>
    <m/>
    <m/>
    <m/>
    <m/>
    <m/>
    <s v="SOLRECOUP"/>
    <s v="SOLRECOUP"/>
    <s v="POARECOUP"/>
    <n v="21333778"/>
    <n v="-2605.27"/>
    <m/>
    <s v="Y"/>
    <n v="1"/>
    <d v="2023-07-05T19:42:28"/>
    <s v="N"/>
    <m/>
    <m/>
    <s v="Profit Cost"/>
    <m/>
    <s v="N"/>
    <n v="-2171.06"/>
    <n v="0"/>
    <x v="6"/>
    <s v="VALIDATED"/>
    <n v="1"/>
    <s v="01.11.80.308.2013.0000"/>
    <n v="-2171.06"/>
    <s v="11"/>
    <s v="2013"/>
    <n v="3204.77"/>
    <n v="-2171.06"/>
    <s v="CREDITOR"/>
    <n v="0"/>
    <n v="0"/>
    <n v="-2171.06"/>
    <n v="-542.765"/>
    <n v="0"/>
  </r>
  <r>
    <n v="9341325"/>
    <s v="N"/>
    <n v="21328623"/>
    <s v="3000005310670003RC"/>
    <s v="CIVIL"/>
    <d v="2023-06-24T00:00:00"/>
    <d v="2023-07-04T19:38:21"/>
    <m/>
    <d v="2023-07-04T00:00:00"/>
    <n v="636"/>
    <n v="16940"/>
    <s v="9341325"/>
    <s v="9341325"/>
    <m/>
    <m/>
    <m/>
    <m/>
    <m/>
    <m/>
    <s v="SOLRECOUP"/>
    <s v="SOLRECOUP"/>
    <s v="POARECOUP"/>
    <n v="21328623"/>
    <n v="-1938.46"/>
    <m/>
    <s v="Y"/>
    <n v="2"/>
    <d v="2023-07-04T19:38:22"/>
    <s v="N"/>
    <m/>
    <m/>
    <s v="Profit Cost"/>
    <m/>
    <s v="N"/>
    <n v="0"/>
    <n v="-323.08"/>
    <x v="1"/>
    <s v="VALIDATED"/>
    <n v="1"/>
    <s v="01.11.80.308.2013.0000"/>
    <n v="-323.08"/>
    <s v="11"/>
    <s v="2013"/>
    <n v="3204.77"/>
    <n v="-323.08"/>
    <s v="CREDITOR"/>
    <n v="0"/>
    <n v="0"/>
    <n v="-323.08"/>
    <n v="-80.77"/>
    <n v="0"/>
  </r>
  <r>
    <n v="9341325"/>
    <s v="N"/>
    <n v="21328624"/>
    <s v="3000005310670007RC"/>
    <s v="CIVIL"/>
    <d v="2023-06-24T00:00:00"/>
    <d v="2023-07-04T19:38:21"/>
    <m/>
    <d v="2023-07-04T00:00:00"/>
    <n v="636"/>
    <n v="16940"/>
    <s v="9341325"/>
    <s v="9341325"/>
    <m/>
    <m/>
    <m/>
    <m/>
    <m/>
    <m/>
    <s v="SOLRECOUP"/>
    <s v="SOLRECOUP"/>
    <s v="POARECOUP"/>
    <n v="21328624"/>
    <n v="-93.95999999999999"/>
    <m/>
    <s v="Y"/>
    <n v="1"/>
    <d v="2023-07-04T19:38:22"/>
    <s v="N"/>
    <m/>
    <m/>
    <s v="Non Expert Disbursement"/>
    <m/>
    <s v="N"/>
    <n v="-78.3"/>
    <n v="0"/>
    <x v="1"/>
    <s v="VALIDATED"/>
    <n v="1"/>
    <s v="01.11.80.308.2013.0000"/>
    <n v="-78.3"/>
    <s v="11"/>
    <s v="2013"/>
    <n v="3204.77"/>
    <n v="-78.3"/>
    <s v="CREDITOR"/>
    <n v="0"/>
    <n v="0"/>
    <n v="-78.3"/>
    <n v="0"/>
    <n v="0"/>
  </r>
  <r>
    <n v="9341325"/>
    <s v="N"/>
    <n v="21328624"/>
    <s v="3000005310670007RC"/>
    <s v="CIVIL"/>
    <d v="2023-06-24T00:00:00"/>
    <d v="2023-07-04T19:38:21"/>
    <m/>
    <d v="2023-07-04T00:00:00"/>
    <n v="636"/>
    <n v="16940"/>
    <s v="9341325"/>
    <s v="9341325"/>
    <m/>
    <m/>
    <m/>
    <m/>
    <m/>
    <m/>
    <s v="SOLRECOUP"/>
    <s v="SOLRECOUP"/>
    <s v="POARECOUP"/>
    <n v="21328624"/>
    <n v="-93.95999999999999"/>
    <m/>
    <s v="Y"/>
    <n v="2"/>
    <d v="2023-07-04T19:38:22"/>
    <s v="N"/>
    <m/>
    <m/>
    <s v="Non Expert Disbursement"/>
    <m/>
    <s v="N"/>
    <n v="0"/>
    <n v="-15.66"/>
    <x v="1"/>
    <s v="VALIDATED"/>
    <n v="1"/>
    <s v="01.11.80.308.2013.0000"/>
    <n v="-15.66"/>
    <s v="11"/>
    <s v="2013"/>
    <n v="3204.77"/>
    <n v="-15.66"/>
    <s v="CREDITOR"/>
    <n v="0"/>
    <n v="0"/>
    <n v="-15.66"/>
    <n v="0"/>
    <n v="0"/>
  </r>
  <r>
    <n v="9341325"/>
    <s v="N"/>
    <n v="21328625"/>
    <s v="3000005310670008RC"/>
    <s v="CIVIL"/>
    <d v="2023-06-24T00:00:00"/>
    <d v="2023-07-04T19:38:21"/>
    <m/>
    <d v="2023-07-04T00:00:00"/>
    <n v="636"/>
    <n v="16940"/>
    <s v="9341325"/>
    <s v="9341325"/>
    <m/>
    <m/>
    <m/>
    <m/>
    <m/>
    <m/>
    <s v="SOLRECOUP"/>
    <s v="SOLRECOUP"/>
    <s v="POARECOUP"/>
    <n v="21328625"/>
    <n v="-21.72"/>
    <m/>
    <s v="Y"/>
    <n v="1"/>
    <d v="2023-07-04T19:38:22"/>
    <s v="N"/>
    <m/>
    <m/>
    <s v="Non Expert Disbursement"/>
    <m/>
    <s v="N"/>
    <n v="-18.1"/>
    <n v="0"/>
    <x v="1"/>
    <s v="VALIDATED"/>
    <n v="1"/>
    <s v="01.11.80.308.2013.0000"/>
    <n v="-18.1"/>
    <s v="11"/>
    <s v="2013"/>
    <n v="3204.77"/>
    <n v="-18.1"/>
    <s v="CREDITOR"/>
    <n v="0"/>
    <n v="0"/>
    <n v="-18.1"/>
    <n v="0"/>
    <n v="0"/>
  </r>
  <r>
    <n v="9341325"/>
    <s v="N"/>
    <n v="21328625"/>
    <s v="3000005310670008RC"/>
    <s v="CIVIL"/>
    <d v="2023-06-24T00:00:00"/>
    <d v="2023-07-04T19:38:21"/>
    <m/>
    <d v="2023-07-04T00:00:00"/>
    <n v="636"/>
    <n v="16940"/>
    <s v="9341325"/>
    <s v="9341325"/>
    <m/>
    <m/>
    <m/>
    <m/>
    <m/>
    <m/>
    <s v="SOLRECOUP"/>
    <s v="SOLRECOUP"/>
    <s v="POARECOUP"/>
    <n v="21328625"/>
    <n v="-21.72"/>
    <m/>
    <s v="Y"/>
    <n v="2"/>
    <d v="2023-07-04T19:38:22"/>
    <s v="N"/>
    <m/>
    <m/>
    <s v="Non Expert Disbursement"/>
    <m/>
    <s v="N"/>
    <n v="0"/>
    <n v="-3.62"/>
    <x v="1"/>
    <s v="VALIDATED"/>
    <n v="1"/>
    <s v="01.11.80.308.2013.0000"/>
    <n v="-3.62"/>
    <s v="11"/>
    <s v="2013"/>
    <n v="3204.77"/>
    <n v="-3.62"/>
    <s v="CREDITOR"/>
    <n v="0"/>
    <n v="0"/>
    <n v="-3.62"/>
    <n v="0"/>
    <n v="0"/>
  </r>
  <r>
    <n v="9124328"/>
    <s v="N"/>
    <n v="21339909"/>
    <s v="3000005123040001RC"/>
    <s v="CIVIL"/>
    <d v="2023-06-27T00:00:00"/>
    <d v="2023-07-06T19:54:22"/>
    <m/>
    <d v="2023-07-06T00:00:00"/>
    <n v="636"/>
    <n v="16940"/>
    <s v="9124328"/>
    <s v="9124328"/>
    <m/>
    <m/>
    <m/>
    <m/>
    <m/>
    <m/>
    <s v="SOLRECOUP"/>
    <s v="SOLRECOUP"/>
    <s v="POARECOUP"/>
    <n v="21339909"/>
    <n v="-38.7"/>
    <m/>
    <s v="Y"/>
    <n v="1"/>
    <d v="2023-07-06T19:54:23"/>
    <s v="N"/>
    <m/>
    <m/>
    <s v="Non Expert Disbursement"/>
    <m/>
    <s v="N"/>
    <n v="-38.7"/>
    <n v="0"/>
    <x v="4"/>
    <s v="VALIDATED"/>
    <n v="1"/>
    <s v="01.11.80.308.2013.0000"/>
    <n v="-38.7"/>
    <s v="11"/>
    <s v="2013"/>
    <n v="3204.77"/>
    <n v="-38.7"/>
    <s v="CREDITOR"/>
    <n v="0"/>
    <n v="0"/>
    <n v="-38.7"/>
    <n v="0"/>
    <n v="0"/>
  </r>
  <r>
    <n v="9124328"/>
    <s v="N"/>
    <n v="21339909"/>
    <s v="3000005123040001RC"/>
    <s v="CIVIL"/>
    <d v="2023-06-27T00:00:00"/>
    <d v="2023-07-06T19:54:22"/>
    <m/>
    <d v="2023-07-06T00:00:00"/>
    <n v="636"/>
    <n v="16940"/>
    <s v="9124328"/>
    <s v="9124328"/>
    <m/>
    <m/>
    <m/>
    <m/>
    <m/>
    <m/>
    <s v="SOLRECOUP"/>
    <s v="SOLRECOUP"/>
    <s v="POARECOUP"/>
    <n v="21339909"/>
    <n v="-38.7"/>
    <m/>
    <s v="Y"/>
    <n v="2"/>
    <d v="2023-07-06T19:54:23"/>
    <s v="N"/>
    <m/>
    <m/>
    <s v="Non Expert Disbursement"/>
    <m/>
    <s v="N"/>
    <n v="0"/>
    <n v="0"/>
    <x v="4"/>
    <s v="VALIDATED"/>
    <n v="1"/>
    <s v="01.11.80.000.0000.0000"/>
    <n v="0"/>
    <s v="11"/>
    <s v="0000"/>
    <n v="3204.77"/>
    <n v="0"/>
    <s v="CREDITOR"/>
    <n v="0"/>
    <n v="0"/>
    <n v="0"/>
    <n v="0"/>
    <n v="0"/>
  </r>
  <r>
    <n v="9124328"/>
    <s v="N"/>
    <n v="21339910"/>
    <s v="3000005123040002RC"/>
    <s v="CIVIL"/>
    <d v="2023-06-27T00:00:00"/>
    <d v="2023-07-06T19:54:22"/>
    <m/>
    <d v="2023-07-06T00:00:00"/>
    <n v="636"/>
    <n v="16940"/>
    <s v="9124328"/>
    <s v="9124328"/>
    <m/>
    <m/>
    <m/>
    <m/>
    <m/>
    <m/>
    <s v="SOLRECOUP"/>
    <s v="SOLRECOUP"/>
    <s v="POARECOUP"/>
    <n v="21339910"/>
    <n v="-4.44"/>
    <m/>
    <s v="Y"/>
    <n v="1"/>
    <d v="2023-07-06T19:54:23"/>
    <s v="N"/>
    <m/>
    <m/>
    <s v="Non Expert Disbursement"/>
    <m/>
    <s v="N"/>
    <n v="-3.7"/>
    <n v="0"/>
    <x v="4"/>
    <s v="VALIDATED"/>
    <n v="1"/>
    <s v="01.11.80.308.2013.0000"/>
    <n v="-3.7"/>
    <s v="11"/>
    <s v="2013"/>
    <n v="3204.77"/>
    <n v="-3.7"/>
    <s v="CREDITOR"/>
    <n v="0"/>
    <n v="0"/>
    <n v="-3.7"/>
    <n v="0"/>
    <n v="0"/>
  </r>
  <r>
    <n v="9124328"/>
    <s v="N"/>
    <n v="21339910"/>
    <s v="3000005123040002RC"/>
    <s v="CIVIL"/>
    <d v="2023-06-27T00:00:00"/>
    <d v="2023-07-06T19:54:22"/>
    <m/>
    <d v="2023-07-06T00:00:00"/>
    <n v="636"/>
    <n v="16940"/>
    <s v="9124328"/>
    <s v="9124328"/>
    <m/>
    <m/>
    <m/>
    <m/>
    <m/>
    <m/>
    <s v="SOLRECOUP"/>
    <s v="SOLRECOUP"/>
    <s v="POARECOUP"/>
    <n v="21339910"/>
    <n v="-4.44"/>
    <m/>
    <s v="Y"/>
    <n v="2"/>
    <d v="2023-07-06T19:54:23"/>
    <s v="N"/>
    <m/>
    <m/>
    <s v="Non Expert Disbursement"/>
    <m/>
    <s v="N"/>
    <n v="0"/>
    <n v="-0.74"/>
    <x v="4"/>
    <s v="VALIDATED"/>
    <n v="1"/>
    <s v="01.11.80.308.2013.0000"/>
    <n v="-0.74"/>
    <s v="11"/>
    <s v="2013"/>
    <n v="3204.77"/>
    <n v="-0.74"/>
    <s v="CREDITOR"/>
    <n v="0"/>
    <n v="0"/>
    <n v="-0.74"/>
    <n v="0"/>
    <n v="0"/>
  </r>
  <r>
    <n v="9124328"/>
    <s v="N"/>
    <n v="21339911"/>
    <s v="3000005123040003RC"/>
    <s v="CIVIL"/>
    <d v="2023-06-27T00:00:00"/>
    <d v="2023-07-06T19:54:22"/>
    <m/>
    <d v="2023-07-06T00:00:00"/>
    <n v="636"/>
    <n v="16940"/>
    <s v="9124328"/>
    <s v="9124328"/>
    <m/>
    <m/>
    <m/>
    <m/>
    <m/>
    <m/>
    <s v="SOLRECOUP"/>
    <s v="SOLRECOUP"/>
    <s v="POARECOUP"/>
    <n v="21339911"/>
    <n v="-43.2"/>
    <m/>
    <s v="Y"/>
    <n v="1"/>
    <d v="2023-07-06T19:54:23"/>
    <s v="N"/>
    <m/>
    <m/>
    <s v="Non Expert Disbursement"/>
    <m/>
    <s v="N"/>
    <n v="-36"/>
    <n v="0"/>
    <x v="4"/>
    <s v="VALIDATED"/>
    <n v="1"/>
    <s v="01.11.80.308.2013.0000"/>
    <n v="-36"/>
    <s v="11"/>
    <s v="2013"/>
    <n v="3204.77"/>
    <n v="-36"/>
    <s v="CREDITOR"/>
    <n v="0"/>
    <n v="0"/>
    <n v="-36"/>
    <n v="0"/>
    <n v="0"/>
  </r>
  <r>
    <n v="9124328"/>
    <s v="N"/>
    <n v="21339911"/>
    <s v="3000005123040003RC"/>
    <s v="CIVIL"/>
    <d v="2023-06-27T00:00:00"/>
    <d v="2023-07-06T19:54:22"/>
    <m/>
    <d v="2023-07-06T00:00:00"/>
    <n v="636"/>
    <n v="16940"/>
    <s v="9124328"/>
    <s v="9124328"/>
    <m/>
    <m/>
    <m/>
    <m/>
    <m/>
    <m/>
    <s v="SOLRECOUP"/>
    <s v="SOLRECOUP"/>
    <s v="POARECOUP"/>
    <n v="21339911"/>
    <n v="-43.2"/>
    <m/>
    <s v="Y"/>
    <n v="2"/>
    <d v="2023-07-06T19:54:23"/>
    <s v="N"/>
    <m/>
    <m/>
    <s v="Non Expert Disbursement"/>
    <m/>
    <s v="N"/>
    <n v="0"/>
    <n v="-7.2"/>
    <x v="4"/>
    <s v="VALIDATED"/>
    <n v="1"/>
    <s v="01.11.80.308.2013.0000"/>
    <n v="-7.2"/>
    <s v="11"/>
    <s v="2013"/>
    <n v="3204.77"/>
    <n v="-7.2"/>
    <s v="CREDITOR"/>
    <n v="0"/>
    <n v="0"/>
    <n v="-7.2"/>
    <n v="0"/>
    <n v="0"/>
  </r>
  <r>
    <n v="9124328"/>
    <s v="N"/>
    <n v="21339912"/>
    <s v="3000005123040004RC"/>
    <s v="CIVIL"/>
    <d v="2023-06-27T00:00:00"/>
    <d v="2023-07-06T19:54:22"/>
    <m/>
    <d v="2023-07-06T00:00:00"/>
    <n v="636"/>
    <n v="16940"/>
    <s v="9124328"/>
    <s v="9124328"/>
    <m/>
    <m/>
    <m/>
    <m/>
    <m/>
    <m/>
    <s v="SOLRECOUP"/>
    <s v="SOLRECOUP"/>
    <s v="POARECOUP"/>
    <n v="21339912"/>
    <n v="-3.48"/>
    <m/>
    <s v="Y"/>
    <n v="1"/>
    <d v="2023-07-06T19:54:23"/>
    <s v="N"/>
    <m/>
    <m/>
    <s v="Non Expert Disbursement"/>
    <m/>
    <s v="N"/>
    <n v="-2.9"/>
    <n v="0"/>
    <x v="4"/>
    <s v="VALIDATED"/>
    <n v="1"/>
    <s v="01.11.80.308.2013.0000"/>
    <n v="-2.9"/>
    <s v="11"/>
    <s v="2013"/>
    <n v="3204.77"/>
    <n v="-2.9"/>
    <s v="CREDITOR"/>
    <n v="0"/>
    <n v="0"/>
    <n v="-2.9"/>
    <n v="0"/>
    <n v="0"/>
  </r>
  <r>
    <n v="9124328"/>
    <s v="N"/>
    <n v="21339912"/>
    <s v="3000005123040004RC"/>
    <s v="CIVIL"/>
    <d v="2023-06-27T00:00:00"/>
    <d v="2023-07-06T19:54:22"/>
    <m/>
    <d v="2023-07-06T00:00:00"/>
    <n v="636"/>
    <n v="16940"/>
    <s v="9124328"/>
    <s v="9124328"/>
    <m/>
    <m/>
    <m/>
    <m/>
    <m/>
    <m/>
    <s v="SOLRECOUP"/>
    <s v="SOLRECOUP"/>
    <s v="POARECOUP"/>
    <n v="21339912"/>
    <n v="-3.48"/>
    <m/>
    <s v="Y"/>
    <n v="2"/>
    <d v="2023-07-06T19:54:23"/>
    <s v="N"/>
    <m/>
    <m/>
    <s v="Non Expert Disbursement"/>
    <m/>
    <s v="N"/>
    <n v="0"/>
    <n v="-0.58"/>
    <x v="4"/>
    <s v="VALIDATED"/>
    <n v="1"/>
    <s v="01.11.80.308.2013.0000"/>
    <n v="-0.58"/>
    <s v="11"/>
    <s v="2013"/>
    <n v="3204.77"/>
    <n v="-0.58"/>
    <s v="CREDITOR"/>
    <n v="0"/>
    <n v="0"/>
    <n v="-0.58"/>
    <n v="0"/>
    <n v="0"/>
  </r>
  <r>
    <n v="9124328"/>
    <s v="N"/>
    <n v="21339913"/>
    <s v="3000005123040008RC"/>
    <s v="CIVIL"/>
    <d v="2023-06-27T00:00:00"/>
    <d v="2023-07-06T19:54:22"/>
    <m/>
    <d v="2023-07-06T00:00:00"/>
    <n v="636"/>
    <n v="16940"/>
    <s v="9124328"/>
    <s v="9124328"/>
    <m/>
    <m/>
    <m/>
    <m/>
    <m/>
    <m/>
    <s v="SOLRECOUP"/>
    <s v="SOLRECOUP"/>
    <s v="POARECOUP"/>
    <n v="21339913"/>
    <n v="-2711.7"/>
    <m/>
    <s v="Y"/>
    <n v="1"/>
    <d v="2023-07-06T19:54:23"/>
    <s v="N"/>
    <m/>
    <m/>
    <s v="Profit Cost"/>
    <m/>
    <s v="N"/>
    <n v="-2259.75"/>
    <n v="0"/>
    <x v="4"/>
    <s v="VALIDATED"/>
    <n v="1"/>
    <s v="01.11.80.308.2013.0000"/>
    <n v="-2259.75"/>
    <s v="11"/>
    <s v="2013"/>
    <n v="3204.77"/>
    <n v="-2259.75"/>
    <s v="CREDITOR"/>
    <n v="0"/>
    <n v="0"/>
    <n v="-2259.75"/>
    <n v="-564.9375"/>
    <n v="0"/>
  </r>
  <r>
    <n v="9124328"/>
    <s v="N"/>
    <n v="21339913"/>
    <s v="3000005123040008RC"/>
    <s v="CIVIL"/>
    <d v="2023-06-27T00:00:00"/>
    <d v="2023-07-06T19:54:22"/>
    <m/>
    <d v="2023-07-06T00:00:00"/>
    <n v="636"/>
    <n v="16940"/>
    <s v="9124328"/>
    <s v="9124328"/>
    <m/>
    <m/>
    <m/>
    <m/>
    <m/>
    <m/>
    <s v="SOLRECOUP"/>
    <s v="SOLRECOUP"/>
    <s v="POARECOUP"/>
    <n v="21339913"/>
    <n v="-2711.7"/>
    <m/>
    <s v="Y"/>
    <n v="2"/>
    <d v="2023-07-06T19:54:23"/>
    <s v="N"/>
    <m/>
    <m/>
    <s v="Profit Cost"/>
    <m/>
    <s v="N"/>
    <n v="0"/>
    <n v="-451.95"/>
    <x v="4"/>
    <s v="VALIDATED"/>
    <n v="1"/>
    <s v="01.11.80.308.2013.0000"/>
    <n v="-451.95"/>
    <s v="11"/>
    <s v="2013"/>
    <n v="3204.77"/>
    <n v="-451.95"/>
    <s v="CREDITOR"/>
    <n v="0"/>
    <n v="0"/>
    <n v="-451.95"/>
    <n v="-112.9875"/>
    <n v="0"/>
  </r>
  <r>
    <n v="9124328"/>
    <s v="N"/>
    <n v="21339914"/>
    <s v="3000005123040005RC"/>
    <s v="CIVIL"/>
    <d v="2023-06-27T00:00:00"/>
    <d v="2023-07-06T19:54:22"/>
    <m/>
    <d v="2023-07-06T00:00:00"/>
    <n v="636"/>
    <n v="16940"/>
    <s v="9124328"/>
    <s v="9124328"/>
    <m/>
    <m/>
    <m/>
    <m/>
    <m/>
    <m/>
    <s v="SOLRECOUP"/>
    <s v="SOLRECOUP"/>
    <s v="POARECOUP"/>
    <n v="21339914"/>
    <n v="-43.2"/>
    <m/>
    <s v="Y"/>
    <n v="1"/>
    <d v="2023-07-06T19:54:23"/>
    <s v="N"/>
    <m/>
    <m/>
    <s v="Non Expert Disbursement"/>
    <m/>
    <s v="N"/>
    <n v="-36"/>
    <n v="0"/>
    <x v="4"/>
    <s v="VALIDATED"/>
    <n v="1"/>
    <s v="01.11.80.308.2013.0000"/>
    <n v="-36"/>
    <s v="11"/>
    <s v="2013"/>
    <n v="3204.77"/>
    <n v="-36"/>
    <s v="CREDITOR"/>
    <n v="0"/>
    <n v="0"/>
    <n v="-36"/>
    <n v="0"/>
    <n v="0"/>
  </r>
  <r>
    <n v="9864254"/>
    <s v="N"/>
    <n v="21333778"/>
    <s v="3000005750570002RC"/>
    <s v="CIVIL"/>
    <d v="2023-06-24T00:00:00"/>
    <d v="2023-07-05T19:42:28"/>
    <m/>
    <d v="2023-07-05T00:00:00"/>
    <n v="636"/>
    <n v="16940"/>
    <s v="9864254"/>
    <s v="9864254"/>
    <m/>
    <m/>
    <m/>
    <m/>
    <m/>
    <m/>
    <s v="SOLRECOUP"/>
    <s v="SOLRECOUP"/>
    <s v="POARECOUP"/>
    <n v="21333778"/>
    <n v="-2605.27"/>
    <m/>
    <s v="Y"/>
    <n v="2"/>
    <d v="2023-07-05T19:42:28"/>
    <s v="N"/>
    <m/>
    <m/>
    <s v="Profit Cost"/>
    <m/>
    <s v="N"/>
    <n v="0"/>
    <n v="-434.21"/>
    <x v="6"/>
    <s v="VALIDATED"/>
    <n v="1"/>
    <s v="01.11.80.308.2013.0000"/>
    <n v="-434.21"/>
    <s v="11"/>
    <s v="2013"/>
    <n v="3204.77"/>
    <n v="-434.21"/>
    <s v="CREDITOR"/>
    <n v="0"/>
    <n v="0"/>
    <n v="-434.21"/>
    <n v="-108.5525"/>
    <n v="0"/>
  </r>
  <r>
    <n v="9357342"/>
    <s v="N"/>
    <n v="21333779"/>
    <s v="3000005320400002RC"/>
    <s v="CIVIL"/>
    <d v="2023-06-22T00:00:00"/>
    <d v="2023-07-05T19:42:28"/>
    <m/>
    <d v="2023-07-05T00:00:00"/>
    <n v="636"/>
    <n v="16940"/>
    <s v="9357342"/>
    <s v="9357342"/>
    <m/>
    <m/>
    <m/>
    <m/>
    <m/>
    <m/>
    <s v="SOLRECOUP"/>
    <s v="SOLRECOUP"/>
    <s v="POARECOUP"/>
    <n v="21333779"/>
    <n v="-3396.16"/>
    <m/>
    <s v="Y"/>
    <n v="1"/>
    <d v="2023-07-05T19:42:28"/>
    <s v="N"/>
    <m/>
    <m/>
    <s v="Profit Cost"/>
    <m/>
    <s v="N"/>
    <n v="-2830.13"/>
    <n v="0"/>
    <x v="6"/>
    <s v="VALIDATED"/>
    <n v="1"/>
    <s v="01.11.80.308.2013.0000"/>
    <n v="-2830.13"/>
    <s v="11"/>
    <s v="2013"/>
    <n v="3204.77"/>
    <n v="-2830.13"/>
    <s v="CREDITOR"/>
    <n v="0"/>
    <n v="0"/>
    <n v="-2830.13"/>
    <n v="-707.5325"/>
    <n v="0"/>
  </r>
  <r>
    <n v="9357342"/>
    <s v="N"/>
    <n v="21333779"/>
    <s v="3000005320400002RC"/>
    <s v="CIVIL"/>
    <d v="2023-06-22T00:00:00"/>
    <d v="2023-07-05T19:42:28"/>
    <m/>
    <d v="2023-07-05T00:00:00"/>
    <n v="636"/>
    <n v="16940"/>
    <s v="9357342"/>
    <s v="9357342"/>
    <m/>
    <m/>
    <m/>
    <m/>
    <m/>
    <m/>
    <s v="SOLRECOUP"/>
    <s v="SOLRECOUP"/>
    <s v="POARECOUP"/>
    <n v="21333779"/>
    <n v="-3396.16"/>
    <m/>
    <s v="Y"/>
    <n v="2"/>
    <d v="2023-07-05T19:42:28"/>
    <s v="N"/>
    <m/>
    <m/>
    <s v="Profit Cost"/>
    <m/>
    <s v="N"/>
    <n v="0"/>
    <n v="-566.03"/>
    <x v="6"/>
    <s v="VALIDATED"/>
    <n v="1"/>
    <s v="01.11.80.308.2013.0000"/>
    <n v="-566.03"/>
    <s v="11"/>
    <s v="2013"/>
    <n v="3204.77"/>
    <n v="-566.03"/>
    <s v="CREDITOR"/>
    <n v="0"/>
    <n v="0"/>
    <n v="-566.03"/>
    <n v="-141.5075"/>
    <n v="0"/>
  </r>
  <r>
    <n v="9357342"/>
    <s v="N"/>
    <n v="21333780"/>
    <s v="3000005320400003RC"/>
    <s v="CIVIL"/>
    <d v="2023-06-22T00:00:00"/>
    <d v="2023-07-05T19:42:28"/>
    <m/>
    <d v="2023-07-05T00:00:00"/>
    <n v="636"/>
    <n v="16940"/>
    <s v="9357342"/>
    <s v="9357342"/>
    <m/>
    <m/>
    <m/>
    <m/>
    <m/>
    <m/>
    <s v="SOLRECOUP"/>
    <s v="SOLRECOUP"/>
    <s v="POARECOUP"/>
    <n v="21333780"/>
    <n v="-155"/>
    <m/>
    <s v="Y"/>
    <n v="1"/>
    <d v="2023-07-05T19:42:28"/>
    <s v="N"/>
    <m/>
    <m/>
    <s v="Non Expert Disbursement"/>
    <m/>
    <s v="N"/>
    <n v="-155"/>
    <n v="0"/>
    <x v="6"/>
    <s v="VALIDATED"/>
    <n v="1"/>
    <s v="01.11.80.308.2013.0000"/>
    <n v="-155"/>
    <s v="11"/>
    <s v="2013"/>
    <n v="3204.77"/>
    <n v="-155"/>
    <s v="CREDITOR"/>
    <n v="0"/>
    <n v="0"/>
    <n v="-155"/>
    <n v="0"/>
    <n v="0"/>
  </r>
  <r>
    <n v="9357342"/>
    <s v="N"/>
    <n v="21333780"/>
    <s v="3000005320400003RC"/>
    <s v="CIVIL"/>
    <d v="2023-06-22T00:00:00"/>
    <d v="2023-07-05T19:42:28"/>
    <m/>
    <d v="2023-07-05T00:00:00"/>
    <n v="636"/>
    <n v="16940"/>
    <s v="9357342"/>
    <s v="9357342"/>
    <m/>
    <m/>
    <m/>
    <m/>
    <m/>
    <m/>
    <s v="SOLRECOUP"/>
    <s v="SOLRECOUP"/>
    <s v="POARECOUP"/>
    <n v="21333780"/>
    <n v="-155"/>
    <m/>
    <s v="Y"/>
    <n v="2"/>
    <d v="2023-07-05T19:42:28"/>
    <s v="N"/>
    <m/>
    <m/>
    <s v="Non Expert Disbursement"/>
    <m/>
    <s v="N"/>
    <n v="0"/>
    <n v="0"/>
    <x v="6"/>
    <s v="VALIDATED"/>
    <n v="1"/>
    <s v="01.11.80.000.0000.0000"/>
    <n v="0"/>
    <s v="11"/>
    <s v="0000"/>
    <n v="3204.77"/>
    <n v="0"/>
    <s v="CREDITOR"/>
    <n v="0"/>
    <n v="0"/>
    <n v="0"/>
    <n v="0"/>
    <n v="0"/>
  </r>
  <r>
    <n v="9864254"/>
    <s v="N"/>
    <n v="21333781"/>
    <s v="3000005750570001RC"/>
    <s v="CIVIL"/>
    <d v="2023-06-24T00:00:00"/>
    <d v="2023-07-05T19:42:28"/>
    <m/>
    <d v="2023-07-05T00:00:00"/>
    <n v="636"/>
    <n v="16940"/>
    <s v="9864254"/>
    <s v="9864254"/>
    <m/>
    <m/>
    <m/>
    <m/>
    <m/>
    <m/>
    <s v="SOLRECOUP"/>
    <s v="SOLRECOUP"/>
    <s v="POARECOUP"/>
    <n v="21333781"/>
    <n v="-561.6"/>
    <m/>
    <s v="Y"/>
    <n v="1"/>
    <d v="2023-07-05T19:42:28"/>
    <s v="N"/>
    <m/>
    <m/>
    <s v="Expert Disbursement"/>
    <m/>
    <s v="N"/>
    <n v="-468"/>
    <n v="0"/>
    <x v="6"/>
    <s v="VALIDATED"/>
    <n v="1"/>
    <s v="01.11.80.308.2013.0000"/>
    <n v="-468"/>
    <s v="11"/>
    <s v="2013"/>
    <n v="3204.77"/>
    <n v="-468"/>
    <s v="CREDITOR"/>
    <n v="0"/>
    <n v="0"/>
    <n v="-468"/>
    <n v="0"/>
    <n v="0"/>
  </r>
  <r>
    <n v="9864254"/>
    <s v="N"/>
    <n v="21333781"/>
    <s v="3000005750570001RC"/>
    <s v="CIVIL"/>
    <d v="2023-06-24T00:00:00"/>
    <d v="2023-07-05T19:42:28"/>
    <m/>
    <d v="2023-07-05T00:00:00"/>
    <n v="636"/>
    <n v="16940"/>
    <s v="9864254"/>
    <s v="9864254"/>
    <m/>
    <m/>
    <m/>
    <m/>
    <m/>
    <m/>
    <s v="SOLRECOUP"/>
    <s v="SOLRECOUP"/>
    <s v="POARECOUP"/>
    <n v="21333781"/>
    <n v="-561.6"/>
    <m/>
    <s v="Y"/>
    <n v="2"/>
    <d v="2023-07-05T19:42:28"/>
    <s v="N"/>
    <m/>
    <m/>
    <s v="Expert Disbursement"/>
    <m/>
    <s v="N"/>
    <n v="0"/>
    <n v="-93.59999999999999"/>
    <x v="6"/>
    <s v="VALIDATED"/>
    <n v="1"/>
    <s v="01.11.80.308.2013.0000"/>
    <n v="-93.59999999999999"/>
    <s v="11"/>
    <s v="2013"/>
    <n v="3204.77"/>
    <n v="-93.59999999999999"/>
    <s v="CREDITOR"/>
    <n v="0"/>
    <n v="0"/>
    <n v="-93.59999999999999"/>
    <n v="0"/>
    <n v="0"/>
  </r>
  <r>
    <n v="9357342"/>
    <s v="N"/>
    <n v="21333782"/>
    <s v="3000005320400007RC"/>
    <s v="CIVIL"/>
    <d v="2023-06-22T00:00:00"/>
    <d v="2023-07-05T19:42:28"/>
    <m/>
    <d v="2023-07-05T00:00:00"/>
    <n v="636"/>
    <n v="16940"/>
    <s v="9357342"/>
    <s v="9357342"/>
    <m/>
    <m/>
    <m/>
    <m/>
    <m/>
    <m/>
    <s v="SOLRECOUP"/>
    <s v="SOLRECOUP"/>
    <s v="POARECOUP"/>
    <n v="21333782"/>
    <n v="-220.04"/>
    <m/>
    <s v="Y"/>
    <n v="1"/>
    <d v="2023-07-05T19:42:28"/>
    <s v="N"/>
    <m/>
    <m/>
    <s v="Profit Cost"/>
    <m/>
    <s v="N"/>
    <n v="-183.37"/>
    <n v="0"/>
    <x v="6"/>
    <s v="VALIDATED"/>
    <n v="1"/>
    <s v="01.11.80.308.2013.0000"/>
    <n v="-183.37"/>
    <s v="11"/>
    <s v="2013"/>
    <n v="3204.77"/>
    <n v="-183.37"/>
    <s v="CREDITOR"/>
    <n v="0"/>
    <n v="0"/>
    <n v="-183.37"/>
    <n v="-45.8425"/>
    <n v="0"/>
  </r>
  <r>
    <n v="9357342"/>
    <s v="N"/>
    <n v="21333782"/>
    <s v="3000005320400007RC"/>
    <s v="CIVIL"/>
    <d v="2023-06-22T00:00:00"/>
    <d v="2023-07-05T19:42:28"/>
    <m/>
    <d v="2023-07-05T00:00:00"/>
    <n v="636"/>
    <n v="16940"/>
    <s v="9357342"/>
    <s v="9357342"/>
    <m/>
    <m/>
    <m/>
    <m/>
    <m/>
    <m/>
    <s v="SOLRECOUP"/>
    <s v="SOLRECOUP"/>
    <s v="POARECOUP"/>
    <n v="21333782"/>
    <n v="-220.04"/>
    <m/>
    <s v="Y"/>
    <n v="2"/>
    <d v="2023-07-05T19:42:28"/>
    <s v="N"/>
    <m/>
    <m/>
    <s v="Profit Cost"/>
    <m/>
    <s v="N"/>
    <n v="0"/>
    <n v="-36.67"/>
    <x v="6"/>
    <s v="VALIDATED"/>
    <n v="1"/>
    <s v="01.11.80.308.2013.0000"/>
    <n v="-36.67"/>
    <s v="11"/>
    <s v="2013"/>
    <n v="3204.77"/>
    <n v="-36.67"/>
    <s v="CREDITOR"/>
    <n v="0"/>
    <n v="0"/>
    <n v="-36.67"/>
    <n v="-9.1675"/>
    <n v="0"/>
  </r>
  <r>
    <n v="9864254"/>
    <s v="N"/>
    <n v="21333783"/>
    <s v="3000005750570003RC"/>
    <s v="CIVIL"/>
    <d v="2023-06-24T00:00:00"/>
    <d v="2023-07-05T19:42:28"/>
    <m/>
    <d v="2023-07-05T00:00:00"/>
    <n v="636"/>
    <n v="16940"/>
    <s v="9864254"/>
    <s v="9864254"/>
    <m/>
    <m/>
    <m/>
    <m/>
    <m/>
    <m/>
    <s v="SOLRECOUP"/>
    <s v="SOLRECOUP"/>
    <s v="POARECOUP"/>
    <n v="21333783"/>
    <n v="-1381.26"/>
    <m/>
    <s v="Y"/>
    <n v="1"/>
    <d v="2023-07-05T19:42:28"/>
    <s v="N"/>
    <m/>
    <m/>
    <s v="Profit Cost"/>
    <m/>
    <s v="N"/>
    <n v="-1151.05"/>
    <n v="0"/>
    <x v="6"/>
    <s v="VALIDATED"/>
    <n v="1"/>
    <s v="01.11.80.308.2013.0000"/>
    <n v="-1151.05"/>
    <s v="11"/>
    <s v="2013"/>
    <n v="3204.77"/>
    <n v="-1151.05"/>
    <s v="CREDITOR"/>
    <n v="0"/>
    <n v="0"/>
    <n v="-1151.05"/>
    <n v="-287.7625"/>
    <n v="0"/>
  </r>
  <r>
    <n v="9864254"/>
    <s v="N"/>
    <n v="21333783"/>
    <s v="3000005750570003RC"/>
    <s v="CIVIL"/>
    <d v="2023-06-24T00:00:00"/>
    <d v="2023-07-05T19:42:28"/>
    <m/>
    <d v="2023-07-05T00:00:00"/>
    <n v="636"/>
    <n v="16940"/>
    <s v="9864254"/>
    <s v="9864254"/>
    <m/>
    <m/>
    <m/>
    <m/>
    <m/>
    <m/>
    <s v="SOLRECOUP"/>
    <s v="SOLRECOUP"/>
    <s v="POARECOUP"/>
    <n v="21333783"/>
    <n v="-1381.26"/>
    <m/>
    <s v="Y"/>
    <n v="2"/>
    <d v="2023-07-05T19:42:28"/>
    <s v="N"/>
    <m/>
    <m/>
    <s v="Profit Cost"/>
    <m/>
    <s v="N"/>
    <n v="0"/>
    <n v="-230.21"/>
    <x v="6"/>
    <s v="VALIDATED"/>
    <n v="1"/>
    <s v="01.11.80.308.2013.0000"/>
    <n v="-230.21"/>
    <s v="11"/>
    <s v="2013"/>
    <n v="3204.77"/>
    <n v="-230.21"/>
    <s v="CREDITOR"/>
    <n v="0"/>
    <n v="0"/>
    <n v="-230.21"/>
    <n v="-57.5525"/>
    <n v="0"/>
  </r>
  <r>
    <n v="9864254"/>
    <s v="N"/>
    <n v="21333784"/>
    <s v="3000005750570006RC"/>
    <s v="CIVIL"/>
    <d v="2023-06-24T00:00:00"/>
    <d v="2023-07-05T19:42:28"/>
    <m/>
    <d v="2023-07-05T00:00:00"/>
    <n v="636"/>
    <n v="16940"/>
    <s v="9864254"/>
    <s v="9864254"/>
    <m/>
    <m/>
    <m/>
    <m/>
    <m/>
    <m/>
    <s v="SOLRECOUP"/>
    <s v="SOLRECOUP"/>
    <s v="POARECOUP"/>
    <n v="21333784"/>
    <n v="-224.64"/>
    <m/>
    <s v="Y"/>
    <n v="1"/>
    <d v="2023-07-05T19:42:28"/>
    <s v="N"/>
    <m/>
    <m/>
    <s v="Expert Disbursement"/>
    <m/>
    <s v="N"/>
    <n v="-187.2"/>
    <n v="0"/>
    <x v="6"/>
    <s v="VALIDATED"/>
    <n v="1"/>
    <s v="01.11.80.308.2013.0000"/>
    <n v="-187.2"/>
    <s v="11"/>
    <s v="2013"/>
    <n v="3204.77"/>
    <n v="-187.2"/>
    <s v="CREDITOR"/>
    <n v="0"/>
    <n v="0"/>
    <n v="-187.2"/>
    <n v="0"/>
    <n v="0"/>
  </r>
  <r>
    <n v="9864254"/>
    <s v="N"/>
    <n v="21333784"/>
    <s v="3000005750570006RC"/>
    <s v="CIVIL"/>
    <d v="2023-06-24T00:00:00"/>
    <d v="2023-07-05T19:42:28"/>
    <m/>
    <d v="2023-07-05T00:00:00"/>
    <n v="636"/>
    <n v="16940"/>
    <s v="9864254"/>
    <s v="9864254"/>
    <m/>
    <m/>
    <m/>
    <m/>
    <m/>
    <m/>
    <s v="SOLRECOUP"/>
    <s v="SOLRECOUP"/>
    <s v="POARECOUP"/>
    <n v="21333784"/>
    <n v="-224.64"/>
    <m/>
    <s v="Y"/>
    <n v="2"/>
    <d v="2023-07-05T19:42:28"/>
    <s v="N"/>
    <m/>
    <m/>
    <s v="Expert Disbursement"/>
    <m/>
    <s v="N"/>
    <n v="0"/>
    <n v="-37.44"/>
    <x v="6"/>
    <s v="VALIDATED"/>
    <n v="1"/>
    <s v="01.11.80.308.2013.0000"/>
    <n v="-37.44"/>
    <s v="11"/>
    <s v="2013"/>
    <n v="3204.77"/>
    <n v="-37.44"/>
    <s v="CREDITOR"/>
    <n v="0"/>
    <n v="0"/>
    <n v="-37.44"/>
    <n v="0"/>
    <n v="0"/>
  </r>
  <r>
    <n v="9357342"/>
    <s v="N"/>
    <n v="21333785"/>
    <s v="3000005320400008RC"/>
    <s v="CIVIL"/>
    <d v="2023-06-22T00:00:00"/>
    <d v="2023-07-05T19:42:28"/>
    <m/>
    <d v="2023-07-05T00:00:00"/>
    <n v="636"/>
    <n v="16940"/>
    <s v="9357342"/>
    <s v="9357342"/>
    <m/>
    <m/>
    <m/>
    <m/>
    <m/>
    <m/>
    <s v="SOLRECOUP"/>
    <s v="SOLRECOUP"/>
    <s v="POARECOUP"/>
    <n v="21333785"/>
    <n v="-345.6"/>
    <m/>
    <s v="Y"/>
    <n v="1"/>
    <d v="2023-07-05T19:42:29"/>
    <s v="N"/>
    <m/>
    <m/>
    <s v="Expert Disbursement"/>
    <m/>
    <s v="N"/>
    <n v="-288"/>
    <n v="0"/>
    <x v="6"/>
    <s v="VALIDATED"/>
    <n v="1"/>
    <s v="01.11.80.308.2013.0000"/>
    <n v="-288"/>
    <s v="11"/>
    <s v="2013"/>
    <n v="3204.77"/>
    <n v="-288"/>
    <s v="CREDITOR"/>
    <n v="0"/>
    <n v="0"/>
    <n v="-288"/>
    <n v="0"/>
    <n v="0"/>
  </r>
  <r>
    <n v="9357342"/>
    <s v="N"/>
    <n v="21333785"/>
    <s v="3000005320400008RC"/>
    <s v="CIVIL"/>
    <d v="2023-06-22T00:00:00"/>
    <d v="2023-07-05T19:42:28"/>
    <m/>
    <d v="2023-07-05T00:00:00"/>
    <n v="636"/>
    <n v="16940"/>
    <s v="9357342"/>
    <s v="9357342"/>
    <m/>
    <m/>
    <m/>
    <m/>
    <m/>
    <m/>
    <s v="SOLRECOUP"/>
    <s v="SOLRECOUP"/>
    <s v="POARECOUP"/>
    <n v="21333785"/>
    <n v="-345.6"/>
    <m/>
    <s v="Y"/>
    <n v="2"/>
    <d v="2023-07-05T19:42:29"/>
    <s v="N"/>
    <m/>
    <m/>
    <s v="Expert Disbursement"/>
    <m/>
    <s v="N"/>
    <n v="0"/>
    <n v="-57.6"/>
    <x v="6"/>
    <s v="VALIDATED"/>
    <n v="1"/>
    <s v="01.11.80.308.2013.0000"/>
    <n v="-57.6"/>
    <s v="11"/>
    <s v="2013"/>
    <n v="3204.77"/>
    <n v="-57.6"/>
    <s v="CREDITOR"/>
    <n v="0"/>
    <n v="0"/>
    <n v="-57.6"/>
    <n v="0"/>
    <n v="0"/>
  </r>
  <r>
    <n v="9357342"/>
    <s v="N"/>
    <n v="21333786"/>
    <s v="3000005320400009RC"/>
    <s v="CIVIL"/>
    <d v="2023-06-22T00:00:00"/>
    <d v="2023-07-05T19:42:28"/>
    <m/>
    <d v="2023-07-05T00:00:00"/>
    <n v="636"/>
    <n v="16940"/>
    <s v="9357342"/>
    <s v="9357342"/>
    <m/>
    <m/>
    <m/>
    <m/>
    <m/>
    <m/>
    <s v="SOLRECOUP"/>
    <s v="SOLRECOUP"/>
    <s v="POARECOUP"/>
    <n v="21333786"/>
    <n v="-1214.1"/>
    <m/>
    <s v="Y"/>
    <n v="1"/>
    <d v="2023-07-05T19:42:29"/>
    <s v="N"/>
    <m/>
    <m/>
    <s v="Profit Cost"/>
    <m/>
    <s v="N"/>
    <n v="-1011.75"/>
    <n v="0"/>
    <x v="6"/>
    <s v="VALIDATED"/>
    <n v="1"/>
    <s v="01.11.80.308.2013.0000"/>
    <n v="-1011.75"/>
    <s v="11"/>
    <s v="2013"/>
    <n v="3204.77"/>
    <n v="-1011.75"/>
    <s v="CREDITOR"/>
    <n v="0"/>
    <n v="0"/>
    <n v="-1011.75"/>
    <n v="-252.9375"/>
    <n v="0"/>
  </r>
  <r>
    <n v="9357342"/>
    <s v="N"/>
    <n v="21333786"/>
    <s v="3000005320400009RC"/>
    <s v="CIVIL"/>
    <d v="2023-06-22T00:00:00"/>
    <d v="2023-07-05T19:42:28"/>
    <m/>
    <d v="2023-07-05T00:00:00"/>
    <n v="636"/>
    <n v="16940"/>
    <s v="9357342"/>
    <s v="9357342"/>
    <m/>
    <m/>
    <m/>
    <m/>
    <m/>
    <m/>
    <s v="SOLRECOUP"/>
    <s v="SOLRECOUP"/>
    <s v="POARECOUP"/>
    <n v="21333786"/>
    <n v="-1214.1"/>
    <m/>
    <s v="Y"/>
    <n v="2"/>
    <d v="2023-07-05T19:42:29"/>
    <s v="N"/>
    <m/>
    <m/>
    <s v="Profit Cost"/>
    <m/>
    <s v="N"/>
    <n v="0"/>
    <n v="-202.35"/>
    <x v="6"/>
    <s v="VALIDATED"/>
    <n v="1"/>
    <s v="01.11.80.308.2013.0000"/>
    <n v="-202.35"/>
    <s v="11"/>
    <s v="2013"/>
    <n v="3204.77"/>
    <n v="-202.35"/>
    <s v="CREDITOR"/>
    <n v="0"/>
    <n v="0"/>
    <n v="-202.35"/>
    <n v="-50.5875"/>
    <n v="0"/>
  </r>
  <r>
    <n v="9864254"/>
    <s v="N"/>
    <n v="21333787"/>
    <s v="3000005750570007RC"/>
    <s v="CIVIL"/>
    <d v="2023-06-24T00:00:00"/>
    <d v="2023-07-05T19:42:28"/>
    <m/>
    <d v="2023-07-05T00:00:00"/>
    <n v="636"/>
    <n v="16940"/>
    <s v="9864254"/>
    <s v="9864254"/>
    <m/>
    <m/>
    <m/>
    <m/>
    <m/>
    <m/>
    <s v="SOLRECOUP"/>
    <s v="SOLRECOUP"/>
    <s v="POARECOUP"/>
    <n v="21333787"/>
    <n v="-140.4"/>
    <m/>
    <s v="Y"/>
    <n v="1"/>
    <d v="2023-07-05T19:42:29"/>
    <s v="N"/>
    <m/>
    <m/>
    <s v="Expert Disbursement"/>
    <m/>
    <s v="N"/>
    <n v="-117"/>
    <n v="0"/>
    <x v="6"/>
    <s v="VALIDATED"/>
    <n v="1"/>
    <s v="01.11.80.308.2013.0000"/>
    <n v="-117"/>
    <s v="11"/>
    <s v="2013"/>
    <n v="3204.77"/>
    <n v="-117"/>
    <s v="CREDITOR"/>
    <n v="0"/>
    <n v="0"/>
    <n v="-117"/>
    <n v="0"/>
    <n v="0"/>
  </r>
  <r>
    <n v="9864254"/>
    <s v="N"/>
    <n v="21333787"/>
    <s v="3000005750570007RC"/>
    <s v="CIVIL"/>
    <d v="2023-06-24T00:00:00"/>
    <d v="2023-07-05T19:42:28"/>
    <m/>
    <d v="2023-07-05T00:00:00"/>
    <n v="636"/>
    <n v="16940"/>
    <s v="9864254"/>
    <s v="9864254"/>
    <m/>
    <m/>
    <m/>
    <m/>
    <m/>
    <m/>
    <s v="SOLRECOUP"/>
    <s v="SOLRECOUP"/>
    <s v="POARECOUP"/>
    <n v="21333787"/>
    <n v="-140.4"/>
    <m/>
    <s v="Y"/>
    <n v="2"/>
    <d v="2023-07-05T19:42:29"/>
    <s v="N"/>
    <m/>
    <m/>
    <s v="Expert Disbursement"/>
    <m/>
    <s v="N"/>
    <n v="0"/>
    <n v="-23.4"/>
    <x v="6"/>
    <s v="VALIDATED"/>
    <n v="1"/>
    <s v="01.11.80.308.2013.0000"/>
    <n v="-23.4"/>
    <s v="11"/>
    <s v="2013"/>
    <n v="3204.77"/>
    <n v="-23.4"/>
    <s v="CREDITOR"/>
    <n v="0"/>
    <n v="0"/>
    <n v="-23.4"/>
    <n v="0"/>
    <n v="0"/>
  </r>
  <r>
    <n v="9864254"/>
    <s v="N"/>
    <n v="21333788"/>
    <s v="3000005750570010RC"/>
    <s v="CIVIL"/>
    <d v="2023-06-24T00:00:00"/>
    <d v="2023-07-05T19:42:28"/>
    <m/>
    <d v="2023-07-05T00:00:00"/>
    <n v="636"/>
    <n v="16940"/>
    <s v="9864254"/>
    <s v="9864254"/>
    <m/>
    <m/>
    <m/>
    <m/>
    <m/>
    <m/>
    <s v="SOLRECOUP"/>
    <s v="SOLRECOUP"/>
    <s v="POARECOUP"/>
    <n v="21333788"/>
    <n v="-3627.95"/>
    <m/>
    <s v="Y"/>
    <n v="1"/>
    <d v="2023-07-05T19:42:29"/>
    <s v="N"/>
    <m/>
    <m/>
    <s v="Profit Cost"/>
    <m/>
    <s v="N"/>
    <n v="-3023.29"/>
    <n v="0"/>
    <x v="6"/>
    <s v="VALIDATED"/>
    <n v="1"/>
    <s v="01.11.80.308.2013.0000"/>
    <n v="-3023.29"/>
    <s v="11"/>
    <s v="2013"/>
    <n v="3204.77"/>
    <n v="-3023.29"/>
    <s v="CREDITOR"/>
    <n v="0"/>
    <n v="0"/>
    <n v="-3023.29"/>
    <n v="-755.8225"/>
    <n v="0"/>
  </r>
  <r>
    <n v="9864254"/>
    <s v="N"/>
    <n v="21333788"/>
    <s v="3000005750570010RC"/>
    <s v="CIVIL"/>
    <d v="2023-06-24T00:00:00"/>
    <d v="2023-07-05T19:42:28"/>
    <m/>
    <d v="2023-07-05T00:00:00"/>
    <n v="636"/>
    <n v="16940"/>
    <s v="9864254"/>
    <s v="9864254"/>
    <m/>
    <m/>
    <m/>
    <m/>
    <m/>
    <m/>
    <s v="SOLRECOUP"/>
    <s v="SOLRECOUP"/>
    <s v="POARECOUP"/>
    <n v="21333788"/>
    <n v="-3627.95"/>
    <m/>
    <s v="Y"/>
    <n v="2"/>
    <d v="2023-07-05T19:42:29"/>
    <s v="N"/>
    <m/>
    <m/>
    <s v="Profit Cost"/>
    <m/>
    <s v="N"/>
    <n v="0"/>
    <n v="-604.66"/>
    <x v="6"/>
    <s v="VALIDATED"/>
    <n v="1"/>
    <s v="01.11.80.308.2013.0000"/>
    <n v="-604.66"/>
    <s v="11"/>
    <s v="2013"/>
    <n v="3204.77"/>
    <n v="-604.66"/>
    <s v="CREDITOR"/>
    <n v="0"/>
    <n v="0"/>
    <n v="-604.66"/>
    <n v="-151.165"/>
    <n v="0"/>
  </r>
  <r>
    <n v="9864254"/>
    <s v="N"/>
    <n v="21333789"/>
    <s v="3000005750570011RC"/>
    <s v="CIVIL"/>
    <d v="2023-06-24T00:00:00"/>
    <d v="2023-07-05T19:42:28"/>
    <m/>
    <d v="2023-07-05T00:00:00"/>
    <n v="636"/>
    <n v="16940"/>
    <s v="9864254"/>
    <s v="9864254"/>
    <m/>
    <m/>
    <m/>
    <m/>
    <m/>
    <m/>
    <s v="SOLRECOUP"/>
    <s v="SOLRECOUP"/>
    <s v="POARECOUP"/>
    <n v="21333789"/>
    <n v="-224.64"/>
    <m/>
    <s v="Y"/>
    <n v="1"/>
    <d v="2023-07-05T19:42:29"/>
    <s v="N"/>
    <m/>
    <m/>
    <s v="Expert Disbursement"/>
    <m/>
    <s v="N"/>
    <n v="-187.2"/>
    <n v="0"/>
    <x v="6"/>
    <s v="VALIDATED"/>
    <n v="1"/>
    <s v="01.11.80.308.2013.0000"/>
    <n v="-187.2"/>
    <s v="11"/>
    <s v="2013"/>
    <n v="3204.77"/>
    <n v="-187.2"/>
    <s v="CREDITOR"/>
    <n v="0"/>
    <n v="0"/>
    <n v="-187.2"/>
    <n v="0"/>
    <n v="0"/>
  </r>
  <r>
    <n v="9864254"/>
    <s v="N"/>
    <n v="21333789"/>
    <s v="3000005750570011RC"/>
    <s v="CIVIL"/>
    <d v="2023-06-24T00:00:00"/>
    <d v="2023-07-05T19:42:28"/>
    <m/>
    <d v="2023-07-05T00:00:00"/>
    <n v="636"/>
    <n v="16940"/>
    <s v="9864254"/>
    <s v="9864254"/>
    <m/>
    <m/>
    <m/>
    <m/>
    <m/>
    <m/>
    <s v="SOLRECOUP"/>
    <s v="SOLRECOUP"/>
    <s v="POARECOUP"/>
    <n v="21333789"/>
    <n v="-224.64"/>
    <m/>
    <s v="Y"/>
    <n v="2"/>
    <d v="2023-07-05T19:42:29"/>
    <s v="N"/>
    <m/>
    <m/>
    <s v="Expert Disbursement"/>
    <m/>
    <s v="N"/>
    <n v="0"/>
    <n v="-37.44"/>
    <x v="6"/>
    <s v="VALIDATED"/>
    <n v="1"/>
    <s v="01.11.80.308.2013.0000"/>
    <n v="-37.44"/>
    <s v="11"/>
    <s v="2013"/>
    <n v="3204.77"/>
    <n v="-37.44"/>
    <s v="CREDITOR"/>
    <n v="0"/>
    <n v="0"/>
    <n v="-37.44"/>
    <n v="0"/>
    <n v="0"/>
  </r>
  <r>
    <n v="9864254"/>
    <s v="N"/>
    <n v="21333790"/>
    <s v="3000005750570012RC"/>
    <s v="CIVIL"/>
    <d v="2023-06-24T00:00:00"/>
    <d v="2023-07-05T19:42:28"/>
    <m/>
    <d v="2023-07-05T00:00:00"/>
    <n v="636"/>
    <n v="16940"/>
    <s v="9864254"/>
    <s v="9864254"/>
    <m/>
    <m/>
    <m/>
    <m/>
    <m/>
    <m/>
    <s v="SOLRECOUP"/>
    <s v="SOLRECOUP"/>
    <s v="POARECOUP"/>
    <n v="21333790"/>
    <n v="-1251.12"/>
    <m/>
    <s v="Y"/>
    <n v="1"/>
    <d v="2023-07-05T19:42:29"/>
    <s v="N"/>
    <m/>
    <m/>
    <s v="Profit Cost"/>
    <m/>
    <s v="N"/>
    <n v="-1042.6"/>
    <n v="0"/>
    <x v="6"/>
    <s v="VALIDATED"/>
    <n v="1"/>
    <s v="01.11.80.308.2013.0000"/>
    <n v="-1042.6"/>
    <s v="11"/>
    <s v="2013"/>
    <n v="3204.77"/>
    <n v="-1042.6"/>
    <s v="CREDITOR"/>
    <n v="0"/>
    <n v="0"/>
    <n v="-1042.6"/>
    <n v="-260.65"/>
    <n v="0"/>
  </r>
  <r>
    <n v="9864254"/>
    <s v="N"/>
    <n v="21333790"/>
    <s v="3000005750570012RC"/>
    <s v="CIVIL"/>
    <d v="2023-06-24T00:00:00"/>
    <d v="2023-07-05T19:42:28"/>
    <m/>
    <d v="2023-07-05T00:00:00"/>
    <n v="636"/>
    <n v="16940"/>
    <s v="9864254"/>
    <s v="9864254"/>
    <m/>
    <m/>
    <m/>
    <m/>
    <m/>
    <m/>
    <s v="SOLRECOUP"/>
    <s v="SOLRECOUP"/>
    <s v="POARECOUP"/>
    <n v="21333790"/>
    <n v="-1251.12"/>
    <m/>
    <s v="Y"/>
    <n v="2"/>
    <d v="2023-07-05T19:42:29"/>
    <s v="N"/>
    <m/>
    <m/>
    <s v="Profit Cost"/>
    <m/>
    <s v="N"/>
    <n v="0"/>
    <n v="-208.52"/>
    <x v="6"/>
    <s v="VALIDATED"/>
    <n v="1"/>
    <s v="01.11.80.308.2013.0000"/>
    <n v="-208.52"/>
    <s v="11"/>
    <s v="2013"/>
    <n v="3204.77"/>
    <n v="-208.52"/>
    <s v="CREDITOR"/>
    <n v="0"/>
    <n v="0"/>
    <n v="-208.52"/>
    <n v="-52.13"/>
    <n v="0"/>
  </r>
  <r>
    <n v="9357342"/>
    <s v="N"/>
    <n v="21333774"/>
    <s v="3000005320400001RC"/>
    <s v="CIVIL"/>
    <d v="2023-06-22T00:00:00"/>
    <d v="2023-07-05T19:42:28"/>
    <m/>
    <d v="2023-07-05T00:00:00"/>
    <n v="636"/>
    <n v="16940"/>
    <s v="9357342"/>
    <s v="9357342"/>
    <m/>
    <m/>
    <m/>
    <m/>
    <m/>
    <m/>
    <s v="SOLRECOUP"/>
    <s v="SOLRECOUP"/>
    <s v="POARECOUP"/>
    <n v="21333774"/>
    <n v="-1944"/>
    <m/>
    <s v="Y"/>
    <n v="1"/>
    <d v="2023-07-05T19:42:28"/>
    <s v="N"/>
    <m/>
    <m/>
    <s v="Expert Disbursement"/>
    <m/>
    <s v="N"/>
    <n v="-1944"/>
    <n v="0"/>
    <x v="6"/>
    <s v="VALIDATED"/>
    <n v="1"/>
    <s v="01.11.80.308.2013.0000"/>
    <n v="-1944"/>
    <s v="11"/>
    <s v="2013"/>
    <n v="3204.77"/>
    <n v="-1944"/>
    <s v="CREDITOR"/>
    <n v="0"/>
    <n v="0"/>
    <n v="-1944"/>
    <n v="0"/>
    <n v="0"/>
  </r>
  <r>
    <n v="9357342"/>
    <s v="N"/>
    <n v="21333774"/>
    <s v="3000005320400001RC"/>
    <s v="CIVIL"/>
    <d v="2023-06-22T00:00:00"/>
    <d v="2023-07-05T19:42:28"/>
    <m/>
    <d v="2023-07-05T00:00:00"/>
    <n v="636"/>
    <n v="16940"/>
    <s v="9357342"/>
    <s v="9357342"/>
    <m/>
    <m/>
    <m/>
    <m/>
    <m/>
    <m/>
    <s v="SOLRECOUP"/>
    <s v="SOLRECOUP"/>
    <s v="POARECOUP"/>
    <n v="21333774"/>
    <n v="-1944"/>
    <m/>
    <s v="Y"/>
    <n v="2"/>
    <d v="2023-07-05T19:42:28"/>
    <s v="N"/>
    <m/>
    <m/>
    <s v="Expert Disbursement"/>
    <m/>
    <s v="N"/>
    <n v="0"/>
    <n v="0"/>
    <x v="6"/>
    <s v="VALIDATED"/>
    <n v="1"/>
    <s v="01.11.80.000.0000.0000"/>
    <n v="0"/>
    <s v="11"/>
    <s v="0000"/>
    <n v="3204.77"/>
    <n v="0"/>
    <s v="CREDITOR"/>
    <n v="0"/>
    <n v="0"/>
    <n v="0"/>
    <n v="0"/>
    <n v="0"/>
  </r>
  <r>
    <n v="9357342"/>
    <s v="N"/>
    <n v="21333775"/>
    <s v="3000005320400004RC"/>
    <s v="CIVIL"/>
    <d v="2023-06-22T00:00:00"/>
    <d v="2023-07-05T19:42:28"/>
    <m/>
    <d v="2023-07-05T00:00:00"/>
    <n v="636"/>
    <n v="16940"/>
    <s v="9357342"/>
    <s v="9357342"/>
    <m/>
    <m/>
    <m/>
    <m/>
    <m/>
    <m/>
    <s v="SOLRECOUP"/>
    <s v="SOLRECOUP"/>
    <s v="POARECOUP"/>
    <n v="21333775"/>
    <n v="-33.6"/>
    <m/>
    <s v="Y"/>
    <n v="1"/>
    <d v="2023-07-05T19:42:28"/>
    <s v="N"/>
    <m/>
    <m/>
    <s v="Non Expert Disbursement"/>
    <m/>
    <s v="N"/>
    <n v="-28"/>
    <n v="0"/>
    <x v="6"/>
    <s v="VALIDATED"/>
    <n v="1"/>
    <s v="01.11.80.308.2013.0000"/>
    <n v="-28"/>
    <s v="11"/>
    <s v="2013"/>
    <n v="3204.77"/>
    <n v="-28"/>
    <s v="CREDITOR"/>
    <n v="0"/>
    <n v="0"/>
    <n v="-28"/>
    <n v="0"/>
    <n v="0"/>
  </r>
  <r>
    <n v="9585209"/>
    <s v="N"/>
    <n v="21346275"/>
    <s v="3000005525070001RC"/>
    <s v="CIVIL"/>
    <d v="2023-06-28T00:00:00"/>
    <d v="2023-07-07T19:34:21"/>
    <m/>
    <d v="2023-07-07T00:00:00"/>
    <n v="636"/>
    <n v="16940"/>
    <s v="9585209"/>
    <s v="9585209"/>
    <m/>
    <m/>
    <m/>
    <m/>
    <m/>
    <m/>
    <s v="SOLRECOUP"/>
    <s v="SOLRECOUP"/>
    <s v="POARECOUP"/>
    <n v="21346275"/>
    <n v="-43.2"/>
    <m/>
    <s v="Y"/>
    <n v="1"/>
    <d v="2023-07-07T19:34:22"/>
    <s v="N"/>
    <m/>
    <m/>
    <s v="Expert Disbursement"/>
    <m/>
    <s v="N"/>
    <n v="-36"/>
    <n v="0"/>
    <x v="9"/>
    <s v="VALIDATED"/>
    <n v="1"/>
    <s v="01.11.80.308.2013.0000"/>
    <n v="-36"/>
    <s v="11"/>
    <s v="2013"/>
    <n v="3204.77"/>
    <n v="-36"/>
    <s v="CREDITOR"/>
    <n v="0"/>
    <n v="0"/>
    <n v="-36"/>
    <n v="0"/>
    <n v="0"/>
  </r>
  <r>
    <n v="9585209"/>
    <s v="N"/>
    <n v="21346275"/>
    <s v="3000005525070001RC"/>
    <s v="CIVIL"/>
    <d v="2023-06-28T00:00:00"/>
    <d v="2023-07-07T19:34:21"/>
    <m/>
    <d v="2023-07-07T00:00:00"/>
    <n v="636"/>
    <n v="16940"/>
    <s v="9585209"/>
    <s v="9585209"/>
    <m/>
    <m/>
    <m/>
    <m/>
    <m/>
    <m/>
    <s v="SOLRECOUP"/>
    <s v="SOLRECOUP"/>
    <s v="POARECOUP"/>
    <n v="21346275"/>
    <n v="-43.2"/>
    <m/>
    <s v="Y"/>
    <n v="2"/>
    <d v="2023-07-07T19:34:22"/>
    <s v="N"/>
    <m/>
    <m/>
    <s v="Expert Disbursement"/>
    <m/>
    <s v="N"/>
    <n v="0"/>
    <n v="-7.2"/>
    <x v="9"/>
    <s v="VALIDATED"/>
    <n v="1"/>
    <s v="01.11.80.308.2013.0000"/>
    <n v="-7.2"/>
    <s v="11"/>
    <s v="2013"/>
    <n v="3204.77"/>
    <n v="-7.2"/>
    <s v="CREDITOR"/>
    <n v="0"/>
    <n v="0"/>
    <n v="-7.2"/>
    <n v="0"/>
    <n v="0"/>
  </r>
  <r>
    <n v="9585209"/>
    <s v="N"/>
    <n v="21346276"/>
    <s v="3000005525070003RC"/>
    <s v="CIVIL"/>
    <d v="2023-06-28T00:00:00"/>
    <d v="2023-07-07T19:34:21"/>
    <m/>
    <d v="2023-07-07T00:00:00"/>
    <n v="636"/>
    <n v="16940"/>
    <s v="9585209"/>
    <s v="9585209"/>
    <m/>
    <m/>
    <m/>
    <m/>
    <m/>
    <m/>
    <s v="SOLRECOUP"/>
    <s v="SOLRECOUP"/>
    <s v="POARECOUP"/>
    <n v="21346276"/>
    <n v="-2637.89"/>
    <m/>
    <s v="Y"/>
    <n v="1"/>
    <d v="2023-07-07T19:34:22"/>
    <s v="N"/>
    <m/>
    <m/>
    <s v="Expert Disbursement"/>
    <m/>
    <s v="N"/>
    <n v="-2198.24"/>
    <n v="0"/>
    <x v="9"/>
    <s v="VALIDATED"/>
    <n v="1"/>
    <s v="01.11.80.308.2013.0000"/>
    <n v="-2198.24"/>
    <s v="11"/>
    <s v="2013"/>
    <n v="3204.77"/>
    <n v="-2198.24"/>
    <s v="CREDITOR"/>
    <n v="0"/>
    <n v="0"/>
    <n v="-2198.24"/>
    <n v="0"/>
    <n v="0"/>
  </r>
  <r>
    <n v="9585209"/>
    <s v="N"/>
    <n v="21346276"/>
    <s v="3000005525070003RC"/>
    <s v="CIVIL"/>
    <d v="2023-06-28T00:00:00"/>
    <d v="2023-07-07T19:34:21"/>
    <m/>
    <d v="2023-07-07T00:00:00"/>
    <n v="636"/>
    <n v="16940"/>
    <s v="9585209"/>
    <s v="9585209"/>
    <m/>
    <m/>
    <m/>
    <m/>
    <m/>
    <m/>
    <s v="SOLRECOUP"/>
    <s v="SOLRECOUP"/>
    <s v="POARECOUP"/>
    <n v="21346276"/>
    <n v="-2637.89"/>
    <m/>
    <s v="Y"/>
    <n v="2"/>
    <d v="2023-07-07T19:34:22"/>
    <s v="N"/>
    <m/>
    <m/>
    <s v="Expert Disbursement"/>
    <m/>
    <s v="N"/>
    <n v="0"/>
    <n v="-439.65"/>
    <x v="9"/>
    <s v="VALIDATED"/>
    <n v="1"/>
    <s v="01.11.80.308.2013.0000"/>
    <n v="-439.65"/>
    <s v="11"/>
    <s v="2013"/>
    <n v="3204.77"/>
    <n v="-439.65"/>
    <s v="CREDITOR"/>
    <n v="0"/>
    <n v="0"/>
    <n v="-439.65"/>
    <n v="0"/>
    <n v="0"/>
  </r>
  <r>
    <n v="9585209"/>
    <s v="N"/>
    <n v="21346277"/>
    <s v="3000005525070004RC"/>
    <s v="CIVIL"/>
    <d v="2023-06-28T00:00:00"/>
    <d v="2023-07-07T19:34:21"/>
    <m/>
    <d v="2023-07-07T00:00:00"/>
    <n v="636"/>
    <n v="16940"/>
    <s v="9585209"/>
    <s v="9585209"/>
    <m/>
    <m/>
    <m/>
    <m/>
    <m/>
    <m/>
    <s v="SOLRECOUP"/>
    <s v="SOLRECOUP"/>
    <s v="POARECOUP"/>
    <n v="21346277"/>
    <n v="-2790"/>
    <m/>
    <s v="Y"/>
    <n v="1"/>
    <d v="2023-07-07T19:34:22"/>
    <s v="N"/>
    <m/>
    <m/>
    <s v="Profit Cost"/>
    <m/>
    <s v="N"/>
    <n v="-2325"/>
    <n v="0"/>
    <x v="9"/>
    <s v="VALIDATED"/>
    <n v="1"/>
    <s v="01.11.80.308.2013.0000"/>
    <n v="-2325"/>
    <s v="11"/>
    <s v="2013"/>
    <n v="3204.77"/>
    <n v="-2325"/>
    <s v="CREDITOR"/>
    <n v="0"/>
    <n v="0"/>
    <n v="-2325"/>
    <n v="-581.25"/>
    <n v="0"/>
  </r>
  <r>
    <n v="9585209"/>
    <s v="N"/>
    <n v="21346277"/>
    <s v="3000005525070004RC"/>
    <s v="CIVIL"/>
    <d v="2023-06-28T00:00:00"/>
    <d v="2023-07-07T19:34:21"/>
    <m/>
    <d v="2023-07-07T00:00:00"/>
    <n v="636"/>
    <n v="16940"/>
    <s v="9585209"/>
    <s v="9585209"/>
    <m/>
    <m/>
    <m/>
    <m/>
    <m/>
    <m/>
    <s v="SOLRECOUP"/>
    <s v="SOLRECOUP"/>
    <s v="POARECOUP"/>
    <n v="21346277"/>
    <n v="-2790"/>
    <m/>
    <s v="Y"/>
    <n v="2"/>
    <d v="2023-07-07T19:34:22"/>
    <s v="N"/>
    <m/>
    <m/>
    <s v="Profit Cost"/>
    <m/>
    <s v="N"/>
    <n v="0"/>
    <n v="-465"/>
    <x v="9"/>
    <s v="VALIDATED"/>
    <n v="1"/>
    <s v="01.11.80.308.2013.0000"/>
    <n v="-465"/>
    <s v="11"/>
    <s v="2013"/>
    <n v="3204.77"/>
    <n v="-465"/>
    <s v="CREDITOR"/>
    <n v="0"/>
    <n v="0"/>
    <n v="-465"/>
    <n v="-116.25"/>
    <n v="0"/>
  </r>
  <r>
    <n v="9585209"/>
    <s v="N"/>
    <n v="21346278"/>
    <s v="3000005525070005RC"/>
    <s v="CIVIL"/>
    <d v="2023-06-28T00:00:00"/>
    <d v="2023-07-07T19:34:21"/>
    <m/>
    <d v="2023-07-07T00:00:00"/>
    <n v="636"/>
    <n v="16940"/>
    <s v="9585209"/>
    <s v="9585209"/>
    <m/>
    <m/>
    <m/>
    <m/>
    <m/>
    <m/>
    <s v="SOLRECOUP"/>
    <s v="SOLRECOUP"/>
    <s v="POARECOUP"/>
    <n v="21346278"/>
    <n v="-1155.6"/>
    <m/>
    <s v="Y"/>
    <n v="1"/>
    <d v="2023-07-07T19:34:22"/>
    <s v="N"/>
    <m/>
    <m/>
    <s v="Profit Cost"/>
    <m/>
    <s v="N"/>
    <n v="-963"/>
    <n v="0"/>
    <x v="9"/>
    <s v="VALIDATED"/>
    <n v="1"/>
    <s v="01.11.80.308.2013.0000"/>
    <n v="-963"/>
    <s v="11"/>
    <s v="2013"/>
    <n v="3204.77"/>
    <n v="-963"/>
    <s v="CREDITOR"/>
    <n v="0"/>
    <n v="0"/>
    <n v="-963"/>
    <n v="-240.75"/>
    <n v="0"/>
  </r>
  <r>
    <n v="9585209"/>
    <s v="N"/>
    <n v="21346278"/>
    <s v="3000005525070005RC"/>
    <s v="CIVIL"/>
    <d v="2023-06-28T00:00:00"/>
    <d v="2023-07-07T19:34:21"/>
    <m/>
    <d v="2023-07-07T00:00:00"/>
    <n v="636"/>
    <n v="16940"/>
    <s v="9585209"/>
    <s v="9585209"/>
    <m/>
    <m/>
    <m/>
    <m/>
    <m/>
    <m/>
    <s v="SOLRECOUP"/>
    <s v="SOLRECOUP"/>
    <s v="POARECOUP"/>
    <n v="21346278"/>
    <n v="-1155.6"/>
    <m/>
    <s v="Y"/>
    <n v="2"/>
    <d v="2023-07-07T19:34:22"/>
    <s v="N"/>
    <m/>
    <m/>
    <s v="Profit Cost"/>
    <m/>
    <s v="N"/>
    <n v="0"/>
    <n v="-192.6"/>
    <x v="9"/>
    <s v="VALIDATED"/>
    <n v="1"/>
    <s v="01.11.80.308.2013.0000"/>
    <n v="-192.6"/>
    <s v="11"/>
    <s v="2013"/>
    <n v="3204.77"/>
    <n v="-192.6"/>
    <s v="CREDITOR"/>
    <n v="0"/>
    <n v="0"/>
    <n v="-192.6"/>
    <n v="-48.15"/>
    <n v="0"/>
  </r>
  <r>
    <n v="9124328"/>
    <s v="N"/>
    <n v="21339914"/>
    <s v="3000005123040005RC"/>
    <s v="CIVIL"/>
    <d v="2023-06-27T00:00:00"/>
    <d v="2023-07-06T19:54:22"/>
    <m/>
    <d v="2023-07-06T00:00:00"/>
    <n v="636"/>
    <n v="16940"/>
    <s v="9124328"/>
    <s v="9124328"/>
    <m/>
    <m/>
    <m/>
    <m/>
    <m/>
    <m/>
    <s v="SOLRECOUP"/>
    <s v="SOLRECOUP"/>
    <s v="POARECOUP"/>
    <n v="21339914"/>
    <n v="-43.2"/>
    <m/>
    <s v="Y"/>
    <n v="2"/>
    <d v="2023-07-06T19:54:23"/>
    <s v="N"/>
    <m/>
    <m/>
    <s v="Non Expert Disbursement"/>
    <m/>
    <s v="N"/>
    <n v="0"/>
    <n v="-7.2"/>
    <x v="4"/>
    <s v="VALIDATED"/>
    <n v="1"/>
    <s v="01.11.80.308.2013.0000"/>
    <n v="-7.2"/>
    <s v="11"/>
    <s v="2013"/>
    <n v="3204.77"/>
    <n v="-7.2"/>
    <s v="CREDITOR"/>
    <n v="0"/>
    <n v="0"/>
    <n v="-7.2"/>
    <n v="0"/>
    <n v="0"/>
  </r>
  <r>
    <n v="9124328"/>
    <s v="N"/>
    <n v="21339915"/>
    <s v="3000005123040006RC"/>
    <s v="CIVIL"/>
    <d v="2023-06-27T00:00:00"/>
    <d v="2023-07-06T19:54:22"/>
    <m/>
    <d v="2023-07-06T00:00:00"/>
    <n v="636"/>
    <n v="16940"/>
    <s v="9124328"/>
    <s v="9124328"/>
    <m/>
    <m/>
    <m/>
    <m/>
    <m/>
    <m/>
    <s v="SOLRECOUP"/>
    <s v="SOLRECOUP"/>
    <s v="POARECOUP"/>
    <n v="21339915"/>
    <n v="-781.2"/>
    <m/>
    <s v="Y"/>
    <n v="1"/>
    <d v="2023-07-06T19:54:23"/>
    <s v="N"/>
    <m/>
    <m/>
    <s v="Expert Disbursement"/>
    <m/>
    <s v="N"/>
    <n v="-651"/>
    <n v="0"/>
    <x v="4"/>
    <s v="VALIDATED"/>
    <n v="1"/>
    <s v="01.11.80.308.2013.0000"/>
    <n v="-651"/>
    <s v="11"/>
    <s v="2013"/>
    <n v="3204.77"/>
    <n v="-651"/>
    <s v="CREDITOR"/>
    <n v="0"/>
    <n v="0"/>
    <n v="-651"/>
    <n v="0"/>
    <n v="0"/>
  </r>
  <r>
    <n v="9124328"/>
    <s v="N"/>
    <n v="21339915"/>
    <s v="3000005123040006RC"/>
    <s v="CIVIL"/>
    <d v="2023-06-27T00:00:00"/>
    <d v="2023-07-06T19:54:22"/>
    <m/>
    <d v="2023-07-06T00:00:00"/>
    <n v="636"/>
    <n v="16940"/>
    <s v="9124328"/>
    <s v="9124328"/>
    <m/>
    <m/>
    <m/>
    <m/>
    <m/>
    <m/>
    <s v="SOLRECOUP"/>
    <s v="SOLRECOUP"/>
    <s v="POARECOUP"/>
    <n v="21339915"/>
    <n v="-781.2"/>
    <m/>
    <s v="Y"/>
    <n v="2"/>
    <d v="2023-07-06T19:54:23"/>
    <s v="N"/>
    <m/>
    <m/>
    <s v="Expert Disbursement"/>
    <m/>
    <s v="N"/>
    <n v="0"/>
    <n v="-130.2"/>
    <x v="4"/>
    <s v="VALIDATED"/>
    <n v="1"/>
    <s v="01.11.80.308.2013.0000"/>
    <n v="-130.2"/>
    <s v="11"/>
    <s v="2013"/>
    <n v="3204.77"/>
    <n v="-130.2"/>
    <s v="CREDITOR"/>
    <n v="0"/>
    <n v="0"/>
    <n v="-130.2"/>
    <n v="0"/>
    <n v="0"/>
  </r>
  <r>
    <n v="9124328"/>
    <s v="N"/>
    <n v="21339916"/>
    <s v="3000005123040009RC"/>
    <s v="CIVIL"/>
    <d v="2023-06-27T00:00:00"/>
    <d v="2023-07-06T19:54:22"/>
    <m/>
    <d v="2023-07-06T00:00:00"/>
    <n v="636"/>
    <n v="16940"/>
    <s v="9124328"/>
    <s v="9124328"/>
    <m/>
    <m/>
    <m/>
    <m/>
    <m/>
    <m/>
    <s v="SOLRECOUP"/>
    <s v="SOLRECOUP"/>
    <s v="POARECOUP"/>
    <n v="21339916"/>
    <n v="-593.1"/>
    <m/>
    <s v="Y"/>
    <n v="1"/>
    <d v="2023-07-06T19:54:23"/>
    <s v="N"/>
    <m/>
    <m/>
    <s v="Profit Cost"/>
    <m/>
    <s v="N"/>
    <n v="-494.25"/>
    <n v="0"/>
    <x v="4"/>
    <s v="VALIDATED"/>
    <n v="1"/>
    <s v="01.11.80.308.2013.0000"/>
    <n v="-494.25"/>
    <s v="11"/>
    <s v="2013"/>
    <n v="3204.77"/>
    <n v="-494.25"/>
    <s v="CREDITOR"/>
    <n v="0"/>
    <n v="0"/>
    <n v="-494.25"/>
    <n v="-123.5625"/>
    <n v="0"/>
  </r>
  <r>
    <n v="9124328"/>
    <s v="N"/>
    <n v="21339916"/>
    <s v="3000005123040009RC"/>
    <s v="CIVIL"/>
    <d v="2023-06-27T00:00:00"/>
    <d v="2023-07-06T19:54:22"/>
    <m/>
    <d v="2023-07-06T00:00:00"/>
    <n v="636"/>
    <n v="16940"/>
    <s v="9124328"/>
    <s v="9124328"/>
    <m/>
    <m/>
    <m/>
    <m/>
    <m/>
    <m/>
    <s v="SOLRECOUP"/>
    <s v="SOLRECOUP"/>
    <s v="POARECOUP"/>
    <n v="21339916"/>
    <n v="-593.1"/>
    <m/>
    <s v="Y"/>
    <n v="2"/>
    <d v="2023-07-06T19:54:23"/>
    <s v="N"/>
    <m/>
    <m/>
    <s v="Profit Cost"/>
    <m/>
    <s v="N"/>
    <n v="0"/>
    <n v="-98.84999999999999"/>
    <x v="4"/>
    <s v="VALIDATED"/>
    <n v="1"/>
    <s v="01.11.80.308.2013.0000"/>
    <n v="-98.84999999999999"/>
    <s v="11"/>
    <s v="2013"/>
    <n v="3204.77"/>
    <n v="-98.84999999999999"/>
    <s v="CREDITOR"/>
    <n v="0"/>
    <n v="0"/>
    <n v="-98.84999999999999"/>
    <n v="-24.7125"/>
    <n v="0"/>
  </r>
  <r>
    <n v="9124328"/>
    <s v="N"/>
    <n v="21339917"/>
    <s v="3000005123040010RC"/>
    <s v="CIVIL"/>
    <d v="2023-06-27T00:00:00"/>
    <d v="2023-07-06T19:54:22"/>
    <m/>
    <d v="2023-07-06T00:00:00"/>
    <n v="636"/>
    <n v="16940"/>
    <s v="9124328"/>
    <s v="9124328"/>
    <m/>
    <m/>
    <m/>
    <m/>
    <m/>
    <m/>
    <s v="SOLRECOUP"/>
    <s v="SOLRECOUP"/>
    <s v="POARECOUP"/>
    <n v="21339917"/>
    <n v="-155"/>
    <m/>
    <s v="Y"/>
    <n v="1"/>
    <d v="2023-07-06T19:54:23"/>
    <s v="N"/>
    <m/>
    <m/>
    <s v="Non Expert Disbursement"/>
    <m/>
    <s v="N"/>
    <n v="-155"/>
    <n v="0"/>
    <x v="4"/>
    <s v="VALIDATED"/>
    <n v="1"/>
    <s v="01.11.80.308.2013.0000"/>
    <n v="-155"/>
    <s v="11"/>
    <s v="2013"/>
    <n v="3204.77"/>
    <n v="-155"/>
    <s v="CREDITOR"/>
    <n v="0"/>
    <n v="0"/>
    <n v="-155"/>
    <n v="0"/>
    <n v="0"/>
  </r>
  <r>
    <n v="9124328"/>
    <s v="N"/>
    <n v="21339917"/>
    <s v="3000005123040010RC"/>
    <s v="CIVIL"/>
    <d v="2023-06-27T00:00:00"/>
    <d v="2023-07-06T19:54:22"/>
    <m/>
    <d v="2023-07-06T00:00:00"/>
    <n v="636"/>
    <n v="16940"/>
    <s v="9124328"/>
    <s v="9124328"/>
    <m/>
    <m/>
    <m/>
    <m/>
    <m/>
    <m/>
    <s v="SOLRECOUP"/>
    <s v="SOLRECOUP"/>
    <s v="POARECOUP"/>
    <n v="21339917"/>
    <n v="-155"/>
    <m/>
    <s v="Y"/>
    <n v="2"/>
    <d v="2023-07-06T19:54:23"/>
    <s v="N"/>
    <m/>
    <m/>
    <s v="Non Expert Disbursement"/>
    <m/>
    <s v="N"/>
    <n v="0"/>
    <n v="0"/>
    <x v="4"/>
    <s v="VALIDATED"/>
    <n v="1"/>
    <s v="01.11.80.000.0000.0000"/>
    <n v="0"/>
    <s v="11"/>
    <s v="0000"/>
    <n v="3204.77"/>
    <n v="0"/>
    <s v="CREDITOR"/>
    <n v="0"/>
    <n v="0"/>
    <n v="0"/>
    <n v="0"/>
    <n v="0"/>
  </r>
  <r>
    <n v="9867407"/>
    <s v="N"/>
    <n v="21363311"/>
    <s v="3000005778270005"/>
    <s v="CIVIL"/>
    <d v="2023-06-29T00:00:00"/>
    <d v="2023-07-12T19:01:49"/>
    <m/>
    <d v="2023-07-12T00:00:00"/>
    <n v="636"/>
    <n v="16940"/>
    <s v="9867407"/>
    <s v="9867407"/>
    <m/>
    <m/>
    <n v="22788034"/>
    <m/>
    <m/>
    <m/>
    <s v="SOLFIN"/>
    <s v="SOLFIN"/>
    <s v="CCMS"/>
    <n v="21363311"/>
    <n v="2992.29"/>
    <m/>
    <s v="N"/>
    <n v="15"/>
    <d v="2023-07-12T19:01:59"/>
    <s v="Y"/>
    <s v="Exceptional Travel"/>
    <s v="Other Public Law Children"/>
    <s v="Advocacy"/>
    <s v="RS"/>
    <s v="Y"/>
    <n v="32.04"/>
    <n v="6.41"/>
    <x v="0"/>
    <s v="VALIDATED"/>
    <n v="1"/>
    <s v="01.11.80.305.6100.0000"/>
    <n v="32.04"/>
    <s v="11"/>
    <s v="6100"/>
    <n v="3204.77"/>
    <n v="32.04"/>
    <s v="CREDITOR"/>
    <n v="0"/>
    <n v="0"/>
    <n v="0"/>
    <n v="0"/>
    <n v="32.04"/>
  </r>
  <r>
    <n v="8129289"/>
    <s v="N"/>
    <n v="21343969"/>
    <s v="3000004239320001"/>
    <s v="CIVIL"/>
    <d v="2023-06-29T00:00:00"/>
    <d v="2023-07-07T19:03:00"/>
    <m/>
    <d v="2023-07-07T00:00:00"/>
    <n v="636"/>
    <n v="16940"/>
    <s v="8129289"/>
    <s v="8129289"/>
    <m/>
    <m/>
    <n v="22784952"/>
    <m/>
    <m/>
    <m/>
    <s v="SOLFIN"/>
    <s v="SOLFIN"/>
    <s v="CCMS"/>
    <n v="21343969"/>
    <n v="0"/>
    <m/>
    <s v="N"/>
    <n v="1"/>
    <d v="2023-07-07T19:03:19"/>
    <s v="N"/>
    <s v="NIL BILL"/>
    <s v="Public Law Children"/>
    <s v="Profit Cost"/>
    <s v="RS"/>
    <s v="N"/>
    <n v="0"/>
    <n v="0"/>
    <x v="9"/>
    <s v="VALIDATED"/>
    <n v="1"/>
    <s v="01.11.80.308.6100.0000"/>
    <n v="0"/>
    <s v="11"/>
    <s v="6100"/>
    <n v="3204.77"/>
    <n v="0"/>
    <s v="CREDITOR"/>
    <n v="0"/>
    <n v="0"/>
    <n v="0"/>
    <n v="0"/>
    <n v="0"/>
  </r>
  <r>
    <n v="61366643"/>
    <s v="N"/>
    <n v="21402958"/>
    <s v="3000015513770013"/>
    <s v="CIVIL"/>
    <d v="2023-06-17T00:00:00"/>
    <d v="2023-07-20T19:22:20"/>
    <m/>
    <d v="2023-07-20T00:00:00"/>
    <n v="636"/>
    <n v="16940"/>
    <s v="61366643"/>
    <s v="61366643"/>
    <m/>
    <m/>
    <n v="22710402"/>
    <m/>
    <m/>
    <m/>
    <s v="SOLPOA"/>
    <s v="SOLPOA"/>
    <s v="CCMS"/>
    <n v="21402958"/>
    <n v="23.3"/>
    <m/>
    <s v="N"/>
    <n v="1"/>
    <d v="2023-07-20T19:22:27"/>
    <s v="N"/>
    <s v="Non Expert Disbursement"/>
    <s v="Non Expert Disbursement"/>
    <s v="Non Expert Disbursement"/>
    <s v="GWH"/>
    <s v="N"/>
    <n v="23.3"/>
    <n v="0"/>
    <x v="13"/>
    <s v="VALIDATED"/>
    <n v="1"/>
    <s v="01.11.80.308.2012.0000"/>
    <n v="23.3"/>
    <s v="11"/>
    <s v="2012"/>
    <n v="3204.77"/>
    <n v="23.3"/>
    <s v="CREDITOR"/>
    <n v="23.3"/>
    <n v="0"/>
    <n v="0"/>
    <n v="0"/>
    <n v="0"/>
  </r>
  <r>
    <n v="9867407"/>
    <s v="N"/>
    <n v="21363311"/>
    <s v="3000005778270005"/>
    <s v="CIVIL"/>
    <d v="2023-06-29T00:00:00"/>
    <d v="2023-07-12T19:01:49"/>
    <m/>
    <d v="2023-07-12T00:00:00"/>
    <n v="636"/>
    <n v="16940"/>
    <s v="9867407"/>
    <s v="9867407"/>
    <m/>
    <m/>
    <n v="22788034"/>
    <m/>
    <m/>
    <m/>
    <s v="SOLFIN"/>
    <s v="SOLFIN"/>
    <s v="CCMS"/>
    <n v="21363311"/>
    <n v="2992.29"/>
    <m/>
    <s v="N"/>
    <n v="10"/>
    <d v="2023-07-12T19:01:59"/>
    <s v="Y"/>
    <s v="Preparation - drafting application"/>
    <s v="Prescribed Hourly Rates"/>
    <s v="Profit Cost"/>
    <s v="SH"/>
    <s v="Y"/>
    <n v="19.73"/>
    <n v="3.95"/>
    <x v="0"/>
    <s v="VALIDATED"/>
    <n v="1"/>
    <s v="01.11.80.305.6100.0000"/>
    <n v="19.73"/>
    <s v="11"/>
    <s v="6100"/>
    <n v="3204.77"/>
    <n v="19.73"/>
    <s v="CREDITOR"/>
    <n v="0"/>
    <n v="0"/>
    <n v="0"/>
    <n v="0"/>
    <n v="19.73"/>
  </r>
  <r>
    <n v="9124328"/>
    <s v="N"/>
    <n v="21338332"/>
    <s v="3000005123040013"/>
    <s v="CIVIL"/>
    <d v="2023-06-27T00:00:00"/>
    <d v="2023-07-06T19:21:01"/>
    <m/>
    <d v="2023-07-06T00:00:00"/>
    <n v="636"/>
    <n v="16940"/>
    <s v="9124328"/>
    <s v="9124328"/>
    <m/>
    <m/>
    <n v="22771780"/>
    <m/>
    <m/>
    <m/>
    <s v="SOLFIN"/>
    <s v="SOLFIN"/>
    <s v="CCMS"/>
    <n v="21338332"/>
    <n v="4987.69"/>
    <m/>
    <s v="N"/>
    <n v="15"/>
    <d v="2023-07-06T19:21:20"/>
    <s v="Y"/>
    <s v="Advocates Meeting"/>
    <s v="Public Law Children"/>
    <s v="Advocacy"/>
    <s v="TM"/>
    <s v="Y"/>
    <n v="128.16"/>
    <n v="25.63"/>
    <x v="4"/>
    <s v="VALIDATED"/>
    <n v="1"/>
    <s v="01.11.80.308.6100.0000"/>
    <n v="128.16"/>
    <s v="11"/>
    <s v="6100"/>
    <n v="3204.77"/>
    <n v="128.16"/>
    <s v="CREDITOR"/>
    <n v="0"/>
    <n v="0"/>
    <n v="0"/>
    <n v="0"/>
    <n v="128.16"/>
  </r>
  <r>
    <n v="9864254"/>
    <s v="N"/>
    <n v="21330961"/>
    <s v="3000005750570013"/>
    <s v="CIVIL"/>
    <d v="2023-06-24T00:00:00"/>
    <d v="2023-07-05T19:01:47"/>
    <m/>
    <d v="2023-07-05T00:00:00"/>
    <n v="636"/>
    <n v="16940"/>
    <s v="9864254"/>
    <s v="9864254"/>
    <m/>
    <m/>
    <n v="22756334"/>
    <m/>
    <m/>
    <m/>
    <s v="SOLFIN"/>
    <s v="SOLFIN"/>
    <s v="CCMS"/>
    <n v="21330961"/>
    <n v="14314.05"/>
    <m/>
    <s v="N"/>
    <n v="6"/>
    <d v="2023-07-05T19:02:00"/>
    <s v="Y"/>
    <s v="Hearing Unit 1.01 - 2.30 Hours"/>
    <s v="Public Law Children"/>
    <s v="Advocacy"/>
    <s v="JM"/>
    <s v="Y"/>
    <n v="238.46"/>
    <n v="47.69"/>
    <x v="6"/>
    <s v="VALIDATED"/>
    <n v="1"/>
    <s v="01.11.80.308.6100.0000"/>
    <n v="238.46"/>
    <s v="11"/>
    <s v="6100"/>
    <n v="3204.77"/>
    <n v="238.46"/>
    <s v="CREDITOR"/>
    <n v="0"/>
    <n v="0"/>
    <n v="0"/>
    <n v="0"/>
    <n v="238.46"/>
  </r>
  <r>
    <n v="9341325"/>
    <s v="N"/>
    <n v="21327490"/>
    <s v="3000005310670009"/>
    <s v="CIVIL"/>
    <d v="2023-06-24T00:00:00"/>
    <d v="2023-07-04T19:00:44"/>
    <m/>
    <d v="2023-07-04T00:00:00"/>
    <n v="636"/>
    <n v="16940"/>
    <s v="9341325"/>
    <s v="9341325"/>
    <m/>
    <m/>
    <n v="22756400"/>
    <m/>
    <m/>
    <m/>
    <s v="SOLFIN"/>
    <s v="SOLFIN"/>
    <s v="CCMS"/>
    <n v="21327490"/>
    <n v="7133.48"/>
    <m/>
    <s v="N"/>
    <n v="7"/>
    <d v="2023-07-04T19:00:48"/>
    <s v="Y"/>
    <s v="Expert - Other"/>
    <s v="Public Law Children"/>
    <s v="Expert Disbursement"/>
    <s v="Lextox"/>
    <s v="Y"/>
    <n v="232.25"/>
    <n v="46.45"/>
    <x v="1"/>
    <s v="VALIDATED"/>
    <n v="1"/>
    <s v="01.11.80.308.6300.0000"/>
    <n v="232.25"/>
    <s v="11"/>
    <s v="6300"/>
    <n v="3204.77"/>
    <n v="232.25"/>
    <s v="CREDITOR"/>
    <n v="0"/>
    <n v="0"/>
    <n v="0"/>
    <n v="0"/>
    <n v="232.25"/>
  </r>
  <r>
    <n v="61366643"/>
    <s v="N"/>
    <n v="21403108"/>
    <s v="3000015513770014"/>
    <s v="CIVIL"/>
    <d v="2023-06-17T00:00:00"/>
    <d v="2023-07-20T19:22:20"/>
    <m/>
    <d v="2023-07-20T00:00:00"/>
    <n v="636"/>
    <n v="16940"/>
    <s v="61366643"/>
    <s v="61366643"/>
    <m/>
    <m/>
    <n v="22710406"/>
    <m/>
    <m/>
    <m/>
    <s v="SOLPOA"/>
    <s v="SOLPOA"/>
    <s v="CCMS"/>
    <n v="21403108"/>
    <n v="23.3"/>
    <m/>
    <s v="N"/>
    <n v="1"/>
    <d v="2023-07-20T19:22:29"/>
    <s v="N"/>
    <s v="Non Expert Disbursement"/>
    <s v="Non Expert Disbursement"/>
    <s v="Non Expert Disbursement"/>
    <s v="GWH"/>
    <s v="N"/>
    <n v="23.3"/>
    <n v="0"/>
    <x v="13"/>
    <s v="VALIDATED"/>
    <n v="1"/>
    <s v="01.11.80.308.2012.0000"/>
    <n v="23.3"/>
    <s v="11"/>
    <s v="2012"/>
    <n v="3204.77"/>
    <n v="23.3"/>
    <s v="CREDITOR"/>
    <n v="23.3"/>
    <n v="0"/>
    <n v="0"/>
    <n v="0"/>
    <n v="0"/>
  </r>
  <r>
    <n v="9867407"/>
    <s v="N"/>
    <n v="21363311"/>
    <s v="3000005778270005"/>
    <s v="CIVIL"/>
    <d v="2023-06-29T00:00:00"/>
    <d v="2023-07-12T19:01:49"/>
    <m/>
    <d v="2023-07-12T00:00:00"/>
    <n v="636"/>
    <n v="16940"/>
    <s v="9867407"/>
    <s v="9867407"/>
    <m/>
    <m/>
    <n v="22788034"/>
    <m/>
    <m/>
    <m/>
    <s v="SOLFIN"/>
    <s v="SOLFIN"/>
    <s v="CCMS"/>
    <n v="21363311"/>
    <n v="2992.29"/>
    <m/>
    <s v="N"/>
    <n v="13"/>
    <d v="2023-07-12T19:01:59"/>
    <s v="Y"/>
    <s v="Preparation - drafting application"/>
    <s v="Prescribed Hourly Rates"/>
    <s v="Profit Cost"/>
    <s v="SH"/>
    <s v="Y"/>
    <n v="26.3"/>
    <n v="5.26"/>
    <x v="0"/>
    <s v="VALIDATED"/>
    <n v="1"/>
    <s v="01.11.80.305.6100.0000"/>
    <n v="26.3"/>
    <s v="11"/>
    <s v="6100"/>
    <n v="3204.77"/>
    <n v="26.3"/>
    <s v="CREDITOR"/>
    <n v="0"/>
    <n v="0"/>
    <n v="0"/>
    <n v="0"/>
    <n v="26.3"/>
  </r>
  <r>
    <n v="9357342"/>
    <s v="N"/>
    <n v="21330493"/>
    <s v="3000005320400010"/>
    <s v="CIVIL"/>
    <d v="2023-06-22T00:00:00"/>
    <d v="2023-07-05T19:01:47"/>
    <m/>
    <d v="2023-07-05T00:00:00"/>
    <n v="636"/>
    <n v="16940"/>
    <s v="9357342"/>
    <s v="9357342"/>
    <m/>
    <m/>
    <n v="22746704"/>
    <m/>
    <m/>
    <m/>
    <s v="SOLFIN"/>
    <s v="SOLFIN"/>
    <s v="CCMS"/>
    <n v="21330493"/>
    <n v="7750.64"/>
    <m/>
    <s v="N"/>
    <n v="4"/>
    <d v="2023-07-05T19:01:50"/>
    <s v="N"/>
    <s v="Exceptional Travel"/>
    <s v="Public Law Children"/>
    <s v="Advocacy"/>
    <s v="KM"/>
    <s v="N"/>
    <n v="0.72"/>
    <n v="0.14"/>
    <x v="6"/>
    <s v="VALIDATED"/>
    <n v="1"/>
    <s v="01.11.80.308.6100.0000"/>
    <n v="0.72"/>
    <s v="11"/>
    <s v="6100"/>
    <n v="3204.77"/>
    <n v="0.72"/>
    <s v="CREDITOR"/>
    <n v="0"/>
    <n v="0"/>
    <n v="0"/>
    <n v="0"/>
    <n v="0.72"/>
  </r>
  <r>
    <n v="59748703"/>
    <s v="N"/>
    <n v="21320166"/>
    <s v="3000014126820009"/>
    <s v="CIVIL"/>
    <d v="2023-06-27T00:00:00"/>
    <d v="2023-07-03T19:04:24"/>
    <m/>
    <d v="2023-07-03T00:00:00"/>
    <n v="636"/>
    <n v="16940"/>
    <s v="59748703"/>
    <s v="59748703"/>
    <m/>
    <m/>
    <n v="22770778"/>
    <m/>
    <m/>
    <m/>
    <s v="SOLFIN"/>
    <s v="SOLFIN"/>
    <s v="CCMS"/>
    <n v="21320166"/>
    <n v="14172.6"/>
    <m/>
    <s v="N"/>
    <n v="10"/>
    <d v="2023-07-03T19:04:29"/>
    <s v="Y"/>
    <s v="Advocates Meeting (Events Model)"/>
    <s v="VHCC"/>
    <s v="Profit Cost"/>
    <s v="km"/>
    <s v="Y"/>
    <n v="707"/>
    <n v="141.4"/>
    <x v="3"/>
    <s v="VALIDATED"/>
    <n v="1"/>
    <s v="01.11.80.308.6100.0000"/>
    <n v="707"/>
    <s v="11"/>
    <s v="6100"/>
    <n v="3204.77"/>
    <n v="707"/>
    <s v="CREDITOR"/>
    <n v="0"/>
    <n v="0"/>
    <n v="0"/>
    <n v="0"/>
    <n v="707"/>
  </r>
  <r>
    <n v="9867407"/>
    <s v="N"/>
    <n v="21363311"/>
    <s v="3000005778270005"/>
    <s v="CIVIL"/>
    <d v="2023-06-29T00:00:00"/>
    <d v="2023-07-12T19:01:49"/>
    <m/>
    <d v="2023-07-12T00:00:00"/>
    <n v="636"/>
    <n v="16940"/>
    <s v="9867407"/>
    <s v="9867407"/>
    <m/>
    <m/>
    <n v="22788034"/>
    <m/>
    <m/>
    <m/>
    <s v="SOLFIN"/>
    <s v="SOLFIN"/>
    <s v="CCMS"/>
    <n v="21363311"/>
    <n v="2992.29"/>
    <m/>
    <s v="N"/>
    <n v="14"/>
    <d v="2023-07-12T19:01:59"/>
    <s v="Y"/>
    <s v="Exceptional Travel"/>
    <s v="Other Public Law Children"/>
    <s v="Advocacy"/>
    <s v="RS"/>
    <s v="Y"/>
    <n v="32.04"/>
    <n v="6.41"/>
    <x v="0"/>
    <s v="VALIDATED"/>
    <n v="1"/>
    <s v="01.11.80.305.6100.0000"/>
    <n v="32.04"/>
    <s v="11"/>
    <s v="6100"/>
    <n v="3204.77"/>
    <n v="32.04"/>
    <s v="CREDITOR"/>
    <n v="0"/>
    <n v="0"/>
    <n v="0"/>
    <n v="0"/>
    <n v="32.04"/>
  </r>
  <r>
    <n v="9124328"/>
    <s v="N"/>
    <n v="21338332"/>
    <s v="3000005123040013"/>
    <s v="CIVIL"/>
    <d v="2023-06-27T00:00:00"/>
    <d v="2023-07-06T19:21:01"/>
    <m/>
    <d v="2023-07-06T00:00:00"/>
    <n v="636"/>
    <n v="16940"/>
    <s v="9124328"/>
    <s v="9124328"/>
    <m/>
    <m/>
    <n v="22771780"/>
    <m/>
    <m/>
    <m/>
    <s v="SOLFIN"/>
    <s v="SOLFIN"/>
    <s v="CCMS"/>
    <n v="21338332"/>
    <n v="4987.69"/>
    <m/>
    <s v="N"/>
    <n v="9"/>
    <d v="2023-07-06T19:21:20"/>
    <s v="Y"/>
    <s v="Solicitor Travel Mileage"/>
    <s v="Public Law Children"/>
    <s v="Non Expert Disbursement"/>
    <s v="TM"/>
    <s v="Y"/>
    <n v="39.7"/>
    <n v="7.94"/>
    <x v="4"/>
    <s v="VALIDATED"/>
    <n v="1"/>
    <s v="01.11.80.308.6300.0000"/>
    <n v="39.7"/>
    <s v="11"/>
    <s v="6300"/>
    <n v="3204.77"/>
    <n v="39.7"/>
    <s v="CREDITOR"/>
    <n v="0"/>
    <n v="0"/>
    <n v="0"/>
    <n v="0"/>
    <n v="39.7"/>
  </r>
  <r>
    <n v="9124328"/>
    <s v="N"/>
    <n v="21338332"/>
    <s v="3000005123040013"/>
    <s v="CIVIL"/>
    <d v="2023-06-27T00:00:00"/>
    <d v="2023-07-06T19:21:01"/>
    <m/>
    <d v="2023-07-06T00:00:00"/>
    <n v="636"/>
    <n v="16940"/>
    <s v="9124328"/>
    <s v="9124328"/>
    <m/>
    <m/>
    <n v="22771780"/>
    <m/>
    <m/>
    <m/>
    <s v="SOLFIN"/>
    <s v="SOLFIN"/>
    <s v="CCMS"/>
    <n v="21338332"/>
    <n v="4987.69"/>
    <m/>
    <s v="N"/>
    <n v="17"/>
    <d v="2023-07-06T19:21:20"/>
    <s v="Y"/>
    <s v="Solicitors Fixed Fee"/>
    <s v="Public Law Children"/>
    <s v="Profit Cost"/>
    <s v="TM"/>
    <s v="Y"/>
    <n v="2013"/>
    <n v="402.6"/>
    <x v="4"/>
    <s v="VALIDATED"/>
    <n v="1"/>
    <s v="01.11.80.308.6100.0000"/>
    <n v="2013"/>
    <s v="11"/>
    <s v="6100"/>
    <n v="3204.77"/>
    <n v="2013"/>
    <s v="CREDITOR"/>
    <n v="0"/>
    <n v="0"/>
    <n v="0"/>
    <n v="0"/>
    <n v="2013"/>
  </r>
  <r>
    <n v="9357342"/>
    <s v="N"/>
    <n v="21330493"/>
    <s v="3000005320400010"/>
    <s v="CIVIL"/>
    <d v="2023-06-22T00:00:00"/>
    <d v="2023-07-05T19:01:47"/>
    <m/>
    <d v="2023-07-05T00:00:00"/>
    <n v="636"/>
    <n v="16940"/>
    <s v="9357342"/>
    <s v="9357342"/>
    <m/>
    <m/>
    <n v="22746704"/>
    <m/>
    <m/>
    <m/>
    <s v="SOLFIN"/>
    <s v="SOLFIN"/>
    <s v="CCMS"/>
    <n v="21330493"/>
    <n v="7750.64"/>
    <m/>
    <s v="N"/>
    <n v="20"/>
    <d v="2023-07-05T19:01:50"/>
    <s v="Y"/>
    <s v="Final Hearing - 1 Day"/>
    <s v="Public Law Children"/>
    <s v="Advocacy"/>
    <s v="KM"/>
    <s v="Y"/>
    <n v="556.88"/>
    <n v="111.38"/>
    <x v="6"/>
    <s v="VALIDATED"/>
    <n v="1"/>
    <s v="01.11.80.308.6100.0000"/>
    <n v="556.88"/>
    <s v="11"/>
    <s v="6100"/>
    <n v="3204.77"/>
    <n v="556.88"/>
    <s v="CREDITOR"/>
    <n v="0"/>
    <n v="0"/>
    <n v="0"/>
    <n v="0"/>
    <n v="556.88"/>
  </r>
  <r>
    <n v="9867407"/>
    <s v="N"/>
    <n v="21363311"/>
    <s v="3000005778270005"/>
    <s v="CIVIL"/>
    <d v="2023-06-29T00:00:00"/>
    <d v="2023-07-12T19:01:49"/>
    <m/>
    <d v="2023-07-12T00:00:00"/>
    <n v="636"/>
    <n v="16940"/>
    <s v="9867407"/>
    <s v="9867407"/>
    <m/>
    <m/>
    <n v="22788034"/>
    <m/>
    <m/>
    <m/>
    <s v="SOLFIN"/>
    <s v="SOLFIN"/>
    <s v="CCMS"/>
    <n v="21363311"/>
    <n v="2992.29"/>
    <m/>
    <s v="N"/>
    <n v="18"/>
    <d v="2023-07-12T19:01:59"/>
    <s v="Y"/>
    <s v="Solicitor Travel Expenses"/>
    <s v="Care Remuneration Hourly Rates"/>
    <s v="Non Expert Disbursement"/>
    <s v="RS"/>
    <s v="Y"/>
    <n v="12.6"/>
    <n v="2.52"/>
    <x v="0"/>
    <s v="VALIDATED"/>
    <n v="1"/>
    <s v="01.11.80.305.6300.0000"/>
    <n v="12.6"/>
    <s v="11"/>
    <s v="6300"/>
    <n v="3204.77"/>
    <n v="12.6"/>
    <s v="CREDITOR"/>
    <n v="0"/>
    <n v="0"/>
    <n v="0"/>
    <n v="0"/>
    <n v="12.6"/>
  </r>
  <r>
    <n v="9585209"/>
    <s v="N"/>
    <n v="21344099"/>
    <s v="3000005525070006"/>
    <s v="CIVIL"/>
    <d v="2023-06-28T00:00:00"/>
    <d v="2023-07-07T19:03:00"/>
    <m/>
    <d v="2023-07-07T00:00:00"/>
    <n v="636"/>
    <n v="16940"/>
    <s v="9585209"/>
    <s v="9585209"/>
    <m/>
    <m/>
    <n v="22778050"/>
    <m/>
    <m/>
    <m/>
    <s v="SOLFIN"/>
    <s v="SOLFIN"/>
    <s v="CCMS"/>
    <n v="21344099"/>
    <n v="7744.01"/>
    <m/>
    <s v="N"/>
    <n v="9"/>
    <d v="2023-07-07T19:03:23"/>
    <s v="Y"/>
    <s v="Solicitors Fixed Fee"/>
    <s v="Public Law Children"/>
    <s v="Profit Cost"/>
    <s v="TM"/>
    <s v="Y"/>
    <n v="2616"/>
    <n v="523.2"/>
    <x v="9"/>
    <s v="VALIDATED"/>
    <n v="1"/>
    <s v="01.11.80.308.6100.0000"/>
    <n v="2616"/>
    <s v="11"/>
    <s v="6100"/>
    <n v="3204.77"/>
    <n v="2616"/>
    <s v="CREDITOR"/>
    <n v="0"/>
    <n v="0"/>
    <n v="0"/>
    <n v="0"/>
    <n v="2616"/>
  </r>
  <r>
    <n v="9124328"/>
    <s v="N"/>
    <n v="21338332"/>
    <s v="3000005123040013"/>
    <s v="CIVIL"/>
    <d v="2023-06-27T00:00:00"/>
    <d v="2023-07-06T19:21:01"/>
    <m/>
    <d v="2023-07-06T00:00:00"/>
    <n v="636"/>
    <n v="16940"/>
    <s v="9124328"/>
    <s v="9124328"/>
    <m/>
    <m/>
    <n v="22771780"/>
    <m/>
    <m/>
    <m/>
    <s v="SOLFIN"/>
    <s v="SOLFIN"/>
    <s v="CCMS"/>
    <n v="21338332"/>
    <n v="4987.69"/>
    <m/>
    <s v="N"/>
    <n v="16"/>
    <d v="2023-07-06T19:21:20"/>
    <s v="Y"/>
    <s v="Hearing Unit 1.01 - 2.30 Hours"/>
    <s v="Public Law Children"/>
    <s v="Advocacy"/>
    <s v="TM"/>
    <s v="Y"/>
    <n v="216.81"/>
    <n v="43.36"/>
    <x v="4"/>
    <s v="VALIDATED"/>
    <n v="1"/>
    <s v="01.11.80.308.6100.0000"/>
    <n v="216.81"/>
    <s v="11"/>
    <s v="6100"/>
    <n v="3204.77"/>
    <n v="216.81"/>
    <s v="CREDITOR"/>
    <n v="0"/>
    <n v="0"/>
    <n v="0"/>
    <n v="0"/>
    <n v="216.81"/>
  </r>
  <r>
    <n v="59748703"/>
    <s v="N"/>
    <n v="21320166"/>
    <s v="3000014126820009"/>
    <s v="CIVIL"/>
    <d v="2023-06-27T00:00:00"/>
    <d v="2023-07-03T19:04:24"/>
    <m/>
    <d v="2023-07-03T00:00:00"/>
    <n v="636"/>
    <n v="16940"/>
    <s v="59748703"/>
    <s v="59748703"/>
    <m/>
    <m/>
    <n v="22770778"/>
    <m/>
    <m/>
    <m/>
    <s v="SOLFIN"/>
    <s v="SOLFIN"/>
    <s v="CCMS"/>
    <n v="21320166"/>
    <n v="14172.6"/>
    <m/>
    <s v="N"/>
    <n v="3"/>
    <d v="2023-07-03T19:04:29"/>
    <s v="Y"/>
    <s v="Advocates Meeting (Events Model)"/>
    <s v="VHCC"/>
    <s v="Profit Cost"/>
    <s v="km"/>
    <s v="Y"/>
    <n v="1157"/>
    <n v="231.4"/>
    <x v="3"/>
    <s v="VALIDATED"/>
    <n v="1"/>
    <s v="01.11.80.308.6100.0000"/>
    <n v="1157"/>
    <s v="11"/>
    <s v="6100"/>
    <n v="3204.77"/>
    <n v="1157"/>
    <s v="CREDITOR"/>
    <n v="0"/>
    <n v="0"/>
    <n v="0"/>
    <n v="0"/>
    <n v="1157"/>
  </r>
  <r>
    <n v="9867407"/>
    <s v="N"/>
    <n v="21363311"/>
    <s v="3000005778270005"/>
    <s v="CIVIL"/>
    <d v="2023-06-29T00:00:00"/>
    <d v="2023-07-12T19:01:49"/>
    <m/>
    <d v="2023-07-12T00:00:00"/>
    <n v="636"/>
    <n v="16940"/>
    <s v="9867407"/>
    <s v="9867407"/>
    <m/>
    <m/>
    <n v="22788034"/>
    <m/>
    <m/>
    <m/>
    <s v="SOLFIN"/>
    <s v="SOLFIN"/>
    <s v="CCMS"/>
    <n v="21363311"/>
    <n v="2992.29"/>
    <m/>
    <s v="N"/>
    <n v="3"/>
    <d v="2023-07-12T19:01:59"/>
    <s v="Y"/>
    <s v="Routine Letter In"/>
    <s v="Prescribed Hourly Rates"/>
    <s v="Profit Cost"/>
    <s v="RS"/>
    <s v="Y"/>
    <n v="36.23"/>
    <n v="7.25"/>
    <x v="0"/>
    <s v="VALIDATED"/>
    <n v="1"/>
    <s v="01.11.80.305.6100.0000"/>
    <n v="36.23"/>
    <s v="11"/>
    <s v="6100"/>
    <n v="3204.77"/>
    <n v="36.23"/>
    <s v="CREDITOR"/>
    <n v="0"/>
    <n v="0"/>
    <n v="0"/>
    <n v="0"/>
    <n v="36.23"/>
  </r>
  <r>
    <n v="59748703"/>
    <s v="N"/>
    <n v="21320166"/>
    <s v="3000014126820009"/>
    <s v="CIVIL"/>
    <d v="2023-06-27T00:00:00"/>
    <d v="2023-07-03T19:04:24"/>
    <m/>
    <d v="2023-07-03T00:00:00"/>
    <n v="636"/>
    <n v="16940"/>
    <s v="59748703"/>
    <s v="59748703"/>
    <m/>
    <m/>
    <n v="22770778"/>
    <m/>
    <m/>
    <m/>
    <s v="SOLFIN"/>
    <s v="SOLFIN"/>
    <s v="CCMS"/>
    <n v="21320166"/>
    <n v="14172.6"/>
    <m/>
    <s v="N"/>
    <n v="4"/>
    <d v="2023-07-03T19:04:29"/>
    <s v="Y"/>
    <s v="Final Hearing (Events Model)"/>
    <s v="VHCC"/>
    <s v="Profit Cost"/>
    <s v="km"/>
    <s v="Y"/>
    <n v="707"/>
    <n v="141.4"/>
    <x v="3"/>
    <s v="VALIDATED"/>
    <n v="1"/>
    <s v="01.11.80.308.6100.0000"/>
    <n v="707"/>
    <s v="11"/>
    <s v="6100"/>
    <n v="3204.77"/>
    <n v="707"/>
    <s v="CREDITOR"/>
    <n v="0"/>
    <n v="0"/>
    <n v="0"/>
    <n v="0"/>
    <n v="707"/>
  </r>
  <r>
    <n v="9357342"/>
    <s v="N"/>
    <n v="21330493"/>
    <s v="3000005320400010"/>
    <s v="CIVIL"/>
    <d v="2023-06-22T00:00:00"/>
    <d v="2023-07-05T19:01:47"/>
    <m/>
    <d v="2023-07-05T00:00:00"/>
    <n v="636"/>
    <n v="16940"/>
    <s v="9357342"/>
    <s v="9357342"/>
    <m/>
    <m/>
    <n v="22746704"/>
    <m/>
    <m/>
    <m/>
    <s v="SOLFIN"/>
    <s v="SOLFIN"/>
    <s v="CCMS"/>
    <n v="21330493"/>
    <n v="7750.64"/>
    <m/>
    <s v="N"/>
    <n v="6"/>
    <d v="2023-07-05T19:01:50"/>
    <s v="Y"/>
    <s v="Final Hearing Court Bundle/Advocate"/>
    <s v="Public Law Children"/>
    <s v="Advocacy"/>
    <s v="KM"/>
    <s v="Y"/>
    <n v="159.3"/>
    <n v="31.86"/>
    <x v="6"/>
    <s v="VALIDATED"/>
    <n v="1"/>
    <s v="01.11.80.308.6100.0000"/>
    <n v="159.3"/>
    <s v="11"/>
    <s v="6100"/>
    <n v="3204.77"/>
    <n v="159.3"/>
    <s v="CREDITOR"/>
    <n v="0"/>
    <n v="0"/>
    <n v="0"/>
    <n v="0"/>
    <n v="159.3"/>
  </r>
  <r>
    <n v="9867407"/>
    <s v="N"/>
    <n v="21363311"/>
    <s v="3000005778270005"/>
    <s v="CIVIL"/>
    <d v="2023-06-29T00:00:00"/>
    <d v="2023-07-12T19:01:49"/>
    <m/>
    <d v="2023-07-12T00:00:00"/>
    <n v="636"/>
    <n v="16940"/>
    <s v="9867407"/>
    <s v="9867407"/>
    <m/>
    <m/>
    <n v="22788034"/>
    <m/>
    <m/>
    <m/>
    <s v="SOLFIN"/>
    <s v="SOLFIN"/>
    <s v="CCMS"/>
    <n v="21363311"/>
    <n v="2992.29"/>
    <m/>
    <s v="N"/>
    <n v="17"/>
    <d v="2023-07-12T19:01:59"/>
    <s v="Y"/>
    <s v="Solicitor Travel Mileage"/>
    <s v="Care Remuneration Hourly Rates"/>
    <s v="Non Expert Disbursement"/>
    <s v="RS"/>
    <s v="Y"/>
    <n v="36"/>
    <n v="7.2"/>
    <x v="0"/>
    <s v="VALIDATED"/>
    <n v="1"/>
    <s v="01.11.80.305.6300.0000"/>
    <n v="36"/>
    <s v="11"/>
    <s v="6300"/>
    <n v="3204.77"/>
    <n v="36"/>
    <s v="CREDITOR"/>
    <n v="0"/>
    <n v="0"/>
    <n v="0"/>
    <n v="0"/>
    <n v="36"/>
  </r>
  <r>
    <n v="9867407"/>
    <s v="N"/>
    <n v="21363311"/>
    <s v="3000005778270005"/>
    <s v="CIVIL"/>
    <d v="2023-06-29T00:00:00"/>
    <d v="2023-07-12T19:01:49"/>
    <m/>
    <d v="2023-07-12T00:00:00"/>
    <n v="636"/>
    <n v="16940"/>
    <s v="9867407"/>
    <s v="9867407"/>
    <m/>
    <m/>
    <n v="22788034"/>
    <m/>
    <m/>
    <m/>
    <s v="SOLFIN"/>
    <s v="SOLFIN"/>
    <s v="CCMS"/>
    <n v="21363311"/>
    <n v="2992.29"/>
    <m/>
    <s v="N"/>
    <n v="22"/>
    <d v="2023-07-12T19:01:59"/>
    <s v="Y"/>
    <s v="Hearing Unit 2.31 - 5.00 Hours"/>
    <s v="Other Public Law Children"/>
    <s v="Advocacy"/>
    <s v="RS"/>
    <s v="Y"/>
    <n v="417.06"/>
    <n v="83.42"/>
    <x v="0"/>
    <s v="VALIDATED"/>
    <n v="1"/>
    <s v="01.11.80.305.6100.0000"/>
    <n v="417.06"/>
    <s v="11"/>
    <s v="6100"/>
    <n v="3204.77"/>
    <n v="417.06"/>
    <s v="CREDITOR"/>
    <n v="0"/>
    <n v="0"/>
    <n v="0"/>
    <n v="0"/>
    <n v="417.06"/>
  </r>
  <r>
    <n v="9124328"/>
    <s v="N"/>
    <n v="21338332"/>
    <s v="3000005123040013"/>
    <s v="CIVIL"/>
    <d v="2023-06-27T00:00:00"/>
    <d v="2023-07-06T19:21:01"/>
    <m/>
    <d v="2023-07-06T00:00:00"/>
    <n v="636"/>
    <n v="16940"/>
    <s v="9124328"/>
    <s v="9124328"/>
    <m/>
    <m/>
    <n v="22771780"/>
    <m/>
    <m/>
    <m/>
    <s v="SOLFIN"/>
    <s v="SOLFIN"/>
    <s v="CCMS"/>
    <n v="21338332"/>
    <n v="4987.69"/>
    <m/>
    <s v="N"/>
    <n v="13"/>
    <d v="2023-07-06T19:21:20"/>
    <s v="Y"/>
    <s v="Hearing Unit 1.01 - 2.30 Hours"/>
    <s v="Public Law Children"/>
    <s v="Advocacy"/>
    <s v="TM"/>
    <s v="Y"/>
    <n v="216.81"/>
    <n v="43.36"/>
    <x v="4"/>
    <s v="VALIDATED"/>
    <n v="1"/>
    <s v="01.11.80.308.6100.0000"/>
    <n v="216.81"/>
    <s v="11"/>
    <s v="6100"/>
    <n v="3204.77"/>
    <n v="216.81"/>
    <s v="CREDITOR"/>
    <n v="0"/>
    <n v="0"/>
    <n v="0"/>
    <n v="0"/>
    <n v="216.81"/>
  </r>
  <r>
    <n v="9867407"/>
    <s v="N"/>
    <n v="21363311"/>
    <s v="3000005778270005"/>
    <s v="CIVIL"/>
    <d v="2023-06-29T00:00:00"/>
    <d v="2023-07-12T19:01:49"/>
    <m/>
    <d v="2023-07-12T00:00:00"/>
    <n v="636"/>
    <n v="16940"/>
    <s v="9867407"/>
    <s v="9867407"/>
    <m/>
    <m/>
    <n v="22788034"/>
    <m/>
    <m/>
    <m/>
    <s v="SOLFIN"/>
    <s v="SOLFIN"/>
    <s v="CCMS"/>
    <n v="21363311"/>
    <n v="2992.29"/>
    <m/>
    <s v="N"/>
    <n v="8"/>
    <d v="2023-07-12T19:01:59"/>
    <s v="Y"/>
    <s v="Preparation - drafting statement"/>
    <s v="Prescribed Hourly Rates"/>
    <s v="Profit Cost"/>
    <s v="SH"/>
    <s v="Y"/>
    <n v="32.88"/>
    <n v="6.58"/>
    <x v="0"/>
    <s v="VALIDATED"/>
    <n v="1"/>
    <s v="01.11.80.305.6100.0000"/>
    <n v="32.88"/>
    <s v="11"/>
    <s v="6100"/>
    <n v="3204.77"/>
    <n v="32.88"/>
    <s v="CREDITOR"/>
    <n v="0"/>
    <n v="0"/>
    <n v="0"/>
    <n v="0"/>
    <n v="32.88"/>
  </r>
  <r>
    <n v="61974780"/>
    <s v="N"/>
    <n v="21338116"/>
    <s v="3000016021370002"/>
    <s v="CIVIL"/>
    <d v="2023-06-17T00:00:00"/>
    <d v="2023-07-06T19:21:01"/>
    <m/>
    <d v="2023-07-06T00:00:00"/>
    <n v="636"/>
    <n v="16940"/>
    <s v="61974780"/>
    <s v="61974780"/>
    <m/>
    <m/>
    <n v="22710412"/>
    <m/>
    <m/>
    <m/>
    <s v="SOLPOA"/>
    <s v="SOLPOA"/>
    <s v="CCMS"/>
    <n v="21338116"/>
    <n v="558.8"/>
    <m/>
    <s v="N"/>
    <n v="1"/>
    <d v="2023-07-06T19:21:11"/>
    <s v="N"/>
    <s v="Expert Cost"/>
    <s v="Expert Cost"/>
    <s v="Expert Disbursement"/>
    <s v="kvm"/>
    <s v="N"/>
    <n v="465.67"/>
    <n v="93.13"/>
    <x v="4"/>
    <s v="VALIDATED"/>
    <n v="1"/>
    <s v="01.11.80.308.2012.0000"/>
    <n v="465.67"/>
    <s v="11"/>
    <s v="2012"/>
    <n v="3204.77"/>
    <n v="465.67"/>
    <s v="CREDITOR"/>
    <n v="465.67"/>
    <n v="0"/>
    <n v="0"/>
    <n v="0"/>
    <n v="0"/>
  </r>
  <r>
    <n v="9864254"/>
    <s v="N"/>
    <n v="21330961"/>
    <s v="3000005750570013"/>
    <s v="CIVIL"/>
    <d v="2023-06-24T00:00:00"/>
    <d v="2023-07-05T19:01:47"/>
    <m/>
    <d v="2023-07-05T00:00:00"/>
    <n v="636"/>
    <n v="16940"/>
    <s v="9864254"/>
    <s v="9864254"/>
    <m/>
    <m/>
    <n v="22756334"/>
    <m/>
    <m/>
    <m/>
    <s v="SOLFIN"/>
    <s v="SOLFIN"/>
    <s v="CCMS"/>
    <n v="21330961"/>
    <n v="14314.05"/>
    <m/>
    <s v="N"/>
    <n v="7"/>
    <d v="2023-07-05T19:02:00"/>
    <s v="Y"/>
    <s v="Advocates Meeting"/>
    <s v="Public Law Children"/>
    <s v="Advocacy"/>
    <s v="TM"/>
    <s v="Y"/>
    <n v="128.16"/>
    <n v="25.63"/>
    <x v="6"/>
    <s v="VALIDATED"/>
    <n v="1"/>
    <s v="01.11.80.308.6100.0000"/>
    <n v="128.16"/>
    <s v="11"/>
    <s v="6100"/>
    <n v="3204.77"/>
    <n v="128.16"/>
    <s v="CREDITOR"/>
    <n v="0"/>
    <n v="0"/>
    <n v="0"/>
    <n v="0"/>
    <n v="128.16"/>
  </r>
  <r>
    <n v="9864254"/>
    <s v="N"/>
    <n v="21330961"/>
    <s v="3000005750570013"/>
    <s v="CIVIL"/>
    <d v="2023-06-24T00:00:00"/>
    <d v="2023-07-05T19:01:47"/>
    <m/>
    <d v="2023-07-05T00:00:00"/>
    <n v="636"/>
    <n v="16940"/>
    <s v="9864254"/>
    <s v="9864254"/>
    <m/>
    <m/>
    <n v="22756334"/>
    <m/>
    <m/>
    <m/>
    <s v="SOLFIN"/>
    <s v="SOLFIN"/>
    <s v="CCMS"/>
    <n v="21330961"/>
    <n v="14314.05"/>
    <m/>
    <s v="N"/>
    <n v="5"/>
    <d v="2023-07-05T19:02:00"/>
    <s v="Y"/>
    <s v="Hearing Unit 2.31 - 5.00 Hours"/>
    <s v="Public Law Children"/>
    <s v="Advocacy"/>
    <s v="KM"/>
    <s v="Y"/>
    <n v="476.92"/>
    <n v="95.38"/>
    <x v="6"/>
    <s v="VALIDATED"/>
    <n v="1"/>
    <s v="01.11.80.308.6100.0000"/>
    <n v="476.92"/>
    <s v="11"/>
    <s v="6100"/>
    <n v="3204.77"/>
    <n v="476.92"/>
    <s v="CREDITOR"/>
    <n v="0"/>
    <n v="0"/>
    <n v="0"/>
    <n v="0"/>
    <n v="476.92"/>
  </r>
  <r>
    <n v="9357342"/>
    <s v="N"/>
    <n v="21330493"/>
    <s v="3000005320400010"/>
    <s v="CIVIL"/>
    <d v="2023-06-22T00:00:00"/>
    <d v="2023-07-05T19:01:47"/>
    <m/>
    <d v="2023-07-05T00:00:00"/>
    <n v="636"/>
    <n v="16940"/>
    <s v="9357342"/>
    <s v="9357342"/>
    <m/>
    <m/>
    <n v="22746704"/>
    <m/>
    <m/>
    <m/>
    <s v="SOLFIN"/>
    <s v="SOLFIN"/>
    <s v="CCMS"/>
    <n v="21330493"/>
    <n v="7750.64"/>
    <m/>
    <s v="N"/>
    <n v="10"/>
    <d v="2023-07-05T19:01:50"/>
    <s v="Y"/>
    <s v="Solicitor Travel Mileage"/>
    <s v="Public Law Children"/>
    <s v="Non Expert Disbursement"/>
    <s v="KM"/>
    <s v="Y"/>
    <n v="36"/>
    <n v="7.2"/>
    <x v="6"/>
    <s v="VALIDATED"/>
    <n v="1"/>
    <s v="01.11.80.308.6300.0000"/>
    <n v="36"/>
    <s v="11"/>
    <s v="6300"/>
    <n v="3204.77"/>
    <n v="36"/>
    <s v="CREDITOR"/>
    <n v="0"/>
    <n v="0"/>
    <n v="0"/>
    <n v="0"/>
    <n v="36"/>
  </r>
  <r>
    <n v="9357342"/>
    <s v="N"/>
    <n v="21330493"/>
    <s v="3000005320400010"/>
    <s v="CIVIL"/>
    <d v="2023-06-22T00:00:00"/>
    <d v="2023-07-05T19:01:47"/>
    <m/>
    <d v="2023-07-05T00:00:00"/>
    <n v="636"/>
    <n v="16940"/>
    <s v="9357342"/>
    <s v="9357342"/>
    <m/>
    <m/>
    <n v="22746704"/>
    <m/>
    <m/>
    <m/>
    <s v="SOLFIN"/>
    <s v="SOLFIN"/>
    <s v="CCMS"/>
    <n v="21330493"/>
    <n v="7750.64"/>
    <m/>
    <s v="N"/>
    <n v="12"/>
    <d v="2023-07-05T19:01:50"/>
    <s v="Y"/>
    <s v="Psychologist"/>
    <s v="Public Law Children"/>
    <s v="Expert Disbursement"/>
    <s v="Foresight Clinical Services  Inv 11876"/>
    <s v="Y"/>
    <n v="288"/>
    <n v="57.6"/>
    <x v="6"/>
    <s v="VALIDATED"/>
    <n v="1"/>
    <s v="01.11.80.308.6300.0000"/>
    <n v="288"/>
    <s v="11"/>
    <s v="6300"/>
    <n v="3204.77"/>
    <n v="288"/>
    <s v="CREDITOR"/>
    <n v="0"/>
    <n v="0"/>
    <n v="0"/>
    <n v="0"/>
    <n v="288"/>
  </r>
  <r>
    <n v="9124328"/>
    <s v="N"/>
    <n v="21338332"/>
    <s v="3000005123040013"/>
    <s v="CIVIL"/>
    <d v="2023-06-27T00:00:00"/>
    <d v="2023-07-06T19:21:01"/>
    <m/>
    <d v="2023-07-06T00:00:00"/>
    <n v="636"/>
    <n v="16940"/>
    <s v="9124328"/>
    <s v="9124328"/>
    <m/>
    <m/>
    <n v="22771780"/>
    <m/>
    <m/>
    <m/>
    <s v="SOLFIN"/>
    <s v="SOLFIN"/>
    <s v="CCMS"/>
    <n v="21338332"/>
    <n v="4987.69"/>
    <m/>
    <s v="N"/>
    <n v="10"/>
    <d v="2023-07-06T19:21:20"/>
    <s v="Y"/>
    <s v="Solicitor Travel Expenses"/>
    <s v="Public Law Children"/>
    <s v="Non Expert Disbursement"/>
    <s v="RH"/>
    <s v="Y"/>
    <n v="15.7"/>
    <n v="3.14"/>
    <x v="4"/>
    <s v="VALIDATED"/>
    <n v="1"/>
    <s v="01.11.80.308.6300.0000"/>
    <n v="15.7"/>
    <s v="11"/>
    <s v="6300"/>
    <n v="3204.77"/>
    <n v="15.7"/>
    <s v="CREDITOR"/>
    <n v="0"/>
    <n v="0"/>
    <n v="0"/>
    <n v="0"/>
    <n v="15.7"/>
  </r>
  <r>
    <n v="9357342"/>
    <s v="N"/>
    <n v="21330493"/>
    <s v="3000005320400010"/>
    <s v="CIVIL"/>
    <d v="2023-06-22T00:00:00"/>
    <d v="2023-07-05T19:01:47"/>
    <m/>
    <d v="2023-07-05T00:00:00"/>
    <n v="636"/>
    <n v="16940"/>
    <s v="9357342"/>
    <s v="9357342"/>
    <m/>
    <m/>
    <n v="22746704"/>
    <m/>
    <m/>
    <m/>
    <s v="SOLFIN"/>
    <s v="SOLFIN"/>
    <s v="CCMS"/>
    <n v="21330493"/>
    <n v="7750.64"/>
    <m/>
    <s v="N"/>
    <n v="16"/>
    <d v="2023-07-05T19:01:50"/>
    <s v="Y"/>
    <s v="Court Fee"/>
    <s v="Public Law Children"/>
    <s v="Non Expert Disbursement"/>
    <s v="KM"/>
    <s v="Y"/>
    <n v="155"/>
    <n v="0"/>
    <x v="6"/>
    <s v="VALIDATED"/>
    <n v="1"/>
    <s v="01.11.80.308.6300.0000"/>
    <n v="155"/>
    <s v="11"/>
    <s v="6300"/>
    <n v="3204.77"/>
    <n v="155"/>
    <s v="CREDITOR"/>
    <n v="0"/>
    <n v="0"/>
    <n v="0"/>
    <n v="0"/>
    <n v="155"/>
  </r>
  <r>
    <n v="9341325"/>
    <s v="N"/>
    <n v="21327490"/>
    <s v="3000005310670009"/>
    <s v="CIVIL"/>
    <d v="2023-06-24T00:00:00"/>
    <d v="2023-07-04T19:00:44"/>
    <m/>
    <d v="2023-07-04T00:00:00"/>
    <n v="636"/>
    <n v="16940"/>
    <s v="9341325"/>
    <s v="9341325"/>
    <m/>
    <m/>
    <n v="22756400"/>
    <m/>
    <m/>
    <m/>
    <s v="SOLFIN"/>
    <s v="SOLFIN"/>
    <s v="CCMS"/>
    <n v="21327490"/>
    <n v="7133.48"/>
    <m/>
    <s v="N"/>
    <n v="9"/>
    <d v="2023-07-04T19:00:48"/>
    <s v="Y"/>
    <s v="Hearing Unit 2.31 - 5.00 Hours"/>
    <s v="Public Law Children"/>
    <s v="Advocacy"/>
    <s v="RH"/>
    <s v="Y"/>
    <n v="476.92"/>
    <n v="95.38"/>
    <x v="1"/>
    <s v="VALIDATED"/>
    <n v="1"/>
    <s v="01.11.80.308.6100.0000"/>
    <n v="476.92"/>
    <s v="11"/>
    <s v="6100"/>
    <n v="3204.77"/>
    <n v="476.92"/>
    <s v="CREDITOR"/>
    <n v="0"/>
    <n v="0"/>
    <n v="0"/>
    <n v="0"/>
    <n v="476.92"/>
  </r>
  <r>
    <n v="9867407"/>
    <s v="N"/>
    <n v="21363311"/>
    <s v="3000005778270005"/>
    <s v="CIVIL"/>
    <d v="2023-06-29T00:00:00"/>
    <d v="2023-07-12T19:01:49"/>
    <m/>
    <d v="2023-07-12T00:00:00"/>
    <n v="636"/>
    <n v="16940"/>
    <s v="9867407"/>
    <s v="9867407"/>
    <m/>
    <m/>
    <n v="22788034"/>
    <m/>
    <m/>
    <m/>
    <s v="SOLFIN"/>
    <s v="SOLFIN"/>
    <s v="CCMS"/>
    <n v="21363311"/>
    <n v="2992.29"/>
    <m/>
    <s v="N"/>
    <n v="19"/>
    <d v="2023-07-12T19:01:59"/>
    <s v="Y"/>
    <s v="Solicitor Travel Mileage"/>
    <s v="Care Remuneration Hourly Rates"/>
    <s v="Non Expert Disbursement"/>
    <s v="RS"/>
    <s v="Y"/>
    <n v="36"/>
    <n v="7.2"/>
    <x v="0"/>
    <s v="VALIDATED"/>
    <n v="1"/>
    <s v="01.11.80.305.6300.0000"/>
    <n v="36"/>
    <s v="11"/>
    <s v="6300"/>
    <n v="3204.77"/>
    <n v="36"/>
    <s v="CREDITOR"/>
    <n v="0"/>
    <n v="0"/>
    <n v="0"/>
    <n v="0"/>
    <n v="36"/>
  </r>
  <r>
    <n v="9867407"/>
    <s v="N"/>
    <n v="21363311"/>
    <s v="3000005778270005"/>
    <s v="CIVIL"/>
    <d v="2023-06-29T00:00:00"/>
    <d v="2023-07-12T19:01:49"/>
    <m/>
    <d v="2023-07-12T00:00:00"/>
    <n v="636"/>
    <n v="16940"/>
    <s v="9867407"/>
    <s v="9867407"/>
    <m/>
    <m/>
    <n v="22788034"/>
    <m/>
    <m/>
    <m/>
    <s v="SOLFIN"/>
    <s v="SOLFIN"/>
    <s v="CCMS"/>
    <n v="21363311"/>
    <n v="2992.29"/>
    <m/>
    <s v="N"/>
    <n v="6"/>
    <d v="2023-07-12T19:01:59"/>
    <s v="Y"/>
    <s v="Preparation - drafting notice(s)"/>
    <s v="Prescribed Hourly Rates"/>
    <s v="Profit Cost"/>
    <s v="SH"/>
    <s v="Y"/>
    <n v="13.15"/>
    <n v="2.63"/>
    <x v="0"/>
    <s v="VALIDATED"/>
    <n v="1"/>
    <s v="01.11.80.305.6100.0000"/>
    <n v="13.15"/>
    <s v="11"/>
    <s v="6100"/>
    <n v="3204.77"/>
    <n v="13.15"/>
    <s v="CREDITOR"/>
    <n v="0"/>
    <n v="0"/>
    <n v="0"/>
    <n v="0"/>
    <n v="13.15"/>
  </r>
  <r>
    <n v="9867407"/>
    <s v="N"/>
    <n v="21363311"/>
    <s v="3000005778270005"/>
    <s v="CIVIL"/>
    <d v="2023-06-29T00:00:00"/>
    <d v="2023-07-12T19:01:49"/>
    <m/>
    <d v="2023-07-12T00:00:00"/>
    <n v="636"/>
    <n v="16940"/>
    <s v="9867407"/>
    <s v="9867407"/>
    <m/>
    <m/>
    <n v="22788034"/>
    <m/>
    <m/>
    <m/>
    <s v="SOLFIN"/>
    <s v="SOLFIN"/>
    <s v="CCMS"/>
    <n v="21363311"/>
    <n v="2992.29"/>
    <m/>
    <s v="N"/>
    <n v="5"/>
    <d v="2023-07-12T19:01:59"/>
    <s v="Y"/>
    <s v="Preparation - drafting bill/claim f"/>
    <s v="Prescribed Hourly Rates"/>
    <s v="Profit Cost"/>
    <s v="JS"/>
    <s v="Y"/>
    <n v="13.15"/>
    <n v="2.63"/>
    <x v="0"/>
    <s v="VALIDATED"/>
    <n v="1"/>
    <s v="01.11.80.305.6100.0000"/>
    <n v="13.15"/>
    <s v="11"/>
    <s v="6100"/>
    <n v="3204.77"/>
    <n v="13.15"/>
    <s v="CREDITOR"/>
    <n v="0"/>
    <n v="0"/>
    <n v="0"/>
    <n v="0"/>
    <n v="13.15"/>
  </r>
  <r>
    <n v="9124328"/>
    <s v="N"/>
    <n v="21338332"/>
    <s v="3000005123040013"/>
    <s v="CIVIL"/>
    <d v="2023-06-27T00:00:00"/>
    <d v="2023-07-06T19:21:01"/>
    <m/>
    <d v="2023-07-06T00:00:00"/>
    <n v="636"/>
    <n v="16940"/>
    <s v="9124328"/>
    <s v="9124328"/>
    <m/>
    <m/>
    <n v="22771780"/>
    <m/>
    <m/>
    <m/>
    <s v="SOLFIN"/>
    <s v="SOLFIN"/>
    <s v="CCMS"/>
    <n v="21338332"/>
    <n v="4987.69"/>
    <m/>
    <s v="N"/>
    <n v="14"/>
    <d v="2023-07-06T19:21:20"/>
    <s v="Y"/>
    <s v="Hearing Unit 1.01 - 2.30 Hours"/>
    <s v="Public Law Children"/>
    <s v="Advocacy"/>
    <s v="TM"/>
    <s v="Y"/>
    <n v="216.81"/>
    <n v="43.36"/>
    <x v="4"/>
    <s v="VALIDATED"/>
    <n v="1"/>
    <s v="01.11.80.308.6100.0000"/>
    <n v="216.81"/>
    <s v="11"/>
    <s v="6100"/>
    <n v="3204.77"/>
    <n v="216.81"/>
    <s v="CREDITOR"/>
    <n v="0"/>
    <n v="0"/>
    <n v="0"/>
    <n v="0"/>
    <n v="216.81"/>
  </r>
  <r>
    <n v="9357342"/>
    <s v="N"/>
    <n v="21330493"/>
    <s v="3000005320400010"/>
    <s v="CIVIL"/>
    <d v="2023-06-22T00:00:00"/>
    <d v="2023-07-05T19:01:47"/>
    <m/>
    <d v="2023-07-05T00:00:00"/>
    <n v="636"/>
    <n v="16940"/>
    <s v="9357342"/>
    <s v="9357342"/>
    <m/>
    <m/>
    <n v="22746704"/>
    <m/>
    <m/>
    <m/>
    <s v="SOLFIN"/>
    <s v="SOLFIN"/>
    <s v="CCMS"/>
    <n v="21330493"/>
    <n v="7750.64"/>
    <m/>
    <s v="N"/>
    <n v="24"/>
    <d v="2023-07-05T19:01:50"/>
    <s v="N"/>
    <m/>
    <m/>
    <s v="Overall Adjustment"/>
    <m/>
    <s v="N"/>
    <n v="-64.8"/>
    <n v="-12.96"/>
    <x v="6"/>
    <s v="VALIDATED"/>
    <n v="1"/>
    <s v="01.11.80.308.6100.0000"/>
    <n v="-64.8"/>
    <s v="11"/>
    <s v="6100"/>
    <n v="3204.77"/>
    <n v="-64.8"/>
    <s v="CREDITOR"/>
    <n v="0"/>
    <n v="0"/>
    <n v="0"/>
    <n v="0"/>
    <n v="-64.8"/>
  </r>
  <r>
    <n v="61366643"/>
    <s v="N"/>
    <n v="21402746"/>
    <s v="3000015513770012"/>
    <s v="CIVIL"/>
    <d v="2023-06-17T00:00:00"/>
    <d v="2023-07-20T19:22:20"/>
    <m/>
    <d v="2023-07-20T00:00:00"/>
    <n v="636"/>
    <n v="16940"/>
    <s v="61366643"/>
    <s v="61366643"/>
    <m/>
    <m/>
    <n v="22710408"/>
    <m/>
    <m/>
    <m/>
    <s v="SOLPOA"/>
    <s v="SOLPOA"/>
    <s v="CCMS"/>
    <n v="21402746"/>
    <n v="23.3"/>
    <m/>
    <s v="N"/>
    <n v="1"/>
    <d v="2023-07-20T19:22:25"/>
    <s v="N"/>
    <s v="Expert Cost"/>
    <s v="Expert Cost"/>
    <s v="Expert Disbursement"/>
    <s v="gwh"/>
    <s v="N"/>
    <n v="23.3"/>
    <n v="0"/>
    <x v="13"/>
    <s v="VALIDATED"/>
    <n v="1"/>
    <s v="01.11.80.308.2012.0000"/>
    <n v="23.3"/>
    <s v="11"/>
    <s v="2012"/>
    <n v="3204.77"/>
    <n v="23.3"/>
    <s v="CREDITOR"/>
    <n v="23.3"/>
    <n v="0"/>
    <n v="0"/>
    <n v="0"/>
    <n v="0"/>
  </r>
  <r>
    <n v="9357342"/>
    <s v="N"/>
    <n v="21330493"/>
    <s v="3000005320400010"/>
    <s v="CIVIL"/>
    <d v="2023-06-22T00:00:00"/>
    <d v="2023-07-05T19:01:47"/>
    <m/>
    <d v="2023-07-05T00:00:00"/>
    <n v="636"/>
    <n v="16940"/>
    <s v="9357342"/>
    <s v="9357342"/>
    <m/>
    <m/>
    <n v="22746704"/>
    <m/>
    <m/>
    <m/>
    <s v="SOLFIN"/>
    <s v="SOLFIN"/>
    <s v="CCMS"/>
    <n v="21330493"/>
    <n v="7750.64"/>
    <m/>
    <s v="N"/>
    <n v="21"/>
    <d v="2023-07-05T19:01:50"/>
    <s v="Y"/>
    <s v="Hearing Unit 1.01 - 2.30 Hours"/>
    <s v="Public Law Children"/>
    <s v="Advocacy"/>
    <s v="KM"/>
    <s v="Y"/>
    <n v="238.46"/>
    <n v="47.69"/>
    <x v="6"/>
    <s v="VALIDATED"/>
    <n v="1"/>
    <s v="01.11.80.308.6100.0000"/>
    <n v="238.46"/>
    <s v="11"/>
    <s v="6100"/>
    <n v="3204.77"/>
    <n v="238.46"/>
    <s v="CREDITOR"/>
    <n v="0"/>
    <n v="0"/>
    <n v="0"/>
    <n v="0"/>
    <n v="238.46"/>
  </r>
  <r>
    <n v="61562682"/>
    <s v="N"/>
    <n v="21409531"/>
    <s v="3000015677320010"/>
    <s v="CIVIL"/>
    <d v="2023-06-17T00:00:00"/>
    <d v="2023-07-21T10:00:02"/>
    <m/>
    <d v="2023-07-21T00:00:00"/>
    <n v="636"/>
    <n v="16940"/>
    <s v="61562682"/>
    <s v="61562682"/>
    <m/>
    <m/>
    <n v="22710410"/>
    <m/>
    <m/>
    <m/>
    <s v="SOLPOA"/>
    <s v="SOLPOA"/>
    <s v="CCMS"/>
    <n v="21409531"/>
    <n v="160.8"/>
    <m/>
    <s v="N"/>
    <n v="1"/>
    <d v="2023-07-21T10:00:17"/>
    <s v="N"/>
    <s v="Expert Cost"/>
    <s v="Expert Cost"/>
    <s v="Expert Disbursement"/>
    <s v="TUM"/>
    <s v="N"/>
    <n v="134"/>
    <n v="26.8"/>
    <x v="12"/>
    <s v="VALIDATED"/>
    <n v="1"/>
    <s v="01.11.80.308.2012.0000"/>
    <n v="134"/>
    <s v="11"/>
    <s v="2012"/>
    <n v="3204.77"/>
    <n v="134"/>
    <s v="CREDITOR"/>
    <n v="134"/>
    <n v="0"/>
    <n v="0"/>
    <n v="0"/>
    <n v="0"/>
  </r>
  <r>
    <n v="9124328"/>
    <s v="N"/>
    <n v="21338332"/>
    <s v="3000005123040013"/>
    <s v="CIVIL"/>
    <d v="2023-06-27T00:00:00"/>
    <d v="2023-07-06T19:21:01"/>
    <m/>
    <d v="2023-07-06T00:00:00"/>
    <n v="636"/>
    <n v="16940"/>
    <s v="9124328"/>
    <s v="9124328"/>
    <m/>
    <m/>
    <n v="22771780"/>
    <m/>
    <m/>
    <m/>
    <s v="SOLFIN"/>
    <s v="SOLFIN"/>
    <s v="CCMS"/>
    <n v="21338332"/>
    <n v="4987.69"/>
    <m/>
    <s v="N"/>
    <n v="8"/>
    <d v="2023-07-06T19:21:20"/>
    <s v="Y"/>
    <s v="Solicitor Travel Mileage"/>
    <s v="Public Law Children"/>
    <s v="Non Expert Disbursement"/>
    <s v="TM"/>
    <s v="Y"/>
    <n v="38.7"/>
    <n v="7.74"/>
    <x v="4"/>
    <s v="VALIDATED"/>
    <n v="1"/>
    <s v="01.11.80.308.6300.0000"/>
    <n v="38.7"/>
    <s v="11"/>
    <s v="6300"/>
    <n v="3204.77"/>
    <n v="38.7"/>
    <s v="CREDITOR"/>
    <n v="0"/>
    <n v="0"/>
    <n v="0"/>
    <n v="0"/>
    <n v="38.7"/>
  </r>
  <r>
    <n v="9341325"/>
    <s v="N"/>
    <n v="21327490"/>
    <s v="3000005310670009"/>
    <s v="CIVIL"/>
    <d v="2023-06-24T00:00:00"/>
    <d v="2023-07-04T19:00:44"/>
    <m/>
    <d v="2023-07-04T00:00:00"/>
    <n v="636"/>
    <n v="16940"/>
    <s v="9341325"/>
    <s v="9341325"/>
    <m/>
    <m/>
    <n v="22756400"/>
    <m/>
    <m/>
    <m/>
    <s v="SOLFIN"/>
    <s v="SOLFIN"/>
    <s v="CCMS"/>
    <n v="21327490"/>
    <n v="7133.48"/>
    <m/>
    <s v="N"/>
    <n v="11"/>
    <d v="2023-07-04T19:00:48"/>
    <s v="Y"/>
    <s v="Solicitors Fixed Fee"/>
    <s v="Public Law Children"/>
    <s v="Profit Cost"/>
    <s v="RS"/>
    <s v="Y"/>
    <n v="3020"/>
    <n v="604"/>
    <x v="1"/>
    <s v="VALIDATED"/>
    <n v="1"/>
    <s v="01.11.80.308.6100.0000"/>
    <n v="3020"/>
    <s v="11"/>
    <s v="6100"/>
    <n v="3204.77"/>
    <n v="3020"/>
    <s v="CREDITOR"/>
    <n v="0"/>
    <n v="0"/>
    <n v="0"/>
    <n v="0"/>
    <n v="3020"/>
  </r>
  <r>
    <n v="9867407"/>
    <s v="N"/>
    <n v="21363311"/>
    <s v="3000005778270005"/>
    <s v="CIVIL"/>
    <d v="2023-06-29T00:00:00"/>
    <d v="2023-07-12T19:01:49"/>
    <m/>
    <d v="2023-07-12T00:00:00"/>
    <n v="636"/>
    <n v="16940"/>
    <s v="9867407"/>
    <s v="9867407"/>
    <m/>
    <m/>
    <n v="22788034"/>
    <m/>
    <m/>
    <m/>
    <s v="SOLFIN"/>
    <s v="SOLFIN"/>
    <s v="CCMS"/>
    <n v="21363311"/>
    <n v="2992.29"/>
    <m/>
    <s v="N"/>
    <n v="20"/>
    <d v="2023-07-12T19:01:59"/>
    <s v="Y"/>
    <s v="Solicitor Travel Mileage"/>
    <s v="Care Remuneration Hourly Rates"/>
    <s v="Non Expert Disbursement"/>
    <s v="RS"/>
    <s v="Y"/>
    <n v="36"/>
    <n v="7.2"/>
    <x v="0"/>
    <s v="VALIDATED"/>
    <n v="1"/>
    <s v="01.11.80.305.6300.0000"/>
    <n v="36"/>
    <s v="11"/>
    <s v="6300"/>
    <n v="3204.77"/>
    <n v="36"/>
    <s v="CREDITOR"/>
    <n v="0"/>
    <n v="0"/>
    <n v="0"/>
    <n v="0"/>
    <n v="36"/>
  </r>
  <r>
    <n v="9864254"/>
    <s v="N"/>
    <n v="21330961"/>
    <s v="3000005750570013"/>
    <s v="CIVIL"/>
    <d v="2023-06-24T00:00:00"/>
    <d v="2023-07-05T19:01:47"/>
    <m/>
    <d v="2023-07-05T00:00:00"/>
    <n v="636"/>
    <n v="16940"/>
    <s v="9864254"/>
    <s v="9864254"/>
    <m/>
    <m/>
    <n v="22756334"/>
    <m/>
    <m/>
    <m/>
    <s v="SOLFIN"/>
    <s v="SOLFIN"/>
    <s v="CCMS"/>
    <n v="21330961"/>
    <n v="14314.05"/>
    <m/>
    <s v="N"/>
    <n v="4"/>
    <d v="2023-07-05T19:02:00"/>
    <s v="Y"/>
    <s v="Hearing Unit 2.31 - 5.00 Hours"/>
    <s v="Public Law Children"/>
    <s v="Advocacy"/>
    <s v="TM"/>
    <s v="Y"/>
    <n v="542.03"/>
    <n v="108.41"/>
    <x v="6"/>
    <s v="VALIDATED"/>
    <n v="1"/>
    <s v="01.11.80.308.6100.0000"/>
    <n v="542.03"/>
    <s v="11"/>
    <s v="6100"/>
    <n v="3204.77"/>
    <n v="542.03"/>
    <s v="CREDITOR"/>
    <n v="0"/>
    <n v="0"/>
    <n v="0"/>
    <n v="0"/>
    <n v="542.03"/>
  </r>
  <r>
    <n v="9341325"/>
    <s v="N"/>
    <n v="21328618"/>
    <s v="3000005310670001RC"/>
    <s v="CIVIL"/>
    <d v="2023-06-24T00:00:00"/>
    <d v="2023-07-04T19:38:21"/>
    <m/>
    <d v="2023-07-04T00:00:00"/>
    <n v="636"/>
    <n v="16940"/>
    <s v="9341325"/>
    <s v="9341325"/>
    <m/>
    <m/>
    <m/>
    <m/>
    <m/>
    <m/>
    <s v="SOLRECOUP"/>
    <s v="SOLRECOUP"/>
    <s v="POARECOUP"/>
    <n v="21328618"/>
    <n v="-278.7"/>
    <m/>
    <s v="Y"/>
    <n v="1"/>
    <d v="2023-07-04T19:38:22"/>
    <s v="N"/>
    <m/>
    <m/>
    <s v="Expert Disbursement"/>
    <m/>
    <s v="N"/>
    <n v="-232.25"/>
    <n v="0"/>
    <x v="1"/>
    <s v="VALIDATED"/>
    <n v="1"/>
    <s v="01.11.80.308.2013.0000"/>
    <n v="-232.25"/>
    <s v="11"/>
    <s v="2013"/>
    <n v="3204.77"/>
    <n v="-232.25"/>
    <s v="CREDITOR"/>
    <n v="0"/>
    <n v="0"/>
    <n v="-232.25"/>
    <n v="0"/>
    <n v="0"/>
  </r>
  <r>
    <n v="9341325"/>
    <s v="N"/>
    <n v="21328618"/>
    <s v="3000005310670001RC"/>
    <s v="CIVIL"/>
    <d v="2023-06-24T00:00:00"/>
    <d v="2023-07-04T19:38:21"/>
    <m/>
    <d v="2023-07-04T00:00:00"/>
    <n v="636"/>
    <n v="16940"/>
    <s v="9341325"/>
    <s v="9341325"/>
    <m/>
    <m/>
    <m/>
    <m/>
    <m/>
    <m/>
    <s v="SOLRECOUP"/>
    <s v="SOLRECOUP"/>
    <s v="POARECOUP"/>
    <n v="21328618"/>
    <n v="-278.7"/>
    <m/>
    <s v="Y"/>
    <n v="2"/>
    <d v="2023-07-04T19:38:22"/>
    <s v="N"/>
    <m/>
    <m/>
    <s v="Expert Disbursement"/>
    <m/>
    <s v="N"/>
    <n v="0"/>
    <n v="-46.45"/>
    <x v="1"/>
    <s v="VALIDATED"/>
    <n v="1"/>
    <s v="01.11.80.308.2013.0000"/>
    <n v="-46.45"/>
    <s v="11"/>
    <s v="2013"/>
    <n v="3204.77"/>
    <n v="-46.45"/>
    <s v="CREDITOR"/>
    <n v="0"/>
    <n v="0"/>
    <n v="-46.45"/>
    <n v="0"/>
    <n v="0"/>
  </r>
  <r>
    <n v="9341325"/>
    <s v="N"/>
    <n v="21328619"/>
    <s v="3000005310670002RC"/>
    <s v="CIVIL"/>
    <d v="2023-06-24T00:00:00"/>
    <d v="2023-07-04T19:38:21"/>
    <m/>
    <d v="2023-07-04T00:00:00"/>
    <n v="636"/>
    <n v="16940"/>
    <s v="9341325"/>
    <s v="9341325"/>
    <m/>
    <m/>
    <m/>
    <m/>
    <m/>
    <m/>
    <s v="SOLRECOUP"/>
    <s v="SOLRECOUP"/>
    <s v="POARECOUP"/>
    <n v="21328619"/>
    <n v="-217.5"/>
    <m/>
    <s v="Y"/>
    <n v="1"/>
    <d v="2023-07-04T19:38:22"/>
    <s v="N"/>
    <m/>
    <m/>
    <s v="Expert Disbursement"/>
    <m/>
    <s v="N"/>
    <n v="-181.25"/>
    <n v="0"/>
    <x v="1"/>
    <s v="VALIDATED"/>
    <n v="1"/>
    <s v="01.11.80.308.2013.0000"/>
    <n v="-181.25"/>
    <s v="11"/>
    <s v="2013"/>
    <n v="3204.77"/>
    <n v="-181.25"/>
    <s v="CREDITOR"/>
    <n v="0"/>
    <n v="0"/>
    <n v="-181.25"/>
    <n v="0"/>
    <n v="0"/>
  </r>
  <r>
    <n v="9341325"/>
    <s v="N"/>
    <n v="21328619"/>
    <s v="3000005310670002RC"/>
    <s v="CIVIL"/>
    <d v="2023-06-24T00:00:00"/>
    <d v="2023-07-04T19:38:21"/>
    <m/>
    <d v="2023-07-04T00:00:00"/>
    <n v="636"/>
    <n v="16940"/>
    <s v="9341325"/>
    <s v="9341325"/>
    <m/>
    <m/>
    <m/>
    <m/>
    <m/>
    <m/>
    <s v="SOLRECOUP"/>
    <s v="SOLRECOUP"/>
    <s v="POARECOUP"/>
    <n v="21328619"/>
    <n v="-217.5"/>
    <m/>
    <s v="Y"/>
    <n v="2"/>
    <d v="2023-07-04T19:38:22"/>
    <s v="N"/>
    <m/>
    <m/>
    <s v="Expert Disbursement"/>
    <m/>
    <s v="N"/>
    <n v="0"/>
    <n v="-36.25"/>
    <x v="1"/>
    <s v="VALIDATED"/>
    <n v="1"/>
    <s v="01.11.80.308.2013.0000"/>
    <n v="-36.25"/>
    <s v="11"/>
    <s v="2013"/>
    <n v="3204.77"/>
    <n v="-36.25"/>
    <s v="CREDITOR"/>
    <n v="0"/>
    <n v="0"/>
    <n v="-36.25"/>
    <n v="0"/>
    <n v="0"/>
  </r>
  <r>
    <n v="9341325"/>
    <s v="N"/>
    <n v="21328620"/>
    <s v="3000005310670004RC"/>
    <s v="CIVIL"/>
    <d v="2023-06-24T00:00:00"/>
    <d v="2023-07-04T19:38:21"/>
    <m/>
    <d v="2023-07-04T00:00:00"/>
    <n v="636"/>
    <n v="16940"/>
    <s v="9341325"/>
    <s v="9341325"/>
    <m/>
    <m/>
    <m/>
    <m/>
    <m/>
    <m/>
    <s v="SOLRECOUP"/>
    <s v="SOLRECOUP"/>
    <s v="POARECOUP"/>
    <n v="21328620"/>
    <n v="-717.48"/>
    <m/>
    <s v="Y"/>
    <n v="1"/>
    <d v="2023-07-04T19:38:22"/>
    <s v="N"/>
    <m/>
    <m/>
    <s v="Expert Disbursement"/>
    <m/>
    <s v="N"/>
    <n v="-597.9"/>
    <n v="0"/>
    <x v="1"/>
    <s v="VALIDATED"/>
    <n v="1"/>
    <s v="01.11.80.308.2013.0000"/>
    <n v="-597.9"/>
    <s v="11"/>
    <s v="2013"/>
    <n v="3204.77"/>
    <n v="-597.9"/>
    <s v="CREDITOR"/>
    <n v="0"/>
    <n v="0"/>
    <n v="-597.9"/>
    <n v="0"/>
    <n v="0"/>
  </r>
  <r>
    <n v="9341325"/>
    <s v="N"/>
    <n v="21328620"/>
    <s v="3000005310670004RC"/>
    <s v="CIVIL"/>
    <d v="2023-06-24T00:00:00"/>
    <d v="2023-07-04T19:38:21"/>
    <m/>
    <d v="2023-07-04T00:00:00"/>
    <n v="636"/>
    <n v="16940"/>
    <s v="9341325"/>
    <s v="9341325"/>
    <m/>
    <m/>
    <m/>
    <m/>
    <m/>
    <m/>
    <s v="SOLRECOUP"/>
    <s v="SOLRECOUP"/>
    <s v="POARECOUP"/>
    <n v="21328620"/>
    <n v="-717.48"/>
    <m/>
    <s v="Y"/>
    <n v="2"/>
    <d v="2023-07-04T19:38:22"/>
    <s v="N"/>
    <m/>
    <m/>
    <s v="Expert Disbursement"/>
    <m/>
    <s v="N"/>
    <n v="0"/>
    <n v="-119.58"/>
    <x v="1"/>
    <s v="VALIDATED"/>
    <n v="1"/>
    <s v="01.11.80.308.2013.0000"/>
    <n v="-119.58"/>
    <s v="11"/>
    <s v="2013"/>
    <n v="3204.77"/>
    <n v="-119.58"/>
    <s v="CREDITOR"/>
    <n v="0"/>
    <n v="0"/>
    <n v="-119.58"/>
    <n v="0"/>
    <n v="0"/>
  </r>
  <r>
    <n v="9341325"/>
    <s v="N"/>
    <n v="21328621"/>
    <s v="3000005310670005RC"/>
    <s v="CIVIL"/>
    <d v="2023-06-24T00:00:00"/>
    <d v="2023-07-04T19:38:21"/>
    <m/>
    <d v="2023-07-04T00:00:00"/>
    <n v="636"/>
    <n v="16940"/>
    <s v="9341325"/>
    <s v="9341325"/>
    <m/>
    <m/>
    <m/>
    <m/>
    <m/>
    <m/>
    <s v="SOLRECOUP"/>
    <s v="SOLRECOUP"/>
    <s v="POARECOUP"/>
    <n v="21328621"/>
    <n v="-176.1"/>
    <m/>
    <s v="Y"/>
    <n v="1"/>
    <d v="2023-07-04T19:38:22"/>
    <s v="N"/>
    <m/>
    <m/>
    <s v="Expert Disbursement"/>
    <m/>
    <s v="N"/>
    <n v="-146.75"/>
    <n v="0"/>
    <x v="1"/>
    <s v="VALIDATED"/>
    <n v="1"/>
    <s v="01.11.80.308.2013.0000"/>
    <n v="-146.75"/>
    <s v="11"/>
    <s v="2013"/>
    <n v="3204.77"/>
    <n v="-146.75"/>
    <s v="CREDITOR"/>
    <n v="0"/>
    <n v="0"/>
    <n v="-146.75"/>
    <n v="0"/>
    <n v="0"/>
  </r>
  <r>
    <n v="9341325"/>
    <s v="N"/>
    <n v="21328621"/>
    <s v="3000005310670005RC"/>
    <s v="CIVIL"/>
    <d v="2023-06-24T00:00:00"/>
    <d v="2023-07-04T19:38:21"/>
    <m/>
    <d v="2023-07-04T00:00:00"/>
    <n v="636"/>
    <n v="16940"/>
    <s v="9341325"/>
    <s v="9341325"/>
    <m/>
    <m/>
    <m/>
    <m/>
    <m/>
    <m/>
    <s v="SOLRECOUP"/>
    <s v="SOLRECOUP"/>
    <s v="POARECOUP"/>
    <n v="21328621"/>
    <n v="-176.1"/>
    <m/>
    <s v="Y"/>
    <n v="2"/>
    <d v="2023-07-04T19:38:22"/>
    <s v="N"/>
    <m/>
    <m/>
    <s v="Expert Disbursement"/>
    <m/>
    <s v="N"/>
    <n v="0"/>
    <n v="-29.35"/>
    <x v="1"/>
    <s v="VALIDATED"/>
    <n v="1"/>
    <s v="01.11.80.308.2013.0000"/>
    <n v="-29.35"/>
    <s v="11"/>
    <s v="2013"/>
    <n v="3204.77"/>
    <n v="-29.35"/>
    <s v="CREDITOR"/>
    <n v="0"/>
    <n v="0"/>
    <n v="-29.35"/>
    <n v="0"/>
    <n v="0"/>
  </r>
  <r>
    <n v="9341325"/>
    <s v="N"/>
    <n v="21328622"/>
    <s v="3000005310670006RC"/>
    <s v="CIVIL"/>
    <d v="2023-06-24T00:00:00"/>
    <d v="2023-07-04T19:38:21"/>
    <m/>
    <d v="2023-07-04T00:00:00"/>
    <n v="636"/>
    <n v="16940"/>
    <s v="9341325"/>
    <s v="9341325"/>
    <m/>
    <m/>
    <m/>
    <m/>
    <m/>
    <m/>
    <s v="SOLRECOUP"/>
    <s v="SOLRECOUP"/>
    <s v="POARECOUP"/>
    <n v="21328622"/>
    <n v="-2165.54"/>
    <m/>
    <s v="Y"/>
    <n v="1"/>
    <d v="2023-07-04T19:38:22"/>
    <s v="N"/>
    <m/>
    <m/>
    <s v="Profit Cost"/>
    <m/>
    <s v="N"/>
    <n v="-1804.62"/>
    <n v="0"/>
    <x v="1"/>
    <s v="VALIDATED"/>
    <n v="1"/>
    <s v="01.11.80.308.2013.0000"/>
    <n v="-1804.62"/>
    <s v="11"/>
    <s v="2013"/>
    <n v="3204.77"/>
    <n v="-1804.62"/>
    <s v="CREDITOR"/>
    <n v="0"/>
    <n v="0"/>
    <n v="-1804.62"/>
    <n v="-451.155"/>
    <n v="0"/>
  </r>
  <r>
    <n v="9341325"/>
    <s v="N"/>
    <n v="21328622"/>
    <s v="3000005310670006RC"/>
    <s v="CIVIL"/>
    <d v="2023-06-24T00:00:00"/>
    <d v="2023-07-04T19:38:21"/>
    <m/>
    <d v="2023-07-04T00:00:00"/>
    <n v="636"/>
    <n v="16940"/>
    <s v="9341325"/>
    <s v="9341325"/>
    <m/>
    <m/>
    <m/>
    <m/>
    <m/>
    <m/>
    <s v="SOLRECOUP"/>
    <s v="SOLRECOUP"/>
    <s v="POARECOUP"/>
    <n v="21328622"/>
    <n v="-2165.54"/>
    <m/>
    <s v="Y"/>
    <n v="2"/>
    <d v="2023-07-04T19:38:22"/>
    <s v="N"/>
    <m/>
    <m/>
    <s v="Profit Cost"/>
    <m/>
    <s v="N"/>
    <n v="0"/>
    <n v="-360.92"/>
    <x v="1"/>
    <s v="VALIDATED"/>
    <n v="1"/>
    <s v="01.11.80.308.2013.0000"/>
    <n v="-360.92"/>
    <s v="11"/>
    <s v="2013"/>
    <n v="3204.77"/>
    <n v="-360.92"/>
    <s v="CREDITOR"/>
    <n v="0"/>
    <n v="0"/>
    <n v="-360.92"/>
    <n v="-90.23"/>
    <n v="0"/>
  </r>
  <r>
    <n v="9341325"/>
    <s v="N"/>
    <n v="21328623"/>
    <s v="3000005310670003RC"/>
    <s v="CIVIL"/>
    <d v="2023-06-24T00:00:00"/>
    <d v="2023-07-04T19:38:21"/>
    <m/>
    <d v="2023-07-04T00:00:00"/>
    <n v="636"/>
    <n v="16940"/>
    <s v="9341325"/>
    <s v="9341325"/>
    <m/>
    <m/>
    <m/>
    <m/>
    <m/>
    <m/>
    <s v="SOLRECOUP"/>
    <s v="SOLRECOUP"/>
    <s v="POARECOUP"/>
    <n v="21328623"/>
    <n v="-1938.46"/>
    <m/>
    <s v="Y"/>
    <n v="1"/>
    <d v="2023-07-04T19:38:22"/>
    <s v="N"/>
    <m/>
    <m/>
    <s v="Profit Cost"/>
    <m/>
    <s v="N"/>
    <n v="-1615.38"/>
    <n v="0"/>
    <x v="1"/>
    <s v="VALIDATED"/>
    <n v="1"/>
    <s v="01.11.80.308.2013.0000"/>
    <n v="-1615.38"/>
    <s v="11"/>
    <s v="2013"/>
    <n v="3204.77"/>
    <n v="-1615.38"/>
    <s v="CREDITOR"/>
    <n v="0"/>
    <n v="0"/>
    <n v="-1615.38"/>
    <n v="-403.845"/>
    <n v="0"/>
  </r>
  <r>
    <n v="59748703"/>
    <s v="N"/>
    <n v="21324395"/>
    <s v="3000014126820002RC"/>
    <s v="CIVIL"/>
    <d v="2023-06-27T00:00:00"/>
    <d v="2023-07-03T19:42:50"/>
    <m/>
    <d v="2023-07-03T00:00:00"/>
    <n v="636"/>
    <n v="16940"/>
    <s v="59748703"/>
    <s v="59748703"/>
    <m/>
    <m/>
    <m/>
    <m/>
    <m/>
    <m/>
    <s v="SOLRECOUP"/>
    <s v="SOLRECOUP"/>
    <s v="POARECOUP"/>
    <n v="21324395"/>
    <n v="-675"/>
    <m/>
    <s v="Y"/>
    <n v="1"/>
    <d v="2023-07-03T19:42:51"/>
    <s v="N"/>
    <m/>
    <m/>
    <s v="Expert Disbursement"/>
    <m/>
    <s v="N"/>
    <n v="-675"/>
    <n v="0"/>
    <x v="3"/>
    <s v="VALIDATED"/>
    <n v="1"/>
    <s v="01.11.80.308.2013.0000"/>
    <n v="-675"/>
    <s v="11"/>
    <s v="2013"/>
    <n v="3204.77"/>
    <n v="-675"/>
    <s v="CREDITOR"/>
    <n v="0"/>
    <n v="0"/>
    <n v="-675"/>
    <n v="0"/>
    <n v="0"/>
  </r>
  <r>
    <n v="59748703"/>
    <s v="N"/>
    <n v="21324395"/>
    <s v="3000014126820002RC"/>
    <s v="CIVIL"/>
    <d v="2023-06-27T00:00:00"/>
    <d v="2023-07-03T19:42:50"/>
    <m/>
    <d v="2023-07-03T00:00:00"/>
    <n v="636"/>
    <n v="16940"/>
    <s v="59748703"/>
    <s v="59748703"/>
    <m/>
    <m/>
    <m/>
    <m/>
    <m/>
    <m/>
    <s v="SOLRECOUP"/>
    <s v="SOLRECOUP"/>
    <s v="POARECOUP"/>
    <n v="21324395"/>
    <n v="-675"/>
    <m/>
    <s v="Y"/>
    <n v="2"/>
    <d v="2023-07-03T19:42:51"/>
    <s v="N"/>
    <m/>
    <m/>
    <s v="Expert Disbursement"/>
    <m/>
    <s v="N"/>
    <n v="0"/>
    <n v="0"/>
    <x v="3"/>
    <s v="VALIDATED"/>
    <n v="1"/>
    <s v="01.11.80.000.0000.0000"/>
    <n v="0"/>
    <s v="11"/>
    <s v="0000"/>
    <n v="3204.77"/>
    <n v="0"/>
    <s v="CREDITOR"/>
    <n v="0"/>
    <n v="0"/>
    <n v="0"/>
    <n v="0"/>
    <n v="0"/>
  </r>
  <r>
    <n v="59748703"/>
    <s v="N"/>
    <n v="21324396"/>
    <s v="3000014126820003RC"/>
    <s v="CIVIL"/>
    <d v="2023-06-27T00:00:00"/>
    <d v="2023-07-03T19:42:50"/>
    <m/>
    <d v="2023-07-03T00:00:00"/>
    <n v="636"/>
    <n v="16940"/>
    <s v="59748703"/>
    <s v="59748703"/>
    <m/>
    <m/>
    <m/>
    <m/>
    <m/>
    <m/>
    <s v="SOLRECOUP"/>
    <s v="SOLRECOUP"/>
    <s v="POARECOUP"/>
    <n v="21324396"/>
    <n v="-4461.2"/>
    <m/>
    <s v="Y"/>
    <n v="2"/>
    <d v="2023-07-03T19:42:51"/>
    <s v="N"/>
    <m/>
    <m/>
    <s v="Non Expert Disbursement"/>
    <m/>
    <s v="N"/>
    <n v="0"/>
    <n v="-743.53"/>
    <x v="3"/>
    <s v="VALIDATED"/>
    <n v="1"/>
    <s v="01.11.80.308.2013.0000"/>
    <n v="-743.53"/>
    <s v="11"/>
    <s v="2013"/>
    <n v="3204.77"/>
    <n v="-743.53"/>
    <s v="CREDITOR"/>
    <n v="0"/>
    <n v="0"/>
    <n v="-743.53"/>
    <n v="0"/>
    <n v="0"/>
  </r>
  <r>
    <n v="59748703"/>
    <s v="N"/>
    <n v="21324396"/>
    <s v="3000014126820003RC"/>
    <s v="CIVIL"/>
    <d v="2023-06-27T00:00:00"/>
    <d v="2023-07-03T19:42:50"/>
    <m/>
    <d v="2023-07-03T00:00:00"/>
    <n v="636"/>
    <n v="16940"/>
    <s v="59748703"/>
    <s v="59748703"/>
    <m/>
    <m/>
    <m/>
    <m/>
    <m/>
    <m/>
    <s v="SOLRECOUP"/>
    <s v="SOLRECOUP"/>
    <s v="POARECOUP"/>
    <n v="21324396"/>
    <n v="-4461.2"/>
    <m/>
    <s v="Y"/>
    <n v="1"/>
    <d v="2023-07-03T19:42:51"/>
    <s v="N"/>
    <m/>
    <m/>
    <s v="Non Expert Disbursement"/>
    <m/>
    <s v="N"/>
    <n v="-3717.67"/>
    <n v="0"/>
    <x v="3"/>
    <s v="VALIDATED"/>
    <n v="1"/>
    <s v="01.11.80.308.2013.0000"/>
    <n v="-3717.67"/>
    <s v="11"/>
    <s v="2013"/>
    <n v="3204.77"/>
    <n v="-3717.67"/>
    <s v="CREDITOR"/>
    <n v="0"/>
    <n v="0"/>
    <n v="-3717.67"/>
    <n v="0"/>
    <n v="0"/>
  </r>
  <r>
    <n v="59748703"/>
    <s v="N"/>
    <n v="21324397"/>
    <s v="3000014126820007RC"/>
    <s v="CIVIL"/>
    <d v="2023-06-27T00:00:00"/>
    <d v="2023-07-03T19:42:50"/>
    <m/>
    <d v="2023-07-03T00:00:00"/>
    <n v="636"/>
    <n v="16940"/>
    <s v="59748703"/>
    <s v="59748703"/>
    <m/>
    <m/>
    <m/>
    <m/>
    <m/>
    <m/>
    <s v="SOLRECOUP"/>
    <s v="SOLRECOUP"/>
    <s v="POARECOUP"/>
    <n v="21324397"/>
    <n v="-5198.32"/>
    <m/>
    <s v="Y"/>
    <n v="1"/>
    <d v="2023-07-03T19:42:51"/>
    <s v="N"/>
    <m/>
    <m/>
    <s v="Non Expert Disbursement"/>
    <m/>
    <s v="N"/>
    <n v="-4331.93"/>
    <n v="0"/>
    <x v="3"/>
    <s v="VALIDATED"/>
    <n v="1"/>
    <s v="01.11.80.308.2013.0000"/>
    <n v="-4331.93"/>
    <s v="11"/>
    <s v="2013"/>
    <n v="3204.77"/>
    <n v="-4331.93"/>
    <s v="CREDITOR"/>
    <n v="0"/>
    <n v="0"/>
    <n v="-4331.93"/>
    <n v="0"/>
    <n v="0"/>
  </r>
  <r>
    <n v="59748703"/>
    <s v="N"/>
    <n v="21324397"/>
    <s v="3000014126820007RC"/>
    <s v="CIVIL"/>
    <d v="2023-06-27T00:00:00"/>
    <d v="2023-07-03T19:42:50"/>
    <m/>
    <d v="2023-07-03T00:00:00"/>
    <n v="636"/>
    <n v="16940"/>
    <s v="59748703"/>
    <s v="59748703"/>
    <m/>
    <m/>
    <m/>
    <m/>
    <m/>
    <m/>
    <s v="SOLRECOUP"/>
    <s v="SOLRECOUP"/>
    <s v="POARECOUP"/>
    <n v="21324397"/>
    <n v="-5198.32"/>
    <m/>
    <s v="Y"/>
    <n v="2"/>
    <d v="2023-07-03T19:42:51"/>
    <s v="N"/>
    <m/>
    <m/>
    <s v="Non Expert Disbursement"/>
    <m/>
    <s v="N"/>
    <n v="0"/>
    <n v="-866.39"/>
    <x v="3"/>
    <s v="VALIDATED"/>
    <n v="1"/>
    <s v="01.11.80.308.2013.0000"/>
    <n v="-866.39"/>
    <s v="11"/>
    <s v="2013"/>
    <n v="3204.77"/>
    <n v="-866.39"/>
    <s v="CREDITOR"/>
    <n v="0"/>
    <n v="0"/>
    <n v="-866.39"/>
    <n v="0"/>
    <n v="0"/>
  </r>
  <r>
    <n v="9357342"/>
    <s v="N"/>
    <n v="21333775"/>
    <s v="3000005320400004RC"/>
    <s v="CIVIL"/>
    <d v="2023-06-22T00:00:00"/>
    <d v="2023-07-05T19:42:28"/>
    <m/>
    <d v="2023-07-05T00:00:00"/>
    <n v="636"/>
    <n v="16940"/>
    <s v="9357342"/>
    <s v="9357342"/>
    <m/>
    <m/>
    <m/>
    <m/>
    <m/>
    <m/>
    <s v="SOLRECOUP"/>
    <s v="SOLRECOUP"/>
    <s v="POARECOUP"/>
    <n v="21333775"/>
    <n v="-33.6"/>
    <m/>
    <s v="Y"/>
    <n v="2"/>
    <d v="2023-07-05T19:42:28"/>
    <s v="N"/>
    <m/>
    <m/>
    <s v="Non Expert Disbursement"/>
    <m/>
    <s v="N"/>
    <n v="0"/>
    <n v="-5.6"/>
    <x v="6"/>
    <s v="VALIDATED"/>
    <n v="1"/>
    <s v="01.11.80.308.2013.0000"/>
    <n v="-5.6"/>
    <s v="11"/>
    <s v="2013"/>
    <n v="3204.77"/>
    <n v="-5.6"/>
    <s v="CREDITOR"/>
    <n v="0"/>
    <n v="0"/>
    <n v="-5.6"/>
    <n v="0"/>
    <n v="0"/>
  </r>
  <r>
    <n v="9585209"/>
    <s v="N"/>
    <n v="21344099"/>
    <s v="3000005525070006"/>
    <s v="CIVIL"/>
    <d v="2023-06-28T00:00:00"/>
    <d v="2023-07-07T19:03:00"/>
    <m/>
    <d v="2023-07-07T00:00:00"/>
    <n v="636"/>
    <n v="16940"/>
    <s v="9585209"/>
    <s v="9585209"/>
    <m/>
    <m/>
    <n v="22778050"/>
    <m/>
    <m/>
    <m/>
    <s v="SOLFIN"/>
    <s v="SOLFIN"/>
    <s v="CCMS"/>
    <n v="21344099"/>
    <n v="7744.01"/>
    <m/>
    <s v="N"/>
    <n v="1"/>
    <d v="2023-07-07T19:03:23"/>
    <s v="Y"/>
    <s v="Exceptional Travel"/>
    <s v="Public Law Children"/>
    <s v="Advocacy"/>
    <s v="TM"/>
    <s v="Y"/>
    <n v="32.04"/>
    <n v="6.41"/>
    <x v="9"/>
    <s v="VALIDATED"/>
    <n v="1"/>
    <s v="01.11.80.308.6100.0000"/>
    <n v="32.04"/>
    <s v="11"/>
    <s v="6100"/>
    <n v="3204.77"/>
    <n v="32.04"/>
    <s v="CREDITOR"/>
    <n v="0"/>
    <n v="0"/>
    <n v="0"/>
    <n v="0"/>
    <n v="32.04"/>
  </r>
  <r>
    <n v="9124328"/>
    <s v="N"/>
    <n v="21338332"/>
    <s v="3000005123040013"/>
    <s v="CIVIL"/>
    <d v="2023-06-27T00:00:00"/>
    <d v="2023-07-06T19:21:01"/>
    <m/>
    <d v="2023-07-06T00:00:00"/>
    <n v="636"/>
    <n v="16940"/>
    <s v="9124328"/>
    <s v="9124328"/>
    <m/>
    <m/>
    <n v="22771780"/>
    <m/>
    <m/>
    <m/>
    <s v="SOLFIN"/>
    <s v="SOLFIN"/>
    <s v="CCMS"/>
    <n v="21338332"/>
    <n v="4987.69"/>
    <m/>
    <s v="N"/>
    <n v="3"/>
    <d v="2023-07-06T19:21:20"/>
    <s v="Y"/>
    <s v="Exceptional Travel"/>
    <s v="Public Law Children"/>
    <s v="Advocacy"/>
    <s v="RM"/>
    <s v="Y"/>
    <n v="32.04"/>
    <n v="6.41"/>
    <x v="4"/>
    <s v="VALIDATED"/>
    <n v="1"/>
    <s v="01.11.80.308.6100.0000"/>
    <n v="32.04"/>
    <s v="11"/>
    <s v="6100"/>
    <n v="3204.77"/>
    <n v="32.04"/>
    <s v="CREDITOR"/>
    <n v="0"/>
    <n v="0"/>
    <n v="0"/>
    <n v="0"/>
    <n v="32.04"/>
  </r>
  <r>
    <n v="9357342"/>
    <s v="N"/>
    <n v="21330493"/>
    <s v="3000005320400010"/>
    <s v="CIVIL"/>
    <d v="2023-06-22T00:00:00"/>
    <d v="2023-07-05T19:01:47"/>
    <m/>
    <d v="2023-07-05T00:00:00"/>
    <n v="636"/>
    <n v="16940"/>
    <s v="9357342"/>
    <s v="9357342"/>
    <m/>
    <m/>
    <n v="22746704"/>
    <m/>
    <m/>
    <m/>
    <s v="SOLFIN"/>
    <s v="SOLFIN"/>
    <s v="CCMS"/>
    <n v="21330493"/>
    <n v="7750.64"/>
    <m/>
    <s v="N"/>
    <n v="18"/>
    <d v="2023-07-05T19:01:50"/>
    <s v="Y"/>
    <s v="Advocates Meeting"/>
    <s v="Public Law Children"/>
    <s v="Advocacy"/>
    <s v="KM"/>
    <s v="Y"/>
    <n v="140.99"/>
    <n v="28.2"/>
    <x v="6"/>
    <s v="VALIDATED"/>
    <n v="1"/>
    <s v="01.11.80.308.6100.0000"/>
    <n v="140.99"/>
    <s v="11"/>
    <s v="6100"/>
    <n v="3204.77"/>
    <n v="140.99"/>
    <s v="CREDITOR"/>
    <n v="0"/>
    <n v="0"/>
    <n v="0"/>
    <n v="0"/>
    <n v="140.99"/>
  </r>
  <r>
    <n v="59748703"/>
    <s v="N"/>
    <n v="21320166"/>
    <s v="3000014126820009"/>
    <s v="CIVIL"/>
    <d v="2023-06-27T00:00:00"/>
    <d v="2023-07-03T19:04:24"/>
    <m/>
    <d v="2023-07-03T00:00:00"/>
    <n v="636"/>
    <n v="16940"/>
    <s v="59748703"/>
    <s v="59748703"/>
    <m/>
    <m/>
    <n v="22770778"/>
    <m/>
    <m/>
    <m/>
    <s v="SOLFIN"/>
    <s v="SOLFIN"/>
    <s v="CCMS"/>
    <n v="21320166"/>
    <n v="14172.6"/>
    <m/>
    <s v="N"/>
    <n v="9"/>
    <d v="2023-07-03T19:04:29"/>
    <s v="Y"/>
    <s v="Interim/Directions/Review Hearing ("/>
    <s v="VHCC"/>
    <s v="Profit Cost"/>
    <s v="km"/>
    <s v="Y"/>
    <n v="707"/>
    <n v="141.4"/>
    <x v="3"/>
    <s v="VALIDATED"/>
    <n v="1"/>
    <s v="01.11.80.308.6100.0000"/>
    <n v="707"/>
    <s v="11"/>
    <s v="6100"/>
    <n v="3204.77"/>
    <n v="707"/>
    <s v="CREDITOR"/>
    <n v="0"/>
    <n v="0"/>
    <n v="0"/>
    <n v="0"/>
    <n v="707"/>
  </r>
  <r>
    <n v="9867407"/>
    <s v="N"/>
    <n v="21363311"/>
    <s v="3000005778270005"/>
    <s v="CIVIL"/>
    <d v="2023-06-29T00:00:00"/>
    <d v="2023-07-12T19:01:49"/>
    <m/>
    <d v="2023-07-12T00:00:00"/>
    <n v="636"/>
    <n v="16940"/>
    <s v="9867407"/>
    <s v="9867407"/>
    <m/>
    <m/>
    <n v="22788034"/>
    <m/>
    <m/>
    <m/>
    <s v="SOLFIN"/>
    <s v="SOLFIN"/>
    <s v="CCMS"/>
    <n v="21363311"/>
    <n v="2992.29"/>
    <m/>
    <s v="N"/>
    <n v="21"/>
    <d v="2023-07-12T19:01:59"/>
    <s v="Y"/>
    <s v="Final Hearing - 2 Days"/>
    <s v="Other Public Law Children"/>
    <s v="Advocacy"/>
    <s v="RS"/>
    <s v="Y"/>
    <n v="1225.8"/>
    <n v="245.15"/>
    <x v="0"/>
    <s v="VALIDATED"/>
    <n v="1"/>
    <s v="01.11.80.305.6100.0000"/>
    <n v="1225.8"/>
    <s v="11"/>
    <s v="6100"/>
    <n v="3204.77"/>
    <n v="1225.8"/>
    <s v="CREDITOR"/>
    <n v="0"/>
    <n v="0"/>
    <n v="0"/>
    <n v="0"/>
    <n v="1225.8"/>
  </r>
  <r>
    <n v="9357342"/>
    <s v="N"/>
    <n v="21330493"/>
    <s v="3000005320400010"/>
    <s v="CIVIL"/>
    <d v="2023-06-22T00:00:00"/>
    <d v="2023-07-05T19:01:47"/>
    <m/>
    <d v="2023-07-05T00:00:00"/>
    <n v="636"/>
    <n v="16940"/>
    <s v="9357342"/>
    <s v="9357342"/>
    <m/>
    <m/>
    <n v="22746704"/>
    <m/>
    <m/>
    <m/>
    <s v="SOLFIN"/>
    <s v="SOLFIN"/>
    <s v="CCMS"/>
    <n v="21330493"/>
    <n v="7750.64"/>
    <m/>
    <s v="N"/>
    <n v="23"/>
    <d v="2023-07-05T19:01:50"/>
    <s v="Y"/>
    <s v="Solicitors Fixed Fee"/>
    <s v="Public Law Children"/>
    <s v="Profit Cost"/>
    <s v="KM"/>
    <s v="Y"/>
    <n v="3020"/>
    <n v="604.01"/>
    <x v="6"/>
    <s v="VALIDATED"/>
    <n v="1"/>
    <s v="01.11.80.308.6100.0000"/>
    <n v="3020"/>
    <s v="11"/>
    <s v="6100"/>
    <n v="3204.77"/>
    <n v="3020"/>
    <s v="CREDITOR"/>
    <n v="0"/>
    <n v="0"/>
    <n v="0"/>
    <n v="0"/>
    <n v="3020"/>
  </r>
  <r>
    <n v="59748703"/>
    <s v="N"/>
    <n v="21320166"/>
    <s v="3000014126820009"/>
    <s v="CIVIL"/>
    <d v="2023-06-27T00:00:00"/>
    <d v="2023-07-03T19:04:24"/>
    <m/>
    <d v="2023-07-03T00:00:00"/>
    <n v="636"/>
    <n v="16940"/>
    <s v="59748703"/>
    <s v="59748703"/>
    <m/>
    <m/>
    <n v="22770778"/>
    <m/>
    <m/>
    <m/>
    <s v="SOLFIN"/>
    <s v="SOLFIN"/>
    <s v="CCMS"/>
    <n v="21320166"/>
    <n v="14172.6"/>
    <m/>
    <s v="N"/>
    <n v="12"/>
    <d v="2023-07-03T19:04:29"/>
    <s v="Y"/>
    <s v="Advocates Meeting (Events Model)"/>
    <s v="VHCC"/>
    <s v="Profit Cost"/>
    <s v="km"/>
    <s v="Y"/>
    <n v="1157"/>
    <n v="231.4"/>
    <x v="3"/>
    <s v="VALIDATED"/>
    <n v="1"/>
    <s v="01.11.80.308.6100.0000"/>
    <n v="1157"/>
    <s v="11"/>
    <s v="6100"/>
    <n v="3204.77"/>
    <n v="1157"/>
    <s v="CREDITOR"/>
    <n v="0"/>
    <n v="0"/>
    <n v="0"/>
    <n v="0"/>
    <n v="1157"/>
  </r>
  <r>
    <n v="9585209"/>
    <s v="N"/>
    <n v="21344099"/>
    <s v="3000005525070006"/>
    <s v="CIVIL"/>
    <d v="2023-06-28T00:00:00"/>
    <d v="2023-07-07T19:03:00"/>
    <m/>
    <d v="2023-07-07T00:00:00"/>
    <n v="636"/>
    <n v="16940"/>
    <s v="9585209"/>
    <s v="9585209"/>
    <m/>
    <m/>
    <n v="22778050"/>
    <m/>
    <m/>
    <m/>
    <s v="SOLFIN"/>
    <s v="SOLFIN"/>
    <s v="CCMS"/>
    <n v="21344099"/>
    <n v="7744.01"/>
    <m/>
    <s v="N"/>
    <n v="4"/>
    <d v="2023-07-07T19:03:23"/>
    <s v="Y"/>
    <s v="Solicitor Travel Mileage"/>
    <s v="Public Law Children"/>
    <s v="Non Expert Disbursement"/>
    <s v="TM"/>
    <s v="Y"/>
    <n v="36"/>
    <n v="7.2"/>
    <x v="9"/>
    <s v="VALIDATED"/>
    <n v="1"/>
    <s v="01.11.80.308.6300.0000"/>
    <n v="36"/>
    <s v="11"/>
    <s v="6300"/>
    <n v="3204.77"/>
    <n v="36"/>
    <s v="CREDITOR"/>
    <n v="0"/>
    <n v="0"/>
    <n v="0"/>
    <n v="0"/>
    <n v="36"/>
  </r>
  <r>
    <n v="9357342"/>
    <s v="N"/>
    <n v="21330493"/>
    <s v="3000005320400010"/>
    <s v="CIVIL"/>
    <d v="2023-06-22T00:00:00"/>
    <d v="2023-07-05T19:01:47"/>
    <m/>
    <d v="2023-07-05T00:00:00"/>
    <n v="636"/>
    <n v="16940"/>
    <s v="9357342"/>
    <s v="9357342"/>
    <m/>
    <m/>
    <n v="22746704"/>
    <m/>
    <m/>
    <m/>
    <s v="SOLFIN"/>
    <s v="SOLFIN"/>
    <s v="CCMS"/>
    <n v="21330493"/>
    <n v="7750.64"/>
    <m/>
    <s v="N"/>
    <n v="8"/>
    <d v="2023-07-05T19:01:50"/>
    <s v="Y"/>
    <s v="Solicitor Travel Mileage"/>
    <s v="Public Law Children"/>
    <s v="Non Expert Disbursement"/>
    <s v="EY"/>
    <s v="Y"/>
    <n v="21.6"/>
    <n v="4.32"/>
    <x v="6"/>
    <s v="VALIDATED"/>
    <n v="1"/>
    <s v="01.11.80.308.6300.0000"/>
    <n v="21.6"/>
    <s v="11"/>
    <s v="6300"/>
    <n v="3204.77"/>
    <n v="21.6"/>
    <s v="CREDITOR"/>
    <n v="0"/>
    <n v="0"/>
    <n v="0"/>
    <n v="0"/>
    <n v="21.6"/>
  </r>
  <r>
    <n v="9867407"/>
    <s v="N"/>
    <n v="21363311"/>
    <s v="3000005778270005"/>
    <s v="CIVIL"/>
    <d v="2023-06-29T00:00:00"/>
    <d v="2023-07-12T19:01:49"/>
    <m/>
    <d v="2023-07-12T00:00:00"/>
    <n v="636"/>
    <n v="16940"/>
    <s v="9867407"/>
    <s v="9867407"/>
    <m/>
    <m/>
    <n v="22788034"/>
    <m/>
    <m/>
    <m/>
    <s v="SOLFIN"/>
    <s v="SOLFIN"/>
    <s v="CCMS"/>
    <n v="21363311"/>
    <n v="2992.29"/>
    <m/>
    <s v="N"/>
    <n v="4"/>
    <d v="2023-07-12T19:01:59"/>
    <s v="Y"/>
    <s v="Routine Letter Out"/>
    <s v="Prescribed Hourly Rates"/>
    <s v="Profit Cost"/>
    <s v="RS"/>
    <s v="Y"/>
    <n v="87.63"/>
    <n v="17.53"/>
    <x v="0"/>
    <s v="VALIDATED"/>
    <n v="1"/>
    <s v="01.11.80.305.6100.0000"/>
    <n v="87.63"/>
    <s v="11"/>
    <s v="6100"/>
    <n v="3204.77"/>
    <n v="87.63"/>
    <s v="CREDITOR"/>
    <n v="0"/>
    <n v="0"/>
    <n v="0"/>
    <n v="0"/>
    <n v="87.63"/>
  </r>
  <r>
    <n v="9341325"/>
    <s v="N"/>
    <n v="21327490"/>
    <s v="3000005310670009"/>
    <s v="CIVIL"/>
    <d v="2023-06-24T00:00:00"/>
    <d v="2023-07-04T19:00:44"/>
    <m/>
    <d v="2023-07-04T00:00:00"/>
    <n v="636"/>
    <n v="16940"/>
    <s v="9341325"/>
    <s v="9341325"/>
    <m/>
    <m/>
    <n v="22756400"/>
    <m/>
    <m/>
    <m/>
    <s v="SOLFIN"/>
    <s v="SOLFIN"/>
    <s v="CCMS"/>
    <n v="21327490"/>
    <n v="7133.48"/>
    <m/>
    <s v="N"/>
    <n v="3"/>
    <d v="2023-07-04T19:00:48"/>
    <s v="Y"/>
    <s v="Expert - Other"/>
    <s v="Public Law Children"/>
    <s v="Expert Disbursement"/>
    <s v="Lextox"/>
    <s v="Y"/>
    <n v="146.75"/>
    <n v="29.35"/>
    <x v="1"/>
    <s v="VALIDATED"/>
    <n v="1"/>
    <s v="01.11.80.308.6300.0000"/>
    <n v="146.75"/>
    <s v="11"/>
    <s v="6300"/>
    <n v="3204.77"/>
    <n v="146.75"/>
    <s v="CREDITOR"/>
    <n v="0"/>
    <n v="0"/>
    <n v="0"/>
    <n v="0"/>
    <n v="146.75"/>
  </r>
  <r>
    <n v="9585209"/>
    <s v="N"/>
    <n v="21344099"/>
    <s v="3000005525070006"/>
    <s v="CIVIL"/>
    <d v="2023-06-28T00:00:00"/>
    <d v="2023-07-07T19:03:00"/>
    <m/>
    <d v="2023-07-07T00:00:00"/>
    <n v="636"/>
    <n v="16940"/>
    <s v="9585209"/>
    <s v="9585209"/>
    <m/>
    <m/>
    <n v="22778050"/>
    <m/>
    <m/>
    <m/>
    <s v="SOLFIN"/>
    <s v="SOLFIN"/>
    <s v="CCMS"/>
    <n v="21344099"/>
    <n v="7744.01"/>
    <m/>
    <s v="N"/>
    <n v="7"/>
    <d v="2023-07-07T19:03:23"/>
    <s v="Y"/>
    <s v="Hearing Unit 1.01 - 2.30 Hours"/>
    <s v="Public Law Children"/>
    <s v="Advocacy"/>
    <s v="TM"/>
    <s v="Y"/>
    <n v="238.46"/>
    <n v="47.69"/>
    <x v="9"/>
    <s v="VALIDATED"/>
    <n v="1"/>
    <s v="01.11.80.308.6100.0000"/>
    <n v="238.46"/>
    <s v="11"/>
    <s v="6100"/>
    <n v="3204.77"/>
    <n v="238.46"/>
    <s v="CREDITOR"/>
    <n v="0"/>
    <n v="0"/>
    <n v="0"/>
    <n v="0"/>
    <n v="238.46"/>
  </r>
  <r>
    <n v="59748703"/>
    <s v="N"/>
    <n v="21320166"/>
    <s v="3000014126820009"/>
    <s v="CIVIL"/>
    <d v="2023-06-27T00:00:00"/>
    <d v="2023-07-03T19:04:24"/>
    <m/>
    <d v="2023-07-03T00:00:00"/>
    <n v="636"/>
    <n v="16940"/>
    <s v="59748703"/>
    <s v="59748703"/>
    <m/>
    <m/>
    <n v="22770778"/>
    <m/>
    <m/>
    <m/>
    <s v="SOLFIN"/>
    <s v="SOLFIN"/>
    <s v="CCMS"/>
    <n v="21320166"/>
    <n v="14172.6"/>
    <m/>
    <s v="N"/>
    <n v="11"/>
    <d v="2023-07-03T19:04:29"/>
    <s v="Y"/>
    <s v="Interim/Directions/Review Hearing ("/>
    <s v="VHCC"/>
    <s v="Profit Cost"/>
    <s v="km"/>
    <s v="Y"/>
    <n v="1157"/>
    <n v="231.4"/>
    <x v="3"/>
    <s v="VALIDATED"/>
    <n v="1"/>
    <s v="01.11.80.308.6100.0000"/>
    <n v="1157"/>
    <s v="11"/>
    <s v="6100"/>
    <n v="3204.77"/>
    <n v="1157"/>
    <s v="CREDITOR"/>
    <n v="0"/>
    <n v="0"/>
    <n v="0"/>
    <n v="0"/>
    <n v="1157"/>
  </r>
  <r>
    <n v="9585209"/>
    <s v="N"/>
    <n v="21344099"/>
    <s v="3000005525070006"/>
    <s v="CIVIL"/>
    <d v="2023-06-28T00:00:00"/>
    <d v="2023-07-07T19:03:00"/>
    <m/>
    <d v="2023-07-07T00:00:00"/>
    <n v="636"/>
    <n v="16940"/>
    <s v="9585209"/>
    <s v="9585209"/>
    <m/>
    <m/>
    <n v="22778050"/>
    <m/>
    <m/>
    <m/>
    <s v="SOLFIN"/>
    <s v="SOLFIN"/>
    <s v="CCMS"/>
    <n v="21344099"/>
    <n v="7744.01"/>
    <m/>
    <s v="N"/>
    <n v="3"/>
    <d v="2023-07-07T19:03:23"/>
    <s v="Y"/>
    <s v="Final Hearing Court Bundle/Advocate"/>
    <s v="Public Law Children"/>
    <s v="Advocacy"/>
    <s v="TM"/>
    <s v="Y"/>
    <n v="239.4"/>
    <n v="47.88"/>
    <x v="9"/>
    <s v="VALIDATED"/>
    <n v="1"/>
    <s v="01.11.80.308.6100.0000"/>
    <n v="239.4"/>
    <s v="11"/>
    <s v="6100"/>
    <n v="3204.77"/>
    <n v="239.4"/>
    <s v="CREDITOR"/>
    <n v="0"/>
    <n v="0"/>
    <n v="0"/>
    <n v="0"/>
    <n v="239.4"/>
  </r>
  <r>
    <n v="9124328"/>
    <s v="N"/>
    <n v="21338332"/>
    <s v="3000005123040013"/>
    <s v="CIVIL"/>
    <d v="2023-06-27T00:00:00"/>
    <d v="2023-07-06T19:21:01"/>
    <m/>
    <d v="2023-07-06T00:00:00"/>
    <n v="636"/>
    <n v="16940"/>
    <s v="9124328"/>
    <s v="9124328"/>
    <m/>
    <m/>
    <n v="22771780"/>
    <m/>
    <m/>
    <m/>
    <s v="SOLFIN"/>
    <s v="SOLFIN"/>
    <s v="CCMS"/>
    <n v="21338332"/>
    <n v="4987.69"/>
    <m/>
    <s v="N"/>
    <n v="7"/>
    <d v="2023-07-06T19:21:20"/>
    <s v="Y"/>
    <s v="Psychologist"/>
    <s v="Public Law Children"/>
    <s v="Expert Disbursement"/>
    <s v="Psychology Associates"/>
    <s v="Y"/>
    <n v="651"/>
    <n v="130.2"/>
    <x v="4"/>
    <s v="VALIDATED"/>
    <n v="1"/>
    <s v="01.11.80.308.6300.0000"/>
    <n v="651"/>
    <s v="11"/>
    <s v="6300"/>
    <n v="3204.77"/>
    <n v="651"/>
    <s v="CREDITOR"/>
    <n v="0"/>
    <n v="0"/>
    <n v="0"/>
    <n v="0"/>
    <n v="651"/>
  </r>
  <r>
    <n v="9357342"/>
    <s v="N"/>
    <n v="21330493"/>
    <s v="3000005320400010"/>
    <s v="CIVIL"/>
    <d v="2023-06-22T00:00:00"/>
    <d v="2023-07-05T19:01:47"/>
    <m/>
    <d v="2023-07-05T00:00:00"/>
    <n v="636"/>
    <n v="16940"/>
    <s v="9357342"/>
    <s v="9357342"/>
    <m/>
    <m/>
    <n v="22746704"/>
    <m/>
    <m/>
    <m/>
    <s v="SOLFIN"/>
    <s v="SOLFIN"/>
    <s v="CCMS"/>
    <n v="21330493"/>
    <n v="7750.64"/>
    <m/>
    <s v="N"/>
    <n v="13"/>
    <d v="2023-07-05T19:01:50"/>
    <s v="Y"/>
    <s v="Solicitor Travel Expenses"/>
    <s v="Public Law Children"/>
    <s v="Non Expert Disbursement"/>
    <s v="KM"/>
    <s v="Y"/>
    <n v="3.5"/>
    <n v="0.7"/>
    <x v="6"/>
    <s v="VALIDATED"/>
    <n v="1"/>
    <s v="01.11.80.308.6300.0000"/>
    <n v="3.5"/>
    <s v="11"/>
    <s v="6300"/>
    <n v="3204.77"/>
    <n v="3.5"/>
    <s v="CREDITOR"/>
    <n v="0"/>
    <n v="0"/>
    <n v="0"/>
    <n v="0"/>
    <n v="3.5"/>
  </r>
  <r>
    <n v="59748703"/>
    <s v="N"/>
    <n v="21320166"/>
    <s v="3000014126820009"/>
    <s v="CIVIL"/>
    <d v="2023-06-27T00:00:00"/>
    <d v="2023-07-03T19:04:24"/>
    <m/>
    <d v="2023-07-03T00:00:00"/>
    <n v="636"/>
    <n v="16940"/>
    <s v="59748703"/>
    <s v="59748703"/>
    <m/>
    <m/>
    <n v="22770778"/>
    <m/>
    <m/>
    <m/>
    <s v="SOLFIN"/>
    <s v="SOLFIN"/>
    <s v="CCMS"/>
    <n v="21320166"/>
    <n v="14172.6"/>
    <m/>
    <s v="N"/>
    <n v="7"/>
    <d v="2023-07-03T19:04:29"/>
    <s v="Y"/>
    <s v="Finding-of-Fact Hearing (Events Mod"/>
    <s v="VHCC"/>
    <s v="Profit Cost"/>
    <s v="4 day ff km"/>
    <s v="Y"/>
    <n v="2828"/>
    <n v="565.6"/>
    <x v="3"/>
    <s v="VALIDATED"/>
    <n v="1"/>
    <s v="01.11.80.308.6100.0000"/>
    <n v="2828"/>
    <s v="11"/>
    <s v="6100"/>
    <n v="3204.77"/>
    <n v="2828"/>
    <s v="CREDITOR"/>
    <n v="0"/>
    <n v="0"/>
    <n v="0"/>
    <n v="0"/>
    <n v="2828"/>
  </r>
  <r>
    <n v="9867623"/>
    <s v="N"/>
    <n v="21363313"/>
    <s v="3000005779030001"/>
    <s v="CIVIL"/>
    <d v="2023-06-29T00:00:00"/>
    <d v="2023-07-12T19:01:49"/>
    <m/>
    <d v="2023-07-12T00:00:00"/>
    <n v="636"/>
    <n v="16940"/>
    <s v="9867623"/>
    <s v="9867623"/>
    <m/>
    <m/>
    <n v="22788560"/>
    <m/>
    <m/>
    <m/>
    <s v="SOLFIN"/>
    <s v="SOLFIN"/>
    <s v="CCMS"/>
    <n v="21363313"/>
    <n v="0"/>
    <m/>
    <s v="N"/>
    <n v="1"/>
    <d v="2023-07-12T19:01:59"/>
    <s v="N"/>
    <s v="NIL BILL"/>
    <s v="Care Remuneration Hourly Rates"/>
    <s v="Profit Cost"/>
    <s v="RS"/>
    <s v="N"/>
    <n v="0"/>
    <n v="0"/>
    <x v="0"/>
    <s v="VALIDATED"/>
    <n v="1"/>
    <s v="01.11.80.305.6100.0000"/>
    <n v="0"/>
    <s v="11"/>
    <s v="6100"/>
    <n v="3204.77"/>
    <n v="0"/>
    <s v="CREDITOR"/>
    <n v="0"/>
    <n v="0"/>
    <n v="0"/>
    <n v="0"/>
    <n v="0"/>
  </r>
  <r>
    <n v="9357342"/>
    <s v="N"/>
    <n v="21330493"/>
    <s v="3000005320400010"/>
    <s v="CIVIL"/>
    <d v="2023-06-22T00:00:00"/>
    <d v="2023-07-05T19:01:47"/>
    <m/>
    <d v="2023-07-05T00:00:00"/>
    <n v="636"/>
    <n v="16940"/>
    <s v="9357342"/>
    <s v="9357342"/>
    <m/>
    <m/>
    <n v="22746704"/>
    <m/>
    <m/>
    <m/>
    <s v="SOLFIN"/>
    <s v="SOLFIN"/>
    <s v="CCMS"/>
    <n v="21330493"/>
    <n v="7750.64"/>
    <m/>
    <s v="N"/>
    <n v="2"/>
    <d v="2023-07-05T19:01:50"/>
    <s v="N"/>
    <s v="Exceptional Travel"/>
    <s v="Public Law Children"/>
    <s v="Advocacy"/>
    <s v="EY"/>
    <s v="N"/>
    <n v="32.04"/>
    <n v="6.41"/>
    <x v="6"/>
    <s v="VALIDATED"/>
    <n v="1"/>
    <s v="01.11.80.308.6100.0000"/>
    <n v="32.04"/>
    <s v="11"/>
    <s v="6100"/>
    <n v="3204.77"/>
    <n v="32.04"/>
    <s v="CREDITOR"/>
    <n v="0"/>
    <n v="0"/>
    <n v="0"/>
    <n v="0"/>
    <n v="32.04"/>
  </r>
  <r>
    <n v="9124328"/>
    <s v="N"/>
    <n v="21338332"/>
    <s v="3000005123040013"/>
    <s v="CIVIL"/>
    <d v="2023-06-27T00:00:00"/>
    <d v="2023-07-06T19:21:01"/>
    <m/>
    <d v="2023-07-06T00:00:00"/>
    <n v="636"/>
    <n v="16940"/>
    <s v="9124328"/>
    <s v="9124328"/>
    <m/>
    <m/>
    <n v="22771780"/>
    <m/>
    <m/>
    <m/>
    <s v="SOLFIN"/>
    <s v="SOLFIN"/>
    <s v="CCMS"/>
    <n v="21338332"/>
    <n v="4987.69"/>
    <m/>
    <s v="N"/>
    <n v="2"/>
    <d v="2023-07-06T19:21:20"/>
    <s v="Y"/>
    <s v="Exceptional Travel"/>
    <s v="Public Law Children"/>
    <s v="Advocacy"/>
    <s v="TM"/>
    <s v="Y"/>
    <n v="32.04"/>
    <n v="6.41"/>
    <x v="4"/>
    <s v="VALIDATED"/>
    <n v="1"/>
    <s v="01.11.80.308.6100.0000"/>
    <n v="32.04"/>
    <s v="11"/>
    <s v="6100"/>
    <n v="3204.77"/>
    <n v="32.04"/>
    <s v="CREDITOR"/>
    <n v="0"/>
    <n v="0"/>
    <n v="0"/>
    <n v="0"/>
    <n v="32.04"/>
  </r>
  <r>
    <n v="9357342"/>
    <s v="N"/>
    <n v="21330493"/>
    <s v="3000005320400010"/>
    <s v="CIVIL"/>
    <d v="2023-06-22T00:00:00"/>
    <d v="2023-07-05T19:01:47"/>
    <m/>
    <d v="2023-07-05T00:00:00"/>
    <n v="636"/>
    <n v="16940"/>
    <s v="9357342"/>
    <s v="9357342"/>
    <m/>
    <m/>
    <n v="22746704"/>
    <m/>
    <m/>
    <m/>
    <s v="SOLFIN"/>
    <s v="SOLFIN"/>
    <s v="CCMS"/>
    <n v="21330493"/>
    <n v="7750.64"/>
    <m/>
    <s v="N"/>
    <n v="22"/>
    <d v="2023-07-05T19:01:50"/>
    <s v="Y"/>
    <s v="Hearing Unit 5.01 - 7.30 Hours"/>
    <s v="Public Law Children"/>
    <s v="Advocacy"/>
    <s v="EY"/>
    <s v="Y"/>
    <n v="715.38"/>
    <n v="143.08"/>
    <x v="6"/>
    <s v="VALIDATED"/>
    <n v="1"/>
    <s v="01.11.80.308.6100.0000"/>
    <n v="715.38"/>
    <s v="11"/>
    <s v="6100"/>
    <n v="3204.77"/>
    <n v="715.38"/>
    <s v="CREDITOR"/>
    <n v="0"/>
    <n v="0"/>
    <n v="0"/>
    <n v="0"/>
    <n v="715.38"/>
  </r>
  <r>
    <n v="9124328"/>
    <s v="N"/>
    <n v="21338332"/>
    <s v="3000005123040013"/>
    <s v="CIVIL"/>
    <d v="2023-06-27T00:00:00"/>
    <d v="2023-07-06T19:21:01"/>
    <m/>
    <d v="2023-07-06T00:00:00"/>
    <n v="636"/>
    <n v="16940"/>
    <s v="9124328"/>
    <s v="9124328"/>
    <m/>
    <m/>
    <n v="22771780"/>
    <m/>
    <m/>
    <m/>
    <s v="SOLFIN"/>
    <s v="SOLFIN"/>
    <s v="CCMS"/>
    <n v="21338332"/>
    <n v="4987.69"/>
    <m/>
    <s v="N"/>
    <n v="4"/>
    <d v="2023-07-06T19:21:20"/>
    <s v="Y"/>
    <s v="Exceptional Travel"/>
    <s v="Public Law Children"/>
    <s v="Advocacy"/>
    <s v="RH"/>
    <s v="Y"/>
    <n v="32.04"/>
    <n v="6.41"/>
    <x v="4"/>
    <s v="VALIDATED"/>
    <n v="1"/>
    <s v="01.11.80.308.6100.0000"/>
    <n v="32.04"/>
    <s v="11"/>
    <s v="6100"/>
    <n v="3204.77"/>
    <n v="32.04"/>
    <s v="CREDITOR"/>
    <n v="0"/>
    <n v="0"/>
    <n v="0"/>
    <n v="0"/>
    <n v="32.04"/>
  </r>
  <r>
    <n v="9357342"/>
    <s v="N"/>
    <n v="21330493"/>
    <s v="3000005320400010"/>
    <s v="CIVIL"/>
    <d v="2023-06-22T00:00:00"/>
    <d v="2023-07-05T19:01:47"/>
    <m/>
    <d v="2023-07-05T00:00:00"/>
    <n v="636"/>
    <n v="16940"/>
    <s v="9357342"/>
    <s v="9357342"/>
    <m/>
    <m/>
    <n v="22746704"/>
    <m/>
    <m/>
    <m/>
    <s v="SOLFIN"/>
    <s v="SOLFIN"/>
    <s v="CCMS"/>
    <n v="21330493"/>
    <n v="7750.64"/>
    <m/>
    <s v="N"/>
    <n v="19"/>
    <d v="2023-07-05T19:01:50"/>
    <s v="Y"/>
    <s v="Hearing Unit 2.31 - 5.00 Hours"/>
    <s v="Public Law Children"/>
    <s v="Advocacy"/>
    <s v="EY"/>
    <s v="Y"/>
    <n v="476.92"/>
    <n v="95.38"/>
    <x v="6"/>
    <s v="VALIDATED"/>
    <n v="1"/>
    <s v="01.11.80.308.6100.0000"/>
    <n v="476.92"/>
    <s v="11"/>
    <s v="6100"/>
    <n v="3204.77"/>
    <n v="476.92"/>
    <s v="CREDITOR"/>
    <n v="0"/>
    <n v="0"/>
    <n v="0"/>
    <n v="0"/>
    <n v="476.92"/>
  </r>
  <r>
    <n v="9864254"/>
    <s v="N"/>
    <n v="21330961"/>
    <s v="3000005750570013"/>
    <s v="CIVIL"/>
    <d v="2023-06-24T00:00:00"/>
    <d v="2023-07-05T19:01:47"/>
    <m/>
    <d v="2023-07-05T00:00:00"/>
    <n v="636"/>
    <n v="16940"/>
    <s v="9864254"/>
    <s v="9864254"/>
    <m/>
    <m/>
    <n v="22756334"/>
    <m/>
    <m/>
    <m/>
    <s v="SOLFIN"/>
    <s v="SOLFIN"/>
    <s v="CCMS"/>
    <n v="21330961"/>
    <n v="14314.05"/>
    <m/>
    <s v="N"/>
    <n v="1"/>
    <d v="2023-07-05T19:02:00"/>
    <s v="Y"/>
    <s v="Profit Costs (Summary)"/>
    <s v="Care Remuneration Hourly Rates"/>
    <s v="Profit Cost"/>
    <s v="KM"/>
    <s v="Y"/>
    <n v="9293.690000000001"/>
    <n v="1858.74"/>
    <x v="6"/>
    <s v="VALIDATED"/>
    <n v="1"/>
    <s v="01.11.80.308.6100.0000"/>
    <n v="9293.690000000001"/>
    <s v="11"/>
    <s v="6100"/>
    <n v="3204.77"/>
    <n v="9293.690000000001"/>
    <s v="CREDITOR"/>
    <n v="0"/>
    <n v="0"/>
    <n v="0"/>
    <n v="0"/>
    <n v="9293.690000000001"/>
  </r>
  <r>
    <n v="9341325"/>
    <s v="N"/>
    <n v="21327490"/>
    <s v="3000005310670009"/>
    <s v="CIVIL"/>
    <d v="2023-06-24T00:00:00"/>
    <d v="2023-07-04T19:00:44"/>
    <m/>
    <d v="2023-07-04T00:00:00"/>
    <n v="636"/>
    <n v="16940"/>
    <s v="9341325"/>
    <s v="9341325"/>
    <m/>
    <m/>
    <n v="22756400"/>
    <m/>
    <m/>
    <m/>
    <s v="SOLFIN"/>
    <s v="SOLFIN"/>
    <s v="CCMS"/>
    <n v="21327490"/>
    <n v="7133.48"/>
    <m/>
    <s v="N"/>
    <n v="4"/>
    <d v="2023-07-04T19:00:48"/>
    <s v="Y"/>
    <s v="Solicitor Travel Expenses"/>
    <s v="Public Law Children"/>
    <s v="Non Expert Disbursement"/>
    <s v="RH"/>
    <s v="Y"/>
    <n v="18.1"/>
    <n v="3.62"/>
    <x v="1"/>
    <s v="VALIDATED"/>
    <n v="1"/>
    <s v="01.11.80.308.6300.0000"/>
    <n v="18.1"/>
    <s v="11"/>
    <s v="6300"/>
    <n v="3204.77"/>
    <n v="18.1"/>
    <s v="CREDITOR"/>
    <n v="0"/>
    <n v="0"/>
    <n v="0"/>
    <n v="0"/>
    <n v="18.1"/>
  </r>
  <r>
    <n v="9867407"/>
    <s v="N"/>
    <n v="21363311"/>
    <s v="3000005778270005"/>
    <s v="CIVIL"/>
    <d v="2023-06-29T00:00:00"/>
    <d v="2023-07-12T19:01:49"/>
    <m/>
    <d v="2023-07-12T00:00:00"/>
    <n v="636"/>
    <n v="16940"/>
    <s v="9867407"/>
    <s v="9867407"/>
    <m/>
    <m/>
    <n v="22788034"/>
    <m/>
    <m/>
    <m/>
    <s v="SOLFIN"/>
    <s v="SOLFIN"/>
    <s v="CCMS"/>
    <n v="21363311"/>
    <n v="2992.29"/>
    <m/>
    <s v="N"/>
    <n v="11"/>
    <d v="2023-07-12T19:01:59"/>
    <s v="Y"/>
    <s v="Preparation - other"/>
    <s v="Prescribed Hourly Rates"/>
    <s v="Profit Cost"/>
    <s v="RS"/>
    <s v="Y"/>
    <n v="37.81"/>
    <n v="7.56"/>
    <x v="0"/>
    <s v="VALIDATED"/>
    <n v="1"/>
    <s v="01.11.80.305.6100.0000"/>
    <n v="37.81"/>
    <s v="11"/>
    <s v="6100"/>
    <n v="3204.77"/>
    <n v="37.81"/>
    <s v="CREDITOR"/>
    <n v="0"/>
    <n v="0"/>
    <n v="0"/>
    <n v="0"/>
    <n v="37.81"/>
  </r>
  <r>
    <n v="9867407"/>
    <s v="N"/>
    <n v="21363311"/>
    <s v="3000005778270005"/>
    <s v="CIVIL"/>
    <d v="2023-06-29T00:00:00"/>
    <d v="2023-07-12T19:01:49"/>
    <m/>
    <d v="2023-07-12T00:00:00"/>
    <n v="636"/>
    <n v="16940"/>
    <s v="9867407"/>
    <s v="9867407"/>
    <m/>
    <m/>
    <n v="22788034"/>
    <m/>
    <m/>
    <m/>
    <s v="SOLFIN"/>
    <s v="SOLFIN"/>
    <s v="CCMS"/>
    <n v="21363311"/>
    <n v="2992.29"/>
    <m/>
    <s v="N"/>
    <n v="9"/>
    <d v="2023-07-12T19:01:59"/>
    <s v="Y"/>
    <s v="Preparation - drafting application"/>
    <s v="Prescribed Hourly Rates"/>
    <s v="Profit Cost"/>
    <s v="SH"/>
    <s v="Y"/>
    <n v="65.75"/>
    <n v="13.15"/>
    <x v="0"/>
    <s v="VALIDATED"/>
    <n v="1"/>
    <s v="01.11.80.305.6100.0000"/>
    <n v="65.75"/>
    <s v="11"/>
    <s v="6100"/>
    <n v="3204.77"/>
    <n v="65.75"/>
    <s v="CREDITOR"/>
    <n v="0"/>
    <n v="0"/>
    <n v="0"/>
    <n v="0"/>
    <n v="65.75"/>
  </r>
  <r>
    <n v="9357342"/>
    <s v="N"/>
    <n v="21330493"/>
    <s v="3000005320400010"/>
    <s v="CIVIL"/>
    <d v="2023-06-22T00:00:00"/>
    <d v="2023-07-05T19:01:47"/>
    <m/>
    <d v="2023-07-05T00:00:00"/>
    <n v="636"/>
    <n v="16940"/>
    <s v="9357342"/>
    <s v="9357342"/>
    <m/>
    <m/>
    <n v="22746704"/>
    <m/>
    <m/>
    <m/>
    <s v="SOLFIN"/>
    <s v="SOLFIN"/>
    <s v="CCMS"/>
    <n v="21330493"/>
    <n v="7750.64"/>
    <m/>
    <s v="N"/>
    <n v="1"/>
    <d v="2023-07-05T19:01:50"/>
    <s v="N"/>
    <s v="Exceptional Travel"/>
    <s v="Public Law Children"/>
    <s v="Advocacy"/>
    <s v="EY"/>
    <s v="N"/>
    <n v="32.04"/>
    <n v="6.41"/>
    <x v="6"/>
    <s v="VALIDATED"/>
    <n v="1"/>
    <s v="01.11.80.308.6100.0000"/>
    <n v="32.04"/>
    <s v="11"/>
    <s v="6100"/>
    <n v="3204.77"/>
    <n v="32.04"/>
    <s v="CREDITOR"/>
    <n v="0"/>
    <n v="0"/>
    <n v="0"/>
    <n v="0"/>
    <n v="32.04"/>
  </r>
  <r>
    <n v="9124328"/>
    <s v="N"/>
    <n v="21338332"/>
    <s v="3000005123040013"/>
    <s v="CIVIL"/>
    <d v="2023-06-27T00:00:00"/>
    <d v="2023-07-06T19:21:01"/>
    <m/>
    <d v="2023-07-06T00:00:00"/>
    <n v="636"/>
    <n v="16940"/>
    <s v="9124328"/>
    <s v="9124328"/>
    <m/>
    <m/>
    <n v="22771780"/>
    <m/>
    <m/>
    <m/>
    <s v="SOLFIN"/>
    <s v="SOLFIN"/>
    <s v="CCMS"/>
    <n v="21338332"/>
    <n v="4987.69"/>
    <m/>
    <s v="N"/>
    <n v="1"/>
    <d v="2023-07-06T19:21:20"/>
    <s v="Y"/>
    <s v="Exceptional Travel"/>
    <s v="Public Law Children"/>
    <s v="Advocacy"/>
    <s v="TM"/>
    <s v="Y"/>
    <n v="32.04"/>
    <n v="6.41"/>
    <x v="4"/>
    <s v="VALIDATED"/>
    <n v="1"/>
    <s v="01.11.80.308.6100.0000"/>
    <n v="32.04"/>
    <s v="11"/>
    <s v="6100"/>
    <n v="3204.77"/>
    <n v="32.04"/>
    <s v="CREDITOR"/>
    <n v="0"/>
    <n v="0"/>
    <n v="0"/>
    <n v="0"/>
    <n v="32.04"/>
  </r>
  <r>
    <n v="9357342"/>
    <s v="N"/>
    <n v="21330493"/>
    <s v="3000005320400010"/>
    <s v="CIVIL"/>
    <d v="2023-06-22T00:00:00"/>
    <d v="2023-07-05T19:01:47"/>
    <m/>
    <d v="2023-07-05T00:00:00"/>
    <n v="636"/>
    <n v="16940"/>
    <s v="9357342"/>
    <s v="9357342"/>
    <m/>
    <m/>
    <n v="22746704"/>
    <m/>
    <m/>
    <m/>
    <s v="SOLFIN"/>
    <s v="SOLFIN"/>
    <s v="CCMS"/>
    <n v="21330493"/>
    <n v="7750.64"/>
    <m/>
    <s v="N"/>
    <n v="11"/>
    <d v="2023-07-05T19:01:50"/>
    <s v="Y"/>
    <s v="Solicitor Travel Expenses"/>
    <s v="Public Law Children"/>
    <s v="Non Expert Disbursement"/>
    <s v="KM"/>
    <s v="Y"/>
    <n v="3.5"/>
    <n v="0.7"/>
    <x v="6"/>
    <s v="VALIDATED"/>
    <n v="1"/>
    <s v="01.11.80.308.6300.0000"/>
    <n v="3.5"/>
    <s v="11"/>
    <s v="6300"/>
    <n v="3204.77"/>
    <n v="3.5"/>
    <s v="CREDITOR"/>
    <n v="0"/>
    <n v="0"/>
    <n v="0"/>
    <n v="0"/>
    <n v="3.5"/>
  </r>
  <r>
    <n v="9357342"/>
    <s v="N"/>
    <n v="21330493"/>
    <s v="3000005320400010"/>
    <s v="CIVIL"/>
    <d v="2023-06-22T00:00:00"/>
    <d v="2023-07-05T19:01:47"/>
    <m/>
    <d v="2023-07-05T00:00:00"/>
    <n v="636"/>
    <n v="16940"/>
    <s v="9357342"/>
    <s v="9357342"/>
    <m/>
    <m/>
    <n v="22746704"/>
    <m/>
    <m/>
    <m/>
    <s v="SOLFIN"/>
    <s v="SOLFIN"/>
    <s v="CCMS"/>
    <n v="21330493"/>
    <n v="7750.64"/>
    <m/>
    <s v="N"/>
    <n v="7"/>
    <d v="2023-07-05T19:01:50"/>
    <s v="Y"/>
    <s v="Solicitor Travel Expenses"/>
    <s v="Public Law Children"/>
    <s v="Non Expert Disbursement"/>
    <s v="EY"/>
    <s v="Y"/>
    <n v="12.6"/>
    <n v="2.52"/>
    <x v="6"/>
    <s v="VALIDATED"/>
    <n v="1"/>
    <s v="01.11.80.308.6300.0000"/>
    <n v="12.6"/>
    <s v="11"/>
    <s v="6300"/>
    <n v="3204.77"/>
    <n v="12.6"/>
    <s v="CREDITOR"/>
    <n v="0"/>
    <n v="0"/>
    <n v="0"/>
    <n v="0"/>
    <n v="12.6"/>
  </r>
  <r>
    <n v="9357342"/>
    <s v="N"/>
    <n v="21330493"/>
    <s v="3000005320400010"/>
    <s v="CIVIL"/>
    <d v="2023-06-22T00:00:00"/>
    <d v="2023-07-05T19:01:47"/>
    <m/>
    <d v="2023-07-05T00:00:00"/>
    <n v="636"/>
    <n v="16940"/>
    <s v="9357342"/>
    <s v="9357342"/>
    <m/>
    <m/>
    <n v="22746704"/>
    <m/>
    <m/>
    <m/>
    <s v="SOLFIN"/>
    <s v="SOLFIN"/>
    <s v="CCMS"/>
    <n v="21330493"/>
    <n v="7750.64"/>
    <m/>
    <s v="N"/>
    <n v="3"/>
    <d v="2023-07-05T19:01:50"/>
    <s v="Y"/>
    <s v="Exceptional Travel"/>
    <s v="Public Law Children"/>
    <s v="Advocacy"/>
    <s v="KM"/>
    <s v="Y"/>
    <n v="31.32"/>
    <n v="6.26"/>
    <x v="6"/>
    <s v="VALIDATED"/>
    <n v="1"/>
    <s v="01.11.80.308.6100.0000"/>
    <n v="31.32"/>
    <s v="11"/>
    <s v="6100"/>
    <n v="3204.77"/>
    <n v="31.32"/>
    <s v="CREDITOR"/>
    <n v="0"/>
    <n v="0"/>
    <n v="0"/>
    <n v="0"/>
    <n v="31.32"/>
  </r>
  <r>
    <n v="9585209"/>
    <s v="N"/>
    <n v="21344099"/>
    <s v="3000005525070006"/>
    <s v="CIVIL"/>
    <d v="2023-06-28T00:00:00"/>
    <d v="2023-07-07T19:03:00"/>
    <m/>
    <d v="2023-07-07T00:00:00"/>
    <n v="636"/>
    <n v="16940"/>
    <s v="9585209"/>
    <s v="9585209"/>
    <m/>
    <m/>
    <n v="22778050"/>
    <m/>
    <m/>
    <m/>
    <s v="SOLFIN"/>
    <s v="SOLFIN"/>
    <s v="CCMS"/>
    <n v="21344099"/>
    <n v="7744.01"/>
    <m/>
    <s v="N"/>
    <n v="8"/>
    <d v="2023-07-07T19:03:23"/>
    <s v="Y"/>
    <s v="Hearing Unit 2.31 - 5.00 Hours"/>
    <s v="Public Law Children"/>
    <s v="Advocacy"/>
    <s v="RS"/>
    <s v="Y"/>
    <n v="476.92"/>
    <n v="95.38"/>
    <x v="9"/>
    <s v="VALIDATED"/>
    <n v="1"/>
    <s v="01.11.80.308.6100.0000"/>
    <n v="476.92"/>
    <s v="11"/>
    <s v="6100"/>
    <n v="3204.77"/>
    <n v="476.92"/>
    <s v="CREDITOR"/>
    <n v="0"/>
    <n v="0"/>
    <n v="0"/>
    <n v="0"/>
    <n v="476.92"/>
  </r>
  <r>
    <n v="9124328"/>
    <s v="N"/>
    <n v="21338332"/>
    <s v="3000005123040013"/>
    <s v="CIVIL"/>
    <d v="2023-06-27T00:00:00"/>
    <d v="2023-07-06T19:21:01"/>
    <m/>
    <d v="2023-07-06T00:00:00"/>
    <n v="636"/>
    <n v="16940"/>
    <s v="9124328"/>
    <s v="9124328"/>
    <m/>
    <m/>
    <n v="22771780"/>
    <m/>
    <m/>
    <m/>
    <s v="SOLFIN"/>
    <s v="SOLFIN"/>
    <s v="CCMS"/>
    <n v="21338332"/>
    <n v="4987.69"/>
    <m/>
    <s v="N"/>
    <n v="6"/>
    <d v="2023-07-06T19:21:20"/>
    <s v="Y"/>
    <s v="Court Fee"/>
    <s v="Public Law Children"/>
    <s v="Non Expert Disbursement"/>
    <s v="TM"/>
    <s v="Y"/>
    <n v="155"/>
    <n v="31"/>
    <x v="4"/>
    <s v="VALIDATED"/>
    <n v="1"/>
    <s v="01.11.80.308.6300.0000"/>
    <n v="155"/>
    <s v="11"/>
    <s v="6300"/>
    <n v="3204.77"/>
    <n v="155"/>
    <s v="CREDITOR"/>
    <n v="0"/>
    <n v="0"/>
    <n v="0"/>
    <n v="0"/>
    <n v="155"/>
  </r>
  <r>
    <n v="9341325"/>
    <s v="N"/>
    <n v="21327490"/>
    <s v="3000005310670009"/>
    <s v="CIVIL"/>
    <d v="2023-06-24T00:00:00"/>
    <d v="2023-07-04T19:00:44"/>
    <m/>
    <d v="2023-07-04T00:00:00"/>
    <n v="636"/>
    <n v="16940"/>
    <s v="9341325"/>
    <s v="9341325"/>
    <m/>
    <m/>
    <n v="22756400"/>
    <m/>
    <m/>
    <m/>
    <s v="SOLFIN"/>
    <s v="SOLFIN"/>
    <s v="CCMS"/>
    <n v="21327490"/>
    <n v="7133.48"/>
    <m/>
    <s v="N"/>
    <n v="8"/>
    <d v="2023-07-04T19:00:48"/>
    <s v="Y"/>
    <s v="Final Hearing - 1 Day"/>
    <s v="Public Law Children"/>
    <s v="Advocacy"/>
    <s v="RS"/>
    <s v="Y"/>
    <n v="556.88"/>
    <n v="111.38"/>
    <x v="1"/>
    <s v="VALIDATED"/>
    <n v="1"/>
    <s v="01.11.80.308.6100.0000"/>
    <n v="556.88"/>
    <s v="11"/>
    <s v="6100"/>
    <n v="3204.77"/>
    <n v="556.88"/>
    <s v="CREDITOR"/>
    <n v="0"/>
    <n v="0"/>
    <n v="0"/>
    <n v="0"/>
    <n v="556.88"/>
  </r>
  <r>
    <n v="9357342"/>
    <s v="N"/>
    <n v="21330493"/>
    <s v="3000005320400010"/>
    <s v="CIVIL"/>
    <d v="2023-06-22T00:00:00"/>
    <d v="2023-07-05T19:01:47"/>
    <m/>
    <d v="2023-07-05T00:00:00"/>
    <n v="636"/>
    <n v="16940"/>
    <s v="9357342"/>
    <s v="9357342"/>
    <m/>
    <m/>
    <n v="22746704"/>
    <m/>
    <m/>
    <m/>
    <s v="SOLFIN"/>
    <s v="SOLFIN"/>
    <s v="CCMS"/>
    <n v="21330493"/>
    <n v="7750.64"/>
    <m/>
    <s v="N"/>
    <n v="17"/>
    <d v="2023-07-05T19:01:50"/>
    <s v="Y"/>
    <s v="Solicitor Travel Mileage"/>
    <s v="Public Law Children"/>
    <s v="Non Expert Disbursement"/>
    <s v="EY"/>
    <s v="Y"/>
    <n v="10.8"/>
    <n v="2.16"/>
    <x v="6"/>
    <s v="VALIDATED"/>
    <n v="1"/>
    <s v="01.11.80.308.6300.0000"/>
    <n v="10.8"/>
    <s v="11"/>
    <s v="6300"/>
    <n v="3204.77"/>
    <n v="10.8"/>
    <s v="CREDITOR"/>
    <n v="0"/>
    <n v="0"/>
    <n v="0"/>
    <n v="0"/>
    <n v="10.8"/>
  </r>
  <r>
    <n v="9341325"/>
    <s v="N"/>
    <n v="21327490"/>
    <s v="3000005310670009"/>
    <s v="CIVIL"/>
    <d v="2023-06-24T00:00:00"/>
    <d v="2023-07-04T19:00:44"/>
    <m/>
    <d v="2023-07-04T00:00:00"/>
    <n v="636"/>
    <n v="16940"/>
    <s v="9341325"/>
    <s v="9341325"/>
    <m/>
    <m/>
    <n v="22756400"/>
    <m/>
    <m/>
    <m/>
    <s v="SOLFIN"/>
    <s v="SOLFIN"/>
    <s v="CCMS"/>
    <n v="21327490"/>
    <n v="7133.48"/>
    <m/>
    <s v="N"/>
    <n v="1"/>
    <d v="2023-07-04T19:00:48"/>
    <s v="Y"/>
    <s v="Final Hearing Court Bundle/Advocate"/>
    <s v="Public Law Children"/>
    <s v="Advocacy"/>
    <s v="RS"/>
    <s v="Y"/>
    <n v="159.3"/>
    <n v="31.86"/>
    <x v="1"/>
    <s v="VALIDATED"/>
    <n v="1"/>
    <s v="01.11.80.308.6100.0000"/>
    <n v="159.3"/>
    <s v="11"/>
    <s v="6100"/>
    <n v="3204.77"/>
    <n v="159.3"/>
    <s v="CREDITOR"/>
    <n v="0"/>
    <n v="0"/>
    <n v="0"/>
    <n v="0"/>
    <n v="159.3"/>
  </r>
  <r>
    <n v="9867407"/>
    <s v="N"/>
    <n v="21363311"/>
    <s v="3000005778270005"/>
    <s v="CIVIL"/>
    <d v="2023-06-29T00:00:00"/>
    <d v="2023-07-12T19:01:49"/>
    <m/>
    <d v="2023-07-12T00:00:00"/>
    <n v="636"/>
    <n v="16940"/>
    <s v="9867407"/>
    <s v="9867407"/>
    <m/>
    <m/>
    <n v="22788034"/>
    <m/>
    <m/>
    <m/>
    <s v="SOLFIN"/>
    <s v="SOLFIN"/>
    <s v="CCMS"/>
    <n v="21363311"/>
    <n v="2992.29"/>
    <m/>
    <s v="N"/>
    <n v="12"/>
    <d v="2023-07-12T19:01:59"/>
    <s v="Y"/>
    <s v="Preparation - other"/>
    <s v="Prescribed Hourly Rates"/>
    <s v="Profit Cost"/>
    <s v="RS"/>
    <s v="Y"/>
    <n v="226.84"/>
    <n v="45.37"/>
    <x v="0"/>
    <s v="VALIDATED"/>
    <n v="1"/>
    <s v="01.11.80.305.6100.0000"/>
    <n v="226.84"/>
    <s v="11"/>
    <s v="6100"/>
    <n v="3204.77"/>
    <n v="226.84"/>
    <s v="CREDITOR"/>
    <n v="0"/>
    <n v="0"/>
    <n v="0"/>
    <n v="0"/>
    <n v="226.84"/>
  </r>
  <r>
    <n v="59748703"/>
    <s v="N"/>
    <n v="21320166"/>
    <s v="3000014126820009"/>
    <s v="CIVIL"/>
    <d v="2023-06-27T00:00:00"/>
    <d v="2023-07-03T19:04:24"/>
    <m/>
    <d v="2023-07-03T00:00:00"/>
    <n v="636"/>
    <n v="16940"/>
    <s v="59748703"/>
    <s v="59748703"/>
    <m/>
    <m/>
    <n v="22770778"/>
    <m/>
    <m/>
    <m/>
    <s v="SOLFIN"/>
    <s v="SOLFIN"/>
    <s v="CCMS"/>
    <n v="21320166"/>
    <n v="14172.6"/>
    <m/>
    <s v="N"/>
    <n v="2"/>
    <d v="2023-07-03T19:04:29"/>
    <s v="Y"/>
    <s v="Paediatrician"/>
    <s v="VHCC"/>
    <s v="Expert Disbursement"/>
    <s v="dr r"/>
    <s v="Y"/>
    <n v="675"/>
    <n v="0"/>
    <x v="3"/>
    <s v="VALIDATED"/>
    <n v="1"/>
    <s v="01.11.80.308.6300.0000"/>
    <n v="675"/>
    <s v="11"/>
    <s v="6300"/>
    <n v="3204.77"/>
    <n v="675"/>
    <s v="CREDITOR"/>
    <n v="0"/>
    <n v="0"/>
    <n v="0"/>
    <n v="0"/>
    <n v="675"/>
  </r>
  <r>
    <n v="9867407"/>
    <s v="N"/>
    <n v="21363311"/>
    <s v="3000005778270005"/>
    <s v="CIVIL"/>
    <d v="2023-06-29T00:00:00"/>
    <d v="2023-07-12T19:01:49"/>
    <m/>
    <d v="2023-07-12T00:00:00"/>
    <n v="636"/>
    <n v="16940"/>
    <s v="9867407"/>
    <s v="9867407"/>
    <m/>
    <m/>
    <n v="22788034"/>
    <m/>
    <m/>
    <m/>
    <s v="SOLFIN"/>
    <s v="SOLFIN"/>
    <s v="CCMS"/>
    <n v="21363311"/>
    <n v="2992.29"/>
    <m/>
    <s v="N"/>
    <n v="1"/>
    <d v="2023-07-12T19:01:59"/>
    <s v="Y"/>
    <s v="Preparation - other"/>
    <s v="Prescribed Hourly Rates"/>
    <s v="Profit Cost"/>
    <s v="JS"/>
    <s v="Y"/>
    <n v="26.3"/>
    <n v="5.26"/>
    <x v="0"/>
    <s v="VALIDATED"/>
    <n v="1"/>
    <s v="01.11.80.305.6100.0000"/>
    <n v="26.3"/>
    <s v="11"/>
    <s v="6100"/>
    <n v="3204.77"/>
    <n v="26.3"/>
    <s v="CREDITOR"/>
    <n v="0"/>
    <n v="0"/>
    <n v="0"/>
    <n v="0"/>
    <n v="26.3"/>
  </r>
  <r>
    <n v="9867407"/>
    <s v="N"/>
    <n v="21363311"/>
    <s v="3000005778270005"/>
    <s v="CIVIL"/>
    <d v="2023-06-29T00:00:00"/>
    <d v="2023-07-12T19:01:49"/>
    <m/>
    <d v="2023-07-12T00:00:00"/>
    <n v="636"/>
    <n v="16940"/>
    <s v="9867407"/>
    <s v="9867407"/>
    <m/>
    <m/>
    <n v="22788034"/>
    <m/>
    <m/>
    <m/>
    <s v="SOLFIN"/>
    <s v="SOLFIN"/>
    <s v="CCMS"/>
    <n v="21363311"/>
    <n v="2992.29"/>
    <m/>
    <s v="N"/>
    <n v="2"/>
    <d v="2023-07-12T19:01:59"/>
    <s v="Y"/>
    <s v="Routine Telephone Call"/>
    <s v="Prescribed Hourly Rates"/>
    <s v="Profit Cost"/>
    <s v="RS"/>
    <s v="Y"/>
    <n v="21.91"/>
    <n v="4.38"/>
    <x v="0"/>
    <s v="VALIDATED"/>
    <n v="1"/>
    <s v="01.11.80.305.6100.0000"/>
    <n v="21.91"/>
    <s v="11"/>
    <s v="6100"/>
    <n v="3204.77"/>
    <n v="21.91"/>
    <s v="CREDITOR"/>
    <n v="0"/>
    <n v="0"/>
    <n v="0"/>
    <n v="0"/>
    <n v="21.91"/>
  </r>
  <r>
    <n v="9124328"/>
    <s v="N"/>
    <n v="21338332"/>
    <s v="3000005123040013"/>
    <s v="CIVIL"/>
    <d v="2023-06-27T00:00:00"/>
    <d v="2023-07-06T19:21:01"/>
    <m/>
    <d v="2023-07-06T00:00:00"/>
    <n v="636"/>
    <n v="16940"/>
    <s v="9124328"/>
    <s v="9124328"/>
    <m/>
    <m/>
    <n v="22771780"/>
    <m/>
    <m/>
    <m/>
    <s v="SOLFIN"/>
    <s v="SOLFIN"/>
    <s v="CCMS"/>
    <n v="21338332"/>
    <n v="4987.69"/>
    <m/>
    <s v="N"/>
    <n v="12"/>
    <d v="2023-07-06T19:21:20"/>
    <s v="Y"/>
    <s v="Hearing Unit 1.01 - 2.30 Hours"/>
    <s v="Public Law Children"/>
    <s v="Advocacy"/>
    <s v="RH"/>
    <s v="Y"/>
    <n v="238.46"/>
    <n v="47.69"/>
    <x v="4"/>
    <s v="VALIDATED"/>
    <n v="1"/>
    <s v="01.11.80.308.6100.0000"/>
    <n v="238.46"/>
    <s v="11"/>
    <s v="6100"/>
    <n v="3204.77"/>
    <n v="238.46"/>
    <s v="CREDITOR"/>
    <n v="0"/>
    <n v="0"/>
    <n v="0"/>
    <n v="0"/>
    <n v="238.46"/>
  </r>
  <r>
    <n v="9864254"/>
    <s v="N"/>
    <n v="21330961"/>
    <s v="3000005750570013"/>
    <s v="CIVIL"/>
    <d v="2023-06-24T00:00:00"/>
    <d v="2023-07-05T19:01:47"/>
    <m/>
    <d v="2023-07-05T00:00:00"/>
    <n v="636"/>
    <n v="16940"/>
    <s v="9864254"/>
    <s v="9864254"/>
    <m/>
    <m/>
    <n v="22756334"/>
    <m/>
    <m/>
    <m/>
    <s v="SOLFIN"/>
    <s v="SOLFIN"/>
    <s v="CCMS"/>
    <n v="21330961"/>
    <n v="14314.05"/>
    <m/>
    <s v="N"/>
    <n v="8"/>
    <d v="2023-07-05T19:02:00"/>
    <s v="N"/>
    <s v="Solicitors Fixed Fee"/>
    <s v="Public Law Children"/>
    <s v="Profit Cost"/>
    <s v="KM"/>
    <s v="N"/>
    <n v="0"/>
    <n v="0"/>
    <x v="6"/>
    <s v="VALIDATED"/>
    <n v="1"/>
    <s v="01.11.80.308.6100.0000"/>
    <n v="0"/>
    <s v="11"/>
    <s v="6100"/>
    <n v="3204.77"/>
    <n v="0"/>
    <s v="CREDITOR"/>
    <n v="0"/>
    <n v="0"/>
    <n v="0"/>
    <n v="0"/>
    <n v="0"/>
  </r>
  <r>
    <n v="9867407"/>
    <s v="N"/>
    <n v="21363311"/>
    <s v="3000005778270005"/>
    <s v="CIVIL"/>
    <d v="2023-06-29T00:00:00"/>
    <d v="2023-07-12T19:01:49"/>
    <m/>
    <d v="2023-07-12T00:00:00"/>
    <n v="636"/>
    <n v="16940"/>
    <s v="9867407"/>
    <s v="9867407"/>
    <m/>
    <m/>
    <n v="22788034"/>
    <m/>
    <m/>
    <m/>
    <s v="SOLFIN"/>
    <s v="SOLFIN"/>
    <s v="CCMS"/>
    <n v="21363311"/>
    <n v="2992.29"/>
    <m/>
    <s v="N"/>
    <n v="7"/>
    <d v="2023-07-12T19:01:59"/>
    <s v="Y"/>
    <s v="Preparation - drafting notice(s)"/>
    <s v="Prescribed Hourly Rates"/>
    <s v="Profit Cost"/>
    <s v="SH"/>
    <s v="Y"/>
    <n v="26.3"/>
    <n v="5.26"/>
    <x v="0"/>
    <s v="VALIDATED"/>
    <n v="1"/>
    <s v="01.11.80.305.6100.0000"/>
    <n v="26.3"/>
    <s v="11"/>
    <s v="6100"/>
    <n v="3204.77"/>
    <n v="26.3"/>
    <s v="CREDITOR"/>
    <n v="0"/>
    <n v="0"/>
    <n v="0"/>
    <n v="0"/>
    <n v="26.3"/>
  </r>
  <r>
    <n v="9341325"/>
    <s v="N"/>
    <n v="21327490"/>
    <s v="3000005310670009"/>
    <s v="CIVIL"/>
    <d v="2023-06-24T00:00:00"/>
    <d v="2023-07-04T19:00:44"/>
    <m/>
    <d v="2023-07-04T00:00:00"/>
    <n v="636"/>
    <n v="16940"/>
    <s v="9341325"/>
    <s v="9341325"/>
    <m/>
    <m/>
    <n v="22756400"/>
    <m/>
    <m/>
    <m/>
    <s v="SOLFIN"/>
    <s v="SOLFIN"/>
    <s v="CCMS"/>
    <n v="21327490"/>
    <n v="7133.48"/>
    <m/>
    <s v="N"/>
    <n v="2"/>
    <d v="2023-07-04T19:00:48"/>
    <s v="Y"/>
    <s v="Expert - Other"/>
    <s v="Public Law Children"/>
    <s v="Expert Disbursement"/>
    <s v="Lextox"/>
    <s v="Y"/>
    <n v="181.25"/>
    <n v="36.25"/>
    <x v="1"/>
    <s v="VALIDATED"/>
    <n v="1"/>
    <s v="01.11.80.308.6300.0000"/>
    <n v="181.25"/>
    <s v="11"/>
    <s v="6300"/>
    <n v="3204.77"/>
    <n v="181.25"/>
    <s v="CREDITOR"/>
    <n v="0"/>
    <n v="0"/>
    <n v="0"/>
    <n v="0"/>
    <n v="181.25"/>
  </r>
  <r>
    <n v="9124328"/>
    <s v="N"/>
    <n v="21338332"/>
    <s v="3000005123040013"/>
    <s v="CIVIL"/>
    <d v="2023-06-27T00:00:00"/>
    <d v="2023-07-06T19:21:01"/>
    <m/>
    <d v="2023-07-06T00:00:00"/>
    <n v="636"/>
    <n v="16940"/>
    <s v="9124328"/>
    <s v="9124328"/>
    <m/>
    <m/>
    <n v="22771780"/>
    <m/>
    <m/>
    <m/>
    <s v="SOLFIN"/>
    <s v="SOLFIN"/>
    <s v="CCMS"/>
    <n v="21338332"/>
    <n v="4987.69"/>
    <m/>
    <s v="N"/>
    <n v="11"/>
    <d v="2023-07-06T19:21:20"/>
    <s v="Y"/>
    <s v="Solicitor Travel Expenses"/>
    <s v="Public Law Children"/>
    <s v="Non Expert Disbursement"/>
    <s v="TM"/>
    <s v="Y"/>
    <n v="38.7"/>
    <n v="7.74"/>
    <x v="4"/>
    <s v="VALIDATED"/>
    <n v="1"/>
    <s v="01.11.80.308.6300.0000"/>
    <n v="38.7"/>
    <s v="11"/>
    <s v="6300"/>
    <n v="3204.77"/>
    <n v="38.7"/>
    <s v="CREDITOR"/>
    <n v="0"/>
    <n v="0"/>
    <n v="0"/>
    <n v="0"/>
    <n v="38.7"/>
  </r>
  <r>
    <n v="9357342"/>
    <s v="N"/>
    <n v="21330493"/>
    <s v="3000005320400010"/>
    <s v="CIVIL"/>
    <d v="2023-06-22T00:00:00"/>
    <d v="2023-07-05T19:01:47"/>
    <m/>
    <d v="2023-07-05T00:00:00"/>
    <n v="636"/>
    <n v="16940"/>
    <s v="9357342"/>
    <s v="9357342"/>
    <m/>
    <m/>
    <n v="22746704"/>
    <m/>
    <m/>
    <m/>
    <s v="SOLFIN"/>
    <s v="SOLFIN"/>
    <s v="CCMS"/>
    <n v="21330493"/>
    <n v="7750.64"/>
    <m/>
    <s v="N"/>
    <n v="5"/>
    <d v="2023-07-05T19:01:50"/>
    <s v="Y"/>
    <s v="Exceptional Travel"/>
    <s v="Public Law Children"/>
    <s v="Advocacy"/>
    <s v="KM"/>
    <s v="Y"/>
    <n v="32.04"/>
    <n v="6.41"/>
    <x v="6"/>
    <s v="VALIDATED"/>
    <n v="1"/>
    <s v="01.11.80.308.6100.0000"/>
    <n v="32.04"/>
    <s v="11"/>
    <s v="6100"/>
    <n v="3204.77"/>
    <n v="32.04"/>
    <s v="CREDITOR"/>
    <n v="0"/>
    <n v="0"/>
    <n v="0"/>
    <n v="0"/>
    <n v="32.04"/>
  </r>
  <r>
    <n v="9357342"/>
    <s v="N"/>
    <n v="21330493"/>
    <s v="3000005320400010"/>
    <s v="CIVIL"/>
    <d v="2023-06-22T00:00:00"/>
    <d v="2023-07-05T19:01:47"/>
    <m/>
    <d v="2023-07-05T00:00:00"/>
    <n v="636"/>
    <n v="16940"/>
    <s v="9357342"/>
    <s v="9357342"/>
    <m/>
    <m/>
    <n v="22746704"/>
    <m/>
    <m/>
    <m/>
    <s v="SOLFIN"/>
    <s v="SOLFIN"/>
    <s v="CCMS"/>
    <n v="21330493"/>
    <n v="7750.64"/>
    <m/>
    <s v="N"/>
    <n v="15"/>
    <d v="2023-07-05T19:01:50"/>
    <s v="Y"/>
    <s v="Psychologist"/>
    <s v="Public Law Children"/>
    <s v="Expert Disbursement"/>
    <s v="Foresight Clinical Services Ltd Inv 11464"/>
    <s v="Y"/>
    <n v="540"/>
    <n v="108"/>
    <x v="6"/>
    <s v="VALIDATED"/>
    <n v="1"/>
    <s v="01.11.80.308.6300.0000"/>
    <n v="540"/>
    <s v="11"/>
    <s v="6300"/>
    <n v="3204.77"/>
    <n v="540"/>
    <s v="CREDITOR"/>
    <n v="0"/>
    <n v="0"/>
    <n v="0"/>
    <n v="0"/>
    <n v="540"/>
  </r>
  <r>
    <n v="59748703"/>
    <s v="N"/>
    <n v="21320166"/>
    <s v="3000014126820009"/>
    <s v="CIVIL"/>
    <d v="2023-06-27T00:00:00"/>
    <d v="2023-07-03T19:04:24"/>
    <m/>
    <d v="2023-07-03T00:00:00"/>
    <n v="636"/>
    <n v="16940"/>
    <s v="59748703"/>
    <s v="59748703"/>
    <m/>
    <m/>
    <n v="22770778"/>
    <m/>
    <m/>
    <m/>
    <s v="SOLFIN"/>
    <s v="SOLFIN"/>
    <s v="CCMS"/>
    <n v="21320166"/>
    <n v="14172.6"/>
    <m/>
    <s v="N"/>
    <n v="6"/>
    <d v="2023-07-03T19:04:29"/>
    <s v="Y"/>
    <s v="Advocates Meeting (Events Model)"/>
    <s v="VHCC"/>
    <s v="Profit Cost"/>
    <s v="km"/>
    <s v="Y"/>
    <n v="707"/>
    <n v="141.4"/>
    <x v="3"/>
    <s v="VALIDATED"/>
    <n v="1"/>
    <s v="01.11.80.308.6100.0000"/>
    <n v="707"/>
    <s v="11"/>
    <s v="6100"/>
    <n v="3204.77"/>
    <n v="707"/>
    <s v="CREDITOR"/>
    <n v="0"/>
    <n v="0"/>
    <n v="0"/>
    <n v="0"/>
    <n v="707"/>
  </r>
  <r>
    <n v="9585209"/>
    <s v="N"/>
    <n v="21344099"/>
    <s v="3000005525070006"/>
    <s v="CIVIL"/>
    <d v="2023-06-28T00:00:00"/>
    <d v="2023-07-07T19:03:00"/>
    <m/>
    <d v="2023-07-07T00:00:00"/>
    <n v="636"/>
    <n v="16940"/>
    <s v="9585209"/>
    <s v="9585209"/>
    <m/>
    <m/>
    <n v="22778050"/>
    <m/>
    <m/>
    <m/>
    <s v="SOLFIN"/>
    <s v="SOLFIN"/>
    <s v="CCMS"/>
    <n v="21344099"/>
    <n v="7744.01"/>
    <m/>
    <s v="N"/>
    <n v="5"/>
    <d v="2023-07-07T19:03:23"/>
    <s v="Y"/>
    <s v="Child psychologist"/>
    <s v="Public Law Children"/>
    <s v="Expert Disbursement"/>
    <s v="Cart Brown Dr Rainbird"/>
    <s v="Y"/>
    <n v="2198.24"/>
    <n v="439.65"/>
    <x v="9"/>
    <s v="VALIDATED"/>
    <n v="1"/>
    <s v="01.11.80.308.6300.0000"/>
    <n v="2198.24"/>
    <s v="11"/>
    <s v="6300"/>
    <n v="3204.77"/>
    <n v="2198.24"/>
    <s v="CREDITOR"/>
    <n v="0"/>
    <n v="0"/>
    <n v="0"/>
    <n v="0"/>
    <n v="2198.24"/>
  </r>
  <r>
    <n v="9124328"/>
    <s v="N"/>
    <n v="21338332"/>
    <s v="3000005123040013"/>
    <s v="CIVIL"/>
    <d v="2023-06-27T00:00:00"/>
    <d v="2023-07-06T19:21:01"/>
    <m/>
    <d v="2023-07-06T00:00:00"/>
    <n v="636"/>
    <n v="16940"/>
    <s v="9124328"/>
    <s v="9124328"/>
    <m/>
    <m/>
    <n v="22771780"/>
    <m/>
    <m/>
    <m/>
    <s v="SOLFIN"/>
    <s v="SOLFIN"/>
    <s v="CCMS"/>
    <n v="21338332"/>
    <n v="4987.69"/>
    <m/>
    <s v="N"/>
    <n v="5"/>
    <d v="2023-07-06T19:21:20"/>
    <s v="Y"/>
    <s v="Interim Hearing Court Bundle/Advoca"/>
    <s v="Public Law Children"/>
    <s v="Advocacy"/>
    <s v="TM"/>
    <s v="Y"/>
    <n v="59.4"/>
    <n v="11.88"/>
    <x v="4"/>
    <s v="VALIDATED"/>
    <n v="1"/>
    <s v="01.11.80.308.6100.0000"/>
    <n v="59.4"/>
    <s v="11"/>
    <s v="6100"/>
    <n v="3204.77"/>
    <n v="59.4"/>
    <s v="CREDITOR"/>
    <n v="0"/>
    <n v="0"/>
    <n v="0"/>
    <n v="0"/>
    <n v="59.4"/>
  </r>
  <r>
    <n v="9357342"/>
    <s v="N"/>
    <n v="21330493"/>
    <s v="3000005320400010"/>
    <s v="CIVIL"/>
    <d v="2023-06-22T00:00:00"/>
    <d v="2023-07-05T19:01:47"/>
    <m/>
    <d v="2023-07-05T00:00:00"/>
    <n v="636"/>
    <n v="16940"/>
    <s v="9357342"/>
    <s v="9357342"/>
    <m/>
    <m/>
    <n v="22746704"/>
    <m/>
    <m/>
    <m/>
    <s v="SOLFIN"/>
    <s v="SOLFIN"/>
    <s v="CCMS"/>
    <n v="21330493"/>
    <n v="7750.64"/>
    <m/>
    <s v="N"/>
    <n v="14"/>
    <d v="2023-07-05T19:01:50"/>
    <s v="Y"/>
    <s v="Solicitor Travel Mileage"/>
    <s v="Public Law Children"/>
    <s v="Non Expert Disbursement"/>
    <s v="KM"/>
    <s v="Y"/>
    <n v="36"/>
    <n v="7.2"/>
    <x v="6"/>
    <s v="VALIDATED"/>
    <n v="1"/>
    <s v="01.11.80.308.6300.0000"/>
    <n v="36"/>
    <s v="11"/>
    <s v="6300"/>
    <n v="3204.77"/>
    <n v="36"/>
    <s v="CREDITOR"/>
    <n v="0"/>
    <n v="0"/>
    <n v="0"/>
    <n v="0"/>
    <n v="36"/>
  </r>
  <r>
    <n v="9341325"/>
    <s v="N"/>
    <n v="21327490"/>
    <s v="3000005310670009"/>
    <s v="CIVIL"/>
    <d v="2023-06-24T00:00:00"/>
    <d v="2023-07-04T19:00:44"/>
    <m/>
    <d v="2023-07-04T00:00:00"/>
    <n v="636"/>
    <n v="16940"/>
    <s v="9341325"/>
    <s v="9341325"/>
    <m/>
    <m/>
    <n v="22756400"/>
    <m/>
    <m/>
    <m/>
    <s v="SOLFIN"/>
    <s v="SOLFIN"/>
    <s v="CCMS"/>
    <n v="21327490"/>
    <n v="7133.48"/>
    <m/>
    <s v="N"/>
    <n v="6"/>
    <d v="2023-07-04T19:00:48"/>
    <s v="Y"/>
    <s v="Psychologist"/>
    <s v="Public Law Children"/>
    <s v="Expert Disbursement"/>
    <s v="NBA Solutions"/>
    <s v="Y"/>
    <n v="597.9"/>
    <n v="119.58"/>
    <x v="1"/>
    <s v="VALIDATED"/>
    <n v="1"/>
    <s v="01.11.80.308.6300.0000"/>
    <n v="597.9"/>
    <s v="11"/>
    <s v="6300"/>
    <n v="3204.77"/>
    <n v="597.9"/>
    <s v="CREDITOR"/>
    <n v="0"/>
    <n v="0"/>
    <n v="0"/>
    <n v="0"/>
    <n v="597.9"/>
  </r>
  <r>
    <n v="9585209"/>
    <s v="N"/>
    <n v="21344099"/>
    <s v="3000005525070006"/>
    <s v="CIVIL"/>
    <d v="2023-06-28T00:00:00"/>
    <d v="2023-07-07T19:03:00"/>
    <m/>
    <d v="2023-07-07T00:00:00"/>
    <n v="636"/>
    <n v="16940"/>
    <s v="9585209"/>
    <s v="9585209"/>
    <m/>
    <m/>
    <n v="22778050"/>
    <m/>
    <m/>
    <m/>
    <s v="SOLFIN"/>
    <s v="SOLFIN"/>
    <s v="CCMS"/>
    <n v="21344099"/>
    <n v="7744.01"/>
    <m/>
    <s v="N"/>
    <n v="2"/>
    <d v="2023-07-07T19:03:23"/>
    <s v="Y"/>
    <s v="Interim Hearing Court Bundle/Advoca"/>
    <s v="Public Law Children"/>
    <s v="Advocacy"/>
    <s v="RS"/>
    <s v="Y"/>
    <n v="59.4"/>
    <n v="11.88"/>
    <x v="9"/>
    <s v="VALIDATED"/>
    <n v="1"/>
    <s v="01.11.80.308.6100.0000"/>
    <n v="59.4"/>
    <s v="11"/>
    <s v="6100"/>
    <n v="3204.77"/>
    <n v="59.4"/>
    <s v="CREDITOR"/>
    <n v="0"/>
    <n v="0"/>
    <n v="0"/>
    <n v="0"/>
    <n v="59.4"/>
  </r>
  <r>
    <n v="9341325"/>
    <s v="N"/>
    <n v="21327490"/>
    <s v="3000005310670009"/>
    <s v="CIVIL"/>
    <d v="2023-06-24T00:00:00"/>
    <d v="2023-07-04T19:00:44"/>
    <m/>
    <d v="2023-07-04T00:00:00"/>
    <n v="636"/>
    <n v="16940"/>
    <s v="9341325"/>
    <s v="9341325"/>
    <m/>
    <m/>
    <n v="22756400"/>
    <m/>
    <m/>
    <m/>
    <s v="SOLFIN"/>
    <s v="SOLFIN"/>
    <s v="CCMS"/>
    <n v="21327490"/>
    <n v="7133.48"/>
    <m/>
    <s v="N"/>
    <n v="10"/>
    <d v="2023-07-04T19:00:48"/>
    <s v="Y"/>
    <s v="Hearing Unit 2.31 - 5.00 Hours"/>
    <s v="Public Law Children"/>
    <s v="Advocacy"/>
    <s v="RS"/>
    <s v="Y"/>
    <n v="476.92"/>
    <n v="95.38"/>
    <x v="1"/>
    <s v="VALIDATED"/>
    <n v="1"/>
    <s v="01.11.80.308.6100.0000"/>
    <n v="476.92"/>
    <s v="11"/>
    <s v="6100"/>
    <n v="3204.77"/>
    <n v="476.92"/>
    <s v="CREDITOR"/>
    <n v="0"/>
    <n v="0"/>
    <n v="0"/>
    <n v="0"/>
    <n v="476.92"/>
  </r>
  <r>
    <n v="59748703"/>
    <s v="N"/>
    <n v="21320166"/>
    <s v="3000014126820009"/>
    <s v="CIVIL"/>
    <d v="2023-06-27T00:00:00"/>
    <d v="2023-07-03T19:04:24"/>
    <m/>
    <d v="2023-07-03T00:00:00"/>
    <n v="636"/>
    <n v="16940"/>
    <s v="59748703"/>
    <s v="59748703"/>
    <m/>
    <m/>
    <n v="22770778"/>
    <m/>
    <m/>
    <m/>
    <s v="SOLFIN"/>
    <s v="SOLFIN"/>
    <s v="CCMS"/>
    <n v="21320166"/>
    <n v="14172.6"/>
    <m/>
    <s v="N"/>
    <n v="5"/>
    <d v="2023-07-03T19:04:29"/>
    <s v="Y"/>
    <s v="Interim/Directions/Review Hearing ("/>
    <s v="VHCC"/>
    <s v="Profit Cost"/>
    <s v="km"/>
    <s v="Y"/>
    <n v="707"/>
    <n v="141.4"/>
    <x v="3"/>
    <s v="VALIDATED"/>
    <n v="1"/>
    <s v="01.11.80.308.6100.0000"/>
    <n v="707"/>
    <s v="11"/>
    <s v="6100"/>
    <n v="3204.77"/>
    <n v="707"/>
    <s v="CREDITOR"/>
    <n v="0"/>
    <n v="0"/>
    <n v="0"/>
    <n v="0"/>
    <n v="707"/>
  </r>
  <r>
    <n v="59748703"/>
    <s v="N"/>
    <n v="21320166"/>
    <s v="3000014126820009"/>
    <s v="CIVIL"/>
    <d v="2023-06-27T00:00:00"/>
    <d v="2023-07-03T19:04:24"/>
    <m/>
    <d v="2023-07-03T00:00:00"/>
    <n v="636"/>
    <n v="16940"/>
    <s v="59748703"/>
    <s v="59748703"/>
    <m/>
    <m/>
    <n v="22770778"/>
    <m/>
    <m/>
    <m/>
    <s v="SOLFIN"/>
    <s v="SOLFIN"/>
    <s v="CCMS"/>
    <n v="21320166"/>
    <n v="14172.6"/>
    <m/>
    <s v="N"/>
    <n v="8"/>
    <d v="2023-07-03T19:04:29"/>
    <s v="Y"/>
    <s v="Interim/Directions/Review Hearing ("/>
    <s v="VHCC"/>
    <s v="Profit Cost"/>
    <s v="km"/>
    <s v="Y"/>
    <n v="707"/>
    <n v="141.4"/>
    <x v="3"/>
    <s v="VALIDATED"/>
    <n v="1"/>
    <s v="01.11.80.308.6100.0000"/>
    <n v="707"/>
    <s v="11"/>
    <s v="6100"/>
    <n v="3204.77"/>
    <n v="707"/>
    <s v="CREDITOR"/>
    <n v="0"/>
    <n v="0"/>
    <n v="0"/>
    <n v="0"/>
    <n v="707"/>
  </r>
  <r>
    <n v="9357342"/>
    <s v="N"/>
    <n v="21330493"/>
    <s v="3000005320400010"/>
    <s v="CIVIL"/>
    <d v="2023-06-22T00:00:00"/>
    <d v="2023-07-05T19:01:47"/>
    <m/>
    <d v="2023-07-05T00:00:00"/>
    <n v="636"/>
    <n v="16940"/>
    <s v="9357342"/>
    <s v="9357342"/>
    <m/>
    <m/>
    <n v="22746704"/>
    <m/>
    <m/>
    <m/>
    <s v="SOLFIN"/>
    <s v="SOLFIN"/>
    <s v="CCMS"/>
    <n v="21330493"/>
    <n v="7750.64"/>
    <m/>
    <s v="N"/>
    <n v="9"/>
    <d v="2023-07-05T19:01:50"/>
    <s v="Y"/>
    <s v="Solicitor Travel Expenses"/>
    <s v="Public Law Children"/>
    <s v="Non Expert Disbursement"/>
    <s v="EY"/>
    <s v="Y"/>
    <n v="6.4"/>
    <n v="1.28"/>
    <x v="6"/>
    <s v="VALIDATED"/>
    <n v="1"/>
    <s v="01.11.80.308.6300.0000"/>
    <n v="6.4"/>
    <s v="11"/>
    <s v="6300"/>
    <n v="3204.77"/>
    <n v="6.4"/>
    <s v="CREDITOR"/>
    <n v="0"/>
    <n v="0"/>
    <n v="0"/>
    <n v="0"/>
    <n v="6.4"/>
  </r>
  <r>
    <n v="9585209"/>
    <s v="N"/>
    <n v="21344099"/>
    <s v="3000005525070006"/>
    <s v="CIVIL"/>
    <d v="2023-06-28T00:00:00"/>
    <d v="2023-07-07T19:03:00"/>
    <m/>
    <d v="2023-07-07T00:00:00"/>
    <n v="636"/>
    <n v="16940"/>
    <s v="9585209"/>
    <s v="9585209"/>
    <m/>
    <m/>
    <n v="22778050"/>
    <m/>
    <m/>
    <m/>
    <s v="SOLFIN"/>
    <s v="SOLFIN"/>
    <s v="CCMS"/>
    <n v="21344099"/>
    <n v="7744.01"/>
    <m/>
    <s v="N"/>
    <n v="6"/>
    <d v="2023-07-07T19:03:23"/>
    <s v="Y"/>
    <s v="Final Hearing - 1 Day"/>
    <s v="Public Law Children"/>
    <s v="Advocacy"/>
    <s v="TM"/>
    <s v="Y"/>
    <n v="556.88"/>
    <n v="111.38"/>
    <x v="9"/>
    <s v="VALIDATED"/>
    <n v="1"/>
    <s v="01.11.80.308.6100.0000"/>
    <n v="556.88"/>
    <s v="11"/>
    <s v="6100"/>
    <n v="3204.77"/>
    <n v="556.88"/>
    <s v="CREDITOR"/>
    <n v="0"/>
    <n v="0"/>
    <n v="0"/>
    <n v="0"/>
    <n v="556.88"/>
  </r>
  <r>
    <n v="9864254"/>
    <s v="N"/>
    <n v="21330961"/>
    <s v="3000005750570013"/>
    <s v="CIVIL"/>
    <d v="2023-06-24T00:00:00"/>
    <d v="2023-07-05T19:01:47"/>
    <m/>
    <d v="2023-07-05T00:00:00"/>
    <n v="636"/>
    <n v="16940"/>
    <s v="9864254"/>
    <s v="9864254"/>
    <m/>
    <m/>
    <n v="22756334"/>
    <m/>
    <m/>
    <m/>
    <s v="SOLFIN"/>
    <s v="SOLFIN"/>
    <s v="CCMS"/>
    <n v="21330961"/>
    <n v="14314.05"/>
    <m/>
    <s v="N"/>
    <n v="2"/>
    <d v="2023-07-05T19:02:00"/>
    <s v="Y"/>
    <s v="Disbursements (Summary)"/>
    <s v="Care Remuneration Hourly Rates"/>
    <s v="Non Expert Disbursement"/>
    <s v="KM"/>
    <s v="Y"/>
    <n v="772.2"/>
    <n v="154.44"/>
    <x v="6"/>
    <s v="VALIDATED"/>
    <n v="1"/>
    <s v="01.11.80.308.6300.0000"/>
    <n v="772.2"/>
    <s v="11"/>
    <s v="6300"/>
    <n v="3204.77"/>
    <n v="772.2"/>
    <s v="CREDITOR"/>
    <n v="0"/>
    <n v="0"/>
    <n v="0"/>
    <n v="0"/>
    <n v="772.2"/>
  </r>
  <r>
    <n v="9864254"/>
    <s v="N"/>
    <n v="21330961"/>
    <s v="3000005750570013"/>
    <s v="CIVIL"/>
    <d v="2023-06-24T00:00:00"/>
    <d v="2023-07-05T19:01:47"/>
    <m/>
    <d v="2023-07-05T00:00:00"/>
    <n v="636"/>
    <n v="16940"/>
    <s v="9864254"/>
    <s v="9864254"/>
    <m/>
    <m/>
    <n v="22756334"/>
    <m/>
    <m/>
    <m/>
    <s v="SOLFIN"/>
    <s v="SOLFIN"/>
    <s v="CCMS"/>
    <n v="21330961"/>
    <n v="14314.05"/>
    <m/>
    <s v="N"/>
    <n v="3"/>
    <d v="2023-07-05T19:02:00"/>
    <s v="Y"/>
    <s v="Hearing Unit 2.31 - 5.00 Hours"/>
    <s v="Public Law Children"/>
    <s v="Advocacy"/>
    <s v="KM"/>
    <s v="Y"/>
    <n v="476.92"/>
    <n v="95.38"/>
    <x v="6"/>
    <s v="VALIDATED"/>
    <n v="1"/>
    <s v="01.11.80.308.6100.0000"/>
    <n v="476.92"/>
    <s v="11"/>
    <s v="6100"/>
    <n v="3204.77"/>
    <n v="476.92"/>
    <s v="CREDITOR"/>
    <n v="0"/>
    <n v="0"/>
    <n v="0"/>
    <n v="0"/>
    <n v="476.92"/>
  </r>
  <r>
    <n v="59748703"/>
    <s v="N"/>
    <n v="21320166"/>
    <s v="3000014126820009"/>
    <s v="CIVIL"/>
    <d v="2023-06-27T00:00:00"/>
    <d v="2023-07-03T19:04:24"/>
    <m/>
    <d v="2023-07-03T00:00:00"/>
    <n v="636"/>
    <n v="16940"/>
    <s v="59748703"/>
    <s v="59748703"/>
    <m/>
    <m/>
    <n v="22770778"/>
    <m/>
    <m/>
    <m/>
    <s v="SOLFIN"/>
    <s v="SOLFIN"/>
    <s v="CCMS"/>
    <n v="21320166"/>
    <n v="14172.6"/>
    <m/>
    <s v="N"/>
    <n v="1"/>
    <d v="2023-07-03T19:04:29"/>
    <s v="Y"/>
    <s v="Interim/Directions/Review Hearing ("/>
    <s v="VHCC"/>
    <s v="Profit Cost"/>
    <s v="km"/>
    <s v="Y"/>
    <n v="707"/>
    <n v="141.4"/>
    <x v="3"/>
    <s v="VALIDATED"/>
    <n v="1"/>
    <s v="01.11.80.308.6100.0000"/>
    <n v="707"/>
    <s v="11"/>
    <s v="6100"/>
    <n v="3204.77"/>
    <n v="707"/>
    <s v="CREDITOR"/>
    <n v="0"/>
    <n v="0"/>
    <n v="0"/>
    <n v="0"/>
    <n v="707"/>
  </r>
  <r>
    <n v="9867407"/>
    <s v="N"/>
    <n v="21363311"/>
    <s v="3000005778270005"/>
    <s v="CIVIL"/>
    <d v="2023-06-29T00:00:00"/>
    <d v="2023-07-12T19:01:49"/>
    <m/>
    <d v="2023-07-12T00:00:00"/>
    <n v="636"/>
    <n v="16940"/>
    <s v="9867407"/>
    <s v="9867407"/>
    <m/>
    <m/>
    <n v="22788034"/>
    <m/>
    <m/>
    <m/>
    <s v="SOLFIN"/>
    <s v="SOLFIN"/>
    <s v="CCMS"/>
    <n v="21363311"/>
    <n v="2992.29"/>
    <m/>
    <s v="N"/>
    <n v="16"/>
    <d v="2023-07-12T19:01:59"/>
    <s v="Y"/>
    <s v="Exceptional Travel"/>
    <s v="Other Public Law Children"/>
    <s v="Advocacy"/>
    <s v="RS"/>
    <s v="Y"/>
    <n v="32.04"/>
    <n v="6.41"/>
    <x v="0"/>
    <s v="VALIDATED"/>
    <n v="1"/>
    <s v="01.11.80.305.6100.0000"/>
    <n v="32.04"/>
    <s v="11"/>
    <s v="6100"/>
    <n v="3204.77"/>
    <n v="32.04"/>
    <s v="CREDITOR"/>
    <n v="0"/>
    <n v="0"/>
    <n v="0"/>
    <n v="0"/>
    <n v="32.04"/>
  </r>
  <r>
    <n v="9341325"/>
    <s v="N"/>
    <n v="21327490"/>
    <s v="3000005310670009"/>
    <s v="CIVIL"/>
    <d v="2023-06-24T00:00:00"/>
    <d v="2023-07-04T19:00:44"/>
    <m/>
    <d v="2023-07-04T00:00:00"/>
    <n v="636"/>
    <n v="16940"/>
    <s v="9341325"/>
    <s v="9341325"/>
    <m/>
    <m/>
    <n v="22756400"/>
    <m/>
    <m/>
    <m/>
    <s v="SOLFIN"/>
    <s v="SOLFIN"/>
    <s v="CCMS"/>
    <n v="21327490"/>
    <n v="7133.48"/>
    <m/>
    <s v="N"/>
    <n v="5"/>
    <d v="2023-07-04T19:00:48"/>
    <s v="Y"/>
    <s v="Solicitor Travel Mileage"/>
    <s v="Public Law Children"/>
    <s v="Non Expert Disbursement"/>
    <s v="RS"/>
    <s v="Y"/>
    <n v="78.3"/>
    <n v="15.66"/>
    <x v="1"/>
    <s v="VALIDATED"/>
    <n v="1"/>
    <s v="01.11.80.308.6300.0000"/>
    <n v="78.3"/>
    <s v="11"/>
    <s v="6300"/>
    <n v="3204.77"/>
    <n v="78.3"/>
    <s v="CREDITOR"/>
    <n v="0"/>
    <n v="0"/>
    <n v="0"/>
    <n v="0"/>
    <n v="78.3"/>
  </r>
  <r>
    <n v="10136000"/>
    <s v="N"/>
    <n v="21328038"/>
    <s v="3000006015340004"/>
    <s v="CIVIL"/>
    <d v="2023-06-25T00:00:00"/>
    <d v="2023-07-04T19:00:44"/>
    <m/>
    <d v="2023-07-04T00:00:00"/>
    <n v="637"/>
    <n v="16940"/>
    <s v="10136000"/>
    <s v="10136000"/>
    <m/>
    <m/>
    <n v="22756896"/>
    <m/>
    <m/>
    <m/>
    <s v="SOLFIN"/>
    <s v="SOLFIN"/>
    <s v="CCMS"/>
    <n v="21328038"/>
    <n v="1765.23"/>
    <m/>
    <s v="N"/>
    <n v="5"/>
    <d v="2023-07-04T19:01:02"/>
    <s v="Y"/>
    <s v="Hearing Unit 1.01 - 2.30 Hours"/>
    <s v="Domestic Abuse"/>
    <s v="Advocacy"/>
    <s v="SW"/>
    <s v="Y"/>
    <n v="203.76"/>
    <n v="40.75"/>
    <x v="1"/>
    <s v="VALIDATED"/>
    <n v="1"/>
    <s v="01.11.80.302.6100.0000"/>
    <n v="203.76"/>
    <s v="11"/>
    <s v="6100"/>
    <n v="7139.1"/>
    <n v="203.76"/>
    <s v="CREDITOR"/>
    <n v="0"/>
    <n v="0"/>
    <n v="0"/>
    <n v="0"/>
    <n v="203.76"/>
  </r>
  <r>
    <n v="60701525"/>
    <s v="N"/>
    <n v="21350020"/>
    <s v="3000014948210012"/>
    <s v="CIVIL"/>
    <d v="2023-06-30T00:00:00"/>
    <d v="2023-07-10T19:01:40"/>
    <m/>
    <d v="2023-07-10T00:00:00"/>
    <n v="637"/>
    <n v="16940"/>
    <s v="60701525"/>
    <s v="60701525"/>
    <m/>
    <m/>
    <n v="22794230"/>
    <m/>
    <m/>
    <m/>
    <s v="SOLFIN"/>
    <s v="SOLFIN"/>
    <s v="CCMS"/>
    <n v="21350020"/>
    <n v="11951.18"/>
    <m/>
    <s v="N"/>
    <n v="8"/>
    <d v="2023-07-10T19:02:09"/>
    <s v="Y"/>
    <s v="Hearing Unit 2.31 - 5.00 Hours"/>
    <s v="Public Law Children"/>
    <s v="Advocacy"/>
    <s v="ey"/>
    <s v="Y"/>
    <n v="476.92"/>
    <n v="95.38"/>
    <x v="2"/>
    <s v="VALIDATED"/>
    <n v="1"/>
    <s v="01.11.80.308.6100.0000"/>
    <n v="476.92"/>
    <s v="11"/>
    <s v="6100"/>
    <n v="7139.1"/>
    <n v="476.92"/>
    <s v="CREDITOR"/>
    <n v="0"/>
    <n v="0"/>
    <n v="0"/>
    <n v="0"/>
    <n v="476.92"/>
  </r>
  <r>
    <n v="62425754"/>
    <s v="N"/>
    <n v="21321527"/>
    <s v="3000016395460001"/>
    <s v="CIVIL"/>
    <d v="2023-06-29T00:00:00"/>
    <d v="2023-07-03T19:05:17"/>
    <m/>
    <d v="2023-07-03T00:00:00"/>
    <n v="637"/>
    <n v="16940"/>
    <s v="62425754"/>
    <s v="62425754"/>
    <m/>
    <m/>
    <n v="22787344"/>
    <m/>
    <m/>
    <m/>
    <s v="SOLPOA"/>
    <s v="SOLPOA"/>
    <s v="CCMS"/>
    <n v="21321527"/>
    <n v="38.64"/>
    <m/>
    <s v="N"/>
    <n v="1"/>
    <d v="2023-07-03T19:05:19"/>
    <s v="N"/>
    <s v="Non Expert Disbursement"/>
    <s v="Non Expert Disbursement"/>
    <s v="Non Expert Disbursement"/>
    <s v="Sophie Webb"/>
    <s v="N"/>
    <n v="32.2"/>
    <n v="6.44"/>
    <x v="3"/>
    <s v="VALIDATED"/>
    <n v="1"/>
    <s v="01.11.80.308.2012.0000"/>
    <n v="32.2"/>
    <s v="11"/>
    <s v="2012"/>
    <n v="7139.1"/>
    <n v="32.2"/>
    <s v="CREDITOR"/>
    <n v="32.2"/>
    <n v="0"/>
    <n v="0"/>
    <n v="0"/>
    <n v="0"/>
  </r>
  <r>
    <n v="9312713"/>
    <s v="N"/>
    <n v="21395075"/>
    <s v="3000005284640007"/>
    <s v="CIVIL"/>
    <d v="2023-06-29T00:00:00"/>
    <d v="2023-07-19T19:02:01"/>
    <m/>
    <d v="2023-07-19T00:00:00"/>
    <n v="637"/>
    <n v="16940"/>
    <s v="9312713"/>
    <s v="9312713"/>
    <m/>
    <m/>
    <n v="22790482"/>
    <m/>
    <m/>
    <m/>
    <s v="SOLFIN"/>
    <s v="SOLFIN"/>
    <s v="CCMS"/>
    <n v="21395075"/>
    <n v="7519.1"/>
    <m/>
    <s v="N"/>
    <n v="12"/>
    <d v="2023-07-19T19:02:15"/>
    <s v="N"/>
    <s v="Level 3 &amp; Level 4 Fixed Fee"/>
    <s v="Private Law Children"/>
    <s v="Profit Cost"/>
    <s v="ZR"/>
    <s v="N"/>
    <n v="0"/>
    <n v="0"/>
    <x v="5"/>
    <s v="VALIDATED"/>
    <n v="1"/>
    <s v="01.11.80.307.6100.0000"/>
    <n v="0"/>
    <s v="11"/>
    <s v="6100"/>
    <n v="7139.1"/>
    <n v="0"/>
    <s v="CREDITOR"/>
    <n v="0"/>
    <n v="0"/>
    <n v="0"/>
    <n v="0"/>
    <n v="0"/>
  </r>
  <r>
    <n v="61605038"/>
    <s v="N"/>
    <n v="21330547"/>
    <s v="3000015681380003"/>
    <s v="CIVIL"/>
    <d v="2023-06-30T00:00:00"/>
    <d v="2023-07-05T19:01:47"/>
    <m/>
    <d v="2023-07-05T00:00:00"/>
    <n v="637"/>
    <n v="16940"/>
    <s v="61605038"/>
    <s v="61605038"/>
    <m/>
    <m/>
    <n v="22799724"/>
    <m/>
    <m/>
    <m/>
    <s v="SOLPOA"/>
    <s v="SOLPOA"/>
    <s v="CCMS"/>
    <n v="21330547"/>
    <n v="106.8"/>
    <m/>
    <s v="N"/>
    <n v="1"/>
    <d v="2023-07-05T19:01:51"/>
    <s v="N"/>
    <s v="Non Expert Disbursement - Private L"/>
    <s v="Non Expert Disbursement - Priv"/>
    <s v="Non Expert Disbursement"/>
    <s v="Matthew Pyke"/>
    <s v="N"/>
    <n v="106.8"/>
    <n v="0"/>
    <x v="6"/>
    <s v="VALIDATED"/>
    <n v="1"/>
    <s v="01.11.80.303.2012.0000"/>
    <n v="106.8"/>
    <s v="11"/>
    <s v="2012"/>
    <n v="7139.1"/>
    <n v="106.8"/>
    <s v="CREDITOR"/>
    <n v="106.8"/>
    <n v="0"/>
    <n v="0"/>
    <n v="0"/>
    <n v="0"/>
  </r>
  <r>
    <n v="60701525"/>
    <s v="N"/>
    <n v="21350020"/>
    <s v="3000014948210012"/>
    <s v="CIVIL"/>
    <d v="2023-06-30T00:00:00"/>
    <d v="2023-07-10T19:01:40"/>
    <m/>
    <d v="2023-07-10T00:00:00"/>
    <n v="637"/>
    <n v="16940"/>
    <s v="60701525"/>
    <s v="60701525"/>
    <m/>
    <m/>
    <n v="22794230"/>
    <m/>
    <m/>
    <m/>
    <s v="SOLFIN"/>
    <s v="SOLFIN"/>
    <s v="CCMS"/>
    <n v="21350020"/>
    <n v="11951.18"/>
    <m/>
    <s v="N"/>
    <n v="2"/>
    <d v="2023-07-10T19:02:09"/>
    <s v="Y"/>
    <s v="Profit Costs (Summary)"/>
    <s v="Public Law Children"/>
    <s v="Profit Cost"/>
    <s v="ey"/>
    <s v="Y"/>
    <n v="6739.5"/>
    <n v="1347.9"/>
    <x v="2"/>
    <s v="VALIDATED"/>
    <n v="1"/>
    <s v="01.11.80.308.6100.0000"/>
    <n v="6739.5"/>
    <s v="11"/>
    <s v="6100"/>
    <n v="7139.1"/>
    <n v="6739.5"/>
    <s v="CREDITOR"/>
    <n v="0"/>
    <n v="0"/>
    <n v="0"/>
    <n v="0"/>
    <n v="6739.5"/>
  </r>
  <r>
    <n v="9240963"/>
    <s v="N"/>
    <n v="21318295"/>
    <s v="3000005222340001"/>
    <s v="CIVIL"/>
    <d v="2023-06-21T00:00:00"/>
    <d v="2023-07-03T19:01:49"/>
    <m/>
    <d v="2023-07-03T00:00:00"/>
    <n v="637"/>
    <n v="16940"/>
    <s v="9240963"/>
    <s v="9240963"/>
    <m/>
    <m/>
    <n v="22735316"/>
    <m/>
    <m/>
    <m/>
    <s v="SOLFIN"/>
    <s v="SOLFIN"/>
    <s v="CCMS"/>
    <n v="21318295"/>
    <n v="0"/>
    <m/>
    <s v="N"/>
    <n v="1"/>
    <d v="2023-07-03T19:01:52"/>
    <s v="N"/>
    <s v="NIL BILL"/>
    <s v="Prescribed Hourly Rates"/>
    <s v="Profit Cost"/>
    <s v="RE"/>
    <s v="N"/>
    <n v="0"/>
    <n v="0"/>
    <x v="3"/>
    <s v="VALIDATED"/>
    <n v="1"/>
    <s v="01.11.80.307.6100.0000"/>
    <n v="0"/>
    <s v="11"/>
    <s v="6100"/>
    <n v="7139.1"/>
    <n v="0"/>
    <s v="CREDITOR"/>
    <n v="0"/>
    <n v="0"/>
    <n v="0"/>
    <n v="0"/>
    <n v="0"/>
  </r>
  <r>
    <n v="10136000"/>
    <s v="N"/>
    <n v="21328038"/>
    <s v="3000006015340004"/>
    <s v="CIVIL"/>
    <d v="2023-06-25T00:00:00"/>
    <d v="2023-07-04T19:00:44"/>
    <m/>
    <d v="2023-07-04T00:00:00"/>
    <n v="637"/>
    <n v="16940"/>
    <s v="10136000"/>
    <s v="10136000"/>
    <m/>
    <m/>
    <n v="22756896"/>
    <m/>
    <m/>
    <m/>
    <s v="SOLFIN"/>
    <s v="SOLFIN"/>
    <s v="CCMS"/>
    <n v="21328038"/>
    <n v="1765.23"/>
    <m/>
    <s v="N"/>
    <n v="2"/>
    <d v="2023-07-04T19:01:02"/>
    <s v="Y"/>
    <s v="Solicitor Travel Expenses"/>
    <s v="Domestic Abuse"/>
    <s v="Non Expert Disbursement"/>
    <s v="SW"/>
    <s v="Y"/>
    <n v="5.2"/>
    <n v="1.04"/>
    <x v="1"/>
    <s v="VALIDATED"/>
    <n v="1"/>
    <s v="01.11.80.302.6300.0000"/>
    <n v="5.2"/>
    <s v="11"/>
    <s v="6300"/>
    <n v="7139.1"/>
    <n v="5.2"/>
    <s v="CREDITOR"/>
    <n v="0"/>
    <n v="0"/>
    <n v="0"/>
    <n v="0"/>
    <n v="5.2"/>
  </r>
  <r>
    <n v="10136000"/>
    <s v="N"/>
    <n v="21328038"/>
    <s v="3000006015340004"/>
    <s v="CIVIL"/>
    <d v="2023-06-25T00:00:00"/>
    <d v="2023-07-04T19:00:44"/>
    <m/>
    <d v="2023-07-04T00:00:00"/>
    <n v="637"/>
    <n v="16940"/>
    <s v="10136000"/>
    <s v="10136000"/>
    <m/>
    <m/>
    <n v="22756896"/>
    <m/>
    <m/>
    <m/>
    <s v="SOLFIN"/>
    <s v="SOLFIN"/>
    <s v="CCMS"/>
    <n v="21328038"/>
    <n v="1765.23"/>
    <m/>
    <s v="N"/>
    <n v="6"/>
    <d v="2023-07-04T19:01:02"/>
    <s v="Y"/>
    <s v="Level 4 Fixed Fee"/>
    <s v="Domestic Abuse"/>
    <s v="Profit Cost"/>
    <s v="SW"/>
    <s v="Y"/>
    <n v="507"/>
    <n v="101.4"/>
    <x v="1"/>
    <s v="VALIDATED"/>
    <n v="1"/>
    <s v="01.11.80.302.6100.0000"/>
    <n v="507"/>
    <s v="11"/>
    <s v="6100"/>
    <n v="7139.1"/>
    <n v="507"/>
    <s v="CREDITOR"/>
    <n v="0"/>
    <n v="0"/>
    <n v="0"/>
    <n v="0"/>
    <n v="507"/>
  </r>
  <r>
    <n v="10132126"/>
    <s v="N"/>
    <n v="21324401"/>
    <s v="3000006010240007RC"/>
    <s v="CIVIL"/>
    <d v="2023-06-27T00:00:00"/>
    <d v="2023-07-03T19:42:50"/>
    <m/>
    <d v="2023-07-03T00:00:00"/>
    <n v="637"/>
    <n v="16940"/>
    <s v="10132126"/>
    <s v="10132126"/>
    <m/>
    <m/>
    <m/>
    <m/>
    <m/>
    <m/>
    <s v="SOLRECOUP"/>
    <s v="SOLRECOUP"/>
    <s v="POARECOUP"/>
    <n v="21324401"/>
    <n v="-3107.52"/>
    <m/>
    <s v="Y"/>
    <n v="2"/>
    <d v="2023-07-03T19:42:51"/>
    <s v="N"/>
    <m/>
    <m/>
    <s v="Profit Cost"/>
    <m/>
    <s v="N"/>
    <n v="0"/>
    <n v="-517.92"/>
    <x v="3"/>
    <s v="VALIDATED"/>
    <n v="1"/>
    <s v="01.11.80.302.2013.0000"/>
    <n v="-517.92"/>
    <s v="11"/>
    <s v="2013"/>
    <n v="7139.1"/>
    <n v="-517.92"/>
    <s v="CREDITOR"/>
    <n v="0"/>
    <n v="0"/>
    <n v="-517.92"/>
    <n v="-129.48"/>
    <n v="0"/>
  </r>
  <r>
    <n v="10132126"/>
    <s v="N"/>
    <n v="21324402"/>
    <s v="3000006010240012RC"/>
    <s v="CIVIL"/>
    <d v="2023-06-27T00:00:00"/>
    <d v="2023-07-03T19:42:50"/>
    <m/>
    <d v="2023-07-03T00:00:00"/>
    <n v="637"/>
    <n v="16940"/>
    <s v="10132126"/>
    <s v="10132126"/>
    <m/>
    <m/>
    <m/>
    <m/>
    <m/>
    <m/>
    <s v="SOLRECOUP"/>
    <s v="SOLRECOUP"/>
    <s v="POARECOUP"/>
    <n v="21324402"/>
    <n v="-4957.44"/>
    <m/>
    <s v="Y"/>
    <n v="1"/>
    <d v="2023-07-03T19:42:51"/>
    <s v="N"/>
    <m/>
    <m/>
    <s v="Profit Cost"/>
    <m/>
    <s v="N"/>
    <n v="-4131.2"/>
    <n v="0"/>
    <x v="3"/>
    <s v="VALIDATED"/>
    <n v="1"/>
    <s v="01.11.80.302.2013.0000"/>
    <n v="-4131.2"/>
    <s v="11"/>
    <s v="2013"/>
    <n v="7139.1"/>
    <n v="-4131.2"/>
    <s v="CREDITOR"/>
    <n v="0"/>
    <n v="0"/>
    <n v="-4131.2"/>
    <n v="-1032.8"/>
    <n v="0"/>
  </r>
  <r>
    <n v="10132126"/>
    <s v="N"/>
    <n v="21324402"/>
    <s v="3000006010240012RC"/>
    <s v="CIVIL"/>
    <d v="2023-06-27T00:00:00"/>
    <d v="2023-07-03T19:42:50"/>
    <m/>
    <d v="2023-07-03T00:00:00"/>
    <n v="637"/>
    <n v="16940"/>
    <s v="10132126"/>
    <s v="10132126"/>
    <m/>
    <m/>
    <m/>
    <m/>
    <m/>
    <m/>
    <s v="SOLRECOUP"/>
    <s v="SOLRECOUP"/>
    <s v="POARECOUP"/>
    <n v="21324402"/>
    <n v="-4957.44"/>
    <m/>
    <s v="Y"/>
    <n v="2"/>
    <d v="2023-07-03T19:42:51"/>
    <s v="N"/>
    <m/>
    <m/>
    <s v="Profit Cost"/>
    <m/>
    <s v="N"/>
    <n v="0"/>
    <n v="-826.24"/>
    <x v="3"/>
    <s v="VALIDATED"/>
    <n v="1"/>
    <s v="01.11.80.302.2013.0000"/>
    <n v="-826.24"/>
    <s v="11"/>
    <s v="2013"/>
    <n v="7139.1"/>
    <n v="-826.24"/>
    <s v="CREDITOR"/>
    <n v="0"/>
    <n v="0"/>
    <n v="-826.24"/>
    <n v="-206.56"/>
    <n v="0"/>
  </r>
  <r>
    <n v="10132126"/>
    <s v="N"/>
    <n v="21324398"/>
    <s v="3000006010240002RC"/>
    <s v="CIVIL"/>
    <d v="2023-06-27T00:00:00"/>
    <d v="2023-07-03T19:42:50"/>
    <m/>
    <d v="2023-07-03T00:00:00"/>
    <n v="637"/>
    <n v="16940"/>
    <s v="10132126"/>
    <s v="10132126"/>
    <m/>
    <m/>
    <m/>
    <m/>
    <m/>
    <m/>
    <s v="SOLRECOUP"/>
    <s v="SOLRECOUP"/>
    <s v="POARECOUP"/>
    <n v="21324398"/>
    <n v="-178.56"/>
    <m/>
    <s v="Y"/>
    <n v="2"/>
    <d v="2023-07-03T19:42:51"/>
    <s v="N"/>
    <m/>
    <m/>
    <s v="Non Expert Disbursement"/>
    <m/>
    <s v="N"/>
    <n v="0"/>
    <n v="-29.76"/>
    <x v="3"/>
    <s v="VALIDATED"/>
    <n v="1"/>
    <s v="01.11.80.302.2013.0000"/>
    <n v="-29.76"/>
    <s v="11"/>
    <s v="2013"/>
    <n v="7139.1"/>
    <n v="-29.76"/>
    <s v="CREDITOR"/>
    <n v="0"/>
    <n v="0"/>
    <n v="-29.76"/>
    <n v="0"/>
    <n v="0"/>
  </r>
  <r>
    <n v="10132126"/>
    <s v="N"/>
    <n v="21324398"/>
    <s v="3000006010240002RC"/>
    <s v="CIVIL"/>
    <d v="2023-06-27T00:00:00"/>
    <d v="2023-07-03T19:42:50"/>
    <m/>
    <d v="2023-07-03T00:00:00"/>
    <n v="637"/>
    <n v="16940"/>
    <s v="10132126"/>
    <s v="10132126"/>
    <m/>
    <m/>
    <m/>
    <m/>
    <m/>
    <m/>
    <s v="SOLRECOUP"/>
    <s v="SOLRECOUP"/>
    <s v="POARECOUP"/>
    <n v="21324398"/>
    <n v="-178.56"/>
    <m/>
    <s v="Y"/>
    <n v="1"/>
    <d v="2023-07-03T19:42:51"/>
    <s v="N"/>
    <m/>
    <m/>
    <s v="Non Expert Disbursement"/>
    <m/>
    <s v="N"/>
    <n v="-148.8"/>
    <n v="0"/>
    <x v="3"/>
    <s v="VALIDATED"/>
    <n v="1"/>
    <s v="01.11.80.302.2013.0000"/>
    <n v="-148.8"/>
    <s v="11"/>
    <s v="2013"/>
    <n v="7139.1"/>
    <n v="-148.8"/>
    <s v="CREDITOR"/>
    <n v="0"/>
    <n v="0"/>
    <n v="-148.8"/>
    <n v="0"/>
    <n v="0"/>
  </r>
  <r>
    <n v="10132126"/>
    <s v="N"/>
    <n v="21324399"/>
    <s v="3000006010240003RC"/>
    <s v="CIVIL"/>
    <d v="2023-06-27T00:00:00"/>
    <d v="2023-07-03T19:42:50"/>
    <m/>
    <d v="2023-07-03T00:00:00"/>
    <n v="637"/>
    <n v="16940"/>
    <s v="10132126"/>
    <s v="10132126"/>
    <m/>
    <m/>
    <m/>
    <m/>
    <m/>
    <m/>
    <s v="SOLRECOUP"/>
    <s v="SOLRECOUP"/>
    <s v="POARECOUP"/>
    <n v="21324399"/>
    <n v="-2340"/>
    <m/>
    <s v="Y"/>
    <n v="2"/>
    <d v="2023-07-03T19:42:51"/>
    <s v="N"/>
    <m/>
    <m/>
    <s v="Profit Cost"/>
    <m/>
    <s v="N"/>
    <n v="0"/>
    <n v="-390"/>
    <x v="3"/>
    <s v="VALIDATED"/>
    <n v="1"/>
    <s v="01.11.80.302.2013.0000"/>
    <n v="-390"/>
    <s v="11"/>
    <s v="2013"/>
    <n v="7139.1"/>
    <n v="-390"/>
    <s v="CREDITOR"/>
    <n v="0"/>
    <n v="0"/>
    <n v="-390"/>
    <n v="-97.5"/>
    <n v="0"/>
  </r>
  <r>
    <n v="10132126"/>
    <s v="N"/>
    <n v="21324399"/>
    <s v="3000006010240003RC"/>
    <s v="CIVIL"/>
    <d v="2023-06-27T00:00:00"/>
    <d v="2023-07-03T19:42:50"/>
    <m/>
    <d v="2023-07-03T00:00:00"/>
    <n v="637"/>
    <n v="16940"/>
    <s v="10132126"/>
    <s v="10132126"/>
    <m/>
    <m/>
    <m/>
    <m/>
    <m/>
    <m/>
    <s v="SOLRECOUP"/>
    <s v="SOLRECOUP"/>
    <s v="POARECOUP"/>
    <n v="21324399"/>
    <n v="-2340"/>
    <m/>
    <s v="Y"/>
    <n v="1"/>
    <d v="2023-07-03T19:42:51"/>
    <s v="N"/>
    <m/>
    <m/>
    <s v="Profit Cost"/>
    <m/>
    <s v="N"/>
    <n v="-1950"/>
    <n v="0"/>
    <x v="3"/>
    <s v="VALIDATED"/>
    <n v="1"/>
    <s v="01.11.80.302.2013.0000"/>
    <n v="-1950"/>
    <s v="11"/>
    <s v="2013"/>
    <n v="7139.1"/>
    <n v="-1950"/>
    <s v="CREDITOR"/>
    <n v="0"/>
    <n v="0"/>
    <n v="-1950"/>
    <n v="-487.5"/>
    <n v="0"/>
  </r>
  <r>
    <n v="10132126"/>
    <s v="N"/>
    <n v="21324400"/>
    <s v="3000006010240004RC"/>
    <s v="CIVIL"/>
    <d v="2023-06-27T00:00:00"/>
    <d v="2023-07-03T19:42:50"/>
    <m/>
    <d v="2023-07-03T00:00:00"/>
    <n v="637"/>
    <n v="16940"/>
    <s v="10132126"/>
    <s v="10132126"/>
    <m/>
    <m/>
    <m/>
    <m/>
    <m/>
    <m/>
    <s v="SOLRECOUP"/>
    <s v="SOLRECOUP"/>
    <s v="POARECOUP"/>
    <n v="21324400"/>
    <n v="-2224.8"/>
    <m/>
    <s v="Y"/>
    <n v="1"/>
    <d v="2023-07-03T19:42:51"/>
    <s v="N"/>
    <m/>
    <m/>
    <s v="Profit Cost"/>
    <m/>
    <s v="N"/>
    <n v="-1854"/>
    <n v="0"/>
    <x v="3"/>
    <s v="VALIDATED"/>
    <n v="1"/>
    <s v="01.11.80.302.2013.0000"/>
    <n v="-1854"/>
    <s v="11"/>
    <s v="2013"/>
    <n v="7139.1"/>
    <n v="-1854"/>
    <s v="CREDITOR"/>
    <n v="0"/>
    <n v="0"/>
    <n v="-1854"/>
    <n v="-463.5"/>
    <n v="0"/>
  </r>
  <r>
    <n v="10132126"/>
    <s v="N"/>
    <n v="21324400"/>
    <s v="3000006010240004RC"/>
    <s v="CIVIL"/>
    <d v="2023-06-27T00:00:00"/>
    <d v="2023-07-03T19:42:50"/>
    <m/>
    <d v="2023-07-03T00:00:00"/>
    <n v="637"/>
    <n v="16940"/>
    <s v="10132126"/>
    <s v="10132126"/>
    <m/>
    <m/>
    <m/>
    <m/>
    <m/>
    <m/>
    <s v="SOLRECOUP"/>
    <s v="SOLRECOUP"/>
    <s v="POARECOUP"/>
    <n v="21324400"/>
    <n v="-2224.8"/>
    <m/>
    <s v="Y"/>
    <n v="2"/>
    <d v="2023-07-03T19:42:51"/>
    <s v="N"/>
    <m/>
    <m/>
    <s v="Profit Cost"/>
    <m/>
    <s v="N"/>
    <n v="0"/>
    <n v="-370.8"/>
    <x v="3"/>
    <s v="VALIDATED"/>
    <n v="1"/>
    <s v="01.11.80.302.2013.0000"/>
    <n v="-370.8"/>
    <s v="11"/>
    <s v="2013"/>
    <n v="7139.1"/>
    <n v="-370.8"/>
    <s v="CREDITOR"/>
    <n v="0"/>
    <n v="0"/>
    <n v="-370.8"/>
    <n v="-92.7"/>
    <n v="0"/>
  </r>
  <r>
    <n v="10132126"/>
    <s v="N"/>
    <n v="21324401"/>
    <s v="3000006010240007RC"/>
    <s v="CIVIL"/>
    <d v="2023-06-27T00:00:00"/>
    <d v="2023-07-03T19:42:50"/>
    <m/>
    <d v="2023-07-03T00:00:00"/>
    <n v="637"/>
    <n v="16940"/>
    <s v="10132126"/>
    <s v="10132126"/>
    <m/>
    <m/>
    <m/>
    <m/>
    <m/>
    <m/>
    <s v="SOLRECOUP"/>
    <s v="SOLRECOUP"/>
    <s v="POARECOUP"/>
    <n v="21324401"/>
    <n v="-3107.52"/>
    <m/>
    <s v="Y"/>
    <n v="1"/>
    <d v="2023-07-03T19:42:51"/>
    <s v="N"/>
    <m/>
    <m/>
    <s v="Profit Cost"/>
    <m/>
    <s v="N"/>
    <n v="-2589.6"/>
    <n v="0"/>
    <x v="3"/>
    <s v="VALIDATED"/>
    <n v="1"/>
    <s v="01.11.80.302.2013.0000"/>
    <n v="-2589.6"/>
    <s v="11"/>
    <s v="2013"/>
    <n v="7139.1"/>
    <n v="-2589.6"/>
    <s v="CREDITOR"/>
    <n v="0"/>
    <n v="0"/>
    <n v="-2589.6"/>
    <n v="-647.4"/>
    <n v="0"/>
  </r>
  <r>
    <n v="10136000"/>
    <s v="N"/>
    <n v="21328626"/>
    <s v="3000006015340002RC"/>
    <s v="CIVIL"/>
    <d v="2023-06-25T00:00:00"/>
    <d v="2023-07-04T19:38:21"/>
    <m/>
    <d v="2023-07-04T00:00:00"/>
    <n v="637"/>
    <n v="16940"/>
    <s v="10136000"/>
    <s v="10136000"/>
    <m/>
    <m/>
    <m/>
    <m/>
    <m/>
    <m/>
    <s v="SOLRECOUP"/>
    <s v="SOLRECOUP"/>
    <s v="POARECOUP"/>
    <n v="21328626"/>
    <n v="-711.9"/>
    <m/>
    <s v="Y"/>
    <n v="1"/>
    <d v="2023-07-04T19:38:22"/>
    <s v="N"/>
    <m/>
    <m/>
    <s v="Profit Cost"/>
    <m/>
    <s v="N"/>
    <n v="-593.25"/>
    <n v="0"/>
    <x v="1"/>
    <s v="VALIDATED"/>
    <n v="1"/>
    <s v="01.11.80.302.2013.0000"/>
    <n v="-593.25"/>
    <s v="11"/>
    <s v="2013"/>
    <n v="7139.1"/>
    <n v="-593.25"/>
    <s v="CREDITOR"/>
    <n v="0"/>
    <n v="0"/>
    <n v="-593.25"/>
    <n v="-148.3125"/>
    <n v="0"/>
  </r>
  <r>
    <n v="10136000"/>
    <s v="N"/>
    <n v="21328626"/>
    <s v="3000006015340002RC"/>
    <s v="CIVIL"/>
    <d v="2023-06-25T00:00:00"/>
    <d v="2023-07-04T19:38:21"/>
    <m/>
    <d v="2023-07-04T00:00:00"/>
    <n v="637"/>
    <n v="16940"/>
    <s v="10136000"/>
    <s v="10136000"/>
    <m/>
    <m/>
    <m/>
    <m/>
    <m/>
    <m/>
    <s v="SOLRECOUP"/>
    <s v="SOLRECOUP"/>
    <s v="POARECOUP"/>
    <n v="21328626"/>
    <n v="-711.9"/>
    <m/>
    <s v="Y"/>
    <n v="2"/>
    <d v="2023-07-04T19:38:22"/>
    <s v="N"/>
    <m/>
    <m/>
    <s v="Profit Cost"/>
    <m/>
    <s v="N"/>
    <n v="0"/>
    <n v="-118.65"/>
    <x v="1"/>
    <s v="VALIDATED"/>
    <n v="1"/>
    <s v="01.11.80.302.2013.0000"/>
    <n v="-118.65"/>
    <s v="11"/>
    <s v="2013"/>
    <n v="7139.1"/>
    <n v="-118.65"/>
    <s v="CREDITOR"/>
    <n v="0"/>
    <n v="0"/>
    <n v="-118.65"/>
    <n v="-29.6625"/>
    <n v="0"/>
  </r>
  <r>
    <n v="10136000"/>
    <s v="N"/>
    <n v="21328627"/>
    <s v="3000006015340003RC"/>
    <s v="CIVIL"/>
    <d v="2023-06-25T00:00:00"/>
    <d v="2023-07-04T19:38:21"/>
    <m/>
    <d v="2023-07-04T00:00:00"/>
    <n v="637"/>
    <n v="16940"/>
    <s v="10136000"/>
    <s v="10136000"/>
    <m/>
    <m/>
    <m/>
    <m/>
    <m/>
    <m/>
    <s v="SOLRECOUP"/>
    <s v="SOLRECOUP"/>
    <s v="POARECOUP"/>
    <n v="21328627"/>
    <n v="-38.59"/>
    <m/>
    <s v="Y"/>
    <n v="1"/>
    <d v="2023-07-04T19:38:22"/>
    <s v="N"/>
    <m/>
    <m/>
    <s v="Non Expert Disbursement"/>
    <m/>
    <s v="N"/>
    <n v="-32.16"/>
    <n v="0"/>
    <x v="1"/>
    <s v="VALIDATED"/>
    <n v="1"/>
    <s v="01.11.80.302.2013.0000"/>
    <n v="-32.16"/>
    <s v="11"/>
    <s v="2013"/>
    <n v="7139.1"/>
    <n v="-32.16"/>
    <s v="CREDITOR"/>
    <n v="0"/>
    <n v="0"/>
    <n v="-32.16"/>
    <n v="0"/>
    <n v="0"/>
  </r>
  <r>
    <n v="10136000"/>
    <s v="N"/>
    <n v="21328627"/>
    <s v="3000006015340003RC"/>
    <s v="CIVIL"/>
    <d v="2023-06-25T00:00:00"/>
    <d v="2023-07-04T19:38:21"/>
    <m/>
    <d v="2023-07-04T00:00:00"/>
    <n v="637"/>
    <n v="16940"/>
    <s v="10136000"/>
    <s v="10136000"/>
    <m/>
    <m/>
    <m/>
    <m/>
    <m/>
    <m/>
    <s v="SOLRECOUP"/>
    <s v="SOLRECOUP"/>
    <s v="POARECOUP"/>
    <n v="21328627"/>
    <n v="-38.59"/>
    <m/>
    <s v="Y"/>
    <n v="2"/>
    <d v="2023-07-04T19:38:22"/>
    <s v="N"/>
    <m/>
    <m/>
    <s v="Non Expert Disbursement"/>
    <m/>
    <s v="N"/>
    <n v="0"/>
    <n v="-6.43"/>
    <x v="1"/>
    <s v="VALIDATED"/>
    <n v="1"/>
    <s v="01.11.80.302.2013.0000"/>
    <n v="-6.43"/>
    <s v="11"/>
    <s v="2013"/>
    <n v="7139.1"/>
    <n v="-6.43"/>
    <s v="CREDITOR"/>
    <n v="0"/>
    <n v="0"/>
    <n v="-6.43"/>
    <n v="0"/>
    <n v="0"/>
  </r>
  <r>
    <n v="10136000"/>
    <s v="N"/>
    <n v="21328628"/>
    <s v="3000006015340001RC"/>
    <s v="CIVIL"/>
    <d v="2023-06-25T00:00:00"/>
    <d v="2023-07-04T19:38:21"/>
    <m/>
    <d v="2023-07-04T00:00:00"/>
    <n v="637"/>
    <n v="16940"/>
    <s v="10136000"/>
    <s v="10136000"/>
    <m/>
    <m/>
    <m/>
    <m/>
    <m/>
    <m/>
    <s v="SOLRECOUP"/>
    <s v="SOLRECOUP"/>
    <s v="POARECOUP"/>
    <n v="21328628"/>
    <n v="-446.76"/>
    <m/>
    <s v="Y"/>
    <n v="1"/>
    <d v="2023-07-04T19:38:22"/>
    <s v="N"/>
    <m/>
    <m/>
    <s v="Non Expert Disbursement"/>
    <m/>
    <s v="N"/>
    <n v="-372.3"/>
    <n v="0"/>
    <x v="1"/>
    <s v="VALIDATED"/>
    <n v="1"/>
    <s v="01.11.80.302.2013.0000"/>
    <n v="-372.3"/>
    <s v="11"/>
    <s v="2013"/>
    <n v="7139.1"/>
    <n v="-372.3"/>
    <s v="CREDITOR"/>
    <n v="0"/>
    <n v="0"/>
    <n v="-372.3"/>
    <n v="0"/>
    <n v="0"/>
  </r>
  <r>
    <n v="10136000"/>
    <s v="N"/>
    <n v="21328628"/>
    <s v="3000006015340001RC"/>
    <s v="CIVIL"/>
    <d v="2023-06-25T00:00:00"/>
    <d v="2023-07-04T19:38:21"/>
    <m/>
    <d v="2023-07-04T00:00:00"/>
    <n v="637"/>
    <n v="16940"/>
    <s v="10136000"/>
    <s v="10136000"/>
    <m/>
    <m/>
    <m/>
    <m/>
    <m/>
    <m/>
    <s v="SOLRECOUP"/>
    <s v="SOLRECOUP"/>
    <s v="POARECOUP"/>
    <n v="21328628"/>
    <n v="-446.76"/>
    <m/>
    <s v="Y"/>
    <n v="2"/>
    <d v="2023-07-04T19:38:22"/>
    <s v="N"/>
    <m/>
    <m/>
    <s v="Non Expert Disbursement"/>
    <m/>
    <s v="N"/>
    <n v="0"/>
    <n v="-74.45999999999999"/>
    <x v="1"/>
    <s v="VALIDATED"/>
    <n v="1"/>
    <s v="01.11.80.302.2013.0000"/>
    <n v="-74.45999999999999"/>
    <s v="11"/>
    <s v="2013"/>
    <n v="7139.1"/>
    <n v="-74.45999999999999"/>
    <s v="CREDITOR"/>
    <n v="0"/>
    <n v="0"/>
    <n v="-74.45999999999999"/>
    <n v="0"/>
    <n v="0"/>
  </r>
  <r>
    <n v="9351519"/>
    <s v="N"/>
    <n v="21339920"/>
    <s v="3000005319820003RC"/>
    <s v="CIVIL"/>
    <d v="2023-06-28T00:00:00"/>
    <d v="2023-07-06T19:54:22"/>
    <m/>
    <d v="2023-07-06T00:00:00"/>
    <n v="637"/>
    <n v="16940"/>
    <s v="9351519"/>
    <s v="9351519"/>
    <m/>
    <m/>
    <m/>
    <m/>
    <m/>
    <m/>
    <s v="SOLRECOUP"/>
    <s v="SOLRECOUP"/>
    <s v="POARECOUP"/>
    <n v="21339920"/>
    <n v="-2811.6"/>
    <m/>
    <s v="Y"/>
    <n v="1"/>
    <d v="2023-07-06T19:54:23"/>
    <s v="N"/>
    <m/>
    <m/>
    <s v="Profit Cost"/>
    <m/>
    <s v="N"/>
    <n v="-2343"/>
    <n v="0"/>
    <x v="4"/>
    <s v="VALIDATED"/>
    <n v="1"/>
    <s v="01.11.80.308.2013.0000"/>
    <n v="-2343"/>
    <s v="11"/>
    <s v="2013"/>
    <n v="7139.1"/>
    <n v="-2343"/>
    <s v="CREDITOR"/>
    <n v="0"/>
    <n v="0"/>
    <n v="-2343"/>
    <n v="-585.75"/>
    <n v="0"/>
  </r>
  <r>
    <n v="9351519"/>
    <s v="N"/>
    <n v="21339920"/>
    <s v="3000005319820003RC"/>
    <s v="CIVIL"/>
    <d v="2023-06-28T00:00:00"/>
    <d v="2023-07-06T19:54:22"/>
    <m/>
    <d v="2023-07-06T00:00:00"/>
    <n v="637"/>
    <n v="16940"/>
    <s v="9351519"/>
    <s v="9351519"/>
    <m/>
    <m/>
    <m/>
    <m/>
    <m/>
    <m/>
    <s v="SOLRECOUP"/>
    <s v="SOLRECOUP"/>
    <s v="POARECOUP"/>
    <n v="21339920"/>
    <n v="-2811.6"/>
    <m/>
    <s v="Y"/>
    <n v="2"/>
    <d v="2023-07-06T19:54:23"/>
    <s v="N"/>
    <m/>
    <m/>
    <s v="Profit Cost"/>
    <m/>
    <s v="N"/>
    <n v="0"/>
    <n v="-468.6"/>
    <x v="4"/>
    <s v="VALIDATED"/>
    <n v="1"/>
    <s v="01.11.80.308.2013.0000"/>
    <n v="-468.6"/>
    <s v="11"/>
    <s v="2013"/>
    <n v="7139.1"/>
    <n v="-468.6"/>
    <s v="CREDITOR"/>
    <n v="0"/>
    <n v="0"/>
    <n v="-468.6"/>
    <n v="-117.15"/>
    <n v="0"/>
  </r>
  <r>
    <n v="10132126"/>
    <s v="N"/>
    <n v="21356385"/>
    <s v="3000006010240015RC"/>
    <s v="CIVIL"/>
    <d v="2023-06-27T00:00:00"/>
    <d v="2023-07-10T19:47:44"/>
    <m/>
    <d v="2023-07-10T00:00:00"/>
    <n v="637"/>
    <n v="16940"/>
    <s v="10132126"/>
    <s v="10132126"/>
    <m/>
    <m/>
    <m/>
    <m/>
    <m/>
    <m/>
    <s v="SOLRECOUP"/>
    <s v="SOLRECOUP"/>
    <s v="POARECOUP"/>
    <n v="21356385"/>
    <n v="-50"/>
    <m/>
    <s v="Y"/>
    <n v="2"/>
    <d v="2023-07-10T19:47:44"/>
    <s v="N"/>
    <m/>
    <m/>
    <s v="Non Expert Disbursement"/>
    <m/>
    <s v="N"/>
    <n v="0"/>
    <n v="0"/>
    <x v="2"/>
    <s v="VALIDATED"/>
    <n v="1"/>
    <s v="01.11.80.000.0000.0000"/>
    <n v="0"/>
    <s v="11"/>
    <s v="0000"/>
    <n v="7139.1"/>
    <n v="0"/>
    <s v="CREDITOR"/>
    <n v="0"/>
    <n v="0"/>
    <n v="0"/>
    <n v="0"/>
    <n v="0"/>
  </r>
  <r>
    <n v="10132126"/>
    <s v="N"/>
    <n v="21356385"/>
    <s v="3000006010240015RC"/>
    <s v="CIVIL"/>
    <d v="2023-06-27T00:00:00"/>
    <d v="2023-07-10T19:47:44"/>
    <m/>
    <d v="2023-07-10T00:00:00"/>
    <n v="637"/>
    <n v="16940"/>
    <s v="10132126"/>
    <s v="10132126"/>
    <m/>
    <m/>
    <m/>
    <m/>
    <m/>
    <m/>
    <s v="SOLRECOUP"/>
    <s v="SOLRECOUP"/>
    <s v="POARECOUP"/>
    <n v="21356385"/>
    <n v="-50"/>
    <m/>
    <s v="Y"/>
    <n v="1"/>
    <d v="2023-07-10T19:47:44"/>
    <s v="N"/>
    <m/>
    <m/>
    <s v="Non Expert Disbursement"/>
    <m/>
    <s v="N"/>
    <n v="-50"/>
    <n v="0"/>
    <x v="2"/>
    <s v="VALIDATED"/>
    <n v="1"/>
    <s v="01.11.80.302.2013.0000"/>
    <n v="-50"/>
    <s v="11"/>
    <s v="2013"/>
    <n v="7139.1"/>
    <n v="-50"/>
    <s v="CREDITOR"/>
    <n v="0"/>
    <n v="0"/>
    <n v="-50"/>
    <n v="0"/>
    <n v="0"/>
  </r>
  <r>
    <n v="60701525"/>
    <s v="N"/>
    <n v="21356386"/>
    <s v="3000014948210004RC"/>
    <s v="CIVIL"/>
    <d v="2023-06-30T00:00:00"/>
    <d v="2023-07-10T19:47:44"/>
    <m/>
    <d v="2023-07-10T00:00:00"/>
    <n v="637"/>
    <n v="16940"/>
    <s v="60701525"/>
    <s v="60701525"/>
    <m/>
    <m/>
    <m/>
    <m/>
    <m/>
    <m/>
    <s v="SOLRECOUP"/>
    <s v="SOLRECOUP"/>
    <s v="POARECOUP"/>
    <n v="21356386"/>
    <n v="-1241.38"/>
    <m/>
    <s v="Y"/>
    <n v="2"/>
    <d v="2023-07-10T19:47:44"/>
    <s v="N"/>
    <m/>
    <m/>
    <s v="Expert Disbursement"/>
    <m/>
    <s v="N"/>
    <n v="0"/>
    <n v="0"/>
    <x v="2"/>
    <s v="VALIDATED"/>
    <n v="1"/>
    <s v="01.11.80.000.0000.0000"/>
    <n v="0"/>
    <s v="11"/>
    <s v="0000"/>
    <n v="7139.1"/>
    <n v="0"/>
    <s v="CREDITOR"/>
    <n v="0"/>
    <n v="0"/>
    <n v="0"/>
    <n v="0"/>
    <n v="0"/>
  </r>
  <r>
    <n v="60701525"/>
    <s v="N"/>
    <n v="21356386"/>
    <s v="3000014948210004RC"/>
    <s v="CIVIL"/>
    <d v="2023-06-30T00:00:00"/>
    <d v="2023-07-10T19:47:44"/>
    <m/>
    <d v="2023-07-10T00:00:00"/>
    <n v="637"/>
    <n v="16940"/>
    <s v="60701525"/>
    <s v="60701525"/>
    <m/>
    <m/>
    <m/>
    <m/>
    <m/>
    <m/>
    <s v="SOLRECOUP"/>
    <s v="SOLRECOUP"/>
    <s v="POARECOUP"/>
    <n v="21356386"/>
    <n v="-1241.38"/>
    <m/>
    <s v="Y"/>
    <n v="1"/>
    <d v="2023-07-10T19:47:44"/>
    <s v="N"/>
    <m/>
    <m/>
    <s v="Expert Disbursement"/>
    <m/>
    <s v="N"/>
    <n v="-1241.38"/>
    <n v="0"/>
    <x v="2"/>
    <s v="VALIDATED"/>
    <n v="1"/>
    <s v="01.11.80.308.2013.0000"/>
    <n v="-1241.38"/>
    <s v="11"/>
    <s v="2013"/>
    <n v="7139.1"/>
    <n v="-1241.38"/>
    <s v="CREDITOR"/>
    <n v="0"/>
    <n v="0"/>
    <n v="-1241.38"/>
    <n v="0"/>
    <n v="0"/>
  </r>
  <r>
    <n v="60701525"/>
    <s v="N"/>
    <n v="21356387"/>
    <s v="3000014948210008RC"/>
    <s v="CIVIL"/>
    <d v="2023-06-30T00:00:00"/>
    <d v="2023-07-10T19:47:44"/>
    <m/>
    <d v="2023-07-10T00:00:00"/>
    <n v="637"/>
    <n v="16940"/>
    <s v="60701525"/>
    <s v="60701525"/>
    <m/>
    <m/>
    <m/>
    <m/>
    <m/>
    <m/>
    <s v="SOLRECOUP"/>
    <s v="SOLRECOUP"/>
    <s v="POARECOUP"/>
    <n v="21356387"/>
    <n v="-3198.54"/>
    <m/>
    <s v="Y"/>
    <n v="2"/>
    <d v="2023-07-10T19:47:44"/>
    <s v="N"/>
    <m/>
    <m/>
    <s v="Expert Disbursement"/>
    <m/>
    <s v="N"/>
    <n v="0"/>
    <n v="0"/>
    <x v="2"/>
    <s v="VALIDATED"/>
    <n v="1"/>
    <s v="01.11.80.000.0000.0000"/>
    <n v="0"/>
    <s v="11"/>
    <s v="0000"/>
    <n v="7139.1"/>
    <n v="0"/>
    <s v="CREDITOR"/>
    <n v="0"/>
    <n v="0"/>
    <n v="0"/>
    <n v="0"/>
    <n v="0"/>
  </r>
  <r>
    <n v="60701525"/>
    <s v="N"/>
    <n v="21356387"/>
    <s v="3000014948210008RC"/>
    <s v="CIVIL"/>
    <d v="2023-06-30T00:00:00"/>
    <d v="2023-07-10T19:47:44"/>
    <m/>
    <d v="2023-07-10T00:00:00"/>
    <n v="637"/>
    <n v="16940"/>
    <s v="60701525"/>
    <s v="60701525"/>
    <m/>
    <m/>
    <m/>
    <m/>
    <m/>
    <m/>
    <s v="SOLRECOUP"/>
    <s v="SOLRECOUP"/>
    <s v="POARECOUP"/>
    <n v="21356387"/>
    <n v="-3198.54"/>
    <m/>
    <s v="Y"/>
    <n v="1"/>
    <d v="2023-07-10T19:47:44"/>
    <s v="N"/>
    <m/>
    <m/>
    <s v="Expert Disbursement"/>
    <m/>
    <s v="N"/>
    <n v="-3198.54"/>
    <n v="0"/>
    <x v="2"/>
    <s v="VALIDATED"/>
    <n v="1"/>
    <s v="01.11.80.308.2013.0000"/>
    <n v="-3198.54"/>
    <s v="11"/>
    <s v="2013"/>
    <n v="7139.1"/>
    <n v="-3198.54"/>
    <s v="CREDITOR"/>
    <n v="0"/>
    <n v="0"/>
    <n v="-3198.54"/>
    <n v="0"/>
    <n v="0"/>
  </r>
  <r>
    <n v="60701525"/>
    <s v="N"/>
    <n v="21356388"/>
    <s v="3000014948210009RC"/>
    <s v="CIVIL"/>
    <d v="2023-06-30T00:00:00"/>
    <d v="2023-07-10T19:47:44"/>
    <m/>
    <d v="2023-07-10T00:00:00"/>
    <n v="637"/>
    <n v="16940"/>
    <s v="60701525"/>
    <s v="60701525"/>
    <m/>
    <m/>
    <m/>
    <m/>
    <m/>
    <m/>
    <s v="SOLRECOUP"/>
    <s v="SOLRECOUP"/>
    <s v="POARECOUP"/>
    <n v="21356388"/>
    <n v="-60.48"/>
    <m/>
    <s v="Y"/>
    <n v="2"/>
    <d v="2023-07-10T19:47:44"/>
    <s v="N"/>
    <m/>
    <m/>
    <s v="Expert Disbursement"/>
    <m/>
    <s v="N"/>
    <n v="0"/>
    <n v="0"/>
    <x v="2"/>
    <s v="VALIDATED"/>
    <n v="1"/>
    <s v="01.11.80.000.0000.0000"/>
    <n v="0"/>
    <s v="11"/>
    <s v="0000"/>
    <n v="7139.1"/>
    <n v="0"/>
    <s v="CREDITOR"/>
    <n v="0"/>
    <n v="0"/>
    <n v="0"/>
    <n v="0"/>
    <n v="0"/>
  </r>
  <r>
    <n v="60701525"/>
    <s v="N"/>
    <n v="21356388"/>
    <s v="3000014948210009RC"/>
    <s v="CIVIL"/>
    <d v="2023-06-30T00:00:00"/>
    <d v="2023-07-10T19:47:44"/>
    <m/>
    <d v="2023-07-10T00:00:00"/>
    <n v="637"/>
    <n v="16940"/>
    <s v="60701525"/>
    <s v="60701525"/>
    <m/>
    <m/>
    <m/>
    <m/>
    <m/>
    <m/>
    <s v="SOLRECOUP"/>
    <s v="SOLRECOUP"/>
    <s v="POARECOUP"/>
    <n v="21356388"/>
    <n v="-60.48"/>
    <m/>
    <s v="Y"/>
    <n v="1"/>
    <d v="2023-07-10T19:47:44"/>
    <s v="N"/>
    <m/>
    <m/>
    <s v="Expert Disbursement"/>
    <m/>
    <s v="N"/>
    <n v="-60.48"/>
    <n v="0"/>
    <x v="2"/>
    <s v="VALIDATED"/>
    <n v="1"/>
    <s v="01.11.80.308.2013.0000"/>
    <n v="-60.48"/>
    <s v="11"/>
    <s v="2013"/>
    <n v="7139.1"/>
    <n v="-60.48"/>
    <s v="CREDITOR"/>
    <n v="0"/>
    <n v="0"/>
    <n v="-60.48"/>
    <n v="0"/>
    <n v="0"/>
  </r>
  <r>
    <n v="60701525"/>
    <s v="N"/>
    <n v="21356389"/>
    <s v="3000014948210003RC"/>
    <s v="CIVIL"/>
    <d v="2023-06-30T00:00:00"/>
    <d v="2023-07-10T19:47:44"/>
    <m/>
    <d v="2023-07-10T00:00:00"/>
    <n v="637"/>
    <n v="16940"/>
    <s v="60701525"/>
    <s v="60701525"/>
    <m/>
    <m/>
    <m/>
    <m/>
    <m/>
    <m/>
    <s v="SOLRECOUP"/>
    <s v="SOLRECOUP"/>
    <s v="POARECOUP"/>
    <n v="21356389"/>
    <n v="-53"/>
    <m/>
    <s v="Y"/>
    <n v="2"/>
    <d v="2023-07-10T19:47:44"/>
    <s v="N"/>
    <m/>
    <m/>
    <s v="Non Expert Disbursement"/>
    <m/>
    <s v="N"/>
    <n v="0"/>
    <n v="0"/>
    <x v="2"/>
    <s v="VALIDATED"/>
    <n v="1"/>
    <s v="01.11.80.000.0000.0000"/>
    <n v="0"/>
    <s v="11"/>
    <s v="0000"/>
    <n v="7139.1"/>
    <n v="0"/>
    <s v="CREDITOR"/>
    <n v="0"/>
    <n v="0"/>
    <n v="0"/>
    <n v="0"/>
    <n v="0"/>
  </r>
  <r>
    <n v="60701525"/>
    <s v="N"/>
    <n v="21356389"/>
    <s v="3000014948210003RC"/>
    <s v="CIVIL"/>
    <d v="2023-06-30T00:00:00"/>
    <d v="2023-07-10T19:47:44"/>
    <m/>
    <d v="2023-07-10T00:00:00"/>
    <n v="637"/>
    <n v="16940"/>
    <s v="60701525"/>
    <s v="60701525"/>
    <m/>
    <m/>
    <m/>
    <m/>
    <m/>
    <m/>
    <s v="SOLRECOUP"/>
    <s v="SOLRECOUP"/>
    <s v="POARECOUP"/>
    <n v="21356389"/>
    <n v="-53"/>
    <m/>
    <s v="Y"/>
    <n v="1"/>
    <d v="2023-07-10T19:47:44"/>
    <s v="N"/>
    <m/>
    <m/>
    <s v="Non Expert Disbursement"/>
    <m/>
    <s v="N"/>
    <n v="-53"/>
    <n v="0"/>
    <x v="2"/>
    <s v="VALIDATED"/>
    <n v="1"/>
    <s v="01.11.80.308.2013.0000"/>
    <n v="-53"/>
    <s v="11"/>
    <s v="2013"/>
    <n v="7139.1"/>
    <n v="-53"/>
    <s v="CREDITOR"/>
    <n v="0"/>
    <n v="0"/>
    <n v="-53"/>
    <n v="0"/>
    <n v="0"/>
  </r>
  <r>
    <n v="60701525"/>
    <s v="N"/>
    <n v="21356390"/>
    <s v="3000014948210005RC"/>
    <s v="CIVIL"/>
    <d v="2023-06-30T00:00:00"/>
    <d v="2023-07-10T19:47:44"/>
    <m/>
    <d v="2023-07-10T00:00:00"/>
    <n v="637"/>
    <n v="16940"/>
    <s v="60701525"/>
    <s v="60701525"/>
    <m/>
    <m/>
    <m/>
    <m/>
    <m/>
    <m/>
    <s v="SOLRECOUP"/>
    <s v="SOLRECOUP"/>
    <s v="POARECOUP"/>
    <n v="21356390"/>
    <n v="-2508.48"/>
    <m/>
    <s v="Y"/>
    <n v="1"/>
    <d v="2023-07-10T19:47:44"/>
    <s v="N"/>
    <m/>
    <m/>
    <s v="Profit Cost"/>
    <m/>
    <s v="N"/>
    <n v="-2090.4"/>
    <n v="0"/>
    <x v="2"/>
    <s v="VALIDATED"/>
    <n v="1"/>
    <s v="01.11.80.308.2013.0000"/>
    <n v="-2090.4"/>
    <s v="11"/>
    <s v="2013"/>
    <n v="7139.1"/>
    <n v="-2090.4"/>
    <s v="CREDITOR"/>
    <n v="0"/>
    <n v="0"/>
    <n v="-2090.4"/>
    <n v="-522.6"/>
    <n v="0"/>
  </r>
  <r>
    <n v="60701525"/>
    <s v="N"/>
    <n v="21356390"/>
    <s v="3000014948210005RC"/>
    <s v="CIVIL"/>
    <d v="2023-06-30T00:00:00"/>
    <d v="2023-07-10T19:47:44"/>
    <m/>
    <d v="2023-07-10T00:00:00"/>
    <n v="637"/>
    <n v="16940"/>
    <s v="60701525"/>
    <s v="60701525"/>
    <m/>
    <m/>
    <m/>
    <m/>
    <m/>
    <m/>
    <s v="SOLRECOUP"/>
    <s v="SOLRECOUP"/>
    <s v="POARECOUP"/>
    <n v="21356390"/>
    <n v="-2508.48"/>
    <m/>
    <s v="Y"/>
    <n v="2"/>
    <d v="2023-07-10T19:47:44"/>
    <s v="N"/>
    <m/>
    <m/>
    <s v="Profit Cost"/>
    <m/>
    <s v="N"/>
    <n v="0"/>
    <n v="-418.08"/>
    <x v="2"/>
    <s v="VALIDATED"/>
    <n v="1"/>
    <s v="01.11.80.308.2013.0000"/>
    <n v="-418.08"/>
    <s v="11"/>
    <s v="2013"/>
    <n v="7139.1"/>
    <n v="-418.08"/>
    <s v="CREDITOR"/>
    <n v="0"/>
    <n v="0"/>
    <n v="-418.08"/>
    <n v="-104.52"/>
    <n v="0"/>
  </r>
  <r>
    <n v="60701525"/>
    <s v="N"/>
    <n v="21356391"/>
    <s v="3000014948210006RC"/>
    <s v="CIVIL"/>
    <d v="2023-06-30T00:00:00"/>
    <d v="2023-07-10T19:47:44"/>
    <m/>
    <d v="2023-07-10T00:00:00"/>
    <n v="637"/>
    <n v="16940"/>
    <s v="60701525"/>
    <s v="60701525"/>
    <m/>
    <m/>
    <m/>
    <m/>
    <m/>
    <m/>
    <s v="SOLRECOUP"/>
    <s v="SOLRECOUP"/>
    <s v="POARECOUP"/>
    <n v="21356391"/>
    <n v="-38.16"/>
    <m/>
    <s v="Y"/>
    <n v="1"/>
    <d v="2023-07-10T19:47:44"/>
    <s v="N"/>
    <m/>
    <m/>
    <s v="Non Expert Disbursement"/>
    <m/>
    <s v="N"/>
    <n v="-38.16"/>
    <n v="0"/>
    <x v="2"/>
    <s v="VALIDATED"/>
    <n v="1"/>
    <s v="01.11.80.308.2013.0000"/>
    <n v="-38.16"/>
    <s v="11"/>
    <s v="2013"/>
    <n v="7139.1"/>
    <n v="-38.16"/>
    <s v="CREDITOR"/>
    <n v="0"/>
    <n v="0"/>
    <n v="-38.16"/>
    <n v="0"/>
    <n v="0"/>
  </r>
  <r>
    <n v="60701525"/>
    <s v="N"/>
    <n v="21356391"/>
    <s v="3000014948210006RC"/>
    <s v="CIVIL"/>
    <d v="2023-06-30T00:00:00"/>
    <d v="2023-07-10T19:47:44"/>
    <m/>
    <d v="2023-07-10T00:00:00"/>
    <n v="637"/>
    <n v="16940"/>
    <s v="60701525"/>
    <s v="60701525"/>
    <m/>
    <m/>
    <m/>
    <m/>
    <m/>
    <m/>
    <s v="SOLRECOUP"/>
    <s v="SOLRECOUP"/>
    <s v="POARECOUP"/>
    <n v="21356391"/>
    <n v="-38.16"/>
    <m/>
    <s v="Y"/>
    <n v="2"/>
    <d v="2023-07-10T19:47:44"/>
    <s v="N"/>
    <m/>
    <m/>
    <s v="Non Expert Disbursement"/>
    <m/>
    <s v="N"/>
    <n v="0"/>
    <n v="0"/>
    <x v="2"/>
    <s v="VALIDATED"/>
    <n v="1"/>
    <s v="01.11.80.000.0000.0000"/>
    <n v="0"/>
    <s v="11"/>
    <s v="0000"/>
    <n v="7139.1"/>
    <n v="0"/>
    <s v="CREDITOR"/>
    <n v="0"/>
    <n v="0"/>
    <n v="0"/>
    <n v="0"/>
    <n v="0"/>
  </r>
  <r>
    <n v="60701525"/>
    <s v="N"/>
    <n v="21356392"/>
    <s v="3000014948210007RC"/>
    <s v="CIVIL"/>
    <d v="2023-06-30T00:00:00"/>
    <d v="2023-07-10T19:47:44"/>
    <m/>
    <d v="2023-07-10T00:00:00"/>
    <n v="637"/>
    <n v="16940"/>
    <s v="60701525"/>
    <s v="60701525"/>
    <m/>
    <m/>
    <m/>
    <m/>
    <m/>
    <m/>
    <s v="SOLRECOUP"/>
    <s v="SOLRECOUP"/>
    <s v="POARECOUP"/>
    <n v="21356392"/>
    <n v="-799.64"/>
    <m/>
    <s v="Y"/>
    <n v="1"/>
    <d v="2023-07-10T19:47:44"/>
    <s v="N"/>
    <m/>
    <m/>
    <s v="Expert Disbursement"/>
    <m/>
    <s v="N"/>
    <n v="-799.64"/>
    <n v="0"/>
    <x v="2"/>
    <s v="VALIDATED"/>
    <n v="1"/>
    <s v="01.11.80.308.2013.0000"/>
    <n v="-799.64"/>
    <s v="11"/>
    <s v="2013"/>
    <n v="7139.1"/>
    <n v="-799.64"/>
    <s v="CREDITOR"/>
    <n v="0"/>
    <n v="0"/>
    <n v="-799.64"/>
    <n v="0"/>
    <n v="0"/>
  </r>
  <r>
    <n v="60701525"/>
    <s v="N"/>
    <n v="21356392"/>
    <s v="3000014948210007RC"/>
    <s v="CIVIL"/>
    <d v="2023-06-30T00:00:00"/>
    <d v="2023-07-10T19:47:44"/>
    <m/>
    <d v="2023-07-10T00:00:00"/>
    <n v="637"/>
    <n v="16940"/>
    <s v="60701525"/>
    <s v="60701525"/>
    <m/>
    <m/>
    <m/>
    <m/>
    <m/>
    <m/>
    <s v="SOLRECOUP"/>
    <s v="SOLRECOUP"/>
    <s v="POARECOUP"/>
    <n v="21356392"/>
    <n v="-799.64"/>
    <m/>
    <s v="Y"/>
    <n v="2"/>
    <d v="2023-07-10T19:47:44"/>
    <s v="N"/>
    <m/>
    <m/>
    <s v="Expert Disbursement"/>
    <m/>
    <s v="N"/>
    <n v="0"/>
    <n v="0"/>
    <x v="2"/>
    <s v="VALIDATED"/>
    <n v="1"/>
    <s v="01.11.80.000.0000.0000"/>
    <n v="0"/>
    <s v="11"/>
    <s v="0000"/>
    <n v="7139.1"/>
    <n v="0"/>
    <s v="CREDITOR"/>
    <n v="0"/>
    <n v="0"/>
    <n v="0"/>
    <n v="0"/>
    <n v="0"/>
  </r>
  <r>
    <n v="60701525"/>
    <s v="N"/>
    <n v="21356393"/>
    <s v="3000014948210011RC"/>
    <s v="CIVIL"/>
    <d v="2023-06-30T00:00:00"/>
    <d v="2023-07-10T19:47:44"/>
    <m/>
    <d v="2023-07-10T00:00:00"/>
    <n v="637"/>
    <n v="16940"/>
    <s v="60701525"/>
    <s v="60701525"/>
    <m/>
    <m/>
    <m/>
    <m/>
    <m/>
    <m/>
    <s v="SOLRECOUP"/>
    <s v="SOLRECOUP"/>
    <s v="POARECOUP"/>
    <n v="21356393"/>
    <n v="-3924.48"/>
    <m/>
    <s v="Y"/>
    <n v="1"/>
    <d v="2023-07-10T19:47:44"/>
    <s v="N"/>
    <m/>
    <m/>
    <s v="Profit Cost"/>
    <m/>
    <s v="N"/>
    <n v="-3270.4"/>
    <n v="0"/>
    <x v="2"/>
    <s v="VALIDATED"/>
    <n v="1"/>
    <s v="01.11.80.308.2013.0000"/>
    <n v="-3270.4"/>
    <s v="11"/>
    <s v="2013"/>
    <n v="7139.1"/>
    <n v="-3270.4"/>
    <s v="CREDITOR"/>
    <n v="0"/>
    <n v="0"/>
    <n v="-3270.4"/>
    <n v="-817.6"/>
    <n v="0"/>
  </r>
  <r>
    <n v="60701525"/>
    <s v="N"/>
    <n v="21356393"/>
    <s v="3000014948210011RC"/>
    <s v="CIVIL"/>
    <d v="2023-06-30T00:00:00"/>
    <d v="2023-07-10T19:47:44"/>
    <m/>
    <d v="2023-07-10T00:00:00"/>
    <n v="637"/>
    <n v="16940"/>
    <s v="60701525"/>
    <s v="60701525"/>
    <m/>
    <m/>
    <m/>
    <m/>
    <m/>
    <m/>
    <s v="SOLRECOUP"/>
    <s v="SOLRECOUP"/>
    <s v="POARECOUP"/>
    <n v="21356393"/>
    <n v="-3924.48"/>
    <m/>
    <s v="Y"/>
    <n v="2"/>
    <d v="2023-07-10T19:47:44"/>
    <s v="N"/>
    <m/>
    <m/>
    <s v="Profit Cost"/>
    <m/>
    <s v="N"/>
    <n v="0"/>
    <n v="-654.08"/>
    <x v="2"/>
    <s v="VALIDATED"/>
    <n v="1"/>
    <s v="01.11.80.308.2013.0000"/>
    <n v="-654.08"/>
    <s v="11"/>
    <s v="2013"/>
    <n v="7139.1"/>
    <n v="-654.08"/>
    <s v="CREDITOR"/>
    <n v="0"/>
    <n v="0"/>
    <n v="-654.08"/>
    <n v="-163.52"/>
    <n v="0"/>
  </r>
  <r>
    <n v="10292446"/>
    <s v="N"/>
    <n v="21361380"/>
    <s v="3000006158190001RC"/>
    <s v="CIVIL"/>
    <d v="2023-06-30T00:00:00"/>
    <d v="2023-07-11T19:38:00"/>
    <m/>
    <d v="2023-07-11T00:00:00"/>
    <n v="637"/>
    <n v="16940"/>
    <s v="10292446"/>
    <s v="10292446"/>
    <m/>
    <m/>
    <m/>
    <m/>
    <m/>
    <m/>
    <s v="SOLRECOUP"/>
    <s v="SOLRECOUP"/>
    <s v="POARECOUP"/>
    <n v="21361380"/>
    <n v="-11.52"/>
    <m/>
    <s v="Y"/>
    <n v="2"/>
    <d v="2023-07-11T19:38:00"/>
    <s v="N"/>
    <m/>
    <m/>
    <s v="Profit Cost"/>
    <m/>
    <s v="N"/>
    <n v="0"/>
    <n v="-1.92"/>
    <x v="7"/>
    <s v="VALIDATED"/>
    <n v="1"/>
    <s v="01.11.80.308.2013.0000"/>
    <n v="-1.92"/>
    <s v="11"/>
    <s v="2013"/>
    <n v="7139.1"/>
    <n v="-1.92"/>
    <s v="CREDITOR"/>
    <n v="0"/>
    <n v="0"/>
    <n v="-1.92"/>
    <n v="-0.48"/>
    <n v="0"/>
  </r>
  <r>
    <n v="10292446"/>
    <s v="N"/>
    <n v="21361380"/>
    <s v="3000006158190001RC"/>
    <s v="CIVIL"/>
    <d v="2023-06-30T00:00:00"/>
    <d v="2023-07-11T19:38:00"/>
    <m/>
    <d v="2023-07-11T00:00:00"/>
    <n v="637"/>
    <n v="16940"/>
    <s v="10292446"/>
    <s v="10292446"/>
    <m/>
    <m/>
    <m/>
    <m/>
    <m/>
    <m/>
    <s v="SOLRECOUP"/>
    <s v="SOLRECOUP"/>
    <s v="POARECOUP"/>
    <n v="21361380"/>
    <n v="-11.52"/>
    <m/>
    <s v="Y"/>
    <n v="1"/>
    <d v="2023-07-11T19:38:00"/>
    <s v="N"/>
    <m/>
    <m/>
    <s v="Profit Cost"/>
    <m/>
    <s v="N"/>
    <n v="-9.6"/>
    <n v="0"/>
    <x v="7"/>
    <s v="VALIDATED"/>
    <n v="1"/>
    <s v="01.11.80.308.2013.0000"/>
    <n v="-9.6"/>
    <s v="11"/>
    <s v="2013"/>
    <n v="7139.1"/>
    <n v="-9.6"/>
    <s v="CREDITOR"/>
    <n v="0"/>
    <n v="0"/>
    <n v="-9.6"/>
    <n v="-2.4"/>
    <n v="0"/>
  </r>
  <r>
    <n v="9312713"/>
    <s v="N"/>
    <n v="21398375"/>
    <s v="3000005284640001RC"/>
    <s v="CIVIL"/>
    <d v="2023-06-29T00:00:00"/>
    <d v="2023-07-19T19:43:58"/>
    <m/>
    <d v="2023-07-19T00:00:00"/>
    <n v="637"/>
    <n v="16940"/>
    <s v="9312713"/>
    <s v="9312713"/>
    <m/>
    <m/>
    <m/>
    <m/>
    <m/>
    <m/>
    <s v="SOLRECOUP"/>
    <s v="SOLRECOUP"/>
    <s v="POARECOUP"/>
    <n v="21398375"/>
    <n v="-200.04"/>
    <m/>
    <s v="Y"/>
    <n v="1"/>
    <d v="2023-07-19T19:43:58"/>
    <s v="N"/>
    <m/>
    <m/>
    <s v="Non Expert Disbursement"/>
    <m/>
    <s v="N"/>
    <n v="-166.7"/>
    <n v="0"/>
    <x v="5"/>
    <s v="VALIDATED"/>
    <n v="1"/>
    <s v="01.11.80.302.2013.0000"/>
    <n v="-166.7"/>
    <s v="11"/>
    <s v="2013"/>
    <n v="7139.1"/>
    <n v="-166.7"/>
    <s v="CREDITOR"/>
    <n v="0"/>
    <n v="0"/>
    <n v="-166.7"/>
    <n v="0"/>
    <n v="0"/>
  </r>
  <r>
    <n v="9312713"/>
    <s v="N"/>
    <n v="21398375"/>
    <s v="3000005284640001RC"/>
    <s v="CIVIL"/>
    <d v="2023-06-29T00:00:00"/>
    <d v="2023-07-19T19:43:58"/>
    <m/>
    <d v="2023-07-19T00:00:00"/>
    <n v="637"/>
    <n v="16940"/>
    <s v="9312713"/>
    <s v="9312713"/>
    <m/>
    <m/>
    <m/>
    <m/>
    <m/>
    <m/>
    <s v="SOLRECOUP"/>
    <s v="SOLRECOUP"/>
    <s v="POARECOUP"/>
    <n v="21398375"/>
    <n v="-200.04"/>
    <m/>
    <s v="Y"/>
    <n v="2"/>
    <d v="2023-07-19T19:43:58"/>
    <s v="N"/>
    <m/>
    <m/>
    <s v="Non Expert Disbursement"/>
    <m/>
    <s v="N"/>
    <n v="0"/>
    <n v="-33.34"/>
    <x v="5"/>
    <s v="VALIDATED"/>
    <n v="1"/>
    <s v="01.11.80.302.2013.0000"/>
    <n v="-33.34"/>
    <s v="11"/>
    <s v="2013"/>
    <n v="7139.1"/>
    <n v="-33.34"/>
    <s v="CREDITOR"/>
    <n v="0"/>
    <n v="0"/>
    <n v="-33.34"/>
    <n v="0"/>
    <n v="0"/>
  </r>
  <r>
    <n v="9312713"/>
    <s v="N"/>
    <n v="21398404"/>
    <s v="3000005284640004RC"/>
    <s v="CIVIL"/>
    <d v="2023-06-29T00:00:00"/>
    <d v="2023-07-19T19:43:58"/>
    <m/>
    <d v="2023-07-19T00:00:00"/>
    <n v="637"/>
    <n v="16940"/>
    <s v="9312713"/>
    <s v="9312713"/>
    <m/>
    <m/>
    <m/>
    <m/>
    <m/>
    <m/>
    <s v="SOLRECOUP"/>
    <s v="SOLRECOUP"/>
    <s v="POARECOUP"/>
    <n v="21398404"/>
    <n v="-4712.4"/>
    <m/>
    <s v="Y"/>
    <n v="1"/>
    <d v="2023-07-19T19:43:58"/>
    <s v="N"/>
    <m/>
    <m/>
    <s v="Profit Cost"/>
    <m/>
    <s v="N"/>
    <n v="-3927"/>
    <n v="0"/>
    <x v="5"/>
    <s v="VALIDATED"/>
    <n v="1"/>
    <s v="01.11.80.307.2013.0000"/>
    <n v="-3927"/>
    <s v="11"/>
    <s v="2013"/>
    <n v="7139.1"/>
    <n v="-3927"/>
    <s v="CREDITOR"/>
    <n v="0"/>
    <n v="0"/>
    <n v="-3927"/>
    <n v="-981.75"/>
    <n v="0"/>
  </r>
  <r>
    <n v="9312713"/>
    <s v="N"/>
    <n v="21398404"/>
    <s v="3000005284640004RC"/>
    <s v="CIVIL"/>
    <d v="2023-06-29T00:00:00"/>
    <d v="2023-07-19T19:43:58"/>
    <m/>
    <d v="2023-07-19T00:00:00"/>
    <n v="637"/>
    <n v="16940"/>
    <s v="9312713"/>
    <s v="9312713"/>
    <m/>
    <m/>
    <m/>
    <m/>
    <m/>
    <m/>
    <s v="SOLRECOUP"/>
    <s v="SOLRECOUP"/>
    <s v="POARECOUP"/>
    <n v="21398404"/>
    <n v="-4712.4"/>
    <m/>
    <s v="Y"/>
    <n v="2"/>
    <d v="2023-07-19T19:43:58"/>
    <s v="N"/>
    <m/>
    <m/>
    <s v="Profit Cost"/>
    <m/>
    <s v="N"/>
    <n v="0"/>
    <n v="-785.4"/>
    <x v="5"/>
    <s v="VALIDATED"/>
    <n v="1"/>
    <s v="01.11.80.307.2013.0000"/>
    <n v="-785.4"/>
    <s v="11"/>
    <s v="2013"/>
    <n v="7139.1"/>
    <n v="-785.4"/>
    <s v="CREDITOR"/>
    <n v="0"/>
    <n v="0"/>
    <n v="-785.4"/>
    <n v="-196.35"/>
    <n v="0"/>
  </r>
  <r>
    <n v="9312713"/>
    <s v="N"/>
    <n v="21398405"/>
    <s v="3000005284640005RC"/>
    <s v="CIVIL"/>
    <d v="2023-06-29T00:00:00"/>
    <d v="2023-07-19T19:43:58"/>
    <m/>
    <d v="2023-07-19T00:00:00"/>
    <n v="637"/>
    <n v="16940"/>
    <s v="9312713"/>
    <s v="9312713"/>
    <m/>
    <m/>
    <m/>
    <m/>
    <m/>
    <m/>
    <s v="SOLRECOUP"/>
    <s v="SOLRECOUP"/>
    <s v="POARECOUP"/>
    <n v="21398405"/>
    <n v="-252.7"/>
    <m/>
    <s v="Y"/>
    <n v="2"/>
    <d v="2023-07-19T19:43:58"/>
    <s v="N"/>
    <m/>
    <m/>
    <s v="Non Expert Disbursement"/>
    <m/>
    <s v="N"/>
    <n v="0"/>
    <n v="0"/>
    <x v="5"/>
    <s v="VALIDATED"/>
    <n v="1"/>
    <s v="01.11.80.000.0000.0000"/>
    <n v="0"/>
    <s v="11"/>
    <s v="0000"/>
    <n v="7139.1"/>
    <n v="0"/>
    <s v="CREDITOR"/>
    <n v="0"/>
    <n v="0"/>
    <n v="0"/>
    <n v="0"/>
    <n v="0"/>
  </r>
  <r>
    <n v="9312713"/>
    <s v="N"/>
    <n v="21398405"/>
    <s v="3000005284640005RC"/>
    <s v="CIVIL"/>
    <d v="2023-06-29T00:00:00"/>
    <d v="2023-07-19T19:43:58"/>
    <m/>
    <d v="2023-07-19T00:00:00"/>
    <n v="637"/>
    <n v="16940"/>
    <s v="9312713"/>
    <s v="9312713"/>
    <m/>
    <m/>
    <m/>
    <m/>
    <m/>
    <m/>
    <s v="SOLRECOUP"/>
    <s v="SOLRECOUP"/>
    <s v="POARECOUP"/>
    <n v="21398405"/>
    <n v="-252.7"/>
    <m/>
    <s v="Y"/>
    <n v="1"/>
    <d v="2023-07-19T19:43:58"/>
    <s v="N"/>
    <m/>
    <m/>
    <s v="Non Expert Disbursement"/>
    <m/>
    <s v="N"/>
    <n v="-252.7"/>
    <n v="0"/>
    <x v="5"/>
    <s v="VALIDATED"/>
    <n v="1"/>
    <s v="01.11.80.307.2013.0000"/>
    <n v="-252.7"/>
    <s v="11"/>
    <s v="2013"/>
    <n v="7139.1"/>
    <n v="-252.7"/>
    <s v="CREDITOR"/>
    <n v="0"/>
    <n v="0"/>
    <n v="-252.7"/>
    <n v="0"/>
    <n v="0"/>
  </r>
  <r>
    <n v="9312713"/>
    <s v="N"/>
    <n v="21398406"/>
    <s v="3000005284640006RC"/>
    <s v="CIVIL"/>
    <d v="2023-06-29T00:00:00"/>
    <d v="2023-07-19T19:43:58"/>
    <m/>
    <d v="2023-07-19T00:00:00"/>
    <n v="637"/>
    <n v="16940"/>
    <s v="9312713"/>
    <s v="9312713"/>
    <m/>
    <m/>
    <m/>
    <m/>
    <m/>
    <m/>
    <s v="SOLRECOUP"/>
    <s v="SOLRECOUP"/>
    <s v="POARECOUP"/>
    <n v="21398406"/>
    <n v="-210.36"/>
    <m/>
    <s v="Y"/>
    <n v="1"/>
    <d v="2023-07-19T19:43:58"/>
    <s v="N"/>
    <m/>
    <m/>
    <s v="Non Expert Disbursement"/>
    <m/>
    <s v="N"/>
    <n v="-175.3"/>
    <n v="0"/>
    <x v="5"/>
    <s v="VALIDATED"/>
    <n v="1"/>
    <s v="01.11.80.307.2013.0000"/>
    <n v="-175.3"/>
    <s v="11"/>
    <s v="2013"/>
    <n v="7139.1"/>
    <n v="-175.3"/>
    <s v="CREDITOR"/>
    <n v="0"/>
    <n v="0"/>
    <n v="-175.3"/>
    <n v="0"/>
    <n v="0"/>
  </r>
  <r>
    <n v="9312713"/>
    <s v="N"/>
    <n v="21398406"/>
    <s v="3000005284640006RC"/>
    <s v="CIVIL"/>
    <d v="2023-06-29T00:00:00"/>
    <d v="2023-07-19T19:43:58"/>
    <m/>
    <d v="2023-07-19T00:00:00"/>
    <n v="637"/>
    <n v="16940"/>
    <s v="9312713"/>
    <s v="9312713"/>
    <m/>
    <m/>
    <m/>
    <m/>
    <m/>
    <m/>
    <s v="SOLRECOUP"/>
    <s v="SOLRECOUP"/>
    <s v="POARECOUP"/>
    <n v="21398406"/>
    <n v="-210.36"/>
    <m/>
    <s v="Y"/>
    <n v="2"/>
    <d v="2023-07-19T19:43:58"/>
    <s v="N"/>
    <m/>
    <m/>
    <s v="Non Expert Disbursement"/>
    <m/>
    <s v="N"/>
    <n v="0"/>
    <n v="-35.06"/>
    <x v="5"/>
    <s v="VALIDATED"/>
    <n v="1"/>
    <s v="01.11.80.307.2013.0000"/>
    <n v="-35.06"/>
    <s v="11"/>
    <s v="2013"/>
    <n v="7139.1"/>
    <n v="-35.06"/>
    <s v="CREDITOR"/>
    <n v="0"/>
    <n v="0"/>
    <n v="-35.06"/>
    <n v="0"/>
    <n v="0"/>
  </r>
  <r>
    <n v="9351519"/>
    <s v="N"/>
    <n v="21338448"/>
    <s v="3000005319820004"/>
    <s v="CIVIL"/>
    <d v="2023-06-28T00:00:00"/>
    <d v="2023-07-06T19:21:01"/>
    <m/>
    <d v="2023-07-06T00:00:00"/>
    <n v="637"/>
    <n v="16940"/>
    <s v="9351519"/>
    <s v="9351519"/>
    <m/>
    <m/>
    <n v="22776538"/>
    <m/>
    <m/>
    <m/>
    <s v="SOLFIN"/>
    <s v="SOLFIN"/>
    <s v="CCMS"/>
    <n v="21338448"/>
    <n v="3980.23"/>
    <m/>
    <s v="N"/>
    <n v="6"/>
    <d v="2023-07-06T19:21:25"/>
    <s v="Y"/>
    <s v="Solicitors Fixed Fee"/>
    <s v="Public Law Children"/>
    <s v="Profit Cost"/>
    <s v="ZR"/>
    <s v="Y"/>
    <n v="2616"/>
    <n v="523.2"/>
    <x v="4"/>
    <s v="VALIDATED"/>
    <n v="1"/>
    <s v="01.11.80.308.6100.0000"/>
    <n v="2616"/>
    <s v="11"/>
    <s v="6100"/>
    <n v="7139.1"/>
    <n v="2616"/>
    <s v="CREDITOR"/>
    <n v="0"/>
    <n v="0"/>
    <n v="0"/>
    <n v="0"/>
    <n v="2616"/>
  </r>
  <r>
    <n v="9608641"/>
    <s v="N"/>
    <n v="21321680"/>
    <s v="3000005521930017"/>
    <s v="CIVIL"/>
    <d v="2023-06-29T00:00:00"/>
    <d v="2023-07-03T19:05:17"/>
    <m/>
    <d v="2023-07-03T00:00:00"/>
    <n v="637"/>
    <n v="16940"/>
    <s v="9608641"/>
    <s v="9608641"/>
    <m/>
    <m/>
    <n v="22787510"/>
    <m/>
    <m/>
    <m/>
    <s v="SOLPOA"/>
    <s v="SOLPOA"/>
    <s v="CCMS"/>
    <n v="21321680"/>
    <n v="38.64"/>
    <m/>
    <s v="N"/>
    <n v="1"/>
    <d v="2023-07-03T19:05:20"/>
    <s v="N"/>
    <s v="Non Expert Disbursement - Private L"/>
    <s v="Non Expert Disbursement - Priv"/>
    <s v="Non Expert Disbursement"/>
    <s v="Sophie Webb"/>
    <s v="N"/>
    <n v="32.2"/>
    <n v="6.44"/>
    <x v="3"/>
    <s v="VALIDATED"/>
    <n v="1"/>
    <s v="01.11.80.302.2012.0000"/>
    <n v="32.2"/>
    <s v="11"/>
    <s v="2012"/>
    <n v="7139.1"/>
    <n v="32.2"/>
    <s v="CREDITOR"/>
    <n v="32.2"/>
    <n v="0"/>
    <n v="0"/>
    <n v="0"/>
    <n v="0"/>
  </r>
  <r>
    <n v="9240619"/>
    <s v="N"/>
    <n v="21318310"/>
    <s v="3000005221950001"/>
    <s v="CIVIL"/>
    <d v="2023-06-21T00:00:00"/>
    <d v="2023-07-03T19:01:49"/>
    <m/>
    <d v="2023-07-03T00:00:00"/>
    <n v="637"/>
    <n v="16940"/>
    <s v="9240619"/>
    <s v="9240619"/>
    <m/>
    <m/>
    <n v="22735272"/>
    <m/>
    <m/>
    <m/>
    <s v="SOLFIN"/>
    <s v="SOLFIN"/>
    <s v="CCMS"/>
    <n v="21318310"/>
    <n v="0"/>
    <m/>
    <s v="N"/>
    <n v="1"/>
    <d v="2023-07-03T19:01:53"/>
    <s v="N"/>
    <s v="NIL BILL"/>
    <s v="Prescribed Hourly Rates"/>
    <s v="Profit Cost"/>
    <s v="RE"/>
    <s v="N"/>
    <n v="0"/>
    <n v="0"/>
    <x v="3"/>
    <s v="VALIDATED"/>
    <n v="1"/>
    <s v="01.11.80.307.6100.0000"/>
    <n v="0"/>
    <s v="11"/>
    <s v="6100"/>
    <n v="7139.1"/>
    <n v="0"/>
    <s v="CREDITOR"/>
    <n v="0"/>
    <n v="0"/>
    <n v="0"/>
    <n v="0"/>
    <n v="0"/>
  </r>
  <r>
    <n v="61145173"/>
    <s v="N"/>
    <n v="21322205"/>
    <s v="3000015329860011"/>
    <s v="CIVIL"/>
    <d v="2023-06-29T00:00:00"/>
    <d v="2023-07-03T19:05:36"/>
    <m/>
    <d v="2023-07-03T00:00:00"/>
    <n v="637"/>
    <n v="16940"/>
    <s v="61145173"/>
    <s v="61145173"/>
    <m/>
    <m/>
    <n v="22793498"/>
    <m/>
    <m/>
    <m/>
    <s v="SOLPOA"/>
    <s v="SOLPOA"/>
    <s v="CCMS"/>
    <n v="21322205"/>
    <n v="252.72"/>
    <m/>
    <s v="N"/>
    <n v="1"/>
    <d v="2023-07-03T19:05:36"/>
    <s v="N"/>
    <s v="Expert Cost"/>
    <s v="Expert Cost"/>
    <s v="Expert Disbursement"/>
    <s v="Emma Young"/>
    <s v="N"/>
    <n v="210.6"/>
    <n v="42.12"/>
    <x v="3"/>
    <s v="VALIDATED"/>
    <n v="1"/>
    <s v="01.11.80.308.2012.0000"/>
    <n v="210.6"/>
    <s v="11"/>
    <s v="2012"/>
    <n v="7139.1"/>
    <n v="210.6"/>
    <s v="CREDITOR"/>
    <n v="210.6"/>
    <n v="0"/>
    <n v="0"/>
    <n v="0"/>
    <n v="0"/>
  </r>
  <r>
    <n v="9312713"/>
    <s v="N"/>
    <n v="21395075"/>
    <s v="3000005284640007"/>
    <s v="CIVIL"/>
    <d v="2023-06-29T00:00:00"/>
    <d v="2023-07-19T19:02:01"/>
    <m/>
    <d v="2023-07-19T00:00:00"/>
    <n v="637"/>
    <n v="16940"/>
    <s v="9312713"/>
    <s v="9312713"/>
    <m/>
    <m/>
    <n v="22790482"/>
    <m/>
    <m/>
    <m/>
    <s v="SOLFIN"/>
    <s v="SOLFIN"/>
    <s v="CCMS"/>
    <n v="21395075"/>
    <n v="7519.1"/>
    <m/>
    <s v="N"/>
    <n v="9"/>
    <d v="2023-07-19T19:02:15"/>
    <s v="Y"/>
    <s v="Hearing Unit 2.31 - 5.00 Hours"/>
    <s v="Private Law Children"/>
    <s v="Advocacy"/>
    <s v="KM"/>
    <s v="Y"/>
    <n v="344.8"/>
    <n v="68.95999999999999"/>
    <x v="5"/>
    <s v="VALIDATED"/>
    <n v="1"/>
    <s v="01.11.80.307.6100.0000"/>
    <n v="344.8"/>
    <s v="11"/>
    <s v="6100"/>
    <n v="7139.1"/>
    <n v="344.8"/>
    <s v="CREDITOR"/>
    <n v="0"/>
    <n v="0"/>
    <n v="0"/>
    <n v="0"/>
    <n v="344.8"/>
  </r>
  <r>
    <n v="60701525"/>
    <s v="N"/>
    <n v="21350020"/>
    <s v="3000014948210012"/>
    <s v="CIVIL"/>
    <d v="2023-06-30T00:00:00"/>
    <d v="2023-07-10T19:01:40"/>
    <m/>
    <d v="2023-07-10T00:00:00"/>
    <n v="637"/>
    <n v="16940"/>
    <s v="60701525"/>
    <s v="60701525"/>
    <m/>
    <m/>
    <n v="22794230"/>
    <m/>
    <m/>
    <m/>
    <s v="SOLFIN"/>
    <s v="SOLFIN"/>
    <s v="CCMS"/>
    <n v="21350020"/>
    <n v="11951.18"/>
    <m/>
    <s v="N"/>
    <n v="4"/>
    <d v="2023-07-10T19:02:09"/>
    <s v="Y"/>
    <s v="Hearing Unit 1.01 - 2.30 Hours"/>
    <s v="Public Law Children"/>
    <s v="Advocacy"/>
    <s v="ey"/>
    <s v="Y"/>
    <n v="238.46"/>
    <n v="47.69"/>
    <x v="2"/>
    <s v="VALIDATED"/>
    <n v="1"/>
    <s v="01.11.80.308.6100.0000"/>
    <n v="238.46"/>
    <s v="11"/>
    <s v="6100"/>
    <n v="7139.1"/>
    <n v="238.46"/>
    <s v="CREDITOR"/>
    <n v="0"/>
    <n v="0"/>
    <n v="0"/>
    <n v="0"/>
    <n v="238.46"/>
  </r>
  <r>
    <n v="9313118"/>
    <s v="N"/>
    <n v="21370230"/>
    <s v="3000005284910001"/>
    <s v="CIVIL"/>
    <d v="2023-06-25T00:00:00"/>
    <d v="2023-07-13T19:21:05"/>
    <m/>
    <d v="2023-07-13T00:00:00"/>
    <n v="637"/>
    <n v="16940"/>
    <s v="9313118"/>
    <s v="9313118"/>
    <m/>
    <m/>
    <n v="22756870"/>
    <m/>
    <m/>
    <m/>
    <s v="SOLFIN"/>
    <s v="SOLFIN"/>
    <s v="CCMS"/>
    <n v="21370230"/>
    <n v="0"/>
    <m/>
    <s v="N"/>
    <n v="1"/>
    <d v="2023-07-13T19:21:17"/>
    <s v="N"/>
    <s v="NIL BILL"/>
    <s v="Prescribed Hourly Rates"/>
    <s v="Profit Cost"/>
    <s v="RE"/>
    <s v="N"/>
    <n v="0"/>
    <n v="0"/>
    <x v="11"/>
    <s v="VALIDATED"/>
    <n v="1"/>
    <s v="01.11.80.307.6100.0000"/>
    <n v="0"/>
    <s v="11"/>
    <s v="6100"/>
    <n v="7139.1"/>
    <n v="0"/>
    <s v="CREDITOR"/>
    <n v="0"/>
    <n v="0"/>
    <n v="0"/>
    <n v="0"/>
    <n v="0"/>
  </r>
  <r>
    <n v="9312713"/>
    <s v="N"/>
    <n v="21395075"/>
    <s v="3000005284640007"/>
    <s v="CIVIL"/>
    <d v="2023-06-29T00:00:00"/>
    <d v="2023-07-19T19:02:01"/>
    <m/>
    <d v="2023-07-19T00:00:00"/>
    <n v="637"/>
    <n v="16940"/>
    <s v="9312713"/>
    <s v="9312713"/>
    <m/>
    <m/>
    <n v="22790482"/>
    <m/>
    <m/>
    <m/>
    <s v="SOLFIN"/>
    <s v="SOLFIN"/>
    <s v="CCMS"/>
    <n v="21395075"/>
    <n v="7519.1"/>
    <m/>
    <s v="N"/>
    <n v="11"/>
    <d v="2023-07-19T19:02:15"/>
    <s v="Y"/>
    <s v="Hearing Unit 1.01 - 2.30 Hours"/>
    <s v="Domestic Abuse"/>
    <s v="Advocacy"/>
    <s v="ZR"/>
    <s v="Y"/>
    <n v="203.76"/>
    <n v="40.75"/>
    <x v="5"/>
    <s v="VALIDATED"/>
    <n v="1"/>
    <s v="01.11.80.307.6100.0000"/>
    <n v="203.76"/>
    <s v="11"/>
    <s v="6100"/>
    <n v="7139.1"/>
    <n v="203.76"/>
    <s v="CREDITOR"/>
    <n v="0"/>
    <n v="0"/>
    <n v="0"/>
    <n v="0"/>
    <n v="203.76"/>
  </r>
  <r>
    <n v="60701525"/>
    <s v="N"/>
    <n v="21350020"/>
    <s v="3000014948210012"/>
    <s v="CIVIL"/>
    <d v="2023-06-30T00:00:00"/>
    <d v="2023-07-10T19:01:40"/>
    <m/>
    <d v="2023-07-10T00:00:00"/>
    <n v="637"/>
    <n v="16940"/>
    <s v="60701525"/>
    <s v="60701525"/>
    <m/>
    <m/>
    <n v="22794230"/>
    <m/>
    <m/>
    <m/>
    <s v="SOLFIN"/>
    <s v="SOLFIN"/>
    <s v="CCMS"/>
    <n v="21350020"/>
    <n v="11951.18"/>
    <m/>
    <s v="N"/>
    <n v="1"/>
    <d v="2023-07-10T19:02:09"/>
    <s v="Y"/>
    <s v="Disbursements (Summary)"/>
    <s v="Public Law Children"/>
    <s v="Non Expert Disbursement"/>
    <s v="disbs"/>
    <s v="Y"/>
    <n v="1842.37"/>
    <n v="368.47"/>
    <x v="2"/>
    <s v="VALIDATED"/>
    <n v="1"/>
    <s v="01.11.80.308.6300.0000"/>
    <n v="1842.37"/>
    <s v="11"/>
    <s v="6300"/>
    <n v="7139.1"/>
    <n v="1842.37"/>
    <s v="CREDITOR"/>
    <n v="0"/>
    <n v="0"/>
    <n v="0"/>
    <n v="0"/>
    <n v="1842.37"/>
  </r>
  <r>
    <n v="10292446"/>
    <s v="N"/>
    <n v="21360754"/>
    <s v="3000006158190002"/>
    <s v="CIVIL"/>
    <d v="2023-06-30T00:00:00"/>
    <d v="2023-07-11T19:00:25"/>
    <m/>
    <d v="2023-07-11T00:00:00"/>
    <n v="637"/>
    <n v="16940"/>
    <s v="10292446"/>
    <s v="10292446"/>
    <m/>
    <m/>
    <n v="22801332"/>
    <m/>
    <m/>
    <m/>
    <s v="SOLFIN"/>
    <s v="SOLFIN"/>
    <s v="CCMS"/>
    <n v="21360754"/>
    <n v="361.85"/>
    <m/>
    <s v="N"/>
    <n v="5"/>
    <d v="2023-07-11T19:00:32"/>
    <s v="Y"/>
    <s v="Routine Letter In"/>
    <s v="Care Remuneration Hourly Rates"/>
    <s v="Profit Cost"/>
    <s v="EY"/>
    <s v="Y"/>
    <n v="9.25"/>
    <n v="1.85"/>
    <x v="7"/>
    <s v="VALIDATED"/>
    <n v="1"/>
    <s v="01.11.80.308.6100.0000"/>
    <n v="9.25"/>
    <s v="11"/>
    <s v="6100"/>
    <n v="7139.1"/>
    <n v="9.25"/>
    <s v="CREDITOR"/>
    <n v="0"/>
    <n v="0"/>
    <n v="0"/>
    <n v="0"/>
    <n v="9.25"/>
  </r>
  <r>
    <n v="62058163"/>
    <s v="N"/>
    <n v="21321608"/>
    <s v="3000016091980003"/>
    <s v="CIVIL"/>
    <d v="2023-06-29T00:00:00"/>
    <d v="2023-07-03T19:05:17"/>
    <m/>
    <d v="2023-07-03T00:00:00"/>
    <n v="637"/>
    <n v="16940"/>
    <s v="62058163"/>
    <s v="62058163"/>
    <m/>
    <m/>
    <n v="22787720"/>
    <m/>
    <m/>
    <m/>
    <s v="SOLPOA"/>
    <s v="SOLPOA"/>
    <s v="CCMS"/>
    <n v="21321608"/>
    <n v="41.88"/>
    <m/>
    <s v="N"/>
    <n v="1"/>
    <d v="2023-07-03T19:05:19"/>
    <s v="N"/>
    <s v="Non Expert Disbursement"/>
    <s v="Non Expert Disbursement"/>
    <s v="Non Expert Disbursement"/>
    <s v="Emma Young"/>
    <s v="N"/>
    <n v="34.9"/>
    <n v="6.98"/>
    <x v="3"/>
    <s v="VALIDATED"/>
    <n v="1"/>
    <s v="01.11.80.308.2012.0000"/>
    <n v="34.9"/>
    <s v="11"/>
    <s v="2012"/>
    <n v="7139.1"/>
    <n v="34.9"/>
    <s v="CREDITOR"/>
    <n v="34.9"/>
    <n v="0"/>
    <n v="0"/>
    <n v="0"/>
    <n v="0"/>
  </r>
  <r>
    <n v="9312713"/>
    <s v="N"/>
    <n v="21395075"/>
    <s v="3000005284640007"/>
    <s v="CIVIL"/>
    <d v="2023-06-29T00:00:00"/>
    <d v="2023-07-19T19:02:01"/>
    <m/>
    <d v="2023-07-19T00:00:00"/>
    <n v="637"/>
    <n v="16940"/>
    <s v="9312713"/>
    <s v="9312713"/>
    <m/>
    <m/>
    <n v="22790482"/>
    <m/>
    <m/>
    <m/>
    <s v="SOLFIN"/>
    <s v="SOLFIN"/>
    <s v="CCMS"/>
    <n v="21395075"/>
    <n v="7519.1"/>
    <m/>
    <s v="N"/>
    <n v="13"/>
    <d v="2023-07-19T19:02:15"/>
    <s v="Y"/>
    <s v="Level 4 Fixed Fee"/>
    <s v="Domestic Abuse"/>
    <s v="Profit Cost"/>
    <s v="ZR"/>
    <s v="Y"/>
    <n v="507"/>
    <n v="101.4"/>
    <x v="5"/>
    <s v="VALIDATED"/>
    <n v="1"/>
    <s v="01.11.80.307.6100.0000"/>
    <n v="507"/>
    <s v="11"/>
    <s v="6100"/>
    <n v="7139.1"/>
    <n v="507"/>
    <s v="CREDITOR"/>
    <n v="0"/>
    <n v="0"/>
    <n v="0"/>
    <n v="0"/>
    <n v="507"/>
  </r>
  <r>
    <n v="9351519"/>
    <s v="N"/>
    <n v="21338448"/>
    <s v="3000005319820004"/>
    <s v="CIVIL"/>
    <d v="2023-06-28T00:00:00"/>
    <d v="2023-07-06T19:21:01"/>
    <m/>
    <d v="2023-07-06T00:00:00"/>
    <n v="637"/>
    <n v="16940"/>
    <s v="9351519"/>
    <s v="9351519"/>
    <m/>
    <m/>
    <n v="22776538"/>
    <m/>
    <m/>
    <m/>
    <s v="SOLFIN"/>
    <s v="SOLFIN"/>
    <s v="CCMS"/>
    <n v="21338448"/>
    <n v="3980.23"/>
    <m/>
    <s v="N"/>
    <n v="2"/>
    <d v="2023-07-06T19:21:25"/>
    <s v="Y"/>
    <s v="Solicitor Travel Mileage"/>
    <s v="Public Law Children"/>
    <s v="Non Expert Disbursement"/>
    <s v="EY"/>
    <s v="Y"/>
    <n v="36.9"/>
    <n v="7.38"/>
    <x v="4"/>
    <s v="VALIDATED"/>
    <n v="1"/>
    <s v="01.11.80.308.6300.0000"/>
    <n v="36.9"/>
    <s v="11"/>
    <s v="6300"/>
    <n v="7139.1"/>
    <n v="36.9"/>
    <s v="CREDITOR"/>
    <n v="0"/>
    <n v="0"/>
    <n v="0"/>
    <n v="0"/>
    <n v="36.9"/>
  </r>
  <r>
    <n v="10292446"/>
    <s v="N"/>
    <n v="21360754"/>
    <s v="3000006158190002"/>
    <s v="CIVIL"/>
    <d v="2023-06-30T00:00:00"/>
    <d v="2023-07-11T19:00:25"/>
    <m/>
    <d v="2023-07-11T00:00:00"/>
    <n v="637"/>
    <n v="16940"/>
    <s v="10292446"/>
    <s v="10292446"/>
    <m/>
    <m/>
    <n v="22801332"/>
    <m/>
    <m/>
    <m/>
    <s v="SOLFIN"/>
    <s v="SOLFIN"/>
    <s v="CCMS"/>
    <n v="21360754"/>
    <n v="361.85"/>
    <m/>
    <s v="N"/>
    <n v="6"/>
    <d v="2023-07-11T19:00:32"/>
    <s v="Y"/>
    <s v="Preparation - other"/>
    <s v="Care Remuneration Hourly Rates"/>
    <s v="Profit Cost"/>
    <s v="EY"/>
    <s v="Y"/>
    <n v="70.09"/>
    <n v="14.02"/>
    <x v="7"/>
    <s v="VALIDATED"/>
    <n v="1"/>
    <s v="01.11.80.308.6100.0000"/>
    <n v="70.09"/>
    <s v="11"/>
    <s v="6100"/>
    <n v="7139.1"/>
    <n v="70.09"/>
    <s v="CREDITOR"/>
    <n v="0"/>
    <n v="0"/>
    <n v="0"/>
    <n v="0"/>
    <n v="70.09"/>
  </r>
  <r>
    <n v="9312713"/>
    <s v="N"/>
    <n v="21395075"/>
    <s v="3000005284640007"/>
    <s v="CIVIL"/>
    <d v="2023-06-29T00:00:00"/>
    <d v="2023-07-19T19:02:01"/>
    <m/>
    <d v="2023-07-19T00:00:00"/>
    <n v="637"/>
    <n v="16940"/>
    <s v="9312713"/>
    <s v="9312713"/>
    <m/>
    <m/>
    <n v="22790482"/>
    <m/>
    <m/>
    <m/>
    <s v="SOLFIN"/>
    <s v="SOLFIN"/>
    <s v="CCMS"/>
    <n v="21395075"/>
    <n v="7519.1"/>
    <m/>
    <s v="N"/>
    <n v="10"/>
    <d v="2023-07-19T19:02:15"/>
    <s v="Y"/>
    <s v="Hearing Unit 1.01 - 2.30 Hours"/>
    <s v="Private Law Children"/>
    <s v="Advocacy"/>
    <s v="JM"/>
    <s v="Y"/>
    <n v="172.4"/>
    <n v="34.48"/>
    <x v="5"/>
    <s v="VALIDATED"/>
    <n v="1"/>
    <s v="01.11.80.307.6100.0000"/>
    <n v="172.4"/>
    <s v="11"/>
    <s v="6100"/>
    <n v="7139.1"/>
    <n v="172.4"/>
    <s v="CREDITOR"/>
    <n v="0"/>
    <n v="0"/>
    <n v="0"/>
    <n v="0"/>
    <n v="172.4"/>
  </r>
  <r>
    <n v="61753840"/>
    <s v="N"/>
    <n v="21321158"/>
    <s v="3000015832330002"/>
    <s v="CIVIL"/>
    <d v="2023-06-28T00:00:00"/>
    <d v="2023-07-03T19:04:52"/>
    <m/>
    <d v="2023-07-03T00:00:00"/>
    <n v="637"/>
    <n v="16940"/>
    <s v="61753840"/>
    <s v="61753840"/>
    <m/>
    <m/>
    <n v="22782134"/>
    <m/>
    <m/>
    <m/>
    <s v="SOLPOA"/>
    <s v="SOLPOA"/>
    <s v="CCMS"/>
    <n v="21321158"/>
    <n v="662.4"/>
    <m/>
    <s v="N"/>
    <n v="1"/>
    <d v="2023-07-03T19:04:58"/>
    <s v="N"/>
    <s v="Non Expert Disbursement - Private L"/>
    <s v="Non Expert Disbursement - Priv"/>
    <s v="Non Expert Disbursement"/>
    <s v="Zoe Robinson"/>
    <s v="N"/>
    <n v="552"/>
    <n v="110.4"/>
    <x v="3"/>
    <s v="VALIDATED"/>
    <n v="1"/>
    <s v="01.11.80.307.2012.0000"/>
    <n v="552"/>
    <s v="11"/>
    <s v="2012"/>
    <n v="7139.1"/>
    <n v="552"/>
    <s v="CREDITOR"/>
    <n v="552"/>
    <n v="0"/>
    <n v="0"/>
    <n v="0"/>
    <n v="0"/>
  </r>
  <r>
    <n v="10292446"/>
    <s v="N"/>
    <n v="21360754"/>
    <s v="3000006158190002"/>
    <s v="CIVIL"/>
    <d v="2023-06-30T00:00:00"/>
    <d v="2023-07-11T19:00:25"/>
    <m/>
    <d v="2023-07-11T00:00:00"/>
    <n v="637"/>
    <n v="16940"/>
    <s v="10292446"/>
    <s v="10292446"/>
    <m/>
    <m/>
    <n v="22801332"/>
    <m/>
    <m/>
    <m/>
    <s v="SOLFIN"/>
    <s v="SOLFIN"/>
    <s v="CCMS"/>
    <n v="21360754"/>
    <n v="361.85"/>
    <m/>
    <s v="N"/>
    <n v="4"/>
    <d v="2023-07-11T19:00:32"/>
    <s v="Y"/>
    <s v="Routine Letter In"/>
    <s v="Care Remuneration Hourly Rates"/>
    <s v="Profit Cost"/>
    <s v="EY"/>
    <s v="Y"/>
    <n v="10.64"/>
    <n v="2.13"/>
    <x v="7"/>
    <s v="VALIDATED"/>
    <n v="1"/>
    <s v="01.11.80.308.6100.0000"/>
    <n v="10.64"/>
    <s v="11"/>
    <s v="6100"/>
    <n v="7139.1"/>
    <n v="10.64"/>
    <s v="CREDITOR"/>
    <n v="0"/>
    <n v="0"/>
    <n v="0"/>
    <n v="0"/>
    <n v="10.64"/>
  </r>
  <r>
    <n v="62200735"/>
    <s v="N"/>
    <n v="21349602"/>
    <s v="3000016208650002"/>
    <s v="CIVIL"/>
    <d v="2023-06-22T00:00:00"/>
    <d v="2023-07-10T19:01:40"/>
    <m/>
    <d v="2023-07-10T00:00:00"/>
    <n v="637"/>
    <n v="16940"/>
    <s v="62200735"/>
    <s v="62200735"/>
    <m/>
    <m/>
    <n v="22739736"/>
    <m/>
    <m/>
    <m/>
    <s v="SOLPOA"/>
    <s v="SOLPOA"/>
    <s v="CCMS"/>
    <n v="21349602"/>
    <n v="106.8"/>
    <m/>
    <s v="N"/>
    <n v="1"/>
    <d v="2023-07-10T19:01:54"/>
    <s v="N"/>
    <s v="Non Expert Disbursement"/>
    <s v="Non Expert Disbursement"/>
    <s v="Non Expert Disbursement"/>
    <s v="Katherine Lauder"/>
    <s v="N"/>
    <n v="106.8"/>
    <n v="0"/>
    <x v="2"/>
    <s v="VALIDATED"/>
    <n v="1"/>
    <s v="01.11.80.307.2012.0000"/>
    <n v="106.8"/>
    <s v="11"/>
    <s v="2012"/>
    <n v="7139.1"/>
    <n v="106.8"/>
    <s v="CREDITOR"/>
    <n v="106.8"/>
    <n v="0"/>
    <n v="0"/>
    <n v="0"/>
    <n v="0"/>
  </r>
  <r>
    <n v="60701525"/>
    <s v="N"/>
    <n v="21350020"/>
    <s v="3000014948210012"/>
    <s v="CIVIL"/>
    <d v="2023-06-30T00:00:00"/>
    <d v="2023-07-10T19:01:40"/>
    <m/>
    <d v="2023-07-10T00:00:00"/>
    <n v="637"/>
    <n v="16940"/>
    <s v="60701525"/>
    <s v="60701525"/>
    <m/>
    <m/>
    <n v="22794230"/>
    <m/>
    <m/>
    <m/>
    <s v="SOLFIN"/>
    <s v="SOLFIN"/>
    <s v="CCMS"/>
    <n v="21350020"/>
    <n v="11951.18"/>
    <m/>
    <s v="N"/>
    <n v="7"/>
    <d v="2023-07-10T19:02:09"/>
    <s v="Y"/>
    <s v="Advocates Meeting"/>
    <s v="Public Law Children"/>
    <s v="Advocacy"/>
    <s v="ey"/>
    <s v="Y"/>
    <n v="140.99"/>
    <n v="28.2"/>
    <x v="2"/>
    <s v="VALIDATED"/>
    <n v="1"/>
    <s v="01.11.80.308.6100.0000"/>
    <n v="140.99"/>
    <s v="11"/>
    <s v="6100"/>
    <n v="7139.1"/>
    <n v="140.99"/>
    <s v="CREDITOR"/>
    <n v="0"/>
    <n v="0"/>
    <n v="0"/>
    <n v="0"/>
    <n v="140.99"/>
  </r>
  <r>
    <n v="9240477"/>
    <s v="N"/>
    <n v="21318308"/>
    <s v="3000005221480001"/>
    <s v="CIVIL"/>
    <d v="2023-06-21T00:00:00"/>
    <d v="2023-07-03T19:01:49"/>
    <m/>
    <d v="2023-07-03T00:00:00"/>
    <n v="637"/>
    <n v="16940"/>
    <s v="9240477"/>
    <s v="9240477"/>
    <m/>
    <m/>
    <n v="22735240"/>
    <m/>
    <m/>
    <m/>
    <s v="SOLFIN"/>
    <s v="SOLFIN"/>
    <s v="CCMS"/>
    <n v="21318308"/>
    <n v="0"/>
    <m/>
    <s v="N"/>
    <n v="1"/>
    <d v="2023-07-03T19:01:53"/>
    <s v="N"/>
    <s v="NIL BILL"/>
    <s v="Prescribed Hourly Rates"/>
    <s v="Profit Cost"/>
    <s v="RE"/>
    <s v="N"/>
    <n v="0"/>
    <n v="0"/>
    <x v="3"/>
    <s v="VALIDATED"/>
    <n v="1"/>
    <s v="01.11.80.307.6100.0000"/>
    <n v="0"/>
    <s v="11"/>
    <s v="6100"/>
    <n v="7139.1"/>
    <n v="0"/>
    <s v="CREDITOR"/>
    <n v="0"/>
    <n v="0"/>
    <n v="0"/>
    <n v="0"/>
    <n v="0"/>
  </r>
  <r>
    <n v="9312713"/>
    <s v="N"/>
    <n v="21395075"/>
    <s v="3000005284640007"/>
    <s v="CIVIL"/>
    <d v="2023-06-29T00:00:00"/>
    <d v="2023-07-19T19:02:01"/>
    <m/>
    <d v="2023-07-19T00:00:00"/>
    <n v="637"/>
    <n v="16940"/>
    <s v="9312713"/>
    <s v="9312713"/>
    <m/>
    <m/>
    <n v="22790482"/>
    <m/>
    <m/>
    <m/>
    <s v="SOLFIN"/>
    <s v="SOLFIN"/>
    <s v="CCMS"/>
    <n v="21395075"/>
    <n v="7519.1"/>
    <m/>
    <s v="N"/>
    <n v="7"/>
    <d v="2023-07-19T19:02:15"/>
    <s v="Y"/>
    <s v="Enquiry Agent"/>
    <s v="Domestic Abuse"/>
    <s v="Expert Disbursement"/>
    <s v="Whites"/>
    <s v="Y"/>
    <n v="166.7"/>
    <n v="33.34"/>
    <x v="5"/>
    <s v="VALIDATED"/>
    <n v="1"/>
    <s v="01.11.80.307.6300.0000"/>
    <n v="166.7"/>
    <s v="11"/>
    <s v="6300"/>
    <n v="7139.1"/>
    <n v="166.7"/>
    <s v="CREDITOR"/>
    <n v="0"/>
    <n v="0"/>
    <n v="0"/>
    <n v="0"/>
    <n v="166.7"/>
  </r>
  <r>
    <n v="10292446"/>
    <s v="N"/>
    <n v="21360754"/>
    <s v="3000006158190002"/>
    <s v="CIVIL"/>
    <d v="2023-06-30T00:00:00"/>
    <d v="2023-07-11T19:00:25"/>
    <m/>
    <d v="2023-07-11T00:00:00"/>
    <n v="637"/>
    <n v="16940"/>
    <s v="10292446"/>
    <s v="10292446"/>
    <m/>
    <m/>
    <n v="22801332"/>
    <m/>
    <m/>
    <m/>
    <s v="SOLFIN"/>
    <s v="SOLFIN"/>
    <s v="CCMS"/>
    <n v="21360754"/>
    <n v="361.85"/>
    <m/>
    <s v="N"/>
    <n v="3"/>
    <d v="2023-07-11T19:00:32"/>
    <s v="Y"/>
    <s v="Routine Letter In"/>
    <s v="Care Remuneration Hourly Rates"/>
    <s v="Profit Cost"/>
    <s v="EY"/>
    <s v="Y"/>
    <n v="15.54"/>
    <n v="3.11"/>
    <x v="7"/>
    <s v="VALIDATED"/>
    <n v="1"/>
    <s v="01.11.80.308.6100.0000"/>
    <n v="15.54"/>
    <s v="11"/>
    <s v="6100"/>
    <n v="7139.1"/>
    <n v="15.54"/>
    <s v="CREDITOR"/>
    <n v="0"/>
    <n v="0"/>
    <n v="0"/>
    <n v="0"/>
    <n v="15.54"/>
  </r>
  <r>
    <n v="9312713"/>
    <s v="N"/>
    <n v="21395075"/>
    <s v="3000005284640007"/>
    <s v="CIVIL"/>
    <d v="2023-06-29T00:00:00"/>
    <d v="2023-07-19T19:02:01"/>
    <m/>
    <d v="2023-07-19T00:00:00"/>
    <n v="637"/>
    <n v="16940"/>
    <s v="9312713"/>
    <s v="9312713"/>
    <m/>
    <m/>
    <n v="22790482"/>
    <m/>
    <m/>
    <m/>
    <s v="SOLFIN"/>
    <s v="SOLFIN"/>
    <s v="CCMS"/>
    <n v="21395075"/>
    <n v="7519.1"/>
    <m/>
    <s v="N"/>
    <n v="6"/>
    <d v="2023-07-19T19:02:15"/>
    <s v="Y"/>
    <s v="Solicitor Travel Expenses"/>
    <s v="Domestic Abuse"/>
    <s v="Non Expert Disbursement"/>
    <s v="ZR"/>
    <s v="Y"/>
    <n v="3.3"/>
    <n v="0.66"/>
    <x v="5"/>
    <s v="VALIDATED"/>
    <n v="1"/>
    <s v="01.11.80.307.6300.0000"/>
    <n v="3.3"/>
    <s v="11"/>
    <s v="6300"/>
    <n v="7139.1"/>
    <n v="3.3"/>
    <s v="CREDITOR"/>
    <n v="0"/>
    <n v="0"/>
    <n v="0"/>
    <n v="0"/>
    <n v="3.3"/>
  </r>
  <r>
    <n v="10292446"/>
    <s v="N"/>
    <n v="21360754"/>
    <s v="3000006158190002"/>
    <s v="CIVIL"/>
    <d v="2023-06-30T00:00:00"/>
    <d v="2023-07-11T19:00:25"/>
    <m/>
    <d v="2023-07-11T00:00:00"/>
    <n v="637"/>
    <n v="16940"/>
    <s v="10292446"/>
    <s v="10292446"/>
    <m/>
    <m/>
    <n v="22801332"/>
    <m/>
    <m/>
    <m/>
    <s v="SOLFIN"/>
    <s v="SOLFIN"/>
    <s v="CCMS"/>
    <n v="21360754"/>
    <n v="361.85"/>
    <m/>
    <s v="N"/>
    <n v="10"/>
    <d v="2023-07-11T19:00:32"/>
    <s v="Y"/>
    <s v="Preparation - other"/>
    <s v="Care Remuneration Hourly Rates"/>
    <s v="Profit Cost"/>
    <s v="PS"/>
    <s v="Y"/>
    <n v="11.68"/>
    <n v="2.34"/>
    <x v="7"/>
    <s v="VALIDATED"/>
    <n v="1"/>
    <s v="01.11.80.308.6100.0000"/>
    <n v="11.68"/>
    <s v="11"/>
    <s v="6100"/>
    <n v="7139.1"/>
    <n v="11.68"/>
    <s v="CREDITOR"/>
    <n v="0"/>
    <n v="0"/>
    <n v="0"/>
    <n v="0"/>
    <n v="11.68"/>
  </r>
  <r>
    <n v="10132126"/>
    <s v="N"/>
    <n v="21319958"/>
    <s v="3000006010240024"/>
    <s v="CIVIL"/>
    <d v="2023-06-27T00:00:00"/>
    <d v="2023-07-03T19:04:24"/>
    <m/>
    <d v="2023-07-03T00:00:00"/>
    <n v="637"/>
    <n v="16940"/>
    <s v="10132126"/>
    <s v="10132126"/>
    <m/>
    <m/>
    <n v="22771826"/>
    <m/>
    <m/>
    <m/>
    <s v="SOLINT"/>
    <s v="SOLINT"/>
    <s v="CCMS"/>
    <n v="21319958"/>
    <n v="20458.27"/>
    <m/>
    <s v="N"/>
    <n v="3"/>
    <d v="2023-07-03T19:04:28"/>
    <s v="Y"/>
    <s v="Disbursements (Summary)"/>
    <s v="VHCC"/>
    <s v="Non Expert Disbursement"/>
    <s v="vat disbs"/>
    <s v="Y"/>
    <n v="15.6"/>
    <n v="3.12"/>
    <x v="3"/>
    <s v="VALIDATED"/>
    <n v="1"/>
    <s v="01.11.80.302.6300.0000"/>
    <n v="15.6"/>
    <s v="11"/>
    <s v="6300"/>
    <n v="7139.1"/>
    <n v="15.6"/>
    <s v="CREDITOR"/>
    <n v="0"/>
    <n v="0"/>
    <n v="0"/>
    <n v="0"/>
    <n v="15.6"/>
  </r>
  <r>
    <n v="10132126"/>
    <s v="N"/>
    <n v="21319958"/>
    <s v="3000006010240024"/>
    <s v="CIVIL"/>
    <d v="2023-06-27T00:00:00"/>
    <d v="2023-07-03T19:04:24"/>
    <m/>
    <d v="2023-07-03T00:00:00"/>
    <n v="637"/>
    <n v="16940"/>
    <s v="10132126"/>
    <s v="10132126"/>
    <m/>
    <m/>
    <n v="22771826"/>
    <m/>
    <m/>
    <m/>
    <s v="SOLINT"/>
    <s v="SOLINT"/>
    <s v="CCMS"/>
    <n v="21319958"/>
    <n v="20458.27"/>
    <m/>
    <s v="N"/>
    <n v="2"/>
    <d v="2023-07-03T19:04:28"/>
    <s v="Y"/>
    <s v="Profit Costs (Summary)"/>
    <s v="VHCC"/>
    <s v="Profit Cost"/>
    <s v="zzr"/>
    <s v="Y"/>
    <n v="16616.29"/>
    <n v="3323.26"/>
    <x v="3"/>
    <s v="VALIDATED"/>
    <n v="1"/>
    <s v="01.11.80.302.6100.0000"/>
    <n v="16616.29"/>
    <s v="11"/>
    <s v="6100"/>
    <n v="7139.1"/>
    <n v="16616.29"/>
    <s v="CREDITOR"/>
    <n v="0"/>
    <n v="0"/>
    <n v="0"/>
    <n v="0"/>
    <n v="16616.29"/>
  </r>
  <r>
    <n v="62066937"/>
    <s v="N"/>
    <n v="21320409"/>
    <s v="3000016099460003"/>
    <s v="CIVIL"/>
    <d v="2023-06-28T00:00:00"/>
    <d v="2023-07-03T19:04:52"/>
    <m/>
    <d v="2023-07-03T00:00:00"/>
    <n v="637"/>
    <n v="16940"/>
    <s v="62066937"/>
    <s v="62066937"/>
    <m/>
    <m/>
    <n v="22780186"/>
    <m/>
    <m/>
    <m/>
    <s v="SOLPOA"/>
    <s v="SOLPOA"/>
    <s v="CCMS"/>
    <n v="21320409"/>
    <n v="46.2"/>
    <m/>
    <s v="N"/>
    <n v="1"/>
    <d v="2023-07-03T19:04:54"/>
    <s v="N"/>
    <s v="Non Expert Disbursement"/>
    <s v="Non Expert Disbursement"/>
    <s v="Non Expert Disbursement"/>
    <s v="Sophie Webb"/>
    <s v="N"/>
    <n v="38.5"/>
    <n v="7.7"/>
    <x v="3"/>
    <s v="VALIDATED"/>
    <n v="1"/>
    <s v="01.11.80.308.2012.0000"/>
    <n v="38.5"/>
    <s v="11"/>
    <s v="2012"/>
    <n v="7139.1"/>
    <n v="38.5"/>
    <s v="CREDITOR"/>
    <n v="38.5"/>
    <n v="0"/>
    <n v="0"/>
    <n v="0"/>
    <n v="0"/>
  </r>
  <r>
    <n v="9314211"/>
    <s v="N"/>
    <n v="21370226"/>
    <s v="3000005286340001"/>
    <s v="CIVIL"/>
    <d v="2023-06-25T00:00:00"/>
    <d v="2023-07-13T19:21:05"/>
    <m/>
    <d v="2023-07-13T00:00:00"/>
    <n v="637"/>
    <n v="16940"/>
    <s v="9314211"/>
    <s v="9314211"/>
    <m/>
    <m/>
    <n v="22756860"/>
    <m/>
    <m/>
    <m/>
    <s v="SOLFIN"/>
    <s v="SOLFIN"/>
    <s v="CCMS"/>
    <n v="21370226"/>
    <n v="0"/>
    <m/>
    <s v="N"/>
    <n v="1"/>
    <d v="2023-07-13T19:21:17"/>
    <s v="N"/>
    <s v="NIL BILL"/>
    <s v="Prescribed Hourly Rates"/>
    <s v="Profit Cost"/>
    <s v="RE"/>
    <s v="N"/>
    <n v="0"/>
    <n v="0"/>
    <x v="11"/>
    <s v="VALIDATED"/>
    <n v="1"/>
    <s v="01.11.80.307.6100.0000"/>
    <n v="0"/>
    <s v="11"/>
    <s v="6100"/>
    <n v="7139.1"/>
    <n v="0"/>
    <s v="CREDITOR"/>
    <n v="0"/>
    <n v="0"/>
    <n v="0"/>
    <n v="0"/>
    <n v="0"/>
  </r>
  <r>
    <n v="9312483"/>
    <s v="N"/>
    <n v="21370247"/>
    <s v="3000005284160001"/>
    <s v="CIVIL"/>
    <d v="2023-06-25T00:00:00"/>
    <d v="2023-07-13T19:21:05"/>
    <m/>
    <d v="2023-07-13T00:00:00"/>
    <n v="637"/>
    <n v="16940"/>
    <s v="9312483"/>
    <s v="9312483"/>
    <m/>
    <m/>
    <n v="22756852"/>
    <m/>
    <m/>
    <m/>
    <s v="SOLFIN"/>
    <s v="SOLFIN"/>
    <s v="CCMS"/>
    <n v="21370247"/>
    <n v="150.77"/>
    <m/>
    <s v="N"/>
    <n v="1"/>
    <d v="2023-07-13T19:21:18"/>
    <s v="Y"/>
    <s v="Preparation - drafting application"/>
    <s v="Prescribed Hourly Rates"/>
    <s v="Profit Cost"/>
    <s v="JS"/>
    <s v="Y"/>
    <n v="21.96"/>
    <n v="4.39"/>
    <x v="11"/>
    <s v="VALIDATED"/>
    <n v="1"/>
    <s v="01.11.80.307.6100.0000"/>
    <n v="21.96"/>
    <s v="11"/>
    <s v="6100"/>
    <n v="7139.1"/>
    <n v="21.96"/>
    <s v="CREDITOR"/>
    <n v="0"/>
    <n v="0"/>
    <n v="0"/>
    <n v="0"/>
    <n v="21.96"/>
  </r>
  <r>
    <n v="10292446"/>
    <s v="N"/>
    <n v="21360754"/>
    <s v="3000006158190002"/>
    <s v="CIVIL"/>
    <d v="2023-06-30T00:00:00"/>
    <d v="2023-07-11T19:00:25"/>
    <m/>
    <d v="2023-07-11T00:00:00"/>
    <n v="637"/>
    <n v="16940"/>
    <s v="10292446"/>
    <s v="10292446"/>
    <m/>
    <m/>
    <n v="22801332"/>
    <m/>
    <m/>
    <m/>
    <s v="SOLFIN"/>
    <s v="SOLFIN"/>
    <s v="CCMS"/>
    <n v="21360754"/>
    <n v="361.85"/>
    <m/>
    <s v="N"/>
    <n v="2"/>
    <d v="2023-07-11T19:00:32"/>
    <s v="Y"/>
    <s v="Preparation - drafting bill/claim f"/>
    <s v="Care Remuneration Hourly Rates"/>
    <s v="Profit Cost"/>
    <s v="CH"/>
    <s v="Y"/>
    <n v="35.05"/>
    <n v="7.01"/>
    <x v="7"/>
    <s v="VALIDATED"/>
    <n v="1"/>
    <s v="01.11.80.308.6100.0000"/>
    <n v="35.05"/>
    <s v="11"/>
    <s v="6100"/>
    <n v="7139.1"/>
    <n v="35.05"/>
    <s v="CREDITOR"/>
    <n v="0"/>
    <n v="0"/>
    <n v="0"/>
    <n v="0"/>
    <n v="35.05"/>
  </r>
  <r>
    <n v="10292446"/>
    <s v="N"/>
    <n v="21360754"/>
    <s v="3000006158190002"/>
    <s v="CIVIL"/>
    <d v="2023-06-30T00:00:00"/>
    <d v="2023-07-11T19:00:25"/>
    <m/>
    <d v="2023-07-11T00:00:00"/>
    <n v="637"/>
    <n v="16940"/>
    <s v="10292446"/>
    <s v="10292446"/>
    <m/>
    <m/>
    <n v="22801332"/>
    <m/>
    <m/>
    <m/>
    <s v="SOLFIN"/>
    <s v="SOLFIN"/>
    <s v="CCMS"/>
    <n v="21360754"/>
    <n v="361.85"/>
    <m/>
    <s v="N"/>
    <n v="12"/>
    <d v="2023-07-11T19:00:32"/>
    <s v="Y"/>
    <s v="Preparation - other"/>
    <s v="Care Remuneration Hourly Rates"/>
    <s v="Profit Cost"/>
    <s v="CH"/>
    <s v="Y"/>
    <n v="23.36"/>
    <n v="4.67"/>
    <x v="7"/>
    <s v="VALIDATED"/>
    <n v="1"/>
    <s v="01.11.80.308.6100.0000"/>
    <n v="23.36"/>
    <s v="11"/>
    <s v="6100"/>
    <n v="7139.1"/>
    <n v="23.36"/>
    <s v="CREDITOR"/>
    <n v="0"/>
    <n v="0"/>
    <n v="0"/>
    <n v="0"/>
    <n v="23.36"/>
  </r>
  <r>
    <n v="10292446"/>
    <s v="N"/>
    <n v="21360754"/>
    <s v="3000006158190002"/>
    <s v="CIVIL"/>
    <d v="2023-06-30T00:00:00"/>
    <d v="2023-07-11T19:00:25"/>
    <m/>
    <d v="2023-07-11T00:00:00"/>
    <n v="637"/>
    <n v="16940"/>
    <s v="10292446"/>
    <s v="10292446"/>
    <m/>
    <m/>
    <n v="22801332"/>
    <m/>
    <m/>
    <m/>
    <s v="SOLFIN"/>
    <s v="SOLFIN"/>
    <s v="CCMS"/>
    <n v="21360754"/>
    <n v="361.85"/>
    <m/>
    <s v="N"/>
    <n v="9"/>
    <d v="2023-07-11T19:00:32"/>
    <s v="Y"/>
    <s v="Preparation - other"/>
    <s v="Care Remuneration Hourly Rates"/>
    <s v="Profit Cost"/>
    <s v="EY"/>
    <s v="Y"/>
    <n v="14.02"/>
    <n v="2.8"/>
    <x v="7"/>
    <s v="VALIDATED"/>
    <n v="1"/>
    <s v="01.11.80.308.6100.0000"/>
    <n v="14.02"/>
    <s v="11"/>
    <s v="6100"/>
    <n v="7139.1"/>
    <n v="14.02"/>
    <s v="CREDITOR"/>
    <n v="0"/>
    <n v="0"/>
    <n v="0"/>
    <n v="0"/>
    <n v="14.02"/>
  </r>
  <r>
    <n v="9312713"/>
    <s v="N"/>
    <n v="21395075"/>
    <s v="3000005284640007"/>
    <s v="CIVIL"/>
    <d v="2023-06-29T00:00:00"/>
    <d v="2023-07-19T19:02:01"/>
    <m/>
    <d v="2023-07-19T00:00:00"/>
    <n v="637"/>
    <n v="16940"/>
    <s v="9312713"/>
    <s v="9312713"/>
    <m/>
    <m/>
    <n v="22790482"/>
    <m/>
    <m/>
    <m/>
    <s v="SOLFIN"/>
    <s v="SOLFIN"/>
    <s v="CCMS"/>
    <n v="21395075"/>
    <n v="7519.1"/>
    <m/>
    <s v="N"/>
    <n v="1"/>
    <d v="2023-07-19T19:02:15"/>
    <s v="Y"/>
    <s v="Exceptional Travel"/>
    <s v="Private Law Children"/>
    <s v="Advocacy"/>
    <s v="KM"/>
    <s v="Y"/>
    <n v="32.04"/>
    <n v="6.41"/>
    <x v="5"/>
    <s v="VALIDATED"/>
    <n v="1"/>
    <s v="01.11.80.307.6100.0000"/>
    <n v="32.04"/>
    <s v="11"/>
    <s v="6100"/>
    <n v="7139.1"/>
    <n v="32.04"/>
    <s v="CREDITOR"/>
    <n v="0"/>
    <n v="0"/>
    <n v="0"/>
    <n v="0"/>
    <n v="32.04"/>
  </r>
  <r>
    <n v="62242791"/>
    <s v="N"/>
    <n v="21321708"/>
    <s v="3000016243770009"/>
    <s v="CIVIL"/>
    <d v="2023-06-29T00:00:00"/>
    <d v="2023-07-03T19:05:17"/>
    <m/>
    <d v="2023-07-03T00:00:00"/>
    <n v="637"/>
    <n v="16940"/>
    <s v="62242791"/>
    <s v="62242791"/>
    <m/>
    <m/>
    <n v="22786986"/>
    <m/>
    <m/>
    <m/>
    <s v="SOLPOA"/>
    <s v="SOLPOA"/>
    <s v="CCMS"/>
    <n v="21321708"/>
    <n v="118.2"/>
    <m/>
    <s v="N"/>
    <n v="1"/>
    <d v="2023-07-03T19:05:20"/>
    <s v="N"/>
    <s v="Non Expert Disbursement"/>
    <s v="Non Expert Disbursement"/>
    <s v="Non Expert Disbursement"/>
    <s v="Sophie Webb"/>
    <s v="N"/>
    <n v="98.5"/>
    <n v="19.7"/>
    <x v="3"/>
    <s v="VALIDATED"/>
    <n v="1"/>
    <s v="01.11.80.308.2012.0000"/>
    <n v="98.5"/>
    <s v="11"/>
    <s v="2012"/>
    <n v="7139.1"/>
    <n v="98.5"/>
    <s v="CREDITOR"/>
    <n v="98.5"/>
    <n v="0"/>
    <n v="0"/>
    <n v="0"/>
    <n v="0"/>
  </r>
  <r>
    <n v="9351519"/>
    <s v="N"/>
    <n v="21338448"/>
    <s v="3000005319820004"/>
    <s v="CIVIL"/>
    <d v="2023-06-28T00:00:00"/>
    <d v="2023-07-06T19:21:01"/>
    <m/>
    <d v="2023-07-06T00:00:00"/>
    <n v="637"/>
    <n v="16940"/>
    <s v="9351519"/>
    <s v="9351519"/>
    <m/>
    <m/>
    <n v="22776538"/>
    <m/>
    <m/>
    <m/>
    <s v="SOLFIN"/>
    <s v="SOLFIN"/>
    <s v="CCMS"/>
    <n v="21338448"/>
    <n v="3980.23"/>
    <m/>
    <s v="N"/>
    <n v="1"/>
    <d v="2023-07-06T19:21:25"/>
    <s v="Y"/>
    <s v="Exceptional Travel"/>
    <s v="Public Law Children"/>
    <s v="Advocacy"/>
    <s v="EY"/>
    <s v="Y"/>
    <n v="32.04"/>
    <n v="6.41"/>
    <x v="4"/>
    <s v="VALIDATED"/>
    <n v="1"/>
    <s v="01.11.80.308.6100.0000"/>
    <n v="32.04"/>
    <s v="11"/>
    <s v="6100"/>
    <n v="7139.1"/>
    <n v="32.04"/>
    <s v="CREDITOR"/>
    <n v="0"/>
    <n v="0"/>
    <n v="0"/>
    <n v="0"/>
    <n v="32.04"/>
  </r>
  <r>
    <n v="9312713"/>
    <s v="N"/>
    <n v="21395075"/>
    <s v="3000005284640007"/>
    <s v="CIVIL"/>
    <d v="2023-06-29T00:00:00"/>
    <d v="2023-07-19T19:02:01"/>
    <m/>
    <d v="2023-07-19T00:00:00"/>
    <n v="637"/>
    <n v="16940"/>
    <s v="9312713"/>
    <s v="9312713"/>
    <m/>
    <m/>
    <n v="22790482"/>
    <m/>
    <m/>
    <m/>
    <s v="SOLFIN"/>
    <s v="SOLFIN"/>
    <s v="CCMS"/>
    <n v="21395075"/>
    <n v="7519.1"/>
    <m/>
    <s v="N"/>
    <n v="2"/>
    <d v="2023-07-19T19:02:15"/>
    <s v="Y"/>
    <s v="Exceptional Travel"/>
    <s v="Domestic Abuse"/>
    <s v="Advocacy"/>
    <s v="ZR"/>
    <s v="Y"/>
    <n v="32.04"/>
    <n v="6.41"/>
    <x v="5"/>
    <s v="VALIDATED"/>
    <n v="1"/>
    <s v="01.11.80.307.6100.0000"/>
    <n v="32.04"/>
    <s v="11"/>
    <s v="6100"/>
    <n v="7139.1"/>
    <n v="32.04"/>
    <s v="CREDITOR"/>
    <n v="0"/>
    <n v="0"/>
    <n v="0"/>
    <n v="0"/>
    <n v="32.04"/>
  </r>
  <r>
    <n v="10132126"/>
    <s v="N"/>
    <n v="21319958"/>
    <s v="3000006010240024"/>
    <s v="CIVIL"/>
    <d v="2023-06-27T00:00:00"/>
    <d v="2023-07-03T19:04:24"/>
    <m/>
    <d v="2023-07-03T00:00:00"/>
    <n v="637"/>
    <n v="16940"/>
    <s v="10132126"/>
    <s v="10132126"/>
    <m/>
    <m/>
    <n v="22771826"/>
    <m/>
    <m/>
    <m/>
    <s v="SOLINT"/>
    <s v="SOLINT"/>
    <s v="CCMS"/>
    <n v="21319958"/>
    <n v="20458.27"/>
    <m/>
    <s v="N"/>
    <n v="1"/>
    <d v="2023-07-03T19:04:28"/>
    <s v="Y"/>
    <s v="Disbursements (Summary)"/>
    <s v="VHCC"/>
    <s v="Non Expert Disbursement"/>
    <s v="non vat disbs"/>
    <s v="Y"/>
    <n v="500"/>
    <n v="0"/>
    <x v="3"/>
    <s v="VALIDATED"/>
    <n v="1"/>
    <s v="01.11.80.302.6300.0000"/>
    <n v="500"/>
    <s v="11"/>
    <s v="6300"/>
    <n v="7139.1"/>
    <n v="500"/>
    <s v="CREDITOR"/>
    <n v="0"/>
    <n v="0"/>
    <n v="0"/>
    <n v="0"/>
    <n v="500"/>
  </r>
  <r>
    <n v="9312713"/>
    <s v="N"/>
    <n v="21395075"/>
    <s v="3000005284640007"/>
    <s v="CIVIL"/>
    <d v="2023-06-29T00:00:00"/>
    <d v="2023-07-19T19:02:01"/>
    <m/>
    <d v="2023-07-19T00:00:00"/>
    <n v="637"/>
    <n v="16940"/>
    <s v="9312713"/>
    <s v="9312713"/>
    <m/>
    <m/>
    <n v="22790482"/>
    <m/>
    <m/>
    <m/>
    <s v="SOLFIN"/>
    <s v="SOLFIN"/>
    <s v="CCMS"/>
    <n v="21395075"/>
    <n v="7519.1"/>
    <m/>
    <s v="N"/>
    <n v="8"/>
    <d v="2023-07-19T19:02:15"/>
    <s v="Y"/>
    <s v="Profit Costs (Summary)"/>
    <s v="Private Law Children"/>
    <s v="Profit Cost"/>
    <s v="ZR"/>
    <s v="Y"/>
    <n v="4461.81"/>
    <n v="892.36"/>
    <x v="5"/>
    <s v="VALIDATED"/>
    <n v="1"/>
    <s v="01.11.80.307.6100.0000"/>
    <n v="4461.81"/>
    <s v="11"/>
    <s v="6100"/>
    <n v="7139.1"/>
    <n v="4461.81"/>
    <s v="CREDITOR"/>
    <n v="0"/>
    <n v="0"/>
    <n v="0"/>
    <n v="0"/>
    <n v="4461.81"/>
  </r>
  <r>
    <n v="9312483"/>
    <s v="N"/>
    <n v="21370247"/>
    <s v="3000005284160001"/>
    <s v="CIVIL"/>
    <d v="2023-06-25T00:00:00"/>
    <d v="2023-07-13T19:21:05"/>
    <m/>
    <d v="2023-07-13T00:00:00"/>
    <n v="637"/>
    <n v="16940"/>
    <s v="9312483"/>
    <s v="9312483"/>
    <m/>
    <m/>
    <n v="22756852"/>
    <m/>
    <m/>
    <m/>
    <s v="SOLFIN"/>
    <s v="SOLFIN"/>
    <s v="CCMS"/>
    <n v="21370247"/>
    <n v="150.77"/>
    <m/>
    <s v="N"/>
    <n v="4"/>
    <d v="2023-07-13T19:21:18"/>
    <s v="Y"/>
    <s v="Preparation - drafting application"/>
    <s v="Prescribed Hourly Rates"/>
    <s v="Profit Cost"/>
    <s v="JR"/>
    <s v="Y"/>
    <n v="54.9"/>
    <n v="10.98"/>
    <x v="11"/>
    <s v="VALIDATED"/>
    <n v="1"/>
    <s v="01.11.80.307.6100.0000"/>
    <n v="54.9"/>
    <s v="11"/>
    <s v="6100"/>
    <n v="7139.1"/>
    <n v="54.9"/>
    <s v="CREDITOR"/>
    <n v="0"/>
    <n v="0"/>
    <n v="0"/>
    <n v="0"/>
    <n v="54.9"/>
  </r>
  <r>
    <n v="9312483"/>
    <s v="N"/>
    <n v="21370247"/>
    <s v="3000005284160001"/>
    <s v="CIVIL"/>
    <d v="2023-06-25T00:00:00"/>
    <d v="2023-07-13T19:21:05"/>
    <m/>
    <d v="2023-07-13T00:00:00"/>
    <n v="637"/>
    <n v="16940"/>
    <s v="9312483"/>
    <s v="9312483"/>
    <m/>
    <m/>
    <n v="22756852"/>
    <m/>
    <m/>
    <m/>
    <s v="SOLFIN"/>
    <s v="SOLFIN"/>
    <s v="CCMS"/>
    <n v="21370247"/>
    <n v="150.77"/>
    <m/>
    <s v="N"/>
    <n v="2"/>
    <d v="2023-07-13T19:21:18"/>
    <s v="Y"/>
    <s v="Routine Letter In"/>
    <s v="Prescribed Hourly Rates"/>
    <s v="Profit Cost"/>
    <s v="JR"/>
    <s v="Y"/>
    <n v="10.8"/>
    <n v="2.16"/>
    <x v="11"/>
    <s v="VALIDATED"/>
    <n v="1"/>
    <s v="01.11.80.307.6100.0000"/>
    <n v="10.8"/>
    <s v="11"/>
    <s v="6100"/>
    <n v="7139.1"/>
    <n v="10.8"/>
    <s v="CREDITOR"/>
    <n v="0"/>
    <n v="0"/>
    <n v="0"/>
    <n v="0"/>
    <n v="10.8"/>
  </r>
  <r>
    <n v="9312713"/>
    <s v="N"/>
    <n v="21395075"/>
    <s v="3000005284640007"/>
    <s v="CIVIL"/>
    <d v="2023-06-29T00:00:00"/>
    <d v="2023-07-19T19:02:01"/>
    <m/>
    <d v="2023-07-19T00:00:00"/>
    <n v="637"/>
    <n v="16940"/>
    <s v="9312713"/>
    <s v="9312713"/>
    <m/>
    <m/>
    <n v="22790482"/>
    <m/>
    <m/>
    <m/>
    <s v="SOLFIN"/>
    <s v="SOLFIN"/>
    <s v="CCMS"/>
    <n v="21395075"/>
    <n v="7519.1"/>
    <m/>
    <s v="N"/>
    <n v="5"/>
    <d v="2023-07-19T19:02:15"/>
    <s v="Y"/>
    <s v="Solicitor Travel Mileage"/>
    <s v="Domestic Abuse"/>
    <s v="Non Expert Disbursement"/>
    <s v="ZR"/>
    <s v="Y"/>
    <n v="33.3"/>
    <n v="6.66"/>
    <x v="5"/>
    <s v="VALIDATED"/>
    <n v="1"/>
    <s v="01.11.80.307.6300.0000"/>
    <n v="33.3"/>
    <s v="11"/>
    <s v="6300"/>
    <n v="7139.1"/>
    <n v="33.3"/>
    <s v="CREDITOR"/>
    <n v="0"/>
    <n v="0"/>
    <n v="0"/>
    <n v="0"/>
    <n v="33.3"/>
  </r>
  <r>
    <n v="9351519"/>
    <s v="N"/>
    <n v="21338448"/>
    <s v="3000005319820004"/>
    <s v="CIVIL"/>
    <d v="2023-06-28T00:00:00"/>
    <d v="2023-07-06T19:21:01"/>
    <m/>
    <d v="2023-07-06T00:00:00"/>
    <n v="637"/>
    <n v="16940"/>
    <s v="9351519"/>
    <s v="9351519"/>
    <m/>
    <m/>
    <n v="22776538"/>
    <m/>
    <m/>
    <m/>
    <s v="SOLFIN"/>
    <s v="SOLFIN"/>
    <s v="CCMS"/>
    <n v="21338448"/>
    <n v="3980.23"/>
    <m/>
    <s v="N"/>
    <n v="3"/>
    <d v="2023-07-06T19:21:25"/>
    <s v="Y"/>
    <s v="Court Fee"/>
    <s v="Public Law Children"/>
    <s v="Non Expert Disbursement"/>
    <s v="ZR"/>
    <s v="Y"/>
    <n v="155"/>
    <n v="31"/>
    <x v="4"/>
    <s v="VALIDATED"/>
    <n v="1"/>
    <s v="01.11.80.308.6300.0000"/>
    <n v="155"/>
    <s v="11"/>
    <s v="6300"/>
    <n v="7139.1"/>
    <n v="155"/>
    <s v="CREDITOR"/>
    <n v="0"/>
    <n v="0"/>
    <n v="0"/>
    <n v="0"/>
    <n v="155"/>
  </r>
  <r>
    <n v="62425754"/>
    <s v="N"/>
    <n v="21320731"/>
    <s v="3000016395460002"/>
    <s v="CIVIL"/>
    <d v="2023-06-28T00:00:00"/>
    <d v="2023-07-03T19:04:52"/>
    <m/>
    <d v="2023-07-03T00:00:00"/>
    <n v="637"/>
    <n v="16940"/>
    <s v="62425754"/>
    <s v="62425754"/>
    <m/>
    <m/>
    <n v="22782178"/>
    <m/>
    <m/>
    <m/>
    <s v="SOLPOA"/>
    <s v="SOLPOA"/>
    <s v="CCMS"/>
    <n v="21320731"/>
    <n v="169.61"/>
    <m/>
    <s v="N"/>
    <n v="1"/>
    <d v="2023-07-03T19:04:56"/>
    <s v="N"/>
    <s v="Non Expert Disbursement"/>
    <s v="Non Expert Disbursement"/>
    <s v="Non Expert Disbursement"/>
    <s v="Sophie Webb"/>
    <s v="N"/>
    <n v="141.34"/>
    <n v="28.27"/>
    <x v="3"/>
    <s v="VALIDATED"/>
    <n v="1"/>
    <s v="01.11.80.308.2012.0000"/>
    <n v="141.34"/>
    <s v="11"/>
    <s v="2012"/>
    <n v="7139.1"/>
    <n v="141.34"/>
    <s v="CREDITOR"/>
    <n v="141.34"/>
    <n v="0"/>
    <n v="0"/>
    <n v="0"/>
    <n v="0"/>
  </r>
  <r>
    <n v="10136000"/>
    <s v="N"/>
    <n v="21328038"/>
    <s v="3000006015340004"/>
    <s v="CIVIL"/>
    <d v="2023-06-25T00:00:00"/>
    <d v="2023-07-04T19:00:44"/>
    <m/>
    <d v="2023-07-04T00:00:00"/>
    <n v="637"/>
    <n v="16940"/>
    <s v="10136000"/>
    <s v="10136000"/>
    <m/>
    <m/>
    <n v="22756896"/>
    <m/>
    <m/>
    <m/>
    <s v="SOLFIN"/>
    <s v="SOLFIN"/>
    <s v="CCMS"/>
    <n v="21328038"/>
    <n v="1765.23"/>
    <m/>
    <s v="N"/>
    <n v="3"/>
    <d v="2023-07-04T19:01:02"/>
    <s v="Y"/>
    <s v="Enquiry Agent"/>
    <s v="Domestic Abuse"/>
    <s v="Expert Disbursement"/>
    <s v="Whites Enq Ag"/>
    <s v="Y"/>
    <n v="372.3"/>
    <n v="74.45999999999999"/>
    <x v="1"/>
    <s v="VALIDATED"/>
    <n v="1"/>
    <s v="01.11.80.302.6300.0000"/>
    <n v="372.3"/>
    <s v="11"/>
    <s v="6300"/>
    <n v="7139.1"/>
    <n v="372.3"/>
    <s v="CREDITOR"/>
    <n v="0"/>
    <n v="0"/>
    <n v="0"/>
    <n v="0"/>
    <n v="372.3"/>
  </r>
  <r>
    <n v="10136000"/>
    <s v="N"/>
    <n v="21328038"/>
    <s v="3000006015340004"/>
    <s v="CIVIL"/>
    <d v="2023-06-25T00:00:00"/>
    <d v="2023-07-04T19:00:44"/>
    <m/>
    <d v="2023-07-04T00:00:00"/>
    <n v="637"/>
    <n v="16940"/>
    <s v="10136000"/>
    <s v="10136000"/>
    <m/>
    <m/>
    <n v="22756896"/>
    <m/>
    <m/>
    <m/>
    <s v="SOLFIN"/>
    <s v="SOLFIN"/>
    <s v="CCMS"/>
    <n v="21328038"/>
    <n v="1765.23"/>
    <m/>
    <s v="N"/>
    <n v="4"/>
    <d v="2023-07-04T19:01:02"/>
    <s v="Y"/>
    <s v="Final Hearing - 1 Day"/>
    <s v="Domestic Abuse"/>
    <s v="Advocacy"/>
    <s v="SW"/>
    <s v="Y"/>
    <n v="361.17"/>
    <n v="72.23"/>
    <x v="1"/>
    <s v="VALIDATED"/>
    <n v="1"/>
    <s v="01.11.80.302.6100.0000"/>
    <n v="361.17"/>
    <s v="11"/>
    <s v="6100"/>
    <n v="7139.1"/>
    <n v="361.17"/>
    <s v="CREDITOR"/>
    <n v="0"/>
    <n v="0"/>
    <n v="0"/>
    <n v="0"/>
    <n v="361.17"/>
  </r>
  <r>
    <n v="61487977"/>
    <s v="N"/>
    <n v="21320633"/>
    <s v="3000015613880009"/>
    <s v="CIVIL"/>
    <d v="2023-06-28T00:00:00"/>
    <d v="2023-07-03T19:04:52"/>
    <m/>
    <d v="2023-07-03T00:00:00"/>
    <n v="637"/>
    <n v="16940"/>
    <s v="61487977"/>
    <s v="61487977"/>
    <m/>
    <m/>
    <n v="22780362"/>
    <m/>
    <m/>
    <m/>
    <s v="SOLPOA"/>
    <s v="SOLPOA"/>
    <s v="CCMS"/>
    <n v="21320633"/>
    <n v="48.24"/>
    <m/>
    <s v="N"/>
    <n v="1"/>
    <d v="2023-07-03T19:04:55"/>
    <s v="N"/>
    <s v="Non Expert Disbursement"/>
    <s v="Non Expert Disbursement"/>
    <s v="Non Expert Disbursement"/>
    <s v="Sophie Webb"/>
    <s v="N"/>
    <n v="40.2"/>
    <n v="8.039999999999999"/>
    <x v="3"/>
    <s v="VALIDATED"/>
    <n v="1"/>
    <s v="01.11.80.308.2012.0000"/>
    <n v="40.2"/>
    <s v="11"/>
    <s v="2012"/>
    <n v="7139.1"/>
    <n v="40.2"/>
    <s v="CREDITOR"/>
    <n v="40.2"/>
    <n v="0"/>
    <n v="0"/>
    <n v="0"/>
    <n v="0"/>
  </r>
  <r>
    <n v="10292446"/>
    <s v="N"/>
    <n v="21360754"/>
    <s v="3000006158190002"/>
    <s v="CIVIL"/>
    <d v="2023-06-30T00:00:00"/>
    <d v="2023-07-11T19:00:25"/>
    <m/>
    <d v="2023-07-11T00:00:00"/>
    <n v="637"/>
    <n v="16940"/>
    <s v="10292446"/>
    <s v="10292446"/>
    <m/>
    <m/>
    <n v="22801332"/>
    <m/>
    <m/>
    <m/>
    <s v="SOLFIN"/>
    <s v="SOLFIN"/>
    <s v="CCMS"/>
    <n v="21360754"/>
    <n v="361.85"/>
    <m/>
    <s v="N"/>
    <n v="1"/>
    <d v="2023-07-11T19:00:32"/>
    <s v="Y"/>
    <s v="Preparation - other"/>
    <s v="Care Remuneration Hourly Rates"/>
    <s v="Profit Cost"/>
    <s v="CH"/>
    <s v="Y"/>
    <n v="11.68"/>
    <n v="2.34"/>
    <x v="7"/>
    <s v="VALIDATED"/>
    <n v="1"/>
    <s v="01.11.80.308.6100.0000"/>
    <n v="11.68"/>
    <s v="11"/>
    <s v="6100"/>
    <n v="7139.1"/>
    <n v="11.68"/>
    <s v="CREDITOR"/>
    <n v="0"/>
    <n v="0"/>
    <n v="0"/>
    <n v="0"/>
    <n v="11.68"/>
  </r>
  <r>
    <n v="9351519"/>
    <s v="N"/>
    <n v="21338448"/>
    <s v="3000005319820004"/>
    <s v="CIVIL"/>
    <d v="2023-06-28T00:00:00"/>
    <d v="2023-07-06T19:21:01"/>
    <m/>
    <d v="2023-07-06T00:00:00"/>
    <n v="637"/>
    <n v="16940"/>
    <s v="9351519"/>
    <s v="9351519"/>
    <m/>
    <m/>
    <n v="22776538"/>
    <m/>
    <m/>
    <m/>
    <s v="SOLFIN"/>
    <s v="SOLFIN"/>
    <s v="CCMS"/>
    <n v="21338448"/>
    <n v="3980.23"/>
    <m/>
    <s v="N"/>
    <n v="4"/>
    <d v="2023-07-06T19:21:25"/>
    <s v="Y"/>
    <s v="Hearing Unit 1.01 - 2.30 Hours"/>
    <s v="Public Law Children"/>
    <s v="Advocacy"/>
    <s v="JM"/>
    <s v="Y"/>
    <n v="238.46"/>
    <n v="47.69"/>
    <x v="4"/>
    <s v="VALIDATED"/>
    <n v="1"/>
    <s v="01.11.80.308.6100.0000"/>
    <n v="238.46"/>
    <s v="11"/>
    <s v="6100"/>
    <n v="7139.1"/>
    <n v="238.46"/>
    <s v="CREDITOR"/>
    <n v="0"/>
    <n v="0"/>
    <n v="0"/>
    <n v="0"/>
    <n v="238.46"/>
  </r>
  <r>
    <n v="10292446"/>
    <s v="N"/>
    <n v="21360754"/>
    <s v="3000006158190002"/>
    <s v="CIVIL"/>
    <d v="2023-06-30T00:00:00"/>
    <d v="2023-07-11T19:00:25"/>
    <m/>
    <d v="2023-07-11T00:00:00"/>
    <n v="637"/>
    <n v="16940"/>
    <s v="10292446"/>
    <s v="10292446"/>
    <m/>
    <m/>
    <n v="22801332"/>
    <m/>
    <m/>
    <m/>
    <s v="SOLFIN"/>
    <s v="SOLFIN"/>
    <s v="CCMS"/>
    <n v="21360754"/>
    <n v="361.85"/>
    <m/>
    <s v="N"/>
    <n v="7"/>
    <d v="2023-07-11T19:00:32"/>
    <s v="Y"/>
    <s v="Routine Letter Out"/>
    <s v="Care Remuneration Hourly Rates"/>
    <s v="Profit Cost"/>
    <s v="EY"/>
    <s v="Y"/>
    <n v="18.45"/>
    <n v="3.69"/>
    <x v="7"/>
    <s v="VALIDATED"/>
    <n v="1"/>
    <s v="01.11.80.308.6100.0000"/>
    <n v="18.45"/>
    <s v="11"/>
    <s v="6100"/>
    <n v="7139.1"/>
    <n v="18.45"/>
    <s v="CREDITOR"/>
    <n v="0"/>
    <n v="0"/>
    <n v="0"/>
    <n v="0"/>
    <n v="18.45"/>
  </r>
  <r>
    <n v="61853452"/>
    <s v="N"/>
    <n v="21320996"/>
    <s v="3000015918720002"/>
    <s v="CIVIL"/>
    <d v="2023-06-28T00:00:00"/>
    <d v="2023-07-03T19:04:52"/>
    <m/>
    <d v="2023-07-03T00:00:00"/>
    <n v="637"/>
    <n v="16940"/>
    <s v="61853452"/>
    <s v="61853452"/>
    <m/>
    <m/>
    <n v="22781950"/>
    <m/>
    <m/>
    <m/>
    <s v="SOLPOA"/>
    <s v="SOLPOA"/>
    <s v="CCMS"/>
    <n v="21320996"/>
    <n v="1302.72"/>
    <m/>
    <s v="N"/>
    <n v="1"/>
    <d v="2023-07-03T19:04:57"/>
    <s v="N"/>
    <s v="Expert Cost"/>
    <s v="Expert Cost"/>
    <s v="Expert Disbursement"/>
    <s v="Richard Ellis"/>
    <s v="N"/>
    <n v="1085.6"/>
    <n v="217.12"/>
    <x v="3"/>
    <s v="VALIDATED"/>
    <n v="1"/>
    <s v="01.11.80.307.2012.0000"/>
    <n v="1085.6"/>
    <s v="11"/>
    <s v="2012"/>
    <n v="7139.1"/>
    <n v="1085.6"/>
    <s v="CREDITOR"/>
    <n v="1085.6"/>
    <n v="0"/>
    <n v="0"/>
    <n v="0"/>
    <n v="0"/>
  </r>
  <r>
    <n v="9312713"/>
    <s v="N"/>
    <n v="21395075"/>
    <s v="3000005284640007"/>
    <s v="CIVIL"/>
    <d v="2023-06-29T00:00:00"/>
    <d v="2023-07-19T19:02:01"/>
    <m/>
    <d v="2023-07-19T00:00:00"/>
    <n v="637"/>
    <n v="16940"/>
    <s v="9312713"/>
    <s v="9312713"/>
    <m/>
    <m/>
    <n v="22790482"/>
    <m/>
    <m/>
    <m/>
    <s v="SOLFIN"/>
    <s v="SOLFIN"/>
    <s v="CCMS"/>
    <n v="21395075"/>
    <n v="7519.1"/>
    <m/>
    <s v="N"/>
    <n v="4"/>
    <d v="2023-07-19T19:02:15"/>
    <s v="Y"/>
    <s v="Disbursements (Summary)"/>
    <s v="Private Law Children"/>
    <s v="Non Expert Disbursement"/>
    <s v="ZR"/>
    <s v="Y"/>
    <n v="129.6"/>
    <n v="25.92"/>
    <x v="5"/>
    <s v="VALIDATED"/>
    <n v="1"/>
    <s v="01.11.80.307.6300.0000"/>
    <n v="129.6"/>
    <s v="11"/>
    <s v="6300"/>
    <n v="7139.1"/>
    <n v="129.6"/>
    <s v="CREDITOR"/>
    <n v="0"/>
    <n v="0"/>
    <n v="0"/>
    <n v="0"/>
    <n v="129.6"/>
  </r>
  <r>
    <n v="9312483"/>
    <s v="N"/>
    <n v="21370247"/>
    <s v="3000005284160001"/>
    <s v="CIVIL"/>
    <d v="2023-06-25T00:00:00"/>
    <d v="2023-07-13T19:21:05"/>
    <m/>
    <d v="2023-07-13T00:00:00"/>
    <n v="637"/>
    <n v="16940"/>
    <s v="9312483"/>
    <s v="9312483"/>
    <m/>
    <m/>
    <n v="22756852"/>
    <m/>
    <m/>
    <m/>
    <s v="SOLFIN"/>
    <s v="SOLFIN"/>
    <s v="CCMS"/>
    <n v="21370247"/>
    <n v="150.77"/>
    <m/>
    <s v="N"/>
    <n v="3"/>
    <d v="2023-07-13T19:21:18"/>
    <s v="Y"/>
    <s v="Routine Letter Out"/>
    <s v="Prescribed Hourly Rates"/>
    <s v="Profit Cost"/>
    <s v="JR"/>
    <s v="Y"/>
    <n v="27"/>
    <n v="5.4"/>
    <x v="11"/>
    <s v="VALIDATED"/>
    <n v="1"/>
    <s v="01.11.80.307.6100.0000"/>
    <n v="27"/>
    <s v="11"/>
    <s v="6100"/>
    <n v="7139.1"/>
    <n v="27"/>
    <s v="CREDITOR"/>
    <n v="0"/>
    <n v="0"/>
    <n v="0"/>
    <n v="0"/>
    <n v="27"/>
  </r>
  <r>
    <n v="9351519"/>
    <s v="N"/>
    <n v="21338448"/>
    <s v="3000005319820004"/>
    <s v="CIVIL"/>
    <d v="2023-06-28T00:00:00"/>
    <d v="2023-07-06T19:21:01"/>
    <m/>
    <d v="2023-07-06T00:00:00"/>
    <n v="637"/>
    <n v="16940"/>
    <s v="9351519"/>
    <s v="9351519"/>
    <m/>
    <m/>
    <n v="22776538"/>
    <m/>
    <m/>
    <m/>
    <s v="SOLFIN"/>
    <s v="SOLFIN"/>
    <s v="CCMS"/>
    <n v="21338448"/>
    <n v="3980.23"/>
    <m/>
    <s v="N"/>
    <n v="5"/>
    <d v="2023-07-06T19:21:25"/>
    <s v="Y"/>
    <s v="Hearing Unit 1.01 - 2.30 Hours"/>
    <s v="Public Law Children"/>
    <s v="Advocacy"/>
    <s v="EY"/>
    <s v="Y"/>
    <n v="238.46"/>
    <n v="47.69"/>
    <x v="4"/>
    <s v="VALIDATED"/>
    <n v="1"/>
    <s v="01.11.80.308.6100.0000"/>
    <n v="238.46"/>
    <s v="11"/>
    <s v="6100"/>
    <n v="7139.1"/>
    <n v="238.46"/>
    <s v="CREDITOR"/>
    <n v="0"/>
    <n v="0"/>
    <n v="0"/>
    <n v="0"/>
    <n v="238.46"/>
  </r>
  <r>
    <n v="9312713"/>
    <s v="N"/>
    <n v="21395075"/>
    <s v="3000005284640007"/>
    <s v="CIVIL"/>
    <d v="2023-06-29T00:00:00"/>
    <d v="2023-07-19T19:02:01"/>
    <m/>
    <d v="2023-07-19T00:00:00"/>
    <n v="637"/>
    <n v="16940"/>
    <s v="9312713"/>
    <s v="9312713"/>
    <m/>
    <m/>
    <n v="22790482"/>
    <m/>
    <m/>
    <m/>
    <s v="SOLFIN"/>
    <s v="SOLFIN"/>
    <s v="CCMS"/>
    <n v="21395075"/>
    <n v="7519.1"/>
    <m/>
    <s v="N"/>
    <n v="3"/>
    <d v="2023-07-19T19:02:15"/>
    <s v="Y"/>
    <s v="Disbursements (Summary)"/>
    <s v="Private Law Children"/>
    <s v="Non Expert Disbursement"/>
    <s v="ZR"/>
    <s v="Y"/>
    <n v="215"/>
    <n v="0"/>
    <x v="5"/>
    <s v="VALIDATED"/>
    <n v="1"/>
    <s v="01.11.80.307.6300.0000"/>
    <n v="215"/>
    <s v="11"/>
    <s v="6300"/>
    <n v="7139.1"/>
    <n v="215"/>
    <s v="CREDITOR"/>
    <n v="0"/>
    <n v="0"/>
    <n v="0"/>
    <n v="0"/>
    <n v="215"/>
  </r>
  <r>
    <n v="60015215"/>
    <s v="N"/>
    <n v="21319322"/>
    <s v="3000014357250028"/>
    <s v="CIVIL"/>
    <d v="2023-06-27T00:00:00"/>
    <d v="2023-07-03T19:04:24"/>
    <m/>
    <d v="2023-07-03T00:00:00"/>
    <n v="637"/>
    <n v="16940"/>
    <s v="60015215"/>
    <s v="60015215"/>
    <m/>
    <m/>
    <n v="22773734"/>
    <m/>
    <m/>
    <m/>
    <s v="SOLPOA"/>
    <s v="SOLPOA"/>
    <s v="CCMS"/>
    <n v="21319322"/>
    <n v="106.56"/>
    <m/>
    <s v="N"/>
    <n v="1"/>
    <d v="2023-07-03T19:04:25"/>
    <s v="N"/>
    <s v="Expert Cost"/>
    <s v="Expert Cost"/>
    <s v="Expert Disbursement"/>
    <s v="EY Lextox invocie"/>
    <s v="N"/>
    <n v="88.8"/>
    <n v="17.76"/>
    <x v="3"/>
    <s v="VALIDATED"/>
    <n v="1"/>
    <s v="01.11.80.308.2012.0000"/>
    <n v="88.8"/>
    <s v="11"/>
    <s v="2012"/>
    <n v="7139.1"/>
    <n v="88.8"/>
    <s v="CREDITOR"/>
    <n v="88.8"/>
    <n v="0"/>
    <n v="0"/>
    <n v="0"/>
    <n v="0"/>
  </r>
  <r>
    <n v="9313287"/>
    <s v="N"/>
    <n v="21370224"/>
    <s v="3000005285560001"/>
    <s v="CIVIL"/>
    <d v="2023-06-25T00:00:00"/>
    <d v="2023-07-13T19:21:05"/>
    <m/>
    <d v="2023-07-13T00:00:00"/>
    <n v="637"/>
    <n v="16940"/>
    <s v="9313287"/>
    <s v="9313287"/>
    <m/>
    <m/>
    <n v="22756856"/>
    <m/>
    <m/>
    <m/>
    <s v="SOLFIN"/>
    <s v="SOLFIN"/>
    <s v="CCMS"/>
    <n v="21370224"/>
    <n v="0"/>
    <m/>
    <s v="N"/>
    <n v="1"/>
    <d v="2023-07-13T19:21:17"/>
    <s v="N"/>
    <s v="NIL BILL"/>
    <s v="Prescribed Hourly Rates"/>
    <s v="Profit Cost"/>
    <s v="RE"/>
    <s v="N"/>
    <n v="0"/>
    <n v="0"/>
    <x v="11"/>
    <s v="VALIDATED"/>
    <n v="1"/>
    <s v="01.11.80.307.6100.0000"/>
    <n v="0"/>
    <s v="11"/>
    <s v="6100"/>
    <n v="7139.1"/>
    <n v="0"/>
    <s v="CREDITOR"/>
    <n v="0"/>
    <n v="0"/>
    <n v="0"/>
    <n v="0"/>
    <n v="0"/>
  </r>
  <r>
    <n v="60701525"/>
    <s v="N"/>
    <n v="21350020"/>
    <s v="3000014948210012"/>
    <s v="CIVIL"/>
    <d v="2023-06-30T00:00:00"/>
    <d v="2023-07-10T19:01:40"/>
    <m/>
    <d v="2023-07-10T00:00:00"/>
    <n v="637"/>
    <n v="16940"/>
    <s v="60701525"/>
    <s v="60701525"/>
    <m/>
    <m/>
    <n v="22794230"/>
    <m/>
    <m/>
    <m/>
    <s v="SOLFIN"/>
    <s v="SOLFIN"/>
    <s v="CCMS"/>
    <n v="21350020"/>
    <n v="11951.18"/>
    <m/>
    <s v="N"/>
    <n v="6"/>
    <d v="2023-07-10T19:02:09"/>
    <s v="Y"/>
    <s v="Hearing Unit 1.01 - 2.30 Hours"/>
    <s v="Public Law Children"/>
    <s v="Advocacy"/>
    <s v="ey"/>
    <s v="Y"/>
    <n v="238.46"/>
    <n v="47.69"/>
    <x v="2"/>
    <s v="VALIDATED"/>
    <n v="1"/>
    <s v="01.11.80.308.6100.0000"/>
    <n v="238.46"/>
    <s v="11"/>
    <s v="6100"/>
    <n v="7139.1"/>
    <n v="238.46"/>
    <s v="CREDITOR"/>
    <n v="0"/>
    <n v="0"/>
    <n v="0"/>
    <n v="0"/>
    <n v="238.46"/>
  </r>
  <r>
    <n v="10136000"/>
    <s v="N"/>
    <n v="21328038"/>
    <s v="3000006015340004"/>
    <s v="CIVIL"/>
    <d v="2023-06-25T00:00:00"/>
    <d v="2023-07-04T19:00:44"/>
    <m/>
    <d v="2023-07-04T00:00:00"/>
    <n v="637"/>
    <n v="16940"/>
    <s v="10136000"/>
    <s v="10136000"/>
    <m/>
    <m/>
    <n v="22756896"/>
    <m/>
    <m/>
    <m/>
    <s v="SOLFIN"/>
    <s v="SOLFIN"/>
    <s v="CCMS"/>
    <n v="21328038"/>
    <n v="1765.23"/>
    <m/>
    <s v="N"/>
    <n v="1"/>
    <d v="2023-07-04T19:01:02"/>
    <s v="Y"/>
    <s v="Solicitor Travel Mileage"/>
    <s v="Domestic Abuse"/>
    <s v="Non Expert Disbursement"/>
    <s v="SW"/>
    <s v="Y"/>
    <n v="21.6"/>
    <n v="4.32"/>
    <x v="1"/>
    <s v="VALIDATED"/>
    <n v="1"/>
    <s v="01.11.80.302.6300.0000"/>
    <n v="21.6"/>
    <s v="11"/>
    <s v="6300"/>
    <n v="7139.1"/>
    <n v="21.6"/>
    <s v="CREDITOR"/>
    <n v="0"/>
    <n v="0"/>
    <n v="0"/>
    <n v="0"/>
    <n v="21.6"/>
  </r>
  <r>
    <n v="10292446"/>
    <s v="N"/>
    <n v="21360754"/>
    <s v="3000006158190002"/>
    <s v="CIVIL"/>
    <d v="2023-06-30T00:00:00"/>
    <d v="2023-07-11T19:00:25"/>
    <m/>
    <d v="2023-07-11T00:00:00"/>
    <n v="637"/>
    <n v="16940"/>
    <s v="10292446"/>
    <s v="10292446"/>
    <m/>
    <m/>
    <n v="22801332"/>
    <m/>
    <m/>
    <m/>
    <s v="SOLFIN"/>
    <s v="SOLFIN"/>
    <s v="CCMS"/>
    <n v="21360754"/>
    <n v="361.85"/>
    <m/>
    <s v="N"/>
    <n v="11"/>
    <d v="2023-07-11T19:00:32"/>
    <s v="Y"/>
    <s v="Preparation - other"/>
    <s v="Care Remuneration Hourly Rates"/>
    <s v="Profit Cost"/>
    <s v="KC"/>
    <s v="Y"/>
    <n v="11.68"/>
    <n v="2.34"/>
    <x v="7"/>
    <s v="VALIDATED"/>
    <n v="1"/>
    <s v="01.11.80.308.6100.0000"/>
    <n v="11.68"/>
    <s v="11"/>
    <s v="6100"/>
    <n v="7139.1"/>
    <n v="11.68"/>
    <s v="CREDITOR"/>
    <n v="0"/>
    <n v="0"/>
    <n v="0"/>
    <n v="0"/>
    <n v="11.68"/>
  </r>
  <r>
    <n v="60701525"/>
    <s v="N"/>
    <n v="21350020"/>
    <s v="3000014948210012"/>
    <s v="CIVIL"/>
    <d v="2023-06-30T00:00:00"/>
    <d v="2023-07-10T19:01:40"/>
    <m/>
    <d v="2023-07-10T00:00:00"/>
    <n v="637"/>
    <n v="16940"/>
    <s v="60701525"/>
    <s v="60701525"/>
    <m/>
    <m/>
    <n v="22794230"/>
    <m/>
    <m/>
    <m/>
    <s v="SOLFIN"/>
    <s v="SOLFIN"/>
    <s v="CCMS"/>
    <n v="21350020"/>
    <n v="11951.18"/>
    <m/>
    <s v="N"/>
    <n v="5"/>
    <d v="2023-07-10T19:02:09"/>
    <s v="Y"/>
    <s v="Hearing Unit 1.01 - 2.30 Hours"/>
    <s v="Public Law Children"/>
    <s v="Advocacy"/>
    <s v="ey"/>
    <s v="Y"/>
    <n v="238.46"/>
    <n v="47.69"/>
    <x v="2"/>
    <s v="VALIDATED"/>
    <n v="1"/>
    <s v="01.11.80.308.6100.0000"/>
    <n v="238.46"/>
    <s v="11"/>
    <s v="6100"/>
    <n v="7139.1"/>
    <n v="238.46"/>
    <s v="CREDITOR"/>
    <n v="0"/>
    <n v="0"/>
    <n v="0"/>
    <n v="0"/>
    <n v="238.46"/>
  </r>
  <r>
    <n v="59838472"/>
    <s v="N"/>
    <n v="21321437"/>
    <s v="3000014047760024"/>
    <s v="CIVIL"/>
    <d v="2023-06-29T00:00:00"/>
    <d v="2023-07-03T19:05:17"/>
    <m/>
    <d v="2023-07-03T00:00:00"/>
    <n v="637"/>
    <n v="16940"/>
    <s v="59838472"/>
    <s v="59838472"/>
    <m/>
    <m/>
    <n v="22785046"/>
    <m/>
    <m/>
    <m/>
    <s v="SOLPOA"/>
    <s v="SOLPOA"/>
    <s v="CCMS"/>
    <n v="21321437"/>
    <n v="32.15"/>
    <m/>
    <s v="N"/>
    <n v="1"/>
    <d v="2023-07-03T19:05:18"/>
    <s v="N"/>
    <s v="Non Expert Disbursement"/>
    <s v="Non Expert Disbursement"/>
    <s v="Non Expert Disbursement"/>
    <s v="Matthew Pyke"/>
    <s v="N"/>
    <n v="32.15"/>
    <n v="0"/>
    <x v="3"/>
    <s v="VALIDATED"/>
    <n v="1"/>
    <s v="01.11.80.307.2012.0000"/>
    <n v="32.15"/>
    <s v="11"/>
    <s v="2012"/>
    <n v="7139.1"/>
    <n v="32.15"/>
    <s v="CREDITOR"/>
    <n v="32.15"/>
    <n v="0"/>
    <n v="0"/>
    <n v="0"/>
    <n v="0"/>
  </r>
  <r>
    <n v="60701525"/>
    <s v="N"/>
    <n v="21350020"/>
    <s v="3000014948210012"/>
    <s v="CIVIL"/>
    <d v="2023-06-30T00:00:00"/>
    <d v="2023-07-10T19:01:40"/>
    <m/>
    <d v="2023-07-10T00:00:00"/>
    <n v="637"/>
    <n v="16940"/>
    <s v="60701525"/>
    <s v="60701525"/>
    <m/>
    <m/>
    <n v="22794230"/>
    <m/>
    <m/>
    <m/>
    <s v="SOLFIN"/>
    <s v="SOLFIN"/>
    <s v="CCMS"/>
    <n v="21350020"/>
    <n v="11951.18"/>
    <m/>
    <s v="N"/>
    <n v="3"/>
    <d v="2023-07-10T19:02:09"/>
    <s v="Y"/>
    <s v="Disbursements (Summary)"/>
    <s v="Public Law Children"/>
    <s v="Non Expert Disbursement"/>
    <s v="c fee"/>
    <s v="Y"/>
    <n v="53"/>
    <n v="0"/>
    <x v="2"/>
    <s v="VALIDATED"/>
    <n v="1"/>
    <s v="01.11.80.308.6300.0000"/>
    <n v="53"/>
    <s v="11"/>
    <s v="6300"/>
    <n v="7139.1"/>
    <n v="53"/>
    <s v="CREDITOR"/>
    <n v="0"/>
    <n v="0"/>
    <n v="0"/>
    <n v="0"/>
    <n v="53"/>
  </r>
  <r>
    <n v="9312483"/>
    <s v="N"/>
    <n v="21370247"/>
    <s v="3000005284160001"/>
    <s v="CIVIL"/>
    <d v="2023-06-25T00:00:00"/>
    <d v="2023-07-13T19:21:05"/>
    <m/>
    <d v="2023-07-13T00:00:00"/>
    <n v="637"/>
    <n v="16940"/>
    <s v="9312483"/>
    <s v="9312483"/>
    <m/>
    <m/>
    <n v="22756852"/>
    <m/>
    <m/>
    <m/>
    <s v="SOLFIN"/>
    <s v="SOLFIN"/>
    <s v="CCMS"/>
    <n v="21370247"/>
    <n v="150.77"/>
    <m/>
    <s v="N"/>
    <n v="5"/>
    <d v="2023-07-13T19:21:18"/>
    <s v="Y"/>
    <s v="Preparation - drafting bill/claim f"/>
    <s v="Prescribed Hourly Rates"/>
    <s v="Profit Cost"/>
    <s v="JS"/>
    <s v="Y"/>
    <n v="10.98"/>
    <n v="2.2"/>
    <x v="11"/>
    <s v="VALIDATED"/>
    <n v="1"/>
    <s v="01.11.80.307.6100.0000"/>
    <n v="10.98"/>
    <s v="11"/>
    <s v="6100"/>
    <n v="7139.1"/>
    <n v="10.98"/>
    <s v="CREDITOR"/>
    <n v="0"/>
    <n v="0"/>
    <n v="0"/>
    <n v="0"/>
    <n v="10.98"/>
  </r>
  <r>
    <n v="10292446"/>
    <s v="N"/>
    <n v="21360754"/>
    <s v="3000006158190002"/>
    <s v="CIVIL"/>
    <d v="2023-06-30T00:00:00"/>
    <d v="2023-07-11T19:00:25"/>
    <m/>
    <d v="2023-07-11T00:00:00"/>
    <n v="637"/>
    <n v="16940"/>
    <s v="10292446"/>
    <s v="10292446"/>
    <m/>
    <m/>
    <n v="22801332"/>
    <m/>
    <m/>
    <m/>
    <s v="SOLFIN"/>
    <s v="SOLFIN"/>
    <s v="CCMS"/>
    <n v="21360754"/>
    <n v="361.85"/>
    <m/>
    <s v="N"/>
    <n v="8"/>
    <d v="2023-07-11T19:00:32"/>
    <s v="Y"/>
    <s v="Preparation - other"/>
    <s v="Care Remuneration Hourly Rates"/>
    <s v="Profit Cost"/>
    <s v="EY"/>
    <s v="Y"/>
    <n v="70.09"/>
    <n v="14.02"/>
    <x v="7"/>
    <s v="VALIDATED"/>
    <n v="1"/>
    <s v="01.11.80.308.6100.0000"/>
    <n v="70.09"/>
    <s v="11"/>
    <s v="6100"/>
    <n v="7139.1"/>
    <n v="70.09"/>
    <s v="CREDITOR"/>
    <n v="0"/>
    <n v="0"/>
    <n v="0"/>
    <n v="0"/>
    <n v="70.09"/>
  </r>
  <r>
    <n v="61722388"/>
    <s v="N"/>
    <n v="21338248"/>
    <s v="3000015809770001"/>
    <s v="CIVIL"/>
    <d v="2023-06-27T00:00:00"/>
    <d v="2023-07-06T19:21:01"/>
    <m/>
    <d v="2023-07-06T00:00:00"/>
    <n v="640"/>
    <n v="16951"/>
    <s v="61722388"/>
    <s v="61722388"/>
    <m/>
    <m/>
    <n v="22774284"/>
    <m/>
    <m/>
    <m/>
    <s v="SOLFIN"/>
    <s v="SOLFIN"/>
    <s v="CCMS"/>
    <n v="21338248"/>
    <n v="5492.58"/>
    <m/>
    <s v="N"/>
    <n v="1"/>
    <d v="2023-07-06T19:21:14"/>
    <s v="Y"/>
    <s v="Final Hearing Court Bundle/Advocate"/>
    <s v="Public Law Children"/>
    <s v="Advocacy"/>
    <s v="Jodi Street"/>
    <s v="Y"/>
    <n v="159.3"/>
    <n v="31.86"/>
    <x v="4"/>
    <s v="VALIDATED"/>
    <n v="1"/>
    <s v="01.11.80.308.6100.0000"/>
    <n v="159.3"/>
    <s v="11"/>
    <s v="6100"/>
    <n v="87471.74000000001"/>
    <n v="159.3"/>
    <s v="CREDITOR"/>
    <n v="0"/>
    <n v="0"/>
    <n v="0"/>
    <n v="0"/>
    <n v="159.3"/>
  </r>
  <r>
    <n v="59785260"/>
    <s v="N"/>
    <n v="21328089"/>
    <s v="3000014159380007"/>
    <s v="CIVIL"/>
    <d v="2023-06-27T00:00:00"/>
    <d v="2023-07-04T19:00:44"/>
    <m/>
    <d v="2023-07-04T00:00:00"/>
    <n v="640"/>
    <n v="16951"/>
    <s v="59785260"/>
    <s v="59785260"/>
    <m/>
    <m/>
    <n v="22774166"/>
    <m/>
    <m/>
    <m/>
    <s v="SOLFIN"/>
    <s v="SOLFIN"/>
    <s v="CCMS"/>
    <n v="21328089"/>
    <n v="79459.92"/>
    <m/>
    <s v="N"/>
    <n v="26"/>
    <d v="2023-07-04T19:01:03"/>
    <s v="Y"/>
    <s v="Interim/Directions/Review Hearing ("/>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33"/>
    <d v="2023-07-04T19:01:03"/>
    <s v="Y"/>
    <s v="Pre-Hearing Review (Events Model)"/>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4"/>
    <d v="2023-07-04T19:01:03"/>
    <s v="Y"/>
    <s v="Finding-of-Fact Hearing (Events Mod"/>
    <s v="VHCC"/>
    <s v="Profit Cost"/>
    <s v="Ellen Saunders"/>
    <s v="Y"/>
    <n v="1800"/>
    <n v="360"/>
    <x v="1"/>
    <s v="VALIDATED"/>
    <n v="1"/>
    <s v="01.11.80.305.6100.0000"/>
    <n v="1800"/>
    <s v="11"/>
    <s v="6100"/>
    <n v="87471.74000000001"/>
    <n v="1800"/>
    <s v="CREDITOR"/>
    <n v="0"/>
    <n v="0"/>
    <n v="0"/>
    <n v="0"/>
    <n v="1800"/>
  </r>
  <r>
    <n v="61754320"/>
    <s v="N"/>
    <n v="21327693"/>
    <s v="3000015833890003"/>
    <s v="CIVIL"/>
    <d v="2023-06-23T00:00:00"/>
    <d v="2023-07-04T19:00:44"/>
    <m/>
    <d v="2023-07-04T00:00:00"/>
    <n v="640"/>
    <n v="16951"/>
    <s v="61754320"/>
    <s v="61754320"/>
    <m/>
    <m/>
    <n v="22755392"/>
    <m/>
    <m/>
    <m/>
    <s v="SOLFIN"/>
    <s v="SOLFIN"/>
    <s v="CCMS"/>
    <n v="21327693"/>
    <n v="5313.14"/>
    <m/>
    <s v="N"/>
    <n v="1"/>
    <d v="2023-07-04T19:00:52"/>
    <s v="Y"/>
    <s v="Exceptional Travel"/>
    <s v="Public Law Children"/>
    <s v="Advocacy"/>
    <s v="Rebecca Marshall"/>
    <s v="Y"/>
    <n v="32.04"/>
    <n v="6.41"/>
    <x v="1"/>
    <s v="VALIDATED"/>
    <n v="1"/>
    <s v="01.11.80.308.6100.0000"/>
    <n v="32.04"/>
    <s v="11"/>
    <s v="6100"/>
    <n v="87471.74000000001"/>
    <n v="32.04"/>
    <s v="CREDITOR"/>
    <n v="0"/>
    <n v="0"/>
    <n v="0"/>
    <n v="0"/>
    <n v="32.04"/>
  </r>
  <r>
    <n v="61722547"/>
    <s v="N"/>
    <n v="21338242"/>
    <s v="3000015809950001"/>
    <s v="CIVIL"/>
    <d v="2023-06-27T00:00:00"/>
    <d v="2023-07-06T19:21:01"/>
    <m/>
    <d v="2023-07-06T00:00:00"/>
    <n v="640"/>
    <n v="16951"/>
    <s v="61722547"/>
    <s v="61722547"/>
    <m/>
    <m/>
    <n v="22774320"/>
    <m/>
    <m/>
    <m/>
    <s v="SOLFIN"/>
    <s v="SOLFIN"/>
    <s v="CCMS"/>
    <n v="21338242"/>
    <n v="0"/>
    <m/>
    <s v="N"/>
    <n v="1"/>
    <d v="2023-07-06T19:21:13"/>
    <s v="N"/>
    <s v="NIL BILL"/>
    <s v="Public Law Children"/>
    <s v="Profit Cost"/>
    <s v="Rebecca Marshall"/>
    <s v="N"/>
    <n v="0"/>
    <n v="0"/>
    <x v="4"/>
    <s v="VALIDATED"/>
    <n v="1"/>
    <s v="01.11.80.308.6100.0000"/>
    <n v="0"/>
    <s v="11"/>
    <s v="6100"/>
    <n v="87471.74000000001"/>
    <n v="0"/>
    <s v="CREDITOR"/>
    <n v="0"/>
    <n v="0"/>
    <n v="0"/>
    <n v="0"/>
    <n v="0"/>
  </r>
  <r>
    <n v="59556662"/>
    <s v="N"/>
    <n v="21328025"/>
    <s v="3000013960380001"/>
    <s v="CIVIL"/>
    <d v="2023-06-27T00:00:00"/>
    <d v="2023-07-04T19:00:44"/>
    <m/>
    <d v="2023-07-04T00:00:00"/>
    <n v="640"/>
    <n v="16951"/>
    <s v="59556662"/>
    <s v="59556662"/>
    <m/>
    <m/>
    <n v="22770848"/>
    <m/>
    <m/>
    <m/>
    <s v="SOLFIN"/>
    <s v="SOLFIN"/>
    <s v="CCMS"/>
    <n v="21328025"/>
    <n v="9298.799999999999"/>
    <m/>
    <s v="N"/>
    <n v="5"/>
    <d v="2023-07-04T19:01:01"/>
    <s v="Y"/>
    <s v="Final Hearing (Events Model)"/>
    <s v="VHCC"/>
    <s v="Profit Cost"/>
    <s v="Rebecca Marshall"/>
    <s v="Y"/>
    <n v="1107"/>
    <n v="221.4"/>
    <x v="1"/>
    <s v="VALIDATED"/>
    <n v="1"/>
    <s v="01.11.80.305.6100.0000"/>
    <n v="1107"/>
    <s v="11"/>
    <s v="6100"/>
    <n v="87471.74000000001"/>
    <n v="1107"/>
    <s v="CREDITOR"/>
    <n v="0"/>
    <n v="0"/>
    <n v="0"/>
    <n v="0"/>
    <n v="1107"/>
  </r>
  <r>
    <n v="62432912"/>
    <s v="N"/>
    <n v="21328250"/>
    <s v="3000016401850001"/>
    <s v="CIVIL"/>
    <d v="2023-06-26T00:00:00"/>
    <d v="2023-07-04T19:00:44"/>
    <m/>
    <d v="2023-07-04T00:00:00"/>
    <n v="640"/>
    <n v="16951"/>
    <s v="62432912"/>
    <s v="62432912"/>
    <m/>
    <m/>
    <n v="22761628"/>
    <m/>
    <m/>
    <m/>
    <s v="SOLFIN"/>
    <s v="SOLFIN"/>
    <s v="CCMS"/>
    <n v="21328250"/>
    <n v="1229.23"/>
    <m/>
    <s v="N"/>
    <n v="8"/>
    <d v="2023-07-04T19:01:10"/>
    <s v="Y"/>
    <s v="Preparation - other"/>
    <s v="Care Remuneration Hourly Rates"/>
    <s v="Profit Cost"/>
    <s v="Rebecca Marshall"/>
    <s v="Y"/>
    <n v="6.72"/>
    <n v="1.34"/>
    <x v="1"/>
    <s v="VALIDATED"/>
    <n v="1"/>
    <s v="01.11.80.308.6100.0000"/>
    <n v="6.72"/>
    <s v="11"/>
    <s v="6100"/>
    <n v="87471.74000000001"/>
    <n v="6.72"/>
    <s v="CREDITOR"/>
    <n v="0"/>
    <n v="0"/>
    <n v="0"/>
    <n v="0"/>
    <n v="6.72"/>
  </r>
  <r>
    <n v="61754320"/>
    <s v="N"/>
    <n v="21327693"/>
    <s v="3000015833890003"/>
    <s v="CIVIL"/>
    <d v="2023-06-23T00:00:00"/>
    <d v="2023-07-04T19:00:44"/>
    <m/>
    <d v="2023-07-04T00:00:00"/>
    <n v="640"/>
    <n v="16951"/>
    <s v="61754320"/>
    <s v="61754320"/>
    <m/>
    <m/>
    <n v="22755392"/>
    <m/>
    <m/>
    <m/>
    <s v="SOLFIN"/>
    <s v="SOLFIN"/>
    <s v="CCMS"/>
    <n v="21327693"/>
    <n v="5313.14"/>
    <m/>
    <s v="N"/>
    <n v="13"/>
    <d v="2023-07-04T19:00:52"/>
    <s v="Y"/>
    <s v="Hearing Unit 1.01 - 2.30 Hours"/>
    <s v="Public Law Children"/>
    <s v="Advocacy"/>
    <s v="Rebecca Marshall"/>
    <s v="Y"/>
    <n v="238.46"/>
    <n v="47.69"/>
    <x v="1"/>
    <s v="VALIDATED"/>
    <n v="1"/>
    <s v="01.11.80.308.6100.0000"/>
    <n v="238.46"/>
    <s v="11"/>
    <s v="6100"/>
    <n v="87471.74000000001"/>
    <n v="238.46"/>
    <s v="CREDITOR"/>
    <n v="0"/>
    <n v="0"/>
    <n v="0"/>
    <n v="0"/>
    <n v="238.46"/>
  </r>
  <r>
    <n v="62469504"/>
    <s v="N"/>
    <n v="21327740"/>
    <s v="3000016431440001"/>
    <s v="CIVIL"/>
    <d v="2023-06-26T00:00:00"/>
    <d v="2023-07-04T19:00:44"/>
    <m/>
    <d v="2023-07-04T00:00:00"/>
    <n v="640"/>
    <n v="16951"/>
    <s v="62469504"/>
    <s v="62469504"/>
    <m/>
    <m/>
    <n v="22764562"/>
    <m/>
    <m/>
    <m/>
    <s v="SOLFIN"/>
    <s v="SOLFIN"/>
    <s v="CCMS"/>
    <n v="21327740"/>
    <n v="974.67"/>
    <m/>
    <s v="N"/>
    <n v="10"/>
    <d v="2023-07-04T19:00:53"/>
    <s v="Y"/>
    <s v="Preparation - other"/>
    <s v="Care Remuneration Hourly Rates"/>
    <s v="Profit Cost"/>
    <s v="Gail Sinclair"/>
    <s v="Y"/>
    <n v="5.84"/>
    <n v="1.17"/>
    <x v="1"/>
    <s v="VALIDATED"/>
    <n v="1"/>
    <s v="01.11.80.308.6100.0000"/>
    <n v="5.84"/>
    <s v="11"/>
    <s v="6100"/>
    <n v="87471.74000000001"/>
    <n v="5.84"/>
    <s v="CREDITOR"/>
    <n v="0"/>
    <n v="0"/>
    <n v="0"/>
    <n v="0"/>
    <n v="5.84"/>
  </r>
  <r>
    <n v="62469504"/>
    <s v="N"/>
    <n v="21327740"/>
    <s v="3000016431440001"/>
    <s v="CIVIL"/>
    <d v="2023-06-26T00:00:00"/>
    <d v="2023-07-04T19:00:44"/>
    <m/>
    <d v="2023-07-04T00:00:00"/>
    <n v="640"/>
    <n v="16951"/>
    <s v="62469504"/>
    <s v="62469504"/>
    <m/>
    <m/>
    <n v="22764562"/>
    <m/>
    <m/>
    <m/>
    <s v="SOLFIN"/>
    <s v="SOLFIN"/>
    <s v="CCMS"/>
    <n v="21327740"/>
    <n v="974.67"/>
    <m/>
    <s v="N"/>
    <n v="3"/>
    <d v="2023-07-04T19:00:53"/>
    <s v="Y"/>
    <s v="Preparation - drafting attendance n"/>
    <s v="Care Remuneration Hourly Rates"/>
    <s v="Profit Cost"/>
    <s v="Rebecca Marshall"/>
    <s v="Y"/>
    <n v="6.72"/>
    <n v="1.34"/>
    <x v="1"/>
    <s v="VALIDATED"/>
    <n v="1"/>
    <s v="01.11.80.308.6100.0000"/>
    <n v="6.72"/>
    <s v="11"/>
    <s v="6100"/>
    <n v="87471.74000000001"/>
    <n v="6.72"/>
    <s v="CREDITOR"/>
    <n v="0"/>
    <n v="0"/>
    <n v="0"/>
    <n v="0"/>
    <n v="6.72"/>
  </r>
  <r>
    <n v="62432912"/>
    <s v="N"/>
    <n v="21328250"/>
    <s v="3000016401850001"/>
    <s v="CIVIL"/>
    <d v="2023-06-26T00:00:00"/>
    <d v="2023-07-04T19:00:44"/>
    <m/>
    <d v="2023-07-04T00:00:00"/>
    <n v="640"/>
    <n v="16951"/>
    <s v="62432912"/>
    <s v="62432912"/>
    <m/>
    <m/>
    <n v="22761628"/>
    <m/>
    <m/>
    <m/>
    <s v="SOLFIN"/>
    <s v="SOLFIN"/>
    <s v="CCMS"/>
    <n v="21328250"/>
    <n v="1229.23"/>
    <m/>
    <s v="N"/>
    <n v="16"/>
    <d v="2023-07-04T19:01:10"/>
    <s v="Y"/>
    <s v="Preparation - other"/>
    <s v="Care Remuneration Hourly Rates"/>
    <s v="Profit Cost"/>
    <s v="Gail Sinclair"/>
    <s v="Y"/>
    <n v="5.84"/>
    <n v="1.17"/>
    <x v="1"/>
    <s v="VALIDATED"/>
    <n v="1"/>
    <s v="01.11.80.308.6100.0000"/>
    <n v="5.84"/>
    <s v="11"/>
    <s v="6100"/>
    <n v="87471.74000000001"/>
    <n v="5.84"/>
    <s v="CREDITOR"/>
    <n v="0"/>
    <n v="0"/>
    <n v="0"/>
    <n v="0"/>
    <n v="5.84"/>
  </r>
  <r>
    <n v="56165389"/>
    <s v="N"/>
    <n v="21327961"/>
    <s v="3000013323390001"/>
    <s v="CIVIL"/>
    <d v="2023-06-27T00:00:00"/>
    <d v="2023-07-04T19:00:44"/>
    <m/>
    <d v="2023-07-04T00:00:00"/>
    <n v="640"/>
    <n v="16951"/>
    <s v="56165389"/>
    <s v="56165389"/>
    <m/>
    <m/>
    <n v="22774178"/>
    <m/>
    <m/>
    <m/>
    <s v="SOLFIN"/>
    <s v="SOLFIN"/>
    <s v="CCMS"/>
    <n v="21327961"/>
    <n v="0"/>
    <m/>
    <s v="N"/>
    <n v="1"/>
    <d v="2023-07-04T19:01:00"/>
    <s v="N"/>
    <s v="NIL BILL"/>
    <s v="Public Law Children"/>
    <s v="Profit Cost"/>
    <s v="Rebecca Marshall"/>
    <s v="N"/>
    <n v="0"/>
    <n v="0"/>
    <x v="1"/>
    <s v="VALIDATED"/>
    <n v="1"/>
    <s v="01.11.80.308.6100.0000"/>
    <n v="0"/>
    <s v="11"/>
    <s v="6100"/>
    <n v="87471.74000000001"/>
    <n v="0"/>
    <s v="CREDITOR"/>
    <n v="0"/>
    <n v="0"/>
    <n v="0"/>
    <n v="0"/>
    <n v="0"/>
  </r>
  <r>
    <n v="61754320"/>
    <s v="N"/>
    <n v="21327693"/>
    <s v="3000015833890003"/>
    <s v="CIVIL"/>
    <d v="2023-06-23T00:00:00"/>
    <d v="2023-07-04T19:00:44"/>
    <m/>
    <d v="2023-07-04T00:00:00"/>
    <n v="640"/>
    <n v="16951"/>
    <s v="61754320"/>
    <s v="61754320"/>
    <m/>
    <m/>
    <n v="22755392"/>
    <m/>
    <m/>
    <m/>
    <s v="SOLFIN"/>
    <s v="SOLFIN"/>
    <s v="CCMS"/>
    <n v="21327693"/>
    <n v="5313.14"/>
    <m/>
    <s v="N"/>
    <n v="2"/>
    <d v="2023-07-04T19:00:52"/>
    <s v="Y"/>
    <s v="Exceptional Travel"/>
    <s v="Public Law Children"/>
    <s v="Advocacy"/>
    <s v="Rebecca Marshall"/>
    <s v="Y"/>
    <n v="32.04"/>
    <n v="6.41"/>
    <x v="1"/>
    <s v="VALIDATED"/>
    <n v="1"/>
    <s v="01.11.80.308.6100.0000"/>
    <n v="32.04"/>
    <s v="11"/>
    <s v="6100"/>
    <n v="87471.74000000001"/>
    <n v="32.04"/>
    <s v="CREDITOR"/>
    <n v="0"/>
    <n v="0"/>
    <n v="0"/>
    <n v="0"/>
    <n v="32.04"/>
  </r>
  <r>
    <n v="59785260"/>
    <s v="N"/>
    <n v="21328089"/>
    <s v="3000014159380007"/>
    <s v="CIVIL"/>
    <d v="2023-06-27T00:00:00"/>
    <d v="2023-07-04T19:00:44"/>
    <m/>
    <d v="2023-07-04T00:00:00"/>
    <n v="640"/>
    <n v="16951"/>
    <s v="59785260"/>
    <s v="59785260"/>
    <m/>
    <m/>
    <n v="22774166"/>
    <m/>
    <m/>
    <m/>
    <s v="SOLFIN"/>
    <s v="SOLFIN"/>
    <s v="CCMS"/>
    <n v="21328089"/>
    <n v="79459.92"/>
    <m/>
    <s v="N"/>
    <n v="16"/>
    <d v="2023-07-04T19:01:03"/>
    <s v="Y"/>
    <s v="Interim/Directions/Review Hearing ("/>
    <s v="VHCC"/>
    <s v="Profit Cost"/>
    <s v="Ellen Saunders"/>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5"/>
    <d v="2023-07-04T19:01:10"/>
    <s v="Y"/>
    <s v="Preparation - other"/>
    <s v="Care Remuneration Hourly Rates"/>
    <s v="Profit Cost"/>
    <s v="Rebecca Marshall"/>
    <s v="Y"/>
    <n v="6.72"/>
    <n v="1.34"/>
    <x v="1"/>
    <s v="VALIDATED"/>
    <n v="1"/>
    <s v="01.11.80.308.6100.0000"/>
    <n v="6.72"/>
    <s v="11"/>
    <s v="6100"/>
    <n v="87471.74000000001"/>
    <n v="6.72"/>
    <s v="CREDITOR"/>
    <n v="0"/>
    <n v="0"/>
    <n v="0"/>
    <n v="0"/>
    <n v="6.72"/>
  </r>
  <r>
    <n v="62432912"/>
    <s v="N"/>
    <n v="21328250"/>
    <s v="3000016401850001"/>
    <s v="CIVIL"/>
    <d v="2023-06-26T00:00:00"/>
    <d v="2023-07-04T19:00:44"/>
    <m/>
    <d v="2023-07-04T00:00:00"/>
    <n v="640"/>
    <n v="16951"/>
    <s v="62432912"/>
    <s v="62432912"/>
    <m/>
    <m/>
    <n v="22761628"/>
    <m/>
    <m/>
    <m/>
    <s v="SOLFIN"/>
    <s v="SOLFIN"/>
    <s v="CCMS"/>
    <n v="21328250"/>
    <n v="1229.23"/>
    <m/>
    <s v="N"/>
    <n v="6"/>
    <d v="2023-07-04T19:01:10"/>
    <s v="Y"/>
    <s v="Preparation - other"/>
    <s v="Care Remuneration Hourly Rates"/>
    <s v="Profit Cost"/>
    <s v="Rebecca Marshall"/>
    <s v="Y"/>
    <n v="20.15"/>
    <n v="4.03"/>
    <x v="1"/>
    <s v="VALIDATED"/>
    <n v="1"/>
    <s v="01.11.80.308.6100.0000"/>
    <n v="20.15"/>
    <s v="11"/>
    <s v="6100"/>
    <n v="87471.74000000001"/>
    <n v="20.15"/>
    <s v="CREDITOR"/>
    <n v="0"/>
    <n v="0"/>
    <n v="0"/>
    <n v="0"/>
    <n v="20.15"/>
  </r>
  <r>
    <n v="61472096"/>
    <s v="N"/>
    <n v="21322949"/>
    <s v="3000015601250009"/>
    <s v="CIVIL"/>
    <d v="2023-06-29T00:00:00"/>
    <d v="2023-07-03T19:05:36"/>
    <m/>
    <d v="2023-07-03T00:00:00"/>
    <n v="640"/>
    <n v="16951"/>
    <s v="61472096"/>
    <s v="61472096"/>
    <m/>
    <m/>
    <n v="22792760"/>
    <m/>
    <m/>
    <m/>
    <s v="SOLPOA"/>
    <s v="SOLPOA"/>
    <s v="CCMS"/>
    <n v="21322949"/>
    <n v="129.6"/>
    <m/>
    <s v="N"/>
    <n v="1"/>
    <d v="2023-07-03T19:05:41"/>
    <s v="N"/>
    <s v="Expert Cost"/>
    <s v="Expert Cost"/>
    <s v="Expert Disbursement"/>
    <s v="CB"/>
    <s v="N"/>
    <n v="108"/>
    <n v="21.6"/>
    <x v="3"/>
    <s v="VALIDATED"/>
    <n v="1"/>
    <s v="01.11.80.308.2012.0000"/>
    <n v="108"/>
    <s v="11"/>
    <s v="2012"/>
    <n v="87471.74000000001"/>
    <n v="108"/>
    <s v="CREDITOR"/>
    <n v="108"/>
    <n v="0"/>
    <n v="0"/>
    <n v="0"/>
    <n v="0"/>
  </r>
  <r>
    <n v="61754320"/>
    <s v="N"/>
    <n v="21327693"/>
    <s v="3000015833890003"/>
    <s v="CIVIL"/>
    <d v="2023-06-23T00:00:00"/>
    <d v="2023-07-04T19:00:44"/>
    <m/>
    <d v="2023-07-04T00:00:00"/>
    <n v="640"/>
    <n v="16951"/>
    <s v="61754320"/>
    <s v="61754320"/>
    <m/>
    <m/>
    <n v="22755392"/>
    <m/>
    <m/>
    <m/>
    <s v="SOLFIN"/>
    <s v="SOLFIN"/>
    <s v="CCMS"/>
    <n v="21327693"/>
    <n v="5313.14"/>
    <m/>
    <s v="N"/>
    <n v="15"/>
    <d v="2023-07-04T19:00:52"/>
    <s v="Y"/>
    <s v="Final Hearing - 1 Day"/>
    <s v="Public Law Children"/>
    <s v="Advocacy"/>
    <s v="Rebecca Marshall"/>
    <s v="Y"/>
    <n v="556.88"/>
    <n v="111.38"/>
    <x v="1"/>
    <s v="VALIDATED"/>
    <n v="1"/>
    <s v="01.11.80.308.6100.0000"/>
    <n v="556.88"/>
    <s v="11"/>
    <s v="6100"/>
    <n v="87471.74000000001"/>
    <n v="556.88"/>
    <s v="CREDITOR"/>
    <n v="0"/>
    <n v="0"/>
    <n v="0"/>
    <n v="0"/>
    <n v="556.88"/>
  </r>
  <r>
    <n v="61681259"/>
    <s v="N"/>
    <n v="21321519"/>
    <s v="3000015776760013"/>
    <s v="CIVIL"/>
    <d v="2023-06-29T00:00:00"/>
    <d v="2023-07-03T19:05:17"/>
    <m/>
    <d v="2023-07-03T00:00:00"/>
    <n v="640"/>
    <n v="16951"/>
    <s v="61681259"/>
    <s v="61681259"/>
    <m/>
    <m/>
    <n v="22787648"/>
    <m/>
    <m/>
    <m/>
    <s v="SOLPOA"/>
    <s v="SOLPOA"/>
    <s v="CCMS"/>
    <n v="21321519"/>
    <n v="709.4299999999999"/>
    <m/>
    <s v="N"/>
    <n v="1"/>
    <d v="2023-07-03T19:05:19"/>
    <s v="N"/>
    <s v="Expert Cost"/>
    <s v="Expert Cost"/>
    <s v="Expert Disbursement"/>
    <s v="CB"/>
    <s v="N"/>
    <n v="591.1900000000001"/>
    <n v="118.24"/>
    <x v="3"/>
    <s v="VALIDATED"/>
    <n v="1"/>
    <s v="01.11.80.308.2012.0000"/>
    <n v="591.1900000000001"/>
    <s v="11"/>
    <s v="2012"/>
    <n v="87471.74000000001"/>
    <n v="591.1900000000001"/>
    <s v="CREDITOR"/>
    <n v="591.1900000000001"/>
    <n v="0"/>
    <n v="0"/>
    <n v="0"/>
    <n v="0"/>
  </r>
  <r>
    <n v="62469504"/>
    <s v="N"/>
    <n v="21327740"/>
    <s v="3000016431440001"/>
    <s v="CIVIL"/>
    <d v="2023-06-26T00:00:00"/>
    <d v="2023-07-04T19:00:44"/>
    <m/>
    <d v="2023-07-04T00:00:00"/>
    <n v="640"/>
    <n v="16951"/>
    <s v="62469504"/>
    <s v="62469504"/>
    <m/>
    <m/>
    <n v="22764562"/>
    <m/>
    <m/>
    <m/>
    <s v="SOLFIN"/>
    <s v="SOLFIN"/>
    <s v="CCMS"/>
    <n v="21327740"/>
    <n v="974.67"/>
    <m/>
    <s v="N"/>
    <n v="5"/>
    <d v="2023-07-04T19:00:53"/>
    <s v="Y"/>
    <s v="Attendance upon solicitor"/>
    <s v="Care Remuneration Hourly Rates"/>
    <s v="Profit Cost"/>
    <s v="Rebecca Marshall"/>
    <s v="Y"/>
    <n v="20.15"/>
    <n v="4.03"/>
    <x v="1"/>
    <s v="VALIDATED"/>
    <n v="1"/>
    <s v="01.11.80.308.6100.0000"/>
    <n v="20.15"/>
    <s v="11"/>
    <s v="6100"/>
    <n v="87471.74000000001"/>
    <n v="20.15"/>
    <s v="CREDITOR"/>
    <n v="0"/>
    <n v="0"/>
    <n v="0"/>
    <n v="0"/>
    <n v="20.15"/>
  </r>
  <r>
    <n v="59785260"/>
    <s v="N"/>
    <n v="21328089"/>
    <s v="3000014159380007"/>
    <s v="CIVIL"/>
    <d v="2023-06-27T00:00:00"/>
    <d v="2023-07-04T19:00:44"/>
    <m/>
    <d v="2023-07-04T00:00:00"/>
    <n v="640"/>
    <n v="16951"/>
    <s v="59785260"/>
    <s v="59785260"/>
    <m/>
    <m/>
    <n v="22774166"/>
    <m/>
    <m/>
    <m/>
    <s v="SOLFIN"/>
    <s v="SOLFIN"/>
    <s v="CCMS"/>
    <n v="21328089"/>
    <n v="79459.92"/>
    <m/>
    <s v="N"/>
    <n v="21"/>
    <d v="2023-07-04T19:01:03"/>
    <s v="Y"/>
    <s v="Advocates Meeting (Events Model)"/>
    <s v="VHCC"/>
    <s v="Profit Cost"/>
    <s v="Rebecca Marshall"/>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4"/>
    <d v="2023-07-04T19:01:10"/>
    <s v="Y"/>
    <s v="Preparation - other"/>
    <s v="Care Remuneration Hourly Rates"/>
    <s v="Profit Cost"/>
    <s v="Rebecca Marshall"/>
    <s v="Y"/>
    <n v="6.72"/>
    <n v="1.34"/>
    <x v="1"/>
    <s v="VALIDATED"/>
    <n v="1"/>
    <s v="01.11.80.308.6100.0000"/>
    <n v="6.72"/>
    <s v="11"/>
    <s v="6100"/>
    <n v="87471.74000000001"/>
    <n v="6.72"/>
    <s v="CREDITOR"/>
    <n v="0"/>
    <n v="0"/>
    <n v="0"/>
    <n v="0"/>
    <n v="6.72"/>
  </r>
  <r>
    <n v="62432912"/>
    <s v="N"/>
    <n v="21328250"/>
    <s v="3000016401850001"/>
    <s v="CIVIL"/>
    <d v="2023-06-26T00:00:00"/>
    <d v="2023-07-04T19:00:44"/>
    <m/>
    <d v="2023-07-04T00:00:00"/>
    <n v="640"/>
    <n v="16951"/>
    <s v="62432912"/>
    <s v="62432912"/>
    <m/>
    <m/>
    <n v="22761628"/>
    <m/>
    <m/>
    <m/>
    <s v="SOLFIN"/>
    <s v="SOLFIN"/>
    <s v="CCMS"/>
    <n v="21328250"/>
    <n v="1229.23"/>
    <m/>
    <s v="N"/>
    <n v="14"/>
    <d v="2023-07-04T19:01:10"/>
    <s v="Y"/>
    <s v="Attendance upon client"/>
    <s v="Care Remuneration Hourly Rates"/>
    <s v="Profit Cost"/>
    <s v="Rebecca Marshall"/>
    <s v="Y"/>
    <n v="20.15"/>
    <n v="4.03"/>
    <x v="1"/>
    <s v="VALIDATED"/>
    <n v="1"/>
    <s v="01.11.80.308.6100.0000"/>
    <n v="20.15"/>
    <s v="11"/>
    <s v="6100"/>
    <n v="87471.74000000001"/>
    <n v="20.15"/>
    <s v="CREDITOR"/>
    <n v="0"/>
    <n v="0"/>
    <n v="0"/>
    <n v="0"/>
    <n v="20.15"/>
  </r>
  <r>
    <n v="61754320"/>
    <s v="N"/>
    <n v="21327693"/>
    <s v="3000015833890003"/>
    <s v="CIVIL"/>
    <d v="2023-06-23T00:00:00"/>
    <d v="2023-07-04T19:00:44"/>
    <m/>
    <d v="2023-07-04T00:00:00"/>
    <n v="640"/>
    <n v="16951"/>
    <s v="61754320"/>
    <s v="61754320"/>
    <m/>
    <m/>
    <n v="22755392"/>
    <m/>
    <m/>
    <m/>
    <s v="SOLFIN"/>
    <s v="SOLFIN"/>
    <s v="CCMS"/>
    <n v="21327693"/>
    <n v="5313.14"/>
    <m/>
    <s v="N"/>
    <n v="5"/>
    <d v="2023-07-04T19:00:52"/>
    <s v="Y"/>
    <s v="Exceptional Travel"/>
    <s v="Public Law Children"/>
    <s v="Advocacy"/>
    <s v="Rebecca Marshall"/>
    <s v="Y"/>
    <n v="32.04"/>
    <n v="6.41"/>
    <x v="1"/>
    <s v="VALIDATED"/>
    <n v="1"/>
    <s v="01.11.80.308.6100.0000"/>
    <n v="32.04"/>
    <s v="11"/>
    <s v="6100"/>
    <n v="87471.74000000001"/>
    <n v="32.04"/>
    <s v="CREDITOR"/>
    <n v="0"/>
    <n v="0"/>
    <n v="0"/>
    <n v="0"/>
    <n v="32.04"/>
  </r>
  <r>
    <n v="62469504"/>
    <s v="N"/>
    <n v="21327740"/>
    <s v="3000016431440001"/>
    <s v="CIVIL"/>
    <d v="2023-06-26T00:00:00"/>
    <d v="2023-07-04T19:00:44"/>
    <m/>
    <d v="2023-07-04T00:00:00"/>
    <n v="640"/>
    <n v="16951"/>
    <s v="62469504"/>
    <s v="62469504"/>
    <m/>
    <m/>
    <n v="22764562"/>
    <m/>
    <m/>
    <m/>
    <s v="SOLFIN"/>
    <s v="SOLFIN"/>
    <s v="CCMS"/>
    <n v="21327740"/>
    <n v="974.67"/>
    <m/>
    <s v="N"/>
    <n v="11"/>
    <d v="2023-07-04T19:00:53"/>
    <s v="Y"/>
    <s v="Preparation - drafting bill/claim f"/>
    <s v="Care Remuneration Hourly Rates"/>
    <s v="Profit Cost"/>
    <s v="David Robinson"/>
    <s v="Y"/>
    <n v="35.05"/>
    <n v="7.01"/>
    <x v="1"/>
    <s v="VALIDATED"/>
    <n v="1"/>
    <s v="01.11.80.308.6100.0000"/>
    <n v="35.05"/>
    <s v="11"/>
    <s v="6100"/>
    <n v="87471.74000000001"/>
    <n v="35.05"/>
    <s v="CREDITOR"/>
    <n v="0"/>
    <n v="0"/>
    <n v="0"/>
    <n v="0"/>
    <n v="35.05"/>
  </r>
  <r>
    <n v="59785260"/>
    <s v="N"/>
    <n v="21328089"/>
    <s v="3000014159380007"/>
    <s v="CIVIL"/>
    <d v="2023-06-27T00:00:00"/>
    <d v="2023-07-04T19:00:44"/>
    <m/>
    <d v="2023-07-04T00:00:00"/>
    <n v="640"/>
    <n v="16951"/>
    <s v="59785260"/>
    <s v="59785260"/>
    <m/>
    <m/>
    <n v="22774166"/>
    <m/>
    <m/>
    <m/>
    <s v="SOLFIN"/>
    <s v="SOLFIN"/>
    <s v="CCMS"/>
    <n v="21328089"/>
    <n v="79459.92"/>
    <m/>
    <s v="N"/>
    <n v="30"/>
    <d v="2023-07-04T19:01:03"/>
    <s v="Y"/>
    <s v="Interim/Directions/Review Hearing ("/>
    <s v="VHCC"/>
    <s v="Profit Cost"/>
    <s v="Ellen Saunders"/>
    <s v="Y"/>
    <n v="1800"/>
    <n v="360"/>
    <x v="1"/>
    <s v="VALIDATED"/>
    <n v="1"/>
    <s v="01.11.80.305.6100.0000"/>
    <n v="1800"/>
    <s v="11"/>
    <s v="6100"/>
    <n v="87471.74000000001"/>
    <n v="1800"/>
    <s v="CREDITOR"/>
    <n v="0"/>
    <n v="0"/>
    <n v="0"/>
    <n v="0"/>
    <n v="1800"/>
  </r>
  <r>
    <n v="61722388"/>
    <s v="N"/>
    <n v="21338248"/>
    <s v="3000015809770001"/>
    <s v="CIVIL"/>
    <d v="2023-06-27T00:00:00"/>
    <d v="2023-07-06T19:21:01"/>
    <m/>
    <d v="2023-07-06T00:00:00"/>
    <n v="640"/>
    <n v="16951"/>
    <s v="61722388"/>
    <s v="61722388"/>
    <m/>
    <m/>
    <n v="22774284"/>
    <m/>
    <m/>
    <m/>
    <s v="SOLFIN"/>
    <s v="SOLFIN"/>
    <s v="CCMS"/>
    <n v="21338248"/>
    <n v="5492.58"/>
    <m/>
    <s v="N"/>
    <n v="3"/>
    <d v="2023-07-06T19:21:14"/>
    <s v="Y"/>
    <s v="Exceptional Travel"/>
    <s v="Public Law Children"/>
    <s v="Advocacy"/>
    <s v="Jodi Street"/>
    <s v="Y"/>
    <n v="32.04"/>
    <n v="6.41"/>
    <x v="4"/>
    <s v="VALIDATED"/>
    <n v="1"/>
    <s v="01.11.80.308.6100.0000"/>
    <n v="32.04"/>
    <s v="11"/>
    <s v="6100"/>
    <n v="87471.74000000001"/>
    <n v="32.04"/>
    <s v="CREDITOR"/>
    <n v="0"/>
    <n v="0"/>
    <n v="0"/>
    <n v="0"/>
    <n v="32.04"/>
  </r>
  <r>
    <n v="62432912"/>
    <s v="N"/>
    <n v="21328250"/>
    <s v="3000016401850001"/>
    <s v="CIVIL"/>
    <d v="2023-06-26T00:00:00"/>
    <d v="2023-07-04T19:00:44"/>
    <m/>
    <d v="2023-07-04T00:00:00"/>
    <n v="640"/>
    <n v="16951"/>
    <s v="62432912"/>
    <s v="62432912"/>
    <m/>
    <m/>
    <n v="22761628"/>
    <m/>
    <m/>
    <m/>
    <s v="SOLFIN"/>
    <s v="SOLFIN"/>
    <s v="CCMS"/>
    <n v="21328250"/>
    <n v="1229.23"/>
    <m/>
    <s v="N"/>
    <n v="24"/>
    <d v="2023-07-04T19:01:10"/>
    <s v="Y"/>
    <s v="Final Hearing - 1 Day"/>
    <s v="Other Public Law Children"/>
    <s v="Advocacy"/>
    <s v="Rebecca Marshall"/>
    <s v="Y"/>
    <n v="510.75"/>
    <n v="102.15"/>
    <x v="1"/>
    <s v="VALIDATED"/>
    <n v="1"/>
    <s v="01.11.80.308.6100.0000"/>
    <n v="510.75"/>
    <s v="11"/>
    <s v="6100"/>
    <n v="87471.74000000001"/>
    <n v="510.75"/>
    <s v="CREDITOR"/>
    <n v="0"/>
    <n v="0"/>
    <n v="0"/>
    <n v="0"/>
    <n v="510.75"/>
  </r>
  <r>
    <n v="59785260"/>
    <s v="N"/>
    <n v="21328089"/>
    <s v="3000014159380007"/>
    <s v="CIVIL"/>
    <d v="2023-06-27T00:00:00"/>
    <d v="2023-07-04T19:00:44"/>
    <m/>
    <d v="2023-07-04T00:00:00"/>
    <n v="640"/>
    <n v="16951"/>
    <s v="59785260"/>
    <s v="59785260"/>
    <m/>
    <m/>
    <n v="22774166"/>
    <m/>
    <m/>
    <m/>
    <s v="SOLFIN"/>
    <s v="SOLFIN"/>
    <s v="CCMS"/>
    <n v="21328089"/>
    <n v="79459.92"/>
    <m/>
    <s v="N"/>
    <n v="29"/>
    <d v="2023-07-04T19:01:03"/>
    <s v="Y"/>
    <s v="Interim/Directions/Review Hearing ("/>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34"/>
    <d v="2023-07-04T19:01:03"/>
    <s v="Y"/>
    <s v="Issues Resolution Hearing (Events M"/>
    <s v="VHCC"/>
    <s v="Profit Cost"/>
    <s v="Jodi Street"/>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37"/>
    <d v="2023-07-04T19:01:03"/>
    <s v="Y"/>
    <s v="Interim/Directions/Review Hearing ("/>
    <s v="VHCC"/>
    <s v="Profit Cost"/>
    <s v="Jodi Street"/>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9"/>
    <d v="2023-07-04T19:01:10"/>
    <s v="Y"/>
    <s v="Preparation - other"/>
    <s v="Care Remuneration Hourly Rates"/>
    <s v="Profit Cost"/>
    <s v="Rebecca Marshall"/>
    <s v="Y"/>
    <n v="6.72"/>
    <n v="1.34"/>
    <x v="1"/>
    <s v="VALIDATED"/>
    <n v="1"/>
    <s v="01.11.80.308.6100.0000"/>
    <n v="6.72"/>
    <s v="11"/>
    <s v="6100"/>
    <n v="87471.74000000001"/>
    <n v="6.72"/>
    <s v="CREDITOR"/>
    <n v="0"/>
    <n v="0"/>
    <n v="0"/>
    <n v="0"/>
    <n v="6.72"/>
  </r>
  <r>
    <n v="62469504"/>
    <s v="N"/>
    <n v="21327740"/>
    <s v="3000016431440001"/>
    <s v="CIVIL"/>
    <d v="2023-06-26T00:00:00"/>
    <d v="2023-07-04T19:00:44"/>
    <m/>
    <d v="2023-07-04T00:00:00"/>
    <n v="640"/>
    <n v="16951"/>
    <s v="62469504"/>
    <s v="62469504"/>
    <m/>
    <m/>
    <n v="22764562"/>
    <m/>
    <m/>
    <m/>
    <s v="SOLFIN"/>
    <s v="SOLFIN"/>
    <s v="CCMS"/>
    <n v="21327740"/>
    <n v="974.67"/>
    <m/>
    <s v="N"/>
    <n v="15"/>
    <d v="2023-07-04T19:00:53"/>
    <s v="Y"/>
    <s v="Routine Letter Out"/>
    <s v="Care Remuneration Hourly Rates"/>
    <s v="Profit Cost"/>
    <s v="Rebecca Marshall"/>
    <s v="Y"/>
    <n v="80.63"/>
    <n v="16.13"/>
    <x v="1"/>
    <s v="VALIDATED"/>
    <n v="1"/>
    <s v="01.11.80.308.6100.0000"/>
    <n v="80.63"/>
    <s v="11"/>
    <s v="6100"/>
    <n v="87471.74000000001"/>
    <n v="80.63"/>
    <s v="CREDITOR"/>
    <n v="0"/>
    <n v="0"/>
    <n v="0"/>
    <n v="0"/>
    <n v="80.63"/>
  </r>
  <r>
    <n v="62469504"/>
    <s v="N"/>
    <n v="21327740"/>
    <s v="3000016431440001"/>
    <s v="CIVIL"/>
    <d v="2023-06-26T00:00:00"/>
    <d v="2023-07-04T19:00:44"/>
    <m/>
    <d v="2023-07-04T00:00:00"/>
    <n v="640"/>
    <n v="16951"/>
    <s v="62469504"/>
    <s v="62469504"/>
    <m/>
    <m/>
    <n v="22764562"/>
    <m/>
    <m/>
    <m/>
    <s v="SOLFIN"/>
    <s v="SOLFIN"/>
    <s v="CCMS"/>
    <n v="21327740"/>
    <n v="974.67"/>
    <m/>
    <s v="N"/>
    <n v="12"/>
    <d v="2023-07-04T19:00:53"/>
    <s v="Y"/>
    <s v="Routine Letter In"/>
    <s v="Care Remuneration Hourly Rates"/>
    <s v="Profit Cost"/>
    <s v="Gail Sinclair"/>
    <s v="Y"/>
    <n v="12.95"/>
    <n v="2.59"/>
    <x v="1"/>
    <s v="VALIDATED"/>
    <n v="1"/>
    <s v="01.11.80.308.6100.0000"/>
    <n v="12.95"/>
    <s v="11"/>
    <s v="6100"/>
    <n v="87471.74000000001"/>
    <n v="12.95"/>
    <s v="CREDITOR"/>
    <n v="0"/>
    <n v="0"/>
    <n v="0"/>
    <n v="0"/>
    <n v="12.95"/>
  </r>
  <r>
    <n v="59785260"/>
    <s v="N"/>
    <n v="21328089"/>
    <s v="3000014159380007"/>
    <s v="CIVIL"/>
    <d v="2023-06-27T00:00:00"/>
    <d v="2023-07-04T19:00:44"/>
    <m/>
    <d v="2023-07-04T00:00:00"/>
    <n v="640"/>
    <n v="16951"/>
    <s v="59785260"/>
    <s v="59785260"/>
    <m/>
    <m/>
    <n v="22774166"/>
    <m/>
    <m/>
    <m/>
    <s v="SOLFIN"/>
    <s v="SOLFIN"/>
    <s v="CCMS"/>
    <n v="21328089"/>
    <n v="79459.92"/>
    <m/>
    <s v="N"/>
    <n v="9"/>
    <d v="2023-07-04T19:01:03"/>
    <s v="Y"/>
    <s v="Finding-of-Fact Hearing (Events Mod"/>
    <s v="VHCC"/>
    <s v="Profit Cost"/>
    <s v="Rebecca Marshall"/>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15"/>
    <d v="2023-07-04T19:01:10"/>
    <s v="Y"/>
    <s v="Routine Letter In"/>
    <s v="Care Remuneration Hourly Rates"/>
    <s v="Profit Cost"/>
    <s v="Gail Sinclair"/>
    <s v="Y"/>
    <n v="9.25"/>
    <n v="1.85"/>
    <x v="1"/>
    <s v="VALIDATED"/>
    <n v="1"/>
    <s v="01.11.80.308.6100.0000"/>
    <n v="9.25"/>
    <s v="11"/>
    <s v="6100"/>
    <n v="87471.74000000001"/>
    <n v="9.25"/>
    <s v="CREDITOR"/>
    <n v="0"/>
    <n v="0"/>
    <n v="0"/>
    <n v="0"/>
    <n v="9.25"/>
  </r>
  <r>
    <n v="62432912"/>
    <s v="N"/>
    <n v="21328250"/>
    <s v="3000016401850001"/>
    <s v="CIVIL"/>
    <d v="2023-06-26T00:00:00"/>
    <d v="2023-07-04T19:00:44"/>
    <m/>
    <d v="2023-07-04T00:00:00"/>
    <n v="640"/>
    <n v="16951"/>
    <s v="62432912"/>
    <s v="62432912"/>
    <m/>
    <m/>
    <n v="22761628"/>
    <m/>
    <m/>
    <m/>
    <s v="SOLFIN"/>
    <s v="SOLFIN"/>
    <s v="CCMS"/>
    <n v="21328250"/>
    <n v="1229.23"/>
    <m/>
    <s v="N"/>
    <n v="20"/>
    <d v="2023-07-04T19:01:10"/>
    <s v="Y"/>
    <s v="Routine Letter In"/>
    <s v="Care Remuneration Hourly Rates"/>
    <s v="Profit Cost"/>
    <s v="Rebecca Marshall"/>
    <s v="Y"/>
    <n v="74.45999999999999"/>
    <n v="14.89"/>
    <x v="1"/>
    <s v="VALIDATED"/>
    <n v="1"/>
    <s v="01.11.80.308.6100.0000"/>
    <n v="74.45999999999999"/>
    <s v="11"/>
    <s v="6100"/>
    <n v="87471.74000000001"/>
    <n v="74.45999999999999"/>
    <s v="CREDITOR"/>
    <n v="0"/>
    <n v="0"/>
    <n v="0"/>
    <n v="0"/>
    <n v="74.45999999999999"/>
  </r>
  <r>
    <n v="62432912"/>
    <s v="N"/>
    <n v="21328250"/>
    <s v="3000016401850001"/>
    <s v="CIVIL"/>
    <d v="2023-06-26T00:00:00"/>
    <d v="2023-07-04T19:00:44"/>
    <m/>
    <d v="2023-07-04T00:00:00"/>
    <n v="640"/>
    <n v="16951"/>
    <s v="62432912"/>
    <s v="62432912"/>
    <m/>
    <m/>
    <n v="22761628"/>
    <m/>
    <m/>
    <m/>
    <s v="SOLFIN"/>
    <s v="SOLFIN"/>
    <s v="CCMS"/>
    <n v="21328250"/>
    <n v="1229.23"/>
    <m/>
    <s v="N"/>
    <n v="2"/>
    <d v="2023-07-04T19:01:10"/>
    <s v="Y"/>
    <s v="Solicitor Travel Mileage"/>
    <s v="Care Remuneration Hourly Rates"/>
    <s v="Non Expert Disbursement"/>
    <s v="Rebecca Marshall"/>
    <s v="Y"/>
    <n v="24.98"/>
    <n v="5"/>
    <x v="1"/>
    <s v="VALIDATED"/>
    <n v="1"/>
    <s v="01.11.80.308.6300.0000"/>
    <n v="24.98"/>
    <s v="11"/>
    <s v="6300"/>
    <n v="87471.74000000001"/>
    <n v="24.98"/>
    <s v="CREDITOR"/>
    <n v="0"/>
    <n v="0"/>
    <n v="0"/>
    <n v="0"/>
    <n v="24.98"/>
  </r>
  <r>
    <n v="61054299"/>
    <s v="N"/>
    <n v="21318360"/>
    <s v="3000015252930001"/>
    <s v="CIVIL"/>
    <d v="2023-06-23T00:00:00"/>
    <d v="2023-07-03T19:01:49"/>
    <m/>
    <d v="2023-07-03T00:00:00"/>
    <n v="640"/>
    <n v="16951"/>
    <s v="61054299"/>
    <s v="61054299"/>
    <m/>
    <m/>
    <n v="22749566"/>
    <m/>
    <m/>
    <m/>
    <s v="SOLFIN"/>
    <s v="SOLFIN"/>
    <s v="CCMS"/>
    <n v="21318360"/>
    <n v="4354.89"/>
    <m/>
    <s v="N"/>
    <n v="1"/>
    <d v="2023-07-03T19:01:54"/>
    <s v="Y"/>
    <s v="Final Hearing Court Bundle/Advocate"/>
    <s v="Public Law Children"/>
    <s v="Advocacy"/>
    <s v="Jodi Street"/>
    <s v="Y"/>
    <n v="159.3"/>
    <n v="31.86"/>
    <x v="3"/>
    <s v="VALIDATED"/>
    <n v="1"/>
    <s v="01.11.80.308.6100.0000"/>
    <n v="159.3"/>
    <s v="11"/>
    <s v="6100"/>
    <n v="87471.74000000001"/>
    <n v="159.3"/>
    <s v="CREDITOR"/>
    <n v="0"/>
    <n v="0"/>
    <n v="0"/>
    <n v="0"/>
    <n v="159.3"/>
  </r>
  <r>
    <n v="62469504"/>
    <s v="N"/>
    <n v="21327740"/>
    <s v="3000016431440001"/>
    <s v="CIVIL"/>
    <d v="2023-06-26T00:00:00"/>
    <d v="2023-07-04T19:00:44"/>
    <m/>
    <d v="2023-07-04T00:00:00"/>
    <n v="640"/>
    <n v="16951"/>
    <s v="62469504"/>
    <s v="62469504"/>
    <m/>
    <m/>
    <n v="22764562"/>
    <m/>
    <m/>
    <m/>
    <s v="SOLFIN"/>
    <s v="SOLFIN"/>
    <s v="CCMS"/>
    <n v="21327740"/>
    <n v="974.67"/>
    <m/>
    <s v="N"/>
    <n v="1"/>
    <d v="2023-07-04T19:00:53"/>
    <s v="Y"/>
    <s v="Preparation - other"/>
    <s v="Care Remuneration Hourly Rates"/>
    <s v="Profit Cost"/>
    <s v="Rebecca Marshall"/>
    <s v="Y"/>
    <n v="20.15"/>
    <n v="4.03"/>
    <x v="1"/>
    <s v="VALIDATED"/>
    <n v="1"/>
    <s v="01.11.80.308.6100.0000"/>
    <n v="20.15"/>
    <s v="11"/>
    <s v="6100"/>
    <n v="87471.74000000001"/>
    <n v="20.15"/>
    <s v="CREDITOR"/>
    <n v="0"/>
    <n v="0"/>
    <n v="0"/>
    <n v="0"/>
    <n v="20.15"/>
  </r>
  <r>
    <n v="61722388"/>
    <s v="N"/>
    <n v="21338248"/>
    <s v="3000015809770001"/>
    <s v="CIVIL"/>
    <d v="2023-06-27T00:00:00"/>
    <d v="2023-07-06T19:21:01"/>
    <m/>
    <d v="2023-07-06T00:00:00"/>
    <n v="640"/>
    <n v="16951"/>
    <s v="61722388"/>
    <s v="61722388"/>
    <m/>
    <m/>
    <n v="22774284"/>
    <m/>
    <m/>
    <m/>
    <s v="SOLFIN"/>
    <s v="SOLFIN"/>
    <s v="CCMS"/>
    <n v="21338248"/>
    <n v="5492.58"/>
    <m/>
    <s v="N"/>
    <n v="4"/>
    <d v="2023-07-06T19:21:14"/>
    <s v="Y"/>
    <s v="Solicitor Travel Mileage"/>
    <s v="Public Law Children"/>
    <s v="Non Expert Disbursement"/>
    <s v="Rebecca Marshall"/>
    <s v="Y"/>
    <n v="24.98"/>
    <n v="5"/>
    <x v="4"/>
    <s v="VALIDATED"/>
    <n v="1"/>
    <s v="01.11.80.308.6300.0000"/>
    <n v="24.98"/>
    <s v="11"/>
    <s v="6300"/>
    <n v="87471.74000000001"/>
    <n v="24.98"/>
    <s v="CREDITOR"/>
    <n v="0"/>
    <n v="0"/>
    <n v="0"/>
    <n v="0"/>
    <n v="24.98"/>
  </r>
  <r>
    <n v="59785260"/>
    <s v="N"/>
    <n v="21328089"/>
    <s v="3000014159380007"/>
    <s v="CIVIL"/>
    <d v="2023-06-27T00:00:00"/>
    <d v="2023-07-04T19:00:44"/>
    <m/>
    <d v="2023-07-04T00:00:00"/>
    <n v="640"/>
    <n v="16951"/>
    <s v="59785260"/>
    <s v="59785260"/>
    <m/>
    <m/>
    <n v="22774166"/>
    <m/>
    <m/>
    <m/>
    <s v="SOLFIN"/>
    <s v="SOLFIN"/>
    <s v="CCMS"/>
    <n v="21328089"/>
    <n v="79459.92"/>
    <m/>
    <s v="N"/>
    <n v="36"/>
    <d v="2023-07-04T19:01:03"/>
    <s v="Y"/>
    <s v="Pre-Hearing Review (Events Model)"/>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3"/>
    <d v="2023-07-04T19:01:03"/>
    <s v="Y"/>
    <s v="Finding-of-Fact Hearing (Events Mod"/>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13"/>
    <d v="2023-07-04T19:01:03"/>
    <s v="Y"/>
    <s v="Interim/Directions/Review Hearing ("/>
    <s v="VHCC"/>
    <s v="Profit Cost"/>
    <s v="Ellen Saunders"/>
    <s v="Y"/>
    <n v="1800"/>
    <n v="360"/>
    <x v="1"/>
    <s v="VALIDATED"/>
    <n v="1"/>
    <s v="01.11.80.305.6100.0000"/>
    <n v="1800"/>
    <s v="11"/>
    <s v="6100"/>
    <n v="87471.74000000001"/>
    <n v="1800"/>
    <s v="CREDITOR"/>
    <n v="0"/>
    <n v="0"/>
    <n v="0"/>
    <n v="0"/>
    <n v="1800"/>
  </r>
  <r>
    <n v="61722388"/>
    <s v="N"/>
    <n v="21338248"/>
    <s v="3000015809770001"/>
    <s v="CIVIL"/>
    <d v="2023-06-27T00:00:00"/>
    <d v="2023-07-06T19:21:01"/>
    <m/>
    <d v="2023-07-06T00:00:00"/>
    <n v="640"/>
    <n v="16951"/>
    <s v="61722388"/>
    <s v="61722388"/>
    <m/>
    <m/>
    <n v="22774284"/>
    <m/>
    <m/>
    <m/>
    <s v="SOLFIN"/>
    <s v="SOLFIN"/>
    <s v="CCMS"/>
    <n v="21338248"/>
    <n v="5492.58"/>
    <m/>
    <s v="N"/>
    <n v="5"/>
    <d v="2023-07-06T19:21:14"/>
    <s v="Y"/>
    <s v="Solicitor Travel Mileage"/>
    <s v="Public Law Children"/>
    <s v="Non Expert Disbursement"/>
    <s v="Jodi Street"/>
    <s v="Y"/>
    <n v="24.98"/>
    <n v="5"/>
    <x v="4"/>
    <s v="VALIDATED"/>
    <n v="1"/>
    <s v="01.11.80.308.6300.0000"/>
    <n v="24.98"/>
    <s v="11"/>
    <s v="6300"/>
    <n v="87471.74000000001"/>
    <n v="24.98"/>
    <s v="CREDITOR"/>
    <n v="0"/>
    <n v="0"/>
    <n v="0"/>
    <n v="0"/>
    <n v="24.98"/>
  </r>
  <r>
    <n v="61722388"/>
    <s v="N"/>
    <n v="21338248"/>
    <s v="3000015809770001"/>
    <s v="CIVIL"/>
    <d v="2023-06-27T00:00:00"/>
    <d v="2023-07-06T19:21:01"/>
    <m/>
    <d v="2023-07-06T00:00:00"/>
    <n v="640"/>
    <n v="16951"/>
    <s v="61722388"/>
    <s v="61722388"/>
    <m/>
    <m/>
    <n v="22774284"/>
    <m/>
    <m/>
    <m/>
    <s v="SOLFIN"/>
    <s v="SOLFIN"/>
    <s v="CCMS"/>
    <n v="21338248"/>
    <n v="5492.58"/>
    <m/>
    <s v="N"/>
    <n v="7"/>
    <d v="2023-07-06T19:21:14"/>
    <s v="Y"/>
    <s v="Hearing Unit 2.31 - 5.00 Hours"/>
    <s v="Public Law Children"/>
    <s v="Advocacy"/>
    <s v="Rebecca Marshall"/>
    <s v="Y"/>
    <n v="476.92"/>
    <n v="95.39"/>
    <x v="4"/>
    <s v="VALIDATED"/>
    <n v="1"/>
    <s v="01.11.80.308.6100.0000"/>
    <n v="476.92"/>
    <s v="11"/>
    <s v="6100"/>
    <n v="87471.74000000001"/>
    <n v="476.92"/>
    <s v="CREDITOR"/>
    <n v="0"/>
    <n v="0"/>
    <n v="0"/>
    <n v="0"/>
    <n v="476.92"/>
  </r>
  <r>
    <n v="62432912"/>
    <s v="N"/>
    <n v="21328250"/>
    <s v="3000016401850001"/>
    <s v="CIVIL"/>
    <d v="2023-06-26T00:00:00"/>
    <d v="2023-07-04T19:00:44"/>
    <m/>
    <d v="2023-07-04T00:00:00"/>
    <n v="640"/>
    <n v="16951"/>
    <s v="62432912"/>
    <s v="62432912"/>
    <m/>
    <m/>
    <n v="22761628"/>
    <m/>
    <m/>
    <m/>
    <s v="SOLFIN"/>
    <s v="SOLFIN"/>
    <s v="CCMS"/>
    <n v="21328250"/>
    <n v="1229.23"/>
    <m/>
    <s v="N"/>
    <n v="21"/>
    <d v="2023-07-04T19:01:10"/>
    <s v="Y"/>
    <s v="Routine Letter Out"/>
    <s v="Care Remuneration Hourly Rates"/>
    <s v="Profit Cost"/>
    <s v="Rebecca Marshall"/>
    <s v="Y"/>
    <n v="84.87"/>
    <n v="16.97"/>
    <x v="1"/>
    <s v="VALIDATED"/>
    <n v="1"/>
    <s v="01.11.80.308.6100.0000"/>
    <n v="84.87"/>
    <s v="11"/>
    <s v="6100"/>
    <n v="87471.74000000001"/>
    <n v="84.87"/>
    <s v="CREDITOR"/>
    <n v="0"/>
    <n v="0"/>
    <n v="0"/>
    <n v="0"/>
    <n v="84.87"/>
  </r>
  <r>
    <n v="60103076"/>
    <s v="N"/>
    <n v="21318329"/>
    <s v="3000014434430001"/>
    <s v="CIVIL"/>
    <d v="2023-05-26T00:00:00"/>
    <d v="2023-07-03T19:01:49"/>
    <m/>
    <d v="2023-07-03T00:00:00"/>
    <n v="640"/>
    <n v="16951"/>
    <s v="60103076"/>
    <s v="60103076"/>
    <m/>
    <m/>
    <n v="22581586"/>
    <m/>
    <m/>
    <m/>
    <s v="SOLFIN"/>
    <s v="SOLFIN"/>
    <s v="CCMS"/>
    <n v="21318329"/>
    <n v="0"/>
    <m/>
    <s v="N"/>
    <n v="1"/>
    <d v="2023-07-03T19:01:53"/>
    <s v="N"/>
    <s v="NIL BILL"/>
    <s v="Prescribed Hourly Rates"/>
    <s v="Profit Cost"/>
    <s v="Rebecca Marshall"/>
    <s v="N"/>
    <n v="0"/>
    <n v="0"/>
    <x v="3"/>
    <s v="VALIDATED"/>
    <n v="1"/>
    <s v="01.11.80.305.6100.0000"/>
    <n v="0"/>
    <s v="11"/>
    <s v="6100"/>
    <n v="87471.74000000001"/>
    <n v="0"/>
    <s v="CREDITOR"/>
    <n v="0"/>
    <n v="0"/>
    <n v="0"/>
    <n v="0"/>
    <n v="0"/>
  </r>
  <r>
    <n v="62469504"/>
    <s v="N"/>
    <n v="21327740"/>
    <s v="3000016431440001"/>
    <s v="CIVIL"/>
    <d v="2023-06-26T00:00:00"/>
    <d v="2023-07-04T19:00:44"/>
    <m/>
    <d v="2023-07-04T00:00:00"/>
    <n v="640"/>
    <n v="16951"/>
    <s v="62469504"/>
    <s v="62469504"/>
    <m/>
    <m/>
    <n v="22764562"/>
    <m/>
    <m/>
    <m/>
    <s v="SOLFIN"/>
    <s v="SOLFIN"/>
    <s v="CCMS"/>
    <n v="21327740"/>
    <n v="974.67"/>
    <m/>
    <s v="N"/>
    <n v="9"/>
    <d v="2023-07-04T19:00:53"/>
    <s v="Y"/>
    <s v="Preparation - drafting notice(s)"/>
    <s v="Care Remuneration Hourly Rates"/>
    <s v="Profit Cost"/>
    <s v="Gail Sinclair"/>
    <s v="Y"/>
    <n v="5.84"/>
    <n v="1.17"/>
    <x v="1"/>
    <s v="VALIDATED"/>
    <n v="1"/>
    <s v="01.11.80.308.6100.0000"/>
    <n v="5.84"/>
    <s v="11"/>
    <s v="6100"/>
    <n v="87471.74000000001"/>
    <n v="5.84"/>
    <s v="CREDITOR"/>
    <n v="0"/>
    <n v="0"/>
    <n v="0"/>
    <n v="0"/>
    <n v="5.84"/>
  </r>
  <r>
    <n v="59785260"/>
    <s v="N"/>
    <n v="21328089"/>
    <s v="3000014159380007"/>
    <s v="CIVIL"/>
    <d v="2023-06-27T00:00:00"/>
    <d v="2023-07-04T19:00:44"/>
    <m/>
    <d v="2023-07-04T00:00:00"/>
    <n v="640"/>
    <n v="16951"/>
    <s v="59785260"/>
    <s v="59785260"/>
    <m/>
    <m/>
    <n v="22774166"/>
    <m/>
    <m/>
    <m/>
    <s v="SOLFIN"/>
    <s v="SOLFIN"/>
    <s v="CCMS"/>
    <n v="21328089"/>
    <n v="79459.92"/>
    <m/>
    <s v="N"/>
    <n v="35"/>
    <d v="2023-07-04T19:01:03"/>
    <s v="Y"/>
    <s v="Interim/Directions/Review Hearing ("/>
    <s v="VHCC"/>
    <s v="Profit Cost"/>
    <s v="Rebecca Marshall"/>
    <s v="Y"/>
    <n v="1800"/>
    <n v="360"/>
    <x v="1"/>
    <s v="VALIDATED"/>
    <n v="1"/>
    <s v="01.11.80.305.6100.0000"/>
    <n v="1800"/>
    <s v="11"/>
    <s v="6100"/>
    <n v="87471.74000000001"/>
    <n v="1800"/>
    <s v="CREDITOR"/>
    <n v="0"/>
    <n v="0"/>
    <n v="0"/>
    <n v="0"/>
    <n v="1800"/>
  </r>
  <r>
    <n v="61054299"/>
    <s v="N"/>
    <n v="21318360"/>
    <s v="3000015252930001"/>
    <s v="CIVIL"/>
    <d v="2023-06-23T00:00:00"/>
    <d v="2023-07-03T19:01:49"/>
    <m/>
    <d v="2023-07-03T00:00:00"/>
    <n v="640"/>
    <n v="16951"/>
    <s v="61054299"/>
    <s v="61054299"/>
    <m/>
    <m/>
    <n v="22749566"/>
    <m/>
    <m/>
    <m/>
    <s v="SOLFIN"/>
    <s v="SOLFIN"/>
    <s v="CCMS"/>
    <n v="21318360"/>
    <n v="4354.89"/>
    <m/>
    <s v="N"/>
    <n v="7"/>
    <d v="2023-07-03T19:01:54"/>
    <s v="Y"/>
    <s v="Solicitors Fixed Fee"/>
    <s v="Public Law Children"/>
    <s v="Profit Cost"/>
    <s v="Rebecca Marshall"/>
    <s v="Y"/>
    <n v="2013"/>
    <n v="402.6"/>
    <x v="3"/>
    <s v="VALIDATED"/>
    <n v="1"/>
    <s v="01.11.80.308.6100.0000"/>
    <n v="2013"/>
    <s v="11"/>
    <s v="6100"/>
    <n v="87471.74000000001"/>
    <n v="2013"/>
    <s v="CREDITOR"/>
    <n v="0"/>
    <n v="0"/>
    <n v="0"/>
    <n v="0"/>
    <n v="2013"/>
  </r>
  <r>
    <n v="61722388"/>
    <s v="N"/>
    <n v="21338248"/>
    <s v="3000015809770001"/>
    <s v="CIVIL"/>
    <d v="2023-06-27T00:00:00"/>
    <d v="2023-07-06T19:21:01"/>
    <m/>
    <d v="2023-07-06T00:00:00"/>
    <n v="640"/>
    <n v="16951"/>
    <s v="61722388"/>
    <s v="61722388"/>
    <m/>
    <m/>
    <n v="22774284"/>
    <m/>
    <m/>
    <m/>
    <s v="SOLFIN"/>
    <s v="SOLFIN"/>
    <s v="CCMS"/>
    <n v="21338248"/>
    <n v="5492.58"/>
    <m/>
    <s v="N"/>
    <n v="6"/>
    <d v="2023-07-06T19:21:14"/>
    <s v="Y"/>
    <s v="Final Hearing - 1 Day"/>
    <s v="Public Law Children"/>
    <s v="Advocacy"/>
    <s v="Jodi Street"/>
    <s v="Y"/>
    <n v="556.88"/>
    <n v="111.38"/>
    <x v="4"/>
    <s v="VALIDATED"/>
    <n v="1"/>
    <s v="01.11.80.308.6100.0000"/>
    <n v="556.88"/>
    <s v="11"/>
    <s v="6100"/>
    <n v="87471.74000000001"/>
    <n v="556.88"/>
    <s v="CREDITOR"/>
    <n v="0"/>
    <n v="0"/>
    <n v="0"/>
    <n v="0"/>
    <n v="556.88"/>
  </r>
  <r>
    <n v="59556662"/>
    <s v="N"/>
    <n v="21328025"/>
    <s v="3000013960380001"/>
    <s v="CIVIL"/>
    <d v="2023-06-27T00:00:00"/>
    <d v="2023-07-04T19:00:44"/>
    <m/>
    <d v="2023-07-04T00:00:00"/>
    <n v="640"/>
    <n v="16951"/>
    <s v="59556662"/>
    <s v="59556662"/>
    <m/>
    <m/>
    <n v="22770848"/>
    <m/>
    <m/>
    <m/>
    <s v="SOLFIN"/>
    <s v="SOLFIN"/>
    <s v="CCMS"/>
    <n v="21328025"/>
    <n v="9298.799999999999"/>
    <m/>
    <s v="N"/>
    <n v="2"/>
    <d v="2023-07-04T19:01:01"/>
    <s v="Y"/>
    <s v="Final Hearing (Events Model)"/>
    <s v="VHCC"/>
    <s v="Profit Cost"/>
    <s v="Rebecca Marshall"/>
    <s v="Y"/>
    <n v="1107"/>
    <n v="221.4"/>
    <x v="1"/>
    <s v="VALIDATED"/>
    <n v="1"/>
    <s v="01.11.80.305.6100.0000"/>
    <n v="1107"/>
    <s v="11"/>
    <s v="6100"/>
    <n v="87471.74000000001"/>
    <n v="1107"/>
    <s v="CREDITOR"/>
    <n v="0"/>
    <n v="0"/>
    <n v="0"/>
    <n v="0"/>
    <n v="1107"/>
  </r>
  <r>
    <n v="59785260"/>
    <s v="N"/>
    <n v="21328089"/>
    <s v="3000014159380007"/>
    <s v="CIVIL"/>
    <d v="2023-06-27T00:00:00"/>
    <d v="2023-07-04T19:00:44"/>
    <m/>
    <d v="2023-07-04T00:00:00"/>
    <n v="640"/>
    <n v="16951"/>
    <s v="59785260"/>
    <s v="59785260"/>
    <m/>
    <m/>
    <n v="22774166"/>
    <m/>
    <m/>
    <m/>
    <s v="SOLFIN"/>
    <s v="SOLFIN"/>
    <s v="CCMS"/>
    <n v="21328089"/>
    <n v="79459.92"/>
    <m/>
    <s v="N"/>
    <n v="15"/>
    <d v="2023-07-04T19:01:03"/>
    <s v="Y"/>
    <s v="Final Hearing (Events Model)"/>
    <s v="VHCC"/>
    <s v="Profit Cost"/>
    <s v="Ellen Saunders"/>
    <s v="Y"/>
    <n v="1800"/>
    <n v="360"/>
    <x v="1"/>
    <s v="VALIDATED"/>
    <n v="1"/>
    <s v="01.11.80.305.6100.0000"/>
    <n v="1800"/>
    <s v="11"/>
    <s v="6100"/>
    <n v="87471.74000000001"/>
    <n v="1800"/>
    <s v="CREDITOR"/>
    <n v="0"/>
    <n v="0"/>
    <n v="0"/>
    <n v="0"/>
    <n v="1800"/>
  </r>
  <r>
    <n v="62469504"/>
    <s v="N"/>
    <n v="21327740"/>
    <s v="3000016431440001"/>
    <s v="CIVIL"/>
    <d v="2023-06-26T00:00:00"/>
    <d v="2023-07-04T19:00:44"/>
    <m/>
    <d v="2023-07-04T00:00:00"/>
    <n v="640"/>
    <n v="16951"/>
    <s v="62469504"/>
    <s v="62469504"/>
    <m/>
    <m/>
    <n v="22764562"/>
    <m/>
    <m/>
    <m/>
    <s v="SOLFIN"/>
    <s v="SOLFIN"/>
    <s v="CCMS"/>
    <n v="21327740"/>
    <n v="974.67"/>
    <m/>
    <s v="N"/>
    <n v="2"/>
    <d v="2023-07-04T19:00:53"/>
    <s v="Y"/>
    <s v="Attendance upon client"/>
    <s v="Care Remuneration Hourly Rates"/>
    <s v="Profit Cost"/>
    <s v="Rebecca Marshall"/>
    <s v="Y"/>
    <n v="20.15"/>
    <n v="4.03"/>
    <x v="1"/>
    <s v="VALIDATED"/>
    <n v="1"/>
    <s v="01.11.80.308.6100.0000"/>
    <n v="20.15"/>
    <s v="11"/>
    <s v="6100"/>
    <n v="87471.74000000001"/>
    <n v="20.15"/>
    <s v="CREDITOR"/>
    <n v="0"/>
    <n v="0"/>
    <n v="0"/>
    <n v="0"/>
    <n v="20.15"/>
  </r>
  <r>
    <n v="62432912"/>
    <s v="N"/>
    <n v="21328250"/>
    <s v="3000016401850001"/>
    <s v="CIVIL"/>
    <d v="2023-06-26T00:00:00"/>
    <d v="2023-07-04T19:00:44"/>
    <m/>
    <d v="2023-07-04T00:00:00"/>
    <n v="640"/>
    <n v="16951"/>
    <s v="62432912"/>
    <s v="62432912"/>
    <m/>
    <m/>
    <n v="22761628"/>
    <m/>
    <m/>
    <m/>
    <s v="SOLFIN"/>
    <s v="SOLFIN"/>
    <s v="CCMS"/>
    <n v="21328250"/>
    <n v="1229.23"/>
    <m/>
    <s v="N"/>
    <n v="22"/>
    <d v="2023-07-04T19:01:10"/>
    <s v="Y"/>
    <s v="Preparation - drafting bill/claim f"/>
    <s v="Care Remuneration Hourly Rates"/>
    <s v="Profit Cost"/>
    <s v="David Robinson"/>
    <s v="Y"/>
    <n v="40.89"/>
    <n v="8.18"/>
    <x v="1"/>
    <s v="VALIDATED"/>
    <n v="1"/>
    <s v="01.11.80.308.6100.0000"/>
    <n v="40.89"/>
    <s v="11"/>
    <s v="6100"/>
    <n v="87471.74000000001"/>
    <n v="40.89"/>
    <s v="CREDITOR"/>
    <n v="0"/>
    <n v="0"/>
    <n v="0"/>
    <n v="0"/>
    <n v="40.89"/>
  </r>
  <r>
    <n v="62469504"/>
    <s v="N"/>
    <n v="21327740"/>
    <s v="3000016431440001"/>
    <s v="CIVIL"/>
    <d v="2023-06-26T00:00:00"/>
    <d v="2023-07-04T19:00:44"/>
    <m/>
    <d v="2023-07-04T00:00:00"/>
    <n v="640"/>
    <n v="16951"/>
    <s v="62469504"/>
    <s v="62469504"/>
    <m/>
    <m/>
    <n v="22764562"/>
    <m/>
    <m/>
    <m/>
    <s v="SOLFIN"/>
    <s v="SOLFIN"/>
    <s v="CCMS"/>
    <n v="21327740"/>
    <n v="974.67"/>
    <m/>
    <s v="N"/>
    <n v="6"/>
    <d v="2023-07-04T19:00:53"/>
    <s v="Y"/>
    <s v="Preparation - drafting notice(s)"/>
    <s v="Care Remuneration Hourly Rates"/>
    <s v="Profit Cost"/>
    <s v="Gail Sinclair"/>
    <s v="Y"/>
    <n v="5.84"/>
    <n v="1.17"/>
    <x v="1"/>
    <s v="VALIDATED"/>
    <n v="1"/>
    <s v="01.11.80.308.6100.0000"/>
    <n v="5.84"/>
    <s v="11"/>
    <s v="6100"/>
    <n v="87471.74000000001"/>
    <n v="5.84"/>
    <s v="CREDITOR"/>
    <n v="0"/>
    <n v="0"/>
    <n v="0"/>
    <n v="0"/>
    <n v="5.84"/>
  </r>
  <r>
    <n v="59785260"/>
    <s v="N"/>
    <n v="21328089"/>
    <s v="3000014159380007"/>
    <s v="CIVIL"/>
    <d v="2023-06-27T00:00:00"/>
    <d v="2023-07-04T19:00:44"/>
    <m/>
    <d v="2023-07-04T00:00:00"/>
    <n v="640"/>
    <n v="16951"/>
    <s v="59785260"/>
    <s v="59785260"/>
    <m/>
    <m/>
    <n v="22774166"/>
    <m/>
    <m/>
    <m/>
    <s v="SOLFIN"/>
    <s v="SOLFIN"/>
    <s v="CCMS"/>
    <n v="21328089"/>
    <n v="79459.92"/>
    <m/>
    <s v="N"/>
    <n v="1"/>
    <d v="2023-07-04T19:01:03"/>
    <s v="Y"/>
    <s v="Finding-of-Fact Hearing (Events Mod"/>
    <s v="VHCC"/>
    <s v="Profit Cost"/>
    <s v="Ellen Saunders"/>
    <s v="Y"/>
    <n v="1800"/>
    <n v="360"/>
    <x v="1"/>
    <s v="VALIDATED"/>
    <n v="1"/>
    <s v="01.11.80.305.6100.0000"/>
    <n v="1800"/>
    <s v="11"/>
    <s v="6100"/>
    <n v="87471.74000000001"/>
    <n v="1800"/>
    <s v="CREDITOR"/>
    <n v="0"/>
    <n v="0"/>
    <n v="0"/>
    <n v="0"/>
    <n v="1800"/>
  </r>
  <r>
    <n v="59556662"/>
    <s v="N"/>
    <n v="21328025"/>
    <s v="3000013960380001"/>
    <s v="CIVIL"/>
    <d v="2023-06-27T00:00:00"/>
    <d v="2023-07-04T19:00:44"/>
    <m/>
    <d v="2023-07-04T00:00:00"/>
    <n v="640"/>
    <n v="16951"/>
    <s v="59556662"/>
    <s v="59556662"/>
    <m/>
    <m/>
    <n v="22770848"/>
    <m/>
    <m/>
    <m/>
    <s v="SOLFIN"/>
    <s v="SOLFIN"/>
    <s v="CCMS"/>
    <n v="21328025"/>
    <n v="9298.799999999999"/>
    <m/>
    <s v="N"/>
    <n v="4"/>
    <d v="2023-07-04T19:01:01"/>
    <s v="Y"/>
    <s v="Final Hearing (Events Model)"/>
    <s v="VHCC"/>
    <s v="Profit Cost"/>
    <s v="Rebecca Marshall"/>
    <s v="Y"/>
    <n v="1107"/>
    <n v="221.4"/>
    <x v="1"/>
    <s v="VALIDATED"/>
    <n v="1"/>
    <s v="01.11.80.305.6100.0000"/>
    <n v="1107"/>
    <s v="11"/>
    <s v="6100"/>
    <n v="87471.74000000001"/>
    <n v="1107"/>
    <s v="CREDITOR"/>
    <n v="0"/>
    <n v="0"/>
    <n v="0"/>
    <n v="0"/>
    <n v="1107"/>
  </r>
  <r>
    <n v="62469504"/>
    <s v="N"/>
    <n v="21327740"/>
    <s v="3000016431440001"/>
    <s v="CIVIL"/>
    <d v="2023-06-26T00:00:00"/>
    <d v="2023-07-04T19:00:44"/>
    <m/>
    <d v="2023-07-04T00:00:00"/>
    <n v="640"/>
    <n v="16951"/>
    <s v="62469504"/>
    <s v="62469504"/>
    <m/>
    <m/>
    <n v="22764562"/>
    <m/>
    <m/>
    <m/>
    <s v="SOLFIN"/>
    <s v="SOLFIN"/>
    <s v="CCMS"/>
    <n v="21327740"/>
    <n v="974.67"/>
    <m/>
    <s v="N"/>
    <n v="13"/>
    <d v="2023-07-04T19:00:53"/>
    <s v="Y"/>
    <s v="Routine Letter Out"/>
    <s v="Care Remuneration Hourly Rates"/>
    <s v="Profit Cost"/>
    <s v="Gail Sinclair"/>
    <s v="Y"/>
    <n v="7.38"/>
    <n v="1.48"/>
    <x v="1"/>
    <s v="VALIDATED"/>
    <n v="1"/>
    <s v="01.11.80.308.6100.0000"/>
    <n v="7.38"/>
    <s v="11"/>
    <s v="6100"/>
    <n v="87471.74000000001"/>
    <n v="7.38"/>
    <s v="CREDITOR"/>
    <n v="0"/>
    <n v="0"/>
    <n v="0"/>
    <n v="0"/>
    <n v="7.38"/>
  </r>
  <r>
    <n v="59785260"/>
    <s v="N"/>
    <n v="21328089"/>
    <s v="3000014159380007"/>
    <s v="CIVIL"/>
    <d v="2023-06-27T00:00:00"/>
    <d v="2023-07-04T19:00:44"/>
    <m/>
    <d v="2023-07-04T00:00:00"/>
    <n v="640"/>
    <n v="16951"/>
    <s v="59785260"/>
    <s v="59785260"/>
    <m/>
    <m/>
    <n v="22774166"/>
    <m/>
    <m/>
    <m/>
    <s v="SOLFIN"/>
    <s v="SOLFIN"/>
    <s v="CCMS"/>
    <n v="21328089"/>
    <n v="79459.92"/>
    <m/>
    <s v="N"/>
    <n v="2"/>
    <d v="2023-07-04T19:01:03"/>
    <s v="Y"/>
    <s v="Finding-of-Fact Hearing (Events Mod"/>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14"/>
    <d v="2023-07-04T19:01:03"/>
    <s v="Y"/>
    <s v="Interim/Directions/Review Hearing ("/>
    <s v="VHCC"/>
    <s v="Profit Cost"/>
    <s v="Rebecca Marshall"/>
    <s v="Y"/>
    <n v="1800"/>
    <n v="360"/>
    <x v="1"/>
    <s v="VALIDATED"/>
    <n v="1"/>
    <s v="01.11.80.305.6100.0000"/>
    <n v="1800"/>
    <s v="11"/>
    <s v="6100"/>
    <n v="87471.74000000001"/>
    <n v="1800"/>
    <s v="CREDITOR"/>
    <n v="0"/>
    <n v="0"/>
    <n v="0"/>
    <n v="0"/>
    <n v="1800"/>
  </r>
  <r>
    <n v="62469504"/>
    <s v="N"/>
    <n v="21327740"/>
    <s v="3000016431440001"/>
    <s v="CIVIL"/>
    <d v="2023-06-26T00:00:00"/>
    <d v="2023-07-04T19:00:44"/>
    <m/>
    <d v="2023-07-04T00:00:00"/>
    <n v="640"/>
    <n v="16951"/>
    <s v="62469504"/>
    <s v="62469504"/>
    <m/>
    <m/>
    <n v="22764562"/>
    <m/>
    <m/>
    <m/>
    <s v="SOLFIN"/>
    <s v="SOLFIN"/>
    <s v="CCMS"/>
    <n v="21327740"/>
    <n v="974.67"/>
    <m/>
    <s v="N"/>
    <n v="8"/>
    <d v="2023-07-04T19:00:53"/>
    <s v="Y"/>
    <s v="Preparation - other"/>
    <s v="Care Remuneration Hourly Rates"/>
    <s v="Profit Cost"/>
    <s v="Gail Sinclair"/>
    <s v="Y"/>
    <n v="5.84"/>
    <n v="1.17"/>
    <x v="1"/>
    <s v="VALIDATED"/>
    <n v="1"/>
    <s v="01.11.80.308.6100.0000"/>
    <n v="5.84"/>
    <s v="11"/>
    <s v="6100"/>
    <n v="87471.74000000001"/>
    <n v="5.84"/>
    <s v="CREDITOR"/>
    <n v="0"/>
    <n v="0"/>
    <n v="0"/>
    <n v="0"/>
    <n v="5.84"/>
  </r>
  <r>
    <n v="59785260"/>
    <s v="N"/>
    <n v="21328089"/>
    <s v="3000014159380007"/>
    <s v="CIVIL"/>
    <d v="2023-06-27T00:00:00"/>
    <d v="2023-07-04T19:00:44"/>
    <m/>
    <d v="2023-07-04T00:00:00"/>
    <n v="640"/>
    <n v="16951"/>
    <s v="59785260"/>
    <s v="59785260"/>
    <m/>
    <m/>
    <n v="22774166"/>
    <m/>
    <m/>
    <m/>
    <s v="SOLFIN"/>
    <s v="SOLFIN"/>
    <s v="CCMS"/>
    <n v="21328089"/>
    <n v="79459.92"/>
    <m/>
    <s v="N"/>
    <n v="12"/>
    <d v="2023-07-04T19:01:03"/>
    <s v="Y"/>
    <s v="Advocates Meeting (Events Model)"/>
    <s v="VHCC"/>
    <s v="Profit Cost"/>
    <s v="Jodi Street"/>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19"/>
    <d v="2023-07-04T19:01:03"/>
    <s v="Y"/>
    <s v="Interim/Directions/Review Hearing ("/>
    <s v="VHCC"/>
    <s v="Profit Cost"/>
    <s v="Ellen Saunders"/>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12"/>
    <d v="2023-07-04T19:01:10"/>
    <s v="Y"/>
    <s v="Attendance upon client"/>
    <s v="Care Remuneration Hourly Rates"/>
    <s v="Profit Cost"/>
    <s v="Rebecca Marshall"/>
    <s v="Y"/>
    <n v="20.15"/>
    <n v="4.03"/>
    <x v="1"/>
    <s v="VALIDATED"/>
    <n v="1"/>
    <s v="01.11.80.308.6100.0000"/>
    <n v="20.15"/>
    <s v="11"/>
    <s v="6100"/>
    <n v="87471.74000000001"/>
    <n v="20.15"/>
    <s v="CREDITOR"/>
    <n v="0"/>
    <n v="0"/>
    <n v="0"/>
    <n v="0"/>
    <n v="20.15"/>
  </r>
  <r>
    <n v="61054299"/>
    <s v="N"/>
    <n v="21318360"/>
    <s v="3000015252930001"/>
    <s v="CIVIL"/>
    <d v="2023-06-23T00:00:00"/>
    <d v="2023-07-03T19:01:49"/>
    <m/>
    <d v="2023-07-03T00:00:00"/>
    <n v="640"/>
    <n v="16951"/>
    <s v="61054299"/>
    <s v="61054299"/>
    <m/>
    <m/>
    <n v="22749566"/>
    <m/>
    <m/>
    <m/>
    <s v="SOLFIN"/>
    <s v="SOLFIN"/>
    <s v="CCMS"/>
    <n v="21318360"/>
    <n v="4354.89"/>
    <m/>
    <s v="N"/>
    <n v="3"/>
    <d v="2023-07-03T19:01:54"/>
    <s v="Y"/>
    <s v="Hearing Unit 2.31 - 5.00 Hours"/>
    <s v="Public Law Children"/>
    <s v="Advocacy"/>
    <s v="Rebecca Marshall"/>
    <s v="Y"/>
    <n v="476.92"/>
    <n v="95.38"/>
    <x v="3"/>
    <s v="VALIDATED"/>
    <n v="1"/>
    <s v="01.11.80.308.6100.0000"/>
    <n v="476.92"/>
    <s v="11"/>
    <s v="6100"/>
    <n v="87471.74000000001"/>
    <n v="476.92"/>
    <s v="CREDITOR"/>
    <n v="0"/>
    <n v="0"/>
    <n v="0"/>
    <n v="0"/>
    <n v="476.92"/>
  </r>
  <r>
    <n v="62432912"/>
    <s v="N"/>
    <n v="21328250"/>
    <s v="3000016401850001"/>
    <s v="CIVIL"/>
    <d v="2023-06-26T00:00:00"/>
    <d v="2023-07-04T19:00:44"/>
    <m/>
    <d v="2023-07-04T00:00:00"/>
    <n v="640"/>
    <n v="16951"/>
    <s v="62432912"/>
    <s v="62432912"/>
    <m/>
    <m/>
    <n v="22761628"/>
    <m/>
    <m/>
    <m/>
    <s v="SOLFIN"/>
    <s v="SOLFIN"/>
    <s v="CCMS"/>
    <n v="21328250"/>
    <n v="1229.23"/>
    <m/>
    <s v="N"/>
    <n v="10"/>
    <d v="2023-07-04T19:01:10"/>
    <s v="Y"/>
    <s v="Preparation - other"/>
    <s v="Care Remuneration Hourly Rates"/>
    <s v="Profit Cost"/>
    <s v="Rebecca Marshall"/>
    <s v="Y"/>
    <n v="6.72"/>
    <n v="1.34"/>
    <x v="1"/>
    <s v="VALIDATED"/>
    <n v="1"/>
    <s v="01.11.80.308.6100.0000"/>
    <n v="6.72"/>
    <s v="11"/>
    <s v="6100"/>
    <n v="87471.74000000001"/>
    <n v="6.72"/>
    <s v="CREDITOR"/>
    <n v="0"/>
    <n v="0"/>
    <n v="0"/>
    <n v="0"/>
    <n v="6.72"/>
  </r>
  <r>
    <n v="59785260"/>
    <s v="N"/>
    <n v="21328089"/>
    <s v="3000014159380007"/>
    <s v="CIVIL"/>
    <d v="2023-06-27T00:00:00"/>
    <d v="2023-07-04T19:00:44"/>
    <m/>
    <d v="2023-07-04T00:00:00"/>
    <n v="640"/>
    <n v="16951"/>
    <s v="59785260"/>
    <s v="59785260"/>
    <m/>
    <m/>
    <n v="22774166"/>
    <m/>
    <m/>
    <m/>
    <s v="SOLFIN"/>
    <s v="SOLFIN"/>
    <s v="CCMS"/>
    <n v="21328089"/>
    <n v="79459.92"/>
    <m/>
    <s v="N"/>
    <n v="23"/>
    <d v="2023-07-04T19:01:03"/>
    <s v="Y"/>
    <s v="Interim/Directions/Review Hearing ("/>
    <s v="VHCC"/>
    <s v="Profit Cost"/>
    <s v="Rebecca Marshall"/>
    <s v="Y"/>
    <n v="1800"/>
    <n v="360"/>
    <x v="1"/>
    <s v="VALIDATED"/>
    <n v="1"/>
    <s v="01.11.80.305.6100.0000"/>
    <n v="1800"/>
    <s v="11"/>
    <s v="6100"/>
    <n v="87471.74000000001"/>
    <n v="1800"/>
    <s v="CREDITOR"/>
    <n v="0"/>
    <n v="0"/>
    <n v="0"/>
    <n v="0"/>
    <n v="1800"/>
  </r>
  <r>
    <n v="61054299"/>
    <s v="N"/>
    <n v="21318360"/>
    <s v="3000015252930001"/>
    <s v="CIVIL"/>
    <d v="2023-06-23T00:00:00"/>
    <d v="2023-07-03T19:01:49"/>
    <m/>
    <d v="2023-07-03T00:00:00"/>
    <n v="640"/>
    <n v="16951"/>
    <s v="61054299"/>
    <s v="61054299"/>
    <m/>
    <m/>
    <n v="22749566"/>
    <m/>
    <m/>
    <m/>
    <s v="SOLFIN"/>
    <s v="SOLFIN"/>
    <s v="CCMS"/>
    <n v="21318360"/>
    <n v="4354.89"/>
    <m/>
    <s v="N"/>
    <n v="2"/>
    <d v="2023-07-03T19:01:54"/>
    <s v="Y"/>
    <s v="Advocates Meeting"/>
    <s v="Public Law Children"/>
    <s v="Advocacy"/>
    <s v="Rebecca Marshall"/>
    <s v="Y"/>
    <n v="140.99"/>
    <n v="28.2"/>
    <x v="3"/>
    <s v="VALIDATED"/>
    <n v="1"/>
    <s v="01.11.80.308.6100.0000"/>
    <n v="140.99"/>
    <s v="11"/>
    <s v="6100"/>
    <n v="87471.74000000001"/>
    <n v="140.99"/>
    <s v="CREDITOR"/>
    <n v="0"/>
    <n v="0"/>
    <n v="0"/>
    <n v="0"/>
    <n v="140.99"/>
  </r>
  <r>
    <n v="61754320"/>
    <s v="N"/>
    <n v="21327693"/>
    <s v="3000015833890003"/>
    <s v="CIVIL"/>
    <d v="2023-06-23T00:00:00"/>
    <d v="2023-07-04T19:00:44"/>
    <m/>
    <d v="2023-07-04T00:00:00"/>
    <n v="640"/>
    <n v="16951"/>
    <s v="61754320"/>
    <s v="61754320"/>
    <m/>
    <m/>
    <n v="22755392"/>
    <m/>
    <m/>
    <m/>
    <s v="SOLFIN"/>
    <s v="SOLFIN"/>
    <s v="CCMS"/>
    <n v="21327693"/>
    <n v="5313.14"/>
    <m/>
    <s v="N"/>
    <n v="17"/>
    <d v="2023-07-04T19:00:52"/>
    <s v="Y"/>
    <s v="Solicitors Fixed Fee"/>
    <s v="Public Law Children"/>
    <s v="Profit Cost"/>
    <s v="Rebecca Marshall"/>
    <s v="Y"/>
    <n v="2013"/>
    <n v="402.59"/>
    <x v="1"/>
    <s v="VALIDATED"/>
    <n v="1"/>
    <s v="01.11.80.308.6100.0000"/>
    <n v="2013"/>
    <s v="11"/>
    <s v="6100"/>
    <n v="87471.74000000001"/>
    <n v="2013"/>
    <s v="CREDITOR"/>
    <n v="0"/>
    <n v="0"/>
    <n v="0"/>
    <n v="0"/>
    <n v="2013"/>
  </r>
  <r>
    <n v="61754320"/>
    <s v="N"/>
    <n v="21327693"/>
    <s v="3000015833890003"/>
    <s v="CIVIL"/>
    <d v="2023-06-23T00:00:00"/>
    <d v="2023-07-04T19:00:44"/>
    <m/>
    <d v="2023-07-04T00:00:00"/>
    <n v="640"/>
    <n v="16951"/>
    <s v="61754320"/>
    <s v="61754320"/>
    <m/>
    <m/>
    <n v="22755392"/>
    <m/>
    <m/>
    <m/>
    <s v="SOLFIN"/>
    <s v="SOLFIN"/>
    <s v="CCMS"/>
    <n v="21327693"/>
    <n v="5313.14"/>
    <m/>
    <s v="N"/>
    <n v="4"/>
    <d v="2023-07-04T19:00:52"/>
    <s v="Y"/>
    <s v="Interim Hearing Court Bundle/Advoca"/>
    <s v="Public Law Children"/>
    <s v="Advocacy"/>
    <s v="Rebecca Marshall"/>
    <s v="Y"/>
    <n v="59.4"/>
    <n v="11.88"/>
    <x v="1"/>
    <s v="VALIDATED"/>
    <n v="1"/>
    <s v="01.11.80.308.6100.0000"/>
    <n v="59.4"/>
    <s v="11"/>
    <s v="6100"/>
    <n v="87471.74000000001"/>
    <n v="59.4"/>
    <s v="CREDITOR"/>
    <n v="0"/>
    <n v="0"/>
    <n v="0"/>
    <n v="0"/>
    <n v="59.4"/>
  </r>
  <r>
    <n v="59785260"/>
    <s v="N"/>
    <n v="21328089"/>
    <s v="3000014159380007"/>
    <s v="CIVIL"/>
    <d v="2023-06-27T00:00:00"/>
    <d v="2023-07-04T19:00:44"/>
    <m/>
    <d v="2023-07-04T00:00:00"/>
    <n v="640"/>
    <n v="16951"/>
    <s v="59785260"/>
    <s v="59785260"/>
    <m/>
    <m/>
    <n v="22774166"/>
    <m/>
    <m/>
    <m/>
    <s v="SOLFIN"/>
    <s v="SOLFIN"/>
    <s v="CCMS"/>
    <n v="21328089"/>
    <n v="79459.92"/>
    <m/>
    <s v="N"/>
    <n v="24"/>
    <d v="2023-07-04T19:01:03"/>
    <s v="Y"/>
    <s v="Pre-Hearing Review (Events Model)"/>
    <s v="VHCC"/>
    <s v="Profit Cost"/>
    <s v="Ellen Saunders"/>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3"/>
    <d v="2023-07-04T19:01:10"/>
    <s v="Y"/>
    <s v="Preparation - other"/>
    <s v="Care Remuneration Hourly Rates"/>
    <s v="Profit Cost"/>
    <s v="Rebecca Marshall"/>
    <s v="Y"/>
    <n v="80.59999999999999"/>
    <n v="16.12"/>
    <x v="1"/>
    <s v="VALIDATED"/>
    <n v="1"/>
    <s v="01.11.80.308.6100.0000"/>
    <n v="80.59999999999999"/>
    <s v="11"/>
    <s v="6100"/>
    <n v="87471.74000000001"/>
    <n v="80.59999999999999"/>
    <s v="CREDITOR"/>
    <n v="0"/>
    <n v="0"/>
    <n v="0"/>
    <n v="0"/>
    <n v="80.59999999999999"/>
  </r>
  <r>
    <n v="61722388"/>
    <s v="N"/>
    <n v="21338248"/>
    <s v="3000015809770001"/>
    <s v="CIVIL"/>
    <d v="2023-06-27T00:00:00"/>
    <d v="2023-07-06T19:21:01"/>
    <m/>
    <d v="2023-07-06T00:00:00"/>
    <n v="640"/>
    <n v="16951"/>
    <s v="61722388"/>
    <s v="61722388"/>
    <m/>
    <m/>
    <n v="22774284"/>
    <m/>
    <m/>
    <m/>
    <s v="SOLFIN"/>
    <s v="SOLFIN"/>
    <s v="CCMS"/>
    <n v="21338248"/>
    <n v="5492.58"/>
    <m/>
    <s v="N"/>
    <n v="8"/>
    <d v="2023-07-06T19:21:14"/>
    <s v="Y"/>
    <s v="Solicitors Fixed Fee"/>
    <s v="Public Law Children"/>
    <s v="Profit Cost"/>
    <s v="Rebecca Marshall"/>
    <s v="Y"/>
    <n v="3270"/>
    <n v="653.99"/>
    <x v="4"/>
    <s v="VALIDATED"/>
    <n v="1"/>
    <s v="01.11.80.308.6100.0000"/>
    <n v="3270"/>
    <s v="11"/>
    <s v="6100"/>
    <n v="87471.74000000001"/>
    <n v="3270"/>
    <s v="CREDITOR"/>
    <n v="0"/>
    <n v="0"/>
    <n v="0"/>
    <n v="0"/>
    <n v="3270"/>
  </r>
  <r>
    <n v="59785260"/>
    <s v="N"/>
    <n v="21328089"/>
    <s v="3000014159380007"/>
    <s v="CIVIL"/>
    <d v="2023-06-27T00:00:00"/>
    <d v="2023-07-04T19:00:44"/>
    <m/>
    <d v="2023-07-04T00:00:00"/>
    <n v="640"/>
    <n v="16951"/>
    <s v="59785260"/>
    <s v="59785260"/>
    <m/>
    <m/>
    <n v="22774166"/>
    <m/>
    <m/>
    <m/>
    <s v="SOLFIN"/>
    <s v="SOLFIN"/>
    <s v="CCMS"/>
    <n v="21328089"/>
    <n v="79459.92"/>
    <m/>
    <s v="N"/>
    <n v="17"/>
    <d v="2023-07-04T19:01:03"/>
    <s v="Y"/>
    <s v="Interim/Directions/Review Hearing ("/>
    <s v="VHCC"/>
    <s v="Profit Cost"/>
    <s v="Ellen Saunders"/>
    <s v="Y"/>
    <n v="1800"/>
    <n v="360"/>
    <x v="1"/>
    <s v="VALIDATED"/>
    <n v="1"/>
    <s v="01.11.80.305.6100.0000"/>
    <n v="1800"/>
    <s v="11"/>
    <s v="6100"/>
    <n v="87471.74000000001"/>
    <n v="1800"/>
    <s v="CREDITOR"/>
    <n v="0"/>
    <n v="0"/>
    <n v="0"/>
    <n v="0"/>
    <n v="1800"/>
  </r>
  <r>
    <n v="61754320"/>
    <s v="N"/>
    <n v="21327693"/>
    <s v="3000015833890003"/>
    <s v="CIVIL"/>
    <d v="2023-06-23T00:00:00"/>
    <d v="2023-07-04T19:00:44"/>
    <m/>
    <d v="2023-07-04T00:00:00"/>
    <n v="640"/>
    <n v="16951"/>
    <s v="61754320"/>
    <s v="61754320"/>
    <m/>
    <m/>
    <n v="22755392"/>
    <m/>
    <m/>
    <m/>
    <s v="SOLFIN"/>
    <s v="SOLFIN"/>
    <s v="CCMS"/>
    <n v="21327693"/>
    <n v="5313.14"/>
    <m/>
    <s v="N"/>
    <n v="9"/>
    <d v="2023-07-04T19:00:52"/>
    <s v="Y"/>
    <s v="Psychologist"/>
    <s v="Public Law Children"/>
    <s v="Expert Disbursement"/>
    <s v="NBA Solutions Ltd"/>
    <s v="Y"/>
    <n v="297.43"/>
    <n v="59.49"/>
    <x v="1"/>
    <s v="VALIDATED"/>
    <n v="1"/>
    <s v="01.11.80.308.6300.0000"/>
    <n v="297.43"/>
    <s v="11"/>
    <s v="6300"/>
    <n v="87471.74000000001"/>
    <n v="297.43"/>
    <s v="CREDITOR"/>
    <n v="0"/>
    <n v="0"/>
    <n v="0"/>
    <n v="0"/>
    <n v="297.43"/>
  </r>
  <r>
    <n v="62432912"/>
    <s v="N"/>
    <n v="21328250"/>
    <s v="3000016401850001"/>
    <s v="CIVIL"/>
    <d v="2023-06-26T00:00:00"/>
    <d v="2023-07-04T19:00:44"/>
    <m/>
    <d v="2023-07-04T00:00:00"/>
    <n v="640"/>
    <n v="16951"/>
    <s v="62432912"/>
    <s v="62432912"/>
    <m/>
    <m/>
    <n v="22761628"/>
    <m/>
    <m/>
    <m/>
    <s v="SOLFIN"/>
    <s v="SOLFIN"/>
    <s v="CCMS"/>
    <n v="21328250"/>
    <n v="1229.23"/>
    <m/>
    <s v="N"/>
    <n v="19"/>
    <d v="2023-07-04T19:01:10"/>
    <s v="Y"/>
    <s v="Preparation - drafting notice(s)"/>
    <s v="Care Remuneration Hourly Rates"/>
    <s v="Profit Cost"/>
    <s v="Gail Sinclair"/>
    <s v="Y"/>
    <n v="5.84"/>
    <n v="1.17"/>
    <x v="1"/>
    <s v="VALIDATED"/>
    <n v="1"/>
    <s v="01.11.80.308.6100.0000"/>
    <n v="5.84"/>
    <s v="11"/>
    <s v="6100"/>
    <n v="87471.74000000001"/>
    <n v="5.84"/>
    <s v="CREDITOR"/>
    <n v="0"/>
    <n v="0"/>
    <n v="0"/>
    <n v="0"/>
    <n v="5.84"/>
  </r>
  <r>
    <n v="59785260"/>
    <s v="N"/>
    <n v="21328089"/>
    <s v="3000014159380007"/>
    <s v="CIVIL"/>
    <d v="2023-06-27T00:00:00"/>
    <d v="2023-07-04T19:00:44"/>
    <m/>
    <d v="2023-07-04T00:00:00"/>
    <n v="640"/>
    <n v="16951"/>
    <s v="59785260"/>
    <s v="59785260"/>
    <m/>
    <m/>
    <n v="22774166"/>
    <m/>
    <m/>
    <m/>
    <s v="SOLFIN"/>
    <s v="SOLFIN"/>
    <s v="CCMS"/>
    <n v="21328089"/>
    <n v="79459.92"/>
    <m/>
    <s v="N"/>
    <n v="7"/>
    <d v="2023-07-04T19:01:03"/>
    <s v="Y"/>
    <s v="Finding-of-Fact Hearing (Events Mod"/>
    <s v="VHCC"/>
    <s v="Profit Cost"/>
    <s v="Rebecca Marshall"/>
    <s v="Y"/>
    <n v="1800"/>
    <n v="360"/>
    <x v="1"/>
    <s v="VALIDATED"/>
    <n v="1"/>
    <s v="01.11.80.305.6100.0000"/>
    <n v="1800"/>
    <s v="11"/>
    <s v="6100"/>
    <n v="87471.74000000001"/>
    <n v="1800"/>
    <s v="CREDITOR"/>
    <n v="0"/>
    <n v="0"/>
    <n v="0"/>
    <n v="0"/>
    <n v="1800"/>
  </r>
  <r>
    <n v="59556662"/>
    <s v="N"/>
    <n v="21328025"/>
    <s v="3000013960380001"/>
    <s v="CIVIL"/>
    <d v="2023-06-27T00:00:00"/>
    <d v="2023-07-04T19:00:44"/>
    <m/>
    <d v="2023-07-04T00:00:00"/>
    <n v="640"/>
    <n v="16951"/>
    <s v="59556662"/>
    <s v="59556662"/>
    <m/>
    <m/>
    <n v="22770848"/>
    <m/>
    <m/>
    <m/>
    <s v="SOLFIN"/>
    <s v="SOLFIN"/>
    <s v="CCMS"/>
    <n v="21328025"/>
    <n v="9298.799999999999"/>
    <m/>
    <s v="N"/>
    <n v="1"/>
    <d v="2023-07-04T19:01:01"/>
    <s v="Y"/>
    <s v="Final Hearing (Events Model)"/>
    <s v="VHCC"/>
    <s v="Profit Cost"/>
    <s v="Rebecca Marshall"/>
    <s v="Y"/>
    <n v="1107"/>
    <n v="221.4"/>
    <x v="1"/>
    <s v="VALIDATED"/>
    <n v="1"/>
    <s v="01.11.80.305.6100.0000"/>
    <n v="1107"/>
    <s v="11"/>
    <s v="6100"/>
    <n v="87471.74000000001"/>
    <n v="1107"/>
    <s v="CREDITOR"/>
    <n v="0"/>
    <n v="0"/>
    <n v="0"/>
    <n v="0"/>
    <n v="1107"/>
  </r>
  <r>
    <n v="62432912"/>
    <s v="N"/>
    <n v="21328250"/>
    <s v="3000016401850001"/>
    <s v="CIVIL"/>
    <d v="2023-06-26T00:00:00"/>
    <d v="2023-07-04T19:00:44"/>
    <m/>
    <d v="2023-07-04T00:00:00"/>
    <n v="640"/>
    <n v="16951"/>
    <s v="62432912"/>
    <s v="62432912"/>
    <m/>
    <m/>
    <n v="22761628"/>
    <m/>
    <m/>
    <m/>
    <s v="SOLFIN"/>
    <s v="SOLFIN"/>
    <s v="CCMS"/>
    <n v="21328250"/>
    <n v="1229.23"/>
    <m/>
    <s v="N"/>
    <n v="11"/>
    <d v="2023-07-04T19:01:10"/>
    <s v="Y"/>
    <s v="Preparation - other"/>
    <s v="Care Remuneration Hourly Rates"/>
    <s v="Profit Cost"/>
    <s v="Rebecca Marshall"/>
    <s v="Y"/>
    <n v="6.72"/>
    <n v="1.34"/>
    <x v="1"/>
    <s v="VALIDATED"/>
    <n v="1"/>
    <s v="01.11.80.308.6100.0000"/>
    <n v="6.72"/>
    <s v="11"/>
    <s v="6100"/>
    <n v="87471.74000000001"/>
    <n v="6.72"/>
    <s v="CREDITOR"/>
    <n v="0"/>
    <n v="0"/>
    <n v="0"/>
    <n v="0"/>
    <n v="6.72"/>
  </r>
  <r>
    <n v="61754320"/>
    <s v="N"/>
    <n v="21327693"/>
    <s v="3000015833890003"/>
    <s v="CIVIL"/>
    <d v="2023-06-23T00:00:00"/>
    <d v="2023-07-04T19:00:44"/>
    <m/>
    <d v="2023-07-04T00:00:00"/>
    <n v="640"/>
    <n v="16951"/>
    <s v="61754320"/>
    <s v="61754320"/>
    <m/>
    <m/>
    <n v="22755392"/>
    <m/>
    <m/>
    <m/>
    <s v="SOLFIN"/>
    <s v="SOLFIN"/>
    <s v="CCMS"/>
    <n v="21327693"/>
    <n v="5313.14"/>
    <m/>
    <s v="N"/>
    <n v="6"/>
    <d v="2023-07-04T19:00:52"/>
    <s v="Y"/>
    <s v="Final Hearing Court Bundle/Advocate"/>
    <s v="Public Law Children"/>
    <s v="Advocacy"/>
    <s v="Rebecca Marshall"/>
    <s v="Y"/>
    <n v="159.3"/>
    <n v="31.86"/>
    <x v="1"/>
    <s v="VALIDATED"/>
    <n v="1"/>
    <s v="01.11.80.308.6100.0000"/>
    <n v="159.3"/>
    <s v="11"/>
    <s v="6100"/>
    <n v="87471.74000000001"/>
    <n v="159.3"/>
    <s v="CREDITOR"/>
    <n v="0"/>
    <n v="0"/>
    <n v="0"/>
    <n v="0"/>
    <n v="159.3"/>
  </r>
  <r>
    <n v="62432912"/>
    <s v="N"/>
    <n v="21328250"/>
    <s v="3000016401850001"/>
    <s v="CIVIL"/>
    <d v="2023-06-26T00:00:00"/>
    <d v="2023-07-04T19:00:44"/>
    <m/>
    <d v="2023-07-04T00:00:00"/>
    <n v="640"/>
    <n v="16951"/>
    <s v="62432912"/>
    <s v="62432912"/>
    <m/>
    <m/>
    <n v="22761628"/>
    <m/>
    <m/>
    <m/>
    <s v="SOLFIN"/>
    <s v="SOLFIN"/>
    <s v="CCMS"/>
    <n v="21328250"/>
    <n v="1229.23"/>
    <m/>
    <s v="N"/>
    <n v="13"/>
    <d v="2023-07-04T19:01:10"/>
    <s v="Y"/>
    <s v="Routine Letter Out"/>
    <s v="Care Remuneration Hourly Rates"/>
    <s v="Profit Cost"/>
    <s v="Gail Sinclair"/>
    <s v="Y"/>
    <n v="3.69"/>
    <n v="0.74"/>
    <x v="1"/>
    <s v="VALIDATED"/>
    <n v="1"/>
    <s v="01.11.80.308.6100.0000"/>
    <n v="3.69"/>
    <s v="11"/>
    <s v="6100"/>
    <n v="87471.74000000001"/>
    <n v="3.69"/>
    <s v="CREDITOR"/>
    <n v="0"/>
    <n v="0"/>
    <n v="0"/>
    <n v="0"/>
    <n v="3.69"/>
  </r>
  <r>
    <n v="59785260"/>
    <s v="N"/>
    <n v="21328089"/>
    <s v="3000014159380007"/>
    <s v="CIVIL"/>
    <d v="2023-06-27T00:00:00"/>
    <d v="2023-07-04T19:00:44"/>
    <m/>
    <d v="2023-07-04T00:00:00"/>
    <n v="640"/>
    <n v="16951"/>
    <s v="59785260"/>
    <s v="59785260"/>
    <m/>
    <m/>
    <n v="22774166"/>
    <m/>
    <m/>
    <m/>
    <s v="SOLFIN"/>
    <s v="SOLFIN"/>
    <s v="CCMS"/>
    <n v="21328089"/>
    <n v="79459.92"/>
    <m/>
    <s v="N"/>
    <n v="22"/>
    <d v="2023-07-04T19:01:03"/>
    <s v="Y"/>
    <s v="Interim/Directions/Review Hearing ("/>
    <s v="VHCC"/>
    <s v="Profit Cost"/>
    <s v="Rebecca Marshall"/>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17"/>
    <d v="2023-07-04T19:01:10"/>
    <s v="Y"/>
    <s v="Preparation - drafting notice(s)"/>
    <s v="Care Remuneration Hourly Rates"/>
    <s v="Profit Cost"/>
    <s v="Gail Sinclair"/>
    <s v="Y"/>
    <n v="5.84"/>
    <n v="1.17"/>
    <x v="1"/>
    <s v="VALIDATED"/>
    <n v="1"/>
    <s v="01.11.80.308.6100.0000"/>
    <n v="5.84"/>
    <s v="11"/>
    <s v="6100"/>
    <n v="87471.74000000001"/>
    <n v="5.84"/>
    <s v="CREDITOR"/>
    <n v="0"/>
    <n v="0"/>
    <n v="0"/>
    <n v="0"/>
    <n v="5.84"/>
  </r>
  <r>
    <n v="61754320"/>
    <s v="N"/>
    <n v="21327693"/>
    <s v="3000015833890003"/>
    <s v="CIVIL"/>
    <d v="2023-06-23T00:00:00"/>
    <d v="2023-07-04T19:00:44"/>
    <m/>
    <d v="2023-07-04T00:00:00"/>
    <n v="640"/>
    <n v="16951"/>
    <s v="61754320"/>
    <s v="61754320"/>
    <m/>
    <m/>
    <n v="22755392"/>
    <m/>
    <m/>
    <m/>
    <s v="SOLFIN"/>
    <s v="SOLFIN"/>
    <s v="CCMS"/>
    <n v="21327693"/>
    <n v="5313.14"/>
    <m/>
    <s v="N"/>
    <n v="14"/>
    <d v="2023-07-04T19:00:52"/>
    <s v="Y"/>
    <s v="Hearing Unit 1.01 - 2.30 Hours"/>
    <s v="Public Law Children"/>
    <s v="Advocacy"/>
    <s v="Rebecca Marshall"/>
    <s v="Y"/>
    <n v="238.46"/>
    <n v="47.69"/>
    <x v="1"/>
    <s v="VALIDATED"/>
    <n v="1"/>
    <s v="01.11.80.308.6100.0000"/>
    <n v="238.46"/>
    <s v="11"/>
    <s v="6100"/>
    <n v="87471.74000000001"/>
    <n v="238.46"/>
    <s v="CREDITOR"/>
    <n v="0"/>
    <n v="0"/>
    <n v="0"/>
    <n v="0"/>
    <n v="238.46"/>
  </r>
  <r>
    <n v="61054299"/>
    <s v="N"/>
    <n v="21318360"/>
    <s v="3000015252930001"/>
    <s v="CIVIL"/>
    <d v="2023-06-23T00:00:00"/>
    <d v="2023-07-03T19:01:49"/>
    <m/>
    <d v="2023-07-03T00:00:00"/>
    <n v="640"/>
    <n v="16951"/>
    <s v="61054299"/>
    <s v="61054299"/>
    <m/>
    <m/>
    <n v="22749566"/>
    <m/>
    <m/>
    <m/>
    <s v="SOLFIN"/>
    <s v="SOLFIN"/>
    <s v="CCMS"/>
    <n v="21318360"/>
    <n v="4354.89"/>
    <m/>
    <s v="N"/>
    <n v="6"/>
    <d v="2023-07-03T19:01:54"/>
    <s v="Y"/>
    <s v="Advocates Meeting"/>
    <s v="Public Law Children"/>
    <s v="Advocacy"/>
    <s v="Rebecca Marshall"/>
    <s v="Y"/>
    <n v="140.99"/>
    <n v="28.2"/>
    <x v="3"/>
    <s v="VALIDATED"/>
    <n v="1"/>
    <s v="01.11.80.308.6100.0000"/>
    <n v="140.99"/>
    <s v="11"/>
    <s v="6100"/>
    <n v="87471.74000000001"/>
    <n v="140.99"/>
    <s v="CREDITOR"/>
    <n v="0"/>
    <n v="0"/>
    <n v="0"/>
    <n v="0"/>
    <n v="140.99"/>
  </r>
  <r>
    <n v="59785260"/>
    <s v="N"/>
    <n v="21328089"/>
    <s v="3000014159380007"/>
    <s v="CIVIL"/>
    <d v="2023-06-27T00:00:00"/>
    <d v="2023-07-04T19:00:44"/>
    <m/>
    <d v="2023-07-04T00:00:00"/>
    <n v="640"/>
    <n v="16951"/>
    <s v="59785260"/>
    <s v="59785260"/>
    <m/>
    <m/>
    <n v="22774166"/>
    <m/>
    <m/>
    <m/>
    <s v="SOLFIN"/>
    <s v="SOLFIN"/>
    <s v="CCMS"/>
    <n v="21328089"/>
    <n v="79459.92"/>
    <m/>
    <s v="N"/>
    <n v="5"/>
    <d v="2023-07-04T19:01:03"/>
    <s v="Y"/>
    <s v="Finding-of-Fact Hearing (Events Mod"/>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11"/>
    <d v="2023-07-04T19:01:03"/>
    <s v="Y"/>
    <s v="Advocates Meeting (Events Model)"/>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6"/>
    <d v="2023-07-04T19:01:03"/>
    <s v="Y"/>
    <s v="Finding-of-Fact Hearing (Events Mod"/>
    <s v="VHCC"/>
    <s v="Profit Cost"/>
    <s v="Rebecca Marshall"/>
    <s v="Y"/>
    <n v="1800"/>
    <n v="360"/>
    <x v="1"/>
    <s v="VALIDATED"/>
    <n v="1"/>
    <s v="01.11.80.305.6100.0000"/>
    <n v="1800"/>
    <s v="11"/>
    <s v="6100"/>
    <n v="87471.74000000001"/>
    <n v="1800"/>
    <s v="CREDITOR"/>
    <n v="0"/>
    <n v="0"/>
    <n v="0"/>
    <n v="0"/>
    <n v="1800"/>
  </r>
  <r>
    <n v="62469504"/>
    <s v="N"/>
    <n v="21327740"/>
    <s v="3000016431440001"/>
    <s v="CIVIL"/>
    <d v="2023-06-26T00:00:00"/>
    <d v="2023-07-04T19:00:44"/>
    <m/>
    <d v="2023-07-04T00:00:00"/>
    <n v="640"/>
    <n v="16951"/>
    <s v="62469504"/>
    <s v="62469504"/>
    <m/>
    <m/>
    <n v="22764562"/>
    <m/>
    <m/>
    <m/>
    <s v="SOLFIN"/>
    <s v="SOLFIN"/>
    <s v="CCMS"/>
    <n v="21327740"/>
    <n v="974.67"/>
    <m/>
    <s v="N"/>
    <n v="16"/>
    <d v="2023-07-04T19:00:53"/>
    <s v="Y"/>
    <s v="Final Hearing - 1 Day"/>
    <s v="Other Public Law Children"/>
    <s v="Advocacy"/>
    <s v="Jodi Street"/>
    <s v="Y"/>
    <n v="510.75"/>
    <n v="102.15"/>
    <x v="1"/>
    <s v="VALIDATED"/>
    <n v="1"/>
    <s v="01.11.80.308.6100.0000"/>
    <n v="510.75"/>
    <s v="11"/>
    <s v="6100"/>
    <n v="87471.74000000001"/>
    <n v="510.75"/>
    <s v="CREDITOR"/>
    <n v="0"/>
    <n v="0"/>
    <n v="0"/>
    <n v="0"/>
    <n v="510.75"/>
  </r>
  <r>
    <n v="59785260"/>
    <s v="N"/>
    <n v="21328089"/>
    <s v="3000014159380007"/>
    <s v="CIVIL"/>
    <d v="2023-06-27T00:00:00"/>
    <d v="2023-07-04T19:00:44"/>
    <m/>
    <d v="2023-07-04T00:00:00"/>
    <n v="640"/>
    <n v="16951"/>
    <s v="59785260"/>
    <s v="59785260"/>
    <m/>
    <m/>
    <n v="22774166"/>
    <m/>
    <m/>
    <m/>
    <s v="SOLFIN"/>
    <s v="SOLFIN"/>
    <s v="CCMS"/>
    <n v="21328089"/>
    <n v="79459.92"/>
    <m/>
    <s v="N"/>
    <n v="25"/>
    <d v="2023-07-04T19:01:03"/>
    <s v="Y"/>
    <s v="Interim/Directions/Review Hearing ("/>
    <s v="VHCC"/>
    <s v="Profit Cost"/>
    <s v="Ellen Saunders"/>
    <s v="Y"/>
    <n v="1800"/>
    <n v="360"/>
    <x v="1"/>
    <s v="VALIDATED"/>
    <n v="1"/>
    <s v="01.11.80.305.6100.0000"/>
    <n v="1800"/>
    <s v="11"/>
    <s v="6100"/>
    <n v="87471.74000000001"/>
    <n v="1800"/>
    <s v="CREDITOR"/>
    <n v="0"/>
    <n v="0"/>
    <n v="0"/>
    <n v="0"/>
    <n v="1800"/>
  </r>
  <r>
    <n v="61054299"/>
    <s v="N"/>
    <n v="21318360"/>
    <s v="3000015252930001"/>
    <s v="CIVIL"/>
    <d v="2023-06-23T00:00:00"/>
    <d v="2023-07-03T19:01:49"/>
    <m/>
    <d v="2023-07-03T00:00:00"/>
    <n v="640"/>
    <n v="16951"/>
    <s v="61054299"/>
    <s v="61054299"/>
    <m/>
    <m/>
    <n v="22749566"/>
    <m/>
    <m/>
    <m/>
    <s v="SOLFIN"/>
    <s v="SOLFIN"/>
    <s v="CCMS"/>
    <n v="21318360"/>
    <n v="4354.89"/>
    <m/>
    <s v="N"/>
    <n v="5"/>
    <d v="2023-07-03T19:01:54"/>
    <s v="Y"/>
    <s v="Final Hearing - 1 Day"/>
    <s v="Public Law Children"/>
    <s v="Advocacy"/>
    <s v="Jodi Street"/>
    <s v="Y"/>
    <n v="556.88"/>
    <n v="111.38"/>
    <x v="3"/>
    <s v="VALIDATED"/>
    <n v="1"/>
    <s v="01.11.80.308.6100.0000"/>
    <n v="556.88"/>
    <s v="11"/>
    <s v="6100"/>
    <n v="87471.74000000001"/>
    <n v="556.88"/>
    <s v="CREDITOR"/>
    <n v="0"/>
    <n v="0"/>
    <n v="0"/>
    <n v="0"/>
    <n v="556.88"/>
  </r>
  <r>
    <n v="61722388"/>
    <s v="N"/>
    <n v="21338248"/>
    <s v="3000015809770001"/>
    <s v="CIVIL"/>
    <d v="2023-06-27T00:00:00"/>
    <d v="2023-07-06T19:21:01"/>
    <m/>
    <d v="2023-07-06T00:00:00"/>
    <n v="640"/>
    <n v="16951"/>
    <s v="61722388"/>
    <s v="61722388"/>
    <m/>
    <m/>
    <n v="22774284"/>
    <m/>
    <m/>
    <m/>
    <s v="SOLFIN"/>
    <s v="SOLFIN"/>
    <s v="CCMS"/>
    <n v="21338248"/>
    <n v="5492.58"/>
    <m/>
    <s v="N"/>
    <n v="2"/>
    <d v="2023-07-06T19:21:14"/>
    <s v="Y"/>
    <s v="Exceptional Travel"/>
    <s v="Public Law Children"/>
    <s v="Advocacy"/>
    <s v="Rebecca Marshall"/>
    <s v="Y"/>
    <n v="32.04"/>
    <n v="6.41"/>
    <x v="4"/>
    <s v="VALIDATED"/>
    <n v="1"/>
    <s v="01.11.80.308.6100.0000"/>
    <n v="32.04"/>
    <s v="11"/>
    <s v="6100"/>
    <n v="87471.74000000001"/>
    <n v="32.04"/>
    <s v="CREDITOR"/>
    <n v="0"/>
    <n v="0"/>
    <n v="0"/>
    <n v="0"/>
    <n v="32.04"/>
  </r>
  <r>
    <n v="59785260"/>
    <s v="N"/>
    <n v="21328089"/>
    <s v="3000014159380007"/>
    <s v="CIVIL"/>
    <d v="2023-06-27T00:00:00"/>
    <d v="2023-07-04T19:00:44"/>
    <m/>
    <d v="2023-07-04T00:00:00"/>
    <n v="640"/>
    <n v="16951"/>
    <s v="59785260"/>
    <s v="59785260"/>
    <m/>
    <m/>
    <n v="22774166"/>
    <m/>
    <m/>
    <m/>
    <s v="SOLFIN"/>
    <s v="SOLFIN"/>
    <s v="CCMS"/>
    <n v="21328089"/>
    <n v="79459.92"/>
    <m/>
    <s v="N"/>
    <n v="18"/>
    <d v="2023-07-04T19:01:03"/>
    <s v="Y"/>
    <s v="Interim/Directions/Review Hearing ("/>
    <s v="VHCC"/>
    <s v="Profit Cost"/>
    <s v="Ellen Saunders"/>
    <s v="Y"/>
    <n v="1800"/>
    <n v="360"/>
    <x v="1"/>
    <s v="VALIDATED"/>
    <n v="1"/>
    <s v="01.11.80.305.6100.0000"/>
    <n v="1800"/>
    <s v="11"/>
    <s v="6100"/>
    <n v="87471.74000000001"/>
    <n v="1800"/>
    <s v="CREDITOR"/>
    <n v="0"/>
    <n v="0"/>
    <n v="0"/>
    <n v="0"/>
    <n v="1800"/>
  </r>
  <r>
    <n v="61054299"/>
    <s v="N"/>
    <n v="21318360"/>
    <s v="3000015252930001"/>
    <s v="CIVIL"/>
    <d v="2023-06-23T00:00:00"/>
    <d v="2023-07-03T19:01:49"/>
    <m/>
    <d v="2023-07-03T00:00:00"/>
    <n v="640"/>
    <n v="16951"/>
    <s v="61054299"/>
    <s v="61054299"/>
    <m/>
    <m/>
    <n v="22749566"/>
    <m/>
    <m/>
    <m/>
    <s v="SOLFIN"/>
    <s v="SOLFIN"/>
    <s v="CCMS"/>
    <n v="21318360"/>
    <n v="4354.89"/>
    <m/>
    <s v="N"/>
    <n v="4"/>
    <d v="2023-07-03T19:01:54"/>
    <s v="Y"/>
    <s v="Advocates Meeting"/>
    <s v="Public Law Children"/>
    <s v="Advocacy"/>
    <s v="Rebecca Marshall"/>
    <s v="Y"/>
    <n v="140.99"/>
    <n v="28.2"/>
    <x v="3"/>
    <s v="VALIDATED"/>
    <n v="1"/>
    <s v="01.11.80.308.6100.0000"/>
    <n v="140.99"/>
    <s v="11"/>
    <s v="6100"/>
    <n v="87471.74000000001"/>
    <n v="140.99"/>
    <s v="CREDITOR"/>
    <n v="0"/>
    <n v="0"/>
    <n v="0"/>
    <n v="0"/>
    <n v="140.99"/>
  </r>
  <r>
    <n v="62432912"/>
    <s v="N"/>
    <n v="21328250"/>
    <s v="3000016401850001"/>
    <s v="CIVIL"/>
    <d v="2023-06-26T00:00:00"/>
    <d v="2023-07-04T19:00:44"/>
    <m/>
    <d v="2023-07-04T00:00:00"/>
    <n v="640"/>
    <n v="16951"/>
    <s v="62432912"/>
    <s v="62432912"/>
    <m/>
    <m/>
    <n v="22761628"/>
    <m/>
    <m/>
    <m/>
    <s v="SOLFIN"/>
    <s v="SOLFIN"/>
    <s v="CCMS"/>
    <n v="21328250"/>
    <n v="1229.23"/>
    <m/>
    <s v="N"/>
    <n v="18"/>
    <d v="2023-07-04T19:01:10"/>
    <s v="Y"/>
    <s v="Preparation - other"/>
    <s v="Care Remuneration Hourly Rates"/>
    <s v="Profit Cost"/>
    <s v="Rebecca Marshall"/>
    <s v="Y"/>
    <n v="33.59"/>
    <n v="6.72"/>
    <x v="1"/>
    <s v="VALIDATED"/>
    <n v="1"/>
    <s v="01.11.80.308.6100.0000"/>
    <n v="33.59"/>
    <s v="11"/>
    <s v="6100"/>
    <n v="87471.74000000001"/>
    <n v="33.59"/>
    <s v="CREDITOR"/>
    <n v="0"/>
    <n v="0"/>
    <n v="0"/>
    <n v="0"/>
    <n v="33.59"/>
  </r>
  <r>
    <n v="61754320"/>
    <s v="N"/>
    <n v="21327693"/>
    <s v="3000015833890003"/>
    <s v="CIVIL"/>
    <d v="2023-06-23T00:00:00"/>
    <d v="2023-07-04T19:00:44"/>
    <m/>
    <d v="2023-07-04T00:00:00"/>
    <n v="640"/>
    <n v="16951"/>
    <s v="61754320"/>
    <s v="61754320"/>
    <m/>
    <m/>
    <n v="22755392"/>
    <m/>
    <m/>
    <m/>
    <s v="SOLFIN"/>
    <s v="SOLFIN"/>
    <s v="CCMS"/>
    <n v="21327693"/>
    <n v="5313.14"/>
    <m/>
    <s v="N"/>
    <n v="11"/>
    <d v="2023-07-04T19:00:52"/>
    <s v="Y"/>
    <s v="Solicitor Travel Mileage"/>
    <s v="Public Law Children"/>
    <s v="Non Expert Disbursement"/>
    <s v="Rebecca Marshall"/>
    <s v="Y"/>
    <n v="24.98"/>
    <n v="5"/>
    <x v="1"/>
    <s v="VALIDATED"/>
    <n v="1"/>
    <s v="01.11.80.308.6300.0000"/>
    <n v="24.98"/>
    <s v="11"/>
    <s v="6300"/>
    <n v="87471.74000000001"/>
    <n v="24.98"/>
    <s v="CREDITOR"/>
    <n v="0"/>
    <n v="0"/>
    <n v="0"/>
    <n v="0"/>
    <n v="24.98"/>
  </r>
  <r>
    <n v="59785260"/>
    <s v="N"/>
    <n v="21328089"/>
    <s v="3000014159380007"/>
    <s v="CIVIL"/>
    <d v="2023-06-27T00:00:00"/>
    <d v="2023-07-04T19:00:44"/>
    <m/>
    <d v="2023-07-04T00:00:00"/>
    <n v="640"/>
    <n v="16951"/>
    <s v="59785260"/>
    <s v="59785260"/>
    <m/>
    <m/>
    <n v="22774166"/>
    <m/>
    <m/>
    <m/>
    <s v="SOLFIN"/>
    <s v="SOLFIN"/>
    <s v="CCMS"/>
    <n v="21328089"/>
    <n v="79459.92"/>
    <m/>
    <s v="N"/>
    <n v="31"/>
    <d v="2023-07-04T19:01:03"/>
    <s v="Y"/>
    <s v="Disbursements (Summary)"/>
    <s v="VHCC"/>
    <s v="Non Expert Disbursement"/>
    <s v="Rebecca Marshall"/>
    <s v="Y"/>
    <n v="1416.6"/>
    <n v="283.32"/>
    <x v="1"/>
    <s v="VALIDATED"/>
    <n v="1"/>
    <s v="01.11.80.305.6300.0000"/>
    <n v="1416.6"/>
    <s v="11"/>
    <s v="6300"/>
    <n v="87471.74000000001"/>
    <n v="1416.6"/>
    <s v="CREDITOR"/>
    <n v="0"/>
    <n v="0"/>
    <n v="0"/>
    <n v="0"/>
    <n v="1416.6"/>
  </r>
  <r>
    <n v="61754320"/>
    <s v="N"/>
    <n v="21327693"/>
    <s v="3000015833890003"/>
    <s v="CIVIL"/>
    <d v="2023-06-23T00:00:00"/>
    <d v="2023-07-04T19:00:44"/>
    <m/>
    <d v="2023-07-04T00:00:00"/>
    <n v="640"/>
    <n v="16951"/>
    <s v="61754320"/>
    <s v="61754320"/>
    <m/>
    <m/>
    <n v="22755392"/>
    <m/>
    <m/>
    <m/>
    <s v="SOLFIN"/>
    <s v="SOLFIN"/>
    <s v="CCMS"/>
    <n v="21327693"/>
    <n v="5313.14"/>
    <m/>
    <s v="N"/>
    <n v="10"/>
    <d v="2023-07-04T19:00:52"/>
    <s v="Y"/>
    <s v="DNA - test of sample"/>
    <s v="Public Law Children"/>
    <s v="Expert Disbursement"/>
    <s v="DNA Legal"/>
    <s v="Y"/>
    <n v="159.67"/>
    <n v="31.93"/>
    <x v="1"/>
    <s v="VALIDATED"/>
    <n v="1"/>
    <s v="01.11.80.308.6300.0000"/>
    <n v="159.67"/>
    <s v="11"/>
    <s v="6300"/>
    <n v="87471.74000000001"/>
    <n v="159.67"/>
    <s v="CREDITOR"/>
    <n v="0"/>
    <n v="0"/>
    <n v="0"/>
    <n v="0"/>
    <n v="159.67"/>
  </r>
  <r>
    <n v="61864511"/>
    <s v="N"/>
    <n v="21322763"/>
    <s v="3000015928040009"/>
    <s v="CIVIL"/>
    <d v="2023-06-29T00:00:00"/>
    <d v="2023-07-03T19:05:36"/>
    <m/>
    <d v="2023-07-03T00:00:00"/>
    <n v="640"/>
    <n v="16951"/>
    <s v="61864511"/>
    <s v="61864511"/>
    <m/>
    <m/>
    <n v="22792858"/>
    <m/>
    <m/>
    <m/>
    <s v="SOLPOA"/>
    <s v="SOLPOA"/>
    <s v="CCMS"/>
    <n v="21322763"/>
    <n v="702"/>
    <m/>
    <s v="N"/>
    <n v="1"/>
    <d v="2023-07-03T19:05:40"/>
    <s v="N"/>
    <s v="Expert Cost"/>
    <s v="Expert Cost"/>
    <s v="Expert Disbursement"/>
    <s v="CB"/>
    <s v="N"/>
    <n v="585"/>
    <n v="117"/>
    <x v="3"/>
    <s v="VALIDATED"/>
    <n v="1"/>
    <s v="01.11.80.308.2012.0000"/>
    <n v="585"/>
    <s v="11"/>
    <s v="2012"/>
    <n v="87471.74000000001"/>
    <n v="585"/>
    <s v="CREDITOR"/>
    <n v="585"/>
    <n v="0"/>
    <n v="0"/>
    <n v="0"/>
    <n v="0"/>
  </r>
  <r>
    <n v="59785260"/>
    <s v="N"/>
    <n v="21328089"/>
    <s v="3000014159380007"/>
    <s v="CIVIL"/>
    <d v="2023-06-27T00:00:00"/>
    <d v="2023-07-04T19:00:44"/>
    <m/>
    <d v="2023-07-04T00:00:00"/>
    <n v="640"/>
    <n v="16951"/>
    <s v="59785260"/>
    <s v="59785260"/>
    <m/>
    <m/>
    <n v="22774166"/>
    <m/>
    <m/>
    <m/>
    <s v="SOLFIN"/>
    <s v="SOLFIN"/>
    <s v="CCMS"/>
    <n v="21328089"/>
    <n v="79459.92"/>
    <m/>
    <s v="N"/>
    <n v="32"/>
    <d v="2023-07-04T19:01:03"/>
    <s v="Y"/>
    <s v="Interim/Directions/Review Hearing ("/>
    <s v="VHCC"/>
    <s v="Profit Cost"/>
    <s v="Rebecca Marshall"/>
    <s v="Y"/>
    <n v="1800"/>
    <n v="360"/>
    <x v="1"/>
    <s v="VALIDATED"/>
    <n v="1"/>
    <s v="01.11.80.305.6100.0000"/>
    <n v="1800"/>
    <s v="11"/>
    <s v="6100"/>
    <n v="87471.74000000001"/>
    <n v="1800"/>
    <s v="CREDITOR"/>
    <n v="0"/>
    <n v="0"/>
    <n v="0"/>
    <n v="0"/>
    <n v="1800"/>
  </r>
  <r>
    <n v="61754320"/>
    <s v="N"/>
    <n v="21327693"/>
    <s v="3000015833890003"/>
    <s v="CIVIL"/>
    <d v="2023-06-23T00:00:00"/>
    <d v="2023-07-04T19:00:44"/>
    <m/>
    <d v="2023-07-04T00:00:00"/>
    <n v="640"/>
    <n v="16951"/>
    <s v="61754320"/>
    <s v="61754320"/>
    <m/>
    <m/>
    <n v="22755392"/>
    <m/>
    <m/>
    <m/>
    <s v="SOLFIN"/>
    <s v="SOLFIN"/>
    <s v="CCMS"/>
    <n v="21327693"/>
    <n v="5313.14"/>
    <m/>
    <s v="N"/>
    <n v="3"/>
    <d v="2023-07-04T19:00:52"/>
    <s v="Y"/>
    <s v="Exceptional Travel"/>
    <s v="Public Law Children"/>
    <s v="Advocacy"/>
    <s v="Rebecca Marshall"/>
    <s v="Y"/>
    <n v="32.04"/>
    <n v="6.41"/>
    <x v="1"/>
    <s v="VALIDATED"/>
    <n v="1"/>
    <s v="01.11.80.308.6100.0000"/>
    <n v="32.04"/>
    <s v="11"/>
    <s v="6100"/>
    <n v="87471.74000000001"/>
    <n v="32.04"/>
    <s v="CREDITOR"/>
    <n v="0"/>
    <n v="0"/>
    <n v="0"/>
    <n v="0"/>
    <n v="32.04"/>
  </r>
  <r>
    <n v="61754320"/>
    <s v="N"/>
    <n v="21327693"/>
    <s v="3000015833890003"/>
    <s v="CIVIL"/>
    <d v="2023-06-23T00:00:00"/>
    <d v="2023-07-04T19:00:44"/>
    <m/>
    <d v="2023-07-04T00:00:00"/>
    <n v="640"/>
    <n v="16951"/>
    <s v="61754320"/>
    <s v="61754320"/>
    <m/>
    <m/>
    <n v="22755392"/>
    <m/>
    <m/>
    <m/>
    <s v="SOLFIN"/>
    <s v="SOLFIN"/>
    <s v="CCMS"/>
    <n v="21327693"/>
    <n v="5313.14"/>
    <m/>
    <s v="N"/>
    <n v="12"/>
    <d v="2023-07-04T19:00:52"/>
    <s v="Y"/>
    <s v="Solicitor Travel Mileage"/>
    <s v="Public Law Children"/>
    <s v="Non Expert Disbursement"/>
    <s v="Rebecca Marshall"/>
    <s v="Y"/>
    <n v="24.98"/>
    <n v="5"/>
    <x v="1"/>
    <s v="VALIDATED"/>
    <n v="1"/>
    <s v="01.11.80.308.6300.0000"/>
    <n v="24.98"/>
    <s v="11"/>
    <s v="6300"/>
    <n v="87471.74000000001"/>
    <n v="24.98"/>
    <s v="CREDITOR"/>
    <n v="0"/>
    <n v="0"/>
    <n v="0"/>
    <n v="0"/>
    <n v="24.98"/>
  </r>
  <r>
    <n v="59556662"/>
    <s v="N"/>
    <n v="21328025"/>
    <s v="3000013960380001"/>
    <s v="CIVIL"/>
    <d v="2023-06-27T00:00:00"/>
    <d v="2023-07-04T19:00:44"/>
    <m/>
    <d v="2023-07-04T00:00:00"/>
    <n v="640"/>
    <n v="16951"/>
    <s v="59556662"/>
    <s v="59556662"/>
    <m/>
    <m/>
    <n v="22770848"/>
    <m/>
    <m/>
    <m/>
    <s v="SOLFIN"/>
    <s v="SOLFIN"/>
    <s v="CCMS"/>
    <n v="21328025"/>
    <n v="9298.799999999999"/>
    <m/>
    <s v="N"/>
    <n v="6"/>
    <d v="2023-07-04T19:01:01"/>
    <s v="Y"/>
    <s v="Final Hearing (Events Model)"/>
    <s v="VHCC"/>
    <s v="Profit Cost"/>
    <s v="Rebecca Marshall"/>
    <s v="Y"/>
    <n v="1107"/>
    <n v="221.4"/>
    <x v="1"/>
    <s v="VALIDATED"/>
    <n v="1"/>
    <s v="01.11.80.305.6100.0000"/>
    <n v="1107"/>
    <s v="11"/>
    <s v="6100"/>
    <n v="87471.74000000001"/>
    <n v="1107"/>
    <s v="CREDITOR"/>
    <n v="0"/>
    <n v="0"/>
    <n v="0"/>
    <n v="0"/>
    <n v="1107"/>
  </r>
  <r>
    <n v="59556662"/>
    <s v="N"/>
    <n v="21328025"/>
    <s v="3000013960380001"/>
    <s v="CIVIL"/>
    <d v="2023-06-27T00:00:00"/>
    <d v="2023-07-04T19:00:44"/>
    <m/>
    <d v="2023-07-04T00:00:00"/>
    <n v="640"/>
    <n v="16951"/>
    <s v="59556662"/>
    <s v="59556662"/>
    <m/>
    <m/>
    <n v="22770848"/>
    <m/>
    <m/>
    <m/>
    <s v="SOLFIN"/>
    <s v="SOLFIN"/>
    <s v="CCMS"/>
    <n v="21328025"/>
    <n v="9298.799999999999"/>
    <m/>
    <s v="N"/>
    <n v="7"/>
    <d v="2023-07-04T19:01:01"/>
    <s v="Y"/>
    <s v="Final Hearing (Events Model)"/>
    <s v="VHCC"/>
    <s v="Profit Cost"/>
    <s v="Rebecca Marshall"/>
    <s v="Y"/>
    <n v="1107"/>
    <n v="221.4"/>
    <x v="1"/>
    <s v="VALIDATED"/>
    <n v="1"/>
    <s v="01.11.80.305.6100.0000"/>
    <n v="1107"/>
    <s v="11"/>
    <s v="6100"/>
    <n v="87471.74000000001"/>
    <n v="1107"/>
    <s v="CREDITOR"/>
    <n v="0"/>
    <n v="0"/>
    <n v="0"/>
    <n v="0"/>
    <n v="1107"/>
  </r>
  <r>
    <n v="61754320"/>
    <s v="N"/>
    <n v="21327693"/>
    <s v="3000015833890003"/>
    <s v="CIVIL"/>
    <d v="2023-06-23T00:00:00"/>
    <d v="2023-07-04T19:00:44"/>
    <m/>
    <d v="2023-07-04T00:00:00"/>
    <n v="640"/>
    <n v="16951"/>
    <s v="61754320"/>
    <s v="61754320"/>
    <m/>
    <m/>
    <n v="22755392"/>
    <m/>
    <m/>
    <m/>
    <s v="SOLFIN"/>
    <s v="SOLFIN"/>
    <s v="CCMS"/>
    <n v="21327693"/>
    <n v="5313.14"/>
    <m/>
    <s v="N"/>
    <n v="8"/>
    <d v="2023-07-04T19:00:52"/>
    <s v="Y"/>
    <s v="Solicitor Travel Mileage"/>
    <s v="Public Law Children"/>
    <s v="Non Expert Disbursement"/>
    <s v="Rebecca Marshall"/>
    <s v="Y"/>
    <n v="24.98"/>
    <n v="5"/>
    <x v="1"/>
    <s v="VALIDATED"/>
    <n v="1"/>
    <s v="01.11.80.308.6300.0000"/>
    <n v="24.98"/>
    <s v="11"/>
    <s v="6300"/>
    <n v="87471.74000000001"/>
    <n v="24.98"/>
    <s v="CREDITOR"/>
    <n v="0"/>
    <n v="0"/>
    <n v="0"/>
    <n v="0"/>
    <n v="24.98"/>
  </r>
  <r>
    <n v="62469504"/>
    <s v="N"/>
    <n v="21327740"/>
    <s v="3000016431440001"/>
    <s v="CIVIL"/>
    <d v="2023-06-26T00:00:00"/>
    <d v="2023-07-04T19:00:44"/>
    <m/>
    <d v="2023-07-04T00:00:00"/>
    <n v="640"/>
    <n v="16951"/>
    <s v="62469504"/>
    <s v="62469504"/>
    <m/>
    <m/>
    <n v="22764562"/>
    <m/>
    <m/>
    <m/>
    <s v="SOLFIN"/>
    <s v="SOLFIN"/>
    <s v="CCMS"/>
    <n v="21327740"/>
    <n v="974.67"/>
    <m/>
    <s v="N"/>
    <n v="4"/>
    <d v="2023-07-04T19:00:53"/>
    <s v="Y"/>
    <s v="Preparation - other"/>
    <s v="Care Remuneration Hourly Rates"/>
    <s v="Profit Cost"/>
    <s v="Rebecca Marshall"/>
    <s v="Y"/>
    <n v="20.15"/>
    <n v="4.03"/>
    <x v="1"/>
    <s v="VALIDATED"/>
    <n v="1"/>
    <s v="01.11.80.308.6100.0000"/>
    <n v="20.15"/>
    <s v="11"/>
    <s v="6100"/>
    <n v="87471.74000000001"/>
    <n v="20.15"/>
    <s v="CREDITOR"/>
    <n v="0"/>
    <n v="0"/>
    <n v="0"/>
    <n v="0"/>
    <n v="20.15"/>
  </r>
  <r>
    <n v="62469504"/>
    <s v="N"/>
    <n v="21327740"/>
    <s v="3000016431440001"/>
    <s v="CIVIL"/>
    <d v="2023-06-26T00:00:00"/>
    <d v="2023-07-04T19:00:44"/>
    <m/>
    <d v="2023-07-04T00:00:00"/>
    <n v="640"/>
    <n v="16951"/>
    <s v="62469504"/>
    <s v="62469504"/>
    <m/>
    <m/>
    <n v="22764562"/>
    <m/>
    <m/>
    <m/>
    <s v="SOLFIN"/>
    <s v="SOLFIN"/>
    <s v="CCMS"/>
    <n v="21327740"/>
    <n v="974.67"/>
    <m/>
    <s v="N"/>
    <n v="14"/>
    <d v="2023-07-04T19:00:53"/>
    <s v="Y"/>
    <s v="Routine Letter In"/>
    <s v="Care Remuneration Hourly Rates"/>
    <s v="Profit Cost"/>
    <s v="Rebecca Marshall"/>
    <s v="Y"/>
    <n v="48.93"/>
    <n v="9.789999999999999"/>
    <x v="1"/>
    <s v="VALIDATED"/>
    <n v="1"/>
    <s v="01.11.80.308.6100.0000"/>
    <n v="48.93"/>
    <s v="11"/>
    <s v="6100"/>
    <n v="87471.74000000001"/>
    <n v="48.93"/>
    <s v="CREDITOR"/>
    <n v="0"/>
    <n v="0"/>
    <n v="0"/>
    <n v="0"/>
    <n v="48.93"/>
  </r>
  <r>
    <n v="62432912"/>
    <s v="N"/>
    <n v="21328250"/>
    <s v="3000016401850001"/>
    <s v="CIVIL"/>
    <d v="2023-06-26T00:00:00"/>
    <d v="2023-07-04T19:00:44"/>
    <m/>
    <d v="2023-07-04T00:00:00"/>
    <n v="640"/>
    <n v="16951"/>
    <s v="62432912"/>
    <s v="62432912"/>
    <m/>
    <m/>
    <n v="22761628"/>
    <m/>
    <m/>
    <m/>
    <s v="SOLFIN"/>
    <s v="SOLFIN"/>
    <s v="CCMS"/>
    <n v="21328250"/>
    <n v="1229.23"/>
    <m/>
    <s v="N"/>
    <n v="7"/>
    <d v="2023-07-04T19:01:10"/>
    <s v="Y"/>
    <s v="Preparation - other"/>
    <s v="Care Remuneration Hourly Rates"/>
    <s v="Profit Cost"/>
    <s v="Rebecca Marshall"/>
    <s v="Y"/>
    <n v="6.72"/>
    <n v="1.34"/>
    <x v="1"/>
    <s v="VALIDATED"/>
    <n v="1"/>
    <s v="01.11.80.308.6100.0000"/>
    <n v="6.72"/>
    <s v="11"/>
    <s v="6100"/>
    <n v="87471.74000000001"/>
    <n v="6.72"/>
    <s v="CREDITOR"/>
    <n v="0"/>
    <n v="0"/>
    <n v="0"/>
    <n v="0"/>
    <n v="6.72"/>
  </r>
  <r>
    <n v="59785260"/>
    <s v="N"/>
    <n v="21328089"/>
    <s v="3000014159380007"/>
    <s v="CIVIL"/>
    <d v="2023-06-27T00:00:00"/>
    <d v="2023-07-04T19:00:44"/>
    <m/>
    <d v="2023-07-04T00:00:00"/>
    <n v="640"/>
    <n v="16951"/>
    <s v="59785260"/>
    <s v="59785260"/>
    <m/>
    <m/>
    <n v="22774166"/>
    <m/>
    <m/>
    <m/>
    <s v="SOLFIN"/>
    <s v="SOLFIN"/>
    <s v="CCMS"/>
    <n v="21328089"/>
    <n v="79459.92"/>
    <m/>
    <s v="N"/>
    <n v="28"/>
    <d v="2023-07-04T19:01:03"/>
    <s v="Y"/>
    <s v="Interim/Directions/Review Hearing ("/>
    <s v="VHCC"/>
    <s v="Profit Cost"/>
    <s v="Ellen Saunders"/>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20"/>
    <d v="2023-07-04T19:01:03"/>
    <s v="Y"/>
    <s v="Interim/Directions/Review Hearing ("/>
    <s v="VHCC"/>
    <s v="Profit Cost"/>
    <s v="Rebecca Marshall"/>
    <s v="Y"/>
    <n v="1800"/>
    <n v="360"/>
    <x v="1"/>
    <s v="VALIDATED"/>
    <n v="1"/>
    <s v="01.11.80.305.6100.0000"/>
    <n v="1800"/>
    <s v="11"/>
    <s v="6100"/>
    <n v="87471.74000000001"/>
    <n v="1800"/>
    <s v="CREDITOR"/>
    <n v="0"/>
    <n v="0"/>
    <n v="0"/>
    <n v="0"/>
    <n v="1800"/>
  </r>
  <r>
    <n v="62432912"/>
    <s v="N"/>
    <n v="21328250"/>
    <s v="3000016401850001"/>
    <s v="CIVIL"/>
    <d v="2023-06-26T00:00:00"/>
    <d v="2023-07-04T19:00:44"/>
    <m/>
    <d v="2023-07-04T00:00:00"/>
    <n v="640"/>
    <n v="16951"/>
    <s v="62432912"/>
    <s v="62432912"/>
    <m/>
    <m/>
    <n v="22761628"/>
    <m/>
    <m/>
    <m/>
    <s v="SOLFIN"/>
    <s v="SOLFIN"/>
    <s v="CCMS"/>
    <n v="21328250"/>
    <n v="1229.23"/>
    <m/>
    <s v="N"/>
    <n v="23"/>
    <d v="2023-07-04T19:01:10"/>
    <s v="Y"/>
    <s v="Routine Telephone Call"/>
    <s v="Care Remuneration Hourly Rates"/>
    <s v="Profit Cost"/>
    <s v="Rebecca Marshall"/>
    <s v="Y"/>
    <n v="4.24"/>
    <n v="0.85"/>
    <x v="1"/>
    <s v="VALIDATED"/>
    <n v="1"/>
    <s v="01.11.80.308.6100.0000"/>
    <n v="4.24"/>
    <s v="11"/>
    <s v="6100"/>
    <n v="87471.74000000001"/>
    <n v="4.24"/>
    <s v="CREDITOR"/>
    <n v="0"/>
    <n v="0"/>
    <n v="0"/>
    <n v="0"/>
    <n v="4.24"/>
  </r>
  <r>
    <n v="59895368"/>
    <s v="N"/>
    <n v="21327945"/>
    <s v="3000014252890001"/>
    <s v="CIVIL"/>
    <d v="2023-06-27T00:00:00"/>
    <d v="2023-07-04T19:00:44"/>
    <m/>
    <d v="2023-07-04T00:00:00"/>
    <n v="640"/>
    <n v="16951"/>
    <s v="59895368"/>
    <s v="59895368"/>
    <m/>
    <m/>
    <n v="22774184"/>
    <m/>
    <m/>
    <m/>
    <s v="SOLFIN"/>
    <s v="SOLFIN"/>
    <s v="CCMS"/>
    <n v="21327945"/>
    <n v="0"/>
    <m/>
    <s v="N"/>
    <n v="1"/>
    <d v="2023-07-04T19:00:59"/>
    <s v="N"/>
    <s v="NIL BILL"/>
    <s v="Prescribed Hourly Rates"/>
    <s v="Profit Cost"/>
    <s v="Rebecca Marshall"/>
    <s v="N"/>
    <n v="0"/>
    <n v="0"/>
    <x v="1"/>
    <s v="VALIDATED"/>
    <n v="1"/>
    <s v="01.11.80.305.6100.0000"/>
    <n v="0"/>
    <s v="11"/>
    <s v="6100"/>
    <n v="87471.74000000001"/>
    <n v="0"/>
    <s v="CREDITOR"/>
    <n v="0"/>
    <n v="0"/>
    <n v="0"/>
    <n v="0"/>
    <n v="0"/>
  </r>
  <r>
    <n v="59785260"/>
    <s v="N"/>
    <n v="21328089"/>
    <s v="3000014159380007"/>
    <s v="CIVIL"/>
    <d v="2023-06-27T00:00:00"/>
    <d v="2023-07-04T19:00:44"/>
    <m/>
    <d v="2023-07-04T00:00:00"/>
    <n v="640"/>
    <n v="16951"/>
    <s v="59785260"/>
    <s v="59785260"/>
    <m/>
    <m/>
    <n v="22774166"/>
    <m/>
    <m/>
    <m/>
    <s v="SOLFIN"/>
    <s v="SOLFIN"/>
    <s v="CCMS"/>
    <n v="21328089"/>
    <n v="79459.92"/>
    <m/>
    <s v="N"/>
    <n v="8"/>
    <d v="2023-07-04T19:01:03"/>
    <s v="Y"/>
    <s v="Finding-of-Fact Hearing (Events Mod"/>
    <s v="VHCC"/>
    <s v="Profit Cost"/>
    <s v="Rebecca Marshall"/>
    <s v="Y"/>
    <n v="1800"/>
    <n v="360"/>
    <x v="1"/>
    <s v="VALIDATED"/>
    <n v="1"/>
    <s v="01.11.80.305.6100.0000"/>
    <n v="1800"/>
    <s v="11"/>
    <s v="6100"/>
    <n v="87471.74000000001"/>
    <n v="1800"/>
    <s v="CREDITOR"/>
    <n v="0"/>
    <n v="0"/>
    <n v="0"/>
    <n v="0"/>
    <n v="1800"/>
  </r>
  <r>
    <n v="59785260"/>
    <s v="N"/>
    <n v="21328089"/>
    <s v="3000014159380007"/>
    <s v="CIVIL"/>
    <d v="2023-06-27T00:00:00"/>
    <d v="2023-07-04T19:00:44"/>
    <m/>
    <d v="2023-07-04T00:00:00"/>
    <n v="640"/>
    <n v="16951"/>
    <s v="59785260"/>
    <s v="59785260"/>
    <m/>
    <m/>
    <n v="22774166"/>
    <m/>
    <m/>
    <m/>
    <s v="SOLFIN"/>
    <s v="SOLFIN"/>
    <s v="CCMS"/>
    <n v="21328089"/>
    <n v="79459.92"/>
    <m/>
    <s v="N"/>
    <n v="10"/>
    <d v="2023-07-04T19:01:03"/>
    <s v="Y"/>
    <s v="Finding-of-Fact Hearing (Events Mod"/>
    <s v="VHCC"/>
    <s v="Profit Cost"/>
    <s v="Rebecca Marshall"/>
    <s v="Y"/>
    <n v="1800"/>
    <n v="360"/>
    <x v="1"/>
    <s v="VALIDATED"/>
    <n v="1"/>
    <s v="01.11.80.305.6100.0000"/>
    <n v="1800"/>
    <s v="11"/>
    <s v="6100"/>
    <n v="87471.74000000001"/>
    <n v="1800"/>
    <s v="CREDITOR"/>
    <n v="0"/>
    <n v="0"/>
    <n v="0"/>
    <n v="0"/>
    <n v="1800"/>
  </r>
  <r>
    <n v="59556662"/>
    <s v="N"/>
    <n v="21328025"/>
    <s v="3000013960380001"/>
    <s v="CIVIL"/>
    <d v="2023-06-27T00:00:00"/>
    <d v="2023-07-04T19:00:44"/>
    <m/>
    <d v="2023-07-04T00:00:00"/>
    <n v="640"/>
    <n v="16951"/>
    <s v="59556662"/>
    <s v="59556662"/>
    <m/>
    <m/>
    <n v="22770848"/>
    <m/>
    <m/>
    <m/>
    <s v="SOLFIN"/>
    <s v="SOLFIN"/>
    <s v="CCMS"/>
    <n v="21328025"/>
    <n v="9298.799999999999"/>
    <m/>
    <s v="N"/>
    <n v="3"/>
    <d v="2023-07-04T19:01:01"/>
    <s v="Y"/>
    <s v="Pre-Hearing Review (Events Model)"/>
    <s v="VHCC"/>
    <s v="Profit Cost"/>
    <s v="Rebecca Marshall"/>
    <s v="Y"/>
    <n v="1107"/>
    <n v="221.4"/>
    <x v="1"/>
    <s v="VALIDATED"/>
    <n v="1"/>
    <s v="01.11.80.305.6100.0000"/>
    <n v="1107"/>
    <s v="11"/>
    <s v="6100"/>
    <n v="87471.74000000001"/>
    <n v="1107"/>
    <s v="CREDITOR"/>
    <n v="0"/>
    <n v="0"/>
    <n v="0"/>
    <n v="0"/>
    <n v="1107"/>
  </r>
  <r>
    <n v="62469504"/>
    <s v="N"/>
    <n v="21327740"/>
    <s v="3000016431440001"/>
    <s v="CIVIL"/>
    <d v="2023-06-26T00:00:00"/>
    <d v="2023-07-04T19:00:44"/>
    <m/>
    <d v="2023-07-04T00:00:00"/>
    <n v="640"/>
    <n v="16951"/>
    <s v="62469504"/>
    <s v="62469504"/>
    <m/>
    <m/>
    <n v="22764562"/>
    <m/>
    <m/>
    <m/>
    <s v="SOLFIN"/>
    <s v="SOLFIN"/>
    <s v="CCMS"/>
    <n v="21327740"/>
    <n v="974.67"/>
    <m/>
    <s v="N"/>
    <n v="7"/>
    <d v="2023-07-04T19:00:53"/>
    <s v="Y"/>
    <s v="Preparation - other"/>
    <s v="Care Remuneration Hourly Rates"/>
    <s v="Profit Cost"/>
    <s v="Gail Sinclair"/>
    <s v="Y"/>
    <n v="5.84"/>
    <n v="1.17"/>
    <x v="1"/>
    <s v="VALIDATED"/>
    <n v="1"/>
    <s v="01.11.80.308.6100.0000"/>
    <n v="5.84"/>
    <s v="11"/>
    <s v="6100"/>
    <n v="87471.74000000001"/>
    <n v="5.84"/>
    <s v="CREDITOR"/>
    <n v="0"/>
    <n v="0"/>
    <n v="0"/>
    <n v="0"/>
    <n v="5.84"/>
  </r>
  <r>
    <n v="59785260"/>
    <s v="N"/>
    <n v="21328089"/>
    <s v="3000014159380007"/>
    <s v="CIVIL"/>
    <d v="2023-06-27T00:00:00"/>
    <d v="2023-07-04T19:00:44"/>
    <m/>
    <d v="2023-07-04T00:00:00"/>
    <n v="640"/>
    <n v="16951"/>
    <s v="59785260"/>
    <s v="59785260"/>
    <m/>
    <m/>
    <n v="22774166"/>
    <m/>
    <m/>
    <m/>
    <s v="SOLFIN"/>
    <s v="SOLFIN"/>
    <s v="CCMS"/>
    <n v="21328089"/>
    <n v="79459.92"/>
    <m/>
    <s v="N"/>
    <n v="27"/>
    <d v="2023-07-04T19:01:03"/>
    <s v="Y"/>
    <s v="Interim/Directions/Review Hearing ("/>
    <s v="VHCC"/>
    <s v="Profit Cost"/>
    <s v="Rebecca Marshall"/>
    <s v="Y"/>
    <n v="1800"/>
    <n v="360"/>
    <x v="1"/>
    <s v="VALIDATED"/>
    <n v="1"/>
    <s v="01.11.80.305.6100.0000"/>
    <n v="1800"/>
    <s v="11"/>
    <s v="6100"/>
    <n v="87471.74000000001"/>
    <n v="1800"/>
    <s v="CREDITOR"/>
    <n v="0"/>
    <n v="0"/>
    <n v="0"/>
    <n v="0"/>
    <n v="1800"/>
  </r>
  <r>
    <n v="61754320"/>
    <s v="N"/>
    <n v="21327693"/>
    <s v="3000015833890003"/>
    <s v="CIVIL"/>
    <d v="2023-06-23T00:00:00"/>
    <d v="2023-07-04T19:00:44"/>
    <m/>
    <d v="2023-07-04T00:00:00"/>
    <n v="640"/>
    <n v="16951"/>
    <s v="61754320"/>
    <s v="61754320"/>
    <m/>
    <m/>
    <n v="22755392"/>
    <m/>
    <m/>
    <m/>
    <s v="SOLFIN"/>
    <s v="SOLFIN"/>
    <s v="CCMS"/>
    <n v="21327693"/>
    <n v="5313.14"/>
    <m/>
    <s v="N"/>
    <n v="7"/>
    <d v="2023-07-04T19:00:52"/>
    <s v="Y"/>
    <s v="Solicitor Travel Mileage"/>
    <s v="Public Law Children"/>
    <s v="Non Expert Disbursement"/>
    <s v="Rebecca Marshall"/>
    <s v="Y"/>
    <n v="24.98"/>
    <n v="5"/>
    <x v="1"/>
    <s v="VALIDATED"/>
    <n v="1"/>
    <s v="01.11.80.308.6300.0000"/>
    <n v="24.98"/>
    <s v="11"/>
    <s v="6300"/>
    <n v="87471.74000000001"/>
    <n v="24.98"/>
    <s v="CREDITOR"/>
    <n v="0"/>
    <n v="0"/>
    <n v="0"/>
    <n v="0"/>
    <n v="24.98"/>
  </r>
  <r>
    <n v="61754320"/>
    <s v="N"/>
    <n v="21327693"/>
    <s v="3000015833890003"/>
    <s v="CIVIL"/>
    <d v="2023-06-23T00:00:00"/>
    <d v="2023-07-04T19:00:44"/>
    <m/>
    <d v="2023-07-04T00:00:00"/>
    <n v="640"/>
    <n v="16951"/>
    <s v="61754320"/>
    <s v="61754320"/>
    <m/>
    <m/>
    <n v="22755392"/>
    <m/>
    <m/>
    <m/>
    <s v="SOLFIN"/>
    <s v="SOLFIN"/>
    <s v="CCMS"/>
    <n v="21327693"/>
    <n v="5313.14"/>
    <m/>
    <s v="N"/>
    <n v="16"/>
    <d v="2023-07-04T19:00:52"/>
    <s v="Y"/>
    <s v="Hearing Unit 2.31 - 5.00 Hours"/>
    <s v="Public Law Children"/>
    <s v="Advocacy"/>
    <s v="Rebecca Marshall"/>
    <s v="Y"/>
    <n v="476.92"/>
    <n v="95.39"/>
    <x v="1"/>
    <s v="VALIDATED"/>
    <n v="1"/>
    <s v="01.11.80.308.6100.0000"/>
    <n v="476.92"/>
    <s v="11"/>
    <s v="6100"/>
    <n v="87471.74000000001"/>
    <n v="476.92"/>
    <s v="CREDITOR"/>
    <n v="0"/>
    <n v="0"/>
    <n v="0"/>
    <n v="0"/>
    <n v="476.92"/>
  </r>
  <r>
    <n v="62432912"/>
    <s v="N"/>
    <n v="21328250"/>
    <s v="3000016401850001"/>
    <s v="CIVIL"/>
    <d v="2023-06-26T00:00:00"/>
    <d v="2023-07-04T19:00:44"/>
    <m/>
    <d v="2023-07-04T00:00:00"/>
    <n v="640"/>
    <n v="16951"/>
    <s v="62432912"/>
    <s v="62432912"/>
    <m/>
    <m/>
    <n v="22761628"/>
    <m/>
    <m/>
    <m/>
    <s v="SOLFIN"/>
    <s v="SOLFIN"/>
    <s v="CCMS"/>
    <n v="21328250"/>
    <n v="1229.23"/>
    <m/>
    <s v="N"/>
    <n v="1"/>
    <d v="2023-07-04T19:01:10"/>
    <s v="Y"/>
    <s v="Exceptional Travel"/>
    <s v="Other Public Law Children"/>
    <s v="Advocacy"/>
    <s v="Rebecca Marshall"/>
    <s v="Y"/>
    <n v="32.04"/>
    <n v="6.41"/>
    <x v="1"/>
    <s v="VALIDATED"/>
    <n v="1"/>
    <s v="01.11.80.308.6100.0000"/>
    <n v="32.04"/>
    <s v="11"/>
    <s v="6100"/>
    <n v="87471.74000000001"/>
    <n v="32.04"/>
    <s v="CREDITOR"/>
    <n v="0"/>
    <n v="0"/>
    <n v="0"/>
    <n v="0"/>
    <n v="32.04"/>
  </r>
  <r>
    <n v="59785260"/>
    <s v="N"/>
    <n v="21329535"/>
    <s v="3000014159380003RC"/>
    <s v="CIVIL"/>
    <d v="2023-06-27T00:00:00"/>
    <d v="2023-07-04T19:38:37"/>
    <m/>
    <d v="2023-07-04T00:00:00"/>
    <n v="640"/>
    <n v="16951"/>
    <s v="59785260"/>
    <s v="59785260"/>
    <m/>
    <m/>
    <m/>
    <m/>
    <m/>
    <m/>
    <s v="SOLRECOUP"/>
    <s v="SOLRECOUP"/>
    <s v="POARECOUP"/>
    <n v="21329535"/>
    <n v="-1619.28"/>
    <m/>
    <s v="Y"/>
    <n v="1"/>
    <d v="2023-07-04T19:38:37"/>
    <s v="N"/>
    <m/>
    <m/>
    <s v="Expert Disbursement"/>
    <m/>
    <s v="N"/>
    <n v="-1349.4"/>
    <n v="0"/>
    <x v="1"/>
    <s v="VALIDATED"/>
    <n v="1"/>
    <s v="01.11.80.305.2013.0000"/>
    <n v="-1349.4"/>
    <s v="11"/>
    <s v="2013"/>
    <n v="87471.74000000001"/>
    <n v="-1349.4"/>
    <s v="CREDITOR"/>
    <n v="0"/>
    <n v="0"/>
    <n v="-1349.4"/>
    <n v="0"/>
    <n v="0"/>
  </r>
  <r>
    <n v="59785260"/>
    <s v="N"/>
    <n v="21329535"/>
    <s v="3000014159380003RC"/>
    <s v="CIVIL"/>
    <d v="2023-06-27T00:00:00"/>
    <d v="2023-07-04T19:38:37"/>
    <m/>
    <d v="2023-07-04T00:00:00"/>
    <n v="640"/>
    <n v="16951"/>
    <s v="59785260"/>
    <s v="59785260"/>
    <m/>
    <m/>
    <m/>
    <m/>
    <m/>
    <m/>
    <s v="SOLRECOUP"/>
    <s v="SOLRECOUP"/>
    <s v="POARECOUP"/>
    <n v="21329535"/>
    <n v="-1619.28"/>
    <m/>
    <s v="Y"/>
    <n v="2"/>
    <d v="2023-07-04T19:38:37"/>
    <s v="N"/>
    <m/>
    <m/>
    <s v="Expert Disbursement"/>
    <m/>
    <s v="N"/>
    <n v="0"/>
    <n v="-269.88"/>
    <x v="1"/>
    <s v="VALIDATED"/>
    <n v="1"/>
    <s v="01.11.80.305.2013.0000"/>
    <n v="-269.88"/>
    <s v="11"/>
    <s v="2013"/>
    <n v="87471.74000000001"/>
    <n v="-269.88"/>
    <s v="CREDITOR"/>
    <n v="0"/>
    <n v="0"/>
    <n v="-269.88"/>
    <n v="0"/>
    <n v="0"/>
  </r>
  <r>
    <n v="59785260"/>
    <s v="N"/>
    <n v="21329536"/>
    <s v="3000014159380004RC"/>
    <s v="CIVIL"/>
    <d v="2023-06-27T00:00:00"/>
    <d v="2023-07-04T19:38:37"/>
    <m/>
    <d v="2023-07-04T00:00:00"/>
    <n v="640"/>
    <n v="16951"/>
    <s v="59785260"/>
    <s v="59785260"/>
    <m/>
    <m/>
    <m/>
    <m/>
    <m/>
    <m/>
    <s v="SOLRECOUP"/>
    <s v="SOLRECOUP"/>
    <s v="POARECOUP"/>
    <n v="21329536"/>
    <n v="-80.64"/>
    <m/>
    <s v="Y"/>
    <n v="1"/>
    <d v="2023-07-04T19:38:37"/>
    <s v="N"/>
    <m/>
    <m/>
    <s v="Expert Disbursement"/>
    <m/>
    <s v="N"/>
    <n v="-67.2"/>
    <n v="0"/>
    <x v="1"/>
    <s v="VALIDATED"/>
    <n v="1"/>
    <s v="01.11.80.305.2013.0000"/>
    <n v="-67.2"/>
    <s v="11"/>
    <s v="2013"/>
    <n v="87471.74000000001"/>
    <n v="-67.2"/>
    <s v="CREDITOR"/>
    <n v="0"/>
    <n v="0"/>
    <n v="-67.2"/>
    <n v="0"/>
    <n v="0"/>
  </r>
  <r>
    <n v="59785260"/>
    <s v="N"/>
    <n v="21329536"/>
    <s v="3000014159380004RC"/>
    <s v="CIVIL"/>
    <d v="2023-06-27T00:00:00"/>
    <d v="2023-07-04T19:38:37"/>
    <m/>
    <d v="2023-07-04T00:00:00"/>
    <n v="640"/>
    <n v="16951"/>
    <s v="59785260"/>
    <s v="59785260"/>
    <m/>
    <m/>
    <m/>
    <m/>
    <m/>
    <m/>
    <s v="SOLRECOUP"/>
    <s v="SOLRECOUP"/>
    <s v="POARECOUP"/>
    <n v="21329536"/>
    <n v="-80.64"/>
    <m/>
    <s v="Y"/>
    <n v="2"/>
    <d v="2023-07-04T19:38:37"/>
    <s v="N"/>
    <m/>
    <m/>
    <s v="Expert Disbursement"/>
    <m/>
    <s v="N"/>
    <n v="0"/>
    <n v="-13.44"/>
    <x v="1"/>
    <s v="VALIDATED"/>
    <n v="1"/>
    <s v="01.11.80.305.2013.0000"/>
    <n v="-13.44"/>
    <s v="11"/>
    <s v="2013"/>
    <n v="87471.74000000001"/>
    <n v="-13.44"/>
    <s v="CREDITOR"/>
    <n v="0"/>
    <n v="0"/>
    <n v="-13.44"/>
    <n v="0"/>
    <n v="0"/>
  </r>
  <r>
    <n v="61754320"/>
    <s v="N"/>
    <n v="21328629"/>
    <s v="3000015833890002RC"/>
    <s v="CIVIL"/>
    <d v="2023-06-23T00:00:00"/>
    <d v="2023-07-04T19:38:21"/>
    <m/>
    <d v="2023-07-04T00:00:00"/>
    <n v="640"/>
    <n v="16951"/>
    <s v="61754320"/>
    <s v="61754320"/>
    <m/>
    <m/>
    <m/>
    <m/>
    <m/>
    <m/>
    <s v="SOLRECOUP"/>
    <s v="SOLRECOUP"/>
    <s v="POARECOUP"/>
    <n v="21328629"/>
    <n v="-191.6"/>
    <m/>
    <s v="Y"/>
    <n v="1"/>
    <d v="2023-07-04T19:38:22"/>
    <s v="N"/>
    <m/>
    <m/>
    <s v="Expert Disbursement"/>
    <m/>
    <s v="N"/>
    <n v="-159.67"/>
    <n v="0"/>
    <x v="1"/>
    <s v="VALIDATED"/>
    <n v="1"/>
    <s v="01.11.80.308.2013.0000"/>
    <n v="-159.67"/>
    <s v="11"/>
    <s v="2013"/>
    <n v="87471.74000000001"/>
    <n v="-159.67"/>
    <s v="CREDITOR"/>
    <n v="0"/>
    <n v="0"/>
    <n v="-159.67"/>
    <n v="0"/>
    <n v="0"/>
  </r>
  <r>
    <n v="61754320"/>
    <s v="N"/>
    <n v="21328629"/>
    <s v="3000015833890002RC"/>
    <s v="CIVIL"/>
    <d v="2023-06-23T00:00:00"/>
    <d v="2023-07-04T19:38:21"/>
    <m/>
    <d v="2023-07-04T00:00:00"/>
    <n v="640"/>
    <n v="16951"/>
    <s v="61754320"/>
    <s v="61754320"/>
    <m/>
    <m/>
    <m/>
    <m/>
    <m/>
    <m/>
    <s v="SOLRECOUP"/>
    <s v="SOLRECOUP"/>
    <s v="POARECOUP"/>
    <n v="21328629"/>
    <n v="-191.6"/>
    <m/>
    <s v="Y"/>
    <n v="2"/>
    <d v="2023-07-04T19:38:22"/>
    <s v="N"/>
    <m/>
    <m/>
    <s v="Expert Disbursement"/>
    <m/>
    <s v="N"/>
    <n v="0"/>
    <n v="-31.93"/>
    <x v="1"/>
    <s v="VALIDATED"/>
    <n v="1"/>
    <s v="01.11.80.308.2013.0000"/>
    <n v="-31.93"/>
    <s v="11"/>
    <s v="2013"/>
    <n v="87471.74000000001"/>
    <n v="-31.93"/>
    <s v="CREDITOR"/>
    <n v="0"/>
    <n v="0"/>
    <n v="-31.93"/>
    <n v="0"/>
    <n v="0"/>
  </r>
  <r>
    <n v="61754320"/>
    <s v="N"/>
    <n v="21328630"/>
    <s v="3000015833890001RC"/>
    <s v="CIVIL"/>
    <d v="2023-06-23T00:00:00"/>
    <d v="2023-07-04T19:38:21"/>
    <m/>
    <d v="2023-07-04T00:00:00"/>
    <n v="640"/>
    <n v="16951"/>
    <s v="61754320"/>
    <s v="61754320"/>
    <m/>
    <m/>
    <m/>
    <m/>
    <m/>
    <m/>
    <s v="SOLRECOUP"/>
    <s v="SOLRECOUP"/>
    <s v="POARECOUP"/>
    <n v="21328630"/>
    <n v="-356.92"/>
    <m/>
    <s v="Y"/>
    <n v="1"/>
    <d v="2023-07-04T19:38:22"/>
    <s v="N"/>
    <m/>
    <m/>
    <s v="Expert Disbursement"/>
    <m/>
    <s v="N"/>
    <n v="-297.43"/>
    <n v="0"/>
    <x v="1"/>
    <s v="VALIDATED"/>
    <n v="1"/>
    <s v="01.11.80.308.2013.0000"/>
    <n v="-297.43"/>
    <s v="11"/>
    <s v="2013"/>
    <n v="87471.74000000001"/>
    <n v="-297.43"/>
    <s v="CREDITOR"/>
    <n v="0"/>
    <n v="0"/>
    <n v="-297.43"/>
    <n v="0"/>
    <n v="0"/>
  </r>
  <r>
    <n v="61754320"/>
    <s v="N"/>
    <n v="21328630"/>
    <s v="3000015833890001RC"/>
    <s v="CIVIL"/>
    <d v="2023-06-23T00:00:00"/>
    <d v="2023-07-04T19:38:21"/>
    <m/>
    <d v="2023-07-04T00:00:00"/>
    <n v="640"/>
    <n v="16951"/>
    <s v="61754320"/>
    <s v="61754320"/>
    <m/>
    <m/>
    <m/>
    <m/>
    <m/>
    <m/>
    <s v="SOLRECOUP"/>
    <s v="SOLRECOUP"/>
    <s v="POARECOUP"/>
    <n v="21328630"/>
    <n v="-356.92"/>
    <m/>
    <s v="Y"/>
    <n v="2"/>
    <d v="2023-07-04T19:38:22"/>
    <s v="N"/>
    <m/>
    <m/>
    <s v="Expert Disbursement"/>
    <m/>
    <s v="N"/>
    <n v="0"/>
    <n v="-59.49"/>
    <x v="1"/>
    <s v="VALIDATED"/>
    <n v="1"/>
    <s v="01.11.80.308.2013.0000"/>
    <n v="-59.49"/>
    <s v="11"/>
    <s v="2013"/>
    <n v="87471.74000000001"/>
    <n v="-59.49"/>
    <s v="CREDITOR"/>
    <n v="0"/>
    <n v="0"/>
    <n v="-59.49"/>
    <n v="0"/>
    <n v="0"/>
  </r>
  <r>
    <n v="61003393"/>
    <s v="N"/>
    <n v="21399061"/>
    <s v="3000015209590004RC"/>
    <s v="CIVIL"/>
    <d v="2023-06-29T00:00:00"/>
    <d v="2023-07-19T19:43:58"/>
    <m/>
    <d v="2023-07-19T00:00:00"/>
    <n v="644"/>
    <n v="16973"/>
    <s v="61003393"/>
    <s v="61003393"/>
    <m/>
    <m/>
    <m/>
    <m/>
    <m/>
    <m/>
    <s v="SOLRECOUP"/>
    <s v="SOLRECOUP"/>
    <s v="POARECOUP"/>
    <n v="21399061"/>
    <n v="-1015.8"/>
    <m/>
    <s v="Y"/>
    <n v="1"/>
    <d v="2023-07-19T19:44:01"/>
    <s v="N"/>
    <m/>
    <m/>
    <s v="Expert Disbursement"/>
    <m/>
    <s v="N"/>
    <n v="-846.5"/>
    <n v="0"/>
    <x v="5"/>
    <s v="VALIDATED"/>
    <n v="1"/>
    <s v="01.11.80.308.2013.0000"/>
    <n v="-846.5"/>
    <s v="11"/>
    <s v="2013"/>
    <n v="14408.83"/>
    <n v="-846.5"/>
    <s v="CREDITOR"/>
    <n v="0"/>
    <n v="0"/>
    <n v="-846.5"/>
    <n v="0"/>
    <n v="0"/>
  </r>
  <r>
    <n v="61003393"/>
    <s v="N"/>
    <n v="21399061"/>
    <s v="3000015209590004RC"/>
    <s v="CIVIL"/>
    <d v="2023-06-29T00:00:00"/>
    <d v="2023-07-19T19:43:58"/>
    <m/>
    <d v="2023-07-19T00:00:00"/>
    <n v="644"/>
    <n v="16973"/>
    <s v="61003393"/>
    <s v="61003393"/>
    <m/>
    <m/>
    <m/>
    <m/>
    <m/>
    <m/>
    <s v="SOLRECOUP"/>
    <s v="SOLRECOUP"/>
    <s v="POARECOUP"/>
    <n v="21399061"/>
    <n v="-1015.8"/>
    <m/>
    <s v="Y"/>
    <n v="2"/>
    <d v="2023-07-19T19:44:01"/>
    <s v="N"/>
    <m/>
    <m/>
    <s v="Expert Disbursement"/>
    <m/>
    <s v="N"/>
    <n v="0"/>
    <n v="-169.3"/>
    <x v="5"/>
    <s v="VALIDATED"/>
    <n v="1"/>
    <s v="01.11.80.308.2013.0000"/>
    <n v="-169.3"/>
    <s v="11"/>
    <s v="2013"/>
    <n v="14408.83"/>
    <n v="-169.3"/>
    <s v="CREDITOR"/>
    <n v="0"/>
    <n v="0"/>
    <n v="-169.3"/>
    <n v="0"/>
    <n v="0"/>
  </r>
  <r>
    <n v="61003393"/>
    <s v="N"/>
    <n v="21399158"/>
    <s v="3000015209590006RC"/>
    <s v="CIVIL"/>
    <d v="2023-06-29T00:00:00"/>
    <d v="2023-07-19T19:43:58"/>
    <m/>
    <d v="2023-07-19T00:00:00"/>
    <n v="644"/>
    <n v="16973"/>
    <s v="61003393"/>
    <s v="61003393"/>
    <m/>
    <m/>
    <m/>
    <m/>
    <m/>
    <m/>
    <s v="SOLRECOUP"/>
    <s v="SOLRECOUP"/>
    <s v="POARECOUP"/>
    <n v="21399158"/>
    <n v="-1015.8"/>
    <m/>
    <s v="Y"/>
    <n v="2"/>
    <d v="2023-07-19T19:44:01"/>
    <s v="N"/>
    <m/>
    <m/>
    <s v="Expert Disbursement"/>
    <m/>
    <s v="N"/>
    <n v="0"/>
    <n v="-169.3"/>
    <x v="5"/>
    <s v="VALIDATED"/>
    <n v="1"/>
    <s v="01.11.80.308.2013.0000"/>
    <n v="-169.3"/>
    <s v="11"/>
    <s v="2013"/>
    <n v="14408.83"/>
    <n v="-169.3"/>
    <s v="CREDITOR"/>
    <n v="0"/>
    <n v="0"/>
    <n v="-169.3"/>
    <n v="0"/>
    <n v="0"/>
  </r>
  <r>
    <n v="61003393"/>
    <s v="N"/>
    <n v="21399158"/>
    <s v="3000015209590006RC"/>
    <s v="CIVIL"/>
    <d v="2023-06-29T00:00:00"/>
    <d v="2023-07-19T19:43:58"/>
    <m/>
    <d v="2023-07-19T00:00:00"/>
    <n v="644"/>
    <n v="16973"/>
    <s v="61003393"/>
    <s v="61003393"/>
    <m/>
    <m/>
    <m/>
    <m/>
    <m/>
    <m/>
    <s v="SOLRECOUP"/>
    <s v="SOLRECOUP"/>
    <s v="POARECOUP"/>
    <n v="21399158"/>
    <n v="-1015.8"/>
    <m/>
    <s v="Y"/>
    <n v="1"/>
    <d v="2023-07-19T19:44:01"/>
    <s v="N"/>
    <m/>
    <m/>
    <s v="Expert Disbursement"/>
    <m/>
    <s v="N"/>
    <n v="-846.5"/>
    <n v="0"/>
    <x v="5"/>
    <s v="VALIDATED"/>
    <n v="1"/>
    <s v="01.11.80.308.2013.0000"/>
    <n v="-846.5"/>
    <s v="11"/>
    <s v="2013"/>
    <n v="14408.83"/>
    <n v="-846.5"/>
    <s v="CREDITOR"/>
    <n v="0"/>
    <n v="0"/>
    <n v="-846.5"/>
    <n v="0"/>
    <n v="0"/>
  </r>
  <r>
    <n v="61003393"/>
    <s v="N"/>
    <n v="21399197"/>
    <s v="3000015209590007RC"/>
    <s v="CIVIL"/>
    <d v="2023-06-29T00:00:00"/>
    <d v="2023-07-19T19:43:58"/>
    <m/>
    <d v="2023-07-19T00:00:00"/>
    <n v="644"/>
    <n v="16973"/>
    <s v="61003393"/>
    <s v="61003393"/>
    <m/>
    <m/>
    <m/>
    <m/>
    <m/>
    <m/>
    <s v="SOLRECOUP"/>
    <s v="SOLRECOUP"/>
    <s v="POARECOUP"/>
    <n v="21399197"/>
    <n v="-525.6"/>
    <m/>
    <s v="Y"/>
    <n v="1"/>
    <d v="2023-07-19T19:44:01"/>
    <s v="N"/>
    <m/>
    <m/>
    <s v="Expert Disbursement"/>
    <m/>
    <s v="N"/>
    <n v="-438"/>
    <n v="0"/>
    <x v="5"/>
    <s v="VALIDATED"/>
    <n v="1"/>
    <s v="01.11.80.308.2013.0000"/>
    <n v="-438"/>
    <s v="11"/>
    <s v="2013"/>
    <n v="14408.83"/>
    <n v="-438"/>
    <s v="CREDITOR"/>
    <n v="0"/>
    <n v="0"/>
    <n v="-438"/>
    <n v="0"/>
    <n v="0"/>
  </r>
  <r>
    <n v="61003393"/>
    <s v="N"/>
    <n v="21399197"/>
    <s v="3000015209590007RC"/>
    <s v="CIVIL"/>
    <d v="2023-06-29T00:00:00"/>
    <d v="2023-07-19T19:43:58"/>
    <m/>
    <d v="2023-07-19T00:00:00"/>
    <n v="644"/>
    <n v="16973"/>
    <s v="61003393"/>
    <s v="61003393"/>
    <m/>
    <m/>
    <m/>
    <m/>
    <m/>
    <m/>
    <s v="SOLRECOUP"/>
    <s v="SOLRECOUP"/>
    <s v="POARECOUP"/>
    <n v="21399197"/>
    <n v="-525.6"/>
    <m/>
    <s v="Y"/>
    <n v="2"/>
    <d v="2023-07-19T19:44:01"/>
    <s v="N"/>
    <m/>
    <m/>
    <s v="Expert Disbursement"/>
    <m/>
    <s v="N"/>
    <n v="0"/>
    <n v="-87.59999999999999"/>
    <x v="5"/>
    <s v="VALIDATED"/>
    <n v="1"/>
    <s v="01.11.80.308.2013.0000"/>
    <n v="-87.59999999999999"/>
    <s v="11"/>
    <s v="2013"/>
    <n v="14408.83"/>
    <n v="-87.59999999999999"/>
    <s v="CREDITOR"/>
    <n v="0"/>
    <n v="0"/>
    <n v="-87.59999999999999"/>
    <n v="0"/>
    <n v="0"/>
  </r>
  <r>
    <n v="61003393"/>
    <s v="N"/>
    <n v="21399198"/>
    <s v="3000015209590008RC"/>
    <s v="CIVIL"/>
    <d v="2023-06-29T00:00:00"/>
    <d v="2023-07-19T19:43:58"/>
    <m/>
    <d v="2023-07-19T00:00:00"/>
    <n v="644"/>
    <n v="16973"/>
    <s v="61003393"/>
    <s v="61003393"/>
    <m/>
    <m/>
    <m/>
    <m/>
    <m/>
    <m/>
    <s v="SOLRECOUP"/>
    <s v="SOLRECOUP"/>
    <s v="POARECOUP"/>
    <n v="21399198"/>
    <n v="-525.6"/>
    <m/>
    <s v="Y"/>
    <n v="1"/>
    <d v="2023-07-19T19:44:01"/>
    <s v="N"/>
    <m/>
    <m/>
    <s v="Expert Disbursement"/>
    <m/>
    <s v="N"/>
    <n v="-438"/>
    <n v="0"/>
    <x v="5"/>
    <s v="VALIDATED"/>
    <n v="1"/>
    <s v="01.11.80.308.2013.0000"/>
    <n v="-438"/>
    <s v="11"/>
    <s v="2013"/>
    <n v="14408.83"/>
    <n v="-438"/>
    <s v="CREDITOR"/>
    <n v="0"/>
    <n v="0"/>
    <n v="-438"/>
    <n v="0"/>
    <n v="0"/>
  </r>
  <r>
    <n v="61003393"/>
    <s v="N"/>
    <n v="21399198"/>
    <s v="3000015209590008RC"/>
    <s v="CIVIL"/>
    <d v="2023-06-29T00:00:00"/>
    <d v="2023-07-19T19:43:58"/>
    <m/>
    <d v="2023-07-19T00:00:00"/>
    <n v="644"/>
    <n v="16973"/>
    <s v="61003393"/>
    <s v="61003393"/>
    <m/>
    <m/>
    <m/>
    <m/>
    <m/>
    <m/>
    <s v="SOLRECOUP"/>
    <s v="SOLRECOUP"/>
    <s v="POARECOUP"/>
    <n v="21399198"/>
    <n v="-525.6"/>
    <m/>
    <s v="Y"/>
    <n v="2"/>
    <d v="2023-07-19T19:44:01"/>
    <s v="N"/>
    <m/>
    <m/>
    <s v="Expert Disbursement"/>
    <m/>
    <s v="N"/>
    <n v="0"/>
    <n v="-87.59999999999999"/>
    <x v="5"/>
    <s v="VALIDATED"/>
    <n v="1"/>
    <s v="01.11.80.308.2013.0000"/>
    <n v="-87.59999999999999"/>
    <s v="11"/>
    <s v="2013"/>
    <n v="14408.83"/>
    <n v="-87.59999999999999"/>
    <s v="CREDITOR"/>
    <n v="0"/>
    <n v="0"/>
    <n v="-87.59999999999999"/>
    <n v="0"/>
    <n v="0"/>
  </r>
  <r>
    <n v="61003393"/>
    <s v="N"/>
    <n v="21399207"/>
    <s v="3000015209590009RC"/>
    <s v="CIVIL"/>
    <d v="2023-06-29T00:00:00"/>
    <d v="2023-07-19T19:43:58"/>
    <m/>
    <d v="2023-07-19T00:00:00"/>
    <n v="644"/>
    <n v="16973"/>
    <s v="61003393"/>
    <s v="61003393"/>
    <m/>
    <m/>
    <m/>
    <m/>
    <m/>
    <m/>
    <s v="SOLRECOUP"/>
    <s v="SOLRECOUP"/>
    <s v="POARECOUP"/>
    <n v="21399207"/>
    <n v="-525.6"/>
    <m/>
    <s v="Y"/>
    <n v="2"/>
    <d v="2023-07-19T19:44:01"/>
    <s v="N"/>
    <m/>
    <m/>
    <s v="Expert Disbursement"/>
    <m/>
    <s v="N"/>
    <n v="0"/>
    <n v="-87.59999999999999"/>
    <x v="5"/>
    <s v="VALIDATED"/>
    <n v="1"/>
    <s v="01.11.80.308.2013.0000"/>
    <n v="-87.59999999999999"/>
    <s v="11"/>
    <s v="2013"/>
    <n v="14408.83"/>
    <n v="-87.59999999999999"/>
    <s v="CREDITOR"/>
    <n v="0"/>
    <n v="0"/>
    <n v="-87.59999999999999"/>
    <n v="0"/>
    <n v="0"/>
  </r>
  <r>
    <n v="61003393"/>
    <s v="N"/>
    <n v="21399207"/>
    <s v="3000015209590009RC"/>
    <s v="CIVIL"/>
    <d v="2023-06-29T00:00:00"/>
    <d v="2023-07-19T19:43:58"/>
    <m/>
    <d v="2023-07-19T00:00:00"/>
    <n v="644"/>
    <n v="16973"/>
    <s v="61003393"/>
    <s v="61003393"/>
    <m/>
    <m/>
    <m/>
    <m/>
    <m/>
    <m/>
    <s v="SOLRECOUP"/>
    <s v="SOLRECOUP"/>
    <s v="POARECOUP"/>
    <n v="21399207"/>
    <n v="-525.6"/>
    <m/>
    <s v="Y"/>
    <n v="1"/>
    <d v="2023-07-19T19:44:01"/>
    <s v="N"/>
    <m/>
    <m/>
    <s v="Expert Disbursement"/>
    <m/>
    <s v="N"/>
    <n v="-438"/>
    <n v="0"/>
    <x v="5"/>
    <s v="VALIDATED"/>
    <n v="1"/>
    <s v="01.11.80.308.2013.0000"/>
    <n v="-438"/>
    <s v="11"/>
    <s v="2013"/>
    <n v="14408.83"/>
    <n v="-438"/>
    <s v="CREDITOR"/>
    <n v="0"/>
    <n v="0"/>
    <n v="-438"/>
    <n v="0"/>
    <n v="0"/>
  </r>
  <r>
    <n v="61003393"/>
    <s v="N"/>
    <n v="21399252"/>
    <s v="3000015209590012RC"/>
    <s v="CIVIL"/>
    <d v="2023-06-29T00:00:00"/>
    <d v="2023-07-19T19:43:58"/>
    <m/>
    <d v="2023-07-19T00:00:00"/>
    <n v="644"/>
    <n v="16973"/>
    <s v="61003393"/>
    <s v="61003393"/>
    <m/>
    <m/>
    <m/>
    <m/>
    <m/>
    <m/>
    <s v="SOLRECOUP"/>
    <s v="SOLRECOUP"/>
    <s v="POARECOUP"/>
    <n v="21399252"/>
    <n v="-128.47"/>
    <m/>
    <s v="Y"/>
    <n v="2"/>
    <d v="2023-07-19T19:44:02"/>
    <s v="N"/>
    <m/>
    <m/>
    <s v="Expert Disbursement"/>
    <m/>
    <s v="N"/>
    <n v="0"/>
    <n v="-21.41"/>
    <x v="5"/>
    <s v="VALIDATED"/>
    <n v="1"/>
    <s v="01.11.80.308.2013.0000"/>
    <n v="-21.41"/>
    <s v="11"/>
    <s v="2013"/>
    <n v="14408.83"/>
    <n v="-21.41"/>
    <s v="CREDITOR"/>
    <n v="0"/>
    <n v="0"/>
    <n v="-21.41"/>
    <n v="0"/>
    <n v="0"/>
  </r>
  <r>
    <n v="59449193"/>
    <s v="N"/>
    <n v="21360935"/>
    <s v="3000013887990009"/>
    <s v="CIVIL"/>
    <d v="2023-06-28T00:00:00"/>
    <d v="2023-07-11T19:00:25"/>
    <m/>
    <d v="2023-07-11T00:00:00"/>
    <n v="644"/>
    <n v="16973"/>
    <s v="59449193"/>
    <s v="59449193"/>
    <m/>
    <m/>
    <n v="22778582"/>
    <m/>
    <m/>
    <m/>
    <s v="SOLFIN"/>
    <s v="SOLFIN"/>
    <s v="CCMS"/>
    <n v="21360935"/>
    <n v="16082.66"/>
    <m/>
    <s v="N"/>
    <n v="9"/>
    <d v="2023-07-11T19:00:40"/>
    <s v="Y"/>
    <s v="Hearing Unit 2.31 - 5.00 Hours"/>
    <s v="Public Law Children"/>
    <s v="Advocacy"/>
    <s v="KC"/>
    <s v="Y"/>
    <n v="476.92"/>
    <n v="95.38"/>
    <x v="7"/>
    <s v="VALIDATED"/>
    <n v="1"/>
    <s v="01.11.80.308.6100.0000"/>
    <n v="476.92"/>
    <s v="11"/>
    <s v="6100"/>
    <n v="14408.83"/>
    <n v="476.92"/>
    <s v="CREDITOR"/>
    <n v="0"/>
    <n v="0"/>
    <n v="0"/>
    <n v="0"/>
    <n v="476.92"/>
  </r>
  <r>
    <n v="59449193"/>
    <s v="N"/>
    <n v="21360935"/>
    <s v="3000013887990009"/>
    <s v="CIVIL"/>
    <d v="2023-06-28T00:00:00"/>
    <d v="2023-07-11T19:00:25"/>
    <m/>
    <d v="2023-07-11T00:00:00"/>
    <n v="644"/>
    <n v="16973"/>
    <s v="59449193"/>
    <s v="59449193"/>
    <m/>
    <m/>
    <n v="22778582"/>
    <m/>
    <m/>
    <m/>
    <s v="SOLFIN"/>
    <s v="SOLFIN"/>
    <s v="CCMS"/>
    <n v="21360935"/>
    <n v="16082.66"/>
    <m/>
    <s v="N"/>
    <n v="6"/>
    <d v="2023-07-11T19:00:40"/>
    <s v="Y"/>
    <s v="Toxicologist"/>
    <s v="Public Law Children"/>
    <s v="Expert Disbursement"/>
    <s v="KC"/>
    <s v="Y"/>
    <n v="792.5"/>
    <n v="158.5"/>
    <x v="7"/>
    <s v="VALIDATED"/>
    <n v="1"/>
    <s v="01.11.80.308.6300.0000"/>
    <n v="792.5"/>
    <s v="11"/>
    <s v="6300"/>
    <n v="14408.83"/>
    <n v="792.5"/>
    <s v="CREDITOR"/>
    <n v="0"/>
    <n v="0"/>
    <n v="0"/>
    <n v="0"/>
    <n v="792.5"/>
  </r>
  <r>
    <n v="61122459"/>
    <s v="N"/>
    <n v="21321078"/>
    <s v="3000015309980021"/>
    <s v="CIVIL"/>
    <d v="2023-06-28T00:00:00"/>
    <d v="2023-07-03T19:04:52"/>
    <m/>
    <d v="2023-07-03T00:00:00"/>
    <n v="644"/>
    <n v="16973"/>
    <s v="61122459"/>
    <s v="61122459"/>
    <m/>
    <m/>
    <n v="22781496"/>
    <m/>
    <m/>
    <m/>
    <s v="SOLPOA"/>
    <s v="SOLPOA"/>
    <s v="CCMS"/>
    <n v="21321078"/>
    <n v="129.6"/>
    <m/>
    <s v="N"/>
    <n v="1"/>
    <d v="2023-07-03T19:04:57"/>
    <s v="N"/>
    <s v="Expert Cost"/>
    <s v="Expert Cost"/>
    <s v="Expert Disbursement"/>
    <s v="Siobhan Downes"/>
    <s v="N"/>
    <n v="108"/>
    <n v="21.6"/>
    <x v="3"/>
    <s v="VALIDATED"/>
    <n v="1"/>
    <s v="01.11.80.308.2012.0000"/>
    <n v="108"/>
    <s v="11"/>
    <s v="2012"/>
    <n v="14408.83"/>
    <n v="108"/>
    <s v="CREDITOR"/>
    <n v="108"/>
    <n v="0"/>
    <n v="0"/>
    <n v="0"/>
    <n v="0"/>
  </r>
  <r>
    <n v="10546763"/>
    <s v="N"/>
    <n v="21321839"/>
    <s v="3000006381080011"/>
    <s v="CIVIL"/>
    <d v="2023-06-29T00:00:00"/>
    <d v="2023-07-03T19:05:17"/>
    <m/>
    <d v="2023-07-03T00:00:00"/>
    <n v="644"/>
    <n v="16973"/>
    <s v="10546763"/>
    <s v="10546763"/>
    <m/>
    <m/>
    <n v="22786372"/>
    <m/>
    <m/>
    <m/>
    <s v="SOLPOA"/>
    <s v="SOLPOA"/>
    <s v="CCMS"/>
    <n v="21321839"/>
    <n v="65.53"/>
    <m/>
    <s v="N"/>
    <n v="1"/>
    <d v="2023-07-03T19:05:21"/>
    <s v="N"/>
    <s v="Expert Cost"/>
    <s v="Expert Cost"/>
    <s v="Expert Disbursement"/>
    <s v="Siobhan Downes"/>
    <s v="N"/>
    <n v="65.53"/>
    <n v="0"/>
    <x v="3"/>
    <s v="VALIDATED"/>
    <n v="1"/>
    <s v="01.11.80.307.2012.0000"/>
    <n v="65.53"/>
    <s v="11"/>
    <s v="2012"/>
    <n v="14408.83"/>
    <n v="65.53"/>
    <s v="CREDITOR"/>
    <n v="65.53"/>
    <n v="0"/>
    <n v="0"/>
    <n v="0"/>
    <n v="0"/>
  </r>
  <r>
    <n v="61122459"/>
    <s v="N"/>
    <n v="21321127"/>
    <s v="3000015309980022"/>
    <s v="CIVIL"/>
    <d v="2023-06-28T00:00:00"/>
    <d v="2023-07-03T19:04:52"/>
    <m/>
    <d v="2023-07-03T00:00:00"/>
    <n v="644"/>
    <n v="16973"/>
    <s v="61122459"/>
    <s v="61122459"/>
    <m/>
    <m/>
    <n v="22781528"/>
    <m/>
    <m/>
    <m/>
    <s v="SOLPOA"/>
    <s v="SOLPOA"/>
    <s v="CCMS"/>
    <n v="21321127"/>
    <n v="97.2"/>
    <m/>
    <s v="N"/>
    <n v="1"/>
    <d v="2023-07-03T19:04:58"/>
    <s v="N"/>
    <s v="Expert Cost"/>
    <s v="Expert Cost"/>
    <s v="Expert Disbursement"/>
    <s v="Siobhan Downes"/>
    <s v="N"/>
    <n v="81"/>
    <n v="16.2"/>
    <x v="3"/>
    <s v="VALIDATED"/>
    <n v="1"/>
    <s v="01.11.80.308.2012.0000"/>
    <n v="81"/>
    <s v="11"/>
    <s v="2012"/>
    <n v="14408.83"/>
    <n v="81"/>
    <s v="CREDITOR"/>
    <n v="81"/>
    <n v="0"/>
    <n v="0"/>
    <n v="0"/>
    <n v="0"/>
  </r>
  <r>
    <n v="10546763"/>
    <s v="N"/>
    <n v="21321685"/>
    <s v="3000006381080010"/>
    <s v="CIVIL"/>
    <d v="2023-06-29T00:00:00"/>
    <d v="2023-07-03T19:05:17"/>
    <m/>
    <d v="2023-07-03T00:00:00"/>
    <n v="644"/>
    <n v="16973"/>
    <s v="10546763"/>
    <s v="10546763"/>
    <m/>
    <m/>
    <n v="22786346"/>
    <m/>
    <m/>
    <m/>
    <s v="SOLPOA"/>
    <s v="SOLPOA"/>
    <s v="CCMS"/>
    <n v="21321685"/>
    <n v="30.43"/>
    <m/>
    <s v="N"/>
    <n v="1"/>
    <d v="2023-07-03T19:05:20"/>
    <s v="N"/>
    <s v="Expert Cost"/>
    <s v="Expert Cost"/>
    <s v="Expert Disbursement"/>
    <s v="Siobhan Downes"/>
    <s v="N"/>
    <n v="30.43"/>
    <n v="0"/>
    <x v="3"/>
    <s v="VALIDATED"/>
    <n v="1"/>
    <s v="01.11.80.307.2012.0000"/>
    <n v="30.43"/>
    <s v="11"/>
    <s v="2012"/>
    <n v="14408.83"/>
    <n v="30.43"/>
    <s v="CREDITOR"/>
    <n v="30.43"/>
    <n v="0"/>
    <n v="0"/>
    <n v="0"/>
    <n v="0"/>
  </r>
  <r>
    <n v="62055418"/>
    <s v="N"/>
    <n v="21323887"/>
    <s v="3000016089490005"/>
    <s v="CIVIL"/>
    <d v="2023-06-30T00:00:00"/>
    <d v="2023-07-03T19:05:56"/>
    <m/>
    <d v="2023-07-03T00:00:00"/>
    <n v="644"/>
    <n v="16973"/>
    <s v="62055418"/>
    <s v="62055418"/>
    <m/>
    <m/>
    <n v="22796904"/>
    <m/>
    <m/>
    <m/>
    <s v="SOLPOA"/>
    <s v="SOLPOA"/>
    <s v="CCMS"/>
    <n v="21323887"/>
    <n v="1008.3"/>
    <m/>
    <s v="N"/>
    <n v="1"/>
    <d v="2023-07-03T19:05:59"/>
    <s v="N"/>
    <s v="Expert Cost"/>
    <s v="Expert Cost"/>
    <s v="Expert Disbursement"/>
    <s v="Siobhan Downes"/>
    <s v="N"/>
    <n v="840.25"/>
    <n v="168.05"/>
    <x v="3"/>
    <s v="VALIDATED"/>
    <n v="1"/>
    <s v="01.11.80.308.2012.0000"/>
    <n v="840.25"/>
    <s v="11"/>
    <s v="2012"/>
    <n v="14408.83"/>
    <n v="840.25"/>
    <s v="CREDITOR"/>
    <n v="840.25"/>
    <n v="0"/>
    <n v="0"/>
    <n v="0"/>
    <n v="0"/>
  </r>
  <r>
    <n v="60089279"/>
    <s v="N"/>
    <n v="21327895"/>
    <s v="3000014382230008"/>
    <s v="CIVIL"/>
    <d v="2023-06-27T00:00:00"/>
    <d v="2023-07-04T19:00:44"/>
    <m/>
    <d v="2023-07-04T00:00:00"/>
    <n v="644"/>
    <n v="16973"/>
    <s v="60089279"/>
    <s v="60089279"/>
    <m/>
    <m/>
    <n v="22771844"/>
    <m/>
    <m/>
    <m/>
    <s v="SOLFIN"/>
    <s v="SOLFIN"/>
    <s v="CCMS"/>
    <n v="21327895"/>
    <n v="3933.57"/>
    <m/>
    <s v="N"/>
    <n v="3"/>
    <d v="2023-07-04T19:00:57"/>
    <s v="Y"/>
    <s v="Court Fee"/>
    <s v="Private Law Children"/>
    <s v="Non Expert Disbursement"/>
    <s v="KC"/>
    <s v="Y"/>
    <n v="53"/>
    <n v="0"/>
    <x v="1"/>
    <s v="VALIDATED"/>
    <n v="1"/>
    <s v="01.11.80.307.6300.0000"/>
    <n v="53"/>
    <s v="11"/>
    <s v="6300"/>
    <n v="14408.83"/>
    <n v="53"/>
    <s v="CREDITOR"/>
    <n v="0"/>
    <n v="0"/>
    <n v="0"/>
    <n v="0"/>
    <n v="53"/>
  </r>
  <r>
    <n v="62138282"/>
    <s v="N"/>
    <n v="21319333"/>
    <s v="3000016159610013"/>
    <s v="CIVIL"/>
    <d v="2023-06-27T00:00:00"/>
    <d v="2023-07-03T19:04:24"/>
    <m/>
    <d v="2023-07-03T00:00:00"/>
    <n v="644"/>
    <n v="16973"/>
    <s v="62138282"/>
    <s v="62138282"/>
    <m/>
    <m/>
    <n v="22774404"/>
    <m/>
    <m/>
    <m/>
    <s v="SOLPOA"/>
    <s v="SOLPOA"/>
    <s v="CCMS"/>
    <n v="21319333"/>
    <n v="67.2"/>
    <m/>
    <s v="N"/>
    <n v="1"/>
    <d v="2023-07-03T19:04:25"/>
    <s v="N"/>
    <s v="Expert Cost"/>
    <s v="Expert Cost"/>
    <s v="Expert Disbursement"/>
    <s v="Siobhan Downes"/>
    <s v="N"/>
    <n v="56"/>
    <n v="11.2"/>
    <x v="3"/>
    <s v="VALIDATED"/>
    <n v="1"/>
    <s v="01.11.80.308.2012.0000"/>
    <n v="56"/>
    <s v="11"/>
    <s v="2012"/>
    <n v="14408.83"/>
    <n v="56"/>
    <s v="CREDITOR"/>
    <n v="56"/>
    <n v="0"/>
    <n v="0"/>
    <n v="0"/>
    <n v="0"/>
  </r>
  <r>
    <n v="59449193"/>
    <s v="N"/>
    <n v="21360935"/>
    <s v="3000013887990009"/>
    <s v="CIVIL"/>
    <d v="2023-06-28T00:00:00"/>
    <d v="2023-07-11T19:00:25"/>
    <m/>
    <d v="2023-07-11T00:00:00"/>
    <n v="644"/>
    <n v="16973"/>
    <s v="59449193"/>
    <s v="59449193"/>
    <m/>
    <m/>
    <n v="22778582"/>
    <m/>
    <m/>
    <m/>
    <s v="SOLFIN"/>
    <s v="SOLFIN"/>
    <s v="CCMS"/>
    <n v="21360935"/>
    <n v="16082.66"/>
    <m/>
    <s v="N"/>
    <n v="4"/>
    <d v="2023-07-11T19:00:40"/>
    <s v="Y"/>
    <s v="Toxicologist"/>
    <s v="Public Law Children"/>
    <s v="Expert Disbursement"/>
    <s v="KC"/>
    <s v="Y"/>
    <n v="455"/>
    <n v="91"/>
    <x v="7"/>
    <s v="VALIDATED"/>
    <n v="1"/>
    <s v="01.11.80.308.6300.0000"/>
    <n v="455"/>
    <s v="11"/>
    <s v="6300"/>
    <n v="14408.83"/>
    <n v="455"/>
    <s v="CREDITOR"/>
    <n v="0"/>
    <n v="0"/>
    <n v="0"/>
    <n v="0"/>
    <n v="455"/>
  </r>
  <r>
    <n v="10419935"/>
    <s v="N"/>
    <n v="21395260"/>
    <s v="3000006267650001"/>
    <s v="CIVIL"/>
    <d v="2022-11-16T00:00:00"/>
    <d v="2023-07-19T19:02:01"/>
    <m/>
    <d v="2023-07-19T00:00:00"/>
    <n v="644"/>
    <n v="16973"/>
    <s v="10419935"/>
    <s v="10419935"/>
    <m/>
    <m/>
    <n v="21392668"/>
    <m/>
    <m/>
    <m/>
    <s v="SOLFIN"/>
    <s v="SOLFIN"/>
    <s v="CCMS"/>
    <n v="21395260"/>
    <n v="423.6"/>
    <m/>
    <s v="N"/>
    <n v="1"/>
    <d v="2023-07-19T19:02:19"/>
    <s v="Y"/>
    <s v="Level 3 Fixed Fee"/>
    <s v="Private Law Children"/>
    <s v="Profit Cost"/>
    <s v="SD"/>
    <s v="Y"/>
    <n v="353"/>
    <n v="70.59999999999999"/>
    <x v="5"/>
    <s v="VALIDATED"/>
    <n v="1"/>
    <s v="01.11.80.307.6100.0000"/>
    <n v="353"/>
    <s v="11"/>
    <s v="6100"/>
    <n v="14408.83"/>
    <n v="353"/>
    <s v="CREDITOR"/>
    <n v="0"/>
    <n v="0"/>
    <n v="0"/>
    <n v="0"/>
    <n v="353"/>
  </r>
  <r>
    <n v="59449193"/>
    <s v="N"/>
    <n v="21360935"/>
    <s v="3000013887990009"/>
    <s v="CIVIL"/>
    <d v="2023-06-28T00:00:00"/>
    <d v="2023-07-11T19:00:25"/>
    <m/>
    <d v="2023-07-11T00:00:00"/>
    <n v="644"/>
    <n v="16973"/>
    <s v="59449193"/>
    <s v="59449193"/>
    <m/>
    <m/>
    <n v="22778582"/>
    <m/>
    <m/>
    <m/>
    <s v="SOLFIN"/>
    <s v="SOLFIN"/>
    <s v="CCMS"/>
    <n v="21360935"/>
    <n v="16082.66"/>
    <m/>
    <s v="N"/>
    <n v="2"/>
    <d v="2023-07-11T19:00:40"/>
    <s v="Y"/>
    <s v="Toxicologist"/>
    <s v="Public Law Children"/>
    <s v="Expert Disbursement"/>
    <s v="KC"/>
    <s v="Y"/>
    <n v="518.75"/>
    <n v="103.75"/>
    <x v="7"/>
    <s v="VALIDATED"/>
    <n v="1"/>
    <s v="01.11.80.308.6300.0000"/>
    <n v="518.75"/>
    <s v="11"/>
    <s v="6300"/>
    <n v="14408.83"/>
    <n v="518.75"/>
    <s v="CREDITOR"/>
    <n v="0"/>
    <n v="0"/>
    <n v="0"/>
    <n v="0"/>
    <n v="518.75"/>
  </r>
  <r>
    <n v="62325022"/>
    <s v="N"/>
    <n v="21322709"/>
    <s v="3000016313090001"/>
    <s v="CIVIL"/>
    <d v="2023-06-29T00:00:00"/>
    <d v="2023-07-03T19:05:36"/>
    <m/>
    <d v="2023-07-03T00:00:00"/>
    <n v="644"/>
    <n v="16973"/>
    <s v="62325022"/>
    <s v="62325022"/>
    <m/>
    <m/>
    <n v="22792002"/>
    <m/>
    <m/>
    <m/>
    <s v="SOLPOA"/>
    <s v="SOLPOA"/>
    <s v="CCMS"/>
    <n v="21322709"/>
    <n v="496.56"/>
    <m/>
    <s v="N"/>
    <n v="1"/>
    <d v="2023-07-03T19:05:39"/>
    <s v="N"/>
    <s v="Expert Cost"/>
    <s v="Expert Cost"/>
    <s v="Expert Disbursement"/>
    <s v="Siobhan Downes"/>
    <s v="N"/>
    <n v="413.8"/>
    <n v="82.76000000000001"/>
    <x v="3"/>
    <s v="VALIDATED"/>
    <n v="1"/>
    <s v="01.11.80.308.2012.0000"/>
    <n v="413.8"/>
    <s v="11"/>
    <s v="2012"/>
    <n v="14408.83"/>
    <n v="413.8"/>
    <s v="CREDITOR"/>
    <n v="413.8"/>
    <n v="0"/>
    <n v="0"/>
    <n v="0"/>
    <n v="0"/>
  </r>
  <r>
    <n v="60380180"/>
    <s v="N"/>
    <n v="21320834"/>
    <s v="3000014672190014"/>
    <s v="CIVIL"/>
    <d v="2023-06-28T00:00:00"/>
    <d v="2023-07-03T19:04:52"/>
    <m/>
    <d v="2023-07-03T00:00:00"/>
    <n v="644"/>
    <n v="16973"/>
    <s v="60380180"/>
    <s v="60380180"/>
    <m/>
    <m/>
    <n v="22781174"/>
    <m/>
    <m/>
    <m/>
    <s v="SOLPOA"/>
    <s v="SOLPOA"/>
    <s v="CCMS"/>
    <n v="21320834"/>
    <n v="1151.72"/>
    <m/>
    <s v="N"/>
    <n v="1"/>
    <d v="2023-07-03T19:04:56"/>
    <s v="N"/>
    <s v="Expert Cost"/>
    <s v="Expert Cost"/>
    <s v="Expert Disbursement"/>
    <s v="Siobhan Downes"/>
    <s v="N"/>
    <n v="1151.72"/>
    <n v="0"/>
    <x v="3"/>
    <s v="VALIDATED"/>
    <n v="1"/>
    <s v="01.11.80.308.2012.0000"/>
    <n v="1151.72"/>
    <s v="11"/>
    <s v="2012"/>
    <n v="14408.83"/>
    <n v="1151.72"/>
    <s v="CREDITOR"/>
    <n v="1151.72"/>
    <n v="0"/>
    <n v="0"/>
    <n v="0"/>
    <n v="0"/>
  </r>
  <r>
    <n v="60089279"/>
    <s v="N"/>
    <n v="21327895"/>
    <s v="3000014382230008"/>
    <s v="CIVIL"/>
    <d v="2023-06-27T00:00:00"/>
    <d v="2023-07-04T19:00:44"/>
    <m/>
    <d v="2023-07-04T00:00:00"/>
    <n v="644"/>
    <n v="16973"/>
    <s v="60089279"/>
    <s v="60089279"/>
    <m/>
    <m/>
    <n v="22771844"/>
    <m/>
    <m/>
    <m/>
    <s v="SOLFIN"/>
    <s v="SOLFIN"/>
    <s v="CCMS"/>
    <n v="21327895"/>
    <n v="3933.57"/>
    <m/>
    <s v="N"/>
    <n v="5"/>
    <d v="2023-07-04T19:00:57"/>
    <s v="Y"/>
    <s v="Hearing Unit 0.00 - 1.00 Hours"/>
    <s v="Private Law Children"/>
    <s v="Advocacy"/>
    <s v="KC"/>
    <s v="Y"/>
    <n v="62.69"/>
    <n v="12.54"/>
    <x v="1"/>
    <s v="VALIDATED"/>
    <n v="1"/>
    <s v="01.11.80.307.6100.0000"/>
    <n v="62.69"/>
    <s v="11"/>
    <s v="6100"/>
    <n v="14408.83"/>
    <n v="62.69"/>
    <s v="CREDITOR"/>
    <n v="0"/>
    <n v="0"/>
    <n v="0"/>
    <n v="0"/>
    <n v="62.69"/>
  </r>
  <r>
    <n v="59449193"/>
    <s v="N"/>
    <n v="21360935"/>
    <s v="3000013887990009"/>
    <s v="CIVIL"/>
    <d v="2023-06-28T00:00:00"/>
    <d v="2023-07-11T19:00:25"/>
    <m/>
    <d v="2023-07-11T00:00:00"/>
    <n v="644"/>
    <n v="16973"/>
    <s v="59449193"/>
    <s v="59449193"/>
    <m/>
    <m/>
    <n v="22778582"/>
    <m/>
    <m/>
    <m/>
    <s v="SOLFIN"/>
    <s v="SOLFIN"/>
    <s v="CCMS"/>
    <n v="21360935"/>
    <n v="16082.66"/>
    <m/>
    <s v="N"/>
    <n v="7"/>
    <d v="2023-07-11T19:00:40"/>
    <s v="Y"/>
    <s v="Advocates Meeting"/>
    <s v="Public Law Children"/>
    <s v="Advocacy"/>
    <s v="KC"/>
    <s v="Y"/>
    <n v="140.99"/>
    <n v="28.2"/>
    <x v="7"/>
    <s v="VALIDATED"/>
    <n v="1"/>
    <s v="01.11.80.308.6100.0000"/>
    <n v="140.99"/>
    <s v="11"/>
    <s v="6100"/>
    <n v="14408.83"/>
    <n v="140.99"/>
    <s v="CREDITOR"/>
    <n v="0"/>
    <n v="0"/>
    <n v="0"/>
    <n v="0"/>
    <n v="140.99"/>
  </r>
  <r>
    <n v="61122459"/>
    <s v="N"/>
    <n v="21320973"/>
    <s v="3000015309980020"/>
    <s v="CIVIL"/>
    <d v="2023-06-28T00:00:00"/>
    <d v="2023-07-03T19:04:52"/>
    <m/>
    <d v="2023-07-03T00:00:00"/>
    <n v="644"/>
    <n v="16973"/>
    <s v="61122459"/>
    <s v="61122459"/>
    <m/>
    <m/>
    <n v="22781464"/>
    <m/>
    <m/>
    <m/>
    <s v="SOLPOA"/>
    <s v="SOLPOA"/>
    <s v="CCMS"/>
    <n v="21320973"/>
    <n v="64.8"/>
    <m/>
    <s v="N"/>
    <n v="1"/>
    <d v="2023-07-03T19:04:57"/>
    <s v="N"/>
    <s v="Expert Cost"/>
    <s v="Expert Cost"/>
    <s v="Expert Disbursement"/>
    <s v="Siobhan Downes"/>
    <s v="N"/>
    <n v="54"/>
    <n v="10.8"/>
    <x v="3"/>
    <s v="VALIDATED"/>
    <n v="1"/>
    <s v="01.11.80.308.2012.0000"/>
    <n v="54"/>
    <s v="11"/>
    <s v="2012"/>
    <n v="14408.83"/>
    <n v="54"/>
    <s v="CREDITOR"/>
    <n v="54"/>
    <n v="0"/>
    <n v="0"/>
    <n v="0"/>
    <n v="0"/>
  </r>
  <r>
    <n v="59449193"/>
    <s v="N"/>
    <n v="21360935"/>
    <s v="3000013887990009"/>
    <s v="CIVIL"/>
    <d v="2023-06-28T00:00:00"/>
    <d v="2023-07-11T19:00:25"/>
    <m/>
    <d v="2023-07-11T00:00:00"/>
    <n v="644"/>
    <n v="16973"/>
    <s v="59449193"/>
    <s v="59449193"/>
    <m/>
    <m/>
    <n v="22778582"/>
    <m/>
    <m/>
    <m/>
    <s v="SOLFIN"/>
    <s v="SOLFIN"/>
    <s v="CCMS"/>
    <n v="21360935"/>
    <n v="16082.66"/>
    <m/>
    <s v="N"/>
    <n v="5"/>
    <d v="2023-07-11T19:00:40"/>
    <s v="Y"/>
    <s v="Psychologist"/>
    <s v="Public Law Children"/>
    <s v="Expert Disbursement"/>
    <s v="KC"/>
    <s v="Y"/>
    <n v="234"/>
    <n v="46.8"/>
    <x v="7"/>
    <s v="VALIDATED"/>
    <n v="1"/>
    <s v="01.11.80.308.6300.0000"/>
    <n v="234"/>
    <s v="11"/>
    <s v="6300"/>
    <n v="14408.83"/>
    <n v="234"/>
    <s v="CREDITOR"/>
    <n v="0"/>
    <n v="0"/>
    <n v="0"/>
    <n v="0"/>
    <n v="234"/>
  </r>
  <r>
    <n v="60089279"/>
    <s v="N"/>
    <n v="21327895"/>
    <s v="3000014382230008"/>
    <s v="CIVIL"/>
    <d v="2023-06-27T00:00:00"/>
    <d v="2023-07-04T19:00:44"/>
    <m/>
    <d v="2023-07-04T00:00:00"/>
    <n v="644"/>
    <n v="16973"/>
    <s v="60089279"/>
    <s v="60089279"/>
    <m/>
    <m/>
    <n v="22771844"/>
    <m/>
    <m/>
    <m/>
    <s v="SOLFIN"/>
    <s v="SOLFIN"/>
    <s v="CCMS"/>
    <n v="21327895"/>
    <n v="3933.57"/>
    <m/>
    <s v="N"/>
    <n v="1"/>
    <d v="2023-07-04T19:00:57"/>
    <s v="Y"/>
    <s v="Profit Costs (Summary)"/>
    <s v="Private Law Children"/>
    <s v="Profit Cost"/>
    <s v="KC"/>
    <s v="Y"/>
    <n v="2701.8"/>
    <n v="540.36"/>
    <x v="1"/>
    <s v="VALIDATED"/>
    <n v="1"/>
    <s v="01.11.80.307.6100.0000"/>
    <n v="2701.8"/>
    <s v="11"/>
    <s v="6100"/>
    <n v="14408.83"/>
    <n v="2701.8"/>
    <s v="CREDITOR"/>
    <n v="0"/>
    <n v="0"/>
    <n v="0"/>
    <n v="0"/>
    <n v="2701.8"/>
  </r>
  <r>
    <n v="59449193"/>
    <s v="N"/>
    <n v="21360935"/>
    <s v="3000013887990009"/>
    <s v="CIVIL"/>
    <d v="2023-06-28T00:00:00"/>
    <d v="2023-07-11T19:00:25"/>
    <m/>
    <d v="2023-07-11T00:00:00"/>
    <n v="644"/>
    <n v="16973"/>
    <s v="59449193"/>
    <s v="59449193"/>
    <m/>
    <m/>
    <n v="22778582"/>
    <m/>
    <m/>
    <m/>
    <s v="SOLFIN"/>
    <s v="SOLFIN"/>
    <s v="CCMS"/>
    <n v="21360935"/>
    <n v="16082.66"/>
    <m/>
    <s v="N"/>
    <n v="10"/>
    <d v="2023-07-11T19:00:40"/>
    <s v="Y"/>
    <s v="Advocates Meeting"/>
    <s v="Public Law Children"/>
    <s v="Advocacy"/>
    <s v="KC"/>
    <s v="Y"/>
    <n v="140.99"/>
    <n v="28.2"/>
    <x v="7"/>
    <s v="VALIDATED"/>
    <n v="1"/>
    <s v="01.11.80.308.6100.0000"/>
    <n v="140.99"/>
    <s v="11"/>
    <s v="6100"/>
    <n v="14408.83"/>
    <n v="140.99"/>
    <s v="CREDITOR"/>
    <n v="0"/>
    <n v="0"/>
    <n v="0"/>
    <n v="0"/>
    <n v="140.99"/>
  </r>
  <r>
    <n v="60089279"/>
    <s v="N"/>
    <n v="21327895"/>
    <s v="3000014382230008"/>
    <s v="CIVIL"/>
    <d v="2023-06-27T00:00:00"/>
    <d v="2023-07-04T19:00:44"/>
    <m/>
    <d v="2023-07-04T00:00:00"/>
    <n v="644"/>
    <n v="16973"/>
    <s v="60089279"/>
    <s v="60089279"/>
    <m/>
    <m/>
    <n v="22771844"/>
    <m/>
    <m/>
    <m/>
    <s v="SOLFIN"/>
    <s v="SOLFIN"/>
    <s v="CCMS"/>
    <n v="21327895"/>
    <n v="3933.57"/>
    <m/>
    <s v="N"/>
    <n v="6"/>
    <d v="2023-07-04T19:00:57"/>
    <s v="Y"/>
    <s v="Hearing Unit 2.31 - 5.00 Hours"/>
    <s v="Private Law Children"/>
    <s v="Advocacy"/>
    <s v="KC"/>
    <s v="Y"/>
    <n v="313.48"/>
    <n v="62.7"/>
    <x v="1"/>
    <s v="VALIDATED"/>
    <n v="1"/>
    <s v="01.11.80.307.6100.0000"/>
    <n v="313.48"/>
    <s v="11"/>
    <s v="6100"/>
    <n v="14408.83"/>
    <n v="313.48"/>
    <s v="CREDITOR"/>
    <n v="0"/>
    <n v="0"/>
    <n v="0"/>
    <n v="0"/>
    <n v="313.48"/>
  </r>
  <r>
    <n v="60089279"/>
    <s v="N"/>
    <n v="21327895"/>
    <s v="3000014382230008"/>
    <s v="CIVIL"/>
    <d v="2023-06-27T00:00:00"/>
    <d v="2023-07-04T19:00:44"/>
    <m/>
    <d v="2023-07-04T00:00:00"/>
    <n v="644"/>
    <n v="16973"/>
    <s v="60089279"/>
    <s v="60089279"/>
    <m/>
    <m/>
    <n v="22771844"/>
    <m/>
    <m/>
    <m/>
    <s v="SOLFIN"/>
    <s v="SOLFIN"/>
    <s v="CCMS"/>
    <n v="21327895"/>
    <n v="3933.57"/>
    <m/>
    <s v="N"/>
    <n v="2"/>
    <d v="2023-07-04T19:00:57"/>
    <s v="Y"/>
    <s v="Court Fee"/>
    <s v="Private Law Children"/>
    <s v="Non Expert Disbursement"/>
    <s v="KC"/>
    <s v="Y"/>
    <n v="167"/>
    <n v="0"/>
    <x v="1"/>
    <s v="VALIDATED"/>
    <n v="1"/>
    <s v="01.11.80.307.6300.0000"/>
    <n v="167"/>
    <s v="11"/>
    <s v="6300"/>
    <n v="14408.83"/>
    <n v="167"/>
    <s v="CREDITOR"/>
    <n v="0"/>
    <n v="0"/>
    <n v="0"/>
    <n v="0"/>
    <n v="167"/>
  </r>
  <r>
    <n v="61748772"/>
    <s v="N"/>
    <n v="21323917"/>
    <s v="3000015829240004"/>
    <s v="CIVIL"/>
    <d v="2023-06-30T00:00:00"/>
    <d v="2023-07-03T19:05:56"/>
    <m/>
    <d v="2023-07-03T00:00:00"/>
    <n v="644"/>
    <n v="16973"/>
    <s v="61748772"/>
    <s v="61748772"/>
    <m/>
    <m/>
    <n v="22800522"/>
    <m/>
    <m/>
    <m/>
    <s v="SOLPOA"/>
    <s v="SOLPOA"/>
    <s v="CCMS"/>
    <n v="21323917"/>
    <n v="620.7"/>
    <m/>
    <s v="N"/>
    <n v="1"/>
    <d v="2023-07-03T19:05:59"/>
    <s v="N"/>
    <s v="Expert Cost"/>
    <s v="Expert Cost"/>
    <s v="Expert Disbursement"/>
    <s v="Siobhan Downes"/>
    <s v="N"/>
    <n v="517.25"/>
    <n v="103.45"/>
    <x v="3"/>
    <s v="VALIDATED"/>
    <n v="1"/>
    <s v="01.11.80.308.2012.0000"/>
    <n v="517.25"/>
    <s v="11"/>
    <s v="2012"/>
    <n v="14408.83"/>
    <n v="517.25"/>
    <s v="CREDITOR"/>
    <n v="517.25"/>
    <n v="0"/>
    <n v="0"/>
    <n v="0"/>
    <n v="0"/>
  </r>
  <r>
    <n v="59449193"/>
    <s v="N"/>
    <n v="21360935"/>
    <s v="3000013887990009"/>
    <s v="CIVIL"/>
    <d v="2023-06-28T00:00:00"/>
    <d v="2023-07-11T19:00:25"/>
    <m/>
    <d v="2023-07-11T00:00:00"/>
    <n v="644"/>
    <n v="16973"/>
    <s v="59449193"/>
    <s v="59449193"/>
    <m/>
    <m/>
    <n v="22778582"/>
    <m/>
    <m/>
    <m/>
    <s v="SOLFIN"/>
    <s v="SOLFIN"/>
    <s v="CCMS"/>
    <n v="21360935"/>
    <n v="16082.66"/>
    <m/>
    <s v="N"/>
    <n v="8"/>
    <d v="2023-07-11T19:00:40"/>
    <s v="Y"/>
    <s v="Hearing Unit 2.31 - 5.00 Hours"/>
    <s v="Public Law Children"/>
    <s v="Advocacy"/>
    <s v="KC"/>
    <s v="Y"/>
    <n v="476.92"/>
    <n v="95.38"/>
    <x v="7"/>
    <s v="VALIDATED"/>
    <n v="1"/>
    <s v="01.11.80.308.6100.0000"/>
    <n v="476.92"/>
    <s v="11"/>
    <s v="6100"/>
    <n v="14408.83"/>
    <n v="476.92"/>
    <s v="CREDITOR"/>
    <n v="0"/>
    <n v="0"/>
    <n v="0"/>
    <n v="0"/>
    <n v="476.92"/>
  </r>
  <r>
    <n v="59449193"/>
    <s v="N"/>
    <n v="21360935"/>
    <s v="3000013887990009"/>
    <s v="CIVIL"/>
    <d v="2023-06-28T00:00:00"/>
    <d v="2023-07-11T19:00:25"/>
    <m/>
    <d v="2023-07-11T00:00:00"/>
    <n v="644"/>
    <n v="16973"/>
    <s v="59449193"/>
    <s v="59449193"/>
    <m/>
    <m/>
    <n v="22778582"/>
    <m/>
    <m/>
    <m/>
    <s v="SOLFIN"/>
    <s v="SOLFIN"/>
    <s v="CCMS"/>
    <n v="21360935"/>
    <n v="16082.66"/>
    <m/>
    <s v="N"/>
    <n v="1"/>
    <d v="2023-07-11T19:00:40"/>
    <s v="Y"/>
    <s v="Paediatrician"/>
    <s v="Public Law Children"/>
    <s v="Expert Disbursement"/>
    <s v="KC"/>
    <s v="Y"/>
    <n v="810"/>
    <n v="162"/>
    <x v="7"/>
    <s v="VALIDATED"/>
    <n v="1"/>
    <s v="01.11.80.308.6300.0000"/>
    <n v="810"/>
    <s v="11"/>
    <s v="6300"/>
    <n v="14408.83"/>
    <n v="810"/>
    <s v="CREDITOR"/>
    <n v="0"/>
    <n v="0"/>
    <n v="0"/>
    <n v="0"/>
    <n v="810"/>
  </r>
  <r>
    <n v="59449193"/>
    <s v="N"/>
    <n v="21360935"/>
    <s v="3000013887990009"/>
    <s v="CIVIL"/>
    <d v="2023-06-28T00:00:00"/>
    <d v="2023-07-11T19:00:25"/>
    <m/>
    <d v="2023-07-11T00:00:00"/>
    <n v="644"/>
    <n v="16973"/>
    <s v="59449193"/>
    <s v="59449193"/>
    <m/>
    <m/>
    <n v="22778582"/>
    <m/>
    <m/>
    <m/>
    <s v="SOLFIN"/>
    <s v="SOLFIN"/>
    <s v="CCMS"/>
    <n v="21360935"/>
    <n v="16082.66"/>
    <m/>
    <s v="N"/>
    <n v="3"/>
    <d v="2023-07-11T19:00:40"/>
    <s v="Y"/>
    <s v="Profit Costs (Summary)"/>
    <s v="Public Law Children"/>
    <s v="Profit Cost"/>
    <s v="KC"/>
    <s v="Y"/>
    <n v="9356.15"/>
    <n v="1871.23"/>
    <x v="7"/>
    <s v="VALIDATED"/>
    <n v="1"/>
    <s v="01.11.80.308.6100.0000"/>
    <n v="9356.15"/>
    <s v="11"/>
    <s v="6100"/>
    <n v="14408.83"/>
    <n v="9356.15"/>
    <s v="CREDITOR"/>
    <n v="0"/>
    <n v="0"/>
    <n v="0"/>
    <n v="0"/>
    <n v="9356.15"/>
  </r>
  <r>
    <n v="59859498"/>
    <s v="N"/>
    <n v="21330776"/>
    <s v="3000014221160013"/>
    <s v="CIVIL"/>
    <d v="2023-06-27T00:00:00"/>
    <d v="2023-07-05T19:01:47"/>
    <m/>
    <d v="2023-07-05T00:00:00"/>
    <n v="644"/>
    <n v="16973"/>
    <s v="59859498"/>
    <s v="59859498"/>
    <m/>
    <m/>
    <n v="22771462"/>
    <m/>
    <m/>
    <m/>
    <s v="SOLFIN"/>
    <s v="SOLFIN"/>
    <s v="CCMS"/>
    <n v="21330776"/>
    <n v="7524.76"/>
    <m/>
    <s v="N"/>
    <n v="1"/>
    <d v="2023-07-05T19:01:54"/>
    <s v="Y"/>
    <s v="Profit Costs (Summary)"/>
    <s v="Public Law Children"/>
    <s v="Profit Cost"/>
    <s v="KC"/>
    <s v="Y"/>
    <n v="6270.63"/>
    <n v="1254.13"/>
    <x v="6"/>
    <s v="VALIDATED"/>
    <n v="1"/>
    <s v="01.11.80.308.6100.0000"/>
    <n v="6270.63"/>
    <s v="11"/>
    <s v="6100"/>
    <n v="14408.83"/>
    <n v="6270.63"/>
    <s v="CREDITOR"/>
    <n v="0"/>
    <n v="0"/>
    <n v="0"/>
    <n v="0"/>
    <n v="6270.63"/>
  </r>
  <r>
    <n v="60089279"/>
    <s v="N"/>
    <n v="21327895"/>
    <s v="3000014382230008"/>
    <s v="CIVIL"/>
    <d v="2023-06-27T00:00:00"/>
    <d v="2023-07-04T19:00:44"/>
    <m/>
    <d v="2023-07-04T00:00:00"/>
    <n v="644"/>
    <n v="16973"/>
    <s v="60089279"/>
    <s v="60089279"/>
    <m/>
    <m/>
    <n v="22771844"/>
    <m/>
    <m/>
    <m/>
    <s v="SOLFIN"/>
    <s v="SOLFIN"/>
    <s v="CCMS"/>
    <n v="21327895"/>
    <n v="3933.57"/>
    <m/>
    <s v="N"/>
    <n v="4"/>
    <d v="2023-07-04T19:00:57"/>
    <s v="Y"/>
    <s v="Court Fee"/>
    <s v="Private Law Children"/>
    <s v="Non Expert Disbursement"/>
    <s v="KC"/>
    <s v="Y"/>
    <n v="20"/>
    <n v="0"/>
    <x v="1"/>
    <s v="VALIDATED"/>
    <n v="1"/>
    <s v="01.11.80.307.6300.0000"/>
    <n v="20"/>
    <s v="11"/>
    <s v="6300"/>
    <n v="14408.83"/>
    <n v="20"/>
    <s v="CREDITOR"/>
    <n v="0"/>
    <n v="0"/>
    <n v="0"/>
    <n v="0"/>
    <n v="20"/>
  </r>
  <r>
    <n v="61003393"/>
    <s v="N"/>
    <n v="21322417"/>
    <s v="3000015209590019"/>
    <s v="CIVIL"/>
    <d v="2023-06-29T00:00:00"/>
    <d v="2023-07-03T19:05:36"/>
    <m/>
    <d v="2023-07-03T00:00:00"/>
    <n v="644"/>
    <n v="16973"/>
    <s v="61003393"/>
    <s v="61003393"/>
    <m/>
    <m/>
    <n v="22791514"/>
    <m/>
    <m/>
    <m/>
    <s v="SOLPOA"/>
    <s v="SOLPOA"/>
    <s v="CCMS"/>
    <n v="21322417"/>
    <n v="243"/>
    <m/>
    <s v="N"/>
    <n v="1"/>
    <d v="2023-07-03T19:05:38"/>
    <s v="N"/>
    <s v="Expert Cost"/>
    <s v="Expert Cost"/>
    <s v="Expert Disbursement"/>
    <s v="Siobhan Downes"/>
    <s v="N"/>
    <n v="243"/>
    <n v="0"/>
    <x v="3"/>
    <s v="VALIDATED"/>
    <n v="1"/>
    <s v="01.11.80.308.2012.0000"/>
    <n v="243"/>
    <s v="11"/>
    <s v="2012"/>
    <n v="14408.83"/>
    <n v="243"/>
    <s v="CREDITOR"/>
    <n v="243"/>
    <n v="0"/>
    <n v="0"/>
    <n v="0"/>
    <n v="0"/>
  </r>
  <r>
    <n v="60089279"/>
    <s v="N"/>
    <n v="21329537"/>
    <s v="3000014382230006RC"/>
    <s v="CIVIL"/>
    <d v="2023-06-27T00:00:00"/>
    <d v="2023-07-04T19:38:37"/>
    <m/>
    <d v="2023-07-04T00:00:00"/>
    <n v="644"/>
    <n v="16973"/>
    <s v="60089279"/>
    <s v="60089279"/>
    <m/>
    <m/>
    <m/>
    <m/>
    <m/>
    <m/>
    <s v="SOLRECOUP"/>
    <s v="SOLRECOUP"/>
    <s v="POARECOUP"/>
    <n v="21329537"/>
    <n v="-167"/>
    <m/>
    <s v="Y"/>
    <n v="1"/>
    <d v="2023-07-04T19:38:37"/>
    <s v="N"/>
    <m/>
    <m/>
    <s v="Expert Disbursement"/>
    <m/>
    <s v="N"/>
    <n v="-167"/>
    <n v="0"/>
    <x v="1"/>
    <s v="VALIDATED"/>
    <n v="1"/>
    <s v="01.11.80.307.2013.0000"/>
    <n v="-167"/>
    <s v="11"/>
    <s v="2013"/>
    <n v="14408.83"/>
    <n v="-167"/>
    <s v="CREDITOR"/>
    <n v="0"/>
    <n v="0"/>
    <n v="-167"/>
    <n v="0"/>
    <n v="0"/>
  </r>
  <r>
    <n v="60089279"/>
    <s v="N"/>
    <n v="21329537"/>
    <s v="3000014382230006RC"/>
    <s v="CIVIL"/>
    <d v="2023-06-27T00:00:00"/>
    <d v="2023-07-04T19:38:37"/>
    <m/>
    <d v="2023-07-04T00:00:00"/>
    <n v="644"/>
    <n v="16973"/>
    <s v="60089279"/>
    <s v="60089279"/>
    <m/>
    <m/>
    <m/>
    <m/>
    <m/>
    <m/>
    <s v="SOLRECOUP"/>
    <s v="SOLRECOUP"/>
    <s v="POARECOUP"/>
    <n v="21329537"/>
    <n v="-167"/>
    <m/>
    <s v="Y"/>
    <n v="2"/>
    <d v="2023-07-04T19:38:37"/>
    <s v="N"/>
    <m/>
    <m/>
    <s v="Expert Disbursement"/>
    <m/>
    <s v="N"/>
    <n v="0"/>
    <n v="0"/>
    <x v="1"/>
    <s v="VALIDATED"/>
    <n v="1"/>
    <s v="01.11.80.000.0000.0000"/>
    <n v="0"/>
    <s v="11"/>
    <s v="0000"/>
    <n v="14408.83"/>
    <n v="0"/>
    <s v="CREDITOR"/>
    <n v="0"/>
    <n v="0"/>
    <n v="0"/>
    <n v="0"/>
    <n v="0"/>
  </r>
  <r>
    <n v="60089279"/>
    <s v="N"/>
    <n v="21329538"/>
    <s v="3000014382230005RC"/>
    <s v="CIVIL"/>
    <d v="2023-06-27T00:00:00"/>
    <d v="2023-07-04T19:38:37"/>
    <m/>
    <d v="2023-07-04T00:00:00"/>
    <n v="644"/>
    <n v="16973"/>
    <s v="60089279"/>
    <s v="60089279"/>
    <m/>
    <m/>
    <m/>
    <m/>
    <m/>
    <m/>
    <s v="SOLRECOUP"/>
    <s v="SOLRECOUP"/>
    <s v="POARECOUP"/>
    <n v="21329538"/>
    <n v="-53"/>
    <m/>
    <s v="Y"/>
    <n v="1"/>
    <d v="2023-07-04T19:38:37"/>
    <s v="N"/>
    <m/>
    <m/>
    <s v="Expert Disbursement"/>
    <m/>
    <s v="N"/>
    <n v="-53"/>
    <n v="0"/>
    <x v="1"/>
    <s v="VALIDATED"/>
    <n v="1"/>
    <s v="01.11.80.307.2013.0000"/>
    <n v="-53"/>
    <s v="11"/>
    <s v="2013"/>
    <n v="14408.83"/>
    <n v="-53"/>
    <s v="CREDITOR"/>
    <n v="0"/>
    <n v="0"/>
    <n v="-53"/>
    <n v="0"/>
    <n v="0"/>
  </r>
  <r>
    <n v="60089279"/>
    <s v="N"/>
    <n v="21329538"/>
    <s v="3000014382230005RC"/>
    <s v="CIVIL"/>
    <d v="2023-06-27T00:00:00"/>
    <d v="2023-07-04T19:38:37"/>
    <m/>
    <d v="2023-07-04T00:00:00"/>
    <n v="644"/>
    <n v="16973"/>
    <s v="60089279"/>
    <s v="60089279"/>
    <m/>
    <m/>
    <m/>
    <m/>
    <m/>
    <m/>
    <s v="SOLRECOUP"/>
    <s v="SOLRECOUP"/>
    <s v="POARECOUP"/>
    <n v="21329538"/>
    <n v="-53"/>
    <m/>
    <s v="Y"/>
    <n v="2"/>
    <d v="2023-07-04T19:38:37"/>
    <s v="N"/>
    <m/>
    <m/>
    <s v="Expert Disbursement"/>
    <m/>
    <s v="N"/>
    <n v="0"/>
    <n v="0"/>
    <x v="1"/>
    <s v="VALIDATED"/>
    <n v="1"/>
    <s v="01.11.80.000.0000.0000"/>
    <n v="0"/>
    <s v="11"/>
    <s v="0000"/>
    <n v="14408.83"/>
    <n v="0"/>
    <s v="CREDITOR"/>
    <n v="0"/>
    <n v="0"/>
    <n v="0"/>
    <n v="0"/>
    <n v="0"/>
  </r>
  <r>
    <n v="60089279"/>
    <s v="N"/>
    <n v="21329539"/>
    <s v="3000014382230004RC"/>
    <s v="CIVIL"/>
    <d v="2023-06-27T00:00:00"/>
    <d v="2023-07-04T19:38:37"/>
    <m/>
    <d v="2023-07-04T00:00:00"/>
    <n v="644"/>
    <n v="16973"/>
    <s v="60089279"/>
    <s v="60089279"/>
    <m/>
    <m/>
    <m/>
    <m/>
    <m/>
    <m/>
    <s v="SOLRECOUP"/>
    <s v="SOLRECOUP"/>
    <s v="POARECOUP"/>
    <n v="21329539"/>
    <n v="-20"/>
    <m/>
    <s v="Y"/>
    <n v="1"/>
    <d v="2023-07-04T19:38:37"/>
    <s v="N"/>
    <m/>
    <m/>
    <s v="Expert Disbursement"/>
    <m/>
    <s v="N"/>
    <n v="-20"/>
    <n v="0"/>
    <x v="1"/>
    <s v="VALIDATED"/>
    <n v="1"/>
    <s v="01.11.80.307.2013.0000"/>
    <n v="-20"/>
    <s v="11"/>
    <s v="2013"/>
    <n v="14408.83"/>
    <n v="-20"/>
    <s v="CREDITOR"/>
    <n v="0"/>
    <n v="0"/>
    <n v="-20"/>
    <n v="0"/>
    <n v="0"/>
  </r>
  <r>
    <n v="60089279"/>
    <s v="N"/>
    <n v="21329539"/>
    <s v="3000014382230004RC"/>
    <s v="CIVIL"/>
    <d v="2023-06-27T00:00:00"/>
    <d v="2023-07-04T19:38:37"/>
    <m/>
    <d v="2023-07-04T00:00:00"/>
    <n v="644"/>
    <n v="16973"/>
    <s v="60089279"/>
    <s v="60089279"/>
    <m/>
    <m/>
    <m/>
    <m/>
    <m/>
    <m/>
    <s v="SOLRECOUP"/>
    <s v="SOLRECOUP"/>
    <s v="POARECOUP"/>
    <n v="21329539"/>
    <n v="-20"/>
    <m/>
    <s v="Y"/>
    <n v="2"/>
    <d v="2023-07-04T19:38:37"/>
    <s v="N"/>
    <m/>
    <m/>
    <s v="Expert Disbursement"/>
    <m/>
    <s v="N"/>
    <n v="0"/>
    <n v="0"/>
    <x v="1"/>
    <s v="VALIDATED"/>
    <n v="1"/>
    <s v="01.11.80.000.0000.0000"/>
    <n v="0"/>
    <s v="11"/>
    <s v="0000"/>
    <n v="14408.83"/>
    <n v="0"/>
    <s v="CREDITOR"/>
    <n v="0"/>
    <n v="0"/>
    <n v="0"/>
    <n v="0"/>
    <n v="0"/>
  </r>
  <r>
    <n v="59449193"/>
    <s v="N"/>
    <n v="21361381"/>
    <s v="3000013887990002RC"/>
    <s v="CIVIL"/>
    <d v="2023-06-28T00:00:00"/>
    <d v="2023-07-11T19:38:00"/>
    <m/>
    <d v="2023-07-11T00:00:00"/>
    <n v="644"/>
    <n v="16973"/>
    <s v="59449193"/>
    <s v="59449193"/>
    <m/>
    <m/>
    <m/>
    <m/>
    <m/>
    <m/>
    <s v="SOLRECOUP"/>
    <s v="SOLRECOUP"/>
    <s v="POARECOUP"/>
    <n v="21361381"/>
    <n v="-546"/>
    <m/>
    <s v="Y"/>
    <n v="2"/>
    <d v="2023-07-11T19:38:00"/>
    <s v="N"/>
    <m/>
    <m/>
    <s v="Expert Disbursement"/>
    <m/>
    <s v="N"/>
    <n v="0"/>
    <n v="-91"/>
    <x v="7"/>
    <s v="VALIDATED"/>
    <n v="1"/>
    <s v="01.11.80.308.2013.0000"/>
    <n v="-91"/>
    <s v="11"/>
    <s v="2013"/>
    <n v="14408.83"/>
    <n v="-91"/>
    <s v="CREDITOR"/>
    <n v="0"/>
    <n v="0"/>
    <n v="-91"/>
    <n v="0"/>
    <n v="0"/>
  </r>
  <r>
    <n v="59449193"/>
    <s v="N"/>
    <n v="21361381"/>
    <s v="3000013887990002RC"/>
    <s v="CIVIL"/>
    <d v="2023-06-28T00:00:00"/>
    <d v="2023-07-11T19:38:00"/>
    <m/>
    <d v="2023-07-11T00:00:00"/>
    <n v="644"/>
    <n v="16973"/>
    <s v="59449193"/>
    <s v="59449193"/>
    <m/>
    <m/>
    <m/>
    <m/>
    <m/>
    <m/>
    <s v="SOLRECOUP"/>
    <s v="SOLRECOUP"/>
    <s v="POARECOUP"/>
    <n v="21361381"/>
    <n v="-546"/>
    <m/>
    <s v="Y"/>
    <n v="1"/>
    <d v="2023-07-11T19:38:00"/>
    <s v="N"/>
    <m/>
    <m/>
    <s v="Expert Disbursement"/>
    <m/>
    <s v="N"/>
    <n v="-455"/>
    <n v="0"/>
    <x v="7"/>
    <s v="VALIDATED"/>
    <n v="1"/>
    <s v="01.11.80.308.2013.0000"/>
    <n v="-455"/>
    <s v="11"/>
    <s v="2013"/>
    <n v="14408.83"/>
    <n v="-455"/>
    <s v="CREDITOR"/>
    <n v="0"/>
    <n v="0"/>
    <n v="-455"/>
    <n v="0"/>
    <n v="0"/>
  </r>
  <r>
    <n v="59449193"/>
    <s v="N"/>
    <n v="21361382"/>
    <s v="3000013887990003RC"/>
    <s v="CIVIL"/>
    <d v="2023-06-28T00:00:00"/>
    <d v="2023-07-11T19:38:00"/>
    <m/>
    <d v="2023-07-11T00:00:00"/>
    <n v="644"/>
    <n v="16973"/>
    <s v="59449193"/>
    <s v="59449193"/>
    <m/>
    <m/>
    <m/>
    <m/>
    <m/>
    <m/>
    <s v="SOLRECOUP"/>
    <s v="SOLRECOUP"/>
    <s v="POARECOUP"/>
    <n v="21361382"/>
    <n v="-951"/>
    <m/>
    <s v="Y"/>
    <n v="2"/>
    <d v="2023-07-11T19:38:00"/>
    <s v="N"/>
    <m/>
    <m/>
    <s v="Expert Disbursement"/>
    <m/>
    <s v="N"/>
    <n v="0"/>
    <n v="-158.5"/>
    <x v="7"/>
    <s v="VALIDATED"/>
    <n v="1"/>
    <s v="01.11.80.308.2013.0000"/>
    <n v="-158.5"/>
    <s v="11"/>
    <s v="2013"/>
    <n v="14408.83"/>
    <n v="-158.5"/>
    <s v="CREDITOR"/>
    <n v="0"/>
    <n v="0"/>
    <n v="-158.5"/>
    <n v="0"/>
    <n v="0"/>
  </r>
  <r>
    <n v="59449193"/>
    <s v="N"/>
    <n v="21361382"/>
    <s v="3000013887990003RC"/>
    <s v="CIVIL"/>
    <d v="2023-06-28T00:00:00"/>
    <d v="2023-07-11T19:38:00"/>
    <m/>
    <d v="2023-07-11T00:00:00"/>
    <n v="644"/>
    <n v="16973"/>
    <s v="59449193"/>
    <s v="59449193"/>
    <m/>
    <m/>
    <m/>
    <m/>
    <m/>
    <m/>
    <s v="SOLRECOUP"/>
    <s v="SOLRECOUP"/>
    <s v="POARECOUP"/>
    <n v="21361382"/>
    <n v="-951"/>
    <m/>
    <s v="Y"/>
    <n v="1"/>
    <d v="2023-07-11T19:38:00"/>
    <s v="N"/>
    <m/>
    <m/>
    <s v="Expert Disbursement"/>
    <m/>
    <s v="N"/>
    <n v="-792.5"/>
    <n v="0"/>
    <x v="7"/>
    <s v="VALIDATED"/>
    <n v="1"/>
    <s v="01.11.80.308.2013.0000"/>
    <n v="-792.5"/>
    <s v="11"/>
    <s v="2013"/>
    <n v="14408.83"/>
    <n v="-792.5"/>
    <s v="CREDITOR"/>
    <n v="0"/>
    <n v="0"/>
    <n v="-792.5"/>
    <n v="0"/>
    <n v="0"/>
  </r>
  <r>
    <n v="59449193"/>
    <s v="N"/>
    <n v="21361383"/>
    <s v="3000013887990005RC"/>
    <s v="CIVIL"/>
    <d v="2023-06-28T00:00:00"/>
    <d v="2023-07-11T19:38:00"/>
    <m/>
    <d v="2023-07-11T00:00:00"/>
    <n v="644"/>
    <n v="16973"/>
    <s v="59449193"/>
    <s v="59449193"/>
    <m/>
    <m/>
    <m/>
    <m/>
    <m/>
    <m/>
    <s v="SOLRECOUP"/>
    <s v="SOLRECOUP"/>
    <s v="POARECOUP"/>
    <n v="21361383"/>
    <n v="-622.5"/>
    <m/>
    <s v="Y"/>
    <n v="2"/>
    <d v="2023-07-11T19:38:00"/>
    <s v="N"/>
    <m/>
    <m/>
    <s v="Expert Disbursement"/>
    <m/>
    <s v="N"/>
    <n v="0"/>
    <n v="-103.75"/>
    <x v="7"/>
    <s v="VALIDATED"/>
    <n v="1"/>
    <s v="01.11.80.308.2013.0000"/>
    <n v="-103.75"/>
    <s v="11"/>
    <s v="2013"/>
    <n v="14408.83"/>
    <n v="-103.75"/>
    <s v="CREDITOR"/>
    <n v="0"/>
    <n v="0"/>
    <n v="-103.75"/>
    <n v="0"/>
    <n v="0"/>
  </r>
  <r>
    <n v="59449193"/>
    <s v="N"/>
    <n v="21361383"/>
    <s v="3000013887990005RC"/>
    <s v="CIVIL"/>
    <d v="2023-06-28T00:00:00"/>
    <d v="2023-07-11T19:38:00"/>
    <m/>
    <d v="2023-07-11T00:00:00"/>
    <n v="644"/>
    <n v="16973"/>
    <s v="59449193"/>
    <s v="59449193"/>
    <m/>
    <m/>
    <m/>
    <m/>
    <m/>
    <m/>
    <s v="SOLRECOUP"/>
    <s v="SOLRECOUP"/>
    <s v="POARECOUP"/>
    <n v="21361383"/>
    <n v="-622.5"/>
    <m/>
    <s v="Y"/>
    <n v="1"/>
    <d v="2023-07-11T19:38:00"/>
    <s v="N"/>
    <m/>
    <m/>
    <s v="Expert Disbursement"/>
    <m/>
    <s v="N"/>
    <n v="-518.75"/>
    <n v="0"/>
    <x v="7"/>
    <s v="VALIDATED"/>
    <n v="1"/>
    <s v="01.11.80.308.2013.0000"/>
    <n v="-518.75"/>
    <s v="11"/>
    <s v="2013"/>
    <n v="14408.83"/>
    <n v="-518.75"/>
    <s v="CREDITOR"/>
    <n v="0"/>
    <n v="0"/>
    <n v="-518.75"/>
    <n v="0"/>
    <n v="0"/>
  </r>
  <r>
    <n v="59449193"/>
    <s v="N"/>
    <n v="21361384"/>
    <s v="3000013887990006RC"/>
    <s v="CIVIL"/>
    <d v="2023-06-28T00:00:00"/>
    <d v="2023-07-11T19:38:00"/>
    <m/>
    <d v="2023-07-11T00:00:00"/>
    <n v="644"/>
    <n v="16973"/>
    <s v="59449193"/>
    <s v="59449193"/>
    <m/>
    <m/>
    <m/>
    <m/>
    <m/>
    <m/>
    <s v="SOLRECOUP"/>
    <s v="SOLRECOUP"/>
    <s v="POARECOUP"/>
    <n v="21361384"/>
    <n v="-972"/>
    <m/>
    <s v="Y"/>
    <n v="2"/>
    <d v="2023-07-11T19:38:00"/>
    <s v="N"/>
    <m/>
    <m/>
    <s v="Expert Disbursement"/>
    <m/>
    <s v="N"/>
    <n v="0"/>
    <n v="-162"/>
    <x v="7"/>
    <s v="VALIDATED"/>
    <n v="1"/>
    <s v="01.11.80.308.2013.0000"/>
    <n v="-162"/>
    <s v="11"/>
    <s v="2013"/>
    <n v="14408.83"/>
    <n v="-162"/>
    <s v="CREDITOR"/>
    <n v="0"/>
    <n v="0"/>
    <n v="-162"/>
    <n v="0"/>
    <n v="0"/>
  </r>
  <r>
    <n v="59449193"/>
    <s v="N"/>
    <n v="21361384"/>
    <s v="3000013887990006RC"/>
    <s v="CIVIL"/>
    <d v="2023-06-28T00:00:00"/>
    <d v="2023-07-11T19:38:00"/>
    <m/>
    <d v="2023-07-11T00:00:00"/>
    <n v="644"/>
    <n v="16973"/>
    <s v="59449193"/>
    <s v="59449193"/>
    <m/>
    <m/>
    <m/>
    <m/>
    <m/>
    <m/>
    <s v="SOLRECOUP"/>
    <s v="SOLRECOUP"/>
    <s v="POARECOUP"/>
    <n v="21361384"/>
    <n v="-972"/>
    <m/>
    <s v="Y"/>
    <n v="1"/>
    <d v="2023-07-11T19:38:00"/>
    <s v="N"/>
    <m/>
    <m/>
    <s v="Expert Disbursement"/>
    <m/>
    <s v="N"/>
    <n v="-810"/>
    <n v="0"/>
    <x v="7"/>
    <s v="VALIDATED"/>
    <n v="1"/>
    <s v="01.11.80.308.2013.0000"/>
    <n v="-810"/>
    <s v="11"/>
    <s v="2013"/>
    <n v="14408.83"/>
    <n v="-810"/>
    <s v="CREDITOR"/>
    <n v="0"/>
    <n v="0"/>
    <n v="-810"/>
    <n v="0"/>
    <n v="0"/>
  </r>
  <r>
    <n v="59449193"/>
    <s v="N"/>
    <n v="21361385"/>
    <s v="3000013887990007RC"/>
    <s v="CIVIL"/>
    <d v="2023-06-28T00:00:00"/>
    <d v="2023-07-11T19:38:00"/>
    <m/>
    <d v="2023-07-11T00:00:00"/>
    <n v="644"/>
    <n v="16973"/>
    <s v="59449193"/>
    <s v="59449193"/>
    <m/>
    <m/>
    <m/>
    <m/>
    <m/>
    <m/>
    <s v="SOLRECOUP"/>
    <s v="SOLRECOUP"/>
    <s v="POARECOUP"/>
    <n v="21361385"/>
    <n v="-280.8"/>
    <m/>
    <s v="Y"/>
    <n v="1"/>
    <d v="2023-07-11T19:38:00"/>
    <s v="N"/>
    <m/>
    <m/>
    <s v="Expert Disbursement"/>
    <m/>
    <s v="N"/>
    <n v="-234"/>
    <n v="0"/>
    <x v="7"/>
    <s v="VALIDATED"/>
    <n v="1"/>
    <s v="01.11.80.308.2013.0000"/>
    <n v="-234"/>
    <s v="11"/>
    <s v="2013"/>
    <n v="14408.83"/>
    <n v="-234"/>
    <s v="CREDITOR"/>
    <n v="0"/>
    <n v="0"/>
    <n v="-234"/>
    <n v="0"/>
    <n v="0"/>
  </r>
  <r>
    <n v="59449193"/>
    <s v="N"/>
    <n v="21361385"/>
    <s v="3000013887990007RC"/>
    <s v="CIVIL"/>
    <d v="2023-06-28T00:00:00"/>
    <d v="2023-07-11T19:38:00"/>
    <m/>
    <d v="2023-07-11T00:00:00"/>
    <n v="644"/>
    <n v="16973"/>
    <s v="59449193"/>
    <s v="59449193"/>
    <m/>
    <m/>
    <m/>
    <m/>
    <m/>
    <m/>
    <s v="SOLRECOUP"/>
    <s v="SOLRECOUP"/>
    <s v="POARECOUP"/>
    <n v="21361385"/>
    <n v="-280.8"/>
    <m/>
    <s v="Y"/>
    <n v="2"/>
    <d v="2023-07-11T19:38:00"/>
    <s v="N"/>
    <m/>
    <m/>
    <s v="Expert Disbursement"/>
    <m/>
    <s v="N"/>
    <n v="0"/>
    <n v="-46.8"/>
    <x v="7"/>
    <s v="VALIDATED"/>
    <n v="1"/>
    <s v="01.11.80.308.2013.0000"/>
    <n v="-46.8"/>
    <s v="11"/>
    <s v="2013"/>
    <n v="14408.83"/>
    <n v="-46.8"/>
    <s v="CREDITOR"/>
    <n v="0"/>
    <n v="0"/>
    <n v="-46.8"/>
    <n v="0"/>
    <n v="0"/>
  </r>
  <r>
    <n v="61003393"/>
    <s v="N"/>
    <n v="21400065"/>
    <s v="3000015209590019RC"/>
    <s v="CIVIL"/>
    <d v="2023-06-29T00:00:00"/>
    <d v="2023-07-19T19:44:15"/>
    <m/>
    <d v="2023-07-19T00:00:00"/>
    <n v="644"/>
    <n v="16973"/>
    <s v="61003393"/>
    <s v="61003393"/>
    <m/>
    <m/>
    <m/>
    <m/>
    <m/>
    <m/>
    <s v="SOLRECOUP"/>
    <s v="SOLRECOUP"/>
    <s v="POARECOUP"/>
    <n v="21400065"/>
    <n v="-243"/>
    <m/>
    <s v="Y"/>
    <n v="1"/>
    <d v="2023-07-19T19:44:17"/>
    <s v="N"/>
    <m/>
    <m/>
    <s v="Expert Disbursement"/>
    <m/>
    <s v="N"/>
    <n v="-243"/>
    <n v="0"/>
    <x v="5"/>
    <s v="VALIDATED"/>
    <n v="1"/>
    <s v="01.11.80.308.2013.0000"/>
    <n v="-243"/>
    <s v="11"/>
    <s v="2013"/>
    <n v="14408.83"/>
    <n v="-243"/>
    <s v="CREDITOR"/>
    <n v="0"/>
    <n v="0"/>
    <n v="-243"/>
    <n v="0"/>
    <n v="0"/>
  </r>
  <r>
    <n v="61003393"/>
    <s v="N"/>
    <n v="21400065"/>
    <s v="3000015209590019RC"/>
    <s v="CIVIL"/>
    <d v="2023-06-29T00:00:00"/>
    <d v="2023-07-19T19:44:15"/>
    <m/>
    <d v="2023-07-19T00:00:00"/>
    <n v="644"/>
    <n v="16973"/>
    <s v="61003393"/>
    <s v="61003393"/>
    <m/>
    <m/>
    <m/>
    <m/>
    <m/>
    <m/>
    <s v="SOLRECOUP"/>
    <s v="SOLRECOUP"/>
    <s v="POARECOUP"/>
    <n v="21400065"/>
    <n v="-243"/>
    <m/>
    <s v="Y"/>
    <n v="2"/>
    <d v="2023-07-19T19:44:17"/>
    <s v="N"/>
    <m/>
    <m/>
    <s v="Expert Disbursement"/>
    <m/>
    <s v="N"/>
    <n v="0"/>
    <n v="0"/>
    <x v="5"/>
    <s v="VALIDATED"/>
    <n v="1"/>
    <s v="01.11.80.000.0000.0000"/>
    <n v="0"/>
    <s v="11"/>
    <s v="0000"/>
    <n v="14408.83"/>
    <n v="0"/>
    <s v="CREDITOR"/>
    <n v="0"/>
    <n v="0"/>
    <n v="0"/>
    <n v="0"/>
    <n v="0"/>
  </r>
  <r>
    <n v="61003393"/>
    <s v="N"/>
    <n v="21399252"/>
    <s v="3000015209590012RC"/>
    <s v="CIVIL"/>
    <d v="2023-06-29T00:00:00"/>
    <d v="2023-07-19T19:43:58"/>
    <m/>
    <d v="2023-07-19T00:00:00"/>
    <n v="644"/>
    <n v="16973"/>
    <s v="61003393"/>
    <s v="61003393"/>
    <m/>
    <m/>
    <m/>
    <m/>
    <m/>
    <m/>
    <s v="SOLRECOUP"/>
    <s v="SOLRECOUP"/>
    <s v="POARECOUP"/>
    <n v="21399252"/>
    <n v="-128.47"/>
    <m/>
    <s v="Y"/>
    <n v="1"/>
    <d v="2023-07-19T19:44:02"/>
    <s v="N"/>
    <m/>
    <m/>
    <s v="Expert Disbursement"/>
    <m/>
    <s v="N"/>
    <n v="-107.06"/>
    <n v="0"/>
    <x v="5"/>
    <s v="VALIDATED"/>
    <n v="1"/>
    <s v="01.11.80.308.2013.0000"/>
    <n v="-107.06"/>
    <s v="11"/>
    <s v="2013"/>
    <n v="14408.83"/>
    <n v="-107.06"/>
    <s v="CREDITOR"/>
    <n v="0"/>
    <n v="0"/>
    <n v="-107.06"/>
    <n v="0"/>
    <n v="0"/>
  </r>
  <r>
    <n v="61003393"/>
    <s v="N"/>
    <n v="21399490"/>
    <s v="3000015209590001RC"/>
    <s v="CIVIL"/>
    <d v="2023-06-29T00:00:00"/>
    <d v="2023-07-19T19:44:15"/>
    <m/>
    <d v="2023-07-19T00:00:00"/>
    <n v="644"/>
    <n v="16973"/>
    <s v="61003393"/>
    <s v="61003393"/>
    <m/>
    <m/>
    <m/>
    <m/>
    <m/>
    <m/>
    <s v="SOLRECOUP"/>
    <s v="SOLRECOUP"/>
    <s v="POARECOUP"/>
    <n v="21399490"/>
    <n v="-778.2"/>
    <m/>
    <s v="Y"/>
    <n v="2"/>
    <d v="2023-07-19T19:44:15"/>
    <s v="N"/>
    <m/>
    <m/>
    <s v="Expert Disbursement"/>
    <m/>
    <s v="N"/>
    <n v="0"/>
    <n v="-129.7"/>
    <x v="5"/>
    <s v="VALIDATED"/>
    <n v="1"/>
    <s v="01.11.80.308.2013.0000"/>
    <n v="-129.7"/>
    <s v="11"/>
    <s v="2013"/>
    <n v="14408.83"/>
    <n v="-129.7"/>
    <s v="CREDITOR"/>
    <n v="0"/>
    <n v="0"/>
    <n v="-129.7"/>
    <n v="0"/>
    <n v="0"/>
  </r>
  <r>
    <n v="61003393"/>
    <s v="N"/>
    <n v="21399490"/>
    <s v="3000015209590001RC"/>
    <s v="CIVIL"/>
    <d v="2023-06-29T00:00:00"/>
    <d v="2023-07-19T19:44:15"/>
    <m/>
    <d v="2023-07-19T00:00:00"/>
    <n v="644"/>
    <n v="16973"/>
    <s v="61003393"/>
    <s v="61003393"/>
    <m/>
    <m/>
    <m/>
    <m/>
    <m/>
    <m/>
    <s v="SOLRECOUP"/>
    <s v="SOLRECOUP"/>
    <s v="POARECOUP"/>
    <n v="21399490"/>
    <n v="-778.2"/>
    <m/>
    <s v="Y"/>
    <n v="1"/>
    <d v="2023-07-19T19:44:15"/>
    <s v="N"/>
    <m/>
    <m/>
    <s v="Expert Disbursement"/>
    <m/>
    <s v="N"/>
    <n v="-648.5"/>
    <n v="0"/>
    <x v="5"/>
    <s v="VALIDATED"/>
    <n v="1"/>
    <s v="01.11.80.308.2013.0000"/>
    <n v="-648.5"/>
    <s v="11"/>
    <s v="2013"/>
    <n v="14408.83"/>
    <n v="-648.5"/>
    <s v="CREDITOR"/>
    <n v="0"/>
    <n v="0"/>
    <n v="-648.5"/>
    <n v="0"/>
    <n v="0"/>
  </r>
  <r>
    <n v="61003393"/>
    <s v="N"/>
    <n v="21399494"/>
    <s v="3000015209590002RC"/>
    <s v="CIVIL"/>
    <d v="2023-06-29T00:00:00"/>
    <d v="2023-07-19T19:44:15"/>
    <m/>
    <d v="2023-07-19T00:00:00"/>
    <n v="644"/>
    <n v="16973"/>
    <s v="61003393"/>
    <s v="61003393"/>
    <m/>
    <m/>
    <m/>
    <m/>
    <m/>
    <m/>
    <s v="SOLRECOUP"/>
    <s v="SOLRECOUP"/>
    <s v="POARECOUP"/>
    <n v="21399494"/>
    <n v="-1015.8"/>
    <m/>
    <s v="Y"/>
    <n v="1"/>
    <d v="2023-07-19T19:44:15"/>
    <s v="N"/>
    <m/>
    <m/>
    <s v="Expert Disbursement"/>
    <m/>
    <s v="N"/>
    <n v="-846.5"/>
    <n v="0"/>
    <x v="5"/>
    <s v="VALIDATED"/>
    <n v="1"/>
    <s v="01.11.80.308.2013.0000"/>
    <n v="-846.5"/>
    <s v="11"/>
    <s v="2013"/>
    <n v="14408.83"/>
    <n v="-846.5"/>
    <s v="CREDITOR"/>
    <n v="0"/>
    <n v="0"/>
    <n v="-846.5"/>
    <n v="0"/>
    <n v="0"/>
  </r>
  <r>
    <n v="61003393"/>
    <s v="N"/>
    <n v="21399494"/>
    <s v="3000015209590002RC"/>
    <s v="CIVIL"/>
    <d v="2023-06-29T00:00:00"/>
    <d v="2023-07-19T19:44:15"/>
    <m/>
    <d v="2023-07-19T00:00:00"/>
    <n v="644"/>
    <n v="16973"/>
    <s v="61003393"/>
    <s v="61003393"/>
    <m/>
    <m/>
    <m/>
    <m/>
    <m/>
    <m/>
    <s v="SOLRECOUP"/>
    <s v="SOLRECOUP"/>
    <s v="POARECOUP"/>
    <n v="21399494"/>
    <n v="-1015.8"/>
    <m/>
    <s v="Y"/>
    <n v="2"/>
    <d v="2023-07-19T19:44:15"/>
    <s v="N"/>
    <m/>
    <m/>
    <s v="Expert Disbursement"/>
    <m/>
    <s v="N"/>
    <n v="0"/>
    <n v="-169.3"/>
    <x v="5"/>
    <s v="VALIDATED"/>
    <n v="1"/>
    <s v="01.11.80.308.2013.0000"/>
    <n v="-169.3"/>
    <s v="11"/>
    <s v="2013"/>
    <n v="14408.83"/>
    <n v="-169.3"/>
    <s v="CREDITOR"/>
    <n v="0"/>
    <n v="0"/>
    <n v="-169.3"/>
    <n v="0"/>
    <n v="0"/>
  </r>
  <r>
    <n v="61003393"/>
    <s v="N"/>
    <n v="21399509"/>
    <s v="3000015209590005RC"/>
    <s v="CIVIL"/>
    <d v="2023-06-29T00:00:00"/>
    <d v="2023-07-19T19:44:15"/>
    <m/>
    <d v="2023-07-19T00:00:00"/>
    <n v="644"/>
    <n v="16973"/>
    <s v="61003393"/>
    <s v="61003393"/>
    <m/>
    <m/>
    <m/>
    <m/>
    <m/>
    <m/>
    <s v="SOLRECOUP"/>
    <s v="SOLRECOUP"/>
    <s v="POARECOUP"/>
    <n v="21399509"/>
    <n v="-778.2"/>
    <m/>
    <s v="Y"/>
    <n v="2"/>
    <d v="2023-07-19T19:44:15"/>
    <s v="N"/>
    <m/>
    <m/>
    <s v="Expert Disbursement"/>
    <m/>
    <s v="N"/>
    <n v="0"/>
    <n v="-129.7"/>
    <x v="5"/>
    <s v="VALIDATED"/>
    <n v="1"/>
    <s v="01.11.80.308.2013.0000"/>
    <n v="-129.7"/>
    <s v="11"/>
    <s v="2013"/>
    <n v="14408.83"/>
    <n v="-129.7"/>
    <s v="CREDITOR"/>
    <n v="0"/>
    <n v="0"/>
    <n v="-129.7"/>
    <n v="0"/>
    <n v="0"/>
  </r>
  <r>
    <n v="61003393"/>
    <s v="N"/>
    <n v="21399509"/>
    <s v="3000015209590005RC"/>
    <s v="CIVIL"/>
    <d v="2023-06-29T00:00:00"/>
    <d v="2023-07-19T19:44:15"/>
    <m/>
    <d v="2023-07-19T00:00:00"/>
    <n v="644"/>
    <n v="16973"/>
    <s v="61003393"/>
    <s v="61003393"/>
    <m/>
    <m/>
    <m/>
    <m/>
    <m/>
    <m/>
    <s v="SOLRECOUP"/>
    <s v="SOLRECOUP"/>
    <s v="POARECOUP"/>
    <n v="21399509"/>
    <n v="-778.2"/>
    <m/>
    <s v="Y"/>
    <n v="1"/>
    <d v="2023-07-19T19:44:15"/>
    <s v="N"/>
    <m/>
    <m/>
    <s v="Expert Disbursement"/>
    <m/>
    <s v="N"/>
    <n v="-648.5"/>
    <n v="0"/>
    <x v="5"/>
    <s v="VALIDATED"/>
    <n v="1"/>
    <s v="01.11.80.308.2013.0000"/>
    <n v="-648.5"/>
    <s v="11"/>
    <s v="2013"/>
    <n v="14408.83"/>
    <n v="-648.5"/>
    <s v="CREDITOR"/>
    <n v="0"/>
    <n v="0"/>
    <n v="-648.5"/>
    <n v="0"/>
    <n v="0"/>
  </r>
  <r>
    <n v="61003393"/>
    <s v="N"/>
    <n v="21399595"/>
    <s v="3000015209590010RC"/>
    <s v="CIVIL"/>
    <d v="2023-06-29T00:00:00"/>
    <d v="2023-07-19T19:44:15"/>
    <m/>
    <d v="2023-07-19T00:00:00"/>
    <n v="644"/>
    <n v="16973"/>
    <s v="61003393"/>
    <s v="61003393"/>
    <m/>
    <m/>
    <m/>
    <m/>
    <m/>
    <m/>
    <s v="SOLRECOUP"/>
    <s v="SOLRECOUP"/>
    <s v="POARECOUP"/>
    <n v="21399595"/>
    <n v="-525.6"/>
    <m/>
    <s v="Y"/>
    <n v="2"/>
    <d v="2023-07-19T19:44:16"/>
    <s v="N"/>
    <m/>
    <m/>
    <s v="Expert Disbursement"/>
    <m/>
    <s v="N"/>
    <n v="0"/>
    <n v="-87.59999999999999"/>
    <x v="5"/>
    <s v="VALIDATED"/>
    <n v="1"/>
    <s v="01.11.80.308.2013.0000"/>
    <n v="-87.59999999999999"/>
    <s v="11"/>
    <s v="2013"/>
    <n v="14408.83"/>
    <n v="-87.59999999999999"/>
    <s v="CREDITOR"/>
    <n v="0"/>
    <n v="0"/>
    <n v="-87.59999999999999"/>
    <n v="0"/>
    <n v="0"/>
  </r>
  <r>
    <n v="61003393"/>
    <s v="N"/>
    <n v="21399595"/>
    <s v="3000015209590010RC"/>
    <s v="CIVIL"/>
    <d v="2023-06-29T00:00:00"/>
    <d v="2023-07-19T19:44:15"/>
    <m/>
    <d v="2023-07-19T00:00:00"/>
    <n v="644"/>
    <n v="16973"/>
    <s v="61003393"/>
    <s v="61003393"/>
    <m/>
    <m/>
    <m/>
    <m/>
    <m/>
    <m/>
    <s v="SOLRECOUP"/>
    <s v="SOLRECOUP"/>
    <s v="POARECOUP"/>
    <n v="21399595"/>
    <n v="-525.6"/>
    <m/>
    <s v="Y"/>
    <n v="1"/>
    <d v="2023-07-19T19:44:16"/>
    <s v="N"/>
    <m/>
    <m/>
    <s v="Expert Disbursement"/>
    <m/>
    <s v="N"/>
    <n v="-438"/>
    <n v="0"/>
    <x v="5"/>
    <s v="VALIDATED"/>
    <n v="1"/>
    <s v="01.11.80.308.2013.0000"/>
    <n v="-438"/>
    <s v="11"/>
    <s v="2013"/>
    <n v="14408.83"/>
    <n v="-438"/>
    <s v="CREDITOR"/>
    <n v="0"/>
    <n v="0"/>
    <n v="-438"/>
    <n v="0"/>
    <n v="0"/>
  </r>
  <r>
    <n v="61003393"/>
    <s v="N"/>
    <n v="21399664"/>
    <s v="3000015209590013RC"/>
    <s v="CIVIL"/>
    <d v="2023-06-29T00:00:00"/>
    <d v="2023-07-19T19:44:15"/>
    <m/>
    <d v="2023-07-19T00:00:00"/>
    <n v="644"/>
    <n v="16973"/>
    <s v="61003393"/>
    <s v="61003393"/>
    <m/>
    <m/>
    <m/>
    <m/>
    <m/>
    <m/>
    <s v="SOLRECOUP"/>
    <s v="SOLRECOUP"/>
    <s v="POARECOUP"/>
    <n v="21399664"/>
    <n v="-175.5"/>
    <m/>
    <s v="Y"/>
    <n v="2"/>
    <d v="2023-07-19T19:44:16"/>
    <s v="N"/>
    <m/>
    <m/>
    <s v="Expert Disbursement"/>
    <m/>
    <s v="N"/>
    <n v="0"/>
    <n v="0"/>
    <x v="5"/>
    <s v="VALIDATED"/>
    <n v="1"/>
    <s v="01.11.80.000.0000.0000"/>
    <n v="0"/>
    <s v="11"/>
    <s v="0000"/>
    <n v="14408.83"/>
    <n v="0"/>
    <s v="CREDITOR"/>
    <n v="0"/>
    <n v="0"/>
    <n v="0"/>
    <n v="0"/>
    <n v="0"/>
  </r>
  <r>
    <n v="61003393"/>
    <s v="N"/>
    <n v="21399664"/>
    <s v="3000015209590013RC"/>
    <s v="CIVIL"/>
    <d v="2023-06-29T00:00:00"/>
    <d v="2023-07-19T19:44:15"/>
    <m/>
    <d v="2023-07-19T00:00:00"/>
    <n v="644"/>
    <n v="16973"/>
    <s v="61003393"/>
    <s v="61003393"/>
    <m/>
    <m/>
    <m/>
    <m/>
    <m/>
    <m/>
    <s v="SOLRECOUP"/>
    <s v="SOLRECOUP"/>
    <s v="POARECOUP"/>
    <n v="21399664"/>
    <n v="-175.5"/>
    <m/>
    <s v="Y"/>
    <n v="1"/>
    <d v="2023-07-19T19:44:16"/>
    <s v="N"/>
    <m/>
    <m/>
    <s v="Expert Disbursement"/>
    <m/>
    <s v="N"/>
    <n v="-175.5"/>
    <n v="0"/>
    <x v="5"/>
    <s v="VALIDATED"/>
    <n v="1"/>
    <s v="01.11.80.308.2013.0000"/>
    <n v="-175.5"/>
    <s v="11"/>
    <s v="2013"/>
    <n v="14408.83"/>
    <n v="-175.5"/>
    <s v="CREDITOR"/>
    <n v="0"/>
    <n v="0"/>
    <n v="-175.5"/>
    <n v="0"/>
    <n v="0"/>
  </r>
  <r>
    <n v="61003393"/>
    <s v="N"/>
    <n v="21399750"/>
    <s v="3000015209590016RC"/>
    <s v="CIVIL"/>
    <d v="2023-06-29T00:00:00"/>
    <d v="2023-07-19T19:44:15"/>
    <m/>
    <d v="2023-07-19T00:00:00"/>
    <n v="644"/>
    <n v="16973"/>
    <s v="61003393"/>
    <s v="61003393"/>
    <m/>
    <m/>
    <m/>
    <m/>
    <m/>
    <m/>
    <s v="SOLRECOUP"/>
    <s v="SOLRECOUP"/>
    <s v="POARECOUP"/>
    <n v="21399750"/>
    <n v="-326.4"/>
    <m/>
    <s v="Y"/>
    <n v="1"/>
    <d v="2023-07-19T19:44:16"/>
    <s v="N"/>
    <m/>
    <m/>
    <s v="Expert Disbursement"/>
    <m/>
    <s v="N"/>
    <n v="-272"/>
    <n v="0"/>
    <x v="5"/>
    <s v="VALIDATED"/>
    <n v="1"/>
    <s v="01.11.80.308.2013.0000"/>
    <n v="-272"/>
    <s v="11"/>
    <s v="2013"/>
    <n v="14408.83"/>
    <n v="-272"/>
    <s v="CREDITOR"/>
    <n v="0"/>
    <n v="0"/>
    <n v="-272"/>
    <n v="0"/>
    <n v="0"/>
  </r>
  <r>
    <n v="61003393"/>
    <s v="N"/>
    <n v="21399750"/>
    <s v="3000015209590016RC"/>
    <s v="CIVIL"/>
    <d v="2023-06-29T00:00:00"/>
    <d v="2023-07-19T19:44:15"/>
    <m/>
    <d v="2023-07-19T00:00:00"/>
    <n v="644"/>
    <n v="16973"/>
    <s v="61003393"/>
    <s v="61003393"/>
    <m/>
    <m/>
    <m/>
    <m/>
    <m/>
    <m/>
    <s v="SOLRECOUP"/>
    <s v="SOLRECOUP"/>
    <s v="POARECOUP"/>
    <n v="21399750"/>
    <n v="-326.4"/>
    <m/>
    <s v="Y"/>
    <n v="2"/>
    <d v="2023-07-19T19:44:16"/>
    <s v="N"/>
    <m/>
    <m/>
    <s v="Expert Disbursement"/>
    <m/>
    <s v="N"/>
    <n v="0"/>
    <n v="-54.4"/>
    <x v="5"/>
    <s v="VALIDATED"/>
    <n v="1"/>
    <s v="01.11.80.308.2013.0000"/>
    <n v="-54.4"/>
    <s v="11"/>
    <s v="2013"/>
    <n v="14408.83"/>
    <n v="-54.4"/>
    <s v="CREDITOR"/>
    <n v="0"/>
    <n v="0"/>
    <n v="-54.4"/>
    <n v="0"/>
    <n v="0"/>
  </r>
  <r>
    <n v="61003393"/>
    <s v="N"/>
    <n v="21399928"/>
    <s v="3000015209590018RC"/>
    <s v="CIVIL"/>
    <d v="2023-06-29T00:00:00"/>
    <d v="2023-07-19T19:44:15"/>
    <m/>
    <d v="2023-07-19T00:00:00"/>
    <n v="644"/>
    <n v="16973"/>
    <s v="61003393"/>
    <s v="61003393"/>
    <m/>
    <m/>
    <m/>
    <m/>
    <m/>
    <m/>
    <s v="SOLRECOUP"/>
    <s v="SOLRECOUP"/>
    <s v="POARECOUP"/>
    <n v="21399928"/>
    <n v="-326.4"/>
    <m/>
    <s v="Y"/>
    <n v="2"/>
    <d v="2023-07-19T19:44:17"/>
    <s v="N"/>
    <m/>
    <m/>
    <s v="Expert Disbursement"/>
    <m/>
    <s v="N"/>
    <n v="0"/>
    <n v="-54.4"/>
    <x v="5"/>
    <s v="VALIDATED"/>
    <n v="1"/>
    <s v="01.11.80.308.2013.0000"/>
    <n v="-54.4"/>
    <s v="11"/>
    <s v="2013"/>
    <n v="14408.83"/>
    <n v="-54.4"/>
    <s v="CREDITOR"/>
    <n v="0"/>
    <n v="0"/>
    <n v="-54.4"/>
    <n v="0"/>
    <n v="0"/>
  </r>
  <r>
    <n v="61003393"/>
    <s v="N"/>
    <n v="21399928"/>
    <s v="3000015209590018RC"/>
    <s v="CIVIL"/>
    <d v="2023-06-29T00:00:00"/>
    <d v="2023-07-19T19:44:15"/>
    <m/>
    <d v="2023-07-19T00:00:00"/>
    <n v="644"/>
    <n v="16973"/>
    <s v="61003393"/>
    <s v="61003393"/>
    <m/>
    <m/>
    <m/>
    <m/>
    <m/>
    <m/>
    <s v="SOLRECOUP"/>
    <s v="SOLRECOUP"/>
    <s v="POARECOUP"/>
    <n v="21399928"/>
    <n v="-326.4"/>
    <m/>
    <s v="Y"/>
    <n v="1"/>
    <d v="2023-07-19T19:44:17"/>
    <s v="N"/>
    <m/>
    <m/>
    <s v="Expert Disbursement"/>
    <m/>
    <s v="N"/>
    <n v="-272"/>
    <n v="0"/>
    <x v="5"/>
    <s v="VALIDATED"/>
    <n v="1"/>
    <s v="01.11.80.308.2013.0000"/>
    <n v="-272"/>
    <s v="11"/>
    <s v="2013"/>
    <n v="14408.83"/>
    <n v="-272"/>
    <s v="CREDITOR"/>
    <n v="0"/>
    <n v="0"/>
    <n v="-272"/>
    <n v="0"/>
    <n v="0"/>
  </r>
  <r>
    <n v="61003393"/>
    <s v="N"/>
    <n v="21399056"/>
    <s v="3000015209590003RC"/>
    <s v="CIVIL"/>
    <d v="2023-06-29T00:00:00"/>
    <d v="2023-07-19T19:43:58"/>
    <m/>
    <d v="2023-07-19T00:00:00"/>
    <n v="644"/>
    <n v="16973"/>
    <s v="61003393"/>
    <s v="61003393"/>
    <m/>
    <m/>
    <m/>
    <m/>
    <m/>
    <m/>
    <s v="SOLRECOUP"/>
    <s v="SOLRECOUP"/>
    <s v="POARECOUP"/>
    <n v="21399056"/>
    <n v="-977.7"/>
    <m/>
    <s v="Y"/>
    <n v="1"/>
    <d v="2023-07-19T19:44:01"/>
    <s v="N"/>
    <m/>
    <m/>
    <s v="Expert Disbursement"/>
    <m/>
    <s v="N"/>
    <n v="-814.75"/>
    <n v="0"/>
    <x v="5"/>
    <s v="VALIDATED"/>
    <n v="1"/>
    <s v="01.11.80.308.2013.0000"/>
    <n v="-814.75"/>
    <s v="11"/>
    <s v="2013"/>
    <n v="14408.83"/>
    <n v="-814.75"/>
    <s v="CREDITOR"/>
    <n v="0"/>
    <n v="0"/>
    <n v="-814.75"/>
    <n v="0"/>
    <n v="0"/>
  </r>
  <r>
    <n v="61003393"/>
    <s v="N"/>
    <n v="21399056"/>
    <s v="3000015209590003RC"/>
    <s v="CIVIL"/>
    <d v="2023-06-29T00:00:00"/>
    <d v="2023-07-19T19:43:58"/>
    <m/>
    <d v="2023-07-19T00:00:00"/>
    <n v="644"/>
    <n v="16973"/>
    <s v="61003393"/>
    <s v="61003393"/>
    <m/>
    <m/>
    <m/>
    <m/>
    <m/>
    <m/>
    <s v="SOLRECOUP"/>
    <s v="SOLRECOUP"/>
    <s v="POARECOUP"/>
    <n v="21399056"/>
    <n v="-977.7"/>
    <m/>
    <s v="Y"/>
    <n v="2"/>
    <d v="2023-07-19T19:44:01"/>
    <s v="N"/>
    <m/>
    <m/>
    <s v="Expert Disbursement"/>
    <m/>
    <s v="N"/>
    <n v="0"/>
    <n v="-162.95"/>
    <x v="5"/>
    <s v="VALIDATED"/>
    <n v="1"/>
    <s v="01.11.80.308.2013.0000"/>
    <n v="-162.95"/>
    <s v="11"/>
    <s v="2013"/>
    <n v="14408.83"/>
    <n v="-162.95"/>
    <s v="CREDITOR"/>
    <n v="0"/>
    <n v="0"/>
    <n v="-162.95"/>
    <n v="0"/>
    <n v="0"/>
  </r>
  <r>
    <n v="62373396"/>
    <s v="N"/>
    <n v="21319546"/>
    <s v="3000016352620001"/>
    <s v="CIVIL"/>
    <d v="2023-06-28T00:00:00"/>
    <d v="2023-07-03T19:04:24"/>
    <m/>
    <d v="2023-07-03T00:00:00"/>
    <n v="650"/>
    <n v="17040"/>
    <s v="62373396"/>
    <s v="62373396"/>
    <m/>
    <m/>
    <n v="22778198"/>
    <m/>
    <m/>
    <m/>
    <s v="SOLPOA"/>
    <s v="SOLPOA"/>
    <s v="CCMS"/>
    <n v="21319546"/>
    <n v="146.16"/>
    <m/>
    <s v="N"/>
    <n v="1"/>
    <d v="2023-07-03T19:04:26"/>
    <s v="N"/>
    <s v="Expert Cost"/>
    <s v="Expert Cost"/>
    <s v="Expert Disbursement"/>
    <s v="Laura Dodden"/>
    <s v="N"/>
    <n v="121.8"/>
    <n v="24.36"/>
    <x v="3"/>
    <s v="VALIDATED"/>
    <n v="1"/>
    <s v="01.11.80.308.2012.0000"/>
    <n v="121.8"/>
    <s v="11"/>
    <s v="2012"/>
    <n v="-110.2"/>
    <n v="121.8"/>
    <s v="DEBTOR"/>
    <n v="0"/>
    <n v="0"/>
    <n v="0"/>
    <n v="0"/>
    <n v="0"/>
  </r>
  <r>
    <n v="61134848"/>
    <s v="N"/>
    <n v="21366364"/>
    <s v="3000015320570001RC"/>
    <s v="CIVIL"/>
    <d v="2023-06-30T00:00:00"/>
    <d v="2023-07-12T19:45:17"/>
    <m/>
    <d v="2023-07-12T00:00:00"/>
    <n v="650"/>
    <n v="17040"/>
    <s v="61134848"/>
    <s v="61134848"/>
    <m/>
    <m/>
    <m/>
    <m/>
    <m/>
    <m/>
    <s v="SOLRECOUP"/>
    <s v="SOLRECOUP"/>
    <s v="POARECOUP"/>
    <n v="21366364"/>
    <n v="-232"/>
    <m/>
    <s v="Y"/>
    <n v="2"/>
    <d v="2023-07-12T19:45:18"/>
    <s v="N"/>
    <m/>
    <m/>
    <s v="Non Expert Disbursement"/>
    <m/>
    <s v="N"/>
    <n v="0"/>
    <n v="0"/>
    <x v="0"/>
    <s v="VALIDATED"/>
    <n v="1"/>
    <s v="01.11.80.000.0000.0000"/>
    <n v="0"/>
    <s v="11"/>
    <s v="0000"/>
    <n v="-110.2"/>
    <n v="0"/>
    <s v="DEBTOR"/>
    <n v="0"/>
    <n v="0"/>
    <n v="0"/>
    <n v="0"/>
    <n v="0"/>
  </r>
  <r>
    <n v="61134848"/>
    <s v="N"/>
    <n v="21366364"/>
    <s v="3000015320570001RC"/>
    <s v="CIVIL"/>
    <d v="2023-06-30T00:00:00"/>
    <d v="2023-07-12T19:45:17"/>
    <m/>
    <d v="2023-07-12T00:00:00"/>
    <n v="650"/>
    <n v="17040"/>
    <s v="61134848"/>
    <s v="61134848"/>
    <m/>
    <m/>
    <m/>
    <m/>
    <m/>
    <m/>
    <s v="SOLRECOUP"/>
    <s v="SOLRECOUP"/>
    <s v="POARECOUP"/>
    <n v="21366364"/>
    <n v="-232"/>
    <m/>
    <s v="Y"/>
    <n v="1"/>
    <d v="2023-07-12T19:45:18"/>
    <s v="N"/>
    <m/>
    <m/>
    <s v="Non Expert Disbursement"/>
    <m/>
    <s v="N"/>
    <n v="-232"/>
    <n v="0"/>
    <x v="0"/>
    <s v="VALIDATED"/>
    <n v="1"/>
    <s v="01.11.80.307.2013.0000"/>
    <n v="-232"/>
    <s v="11"/>
    <s v="2013"/>
    <n v="-110.2"/>
    <n v="-232"/>
    <s v="DEBTOR"/>
    <n v="0"/>
    <n v="0"/>
    <n v="0"/>
    <n v="0"/>
    <n v="0"/>
  </r>
  <r>
    <n v="61309497"/>
    <s v="N"/>
    <n v="21356400"/>
    <s v="3000015465150002RC"/>
    <s v="CIVIL"/>
    <d v="2023-06-29T00:00:00"/>
    <d v="2023-07-10T19:47:44"/>
    <m/>
    <d v="2023-07-10T00:00:00"/>
    <n v="654"/>
    <n v="17073"/>
    <s v="61309497"/>
    <s v="61309497"/>
    <m/>
    <m/>
    <m/>
    <m/>
    <m/>
    <m/>
    <s v="SOLRECOUP"/>
    <s v="SOLRECOUP"/>
    <s v="POARECOUP"/>
    <n v="21356400"/>
    <n v="-1361.21"/>
    <m/>
    <s v="Y"/>
    <n v="2"/>
    <d v="2023-07-10T19:47:44"/>
    <s v="N"/>
    <m/>
    <m/>
    <s v="Profit Cost"/>
    <m/>
    <s v="N"/>
    <n v="0"/>
    <n v="-226.87"/>
    <x v="2"/>
    <s v="VALIDATED"/>
    <n v="1"/>
    <s v="01.11.80.208.2013.0000"/>
    <n v="-226.87"/>
    <s v="11"/>
    <s v="2013"/>
    <n v="2086.04"/>
    <n v="-226.87"/>
    <s v="CREDITOR"/>
    <n v="0"/>
    <n v="0"/>
    <n v="-226.87"/>
    <n v="-56.7175"/>
    <n v="0"/>
  </r>
  <r>
    <n v="56270265"/>
    <s v="N"/>
    <n v="21361386"/>
    <s v="3000013363660003RC"/>
    <s v="CIVIL"/>
    <d v="2023-06-16T00:00:00"/>
    <d v="2023-07-11T19:38:00"/>
    <m/>
    <d v="2023-07-11T00:00:00"/>
    <n v="654"/>
    <n v="17073"/>
    <s v="56270265"/>
    <s v="56270265"/>
    <m/>
    <m/>
    <m/>
    <m/>
    <m/>
    <m/>
    <s v="SOLRECOUP"/>
    <s v="SOLRECOUP"/>
    <s v="POARECOUP"/>
    <n v="21361386"/>
    <n v="-996.5599999999999"/>
    <m/>
    <s v="Y"/>
    <n v="1"/>
    <d v="2023-07-11T19:38:00"/>
    <s v="N"/>
    <m/>
    <m/>
    <s v="Profit Cost"/>
    <m/>
    <s v="N"/>
    <n v="-830.47"/>
    <n v="0"/>
    <x v="7"/>
    <s v="VALIDATED"/>
    <n v="1"/>
    <s v="01.11.80.208.2013.0000"/>
    <n v="-830.47"/>
    <s v="11"/>
    <s v="2013"/>
    <n v="2086.04"/>
    <n v="-830.47"/>
    <s v="CREDITOR"/>
    <n v="0"/>
    <n v="0"/>
    <n v="-830.47"/>
    <n v="-207.6175"/>
    <n v="0"/>
  </r>
  <r>
    <n v="56270265"/>
    <s v="N"/>
    <n v="21361386"/>
    <s v="3000013363660003RC"/>
    <s v="CIVIL"/>
    <d v="2023-06-16T00:00:00"/>
    <d v="2023-07-11T19:38:00"/>
    <m/>
    <d v="2023-07-11T00:00:00"/>
    <n v="654"/>
    <n v="17073"/>
    <s v="56270265"/>
    <s v="56270265"/>
    <m/>
    <m/>
    <m/>
    <m/>
    <m/>
    <m/>
    <s v="SOLRECOUP"/>
    <s v="SOLRECOUP"/>
    <s v="POARECOUP"/>
    <n v="21361386"/>
    <n v="-996.5599999999999"/>
    <m/>
    <s v="Y"/>
    <n v="2"/>
    <d v="2023-07-11T19:38:00"/>
    <s v="N"/>
    <m/>
    <m/>
    <s v="Profit Cost"/>
    <m/>
    <s v="N"/>
    <n v="0"/>
    <n v="-166.09"/>
    <x v="7"/>
    <s v="VALIDATED"/>
    <n v="1"/>
    <s v="01.11.80.208.2013.0000"/>
    <n v="-166.09"/>
    <s v="11"/>
    <s v="2013"/>
    <n v="2086.04"/>
    <n v="-166.09"/>
    <s v="CREDITOR"/>
    <n v="0"/>
    <n v="0"/>
    <n v="-166.09"/>
    <n v="-41.5225"/>
    <n v="0"/>
  </r>
  <r>
    <n v="56270265"/>
    <s v="N"/>
    <n v="21361387"/>
    <s v="3000013363660002RC"/>
    <s v="CIVIL"/>
    <d v="2023-06-16T00:00:00"/>
    <d v="2023-07-11T19:38:00"/>
    <m/>
    <d v="2023-07-11T00:00:00"/>
    <n v="654"/>
    <n v="17073"/>
    <s v="56270265"/>
    <s v="56270265"/>
    <m/>
    <m/>
    <m/>
    <m/>
    <m/>
    <m/>
    <s v="SOLRECOUP"/>
    <s v="SOLRECOUP"/>
    <s v="POARECOUP"/>
    <n v="21361387"/>
    <n v="-1018.98"/>
    <m/>
    <s v="Y"/>
    <n v="2"/>
    <d v="2023-07-11T19:38:00"/>
    <s v="N"/>
    <m/>
    <m/>
    <s v="Profit Cost"/>
    <m/>
    <s v="N"/>
    <n v="0"/>
    <n v="-169.83"/>
    <x v="7"/>
    <s v="VALIDATED"/>
    <n v="1"/>
    <s v="01.11.80.208.2013.0000"/>
    <n v="-169.83"/>
    <s v="11"/>
    <s v="2013"/>
    <n v="2086.04"/>
    <n v="-169.83"/>
    <s v="CREDITOR"/>
    <n v="0"/>
    <n v="0"/>
    <n v="-169.83"/>
    <n v="-42.4575"/>
    <n v="0"/>
  </r>
  <r>
    <n v="56270265"/>
    <s v="N"/>
    <n v="21361387"/>
    <s v="3000013363660002RC"/>
    <s v="CIVIL"/>
    <d v="2023-06-16T00:00:00"/>
    <d v="2023-07-11T19:38:00"/>
    <m/>
    <d v="2023-07-11T00:00:00"/>
    <n v="654"/>
    <n v="17073"/>
    <s v="56270265"/>
    <s v="56270265"/>
    <m/>
    <m/>
    <m/>
    <m/>
    <m/>
    <m/>
    <s v="SOLRECOUP"/>
    <s v="SOLRECOUP"/>
    <s v="POARECOUP"/>
    <n v="21361387"/>
    <n v="-1018.98"/>
    <m/>
    <s v="Y"/>
    <n v="1"/>
    <d v="2023-07-11T19:38:00"/>
    <s v="N"/>
    <m/>
    <m/>
    <s v="Profit Cost"/>
    <m/>
    <s v="N"/>
    <n v="-849.15"/>
    <n v="0"/>
    <x v="7"/>
    <s v="VALIDATED"/>
    <n v="1"/>
    <s v="01.11.80.208.2013.0000"/>
    <n v="-849.15"/>
    <s v="11"/>
    <s v="2013"/>
    <n v="2086.04"/>
    <n v="-849.15"/>
    <s v="CREDITOR"/>
    <n v="0"/>
    <n v="0"/>
    <n v="-849.15"/>
    <n v="-212.2875"/>
    <n v="0"/>
  </r>
  <r>
    <n v="56270265"/>
    <s v="N"/>
    <n v="21361388"/>
    <s v="3000013363660005RC"/>
    <s v="CIVIL"/>
    <d v="2023-06-16T00:00:00"/>
    <d v="2023-07-11T19:38:00"/>
    <m/>
    <d v="2023-07-11T00:00:00"/>
    <n v="654"/>
    <n v="17073"/>
    <s v="56270265"/>
    <s v="56270265"/>
    <m/>
    <m/>
    <m/>
    <m/>
    <m/>
    <m/>
    <s v="SOLRECOUP"/>
    <s v="SOLRECOUP"/>
    <s v="POARECOUP"/>
    <n v="21361388"/>
    <n v="-2181.19"/>
    <m/>
    <s v="Y"/>
    <n v="1"/>
    <d v="2023-07-11T19:38:01"/>
    <s v="N"/>
    <m/>
    <m/>
    <s v="Profit Cost"/>
    <m/>
    <s v="N"/>
    <n v="-1817.66"/>
    <n v="0"/>
    <x v="7"/>
    <s v="VALIDATED"/>
    <n v="1"/>
    <s v="01.11.80.208.2013.0000"/>
    <n v="-1817.66"/>
    <s v="11"/>
    <s v="2013"/>
    <n v="2086.04"/>
    <n v="-1817.66"/>
    <s v="CREDITOR"/>
    <n v="0"/>
    <n v="0"/>
    <n v="-1817.66"/>
    <n v="-454.415"/>
    <n v="0"/>
  </r>
  <r>
    <n v="56270265"/>
    <s v="N"/>
    <n v="21361388"/>
    <s v="3000013363660005RC"/>
    <s v="CIVIL"/>
    <d v="2023-06-16T00:00:00"/>
    <d v="2023-07-11T19:38:00"/>
    <m/>
    <d v="2023-07-11T00:00:00"/>
    <n v="654"/>
    <n v="17073"/>
    <s v="56270265"/>
    <s v="56270265"/>
    <m/>
    <m/>
    <m/>
    <m/>
    <m/>
    <m/>
    <s v="SOLRECOUP"/>
    <s v="SOLRECOUP"/>
    <s v="POARECOUP"/>
    <n v="21361388"/>
    <n v="-2181.19"/>
    <m/>
    <s v="Y"/>
    <n v="2"/>
    <d v="2023-07-11T19:38:01"/>
    <s v="N"/>
    <m/>
    <m/>
    <s v="Profit Cost"/>
    <m/>
    <s v="N"/>
    <n v="0"/>
    <n v="-363.53"/>
    <x v="7"/>
    <s v="VALIDATED"/>
    <n v="1"/>
    <s v="01.11.80.208.2013.0000"/>
    <n v="-363.53"/>
    <s v="11"/>
    <s v="2013"/>
    <n v="2086.04"/>
    <n v="-363.53"/>
    <s v="CREDITOR"/>
    <n v="0"/>
    <n v="0"/>
    <n v="-363.53"/>
    <n v="-90.88249999999999"/>
    <n v="0"/>
  </r>
  <r>
    <n v="56270265"/>
    <s v="N"/>
    <n v="21361389"/>
    <s v="3000013363660001RC"/>
    <s v="CIVIL"/>
    <d v="2023-06-16T00:00:00"/>
    <d v="2023-07-11T19:38:00"/>
    <m/>
    <d v="2023-07-11T00:00:00"/>
    <n v="654"/>
    <n v="17073"/>
    <s v="56270265"/>
    <s v="56270265"/>
    <m/>
    <m/>
    <m/>
    <m/>
    <m/>
    <m/>
    <s v="SOLRECOUP"/>
    <s v="SOLRECOUP"/>
    <s v="POARECOUP"/>
    <n v="21361389"/>
    <n v="-255"/>
    <m/>
    <s v="Y"/>
    <n v="1"/>
    <d v="2023-07-11T19:38:01"/>
    <s v="N"/>
    <m/>
    <m/>
    <s v="Non Expert Disbursement"/>
    <m/>
    <s v="N"/>
    <n v="-255"/>
    <n v="0"/>
    <x v="7"/>
    <s v="VALIDATED"/>
    <n v="1"/>
    <s v="01.11.80.208.2013.0000"/>
    <n v="-255"/>
    <s v="11"/>
    <s v="2013"/>
    <n v="2086.04"/>
    <n v="-255"/>
    <s v="CREDITOR"/>
    <n v="0"/>
    <n v="0"/>
    <n v="-255"/>
    <n v="0"/>
    <n v="0"/>
  </r>
  <r>
    <n v="56270265"/>
    <s v="N"/>
    <n v="21361389"/>
    <s v="3000013363660001RC"/>
    <s v="CIVIL"/>
    <d v="2023-06-16T00:00:00"/>
    <d v="2023-07-11T19:38:00"/>
    <m/>
    <d v="2023-07-11T00:00:00"/>
    <n v="654"/>
    <n v="17073"/>
    <s v="56270265"/>
    <s v="56270265"/>
    <m/>
    <m/>
    <m/>
    <m/>
    <m/>
    <m/>
    <s v="SOLRECOUP"/>
    <s v="SOLRECOUP"/>
    <s v="POARECOUP"/>
    <n v="21361389"/>
    <n v="-255"/>
    <m/>
    <s v="Y"/>
    <n v="2"/>
    <d v="2023-07-11T19:38:01"/>
    <s v="N"/>
    <m/>
    <m/>
    <s v="Non Expert Disbursement"/>
    <m/>
    <s v="N"/>
    <n v="0"/>
    <n v="0"/>
    <x v="7"/>
    <s v="VALIDATED"/>
    <n v="1"/>
    <s v="01.11.80.000.0000.0000"/>
    <n v="0"/>
    <s v="11"/>
    <s v="0000"/>
    <n v="2086.04"/>
    <n v="0"/>
    <s v="CREDITOR"/>
    <n v="0"/>
    <n v="0"/>
    <n v="0"/>
    <n v="0"/>
    <n v="0"/>
  </r>
  <r>
    <n v="56270265"/>
    <s v="N"/>
    <n v="21361390"/>
    <s v="3000013363660004RC"/>
    <s v="CIVIL"/>
    <d v="2023-06-16T00:00:00"/>
    <d v="2023-07-11T19:38:00"/>
    <m/>
    <d v="2023-07-11T00:00:00"/>
    <n v="654"/>
    <n v="17073"/>
    <s v="56270265"/>
    <s v="56270265"/>
    <m/>
    <m/>
    <m/>
    <m/>
    <m/>
    <m/>
    <s v="SOLRECOUP"/>
    <s v="SOLRECOUP"/>
    <s v="POARECOUP"/>
    <n v="21361390"/>
    <n v="-552.66"/>
    <m/>
    <s v="Y"/>
    <n v="2"/>
    <d v="2023-07-11T19:38:01"/>
    <s v="N"/>
    <m/>
    <m/>
    <s v="Profit Cost"/>
    <m/>
    <s v="N"/>
    <n v="0"/>
    <n v="-92.11"/>
    <x v="7"/>
    <s v="VALIDATED"/>
    <n v="1"/>
    <s v="01.11.80.208.2013.0000"/>
    <n v="-92.11"/>
    <s v="11"/>
    <s v="2013"/>
    <n v="2086.04"/>
    <n v="-92.11"/>
    <s v="CREDITOR"/>
    <n v="0"/>
    <n v="0"/>
    <n v="-92.11"/>
    <n v="-23.0275"/>
    <n v="0"/>
  </r>
  <r>
    <n v="56270265"/>
    <s v="N"/>
    <n v="21361390"/>
    <s v="3000013363660004RC"/>
    <s v="CIVIL"/>
    <d v="2023-06-16T00:00:00"/>
    <d v="2023-07-11T19:38:00"/>
    <m/>
    <d v="2023-07-11T00:00:00"/>
    <n v="654"/>
    <n v="17073"/>
    <s v="56270265"/>
    <s v="56270265"/>
    <m/>
    <m/>
    <m/>
    <m/>
    <m/>
    <m/>
    <s v="SOLRECOUP"/>
    <s v="SOLRECOUP"/>
    <s v="POARECOUP"/>
    <n v="21361390"/>
    <n v="-552.66"/>
    <m/>
    <s v="Y"/>
    <n v="1"/>
    <d v="2023-07-11T19:38:01"/>
    <s v="N"/>
    <m/>
    <m/>
    <s v="Profit Cost"/>
    <m/>
    <s v="N"/>
    <n v="-460.55"/>
    <n v="0"/>
    <x v="7"/>
    <s v="VALIDATED"/>
    <n v="1"/>
    <s v="01.11.80.208.2013.0000"/>
    <n v="-460.55"/>
    <s v="11"/>
    <s v="2013"/>
    <n v="2086.04"/>
    <n v="-460.55"/>
    <s v="CREDITOR"/>
    <n v="0"/>
    <n v="0"/>
    <n v="-460.55"/>
    <n v="-115.1375"/>
    <n v="0"/>
  </r>
  <r>
    <n v="56270265"/>
    <s v="N"/>
    <n v="21361391"/>
    <s v="3000013363660006RC"/>
    <s v="CIVIL"/>
    <d v="2023-06-16T00:00:00"/>
    <d v="2023-07-11T19:38:00"/>
    <m/>
    <d v="2023-07-11T00:00:00"/>
    <n v="654"/>
    <n v="17073"/>
    <s v="56270265"/>
    <s v="56270265"/>
    <m/>
    <m/>
    <m/>
    <m/>
    <m/>
    <m/>
    <s v="SOLRECOUP"/>
    <s v="SOLRECOUP"/>
    <s v="POARECOUP"/>
    <n v="21361391"/>
    <n v="-969"/>
    <m/>
    <s v="Y"/>
    <n v="1"/>
    <d v="2023-07-11T19:38:01"/>
    <s v="N"/>
    <m/>
    <m/>
    <s v="Expert Disbursement"/>
    <m/>
    <s v="N"/>
    <n v="-807.5"/>
    <n v="0"/>
    <x v="7"/>
    <s v="VALIDATED"/>
    <n v="1"/>
    <s v="01.11.80.208.2013.0000"/>
    <n v="-807.5"/>
    <s v="11"/>
    <s v="2013"/>
    <n v="2086.04"/>
    <n v="-807.5"/>
    <s v="CREDITOR"/>
    <n v="0"/>
    <n v="0"/>
    <n v="-807.5"/>
    <n v="0"/>
    <n v="0"/>
  </r>
  <r>
    <n v="56270265"/>
    <s v="N"/>
    <n v="21361391"/>
    <s v="3000013363660006RC"/>
    <s v="CIVIL"/>
    <d v="2023-06-16T00:00:00"/>
    <d v="2023-07-11T19:38:00"/>
    <m/>
    <d v="2023-07-11T00:00:00"/>
    <n v="654"/>
    <n v="17073"/>
    <s v="56270265"/>
    <s v="56270265"/>
    <m/>
    <m/>
    <m/>
    <m/>
    <m/>
    <m/>
    <s v="SOLRECOUP"/>
    <s v="SOLRECOUP"/>
    <s v="POARECOUP"/>
    <n v="21361391"/>
    <n v="-969"/>
    <m/>
    <s v="Y"/>
    <n v="2"/>
    <d v="2023-07-11T19:38:01"/>
    <s v="N"/>
    <m/>
    <m/>
    <s v="Expert Disbursement"/>
    <m/>
    <s v="N"/>
    <n v="0"/>
    <n v="-161.5"/>
    <x v="7"/>
    <s v="VALIDATED"/>
    <n v="1"/>
    <s v="01.11.80.208.2013.0000"/>
    <n v="-161.5"/>
    <s v="11"/>
    <s v="2013"/>
    <n v="2086.04"/>
    <n v="-161.5"/>
    <s v="CREDITOR"/>
    <n v="0"/>
    <n v="0"/>
    <n v="-161.5"/>
    <n v="0"/>
    <n v="0"/>
  </r>
  <r>
    <n v="60241682"/>
    <s v="N"/>
    <n v="21399414"/>
    <s v="3000014529300004RC"/>
    <s v="CIVIL"/>
    <d v="2023-06-29T00:00:00"/>
    <d v="2023-07-19T19:44:15"/>
    <m/>
    <d v="2023-07-19T00:00:00"/>
    <n v="654"/>
    <n v="17073"/>
    <s v="60241682"/>
    <s v="60241682"/>
    <m/>
    <m/>
    <m/>
    <m/>
    <m/>
    <m/>
    <s v="SOLRECOUP"/>
    <s v="SOLRECOUP"/>
    <s v="POARECOUP"/>
    <n v="21399414"/>
    <n v="-167"/>
    <m/>
    <s v="Y"/>
    <n v="2"/>
    <d v="2023-07-19T19:44:15"/>
    <s v="N"/>
    <m/>
    <m/>
    <s v="Non Expert Disbursement"/>
    <m/>
    <s v="N"/>
    <n v="0"/>
    <n v="0"/>
    <x v="5"/>
    <s v="VALIDATED"/>
    <n v="1"/>
    <s v="01.11.80.000.0000.0000"/>
    <n v="0"/>
    <s v="11"/>
    <s v="0000"/>
    <n v="2086.04"/>
    <n v="0"/>
    <s v="CREDITOR"/>
    <n v="0"/>
    <n v="0"/>
    <n v="0"/>
    <n v="0"/>
    <n v="0"/>
  </r>
  <r>
    <n v="60241682"/>
    <s v="N"/>
    <n v="21399414"/>
    <s v="3000014529300004RC"/>
    <s v="CIVIL"/>
    <d v="2023-06-29T00:00:00"/>
    <d v="2023-07-19T19:44:15"/>
    <m/>
    <d v="2023-07-19T00:00:00"/>
    <n v="654"/>
    <n v="17073"/>
    <s v="60241682"/>
    <s v="60241682"/>
    <m/>
    <m/>
    <m/>
    <m/>
    <m/>
    <m/>
    <s v="SOLRECOUP"/>
    <s v="SOLRECOUP"/>
    <s v="POARECOUP"/>
    <n v="21399414"/>
    <n v="-167"/>
    <m/>
    <s v="Y"/>
    <n v="1"/>
    <d v="2023-07-19T19:44:15"/>
    <s v="N"/>
    <m/>
    <m/>
    <s v="Non Expert Disbursement"/>
    <m/>
    <s v="N"/>
    <n v="-167"/>
    <n v="0"/>
    <x v="5"/>
    <s v="VALIDATED"/>
    <n v="1"/>
    <s v="01.11.80.303.2013.0000"/>
    <n v="-167"/>
    <s v="11"/>
    <s v="2013"/>
    <n v="2086.04"/>
    <n v="-167"/>
    <s v="CREDITOR"/>
    <n v="0"/>
    <n v="0"/>
    <n v="-167"/>
    <n v="0"/>
    <n v="0"/>
  </r>
  <r>
    <n v="60241682"/>
    <s v="N"/>
    <n v="21399458"/>
    <s v="3000014529300006RC"/>
    <s v="CIVIL"/>
    <d v="2023-06-29T00:00:00"/>
    <d v="2023-07-19T19:44:15"/>
    <m/>
    <d v="2023-07-19T00:00:00"/>
    <n v="654"/>
    <n v="17073"/>
    <s v="60241682"/>
    <s v="60241682"/>
    <m/>
    <m/>
    <m/>
    <m/>
    <m/>
    <m/>
    <s v="SOLRECOUP"/>
    <s v="SOLRECOUP"/>
    <s v="POARECOUP"/>
    <n v="21399458"/>
    <n v="-1413.92"/>
    <m/>
    <s v="Y"/>
    <n v="1"/>
    <d v="2023-07-19T19:44:15"/>
    <s v="N"/>
    <m/>
    <m/>
    <s v="Profit Cost"/>
    <m/>
    <s v="N"/>
    <n v="-1178.27"/>
    <n v="0"/>
    <x v="5"/>
    <s v="VALIDATED"/>
    <n v="1"/>
    <s v="01.11.80.303.2013.0000"/>
    <n v="-1178.27"/>
    <s v="11"/>
    <s v="2013"/>
    <n v="2086.04"/>
    <n v="-1178.27"/>
    <s v="CREDITOR"/>
    <n v="0"/>
    <n v="0"/>
    <n v="-1178.27"/>
    <n v="-294.5675"/>
    <n v="0"/>
  </r>
  <r>
    <n v="60241682"/>
    <s v="N"/>
    <n v="21399458"/>
    <s v="3000014529300006RC"/>
    <s v="CIVIL"/>
    <d v="2023-06-29T00:00:00"/>
    <d v="2023-07-19T19:44:15"/>
    <m/>
    <d v="2023-07-19T00:00:00"/>
    <n v="654"/>
    <n v="17073"/>
    <s v="60241682"/>
    <s v="60241682"/>
    <m/>
    <m/>
    <m/>
    <m/>
    <m/>
    <m/>
    <s v="SOLRECOUP"/>
    <s v="SOLRECOUP"/>
    <s v="POARECOUP"/>
    <n v="21399458"/>
    <n v="-1413.92"/>
    <m/>
    <s v="Y"/>
    <n v="2"/>
    <d v="2023-07-19T19:44:15"/>
    <s v="N"/>
    <m/>
    <m/>
    <s v="Profit Cost"/>
    <m/>
    <s v="N"/>
    <n v="0"/>
    <n v="-235.65"/>
    <x v="5"/>
    <s v="VALIDATED"/>
    <n v="1"/>
    <s v="01.11.80.303.2013.0000"/>
    <n v="-235.65"/>
    <s v="11"/>
    <s v="2013"/>
    <n v="2086.04"/>
    <n v="-235.65"/>
    <s v="CREDITOR"/>
    <n v="0"/>
    <n v="0"/>
    <n v="-235.65"/>
    <n v="-58.9125"/>
    <n v="0"/>
  </r>
  <r>
    <n v="60241682"/>
    <s v="N"/>
    <n v="21398820"/>
    <s v="3000014529300001RC"/>
    <s v="CIVIL"/>
    <d v="2023-06-29T00:00:00"/>
    <d v="2023-07-19T19:43:58"/>
    <m/>
    <d v="2023-07-19T00:00:00"/>
    <n v="654"/>
    <n v="17073"/>
    <s v="60241682"/>
    <s v="60241682"/>
    <m/>
    <m/>
    <m/>
    <m/>
    <m/>
    <m/>
    <s v="SOLRECOUP"/>
    <s v="SOLRECOUP"/>
    <s v="POARECOUP"/>
    <n v="21398820"/>
    <n v="-275"/>
    <m/>
    <s v="Y"/>
    <n v="1"/>
    <d v="2023-07-19T19:44:00"/>
    <s v="N"/>
    <m/>
    <m/>
    <s v="Non Expert Disbursement"/>
    <m/>
    <s v="N"/>
    <n v="-275"/>
    <n v="0"/>
    <x v="5"/>
    <s v="VALIDATED"/>
    <n v="1"/>
    <s v="01.11.80.303.2013.0000"/>
    <n v="-275"/>
    <s v="11"/>
    <s v="2013"/>
    <n v="2086.04"/>
    <n v="-275"/>
    <s v="CREDITOR"/>
    <n v="0"/>
    <n v="0"/>
    <n v="-275"/>
    <n v="0"/>
    <n v="0"/>
  </r>
  <r>
    <n v="60241682"/>
    <s v="N"/>
    <n v="21398820"/>
    <s v="3000014529300001RC"/>
    <s v="CIVIL"/>
    <d v="2023-06-29T00:00:00"/>
    <d v="2023-07-19T19:43:58"/>
    <m/>
    <d v="2023-07-19T00:00:00"/>
    <n v="654"/>
    <n v="17073"/>
    <s v="60241682"/>
    <s v="60241682"/>
    <m/>
    <m/>
    <m/>
    <m/>
    <m/>
    <m/>
    <s v="SOLRECOUP"/>
    <s v="SOLRECOUP"/>
    <s v="POARECOUP"/>
    <n v="21398820"/>
    <n v="-275"/>
    <m/>
    <s v="Y"/>
    <n v="2"/>
    <d v="2023-07-19T19:44:00"/>
    <s v="N"/>
    <m/>
    <m/>
    <s v="Non Expert Disbursement"/>
    <m/>
    <s v="N"/>
    <n v="0"/>
    <n v="0"/>
    <x v="5"/>
    <s v="VALIDATED"/>
    <n v="1"/>
    <s v="01.11.80.000.0000.0000"/>
    <n v="0"/>
    <s v="11"/>
    <s v="0000"/>
    <n v="2086.04"/>
    <n v="0"/>
    <s v="CREDITOR"/>
    <n v="0"/>
    <n v="0"/>
    <n v="0"/>
    <n v="0"/>
    <n v="0"/>
  </r>
  <r>
    <n v="60241682"/>
    <s v="N"/>
    <n v="21398901"/>
    <s v="3000014529300002RC"/>
    <s v="CIVIL"/>
    <d v="2023-06-29T00:00:00"/>
    <d v="2023-07-19T19:43:58"/>
    <m/>
    <d v="2023-07-19T00:00:00"/>
    <n v="654"/>
    <n v="17073"/>
    <s v="60241682"/>
    <s v="60241682"/>
    <m/>
    <m/>
    <m/>
    <m/>
    <m/>
    <m/>
    <s v="SOLRECOUP"/>
    <s v="SOLRECOUP"/>
    <s v="POARECOUP"/>
    <n v="21398901"/>
    <n v="-112.68"/>
    <m/>
    <s v="Y"/>
    <n v="2"/>
    <d v="2023-07-19T19:44:00"/>
    <s v="N"/>
    <m/>
    <m/>
    <s v="Expert Disbursement"/>
    <m/>
    <s v="N"/>
    <n v="0"/>
    <n v="-18.78"/>
    <x v="5"/>
    <s v="VALIDATED"/>
    <n v="1"/>
    <s v="01.11.80.303.2013.0000"/>
    <n v="-18.78"/>
    <s v="11"/>
    <s v="2013"/>
    <n v="2086.04"/>
    <n v="-18.78"/>
    <s v="CREDITOR"/>
    <n v="0"/>
    <n v="0"/>
    <n v="-18.78"/>
    <n v="0"/>
    <n v="0"/>
  </r>
  <r>
    <n v="60241682"/>
    <s v="N"/>
    <n v="21398901"/>
    <s v="3000014529300002RC"/>
    <s v="CIVIL"/>
    <d v="2023-06-29T00:00:00"/>
    <d v="2023-07-19T19:43:58"/>
    <m/>
    <d v="2023-07-19T00:00:00"/>
    <n v="654"/>
    <n v="17073"/>
    <s v="60241682"/>
    <s v="60241682"/>
    <m/>
    <m/>
    <m/>
    <m/>
    <m/>
    <m/>
    <s v="SOLRECOUP"/>
    <s v="SOLRECOUP"/>
    <s v="POARECOUP"/>
    <n v="21398901"/>
    <n v="-112.68"/>
    <m/>
    <s v="Y"/>
    <n v="1"/>
    <d v="2023-07-19T19:44:00"/>
    <s v="N"/>
    <m/>
    <m/>
    <s v="Expert Disbursement"/>
    <m/>
    <s v="N"/>
    <n v="-93.90000000000001"/>
    <n v="0"/>
    <x v="5"/>
    <s v="VALIDATED"/>
    <n v="1"/>
    <s v="01.11.80.303.2013.0000"/>
    <n v="-93.90000000000001"/>
    <s v="11"/>
    <s v="2013"/>
    <n v="2086.04"/>
    <n v="-93.90000000000001"/>
    <s v="CREDITOR"/>
    <n v="0"/>
    <n v="0"/>
    <n v="-93.90000000000001"/>
    <n v="0"/>
    <n v="0"/>
  </r>
  <r>
    <n v="60241682"/>
    <s v="N"/>
    <n v="21398916"/>
    <s v="3000014529300003RC"/>
    <s v="CIVIL"/>
    <d v="2023-06-29T00:00:00"/>
    <d v="2023-07-19T19:43:58"/>
    <m/>
    <d v="2023-07-19T00:00:00"/>
    <n v="654"/>
    <n v="17073"/>
    <s v="60241682"/>
    <s v="60241682"/>
    <m/>
    <m/>
    <m/>
    <m/>
    <m/>
    <m/>
    <s v="SOLRECOUP"/>
    <s v="SOLRECOUP"/>
    <s v="POARECOUP"/>
    <n v="21398916"/>
    <n v="-376.32"/>
    <m/>
    <s v="Y"/>
    <n v="2"/>
    <d v="2023-07-19T19:44:00"/>
    <s v="N"/>
    <m/>
    <m/>
    <s v="Profit Cost"/>
    <m/>
    <s v="N"/>
    <n v="0"/>
    <n v="-62.72"/>
    <x v="5"/>
    <s v="VALIDATED"/>
    <n v="1"/>
    <s v="01.11.80.303.2013.0000"/>
    <n v="-62.72"/>
    <s v="11"/>
    <s v="2013"/>
    <n v="2086.04"/>
    <n v="-62.72"/>
    <s v="CREDITOR"/>
    <n v="0"/>
    <n v="0"/>
    <n v="-62.72"/>
    <n v="-15.68"/>
    <n v="0"/>
  </r>
  <r>
    <n v="60241682"/>
    <s v="N"/>
    <n v="21398916"/>
    <s v="3000014529300003RC"/>
    <s v="CIVIL"/>
    <d v="2023-06-29T00:00:00"/>
    <d v="2023-07-19T19:43:58"/>
    <m/>
    <d v="2023-07-19T00:00:00"/>
    <n v="654"/>
    <n v="17073"/>
    <s v="60241682"/>
    <s v="60241682"/>
    <m/>
    <m/>
    <m/>
    <m/>
    <m/>
    <m/>
    <s v="SOLRECOUP"/>
    <s v="SOLRECOUP"/>
    <s v="POARECOUP"/>
    <n v="21398916"/>
    <n v="-376.32"/>
    <m/>
    <s v="Y"/>
    <n v="1"/>
    <d v="2023-07-19T19:44:00"/>
    <s v="N"/>
    <m/>
    <m/>
    <s v="Profit Cost"/>
    <m/>
    <s v="N"/>
    <n v="-313.6"/>
    <n v="0"/>
    <x v="5"/>
    <s v="VALIDATED"/>
    <n v="1"/>
    <s v="01.11.80.303.2013.0000"/>
    <n v="-313.6"/>
    <s v="11"/>
    <s v="2013"/>
    <n v="2086.04"/>
    <n v="-313.6"/>
    <s v="CREDITOR"/>
    <n v="0"/>
    <n v="0"/>
    <n v="-313.6"/>
    <n v="-78.40000000000001"/>
    <n v="0"/>
  </r>
  <r>
    <n v="60241682"/>
    <s v="N"/>
    <n v="21399218"/>
    <s v="3000014529300007RC"/>
    <s v="CIVIL"/>
    <d v="2023-06-29T00:00:00"/>
    <d v="2023-07-19T19:43:58"/>
    <m/>
    <d v="2023-07-19T00:00:00"/>
    <n v="654"/>
    <n v="17073"/>
    <s v="60241682"/>
    <s v="60241682"/>
    <m/>
    <m/>
    <m/>
    <m/>
    <m/>
    <m/>
    <s v="SOLRECOUP"/>
    <s v="SOLRECOUP"/>
    <s v="POARECOUP"/>
    <n v="21399218"/>
    <n v="-926.11"/>
    <m/>
    <s v="Y"/>
    <n v="2"/>
    <d v="2023-07-19T19:44:02"/>
    <s v="N"/>
    <m/>
    <m/>
    <s v="Profit Cost"/>
    <m/>
    <s v="N"/>
    <n v="0"/>
    <n v="-154.35"/>
    <x v="5"/>
    <s v="VALIDATED"/>
    <n v="1"/>
    <s v="01.11.80.303.2013.0000"/>
    <n v="-154.35"/>
    <s v="11"/>
    <s v="2013"/>
    <n v="2086.04"/>
    <n v="-154.35"/>
    <s v="CREDITOR"/>
    <n v="0"/>
    <n v="0"/>
    <n v="-154.35"/>
    <n v="-38.5875"/>
    <n v="0"/>
  </r>
  <r>
    <n v="60241682"/>
    <s v="N"/>
    <n v="21399218"/>
    <s v="3000014529300007RC"/>
    <s v="CIVIL"/>
    <d v="2023-06-29T00:00:00"/>
    <d v="2023-07-19T19:43:58"/>
    <m/>
    <d v="2023-07-19T00:00:00"/>
    <n v="654"/>
    <n v="17073"/>
    <s v="60241682"/>
    <s v="60241682"/>
    <m/>
    <m/>
    <m/>
    <m/>
    <m/>
    <m/>
    <s v="SOLRECOUP"/>
    <s v="SOLRECOUP"/>
    <s v="POARECOUP"/>
    <n v="21399218"/>
    <n v="-926.11"/>
    <m/>
    <s v="Y"/>
    <n v="1"/>
    <d v="2023-07-19T19:44:02"/>
    <s v="N"/>
    <m/>
    <m/>
    <s v="Profit Cost"/>
    <m/>
    <s v="N"/>
    <n v="-771.76"/>
    <n v="0"/>
    <x v="5"/>
    <s v="VALIDATED"/>
    <n v="1"/>
    <s v="01.11.80.303.2013.0000"/>
    <n v="-771.76"/>
    <s v="11"/>
    <s v="2013"/>
    <n v="2086.04"/>
    <n v="-771.76"/>
    <s v="CREDITOR"/>
    <n v="0"/>
    <n v="0"/>
    <n v="-771.76"/>
    <n v="-192.94"/>
    <n v="0"/>
  </r>
  <r>
    <n v="56270265"/>
    <s v="N"/>
    <n v="21360709"/>
    <s v="3000013363660010"/>
    <s v="CIVIL"/>
    <d v="2023-06-16T00:00:00"/>
    <d v="2023-07-11T19:00:25"/>
    <m/>
    <d v="2023-07-11T00:00:00"/>
    <n v="654"/>
    <n v="17073"/>
    <s v="56270265"/>
    <s v="56270265"/>
    <m/>
    <m/>
    <n v="22707904"/>
    <m/>
    <m/>
    <m/>
    <s v="SOLFIN"/>
    <s v="SOLFIN"/>
    <s v="CCMS"/>
    <n v="21360709"/>
    <n v="7846.57"/>
    <m/>
    <s v="N"/>
    <n v="87"/>
    <d v="2023-07-11T19:00:31"/>
    <s v="Y"/>
    <s v="Preparation - drafting attendance n"/>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42"/>
    <d v="2023-07-11T19:00:31"/>
    <s v="Y"/>
    <s v="Preparation - drafting pleading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6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45"/>
    <d v="2023-07-11T19:00:31"/>
    <s v="Y"/>
    <s v="Preparation - drafting statement"/>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7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35"/>
    <d v="2023-07-11T19:00:31"/>
    <s v="Y"/>
    <s v="Preparation - drafting instruction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8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32"/>
    <d v="2023-07-11T19:00:31"/>
    <s v="Y"/>
    <s v="Attendance upon client"/>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0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27"/>
    <d v="2023-07-11T19:00:31"/>
    <s v="Y"/>
    <s v="Preparation - drafting statement"/>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53"/>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4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49"/>
    <d v="2023-07-11T19:00:31"/>
    <s v="Y"/>
    <s v="Preparation - drafting statement"/>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86"/>
    <d v="2023-07-11T19:00:31"/>
    <s v="Y"/>
    <s v="Preparation - other"/>
    <s v="Non Family Hourly Rates"/>
    <s v="Profit Cost"/>
    <s v="FN"/>
    <s v="Y"/>
    <n v="41.58"/>
    <n v="8.32"/>
    <x v="7"/>
    <s v="VALIDATED"/>
    <n v="1"/>
    <s v="01.11.80.208.6100.0000"/>
    <n v="41.58"/>
    <s v="11"/>
    <s v="6100"/>
    <n v="2086.04"/>
    <n v="41.58"/>
    <s v="CREDITOR"/>
    <n v="0"/>
    <n v="0"/>
    <n v="0"/>
    <n v="0"/>
    <n v="41.58"/>
  </r>
  <r>
    <n v="56270265"/>
    <s v="N"/>
    <n v="21360709"/>
    <s v="3000013363660010"/>
    <s v="CIVIL"/>
    <d v="2023-06-16T00:00:00"/>
    <d v="2023-07-11T19:00:25"/>
    <m/>
    <d v="2023-07-11T00:00:00"/>
    <n v="654"/>
    <n v="17073"/>
    <s v="56270265"/>
    <s v="56270265"/>
    <m/>
    <m/>
    <n v="22707904"/>
    <m/>
    <m/>
    <m/>
    <s v="SOLFIN"/>
    <s v="SOLFIN"/>
    <s v="CCMS"/>
    <n v="21360709"/>
    <n v="7846.57"/>
    <m/>
    <s v="N"/>
    <n v="197"/>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95"/>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35"/>
    <d v="2023-07-11T19:00:31"/>
    <s v="Y"/>
    <s v="Preparation - other"/>
    <s v="Non Family Hourly Rates"/>
    <s v="Profit Cost"/>
    <s v="FN"/>
    <s v="Y"/>
    <n v="5.94"/>
    <n v="1.19"/>
    <x v="7"/>
    <s v="VALIDATED"/>
    <n v="1"/>
    <s v="01.11.80.208.6100.0000"/>
    <n v="5.94"/>
    <s v="11"/>
    <s v="6100"/>
    <n v="2086.04"/>
    <n v="5.94"/>
    <s v="CREDITOR"/>
    <n v="0"/>
    <n v="0"/>
    <n v="0"/>
    <n v="0"/>
    <n v="5.94"/>
  </r>
  <r>
    <n v="56038874"/>
    <s v="N"/>
    <n v="21339929"/>
    <s v="3000013145880033RC"/>
    <s v="CIVIL"/>
    <d v="2023-06-29T00:00:00"/>
    <d v="2023-07-06T19:54:22"/>
    <m/>
    <d v="2023-07-06T00:00:00"/>
    <n v="654"/>
    <n v="17073"/>
    <s v="56038874"/>
    <s v="56038874"/>
    <m/>
    <m/>
    <m/>
    <m/>
    <m/>
    <m/>
    <s v="SOLRECOUP"/>
    <s v="SOLRECOUP"/>
    <s v="POARECOUP"/>
    <n v="21339929"/>
    <n v="-117.25"/>
    <m/>
    <s v="Y"/>
    <n v="2"/>
    <d v="2023-07-06T19:54:23"/>
    <s v="N"/>
    <m/>
    <m/>
    <s v="Expert Disbursement"/>
    <m/>
    <s v="N"/>
    <n v="0"/>
    <n v="-19.54"/>
    <x v="4"/>
    <s v="VALIDATED"/>
    <n v="1"/>
    <s v="01.11.80.307.2013.0000"/>
    <n v="-19.54"/>
    <s v="11"/>
    <s v="2013"/>
    <n v="2086.04"/>
    <n v="-19.54"/>
    <s v="CREDITOR"/>
    <n v="0"/>
    <n v="0"/>
    <n v="-19.54"/>
    <n v="0"/>
    <n v="0"/>
  </r>
  <r>
    <n v="56038874"/>
    <s v="N"/>
    <n v="21339930"/>
    <s v="3000013145880035RC"/>
    <s v="CIVIL"/>
    <d v="2023-06-29T00:00:00"/>
    <d v="2023-07-06T19:54:22"/>
    <m/>
    <d v="2023-07-06T00:00:00"/>
    <n v="654"/>
    <n v="17073"/>
    <s v="56038874"/>
    <s v="56038874"/>
    <m/>
    <m/>
    <m/>
    <m/>
    <m/>
    <m/>
    <s v="SOLRECOUP"/>
    <s v="SOLRECOUP"/>
    <s v="POARECOUP"/>
    <n v="21339930"/>
    <n v="-462.13"/>
    <m/>
    <s v="Y"/>
    <n v="1"/>
    <d v="2023-07-06T19:54:23"/>
    <s v="N"/>
    <m/>
    <m/>
    <s v="Expert Disbursement"/>
    <m/>
    <s v="N"/>
    <n v="-385.11"/>
    <n v="0"/>
    <x v="4"/>
    <s v="VALIDATED"/>
    <n v="1"/>
    <s v="01.11.80.307.2013.0000"/>
    <n v="-385.11"/>
    <s v="11"/>
    <s v="2013"/>
    <n v="2086.04"/>
    <n v="-385.11"/>
    <s v="CREDITOR"/>
    <n v="0"/>
    <n v="0"/>
    <n v="-385.11"/>
    <n v="0"/>
    <n v="0"/>
  </r>
  <r>
    <n v="56038874"/>
    <s v="N"/>
    <n v="21339930"/>
    <s v="3000013145880035RC"/>
    <s v="CIVIL"/>
    <d v="2023-06-29T00:00:00"/>
    <d v="2023-07-06T19:54:22"/>
    <m/>
    <d v="2023-07-06T00:00:00"/>
    <n v="654"/>
    <n v="17073"/>
    <s v="56038874"/>
    <s v="56038874"/>
    <m/>
    <m/>
    <m/>
    <m/>
    <m/>
    <m/>
    <s v="SOLRECOUP"/>
    <s v="SOLRECOUP"/>
    <s v="POARECOUP"/>
    <n v="21339930"/>
    <n v="-462.13"/>
    <m/>
    <s v="Y"/>
    <n v="2"/>
    <d v="2023-07-06T19:54:23"/>
    <s v="N"/>
    <m/>
    <m/>
    <s v="Expert Disbursement"/>
    <m/>
    <s v="N"/>
    <n v="0"/>
    <n v="-77.02"/>
    <x v="4"/>
    <s v="VALIDATED"/>
    <n v="1"/>
    <s v="01.11.80.307.2013.0000"/>
    <n v="-77.02"/>
    <s v="11"/>
    <s v="2013"/>
    <n v="2086.04"/>
    <n v="-77.02"/>
    <s v="CREDITOR"/>
    <n v="0"/>
    <n v="0"/>
    <n v="-77.02"/>
    <n v="0"/>
    <n v="0"/>
  </r>
  <r>
    <n v="56038874"/>
    <s v="N"/>
    <n v="21339931"/>
    <s v="3000013145880037RC"/>
    <s v="CIVIL"/>
    <d v="2023-06-29T00:00:00"/>
    <d v="2023-07-06T19:54:22"/>
    <m/>
    <d v="2023-07-06T00:00:00"/>
    <n v="654"/>
    <n v="17073"/>
    <s v="56038874"/>
    <s v="56038874"/>
    <m/>
    <m/>
    <m/>
    <m/>
    <m/>
    <m/>
    <s v="SOLRECOUP"/>
    <s v="SOLRECOUP"/>
    <s v="POARECOUP"/>
    <n v="21339931"/>
    <n v="-611.4"/>
    <m/>
    <s v="Y"/>
    <n v="1"/>
    <d v="2023-07-06T19:54:23"/>
    <s v="N"/>
    <m/>
    <m/>
    <s v="Expert Disbursement"/>
    <m/>
    <s v="N"/>
    <n v="-509.5"/>
    <n v="0"/>
    <x v="4"/>
    <s v="VALIDATED"/>
    <n v="1"/>
    <s v="01.11.80.307.2013.0000"/>
    <n v="-509.5"/>
    <s v="11"/>
    <s v="2013"/>
    <n v="2086.04"/>
    <n v="-509.5"/>
    <s v="CREDITOR"/>
    <n v="0"/>
    <n v="0"/>
    <n v="-509.5"/>
    <n v="0"/>
    <n v="0"/>
  </r>
  <r>
    <n v="56038874"/>
    <s v="N"/>
    <n v="21339931"/>
    <s v="3000013145880037RC"/>
    <s v="CIVIL"/>
    <d v="2023-06-29T00:00:00"/>
    <d v="2023-07-06T19:54:22"/>
    <m/>
    <d v="2023-07-06T00:00:00"/>
    <n v="654"/>
    <n v="17073"/>
    <s v="56038874"/>
    <s v="56038874"/>
    <m/>
    <m/>
    <m/>
    <m/>
    <m/>
    <m/>
    <s v="SOLRECOUP"/>
    <s v="SOLRECOUP"/>
    <s v="POARECOUP"/>
    <n v="21339931"/>
    <n v="-611.4"/>
    <m/>
    <s v="Y"/>
    <n v="2"/>
    <d v="2023-07-06T19:54:23"/>
    <s v="N"/>
    <m/>
    <m/>
    <s v="Expert Disbursement"/>
    <m/>
    <s v="N"/>
    <n v="0"/>
    <n v="-101.9"/>
    <x v="4"/>
    <s v="VALIDATED"/>
    <n v="1"/>
    <s v="01.11.80.307.2013.0000"/>
    <n v="-101.9"/>
    <s v="11"/>
    <s v="2013"/>
    <n v="2086.04"/>
    <n v="-101.9"/>
    <s v="CREDITOR"/>
    <n v="0"/>
    <n v="0"/>
    <n v="-101.9"/>
    <n v="0"/>
    <n v="0"/>
  </r>
  <r>
    <n v="56038874"/>
    <s v="N"/>
    <n v="21339932"/>
    <s v="3000013145880038RC"/>
    <s v="CIVIL"/>
    <d v="2023-06-29T00:00:00"/>
    <d v="2023-07-06T19:54:22"/>
    <m/>
    <d v="2023-07-06T00:00:00"/>
    <n v="654"/>
    <n v="17073"/>
    <s v="56038874"/>
    <s v="56038874"/>
    <m/>
    <m/>
    <m/>
    <m/>
    <m/>
    <m/>
    <s v="SOLRECOUP"/>
    <s v="SOLRECOUP"/>
    <s v="POARECOUP"/>
    <n v="21339932"/>
    <n v="-32.72"/>
    <m/>
    <s v="Y"/>
    <n v="1"/>
    <d v="2023-07-06T19:54:23"/>
    <s v="N"/>
    <m/>
    <m/>
    <s v="Expert Disbursement"/>
    <m/>
    <s v="N"/>
    <n v="-27.27"/>
    <n v="0"/>
    <x v="4"/>
    <s v="VALIDATED"/>
    <n v="1"/>
    <s v="01.11.80.307.2013.0000"/>
    <n v="-27.27"/>
    <s v="11"/>
    <s v="2013"/>
    <n v="2086.04"/>
    <n v="-27.27"/>
    <s v="CREDITOR"/>
    <n v="0"/>
    <n v="0"/>
    <n v="-27.27"/>
    <n v="0"/>
    <n v="0"/>
  </r>
  <r>
    <n v="56038874"/>
    <s v="N"/>
    <n v="21339932"/>
    <s v="3000013145880038RC"/>
    <s v="CIVIL"/>
    <d v="2023-06-29T00:00:00"/>
    <d v="2023-07-06T19:54:22"/>
    <m/>
    <d v="2023-07-06T00:00:00"/>
    <n v="654"/>
    <n v="17073"/>
    <s v="56038874"/>
    <s v="56038874"/>
    <m/>
    <m/>
    <m/>
    <m/>
    <m/>
    <m/>
    <s v="SOLRECOUP"/>
    <s v="SOLRECOUP"/>
    <s v="POARECOUP"/>
    <n v="21339932"/>
    <n v="-32.72"/>
    <m/>
    <s v="Y"/>
    <n v="2"/>
    <d v="2023-07-06T19:54:23"/>
    <s v="N"/>
    <m/>
    <m/>
    <s v="Expert Disbursement"/>
    <m/>
    <s v="N"/>
    <n v="0"/>
    <n v="-5.45"/>
    <x v="4"/>
    <s v="VALIDATED"/>
    <n v="1"/>
    <s v="01.11.80.307.2013.0000"/>
    <n v="-5.45"/>
    <s v="11"/>
    <s v="2013"/>
    <n v="2086.04"/>
    <n v="-5.45"/>
    <s v="CREDITOR"/>
    <n v="0"/>
    <n v="0"/>
    <n v="-5.45"/>
    <n v="0"/>
    <n v="0"/>
  </r>
  <r>
    <n v="55923514"/>
    <s v="N"/>
    <n v="21346297"/>
    <s v="3000013173190002RC"/>
    <s v="CIVIL"/>
    <d v="2023-06-27T00:00:00"/>
    <d v="2023-07-07T19:34:21"/>
    <m/>
    <d v="2023-07-07T00:00:00"/>
    <n v="654"/>
    <n v="17073"/>
    <s v="55923514"/>
    <s v="55923514"/>
    <m/>
    <m/>
    <m/>
    <m/>
    <m/>
    <m/>
    <s v="SOLRECOUP"/>
    <s v="SOLRECOUP"/>
    <s v="POARECOUP"/>
    <n v="21346297"/>
    <n v="-50"/>
    <m/>
    <s v="Y"/>
    <n v="1"/>
    <d v="2023-07-07T19:34:22"/>
    <s v="N"/>
    <m/>
    <m/>
    <s v="Non Expert Disbursement"/>
    <m/>
    <s v="N"/>
    <n v="-50"/>
    <n v="0"/>
    <x v="9"/>
    <s v="VALIDATED"/>
    <n v="1"/>
    <s v="01.11.80.307.2013.0000"/>
    <n v="-50"/>
    <s v="11"/>
    <s v="2013"/>
    <n v="2086.04"/>
    <n v="-50"/>
    <s v="CREDITOR"/>
    <n v="0"/>
    <n v="0"/>
    <n v="-50"/>
    <n v="0"/>
    <n v="0"/>
  </r>
  <r>
    <n v="55923514"/>
    <s v="N"/>
    <n v="21346297"/>
    <s v="3000013173190002RC"/>
    <s v="CIVIL"/>
    <d v="2023-06-27T00:00:00"/>
    <d v="2023-07-07T19:34:21"/>
    <m/>
    <d v="2023-07-07T00:00:00"/>
    <n v="654"/>
    <n v="17073"/>
    <s v="55923514"/>
    <s v="55923514"/>
    <m/>
    <m/>
    <m/>
    <m/>
    <m/>
    <m/>
    <s v="SOLRECOUP"/>
    <s v="SOLRECOUP"/>
    <s v="POARECOUP"/>
    <n v="21346297"/>
    <n v="-50"/>
    <m/>
    <s v="Y"/>
    <n v="2"/>
    <d v="2023-07-07T19:34:22"/>
    <s v="N"/>
    <m/>
    <m/>
    <s v="Non Expert Disbursement"/>
    <m/>
    <s v="N"/>
    <n v="0"/>
    <n v="0"/>
    <x v="9"/>
    <s v="VALIDATED"/>
    <n v="1"/>
    <s v="01.11.80.000.0000.0000"/>
    <n v="0"/>
    <s v="11"/>
    <s v="0000"/>
    <n v="2086.04"/>
    <n v="0"/>
    <s v="CREDITOR"/>
    <n v="0"/>
    <n v="0"/>
    <n v="0"/>
    <n v="0"/>
    <n v="0"/>
  </r>
  <r>
    <n v="55923514"/>
    <s v="N"/>
    <n v="21346298"/>
    <s v="3000013173190001RC"/>
    <s v="CIVIL"/>
    <d v="2023-06-27T00:00:00"/>
    <d v="2023-07-07T19:34:21"/>
    <m/>
    <d v="2023-07-07T00:00:00"/>
    <n v="654"/>
    <n v="17073"/>
    <s v="55923514"/>
    <s v="55923514"/>
    <m/>
    <m/>
    <m/>
    <m/>
    <m/>
    <m/>
    <s v="SOLRECOUP"/>
    <s v="SOLRECOUP"/>
    <s v="POARECOUP"/>
    <n v="21346298"/>
    <n v="-155"/>
    <m/>
    <s v="Y"/>
    <n v="1"/>
    <d v="2023-07-07T19:34:22"/>
    <s v="N"/>
    <m/>
    <m/>
    <s v="Non Expert Disbursement"/>
    <m/>
    <s v="N"/>
    <n v="-155"/>
    <n v="0"/>
    <x v="9"/>
    <s v="VALIDATED"/>
    <n v="1"/>
    <s v="01.11.80.307.2013.0000"/>
    <n v="-155"/>
    <s v="11"/>
    <s v="2013"/>
    <n v="2086.04"/>
    <n v="-155"/>
    <s v="CREDITOR"/>
    <n v="0"/>
    <n v="0"/>
    <n v="-155"/>
    <n v="0"/>
    <n v="0"/>
  </r>
  <r>
    <n v="55923514"/>
    <s v="N"/>
    <n v="21346298"/>
    <s v="3000013173190001RC"/>
    <s v="CIVIL"/>
    <d v="2023-06-27T00:00:00"/>
    <d v="2023-07-07T19:34:21"/>
    <m/>
    <d v="2023-07-07T00:00:00"/>
    <n v="654"/>
    <n v="17073"/>
    <s v="55923514"/>
    <s v="55923514"/>
    <m/>
    <m/>
    <m/>
    <m/>
    <m/>
    <m/>
    <s v="SOLRECOUP"/>
    <s v="SOLRECOUP"/>
    <s v="POARECOUP"/>
    <n v="21346298"/>
    <n v="-155"/>
    <m/>
    <s v="Y"/>
    <n v="2"/>
    <d v="2023-07-07T19:34:22"/>
    <s v="N"/>
    <m/>
    <m/>
    <s v="Non Expert Disbursement"/>
    <m/>
    <s v="N"/>
    <n v="0"/>
    <n v="0"/>
    <x v="9"/>
    <s v="VALIDATED"/>
    <n v="1"/>
    <s v="01.11.80.000.0000.0000"/>
    <n v="0"/>
    <s v="11"/>
    <s v="0000"/>
    <n v="2086.04"/>
    <n v="0"/>
    <s v="CREDITOR"/>
    <n v="0"/>
    <n v="0"/>
    <n v="0"/>
    <n v="0"/>
    <n v="0"/>
  </r>
  <r>
    <n v="55923514"/>
    <s v="N"/>
    <n v="21346299"/>
    <s v="3000013173190003RC"/>
    <s v="CIVIL"/>
    <d v="2023-06-27T00:00:00"/>
    <d v="2023-07-07T19:34:21"/>
    <m/>
    <d v="2023-07-07T00:00:00"/>
    <n v="654"/>
    <n v="17073"/>
    <s v="55923514"/>
    <s v="55923514"/>
    <m/>
    <m/>
    <m/>
    <m/>
    <m/>
    <m/>
    <s v="SOLRECOUP"/>
    <s v="SOLRECOUP"/>
    <s v="POARECOUP"/>
    <n v="21346299"/>
    <n v="-906"/>
    <m/>
    <s v="Y"/>
    <n v="1"/>
    <d v="2023-07-07T19:34:22"/>
    <s v="N"/>
    <m/>
    <m/>
    <s v="Expert Disbursement"/>
    <m/>
    <s v="N"/>
    <n v="-755"/>
    <n v="0"/>
    <x v="9"/>
    <s v="VALIDATED"/>
    <n v="1"/>
    <s v="01.11.80.307.2013.0000"/>
    <n v="-755"/>
    <s v="11"/>
    <s v="2013"/>
    <n v="2086.04"/>
    <n v="-755"/>
    <s v="CREDITOR"/>
    <n v="0"/>
    <n v="0"/>
    <n v="-755"/>
    <n v="0"/>
    <n v="0"/>
  </r>
  <r>
    <n v="55923514"/>
    <s v="N"/>
    <n v="21346299"/>
    <s v="3000013173190003RC"/>
    <s v="CIVIL"/>
    <d v="2023-06-27T00:00:00"/>
    <d v="2023-07-07T19:34:21"/>
    <m/>
    <d v="2023-07-07T00:00:00"/>
    <n v="654"/>
    <n v="17073"/>
    <s v="55923514"/>
    <s v="55923514"/>
    <m/>
    <m/>
    <m/>
    <m/>
    <m/>
    <m/>
    <s v="SOLRECOUP"/>
    <s v="SOLRECOUP"/>
    <s v="POARECOUP"/>
    <n v="21346299"/>
    <n v="-906"/>
    <m/>
    <s v="Y"/>
    <n v="2"/>
    <d v="2023-07-07T19:34:22"/>
    <s v="N"/>
    <m/>
    <m/>
    <s v="Expert Disbursement"/>
    <m/>
    <s v="N"/>
    <n v="0"/>
    <n v="-151"/>
    <x v="9"/>
    <s v="VALIDATED"/>
    <n v="1"/>
    <s v="01.11.80.307.2013.0000"/>
    <n v="-151"/>
    <s v="11"/>
    <s v="2013"/>
    <n v="2086.04"/>
    <n v="-151"/>
    <s v="CREDITOR"/>
    <n v="0"/>
    <n v="0"/>
    <n v="-151"/>
    <n v="0"/>
    <n v="0"/>
  </r>
  <r>
    <n v="55923514"/>
    <s v="N"/>
    <n v="21346300"/>
    <s v="3000013173190004RC"/>
    <s v="CIVIL"/>
    <d v="2023-06-27T00:00:00"/>
    <d v="2023-07-07T19:34:21"/>
    <m/>
    <d v="2023-07-07T00:00:00"/>
    <n v="654"/>
    <n v="17073"/>
    <s v="55923514"/>
    <s v="55923514"/>
    <m/>
    <m/>
    <m/>
    <m/>
    <m/>
    <m/>
    <s v="SOLRECOUP"/>
    <s v="SOLRECOUP"/>
    <s v="POARECOUP"/>
    <n v="21346300"/>
    <n v="-1027.64"/>
    <m/>
    <s v="Y"/>
    <n v="1"/>
    <d v="2023-07-07T19:34:22"/>
    <s v="N"/>
    <m/>
    <m/>
    <s v="Profit Cost"/>
    <m/>
    <s v="N"/>
    <n v="-856.37"/>
    <n v="0"/>
    <x v="9"/>
    <s v="VALIDATED"/>
    <n v="1"/>
    <s v="01.11.80.307.2013.0000"/>
    <n v="-856.37"/>
    <s v="11"/>
    <s v="2013"/>
    <n v="2086.04"/>
    <n v="-856.37"/>
    <s v="CREDITOR"/>
    <n v="0"/>
    <n v="0"/>
    <n v="-856.37"/>
    <n v="-214.0925"/>
    <n v="0"/>
  </r>
  <r>
    <n v="55923514"/>
    <s v="N"/>
    <n v="21346300"/>
    <s v="3000013173190004RC"/>
    <s v="CIVIL"/>
    <d v="2023-06-27T00:00:00"/>
    <d v="2023-07-07T19:34:21"/>
    <m/>
    <d v="2023-07-07T00:00:00"/>
    <n v="654"/>
    <n v="17073"/>
    <s v="55923514"/>
    <s v="55923514"/>
    <m/>
    <m/>
    <m/>
    <m/>
    <m/>
    <m/>
    <s v="SOLRECOUP"/>
    <s v="SOLRECOUP"/>
    <s v="POARECOUP"/>
    <n v="21346300"/>
    <n v="-1027.64"/>
    <m/>
    <s v="Y"/>
    <n v="2"/>
    <d v="2023-07-07T19:34:22"/>
    <s v="N"/>
    <m/>
    <m/>
    <s v="Profit Cost"/>
    <m/>
    <s v="N"/>
    <n v="0"/>
    <n v="-171.27"/>
    <x v="9"/>
    <s v="VALIDATED"/>
    <n v="1"/>
    <s v="01.11.80.307.2013.0000"/>
    <n v="-171.27"/>
    <s v="11"/>
    <s v="2013"/>
    <n v="2086.04"/>
    <n v="-171.27"/>
    <s v="CREDITOR"/>
    <n v="0"/>
    <n v="0"/>
    <n v="-171.27"/>
    <n v="-42.8175"/>
    <n v="0"/>
  </r>
  <r>
    <n v="55923514"/>
    <s v="N"/>
    <n v="21346301"/>
    <s v="3000013173190005RC"/>
    <s v="CIVIL"/>
    <d v="2023-06-27T00:00:00"/>
    <d v="2023-07-07T19:34:21"/>
    <m/>
    <d v="2023-07-07T00:00:00"/>
    <n v="654"/>
    <n v="17073"/>
    <s v="55923514"/>
    <s v="55923514"/>
    <m/>
    <m/>
    <m/>
    <m/>
    <m/>
    <m/>
    <s v="SOLRECOUP"/>
    <s v="SOLRECOUP"/>
    <s v="POARECOUP"/>
    <n v="21346301"/>
    <n v="-810.2"/>
    <m/>
    <s v="Y"/>
    <n v="1"/>
    <d v="2023-07-07T19:34:22"/>
    <s v="N"/>
    <m/>
    <m/>
    <s v="Profit Cost"/>
    <m/>
    <s v="N"/>
    <n v="-675.17"/>
    <n v="0"/>
    <x v="9"/>
    <s v="VALIDATED"/>
    <n v="1"/>
    <s v="01.11.80.307.2013.0000"/>
    <n v="-675.17"/>
    <s v="11"/>
    <s v="2013"/>
    <n v="2086.04"/>
    <n v="-675.17"/>
    <s v="CREDITOR"/>
    <n v="0"/>
    <n v="0"/>
    <n v="-675.17"/>
    <n v="-168.7925"/>
    <n v="0"/>
  </r>
  <r>
    <n v="55923514"/>
    <s v="N"/>
    <n v="21346301"/>
    <s v="3000013173190005RC"/>
    <s v="CIVIL"/>
    <d v="2023-06-27T00:00:00"/>
    <d v="2023-07-07T19:34:21"/>
    <m/>
    <d v="2023-07-07T00:00:00"/>
    <n v="654"/>
    <n v="17073"/>
    <s v="55923514"/>
    <s v="55923514"/>
    <m/>
    <m/>
    <m/>
    <m/>
    <m/>
    <m/>
    <s v="SOLRECOUP"/>
    <s v="SOLRECOUP"/>
    <s v="POARECOUP"/>
    <n v="21346301"/>
    <n v="-810.2"/>
    <m/>
    <s v="Y"/>
    <n v="2"/>
    <d v="2023-07-07T19:34:22"/>
    <s v="N"/>
    <m/>
    <m/>
    <s v="Profit Cost"/>
    <m/>
    <s v="N"/>
    <n v="0"/>
    <n v="-135.03"/>
    <x v="9"/>
    <s v="VALIDATED"/>
    <n v="1"/>
    <s v="01.11.80.307.2013.0000"/>
    <n v="-135.03"/>
    <s v="11"/>
    <s v="2013"/>
    <n v="2086.04"/>
    <n v="-135.03"/>
    <s v="CREDITOR"/>
    <n v="0"/>
    <n v="0"/>
    <n v="-135.03"/>
    <n v="-33.7575"/>
    <n v="0"/>
  </r>
  <r>
    <n v="55923514"/>
    <s v="N"/>
    <n v="21346302"/>
    <s v="3000013173190006RC"/>
    <s v="CIVIL"/>
    <d v="2023-06-27T00:00:00"/>
    <d v="2023-07-07T19:34:21"/>
    <m/>
    <d v="2023-07-07T00:00:00"/>
    <n v="654"/>
    <n v="17073"/>
    <s v="55923514"/>
    <s v="55923514"/>
    <m/>
    <m/>
    <m/>
    <m/>
    <m/>
    <m/>
    <s v="SOLRECOUP"/>
    <s v="SOLRECOUP"/>
    <s v="POARECOUP"/>
    <n v="21346302"/>
    <n v="-554.16"/>
    <m/>
    <s v="Y"/>
    <n v="2"/>
    <d v="2023-07-07T19:34:22"/>
    <s v="N"/>
    <m/>
    <m/>
    <s v="Profit Cost"/>
    <m/>
    <s v="N"/>
    <n v="0"/>
    <n v="-92.36"/>
    <x v="9"/>
    <s v="VALIDATED"/>
    <n v="1"/>
    <s v="01.11.80.307.2013.0000"/>
    <n v="-92.36"/>
    <s v="11"/>
    <s v="2013"/>
    <n v="2086.04"/>
    <n v="-92.36"/>
    <s v="CREDITOR"/>
    <n v="0"/>
    <n v="0"/>
    <n v="-92.36"/>
    <n v="-23.09"/>
    <n v="0"/>
  </r>
  <r>
    <n v="55923514"/>
    <s v="N"/>
    <n v="21346302"/>
    <s v="3000013173190006RC"/>
    <s v="CIVIL"/>
    <d v="2023-06-27T00:00:00"/>
    <d v="2023-07-07T19:34:21"/>
    <m/>
    <d v="2023-07-07T00:00:00"/>
    <n v="654"/>
    <n v="17073"/>
    <s v="55923514"/>
    <s v="55923514"/>
    <m/>
    <m/>
    <m/>
    <m/>
    <m/>
    <m/>
    <s v="SOLRECOUP"/>
    <s v="SOLRECOUP"/>
    <s v="POARECOUP"/>
    <n v="21346302"/>
    <n v="-554.16"/>
    <m/>
    <s v="Y"/>
    <n v="1"/>
    <d v="2023-07-07T19:34:22"/>
    <s v="N"/>
    <m/>
    <m/>
    <s v="Profit Cost"/>
    <m/>
    <s v="N"/>
    <n v="-461.8"/>
    <n v="0"/>
    <x v="9"/>
    <s v="VALIDATED"/>
    <n v="1"/>
    <s v="01.11.80.307.2013.0000"/>
    <n v="-461.8"/>
    <s v="11"/>
    <s v="2013"/>
    <n v="2086.04"/>
    <n v="-461.8"/>
    <s v="CREDITOR"/>
    <n v="0"/>
    <n v="0"/>
    <n v="-461.8"/>
    <n v="-115.45"/>
    <n v="0"/>
  </r>
  <r>
    <n v="55923514"/>
    <s v="N"/>
    <n v="21346303"/>
    <s v="3000013173190007RC"/>
    <s v="CIVIL"/>
    <d v="2023-06-27T00:00:00"/>
    <d v="2023-07-07T19:34:21"/>
    <m/>
    <d v="2023-07-07T00:00:00"/>
    <n v="654"/>
    <n v="17073"/>
    <s v="55923514"/>
    <s v="55923514"/>
    <m/>
    <m/>
    <m/>
    <m/>
    <m/>
    <m/>
    <s v="SOLRECOUP"/>
    <s v="SOLRECOUP"/>
    <s v="POARECOUP"/>
    <n v="21346303"/>
    <n v="-220.8"/>
    <m/>
    <s v="Y"/>
    <n v="2"/>
    <d v="2023-07-07T19:34:22"/>
    <s v="N"/>
    <m/>
    <m/>
    <s v="Expert Disbursement"/>
    <m/>
    <s v="N"/>
    <n v="0"/>
    <n v="-36.8"/>
    <x v="9"/>
    <s v="VALIDATED"/>
    <n v="1"/>
    <s v="01.11.80.307.2013.0000"/>
    <n v="-36.8"/>
    <s v="11"/>
    <s v="2013"/>
    <n v="2086.04"/>
    <n v="-36.8"/>
    <s v="CREDITOR"/>
    <n v="0"/>
    <n v="0"/>
    <n v="-36.8"/>
    <n v="0"/>
    <n v="0"/>
  </r>
  <r>
    <n v="55923514"/>
    <s v="N"/>
    <n v="21346303"/>
    <s v="3000013173190007RC"/>
    <s v="CIVIL"/>
    <d v="2023-06-27T00:00:00"/>
    <d v="2023-07-07T19:34:21"/>
    <m/>
    <d v="2023-07-07T00:00:00"/>
    <n v="654"/>
    <n v="17073"/>
    <s v="55923514"/>
    <s v="55923514"/>
    <m/>
    <m/>
    <m/>
    <m/>
    <m/>
    <m/>
    <s v="SOLRECOUP"/>
    <s v="SOLRECOUP"/>
    <s v="POARECOUP"/>
    <n v="21346303"/>
    <n v="-220.8"/>
    <m/>
    <s v="Y"/>
    <n v="1"/>
    <d v="2023-07-07T19:34:22"/>
    <s v="N"/>
    <m/>
    <m/>
    <s v="Expert Disbursement"/>
    <m/>
    <s v="N"/>
    <n v="-184"/>
    <n v="0"/>
    <x v="9"/>
    <s v="VALIDATED"/>
    <n v="1"/>
    <s v="01.11.80.307.2013.0000"/>
    <n v="-184"/>
    <s v="11"/>
    <s v="2013"/>
    <n v="2086.04"/>
    <n v="-184"/>
    <s v="CREDITOR"/>
    <n v="0"/>
    <n v="0"/>
    <n v="-184"/>
    <n v="0"/>
    <n v="0"/>
  </r>
  <r>
    <n v="55923514"/>
    <s v="N"/>
    <n v="21346304"/>
    <s v="3000013173190008RC"/>
    <s v="CIVIL"/>
    <d v="2023-06-27T00:00:00"/>
    <d v="2023-07-07T19:34:21"/>
    <m/>
    <d v="2023-07-07T00:00:00"/>
    <n v="654"/>
    <n v="17073"/>
    <s v="55923514"/>
    <s v="55923514"/>
    <m/>
    <m/>
    <m/>
    <m/>
    <m/>
    <m/>
    <s v="SOLRECOUP"/>
    <s v="SOLRECOUP"/>
    <s v="POARECOUP"/>
    <n v="21346304"/>
    <n v="-839.8200000000001"/>
    <m/>
    <s v="Y"/>
    <n v="2"/>
    <d v="2023-07-07T19:34:22"/>
    <s v="N"/>
    <m/>
    <m/>
    <s v="Profit Cost"/>
    <m/>
    <s v="N"/>
    <n v="0"/>
    <n v="-139.97"/>
    <x v="9"/>
    <s v="VALIDATED"/>
    <n v="1"/>
    <s v="01.11.80.307.2013.0000"/>
    <n v="-139.97"/>
    <s v="11"/>
    <s v="2013"/>
    <n v="2086.04"/>
    <n v="-139.97"/>
    <s v="CREDITOR"/>
    <n v="0"/>
    <n v="0"/>
    <n v="-139.97"/>
    <n v="-34.9925"/>
    <n v="0"/>
  </r>
  <r>
    <n v="55923514"/>
    <s v="N"/>
    <n v="21346304"/>
    <s v="3000013173190008RC"/>
    <s v="CIVIL"/>
    <d v="2023-06-27T00:00:00"/>
    <d v="2023-07-07T19:34:21"/>
    <m/>
    <d v="2023-07-07T00:00:00"/>
    <n v="654"/>
    <n v="17073"/>
    <s v="55923514"/>
    <s v="55923514"/>
    <m/>
    <m/>
    <m/>
    <m/>
    <m/>
    <m/>
    <s v="SOLRECOUP"/>
    <s v="SOLRECOUP"/>
    <s v="POARECOUP"/>
    <n v="21346304"/>
    <n v="-839.8200000000001"/>
    <m/>
    <s v="Y"/>
    <n v="1"/>
    <d v="2023-07-07T19:34:22"/>
    <s v="N"/>
    <m/>
    <m/>
    <s v="Profit Cost"/>
    <m/>
    <s v="N"/>
    <n v="-699.85"/>
    <n v="0"/>
    <x v="9"/>
    <s v="VALIDATED"/>
    <n v="1"/>
    <s v="01.11.80.307.2013.0000"/>
    <n v="-699.85"/>
    <s v="11"/>
    <s v="2013"/>
    <n v="2086.04"/>
    <n v="-699.85"/>
    <s v="CREDITOR"/>
    <n v="0"/>
    <n v="0"/>
    <n v="-699.85"/>
    <n v="-174.9625"/>
    <n v="0"/>
  </r>
  <r>
    <n v="55923514"/>
    <s v="N"/>
    <n v="21346305"/>
    <s v="3000013173190009RC"/>
    <s v="CIVIL"/>
    <d v="2023-06-27T00:00:00"/>
    <d v="2023-07-07T19:34:21"/>
    <m/>
    <d v="2023-07-07T00:00:00"/>
    <n v="654"/>
    <n v="17073"/>
    <s v="55923514"/>
    <s v="55923514"/>
    <m/>
    <m/>
    <m/>
    <m/>
    <m/>
    <m/>
    <s v="SOLRECOUP"/>
    <s v="SOLRECOUP"/>
    <s v="POARECOUP"/>
    <n v="21346305"/>
    <n v="-1012.7"/>
    <m/>
    <s v="Y"/>
    <n v="1"/>
    <d v="2023-07-07T19:34:22"/>
    <s v="N"/>
    <m/>
    <m/>
    <s v="Profit Cost"/>
    <m/>
    <s v="N"/>
    <n v="-843.92"/>
    <n v="0"/>
    <x v="9"/>
    <s v="VALIDATED"/>
    <n v="1"/>
    <s v="01.11.80.307.2013.0000"/>
    <n v="-843.92"/>
    <s v="11"/>
    <s v="2013"/>
    <n v="2086.04"/>
    <n v="-843.92"/>
    <s v="CREDITOR"/>
    <n v="0"/>
    <n v="0"/>
    <n v="-843.92"/>
    <n v="-210.98"/>
    <n v="0"/>
  </r>
  <r>
    <n v="55923514"/>
    <s v="N"/>
    <n v="21346305"/>
    <s v="3000013173190009RC"/>
    <s v="CIVIL"/>
    <d v="2023-06-27T00:00:00"/>
    <d v="2023-07-07T19:34:21"/>
    <m/>
    <d v="2023-07-07T00:00:00"/>
    <n v="654"/>
    <n v="17073"/>
    <s v="55923514"/>
    <s v="55923514"/>
    <m/>
    <m/>
    <m/>
    <m/>
    <m/>
    <m/>
    <s v="SOLRECOUP"/>
    <s v="SOLRECOUP"/>
    <s v="POARECOUP"/>
    <n v="21346305"/>
    <n v="-1012.7"/>
    <m/>
    <s v="Y"/>
    <n v="2"/>
    <d v="2023-07-07T19:34:22"/>
    <s v="N"/>
    <m/>
    <m/>
    <s v="Profit Cost"/>
    <m/>
    <s v="N"/>
    <n v="0"/>
    <n v="-168.78"/>
    <x v="9"/>
    <s v="VALIDATED"/>
    <n v="1"/>
    <s v="01.11.80.307.2013.0000"/>
    <n v="-168.78"/>
    <s v="11"/>
    <s v="2013"/>
    <n v="2086.04"/>
    <n v="-168.78"/>
    <s v="CREDITOR"/>
    <n v="0"/>
    <n v="0"/>
    <n v="-168.78"/>
    <n v="-42.195"/>
    <n v="0"/>
  </r>
  <r>
    <n v="56038874"/>
    <s v="N"/>
    <n v="21339925"/>
    <s v="3000013145880029RC"/>
    <s v="CIVIL"/>
    <d v="2023-06-29T00:00:00"/>
    <d v="2023-07-06T19:54:22"/>
    <m/>
    <d v="2023-07-06T00:00:00"/>
    <n v="654"/>
    <n v="17073"/>
    <s v="56038874"/>
    <s v="56038874"/>
    <m/>
    <m/>
    <m/>
    <m/>
    <m/>
    <m/>
    <s v="SOLRECOUP"/>
    <s v="SOLRECOUP"/>
    <s v="POARECOUP"/>
    <n v="21339925"/>
    <n v="-41.64"/>
    <m/>
    <s v="Y"/>
    <n v="1"/>
    <d v="2023-07-06T19:54:23"/>
    <s v="N"/>
    <m/>
    <m/>
    <s v="Expert Disbursement"/>
    <m/>
    <s v="N"/>
    <n v="-34.7"/>
    <n v="0"/>
    <x v="4"/>
    <s v="VALIDATED"/>
    <n v="1"/>
    <s v="01.11.80.307.2013.0000"/>
    <n v="-34.7"/>
    <s v="11"/>
    <s v="2013"/>
    <n v="2086.04"/>
    <n v="-34.7"/>
    <s v="CREDITOR"/>
    <n v="0"/>
    <n v="0"/>
    <n v="-34.7"/>
    <n v="0"/>
    <n v="0"/>
  </r>
  <r>
    <n v="56038874"/>
    <s v="N"/>
    <n v="21339925"/>
    <s v="3000013145880029RC"/>
    <s v="CIVIL"/>
    <d v="2023-06-29T00:00:00"/>
    <d v="2023-07-06T19:54:22"/>
    <m/>
    <d v="2023-07-06T00:00:00"/>
    <n v="654"/>
    <n v="17073"/>
    <s v="56038874"/>
    <s v="56038874"/>
    <m/>
    <m/>
    <m/>
    <m/>
    <m/>
    <m/>
    <s v="SOLRECOUP"/>
    <s v="SOLRECOUP"/>
    <s v="POARECOUP"/>
    <n v="21339925"/>
    <n v="-41.64"/>
    <m/>
    <s v="Y"/>
    <n v="2"/>
    <d v="2023-07-06T19:54:23"/>
    <s v="N"/>
    <m/>
    <m/>
    <s v="Expert Disbursement"/>
    <m/>
    <s v="N"/>
    <n v="0"/>
    <n v="-6.94"/>
    <x v="4"/>
    <s v="VALIDATED"/>
    <n v="1"/>
    <s v="01.11.80.307.2013.0000"/>
    <n v="-6.94"/>
    <s v="11"/>
    <s v="2013"/>
    <n v="2086.04"/>
    <n v="-6.94"/>
    <s v="CREDITOR"/>
    <n v="0"/>
    <n v="0"/>
    <n v="-6.94"/>
    <n v="0"/>
    <n v="0"/>
  </r>
  <r>
    <n v="56038874"/>
    <s v="N"/>
    <n v="21339926"/>
    <s v="3000013145880030RC"/>
    <s v="CIVIL"/>
    <d v="2023-06-29T00:00:00"/>
    <d v="2023-07-06T19:54:22"/>
    <m/>
    <d v="2023-07-06T00:00:00"/>
    <n v="654"/>
    <n v="17073"/>
    <s v="56038874"/>
    <s v="56038874"/>
    <m/>
    <m/>
    <m/>
    <m/>
    <m/>
    <m/>
    <s v="SOLRECOUP"/>
    <s v="SOLRECOUP"/>
    <s v="POARECOUP"/>
    <n v="21339926"/>
    <n v="-53"/>
    <m/>
    <s v="Y"/>
    <n v="1"/>
    <d v="2023-07-06T19:54:23"/>
    <s v="N"/>
    <m/>
    <m/>
    <s v="Non Expert Disbursement"/>
    <m/>
    <s v="N"/>
    <n v="-53"/>
    <n v="0"/>
    <x v="4"/>
    <s v="VALIDATED"/>
    <n v="1"/>
    <s v="01.11.80.307.2013.0000"/>
    <n v="-53"/>
    <s v="11"/>
    <s v="2013"/>
    <n v="2086.04"/>
    <n v="-53"/>
    <s v="CREDITOR"/>
    <n v="0"/>
    <n v="0"/>
    <n v="-53"/>
    <n v="0"/>
    <n v="0"/>
  </r>
  <r>
    <n v="56038874"/>
    <s v="N"/>
    <n v="21339926"/>
    <s v="3000013145880030RC"/>
    <s v="CIVIL"/>
    <d v="2023-06-29T00:00:00"/>
    <d v="2023-07-06T19:54:22"/>
    <m/>
    <d v="2023-07-06T00:00:00"/>
    <n v="654"/>
    <n v="17073"/>
    <s v="56038874"/>
    <s v="56038874"/>
    <m/>
    <m/>
    <m/>
    <m/>
    <m/>
    <m/>
    <s v="SOLRECOUP"/>
    <s v="SOLRECOUP"/>
    <s v="POARECOUP"/>
    <n v="21339926"/>
    <n v="-53"/>
    <m/>
    <s v="Y"/>
    <n v="2"/>
    <d v="2023-07-06T19:54:23"/>
    <s v="N"/>
    <m/>
    <m/>
    <s v="Non Expert Disbursement"/>
    <m/>
    <s v="N"/>
    <n v="0"/>
    <n v="0"/>
    <x v="4"/>
    <s v="VALIDATED"/>
    <n v="1"/>
    <s v="01.11.80.000.0000.0000"/>
    <n v="0"/>
    <s v="11"/>
    <s v="0000"/>
    <n v="2086.04"/>
    <n v="0"/>
    <s v="CREDITOR"/>
    <n v="0"/>
    <n v="0"/>
    <n v="0"/>
    <n v="0"/>
    <n v="0"/>
  </r>
  <r>
    <n v="56038874"/>
    <s v="N"/>
    <n v="21339927"/>
    <s v="3000013145880043RC"/>
    <s v="CIVIL"/>
    <d v="2023-06-29T00:00:00"/>
    <d v="2023-07-06T19:54:22"/>
    <m/>
    <d v="2023-07-06T00:00:00"/>
    <n v="654"/>
    <n v="17073"/>
    <s v="56038874"/>
    <s v="56038874"/>
    <m/>
    <m/>
    <m/>
    <m/>
    <m/>
    <m/>
    <s v="SOLRECOUP"/>
    <s v="SOLRECOUP"/>
    <s v="POARECOUP"/>
    <n v="21339927"/>
    <n v="-167"/>
    <m/>
    <s v="Y"/>
    <n v="1"/>
    <d v="2023-07-06T19:54:23"/>
    <s v="N"/>
    <m/>
    <m/>
    <s v="Non Expert Disbursement"/>
    <m/>
    <s v="N"/>
    <n v="-167"/>
    <n v="0"/>
    <x v="4"/>
    <s v="VALIDATED"/>
    <n v="1"/>
    <s v="01.11.80.307.2013.0000"/>
    <n v="-167"/>
    <s v="11"/>
    <s v="2013"/>
    <n v="2086.04"/>
    <n v="-167"/>
    <s v="CREDITOR"/>
    <n v="0"/>
    <n v="0"/>
    <n v="-167"/>
    <n v="0"/>
    <n v="0"/>
  </r>
  <r>
    <n v="56038874"/>
    <s v="N"/>
    <n v="21339927"/>
    <s v="3000013145880043RC"/>
    <s v="CIVIL"/>
    <d v="2023-06-29T00:00:00"/>
    <d v="2023-07-06T19:54:22"/>
    <m/>
    <d v="2023-07-06T00:00:00"/>
    <n v="654"/>
    <n v="17073"/>
    <s v="56038874"/>
    <s v="56038874"/>
    <m/>
    <m/>
    <m/>
    <m/>
    <m/>
    <m/>
    <s v="SOLRECOUP"/>
    <s v="SOLRECOUP"/>
    <s v="POARECOUP"/>
    <n v="21339927"/>
    <n v="-167"/>
    <m/>
    <s v="Y"/>
    <n v="2"/>
    <d v="2023-07-06T19:54:23"/>
    <s v="N"/>
    <m/>
    <m/>
    <s v="Non Expert Disbursement"/>
    <m/>
    <s v="N"/>
    <n v="0"/>
    <n v="0"/>
    <x v="4"/>
    <s v="VALIDATED"/>
    <n v="1"/>
    <s v="01.11.80.000.0000.0000"/>
    <n v="0"/>
    <s v="11"/>
    <s v="0000"/>
    <n v="2086.04"/>
    <n v="0"/>
    <s v="CREDITOR"/>
    <n v="0"/>
    <n v="0"/>
    <n v="0"/>
    <n v="0"/>
    <n v="0"/>
  </r>
  <r>
    <n v="56038874"/>
    <s v="N"/>
    <n v="21339928"/>
    <s v="3000013145880032RC"/>
    <s v="CIVIL"/>
    <d v="2023-06-29T00:00:00"/>
    <d v="2023-07-06T19:54:22"/>
    <m/>
    <d v="2023-07-06T00:00:00"/>
    <n v="654"/>
    <n v="17073"/>
    <s v="56038874"/>
    <s v="56038874"/>
    <m/>
    <m/>
    <m/>
    <m/>
    <m/>
    <m/>
    <s v="SOLRECOUP"/>
    <s v="SOLRECOUP"/>
    <s v="POARECOUP"/>
    <n v="21339928"/>
    <n v="-99.2"/>
    <m/>
    <s v="Y"/>
    <n v="1"/>
    <d v="2023-07-06T19:54:23"/>
    <s v="N"/>
    <m/>
    <m/>
    <s v="Expert Disbursement"/>
    <m/>
    <s v="N"/>
    <n v="-82.67"/>
    <n v="0"/>
    <x v="4"/>
    <s v="VALIDATED"/>
    <n v="1"/>
    <s v="01.11.80.307.2013.0000"/>
    <n v="-82.67"/>
    <s v="11"/>
    <s v="2013"/>
    <n v="2086.04"/>
    <n v="-82.67"/>
    <s v="CREDITOR"/>
    <n v="0"/>
    <n v="0"/>
    <n v="-82.67"/>
    <n v="0"/>
    <n v="0"/>
  </r>
  <r>
    <n v="56038874"/>
    <s v="N"/>
    <n v="21339928"/>
    <s v="3000013145880032RC"/>
    <s v="CIVIL"/>
    <d v="2023-06-29T00:00:00"/>
    <d v="2023-07-06T19:54:22"/>
    <m/>
    <d v="2023-07-06T00:00:00"/>
    <n v="654"/>
    <n v="17073"/>
    <s v="56038874"/>
    <s v="56038874"/>
    <m/>
    <m/>
    <m/>
    <m/>
    <m/>
    <m/>
    <s v="SOLRECOUP"/>
    <s v="SOLRECOUP"/>
    <s v="POARECOUP"/>
    <n v="21339928"/>
    <n v="-99.2"/>
    <m/>
    <s v="Y"/>
    <n v="2"/>
    <d v="2023-07-06T19:54:23"/>
    <s v="N"/>
    <m/>
    <m/>
    <s v="Expert Disbursement"/>
    <m/>
    <s v="N"/>
    <n v="0"/>
    <n v="-16.53"/>
    <x v="4"/>
    <s v="VALIDATED"/>
    <n v="1"/>
    <s v="01.11.80.307.2013.0000"/>
    <n v="-16.53"/>
    <s v="11"/>
    <s v="2013"/>
    <n v="2086.04"/>
    <n v="-16.53"/>
    <s v="CREDITOR"/>
    <n v="0"/>
    <n v="0"/>
    <n v="-16.53"/>
    <n v="0"/>
    <n v="0"/>
  </r>
  <r>
    <n v="56038874"/>
    <s v="N"/>
    <n v="21339929"/>
    <s v="3000013145880033RC"/>
    <s v="CIVIL"/>
    <d v="2023-06-29T00:00:00"/>
    <d v="2023-07-06T19:54:22"/>
    <m/>
    <d v="2023-07-06T00:00:00"/>
    <n v="654"/>
    <n v="17073"/>
    <s v="56038874"/>
    <s v="56038874"/>
    <m/>
    <m/>
    <m/>
    <m/>
    <m/>
    <m/>
    <s v="SOLRECOUP"/>
    <s v="SOLRECOUP"/>
    <s v="POARECOUP"/>
    <n v="21339929"/>
    <n v="-117.25"/>
    <m/>
    <s v="Y"/>
    <n v="1"/>
    <d v="2023-07-06T19:54:23"/>
    <s v="N"/>
    <m/>
    <m/>
    <s v="Expert Disbursement"/>
    <m/>
    <s v="N"/>
    <n v="-97.70999999999999"/>
    <n v="0"/>
    <x v="4"/>
    <s v="VALIDATED"/>
    <n v="1"/>
    <s v="01.11.80.307.2013.0000"/>
    <n v="-97.70999999999999"/>
    <s v="11"/>
    <s v="2013"/>
    <n v="2086.04"/>
    <n v="-97.70999999999999"/>
    <s v="CREDITOR"/>
    <n v="0"/>
    <n v="0"/>
    <n v="-97.70999999999999"/>
    <n v="0"/>
    <n v="0"/>
  </r>
  <r>
    <n v="60413913"/>
    <s v="N"/>
    <n v="21356394"/>
    <s v="3000014701230002RC"/>
    <s v="CIVIL"/>
    <d v="2023-06-29T00:00:00"/>
    <d v="2023-07-10T19:47:44"/>
    <m/>
    <d v="2023-07-10T00:00:00"/>
    <n v="654"/>
    <n v="17073"/>
    <s v="60413913"/>
    <s v="60413913"/>
    <m/>
    <m/>
    <m/>
    <m/>
    <m/>
    <m/>
    <s v="SOLRECOUP"/>
    <s v="SOLRECOUP"/>
    <s v="POARECOUP"/>
    <n v="21356394"/>
    <n v="-52.05"/>
    <m/>
    <s v="Y"/>
    <n v="1"/>
    <d v="2023-07-10T19:47:44"/>
    <s v="N"/>
    <m/>
    <m/>
    <s v="Non Expert Disbursement"/>
    <m/>
    <s v="N"/>
    <n v="-52.05"/>
    <n v="0"/>
    <x v="2"/>
    <s v="VALIDATED"/>
    <n v="1"/>
    <s v="01.11.80.308.2013.0000"/>
    <n v="-52.05"/>
    <s v="11"/>
    <s v="2013"/>
    <n v="2086.04"/>
    <n v="-52.05"/>
    <s v="CREDITOR"/>
    <n v="0"/>
    <n v="0"/>
    <n v="-52.05"/>
    <n v="0"/>
    <n v="0"/>
  </r>
  <r>
    <n v="60413913"/>
    <s v="N"/>
    <n v="21356394"/>
    <s v="3000014701230002RC"/>
    <s v="CIVIL"/>
    <d v="2023-06-29T00:00:00"/>
    <d v="2023-07-10T19:47:44"/>
    <m/>
    <d v="2023-07-10T00:00:00"/>
    <n v="654"/>
    <n v="17073"/>
    <s v="60413913"/>
    <s v="60413913"/>
    <m/>
    <m/>
    <m/>
    <m/>
    <m/>
    <m/>
    <s v="SOLRECOUP"/>
    <s v="SOLRECOUP"/>
    <s v="POARECOUP"/>
    <n v="21356394"/>
    <n v="-52.05"/>
    <m/>
    <s v="Y"/>
    <n v="2"/>
    <d v="2023-07-10T19:47:44"/>
    <s v="N"/>
    <m/>
    <m/>
    <s v="Non Expert Disbursement"/>
    <m/>
    <s v="N"/>
    <n v="0"/>
    <n v="0"/>
    <x v="2"/>
    <s v="VALIDATED"/>
    <n v="1"/>
    <s v="01.11.80.000.0000.0000"/>
    <n v="0"/>
    <s v="11"/>
    <s v="0000"/>
    <n v="2086.04"/>
    <n v="0"/>
    <s v="CREDITOR"/>
    <n v="0"/>
    <n v="0"/>
    <n v="0"/>
    <n v="0"/>
    <n v="0"/>
  </r>
  <r>
    <n v="60413913"/>
    <s v="N"/>
    <n v="21356395"/>
    <s v="3000014701230001RC"/>
    <s v="CIVIL"/>
    <d v="2023-06-29T00:00:00"/>
    <d v="2023-07-10T19:47:44"/>
    <m/>
    <d v="2023-07-10T00:00:00"/>
    <n v="654"/>
    <n v="17073"/>
    <s v="60413913"/>
    <s v="60413913"/>
    <m/>
    <m/>
    <m/>
    <m/>
    <m/>
    <m/>
    <s v="SOLRECOUP"/>
    <s v="SOLRECOUP"/>
    <s v="POARECOUP"/>
    <n v="21356395"/>
    <n v="-167"/>
    <m/>
    <s v="Y"/>
    <n v="1"/>
    <d v="2023-07-10T19:47:44"/>
    <s v="N"/>
    <m/>
    <m/>
    <s v="Non Expert Disbursement"/>
    <m/>
    <s v="N"/>
    <n v="-167"/>
    <n v="0"/>
    <x v="2"/>
    <s v="VALIDATED"/>
    <n v="1"/>
    <s v="01.11.80.308.2013.0000"/>
    <n v="-167"/>
    <s v="11"/>
    <s v="2013"/>
    <n v="2086.04"/>
    <n v="-167"/>
    <s v="CREDITOR"/>
    <n v="0"/>
    <n v="0"/>
    <n v="-167"/>
    <n v="0"/>
    <n v="0"/>
  </r>
  <r>
    <n v="60413913"/>
    <s v="N"/>
    <n v="21356395"/>
    <s v="3000014701230001RC"/>
    <s v="CIVIL"/>
    <d v="2023-06-29T00:00:00"/>
    <d v="2023-07-10T19:47:44"/>
    <m/>
    <d v="2023-07-10T00:00:00"/>
    <n v="654"/>
    <n v="17073"/>
    <s v="60413913"/>
    <s v="60413913"/>
    <m/>
    <m/>
    <m/>
    <m/>
    <m/>
    <m/>
    <s v="SOLRECOUP"/>
    <s v="SOLRECOUP"/>
    <s v="POARECOUP"/>
    <n v="21356395"/>
    <n v="-167"/>
    <m/>
    <s v="Y"/>
    <n v="2"/>
    <d v="2023-07-10T19:47:44"/>
    <s v="N"/>
    <m/>
    <m/>
    <s v="Non Expert Disbursement"/>
    <m/>
    <s v="N"/>
    <n v="0"/>
    <n v="0"/>
    <x v="2"/>
    <s v="VALIDATED"/>
    <n v="1"/>
    <s v="01.11.80.000.0000.0000"/>
    <n v="0"/>
    <s v="11"/>
    <s v="0000"/>
    <n v="2086.04"/>
    <n v="0"/>
    <s v="CREDITOR"/>
    <n v="0"/>
    <n v="0"/>
    <n v="0"/>
    <n v="0"/>
    <n v="0"/>
  </r>
  <r>
    <n v="60413913"/>
    <s v="N"/>
    <n v="21356396"/>
    <s v="3000014701230003RC"/>
    <s v="CIVIL"/>
    <d v="2023-06-29T00:00:00"/>
    <d v="2023-07-10T19:47:44"/>
    <m/>
    <d v="2023-07-10T00:00:00"/>
    <n v="654"/>
    <n v="17073"/>
    <s v="60413913"/>
    <s v="60413913"/>
    <m/>
    <m/>
    <m/>
    <m/>
    <m/>
    <m/>
    <s v="SOLRECOUP"/>
    <s v="SOLRECOUP"/>
    <s v="POARECOUP"/>
    <n v="21356396"/>
    <n v="-3024.4"/>
    <m/>
    <s v="Y"/>
    <n v="1"/>
    <d v="2023-07-10T19:47:44"/>
    <s v="N"/>
    <m/>
    <m/>
    <s v="Profit Cost"/>
    <m/>
    <s v="N"/>
    <n v="-2520.33"/>
    <n v="0"/>
    <x v="2"/>
    <s v="VALIDATED"/>
    <n v="1"/>
    <s v="01.11.80.308.2013.0000"/>
    <n v="-2520.33"/>
    <s v="11"/>
    <s v="2013"/>
    <n v="2086.04"/>
    <n v="-2520.33"/>
    <s v="CREDITOR"/>
    <n v="0"/>
    <n v="0"/>
    <n v="-2520.33"/>
    <n v="-630.0825"/>
    <n v="0"/>
  </r>
  <r>
    <n v="60413913"/>
    <s v="N"/>
    <n v="21356396"/>
    <s v="3000014701230003RC"/>
    <s v="CIVIL"/>
    <d v="2023-06-29T00:00:00"/>
    <d v="2023-07-10T19:47:44"/>
    <m/>
    <d v="2023-07-10T00:00:00"/>
    <n v="654"/>
    <n v="17073"/>
    <s v="60413913"/>
    <s v="60413913"/>
    <m/>
    <m/>
    <m/>
    <m/>
    <m/>
    <m/>
    <s v="SOLRECOUP"/>
    <s v="SOLRECOUP"/>
    <s v="POARECOUP"/>
    <n v="21356396"/>
    <n v="-3024.4"/>
    <m/>
    <s v="Y"/>
    <n v="2"/>
    <d v="2023-07-10T19:47:44"/>
    <s v="N"/>
    <m/>
    <m/>
    <s v="Profit Cost"/>
    <m/>
    <s v="N"/>
    <n v="0"/>
    <n v="-504.07"/>
    <x v="2"/>
    <s v="VALIDATED"/>
    <n v="1"/>
    <s v="01.11.80.308.2013.0000"/>
    <n v="-504.07"/>
    <s v="11"/>
    <s v="2013"/>
    <n v="2086.04"/>
    <n v="-504.07"/>
    <s v="CREDITOR"/>
    <n v="0"/>
    <n v="0"/>
    <n v="-504.07"/>
    <n v="-126.0175"/>
    <n v="0"/>
  </r>
  <r>
    <n v="60413913"/>
    <s v="N"/>
    <n v="21356397"/>
    <s v="3000014701230004RC"/>
    <s v="CIVIL"/>
    <d v="2023-06-29T00:00:00"/>
    <d v="2023-07-10T19:47:44"/>
    <m/>
    <d v="2023-07-10T00:00:00"/>
    <n v="654"/>
    <n v="17073"/>
    <s v="60413913"/>
    <s v="60413913"/>
    <m/>
    <m/>
    <m/>
    <m/>
    <m/>
    <m/>
    <s v="SOLRECOUP"/>
    <s v="SOLRECOUP"/>
    <s v="POARECOUP"/>
    <n v="21356397"/>
    <n v="-3394.19"/>
    <m/>
    <s v="Y"/>
    <n v="1"/>
    <d v="2023-07-10T19:47:44"/>
    <s v="N"/>
    <m/>
    <m/>
    <s v="Profit Cost"/>
    <m/>
    <s v="N"/>
    <n v="-2828.49"/>
    <n v="0"/>
    <x v="2"/>
    <s v="VALIDATED"/>
    <n v="1"/>
    <s v="01.11.80.308.2013.0000"/>
    <n v="-2828.49"/>
    <s v="11"/>
    <s v="2013"/>
    <n v="2086.04"/>
    <n v="-2828.49"/>
    <s v="CREDITOR"/>
    <n v="0"/>
    <n v="0"/>
    <n v="-2828.49"/>
    <n v="-707.1224999999999"/>
    <n v="0"/>
  </r>
  <r>
    <n v="60413913"/>
    <s v="N"/>
    <n v="21356397"/>
    <s v="3000014701230004RC"/>
    <s v="CIVIL"/>
    <d v="2023-06-29T00:00:00"/>
    <d v="2023-07-10T19:47:44"/>
    <m/>
    <d v="2023-07-10T00:00:00"/>
    <n v="654"/>
    <n v="17073"/>
    <s v="60413913"/>
    <s v="60413913"/>
    <m/>
    <m/>
    <m/>
    <m/>
    <m/>
    <m/>
    <s v="SOLRECOUP"/>
    <s v="SOLRECOUP"/>
    <s v="POARECOUP"/>
    <n v="21356397"/>
    <n v="-3394.19"/>
    <m/>
    <s v="Y"/>
    <n v="2"/>
    <d v="2023-07-10T19:47:44"/>
    <s v="N"/>
    <m/>
    <m/>
    <s v="Profit Cost"/>
    <m/>
    <s v="N"/>
    <n v="0"/>
    <n v="-565.7"/>
    <x v="2"/>
    <s v="VALIDATED"/>
    <n v="1"/>
    <s v="01.11.80.308.2013.0000"/>
    <n v="-565.7"/>
    <s v="11"/>
    <s v="2013"/>
    <n v="2086.04"/>
    <n v="-565.7"/>
    <s v="CREDITOR"/>
    <n v="0"/>
    <n v="0"/>
    <n v="-565.7"/>
    <n v="-141.425"/>
    <n v="0"/>
  </r>
  <r>
    <n v="61309497"/>
    <s v="N"/>
    <n v="21356398"/>
    <s v="3000015465150001RC"/>
    <s v="CIVIL"/>
    <d v="2023-06-29T00:00:00"/>
    <d v="2023-07-10T19:47:44"/>
    <m/>
    <d v="2023-07-10T00:00:00"/>
    <n v="654"/>
    <n v="17073"/>
    <s v="61309497"/>
    <s v="61309497"/>
    <m/>
    <m/>
    <m/>
    <m/>
    <m/>
    <m/>
    <s v="SOLRECOUP"/>
    <s v="SOLRECOUP"/>
    <s v="POARECOUP"/>
    <n v="21356398"/>
    <n v="-777.6"/>
    <m/>
    <s v="Y"/>
    <n v="1"/>
    <d v="2023-07-10T19:47:44"/>
    <s v="N"/>
    <m/>
    <m/>
    <s v="Expert Disbursement"/>
    <m/>
    <s v="N"/>
    <n v="-648"/>
    <n v="0"/>
    <x v="2"/>
    <s v="VALIDATED"/>
    <n v="1"/>
    <s v="01.11.80.208.2013.0000"/>
    <n v="-648"/>
    <s v="11"/>
    <s v="2013"/>
    <n v="2086.04"/>
    <n v="-648"/>
    <s v="CREDITOR"/>
    <n v="0"/>
    <n v="0"/>
    <n v="-648"/>
    <n v="0"/>
    <n v="0"/>
  </r>
  <r>
    <n v="61309497"/>
    <s v="N"/>
    <n v="21356398"/>
    <s v="3000015465150001RC"/>
    <s v="CIVIL"/>
    <d v="2023-06-29T00:00:00"/>
    <d v="2023-07-10T19:47:44"/>
    <m/>
    <d v="2023-07-10T00:00:00"/>
    <n v="654"/>
    <n v="17073"/>
    <s v="61309497"/>
    <s v="61309497"/>
    <m/>
    <m/>
    <m/>
    <m/>
    <m/>
    <m/>
    <s v="SOLRECOUP"/>
    <s v="SOLRECOUP"/>
    <s v="POARECOUP"/>
    <n v="21356398"/>
    <n v="-777.6"/>
    <m/>
    <s v="Y"/>
    <n v="2"/>
    <d v="2023-07-10T19:47:44"/>
    <s v="N"/>
    <m/>
    <m/>
    <s v="Expert Disbursement"/>
    <m/>
    <s v="N"/>
    <n v="0"/>
    <n v="-129.6"/>
    <x v="2"/>
    <s v="VALIDATED"/>
    <n v="1"/>
    <s v="01.11.80.208.2013.0000"/>
    <n v="-129.6"/>
    <s v="11"/>
    <s v="2013"/>
    <n v="2086.04"/>
    <n v="-129.6"/>
    <s v="CREDITOR"/>
    <n v="0"/>
    <n v="0"/>
    <n v="-129.6"/>
    <n v="0"/>
    <n v="0"/>
  </r>
  <r>
    <n v="60413913"/>
    <s v="N"/>
    <n v="21356399"/>
    <s v="3000014701230005RC"/>
    <s v="CIVIL"/>
    <d v="2023-06-29T00:00:00"/>
    <d v="2023-07-10T19:47:44"/>
    <m/>
    <d v="2023-07-10T00:00:00"/>
    <n v="654"/>
    <n v="17073"/>
    <s v="60413913"/>
    <s v="60413913"/>
    <m/>
    <m/>
    <m/>
    <m/>
    <m/>
    <m/>
    <s v="SOLRECOUP"/>
    <s v="SOLRECOUP"/>
    <s v="POARECOUP"/>
    <n v="21356399"/>
    <n v="-1410.29"/>
    <m/>
    <s v="Y"/>
    <n v="1"/>
    <d v="2023-07-10T19:47:44"/>
    <s v="N"/>
    <m/>
    <m/>
    <s v="Profit Cost"/>
    <m/>
    <s v="N"/>
    <n v="-1175.24"/>
    <n v="0"/>
    <x v="2"/>
    <s v="VALIDATED"/>
    <n v="1"/>
    <s v="01.11.80.308.2013.0000"/>
    <n v="-1175.24"/>
    <s v="11"/>
    <s v="2013"/>
    <n v="2086.04"/>
    <n v="-1175.24"/>
    <s v="CREDITOR"/>
    <n v="0"/>
    <n v="0"/>
    <n v="-1175.24"/>
    <n v="-293.81"/>
    <n v="0"/>
  </r>
  <r>
    <n v="60413913"/>
    <s v="N"/>
    <n v="21356399"/>
    <s v="3000014701230005RC"/>
    <s v="CIVIL"/>
    <d v="2023-06-29T00:00:00"/>
    <d v="2023-07-10T19:47:44"/>
    <m/>
    <d v="2023-07-10T00:00:00"/>
    <n v="654"/>
    <n v="17073"/>
    <s v="60413913"/>
    <s v="60413913"/>
    <m/>
    <m/>
    <m/>
    <m/>
    <m/>
    <m/>
    <s v="SOLRECOUP"/>
    <s v="SOLRECOUP"/>
    <s v="POARECOUP"/>
    <n v="21356399"/>
    <n v="-1410.29"/>
    <m/>
    <s v="Y"/>
    <n v="2"/>
    <d v="2023-07-10T19:47:44"/>
    <s v="N"/>
    <m/>
    <m/>
    <s v="Profit Cost"/>
    <m/>
    <s v="N"/>
    <n v="0"/>
    <n v="-235.05"/>
    <x v="2"/>
    <s v="VALIDATED"/>
    <n v="1"/>
    <s v="01.11.80.308.2013.0000"/>
    <n v="-235.05"/>
    <s v="11"/>
    <s v="2013"/>
    <n v="2086.04"/>
    <n v="-235.05"/>
    <s v="CREDITOR"/>
    <n v="0"/>
    <n v="0"/>
    <n v="-235.05"/>
    <n v="-58.7625"/>
    <n v="0"/>
  </r>
  <r>
    <n v="61309497"/>
    <s v="N"/>
    <n v="21356400"/>
    <s v="3000015465150002RC"/>
    <s v="CIVIL"/>
    <d v="2023-06-29T00:00:00"/>
    <d v="2023-07-10T19:47:44"/>
    <m/>
    <d v="2023-07-10T00:00:00"/>
    <n v="654"/>
    <n v="17073"/>
    <s v="61309497"/>
    <s v="61309497"/>
    <m/>
    <m/>
    <m/>
    <m/>
    <m/>
    <m/>
    <s v="SOLRECOUP"/>
    <s v="SOLRECOUP"/>
    <s v="POARECOUP"/>
    <n v="21356400"/>
    <n v="-1361.21"/>
    <m/>
    <s v="Y"/>
    <n v="1"/>
    <d v="2023-07-10T19:47:44"/>
    <s v="N"/>
    <m/>
    <m/>
    <s v="Profit Cost"/>
    <m/>
    <s v="N"/>
    <n v="-1134.34"/>
    <n v="0"/>
    <x v="2"/>
    <s v="VALIDATED"/>
    <n v="1"/>
    <s v="01.11.80.208.2013.0000"/>
    <n v="-1134.34"/>
    <s v="11"/>
    <s v="2013"/>
    <n v="2086.04"/>
    <n v="-1134.34"/>
    <s v="CREDITOR"/>
    <n v="0"/>
    <n v="0"/>
    <n v="-1134.34"/>
    <n v="-283.585"/>
    <n v="0"/>
  </r>
  <r>
    <n v="56270265"/>
    <s v="N"/>
    <n v="21360709"/>
    <s v="3000013363660010"/>
    <s v="CIVIL"/>
    <d v="2023-06-16T00:00:00"/>
    <d v="2023-07-11T19:00:25"/>
    <m/>
    <d v="2023-07-11T00:00:00"/>
    <n v="654"/>
    <n v="17073"/>
    <s v="56270265"/>
    <s v="56270265"/>
    <m/>
    <m/>
    <n v="22707904"/>
    <m/>
    <m/>
    <m/>
    <s v="SOLFIN"/>
    <s v="SOLFIN"/>
    <s v="CCMS"/>
    <n v="21360709"/>
    <n v="7846.57"/>
    <m/>
    <s v="N"/>
    <n v="24"/>
    <d v="2023-07-11T19:00:31"/>
    <s v="Y"/>
    <s v="Preparation - drafting instruction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68"/>
    <d v="2023-07-11T19:00:31"/>
    <s v="Y"/>
    <s v="Preparation - drafting pleading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3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69"/>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46"/>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10"/>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60"/>
    <d v="2023-07-11T19:00:31"/>
    <s v="Y"/>
    <s v="Preparation - other"/>
    <s v="Non Family Hourly Rates"/>
    <s v="Profit Cost"/>
    <s v="FN"/>
    <s v="Y"/>
    <n v="17.82"/>
    <n v="3.57"/>
    <x v="7"/>
    <s v="VALIDATED"/>
    <n v="1"/>
    <s v="01.11.80.208.6100.0000"/>
    <n v="17.82"/>
    <s v="11"/>
    <s v="6100"/>
    <n v="2086.04"/>
    <n v="17.82"/>
    <s v="CREDITOR"/>
    <n v="0"/>
    <n v="0"/>
    <n v="0"/>
    <n v="0"/>
    <n v="17.82"/>
  </r>
  <r>
    <n v="60413913"/>
    <s v="N"/>
    <n v="21349649"/>
    <s v="3000014701230007"/>
    <s v="CIVIL"/>
    <d v="2023-06-29T00:00:00"/>
    <d v="2023-07-10T19:01:40"/>
    <m/>
    <d v="2023-07-10T00:00:00"/>
    <n v="654"/>
    <n v="17073"/>
    <s v="60413913"/>
    <s v="60413913"/>
    <m/>
    <m/>
    <n v="22791196"/>
    <m/>
    <m/>
    <m/>
    <s v="SOLFIN"/>
    <s v="SOLFIN"/>
    <s v="CCMS"/>
    <n v="21349649"/>
    <n v="9425.639999999999"/>
    <m/>
    <s v="N"/>
    <n v="5"/>
    <d v="2023-07-10T19:01:55"/>
    <s v="Y"/>
    <s v="Solicitor Travel Mileage"/>
    <s v="Public Law Children"/>
    <s v="Non Expert Disbursement"/>
    <s v="CP"/>
    <s v="Y"/>
    <n v="40.5"/>
    <n v="8.1"/>
    <x v="2"/>
    <s v="VALIDATED"/>
    <n v="1"/>
    <s v="01.11.80.308.6300.0000"/>
    <n v="40.5"/>
    <s v="11"/>
    <s v="6300"/>
    <n v="2086.04"/>
    <n v="40.5"/>
    <s v="CREDITOR"/>
    <n v="0"/>
    <n v="0"/>
    <n v="0"/>
    <n v="0"/>
    <n v="40.5"/>
  </r>
  <r>
    <n v="60413913"/>
    <s v="N"/>
    <n v="21349649"/>
    <s v="3000014701230007"/>
    <s v="CIVIL"/>
    <d v="2023-06-29T00:00:00"/>
    <d v="2023-07-10T19:01:40"/>
    <m/>
    <d v="2023-07-10T00:00:00"/>
    <n v="654"/>
    <n v="17073"/>
    <s v="60413913"/>
    <s v="60413913"/>
    <m/>
    <m/>
    <n v="22791196"/>
    <m/>
    <m/>
    <m/>
    <s v="SOLFIN"/>
    <s v="SOLFIN"/>
    <s v="CCMS"/>
    <n v="21349649"/>
    <n v="9425.639999999999"/>
    <m/>
    <s v="N"/>
    <n v="9"/>
    <d v="2023-07-10T19:01:55"/>
    <s v="Y"/>
    <s v="Hearing Unit 2.31 - 5.00 Hours"/>
    <s v="Public Law Children"/>
    <s v="Advocacy"/>
    <s v="NM"/>
    <s v="Y"/>
    <n v="476.92"/>
    <n v="95.38"/>
    <x v="2"/>
    <s v="VALIDATED"/>
    <n v="1"/>
    <s v="01.11.80.308.6100.0000"/>
    <n v="476.92"/>
    <s v="11"/>
    <s v="6100"/>
    <n v="2086.04"/>
    <n v="476.92"/>
    <s v="CREDITOR"/>
    <n v="0"/>
    <n v="0"/>
    <n v="0"/>
    <n v="0"/>
    <n v="476.92"/>
  </r>
  <r>
    <n v="55923514"/>
    <s v="N"/>
    <n v="21344067"/>
    <s v="3000013173190011"/>
    <s v="CIVIL"/>
    <d v="2023-06-27T00:00:00"/>
    <d v="2023-07-07T19:03:00"/>
    <m/>
    <d v="2023-07-07T00:00:00"/>
    <n v="654"/>
    <n v="17073"/>
    <s v="55923514"/>
    <s v="55923514"/>
    <m/>
    <m/>
    <n v="22770190"/>
    <m/>
    <m/>
    <m/>
    <s v="SOLFIN"/>
    <s v="SOLFIN"/>
    <s v="CCMS"/>
    <n v="21344067"/>
    <n v="7561.04"/>
    <m/>
    <s v="N"/>
    <n v="8"/>
    <d v="2023-07-07T19:03:22"/>
    <s v="Y"/>
    <s v="Hearing Unit 2.31 - 5.00 Hours"/>
    <s v="Private Law Children"/>
    <s v="Advocacy"/>
    <s v="HD"/>
    <s v="Y"/>
    <n v="344.8"/>
    <n v="68.95999999999999"/>
    <x v="9"/>
    <s v="VALIDATED"/>
    <n v="1"/>
    <s v="01.11.80.307.6100.0000"/>
    <n v="344.8"/>
    <s v="11"/>
    <s v="6100"/>
    <n v="2086.04"/>
    <n v="344.8"/>
    <s v="CREDITOR"/>
    <n v="0"/>
    <n v="0"/>
    <n v="0"/>
    <n v="0"/>
    <n v="344.8"/>
  </r>
  <r>
    <n v="56270265"/>
    <s v="N"/>
    <n v="21360709"/>
    <s v="3000013363660010"/>
    <s v="CIVIL"/>
    <d v="2023-06-16T00:00:00"/>
    <d v="2023-07-11T19:00:25"/>
    <m/>
    <d v="2023-07-11T00:00:00"/>
    <n v="654"/>
    <n v="17073"/>
    <s v="56270265"/>
    <s v="56270265"/>
    <m/>
    <m/>
    <n v="22707904"/>
    <m/>
    <m/>
    <m/>
    <s v="SOLFIN"/>
    <s v="SOLFIN"/>
    <s v="CCMS"/>
    <n v="21360709"/>
    <n v="7846.57"/>
    <m/>
    <s v="N"/>
    <n v="205"/>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2"/>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55"/>
    <d v="2023-07-11T19:00:31"/>
    <s v="Y"/>
    <s v="Preparation - other"/>
    <s v="Non Family Hourly Rates"/>
    <s v="Profit Cost"/>
    <s v="FN"/>
    <s v="Y"/>
    <n v="41.58"/>
    <n v="8.32"/>
    <x v="7"/>
    <s v="VALIDATED"/>
    <n v="1"/>
    <s v="01.11.80.208.6100.0000"/>
    <n v="41.58"/>
    <s v="11"/>
    <s v="6100"/>
    <n v="2086.04"/>
    <n v="41.58"/>
    <s v="CREDITOR"/>
    <n v="0"/>
    <n v="0"/>
    <n v="0"/>
    <n v="0"/>
    <n v="41.58"/>
  </r>
  <r>
    <n v="56270265"/>
    <s v="N"/>
    <n v="21360709"/>
    <s v="3000013363660010"/>
    <s v="CIVIL"/>
    <d v="2023-06-16T00:00:00"/>
    <d v="2023-07-11T19:00:25"/>
    <m/>
    <d v="2023-07-11T00:00:00"/>
    <n v="654"/>
    <n v="17073"/>
    <s v="56270265"/>
    <s v="56270265"/>
    <m/>
    <m/>
    <n v="22707904"/>
    <m/>
    <m/>
    <m/>
    <s v="SOLFIN"/>
    <s v="SOLFIN"/>
    <s v="CCMS"/>
    <n v="21360709"/>
    <n v="7846.57"/>
    <m/>
    <s v="N"/>
    <n v="21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0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32"/>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98"/>
    <d v="2023-07-11T19:00:31"/>
    <s v="Y"/>
    <s v="Preparation - other"/>
    <s v="Non Family Hourly Rates"/>
    <s v="Profit Cost"/>
    <s v="FN"/>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14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4"/>
    <d v="2023-07-11T19:00:31"/>
    <s v="Y"/>
    <s v="Preparation - drafting statement"/>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38"/>
    <d v="2023-07-10T19:02:02"/>
    <s v="Y"/>
    <s v="Preparation - other"/>
    <s v="Non Family Hourly Rates"/>
    <s v="Profit Cost"/>
    <s v="RW"/>
    <s v="Y"/>
    <n v="291.06"/>
    <n v="58.22"/>
    <x v="2"/>
    <s v="VALIDATED"/>
    <n v="1"/>
    <s v="01.11.80.208.6100.0000"/>
    <n v="291.06"/>
    <s v="11"/>
    <s v="6100"/>
    <n v="2086.04"/>
    <n v="291.06"/>
    <s v="CREDITOR"/>
    <n v="0"/>
    <n v="0"/>
    <n v="0"/>
    <n v="0"/>
    <n v="291.06"/>
  </r>
  <r>
    <n v="60241682"/>
    <s v="N"/>
    <n v="21394976"/>
    <s v="3000014529300009"/>
    <s v="CIVIL"/>
    <d v="2023-06-29T00:00:00"/>
    <d v="2023-07-19T19:02:01"/>
    <m/>
    <d v="2023-07-19T00:00:00"/>
    <n v="654"/>
    <n v="17073"/>
    <s v="60241682"/>
    <s v="60241682"/>
    <m/>
    <m/>
    <n v="22789612"/>
    <m/>
    <m/>
    <m/>
    <s v="SOLFIN"/>
    <s v="SOLFIN"/>
    <s v="CCMS"/>
    <n v="21394976"/>
    <n v="4535.34"/>
    <m/>
    <s v="N"/>
    <n v="4"/>
    <d v="2023-07-19T19:02:13"/>
    <s v="Y"/>
    <s v="Profit Costs (Summary)"/>
    <s v="Finance"/>
    <s v="Profit Cost"/>
    <s v="AL"/>
    <s v="Y"/>
    <n v="3317.22"/>
    <n v="663.4400000000001"/>
    <x v="5"/>
    <s v="VALIDATED"/>
    <n v="1"/>
    <s v="01.11.80.303.6100.0000"/>
    <n v="3317.22"/>
    <s v="11"/>
    <s v="6100"/>
    <n v="2086.04"/>
    <n v="3317.22"/>
    <s v="CREDITOR"/>
    <n v="0"/>
    <n v="0"/>
    <n v="0"/>
    <n v="0"/>
    <n v="3317.22"/>
  </r>
  <r>
    <n v="56270265"/>
    <s v="N"/>
    <n v="21360709"/>
    <s v="3000013363660010"/>
    <s v="CIVIL"/>
    <d v="2023-06-16T00:00:00"/>
    <d v="2023-07-11T19:00:25"/>
    <m/>
    <d v="2023-07-11T00:00:00"/>
    <n v="654"/>
    <n v="17073"/>
    <s v="56270265"/>
    <s v="56270265"/>
    <m/>
    <m/>
    <n v="22707904"/>
    <m/>
    <m/>
    <m/>
    <s v="SOLFIN"/>
    <s v="SOLFIN"/>
    <s v="CCMS"/>
    <n v="21360709"/>
    <n v="7846.57"/>
    <m/>
    <s v="N"/>
    <n v="80"/>
    <d v="2023-07-11T19:00:31"/>
    <s v="Y"/>
    <s v="Preparation - drafting instruction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29"/>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58"/>
    <d v="2023-07-11T19:00:31"/>
    <s v="Y"/>
    <s v="Preparation - drafting consent orde"/>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43"/>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49"/>
    <d v="2023-07-11T19:00:31"/>
    <s v="Y"/>
    <s v="Preparation - other"/>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58"/>
    <d v="2023-07-10T19:02:02"/>
    <s v="Y"/>
    <s v="Routine Letter Out"/>
    <s v="Non Family Hourly Rates"/>
    <s v="Profit Cost"/>
    <s v="NH"/>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1"/>
    <d v="2023-07-10T19:02:02"/>
    <s v="Y"/>
    <s v="Psychiatrist"/>
    <s v="Non Family Hourly Rates"/>
    <s v="Expert Disbursement"/>
    <s v="RW"/>
    <s v="Y"/>
    <n v="215.49"/>
    <n v="43.1"/>
    <x v="2"/>
    <s v="VALIDATED"/>
    <n v="1"/>
    <s v="01.11.80.208.6300.0000"/>
    <n v="215.49"/>
    <s v="11"/>
    <s v="6300"/>
    <n v="2086.04"/>
    <n v="215.49"/>
    <s v="CREDITOR"/>
    <n v="0"/>
    <n v="0"/>
    <n v="0"/>
    <n v="0"/>
    <n v="215.49"/>
  </r>
  <r>
    <n v="61309497"/>
    <s v="N"/>
    <n v="21349894"/>
    <s v="3000015465150003"/>
    <s v="CIVIL"/>
    <d v="2023-06-29T00:00:00"/>
    <d v="2023-07-10T19:01:40"/>
    <m/>
    <d v="2023-07-10T00:00:00"/>
    <n v="654"/>
    <n v="17073"/>
    <s v="61309497"/>
    <s v="61309497"/>
    <m/>
    <m/>
    <n v="22789506"/>
    <m/>
    <m/>
    <m/>
    <s v="SOLFIN"/>
    <s v="SOLFIN"/>
    <s v="CCMS"/>
    <n v="21349894"/>
    <n v="2700.06"/>
    <m/>
    <s v="N"/>
    <n v="2"/>
    <d v="2023-07-10T19:02:02"/>
    <s v="N"/>
    <s v="Psychiatrist"/>
    <s v="Non Family Hourly Rates"/>
    <s v="Expert Disbursement"/>
    <s v="RW"/>
    <s v="N"/>
    <n v="432.51"/>
    <n v="86.51000000000001"/>
    <x v="2"/>
    <s v="VALIDATED"/>
    <n v="1"/>
    <s v="01.11.80.208.6300.0000"/>
    <n v="432.51"/>
    <s v="11"/>
    <s v="6300"/>
    <n v="2086.04"/>
    <n v="432.51"/>
    <s v="CREDITOR"/>
    <n v="0"/>
    <n v="0"/>
    <n v="0"/>
    <n v="0"/>
    <n v="432.51"/>
  </r>
  <r>
    <n v="61309497"/>
    <s v="N"/>
    <n v="21349894"/>
    <s v="3000015465150003"/>
    <s v="CIVIL"/>
    <d v="2023-06-29T00:00:00"/>
    <d v="2023-07-10T19:01:40"/>
    <m/>
    <d v="2023-07-10T00:00:00"/>
    <n v="654"/>
    <n v="17073"/>
    <s v="61309497"/>
    <s v="61309497"/>
    <m/>
    <m/>
    <n v="22789506"/>
    <m/>
    <m/>
    <m/>
    <s v="SOLFIN"/>
    <s v="SOLFIN"/>
    <s v="CCMS"/>
    <n v="21349894"/>
    <n v="2700.06"/>
    <m/>
    <s v="N"/>
    <n v="6"/>
    <d v="2023-07-10T19:02:02"/>
    <s v="Y"/>
    <s v="Preparation - other"/>
    <s v="Non Family Hourly Rates"/>
    <s v="Profit Cost"/>
    <s v="RW"/>
    <s v="Y"/>
    <n v="23.76"/>
    <n v="4.75"/>
    <x v="2"/>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2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87"/>
    <d v="2023-07-11T19:00:31"/>
    <s v="Y"/>
    <s v="Preparation - other"/>
    <s v="Non Family Hourly Rates"/>
    <s v="Profit Cost"/>
    <s v="BC"/>
    <s v="Y"/>
    <n v="35.64"/>
    <n v="7.13"/>
    <x v="7"/>
    <s v="VALIDATED"/>
    <n v="1"/>
    <s v="01.11.80.208.6100.0000"/>
    <n v="35.64"/>
    <s v="11"/>
    <s v="6100"/>
    <n v="2086.04"/>
    <n v="35.64"/>
    <s v="CREDITOR"/>
    <n v="0"/>
    <n v="0"/>
    <n v="0"/>
    <n v="0"/>
    <n v="35.64"/>
  </r>
  <r>
    <n v="56270265"/>
    <s v="N"/>
    <n v="21360709"/>
    <s v="3000013363660010"/>
    <s v="CIVIL"/>
    <d v="2023-06-16T00:00:00"/>
    <d v="2023-07-11T19:00:25"/>
    <m/>
    <d v="2023-07-11T00:00:00"/>
    <n v="654"/>
    <n v="17073"/>
    <s v="56270265"/>
    <s v="56270265"/>
    <m/>
    <m/>
    <n v="22707904"/>
    <m/>
    <m/>
    <m/>
    <s v="SOLFIN"/>
    <s v="SOLFIN"/>
    <s v="CCMS"/>
    <n v="21360709"/>
    <n v="7846.57"/>
    <m/>
    <s v="N"/>
    <n v="20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
    <d v="2023-07-11T19:00:31"/>
    <s v="N"/>
    <s v="Client Travel Expenses"/>
    <s v="Non Family Hourly Rates"/>
    <s v="Non Expert Disbursement"/>
    <s v="FN"/>
    <s v="N"/>
    <n v="21"/>
    <n v="0"/>
    <x v="7"/>
    <s v="VALIDATED"/>
    <n v="1"/>
    <s v="01.11.80.208.6300.0000"/>
    <n v="21"/>
    <s v="11"/>
    <s v="6300"/>
    <n v="2086.04"/>
    <n v="21"/>
    <s v="CREDITOR"/>
    <n v="0"/>
    <n v="0"/>
    <n v="0"/>
    <n v="0"/>
    <n v="21"/>
  </r>
  <r>
    <n v="56270265"/>
    <s v="N"/>
    <n v="21360709"/>
    <s v="3000013363660010"/>
    <s v="CIVIL"/>
    <d v="2023-06-16T00:00:00"/>
    <d v="2023-07-11T19:00:25"/>
    <m/>
    <d v="2023-07-11T00:00:00"/>
    <n v="654"/>
    <n v="17073"/>
    <s v="56270265"/>
    <s v="56270265"/>
    <m/>
    <m/>
    <n v="22707904"/>
    <m/>
    <m/>
    <m/>
    <s v="SOLFIN"/>
    <s v="SOLFIN"/>
    <s v="CCMS"/>
    <n v="21360709"/>
    <n v="7846.57"/>
    <m/>
    <s v="N"/>
    <n v="26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3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29"/>
    <d v="2023-07-11T19:00:31"/>
    <s v="Y"/>
    <s v="Attendance upon client"/>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111"/>
    <d v="2023-07-11T19:00:31"/>
    <s v="Y"/>
    <s v="Preparation - other"/>
    <s v="Non Family Hourly Rates"/>
    <s v="Profit Cost"/>
    <s v="FN"/>
    <s v="Y"/>
    <n v="23.76"/>
    <n v="4.75"/>
    <x v="7"/>
    <s v="VALIDATED"/>
    <n v="1"/>
    <s v="01.11.80.208.6100.0000"/>
    <n v="23.76"/>
    <s v="11"/>
    <s v="6100"/>
    <n v="2086.04"/>
    <n v="23.76"/>
    <s v="CREDITOR"/>
    <n v="0"/>
    <n v="0"/>
    <n v="0"/>
    <n v="0"/>
    <n v="23.76"/>
  </r>
  <r>
    <n v="61309497"/>
    <s v="N"/>
    <n v="21349894"/>
    <s v="3000015465150003"/>
    <s v="CIVIL"/>
    <d v="2023-06-29T00:00:00"/>
    <d v="2023-07-10T19:01:40"/>
    <m/>
    <d v="2023-07-10T00:00:00"/>
    <n v="654"/>
    <n v="17073"/>
    <s v="61309497"/>
    <s v="61309497"/>
    <m/>
    <m/>
    <n v="22789506"/>
    <m/>
    <m/>
    <m/>
    <s v="SOLFIN"/>
    <s v="SOLFIN"/>
    <s v="CCMS"/>
    <n v="21349894"/>
    <n v="2700.06"/>
    <m/>
    <s v="N"/>
    <n v="3"/>
    <d v="2023-07-10T19:02:02"/>
    <s v="Y"/>
    <s v="Preparation - drafting application"/>
    <s v="Non Family Hourly Rates"/>
    <s v="Profit Cost"/>
    <s v="RW"/>
    <s v="Y"/>
    <n v="47.52"/>
    <n v="9.51"/>
    <x v="2"/>
    <s v="VALIDATED"/>
    <n v="1"/>
    <s v="01.11.80.208.6100.0000"/>
    <n v="47.52"/>
    <s v="11"/>
    <s v="6100"/>
    <n v="2086.04"/>
    <n v="47.52"/>
    <s v="CREDITOR"/>
    <n v="0"/>
    <n v="0"/>
    <n v="0"/>
    <n v="0"/>
    <n v="47.52"/>
  </r>
  <r>
    <n v="56270265"/>
    <s v="N"/>
    <n v="21360709"/>
    <s v="3000013363660010"/>
    <s v="CIVIL"/>
    <d v="2023-06-16T00:00:00"/>
    <d v="2023-07-11T19:00:25"/>
    <m/>
    <d v="2023-07-11T00:00:00"/>
    <n v="654"/>
    <n v="17073"/>
    <s v="56270265"/>
    <s v="56270265"/>
    <m/>
    <m/>
    <n v="22707904"/>
    <m/>
    <m/>
    <m/>
    <s v="SOLFIN"/>
    <s v="SOLFIN"/>
    <s v="CCMS"/>
    <n v="21360709"/>
    <n v="7846.57"/>
    <m/>
    <s v="N"/>
    <n v="27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95"/>
    <d v="2023-07-11T19:00:31"/>
    <s v="Y"/>
    <s v="Routine Telephone Call"/>
    <s v="Non Family Hourly Rates"/>
    <s v="Profit Cost"/>
    <s v="NH"/>
    <s v="Y"/>
    <n v="29.61"/>
    <n v="5.92"/>
    <x v="7"/>
    <s v="VALIDATED"/>
    <n v="1"/>
    <s v="01.11.80.208.6100.0000"/>
    <n v="29.61"/>
    <s v="11"/>
    <s v="6100"/>
    <n v="2086.04"/>
    <n v="29.61"/>
    <s v="CREDITOR"/>
    <n v="0"/>
    <n v="0"/>
    <n v="0"/>
    <n v="0"/>
    <n v="29.61"/>
  </r>
  <r>
    <n v="56270265"/>
    <s v="N"/>
    <n v="21360709"/>
    <s v="3000013363660010"/>
    <s v="CIVIL"/>
    <d v="2023-06-16T00:00:00"/>
    <d v="2023-07-11T19:00:25"/>
    <m/>
    <d v="2023-07-11T00:00:00"/>
    <n v="654"/>
    <n v="17073"/>
    <s v="56270265"/>
    <s v="56270265"/>
    <m/>
    <m/>
    <n v="22707904"/>
    <m/>
    <m/>
    <m/>
    <s v="SOLFIN"/>
    <s v="SOLFIN"/>
    <s v="CCMS"/>
    <n v="21360709"/>
    <n v="7846.57"/>
    <m/>
    <s v="N"/>
    <n v="83"/>
    <d v="2023-07-11T19:00:31"/>
    <s v="Y"/>
    <s v="Preparation - other"/>
    <s v="Non Family Hourly Rates"/>
    <s v="Profit Cost"/>
    <s v="FN"/>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19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69"/>
    <d v="2023-07-11T19:00:31"/>
    <s v="Y"/>
    <s v="Preparation - drafting attendance n"/>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10"/>
    <d v="2023-07-11T19:00:31"/>
    <s v="Y"/>
    <s v="Attendance upon client"/>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92"/>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13"/>
    <d v="2023-07-10T19:02:02"/>
    <s v="Y"/>
    <s v="Report - Medical report"/>
    <s v="Non Family Hourly Rates"/>
    <s v="Profit Cost"/>
    <s v="RW"/>
    <s v="Y"/>
    <n v="5.94"/>
    <n v="1.19"/>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37"/>
    <d v="2023-07-11T19:00:31"/>
    <s v="Y"/>
    <s v="Preparation - other"/>
    <s v="Non Family Hourly Rates"/>
    <s v="Profit Cost"/>
    <s v="FN"/>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264"/>
    <d v="2023-07-11T19:00:31"/>
    <s v="Y"/>
    <s v="Preparation - drafting agreement/se"/>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45"/>
    <d v="2023-07-10T19:02:02"/>
    <s v="Y"/>
    <s v="Preparation - other"/>
    <s v="Non Family Hourly Rates"/>
    <s v="Profit Cost"/>
    <s v="RW"/>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37"/>
    <d v="2023-07-10T19:02:02"/>
    <s v="Y"/>
    <s v="Report - other expert's report"/>
    <s v="Non Family Hourly Rates"/>
    <s v="Profit Cost"/>
    <s v="AB"/>
    <s v="Y"/>
    <n v="11.88"/>
    <n v="2.38"/>
    <x v="2"/>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55"/>
    <d v="2023-07-10T19:02:02"/>
    <s v="Y"/>
    <s v="Routine Telephone Call"/>
    <s v="Non Family Hourly Rates"/>
    <s v="Profit Cost"/>
    <s v="RW"/>
    <s v="Y"/>
    <n v="6.58"/>
    <n v="1.32"/>
    <x v="2"/>
    <s v="VALIDATED"/>
    <n v="1"/>
    <s v="01.11.80.208.6100.0000"/>
    <n v="6.58"/>
    <s v="11"/>
    <s v="6100"/>
    <n v="2086.04"/>
    <n v="6.58"/>
    <s v="CREDITOR"/>
    <n v="0"/>
    <n v="0"/>
    <n v="0"/>
    <n v="0"/>
    <n v="6.58"/>
  </r>
  <r>
    <n v="56270265"/>
    <s v="N"/>
    <n v="21360709"/>
    <s v="3000013363660010"/>
    <s v="CIVIL"/>
    <d v="2023-06-16T00:00:00"/>
    <d v="2023-07-11T19:00:25"/>
    <m/>
    <d v="2023-07-11T00:00:00"/>
    <n v="654"/>
    <n v="17073"/>
    <s v="56270265"/>
    <s v="56270265"/>
    <m/>
    <m/>
    <n v="22707904"/>
    <m/>
    <m/>
    <m/>
    <s v="SOLFIN"/>
    <s v="SOLFIN"/>
    <s v="CCMS"/>
    <n v="21360709"/>
    <n v="7846.57"/>
    <m/>
    <s v="N"/>
    <n v="34"/>
    <d v="2023-07-11T19:00:31"/>
    <s v="Y"/>
    <s v="Attendance upon client"/>
    <s v="Non Family Hourly Rates"/>
    <s v="Profit Cost"/>
    <s v="FN"/>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176"/>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92"/>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09"/>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16"/>
    <d v="2023-07-11T19:00:31"/>
    <s v="Y"/>
    <s v="Preparation - other"/>
    <s v="Non Family Hourly Rates"/>
    <s v="Profit Cost"/>
    <s v="FN"/>
    <s v="Y"/>
    <n v="5.94"/>
    <n v="1.19"/>
    <x v="7"/>
    <s v="VALIDATED"/>
    <n v="1"/>
    <s v="01.11.80.208.6100.0000"/>
    <n v="5.94"/>
    <s v="11"/>
    <s v="6100"/>
    <n v="2086.04"/>
    <n v="5.94"/>
    <s v="CREDITOR"/>
    <n v="0"/>
    <n v="0"/>
    <n v="0"/>
    <n v="0"/>
    <n v="5.94"/>
  </r>
  <r>
    <n v="62229536"/>
    <s v="N"/>
    <n v="21337854"/>
    <s v="3000016232240002"/>
    <s v="CIVIL"/>
    <d v="2023-06-29T00:00:00"/>
    <d v="2023-07-06T19:21:01"/>
    <m/>
    <d v="2023-07-06T00:00:00"/>
    <n v="654"/>
    <n v="17073"/>
    <s v="62229536"/>
    <s v="62229536"/>
    <m/>
    <m/>
    <n v="22791296"/>
    <m/>
    <m/>
    <m/>
    <s v="SOLPOA"/>
    <s v="SOLPOA"/>
    <s v="CCMS"/>
    <n v="21337854"/>
    <n v="53"/>
    <m/>
    <s v="N"/>
    <n v="1"/>
    <d v="2023-07-06T19:21:09"/>
    <s v="N"/>
    <s v="Non Expert Disbursement"/>
    <s v="Non Expert Disbursement"/>
    <s v="Non Expert Disbursement"/>
    <s v="Heidi Davey"/>
    <s v="N"/>
    <n v="53"/>
    <n v="0"/>
    <x v="4"/>
    <s v="VALIDATED"/>
    <n v="1"/>
    <s v="01.11.80.308.2012.0000"/>
    <n v="53"/>
    <s v="11"/>
    <s v="2012"/>
    <n v="2086.04"/>
    <n v="53"/>
    <s v="CREDITOR"/>
    <n v="53"/>
    <n v="0"/>
    <n v="0"/>
    <n v="0"/>
    <n v="0"/>
  </r>
  <r>
    <n v="56270265"/>
    <s v="N"/>
    <n v="21360709"/>
    <s v="3000013363660010"/>
    <s v="CIVIL"/>
    <d v="2023-06-16T00:00:00"/>
    <d v="2023-07-11T19:00:25"/>
    <m/>
    <d v="2023-07-11T00:00:00"/>
    <n v="654"/>
    <n v="17073"/>
    <s v="56270265"/>
    <s v="56270265"/>
    <m/>
    <m/>
    <n v="22707904"/>
    <m/>
    <m/>
    <m/>
    <s v="SOLFIN"/>
    <s v="SOLFIN"/>
    <s v="CCMS"/>
    <n v="21360709"/>
    <n v="7846.57"/>
    <m/>
    <s v="N"/>
    <n v="178"/>
    <d v="2023-07-11T19:00:31"/>
    <s v="Y"/>
    <s v="Attendance upon client"/>
    <s v="Non Family Hourly Rates"/>
    <s v="Profit Cost"/>
    <s v="FN"/>
    <s v="Y"/>
    <n v="53.46"/>
    <n v="10.7"/>
    <x v="7"/>
    <s v="VALIDATED"/>
    <n v="1"/>
    <s v="01.11.80.208.6100.0000"/>
    <n v="53.46"/>
    <s v="11"/>
    <s v="6100"/>
    <n v="2086.04"/>
    <n v="53.46"/>
    <s v="CREDITOR"/>
    <n v="0"/>
    <n v="0"/>
    <n v="0"/>
    <n v="0"/>
    <n v="53.46"/>
  </r>
  <r>
    <n v="56270265"/>
    <s v="N"/>
    <n v="21360709"/>
    <s v="3000013363660010"/>
    <s v="CIVIL"/>
    <d v="2023-06-16T00:00:00"/>
    <d v="2023-07-11T19:00:25"/>
    <m/>
    <d v="2023-07-11T00:00:00"/>
    <n v="654"/>
    <n v="17073"/>
    <s v="56270265"/>
    <s v="56270265"/>
    <m/>
    <m/>
    <n v="22707904"/>
    <m/>
    <m/>
    <m/>
    <s v="SOLFIN"/>
    <s v="SOLFIN"/>
    <s v="CCMS"/>
    <n v="21360709"/>
    <n v="7846.57"/>
    <m/>
    <s v="N"/>
    <n v="193"/>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65"/>
    <d v="2023-07-11T19:00:31"/>
    <s v="Y"/>
    <s v="Preparation - drafting consent orde"/>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31"/>
    <d v="2023-07-11T19:00:31"/>
    <s v="Y"/>
    <s v="Preparation - drafting instruction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62"/>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02"/>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0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22"/>
    <d v="2023-07-11T19:00:31"/>
    <s v="Y"/>
    <s v="Preparation - other"/>
    <s v="Non Family Hourly Rates"/>
    <s v="Profit Cost"/>
    <s v="FN"/>
    <s v="Y"/>
    <n v="11.88"/>
    <n v="2.38"/>
    <x v="7"/>
    <s v="VALIDATED"/>
    <n v="1"/>
    <s v="01.11.80.208.6100.0000"/>
    <n v="11.88"/>
    <s v="11"/>
    <s v="6100"/>
    <n v="2086.04"/>
    <n v="11.88"/>
    <s v="CREDITOR"/>
    <n v="0"/>
    <n v="0"/>
    <n v="0"/>
    <n v="0"/>
    <n v="11.88"/>
  </r>
  <r>
    <n v="62473695"/>
    <s v="N"/>
    <n v="21320468"/>
    <s v="3000016435360002"/>
    <s v="CIVIL"/>
    <d v="2023-06-28T00:00:00"/>
    <d v="2023-07-03T19:04:52"/>
    <m/>
    <d v="2023-07-03T00:00:00"/>
    <n v="654"/>
    <n v="17073"/>
    <s v="62473695"/>
    <s v="62473695"/>
    <m/>
    <m/>
    <n v="22782168"/>
    <m/>
    <m/>
    <m/>
    <s v="SOLPOA"/>
    <s v="SOLPOA"/>
    <s v="CCMS"/>
    <n v="21320468"/>
    <n v="486.8"/>
    <m/>
    <s v="N"/>
    <n v="1"/>
    <d v="2023-07-03T19:04:54"/>
    <s v="N"/>
    <s v="Expert Cost"/>
    <s v="Expert Cost"/>
    <s v="Expert Disbursement"/>
    <s v="Hannah Quick"/>
    <s v="N"/>
    <n v="405.67"/>
    <n v="81.13"/>
    <x v="3"/>
    <s v="VALIDATED"/>
    <n v="1"/>
    <s v="01.11.80.308.2012.0000"/>
    <n v="405.67"/>
    <s v="11"/>
    <s v="2012"/>
    <n v="2086.04"/>
    <n v="405.67"/>
    <s v="CREDITOR"/>
    <n v="405.67"/>
    <n v="0"/>
    <n v="0"/>
    <n v="0"/>
    <n v="0"/>
  </r>
  <r>
    <n v="61309497"/>
    <s v="N"/>
    <n v="21349894"/>
    <s v="3000015465150003"/>
    <s v="CIVIL"/>
    <d v="2023-06-29T00:00:00"/>
    <d v="2023-07-10T19:01:40"/>
    <m/>
    <d v="2023-07-10T00:00:00"/>
    <n v="654"/>
    <n v="17073"/>
    <s v="61309497"/>
    <s v="61309497"/>
    <m/>
    <m/>
    <n v="22789506"/>
    <m/>
    <m/>
    <m/>
    <s v="SOLFIN"/>
    <s v="SOLFIN"/>
    <s v="CCMS"/>
    <n v="21349894"/>
    <n v="2700.06"/>
    <m/>
    <s v="N"/>
    <n v="24"/>
    <d v="2023-07-10T19:02:02"/>
    <s v="Y"/>
    <s v="Report - other expert's report"/>
    <s v="Non Family Hourly Rates"/>
    <s v="Profit Cost"/>
    <s v="AB"/>
    <s v="Y"/>
    <n v="5.94"/>
    <n v="1.19"/>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8"/>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75"/>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72"/>
    <d v="2023-07-11T19:00:31"/>
    <s v="Y"/>
    <s v="Preparation - other"/>
    <s v="Non Family Hourly Rates"/>
    <s v="Profit Cost"/>
    <s v="FN"/>
    <s v="Y"/>
    <n v="5.94"/>
    <n v="1.19"/>
    <x v="7"/>
    <s v="VALIDATED"/>
    <n v="1"/>
    <s v="01.11.80.208.6100.0000"/>
    <n v="5.94"/>
    <s v="11"/>
    <s v="6100"/>
    <n v="2086.04"/>
    <n v="5.94"/>
    <s v="CREDITOR"/>
    <n v="0"/>
    <n v="0"/>
    <n v="0"/>
    <n v="0"/>
    <n v="5.94"/>
  </r>
  <r>
    <n v="55923514"/>
    <s v="N"/>
    <n v="21344067"/>
    <s v="3000013173190011"/>
    <s v="CIVIL"/>
    <d v="2023-06-27T00:00:00"/>
    <d v="2023-07-07T19:03:00"/>
    <m/>
    <d v="2023-07-07T00:00:00"/>
    <n v="654"/>
    <n v="17073"/>
    <s v="55923514"/>
    <s v="55923514"/>
    <m/>
    <m/>
    <n v="22770190"/>
    <m/>
    <m/>
    <m/>
    <s v="SOLFIN"/>
    <s v="SOLFIN"/>
    <s v="CCMS"/>
    <n v="21344067"/>
    <n v="7561.04"/>
    <m/>
    <s v="N"/>
    <n v="6"/>
    <d v="2023-07-07T19:03:22"/>
    <s v="Y"/>
    <s v="Hearing Unit 2.31 - 5.00 Hours"/>
    <s v="Private Law Children"/>
    <s v="Advocacy"/>
    <s v="HD"/>
    <s v="Y"/>
    <n v="313.48"/>
    <n v="62.7"/>
    <x v="9"/>
    <s v="VALIDATED"/>
    <n v="1"/>
    <s v="01.11.80.307.6100.0000"/>
    <n v="313.48"/>
    <s v="11"/>
    <s v="6100"/>
    <n v="2086.04"/>
    <n v="313.48"/>
    <s v="CREDITOR"/>
    <n v="0"/>
    <n v="0"/>
    <n v="0"/>
    <n v="0"/>
    <n v="313.48"/>
  </r>
  <r>
    <n v="56270265"/>
    <s v="N"/>
    <n v="21360709"/>
    <s v="3000013363660010"/>
    <s v="CIVIL"/>
    <d v="2023-06-16T00:00:00"/>
    <d v="2023-07-11T19:00:25"/>
    <m/>
    <d v="2023-07-11T00:00:00"/>
    <n v="654"/>
    <n v="17073"/>
    <s v="56270265"/>
    <s v="56270265"/>
    <m/>
    <m/>
    <n v="22707904"/>
    <m/>
    <m/>
    <m/>
    <s v="SOLFIN"/>
    <s v="SOLFIN"/>
    <s v="CCMS"/>
    <n v="21360709"/>
    <n v="7846.57"/>
    <m/>
    <s v="N"/>
    <n v="44"/>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52"/>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35"/>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70"/>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1"/>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92"/>
    <d v="2023-07-11T19:00:31"/>
    <s v="Y"/>
    <s v="Preparation - drafting bill/claim f"/>
    <s v="Non Family Hourly Rates"/>
    <s v="Profit Cost"/>
    <s v="CD"/>
    <s v="Y"/>
    <n v="487.08"/>
    <n v="97.45"/>
    <x v="7"/>
    <s v="VALIDATED"/>
    <n v="1"/>
    <s v="01.11.80.208.6100.0000"/>
    <n v="487.08"/>
    <s v="11"/>
    <s v="6100"/>
    <n v="2086.04"/>
    <n v="487.08"/>
    <s v="CREDITOR"/>
    <n v="0"/>
    <n v="0"/>
    <n v="0"/>
    <n v="0"/>
    <n v="487.08"/>
  </r>
  <r>
    <n v="56270265"/>
    <s v="N"/>
    <n v="21360709"/>
    <s v="3000013363660010"/>
    <s v="CIVIL"/>
    <d v="2023-06-16T00:00:00"/>
    <d v="2023-07-11T19:00:25"/>
    <m/>
    <d v="2023-07-11T00:00:00"/>
    <n v="654"/>
    <n v="17073"/>
    <s v="56270265"/>
    <s v="56270265"/>
    <m/>
    <m/>
    <n v="22707904"/>
    <m/>
    <m/>
    <m/>
    <s v="SOLFIN"/>
    <s v="SOLFIN"/>
    <s v="CCMS"/>
    <n v="21360709"/>
    <n v="7846.57"/>
    <m/>
    <s v="N"/>
    <n v="64"/>
    <d v="2023-07-11T19:00:31"/>
    <s v="Y"/>
    <s v="Preparation - drafting consent orde"/>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1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7"/>
    <d v="2023-07-11T19:00:31"/>
    <s v="Y"/>
    <s v="Preparation - other"/>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15"/>
    <d v="2023-07-10T19:02:02"/>
    <s v="Y"/>
    <s v="Preparation - other"/>
    <s v="Non Family Hourly Rates"/>
    <s v="Profit Cost"/>
    <s v="RW"/>
    <s v="Y"/>
    <n v="17.82"/>
    <n v="3.56"/>
    <x v="2"/>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56"/>
    <d v="2023-07-11T19:00:31"/>
    <s v="Y"/>
    <s v="Preparation - other"/>
    <s v="Non Family Hourly Rates"/>
    <s v="Profit Cost"/>
    <s v="FN"/>
    <s v="Y"/>
    <n v="5.94"/>
    <n v="1.19"/>
    <x v="7"/>
    <s v="VALIDATED"/>
    <n v="1"/>
    <s v="01.11.80.208.6100.0000"/>
    <n v="5.94"/>
    <s v="11"/>
    <s v="6100"/>
    <n v="2086.04"/>
    <n v="5.94"/>
    <s v="CREDITOR"/>
    <n v="0"/>
    <n v="0"/>
    <n v="0"/>
    <n v="0"/>
    <n v="5.94"/>
  </r>
  <r>
    <n v="61828284"/>
    <s v="N"/>
    <n v="21337916"/>
    <s v="3000015897020020"/>
    <s v="CIVIL"/>
    <d v="2023-06-29T00:00:00"/>
    <d v="2023-07-06T19:21:01"/>
    <m/>
    <d v="2023-07-06T00:00:00"/>
    <n v="654"/>
    <n v="17073"/>
    <s v="61828284"/>
    <s v="61828284"/>
    <m/>
    <m/>
    <n v="22791424"/>
    <m/>
    <m/>
    <m/>
    <s v="SOLPOA"/>
    <s v="SOLPOA"/>
    <s v="CCMS"/>
    <n v="21337916"/>
    <n v="259.2"/>
    <m/>
    <s v="N"/>
    <n v="1"/>
    <d v="2023-07-06T19:21:10"/>
    <s v="N"/>
    <s v="Expert Cost"/>
    <s v="Expert Cost"/>
    <s v="Expert Disbursement"/>
    <s v="Hannah Quick"/>
    <s v="N"/>
    <n v="216"/>
    <n v="43.2"/>
    <x v="4"/>
    <s v="VALIDATED"/>
    <n v="1"/>
    <s v="01.11.80.308.2012.0000"/>
    <n v="216"/>
    <s v="11"/>
    <s v="2012"/>
    <n v="2086.04"/>
    <n v="216"/>
    <s v="CREDITOR"/>
    <n v="216"/>
    <n v="0"/>
    <n v="0"/>
    <n v="0"/>
    <n v="0"/>
  </r>
  <r>
    <n v="56270265"/>
    <s v="N"/>
    <n v="21360709"/>
    <s v="3000013363660010"/>
    <s v="CIVIL"/>
    <d v="2023-06-16T00:00:00"/>
    <d v="2023-07-11T19:00:25"/>
    <m/>
    <d v="2023-07-11T00:00:00"/>
    <n v="654"/>
    <n v="17073"/>
    <s v="56270265"/>
    <s v="56270265"/>
    <m/>
    <m/>
    <n v="22707904"/>
    <m/>
    <m/>
    <m/>
    <s v="SOLFIN"/>
    <s v="SOLFIN"/>
    <s v="CCMS"/>
    <n v="21360709"/>
    <n v="7846.57"/>
    <m/>
    <s v="N"/>
    <n v="275"/>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56"/>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3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6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7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45"/>
    <d v="2023-07-11T19:00:31"/>
    <s v="Y"/>
    <s v="Preparation - other"/>
    <s v="Non Family Hourly Rates"/>
    <s v="Profit Cost"/>
    <s v="FN"/>
    <s v="Y"/>
    <n v="59.4"/>
    <n v="11.88"/>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05"/>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52"/>
    <d v="2023-07-10T19:02:02"/>
    <s v="Y"/>
    <s v="Preparation - Periodic file review"/>
    <s v="Non Family Hourly Rates"/>
    <s v="Profit Cost"/>
    <s v="RW"/>
    <s v="Y"/>
    <n v="11.88"/>
    <n v="2.38"/>
    <x v="2"/>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57"/>
    <d v="2023-07-10T19:02:02"/>
    <s v="Y"/>
    <s v="Routine Letter Out"/>
    <s v="Non Family Hourly Rates"/>
    <s v="Profit Cost"/>
    <s v="RW"/>
    <s v="Y"/>
    <n v="95.04000000000001"/>
    <n v="19.01"/>
    <x v="2"/>
    <s v="VALIDATED"/>
    <n v="1"/>
    <s v="01.11.80.208.6100.0000"/>
    <n v="95.04000000000001"/>
    <s v="11"/>
    <s v="6100"/>
    <n v="2086.04"/>
    <n v="95.04000000000001"/>
    <s v="CREDITOR"/>
    <n v="0"/>
    <n v="0"/>
    <n v="0"/>
    <n v="0"/>
    <n v="95.04000000000001"/>
  </r>
  <r>
    <n v="56270265"/>
    <s v="N"/>
    <n v="21360709"/>
    <s v="3000013363660010"/>
    <s v="CIVIL"/>
    <d v="2023-06-16T00:00:00"/>
    <d v="2023-07-11T19:00:25"/>
    <m/>
    <d v="2023-07-11T00:00:00"/>
    <n v="654"/>
    <n v="17073"/>
    <s v="56270265"/>
    <s v="56270265"/>
    <m/>
    <m/>
    <n v="22707904"/>
    <m/>
    <m/>
    <m/>
    <s v="SOLFIN"/>
    <s v="SOLFIN"/>
    <s v="CCMS"/>
    <n v="21360709"/>
    <n v="7846.57"/>
    <m/>
    <s v="N"/>
    <n v="183"/>
    <d v="2023-07-11T19:00:31"/>
    <s v="Y"/>
    <s v="Preparation - other"/>
    <s v="Non Family Hourly Rates"/>
    <s v="Profit Cost"/>
    <s v="FN"/>
    <s v="Y"/>
    <n v="53.46"/>
    <n v="10.7"/>
    <x v="7"/>
    <s v="VALIDATED"/>
    <n v="1"/>
    <s v="01.11.80.208.6100.0000"/>
    <n v="53.46"/>
    <s v="11"/>
    <s v="6100"/>
    <n v="2086.04"/>
    <n v="53.46"/>
    <s v="CREDITOR"/>
    <n v="0"/>
    <n v="0"/>
    <n v="0"/>
    <n v="0"/>
    <n v="53.46"/>
  </r>
  <r>
    <n v="56270265"/>
    <s v="N"/>
    <n v="21360709"/>
    <s v="3000013363660010"/>
    <s v="CIVIL"/>
    <d v="2023-06-16T00:00:00"/>
    <d v="2023-07-11T19:00:25"/>
    <m/>
    <d v="2023-07-11T00:00:00"/>
    <n v="654"/>
    <n v="17073"/>
    <s v="56270265"/>
    <s v="56270265"/>
    <m/>
    <m/>
    <n v="22707904"/>
    <m/>
    <m/>
    <m/>
    <s v="SOLFIN"/>
    <s v="SOLFIN"/>
    <s v="CCMS"/>
    <n v="21360709"/>
    <n v="7846.57"/>
    <m/>
    <s v="N"/>
    <n v="22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88"/>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93"/>
    <d v="2023-07-11T19:00:31"/>
    <s v="Y"/>
    <s v="Preparation - drafting consent orde"/>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47"/>
    <d v="2023-07-11T19:00:31"/>
    <s v="Y"/>
    <s v="Report - Medical report"/>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42"/>
    <d v="2023-07-11T19:00:31"/>
    <s v="Y"/>
    <s v="Preparation - drafting statement"/>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59"/>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32"/>
    <d v="2023-07-11T19:00:31"/>
    <s v="Y"/>
    <s v="Preparation - other"/>
    <s v="Non Family Hourly Rates"/>
    <s v="Profit Cost"/>
    <s v="FN"/>
    <s v="Y"/>
    <n v="17.82"/>
    <n v="3.57"/>
    <x v="7"/>
    <s v="VALIDATED"/>
    <n v="1"/>
    <s v="01.11.80.208.6100.0000"/>
    <n v="17.82"/>
    <s v="11"/>
    <s v="6100"/>
    <n v="2086.04"/>
    <n v="17.82"/>
    <s v="CREDITOR"/>
    <n v="0"/>
    <n v="0"/>
    <n v="0"/>
    <n v="0"/>
    <n v="17.82"/>
  </r>
  <r>
    <n v="61309497"/>
    <s v="N"/>
    <n v="21349894"/>
    <s v="3000015465150003"/>
    <s v="CIVIL"/>
    <d v="2023-06-29T00:00:00"/>
    <d v="2023-07-10T19:01:40"/>
    <m/>
    <d v="2023-07-10T00:00:00"/>
    <n v="654"/>
    <n v="17073"/>
    <s v="61309497"/>
    <s v="61309497"/>
    <m/>
    <m/>
    <n v="22789506"/>
    <m/>
    <m/>
    <m/>
    <s v="SOLFIN"/>
    <s v="SOLFIN"/>
    <s v="CCMS"/>
    <n v="21349894"/>
    <n v="2700.06"/>
    <m/>
    <s v="N"/>
    <n v="16"/>
    <d v="2023-07-10T19:02:02"/>
    <s v="Y"/>
    <s v="Preparation - other"/>
    <s v="Non Family Hourly Rates"/>
    <s v="Profit Cost"/>
    <s v="RW"/>
    <s v="Y"/>
    <n v="29.7"/>
    <n v="5.94"/>
    <x v="2"/>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91"/>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2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5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22"/>
    <d v="2023-07-11T19:00:31"/>
    <s v="Y"/>
    <s v="Preparation - drafting pleading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37"/>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48"/>
    <d v="2023-07-11T19:00:31"/>
    <s v="Y"/>
    <s v="Preparation - drafting instruction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02"/>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6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70"/>
    <d v="2023-07-11T19:00:31"/>
    <s v="Y"/>
    <s v="Preparation - other"/>
    <s v="Non Family Hourly Rates"/>
    <s v="Profit Cost"/>
    <s v="BC"/>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38"/>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4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85"/>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5"/>
    <d v="2023-07-11T19:00:31"/>
    <s v="Y"/>
    <s v="Client Travel Expenses"/>
    <s v="Non Family Hourly Rates"/>
    <s v="Non Expert Disbursement"/>
    <s v="BC"/>
    <s v="Y"/>
    <n v="16.6"/>
    <n v="0"/>
    <x v="7"/>
    <s v="VALIDATED"/>
    <n v="1"/>
    <s v="01.11.80.208.6300.0000"/>
    <n v="16.6"/>
    <s v="11"/>
    <s v="6300"/>
    <n v="2086.04"/>
    <n v="16.6"/>
    <s v="CREDITOR"/>
    <n v="0"/>
    <n v="0"/>
    <n v="0"/>
    <n v="0"/>
    <n v="16.6"/>
  </r>
  <r>
    <n v="56270265"/>
    <s v="N"/>
    <n v="21360709"/>
    <s v="3000013363660010"/>
    <s v="CIVIL"/>
    <d v="2023-06-16T00:00:00"/>
    <d v="2023-07-11T19:00:25"/>
    <m/>
    <d v="2023-07-11T00:00:00"/>
    <n v="654"/>
    <n v="17073"/>
    <s v="56270265"/>
    <s v="56270265"/>
    <m/>
    <m/>
    <n v="22707904"/>
    <m/>
    <m/>
    <m/>
    <s v="SOLFIN"/>
    <s v="SOLFIN"/>
    <s v="CCMS"/>
    <n v="21360709"/>
    <n v="7846.57"/>
    <m/>
    <s v="N"/>
    <n v="12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18"/>
    <d v="2023-07-11T19:00:31"/>
    <s v="Y"/>
    <s v="Preparation - other"/>
    <s v="Non Family Hourly Rates"/>
    <s v="Profit Cost"/>
    <s v="FN"/>
    <s v="Y"/>
    <n v="5.94"/>
    <n v="1.19"/>
    <x v="7"/>
    <s v="VALIDATED"/>
    <n v="1"/>
    <s v="01.11.80.208.6100.0000"/>
    <n v="5.94"/>
    <s v="11"/>
    <s v="6100"/>
    <n v="2086.04"/>
    <n v="5.94"/>
    <s v="CREDITOR"/>
    <n v="0"/>
    <n v="0"/>
    <n v="0"/>
    <n v="0"/>
    <n v="5.94"/>
  </r>
  <r>
    <n v="60413913"/>
    <s v="N"/>
    <n v="21349649"/>
    <s v="3000014701230007"/>
    <s v="CIVIL"/>
    <d v="2023-06-29T00:00:00"/>
    <d v="2023-07-10T19:01:40"/>
    <m/>
    <d v="2023-07-10T00:00:00"/>
    <n v="654"/>
    <n v="17073"/>
    <s v="60413913"/>
    <s v="60413913"/>
    <m/>
    <m/>
    <n v="22791196"/>
    <m/>
    <m/>
    <m/>
    <s v="SOLFIN"/>
    <s v="SOLFIN"/>
    <s v="CCMS"/>
    <n v="21349649"/>
    <n v="9425.639999999999"/>
    <m/>
    <s v="N"/>
    <n v="6"/>
    <d v="2023-07-10T19:01:55"/>
    <s v="Y"/>
    <s v="Solicitor Travel Expenses"/>
    <s v="Public Law Children"/>
    <s v="Non Expert Disbursement"/>
    <s v="CP"/>
    <s v="Y"/>
    <n v="10"/>
    <n v="2"/>
    <x v="2"/>
    <s v="VALIDATED"/>
    <n v="1"/>
    <s v="01.11.80.308.6300.0000"/>
    <n v="10"/>
    <s v="11"/>
    <s v="6300"/>
    <n v="2086.04"/>
    <n v="10"/>
    <s v="CREDITOR"/>
    <n v="0"/>
    <n v="0"/>
    <n v="0"/>
    <n v="0"/>
    <n v="10"/>
  </r>
  <r>
    <n v="55923514"/>
    <s v="N"/>
    <n v="21344067"/>
    <s v="3000013173190011"/>
    <s v="CIVIL"/>
    <d v="2023-06-27T00:00:00"/>
    <d v="2023-07-07T19:03:00"/>
    <m/>
    <d v="2023-07-07T00:00:00"/>
    <n v="654"/>
    <n v="17073"/>
    <s v="55923514"/>
    <s v="55923514"/>
    <m/>
    <m/>
    <n v="22770190"/>
    <m/>
    <m/>
    <m/>
    <s v="SOLFIN"/>
    <s v="SOLFIN"/>
    <s v="CCMS"/>
    <n v="21344067"/>
    <n v="7561.04"/>
    <m/>
    <s v="N"/>
    <n v="5"/>
    <d v="2023-07-07T19:03:22"/>
    <s v="Y"/>
    <s v="Court Fee"/>
    <s v="Private Law Children"/>
    <s v="Non Expert Disbursement"/>
    <s v="HD"/>
    <s v="Y"/>
    <n v="50"/>
    <n v="0"/>
    <x v="9"/>
    <s v="VALIDATED"/>
    <n v="1"/>
    <s v="01.11.80.307.6300.0000"/>
    <n v="50"/>
    <s v="11"/>
    <s v="6300"/>
    <n v="2086.04"/>
    <n v="50"/>
    <s v="CREDITOR"/>
    <n v="0"/>
    <n v="0"/>
    <n v="0"/>
    <n v="0"/>
    <n v="50"/>
  </r>
  <r>
    <n v="61309497"/>
    <s v="N"/>
    <n v="21349894"/>
    <s v="3000015465150003"/>
    <s v="CIVIL"/>
    <d v="2023-06-29T00:00:00"/>
    <d v="2023-07-10T19:01:40"/>
    <m/>
    <d v="2023-07-10T00:00:00"/>
    <n v="654"/>
    <n v="17073"/>
    <s v="61309497"/>
    <s v="61309497"/>
    <m/>
    <m/>
    <n v="22789506"/>
    <m/>
    <m/>
    <m/>
    <s v="SOLFIN"/>
    <s v="SOLFIN"/>
    <s v="CCMS"/>
    <n v="21349894"/>
    <n v="2700.06"/>
    <m/>
    <s v="N"/>
    <n v="36"/>
    <d v="2023-07-10T19:02:02"/>
    <s v="Y"/>
    <s v="Report - other expert's report"/>
    <s v="Non Family Hourly Rates"/>
    <s v="Profit Cost"/>
    <s v="RW"/>
    <s v="Y"/>
    <n v="17.82"/>
    <n v="3.56"/>
    <x v="2"/>
    <s v="VALIDATED"/>
    <n v="1"/>
    <s v="01.11.80.208.6100.0000"/>
    <n v="17.82"/>
    <s v="11"/>
    <s v="6100"/>
    <n v="2086.04"/>
    <n v="17.82"/>
    <s v="CREDITOR"/>
    <n v="0"/>
    <n v="0"/>
    <n v="0"/>
    <n v="0"/>
    <n v="17.82"/>
  </r>
  <r>
    <n v="61309497"/>
    <s v="N"/>
    <n v="21349894"/>
    <s v="3000015465150003"/>
    <s v="CIVIL"/>
    <d v="2023-06-29T00:00:00"/>
    <d v="2023-07-10T19:01:40"/>
    <m/>
    <d v="2023-07-10T00:00:00"/>
    <n v="654"/>
    <n v="17073"/>
    <s v="61309497"/>
    <s v="61309497"/>
    <m/>
    <m/>
    <n v="22789506"/>
    <m/>
    <m/>
    <m/>
    <s v="SOLFIN"/>
    <s v="SOLFIN"/>
    <s v="CCMS"/>
    <n v="21349894"/>
    <n v="2700.06"/>
    <m/>
    <s v="N"/>
    <n v="44"/>
    <d v="2023-07-10T19:02:02"/>
    <s v="Y"/>
    <s v="Preparation - drafting pleadings"/>
    <s v="Non Family Hourly Rates"/>
    <s v="Profit Cost"/>
    <s v="RW"/>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22"/>
    <d v="2023-07-10T19:02:02"/>
    <s v="Y"/>
    <s v="Preparation - drafting consent orde"/>
    <s v="Non Family Hourly Rates"/>
    <s v="Profit Cost"/>
    <s v="RW"/>
    <s v="Y"/>
    <n v="11.88"/>
    <n v="2.38"/>
    <x v="2"/>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0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57"/>
    <d v="2023-07-11T19:00:31"/>
    <s v="Y"/>
    <s v="Preparation - drafting instructions"/>
    <s v="Non Family Hourly Rates"/>
    <s v="Profit Cost"/>
    <s v="FN"/>
    <s v="Y"/>
    <n v="11.88"/>
    <n v="2.38"/>
    <x v="7"/>
    <s v="VALIDATED"/>
    <n v="1"/>
    <s v="01.11.80.208.6100.0000"/>
    <n v="11.88"/>
    <s v="11"/>
    <s v="6100"/>
    <n v="2086.04"/>
    <n v="11.88"/>
    <s v="CREDITOR"/>
    <n v="0"/>
    <n v="0"/>
    <n v="0"/>
    <n v="0"/>
    <n v="11.88"/>
  </r>
  <r>
    <n v="60413913"/>
    <s v="N"/>
    <n v="21349649"/>
    <s v="3000014701230007"/>
    <s v="CIVIL"/>
    <d v="2023-06-29T00:00:00"/>
    <d v="2023-07-10T19:01:40"/>
    <m/>
    <d v="2023-07-10T00:00:00"/>
    <n v="654"/>
    <n v="17073"/>
    <s v="60413913"/>
    <s v="60413913"/>
    <m/>
    <m/>
    <n v="22791196"/>
    <m/>
    <m/>
    <m/>
    <s v="SOLFIN"/>
    <s v="SOLFIN"/>
    <s v="CCMS"/>
    <n v="21349649"/>
    <n v="9425.639999999999"/>
    <m/>
    <s v="N"/>
    <n v="3"/>
    <d v="2023-07-10T19:01:55"/>
    <s v="Y"/>
    <s v="Interim Hearing Court Bundle/Advoca"/>
    <s v="Public Law Children"/>
    <s v="Advocacy"/>
    <s v="CP"/>
    <s v="Y"/>
    <n v="89.09999999999999"/>
    <n v="17.82"/>
    <x v="2"/>
    <s v="VALIDATED"/>
    <n v="1"/>
    <s v="01.11.80.308.6100.0000"/>
    <n v="89.09999999999999"/>
    <s v="11"/>
    <s v="6100"/>
    <n v="2086.04"/>
    <n v="89.09999999999999"/>
    <s v="CREDITOR"/>
    <n v="0"/>
    <n v="0"/>
    <n v="0"/>
    <n v="0"/>
    <n v="89.09999999999999"/>
  </r>
  <r>
    <n v="56270265"/>
    <s v="N"/>
    <n v="21360709"/>
    <s v="3000013363660010"/>
    <s v="CIVIL"/>
    <d v="2023-06-16T00:00:00"/>
    <d v="2023-07-11T19:00:25"/>
    <m/>
    <d v="2023-07-11T00:00:00"/>
    <n v="654"/>
    <n v="17073"/>
    <s v="56270265"/>
    <s v="56270265"/>
    <m/>
    <m/>
    <n v="22707904"/>
    <m/>
    <m/>
    <m/>
    <s v="SOLFIN"/>
    <s v="SOLFIN"/>
    <s v="CCMS"/>
    <n v="21360709"/>
    <n v="7846.57"/>
    <m/>
    <s v="N"/>
    <n v="63"/>
    <d v="2023-07-11T19:00:31"/>
    <s v="Y"/>
    <s v="Preparation - drafting attendance n"/>
    <s v="Non Family Hourly Rates"/>
    <s v="Profit Cost"/>
    <s v="NH"/>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5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98"/>
    <d v="2023-07-11T19:00:31"/>
    <s v="Y"/>
    <s v="Preparation - other"/>
    <s v="Non Family Hourly Rates"/>
    <s v="Profit Cost"/>
    <s v="FN"/>
    <s v="Y"/>
    <n v="35.64"/>
    <n v="7.13"/>
    <x v="7"/>
    <s v="VALIDATED"/>
    <n v="1"/>
    <s v="01.11.80.208.6100.0000"/>
    <n v="35.64"/>
    <s v="11"/>
    <s v="6100"/>
    <n v="2086.04"/>
    <n v="35.64"/>
    <s v="CREDITOR"/>
    <n v="0"/>
    <n v="0"/>
    <n v="0"/>
    <n v="0"/>
    <n v="35.64"/>
  </r>
  <r>
    <n v="55923514"/>
    <s v="N"/>
    <n v="21344067"/>
    <s v="3000013173190011"/>
    <s v="CIVIL"/>
    <d v="2023-06-27T00:00:00"/>
    <d v="2023-07-07T19:03:00"/>
    <m/>
    <d v="2023-07-07T00:00:00"/>
    <n v="654"/>
    <n v="17073"/>
    <s v="55923514"/>
    <s v="55923514"/>
    <m/>
    <m/>
    <n v="22770190"/>
    <m/>
    <m/>
    <m/>
    <s v="SOLFIN"/>
    <s v="SOLFIN"/>
    <s v="CCMS"/>
    <n v="21344067"/>
    <n v="7561.04"/>
    <m/>
    <s v="N"/>
    <n v="2"/>
    <d v="2023-07-07T19:03:22"/>
    <s v="Y"/>
    <s v="Other"/>
    <s v="Private Law Children"/>
    <s v="Non Expert Disbursement"/>
    <s v="HD"/>
    <s v="Y"/>
    <n v="755"/>
    <n v="151"/>
    <x v="9"/>
    <s v="VALIDATED"/>
    <n v="1"/>
    <s v="01.11.80.307.6300.0000"/>
    <n v="755"/>
    <s v="11"/>
    <s v="6300"/>
    <n v="2086.04"/>
    <n v="755"/>
    <s v="CREDITOR"/>
    <n v="0"/>
    <n v="0"/>
    <n v="0"/>
    <n v="0"/>
    <n v="755"/>
  </r>
  <r>
    <n v="56270265"/>
    <s v="N"/>
    <n v="21360709"/>
    <s v="3000013363660010"/>
    <s v="CIVIL"/>
    <d v="2023-06-16T00:00:00"/>
    <d v="2023-07-11T19:00:25"/>
    <m/>
    <d v="2023-07-11T00:00:00"/>
    <n v="654"/>
    <n v="17073"/>
    <s v="56270265"/>
    <s v="56270265"/>
    <m/>
    <m/>
    <n v="22707904"/>
    <m/>
    <m/>
    <m/>
    <s v="SOLFIN"/>
    <s v="SOLFIN"/>
    <s v="CCMS"/>
    <n v="21360709"/>
    <n v="7846.57"/>
    <m/>
    <s v="N"/>
    <n v="31"/>
    <d v="2023-07-11T19:00:31"/>
    <s v="Y"/>
    <s v="Preparation - drafting statement"/>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82"/>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45"/>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41"/>
    <d v="2023-07-11T19:00:31"/>
    <s v="Y"/>
    <s v="Preparation - other"/>
    <s v="Non Family Hourly Rates"/>
    <s v="Profit Cost"/>
    <s v="BC"/>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50"/>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60"/>
    <d v="2023-07-10T19:02:02"/>
    <s v="Y"/>
    <s v="Routine Letter Out"/>
    <s v="Non Family Hourly Rates"/>
    <s v="Profit Cost"/>
    <s v="RG"/>
    <s v="Y"/>
    <n v="11.88"/>
    <n v="2.38"/>
    <x v="2"/>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5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72"/>
    <d v="2023-07-11T19:00:31"/>
    <s v="Y"/>
    <s v="Preparation - other"/>
    <s v="Non Family Hourly Rates"/>
    <s v="Profit Cost"/>
    <s v="BC"/>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91"/>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18"/>
    <d v="2023-07-10T19:02:02"/>
    <s v="Y"/>
    <s v="Advocacy - Other Hearing"/>
    <s v="Non Family Hourly Rates"/>
    <s v="Advocacy"/>
    <s v="RW"/>
    <s v="Y"/>
    <n v="23.76"/>
    <n v="4.75"/>
    <x v="2"/>
    <s v="VALIDATED"/>
    <n v="1"/>
    <s v="01.11.80.208.6100.0000"/>
    <n v="23.76"/>
    <s v="11"/>
    <s v="6100"/>
    <n v="2086.04"/>
    <n v="23.76"/>
    <s v="CREDITOR"/>
    <n v="0"/>
    <n v="0"/>
    <n v="0"/>
    <n v="0"/>
    <n v="23.76"/>
  </r>
  <r>
    <n v="61309497"/>
    <s v="N"/>
    <n v="21349894"/>
    <s v="3000015465150003"/>
    <s v="CIVIL"/>
    <d v="2023-06-29T00:00:00"/>
    <d v="2023-07-10T19:01:40"/>
    <m/>
    <d v="2023-07-10T00:00:00"/>
    <n v="654"/>
    <n v="17073"/>
    <s v="61309497"/>
    <s v="61309497"/>
    <m/>
    <m/>
    <n v="22789506"/>
    <m/>
    <m/>
    <m/>
    <s v="SOLFIN"/>
    <s v="SOLFIN"/>
    <s v="CCMS"/>
    <n v="21349894"/>
    <n v="2700.06"/>
    <m/>
    <s v="N"/>
    <n v="21"/>
    <d v="2023-07-10T19:02:02"/>
    <s v="Y"/>
    <s v="Preparation - other"/>
    <s v="Non Family Hourly Rates"/>
    <s v="Profit Cost"/>
    <s v="RW"/>
    <s v="Y"/>
    <n v="41.58"/>
    <n v="8.32"/>
    <x v="2"/>
    <s v="VALIDATED"/>
    <n v="1"/>
    <s v="01.11.80.208.6100.0000"/>
    <n v="41.58"/>
    <s v="11"/>
    <s v="6100"/>
    <n v="2086.04"/>
    <n v="41.58"/>
    <s v="CREDITOR"/>
    <n v="0"/>
    <n v="0"/>
    <n v="0"/>
    <n v="0"/>
    <n v="41.58"/>
  </r>
  <r>
    <n v="56270265"/>
    <s v="N"/>
    <n v="21360709"/>
    <s v="3000013363660010"/>
    <s v="CIVIL"/>
    <d v="2023-06-16T00:00:00"/>
    <d v="2023-07-11T19:00:25"/>
    <m/>
    <d v="2023-07-11T00:00:00"/>
    <n v="654"/>
    <n v="17073"/>
    <s v="56270265"/>
    <s v="56270265"/>
    <m/>
    <m/>
    <n v="22707904"/>
    <m/>
    <m/>
    <m/>
    <s v="SOLFIN"/>
    <s v="SOLFIN"/>
    <s v="CCMS"/>
    <n v="21360709"/>
    <n v="7846.57"/>
    <m/>
    <s v="N"/>
    <n v="163"/>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39"/>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5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30"/>
    <d v="2023-07-11T19:00:31"/>
    <s v="Y"/>
    <s v="Preparation - drafting instructions"/>
    <s v="Non Family Hourly Rates"/>
    <s v="Profit Cost"/>
    <s v="FN"/>
    <s v="Y"/>
    <n v="5.94"/>
    <n v="1.19"/>
    <x v="7"/>
    <s v="VALIDATED"/>
    <n v="1"/>
    <s v="01.11.80.208.6100.0000"/>
    <n v="5.94"/>
    <s v="11"/>
    <s v="6100"/>
    <n v="2086.04"/>
    <n v="5.94"/>
    <s v="CREDITOR"/>
    <n v="0"/>
    <n v="0"/>
    <n v="0"/>
    <n v="0"/>
    <n v="5.94"/>
  </r>
  <r>
    <n v="55923514"/>
    <s v="N"/>
    <n v="21344067"/>
    <s v="3000013173190011"/>
    <s v="CIVIL"/>
    <d v="2023-06-27T00:00:00"/>
    <d v="2023-07-07T19:03:00"/>
    <m/>
    <d v="2023-07-07T00:00:00"/>
    <n v="654"/>
    <n v="17073"/>
    <s v="55923514"/>
    <s v="55923514"/>
    <m/>
    <m/>
    <n v="22770190"/>
    <m/>
    <m/>
    <m/>
    <s v="SOLFIN"/>
    <s v="SOLFIN"/>
    <s v="CCMS"/>
    <n v="21344067"/>
    <n v="7561.04"/>
    <m/>
    <s v="N"/>
    <n v="7"/>
    <d v="2023-07-07T19:03:22"/>
    <s v="Y"/>
    <s v="Hearing Unit 2.31 - 5.00 Hours"/>
    <s v="Private Law Children"/>
    <s v="Advocacy"/>
    <s v="HD"/>
    <s v="Y"/>
    <n v="313.48"/>
    <n v="62.7"/>
    <x v="9"/>
    <s v="VALIDATED"/>
    <n v="1"/>
    <s v="01.11.80.307.6100.0000"/>
    <n v="313.48"/>
    <s v="11"/>
    <s v="6100"/>
    <n v="2086.04"/>
    <n v="313.48"/>
    <s v="CREDITOR"/>
    <n v="0"/>
    <n v="0"/>
    <n v="0"/>
    <n v="0"/>
    <n v="313.48"/>
  </r>
  <r>
    <n v="56270265"/>
    <s v="N"/>
    <n v="21360709"/>
    <s v="3000013363660010"/>
    <s v="CIVIL"/>
    <d v="2023-06-16T00:00:00"/>
    <d v="2023-07-11T19:00:25"/>
    <m/>
    <d v="2023-07-11T00:00:00"/>
    <n v="654"/>
    <n v="17073"/>
    <s v="56270265"/>
    <s v="56270265"/>
    <m/>
    <m/>
    <n v="22707904"/>
    <m/>
    <m/>
    <m/>
    <s v="SOLFIN"/>
    <s v="SOLFIN"/>
    <s v="CCMS"/>
    <n v="21360709"/>
    <n v="7846.57"/>
    <m/>
    <s v="N"/>
    <n v="27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
    <d v="2023-07-11T19:00:31"/>
    <s v="Y"/>
    <s v="Court Fee"/>
    <s v="Non Family Hourly Rates"/>
    <s v="Non Expert Disbursement"/>
    <s v="FN"/>
    <s v="Y"/>
    <n v="138.22"/>
    <n v="0"/>
    <x v="7"/>
    <s v="VALIDATED"/>
    <n v="1"/>
    <s v="01.11.80.208.6300.0000"/>
    <n v="138.22"/>
    <s v="11"/>
    <s v="6300"/>
    <n v="2086.04"/>
    <n v="138.22"/>
    <s v="CREDITOR"/>
    <n v="0"/>
    <n v="0"/>
    <n v="0"/>
    <n v="0"/>
    <n v="138.22"/>
  </r>
  <r>
    <n v="56270265"/>
    <s v="N"/>
    <n v="21360709"/>
    <s v="3000013363660010"/>
    <s v="CIVIL"/>
    <d v="2023-06-16T00:00:00"/>
    <d v="2023-07-11T19:00:25"/>
    <m/>
    <d v="2023-07-11T00:00:00"/>
    <n v="654"/>
    <n v="17073"/>
    <s v="56270265"/>
    <s v="56270265"/>
    <m/>
    <m/>
    <n v="22707904"/>
    <m/>
    <m/>
    <m/>
    <s v="SOLFIN"/>
    <s v="SOLFIN"/>
    <s v="CCMS"/>
    <n v="21360709"/>
    <n v="7846.57"/>
    <m/>
    <s v="N"/>
    <n v="112"/>
    <d v="2023-07-11T19:00:31"/>
    <s v="Y"/>
    <s v="Preparation - other"/>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31"/>
    <d v="2023-07-10T19:02:02"/>
    <s v="Y"/>
    <s v="Preparation - other"/>
    <s v="Non Family Hourly Rates"/>
    <s v="Profit Cost"/>
    <s v="RW"/>
    <s v="Y"/>
    <n v="5.94"/>
    <n v="1.19"/>
    <x v="2"/>
    <s v="VALIDATED"/>
    <n v="1"/>
    <s v="01.11.80.208.6100.0000"/>
    <n v="5.94"/>
    <s v="11"/>
    <s v="6100"/>
    <n v="2086.04"/>
    <n v="5.94"/>
    <s v="CREDITOR"/>
    <n v="0"/>
    <n v="0"/>
    <n v="0"/>
    <n v="0"/>
    <n v="5.94"/>
  </r>
  <r>
    <n v="60325822"/>
    <s v="N"/>
    <n v="21319309"/>
    <s v="3000014625380018"/>
    <s v="CIVIL"/>
    <d v="2023-06-28T00:00:00"/>
    <d v="2023-07-03T19:04:24"/>
    <m/>
    <d v="2023-07-03T00:00:00"/>
    <n v="654"/>
    <n v="17073"/>
    <s v="60325822"/>
    <s v="60325822"/>
    <m/>
    <m/>
    <n v="22778246"/>
    <m/>
    <m/>
    <m/>
    <s v="SOLPOA"/>
    <s v="SOLPOA"/>
    <s v="CCMS"/>
    <n v="21319309"/>
    <n v="359.4"/>
    <m/>
    <s v="N"/>
    <n v="1"/>
    <d v="2023-07-03T19:04:25"/>
    <s v="N"/>
    <s v="Expert Cost"/>
    <s v="Expert Cost"/>
    <s v="Expert Disbursement"/>
    <s v="Penny Scott"/>
    <s v="N"/>
    <n v="299.5"/>
    <n v="59.9"/>
    <x v="3"/>
    <s v="VALIDATED"/>
    <n v="1"/>
    <s v="01.11.80.308.2012.0000"/>
    <n v="299.5"/>
    <s v="11"/>
    <s v="2012"/>
    <n v="2086.04"/>
    <n v="299.5"/>
    <s v="CREDITOR"/>
    <n v="299.5"/>
    <n v="0"/>
    <n v="0"/>
    <n v="0"/>
    <n v="0"/>
  </r>
  <r>
    <n v="56270265"/>
    <s v="N"/>
    <n v="21360709"/>
    <s v="3000013363660010"/>
    <s v="CIVIL"/>
    <d v="2023-06-16T00:00:00"/>
    <d v="2023-07-11T19:00:25"/>
    <m/>
    <d v="2023-07-11T00:00:00"/>
    <n v="654"/>
    <n v="17073"/>
    <s v="56270265"/>
    <s v="56270265"/>
    <m/>
    <m/>
    <n v="22707904"/>
    <m/>
    <m/>
    <m/>
    <s v="SOLFIN"/>
    <s v="SOLFIN"/>
    <s v="CCMS"/>
    <n v="21360709"/>
    <n v="7846.57"/>
    <m/>
    <s v="N"/>
    <n v="20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7"/>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4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89"/>
    <d v="2023-07-11T19:00:31"/>
    <s v="Y"/>
    <s v="Preparation - other"/>
    <s v="Non Family Hourly Rates"/>
    <s v="Profit Cost"/>
    <s v="BC"/>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86"/>
    <d v="2023-07-11T19:00:31"/>
    <s v="Y"/>
    <s v="Attendance upon client"/>
    <s v="Non Family Hourly Rates"/>
    <s v="Profit Cost"/>
    <s v="FN"/>
    <s v="Y"/>
    <n v="59.4"/>
    <n v="11.88"/>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01"/>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5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9"/>
    <d v="2023-07-11T19:00:31"/>
    <s v="Y"/>
    <s v="Preparation - other"/>
    <s v="Non Family Hourly Rates"/>
    <s v="Profit Cost"/>
    <s v="FN"/>
    <s v="Y"/>
    <n v="5.94"/>
    <n v="1.19"/>
    <x v="7"/>
    <s v="VALIDATED"/>
    <n v="1"/>
    <s v="01.11.80.208.6100.0000"/>
    <n v="5.94"/>
    <s v="11"/>
    <s v="6100"/>
    <n v="2086.04"/>
    <n v="5.94"/>
    <s v="CREDITOR"/>
    <n v="0"/>
    <n v="0"/>
    <n v="0"/>
    <n v="0"/>
    <n v="5.94"/>
  </r>
  <r>
    <n v="60413913"/>
    <s v="N"/>
    <n v="21349649"/>
    <s v="3000014701230007"/>
    <s v="CIVIL"/>
    <d v="2023-06-29T00:00:00"/>
    <d v="2023-07-10T19:01:40"/>
    <m/>
    <d v="2023-07-10T00:00:00"/>
    <n v="654"/>
    <n v="17073"/>
    <s v="60413913"/>
    <s v="60413913"/>
    <m/>
    <m/>
    <n v="22791196"/>
    <m/>
    <m/>
    <m/>
    <s v="SOLFIN"/>
    <s v="SOLFIN"/>
    <s v="CCMS"/>
    <n v="21349649"/>
    <n v="9425.639999999999"/>
    <m/>
    <s v="N"/>
    <n v="1"/>
    <d v="2023-07-10T19:01:55"/>
    <s v="Y"/>
    <s v="Interim Hearing Court Bundle/Advoca"/>
    <s v="Public Law Children"/>
    <s v="Advocacy"/>
    <s v="NM"/>
    <s v="Y"/>
    <n v="89.09999999999999"/>
    <n v="17.82"/>
    <x v="2"/>
    <s v="VALIDATED"/>
    <n v="1"/>
    <s v="01.11.80.308.6100.0000"/>
    <n v="89.09999999999999"/>
    <s v="11"/>
    <s v="6100"/>
    <n v="2086.04"/>
    <n v="89.09999999999999"/>
    <s v="CREDITOR"/>
    <n v="0"/>
    <n v="0"/>
    <n v="0"/>
    <n v="0"/>
    <n v="89.09999999999999"/>
  </r>
  <r>
    <n v="60413913"/>
    <s v="N"/>
    <n v="21349649"/>
    <s v="3000014701230007"/>
    <s v="CIVIL"/>
    <d v="2023-06-29T00:00:00"/>
    <d v="2023-07-10T19:01:40"/>
    <m/>
    <d v="2023-07-10T00:00:00"/>
    <n v="654"/>
    <n v="17073"/>
    <s v="60413913"/>
    <s v="60413913"/>
    <m/>
    <m/>
    <n v="22791196"/>
    <m/>
    <m/>
    <m/>
    <s v="SOLFIN"/>
    <s v="SOLFIN"/>
    <s v="CCMS"/>
    <n v="21349649"/>
    <n v="9425.639999999999"/>
    <m/>
    <s v="N"/>
    <n v="15"/>
    <d v="2023-07-10T19:01:55"/>
    <s v="Y"/>
    <s v="Hearing Unit 5.01 - 7.30 Hours"/>
    <s v="Public Law Children"/>
    <s v="Advocacy"/>
    <s v="CP"/>
    <s v="Y"/>
    <n v="715.38"/>
    <n v="143.08"/>
    <x v="2"/>
    <s v="VALIDATED"/>
    <n v="1"/>
    <s v="01.11.80.308.6100.0000"/>
    <n v="715.38"/>
    <s v="11"/>
    <s v="6100"/>
    <n v="2086.04"/>
    <n v="715.38"/>
    <s v="CREDITOR"/>
    <n v="0"/>
    <n v="0"/>
    <n v="0"/>
    <n v="0"/>
    <n v="715.38"/>
  </r>
  <r>
    <n v="61309497"/>
    <s v="N"/>
    <n v="21349894"/>
    <s v="3000015465150003"/>
    <s v="CIVIL"/>
    <d v="2023-06-29T00:00:00"/>
    <d v="2023-07-10T19:01:40"/>
    <m/>
    <d v="2023-07-10T00:00:00"/>
    <n v="654"/>
    <n v="17073"/>
    <s v="61309497"/>
    <s v="61309497"/>
    <m/>
    <m/>
    <n v="22789506"/>
    <m/>
    <m/>
    <m/>
    <s v="SOLFIN"/>
    <s v="SOLFIN"/>
    <s v="CCMS"/>
    <n v="21349894"/>
    <n v="2700.06"/>
    <m/>
    <s v="N"/>
    <n v="41"/>
    <d v="2023-07-10T19:02:02"/>
    <s v="Y"/>
    <s v="Attendance upon other"/>
    <s v="Non Family Hourly Rates"/>
    <s v="Profit Cost"/>
    <s v="RW"/>
    <s v="Y"/>
    <n v="95.04000000000001"/>
    <n v="19.01"/>
    <x v="2"/>
    <s v="VALIDATED"/>
    <n v="1"/>
    <s v="01.11.80.208.6100.0000"/>
    <n v="95.04000000000001"/>
    <s v="11"/>
    <s v="6100"/>
    <n v="2086.04"/>
    <n v="95.04000000000001"/>
    <s v="CREDITOR"/>
    <n v="0"/>
    <n v="0"/>
    <n v="0"/>
    <n v="0"/>
    <n v="95.04000000000001"/>
  </r>
  <r>
    <n v="61309497"/>
    <s v="N"/>
    <n v="21349894"/>
    <s v="3000015465150003"/>
    <s v="CIVIL"/>
    <d v="2023-06-29T00:00:00"/>
    <d v="2023-07-10T19:01:40"/>
    <m/>
    <d v="2023-07-10T00:00:00"/>
    <n v="654"/>
    <n v="17073"/>
    <s v="61309497"/>
    <s v="61309497"/>
    <m/>
    <m/>
    <n v="22789506"/>
    <m/>
    <m/>
    <m/>
    <s v="SOLFIN"/>
    <s v="SOLFIN"/>
    <s v="CCMS"/>
    <n v="21349894"/>
    <n v="2700.06"/>
    <m/>
    <s v="N"/>
    <n v="50"/>
    <d v="2023-07-10T19:02:02"/>
    <s v="Y"/>
    <s v="Preparation - other"/>
    <s v="Non Family Hourly Rates"/>
    <s v="Profit Cost"/>
    <s v="JF"/>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56"/>
    <d v="2023-07-10T19:02:02"/>
    <s v="Y"/>
    <s v="Routine Telephone Call"/>
    <s v="Non Family Hourly Rates"/>
    <s v="Profit Cost"/>
    <s v="AB"/>
    <s v="Y"/>
    <n v="3.29"/>
    <n v="0.66"/>
    <x v="2"/>
    <s v="VALIDATED"/>
    <n v="1"/>
    <s v="01.11.80.208.6100.0000"/>
    <n v="3.29"/>
    <s v="11"/>
    <s v="6100"/>
    <n v="2086.04"/>
    <n v="3.29"/>
    <s v="CREDITOR"/>
    <n v="0"/>
    <n v="0"/>
    <n v="0"/>
    <n v="0"/>
    <n v="3.29"/>
  </r>
  <r>
    <n v="56270265"/>
    <s v="N"/>
    <n v="21360709"/>
    <s v="3000013363660010"/>
    <s v="CIVIL"/>
    <d v="2023-06-16T00:00:00"/>
    <d v="2023-07-11T19:00:25"/>
    <m/>
    <d v="2023-07-11T00:00:00"/>
    <n v="654"/>
    <n v="17073"/>
    <s v="56270265"/>
    <s v="56270265"/>
    <m/>
    <m/>
    <n v="22707904"/>
    <m/>
    <m/>
    <m/>
    <s v="SOLFIN"/>
    <s v="SOLFIN"/>
    <s v="CCMS"/>
    <n v="21360709"/>
    <n v="7846.57"/>
    <m/>
    <s v="N"/>
    <n v="154"/>
    <d v="2023-07-11T19:00:31"/>
    <s v="Y"/>
    <s v="Preparation - drafting pleading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6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87"/>
    <d v="2023-07-11T19:00:31"/>
    <s v="Y"/>
    <s v="Preparation - other"/>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21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82"/>
    <d v="2023-07-11T19:00:31"/>
    <s v="Y"/>
    <s v="Preparation - other"/>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94"/>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2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34"/>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3"/>
    <d v="2023-07-11T19:00:31"/>
    <s v="Y"/>
    <s v="Preparation - other"/>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7"/>
    <d v="2023-07-10T19:02:02"/>
    <s v="Y"/>
    <s v="Preparation - other"/>
    <s v="Non Family Hourly Rates"/>
    <s v="Profit Cost"/>
    <s v="RW"/>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25"/>
    <d v="2023-07-10T19:02:02"/>
    <s v="Y"/>
    <s v="Preparation - other"/>
    <s v="Non Family Hourly Rates"/>
    <s v="Profit Cost"/>
    <s v="AB"/>
    <s v="Y"/>
    <n v="11.88"/>
    <n v="2.38"/>
    <x v="2"/>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59"/>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51"/>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79"/>
    <d v="2023-07-11T19:00:31"/>
    <s v="Y"/>
    <s v="Attendance upon client"/>
    <s v="Non Family Hourly Rates"/>
    <s v="Profit Cost"/>
    <s v="FN"/>
    <s v="Y"/>
    <n v="53.46"/>
    <n v="10.7"/>
    <x v="7"/>
    <s v="VALIDATED"/>
    <n v="1"/>
    <s v="01.11.80.208.6100.0000"/>
    <n v="53.46"/>
    <s v="11"/>
    <s v="6100"/>
    <n v="2086.04"/>
    <n v="53.46"/>
    <s v="CREDITOR"/>
    <n v="0"/>
    <n v="0"/>
    <n v="0"/>
    <n v="0"/>
    <n v="53.46"/>
  </r>
  <r>
    <n v="56270265"/>
    <s v="N"/>
    <n v="21360709"/>
    <s v="3000013363660010"/>
    <s v="CIVIL"/>
    <d v="2023-06-16T00:00:00"/>
    <d v="2023-07-11T19:00:25"/>
    <m/>
    <d v="2023-07-11T00:00:00"/>
    <n v="654"/>
    <n v="17073"/>
    <s v="56270265"/>
    <s v="56270265"/>
    <m/>
    <m/>
    <n v="22707904"/>
    <m/>
    <m/>
    <m/>
    <s v="SOLFIN"/>
    <s v="SOLFIN"/>
    <s v="CCMS"/>
    <n v="21360709"/>
    <n v="7846.57"/>
    <m/>
    <s v="N"/>
    <n v="22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2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9"/>
    <d v="2023-07-11T19:00:31"/>
    <s v="Y"/>
    <s v="Preparation - drafting instruction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2"/>
    <d v="2023-07-11T19:00:31"/>
    <s v="Y"/>
    <s v="Preparation - other"/>
    <s v="Non Family Hourly Rates"/>
    <s v="Profit Cost"/>
    <s v="FN"/>
    <s v="Y"/>
    <n v="5.94"/>
    <n v="1.19"/>
    <x v="7"/>
    <s v="VALIDATED"/>
    <n v="1"/>
    <s v="01.11.80.208.6100.0000"/>
    <n v="5.94"/>
    <s v="11"/>
    <s v="6100"/>
    <n v="2086.04"/>
    <n v="5.94"/>
    <s v="CREDITOR"/>
    <n v="0"/>
    <n v="0"/>
    <n v="0"/>
    <n v="0"/>
    <n v="5.94"/>
  </r>
  <r>
    <n v="55923514"/>
    <s v="N"/>
    <n v="21344067"/>
    <s v="3000013173190011"/>
    <s v="CIVIL"/>
    <d v="2023-06-27T00:00:00"/>
    <d v="2023-07-07T19:03:00"/>
    <m/>
    <d v="2023-07-07T00:00:00"/>
    <n v="654"/>
    <n v="17073"/>
    <s v="55923514"/>
    <s v="55923514"/>
    <m/>
    <m/>
    <n v="22770190"/>
    <m/>
    <m/>
    <m/>
    <s v="SOLFIN"/>
    <s v="SOLFIN"/>
    <s v="CCMS"/>
    <n v="21344067"/>
    <n v="7561.04"/>
    <m/>
    <s v="N"/>
    <n v="4"/>
    <d v="2023-07-07T19:03:22"/>
    <s v="Y"/>
    <s v="Court Fee"/>
    <s v="Private Law Children"/>
    <s v="Non Expert Disbursement"/>
    <s v="HD"/>
    <s v="Y"/>
    <n v="155"/>
    <n v="0"/>
    <x v="9"/>
    <s v="VALIDATED"/>
    <n v="1"/>
    <s v="01.11.80.307.6300.0000"/>
    <n v="155"/>
    <s v="11"/>
    <s v="6300"/>
    <n v="2086.04"/>
    <n v="155"/>
    <s v="CREDITOR"/>
    <n v="0"/>
    <n v="0"/>
    <n v="0"/>
    <n v="0"/>
    <n v="155"/>
  </r>
  <r>
    <n v="61309497"/>
    <s v="N"/>
    <n v="21349894"/>
    <s v="3000015465150003"/>
    <s v="CIVIL"/>
    <d v="2023-06-29T00:00:00"/>
    <d v="2023-07-10T19:01:40"/>
    <m/>
    <d v="2023-07-10T00:00:00"/>
    <n v="654"/>
    <n v="17073"/>
    <s v="61309497"/>
    <s v="61309497"/>
    <m/>
    <m/>
    <n v="22789506"/>
    <m/>
    <m/>
    <m/>
    <s v="SOLFIN"/>
    <s v="SOLFIN"/>
    <s v="CCMS"/>
    <n v="21349894"/>
    <n v="2700.06"/>
    <m/>
    <s v="N"/>
    <n v="47"/>
    <d v="2023-07-10T19:02:02"/>
    <s v="Y"/>
    <s v="Preparation - other"/>
    <s v="Non Family Hourly Rates"/>
    <s v="Profit Cost"/>
    <s v="RW"/>
    <s v="Y"/>
    <n v="5.94"/>
    <n v="1.19"/>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71"/>
    <d v="2023-07-11T19:00:31"/>
    <s v="Y"/>
    <s v="Attendance upon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20"/>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78"/>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97"/>
    <d v="2023-07-11T19:00:31"/>
    <s v="Y"/>
    <s v="Preparation - other"/>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108"/>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61"/>
    <d v="2023-07-11T19:00:31"/>
    <s v="Y"/>
    <s v="Preparation - drafting notice(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48"/>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5"/>
    <d v="2023-07-11T19:00:31"/>
    <s v="Y"/>
    <s v="Preparation - drafting consent orde"/>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81"/>
    <d v="2023-07-11T19:00:31"/>
    <s v="Y"/>
    <s v="Preparation - other"/>
    <s v="Non Family Hourly Rates"/>
    <s v="Profit Cost"/>
    <s v="FN"/>
    <s v="Y"/>
    <n v="17.82"/>
    <n v="3.57"/>
    <x v="7"/>
    <s v="VALIDATED"/>
    <n v="1"/>
    <s v="01.11.80.208.6100.0000"/>
    <n v="17.82"/>
    <s v="11"/>
    <s v="6100"/>
    <n v="2086.04"/>
    <n v="17.82"/>
    <s v="CREDITOR"/>
    <n v="0"/>
    <n v="0"/>
    <n v="0"/>
    <n v="0"/>
    <n v="17.82"/>
  </r>
  <r>
    <n v="60413913"/>
    <s v="N"/>
    <n v="21349649"/>
    <s v="3000014701230007"/>
    <s v="CIVIL"/>
    <d v="2023-06-29T00:00:00"/>
    <d v="2023-07-10T19:01:40"/>
    <m/>
    <d v="2023-07-10T00:00:00"/>
    <n v="654"/>
    <n v="17073"/>
    <s v="60413913"/>
    <s v="60413913"/>
    <m/>
    <m/>
    <n v="22791196"/>
    <m/>
    <m/>
    <m/>
    <s v="SOLFIN"/>
    <s v="SOLFIN"/>
    <s v="CCMS"/>
    <n v="21349649"/>
    <n v="9425.639999999999"/>
    <m/>
    <s v="N"/>
    <n v="14"/>
    <d v="2023-07-10T19:01:55"/>
    <s v="Y"/>
    <s v="Advocates Meeting"/>
    <s v="Public Law Children"/>
    <s v="Advocacy"/>
    <s v="CP"/>
    <s v="Y"/>
    <n v="140.99"/>
    <n v="28.2"/>
    <x v="2"/>
    <s v="VALIDATED"/>
    <n v="1"/>
    <s v="01.11.80.308.6100.0000"/>
    <n v="140.99"/>
    <s v="11"/>
    <s v="6100"/>
    <n v="2086.04"/>
    <n v="140.99"/>
    <s v="CREDITOR"/>
    <n v="0"/>
    <n v="0"/>
    <n v="0"/>
    <n v="0"/>
    <n v="140.99"/>
  </r>
  <r>
    <n v="61309497"/>
    <s v="N"/>
    <n v="21349894"/>
    <s v="3000015465150003"/>
    <s v="CIVIL"/>
    <d v="2023-06-29T00:00:00"/>
    <d v="2023-07-10T19:01:40"/>
    <m/>
    <d v="2023-07-10T00:00:00"/>
    <n v="654"/>
    <n v="17073"/>
    <s v="61309497"/>
    <s v="61309497"/>
    <m/>
    <m/>
    <n v="22789506"/>
    <m/>
    <m/>
    <m/>
    <s v="SOLFIN"/>
    <s v="SOLFIN"/>
    <s v="CCMS"/>
    <n v="21349894"/>
    <n v="2700.06"/>
    <m/>
    <s v="N"/>
    <n v="10"/>
    <d v="2023-07-10T19:02:02"/>
    <s v="Y"/>
    <s v="Preparation - other"/>
    <s v="Non Family Hourly Rates"/>
    <s v="Profit Cost"/>
    <s v="RW"/>
    <s v="Y"/>
    <n v="11.88"/>
    <n v="2.38"/>
    <x v="2"/>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5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62"/>
    <d v="2023-07-11T19:00:31"/>
    <s v="Y"/>
    <s v="Attendance upon other"/>
    <s v="Non Family Hourly Rates"/>
    <s v="Profit Cost"/>
    <s v="NH"/>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75"/>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28"/>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4"/>
    <d v="2023-07-10T19:02:02"/>
    <s v="Y"/>
    <s v="Preparation - drafting pleadings"/>
    <s v="Non Family Hourly Rates"/>
    <s v="Profit Cost"/>
    <s v="RW"/>
    <s v="Y"/>
    <n v="71.28"/>
    <n v="14.26"/>
    <x v="2"/>
    <s v="VALIDATED"/>
    <n v="1"/>
    <s v="01.11.80.208.6100.0000"/>
    <n v="71.28"/>
    <s v="11"/>
    <s v="6100"/>
    <n v="2086.04"/>
    <n v="71.28"/>
    <s v="CREDITOR"/>
    <n v="0"/>
    <n v="0"/>
    <n v="0"/>
    <n v="0"/>
    <n v="71.28"/>
  </r>
  <r>
    <n v="61309497"/>
    <s v="N"/>
    <n v="21349894"/>
    <s v="3000015465150003"/>
    <s v="CIVIL"/>
    <d v="2023-06-29T00:00:00"/>
    <d v="2023-07-10T19:01:40"/>
    <m/>
    <d v="2023-07-10T00:00:00"/>
    <n v="654"/>
    <n v="17073"/>
    <s v="61309497"/>
    <s v="61309497"/>
    <m/>
    <m/>
    <n v="22789506"/>
    <m/>
    <m/>
    <m/>
    <s v="SOLFIN"/>
    <s v="SOLFIN"/>
    <s v="CCMS"/>
    <n v="21349894"/>
    <n v="2700.06"/>
    <m/>
    <s v="N"/>
    <n v="8"/>
    <d v="2023-07-10T19:02:02"/>
    <s v="Y"/>
    <s v="Preparation - other"/>
    <s v="Non Family Hourly Rates"/>
    <s v="Profit Cost"/>
    <s v="RW"/>
    <s v="Y"/>
    <n v="17.82"/>
    <n v="3.56"/>
    <x v="2"/>
    <s v="VALIDATED"/>
    <n v="1"/>
    <s v="01.11.80.208.6100.0000"/>
    <n v="17.82"/>
    <s v="11"/>
    <s v="6100"/>
    <n v="2086.04"/>
    <n v="17.82"/>
    <s v="CREDITOR"/>
    <n v="0"/>
    <n v="0"/>
    <n v="0"/>
    <n v="0"/>
    <n v="17.82"/>
  </r>
  <r>
    <n v="61309497"/>
    <s v="N"/>
    <n v="21349894"/>
    <s v="3000015465150003"/>
    <s v="CIVIL"/>
    <d v="2023-06-29T00:00:00"/>
    <d v="2023-07-10T19:01:40"/>
    <m/>
    <d v="2023-07-10T00:00:00"/>
    <n v="654"/>
    <n v="17073"/>
    <s v="61309497"/>
    <s v="61309497"/>
    <m/>
    <m/>
    <n v="22789506"/>
    <m/>
    <m/>
    <m/>
    <s v="SOLFIN"/>
    <s v="SOLFIN"/>
    <s v="CCMS"/>
    <n v="21349894"/>
    <n v="2700.06"/>
    <m/>
    <s v="N"/>
    <n v="17"/>
    <d v="2023-07-10T19:02:02"/>
    <s v="Y"/>
    <s v="Preparation - other"/>
    <s v="Non Family Hourly Rates"/>
    <s v="Profit Cost"/>
    <s v="RW"/>
    <s v="Y"/>
    <n v="11.88"/>
    <n v="2.38"/>
    <x v="2"/>
    <s v="VALIDATED"/>
    <n v="1"/>
    <s v="01.11.80.208.6100.0000"/>
    <n v="11.88"/>
    <s v="11"/>
    <s v="6100"/>
    <n v="2086.04"/>
    <n v="11.88"/>
    <s v="CREDITOR"/>
    <n v="0"/>
    <n v="0"/>
    <n v="0"/>
    <n v="0"/>
    <n v="11.88"/>
  </r>
  <r>
    <n v="55923514"/>
    <s v="N"/>
    <n v="21344067"/>
    <s v="3000013173190011"/>
    <s v="CIVIL"/>
    <d v="2023-06-27T00:00:00"/>
    <d v="2023-07-07T19:03:00"/>
    <m/>
    <d v="2023-07-07T00:00:00"/>
    <n v="654"/>
    <n v="17073"/>
    <s v="55923514"/>
    <s v="55923514"/>
    <m/>
    <m/>
    <n v="22770190"/>
    <m/>
    <m/>
    <m/>
    <s v="SOLFIN"/>
    <s v="SOLFIN"/>
    <s v="CCMS"/>
    <n v="21344067"/>
    <n v="7561.04"/>
    <m/>
    <s v="N"/>
    <n v="1"/>
    <d v="2023-07-07T19:03:22"/>
    <s v="Y"/>
    <s v="Profit Costs (Summary)"/>
    <s v="Private Law Children"/>
    <s v="Profit Cost"/>
    <s v="HD"/>
    <s v="Y"/>
    <n v="3749.04"/>
    <n v="749.8099999999999"/>
    <x v="9"/>
    <s v="VALIDATED"/>
    <n v="1"/>
    <s v="01.11.80.307.6100.0000"/>
    <n v="3749.04"/>
    <s v="11"/>
    <s v="6100"/>
    <n v="2086.04"/>
    <n v="3749.04"/>
    <s v="CREDITOR"/>
    <n v="0"/>
    <n v="0"/>
    <n v="0"/>
    <n v="0"/>
    <n v="3749.04"/>
  </r>
  <r>
    <n v="60325822"/>
    <s v="N"/>
    <n v="21322173"/>
    <s v="3000014625380019"/>
    <s v="CIVIL"/>
    <d v="2023-06-29T00:00:00"/>
    <d v="2023-07-03T19:05:17"/>
    <m/>
    <d v="2023-07-03T00:00:00"/>
    <n v="654"/>
    <n v="17073"/>
    <s v="60325822"/>
    <s v="60325822"/>
    <m/>
    <m/>
    <n v="22787142"/>
    <m/>
    <m/>
    <m/>
    <s v="SOLPOA"/>
    <s v="SOLPOA"/>
    <s v="CCMS"/>
    <n v="21322173"/>
    <n v="263.5"/>
    <m/>
    <s v="N"/>
    <n v="1"/>
    <d v="2023-07-03T19:05:22"/>
    <s v="N"/>
    <s v="Expert Cost"/>
    <s v="Expert Cost"/>
    <s v="Expert Disbursement"/>
    <s v="Penny Scott"/>
    <s v="N"/>
    <n v="263.5"/>
    <n v="0"/>
    <x v="3"/>
    <s v="VALIDATED"/>
    <n v="1"/>
    <s v="01.11.80.308.2012.0000"/>
    <n v="263.5"/>
    <s v="11"/>
    <s v="2012"/>
    <n v="2086.04"/>
    <n v="263.5"/>
    <s v="CREDITOR"/>
    <n v="263.5"/>
    <n v="0"/>
    <n v="0"/>
    <n v="0"/>
    <n v="0"/>
  </r>
  <r>
    <n v="56038874"/>
    <s v="N"/>
    <n v="21322401"/>
    <s v="3000013145880050"/>
    <s v="CIVIL"/>
    <d v="2023-06-29T00:00:00"/>
    <d v="2023-07-03T19:05:36"/>
    <m/>
    <d v="2023-07-03T00:00:00"/>
    <n v="654"/>
    <n v="17073"/>
    <s v="56038874"/>
    <s v="56038874"/>
    <m/>
    <m/>
    <n v="22789552"/>
    <m/>
    <m/>
    <m/>
    <s v="SOLPOA"/>
    <s v="SOLPOA"/>
    <s v="CCMS"/>
    <n v="21322401"/>
    <n v="250.79"/>
    <m/>
    <s v="N"/>
    <n v="1"/>
    <d v="2023-07-03T19:05:37"/>
    <s v="N"/>
    <s v="Expert Cost"/>
    <s v="Expert Cost"/>
    <s v="Expert Disbursement"/>
    <s v="Heidi Davey"/>
    <s v="N"/>
    <n v="208.99"/>
    <n v="41.8"/>
    <x v="3"/>
    <s v="VALIDATED"/>
    <n v="1"/>
    <s v="01.11.80.307.2012.0000"/>
    <n v="208.99"/>
    <s v="11"/>
    <s v="2012"/>
    <n v="2086.04"/>
    <n v="208.99"/>
    <s v="CREDITOR"/>
    <n v="208.99"/>
    <n v="0"/>
    <n v="0"/>
    <n v="0"/>
    <n v="0"/>
  </r>
  <r>
    <n v="56270265"/>
    <s v="N"/>
    <n v="21360709"/>
    <s v="3000013363660010"/>
    <s v="CIVIL"/>
    <d v="2023-06-16T00:00:00"/>
    <d v="2023-07-11T19:00:25"/>
    <m/>
    <d v="2023-07-11T00:00:00"/>
    <n v="654"/>
    <n v="17073"/>
    <s v="56270265"/>
    <s v="56270265"/>
    <m/>
    <m/>
    <n v="22707904"/>
    <m/>
    <m/>
    <m/>
    <s v="SOLFIN"/>
    <s v="SOLFIN"/>
    <s v="CCMS"/>
    <n v="21360709"/>
    <n v="7846.57"/>
    <m/>
    <s v="N"/>
    <n v="4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15"/>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23"/>
    <d v="2023-07-11T19:00:31"/>
    <s v="Y"/>
    <s v="Preparation - other"/>
    <s v="Non Family Hourly Rates"/>
    <s v="Profit Cost"/>
    <s v="BC"/>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6"/>
    <d v="2023-07-11T19:00:31"/>
    <s v="Y"/>
    <s v="Surveyor (Housing Disrepair)"/>
    <s v="Non Family Hourly Rates"/>
    <s v="Expert Disbursement"/>
    <s v="FN"/>
    <s v="Y"/>
    <n v="807.5"/>
    <n v="161.06"/>
    <x v="7"/>
    <s v="VALIDATED"/>
    <n v="1"/>
    <s v="01.11.80.208.6300.0000"/>
    <n v="807.5"/>
    <s v="11"/>
    <s v="6300"/>
    <n v="2086.04"/>
    <n v="807.5"/>
    <s v="CREDITOR"/>
    <n v="0"/>
    <n v="0"/>
    <n v="0"/>
    <n v="0"/>
    <n v="807.5"/>
  </r>
  <r>
    <n v="56270265"/>
    <s v="N"/>
    <n v="21360709"/>
    <s v="3000013363660010"/>
    <s v="CIVIL"/>
    <d v="2023-06-16T00:00:00"/>
    <d v="2023-07-11T19:00:25"/>
    <m/>
    <d v="2023-07-11T00:00:00"/>
    <n v="654"/>
    <n v="17073"/>
    <s v="56270265"/>
    <s v="56270265"/>
    <m/>
    <m/>
    <n v="22707904"/>
    <m/>
    <m/>
    <m/>
    <s v="SOLFIN"/>
    <s v="SOLFIN"/>
    <s v="CCMS"/>
    <n v="21360709"/>
    <n v="7846.57"/>
    <m/>
    <s v="N"/>
    <n v="115"/>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4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8"/>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26"/>
    <d v="2023-07-10T19:02:02"/>
    <s v="Y"/>
    <s v="Preparation - other"/>
    <s v="Non Family Hourly Rates"/>
    <s v="Profit Cost"/>
    <s v="RW"/>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53"/>
    <d v="2023-07-10T19:02:02"/>
    <s v="Y"/>
    <s v="Preparation - drafting bill/claim f"/>
    <s v="Non Family Hourly Rates"/>
    <s v="Profit Cost"/>
    <s v="CD"/>
    <s v="Y"/>
    <n v="172.26"/>
    <n v="34.46"/>
    <x v="2"/>
    <s v="VALIDATED"/>
    <n v="1"/>
    <s v="01.11.80.208.6100.0000"/>
    <n v="172.26"/>
    <s v="11"/>
    <s v="6100"/>
    <n v="2086.04"/>
    <n v="172.26"/>
    <s v="CREDITOR"/>
    <n v="0"/>
    <n v="0"/>
    <n v="0"/>
    <n v="0"/>
    <n v="172.26"/>
  </r>
  <r>
    <n v="61309497"/>
    <s v="N"/>
    <n v="21349894"/>
    <s v="3000015465150003"/>
    <s v="CIVIL"/>
    <d v="2023-06-29T00:00:00"/>
    <d v="2023-07-10T19:01:40"/>
    <m/>
    <d v="2023-07-10T00:00:00"/>
    <n v="654"/>
    <n v="17073"/>
    <s v="61309497"/>
    <s v="61309497"/>
    <m/>
    <m/>
    <n v="22789506"/>
    <m/>
    <m/>
    <m/>
    <s v="SOLFIN"/>
    <s v="SOLFIN"/>
    <s v="CCMS"/>
    <n v="21349894"/>
    <n v="2700.06"/>
    <m/>
    <s v="N"/>
    <n v="59"/>
    <d v="2023-07-10T19:02:02"/>
    <s v="Y"/>
    <s v="Routine Letter Out"/>
    <s v="Non Family Hourly Rates"/>
    <s v="Profit Cost"/>
    <s v="AB"/>
    <s v="Y"/>
    <n v="59.4"/>
    <n v="11.88"/>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35"/>
    <d v="2023-07-10T19:02:02"/>
    <s v="Y"/>
    <s v="Preparation - drafting attendance n"/>
    <s v="Non Family Hourly Rates"/>
    <s v="Profit Cost"/>
    <s v="RW"/>
    <s v="Y"/>
    <n v="5.94"/>
    <n v="1.19"/>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65"/>
    <d v="2023-07-11T19:00:31"/>
    <s v="Y"/>
    <s v="Preparation - Periodic file review"/>
    <s v="Non Family Hourly Rates"/>
    <s v="Profit Cost"/>
    <s v="JF"/>
    <s v="Y"/>
    <n v="11.88"/>
    <n v="2.38"/>
    <x v="7"/>
    <s v="VALIDATED"/>
    <n v="1"/>
    <s v="01.11.80.208.6100.0000"/>
    <n v="11.88"/>
    <s v="11"/>
    <s v="6100"/>
    <n v="2086.04"/>
    <n v="11.88"/>
    <s v="CREDITOR"/>
    <n v="0"/>
    <n v="0"/>
    <n v="0"/>
    <n v="0"/>
    <n v="11.88"/>
  </r>
  <r>
    <n v="60413913"/>
    <s v="N"/>
    <n v="21349649"/>
    <s v="3000014701230007"/>
    <s v="CIVIL"/>
    <d v="2023-06-29T00:00:00"/>
    <d v="2023-07-10T19:01:40"/>
    <m/>
    <d v="2023-07-10T00:00:00"/>
    <n v="654"/>
    <n v="17073"/>
    <s v="60413913"/>
    <s v="60413913"/>
    <m/>
    <m/>
    <n v="22791196"/>
    <m/>
    <m/>
    <m/>
    <s v="SOLFIN"/>
    <s v="SOLFIN"/>
    <s v="CCMS"/>
    <n v="21349649"/>
    <n v="9425.639999999999"/>
    <m/>
    <s v="N"/>
    <n v="11"/>
    <d v="2023-07-10T19:01:55"/>
    <s v="Y"/>
    <s v="Advocates Meeting"/>
    <s v="Public Law Children"/>
    <s v="Advocacy"/>
    <s v="CP"/>
    <s v="Y"/>
    <n v="140.99"/>
    <n v="28.2"/>
    <x v="2"/>
    <s v="VALIDATED"/>
    <n v="1"/>
    <s v="01.11.80.308.6100.0000"/>
    <n v="140.99"/>
    <s v="11"/>
    <s v="6100"/>
    <n v="2086.04"/>
    <n v="140.99"/>
    <s v="CREDITOR"/>
    <n v="0"/>
    <n v="0"/>
    <n v="0"/>
    <n v="0"/>
    <n v="140.99"/>
  </r>
  <r>
    <n v="61309497"/>
    <s v="N"/>
    <n v="21349894"/>
    <s v="3000015465150003"/>
    <s v="CIVIL"/>
    <d v="2023-06-29T00:00:00"/>
    <d v="2023-07-10T19:01:40"/>
    <m/>
    <d v="2023-07-10T00:00:00"/>
    <n v="654"/>
    <n v="17073"/>
    <s v="61309497"/>
    <s v="61309497"/>
    <m/>
    <m/>
    <n v="22789506"/>
    <m/>
    <m/>
    <m/>
    <s v="SOLFIN"/>
    <s v="SOLFIN"/>
    <s v="CCMS"/>
    <n v="21349894"/>
    <n v="2700.06"/>
    <m/>
    <s v="N"/>
    <n v="46"/>
    <d v="2023-07-10T19:02:02"/>
    <s v="Y"/>
    <s v="Preparation - other"/>
    <s v="Non Family Hourly Rates"/>
    <s v="Profit Cost"/>
    <s v="RW"/>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51"/>
    <d v="2023-07-10T19:02:02"/>
    <s v="Y"/>
    <s v="Attendance upon client"/>
    <s v="Non Family Hourly Rates"/>
    <s v="Profit Cost"/>
    <s v="RW"/>
    <s v="Y"/>
    <n v="23.76"/>
    <n v="4.75"/>
    <x v="2"/>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286"/>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74"/>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90"/>
    <d v="2023-07-11T19:00:31"/>
    <s v="Y"/>
    <s v="Preparation - other"/>
    <s v="Non Family Hourly Rates"/>
    <s v="Profit Cost"/>
    <s v="BC"/>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18"/>
    <d v="2023-07-11T19:00:31"/>
    <s v="Y"/>
    <s v="Preparation - drafting instructions"/>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14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5"/>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84"/>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41"/>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62"/>
    <d v="2023-07-11T19:00:31"/>
    <s v="Y"/>
    <s v="Preparation - drafting agreement/se"/>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89"/>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95"/>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12"/>
    <d v="2023-07-11T19:00:31"/>
    <s v="Y"/>
    <s v="Preparation - drafting statement"/>
    <s v="Non Family Hourly Rates"/>
    <s v="Profit Cost"/>
    <s v="FN"/>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199"/>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19"/>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39"/>
    <d v="2023-07-11T19:00:31"/>
    <s v="Y"/>
    <s v="Report - Medical report"/>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0"/>
    <d v="2023-07-11T19:00:31"/>
    <s v="Y"/>
    <s v="Preparation - drafting pleadings"/>
    <s v="Non Family Hourly Rates"/>
    <s v="Profit Cost"/>
    <s v="FN"/>
    <s v="Y"/>
    <n v="41.58"/>
    <n v="8.32"/>
    <x v="7"/>
    <s v="VALIDATED"/>
    <n v="1"/>
    <s v="01.11.80.208.6100.0000"/>
    <n v="41.58"/>
    <s v="11"/>
    <s v="6100"/>
    <n v="2086.04"/>
    <n v="41.58"/>
    <s v="CREDITOR"/>
    <n v="0"/>
    <n v="0"/>
    <n v="0"/>
    <n v="0"/>
    <n v="41.58"/>
  </r>
  <r>
    <n v="61309497"/>
    <s v="N"/>
    <n v="21349894"/>
    <s v="3000015465150003"/>
    <s v="CIVIL"/>
    <d v="2023-06-29T00:00:00"/>
    <d v="2023-07-10T19:01:40"/>
    <m/>
    <d v="2023-07-10T00:00:00"/>
    <n v="654"/>
    <n v="17073"/>
    <s v="61309497"/>
    <s v="61309497"/>
    <m/>
    <m/>
    <n v="22789506"/>
    <m/>
    <m/>
    <m/>
    <s v="SOLFIN"/>
    <s v="SOLFIN"/>
    <s v="CCMS"/>
    <n v="21349894"/>
    <n v="2700.06"/>
    <m/>
    <s v="N"/>
    <n v="42"/>
    <d v="2023-07-10T19:02:02"/>
    <s v="Y"/>
    <s v="Travel to court"/>
    <s v="Non Family Hourly Rates"/>
    <s v="Profit Cost"/>
    <s v="RW"/>
    <s v="Y"/>
    <n v="13.14"/>
    <n v="2.63"/>
    <x v="2"/>
    <s v="VALIDATED"/>
    <n v="1"/>
    <s v="01.11.80.208.6100.0000"/>
    <n v="13.14"/>
    <s v="11"/>
    <s v="6100"/>
    <n v="2086.04"/>
    <n v="13.14"/>
    <s v="CREDITOR"/>
    <n v="0"/>
    <n v="0"/>
    <n v="0"/>
    <n v="0"/>
    <n v="13.14"/>
  </r>
  <r>
    <n v="61309497"/>
    <s v="N"/>
    <n v="21349894"/>
    <s v="3000015465150003"/>
    <s v="CIVIL"/>
    <d v="2023-06-29T00:00:00"/>
    <d v="2023-07-10T19:01:40"/>
    <m/>
    <d v="2023-07-10T00:00:00"/>
    <n v="654"/>
    <n v="17073"/>
    <s v="61309497"/>
    <s v="61309497"/>
    <m/>
    <m/>
    <n v="22789506"/>
    <m/>
    <m/>
    <m/>
    <s v="SOLFIN"/>
    <s v="SOLFIN"/>
    <s v="CCMS"/>
    <n v="21349894"/>
    <n v="2700.06"/>
    <m/>
    <s v="N"/>
    <n v="27"/>
    <d v="2023-07-10T19:02:02"/>
    <s v="Y"/>
    <s v="Report - other expert's report"/>
    <s v="Non Family Hourly Rates"/>
    <s v="Profit Cost"/>
    <s v="AB"/>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28"/>
    <d v="2023-07-10T19:02:02"/>
    <s v="Y"/>
    <s v="Attendance upon client"/>
    <s v="Non Family Hourly Rates"/>
    <s v="Profit Cost"/>
    <s v="RW"/>
    <s v="Y"/>
    <n v="17.82"/>
    <n v="3.56"/>
    <x v="2"/>
    <s v="VALIDATED"/>
    <n v="1"/>
    <s v="01.11.80.208.6100.0000"/>
    <n v="17.82"/>
    <s v="11"/>
    <s v="6100"/>
    <n v="2086.04"/>
    <n v="17.82"/>
    <s v="CREDITOR"/>
    <n v="0"/>
    <n v="0"/>
    <n v="0"/>
    <n v="0"/>
    <n v="17.82"/>
  </r>
  <r>
    <n v="61309497"/>
    <s v="N"/>
    <n v="21349894"/>
    <s v="3000015465150003"/>
    <s v="CIVIL"/>
    <d v="2023-06-29T00:00:00"/>
    <d v="2023-07-10T19:01:40"/>
    <m/>
    <d v="2023-07-10T00:00:00"/>
    <n v="654"/>
    <n v="17073"/>
    <s v="61309497"/>
    <s v="61309497"/>
    <m/>
    <m/>
    <n v="22789506"/>
    <m/>
    <m/>
    <m/>
    <s v="SOLFIN"/>
    <s v="SOLFIN"/>
    <s v="CCMS"/>
    <n v="21349894"/>
    <n v="2700.06"/>
    <m/>
    <s v="N"/>
    <n v="34"/>
    <d v="2023-07-10T19:02:02"/>
    <s v="Y"/>
    <s v="Attendance upon client"/>
    <s v="Non Family Hourly Rates"/>
    <s v="Profit Cost"/>
    <s v="RW"/>
    <s v="Y"/>
    <n v="59.4"/>
    <n v="11.88"/>
    <x v="2"/>
    <s v="VALIDATED"/>
    <n v="1"/>
    <s v="01.11.80.208.6100.0000"/>
    <n v="59.4"/>
    <s v="11"/>
    <s v="6100"/>
    <n v="2086.04"/>
    <n v="59.4"/>
    <s v="CREDITOR"/>
    <n v="0"/>
    <n v="0"/>
    <n v="0"/>
    <n v="0"/>
    <n v="59.4"/>
  </r>
  <r>
    <n v="55923514"/>
    <s v="N"/>
    <n v="21344067"/>
    <s v="3000013173190011"/>
    <s v="CIVIL"/>
    <d v="2023-06-27T00:00:00"/>
    <d v="2023-07-07T19:03:00"/>
    <m/>
    <d v="2023-07-07T00:00:00"/>
    <n v="654"/>
    <n v="17073"/>
    <s v="55923514"/>
    <s v="55923514"/>
    <m/>
    <m/>
    <n v="22770190"/>
    <m/>
    <m/>
    <m/>
    <s v="SOLFIN"/>
    <s v="SOLFIN"/>
    <s v="CCMS"/>
    <n v="21344067"/>
    <n v="7561.04"/>
    <m/>
    <s v="N"/>
    <n v="9"/>
    <d v="2023-07-07T19:03:22"/>
    <s v="Y"/>
    <s v="Hearing Unit 2.31 - 5.00 Hours"/>
    <s v="Private Law Children"/>
    <s v="Advocacy"/>
    <s v="HD"/>
    <s v="Y"/>
    <n v="313.48"/>
    <n v="62.7"/>
    <x v="9"/>
    <s v="VALIDATED"/>
    <n v="1"/>
    <s v="01.11.80.307.6100.0000"/>
    <n v="313.48"/>
    <s v="11"/>
    <s v="6100"/>
    <n v="2086.04"/>
    <n v="313.48"/>
    <s v="CREDITOR"/>
    <n v="0"/>
    <n v="0"/>
    <n v="0"/>
    <n v="0"/>
    <n v="313.48"/>
  </r>
  <r>
    <n v="56270265"/>
    <s v="N"/>
    <n v="21360709"/>
    <s v="3000013363660010"/>
    <s v="CIVIL"/>
    <d v="2023-06-16T00:00:00"/>
    <d v="2023-07-11T19:00:25"/>
    <m/>
    <d v="2023-07-11T00:00:00"/>
    <n v="654"/>
    <n v="17073"/>
    <s v="56270265"/>
    <s v="56270265"/>
    <m/>
    <m/>
    <n v="22707904"/>
    <m/>
    <m/>
    <m/>
    <s v="SOLFIN"/>
    <s v="SOLFIN"/>
    <s v="CCMS"/>
    <n v="21360709"/>
    <n v="7846.57"/>
    <m/>
    <s v="N"/>
    <n v="4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19"/>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3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3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81"/>
    <d v="2023-07-11T19:00:31"/>
    <s v="Y"/>
    <s v="Preparation - other"/>
    <s v="Non Family Hourly Rates"/>
    <s v="Profit Cost"/>
    <s v="FN"/>
    <s v="Y"/>
    <n v="35.64"/>
    <n v="7.13"/>
    <x v="7"/>
    <s v="VALIDATED"/>
    <n v="1"/>
    <s v="01.11.80.208.6100.0000"/>
    <n v="35.64"/>
    <s v="11"/>
    <s v="6100"/>
    <n v="2086.04"/>
    <n v="35.64"/>
    <s v="CREDITOR"/>
    <n v="0"/>
    <n v="0"/>
    <n v="0"/>
    <n v="0"/>
    <n v="35.64"/>
  </r>
  <r>
    <n v="56270265"/>
    <s v="N"/>
    <n v="21360709"/>
    <s v="3000013363660010"/>
    <s v="CIVIL"/>
    <d v="2023-06-16T00:00:00"/>
    <d v="2023-07-11T19:00:25"/>
    <m/>
    <d v="2023-07-11T00:00:00"/>
    <n v="654"/>
    <n v="17073"/>
    <s v="56270265"/>
    <s v="56270265"/>
    <m/>
    <m/>
    <n v="22707904"/>
    <m/>
    <m/>
    <m/>
    <s v="SOLFIN"/>
    <s v="SOLFIN"/>
    <s v="CCMS"/>
    <n v="21360709"/>
    <n v="7846.57"/>
    <m/>
    <s v="N"/>
    <n v="255"/>
    <d v="2023-07-11T19:00:31"/>
    <s v="Y"/>
    <s v="Attendance upon other"/>
    <s v="Non Family Hourly Rates"/>
    <s v="Profit Cost"/>
    <s v="FN"/>
    <s v="Y"/>
    <n v="53.46"/>
    <n v="10.7"/>
    <x v="7"/>
    <s v="VALIDATED"/>
    <n v="1"/>
    <s v="01.11.80.208.6100.0000"/>
    <n v="53.46"/>
    <s v="11"/>
    <s v="6100"/>
    <n v="2086.04"/>
    <n v="53.46"/>
    <s v="CREDITOR"/>
    <n v="0"/>
    <n v="0"/>
    <n v="0"/>
    <n v="0"/>
    <n v="53.46"/>
  </r>
  <r>
    <n v="56270265"/>
    <s v="N"/>
    <n v="21360709"/>
    <s v="3000013363660010"/>
    <s v="CIVIL"/>
    <d v="2023-06-16T00:00:00"/>
    <d v="2023-07-11T19:00:25"/>
    <m/>
    <d v="2023-07-11T00:00:00"/>
    <n v="654"/>
    <n v="17073"/>
    <s v="56270265"/>
    <s v="56270265"/>
    <m/>
    <m/>
    <n v="22707904"/>
    <m/>
    <m/>
    <m/>
    <s v="SOLFIN"/>
    <s v="SOLFIN"/>
    <s v="CCMS"/>
    <n v="21360709"/>
    <n v="7846.57"/>
    <m/>
    <s v="N"/>
    <n v="253"/>
    <d v="2023-07-11T19:00:31"/>
    <s v="Y"/>
    <s v="Attendance upon other"/>
    <s v="Non Family Hourly Rates"/>
    <s v="Profit Cost"/>
    <s v="BC"/>
    <s v="Y"/>
    <n v="493.02"/>
    <n v="98.64"/>
    <x v="7"/>
    <s v="VALIDATED"/>
    <n v="1"/>
    <s v="01.11.80.208.6100.0000"/>
    <n v="493.02"/>
    <s v="11"/>
    <s v="6100"/>
    <n v="2086.04"/>
    <n v="493.02"/>
    <s v="CREDITOR"/>
    <n v="0"/>
    <n v="0"/>
    <n v="0"/>
    <n v="0"/>
    <n v="493.02"/>
  </r>
  <r>
    <n v="56270265"/>
    <s v="N"/>
    <n v="21360709"/>
    <s v="3000013363660010"/>
    <s v="CIVIL"/>
    <d v="2023-06-16T00:00:00"/>
    <d v="2023-07-11T19:00:25"/>
    <m/>
    <d v="2023-07-11T00:00:00"/>
    <n v="654"/>
    <n v="17073"/>
    <s v="56270265"/>
    <s v="56270265"/>
    <m/>
    <m/>
    <n v="22707904"/>
    <m/>
    <m/>
    <m/>
    <s v="SOLFIN"/>
    <s v="SOLFIN"/>
    <s v="CCMS"/>
    <n v="21360709"/>
    <n v="7846.57"/>
    <m/>
    <s v="N"/>
    <n v="11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24"/>
    <d v="2023-07-11T19:00:31"/>
    <s v="Y"/>
    <s v="Preparation - other"/>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29"/>
    <d v="2023-07-10T19:02:02"/>
    <s v="Y"/>
    <s v="Attendance upon client"/>
    <s v="Non Family Hourly Rates"/>
    <s v="Profit Cost"/>
    <s v="RW"/>
    <s v="Y"/>
    <n v="29.7"/>
    <n v="5.94"/>
    <x v="2"/>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263"/>
    <d v="2023-07-11T19:00:31"/>
    <s v="Y"/>
    <s v="Preparation - drafting agreement/se"/>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1"/>
    <d v="2023-07-11T19:00:31"/>
    <s v="Y"/>
    <s v="Preparation - drafting instructions"/>
    <s v="Non Family Hourly Rates"/>
    <s v="Profit Cost"/>
    <s v="FN"/>
    <s v="Y"/>
    <n v="17.82"/>
    <n v="3.57"/>
    <x v="7"/>
    <s v="VALIDATED"/>
    <n v="1"/>
    <s v="01.11.80.208.6100.0000"/>
    <n v="17.82"/>
    <s v="11"/>
    <s v="6100"/>
    <n v="2086.04"/>
    <n v="17.82"/>
    <s v="CREDITOR"/>
    <n v="0"/>
    <n v="0"/>
    <n v="0"/>
    <n v="0"/>
    <n v="17.82"/>
  </r>
  <r>
    <n v="61309497"/>
    <s v="N"/>
    <n v="21349894"/>
    <s v="3000015465150003"/>
    <s v="CIVIL"/>
    <d v="2023-06-29T00:00:00"/>
    <d v="2023-07-10T19:01:40"/>
    <m/>
    <d v="2023-07-10T00:00:00"/>
    <n v="654"/>
    <n v="17073"/>
    <s v="61309497"/>
    <s v="61309497"/>
    <m/>
    <m/>
    <n v="22789506"/>
    <m/>
    <m/>
    <m/>
    <s v="SOLFIN"/>
    <s v="SOLFIN"/>
    <s v="CCMS"/>
    <n v="21349894"/>
    <n v="2700.06"/>
    <m/>
    <s v="N"/>
    <n v="54"/>
    <d v="2023-07-10T19:02:02"/>
    <s v="Y"/>
    <s v="Preparation - drafting bill/claim f"/>
    <s v="Non Family Hourly Rates"/>
    <s v="Profit Cost"/>
    <s v="RW"/>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61"/>
    <d v="2023-07-10T19:02:02"/>
    <s v="N"/>
    <m/>
    <m/>
    <s v="Overall Adjustment"/>
    <m/>
    <s v="N"/>
    <n v="-432.51"/>
    <n v="-86.55"/>
    <x v="2"/>
    <s v="VALIDATED"/>
    <n v="1"/>
    <s v="01.11.80.208.6100.0000"/>
    <n v="-432.51"/>
    <s v="11"/>
    <s v="6100"/>
    <n v="2086.04"/>
    <n v="-432.51"/>
    <s v="CREDITOR"/>
    <n v="0"/>
    <n v="0"/>
    <n v="0"/>
    <n v="0"/>
    <n v="-432.51"/>
  </r>
  <r>
    <n v="61309497"/>
    <s v="N"/>
    <n v="21349894"/>
    <s v="3000015465150003"/>
    <s v="CIVIL"/>
    <d v="2023-06-29T00:00:00"/>
    <d v="2023-07-10T19:01:40"/>
    <m/>
    <d v="2023-07-10T00:00:00"/>
    <n v="654"/>
    <n v="17073"/>
    <s v="61309497"/>
    <s v="61309497"/>
    <m/>
    <m/>
    <n v="22789506"/>
    <m/>
    <m/>
    <m/>
    <s v="SOLFIN"/>
    <s v="SOLFIN"/>
    <s v="CCMS"/>
    <n v="21349894"/>
    <n v="2700.06"/>
    <m/>
    <s v="N"/>
    <n v="12"/>
    <d v="2023-07-10T19:02:02"/>
    <s v="Y"/>
    <s v="Report - Medical report"/>
    <s v="Non Family Hourly Rates"/>
    <s v="Profit Cost"/>
    <s v="RW"/>
    <s v="Y"/>
    <n v="11.88"/>
    <n v="2.38"/>
    <x v="2"/>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7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80"/>
    <d v="2023-07-11T19:00:31"/>
    <s v="Y"/>
    <s v="Preparation - other"/>
    <s v="Non Family Hourly Rates"/>
    <s v="Profit Cost"/>
    <s v="FN"/>
    <s v="Y"/>
    <n v="59.4"/>
    <n v="11.88"/>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6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89"/>
    <d v="2023-07-11T19:00:31"/>
    <s v="Y"/>
    <s v="Preparation - other"/>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13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4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52"/>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33"/>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8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93"/>
    <d v="2023-07-11T19:00:31"/>
    <s v="Y"/>
    <s v="Preparation - drafting bill/claim f"/>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296"/>
    <d v="2023-07-11T19:00:31"/>
    <s v="Y"/>
    <s v="Routine Telephone Call"/>
    <s v="Non Family Hourly Rates"/>
    <s v="Profit Cost"/>
    <s v="FN"/>
    <s v="Y"/>
    <n v="23.03"/>
    <n v="4.61"/>
    <x v="7"/>
    <s v="VALIDATED"/>
    <n v="1"/>
    <s v="01.11.80.208.6100.0000"/>
    <n v="23.03"/>
    <s v="11"/>
    <s v="6100"/>
    <n v="2086.04"/>
    <n v="23.03"/>
    <s v="CREDITOR"/>
    <n v="0"/>
    <n v="0"/>
    <n v="0"/>
    <n v="0"/>
    <n v="23.03"/>
  </r>
  <r>
    <n v="56270265"/>
    <s v="N"/>
    <n v="21360709"/>
    <s v="3000013363660010"/>
    <s v="CIVIL"/>
    <d v="2023-06-16T00:00:00"/>
    <d v="2023-07-11T19:00:25"/>
    <m/>
    <d v="2023-07-11T00:00:00"/>
    <n v="654"/>
    <n v="17073"/>
    <s v="56270265"/>
    <s v="56270265"/>
    <m/>
    <m/>
    <n v="22707904"/>
    <m/>
    <m/>
    <m/>
    <s v="SOLFIN"/>
    <s v="SOLFIN"/>
    <s v="CCMS"/>
    <n v="21360709"/>
    <n v="7846.57"/>
    <m/>
    <s v="N"/>
    <n v="20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76"/>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3"/>
    <d v="2023-07-11T19:00:31"/>
    <s v="N"/>
    <s v="Court Fee"/>
    <s v="Non Family Hourly Rates"/>
    <s v="Non Expert Disbursement"/>
    <s v="FN"/>
    <s v="N"/>
    <n v="116.78"/>
    <n v="0"/>
    <x v="7"/>
    <s v="VALIDATED"/>
    <n v="1"/>
    <s v="01.11.80.208.6300.0000"/>
    <n v="116.78"/>
    <s v="11"/>
    <s v="6300"/>
    <n v="2086.04"/>
    <n v="116.78"/>
    <s v="CREDITOR"/>
    <n v="0"/>
    <n v="0"/>
    <n v="0"/>
    <n v="0"/>
    <n v="116.78"/>
  </r>
  <r>
    <n v="56270265"/>
    <s v="N"/>
    <n v="21360709"/>
    <s v="3000013363660010"/>
    <s v="CIVIL"/>
    <d v="2023-06-16T00:00:00"/>
    <d v="2023-07-11T19:00:25"/>
    <m/>
    <d v="2023-07-11T00:00:00"/>
    <n v="654"/>
    <n v="17073"/>
    <s v="56270265"/>
    <s v="56270265"/>
    <m/>
    <m/>
    <n v="22707904"/>
    <m/>
    <m/>
    <m/>
    <s v="SOLFIN"/>
    <s v="SOLFIN"/>
    <s v="CCMS"/>
    <n v="21360709"/>
    <n v="7846.57"/>
    <m/>
    <s v="N"/>
    <n v="236"/>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6"/>
    <d v="2023-07-11T19:00:31"/>
    <s v="Y"/>
    <s v="Preparation - drafting pleadings"/>
    <s v="Non Family Hourly Rates"/>
    <s v="Profit Cost"/>
    <s v="FN"/>
    <s v="Y"/>
    <n v="41.58"/>
    <n v="8.32"/>
    <x v="7"/>
    <s v="VALIDATED"/>
    <n v="1"/>
    <s v="01.11.80.208.6100.0000"/>
    <n v="41.58"/>
    <s v="11"/>
    <s v="6100"/>
    <n v="2086.04"/>
    <n v="41.58"/>
    <s v="CREDITOR"/>
    <n v="0"/>
    <n v="0"/>
    <n v="0"/>
    <n v="0"/>
    <n v="41.58"/>
  </r>
  <r>
    <n v="59524812"/>
    <s v="N"/>
    <n v="21338657"/>
    <s v="3000013445920009"/>
    <s v="CIVIL"/>
    <d v="2023-06-30T00:00:00"/>
    <d v="2023-07-06T19:23:40"/>
    <m/>
    <d v="2023-07-06T00:00:00"/>
    <n v="654"/>
    <n v="17073"/>
    <s v="59524812"/>
    <s v="59524812"/>
    <m/>
    <m/>
    <n v="22801768"/>
    <m/>
    <m/>
    <m/>
    <s v="SOLPOA"/>
    <s v="SOLPOA"/>
    <s v="CCMS"/>
    <n v="21338657"/>
    <n v="107.75"/>
    <m/>
    <s v="N"/>
    <n v="1"/>
    <d v="2023-07-06T19:23:40"/>
    <s v="N"/>
    <s v="Profit Cost"/>
    <s v="Profit Cost"/>
    <s v="Profit Cost"/>
    <s v="Amy Badoc"/>
    <s v="N"/>
    <n v="89.79000000000001"/>
    <n v="17.96"/>
    <x v="4"/>
    <s v="VALIDATED"/>
    <n v="1"/>
    <s v="01.11.80.208.2012.0000"/>
    <n v="89.79000000000001"/>
    <s v="11"/>
    <s v="2012"/>
    <n v="2086.04"/>
    <n v="89.79000000000001"/>
    <s v="CREDITOR"/>
    <n v="89.79000000000001"/>
    <n v="22.4475"/>
    <n v="0"/>
    <n v="0"/>
    <n v="0"/>
  </r>
  <r>
    <n v="61309497"/>
    <s v="N"/>
    <n v="21349894"/>
    <s v="3000015465150003"/>
    <s v="CIVIL"/>
    <d v="2023-06-29T00:00:00"/>
    <d v="2023-07-10T19:01:40"/>
    <m/>
    <d v="2023-07-10T00:00:00"/>
    <n v="654"/>
    <n v="17073"/>
    <s v="61309497"/>
    <s v="61309497"/>
    <m/>
    <m/>
    <n v="22789506"/>
    <m/>
    <m/>
    <m/>
    <s v="SOLFIN"/>
    <s v="SOLFIN"/>
    <s v="CCMS"/>
    <n v="21349894"/>
    <n v="2700.06"/>
    <m/>
    <s v="N"/>
    <n v="33"/>
    <d v="2023-07-10T19:02:02"/>
    <s v="Y"/>
    <s v="Preparation - Periodic file review"/>
    <s v="Non Family Hourly Rates"/>
    <s v="Profit Cost"/>
    <s v="RW"/>
    <s v="Y"/>
    <n v="5.94"/>
    <n v="1.19"/>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82"/>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7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21"/>
    <d v="2023-07-11T19:00:31"/>
    <s v="Y"/>
    <s v="Preparation - other"/>
    <s v="Non Family Hourly Rates"/>
    <s v="Profit Cost"/>
    <s v="BC"/>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54"/>
    <d v="2023-07-11T19:00:31"/>
    <s v="Y"/>
    <s v="Attendance upon client"/>
    <s v="Non Family Hourly Rates"/>
    <s v="Profit Cost"/>
    <s v="BC"/>
    <s v="Y"/>
    <n v="100.98"/>
    <n v="20.2"/>
    <x v="7"/>
    <s v="VALIDATED"/>
    <n v="1"/>
    <s v="01.11.80.208.6100.0000"/>
    <n v="100.98"/>
    <s v="11"/>
    <s v="6100"/>
    <n v="2086.04"/>
    <n v="100.98"/>
    <s v="CREDITOR"/>
    <n v="0"/>
    <n v="0"/>
    <n v="0"/>
    <n v="0"/>
    <n v="100.98"/>
  </r>
  <r>
    <n v="60413913"/>
    <s v="N"/>
    <n v="21349649"/>
    <s v="3000014701230007"/>
    <s v="CIVIL"/>
    <d v="2023-06-29T00:00:00"/>
    <d v="2023-07-10T19:01:40"/>
    <m/>
    <d v="2023-07-10T00:00:00"/>
    <n v="654"/>
    <n v="17073"/>
    <s v="60413913"/>
    <s v="60413913"/>
    <m/>
    <m/>
    <n v="22791196"/>
    <m/>
    <m/>
    <m/>
    <s v="SOLFIN"/>
    <s v="SOLFIN"/>
    <s v="CCMS"/>
    <n v="21349649"/>
    <n v="9425.639999999999"/>
    <m/>
    <s v="N"/>
    <n v="16"/>
    <d v="2023-07-10T19:01:55"/>
    <s v="Y"/>
    <s v="Advocates Meeting"/>
    <s v="Public Law Children"/>
    <s v="Advocacy"/>
    <s v="CP"/>
    <s v="Y"/>
    <n v="140.99"/>
    <n v="28.2"/>
    <x v="2"/>
    <s v="VALIDATED"/>
    <n v="1"/>
    <s v="01.11.80.308.6100.0000"/>
    <n v="140.99"/>
    <s v="11"/>
    <s v="6100"/>
    <n v="2086.04"/>
    <n v="140.99"/>
    <s v="CREDITOR"/>
    <n v="0"/>
    <n v="0"/>
    <n v="0"/>
    <n v="0"/>
    <n v="140.99"/>
  </r>
  <r>
    <n v="61309497"/>
    <s v="N"/>
    <n v="21349894"/>
    <s v="3000015465150003"/>
    <s v="CIVIL"/>
    <d v="2023-06-29T00:00:00"/>
    <d v="2023-07-10T19:01:40"/>
    <m/>
    <d v="2023-07-10T00:00:00"/>
    <n v="654"/>
    <n v="17073"/>
    <s v="61309497"/>
    <s v="61309497"/>
    <m/>
    <m/>
    <n v="22789506"/>
    <m/>
    <m/>
    <m/>
    <s v="SOLFIN"/>
    <s v="SOLFIN"/>
    <s v="CCMS"/>
    <n v="21349894"/>
    <n v="2700.06"/>
    <m/>
    <s v="N"/>
    <n v="40"/>
    <d v="2023-07-10T19:02:02"/>
    <s v="Y"/>
    <s v="Advocacy - Other Hearing"/>
    <s v="Non Family Hourly Rates"/>
    <s v="Advocacy"/>
    <s v="RW"/>
    <s v="Y"/>
    <n v="41.58"/>
    <n v="8.32"/>
    <x v="2"/>
    <s v="VALIDATED"/>
    <n v="1"/>
    <s v="01.11.80.208.6100.0000"/>
    <n v="41.58"/>
    <s v="11"/>
    <s v="6100"/>
    <n v="2086.04"/>
    <n v="41.58"/>
    <s v="CREDITOR"/>
    <n v="0"/>
    <n v="0"/>
    <n v="0"/>
    <n v="0"/>
    <n v="41.58"/>
  </r>
  <r>
    <n v="61309497"/>
    <s v="N"/>
    <n v="21349894"/>
    <s v="3000015465150003"/>
    <s v="CIVIL"/>
    <d v="2023-06-29T00:00:00"/>
    <d v="2023-07-10T19:01:40"/>
    <m/>
    <d v="2023-07-10T00:00:00"/>
    <n v="654"/>
    <n v="17073"/>
    <s v="61309497"/>
    <s v="61309497"/>
    <m/>
    <m/>
    <n v="22789506"/>
    <m/>
    <m/>
    <m/>
    <s v="SOLFIN"/>
    <s v="SOLFIN"/>
    <s v="CCMS"/>
    <n v="21349894"/>
    <n v="2700.06"/>
    <m/>
    <s v="N"/>
    <n v="32"/>
    <d v="2023-07-10T19:02:02"/>
    <s v="Y"/>
    <s v="Preparation - drafting notice(s)"/>
    <s v="Non Family Hourly Rates"/>
    <s v="Profit Cost"/>
    <s v="RW"/>
    <s v="Y"/>
    <n v="17.82"/>
    <n v="3.56"/>
    <x v="2"/>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9"/>
    <d v="2023-07-11T19:00:31"/>
    <s v="Y"/>
    <s v="Preparation - drafting pleading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8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88"/>
    <d v="2023-07-11T19:00:31"/>
    <s v="Y"/>
    <s v="Preparation - drafting consent orde"/>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96"/>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66"/>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11"/>
    <d v="2023-07-11T19:00:31"/>
    <s v="Y"/>
    <s v="Preparation - drafting attendance n"/>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07"/>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49"/>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65"/>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43"/>
    <d v="2023-07-10T19:02:02"/>
    <s v="Y"/>
    <s v="Waiting at court"/>
    <s v="Non Family Hourly Rates"/>
    <s v="Profit Cost"/>
    <s v="RW"/>
    <s v="Y"/>
    <n v="21.02"/>
    <n v="4.2"/>
    <x v="2"/>
    <s v="VALIDATED"/>
    <n v="1"/>
    <s v="01.11.80.208.6100.0000"/>
    <n v="21.02"/>
    <s v="11"/>
    <s v="6100"/>
    <n v="2086.04"/>
    <n v="21.02"/>
    <s v="CREDITOR"/>
    <n v="0"/>
    <n v="0"/>
    <n v="0"/>
    <n v="0"/>
    <n v="21.02"/>
  </r>
  <r>
    <n v="56270265"/>
    <s v="N"/>
    <n v="21360709"/>
    <s v="3000013363660010"/>
    <s v="CIVIL"/>
    <d v="2023-06-16T00:00:00"/>
    <d v="2023-07-11T19:00:25"/>
    <m/>
    <d v="2023-07-11T00:00:00"/>
    <n v="654"/>
    <n v="17073"/>
    <s v="56270265"/>
    <s v="56270265"/>
    <m/>
    <m/>
    <n v="22707904"/>
    <m/>
    <m/>
    <m/>
    <s v="SOLFIN"/>
    <s v="SOLFIN"/>
    <s v="CCMS"/>
    <n v="21360709"/>
    <n v="7846.57"/>
    <m/>
    <s v="N"/>
    <n v="285"/>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25"/>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60"/>
    <d v="2023-07-11T19:00:31"/>
    <s v="Y"/>
    <s v="Preparation - other"/>
    <s v="Non Family Hourly Rates"/>
    <s v="Profit Cost"/>
    <s v="FN"/>
    <s v="Y"/>
    <n v="5.94"/>
    <n v="1.19"/>
    <x v="7"/>
    <s v="VALIDATED"/>
    <n v="1"/>
    <s v="01.11.80.208.6100.0000"/>
    <n v="5.94"/>
    <s v="11"/>
    <s v="6100"/>
    <n v="2086.04"/>
    <n v="5.94"/>
    <s v="CREDITOR"/>
    <n v="0"/>
    <n v="0"/>
    <n v="0"/>
    <n v="0"/>
    <n v="5.94"/>
  </r>
  <r>
    <n v="60413913"/>
    <s v="N"/>
    <n v="21349649"/>
    <s v="3000014701230007"/>
    <s v="CIVIL"/>
    <d v="2023-06-29T00:00:00"/>
    <d v="2023-07-10T19:01:40"/>
    <m/>
    <d v="2023-07-10T00:00:00"/>
    <n v="654"/>
    <n v="17073"/>
    <s v="60413913"/>
    <s v="60413913"/>
    <m/>
    <m/>
    <n v="22791196"/>
    <m/>
    <m/>
    <m/>
    <s v="SOLFIN"/>
    <s v="SOLFIN"/>
    <s v="CCMS"/>
    <n v="21349649"/>
    <n v="9425.639999999999"/>
    <m/>
    <s v="N"/>
    <n v="8"/>
    <d v="2023-07-10T19:01:55"/>
    <s v="Y"/>
    <s v="Hearing Unit 0.00 - 1.00 Hours"/>
    <s v="Public Law Children"/>
    <s v="Advocacy"/>
    <s v="CP"/>
    <s v="Y"/>
    <n v="95.40000000000001"/>
    <n v="19.08"/>
    <x v="2"/>
    <s v="VALIDATED"/>
    <n v="1"/>
    <s v="01.11.80.308.6100.0000"/>
    <n v="95.40000000000001"/>
    <s v="11"/>
    <s v="6100"/>
    <n v="2086.04"/>
    <n v="95.40000000000001"/>
    <s v="CREDITOR"/>
    <n v="0"/>
    <n v="0"/>
    <n v="0"/>
    <n v="0"/>
    <n v="95.40000000000001"/>
  </r>
  <r>
    <n v="56270265"/>
    <s v="N"/>
    <n v="21360709"/>
    <s v="3000013363660010"/>
    <s v="CIVIL"/>
    <d v="2023-06-16T00:00:00"/>
    <d v="2023-07-11T19:00:25"/>
    <m/>
    <d v="2023-07-11T00:00:00"/>
    <n v="654"/>
    <n v="17073"/>
    <s v="56270265"/>
    <s v="56270265"/>
    <m/>
    <m/>
    <n v="22707904"/>
    <m/>
    <m/>
    <m/>
    <s v="SOLFIN"/>
    <s v="SOLFIN"/>
    <s v="CCMS"/>
    <n v="21360709"/>
    <n v="7846.57"/>
    <m/>
    <s v="N"/>
    <n v="29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94"/>
    <d v="2023-07-11T19:00:31"/>
    <s v="Y"/>
    <s v="Routine Telephone Call"/>
    <s v="Non Family Hourly Rates"/>
    <s v="Profit Cost"/>
    <s v="LN"/>
    <s v="Y"/>
    <n v="3.29"/>
    <n v="0.66"/>
    <x v="7"/>
    <s v="VALIDATED"/>
    <n v="1"/>
    <s v="01.11.80.208.6100.0000"/>
    <n v="3.29"/>
    <s v="11"/>
    <s v="6100"/>
    <n v="2086.04"/>
    <n v="3.29"/>
    <s v="CREDITOR"/>
    <n v="0"/>
    <n v="0"/>
    <n v="0"/>
    <n v="0"/>
    <n v="3.29"/>
  </r>
  <r>
    <n v="56270265"/>
    <s v="N"/>
    <n v="21360709"/>
    <s v="3000013363660010"/>
    <s v="CIVIL"/>
    <d v="2023-06-16T00:00:00"/>
    <d v="2023-07-11T19:00:25"/>
    <m/>
    <d v="2023-07-11T00:00:00"/>
    <n v="654"/>
    <n v="17073"/>
    <s v="56270265"/>
    <s v="56270265"/>
    <m/>
    <m/>
    <n v="22707904"/>
    <m/>
    <m/>
    <m/>
    <s v="SOLFIN"/>
    <s v="SOLFIN"/>
    <s v="CCMS"/>
    <n v="21360709"/>
    <n v="7846.57"/>
    <m/>
    <s v="N"/>
    <n v="209"/>
    <d v="2023-07-11T19:00:31"/>
    <s v="Y"/>
    <s v="Preparation - other"/>
    <s v="Non Family Hourly Rates"/>
    <s v="Profit Cost"/>
    <s v="FN"/>
    <s v="Y"/>
    <n v="5.94"/>
    <n v="1.19"/>
    <x v="7"/>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19"/>
    <d v="2023-07-10T19:02:02"/>
    <s v="Y"/>
    <s v="Attendance upon other"/>
    <s v="Non Family Hourly Rates"/>
    <s v="Profit Cost"/>
    <s v="RW"/>
    <s v="Y"/>
    <n v="71.28"/>
    <n v="14.26"/>
    <x v="2"/>
    <s v="VALIDATED"/>
    <n v="1"/>
    <s v="01.11.80.208.6100.0000"/>
    <n v="71.28"/>
    <s v="11"/>
    <s v="6100"/>
    <n v="2086.04"/>
    <n v="71.28"/>
    <s v="CREDITOR"/>
    <n v="0"/>
    <n v="0"/>
    <n v="0"/>
    <n v="0"/>
    <n v="71.28"/>
  </r>
  <r>
    <n v="60413913"/>
    <s v="N"/>
    <n v="21349649"/>
    <s v="3000014701230007"/>
    <s v="CIVIL"/>
    <d v="2023-06-29T00:00:00"/>
    <d v="2023-07-10T19:01:40"/>
    <m/>
    <d v="2023-07-10T00:00:00"/>
    <n v="654"/>
    <n v="17073"/>
    <s v="60413913"/>
    <s v="60413913"/>
    <m/>
    <m/>
    <n v="22791196"/>
    <m/>
    <m/>
    <m/>
    <s v="SOLFIN"/>
    <s v="SOLFIN"/>
    <s v="CCMS"/>
    <n v="21349649"/>
    <n v="9425.639999999999"/>
    <m/>
    <s v="N"/>
    <n v="13"/>
    <d v="2023-07-10T19:01:55"/>
    <s v="Y"/>
    <s v="Hearing Unit 2.31 - 5.00 Hours"/>
    <s v="Public Law Children"/>
    <s v="Advocacy"/>
    <s v="CP"/>
    <s v="Y"/>
    <n v="476.92"/>
    <n v="95.38"/>
    <x v="2"/>
    <s v="VALIDATED"/>
    <n v="1"/>
    <s v="01.11.80.308.6100.0000"/>
    <n v="476.92"/>
    <s v="11"/>
    <s v="6100"/>
    <n v="2086.04"/>
    <n v="476.92"/>
    <s v="CREDITOR"/>
    <n v="0"/>
    <n v="0"/>
    <n v="0"/>
    <n v="0"/>
    <n v="476.92"/>
  </r>
  <r>
    <n v="56270265"/>
    <s v="N"/>
    <n v="21360709"/>
    <s v="3000013363660010"/>
    <s v="CIVIL"/>
    <d v="2023-06-16T00:00:00"/>
    <d v="2023-07-11T19:00:25"/>
    <m/>
    <d v="2023-07-11T00:00:00"/>
    <n v="654"/>
    <n v="17073"/>
    <s v="56270265"/>
    <s v="56270265"/>
    <m/>
    <m/>
    <n v="22707904"/>
    <m/>
    <m/>
    <m/>
    <s v="SOLFIN"/>
    <s v="SOLFIN"/>
    <s v="CCMS"/>
    <n v="21360709"/>
    <n v="7846.57"/>
    <m/>
    <s v="N"/>
    <n v="203"/>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96"/>
    <d v="2023-07-11T19:00:31"/>
    <s v="Y"/>
    <s v="Preparation - other"/>
    <s v="Non Family Hourly Rates"/>
    <s v="Profit Cost"/>
    <s v="FN"/>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259"/>
    <d v="2023-07-11T19:00:31"/>
    <s v="Y"/>
    <s v="Attendance upon client"/>
    <s v="Non Family Hourly Rates"/>
    <s v="Profit Cost"/>
    <s v="FN"/>
    <s v="Y"/>
    <n v="29.7"/>
    <n v="5.94"/>
    <x v="7"/>
    <s v="VALIDATED"/>
    <n v="1"/>
    <s v="01.11.80.208.6100.0000"/>
    <n v="29.7"/>
    <s v="11"/>
    <s v="6100"/>
    <n v="2086.04"/>
    <n v="29.7"/>
    <s v="CREDITOR"/>
    <n v="0"/>
    <n v="0"/>
    <n v="0"/>
    <n v="0"/>
    <n v="29.7"/>
  </r>
  <r>
    <n v="55923514"/>
    <s v="N"/>
    <n v="21344067"/>
    <s v="3000013173190011"/>
    <s v="CIVIL"/>
    <d v="2023-06-27T00:00:00"/>
    <d v="2023-07-07T19:03:00"/>
    <m/>
    <d v="2023-07-07T00:00:00"/>
    <n v="654"/>
    <n v="17073"/>
    <s v="55923514"/>
    <s v="55923514"/>
    <m/>
    <m/>
    <n v="22770190"/>
    <m/>
    <m/>
    <m/>
    <s v="SOLFIN"/>
    <s v="SOLFIN"/>
    <s v="CCMS"/>
    <n v="21344067"/>
    <n v="7561.04"/>
    <m/>
    <s v="N"/>
    <n v="10"/>
    <d v="2023-07-07T19:03:22"/>
    <s v="Y"/>
    <s v="Hearing Unit 1.01 - 2.30 Hours"/>
    <s v="Private Law Children"/>
    <s v="Advocacy"/>
    <s v="HD"/>
    <s v="Y"/>
    <n v="156.74"/>
    <n v="31.35"/>
    <x v="9"/>
    <s v="VALIDATED"/>
    <n v="1"/>
    <s v="01.11.80.307.6100.0000"/>
    <n v="156.74"/>
    <s v="11"/>
    <s v="6100"/>
    <n v="2086.04"/>
    <n v="156.74"/>
    <s v="CREDITOR"/>
    <n v="0"/>
    <n v="0"/>
    <n v="0"/>
    <n v="0"/>
    <n v="156.74"/>
  </r>
  <r>
    <n v="61724528"/>
    <s v="N"/>
    <n v="21323271"/>
    <s v="3000015811710009"/>
    <s v="CIVIL"/>
    <d v="2023-06-30T00:00:00"/>
    <d v="2023-07-03T19:05:56"/>
    <m/>
    <d v="2023-07-03T00:00:00"/>
    <n v="654"/>
    <n v="17073"/>
    <s v="61724528"/>
    <s v="61724528"/>
    <m/>
    <m/>
    <n v="22795246"/>
    <m/>
    <m/>
    <m/>
    <s v="SOLPOA"/>
    <s v="SOLPOA"/>
    <s v="CCMS"/>
    <n v="21323271"/>
    <n v="14.8"/>
    <m/>
    <s v="N"/>
    <n v="1"/>
    <d v="2023-07-03T19:05:56"/>
    <s v="N"/>
    <s v="Non Expert Disbursement"/>
    <s v="Non Expert Disbursement"/>
    <s v="Non Expert Disbursement"/>
    <s v="Hannah Quick"/>
    <s v="N"/>
    <n v="14.8"/>
    <n v="0"/>
    <x v="3"/>
    <s v="VALIDATED"/>
    <n v="1"/>
    <s v="01.11.80.308.2012.0000"/>
    <n v="14.8"/>
    <s v="11"/>
    <s v="2012"/>
    <n v="2086.04"/>
    <n v="14.8"/>
    <s v="CREDITOR"/>
    <n v="14.8"/>
    <n v="0"/>
    <n v="0"/>
    <n v="0"/>
    <n v="0"/>
  </r>
  <r>
    <n v="56270265"/>
    <s v="N"/>
    <n v="21360709"/>
    <s v="3000013363660010"/>
    <s v="CIVIL"/>
    <d v="2023-06-16T00:00:00"/>
    <d v="2023-07-11T19:00:25"/>
    <m/>
    <d v="2023-07-11T00:00:00"/>
    <n v="654"/>
    <n v="17073"/>
    <s v="56270265"/>
    <s v="56270265"/>
    <m/>
    <m/>
    <n v="22707904"/>
    <m/>
    <m/>
    <m/>
    <s v="SOLFIN"/>
    <s v="SOLFIN"/>
    <s v="CCMS"/>
    <n v="21360709"/>
    <n v="7846.57"/>
    <m/>
    <s v="N"/>
    <n v="297"/>
    <d v="2023-07-11T19:00:31"/>
    <s v="Y"/>
    <s v="Routine Telephone Call"/>
    <s v="Non Family Hourly Rates"/>
    <s v="Profit Cost"/>
    <s v="BC"/>
    <s v="Y"/>
    <n v="42.77"/>
    <n v="8.56"/>
    <x v="7"/>
    <s v="VALIDATED"/>
    <n v="1"/>
    <s v="01.11.80.208.6100.0000"/>
    <n v="42.77"/>
    <s v="11"/>
    <s v="6100"/>
    <n v="2086.04"/>
    <n v="42.77"/>
    <s v="CREDITOR"/>
    <n v="0"/>
    <n v="0"/>
    <n v="0"/>
    <n v="0"/>
    <n v="42.77"/>
  </r>
  <r>
    <n v="56270265"/>
    <s v="N"/>
    <n v="21360709"/>
    <s v="3000013363660010"/>
    <s v="CIVIL"/>
    <d v="2023-06-16T00:00:00"/>
    <d v="2023-07-11T19:00:25"/>
    <m/>
    <d v="2023-07-11T00:00:00"/>
    <n v="654"/>
    <n v="17073"/>
    <s v="56270265"/>
    <s v="56270265"/>
    <m/>
    <m/>
    <n v="22707904"/>
    <m/>
    <m/>
    <m/>
    <s v="SOLFIN"/>
    <s v="SOLFIN"/>
    <s v="CCMS"/>
    <n v="21360709"/>
    <n v="7846.57"/>
    <m/>
    <s v="N"/>
    <n v="99"/>
    <d v="2023-07-11T19:00:31"/>
    <s v="Y"/>
    <s v="Preparation - other"/>
    <s v="Non Family Hourly Rates"/>
    <s v="Profit Cost"/>
    <s v="FN"/>
    <s v="Y"/>
    <n v="5.94"/>
    <n v="1.19"/>
    <x v="7"/>
    <s v="VALIDATED"/>
    <n v="1"/>
    <s v="01.11.80.208.6100.0000"/>
    <n v="5.94"/>
    <s v="11"/>
    <s v="6100"/>
    <n v="2086.04"/>
    <n v="5.94"/>
    <s v="CREDITOR"/>
    <n v="0"/>
    <n v="0"/>
    <n v="0"/>
    <n v="0"/>
    <n v="5.94"/>
  </r>
  <r>
    <n v="60413913"/>
    <s v="N"/>
    <n v="21349649"/>
    <s v="3000014701230007"/>
    <s v="CIVIL"/>
    <d v="2023-06-29T00:00:00"/>
    <d v="2023-07-10T19:01:40"/>
    <m/>
    <d v="2023-07-10T00:00:00"/>
    <n v="654"/>
    <n v="17073"/>
    <s v="60413913"/>
    <s v="60413913"/>
    <m/>
    <m/>
    <n v="22791196"/>
    <m/>
    <m/>
    <m/>
    <s v="SOLFIN"/>
    <s v="SOLFIN"/>
    <s v="CCMS"/>
    <n v="21349649"/>
    <n v="9425.639999999999"/>
    <m/>
    <s v="N"/>
    <n v="12"/>
    <d v="2023-07-10T19:01:55"/>
    <s v="Y"/>
    <s v="Advocates Meeting"/>
    <s v="Public Law Children"/>
    <s v="Advocacy"/>
    <s v="CP"/>
    <s v="Y"/>
    <n v="140.99"/>
    <n v="28.2"/>
    <x v="2"/>
    <s v="VALIDATED"/>
    <n v="1"/>
    <s v="01.11.80.308.6100.0000"/>
    <n v="140.99"/>
    <s v="11"/>
    <s v="6100"/>
    <n v="2086.04"/>
    <n v="140.99"/>
    <s v="CREDITOR"/>
    <n v="0"/>
    <n v="0"/>
    <n v="0"/>
    <n v="0"/>
    <n v="140.99"/>
  </r>
  <r>
    <n v="61309497"/>
    <s v="N"/>
    <n v="21349894"/>
    <s v="3000015465150003"/>
    <s v="CIVIL"/>
    <d v="2023-06-29T00:00:00"/>
    <d v="2023-07-10T19:01:40"/>
    <m/>
    <d v="2023-07-10T00:00:00"/>
    <n v="654"/>
    <n v="17073"/>
    <s v="61309497"/>
    <s v="61309497"/>
    <m/>
    <m/>
    <n v="22789506"/>
    <m/>
    <m/>
    <m/>
    <s v="SOLFIN"/>
    <s v="SOLFIN"/>
    <s v="CCMS"/>
    <n v="21349894"/>
    <n v="2700.06"/>
    <m/>
    <s v="N"/>
    <n v="48"/>
    <d v="2023-07-10T19:02:02"/>
    <s v="Y"/>
    <s v="Preparation - other"/>
    <s v="Non Family Hourly Rates"/>
    <s v="Profit Cost"/>
    <s v="RW"/>
    <s v="Y"/>
    <n v="47.52"/>
    <n v="9.51"/>
    <x v="2"/>
    <s v="VALIDATED"/>
    <n v="1"/>
    <s v="01.11.80.208.6100.0000"/>
    <n v="47.52"/>
    <s v="11"/>
    <s v="6100"/>
    <n v="2086.04"/>
    <n v="47.52"/>
    <s v="CREDITOR"/>
    <n v="0"/>
    <n v="0"/>
    <n v="0"/>
    <n v="0"/>
    <n v="47.52"/>
  </r>
  <r>
    <n v="61309497"/>
    <s v="N"/>
    <n v="21349894"/>
    <s v="3000015465150003"/>
    <s v="CIVIL"/>
    <d v="2023-06-29T00:00:00"/>
    <d v="2023-07-10T19:01:40"/>
    <m/>
    <d v="2023-07-10T00:00:00"/>
    <n v="654"/>
    <n v="17073"/>
    <s v="61309497"/>
    <s v="61309497"/>
    <m/>
    <m/>
    <n v="22789506"/>
    <m/>
    <m/>
    <m/>
    <s v="SOLFIN"/>
    <s v="SOLFIN"/>
    <s v="CCMS"/>
    <n v="21349894"/>
    <n v="2700.06"/>
    <m/>
    <s v="N"/>
    <n v="14"/>
    <d v="2023-07-10T19:02:02"/>
    <s v="Y"/>
    <s v="Preparation - drafting pleadings"/>
    <s v="Non Family Hourly Rates"/>
    <s v="Profit Cost"/>
    <s v="RW"/>
    <s v="Y"/>
    <n v="59.4"/>
    <n v="11.88"/>
    <x v="2"/>
    <s v="VALIDATED"/>
    <n v="1"/>
    <s v="01.11.80.208.6100.0000"/>
    <n v="59.4"/>
    <s v="11"/>
    <s v="6100"/>
    <n v="2086.04"/>
    <n v="59.4"/>
    <s v="CREDITOR"/>
    <n v="0"/>
    <n v="0"/>
    <n v="0"/>
    <n v="0"/>
    <n v="59.4"/>
  </r>
  <r>
    <n v="60413913"/>
    <s v="N"/>
    <n v="21349649"/>
    <s v="3000014701230007"/>
    <s v="CIVIL"/>
    <d v="2023-06-29T00:00:00"/>
    <d v="2023-07-10T19:01:40"/>
    <m/>
    <d v="2023-07-10T00:00:00"/>
    <n v="654"/>
    <n v="17073"/>
    <s v="60413913"/>
    <s v="60413913"/>
    <m/>
    <m/>
    <n v="22791196"/>
    <m/>
    <m/>
    <m/>
    <s v="SOLFIN"/>
    <s v="SOLFIN"/>
    <s v="CCMS"/>
    <n v="21349649"/>
    <n v="9425.639999999999"/>
    <m/>
    <s v="N"/>
    <n v="4"/>
    <d v="2023-07-10T19:01:55"/>
    <s v="Y"/>
    <s v="Court Fee"/>
    <s v="Public Law Children"/>
    <s v="Non Expert Disbursement"/>
    <s v="CP"/>
    <s v="Y"/>
    <n v="167"/>
    <n v="0"/>
    <x v="2"/>
    <s v="VALIDATED"/>
    <n v="1"/>
    <s v="01.11.80.308.6300.0000"/>
    <n v="167"/>
    <s v="11"/>
    <s v="6300"/>
    <n v="2086.04"/>
    <n v="167"/>
    <s v="CREDITOR"/>
    <n v="0"/>
    <n v="0"/>
    <n v="0"/>
    <n v="0"/>
    <n v="167"/>
  </r>
  <r>
    <n v="56270265"/>
    <s v="N"/>
    <n v="21360709"/>
    <s v="3000013363660010"/>
    <s v="CIVIL"/>
    <d v="2023-06-16T00:00:00"/>
    <d v="2023-07-11T19:00:25"/>
    <m/>
    <d v="2023-07-11T00:00:00"/>
    <n v="654"/>
    <n v="17073"/>
    <s v="56270265"/>
    <s v="56270265"/>
    <m/>
    <m/>
    <n v="22707904"/>
    <m/>
    <m/>
    <m/>
    <s v="SOLFIN"/>
    <s v="SOLFIN"/>
    <s v="CCMS"/>
    <n v="21360709"/>
    <n v="7846.57"/>
    <m/>
    <s v="N"/>
    <n v="16"/>
    <d v="2023-07-11T19:00:31"/>
    <s v="Y"/>
    <s v="Preparation - drafting consent orde"/>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76"/>
    <d v="2023-07-11T19:00:31"/>
    <s v="Y"/>
    <s v="Preparation - drafting consent orde"/>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67"/>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25"/>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03"/>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37"/>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9"/>
    <d v="2023-07-10T19:02:02"/>
    <s v="Y"/>
    <s v="Preparation - drafting pleadings"/>
    <s v="Non Family Hourly Rates"/>
    <s v="Profit Cost"/>
    <s v="RW"/>
    <s v="Y"/>
    <n v="308.88"/>
    <n v="61.78"/>
    <x v="2"/>
    <s v="VALIDATED"/>
    <n v="1"/>
    <s v="01.11.80.208.6100.0000"/>
    <n v="308.88"/>
    <s v="11"/>
    <s v="6100"/>
    <n v="2086.04"/>
    <n v="308.88"/>
    <s v="CREDITOR"/>
    <n v="0"/>
    <n v="0"/>
    <n v="0"/>
    <n v="0"/>
    <n v="308.88"/>
  </r>
  <r>
    <n v="61309497"/>
    <s v="N"/>
    <n v="21349894"/>
    <s v="3000015465150003"/>
    <s v="CIVIL"/>
    <d v="2023-06-29T00:00:00"/>
    <d v="2023-07-10T19:01:40"/>
    <m/>
    <d v="2023-07-10T00:00:00"/>
    <n v="654"/>
    <n v="17073"/>
    <s v="61309497"/>
    <s v="61309497"/>
    <m/>
    <m/>
    <n v="22789506"/>
    <m/>
    <m/>
    <m/>
    <s v="SOLFIN"/>
    <s v="SOLFIN"/>
    <s v="CCMS"/>
    <n v="21349894"/>
    <n v="2700.06"/>
    <m/>
    <s v="N"/>
    <n v="30"/>
    <d v="2023-07-10T19:02:02"/>
    <s v="Y"/>
    <s v="Report - other expert's report"/>
    <s v="Non Family Hourly Rates"/>
    <s v="Profit Cost"/>
    <s v="RW"/>
    <s v="Y"/>
    <n v="5.94"/>
    <n v="1.19"/>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6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99"/>
    <d v="2023-07-11T19:00:31"/>
    <s v="Y"/>
    <s v="Routine Letter Out"/>
    <s v="Non Family Hourly Rates"/>
    <s v="Profit Cost"/>
    <s v="FN"/>
    <s v="Y"/>
    <n v="677.16"/>
    <n v="135.48"/>
    <x v="7"/>
    <s v="VALIDATED"/>
    <n v="1"/>
    <s v="01.11.80.208.6100.0000"/>
    <n v="677.16"/>
    <s v="11"/>
    <s v="6100"/>
    <n v="2086.04"/>
    <n v="677.16"/>
    <s v="CREDITOR"/>
    <n v="0"/>
    <n v="0"/>
    <n v="0"/>
    <n v="0"/>
    <n v="677.16"/>
  </r>
  <r>
    <n v="56270265"/>
    <s v="N"/>
    <n v="21360709"/>
    <s v="3000013363660010"/>
    <s v="CIVIL"/>
    <d v="2023-06-16T00:00:00"/>
    <d v="2023-07-11T19:00:25"/>
    <m/>
    <d v="2023-07-11T00:00:00"/>
    <n v="654"/>
    <n v="17073"/>
    <s v="56270265"/>
    <s v="56270265"/>
    <m/>
    <m/>
    <n v="22707904"/>
    <m/>
    <m/>
    <m/>
    <s v="SOLFIN"/>
    <s v="SOLFIN"/>
    <s v="CCMS"/>
    <n v="21360709"/>
    <n v="7846.57"/>
    <m/>
    <s v="N"/>
    <n v="300"/>
    <d v="2023-07-11T19:00:31"/>
    <s v="Y"/>
    <s v="Routine Letter Out"/>
    <s v="Non Family Hourly Rates"/>
    <s v="Profit Cost"/>
    <s v="BC"/>
    <s v="Y"/>
    <n v="154.44"/>
    <n v="30.9"/>
    <x v="7"/>
    <s v="VALIDATED"/>
    <n v="1"/>
    <s v="01.11.80.208.6100.0000"/>
    <n v="154.44"/>
    <s v="11"/>
    <s v="6100"/>
    <n v="2086.04"/>
    <n v="154.44"/>
    <s v="CREDITOR"/>
    <n v="0"/>
    <n v="0"/>
    <n v="0"/>
    <n v="0"/>
    <n v="154.44"/>
  </r>
  <r>
    <n v="56270265"/>
    <s v="N"/>
    <n v="21360709"/>
    <s v="3000013363660010"/>
    <s v="CIVIL"/>
    <d v="2023-06-16T00:00:00"/>
    <d v="2023-07-11T19:00:25"/>
    <m/>
    <d v="2023-07-11T00:00:00"/>
    <n v="654"/>
    <n v="17073"/>
    <s v="56270265"/>
    <s v="56270265"/>
    <m/>
    <m/>
    <n v="22707904"/>
    <m/>
    <m/>
    <m/>
    <s v="SOLFIN"/>
    <s v="SOLFIN"/>
    <s v="CCMS"/>
    <n v="21360709"/>
    <n v="7846.57"/>
    <m/>
    <s v="N"/>
    <n v="4"/>
    <d v="2023-07-11T19:00:31"/>
    <s v="Y"/>
    <s v="Client Travel Expenses"/>
    <s v="Non Family Hourly Rates"/>
    <s v="Non Expert Disbursement"/>
    <s v="FN"/>
    <s v="Y"/>
    <n v="16.6"/>
    <n v="0"/>
    <x v="7"/>
    <s v="VALIDATED"/>
    <n v="1"/>
    <s v="01.11.80.208.6300.0000"/>
    <n v="16.6"/>
    <s v="11"/>
    <s v="6300"/>
    <n v="2086.04"/>
    <n v="16.6"/>
    <s v="CREDITOR"/>
    <n v="0"/>
    <n v="0"/>
    <n v="0"/>
    <n v="0"/>
    <n v="16.6"/>
  </r>
  <r>
    <n v="56270265"/>
    <s v="N"/>
    <n v="21360709"/>
    <s v="3000013363660010"/>
    <s v="CIVIL"/>
    <d v="2023-06-16T00:00:00"/>
    <d v="2023-07-11T19:00:25"/>
    <m/>
    <d v="2023-07-11T00:00:00"/>
    <n v="654"/>
    <n v="17073"/>
    <s v="56270265"/>
    <s v="56270265"/>
    <m/>
    <m/>
    <n v="22707904"/>
    <m/>
    <m/>
    <m/>
    <s v="SOLFIN"/>
    <s v="SOLFIN"/>
    <s v="CCMS"/>
    <n v="21360709"/>
    <n v="7846.57"/>
    <m/>
    <s v="N"/>
    <n v="106"/>
    <d v="2023-07-11T19:00:31"/>
    <s v="Y"/>
    <s v="Preparation - drafting statement"/>
    <s v="Non Family Hourly Rates"/>
    <s v="Profit Cost"/>
    <s v="FN"/>
    <s v="Y"/>
    <n v="17.82"/>
    <n v="3.57"/>
    <x v="7"/>
    <s v="VALIDATED"/>
    <n v="1"/>
    <s v="01.11.80.208.6100.0000"/>
    <n v="17.82"/>
    <s v="11"/>
    <s v="6100"/>
    <n v="2086.04"/>
    <n v="17.82"/>
    <s v="CREDITOR"/>
    <n v="0"/>
    <n v="0"/>
    <n v="0"/>
    <n v="0"/>
    <n v="17.82"/>
  </r>
  <r>
    <n v="60413913"/>
    <s v="N"/>
    <n v="21349649"/>
    <s v="3000014701230007"/>
    <s v="CIVIL"/>
    <d v="2023-06-29T00:00:00"/>
    <d v="2023-07-10T19:01:40"/>
    <m/>
    <d v="2023-07-10T00:00:00"/>
    <n v="654"/>
    <n v="17073"/>
    <s v="60413913"/>
    <s v="60413913"/>
    <m/>
    <m/>
    <n v="22791196"/>
    <m/>
    <m/>
    <m/>
    <s v="SOLFIN"/>
    <s v="SOLFIN"/>
    <s v="CCMS"/>
    <n v="21349649"/>
    <n v="9425.639999999999"/>
    <m/>
    <s v="N"/>
    <n v="10"/>
    <d v="2023-07-10T19:01:55"/>
    <s v="Y"/>
    <s v="Hearing Unit 2.31 - 5.00 Hours"/>
    <s v="Public Law Children"/>
    <s v="Advocacy"/>
    <s v="CP"/>
    <s v="Y"/>
    <n v="476.92"/>
    <n v="95.38"/>
    <x v="2"/>
    <s v="VALIDATED"/>
    <n v="1"/>
    <s v="01.11.80.308.6100.0000"/>
    <n v="476.92"/>
    <s v="11"/>
    <s v="6100"/>
    <n v="2086.04"/>
    <n v="476.92"/>
    <s v="CREDITOR"/>
    <n v="0"/>
    <n v="0"/>
    <n v="0"/>
    <n v="0"/>
    <n v="476.92"/>
  </r>
  <r>
    <n v="55923514"/>
    <s v="N"/>
    <n v="21344067"/>
    <s v="3000013173190011"/>
    <s v="CIVIL"/>
    <d v="2023-06-27T00:00:00"/>
    <d v="2023-07-07T19:03:00"/>
    <m/>
    <d v="2023-07-07T00:00:00"/>
    <n v="654"/>
    <n v="17073"/>
    <s v="55923514"/>
    <s v="55923514"/>
    <m/>
    <m/>
    <n v="22770190"/>
    <m/>
    <m/>
    <m/>
    <s v="SOLFIN"/>
    <s v="SOLFIN"/>
    <s v="CCMS"/>
    <n v="21344067"/>
    <n v="7561.04"/>
    <m/>
    <s v="N"/>
    <n v="3"/>
    <d v="2023-07-07T19:03:22"/>
    <s v="Y"/>
    <s v="Other"/>
    <s v="Private Law Children"/>
    <s v="Non Expert Disbursement"/>
    <s v="HD"/>
    <s v="Y"/>
    <n v="184"/>
    <n v="36.8"/>
    <x v="9"/>
    <s v="VALIDATED"/>
    <n v="1"/>
    <s v="01.11.80.307.6300.0000"/>
    <n v="184"/>
    <s v="11"/>
    <s v="6300"/>
    <n v="2086.04"/>
    <n v="184"/>
    <s v="CREDITOR"/>
    <n v="0"/>
    <n v="0"/>
    <n v="0"/>
    <n v="0"/>
    <n v="184"/>
  </r>
  <r>
    <n v="60241682"/>
    <s v="N"/>
    <n v="21394976"/>
    <s v="3000014529300009"/>
    <s v="CIVIL"/>
    <d v="2023-06-29T00:00:00"/>
    <d v="2023-07-19T19:02:01"/>
    <m/>
    <d v="2023-07-19T00:00:00"/>
    <n v="654"/>
    <n v="17073"/>
    <s v="60241682"/>
    <s v="60241682"/>
    <m/>
    <m/>
    <n v="22789612"/>
    <m/>
    <m/>
    <m/>
    <s v="SOLFIN"/>
    <s v="SOLFIN"/>
    <s v="CCMS"/>
    <n v="21394976"/>
    <n v="4535.34"/>
    <m/>
    <s v="N"/>
    <n v="1"/>
    <d v="2023-07-19T19:02:13"/>
    <s v="Y"/>
    <s v="Process server"/>
    <s v="Finance"/>
    <s v="Expert Disbursement"/>
    <s v="AL"/>
    <s v="Y"/>
    <n v="93.90000000000001"/>
    <n v="18.78"/>
    <x v="5"/>
    <s v="VALIDATED"/>
    <n v="1"/>
    <s v="01.11.80.303.6300.0000"/>
    <n v="93.90000000000001"/>
    <s v="11"/>
    <s v="6300"/>
    <n v="2086.04"/>
    <n v="93.90000000000001"/>
    <s v="CREDITOR"/>
    <n v="0"/>
    <n v="0"/>
    <n v="0"/>
    <n v="0"/>
    <n v="93.90000000000001"/>
  </r>
  <r>
    <n v="56270265"/>
    <s v="N"/>
    <n v="21360709"/>
    <s v="3000013363660010"/>
    <s v="CIVIL"/>
    <d v="2023-06-16T00:00:00"/>
    <d v="2023-07-11T19:00:25"/>
    <m/>
    <d v="2023-07-11T00:00:00"/>
    <n v="654"/>
    <n v="17073"/>
    <s v="56270265"/>
    <s v="56270265"/>
    <m/>
    <m/>
    <n v="22707904"/>
    <m/>
    <m/>
    <m/>
    <s v="SOLFIN"/>
    <s v="SOLFIN"/>
    <s v="CCMS"/>
    <n v="21360709"/>
    <n v="7846.57"/>
    <m/>
    <s v="N"/>
    <n v="158"/>
    <d v="2023-07-11T19:00:31"/>
    <s v="Y"/>
    <s v="Preparation - other"/>
    <s v="Non Family Hourly Rates"/>
    <s v="Profit Cost"/>
    <s v="BC"/>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233"/>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20"/>
    <d v="2023-07-10T19:02:02"/>
    <s v="Y"/>
    <s v="Travel to court"/>
    <s v="Non Family Hourly Rates"/>
    <s v="Profit Cost"/>
    <s v="RW"/>
    <s v="Y"/>
    <n v="18.4"/>
    <n v="3.68"/>
    <x v="2"/>
    <s v="VALIDATED"/>
    <n v="1"/>
    <s v="01.11.80.208.6100.0000"/>
    <n v="18.4"/>
    <s v="11"/>
    <s v="6100"/>
    <n v="2086.04"/>
    <n v="18.4"/>
    <s v="CREDITOR"/>
    <n v="0"/>
    <n v="0"/>
    <n v="0"/>
    <n v="0"/>
    <n v="18.4"/>
  </r>
  <r>
    <n v="56270265"/>
    <s v="N"/>
    <n v="21360709"/>
    <s v="3000013363660010"/>
    <s v="CIVIL"/>
    <d v="2023-06-16T00:00:00"/>
    <d v="2023-07-11T19:00:25"/>
    <m/>
    <d v="2023-07-11T00:00:00"/>
    <n v="654"/>
    <n v="17073"/>
    <s v="56270265"/>
    <s v="56270265"/>
    <m/>
    <m/>
    <n v="22707904"/>
    <m/>
    <m/>
    <m/>
    <s v="SOLFIN"/>
    <s v="SOLFIN"/>
    <s v="CCMS"/>
    <n v="21360709"/>
    <n v="7846.57"/>
    <m/>
    <s v="N"/>
    <n v="28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98"/>
    <d v="2023-07-11T19:00:31"/>
    <s v="Y"/>
    <s v="Routine Letter Out"/>
    <s v="Non Family Hourly Rates"/>
    <s v="Profit Cost"/>
    <s v="NH"/>
    <s v="Y"/>
    <n v="41.58"/>
    <n v="8.32"/>
    <x v="7"/>
    <s v="VALIDATED"/>
    <n v="1"/>
    <s v="01.11.80.208.6100.0000"/>
    <n v="41.58"/>
    <s v="11"/>
    <s v="6100"/>
    <n v="2086.04"/>
    <n v="41.58"/>
    <s v="CREDITOR"/>
    <n v="0"/>
    <n v="0"/>
    <n v="0"/>
    <n v="0"/>
    <n v="41.58"/>
  </r>
  <r>
    <n v="56270265"/>
    <s v="N"/>
    <n v="21360709"/>
    <s v="3000013363660010"/>
    <s v="CIVIL"/>
    <d v="2023-06-16T00:00:00"/>
    <d v="2023-07-11T19:00:25"/>
    <m/>
    <d v="2023-07-11T00:00:00"/>
    <n v="654"/>
    <n v="17073"/>
    <s v="56270265"/>
    <s v="56270265"/>
    <m/>
    <m/>
    <n v="22707904"/>
    <m/>
    <m/>
    <m/>
    <s v="SOLFIN"/>
    <s v="SOLFIN"/>
    <s v="CCMS"/>
    <n v="21360709"/>
    <n v="7846.57"/>
    <m/>
    <s v="N"/>
    <n v="90"/>
    <d v="2023-07-11T19:00:31"/>
    <s v="Y"/>
    <s v="Preparation - other"/>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252"/>
    <d v="2023-07-11T19:00:31"/>
    <s v="Y"/>
    <s v="Preparation - drafting agreement/se"/>
    <s v="Non Family Hourly Rates"/>
    <s v="Profit Cost"/>
    <s v="FN"/>
    <s v="Y"/>
    <n v="5.94"/>
    <n v="1.19"/>
    <x v="7"/>
    <s v="VALIDATED"/>
    <n v="1"/>
    <s v="01.11.80.208.6100.0000"/>
    <n v="5.94"/>
    <s v="11"/>
    <s v="6100"/>
    <n v="2086.04"/>
    <n v="5.94"/>
    <s v="CREDITOR"/>
    <n v="0"/>
    <n v="0"/>
    <n v="0"/>
    <n v="0"/>
    <n v="5.94"/>
  </r>
  <r>
    <n v="60241682"/>
    <s v="N"/>
    <n v="21394976"/>
    <s v="3000014529300009"/>
    <s v="CIVIL"/>
    <d v="2023-06-29T00:00:00"/>
    <d v="2023-07-19T19:02:01"/>
    <m/>
    <d v="2023-07-19T00:00:00"/>
    <n v="654"/>
    <n v="17073"/>
    <s v="60241682"/>
    <s v="60241682"/>
    <m/>
    <m/>
    <n v="22789612"/>
    <m/>
    <m/>
    <m/>
    <s v="SOLFIN"/>
    <s v="SOLFIN"/>
    <s v="CCMS"/>
    <n v="21394976"/>
    <n v="4535.34"/>
    <m/>
    <s v="N"/>
    <n v="2"/>
    <d v="2023-07-19T19:02:13"/>
    <s v="Y"/>
    <s v="Court Fee"/>
    <s v="Finance"/>
    <s v="Non Expert Disbursement"/>
    <s v="AL"/>
    <s v="Y"/>
    <n v="275"/>
    <n v="0"/>
    <x v="5"/>
    <s v="VALIDATED"/>
    <n v="1"/>
    <s v="01.11.80.303.6300.0000"/>
    <n v="275"/>
    <s v="11"/>
    <s v="6300"/>
    <n v="2086.04"/>
    <n v="275"/>
    <s v="CREDITOR"/>
    <n v="0"/>
    <n v="0"/>
    <n v="0"/>
    <n v="0"/>
    <n v="275"/>
  </r>
  <r>
    <n v="56270265"/>
    <s v="N"/>
    <n v="21360709"/>
    <s v="3000013363660010"/>
    <s v="CIVIL"/>
    <d v="2023-06-16T00:00:00"/>
    <d v="2023-07-11T19:00:25"/>
    <m/>
    <d v="2023-07-11T00:00:00"/>
    <n v="654"/>
    <n v="17073"/>
    <s v="56270265"/>
    <s v="56270265"/>
    <m/>
    <m/>
    <n v="22707904"/>
    <m/>
    <m/>
    <m/>
    <s v="SOLFIN"/>
    <s v="SOLFIN"/>
    <s v="CCMS"/>
    <n v="21360709"/>
    <n v="7846.57"/>
    <m/>
    <s v="N"/>
    <n v="18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53"/>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68"/>
    <d v="2023-07-11T19:00:31"/>
    <s v="Y"/>
    <s v="Attendance upon client"/>
    <s v="Non Family Hourly Rates"/>
    <s v="Profit Cost"/>
    <s v="FN"/>
    <s v="Y"/>
    <n v="89.09999999999999"/>
    <n v="17.83"/>
    <x v="7"/>
    <s v="VALIDATED"/>
    <n v="1"/>
    <s v="01.11.80.208.6100.0000"/>
    <n v="89.09999999999999"/>
    <s v="11"/>
    <s v="6100"/>
    <n v="2086.04"/>
    <n v="89.09999999999999"/>
    <s v="CREDITOR"/>
    <n v="0"/>
    <n v="0"/>
    <n v="0"/>
    <n v="0"/>
    <n v="89.09999999999999"/>
  </r>
  <r>
    <n v="56270265"/>
    <s v="N"/>
    <n v="21360709"/>
    <s v="3000013363660010"/>
    <s v="CIVIL"/>
    <d v="2023-06-16T00:00:00"/>
    <d v="2023-07-11T19:00:25"/>
    <m/>
    <d v="2023-07-11T00:00:00"/>
    <n v="654"/>
    <n v="17073"/>
    <s v="56270265"/>
    <s v="56270265"/>
    <m/>
    <m/>
    <n v="22707904"/>
    <m/>
    <m/>
    <m/>
    <s v="SOLFIN"/>
    <s v="SOLFIN"/>
    <s v="CCMS"/>
    <n v="21360709"/>
    <n v="7846.57"/>
    <m/>
    <s v="N"/>
    <n v="24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21"/>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55"/>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79"/>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79"/>
    <d v="2023-07-11T19:00:31"/>
    <s v="Y"/>
    <s v="Preparation - drafting attendance n"/>
    <s v="Non Family Hourly Rates"/>
    <s v="Profit Cost"/>
    <s v="FN"/>
    <s v="Y"/>
    <n v="23.76"/>
    <n v="4.75"/>
    <x v="7"/>
    <s v="VALIDATED"/>
    <n v="1"/>
    <s v="01.11.80.208.6100.0000"/>
    <n v="23.76"/>
    <s v="11"/>
    <s v="6100"/>
    <n v="2086.04"/>
    <n v="23.76"/>
    <s v="CREDITOR"/>
    <n v="0"/>
    <n v="0"/>
    <n v="0"/>
    <n v="0"/>
    <n v="23.76"/>
  </r>
  <r>
    <n v="61309497"/>
    <s v="N"/>
    <n v="21349894"/>
    <s v="3000015465150003"/>
    <s v="CIVIL"/>
    <d v="2023-06-29T00:00:00"/>
    <d v="2023-07-10T19:01:40"/>
    <m/>
    <d v="2023-07-10T00:00:00"/>
    <n v="654"/>
    <n v="17073"/>
    <s v="61309497"/>
    <s v="61309497"/>
    <m/>
    <m/>
    <n v="22789506"/>
    <m/>
    <m/>
    <m/>
    <s v="SOLFIN"/>
    <s v="SOLFIN"/>
    <s v="CCMS"/>
    <n v="21349894"/>
    <n v="2700.06"/>
    <m/>
    <s v="N"/>
    <n v="23"/>
    <d v="2023-07-10T19:02:02"/>
    <s v="Y"/>
    <s v="Report - other expert's report"/>
    <s v="Non Family Hourly Rates"/>
    <s v="Profit Cost"/>
    <s v="AB"/>
    <s v="Y"/>
    <n v="5.94"/>
    <n v="1.19"/>
    <x v="2"/>
    <s v="VALIDATED"/>
    <n v="1"/>
    <s v="01.11.80.208.6100.0000"/>
    <n v="5.94"/>
    <s v="11"/>
    <s v="6100"/>
    <n v="2086.04"/>
    <n v="5.94"/>
    <s v="CREDITOR"/>
    <n v="0"/>
    <n v="0"/>
    <n v="0"/>
    <n v="0"/>
    <n v="5.94"/>
  </r>
  <r>
    <n v="61309497"/>
    <s v="N"/>
    <n v="21349894"/>
    <s v="3000015465150003"/>
    <s v="CIVIL"/>
    <d v="2023-06-29T00:00:00"/>
    <d v="2023-07-10T19:01:40"/>
    <m/>
    <d v="2023-07-10T00:00:00"/>
    <n v="654"/>
    <n v="17073"/>
    <s v="61309497"/>
    <s v="61309497"/>
    <m/>
    <m/>
    <n v="22789506"/>
    <m/>
    <m/>
    <m/>
    <s v="SOLFIN"/>
    <s v="SOLFIN"/>
    <s v="CCMS"/>
    <n v="21349894"/>
    <n v="2700.06"/>
    <m/>
    <s v="N"/>
    <n v="39"/>
    <d v="2023-07-10T19:02:02"/>
    <s v="Y"/>
    <s v="Preparation - other"/>
    <s v="Non Family Hourly Rates"/>
    <s v="Profit Cost"/>
    <s v="RW"/>
    <s v="Y"/>
    <n v="59.4"/>
    <n v="11.88"/>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2"/>
    <d v="2023-07-11T19:00:31"/>
    <s v="Y"/>
    <s v="Preparation - drafting pleading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94"/>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34"/>
    <d v="2023-07-11T19:00:31"/>
    <s v="Y"/>
    <s v="Preparation - drafting instructions"/>
    <s v="Non Family Hourly Rates"/>
    <s v="Profit Cost"/>
    <s v="FN"/>
    <s v="Y"/>
    <n v="47.52"/>
    <n v="9.51"/>
    <x v="7"/>
    <s v="VALIDATED"/>
    <n v="1"/>
    <s v="01.11.80.208.6100.0000"/>
    <n v="47.52"/>
    <s v="11"/>
    <s v="6100"/>
    <n v="2086.04"/>
    <n v="47.52"/>
    <s v="CREDITOR"/>
    <n v="0"/>
    <n v="0"/>
    <n v="0"/>
    <n v="0"/>
    <n v="47.52"/>
  </r>
  <r>
    <n v="56270265"/>
    <s v="N"/>
    <n v="21360709"/>
    <s v="3000013363660010"/>
    <s v="CIVIL"/>
    <d v="2023-06-16T00:00:00"/>
    <d v="2023-07-11T19:00:25"/>
    <m/>
    <d v="2023-07-11T00:00:00"/>
    <n v="654"/>
    <n v="17073"/>
    <s v="56270265"/>
    <s v="56270265"/>
    <m/>
    <m/>
    <n v="22707904"/>
    <m/>
    <m/>
    <m/>
    <s v="SOLFIN"/>
    <s v="SOLFIN"/>
    <s v="CCMS"/>
    <n v="21360709"/>
    <n v="7846.57"/>
    <m/>
    <s v="N"/>
    <n v="25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13"/>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30"/>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42"/>
    <d v="2023-07-11T19:00:31"/>
    <s v="Y"/>
    <s v="Preparation - drafting statement"/>
    <s v="Non Family Hourly Rates"/>
    <s v="Profit Cost"/>
    <s v="FN"/>
    <s v="Y"/>
    <n v="5.94"/>
    <n v="1.19"/>
    <x v="7"/>
    <s v="VALIDATED"/>
    <n v="1"/>
    <s v="01.11.80.208.6100.0000"/>
    <n v="5.94"/>
    <s v="11"/>
    <s v="6100"/>
    <n v="2086.04"/>
    <n v="5.94"/>
    <s v="CREDITOR"/>
    <n v="0"/>
    <n v="0"/>
    <n v="0"/>
    <n v="0"/>
    <n v="5.94"/>
  </r>
  <r>
    <n v="60413913"/>
    <s v="N"/>
    <n v="21349649"/>
    <s v="3000014701230007"/>
    <s v="CIVIL"/>
    <d v="2023-06-29T00:00:00"/>
    <d v="2023-07-10T19:01:40"/>
    <m/>
    <d v="2023-07-10T00:00:00"/>
    <n v="654"/>
    <n v="17073"/>
    <s v="60413913"/>
    <s v="60413913"/>
    <m/>
    <m/>
    <n v="22791196"/>
    <m/>
    <m/>
    <m/>
    <s v="SOLFIN"/>
    <s v="SOLFIN"/>
    <s v="CCMS"/>
    <n v="21349649"/>
    <n v="9425.639999999999"/>
    <m/>
    <s v="N"/>
    <n v="2"/>
    <d v="2023-07-10T19:01:55"/>
    <s v="Y"/>
    <s v="Exceptional Travel"/>
    <s v="Public Law Children"/>
    <s v="Advocacy"/>
    <s v="CP"/>
    <s v="Y"/>
    <n v="32.04"/>
    <n v="6.41"/>
    <x v="2"/>
    <s v="VALIDATED"/>
    <n v="1"/>
    <s v="01.11.80.308.6100.0000"/>
    <n v="32.04"/>
    <s v="11"/>
    <s v="6100"/>
    <n v="2086.04"/>
    <n v="32.04"/>
    <s v="CREDITOR"/>
    <n v="0"/>
    <n v="0"/>
    <n v="0"/>
    <n v="0"/>
    <n v="32.04"/>
  </r>
  <r>
    <n v="61828284"/>
    <s v="N"/>
    <n v="21322789"/>
    <s v="3000015897020019"/>
    <s v="CIVIL"/>
    <d v="2023-06-29T00:00:00"/>
    <d v="2023-07-03T19:05:36"/>
    <m/>
    <d v="2023-07-03T00:00:00"/>
    <n v="654"/>
    <n v="17073"/>
    <s v="61828284"/>
    <s v="61828284"/>
    <m/>
    <m/>
    <n v="22790650"/>
    <m/>
    <m/>
    <m/>
    <s v="SOLPOA"/>
    <s v="SOLPOA"/>
    <s v="CCMS"/>
    <n v="21322789"/>
    <n v="259.2"/>
    <m/>
    <s v="N"/>
    <n v="1"/>
    <d v="2023-07-03T19:05:40"/>
    <s v="N"/>
    <s v="Expert Cost"/>
    <s v="Expert Cost"/>
    <s v="Expert Disbursement"/>
    <s v="Hannah Quick"/>
    <s v="N"/>
    <n v="216"/>
    <n v="43.2"/>
    <x v="3"/>
    <s v="VALIDATED"/>
    <n v="1"/>
    <s v="01.11.80.308.2012.0000"/>
    <n v="216"/>
    <s v="11"/>
    <s v="2012"/>
    <n v="2086.04"/>
    <n v="216"/>
    <s v="CREDITOR"/>
    <n v="216"/>
    <n v="0"/>
    <n v="0"/>
    <n v="0"/>
    <n v="0"/>
  </r>
  <r>
    <n v="61309497"/>
    <s v="N"/>
    <n v="21349894"/>
    <s v="3000015465150003"/>
    <s v="CIVIL"/>
    <d v="2023-06-29T00:00:00"/>
    <d v="2023-07-10T19:01:40"/>
    <m/>
    <d v="2023-07-10T00:00:00"/>
    <n v="654"/>
    <n v="17073"/>
    <s v="61309497"/>
    <s v="61309497"/>
    <m/>
    <m/>
    <n v="22789506"/>
    <m/>
    <m/>
    <m/>
    <s v="SOLFIN"/>
    <s v="SOLFIN"/>
    <s v="CCMS"/>
    <n v="21349894"/>
    <n v="2700.06"/>
    <m/>
    <s v="N"/>
    <n v="49"/>
    <d v="2023-07-10T19:02:02"/>
    <s v="Y"/>
    <s v="Preparation - drafting consent orde"/>
    <s v="Non Family Hourly Rates"/>
    <s v="Profit Cost"/>
    <s v="RW"/>
    <s v="Y"/>
    <n v="5.94"/>
    <n v="1.19"/>
    <x v="2"/>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40"/>
    <d v="2023-07-11T19:00:31"/>
    <s v="Y"/>
    <s v="Preparation - other"/>
    <s v="Non Family Hourly Rates"/>
    <s v="Profit Cost"/>
    <s v="FN"/>
    <s v="Y"/>
    <n v="11.88"/>
    <n v="2.38"/>
    <x v="7"/>
    <s v="VALIDATED"/>
    <n v="1"/>
    <s v="01.11.80.208.6100.0000"/>
    <n v="11.88"/>
    <s v="11"/>
    <s v="6100"/>
    <n v="2086.04"/>
    <n v="11.88"/>
    <s v="CREDITOR"/>
    <n v="0"/>
    <n v="0"/>
    <n v="0"/>
    <n v="0"/>
    <n v="11.88"/>
  </r>
  <r>
    <n v="60241682"/>
    <s v="N"/>
    <n v="21394976"/>
    <s v="3000014529300009"/>
    <s v="CIVIL"/>
    <d v="2023-06-29T00:00:00"/>
    <d v="2023-07-19T19:02:01"/>
    <m/>
    <d v="2023-07-19T00:00:00"/>
    <n v="654"/>
    <n v="17073"/>
    <s v="60241682"/>
    <s v="60241682"/>
    <m/>
    <m/>
    <n v="22789612"/>
    <m/>
    <m/>
    <m/>
    <s v="SOLFIN"/>
    <s v="SOLFIN"/>
    <s v="CCMS"/>
    <n v="21394976"/>
    <n v="4535.34"/>
    <m/>
    <s v="N"/>
    <n v="3"/>
    <d v="2023-07-19T19:02:13"/>
    <s v="Y"/>
    <s v="Court Fee"/>
    <s v="Finance"/>
    <s v="Non Expert Disbursement"/>
    <s v="AL"/>
    <s v="Y"/>
    <n v="167"/>
    <n v="0"/>
    <x v="5"/>
    <s v="VALIDATED"/>
    <n v="1"/>
    <s v="01.11.80.303.6300.0000"/>
    <n v="167"/>
    <s v="11"/>
    <s v="6300"/>
    <n v="2086.04"/>
    <n v="167"/>
    <s v="CREDITOR"/>
    <n v="0"/>
    <n v="0"/>
    <n v="0"/>
    <n v="0"/>
    <n v="167"/>
  </r>
  <r>
    <n v="60413913"/>
    <s v="N"/>
    <n v="21349649"/>
    <s v="3000014701230007"/>
    <s v="CIVIL"/>
    <d v="2023-06-29T00:00:00"/>
    <d v="2023-07-10T19:01:40"/>
    <m/>
    <d v="2023-07-10T00:00:00"/>
    <n v="654"/>
    <n v="17073"/>
    <s v="60413913"/>
    <s v="60413913"/>
    <m/>
    <m/>
    <n v="22791196"/>
    <m/>
    <m/>
    <m/>
    <s v="SOLFIN"/>
    <s v="SOLFIN"/>
    <s v="CCMS"/>
    <n v="21349649"/>
    <n v="9425.639999999999"/>
    <m/>
    <s v="N"/>
    <n v="7"/>
    <d v="2023-07-10T19:01:55"/>
    <s v="Y"/>
    <s v="Profit Costs (Summary)"/>
    <s v="Public Law Children"/>
    <s v="Profit Cost"/>
    <s v="CP"/>
    <s v="Y"/>
    <n v="4649.29"/>
    <n v="929.86"/>
    <x v="2"/>
    <s v="VALIDATED"/>
    <n v="1"/>
    <s v="01.11.80.308.6100.0000"/>
    <n v="4649.29"/>
    <s v="11"/>
    <s v="6100"/>
    <n v="2086.04"/>
    <n v="4649.29"/>
    <s v="CREDITOR"/>
    <n v="0"/>
    <n v="0"/>
    <n v="0"/>
    <n v="0"/>
    <n v="4649.29"/>
  </r>
  <r>
    <n v="61309497"/>
    <s v="N"/>
    <n v="21349894"/>
    <s v="3000015465150003"/>
    <s v="CIVIL"/>
    <d v="2023-06-29T00:00:00"/>
    <d v="2023-07-10T19:01:40"/>
    <m/>
    <d v="2023-07-10T00:00:00"/>
    <n v="654"/>
    <n v="17073"/>
    <s v="61309497"/>
    <s v="61309497"/>
    <m/>
    <m/>
    <n v="22789506"/>
    <m/>
    <m/>
    <m/>
    <s v="SOLFIN"/>
    <s v="SOLFIN"/>
    <s v="CCMS"/>
    <n v="21349894"/>
    <n v="2700.06"/>
    <m/>
    <s v="N"/>
    <n v="11"/>
    <d v="2023-07-10T19:02:02"/>
    <s v="Y"/>
    <s v="Attendance upon client"/>
    <s v="Non Family Hourly Rates"/>
    <s v="Profit Cost"/>
    <s v="RW"/>
    <s v="Y"/>
    <n v="11.88"/>
    <n v="2.38"/>
    <x v="2"/>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36"/>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48"/>
    <d v="2023-07-11T19:00:31"/>
    <s v="Y"/>
    <s v="Preparation - drafting pleadings"/>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16"/>
    <d v="2023-07-11T19:00:31"/>
    <s v="Y"/>
    <s v="Preparation - drafting instructions"/>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85"/>
    <d v="2023-07-11T19:00:31"/>
    <s v="Y"/>
    <s v="Preparation - drafting statement"/>
    <s v="Non Family Hourly Rates"/>
    <s v="Profit Cost"/>
    <s v="FN"/>
    <s v="Y"/>
    <n v="23.76"/>
    <n v="4.75"/>
    <x v="7"/>
    <s v="VALIDATED"/>
    <n v="1"/>
    <s v="01.11.80.208.6100.0000"/>
    <n v="23.76"/>
    <s v="11"/>
    <s v="6100"/>
    <n v="2086.04"/>
    <n v="23.76"/>
    <s v="CREDITOR"/>
    <n v="0"/>
    <n v="0"/>
    <n v="0"/>
    <n v="0"/>
    <n v="23.76"/>
  </r>
  <r>
    <n v="56270265"/>
    <s v="N"/>
    <n v="21360709"/>
    <s v="3000013363660010"/>
    <s v="CIVIL"/>
    <d v="2023-06-16T00:00:00"/>
    <d v="2023-07-11T19:00:25"/>
    <m/>
    <d v="2023-07-11T00:00:00"/>
    <n v="654"/>
    <n v="17073"/>
    <s v="56270265"/>
    <s v="56270265"/>
    <m/>
    <m/>
    <n v="22707904"/>
    <m/>
    <m/>
    <m/>
    <s v="SOLFIN"/>
    <s v="SOLFIN"/>
    <s v="CCMS"/>
    <n v="21360709"/>
    <n v="7846.57"/>
    <m/>
    <s v="N"/>
    <n v="8"/>
    <d v="2023-07-11T19:00:31"/>
    <s v="Y"/>
    <s v="Preparation - other"/>
    <s v="Non Family Hourly Rates"/>
    <s v="Profit Cost"/>
    <s v="FN"/>
    <s v="Y"/>
    <n v="11.88"/>
    <n v="2.38"/>
    <x v="7"/>
    <s v="VALIDATED"/>
    <n v="1"/>
    <s v="01.11.80.208.6100.0000"/>
    <n v="11.88"/>
    <s v="11"/>
    <s v="6100"/>
    <n v="2086.04"/>
    <n v="11.88"/>
    <s v="CREDITOR"/>
    <n v="0"/>
    <n v="0"/>
    <n v="0"/>
    <n v="0"/>
    <n v="11.88"/>
  </r>
  <r>
    <n v="61309497"/>
    <s v="N"/>
    <n v="21349894"/>
    <s v="3000015465150003"/>
    <s v="CIVIL"/>
    <d v="2023-06-29T00:00:00"/>
    <d v="2023-07-10T19:01:40"/>
    <m/>
    <d v="2023-07-10T00:00:00"/>
    <n v="654"/>
    <n v="17073"/>
    <s v="61309497"/>
    <s v="61309497"/>
    <m/>
    <m/>
    <n v="22789506"/>
    <m/>
    <m/>
    <m/>
    <s v="SOLFIN"/>
    <s v="SOLFIN"/>
    <s v="CCMS"/>
    <n v="21349894"/>
    <n v="2700.06"/>
    <m/>
    <s v="N"/>
    <n v="5"/>
    <d v="2023-07-10T19:02:02"/>
    <s v="Y"/>
    <s v="Attendance upon client"/>
    <s v="Non Family Hourly Rates"/>
    <s v="Profit Cost"/>
    <s v="RW"/>
    <s v="Y"/>
    <n v="17.82"/>
    <n v="3.56"/>
    <x v="2"/>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161"/>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50"/>
    <d v="2023-07-11T19:00:31"/>
    <s v="Y"/>
    <s v="Preparation - other"/>
    <s v="Non Family Hourly Rates"/>
    <s v="Profit Cost"/>
    <s v="FN"/>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88"/>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61"/>
    <d v="2023-07-11T19:00:31"/>
    <s v="Y"/>
    <s v="Attendance upon client"/>
    <s v="Non Family Hourly Rates"/>
    <s v="Profit Cost"/>
    <s v="NH"/>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224"/>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40"/>
    <d v="2023-07-11T19:00:31"/>
    <s v="Y"/>
    <s v="Preparation - drafting statement"/>
    <s v="Non Family Hourly Rates"/>
    <s v="Profit Cost"/>
    <s v="FN"/>
    <s v="Y"/>
    <n v="29.7"/>
    <n v="5.94"/>
    <x v="7"/>
    <s v="VALIDATED"/>
    <n v="1"/>
    <s v="01.11.80.208.6100.0000"/>
    <n v="29.7"/>
    <s v="11"/>
    <s v="6100"/>
    <n v="2086.04"/>
    <n v="29.7"/>
    <s v="CREDITOR"/>
    <n v="0"/>
    <n v="0"/>
    <n v="0"/>
    <n v="0"/>
    <n v="29.7"/>
  </r>
  <r>
    <n v="56270265"/>
    <s v="N"/>
    <n v="21360709"/>
    <s v="3000013363660010"/>
    <s v="CIVIL"/>
    <d v="2023-06-16T00:00:00"/>
    <d v="2023-07-11T19:00:25"/>
    <m/>
    <d v="2023-07-11T00:00:00"/>
    <n v="654"/>
    <n v="17073"/>
    <s v="56270265"/>
    <s v="56270265"/>
    <m/>
    <m/>
    <n v="22707904"/>
    <m/>
    <m/>
    <m/>
    <s v="SOLFIN"/>
    <s v="SOLFIN"/>
    <s v="CCMS"/>
    <n v="21360709"/>
    <n v="7846.57"/>
    <m/>
    <s v="N"/>
    <n v="256"/>
    <d v="2023-07-11T19:00:31"/>
    <s v="Y"/>
    <s v="Preparation - drafting attendance n"/>
    <s v="Non Family Hourly Rates"/>
    <s v="Profit Cost"/>
    <s v="BC"/>
    <s v="Y"/>
    <n v="11.88"/>
    <n v="2.38"/>
    <x v="7"/>
    <s v="VALIDATED"/>
    <n v="1"/>
    <s v="01.11.80.208.6100.0000"/>
    <n v="11.88"/>
    <s v="11"/>
    <s v="6100"/>
    <n v="2086.04"/>
    <n v="11.88"/>
    <s v="CREDITOR"/>
    <n v="0"/>
    <n v="0"/>
    <n v="0"/>
    <n v="0"/>
    <n v="11.88"/>
  </r>
  <r>
    <n v="56270265"/>
    <s v="N"/>
    <n v="21360709"/>
    <s v="3000013363660010"/>
    <s v="CIVIL"/>
    <d v="2023-06-16T00:00:00"/>
    <d v="2023-07-11T19:00:25"/>
    <m/>
    <d v="2023-07-11T00:00:00"/>
    <n v="654"/>
    <n v="17073"/>
    <s v="56270265"/>
    <s v="56270265"/>
    <m/>
    <m/>
    <n v="22707904"/>
    <m/>
    <m/>
    <m/>
    <s v="SOLFIN"/>
    <s v="SOLFIN"/>
    <s v="CCMS"/>
    <n v="21360709"/>
    <n v="7846.57"/>
    <m/>
    <s v="N"/>
    <n v="11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139"/>
    <d v="2023-07-11T19:00:31"/>
    <s v="Y"/>
    <s v="Preparation - other"/>
    <s v="Non Family Hourly Rates"/>
    <s v="Profit Cost"/>
    <s v="FN"/>
    <s v="Y"/>
    <n v="17.82"/>
    <n v="3.57"/>
    <x v="7"/>
    <s v="VALIDATED"/>
    <n v="1"/>
    <s v="01.11.80.208.6100.0000"/>
    <n v="17.82"/>
    <s v="11"/>
    <s v="6100"/>
    <n v="2086.04"/>
    <n v="17.82"/>
    <s v="CREDITOR"/>
    <n v="0"/>
    <n v="0"/>
    <n v="0"/>
    <n v="0"/>
    <n v="17.82"/>
  </r>
  <r>
    <n v="56270265"/>
    <s v="N"/>
    <n v="21360709"/>
    <s v="3000013363660010"/>
    <s v="CIVIL"/>
    <d v="2023-06-16T00:00:00"/>
    <d v="2023-07-11T19:00:25"/>
    <m/>
    <d v="2023-07-11T00:00:00"/>
    <n v="654"/>
    <n v="17073"/>
    <s v="56270265"/>
    <s v="56270265"/>
    <m/>
    <m/>
    <n v="22707904"/>
    <m/>
    <m/>
    <m/>
    <s v="SOLFIN"/>
    <s v="SOLFIN"/>
    <s v="CCMS"/>
    <n v="21360709"/>
    <n v="7846.57"/>
    <m/>
    <s v="N"/>
    <n v="27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301"/>
    <d v="2023-07-11T19:00:31"/>
    <s v="N"/>
    <m/>
    <m/>
    <s v="Overall Adjustment"/>
    <m/>
    <s v="N"/>
    <n v="-137.78"/>
    <n v="-27.57"/>
    <x v="7"/>
    <s v="VALIDATED"/>
    <n v="1"/>
    <s v="01.11.80.208.6100.0000"/>
    <n v="-137.78"/>
    <s v="11"/>
    <s v="6100"/>
    <n v="2086.04"/>
    <n v="-137.78"/>
    <s v="CREDITOR"/>
    <n v="0"/>
    <n v="0"/>
    <n v="0"/>
    <n v="0"/>
    <n v="-137.78"/>
  </r>
  <r>
    <n v="56270265"/>
    <s v="N"/>
    <n v="21360709"/>
    <s v="3000013363660010"/>
    <s v="CIVIL"/>
    <d v="2023-06-16T00:00:00"/>
    <d v="2023-07-11T19:00:25"/>
    <m/>
    <d v="2023-07-11T00:00:00"/>
    <n v="654"/>
    <n v="17073"/>
    <s v="56270265"/>
    <s v="56270265"/>
    <m/>
    <m/>
    <n v="22707904"/>
    <m/>
    <m/>
    <m/>
    <s v="SOLFIN"/>
    <s v="SOLFIN"/>
    <s v="CCMS"/>
    <n v="21360709"/>
    <n v="7846.57"/>
    <m/>
    <s v="N"/>
    <n v="104"/>
    <d v="2023-07-11T19:00:31"/>
    <s v="Y"/>
    <s v="Preparation - other"/>
    <s v="Non Family Hourly Rates"/>
    <s v="Profit Cost"/>
    <s v="FN"/>
    <s v="Y"/>
    <n v="5.94"/>
    <n v="1.19"/>
    <x v="7"/>
    <s v="VALIDATED"/>
    <n v="1"/>
    <s v="01.11.80.208.6100.0000"/>
    <n v="5.94"/>
    <s v="11"/>
    <s v="6100"/>
    <n v="2086.04"/>
    <n v="5.94"/>
    <s v="CREDITOR"/>
    <n v="0"/>
    <n v="0"/>
    <n v="0"/>
    <n v="0"/>
    <n v="5.94"/>
  </r>
  <r>
    <n v="56270265"/>
    <s v="N"/>
    <n v="21360709"/>
    <s v="3000013363660010"/>
    <s v="CIVIL"/>
    <d v="2023-06-16T00:00:00"/>
    <d v="2023-07-11T19:00:25"/>
    <m/>
    <d v="2023-07-11T00:00:00"/>
    <n v="654"/>
    <n v="17073"/>
    <s v="56270265"/>
    <s v="56270265"/>
    <m/>
    <m/>
    <n v="22707904"/>
    <m/>
    <m/>
    <m/>
    <s v="SOLFIN"/>
    <s v="SOLFIN"/>
    <s v="CCMS"/>
    <n v="21360709"/>
    <n v="7846.57"/>
    <m/>
    <s v="N"/>
    <n v="269"/>
    <d v="2023-07-11T19:00:31"/>
    <s v="Y"/>
    <s v="Preparation - other"/>
    <s v="Non Family Hourly Rates"/>
    <s v="Profit Cost"/>
    <s v="FN"/>
    <s v="Y"/>
    <n v="5.94"/>
    <n v="1.19"/>
    <x v="7"/>
    <s v="VALIDATED"/>
    <n v="1"/>
    <s v="01.11.80.208.6100.0000"/>
    <n v="5.94"/>
    <s v="11"/>
    <s v="6100"/>
    <n v="2086.04"/>
    <n v="5.94"/>
    <s v="CREDITOR"/>
    <n v="0"/>
    <n v="0"/>
    <n v="0"/>
    <n v="0"/>
    <n v="5.94"/>
  </r>
  <r>
    <n v="5959580"/>
    <s v="N"/>
    <n v="21327688"/>
    <s v="3000002563820001"/>
    <s v="CIVIL"/>
    <d v="2023-06-24T00:00:00"/>
    <d v="2023-07-04T19:00:44"/>
    <m/>
    <d v="2023-07-04T00:00:00"/>
    <n v="663"/>
    <n v="17119"/>
    <s v="5959580"/>
    <s v="5959580"/>
    <m/>
    <m/>
    <n v="22756606"/>
    <m/>
    <m/>
    <m/>
    <s v="SOLFIN"/>
    <s v="SOLFIN"/>
    <s v="CCMS"/>
    <n v="21327688"/>
    <n v="0"/>
    <m/>
    <s v="N"/>
    <n v="1"/>
    <d v="2023-07-04T19:00:52"/>
    <s v="N"/>
    <s v="NIL BILL"/>
    <s v="Public Law Children"/>
    <s v="Profit Cost"/>
    <s v="Lauren Oram"/>
    <s v="N"/>
    <n v="0"/>
    <n v="0"/>
    <x v="1"/>
    <s v="VALIDATED"/>
    <n v="1"/>
    <s v="01.11.80.305.6100.0000"/>
    <n v="0"/>
    <s v="11"/>
    <s v="6100"/>
    <n v="0"/>
    <n v="0"/>
    <s v="ZERO"/>
    <n v="0"/>
    <n v="0"/>
    <n v="0"/>
    <n v="0"/>
    <n v="0"/>
  </r>
  <r>
    <n v="8942037"/>
    <s v="N"/>
    <n v="21318610"/>
    <s v="3000004956280001"/>
    <s v="CIVIL"/>
    <d v="2023-06-24T00:00:00"/>
    <d v="2023-07-03T19:01:49"/>
    <m/>
    <d v="2023-07-03T00:00:00"/>
    <n v="663"/>
    <n v="17119"/>
    <s v="8942037"/>
    <s v="8942037"/>
    <m/>
    <m/>
    <n v="22756614"/>
    <m/>
    <m/>
    <m/>
    <s v="SOLFIN"/>
    <s v="SOLFIN"/>
    <s v="CCMS"/>
    <n v="21318610"/>
    <n v="0"/>
    <m/>
    <s v="N"/>
    <n v="1"/>
    <d v="2023-07-03T19:02:00"/>
    <s v="N"/>
    <s v="NIL BILL"/>
    <s v="Care Remuneration Hourly Rates"/>
    <s v="Profit Cost"/>
    <s v="Lauran Oram"/>
    <s v="N"/>
    <n v="0"/>
    <n v="0"/>
    <x v="3"/>
    <s v="VALIDATED"/>
    <n v="1"/>
    <s v="01.11.80.305.6100.0000"/>
    <n v="0"/>
    <s v="11"/>
    <s v="6100"/>
    <n v="0"/>
    <n v="0"/>
    <s v="ZERO"/>
    <n v="0"/>
    <n v="0"/>
    <n v="0"/>
    <n v="0"/>
    <n v="0"/>
  </r>
  <r>
    <n v="5959804"/>
    <s v="N"/>
    <n v="21327600"/>
    <s v="3000002566530001"/>
    <s v="CIVIL"/>
    <d v="2023-06-24T00:00:00"/>
    <d v="2023-07-04T19:00:44"/>
    <m/>
    <d v="2023-07-04T00:00:00"/>
    <n v="663"/>
    <n v="17119"/>
    <s v="5959804"/>
    <s v="5959804"/>
    <m/>
    <m/>
    <n v="22756610"/>
    <m/>
    <m/>
    <m/>
    <s v="SOLFIN"/>
    <s v="SOLFIN"/>
    <s v="CCMS"/>
    <n v="21327600"/>
    <n v="0"/>
    <m/>
    <s v="N"/>
    <n v="1"/>
    <d v="2023-07-04T19:00:51"/>
    <s v="N"/>
    <s v="NIL BILL"/>
    <s v="Public Law Children"/>
    <s v="Profit Cost"/>
    <s v="Lauren Oram"/>
    <s v="N"/>
    <n v="0"/>
    <n v="0"/>
    <x v="1"/>
    <s v="VALIDATED"/>
    <n v="1"/>
    <s v="01.11.80.305.6100.0000"/>
    <n v="0"/>
    <s v="11"/>
    <s v="6100"/>
    <n v="0"/>
    <n v="0"/>
    <s v="ZERO"/>
    <n v="0"/>
    <n v="0"/>
    <n v="0"/>
    <n v="0"/>
    <n v="0"/>
  </r>
  <r>
    <n v="62035617"/>
    <s v="N"/>
    <n v="21324040"/>
    <s v="3000016073210003"/>
    <s v="CIVIL"/>
    <d v="2023-06-30T00:00:00"/>
    <d v="2023-07-03T19:05:56"/>
    <m/>
    <d v="2023-07-03T00:00:00"/>
    <n v="668"/>
    <n v="17152"/>
    <s v="62035617"/>
    <s v="62035617"/>
    <m/>
    <m/>
    <n v="22796936"/>
    <m/>
    <m/>
    <m/>
    <s v="SOLPOA"/>
    <s v="SOLPOA"/>
    <s v="CCMS"/>
    <n v="21324040"/>
    <n v="124.2"/>
    <m/>
    <s v="N"/>
    <n v="1"/>
    <d v="2023-07-03T19:06:00"/>
    <s v="N"/>
    <s v="Expert Cost"/>
    <s v="Expert Cost"/>
    <s v="Expert Disbursement"/>
    <s v="RJG/TOOKEY"/>
    <s v="N"/>
    <n v="103.5"/>
    <n v="20.7"/>
    <x v="3"/>
    <s v="VALIDATED"/>
    <n v="1"/>
    <s v="01.11.80.308.2012.0000"/>
    <n v="103.5"/>
    <s v="11"/>
    <s v="2012"/>
    <n v="3094.19"/>
    <n v="103.5"/>
    <s v="CREDITOR"/>
    <n v="103.5"/>
    <n v="0"/>
    <n v="0"/>
    <n v="0"/>
    <n v="0"/>
  </r>
  <r>
    <n v="61780542"/>
    <s v="N"/>
    <n v="21323767"/>
    <s v="3000015856690007"/>
    <s v="CIVIL"/>
    <d v="2023-06-30T00:00:00"/>
    <d v="2023-07-03T19:05:56"/>
    <m/>
    <d v="2023-07-03T00:00:00"/>
    <n v="668"/>
    <n v="17152"/>
    <s v="61780542"/>
    <s v="61780542"/>
    <m/>
    <m/>
    <n v="22796726"/>
    <m/>
    <m/>
    <m/>
    <s v="SOLPOA"/>
    <s v="SOLPOA"/>
    <s v="CCMS"/>
    <n v="21323767"/>
    <n v="216.96"/>
    <m/>
    <s v="N"/>
    <n v="1"/>
    <d v="2023-07-03T19:05:58"/>
    <s v="N"/>
    <s v="Expert Cost"/>
    <s v="Expert Cost"/>
    <s v="Expert Disbursement"/>
    <s v="RJG/RICHARDSON"/>
    <s v="N"/>
    <n v="180.8"/>
    <n v="36.16"/>
    <x v="3"/>
    <s v="VALIDATED"/>
    <n v="1"/>
    <s v="01.11.80.308.2012.0000"/>
    <n v="180.8"/>
    <s v="11"/>
    <s v="2012"/>
    <n v="3094.19"/>
    <n v="180.8"/>
    <s v="CREDITOR"/>
    <n v="180.8"/>
    <n v="0"/>
    <n v="0"/>
    <n v="0"/>
    <n v="0"/>
  </r>
  <r>
    <n v="60698228"/>
    <s v="N"/>
    <n v="21321749"/>
    <s v="3000014945410007"/>
    <s v="CIVIL"/>
    <d v="2023-06-28T00:00:00"/>
    <d v="2023-07-03T19:05:17"/>
    <m/>
    <d v="2023-07-03T00:00:00"/>
    <n v="668"/>
    <n v="17152"/>
    <s v="60698228"/>
    <s v="60698228"/>
    <m/>
    <m/>
    <n v="22784438"/>
    <m/>
    <m/>
    <m/>
    <s v="SOLPOA"/>
    <s v="SOLPOA"/>
    <s v="CCMS"/>
    <n v="21321749"/>
    <n v="1480.47"/>
    <m/>
    <s v="N"/>
    <n v="1"/>
    <d v="2023-07-03T19:05:20"/>
    <s v="N"/>
    <s v="Level 3 &amp; Level 4 Fixed Fee"/>
    <s v="Private Law Children"/>
    <s v="Profit Cost"/>
    <s v="KZW"/>
    <s v="N"/>
    <n v="1480.47"/>
    <n v="0"/>
    <x v="3"/>
    <s v="VALIDATED"/>
    <n v="1"/>
    <s v="01.11.80.307.2012.0000"/>
    <n v="1480.47"/>
    <s v="11"/>
    <s v="2012"/>
    <n v="3094.19"/>
    <n v="1480.47"/>
    <s v="CREDITOR"/>
    <n v="1480.47"/>
    <n v="370.1175"/>
    <n v="0"/>
    <n v="0"/>
    <n v="0"/>
  </r>
  <r>
    <n v="61780542"/>
    <s v="N"/>
    <n v="21323500"/>
    <s v="3000015856690006"/>
    <s v="CIVIL"/>
    <d v="2023-06-30T00:00:00"/>
    <d v="2023-07-03T19:05:56"/>
    <m/>
    <d v="2023-07-03T00:00:00"/>
    <n v="668"/>
    <n v="17152"/>
    <s v="61780542"/>
    <s v="61780542"/>
    <m/>
    <m/>
    <n v="22796648"/>
    <m/>
    <m/>
    <m/>
    <s v="SOLPOA"/>
    <s v="SOLPOA"/>
    <s v="CCMS"/>
    <n v="21323500"/>
    <n v="378.36"/>
    <m/>
    <s v="N"/>
    <n v="1"/>
    <d v="2023-07-03T19:05:57"/>
    <s v="N"/>
    <s v="Expert Cost"/>
    <s v="Expert Cost"/>
    <s v="Expert Disbursement"/>
    <s v="RJG/RICHARDSON"/>
    <s v="N"/>
    <n v="315.3"/>
    <n v="63.06"/>
    <x v="3"/>
    <s v="VALIDATED"/>
    <n v="1"/>
    <s v="01.11.80.308.2012.0000"/>
    <n v="315.3"/>
    <s v="11"/>
    <s v="2012"/>
    <n v="3094.19"/>
    <n v="315.3"/>
    <s v="CREDITOR"/>
    <n v="315.3"/>
    <n v="0"/>
    <n v="0"/>
    <n v="0"/>
    <n v="0"/>
  </r>
  <r>
    <n v="62379384"/>
    <s v="N"/>
    <n v="21323835"/>
    <s v="3000016356970002"/>
    <s v="CIVIL"/>
    <d v="2023-06-30T00:00:00"/>
    <d v="2023-07-03T19:05:56"/>
    <m/>
    <d v="2023-07-03T00:00:00"/>
    <n v="668"/>
    <n v="17152"/>
    <s v="62379384"/>
    <s v="62379384"/>
    <m/>
    <m/>
    <n v="22796598"/>
    <m/>
    <m/>
    <m/>
    <s v="SOLPOA"/>
    <s v="SOLPOA"/>
    <s v="CCMS"/>
    <n v="21323835"/>
    <n v="527.52"/>
    <m/>
    <s v="N"/>
    <n v="1"/>
    <d v="2023-07-03T19:05:59"/>
    <s v="N"/>
    <s v="Expert Cost"/>
    <s v="Expert Cost"/>
    <s v="Expert Disbursement"/>
    <s v="RJG/JAMES"/>
    <s v="N"/>
    <n v="439.6"/>
    <n v="87.92"/>
    <x v="3"/>
    <s v="VALIDATED"/>
    <n v="1"/>
    <s v="01.11.80.308.2012.0000"/>
    <n v="439.6"/>
    <s v="11"/>
    <s v="2012"/>
    <n v="3094.19"/>
    <n v="439.6"/>
    <s v="CREDITOR"/>
    <n v="439.6"/>
    <n v="0"/>
    <n v="0"/>
    <n v="0"/>
    <n v="0"/>
  </r>
  <r>
    <n v="62379384"/>
    <s v="N"/>
    <n v="21323700"/>
    <s v="3000016356970001"/>
    <s v="CIVIL"/>
    <d v="2023-06-30T00:00:00"/>
    <d v="2023-07-03T19:05:56"/>
    <m/>
    <d v="2023-07-03T00:00:00"/>
    <n v="668"/>
    <n v="17152"/>
    <s v="62379384"/>
    <s v="62379384"/>
    <m/>
    <m/>
    <n v="22796542"/>
    <m/>
    <m/>
    <m/>
    <s v="SOLPOA"/>
    <s v="SOLPOA"/>
    <s v="CCMS"/>
    <n v="21323700"/>
    <n v="689.42"/>
    <m/>
    <s v="N"/>
    <n v="1"/>
    <d v="2023-07-03T19:05:58"/>
    <s v="N"/>
    <s v="Expert Cost"/>
    <s v="Expert Cost"/>
    <s v="Expert Disbursement"/>
    <s v="RJG/JAMES"/>
    <s v="N"/>
    <n v="574.52"/>
    <n v="114.9"/>
    <x v="3"/>
    <s v="VALIDATED"/>
    <n v="1"/>
    <s v="01.11.80.308.2012.0000"/>
    <n v="574.52"/>
    <s v="11"/>
    <s v="2012"/>
    <n v="3094.19"/>
    <n v="574.52"/>
    <s v="CREDITOR"/>
    <n v="574.52"/>
    <n v="0"/>
    <n v="0"/>
    <n v="0"/>
    <n v="0"/>
  </r>
  <r>
    <n v="60536024"/>
    <s v="N"/>
    <n v="21318661"/>
    <s v="3000014787300019"/>
    <s v="CIVIL"/>
    <d v="2023-06-21T00:00:00"/>
    <d v="2023-07-03T19:01:49"/>
    <m/>
    <d v="2023-07-03T00:00:00"/>
    <n v="669"/>
    <n v="17152"/>
    <s v="60536024"/>
    <s v="60536024"/>
    <m/>
    <m/>
    <n v="22733958"/>
    <m/>
    <m/>
    <m/>
    <s v="SOLFIN"/>
    <s v="SOLFIN"/>
    <s v="CCMS"/>
    <n v="21318661"/>
    <n v="6562.58"/>
    <m/>
    <s v="N"/>
    <n v="8"/>
    <d v="2023-07-03T19:02:00"/>
    <s v="Y"/>
    <s v="Psychiatrist"/>
    <s v="Public Law Children"/>
    <s v="Expert Disbursement"/>
    <s v="SBM"/>
    <s v="Y"/>
    <n v="408.6"/>
    <n v="81.72"/>
    <x v="3"/>
    <s v="VALIDATED"/>
    <n v="1"/>
    <s v="01.11.80.308.6300.0000"/>
    <n v="408.6"/>
    <s v="11"/>
    <s v="6300"/>
    <n v="6297.41"/>
    <n v="408.6"/>
    <s v="CREDITOR"/>
    <n v="0"/>
    <n v="0"/>
    <n v="0"/>
    <n v="0"/>
    <n v="408.6"/>
  </r>
  <r>
    <n v="60044621"/>
    <s v="N"/>
    <n v="21318401"/>
    <s v="3000014382940014"/>
    <s v="CIVIL"/>
    <d v="2023-06-23T00:00:00"/>
    <d v="2023-07-03T19:01:49"/>
    <m/>
    <d v="2023-07-03T00:00:00"/>
    <n v="669"/>
    <n v="17152"/>
    <s v="60044621"/>
    <s v="60044621"/>
    <m/>
    <m/>
    <n v="22749886"/>
    <m/>
    <m/>
    <m/>
    <s v="SOLFIN"/>
    <s v="SOLFIN"/>
    <s v="CCMS"/>
    <n v="21318401"/>
    <n v="3122.94"/>
    <m/>
    <s v="N"/>
    <n v="5"/>
    <d v="2023-07-03T19:01:54"/>
    <s v="Y"/>
    <s v="Hearing Unit 2.31 - 5.00 Hours"/>
    <s v="Public Law Children"/>
    <s v="Advocacy"/>
    <s v="SBM"/>
    <s v="Y"/>
    <n v="433.62"/>
    <n v="86.72"/>
    <x v="3"/>
    <s v="VALIDATED"/>
    <n v="1"/>
    <s v="01.11.80.308.6100.0000"/>
    <n v="433.62"/>
    <s v="11"/>
    <s v="6100"/>
    <n v="6297.41"/>
    <n v="433.62"/>
    <s v="CREDITOR"/>
    <n v="0"/>
    <n v="0"/>
    <n v="0"/>
    <n v="0"/>
    <n v="433.62"/>
  </r>
  <r>
    <n v="60537872"/>
    <s v="N"/>
    <n v="21318315"/>
    <s v="3000014787720001"/>
    <s v="CIVIL"/>
    <d v="2023-06-21T00:00:00"/>
    <d v="2023-07-03T19:01:49"/>
    <m/>
    <d v="2023-07-03T00:00:00"/>
    <n v="669"/>
    <n v="17152"/>
    <s v="60537872"/>
    <s v="60537872"/>
    <m/>
    <m/>
    <n v="22734062"/>
    <m/>
    <m/>
    <m/>
    <s v="SOLFIN"/>
    <s v="SOLFIN"/>
    <s v="CCMS"/>
    <n v="21318315"/>
    <n v="0"/>
    <m/>
    <s v="N"/>
    <n v="1"/>
    <d v="2023-07-03T19:01:53"/>
    <s v="N"/>
    <s v="NIL BILL"/>
    <s v="Public Law Children"/>
    <s v="Profit Cost"/>
    <s v="SBM"/>
    <s v="N"/>
    <n v="0"/>
    <n v="0"/>
    <x v="3"/>
    <s v="VALIDATED"/>
    <n v="1"/>
    <s v="01.11.80.308.6100.0000"/>
    <n v="0"/>
    <s v="11"/>
    <s v="6100"/>
    <n v="6297.41"/>
    <n v="0"/>
    <s v="CREDITOR"/>
    <n v="0"/>
    <n v="0"/>
    <n v="0"/>
    <n v="0"/>
    <n v="0"/>
  </r>
  <r>
    <n v="60536024"/>
    <s v="N"/>
    <n v="21318661"/>
    <s v="3000014787300019"/>
    <s v="CIVIL"/>
    <d v="2023-06-21T00:00:00"/>
    <d v="2023-07-03T19:01:49"/>
    <m/>
    <d v="2023-07-03T00:00:00"/>
    <n v="669"/>
    <n v="17152"/>
    <s v="60536024"/>
    <s v="60536024"/>
    <m/>
    <m/>
    <n v="22733958"/>
    <m/>
    <m/>
    <m/>
    <s v="SOLFIN"/>
    <s v="SOLFIN"/>
    <s v="CCMS"/>
    <n v="21318661"/>
    <n v="6562.58"/>
    <m/>
    <s v="N"/>
    <n v="5"/>
    <d v="2023-07-03T19:02:00"/>
    <s v="Y"/>
    <s v="Toxicologist"/>
    <s v="Public Law Children"/>
    <s v="Expert Disbursement"/>
    <s v="SBM"/>
    <s v="Y"/>
    <n v="167.2"/>
    <n v="33.44"/>
    <x v="3"/>
    <s v="VALIDATED"/>
    <n v="1"/>
    <s v="01.11.80.308.6300.0000"/>
    <n v="167.2"/>
    <s v="11"/>
    <s v="6300"/>
    <n v="6297.41"/>
    <n v="167.2"/>
    <s v="CREDITOR"/>
    <n v="0"/>
    <n v="0"/>
    <n v="0"/>
    <n v="0"/>
    <n v="167.2"/>
  </r>
  <r>
    <n v="60536024"/>
    <s v="N"/>
    <n v="21318661"/>
    <s v="3000014787300019"/>
    <s v="CIVIL"/>
    <d v="2023-06-21T00:00:00"/>
    <d v="2023-07-03T19:01:49"/>
    <m/>
    <d v="2023-07-03T00:00:00"/>
    <n v="669"/>
    <n v="17152"/>
    <s v="60536024"/>
    <s v="60536024"/>
    <m/>
    <m/>
    <n v="22733958"/>
    <m/>
    <m/>
    <m/>
    <s v="SOLFIN"/>
    <s v="SOLFIN"/>
    <s v="CCMS"/>
    <n v="21318661"/>
    <n v="6562.58"/>
    <m/>
    <s v="N"/>
    <n v="7"/>
    <d v="2023-07-03T19:02:00"/>
    <s v="Y"/>
    <s v="Solicitor Travel Mileage"/>
    <s v="Public Law Children"/>
    <s v="Non Expert Disbursement"/>
    <s v="SBM"/>
    <s v="Y"/>
    <n v="22.5"/>
    <n v="4.5"/>
    <x v="3"/>
    <s v="VALIDATED"/>
    <n v="1"/>
    <s v="01.11.80.308.6300.0000"/>
    <n v="22.5"/>
    <s v="11"/>
    <s v="6300"/>
    <n v="6297.41"/>
    <n v="22.5"/>
    <s v="CREDITOR"/>
    <n v="0"/>
    <n v="0"/>
    <n v="0"/>
    <n v="0"/>
    <n v="22.5"/>
  </r>
  <r>
    <n v="60535991"/>
    <s v="N"/>
    <n v="21318319"/>
    <s v="3000014787430001"/>
    <s v="CIVIL"/>
    <d v="2023-06-21T00:00:00"/>
    <d v="2023-07-03T19:01:49"/>
    <m/>
    <d v="2023-07-03T00:00:00"/>
    <n v="669"/>
    <n v="17152"/>
    <s v="60535991"/>
    <s v="60535991"/>
    <m/>
    <m/>
    <n v="22734030"/>
    <m/>
    <m/>
    <m/>
    <s v="SOLFIN"/>
    <s v="SOLFIN"/>
    <s v="CCMS"/>
    <n v="21318319"/>
    <n v="0"/>
    <m/>
    <s v="N"/>
    <n v="1"/>
    <d v="2023-07-03T19:01:53"/>
    <s v="N"/>
    <s v="NIL BILL"/>
    <s v="Public Law Children"/>
    <s v="Profit Cost"/>
    <s v="SBM"/>
    <s v="N"/>
    <n v="0"/>
    <n v="0"/>
    <x v="3"/>
    <s v="VALIDATED"/>
    <n v="1"/>
    <s v="01.11.80.308.6100.0000"/>
    <n v="0"/>
    <s v="11"/>
    <s v="6100"/>
    <n v="6297.41"/>
    <n v="0"/>
    <s v="CREDITOR"/>
    <n v="0"/>
    <n v="0"/>
    <n v="0"/>
    <n v="0"/>
    <n v="0"/>
  </r>
  <r>
    <n v="60044621"/>
    <s v="N"/>
    <n v="21318401"/>
    <s v="3000014382940014"/>
    <s v="CIVIL"/>
    <d v="2023-06-23T00:00:00"/>
    <d v="2023-07-03T19:01:49"/>
    <m/>
    <d v="2023-07-03T00:00:00"/>
    <n v="669"/>
    <n v="17152"/>
    <s v="60044621"/>
    <s v="60044621"/>
    <m/>
    <m/>
    <n v="22749886"/>
    <m/>
    <m/>
    <m/>
    <s v="SOLFIN"/>
    <s v="SOLFIN"/>
    <s v="CCMS"/>
    <n v="21318401"/>
    <n v="3122.94"/>
    <m/>
    <s v="N"/>
    <n v="6"/>
    <d v="2023-07-03T19:01:54"/>
    <s v="Y"/>
    <s v="Solicitors Fixed Fee"/>
    <s v="Public Law Children"/>
    <s v="Profit Cost"/>
    <s v="SBM"/>
    <s v="Y"/>
    <n v="1308"/>
    <n v="261.6"/>
    <x v="3"/>
    <s v="VALIDATED"/>
    <n v="1"/>
    <s v="01.11.80.308.6100.0000"/>
    <n v="1308"/>
    <s v="11"/>
    <s v="6100"/>
    <n v="6297.41"/>
    <n v="1308"/>
    <s v="CREDITOR"/>
    <n v="0"/>
    <n v="0"/>
    <n v="0"/>
    <n v="0"/>
    <n v="1308"/>
  </r>
  <r>
    <n v="60044621"/>
    <s v="N"/>
    <n v="21318401"/>
    <s v="3000014382940014"/>
    <s v="CIVIL"/>
    <d v="2023-06-23T00:00:00"/>
    <d v="2023-07-03T19:01:49"/>
    <m/>
    <d v="2023-07-03T00:00:00"/>
    <n v="669"/>
    <n v="17152"/>
    <s v="60044621"/>
    <s v="60044621"/>
    <m/>
    <m/>
    <n v="22749886"/>
    <m/>
    <m/>
    <m/>
    <s v="SOLFIN"/>
    <s v="SOLFIN"/>
    <s v="CCMS"/>
    <n v="21318401"/>
    <n v="3122.94"/>
    <m/>
    <s v="N"/>
    <n v="1"/>
    <d v="2023-07-03T19:01:54"/>
    <s v="Y"/>
    <s v="Psychiatrist"/>
    <s v="Public Law Children"/>
    <s v="Expert Disbursement"/>
    <s v="SBM"/>
    <s v="Y"/>
    <n v="156.6"/>
    <n v="0"/>
    <x v="3"/>
    <s v="VALIDATED"/>
    <n v="1"/>
    <s v="01.11.80.308.6300.0000"/>
    <n v="156.6"/>
    <s v="11"/>
    <s v="6300"/>
    <n v="6297.41"/>
    <n v="156.6"/>
    <s v="CREDITOR"/>
    <n v="0"/>
    <n v="0"/>
    <n v="0"/>
    <n v="0"/>
    <n v="156.6"/>
  </r>
  <r>
    <n v="61682989"/>
    <s v="N"/>
    <n v="21318479"/>
    <s v="3000015778320008"/>
    <s v="CIVIL"/>
    <d v="2023-06-23T00:00:00"/>
    <d v="2023-07-03T19:01:49"/>
    <m/>
    <d v="2023-07-03T00:00:00"/>
    <n v="669"/>
    <n v="17152"/>
    <s v="61682989"/>
    <s v="61682989"/>
    <m/>
    <m/>
    <n v="22753910"/>
    <m/>
    <m/>
    <m/>
    <s v="SOLPOA"/>
    <s v="SOLPOA"/>
    <s v="CCMS"/>
    <n v="21318479"/>
    <n v="616.5"/>
    <m/>
    <s v="N"/>
    <n v="1"/>
    <d v="2023-07-03T19:01:57"/>
    <s v="N"/>
    <s v="Expert Cost"/>
    <s v="Expert Cost"/>
    <s v="Expert Disbursement"/>
    <s v="SBM"/>
    <s v="N"/>
    <n v="513.75"/>
    <n v="102.75"/>
    <x v="3"/>
    <s v="VALIDATED"/>
    <n v="1"/>
    <s v="01.11.80.308.2012.0000"/>
    <n v="513.75"/>
    <s v="11"/>
    <s v="2012"/>
    <n v="6297.41"/>
    <n v="513.75"/>
    <s v="CREDITOR"/>
    <n v="513.75"/>
    <n v="0"/>
    <n v="0"/>
    <n v="0"/>
    <n v="0"/>
  </r>
  <r>
    <n v="60536024"/>
    <s v="N"/>
    <n v="21318661"/>
    <s v="3000014787300019"/>
    <s v="CIVIL"/>
    <d v="2023-06-21T00:00:00"/>
    <d v="2023-07-03T19:01:49"/>
    <m/>
    <d v="2023-07-03T00:00:00"/>
    <n v="669"/>
    <n v="17152"/>
    <s v="60536024"/>
    <s v="60536024"/>
    <m/>
    <m/>
    <n v="22733958"/>
    <m/>
    <m/>
    <m/>
    <s v="SOLFIN"/>
    <s v="SOLFIN"/>
    <s v="CCMS"/>
    <n v="21318661"/>
    <n v="6562.58"/>
    <m/>
    <s v="N"/>
    <n v="15"/>
    <d v="2023-07-03T19:02:00"/>
    <s v="Y"/>
    <s v="Advocates Meeting"/>
    <s v="Public Law Children"/>
    <s v="Advocacy"/>
    <s v="SBM"/>
    <s v="Y"/>
    <n v="140.99"/>
    <n v="28.2"/>
    <x v="3"/>
    <s v="VALIDATED"/>
    <n v="1"/>
    <s v="01.11.80.308.6100.0000"/>
    <n v="140.99"/>
    <s v="11"/>
    <s v="6100"/>
    <n v="6297.41"/>
    <n v="140.99"/>
    <s v="CREDITOR"/>
    <n v="0"/>
    <n v="0"/>
    <n v="0"/>
    <n v="0"/>
    <n v="140.99"/>
  </r>
  <r>
    <n v="60536024"/>
    <s v="N"/>
    <n v="21318661"/>
    <s v="3000014787300019"/>
    <s v="CIVIL"/>
    <d v="2023-06-21T00:00:00"/>
    <d v="2023-07-03T19:01:49"/>
    <m/>
    <d v="2023-07-03T00:00:00"/>
    <n v="669"/>
    <n v="17152"/>
    <s v="60536024"/>
    <s v="60536024"/>
    <m/>
    <m/>
    <n v="22733958"/>
    <m/>
    <m/>
    <m/>
    <s v="SOLFIN"/>
    <s v="SOLFIN"/>
    <s v="CCMS"/>
    <n v="21318661"/>
    <n v="6562.58"/>
    <m/>
    <s v="N"/>
    <n v="4"/>
    <d v="2023-07-03T19:02:00"/>
    <s v="Y"/>
    <s v="Psychiatrist"/>
    <s v="Public Law Children"/>
    <s v="Expert Disbursement"/>
    <s v="SBM"/>
    <s v="Y"/>
    <n v="32.4"/>
    <n v="6.48"/>
    <x v="3"/>
    <s v="VALIDATED"/>
    <n v="1"/>
    <s v="01.11.80.308.6300.0000"/>
    <n v="32.4"/>
    <s v="11"/>
    <s v="6300"/>
    <n v="6297.41"/>
    <n v="32.4"/>
    <s v="CREDITOR"/>
    <n v="0"/>
    <n v="0"/>
    <n v="0"/>
    <n v="0"/>
    <n v="32.4"/>
  </r>
  <r>
    <n v="60537856"/>
    <s v="N"/>
    <n v="21318312"/>
    <s v="3000014787690001"/>
    <s v="CIVIL"/>
    <d v="2023-06-21T00:00:00"/>
    <d v="2023-07-03T19:01:49"/>
    <m/>
    <d v="2023-07-03T00:00:00"/>
    <n v="669"/>
    <n v="17152"/>
    <s v="60537856"/>
    <s v="60537856"/>
    <m/>
    <m/>
    <n v="22734040"/>
    <m/>
    <m/>
    <m/>
    <s v="SOLFIN"/>
    <s v="SOLFIN"/>
    <s v="CCMS"/>
    <n v="21318312"/>
    <n v="0"/>
    <m/>
    <s v="N"/>
    <n v="1"/>
    <d v="2023-07-03T19:01:53"/>
    <s v="N"/>
    <s v="NIL BILL"/>
    <s v="Public Law Children"/>
    <s v="Profit Cost"/>
    <s v="SBM"/>
    <s v="N"/>
    <n v="0"/>
    <n v="0"/>
    <x v="3"/>
    <s v="VALIDATED"/>
    <n v="1"/>
    <s v="01.11.80.308.6100.0000"/>
    <n v="0"/>
    <s v="11"/>
    <s v="6100"/>
    <n v="6297.41"/>
    <n v="0"/>
    <s v="CREDITOR"/>
    <n v="0"/>
    <n v="0"/>
    <n v="0"/>
    <n v="0"/>
    <n v="0"/>
  </r>
  <r>
    <n v="60536024"/>
    <s v="N"/>
    <n v="21318661"/>
    <s v="3000014787300019"/>
    <s v="CIVIL"/>
    <d v="2023-06-21T00:00:00"/>
    <d v="2023-07-03T19:01:49"/>
    <m/>
    <d v="2023-07-03T00:00:00"/>
    <n v="669"/>
    <n v="17152"/>
    <s v="60536024"/>
    <s v="60536024"/>
    <m/>
    <m/>
    <n v="22733958"/>
    <m/>
    <m/>
    <m/>
    <s v="SOLFIN"/>
    <s v="SOLFIN"/>
    <s v="CCMS"/>
    <n v="21318661"/>
    <n v="6562.58"/>
    <m/>
    <s v="N"/>
    <n v="12"/>
    <d v="2023-07-03T19:02:00"/>
    <s v="Y"/>
    <s v="Advocates Meeting"/>
    <s v="Public Law Children"/>
    <s v="Advocacy"/>
    <s v="SBM"/>
    <s v="Y"/>
    <n v="140.99"/>
    <n v="28.2"/>
    <x v="3"/>
    <s v="VALIDATED"/>
    <n v="1"/>
    <s v="01.11.80.308.6100.0000"/>
    <n v="140.99"/>
    <s v="11"/>
    <s v="6100"/>
    <n v="6297.41"/>
    <n v="140.99"/>
    <s v="CREDITOR"/>
    <n v="0"/>
    <n v="0"/>
    <n v="0"/>
    <n v="0"/>
    <n v="140.99"/>
  </r>
  <r>
    <n v="60142183"/>
    <s v="N"/>
    <n v="21363749"/>
    <s v="3000014468120007"/>
    <s v="CIVIL"/>
    <d v="2023-06-23T00:00:00"/>
    <d v="2023-07-12T19:01:49"/>
    <m/>
    <d v="2023-07-12T00:00:00"/>
    <n v="669"/>
    <n v="17152"/>
    <s v="60142183"/>
    <s v="60142183"/>
    <m/>
    <m/>
    <n v="22752286"/>
    <m/>
    <m/>
    <m/>
    <s v="SOLFIN"/>
    <s v="SOLFIN"/>
    <s v="CCMS"/>
    <n v="21363749"/>
    <n v="0"/>
    <m/>
    <s v="N"/>
    <n v="1"/>
    <d v="2023-07-12T19:02:09"/>
    <s v="N"/>
    <s v="NIL BILL"/>
    <s v="Public Law Children"/>
    <s v="Profit Cost"/>
    <s v="SBM"/>
    <s v="N"/>
    <n v="0"/>
    <n v="0"/>
    <x v="0"/>
    <s v="VALIDATED"/>
    <n v="1"/>
    <s v="01.11.80.308.6100.0000"/>
    <n v="0"/>
    <s v="11"/>
    <s v="6100"/>
    <n v="6297.41"/>
    <n v="0"/>
    <s v="CREDITOR"/>
    <n v="0"/>
    <n v="0"/>
    <n v="0"/>
    <n v="0"/>
    <n v="0"/>
  </r>
  <r>
    <n v="60536024"/>
    <s v="N"/>
    <n v="21318661"/>
    <s v="3000014787300019"/>
    <s v="CIVIL"/>
    <d v="2023-06-21T00:00:00"/>
    <d v="2023-07-03T19:01:49"/>
    <m/>
    <d v="2023-07-03T00:00:00"/>
    <n v="669"/>
    <n v="17152"/>
    <s v="60536024"/>
    <s v="60536024"/>
    <m/>
    <m/>
    <n v="22733958"/>
    <m/>
    <m/>
    <m/>
    <s v="SOLFIN"/>
    <s v="SOLFIN"/>
    <s v="CCMS"/>
    <n v="21318661"/>
    <n v="6562.58"/>
    <m/>
    <s v="N"/>
    <n v="17"/>
    <d v="2023-07-03T19:02:00"/>
    <s v="Y"/>
    <s v="Advocates Meeting"/>
    <s v="Public Law Children"/>
    <s v="Advocacy"/>
    <s v="SBM"/>
    <s v="Y"/>
    <n v="140.99"/>
    <n v="28.2"/>
    <x v="3"/>
    <s v="VALIDATED"/>
    <n v="1"/>
    <s v="01.11.80.308.6100.0000"/>
    <n v="140.99"/>
    <s v="11"/>
    <s v="6100"/>
    <n v="6297.41"/>
    <n v="140.99"/>
    <s v="CREDITOR"/>
    <n v="0"/>
    <n v="0"/>
    <n v="0"/>
    <n v="0"/>
    <n v="140.99"/>
  </r>
  <r>
    <n v="60536024"/>
    <s v="N"/>
    <n v="21318661"/>
    <s v="3000014787300019"/>
    <s v="CIVIL"/>
    <d v="2023-06-21T00:00:00"/>
    <d v="2023-07-03T19:01:49"/>
    <m/>
    <d v="2023-07-03T00:00:00"/>
    <n v="669"/>
    <n v="17152"/>
    <s v="60536024"/>
    <s v="60536024"/>
    <m/>
    <m/>
    <n v="22733958"/>
    <m/>
    <m/>
    <m/>
    <s v="SOLFIN"/>
    <s v="SOLFIN"/>
    <s v="CCMS"/>
    <n v="21318661"/>
    <n v="6562.58"/>
    <m/>
    <s v="N"/>
    <n v="1"/>
    <d v="2023-07-03T19:02:00"/>
    <s v="Y"/>
    <s v="Final Hearing Court Bundle/Advocate"/>
    <s v="Public Law Children"/>
    <s v="Advocacy"/>
    <s v="SBM"/>
    <s v="Y"/>
    <n v="318.6"/>
    <n v="63.72"/>
    <x v="3"/>
    <s v="VALIDATED"/>
    <n v="1"/>
    <s v="01.11.80.308.6100.0000"/>
    <n v="318.6"/>
    <s v="11"/>
    <s v="6100"/>
    <n v="6297.41"/>
    <n v="318.6"/>
    <s v="CREDITOR"/>
    <n v="0"/>
    <n v="0"/>
    <n v="0"/>
    <n v="0"/>
    <n v="318.6"/>
  </r>
  <r>
    <n v="60536024"/>
    <s v="N"/>
    <n v="21318661"/>
    <s v="3000014787300019"/>
    <s v="CIVIL"/>
    <d v="2023-06-21T00:00:00"/>
    <d v="2023-07-03T19:01:49"/>
    <m/>
    <d v="2023-07-03T00:00:00"/>
    <n v="669"/>
    <n v="17152"/>
    <s v="60536024"/>
    <s v="60536024"/>
    <m/>
    <m/>
    <n v="22733958"/>
    <m/>
    <m/>
    <m/>
    <s v="SOLFIN"/>
    <s v="SOLFIN"/>
    <s v="CCMS"/>
    <n v="21318661"/>
    <n v="6562.58"/>
    <m/>
    <s v="N"/>
    <n v="10"/>
    <d v="2023-07-03T19:02:00"/>
    <s v="Y"/>
    <s v="Toxicologist"/>
    <s v="Public Law Children"/>
    <s v="Expert Disbursement"/>
    <s v="SBM"/>
    <s v="Y"/>
    <n v="197.2"/>
    <n v="39.44"/>
    <x v="3"/>
    <s v="VALIDATED"/>
    <n v="1"/>
    <s v="01.11.80.308.6300.0000"/>
    <n v="197.2"/>
    <s v="11"/>
    <s v="6300"/>
    <n v="6297.41"/>
    <n v="197.2"/>
    <s v="CREDITOR"/>
    <n v="0"/>
    <n v="0"/>
    <n v="0"/>
    <n v="0"/>
    <n v="197.2"/>
  </r>
  <r>
    <n v="60536024"/>
    <s v="N"/>
    <n v="21318661"/>
    <s v="3000014787300019"/>
    <s v="CIVIL"/>
    <d v="2023-06-21T00:00:00"/>
    <d v="2023-07-03T19:01:49"/>
    <m/>
    <d v="2023-07-03T00:00:00"/>
    <n v="669"/>
    <n v="17152"/>
    <s v="60536024"/>
    <s v="60536024"/>
    <m/>
    <m/>
    <n v="22733958"/>
    <m/>
    <m/>
    <m/>
    <s v="SOLFIN"/>
    <s v="SOLFIN"/>
    <s v="CCMS"/>
    <n v="21318661"/>
    <n v="6562.58"/>
    <m/>
    <s v="N"/>
    <n v="3"/>
    <d v="2023-07-03T19:02:00"/>
    <s v="Y"/>
    <s v="Toxicologist"/>
    <s v="Public Law Children"/>
    <s v="Expert Disbursement"/>
    <s v="SBM"/>
    <s v="Y"/>
    <n v="155.3"/>
    <n v="31.06"/>
    <x v="3"/>
    <s v="VALIDATED"/>
    <n v="1"/>
    <s v="01.11.80.308.6300.0000"/>
    <n v="155.3"/>
    <s v="11"/>
    <s v="6300"/>
    <n v="6297.41"/>
    <n v="155.3"/>
    <s v="CREDITOR"/>
    <n v="0"/>
    <n v="0"/>
    <n v="0"/>
    <n v="0"/>
    <n v="155.3"/>
  </r>
  <r>
    <n v="60536024"/>
    <s v="N"/>
    <n v="21318661"/>
    <s v="3000014787300019"/>
    <s v="CIVIL"/>
    <d v="2023-06-21T00:00:00"/>
    <d v="2023-07-03T19:01:49"/>
    <m/>
    <d v="2023-07-03T00:00:00"/>
    <n v="669"/>
    <n v="17152"/>
    <s v="60536024"/>
    <s v="60536024"/>
    <m/>
    <m/>
    <n v="22733958"/>
    <m/>
    <m/>
    <m/>
    <s v="SOLFIN"/>
    <s v="SOLFIN"/>
    <s v="CCMS"/>
    <n v="21318661"/>
    <n v="6562.58"/>
    <m/>
    <s v="N"/>
    <n v="11"/>
    <d v="2023-07-03T19:02:00"/>
    <s v="Y"/>
    <s v="Final Hearing - 1 Day"/>
    <s v="Public Law Children"/>
    <s v="Advocacy"/>
    <s v="SBM"/>
    <s v="Y"/>
    <n v="556.88"/>
    <n v="111.38"/>
    <x v="3"/>
    <s v="VALIDATED"/>
    <n v="1"/>
    <s v="01.11.80.308.6100.0000"/>
    <n v="556.88"/>
    <s v="11"/>
    <s v="6100"/>
    <n v="6297.41"/>
    <n v="556.88"/>
    <s v="CREDITOR"/>
    <n v="0"/>
    <n v="0"/>
    <n v="0"/>
    <n v="0"/>
    <n v="556.88"/>
  </r>
  <r>
    <n v="60536024"/>
    <s v="N"/>
    <n v="21318661"/>
    <s v="3000014787300019"/>
    <s v="CIVIL"/>
    <d v="2023-06-21T00:00:00"/>
    <d v="2023-07-03T19:01:49"/>
    <m/>
    <d v="2023-07-03T00:00:00"/>
    <n v="669"/>
    <n v="17152"/>
    <s v="60536024"/>
    <s v="60536024"/>
    <m/>
    <m/>
    <n v="22733958"/>
    <m/>
    <m/>
    <m/>
    <s v="SOLFIN"/>
    <s v="SOLFIN"/>
    <s v="CCMS"/>
    <n v="21318661"/>
    <n v="6562.58"/>
    <m/>
    <s v="N"/>
    <n v="6"/>
    <d v="2023-07-03T19:02:00"/>
    <s v="Y"/>
    <s v="Toxicologist"/>
    <s v="Public Law Children"/>
    <s v="Expert Disbursement"/>
    <s v="SBM"/>
    <s v="Y"/>
    <n v="221.4"/>
    <n v="44.28"/>
    <x v="3"/>
    <s v="VALIDATED"/>
    <n v="1"/>
    <s v="01.11.80.308.6300.0000"/>
    <n v="221.4"/>
    <s v="11"/>
    <s v="6300"/>
    <n v="6297.41"/>
    <n v="221.4"/>
    <s v="CREDITOR"/>
    <n v="0"/>
    <n v="0"/>
    <n v="0"/>
    <n v="0"/>
    <n v="221.4"/>
  </r>
  <r>
    <n v="62420836"/>
    <s v="N"/>
    <n v="21319479"/>
    <s v="3000016390480002"/>
    <s v="CIVIL"/>
    <d v="2023-06-27T00:00:00"/>
    <d v="2023-07-03T19:04:24"/>
    <m/>
    <d v="2023-07-03T00:00:00"/>
    <n v="669"/>
    <n v="17152"/>
    <s v="62420836"/>
    <s v="62420836"/>
    <m/>
    <m/>
    <n v="22773330"/>
    <m/>
    <m/>
    <m/>
    <s v="SOLPOA"/>
    <s v="SOLPOA"/>
    <s v="CCMS"/>
    <n v="21319479"/>
    <n v="109"/>
    <m/>
    <s v="N"/>
    <n v="1"/>
    <d v="2023-07-03T19:04:26"/>
    <s v="N"/>
    <s v="Expert Cost"/>
    <s v="Expert Cost"/>
    <s v="Expert Disbursement"/>
    <s v="SBM"/>
    <s v="N"/>
    <n v="109"/>
    <n v="0"/>
    <x v="3"/>
    <s v="VALIDATED"/>
    <n v="1"/>
    <s v="01.11.80.308.2012.0000"/>
    <n v="109"/>
    <s v="11"/>
    <s v="2012"/>
    <n v="6297.41"/>
    <n v="109"/>
    <s v="CREDITOR"/>
    <n v="109"/>
    <n v="0"/>
    <n v="0"/>
    <n v="0"/>
    <n v="0"/>
  </r>
  <r>
    <n v="60536024"/>
    <s v="N"/>
    <n v="21318661"/>
    <s v="3000014787300019"/>
    <s v="CIVIL"/>
    <d v="2023-06-21T00:00:00"/>
    <d v="2023-07-03T19:01:49"/>
    <m/>
    <d v="2023-07-03T00:00:00"/>
    <n v="669"/>
    <n v="17152"/>
    <s v="60536024"/>
    <s v="60536024"/>
    <m/>
    <m/>
    <n v="22733958"/>
    <m/>
    <m/>
    <m/>
    <s v="SOLFIN"/>
    <s v="SOLFIN"/>
    <s v="CCMS"/>
    <n v="21318661"/>
    <n v="6562.58"/>
    <m/>
    <s v="N"/>
    <n v="14"/>
    <d v="2023-07-03T19:02:00"/>
    <s v="Y"/>
    <s v="Hearing Unit 2.31 - 5.00 Hours"/>
    <s v="Public Law Children"/>
    <s v="Advocacy"/>
    <s v="SBM"/>
    <s v="Y"/>
    <n v="476.92"/>
    <n v="95.38"/>
    <x v="3"/>
    <s v="VALIDATED"/>
    <n v="1"/>
    <s v="01.11.80.308.6100.0000"/>
    <n v="476.92"/>
    <s v="11"/>
    <s v="6100"/>
    <n v="6297.41"/>
    <n v="476.92"/>
    <s v="CREDITOR"/>
    <n v="0"/>
    <n v="0"/>
    <n v="0"/>
    <n v="0"/>
    <n v="476.92"/>
  </r>
  <r>
    <n v="60536024"/>
    <s v="N"/>
    <n v="21318661"/>
    <s v="3000014787300019"/>
    <s v="CIVIL"/>
    <d v="2023-06-21T00:00:00"/>
    <d v="2023-07-03T19:01:49"/>
    <m/>
    <d v="2023-07-03T00:00:00"/>
    <n v="669"/>
    <n v="17152"/>
    <s v="60536024"/>
    <s v="60536024"/>
    <m/>
    <m/>
    <n v="22733958"/>
    <m/>
    <m/>
    <m/>
    <s v="SOLFIN"/>
    <s v="SOLFIN"/>
    <s v="CCMS"/>
    <n v="21318661"/>
    <n v="6562.58"/>
    <m/>
    <s v="N"/>
    <n v="13"/>
    <d v="2023-07-03T19:02:00"/>
    <s v="Y"/>
    <s v="Advocates Meeting"/>
    <s v="Public Law Children"/>
    <s v="Advocacy"/>
    <s v="SBM"/>
    <s v="Y"/>
    <n v="140.99"/>
    <n v="28.2"/>
    <x v="3"/>
    <s v="VALIDATED"/>
    <n v="1"/>
    <s v="01.11.80.308.6100.0000"/>
    <n v="140.99"/>
    <s v="11"/>
    <s v="6100"/>
    <n v="6297.41"/>
    <n v="140.99"/>
    <s v="CREDITOR"/>
    <n v="0"/>
    <n v="0"/>
    <n v="0"/>
    <n v="0"/>
    <n v="140.99"/>
  </r>
  <r>
    <n v="60536024"/>
    <s v="N"/>
    <n v="21318661"/>
    <s v="3000014787300019"/>
    <s v="CIVIL"/>
    <d v="2023-06-21T00:00:00"/>
    <d v="2023-07-03T19:01:49"/>
    <m/>
    <d v="2023-07-03T00:00:00"/>
    <n v="669"/>
    <n v="17152"/>
    <s v="60536024"/>
    <s v="60536024"/>
    <m/>
    <m/>
    <n v="22733958"/>
    <m/>
    <m/>
    <m/>
    <s v="SOLFIN"/>
    <s v="SOLFIN"/>
    <s v="CCMS"/>
    <n v="21318661"/>
    <n v="6562.58"/>
    <m/>
    <s v="N"/>
    <n v="2"/>
    <d v="2023-07-03T19:02:00"/>
    <s v="Y"/>
    <s v="Toxicologist"/>
    <s v="Public Law Children"/>
    <s v="Expert Disbursement"/>
    <s v="SBM"/>
    <s v="Y"/>
    <n v="204"/>
    <n v="40.8"/>
    <x v="3"/>
    <s v="VALIDATED"/>
    <n v="1"/>
    <s v="01.11.80.308.6300.0000"/>
    <n v="204"/>
    <s v="11"/>
    <s v="6300"/>
    <n v="6297.41"/>
    <n v="204"/>
    <s v="CREDITOR"/>
    <n v="0"/>
    <n v="0"/>
    <n v="0"/>
    <n v="0"/>
    <n v="204"/>
  </r>
  <r>
    <n v="60044621"/>
    <s v="N"/>
    <n v="21318401"/>
    <s v="3000014382940014"/>
    <s v="CIVIL"/>
    <d v="2023-06-23T00:00:00"/>
    <d v="2023-07-03T19:01:49"/>
    <m/>
    <d v="2023-07-03T00:00:00"/>
    <n v="669"/>
    <n v="17152"/>
    <s v="60044621"/>
    <s v="60044621"/>
    <m/>
    <m/>
    <n v="22749886"/>
    <m/>
    <m/>
    <m/>
    <s v="SOLFIN"/>
    <s v="SOLFIN"/>
    <s v="CCMS"/>
    <n v="21318401"/>
    <n v="3122.94"/>
    <m/>
    <s v="N"/>
    <n v="4"/>
    <d v="2023-07-03T19:01:54"/>
    <s v="Y"/>
    <s v="Toxicologist"/>
    <s v="Public Law Children"/>
    <s v="Expert Disbursement"/>
    <s v="SBM"/>
    <s v="Y"/>
    <n v="358.5"/>
    <n v="71.7"/>
    <x v="3"/>
    <s v="VALIDATED"/>
    <n v="1"/>
    <s v="01.11.80.308.6300.0000"/>
    <n v="358.5"/>
    <s v="11"/>
    <s v="6300"/>
    <n v="6297.41"/>
    <n v="358.5"/>
    <s v="CREDITOR"/>
    <n v="0"/>
    <n v="0"/>
    <n v="0"/>
    <n v="0"/>
    <n v="358.5"/>
  </r>
  <r>
    <n v="60536024"/>
    <s v="N"/>
    <n v="21318661"/>
    <s v="3000014787300019"/>
    <s v="CIVIL"/>
    <d v="2023-06-21T00:00:00"/>
    <d v="2023-07-03T19:01:49"/>
    <m/>
    <d v="2023-07-03T00:00:00"/>
    <n v="669"/>
    <n v="17152"/>
    <s v="60536024"/>
    <s v="60536024"/>
    <m/>
    <m/>
    <n v="22733958"/>
    <m/>
    <m/>
    <m/>
    <s v="SOLFIN"/>
    <s v="SOLFIN"/>
    <s v="CCMS"/>
    <n v="21318661"/>
    <n v="6562.58"/>
    <m/>
    <s v="N"/>
    <n v="16"/>
    <d v="2023-07-03T19:02:00"/>
    <s v="Y"/>
    <s v="Hearing Unit 2.31 - 5.00 Hours"/>
    <s v="Public Law Children"/>
    <s v="Advocacy"/>
    <s v="SBM"/>
    <s v="Y"/>
    <n v="476.92"/>
    <n v="95.38"/>
    <x v="3"/>
    <s v="VALIDATED"/>
    <n v="1"/>
    <s v="01.11.80.308.6100.0000"/>
    <n v="476.92"/>
    <s v="11"/>
    <s v="6100"/>
    <n v="6297.41"/>
    <n v="476.92"/>
    <s v="CREDITOR"/>
    <n v="0"/>
    <n v="0"/>
    <n v="0"/>
    <n v="0"/>
    <n v="476.92"/>
  </r>
  <r>
    <n v="60536024"/>
    <s v="N"/>
    <n v="21318661"/>
    <s v="3000014787300019"/>
    <s v="CIVIL"/>
    <d v="2023-06-21T00:00:00"/>
    <d v="2023-07-03T19:01:49"/>
    <m/>
    <d v="2023-07-03T00:00:00"/>
    <n v="669"/>
    <n v="17152"/>
    <s v="60536024"/>
    <s v="60536024"/>
    <m/>
    <m/>
    <n v="22733958"/>
    <m/>
    <m/>
    <m/>
    <s v="SOLFIN"/>
    <s v="SOLFIN"/>
    <s v="CCMS"/>
    <n v="21318661"/>
    <n v="6562.58"/>
    <m/>
    <s v="N"/>
    <n v="18"/>
    <d v="2023-07-03T19:02:00"/>
    <s v="Y"/>
    <s v="Solicitors Fixed Fee"/>
    <s v="Public Law Children"/>
    <s v="Profit Cost"/>
    <s v="SBM"/>
    <s v="Y"/>
    <n v="1510"/>
    <n v="0"/>
    <x v="3"/>
    <s v="VALIDATED"/>
    <n v="1"/>
    <s v="01.11.80.308.6100.0000"/>
    <n v="1510"/>
    <s v="11"/>
    <s v="6100"/>
    <n v="6297.41"/>
    <n v="1510"/>
    <s v="CREDITOR"/>
    <n v="0"/>
    <n v="0"/>
    <n v="0"/>
    <n v="0"/>
    <n v="1510"/>
  </r>
  <r>
    <n v="59614058"/>
    <s v="N"/>
    <n v="21318644"/>
    <s v="3000014017090004"/>
    <s v="CIVIL"/>
    <d v="2023-06-23T00:00:00"/>
    <d v="2023-07-03T19:01:49"/>
    <m/>
    <d v="2023-07-03T00:00:00"/>
    <n v="669"/>
    <n v="17152"/>
    <s v="59614058"/>
    <s v="59614058"/>
    <m/>
    <m/>
    <n v="22750062"/>
    <m/>
    <m/>
    <m/>
    <s v="SOLFIN"/>
    <s v="SOLFIN"/>
    <s v="CCMS"/>
    <n v="21318644"/>
    <n v="423.6"/>
    <m/>
    <s v="N"/>
    <n v="1"/>
    <d v="2023-07-03T19:02:00"/>
    <s v="Y"/>
    <s v="Level 3 Fixed Fee"/>
    <s v="Private Law Children"/>
    <s v="Profit Cost"/>
    <s v="SBM"/>
    <s v="Y"/>
    <n v="353"/>
    <n v="70.59999999999999"/>
    <x v="3"/>
    <s v="VALIDATED"/>
    <n v="1"/>
    <s v="01.11.80.307.6100.0000"/>
    <n v="353"/>
    <s v="11"/>
    <s v="6100"/>
    <n v="6297.41"/>
    <n v="353"/>
    <s v="CREDITOR"/>
    <n v="0"/>
    <n v="0"/>
    <n v="0"/>
    <n v="0"/>
    <n v="353"/>
  </r>
  <r>
    <n v="60044621"/>
    <s v="N"/>
    <n v="21318401"/>
    <s v="3000014382940014"/>
    <s v="CIVIL"/>
    <d v="2023-06-23T00:00:00"/>
    <d v="2023-07-03T19:01:49"/>
    <m/>
    <d v="2023-07-03T00:00:00"/>
    <n v="669"/>
    <n v="17152"/>
    <s v="60044621"/>
    <s v="60044621"/>
    <m/>
    <m/>
    <n v="22749886"/>
    <m/>
    <m/>
    <m/>
    <s v="SOLFIN"/>
    <s v="SOLFIN"/>
    <s v="CCMS"/>
    <n v="21318401"/>
    <n v="3122.94"/>
    <m/>
    <s v="N"/>
    <n v="3"/>
    <d v="2023-07-03T19:01:54"/>
    <s v="Y"/>
    <s v="Toxicologist"/>
    <s v="Public Law Children"/>
    <s v="Expert Disbursement"/>
    <s v="SBM"/>
    <s v="Y"/>
    <n v="358.5"/>
    <n v="71.7"/>
    <x v="3"/>
    <s v="VALIDATED"/>
    <n v="1"/>
    <s v="01.11.80.308.6300.0000"/>
    <n v="358.5"/>
    <s v="11"/>
    <s v="6300"/>
    <n v="6297.41"/>
    <n v="358.5"/>
    <s v="CREDITOR"/>
    <n v="0"/>
    <n v="0"/>
    <n v="0"/>
    <n v="0"/>
    <n v="358.5"/>
  </r>
  <r>
    <n v="60536024"/>
    <s v="N"/>
    <n v="21318661"/>
    <s v="3000014787300019"/>
    <s v="CIVIL"/>
    <d v="2023-06-21T00:00:00"/>
    <d v="2023-07-03T19:01:49"/>
    <m/>
    <d v="2023-07-03T00:00:00"/>
    <n v="669"/>
    <n v="17152"/>
    <s v="60536024"/>
    <s v="60536024"/>
    <m/>
    <m/>
    <n v="22733958"/>
    <m/>
    <m/>
    <m/>
    <s v="SOLFIN"/>
    <s v="SOLFIN"/>
    <s v="CCMS"/>
    <n v="21318661"/>
    <n v="6562.58"/>
    <m/>
    <s v="N"/>
    <n v="9"/>
    <d v="2023-07-03T19:02:00"/>
    <s v="Y"/>
    <s v="Psychiatrist"/>
    <s v="Public Law Children"/>
    <s v="Expert Disbursement"/>
    <s v="SBM"/>
    <s v="Y"/>
    <n v="408.6"/>
    <n v="81.72"/>
    <x v="3"/>
    <s v="VALIDATED"/>
    <n v="1"/>
    <s v="01.11.80.308.6300.0000"/>
    <n v="408.6"/>
    <s v="11"/>
    <s v="6300"/>
    <n v="6297.41"/>
    <n v="408.6"/>
    <s v="CREDITOR"/>
    <n v="0"/>
    <n v="0"/>
    <n v="0"/>
    <n v="0"/>
    <n v="408.6"/>
  </r>
  <r>
    <n v="60044621"/>
    <s v="N"/>
    <n v="21318401"/>
    <s v="3000014382940014"/>
    <s v="CIVIL"/>
    <d v="2023-06-23T00:00:00"/>
    <d v="2023-07-03T19:01:49"/>
    <m/>
    <d v="2023-07-03T00:00:00"/>
    <n v="669"/>
    <n v="17152"/>
    <s v="60044621"/>
    <s v="60044621"/>
    <m/>
    <m/>
    <n v="22749886"/>
    <m/>
    <m/>
    <m/>
    <s v="SOLFIN"/>
    <s v="SOLFIN"/>
    <s v="CCMS"/>
    <n v="21318401"/>
    <n v="3122.94"/>
    <m/>
    <s v="N"/>
    <n v="2"/>
    <d v="2023-07-03T19:01:54"/>
    <s v="Y"/>
    <s v="Doctor (GP)"/>
    <s v="Public Law Children"/>
    <s v="Expert Disbursement"/>
    <s v="SBM"/>
    <s v="Y"/>
    <n v="16"/>
    <n v="0"/>
    <x v="3"/>
    <s v="VALIDATED"/>
    <n v="1"/>
    <s v="01.11.80.308.6300.0000"/>
    <n v="16"/>
    <s v="11"/>
    <s v="6300"/>
    <n v="6297.41"/>
    <n v="16"/>
    <s v="CREDITOR"/>
    <n v="0"/>
    <n v="0"/>
    <n v="0"/>
    <n v="0"/>
    <n v="16"/>
  </r>
  <r>
    <n v="60044621"/>
    <s v="N"/>
    <n v="21324403"/>
    <s v="3000014382940006RC"/>
    <s v="CIVIL"/>
    <d v="2023-06-23T00:00:00"/>
    <d v="2023-07-03T19:42:50"/>
    <m/>
    <d v="2023-07-03T00:00:00"/>
    <n v="669"/>
    <n v="17152"/>
    <s v="60044621"/>
    <s v="60044621"/>
    <m/>
    <m/>
    <m/>
    <m/>
    <m/>
    <m/>
    <s v="SOLRECOUP"/>
    <s v="SOLRECOUP"/>
    <s v="POARECOUP"/>
    <n v="21324403"/>
    <n v="-16"/>
    <m/>
    <s v="Y"/>
    <n v="1"/>
    <d v="2023-07-03T19:42:51"/>
    <s v="N"/>
    <m/>
    <m/>
    <s v="Expert Disbursement"/>
    <m/>
    <s v="N"/>
    <n v="-16"/>
    <n v="0"/>
    <x v="3"/>
    <s v="VALIDATED"/>
    <n v="1"/>
    <s v="01.11.80.308.2013.0000"/>
    <n v="-16"/>
    <s v="11"/>
    <s v="2013"/>
    <n v="6297.41"/>
    <n v="-16"/>
    <s v="CREDITOR"/>
    <n v="0"/>
    <n v="0"/>
    <n v="-16"/>
    <n v="0"/>
    <n v="0"/>
  </r>
  <r>
    <n v="60044621"/>
    <s v="N"/>
    <n v="21324403"/>
    <s v="3000014382940006RC"/>
    <s v="CIVIL"/>
    <d v="2023-06-23T00:00:00"/>
    <d v="2023-07-03T19:42:50"/>
    <m/>
    <d v="2023-07-03T00:00:00"/>
    <n v="669"/>
    <n v="17152"/>
    <s v="60044621"/>
    <s v="60044621"/>
    <m/>
    <m/>
    <m/>
    <m/>
    <m/>
    <m/>
    <s v="SOLRECOUP"/>
    <s v="SOLRECOUP"/>
    <s v="POARECOUP"/>
    <n v="21324403"/>
    <n v="-16"/>
    <m/>
    <s v="Y"/>
    <n v="2"/>
    <d v="2023-07-03T19:42:51"/>
    <s v="N"/>
    <m/>
    <m/>
    <s v="Expert Disbursement"/>
    <m/>
    <s v="N"/>
    <n v="0"/>
    <n v="0"/>
    <x v="3"/>
    <s v="VALIDATED"/>
    <n v="1"/>
    <s v="01.11.80.000.0000.0000"/>
    <n v="0"/>
    <s v="11"/>
    <s v="0000"/>
    <n v="6297.41"/>
    <n v="0"/>
    <s v="CREDITOR"/>
    <n v="0"/>
    <n v="0"/>
    <n v="0"/>
    <n v="0"/>
    <n v="0"/>
  </r>
  <r>
    <n v="60536024"/>
    <s v="N"/>
    <n v="21324404"/>
    <s v="3000014787300013RC"/>
    <s v="CIVIL"/>
    <d v="2023-06-21T00:00:00"/>
    <d v="2023-07-03T19:42:50"/>
    <m/>
    <d v="2023-07-03T00:00:00"/>
    <n v="669"/>
    <n v="17152"/>
    <s v="60536024"/>
    <s v="60536024"/>
    <m/>
    <m/>
    <m/>
    <m/>
    <m/>
    <m/>
    <s v="SOLRECOUP"/>
    <s v="SOLRECOUP"/>
    <s v="POARECOUP"/>
    <n v="21324404"/>
    <n v="-490.32"/>
    <m/>
    <s v="Y"/>
    <n v="1"/>
    <d v="2023-07-03T19:42:51"/>
    <s v="N"/>
    <m/>
    <m/>
    <s v="Expert Disbursement"/>
    <m/>
    <s v="N"/>
    <n v="-408.6"/>
    <n v="0"/>
    <x v="3"/>
    <s v="VALIDATED"/>
    <n v="1"/>
    <s v="01.11.80.308.2013.0000"/>
    <n v="-408.6"/>
    <s v="11"/>
    <s v="2013"/>
    <n v="6297.41"/>
    <n v="-408.6"/>
    <s v="CREDITOR"/>
    <n v="0"/>
    <n v="0"/>
    <n v="-408.6"/>
    <n v="0"/>
    <n v="0"/>
  </r>
  <r>
    <n v="60536024"/>
    <s v="N"/>
    <n v="21324404"/>
    <s v="3000014787300013RC"/>
    <s v="CIVIL"/>
    <d v="2023-06-21T00:00:00"/>
    <d v="2023-07-03T19:42:50"/>
    <m/>
    <d v="2023-07-03T00:00:00"/>
    <n v="669"/>
    <n v="17152"/>
    <s v="60536024"/>
    <s v="60536024"/>
    <m/>
    <m/>
    <m/>
    <m/>
    <m/>
    <m/>
    <s v="SOLRECOUP"/>
    <s v="SOLRECOUP"/>
    <s v="POARECOUP"/>
    <n v="21324404"/>
    <n v="-490.32"/>
    <m/>
    <s v="Y"/>
    <n v="2"/>
    <d v="2023-07-03T19:42:51"/>
    <s v="N"/>
    <m/>
    <m/>
    <s v="Expert Disbursement"/>
    <m/>
    <s v="N"/>
    <n v="0"/>
    <n v="-81.72"/>
    <x v="3"/>
    <s v="VALIDATED"/>
    <n v="1"/>
    <s v="01.11.80.308.2013.0000"/>
    <n v="-81.72"/>
    <s v="11"/>
    <s v="2013"/>
    <n v="6297.41"/>
    <n v="-81.72"/>
    <s v="CREDITOR"/>
    <n v="0"/>
    <n v="0"/>
    <n v="-81.72"/>
    <n v="0"/>
    <n v="0"/>
  </r>
  <r>
    <n v="60536024"/>
    <s v="N"/>
    <n v="21324405"/>
    <s v="3000014787300007RC"/>
    <s v="CIVIL"/>
    <d v="2023-06-21T00:00:00"/>
    <d v="2023-07-03T19:42:50"/>
    <m/>
    <d v="2023-07-03T00:00:00"/>
    <n v="669"/>
    <n v="17152"/>
    <s v="60536024"/>
    <s v="60536024"/>
    <m/>
    <m/>
    <m/>
    <m/>
    <m/>
    <m/>
    <s v="SOLRECOUP"/>
    <s v="SOLRECOUP"/>
    <s v="POARECOUP"/>
    <n v="21324405"/>
    <n v="-236.64"/>
    <m/>
    <s v="Y"/>
    <n v="1"/>
    <d v="2023-07-03T19:42:51"/>
    <s v="N"/>
    <m/>
    <m/>
    <s v="Expert Disbursement"/>
    <m/>
    <s v="N"/>
    <n v="-197.2"/>
    <n v="0"/>
    <x v="3"/>
    <s v="VALIDATED"/>
    <n v="1"/>
    <s v="01.11.80.308.2013.0000"/>
    <n v="-197.2"/>
    <s v="11"/>
    <s v="2013"/>
    <n v="6297.41"/>
    <n v="-197.2"/>
    <s v="CREDITOR"/>
    <n v="0"/>
    <n v="0"/>
    <n v="-197.2"/>
    <n v="0"/>
    <n v="0"/>
  </r>
  <r>
    <n v="60536024"/>
    <s v="N"/>
    <n v="21324405"/>
    <s v="3000014787300007RC"/>
    <s v="CIVIL"/>
    <d v="2023-06-21T00:00:00"/>
    <d v="2023-07-03T19:42:50"/>
    <m/>
    <d v="2023-07-03T00:00:00"/>
    <n v="669"/>
    <n v="17152"/>
    <s v="60536024"/>
    <s v="60536024"/>
    <m/>
    <m/>
    <m/>
    <m/>
    <m/>
    <m/>
    <s v="SOLRECOUP"/>
    <s v="SOLRECOUP"/>
    <s v="POARECOUP"/>
    <n v="21324405"/>
    <n v="-236.64"/>
    <m/>
    <s v="Y"/>
    <n v="2"/>
    <d v="2023-07-03T19:42:51"/>
    <s v="N"/>
    <m/>
    <m/>
    <s v="Expert Disbursement"/>
    <m/>
    <s v="N"/>
    <n v="0"/>
    <n v="-39.44"/>
    <x v="3"/>
    <s v="VALIDATED"/>
    <n v="1"/>
    <s v="01.11.80.308.2013.0000"/>
    <n v="-39.44"/>
    <s v="11"/>
    <s v="2013"/>
    <n v="6297.41"/>
    <n v="-39.44"/>
    <s v="CREDITOR"/>
    <n v="0"/>
    <n v="0"/>
    <n v="-39.44"/>
    <n v="0"/>
    <n v="0"/>
  </r>
  <r>
    <n v="60536024"/>
    <s v="N"/>
    <n v="21324406"/>
    <s v="3000014787300008RC"/>
    <s v="CIVIL"/>
    <d v="2023-06-21T00:00:00"/>
    <d v="2023-07-03T19:42:50"/>
    <m/>
    <d v="2023-07-03T00:00:00"/>
    <n v="669"/>
    <n v="17152"/>
    <s v="60536024"/>
    <s v="60536024"/>
    <m/>
    <m/>
    <m/>
    <m/>
    <m/>
    <m/>
    <s v="SOLRECOUP"/>
    <s v="SOLRECOUP"/>
    <s v="POARECOUP"/>
    <n v="21324406"/>
    <n v="-186.36"/>
    <m/>
    <s v="Y"/>
    <n v="1"/>
    <d v="2023-07-03T19:42:51"/>
    <s v="N"/>
    <m/>
    <m/>
    <s v="Expert Disbursement"/>
    <m/>
    <s v="N"/>
    <n v="-155.3"/>
    <n v="0"/>
    <x v="3"/>
    <s v="VALIDATED"/>
    <n v="1"/>
    <s v="01.11.80.308.2013.0000"/>
    <n v="-155.3"/>
    <s v="11"/>
    <s v="2013"/>
    <n v="6297.41"/>
    <n v="-155.3"/>
    <s v="CREDITOR"/>
    <n v="0"/>
    <n v="0"/>
    <n v="-155.3"/>
    <n v="0"/>
    <n v="0"/>
  </r>
  <r>
    <n v="60536024"/>
    <s v="N"/>
    <n v="21324406"/>
    <s v="3000014787300008RC"/>
    <s v="CIVIL"/>
    <d v="2023-06-21T00:00:00"/>
    <d v="2023-07-03T19:42:50"/>
    <m/>
    <d v="2023-07-03T00:00:00"/>
    <n v="669"/>
    <n v="17152"/>
    <s v="60536024"/>
    <s v="60536024"/>
    <m/>
    <m/>
    <m/>
    <m/>
    <m/>
    <m/>
    <s v="SOLRECOUP"/>
    <s v="SOLRECOUP"/>
    <s v="POARECOUP"/>
    <n v="21324406"/>
    <n v="-186.36"/>
    <m/>
    <s v="Y"/>
    <n v="2"/>
    <d v="2023-07-03T19:42:51"/>
    <s v="N"/>
    <m/>
    <m/>
    <s v="Expert Disbursement"/>
    <m/>
    <s v="N"/>
    <n v="0"/>
    <n v="-31.06"/>
    <x v="3"/>
    <s v="VALIDATED"/>
    <n v="1"/>
    <s v="01.11.80.308.2013.0000"/>
    <n v="-31.06"/>
    <s v="11"/>
    <s v="2013"/>
    <n v="6297.41"/>
    <n v="-31.06"/>
    <s v="CREDITOR"/>
    <n v="0"/>
    <n v="0"/>
    <n v="-31.06"/>
    <n v="0"/>
    <n v="0"/>
  </r>
  <r>
    <n v="60536024"/>
    <s v="N"/>
    <n v="21324407"/>
    <s v="3000014787300009RC"/>
    <s v="CIVIL"/>
    <d v="2023-06-21T00:00:00"/>
    <d v="2023-07-03T19:42:50"/>
    <m/>
    <d v="2023-07-03T00:00:00"/>
    <n v="669"/>
    <n v="17152"/>
    <s v="60536024"/>
    <s v="60536024"/>
    <m/>
    <m/>
    <m/>
    <m/>
    <m/>
    <m/>
    <s v="SOLRECOUP"/>
    <s v="SOLRECOUP"/>
    <s v="POARECOUP"/>
    <n v="21324407"/>
    <n v="-490.32"/>
    <m/>
    <s v="Y"/>
    <n v="1"/>
    <d v="2023-07-03T19:42:51"/>
    <s v="N"/>
    <m/>
    <m/>
    <s v="Expert Disbursement"/>
    <m/>
    <s v="N"/>
    <n v="-408.6"/>
    <n v="0"/>
    <x v="3"/>
    <s v="VALIDATED"/>
    <n v="1"/>
    <s v="01.11.80.308.2013.0000"/>
    <n v="-408.6"/>
    <s v="11"/>
    <s v="2013"/>
    <n v="6297.41"/>
    <n v="-408.6"/>
    <s v="CREDITOR"/>
    <n v="0"/>
    <n v="0"/>
    <n v="-408.6"/>
    <n v="0"/>
    <n v="0"/>
  </r>
  <r>
    <n v="60536024"/>
    <s v="N"/>
    <n v="21324407"/>
    <s v="3000014787300009RC"/>
    <s v="CIVIL"/>
    <d v="2023-06-21T00:00:00"/>
    <d v="2023-07-03T19:42:50"/>
    <m/>
    <d v="2023-07-03T00:00:00"/>
    <n v="669"/>
    <n v="17152"/>
    <s v="60536024"/>
    <s v="60536024"/>
    <m/>
    <m/>
    <m/>
    <m/>
    <m/>
    <m/>
    <s v="SOLRECOUP"/>
    <s v="SOLRECOUP"/>
    <s v="POARECOUP"/>
    <n v="21324407"/>
    <n v="-490.32"/>
    <m/>
    <s v="Y"/>
    <n v="2"/>
    <d v="2023-07-03T19:42:51"/>
    <s v="N"/>
    <m/>
    <m/>
    <s v="Expert Disbursement"/>
    <m/>
    <s v="N"/>
    <n v="0"/>
    <n v="-81.72"/>
    <x v="3"/>
    <s v="VALIDATED"/>
    <n v="1"/>
    <s v="01.11.80.308.2013.0000"/>
    <n v="-81.72"/>
    <s v="11"/>
    <s v="2013"/>
    <n v="6297.41"/>
    <n v="-81.72"/>
    <s v="CREDITOR"/>
    <n v="0"/>
    <n v="0"/>
    <n v="-81.72"/>
    <n v="0"/>
    <n v="0"/>
  </r>
  <r>
    <n v="60536024"/>
    <s v="N"/>
    <n v="21324408"/>
    <s v="3000014787300010RC"/>
    <s v="CIVIL"/>
    <d v="2023-06-21T00:00:00"/>
    <d v="2023-07-03T19:42:50"/>
    <m/>
    <d v="2023-07-03T00:00:00"/>
    <n v="669"/>
    <n v="17152"/>
    <s v="60536024"/>
    <s v="60536024"/>
    <m/>
    <m/>
    <m/>
    <m/>
    <m/>
    <m/>
    <s v="SOLRECOUP"/>
    <s v="SOLRECOUP"/>
    <s v="POARECOUP"/>
    <n v="21324408"/>
    <n v="-244.8"/>
    <m/>
    <s v="Y"/>
    <n v="1"/>
    <d v="2023-07-03T19:42:51"/>
    <s v="N"/>
    <m/>
    <m/>
    <s v="Expert Disbursement"/>
    <m/>
    <s v="N"/>
    <n v="-204"/>
    <n v="0"/>
    <x v="3"/>
    <s v="VALIDATED"/>
    <n v="1"/>
    <s v="01.11.80.308.2013.0000"/>
    <n v="-204"/>
    <s v="11"/>
    <s v="2013"/>
    <n v="6297.41"/>
    <n v="-204"/>
    <s v="CREDITOR"/>
    <n v="0"/>
    <n v="0"/>
    <n v="-204"/>
    <n v="0"/>
    <n v="0"/>
  </r>
  <r>
    <n v="60536024"/>
    <s v="N"/>
    <n v="21324408"/>
    <s v="3000014787300010RC"/>
    <s v="CIVIL"/>
    <d v="2023-06-21T00:00:00"/>
    <d v="2023-07-03T19:42:50"/>
    <m/>
    <d v="2023-07-03T00:00:00"/>
    <n v="669"/>
    <n v="17152"/>
    <s v="60536024"/>
    <s v="60536024"/>
    <m/>
    <m/>
    <m/>
    <m/>
    <m/>
    <m/>
    <s v="SOLRECOUP"/>
    <s v="SOLRECOUP"/>
    <s v="POARECOUP"/>
    <n v="21324408"/>
    <n v="-244.8"/>
    <m/>
    <s v="Y"/>
    <n v="2"/>
    <d v="2023-07-03T19:42:51"/>
    <s v="N"/>
    <m/>
    <m/>
    <s v="Expert Disbursement"/>
    <m/>
    <s v="N"/>
    <n v="0"/>
    <n v="-40.8"/>
    <x v="3"/>
    <s v="VALIDATED"/>
    <n v="1"/>
    <s v="01.11.80.308.2013.0000"/>
    <n v="-40.8"/>
    <s v="11"/>
    <s v="2013"/>
    <n v="6297.41"/>
    <n v="-40.8"/>
    <s v="CREDITOR"/>
    <n v="0"/>
    <n v="0"/>
    <n v="-40.8"/>
    <n v="0"/>
    <n v="0"/>
  </r>
  <r>
    <n v="60536024"/>
    <s v="N"/>
    <n v="21324409"/>
    <s v="3000014787300011RC"/>
    <s v="CIVIL"/>
    <d v="2023-06-21T00:00:00"/>
    <d v="2023-07-03T19:42:50"/>
    <m/>
    <d v="2023-07-03T00:00:00"/>
    <n v="669"/>
    <n v="17152"/>
    <s v="60536024"/>
    <s v="60536024"/>
    <m/>
    <m/>
    <m/>
    <m/>
    <m/>
    <m/>
    <s v="SOLRECOUP"/>
    <s v="SOLRECOUP"/>
    <s v="POARECOUP"/>
    <n v="21324409"/>
    <n v="-200.64"/>
    <m/>
    <s v="Y"/>
    <n v="1"/>
    <d v="2023-07-03T19:42:51"/>
    <s v="N"/>
    <m/>
    <m/>
    <s v="Expert Disbursement"/>
    <m/>
    <s v="N"/>
    <n v="-167.2"/>
    <n v="0"/>
    <x v="3"/>
    <s v="VALIDATED"/>
    <n v="1"/>
    <s v="01.11.80.308.2013.0000"/>
    <n v="-167.2"/>
    <s v="11"/>
    <s v="2013"/>
    <n v="6297.41"/>
    <n v="-167.2"/>
    <s v="CREDITOR"/>
    <n v="0"/>
    <n v="0"/>
    <n v="-167.2"/>
    <n v="0"/>
    <n v="0"/>
  </r>
  <r>
    <n v="60536024"/>
    <s v="N"/>
    <n v="21324409"/>
    <s v="3000014787300011RC"/>
    <s v="CIVIL"/>
    <d v="2023-06-21T00:00:00"/>
    <d v="2023-07-03T19:42:50"/>
    <m/>
    <d v="2023-07-03T00:00:00"/>
    <n v="669"/>
    <n v="17152"/>
    <s v="60536024"/>
    <s v="60536024"/>
    <m/>
    <m/>
    <m/>
    <m/>
    <m/>
    <m/>
    <s v="SOLRECOUP"/>
    <s v="SOLRECOUP"/>
    <s v="POARECOUP"/>
    <n v="21324409"/>
    <n v="-200.64"/>
    <m/>
    <s v="Y"/>
    <n v="2"/>
    <d v="2023-07-03T19:42:51"/>
    <s v="N"/>
    <m/>
    <m/>
    <s v="Expert Disbursement"/>
    <m/>
    <s v="N"/>
    <n v="0"/>
    <n v="-33.44"/>
    <x v="3"/>
    <s v="VALIDATED"/>
    <n v="1"/>
    <s v="01.11.80.308.2013.0000"/>
    <n v="-33.44"/>
    <s v="11"/>
    <s v="2013"/>
    <n v="6297.41"/>
    <n v="-33.44"/>
    <s v="CREDITOR"/>
    <n v="0"/>
    <n v="0"/>
    <n v="-33.44"/>
    <n v="0"/>
    <n v="0"/>
  </r>
  <r>
    <n v="60536024"/>
    <s v="N"/>
    <n v="21324410"/>
    <s v="3000014787300014RC"/>
    <s v="CIVIL"/>
    <d v="2023-06-21T00:00:00"/>
    <d v="2023-07-03T19:42:50"/>
    <m/>
    <d v="2023-07-03T00:00:00"/>
    <n v="669"/>
    <n v="17152"/>
    <s v="60536024"/>
    <s v="60536024"/>
    <m/>
    <m/>
    <m/>
    <m/>
    <m/>
    <m/>
    <s v="SOLRECOUP"/>
    <s v="SOLRECOUP"/>
    <s v="POARECOUP"/>
    <n v="21324410"/>
    <n v="-38.88"/>
    <m/>
    <s v="Y"/>
    <n v="1"/>
    <d v="2023-07-03T19:42:51"/>
    <s v="N"/>
    <m/>
    <m/>
    <s v="Expert Disbursement"/>
    <m/>
    <s v="N"/>
    <n v="-32.4"/>
    <n v="0"/>
    <x v="3"/>
    <s v="VALIDATED"/>
    <n v="1"/>
    <s v="01.11.80.308.2013.0000"/>
    <n v="-32.4"/>
    <s v="11"/>
    <s v="2013"/>
    <n v="6297.41"/>
    <n v="-32.4"/>
    <s v="CREDITOR"/>
    <n v="0"/>
    <n v="0"/>
    <n v="-32.4"/>
    <n v="0"/>
    <n v="0"/>
  </r>
  <r>
    <n v="60536024"/>
    <s v="N"/>
    <n v="21324410"/>
    <s v="3000014787300014RC"/>
    <s v="CIVIL"/>
    <d v="2023-06-21T00:00:00"/>
    <d v="2023-07-03T19:42:50"/>
    <m/>
    <d v="2023-07-03T00:00:00"/>
    <n v="669"/>
    <n v="17152"/>
    <s v="60536024"/>
    <s v="60536024"/>
    <m/>
    <m/>
    <m/>
    <m/>
    <m/>
    <m/>
    <s v="SOLRECOUP"/>
    <s v="SOLRECOUP"/>
    <s v="POARECOUP"/>
    <n v="21324410"/>
    <n v="-38.88"/>
    <m/>
    <s v="Y"/>
    <n v="2"/>
    <d v="2023-07-03T19:42:51"/>
    <s v="N"/>
    <m/>
    <m/>
    <s v="Expert Disbursement"/>
    <m/>
    <s v="N"/>
    <n v="0"/>
    <n v="-6.48"/>
    <x v="3"/>
    <s v="VALIDATED"/>
    <n v="1"/>
    <s v="01.11.80.308.2013.0000"/>
    <n v="-6.48"/>
    <s v="11"/>
    <s v="2013"/>
    <n v="6297.41"/>
    <n v="-6.48"/>
    <s v="CREDITOR"/>
    <n v="0"/>
    <n v="0"/>
    <n v="-6.48"/>
    <n v="0"/>
    <n v="0"/>
  </r>
  <r>
    <n v="60044621"/>
    <s v="N"/>
    <n v="21324411"/>
    <s v="3000014382940007RC"/>
    <s v="CIVIL"/>
    <d v="2023-06-23T00:00:00"/>
    <d v="2023-07-03T19:42:50"/>
    <m/>
    <d v="2023-07-03T00:00:00"/>
    <n v="669"/>
    <n v="17152"/>
    <s v="60044621"/>
    <s v="60044621"/>
    <m/>
    <m/>
    <m/>
    <m/>
    <m/>
    <m/>
    <s v="SOLRECOUP"/>
    <s v="SOLRECOUP"/>
    <s v="POARECOUP"/>
    <n v="21324411"/>
    <n v="-430.2"/>
    <m/>
    <s v="Y"/>
    <n v="1"/>
    <d v="2023-07-03T19:42:51"/>
    <s v="N"/>
    <m/>
    <m/>
    <s v="Expert Disbursement"/>
    <m/>
    <s v="N"/>
    <n v="-358.5"/>
    <n v="0"/>
    <x v="3"/>
    <s v="VALIDATED"/>
    <n v="1"/>
    <s v="01.11.80.308.2013.0000"/>
    <n v="-358.5"/>
    <s v="11"/>
    <s v="2013"/>
    <n v="6297.41"/>
    <n v="-358.5"/>
    <s v="CREDITOR"/>
    <n v="0"/>
    <n v="0"/>
    <n v="-358.5"/>
    <n v="0"/>
    <n v="0"/>
  </r>
  <r>
    <n v="60044621"/>
    <s v="N"/>
    <n v="21324411"/>
    <s v="3000014382940007RC"/>
    <s v="CIVIL"/>
    <d v="2023-06-23T00:00:00"/>
    <d v="2023-07-03T19:42:50"/>
    <m/>
    <d v="2023-07-03T00:00:00"/>
    <n v="669"/>
    <n v="17152"/>
    <s v="60044621"/>
    <s v="60044621"/>
    <m/>
    <m/>
    <m/>
    <m/>
    <m/>
    <m/>
    <s v="SOLRECOUP"/>
    <s v="SOLRECOUP"/>
    <s v="POARECOUP"/>
    <n v="21324411"/>
    <n v="-430.2"/>
    <m/>
    <s v="Y"/>
    <n v="2"/>
    <d v="2023-07-03T19:42:51"/>
    <s v="N"/>
    <m/>
    <m/>
    <s v="Expert Disbursement"/>
    <m/>
    <s v="N"/>
    <n v="0"/>
    <n v="-71.7"/>
    <x v="3"/>
    <s v="VALIDATED"/>
    <n v="1"/>
    <s v="01.11.80.308.2013.0000"/>
    <n v="-71.7"/>
    <s v="11"/>
    <s v="2013"/>
    <n v="6297.41"/>
    <n v="-71.7"/>
    <s v="CREDITOR"/>
    <n v="0"/>
    <n v="0"/>
    <n v="-71.7"/>
    <n v="0"/>
    <n v="0"/>
  </r>
  <r>
    <n v="60044621"/>
    <s v="N"/>
    <n v="21324412"/>
    <s v="3000014382940010RC"/>
    <s v="CIVIL"/>
    <d v="2023-06-23T00:00:00"/>
    <d v="2023-07-03T19:42:50"/>
    <m/>
    <d v="2023-07-03T00:00:00"/>
    <n v="669"/>
    <n v="17152"/>
    <s v="60044621"/>
    <s v="60044621"/>
    <m/>
    <m/>
    <m/>
    <m/>
    <m/>
    <m/>
    <s v="SOLRECOUP"/>
    <s v="SOLRECOUP"/>
    <s v="POARECOUP"/>
    <n v="21324412"/>
    <n v="-430.2"/>
    <m/>
    <s v="Y"/>
    <n v="1"/>
    <d v="2023-07-03T19:42:51"/>
    <s v="N"/>
    <m/>
    <m/>
    <s v="Expert Disbursement"/>
    <m/>
    <s v="N"/>
    <n v="-358.5"/>
    <n v="0"/>
    <x v="3"/>
    <s v="VALIDATED"/>
    <n v="1"/>
    <s v="01.11.80.308.2013.0000"/>
    <n v="-358.5"/>
    <s v="11"/>
    <s v="2013"/>
    <n v="6297.41"/>
    <n v="-358.5"/>
    <s v="CREDITOR"/>
    <n v="0"/>
    <n v="0"/>
    <n v="-358.5"/>
    <n v="0"/>
    <n v="0"/>
  </r>
  <r>
    <n v="60044621"/>
    <s v="N"/>
    <n v="21324412"/>
    <s v="3000014382940010RC"/>
    <s v="CIVIL"/>
    <d v="2023-06-23T00:00:00"/>
    <d v="2023-07-03T19:42:50"/>
    <m/>
    <d v="2023-07-03T00:00:00"/>
    <n v="669"/>
    <n v="17152"/>
    <s v="60044621"/>
    <s v="60044621"/>
    <m/>
    <m/>
    <m/>
    <m/>
    <m/>
    <m/>
    <s v="SOLRECOUP"/>
    <s v="SOLRECOUP"/>
    <s v="POARECOUP"/>
    <n v="21324412"/>
    <n v="-430.2"/>
    <m/>
    <s v="Y"/>
    <n v="2"/>
    <d v="2023-07-03T19:42:51"/>
    <s v="N"/>
    <m/>
    <m/>
    <s v="Expert Disbursement"/>
    <m/>
    <s v="N"/>
    <n v="0"/>
    <n v="-71.7"/>
    <x v="3"/>
    <s v="VALIDATED"/>
    <n v="1"/>
    <s v="01.11.80.308.2013.0000"/>
    <n v="-71.7"/>
    <s v="11"/>
    <s v="2013"/>
    <n v="6297.41"/>
    <n v="-71.7"/>
    <s v="CREDITOR"/>
    <n v="0"/>
    <n v="0"/>
    <n v="-71.7"/>
    <n v="0"/>
    <n v="0"/>
  </r>
  <r>
    <n v="60536024"/>
    <s v="N"/>
    <n v="21324413"/>
    <s v="3000014787300016RC"/>
    <s v="CIVIL"/>
    <d v="2023-06-21T00:00:00"/>
    <d v="2023-07-03T19:42:50"/>
    <m/>
    <d v="2023-07-03T00:00:00"/>
    <n v="669"/>
    <n v="17152"/>
    <s v="60536024"/>
    <s v="60536024"/>
    <m/>
    <m/>
    <m/>
    <m/>
    <m/>
    <m/>
    <s v="SOLRECOUP"/>
    <s v="SOLRECOUP"/>
    <s v="POARECOUP"/>
    <n v="21324413"/>
    <n v="-265.68"/>
    <m/>
    <s v="Y"/>
    <n v="1"/>
    <d v="2023-07-03T19:42:51"/>
    <s v="N"/>
    <m/>
    <m/>
    <s v="Expert Disbursement"/>
    <m/>
    <s v="N"/>
    <n v="-221.4"/>
    <n v="0"/>
    <x v="3"/>
    <s v="VALIDATED"/>
    <n v="1"/>
    <s v="01.11.80.308.2013.0000"/>
    <n v="-221.4"/>
    <s v="11"/>
    <s v="2013"/>
    <n v="6297.41"/>
    <n v="-221.4"/>
    <s v="CREDITOR"/>
    <n v="0"/>
    <n v="0"/>
    <n v="-221.4"/>
    <n v="0"/>
    <n v="0"/>
  </r>
  <r>
    <n v="60536024"/>
    <s v="N"/>
    <n v="21324413"/>
    <s v="3000014787300016RC"/>
    <s v="CIVIL"/>
    <d v="2023-06-21T00:00:00"/>
    <d v="2023-07-03T19:42:50"/>
    <m/>
    <d v="2023-07-03T00:00:00"/>
    <n v="669"/>
    <n v="17152"/>
    <s v="60536024"/>
    <s v="60536024"/>
    <m/>
    <m/>
    <m/>
    <m/>
    <m/>
    <m/>
    <s v="SOLRECOUP"/>
    <s v="SOLRECOUP"/>
    <s v="POARECOUP"/>
    <n v="21324413"/>
    <n v="-265.68"/>
    <m/>
    <s v="Y"/>
    <n v="2"/>
    <d v="2023-07-03T19:42:51"/>
    <s v="N"/>
    <m/>
    <m/>
    <s v="Expert Disbursement"/>
    <m/>
    <s v="N"/>
    <n v="0"/>
    <n v="-44.28"/>
    <x v="3"/>
    <s v="VALIDATED"/>
    <n v="1"/>
    <s v="01.11.80.308.2013.0000"/>
    <n v="-44.28"/>
    <s v="11"/>
    <s v="2013"/>
    <n v="6297.41"/>
    <n v="-44.28"/>
    <s v="CREDITOR"/>
    <n v="0"/>
    <n v="0"/>
    <n v="-44.28"/>
    <n v="0"/>
    <n v="0"/>
  </r>
  <r>
    <n v="56670622"/>
    <s v="N"/>
    <n v="21318718"/>
    <s v="3000013446030007"/>
    <s v="CIVIL"/>
    <d v="2023-06-22T00:00:00"/>
    <d v="2023-07-03T19:01:49"/>
    <m/>
    <d v="2023-07-03T00:00:00"/>
    <n v="675"/>
    <n v="17196"/>
    <s v="56670622"/>
    <s v="56670622"/>
    <m/>
    <m/>
    <n v="22741554"/>
    <m/>
    <m/>
    <m/>
    <s v="SOLFIN"/>
    <s v="SOLFIN"/>
    <s v="CCMS"/>
    <n v="21318718"/>
    <n v="16145.32"/>
    <m/>
    <s v="N"/>
    <n v="74"/>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91"/>
    <d v="2023-07-03T19:02:02"/>
    <s v="Y"/>
    <s v="Routine Telephone Call"/>
    <s v="Prescribed Hourly Rates"/>
    <s v="Profit Cost"/>
    <s v="NPM"/>
    <s v="Y"/>
    <n v="5.4"/>
    <n v="1.08"/>
    <x v="3"/>
    <s v="VALIDATED"/>
    <n v="1"/>
    <s v="01.11.80.307.6100.0000"/>
    <n v="5.4"/>
    <s v="11"/>
    <s v="6100"/>
    <n v="18393.56"/>
    <n v="5.4"/>
    <s v="CREDITOR"/>
    <n v="0"/>
    <n v="0"/>
    <n v="0"/>
    <n v="0"/>
    <n v="5.4"/>
  </r>
  <r>
    <n v="56670622"/>
    <s v="N"/>
    <n v="21318718"/>
    <s v="3000013446030007"/>
    <s v="CIVIL"/>
    <d v="2023-06-22T00:00:00"/>
    <d v="2023-07-03T19:01:49"/>
    <m/>
    <d v="2023-07-03T00:00:00"/>
    <n v="675"/>
    <n v="17196"/>
    <s v="56670622"/>
    <s v="56670622"/>
    <m/>
    <m/>
    <n v="22741554"/>
    <m/>
    <m/>
    <m/>
    <s v="SOLFIN"/>
    <s v="SOLFIN"/>
    <s v="CCMS"/>
    <n v="21318718"/>
    <n v="16145.32"/>
    <m/>
    <s v="N"/>
    <n v="149"/>
    <d v="2023-07-03T19:02:02"/>
    <s v="Y"/>
    <s v="Preparation - other"/>
    <s v="Prescribed Hourly Rates"/>
    <s v="Profit Cost"/>
    <s v="CD+"/>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5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72"/>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62"/>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104"/>
    <d v="2023-07-03T19:02:02"/>
    <s v="Y"/>
    <s v="Report - Medical report"/>
    <s v="Prescribed Hourly Rates"/>
    <s v="Profit Cost"/>
    <s v="AW+"/>
    <s v="Y"/>
    <n v="16.47"/>
    <n v="3.29"/>
    <x v="3"/>
    <s v="VALIDATED"/>
    <n v="1"/>
    <s v="01.11.80.307.6100.0000"/>
    <n v="16.47"/>
    <s v="11"/>
    <s v="6100"/>
    <n v="18393.56"/>
    <n v="16.47"/>
    <s v="CREDITOR"/>
    <n v="0"/>
    <n v="0"/>
    <n v="0"/>
    <n v="0"/>
    <n v="16.47"/>
  </r>
  <r>
    <n v="61841763"/>
    <s v="N"/>
    <n v="21319970"/>
    <s v="3000015908250003"/>
    <s v="CIVIL"/>
    <d v="2023-06-27T00:00:00"/>
    <d v="2023-07-03T19:04:24"/>
    <m/>
    <d v="2023-07-03T00:00:00"/>
    <n v="675"/>
    <n v="17196"/>
    <s v="61841763"/>
    <s v="61841763"/>
    <m/>
    <m/>
    <n v="22768390"/>
    <m/>
    <m/>
    <m/>
    <s v="SOLPOA"/>
    <s v="SOLPOA"/>
    <s v="CCMS"/>
    <n v="21319970"/>
    <n v="187.72"/>
    <m/>
    <s v="N"/>
    <n v="1"/>
    <d v="2023-07-03T19:04:28"/>
    <s v="N"/>
    <s v="Expert Cost"/>
    <s v="Expert Cost"/>
    <s v="Expert Disbursement"/>
    <s v="Angela Timbrell"/>
    <s v="N"/>
    <n v="156.43"/>
    <n v="31.29"/>
    <x v="3"/>
    <s v="VALIDATED"/>
    <n v="1"/>
    <s v="01.11.80.308.2012.0000"/>
    <n v="156.43"/>
    <s v="11"/>
    <s v="2012"/>
    <n v="18393.56"/>
    <n v="156.43"/>
    <s v="CREDITOR"/>
    <n v="156.43"/>
    <n v="0"/>
    <n v="0"/>
    <n v="0"/>
    <n v="0"/>
  </r>
  <r>
    <n v="62340104"/>
    <s v="N"/>
    <n v="21320932"/>
    <s v="3000016321660004"/>
    <s v="CIVIL"/>
    <d v="2023-06-28T00:00:00"/>
    <d v="2023-07-03T19:04:52"/>
    <m/>
    <d v="2023-07-03T00:00:00"/>
    <n v="675"/>
    <n v="17196"/>
    <s v="62340104"/>
    <s v="62340104"/>
    <m/>
    <m/>
    <n v="22779504"/>
    <m/>
    <m/>
    <m/>
    <s v="SOLPOA"/>
    <s v="SOLPOA"/>
    <s v="CCMS"/>
    <n v="21320932"/>
    <n v="67.2"/>
    <m/>
    <s v="N"/>
    <n v="1"/>
    <d v="2023-07-03T19:04:57"/>
    <s v="N"/>
    <s v="Expert Cost"/>
    <s v="Expert Cost"/>
    <s v="Expert Disbursement"/>
    <s v="Carl Ward"/>
    <s v="N"/>
    <n v="56"/>
    <n v="11.2"/>
    <x v="3"/>
    <s v="VALIDATED"/>
    <n v="1"/>
    <s v="01.11.80.308.2012.0000"/>
    <n v="56"/>
    <s v="11"/>
    <s v="2012"/>
    <n v="18393.56"/>
    <n v="56"/>
    <s v="CREDITOR"/>
    <n v="56"/>
    <n v="0"/>
    <n v="0"/>
    <n v="0"/>
    <n v="0"/>
  </r>
  <r>
    <n v="56670622"/>
    <s v="N"/>
    <n v="21318718"/>
    <s v="3000013446030007"/>
    <s v="CIVIL"/>
    <d v="2023-06-22T00:00:00"/>
    <d v="2023-07-03T19:01:49"/>
    <m/>
    <d v="2023-07-03T00:00:00"/>
    <n v="675"/>
    <n v="17196"/>
    <s v="56670622"/>
    <s v="56670622"/>
    <m/>
    <m/>
    <n v="22741554"/>
    <m/>
    <m/>
    <m/>
    <s v="SOLFIN"/>
    <s v="SOLFIN"/>
    <s v="CCMS"/>
    <n v="21318718"/>
    <n v="16145.32"/>
    <m/>
    <s v="N"/>
    <n v="16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5"/>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61"/>
    <d v="2023-07-03T19:02:02"/>
    <s v="Y"/>
    <s v="Preparation - other"/>
    <s v="Prescribed Hourly Rates"/>
    <s v="Profit Cost"/>
    <s v="AW+"/>
    <s v="Y"/>
    <n v="8.24"/>
    <n v="1.65"/>
    <x v="3"/>
    <s v="VALIDATED"/>
    <n v="1"/>
    <s v="01.11.80.307.6100.0000"/>
    <n v="8.24"/>
    <s v="11"/>
    <s v="6100"/>
    <n v="18393.56"/>
    <n v="8.24"/>
    <s v="CREDITOR"/>
    <n v="0"/>
    <n v="0"/>
    <n v="0"/>
    <n v="0"/>
    <n v="8.24"/>
  </r>
  <r>
    <n v="60233501"/>
    <s v="N"/>
    <n v="21319936"/>
    <s v="3000014544680013"/>
    <s v="CIVIL"/>
    <d v="2023-06-28T00:00:00"/>
    <d v="2023-07-03T19:04:24"/>
    <m/>
    <d v="2023-07-03T00:00:00"/>
    <n v="675"/>
    <n v="17196"/>
    <s v="60233501"/>
    <s v="60233501"/>
    <m/>
    <m/>
    <n v="22777416"/>
    <m/>
    <m/>
    <m/>
    <s v="SOLPOA"/>
    <s v="SOLPOA"/>
    <s v="CCMS"/>
    <n v="21319936"/>
    <n v="155.52"/>
    <m/>
    <s v="N"/>
    <n v="1"/>
    <d v="2023-07-03T19:04:28"/>
    <s v="N"/>
    <s v="Expert Cost"/>
    <s v="Expert Cost"/>
    <s v="Expert Disbursement"/>
    <s v="Cameron Dymond"/>
    <s v="N"/>
    <n v="155.52"/>
    <n v="0"/>
    <x v="3"/>
    <s v="VALIDATED"/>
    <n v="1"/>
    <s v="01.11.80.308.2012.0000"/>
    <n v="155.52"/>
    <s v="11"/>
    <s v="2012"/>
    <n v="18393.56"/>
    <n v="155.52"/>
    <s v="CREDITOR"/>
    <n v="155.52"/>
    <n v="0"/>
    <n v="0"/>
    <n v="0"/>
    <n v="0"/>
  </r>
  <r>
    <n v="56670622"/>
    <s v="N"/>
    <n v="21318718"/>
    <s v="3000013446030007"/>
    <s v="CIVIL"/>
    <d v="2023-06-22T00:00:00"/>
    <d v="2023-07-03T19:01:49"/>
    <m/>
    <d v="2023-07-03T00:00:00"/>
    <n v="675"/>
    <n v="17196"/>
    <s v="56670622"/>
    <s v="56670622"/>
    <m/>
    <m/>
    <n v="22741554"/>
    <m/>
    <m/>
    <m/>
    <s v="SOLFIN"/>
    <s v="SOLFIN"/>
    <s v="CCMS"/>
    <n v="21318718"/>
    <n v="16145.32"/>
    <m/>
    <s v="N"/>
    <n v="72"/>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85"/>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91"/>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130"/>
    <d v="2023-07-03T19:02:02"/>
    <s v="Y"/>
    <s v="Preparation - drafting notice(s)"/>
    <s v="Prescribed Hourly Rates"/>
    <s v="Profit Cost"/>
    <s v="AW"/>
    <s v="Y"/>
    <n v="6.31"/>
    <n v="1.26"/>
    <x v="3"/>
    <s v="VALIDATED"/>
    <n v="1"/>
    <s v="01.11.80.307.6100.0000"/>
    <n v="6.31"/>
    <s v="11"/>
    <s v="6100"/>
    <n v="18393.56"/>
    <n v="6.31"/>
    <s v="CREDITOR"/>
    <n v="0"/>
    <n v="0"/>
    <n v="0"/>
    <n v="0"/>
    <n v="6.31"/>
  </r>
  <r>
    <n v="56670622"/>
    <s v="N"/>
    <n v="21318718"/>
    <s v="3000013446030007"/>
    <s v="CIVIL"/>
    <d v="2023-06-22T00:00:00"/>
    <d v="2023-07-03T19:01:49"/>
    <m/>
    <d v="2023-07-03T00:00:00"/>
    <n v="675"/>
    <n v="17196"/>
    <s v="56670622"/>
    <s v="56670622"/>
    <m/>
    <m/>
    <n v="22741554"/>
    <m/>
    <m/>
    <m/>
    <s v="SOLFIN"/>
    <s v="SOLFIN"/>
    <s v="CCMS"/>
    <n v="21318718"/>
    <n v="16145.32"/>
    <m/>
    <s v="N"/>
    <n v="23"/>
    <d v="2023-07-03T19:02:02"/>
    <s v="Y"/>
    <s v="Preparation - drafting notice(s)"/>
    <s v="Prescribed Hourly Rates"/>
    <s v="Profit Cost"/>
    <s v="JH"/>
    <s v="Y"/>
    <n v="10.98"/>
    <n v="2.2"/>
    <x v="3"/>
    <s v="VALIDATED"/>
    <n v="1"/>
    <s v="01.11.80.307.6100.0000"/>
    <n v="10.98"/>
    <s v="11"/>
    <s v="6100"/>
    <n v="18393.56"/>
    <n v="10.98"/>
    <s v="CREDITOR"/>
    <n v="0"/>
    <n v="0"/>
    <n v="0"/>
    <n v="0"/>
    <n v="10.98"/>
  </r>
  <r>
    <n v="56670622"/>
    <s v="N"/>
    <n v="21318718"/>
    <s v="3000013446030007"/>
    <s v="CIVIL"/>
    <d v="2023-06-22T00:00:00"/>
    <d v="2023-07-03T19:01:49"/>
    <m/>
    <d v="2023-07-03T00:00:00"/>
    <n v="675"/>
    <n v="17196"/>
    <s v="56670622"/>
    <s v="56670622"/>
    <m/>
    <m/>
    <n v="22741554"/>
    <m/>
    <m/>
    <m/>
    <s v="SOLFIN"/>
    <s v="SOLFIN"/>
    <s v="CCMS"/>
    <n v="21318718"/>
    <n v="16145.32"/>
    <m/>
    <s v="N"/>
    <n v="47"/>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86"/>
    <d v="2023-07-03T19:02:02"/>
    <s v="Y"/>
    <s v="Preparation - drafting notice(s)"/>
    <s v="Prescribed Hourly Rates"/>
    <s v="Profit Cost"/>
    <s v="AW"/>
    <s v="Y"/>
    <n v="6.31"/>
    <n v="1.26"/>
    <x v="3"/>
    <s v="VALIDATED"/>
    <n v="1"/>
    <s v="01.11.80.307.6100.0000"/>
    <n v="6.31"/>
    <s v="11"/>
    <s v="6100"/>
    <n v="18393.56"/>
    <n v="6.31"/>
    <s v="CREDITOR"/>
    <n v="0"/>
    <n v="0"/>
    <n v="0"/>
    <n v="0"/>
    <n v="6.31"/>
  </r>
  <r>
    <n v="56670622"/>
    <s v="N"/>
    <n v="21318718"/>
    <s v="3000013446030007"/>
    <s v="CIVIL"/>
    <d v="2023-06-22T00:00:00"/>
    <d v="2023-07-03T19:01:49"/>
    <m/>
    <d v="2023-07-03T00:00:00"/>
    <n v="675"/>
    <n v="17196"/>
    <s v="56670622"/>
    <s v="56670622"/>
    <m/>
    <m/>
    <n v="22741554"/>
    <m/>
    <m/>
    <m/>
    <s v="SOLFIN"/>
    <s v="SOLFIN"/>
    <s v="CCMS"/>
    <n v="21318718"/>
    <n v="16145.32"/>
    <m/>
    <s v="N"/>
    <n v="51"/>
    <d v="2023-07-03T19:02:02"/>
    <s v="Y"/>
    <s v="Preparation - other"/>
    <s v="Prescribed Hourly Rates"/>
    <s v="Profit Cost"/>
    <s v="AW+"/>
    <s v="Y"/>
    <n v="16.47"/>
    <n v="3.29"/>
    <x v="3"/>
    <s v="VALIDATED"/>
    <n v="1"/>
    <s v="01.11.80.307.6100.0000"/>
    <n v="16.47"/>
    <s v="11"/>
    <s v="6100"/>
    <n v="18393.56"/>
    <n v="16.47"/>
    <s v="CREDITOR"/>
    <n v="0"/>
    <n v="0"/>
    <n v="0"/>
    <n v="0"/>
    <n v="16.47"/>
  </r>
  <r>
    <n v="56670622"/>
    <s v="N"/>
    <n v="21324414"/>
    <s v="3000013446030006RC"/>
    <s v="CIVIL"/>
    <d v="2023-06-22T00:00:00"/>
    <d v="2023-07-03T19:42:50"/>
    <m/>
    <d v="2023-07-03T00:00:00"/>
    <n v="675"/>
    <n v="17196"/>
    <s v="56670622"/>
    <s v="56670622"/>
    <m/>
    <m/>
    <m/>
    <m/>
    <m/>
    <m/>
    <s v="SOLRECOUP"/>
    <s v="SOLRECOUP"/>
    <s v="POARECOUP"/>
    <n v="21324414"/>
    <n v="-2294.32"/>
    <m/>
    <s v="Y"/>
    <n v="1"/>
    <d v="2023-07-03T19:42:51"/>
    <s v="N"/>
    <m/>
    <m/>
    <s v="Expert Disbursement"/>
    <m/>
    <s v="N"/>
    <n v="-1911.93"/>
    <n v="0"/>
    <x v="3"/>
    <s v="VALIDATED"/>
    <n v="1"/>
    <s v="01.11.80.307.2013.0000"/>
    <n v="-1911.93"/>
    <s v="11"/>
    <s v="2013"/>
    <n v="18393.56"/>
    <n v="-1911.93"/>
    <s v="CREDITOR"/>
    <n v="0"/>
    <n v="0"/>
    <n v="-1911.93"/>
    <n v="0"/>
    <n v="0"/>
  </r>
  <r>
    <n v="56670622"/>
    <s v="N"/>
    <n v="21324414"/>
    <s v="3000013446030006RC"/>
    <s v="CIVIL"/>
    <d v="2023-06-22T00:00:00"/>
    <d v="2023-07-03T19:42:50"/>
    <m/>
    <d v="2023-07-03T00:00:00"/>
    <n v="675"/>
    <n v="17196"/>
    <s v="56670622"/>
    <s v="56670622"/>
    <m/>
    <m/>
    <m/>
    <m/>
    <m/>
    <m/>
    <s v="SOLRECOUP"/>
    <s v="SOLRECOUP"/>
    <s v="POARECOUP"/>
    <n v="21324414"/>
    <n v="-2294.32"/>
    <m/>
    <s v="Y"/>
    <n v="2"/>
    <d v="2023-07-03T19:42:51"/>
    <s v="N"/>
    <m/>
    <m/>
    <s v="Expert Disbursement"/>
    <m/>
    <s v="N"/>
    <n v="0"/>
    <n v="-382.39"/>
    <x v="3"/>
    <s v="VALIDATED"/>
    <n v="1"/>
    <s v="01.11.80.307.2013.0000"/>
    <n v="-382.39"/>
    <s v="11"/>
    <s v="2013"/>
    <n v="18393.56"/>
    <n v="-382.39"/>
    <s v="CREDITOR"/>
    <n v="0"/>
    <n v="0"/>
    <n v="-382.39"/>
    <n v="0"/>
    <n v="0"/>
  </r>
  <r>
    <n v="56670622"/>
    <s v="N"/>
    <n v="21318718"/>
    <s v="3000013446030007"/>
    <s v="CIVIL"/>
    <d v="2023-06-22T00:00:00"/>
    <d v="2023-07-03T19:01:49"/>
    <m/>
    <d v="2023-07-03T00:00:00"/>
    <n v="675"/>
    <n v="17196"/>
    <s v="56670622"/>
    <s v="56670622"/>
    <m/>
    <m/>
    <n v="22741554"/>
    <m/>
    <m/>
    <m/>
    <s v="SOLFIN"/>
    <s v="SOLFIN"/>
    <s v="CCMS"/>
    <n v="21318718"/>
    <n v="16145.32"/>
    <m/>
    <s v="N"/>
    <n v="11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22"/>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51"/>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59"/>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181"/>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84"/>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13"/>
    <d v="2023-07-03T19:02:02"/>
    <s v="Y"/>
    <s v="Preparation - other"/>
    <s v="Prescribed Hourly Rates"/>
    <s v="Profit Cost"/>
    <s v="AW+"/>
    <s v="Y"/>
    <n v="32.94"/>
    <n v="6.59"/>
    <x v="3"/>
    <s v="VALIDATED"/>
    <n v="1"/>
    <s v="01.11.80.307.6100.0000"/>
    <n v="32.94"/>
    <s v="11"/>
    <s v="6100"/>
    <n v="18393.56"/>
    <n v="32.94"/>
    <s v="CREDITOR"/>
    <n v="0"/>
    <n v="0"/>
    <n v="0"/>
    <n v="0"/>
    <n v="32.94"/>
  </r>
  <r>
    <n v="56670622"/>
    <s v="N"/>
    <n v="21318718"/>
    <s v="3000013446030007"/>
    <s v="CIVIL"/>
    <d v="2023-06-22T00:00:00"/>
    <d v="2023-07-03T19:01:49"/>
    <m/>
    <d v="2023-07-03T00:00:00"/>
    <n v="675"/>
    <n v="17196"/>
    <s v="56670622"/>
    <s v="56670622"/>
    <m/>
    <m/>
    <n v="22741554"/>
    <m/>
    <m/>
    <m/>
    <s v="SOLFIN"/>
    <s v="SOLFIN"/>
    <s v="CCMS"/>
    <n v="21318718"/>
    <n v="16145.32"/>
    <m/>
    <s v="N"/>
    <n v="114"/>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5"/>
    <d v="2023-07-03T19:02:02"/>
    <s v="Y"/>
    <s v="Final Hearing - 1 Day"/>
    <s v="Private Law Children"/>
    <s v="Advocacy"/>
    <s v="AVW"/>
    <s v="Y"/>
    <n v="436.73"/>
    <n v="87.34"/>
    <x v="3"/>
    <s v="VALIDATED"/>
    <n v="1"/>
    <s v="01.11.80.307.6100.0000"/>
    <n v="436.73"/>
    <s v="11"/>
    <s v="6100"/>
    <n v="18393.56"/>
    <n v="436.73"/>
    <s v="CREDITOR"/>
    <n v="0"/>
    <n v="0"/>
    <n v="0"/>
    <n v="0"/>
    <n v="436.73"/>
  </r>
  <r>
    <n v="56670622"/>
    <s v="N"/>
    <n v="21318718"/>
    <s v="3000013446030007"/>
    <s v="CIVIL"/>
    <d v="2023-06-22T00:00:00"/>
    <d v="2023-07-03T19:01:49"/>
    <m/>
    <d v="2023-07-03T00:00:00"/>
    <n v="675"/>
    <n v="17196"/>
    <s v="56670622"/>
    <s v="56670622"/>
    <m/>
    <m/>
    <n v="22741554"/>
    <m/>
    <m/>
    <m/>
    <s v="SOLFIN"/>
    <s v="SOLFIN"/>
    <s v="CCMS"/>
    <n v="21318718"/>
    <n v="16145.32"/>
    <m/>
    <s v="N"/>
    <n v="190"/>
    <d v="2023-07-03T19:02:02"/>
    <s v="Y"/>
    <s v="Preparation - other"/>
    <s v="Prescribed Hourly Rates"/>
    <s v="Profit Cost"/>
    <s v="AW"/>
    <s v="Y"/>
    <n v="18.94"/>
    <n v="3.79"/>
    <x v="3"/>
    <s v="VALIDATED"/>
    <n v="1"/>
    <s v="01.11.80.307.6100.0000"/>
    <n v="18.94"/>
    <s v="11"/>
    <s v="6100"/>
    <n v="18393.56"/>
    <n v="18.94"/>
    <s v="CREDITOR"/>
    <n v="0"/>
    <n v="0"/>
    <n v="0"/>
    <n v="0"/>
    <n v="18.94"/>
  </r>
  <r>
    <n v="56670622"/>
    <s v="N"/>
    <n v="21318718"/>
    <s v="3000013446030007"/>
    <s v="CIVIL"/>
    <d v="2023-06-22T00:00:00"/>
    <d v="2023-07-03T19:01:49"/>
    <m/>
    <d v="2023-07-03T00:00:00"/>
    <n v="675"/>
    <n v="17196"/>
    <s v="56670622"/>
    <s v="56670622"/>
    <m/>
    <m/>
    <n v="22741554"/>
    <m/>
    <m/>
    <m/>
    <s v="SOLFIN"/>
    <s v="SOLFIN"/>
    <s v="CCMS"/>
    <n v="21318718"/>
    <n v="16145.32"/>
    <m/>
    <s v="N"/>
    <n v="76"/>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2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31"/>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35"/>
    <d v="2023-07-03T19:02:02"/>
    <s v="Y"/>
    <s v="Preparation - other"/>
    <s v="Prescribed Hourly Rates"/>
    <s v="Profit Cost"/>
    <s v="C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02"/>
    <d v="2023-07-03T19:02:02"/>
    <s v="Y"/>
    <s v="Preparation - drafting statement"/>
    <s v="Prescribed Hourly Rates"/>
    <s v="Profit Cost"/>
    <s v="C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03"/>
    <d v="2023-07-03T19:02:02"/>
    <s v="Y"/>
    <s v="Attendance upon/with Counsel at Con"/>
    <s v="Prescribed Hourly Rates"/>
    <s v="Profit Cost"/>
    <s v="CW"/>
    <s v="Y"/>
    <n v="25.92"/>
    <n v="5.18"/>
    <x v="3"/>
    <s v="VALIDATED"/>
    <n v="1"/>
    <s v="01.11.80.307.6100.0000"/>
    <n v="25.92"/>
    <s v="11"/>
    <s v="6100"/>
    <n v="18393.56"/>
    <n v="25.92"/>
    <s v="CREDITOR"/>
    <n v="0"/>
    <n v="0"/>
    <n v="0"/>
    <n v="0"/>
    <n v="25.92"/>
  </r>
  <r>
    <n v="56670622"/>
    <s v="N"/>
    <n v="21318718"/>
    <s v="3000013446030007"/>
    <s v="CIVIL"/>
    <d v="2023-06-22T00:00:00"/>
    <d v="2023-07-03T19:01:49"/>
    <m/>
    <d v="2023-07-03T00:00:00"/>
    <n v="675"/>
    <n v="17196"/>
    <s v="56670622"/>
    <s v="56670622"/>
    <m/>
    <m/>
    <n v="22741554"/>
    <m/>
    <m/>
    <m/>
    <s v="SOLFIN"/>
    <s v="SOLFIN"/>
    <s v="CCMS"/>
    <n v="21318718"/>
    <n v="16145.32"/>
    <m/>
    <s v="N"/>
    <n v="137"/>
    <d v="2023-07-03T19:02:02"/>
    <s v="Y"/>
    <s v="Preparation - other"/>
    <s v="Prescribed Hourly Rates"/>
    <s v="Profit Cost"/>
    <s v="AW+"/>
    <s v="Y"/>
    <n v="8.24"/>
    <n v="1.65"/>
    <x v="3"/>
    <s v="VALIDATED"/>
    <n v="1"/>
    <s v="01.11.80.307.6100.0000"/>
    <n v="8.24"/>
    <s v="11"/>
    <s v="6100"/>
    <n v="18393.56"/>
    <n v="8.24"/>
    <s v="CREDITOR"/>
    <n v="0"/>
    <n v="0"/>
    <n v="0"/>
    <n v="0"/>
    <n v="8.24"/>
  </r>
  <r>
    <n v="60539746"/>
    <s v="N"/>
    <n v="21321101"/>
    <s v="3000014809430016"/>
    <s v="CIVIL"/>
    <d v="2023-06-28T00:00:00"/>
    <d v="2023-07-03T19:04:52"/>
    <m/>
    <d v="2023-07-03T00:00:00"/>
    <n v="675"/>
    <n v="17196"/>
    <s v="60539746"/>
    <s v="60539746"/>
    <m/>
    <m/>
    <n v="22779372"/>
    <m/>
    <m/>
    <m/>
    <s v="SOLPOA"/>
    <s v="SOLPOA"/>
    <s v="CCMS"/>
    <n v="21321101"/>
    <n v="112.32"/>
    <m/>
    <s v="N"/>
    <n v="1"/>
    <d v="2023-07-03T19:04:57"/>
    <s v="N"/>
    <s v="Expert Cost"/>
    <s v="Expert Cost"/>
    <s v="Expert Disbursement"/>
    <s v="Andrew Wonnacott"/>
    <s v="N"/>
    <n v="93.59999999999999"/>
    <n v="18.72"/>
    <x v="3"/>
    <s v="VALIDATED"/>
    <n v="1"/>
    <s v="01.11.80.308.2012.0000"/>
    <n v="93.59999999999999"/>
    <s v="11"/>
    <s v="2012"/>
    <n v="18393.56"/>
    <n v="93.59999999999999"/>
    <s v="CREDITOR"/>
    <n v="93.59999999999999"/>
    <n v="0"/>
    <n v="0"/>
    <n v="0"/>
    <n v="0"/>
  </r>
  <r>
    <n v="56670622"/>
    <s v="N"/>
    <n v="21318718"/>
    <s v="3000013446030007"/>
    <s v="CIVIL"/>
    <d v="2023-06-22T00:00:00"/>
    <d v="2023-07-03T19:01:49"/>
    <m/>
    <d v="2023-07-03T00:00:00"/>
    <n v="675"/>
    <n v="17196"/>
    <s v="56670622"/>
    <s v="56670622"/>
    <m/>
    <m/>
    <n v="22741554"/>
    <m/>
    <m/>
    <m/>
    <s v="SOLFIN"/>
    <s v="SOLFIN"/>
    <s v="CCMS"/>
    <n v="21318718"/>
    <n v="16145.32"/>
    <m/>
    <s v="N"/>
    <n v="142"/>
    <d v="2023-07-03T19:02:02"/>
    <s v="Y"/>
    <s v="Preparation - other"/>
    <s v="Prescribed Hourly Rates"/>
    <s v="Profit Cost"/>
    <s v="AW+"/>
    <s v="Y"/>
    <n v="8.24"/>
    <n v="1.65"/>
    <x v="3"/>
    <s v="VALIDATED"/>
    <n v="1"/>
    <s v="01.11.80.307.6100.0000"/>
    <n v="8.24"/>
    <s v="11"/>
    <s v="6100"/>
    <n v="18393.56"/>
    <n v="8.24"/>
    <s v="CREDITOR"/>
    <n v="0"/>
    <n v="0"/>
    <n v="0"/>
    <n v="0"/>
    <n v="8.24"/>
  </r>
  <r>
    <n v="60500998"/>
    <s v="N"/>
    <n v="21318389"/>
    <s v="3000014776010004"/>
    <s v="CIVIL"/>
    <d v="2023-06-19T00:00:00"/>
    <d v="2023-07-03T19:01:49"/>
    <m/>
    <d v="2023-07-03T00:00:00"/>
    <n v="675"/>
    <n v="17196"/>
    <s v="60500998"/>
    <s v="60500998"/>
    <m/>
    <m/>
    <n v="22717938"/>
    <m/>
    <m/>
    <m/>
    <s v="SOLPOA"/>
    <s v="SOLPOA"/>
    <s v="CCMS"/>
    <n v="21318389"/>
    <n v="201.6"/>
    <m/>
    <s v="N"/>
    <n v="1"/>
    <d v="2023-07-03T19:01:54"/>
    <s v="N"/>
    <s v="Expert Cost"/>
    <s v="Expert Cost"/>
    <s v="Expert Disbursement"/>
    <s v="Andrew Wonnacott"/>
    <s v="N"/>
    <n v="168"/>
    <n v="33.6"/>
    <x v="3"/>
    <s v="VALIDATED"/>
    <n v="1"/>
    <s v="01.11.80.307.2012.0000"/>
    <n v="168"/>
    <s v="11"/>
    <s v="2012"/>
    <n v="18393.56"/>
    <n v="168"/>
    <s v="CREDITOR"/>
    <n v="168"/>
    <n v="0"/>
    <n v="0"/>
    <n v="0"/>
    <n v="0"/>
  </r>
  <r>
    <n v="56670622"/>
    <s v="N"/>
    <n v="21318718"/>
    <s v="3000013446030007"/>
    <s v="CIVIL"/>
    <d v="2023-06-22T00:00:00"/>
    <d v="2023-07-03T19:01:49"/>
    <m/>
    <d v="2023-07-03T00:00:00"/>
    <n v="675"/>
    <n v="17196"/>
    <s v="56670622"/>
    <s v="56670622"/>
    <m/>
    <m/>
    <n v="22741554"/>
    <m/>
    <m/>
    <m/>
    <s v="SOLFIN"/>
    <s v="SOLFIN"/>
    <s v="CCMS"/>
    <n v="21318718"/>
    <n v="16145.32"/>
    <m/>
    <s v="N"/>
    <n v="159"/>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177"/>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85"/>
    <d v="2023-07-03T19:02:02"/>
    <s v="Y"/>
    <s v="Preparation - other"/>
    <s v="Prescribed Hourly Rates"/>
    <s v="Profit Cost"/>
    <s v="AW"/>
    <s v="Y"/>
    <n v="12.63"/>
    <n v="2.53"/>
    <x v="3"/>
    <s v="VALIDATED"/>
    <n v="1"/>
    <s v="01.11.80.307.6100.0000"/>
    <n v="12.63"/>
    <s v="11"/>
    <s v="6100"/>
    <n v="18393.56"/>
    <n v="12.63"/>
    <s v="CREDITOR"/>
    <n v="0"/>
    <n v="0"/>
    <n v="0"/>
    <n v="0"/>
    <n v="12.63"/>
  </r>
  <r>
    <n v="56670622"/>
    <s v="N"/>
    <n v="21318718"/>
    <s v="3000013446030007"/>
    <s v="CIVIL"/>
    <d v="2023-06-22T00:00:00"/>
    <d v="2023-07-03T19:01:49"/>
    <m/>
    <d v="2023-07-03T00:00:00"/>
    <n v="675"/>
    <n v="17196"/>
    <s v="56670622"/>
    <s v="56670622"/>
    <m/>
    <m/>
    <n v="22741554"/>
    <m/>
    <m/>
    <m/>
    <s v="SOLFIN"/>
    <s v="SOLFIN"/>
    <s v="CCMS"/>
    <n v="21318718"/>
    <n v="16145.32"/>
    <m/>
    <s v="N"/>
    <n v="57"/>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76"/>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8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95"/>
    <d v="2023-07-03T19:02:02"/>
    <s v="Y"/>
    <s v="Routine Letter In"/>
    <s v="Prescribed Hourly Rates"/>
    <s v="Profit Cost"/>
    <s v="NPM"/>
    <s v="Y"/>
    <n v="288.9"/>
    <n v="57.78"/>
    <x v="3"/>
    <s v="VALIDATED"/>
    <n v="1"/>
    <s v="01.11.80.307.6100.0000"/>
    <n v="288.9"/>
    <s v="11"/>
    <s v="6100"/>
    <n v="18393.56"/>
    <n v="288.9"/>
    <s v="CREDITOR"/>
    <n v="0"/>
    <n v="0"/>
    <n v="0"/>
    <n v="0"/>
    <n v="288.9"/>
  </r>
  <r>
    <n v="56670622"/>
    <s v="N"/>
    <n v="21318718"/>
    <s v="3000013446030007"/>
    <s v="CIVIL"/>
    <d v="2023-06-22T00:00:00"/>
    <d v="2023-07-03T19:01:49"/>
    <m/>
    <d v="2023-07-03T00:00:00"/>
    <n v="675"/>
    <n v="17196"/>
    <s v="56670622"/>
    <s v="56670622"/>
    <m/>
    <m/>
    <n v="22741554"/>
    <m/>
    <m/>
    <m/>
    <s v="SOLFIN"/>
    <s v="SOLFIN"/>
    <s v="CCMS"/>
    <n v="21318718"/>
    <n v="16145.32"/>
    <m/>
    <s v="N"/>
    <n v="12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93"/>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27"/>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64"/>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87"/>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01"/>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27"/>
    <d v="2023-07-03T19:02:02"/>
    <s v="Y"/>
    <s v="Preparation - other"/>
    <s v="Prescribed Hourly Rates"/>
    <s v="Profit Cost"/>
    <s v="AW+"/>
    <s v="Y"/>
    <n v="8.24"/>
    <n v="1.65"/>
    <x v="3"/>
    <s v="VALIDATED"/>
    <n v="1"/>
    <s v="01.11.80.307.6100.0000"/>
    <n v="8.24"/>
    <s v="11"/>
    <s v="6100"/>
    <n v="18393.56"/>
    <n v="8.24"/>
    <s v="CREDITOR"/>
    <n v="0"/>
    <n v="0"/>
    <n v="0"/>
    <n v="0"/>
    <n v="8.24"/>
  </r>
  <r>
    <n v="61431040"/>
    <s v="N"/>
    <n v="21375746"/>
    <s v="3000015566070006"/>
    <s v="CIVIL"/>
    <d v="2023-06-28T00:00:00"/>
    <d v="2023-07-14T10:00:03"/>
    <m/>
    <d v="2023-07-14T00:00:00"/>
    <n v="675"/>
    <n v="17196"/>
    <s v="61431040"/>
    <s v="61431040"/>
    <m/>
    <m/>
    <n v="22779520"/>
    <m/>
    <m/>
    <m/>
    <s v="SOLPOA"/>
    <s v="SOLPOA"/>
    <s v="CCMS"/>
    <n v="21375746"/>
    <n v="480.9"/>
    <m/>
    <s v="N"/>
    <n v="1"/>
    <d v="2023-07-14T10:00:18"/>
    <s v="N"/>
    <s v="Non Expert Disbursement"/>
    <s v="Non Expert Disbursement"/>
    <s v="Non Expert Disbursement"/>
    <s v="Andrew Wonnacott"/>
    <s v="N"/>
    <n v="400.75"/>
    <n v="80.15000000000001"/>
    <x v="10"/>
    <s v="VALIDATED"/>
    <n v="1"/>
    <s v="01.11.80.308.2012.0000"/>
    <n v="400.75"/>
    <s v="11"/>
    <s v="2012"/>
    <n v="18393.56"/>
    <n v="400.75"/>
    <s v="CREDITOR"/>
    <n v="400.75"/>
    <n v="0"/>
    <n v="0"/>
    <n v="0"/>
    <n v="0"/>
  </r>
  <r>
    <n v="56670622"/>
    <s v="N"/>
    <n v="21318718"/>
    <s v="3000013446030007"/>
    <s v="CIVIL"/>
    <d v="2023-06-22T00:00:00"/>
    <d v="2023-07-03T19:01:49"/>
    <m/>
    <d v="2023-07-03T00:00:00"/>
    <n v="675"/>
    <n v="17196"/>
    <s v="56670622"/>
    <s v="56670622"/>
    <m/>
    <m/>
    <n v="22741554"/>
    <m/>
    <m/>
    <m/>
    <s v="SOLFIN"/>
    <s v="SOLFIN"/>
    <s v="CCMS"/>
    <n v="21318718"/>
    <n v="16145.32"/>
    <m/>
    <s v="N"/>
    <n v="107"/>
    <d v="2023-07-03T19:02:02"/>
    <s v="Y"/>
    <s v="Preparation - other"/>
    <s v="Prescribed Hourly Rates"/>
    <s v="Profit Cost"/>
    <s v="AW"/>
    <s v="Y"/>
    <n v="12.63"/>
    <n v="2.53"/>
    <x v="3"/>
    <s v="VALIDATED"/>
    <n v="1"/>
    <s v="01.11.80.307.6100.0000"/>
    <n v="12.63"/>
    <s v="11"/>
    <s v="6100"/>
    <n v="18393.56"/>
    <n v="12.63"/>
    <s v="CREDITOR"/>
    <n v="0"/>
    <n v="0"/>
    <n v="0"/>
    <n v="0"/>
    <n v="12.63"/>
  </r>
  <r>
    <n v="56670622"/>
    <s v="N"/>
    <n v="21318718"/>
    <s v="3000013446030007"/>
    <s v="CIVIL"/>
    <d v="2023-06-22T00:00:00"/>
    <d v="2023-07-03T19:01:49"/>
    <m/>
    <d v="2023-07-03T00:00:00"/>
    <n v="675"/>
    <n v="17196"/>
    <s v="56670622"/>
    <s v="56670622"/>
    <m/>
    <m/>
    <n v="22741554"/>
    <m/>
    <m/>
    <m/>
    <s v="SOLFIN"/>
    <s v="SOLFIN"/>
    <s v="CCMS"/>
    <n v="21318718"/>
    <n v="16145.32"/>
    <m/>
    <s v="N"/>
    <n v="143"/>
    <d v="2023-07-03T19:02:02"/>
    <s v="Y"/>
    <s v="Preparation - other"/>
    <s v="Prescribed Hourly Rates"/>
    <s v="Profit Cost"/>
    <s v="AW+"/>
    <s v="Y"/>
    <n v="181.17"/>
    <n v="36.23"/>
    <x v="3"/>
    <s v="VALIDATED"/>
    <n v="1"/>
    <s v="01.11.80.307.6100.0000"/>
    <n v="181.17"/>
    <s v="11"/>
    <s v="6100"/>
    <n v="18393.56"/>
    <n v="181.17"/>
    <s v="CREDITOR"/>
    <n v="0"/>
    <n v="0"/>
    <n v="0"/>
    <n v="0"/>
    <n v="181.17"/>
  </r>
  <r>
    <n v="56670622"/>
    <s v="N"/>
    <n v="21318718"/>
    <s v="3000013446030007"/>
    <s v="CIVIL"/>
    <d v="2023-06-22T00:00:00"/>
    <d v="2023-07-03T19:01:49"/>
    <m/>
    <d v="2023-07-03T00:00:00"/>
    <n v="675"/>
    <n v="17196"/>
    <s v="56670622"/>
    <s v="56670622"/>
    <m/>
    <m/>
    <n v="22741554"/>
    <m/>
    <m/>
    <m/>
    <s v="SOLFIN"/>
    <s v="SOLFIN"/>
    <s v="CCMS"/>
    <n v="21318718"/>
    <n v="16145.32"/>
    <m/>
    <s v="N"/>
    <n v="69"/>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188"/>
    <d v="2023-07-03T19:02:02"/>
    <s v="Y"/>
    <s v="Preparation - drafting bill/claim f"/>
    <s v="Prescribed Hourly Rates"/>
    <s v="Profit Cost"/>
    <s v="PR"/>
    <s v="Y"/>
    <n v="713.7"/>
    <n v="142.74"/>
    <x v="3"/>
    <s v="VALIDATED"/>
    <n v="1"/>
    <s v="01.11.80.307.6100.0000"/>
    <n v="713.7"/>
    <s v="11"/>
    <s v="6100"/>
    <n v="18393.56"/>
    <n v="713.7"/>
    <s v="CREDITOR"/>
    <n v="0"/>
    <n v="0"/>
    <n v="0"/>
    <n v="0"/>
    <n v="713.7"/>
  </r>
  <r>
    <n v="56670622"/>
    <s v="N"/>
    <n v="21318718"/>
    <s v="3000013446030007"/>
    <s v="CIVIL"/>
    <d v="2023-06-22T00:00:00"/>
    <d v="2023-07-03T19:01:49"/>
    <m/>
    <d v="2023-07-03T00:00:00"/>
    <n v="675"/>
    <n v="17196"/>
    <s v="56670622"/>
    <s v="56670622"/>
    <m/>
    <m/>
    <n v="22741554"/>
    <m/>
    <m/>
    <m/>
    <s v="SOLFIN"/>
    <s v="SOLFIN"/>
    <s v="CCMS"/>
    <n v="21318718"/>
    <n v="16145.32"/>
    <m/>
    <s v="N"/>
    <n v="77"/>
    <d v="2023-07-03T19:02:02"/>
    <s v="Y"/>
    <s v="Preparation - other"/>
    <s v="Prescribed Hourly Rates"/>
    <s v="Profit Cost"/>
    <s v="AW+"/>
    <s v="Y"/>
    <n v="16.47"/>
    <n v="3.29"/>
    <x v="3"/>
    <s v="VALIDATED"/>
    <n v="1"/>
    <s v="01.11.80.307.6100.0000"/>
    <n v="16.47"/>
    <s v="11"/>
    <s v="6100"/>
    <n v="18393.56"/>
    <n v="16.47"/>
    <s v="CREDITOR"/>
    <n v="0"/>
    <n v="0"/>
    <n v="0"/>
    <n v="0"/>
    <n v="16.47"/>
  </r>
  <r>
    <n v="62274243"/>
    <s v="N"/>
    <n v="21343779"/>
    <s v="3000016265050004"/>
    <s v="CIVIL"/>
    <d v="2023-06-29T00:00:00"/>
    <d v="2023-07-07T19:03:00"/>
    <m/>
    <d v="2023-07-07T00:00:00"/>
    <n v="675"/>
    <n v="17196"/>
    <s v="62274243"/>
    <s v="62274243"/>
    <m/>
    <m/>
    <n v="22788900"/>
    <m/>
    <m/>
    <m/>
    <s v="SOLPOA"/>
    <s v="SOLPOA"/>
    <s v="CCMS"/>
    <n v="21343779"/>
    <n v="106.8"/>
    <m/>
    <s v="N"/>
    <n v="1"/>
    <d v="2023-07-07T19:03:13"/>
    <s v="N"/>
    <s v="Non Expert Disbursement - Private L"/>
    <s v="Non Expert Disbursement - Priv"/>
    <s v="Non Expert Disbursement"/>
    <s v="Gloria Dyer"/>
    <s v="N"/>
    <n v="106.8"/>
    <n v="0"/>
    <x v="9"/>
    <s v="VALIDATED"/>
    <n v="1"/>
    <s v="01.11.80.307.2012.0000"/>
    <n v="106.8"/>
    <s v="11"/>
    <s v="2012"/>
    <n v="18393.56"/>
    <n v="106.8"/>
    <s v="CREDITOR"/>
    <n v="106.8"/>
    <n v="0"/>
    <n v="0"/>
    <n v="0"/>
    <n v="0"/>
  </r>
  <r>
    <n v="56670622"/>
    <s v="N"/>
    <n v="21318718"/>
    <s v="3000013446030007"/>
    <s v="CIVIL"/>
    <d v="2023-06-22T00:00:00"/>
    <d v="2023-07-03T19:01:49"/>
    <m/>
    <d v="2023-07-03T00:00:00"/>
    <n v="675"/>
    <n v="17196"/>
    <s v="56670622"/>
    <s v="56670622"/>
    <m/>
    <m/>
    <n v="22741554"/>
    <m/>
    <m/>
    <m/>
    <s v="SOLFIN"/>
    <s v="SOLFIN"/>
    <s v="CCMS"/>
    <n v="21318718"/>
    <n v="16145.32"/>
    <m/>
    <s v="N"/>
    <n v="187"/>
    <d v="2023-07-03T19:02:02"/>
    <s v="Y"/>
    <s v="Preparation - other"/>
    <s v="Prescribed Hourly Rates"/>
    <s v="Profit Cost"/>
    <s v="AW"/>
    <s v="Y"/>
    <n v="6.31"/>
    <n v="1.26"/>
    <x v="3"/>
    <s v="VALIDATED"/>
    <n v="1"/>
    <s v="01.11.80.307.6100.0000"/>
    <n v="6.31"/>
    <s v="11"/>
    <s v="6100"/>
    <n v="18393.56"/>
    <n v="6.31"/>
    <s v="CREDITOR"/>
    <n v="0"/>
    <n v="0"/>
    <n v="0"/>
    <n v="0"/>
    <n v="6.31"/>
  </r>
  <r>
    <n v="56670622"/>
    <s v="N"/>
    <n v="21318718"/>
    <s v="3000013446030007"/>
    <s v="CIVIL"/>
    <d v="2023-06-22T00:00:00"/>
    <d v="2023-07-03T19:01:49"/>
    <m/>
    <d v="2023-07-03T00:00:00"/>
    <n v="675"/>
    <n v="17196"/>
    <s v="56670622"/>
    <s v="56670622"/>
    <m/>
    <m/>
    <n v="22741554"/>
    <m/>
    <m/>
    <m/>
    <s v="SOLFIN"/>
    <s v="SOLFIN"/>
    <s v="CCMS"/>
    <n v="21318718"/>
    <n v="16145.32"/>
    <m/>
    <s v="N"/>
    <n v="80"/>
    <d v="2023-07-03T19:02:02"/>
    <s v="Y"/>
    <s v="Preparation - other"/>
    <s v="Prescribed Hourly Rates"/>
    <s v="Profit Cost"/>
    <s v="AW+"/>
    <s v="Y"/>
    <n v="32.94"/>
    <n v="6.59"/>
    <x v="3"/>
    <s v="VALIDATED"/>
    <n v="1"/>
    <s v="01.11.80.307.6100.0000"/>
    <n v="32.94"/>
    <s v="11"/>
    <s v="6100"/>
    <n v="18393.56"/>
    <n v="32.94"/>
    <s v="CREDITOR"/>
    <n v="0"/>
    <n v="0"/>
    <n v="0"/>
    <n v="0"/>
    <n v="32.94"/>
  </r>
  <r>
    <n v="56670622"/>
    <s v="N"/>
    <n v="21318718"/>
    <s v="3000013446030007"/>
    <s v="CIVIL"/>
    <d v="2023-06-22T00:00:00"/>
    <d v="2023-07-03T19:01:49"/>
    <m/>
    <d v="2023-07-03T00:00:00"/>
    <n v="675"/>
    <n v="17196"/>
    <s v="56670622"/>
    <s v="56670622"/>
    <m/>
    <m/>
    <n v="22741554"/>
    <m/>
    <m/>
    <m/>
    <s v="SOLFIN"/>
    <s v="SOLFIN"/>
    <s v="CCMS"/>
    <n v="21318718"/>
    <n v="16145.32"/>
    <m/>
    <s v="N"/>
    <n v="94"/>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97"/>
    <d v="2023-07-03T19:02:02"/>
    <s v="Y"/>
    <s v="Preparation - other"/>
    <s v="Prescribed Hourly Rates"/>
    <s v="Profit Cost"/>
    <s v="CW"/>
    <s v="Y"/>
    <n v="5.49"/>
    <n v="1.1"/>
    <x v="3"/>
    <s v="VALIDATED"/>
    <n v="1"/>
    <s v="01.11.80.307.6100.0000"/>
    <n v="5.49"/>
    <s v="11"/>
    <s v="6100"/>
    <n v="18393.56"/>
    <n v="5.49"/>
    <s v="CREDITOR"/>
    <n v="0"/>
    <n v="0"/>
    <n v="0"/>
    <n v="0"/>
    <n v="5.49"/>
  </r>
  <r>
    <n v="62271930"/>
    <s v="N"/>
    <n v="21321115"/>
    <s v="3000016268310001"/>
    <s v="CIVIL"/>
    <d v="2023-06-28T00:00:00"/>
    <d v="2023-07-03T19:04:52"/>
    <m/>
    <d v="2023-07-03T00:00:00"/>
    <n v="675"/>
    <n v="17196"/>
    <s v="62271930"/>
    <s v="62271930"/>
    <m/>
    <m/>
    <n v="22779460"/>
    <m/>
    <m/>
    <m/>
    <s v="SOLPOA"/>
    <s v="SOLPOA"/>
    <s v="CCMS"/>
    <n v="21321115"/>
    <n v="408.38"/>
    <m/>
    <s v="N"/>
    <n v="1"/>
    <d v="2023-07-03T19:04:58"/>
    <s v="N"/>
    <s v="Expert Cost"/>
    <s v="Expert Cost"/>
    <s v="Expert Disbursement"/>
    <s v="Andrew Wonnacott"/>
    <s v="N"/>
    <n v="340.32"/>
    <n v="68.06"/>
    <x v="3"/>
    <s v="VALIDATED"/>
    <n v="1"/>
    <s v="01.11.80.308.2012.0000"/>
    <n v="340.32"/>
    <s v="11"/>
    <s v="2012"/>
    <n v="18393.56"/>
    <n v="340.32"/>
    <s v="CREDITOR"/>
    <n v="340.32"/>
    <n v="0"/>
    <n v="0"/>
    <n v="0"/>
    <n v="0"/>
  </r>
  <r>
    <n v="56670622"/>
    <s v="N"/>
    <n v="21318718"/>
    <s v="3000013446030007"/>
    <s v="CIVIL"/>
    <d v="2023-06-22T00:00:00"/>
    <d v="2023-07-03T19:01:49"/>
    <m/>
    <d v="2023-07-03T00:00:00"/>
    <n v="675"/>
    <n v="17196"/>
    <s v="56670622"/>
    <s v="56670622"/>
    <m/>
    <m/>
    <n v="22741554"/>
    <m/>
    <m/>
    <m/>
    <s v="SOLFIN"/>
    <s v="SOLFIN"/>
    <s v="CCMS"/>
    <n v="21318718"/>
    <n v="16145.32"/>
    <m/>
    <s v="N"/>
    <n v="48"/>
    <d v="2023-07-03T19:02:02"/>
    <s v="Y"/>
    <s v="Preparation - drafting statement"/>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06"/>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08"/>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41"/>
    <d v="2023-07-03T19:02:02"/>
    <s v="Y"/>
    <s v="Preparation - other"/>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47"/>
    <d v="2023-07-03T19:02:02"/>
    <s v="Y"/>
    <s v="Preparation - other"/>
    <s v="Prescribed Hourly Rates"/>
    <s v="Profit Cost"/>
    <s v="AW+"/>
    <s v="Y"/>
    <n v="8.24"/>
    <n v="1.65"/>
    <x v="3"/>
    <s v="VALIDATED"/>
    <n v="1"/>
    <s v="01.11.80.307.6100.0000"/>
    <n v="8.24"/>
    <s v="11"/>
    <s v="6100"/>
    <n v="18393.56"/>
    <n v="8.24"/>
    <s v="CREDITOR"/>
    <n v="0"/>
    <n v="0"/>
    <n v="0"/>
    <n v="0"/>
    <n v="8.24"/>
  </r>
  <r>
    <n v="62231282"/>
    <s v="N"/>
    <n v="21343695"/>
    <s v="3000016220280003"/>
    <s v="CIVIL"/>
    <d v="2023-06-27T00:00:00"/>
    <d v="2023-07-07T19:03:00"/>
    <m/>
    <d v="2023-07-07T00:00:00"/>
    <n v="675"/>
    <n v="17196"/>
    <s v="62231282"/>
    <s v="62231282"/>
    <m/>
    <m/>
    <n v="22773104"/>
    <m/>
    <m/>
    <m/>
    <s v="SOLPOA"/>
    <s v="SOLPOA"/>
    <s v="CCMS"/>
    <n v="21343695"/>
    <n v="67.2"/>
    <m/>
    <s v="N"/>
    <n v="1"/>
    <d v="2023-07-07T19:03:12"/>
    <s v="N"/>
    <s v="Non Expert Disbursement - Private L"/>
    <s v="Non Expert Disbursement - Priv"/>
    <s v="Non Expert Disbursement"/>
    <s v="Gloria Dyer"/>
    <s v="N"/>
    <n v="56"/>
    <n v="11.2"/>
    <x v="9"/>
    <s v="VALIDATED"/>
    <n v="1"/>
    <s v="01.11.80.307.2012.0000"/>
    <n v="56"/>
    <s v="11"/>
    <s v="2012"/>
    <n v="18393.56"/>
    <n v="56"/>
    <s v="CREDITOR"/>
    <n v="56"/>
    <n v="0"/>
    <n v="0"/>
    <n v="0"/>
    <n v="0"/>
  </r>
  <r>
    <n v="56670622"/>
    <s v="N"/>
    <n v="21318718"/>
    <s v="3000013446030007"/>
    <s v="CIVIL"/>
    <d v="2023-06-22T00:00:00"/>
    <d v="2023-07-03T19:01:49"/>
    <m/>
    <d v="2023-07-03T00:00:00"/>
    <n v="675"/>
    <n v="17196"/>
    <s v="56670622"/>
    <s v="56670622"/>
    <m/>
    <m/>
    <n v="22741554"/>
    <m/>
    <m/>
    <m/>
    <s v="SOLFIN"/>
    <s v="SOLFIN"/>
    <s v="CCMS"/>
    <n v="21318718"/>
    <n v="16145.32"/>
    <m/>
    <s v="N"/>
    <n v="165"/>
    <d v="2023-07-03T19:02:02"/>
    <s v="Y"/>
    <s v="Preparation - other"/>
    <s v="Prescribed Hourly Rates"/>
    <s v="Profit Cost"/>
    <s v="AW+"/>
    <s v="Y"/>
    <n v="247.05"/>
    <n v="49.41"/>
    <x v="3"/>
    <s v="VALIDATED"/>
    <n v="1"/>
    <s v="01.11.80.307.6100.0000"/>
    <n v="247.05"/>
    <s v="11"/>
    <s v="6100"/>
    <n v="18393.56"/>
    <n v="247.05"/>
    <s v="CREDITOR"/>
    <n v="0"/>
    <n v="0"/>
    <n v="0"/>
    <n v="0"/>
    <n v="247.05"/>
  </r>
  <r>
    <n v="56670622"/>
    <s v="N"/>
    <n v="21318718"/>
    <s v="3000013446030007"/>
    <s v="CIVIL"/>
    <d v="2023-06-22T00:00:00"/>
    <d v="2023-07-03T19:01:49"/>
    <m/>
    <d v="2023-07-03T00:00:00"/>
    <n v="675"/>
    <n v="17196"/>
    <s v="56670622"/>
    <s v="56670622"/>
    <m/>
    <m/>
    <n v="22741554"/>
    <m/>
    <m/>
    <m/>
    <s v="SOLFIN"/>
    <s v="SOLFIN"/>
    <s v="CCMS"/>
    <n v="21318718"/>
    <n v="16145.32"/>
    <m/>
    <s v="N"/>
    <n v="83"/>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26"/>
    <d v="2023-07-03T19:02:02"/>
    <s v="Y"/>
    <s v="Preparation - other"/>
    <s v="Prescribed Hourly Rates"/>
    <s v="Profit Cost"/>
    <s v="AW+"/>
    <s v="Y"/>
    <n v="16.47"/>
    <n v="3.29"/>
    <x v="3"/>
    <s v="VALIDATED"/>
    <n v="1"/>
    <s v="01.11.80.307.6100.0000"/>
    <n v="16.47"/>
    <s v="11"/>
    <s v="6100"/>
    <n v="18393.56"/>
    <n v="16.47"/>
    <s v="CREDITOR"/>
    <n v="0"/>
    <n v="0"/>
    <n v="0"/>
    <n v="0"/>
    <n v="16.47"/>
  </r>
  <r>
    <n v="61838148"/>
    <s v="N"/>
    <n v="21321100"/>
    <s v="3000015905470005"/>
    <s v="CIVIL"/>
    <d v="2023-06-28T00:00:00"/>
    <d v="2023-07-03T19:04:52"/>
    <m/>
    <d v="2023-07-03T00:00:00"/>
    <n v="675"/>
    <n v="17196"/>
    <s v="61838148"/>
    <s v="61838148"/>
    <m/>
    <m/>
    <n v="22779476"/>
    <m/>
    <m/>
    <m/>
    <s v="SOLPOA"/>
    <s v="SOLPOA"/>
    <s v="CCMS"/>
    <n v="21321100"/>
    <n v="999.73"/>
    <m/>
    <s v="N"/>
    <n v="1"/>
    <d v="2023-07-03T19:04:57"/>
    <s v="N"/>
    <s v="Expert Cost"/>
    <s v="Expert Cost"/>
    <s v="Expert Disbursement"/>
    <s v="Andrew Wonnacott"/>
    <s v="N"/>
    <n v="999.73"/>
    <n v="0"/>
    <x v="3"/>
    <s v="VALIDATED"/>
    <n v="1"/>
    <s v="01.11.80.308.2012.0000"/>
    <n v="999.73"/>
    <s v="11"/>
    <s v="2012"/>
    <n v="18393.56"/>
    <n v="999.73"/>
    <s v="CREDITOR"/>
    <n v="999.73"/>
    <n v="0"/>
    <n v="0"/>
    <n v="0"/>
    <n v="0"/>
  </r>
  <r>
    <n v="56670622"/>
    <s v="N"/>
    <n v="21318718"/>
    <s v="3000013446030007"/>
    <s v="CIVIL"/>
    <d v="2023-06-22T00:00:00"/>
    <d v="2023-07-03T19:01:49"/>
    <m/>
    <d v="2023-07-03T00:00:00"/>
    <n v="675"/>
    <n v="17196"/>
    <s v="56670622"/>
    <s v="56670622"/>
    <m/>
    <m/>
    <n v="22741554"/>
    <m/>
    <m/>
    <m/>
    <s v="SOLFIN"/>
    <s v="SOLFIN"/>
    <s v="CCMS"/>
    <n v="21318718"/>
    <n v="16145.32"/>
    <m/>
    <s v="N"/>
    <n v="41"/>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89"/>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28"/>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82"/>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82"/>
    <d v="2023-07-03T19:02:02"/>
    <s v="Y"/>
    <s v="Preparation - drafting attendance n"/>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39"/>
    <d v="2023-07-03T19:02:02"/>
    <s v="Y"/>
    <s v="Preparation - other"/>
    <s v="Prescribed Hourly Rates"/>
    <s v="Profit Cost"/>
    <s v="AW+"/>
    <s v="Y"/>
    <n v="8.24"/>
    <n v="1.65"/>
    <x v="3"/>
    <s v="VALIDATED"/>
    <n v="1"/>
    <s v="01.11.80.307.6100.0000"/>
    <n v="8.24"/>
    <s v="11"/>
    <s v="6100"/>
    <n v="18393.56"/>
    <n v="8.24"/>
    <s v="CREDITOR"/>
    <n v="0"/>
    <n v="0"/>
    <n v="0"/>
    <n v="0"/>
    <n v="8.24"/>
  </r>
  <r>
    <n v="61431040"/>
    <s v="N"/>
    <n v="21318520"/>
    <s v="3000015566070005"/>
    <s v="CIVIL"/>
    <d v="2023-06-23T00:00:00"/>
    <d v="2023-07-03T19:01:49"/>
    <m/>
    <d v="2023-07-03T00:00:00"/>
    <n v="675"/>
    <n v="17196"/>
    <s v="61431040"/>
    <s v="61431040"/>
    <m/>
    <m/>
    <n v="22751566"/>
    <m/>
    <m/>
    <m/>
    <s v="SOLPOA"/>
    <s v="SOLPOA"/>
    <s v="CCMS"/>
    <n v="21318520"/>
    <n v="480.9"/>
    <m/>
    <s v="N"/>
    <n v="1"/>
    <d v="2023-07-03T19:01:58"/>
    <s v="N"/>
    <s v="Non Expert Disbursement"/>
    <s v="Non Expert Disbursement"/>
    <s v="Non Expert Disbursement"/>
    <s v="Andrew Wonnacott"/>
    <s v="N"/>
    <n v="400.75"/>
    <n v="80.15000000000001"/>
    <x v="3"/>
    <s v="VALIDATED"/>
    <n v="1"/>
    <s v="01.11.80.308.2012.0000"/>
    <n v="400.75"/>
    <s v="11"/>
    <s v="2012"/>
    <n v="18393.56"/>
    <n v="400.75"/>
    <s v="CREDITOR"/>
    <n v="400.75"/>
    <n v="0"/>
    <n v="0"/>
    <n v="0"/>
    <n v="0"/>
  </r>
  <r>
    <n v="56670622"/>
    <s v="N"/>
    <n v="21318718"/>
    <s v="3000013446030007"/>
    <s v="CIVIL"/>
    <d v="2023-06-22T00:00:00"/>
    <d v="2023-07-03T19:01:49"/>
    <m/>
    <d v="2023-07-03T00:00:00"/>
    <n v="675"/>
    <n v="17196"/>
    <s v="56670622"/>
    <s v="56670622"/>
    <m/>
    <m/>
    <n v="22741554"/>
    <m/>
    <m/>
    <m/>
    <s v="SOLFIN"/>
    <s v="SOLFIN"/>
    <s v="CCMS"/>
    <n v="21318718"/>
    <n v="16145.32"/>
    <m/>
    <s v="N"/>
    <n v="73"/>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16"/>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
    <d v="2023-07-03T19:02:02"/>
    <s v="Y"/>
    <s v="Child psychologist"/>
    <s v="Prescribed Hourly Rates"/>
    <s v="Expert Disbursement"/>
    <s v="AVW"/>
    <s v="Y"/>
    <n v="1911.93"/>
    <n v="382.38"/>
    <x v="3"/>
    <s v="VALIDATED"/>
    <n v="1"/>
    <s v="01.11.80.307.6300.0000"/>
    <n v="1911.93"/>
    <s v="11"/>
    <s v="6300"/>
    <n v="18393.56"/>
    <n v="1911.93"/>
    <s v="CREDITOR"/>
    <n v="0"/>
    <n v="0"/>
    <n v="0"/>
    <n v="0"/>
    <n v="1911.93"/>
  </r>
  <r>
    <n v="56670622"/>
    <s v="N"/>
    <n v="21318718"/>
    <s v="3000013446030007"/>
    <s v="CIVIL"/>
    <d v="2023-06-22T00:00:00"/>
    <d v="2023-07-03T19:01:49"/>
    <m/>
    <d v="2023-07-03T00:00:00"/>
    <n v="675"/>
    <n v="17196"/>
    <s v="56670622"/>
    <s v="56670622"/>
    <m/>
    <m/>
    <n v="22741554"/>
    <m/>
    <m/>
    <m/>
    <s v="SOLFIN"/>
    <s v="SOLFIN"/>
    <s v="CCMS"/>
    <n v="21318718"/>
    <n v="16145.32"/>
    <m/>
    <s v="N"/>
    <n v="132"/>
    <d v="2023-07-03T19:02:02"/>
    <s v="Y"/>
    <s v="Preparation - other"/>
    <s v="Prescribed Hourly Rates"/>
    <s v="Profit Cost"/>
    <s v="CD+"/>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39"/>
    <d v="2023-07-03T19:02:02"/>
    <s v="Y"/>
    <s v="Attendance upon/with Counsel at Con"/>
    <s v="Prescribed Hourly Rates"/>
    <s v="Profit Cost"/>
    <s v="AW"/>
    <s v="Y"/>
    <n v="22.36"/>
    <n v="4.47"/>
    <x v="3"/>
    <s v="VALIDATED"/>
    <n v="1"/>
    <s v="01.11.80.307.6100.0000"/>
    <n v="22.36"/>
    <s v="11"/>
    <s v="6100"/>
    <n v="18393.56"/>
    <n v="22.36"/>
    <s v="CREDITOR"/>
    <n v="0"/>
    <n v="0"/>
    <n v="0"/>
    <n v="0"/>
    <n v="22.36"/>
  </r>
  <r>
    <n v="56670622"/>
    <s v="N"/>
    <n v="21318718"/>
    <s v="3000013446030007"/>
    <s v="CIVIL"/>
    <d v="2023-06-22T00:00:00"/>
    <d v="2023-07-03T19:01:49"/>
    <m/>
    <d v="2023-07-03T00:00:00"/>
    <n v="675"/>
    <n v="17196"/>
    <s v="56670622"/>
    <s v="56670622"/>
    <m/>
    <m/>
    <n v="22741554"/>
    <m/>
    <m/>
    <m/>
    <s v="SOLFIN"/>
    <s v="SOLFIN"/>
    <s v="CCMS"/>
    <n v="21318718"/>
    <n v="16145.32"/>
    <m/>
    <s v="N"/>
    <n v="42"/>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64"/>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78"/>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7"/>
    <d v="2023-07-03T19:02:02"/>
    <s v="Y"/>
    <s v="Attendance upon/with Counsel at Con"/>
    <s v="Prescribed Hourly Rates"/>
    <s v="Profit Cost"/>
    <s v="CW"/>
    <s v="Y"/>
    <n v="58.32"/>
    <n v="11.66"/>
    <x v="3"/>
    <s v="VALIDATED"/>
    <n v="1"/>
    <s v="01.11.80.307.6100.0000"/>
    <n v="58.32"/>
    <s v="11"/>
    <s v="6100"/>
    <n v="18393.56"/>
    <n v="58.32"/>
    <s v="CREDITOR"/>
    <n v="0"/>
    <n v="0"/>
    <n v="0"/>
    <n v="0"/>
    <n v="58.32"/>
  </r>
  <r>
    <n v="56670622"/>
    <s v="N"/>
    <n v="21318718"/>
    <s v="3000013446030007"/>
    <s v="CIVIL"/>
    <d v="2023-06-22T00:00:00"/>
    <d v="2023-07-03T19:01:49"/>
    <m/>
    <d v="2023-07-03T00:00:00"/>
    <n v="675"/>
    <n v="17196"/>
    <s v="56670622"/>
    <s v="56670622"/>
    <m/>
    <m/>
    <n v="22741554"/>
    <m/>
    <m/>
    <m/>
    <s v="SOLFIN"/>
    <s v="SOLFIN"/>
    <s v="CCMS"/>
    <n v="21318718"/>
    <n v="16145.32"/>
    <m/>
    <s v="N"/>
    <n v="56"/>
    <d v="2023-07-03T19:02:02"/>
    <s v="Y"/>
    <s v="Preparation - other"/>
    <s v="Prescribed Hourly Rates"/>
    <s v="Profit Cost"/>
    <s v="AW+"/>
    <s v="Y"/>
    <n v="24.71"/>
    <n v="4.94"/>
    <x v="3"/>
    <s v="VALIDATED"/>
    <n v="1"/>
    <s v="01.11.80.307.6100.0000"/>
    <n v="24.71"/>
    <s v="11"/>
    <s v="6100"/>
    <n v="18393.56"/>
    <n v="24.71"/>
    <s v="CREDITOR"/>
    <n v="0"/>
    <n v="0"/>
    <n v="0"/>
    <n v="0"/>
    <n v="24.71"/>
  </r>
  <r>
    <n v="60539746"/>
    <s v="N"/>
    <n v="21320954"/>
    <s v="3000014809430015"/>
    <s v="CIVIL"/>
    <d v="2023-06-28T00:00:00"/>
    <d v="2023-07-03T19:04:52"/>
    <m/>
    <d v="2023-07-03T00:00:00"/>
    <n v="675"/>
    <n v="17196"/>
    <s v="60539746"/>
    <s v="60539746"/>
    <m/>
    <m/>
    <n v="22779394"/>
    <m/>
    <m/>
    <m/>
    <s v="SOLPOA"/>
    <s v="SOLPOA"/>
    <s v="CCMS"/>
    <n v="21320954"/>
    <n v="56.16"/>
    <m/>
    <s v="N"/>
    <n v="1"/>
    <d v="2023-07-03T19:04:57"/>
    <s v="N"/>
    <s v="Expert Cost"/>
    <s v="Expert Cost"/>
    <s v="Expert Disbursement"/>
    <s v="Andrew Wonnacott"/>
    <s v="N"/>
    <n v="46.8"/>
    <n v="9.359999999999999"/>
    <x v="3"/>
    <s v="VALIDATED"/>
    <n v="1"/>
    <s v="01.11.80.308.2012.0000"/>
    <n v="46.8"/>
    <s v="11"/>
    <s v="2012"/>
    <n v="18393.56"/>
    <n v="46.8"/>
    <s v="CREDITOR"/>
    <n v="46.8"/>
    <n v="0"/>
    <n v="0"/>
    <n v="0"/>
    <n v="0"/>
  </r>
  <r>
    <n v="56670622"/>
    <s v="N"/>
    <n v="21318718"/>
    <s v="3000013446030007"/>
    <s v="CIVIL"/>
    <d v="2023-06-22T00:00:00"/>
    <d v="2023-07-03T19:01:49"/>
    <m/>
    <d v="2023-07-03T00:00:00"/>
    <n v="675"/>
    <n v="17196"/>
    <s v="56670622"/>
    <s v="56670622"/>
    <m/>
    <m/>
    <n v="22741554"/>
    <m/>
    <m/>
    <m/>
    <s v="SOLFIN"/>
    <s v="SOLFIN"/>
    <s v="CCMS"/>
    <n v="21318718"/>
    <n v="16145.32"/>
    <m/>
    <s v="N"/>
    <n v="10"/>
    <d v="2023-07-03T19:02:02"/>
    <s v="Y"/>
    <s v="Preparation - other"/>
    <s v="Prescribed Hourly Rates"/>
    <s v="Profit Cost"/>
    <s v="AW+"/>
    <s v="Y"/>
    <n v="115.29"/>
    <n v="23.06"/>
    <x v="3"/>
    <s v="VALIDATED"/>
    <n v="1"/>
    <s v="01.11.80.307.6100.0000"/>
    <n v="115.29"/>
    <s v="11"/>
    <s v="6100"/>
    <n v="18393.56"/>
    <n v="115.29"/>
    <s v="CREDITOR"/>
    <n v="0"/>
    <n v="0"/>
    <n v="0"/>
    <n v="0"/>
    <n v="115.29"/>
  </r>
  <r>
    <n v="60500998"/>
    <s v="N"/>
    <n v="21318531"/>
    <s v="3000014776010005"/>
    <s v="CIVIL"/>
    <d v="2023-06-19T00:00:00"/>
    <d v="2023-07-03T19:01:49"/>
    <m/>
    <d v="2023-07-03T00:00:00"/>
    <n v="675"/>
    <n v="17196"/>
    <s v="60500998"/>
    <s v="60500998"/>
    <m/>
    <m/>
    <n v="22717894"/>
    <m/>
    <m/>
    <m/>
    <s v="SOLPOA"/>
    <s v="SOLPOA"/>
    <s v="CCMS"/>
    <n v="21318531"/>
    <n v="892.8"/>
    <m/>
    <s v="N"/>
    <n v="1"/>
    <d v="2023-07-03T19:01:58"/>
    <s v="N"/>
    <s v="Expert Cost"/>
    <s v="Expert Cost"/>
    <s v="Expert Disbursement"/>
    <s v="Andrew Wonnacott"/>
    <s v="N"/>
    <n v="744"/>
    <n v="148.8"/>
    <x v="3"/>
    <s v="VALIDATED"/>
    <n v="1"/>
    <s v="01.11.80.307.2012.0000"/>
    <n v="744"/>
    <s v="11"/>
    <s v="2012"/>
    <n v="18393.56"/>
    <n v="744"/>
    <s v="CREDITOR"/>
    <n v="744"/>
    <n v="0"/>
    <n v="0"/>
    <n v="0"/>
    <n v="0"/>
  </r>
  <r>
    <n v="56670622"/>
    <s v="N"/>
    <n v="21318718"/>
    <s v="3000013446030007"/>
    <s v="CIVIL"/>
    <d v="2023-06-22T00:00:00"/>
    <d v="2023-07-03T19:01:49"/>
    <m/>
    <d v="2023-07-03T00:00:00"/>
    <n v="675"/>
    <n v="17196"/>
    <s v="56670622"/>
    <s v="56670622"/>
    <m/>
    <m/>
    <n v="22741554"/>
    <m/>
    <m/>
    <m/>
    <s v="SOLFIN"/>
    <s v="SOLFIN"/>
    <s v="CCMS"/>
    <n v="21318718"/>
    <n v="16145.32"/>
    <m/>
    <s v="N"/>
    <n v="115"/>
    <d v="2023-07-03T19:02:02"/>
    <s v="Y"/>
    <s v="Preparation - drafting notice(s)"/>
    <s v="Prescribed Hourly Rates"/>
    <s v="Profit Cost"/>
    <s v="AW"/>
    <s v="Y"/>
    <n v="6.31"/>
    <n v="1.26"/>
    <x v="3"/>
    <s v="VALIDATED"/>
    <n v="1"/>
    <s v="01.11.80.307.6100.0000"/>
    <n v="6.31"/>
    <s v="11"/>
    <s v="6100"/>
    <n v="18393.56"/>
    <n v="6.31"/>
    <s v="CREDITOR"/>
    <n v="0"/>
    <n v="0"/>
    <n v="0"/>
    <n v="0"/>
    <n v="6.31"/>
  </r>
  <r>
    <n v="56670622"/>
    <s v="N"/>
    <n v="21318718"/>
    <s v="3000013446030007"/>
    <s v="CIVIL"/>
    <d v="2023-06-22T00:00:00"/>
    <d v="2023-07-03T19:01:49"/>
    <m/>
    <d v="2023-07-03T00:00:00"/>
    <n v="675"/>
    <n v="17196"/>
    <s v="56670622"/>
    <s v="56670622"/>
    <m/>
    <m/>
    <n v="22741554"/>
    <m/>
    <m/>
    <m/>
    <s v="SOLFIN"/>
    <s v="SOLFIN"/>
    <s v="CCMS"/>
    <n v="21318718"/>
    <n v="16145.32"/>
    <m/>
    <s v="N"/>
    <n v="117"/>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05"/>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09"/>
    <d v="2023-07-03T19:02:02"/>
    <s v="Y"/>
    <s v="Preparation - other"/>
    <s v="Prescribed Hourly Rates"/>
    <s v="Profit Cost"/>
    <s v="AW"/>
    <s v="Y"/>
    <n v="6.31"/>
    <n v="1.26"/>
    <x v="3"/>
    <s v="VALIDATED"/>
    <n v="1"/>
    <s v="01.11.80.307.6100.0000"/>
    <n v="6.31"/>
    <s v="11"/>
    <s v="6100"/>
    <n v="18393.56"/>
    <n v="6.31"/>
    <s v="CREDITOR"/>
    <n v="0"/>
    <n v="0"/>
    <n v="0"/>
    <n v="0"/>
    <n v="6.31"/>
  </r>
  <r>
    <n v="56670622"/>
    <s v="N"/>
    <n v="21318718"/>
    <s v="3000013446030007"/>
    <s v="CIVIL"/>
    <d v="2023-06-22T00:00:00"/>
    <d v="2023-07-03T19:01:49"/>
    <m/>
    <d v="2023-07-03T00:00:00"/>
    <n v="675"/>
    <n v="17196"/>
    <s v="56670622"/>
    <s v="56670622"/>
    <m/>
    <m/>
    <n v="22741554"/>
    <m/>
    <m/>
    <m/>
    <s v="SOLFIN"/>
    <s v="SOLFIN"/>
    <s v="CCMS"/>
    <n v="21318718"/>
    <n v="16145.32"/>
    <m/>
    <s v="N"/>
    <n v="16"/>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4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8"/>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56"/>
    <d v="2023-07-03T19:02:02"/>
    <s v="Y"/>
    <s v="Preparation - other"/>
    <s v="Prescribed Hourly Rates"/>
    <s v="Profit Cost"/>
    <s v="AW+"/>
    <s v="Y"/>
    <n v="32.94"/>
    <n v="6.59"/>
    <x v="3"/>
    <s v="VALIDATED"/>
    <n v="1"/>
    <s v="01.11.80.307.6100.0000"/>
    <n v="32.94"/>
    <s v="11"/>
    <s v="6100"/>
    <n v="18393.56"/>
    <n v="32.94"/>
    <s v="CREDITOR"/>
    <n v="0"/>
    <n v="0"/>
    <n v="0"/>
    <n v="0"/>
    <n v="32.94"/>
  </r>
  <r>
    <n v="56670622"/>
    <s v="N"/>
    <n v="21318718"/>
    <s v="3000013446030007"/>
    <s v="CIVIL"/>
    <d v="2023-06-22T00:00:00"/>
    <d v="2023-07-03T19:01:49"/>
    <m/>
    <d v="2023-07-03T00:00:00"/>
    <n v="675"/>
    <n v="17196"/>
    <s v="56670622"/>
    <s v="56670622"/>
    <m/>
    <m/>
    <n v="22741554"/>
    <m/>
    <m/>
    <m/>
    <s v="SOLFIN"/>
    <s v="SOLFIN"/>
    <s v="CCMS"/>
    <n v="21318718"/>
    <n v="16145.32"/>
    <m/>
    <s v="N"/>
    <n v="96"/>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118"/>
    <d v="2023-07-03T19:02:02"/>
    <s v="Y"/>
    <s v="Preparation - other"/>
    <s v="Prescribed Hourly Rates"/>
    <s v="Profit Cost"/>
    <s v="AW"/>
    <s v="Y"/>
    <n v="12.63"/>
    <n v="2.53"/>
    <x v="3"/>
    <s v="VALIDATED"/>
    <n v="1"/>
    <s v="01.11.80.307.6100.0000"/>
    <n v="12.63"/>
    <s v="11"/>
    <s v="6100"/>
    <n v="18393.56"/>
    <n v="12.63"/>
    <s v="CREDITOR"/>
    <n v="0"/>
    <n v="0"/>
    <n v="0"/>
    <n v="0"/>
    <n v="12.63"/>
  </r>
  <r>
    <n v="56670622"/>
    <s v="N"/>
    <n v="21318718"/>
    <s v="3000013446030007"/>
    <s v="CIVIL"/>
    <d v="2023-06-22T00:00:00"/>
    <d v="2023-07-03T19:01:49"/>
    <m/>
    <d v="2023-07-03T00:00:00"/>
    <n v="675"/>
    <n v="17196"/>
    <s v="56670622"/>
    <s v="56670622"/>
    <m/>
    <m/>
    <n v="22741554"/>
    <m/>
    <m/>
    <m/>
    <s v="SOLFIN"/>
    <s v="SOLFIN"/>
    <s v="CCMS"/>
    <n v="21318718"/>
    <n v="16145.32"/>
    <m/>
    <s v="N"/>
    <n v="24"/>
    <d v="2023-07-03T19:02:02"/>
    <s v="Y"/>
    <s v="Preparation - other"/>
    <s v="Prescribed Hourly Rates"/>
    <s v="Profit Cost"/>
    <s v="JH+"/>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169"/>
    <d v="2023-07-03T19:02:02"/>
    <s v="Y"/>
    <s v="Preparation - other"/>
    <s v="Prescribed Hourly Rates"/>
    <s v="Profit Cost"/>
    <s v="AW+"/>
    <s v="Y"/>
    <n v="32.94"/>
    <n v="6.59"/>
    <x v="3"/>
    <s v="VALIDATED"/>
    <n v="1"/>
    <s v="01.11.80.307.6100.0000"/>
    <n v="32.94"/>
    <s v="11"/>
    <s v="6100"/>
    <n v="18393.56"/>
    <n v="32.94"/>
    <s v="CREDITOR"/>
    <n v="0"/>
    <n v="0"/>
    <n v="0"/>
    <n v="0"/>
    <n v="32.94"/>
  </r>
  <r>
    <n v="56670622"/>
    <s v="N"/>
    <n v="21318718"/>
    <s v="3000013446030007"/>
    <s v="CIVIL"/>
    <d v="2023-06-22T00:00:00"/>
    <d v="2023-07-03T19:01:49"/>
    <m/>
    <d v="2023-07-03T00:00:00"/>
    <n v="675"/>
    <n v="17196"/>
    <s v="56670622"/>
    <s v="56670622"/>
    <m/>
    <m/>
    <n v="22741554"/>
    <m/>
    <m/>
    <m/>
    <s v="SOLFIN"/>
    <s v="SOLFIN"/>
    <s v="CCMS"/>
    <n v="21318718"/>
    <n v="16145.32"/>
    <m/>
    <s v="N"/>
    <n v="145"/>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66"/>
    <d v="2023-07-03T19:02:02"/>
    <s v="Y"/>
    <s v="Preparation - drafting statement"/>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55"/>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43"/>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193"/>
    <d v="2023-07-03T19:02:02"/>
    <s v="Y"/>
    <s v="Routine Letter Out"/>
    <s v="Prescribed Hourly Rates"/>
    <s v="Profit Cost"/>
    <s v="NPM"/>
    <s v="Y"/>
    <n v="361.8"/>
    <n v="72.36"/>
    <x v="3"/>
    <s v="VALIDATED"/>
    <n v="1"/>
    <s v="01.11.80.307.6100.0000"/>
    <n v="361.8"/>
    <s v="11"/>
    <s v="6100"/>
    <n v="18393.56"/>
    <n v="361.8"/>
    <s v="CREDITOR"/>
    <n v="0"/>
    <n v="0"/>
    <n v="0"/>
    <n v="0"/>
    <n v="361.8"/>
  </r>
  <r>
    <n v="56670622"/>
    <s v="N"/>
    <n v="21318718"/>
    <s v="3000013446030007"/>
    <s v="CIVIL"/>
    <d v="2023-06-22T00:00:00"/>
    <d v="2023-07-03T19:01:49"/>
    <m/>
    <d v="2023-07-03T00:00:00"/>
    <n v="675"/>
    <n v="17196"/>
    <s v="56670622"/>
    <s v="56670622"/>
    <m/>
    <m/>
    <n v="22741554"/>
    <m/>
    <m/>
    <m/>
    <s v="SOLFIN"/>
    <s v="SOLFIN"/>
    <s v="CCMS"/>
    <n v="21318718"/>
    <n v="16145.32"/>
    <m/>
    <s v="N"/>
    <n v="68"/>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83"/>
    <d v="2023-07-03T19:02:02"/>
    <s v="Y"/>
    <s v="Preparation - other"/>
    <s v="Prescribed Hourly Rates"/>
    <s v="Profit Cost"/>
    <s v="AW"/>
    <s v="Y"/>
    <n v="31.57"/>
    <n v="6.31"/>
    <x v="3"/>
    <s v="VALIDATED"/>
    <n v="1"/>
    <s v="01.11.80.307.6100.0000"/>
    <n v="31.57"/>
    <s v="11"/>
    <s v="6100"/>
    <n v="18393.56"/>
    <n v="31.57"/>
    <s v="CREDITOR"/>
    <n v="0"/>
    <n v="0"/>
    <n v="0"/>
    <n v="0"/>
    <n v="31.57"/>
  </r>
  <r>
    <n v="56670622"/>
    <s v="N"/>
    <n v="21318718"/>
    <s v="3000013446030007"/>
    <s v="CIVIL"/>
    <d v="2023-06-22T00:00:00"/>
    <d v="2023-07-03T19:01:49"/>
    <m/>
    <d v="2023-07-03T00:00:00"/>
    <n v="675"/>
    <n v="17196"/>
    <s v="56670622"/>
    <s v="56670622"/>
    <m/>
    <m/>
    <n v="22741554"/>
    <m/>
    <m/>
    <m/>
    <s v="SOLFIN"/>
    <s v="SOLFIN"/>
    <s v="CCMS"/>
    <n v="21318718"/>
    <n v="16145.32"/>
    <m/>
    <s v="N"/>
    <n v="194"/>
    <d v="2023-07-03T19:02:02"/>
    <s v="Y"/>
    <s v="Routine Letter In"/>
    <s v="Prescribed Hourly Rates"/>
    <s v="Profit Cost"/>
    <s v="PM"/>
    <s v="Y"/>
    <n v="2651.67"/>
    <n v="530.36"/>
    <x v="3"/>
    <s v="VALIDATED"/>
    <n v="1"/>
    <s v="01.11.80.307.6100.0000"/>
    <n v="2651.67"/>
    <s v="11"/>
    <s v="6100"/>
    <n v="18393.56"/>
    <n v="2651.67"/>
    <s v="CREDITOR"/>
    <n v="0"/>
    <n v="0"/>
    <n v="0"/>
    <n v="0"/>
    <n v="2651.67"/>
  </r>
  <r>
    <n v="56670622"/>
    <s v="N"/>
    <n v="21318718"/>
    <s v="3000013446030007"/>
    <s v="CIVIL"/>
    <d v="2023-06-22T00:00:00"/>
    <d v="2023-07-03T19:01:49"/>
    <m/>
    <d v="2023-07-03T00:00:00"/>
    <n v="675"/>
    <n v="17196"/>
    <s v="56670622"/>
    <s v="56670622"/>
    <m/>
    <m/>
    <n v="22741554"/>
    <m/>
    <m/>
    <m/>
    <s v="SOLFIN"/>
    <s v="SOLFIN"/>
    <s v="CCMS"/>
    <n v="21318718"/>
    <n v="16145.32"/>
    <m/>
    <s v="N"/>
    <n v="121"/>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99"/>
    <d v="2023-07-03T19:02:02"/>
    <s v="Y"/>
    <s v="Preparation - drafting statement"/>
    <s v="Prescribed Hourly Rates"/>
    <s v="Profit Cost"/>
    <s v="AW+"/>
    <s v="Y"/>
    <n v="82.34999999999999"/>
    <n v="16.47"/>
    <x v="3"/>
    <s v="VALIDATED"/>
    <n v="1"/>
    <s v="01.11.80.307.6100.0000"/>
    <n v="82.34999999999999"/>
    <s v="11"/>
    <s v="6100"/>
    <n v="18393.56"/>
    <n v="82.34999999999999"/>
    <s v="CREDITOR"/>
    <n v="0"/>
    <n v="0"/>
    <n v="0"/>
    <n v="0"/>
    <n v="82.34999999999999"/>
  </r>
  <r>
    <n v="56670622"/>
    <s v="N"/>
    <n v="21318718"/>
    <s v="3000013446030007"/>
    <s v="CIVIL"/>
    <d v="2023-06-22T00:00:00"/>
    <d v="2023-07-03T19:01:49"/>
    <m/>
    <d v="2023-07-03T00:00:00"/>
    <n v="675"/>
    <n v="17196"/>
    <s v="56670622"/>
    <s v="56670622"/>
    <m/>
    <m/>
    <n v="22741554"/>
    <m/>
    <m/>
    <m/>
    <s v="SOLFIN"/>
    <s v="SOLFIN"/>
    <s v="CCMS"/>
    <n v="21318718"/>
    <n v="16145.32"/>
    <m/>
    <s v="N"/>
    <n v="124"/>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31"/>
    <d v="2023-07-03T19:02:02"/>
    <s v="Y"/>
    <s v="Preparation - other"/>
    <s v="Prescribed Hourly Rates"/>
    <s v="Profit Cost"/>
    <s v="AW+"/>
    <s v="Y"/>
    <n v="16.47"/>
    <n v="3.29"/>
    <x v="3"/>
    <s v="VALIDATED"/>
    <n v="1"/>
    <s v="01.11.80.307.6100.0000"/>
    <n v="16.47"/>
    <s v="11"/>
    <s v="6100"/>
    <n v="18393.56"/>
    <n v="16.47"/>
    <s v="CREDITOR"/>
    <n v="0"/>
    <n v="0"/>
    <n v="0"/>
    <n v="0"/>
    <n v="16.47"/>
  </r>
  <r>
    <n v="61610204"/>
    <s v="N"/>
    <n v="21321056"/>
    <s v="3000015717280006"/>
    <s v="CIVIL"/>
    <d v="2023-06-28T00:00:00"/>
    <d v="2023-07-03T19:04:52"/>
    <m/>
    <d v="2023-07-03T00:00:00"/>
    <n v="675"/>
    <n v="17196"/>
    <s v="61610204"/>
    <s v="61610204"/>
    <m/>
    <m/>
    <n v="22779352"/>
    <m/>
    <m/>
    <m/>
    <s v="SOLPOA"/>
    <s v="SOLPOA"/>
    <s v="CCMS"/>
    <n v="21321056"/>
    <n v="913.9400000000001"/>
    <m/>
    <s v="N"/>
    <n v="1"/>
    <d v="2023-07-03T19:04:57"/>
    <s v="N"/>
    <s v="Non Expert Disbursement"/>
    <s v="Non Expert Disbursement"/>
    <s v="Non Expert Disbursement"/>
    <s v="Andrew Wonnacott"/>
    <s v="N"/>
    <n v="761.62"/>
    <n v="152.32"/>
    <x v="3"/>
    <s v="VALIDATED"/>
    <n v="1"/>
    <s v="01.11.80.308.2012.0000"/>
    <n v="761.62"/>
    <s v="11"/>
    <s v="2012"/>
    <n v="18393.56"/>
    <n v="761.62"/>
    <s v="CREDITOR"/>
    <n v="761.62"/>
    <n v="0"/>
    <n v="0"/>
    <n v="0"/>
    <n v="0"/>
  </r>
  <r>
    <n v="56670622"/>
    <s v="N"/>
    <n v="21318718"/>
    <s v="3000013446030007"/>
    <s v="CIVIL"/>
    <d v="2023-06-22T00:00:00"/>
    <d v="2023-07-03T19:01:49"/>
    <m/>
    <d v="2023-07-03T00:00:00"/>
    <n v="675"/>
    <n v="17196"/>
    <s v="56670622"/>
    <s v="56670622"/>
    <m/>
    <m/>
    <n v="22741554"/>
    <m/>
    <m/>
    <m/>
    <s v="SOLFIN"/>
    <s v="SOLFIN"/>
    <s v="CCMS"/>
    <n v="21318718"/>
    <n v="16145.32"/>
    <m/>
    <s v="N"/>
    <n v="179"/>
    <d v="2023-07-03T19:02:02"/>
    <s v="Y"/>
    <s v="Preparation - drafting statement"/>
    <s v="Prescribed Hourly Rates"/>
    <s v="Profit Cost"/>
    <s v="AW+"/>
    <s v="Y"/>
    <n v="82.34999999999999"/>
    <n v="16.47"/>
    <x v="3"/>
    <s v="VALIDATED"/>
    <n v="1"/>
    <s v="01.11.80.307.6100.0000"/>
    <n v="82.34999999999999"/>
    <s v="11"/>
    <s v="6100"/>
    <n v="18393.56"/>
    <n v="82.34999999999999"/>
    <s v="CREDITOR"/>
    <n v="0"/>
    <n v="0"/>
    <n v="0"/>
    <n v="0"/>
    <n v="82.34999999999999"/>
  </r>
  <r>
    <n v="56670622"/>
    <s v="N"/>
    <n v="21318718"/>
    <s v="3000013446030007"/>
    <s v="CIVIL"/>
    <d v="2023-06-22T00:00:00"/>
    <d v="2023-07-03T19:01:49"/>
    <m/>
    <d v="2023-07-03T00:00:00"/>
    <n v="675"/>
    <n v="17196"/>
    <s v="56670622"/>
    <s v="56670622"/>
    <m/>
    <m/>
    <n v="22741554"/>
    <m/>
    <m/>
    <m/>
    <s v="SOLFIN"/>
    <s v="SOLFIN"/>
    <s v="CCMS"/>
    <n v="21318718"/>
    <n v="16145.32"/>
    <m/>
    <s v="N"/>
    <n v="79"/>
    <d v="2023-07-03T19:02:02"/>
    <s v="Y"/>
    <s v="Preparation - other"/>
    <s v="Prescribed Hourly Rates"/>
    <s v="Profit Cost"/>
    <s v="AW+"/>
    <s v="Y"/>
    <n v="32.94"/>
    <n v="6.59"/>
    <x v="3"/>
    <s v="VALIDATED"/>
    <n v="1"/>
    <s v="01.11.80.307.6100.0000"/>
    <n v="32.94"/>
    <s v="11"/>
    <s v="6100"/>
    <n v="18393.56"/>
    <n v="32.94"/>
    <s v="CREDITOR"/>
    <n v="0"/>
    <n v="0"/>
    <n v="0"/>
    <n v="0"/>
    <n v="32.94"/>
  </r>
  <r>
    <n v="56670622"/>
    <s v="N"/>
    <n v="21318718"/>
    <s v="3000013446030007"/>
    <s v="CIVIL"/>
    <d v="2023-06-22T00:00:00"/>
    <d v="2023-07-03T19:01:49"/>
    <m/>
    <d v="2023-07-03T00:00:00"/>
    <n v="675"/>
    <n v="17196"/>
    <s v="56670622"/>
    <s v="56670622"/>
    <m/>
    <m/>
    <n v="22741554"/>
    <m/>
    <m/>
    <m/>
    <s v="SOLFIN"/>
    <s v="SOLFIN"/>
    <s v="CCMS"/>
    <n v="21318718"/>
    <n v="16145.32"/>
    <m/>
    <s v="N"/>
    <n v="86"/>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6"/>
    <d v="2023-07-03T19:02:02"/>
    <s v="N"/>
    <s v="Level 3 &amp; Level 4 Fixed Fee"/>
    <s v="Private Law Children"/>
    <s v="Profit Cost"/>
    <s v="AVW"/>
    <s v="N"/>
    <n v="0"/>
    <n v="0"/>
    <x v="3"/>
    <s v="VALIDATED"/>
    <n v="1"/>
    <s v="01.11.80.307.6100.0000"/>
    <n v="0"/>
    <s v="11"/>
    <s v="6100"/>
    <n v="18393.56"/>
    <n v="0"/>
    <s v="CREDITOR"/>
    <n v="0"/>
    <n v="0"/>
    <n v="0"/>
    <n v="0"/>
    <n v="0"/>
  </r>
  <r>
    <n v="56670622"/>
    <s v="N"/>
    <n v="21318718"/>
    <s v="3000013446030007"/>
    <s v="CIVIL"/>
    <d v="2023-06-22T00:00:00"/>
    <d v="2023-07-03T19:01:49"/>
    <m/>
    <d v="2023-07-03T00:00:00"/>
    <n v="675"/>
    <n v="17196"/>
    <s v="56670622"/>
    <s v="56670622"/>
    <m/>
    <m/>
    <n v="22741554"/>
    <m/>
    <m/>
    <m/>
    <s v="SOLFIN"/>
    <s v="SOLFIN"/>
    <s v="CCMS"/>
    <n v="21318718"/>
    <n v="16145.32"/>
    <m/>
    <s v="N"/>
    <n v="28"/>
    <d v="2023-07-03T19:02:02"/>
    <s v="Y"/>
    <s v="Preparation - other"/>
    <s v="Prescribed Hourly Rates"/>
    <s v="Profit Cost"/>
    <s v="C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60"/>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95"/>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4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21"/>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37"/>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67"/>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70"/>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22"/>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68"/>
    <d v="2023-07-03T19:02:02"/>
    <s v="Y"/>
    <s v="Preparation - other"/>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89"/>
    <d v="2023-07-03T19:02:02"/>
    <s v="Y"/>
    <s v="Preparation - other"/>
    <s v="Prescribed Hourly Rates"/>
    <s v="Profit Cost"/>
    <s v="AW"/>
    <s v="Y"/>
    <n v="25.25"/>
    <n v="5.05"/>
    <x v="3"/>
    <s v="VALIDATED"/>
    <n v="1"/>
    <s v="01.11.80.307.6100.0000"/>
    <n v="25.25"/>
    <s v="11"/>
    <s v="6100"/>
    <n v="18393.56"/>
    <n v="25.25"/>
    <s v="CREDITOR"/>
    <n v="0"/>
    <n v="0"/>
    <n v="0"/>
    <n v="0"/>
    <n v="25.25"/>
  </r>
  <r>
    <n v="56670622"/>
    <s v="N"/>
    <n v="21318718"/>
    <s v="3000013446030007"/>
    <s v="CIVIL"/>
    <d v="2023-06-22T00:00:00"/>
    <d v="2023-07-03T19:01:49"/>
    <m/>
    <d v="2023-07-03T00:00:00"/>
    <n v="675"/>
    <n v="17196"/>
    <s v="56670622"/>
    <s v="56670622"/>
    <m/>
    <m/>
    <n v="22741554"/>
    <m/>
    <m/>
    <m/>
    <s v="SOLFIN"/>
    <s v="SOLFIN"/>
    <s v="CCMS"/>
    <n v="21318718"/>
    <n v="16145.32"/>
    <m/>
    <s v="N"/>
    <n v="50"/>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32"/>
    <d v="2023-07-03T19:02:02"/>
    <s v="Y"/>
    <s v="Preparation - other"/>
    <s v="Prescribed Hourly Rates"/>
    <s v="Profit Cost"/>
    <s v="C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81"/>
    <d v="2023-07-03T19:02:02"/>
    <s v="Y"/>
    <s v="Report - Medical report"/>
    <s v="Prescribed Hourly Rates"/>
    <s v="Profit Cost"/>
    <s v="AW+"/>
    <s v="Y"/>
    <n v="255.29"/>
    <n v="51.06"/>
    <x v="3"/>
    <s v="VALIDATED"/>
    <n v="1"/>
    <s v="01.11.80.307.6100.0000"/>
    <n v="255.29"/>
    <s v="11"/>
    <s v="6100"/>
    <n v="18393.56"/>
    <n v="255.29"/>
    <s v="CREDITOR"/>
    <n v="0"/>
    <n v="0"/>
    <n v="0"/>
    <n v="0"/>
    <n v="255.29"/>
  </r>
  <r>
    <n v="56670622"/>
    <s v="N"/>
    <n v="21318718"/>
    <s v="3000013446030007"/>
    <s v="CIVIL"/>
    <d v="2023-06-22T00:00:00"/>
    <d v="2023-07-03T19:01:49"/>
    <m/>
    <d v="2023-07-03T00:00:00"/>
    <n v="675"/>
    <n v="17196"/>
    <s v="56670622"/>
    <s v="56670622"/>
    <m/>
    <m/>
    <n v="22741554"/>
    <m/>
    <m/>
    <m/>
    <s v="SOLFIN"/>
    <s v="SOLFIN"/>
    <s v="CCMS"/>
    <n v="21318718"/>
    <n v="16145.32"/>
    <m/>
    <s v="N"/>
    <n v="90"/>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18"/>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192"/>
    <d v="2023-07-03T19:02:02"/>
    <s v="Y"/>
    <s v="Routine Letter Out"/>
    <s v="Prescribed Hourly Rates"/>
    <s v="Profit Cost"/>
    <s v="PM"/>
    <s v="Y"/>
    <n v="2067.93"/>
    <n v="413.58"/>
    <x v="3"/>
    <s v="VALIDATED"/>
    <n v="1"/>
    <s v="01.11.80.307.6100.0000"/>
    <n v="2067.93"/>
    <s v="11"/>
    <s v="6100"/>
    <n v="18393.56"/>
    <n v="2067.93"/>
    <s v="CREDITOR"/>
    <n v="0"/>
    <n v="0"/>
    <n v="0"/>
    <n v="0"/>
    <n v="2067.93"/>
  </r>
  <r>
    <n v="56670622"/>
    <s v="N"/>
    <n v="21318718"/>
    <s v="3000013446030007"/>
    <s v="CIVIL"/>
    <d v="2023-06-22T00:00:00"/>
    <d v="2023-07-03T19:01:49"/>
    <m/>
    <d v="2023-07-03T00:00:00"/>
    <n v="675"/>
    <n v="17196"/>
    <s v="56670622"/>
    <s v="56670622"/>
    <m/>
    <m/>
    <n v="22741554"/>
    <m/>
    <m/>
    <m/>
    <s v="SOLFIN"/>
    <s v="SOLFIN"/>
    <s v="CCMS"/>
    <n v="21318718"/>
    <n v="16145.32"/>
    <m/>
    <s v="N"/>
    <n v="129"/>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75"/>
    <d v="2023-07-03T19:02:02"/>
    <s v="Y"/>
    <s v="Preparation - other"/>
    <s v="Prescribed Hourly Rates"/>
    <s v="Profit Cost"/>
    <s v="AW"/>
    <s v="Y"/>
    <n v="12.63"/>
    <n v="2.53"/>
    <x v="3"/>
    <s v="VALIDATED"/>
    <n v="1"/>
    <s v="01.11.80.307.6100.0000"/>
    <n v="12.63"/>
    <s v="11"/>
    <s v="6100"/>
    <n v="18393.56"/>
    <n v="12.63"/>
    <s v="CREDITOR"/>
    <n v="0"/>
    <n v="0"/>
    <n v="0"/>
    <n v="0"/>
    <n v="12.63"/>
  </r>
  <r>
    <n v="56670622"/>
    <s v="N"/>
    <n v="21318718"/>
    <s v="3000013446030007"/>
    <s v="CIVIL"/>
    <d v="2023-06-22T00:00:00"/>
    <d v="2023-07-03T19:01:49"/>
    <m/>
    <d v="2023-07-03T00:00:00"/>
    <n v="675"/>
    <n v="17196"/>
    <s v="56670622"/>
    <s v="56670622"/>
    <m/>
    <m/>
    <n v="22741554"/>
    <m/>
    <m/>
    <m/>
    <s v="SOLFIN"/>
    <s v="SOLFIN"/>
    <s v="CCMS"/>
    <n v="21318718"/>
    <n v="16145.32"/>
    <m/>
    <s v="N"/>
    <n v="178"/>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61"/>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58"/>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44"/>
    <d v="2023-07-03T19:02:02"/>
    <s v="Y"/>
    <s v="Preparation - other"/>
    <s v="Prescribed Hourly Rates"/>
    <s v="Profit Cost"/>
    <s v="AW+"/>
    <s v="Y"/>
    <n v="82.34999999999999"/>
    <n v="16.47"/>
    <x v="3"/>
    <s v="VALIDATED"/>
    <n v="1"/>
    <s v="01.11.80.307.6100.0000"/>
    <n v="82.34999999999999"/>
    <s v="11"/>
    <s v="6100"/>
    <n v="18393.56"/>
    <n v="82.34999999999999"/>
    <s v="CREDITOR"/>
    <n v="0"/>
    <n v="0"/>
    <n v="0"/>
    <n v="0"/>
    <n v="82.34999999999999"/>
  </r>
  <r>
    <n v="56670622"/>
    <s v="N"/>
    <n v="21318718"/>
    <s v="3000013446030007"/>
    <s v="CIVIL"/>
    <d v="2023-06-22T00:00:00"/>
    <d v="2023-07-03T19:01:49"/>
    <m/>
    <d v="2023-07-03T00:00:00"/>
    <n v="675"/>
    <n v="17196"/>
    <s v="56670622"/>
    <s v="56670622"/>
    <m/>
    <m/>
    <n v="22741554"/>
    <m/>
    <m/>
    <m/>
    <s v="SOLFIN"/>
    <s v="SOLFIN"/>
    <s v="CCMS"/>
    <n v="21318718"/>
    <n v="16145.32"/>
    <m/>
    <s v="N"/>
    <n v="46"/>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11"/>
    <d v="2023-07-03T19:02:02"/>
    <s v="Y"/>
    <s v="Preparation - other"/>
    <s v="Prescribed Hourly Rates"/>
    <s v="Profit Cost"/>
    <s v="AW+"/>
    <s v="Y"/>
    <n v="32.94"/>
    <n v="6.59"/>
    <x v="3"/>
    <s v="VALIDATED"/>
    <n v="1"/>
    <s v="01.11.80.307.6100.0000"/>
    <n v="32.94"/>
    <s v="11"/>
    <s v="6100"/>
    <n v="18393.56"/>
    <n v="32.94"/>
    <s v="CREDITOR"/>
    <n v="0"/>
    <n v="0"/>
    <n v="0"/>
    <n v="0"/>
    <n v="32.94"/>
  </r>
  <r>
    <n v="56670622"/>
    <s v="N"/>
    <n v="21318718"/>
    <s v="3000013446030007"/>
    <s v="CIVIL"/>
    <d v="2023-06-22T00:00:00"/>
    <d v="2023-07-03T19:01:49"/>
    <m/>
    <d v="2023-07-03T00:00:00"/>
    <n v="675"/>
    <n v="17196"/>
    <s v="56670622"/>
    <s v="56670622"/>
    <m/>
    <m/>
    <n v="22741554"/>
    <m/>
    <m/>
    <m/>
    <s v="SOLFIN"/>
    <s v="SOLFIN"/>
    <s v="CCMS"/>
    <n v="21318718"/>
    <n v="16145.32"/>
    <m/>
    <s v="N"/>
    <n v="33"/>
    <d v="2023-07-03T19:02:02"/>
    <s v="Y"/>
    <s v="Preparation - other"/>
    <s v="Prescribed Hourly Rates"/>
    <s v="Profit Cost"/>
    <s v="C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55"/>
    <d v="2023-07-03T19:02:02"/>
    <s v="Y"/>
    <s v="Preparation - other"/>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71"/>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4"/>
    <d v="2023-07-03T19:02:02"/>
    <s v="Y"/>
    <s v="Preparation - drafting attendance n"/>
    <s v="Prescribed Hourly Rates"/>
    <s v="Profit Cost"/>
    <s v="C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52"/>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63"/>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75"/>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67"/>
    <d v="2023-07-03T19:02:02"/>
    <s v="Y"/>
    <s v="Report - Medical report"/>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00"/>
    <d v="2023-07-03T19:02:02"/>
    <s v="Y"/>
    <s v="Preparation - drafting statement"/>
    <s v="Prescribed Hourly Rates"/>
    <s v="Profit Cost"/>
    <s v="C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25"/>
    <d v="2023-07-03T19:02:02"/>
    <s v="Y"/>
    <s v="Preparation - other"/>
    <s v="Prescribed Hourly Rates"/>
    <s v="Profit Cost"/>
    <s v="AW+"/>
    <s v="Y"/>
    <n v="32.94"/>
    <n v="6.59"/>
    <x v="3"/>
    <s v="VALIDATED"/>
    <n v="1"/>
    <s v="01.11.80.307.6100.0000"/>
    <n v="32.94"/>
    <s v="11"/>
    <s v="6100"/>
    <n v="18393.56"/>
    <n v="32.94"/>
    <s v="CREDITOR"/>
    <n v="0"/>
    <n v="0"/>
    <n v="0"/>
    <n v="0"/>
    <n v="32.94"/>
  </r>
  <r>
    <n v="56670622"/>
    <s v="N"/>
    <n v="21318718"/>
    <s v="3000013446030007"/>
    <s v="CIVIL"/>
    <d v="2023-06-22T00:00:00"/>
    <d v="2023-07-03T19:01:49"/>
    <m/>
    <d v="2023-07-03T00:00:00"/>
    <n v="675"/>
    <n v="17196"/>
    <s v="56670622"/>
    <s v="56670622"/>
    <m/>
    <m/>
    <n v="22741554"/>
    <m/>
    <m/>
    <m/>
    <s v="SOLFIN"/>
    <s v="SOLFIN"/>
    <s v="CCMS"/>
    <n v="21318718"/>
    <n v="16145.32"/>
    <m/>
    <s v="N"/>
    <n v="138"/>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7"/>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48"/>
    <d v="2023-07-03T19:02:02"/>
    <s v="Y"/>
    <s v="Preparation - other"/>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57"/>
    <d v="2023-07-03T19:02:02"/>
    <s v="Y"/>
    <s v="Preparation - drafting statement"/>
    <s v="Prescribed Hourly Rates"/>
    <s v="Profit Cost"/>
    <s v="AW+"/>
    <s v="Y"/>
    <n v="82.34999999999999"/>
    <n v="16.47"/>
    <x v="3"/>
    <s v="VALIDATED"/>
    <n v="1"/>
    <s v="01.11.80.307.6100.0000"/>
    <n v="82.34999999999999"/>
    <s v="11"/>
    <s v="6100"/>
    <n v="18393.56"/>
    <n v="82.34999999999999"/>
    <s v="CREDITOR"/>
    <n v="0"/>
    <n v="0"/>
    <n v="0"/>
    <n v="0"/>
    <n v="82.34999999999999"/>
  </r>
  <r>
    <n v="56670622"/>
    <s v="N"/>
    <n v="21318718"/>
    <s v="3000013446030007"/>
    <s v="CIVIL"/>
    <d v="2023-06-22T00:00:00"/>
    <d v="2023-07-03T19:01:49"/>
    <m/>
    <d v="2023-07-03T00:00:00"/>
    <n v="675"/>
    <n v="17196"/>
    <s v="56670622"/>
    <s v="56670622"/>
    <m/>
    <m/>
    <n v="22741554"/>
    <m/>
    <m/>
    <m/>
    <s v="SOLFIN"/>
    <s v="SOLFIN"/>
    <s v="CCMS"/>
    <n v="21318718"/>
    <n v="16145.32"/>
    <m/>
    <s v="N"/>
    <n v="158"/>
    <d v="2023-07-03T19:02:02"/>
    <s v="Y"/>
    <s v="Preparation - drafting statement"/>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98"/>
    <d v="2023-07-03T19:02:02"/>
    <s v="Y"/>
    <s v="Preparation - drafting statement"/>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26"/>
    <d v="2023-07-03T19:02:02"/>
    <s v="Y"/>
    <s v="Preparation - other"/>
    <s v="Prescribed Hourly Rates"/>
    <s v="Profit Cost"/>
    <s v="AW+"/>
    <s v="Y"/>
    <n v="16.47"/>
    <n v="3.29"/>
    <x v="3"/>
    <s v="VALIDATED"/>
    <n v="1"/>
    <s v="01.11.80.307.6100.0000"/>
    <n v="16.47"/>
    <s v="11"/>
    <s v="6100"/>
    <n v="18393.56"/>
    <n v="16.47"/>
    <s v="CREDITOR"/>
    <n v="0"/>
    <n v="0"/>
    <n v="0"/>
    <n v="0"/>
    <n v="16.47"/>
  </r>
  <r>
    <n v="61357897"/>
    <s v="N"/>
    <n v="21349740"/>
    <s v="3000015489170005"/>
    <s v="CIVIL"/>
    <d v="2023-06-27T00:00:00"/>
    <d v="2023-07-10T19:01:40"/>
    <m/>
    <d v="2023-07-10T00:00:00"/>
    <n v="675"/>
    <n v="17196"/>
    <s v="61357897"/>
    <s v="61357897"/>
    <m/>
    <m/>
    <n v="22766678"/>
    <m/>
    <m/>
    <m/>
    <s v="SOLPOA"/>
    <s v="SOLPOA"/>
    <s v="CCMS"/>
    <n v="21349740"/>
    <n v="2678.88"/>
    <m/>
    <s v="N"/>
    <n v="1"/>
    <d v="2023-07-10T19:01:56"/>
    <s v="N"/>
    <s v="Level 3 Fixed Fee"/>
    <s v="Private Law Children"/>
    <s v="Profit Cost"/>
    <s v="Jodie Harding"/>
    <s v="N"/>
    <n v="2232.4"/>
    <n v="446.48"/>
    <x v="2"/>
    <s v="VALIDATED"/>
    <n v="1"/>
    <s v="01.11.80.307.2012.0000"/>
    <n v="2232.4"/>
    <s v="11"/>
    <s v="2012"/>
    <n v="18393.56"/>
    <n v="2232.4"/>
    <s v="CREDITOR"/>
    <n v="2232.4"/>
    <n v="558.1"/>
    <n v="0"/>
    <n v="0"/>
    <n v="0"/>
  </r>
  <r>
    <n v="56670622"/>
    <s v="N"/>
    <n v="21318718"/>
    <s v="3000013446030007"/>
    <s v="CIVIL"/>
    <d v="2023-06-22T00:00:00"/>
    <d v="2023-07-03T19:01:49"/>
    <m/>
    <d v="2023-07-03T00:00:00"/>
    <n v="675"/>
    <n v="17196"/>
    <s v="56670622"/>
    <s v="56670622"/>
    <m/>
    <m/>
    <n v="22741554"/>
    <m/>
    <m/>
    <m/>
    <s v="SOLFIN"/>
    <s v="SOLFIN"/>
    <s v="CCMS"/>
    <n v="21318718"/>
    <n v="16145.32"/>
    <m/>
    <s v="N"/>
    <n v="45"/>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25"/>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70"/>
    <d v="2023-07-03T19:02:02"/>
    <s v="Y"/>
    <s v="Preparation - other"/>
    <s v="Prescribed Hourly Rates"/>
    <s v="Profit Cost"/>
    <s v="AW"/>
    <s v="Y"/>
    <n v="12.63"/>
    <n v="2.53"/>
    <x v="3"/>
    <s v="VALIDATED"/>
    <n v="1"/>
    <s v="01.11.80.307.6100.0000"/>
    <n v="12.63"/>
    <s v="11"/>
    <s v="6100"/>
    <n v="18393.56"/>
    <n v="12.63"/>
    <s v="CREDITOR"/>
    <n v="0"/>
    <n v="0"/>
    <n v="0"/>
    <n v="0"/>
    <n v="12.63"/>
  </r>
  <r>
    <n v="56670622"/>
    <s v="N"/>
    <n v="21318718"/>
    <s v="3000013446030007"/>
    <s v="CIVIL"/>
    <d v="2023-06-22T00:00:00"/>
    <d v="2023-07-03T19:01:49"/>
    <m/>
    <d v="2023-07-03T00:00:00"/>
    <n v="675"/>
    <n v="17196"/>
    <s v="56670622"/>
    <s v="56670622"/>
    <m/>
    <m/>
    <n v="22741554"/>
    <m/>
    <m/>
    <m/>
    <s v="SOLFIN"/>
    <s v="SOLFIN"/>
    <s v="CCMS"/>
    <n v="21318718"/>
    <n v="16145.32"/>
    <m/>
    <s v="N"/>
    <n v="54"/>
    <d v="2023-07-03T19:02:02"/>
    <s v="Y"/>
    <s v="Preparation - other"/>
    <s v="Prescribed Hourly Rates"/>
    <s v="Profit Cost"/>
    <s v="AW+"/>
    <s v="Y"/>
    <n v="16.47"/>
    <n v="3.29"/>
    <x v="3"/>
    <s v="VALIDATED"/>
    <n v="1"/>
    <s v="01.11.80.307.6100.0000"/>
    <n v="16.47"/>
    <s v="11"/>
    <s v="6100"/>
    <n v="18393.56"/>
    <n v="16.47"/>
    <s v="CREDITOR"/>
    <n v="0"/>
    <n v="0"/>
    <n v="0"/>
    <n v="0"/>
    <n v="16.47"/>
  </r>
  <r>
    <n v="61841763"/>
    <s v="N"/>
    <n v="21323686"/>
    <s v="3000015908250004"/>
    <s v="CIVIL"/>
    <d v="2023-06-30T00:00:00"/>
    <d v="2023-07-03T19:05:56"/>
    <m/>
    <d v="2023-07-03T00:00:00"/>
    <n v="675"/>
    <n v="17196"/>
    <s v="61841763"/>
    <s v="61841763"/>
    <m/>
    <m/>
    <n v="22796042"/>
    <m/>
    <m/>
    <m/>
    <s v="SOLPOA"/>
    <s v="SOLPOA"/>
    <s v="CCMS"/>
    <n v="21323686"/>
    <n v="329"/>
    <m/>
    <s v="N"/>
    <n v="1"/>
    <d v="2023-07-03T19:05:58"/>
    <s v="N"/>
    <s v="Expert Cost"/>
    <s v="Expert Cost"/>
    <s v="Expert Disbursement"/>
    <s v="Angela Timbrell"/>
    <s v="N"/>
    <n v="274.17"/>
    <n v="54.83"/>
    <x v="3"/>
    <s v="VALIDATED"/>
    <n v="1"/>
    <s v="01.11.80.308.2012.0000"/>
    <n v="274.17"/>
    <s v="11"/>
    <s v="2012"/>
    <n v="18393.56"/>
    <n v="274.17"/>
    <s v="CREDITOR"/>
    <n v="274.17"/>
    <n v="0"/>
    <n v="0"/>
    <n v="0"/>
    <n v="0"/>
  </r>
  <r>
    <n v="56670622"/>
    <s v="N"/>
    <n v="21318718"/>
    <s v="3000013446030007"/>
    <s v="CIVIL"/>
    <d v="2023-06-22T00:00:00"/>
    <d v="2023-07-03T19:01:49"/>
    <m/>
    <d v="2023-07-03T00:00:00"/>
    <n v="675"/>
    <n v="17196"/>
    <s v="56670622"/>
    <s v="56670622"/>
    <m/>
    <m/>
    <n v="22741554"/>
    <m/>
    <m/>
    <m/>
    <s v="SOLFIN"/>
    <s v="SOLFIN"/>
    <s v="CCMS"/>
    <n v="21318718"/>
    <n v="16145.32"/>
    <m/>
    <s v="N"/>
    <n v="49"/>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38"/>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44"/>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73"/>
    <d v="2023-07-03T19:02:02"/>
    <s v="Y"/>
    <s v="Preparation - other"/>
    <s v="Prescribed Hourly Rates"/>
    <s v="Profit Cost"/>
    <s v="CD+"/>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74"/>
    <d v="2023-07-03T19:02:02"/>
    <s v="Y"/>
    <s v="Preparation - other"/>
    <s v="Prescribed Hourly Rates"/>
    <s v="Profit Cost"/>
    <s v="AW"/>
    <s v="Y"/>
    <n v="12.63"/>
    <n v="2.53"/>
    <x v="3"/>
    <s v="VALIDATED"/>
    <n v="1"/>
    <s v="01.11.80.307.6100.0000"/>
    <n v="12.63"/>
    <s v="11"/>
    <s v="6100"/>
    <n v="18393.56"/>
    <n v="12.63"/>
    <s v="CREDITOR"/>
    <n v="0"/>
    <n v="0"/>
    <n v="0"/>
    <n v="0"/>
    <n v="12.63"/>
  </r>
  <r>
    <n v="56670622"/>
    <s v="N"/>
    <n v="21318718"/>
    <s v="3000013446030007"/>
    <s v="CIVIL"/>
    <d v="2023-06-22T00:00:00"/>
    <d v="2023-07-03T19:01:49"/>
    <m/>
    <d v="2023-07-03T00:00:00"/>
    <n v="675"/>
    <n v="17196"/>
    <s v="56670622"/>
    <s v="56670622"/>
    <m/>
    <m/>
    <n v="22741554"/>
    <m/>
    <m/>
    <m/>
    <s v="SOLFIN"/>
    <s v="SOLFIN"/>
    <s v="CCMS"/>
    <n v="21318718"/>
    <n v="16145.32"/>
    <m/>
    <s v="N"/>
    <n v="112"/>
    <d v="2023-07-03T19:02:02"/>
    <s v="Y"/>
    <s v="Preparation - other"/>
    <s v="Prescribed Hourly Rates"/>
    <s v="Profit Cost"/>
    <s v="AW+"/>
    <s v="Y"/>
    <n v="16.47"/>
    <n v="3.29"/>
    <x v="3"/>
    <s v="VALIDATED"/>
    <n v="1"/>
    <s v="01.11.80.307.6100.0000"/>
    <n v="16.47"/>
    <s v="11"/>
    <s v="6100"/>
    <n v="18393.56"/>
    <n v="16.47"/>
    <s v="CREDITOR"/>
    <n v="0"/>
    <n v="0"/>
    <n v="0"/>
    <n v="0"/>
    <n v="16.47"/>
  </r>
  <r>
    <n v="61640992"/>
    <s v="N"/>
    <n v="21319862"/>
    <s v="3000015743660006"/>
    <s v="CIVIL"/>
    <d v="2023-06-27T00:00:00"/>
    <d v="2023-07-03T19:04:24"/>
    <m/>
    <d v="2023-07-03T00:00:00"/>
    <n v="675"/>
    <n v="17196"/>
    <s v="61640992"/>
    <s v="61640992"/>
    <m/>
    <m/>
    <n v="22769518"/>
    <m/>
    <m/>
    <m/>
    <s v="SOLPOA"/>
    <s v="SOLPOA"/>
    <s v="CCMS"/>
    <n v="21319862"/>
    <n v="117"/>
    <m/>
    <s v="N"/>
    <n v="1"/>
    <d v="2023-07-03T19:04:28"/>
    <s v="N"/>
    <s v="Expert Cost"/>
    <s v="Expert Cost"/>
    <s v="Expert Disbursement"/>
    <s v="Angela Timbrell"/>
    <s v="N"/>
    <n v="117"/>
    <n v="0"/>
    <x v="3"/>
    <s v="VALIDATED"/>
    <n v="1"/>
    <s v="01.11.80.308.2012.0000"/>
    <n v="117"/>
    <s v="11"/>
    <s v="2012"/>
    <n v="18393.56"/>
    <n v="117"/>
    <s v="CREDITOR"/>
    <n v="117"/>
    <n v="0"/>
    <n v="0"/>
    <n v="0"/>
    <n v="0"/>
  </r>
  <r>
    <n v="56670622"/>
    <s v="N"/>
    <n v="21318718"/>
    <s v="3000013446030007"/>
    <s v="CIVIL"/>
    <d v="2023-06-22T00:00:00"/>
    <d v="2023-07-03T19:01:49"/>
    <m/>
    <d v="2023-07-03T00:00:00"/>
    <n v="675"/>
    <n v="17196"/>
    <s v="56670622"/>
    <s v="56670622"/>
    <m/>
    <m/>
    <n v="22741554"/>
    <m/>
    <m/>
    <m/>
    <s v="SOLFIN"/>
    <s v="SOLFIN"/>
    <s v="CCMS"/>
    <n v="21318718"/>
    <n v="16145.32"/>
    <m/>
    <s v="N"/>
    <n v="3"/>
    <d v="2023-07-03T19:02:02"/>
    <s v="Y"/>
    <s v="Hearing Unit 1.01 - 2.30 Hours"/>
    <s v="Private Law Children"/>
    <s v="Advocacy"/>
    <s v="AVW"/>
    <s v="Y"/>
    <n v="172.4"/>
    <n v="34.48"/>
    <x v="3"/>
    <s v="VALIDATED"/>
    <n v="1"/>
    <s v="01.11.80.307.6100.0000"/>
    <n v="172.4"/>
    <s v="11"/>
    <s v="6100"/>
    <n v="18393.56"/>
    <n v="172.4"/>
    <s v="CREDITOR"/>
    <n v="0"/>
    <n v="0"/>
    <n v="0"/>
    <n v="0"/>
    <n v="172.4"/>
  </r>
  <r>
    <n v="56670622"/>
    <s v="N"/>
    <n v="21318718"/>
    <s v="3000013446030007"/>
    <s v="CIVIL"/>
    <d v="2023-06-22T00:00:00"/>
    <d v="2023-07-03T19:01:49"/>
    <m/>
    <d v="2023-07-03T00:00:00"/>
    <n v="675"/>
    <n v="17196"/>
    <s v="56670622"/>
    <s v="56670622"/>
    <m/>
    <m/>
    <n v="22741554"/>
    <m/>
    <m/>
    <m/>
    <s v="SOLFIN"/>
    <s v="SOLFIN"/>
    <s v="CCMS"/>
    <n v="21318718"/>
    <n v="16145.32"/>
    <m/>
    <s v="N"/>
    <n v="123"/>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29"/>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34"/>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66"/>
    <d v="2023-07-03T19:02:02"/>
    <s v="Y"/>
    <s v="Preparation - other"/>
    <s v="Prescribed Hourly Rates"/>
    <s v="Profit Cost"/>
    <s v="CW"/>
    <s v="Y"/>
    <n v="5.49"/>
    <n v="1.1"/>
    <x v="3"/>
    <s v="VALIDATED"/>
    <n v="1"/>
    <s v="01.11.80.307.6100.0000"/>
    <n v="5.49"/>
    <s v="11"/>
    <s v="6100"/>
    <n v="18393.56"/>
    <n v="5.49"/>
    <s v="CREDITOR"/>
    <n v="0"/>
    <n v="0"/>
    <n v="0"/>
    <n v="0"/>
    <n v="5.49"/>
  </r>
  <r>
    <n v="56670622"/>
    <s v="N"/>
    <n v="21318718"/>
    <s v="3000013446030007"/>
    <s v="CIVIL"/>
    <d v="2023-06-22T00:00:00"/>
    <d v="2023-07-03T19:01:49"/>
    <m/>
    <d v="2023-07-03T00:00:00"/>
    <n v="675"/>
    <n v="17196"/>
    <s v="56670622"/>
    <s v="56670622"/>
    <m/>
    <m/>
    <n v="22741554"/>
    <m/>
    <m/>
    <m/>
    <s v="SOLFIN"/>
    <s v="SOLFIN"/>
    <s v="CCMS"/>
    <n v="21318718"/>
    <n v="16145.32"/>
    <m/>
    <s v="N"/>
    <n v="9"/>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2"/>
    <d v="2023-07-03T19:02:02"/>
    <s v="Y"/>
    <s v="Preparation - other"/>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3"/>
    <d v="2023-07-03T19:02:02"/>
    <s v="Y"/>
    <s v="Preparation - other"/>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36"/>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63"/>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88"/>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34"/>
    <d v="2023-07-03T19:02:02"/>
    <s v="Y"/>
    <s v="Preparation - other"/>
    <s v="Prescribed Hourly Rates"/>
    <s v="Profit Cost"/>
    <s v="CD+"/>
    <s v="Y"/>
    <n v="8.24"/>
    <n v="1.65"/>
    <x v="3"/>
    <s v="VALIDATED"/>
    <n v="1"/>
    <s v="01.11.80.307.6100.0000"/>
    <n v="8.24"/>
    <s v="11"/>
    <s v="6100"/>
    <n v="18393.56"/>
    <n v="8.24"/>
    <s v="CREDITOR"/>
    <n v="0"/>
    <n v="0"/>
    <n v="0"/>
    <n v="0"/>
    <n v="8.24"/>
  </r>
  <r>
    <n v="62199532"/>
    <s v="N"/>
    <n v="21343824"/>
    <s v="3000016207750002"/>
    <s v="CIVIL"/>
    <d v="2023-06-30T00:00:00"/>
    <d v="2023-07-07T19:03:00"/>
    <m/>
    <d v="2023-07-07T00:00:00"/>
    <n v="675"/>
    <n v="17196"/>
    <s v="62199532"/>
    <s v="62199532"/>
    <m/>
    <m/>
    <n v="22800052"/>
    <m/>
    <m/>
    <m/>
    <s v="SOLPOA"/>
    <s v="SOLPOA"/>
    <s v="CCMS"/>
    <n v="21343824"/>
    <n v="148.2"/>
    <m/>
    <s v="N"/>
    <n v="1"/>
    <d v="2023-07-07T19:03:13"/>
    <s v="N"/>
    <s v="Non Expert Disbursement"/>
    <s v="Non Expert Disbursement"/>
    <s v="Non Expert Disbursement"/>
    <s v="Cameron Dymond"/>
    <s v="N"/>
    <n v="123.5"/>
    <n v="24.7"/>
    <x v="9"/>
    <s v="VALIDATED"/>
    <n v="1"/>
    <s v="01.11.80.308.2012.0000"/>
    <n v="123.5"/>
    <s v="11"/>
    <s v="2012"/>
    <n v="18393.56"/>
    <n v="123.5"/>
    <s v="CREDITOR"/>
    <n v="123.5"/>
    <n v="0"/>
    <n v="0"/>
    <n v="0"/>
    <n v="0"/>
  </r>
  <r>
    <n v="56670622"/>
    <s v="N"/>
    <n v="21318718"/>
    <s v="3000013446030007"/>
    <s v="CIVIL"/>
    <d v="2023-06-22T00:00:00"/>
    <d v="2023-07-03T19:01:49"/>
    <m/>
    <d v="2023-07-03T00:00:00"/>
    <n v="675"/>
    <n v="17196"/>
    <s v="56670622"/>
    <s v="56670622"/>
    <m/>
    <m/>
    <n v="22741554"/>
    <m/>
    <m/>
    <m/>
    <s v="SOLFIN"/>
    <s v="SOLFIN"/>
    <s v="CCMS"/>
    <n v="21318718"/>
    <n v="16145.32"/>
    <m/>
    <s v="N"/>
    <n v="171"/>
    <d v="2023-07-03T19:02:02"/>
    <s v="Y"/>
    <s v="Preparation - other"/>
    <s v="Prescribed Hourly Rates"/>
    <s v="Profit Cost"/>
    <s v="CD+"/>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53"/>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36"/>
    <d v="2023-07-03T19:02:02"/>
    <s v="Y"/>
    <s v="Preparation - other"/>
    <s v="Prescribed Hourly Rates"/>
    <s v="Profit Cost"/>
    <s v="C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33"/>
    <d v="2023-07-03T19:02:02"/>
    <s v="Y"/>
    <s v="Preparation - other"/>
    <s v="Prescribed Hourly Rates"/>
    <s v="Profit Cost"/>
    <s v="CD+"/>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35"/>
    <d v="2023-07-03T19:02:02"/>
    <s v="Y"/>
    <s v="Preparation - other"/>
    <s v="Prescribed Hourly Rates"/>
    <s v="Profit Cost"/>
    <s v="CD+"/>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2"/>
    <d v="2023-07-03T19:02:02"/>
    <s v="Y"/>
    <s v="Psychologist"/>
    <s v="Prescribed Hourly Rates"/>
    <s v="Expert Disbursement"/>
    <s v="AVW"/>
    <s v="Y"/>
    <n v="231.66"/>
    <n v="46.33"/>
    <x v="3"/>
    <s v="VALIDATED"/>
    <n v="1"/>
    <s v="01.11.80.307.6300.0000"/>
    <n v="231.66"/>
    <s v="11"/>
    <s v="6300"/>
    <n v="18393.56"/>
    <n v="231.66"/>
    <s v="CREDITOR"/>
    <n v="0"/>
    <n v="0"/>
    <n v="0"/>
    <n v="0"/>
    <n v="231.66"/>
  </r>
  <r>
    <n v="56670622"/>
    <s v="N"/>
    <n v="21318718"/>
    <s v="3000013446030007"/>
    <s v="CIVIL"/>
    <d v="2023-06-22T00:00:00"/>
    <d v="2023-07-03T19:01:49"/>
    <m/>
    <d v="2023-07-03T00:00:00"/>
    <n v="675"/>
    <n v="17196"/>
    <s v="56670622"/>
    <s v="56670622"/>
    <m/>
    <m/>
    <n v="22741554"/>
    <m/>
    <m/>
    <m/>
    <s v="SOLFIN"/>
    <s v="SOLFIN"/>
    <s v="CCMS"/>
    <n v="21318718"/>
    <n v="16145.32"/>
    <m/>
    <s v="N"/>
    <n v="146"/>
    <d v="2023-07-03T19:02:02"/>
    <s v="Y"/>
    <s v="Preparation - other"/>
    <s v="Prescribed Hourly Rates"/>
    <s v="Profit Cost"/>
    <s v="AW+"/>
    <s v="Y"/>
    <n v="41.18"/>
    <n v="8.24"/>
    <x v="3"/>
    <s v="VALIDATED"/>
    <n v="1"/>
    <s v="01.11.80.307.6100.0000"/>
    <n v="41.18"/>
    <s v="11"/>
    <s v="6100"/>
    <n v="18393.56"/>
    <n v="41.18"/>
    <s v="CREDITOR"/>
    <n v="0"/>
    <n v="0"/>
    <n v="0"/>
    <n v="0"/>
    <n v="41.18"/>
  </r>
  <r>
    <n v="56670622"/>
    <s v="N"/>
    <n v="21318718"/>
    <s v="3000013446030007"/>
    <s v="CIVIL"/>
    <d v="2023-06-22T00:00:00"/>
    <d v="2023-07-03T19:01:49"/>
    <m/>
    <d v="2023-07-03T00:00:00"/>
    <n v="675"/>
    <n v="17196"/>
    <s v="56670622"/>
    <s v="56670622"/>
    <m/>
    <m/>
    <n v="22741554"/>
    <m/>
    <m/>
    <m/>
    <s v="SOLFIN"/>
    <s v="SOLFIN"/>
    <s v="CCMS"/>
    <n v="21318718"/>
    <n v="16145.32"/>
    <m/>
    <s v="N"/>
    <n v="153"/>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1"/>
    <d v="2023-07-03T19:02:02"/>
    <s v="Y"/>
    <s v="Preparation - other"/>
    <s v="Prescribed Hourly Rates"/>
    <s v="Profit Cost"/>
    <s v="AW+"/>
    <s v="Y"/>
    <n v="115.29"/>
    <n v="23.06"/>
    <x v="3"/>
    <s v="VALIDATED"/>
    <n v="1"/>
    <s v="01.11.80.307.6100.0000"/>
    <n v="115.29"/>
    <s v="11"/>
    <s v="6100"/>
    <n v="18393.56"/>
    <n v="115.29"/>
    <s v="CREDITOR"/>
    <n v="0"/>
    <n v="0"/>
    <n v="0"/>
    <n v="0"/>
    <n v="115.29"/>
  </r>
  <r>
    <n v="56670622"/>
    <s v="N"/>
    <n v="21318718"/>
    <s v="3000013446030007"/>
    <s v="CIVIL"/>
    <d v="2023-06-22T00:00:00"/>
    <d v="2023-07-03T19:01:49"/>
    <m/>
    <d v="2023-07-03T00:00:00"/>
    <n v="675"/>
    <n v="17196"/>
    <s v="56670622"/>
    <s v="56670622"/>
    <m/>
    <m/>
    <n v="22741554"/>
    <m/>
    <m/>
    <m/>
    <s v="SOLFIN"/>
    <s v="SOLFIN"/>
    <s v="CCMS"/>
    <n v="21318718"/>
    <n v="16145.32"/>
    <m/>
    <s v="N"/>
    <n v="52"/>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84"/>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19"/>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92"/>
    <d v="2023-07-03T19:02:02"/>
    <s v="Y"/>
    <s v="Preparation - other"/>
    <s v="Prescribed Hourly Rates"/>
    <s v="Profit Cost"/>
    <s v="AW+"/>
    <s v="Y"/>
    <n v="16.47"/>
    <n v="3.29"/>
    <x v="3"/>
    <s v="VALIDATED"/>
    <n v="1"/>
    <s v="01.11.80.307.6100.0000"/>
    <n v="16.47"/>
    <s v="11"/>
    <s v="6100"/>
    <n v="18393.56"/>
    <n v="16.47"/>
    <s v="CREDITOR"/>
    <n v="0"/>
    <n v="0"/>
    <n v="0"/>
    <n v="0"/>
    <n v="16.47"/>
  </r>
  <r>
    <n v="56670622"/>
    <s v="N"/>
    <n v="21318718"/>
    <s v="3000013446030007"/>
    <s v="CIVIL"/>
    <d v="2023-06-22T00:00:00"/>
    <d v="2023-07-03T19:01:49"/>
    <m/>
    <d v="2023-07-03T00:00:00"/>
    <n v="675"/>
    <n v="17196"/>
    <s v="56670622"/>
    <s v="56670622"/>
    <m/>
    <m/>
    <n v="22741554"/>
    <m/>
    <m/>
    <m/>
    <s v="SOLFIN"/>
    <s v="SOLFIN"/>
    <s v="CCMS"/>
    <n v="21318718"/>
    <n v="16145.32"/>
    <m/>
    <s v="N"/>
    <n v="19"/>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154"/>
    <d v="2023-07-03T19:02:02"/>
    <s v="Y"/>
    <s v="Preparation - other"/>
    <s v="Prescribed Hourly Rates"/>
    <s v="Profit Cost"/>
    <s v="AW+"/>
    <s v="Y"/>
    <n v="24.71"/>
    <n v="4.94"/>
    <x v="3"/>
    <s v="VALIDATED"/>
    <n v="1"/>
    <s v="01.11.80.307.6100.0000"/>
    <n v="24.71"/>
    <s v="11"/>
    <s v="6100"/>
    <n v="18393.56"/>
    <n v="24.71"/>
    <s v="CREDITOR"/>
    <n v="0"/>
    <n v="0"/>
    <n v="0"/>
    <n v="0"/>
    <n v="24.71"/>
  </r>
  <r>
    <n v="56670622"/>
    <s v="N"/>
    <n v="21318718"/>
    <s v="3000013446030007"/>
    <s v="CIVIL"/>
    <d v="2023-06-22T00:00:00"/>
    <d v="2023-07-03T19:01:49"/>
    <m/>
    <d v="2023-07-03T00:00:00"/>
    <n v="675"/>
    <n v="17196"/>
    <s v="56670622"/>
    <s v="56670622"/>
    <m/>
    <m/>
    <n v="22741554"/>
    <m/>
    <m/>
    <m/>
    <s v="SOLFIN"/>
    <s v="SOLFIN"/>
    <s v="CCMS"/>
    <n v="21318718"/>
    <n v="16145.32"/>
    <m/>
    <s v="N"/>
    <n v="162"/>
    <d v="2023-07-03T19:02:02"/>
    <s v="Y"/>
    <s v="Preparation - drafting statement"/>
    <s v="Prescribed Hourly Rates"/>
    <s v="Profit Cost"/>
    <s v="AW+"/>
    <s v="Y"/>
    <n v="247.05"/>
    <n v="49.41"/>
    <x v="3"/>
    <s v="VALIDATED"/>
    <n v="1"/>
    <s v="01.11.80.307.6100.0000"/>
    <n v="247.05"/>
    <s v="11"/>
    <s v="6100"/>
    <n v="18393.56"/>
    <n v="247.05"/>
    <s v="CREDITOR"/>
    <n v="0"/>
    <n v="0"/>
    <n v="0"/>
    <n v="0"/>
    <n v="247.05"/>
  </r>
  <r>
    <n v="56670622"/>
    <s v="N"/>
    <n v="21318718"/>
    <s v="3000013446030007"/>
    <s v="CIVIL"/>
    <d v="2023-06-22T00:00:00"/>
    <d v="2023-07-03T19:01:49"/>
    <m/>
    <d v="2023-07-03T00:00:00"/>
    <n v="675"/>
    <n v="17196"/>
    <s v="56670622"/>
    <s v="56670622"/>
    <m/>
    <m/>
    <n v="22741554"/>
    <m/>
    <m/>
    <m/>
    <s v="SOLFIN"/>
    <s v="SOLFIN"/>
    <s v="CCMS"/>
    <n v="21318718"/>
    <n v="16145.32"/>
    <m/>
    <s v="N"/>
    <n v="4"/>
    <d v="2023-07-03T19:02:02"/>
    <s v="Y"/>
    <s v="Hearing Unit 2.31 - 5.00 Hours"/>
    <s v="Private Law Children"/>
    <s v="Advocacy"/>
    <s v="AVW"/>
    <s v="Y"/>
    <n v="344.8"/>
    <n v="68.95999999999999"/>
    <x v="3"/>
    <s v="VALIDATED"/>
    <n v="1"/>
    <s v="01.11.80.307.6100.0000"/>
    <n v="344.8"/>
    <s v="11"/>
    <s v="6100"/>
    <n v="18393.56"/>
    <n v="344.8"/>
    <s v="CREDITOR"/>
    <n v="0"/>
    <n v="0"/>
    <n v="0"/>
    <n v="0"/>
    <n v="344.8"/>
  </r>
  <r>
    <n v="56670622"/>
    <s v="N"/>
    <n v="21318718"/>
    <s v="3000013446030007"/>
    <s v="CIVIL"/>
    <d v="2023-06-22T00:00:00"/>
    <d v="2023-07-03T19:01:49"/>
    <m/>
    <d v="2023-07-03T00:00:00"/>
    <n v="675"/>
    <n v="17196"/>
    <s v="56670622"/>
    <s v="56670622"/>
    <m/>
    <m/>
    <n v="22741554"/>
    <m/>
    <m/>
    <m/>
    <s v="SOLFIN"/>
    <s v="SOLFIN"/>
    <s v="CCMS"/>
    <n v="21318718"/>
    <n v="16145.32"/>
    <m/>
    <s v="N"/>
    <n v="30"/>
    <d v="2023-07-03T19:02:02"/>
    <s v="Y"/>
    <s v="Preparation - other"/>
    <s v="Prescribed Hourly Rates"/>
    <s v="Profit Cost"/>
    <s v="AW+"/>
    <s v="Y"/>
    <n v="8.24"/>
    <n v="1.65"/>
    <x v="3"/>
    <s v="VALIDATED"/>
    <n v="1"/>
    <s v="01.11.80.307.6100.0000"/>
    <n v="8.24"/>
    <s v="11"/>
    <s v="6100"/>
    <n v="18393.56"/>
    <n v="8.24"/>
    <s v="CREDITOR"/>
    <n v="0"/>
    <n v="0"/>
    <n v="0"/>
    <n v="0"/>
    <n v="8.24"/>
  </r>
  <r>
    <n v="56670622"/>
    <s v="N"/>
    <n v="21318718"/>
    <s v="3000013446030007"/>
    <s v="CIVIL"/>
    <d v="2023-06-22T00:00:00"/>
    <d v="2023-07-03T19:01:49"/>
    <m/>
    <d v="2023-07-03T00:00:00"/>
    <n v="675"/>
    <n v="17196"/>
    <s v="56670622"/>
    <s v="56670622"/>
    <m/>
    <m/>
    <n v="22741554"/>
    <m/>
    <m/>
    <m/>
    <s v="SOLFIN"/>
    <s v="SOLFIN"/>
    <s v="CCMS"/>
    <n v="21318718"/>
    <n v="16145.32"/>
    <m/>
    <s v="N"/>
    <n v="65"/>
    <d v="2023-07-03T19:02:02"/>
    <s v="Y"/>
    <s v="Preparation - other"/>
    <s v="Prescribed Hourly Rates"/>
    <s v="Profit Cost"/>
    <s v="CW"/>
    <s v="Y"/>
    <n v="5.49"/>
    <n v="1.1"/>
    <x v="3"/>
    <s v="VALIDATED"/>
    <n v="1"/>
    <s v="01.11.80.307.6100.0000"/>
    <n v="5.49"/>
    <s v="11"/>
    <s v="6100"/>
    <n v="18393.56"/>
    <n v="5.49"/>
    <s v="CREDITOR"/>
    <n v="0"/>
    <n v="0"/>
    <n v="0"/>
    <n v="0"/>
    <n v="5.49"/>
  </r>
  <r>
    <n v="61842946"/>
    <s v="N"/>
    <n v="21319342"/>
    <s v="3000015909770002"/>
    <s v="CIVIL"/>
    <d v="2023-06-28T00:00:00"/>
    <d v="2023-07-03T19:04:24"/>
    <m/>
    <d v="2023-07-03T00:00:00"/>
    <n v="676"/>
    <n v="17208"/>
    <s v="61842946"/>
    <s v="61842946"/>
    <m/>
    <m/>
    <n v="22776320"/>
    <m/>
    <m/>
    <m/>
    <s v="SOLPOA"/>
    <s v="SOLPOA"/>
    <s v="CCMS"/>
    <n v="21319342"/>
    <n v="167"/>
    <m/>
    <s v="N"/>
    <n v="1"/>
    <d v="2023-07-03T19:04:25"/>
    <s v="N"/>
    <s v="Non Expert Disbursement"/>
    <s v="Non Expert Disbursement"/>
    <s v="Non Expert Disbursement"/>
    <s v="Rachel Carter"/>
    <s v="N"/>
    <n v="167"/>
    <n v="0"/>
    <x v="3"/>
    <s v="VALIDATED"/>
    <n v="1"/>
    <s v="01.11.80.308.2012.0000"/>
    <n v="167"/>
    <s v="11"/>
    <s v="2012"/>
    <n v="2750.5"/>
    <n v="167"/>
    <s v="CREDITOR"/>
    <n v="167"/>
    <n v="0"/>
    <n v="0"/>
    <n v="0"/>
    <n v="0"/>
  </r>
  <r>
    <n v="62004954"/>
    <s v="N"/>
    <n v="21323118"/>
    <s v="3000016040040006"/>
    <s v="CIVIL"/>
    <d v="2023-06-29T00:00:00"/>
    <d v="2023-07-03T19:05:36"/>
    <m/>
    <d v="2023-07-03T00:00:00"/>
    <n v="676"/>
    <n v="17208"/>
    <s v="62004954"/>
    <s v="62004954"/>
    <m/>
    <m/>
    <n v="22790114"/>
    <m/>
    <m/>
    <m/>
    <s v="SOLPOA"/>
    <s v="SOLPOA"/>
    <s v="CCMS"/>
    <n v="21323118"/>
    <n v="370.54"/>
    <m/>
    <s v="N"/>
    <n v="1"/>
    <d v="2023-07-03T19:05:41"/>
    <s v="N"/>
    <s v="Expert Cost"/>
    <s v="Expert Cost"/>
    <s v="Expert Disbursement"/>
    <s v="Dave Kendall"/>
    <s v="N"/>
    <n v="308.78"/>
    <n v="61.76"/>
    <x v="3"/>
    <s v="VALIDATED"/>
    <n v="1"/>
    <s v="01.11.80.308.2012.0000"/>
    <n v="308.78"/>
    <s v="11"/>
    <s v="2012"/>
    <n v="2750.5"/>
    <n v="308.78"/>
    <s v="CREDITOR"/>
    <n v="308.78"/>
    <n v="0"/>
    <n v="0"/>
    <n v="0"/>
    <n v="0"/>
  </r>
  <r>
    <n v="60463948"/>
    <s v="N"/>
    <n v="21320397"/>
    <s v="3000014745430019"/>
    <s v="CIVIL"/>
    <d v="2023-06-28T00:00:00"/>
    <d v="2023-07-03T19:04:52"/>
    <m/>
    <d v="2023-07-03T00:00:00"/>
    <n v="676"/>
    <n v="17208"/>
    <s v="60463948"/>
    <s v="60463948"/>
    <m/>
    <m/>
    <n v="22780218"/>
    <m/>
    <m/>
    <m/>
    <s v="SOLPOA"/>
    <s v="SOLPOA"/>
    <s v="CCMS"/>
    <n v="21320397"/>
    <n v="388.07"/>
    <m/>
    <s v="N"/>
    <n v="1"/>
    <d v="2023-07-03T19:04:54"/>
    <s v="N"/>
    <s v="Expert Cost"/>
    <s v="Expert Cost"/>
    <s v="Expert Disbursement"/>
    <s v="Cate Jewell"/>
    <s v="N"/>
    <n v="388.07"/>
    <n v="0"/>
    <x v="3"/>
    <s v="VALIDATED"/>
    <n v="1"/>
    <s v="01.11.80.308.2012.0000"/>
    <n v="388.07"/>
    <s v="11"/>
    <s v="2012"/>
    <n v="2750.5"/>
    <n v="388.07"/>
    <s v="CREDITOR"/>
    <n v="388.07"/>
    <n v="0"/>
    <n v="0"/>
    <n v="0"/>
    <n v="0"/>
  </r>
  <r>
    <n v="62230454"/>
    <s v="N"/>
    <n v="21319424"/>
    <s v="3000016232960005"/>
    <s v="CIVIL"/>
    <d v="2023-06-28T00:00:00"/>
    <d v="2023-07-03T19:04:24"/>
    <m/>
    <d v="2023-07-03T00:00:00"/>
    <n v="676"/>
    <n v="17208"/>
    <s v="62230454"/>
    <s v="62230454"/>
    <m/>
    <m/>
    <n v="22776732"/>
    <m/>
    <m/>
    <m/>
    <s v="SOLPOA"/>
    <s v="SOLPOA"/>
    <s v="CCMS"/>
    <n v="21319424"/>
    <n v="53"/>
    <m/>
    <s v="N"/>
    <n v="1"/>
    <d v="2023-07-03T19:04:25"/>
    <s v="N"/>
    <s v="Non Expert Disbursement"/>
    <s v="Non Expert Disbursement"/>
    <s v="Non Expert Disbursement"/>
    <s v="Cate Jewell"/>
    <s v="N"/>
    <n v="53"/>
    <n v="0"/>
    <x v="3"/>
    <s v="VALIDATED"/>
    <n v="1"/>
    <s v="01.11.80.308.2012.0000"/>
    <n v="53"/>
    <s v="11"/>
    <s v="2012"/>
    <n v="2750.5"/>
    <n v="53"/>
    <s v="CREDITOR"/>
    <n v="53"/>
    <n v="0"/>
    <n v="0"/>
    <n v="0"/>
    <n v="0"/>
  </r>
  <r>
    <n v="62231581"/>
    <s v="N"/>
    <n v="21320451"/>
    <s v="3000016233540001"/>
    <s v="CIVIL"/>
    <d v="2023-06-28T00:00:00"/>
    <d v="2023-07-03T19:04:52"/>
    <m/>
    <d v="2023-07-03T00:00:00"/>
    <n v="676"/>
    <n v="17208"/>
    <s v="62231581"/>
    <s v="62231581"/>
    <m/>
    <m/>
    <n v="22780468"/>
    <m/>
    <m/>
    <m/>
    <s v="SOLPOA"/>
    <s v="SOLPOA"/>
    <s v="CCMS"/>
    <n v="21320451"/>
    <n v="227.45"/>
    <m/>
    <s v="N"/>
    <n v="1"/>
    <d v="2023-07-03T19:04:54"/>
    <s v="N"/>
    <s v="Expert Cost"/>
    <s v="Expert Cost"/>
    <s v="Expert Disbursement"/>
    <s v="Dave Kendall"/>
    <s v="N"/>
    <n v="227.45"/>
    <n v="0"/>
    <x v="3"/>
    <s v="VALIDATED"/>
    <n v="1"/>
    <s v="01.11.80.308.2012.0000"/>
    <n v="227.45"/>
    <s v="11"/>
    <s v="2012"/>
    <n v="2750.5"/>
    <n v="227.45"/>
    <s v="CREDITOR"/>
    <n v="227.45"/>
    <n v="0"/>
    <n v="0"/>
    <n v="0"/>
    <n v="0"/>
  </r>
  <r>
    <n v="62327659"/>
    <s v="N"/>
    <n v="21322974"/>
    <s v="3000016315160004"/>
    <s v="CIVIL"/>
    <d v="2023-06-29T00:00:00"/>
    <d v="2023-07-03T19:05:36"/>
    <m/>
    <d v="2023-07-03T00:00:00"/>
    <n v="676"/>
    <n v="17208"/>
    <s v="62327659"/>
    <s v="62327659"/>
    <m/>
    <m/>
    <n v="22789996"/>
    <m/>
    <m/>
    <m/>
    <s v="SOLPOA"/>
    <s v="SOLPOA"/>
    <s v="CCMS"/>
    <n v="21322974"/>
    <n v="1927.44"/>
    <m/>
    <s v="N"/>
    <n v="1"/>
    <d v="2023-07-03T19:05:41"/>
    <s v="N"/>
    <s v="Expert Cost"/>
    <s v="Expert Cost"/>
    <s v="Expert Disbursement"/>
    <s v="Cate Jewell"/>
    <s v="N"/>
    <n v="1606.2"/>
    <n v="321.24"/>
    <x v="3"/>
    <s v="VALIDATED"/>
    <n v="1"/>
    <s v="01.11.80.308.2012.0000"/>
    <n v="1606.2"/>
    <s v="11"/>
    <s v="2012"/>
    <n v="2750.5"/>
    <n v="1606.2"/>
    <s v="CREDITOR"/>
    <n v="1606.2"/>
    <n v="0"/>
    <n v="0"/>
    <n v="0"/>
    <n v="0"/>
  </r>
  <r>
    <n v="591560"/>
    <s v="N"/>
    <n v="3422645"/>
    <s v="00170884"/>
    <s v="CIVIL"/>
    <d v="2014-03-11T00:00:00"/>
    <d v="2014-03-11T13:16:32"/>
    <m/>
    <d v="2014-03-11T00:00:00"/>
    <n v="677"/>
    <n v="17219"/>
    <s v="591560"/>
    <s v="591560"/>
    <m/>
    <m/>
    <m/>
    <m/>
    <m/>
    <m/>
    <s v="ENFORCEMENT"/>
    <s v="ENFORCEMENT"/>
    <s v="Manual Invoice Entry"/>
    <n v="3422645"/>
    <n v="504"/>
    <m/>
    <s v="N"/>
    <n v="3"/>
    <d v="2014-03-11T13:18:27"/>
    <s v="N"/>
    <m/>
    <m/>
    <m/>
    <m/>
    <s v="N"/>
    <n v="140"/>
    <n v="0"/>
    <x v="15"/>
    <s v="TESTED BUT NOT VALIDATED"/>
    <n v="1"/>
    <s v="01.11.80.000.2011.0000"/>
    <n v="140"/>
    <s v="11"/>
    <s v="2011"/>
    <n v="420"/>
    <n v="140"/>
    <s v="CREDITOR"/>
    <n v="0"/>
    <n v="0"/>
    <n v="0"/>
    <n v="0"/>
    <n v="140"/>
  </r>
  <r>
    <n v="591560"/>
    <s v="N"/>
    <n v="3422645"/>
    <s v="00170884"/>
    <s v="CIVIL"/>
    <d v="2014-03-11T00:00:00"/>
    <d v="2014-03-11T13:16:32"/>
    <m/>
    <d v="2014-03-11T00:00:00"/>
    <n v="677"/>
    <n v="17219"/>
    <s v="591560"/>
    <s v="591560"/>
    <m/>
    <m/>
    <m/>
    <m/>
    <m/>
    <m/>
    <s v="ENFORCEMENT"/>
    <s v="ENFORCEMENT"/>
    <s v="Manual Invoice Entry"/>
    <n v="3422645"/>
    <n v="504"/>
    <m/>
    <s v="N"/>
    <n v="2"/>
    <d v="2014-03-11T13:18:27"/>
    <s v="N"/>
    <m/>
    <m/>
    <m/>
    <m/>
    <s v="N"/>
    <n v="100"/>
    <n v="0"/>
    <x v="15"/>
    <s v="TESTED BUT NOT VALIDATED"/>
    <n v="1"/>
    <s v="01.11.80.000.2011.0000"/>
    <n v="100"/>
    <s v="11"/>
    <s v="2011"/>
    <n v="420"/>
    <n v="100"/>
    <s v="CREDITOR"/>
    <n v="0"/>
    <n v="0"/>
    <n v="0"/>
    <n v="0"/>
    <n v="100"/>
  </r>
  <r>
    <n v="591560"/>
    <s v="N"/>
    <n v="3422645"/>
    <s v="00170884"/>
    <s v="CIVIL"/>
    <d v="2014-03-11T00:00:00"/>
    <d v="2014-03-11T13:16:32"/>
    <m/>
    <d v="2014-03-11T00:00:00"/>
    <n v="677"/>
    <n v="17219"/>
    <s v="591560"/>
    <s v="591560"/>
    <m/>
    <m/>
    <m/>
    <m/>
    <m/>
    <m/>
    <s v="ENFORCEMENT"/>
    <s v="ENFORCEMENT"/>
    <s v="Manual Invoice Entry"/>
    <n v="3422645"/>
    <n v="504"/>
    <m/>
    <s v="N"/>
    <n v="1"/>
    <d v="2014-03-11T13:18:27"/>
    <s v="N"/>
    <m/>
    <m/>
    <m/>
    <m/>
    <s v="N"/>
    <n v="180"/>
    <n v="0"/>
    <x v="15"/>
    <s v="TESTED BUT NOT VALIDATED"/>
    <n v="1"/>
    <s v="01.11.80.000.2011.0000"/>
    <n v="180"/>
    <s v="11"/>
    <s v="2011"/>
    <n v="420"/>
    <n v="180"/>
    <s v="CREDITOR"/>
    <n v="0"/>
    <n v="0"/>
    <n v="0"/>
    <n v="0"/>
    <n v="180"/>
  </r>
  <r>
    <n v="61599431"/>
    <s v="N"/>
    <n v="21319304"/>
    <s v="3000015566450002"/>
    <s v="CIVIL"/>
    <d v="2023-06-28T00:00:00"/>
    <d v="2023-07-03T19:04:24"/>
    <m/>
    <d v="2023-07-03T00:00:00"/>
    <n v="683"/>
    <n v="17252"/>
    <s v="61599431"/>
    <s v="61599431"/>
    <m/>
    <m/>
    <n v="22776078"/>
    <m/>
    <m/>
    <m/>
    <s v="SOLPOA"/>
    <s v="SOLPOA"/>
    <s v="CCMS"/>
    <n v="21319304"/>
    <n v="944.17"/>
    <m/>
    <s v="N"/>
    <n v="1"/>
    <d v="2023-07-03T19:04:25"/>
    <s v="N"/>
    <s v="Level 4 Fixed Fee"/>
    <s v="Private Law Children"/>
    <s v="Profit Cost"/>
    <s v="Rebecca Bates"/>
    <s v="N"/>
    <n v="786.8099999999999"/>
    <n v="157.36"/>
    <x v="3"/>
    <s v="VALIDATED"/>
    <n v="1"/>
    <s v="01.11.80.307.2012.0000"/>
    <n v="786.8099999999999"/>
    <s v="11"/>
    <s v="2012"/>
    <n v="3193.36"/>
    <n v="786.8099999999999"/>
    <s v="CREDITOR"/>
    <n v="786.8099999999999"/>
    <n v="196.7025"/>
    <n v="0"/>
    <n v="0"/>
    <n v="0"/>
  </r>
  <r>
    <n v="60524004"/>
    <s v="N"/>
    <n v="21337806"/>
    <s v="3000014782370004"/>
    <s v="CIVIL"/>
    <d v="2023-06-30T00:00:00"/>
    <d v="2023-07-06T19:21:01"/>
    <m/>
    <d v="2023-07-06T00:00:00"/>
    <n v="683"/>
    <n v="17252"/>
    <s v="60524004"/>
    <s v="60524004"/>
    <m/>
    <m/>
    <n v="22794874"/>
    <m/>
    <m/>
    <m/>
    <s v="SOLPOA"/>
    <s v="SOLPOA"/>
    <s v="CCMS"/>
    <n v="21337806"/>
    <n v="1531.87"/>
    <m/>
    <s v="N"/>
    <n v="1"/>
    <d v="2023-07-06T19:21:08"/>
    <s v="N"/>
    <s v="Level 4 Fixed Fee"/>
    <s v="Private Law Children"/>
    <s v="Profit Cost"/>
    <s v="Nathalie Payne"/>
    <s v="N"/>
    <n v="1276.56"/>
    <n v="255.31"/>
    <x v="4"/>
    <s v="VALIDATED"/>
    <n v="1"/>
    <s v="01.11.80.307.2012.0000"/>
    <n v="1276.56"/>
    <s v="11"/>
    <s v="2012"/>
    <n v="3193.36"/>
    <n v="1276.56"/>
    <s v="CREDITOR"/>
    <n v="1276.56"/>
    <n v="319.14"/>
    <n v="0"/>
    <n v="0"/>
    <n v="0"/>
  </r>
  <r>
    <n v="61278600"/>
    <s v="N"/>
    <n v="21319222"/>
    <s v="3000015441130009"/>
    <s v="CIVIL"/>
    <d v="2023-06-27T00:00:00"/>
    <d v="2023-07-03T19:04:24"/>
    <m/>
    <d v="2023-07-03T00:00:00"/>
    <n v="683"/>
    <n v="17252"/>
    <s v="61278600"/>
    <s v="61278600"/>
    <m/>
    <m/>
    <n v="22769852"/>
    <m/>
    <m/>
    <m/>
    <s v="SOLPOA"/>
    <s v="SOLPOA"/>
    <s v="CCMS"/>
    <n v="21319222"/>
    <n v="196.56"/>
    <m/>
    <s v="N"/>
    <n v="1"/>
    <d v="2023-07-03T19:04:24"/>
    <s v="N"/>
    <s v="Expert Cost"/>
    <s v="Expert Cost"/>
    <s v="Expert Disbursement"/>
    <s v="Rebecca Bates"/>
    <s v="N"/>
    <n v="163.8"/>
    <n v="32.76"/>
    <x v="3"/>
    <s v="VALIDATED"/>
    <n v="1"/>
    <s v="01.11.80.308.2012.0000"/>
    <n v="163.8"/>
    <s v="11"/>
    <s v="2012"/>
    <n v="3193.36"/>
    <n v="163.8"/>
    <s v="CREDITOR"/>
    <n v="163.8"/>
    <n v="0"/>
    <n v="0"/>
    <n v="0"/>
    <n v="0"/>
  </r>
  <r>
    <n v="61485386"/>
    <s v="N"/>
    <n v="21319834"/>
    <s v="3000015573600002"/>
    <s v="CIVIL"/>
    <d v="2023-06-28T00:00:00"/>
    <d v="2023-07-03T19:04:24"/>
    <m/>
    <d v="2023-07-03T00:00:00"/>
    <n v="683"/>
    <n v="17252"/>
    <s v="61485386"/>
    <s v="61485386"/>
    <m/>
    <m/>
    <n v="22776104"/>
    <m/>
    <m/>
    <m/>
    <s v="SOLPOA"/>
    <s v="SOLPOA"/>
    <s v="CCMS"/>
    <n v="21319834"/>
    <n v="1159.43"/>
    <m/>
    <s v="N"/>
    <n v="1"/>
    <d v="2023-07-03T19:04:27"/>
    <s v="N"/>
    <s v="Level 4 Fixed Fee"/>
    <s v="Private Law Children"/>
    <s v="Profit Cost"/>
    <s v="Rebecca Bates"/>
    <s v="N"/>
    <n v="966.1900000000001"/>
    <n v="193.24"/>
    <x v="3"/>
    <s v="VALIDATED"/>
    <n v="1"/>
    <s v="01.11.80.307.2012.0000"/>
    <n v="966.1900000000001"/>
    <s v="11"/>
    <s v="2012"/>
    <n v="3193.36"/>
    <n v="966.1900000000001"/>
    <s v="CREDITOR"/>
    <n v="966.1900000000001"/>
    <n v="241.5475"/>
    <n v="0"/>
    <n v="0"/>
    <n v="0"/>
  </r>
  <r>
    <n v="60020592"/>
    <s v="N"/>
    <n v="21356419"/>
    <s v="3000014362010002RC"/>
    <s v="CIVIL"/>
    <d v="2023-06-23T00:00:00"/>
    <d v="2023-07-10T19:47:44"/>
    <m/>
    <d v="2023-07-10T00:00:00"/>
    <n v="684"/>
    <n v="17252"/>
    <s v="60020592"/>
    <s v="60020592"/>
    <m/>
    <m/>
    <m/>
    <m/>
    <m/>
    <m/>
    <s v="SOLRECOUP"/>
    <s v="SOLRECOUP"/>
    <s v="POARECOUP"/>
    <n v="21356419"/>
    <n v="-6.3"/>
    <m/>
    <s v="Y"/>
    <n v="1"/>
    <d v="2023-07-10T19:47:45"/>
    <s v="N"/>
    <m/>
    <m/>
    <s v="Non Expert Disbursement"/>
    <m/>
    <s v="N"/>
    <n v="-6.3"/>
    <n v="0"/>
    <x v="2"/>
    <s v="VALIDATED"/>
    <n v="1"/>
    <s v="01.11.80.308.2013.0000"/>
    <n v="-6.3"/>
    <s v="11"/>
    <s v="2013"/>
    <n v="14702.89"/>
    <n v="-6.3"/>
    <s v="CREDITOR"/>
    <n v="0"/>
    <n v="0"/>
    <n v="-6.3"/>
    <n v="0"/>
    <n v="0"/>
  </r>
  <r>
    <n v="60020592"/>
    <s v="N"/>
    <n v="21356419"/>
    <s v="3000014362010002RC"/>
    <s v="CIVIL"/>
    <d v="2023-06-23T00:00:00"/>
    <d v="2023-07-10T19:47:44"/>
    <m/>
    <d v="2023-07-10T00:00:00"/>
    <n v="684"/>
    <n v="17252"/>
    <s v="60020592"/>
    <s v="60020592"/>
    <m/>
    <m/>
    <m/>
    <m/>
    <m/>
    <m/>
    <s v="SOLRECOUP"/>
    <s v="SOLRECOUP"/>
    <s v="POARECOUP"/>
    <n v="21356419"/>
    <n v="-6.3"/>
    <m/>
    <s v="Y"/>
    <n v="2"/>
    <d v="2023-07-10T19:47:45"/>
    <s v="N"/>
    <m/>
    <m/>
    <s v="Non Expert Disbursement"/>
    <m/>
    <s v="N"/>
    <n v="0"/>
    <n v="0"/>
    <x v="2"/>
    <s v="VALIDATED"/>
    <n v="1"/>
    <s v="01.11.80.000.0000.0000"/>
    <n v="0"/>
    <s v="11"/>
    <s v="0000"/>
    <n v="14702.89"/>
    <n v="0"/>
    <s v="CREDITOR"/>
    <n v="0"/>
    <n v="0"/>
    <n v="0"/>
    <n v="0"/>
    <n v="0"/>
  </r>
  <r>
    <n v="60020592"/>
    <s v="N"/>
    <n v="21356420"/>
    <s v="3000014362010001RC"/>
    <s v="CIVIL"/>
    <d v="2023-06-23T00:00:00"/>
    <d v="2023-07-10T19:47:44"/>
    <m/>
    <d v="2023-07-10T00:00:00"/>
    <n v="684"/>
    <n v="17252"/>
    <s v="60020592"/>
    <s v="60020592"/>
    <m/>
    <m/>
    <m/>
    <m/>
    <m/>
    <m/>
    <s v="SOLRECOUP"/>
    <s v="SOLRECOUP"/>
    <s v="POARECOUP"/>
    <n v="21356420"/>
    <n v="-167"/>
    <m/>
    <s v="Y"/>
    <n v="1"/>
    <d v="2023-07-10T19:47:45"/>
    <s v="N"/>
    <m/>
    <m/>
    <s v="Non Expert Disbursement"/>
    <m/>
    <s v="N"/>
    <n v="-167"/>
    <n v="0"/>
    <x v="2"/>
    <s v="VALIDATED"/>
    <n v="1"/>
    <s v="01.11.80.308.2013.0000"/>
    <n v="-167"/>
    <s v="11"/>
    <s v="2013"/>
    <n v="14702.89"/>
    <n v="-167"/>
    <s v="CREDITOR"/>
    <n v="0"/>
    <n v="0"/>
    <n v="-167"/>
    <n v="0"/>
    <n v="0"/>
  </r>
  <r>
    <n v="60020592"/>
    <s v="N"/>
    <n v="21356420"/>
    <s v="3000014362010001RC"/>
    <s v="CIVIL"/>
    <d v="2023-06-23T00:00:00"/>
    <d v="2023-07-10T19:47:44"/>
    <m/>
    <d v="2023-07-10T00:00:00"/>
    <n v="684"/>
    <n v="17252"/>
    <s v="60020592"/>
    <s v="60020592"/>
    <m/>
    <m/>
    <m/>
    <m/>
    <m/>
    <m/>
    <s v="SOLRECOUP"/>
    <s v="SOLRECOUP"/>
    <s v="POARECOUP"/>
    <n v="21356420"/>
    <n v="-167"/>
    <m/>
    <s v="Y"/>
    <n v="2"/>
    <d v="2023-07-10T19:47:45"/>
    <s v="N"/>
    <m/>
    <m/>
    <s v="Non Expert Disbursement"/>
    <m/>
    <s v="N"/>
    <n v="0"/>
    <n v="0"/>
    <x v="2"/>
    <s v="VALIDATED"/>
    <n v="1"/>
    <s v="01.11.80.000.0000.0000"/>
    <n v="0"/>
    <s v="11"/>
    <s v="0000"/>
    <n v="14702.89"/>
    <n v="0"/>
    <s v="CREDITOR"/>
    <n v="0"/>
    <n v="0"/>
    <n v="0"/>
    <n v="0"/>
    <n v="0"/>
  </r>
  <r>
    <n v="60020592"/>
    <s v="N"/>
    <n v="21356421"/>
    <s v="3000014362010005RC"/>
    <s v="CIVIL"/>
    <d v="2023-06-23T00:00:00"/>
    <d v="2023-07-10T19:47:44"/>
    <m/>
    <d v="2023-07-10T00:00:00"/>
    <n v="684"/>
    <n v="17252"/>
    <s v="60020592"/>
    <s v="60020592"/>
    <m/>
    <m/>
    <m/>
    <m/>
    <m/>
    <m/>
    <s v="SOLRECOUP"/>
    <s v="SOLRECOUP"/>
    <s v="POARECOUP"/>
    <n v="21356421"/>
    <n v="-936"/>
    <m/>
    <s v="Y"/>
    <n v="1"/>
    <d v="2023-07-10T19:47:45"/>
    <s v="N"/>
    <m/>
    <m/>
    <s v="Expert Disbursement"/>
    <m/>
    <s v="N"/>
    <n v="-780"/>
    <n v="0"/>
    <x v="2"/>
    <s v="VALIDATED"/>
    <n v="1"/>
    <s v="01.11.80.308.2013.0000"/>
    <n v="-780"/>
    <s v="11"/>
    <s v="2013"/>
    <n v="14702.89"/>
    <n v="-780"/>
    <s v="CREDITOR"/>
    <n v="0"/>
    <n v="0"/>
    <n v="-780"/>
    <n v="0"/>
    <n v="0"/>
  </r>
  <r>
    <n v="60020592"/>
    <s v="N"/>
    <n v="21356421"/>
    <s v="3000014362010005RC"/>
    <s v="CIVIL"/>
    <d v="2023-06-23T00:00:00"/>
    <d v="2023-07-10T19:47:44"/>
    <m/>
    <d v="2023-07-10T00:00:00"/>
    <n v="684"/>
    <n v="17252"/>
    <s v="60020592"/>
    <s v="60020592"/>
    <m/>
    <m/>
    <m/>
    <m/>
    <m/>
    <m/>
    <s v="SOLRECOUP"/>
    <s v="SOLRECOUP"/>
    <s v="POARECOUP"/>
    <n v="21356421"/>
    <n v="-936"/>
    <m/>
    <s v="Y"/>
    <n v="2"/>
    <d v="2023-07-10T19:47:45"/>
    <s v="N"/>
    <m/>
    <m/>
    <s v="Expert Disbursement"/>
    <m/>
    <s v="N"/>
    <n v="0"/>
    <n v="-156"/>
    <x v="2"/>
    <s v="VALIDATED"/>
    <n v="1"/>
    <s v="01.11.80.308.2013.0000"/>
    <n v="-156"/>
    <s v="11"/>
    <s v="2013"/>
    <n v="14702.89"/>
    <n v="-156"/>
    <s v="CREDITOR"/>
    <n v="0"/>
    <n v="0"/>
    <n v="-156"/>
    <n v="0"/>
    <n v="0"/>
  </r>
  <r>
    <n v="60020592"/>
    <s v="N"/>
    <n v="21356422"/>
    <s v="3000014362010003RC"/>
    <s v="CIVIL"/>
    <d v="2023-06-23T00:00:00"/>
    <d v="2023-07-10T19:47:44"/>
    <m/>
    <d v="2023-07-10T00:00:00"/>
    <n v="684"/>
    <n v="17252"/>
    <s v="60020592"/>
    <s v="60020592"/>
    <m/>
    <m/>
    <m/>
    <m/>
    <m/>
    <m/>
    <s v="SOLRECOUP"/>
    <s v="SOLRECOUP"/>
    <s v="POARECOUP"/>
    <n v="21356422"/>
    <n v="-491.6"/>
    <m/>
    <s v="Y"/>
    <n v="1"/>
    <d v="2023-07-10T19:47:45"/>
    <s v="N"/>
    <m/>
    <m/>
    <s v="Expert Disbursement"/>
    <m/>
    <s v="N"/>
    <n v="-409.67"/>
    <n v="0"/>
    <x v="2"/>
    <s v="VALIDATED"/>
    <n v="1"/>
    <s v="01.11.80.308.2013.0000"/>
    <n v="-409.67"/>
    <s v="11"/>
    <s v="2013"/>
    <n v="14702.89"/>
    <n v="-409.67"/>
    <s v="CREDITOR"/>
    <n v="0"/>
    <n v="0"/>
    <n v="-409.67"/>
    <n v="0"/>
    <n v="0"/>
  </r>
  <r>
    <n v="60020592"/>
    <s v="N"/>
    <n v="21356422"/>
    <s v="3000014362010003RC"/>
    <s v="CIVIL"/>
    <d v="2023-06-23T00:00:00"/>
    <d v="2023-07-10T19:47:44"/>
    <m/>
    <d v="2023-07-10T00:00:00"/>
    <n v="684"/>
    <n v="17252"/>
    <s v="60020592"/>
    <s v="60020592"/>
    <m/>
    <m/>
    <m/>
    <m/>
    <m/>
    <m/>
    <s v="SOLRECOUP"/>
    <s v="SOLRECOUP"/>
    <s v="POARECOUP"/>
    <n v="21356422"/>
    <n v="-491.6"/>
    <m/>
    <s v="Y"/>
    <n v="2"/>
    <d v="2023-07-10T19:47:45"/>
    <s v="N"/>
    <m/>
    <m/>
    <s v="Expert Disbursement"/>
    <m/>
    <s v="N"/>
    <n v="0"/>
    <n v="-81.93000000000001"/>
    <x v="2"/>
    <s v="VALIDATED"/>
    <n v="1"/>
    <s v="01.11.80.308.2013.0000"/>
    <n v="-81.93000000000001"/>
    <s v="11"/>
    <s v="2013"/>
    <n v="14702.89"/>
    <n v="-81.93000000000001"/>
    <s v="CREDITOR"/>
    <n v="0"/>
    <n v="0"/>
    <n v="-81.93000000000001"/>
    <n v="0"/>
    <n v="0"/>
  </r>
  <r>
    <n v="60020592"/>
    <s v="N"/>
    <n v="21356423"/>
    <s v="3000014362010007RC"/>
    <s v="CIVIL"/>
    <d v="2023-06-23T00:00:00"/>
    <d v="2023-07-10T19:47:44"/>
    <m/>
    <d v="2023-07-10T00:00:00"/>
    <n v="684"/>
    <n v="17252"/>
    <s v="60020592"/>
    <s v="60020592"/>
    <m/>
    <m/>
    <m/>
    <m/>
    <m/>
    <m/>
    <s v="SOLRECOUP"/>
    <s v="SOLRECOUP"/>
    <s v="POARECOUP"/>
    <n v="21356423"/>
    <n v="-299.7"/>
    <m/>
    <s v="Y"/>
    <n v="1"/>
    <d v="2023-07-10T19:47:45"/>
    <s v="N"/>
    <m/>
    <m/>
    <s v="Expert Disbursement"/>
    <m/>
    <s v="N"/>
    <n v="-249.75"/>
    <n v="0"/>
    <x v="2"/>
    <s v="VALIDATED"/>
    <n v="1"/>
    <s v="01.11.80.308.2013.0000"/>
    <n v="-249.75"/>
    <s v="11"/>
    <s v="2013"/>
    <n v="14702.89"/>
    <n v="-249.75"/>
    <s v="CREDITOR"/>
    <n v="0"/>
    <n v="0"/>
    <n v="-249.75"/>
    <n v="0"/>
    <n v="0"/>
  </r>
  <r>
    <n v="60020592"/>
    <s v="N"/>
    <n v="21356423"/>
    <s v="3000014362010007RC"/>
    <s v="CIVIL"/>
    <d v="2023-06-23T00:00:00"/>
    <d v="2023-07-10T19:47:44"/>
    <m/>
    <d v="2023-07-10T00:00:00"/>
    <n v="684"/>
    <n v="17252"/>
    <s v="60020592"/>
    <s v="60020592"/>
    <m/>
    <m/>
    <m/>
    <m/>
    <m/>
    <m/>
    <s v="SOLRECOUP"/>
    <s v="SOLRECOUP"/>
    <s v="POARECOUP"/>
    <n v="21356423"/>
    <n v="-299.7"/>
    <m/>
    <s v="Y"/>
    <n v="2"/>
    <d v="2023-07-10T19:47:45"/>
    <s v="N"/>
    <m/>
    <m/>
    <s v="Expert Disbursement"/>
    <m/>
    <s v="N"/>
    <n v="0"/>
    <n v="-49.95"/>
    <x v="2"/>
    <s v="VALIDATED"/>
    <n v="1"/>
    <s v="01.11.80.308.2013.0000"/>
    <n v="-49.95"/>
    <s v="11"/>
    <s v="2013"/>
    <n v="14702.89"/>
    <n v="-49.95"/>
    <s v="CREDITOR"/>
    <n v="0"/>
    <n v="0"/>
    <n v="-49.95"/>
    <n v="0"/>
    <n v="0"/>
  </r>
  <r>
    <n v="60020592"/>
    <s v="N"/>
    <n v="21356424"/>
    <s v="3000014362010009RC"/>
    <s v="CIVIL"/>
    <d v="2023-06-23T00:00:00"/>
    <d v="2023-07-10T19:47:44"/>
    <m/>
    <d v="2023-07-10T00:00:00"/>
    <n v="684"/>
    <n v="17252"/>
    <s v="60020592"/>
    <s v="60020592"/>
    <m/>
    <m/>
    <m/>
    <m/>
    <m/>
    <m/>
    <s v="SOLRECOUP"/>
    <s v="SOLRECOUP"/>
    <s v="POARECOUP"/>
    <n v="21356424"/>
    <n v="-299.7"/>
    <m/>
    <s v="Y"/>
    <n v="1"/>
    <d v="2023-07-10T19:47:45"/>
    <s v="N"/>
    <m/>
    <m/>
    <s v="Expert Disbursement"/>
    <m/>
    <s v="N"/>
    <n v="-249.75"/>
    <n v="0"/>
    <x v="2"/>
    <s v="VALIDATED"/>
    <n v="1"/>
    <s v="01.11.80.308.2013.0000"/>
    <n v="-249.75"/>
    <s v="11"/>
    <s v="2013"/>
    <n v="14702.89"/>
    <n v="-249.75"/>
    <s v="CREDITOR"/>
    <n v="0"/>
    <n v="0"/>
    <n v="-249.75"/>
    <n v="0"/>
    <n v="0"/>
  </r>
  <r>
    <n v="60020592"/>
    <s v="N"/>
    <n v="21356424"/>
    <s v="3000014362010009RC"/>
    <s v="CIVIL"/>
    <d v="2023-06-23T00:00:00"/>
    <d v="2023-07-10T19:47:44"/>
    <m/>
    <d v="2023-07-10T00:00:00"/>
    <n v="684"/>
    <n v="17252"/>
    <s v="60020592"/>
    <s v="60020592"/>
    <m/>
    <m/>
    <m/>
    <m/>
    <m/>
    <m/>
    <s v="SOLRECOUP"/>
    <s v="SOLRECOUP"/>
    <s v="POARECOUP"/>
    <n v="21356424"/>
    <n v="-299.7"/>
    <m/>
    <s v="Y"/>
    <n v="2"/>
    <d v="2023-07-10T19:47:45"/>
    <s v="N"/>
    <m/>
    <m/>
    <s v="Expert Disbursement"/>
    <m/>
    <s v="N"/>
    <n v="0"/>
    <n v="-49.95"/>
    <x v="2"/>
    <s v="VALIDATED"/>
    <n v="1"/>
    <s v="01.11.80.308.2013.0000"/>
    <n v="-49.95"/>
    <s v="11"/>
    <s v="2013"/>
    <n v="14702.89"/>
    <n v="-49.95"/>
    <s v="CREDITOR"/>
    <n v="0"/>
    <n v="0"/>
    <n v="-49.95"/>
    <n v="0"/>
    <n v="0"/>
  </r>
  <r>
    <n v="61169541"/>
    <s v="N"/>
    <n v="21356425"/>
    <s v="3000015350570007RC"/>
    <s v="CIVIL"/>
    <d v="2023-06-30T00:00:00"/>
    <d v="2023-07-10T19:47:44"/>
    <m/>
    <d v="2023-07-10T00:00:00"/>
    <n v="684"/>
    <n v="17252"/>
    <s v="61169541"/>
    <s v="61169541"/>
    <m/>
    <m/>
    <m/>
    <m/>
    <m/>
    <m/>
    <s v="SOLRECOUP"/>
    <s v="SOLRECOUP"/>
    <s v="POARECOUP"/>
    <n v="21356425"/>
    <n v="-6.3"/>
    <m/>
    <s v="Y"/>
    <n v="1"/>
    <d v="2023-07-10T19:47:45"/>
    <s v="N"/>
    <m/>
    <m/>
    <s v="Non Expert Disbursement"/>
    <m/>
    <s v="N"/>
    <n v="-6.3"/>
    <n v="0"/>
    <x v="2"/>
    <s v="VALIDATED"/>
    <n v="1"/>
    <s v="01.11.80.308.2013.0000"/>
    <n v="-6.3"/>
    <s v="11"/>
    <s v="2013"/>
    <n v="14702.89"/>
    <n v="-6.3"/>
    <s v="CREDITOR"/>
    <n v="0"/>
    <n v="0"/>
    <n v="-6.3"/>
    <n v="0"/>
    <n v="0"/>
  </r>
  <r>
    <n v="61169541"/>
    <s v="N"/>
    <n v="21356425"/>
    <s v="3000015350570007RC"/>
    <s v="CIVIL"/>
    <d v="2023-06-30T00:00:00"/>
    <d v="2023-07-10T19:47:44"/>
    <m/>
    <d v="2023-07-10T00:00:00"/>
    <n v="684"/>
    <n v="17252"/>
    <s v="61169541"/>
    <s v="61169541"/>
    <m/>
    <m/>
    <m/>
    <m/>
    <m/>
    <m/>
    <s v="SOLRECOUP"/>
    <s v="SOLRECOUP"/>
    <s v="POARECOUP"/>
    <n v="21356425"/>
    <n v="-6.3"/>
    <m/>
    <s v="Y"/>
    <n v="2"/>
    <d v="2023-07-10T19:47:45"/>
    <s v="N"/>
    <m/>
    <m/>
    <s v="Non Expert Disbursement"/>
    <m/>
    <s v="N"/>
    <n v="0"/>
    <n v="0"/>
    <x v="2"/>
    <s v="VALIDATED"/>
    <n v="1"/>
    <s v="01.11.80.000.0000.0000"/>
    <n v="0"/>
    <s v="11"/>
    <s v="0000"/>
    <n v="14702.89"/>
    <n v="0"/>
    <s v="CREDITOR"/>
    <n v="0"/>
    <n v="0"/>
    <n v="0"/>
    <n v="0"/>
    <n v="0"/>
  </r>
  <r>
    <n v="61169541"/>
    <s v="N"/>
    <n v="21356426"/>
    <s v="3000015350570008RC"/>
    <s v="CIVIL"/>
    <d v="2023-06-30T00:00:00"/>
    <d v="2023-07-10T19:47:44"/>
    <m/>
    <d v="2023-07-10T00:00:00"/>
    <n v="684"/>
    <n v="17252"/>
    <s v="61169541"/>
    <s v="61169541"/>
    <m/>
    <m/>
    <m/>
    <m/>
    <m/>
    <m/>
    <s v="SOLRECOUP"/>
    <s v="SOLRECOUP"/>
    <s v="POARECOUP"/>
    <n v="21356426"/>
    <n v="-6.4"/>
    <m/>
    <s v="Y"/>
    <n v="1"/>
    <d v="2023-07-10T19:47:45"/>
    <s v="N"/>
    <m/>
    <m/>
    <s v="Non Expert Disbursement"/>
    <m/>
    <s v="N"/>
    <n v="-6.4"/>
    <n v="0"/>
    <x v="2"/>
    <s v="VALIDATED"/>
    <n v="1"/>
    <s v="01.11.80.308.2013.0000"/>
    <n v="-6.4"/>
    <s v="11"/>
    <s v="2013"/>
    <n v="14702.89"/>
    <n v="-6.4"/>
    <s v="CREDITOR"/>
    <n v="0"/>
    <n v="0"/>
    <n v="-6.4"/>
    <n v="0"/>
    <n v="0"/>
  </r>
  <r>
    <n v="61169541"/>
    <s v="N"/>
    <n v="21356426"/>
    <s v="3000015350570008RC"/>
    <s v="CIVIL"/>
    <d v="2023-06-30T00:00:00"/>
    <d v="2023-07-10T19:47:44"/>
    <m/>
    <d v="2023-07-10T00:00:00"/>
    <n v="684"/>
    <n v="17252"/>
    <s v="61169541"/>
    <s v="61169541"/>
    <m/>
    <m/>
    <m/>
    <m/>
    <m/>
    <m/>
    <s v="SOLRECOUP"/>
    <s v="SOLRECOUP"/>
    <s v="POARECOUP"/>
    <n v="21356426"/>
    <n v="-6.4"/>
    <m/>
    <s v="Y"/>
    <n v="2"/>
    <d v="2023-07-10T19:47:45"/>
    <s v="N"/>
    <m/>
    <m/>
    <s v="Non Expert Disbursement"/>
    <m/>
    <s v="N"/>
    <n v="0"/>
    <n v="0"/>
    <x v="2"/>
    <s v="VALIDATED"/>
    <n v="1"/>
    <s v="01.11.80.000.0000.0000"/>
    <n v="0"/>
    <s v="11"/>
    <s v="0000"/>
    <n v="14702.89"/>
    <n v="0"/>
    <s v="CREDITOR"/>
    <n v="0"/>
    <n v="0"/>
    <n v="0"/>
    <n v="0"/>
    <n v="0"/>
  </r>
  <r>
    <n v="60020592"/>
    <s v="N"/>
    <n v="21356427"/>
    <s v="3000014362010013RC"/>
    <s v="CIVIL"/>
    <d v="2023-06-23T00:00:00"/>
    <d v="2023-07-10T19:47:44"/>
    <m/>
    <d v="2023-07-10T00:00:00"/>
    <n v="684"/>
    <n v="17252"/>
    <s v="60020592"/>
    <s v="60020592"/>
    <m/>
    <m/>
    <m/>
    <m/>
    <m/>
    <m/>
    <s v="SOLRECOUP"/>
    <s v="SOLRECOUP"/>
    <s v="POARECOUP"/>
    <n v="21356427"/>
    <n v="-29.7"/>
    <m/>
    <s v="Y"/>
    <n v="1"/>
    <d v="2023-07-10T19:47:45"/>
    <s v="N"/>
    <m/>
    <m/>
    <s v="Expert Disbursement"/>
    <m/>
    <s v="N"/>
    <n v="-24.75"/>
    <n v="0"/>
    <x v="2"/>
    <s v="VALIDATED"/>
    <n v="1"/>
    <s v="01.11.80.308.2013.0000"/>
    <n v="-24.75"/>
    <s v="11"/>
    <s v="2013"/>
    <n v="14702.89"/>
    <n v="-24.75"/>
    <s v="CREDITOR"/>
    <n v="0"/>
    <n v="0"/>
    <n v="-24.75"/>
    <n v="0"/>
    <n v="0"/>
  </r>
  <r>
    <n v="60020592"/>
    <s v="N"/>
    <n v="21356427"/>
    <s v="3000014362010013RC"/>
    <s v="CIVIL"/>
    <d v="2023-06-23T00:00:00"/>
    <d v="2023-07-10T19:47:44"/>
    <m/>
    <d v="2023-07-10T00:00:00"/>
    <n v="684"/>
    <n v="17252"/>
    <s v="60020592"/>
    <s v="60020592"/>
    <m/>
    <m/>
    <m/>
    <m/>
    <m/>
    <m/>
    <s v="SOLRECOUP"/>
    <s v="SOLRECOUP"/>
    <s v="POARECOUP"/>
    <n v="21356427"/>
    <n v="-29.7"/>
    <m/>
    <s v="Y"/>
    <n v="2"/>
    <d v="2023-07-10T19:47:45"/>
    <s v="N"/>
    <m/>
    <m/>
    <s v="Expert Disbursement"/>
    <m/>
    <s v="N"/>
    <n v="0"/>
    <n v="-4.95"/>
    <x v="2"/>
    <s v="VALIDATED"/>
    <n v="1"/>
    <s v="01.11.80.308.2013.0000"/>
    <n v="-4.95"/>
    <s v="11"/>
    <s v="2013"/>
    <n v="14702.89"/>
    <n v="-4.95"/>
    <s v="CREDITOR"/>
    <n v="0"/>
    <n v="0"/>
    <n v="-4.95"/>
    <n v="0"/>
    <n v="0"/>
  </r>
  <r>
    <n v="60020592"/>
    <s v="N"/>
    <n v="21356428"/>
    <s v="3000014362010010RC"/>
    <s v="CIVIL"/>
    <d v="2023-06-23T00:00:00"/>
    <d v="2023-07-10T19:47:44"/>
    <m/>
    <d v="2023-07-10T00:00:00"/>
    <n v="684"/>
    <n v="17252"/>
    <s v="60020592"/>
    <s v="60020592"/>
    <m/>
    <m/>
    <m/>
    <m/>
    <m/>
    <m/>
    <s v="SOLRECOUP"/>
    <s v="SOLRECOUP"/>
    <s v="POARECOUP"/>
    <n v="21356428"/>
    <n v="-4610.94"/>
    <m/>
    <s v="Y"/>
    <n v="1"/>
    <d v="2023-07-10T19:47:45"/>
    <s v="N"/>
    <m/>
    <m/>
    <s v="Profit Cost"/>
    <m/>
    <s v="N"/>
    <n v="-3842.45"/>
    <n v="0"/>
    <x v="2"/>
    <s v="VALIDATED"/>
    <n v="1"/>
    <s v="01.11.80.308.2013.0000"/>
    <n v="-3842.45"/>
    <s v="11"/>
    <s v="2013"/>
    <n v="14702.89"/>
    <n v="-3842.45"/>
    <s v="CREDITOR"/>
    <n v="0"/>
    <n v="0"/>
    <n v="-3842.45"/>
    <n v="-960.6125"/>
    <n v="0"/>
  </r>
  <r>
    <n v="60020592"/>
    <s v="N"/>
    <n v="21356428"/>
    <s v="3000014362010010RC"/>
    <s v="CIVIL"/>
    <d v="2023-06-23T00:00:00"/>
    <d v="2023-07-10T19:47:44"/>
    <m/>
    <d v="2023-07-10T00:00:00"/>
    <n v="684"/>
    <n v="17252"/>
    <s v="60020592"/>
    <s v="60020592"/>
    <m/>
    <m/>
    <m/>
    <m/>
    <m/>
    <m/>
    <s v="SOLRECOUP"/>
    <s v="SOLRECOUP"/>
    <s v="POARECOUP"/>
    <n v="21356428"/>
    <n v="-4610.94"/>
    <m/>
    <s v="Y"/>
    <n v="2"/>
    <d v="2023-07-10T19:47:45"/>
    <s v="N"/>
    <m/>
    <m/>
    <s v="Profit Cost"/>
    <m/>
    <s v="N"/>
    <n v="0"/>
    <n v="-768.49"/>
    <x v="2"/>
    <s v="VALIDATED"/>
    <n v="1"/>
    <s v="01.11.80.308.2013.0000"/>
    <n v="-768.49"/>
    <s v="11"/>
    <s v="2013"/>
    <n v="14702.89"/>
    <n v="-768.49"/>
    <s v="CREDITOR"/>
    <n v="0"/>
    <n v="0"/>
    <n v="-768.49"/>
    <n v="-192.1225"/>
    <n v="0"/>
  </r>
  <r>
    <n v="60020592"/>
    <s v="N"/>
    <n v="21356429"/>
    <s v="3000014362010011RC"/>
    <s v="CIVIL"/>
    <d v="2023-06-23T00:00:00"/>
    <d v="2023-07-10T19:47:44"/>
    <m/>
    <d v="2023-07-10T00:00:00"/>
    <n v="684"/>
    <n v="17252"/>
    <s v="60020592"/>
    <s v="60020592"/>
    <m/>
    <m/>
    <m/>
    <m/>
    <m/>
    <m/>
    <s v="SOLRECOUP"/>
    <s v="SOLRECOUP"/>
    <s v="POARECOUP"/>
    <n v="21356429"/>
    <n v="-33.9"/>
    <m/>
    <s v="Y"/>
    <n v="1"/>
    <d v="2023-07-10T19:47:45"/>
    <s v="N"/>
    <m/>
    <m/>
    <s v="Expert Disbursement"/>
    <m/>
    <s v="N"/>
    <n v="-28.25"/>
    <n v="0"/>
    <x v="2"/>
    <s v="VALIDATED"/>
    <n v="1"/>
    <s v="01.11.80.308.2013.0000"/>
    <n v="-28.25"/>
    <s v="11"/>
    <s v="2013"/>
    <n v="14702.89"/>
    <n v="-28.25"/>
    <s v="CREDITOR"/>
    <n v="0"/>
    <n v="0"/>
    <n v="-28.25"/>
    <n v="0"/>
    <n v="0"/>
  </r>
  <r>
    <n v="60020592"/>
    <s v="N"/>
    <n v="21356429"/>
    <s v="3000014362010011RC"/>
    <s v="CIVIL"/>
    <d v="2023-06-23T00:00:00"/>
    <d v="2023-07-10T19:47:44"/>
    <m/>
    <d v="2023-07-10T00:00:00"/>
    <n v="684"/>
    <n v="17252"/>
    <s v="60020592"/>
    <s v="60020592"/>
    <m/>
    <m/>
    <m/>
    <m/>
    <m/>
    <m/>
    <s v="SOLRECOUP"/>
    <s v="SOLRECOUP"/>
    <s v="POARECOUP"/>
    <n v="21356429"/>
    <n v="-33.9"/>
    <m/>
    <s v="Y"/>
    <n v="2"/>
    <d v="2023-07-10T19:47:45"/>
    <s v="N"/>
    <m/>
    <m/>
    <s v="Expert Disbursement"/>
    <m/>
    <s v="N"/>
    <n v="0"/>
    <n v="-5.65"/>
    <x v="2"/>
    <s v="VALIDATED"/>
    <n v="1"/>
    <s v="01.11.80.308.2013.0000"/>
    <n v="-5.65"/>
    <s v="11"/>
    <s v="2013"/>
    <n v="14702.89"/>
    <n v="-5.65"/>
    <s v="CREDITOR"/>
    <n v="0"/>
    <n v="0"/>
    <n v="-5.65"/>
    <n v="0"/>
    <n v="0"/>
  </r>
  <r>
    <n v="60020592"/>
    <s v="N"/>
    <n v="21356430"/>
    <s v="3000014362010012RC"/>
    <s v="CIVIL"/>
    <d v="2023-06-23T00:00:00"/>
    <d v="2023-07-10T19:47:44"/>
    <m/>
    <d v="2023-07-10T00:00:00"/>
    <n v="684"/>
    <n v="17252"/>
    <s v="60020592"/>
    <s v="60020592"/>
    <m/>
    <m/>
    <m/>
    <m/>
    <m/>
    <m/>
    <s v="SOLRECOUP"/>
    <s v="SOLRECOUP"/>
    <s v="POARECOUP"/>
    <n v="21356430"/>
    <n v="-326.75"/>
    <m/>
    <s v="Y"/>
    <n v="1"/>
    <d v="2023-07-10T19:47:45"/>
    <s v="N"/>
    <m/>
    <m/>
    <s v="Expert Disbursement"/>
    <m/>
    <s v="N"/>
    <n v="-326.75"/>
    <n v="0"/>
    <x v="2"/>
    <s v="VALIDATED"/>
    <n v="1"/>
    <s v="01.11.80.308.2013.0000"/>
    <n v="-326.75"/>
    <s v="11"/>
    <s v="2013"/>
    <n v="14702.89"/>
    <n v="-326.75"/>
    <s v="CREDITOR"/>
    <n v="0"/>
    <n v="0"/>
    <n v="-326.75"/>
    <n v="0"/>
    <n v="0"/>
  </r>
  <r>
    <n v="60020592"/>
    <s v="N"/>
    <n v="21356430"/>
    <s v="3000014362010012RC"/>
    <s v="CIVIL"/>
    <d v="2023-06-23T00:00:00"/>
    <d v="2023-07-10T19:47:44"/>
    <m/>
    <d v="2023-07-10T00:00:00"/>
    <n v="684"/>
    <n v="17252"/>
    <s v="60020592"/>
    <s v="60020592"/>
    <m/>
    <m/>
    <m/>
    <m/>
    <m/>
    <m/>
    <s v="SOLRECOUP"/>
    <s v="SOLRECOUP"/>
    <s v="POARECOUP"/>
    <n v="21356430"/>
    <n v="-326.75"/>
    <m/>
    <s v="Y"/>
    <n v="2"/>
    <d v="2023-07-10T19:47:45"/>
    <s v="N"/>
    <m/>
    <m/>
    <s v="Expert Disbursement"/>
    <m/>
    <s v="N"/>
    <n v="0"/>
    <n v="0"/>
    <x v="2"/>
    <s v="VALIDATED"/>
    <n v="1"/>
    <s v="01.11.80.000.0000.0000"/>
    <n v="0"/>
    <s v="11"/>
    <s v="0000"/>
    <n v="14702.89"/>
    <n v="0"/>
    <s v="CREDITOR"/>
    <n v="0"/>
    <n v="0"/>
    <n v="0"/>
    <n v="0"/>
    <n v="0"/>
  </r>
  <r>
    <n v="60020592"/>
    <s v="N"/>
    <n v="21356431"/>
    <s v="3000014362010014RC"/>
    <s v="CIVIL"/>
    <d v="2023-06-23T00:00:00"/>
    <d v="2023-07-10T19:47:44"/>
    <m/>
    <d v="2023-07-10T00:00:00"/>
    <n v="684"/>
    <n v="17252"/>
    <s v="60020592"/>
    <s v="60020592"/>
    <m/>
    <m/>
    <m/>
    <m/>
    <m/>
    <m/>
    <s v="SOLRECOUP"/>
    <s v="SOLRECOUP"/>
    <s v="POARECOUP"/>
    <n v="21356431"/>
    <n v="-187.2"/>
    <m/>
    <s v="Y"/>
    <n v="1"/>
    <d v="2023-07-10T19:47:45"/>
    <s v="N"/>
    <m/>
    <m/>
    <s v="Expert Disbursement"/>
    <m/>
    <s v="N"/>
    <n v="-156"/>
    <n v="0"/>
    <x v="2"/>
    <s v="VALIDATED"/>
    <n v="1"/>
    <s v="01.11.80.308.2013.0000"/>
    <n v="-156"/>
    <s v="11"/>
    <s v="2013"/>
    <n v="14702.89"/>
    <n v="-156"/>
    <s v="CREDITOR"/>
    <n v="0"/>
    <n v="0"/>
    <n v="-156"/>
    <n v="0"/>
    <n v="0"/>
  </r>
  <r>
    <n v="60020592"/>
    <s v="N"/>
    <n v="21356431"/>
    <s v="3000014362010014RC"/>
    <s v="CIVIL"/>
    <d v="2023-06-23T00:00:00"/>
    <d v="2023-07-10T19:47:44"/>
    <m/>
    <d v="2023-07-10T00:00:00"/>
    <n v="684"/>
    <n v="17252"/>
    <s v="60020592"/>
    <s v="60020592"/>
    <m/>
    <m/>
    <m/>
    <m/>
    <m/>
    <m/>
    <s v="SOLRECOUP"/>
    <s v="SOLRECOUP"/>
    <s v="POARECOUP"/>
    <n v="21356431"/>
    <n v="-187.2"/>
    <m/>
    <s v="Y"/>
    <n v="2"/>
    <d v="2023-07-10T19:47:45"/>
    <s v="N"/>
    <m/>
    <m/>
    <s v="Expert Disbursement"/>
    <m/>
    <s v="N"/>
    <n v="0"/>
    <n v="-31.2"/>
    <x v="2"/>
    <s v="VALIDATED"/>
    <n v="1"/>
    <s v="01.11.80.308.2013.0000"/>
    <n v="-31.2"/>
    <s v="11"/>
    <s v="2013"/>
    <n v="14702.89"/>
    <n v="-31.2"/>
    <s v="CREDITOR"/>
    <n v="0"/>
    <n v="0"/>
    <n v="-31.2"/>
    <n v="0"/>
    <n v="0"/>
  </r>
  <r>
    <n v="61169541"/>
    <s v="N"/>
    <n v="21356432"/>
    <s v="3000015350570002RC"/>
    <s v="CIVIL"/>
    <d v="2023-06-30T00:00:00"/>
    <d v="2023-07-10T19:47:44"/>
    <m/>
    <d v="2023-07-10T00:00:00"/>
    <n v="684"/>
    <n v="17252"/>
    <s v="61169541"/>
    <s v="61169541"/>
    <m/>
    <m/>
    <m/>
    <m/>
    <m/>
    <m/>
    <s v="SOLRECOUP"/>
    <s v="SOLRECOUP"/>
    <s v="POARECOUP"/>
    <n v="21356432"/>
    <n v="-1021.92"/>
    <m/>
    <s v="Y"/>
    <n v="1"/>
    <d v="2023-07-10T19:47:45"/>
    <s v="N"/>
    <m/>
    <m/>
    <s v="Expert Disbursement"/>
    <m/>
    <s v="N"/>
    <n v="-851.6"/>
    <n v="0"/>
    <x v="2"/>
    <s v="VALIDATED"/>
    <n v="1"/>
    <s v="01.11.80.308.2013.0000"/>
    <n v="-851.6"/>
    <s v="11"/>
    <s v="2013"/>
    <n v="14702.89"/>
    <n v="-851.6"/>
    <s v="CREDITOR"/>
    <n v="0"/>
    <n v="0"/>
    <n v="-851.6"/>
    <n v="0"/>
    <n v="0"/>
  </r>
  <r>
    <n v="61169541"/>
    <s v="N"/>
    <n v="21356432"/>
    <s v="3000015350570002RC"/>
    <s v="CIVIL"/>
    <d v="2023-06-30T00:00:00"/>
    <d v="2023-07-10T19:47:44"/>
    <m/>
    <d v="2023-07-10T00:00:00"/>
    <n v="684"/>
    <n v="17252"/>
    <s v="61169541"/>
    <s v="61169541"/>
    <m/>
    <m/>
    <m/>
    <m/>
    <m/>
    <m/>
    <s v="SOLRECOUP"/>
    <s v="SOLRECOUP"/>
    <s v="POARECOUP"/>
    <n v="21356432"/>
    <n v="-1021.92"/>
    <m/>
    <s v="Y"/>
    <n v="2"/>
    <d v="2023-07-10T19:47:45"/>
    <s v="N"/>
    <m/>
    <m/>
    <s v="Expert Disbursement"/>
    <m/>
    <s v="N"/>
    <n v="0"/>
    <n v="-170.32"/>
    <x v="2"/>
    <s v="VALIDATED"/>
    <n v="1"/>
    <s v="01.11.80.308.2013.0000"/>
    <n v="-170.32"/>
    <s v="11"/>
    <s v="2013"/>
    <n v="14702.89"/>
    <n v="-170.32"/>
    <s v="CREDITOR"/>
    <n v="0"/>
    <n v="0"/>
    <n v="-170.32"/>
    <n v="0"/>
    <n v="0"/>
  </r>
  <r>
    <n v="61169541"/>
    <s v="N"/>
    <n v="21356433"/>
    <s v="3000015350570003RC"/>
    <s v="CIVIL"/>
    <d v="2023-06-30T00:00:00"/>
    <d v="2023-07-10T19:47:44"/>
    <m/>
    <d v="2023-07-10T00:00:00"/>
    <n v="684"/>
    <n v="17252"/>
    <s v="61169541"/>
    <s v="61169541"/>
    <m/>
    <m/>
    <m/>
    <m/>
    <m/>
    <m/>
    <s v="SOLRECOUP"/>
    <s v="SOLRECOUP"/>
    <s v="POARECOUP"/>
    <n v="21356433"/>
    <n v="-262.68"/>
    <m/>
    <s v="Y"/>
    <n v="1"/>
    <d v="2023-07-10T19:47:45"/>
    <s v="N"/>
    <m/>
    <m/>
    <s v="Expert Disbursement"/>
    <m/>
    <s v="N"/>
    <n v="-218.9"/>
    <n v="0"/>
    <x v="2"/>
    <s v="VALIDATED"/>
    <n v="1"/>
    <s v="01.11.80.308.2013.0000"/>
    <n v="-218.9"/>
    <s v="11"/>
    <s v="2013"/>
    <n v="14702.89"/>
    <n v="-218.9"/>
    <s v="CREDITOR"/>
    <n v="0"/>
    <n v="0"/>
    <n v="-218.9"/>
    <n v="0"/>
    <n v="0"/>
  </r>
  <r>
    <n v="61169541"/>
    <s v="N"/>
    <n v="21356433"/>
    <s v="3000015350570003RC"/>
    <s v="CIVIL"/>
    <d v="2023-06-30T00:00:00"/>
    <d v="2023-07-10T19:47:44"/>
    <m/>
    <d v="2023-07-10T00:00:00"/>
    <n v="684"/>
    <n v="17252"/>
    <s v="61169541"/>
    <s v="61169541"/>
    <m/>
    <m/>
    <m/>
    <m/>
    <m/>
    <m/>
    <s v="SOLRECOUP"/>
    <s v="SOLRECOUP"/>
    <s v="POARECOUP"/>
    <n v="21356433"/>
    <n v="-262.68"/>
    <m/>
    <s v="Y"/>
    <n v="2"/>
    <d v="2023-07-10T19:47:45"/>
    <s v="N"/>
    <m/>
    <m/>
    <s v="Expert Disbursement"/>
    <m/>
    <s v="N"/>
    <n v="0"/>
    <n v="-43.78"/>
    <x v="2"/>
    <s v="VALIDATED"/>
    <n v="1"/>
    <s v="01.11.80.308.2013.0000"/>
    <n v="-43.78"/>
    <s v="11"/>
    <s v="2013"/>
    <n v="14702.89"/>
    <n v="-43.78"/>
    <s v="CREDITOR"/>
    <n v="0"/>
    <n v="0"/>
    <n v="-43.78"/>
    <n v="0"/>
    <n v="0"/>
  </r>
  <r>
    <n v="61169541"/>
    <s v="N"/>
    <n v="21356434"/>
    <s v="3000015350570001RC"/>
    <s v="CIVIL"/>
    <d v="2023-06-30T00:00:00"/>
    <d v="2023-07-10T19:47:44"/>
    <m/>
    <d v="2023-07-10T00:00:00"/>
    <n v="684"/>
    <n v="17252"/>
    <s v="61169541"/>
    <s v="61169541"/>
    <m/>
    <m/>
    <m/>
    <m/>
    <m/>
    <m/>
    <s v="SOLRECOUP"/>
    <s v="SOLRECOUP"/>
    <s v="POARECOUP"/>
    <n v="21356434"/>
    <n v="-167"/>
    <m/>
    <s v="Y"/>
    <n v="1"/>
    <d v="2023-07-10T19:47:45"/>
    <s v="N"/>
    <m/>
    <m/>
    <s v="Non Expert Disbursement"/>
    <m/>
    <s v="N"/>
    <n v="-167"/>
    <n v="0"/>
    <x v="2"/>
    <s v="VALIDATED"/>
    <n v="1"/>
    <s v="01.11.80.308.2013.0000"/>
    <n v="-167"/>
    <s v="11"/>
    <s v="2013"/>
    <n v="14702.89"/>
    <n v="-167"/>
    <s v="CREDITOR"/>
    <n v="0"/>
    <n v="0"/>
    <n v="-167"/>
    <n v="0"/>
    <n v="0"/>
  </r>
  <r>
    <n v="61169541"/>
    <s v="N"/>
    <n v="21356434"/>
    <s v="3000015350570001RC"/>
    <s v="CIVIL"/>
    <d v="2023-06-30T00:00:00"/>
    <d v="2023-07-10T19:47:44"/>
    <m/>
    <d v="2023-07-10T00:00:00"/>
    <n v="684"/>
    <n v="17252"/>
    <s v="61169541"/>
    <s v="61169541"/>
    <m/>
    <m/>
    <m/>
    <m/>
    <m/>
    <m/>
    <s v="SOLRECOUP"/>
    <s v="SOLRECOUP"/>
    <s v="POARECOUP"/>
    <n v="21356434"/>
    <n v="-167"/>
    <m/>
    <s v="Y"/>
    <n v="2"/>
    <d v="2023-07-10T19:47:45"/>
    <s v="N"/>
    <m/>
    <m/>
    <s v="Non Expert Disbursement"/>
    <m/>
    <s v="N"/>
    <n v="0"/>
    <n v="0"/>
    <x v="2"/>
    <s v="VALIDATED"/>
    <n v="1"/>
    <s v="01.11.80.000.0000.0000"/>
    <n v="0"/>
    <s v="11"/>
    <s v="0000"/>
    <n v="14702.89"/>
    <n v="0"/>
    <s v="CREDITOR"/>
    <n v="0"/>
    <n v="0"/>
    <n v="0"/>
    <n v="0"/>
    <n v="0"/>
  </r>
  <r>
    <n v="60020592"/>
    <s v="N"/>
    <n v="21356435"/>
    <s v="3000014362010016RC"/>
    <s v="CIVIL"/>
    <d v="2023-06-23T00:00:00"/>
    <d v="2023-07-10T19:47:44"/>
    <m/>
    <d v="2023-07-10T00:00:00"/>
    <n v="684"/>
    <n v="17252"/>
    <s v="60020592"/>
    <s v="60020592"/>
    <m/>
    <m/>
    <m/>
    <m/>
    <m/>
    <m/>
    <s v="SOLRECOUP"/>
    <s v="SOLRECOUP"/>
    <s v="POARECOUP"/>
    <n v="21356435"/>
    <n v="-327.65"/>
    <m/>
    <s v="Y"/>
    <n v="1"/>
    <d v="2023-07-10T19:47:45"/>
    <s v="N"/>
    <m/>
    <m/>
    <s v="Expert Disbursement"/>
    <m/>
    <s v="N"/>
    <n v="-327.65"/>
    <n v="0"/>
    <x v="2"/>
    <s v="VALIDATED"/>
    <n v="1"/>
    <s v="01.11.80.308.2013.0000"/>
    <n v="-327.65"/>
    <s v="11"/>
    <s v="2013"/>
    <n v="14702.89"/>
    <n v="-327.65"/>
    <s v="CREDITOR"/>
    <n v="0"/>
    <n v="0"/>
    <n v="-327.65"/>
    <n v="0"/>
    <n v="0"/>
  </r>
  <r>
    <n v="60020592"/>
    <s v="N"/>
    <n v="21356435"/>
    <s v="3000014362010016RC"/>
    <s v="CIVIL"/>
    <d v="2023-06-23T00:00:00"/>
    <d v="2023-07-10T19:47:44"/>
    <m/>
    <d v="2023-07-10T00:00:00"/>
    <n v="684"/>
    <n v="17252"/>
    <s v="60020592"/>
    <s v="60020592"/>
    <m/>
    <m/>
    <m/>
    <m/>
    <m/>
    <m/>
    <s v="SOLRECOUP"/>
    <s v="SOLRECOUP"/>
    <s v="POARECOUP"/>
    <n v="21356435"/>
    <n v="-327.65"/>
    <m/>
    <s v="Y"/>
    <n v="2"/>
    <d v="2023-07-10T19:47:45"/>
    <s v="N"/>
    <m/>
    <m/>
    <s v="Expert Disbursement"/>
    <m/>
    <s v="N"/>
    <n v="0"/>
    <n v="0"/>
    <x v="2"/>
    <s v="VALIDATED"/>
    <n v="1"/>
    <s v="01.11.80.000.0000.0000"/>
    <n v="0"/>
    <s v="11"/>
    <s v="0000"/>
    <n v="14702.89"/>
    <n v="0"/>
    <s v="CREDITOR"/>
    <n v="0"/>
    <n v="0"/>
    <n v="0"/>
    <n v="0"/>
    <n v="0"/>
  </r>
  <r>
    <n v="60020592"/>
    <s v="N"/>
    <n v="21356436"/>
    <s v="3000014362010017RC"/>
    <s v="CIVIL"/>
    <d v="2023-06-23T00:00:00"/>
    <d v="2023-07-10T19:47:44"/>
    <m/>
    <d v="2023-07-10T00:00:00"/>
    <n v="684"/>
    <n v="17252"/>
    <s v="60020592"/>
    <s v="60020592"/>
    <m/>
    <m/>
    <m/>
    <m/>
    <m/>
    <m/>
    <s v="SOLRECOUP"/>
    <s v="SOLRECOUP"/>
    <s v="POARECOUP"/>
    <n v="21356436"/>
    <n v="-327.65"/>
    <m/>
    <s v="Y"/>
    <n v="1"/>
    <d v="2023-07-10T19:47:45"/>
    <s v="N"/>
    <m/>
    <m/>
    <s v="Expert Disbursement"/>
    <m/>
    <s v="N"/>
    <n v="-327.65"/>
    <n v="0"/>
    <x v="2"/>
    <s v="VALIDATED"/>
    <n v="1"/>
    <s v="01.11.80.308.2013.0000"/>
    <n v="-327.65"/>
    <s v="11"/>
    <s v="2013"/>
    <n v="14702.89"/>
    <n v="-327.65"/>
    <s v="CREDITOR"/>
    <n v="0"/>
    <n v="0"/>
    <n v="-327.65"/>
    <n v="0"/>
    <n v="0"/>
  </r>
  <r>
    <n v="60020592"/>
    <s v="N"/>
    <n v="21356436"/>
    <s v="3000014362010017RC"/>
    <s v="CIVIL"/>
    <d v="2023-06-23T00:00:00"/>
    <d v="2023-07-10T19:47:44"/>
    <m/>
    <d v="2023-07-10T00:00:00"/>
    <n v="684"/>
    <n v="17252"/>
    <s v="60020592"/>
    <s v="60020592"/>
    <m/>
    <m/>
    <m/>
    <m/>
    <m/>
    <m/>
    <s v="SOLRECOUP"/>
    <s v="SOLRECOUP"/>
    <s v="POARECOUP"/>
    <n v="21356436"/>
    <n v="-327.65"/>
    <m/>
    <s v="Y"/>
    <n v="2"/>
    <d v="2023-07-10T19:47:45"/>
    <s v="N"/>
    <m/>
    <m/>
    <s v="Expert Disbursement"/>
    <m/>
    <s v="N"/>
    <n v="0"/>
    <n v="0"/>
    <x v="2"/>
    <s v="VALIDATED"/>
    <n v="1"/>
    <s v="01.11.80.000.0000.0000"/>
    <n v="0"/>
    <s v="11"/>
    <s v="0000"/>
    <n v="14702.89"/>
    <n v="0"/>
    <s v="CREDITOR"/>
    <n v="0"/>
    <n v="0"/>
    <n v="0"/>
    <n v="0"/>
    <n v="0"/>
  </r>
  <r>
    <n v="60020592"/>
    <s v="N"/>
    <n v="21356437"/>
    <s v="3000014362010019RC"/>
    <s v="CIVIL"/>
    <d v="2023-06-23T00:00:00"/>
    <d v="2023-07-10T19:47:44"/>
    <m/>
    <d v="2023-07-10T00:00:00"/>
    <n v="684"/>
    <n v="17252"/>
    <s v="60020592"/>
    <s v="60020592"/>
    <m/>
    <m/>
    <m/>
    <m/>
    <m/>
    <m/>
    <s v="SOLRECOUP"/>
    <s v="SOLRECOUP"/>
    <s v="POARECOUP"/>
    <n v="21356437"/>
    <n v="-13304.99"/>
    <m/>
    <s v="Y"/>
    <n v="1"/>
    <d v="2023-07-10T19:47:45"/>
    <s v="N"/>
    <m/>
    <m/>
    <s v="Profit Cost"/>
    <m/>
    <s v="N"/>
    <n v="-11087.49"/>
    <n v="0"/>
    <x v="2"/>
    <s v="VALIDATED"/>
    <n v="1"/>
    <s v="01.11.80.308.2013.0000"/>
    <n v="-11087.49"/>
    <s v="11"/>
    <s v="2013"/>
    <n v="14702.89"/>
    <n v="-11087.49"/>
    <s v="CREDITOR"/>
    <n v="0"/>
    <n v="0"/>
    <n v="-11087.49"/>
    <n v="-2771.8725"/>
    <n v="0"/>
  </r>
  <r>
    <n v="60020592"/>
    <s v="N"/>
    <n v="21356437"/>
    <s v="3000014362010019RC"/>
    <s v="CIVIL"/>
    <d v="2023-06-23T00:00:00"/>
    <d v="2023-07-10T19:47:44"/>
    <m/>
    <d v="2023-07-10T00:00:00"/>
    <n v="684"/>
    <n v="17252"/>
    <s v="60020592"/>
    <s v="60020592"/>
    <m/>
    <m/>
    <m/>
    <m/>
    <m/>
    <m/>
    <s v="SOLRECOUP"/>
    <s v="SOLRECOUP"/>
    <s v="POARECOUP"/>
    <n v="21356437"/>
    <n v="-13304.99"/>
    <m/>
    <s v="Y"/>
    <n v="2"/>
    <d v="2023-07-10T19:47:45"/>
    <s v="N"/>
    <m/>
    <m/>
    <s v="Profit Cost"/>
    <m/>
    <s v="N"/>
    <n v="0"/>
    <n v="-2217.5"/>
    <x v="2"/>
    <s v="VALIDATED"/>
    <n v="1"/>
    <s v="01.11.80.308.2013.0000"/>
    <n v="-2217.5"/>
    <s v="11"/>
    <s v="2013"/>
    <n v="14702.89"/>
    <n v="-2217.5"/>
    <s v="CREDITOR"/>
    <n v="0"/>
    <n v="0"/>
    <n v="-2217.5"/>
    <n v="-554.375"/>
    <n v="0"/>
  </r>
  <r>
    <n v="60020592"/>
    <s v="N"/>
    <n v="21356438"/>
    <s v="3000014362010020RC"/>
    <s v="CIVIL"/>
    <d v="2023-06-23T00:00:00"/>
    <d v="2023-07-10T19:47:44"/>
    <m/>
    <d v="2023-07-10T00:00:00"/>
    <n v="684"/>
    <n v="17252"/>
    <s v="60020592"/>
    <s v="60020592"/>
    <m/>
    <m/>
    <m/>
    <m/>
    <m/>
    <m/>
    <s v="SOLRECOUP"/>
    <s v="SOLRECOUP"/>
    <s v="POARECOUP"/>
    <n v="21356438"/>
    <n v="-94"/>
    <m/>
    <s v="Y"/>
    <n v="1"/>
    <d v="2023-07-10T19:47:45"/>
    <s v="N"/>
    <m/>
    <m/>
    <s v="Non Expert Disbursement"/>
    <m/>
    <s v="N"/>
    <n v="-94"/>
    <n v="0"/>
    <x v="2"/>
    <s v="VALIDATED"/>
    <n v="1"/>
    <s v="01.11.80.308.2013.0000"/>
    <n v="-94"/>
    <s v="11"/>
    <s v="2013"/>
    <n v="14702.89"/>
    <n v="-94"/>
    <s v="CREDITOR"/>
    <n v="0"/>
    <n v="0"/>
    <n v="-94"/>
    <n v="0"/>
    <n v="0"/>
  </r>
  <r>
    <n v="60020592"/>
    <s v="N"/>
    <n v="21356438"/>
    <s v="3000014362010020RC"/>
    <s v="CIVIL"/>
    <d v="2023-06-23T00:00:00"/>
    <d v="2023-07-10T19:47:44"/>
    <m/>
    <d v="2023-07-10T00:00:00"/>
    <n v="684"/>
    <n v="17252"/>
    <s v="60020592"/>
    <s v="60020592"/>
    <m/>
    <m/>
    <m/>
    <m/>
    <m/>
    <m/>
    <s v="SOLRECOUP"/>
    <s v="SOLRECOUP"/>
    <s v="POARECOUP"/>
    <n v="21356438"/>
    <n v="-94"/>
    <m/>
    <s v="Y"/>
    <n v="2"/>
    <d v="2023-07-10T19:47:45"/>
    <s v="N"/>
    <m/>
    <m/>
    <s v="Non Expert Disbursement"/>
    <m/>
    <s v="N"/>
    <n v="0"/>
    <n v="0"/>
    <x v="2"/>
    <s v="VALIDATED"/>
    <n v="1"/>
    <s v="01.11.80.000.0000.0000"/>
    <n v="0"/>
    <s v="11"/>
    <s v="0000"/>
    <n v="14702.89"/>
    <n v="0"/>
    <s v="CREDITOR"/>
    <n v="0"/>
    <n v="0"/>
    <n v="0"/>
    <n v="0"/>
    <n v="0"/>
  </r>
  <r>
    <n v="61169541"/>
    <s v="N"/>
    <n v="21356439"/>
    <s v="3000015350570004RC"/>
    <s v="CIVIL"/>
    <d v="2023-06-30T00:00:00"/>
    <d v="2023-07-10T19:47:44"/>
    <m/>
    <d v="2023-07-10T00:00:00"/>
    <n v="684"/>
    <n v="17252"/>
    <s v="61169541"/>
    <s v="61169541"/>
    <m/>
    <m/>
    <m/>
    <m/>
    <m/>
    <m/>
    <s v="SOLRECOUP"/>
    <s v="SOLRECOUP"/>
    <s v="POARECOUP"/>
    <n v="21356439"/>
    <n v="-7.7"/>
    <m/>
    <s v="Y"/>
    <n v="1"/>
    <d v="2023-07-10T19:47:45"/>
    <s v="N"/>
    <m/>
    <m/>
    <s v="Non Expert Disbursement"/>
    <m/>
    <s v="N"/>
    <n v="-7.7"/>
    <n v="0"/>
    <x v="2"/>
    <s v="VALIDATED"/>
    <n v="1"/>
    <s v="01.11.80.308.2013.0000"/>
    <n v="-7.7"/>
    <s v="11"/>
    <s v="2013"/>
    <n v="14702.89"/>
    <n v="-7.7"/>
    <s v="CREDITOR"/>
    <n v="0"/>
    <n v="0"/>
    <n v="-7.7"/>
    <n v="0"/>
    <n v="0"/>
  </r>
  <r>
    <n v="61169541"/>
    <s v="N"/>
    <n v="21356439"/>
    <s v="3000015350570004RC"/>
    <s v="CIVIL"/>
    <d v="2023-06-30T00:00:00"/>
    <d v="2023-07-10T19:47:44"/>
    <m/>
    <d v="2023-07-10T00:00:00"/>
    <n v="684"/>
    <n v="17252"/>
    <s v="61169541"/>
    <s v="61169541"/>
    <m/>
    <m/>
    <m/>
    <m/>
    <m/>
    <m/>
    <s v="SOLRECOUP"/>
    <s v="SOLRECOUP"/>
    <s v="POARECOUP"/>
    <n v="21356439"/>
    <n v="-7.7"/>
    <m/>
    <s v="Y"/>
    <n v="2"/>
    <d v="2023-07-10T19:47:45"/>
    <s v="N"/>
    <m/>
    <m/>
    <s v="Non Expert Disbursement"/>
    <m/>
    <s v="N"/>
    <n v="0"/>
    <n v="0"/>
    <x v="2"/>
    <s v="VALIDATED"/>
    <n v="1"/>
    <s v="01.11.80.000.0000.0000"/>
    <n v="0"/>
    <s v="11"/>
    <s v="0000"/>
    <n v="14702.89"/>
    <n v="0"/>
    <s v="CREDITOR"/>
    <n v="0"/>
    <n v="0"/>
    <n v="0"/>
    <n v="0"/>
    <n v="0"/>
  </r>
  <r>
    <n v="61169541"/>
    <s v="N"/>
    <n v="21356440"/>
    <s v="3000015350570005RC"/>
    <s v="CIVIL"/>
    <d v="2023-06-30T00:00:00"/>
    <d v="2023-07-10T19:47:44"/>
    <m/>
    <d v="2023-07-10T00:00:00"/>
    <n v="684"/>
    <n v="17252"/>
    <s v="61169541"/>
    <s v="61169541"/>
    <m/>
    <m/>
    <m/>
    <m/>
    <m/>
    <m/>
    <s v="SOLRECOUP"/>
    <s v="SOLRECOUP"/>
    <s v="POARECOUP"/>
    <n v="21356440"/>
    <n v="-6.3"/>
    <m/>
    <s v="Y"/>
    <n v="1"/>
    <d v="2023-07-10T19:47:45"/>
    <s v="N"/>
    <m/>
    <m/>
    <s v="Non Expert Disbursement"/>
    <m/>
    <s v="N"/>
    <n v="-6.3"/>
    <n v="0"/>
    <x v="2"/>
    <s v="VALIDATED"/>
    <n v="1"/>
    <s v="01.11.80.308.2013.0000"/>
    <n v="-6.3"/>
    <s v="11"/>
    <s v="2013"/>
    <n v="14702.89"/>
    <n v="-6.3"/>
    <s v="CREDITOR"/>
    <n v="0"/>
    <n v="0"/>
    <n v="-6.3"/>
    <n v="0"/>
    <n v="0"/>
  </r>
  <r>
    <n v="61169541"/>
    <s v="N"/>
    <n v="21356440"/>
    <s v="3000015350570005RC"/>
    <s v="CIVIL"/>
    <d v="2023-06-30T00:00:00"/>
    <d v="2023-07-10T19:47:44"/>
    <m/>
    <d v="2023-07-10T00:00:00"/>
    <n v="684"/>
    <n v="17252"/>
    <s v="61169541"/>
    <s v="61169541"/>
    <m/>
    <m/>
    <m/>
    <m/>
    <m/>
    <m/>
    <s v="SOLRECOUP"/>
    <s v="SOLRECOUP"/>
    <s v="POARECOUP"/>
    <n v="21356440"/>
    <n v="-6.3"/>
    <m/>
    <s v="Y"/>
    <n v="2"/>
    <d v="2023-07-10T19:47:45"/>
    <s v="N"/>
    <m/>
    <m/>
    <s v="Non Expert Disbursement"/>
    <m/>
    <s v="N"/>
    <n v="0"/>
    <n v="0"/>
    <x v="2"/>
    <s v="VALIDATED"/>
    <n v="1"/>
    <s v="01.11.80.000.0000.0000"/>
    <n v="0"/>
    <s v="11"/>
    <s v="0000"/>
    <n v="14702.89"/>
    <n v="0"/>
    <s v="CREDITOR"/>
    <n v="0"/>
    <n v="0"/>
    <n v="0"/>
    <n v="0"/>
    <n v="0"/>
  </r>
  <r>
    <n v="61169541"/>
    <s v="N"/>
    <n v="21356441"/>
    <s v="3000015350570006RC"/>
    <s v="CIVIL"/>
    <d v="2023-06-30T00:00:00"/>
    <d v="2023-07-10T19:47:44"/>
    <m/>
    <d v="2023-07-10T00:00:00"/>
    <n v="684"/>
    <n v="17252"/>
    <s v="61169541"/>
    <s v="61169541"/>
    <m/>
    <m/>
    <m/>
    <m/>
    <m/>
    <m/>
    <s v="SOLRECOUP"/>
    <s v="SOLRECOUP"/>
    <s v="POARECOUP"/>
    <n v="21356441"/>
    <n v="-9"/>
    <m/>
    <s v="Y"/>
    <n v="1"/>
    <d v="2023-07-10T19:47:45"/>
    <s v="N"/>
    <m/>
    <m/>
    <s v="Non Expert Disbursement"/>
    <m/>
    <s v="N"/>
    <n v="-9"/>
    <n v="0"/>
    <x v="2"/>
    <s v="VALIDATED"/>
    <n v="1"/>
    <s v="01.11.80.308.2013.0000"/>
    <n v="-9"/>
    <s v="11"/>
    <s v="2013"/>
    <n v="14702.89"/>
    <n v="-9"/>
    <s v="CREDITOR"/>
    <n v="0"/>
    <n v="0"/>
    <n v="-9"/>
    <n v="0"/>
    <n v="0"/>
  </r>
  <r>
    <n v="61169541"/>
    <s v="N"/>
    <n v="21356441"/>
    <s v="3000015350570006RC"/>
    <s v="CIVIL"/>
    <d v="2023-06-30T00:00:00"/>
    <d v="2023-07-10T19:47:44"/>
    <m/>
    <d v="2023-07-10T00:00:00"/>
    <n v="684"/>
    <n v="17252"/>
    <s v="61169541"/>
    <s v="61169541"/>
    <m/>
    <m/>
    <m/>
    <m/>
    <m/>
    <m/>
    <s v="SOLRECOUP"/>
    <s v="SOLRECOUP"/>
    <s v="POARECOUP"/>
    <n v="21356441"/>
    <n v="-9"/>
    <m/>
    <s v="Y"/>
    <n v="2"/>
    <d v="2023-07-10T19:47:45"/>
    <s v="N"/>
    <m/>
    <m/>
    <s v="Non Expert Disbursement"/>
    <m/>
    <s v="N"/>
    <n v="0"/>
    <n v="0"/>
    <x v="2"/>
    <s v="VALIDATED"/>
    <n v="1"/>
    <s v="01.11.80.000.0000.0000"/>
    <n v="0"/>
    <s v="11"/>
    <s v="0000"/>
    <n v="14702.89"/>
    <n v="0"/>
    <s v="CREDITOR"/>
    <n v="0"/>
    <n v="0"/>
    <n v="0"/>
    <n v="0"/>
    <n v="0"/>
  </r>
  <r>
    <n v="61396010"/>
    <s v="N"/>
    <n v="21361392"/>
    <s v="3000015539060003RC"/>
    <s v="CIVIL"/>
    <d v="2023-06-30T00:00:00"/>
    <d v="2023-07-11T19:38:00"/>
    <m/>
    <d v="2023-07-11T00:00:00"/>
    <n v="684"/>
    <n v="17252"/>
    <s v="61396010"/>
    <s v="61396010"/>
    <m/>
    <m/>
    <m/>
    <m/>
    <m/>
    <m/>
    <s v="SOLRECOUP"/>
    <s v="SOLRECOUP"/>
    <s v="POARECOUP"/>
    <n v="21361392"/>
    <n v="-936"/>
    <m/>
    <s v="Y"/>
    <n v="1"/>
    <d v="2023-07-11T19:38:01"/>
    <s v="N"/>
    <m/>
    <m/>
    <s v="Expert Disbursement"/>
    <m/>
    <s v="N"/>
    <n v="-780"/>
    <n v="0"/>
    <x v="7"/>
    <s v="VALIDATED"/>
    <n v="1"/>
    <s v="01.11.80.308.2013.0000"/>
    <n v="-780"/>
    <s v="11"/>
    <s v="2013"/>
    <n v="14702.89"/>
    <n v="-780"/>
    <s v="CREDITOR"/>
    <n v="0"/>
    <n v="0"/>
    <n v="-780"/>
    <n v="0"/>
    <n v="0"/>
  </r>
  <r>
    <n v="61396010"/>
    <s v="N"/>
    <n v="21361392"/>
    <s v="3000015539060003RC"/>
    <s v="CIVIL"/>
    <d v="2023-06-30T00:00:00"/>
    <d v="2023-07-11T19:38:00"/>
    <m/>
    <d v="2023-07-11T00:00:00"/>
    <n v="684"/>
    <n v="17252"/>
    <s v="61396010"/>
    <s v="61396010"/>
    <m/>
    <m/>
    <m/>
    <m/>
    <m/>
    <m/>
    <s v="SOLRECOUP"/>
    <s v="SOLRECOUP"/>
    <s v="POARECOUP"/>
    <n v="21361392"/>
    <n v="-936"/>
    <m/>
    <s v="Y"/>
    <n v="2"/>
    <d v="2023-07-11T19:38:01"/>
    <s v="N"/>
    <m/>
    <m/>
    <s v="Expert Disbursement"/>
    <m/>
    <s v="N"/>
    <n v="0"/>
    <n v="-156"/>
    <x v="7"/>
    <s v="VALIDATED"/>
    <n v="1"/>
    <s v="01.11.80.308.2013.0000"/>
    <n v="-156"/>
    <s v="11"/>
    <s v="2013"/>
    <n v="14702.89"/>
    <n v="-156"/>
    <s v="CREDITOR"/>
    <n v="0"/>
    <n v="0"/>
    <n v="-156"/>
    <n v="0"/>
    <n v="0"/>
  </r>
  <r>
    <n v="61396010"/>
    <s v="N"/>
    <n v="21361393"/>
    <s v="3000015539060004RC"/>
    <s v="CIVIL"/>
    <d v="2023-06-30T00:00:00"/>
    <d v="2023-07-11T19:38:00"/>
    <m/>
    <d v="2023-07-11T00:00:00"/>
    <n v="684"/>
    <n v="17252"/>
    <s v="61396010"/>
    <s v="61396010"/>
    <m/>
    <m/>
    <m/>
    <m/>
    <m/>
    <m/>
    <s v="SOLRECOUP"/>
    <s v="SOLRECOUP"/>
    <s v="POARECOUP"/>
    <n v="21361393"/>
    <n v="-27.9"/>
    <m/>
    <s v="Y"/>
    <n v="1"/>
    <d v="2023-07-11T19:38:01"/>
    <s v="N"/>
    <m/>
    <m/>
    <s v="Non Expert Disbursement"/>
    <m/>
    <s v="N"/>
    <n v="-27.9"/>
    <n v="0"/>
    <x v="7"/>
    <s v="VALIDATED"/>
    <n v="1"/>
    <s v="01.11.80.308.2013.0000"/>
    <n v="-27.9"/>
    <s v="11"/>
    <s v="2013"/>
    <n v="14702.89"/>
    <n v="-27.9"/>
    <s v="CREDITOR"/>
    <n v="0"/>
    <n v="0"/>
    <n v="-27.9"/>
    <n v="0"/>
    <n v="0"/>
  </r>
  <r>
    <n v="61396010"/>
    <s v="N"/>
    <n v="21361393"/>
    <s v="3000015539060004RC"/>
    <s v="CIVIL"/>
    <d v="2023-06-30T00:00:00"/>
    <d v="2023-07-11T19:38:00"/>
    <m/>
    <d v="2023-07-11T00:00:00"/>
    <n v="684"/>
    <n v="17252"/>
    <s v="61396010"/>
    <s v="61396010"/>
    <m/>
    <m/>
    <m/>
    <m/>
    <m/>
    <m/>
    <s v="SOLRECOUP"/>
    <s v="SOLRECOUP"/>
    <s v="POARECOUP"/>
    <n v="21361393"/>
    <n v="-27.9"/>
    <m/>
    <s v="Y"/>
    <n v="2"/>
    <d v="2023-07-11T19:38:01"/>
    <s v="N"/>
    <m/>
    <m/>
    <s v="Non Expert Disbursement"/>
    <m/>
    <s v="N"/>
    <n v="0"/>
    <n v="0"/>
    <x v="7"/>
    <s v="VALIDATED"/>
    <n v="1"/>
    <s v="01.11.80.000.0000.0000"/>
    <n v="0"/>
    <s v="11"/>
    <s v="0000"/>
    <n v="14702.89"/>
    <n v="0"/>
    <s v="CREDITOR"/>
    <n v="0"/>
    <n v="0"/>
    <n v="0"/>
    <n v="0"/>
    <n v="0"/>
  </r>
  <r>
    <n v="61396010"/>
    <s v="N"/>
    <n v="21361394"/>
    <s v="3000015539060002RC"/>
    <s v="CIVIL"/>
    <d v="2023-06-30T00:00:00"/>
    <d v="2023-07-11T19:38:00"/>
    <m/>
    <d v="2023-07-11T00:00:00"/>
    <n v="684"/>
    <n v="17252"/>
    <s v="61396010"/>
    <s v="61396010"/>
    <m/>
    <m/>
    <m/>
    <m/>
    <m/>
    <m/>
    <s v="SOLRECOUP"/>
    <s v="SOLRECOUP"/>
    <s v="POARECOUP"/>
    <n v="21361394"/>
    <n v="-28.8"/>
    <m/>
    <s v="Y"/>
    <n v="1"/>
    <d v="2023-07-11T19:38:01"/>
    <s v="N"/>
    <m/>
    <m/>
    <s v="Non Expert Disbursement"/>
    <m/>
    <s v="N"/>
    <n v="-28.8"/>
    <n v="0"/>
    <x v="7"/>
    <s v="VALIDATED"/>
    <n v="1"/>
    <s v="01.11.80.308.2013.0000"/>
    <n v="-28.8"/>
    <s v="11"/>
    <s v="2013"/>
    <n v="14702.89"/>
    <n v="-28.8"/>
    <s v="CREDITOR"/>
    <n v="0"/>
    <n v="0"/>
    <n v="-28.8"/>
    <n v="0"/>
    <n v="0"/>
  </r>
  <r>
    <n v="61396010"/>
    <s v="N"/>
    <n v="21361394"/>
    <s v="3000015539060002RC"/>
    <s v="CIVIL"/>
    <d v="2023-06-30T00:00:00"/>
    <d v="2023-07-11T19:38:00"/>
    <m/>
    <d v="2023-07-11T00:00:00"/>
    <n v="684"/>
    <n v="17252"/>
    <s v="61396010"/>
    <s v="61396010"/>
    <m/>
    <m/>
    <m/>
    <m/>
    <m/>
    <m/>
    <s v="SOLRECOUP"/>
    <s v="SOLRECOUP"/>
    <s v="POARECOUP"/>
    <n v="21361394"/>
    <n v="-28.8"/>
    <m/>
    <s v="Y"/>
    <n v="2"/>
    <d v="2023-07-11T19:38:01"/>
    <s v="N"/>
    <m/>
    <m/>
    <s v="Non Expert Disbursement"/>
    <m/>
    <s v="N"/>
    <n v="0"/>
    <n v="0"/>
    <x v="7"/>
    <s v="VALIDATED"/>
    <n v="1"/>
    <s v="01.11.80.000.0000.0000"/>
    <n v="0"/>
    <s v="11"/>
    <s v="0000"/>
    <n v="14702.89"/>
    <n v="0"/>
    <s v="CREDITOR"/>
    <n v="0"/>
    <n v="0"/>
    <n v="0"/>
    <n v="0"/>
    <n v="0"/>
  </r>
  <r>
    <n v="61396010"/>
    <s v="N"/>
    <n v="21361395"/>
    <s v="3000015539060001RC"/>
    <s v="CIVIL"/>
    <d v="2023-06-30T00:00:00"/>
    <d v="2023-07-11T19:38:00"/>
    <m/>
    <d v="2023-07-11T00:00:00"/>
    <n v="684"/>
    <n v="17252"/>
    <s v="61396010"/>
    <s v="61396010"/>
    <m/>
    <m/>
    <m/>
    <m/>
    <m/>
    <m/>
    <s v="SOLRECOUP"/>
    <s v="SOLRECOUP"/>
    <s v="POARECOUP"/>
    <n v="21361395"/>
    <n v="-8.85"/>
    <m/>
    <s v="Y"/>
    <n v="1"/>
    <d v="2023-07-11T19:38:01"/>
    <s v="N"/>
    <m/>
    <m/>
    <s v="Non Expert Disbursement"/>
    <m/>
    <s v="N"/>
    <n v="-8.85"/>
    <n v="0"/>
    <x v="7"/>
    <s v="VALIDATED"/>
    <n v="1"/>
    <s v="01.11.80.308.2013.0000"/>
    <n v="-8.85"/>
    <s v="11"/>
    <s v="2013"/>
    <n v="14702.89"/>
    <n v="-8.85"/>
    <s v="CREDITOR"/>
    <n v="0"/>
    <n v="0"/>
    <n v="-8.85"/>
    <n v="0"/>
    <n v="0"/>
  </r>
  <r>
    <n v="61396010"/>
    <s v="N"/>
    <n v="21361395"/>
    <s v="3000015539060001RC"/>
    <s v="CIVIL"/>
    <d v="2023-06-30T00:00:00"/>
    <d v="2023-07-11T19:38:00"/>
    <m/>
    <d v="2023-07-11T00:00:00"/>
    <n v="684"/>
    <n v="17252"/>
    <s v="61396010"/>
    <s v="61396010"/>
    <m/>
    <m/>
    <m/>
    <m/>
    <m/>
    <m/>
    <s v="SOLRECOUP"/>
    <s v="SOLRECOUP"/>
    <s v="POARECOUP"/>
    <n v="21361395"/>
    <n v="-8.85"/>
    <m/>
    <s v="Y"/>
    <n v="2"/>
    <d v="2023-07-11T19:38:01"/>
    <s v="N"/>
    <m/>
    <m/>
    <s v="Non Expert Disbursement"/>
    <m/>
    <s v="N"/>
    <n v="0"/>
    <n v="0"/>
    <x v="7"/>
    <s v="VALIDATED"/>
    <n v="1"/>
    <s v="01.11.80.000.0000.0000"/>
    <n v="0"/>
    <s v="11"/>
    <s v="0000"/>
    <n v="14702.89"/>
    <n v="0"/>
    <s v="CREDITOR"/>
    <n v="0"/>
    <n v="0"/>
    <n v="0"/>
    <n v="0"/>
    <n v="0"/>
  </r>
  <r>
    <n v="61396010"/>
    <s v="N"/>
    <n v="21361396"/>
    <s v="3000015539060005RC"/>
    <s v="CIVIL"/>
    <d v="2023-06-30T00:00:00"/>
    <d v="2023-07-11T19:38:00"/>
    <m/>
    <d v="2023-07-11T00:00:00"/>
    <n v="684"/>
    <n v="17252"/>
    <s v="61396010"/>
    <s v="61396010"/>
    <m/>
    <m/>
    <m/>
    <m/>
    <m/>
    <m/>
    <s v="SOLRECOUP"/>
    <s v="SOLRECOUP"/>
    <s v="POARECOUP"/>
    <n v="21361396"/>
    <n v="-2.7"/>
    <m/>
    <s v="Y"/>
    <n v="2"/>
    <d v="2023-07-11T19:38:01"/>
    <s v="N"/>
    <m/>
    <m/>
    <s v="Non Expert Disbursement"/>
    <m/>
    <s v="N"/>
    <n v="0"/>
    <n v="0"/>
    <x v="7"/>
    <s v="VALIDATED"/>
    <n v="1"/>
    <s v="01.11.80.000.0000.0000"/>
    <n v="0"/>
    <s v="11"/>
    <s v="0000"/>
    <n v="14702.89"/>
    <n v="0"/>
    <s v="CREDITOR"/>
    <n v="0"/>
    <n v="0"/>
    <n v="0"/>
    <n v="0"/>
    <n v="0"/>
  </r>
  <r>
    <n v="61396010"/>
    <s v="N"/>
    <n v="21361396"/>
    <s v="3000015539060005RC"/>
    <s v="CIVIL"/>
    <d v="2023-06-30T00:00:00"/>
    <d v="2023-07-11T19:38:00"/>
    <m/>
    <d v="2023-07-11T00:00:00"/>
    <n v="684"/>
    <n v="17252"/>
    <s v="61396010"/>
    <s v="61396010"/>
    <m/>
    <m/>
    <m/>
    <m/>
    <m/>
    <m/>
    <s v="SOLRECOUP"/>
    <s v="SOLRECOUP"/>
    <s v="POARECOUP"/>
    <n v="21361396"/>
    <n v="-2.7"/>
    <m/>
    <s v="Y"/>
    <n v="1"/>
    <d v="2023-07-11T19:38:01"/>
    <s v="N"/>
    <m/>
    <m/>
    <s v="Non Expert Disbursement"/>
    <m/>
    <s v="N"/>
    <n v="-2.7"/>
    <n v="0"/>
    <x v="7"/>
    <s v="VALIDATED"/>
    <n v="1"/>
    <s v="01.11.80.308.2013.0000"/>
    <n v="-2.7"/>
    <s v="11"/>
    <s v="2013"/>
    <n v="14702.89"/>
    <n v="-2.7"/>
    <s v="CREDITOR"/>
    <n v="0"/>
    <n v="0"/>
    <n v="-2.7"/>
    <n v="0"/>
    <n v="0"/>
  </r>
  <r>
    <n v="60020592"/>
    <s v="N"/>
    <n v="21349562"/>
    <s v="3000014362010021"/>
    <s v="CIVIL"/>
    <d v="2023-06-23T00:00:00"/>
    <d v="2023-07-10T19:01:40"/>
    <m/>
    <d v="2023-07-10T00:00:00"/>
    <n v="684"/>
    <n v="17252"/>
    <s v="60020592"/>
    <s v="60020592"/>
    <m/>
    <m/>
    <n v="22751294"/>
    <m/>
    <m/>
    <m/>
    <s v="SOLFIN"/>
    <s v="SOLFIN"/>
    <s v="CCMS"/>
    <n v="21349562"/>
    <n v="25487.5"/>
    <m/>
    <s v="N"/>
    <n v="5"/>
    <d v="2023-07-10T19:01:53"/>
    <s v="N"/>
    <s v="Court Assess Cost LA"/>
    <s v="Public Law Children"/>
    <s v="Costs of Assessment"/>
    <s v="LISA WILKES"/>
    <s v="N"/>
    <n v="94"/>
    <n v="0"/>
    <x v="2"/>
    <s v="VALIDATED"/>
    <n v="1"/>
    <s v="01.11.80.308.6200.0000"/>
    <n v="94"/>
    <s v="11"/>
    <s v="6200"/>
    <n v="14702.89"/>
    <n v="94"/>
    <s v="CREDITOR"/>
    <n v="0"/>
    <n v="0"/>
    <n v="0"/>
    <n v="0"/>
    <n v="94"/>
  </r>
  <r>
    <n v="61169541"/>
    <s v="N"/>
    <n v="21350116"/>
    <s v="3000015350570009"/>
    <s v="CIVIL"/>
    <d v="2023-06-30T00:00:00"/>
    <d v="2023-07-10T19:01:40"/>
    <m/>
    <d v="2023-07-10T00:00:00"/>
    <n v="684"/>
    <n v="17252"/>
    <s v="61169541"/>
    <s v="61169541"/>
    <m/>
    <m/>
    <n v="22799486"/>
    <m/>
    <m/>
    <m/>
    <s v="SOLFIN"/>
    <s v="SOLFIN"/>
    <s v="CCMS"/>
    <n v="21350116"/>
    <n v="7264.96"/>
    <m/>
    <s v="N"/>
    <n v="1"/>
    <d v="2023-07-10T19:02:14"/>
    <s v="Y"/>
    <s v="Final Hearing Court Bundle/Advocate"/>
    <s v="Public Law Children"/>
    <s v="Advocacy"/>
    <s v="CAROLYN BAWDEN-FROST"/>
    <s v="Y"/>
    <n v="159.3"/>
    <n v="31.86"/>
    <x v="2"/>
    <s v="VALIDATED"/>
    <n v="1"/>
    <s v="01.11.80.308.6100.0000"/>
    <n v="159.3"/>
    <s v="11"/>
    <s v="6100"/>
    <n v="14702.89"/>
    <n v="159.3"/>
    <s v="CREDITOR"/>
    <n v="0"/>
    <n v="0"/>
    <n v="0"/>
    <n v="0"/>
    <n v="159.3"/>
  </r>
  <r>
    <n v="61396010"/>
    <s v="N"/>
    <n v="21360839"/>
    <s v="3000015539060006"/>
    <s v="CIVIL"/>
    <d v="2023-06-30T00:00:00"/>
    <d v="2023-07-11T19:00:25"/>
    <m/>
    <d v="2023-07-11T00:00:00"/>
    <n v="684"/>
    <n v="17252"/>
    <s v="61396010"/>
    <s v="61396010"/>
    <m/>
    <m/>
    <n v="22799474"/>
    <m/>
    <m/>
    <m/>
    <s v="SOLFIN"/>
    <s v="SOLFIN"/>
    <s v="CCMS"/>
    <n v="21360839"/>
    <n v="7595.3"/>
    <m/>
    <s v="N"/>
    <n v="7"/>
    <d v="2023-07-11T19:00:37"/>
    <s v="Y"/>
    <s v="Psychologist"/>
    <s v="Public Law Children"/>
    <s v="Expert Disbursement"/>
    <s v="DR GRACE ALEXANDER"/>
    <s v="Y"/>
    <n v="780"/>
    <n v="156"/>
    <x v="7"/>
    <s v="VALIDATED"/>
    <n v="1"/>
    <s v="01.11.80.308.6300.0000"/>
    <n v="780"/>
    <s v="11"/>
    <s v="6300"/>
    <n v="14702.89"/>
    <n v="780"/>
    <s v="CREDITOR"/>
    <n v="0"/>
    <n v="0"/>
    <n v="0"/>
    <n v="0"/>
    <n v="780"/>
  </r>
  <r>
    <n v="60870781"/>
    <s v="N"/>
    <n v="21327696"/>
    <s v="3000015095630019"/>
    <s v="CIVIL"/>
    <d v="2023-06-13T00:00:00"/>
    <d v="2023-07-04T19:00:44"/>
    <m/>
    <d v="2023-07-04T00:00:00"/>
    <n v="684"/>
    <n v="17252"/>
    <s v="60870781"/>
    <s v="60870781"/>
    <m/>
    <m/>
    <n v="22678414"/>
    <m/>
    <m/>
    <m/>
    <s v="SOLFIN"/>
    <s v="SOLFIN"/>
    <s v="CCMS"/>
    <n v="21327696"/>
    <n v="13458.38"/>
    <m/>
    <s v="N"/>
    <n v="11"/>
    <d v="2023-07-04T19:00:52"/>
    <s v="Y"/>
    <s v="Hearing Unit 2.31 - 5.00 Hours"/>
    <s v="Public Law Children"/>
    <s v="Advocacy"/>
    <s v="LISA WILKES"/>
    <s v="Y"/>
    <n v="476.92"/>
    <n v="95.38"/>
    <x v="1"/>
    <s v="VALIDATED"/>
    <n v="1"/>
    <s v="01.11.80.308.6100.0000"/>
    <n v="476.92"/>
    <s v="11"/>
    <s v="6100"/>
    <n v="14702.89"/>
    <n v="476.92"/>
    <s v="CREDITOR"/>
    <n v="0"/>
    <n v="0"/>
    <n v="0"/>
    <n v="0"/>
    <n v="476.92"/>
  </r>
  <r>
    <n v="61396010"/>
    <s v="N"/>
    <n v="21360839"/>
    <s v="3000015539060006"/>
    <s v="CIVIL"/>
    <d v="2023-06-30T00:00:00"/>
    <d v="2023-07-11T19:00:25"/>
    <m/>
    <d v="2023-07-11T00:00:00"/>
    <n v="684"/>
    <n v="17252"/>
    <s v="61396010"/>
    <s v="61396010"/>
    <m/>
    <m/>
    <n v="22799474"/>
    <m/>
    <m/>
    <m/>
    <s v="SOLFIN"/>
    <s v="SOLFIN"/>
    <s v="CCMS"/>
    <n v="21360839"/>
    <n v="7595.3"/>
    <m/>
    <s v="N"/>
    <n v="4"/>
    <d v="2023-07-11T19:00:37"/>
    <s v="Y"/>
    <s v="Final Hearing Court Bundle/Advocate"/>
    <s v="Public Law Children"/>
    <s v="Advocacy"/>
    <s v="CAROLYN BAWDEN-FROST"/>
    <s v="Y"/>
    <n v="159.3"/>
    <n v="31.86"/>
    <x v="7"/>
    <s v="VALIDATED"/>
    <n v="1"/>
    <s v="01.11.80.308.6100.0000"/>
    <n v="159.3"/>
    <s v="11"/>
    <s v="6100"/>
    <n v="14702.89"/>
    <n v="159.3"/>
    <s v="CREDITOR"/>
    <n v="0"/>
    <n v="0"/>
    <n v="0"/>
    <n v="0"/>
    <n v="159.3"/>
  </r>
  <r>
    <n v="61396010"/>
    <s v="N"/>
    <n v="21360839"/>
    <s v="3000015539060006"/>
    <s v="CIVIL"/>
    <d v="2023-06-30T00:00:00"/>
    <d v="2023-07-11T19:00:25"/>
    <m/>
    <d v="2023-07-11T00:00:00"/>
    <n v="684"/>
    <n v="17252"/>
    <s v="61396010"/>
    <s v="61396010"/>
    <m/>
    <m/>
    <n v="22799474"/>
    <m/>
    <m/>
    <m/>
    <s v="SOLFIN"/>
    <s v="SOLFIN"/>
    <s v="CCMS"/>
    <n v="21360839"/>
    <n v="7595.3"/>
    <m/>
    <s v="N"/>
    <n v="13"/>
    <d v="2023-07-11T19:00:37"/>
    <s v="Y"/>
    <s v="Final Hearing - 1 Day"/>
    <s v="Public Law Children"/>
    <s v="Advocacy"/>
    <s v="CAROLYN BAWDEN-FROST"/>
    <s v="Y"/>
    <n v="556.88"/>
    <n v="111.38"/>
    <x v="7"/>
    <s v="VALIDATED"/>
    <n v="1"/>
    <s v="01.11.80.308.6100.0000"/>
    <n v="556.88"/>
    <s v="11"/>
    <s v="6100"/>
    <n v="14702.89"/>
    <n v="556.88"/>
    <s v="CREDITOR"/>
    <n v="0"/>
    <n v="0"/>
    <n v="0"/>
    <n v="0"/>
    <n v="556.88"/>
  </r>
  <r>
    <n v="61396010"/>
    <s v="N"/>
    <n v="21360839"/>
    <s v="3000015539060006"/>
    <s v="CIVIL"/>
    <d v="2023-06-30T00:00:00"/>
    <d v="2023-07-11T19:00:25"/>
    <m/>
    <d v="2023-07-11T00:00:00"/>
    <n v="684"/>
    <n v="17252"/>
    <s v="61396010"/>
    <s v="61396010"/>
    <m/>
    <m/>
    <n v="22799474"/>
    <m/>
    <m/>
    <m/>
    <s v="SOLFIN"/>
    <s v="SOLFIN"/>
    <s v="CCMS"/>
    <n v="21360839"/>
    <n v="7595.3"/>
    <m/>
    <s v="N"/>
    <n v="1"/>
    <d v="2023-07-11T19:00:37"/>
    <s v="Y"/>
    <s v="Interim Hearing Court Bundle/Advoca"/>
    <s v="Public Law Children"/>
    <s v="Advocacy"/>
    <s v="LISA WILKES"/>
    <s v="Y"/>
    <n v="59.4"/>
    <n v="11.88"/>
    <x v="7"/>
    <s v="VALIDATED"/>
    <n v="1"/>
    <s v="01.11.80.308.6100.0000"/>
    <n v="59.4"/>
    <s v="11"/>
    <s v="6100"/>
    <n v="14702.89"/>
    <n v="59.4"/>
    <s v="CREDITOR"/>
    <n v="0"/>
    <n v="0"/>
    <n v="0"/>
    <n v="0"/>
    <n v="59.4"/>
  </r>
  <r>
    <n v="60020592"/>
    <s v="N"/>
    <n v="21349562"/>
    <s v="3000014362010021"/>
    <s v="CIVIL"/>
    <d v="2023-06-23T00:00:00"/>
    <d v="2023-07-10T19:01:40"/>
    <m/>
    <d v="2023-07-10T00:00:00"/>
    <n v="684"/>
    <n v="17252"/>
    <s v="60020592"/>
    <s v="60020592"/>
    <m/>
    <m/>
    <n v="22751294"/>
    <m/>
    <m/>
    <m/>
    <s v="SOLFIN"/>
    <s v="SOLFIN"/>
    <s v="CCMS"/>
    <n v="21349562"/>
    <n v="25487.5"/>
    <m/>
    <s v="N"/>
    <n v="4"/>
    <d v="2023-07-10T19:01:53"/>
    <s v="Y"/>
    <s v="Disbursements (Summary)"/>
    <s v="Public Law Children"/>
    <s v="Non Expert Disbursement"/>
    <s v="LISA WILKES"/>
    <s v="Y"/>
    <n v="1668.92"/>
    <n v="333.78"/>
    <x v="2"/>
    <s v="VALIDATED"/>
    <n v="1"/>
    <s v="01.11.80.308.6300.0000"/>
    <n v="1668.92"/>
    <s v="11"/>
    <s v="6300"/>
    <n v="14702.89"/>
    <n v="1668.92"/>
    <s v="CREDITOR"/>
    <n v="0"/>
    <n v="0"/>
    <n v="0"/>
    <n v="0"/>
    <n v="1668.92"/>
  </r>
  <r>
    <n v="61169541"/>
    <s v="N"/>
    <n v="21350116"/>
    <s v="3000015350570009"/>
    <s v="CIVIL"/>
    <d v="2023-06-30T00:00:00"/>
    <d v="2023-07-10T19:01:40"/>
    <m/>
    <d v="2023-07-10T00:00:00"/>
    <n v="684"/>
    <n v="17252"/>
    <s v="61169541"/>
    <s v="61169541"/>
    <m/>
    <m/>
    <n v="22799486"/>
    <m/>
    <m/>
    <m/>
    <s v="SOLFIN"/>
    <s v="SOLFIN"/>
    <s v="CCMS"/>
    <n v="21350116"/>
    <n v="7264.96"/>
    <m/>
    <s v="N"/>
    <n v="5"/>
    <d v="2023-07-10T19:02:14"/>
    <s v="Y"/>
    <s v="Solicitor Travel Expenses"/>
    <s v="Public Law Children"/>
    <s v="Non Expert Disbursement"/>
    <s v="LISA WILKES"/>
    <s v="Y"/>
    <n v="16.7"/>
    <n v="3.34"/>
    <x v="2"/>
    <s v="VALIDATED"/>
    <n v="1"/>
    <s v="01.11.80.308.6300.0000"/>
    <n v="16.7"/>
    <s v="11"/>
    <s v="6300"/>
    <n v="14702.89"/>
    <n v="16.7"/>
    <s v="CREDITOR"/>
    <n v="0"/>
    <n v="0"/>
    <n v="0"/>
    <n v="0"/>
    <n v="16.7"/>
  </r>
  <r>
    <n v="60020592"/>
    <s v="N"/>
    <n v="21349562"/>
    <s v="3000014362010021"/>
    <s v="CIVIL"/>
    <d v="2023-06-23T00:00:00"/>
    <d v="2023-07-10T19:01:40"/>
    <m/>
    <d v="2023-07-10T00:00:00"/>
    <n v="684"/>
    <n v="17252"/>
    <s v="60020592"/>
    <s v="60020592"/>
    <m/>
    <m/>
    <n v="22751294"/>
    <m/>
    <m/>
    <m/>
    <s v="SOLFIN"/>
    <s v="SOLFIN"/>
    <s v="CCMS"/>
    <n v="21349562"/>
    <n v="25487.5"/>
    <m/>
    <s v="N"/>
    <n v="16"/>
    <d v="2023-07-10T19:01:53"/>
    <s v="Y"/>
    <s v="Hearing Unit 2.31 - 5.00 Hours"/>
    <s v="Public Law Children"/>
    <s v="Advocacy"/>
    <s v="LISA WILKES"/>
    <s v="Y"/>
    <n v="476.92"/>
    <n v="95.38"/>
    <x v="2"/>
    <s v="VALIDATED"/>
    <n v="1"/>
    <s v="01.11.80.308.6100.0000"/>
    <n v="476.92"/>
    <s v="11"/>
    <s v="6100"/>
    <n v="14702.89"/>
    <n v="476.92"/>
    <s v="CREDITOR"/>
    <n v="0"/>
    <n v="0"/>
    <n v="0"/>
    <n v="0"/>
    <n v="476.92"/>
  </r>
  <r>
    <n v="60870781"/>
    <s v="N"/>
    <n v="21327696"/>
    <s v="3000015095630019"/>
    <s v="CIVIL"/>
    <d v="2023-06-13T00:00:00"/>
    <d v="2023-07-04T19:00:44"/>
    <m/>
    <d v="2023-07-04T00:00:00"/>
    <n v="684"/>
    <n v="17252"/>
    <s v="60870781"/>
    <s v="60870781"/>
    <m/>
    <m/>
    <n v="22678414"/>
    <m/>
    <m/>
    <m/>
    <s v="SOLFIN"/>
    <s v="SOLFIN"/>
    <s v="CCMS"/>
    <n v="21327696"/>
    <n v="13458.38"/>
    <m/>
    <s v="N"/>
    <n v="8"/>
    <d v="2023-07-04T19:00:52"/>
    <s v="Y"/>
    <s v="Advocates Meeting"/>
    <s v="Public Law Children"/>
    <s v="Advocacy"/>
    <s v="LISA WILKES"/>
    <s v="Y"/>
    <n v="140.99"/>
    <n v="28.2"/>
    <x v="1"/>
    <s v="VALIDATED"/>
    <n v="1"/>
    <s v="01.11.80.308.6100.0000"/>
    <n v="140.99"/>
    <s v="11"/>
    <s v="6100"/>
    <n v="14702.89"/>
    <n v="140.99"/>
    <s v="CREDITOR"/>
    <n v="0"/>
    <n v="0"/>
    <n v="0"/>
    <n v="0"/>
    <n v="140.99"/>
  </r>
  <r>
    <n v="60870781"/>
    <s v="N"/>
    <n v="21327696"/>
    <s v="3000015095630019"/>
    <s v="CIVIL"/>
    <d v="2023-06-13T00:00:00"/>
    <d v="2023-07-04T19:00:44"/>
    <m/>
    <d v="2023-07-04T00:00:00"/>
    <n v="684"/>
    <n v="17252"/>
    <s v="60870781"/>
    <s v="60870781"/>
    <m/>
    <m/>
    <n v="22678414"/>
    <m/>
    <m/>
    <m/>
    <s v="SOLFIN"/>
    <s v="SOLFIN"/>
    <s v="CCMS"/>
    <n v="21327696"/>
    <n v="13458.38"/>
    <m/>
    <s v="N"/>
    <n v="6"/>
    <d v="2023-07-04T19:00:52"/>
    <s v="N"/>
    <s v="Court Assess Cost LA"/>
    <s v="Public Law Children"/>
    <s v="Costs of Assessment"/>
    <s v="LISA WILKES"/>
    <s v="N"/>
    <n v="94"/>
    <n v="0"/>
    <x v="1"/>
    <s v="VALIDATED"/>
    <n v="1"/>
    <s v="01.11.80.308.6200.0000"/>
    <n v="94"/>
    <s v="11"/>
    <s v="6200"/>
    <n v="14702.89"/>
    <n v="94"/>
    <s v="CREDITOR"/>
    <n v="0"/>
    <n v="0"/>
    <n v="0"/>
    <n v="0"/>
    <n v="94"/>
  </r>
  <r>
    <n v="61396010"/>
    <s v="N"/>
    <n v="21360839"/>
    <s v="3000015539060006"/>
    <s v="CIVIL"/>
    <d v="2023-06-30T00:00:00"/>
    <d v="2023-07-11T19:00:25"/>
    <m/>
    <d v="2023-07-11T00:00:00"/>
    <n v="684"/>
    <n v="17252"/>
    <s v="61396010"/>
    <s v="61396010"/>
    <m/>
    <m/>
    <n v="22799474"/>
    <m/>
    <m/>
    <m/>
    <s v="SOLFIN"/>
    <s v="SOLFIN"/>
    <s v="CCMS"/>
    <n v="21360839"/>
    <n v="7595.3"/>
    <m/>
    <s v="N"/>
    <n v="8"/>
    <d v="2023-07-11T19:00:37"/>
    <s v="Y"/>
    <s v="Solicitor Travel Mileage"/>
    <s v="Public Law Children"/>
    <s v="Non Expert Disbursement"/>
    <s v="CAROLYN BAWDEN-FROST"/>
    <s v="Y"/>
    <n v="27.9"/>
    <n v="5.58"/>
    <x v="7"/>
    <s v="VALIDATED"/>
    <n v="1"/>
    <s v="01.11.80.308.6300.0000"/>
    <n v="27.9"/>
    <s v="11"/>
    <s v="6300"/>
    <n v="14702.89"/>
    <n v="27.9"/>
    <s v="CREDITOR"/>
    <n v="0"/>
    <n v="0"/>
    <n v="0"/>
    <n v="0"/>
    <n v="27.9"/>
  </r>
  <r>
    <n v="60020592"/>
    <s v="N"/>
    <n v="21349562"/>
    <s v="3000014362010021"/>
    <s v="CIVIL"/>
    <d v="2023-06-23T00:00:00"/>
    <d v="2023-07-10T19:01:40"/>
    <m/>
    <d v="2023-07-10T00:00:00"/>
    <n v="684"/>
    <n v="17252"/>
    <s v="60020592"/>
    <s v="60020592"/>
    <m/>
    <m/>
    <n v="22751294"/>
    <m/>
    <m/>
    <m/>
    <s v="SOLFIN"/>
    <s v="SOLFIN"/>
    <s v="CCMS"/>
    <n v="21349562"/>
    <n v="25487.5"/>
    <m/>
    <s v="N"/>
    <n v="10"/>
    <d v="2023-07-10T19:01:53"/>
    <s v="Y"/>
    <s v="Hearing Unit 1.01 - 2.30 Hours"/>
    <s v="Public Law Children"/>
    <s v="Advocacy"/>
    <s v="LISA WILKES"/>
    <s v="Y"/>
    <n v="238.46"/>
    <n v="47.69"/>
    <x v="2"/>
    <s v="VALIDATED"/>
    <n v="1"/>
    <s v="01.11.80.308.6100.0000"/>
    <n v="238.46"/>
    <s v="11"/>
    <s v="6100"/>
    <n v="14702.89"/>
    <n v="238.46"/>
    <s v="CREDITOR"/>
    <n v="0"/>
    <n v="0"/>
    <n v="0"/>
    <n v="0"/>
    <n v="238.46"/>
  </r>
  <r>
    <n v="60020592"/>
    <s v="N"/>
    <n v="21349562"/>
    <s v="3000014362010021"/>
    <s v="CIVIL"/>
    <d v="2023-06-23T00:00:00"/>
    <d v="2023-07-10T19:01:40"/>
    <m/>
    <d v="2023-07-10T00:00:00"/>
    <n v="684"/>
    <n v="17252"/>
    <s v="60020592"/>
    <s v="60020592"/>
    <m/>
    <m/>
    <n v="22751294"/>
    <m/>
    <m/>
    <m/>
    <s v="SOLFIN"/>
    <s v="SOLFIN"/>
    <s v="CCMS"/>
    <n v="21349562"/>
    <n v="25487.5"/>
    <m/>
    <s v="N"/>
    <n v="12"/>
    <d v="2023-07-10T19:01:53"/>
    <s v="Y"/>
    <s v="Hearing Unit 2.31 - 5.00 Hours"/>
    <s v="Public Law Children"/>
    <s v="Advocacy"/>
    <s v="LISA WILKES"/>
    <s v="Y"/>
    <n v="476.92"/>
    <n v="95.38"/>
    <x v="2"/>
    <s v="VALIDATED"/>
    <n v="1"/>
    <s v="01.11.80.308.6100.0000"/>
    <n v="476.92"/>
    <s v="11"/>
    <s v="6100"/>
    <n v="14702.89"/>
    <n v="476.92"/>
    <s v="CREDITOR"/>
    <n v="0"/>
    <n v="0"/>
    <n v="0"/>
    <n v="0"/>
    <n v="476.92"/>
  </r>
  <r>
    <n v="60020592"/>
    <s v="N"/>
    <n v="21349562"/>
    <s v="3000014362010021"/>
    <s v="CIVIL"/>
    <d v="2023-06-23T00:00:00"/>
    <d v="2023-07-10T19:01:40"/>
    <m/>
    <d v="2023-07-10T00:00:00"/>
    <n v="684"/>
    <n v="17252"/>
    <s v="60020592"/>
    <s v="60020592"/>
    <m/>
    <m/>
    <n v="22751294"/>
    <m/>
    <m/>
    <m/>
    <s v="SOLFIN"/>
    <s v="SOLFIN"/>
    <s v="CCMS"/>
    <n v="21349562"/>
    <n v="25487.5"/>
    <m/>
    <s v="N"/>
    <n v="23"/>
    <d v="2023-07-10T19:01:53"/>
    <s v="Y"/>
    <s v="Hearing Unit 1.01 - 2.30 Hours"/>
    <s v="Public Law Children"/>
    <s v="Advocacy"/>
    <s v="LISA WILKES"/>
    <s v="Y"/>
    <n v="238.46"/>
    <n v="47.69"/>
    <x v="2"/>
    <s v="VALIDATED"/>
    <n v="1"/>
    <s v="01.11.80.308.6100.0000"/>
    <n v="238.46"/>
    <s v="11"/>
    <s v="6100"/>
    <n v="14702.89"/>
    <n v="238.46"/>
    <s v="CREDITOR"/>
    <n v="0"/>
    <n v="0"/>
    <n v="0"/>
    <n v="0"/>
    <n v="238.46"/>
  </r>
  <r>
    <n v="60020592"/>
    <s v="N"/>
    <n v="21349562"/>
    <s v="3000014362010021"/>
    <s v="CIVIL"/>
    <d v="2023-06-23T00:00:00"/>
    <d v="2023-07-10T19:01:40"/>
    <m/>
    <d v="2023-07-10T00:00:00"/>
    <n v="684"/>
    <n v="17252"/>
    <s v="60020592"/>
    <s v="60020592"/>
    <m/>
    <m/>
    <n v="22751294"/>
    <m/>
    <m/>
    <m/>
    <s v="SOLFIN"/>
    <s v="SOLFIN"/>
    <s v="CCMS"/>
    <n v="21349562"/>
    <n v="25487.5"/>
    <m/>
    <s v="N"/>
    <n v="11"/>
    <d v="2023-07-10T19:01:53"/>
    <s v="Y"/>
    <s v="Advocates Meeting"/>
    <s v="Public Law Children"/>
    <s v="Advocacy"/>
    <s v="LISA WILKES"/>
    <s v="Y"/>
    <n v="140.99"/>
    <n v="28.2"/>
    <x v="2"/>
    <s v="VALIDATED"/>
    <n v="1"/>
    <s v="01.11.80.308.6100.0000"/>
    <n v="140.99"/>
    <s v="11"/>
    <s v="6100"/>
    <n v="14702.89"/>
    <n v="140.99"/>
    <s v="CREDITOR"/>
    <n v="0"/>
    <n v="0"/>
    <n v="0"/>
    <n v="0"/>
    <n v="140.99"/>
  </r>
  <r>
    <n v="61504025"/>
    <s v="N"/>
    <n v="21323199"/>
    <s v="3000015624020013"/>
    <s v="CIVIL"/>
    <d v="2023-06-30T00:00:00"/>
    <d v="2023-07-03T19:05:56"/>
    <m/>
    <d v="2023-07-03T00:00:00"/>
    <n v="684"/>
    <n v="17252"/>
    <s v="61504025"/>
    <s v="61504025"/>
    <m/>
    <m/>
    <n v="22795130"/>
    <m/>
    <m/>
    <m/>
    <s v="SOLPOA"/>
    <s v="SOLPOA"/>
    <s v="CCMS"/>
    <n v="21323199"/>
    <n v="1306.69"/>
    <m/>
    <s v="N"/>
    <n v="1"/>
    <d v="2023-07-03T19:05:56"/>
    <s v="N"/>
    <s v="Solicitors Fixed Fee"/>
    <s v="Public Law Children"/>
    <s v="Profit Cost"/>
    <s v="Melody Brown"/>
    <s v="N"/>
    <n v="1088.91"/>
    <n v="217.78"/>
    <x v="3"/>
    <s v="VALIDATED"/>
    <n v="1"/>
    <s v="01.11.80.308.2012.0000"/>
    <n v="1088.91"/>
    <s v="11"/>
    <s v="2012"/>
    <n v="14702.89"/>
    <n v="1088.91"/>
    <s v="CREDITOR"/>
    <n v="1088.91"/>
    <n v="272.2275"/>
    <n v="0"/>
    <n v="0"/>
    <n v="0"/>
  </r>
  <r>
    <n v="60870781"/>
    <s v="N"/>
    <n v="21328639"/>
    <s v="3000015095630017RC"/>
    <s v="CIVIL"/>
    <d v="2023-06-13T00:00:00"/>
    <d v="2023-07-04T19:38:21"/>
    <m/>
    <d v="2023-07-04T00:00:00"/>
    <n v="684"/>
    <n v="17252"/>
    <s v="60870781"/>
    <s v="60870781"/>
    <m/>
    <m/>
    <m/>
    <m/>
    <m/>
    <m/>
    <s v="SOLRECOUP"/>
    <s v="SOLRECOUP"/>
    <s v="POARECOUP"/>
    <n v="21328639"/>
    <n v="-6.3"/>
    <m/>
    <s v="Y"/>
    <n v="2"/>
    <d v="2023-07-04T19:38:22"/>
    <s v="N"/>
    <m/>
    <m/>
    <s v="Non Expert Disbursement"/>
    <m/>
    <s v="N"/>
    <n v="0"/>
    <n v="0"/>
    <x v="1"/>
    <s v="VALIDATED"/>
    <n v="1"/>
    <s v="01.11.80.000.0000.0000"/>
    <n v="0"/>
    <s v="11"/>
    <s v="0000"/>
    <n v="14702.89"/>
    <n v="0"/>
    <s v="CREDITOR"/>
    <n v="0"/>
    <n v="0"/>
    <n v="0"/>
    <n v="0"/>
    <n v="0"/>
  </r>
  <r>
    <n v="60870781"/>
    <s v="N"/>
    <n v="21328640"/>
    <s v="3000015095630018RC"/>
    <s v="CIVIL"/>
    <d v="2023-06-13T00:00:00"/>
    <d v="2023-07-04T19:38:21"/>
    <m/>
    <d v="2023-07-04T00:00:00"/>
    <n v="684"/>
    <n v="17252"/>
    <s v="60870781"/>
    <s v="60870781"/>
    <m/>
    <m/>
    <m/>
    <m/>
    <m/>
    <m/>
    <s v="SOLRECOUP"/>
    <s v="SOLRECOUP"/>
    <s v="POARECOUP"/>
    <n v="21328640"/>
    <n v="-5"/>
    <m/>
    <s v="Y"/>
    <n v="1"/>
    <d v="2023-07-04T19:38:22"/>
    <s v="N"/>
    <m/>
    <m/>
    <s v="Non Expert Disbursement"/>
    <m/>
    <s v="N"/>
    <n v="-5"/>
    <n v="0"/>
    <x v="1"/>
    <s v="VALIDATED"/>
    <n v="1"/>
    <s v="01.11.80.308.2013.0000"/>
    <n v="-5"/>
    <s v="11"/>
    <s v="2013"/>
    <n v="14702.89"/>
    <n v="-5"/>
    <s v="CREDITOR"/>
    <n v="0"/>
    <n v="0"/>
    <n v="-5"/>
    <n v="0"/>
    <n v="0"/>
  </r>
  <r>
    <n v="60870781"/>
    <s v="N"/>
    <n v="21328640"/>
    <s v="3000015095630018RC"/>
    <s v="CIVIL"/>
    <d v="2023-06-13T00:00:00"/>
    <d v="2023-07-04T19:38:21"/>
    <m/>
    <d v="2023-07-04T00:00:00"/>
    <n v="684"/>
    <n v="17252"/>
    <s v="60870781"/>
    <s v="60870781"/>
    <m/>
    <m/>
    <m/>
    <m/>
    <m/>
    <m/>
    <s v="SOLRECOUP"/>
    <s v="SOLRECOUP"/>
    <s v="POARECOUP"/>
    <n v="21328640"/>
    <n v="-5"/>
    <m/>
    <s v="Y"/>
    <n v="2"/>
    <d v="2023-07-04T19:38:22"/>
    <s v="N"/>
    <m/>
    <m/>
    <s v="Non Expert Disbursement"/>
    <m/>
    <s v="N"/>
    <n v="0"/>
    <n v="0"/>
    <x v="1"/>
    <s v="VALIDATED"/>
    <n v="1"/>
    <s v="01.11.80.000.0000.0000"/>
    <n v="0"/>
    <s v="11"/>
    <s v="0000"/>
    <n v="14702.89"/>
    <n v="0"/>
    <s v="CREDITOR"/>
    <n v="0"/>
    <n v="0"/>
    <n v="0"/>
    <n v="0"/>
    <n v="0"/>
  </r>
  <r>
    <n v="60870781"/>
    <s v="N"/>
    <n v="21329563"/>
    <s v="3000015095630014RC"/>
    <s v="CIVIL"/>
    <d v="2023-06-13T00:00:00"/>
    <d v="2023-07-04T19:38:37"/>
    <m/>
    <d v="2023-07-04T00:00:00"/>
    <n v="684"/>
    <n v="17252"/>
    <s v="60870781"/>
    <s v="60870781"/>
    <m/>
    <m/>
    <m/>
    <m/>
    <m/>
    <m/>
    <s v="SOLRECOUP"/>
    <s v="SOLRECOUP"/>
    <s v="POARECOUP"/>
    <n v="21329563"/>
    <n v="-6207.79"/>
    <m/>
    <s v="Y"/>
    <n v="1"/>
    <d v="2023-07-04T19:38:38"/>
    <s v="N"/>
    <m/>
    <m/>
    <s v="Profit Cost"/>
    <m/>
    <s v="N"/>
    <n v="-5173.16"/>
    <n v="0"/>
    <x v="1"/>
    <s v="VALIDATED"/>
    <n v="1"/>
    <s v="01.11.80.308.2013.0000"/>
    <n v="-5173.16"/>
    <s v="11"/>
    <s v="2013"/>
    <n v="14702.89"/>
    <n v="-5173.16"/>
    <s v="CREDITOR"/>
    <n v="0"/>
    <n v="0"/>
    <n v="-5173.16"/>
    <n v="-1293.29"/>
    <n v="0"/>
  </r>
  <r>
    <n v="60870781"/>
    <s v="N"/>
    <n v="21329563"/>
    <s v="3000015095630014RC"/>
    <s v="CIVIL"/>
    <d v="2023-06-13T00:00:00"/>
    <d v="2023-07-04T19:38:37"/>
    <m/>
    <d v="2023-07-04T00:00:00"/>
    <n v="684"/>
    <n v="17252"/>
    <s v="60870781"/>
    <s v="60870781"/>
    <m/>
    <m/>
    <m/>
    <m/>
    <m/>
    <m/>
    <s v="SOLRECOUP"/>
    <s v="SOLRECOUP"/>
    <s v="POARECOUP"/>
    <n v="21329563"/>
    <n v="-6207.79"/>
    <m/>
    <s v="Y"/>
    <n v="2"/>
    <d v="2023-07-04T19:38:38"/>
    <s v="N"/>
    <m/>
    <m/>
    <s v="Profit Cost"/>
    <m/>
    <s v="N"/>
    <n v="0"/>
    <n v="-1034.63"/>
    <x v="1"/>
    <s v="VALIDATED"/>
    <n v="1"/>
    <s v="01.11.80.308.2013.0000"/>
    <n v="-1034.63"/>
    <s v="11"/>
    <s v="2013"/>
    <n v="14702.89"/>
    <n v="-1034.63"/>
    <s v="CREDITOR"/>
    <n v="0"/>
    <n v="0"/>
    <n v="-1034.63"/>
    <n v="-258.6575"/>
    <n v="0"/>
  </r>
  <r>
    <n v="60870781"/>
    <s v="N"/>
    <n v="21329564"/>
    <s v="3000015095630015RC"/>
    <s v="CIVIL"/>
    <d v="2023-06-13T00:00:00"/>
    <d v="2023-07-04T19:38:37"/>
    <m/>
    <d v="2023-07-04T00:00:00"/>
    <n v="684"/>
    <n v="17252"/>
    <s v="60870781"/>
    <s v="60870781"/>
    <m/>
    <m/>
    <m/>
    <m/>
    <m/>
    <m/>
    <s v="SOLRECOUP"/>
    <s v="SOLRECOUP"/>
    <s v="POARECOUP"/>
    <n v="21329564"/>
    <n v="-94"/>
    <m/>
    <s v="Y"/>
    <n v="1"/>
    <d v="2023-07-04T19:38:38"/>
    <s v="N"/>
    <m/>
    <m/>
    <s v="Non Expert Disbursement"/>
    <m/>
    <s v="N"/>
    <n v="-94"/>
    <n v="0"/>
    <x v="1"/>
    <s v="VALIDATED"/>
    <n v="1"/>
    <s v="01.11.80.308.2013.0000"/>
    <n v="-94"/>
    <s v="11"/>
    <s v="2013"/>
    <n v="14702.89"/>
    <n v="-94"/>
    <s v="CREDITOR"/>
    <n v="0"/>
    <n v="0"/>
    <n v="-94"/>
    <n v="0"/>
    <n v="0"/>
  </r>
  <r>
    <n v="60870781"/>
    <s v="N"/>
    <n v="21329564"/>
    <s v="3000015095630015RC"/>
    <s v="CIVIL"/>
    <d v="2023-06-13T00:00:00"/>
    <d v="2023-07-04T19:38:37"/>
    <m/>
    <d v="2023-07-04T00:00:00"/>
    <n v="684"/>
    <n v="17252"/>
    <s v="60870781"/>
    <s v="60870781"/>
    <m/>
    <m/>
    <m/>
    <m/>
    <m/>
    <m/>
    <s v="SOLRECOUP"/>
    <s v="SOLRECOUP"/>
    <s v="POARECOUP"/>
    <n v="21329564"/>
    <n v="-94"/>
    <m/>
    <s v="Y"/>
    <n v="2"/>
    <d v="2023-07-04T19:38:38"/>
    <s v="N"/>
    <m/>
    <m/>
    <s v="Non Expert Disbursement"/>
    <m/>
    <s v="N"/>
    <n v="0"/>
    <n v="0"/>
    <x v="1"/>
    <s v="VALIDATED"/>
    <n v="1"/>
    <s v="01.11.80.000.0000.0000"/>
    <n v="0"/>
    <s v="11"/>
    <s v="0000"/>
    <n v="14702.89"/>
    <n v="0"/>
    <s v="CREDITOR"/>
    <n v="0"/>
    <n v="0"/>
    <n v="0"/>
    <n v="0"/>
    <n v="0"/>
  </r>
  <r>
    <n v="60870781"/>
    <s v="N"/>
    <n v="21329565"/>
    <s v="3000015095630003RC"/>
    <s v="CIVIL"/>
    <d v="2023-06-13T00:00:00"/>
    <d v="2023-07-04T19:38:37"/>
    <m/>
    <d v="2023-07-04T00:00:00"/>
    <n v="684"/>
    <n v="17252"/>
    <s v="60870781"/>
    <s v="60870781"/>
    <m/>
    <m/>
    <m/>
    <m/>
    <m/>
    <m/>
    <s v="SOLRECOUP"/>
    <s v="SOLRECOUP"/>
    <s v="POARECOUP"/>
    <n v="21329565"/>
    <n v="-77.40000000000001"/>
    <m/>
    <s v="Y"/>
    <n v="1"/>
    <d v="2023-07-04T19:38:38"/>
    <s v="N"/>
    <m/>
    <m/>
    <s v="Expert Disbursement"/>
    <m/>
    <s v="N"/>
    <n v="-64.5"/>
    <n v="0"/>
    <x v="1"/>
    <s v="VALIDATED"/>
    <n v="1"/>
    <s v="01.11.80.308.2013.0000"/>
    <n v="-64.5"/>
    <s v="11"/>
    <s v="2013"/>
    <n v="14702.89"/>
    <n v="-64.5"/>
    <s v="CREDITOR"/>
    <n v="0"/>
    <n v="0"/>
    <n v="-64.5"/>
    <n v="0"/>
    <n v="0"/>
  </r>
  <r>
    <n v="60870781"/>
    <s v="N"/>
    <n v="21329565"/>
    <s v="3000015095630003RC"/>
    <s v="CIVIL"/>
    <d v="2023-06-13T00:00:00"/>
    <d v="2023-07-04T19:38:37"/>
    <m/>
    <d v="2023-07-04T00:00:00"/>
    <n v="684"/>
    <n v="17252"/>
    <s v="60870781"/>
    <s v="60870781"/>
    <m/>
    <m/>
    <m/>
    <m/>
    <m/>
    <m/>
    <s v="SOLRECOUP"/>
    <s v="SOLRECOUP"/>
    <s v="POARECOUP"/>
    <n v="21329565"/>
    <n v="-77.40000000000001"/>
    <m/>
    <s v="Y"/>
    <n v="2"/>
    <d v="2023-07-04T19:38:38"/>
    <s v="N"/>
    <m/>
    <m/>
    <s v="Expert Disbursement"/>
    <m/>
    <s v="N"/>
    <n v="0"/>
    <n v="-12.9"/>
    <x v="1"/>
    <s v="VALIDATED"/>
    <n v="1"/>
    <s v="01.11.80.308.2013.0000"/>
    <n v="-12.9"/>
    <s v="11"/>
    <s v="2013"/>
    <n v="14702.89"/>
    <n v="-12.9"/>
    <s v="CREDITOR"/>
    <n v="0"/>
    <n v="0"/>
    <n v="-12.9"/>
    <n v="0"/>
    <n v="0"/>
  </r>
  <r>
    <n v="60870781"/>
    <s v="N"/>
    <n v="21329566"/>
    <s v="3000015095630002RC"/>
    <s v="CIVIL"/>
    <d v="2023-06-13T00:00:00"/>
    <d v="2023-07-04T19:38:37"/>
    <m/>
    <d v="2023-07-04T00:00:00"/>
    <n v="684"/>
    <n v="17252"/>
    <s v="60870781"/>
    <s v="60870781"/>
    <m/>
    <m/>
    <m/>
    <m/>
    <m/>
    <m/>
    <s v="SOLRECOUP"/>
    <s v="SOLRECOUP"/>
    <s v="POARECOUP"/>
    <n v="21329566"/>
    <n v="-264.14"/>
    <m/>
    <s v="Y"/>
    <n v="1"/>
    <d v="2023-07-04T19:38:38"/>
    <s v="N"/>
    <m/>
    <m/>
    <s v="Expert Disbursement"/>
    <m/>
    <s v="N"/>
    <n v="-264.14"/>
    <n v="0"/>
    <x v="1"/>
    <s v="VALIDATED"/>
    <n v="1"/>
    <s v="01.11.80.308.2013.0000"/>
    <n v="-264.14"/>
    <s v="11"/>
    <s v="2013"/>
    <n v="14702.89"/>
    <n v="-264.14"/>
    <s v="CREDITOR"/>
    <n v="0"/>
    <n v="0"/>
    <n v="-264.14"/>
    <n v="0"/>
    <n v="0"/>
  </r>
  <r>
    <n v="60870781"/>
    <s v="N"/>
    <n v="21329566"/>
    <s v="3000015095630002RC"/>
    <s v="CIVIL"/>
    <d v="2023-06-13T00:00:00"/>
    <d v="2023-07-04T19:38:37"/>
    <m/>
    <d v="2023-07-04T00:00:00"/>
    <n v="684"/>
    <n v="17252"/>
    <s v="60870781"/>
    <s v="60870781"/>
    <m/>
    <m/>
    <m/>
    <m/>
    <m/>
    <m/>
    <s v="SOLRECOUP"/>
    <s v="SOLRECOUP"/>
    <s v="POARECOUP"/>
    <n v="21329566"/>
    <n v="-264.14"/>
    <m/>
    <s v="Y"/>
    <n v="2"/>
    <d v="2023-07-04T19:38:38"/>
    <s v="N"/>
    <m/>
    <m/>
    <s v="Expert Disbursement"/>
    <m/>
    <s v="N"/>
    <n v="0"/>
    <n v="0"/>
    <x v="1"/>
    <s v="VALIDATED"/>
    <n v="1"/>
    <s v="01.11.80.000.0000.0000"/>
    <n v="0"/>
    <s v="11"/>
    <s v="0000"/>
    <n v="14702.89"/>
    <n v="0"/>
    <s v="CREDITOR"/>
    <n v="0"/>
    <n v="0"/>
    <n v="0"/>
    <n v="0"/>
    <n v="0"/>
  </r>
  <r>
    <n v="60870781"/>
    <s v="N"/>
    <n v="21329567"/>
    <s v="3000015095630001RC"/>
    <s v="CIVIL"/>
    <d v="2023-06-13T00:00:00"/>
    <d v="2023-07-04T19:38:37"/>
    <m/>
    <d v="2023-07-04T00:00:00"/>
    <n v="684"/>
    <n v="17252"/>
    <s v="60870781"/>
    <s v="60870781"/>
    <m/>
    <m/>
    <m/>
    <m/>
    <m/>
    <m/>
    <s v="SOLRECOUP"/>
    <s v="SOLRECOUP"/>
    <s v="POARECOUP"/>
    <n v="21329567"/>
    <n v="-251.65"/>
    <m/>
    <s v="Y"/>
    <n v="1"/>
    <d v="2023-07-04T19:38:38"/>
    <s v="N"/>
    <m/>
    <m/>
    <s v="Expert Disbursement"/>
    <m/>
    <s v="N"/>
    <n v="-251.65"/>
    <n v="0"/>
    <x v="1"/>
    <s v="VALIDATED"/>
    <n v="1"/>
    <s v="01.11.80.308.2013.0000"/>
    <n v="-251.65"/>
    <s v="11"/>
    <s v="2013"/>
    <n v="14702.89"/>
    <n v="-251.65"/>
    <s v="CREDITOR"/>
    <n v="0"/>
    <n v="0"/>
    <n v="-251.65"/>
    <n v="0"/>
    <n v="0"/>
  </r>
  <r>
    <n v="60870781"/>
    <s v="N"/>
    <n v="21329567"/>
    <s v="3000015095630001RC"/>
    <s v="CIVIL"/>
    <d v="2023-06-13T00:00:00"/>
    <d v="2023-07-04T19:38:37"/>
    <m/>
    <d v="2023-07-04T00:00:00"/>
    <n v="684"/>
    <n v="17252"/>
    <s v="60870781"/>
    <s v="60870781"/>
    <m/>
    <m/>
    <m/>
    <m/>
    <m/>
    <m/>
    <s v="SOLRECOUP"/>
    <s v="SOLRECOUP"/>
    <s v="POARECOUP"/>
    <n v="21329567"/>
    <n v="-251.65"/>
    <m/>
    <s v="Y"/>
    <n v="2"/>
    <d v="2023-07-04T19:38:38"/>
    <s v="N"/>
    <m/>
    <m/>
    <s v="Expert Disbursement"/>
    <m/>
    <s v="N"/>
    <n v="0"/>
    <n v="0"/>
    <x v="1"/>
    <s v="VALIDATED"/>
    <n v="1"/>
    <s v="01.11.80.000.0000.0000"/>
    <n v="0"/>
    <s v="11"/>
    <s v="0000"/>
    <n v="14702.89"/>
    <n v="0"/>
    <s v="CREDITOR"/>
    <n v="0"/>
    <n v="0"/>
    <n v="0"/>
    <n v="0"/>
    <n v="0"/>
  </r>
  <r>
    <n v="60870781"/>
    <s v="N"/>
    <n v="21329568"/>
    <s v="3000015095630004RC"/>
    <s v="CIVIL"/>
    <d v="2023-06-13T00:00:00"/>
    <d v="2023-07-04T19:38:37"/>
    <m/>
    <d v="2023-07-04T00:00:00"/>
    <n v="684"/>
    <n v="17252"/>
    <s v="60870781"/>
    <s v="60870781"/>
    <m/>
    <m/>
    <m/>
    <m/>
    <m/>
    <m/>
    <s v="SOLRECOUP"/>
    <s v="SOLRECOUP"/>
    <s v="POARECOUP"/>
    <n v="21329568"/>
    <n v="-6.2"/>
    <m/>
    <s v="Y"/>
    <n v="1"/>
    <d v="2023-07-04T19:38:38"/>
    <s v="N"/>
    <m/>
    <m/>
    <s v="Non Expert Disbursement"/>
    <m/>
    <s v="N"/>
    <n v="-6.2"/>
    <n v="0"/>
    <x v="1"/>
    <s v="VALIDATED"/>
    <n v="1"/>
    <s v="01.11.80.308.2013.0000"/>
    <n v="-6.2"/>
    <s v="11"/>
    <s v="2013"/>
    <n v="14702.89"/>
    <n v="-6.2"/>
    <s v="CREDITOR"/>
    <n v="0"/>
    <n v="0"/>
    <n v="-6.2"/>
    <n v="0"/>
    <n v="0"/>
  </r>
  <r>
    <n v="60870781"/>
    <s v="N"/>
    <n v="21329568"/>
    <s v="3000015095630004RC"/>
    <s v="CIVIL"/>
    <d v="2023-06-13T00:00:00"/>
    <d v="2023-07-04T19:38:37"/>
    <m/>
    <d v="2023-07-04T00:00:00"/>
    <n v="684"/>
    <n v="17252"/>
    <s v="60870781"/>
    <s v="60870781"/>
    <m/>
    <m/>
    <m/>
    <m/>
    <m/>
    <m/>
    <s v="SOLRECOUP"/>
    <s v="SOLRECOUP"/>
    <s v="POARECOUP"/>
    <n v="21329568"/>
    <n v="-6.2"/>
    <m/>
    <s v="Y"/>
    <n v="2"/>
    <d v="2023-07-04T19:38:38"/>
    <s v="N"/>
    <m/>
    <m/>
    <s v="Non Expert Disbursement"/>
    <m/>
    <s v="N"/>
    <n v="0"/>
    <n v="0"/>
    <x v="1"/>
    <s v="VALIDATED"/>
    <n v="1"/>
    <s v="01.11.80.000.0000.0000"/>
    <n v="0"/>
    <s v="11"/>
    <s v="0000"/>
    <n v="14702.89"/>
    <n v="0"/>
    <s v="CREDITOR"/>
    <n v="0"/>
    <n v="0"/>
    <n v="0"/>
    <n v="0"/>
    <n v="0"/>
  </r>
  <r>
    <n v="60870781"/>
    <s v="N"/>
    <n v="21329569"/>
    <s v="3000015095630005RC"/>
    <s v="CIVIL"/>
    <d v="2023-06-13T00:00:00"/>
    <d v="2023-07-04T19:38:37"/>
    <m/>
    <d v="2023-07-04T00:00:00"/>
    <n v="684"/>
    <n v="17252"/>
    <s v="60870781"/>
    <s v="60870781"/>
    <m/>
    <m/>
    <m/>
    <m/>
    <m/>
    <m/>
    <s v="SOLRECOUP"/>
    <s v="SOLRECOUP"/>
    <s v="POARECOUP"/>
    <n v="21329569"/>
    <n v="-6.3"/>
    <m/>
    <s v="Y"/>
    <n v="1"/>
    <d v="2023-07-04T19:38:38"/>
    <s v="N"/>
    <m/>
    <m/>
    <s v="Non Expert Disbursement"/>
    <m/>
    <s v="N"/>
    <n v="-6.3"/>
    <n v="0"/>
    <x v="1"/>
    <s v="VALIDATED"/>
    <n v="1"/>
    <s v="01.11.80.308.2013.0000"/>
    <n v="-6.3"/>
    <s v="11"/>
    <s v="2013"/>
    <n v="14702.89"/>
    <n v="-6.3"/>
    <s v="CREDITOR"/>
    <n v="0"/>
    <n v="0"/>
    <n v="-6.3"/>
    <n v="0"/>
    <n v="0"/>
  </r>
  <r>
    <n v="60870781"/>
    <s v="N"/>
    <n v="21329569"/>
    <s v="3000015095630005RC"/>
    <s v="CIVIL"/>
    <d v="2023-06-13T00:00:00"/>
    <d v="2023-07-04T19:38:37"/>
    <m/>
    <d v="2023-07-04T00:00:00"/>
    <n v="684"/>
    <n v="17252"/>
    <s v="60870781"/>
    <s v="60870781"/>
    <m/>
    <m/>
    <m/>
    <m/>
    <m/>
    <m/>
    <s v="SOLRECOUP"/>
    <s v="SOLRECOUP"/>
    <s v="POARECOUP"/>
    <n v="21329569"/>
    <n v="-6.3"/>
    <m/>
    <s v="Y"/>
    <n v="2"/>
    <d v="2023-07-04T19:38:38"/>
    <s v="N"/>
    <m/>
    <m/>
    <s v="Non Expert Disbursement"/>
    <m/>
    <s v="N"/>
    <n v="0"/>
    <n v="0"/>
    <x v="1"/>
    <s v="VALIDATED"/>
    <n v="1"/>
    <s v="01.11.80.000.0000.0000"/>
    <n v="0"/>
    <s v="11"/>
    <s v="0000"/>
    <n v="14702.89"/>
    <n v="0"/>
    <s v="CREDITOR"/>
    <n v="0"/>
    <n v="0"/>
    <n v="0"/>
    <n v="0"/>
    <n v="0"/>
  </r>
  <r>
    <n v="60870781"/>
    <s v="N"/>
    <n v="21329570"/>
    <s v="3000015095630006RC"/>
    <s v="CIVIL"/>
    <d v="2023-06-13T00:00:00"/>
    <d v="2023-07-04T19:38:37"/>
    <m/>
    <d v="2023-07-04T00:00:00"/>
    <n v="684"/>
    <n v="17252"/>
    <s v="60870781"/>
    <s v="60870781"/>
    <m/>
    <m/>
    <m/>
    <m/>
    <m/>
    <m/>
    <s v="SOLRECOUP"/>
    <s v="SOLRECOUP"/>
    <s v="POARECOUP"/>
    <n v="21329570"/>
    <n v="-6.3"/>
    <m/>
    <s v="Y"/>
    <n v="1"/>
    <d v="2023-07-04T19:38:38"/>
    <s v="N"/>
    <m/>
    <m/>
    <s v="Non Expert Disbursement"/>
    <m/>
    <s v="N"/>
    <n v="-6.3"/>
    <n v="0"/>
    <x v="1"/>
    <s v="VALIDATED"/>
    <n v="1"/>
    <s v="01.11.80.308.2013.0000"/>
    <n v="-6.3"/>
    <s v="11"/>
    <s v="2013"/>
    <n v="14702.89"/>
    <n v="-6.3"/>
    <s v="CREDITOR"/>
    <n v="0"/>
    <n v="0"/>
    <n v="-6.3"/>
    <n v="0"/>
    <n v="0"/>
  </r>
  <r>
    <n v="60870781"/>
    <s v="N"/>
    <n v="21329570"/>
    <s v="3000015095630006RC"/>
    <s v="CIVIL"/>
    <d v="2023-06-13T00:00:00"/>
    <d v="2023-07-04T19:38:37"/>
    <m/>
    <d v="2023-07-04T00:00:00"/>
    <n v="684"/>
    <n v="17252"/>
    <s v="60870781"/>
    <s v="60870781"/>
    <m/>
    <m/>
    <m/>
    <m/>
    <m/>
    <m/>
    <s v="SOLRECOUP"/>
    <s v="SOLRECOUP"/>
    <s v="POARECOUP"/>
    <n v="21329570"/>
    <n v="-6.3"/>
    <m/>
    <s v="Y"/>
    <n v="2"/>
    <d v="2023-07-04T19:38:38"/>
    <s v="N"/>
    <m/>
    <m/>
    <s v="Non Expert Disbursement"/>
    <m/>
    <s v="N"/>
    <n v="0"/>
    <n v="0"/>
    <x v="1"/>
    <s v="VALIDATED"/>
    <n v="1"/>
    <s v="01.11.80.000.0000.0000"/>
    <n v="0"/>
    <s v="11"/>
    <s v="0000"/>
    <n v="14702.89"/>
    <n v="0"/>
    <s v="CREDITOR"/>
    <n v="0"/>
    <n v="0"/>
    <n v="0"/>
    <n v="0"/>
    <n v="0"/>
  </r>
  <r>
    <n v="60870781"/>
    <s v="N"/>
    <n v="21328631"/>
    <s v="3000015095630007RC"/>
    <s v="CIVIL"/>
    <d v="2023-06-13T00:00:00"/>
    <d v="2023-07-04T19:38:21"/>
    <m/>
    <d v="2023-07-04T00:00:00"/>
    <n v="684"/>
    <n v="17252"/>
    <s v="60870781"/>
    <s v="60870781"/>
    <m/>
    <m/>
    <m/>
    <m/>
    <m/>
    <m/>
    <s v="SOLRECOUP"/>
    <s v="SOLRECOUP"/>
    <s v="POARECOUP"/>
    <n v="21328631"/>
    <n v="-18"/>
    <m/>
    <s v="Y"/>
    <n v="1"/>
    <d v="2023-07-04T19:38:22"/>
    <s v="N"/>
    <m/>
    <m/>
    <s v="Non Expert Disbursement"/>
    <m/>
    <s v="N"/>
    <n v="-18"/>
    <n v="0"/>
    <x v="1"/>
    <s v="VALIDATED"/>
    <n v="1"/>
    <s v="01.11.80.308.2013.0000"/>
    <n v="-18"/>
    <s v="11"/>
    <s v="2013"/>
    <n v="14702.89"/>
    <n v="-18"/>
    <s v="CREDITOR"/>
    <n v="0"/>
    <n v="0"/>
    <n v="-18"/>
    <n v="0"/>
    <n v="0"/>
  </r>
  <r>
    <n v="60870781"/>
    <s v="N"/>
    <n v="21328631"/>
    <s v="3000015095630007RC"/>
    <s v="CIVIL"/>
    <d v="2023-06-13T00:00:00"/>
    <d v="2023-07-04T19:38:21"/>
    <m/>
    <d v="2023-07-04T00:00:00"/>
    <n v="684"/>
    <n v="17252"/>
    <s v="60870781"/>
    <s v="60870781"/>
    <m/>
    <m/>
    <m/>
    <m/>
    <m/>
    <m/>
    <s v="SOLRECOUP"/>
    <s v="SOLRECOUP"/>
    <s v="POARECOUP"/>
    <n v="21328631"/>
    <n v="-18"/>
    <m/>
    <s v="Y"/>
    <n v="2"/>
    <d v="2023-07-04T19:38:22"/>
    <s v="N"/>
    <m/>
    <m/>
    <s v="Non Expert Disbursement"/>
    <m/>
    <s v="N"/>
    <n v="0"/>
    <n v="0"/>
    <x v="1"/>
    <s v="VALIDATED"/>
    <n v="1"/>
    <s v="01.11.80.000.0000.0000"/>
    <n v="0"/>
    <s v="11"/>
    <s v="0000"/>
    <n v="14702.89"/>
    <n v="0"/>
    <s v="CREDITOR"/>
    <n v="0"/>
    <n v="0"/>
    <n v="0"/>
    <n v="0"/>
    <n v="0"/>
  </r>
  <r>
    <n v="60870781"/>
    <s v="N"/>
    <n v="21328632"/>
    <s v="3000015095630008RC"/>
    <s v="CIVIL"/>
    <d v="2023-06-13T00:00:00"/>
    <d v="2023-07-04T19:38:21"/>
    <m/>
    <d v="2023-07-04T00:00:00"/>
    <n v="684"/>
    <n v="17252"/>
    <s v="60870781"/>
    <s v="60870781"/>
    <m/>
    <m/>
    <m/>
    <m/>
    <m/>
    <m/>
    <s v="SOLRECOUP"/>
    <s v="SOLRECOUP"/>
    <s v="POARECOUP"/>
    <n v="21328632"/>
    <n v="-6.3"/>
    <m/>
    <s v="Y"/>
    <n v="1"/>
    <d v="2023-07-04T19:38:22"/>
    <s v="N"/>
    <m/>
    <m/>
    <s v="Non Expert Disbursement"/>
    <m/>
    <s v="N"/>
    <n v="-6.3"/>
    <n v="0"/>
    <x v="1"/>
    <s v="VALIDATED"/>
    <n v="1"/>
    <s v="01.11.80.308.2013.0000"/>
    <n v="-6.3"/>
    <s v="11"/>
    <s v="2013"/>
    <n v="14702.89"/>
    <n v="-6.3"/>
    <s v="CREDITOR"/>
    <n v="0"/>
    <n v="0"/>
    <n v="-6.3"/>
    <n v="0"/>
    <n v="0"/>
  </r>
  <r>
    <n v="60870781"/>
    <s v="N"/>
    <n v="21328632"/>
    <s v="3000015095630008RC"/>
    <s v="CIVIL"/>
    <d v="2023-06-13T00:00:00"/>
    <d v="2023-07-04T19:38:21"/>
    <m/>
    <d v="2023-07-04T00:00:00"/>
    <n v="684"/>
    <n v="17252"/>
    <s v="60870781"/>
    <s v="60870781"/>
    <m/>
    <m/>
    <m/>
    <m/>
    <m/>
    <m/>
    <s v="SOLRECOUP"/>
    <s v="SOLRECOUP"/>
    <s v="POARECOUP"/>
    <n v="21328632"/>
    <n v="-6.3"/>
    <m/>
    <s v="Y"/>
    <n v="2"/>
    <d v="2023-07-04T19:38:22"/>
    <s v="N"/>
    <m/>
    <m/>
    <s v="Non Expert Disbursement"/>
    <m/>
    <s v="N"/>
    <n v="0"/>
    <n v="0"/>
    <x v="1"/>
    <s v="VALIDATED"/>
    <n v="1"/>
    <s v="01.11.80.000.0000.0000"/>
    <n v="0"/>
    <s v="11"/>
    <s v="0000"/>
    <n v="14702.89"/>
    <n v="0"/>
    <s v="CREDITOR"/>
    <n v="0"/>
    <n v="0"/>
    <n v="0"/>
    <n v="0"/>
    <n v="0"/>
  </r>
  <r>
    <n v="60870781"/>
    <s v="N"/>
    <n v="21328633"/>
    <s v="3000015095630009RC"/>
    <s v="CIVIL"/>
    <d v="2023-06-13T00:00:00"/>
    <d v="2023-07-04T19:38:21"/>
    <m/>
    <d v="2023-07-04T00:00:00"/>
    <n v="684"/>
    <n v="17252"/>
    <s v="60870781"/>
    <s v="60870781"/>
    <m/>
    <m/>
    <m/>
    <m/>
    <m/>
    <m/>
    <s v="SOLRECOUP"/>
    <s v="SOLRECOUP"/>
    <s v="POARECOUP"/>
    <n v="21328633"/>
    <n v="-18"/>
    <m/>
    <s v="Y"/>
    <n v="1"/>
    <d v="2023-07-04T19:38:22"/>
    <s v="N"/>
    <m/>
    <m/>
    <s v="Non Expert Disbursement"/>
    <m/>
    <s v="N"/>
    <n v="-18"/>
    <n v="0"/>
    <x v="1"/>
    <s v="VALIDATED"/>
    <n v="1"/>
    <s v="01.11.80.308.2013.0000"/>
    <n v="-18"/>
    <s v="11"/>
    <s v="2013"/>
    <n v="14702.89"/>
    <n v="-18"/>
    <s v="CREDITOR"/>
    <n v="0"/>
    <n v="0"/>
    <n v="-18"/>
    <n v="0"/>
    <n v="0"/>
  </r>
  <r>
    <n v="60870781"/>
    <s v="N"/>
    <n v="21328633"/>
    <s v="3000015095630009RC"/>
    <s v="CIVIL"/>
    <d v="2023-06-13T00:00:00"/>
    <d v="2023-07-04T19:38:21"/>
    <m/>
    <d v="2023-07-04T00:00:00"/>
    <n v="684"/>
    <n v="17252"/>
    <s v="60870781"/>
    <s v="60870781"/>
    <m/>
    <m/>
    <m/>
    <m/>
    <m/>
    <m/>
    <s v="SOLRECOUP"/>
    <s v="SOLRECOUP"/>
    <s v="POARECOUP"/>
    <n v="21328633"/>
    <n v="-18"/>
    <m/>
    <s v="Y"/>
    <n v="2"/>
    <d v="2023-07-04T19:38:22"/>
    <s v="N"/>
    <m/>
    <m/>
    <s v="Non Expert Disbursement"/>
    <m/>
    <s v="N"/>
    <n v="0"/>
    <n v="0"/>
    <x v="1"/>
    <s v="VALIDATED"/>
    <n v="1"/>
    <s v="01.11.80.000.0000.0000"/>
    <n v="0"/>
    <s v="11"/>
    <s v="0000"/>
    <n v="14702.89"/>
    <n v="0"/>
    <s v="CREDITOR"/>
    <n v="0"/>
    <n v="0"/>
    <n v="0"/>
    <n v="0"/>
    <n v="0"/>
  </r>
  <r>
    <n v="60870781"/>
    <s v="N"/>
    <n v="21328634"/>
    <s v="3000015095630010RC"/>
    <s v="CIVIL"/>
    <d v="2023-06-13T00:00:00"/>
    <d v="2023-07-04T19:38:21"/>
    <m/>
    <d v="2023-07-04T00:00:00"/>
    <n v="684"/>
    <n v="17252"/>
    <s v="60870781"/>
    <s v="60870781"/>
    <m/>
    <m/>
    <m/>
    <m/>
    <m/>
    <m/>
    <s v="SOLRECOUP"/>
    <s v="SOLRECOUP"/>
    <s v="POARECOUP"/>
    <n v="21328634"/>
    <n v="-3881.45"/>
    <m/>
    <s v="Y"/>
    <n v="1"/>
    <d v="2023-07-04T19:38:22"/>
    <s v="N"/>
    <m/>
    <m/>
    <s v="Profit Cost"/>
    <m/>
    <s v="N"/>
    <n v="-3234.54"/>
    <n v="0"/>
    <x v="1"/>
    <s v="VALIDATED"/>
    <n v="1"/>
    <s v="01.11.80.308.2013.0000"/>
    <n v="-3234.54"/>
    <s v="11"/>
    <s v="2013"/>
    <n v="14702.89"/>
    <n v="-3234.54"/>
    <s v="CREDITOR"/>
    <n v="0"/>
    <n v="0"/>
    <n v="-3234.54"/>
    <n v="-808.635"/>
    <n v="0"/>
  </r>
  <r>
    <n v="60870781"/>
    <s v="N"/>
    <n v="21328634"/>
    <s v="3000015095630010RC"/>
    <s v="CIVIL"/>
    <d v="2023-06-13T00:00:00"/>
    <d v="2023-07-04T19:38:21"/>
    <m/>
    <d v="2023-07-04T00:00:00"/>
    <n v="684"/>
    <n v="17252"/>
    <s v="60870781"/>
    <s v="60870781"/>
    <m/>
    <m/>
    <m/>
    <m/>
    <m/>
    <m/>
    <s v="SOLRECOUP"/>
    <s v="SOLRECOUP"/>
    <s v="POARECOUP"/>
    <n v="21328634"/>
    <n v="-3881.45"/>
    <m/>
    <s v="Y"/>
    <n v="2"/>
    <d v="2023-07-04T19:38:22"/>
    <s v="N"/>
    <m/>
    <m/>
    <s v="Profit Cost"/>
    <m/>
    <s v="N"/>
    <n v="0"/>
    <n v="-646.91"/>
    <x v="1"/>
    <s v="VALIDATED"/>
    <n v="1"/>
    <s v="01.11.80.308.2013.0000"/>
    <n v="-646.91"/>
    <s v="11"/>
    <s v="2013"/>
    <n v="14702.89"/>
    <n v="-646.91"/>
    <s v="CREDITOR"/>
    <n v="0"/>
    <n v="0"/>
    <n v="-646.91"/>
    <n v="-161.7275"/>
    <n v="0"/>
  </r>
  <r>
    <n v="60870781"/>
    <s v="N"/>
    <n v="21328635"/>
    <s v="3000015095630011RC"/>
    <s v="CIVIL"/>
    <d v="2023-06-13T00:00:00"/>
    <d v="2023-07-04T19:38:21"/>
    <m/>
    <d v="2023-07-04T00:00:00"/>
    <n v="684"/>
    <n v="17252"/>
    <s v="60870781"/>
    <s v="60870781"/>
    <m/>
    <m/>
    <m/>
    <m/>
    <m/>
    <m/>
    <s v="SOLRECOUP"/>
    <s v="SOLRECOUP"/>
    <s v="POARECOUP"/>
    <n v="21328635"/>
    <n v="-120.6"/>
    <m/>
    <s v="Y"/>
    <n v="1"/>
    <d v="2023-07-04T19:38:22"/>
    <s v="N"/>
    <m/>
    <m/>
    <s v="Expert Disbursement"/>
    <m/>
    <s v="N"/>
    <n v="-100.5"/>
    <n v="0"/>
    <x v="1"/>
    <s v="VALIDATED"/>
    <n v="1"/>
    <s v="01.11.80.308.2013.0000"/>
    <n v="-100.5"/>
    <s v="11"/>
    <s v="2013"/>
    <n v="14702.89"/>
    <n v="-100.5"/>
    <s v="CREDITOR"/>
    <n v="0"/>
    <n v="0"/>
    <n v="-100.5"/>
    <n v="0"/>
    <n v="0"/>
  </r>
  <r>
    <n v="60870781"/>
    <s v="N"/>
    <n v="21328635"/>
    <s v="3000015095630011RC"/>
    <s v="CIVIL"/>
    <d v="2023-06-13T00:00:00"/>
    <d v="2023-07-04T19:38:21"/>
    <m/>
    <d v="2023-07-04T00:00:00"/>
    <n v="684"/>
    <n v="17252"/>
    <s v="60870781"/>
    <s v="60870781"/>
    <m/>
    <m/>
    <m/>
    <m/>
    <m/>
    <m/>
    <s v="SOLRECOUP"/>
    <s v="SOLRECOUP"/>
    <s v="POARECOUP"/>
    <n v="21328635"/>
    <n v="-120.6"/>
    <m/>
    <s v="Y"/>
    <n v="2"/>
    <d v="2023-07-04T19:38:22"/>
    <s v="N"/>
    <m/>
    <m/>
    <s v="Expert Disbursement"/>
    <m/>
    <s v="N"/>
    <n v="0"/>
    <n v="-20.1"/>
    <x v="1"/>
    <s v="VALIDATED"/>
    <n v="1"/>
    <s v="01.11.80.308.2013.0000"/>
    <n v="-20.1"/>
    <s v="11"/>
    <s v="2013"/>
    <n v="14702.89"/>
    <n v="-20.1"/>
    <s v="CREDITOR"/>
    <n v="0"/>
    <n v="0"/>
    <n v="-20.1"/>
    <n v="0"/>
    <n v="0"/>
  </r>
  <r>
    <n v="60870781"/>
    <s v="N"/>
    <n v="21328636"/>
    <s v="3000015095630013RC"/>
    <s v="CIVIL"/>
    <d v="2023-06-13T00:00:00"/>
    <d v="2023-07-04T19:38:21"/>
    <m/>
    <d v="2023-07-04T00:00:00"/>
    <n v="684"/>
    <n v="17252"/>
    <s v="60870781"/>
    <s v="60870781"/>
    <m/>
    <m/>
    <m/>
    <m/>
    <m/>
    <m/>
    <s v="SOLRECOUP"/>
    <s v="SOLRECOUP"/>
    <s v="POARECOUP"/>
    <n v="21328636"/>
    <n v="-6.3"/>
    <m/>
    <s v="Y"/>
    <n v="1"/>
    <d v="2023-07-04T19:38:22"/>
    <s v="N"/>
    <m/>
    <m/>
    <s v="Non Expert Disbursement"/>
    <m/>
    <s v="N"/>
    <n v="-6.3"/>
    <n v="0"/>
    <x v="1"/>
    <s v="VALIDATED"/>
    <n v="1"/>
    <s v="01.11.80.308.2013.0000"/>
    <n v="-6.3"/>
    <s v="11"/>
    <s v="2013"/>
    <n v="14702.89"/>
    <n v="-6.3"/>
    <s v="CREDITOR"/>
    <n v="0"/>
    <n v="0"/>
    <n v="-6.3"/>
    <n v="0"/>
    <n v="0"/>
  </r>
  <r>
    <n v="60870781"/>
    <s v="N"/>
    <n v="21328636"/>
    <s v="3000015095630013RC"/>
    <s v="CIVIL"/>
    <d v="2023-06-13T00:00:00"/>
    <d v="2023-07-04T19:38:21"/>
    <m/>
    <d v="2023-07-04T00:00:00"/>
    <n v="684"/>
    <n v="17252"/>
    <s v="60870781"/>
    <s v="60870781"/>
    <m/>
    <m/>
    <m/>
    <m/>
    <m/>
    <m/>
    <s v="SOLRECOUP"/>
    <s v="SOLRECOUP"/>
    <s v="POARECOUP"/>
    <n v="21328636"/>
    <n v="-6.3"/>
    <m/>
    <s v="Y"/>
    <n v="2"/>
    <d v="2023-07-04T19:38:22"/>
    <s v="N"/>
    <m/>
    <m/>
    <s v="Non Expert Disbursement"/>
    <m/>
    <s v="N"/>
    <n v="0"/>
    <n v="0"/>
    <x v="1"/>
    <s v="VALIDATED"/>
    <n v="1"/>
    <s v="01.11.80.000.0000.0000"/>
    <n v="0"/>
    <s v="11"/>
    <s v="0000"/>
    <n v="14702.89"/>
    <n v="0"/>
    <s v="CREDITOR"/>
    <n v="0"/>
    <n v="0"/>
    <n v="0"/>
    <n v="0"/>
    <n v="0"/>
  </r>
  <r>
    <n v="60870781"/>
    <s v="N"/>
    <n v="21328637"/>
    <s v="3000015095630012RC"/>
    <s v="CIVIL"/>
    <d v="2023-06-13T00:00:00"/>
    <d v="2023-07-04T19:38:21"/>
    <m/>
    <d v="2023-07-04T00:00:00"/>
    <n v="684"/>
    <n v="17252"/>
    <s v="60870781"/>
    <s v="60870781"/>
    <m/>
    <m/>
    <m/>
    <m/>
    <m/>
    <m/>
    <s v="SOLRECOUP"/>
    <s v="SOLRECOUP"/>
    <s v="POARECOUP"/>
    <n v="21328637"/>
    <n v="-5.1"/>
    <m/>
    <s v="Y"/>
    <n v="1"/>
    <d v="2023-07-04T19:38:22"/>
    <s v="N"/>
    <m/>
    <m/>
    <s v="Non Expert Disbursement"/>
    <m/>
    <s v="N"/>
    <n v="-5.1"/>
    <n v="0"/>
    <x v="1"/>
    <s v="VALIDATED"/>
    <n v="1"/>
    <s v="01.11.80.308.2013.0000"/>
    <n v="-5.1"/>
    <s v="11"/>
    <s v="2013"/>
    <n v="14702.89"/>
    <n v="-5.1"/>
    <s v="CREDITOR"/>
    <n v="0"/>
    <n v="0"/>
    <n v="-5.1"/>
    <n v="0"/>
    <n v="0"/>
  </r>
  <r>
    <n v="60870781"/>
    <s v="N"/>
    <n v="21328637"/>
    <s v="3000015095630012RC"/>
    <s v="CIVIL"/>
    <d v="2023-06-13T00:00:00"/>
    <d v="2023-07-04T19:38:21"/>
    <m/>
    <d v="2023-07-04T00:00:00"/>
    <n v="684"/>
    <n v="17252"/>
    <s v="60870781"/>
    <s v="60870781"/>
    <m/>
    <m/>
    <m/>
    <m/>
    <m/>
    <m/>
    <s v="SOLRECOUP"/>
    <s v="SOLRECOUP"/>
    <s v="POARECOUP"/>
    <n v="21328637"/>
    <n v="-5.1"/>
    <m/>
    <s v="Y"/>
    <n v="2"/>
    <d v="2023-07-04T19:38:22"/>
    <s v="N"/>
    <m/>
    <m/>
    <s v="Non Expert Disbursement"/>
    <m/>
    <s v="N"/>
    <n v="0"/>
    <n v="0"/>
    <x v="1"/>
    <s v="VALIDATED"/>
    <n v="1"/>
    <s v="01.11.80.000.0000.0000"/>
    <n v="0"/>
    <s v="11"/>
    <s v="0000"/>
    <n v="14702.89"/>
    <n v="0"/>
    <s v="CREDITOR"/>
    <n v="0"/>
    <n v="0"/>
    <n v="0"/>
    <n v="0"/>
    <n v="0"/>
  </r>
  <r>
    <n v="60870781"/>
    <s v="N"/>
    <n v="21328638"/>
    <s v="3000015095630016RC"/>
    <s v="CIVIL"/>
    <d v="2023-06-13T00:00:00"/>
    <d v="2023-07-04T19:38:21"/>
    <m/>
    <d v="2023-07-04T00:00:00"/>
    <n v="684"/>
    <n v="17252"/>
    <s v="60870781"/>
    <s v="60870781"/>
    <m/>
    <m/>
    <m/>
    <m/>
    <m/>
    <m/>
    <s v="SOLRECOUP"/>
    <s v="SOLRECOUP"/>
    <s v="POARECOUP"/>
    <n v="21328638"/>
    <n v="-9"/>
    <m/>
    <s v="Y"/>
    <n v="1"/>
    <d v="2023-07-04T19:38:22"/>
    <s v="N"/>
    <m/>
    <m/>
    <s v="Non Expert Disbursement"/>
    <m/>
    <s v="N"/>
    <n v="-9"/>
    <n v="0"/>
    <x v="1"/>
    <s v="VALIDATED"/>
    <n v="1"/>
    <s v="01.11.80.308.2013.0000"/>
    <n v="-9"/>
    <s v="11"/>
    <s v="2013"/>
    <n v="14702.89"/>
    <n v="-9"/>
    <s v="CREDITOR"/>
    <n v="0"/>
    <n v="0"/>
    <n v="-9"/>
    <n v="0"/>
    <n v="0"/>
  </r>
  <r>
    <n v="60870781"/>
    <s v="N"/>
    <n v="21328638"/>
    <s v="3000015095630016RC"/>
    <s v="CIVIL"/>
    <d v="2023-06-13T00:00:00"/>
    <d v="2023-07-04T19:38:21"/>
    <m/>
    <d v="2023-07-04T00:00:00"/>
    <n v="684"/>
    <n v="17252"/>
    <s v="60870781"/>
    <s v="60870781"/>
    <m/>
    <m/>
    <m/>
    <m/>
    <m/>
    <m/>
    <s v="SOLRECOUP"/>
    <s v="SOLRECOUP"/>
    <s v="POARECOUP"/>
    <n v="21328638"/>
    <n v="-9"/>
    <m/>
    <s v="Y"/>
    <n v="2"/>
    <d v="2023-07-04T19:38:22"/>
    <s v="N"/>
    <m/>
    <m/>
    <s v="Non Expert Disbursement"/>
    <m/>
    <s v="N"/>
    <n v="0"/>
    <n v="0"/>
    <x v="1"/>
    <s v="VALIDATED"/>
    <n v="1"/>
    <s v="01.11.80.000.0000.0000"/>
    <n v="0"/>
    <s v="11"/>
    <s v="0000"/>
    <n v="14702.89"/>
    <n v="0"/>
    <s v="CREDITOR"/>
    <n v="0"/>
    <n v="0"/>
    <n v="0"/>
    <n v="0"/>
    <n v="0"/>
  </r>
  <r>
    <n v="60870781"/>
    <s v="N"/>
    <n v="21328639"/>
    <s v="3000015095630017RC"/>
    <s v="CIVIL"/>
    <d v="2023-06-13T00:00:00"/>
    <d v="2023-07-04T19:38:21"/>
    <m/>
    <d v="2023-07-04T00:00:00"/>
    <n v="684"/>
    <n v="17252"/>
    <s v="60870781"/>
    <s v="60870781"/>
    <m/>
    <m/>
    <m/>
    <m/>
    <m/>
    <m/>
    <s v="SOLRECOUP"/>
    <s v="SOLRECOUP"/>
    <s v="POARECOUP"/>
    <n v="21328639"/>
    <n v="-6.3"/>
    <m/>
    <s v="Y"/>
    <n v="1"/>
    <d v="2023-07-04T19:38:22"/>
    <s v="N"/>
    <m/>
    <m/>
    <s v="Non Expert Disbursement"/>
    <m/>
    <s v="N"/>
    <n v="-6.3"/>
    <n v="0"/>
    <x v="1"/>
    <s v="VALIDATED"/>
    <n v="1"/>
    <s v="01.11.80.308.2013.0000"/>
    <n v="-6.3"/>
    <s v="11"/>
    <s v="2013"/>
    <n v="14702.89"/>
    <n v="-6.3"/>
    <s v="CREDITOR"/>
    <n v="0"/>
    <n v="0"/>
    <n v="-6.3"/>
    <n v="0"/>
    <n v="0"/>
  </r>
  <r>
    <n v="61240702"/>
    <s v="N"/>
    <n v="21339933"/>
    <s v="3000015408220001RC"/>
    <s v="CIVIL"/>
    <d v="2023-06-29T00:00:00"/>
    <d v="2023-07-06T19:54:22"/>
    <m/>
    <d v="2023-07-06T00:00:00"/>
    <n v="684"/>
    <n v="17252"/>
    <s v="61240702"/>
    <s v="61240702"/>
    <m/>
    <m/>
    <m/>
    <m/>
    <m/>
    <m/>
    <s v="SOLRECOUP"/>
    <s v="SOLRECOUP"/>
    <s v="POARECOUP"/>
    <n v="21339933"/>
    <n v="-320"/>
    <m/>
    <s v="Y"/>
    <n v="1"/>
    <d v="2023-07-06T19:54:23"/>
    <s v="N"/>
    <m/>
    <m/>
    <s v="Expert Disbursement"/>
    <m/>
    <s v="N"/>
    <n v="-266.67"/>
    <n v="0"/>
    <x v="4"/>
    <s v="VALIDATED"/>
    <n v="1"/>
    <s v="01.11.80.308.2013.0000"/>
    <n v="-266.67"/>
    <s v="11"/>
    <s v="2013"/>
    <n v="14702.89"/>
    <n v="-266.67"/>
    <s v="CREDITOR"/>
    <n v="0"/>
    <n v="0"/>
    <n v="-266.67"/>
    <n v="0"/>
    <n v="0"/>
  </r>
  <r>
    <n v="61240702"/>
    <s v="N"/>
    <n v="21339933"/>
    <s v="3000015408220001RC"/>
    <s v="CIVIL"/>
    <d v="2023-06-29T00:00:00"/>
    <d v="2023-07-06T19:54:22"/>
    <m/>
    <d v="2023-07-06T00:00:00"/>
    <n v="684"/>
    <n v="17252"/>
    <s v="61240702"/>
    <s v="61240702"/>
    <m/>
    <m/>
    <m/>
    <m/>
    <m/>
    <m/>
    <s v="SOLRECOUP"/>
    <s v="SOLRECOUP"/>
    <s v="POARECOUP"/>
    <n v="21339933"/>
    <n v="-320"/>
    <m/>
    <s v="Y"/>
    <n v="2"/>
    <d v="2023-07-06T19:54:23"/>
    <s v="N"/>
    <m/>
    <m/>
    <s v="Expert Disbursement"/>
    <m/>
    <s v="N"/>
    <n v="0"/>
    <n v="-53.33"/>
    <x v="4"/>
    <s v="VALIDATED"/>
    <n v="1"/>
    <s v="01.11.80.308.2013.0000"/>
    <n v="-53.33"/>
    <s v="11"/>
    <s v="2013"/>
    <n v="14702.89"/>
    <n v="-53.33"/>
    <s v="CREDITOR"/>
    <n v="0"/>
    <n v="0"/>
    <n v="-53.33"/>
    <n v="0"/>
    <n v="0"/>
  </r>
  <r>
    <n v="61240702"/>
    <s v="N"/>
    <n v="21339934"/>
    <s v="3000015408220003RC"/>
    <s v="CIVIL"/>
    <d v="2023-06-29T00:00:00"/>
    <d v="2023-07-06T19:54:22"/>
    <m/>
    <d v="2023-07-06T00:00:00"/>
    <n v="684"/>
    <n v="17252"/>
    <s v="61240702"/>
    <s v="61240702"/>
    <m/>
    <m/>
    <m/>
    <m/>
    <m/>
    <m/>
    <s v="SOLRECOUP"/>
    <s v="SOLRECOUP"/>
    <s v="POARECOUP"/>
    <n v="21339934"/>
    <n v="-16.2"/>
    <m/>
    <s v="Y"/>
    <n v="1"/>
    <d v="2023-07-06T19:54:23"/>
    <s v="N"/>
    <m/>
    <m/>
    <s v="Non Expert Disbursement"/>
    <m/>
    <s v="N"/>
    <n v="-16.2"/>
    <n v="0"/>
    <x v="4"/>
    <s v="VALIDATED"/>
    <n v="1"/>
    <s v="01.11.80.308.2013.0000"/>
    <n v="-16.2"/>
    <s v="11"/>
    <s v="2013"/>
    <n v="14702.89"/>
    <n v="-16.2"/>
    <s v="CREDITOR"/>
    <n v="0"/>
    <n v="0"/>
    <n v="-16.2"/>
    <n v="0"/>
    <n v="0"/>
  </r>
  <r>
    <n v="61240702"/>
    <s v="N"/>
    <n v="21339934"/>
    <s v="3000015408220003RC"/>
    <s v="CIVIL"/>
    <d v="2023-06-29T00:00:00"/>
    <d v="2023-07-06T19:54:22"/>
    <m/>
    <d v="2023-07-06T00:00:00"/>
    <n v="684"/>
    <n v="17252"/>
    <s v="61240702"/>
    <s v="61240702"/>
    <m/>
    <m/>
    <m/>
    <m/>
    <m/>
    <m/>
    <s v="SOLRECOUP"/>
    <s v="SOLRECOUP"/>
    <s v="POARECOUP"/>
    <n v="21339934"/>
    <n v="-16.2"/>
    <m/>
    <s v="Y"/>
    <n v="2"/>
    <d v="2023-07-06T19:54:23"/>
    <s v="N"/>
    <m/>
    <m/>
    <s v="Non Expert Disbursement"/>
    <m/>
    <s v="N"/>
    <n v="0"/>
    <n v="0"/>
    <x v="4"/>
    <s v="VALIDATED"/>
    <n v="1"/>
    <s v="01.11.80.000.0000.0000"/>
    <n v="0"/>
    <s v="11"/>
    <s v="0000"/>
    <n v="14702.89"/>
    <n v="0"/>
    <s v="CREDITOR"/>
    <n v="0"/>
    <n v="0"/>
    <n v="0"/>
    <n v="0"/>
    <n v="0"/>
  </r>
  <r>
    <n v="61240702"/>
    <s v="N"/>
    <n v="21339935"/>
    <s v="3000015408220002RC"/>
    <s v="CIVIL"/>
    <d v="2023-06-29T00:00:00"/>
    <d v="2023-07-06T19:54:22"/>
    <m/>
    <d v="2023-07-06T00:00:00"/>
    <n v="684"/>
    <n v="17252"/>
    <s v="61240702"/>
    <s v="61240702"/>
    <m/>
    <m/>
    <m/>
    <m/>
    <m/>
    <m/>
    <s v="SOLRECOUP"/>
    <s v="SOLRECOUP"/>
    <s v="POARECOUP"/>
    <n v="21339935"/>
    <n v="-5"/>
    <m/>
    <s v="Y"/>
    <n v="1"/>
    <d v="2023-07-06T19:54:23"/>
    <s v="N"/>
    <m/>
    <m/>
    <s v="Non Expert Disbursement"/>
    <m/>
    <s v="N"/>
    <n v="-5"/>
    <n v="0"/>
    <x v="4"/>
    <s v="VALIDATED"/>
    <n v="1"/>
    <s v="01.11.80.308.2013.0000"/>
    <n v="-5"/>
    <s v="11"/>
    <s v="2013"/>
    <n v="14702.89"/>
    <n v="-5"/>
    <s v="CREDITOR"/>
    <n v="0"/>
    <n v="0"/>
    <n v="-5"/>
    <n v="0"/>
    <n v="0"/>
  </r>
  <r>
    <n v="61240702"/>
    <s v="N"/>
    <n v="21339935"/>
    <s v="3000015408220002RC"/>
    <s v="CIVIL"/>
    <d v="2023-06-29T00:00:00"/>
    <d v="2023-07-06T19:54:22"/>
    <m/>
    <d v="2023-07-06T00:00:00"/>
    <n v="684"/>
    <n v="17252"/>
    <s v="61240702"/>
    <s v="61240702"/>
    <m/>
    <m/>
    <m/>
    <m/>
    <m/>
    <m/>
    <s v="SOLRECOUP"/>
    <s v="SOLRECOUP"/>
    <s v="POARECOUP"/>
    <n v="21339935"/>
    <n v="-5"/>
    <m/>
    <s v="Y"/>
    <n v="2"/>
    <d v="2023-07-06T19:54:23"/>
    <s v="N"/>
    <m/>
    <m/>
    <s v="Non Expert Disbursement"/>
    <m/>
    <s v="N"/>
    <n v="0"/>
    <n v="0"/>
    <x v="4"/>
    <s v="VALIDATED"/>
    <n v="1"/>
    <s v="01.11.80.000.0000.0000"/>
    <n v="0"/>
    <s v="11"/>
    <s v="0000"/>
    <n v="14702.89"/>
    <n v="0"/>
    <s v="CREDITOR"/>
    <n v="0"/>
    <n v="0"/>
    <n v="0"/>
    <n v="0"/>
    <n v="0"/>
  </r>
  <r>
    <n v="60020592"/>
    <s v="N"/>
    <n v="21356417"/>
    <s v="3000014362010008RC"/>
    <s v="CIVIL"/>
    <d v="2023-06-23T00:00:00"/>
    <d v="2023-07-10T19:47:44"/>
    <m/>
    <d v="2023-07-10T00:00:00"/>
    <n v="684"/>
    <n v="17252"/>
    <s v="60020592"/>
    <s v="60020592"/>
    <m/>
    <m/>
    <m/>
    <m/>
    <m/>
    <m/>
    <s v="SOLRECOUP"/>
    <s v="SOLRECOUP"/>
    <s v="POARECOUP"/>
    <n v="21356417"/>
    <n v="-936"/>
    <m/>
    <s v="Y"/>
    <n v="1"/>
    <d v="2023-07-10T19:47:45"/>
    <s v="N"/>
    <m/>
    <m/>
    <s v="Expert Disbursement"/>
    <m/>
    <s v="N"/>
    <n v="-780"/>
    <n v="0"/>
    <x v="2"/>
    <s v="VALIDATED"/>
    <n v="1"/>
    <s v="01.11.80.308.2013.0000"/>
    <n v="-780"/>
    <s v="11"/>
    <s v="2013"/>
    <n v="14702.89"/>
    <n v="-780"/>
    <s v="CREDITOR"/>
    <n v="0"/>
    <n v="0"/>
    <n v="-780"/>
    <n v="0"/>
    <n v="0"/>
  </r>
  <r>
    <n v="60020592"/>
    <s v="N"/>
    <n v="21356417"/>
    <s v="3000014362010008RC"/>
    <s v="CIVIL"/>
    <d v="2023-06-23T00:00:00"/>
    <d v="2023-07-10T19:47:44"/>
    <m/>
    <d v="2023-07-10T00:00:00"/>
    <n v="684"/>
    <n v="17252"/>
    <s v="60020592"/>
    <s v="60020592"/>
    <m/>
    <m/>
    <m/>
    <m/>
    <m/>
    <m/>
    <s v="SOLRECOUP"/>
    <s v="SOLRECOUP"/>
    <s v="POARECOUP"/>
    <n v="21356417"/>
    <n v="-936"/>
    <m/>
    <s v="Y"/>
    <n v="2"/>
    <d v="2023-07-10T19:47:45"/>
    <s v="N"/>
    <m/>
    <m/>
    <s v="Expert Disbursement"/>
    <m/>
    <s v="N"/>
    <n v="0"/>
    <n v="-156"/>
    <x v="2"/>
    <s v="VALIDATED"/>
    <n v="1"/>
    <s v="01.11.80.308.2013.0000"/>
    <n v="-156"/>
    <s v="11"/>
    <s v="2013"/>
    <n v="14702.89"/>
    <n v="-156"/>
    <s v="CREDITOR"/>
    <n v="0"/>
    <n v="0"/>
    <n v="-156"/>
    <n v="0"/>
    <n v="0"/>
  </r>
  <r>
    <n v="60020592"/>
    <s v="N"/>
    <n v="21356418"/>
    <s v="3000014362010006RC"/>
    <s v="CIVIL"/>
    <d v="2023-06-23T00:00:00"/>
    <d v="2023-07-10T19:47:44"/>
    <m/>
    <d v="2023-07-10T00:00:00"/>
    <n v="684"/>
    <n v="17252"/>
    <s v="60020592"/>
    <s v="60020592"/>
    <m/>
    <m/>
    <m/>
    <m/>
    <m/>
    <m/>
    <s v="SOLRECOUP"/>
    <s v="SOLRECOUP"/>
    <s v="POARECOUP"/>
    <n v="21356418"/>
    <n v="-167"/>
    <m/>
    <s v="Y"/>
    <n v="1"/>
    <d v="2023-07-10T19:47:45"/>
    <s v="N"/>
    <m/>
    <m/>
    <s v="Non Expert Disbursement"/>
    <m/>
    <s v="N"/>
    <n v="-167"/>
    <n v="0"/>
    <x v="2"/>
    <s v="VALIDATED"/>
    <n v="1"/>
    <s v="01.11.80.308.2013.0000"/>
    <n v="-167"/>
    <s v="11"/>
    <s v="2013"/>
    <n v="14702.89"/>
    <n v="-167"/>
    <s v="CREDITOR"/>
    <n v="0"/>
    <n v="0"/>
    <n v="-167"/>
    <n v="0"/>
    <n v="0"/>
  </r>
  <r>
    <n v="60020592"/>
    <s v="N"/>
    <n v="21356418"/>
    <s v="3000014362010006RC"/>
    <s v="CIVIL"/>
    <d v="2023-06-23T00:00:00"/>
    <d v="2023-07-10T19:47:44"/>
    <m/>
    <d v="2023-07-10T00:00:00"/>
    <n v="684"/>
    <n v="17252"/>
    <s v="60020592"/>
    <s v="60020592"/>
    <m/>
    <m/>
    <m/>
    <m/>
    <m/>
    <m/>
    <s v="SOLRECOUP"/>
    <s v="SOLRECOUP"/>
    <s v="POARECOUP"/>
    <n v="21356418"/>
    <n v="-167"/>
    <m/>
    <s v="Y"/>
    <n v="2"/>
    <d v="2023-07-10T19:47:45"/>
    <s v="N"/>
    <m/>
    <m/>
    <s v="Non Expert Disbursement"/>
    <m/>
    <s v="N"/>
    <n v="0"/>
    <n v="0"/>
    <x v="2"/>
    <s v="VALIDATED"/>
    <n v="1"/>
    <s v="01.11.80.000.0000.0000"/>
    <n v="0"/>
    <s v="11"/>
    <s v="0000"/>
    <n v="14702.89"/>
    <n v="0"/>
    <s v="CREDITOR"/>
    <n v="0"/>
    <n v="0"/>
    <n v="0"/>
    <n v="0"/>
    <n v="0"/>
  </r>
  <r>
    <n v="60870781"/>
    <s v="N"/>
    <n v="21327696"/>
    <s v="3000015095630019"/>
    <s v="CIVIL"/>
    <d v="2023-06-13T00:00:00"/>
    <d v="2023-07-04T19:00:44"/>
    <m/>
    <d v="2023-07-04T00:00:00"/>
    <n v="684"/>
    <n v="17252"/>
    <s v="60870781"/>
    <s v="60870781"/>
    <m/>
    <m/>
    <n v="22678414"/>
    <m/>
    <m/>
    <m/>
    <s v="SOLFIN"/>
    <s v="SOLFIN"/>
    <s v="CCMS"/>
    <n v="21327696"/>
    <n v="13458.38"/>
    <m/>
    <s v="N"/>
    <n v="7"/>
    <d v="2023-07-04T19:00:52"/>
    <s v="Y"/>
    <s v="Hearing Unit 1.01 - 2.30 Hours"/>
    <s v="Public Law Children"/>
    <s v="Advocacy"/>
    <s v="LISA WILKES"/>
    <s v="Y"/>
    <n v="238.46"/>
    <n v="47.69"/>
    <x v="1"/>
    <s v="VALIDATED"/>
    <n v="1"/>
    <s v="01.11.80.308.6100.0000"/>
    <n v="238.46"/>
    <s v="11"/>
    <s v="6100"/>
    <n v="14702.89"/>
    <n v="238.46"/>
    <s v="CREDITOR"/>
    <n v="0"/>
    <n v="0"/>
    <n v="0"/>
    <n v="0"/>
    <n v="238.46"/>
  </r>
  <r>
    <n v="60020592"/>
    <s v="N"/>
    <n v="21349562"/>
    <s v="3000014362010021"/>
    <s v="CIVIL"/>
    <d v="2023-06-23T00:00:00"/>
    <d v="2023-07-10T19:01:40"/>
    <m/>
    <d v="2023-07-10T00:00:00"/>
    <n v="684"/>
    <n v="17252"/>
    <s v="60020592"/>
    <s v="60020592"/>
    <m/>
    <m/>
    <n v="22751294"/>
    <m/>
    <m/>
    <m/>
    <s v="SOLFIN"/>
    <s v="SOLFIN"/>
    <s v="CCMS"/>
    <n v="21349562"/>
    <n v="25487.5"/>
    <m/>
    <s v="N"/>
    <n v="9"/>
    <d v="2023-07-10T19:01:53"/>
    <s v="Y"/>
    <s v="Advocates Meeting"/>
    <s v="Public Law Children"/>
    <s v="Advocacy"/>
    <s v="LISA WILKES"/>
    <s v="Y"/>
    <n v="140.99"/>
    <n v="28.2"/>
    <x v="2"/>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12"/>
    <d v="2023-07-11T19:00:37"/>
    <s v="Y"/>
    <s v="Hearing Unit 2.31 - 5.00 Hours"/>
    <s v="Public Law Children"/>
    <s v="Advocacy"/>
    <s v="LISA WILKES"/>
    <s v="Y"/>
    <n v="476.92"/>
    <n v="95.38"/>
    <x v="7"/>
    <s v="VALIDATED"/>
    <n v="1"/>
    <s v="01.11.80.308.6100.0000"/>
    <n v="476.92"/>
    <s v="11"/>
    <s v="6100"/>
    <n v="14702.89"/>
    <n v="476.92"/>
    <s v="CREDITOR"/>
    <n v="0"/>
    <n v="0"/>
    <n v="0"/>
    <n v="0"/>
    <n v="476.92"/>
  </r>
  <r>
    <n v="61396010"/>
    <s v="N"/>
    <n v="21360839"/>
    <s v="3000015539060006"/>
    <s v="CIVIL"/>
    <d v="2023-06-30T00:00:00"/>
    <d v="2023-07-11T19:00:25"/>
    <m/>
    <d v="2023-07-11T00:00:00"/>
    <n v="684"/>
    <n v="17252"/>
    <s v="61396010"/>
    <s v="61396010"/>
    <m/>
    <m/>
    <n v="22799474"/>
    <m/>
    <m/>
    <m/>
    <s v="SOLFIN"/>
    <s v="SOLFIN"/>
    <s v="CCMS"/>
    <n v="21360839"/>
    <n v="7595.3"/>
    <m/>
    <s v="N"/>
    <n v="3"/>
    <d v="2023-07-11T19:00:37"/>
    <s v="Y"/>
    <s v="Exceptional Travel"/>
    <s v="Public Law Children"/>
    <s v="Advocacy"/>
    <s v="CAROLYN BAWDEN-FROST"/>
    <s v="Y"/>
    <n v="32.04"/>
    <n v="6.41"/>
    <x v="7"/>
    <s v="VALIDATED"/>
    <n v="1"/>
    <s v="01.11.80.308.6100.0000"/>
    <n v="32.04"/>
    <s v="11"/>
    <s v="6100"/>
    <n v="14702.89"/>
    <n v="32.04"/>
    <s v="CREDITOR"/>
    <n v="0"/>
    <n v="0"/>
    <n v="0"/>
    <n v="0"/>
    <n v="32.04"/>
  </r>
  <r>
    <n v="60870781"/>
    <s v="N"/>
    <n v="21327696"/>
    <s v="3000015095630019"/>
    <s v="CIVIL"/>
    <d v="2023-06-13T00:00:00"/>
    <d v="2023-07-04T19:00:44"/>
    <m/>
    <d v="2023-07-04T00:00:00"/>
    <n v="684"/>
    <n v="17252"/>
    <s v="60870781"/>
    <s v="60870781"/>
    <m/>
    <m/>
    <n v="22678414"/>
    <m/>
    <m/>
    <m/>
    <s v="SOLFIN"/>
    <s v="SOLFIN"/>
    <s v="CCMS"/>
    <n v="21327696"/>
    <n v="13458.38"/>
    <m/>
    <s v="N"/>
    <n v="12"/>
    <d v="2023-07-04T19:00:52"/>
    <s v="Y"/>
    <s v="Advocates Meeting"/>
    <s v="Public Law Children"/>
    <s v="Advocacy"/>
    <s v="LISA WILKES"/>
    <s v="Y"/>
    <n v="140.99"/>
    <n v="28.2"/>
    <x v="1"/>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9"/>
    <d v="2023-07-11T19:00:37"/>
    <s v="Y"/>
    <s v="Solicitor Travel Expenses"/>
    <s v="Public Law Children"/>
    <s v="Non Expert Disbursement"/>
    <s v="CAROLYN BAWDEN-FROST"/>
    <s v="Y"/>
    <n v="2.7"/>
    <n v="0.54"/>
    <x v="7"/>
    <s v="VALIDATED"/>
    <n v="1"/>
    <s v="01.11.80.308.6300.0000"/>
    <n v="2.7"/>
    <s v="11"/>
    <s v="6300"/>
    <n v="14702.89"/>
    <n v="2.7"/>
    <s v="CREDITOR"/>
    <n v="0"/>
    <n v="0"/>
    <n v="0"/>
    <n v="0"/>
    <n v="2.7"/>
  </r>
  <r>
    <n v="60472477"/>
    <s v="N"/>
    <n v="21338065"/>
    <s v="3000014727500003"/>
    <s v="CIVIL"/>
    <d v="2023-06-30T00:00:00"/>
    <d v="2023-07-06T19:21:01"/>
    <m/>
    <d v="2023-07-06T00:00:00"/>
    <n v="684"/>
    <n v="17252"/>
    <s v="60472477"/>
    <s v="60472477"/>
    <m/>
    <m/>
    <n v="22795230"/>
    <m/>
    <m/>
    <m/>
    <s v="SOLPOA"/>
    <s v="SOLPOA"/>
    <s v="CCMS"/>
    <n v="21338065"/>
    <n v="1657.08"/>
    <m/>
    <s v="N"/>
    <n v="1"/>
    <d v="2023-07-06T19:21:11"/>
    <s v="N"/>
    <s v="Level 3 Fixed Fee"/>
    <s v="Private Law Children"/>
    <s v="Profit Cost"/>
    <s v="Melody Brown"/>
    <s v="N"/>
    <n v="1380.9"/>
    <n v="276.18"/>
    <x v="4"/>
    <s v="VALIDATED"/>
    <n v="1"/>
    <s v="01.11.80.307.2012.0000"/>
    <n v="1380.9"/>
    <s v="11"/>
    <s v="2012"/>
    <n v="14702.89"/>
    <n v="1380.9"/>
    <s v="CREDITOR"/>
    <n v="1380.9"/>
    <n v="345.225"/>
    <n v="0"/>
    <n v="0"/>
    <n v="0"/>
  </r>
  <r>
    <n v="60870781"/>
    <s v="N"/>
    <n v="21327696"/>
    <s v="3000015095630019"/>
    <s v="CIVIL"/>
    <d v="2023-06-13T00:00:00"/>
    <d v="2023-07-04T19:00:44"/>
    <m/>
    <d v="2023-07-04T00:00:00"/>
    <n v="684"/>
    <n v="17252"/>
    <s v="60870781"/>
    <s v="60870781"/>
    <m/>
    <m/>
    <n v="22678414"/>
    <m/>
    <m/>
    <m/>
    <s v="SOLFIN"/>
    <s v="SOLFIN"/>
    <s v="CCMS"/>
    <n v="21327696"/>
    <n v="13458.38"/>
    <m/>
    <s v="N"/>
    <n v="4"/>
    <d v="2023-07-04T19:00:52"/>
    <s v="Y"/>
    <s v="Disbursements (Summary)"/>
    <s v="Public Law Children"/>
    <s v="Non Expert Disbursement"/>
    <s v="LISA WILKES"/>
    <s v="Y"/>
    <n v="497.79"/>
    <n v="0"/>
    <x v="1"/>
    <s v="VALIDATED"/>
    <n v="1"/>
    <s v="01.11.80.308.6300.0000"/>
    <n v="497.79"/>
    <s v="11"/>
    <s v="6300"/>
    <n v="14702.89"/>
    <n v="497.79"/>
    <s v="CREDITOR"/>
    <n v="0"/>
    <n v="0"/>
    <n v="0"/>
    <n v="0"/>
    <n v="497.79"/>
  </r>
  <r>
    <n v="61396010"/>
    <s v="N"/>
    <n v="21360839"/>
    <s v="3000015539060006"/>
    <s v="CIVIL"/>
    <d v="2023-06-30T00:00:00"/>
    <d v="2023-07-11T19:00:25"/>
    <m/>
    <d v="2023-07-11T00:00:00"/>
    <n v="684"/>
    <n v="17252"/>
    <s v="61396010"/>
    <s v="61396010"/>
    <m/>
    <m/>
    <n v="22799474"/>
    <m/>
    <m/>
    <m/>
    <s v="SOLFIN"/>
    <s v="SOLFIN"/>
    <s v="CCMS"/>
    <n v="21360839"/>
    <n v="7595.3"/>
    <m/>
    <s v="N"/>
    <n v="18"/>
    <d v="2023-07-11T19:00:37"/>
    <s v="Y"/>
    <s v="Advocates Meeting"/>
    <s v="Public Law Children"/>
    <s v="Advocacy"/>
    <s v="LISA WILKES"/>
    <s v="Y"/>
    <n v="140.99"/>
    <n v="28.2"/>
    <x v="7"/>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11"/>
    <d v="2023-07-11T19:00:37"/>
    <s v="Y"/>
    <s v="Hearing Unit 2.31 - 5.00 Hours"/>
    <s v="Public Law Children"/>
    <s v="Advocacy"/>
    <s v="LISA WILKES"/>
    <s v="Y"/>
    <n v="476.92"/>
    <n v="95.38"/>
    <x v="7"/>
    <s v="VALIDATED"/>
    <n v="1"/>
    <s v="01.11.80.308.6100.0000"/>
    <n v="476.92"/>
    <s v="11"/>
    <s v="6100"/>
    <n v="14702.89"/>
    <n v="476.92"/>
    <s v="CREDITOR"/>
    <n v="0"/>
    <n v="0"/>
    <n v="0"/>
    <n v="0"/>
    <n v="476.92"/>
  </r>
  <r>
    <n v="61169541"/>
    <s v="N"/>
    <n v="21350116"/>
    <s v="3000015350570009"/>
    <s v="CIVIL"/>
    <d v="2023-06-30T00:00:00"/>
    <d v="2023-07-10T19:01:40"/>
    <m/>
    <d v="2023-07-10T00:00:00"/>
    <n v="684"/>
    <n v="17252"/>
    <s v="61169541"/>
    <s v="61169541"/>
    <m/>
    <m/>
    <n v="22799486"/>
    <m/>
    <m/>
    <m/>
    <s v="SOLFIN"/>
    <s v="SOLFIN"/>
    <s v="CCMS"/>
    <n v="21350116"/>
    <n v="7264.96"/>
    <m/>
    <s v="N"/>
    <n v="11"/>
    <d v="2023-07-10T19:02:14"/>
    <s v="Y"/>
    <s v="Advocates Meeting"/>
    <s v="Public Law Children"/>
    <s v="Advocacy"/>
    <s v="LISA WILKES"/>
    <s v="Y"/>
    <n v="140.99"/>
    <n v="28.2"/>
    <x v="2"/>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14"/>
    <d v="2023-07-11T19:00:37"/>
    <s v="Y"/>
    <s v="Advocates Meeting"/>
    <s v="Public Law Children"/>
    <s v="Advocacy"/>
    <s v="CAROLYN BAWDEN-FROST"/>
    <s v="Y"/>
    <n v="140.99"/>
    <n v="28.2"/>
    <x v="7"/>
    <s v="VALIDATED"/>
    <n v="1"/>
    <s v="01.11.80.308.6100.0000"/>
    <n v="140.99"/>
    <s v="11"/>
    <s v="6100"/>
    <n v="14702.89"/>
    <n v="140.99"/>
    <s v="CREDITOR"/>
    <n v="0"/>
    <n v="0"/>
    <n v="0"/>
    <n v="0"/>
    <n v="140.99"/>
  </r>
  <r>
    <n v="60020592"/>
    <s v="N"/>
    <n v="21349562"/>
    <s v="3000014362010021"/>
    <s v="CIVIL"/>
    <d v="2023-06-23T00:00:00"/>
    <d v="2023-07-10T19:01:40"/>
    <m/>
    <d v="2023-07-10T00:00:00"/>
    <n v="684"/>
    <n v="17252"/>
    <s v="60020592"/>
    <s v="60020592"/>
    <m/>
    <m/>
    <n v="22751294"/>
    <m/>
    <m/>
    <m/>
    <s v="SOLFIN"/>
    <s v="SOLFIN"/>
    <s v="CCMS"/>
    <n v="21349562"/>
    <n v="25487.5"/>
    <m/>
    <s v="N"/>
    <n v="18"/>
    <d v="2023-07-10T19:01:53"/>
    <s v="Y"/>
    <s v="Advocates Meeting"/>
    <s v="Public Law Children"/>
    <s v="Advocacy"/>
    <s v="LISA WILKES"/>
    <s v="Y"/>
    <n v="140.99"/>
    <n v="28.2"/>
    <x v="2"/>
    <s v="VALIDATED"/>
    <n v="1"/>
    <s v="01.11.80.308.6100.0000"/>
    <n v="140.99"/>
    <s v="11"/>
    <s v="6100"/>
    <n v="14702.89"/>
    <n v="140.99"/>
    <s v="CREDITOR"/>
    <n v="0"/>
    <n v="0"/>
    <n v="0"/>
    <n v="0"/>
    <n v="140.99"/>
  </r>
  <r>
    <n v="60020592"/>
    <s v="N"/>
    <n v="21349562"/>
    <s v="3000014362010021"/>
    <s v="CIVIL"/>
    <d v="2023-06-23T00:00:00"/>
    <d v="2023-07-10T19:01:40"/>
    <m/>
    <d v="2023-07-10T00:00:00"/>
    <n v="684"/>
    <n v="17252"/>
    <s v="60020592"/>
    <s v="60020592"/>
    <m/>
    <m/>
    <n v="22751294"/>
    <m/>
    <m/>
    <m/>
    <s v="SOLFIN"/>
    <s v="SOLFIN"/>
    <s v="CCMS"/>
    <n v="21349562"/>
    <n v="25487.5"/>
    <m/>
    <s v="N"/>
    <n v="25"/>
    <d v="2023-07-10T19:01:53"/>
    <s v="Y"/>
    <s v="Hearing Unit 2.31 - 5.00 Hours"/>
    <s v="Public Law Children"/>
    <s v="Advocacy"/>
    <s v="LISA WILKES"/>
    <s v="Y"/>
    <n v="476.92"/>
    <n v="95.38"/>
    <x v="2"/>
    <s v="VALIDATED"/>
    <n v="1"/>
    <s v="01.11.80.308.6100.0000"/>
    <n v="476.92"/>
    <s v="11"/>
    <s v="6100"/>
    <n v="14702.89"/>
    <n v="476.92"/>
    <s v="CREDITOR"/>
    <n v="0"/>
    <n v="0"/>
    <n v="0"/>
    <n v="0"/>
    <n v="476.92"/>
  </r>
  <r>
    <n v="61396010"/>
    <s v="N"/>
    <n v="21360839"/>
    <s v="3000015539060006"/>
    <s v="CIVIL"/>
    <d v="2023-06-30T00:00:00"/>
    <d v="2023-07-11T19:00:25"/>
    <m/>
    <d v="2023-07-11T00:00:00"/>
    <n v="684"/>
    <n v="17252"/>
    <s v="61396010"/>
    <s v="61396010"/>
    <m/>
    <m/>
    <n v="22799474"/>
    <m/>
    <m/>
    <m/>
    <s v="SOLFIN"/>
    <s v="SOLFIN"/>
    <s v="CCMS"/>
    <n v="21360839"/>
    <n v="7595.3"/>
    <m/>
    <s v="N"/>
    <n v="17"/>
    <d v="2023-07-11T19:00:37"/>
    <s v="Y"/>
    <s v="Hearing Unit 1.01 - 2.30 Hours"/>
    <s v="Public Law Children"/>
    <s v="Advocacy"/>
    <s v="LISA WILKES"/>
    <s v="Y"/>
    <n v="238.46"/>
    <n v="47.69"/>
    <x v="7"/>
    <s v="VALIDATED"/>
    <n v="1"/>
    <s v="01.11.80.308.6100.0000"/>
    <n v="238.46"/>
    <s v="11"/>
    <s v="6100"/>
    <n v="14702.89"/>
    <n v="238.46"/>
    <s v="CREDITOR"/>
    <n v="0"/>
    <n v="0"/>
    <n v="0"/>
    <n v="0"/>
    <n v="238.46"/>
  </r>
  <r>
    <n v="61169541"/>
    <s v="N"/>
    <n v="21350116"/>
    <s v="3000015350570009"/>
    <s v="CIVIL"/>
    <d v="2023-06-30T00:00:00"/>
    <d v="2023-07-10T19:01:40"/>
    <m/>
    <d v="2023-07-10T00:00:00"/>
    <n v="684"/>
    <n v="17252"/>
    <s v="61169541"/>
    <s v="61169541"/>
    <m/>
    <m/>
    <n v="22799486"/>
    <m/>
    <m/>
    <m/>
    <s v="SOLFIN"/>
    <s v="SOLFIN"/>
    <s v="CCMS"/>
    <n v="21350116"/>
    <n v="7264.96"/>
    <m/>
    <s v="N"/>
    <n v="8"/>
    <d v="2023-07-10T19:02:14"/>
    <s v="Y"/>
    <s v="Hearing Unit 1.01 - 2.30 Hours"/>
    <s v="Public Law Children"/>
    <s v="Advocacy"/>
    <s v="LISA WILKES"/>
    <s v="Y"/>
    <n v="238.46"/>
    <n v="47.69"/>
    <x v="2"/>
    <s v="VALIDATED"/>
    <n v="1"/>
    <s v="01.11.80.308.6100.0000"/>
    <n v="238.46"/>
    <s v="11"/>
    <s v="6100"/>
    <n v="14702.89"/>
    <n v="238.46"/>
    <s v="CREDITOR"/>
    <n v="0"/>
    <n v="0"/>
    <n v="0"/>
    <n v="0"/>
    <n v="238.46"/>
  </r>
  <r>
    <n v="60020592"/>
    <s v="N"/>
    <n v="21349562"/>
    <s v="3000014362010021"/>
    <s v="CIVIL"/>
    <d v="2023-06-23T00:00:00"/>
    <d v="2023-07-10T19:01:40"/>
    <m/>
    <d v="2023-07-10T00:00:00"/>
    <n v="684"/>
    <n v="17252"/>
    <s v="60020592"/>
    <s v="60020592"/>
    <m/>
    <m/>
    <n v="22751294"/>
    <m/>
    <m/>
    <m/>
    <s v="SOLFIN"/>
    <s v="SOLFIN"/>
    <s v="CCMS"/>
    <n v="21349562"/>
    <n v="25487.5"/>
    <m/>
    <s v="N"/>
    <n v="24"/>
    <d v="2023-07-10T19:01:53"/>
    <s v="Y"/>
    <s v="Hearing Unit 1.01 - 2.30 Hours"/>
    <s v="Public Law Children"/>
    <s v="Advocacy"/>
    <s v="LISA WILKES"/>
    <s v="Y"/>
    <n v="238.46"/>
    <n v="47.69"/>
    <x v="2"/>
    <s v="VALIDATED"/>
    <n v="1"/>
    <s v="01.11.80.308.6100.0000"/>
    <n v="238.46"/>
    <s v="11"/>
    <s v="6100"/>
    <n v="14702.89"/>
    <n v="238.46"/>
    <s v="CREDITOR"/>
    <n v="0"/>
    <n v="0"/>
    <n v="0"/>
    <n v="0"/>
    <n v="238.46"/>
  </r>
  <r>
    <n v="61396010"/>
    <s v="N"/>
    <n v="21360839"/>
    <s v="3000015539060006"/>
    <s v="CIVIL"/>
    <d v="2023-06-30T00:00:00"/>
    <d v="2023-07-11T19:00:25"/>
    <m/>
    <d v="2023-07-11T00:00:00"/>
    <n v="684"/>
    <n v="17252"/>
    <s v="61396010"/>
    <s v="61396010"/>
    <m/>
    <m/>
    <n v="22799474"/>
    <m/>
    <m/>
    <m/>
    <s v="SOLFIN"/>
    <s v="SOLFIN"/>
    <s v="CCMS"/>
    <n v="21360839"/>
    <n v="7595.3"/>
    <m/>
    <s v="N"/>
    <n v="2"/>
    <d v="2023-07-11T19:00:37"/>
    <s v="Y"/>
    <s v="Interim Hearing Court Bundle/Advoca"/>
    <s v="Public Law Children"/>
    <s v="Advocacy"/>
    <s v="LISA WILKES"/>
    <s v="Y"/>
    <n v="59.4"/>
    <n v="11.88"/>
    <x v="7"/>
    <s v="VALIDATED"/>
    <n v="1"/>
    <s v="01.11.80.308.6100.0000"/>
    <n v="59.4"/>
    <s v="11"/>
    <s v="6100"/>
    <n v="14702.89"/>
    <n v="59.4"/>
    <s v="CREDITOR"/>
    <n v="0"/>
    <n v="0"/>
    <n v="0"/>
    <n v="0"/>
    <n v="59.4"/>
  </r>
  <r>
    <n v="60870781"/>
    <s v="N"/>
    <n v="21327696"/>
    <s v="3000015095630019"/>
    <s v="CIVIL"/>
    <d v="2023-06-13T00:00:00"/>
    <d v="2023-07-04T19:00:44"/>
    <m/>
    <d v="2023-07-04T00:00:00"/>
    <n v="684"/>
    <n v="17252"/>
    <s v="60870781"/>
    <s v="60870781"/>
    <m/>
    <m/>
    <n v="22678414"/>
    <m/>
    <m/>
    <m/>
    <s v="SOLFIN"/>
    <s v="SOLFIN"/>
    <s v="CCMS"/>
    <n v="21327696"/>
    <n v="13458.38"/>
    <m/>
    <s v="N"/>
    <n v="1"/>
    <d v="2023-07-04T19:00:52"/>
    <s v="Y"/>
    <s v="Final Hearing Court Bundle/Advocate"/>
    <s v="Public Law Children"/>
    <s v="Advocacy"/>
    <s v="LISA WILKES"/>
    <s v="Y"/>
    <n v="159.3"/>
    <n v="31.86"/>
    <x v="1"/>
    <s v="VALIDATED"/>
    <n v="1"/>
    <s v="01.11.80.308.6100.0000"/>
    <n v="159.3"/>
    <s v="11"/>
    <s v="6100"/>
    <n v="14702.89"/>
    <n v="159.3"/>
    <s v="CREDITOR"/>
    <n v="0"/>
    <n v="0"/>
    <n v="0"/>
    <n v="0"/>
    <n v="159.3"/>
  </r>
  <r>
    <n v="60870781"/>
    <s v="N"/>
    <n v="21327696"/>
    <s v="3000015095630019"/>
    <s v="CIVIL"/>
    <d v="2023-06-13T00:00:00"/>
    <d v="2023-07-04T19:00:44"/>
    <m/>
    <d v="2023-07-04T00:00:00"/>
    <n v="684"/>
    <n v="17252"/>
    <s v="60870781"/>
    <s v="60870781"/>
    <m/>
    <m/>
    <n v="22678414"/>
    <m/>
    <m/>
    <m/>
    <s v="SOLFIN"/>
    <s v="SOLFIN"/>
    <s v="CCMS"/>
    <n v="21327696"/>
    <n v="13458.38"/>
    <m/>
    <s v="N"/>
    <n v="15"/>
    <d v="2023-07-04T19:00:52"/>
    <s v="Y"/>
    <s v="Hearing Unit 2.31 - 5.00 Hours"/>
    <s v="Public Law Children"/>
    <s v="Advocacy"/>
    <s v="LISA WILKES"/>
    <s v="Y"/>
    <n v="476.92"/>
    <n v="95.38"/>
    <x v="1"/>
    <s v="VALIDATED"/>
    <n v="1"/>
    <s v="01.11.80.308.6100.0000"/>
    <n v="476.92"/>
    <s v="11"/>
    <s v="6100"/>
    <n v="14702.89"/>
    <n v="476.92"/>
    <s v="CREDITOR"/>
    <n v="0"/>
    <n v="0"/>
    <n v="0"/>
    <n v="0"/>
    <n v="476.92"/>
  </r>
  <r>
    <n v="61396010"/>
    <s v="N"/>
    <n v="21360839"/>
    <s v="3000015539060006"/>
    <s v="CIVIL"/>
    <d v="2023-06-30T00:00:00"/>
    <d v="2023-07-11T19:00:25"/>
    <m/>
    <d v="2023-07-11T00:00:00"/>
    <n v="684"/>
    <n v="17252"/>
    <s v="61396010"/>
    <s v="61396010"/>
    <m/>
    <m/>
    <n v="22799474"/>
    <m/>
    <m/>
    <m/>
    <s v="SOLFIN"/>
    <s v="SOLFIN"/>
    <s v="CCMS"/>
    <n v="21360839"/>
    <n v="7595.3"/>
    <m/>
    <s v="N"/>
    <n v="19"/>
    <d v="2023-07-11T19:00:37"/>
    <s v="Y"/>
    <s v="Hearing Unit 2.31 - 5.00 Hours"/>
    <s v="Public Law Children"/>
    <s v="Advocacy"/>
    <s v="LISA WILKES"/>
    <s v="Y"/>
    <n v="476.92"/>
    <n v="95.38"/>
    <x v="7"/>
    <s v="VALIDATED"/>
    <n v="1"/>
    <s v="01.11.80.308.6100.0000"/>
    <n v="476.92"/>
    <s v="11"/>
    <s v="6100"/>
    <n v="14702.89"/>
    <n v="476.92"/>
    <s v="CREDITOR"/>
    <n v="0"/>
    <n v="0"/>
    <n v="0"/>
    <n v="0"/>
    <n v="476.92"/>
  </r>
  <r>
    <n v="60020592"/>
    <s v="N"/>
    <n v="21349562"/>
    <s v="3000014362010021"/>
    <s v="CIVIL"/>
    <d v="2023-06-23T00:00:00"/>
    <d v="2023-07-10T19:01:40"/>
    <m/>
    <d v="2023-07-10T00:00:00"/>
    <n v="684"/>
    <n v="17252"/>
    <s v="60020592"/>
    <s v="60020592"/>
    <m/>
    <m/>
    <n v="22751294"/>
    <m/>
    <m/>
    <m/>
    <s v="SOLFIN"/>
    <s v="SOLFIN"/>
    <s v="CCMS"/>
    <n v="21349562"/>
    <n v="25487.5"/>
    <m/>
    <s v="N"/>
    <n v="15"/>
    <d v="2023-07-10T19:01:53"/>
    <s v="Y"/>
    <s v="Hearing Unit 2.31 - 5.00 Hours"/>
    <s v="Public Law Children"/>
    <s v="Advocacy"/>
    <s v="LISA WILKES"/>
    <s v="Y"/>
    <n v="476.92"/>
    <n v="95.38"/>
    <x v="2"/>
    <s v="VALIDATED"/>
    <n v="1"/>
    <s v="01.11.80.308.6100.0000"/>
    <n v="476.92"/>
    <s v="11"/>
    <s v="6100"/>
    <n v="14702.89"/>
    <n v="476.92"/>
    <s v="CREDITOR"/>
    <n v="0"/>
    <n v="0"/>
    <n v="0"/>
    <n v="0"/>
    <n v="476.92"/>
  </r>
  <r>
    <n v="60870781"/>
    <s v="N"/>
    <n v="21327696"/>
    <s v="3000015095630019"/>
    <s v="CIVIL"/>
    <d v="2023-06-13T00:00:00"/>
    <d v="2023-07-04T19:00:44"/>
    <m/>
    <d v="2023-07-04T00:00:00"/>
    <n v="684"/>
    <n v="17252"/>
    <s v="60870781"/>
    <s v="60870781"/>
    <m/>
    <m/>
    <n v="22678414"/>
    <m/>
    <m/>
    <m/>
    <s v="SOLFIN"/>
    <s v="SOLFIN"/>
    <s v="CCMS"/>
    <n v="21327696"/>
    <n v="13458.38"/>
    <m/>
    <s v="N"/>
    <n v="17"/>
    <d v="2023-07-04T19:00:52"/>
    <s v="Y"/>
    <s v="Final Hearing - 1 Day"/>
    <s v="Public Law Children"/>
    <s v="Advocacy"/>
    <s v="LISA WILKES"/>
    <s v="Y"/>
    <n v="556.88"/>
    <n v="111.38"/>
    <x v="1"/>
    <s v="VALIDATED"/>
    <n v="1"/>
    <s v="01.11.80.308.6100.0000"/>
    <n v="556.88"/>
    <s v="11"/>
    <s v="6100"/>
    <n v="14702.89"/>
    <n v="556.88"/>
    <s v="CREDITOR"/>
    <n v="0"/>
    <n v="0"/>
    <n v="0"/>
    <n v="0"/>
    <n v="556.88"/>
  </r>
  <r>
    <n v="61396010"/>
    <s v="N"/>
    <n v="21360839"/>
    <s v="3000015539060006"/>
    <s v="CIVIL"/>
    <d v="2023-06-30T00:00:00"/>
    <d v="2023-07-11T19:00:25"/>
    <m/>
    <d v="2023-07-11T00:00:00"/>
    <n v="684"/>
    <n v="17252"/>
    <s v="61396010"/>
    <s v="61396010"/>
    <m/>
    <m/>
    <n v="22799474"/>
    <m/>
    <m/>
    <m/>
    <s v="SOLFIN"/>
    <s v="SOLFIN"/>
    <s v="CCMS"/>
    <n v="21360839"/>
    <n v="7595.3"/>
    <m/>
    <s v="N"/>
    <n v="6"/>
    <d v="2023-07-11T19:00:37"/>
    <s v="Y"/>
    <s v="Solicitor Travel Expenses"/>
    <s v="Public Law Children"/>
    <s v="Non Expert Disbursement"/>
    <s v="LISA WILKES"/>
    <s v="Y"/>
    <n v="8.85"/>
    <n v="1.77"/>
    <x v="7"/>
    <s v="VALIDATED"/>
    <n v="1"/>
    <s v="01.11.80.308.6300.0000"/>
    <n v="8.85"/>
    <s v="11"/>
    <s v="6300"/>
    <n v="14702.89"/>
    <n v="8.85"/>
    <s v="CREDITOR"/>
    <n v="0"/>
    <n v="0"/>
    <n v="0"/>
    <n v="0"/>
    <n v="8.85"/>
  </r>
  <r>
    <n v="61169541"/>
    <s v="N"/>
    <n v="21350116"/>
    <s v="3000015350570009"/>
    <s v="CIVIL"/>
    <d v="2023-06-30T00:00:00"/>
    <d v="2023-07-10T19:01:40"/>
    <m/>
    <d v="2023-07-10T00:00:00"/>
    <n v="684"/>
    <n v="17252"/>
    <s v="61169541"/>
    <s v="61169541"/>
    <m/>
    <m/>
    <n v="22799486"/>
    <m/>
    <m/>
    <m/>
    <s v="SOLFIN"/>
    <s v="SOLFIN"/>
    <s v="CCMS"/>
    <n v="21350116"/>
    <n v="7264.96"/>
    <m/>
    <s v="N"/>
    <n v="15"/>
    <d v="2023-07-10T19:02:14"/>
    <s v="Y"/>
    <s v="Solicitors Fixed Fee"/>
    <s v="Public Law Children"/>
    <s v="Profit Cost"/>
    <s v="LISA WILKES"/>
    <s v="Y"/>
    <n v="2013"/>
    <n v="402.6"/>
    <x v="2"/>
    <s v="VALIDATED"/>
    <n v="1"/>
    <s v="01.11.80.308.6100.0000"/>
    <n v="2013"/>
    <s v="11"/>
    <s v="6100"/>
    <n v="14702.89"/>
    <n v="2013"/>
    <s v="CREDITOR"/>
    <n v="0"/>
    <n v="0"/>
    <n v="0"/>
    <n v="0"/>
    <n v="2013"/>
  </r>
  <r>
    <n v="60020592"/>
    <s v="N"/>
    <n v="21349562"/>
    <s v="3000014362010021"/>
    <s v="CIVIL"/>
    <d v="2023-06-23T00:00:00"/>
    <d v="2023-07-10T19:01:40"/>
    <m/>
    <d v="2023-07-10T00:00:00"/>
    <n v="684"/>
    <n v="17252"/>
    <s v="60020592"/>
    <s v="60020592"/>
    <m/>
    <m/>
    <n v="22751294"/>
    <m/>
    <m/>
    <m/>
    <s v="SOLFIN"/>
    <s v="SOLFIN"/>
    <s v="CCMS"/>
    <n v="21349562"/>
    <n v="25487.5"/>
    <m/>
    <s v="N"/>
    <n v="2"/>
    <d v="2023-07-10T19:01:53"/>
    <s v="Y"/>
    <s v="Profit Costs (Summary)"/>
    <s v="Public Law Children"/>
    <s v="Profit Cost"/>
    <s v="LISA WILKES"/>
    <s v="Y"/>
    <n v="13026.29"/>
    <n v="2605.26"/>
    <x v="2"/>
    <s v="VALIDATED"/>
    <n v="1"/>
    <s v="01.11.80.308.6100.0000"/>
    <n v="13026.29"/>
    <s v="11"/>
    <s v="6100"/>
    <n v="14702.89"/>
    <n v="13026.29"/>
    <s v="CREDITOR"/>
    <n v="0"/>
    <n v="0"/>
    <n v="0"/>
    <n v="0"/>
    <n v="13026.29"/>
  </r>
  <r>
    <n v="61169541"/>
    <s v="N"/>
    <n v="21350116"/>
    <s v="3000015350570009"/>
    <s v="CIVIL"/>
    <d v="2023-06-30T00:00:00"/>
    <d v="2023-07-10T19:01:40"/>
    <m/>
    <d v="2023-07-10T00:00:00"/>
    <n v="684"/>
    <n v="17252"/>
    <s v="61169541"/>
    <s v="61169541"/>
    <m/>
    <m/>
    <n v="22799486"/>
    <m/>
    <m/>
    <m/>
    <s v="SOLFIN"/>
    <s v="SOLFIN"/>
    <s v="CCMS"/>
    <n v="21350116"/>
    <n v="7264.96"/>
    <m/>
    <s v="N"/>
    <n v="2"/>
    <d v="2023-07-10T19:02:14"/>
    <s v="Y"/>
    <s v="Court Fee"/>
    <s v="Public Law Children"/>
    <s v="Non Expert Disbursement"/>
    <s v="LISA WILKES"/>
    <s v="Y"/>
    <n v="167"/>
    <n v="0"/>
    <x v="2"/>
    <s v="VALIDATED"/>
    <n v="1"/>
    <s v="01.11.80.308.6300.0000"/>
    <n v="167"/>
    <s v="11"/>
    <s v="6300"/>
    <n v="14702.89"/>
    <n v="167"/>
    <s v="CREDITOR"/>
    <n v="0"/>
    <n v="0"/>
    <n v="0"/>
    <n v="0"/>
    <n v="167"/>
  </r>
  <r>
    <n v="61169541"/>
    <s v="N"/>
    <n v="21350116"/>
    <s v="3000015350570009"/>
    <s v="CIVIL"/>
    <d v="2023-06-30T00:00:00"/>
    <d v="2023-07-10T19:01:40"/>
    <m/>
    <d v="2023-07-10T00:00:00"/>
    <n v="684"/>
    <n v="17252"/>
    <s v="61169541"/>
    <s v="61169541"/>
    <m/>
    <m/>
    <n v="22799486"/>
    <m/>
    <m/>
    <m/>
    <s v="SOLFIN"/>
    <s v="SOLFIN"/>
    <s v="CCMS"/>
    <n v="21350116"/>
    <n v="7264.96"/>
    <m/>
    <s v="N"/>
    <n v="12"/>
    <d v="2023-07-10T19:02:14"/>
    <s v="Y"/>
    <s v="Advocates Meeting"/>
    <s v="Public Law Children"/>
    <s v="Advocacy"/>
    <s v="LISA WILKES"/>
    <s v="Y"/>
    <n v="140.99"/>
    <n v="28.2"/>
    <x v="2"/>
    <s v="VALIDATED"/>
    <n v="1"/>
    <s v="01.11.80.308.6100.0000"/>
    <n v="140.99"/>
    <s v="11"/>
    <s v="6100"/>
    <n v="14702.89"/>
    <n v="140.99"/>
    <s v="CREDITOR"/>
    <n v="0"/>
    <n v="0"/>
    <n v="0"/>
    <n v="0"/>
    <n v="140.99"/>
  </r>
  <r>
    <n v="61169541"/>
    <s v="N"/>
    <n v="21350116"/>
    <s v="3000015350570009"/>
    <s v="CIVIL"/>
    <d v="2023-06-30T00:00:00"/>
    <d v="2023-07-10T19:01:40"/>
    <m/>
    <d v="2023-07-10T00:00:00"/>
    <n v="684"/>
    <n v="17252"/>
    <s v="61169541"/>
    <s v="61169541"/>
    <m/>
    <m/>
    <n v="22799486"/>
    <m/>
    <m/>
    <m/>
    <s v="SOLFIN"/>
    <s v="SOLFIN"/>
    <s v="CCMS"/>
    <n v="21350116"/>
    <n v="7264.96"/>
    <m/>
    <s v="N"/>
    <n v="7"/>
    <d v="2023-07-10T19:02:14"/>
    <s v="Y"/>
    <s v="Advocates Meeting"/>
    <s v="Public Law Children"/>
    <s v="Advocacy"/>
    <s v="CAROLYN BAWDEN-FROST"/>
    <s v="Y"/>
    <n v="140.99"/>
    <n v="28.2"/>
    <x v="2"/>
    <s v="VALIDATED"/>
    <n v="1"/>
    <s v="01.11.80.308.6100.0000"/>
    <n v="140.99"/>
    <s v="11"/>
    <s v="6100"/>
    <n v="14702.89"/>
    <n v="140.99"/>
    <s v="CREDITOR"/>
    <n v="0"/>
    <n v="0"/>
    <n v="0"/>
    <n v="0"/>
    <n v="140.99"/>
  </r>
  <r>
    <n v="60270246"/>
    <s v="N"/>
    <n v="21323220"/>
    <s v="3000014575250009"/>
    <s v="CIVIL"/>
    <d v="2023-06-30T00:00:00"/>
    <d v="2023-07-03T19:05:56"/>
    <m/>
    <d v="2023-07-03T00:00:00"/>
    <n v="684"/>
    <n v="17252"/>
    <s v="60270246"/>
    <s v="60270246"/>
    <m/>
    <m/>
    <n v="22795178"/>
    <m/>
    <m/>
    <m/>
    <s v="SOLPOA"/>
    <s v="SOLPOA"/>
    <s v="CCMS"/>
    <n v="21323220"/>
    <n v="2054.03"/>
    <m/>
    <s v="N"/>
    <n v="1"/>
    <d v="2023-07-03T19:05:56"/>
    <s v="N"/>
    <s v="Solicitors Fixed Fee"/>
    <s v="Public Law Children"/>
    <s v="Profit Cost"/>
    <s v="Melody Brown"/>
    <s v="N"/>
    <n v="1711.69"/>
    <n v="342.34"/>
    <x v="3"/>
    <s v="VALIDATED"/>
    <n v="1"/>
    <s v="01.11.80.308.2012.0000"/>
    <n v="1711.69"/>
    <s v="11"/>
    <s v="2012"/>
    <n v="14702.89"/>
    <n v="1711.69"/>
    <s v="CREDITOR"/>
    <n v="1711.69"/>
    <n v="427.9225"/>
    <n v="0"/>
    <n v="0"/>
    <n v="0"/>
  </r>
  <r>
    <n v="60020592"/>
    <s v="N"/>
    <n v="21349562"/>
    <s v="3000014362010021"/>
    <s v="CIVIL"/>
    <d v="2023-06-23T00:00:00"/>
    <d v="2023-07-10T19:01:40"/>
    <m/>
    <d v="2023-07-10T00:00:00"/>
    <n v="684"/>
    <n v="17252"/>
    <s v="60020592"/>
    <s v="60020592"/>
    <m/>
    <m/>
    <n v="22751294"/>
    <m/>
    <m/>
    <m/>
    <s v="SOLFIN"/>
    <s v="SOLFIN"/>
    <s v="CCMS"/>
    <n v="21349562"/>
    <n v="25487.5"/>
    <m/>
    <s v="N"/>
    <n v="22"/>
    <d v="2023-07-10T19:01:53"/>
    <s v="Y"/>
    <s v="Advocates Meeting"/>
    <s v="Public Law Children"/>
    <s v="Advocacy"/>
    <s v="LISA WILKES"/>
    <s v="Y"/>
    <n v="140.99"/>
    <n v="28.2"/>
    <x v="2"/>
    <s v="VALIDATED"/>
    <n v="1"/>
    <s v="01.11.80.308.6100.0000"/>
    <n v="140.99"/>
    <s v="11"/>
    <s v="6100"/>
    <n v="14702.89"/>
    <n v="140.99"/>
    <s v="CREDITOR"/>
    <n v="0"/>
    <n v="0"/>
    <n v="0"/>
    <n v="0"/>
    <n v="140.99"/>
  </r>
  <r>
    <n v="60870781"/>
    <s v="N"/>
    <n v="21327696"/>
    <s v="3000015095630019"/>
    <s v="CIVIL"/>
    <d v="2023-06-13T00:00:00"/>
    <d v="2023-07-04T19:00:44"/>
    <m/>
    <d v="2023-07-04T00:00:00"/>
    <n v="684"/>
    <n v="17252"/>
    <s v="60870781"/>
    <s v="60870781"/>
    <m/>
    <m/>
    <n v="22678414"/>
    <m/>
    <m/>
    <m/>
    <s v="SOLFIN"/>
    <s v="SOLFIN"/>
    <s v="CCMS"/>
    <n v="21327696"/>
    <n v="13458.38"/>
    <m/>
    <s v="N"/>
    <n v="14"/>
    <d v="2023-07-04T19:00:52"/>
    <s v="Y"/>
    <s v="Advocates Meeting"/>
    <s v="Public Law Children"/>
    <s v="Advocacy"/>
    <s v="LISA WILKES"/>
    <s v="Y"/>
    <n v="140.99"/>
    <n v="28.2"/>
    <x v="1"/>
    <s v="VALIDATED"/>
    <n v="1"/>
    <s v="01.11.80.308.6100.0000"/>
    <n v="140.99"/>
    <s v="11"/>
    <s v="6100"/>
    <n v="14702.89"/>
    <n v="140.99"/>
    <s v="CREDITOR"/>
    <n v="0"/>
    <n v="0"/>
    <n v="0"/>
    <n v="0"/>
    <n v="140.99"/>
  </r>
  <r>
    <n v="60020592"/>
    <s v="N"/>
    <n v="21349562"/>
    <s v="3000014362010021"/>
    <s v="CIVIL"/>
    <d v="2023-06-23T00:00:00"/>
    <d v="2023-07-10T19:01:40"/>
    <m/>
    <d v="2023-07-10T00:00:00"/>
    <n v="684"/>
    <n v="17252"/>
    <s v="60020592"/>
    <s v="60020592"/>
    <m/>
    <m/>
    <n v="22751294"/>
    <m/>
    <m/>
    <m/>
    <s v="SOLFIN"/>
    <s v="SOLFIN"/>
    <s v="CCMS"/>
    <n v="21349562"/>
    <n v="25487.5"/>
    <m/>
    <s v="N"/>
    <n v="14"/>
    <d v="2023-07-10T19:01:53"/>
    <s v="Y"/>
    <s v="Hearing Unit 2.31 - 5.00 Hours"/>
    <s v="Public Law Children"/>
    <s v="Advocacy"/>
    <s v="LISA WILKES"/>
    <s v="Y"/>
    <n v="476.92"/>
    <n v="95.38"/>
    <x v="2"/>
    <s v="VALIDATED"/>
    <n v="1"/>
    <s v="01.11.80.308.6100.0000"/>
    <n v="476.92"/>
    <s v="11"/>
    <s v="6100"/>
    <n v="14702.89"/>
    <n v="476.92"/>
    <s v="CREDITOR"/>
    <n v="0"/>
    <n v="0"/>
    <n v="0"/>
    <n v="0"/>
    <n v="476.92"/>
  </r>
  <r>
    <n v="61169541"/>
    <s v="N"/>
    <n v="21350116"/>
    <s v="3000015350570009"/>
    <s v="CIVIL"/>
    <d v="2023-06-30T00:00:00"/>
    <d v="2023-07-10T19:01:40"/>
    <m/>
    <d v="2023-07-10T00:00:00"/>
    <n v="684"/>
    <n v="17252"/>
    <s v="61169541"/>
    <s v="61169541"/>
    <m/>
    <m/>
    <n v="22799486"/>
    <m/>
    <m/>
    <m/>
    <s v="SOLFIN"/>
    <s v="SOLFIN"/>
    <s v="CCMS"/>
    <n v="21350116"/>
    <n v="7264.96"/>
    <m/>
    <s v="N"/>
    <n v="4"/>
    <d v="2023-07-10T19:02:14"/>
    <s v="Y"/>
    <s v="Psychologist"/>
    <s v="Public Law Children"/>
    <s v="Expert Disbursement"/>
    <s v="NORLOW LTD"/>
    <s v="Y"/>
    <n v="851.6"/>
    <n v="170.32"/>
    <x v="2"/>
    <s v="VALIDATED"/>
    <n v="1"/>
    <s v="01.11.80.308.6300.0000"/>
    <n v="851.6"/>
    <s v="11"/>
    <s v="6300"/>
    <n v="14702.89"/>
    <n v="851.6"/>
    <s v="CREDITOR"/>
    <n v="0"/>
    <n v="0"/>
    <n v="0"/>
    <n v="0"/>
    <n v="851.6"/>
  </r>
  <r>
    <n v="61169541"/>
    <s v="N"/>
    <n v="21350116"/>
    <s v="3000015350570009"/>
    <s v="CIVIL"/>
    <d v="2023-06-30T00:00:00"/>
    <d v="2023-07-10T19:01:40"/>
    <m/>
    <d v="2023-07-10T00:00:00"/>
    <n v="684"/>
    <n v="17252"/>
    <s v="61169541"/>
    <s v="61169541"/>
    <m/>
    <m/>
    <n v="22799486"/>
    <m/>
    <m/>
    <m/>
    <s v="SOLFIN"/>
    <s v="SOLFIN"/>
    <s v="CCMS"/>
    <n v="21350116"/>
    <n v="7264.96"/>
    <m/>
    <s v="N"/>
    <n v="9"/>
    <d v="2023-07-10T19:02:14"/>
    <s v="Y"/>
    <s v="Final Hearing - 1 Day"/>
    <s v="Public Law Children"/>
    <s v="Advocacy"/>
    <s v="CAROLYN BAWDEN-FROST"/>
    <s v="Y"/>
    <n v="556.88"/>
    <n v="111.38"/>
    <x v="2"/>
    <s v="VALIDATED"/>
    <n v="1"/>
    <s v="01.11.80.308.6100.0000"/>
    <n v="556.88"/>
    <s v="11"/>
    <s v="6100"/>
    <n v="14702.89"/>
    <n v="556.88"/>
    <s v="CREDITOR"/>
    <n v="0"/>
    <n v="0"/>
    <n v="0"/>
    <n v="0"/>
    <n v="556.88"/>
  </r>
  <r>
    <n v="60020592"/>
    <s v="N"/>
    <n v="21349562"/>
    <s v="3000014362010021"/>
    <s v="CIVIL"/>
    <d v="2023-06-23T00:00:00"/>
    <d v="2023-07-10T19:01:40"/>
    <m/>
    <d v="2023-07-10T00:00:00"/>
    <n v="684"/>
    <n v="17252"/>
    <s v="60020592"/>
    <s v="60020592"/>
    <m/>
    <m/>
    <n v="22751294"/>
    <m/>
    <m/>
    <m/>
    <s v="SOLFIN"/>
    <s v="SOLFIN"/>
    <s v="CCMS"/>
    <n v="21349562"/>
    <n v="25487.5"/>
    <m/>
    <s v="N"/>
    <n v="1"/>
    <d v="2023-07-10T19:01:53"/>
    <s v="N"/>
    <s v="Court Assess Cost LA"/>
    <s v="Public Law Children"/>
    <s v="Costs of Assessment"/>
    <s v="LISA WILKES"/>
    <s v="N"/>
    <n v="74.95"/>
    <n v="14.99"/>
    <x v="2"/>
    <s v="VALIDATED"/>
    <n v="1"/>
    <s v="01.11.80.308.6200.0000"/>
    <n v="74.95"/>
    <s v="11"/>
    <s v="6200"/>
    <n v="14702.89"/>
    <n v="74.95"/>
    <s v="CREDITOR"/>
    <n v="0"/>
    <n v="0"/>
    <n v="0"/>
    <n v="0"/>
    <n v="74.95"/>
  </r>
  <r>
    <n v="60020592"/>
    <s v="N"/>
    <n v="21349562"/>
    <s v="3000014362010021"/>
    <s v="CIVIL"/>
    <d v="2023-06-23T00:00:00"/>
    <d v="2023-07-10T19:01:40"/>
    <m/>
    <d v="2023-07-10T00:00:00"/>
    <n v="684"/>
    <n v="17252"/>
    <s v="60020592"/>
    <s v="60020592"/>
    <m/>
    <m/>
    <n v="22751294"/>
    <m/>
    <m/>
    <m/>
    <s v="SOLFIN"/>
    <s v="SOLFIN"/>
    <s v="CCMS"/>
    <n v="21349562"/>
    <n v="25487.5"/>
    <m/>
    <s v="N"/>
    <n v="17"/>
    <d v="2023-07-10T19:01:53"/>
    <s v="Y"/>
    <s v="Advocates Meeting"/>
    <s v="Public Law Children"/>
    <s v="Advocacy"/>
    <s v="LISA WILKES"/>
    <s v="Y"/>
    <n v="140.99"/>
    <n v="28.2"/>
    <x v="2"/>
    <s v="VALIDATED"/>
    <n v="1"/>
    <s v="01.11.80.308.6100.0000"/>
    <n v="140.99"/>
    <s v="11"/>
    <s v="6100"/>
    <n v="14702.89"/>
    <n v="140.99"/>
    <s v="CREDITOR"/>
    <n v="0"/>
    <n v="0"/>
    <n v="0"/>
    <n v="0"/>
    <n v="140.99"/>
  </r>
  <r>
    <n v="60870781"/>
    <s v="N"/>
    <n v="21327696"/>
    <s v="3000015095630019"/>
    <s v="CIVIL"/>
    <d v="2023-06-13T00:00:00"/>
    <d v="2023-07-04T19:00:44"/>
    <m/>
    <d v="2023-07-04T00:00:00"/>
    <n v="684"/>
    <n v="17252"/>
    <s v="60870781"/>
    <s v="60870781"/>
    <m/>
    <m/>
    <n v="22678414"/>
    <m/>
    <m/>
    <m/>
    <s v="SOLFIN"/>
    <s v="SOLFIN"/>
    <s v="CCMS"/>
    <n v="21327696"/>
    <n v="13458.38"/>
    <m/>
    <s v="N"/>
    <n v="9"/>
    <d v="2023-07-04T19:00:52"/>
    <s v="Y"/>
    <s v="Hearing Unit 2.31 - 5.00 Hours"/>
    <s v="Public Law Children"/>
    <s v="Advocacy"/>
    <s v="LISA WILKES"/>
    <s v="Y"/>
    <n v="476.92"/>
    <n v="95.38"/>
    <x v="1"/>
    <s v="VALIDATED"/>
    <n v="1"/>
    <s v="01.11.80.308.6100.0000"/>
    <n v="476.92"/>
    <s v="11"/>
    <s v="6100"/>
    <n v="14702.89"/>
    <n v="476.92"/>
    <s v="CREDITOR"/>
    <n v="0"/>
    <n v="0"/>
    <n v="0"/>
    <n v="0"/>
    <n v="476.92"/>
  </r>
  <r>
    <n v="60870781"/>
    <s v="N"/>
    <n v="21327696"/>
    <s v="3000015095630019"/>
    <s v="CIVIL"/>
    <d v="2023-06-13T00:00:00"/>
    <d v="2023-07-04T19:00:44"/>
    <m/>
    <d v="2023-07-04T00:00:00"/>
    <n v="684"/>
    <n v="17252"/>
    <s v="60870781"/>
    <s v="60870781"/>
    <m/>
    <m/>
    <n v="22678414"/>
    <m/>
    <m/>
    <m/>
    <s v="SOLFIN"/>
    <s v="SOLFIN"/>
    <s v="CCMS"/>
    <n v="21327696"/>
    <n v="13458.38"/>
    <m/>
    <s v="N"/>
    <n v="16"/>
    <d v="2023-07-04T19:00:52"/>
    <s v="Y"/>
    <s v="Advocates Meeting"/>
    <s v="Public Law Children"/>
    <s v="Advocacy"/>
    <s v="LISA WILKES"/>
    <s v="Y"/>
    <n v="140.99"/>
    <n v="28.2"/>
    <x v="1"/>
    <s v="VALIDATED"/>
    <n v="1"/>
    <s v="01.11.80.308.6100.0000"/>
    <n v="140.99"/>
    <s v="11"/>
    <s v="6100"/>
    <n v="14702.89"/>
    <n v="140.99"/>
    <s v="CREDITOR"/>
    <n v="0"/>
    <n v="0"/>
    <n v="0"/>
    <n v="0"/>
    <n v="140.99"/>
  </r>
  <r>
    <n v="60020592"/>
    <s v="N"/>
    <n v="21349562"/>
    <s v="3000014362010021"/>
    <s v="CIVIL"/>
    <d v="2023-06-23T00:00:00"/>
    <d v="2023-07-10T19:01:40"/>
    <m/>
    <d v="2023-07-10T00:00:00"/>
    <n v="684"/>
    <n v="17252"/>
    <s v="60020592"/>
    <s v="60020592"/>
    <m/>
    <m/>
    <n v="22751294"/>
    <m/>
    <m/>
    <m/>
    <s v="SOLFIN"/>
    <s v="SOLFIN"/>
    <s v="CCMS"/>
    <n v="21349562"/>
    <n v="25487.5"/>
    <m/>
    <s v="N"/>
    <n v="8"/>
    <d v="2023-07-10T19:01:53"/>
    <s v="Y"/>
    <s v="Advocates Meeting"/>
    <s v="Public Law Children"/>
    <s v="Advocacy"/>
    <s v="LISA WILKES"/>
    <s v="Y"/>
    <n v="140.99"/>
    <n v="28.2"/>
    <x v="2"/>
    <s v="VALIDATED"/>
    <n v="1"/>
    <s v="01.11.80.308.6100.0000"/>
    <n v="140.99"/>
    <s v="11"/>
    <s v="6100"/>
    <n v="14702.89"/>
    <n v="140.99"/>
    <s v="CREDITOR"/>
    <n v="0"/>
    <n v="0"/>
    <n v="0"/>
    <n v="0"/>
    <n v="140.99"/>
  </r>
  <r>
    <n v="60020592"/>
    <s v="N"/>
    <n v="21349562"/>
    <s v="3000014362010021"/>
    <s v="CIVIL"/>
    <d v="2023-06-23T00:00:00"/>
    <d v="2023-07-10T19:01:40"/>
    <m/>
    <d v="2023-07-10T00:00:00"/>
    <n v="684"/>
    <n v="17252"/>
    <s v="60020592"/>
    <s v="60020592"/>
    <m/>
    <m/>
    <n v="22751294"/>
    <m/>
    <m/>
    <m/>
    <s v="SOLFIN"/>
    <s v="SOLFIN"/>
    <s v="CCMS"/>
    <n v="21349562"/>
    <n v="25487.5"/>
    <m/>
    <s v="N"/>
    <n v="21"/>
    <d v="2023-07-10T19:01:53"/>
    <s v="Y"/>
    <s v="Hearing Unit 2.31 - 5.00 Hours"/>
    <s v="Public Law Children"/>
    <s v="Advocacy"/>
    <s v="LISA WILKES"/>
    <s v="Y"/>
    <n v="476.92"/>
    <n v="95.38"/>
    <x v="2"/>
    <s v="VALIDATED"/>
    <n v="1"/>
    <s v="01.11.80.308.6100.0000"/>
    <n v="476.92"/>
    <s v="11"/>
    <s v="6100"/>
    <n v="14702.89"/>
    <n v="476.92"/>
    <s v="CREDITOR"/>
    <n v="0"/>
    <n v="0"/>
    <n v="0"/>
    <n v="0"/>
    <n v="476.92"/>
  </r>
  <r>
    <n v="60870781"/>
    <s v="N"/>
    <n v="21327696"/>
    <s v="3000015095630019"/>
    <s v="CIVIL"/>
    <d v="2023-06-13T00:00:00"/>
    <d v="2023-07-04T19:00:44"/>
    <m/>
    <d v="2023-07-04T00:00:00"/>
    <n v="684"/>
    <n v="17252"/>
    <s v="60870781"/>
    <s v="60870781"/>
    <m/>
    <m/>
    <n v="22678414"/>
    <m/>
    <m/>
    <m/>
    <s v="SOLFIN"/>
    <s v="SOLFIN"/>
    <s v="CCMS"/>
    <n v="21327696"/>
    <n v="13458.38"/>
    <m/>
    <s v="N"/>
    <n v="18"/>
    <d v="2023-07-04T19:00:52"/>
    <s v="Y"/>
    <s v="Advocates Meeting"/>
    <s v="Public Law Children"/>
    <s v="Advocacy"/>
    <s v="LISA WILKES"/>
    <s v="Y"/>
    <n v="140.99"/>
    <n v="28.2"/>
    <x v="1"/>
    <s v="VALIDATED"/>
    <n v="1"/>
    <s v="01.11.80.308.6100.0000"/>
    <n v="140.99"/>
    <s v="11"/>
    <s v="6100"/>
    <n v="14702.89"/>
    <n v="140.99"/>
    <s v="CREDITOR"/>
    <n v="0"/>
    <n v="0"/>
    <n v="0"/>
    <n v="0"/>
    <n v="140.99"/>
  </r>
  <r>
    <n v="60020592"/>
    <s v="N"/>
    <n v="21349562"/>
    <s v="3000014362010021"/>
    <s v="CIVIL"/>
    <d v="2023-06-23T00:00:00"/>
    <d v="2023-07-10T19:01:40"/>
    <m/>
    <d v="2023-07-10T00:00:00"/>
    <n v="684"/>
    <n v="17252"/>
    <s v="60020592"/>
    <s v="60020592"/>
    <m/>
    <m/>
    <n v="22751294"/>
    <m/>
    <m/>
    <m/>
    <s v="SOLFIN"/>
    <s v="SOLFIN"/>
    <s v="CCMS"/>
    <n v="21349562"/>
    <n v="25487.5"/>
    <m/>
    <s v="N"/>
    <n v="3"/>
    <d v="2023-07-10T19:01:53"/>
    <s v="Y"/>
    <s v="Disbursements (Summary)"/>
    <s v="Public Law Children"/>
    <s v="Non Expert Disbursement"/>
    <s v="LISA WILKES"/>
    <s v="Y"/>
    <n v="995.9"/>
    <n v="0"/>
    <x v="2"/>
    <s v="VALIDATED"/>
    <n v="1"/>
    <s v="01.11.80.308.6300.0000"/>
    <n v="995.9"/>
    <s v="11"/>
    <s v="6300"/>
    <n v="14702.89"/>
    <n v="995.9"/>
    <s v="CREDITOR"/>
    <n v="0"/>
    <n v="0"/>
    <n v="0"/>
    <n v="0"/>
    <n v="995.9"/>
  </r>
  <r>
    <n v="60020592"/>
    <s v="N"/>
    <n v="21349562"/>
    <s v="3000014362010021"/>
    <s v="CIVIL"/>
    <d v="2023-06-23T00:00:00"/>
    <d v="2023-07-10T19:01:40"/>
    <m/>
    <d v="2023-07-10T00:00:00"/>
    <n v="684"/>
    <n v="17252"/>
    <s v="60020592"/>
    <s v="60020592"/>
    <m/>
    <m/>
    <n v="22751294"/>
    <m/>
    <m/>
    <m/>
    <s v="SOLFIN"/>
    <s v="SOLFIN"/>
    <s v="CCMS"/>
    <n v="21349562"/>
    <n v="25487.5"/>
    <m/>
    <s v="N"/>
    <n v="19"/>
    <d v="2023-07-10T19:01:53"/>
    <s v="Y"/>
    <s v="Advocates Meeting"/>
    <s v="Public Law Children"/>
    <s v="Advocacy"/>
    <s v="LISA WILKES"/>
    <s v="Y"/>
    <n v="140.99"/>
    <n v="28.2"/>
    <x v="2"/>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10"/>
    <d v="2023-07-11T19:00:37"/>
    <s v="Y"/>
    <s v="Solicitor Travel Mileage"/>
    <s v="Public Law Children"/>
    <s v="Non Expert Disbursement"/>
    <s v="LISA WILKES"/>
    <s v="Y"/>
    <n v="28.8"/>
    <n v="5.76"/>
    <x v="7"/>
    <s v="VALIDATED"/>
    <n v="1"/>
    <s v="01.11.80.308.6300.0000"/>
    <n v="28.8"/>
    <s v="11"/>
    <s v="6300"/>
    <n v="14702.89"/>
    <n v="28.8"/>
    <s v="CREDITOR"/>
    <n v="0"/>
    <n v="0"/>
    <n v="0"/>
    <n v="0"/>
    <n v="28.8"/>
  </r>
  <r>
    <n v="60020592"/>
    <s v="N"/>
    <n v="21349562"/>
    <s v="3000014362010021"/>
    <s v="CIVIL"/>
    <d v="2023-06-23T00:00:00"/>
    <d v="2023-07-10T19:01:40"/>
    <m/>
    <d v="2023-07-10T00:00:00"/>
    <n v="684"/>
    <n v="17252"/>
    <s v="60020592"/>
    <s v="60020592"/>
    <m/>
    <m/>
    <n v="22751294"/>
    <m/>
    <m/>
    <m/>
    <s v="SOLFIN"/>
    <s v="SOLFIN"/>
    <s v="CCMS"/>
    <n v="21349562"/>
    <n v="25487.5"/>
    <m/>
    <s v="N"/>
    <n v="20"/>
    <d v="2023-07-10T19:01:53"/>
    <s v="Y"/>
    <s v="Advocates Meeting"/>
    <s v="Public Law Children"/>
    <s v="Advocacy"/>
    <s v="LISA WILKES"/>
    <s v="Y"/>
    <n v="140.99"/>
    <n v="28.2"/>
    <x v="2"/>
    <s v="VALIDATED"/>
    <n v="1"/>
    <s v="01.11.80.308.6100.0000"/>
    <n v="140.99"/>
    <s v="11"/>
    <s v="6100"/>
    <n v="14702.89"/>
    <n v="140.99"/>
    <s v="CREDITOR"/>
    <n v="0"/>
    <n v="0"/>
    <n v="0"/>
    <n v="0"/>
    <n v="140.99"/>
  </r>
  <r>
    <n v="60020592"/>
    <s v="N"/>
    <n v="21349562"/>
    <s v="3000014362010021"/>
    <s v="CIVIL"/>
    <d v="2023-06-23T00:00:00"/>
    <d v="2023-07-10T19:01:40"/>
    <m/>
    <d v="2023-07-10T00:00:00"/>
    <n v="684"/>
    <n v="17252"/>
    <s v="60020592"/>
    <s v="60020592"/>
    <m/>
    <m/>
    <n v="22751294"/>
    <m/>
    <m/>
    <m/>
    <s v="SOLFIN"/>
    <s v="SOLFIN"/>
    <s v="CCMS"/>
    <n v="21349562"/>
    <n v="25487.5"/>
    <m/>
    <s v="N"/>
    <n v="7"/>
    <d v="2023-07-10T19:01:53"/>
    <s v="Y"/>
    <s v="Hearing Unit 1.01 - 2.30 Hours"/>
    <s v="Public Law Children"/>
    <s v="Advocacy"/>
    <s v="LISA WILKES"/>
    <s v="Y"/>
    <n v="238.46"/>
    <n v="47.69"/>
    <x v="2"/>
    <s v="VALIDATED"/>
    <n v="1"/>
    <s v="01.11.80.308.6100.0000"/>
    <n v="238.46"/>
    <s v="11"/>
    <s v="6100"/>
    <n v="14702.89"/>
    <n v="238.46"/>
    <s v="CREDITOR"/>
    <n v="0"/>
    <n v="0"/>
    <n v="0"/>
    <n v="0"/>
    <n v="238.46"/>
  </r>
  <r>
    <n v="54291642"/>
    <s v="N"/>
    <n v="21337859"/>
    <s v="3000012962730004"/>
    <s v="CIVIL"/>
    <d v="2023-06-30T00:00:00"/>
    <d v="2023-07-06T19:21:01"/>
    <m/>
    <d v="2023-07-06T00:00:00"/>
    <n v="684"/>
    <n v="17252"/>
    <s v="54291642"/>
    <s v="54291642"/>
    <m/>
    <m/>
    <n v="22794948"/>
    <m/>
    <m/>
    <m/>
    <s v="SOLPOA"/>
    <s v="SOLPOA"/>
    <s v="CCMS"/>
    <n v="21337859"/>
    <n v="2092.15"/>
    <m/>
    <s v="N"/>
    <n v="1"/>
    <d v="2023-07-06T19:21:09"/>
    <s v="N"/>
    <s v="Level 4 Fixed Fee"/>
    <s v="Private Law Children"/>
    <s v="Profit Cost"/>
    <s v="Melody Brown"/>
    <s v="N"/>
    <n v="1743.46"/>
    <n v="348.69"/>
    <x v="4"/>
    <s v="VALIDATED"/>
    <n v="1"/>
    <s v="01.11.80.307.2012.0000"/>
    <n v="1743.46"/>
    <s v="11"/>
    <s v="2012"/>
    <n v="14702.89"/>
    <n v="1743.46"/>
    <s v="CREDITOR"/>
    <n v="1743.46"/>
    <n v="435.865"/>
    <n v="0"/>
    <n v="0"/>
    <n v="0"/>
  </r>
  <r>
    <n v="60870781"/>
    <s v="N"/>
    <n v="21327696"/>
    <s v="3000015095630019"/>
    <s v="CIVIL"/>
    <d v="2023-06-13T00:00:00"/>
    <d v="2023-07-04T19:00:44"/>
    <m/>
    <d v="2023-07-04T00:00:00"/>
    <n v="684"/>
    <n v="17252"/>
    <s v="60870781"/>
    <s v="60870781"/>
    <m/>
    <m/>
    <n v="22678414"/>
    <m/>
    <m/>
    <m/>
    <s v="SOLFIN"/>
    <s v="SOLFIN"/>
    <s v="CCMS"/>
    <n v="21327696"/>
    <n v="13458.38"/>
    <m/>
    <s v="N"/>
    <n v="3"/>
    <d v="2023-07-04T19:00:52"/>
    <s v="Y"/>
    <s v="Profit Costs (Summary)"/>
    <s v="Public Law Children"/>
    <s v="Profit Cost"/>
    <s v="LISA WILKES"/>
    <s v="Y"/>
    <n v="6726.65"/>
    <n v="1345.33"/>
    <x v="1"/>
    <s v="VALIDATED"/>
    <n v="1"/>
    <s v="01.11.80.308.6100.0000"/>
    <n v="6726.65"/>
    <s v="11"/>
    <s v="6100"/>
    <n v="14702.89"/>
    <n v="6726.65"/>
    <s v="CREDITOR"/>
    <n v="0"/>
    <n v="0"/>
    <n v="0"/>
    <n v="0"/>
    <n v="6726.65"/>
  </r>
  <r>
    <n v="60020592"/>
    <s v="N"/>
    <n v="21349562"/>
    <s v="3000014362010021"/>
    <s v="CIVIL"/>
    <d v="2023-06-23T00:00:00"/>
    <d v="2023-07-10T19:01:40"/>
    <m/>
    <d v="2023-07-10T00:00:00"/>
    <n v="684"/>
    <n v="17252"/>
    <s v="60020592"/>
    <s v="60020592"/>
    <m/>
    <m/>
    <n v="22751294"/>
    <m/>
    <m/>
    <m/>
    <s v="SOLFIN"/>
    <s v="SOLFIN"/>
    <s v="CCMS"/>
    <n v="21349562"/>
    <n v="25487.5"/>
    <m/>
    <s v="N"/>
    <n v="13"/>
    <d v="2023-07-10T19:01:53"/>
    <s v="Y"/>
    <s v="Advocates Meeting"/>
    <s v="Public Law Children"/>
    <s v="Advocacy"/>
    <s v="LISA WILKES"/>
    <s v="Y"/>
    <n v="140.99"/>
    <n v="28.2"/>
    <x v="2"/>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16"/>
    <d v="2023-07-11T19:00:37"/>
    <s v="Y"/>
    <s v="Advocates Meeting"/>
    <s v="Public Law Children"/>
    <s v="Advocacy"/>
    <s v="LISA WILKES"/>
    <s v="Y"/>
    <n v="140.99"/>
    <n v="28.2"/>
    <x v="7"/>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15"/>
    <d v="2023-07-11T19:00:37"/>
    <s v="Y"/>
    <s v="Hearing Unit 2.31 - 5.00 Hours"/>
    <s v="Public Law Children"/>
    <s v="Advocacy"/>
    <s v="LISA WILKES"/>
    <s v="Y"/>
    <n v="476.92"/>
    <n v="95.38"/>
    <x v="7"/>
    <s v="VALIDATED"/>
    <n v="1"/>
    <s v="01.11.80.308.6100.0000"/>
    <n v="476.92"/>
    <s v="11"/>
    <s v="6100"/>
    <n v="14702.89"/>
    <n v="476.92"/>
    <s v="CREDITOR"/>
    <n v="0"/>
    <n v="0"/>
    <n v="0"/>
    <n v="0"/>
    <n v="476.92"/>
  </r>
  <r>
    <n v="61169541"/>
    <s v="N"/>
    <n v="21350116"/>
    <s v="3000015350570009"/>
    <s v="CIVIL"/>
    <d v="2023-06-30T00:00:00"/>
    <d v="2023-07-10T19:01:40"/>
    <m/>
    <d v="2023-07-10T00:00:00"/>
    <n v="684"/>
    <n v="17252"/>
    <s v="61169541"/>
    <s v="61169541"/>
    <m/>
    <m/>
    <n v="22799486"/>
    <m/>
    <m/>
    <m/>
    <s v="SOLFIN"/>
    <s v="SOLFIN"/>
    <s v="CCMS"/>
    <n v="21350116"/>
    <n v="7264.96"/>
    <m/>
    <s v="N"/>
    <n v="13"/>
    <d v="2023-07-10T19:02:14"/>
    <s v="Y"/>
    <s v="Hearing Unit 2.31 - 5.00 Hours"/>
    <s v="Public Law Children"/>
    <s v="Advocacy"/>
    <s v="CAROLYN BAWDEN-FROST"/>
    <s v="Y"/>
    <n v="476.92"/>
    <n v="95.38"/>
    <x v="2"/>
    <s v="VALIDATED"/>
    <n v="1"/>
    <s v="01.11.80.308.6100.0000"/>
    <n v="476.92"/>
    <s v="11"/>
    <s v="6100"/>
    <n v="14702.89"/>
    <n v="476.92"/>
    <s v="CREDITOR"/>
    <n v="0"/>
    <n v="0"/>
    <n v="0"/>
    <n v="0"/>
    <n v="476.92"/>
  </r>
  <r>
    <n v="60020592"/>
    <s v="N"/>
    <n v="21349562"/>
    <s v="3000014362010021"/>
    <s v="CIVIL"/>
    <d v="2023-06-23T00:00:00"/>
    <d v="2023-07-10T19:01:40"/>
    <m/>
    <d v="2023-07-10T00:00:00"/>
    <n v="684"/>
    <n v="17252"/>
    <s v="60020592"/>
    <s v="60020592"/>
    <m/>
    <m/>
    <n v="22751294"/>
    <m/>
    <m/>
    <m/>
    <s v="SOLFIN"/>
    <s v="SOLFIN"/>
    <s v="CCMS"/>
    <n v="21349562"/>
    <n v="25487.5"/>
    <m/>
    <s v="N"/>
    <n v="6"/>
    <d v="2023-07-10T19:01:53"/>
    <s v="Y"/>
    <s v="Hearing Unit 2.31 - 5.00 Hours"/>
    <s v="Public Law Children"/>
    <s v="Advocacy"/>
    <s v="LISA WILKES"/>
    <s v="Y"/>
    <n v="476.92"/>
    <n v="95.38"/>
    <x v="2"/>
    <s v="VALIDATED"/>
    <n v="1"/>
    <s v="01.11.80.308.6100.0000"/>
    <n v="476.92"/>
    <s v="11"/>
    <s v="6100"/>
    <n v="14702.89"/>
    <n v="476.92"/>
    <s v="CREDITOR"/>
    <n v="0"/>
    <n v="0"/>
    <n v="0"/>
    <n v="0"/>
    <n v="476.92"/>
  </r>
  <r>
    <n v="60870781"/>
    <s v="N"/>
    <n v="21327696"/>
    <s v="3000015095630019"/>
    <s v="CIVIL"/>
    <d v="2023-06-13T00:00:00"/>
    <d v="2023-07-04T19:00:44"/>
    <m/>
    <d v="2023-07-04T00:00:00"/>
    <n v="684"/>
    <n v="17252"/>
    <s v="60870781"/>
    <s v="60870781"/>
    <m/>
    <m/>
    <n v="22678414"/>
    <m/>
    <m/>
    <m/>
    <s v="SOLFIN"/>
    <s v="SOLFIN"/>
    <s v="CCMS"/>
    <n v="21327696"/>
    <n v="13458.38"/>
    <m/>
    <s v="N"/>
    <n v="10"/>
    <d v="2023-07-04T19:00:52"/>
    <s v="Y"/>
    <s v="Advocates Meeting"/>
    <s v="Public Law Children"/>
    <s v="Advocacy"/>
    <s v="LISA WILKES"/>
    <s v="Y"/>
    <n v="140.99"/>
    <n v="28.2"/>
    <x v="1"/>
    <s v="VALIDATED"/>
    <n v="1"/>
    <s v="01.11.80.308.6100.0000"/>
    <n v="140.99"/>
    <s v="11"/>
    <s v="6100"/>
    <n v="14702.89"/>
    <n v="140.99"/>
    <s v="CREDITOR"/>
    <n v="0"/>
    <n v="0"/>
    <n v="0"/>
    <n v="0"/>
    <n v="140.99"/>
  </r>
  <r>
    <n v="61396010"/>
    <s v="N"/>
    <n v="21360839"/>
    <s v="3000015539060006"/>
    <s v="CIVIL"/>
    <d v="2023-06-30T00:00:00"/>
    <d v="2023-07-11T19:00:25"/>
    <m/>
    <d v="2023-07-11T00:00:00"/>
    <n v="684"/>
    <n v="17252"/>
    <s v="61396010"/>
    <s v="61396010"/>
    <m/>
    <m/>
    <n v="22799474"/>
    <m/>
    <m/>
    <m/>
    <s v="SOLFIN"/>
    <s v="SOLFIN"/>
    <s v="CCMS"/>
    <n v="21360839"/>
    <n v="7595.3"/>
    <m/>
    <s v="N"/>
    <n v="20"/>
    <d v="2023-07-11T19:00:37"/>
    <s v="Y"/>
    <s v="Solicitors Fixed Fee"/>
    <s v="Public Law Children"/>
    <s v="Profit Cost"/>
    <s v="LISA WILKES"/>
    <s v="Y"/>
    <n v="2013"/>
    <n v="402.6"/>
    <x v="7"/>
    <s v="VALIDATED"/>
    <n v="1"/>
    <s v="01.11.80.308.6100.0000"/>
    <n v="2013"/>
    <s v="11"/>
    <s v="6100"/>
    <n v="14702.89"/>
    <n v="2013"/>
    <s v="CREDITOR"/>
    <n v="0"/>
    <n v="0"/>
    <n v="0"/>
    <n v="0"/>
    <n v="2013"/>
  </r>
  <r>
    <n v="61396010"/>
    <s v="N"/>
    <n v="21360839"/>
    <s v="3000015539060006"/>
    <s v="CIVIL"/>
    <d v="2023-06-30T00:00:00"/>
    <d v="2023-07-11T19:00:25"/>
    <m/>
    <d v="2023-07-11T00:00:00"/>
    <n v="684"/>
    <n v="17252"/>
    <s v="61396010"/>
    <s v="61396010"/>
    <m/>
    <m/>
    <n v="22799474"/>
    <m/>
    <m/>
    <m/>
    <s v="SOLFIN"/>
    <s v="SOLFIN"/>
    <s v="CCMS"/>
    <n v="21360839"/>
    <n v="7595.3"/>
    <m/>
    <s v="N"/>
    <n v="5"/>
    <d v="2023-07-11T19:00:37"/>
    <s v="Y"/>
    <s v="Exceptional Travel"/>
    <s v="Public Law Children"/>
    <s v="Advocacy"/>
    <s v="CAROLYN BAWDEN-FROST"/>
    <s v="Y"/>
    <n v="32.04"/>
    <n v="6.41"/>
    <x v="7"/>
    <s v="VALIDATED"/>
    <n v="1"/>
    <s v="01.11.80.308.6100.0000"/>
    <n v="32.04"/>
    <s v="11"/>
    <s v="6100"/>
    <n v="14702.89"/>
    <n v="32.04"/>
    <s v="CREDITOR"/>
    <n v="0"/>
    <n v="0"/>
    <n v="0"/>
    <n v="0"/>
    <n v="32.04"/>
  </r>
  <r>
    <n v="61169541"/>
    <s v="N"/>
    <n v="21350116"/>
    <s v="3000015350570009"/>
    <s v="CIVIL"/>
    <d v="2023-06-30T00:00:00"/>
    <d v="2023-07-10T19:01:40"/>
    <m/>
    <d v="2023-07-10T00:00:00"/>
    <n v="684"/>
    <n v="17252"/>
    <s v="61169541"/>
    <s v="61169541"/>
    <m/>
    <m/>
    <n v="22799486"/>
    <m/>
    <m/>
    <m/>
    <s v="SOLFIN"/>
    <s v="SOLFIN"/>
    <s v="CCMS"/>
    <n v="21350116"/>
    <n v="7264.96"/>
    <m/>
    <s v="N"/>
    <n v="10"/>
    <d v="2023-07-10T19:02:14"/>
    <s v="Y"/>
    <s v="Hearing Unit 2.31 - 5.00 Hours"/>
    <s v="Public Law Children"/>
    <s v="Advocacy"/>
    <s v="LISA WILKES"/>
    <s v="Y"/>
    <n v="476.92"/>
    <n v="95.38"/>
    <x v="2"/>
    <s v="VALIDATED"/>
    <n v="1"/>
    <s v="01.11.80.308.6100.0000"/>
    <n v="476.92"/>
    <s v="11"/>
    <s v="6100"/>
    <n v="14702.89"/>
    <n v="476.92"/>
    <s v="CREDITOR"/>
    <n v="0"/>
    <n v="0"/>
    <n v="0"/>
    <n v="0"/>
    <n v="476.92"/>
  </r>
  <r>
    <n v="60870781"/>
    <s v="N"/>
    <n v="21327696"/>
    <s v="3000015095630019"/>
    <s v="CIVIL"/>
    <d v="2023-06-13T00:00:00"/>
    <d v="2023-07-04T19:00:44"/>
    <m/>
    <d v="2023-07-04T00:00:00"/>
    <n v="684"/>
    <n v="17252"/>
    <s v="60870781"/>
    <s v="60870781"/>
    <m/>
    <m/>
    <n v="22678414"/>
    <m/>
    <m/>
    <m/>
    <s v="SOLFIN"/>
    <s v="SOLFIN"/>
    <s v="CCMS"/>
    <n v="21327696"/>
    <n v="13458.38"/>
    <m/>
    <s v="N"/>
    <n v="2"/>
    <d v="2023-07-04T19:00:52"/>
    <s v="N"/>
    <s v="Court Assess Cost LA"/>
    <s v="Public Law Children"/>
    <s v="Costs of Assessment"/>
    <s v="LISA WILKES"/>
    <s v="N"/>
    <n v="74.95"/>
    <n v="14.99"/>
    <x v="1"/>
    <s v="VALIDATED"/>
    <n v="1"/>
    <s v="01.11.80.308.6200.0000"/>
    <n v="74.95"/>
    <s v="11"/>
    <s v="6200"/>
    <n v="14702.89"/>
    <n v="74.95"/>
    <s v="CREDITOR"/>
    <n v="0"/>
    <n v="0"/>
    <n v="0"/>
    <n v="0"/>
    <n v="74.95"/>
  </r>
  <r>
    <n v="60870781"/>
    <s v="N"/>
    <n v="21327696"/>
    <s v="3000015095630019"/>
    <s v="CIVIL"/>
    <d v="2023-06-13T00:00:00"/>
    <d v="2023-07-04T19:00:44"/>
    <m/>
    <d v="2023-07-04T00:00:00"/>
    <n v="684"/>
    <n v="17252"/>
    <s v="60870781"/>
    <s v="60870781"/>
    <m/>
    <m/>
    <n v="22678414"/>
    <m/>
    <m/>
    <m/>
    <s v="SOLFIN"/>
    <s v="SOLFIN"/>
    <s v="CCMS"/>
    <n v="21327696"/>
    <n v="13458.38"/>
    <m/>
    <s v="N"/>
    <n v="5"/>
    <d v="2023-07-04T19:00:52"/>
    <s v="Y"/>
    <s v="Disbursements (Summary)"/>
    <s v="Public Law Children"/>
    <s v="Non Expert Disbursement"/>
    <s v="LISA WILKES"/>
    <s v="Y"/>
    <n v="212.3"/>
    <n v="42.46"/>
    <x v="1"/>
    <s v="VALIDATED"/>
    <n v="1"/>
    <s v="01.11.80.308.6300.0000"/>
    <n v="212.3"/>
    <s v="11"/>
    <s v="6300"/>
    <n v="14702.89"/>
    <n v="212.3"/>
    <s v="CREDITOR"/>
    <n v="0"/>
    <n v="0"/>
    <n v="0"/>
    <n v="0"/>
    <n v="212.3"/>
  </r>
  <r>
    <n v="61169541"/>
    <s v="N"/>
    <n v="21350116"/>
    <s v="3000015350570009"/>
    <s v="CIVIL"/>
    <d v="2023-06-30T00:00:00"/>
    <d v="2023-07-10T19:01:40"/>
    <m/>
    <d v="2023-07-10T00:00:00"/>
    <n v="684"/>
    <n v="17252"/>
    <s v="61169541"/>
    <s v="61169541"/>
    <m/>
    <m/>
    <n v="22799486"/>
    <m/>
    <m/>
    <m/>
    <s v="SOLFIN"/>
    <s v="SOLFIN"/>
    <s v="CCMS"/>
    <n v="21350116"/>
    <n v="7264.96"/>
    <m/>
    <s v="N"/>
    <n v="14"/>
    <d v="2023-07-10T19:02:14"/>
    <s v="Y"/>
    <s v="Hearing Unit 2.31 - 5.00 Hours"/>
    <s v="Public Law Children"/>
    <s v="Advocacy"/>
    <s v="LISA WILKES"/>
    <s v="Y"/>
    <n v="476.92"/>
    <n v="95.38"/>
    <x v="2"/>
    <s v="VALIDATED"/>
    <n v="1"/>
    <s v="01.11.80.308.6100.0000"/>
    <n v="476.92"/>
    <s v="11"/>
    <s v="6100"/>
    <n v="14702.89"/>
    <n v="476.92"/>
    <s v="CREDITOR"/>
    <n v="0"/>
    <n v="0"/>
    <n v="0"/>
    <n v="0"/>
    <n v="476.92"/>
  </r>
  <r>
    <n v="60870781"/>
    <s v="N"/>
    <n v="21327696"/>
    <s v="3000015095630019"/>
    <s v="CIVIL"/>
    <d v="2023-06-13T00:00:00"/>
    <d v="2023-07-04T19:00:44"/>
    <m/>
    <d v="2023-07-04T00:00:00"/>
    <n v="684"/>
    <n v="17252"/>
    <s v="60870781"/>
    <s v="60870781"/>
    <m/>
    <m/>
    <n v="22678414"/>
    <m/>
    <m/>
    <m/>
    <s v="SOLFIN"/>
    <s v="SOLFIN"/>
    <s v="CCMS"/>
    <n v="21327696"/>
    <n v="13458.38"/>
    <m/>
    <s v="N"/>
    <n v="13"/>
    <d v="2023-07-04T19:00:52"/>
    <s v="Y"/>
    <s v="Hearing Unit 2.31 - 5.00 Hours"/>
    <s v="Public Law Children"/>
    <s v="Advocacy"/>
    <s v="LISA WILKES"/>
    <s v="Y"/>
    <n v="476.92"/>
    <n v="95.38"/>
    <x v="1"/>
    <s v="VALIDATED"/>
    <n v="1"/>
    <s v="01.11.80.308.6100.0000"/>
    <n v="476.92"/>
    <s v="11"/>
    <s v="6100"/>
    <n v="14702.89"/>
    <n v="476.92"/>
    <s v="CREDITOR"/>
    <n v="0"/>
    <n v="0"/>
    <n v="0"/>
    <n v="0"/>
    <n v="476.92"/>
  </r>
  <r>
    <n v="61169541"/>
    <s v="N"/>
    <n v="21350116"/>
    <s v="3000015350570009"/>
    <s v="CIVIL"/>
    <d v="2023-06-30T00:00:00"/>
    <d v="2023-07-10T19:01:40"/>
    <m/>
    <d v="2023-07-10T00:00:00"/>
    <n v="684"/>
    <n v="17252"/>
    <s v="61169541"/>
    <s v="61169541"/>
    <m/>
    <m/>
    <n v="22799486"/>
    <m/>
    <m/>
    <m/>
    <s v="SOLFIN"/>
    <s v="SOLFIN"/>
    <s v="CCMS"/>
    <n v="21350116"/>
    <n v="7264.96"/>
    <m/>
    <s v="N"/>
    <n v="3"/>
    <d v="2023-07-10T19:02:14"/>
    <s v="Y"/>
    <s v="Psychologist"/>
    <s v="Public Law Children"/>
    <s v="Expert Disbursement"/>
    <s v="NORLOW LTD"/>
    <s v="Y"/>
    <n v="218.9"/>
    <n v="43.78"/>
    <x v="2"/>
    <s v="VALIDATED"/>
    <n v="1"/>
    <s v="01.11.80.308.6300.0000"/>
    <n v="218.9"/>
    <s v="11"/>
    <s v="6300"/>
    <n v="14702.89"/>
    <n v="218.9"/>
    <s v="CREDITOR"/>
    <n v="0"/>
    <n v="0"/>
    <n v="0"/>
    <n v="0"/>
    <n v="218.9"/>
  </r>
  <r>
    <n v="61169541"/>
    <s v="N"/>
    <n v="21350116"/>
    <s v="3000015350570009"/>
    <s v="CIVIL"/>
    <d v="2023-06-30T00:00:00"/>
    <d v="2023-07-10T19:01:40"/>
    <m/>
    <d v="2023-07-10T00:00:00"/>
    <n v="684"/>
    <n v="17252"/>
    <s v="61169541"/>
    <s v="61169541"/>
    <m/>
    <m/>
    <n v="22799486"/>
    <m/>
    <m/>
    <m/>
    <s v="SOLFIN"/>
    <s v="SOLFIN"/>
    <s v="CCMS"/>
    <n v="21350116"/>
    <n v="7264.96"/>
    <m/>
    <s v="N"/>
    <n v="6"/>
    <d v="2023-07-10T19:02:14"/>
    <s v="Y"/>
    <s v="Solicitor Travel Expenses"/>
    <s v="Public Law Children"/>
    <s v="Non Expert Disbursement"/>
    <s v="CAROLYN BAWDEN-FROST"/>
    <s v="Y"/>
    <n v="6.4"/>
    <n v="1.28"/>
    <x v="2"/>
    <s v="VALIDATED"/>
    <n v="1"/>
    <s v="01.11.80.308.6300.0000"/>
    <n v="6.4"/>
    <s v="11"/>
    <s v="6300"/>
    <n v="14702.89"/>
    <n v="6.4"/>
    <s v="CREDITOR"/>
    <n v="0"/>
    <n v="0"/>
    <n v="0"/>
    <n v="0"/>
    <n v="6.4"/>
  </r>
  <r>
    <n v="61217935"/>
    <s v="N"/>
    <n v="21369667"/>
    <s v="3000015389440005"/>
    <s v="CIVIL"/>
    <d v="2023-06-13T00:00:00"/>
    <d v="2023-07-13T19:21:05"/>
    <m/>
    <d v="2023-07-13T00:00:00"/>
    <n v="692"/>
    <n v="15319"/>
    <s v="61217935"/>
    <s v="61217935"/>
    <m/>
    <m/>
    <n v="22676732"/>
    <m/>
    <m/>
    <m/>
    <s v="SOLFIN"/>
    <s v="SOLFIN"/>
    <s v="CCMS"/>
    <n v="21369667"/>
    <n v="8651.5"/>
    <m/>
    <s v="N"/>
    <n v="87"/>
    <d v="2023-07-13T19:21:10"/>
    <s v="Y"/>
    <s v="Preparation - other"/>
    <s v="Care Remuneration Hourly Rates"/>
    <s v="Profit Cost"/>
    <s v="Liz Miles"/>
    <s v="Y"/>
    <n v="181.37"/>
    <n v="36.27"/>
    <x v="11"/>
    <s v="VALIDATED"/>
    <n v="1"/>
    <s v="01.11.80.308.6100.0000"/>
    <n v="181.37"/>
    <s v="11"/>
    <s v="6100"/>
    <n v="6420.96"/>
    <n v="181.37"/>
    <s v="CREDITOR"/>
    <n v="0"/>
    <n v="0"/>
    <n v="0"/>
    <n v="0"/>
    <n v="181.37"/>
  </r>
  <r>
    <n v="61217935"/>
    <s v="N"/>
    <n v="21369667"/>
    <s v="3000015389440005"/>
    <s v="CIVIL"/>
    <d v="2023-06-13T00:00:00"/>
    <d v="2023-07-13T19:21:05"/>
    <m/>
    <d v="2023-07-13T00:00:00"/>
    <n v="692"/>
    <n v="15319"/>
    <s v="61217935"/>
    <s v="61217935"/>
    <m/>
    <m/>
    <n v="22676732"/>
    <m/>
    <m/>
    <m/>
    <s v="SOLFIN"/>
    <s v="SOLFIN"/>
    <s v="CCMS"/>
    <n v="21369667"/>
    <n v="8651.5"/>
    <m/>
    <s v="N"/>
    <n v="76"/>
    <d v="2023-07-13T19:21:10"/>
    <s v="Y"/>
    <s v="Preparation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89"/>
    <d v="2023-07-13T19:21:10"/>
    <s v="Y"/>
    <s v="Attendance upon client"/>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10"/>
    <d v="2023-07-13T19:21:10"/>
    <s v="Y"/>
    <s v="Preparation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16"/>
    <d v="2023-07-13T19:21:10"/>
    <s v="Y"/>
    <s v="Preparation - drafting statement"/>
    <s v="Care Remuneration Hourly Rates"/>
    <s v="Profit Cost"/>
    <s v="Liz Miles"/>
    <s v="Y"/>
    <n v="18.14"/>
    <n v="3.17"/>
    <x v="11"/>
    <s v="VALIDATED"/>
    <n v="1"/>
    <s v="01.11.80.308.6100.0000"/>
    <n v="18.14"/>
    <s v="11"/>
    <s v="6100"/>
    <n v="6420.96"/>
    <n v="18.14"/>
    <s v="CREDITOR"/>
    <n v="0"/>
    <n v="0"/>
    <n v="0"/>
    <n v="0"/>
    <n v="18.14"/>
  </r>
  <r>
    <n v="61217935"/>
    <s v="N"/>
    <n v="21369667"/>
    <s v="3000015389440005"/>
    <s v="CIVIL"/>
    <d v="2023-06-13T00:00:00"/>
    <d v="2023-07-13T19:21:05"/>
    <m/>
    <d v="2023-07-13T00:00:00"/>
    <n v="692"/>
    <n v="15319"/>
    <s v="61217935"/>
    <s v="61217935"/>
    <m/>
    <m/>
    <n v="22676732"/>
    <m/>
    <m/>
    <m/>
    <s v="SOLFIN"/>
    <s v="SOLFIN"/>
    <s v="CCMS"/>
    <n v="21369667"/>
    <n v="8651.5"/>
    <m/>
    <s v="N"/>
    <n v="20"/>
    <d v="2023-07-13T19:21:10"/>
    <s v="Y"/>
    <s v="Report - Medical report"/>
    <s v="Care Remuneration Hourly Rates"/>
    <s v="Profit Cost"/>
    <s v="Liz Miles"/>
    <s v="Y"/>
    <n v="60.46"/>
    <n v="12.09"/>
    <x v="11"/>
    <s v="VALIDATED"/>
    <n v="1"/>
    <s v="01.11.80.308.6100.0000"/>
    <n v="60.46"/>
    <s v="11"/>
    <s v="6100"/>
    <n v="6420.96"/>
    <n v="60.46"/>
    <s v="CREDITOR"/>
    <n v="0"/>
    <n v="0"/>
    <n v="0"/>
    <n v="0"/>
    <n v="60.46"/>
  </r>
  <r>
    <n v="61217935"/>
    <s v="N"/>
    <n v="21369667"/>
    <s v="3000015389440005"/>
    <s v="CIVIL"/>
    <d v="2023-06-13T00:00:00"/>
    <d v="2023-07-13T19:21:05"/>
    <m/>
    <d v="2023-07-13T00:00:00"/>
    <n v="692"/>
    <n v="15319"/>
    <s v="61217935"/>
    <s v="61217935"/>
    <m/>
    <m/>
    <n v="22676732"/>
    <m/>
    <m/>
    <m/>
    <s v="SOLFIN"/>
    <s v="SOLFIN"/>
    <s v="CCMS"/>
    <n v="21369667"/>
    <n v="8651.5"/>
    <m/>
    <s v="N"/>
    <n v="55"/>
    <d v="2023-07-13T19:21:10"/>
    <s v="Y"/>
    <s v="Report - Welfare report"/>
    <s v="Care Remuneration Hourly Rates"/>
    <s v="Profit Cost"/>
    <s v="Liz Miles"/>
    <s v="Y"/>
    <n v="48.37"/>
    <n v="9.67"/>
    <x v="11"/>
    <s v="VALIDATED"/>
    <n v="1"/>
    <s v="01.11.80.308.6100.0000"/>
    <n v="48.37"/>
    <s v="11"/>
    <s v="6100"/>
    <n v="6420.96"/>
    <n v="48.37"/>
    <s v="CREDITOR"/>
    <n v="0"/>
    <n v="0"/>
    <n v="0"/>
    <n v="0"/>
    <n v="48.37"/>
  </r>
  <r>
    <n v="61217935"/>
    <s v="N"/>
    <n v="21369667"/>
    <s v="3000015389440005"/>
    <s v="CIVIL"/>
    <d v="2023-06-13T00:00:00"/>
    <d v="2023-07-13T19:21:05"/>
    <m/>
    <d v="2023-07-13T00:00:00"/>
    <n v="692"/>
    <n v="15319"/>
    <s v="61217935"/>
    <s v="61217935"/>
    <m/>
    <m/>
    <n v="22676732"/>
    <m/>
    <m/>
    <m/>
    <s v="SOLFIN"/>
    <s v="SOLFIN"/>
    <s v="CCMS"/>
    <n v="21369667"/>
    <n v="8651.5"/>
    <m/>
    <s v="N"/>
    <n v="71"/>
    <d v="2023-07-13T19:21:10"/>
    <s v="Y"/>
    <s v="Report - Welfare report"/>
    <s v="Care Remuneration Hourly Rates"/>
    <s v="Profit Cost"/>
    <s v="Liz Miles"/>
    <s v="Y"/>
    <n v="18.14"/>
    <n v="3.63"/>
    <x v="11"/>
    <s v="VALIDATED"/>
    <n v="1"/>
    <s v="01.11.80.308.6100.0000"/>
    <n v="18.14"/>
    <s v="11"/>
    <s v="6100"/>
    <n v="6420.96"/>
    <n v="18.14"/>
    <s v="CREDITOR"/>
    <n v="0"/>
    <n v="0"/>
    <n v="0"/>
    <n v="0"/>
    <n v="18.14"/>
  </r>
  <r>
    <n v="61217935"/>
    <s v="N"/>
    <n v="21369667"/>
    <s v="3000015389440005"/>
    <s v="CIVIL"/>
    <d v="2023-06-13T00:00:00"/>
    <d v="2023-07-13T19:21:05"/>
    <m/>
    <d v="2023-07-13T00:00:00"/>
    <n v="692"/>
    <n v="15319"/>
    <s v="61217935"/>
    <s v="61217935"/>
    <m/>
    <m/>
    <n v="22676732"/>
    <m/>
    <m/>
    <m/>
    <s v="SOLFIN"/>
    <s v="SOLFIN"/>
    <s v="CCMS"/>
    <n v="21369667"/>
    <n v="8651.5"/>
    <m/>
    <s v="N"/>
    <n v="93"/>
    <d v="2023-07-13T19:21:10"/>
    <s v="N"/>
    <s v="Solicitors Fixed Fee"/>
    <s v="Public Law Children"/>
    <s v="Profit Cost"/>
    <s v="Liz Miles"/>
    <s v="N"/>
    <n v="0"/>
    <n v="0"/>
    <x v="11"/>
    <s v="VALIDATED"/>
    <n v="1"/>
    <s v="01.11.80.308.6100.0000"/>
    <n v="0"/>
    <s v="11"/>
    <s v="6100"/>
    <n v="6420.96"/>
    <n v="0"/>
    <s v="CREDITOR"/>
    <n v="0"/>
    <n v="0"/>
    <n v="0"/>
    <n v="0"/>
    <n v="0"/>
  </r>
  <r>
    <n v="61217935"/>
    <s v="N"/>
    <n v="21369667"/>
    <s v="3000015389440005"/>
    <s v="CIVIL"/>
    <d v="2023-06-13T00:00:00"/>
    <d v="2023-07-13T19:21:05"/>
    <m/>
    <d v="2023-07-13T00:00:00"/>
    <n v="692"/>
    <n v="15319"/>
    <s v="61217935"/>
    <s v="61217935"/>
    <m/>
    <m/>
    <n v="22676732"/>
    <m/>
    <m/>
    <m/>
    <s v="SOLFIN"/>
    <s v="SOLFIN"/>
    <s v="CCMS"/>
    <n v="21369667"/>
    <n v="8651.5"/>
    <m/>
    <s v="N"/>
    <n v="23"/>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37"/>
    <d v="2023-07-13T19:21:10"/>
    <s v="Y"/>
    <s v="Preparation - other"/>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59"/>
    <d v="2023-07-13T19:21:10"/>
    <s v="Y"/>
    <s v="Preparation - drafting statement"/>
    <s v="Care Remuneration Hourly Rates"/>
    <s v="Profit Cost"/>
    <s v="Liz Miles"/>
    <s v="Y"/>
    <n v="30.23"/>
    <n v="6.05"/>
    <x v="11"/>
    <s v="VALIDATED"/>
    <n v="1"/>
    <s v="01.11.80.308.6100.0000"/>
    <n v="30.23"/>
    <s v="11"/>
    <s v="6100"/>
    <n v="6420.96"/>
    <n v="30.23"/>
    <s v="CREDITOR"/>
    <n v="0"/>
    <n v="0"/>
    <n v="0"/>
    <n v="0"/>
    <n v="30.23"/>
  </r>
  <r>
    <n v="61217935"/>
    <s v="N"/>
    <n v="21369667"/>
    <s v="3000015389440005"/>
    <s v="CIVIL"/>
    <d v="2023-06-13T00:00:00"/>
    <d v="2023-07-13T19:21:05"/>
    <m/>
    <d v="2023-07-13T00:00:00"/>
    <n v="692"/>
    <n v="15319"/>
    <s v="61217935"/>
    <s v="61217935"/>
    <m/>
    <m/>
    <n v="22676732"/>
    <m/>
    <m/>
    <m/>
    <s v="SOLFIN"/>
    <s v="SOLFIN"/>
    <s v="CCMS"/>
    <n v="21369667"/>
    <n v="8651.5"/>
    <m/>
    <s v="N"/>
    <n v="14"/>
    <d v="2023-07-13T19:21:10"/>
    <s v="Y"/>
    <s v="Attendance upon clien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67"/>
    <d v="2023-07-13T19:21:10"/>
    <s v="Y"/>
    <s v="Attendance upon witness"/>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6"/>
    <d v="2023-07-13T19:21:10"/>
    <s v="Y"/>
    <s v="Preparation - drafting application"/>
    <s v="Care Remuneration Hourly Rates"/>
    <s v="Profit Cost"/>
    <s v="Liz Miles"/>
    <s v="Y"/>
    <n v="30.23"/>
    <n v="6.05"/>
    <x v="11"/>
    <s v="VALIDATED"/>
    <n v="1"/>
    <s v="01.11.80.308.6100.0000"/>
    <n v="30.23"/>
    <s v="11"/>
    <s v="6100"/>
    <n v="6420.96"/>
    <n v="30.23"/>
    <s v="CREDITOR"/>
    <n v="0"/>
    <n v="0"/>
    <n v="0"/>
    <n v="0"/>
    <n v="30.23"/>
  </r>
  <r>
    <n v="61217935"/>
    <s v="N"/>
    <n v="21369667"/>
    <s v="3000015389440005"/>
    <s v="CIVIL"/>
    <d v="2023-06-13T00:00:00"/>
    <d v="2023-07-13T19:21:05"/>
    <m/>
    <d v="2023-07-13T00:00:00"/>
    <n v="692"/>
    <n v="15319"/>
    <s v="61217935"/>
    <s v="61217935"/>
    <m/>
    <m/>
    <n v="22676732"/>
    <m/>
    <m/>
    <m/>
    <s v="SOLFIN"/>
    <s v="SOLFIN"/>
    <s v="CCMS"/>
    <n v="21369667"/>
    <n v="8651.5"/>
    <m/>
    <s v="N"/>
    <n v="12"/>
    <d v="2023-07-13T19:21:10"/>
    <s v="Y"/>
    <s v="Report - other"/>
    <s v="Care Remuneration Hourly Rates"/>
    <s v="Profit Cost"/>
    <s v="Liz Miles"/>
    <s v="Y"/>
    <n v="18.14"/>
    <n v="3.63"/>
    <x v="11"/>
    <s v="VALIDATED"/>
    <n v="1"/>
    <s v="01.11.80.308.6100.0000"/>
    <n v="18.14"/>
    <s v="11"/>
    <s v="6100"/>
    <n v="6420.96"/>
    <n v="18.14"/>
    <s v="CREDITOR"/>
    <n v="0"/>
    <n v="0"/>
    <n v="0"/>
    <n v="0"/>
    <n v="18.14"/>
  </r>
  <r>
    <n v="61217935"/>
    <s v="N"/>
    <n v="21369667"/>
    <s v="3000015389440005"/>
    <s v="CIVIL"/>
    <d v="2023-06-13T00:00:00"/>
    <d v="2023-07-13T19:21:05"/>
    <m/>
    <d v="2023-07-13T00:00:00"/>
    <n v="692"/>
    <n v="15319"/>
    <s v="61217935"/>
    <s v="61217935"/>
    <m/>
    <m/>
    <n v="22676732"/>
    <m/>
    <m/>
    <m/>
    <s v="SOLFIN"/>
    <s v="SOLFIN"/>
    <s v="CCMS"/>
    <n v="21369667"/>
    <n v="8651.5"/>
    <m/>
    <s v="N"/>
    <n v="84"/>
    <d v="2023-07-13T19:21:10"/>
    <s v="Y"/>
    <s v="Attendance upon client"/>
    <s v="Care Remuneration Hourly Rates"/>
    <s v="Profit Cost"/>
    <s v="Liz Miles"/>
    <s v="Y"/>
    <n v="181.37"/>
    <n v="36.27"/>
    <x v="11"/>
    <s v="VALIDATED"/>
    <n v="1"/>
    <s v="01.11.80.308.6100.0000"/>
    <n v="181.37"/>
    <s v="11"/>
    <s v="6100"/>
    <n v="6420.96"/>
    <n v="181.37"/>
    <s v="CREDITOR"/>
    <n v="0"/>
    <n v="0"/>
    <n v="0"/>
    <n v="0"/>
    <n v="181.37"/>
  </r>
  <r>
    <n v="61217935"/>
    <s v="N"/>
    <n v="21369667"/>
    <s v="3000015389440005"/>
    <s v="CIVIL"/>
    <d v="2023-06-13T00:00:00"/>
    <d v="2023-07-13T19:21:05"/>
    <m/>
    <d v="2023-07-13T00:00:00"/>
    <n v="692"/>
    <n v="15319"/>
    <s v="61217935"/>
    <s v="61217935"/>
    <m/>
    <m/>
    <n v="22676732"/>
    <m/>
    <m/>
    <m/>
    <s v="SOLFIN"/>
    <s v="SOLFIN"/>
    <s v="CCMS"/>
    <n v="21369667"/>
    <n v="8651.5"/>
    <m/>
    <s v="N"/>
    <n v="79"/>
    <d v="2023-07-13T19:21:10"/>
    <s v="Y"/>
    <s v="Attendance upon clien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46"/>
    <d v="2023-07-13T19:21:10"/>
    <s v="Y"/>
    <s v="Routine Telephone Call"/>
    <s v="Care Remuneration Hourly Rates"/>
    <s v="Profit Cost"/>
    <s v="Liz Miles"/>
    <s v="Y"/>
    <n v="38.19"/>
    <n v="7.64"/>
    <x v="11"/>
    <s v="VALIDATED"/>
    <n v="1"/>
    <s v="01.11.80.308.6100.0000"/>
    <n v="38.19"/>
    <s v="11"/>
    <s v="6100"/>
    <n v="6420.96"/>
    <n v="38.19"/>
    <s v="CREDITOR"/>
    <n v="0"/>
    <n v="0"/>
    <n v="0"/>
    <n v="0"/>
    <n v="38.19"/>
  </r>
  <r>
    <n v="61217935"/>
    <s v="N"/>
    <n v="21369667"/>
    <s v="3000015389440005"/>
    <s v="CIVIL"/>
    <d v="2023-06-13T00:00:00"/>
    <d v="2023-07-13T19:21:05"/>
    <m/>
    <d v="2023-07-13T00:00:00"/>
    <n v="692"/>
    <n v="15319"/>
    <s v="61217935"/>
    <s v="61217935"/>
    <m/>
    <m/>
    <n v="22676732"/>
    <m/>
    <m/>
    <m/>
    <s v="SOLFIN"/>
    <s v="SOLFIN"/>
    <s v="CCMS"/>
    <n v="21369667"/>
    <n v="8651.5"/>
    <m/>
    <s v="N"/>
    <n v="81"/>
    <d v="2023-07-13T19:21:10"/>
    <s v="Y"/>
    <s v="Preparation - drafting statement"/>
    <s v="Care Remuneration Hourly Rates"/>
    <s v="Profit Cost"/>
    <s v="Liz Miles"/>
    <s v="Y"/>
    <n v="60.46"/>
    <n v="12.09"/>
    <x v="11"/>
    <s v="VALIDATED"/>
    <n v="1"/>
    <s v="01.11.80.308.6100.0000"/>
    <n v="60.46"/>
    <s v="11"/>
    <s v="6100"/>
    <n v="6420.96"/>
    <n v="60.46"/>
    <s v="CREDITOR"/>
    <n v="0"/>
    <n v="0"/>
    <n v="0"/>
    <n v="0"/>
    <n v="60.46"/>
  </r>
  <r>
    <n v="61217935"/>
    <s v="N"/>
    <n v="21369667"/>
    <s v="3000015389440005"/>
    <s v="CIVIL"/>
    <d v="2023-06-13T00:00:00"/>
    <d v="2023-07-13T19:21:05"/>
    <m/>
    <d v="2023-07-13T00:00:00"/>
    <n v="692"/>
    <n v="15319"/>
    <s v="61217935"/>
    <s v="61217935"/>
    <m/>
    <m/>
    <n v="22676732"/>
    <m/>
    <m/>
    <m/>
    <s v="SOLFIN"/>
    <s v="SOLFIN"/>
    <s v="CCMS"/>
    <n v="21369667"/>
    <n v="8651.5"/>
    <m/>
    <s v="N"/>
    <n v="29"/>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85"/>
    <d v="2023-07-13T19:21:10"/>
    <s v="Y"/>
    <s v="Preparation - drafting statement"/>
    <s v="Care Remuneration Hourly Rates"/>
    <s v="Profit Cost"/>
    <s v="Liz Miles"/>
    <s v="Y"/>
    <n v="60.46"/>
    <n v="12.09"/>
    <x v="11"/>
    <s v="VALIDATED"/>
    <n v="1"/>
    <s v="01.11.80.308.6100.0000"/>
    <n v="60.46"/>
    <s v="11"/>
    <s v="6100"/>
    <n v="6420.96"/>
    <n v="60.46"/>
    <s v="CREDITOR"/>
    <n v="0"/>
    <n v="0"/>
    <n v="0"/>
    <n v="0"/>
    <n v="60.46"/>
  </r>
  <r>
    <n v="61217935"/>
    <s v="N"/>
    <n v="21369667"/>
    <s v="3000015389440005"/>
    <s v="CIVIL"/>
    <d v="2023-06-13T00:00:00"/>
    <d v="2023-07-13T19:21:05"/>
    <m/>
    <d v="2023-07-13T00:00:00"/>
    <n v="692"/>
    <n v="15319"/>
    <s v="61217935"/>
    <s v="61217935"/>
    <m/>
    <m/>
    <n v="22676732"/>
    <m/>
    <m/>
    <m/>
    <s v="SOLFIN"/>
    <s v="SOLFIN"/>
    <s v="CCMS"/>
    <n v="21369667"/>
    <n v="8651.5"/>
    <m/>
    <s v="N"/>
    <n v="70"/>
    <d v="2023-07-13T19:21:10"/>
    <s v="Y"/>
    <s v="Report - Medical repor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74"/>
    <d v="2023-07-13T19:21:10"/>
    <s v="Y"/>
    <s v="Preparation - drafting statement"/>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13"/>
    <d v="2023-07-13T19:21:10"/>
    <s v="Y"/>
    <s v="Preparation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25"/>
    <d v="2023-07-13T19:21:10"/>
    <s v="Y"/>
    <s v="Preparation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31"/>
    <d v="2023-07-13T19:21:10"/>
    <s v="Y"/>
    <s v="Report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50"/>
    <d v="2023-07-13T19:21:10"/>
    <s v="Y"/>
    <s v="Report - Welfare repor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53"/>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71608"/>
    <s v="3000015389440004RC"/>
    <s v="CIVIL"/>
    <d v="2023-06-13T00:00:00"/>
    <d v="2023-07-13T19:53:16"/>
    <m/>
    <d v="2023-07-13T00:00:00"/>
    <n v="692"/>
    <n v="15319"/>
    <s v="61217935"/>
    <s v="61217935"/>
    <m/>
    <m/>
    <m/>
    <m/>
    <m/>
    <m/>
    <s v="SOLRECOUP"/>
    <s v="SOLRECOUP"/>
    <s v="POARECOUP"/>
    <n v="21371608"/>
    <n v="-560.25"/>
    <m/>
    <s v="Y"/>
    <n v="1"/>
    <d v="2023-07-13T19:53:16"/>
    <s v="N"/>
    <m/>
    <m/>
    <s v="Expert Disbursement"/>
    <m/>
    <s v="N"/>
    <n v="-560.25"/>
    <n v="0"/>
    <x v="11"/>
    <s v="VALIDATED"/>
    <n v="1"/>
    <s v="01.11.80.308.2013.0000"/>
    <n v="-560.25"/>
    <s v="11"/>
    <s v="2013"/>
    <n v="6420.96"/>
    <n v="-560.25"/>
    <s v="CREDITOR"/>
    <n v="0"/>
    <n v="0"/>
    <n v="-560.25"/>
    <n v="0"/>
    <n v="0"/>
  </r>
  <r>
    <n v="61217935"/>
    <s v="N"/>
    <n v="21371607"/>
    <s v="3000015389440002RC"/>
    <s v="CIVIL"/>
    <d v="2023-06-13T00:00:00"/>
    <d v="2023-07-13T19:53:16"/>
    <m/>
    <d v="2023-07-13T00:00:00"/>
    <n v="692"/>
    <n v="15319"/>
    <s v="61217935"/>
    <s v="61217935"/>
    <m/>
    <m/>
    <m/>
    <m/>
    <m/>
    <m/>
    <s v="SOLRECOUP"/>
    <s v="SOLRECOUP"/>
    <s v="POARECOUP"/>
    <n v="21371607"/>
    <n v="-324"/>
    <m/>
    <s v="Y"/>
    <n v="1"/>
    <d v="2023-07-13T19:53:16"/>
    <s v="N"/>
    <m/>
    <m/>
    <s v="Expert Disbursement"/>
    <m/>
    <s v="N"/>
    <n v="-270"/>
    <n v="0"/>
    <x v="11"/>
    <s v="VALIDATED"/>
    <n v="1"/>
    <s v="01.11.80.308.2013.0000"/>
    <n v="-270"/>
    <s v="11"/>
    <s v="2013"/>
    <n v="6420.96"/>
    <n v="-270"/>
    <s v="CREDITOR"/>
    <n v="0"/>
    <n v="0"/>
    <n v="-270"/>
    <n v="0"/>
    <n v="0"/>
  </r>
  <r>
    <n v="61217935"/>
    <s v="N"/>
    <n v="21371607"/>
    <s v="3000015389440002RC"/>
    <s v="CIVIL"/>
    <d v="2023-06-13T00:00:00"/>
    <d v="2023-07-13T19:53:16"/>
    <m/>
    <d v="2023-07-13T00:00:00"/>
    <n v="692"/>
    <n v="15319"/>
    <s v="61217935"/>
    <s v="61217935"/>
    <m/>
    <m/>
    <m/>
    <m/>
    <m/>
    <m/>
    <s v="SOLRECOUP"/>
    <s v="SOLRECOUP"/>
    <s v="POARECOUP"/>
    <n v="21371607"/>
    <n v="-324"/>
    <m/>
    <s v="Y"/>
    <n v="2"/>
    <d v="2023-07-13T19:53:16"/>
    <s v="N"/>
    <m/>
    <m/>
    <s v="Expert Disbursement"/>
    <m/>
    <s v="N"/>
    <n v="0"/>
    <n v="-54"/>
    <x v="11"/>
    <s v="VALIDATED"/>
    <n v="1"/>
    <s v="01.11.80.308.2013.0000"/>
    <n v="-54"/>
    <s v="11"/>
    <s v="2013"/>
    <n v="6420.96"/>
    <n v="-54"/>
    <s v="CREDITOR"/>
    <n v="0"/>
    <n v="0"/>
    <n v="-54"/>
    <n v="0"/>
    <n v="0"/>
  </r>
  <r>
    <n v="61217935"/>
    <s v="N"/>
    <n v="21371608"/>
    <s v="3000015389440004RC"/>
    <s v="CIVIL"/>
    <d v="2023-06-13T00:00:00"/>
    <d v="2023-07-13T19:53:16"/>
    <m/>
    <d v="2023-07-13T00:00:00"/>
    <n v="692"/>
    <n v="15319"/>
    <s v="61217935"/>
    <s v="61217935"/>
    <m/>
    <m/>
    <m/>
    <m/>
    <m/>
    <m/>
    <s v="SOLRECOUP"/>
    <s v="SOLRECOUP"/>
    <s v="POARECOUP"/>
    <n v="21371608"/>
    <n v="-560.25"/>
    <m/>
    <s v="Y"/>
    <n v="2"/>
    <d v="2023-07-13T19:53:16"/>
    <s v="N"/>
    <m/>
    <m/>
    <s v="Expert Disbursement"/>
    <m/>
    <s v="N"/>
    <n v="0"/>
    <n v="0"/>
    <x v="11"/>
    <s v="VALIDATED"/>
    <n v="1"/>
    <s v="01.11.80.000.0000.0000"/>
    <n v="0"/>
    <s v="11"/>
    <s v="0000"/>
    <n v="6420.96"/>
    <n v="0"/>
    <s v="CREDITOR"/>
    <n v="0"/>
    <n v="0"/>
    <n v="0"/>
    <n v="0"/>
    <n v="0"/>
  </r>
  <r>
    <n v="61217935"/>
    <s v="N"/>
    <n v="21369667"/>
    <s v="3000015389440005"/>
    <s v="CIVIL"/>
    <d v="2023-06-13T00:00:00"/>
    <d v="2023-07-13T19:21:05"/>
    <m/>
    <d v="2023-07-13T00:00:00"/>
    <n v="692"/>
    <n v="15319"/>
    <s v="61217935"/>
    <s v="61217935"/>
    <m/>
    <m/>
    <n v="22676732"/>
    <m/>
    <m/>
    <m/>
    <s v="SOLFIN"/>
    <s v="SOLFIN"/>
    <s v="CCMS"/>
    <n v="21369667"/>
    <n v="8651.5"/>
    <m/>
    <s v="N"/>
    <n v="33"/>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72"/>
    <d v="2023-07-13T19:21:10"/>
    <s v="Y"/>
    <s v="Attendance upon witness"/>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2"/>
    <d v="2023-07-13T19:21:10"/>
    <s v="Y"/>
    <s v="Interim Hearing Court Bundle/Advoca"/>
    <s v="Public Law Children"/>
    <s v="Advocacy"/>
    <s v="Liz Miles"/>
    <s v="Y"/>
    <n v="89.09999999999999"/>
    <n v="17.82"/>
    <x v="11"/>
    <s v="VALIDATED"/>
    <n v="1"/>
    <s v="01.11.80.308.6100.0000"/>
    <n v="89.09999999999999"/>
    <s v="11"/>
    <s v="6100"/>
    <n v="6420.96"/>
    <n v="89.09999999999999"/>
    <s v="CREDITOR"/>
    <n v="0"/>
    <n v="0"/>
    <n v="0"/>
    <n v="0"/>
    <n v="89.09999999999999"/>
  </r>
  <r>
    <n v="61217935"/>
    <s v="N"/>
    <n v="21369667"/>
    <s v="3000015389440005"/>
    <s v="CIVIL"/>
    <d v="2023-06-13T00:00:00"/>
    <d v="2023-07-13T19:21:05"/>
    <m/>
    <d v="2023-07-13T00:00:00"/>
    <n v="692"/>
    <n v="15319"/>
    <s v="61217935"/>
    <s v="61217935"/>
    <m/>
    <m/>
    <n v="22676732"/>
    <m/>
    <m/>
    <m/>
    <s v="SOLFIN"/>
    <s v="SOLFIN"/>
    <s v="CCMS"/>
    <n v="21369667"/>
    <n v="8651.5"/>
    <m/>
    <s v="N"/>
    <n v="43"/>
    <d v="2023-07-13T19:21:10"/>
    <s v="Y"/>
    <s v="Preparation - other"/>
    <s v="Care Remuneration Hourly Rates"/>
    <s v="Profit Cost"/>
    <s v="Liz Miles"/>
    <s v="Y"/>
    <n v="24.18"/>
    <n v="4.84"/>
    <x v="11"/>
    <s v="VALIDATED"/>
    <n v="1"/>
    <s v="01.11.80.308.6100.0000"/>
    <n v="24.18"/>
    <s v="11"/>
    <s v="6100"/>
    <n v="6420.96"/>
    <n v="24.18"/>
    <s v="CREDITOR"/>
    <n v="0"/>
    <n v="0"/>
    <n v="0"/>
    <n v="0"/>
    <n v="24.18"/>
  </r>
  <r>
    <n v="61217935"/>
    <s v="N"/>
    <n v="21369667"/>
    <s v="3000015389440005"/>
    <s v="CIVIL"/>
    <d v="2023-06-13T00:00:00"/>
    <d v="2023-07-13T19:21:05"/>
    <m/>
    <d v="2023-07-13T00:00:00"/>
    <n v="692"/>
    <n v="15319"/>
    <s v="61217935"/>
    <s v="61217935"/>
    <m/>
    <m/>
    <n v="22676732"/>
    <m/>
    <m/>
    <m/>
    <s v="SOLFIN"/>
    <s v="SOLFIN"/>
    <s v="CCMS"/>
    <n v="21369667"/>
    <n v="8651.5"/>
    <m/>
    <s v="N"/>
    <n v="9"/>
    <d v="2023-07-13T19:21:10"/>
    <s v="Y"/>
    <s v="Preparation - drafting instructions"/>
    <s v="Care Remuneration Hourly Rates"/>
    <s v="Profit Cost"/>
    <s v="Liz Miles"/>
    <s v="Y"/>
    <n v="30.23"/>
    <n v="6.05"/>
    <x v="11"/>
    <s v="VALIDATED"/>
    <n v="1"/>
    <s v="01.11.80.308.6100.0000"/>
    <n v="30.23"/>
    <s v="11"/>
    <s v="6100"/>
    <n v="6420.96"/>
    <n v="30.23"/>
    <s v="CREDITOR"/>
    <n v="0"/>
    <n v="0"/>
    <n v="0"/>
    <n v="0"/>
    <n v="30.23"/>
  </r>
  <r>
    <n v="61217935"/>
    <s v="N"/>
    <n v="21369667"/>
    <s v="3000015389440005"/>
    <s v="CIVIL"/>
    <d v="2023-06-13T00:00:00"/>
    <d v="2023-07-13T19:21:05"/>
    <m/>
    <d v="2023-07-13T00:00:00"/>
    <n v="692"/>
    <n v="15319"/>
    <s v="61217935"/>
    <s v="61217935"/>
    <m/>
    <m/>
    <n v="22676732"/>
    <m/>
    <m/>
    <m/>
    <s v="SOLFIN"/>
    <s v="SOLFIN"/>
    <s v="CCMS"/>
    <n v="21369667"/>
    <n v="8651.5"/>
    <m/>
    <s v="N"/>
    <n v="39"/>
    <d v="2023-07-13T19:21:10"/>
    <s v="Y"/>
    <s v="Report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41"/>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40"/>
    <d v="2023-07-13T19:21:10"/>
    <s v="Y"/>
    <s v="Routine Letter In"/>
    <s v="Care Remuneration Hourly Rates"/>
    <s v="Profit Cost"/>
    <s v="Liz Miles"/>
    <s v="Y"/>
    <n v="1680.73"/>
    <n v="336.15"/>
    <x v="11"/>
    <s v="VALIDATED"/>
    <n v="1"/>
    <s v="01.11.80.308.6100.0000"/>
    <n v="1680.73"/>
    <s v="11"/>
    <s v="6100"/>
    <n v="6420.96"/>
    <n v="1680.73"/>
    <s v="CREDITOR"/>
    <n v="0"/>
    <n v="0"/>
    <n v="0"/>
    <n v="0"/>
    <n v="1680.73"/>
  </r>
  <r>
    <n v="61217935"/>
    <s v="N"/>
    <n v="21369667"/>
    <s v="3000015389440005"/>
    <s v="CIVIL"/>
    <d v="2023-06-13T00:00:00"/>
    <d v="2023-07-13T19:21:05"/>
    <m/>
    <d v="2023-07-13T00:00:00"/>
    <n v="692"/>
    <n v="15319"/>
    <s v="61217935"/>
    <s v="61217935"/>
    <m/>
    <m/>
    <n v="22676732"/>
    <m/>
    <m/>
    <m/>
    <s v="SOLFIN"/>
    <s v="SOLFIN"/>
    <s v="CCMS"/>
    <n v="21369667"/>
    <n v="8651.5"/>
    <m/>
    <s v="N"/>
    <n v="73"/>
    <d v="2023-07-13T19:21:10"/>
    <s v="Y"/>
    <s v="Preparation - drafting statement"/>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78"/>
    <d v="2023-07-13T19:21:10"/>
    <s v="Y"/>
    <s v="Preparation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5"/>
    <d v="2023-07-13T19:21:10"/>
    <s v="Y"/>
    <s v="Preparation - drafting notice(s)"/>
    <s v="Care Remuneration Hourly Rates"/>
    <s v="Profit Cost"/>
    <s v="Liz Miles"/>
    <s v="Y"/>
    <n v="30.23"/>
    <n v="6.05"/>
    <x v="11"/>
    <s v="VALIDATED"/>
    <n v="1"/>
    <s v="01.11.80.308.6100.0000"/>
    <n v="30.23"/>
    <s v="11"/>
    <s v="6100"/>
    <n v="6420.96"/>
    <n v="30.23"/>
    <s v="CREDITOR"/>
    <n v="0"/>
    <n v="0"/>
    <n v="0"/>
    <n v="0"/>
    <n v="30.23"/>
  </r>
  <r>
    <n v="61217935"/>
    <s v="N"/>
    <n v="21369667"/>
    <s v="3000015389440005"/>
    <s v="CIVIL"/>
    <d v="2023-06-13T00:00:00"/>
    <d v="2023-07-13T19:21:05"/>
    <m/>
    <d v="2023-07-13T00:00:00"/>
    <n v="692"/>
    <n v="15319"/>
    <s v="61217935"/>
    <s v="61217935"/>
    <m/>
    <m/>
    <n v="22676732"/>
    <m/>
    <m/>
    <m/>
    <s v="SOLFIN"/>
    <s v="SOLFIN"/>
    <s v="CCMS"/>
    <n v="21369667"/>
    <n v="8651.5"/>
    <m/>
    <s v="N"/>
    <n v="92"/>
    <d v="2023-07-13T19:21:10"/>
    <s v="Y"/>
    <s v="Hearing Unit 2.31 - 5.00 Hours"/>
    <s v="Public Law Children"/>
    <s v="Advocacy"/>
    <s v="Liz Miles"/>
    <s v="Y"/>
    <n v="596.15"/>
    <n v="119.23"/>
    <x v="11"/>
    <s v="VALIDATED"/>
    <n v="1"/>
    <s v="01.11.80.308.6100.0000"/>
    <n v="596.15"/>
    <s v="11"/>
    <s v="6100"/>
    <n v="6420.96"/>
    <n v="596.15"/>
    <s v="CREDITOR"/>
    <n v="0"/>
    <n v="0"/>
    <n v="0"/>
    <n v="0"/>
    <n v="596.15"/>
  </r>
  <r>
    <n v="61217935"/>
    <s v="N"/>
    <n v="21369667"/>
    <s v="3000015389440005"/>
    <s v="CIVIL"/>
    <d v="2023-06-13T00:00:00"/>
    <d v="2023-07-13T19:21:05"/>
    <m/>
    <d v="2023-07-13T00:00:00"/>
    <n v="692"/>
    <n v="15319"/>
    <s v="61217935"/>
    <s v="61217935"/>
    <m/>
    <m/>
    <n v="22676732"/>
    <m/>
    <m/>
    <m/>
    <s v="SOLFIN"/>
    <s v="SOLFIN"/>
    <s v="CCMS"/>
    <n v="21369667"/>
    <n v="8651.5"/>
    <m/>
    <s v="N"/>
    <n v="36"/>
    <d v="2023-07-13T19:21:10"/>
    <s v="Y"/>
    <s v="Report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75"/>
    <d v="2023-07-13T19:21:10"/>
    <s v="Y"/>
    <s v="Attendance upon client"/>
    <s v="Care Remuneration Hourly Rates"/>
    <s v="Profit Cost"/>
    <s v="Liz Miles"/>
    <s v="Y"/>
    <n v="90.69"/>
    <n v="15.87"/>
    <x v="11"/>
    <s v="VALIDATED"/>
    <n v="1"/>
    <s v="01.11.80.308.6100.0000"/>
    <n v="90.69"/>
    <s v="11"/>
    <s v="6100"/>
    <n v="6420.96"/>
    <n v="90.69"/>
    <s v="CREDITOR"/>
    <n v="0"/>
    <n v="0"/>
    <n v="0"/>
    <n v="0"/>
    <n v="90.69"/>
  </r>
  <r>
    <n v="61217935"/>
    <s v="N"/>
    <n v="21369667"/>
    <s v="3000015389440005"/>
    <s v="CIVIL"/>
    <d v="2023-06-13T00:00:00"/>
    <d v="2023-07-13T19:21:05"/>
    <m/>
    <d v="2023-07-13T00:00:00"/>
    <n v="692"/>
    <n v="15319"/>
    <s v="61217935"/>
    <s v="61217935"/>
    <m/>
    <m/>
    <n v="22676732"/>
    <m/>
    <m/>
    <m/>
    <s v="SOLFIN"/>
    <s v="SOLFIN"/>
    <s v="CCMS"/>
    <n v="21369667"/>
    <n v="8651.5"/>
    <m/>
    <s v="N"/>
    <n v="56"/>
    <d v="2023-07-13T19:21:10"/>
    <s v="Y"/>
    <s v="Report - Welfare report"/>
    <s v="Care Remuneration Hourly Rates"/>
    <s v="Profit Cost"/>
    <s v="Liz Miles"/>
    <s v="Y"/>
    <n v="18.14"/>
    <n v="3.63"/>
    <x v="11"/>
    <s v="VALIDATED"/>
    <n v="1"/>
    <s v="01.11.80.308.6100.0000"/>
    <n v="18.14"/>
    <s v="11"/>
    <s v="6100"/>
    <n v="6420.96"/>
    <n v="18.14"/>
    <s v="CREDITOR"/>
    <n v="0"/>
    <n v="0"/>
    <n v="0"/>
    <n v="0"/>
    <n v="18.14"/>
  </r>
  <r>
    <n v="61217935"/>
    <s v="N"/>
    <n v="21369667"/>
    <s v="3000015389440005"/>
    <s v="CIVIL"/>
    <d v="2023-06-13T00:00:00"/>
    <d v="2023-07-13T19:21:05"/>
    <m/>
    <d v="2023-07-13T00:00:00"/>
    <n v="692"/>
    <n v="15319"/>
    <s v="61217935"/>
    <s v="61217935"/>
    <m/>
    <m/>
    <n v="22676732"/>
    <m/>
    <m/>
    <m/>
    <s v="SOLFIN"/>
    <s v="SOLFIN"/>
    <s v="CCMS"/>
    <n v="21369667"/>
    <n v="8651.5"/>
    <m/>
    <s v="N"/>
    <n v="42"/>
    <d v="2023-07-13T19:21:10"/>
    <s v="Y"/>
    <s v="Routine Letter Out"/>
    <s v="Care Remuneration Hourly Rates"/>
    <s v="Profit Cost"/>
    <s v="Liz Miles"/>
    <s v="Y"/>
    <n v="84.87"/>
    <n v="16.97"/>
    <x v="11"/>
    <s v="VALIDATED"/>
    <n v="1"/>
    <s v="01.11.80.308.6100.0000"/>
    <n v="84.87"/>
    <s v="11"/>
    <s v="6100"/>
    <n v="6420.96"/>
    <n v="84.87"/>
    <s v="CREDITOR"/>
    <n v="0"/>
    <n v="0"/>
    <n v="0"/>
    <n v="0"/>
    <n v="84.87"/>
  </r>
  <r>
    <n v="61217935"/>
    <s v="N"/>
    <n v="21369667"/>
    <s v="3000015389440005"/>
    <s v="CIVIL"/>
    <d v="2023-06-13T00:00:00"/>
    <d v="2023-07-13T19:21:05"/>
    <m/>
    <d v="2023-07-13T00:00:00"/>
    <n v="692"/>
    <n v="15319"/>
    <s v="61217935"/>
    <s v="61217935"/>
    <m/>
    <m/>
    <n v="22676732"/>
    <m/>
    <m/>
    <m/>
    <s v="SOLFIN"/>
    <s v="SOLFIN"/>
    <s v="CCMS"/>
    <n v="21369667"/>
    <n v="8651.5"/>
    <m/>
    <s v="N"/>
    <n v="7"/>
    <d v="2023-07-13T19:21:10"/>
    <s v="Y"/>
    <s v="Report - Welfare report"/>
    <s v="Care Remuneration Hourly Rates"/>
    <s v="Profit Cost"/>
    <s v="Liz Miles"/>
    <s v="Y"/>
    <n v="36.27"/>
    <n v="7.25"/>
    <x v="11"/>
    <s v="VALIDATED"/>
    <n v="1"/>
    <s v="01.11.80.308.6100.0000"/>
    <n v="36.27"/>
    <s v="11"/>
    <s v="6100"/>
    <n v="6420.96"/>
    <n v="36.27"/>
    <s v="CREDITOR"/>
    <n v="0"/>
    <n v="0"/>
    <n v="0"/>
    <n v="0"/>
    <n v="36.27"/>
  </r>
  <r>
    <n v="61217935"/>
    <s v="N"/>
    <n v="21369667"/>
    <s v="3000015389440005"/>
    <s v="CIVIL"/>
    <d v="2023-06-13T00:00:00"/>
    <d v="2023-07-13T19:21:05"/>
    <m/>
    <d v="2023-07-13T00:00:00"/>
    <n v="692"/>
    <n v="15319"/>
    <s v="61217935"/>
    <s v="61217935"/>
    <m/>
    <m/>
    <n v="22676732"/>
    <m/>
    <m/>
    <m/>
    <s v="SOLFIN"/>
    <s v="SOLFIN"/>
    <s v="CCMS"/>
    <n v="21369667"/>
    <n v="8651.5"/>
    <m/>
    <s v="N"/>
    <n v="77"/>
    <d v="2023-07-13T19:21:10"/>
    <s v="Y"/>
    <s v="Report - other"/>
    <s v="Care Remuneration Hourly Rates"/>
    <s v="Profit Cost"/>
    <s v="Liz Miles"/>
    <s v="Y"/>
    <n v="60.46"/>
    <n v="12.09"/>
    <x v="11"/>
    <s v="VALIDATED"/>
    <n v="1"/>
    <s v="01.11.80.308.6100.0000"/>
    <n v="60.46"/>
    <s v="11"/>
    <s v="6100"/>
    <n v="6420.96"/>
    <n v="60.46"/>
    <s v="CREDITOR"/>
    <n v="0"/>
    <n v="0"/>
    <n v="0"/>
    <n v="0"/>
    <n v="60.46"/>
  </r>
  <r>
    <n v="61217935"/>
    <s v="N"/>
    <n v="21369667"/>
    <s v="3000015389440005"/>
    <s v="CIVIL"/>
    <d v="2023-06-13T00:00:00"/>
    <d v="2023-07-13T19:21:05"/>
    <m/>
    <d v="2023-07-13T00:00:00"/>
    <n v="692"/>
    <n v="15319"/>
    <s v="61217935"/>
    <s v="61217935"/>
    <m/>
    <m/>
    <n v="22676732"/>
    <m/>
    <m/>
    <m/>
    <s v="SOLFIN"/>
    <s v="SOLFIN"/>
    <s v="CCMS"/>
    <n v="21369667"/>
    <n v="8651.5"/>
    <m/>
    <s v="N"/>
    <n v="22"/>
    <d v="2023-07-13T19:21:10"/>
    <s v="Y"/>
    <s v="Report - other"/>
    <s v="Care Remuneration Hourly Rates"/>
    <s v="Profit Cost"/>
    <s v="Liz Miles"/>
    <s v="Y"/>
    <n v="30.23"/>
    <n v="6.05"/>
    <x v="11"/>
    <s v="VALIDATED"/>
    <n v="1"/>
    <s v="01.11.80.308.6100.0000"/>
    <n v="30.23"/>
    <s v="11"/>
    <s v="6100"/>
    <n v="6420.96"/>
    <n v="30.23"/>
    <s v="CREDITOR"/>
    <n v="0"/>
    <n v="0"/>
    <n v="0"/>
    <n v="0"/>
    <n v="30.23"/>
  </r>
  <r>
    <n v="61217935"/>
    <s v="N"/>
    <n v="21369667"/>
    <s v="3000015389440005"/>
    <s v="CIVIL"/>
    <d v="2023-06-13T00:00:00"/>
    <d v="2023-07-13T19:21:05"/>
    <m/>
    <d v="2023-07-13T00:00:00"/>
    <n v="692"/>
    <n v="15319"/>
    <s v="61217935"/>
    <s v="61217935"/>
    <m/>
    <m/>
    <n v="22676732"/>
    <m/>
    <m/>
    <m/>
    <s v="SOLFIN"/>
    <s v="SOLFIN"/>
    <s v="CCMS"/>
    <n v="21369667"/>
    <n v="8651.5"/>
    <m/>
    <s v="N"/>
    <n v="63"/>
    <d v="2023-07-13T19:21:10"/>
    <s v="Y"/>
    <s v="Attendance upon witness"/>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83"/>
    <d v="2023-07-13T19:21:10"/>
    <s v="Y"/>
    <s v="Attendance upon client"/>
    <s v="Care Remuneration Hourly Rates"/>
    <s v="Profit Cost"/>
    <s v="Liz Miles"/>
    <s v="Y"/>
    <n v="48.37"/>
    <n v="9.67"/>
    <x v="11"/>
    <s v="VALIDATED"/>
    <n v="1"/>
    <s v="01.11.80.308.6100.0000"/>
    <n v="48.37"/>
    <s v="11"/>
    <s v="6100"/>
    <n v="6420.96"/>
    <n v="48.37"/>
    <s v="CREDITOR"/>
    <n v="0"/>
    <n v="0"/>
    <n v="0"/>
    <n v="0"/>
    <n v="48.37"/>
  </r>
  <r>
    <n v="61217935"/>
    <s v="N"/>
    <n v="21369667"/>
    <s v="3000015389440005"/>
    <s v="CIVIL"/>
    <d v="2023-06-13T00:00:00"/>
    <d v="2023-07-13T19:21:05"/>
    <m/>
    <d v="2023-07-13T00:00:00"/>
    <n v="692"/>
    <n v="15319"/>
    <s v="61217935"/>
    <s v="61217935"/>
    <m/>
    <m/>
    <n v="22676732"/>
    <m/>
    <m/>
    <m/>
    <s v="SOLFIN"/>
    <s v="SOLFIN"/>
    <s v="CCMS"/>
    <n v="21369667"/>
    <n v="8651.5"/>
    <m/>
    <s v="N"/>
    <n v="38"/>
    <d v="2023-07-13T19:21:10"/>
    <s v="Y"/>
    <s v="Report - other"/>
    <s v="Care Remuneration Hourly Rates"/>
    <s v="Profit Cost"/>
    <s v="Liz Miles"/>
    <s v="Y"/>
    <n v="24.18"/>
    <n v="4.84"/>
    <x v="11"/>
    <s v="VALIDATED"/>
    <n v="1"/>
    <s v="01.11.80.308.6100.0000"/>
    <n v="24.18"/>
    <s v="11"/>
    <s v="6100"/>
    <n v="6420.96"/>
    <n v="24.18"/>
    <s v="CREDITOR"/>
    <n v="0"/>
    <n v="0"/>
    <n v="0"/>
    <n v="0"/>
    <n v="24.18"/>
  </r>
  <r>
    <n v="61217935"/>
    <s v="N"/>
    <n v="21369667"/>
    <s v="3000015389440005"/>
    <s v="CIVIL"/>
    <d v="2023-06-13T00:00:00"/>
    <d v="2023-07-13T19:21:05"/>
    <m/>
    <d v="2023-07-13T00:00:00"/>
    <n v="692"/>
    <n v="15319"/>
    <s v="61217935"/>
    <s v="61217935"/>
    <m/>
    <m/>
    <n v="22676732"/>
    <m/>
    <m/>
    <m/>
    <s v="SOLFIN"/>
    <s v="SOLFIN"/>
    <s v="CCMS"/>
    <n v="21369667"/>
    <n v="8651.5"/>
    <m/>
    <s v="N"/>
    <n v="60"/>
    <d v="2023-07-13T19:21:10"/>
    <s v="Y"/>
    <s v="Attendance upon client"/>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34"/>
    <d v="2023-07-13T19:21:10"/>
    <s v="Y"/>
    <s v="Attendance upon clien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45"/>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61"/>
    <d v="2023-07-13T19:21:10"/>
    <s v="Y"/>
    <s v="Preparation - drafting statement"/>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24"/>
    <d v="2023-07-13T19:21:10"/>
    <s v="Y"/>
    <s v="Report - other"/>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32"/>
    <d v="2023-07-13T19:21:10"/>
    <s v="Y"/>
    <s v="Preparation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58"/>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80"/>
    <d v="2023-07-13T19:21:10"/>
    <s v="Y"/>
    <s v="Report - Welfare repor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17"/>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82"/>
    <d v="2023-07-13T19:21:10"/>
    <s v="Y"/>
    <s v="Preparation - drafting statemen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64"/>
    <d v="2023-07-13T19:21:10"/>
    <s v="Y"/>
    <s v="Report - other"/>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11"/>
    <d v="2023-07-13T19:21:10"/>
    <s v="Y"/>
    <s v="Report - Medical report"/>
    <s v="Care Remuneration Hourly Rates"/>
    <s v="Profit Cost"/>
    <s v="Liz Miles"/>
    <s v="Y"/>
    <n v="42.32"/>
    <n v="8.460000000000001"/>
    <x v="11"/>
    <s v="VALIDATED"/>
    <n v="1"/>
    <s v="01.11.80.308.6100.0000"/>
    <n v="42.32"/>
    <s v="11"/>
    <s v="6100"/>
    <n v="6420.96"/>
    <n v="42.32"/>
    <s v="CREDITOR"/>
    <n v="0"/>
    <n v="0"/>
    <n v="0"/>
    <n v="0"/>
    <n v="42.32"/>
  </r>
  <r>
    <n v="61217935"/>
    <s v="N"/>
    <n v="21369667"/>
    <s v="3000015389440005"/>
    <s v="CIVIL"/>
    <d v="2023-06-13T00:00:00"/>
    <d v="2023-07-13T19:21:05"/>
    <m/>
    <d v="2023-07-13T00:00:00"/>
    <n v="692"/>
    <n v="15319"/>
    <s v="61217935"/>
    <s v="61217935"/>
    <m/>
    <m/>
    <n v="22676732"/>
    <m/>
    <m/>
    <m/>
    <s v="SOLFIN"/>
    <s v="SOLFIN"/>
    <s v="CCMS"/>
    <n v="21369667"/>
    <n v="8651.5"/>
    <m/>
    <s v="N"/>
    <n v="68"/>
    <d v="2023-07-13T19:21:10"/>
    <s v="Y"/>
    <s v="Report - Medical report"/>
    <s v="Care Remuneration Hourly Rates"/>
    <s v="Profit Cost"/>
    <s v="Liz Miles"/>
    <s v="Y"/>
    <n v="30.23"/>
    <n v="6.05"/>
    <x v="11"/>
    <s v="VALIDATED"/>
    <n v="1"/>
    <s v="01.11.80.308.6100.0000"/>
    <n v="30.23"/>
    <s v="11"/>
    <s v="6100"/>
    <n v="6420.96"/>
    <n v="30.23"/>
    <s v="CREDITOR"/>
    <n v="0"/>
    <n v="0"/>
    <n v="0"/>
    <n v="0"/>
    <n v="30.23"/>
  </r>
  <r>
    <n v="61217935"/>
    <s v="N"/>
    <n v="21369667"/>
    <s v="3000015389440005"/>
    <s v="CIVIL"/>
    <d v="2023-06-13T00:00:00"/>
    <d v="2023-07-13T19:21:05"/>
    <m/>
    <d v="2023-07-13T00:00:00"/>
    <n v="692"/>
    <n v="15319"/>
    <s v="61217935"/>
    <s v="61217935"/>
    <m/>
    <m/>
    <n v="22676732"/>
    <m/>
    <m/>
    <m/>
    <s v="SOLFIN"/>
    <s v="SOLFIN"/>
    <s v="CCMS"/>
    <n v="21369667"/>
    <n v="8651.5"/>
    <m/>
    <s v="N"/>
    <n v="54"/>
    <d v="2023-07-13T19:21:10"/>
    <s v="Y"/>
    <s v="Report - Welfare report"/>
    <s v="Care Remuneration Hourly Rates"/>
    <s v="Profit Cost"/>
    <s v="Liz Miles"/>
    <s v="Y"/>
    <n v="36.27"/>
    <n v="7.25"/>
    <x v="11"/>
    <s v="VALIDATED"/>
    <n v="1"/>
    <s v="01.11.80.308.6100.0000"/>
    <n v="36.27"/>
    <s v="11"/>
    <s v="6100"/>
    <n v="6420.96"/>
    <n v="36.27"/>
    <s v="CREDITOR"/>
    <n v="0"/>
    <n v="0"/>
    <n v="0"/>
    <n v="0"/>
    <n v="36.27"/>
  </r>
  <r>
    <n v="61217935"/>
    <s v="N"/>
    <n v="21369667"/>
    <s v="3000015389440005"/>
    <s v="CIVIL"/>
    <d v="2023-06-13T00:00:00"/>
    <d v="2023-07-13T19:21:05"/>
    <m/>
    <d v="2023-07-13T00:00:00"/>
    <n v="692"/>
    <n v="15319"/>
    <s v="61217935"/>
    <s v="61217935"/>
    <m/>
    <m/>
    <n v="22676732"/>
    <m/>
    <m/>
    <m/>
    <s v="SOLFIN"/>
    <s v="SOLFIN"/>
    <s v="CCMS"/>
    <n v="21369667"/>
    <n v="8651.5"/>
    <m/>
    <s v="N"/>
    <n v="26"/>
    <d v="2023-07-13T19:21:10"/>
    <s v="Y"/>
    <s v="Report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66"/>
    <d v="2023-07-13T19:21:10"/>
    <s v="Y"/>
    <s v="Report - Welfare repor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51"/>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15"/>
    <d v="2023-07-13T19:21:10"/>
    <s v="Y"/>
    <s v="Report - other"/>
    <s v="Care Remuneration Hourly Rates"/>
    <s v="Profit Cost"/>
    <s v="Liz Miles"/>
    <s v="Y"/>
    <n v="114.86"/>
    <n v="22.97"/>
    <x v="11"/>
    <s v="VALIDATED"/>
    <n v="1"/>
    <s v="01.11.80.308.6100.0000"/>
    <n v="114.86"/>
    <s v="11"/>
    <s v="6100"/>
    <n v="6420.96"/>
    <n v="114.86"/>
    <s v="CREDITOR"/>
    <n v="0"/>
    <n v="0"/>
    <n v="0"/>
    <n v="0"/>
    <n v="114.86"/>
  </r>
  <r>
    <n v="61217935"/>
    <s v="N"/>
    <n v="21369667"/>
    <s v="3000015389440005"/>
    <s v="CIVIL"/>
    <d v="2023-06-13T00:00:00"/>
    <d v="2023-07-13T19:21:05"/>
    <m/>
    <d v="2023-07-13T00:00:00"/>
    <n v="692"/>
    <n v="15319"/>
    <s v="61217935"/>
    <s v="61217935"/>
    <m/>
    <m/>
    <n v="22676732"/>
    <m/>
    <m/>
    <m/>
    <s v="SOLFIN"/>
    <s v="SOLFIN"/>
    <s v="CCMS"/>
    <n v="21369667"/>
    <n v="8651.5"/>
    <m/>
    <s v="N"/>
    <n v="69"/>
    <d v="2023-07-13T19:21:10"/>
    <s v="Y"/>
    <s v="Attendance upon client"/>
    <s v="Care Remuneration Hourly Rates"/>
    <s v="Profit Cost"/>
    <s v="Liz Miles"/>
    <s v="Y"/>
    <n v="102.78"/>
    <n v="20.56"/>
    <x v="11"/>
    <s v="VALIDATED"/>
    <n v="1"/>
    <s v="01.11.80.308.6100.0000"/>
    <n v="102.78"/>
    <s v="11"/>
    <s v="6100"/>
    <n v="6420.96"/>
    <n v="102.78"/>
    <s v="CREDITOR"/>
    <n v="0"/>
    <n v="0"/>
    <n v="0"/>
    <n v="0"/>
    <n v="102.78"/>
  </r>
  <r>
    <n v="61217935"/>
    <s v="N"/>
    <n v="21369667"/>
    <s v="3000015389440005"/>
    <s v="CIVIL"/>
    <d v="2023-06-13T00:00:00"/>
    <d v="2023-07-13T19:21:05"/>
    <m/>
    <d v="2023-07-13T00:00:00"/>
    <n v="692"/>
    <n v="15319"/>
    <s v="61217935"/>
    <s v="61217935"/>
    <m/>
    <m/>
    <n v="22676732"/>
    <m/>
    <m/>
    <m/>
    <s v="SOLFIN"/>
    <s v="SOLFIN"/>
    <s v="CCMS"/>
    <n v="21369667"/>
    <n v="8651.5"/>
    <m/>
    <s v="N"/>
    <n v="86"/>
    <d v="2023-07-13T19:21:10"/>
    <s v="Y"/>
    <s v="Report - Welfare report"/>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35"/>
    <d v="2023-07-13T19:21:10"/>
    <s v="Y"/>
    <s v="Report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18"/>
    <d v="2023-07-13T19:21:10"/>
    <s v="Y"/>
    <s v="Report - Welfare report"/>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44"/>
    <d v="2023-07-13T19:21:10"/>
    <s v="Y"/>
    <s v="Preparation - drafting bill/claim f"/>
    <s v="Care Remuneration Hourly Rates"/>
    <s v="Profit Cost"/>
    <s v="Liz Miles"/>
    <s v="Y"/>
    <n v="181.37"/>
    <n v="36.27"/>
    <x v="11"/>
    <s v="VALIDATED"/>
    <n v="1"/>
    <s v="01.11.80.308.6100.0000"/>
    <n v="181.37"/>
    <s v="11"/>
    <s v="6100"/>
    <n v="6420.96"/>
    <n v="181.37"/>
    <s v="CREDITOR"/>
    <n v="0"/>
    <n v="0"/>
    <n v="0"/>
    <n v="0"/>
    <n v="181.37"/>
  </r>
  <r>
    <n v="61217935"/>
    <s v="N"/>
    <n v="21369667"/>
    <s v="3000015389440005"/>
    <s v="CIVIL"/>
    <d v="2023-06-13T00:00:00"/>
    <d v="2023-07-13T19:21:05"/>
    <m/>
    <d v="2023-07-13T00:00:00"/>
    <n v="692"/>
    <n v="15319"/>
    <s v="61217935"/>
    <s v="61217935"/>
    <m/>
    <m/>
    <n v="22676732"/>
    <m/>
    <m/>
    <m/>
    <s v="SOLFIN"/>
    <s v="SOLFIN"/>
    <s v="CCMS"/>
    <n v="21369667"/>
    <n v="8651.5"/>
    <m/>
    <s v="N"/>
    <n v="4"/>
    <d v="2023-07-13T19:21:10"/>
    <s v="Y"/>
    <s v="Paediatrician"/>
    <s v="Public Law Children"/>
    <s v="Expert Disbursement"/>
    <s v="Liz Miles"/>
    <s v="Y"/>
    <n v="560.25"/>
    <n v="0"/>
    <x v="11"/>
    <s v="VALIDATED"/>
    <n v="1"/>
    <s v="01.11.80.308.6300.0000"/>
    <n v="560.25"/>
    <s v="11"/>
    <s v="6300"/>
    <n v="6420.96"/>
    <n v="560.25"/>
    <s v="CREDITOR"/>
    <n v="0"/>
    <n v="0"/>
    <n v="0"/>
    <n v="0"/>
    <n v="560.25"/>
  </r>
  <r>
    <n v="61217935"/>
    <s v="N"/>
    <n v="21369667"/>
    <s v="3000015389440005"/>
    <s v="CIVIL"/>
    <d v="2023-06-13T00:00:00"/>
    <d v="2023-07-13T19:21:05"/>
    <m/>
    <d v="2023-07-13T00:00:00"/>
    <n v="692"/>
    <n v="15319"/>
    <s v="61217935"/>
    <s v="61217935"/>
    <m/>
    <m/>
    <n v="22676732"/>
    <m/>
    <m/>
    <m/>
    <s v="SOLFIN"/>
    <s v="SOLFIN"/>
    <s v="CCMS"/>
    <n v="21369667"/>
    <n v="8651.5"/>
    <m/>
    <s v="N"/>
    <n v="62"/>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1"/>
    <d v="2023-07-13T19:21:10"/>
    <s v="Y"/>
    <s v="Exceptional Travel"/>
    <s v="Public Law Children"/>
    <s v="Advocacy"/>
    <s v="Liz Miles"/>
    <s v="Y"/>
    <n v="32.04"/>
    <n v="6.41"/>
    <x v="11"/>
    <s v="VALIDATED"/>
    <n v="1"/>
    <s v="01.11.80.308.6100.0000"/>
    <n v="32.04"/>
    <s v="11"/>
    <s v="6100"/>
    <n v="6420.96"/>
    <n v="32.04"/>
    <s v="CREDITOR"/>
    <n v="0"/>
    <n v="0"/>
    <n v="0"/>
    <n v="0"/>
    <n v="32.04"/>
  </r>
  <r>
    <n v="61217935"/>
    <s v="N"/>
    <n v="21369667"/>
    <s v="3000015389440005"/>
    <s v="CIVIL"/>
    <d v="2023-06-13T00:00:00"/>
    <d v="2023-07-13T19:21:05"/>
    <m/>
    <d v="2023-07-13T00:00:00"/>
    <n v="692"/>
    <n v="15319"/>
    <s v="61217935"/>
    <s v="61217935"/>
    <m/>
    <m/>
    <n v="22676732"/>
    <m/>
    <m/>
    <m/>
    <s v="SOLFIN"/>
    <s v="SOLFIN"/>
    <s v="CCMS"/>
    <n v="21369667"/>
    <n v="8651.5"/>
    <m/>
    <s v="N"/>
    <n v="8"/>
    <d v="2023-07-13T19:21:10"/>
    <s v="Y"/>
    <s v="Attendance upon clien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21"/>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52"/>
    <d v="2023-07-13T19:21:10"/>
    <s v="Y"/>
    <s v="Report - Welfare report"/>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90"/>
    <d v="2023-07-13T19:21:10"/>
    <s v="Y"/>
    <s v="Preparation - other"/>
    <s v="Care Remuneration Hourly Rates"/>
    <s v="Profit Cost"/>
    <s v="Liz Miles"/>
    <s v="Y"/>
    <n v="6.05"/>
    <n v="1.21"/>
    <x v="11"/>
    <s v="VALIDATED"/>
    <n v="1"/>
    <s v="01.11.80.308.6100.0000"/>
    <n v="6.05"/>
    <s v="11"/>
    <s v="6100"/>
    <n v="6420.96"/>
    <n v="6.05"/>
    <s v="CREDITOR"/>
    <n v="0"/>
    <n v="0"/>
    <n v="0"/>
    <n v="0"/>
    <n v="6.05"/>
  </r>
  <r>
    <n v="61217935"/>
    <s v="N"/>
    <n v="21369667"/>
    <s v="3000015389440005"/>
    <s v="CIVIL"/>
    <d v="2023-06-13T00:00:00"/>
    <d v="2023-07-13T19:21:05"/>
    <m/>
    <d v="2023-07-13T00:00:00"/>
    <n v="692"/>
    <n v="15319"/>
    <s v="61217935"/>
    <s v="61217935"/>
    <m/>
    <m/>
    <n v="22676732"/>
    <m/>
    <m/>
    <m/>
    <s v="SOLFIN"/>
    <s v="SOLFIN"/>
    <s v="CCMS"/>
    <n v="21369667"/>
    <n v="8651.5"/>
    <m/>
    <s v="N"/>
    <n v="19"/>
    <d v="2023-07-13T19:21:10"/>
    <s v="Y"/>
    <s v="Report - Welfare report"/>
    <s v="Care Remuneration Hourly Rates"/>
    <s v="Profit Cost"/>
    <s v="Liz Miles"/>
    <s v="Y"/>
    <n v="24.18"/>
    <n v="4.84"/>
    <x v="11"/>
    <s v="VALIDATED"/>
    <n v="1"/>
    <s v="01.11.80.308.6100.0000"/>
    <n v="24.18"/>
    <s v="11"/>
    <s v="6100"/>
    <n v="6420.96"/>
    <n v="24.18"/>
    <s v="CREDITOR"/>
    <n v="0"/>
    <n v="0"/>
    <n v="0"/>
    <n v="0"/>
    <n v="24.18"/>
  </r>
  <r>
    <n v="61217935"/>
    <s v="N"/>
    <n v="21369667"/>
    <s v="3000015389440005"/>
    <s v="CIVIL"/>
    <d v="2023-06-13T00:00:00"/>
    <d v="2023-07-13T19:21:05"/>
    <m/>
    <d v="2023-07-13T00:00:00"/>
    <n v="692"/>
    <n v="15319"/>
    <s v="61217935"/>
    <s v="61217935"/>
    <m/>
    <m/>
    <n v="22676732"/>
    <m/>
    <m/>
    <m/>
    <s v="SOLFIN"/>
    <s v="SOLFIN"/>
    <s v="CCMS"/>
    <n v="21369667"/>
    <n v="8651.5"/>
    <m/>
    <s v="N"/>
    <n v="47"/>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48"/>
    <d v="2023-07-13T19:21:10"/>
    <s v="Y"/>
    <s v="Report - Medical report"/>
    <s v="Care Remuneration Hourly Rates"/>
    <s v="Profit Cost"/>
    <s v="Liz Miles"/>
    <s v="Y"/>
    <n v="120.91"/>
    <n v="24.18"/>
    <x v="11"/>
    <s v="VALIDATED"/>
    <n v="1"/>
    <s v="01.11.80.308.6100.0000"/>
    <n v="120.91"/>
    <s v="11"/>
    <s v="6100"/>
    <n v="6420.96"/>
    <n v="120.91"/>
    <s v="CREDITOR"/>
    <n v="0"/>
    <n v="0"/>
    <n v="0"/>
    <n v="0"/>
    <n v="120.91"/>
  </r>
  <r>
    <n v="61217935"/>
    <s v="N"/>
    <n v="21369667"/>
    <s v="3000015389440005"/>
    <s v="CIVIL"/>
    <d v="2023-06-13T00:00:00"/>
    <d v="2023-07-13T19:21:05"/>
    <m/>
    <d v="2023-07-13T00:00:00"/>
    <n v="692"/>
    <n v="15319"/>
    <s v="61217935"/>
    <s v="61217935"/>
    <m/>
    <m/>
    <n v="22676732"/>
    <m/>
    <m/>
    <m/>
    <s v="SOLFIN"/>
    <s v="SOLFIN"/>
    <s v="CCMS"/>
    <n v="21369667"/>
    <n v="8651.5"/>
    <m/>
    <s v="N"/>
    <n v="49"/>
    <d v="2023-07-13T19:21:10"/>
    <s v="Y"/>
    <s v="Preparation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3"/>
    <d v="2023-07-13T19:21:10"/>
    <s v="Y"/>
    <s v="Radiologist"/>
    <s v="Public Law Children"/>
    <s v="Expert Disbursement"/>
    <s v="Liz Miles"/>
    <s v="Y"/>
    <n v="270"/>
    <n v="54"/>
    <x v="11"/>
    <s v="VALIDATED"/>
    <n v="1"/>
    <s v="01.11.80.308.6300.0000"/>
    <n v="270"/>
    <s v="11"/>
    <s v="6300"/>
    <n v="6420.96"/>
    <n v="270"/>
    <s v="CREDITOR"/>
    <n v="0"/>
    <n v="0"/>
    <n v="0"/>
    <n v="0"/>
    <n v="270"/>
  </r>
  <r>
    <n v="61217935"/>
    <s v="N"/>
    <n v="21369667"/>
    <s v="3000015389440005"/>
    <s v="CIVIL"/>
    <d v="2023-06-13T00:00:00"/>
    <d v="2023-07-13T19:21:05"/>
    <m/>
    <d v="2023-07-13T00:00:00"/>
    <n v="692"/>
    <n v="15319"/>
    <s v="61217935"/>
    <s v="61217935"/>
    <m/>
    <m/>
    <n v="22676732"/>
    <m/>
    <m/>
    <m/>
    <s v="SOLFIN"/>
    <s v="SOLFIN"/>
    <s v="CCMS"/>
    <n v="21369667"/>
    <n v="8651.5"/>
    <m/>
    <s v="N"/>
    <n v="88"/>
    <d v="2023-07-13T19:21:10"/>
    <s v="Y"/>
    <s v="Report - Welfare report"/>
    <s v="Care Remuneration Hourly Rates"/>
    <s v="Profit Cost"/>
    <s v="Liz Miles"/>
    <s v="Y"/>
    <n v="60.46"/>
    <n v="12.09"/>
    <x v="11"/>
    <s v="VALIDATED"/>
    <n v="1"/>
    <s v="01.11.80.308.6100.0000"/>
    <n v="60.46"/>
    <s v="11"/>
    <s v="6100"/>
    <n v="6420.96"/>
    <n v="60.46"/>
    <s v="CREDITOR"/>
    <n v="0"/>
    <n v="0"/>
    <n v="0"/>
    <n v="0"/>
    <n v="60.46"/>
  </r>
  <r>
    <n v="61217935"/>
    <s v="N"/>
    <n v="21369667"/>
    <s v="3000015389440005"/>
    <s v="CIVIL"/>
    <d v="2023-06-13T00:00:00"/>
    <d v="2023-07-13T19:21:05"/>
    <m/>
    <d v="2023-07-13T00:00:00"/>
    <n v="692"/>
    <n v="15319"/>
    <s v="61217935"/>
    <s v="61217935"/>
    <m/>
    <m/>
    <n v="22676732"/>
    <m/>
    <m/>
    <m/>
    <s v="SOLFIN"/>
    <s v="SOLFIN"/>
    <s v="CCMS"/>
    <n v="21369667"/>
    <n v="8651.5"/>
    <m/>
    <s v="N"/>
    <n v="57"/>
    <d v="2023-07-13T19:21:10"/>
    <s v="Y"/>
    <s v="Attendance upon witness"/>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65"/>
    <d v="2023-07-13T19:21:10"/>
    <s v="Y"/>
    <s v="Preparation - drafting statement"/>
    <s v="Care Remuneration Hourly Rates"/>
    <s v="Profit Cost"/>
    <s v="Liz Miles"/>
    <s v="Y"/>
    <n v="18.14"/>
    <n v="3.63"/>
    <x v="11"/>
    <s v="VALIDATED"/>
    <n v="1"/>
    <s v="01.11.80.308.6100.0000"/>
    <n v="18.14"/>
    <s v="11"/>
    <s v="6100"/>
    <n v="6420.96"/>
    <n v="18.14"/>
    <s v="CREDITOR"/>
    <n v="0"/>
    <n v="0"/>
    <n v="0"/>
    <n v="0"/>
    <n v="18.14"/>
  </r>
  <r>
    <n v="61217935"/>
    <s v="N"/>
    <n v="21369667"/>
    <s v="3000015389440005"/>
    <s v="CIVIL"/>
    <d v="2023-06-13T00:00:00"/>
    <d v="2023-07-13T19:21:05"/>
    <m/>
    <d v="2023-07-13T00:00:00"/>
    <n v="692"/>
    <n v="15319"/>
    <s v="61217935"/>
    <s v="61217935"/>
    <m/>
    <m/>
    <n v="22676732"/>
    <m/>
    <m/>
    <m/>
    <s v="SOLFIN"/>
    <s v="SOLFIN"/>
    <s v="CCMS"/>
    <n v="21369667"/>
    <n v="8651.5"/>
    <m/>
    <s v="N"/>
    <n v="27"/>
    <d v="2023-07-13T19:21:10"/>
    <s v="Y"/>
    <s v="Report - other"/>
    <s v="Care Remuneration Hourly Rates"/>
    <s v="Profit Cost"/>
    <s v="Liz Miles"/>
    <s v="Y"/>
    <n v="12.09"/>
    <n v="2.42"/>
    <x v="11"/>
    <s v="VALIDATED"/>
    <n v="1"/>
    <s v="01.11.80.308.6100.0000"/>
    <n v="12.09"/>
    <s v="11"/>
    <s v="6100"/>
    <n v="6420.96"/>
    <n v="12.09"/>
    <s v="CREDITOR"/>
    <n v="0"/>
    <n v="0"/>
    <n v="0"/>
    <n v="0"/>
    <n v="12.09"/>
  </r>
  <r>
    <n v="61217935"/>
    <s v="N"/>
    <n v="21369667"/>
    <s v="3000015389440005"/>
    <s v="CIVIL"/>
    <d v="2023-06-13T00:00:00"/>
    <d v="2023-07-13T19:21:05"/>
    <m/>
    <d v="2023-07-13T00:00:00"/>
    <n v="692"/>
    <n v="15319"/>
    <s v="61217935"/>
    <s v="61217935"/>
    <m/>
    <m/>
    <n v="22676732"/>
    <m/>
    <m/>
    <m/>
    <s v="SOLFIN"/>
    <s v="SOLFIN"/>
    <s v="CCMS"/>
    <n v="21369667"/>
    <n v="8651.5"/>
    <m/>
    <s v="N"/>
    <n v="91"/>
    <d v="2023-07-13T19:21:10"/>
    <s v="Y"/>
    <s v="Preparation - other"/>
    <s v="Care Remuneration Hourly Rates"/>
    <s v="Profit Cost"/>
    <s v="Liz Miles"/>
    <s v="Y"/>
    <n v="42.32"/>
    <n v="8.460000000000001"/>
    <x v="11"/>
    <s v="VALIDATED"/>
    <n v="1"/>
    <s v="01.11.80.308.6100.0000"/>
    <n v="42.32"/>
    <s v="11"/>
    <s v="6100"/>
    <n v="6420.96"/>
    <n v="42.32"/>
    <s v="CREDITOR"/>
    <n v="0"/>
    <n v="0"/>
    <n v="0"/>
    <n v="0"/>
    <n v="42.32"/>
  </r>
  <r>
    <n v="61217935"/>
    <s v="N"/>
    <n v="21369667"/>
    <s v="3000015389440005"/>
    <s v="CIVIL"/>
    <d v="2023-06-13T00:00:00"/>
    <d v="2023-07-13T19:21:05"/>
    <m/>
    <d v="2023-07-13T00:00:00"/>
    <n v="692"/>
    <n v="15319"/>
    <s v="61217935"/>
    <s v="61217935"/>
    <m/>
    <m/>
    <n v="22676732"/>
    <m/>
    <m/>
    <m/>
    <s v="SOLFIN"/>
    <s v="SOLFIN"/>
    <s v="CCMS"/>
    <n v="21369667"/>
    <n v="8651.5"/>
    <m/>
    <s v="N"/>
    <n v="28"/>
    <d v="2023-07-13T19:21:10"/>
    <s v="Y"/>
    <s v="Report - other"/>
    <s v="Care Remuneration Hourly Rates"/>
    <s v="Profit Cost"/>
    <s v="Liz Miles"/>
    <s v="Y"/>
    <n v="18.14"/>
    <n v="3.63"/>
    <x v="11"/>
    <s v="VALIDATED"/>
    <n v="1"/>
    <s v="01.11.80.308.6100.0000"/>
    <n v="18.14"/>
    <s v="11"/>
    <s v="6100"/>
    <n v="6420.96"/>
    <n v="18.14"/>
    <s v="CREDITOR"/>
    <n v="0"/>
    <n v="0"/>
    <n v="0"/>
    <n v="0"/>
    <n v="18.14"/>
  </r>
  <r>
    <n v="61217935"/>
    <s v="N"/>
    <n v="21369667"/>
    <s v="3000015389440005"/>
    <s v="CIVIL"/>
    <d v="2023-06-13T00:00:00"/>
    <d v="2023-07-13T19:21:05"/>
    <m/>
    <d v="2023-07-13T00:00:00"/>
    <n v="692"/>
    <n v="15319"/>
    <s v="61217935"/>
    <s v="61217935"/>
    <m/>
    <m/>
    <n v="22676732"/>
    <m/>
    <m/>
    <m/>
    <s v="SOLFIN"/>
    <s v="SOLFIN"/>
    <s v="CCMS"/>
    <n v="21369667"/>
    <n v="8651.5"/>
    <m/>
    <s v="N"/>
    <n v="30"/>
    <d v="2023-07-13T19:21:10"/>
    <s v="Y"/>
    <s v="Report - Welfare report"/>
    <s v="Care Remuneration Hourly Rates"/>
    <s v="Profit Cost"/>
    <s v="Liz Miles"/>
    <s v="Y"/>
    <n v="6.05"/>
    <n v="1.21"/>
    <x v="11"/>
    <s v="VALIDATED"/>
    <n v="1"/>
    <s v="01.11.80.308.6100.0000"/>
    <n v="6.05"/>
    <s v="11"/>
    <s v="6100"/>
    <n v="6420.96"/>
    <n v="6.05"/>
    <s v="CREDITOR"/>
    <n v="0"/>
    <n v="0"/>
    <n v="0"/>
    <n v="0"/>
    <n v="6.05"/>
  </r>
  <r>
    <n v="61586254"/>
    <s v="N"/>
    <n v="21338544"/>
    <s v="3000015696970002"/>
    <s v="CIVIL"/>
    <d v="2023-06-28T00:00:00"/>
    <d v="2023-07-06T19:21:01"/>
    <m/>
    <d v="2023-07-06T00:00:00"/>
    <n v="696"/>
    <n v="1814"/>
    <s v="61586254"/>
    <s v="61586254"/>
    <m/>
    <m/>
    <n v="22779160"/>
    <m/>
    <m/>
    <m/>
    <s v="SOLFIN"/>
    <s v="SOLFIN"/>
    <s v="CCMS"/>
    <n v="21338544"/>
    <n v="1132.84"/>
    <m/>
    <s v="N"/>
    <n v="12"/>
    <d v="2023-07-06T19:21:28"/>
    <s v="Y"/>
    <s v="Preparation - other"/>
    <s v="Prescribed Hourly Rates"/>
    <s v="Profit Cost"/>
    <s v="AL"/>
    <s v="Y"/>
    <n v="25.25"/>
    <n v="5.05"/>
    <x v="4"/>
    <s v="VALIDATED"/>
    <n v="1"/>
    <s v="01.11.80.305.6100.0000"/>
    <n v="25.25"/>
    <s v="11"/>
    <s v="6100"/>
    <n v="7036.52"/>
    <n v="25.25"/>
    <s v="CREDITOR"/>
    <n v="0"/>
    <n v="0"/>
    <n v="0"/>
    <n v="0"/>
    <n v="25.25"/>
  </r>
  <r>
    <n v="61087592"/>
    <s v="N"/>
    <n v="21360986"/>
    <s v="3000015279550004"/>
    <s v="CIVIL"/>
    <d v="2023-06-29T00:00:00"/>
    <d v="2023-07-11T19:00:25"/>
    <m/>
    <d v="2023-07-11T00:00:00"/>
    <n v="696"/>
    <n v="1814"/>
    <s v="61087592"/>
    <s v="61087592"/>
    <m/>
    <m/>
    <n v="22787488"/>
    <m/>
    <m/>
    <m/>
    <s v="SOLFIN"/>
    <s v="SOLFIN"/>
    <s v="CCMS"/>
    <n v="21360986"/>
    <n v="8412.969999999999"/>
    <m/>
    <s v="N"/>
    <n v="8"/>
    <d v="2023-07-11T19:00:42"/>
    <s v="Y"/>
    <s v="Final Hearing - 2 Days"/>
    <s v="Public Law Children"/>
    <s v="Advocacy"/>
    <s v="ME"/>
    <s v="Y"/>
    <n v="1113.76"/>
    <n v="222.75"/>
    <x v="7"/>
    <s v="VALIDATED"/>
    <n v="1"/>
    <s v="01.11.80.308.6100.0000"/>
    <n v="1113.76"/>
    <s v="11"/>
    <s v="6100"/>
    <n v="7036.52"/>
    <n v="1113.76"/>
    <s v="CREDITOR"/>
    <n v="0"/>
    <n v="0"/>
    <n v="0"/>
    <n v="0"/>
    <n v="1113.76"/>
  </r>
  <r>
    <n v="61087592"/>
    <s v="N"/>
    <n v="21360986"/>
    <s v="3000015279550004"/>
    <s v="CIVIL"/>
    <d v="2023-06-29T00:00:00"/>
    <d v="2023-07-11T19:00:25"/>
    <m/>
    <d v="2023-07-11T00:00:00"/>
    <n v="696"/>
    <n v="1814"/>
    <s v="61087592"/>
    <s v="61087592"/>
    <m/>
    <m/>
    <n v="22787488"/>
    <m/>
    <m/>
    <m/>
    <s v="SOLFIN"/>
    <s v="SOLFIN"/>
    <s v="CCMS"/>
    <n v="21360986"/>
    <n v="8412.969999999999"/>
    <m/>
    <s v="N"/>
    <n v="9"/>
    <d v="2023-07-11T19:00:42"/>
    <s v="Y"/>
    <s v="Hearing Unit 1.01 - 2.30 Hours"/>
    <s v="Public Law Children"/>
    <s v="Advocacy"/>
    <s v="ME"/>
    <s v="Y"/>
    <n v="238.46"/>
    <n v="47.69"/>
    <x v="7"/>
    <s v="VALIDATED"/>
    <n v="1"/>
    <s v="01.11.80.308.6100.0000"/>
    <n v="238.46"/>
    <s v="11"/>
    <s v="6100"/>
    <n v="7036.52"/>
    <n v="238.46"/>
    <s v="CREDITOR"/>
    <n v="0"/>
    <n v="0"/>
    <n v="0"/>
    <n v="0"/>
    <n v="238.46"/>
  </r>
  <r>
    <n v="61087592"/>
    <s v="N"/>
    <n v="21360986"/>
    <s v="3000015279550004"/>
    <s v="CIVIL"/>
    <d v="2023-06-29T00:00:00"/>
    <d v="2023-07-11T19:00:25"/>
    <m/>
    <d v="2023-07-11T00:00:00"/>
    <n v="696"/>
    <n v="1814"/>
    <s v="61087592"/>
    <s v="61087592"/>
    <m/>
    <m/>
    <n v="22787488"/>
    <m/>
    <m/>
    <m/>
    <s v="SOLFIN"/>
    <s v="SOLFIN"/>
    <s v="CCMS"/>
    <n v="21360986"/>
    <n v="8412.969999999999"/>
    <m/>
    <s v="N"/>
    <n v="1"/>
    <d v="2023-07-11T19:00:42"/>
    <s v="Y"/>
    <s v="Interim Hearing Court Bundle/Advoca"/>
    <s v="Public Law Children"/>
    <s v="Advocacy"/>
    <s v="ME"/>
    <s v="Y"/>
    <n v="89.09999999999999"/>
    <n v="17.82"/>
    <x v="7"/>
    <s v="VALIDATED"/>
    <n v="1"/>
    <s v="01.11.80.308.6100.0000"/>
    <n v="89.09999999999999"/>
    <s v="11"/>
    <s v="6100"/>
    <n v="7036.52"/>
    <n v="89.09999999999999"/>
    <s v="CREDITOR"/>
    <n v="0"/>
    <n v="0"/>
    <n v="0"/>
    <n v="0"/>
    <n v="89.09999999999999"/>
  </r>
  <r>
    <n v="61586254"/>
    <s v="N"/>
    <n v="21338544"/>
    <s v="3000015696970002"/>
    <s v="CIVIL"/>
    <d v="2023-06-28T00:00:00"/>
    <d v="2023-07-06T19:21:01"/>
    <m/>
    <d v="2023-07-06T00:00:00"/>
    <n v="696"/>
    <n v="1814"/>
    <s v="61586254"/>
    <s v="61586254"/>
    <m/>
    <m/>
    <n v="22779160"/>
    <m/>
    <m/>
    <m/>
    <s v="SOLFIN"/>
    <s v="SOLFIN"/>
    <s v="CCMS"/>
    <n v="21338544"/>
    <n v="1132.84"/>
    <m/>
    <s v="N"/>
    <n v="23"/>
    <d v="2023-07-06T19:21:28"/>
    <s v="Y"/>
    <s v="Preparation - drafting notice(s)"/>
    <s v="Prescribed Hourly Rates"/>
    <s v="Profit Cost"/>
    <s v="AL"/>
    <s v="Y"/>
    <n v="18.94"/>
    <n v="3.79"/>
    <x v="4"/>
    <s v="VALIDATED"/>
    <n v="1"/>
    <s v="01.11.80.305.6100.0000"/>
    <n v="18.94"/>
    <s v="11"/>
    <s v="6100"/>
    <n v="7036.52"/>
    <n v="18.94"/>
    <s v="CREDITOR"/>
    <n v="0"/>
    <n v="0"/>
    <n v="0"/>
    <n v="0"/>
    <n v="18.94"/>
  </r>
  <r>
    <n v="61586254"/>
    <s v="N"/>
    <n v="21338544"/>
    <s v="3000015696970002"/>
    <s v="CIVIL"/>
    <d v="2023-06-28T00:00:00"/>
    <d v="2023-07-06T19:21:01"/>
    <m/>
    <d v="2023-07-06T00:00:00"/>
    <n v="696"/>
    <n v="1814"/>
    <s v="61586254"/>
    <s v="61586254"/>
    <m/>
    <m/>
    <n v="22779160"/>
    <m/>
    <m/>
    <m/>
    <s v="SOLFIN"/>
    <s v="SOLFIN"/>
    <s v="CCMS"/>
    <n v="21338544"/>
    <n v="1132.84"/>
    <m/>
    <s v="N"/>
    <n v="5"/>
    <d v="2023-07-06T19:21:28"/>
    <s v="Y"/>
    <s v="Preparation - drafting attendance n"/>
    <s v="Prescribed Hourly Rates"/>
    <s v="Profit Cost"/>
    <s v="AL"/>
    <s v="Y"/>
    <n v="6.31"/>
    <n v="1.26"/>
    <x v="4"/>
    <s v="VALIDATED"/>
    <n v="1"/>
    <s v="01.11.80.305.6100.0000"/>
    <n v="6.31"/>
    <s v="11"/>
    <s v="6100"/>
    <n v="7036.52"/>
    <n v="6.31"/>
    <s v="CREDITOR"/>
    <n v="0"/>
    <n v="0"/>
    <n v="0"/>
    <n v="0"/>
    <n v="6.31"/>
  </r>
  <r>
    <n v="61087592"/>
    <s v="N"/>
    <n v="21360986"/>
    <s v="3000015279550004"/>
    <s v="CIVIL"/>
    <d v="2023-06-29T00:00:00"/>
    <d v="2023-07-11T19:00:25"/>
    <m/>
    <d v="2023-07-11T00:00:00"/>
    <n v="696"/>
    <n v="1814"/>
    <s v="61087592"/>
    <s v="61087592"/>
    <m/>
    <m/>
    <n v="22787488"/>
    <m/>
    <m/>
    <m/>
    <s v="SOLFIN"/>
    <s v="SOLFIN"/>
    <s v="CCMS"/>
    <n v="21360986"/>
    <n v="8412.969999999999"/>
    <m/>
    <s v="N"/>
    <n v="7"/>
    <d v="2023-07-11T19:00:42"/>
    <s v="Y"/>
    <s v="Hearing Unit 1.01 - 2.30 Hours"/>
    <s v="Public Law Children"/>
    <s v="Advocacy"/>
    <s v="ME"/>
    <s v="Y"/>
    <n v="238.46"/>
    <n v="47.69"/>
    <x v="7"/>
    <s v="VALIDATED"/>
    <n v="1"/>
    <s v="01.11.80.308.6100.0000"/>
    <n v="238.46"/>
    <s v="11"/>
    <s v="6100"/>
    <n v="7036.52"/>
    <n v="238.46"/>
    <s v="CREDITOR"/>
    <n v="0"/>
    <n v="0"/>
    <n v="0"/>
    <n v="0"/>
    <n v="238.46"/>
  </r>
  <r>
    <n v="61586254"/>
    <s v="N"/>
    <n v="21338544"/>
    <s v="3000015696970002"/>
    <s v="CIVIL"/>
    <d v="2023-06-28T00:00:00"/>
    <d v="2023-07-06T19:21:01"/>
    <m/>
    <d v="2023-07-06T00:00:00"/>
    <n v="696"/>
    <n v="1814"/>
    <s v="61586254"/>
    <s v="61586254"/>
    <m/>
    <m/>
    <n v="22779160"/>
    <m/>
    <m/>
    <m/>
    <s v="SOLFIN"/>
    <s v="SOLFIN"/>
    <s v="CCMS"/>
    <n v="21338544"/>
    <n v="1132.84"/>
    <m/>
    <s v="N"/>
    <n v="3"/>
    <d v="2023-07-06T19:21:28"/>
    <s v="Y"/>
    <s v="Preparation - other"/>
    <s v="Prescribed Hourly Rates"/>
    <s v="Profit Cost"/>
    <s v="AL"/>
    <s v="Y"/>
    <n v="18.94"/>
    <n v="3.79"/>
    <x v="4"/>
    <s v="VALIDATED"/>
    <n v="1"/>
    <s v="01.11.80.305.6100.0000"/>
    <n v="18.94"/>
    <s v="11"/>
    <s v="6100"/>
    <n v="7036.52"/>
    <n v="18.94"/>
    <s v="CREDITOR"/>
    <n v="0"/>
    <n v="0"/>
    <n v="0"/>
    <n v="0"/>
    <n v="18.94"/>
  </r>
  <r>
    <n v="61087592"/>
    <s v="N"/>
    <n v="21360986"/>
    <s v="3000015279550004"/>
    <s v="CIVIL"/>
    <d v="2023-06-29T00:00:00"/>
    <d v="2023-07-11T19:00:25"/>
    <m/>
    <d v="2023-07-11T00:00:00"/>
    <n v="696"/>
    <n v="1814"/>
    <s v="61087592"/>
    <s v="61087592"/>
    <m/>
    <m/>
    <n v="22787488"/>
    <m/>
    <m/>
    <m/>
    <s v="SOLFIN"/>
    <s v="SOLFIN"/>
    <s v="CCMS"/>
    <n v="21360986"/>
    <n v="8412.969999999999"/>
    <m/>
    <s v="N"/>
    <n v="14"/>
    <d v="2023-07-11T19:00:42"/>
    <s v="Y"/>
    <s v="Solicitors Fixed Fee"/>
    <s v="Public Law Children"/>
    <s v="Profit Cost"/>
    <s v="ME"/>
    <s v="Y"/>
    <n v="2616"/>
    <n v="523.2"/>
    <x v="7"/>
    <s v="VALIDATED"/>
    <n v="1"/>
    <s v="01.11.80.308.6100.0000"/>
    <n v="2616"/>
    <s v="11"/>
    <s v="6100"/>
    <n v="7036.52"/>
    <n v="2616"/>
    <s v="CREDITOR"/>
    <n v="0"/>
    <n v="0"/>
    <n v="0"/>
    <n v="0"/>
    <n v="2616"/>
  </r>
  <r>
    <n v="59403392"/>
    <s v="N"/>
    <n v="21320955"/>
    <s v="3000013846390024"/>
    <s v="CIVIL"/>
    <d v="2023-06-28T00:00:00"/>
    <d v="2023-07-03T19:04:52"/>
    <m/>
    <d v="2023-07-03T00:00:00"/>
    <n v="696"/>
    <n v="1814"/>
    <s v="59403392"/>
    <s v="59403392"/>
    <m/>
    <m/>
    <n v="22779382"/>
    <m/>
    <m/>
    <m/>
    <s v="SOLPOA"/>
    <s v="SOLPOA"/>
    <s v="CCMS"/>
    <n v="21320955"/>
    <n v="164.4"/>
    <m/>
    <s v="N"/>
    <n v="1"/>
    <d v="2023-07-03T19:04:57"/>
    <s v="N"/>
    <s v="Non Expert Disbursement"/>
    <s v="Non Expert Disbursement"/>
    <s v="Non Expert Disbursement"/>
    <s v="P G Marshall"/>
    <s v="N"/>
    <n v="137"/>
    <n v="27.4"/>
    <x v="3"/>
    <s v="VALIDATED"/>
    <n v="1"/>
    <s v="01.11.80.308.2012.0000"/>
    <n v="137"/>
    <s v="11"/>
    <s v="2012"/>
    <n v="7036.52"/>
    <n v="137"/>
    <s v="CREDITOR"/>
    <n v="137"/>
    <n v="0"/>
    <n v="0"/>
    <n v="0"/>
    <n v="0"/>
  </r>
  <r>
    <n v="61586254"/>
    <s v="N"/>
    <n v="21338544"/>
    <s v="3000015696970002"/>
    <s v="CIVIL"/>
    <d v="2023-06-28T00:00:00"/>
    <d v="2023-07-06T19:21:01"/>
    <m/>
    <d v="2023-07-06T00:00:00"/>
    <n v="696"/>
    <n v="1814"/>
    <s v="61586254"/>
    <s v="61586254"/>
    <m/>
    <m/>
    <n v="22779160"/>
    <m/>
    <m/>
    <m/>
    <s v="SOLFIN"/>
    <s v="SOLFIN"/>
    <s v="CCMS"/>
    <n v="21338544"/>
    <n v="1132.84"/>
    <m/>
    <s v="N"/>
    <n v="7"/>
    <d v="2023-07-06T19:21:28"/>
    <s v="Y"/>
    <s v="Advocacy - Final Hearing"/>
    <s v="Prescribed Hourly Rates"/>
    <s v="Advocacy"/>
    <s v="AL"/>
    <s v="Y"/>
    <n v="136.93"/>
    <n v="27.39"/>
    <x v="4"/>
    <s v="VALIDATED"/>
    <n v="1"/>
    <s v="01.11.80.305.6100.0000"/>
    <n v="136.93"/>
    <s v="11"/>
    <s v="6100"/>
    <n v="7036.52"/>
    <n v="136.93"/>
    <s v="CREDITOR"/>
    <n v="0"/>
    <n v="0"/>
    <n v="0"/>
    <n v="0"/>
    <n v="136.93"/>
  </r>
  <r>
    <n v="61586254"/>
    <s v="N"/>
    <n v="21338544"/>
    <s v="3000015696970002"/>
    <s v="CIVIL"/>
    <d v="2023-06-28T00:00:00"/>
    <d v="2023-07-06T19:21:01"/>
    <m/>
    <d v="2023-07-06T00:00:00"/>
    <n v="696"/>
    <n v="1814"/>
    <s v="61586254"/>
    <s v="61586254"/>
    <m/>
    <m/>
    <n v="22779160"/>
    <m/>
    <m/>
    <m/>
    <s v="SOLFIN"/>
    <s v="SOLFIN"/>
    <s v="CCMS"/>
    <n v="21338544"/>
    <n v="1132.84"/>
    <m/>
    <s v="N"/>
    <n v="9"/>
    <d v="2023-07-06T19:21:28"/>
    <s v="Y"/>
    <s v="Preparation - other"/>
    <s v="Prescribed Hourly Rates"/>
    <s v="Profit Cost"/>
    <s v="AL"/>
    <s v="Y"/>
    <n v="12.63"/>
    <n v="2.53"/>
    <x v="4"/>
    <s v="VALIDATED"/>
    <n v="1"/>
    <s v="01.11.80.305.6100.0000"/>
    <n v="12.63"/>
    <s v="11"/>
    <s v="6100"/>
    <n v="7036.52"/>
    <n v="12.63"/>
    <s v="CREDITOR"/>
    <n v="0"/>
    <n v="0"/>
    <n v="0"/>
    <n v="0"/>
    <n v="12.63"/>
  </r>
  <r>
    <n v="61586254"/>
    <s v="N"/>
    <n v="21338544"/>
    <s v="3000015696970002"/>
    <s v="CIVIL"/>
    <d v="2023-06-28T00:00:00"/>
    <d v="2023-07-06T19:21:01"/>
    <m/>
    <d v="2023-07-06T00:00:00"/>
    <n v="696"/>
    <n v="1814"/>
    <s v="61586254"/>
    <s v="61586254"/>
    <m/>
    <m/>
    <n v="22779160"/>
    <m/>
    <m/>
    <m/>
    <s v="SOLFIN"/>
    <s v="SOLFIN"/>
    <s v="CCMS"/>
    <n v="21338544"/>
    <n v="1132.84"/>
    <m/>
    <s v="N"/>
    <n v="4"/>
    <d v="2023-07-06T19:21:28"/>
    <s v="Y"/>
    <s v="Preparation - drafting attendance n"/>
    <s v="Prescribed Hourly Rates"/>
    <s v="Profit Cost"/>
    <s v="AL"/>
    <s v="Y"/>
    <n v="6.31"/>
    <n v="1.26"/>
    <x v="4"/>
    <s v="VALIDATED"/>
    <n v="1"/>
    <s v="01.11.80.305.6100.0000"/>
    <n v="6.31"/>
    <s v="11"/>
    <s v="6100"/>
    <n v="7036.52"/>
    <n v="6.31"/>
    <s v="CREDITOR"/>
    <n v="0"/>
    <n v="0"/>
    <n v="0"/>
    <n v="0"/>
    <n v="6.31"/>
  </r>
  <r>
    <n v="61586254"/>
    <s v="N"/>
    <n v="21338544"/>
    <s v="3000015696970002"/>
    <s v="CIVIL"/>
    <d v="2023-06-28T00:00:00"/>
    <d v="2023-07-06T19:21:01"/>
    <m/>
    <d v="2023-07-06T00:00:00"/>
    <n v="696"/>
    <n v="1814"/>
    <s v="61586254"/>
    <s v="61586254"/>
    <m/>
    <m/>
    <n v="22779160"/>
    <m/>
    <m/>
    <m/>
    <s v="SOLFIN"/>
    <s v="SOLFIN"/>
    <s v="CCMS"/>
    <n v="21338544"/>
    <n v="1132.84"/>
    <m/>
    <s v="N"/>
    <n v="20"/>
    <d v="2023-07-06T19:21:28"/>
    <s v="Y"/>
    <s v="Preparation - other"/>
    <s v="Prescribed Hourly Rates"/>
    <s v="Profit Cost"/>
    <s v="AL"/>
    <s v="Y"/>
    <n v="6.31"/>
    <n v="1.26"/>
    <x v="4"/>
    <s v="VALIDATED"/>
    <n v="1"/>
    <s v="01.11.80.305.6100.0000"/>
    <n v="6.31"/>
    <s v="11"/>
    <s v="6100"/>
    <n v="7036.52"/>
    <n v="6.31"/>
    <s v="CREDITOR"/>
    <n v="0"/>
    <n v="0"/>
    <n v="0"/>
    <n v="0"/>
    <n v="6.31"/>
  </r>
  <r>
    <n v="61087592"/>
    <s v="N"/>
    <n v="21360986"/>
    <s v="3000015279550004"/>
    <s v="CIVIL"/>
    <d v="2023-06-29T00:00:00"/>
    <d v="2023-07-11T19:00:25"/>
    <m/>
    <d v="2023-07-11T00:00:00"/>
    <n v="696"/>
    <n v="1814"/>
    <s v="61087592"/>
    <s v="61087592"/>
    <m/>
    <m/>
    <n v="22787488"/>
    <m/>
    <m/>
    <m/>
    <s v="SOLFIN"/>
    <s v="SOLFIN"/>
    <s v="CCMS"/>
    <n v="21360986"/>
    <n v="8412.969999999999"/>
    <m/>
    <s v="N"/>
    <n v="11"/>
    <d v="2023-07-11T19:00:42"/>
    <s v="Y"/>
    <s v="Hearing Unit 1.01 - 2.30 Hours"/>
    <s v="Public Law Children"/>
    <s v="Advocacy"/>
    <s v="ME"/>
    <s v="Y"/>
    <n v="238.46"/>
    <n v="47.69"/>
    <x v="7"/>
    <s v="VALIDATED"/>
    <n v="1"/>
    <s v="01.11.80.308.6100.0000"/>
    <n v="238.46"/>
    <s v="11"/>
    <s v="6100"/>
    <n v="7036.52"/>
    <n v="238.46"/>
    <s v="CREDITOR"/>
    <n v="0"/>
    <n v="0"/>
    <n v="0"/>
    <n v="0"/>
    <n v="238.46"/>
  </r>
  <r>
    <n v="61087592"/>
    <s v="N"/>
    <n v="21360986"/>
    <s v="3000015279550004"/>
    <s v="CIVIL"/>
    <d v="2023-06-29T00:00:00"/>
    <d v="2023-07-11T19:00:25"/>
    <m/>
    <d v="2023-07-11T00:00:00"/>
    <n v="696"/>
    <n v="1814"/>
    <s v="61087592"/>
    <s v="61087592"/>
    <m/>
    <m/>
    <n v="22787488"/>
    <m/>
    <m/>
    <m/>
    <s v="SOLFIN"/>
    <s v="SOLFIN"/>
    <s v="CCMS"/>
    <n v="21360986"/>
    <n v="8412.969999999999"/>
    <m/>
    <s v="N"/>
    <n v="5"/>
    <d v="2023-07-11T19:00:42"/>
    <s v="Y"/>
    <s v="Psychologist"/>
    <s v="Public Law Children"/>
    <s v="Expert Disbursement"/>
    <s v="PSYCHOLOGY PARTNERSHIP"/>
    <s v="Y"/>
    <n v="409.79"/>
    <n v="81.95999999999999"/>
    <x v="7"/>
    <s v="VALIDATED"/>
    <n v="1"/>
    <s v="01.11.80.308.6300.0000"/>
    <n v="409.79"/>
    <s v="11"/>
    <s v="6300"/>
    <n v="7036.52"/>
    <n v="409.79"/>
    <s v="CREDITOR"/>
    <n v="0"/>
    <n v="0"/>
    <n v="0"/>
    <n v="0"/>
    <n v="409.79"/>
  </r>
  <r>
    <n v="61586254"/>
    <s v="N"/>
    <n v="21338544"/>
    <s v="3000015696970002"/>
    <s v="CIVIL"/>
    <d v="2023-06-28T00:00:00"/>
    <d v="2023-07-06T19:21:01"/>
    <m/>
    <d v="2023-07-06T00:00:00"/>
    <n v="696"/>
    <n v="1814"/>
    <s v="61586254"/>
    <s v="61586254"/>
    <m/>
    <m/>
    <n v="22779160"/>
    <m/>
    <m/>
    <m/>
    <s v="SOLFIN"/>
    <s v="SOLFIN"/>
    <s v="CCMS"/>
    <n v="21338544"/>
    <n v="1132.84"/>
    <m/>
    <s v="N"/>
    <n v="10"/>
    <d v="2023-07-06T19:21:28"/>
    <s v="Y"/>
    <s v="Attendance upon client"/>
    <s v="Prescribed Hourly Rates"/>
    <s v="Profit Cost"/>
    <s v="AL"/>
    <s v="Y"/>
    <n v="12.63"/>
    <n v="2.53"/>
    <x v="4"/>
    <s v="VALIDATED"/>
    <n v="1"/>
    <s v="01.11.80.305.6100.0000"/>
    <n v="12.63"/>
    <s v="11"/>
    <s v="6100"/>
    <n v="7036.52"/>
    <n v="12.63"/>
    <s v="CREDITOR"/>
    <n v="0"/>
    <n v="0"/>
    <n v="0"/>
    <n v="0"/>
    <n v="12.63"/>
  </r>
  <r>
    <n v="61586254"/>
    <s v="N"/>
    <n v="21338544"/>
    <s v="3000015696970002"/>
    <s v="CIVIL"/>
    <d v="2023-06-28T00:00:00"/>
    <d v="2023-07-06T19:21:01"/>
    <m/>
    <d v="2023-07-06T00:00:00"/>
    <n v="696"/>
    <n v="1814"/>
    <s v="61586254"/>
    <s v="61586254"/>
    <m/>
    <m/>
    <n v="22779160"/>
    <m/>
    <m/>
    <m/>
    <s v="SOLFIN"/>
    <s v="SOLFIN"/>
    <s v="CCMS"/>
    <n v="21338544"/>
    <n v="1132.84"/>
    <m/>
    <s v="N"/>
    <n v="26"/>
    <d v="2023-07-06T19:21:28"/>
    <s v="Y"/>
    <s v="Preparation - other"/>
    <s v="Prescribed Hourly Rates"/>
    <s v="Profit Cost"/>
    <s v="AL"/>
    <s v="Y"/>
    <n v="6.31"/>
    <n v="1.26"/>
    <x v="4"/>
    <s v="VALIDATED"/>
    <n v="1"/>
    <s v="01.11.80.305.6100.0000"/>
    <n v="6.31"/>
    <s v="11"/>
    <s v="6100"/>
    <n v="7036.52"/>
    <n v="6.31"/>
    <s v="CREDITOR"/>
    <n v="0"/>
    <n v="0"/>
    <n v="0"/>
    <n v="0"/>
    <n v="6.31"/>
  </r>
  <r>
    <n v="61586254"/>
    <s v="N"/>
    <n v="21338544"/>
    <s v="3000015696970002"/>
    <s v="CIVIL"/>
    <d v="2023-06-28T00:00:00"/>
    <d v="2023-07-06T19:21:01"/>
    <m/>
    <d v="2023-07-06T00:00:00"/>
    <n v="696"/>
    <n v="1814"/>
    <s v="61586254"/>
    <s v="61586254"/>
    <m/>
    <m/>
    <n v="22779160"/>
    <m/>
    <m/>
    <m/>
    <s v="SOLFIN"/>
    <s v="SOLFIN"/>
    <s v="CCMS"/>
    <n v="21338544"/>
    <n v="1132.84"/>
    <m/>
    <s v="N"/>
    <n v="13"/>
    <d v="2023-07-06T19:21:28"/>
    <s v="Y"/>
    <s v="Travel to court"/>
    <s v="Prescribed Hourly Rates"/>
    <s v="Profit Cost"/>
    <s v="AL"/>
    <s v="Y"/>
    <n v="19.25"/>
    <n v="3.85"/>
    <x v="4"/>
    <s v="VALIDATED"/>
    <n v="1"/>
    <s v="01.11.80.305.6100.0000"/>
    <n v="19.25"/>
    <s v="11"/>
    <s v="6100"/>
    <n v="7036.52"/>
    <n v="19.25"/>
    <s v="CREDITOR"/>
    <n v="0"/>
    <n v="0"/>
    <n v="0"/>
    <n v="0"/>
    <n v="19.25"/>
  </r>
  <r>
    <n v="61586254"/>
    <s v="N"/>
    <n v="21338544"/>
    <s v="3000015696970002"/>
    <s v="CIVIL"/>
    <d v="2023-06-28T00:00:00"/>
    <d v="2023-07-06T19:21:01"/>
    <m/>
    <d v="2023-07-06T00:00:00"/>
    <n v="696"/>
    <n v="1814"/>
    <s v="61586254"/>
    <s v="61586254"/>
    <m/>
    <m/>
    <n v="22779160"/>
    <m/>
    <m/>
    <m/>
    <s v="SOLFIN"/>
    <s v="SOLFIN"/>
    <s v="CCMS"/>
    <n v="21338544"/>
    <n v="1132.84"/>
    <m/>
    <s v="N"/>
    <n v="21"/>
    <d v="2023-07-06T19:21:28"/>
    <s v="Y"/>
    <s v="Preparation - other"/>
    <s v="Prescribed Hourly Rates"/>
    <s v="Profit Cost"/>
    <s v="AL"/>
    <s v="Y"/>
    <n v="6.31"/>
    <n v="1.26"/>
    <x v="4"/>
    <s v="VALIDATED"/>
    <n v="1"/>
    <s v="01.11.80.305.6100.0000"/>
    <n v="6.31"/>
    <s v="11"/>
    <s v="6100"/>
    <n v="7036.52"/>
    <n v="6.31"/>
    <s v="CREDITOR"/>
    <n v="0"/>
    <n v="0"/>
    <n v="0"/>
    <n v="0"/>
    <n v="6.31"/>
  </r>
  <r>
    <n v="61087592"/>
    <s v="N"/>
    <n v="21360986"/>
    <s v="3000015279550004"/>
    <s v="CIVIL"/>
    <d v="2023-06-29T00:00:00"/>
    <d v="2023-07-11T19:00:25"/>
    <m/>
    <d v="2023-07-11T00:00:00"/>
    <n v="696"/>
    <n v="1814"/>
    <s v="61087592"/>
    <s v="61087592"/>
    <m/>
    <m/>
    <n v="22787488"/>
    <m/>
    <m/>
    <m/>
    <s v="SOLFIN"/>
    <s v="SOLFIN"/>
    <s v="CCMS"/>
    <n v="21360986"/>
    <n v="8412.969999999999"/>
    <m/>
    <s v="N"/>
    <n v="3"/>
    <d v="2023-07-11T19:00:42"/>
    <s v="Y"/>
    <s v="Final Hearing Court Bundle/Advocate"/>
    <s v="Public Law Children"/>
    <s v="Advocacy"/>
    <s v="ME"/>
    <s v="Y"/>
    <n v="239.4"/>
    <n v="47.88"/>
    <x v="7"/>
    <s v="VALIDATED"/>
    <n v="1"/>
    <s v="01.11.80.308.6100.0000"/>
    <n v="239.4"/>
    <s v="11"/>
    <s v="6100"/>
    <n v="7036.52"/>
    <n v="239.4"/>
    <s v="CREDITOR"/>
    <n v="0"/>
    <n v="0"/>
    <n v="0"/>
    <n v="0"/>
    <n v="239.4"/>
  </r>
  <r>
    <n v="61586254"/>
    <s v="N"/>
    <n v="21338544"/>
    <s v="3000015696970002"/>
    <s v="CIVIL"/>
    <d v="2023-06-28T00:00:00"/>
    <d v="2023-07-06T19:21:01"/>
    <m/>
    <d v="2023-07-06T00:00:00"/>
    <n v="696"/>
    <n v="1814"/>
    <s v="61586254"/>
    <s v="61586254"/>
    <m/>
    <m/>
    <n v="22779160"/>
    <m/>
    <m/>
    <m/>
    <s v="SOLFIN"/>
    <s v="SOLFIN"/>
    <s v="CCMS"/>
    <n v="21338544"/>
    <n v="1132.84"/>
    <m/>
    <s v="N"/>
    <n v="1"/>
    <d v="2023-07-06T19:21:28"/>
    <s v="Y"/>
    <s v="Routine Letter Out"/>
    <s v="Prescribed Hourly Rates"/>
    <s v="Profit Cost"/>
    <s v="AL"/>
    <s v="Y"/>
    <n v="235.98"/>
    <n v="47.2"/>
    <x v="4"/>
    <s v="VALIDATED"/>
    <n v="1"/>
    <s v="01.11.80.305.6100.0000"/>
    <n v="235.98"/>
    <s v="11"/>
    <s v="6100"/>
    <n v="7036.52"/>
    <n v="235.98"/>
    <s v="CREDITOR"/>
    <n v="0"/>
    <n v="0"/>
    <n v="0"/>
    <n v="0"/>
    <n v="235.98"/>
  </r>
  <r>
    <n v="61586254"/>
    <s v="N"/>
    <n v="21338544"/>
    <s v="3000015696970002"/>
    <s v="CIVIL"/>
    <d v="2023-06-28T00:00:00"/>
    <d v="2023-07-06T19:21:01"/>
    <m/>
    <d v="2023-07-06T00:00:00"/>
    <n v="696"/>
    <n v="1814"/>
    <s v="61586254"/>
    <s v="61586254"/>
    <m/>
    <m/>
    <n v="22779160"/>
    <m/>
    <m/>
    <m/>
    <s v="SOLFIN"/>
    <s v="SOLFIN"/>
    <s v="CCMS"/>
    <n v="21338544"/>
    <n v="1132.84"/>
    <m/>
    <s v="N"/>
    <n v="27"/>
    <d v="2023-07-06T19:21:28"/>
    <s v="Y"/>
    <s v="Preparation - other"/>
    <s v="Prescribed Hourly Rates"/>
    <s v="Profit Cost"/>
    <s v="AL"/>
    <s v="Y"/>
    <n v="12.63"/>
    <n v="2.53"/>
    <x v="4"/>
    <s v="VALIDATED"/>
    <n v="1"/>
    <s v="01.11.80.305.6100.0000"/>
    <n v="12.63"/>
    <s v="11"/>
    <s v="6100"/>
    <n v="7036.52"/>
    <n v="12.63"/>
    <s v="CREDITOR"/>
    <n v="0"/>
    <n v="0"/>
    <n v="0"/>
    <n v="0"/>
    <n v="12.63"/>
  </r>
  <r>
    <n v="61740770"/>
    <s v="N"/>
    <n v="21322231"/>
    <s v="3000015821980005"/>
    <s v="CIVIL"/>
    <d v="2023-06-29T00:00:00"/>
    <d v="2023-07-03T19:05:36"/>
    <m/>
    <d v="2023-07-03T00:00:00"/>
    <n v="696"/>
    <n v="1814"/>
    <s v="61740770"/>
    <s v="61740770"/>
    <m/>
    <m/>
    <n v="22789922"/>
    <m/>
    <m/>
    <m/>
    <s v="SOLPOA"/>
    <s v="SOLPOA"/>
    <s v="CCMS"/>
    <n v="21322231"/>
    <n v="1474"/>
    <m/>
    <s v="N"/>
    <n v="1"/>
    <d v="2023-07-03T19:05:36"/>
    <s v="N"/>
    <s v="Solicitors Fixed Fee"/>
    <s v="Public Law Children"/>
    <s v="Profit Cost"/>
    <s v="AL"/>
    <s v="N"/>
    <n v="1228.33"/>
    <n v="245.67"/>
    <x v="3"/>
    <s v="VALIDATED"/>
    <n v="1"/>
    <s v="01.11.80.308.2012.0000"/>
    <n v="1228.33"/>
    <s v="11"/>
    <s v="2012"/>
    <n v="7036.52"/>
    <n v="1228.33"/>
    <s v="CREDITOR"/>
    <n v="1228.33"/>
    <n v="307.0825"/>
    <n v="0"/>
    <n v="0"/>
    <n v="0"/>
  </r>
  <r>
    <n v="61087592"/>
    <s v="N"/>
    <n v="21360986"/>
    <s v="3000015279550004"/>
    <s v="CIVIL"/>
    <d v="2023-06-29T00:00:00"/>
    <d v="2023-07-11T19:00:25"/>
    <m/>
    <d v="2023-07-11T00:00:00"/>
    <n v="696"/>
    <n v="1814"/>
    <s v="61087592"/>
    <s v="61087592"/>
    <m/>
    <m/>
    <n v="22787488"/>
    <m/>
    <m/>
    <m/>
    <s v="SOLFIN"/>
    <s v="SOLFIN"/>
    <s v="CCMS"/>
    <n v="21360986"/>
    <n v="8412.969999999999"/>
    <m/>
    <s v="N"/>
    <n v="2"/>
    <d v="2023-07-11T19:00:42"/>
    <s v="Y"/>
    <s v="Interim Hearing Court Bundle/Advoca"/>
    <s v="Public Law Children"/>
    <s v="Advocacy"/>
    <s v="ME"/>
    <s v="Y"/>
    <n v="89.09999999999999"/>
    <n v="17.82"/>
    <x v="7"/>
    <s v="VALIDATED"/>
    <n v="1"/>
    <s v="01.11.80.308.6100.0000"/>
    <n v="89.09999999999999"/>
    <s v="11"/>
    <s v="6100"/>
    <n v="7036.52"/>
    <n v="89.09999999999999"/>
    <s v="CREDITOR"/>
    <n v="0"/>
    <n v="0"/>
    <n v="0"/>
    <n v="0"/>
    <n v="89.09999999999999"/>
  </r>
  <r>
    <n v="61149152"/>
    <s v="N"/>
    <n v="21337767"/>
    <s v="3000015332850017"/>
    <s v="CIVIL"/>
    <d v="2023-06-29T00:00:00"/>
    <d v="2023-07-06T19:21:01"/>
    <m/>
    <d v="2023-07-06T00:00:00"/>
    <n v="696"/>
    <n v="1814"/>
    <s v="61149152"/>
    <s v="61149152"/>
    <m/>
    <m/>
    <n v="22792900"/>
    <m/>
    <m/>
    <m/>
    <s v="SOLPOA"/>
    <s v="SOLPOA"/>
    <s v="CCMS"/>
    <n v="21337767"/>
    <n v="155.52"/>
    <m/>
    <s v="N"/>
    <n v="1"/>
    <d v="2023-07-06T19:21:07"/>
    <s v="N"/>
    <s v="Non Expert Disbursement"/>
    <s v="Non Expert Disbursement"/>
    <s v="Non Expert Disbursement"/>
    <s v="Andrew Lobb"/>
    <s v="N"/>
    <n v="129.6"/>
    <n v="25.92"/>
    <x v="4"/>
    <s v="VALIDATED"/>
    <n v="1"/>
    <s v="01.11.80.308.2012.0000"/>
    <n v="129.6"/>
    <s v="11"/>
    <s v="2012"/>
    <n v="7036.52"/>
    <n v="129.6"/>
    <s v="CREDITOR"/>
    <n v="129.6"/>
    <n v="0"/>
    <n v="0"/>
    <n v="0"/>
    <n v="0"/>
  </r>
  <r>
    <n v="61586254"/>
    <s v="N"/>
    <n v="21338544"/>
    <s v="3000015696970002"/>
    <s v="CIVIL"/>
    <d v="2023-06-28T00:00:00"/>
    <d v="2023-07-06T19:21:01"/>
    <m/>
    <d v="2023-07-06T00:00:00"/>
    <n v="696"/>
    <n v="1814"/>
    <s v="61586254"/>
    <s v="61586254"/>
    <m/>
    <m/>
    <n v="22779160"/>
    <m/>
    <m/>
    <m/>
    <s v="SOLFIN"/>
    <s v="SOLFIN"/>
    <s v="CCMS"/>
    <n v="21338544"/>
    <n v="1132.84"/>
    <m/>
    <s v="N"/>
    <n v="24"/>
    <d v="2023-07-06T19:21:28"/>
    <s v="Y"/>
    <s v="Preparation - other"/>
    <s v="Prescribed Hourly Rates"/>
    <s v="Profit Cost"/>
    <s v="AL"/>
    <s v="Y"/>
    <n v="6.31"/>
    <n v="1.26"/>
    <x v="4"/>
    <s v="VALIDATED"/>
    <n v="1"/>
    <s v="01.11.80.305.6100.0000"/>
    <n v="6.31"/>
    <s v="11"/>
    <s v="6100"/>
    <n v="7036.52"/>
    <n v="6.31"/>
    <s v="CREDITOR"/>
    <n v="0"/>
    <n v="0"/>
    <n v="0"/>
    <n v="0"/>
    <n v="6.31"/>
  </r>
  <r>
    <n v="61087592"/>
    <s v="N"/>
    <n v="21360986"/>
    <s v="3000015279550004"/>
    <s v="CIVIL"/>
    <d v="2023-06-29T00:00:00"/>
    <d v="2023-07-11T19:00:25"/>
    <m/>
    <d v="2023-07-11T00:00:00"/>
    <n v="696"/>
    <n v="1814"/>
    <s v="61087592"/>
    <s v="61087592"/>
    <m/>
    <m/>
    <n v="22787488"/>
    <m/>
    <m/>
    <m/>
    <s v="SOLFIN"/>
    <s v="SOLFIN"/>
    <s v="CCMS"/>
    <n v="21360986"/>
    <n v="8412.969999999999"/>
    <m/>
    <s v="N"/>
    <n v="10"/>
    <d v="2023-07-11T19:00:42"/>
    <s v="Y"/>
    <s v="Hearing Unit 1.01 - 2.30 Hours"/>
    <s v="Public Law Children"/>
    <s v="Advocacy"/>
    <s v="ME"/>
    <s v="Y"/>
    <n v="238.46"/>
    <n v="47.69"/>
    <x v="7"/>
    <s v="VALIDATED"/>
    <n v="1"/>
    <s v="01.11.80.308.6100.0000"/>
    <n v="238.46"/>
    <s v="11"/>
    <s v="6100"/>
    <n v="7036.52"/>
    <n v="238.46"/>
    <s v="CREDITOR"/>
    <n v="0"/>
    <n v="0"/>
    <n v="0"/>
    <n v="0"/>
    <n v="238.46"/>
  </r>
  <r>
    <n v="61586254"/>
    <s v="N"/>
    <n v="21338544"/>
    <s v="3000015696970002"/>
    <s v="CIVIL"/>
    <d v="2023-06-28T00:00:00"/>
    <d v="2023-07-06T19:21:01"/>
    <m/>
    <d v="2023-07-06T00:00:00"/>
    <n v="696"/>
    <n v="1814"/>
    <s v="61586254"/>
    <s v="61586254"/>
    <m/>
    <m/>
    <n v="22779160"/>
    <m/>
    <m/>
    <m/>
    <s v="SOLFIN"/>
    <s v="SOLFIN"/>
    <s v="CCMS"/>
    <n v="21338544"/>
    <n v="1132.84"/>
    <m/>
    <s v="N"/>
    <n v="8"/>
    <d v="2023-07-06T19:21:28"/>
    <s v="Y"/>
    <s v="Preparation - other"/>
    <s v="Prescribed Hourly Rates"/>
    <s v="Profit Cost"/>
    <s v="AL"/>
    <s v="Y"/>
    <n v="18.94"/>
    <n v="3.79"/>
    <x v="4"/>
    <s v="VALIDATED"/>
    <n v="1"/>
    <s v="01.11.80.305.6100.0000"/>
    <n v="18.94"/>
    <s v="11"/>
    <s v="6100"/>
    <n v="7036.52"/>
    <n v="18.94"/>
    <s v="CREDITOR"/>
    <n v="0"/>
    <n v="0"/>
    <n v="0"/>
    <n v="0"/>
    <n v="18.94"/>
  </r>
  <r>
    <n v="61586254"/>
    <s v="N"/>
    <n v="21338544"/>
    <s v="3000015696970002"/>
    <s v="CIVIL"/>
    <d v="2023-06-28T00:00:00"/>
    <d v="2023-07-06T19:21:01"/>
    <m/>
    <d v="2023-07-06T00:00:00"/>
    <n v="696"/>
    <n v="1814"/>
    <s v="61586254"/>
    <s v="61586254"/>
    <m/>
    <m/>
    <n v="22779160"/>
    <m/>
    <m/>
    <m/>
    <s v="SOLFIN"/>
    <s v="SOLFIN"/>
    <s v="CCMS"/>
    <n v="21338544"/>
    <n v="1132.84"/>
    <m/>
    <s v="N"/>
    <n v="17"/>
    <d v="2023-07-06T19:21:28"/>
    <s v="Y"/>
    <s v="Preparation - other"/>
    <s v="Prescribed Hourly Rates"/>
    <s v="Profit Cost"/>
    <s v="AL"/>
    <s v="Y"/>
    <n v="12.63"/>
    <n v="2.53"/>
    <x v="4"/>
    <s v="VALIDATED"/>
    <n v="1"/>
    <s v="01.11.80.305.6100.0000"/>
    <n v="12.63"/>
    <s v="11"/>
    <s v="6100"/>
    <n v="7036.52"/>
    <n v="12.63"/>
    <s v="CREDITOR"/>
    <n v="0"/>
    <n v="0"/>
    <n v="0"/>
    <n v="0"/>
    <n v="12.63"/>
  </r>
  <r>
    <n v="61586254"/>
    <s v="N"/>
    <n v="21338544"/>
    <s v="3000015696970002"/>
    <s v="CIVIL"/>
    <d v="2023-06-28T00:00:00"/>
    <d v="2023-07-06T19:21:01"/>
    <m/>
    <d v="2023-07-06T00:00:00"/>
    <n v="696"/>
    <n v="1814"/>
    <s v="61586254"/>
    <s v="61586254"/>
    <m/>
    <m/>
    <n v="22779160"/>
    <m/>
    <m/>
    <m/>
    <s v="SOLFIN"/>
    <s v="SOLFIN"/>
    <s v="CCMS"/>
    <n v="21338544"/>
    <n v="1132.84"/>
    <m/>
    <s v="N"/>
    <n v="25"/>
    <d v="2023-07-06T19:21:28"/>
    <s v="Y"/>
    <s v="Preparation - other"/>
    <s v="Prescribed Hourly Rates"/>
    <s v="Profit Cost"/>
    <s v="AL"/>
    <s v="Y"/>
    <n v="6.31"/>
    <n v="1.26"/>
    <x v="4"/>
    <s v="VALIDATED"/>
    <n v="1"/>
    <s v="01.11.80.305.6100.0000"/>
    <n v="6.31"/>
    <s v="11"/>
    <s v="6100"/>
    <n v="7036.52"/>
    <n v="6.31"/>
    <s v="CREDITOR"/>
    <n v="0"/>
    <n v="0"/>
    <n v="0"/>
    <n v="0"/>
    <n v="6.31"/>
  </r>
  <r>
    <n v="61586254"/>
    <s v="N"/>
    <n v="21338544"/>
    <s v="3000015696970002"/>
    <s v="CIVIL"/>
    <d v="2023-06-28T00:00:00"/>
    <d v="2023-07-06T19:21:01"/>
    <m/>
    <d v="2023-07-06T00:00:00"/>
    <n v="696"/>
    <n v="1814"/>
    <s v="61586254"/>
    <s v="61586254"/>
    <m/>
    <m/>
    <n v="22779160"/>
    <m/>
    <m/>
    <m/>
    <s v="SOLFIN"/>
    <s v="SOLFIN"/>
    <s v="CCMS"/>
    <n v="21338544"/>
    <n v="1132.84"/>
    <m/>
    <s v="N"/>
    <n v="15"/>
    <d v="2023-07-06T19:21:28"/>
    <s v="Y"/>
    <s v="Advocacy - Directions Hearing"/>
    <s v="Prescribed Hourly Rates"/>
    <s v="Advocacy"/>
    <s v="AL"/>
    <s v="Y"/>
    <n v="143.45"/>
    <n v="28.69"/>
    <x v="4"/>
    <s v="VALIDATED"/>
    <n v="1"/>
    <s v="01.11.80.305.6100.0000"/>
    <n v="143.45"/>
    <s v="11"/>
    <s v="6100"/>
    <n v="7036.52"/>
    <n v="143.45"/>
    <s v="CREDITOR"/>
    <n v="0"/>
    <n v="0"/>
    <n v="0"/>
    <n v="0"/>
    <n v="143.45"/>
  </r>
  <r>
    <n v="61586254"/>
    <s v="N"/>
    <n v="21338544"/>
    <s v="3000015696970002"/>
    <s v="CIVIL"/>
    <d v="2023-06-28T00:00:00"/>
    <d v="2023-07-06T19:21:01"/>
    <m/>
    <d v="2023-07-06T00:00:00"/>
    <n v="696"/>
    <n v="1814"/>
    <s v="61586254"/>
    <s v="61586254"/>
    <m/>
    <m/>
    <n v="22779160"/>
    <m/>
    <m/>
    <m/>
    <s v="SOLFIN"/>
    <s v="SOLFIN"/>
    <s v="CCMS"/>
    <n v="21338544"/>
    <n v="1132.84"/>
    <m/>
    <s v="N"/>
    <n v="16"/>
    <d v="2023-07-06T19:21:28"/>
    <s v="Y"/>
    <s v="Routine Letter In"/>
    <s v="Prescribed Hourly Rates"/>
    <s v="Profit Cost"/>
    <s v="AL"/>
    <s v="Y"/>
    <n v="77.63"/>
    <n v="15.53"/>
    <x v="4"/>
    <s v="VALIDATED"/>
    <n v="1"/>
    <s v="01.11.80.305.6100.0000"/>
    <n v="77.63"/>
    <s v="11"/>
    <s v="6100"/>
    <n v="7036.52"/>
    <n v="77.63"/>
    <s v="CREDITOR"/>
    <n v="0"/>
    <n v="0"/>
    <n v="0"/>
    <n v="0"/>
    <n v="77.63"/>
  </r>
  <r>
    <n v="61087592"/>
    <s v="N"/>
    <n v="21360986"/>
    <s v="3000015279550004"/>
    <s v="CIVIL"/>
    <d v="2023-06-29T00:00:00"/>
    <d v="2023-07-11T19:00:25"/>
    <m/>
    <d v="2023-07-11T00:00:00"/>
    <n v="696"/>
    <n v="1814"/>
    <s v="61087592"/>
    <s v="61087592"/>
    <m/>
    <m/>
    <n v="22787488"/>
    <m/>
    <m/>
    <m/>
    <s v="SOLFIN"/>
    <s v="SOLFIN"/>
    <s v="CCMS"/>
    <n v="21360986"/>
    <n v="8412.969999999999"/>
    <m/>
    <s v="N"/>
    <n v="12"/>
    <d v="2023-07-11T19:00:42"/>
    <s v="Y"/>
    <s v="Advocates Meeting"/>
    <s v="Public Law Children"/>
    <s v="Advocacy"/>
    <s v="ME"/>
    <s v="Y"/>
    <n v="140.99"/>
    <n v="28.2"/>
    <x v="7"/>
    <s v="VALIDATED"/>
    <n v="1"/>
    <s v="01.11.80.308.6100.0000"/>
    <n v="140.99"/>
    <s v="11"/>
    <s v="6100"/>
    <n v="7036.52"/>
    <n v="140.99"/>
    <s v="CREDITOR"/>
    <n v="0"/>
    <n v="0"/>
    <n v="0"/>
    <n v="0"/>
    <n v="140.99"/>
  </r>
  <r>
    <n v="61586254"/>
    <s v="N"/>
    <n v="21338544"/>
    <s v="3000015696970002"/>
    <s v="CIVIL"/>
    <d v="2023-06-28T00:00:00"/>
    <d v="2023-07-06T19:21:01"/>
    <m/>
    <d v="2023-07-06T00:00:00"/>
    <n v="696"/>
    <n v="1814"/>
    <s v="61586254"/>
    <s v="61586254"/>
    <m/>
    <m/>
    <n v="22779160"/>
    <m/>
    <m/>
    <m/>
    <s v="SOLFIN"/>
    <s v="SOLFIN"/>
    <s v="CCMS"/>
    <n v="21338544"/>
    <n v="1132.84"/>
    <m/>
    <s v="N"/>
    <n v="2"/>
    <d v="2023-07-06T19:21:28"/>
    <s v="Y"/>
    <s v="Preparation - other"/>
    <s v="Prescribed Hourly Rates"/>
    <s v="Profit Cost"/>
    <s v="AL"/>
    <s v="Y"/>
    <n v="6.31"/>
    <n v="1.26"/>
    <x v="4"/>
    <s v="VALIDATED"/>
    <n v="1"/>
    <s v="01.11.80.305.6100.0000"/>
    <n v="6.31"/>
    <s v="11"/>
    <s v="6100"/>
    <n v="7036.52"/>
    <n v="6.31"/>
    <s v="CREDITOR"/>
    <n v="0"/>
    <n v="0"/>
    <n v="0"/>
    <n v="0"/>
    <n v="6.31"/>
  </r>
  <r>
    <n v="61087592"/>
    <s v="N"/>
    <n v="21360986"/>
    <s v="3000015279550004"/>
    <s v="CIVIL"/>
    <d v="2023-06-29T00:00:00"/>
    <d v="2023-07-11T19:00:25"/>
    <m/>
    <d v="2023-07-11T00:00:00"/>
    <n v="696"/>
    <n v="1814"/>
    <s v="61087592"/>
    <s v="61087592"/>
    <m/>
    <m/>
    <n v="22787488"/>
    <m/>
    <m/>
    <m/>
    <s v="SOLFIN"/>
    <s v="SOLFIN"/>
    <s v="CCMS"/>
    <n v="21360986"/>
    <n v="8412.969999999999"/>
    <m/>
    <s v="N"/>
    <n v="4"/>
    <d v="2023-07-11T19:00:42"/>
    <s v="Y"/>
    <s v="Psychiatrist"/>
    <s v="Public Law Children"/>
    <s v="Expert Disbursement"/>
    <s v="CARTER BROWN"/>
    <s v="Y"/>
    <n v="405"/>
    <n v="81"/>
    <x v="7"/>
    <s v="VALIDATED"/>
    <n v="1"/>
    <s v="01.11.80.308.6300.0000"/>
    <n v="405"/>
    <s v="11"/>
    <s v="6300"/>
    <n v="7036.52"/>
    <n v="405"/>
    <s v="CREDITOR"/>
    <n v="0"/>
    <n v="0"/>
    <n v="0"/>
    <n v="0"/>
    <n v="405"/>
  </r>
  <r>
    <n v="61586254"/>
    <s v="N"/>
    <n v="21338544"/>
    <s v="3000015696970002"/>
    <s v="CIVIL"/>
    <d v="2023-06-28T00:00:00"/>
    <d v="2023-07-06T19:21:01"/>
    <m/>
    <d v="2023-07-06T00:00:00"/>
    <n v="696"/>
    <n v="1814"/>
    <s v="61586254"/>
    <s v="61586254"/>
    <m/>
    <m/>
    <n v="22779160"/>
    <m/>
    <m/>
    <m/>
    <s v="SOLFIN"/>
    <s v="SOLFIN"/>
    <s v="CCMS"/>
    <n v="21338544"/>
    <n v="1132.84"/>
    <m/>
    <s v="N"/>
    <n v="18"/>
    <d v="2023-07-06T19:21:28"/>
    <s v="Y"/>
    <s v="Preparation - other"/>
    <s v="Prescribed Hourly Rates"/>
    <s v="Profit Cost"/>
    <s v="AL"/>
    <s v="Y"/>
    <n v="31.57"/>
    <n v="6.31"/>
    <x v="4"/>
    <s v="VALIDATED"/>
    <n v="1"/>
    <s v="01.11.80.305.6100.0000"/>
    <n v="31.57"/>
    <s v="11"/>
    <s v="6100"/>
    <n v="7036.52"/>
    <n v="31.57"/>
    <s v="CREDITOR"/>
    <n v="0"/>
    <n v="0"/>
    <n v="0"/>
    <n v="0"/>
    <n v="31.57"/>
  </r>
  <r>
    <n v="61586254"/>
    <s v="N"/>
    <n v="21338544"/>
    <s v="3000015696970002"/>
    <s v="CIVIL"/>
    <d v="2023-06-28T00:00:00"/>
    <d v="2023-07-06T19:21:01"/>
    <m/>
    <d v="2023-07-06T00:00:00"/>
    <n v="696"/>
    <n v="1814"/>
    <s v="61586254"/>
    <s v="61586254"/>
    <m/>
    <m/>
    <n v="22779160"/>
    <m/>
    <m/>
    <m/>
    <s v="SOLFIN"/>
    <s v="SOLFIN"/>
    <s v="CCMS"/>
    <n v="21338544"/>
    <n v="1132.84"/>
    <m/>
    <s v="N"/>
    <n v="19"/>
    <d v="2023-07-06T19:21:28"/>
    <s v="Y"/>
    <s v="Preparation - drafting bill/claim f"/>
    <s v="Prescribed Hourly Rates"/>
    <s v="Profit Cost"/>
    <s v="NH"/>
    <s v="Y"/>
    <n v="5.49"/>
    <n v="1.1"/>
    <x v="4"/>
    <s v="VALIDATED"/>
    <n v="1"/>
    <s v="01.11.80.305.6100.0000"/>
    <n v="5.49"/>
    <s v="11"/>
    <s v="6100"/>
    <n v="7036.52"/>
    <n v="5.49"/>
    <s v="CREDITOR"/>
    <n v="0"/>
    <n v="0"/>
    <n v="0"/>
    <n v="0"/>
    <n v="5.49"/>
  </r>
  <r>
    <n v="61087592"/>
    <s v="N"/>
    <n v="21360986"/>
    <s v="3000015279550004"/>
    <s v="CIVIL"/>
    <d v="2023-06-29T00:00:00"/>
    <d v="2023-07-11T19:00:25"/>
    <m/>
    <d v="2023-07-11T00:00:00"/>
    <n v="696"/>
    <n v="1814"/>
    <s v="61087592"/>
    <s v="61087592"/>
    <m/>
    <m/>
    <n v="22787488"/>
    <m/>
    <m/>
    <m/>
    <s v="SOLFIN"/>
    <s v="SOLFIN"/>
    <s v="CCMS"/>
    <n v="21360986"/>
    <n v="8412.969999999999"/>
    <m/>
    <s v="N"/>
    <n v="6"/>
    <d v="2023-07-11T19:00:42"/>
    <s v="Y"/>
    <s v="Hearing Unit 2.31 - 5.00 Hours"/>
    <s v="Public Law Children"/>
    <s v="Advocacy"/>
    <s v="ME"/>
    <s v="Y"/>
    <n v="476.92"/>
    <n v="95.38"/>
    <x v="7"/>
    <s v="VALIDATED"/>
    <n v="1"/>
    <s v="01.11.80.308.6100.0000"/>
    <n v="476.92"/>
    <s v="11"/>
    <s v="6100"/>
    <n v="7036.52"/>
    <n v="476.92"/>
    <s v="CREDITOR"/>
    <n v="0"/>
    <n v="0"/>
    <n v="0"/>
    <n v="0"/>
    <n v="476.92"/>
  </r>
  <r>
    <n v="61586254"/>
    <s v="N"/>
    <n v="21338544"/>
    <s v="3000015696970002"/>
    <s v="CIVIL"/>
    <d v="2023-06-28T00:00:00"/>
    <d v="2023-07-06T19:21:01"/>
    <m/>
    <d v="2023-07-06T00:00:00"/>
    <n v="696"/>
    <n v="1814"/>
    <s v="61586254"/>
    <s v="61586254"/>
    <m/>
    <m/>
    <n v="22779160"/>
    <m/>
    <m/>
    <m/>
    <s v="SOLFIN"/>
    <s v="SOLFIN"/>
    <s v="CCMS"/>
    <n v="21338544"/>
    <n v="1132.84"/>
    <m/>
    <s v="N"/>
    <n v="6"/>
    <d v="2023-07-06T19:21:28"/>
    <s v="Y"/>
    <s v="Travel to court"/>
    <s v="Prescribed Hourly Rates"/>
    <s v="Profit Cost"/>
    <s v="AL"/>
    <s v="Y"/>
    <n v="19.25"/>
    <n v="3.85"/>
    <x v="4"/>
    <s v="VALIDATED"/>
    <n v="1"/>
    <s v="01.11.80.305.6100.0000"/>
    <n v="19.25"/>
    <s v="11"/>
    <s v="6100"/>
    <n v="7036.52"/>
    <n v="19.25"/>
    <s v="CREDITOR"/>
    <n v="0"/>
    <n v="0"/>
    <n v="0"/>
    <n v="0"/>
    <n v="19.25"/>
  </r>
  <r>
    <n v="61586254"/>
    <s v="N"/>
    <n v="21338544"/>
    <s v="3000015696970002"/>
    <s v="CIVIL"/>
    <d v="2023-06-28T00:00:00"/>
    <d v="2023-07-06T19:21:01"/>
    <m/>
    <d v="2023-07-06T00:00:00"/>
    <n v="696"/>
    <n v="1814"/>
    <s v="61586254"/>
    <s v="61586254"/>
    <m/>
    <m/>
    <n v="22779160"/>
    <m/>
    <m/>
    <m/>
    <s v="SOLFIN"/>
    <s v="SOLFIN"/>
    <s v="CCMS"/>
    <n v="21338544"/>
    <n v="1132.84"/>
    <m/>
    <s v="N"/>
    <n v="28"/>
    <d v="2023-07-06T19:21:28"/>
    <s v="Y"/>
    <s v="Preparation - drafting bill/claim f"/>
    <s v="Prescribed Hourly Rates"/>
    <s v="Profit Cost"/>
    <s v="NH"/>
    <s v="Y"/>
    <n v="21.96"/>
    <n v="4.39"/>
    <x v="4"/>
    <s v="VALIDATED"/>
    <n v="1"/>
    <s v="01.11.80.305.6100.0000"/>
    <n v="21.96"/>
    <s v="11"/>
    <s v="6100"/>
    <n v="7036.52"/>
    <n v="21.96"/>
    <s v="CREDITOR"/>
    <n v="0"/>
    <n v="0"/>
    <n v="0"/>
    <n v="0"/>
    <n v="21.96"/>
  </r>
  <r>
    <n v="61586254"/>
    <s v="N"/>
    <n v="21338544"/>
    <s v="3000015696970002"/>
    <s v="CIVIL"/>
    <d v="2023-06-28T00:00:00"/>
    <d v="2023-07-06T19:21:01"/>
    <m/>
    <d v="2023-07-06T00:00:00"/>
    <n v="696"/>
    <n v="1814"/>
    <s v="61586254"/>
    <s v="61586254"/>
    <m/>
    <m/>
    <n v="22779160"/>
    <m/>
    <m/>
    <m/>
    <s v="SOLFIN"/>
    <s v="SOLFIN"/>
    <s v="CCMS"/>
    <n v="21338544"/>
    <n v="1132.84"/>
    <m/>
    <s v="N"/>
    <n v="11"/>
    <d v="2023-07-06T19:21:28"/>
    <s v="Y"/>
    <s v="Preparation - other"/>
    <s v="Prescribed Hourly Rates"/>
    <s v="Profit Cost"/>
    <s v="AL"/>
    <s v="Y"/>
    <n v="37.88"/>
    <n v="7.58"/>
    <x v="4"/>
    <s v="VALIDATED"/>
    <n v="1"/>
    <s v="01.11.80.305.6100.0000"/>
    <n v="37.88"/>
    <s v="11"/>
    <s v="6100"/>
    <n v="7036.52"/>
    <n v="37.88"/>
    <s v="CREDITOR"/>
    <n v="0"/>
    <n v="0"/>
    <n v="0"/>
    <n v="0"/>
    <n v="37.88"/>
  </r>
  <r>
    <n v="61586254"/>
    <s v="N"/>
    <n v="21338544"/>
    <s v="3000015696970002"/>
    <s v="CIVIL"/>
    <d v="2023-06-28T00:00:00"/>
    <d v="2023-07-06T19:21:01"/>
    <m/>
    <d v="2023-07-06T00:00:00"/>
    <n v="696"/>
    <n v="1814"/>
    <s v="61586254"/>
    <s v="61586254"/>
    <m/>
    <m/>
    <n v="22779160"/>
    <m/>
    <m/>
    <m/>
    <s v="SOLFIN"/>
    <s v="SOLFIN"/>
    <s v="CCMS"/>
    <n v="21338544"/>
    <n v="1132.84"/>
    <m/>
    <s v="N"/>
    <n v="22"/>
    <d v="2023-07-06T19:21:28"/>
    <s v="Y"/>
    <s v="Preparation - other"/>
    <s v="Prescribed Hourly Rates"/>
    <s v="Profit Cost"/>
    <s v="AL"/>
    <s v="Y"/>
    <n v="6.31"/>
    <n v="1.26"/>
    <x v="4"/>
    <s v="VALIDATED"/>
    <n v="1"/>
    <s v="01.11.80.305.6100.0000"/>
    <n v="6.31"/>
    <s v="11"/>
    <s v="6100"/>
    <n v="7036.52"/>
    <n v="6.31"/>
    <s v="CREDITOR"/>
    <n v="0"/>
    <n v="0"/>
    <n v="0"/>
    <n v="0"/>
    <n v="6.31"/>
  </r>
  <r>
    <n v="61586254"/>
    <s v="N"/>
    <n v="21338544"/>
    <s v="3000015696970002"/>
    <s v="CIVIL"/>
    <d v="2023-06-28T00:00:00"/>
    <d v="2023-07-06T19:21:01"/>
    <m/>
    <d v="2023-07-06T00:00:00"/>
    <n v="696"/>
    <n v="1814"/>
    <s v="61586254"/>
    <s v="61586254"/>
    <m/>
    <m/>
    <n v="22779160"/>
    <m/>
    <m/>
    <m/>
    <s v="SOLFIN"/>
    <s v="SOLFIN"/>
    <s v="CCMS"/>
    <n v="21338544"/>
    <n v="1132.84"/>
    <m/>
    <s v="N"/>
    <n v="14"/>
    <d v="2023-07-06T19:21:28"/>
    <s v="Y"/>
    <s v="Preparation - other"/>
    <s v="Prescribed Hourly Rates"/>
    <s v="Profit Cost"/>
    <s v="AL"/>
    <s v="Y"/>
    <n v="25.25"/>
    <n v="5.05"/>
    <x v="4"/>
    <s v="VALIDATED"/>
    <n v="1"/>
    <s v="01.11.80.305.6100.0000"/>
    <n v="25.25"/>
    <s v="11"/>
    <s v="6100"/>
    <n v="7036.52"/>
    <n v="25.25"/>
    <s v="CREDITOR"/>
    <n v="0"/>
    <n v="0"/>
    <n v="0"/>
    <n v="0"/>
    <n v="25.25"/>
  </r>
  <r>
    <n v="61087592"/>
    <s v="N"/>
    <n v="21360986"/>
    <s v="3000015279550004"/>
    <s v="CIVIL"/>
    <d v="2023-06-29T00:00:00"/>
    <d v="2023-07-11T19:00:25"/>
    <m/>
    <d v="2023-07-11T00:00:00"/>
    <n v="696"/>
    <n v="1814"/>
    <s v="61087592"/>
    <s v="61087592"/>
    <m/>
    <m/>
    <n v="22787488"/>
    <m/>
    <m/>
    <m/>
    <s v="SOLFIN"/>
    <s v="SOLFIN"/>
    <s v="CCMS"/>
    <n v="21360986"/>
    <n v="8412.969999999999"/>
    <m/>
    <s v="N"/>
    <n v="13"/>
    <d v="2023-07-11T19:00:42"/>
    <s v="Y"/>
    <s v="Hearing Unit 2.31 - 5.00 Hours"/>
    <s v="Public Law Children"/>
    <s v="Advocacy"/>
    <s v="ME"/>
    <s v="Y"/>
    <n v="476.92"/>
    <n v="95.38"/>
    <x v="7"/>
    <s v="VALIDATED"/>
    <n v="1"/>
    <s v="01.11.80.308.6100.0000"/>
    <n v="476.92"/>
    <s v="11"/>
    <s v="6100"/>
    <n v="7036.52"/>
    <n v="476.92"/>
    <s v="CREDITOR"/>
    <n v="0"/>
    <n v="0"/>
    <n v="0"/>
    <n v="0"/>
    <n v="476.92"/>
  </r>
  <r>
    <n v="61586254"/>
    <s v="N"/>
    <n v="21339901"/>
    <s v="3000015696970001RC"/>
    <s v="CIVIL"/>
    <d v="2023-06-28T00:00:00"/>
    <d v="2023-07-06T19:54:22"/>
    <m/>
    <d v="2023-07-06T00:00:00"/>
    <n v="696"/>
    <n v="1814"/>
    <s v="61586254"/>
    <s v="61586254"/>
    <m/>
    <m/>
    <m/>
    <m/>
    <m/>
    <m/>
    <s v="SOLRECOUP"/>
    <s v="SOLRECOUP"/>
    <s v="POARECOUP"/>
    <n v="21339901"/>
    <n v="-388.6"/>
    <m/>
    <s v="Y"/>
    <n v="2"/>
    <d v="2023-07-06T19:54:23"/>
    <s v="N"/>
    <m/>
    <m/>
    <s v="Profit Cost"/>
    <m/>
    <s v="N"/>
    <n v="0"/>
    <n v="-64.77"/>
    <x v="4"/>
    <s v="VALIDATED"/>
    <n v="1"/>
    <s v="01.11.80.305.2013.0000"/>
    <n v="-64.77"/>
    <s v="11"/>
    <s v="2013"/>
    <n v="7036.52"/>
    <n v="-64.77"/>
    <s v="CREDITOR"/>
    <n v="0"/>
    <n v="0"/>
    <n v="-64.77"/>
    <n v="-16.1925"/>
    <n v="0"/>
  </r>
  <r>
    <n v="61586254"/>
    <s v="N"/>
    <n v="21339901"/>
    <s v="3000015696970001RC"/>
    <s v="CIVIL"/>
    <d v="2023-06-28T00:00:00"/>
    <d v="2023-07-06T19:54:22"/>
    <m/>
    <d v="2023-07-06T00:00:00"/>
    <n v="696"/>
    <n v="1814"/>
    <s v="61586254"/>
    <s v="61586254"/>
    <m/>
    <m/>
    <m/>
    <m/>
    <m/>
    <m/>
    <s v="SOLRECOUP"/>
    <s v="SOLRECOUP"/>
    <s v="POARECOUP"/>
    <n v="21339901"/>
    <n v="-388.6"/>
    <m/>
    <s v="Y"/>
    <n v="1"/>
    <d v="2023-07-06T19:54:23"/>
    <s v="N"/>
    <m/>
    <m/>
    <s v="Profit Cost"/>
    <m/>
    <s v="N"/>
    <n v="-323.83"/>
    <n v="0"/>
    <x v="4"/>
    <s v="VALIDATED"/>
    <n v="1"/>
    <s v="01.11.80.305.2013.0000"/>
    <n v="-323.83"/>
    <s v="11"/>
    <s v="2013"/>
    <n v="7036.52"/>
    <n v="-323.83"/>
    <s v="CREDITOR"/>
    <n v="0"/>
    <n v="0"/>
    <n v="-323.83"/>
    <n v="-80.9575"/>
    <n v="0"/>
  </r>
  <r>
    <n v="61087592"/>
    <s v="N"/>
    <n v="21361340"/>
    <s v="3000015279550002RC"/>
    <s v="CIVIL"/>
    <d v="2023-06-29T00:00:00"/>
    <d v="2023-07-11T19:38:00"/>
    <m/>
    <d v="2023-07-11T00:00:00"/>
    <n v="696"/>
    <n v="1814"/>
    <s v="61087592"/>
    <s v="61087592"/>
    <m/>
    <m/>
    <m/>
    <m/>
    <m/>
    <m/>
    <s v="SOLRECOUP"/>
    <s v="SOLRECOUP"/>
    <s v="POARECOUP"/>
    <n v="21361340"/>
    <n v="-486"/>
    <m/>
    <s v="Y"/>
    <n v="1"/>
    <d v="2023-07-11T19:38:00"/>
    <s v="N"/>
    <m/>
    <m/>
    <s v="Non Expert Disbursement"/>
    <m/>
    <s v="N"/>
    <n v="-405"/>
    <n v="0"/>
    <x v="7"/>
    <s v="VALIDATED"/>
    <n v="1"/>
    <s v="01.11.80.308.2013.0000"/>
    <n v="-405"/>
    <s v="11"/>
    <s v="2013"/>
    <n v="7036.52"/>
    <n v="-405"/>
    <s v="CREDITOR"/>
    <n v="0"/>
    <n v="0"/>
    <n v="-405"/>
    <n v="0"/>
    <n v="0"/>
  </r>
  <r>
    <n v="61087592"/>
    <s v="N"/>
    <n v="21361340"/>
    <s v="3000015279550002RC"/>
    <s v="CIVIL"/>
    <d v="2023-06-29T00:00:00"/>
    <d v="2023-07-11T19:38:00"/>
    <m/>
    <d v="2023-07-11T00:00:00"/>
    <n v="696"/>
    <n v="1814"/>
    <s v="61087592"/>
    <s v="61087592"/>
    <m/>
    <m/>
    <m/>
    <m/>
    <m/>
    <m/>
    <s v="SOLRECOUP"/>
    <s v="SOLRECOUP"/>
    <s v="POARECOUP"/>
    <n v="21361340"/>
    <n v="-486"/>
    <m/>
    <s v="Y"/>
    <n v="2"/>
    <d v="2023-07-11T19:38:00"/>
    <s v="N"/>
    <m/>
    <m/>
    <s v="Non Expert Disbursement"/>
    <m/>
    <s v="N"/>
    <n v="0"/>
    <n v="-81"/>
    <x v="7"/>
    <s v="VALIDATED"/>
    <n v="1"/>
    <s v="01.11.80.308.2013.0000"/>
    <n v="-81"/>
    <s v="11"/>
    <s v="2013"/>
    <n v="7036.52"/>
    <n v="-81"/>
    <s v="CREDITOR"/>
    <n v="0"/>
    <n v="0"/>
    <n v="-81"/>
    <n v="0"/>
    <n v="0"/>
  </r>
  <r>
    <n v="61087592"/>
    <s v="N"/>
    <n v="21361341"/>
    <s v="3000015279550001RC"/>
    <s v="CIVIL"/>
    <d v="2023-06-29T00:00:00"/>
    <d v="2023-07-11T19:38:00"/>
    <m/>
    <d v="2023-07-11T00:00:00"/>
    <n v="696"/>
    <n v="1814"/>
    <s v="61087592"/>
    <s v="61087592"/>
    <m/>
    <m/>
    <m/>
    <m/>
    <m/>
    <m/>
    <s v="SOLRECOUP"/>
    <s v="SOLRECOUP"/>
    <s v="POARECOUP"/>
    <n v="21361341"/>
    <n v="-491.75"/>
    <m/>
    <s v="Y"/>
    <n v="1"/>
    <d v="2023-07-11T19:38:00"/>
    <s v="N"/>
    <m/>
    <m/>
    <s v="Non Expert Disbursement"/>
    <m/>
    <s v="N"/>
    <n v="-409.79"/>
    <n v="0"/>
    <x v="7"/>
    <s v="VALIDATED"/>
    <n v="1"/>
    <s v="01.11.80.308.2013.0000"/>
    <n v="-409.79"/>
    <s v="11"/>
    <s v="2013"/>
    <n v="7036.52"/>
    <n v="-409.79"/>
    <s v="CREDITOR"/>
    <n v="0"/>
    <n v="0"/>
    <n v="-409.79"/>
    <n v="0"/>
    <n v="0"/>
  </r>
  <r>
    <n v="61087592"/>
    <s v="N"/>
    <n v="21361341"/>
    <s v="3000015279550001RC"/>
    <s v="CIVIL"/>
    <d v="2023-06-29T00:00:00"/>
    <d v="2023-07-11T19:38:00"/>
    <m/>
    <d v="2023-07-11T00:00:00"/>
    <n v="696"/>
    <n v="1814"/>
    <s v="61087592"/>
    <s v="61087592"/>
    <m/>
    <m/>
    <m/>
    <m/>
    <m/>
    <m/>
    <s v="SOLRECOUP"/>
    <s v="SOLRECOUP"/>
    <s v="POARECOUP"/>
    <n v="21361341"/>
    <n v="-491.75"/>
    <m/>
    <s v="Y"/>
    <n v="2"/>
    <d v="2023-07-11T19:38:00"/>
    <s v="N"/>
    <m/>
    <m/>
    <s v="Non Expert Disbursement"/>
    <m/>
    <s v="N"/>
    <n v="0"/>
    <n v="-81.95999999999999"/>
    <x v="7"/>
    <s v="VALIDATED"/>
    <n v="1"/>
    <s v="01.11.80.308.2013.0000"/>
    <n v="-81.95999999999999"/>
    <s v="11"/>
    <s v="2013"/>
    <n v="7036.52"/>
    <n v="-81.95999999999999"/>
    <s v="CREDITOR"/>
    <n v="0"/>
    <n v="0"/>
    <n v="-81.95999999999999"/>
    <n v="0"/>
    <n v="0"/>
  </r>
  <r>
    <n v="61087592"/>
    <s v="N"/>
    <n v="21361342"/>
    <s v="3000015279550003RC"/>
    <s v="CIVIL"/>
    <d v="2023-06-29T00:00:00"/>
    <d v="2023-07-11T19:38:00"/>
    <m/>
    <d v="2023-07-11T00:00:00"/>
    <n v="696"/>
    <n v="1814"/>
    <s v="61087592"/>
    <s v="61087592"/>
    <m/>
    <m/>
    <m/>
    <m/>
    <m/>
    <m/>
    <s v="SOLRECOUP"/>
    <s v="SOLRECOUP"/>
    <s v="POARECOUP"/>
    <n v="21361342"/>
    <n v="-1046.9"/>
    <m/>
    <s v="Y"/>
    <n v="1"/>
    <d v="2023-07-11T19:38:00"/>
    <s v="N"/>
    <m/>
    <m/>
    <s v="Profit Cost"/>
    <m/>
    <s v="N"/>
    <n v="-872.42"/>
    <n v="0"/>
    <x v="7"/>
    <s v="VALIDATED"/>
    <n v="1"/>
    <s v="01.11.80.308.2013.0000"/>
    <n v="-872.42"/>
    <s v="11"/>
    <s v="2013"/>
    <n v="7036.52"/>
    <n v="-872.42"/>
    <s v="CREDITOR"/>
    <n v="0"/>
    <n v="0"/>
    <n v="-872.42"/>
    <n v="-218.105"/>
    <n v="0"/>
  </r>
  <r>
    <n v="61087592"/>
    <s v="N"/>
    <n v="21361342"/>
    <s v="3000015279550003RC"/>
    <s v="CIVIL"/>
    <d v="2023-06-29T00:00:00"/>
    <d v="2023-07-11T19:38:00"/>
    <m/>
    <d v="2023-07-11T00:00:00"/>
    <n v="696"/>
    <n v="1814"/>
    <s v="61087592"/>
    <s v="61087592"/>
    <m/>
    <m/>
    <m/>
    <m/>
    <m/>
    <m/>
    <s v="SOLRECOUP"/>
    <s v="SOLRECOUP"/>
    <s v="POARECOUP"/>
    <n v="21361342"/>
    <n v="-1046.9"/>
    <m/>
    <s v="Y"/>
    <n v="2"/>
    <d v="2023-07-11T19:38:00"/>
    <s v="N"/>
    <m/>
    <m/>
    <s v="Profit Cost"/>
    <m/>
    <s v="N"/>
    <n v="0"/>
    <n v="-174.48"/>
    <x v="7"/>
    <s v="VALIDATED"/>
    <n v="1"/>
    <s v="01.11.80.308.2013.0000"/>
    <n v="-174.48"/>
    <s v="11"/>
    <s v="2013"/>
    <n v="7036.52"/>
    <n v="-174.48"/>
    <s v="CREDITOR"/>
    <n v="0"/>
    <n v="0"/>
    <n v="-174.48"/>
    <n v="-43.62"/>
    <n v="0"/>
  </r>
  <r>
    <n v="60210314"/>
    <s v="N"/>
    <n v="21361347"/>
    <s v="3000014524180009RC"/>
    <s v="CIVIL"/>
    <d v="2023-06-30T00:00:00"/>
    <d v="2023-07-11T19:38:00"/>
    <m/>
    <d v="2023-07-11T00:00:00"/>
    <n v="698"/>
    <n v="1814"/>
    <s v="60210314"/>
    <s v="60210314"/>
    <m/>
    <m/>
    <m/>
    <m/>
    <m/>
    <m/>
    <s v="SOLRECOUP"/>
    <s v="SOLRECOUP"/>
    <s v="POARECOUP"/>
    <n v="21361347"/>
    <n v="-5650.5"/>
    <m/>
    <s v="Y"/>
    <n v="1"/>
    <d v="2023-07-11T19:38:00"/>
    <s v="N"/>
    <m/>
    <m/>
    <s v="Profit Cost"/>
    <m/>
    <s v="N"/>
    <n v="-4708.75"/>
    <n v="0"/>
    <x v="7"/>
    <s v="VALIDATED"/>
    <n v="1"/>
    <s v="01.11.80.308.2013.0000"/>
    <n v="-4708.75"/>
    <s v="11"/>
    <s v="2013"/>
    <n v="9652.620000000001"/>
    <n v="-4708.75"/>
    <s v="CREDITOR"/>
    <n v="0"/>
    <n v="0"/>
    <n v="-4708.75"/>
    <n v="-1177.1875"/>
    <n v="0"/>
  </r>
  <r>
    <n v="60210314"/>
    <s v="N"/>
    <n v="21361343"/>
    <s v="3000014524180005RC"/>
    <s v="CIVIL"/>
    <d v="2023-06-30T00:00:00"/>
    <d v="2023-07-11T19:38:00"/>
    <m/>
    <d v="2023-07-11T00:00:00"/>
    <n v="698"/>
    <n v="1814"/>
    <s v="60210314"/>
    <s v="60210314"/>
    <m/>
    <m/>
    <m/>
    <m/>
    <m/>
    <m/>
    <s v="SOLRECOUP"/>
    <s v="SOLRECOUP"/>
    <s v="POARECOUP"/>
    <n v="21361343"/>
    <n v="-2646.71"/>
    <m/>
    <s v="Y"/>
    <n v="1"/>
    <d v="2023-07-11T19:38:00"/>
    <s v="N"/>
    <m/>
    <m/>
    <s v="Profit Cost"/>
    <m/>
    <s v="N"/>
    <n v="-2205.59"/>
    <n v="0"/>
    <x v="7"/>
    <s v="VALIDATED"/>
    <n v="1"/>
    <s v="01.11.80.308.2013.0000"/>
    <n v="-2205.59"/>
    <s v="11"/>
    <s v="2013"/>
    <n v="9652.620000000001"/>
    <n v="-2205.59"/>
    <s v="CREDITOR"/>
    <n v="0"/>
    <n v="0"/>
    <n v="-2205.59"/>
    <n v="-551.3975"/>
    <n v="0"/>
  </r>
  <r>
    <n v="60210314"/>
    <s v="N"/>
    <n v="21361343"/>
    <s v="3000014524180005RC"/>
    <s v="CIVIL"/>
    <d v="2023-06-30T00:00:00"/>
    <d v="2023-07-11T19:38:00"/>
    <m/>
    <d v="2023-07-11T00:00:00"/>
    <n v="698"/>
    <n v="1814"/>
    <s v="60210314"/>
    <s v="60210314"/>
    <m/>
    <m/>
    <m/>
    <m/>
    <m/>
    <m/>
    <s v="SOLRECOUP"/>
    <s v="SOLRECOUP"/>
    <s v="POARECOUP"/>
    <n v="21361343"/>
    <n v="-2646.71"/>
    <m/>
    <s v="Y"/>
    <n v="2"/>
    <d v="2023-07-11T19:38:00"/>
    <s v="N"/>
    <m/>
    <m/>
    <s v="Profit Cost"/>
    <m/>
    <s v="N"/>
    <n v="0"/>
    <n v="-441.12"/>
    <x v="7"/>
    <s v="VALIDATED"/>
    <n v="1"/>
    <s v="01.11.80.308.2013.0000"/>
    <n v="-441.12"/>
    <s v="11"/>
    <s v="2013"/>
    <n v="9652.620000000001"/>
    <n v="-441.12"/>
    <s v="CREDITOR"/>
    <n v="0"/>
    <n v="0"/>
    <n v="-441.12"/>
    <n v="-110.28"/>
    <n v="0"/>
  </r>
  <r>
    <n v="60210314"/>
    <s v="N"/>
    <n v="21361344"/>
    <s v="3000014524180002RC"/>
    <s v="CIVIL"/>
    <d v="2023-06-30T00:00:00"/>
    <d v="2023-07-11T19:38:00"/>
    <m/>
    <d v="2023-07-11T00:00:00"/>
    <n v="698"/>
    <n v="1814"/>
    <s v="60210314"/>
    <s v="60210314"/>
    <m/>
    <m/>
    <m/>
    <m/>
    <m/>
    <m/>
    <s v="SOLRECOUP"/>
    <s v="SOLRECOUP"/>
    <s v="POARECOUP"/>
    <n v="21361344"/>
    <n v="-572.7"/>
    <m/>
    <s v="Y"/>
    <n v="1"/>
    <d v="2023-07-11T19:38:00"/>
    <s v="N"/>
    <m/>
    <m/>
    <s v="Expert Disbursement"/>
    <m/>
    <s v="N"/>
    <n v="-477.25"/>
    <n v="0"/>
    <x v="7"/>
    <s v="VALIDATED"/>
    <n v="1"/>
    <s v="01.11.80.308.2013.0000"/>
    <n v="-477.25"/>
    <s v="11"/>
    <s v="2013"/>
    <n v="9652.620000000001"/>
    <n v="-477.25"/>
    <s v="CREDITOR"/>
    <n v="0"/>
    <n v="0"/>
    <n v="-477.25"/>
    <n v="0"/>
    <n v="0"/>
  </r>
  <r>
    <n v="60210314"/>
    <s v="N"/>
    <n v="21361344"/>
    <s v="3000014524180002RC"/>
    <s v="CIVIL"/>
    <d v="2023-06-30T00:00:00"/>
    <d v="2023-07-11T19:38:00"/>
    <m/>
    <d v="2023-07-11T00:00:00"/>
    <n v="698"/>
    <n v="1814"/>
    <s v="60210314"/>
    <s v="60210314"/>
    <m/>
    <m/>
    <m/>
    <m/>
    <m/>
    <m/>
    <s v="SOLRECOUP"/>
    <s v="SOLRECOUP"/>
    <s v="POARECOUP"/>
    <n v="21361344"/>
    <n v="-572.7"/>
    <m/>
    <s v="Y"/>
    <n v="2"/>
    <d v="2023-07-11T19:38:00"/>
    <s v="N"/>
    <m/>
    <m/>
    <s v="Expert Disbursement"/>
    <m/>
    <s v="N"/>
    <n v="0"/>
    <n v="-95.45"/>
    <x v="7"/>
    <s v="VALIDATED"/>
    <n v="1"/>
    <s v="01.11.80.308.2013.0000"/>
    <n v="-95.45"/>
    <s v="11"/>
    <s v="2013"/>
    <n v="9652.620000000001"/>
    <n v="-95.45"/>
    <s v="CREDITOR"/>
    <n v="0"/>
    <n v="0"/>
    <n v="-95.45"/>
    <n v="0"/>
    <n v="0"/>
  </r>
  <r>
    <n v="60210314"/>
    <s v="N"/>
    <n v="21361345"/>
    <s v="3000014524180003RC"/>
    <s v="CIVIL"/>
    <d v="2023-06-30T00:00:00"/>
    <d v="2023-07-11T19:38:00"/>
    <m/>
    <d v="2023-07-11T00:00:00"/>
    <n v="698"/>
    <n v="1814"/>
    <s v="60210314"/>
    <s v="60210314"/>
    <m/>
    <m/>
    <m/>
    <m/>
    <m/>
    <m/>
    <s v="SOLRECOUP"/>
    <s v="SOLRECOUP"/>
    <s v="POARECOUP"/>
    <n v="21361345"/>
    <n v="-389.4"/>
    <m/>
    <s v="Y"/>
    <n v="1"/>
    <d v="2023-07-11T19:38:00"/>
    <s v="N"/>
    <m/>
    <m/>
    <s v="Expert Disbursement"/>
    <m/>
    <s v="N"/>
    <n v="-324.5"/>
    <n v="0"/>
    <x v="7"/>
    <s v="VALIDATED"/>
    <n v="1"/>
    <s v="01.11.80.308.2013.0000"/>
    <n v="-324.5"/>
    <s v="11"/>
    <s v="2013"/>
    <n v="9652.620000000001"/>
    <n v="-324.5"/>
    <s v="CREDITOR"/>
    <n v="0"/>
    <n v="0"/>
    <n v="-324.5"/>
    <n v="0"/>
    <n v="0"/>
  </r>
  <r>
    <n v="60827546"/>
    <s v="N"/>
    <n v="21331000"/>
    <s v="3000015059270005"/>
    <s v="CIVIL"/>
    <d v="2023-06-28T00:00:00"/>
    <d v="2023-07-05T19:01:47"/>
    <m/>
    <d v="2023-07-05T00:00:00"/>
    <n v="698"/>
    <n v="1814"/>
    <s v="60827546"/>
    <s v="60827546"/>
    <m/>
    <m/>
    <n v="22775866"/>
    <m/>
    <m/>
    <m/>
    <s v="SOLFIN"/>
    <s v="SOLFIN"/>
    <s v="CCMS"/>
    <n v="21331000"/>
    <n v="4782"/>
    <m/>
    <s v="N"/>
    <n v="5"/>
    <d v="2023-07-05T19:02:01"/>
    <s v="Y"/>
    <s v="Hearing Unit 1.01 - 2.30 Hours"/>
    <s v="Public Law Children"/>
    <s v="Advocacy"/>
    <s v="WW"/>
    <s v="Y"/>
    <n v="238.46"/>
    <n v="47.69"/>
    <x v="6"/>
    <s v="VALIDATED"/>
    <n v="1"/>
    <s v="01.11.80.308.6100.0000"/>
    <n v="238.46"/>
    <s v="11"/>
    <s v="6100"/>
    <n v="9652.620000000001"/>
    <n v="238.46"/>
    <s v="CREDITOR"/>
    <n v="0"/>
    <n v="0"/>
    <n v="0"/>
    <n v="0"/>
    <n v="238.46"/>
  </r>
  <r>
    <n v="60827546"/>
    <s v="N"/>
    <n v="21331000"/>
    <s v="3000015059270005"/>
    <s v="CIVIL"/>
    <d v="2023-06-28T00:00:00"/>
    <d v="2023-07-05T19:01:47"/>
    <m/>
    <d v="2023-07-05T00:00:00"/>
    <n v="698"/>
    <n v="1814"/>
    <s v="60827546"/>
    <s v="60827546"/>
    <m/>
    <m/>
    <n v="22775866"/>
    <m/>
    <m/>
    <m/>
    <s v="SOLFIN"/>
    <s v="SOLFIN"/>
    <s v="CCMS"/>
    <n v="21331000"/>
    <n v="4782"/>
    <m/>
    <s v="N"/>
    <n v="4"/>
    <d v="2023-07-05T19:02:01"/>
    <s v="Y"/>
    <s v="Hearing Unit 1.01 - 2.30 Hours"/>
    <s v="Public Law Children"/>
    <s v="Advocacy"/>
    <s v="SH"/>
    <s v="Y"/>
    <n v="238.46"/>
    <n v="47.69"/>
    <x v="6"/>
    <s v="VALIDATED"/>
    <n v="1"/>
    <s v="01.11.80.308.6100.0000"/>
    <n v="238.46"/>
    <s v="11"/>
    <s v="6100"/>
    <n v="9652.620000000001"/>
    <n v="238.46"/>
    <s v="CREDITOR"/>
    <n v="0"/>
    <n v="0"/>
    <n v="0"/>
    <n v="0"/>
    <n v="238.46"/>
  </r>
  <r>
    <n v="61067017"/>
    <s v="N"/>
    <n v="21328235"/>
    <s v="3000015264100009"/>
    <s v="CIVIL"/>
    <d v="2023-06-26T00:00:00"/>
    <d v="2023-07-04T19:00:44"/>
    <m/>
    <d v="2023-07-04T00:00:00"/>
    <n v="698"/>
    <n v="1814"/>
    <s v="61067017"/>
    <s v="61067017"/>
    <m/>
    <m/>
    <n v="22759404"/>
    <m/>
    <m/>
    <m/>
    <s v="SOLFIN"/>
    <s v="SOLFIN"/>
    <s v="CCMS"/>
    <n v="21328235"/>
    <n v="6389.91"/>
    <m/>
    <s v="N"/>
    <n v="7"/>
    <d v="2023-07-04T19:01:09"/>
    <s v="Y"/>
    <s v="Child psychologist"/>
    <s v="Public Law Children"/>
    <s v="Expert Disbursement"/>
    <s v="PSYCHOLOGY PARTNERSHIP"/>
    <s v="Y"/>
    <n v="924.54"/>
    <n v="184.91"/>
    <x v="1"/>
    <s v="VALIDATED"/>
    <n v="1"/>
    <s v="01.11.80.308.6300.0000"/>
    <n v="924.54"/>
    <s v="11"/>
    <s v="6300"/>
    <n v="9652.620000000001"/>
    <n v="924.54"/>
    <s v="CREDITOR"/>
    <n v="0"/>
    <n v="0"/>
    <n v="0"/>
    <n v="0"/>
    <n v="924.54"/>
  </r>
  <r>
    <n v="60295814"/>
    <s v="N"/>
    <n v="21349574"/>
    <s v="3000014595140016"/>
    <s v="CIVIL"/>
    <d v="2023-06-26T00:00:00"/>
    <d v="2023-07-10T19:01:40"/>
    <m/>
    <d v="2023-07-10T00:00:00"/>
    <n v="698"/>
    <n v="1814"/>
    <s v="60295814"/>
    <s v="60295814"/>
    <m/>
    <m/>
    <n v="22760776"/>
    <m/>
    <m/>
    <m/>
    <s v="SOLFIN"/>
    <s v="SOLFIN"/>
    <s v="CCMS"/>
    <n v="21349574"/>
    <n v="6157.71"/>
    <m/>
    <s v="N"/>
    <n v="15"/>
    <d v="2023-07-10T19:01:53"/>
    <s v="Y"/>
    <s v="Hearing Unit 1.01 - 2.30 Hours"/>
    <s v="Public Law Children"/>
    <s v="Advocacy"/>
    <s v="WW"/>
    <s v="Y"/>
    <n v="238.46"/>
    <n v="47.69"/>
    <x v="2"/>
    <s v="VALIDATED"/>
    <n v="1"/>
    <s v="01.11.80.308.6100.0000"/>
    <n v="238.46"/>
    <s v="11"/>
    <s v="6100"/>
    <n v="9652.620000000001"/>
    <n v="238.46"/>
    <s v="CREDITOR"/>
    <n v="0"/>
    <n v="0"/>
    <n v="0"/>
    <n v="0"/>
    <n v="238.46"/>
  </r>
  <r>
    <n v="60295814"/>
    <s v="N"/>
    <n v="21349574"/>
    <s v="3000014595140016"/>
    <s v="CIVIL"/>
    <d v="2023-06-26T00:00:00"/>
    <d v="2023-07-10T19:01:40"/>
    <m/>
    <d v="2023-07-10T00:00:00"/>
    <n v="698"/>
    <n v="1814"/>
    <s v="60295814"/>
    <s v="60295814"/>
    <m/>
    <m/>
    <n v="22760776"/>
    <m/>
    <m/>
    <m/>
    <s v="SOLFIN"/>
    <s v="SOLFIN"/>
    <s v="CCMS"/>
    <n v="21349574"/>
    <n v="6157.71"/>
    <m/>
    <s v="N"/>
    <n v="14"/>
    <d v="2023-07-10T19:01:53"/>
    <s v="Y"/>
    <s v="Advocates Meeting"/>
    <s v="Public Law Children"/>
    <s v="Advocacy"/>
    <s v="WW"/>
    <s v="Y"/>
    <n v="140.99"/>
    <n v="28.2"/>
    <x v="2"/>
    <s v="VALIDATED"/>
    <n v="1"/>
    <s v="01.11.80.308.6100.0000"/>
    <n v="140.99"/>
    <s v="11"/>
    <s v="6100"/>
    <n v="9652.620000000001"/>
    <n v="140.99"/>
    <s v="CREDITOR"/>
    <n v="0"/>
    <n v="0"/>
    <n v="0"/>
    <n v="0"/>
    <n v="140.99"/>
  </r>
  <r>
    <n v="61773150"/>
    <s v="N"/>
    <n v="21343947"/>
    <s v="3000015848680001"/>
    <s v="CIVIL"/>
    <d v="2023-06-29T00:00:00"/>
    <d v="2023-07-07T19:03:00"/>
    <m/>
    <d v="2023-07-07T00:00:00"/>
    <n v="698"/>
    <n v="1814"/>
    <s v="61773150"/>
    <s v="61773150"/>
    <m/>
    <m/>
    <n v="22787518"/>
    <m/>
    <m/>
    <m/>
    <s v="SOLFIN"/>
    <s v="SOLFIN"/>
    <s v="CCMS"/>
    <n v="21343947"/>
    <n v="923.08"/>
    <m/>
    <s v="N"/>
    <n v="3"/>
    <d v="2023-07-07T19:03:18"/>
    <s v="Y"/>
    <s v="Preparation - other"/>
    <s v="Care Remuneration Hourly Rates"/>
    <s v="Profit Cost"/>
    <s v="WW"/>
    <s v="Y"/>
    <n v="6.72"/>
    <n v="1.34"/>
    <x v="9"/>
    <s v="VALIDATED"/>
    <n v="1"/>
    <s v="01.11.80.305.6100.0000"/>
    <n v="6.72"/>
    <s v="11"/>
    <s v="6100"/>
    <n v="9652.620000000001"/>
    <n v="6.72"/>
    <s v="CREDITOR"/>
    <n v="0"/>
    <n v="0"/>
    <n v="0"/>
    <n v="0"/>
    <n v="6.72"/>
  </r>
  <r>
    <n v="61067017"/>
    <s v="N"/>
    <n v="21328235"/>
    <s v="3000015264100009"/>
    <s v="CIVIL"/>
    <d v="2023-06-26T00:00:00"/>
    <d v="2023-07-04T19:00:44"/>
    <m/>
    <d v="2023-07-04T00:00:00"/>
    <n v="698"/>
    <n v="1814"/>
    <s v="61067017"/>
    <s v="61067017"/>
    <m/>
    <m/>
    <n v="22759404"/>
    <m/>
    <m/>
    <m/>
    <s v="SOLFIN"/>
    <s v="SOLFIN"/>
    <s v="CCMS"/>
    <n v="21328235"/>
    <n v="6389.91"/>
    <m/>
    <s v="N"/>
    <n v="4"/>
    <d v="2023-07-04T19:01:09"/>
    <s v="Y"/>
    <s v="Solicitor Travel Expenses"/>
    <s v="Public Law Children"/>
    <s v="Non Expert Disbursement"/>
    <s v="MCS"/>
    <s v="Y"/>
    <n v="5"/>
    <n v="1"/>
    <x v="1"/>
    <s v="VALIDATED"/>
    <n v="1"/>
    <s v="01.11.80.308.6300.0000"/>
    <n v="5"/>
    <s v="11"/>
    <s v="6300"/>
    <n v="9652.620000000001"/>
    <n v="5"/>
    <s v="CREDITOR"/>
    <n v="0"/>
    <n v="0"/>
    <n v="0"/>
    <n v="0"/>
    <n v="5"/>
  </r>
  <r>
    <n v="60210314"/>
    <s v="N"/>
    <n v="21360540"/>
    <s v="3000014524180010"/>
    <s v="CIVIL"/>
    <d v="2023-06-30T00:00:00"/>
    <d v="2023-07-11T11:50:54"/>
    <m/>
    <d v="2023-07-11T00:00:00"/>
    <n v="698"/>
    <n v="1814"/>
    <s v="60210314"/>
    <s v="60210314"/>
    <m/>
    <m/>
    <n v="22795842"/>
    <m/>
    <m/>
    <m/>
    <s v="SOLFIN"/>
    <s v="SOLFIN"/>
    <s v="CCMS"/>
    <n v="21360540"/>
    <n v="13402.35"/>
    <m/>
    <s v="N"/>
    <n v="5"/>
    <d v="2023-07-11T11:51:09"/>
    <s v="Y"/>
    <s v="Psychologist"/>
    <s v="Public Law Children"/>
    <s v="Expert Disbursement"/>
    <s v="EF"/>
    <s v="Y"/>
    <n v="35.1"/>
    <n v="7.02"/>
    <x v="7"/>
    <s v="VALIDATED"/>
    <n v="1"/>
    <s v="01.11.80.308.6300.0000"/>
    <n v="35.1"/>
    <s v="11"/>
    <s v="6300"/>
    <n v="9652.620000000001"/>
    <n v="35.1"/>
    <s v="CREDITOR"/>
    <n v="0"/>
    <n v="0"/>
    <n v="0"/>
    <n v="0"/>
    <n v="35.1"/>
  </r>
  <r>
    <n v="61067017"/>
    <s v="N"/>
    <n v="21328235"/>
    <s v="3000015264100009"/>
    <s v="CIVIL"/>
    <d v="2023-06-26T00:00:00"/>
    <d v="2023-07-04T19:00:44"/>
    <m/>
    <d v="2023-07-04T00:00:00"/>
    <n v="698"/>
    <n v="1814"/>
    <s v="61067017"/>
    <s v="61067017"/>
    <m/>
    <m/>
    <n v="22759404"/>
    <m/>
    <m/>
    <m/>
    <s v="SOLFIN"/>
    <s v="SOLFIN"/>
    <s v="CCMS"/>
    <n v="21328235"/>
    <n v="6389.91"/>
    <m/>
    <s v="N"/>
    <n v="10"/>
    <d v="2023-07-04T19:01:09"/>
    <s v="Y"/>
    <s v="Advocates Meeting"/>
    <s v="Public Law Children"/>
    <s v="Advocacy"/>
    <s v="MCS"/>
    <s v="Y"/>
    <n v="140.99"/>
    <n v="28.2"/>
    <x v="1"/>
    <s v="VALIDATED"/>
    <n v="1"/>
    <s v="01.11.80.308.6100.0000"/>
    <n v="140.99"/>
    <s v="11"/>
    <s v="6100"/>
    <n v="9652.620000000001"/>
    <n v="140.99"/>
    <s v="CREDITOR"/>
    <n v="0"/>
    <n v="0"/>
    <n v="0"/>
    <n v="0"/>
    <n v="140.99"/>
  </r>
  <r>
    <n v="61773150"/>
    <s v="N"/>
    <n v="21343947"/>
    <s v="3000015848680001"/>
    <s v="CIVIL"/>
    <d v="2023-06-29T00:00:00"/>
    <d v="2023-07-07T19:03:00"/>
    <m/>
    <d v="2023-07-07T00:00:00"/>
    <n v="698"/>
    <n v="1814"/>
    <s v="61773150"/>
    <s v="61773150"/>
    <m/>
    <m/>
    <n v="22787518"/>
    <m/>
    <m/>
    <m/>
    <s v="SOLFIN"/>
    <s v="SOLFIN"/>
    <s v="CCMS"/>
    <n v="21343947"/>
    <n v="923.08"/>
    <m/>
    <s v="N"/>
    <n v="6"/>
    <d v="2023-07-07T19:03:18"/>
    <s v="Y"/>
    <s v="Preparation - other"/>
    <s v="Care Remuneration Hourly Rates"/>
    <s v="Profit Cost"/>
    <s v="WW"/>
    <s v="Y"/>
    <n v="20.15"/>
    <n v="4.03"/>
    <x v="9"/>
    <s v="VALIDATED"/>
    <n v="1"/>
    <s v="01.11.80.305.6100.0000"/>
    <n v="20.15"/>
    <s v="11"/>
    <s v="6100"/>
    <n v="9652.620000000001"/>
    <n v="20.15"/>
    <s v="CREDITOR"/>
    <n v="0"/>
    <n v="0"/>
    <n v="0"/>
    <n v="0"/>
    <n v="20.15"/>
  </r>
  <r>
    <n v="61773150"/>
    <s v="N"/>
    <n v="21343947"/>
    <s v="3000015848680001"/>
    <s v="CIVIL"/>
    <d v="2023-06-29T00:00:00"/>
    <d v="2023-07-07T19:03:00"/>
    <m/>
    <d v="2023-07-07T00:00:00"/>
    <n v="698"/>
    <n v="1814"/>
    <s v="61773150"/>
    <s v="61773150"/>
    <m/>
    <m/>
    <n v="22787518"/>
    <m/>
    <m/>
    <m/>
    <s v="SOLFIN"/>
    <s v="SOLFIN"/>
    <s v="CCMS"/>
    <n v="21343947"/>
    <n v="923.08"/>
    <m/>
    <s v="N"/>
    <n v="15"/>
    <d v="2023-07-07T19:03:18"/>
    <s v="Y"/>
    <s v="Routine Letter In"/>
    <s v="Care Remuneration Hourly Rates"/>
    <s v="Profit Cost"/>
    <s v="WW"/>
    <s v="Y"/>
    <n v="46.81"/>
    <n v="9.359999999999999"/>
    <x v="9"/>
    <s v="VALIDATED"/>
    <n v="1"/>
    <s v="01.11.80.305.6100.0000"/>
    <n v="46.81"/>
    <s v="11"/>
    <s v="6100"/>
    <n v="9652.620000000001"/>
    <n v="46.81"/>
    <s v="CREDITOR"/>
    <n v="0"/>
    <n v="0"/>
    <n v="0"/>
    <n v="0"/>
    <n v="46.81"/>
  </r>
  <r>
    <n v="61773150"/>
    <s v="N"/>
    <n v="21343947"/>
    <s v="3000015848680001"/>
    <s v="CIVIL"/>
    <d v="2023-06-29T00:00:00"/>
    <d v="2023-07-07T19:03:00"/>
    <m/>
    <d v="2023-07-07T00:00:00"/>
    <n v="698"/>
    <n v="1814"/>
    <s v="61773150"/>
    <s v="61773150"/>
    <m/>
    <m/>
    <n v="22787518"/>
    <m/>
    <m/>
    <m/>
    <s v="SOLFIN"/>
    <s v="SOLFIN"/>
    <s v="CCMS"/>
    <n v="21343947"/>
    <n v="923.08"/>
    <m/>
    <s v="N"/>
    <n v="2"/>
    <d v="2023-07-07T19:03:18"/>
    <s v="Y"/>
    <s v="Preparation - other"/>
    <s v="Care Remuneration Hourly Rates"/>
    <s v="Profit Cost"/>
    <s v="WW"/>
    <s v="Y"/>
    <n v="268.69"/>
    <n v="53.75"/>
    <x v="9"/>
    <s v="VALIDATED"/>
    <n v="1"/>
    <s v="01.11.80.305.6100.0000"/>
    <n v="268.69"/>
    <s v="11"/>
    <s v="6100"/>
    <n v="9652.620000000001"/>
    <n v="268.69"/>
    <s v="CREDITOR"/>
    <n v="0"/>
    <n v="0"/>
    <n v="0"/>
    <n v="0"/>
    <n v="268.69"/>
  </r>
  <r>
    <n v="60210314"/>
    <s v="N"/>
    <n v="21360540"/>
    <s v="3000014524180010"/>
    <s v="CIVIL"/>
    <d v="2023-06-30T00:00:00"/>
    <d v="2023-07-11T11:50:54"/>
    <m/>
    <d v="2023-07-11T00:00:00"/>
    <n v="698"/>
    <n v="1814"/>
    <s v="60210314"/>
    <s v="60210314"/>
    <m/>
    <m/>
    <n v="22795842"/>
    <m/>
    <m/>
    <m/>
    <s v="SOLFIN"/>
    <s v="SOLFIN"/>
    <s v="CCMS"/>
    <n v="21360540"/>
    <n v="13402.35"/>
    <m/>
    <s v="N"/>
    <n v="1"/>
    <d v="2023-07-11T11:51:09"/>
    <s v="Y"/>
    <s v="Profit Costs (Summary)"/>
    <s v="Public Law Children"/>
    <s v="Profit Cost"/>
    <s v="EF"/>
    <s v="Y"/>
    <n v="9484.4"/>
    <n v="1896.88"/>
    <x v="7"/>
    <s v="VALIDATED"/>
    <n v="1"/>
    <s v="01.11.80.308.6100.0000"/>
    <n v="9484.4"/>
    <s v="11"/>
    <s v="6100"/>
    <n v="9652.620000000001"/>
    <n v="9484.4"/>
    <s v="CREDITOR"/>
    <n v="0"/>
    <n v="0"/>
    <n v="0"/>
    <n v="0"/>
    <n v="9484.4"/>
  </r>
  <r>
    <n v="60210314"/>
    <s v="N"/>
    <n v="21360540"/>
    <s v="3000014524180010"/>
    <s v="CIVIL"/>
    <d v="2023-06-30T00:00:00"/>
    <d v="2023-07-11T11:50:54"/>
    <m/>
    <d v="2023-07-11T00:00:00"/>
    <n v="698"/>
    <n v="1814"/>
    <s v="60210314"/>
    <s v="60210314"/>
    <m/>
    <m/>
    <n v="22795842"/>
    <m/>
    <m/>
    <m/>
    <s v="SOLFIN"/>
    <s v="SOLFIN"/>
    <s v="CCMS"/>
    <n v="21360540"/>
    <n v="13402.35"/>
    <m/>
    <s v="N"/>
    <n v="6"/>
    <d v="2023-07-11T11:51:09"/>
    <s v="Y"/>
    <s v="Advocates Meeting"/>
    <s v="Public Law Children"/>
    <s v="Advocacy"/>
    <s v="EF"/>
    <s v="Y"/>
    <n v="140.99"/>
    <n v="28.2"/>
    <x v="7"/>
    <s v="VALIDATED"/>
    <n v="1"/>
    <s v="01.11.80.308.6100.0000"/>
    <n v="140.99"/>
    <s v="11"/>
    <s v="6100"/>
    <n v="9652.620000000001"/>
    <n v="140.99"/>
    <s v="CREDITOR"/>
    <n v="0"/>
    <n v="0"/>
    <n v="0"/>
    <n v="0"/>
    <n v="140.99"/>
  </r>
  <r>
    <n v="61067017"/>
    <s v="N"/>
    <n v="21328610"/>
    <s v="3000015264100005RC"/>
    <s v="CIVIL"/>
    <d v="2023-06-26T00:00:00"/>
    <d v="2023-07-04T19:38:21"/>
    <m/>
    <d v="2023-07-04T00:00:00"/>
    <n v="698"/>
    <n v="1814"/>
    <s v="61067017"/>
    <s v="61067017"/>
    <m/>
    <m/>
    <m/>
    <m/>
    <m/>
    <m/>
    <s v="SOLRECOUP"/>
    <s v="SOLRECOUP"/>
    <s v="POARECOUP"/>
    <n v="21328610"/>
    <n v="-1109.45"/>
    <m/>
    <s v="Y"/>
    <n v="1"/>
    <d v="2023-07-04T19:38:22"/>
    <s v="N"/>
    <m/>
    <m/>
    <s v="Expert Disbursement"/>
    <m/>
    <s v="N"/>
    <n v="-924.54"/>
    <n v="0"/>
    <x v="1"/>
    <s v="VALIDATED"/>
    <n v="1"/>
    <s v="01.11.80.308.2013.0000"/>
    <n v="-924.54"/>
    <s v="11"/>
    <s v="2013"/>
    <n v="9652.620000000001"/>
    <n v="-924.54"/>
    <s v="CREDITOR"/>
    <n v="0"/>
    <n v="0"/>
    <n v="-924.54"/>
    <n v="0"/>
    <n v="0"/>
  </r>
  <r>
    <n v="61067017"/>
    <s v="N"/>
    <n v="21328610"/>
    <s v="3000015264100005RC"/>
    <s v="CIVIL"/>
    <d v="2023-06-26T00:00:00"/>
    <d v="2023-07-04T19:38:21"/>
    <m/>
    <d v="2023-07-04T00:00:00"/>
    <n v="698"/>
    <n v="1814"/>
    <s v="61067017"/>
    <s v="61067017"/>
    <m/>
    <m/>
    <m/>
    <m/>
    <m/>
    <m/>
    <s v="SOLRECOUP"/>
    <s v="SOLRECOUP"/>
    <s v="POARECOUP"/>
    <n v="21328610"/>
    <n v="-1109.45"/>
    <m/>
    <s v="Y"/>
    <n v="2"/>
    <d v="2023-07-04T19:38:22"/>
    <s v="N"/>
    <m/>
    <m/>
    <s v="Expert Disbursement"/>
    <m/>
    <s v="N"/>
    <n v="0"/>
    <n v="-184.91"/>
    <x v="1"/>
    <s v="VALIDATED"/>
    <n v="1"/>
    <s v="01.11.80.308.2013.0000"/>
    <n v="-184.91"/>
    <s v="11"/>
    <s v="2013"/>
    <n v="9652.620000000001"/>
    <n v="-184.91"/>
    <s v="CREDITOR"/>
    <n v="0"/>
    <n v="0"/>
    <n v="-184.91"/>
    <n v="0"/>
    <n v="0"/>
  </r>
  <r>
    <n v="61067017"/>
    <s v="N"/>
    <n v="21328611"/>
    <s v="3000015264100007RC"/>
    <s v="CIVIL"/>
    <d v="2023-06-26T00:00:00"/>
    <d v="2023-07-04T19:38:21"/>
    <m/>
    <d v="2023-07-04T00:00:00"/>
    <n v="698"/>
    <n v="1814"/>
    <s v="61067017"/>
    <s v="61067017"/>
    <m/>
    <m/>
    <m/>
    <m/>
    <m/>
    <m/>
    <s v="SOLRECOUP"/>
    <s v="SOLRECOUP"/>
    <s v="POARECOUP"/>
    <n v="21328611"/>
    <n v="-40.5"/>
    <m/>
    <s v="Y"/>
    <n v="1"/>
    <d v="2023-07-04T19:38:22"/>
    <s v="N"/>
    <m/>
    <m/>
    <s v="Non Expert Disbursement"/>
    <m/>
    <s v="N"/>
    <n v="-40.5"/>
    <n v="0"/>
    <x v="1"/>
    <s v="VALIDATED"/>
    <n v="1"/>
    <s v="01.11.80.308.2013.0000"/>
    <n v="-40.5"/>
    <s v="11"/>
    <s v="2013"/>
    <n v="9652.620000000001"/>
    <n v="-40.5"/>
    <s v="CREDITOR"/>
    <n v="0"/>
    <n v="0"/>
    <n v="-40.5"/>
    <n v="0"/>
    <n v="0"/>
  </r>
  <r>
    <n v="61067017"/>
    <s v="N"/>
    <n v="21328611"/>
    <s v="3000015264100007RC"/>
    <s v="CIVIL"/>
    <d v="2023-06-26T00:00:00"/>
    <d v="2023-07-04T19:38:21"/>
    <m/>
    <d v="2023-07-04T00:00:00"/>
    <n v="698"/>
    <n v="1814"/>
    <s v="61067017"/>
    <s v="61067017"/>
    <m/>
    <m/>
    <m/>
    <m/>
    <m/>
    <m/>
    <s v="SOLRECOUP"/>
    <s v="SOLRECOUP"/>
    <s v="POARECOUP"/>
    <n v="21328611"/>
    <n v="-40.5"/>
    <m/>
    <s v="Y"/>
    <n v="2"/>
    <d v="2023-07-04T19:38:22"/>
    <s v="N"/>
    <m/>
    <m/>
    <s v="Non Expert Disbursement"/>
    <m/>
    <s v="N"/>
    <n v="0"/>
    <n v="0"/>
    <x v="1"/>
    <s v="VALIDATED"/>
    <n v="1"/>
    <s v="01.11.80.000.0000.0000"/>
    <n v="0"/>
    <s v="11"/>
    <s v="0000"/>
    <n v="9652.620000000001"/>
    <n v="0"/>
    <s v="CREDITOR"/>
    <n v="0"/>
    <n v="0"/>
    <n v="0"/>
    <n v="0"/>
    <n v="0"/>
  </r>
  <r>
    <n v="61067017"/>
    <s v="N"/>
    <n v="21328612"/>
    <s v="3000015264100002RC"/>
    <s v="CIVIL"/>
    <d v="2023-06-26T00:00:00"/>
    <d v="2023-07-04T19:38:21"/>
    <m/>
    <d v="2023-07-04T00:00:00"/>
    <n v="698"/>
    <n v="1814"/>
    <s v="61067017"/>
    <s v="61067017"/>
    <m/>
    <m/>
    <m/>
    <m/>
    <m/>
    <m/>
    <s v="SOLRECOUP"/>
    <s v="SOLRECOUP"/>
    <s v="POARECOUP"/>
    <n v="21328612"/>
    <n v="-167"/>
    <m/>
    <s v="Y"/>
    <n v="1"/>
    <d v="2023-07-04T19:38:22"/>
    <s v="N"/>
    <m/>
    <m/>
    <s v="Non Expert Disbursement"/>
    <m/>
    <s v="N"/>
    <n v="-167"/>
    <n v="0"/>
    <x v="1"/>
    <s v="VALIDATED"/>
    <n v="1"/>
    <s v="01.11.80.308.2013.0000"/>
    <n v="-167"/>
    <s v="11"/>
    <s v="2013"/>
    <n v="9652.620000000001"/>
    <n v="-167"/>
    <s v="CREDITOR"/>
    <n v="0"/>
    <n v="0"/>
    <n v="-167"/>
    <n v="0"/>
    <n v="0"/>
  </r>
  <r>
    <n v="61067017"/>
    <s v="N"/>
    <n v="21328612"/>
    <s v="3000015264100002RC"/>
    <s v="CIVIL"/>
    <d v="2023-06-26T00:00:00"/>
    <d v="2023-07-04T19:38:21"/>
    <m/>
    <d v="2023-07-04T00:00:00"/>
    <n v="698"/>
    <n v="1814"/>
    <s v="61067017"/>
    <s v="61067017"/>
    <m/>
    <m/>
    <m/>
    <m/>
    <m/>
    <m/>
    <s v="SOLRECOUP"/>
    <s v="SOLRECOUP"/>
    <s v="POARECOUP"/>
    <n v="21328612"/>
    <n v="-167"/>
    <m/>
    <s v="Y"/>
    <n v="2"/>
    <d v="2023-07-04T19:38:22"/>
    <s v="N"/>
    <m/>
    <m/>
    <s v="Non Expert Disbursement"/>
    <m/>
    <s v="N"/>
    <n v="0"/>
    <n v="0"/>
    <x v="1"/>
    <s v="VALIDATED"/>
    <n v="1"/>
    <s v="01.11.80.000.0000.0000"/>
    <n v="0"/>
    <s v="11"/>
    <s v="0000"/>
    <n v="9652.620000000001"/>
    <n v="0"/>
    <s v="CREDITOR"/>
    <n v="0"/>
    <n v="0"/>
    <n v="0"/>
    <n v="0"/>
    <n v="0"/>
  </r>
  <r>
    <n v="61067017"/>
    <s v="N"/>
    <n v="21328613"/>
    <s v="3000015264100001RC"/>
    <s v="CIVIL"/>
    <d v="2023-06-26T00:00:00"/>
    <d v="2023-07-04T19:38:21"/>
    <m/>
    <d v="2023-07-04T00:00:00"/>
    <n v="698"/>
    <n v="1814"/>
    <s v="61067017"/>
    <s v="61067017"/>
    <m/>
    <m/>
    <m/>
    <m/>
    <m/>
    <m/>
    <s v="SOLRECOUP"/>
    <s v="SOLRECOUP"/>
    <s v="POARECOUP"/>
    <n v="21328613"/>
    <n v="-1848.59"/>
    <m/>
    <s v="Y"/>
    <n v="1"/>
    <d v="2023-07-04T19:38:22"/>
    <s v="N"/>
    <m/>
    <m/>
    <s v="Profit Cost"/>
    <m/>
    <s v="N"/>
    <n v="-1540.49"/>
    <n v="0"/>
    <x v="1"/>
    <s v="VALIDATED"/>
    <n v="1"/>
    <s v="01.11.80.308.2013.0000"/>
    <n v="-1540.49"/>
    <s v="11"/>
    <s v="2013"/>
    <n v="9652.620000000001"/>
    <n v="-1540.49"/>
    <s v="CREDITOR"/>
    <n v="0"/>
    <n v="0"/>
    <n v="-1540.49"/>
    <n v="-385.1225"/>
    <n v="0"/>
  </r>
  <r>
    <n v="61067017"/>
    <s v="N"/>
    <n v="21328613"/>
    <s v="3000015264100001RC"/>
    <s v="CIVIL"/>
    <d v="2023-06-26T00:00:00"/>
    <d v="2023-07-04T19:38:21"/>
    <m/>
    <d v="2023-07-04T00:00:00"/>
    <n v="698"/>
    <n v="1814"/>
    <s v="61067017"/>
    <s v="61067017"/>
    <m/>
    <m/>
    <m/>
    <m/>
    <m/>
    <m/>
    <s v="SOLRECOUP"/>
    <s v="SOLRECOUP"/>
    <s v="POARECOUP"/>
    <n v="21328613"/>
    <n v="-1848.59"/>
    <m/>
    <s v="Y"/>
    <n v="2"/>
    <d v="2023-07-04T19:38:22"/>
    <s v="N"/>
    <m/>
    <m/>
    <s v="Profit Cost"/>
    <m/>
    <s v="N"/>
    <n v="0"/>
    <n v="-308.1"/>
    <x v="1"/>
    <s v="VALIDATED"/>
    <n v="1"/>
    <s v="01.11.80.308.2013.0000"/>
    <n v="-308.1"/>
    <s v="11"/>
    <s v="2013"/>
    <n v="9652.620000000001"/>
    <n v="-308.1"/>
    <s v="CREDITOR"/>
    <n v="0"/>
    <n v="0"/>
    <n v="-308.1"/>
    <n v="-77.02500000000001"/>
    <n v="0"/>
  </r>
  <r>
    <n v="61067017"/>
    <s v="N"/>
    <n v="21328614"/>
    <s v="3000015264100004RC"/>
    <s v="CIVIL"/>
    <d v="2023-06-26T00:00:00"/>
    <d v="2023-07-04T19:38:21"/>
    <m/>
    <d v="2023-07-04T00:00:00"/>
    <n v="698"/>
    <n v="1814"/>
    <s v="61067017"/>
    <s v="61067017"/>
    <m/>
    <m/>
    <m/>
    <m/>
    <m/>
    <m/>
    <s v="SOLRECOUP"/>
    <s v="SOLRECOUP"/>
    <s v="POARECOUP"/>
    <n v="21328614"/>
    <n v="-5"/>
    <m/>
    <s v="Y"/>
    <n v="1"/>
    <d v="2023-07-04T19:38:22"/>
    <s v="N"/>
    <m/>
    <m/>
    <s v="Non Expert Disbursement"/>
    <m/>
    <s v="N"/>
    <n v="-5"/>
    <n v="0"/>
    <x v="1"/>
    <s v="VALIDATED"/>
    <n v="1"/>
    <s v="01.11.80.308.2013.0000"/>
    <n v="-5"/>
    <s v="11"/>
    <s v="2013"/>
    <n v="9652.620000000001"/>
    <n v="-5"/>
    <s v="CREDITOR"/>
    <n v="0"/>
    <n v="0"/>
    <n v="-5"/>
    <n v="0"/>
    <n v="0"/>
  </r>
  <r>
    <n v="61067017"/>
    <s v="N"/>
    <n v="21328614"/>
    <s v="3000015264100004RC"/>
    <s v="CIVIL"/>
    <d v="2023-06-26T00:00:00"/>
    <d v="2023-07-04T19:38:21"/>
    <m/>
    <d v="2023-07-04T00:00:00"/>
    <n v="698"/>
    <n v="1814"/>
    <s v="61067017"/>
    <s v="61067017"/>
    <m/>
    <m/>
    <m/>
    <m/>
    <m/>
    <m/>
    <s v="SOLRECOUP"/>
    <s v="SOLRECOUP"/>
    <s v="POARECOUP"/>
    <n v="21328614"/>
    <n v="-5"/>
    <m/>
    <s v="Y"/>
    <n v="2"/>
    <d v="2023-07-04T19:38:22"/>
    <s v="N"/>
    <m/>
    <m/>
    <s v="Non Expert Disbursement"/>
    <m/>
    <s v="N"/>
    <n v="0"/>
    <n v="0"/>
    <x v="1"/>
    <s v="VALIDATED"/>
    <n v="1"/>
    <s v="01.11.80.000.0000.0000"/>
    <n v="0"/>
    <s v="11"/>
    <s v="0000"/>
    <n v="9652.620000000001"/>
    <n v="0"/>
    <s v="CREDITOR"/>
    <n v="0"/>
    <n v="0"/>
    <n v="0"/>
    <n v="0"/>
    <n v="0"/>
  </r>
  <r>
    <n v="61067017"/>
    <s v="N"/>
    <n v="21328615"/>
    <s v="3000015264100003RC"/>
    <s v="CIVIL"/>
    <d v="2023-06-26T00:00:00"/>
    <d v="2023-07-04T19:38:21"/>
    <m/>
    <d v="2023-07-04T00:00:00"/>
    <n v="698"/>
    <n v="1814"/>
    <s v="61067017"/>
    <s v="61067017"/>
    <m/>
    <m/>
    <m/>
    <m/>
    <m/>
    <m/>
    <s v="SOLRECOUP"/>
    <s v="SOLRECOUP"/>
    <s v="POARECOUP"/>
    <n v="21328615"/>
    <n v="-40.5"/>
    <m/>
    <s v="Y"/>
    <n v="1"/>
    <d v="2023-07-04T19:38:22"/>
    <s v="N"/>
    <m/>
    <m/>
    <s v="Non Expert Disbursement"/>
    <m/>
    <s v="N"/>
    <n v="-40.5"/>
    <n v="0"/>
    <x v="1"/>
    <s v="VALIDATED"/>
    <n v="1"/>
    <s v="01.11.80.308.2013.0000"/>
    <n v="-40.5"/>
    <s v="11"/>
    <s v="2013"/>
    <n v="9652.620000000001"/>
    <n v="-40.5"/>
    <s v="CREDITOR"/>
    <n v="0"/>
    <n v="0"/>
    <n v="-40.5"/>
    <n v="0"/>
    <n v="0"/>
  </r>
  <r>
    <n v="61067017"/>
    <s v="N"/>
    <n v="21328615"/>
    <s v="3000015264100003RC"/>
    <s v="CIVIL"/>
    <d v="2023-06-26T00:00:00"/>
    <d v="2023-07-04T19:38:21"/>
    <m/>
    <d v="2023-07-04T00:00:00"/>
    <n v="698"/>
    <n v="1814"/>
    <s v="61067017"/>
    <s v="61067017"/>
    <m/>
    <m/>
    <m/>
    <m/>
    <m/>
    <m/>
    <s v="SOLRECOUP"/>
    <s v="SOLRECOUP"/>
    <s v="POARECOUP"/>
    <n v="21328615"/>
    <n v="-40.5"/>
    <m/>
    <s v="Y"/>
    <n v="2"/>
    <d v="2023-07-04T19:38:22"/>
    <s v="N"/>
    <m/>
    <m/>
    <s v="Non Expert Disbursement"/>
    <m/>
    <s v="N"/>
    <n v="0"/>
    <n v="0"/>
    <x v="1"/>
    <s v="VALIDATED"/>
    <n v="1"/>
    <s v="01.11.80.000.0000.0000"/>
    <n v="0"/>
    <s v="11"/>
    <s v="0000"/>
    <n v="9652.620000000001"/>
    <n v="0"/>
    <s v="CREDITOR"/>
    <n v="0"/>
    <n v="0"/>
    <n v="0"/>
    <n v="0"/>
    <n v="0"/>
  </r>
  <r>
    <n v="61067017"/>
    <s v="N"/>
    <n v="21328616"/>
    <s v="3000015264100008RC"/>
    <s v="CIVIL"/>
    <d v="2023-06-26T00:00:00"/>
    <d v="2023-07-04T19:38:21"/>
    <m/>
    <d v="2023-07-04T00:00:00"/>
    <n v="698"/>
    <n v="1814"/>
    <s v="61067017"/>
    <s v="61067017"/>
    <m/>
    <m/>
    <m/>
    <m/>
    <m/>
    <m/>
    <s v="SOLRECOUP"/>
    <s v="SOLRECOUP"/>
    <s v="POARECOUP"/>
    <n v="21328616"/>
    <n v="-22.14"/>
    <m/>
    <s v="Y"/>
    <n v="1"/>
    <d v="2023-07-04T19:38:22"/>
    <s v="N"/>
    <m/>
    <m/>
    <s v="Non Expert Disbursement"/>
    <m/>
    <s v="N"/>
    <n v="-18.45"/>
    <n v="0"/>
    <x v="1"/>
    <s v="VALIDATED"/>
    <n v="1"/>
    <s v="01.11.80.308.2013.0000"/>
    <n v="-18.45"/>
    <s v="11"/>
    <s v="2013"/>
    <n v="9652.620000000001"/>
    <n v="-18.45"/>
    <s v="CREDITOR"/>
    <n v="0"/>
    <n v="0"/>
    <n v="-18.45"/>
    <n v="0"/>
    <n v="0"/>
  </r>
  <r>
    <n v="61067017"/>
    <s v="N"/>
    <n v="21328616"/>
    <s v="3000015264100008RC"/>
    <s v="CIVIL"/>
    <d v="2023-06-26T00:00:00"/>
    <d v="2023-07-04T19:38:21"/>
    <m/>
    <d v="2023-07-04T00:00:00"/>
    <n v="698"/>
    <n v="1814"/>
    <s v="61067017"/>
    <s v="61067017"/>
    <m/>
    <m/>
    <m/>
    <m/>
    <m/>
    <m/>
    <s v="SOLRECOUP"/>
    <s v="SOLRECOUP"/>
    <s v="POARECOUP"/>
    <n v="21328616"/>
    <n v="-22.14"/>
    <m/>
    <s v="Y"/>
    <n v="2"/>
    <d v="2023-07-04T19:38:22"/>
    <s v="N"/>
    <m/>
    <m/>
    <s v="Non Expert Disbursement"/>
    <m/>
    <s v="N"/>
    <n v="0"/>
    <n v="-3.69"/>
    <x v="1"/>
    <s v="VALIDATED"/>
    <n v="1"/>
    <s v="01.11.80.308.2013.0000"/>
    <n v="-3.69"/>
    <s v="11"/>
    <s v="2013"/>
    <n v="9652.620000000001"/>
    <n v="-3.69"/>
    <s v="CREDITOR"/>
    <n v="0"/>
    <n v="0"/>
    <n v="-3.69"/>
    <n v="0"/>
    <n v="0"/>
  </r>
  <r>
    <n v="61067017"/>
    <s v="N"/>
    <n v="21328617"/>
    <s v="3000015264100006RC"/>
    <s v="CIVIL"/>
    <d v="2023-06-26T00:00:00"/>
    <d v="2023-07-04T19:38:21"/>
    <m/>
    <d v="2023-07-04T00:00:00"/>
    <n v="698"/>
    <n v="1814"/>
    <s v="61067017"/>
    <s v="61067017"/>
    <m/>
    <m/>
    <m/>
    <m/>
    <m/>
    <m/>
    <s v="SOLRECOUP"/>
    <s v="SOLRECOUP"/>
    <s v="POARECOUP"/>
    <n v="21328617"/>
    <n v="-18.45"/>
    <m/>
    <s v="Y"/>
    <n v="1"/>
    <d v="2023-07-04T19:38:22"/>
    <s v="N"/>
    <m/>
    <m/>
    <s v="Non Expert Disbursement"/>
    <m/>
    <s v="N"/>
    <n v="-18.45"/>
    <n v="0"/>
    <x v="1"/>
    <s v="VALIDATED"/>
    <n v="1"/>
    <s v="01.11.80.308.2013.0000"/>
    <n v="-18.45"/>
    <s v="11"/>
    <s v="2013"/>
    <n v="9652.620000000001"/>
    <n v="-18.45"/>
    <s v="CREDITOR"/>
    <n v="0"/>
    <n v="0"/>
    <n v="-18.45"/>
    <n v="0"/>
    <n v="0"/>
  </r>
  <r>
    <n v="61067017"/>
    <s v="N"/>
    <n v="21328617"/>
    <s v="3000015264100006RC"/>
    <s v="CIVIL"/>
    <d v="2023-06-26T00:00:00"/>
    <d v="2023-07-04T19:38:21"/>
    <m/>
    <d v="2023-07-04T00:00:00"/>
    <n v="698"/>
    <n v="1814"/>
    <s v="61067017"/>
    <s v="61067017"/>
    <m/>
    <m/>
    <m/>
    <m/>
    <m/>
    <m/>
    <s v="SOLRECOUP"/>
    <s v="SOLRECOUP"/>
    <s v="POARECOUP"/>
    <n v="21328617"/>
    <n v="-18.45"/>
    <m/>
    <s v="Y"/>
    <n v="2"/>
    <d v="2023-07-04T19:38:22"/>
    <s v="N"/>
    <m/>
    <m/>
    <s v="Non Expert Disbursement"/>
    <m/>
    <s v="N"/>
    <n v="0"/>
    <n v="0"/>
    <x v="1"/>
    <s v="VALIDATED"/>
    <n v="1"/>
    <s v="01.11.80.000.0000.0000"/>
    <n v="0"/>
    <s v="11"/>
    <s v="0000"/>
    <n v="9652.620000000001"/>
    <n v="0"/>
    <s v="CREDITOR"/>
    <n v="0"/>
    <n v="0"/>
    <n v="0"/>
    <n v="0"/>
    <n v="0"/>
  </r>
  <r>
    <n v="60827546"/>
    <s v="N"/>
    <n v="21333771"/>
    <s v="3000015059270001RC"/>
    <s v="CIVIL"/>
    <d v="2023-06-28T00:00:00"/>
    <d v="2023-07-05T19:42:28"/>
    <m/>
    <d v="2023-07-05T00:00:00"/>
    <n v="698"/>
    <n v="1814"/>
    <s v="60827546"/>
    <s v="60827546"/>
    <m/>
    <m/>
    <m/>
    <m/>
    <m/>
    <m/>
    <s v="SOLRECOUP"/>
    <s v="SOLRECOUP"/>
    <s v="POARECOUP"/>
    <n v="21333771"/>
    <n v="-1291.36"/>
    <m/>
    <s v="Y"/>
    <n v="1"/>
    <d v="2023-07-05T19:42:28"/>
    <s v="N"/>
    <m/>
    <m/>
    <s v="Profit Cost"/>
    <m/>
    <s v="N"/>
    <n v="-1076.13"/>
    <n v="0"/>
    <x v="6"/>
    <s v="VALIDATED"/>
    <n v="1"/>
    <s v="01.11.80.308.2013.0000"/>
    <n v="-1076.13"/>
    <s v="11"/>
    <s v="2013"/>
    <n v="9652.620000000001"/>
    <n v="-1076.13"/>
    <s v="CREDITOR"/>
    <n v="0"/>
    <n v="0"/>
    <n v="-1076.13"/>
    <n v="-269.0325"/>
    <n v="0"/>
  </r>
  <r>
    <n v="60827546"/>
    <s v="N"/>
    <n v="21333771"/>
    <s v="3000015059270001RC"/>
    <s v="CIVIL"/>
    <d v="2023-06-28T00:00:00"/>
    <d v="2023-07-05T19:42:28"/>
    <m/>
    <d v="2023-07-05T00:00:00"/>
    <n v="698"/>
    <n v="1814"/>
    <s v="60827546"/>
    <s v="60827546"/>
    <m/>
    <m/>
    <m/>
    <m/>
    <m/>
    <m/>
    <s v="SOLRECOUP"/>
    <s v="SOLRECOUP"/>
    <s v="POARECOUP"/>
    <n v="21333771"/>
    <n v="-1291.36"/>
    <m/>
    <s v="Y"/>
    <n v="2"/>
    <d v="2023-07-05T19:42:28"/>
    <s v="N"/>
    <m/>
    <m/>
    <s v="Profit Cost"/>
    <m/>
    <s v="N"/>
    <n v="0"/>
    <n v="-215.23"/>
    <x v="6"/>
    <s v="VALIDATED"/>
    <n v="1"/>
    <s v="01.11.80.308.2013.0000"/>
    <n v="-215.23"/>
    <s v="11"/>
    <s v="2013"/>
    <n v="9652.620000000001"/>
    <n v="-215.23"/>
    <s v="CREDITOR"/>
    <n v="0"/>
    <n v="0"/>
    <n v="-215.23"/>
    <n v="-53.8075"/>
    <n v="0"/>
  </r>
  <r>
    <n v="60827546"/>
    <s v="N"/>
    <n v="21333772"/>
    <s v="3000015059270002RC"/>
    <s v="CIVIL"/>
    <d v="2023-06-28T00:00:00"/>
    <d v="2023-07-05T19:42:28"/>
    <m/>
    <d v="2023-07-05T00:00:00"/>
    <n v="698"/>
    <n v="1814"/>
    <s v="60827546"/>
    <s v="60827546"/>
    <m/>
    <m/>
    <m/>
    <m/>
    <m/>
    <m/>
    <s v="SOLRECOUP"/>
    <s v="SOLRECOUP"/>
    <s v="POARECOUP"/>
    <n v="21333772"/>
    <n v="-18.9"/>
    <m/>
    <s v="Y"/>
    <n v="1"/>
    <d v="2023-07-05T19:42:28"/>
    <s v="N"/>
    <m/>
    <m/>
    <s v="Non Expert Disbursement"/>
    <m/>
    <s v="N"/>
    <n v="-18.9"/>
    <n v="0"/>
    <x v="6"/>
    <s v="VALIDATED"/>
    <n v="1"/>
    <s v="01.11.80.308.2013.0000"/>
    <n v="-18.9"/>
    <s v="11"/>
    <s v="2013"/>
    <n v="9652.620000000001"/>
    <n v="-18.9"/>
    <s v="CREDITOR"/>
    <n v="0"/>
    <n v="0"/>
    <n v="-18.9"/>
    <n v="0"/>
    <n v="0"/>
  </r>
  <r>
    <n v="60827546"/>
    <s v="N"/>
    <n v="21333772"/>
    <s v="3000015059270002RC"/>
    <s v="CIVIL"/>
    <d v="2023-06-28T00:00:00"/>
    <d v="2023-07-05T19:42:28"/>
    <m/>
    <d v="2023-07-05T00:00:00"/>
    <n v="698"/>
    <n v="1814"/>
    <s v="60827546"/>
    <s v="60827546"/>
    <m/>
    <m/>
    <m/>
    <m/>
    <m/>
    <m/>
    <s v="SOLRECOUP"/>
    <s v="SOLRECOUP"/>
    <s v="POARECOUP"/>
    <n v="21333772"/>
    <n v="-18.9"/>
    <m/>
    <s v="Y"/>
    <n v="2"/>
    <d v="2023-07-05T19:42:28"/>
    <s v="N"/>
    <m/>
    <m/>
    <s v="Non Expert Disbursement"/>
    <m/>
    <s v="N"/>
    <n v="0"/>
    <n v="0"/>
    <x v="6"/>
    <s v="VALIDATED"/>
    <n v="1"/>
    <s v="01.11.80.000.0000.0000"/>
    <n v="0"/>
    <s v="11"/>
    <s v="0000"/>
    <n v="9652.620000000001"/>
    <n v="0"/>
    <s v="CREDITOR"/>
    <n v="0"/>
    <n v="0"/>
    <n v="0"/>
    <n v="0"/>
    <n v="0"/>
  </r>
  <r>
    <n v="60827546"/>
    <s v="N"/>
    <n v="21333773"/>
    <s v="3000015059270003RC"/>
    <s v="CIVIL"/>
    <d v="2023-06-28T00:00:00"/>
    <d v="2023-07-05T19:42:28"/>
    <m/>
    <d v="2023-07-05T00:00:00"/>
    <n v="698"/>
    <n v="1814"/>
    <s v="60827546"/>
    <s v="60827546"/>
    <m/>
    <m/>
    <m/>
    <m/>
    <m/>
    <m/>
    <s v="SOLRECOUP"/>
    <s v="SOLRECOUP"/>
    <s v="POARECOUP"/>
    <n v="21333773"/>
    <n v="-224.64"/>
    <m/>
    <s v="Y"/>
    <n v="1"/>
    <d v="2023-07-05T19:42:28"/>
    <s v="N"/>
    <m/>
    <m/>
    <s v="Expert Disbursement"/>
    <m/>
    <s v="N"/>
    <n v="-187.2"/>
    <n v="0"/>
    <x v="6"/>
    <s v="VALIDATED"/>
    <n v="1"/>
    <s v="01.11.80.308.2013.0000"/>
    <n v="-187.2"/>
    <s v="11"/>
    <s v="2013"/>
    <n v="9652.620000000001"/>
    <n v="-187.2"/>
    <s v="CREDITOR"/>
    <n v="0"/>
    <n v="0"/>
    <n v="-187.2"/>
    <n v="0"/>
    <n v="0"/>
  </r>
  <r>
    <n v="60827546"/>
    <s v="N"/>
    <n v="21333773"/>
    <s v="3000015059270003RC"/>
    <s v="CIVIL"/>
    <d v="2023-06-28T00:00:00"/>
    <d v="2023-07-05T19:42:28"/>
    <m/>
    <d v="2023-07-05T00:00:00"/>
    <n v="698"/>
    <n v="1814"/>
    <s v="60827546"/>
    <s v="60827546"/>
    <m/>
    <m/>
    <m/>
    <m/>
    <m/>
    <m/>
    <s v="SOLRECOUP"/>
    <s v="SOLRECOUP"/>
    <s v="POARECOUP"/>
    <n v="21333773"/>
    <n v="-224.64"/>
    <m/>
    <s v="Y"/>
    <n v="2"/>
    <d v="2023-07-05T19:42:28"/>
    <s v="N"/>
    <m/>
    <m/>
    <s v="Expert Disbursement"/>
    <m/>
    <s v="N"/>
    <n v="0"/>
    <n v="-37.44"/>
    <x v="6"/>
    <s v="VALIDATED"/>
    <n v="1"/>
    <s v="01.11.80.308.2013.0000"/>
    <n v="-37.44"/>
    <s v="11"/>
    <s v="2013"/>
    <n v="9652.620000000001"/>
    <n v="-37.44"/>
    <s v="CREDITOR"/>
    <n v="0"/>
    <n v="0"/>
    <n v="-37.44"/>
    <n v="0"/>
    <n v="0"/>
  </r>
  <r>
    <n v="60295814"/>
    <s v="N"/>
    <n v="21356358"/>
    <s v="3000014595140011RC"/>
    <s v="CIVIL"/>
    <d v="2023-06-26T00:00:00"/>
    <d v="2023-07-10T19:47:44"/>
    <m/>
    <d v="2023-07-10T00:00:00"/>
    <n v="698"/>
    <n v="1814"/>
    <s v="60295814"/>
    <s v="60295814"/>
    <m/>
    <m/>
    <m/>
    <m/>
    <m/>
    <m/>
    <s v="SOLRECOUP"/>
    <s v="SOLRECOUP"/>
    <s v="POARECOUP"/>
    <n v="21356358"/>
    <n v="-3149.63"/>
    <m/>
    <s v="Y"/>
    <n v="2"/>
    <d v="2023-07-10T19:47:44"/>
    <s v="N"/>
    <m/>
    <m/>
    <s v="Profit Cost"/>
    <m/>
    <s v="N"/>
    <n v="0"/>
    <n v="-524.9400000000001"/>
    <x v="2"/>
    <s v="VALIDATED"/>
    <n v="1"/>
    <s v="01.11.80.308.2013.0000"/>
    <n v="-524.9400000000001"/>
    <s v="11"/>
    <s v="2013"/>
    <n v="9652.620000000001"/>
    <n v="-524.9400000000001"/>
    <s v="CREDITOR"/>
    <n v="0"/>
    <n v="0"/>
    <n v="-524.9400000000001"/>
    <n v="-131.235"/>
    <n v="0"/>
  </r>
  <r>
    <n v="60295814"/>
    <s v="N"/>
    <n v="21356358"/>
    <s v="3000014595140011RC"/>
    <s v="CIVIL"/>
    <d v="2023-06-26T00:00:00"/>
    <d v="2023-07-10T19:47:44"/>
    <m/>
    <d v="2023-07-10T00:00:00"/>
    <n v="698"/>
    <n v="1814"/>
    <s v="60295814"/>
    <s v="60295814"/>
    <m/>
    <m/>
    <m/>
    <m/>
    <m/>
    <m/>
    <s v="SOLRECOUP"/>
    <s v="SOLRECOUP"/>
    <s v="POARECOUP"/>
    <n v="21356358"/>
    <n v="-3149.63"/>
    <m/>
    <s v="Y"/>
    <n v="1"/>
    <d v="2023-07-10T19:47:44"/>
    <s v="N"/>
    <m/>
    <m/>
    <s v="Profit Cost"/>
    <m/>
    <s v="N"/>
    <n v="-2624.69"/>
    <n v="0"/>
    <x v="2"/>
    <s v="VALIDATED"/>
    <n v="1"/>
    <s v="01.11.80.308.2013.0000"/>
    <n v="-2624.69"/>
    <s v="11"/>
    <s v="2013"/>
    <n v="9652.620000000001"/>
    <n v="-2624.69"/>
    <s v="CREDITOR"/>
    <n v="0"/>
    <n v="0"/>
    <n v="-2624.69"/>
    <n v="-656.1725"/>
    <n v="0"/>
  </r>
  <r>
    <n v="60295814"/>
    <s v="N"/>
    <n v="21356359"/>
    <s v="3000014595140014RC"/>
    <s v="CIVIL"/>
    <d v="2023-06-26T00:00:00"/>
    <d v="2023-07-10T19:47:44"/>
    <m/>
    <d v="2023-07-10T00:00:00"/>
    <n v="698"/>
    <n v="1814"/>
    <s v="60295814"/>
    <s v="60295814"/>
    <m/>
    <m/>
    <m/>
    <m/>
    <m/>
    <m/>
    <s v="SOLRECOUP"/>
    <s v="SOLRECOUP"/>
    <s v="POARECOUP"/>
    <n v="21356359"/>
    <n v="-3.7"/>
    <m/>
    <s v="Y"/>
    <n v="2"/>
    <d v="2023-07-10T19:47:44"/>
    <s v="N"/>
    <m/>
    <m/>
    <s v="Non Expert Disbursement"/>
    <m/>
    <s v="N"/>
    <n v="0"/>
    <n v="0"/>
    <x v="2"/>
    <s v="VALIDATED"/>
    <n v="1"/>
    <s v="01.11.80.000.0000.0000"/>
    <n v="0"/>
    <s v="11"/>
    <s v="0000"/>
    <n v="9652.620000000001"/>
    <n v="0"/>
    <s v="CREDITOR"/>
    <n v="0"/>
    <n v="0"/>
    <n v="0"/>
    <n v="0"/>
    <n v="0"/>
  </r>
  <r>
    <n v="60295814"/>
    <s v="N"/>
    <n v="21356359"/>
    <s v="3000014595140014RC"/>
    <s v="CIVIL"/>
    <d v="2023-06-26T00:00:00"/>
    <d v="2023-07-10T19:47:44"/>
    <m/>
    <d v="2023-07-10T00:00:00"/>
    <n v="698"/>
    <n v="1814"/>
    <s v="60295814"/>
    <s v="60295814"/>
    <m/>
    <m/>
    <m/>
    <m/>
    <m/>
    <m/>
    <s v="SOLRECOUP"/>
    <s v="SOLRECOUP"/>
    <s v="POARECOUP"/>
    <n v="21356359"/>
    <n v="-3.7"/>
    <m/>
    <s v="Y"/>
    <n v="1"/>
    <d v="2023-07-10T19:47:44"/>
    <s v="N"/>
    <m/>
    <m/>
    <s v="Non Expert Disbursement"/>
    <m/>
    <s v="N"/>
    <n v="-3.7"/>
    <n v="0"/>
    <x v="2"/>
    <s v="VALIDATED"/>
    <n v="1"/>
    <s v="01.11.80.308.2013.0000"/>
    <n v="-3.7"/>
    <s v="11"/>
    <s v="2013"/>
    <n v="9652.620000000001"/>
    <n v="-3.7"/>
    <s v="CREDITOR"/>
    <n v="0"/>
    <n v="0"/>
    <n v="-3.7"/>
    <n v="0"/>
    <n v="0"/>
  </r>
  <r>
    <n v="60295814"/>
    <s v="N"/>
    <n v="21356360"/>
    <s v="3000014595140013RC"/>
    <s v="CIVIL"/>
    <d v="2023-06-26T00:00:00"/>
    <d v="2023-07-10T19:47:44"/>
    <m/>
    <d v="2023-07-10T00:00:00"/>
    <n v="698"/>
    <n v="1814"/>
    <s v="60295814"/>
    <s v="60295814"/>
    <m/>
    <m/>
    <m/>
    <m/>
    <m/>
    <m/>
    <s v="SOLRECOUP"/>
    <s v="SOLRECOUP"/>
    <s v="POARECOUP"/>
    <n v="21356360"/>
    <n v="-5"/>
    <m/>
    <s v="Y"/>
    <n v="2"/>
    <d v="2023-07-10T19:47:44"/>
    <s v="N"/>
    <m/>
    <m/>
    <s v="Non Expert Disbursement"/>
    <m/>
    <s v="N"/>
    <n v="0"/>
    <n v="0"/>
    <x v="2"/>
    <s v="VALIDATED"/>
    <n v="1"/>
    <s v="01.11.80.000.0000.0000"/>
    <n v="0"/>
    <s v="11"/>
    <s v="0000"/>
    <n v="9652.620000000001"/>
    <n v="0"/>
    <s v="CREDITOR"/>
    <n v="0"/>
    <n v="0"/>
    <n v="0"/>
    <n v="0"/>
    <n v="0"/>
  </r>
  <r>
    <n v="60295814"/>
    <s v="N"/>
    <n v="21356360"/>
    <s v="3000014595140013RC"/>
    <s v="CIVIL"/>
    <d v="2023-06-26T00:00:00"/>
    <d v="2023-07-10T19:47:44"/>
    <m/>
    <d v="2023-07-10T00:00:00"/>
    <n v="698"/>
    <n v="1814"/>
    <s v="60295814"/>
    <s v="60295814"/>
    <m/>
    <m/>
    <m/>
    <m/>
    <m/>
    <m/>
    <s v="SOLRECOUP"/>
    <s v="SOLRECOUP"/>
    <s v="POARECOUP"/>
    <n v="21356360"/>
    <n v="-5"/>
    <m/>
    <s v="Y"/>
    <n v="1"/>
    <d v="2023-07-10T19:47:44"/>
    <s v="N"/>
    <m/>
    <m/>
    <s v="Non Expert Disbursement"/>
    <m/>
    <s v="N"/>
    <n v="-5"/>
    <n v="0"/>
    <x v="2"/>
    <s v="VALIDATED"/>
    <n v="1"/>
    <s v="01.11.80.308.2013.0000"/>
    <n v="-5"/>
    <s v="11"/>
    <s v="2013"/>
    <n v="9652.620000000001"/>
    <n v="-5"/>
    <s v="CREDITOR"/>
    <n v="0"/>
    <n v="0"/>
    <n v="-5"/>
    <n v="0"/>
    <n v="0"/>
  </r>
  <r>
    <n v="60295814"/>
    <s v="N"/>
    <n v="21356361"/>
    <s v="3000014595140015RC"/>
    <s v="CIVIL"/>
    <d v="2023-06-26T00:00:00"/>
    <d v="2023-07-10T19:47:44"/>
    <m/>
    <d v="2023-07-10T00:00:00"/>
    <n v="698"/>
    <n v="1814"/>
    <s v="60295814"/>
    <s v="60295814"/>
    <m/>
    <m/>
    <m/>
    <m/>
    <m/>
    <m/>
    <s v="SOLRECOUP"/>
    <s v="SOLRECOUP"/>
    <s v="POARECOUP"/>
    <n v="21356361"/>
    <n v="-40.5"/>
    <m/>
    <s v="Y"/>
    <n v="2"/>
    <d v="2023-07-10T19:47:44"/>
    <s v="N"/>
    <m/>
    <m/>
    <s v="Non Expert Disbursement"/>
    <m/>
    <s v="N"/>
    <n v="0"/>
    <n v="0"/>
    <x v="2"/>
    <s v="VALIDATED"/>
    <n v="1"/>
    <s v="01.11.80.000.0000.0000"/>
    <n v="0"/>
    <s v="11"/>
    <s v="0000"/>
    <n v="9652.620000000001"/>
    <n v="0"/>
    <s v="CREDITOR"/>
    <n v="0"/>
    <n v="0"/>
    <n v="0"/>
    <n v="0"/>
    <n v="0"/>
  </r>
  <r>
    <n v="60295814"/>
    <s v="N"/>
    <n v="21356361"/>
    <s v="3000014595140015RC"/>
    <s v="CIVIL"/>
    <d v="2023-06-26T00:00:00"/>
    <d v="2023-07-10T19:47:44"/>
    <m/>
    <d v="2023-07-10T00:00:00"/>
    <n v="698"/>
    <n v="1814"/>
    <s v="60295814"/>
    <s v="60295814"/>
    <m/>
    <m/>
    <m/>
    <m/>
    <m/>
    <m/>
    <s v="SOLRECOUP"/>
    <s v="SOLRECOUP"/>
    <s v="POARECOUP"/>
    <n v="21356361"/>
    <n v="-40.5"/>
    <m/>
    <s v="Y"/>
    <n v="1"/>
    <d v="2023-07-10T19:47:44"/>
    <s v="N"/>
    <m/>
    <m/>
    <s v="Non Expert Disbursement"/>
    <m/>
    <s v="N"/>
    <n v="-40.5"/>
    <n v="0"/>
    <x v="2"/>
    <s v="VALIDATED"/>
    <n v="1"/>
    <s v="01.11.80.308.2013.0000"/>
    <n v="-40.5"/>
    <s v="11"/>
    <s v="2013"/>
    <n v="9652.620000000001"/>
    <n v="-40.5"/>
    <s v="CREDITOR"/>
    <n v="0"/>
    <n v="0"/>
    <n v="-40.5"/>
    <n v="0"/>
    <n v="0"/>
  </r>
  <r>
    <n v="60295814"/>
    <s v="N"/>
    <n v="21356349"/>
    <s v="3000014595140008RC"/>
    <s v="CIVIL"/>
    <d v="2023-06-26T00:00:00"/>
    <d v="2023-07-10T19:47:44"/>
    <m/>
    <d v="2023-07-10T00:00:00"/>
    <n v="698"/>
    <n v="1814"/>
    <s v="60295814"/>
    <s v="60295814"/>
    <m/>
    <m/>
    <m/>
    <m/>
    <m/>
    <m/>
    <s v="SOLRECOUP"/>
    <s v="SOLRECOUP"/>
    <s v="POARECOUP"/>
    <n v="21356349"/>
    <n v="-16.2"/>
    <m/>
    <s v="Y"/>
    <n v="2"/>
    <d v="2023-07-10T19:47:44"/>
    <s v="N"/>
    <m/>
    <m/>
    <s v="Non Expert Disbursement"/>
    <m/>
    <s v="N"/>
    <n v="0"/>
    <n v="0"/>
    <x v="2"/>
    <s v="VALIDATED"/>
    <n v="1"/>
    <s v="01.11.80.000.0000.0000"/>
    <n v="0"/>
    <s v="11"/>
    <s v="0000"/>
    <n v="9652.620000000001"/>
    <n v="0"/>
    <s v="CREDITOR"/>
    <n v="0"/>
    <n v="0"/>
    <n v="0"/>
    <n v="0"/>
    <n v="0"/>
  </r>
  <r>
    <n v="60295814"/>
    <s v="N"/>
    <n v="21356349"/>
    <s v="3000014595140008RC"/>
    <s v="CIVIL"/>
    <d v="2023-06-26T00:00:00"/>
    <d v="2023-07-10T19:47:44"/>
    <m/>
    <d v="2023-07-10T00:00:00"/>
    <n v="698"/>
    <n v="1814"/>
    <s v="60295814"/>
    <s v="60295814"/>
    <m/>
    <m/>
    <m/>
    <m/>
    <m/>
    <m/>
    <s v="SOLRECOUP"/>
    <s v="SOLRECOUP"/>
    <s v="POARECOUP"/>
    <n v="21356349"/>
    <n v="-16.2"/>
    <m/>
    <s v="Y"/>
    <n v="1"/>
    <d v="2023-07-10T19:47:44"/>
    <s v="N"/>
    <m/>
    <m/>
    <s v="Non Expert Disbursement"/>
    <m/>
    <s v="N"/>
    <n v="-16.2"/>
    <n v="0"/>
    <x v="2"/>
    <s v="VALIDATED"/>
    <n v="1"/>
    <s v="01.11.80.308.2013.0000"/>
    <n v="-16.2"/>
    <s v="11"/>
    <s v="2013"/>
    <n v="9652.620000000001"/>
    <n v="-16.2"/>
    <s v="CREDITOR"/>
    <n v="0"/>
    <n v="0"/>
    <n v="-16.2"/>
    <n v="0"/>
    <n v="0"/>
  </r>
  <r>
    <n v="60295814"/>
    <s v="N"/>
    <n v="21356350"/>
    <s v="3000014595140007RC"/>
    <s v="CIVIL"/>
    <d v="2023-06-26T00:00:00"/>
    <d v="2023-07-10T19:47:44"/>
    <m/>
    <d v="2023-07-10T00:00:00"/>
    <n v="698"/>
    <n v="1814"/>
    <s v="60295814"/>
    <s v="60295814"/>
    <m/>
    <m/>
    <m/>
    <m/>
    <m/>
    <m/>
    <s v="SOLRECOUP"/>
    <s v="SOLRECOUP"/>
    <s v="POARECOUP"/>
    <n v="21356350"/>
    <n v="-15.3"/>
    <m/>
    <s v="Y"/>
    <n v="2"/>
    <d v="2023-07-10T19:47:44"/>
    <s v="N"/>
    <m/>
    <m/>
    <s v="Non Expert Disbursement"/>
    <m/>
    <s v="N"/>
    <n v="0"/>
    <n v="0"/>
    <x v="2"/>
    <s v="VALIDATED"/>
    <n v="1"/>
    <s v="01.11.80.000.0000.0000"/>
    <n v="0"/>
    <s v="11"/>
    <s v="0000"/>
    <n v="9652.620000000001"/>
    <n v="0"/>
    <s v="CREDITOR"/>
    <n v="0"/>
    <n v="0"/>
    <n v="0"/>
    <n v="0"/>
    <n v="0"/>
  </r>
  <r>
    <n v="60295814"/>
    <s v="N"/>
    <n v="21356350"/>
    <s v="3000014595140007RC"/>
    <s v="CIVIL"/>
    <d v="2023-06-26T00:00:00"/>
    <d v="2023-07-10T19:47:44"/>
    <m/>
    <d v="2023-07-10T00:00:00"/>
    <n v="698"/>
    <n v="1814"/>
    <s v="60295814"/>
    <s v="60295814"/>
    <m/>
    <m/>
    <m/>
    <m/>
    <m/>
    <m/>
    <s v="SOLRECOUP"/>
    <s v="SOLRECOUP"/>
    <s v="POARECOUP"/>
    <n v="21356350"/>
    <n v="-15.3"/>
    <m/>
    <s v="Y"/>
    <n v="1"/>
    <d v="2023-07-10T19:47:44"/>
    <s v="N"/>
    <m/>
    <m/>
    <s v="Non Expert Disbursement"/>
    <m/>
    <s v="N"/>
    <n v="-15.3"/>
    <n v="0"/>
    <x v="2"/>
    <s v="VALIDATED"/>
    <n v="1"/>
    <s v="01.11.80.308.2013.0000"/>
    <n v="-15.3"/>
    <s v="11"/>
    <s v="2013"/>
    <n v="9652.620000000001"/>
    <n v="-15.3"/>
    <s v="CREDITOR"/>
    <n v="0"/>
    <n v="0"/>
    <n v="-15.3"/>
    <n v="0"/>
    <n v="0"/>
  </r>
  <r>
    <n v="60295814"/>
    <s v="N"/>
    <n v="21356351"/>
    <s v="3000014595140003RC"/>
    <s v="CIVIL"/>
    <d v="2023-06-26T00:00:00"/>
    <d v="2023-07-10T19:47:44"/>
    <m/>
    <d v="2023-07-10T00:00:00"/>
    <n v="698"/>
    <n v="1814"/>
    <s v="60295814"/>
    <s v="60295814"/>
    <m/>
    <m/>
    <m/>
    <m/>
    <m/>
    <m/>
    <s v="SOLRECOUP"/>
    <s v="SOLRECOUP"/>
    <s v="POARECOUP"/>
    <n v="21356351"/>
    <n v="-2.8"/>
    <m/>
    <s v="Y"/>
    <n v="2"/>
    <d v="2023-07-10T19:47:44"/>
    <s v="N"/>
    <m/>
    <m/>
    <s v="Non Expert Disbursement"/>
    <m/>
    <s v="N"/>
    <n v="0"/>
    <n v="0"/>
    <x v="2"/>
    <s v="VALIDATED"/>
    <n v="1"/>
    <s v="01.11.80.000.0000.0000"/>
    <n v="0"/>
    <s v="11"/>
    <s v="0000"/>
    <n v="9652.620000000001"/>
    <n v="0"/>
    <s v="CREDITOR"/>
    <n v="0"/>
    <n v="0"/>
    <n v="0"/>
    <n v="0"/>
    <n v="0"/>
  </r>
  <r>
    <n v="60295814"/>
    <s v="N"/>
    <n v="21356351"/>
    <s v="3000014595140003RC"/>
    <s v="CIVIL"/>
    <d v="2023-06-26T00:00:00"/>
    <d v="2023-07-10T19:47:44"/>
    <m/>
    <d v="2023-07-10T00:00:00"/>
    <n v="698"/>
    <n v="1814"/>
    <s v="60295814"/>
    <s v="60295814"/>
    <m/>
    <m/>
    <m/>
    <m/>
    <m/>
    <m/>
    <s v="SOLRECOUP"/>
    <s v="SOLRECOUP"/>
    <s v="POARECOUP"/>
    <n v="21356351"/>
    <n v="-2.8"/>
    <m/>
    <s v="Y"/>
    <n v="1"/>
    <d v="2023-07-10T19:47:44"/>
    <s v="N"/>
    <m/>
    <m/>
    <s v="Non Expert Disbursement"/>
    <m/>
    <s v="N"/>
    <n v="-2.8"/>
    <n v="0"/>
    <x v="2"/>
    <s v="VALIDATED"/>
    <n v="1"/>
    <s v="01.11.80.308.2013.0000"/>
    <n v="-2.8"/>
    <s v="11"/>
    <s v="2013"/>
    <n v="9652.620000000001"/>
    <n v="-2.8"/>
    <s v="CREDITOR"/>
    <n v="0"/>
    <n v="0"/>
    <n v="-2.8"/>
    <n v="0"/>
    <n v="0"/>
  </r>
  <r>
    <n v="60295814"/>
    <s v="N"/>
    <n v="21356352"/>
    <s v="3000014595140004RC"/>
    <s v="CIVIL"/>
    <d v="2023-06-26T00:00:00"/>
    <d v="2023-07-10T19:47:44"/>
    <m/>
    <d v="2023-07-10T00:00:00"/>
    <n v="698"/>
    <n v="1814"/>
    <s v="60295814"/>
    <s v="60295814"/>
    <m/>
    <m/>
    <m/>
    <m/>
    <m/>
    <m/>
    <s v="SOLRECOUP"/>
    <s v="SOLRECOUP"/>
    <s v="POARECOUP"/>
    <n v="21356352"/>
    <n v="-40.5"/>
    <m/>
    <s v="Y"/>
    <n v="2"/>
    <d v="2023-07-10T19:47:44"/>
    <s v="N"/>
    <m/>
    <m/>
    <s v="Non Expert Disbursement"/>
    <m/>
    <s v="N"/>
    <n v="0"/>
    <n v="0"/>
    <x v="2"/>
    <s v="VALIDATED"/>
    <n v="1"/>
    <s v="01.11.80.000.0000.0000"/>
    <n v="0"/>
    <s v="11"/>
    <s v="0000"/>
    <n v="9652.620000000001"/>
    <n v="0"/>
    <s v="CREDITOR"/>
    <n v="0"/>
    <n v="0"/>
    <n v="0"/>
    <n v="0"/>
    <n v="0"/>
  </r>
  <r>
    <n v="60295814"/>
    <s v="N"/>
    <n v="21356352"/>
    <s v="3000014595140004RC"/>
    <s v="CIVIL"/>
    <d v="2023-06-26T00:00:00"/>
    <d v="2023-07-10T19:47:44"/>
    <m/>
    <d v="2023-07-10T00:00:00"/>
    <n v="698"/>
    <n v="1814"/>
    <s v="60295814"/>
    <s v="60295814"/>
    <m/>
    <m/>
    <m/>
    <m/>
    <m/>
    <m/>
    <s v="SOLRECOUP"/>
    <s v="SOLRECOUP"/>
    <s v="POARECOUP"/>
    <n v="21356352"/>
    <n v="-40.5"/>
    <m/>
    <s v="Y"/>
    <n v="1"/>
    <d v="2023-07-10T19:47:44"/>
    <s v="N"/>
    <m/>
    <m/>
    <s v="Non Expert Disbursement"/>
    <m/>
    <s v="N"/>
    <n v="-40.5"/>
    <n v="0"/>
    <x v="2"/>
    <s v="VALIDATED"/>
    <n v="1"/>
    <s v="01.11.80.308.2013.0000"/>
    <n v="-40.5"/>
    <s v="11"/>
    <s v="2013"/>
    <n v="9652.620000000001"/>
    <n v="-40.5"/>
    <s v="CREDITOR"/>
    <n v="0"/>
    <n v="0"/>
    <n v="-40.5"/>
    <n v="0"/>
    <n v="0"/>
  </r>
  <r>
    <n v="60295814"/>
    <s v="N"/>
    <n v="21356353"/>
    <s v="3000014595140005RC"/>
    <s v="CIVIL"/>
    <d v="2023-06-26T00:00:00"/>
    <d v="2023-07-10T19:47:44"/>
    <m/>
    <d v="2023-07-10T00:00:00"/>
    <n v="698"/>
    <n v="1814"/>
    <s v="60295814"/>
    <s v="60295814"/>
    <m/>
    <m/>
    <m/>
    <m/>
    <m/>
    <m/>
    <s v="SOLRECOUP"/>
    <s v="SOLRECOUP"/>
    <s v="POARECOUP"/>
    <n v="21356353"/>
    <n v="-702"/>
    <m/>
    <s v="Y"/>
    <n v="2"/>
    <d v="2023-07-10T19:47:44"/>
    <s v="N"/>
    <m/>
    <m/>
    <s v="Expert Disbursement"/>
    <m/>
    <s v="N"/>
    <n v="0"/>
    <n v="-117"/>
    <x v="2"/>
    <s v="VALIDATED"/>
    <n v="1"/>
    <s v="01.11.80.308.2013.0000"/>
    <n v="-117"/>
    <s v="11"/>
    <s v="2013"/>
    <n v="9652.620000000001"/>
    <n v="-117"/>
    <s v="CREDITOR"/>
    <n v="0"/>
    <n v="0"/>
    <n v="-117"/>
    <n v="0"/>
    <n v="0"/>
  </r>
  <r>
    <n v="60295814"/>
    <s v="N"/>
    <n v="21356353"/>
    <s v="3000014595140005RC"/>
    <s v="CIVIL"/>
    <d v="2023-06-26T00:00:00"/>
    <d v="2023-07-10T19:47:44"/>
    <m/>
    <d v="2023-07-10T00:00:00"/>
    <n v="698"/>
    <n v="1814"/>
    <s v="60295814"/>
    <s v="60295814"/>
    <m/>
    <m/>
    <m/>
    <m/>
    <m/>
    <m/>
    <s v="SOLRECOUP"/>
    <s v="SOLRECOUP"/>
    <s v="POARECOUP"/>
    <n v="21356353"/>
    <n v="-702"/>
    <m/>
    <s v="Y"/>
    <n v="1"/>
    <d v="2023-07-10T19:47:44"/>
    <s v="N"/>
    <m/>
    <m/>
    <s v="Expert Disbursement"/>
    <m/>
    <s v="N"/>
    <n v="-585"/>
    <n v="0"/>
    <x v="2"/>
    <s v="VALIDATED"/>
    <n v="1"/>
    <s v="01.11.80.308.2013.0000"/>
    <n v="-585"/>
    <s v="11"/>
    <s v="2013"/>
    <n v="9652.620000000001"/>
    <n v="-585"/>
    <s v="CREDITOR"/>
    <n v="0"/>
    <n v="0"/>
    <n v="-585"/>
    <n v="0"/>
    <n v="0"/>
  </r>
  <r>
    <n v="60295814"/>
    <s v="N"/>
    <n v="21356354"/>
    <s v="3000014595140006RC"/>
    <s v="CIVIL"/>
    <d v="2023-06-26T00:00:00"/>
    <d v="2023-07-10T19:47:44"/>
    <m/>
    <d v="2023-07-10T00:00:00"/>
    <n v="698"/>
    <n v="1814"/>
    <s v="60295814"/>
    <s v="60295814"/>
    <m/>
    <m/>
    <m/>
    <m/>
    <m/>
    <m/>
    <s v="SOLRECOUP"/>
    <s v="SOLRECOUP"/>
    <s v="POARECOUP"/>
    <n v="21356354"/>
    <n v="-16.2"/>
    <m/>
    <s v="Y"/>
    <n v="2"/>
    <d v="2023-07-10T19:47:44"/>
    <s v="N"/>
    <m/>
    <m/>
    <s v="Expert Disbursement"/>
    <m/>
    <s v="N"/>
    <n v="0"/>
    <n v="0"/>
    <x v="2"/>
    <s v="VALIDATED"/>
    <n v="1"/>
    <s v="01.11.80.000.0000.0000"/>
    <n v="0"/>
    <s v="11"/>
    <s v="0000"/>
    <n v="9652.620000000001"/>
    <n v="0"/>
    <s v="CREDITOR"/>
    <n v="0"/>
    <n v="0"/>
    <n v="0"/>
    <n v="0"/>
    <n v="0"/>
  </r>
  <r>
    <n v="60295814"/>
    <s v="N"/>
    <n v="21356354"/>
    <s v="3000014595140006RC"/>
    <s v="CIVIL"/>
    <d v="2023-06-26T00:00:00"/>
    <d v="2023-07-10T19:47:44"/>
    <m/>
    <d v="2023-07-10T00:00:00"/>
    <n v="698"/>
    <n v="1814"/>
    <s v="60295814"/>
    <s v="60295814"/>
    <m/>
    <m/>
    <m/>
    <m/>
    <m/>
    <m/>
    <s v="SOLRECOUP"/>
    <s v="SOLRECOUP"/>
    <s v="POARECOUP"/>
    <n v="21356354"/>
    <n v="-16.2"/>
    <m/>
    <s v="Y"/>
    <n v="1"/>
    <d v="2023-07-10T19:47:44"/>
    <s v="N"/>
    <m/>
    <m/>
    <s v="Expert Disbursement"/>
    <m/>
    <s v="N"/>
    <n v="-16.2"/>
    <n v="0"/>
    <x v="2"/>
    <s v="VALIDATED"/>
    <n v="1"/>
    <s v="01.11.80.308.2013.0000"/>
    <n v="-16.2"/>
    <s v="11"/>
    <s v="2013"/>
    <n v="9652.620000000001"/>
    <n v="-16.2"/>
    <s v="CREDITOR"/>
    <n v="0"/>
    <n v="0"/>
    <n v="-16.2"/>
    <n v="0"/>
    <n v="0"/>
  </r>
  <r>
    <n v="60295814"/>
    <s v="N"/>
    <n v="21356355"/>
    <s v="3000014595140010RC"/>
    <s v="CIVIL"/>
    <d v="2023-06-26T00:00:00"/>
    <d v="2023-07-10T19:47:44"/>
    <m/>
    <d v="2023-07-10T00:00:00"/>
    <n v="698"/>
    <n v="1814"/>
    <s v="60295814"/>
    <s v="60295814"/>
    <m/>
    <m/>
    <m/>
    <m/>
    <m/>
    <m/>
    <s v="SOLRECOUP"/>
    <s v="SOLRECOUP"/>
    <s v="POARECOUP"/>
    <n v="21356355"/>
    <n v="-220"/>
    <m/>
    <s v="Y"/>
    <n v="1"/>
    <d v="2023-07-10T19:47:44"/>
    <s v="N"/>
    <m/>
    <m/>
    <s v="Non Expert Disbursement"/>
    <m/>
    <s v="N"/>
    <n v="-220"/>
    <n v="0"/>
    <x v="2"/>
    <s v="VALIDATED"/>
    <n v="1"/>
    <s v="01.11.80.308.2013.0000"/>
    <n v="-220"/>
    <s v="11"/>
    <s v="2013"/>
    <n v="9652.620000000001"/>
    <n v="-220"/>
    <s v="CREDITOR"/>
    <n v="0"/>
    <n v="0"/>
    <n v="-220"/>
    <n v="0"/>
    <n v="0"/>
  </r>
  <r>
    <n v="60295814"/>
    <s v="N"/>
    <n v="21356355"/>
    <s v="3000014595140010RC"/>
    <s v="CIVIL"/>
    <d v="2023-06-26T00:00:00"/>
    <d v="2023-07-10T19:47:44"/>
    <m/>
    <d v="2023-07-10T00:00:00"/>
    <n v="698"/>
    <n v="1814"/>
    <s v="60295814"/>
    <s v="60295814"/>
    <m/>
    <m/>
    <m/>
    <m/>
    <m/>
    <m/>
    <s v="SOLRECOUP"/>
    <s v="SOLRECOUP"/>
    <s v="POARECOUP"/>
    <n v="21356355"/>
    <n v="-220"/>
    <m/>
    <s v="Y"/>
    <n v="2"/>
    <d v="2023-07-10T19:47:44"/>
    <s v="N"/>
    <m/>
    <m/>
    <s v="Non Expert Disbursement"/>
    <m/>
    <s v="N"/>
    <n v="0"/>
    <n v="0"/>
    <x v="2"/>
    <s v="VALIDATED"/>
    <n v="1"/>
    <s v="01.11.80.000.0000.0000"/>
    <n v="0"/>
    <s v="11"/>
    <s v="0000"/>
    <n v="9652.620000000001"/>
    <n v="0"/>
    <s v="CREDITOR"/>
    <n v="0"/>
    <n v="0"/>
    <n v="0"/>
    <n v="0"/>
    <n v="0"/>
  </r>
  <r>
    <n v="60295814"/>
    <s v="N"/>
    <n v="21356356"/>
    <s v="3000014595140012RC"/>
    <s v="CIVIL"/>
    <d v="2023-06-26T00:00:00"/>
    <d v="2023-07-10T19:47:44"/>
    <m/>
    <d v="2023-07-10T00:00:00"/>
    <n v="698"/>
    <n v="1814"/>
    <s v="60295814"/>
    <s v="60295814"/>
    <m/>
    <m/>
    <m/>
    <m/>
    <m/>
    <m/>
    <s v="SOLRECOUP"/>
    <s v="SOLRECOUP"/>
    <s v="POARECOUP"/>
    <n v="21356356"/>
    <n v="-220"/>
    <m/>
    <s v="Y"/>
    <n v="1"/>
    <d v="2023-07-10T19:47:44"/>
    <s v="N"/>
    <m/>
    <m/>
    <s v="Non Expert Disbursement"/>
    <m/>
    <s v="N"/>
    <n v="-220"/>
    <n v="0"/>
    <x v="2"/>
    <s v="VALIDATED"/>
    <n v="1"/>
    <s v="01.11.80.308.2013.0000"/>
    <n v="-220"/>
    <s v="11"/>
    <s v="2013"/>
    <n v="9652.620000000001"/>
    <n v="-220"/>
    <s v="CREDITOR"/>
    <n v="0"/>
    <n v="0"/>
    <n v="-220"/>
    <n v="0"/>
    <n v="0"/>
  </r>
  <r>
    <n v="60295814"/>
    <s v="N"/>
    <n v="21356356"/>
    <s v="3000014595140012RC"/>
    <s v="CIVIL"/>
    <d v="2023-06-26T00:00:00"/>
    <d v="2023-07-10T19:47:44"/>
    <m/>
    <d v="2023-07-10T00:00:00"/>
    <n v="698"/>
    <n v="1814"/>
    <s v="60295814"/>
    <s v="60295814"/>
    <m/>
    <m/>
    <m/>
    <m/>
    <m/>
    <m/>
    <s v="SOLRECOUP"/>
    <s v="SOLRECOUP"/>
    <s v="POARECOUP"/>
    <n v="21356356"/>
    <n v="-220"/>
    <m/>
    <s v="Y"/>
    <n v="2"/>
    <d v="2023-07-10T19:47:44"/>
    <s v="N"/>
    <m/>
    <m/>
    <s v="Non Expert Disbursement"/>
    <m/>
    <s v="N"/>
    <n v="0"/>
    <n v="0"/>
    <x v="2"/>
    <s v="VALIDATED"/>
    <n v="1"/>
    <s v="01.11.80.000.0000.0000"/>
    <n v="0"/>
    <s v="11"/>
    <s v="0000"/>
    <n v="9652.620000000001"/>
    <n v="0"/>
    <s v="CREDITOR"/>
    <n v="0"/>
    <n v="0"/>
    <n v="0"/>
    <n v="0"/>
    <n v="0"/>
  </r>
  <r>
    <n v="60295814"/>
    <s v="N"/>
    <n v="21356357"/>
    <s v="3000014595140009RC"/>
    <s v="CIVIL"/>
    <d v="2023-06-26T00:00:00"/>
    <d v="2023-07-10T19:47:44"/>
    <m/>
    <d v="2023-07-10T00:00:00"/>
    <n v="698"/>
    <n v="1814"/>
    <s v="60295814"/>
    <s v="60295814"/>
    <m/>
    <m/>
    <m/>
    <m/>
    <m/>
    <m/>
    <s v="SOLRECOUP"/>
    <s v="SOLRECOUP"/>
    <s v="POARECOUP"/>
    <n v="21356357"/>
    <n v="-40.5"/>
    <m/>
    <s v="Y"/>
    <n v="1"/>
    <d v="2023-07-10T19:47:44"/>
    <s v="N"/>
    <m/>
    <m/>
    <s v="Non Expert Disbursement"/>
    <m/>
    <s v="N"/>
    <n v="-40.5"/>
    <n v="0"/>
    <x v="2"/>
    <s v="VALIDATED"/>
    <n v="1"/>
    <s v="01.11.80.308.2013.0000"/>
    <n v="-40.5"/>
    <s v="11"/>
    <s v="2013"/>
    <n v="9652.620000000001"/>
    <n v="-40.5"/>
    <s v="CREDITOR"/>
    <n v="0"/>
    <n v="0"/>
    <n v="-40.5"/>
    <n v="0"/>
    <n v="0"/>
  </r>
  <r>
    <n v="60295814"/>
    <s v="N"/>
    <n v="21356357"/>
    <s v="3000014595140009RC"/>
    <s v="CIVIL"/>
    <d v="2023-06-26T00:00:00"/>
    <d v="2023-07-10T19:47:44"/>
    <m/>
    <d v="2023-07-10T00:00:00"/>
    <n v="698"/>
    <n v="1814"/>
    <s v="60295814"/>
    <s v="60295814"/>
    <m/>
    <m/>
    <m/>
    <m/>
    <m/>
    <m/>
    <s v="SOLRECOUP"/>
    <s v="SOLRECOUP"/>
    <s v="POARECOUP"/>
    <n v="21356357"/>
    <n v="-40.5"/>
    <m/>
    <s v="Y"/>
    <n v="2"/>
    <d v="2023-07-10T19:47:44"/>
    <s v="N"/>
    <m/>
    <m/>
    <s v="Non Expert Disbursement"/>
    <m/>
    <s v="N"/>
    <n v="0"/>
    <n v="0"/>
    <x v="2"/>
    <s v="VALIDATED"/>
    <n v="1"/>
    <s v="01.11.80.000.0000.0000"/>
    <n v="0"/>
    <s v="11"/>
    <s v="0000"/>
    <n v="9652.620000000001"/>
    <n v="0"/>
    <s v="CREDITOR"/>
    <n v="0"/>
    <n v="0"/>
    <n v="0"/>
    <n v="0"/>
    <n v="0"/>
  </r>
  <r>
    <n v="60210314"/>
    <s v="N"/>
    <n v="21361345"/>
    <s v="3000014524180003RC"/>
    <s v="CIVIL"/>
    <d v="2023-06-30T00:00:00"/>
    <d v="2023-07-11T19:38:00"/>
    <m/>
    <d v="2023-07-11T00:00:00"/>
    <n v="698"/>
    <n v="1814"/>
    <s v="60210314"/>
    <s v="60210314"/>
    <m/>
    <m/>
    <m/>
    <m/>
    <m/>
    <m/>
    <s v="SOLRECOUP"/>
    <s v="SOLRECOUP"/>
    <s v="POARECOUP"/>
    <n v="21361345"/>
    <n v="-389.4"/>
    <m/>
    <s v="Y"/>
    <n v="2"/>
    <d v="2023-07-11T19:38:00"/>
    <s v="N"/>
    <m/>
    <m/>
    <s v="Expert Disbursement"/>
    <m/>
    <s v="N"/>
    <n v="0"/>
    <n v="-64.90000000000001"/>
    <x v="7"/>
    <s v="VALIDATED"/>
    <n v="1"/>
    <s v="01.11.80.308.2013.0000"/>
    <n v="-64.90000000000001"/>
    <s v="11"/>
    <s v="2013"/>
    <n v="9652.620000000001"/>
    <n v="-64.90000000000001"/>
    <s v="CREDITOR"/>
    <n v="0"/>
    <n v="0"/>
    <n v="-64.90000000000001"/>
    <n v="0"/>
    <n v="0"/>
  </r>
  <r>
    <n v="60210314"/>
    <s v="N"/>
    <n v="21361347"/>
    <s v="3000014524180009RC"/>
    <s v="CIVIL"/>
    <d v="2023-06-30T00:00:00"/>
    <d v="2023-07-11T19:38:00"/>
    <m/>
    <d v="2023-07-11T00:00:00"/>
    <n v="698"/>
    <n v="1814"/>
    <s v="60210314"/>
    <s v="60210314"/>
    <m/>
    <m/>
    <m/>
    <m/>
    <m/>
    <m/>
    <s v="SOLRECOUP"/>
    <s v="SOLRECOUP"/>
    <s v="POARECOUP"/>
    <n v="21361347"/>
    <n v="-5650.5"/>
    <m/>
    <s v="Y"/>
    <n v="2"/>
    <d v="2023-07-11T19:38:00"/>
    <s v="N"/>
    <m/>
    <m/>
    <s v="Profit Cost"/>
    <m/>
    <s v="N"/>
    <n v="0"/>
    <n v="-941.75"/>
    <x v="7"/>
    <s v="VALIDATED"/>
    <n v="1"/>
    <s v="01.11.80.308.2013.0000"/>
    <n v="-941.75"/>
    <s v="11"/>
    <s v="2013"/>
    <n v="9652.620000000001"/>
    <n v="-941.75"/>
    <s v="CREDITOR"/>
    <n v="0"/>
    <n v="0"/>
    <n v="-941.75"/>
    <n v="-235.4375"/>
    <n v="0"/>
  </r>
  <r>
    <n v="60827546"/>
    <s v="N"/>
    <n v="21331000"/>
    <s v="3000015059270005"/>
    <s v="CIVIL"/>
    <d v="2023-06-28T00:00:00"/>
    <d v="2023-07-05T19:01:47"/>
    <m/>
    <d v="2023-07-05T00:00:00"/>
    <n v="698"/>
    <n v="1814"/>
    <s v="60827546"/>
    <s v="60827546"/>
    <m/>
    <m/>
    <n v="22775866"/>
    <m/>
    <m/>
    <m/>
    <s v="SOLFIN"/>
    <s v="SOLFIN"/>
    <s v="CCMS"/>
    <n v="21331000"/>
    <n v="4782"/>
    <m/>
    <s v="N"/>
    <n v="3"/>
    <d v="2023-07-05T19:02:01"/>
    <s v="Y"/>
    <s v="Advocates Meeting"/>
    <s v="Public Law Children"/>
    <s v="Advocacy"/>
    <s v="WW"/>
    <s v="Y"/>
    <n v="140.99"/>
    <n v="28.2"/>
    <x v="6"/>
    <s v="VALIDATED"/>
    <n v="1"/>
    <s v="01.11.80.308.6100.0000"/>
    <n v="140.99"/>
    <s v="11"/>
    <s v="6100"/>
    <n v="9652.620000000001"/>
    <n v="140.99"/>
    <s v="CREDITOR"/>
    <n v="0"/>
    <n v="0"/>
    <n v="0"/>
    <n v="0"/>
    <n v="140.99"/>
  </r>
  <r>
    <n v="60295814"/>
    <s v="N"/>
    <n v="21349574"/>
    <s v="3000014595140016"/>
    <s v="CIVIL"/>
    <d v="2023-06-26T00:00:00"/>
    <d v="2023-07-10T19:01:40"/>
    <m/>
    <d v="2023-07-10T00:00:00"/>
    <n v="698"/>
    <n v="1814"/>
    <s v="60295814"/>
    <s v="60295814"/>
    <m/>
    <m/>
    <n v="22760776"/>
    <m/>
    <m/>
    <m/>
    <s v="SOLFIN"/>
    <s v="SOLFIN"/>
    <s v="CCMS"/>
    <n v="21349574"/>
    <n v="6157.71"/>
    <m/>
    <s v="N"/>
    <n v="11"/>
    <d v="2023-07-10T19:01:53"/>
    <s v="Y"/>
    <s v="Solicitor Travel Mileage"/>
    <s v="Public Law Children"/>
    <s v="Non Expert Disbursement"/>
    <s v="WW"/>
    <s v="Y"/>
    <n v="16.2"/>
    <n v="3.24"/>
    <x v="2"/>
    <s v="VALIDATED"/>
    <n v="1"/>
    <s v="01.11.80.308.6300.0000"/>
    <n v="16.2"/>
    <s v="11"/>
    <s v="6300"/>
    <n v="9652.620000000001"/>
    <n v="16.2"/>
    <s v="CREDITOR"/>
    <n v="0"/>
    <n v="0"/>
    <n v="0"/>
    <n v="0"/>
    <n v="16.2"/>
  </r>
  <r>
    <n v="61067017"/>
    <s v="N"/>
    <n v="21328235"/>
    <s v="3000015264100009"/>
    <s v="CIVIL"/>
    <d v="2023-06-26T00:00:00"/>
    <d v="2023-07-04T19:00:44"/>
    <m/>
    <d v="2023-07-04T00:00:00"/>
    <n v="698"/>
    <n v="1814"/>
    <s v="61067017"/>
    <s v="61067017"/>
    <m/>
    <m/>
    <n v="22759404"/>
    <m/>
    <m/>
    <m/>
    <s v="SOLFIN"/>
    <s v="SOLFIN"/>
    <s v="CCMS"/>
    <n v="21328235"/>
    <n v="6389.91"/>
    <m/>
    <s v="N"/>
    <n v="17"/>
    <d v="2023-07-04T19:01:09"/>
    <s v="Y"/>
    <s v="Advocates Meeting"/>
    <s v="Public Law Children"/>
    <s v="Advocacy"/>
    <s v="MCS"/>
    <s v="Y"/>
    <n v="140.99"/>
    <n v="28.2"/>
    <x v="1"/>
    <s v="VALIDATED"/>
    <n v="1"/>
    <s v="01.11.80.308.6100.0000"/>
    <n v="140.99"/>
    <s v="11"/>
    <s v="6100"/>
    <n v="9652.620000000001"/>
    <n v="140.99"/>
    <s v="CREDITOR"/>
    <n v="0"/>
    <n v="0"/>
    <n v="0"/>
    <n v="0"/>
    <n v="140.99"/>
  </r>
  <r>
    <n v="60295814"/>
    <s v="N"/>
    <n v="21349574"/>
    <s v="3000014595140016"/>
    <s v="CIVIL"/>
    <d v="2023-06-26T00:00:00"/>
    <d v="2023-07-10T19:01:40"/>
    <m/>
    <d v="2023-07-10T00:00:00"/>
    <n v="698"/>
    <n v="1814"/>
    <s v="60295814"/>
    <s v="60295814"/>
    <m/>
    <m/>
    <n v="22760776"/>
    <m/>
    <m/>
    <m/>
    <s v="SOLFIN"/>
    <s v="SOLFIN"/>
    <s v="CCMS"/>
    <n v="21349574"/>
    <n v="6157.71"/>
    <m/>
    <s v="N"/>
    <n v="7"/>
    <d v="2023-07-10T19:01:53"/>
    <s v="Y"/>
    <s v="Solicitor Travel Mileage"/>
    <s v="Public Law Children"/>
    <s v="Non Expert Disbursement"/>
    <s v="WW"/>
    <s v="Y"/>
    <n v="40.5"/>
    <n v="8.1"/>
    <x v="2"/>
    <s v="VALIDATED"/>
    <n v="1"/>
    <s v="01.11.80.308.6300.0000"/>
    <n v="40.5"/>
    <s v="11"/>
    <s v="6300"/>
    <n v="9652.620000000001"/>
    <n v="40.5"/>
    <s v="CREDITOR"/>
    <n v="0"/>
    <n v="0"/>
    <n v="0"/>
    <n v="0"/>
    <n v="40.5"/>
  </r>
  <r>
    <n v="60295814"/>
    <s v="N"/>
    <n v="21349574"/>
    <s v="3000014595140016"/>
    <s v="CIVIL"/>
    <d v="2023-06-26T00:00:00"/>
    <d v="2023-07-10T19:01:40"/>
    <m/>
    <d v="2023-07-10T00:00:00"/>
    <n v="698"/>
    <n v="1814"/>
    <s v="60295814"/>
    <s v="60295814"/>
    <m/>
    <m/>
    <n v="22760776"/>
    <m/>
    <m/>
    <m/>
    <s v="SOLFIN"/>
    <s v="SOLFIN"/>
    <s v="CCMS"/>
    <n v="21349574"/>
    <n v="6157.71"/>
    <m/>
    <s v="N"/>
    <n v="18"/>
    <d v="2023-07-10T19:01:53"/>
    <s v="Y"/>
    <s v="Advocates Meeting"/>
    <s v="Public Law Children"/>
    <s v="Advocacy"/>
    <s v="WW"/>
    <s v="Y"/>
    <n v="140.99"/>
    <n v="28.2"/>
    <x v="2"/>
    <s v="VALIDATED"/>
    <n v="1"/>
    <s v="01.11.80.308.6100.0000"/>
    <n v="140.99"/>
    <s v="11"/>
    <s v="6100"/>
    <n v="9652.620000000001"/>
    <n v="140.99"/>
    <s v="CREDITOR"/>
    <n v="0"/>
    <n v="0"/>
    <n v="0"/>
    <n v="0"/>
    <n v="140.99"/>
  </r>
  <r>
    <n v="61773150"/>
    <s v="N"/>
    <n v="21343947"/>
    <s v="3000015848680001"/>
    <s v="CIVIL"/>
    <d v="2023-06-29T00:00:00"/>
    <d v="2023-07-07T19:03:00"/>
    <m/>
    <d v="2023-07-07T00:00:00"/>
    <n v="698"/>
    <n v="1814"/>
    <s v="61773150"/>
    <s v="61773150"/>
    <m/>
    <m/>
    <n v="22787518"/>
    <m/>
    <m/>
    <m/>
    <s v="SOLFIN"/>
    <s v="SOLFIN"/>
    <s v="CCMS"/>
    <n v="21343947"/>
    <n v="923.08"/>
    <m/>
    <s v="N"/>
    <n v="12"/>
    <d v="2023-07-07T19:03:18"/>
    <s v="Y"/>
    <s v="Routine Letter In"/>
    <s v="Care Remuneration Hourly Rates"/>
    <s v="Profit Cost"/>
    <s v="ED"/>
    <s v="Y"/>
    <n v="3.7"/>
    <n v="0.74"/>
    <x v="9"/>
    <s v="VALIDATED"/>
    <n v="1"/>
    <s v="01.11.80.305.6100.0000"/>
    <n v="3.7"/>
    <s v="11"/>
    <s v="6100"/>
    <n v="9652.620000000001"/>
    <n v="3.7"/>
    <s v="CREDITOR"/>
    <n v="0"/>
    <n v="0"/>
    <n v="0"/>
    <n v="0"/>
    <n v="3.7"/>
  </r>
  <r>
    <n v="60210314"/>
    <s v="N"/>
    <n v="21360540"/>
    <s v="3000014524180010"/>
    <s v="CIVIL"/>
    <d v="2023-06-30T00:00:00"/>
    <d v="2023-07-11T11:50:54"/>
    <m/>
    <d v="2023-07-11T00:00:00"/>
    <n v="698"/>
    <n v="1814"/>
    <s v="60210314"/>
    <s v="60210314"/>
    <m/>
    <m/>
    <n v="22795842"/>
    <m/>
    <m/>
    <m/>
    <s v="SOLFIN"/>
    <s v="SOLFIN"/>
    <s v="CCMS"/>
    <n v="21360540"/>
    <n v="13402.35"/>
    <m/>
    <s v="N"/>
    <n v="3"/>
    <d v="2023-07-11T11:51:09"/>
    <s v="Y"/>
    <s v="Expert - Other"/>
    <s v="Public Law Children"/>
    <s v="Expert Disbursement"/>
    <s v="EF"/>
    <s v="Y"/>
    <n v="324.5"/>
    <n v="64.90000000000001"/>
    <x v="7"/>
    <s v="VALIDATED"/>
    <n v="1"/>
    <s v="01.11.80.308.6300.0000"/>
    <n v="324.5"/>
    <s v="11"/>
    <s v="6300"/>
    <n v="9652.620000000001"/>
    <n v="324.5"/>
    <s v="CREDITOR"/>
    <n v="0"/>
    <n v="0"/>
    <n v="0"/>
    <n v="0"/>
    <n v="324.5"/>
  </r>
  <r>
    <n v="61507134"/>
    <s v="N"/>
    <n v="21360793"/>
    <s v="3000015618220001"/>
    <s v="CIVIL"/>
    <d v="2023-06-30T00:00:00"/>
    <d v="2023-07-11T19:00:25"/>
    <m/>
    <d v="2023-07-11T00:00:00"/>
    <n v="698"/>
    <n v="1814"/>
    <s v="61507134"/>
    <s v="61507134"/>
    <m/>
    <m/>
    <n v="22795346"/>
    <m/>
    <m/>
    <m/>
    <s v="SOLFIN"/>
    <s v="SOLFIN"/>
    <s v="CCMS"/>
    <n v="21360793"/>
    <n v="0"/>
    <m/>
    <s v="N"/>
    <n v="1"/>
    <d v="2023-07-11T19:00:34"/>
    <s v="N"/>
    <s v="NIL BILL"/>
    <s v="Public Law Children"/>
    <s v="Profit Cost"/>
    <s v="MS"/>
    <s v="N"/>
    <n v="0"/>
    <n v="0"/>
    <x v="7"/>
    <s v="VALIDATED"/>
    <n v="1"/>
    <s v="01.11.80.308.6100.0000"/>
    <n v="0"/>
    <s v="11"/>
    <s v="6100"/>
    <n v="9652.620000000001"/>
    <n v="0"/>
    <s v="CREDITOR"/>
    <n v="0"/>
    <n v="0"/>
    <n v="0"/>
    <n v="0"/>
    <n v="0"/>
  </r>
  <r>
    <n v="61773150"/>
    <s v="N"/>
    <n v="21343947"/>
    <s v="3000015848680001"/>
    <s v="CIVIL"/>
    <d v="2023-06-29T00:00:00"/>
    <d v="2023-07-07T19:03:00"/>
    <m/>
    <d v="2023-07-07T00:00:00"/>
    <n v="698"/>
    <n v="1814"/>
    <s v="61773150"/>
    <s v="61773150"/>
    <m/>
    <m/>
    <n v="22787518"/>
    <m/>
    <m/>
    <m/>
    <s v="SOLFIN"/>
    <s v="SOLFIN"/>
    <s v="CCMS"/>
    <n v="21343947"/>
    <n v="923.08"/>
    <m/>
    <s v="N"/>
    <n v="11"/>
    <d v="2023-07-07T19:03:18"/>
    <s v="Y"/>
    <s v="Routine Letter Out"/>
    <s v="Care Remuneration Hourly Rates"/>
    <s v="Profit Cost"/>
    <s v="WW"/>
    <s v="Y"/>
    <n v="97.59999999999999"/>
    <n v="19.52"/>
    <x v="9"/>
    <s v="VALIDATED"/>
    <n v="1"/>
    <s v="01.11.80.305.6100.0000"/>
    <n v="97.59999999999999"/>
    <s v="11"/>
    <s v="6100"/>
    <n v="9652.620000000001"/>
    <n v="97.59999999999999"/>
    <s v="CREDITOR"/>
    <n v="0"/>
    <n v="0"/>
    <n v="0"/>
    <n v="0"/>
    <n v="97.59999999999999"/>
  </r>
  <r>
    <n v="61067017"/>
    <s v="N"/>
    <n v="21328235"/>
    <s v="3000015264100009"/>
    <s v="CIVIL"/>
    <d v="2023-06-26T00:00:00"/>
    <d v="2023-07-04T19:00:44"/>
    <m/>
    <d v="2023-07-04T00:00:00"/>
    <n v="698"/>
    <n v="1814"/>
    <s v="61067017"/>
    <s v="61067017"/>
    <m/>
    <m/>
    <n v="22759404"/>
    <m/>
    <m/>
    <m/>
    <s v="SOLFIN"/>
    <s v="SOLFIN"/>
    <s v="CCMS"/>
    <n v="21328235"/>
    <n v="6389.91"/>
    <m/>
    <s v="N"/>
    <n v="2"/>
    <d v="2023-07-04T19:01:09"/>
    <s v="Y"/>
    <s v="Exceptional Travel"/>
    <s v="Public Law Children"/>
    <s v="Advocacy"/>
    <s v="MCS"/>
    <s v="Y"/>
    <n v="32.04"/>
    <n v="6.41"/>
    <x v="1"/>
    <s v="VALIDATED"/>
    <n v="1"/>
    <s v="01.11.80.308.6100.0000"/>
    <n v="32.04"/>
    <s v="11"/>
    <s v="6100"/>
    <n v="9652.620000000001"/>
    <n v="32.04"/>
    <s v="CREDITOR"/>
    <n v="0"/>
    <n v="0"/>
    <n v="0"/>
    <n v="0"/>
    <n v="32.04"/>
  </r>
  <r>
    <n v="60295814"/>
    <s v="N"/>
    <n v="21349574"/>
    <s v="3000014595140016"/>
    <s v="CIVIL"/>
    <d v="2023-06-26T00:00:00"/>
    <d v="2023-07-10T19:01:40"/>
    <m/>
    <d v="2023-07-10T00:00:00"/>
    <n v="698"/>
    <n v="1814"/>
    <s v="60295814"/>
    <s v="60295814"/>
    <m/>
    <m/>
    <n v="22760776"/>
    <m/>
    <m/>
    <m/>
    <s v="SOLFIN"/>
    <s v="SOLFIN"/>
    <s v="CCMS"/>
    <n v="21349574"/>
    <n v="6157.71"/>
    <m/>
    <s v="N"/>
    <n v="20"/>
    <d v="2023-07-10T19:01:53"/>
    <s v="Y"/>
    <s v="Solicitors Fixed Fee"/>
    <s v="Public Law Children"/>
    <s v="Profit Cost"/>
    <s v="WW"/>
    <s v="Y"/>
    <n v="2013"/>
    <n v="402.6"/>
    <x v="2"/>
    <s v="VALIDATED"/>
    <n v="1"/>
    <s v="01.11.80.308.6100.0000"/>
    <n v="2013"/>
    <s v="11"/>
    <s v="6100"/>
    <n v="9652.620000000001"/>
    <n v="2013"/>
    <s v="CREDITOR"/>
    <n v="0"/>
    <n v="0"/>
    <n v="0"/>
    <n v="0"/>
    <n v="2013"/>
  </r>
  <r>
    <n v="61773150"/>
    <s v="N"/>
    <n v="21343947"/>
    <s v="3000015848680001"/>
    <s v="CIVIL"/>
    <d v="2023-06-29T00:00:00"/>
    <d v="2023-07-07T19:03:00"/>
    <m/>
    <d v="2023-07-07T00:00:00"/>
    <n v="698"/>
    <n v="1814"/>
    <s v="61773150"/>
    <s v="61773150"/>
    <m/>
    <m/>
    <n v="22787518"/>
    <m/>
    <m/>
    <m/>
    <s v="SOLFIN"/>
    <s v="SOLFIN"/>
    <s v="CCMS"/>
    <n v="21343947"/>
    <n v="923.08"/>
    <m/>
    <s v="N"/>
    <n v="16"/>
    <d v="2023-07-07T19:03:18"/>
    <s v="Y"/>
    <s v="Preparation - drafting bill/claim f"/>
    <s v="Care Remuneration Hourly Rates"/>
    <s v="Profit Cost"/>
    <s v="NH"/>
    <s v="Y"/>
    <n v="17.52"/>
    <n v="3.5"/>
    <x v="9"/>
    <s v="VALIDATED"/>
    <n v="1"/>
    <s v="01.11.80.305.6100.0000"/>
    <n v="17.52"/>
    <s v="11"/>
    <s v="6100"/>
    <n v="9652.620000000001"/>
    <n v="17.52"/>
    <s v="CREDITOR"/>
    <n v="0"/>
    <n v="0"/>
    <n v="0"/>
    <n v="0"/>
    <n v="17.52"/>
  </r>
  <r>
    <n v="61067017"/>
    <s v="N"/>
    <n v="21328235"/>
    <s v="3000015264100009"/>
    <s v="CIVIL"/>
    <d v="2023-06-26T00:00:00"/>
    <d v="2023-07-04T19:00:44"/>
    <m/>
    <d v="2023-07-04T00:00:00"/>
    <n v="698"/>
    <n v="1814"/>
    <s v="61067017"/>
    <s v="61067017"/>
    <m/>
    <m/>
    <n v="22759404"/>
    <m/>
    <m/>
    <m/>
    <s v="SOLFIN"/>
    <s v="SOLFIN"/>
    <s v="CCMS"/>
    <n v="21328235"/>
    <n v="6389.91"/>
    <m/>
    <s v="N"/>
    <n v="5"/>
    <d v="2023-07-04T19:01:09"/>
    <s v="Y"/>
    <s v="Solicitor Travel Mileage"/>
    <s v="Public Law Children"/>
    <s v="Non Expert Disbursement"/>
    <s v="MCS"/>
    <s v="Y"/>
    <n v="18.45"/>
    <n v="3.69"/>
    <x v="1"/>
    <s v="VALIDATED"/>
    <n v="1"/>
    <s v="01.11.80.308.6300.0000"/>
    <n v="18.45"/>
    <s v="11"/>
    <s v="6300"/>
    <n v="9652.620000000001"/>
    <n v="18.45"/>
    <s v="CREDITOR"/>
    <n v="0"/>
    <n v="0"/>
    <n v="0"/>
    <n v="0"/>
    <n v="18.45"/>
  </r>
  <r>
    <n v="61773150"/>
    <s v="N"/>
    <n v="21343947"/>
    <s v="3000015848680001"/>
    <s v="CIVIL"/>
    <d v="2023-06-29T00:00:00"/>
    <d v="2023-07-07T19:03:00"/>
    <m/>
    <d v="2023-07-07T00:00:00"/>
    <n v="698"/>
    <n v="1814"/>
    <s v="61773150"/>
    <s v="61773150"/>
    <m/>
    <m/>
    <n v="22787518"/>
    <m/>
    <m/>
    <m/>
    <s v="SOLFIN"/>
    <s v="SOLFIN"/>
    <s v="CCMS"/>
    <n v="21343947"/>
    <n v="923.08"/>
    <m/>
    <s v="N"/>
    <n v="9"/>
    <d v="2023-07-07T19:03:18"/>
    <s v="Y"/>
    <s v="Preparation - other"/>
    <s v="Care Remuneration Hourly Rates"/>
    <s v="Profit Cost"/>
    <s v="WW"/>
    <s v="Y"/>
    <n v="6.72"/>
    <n v="1.34"/>
    <x v="9"/>
    <s v="VALIDATED"/>
    <n v="1"/>
    <s v="01.11.80.305.6100.0000"/>
    <n v="6.72"/>
    <s v="11"/>
    <s v="6100"/>
    <n v="9652.620000000001"/>
    <n v="6.72"/>
    <s v="CREDITOR"/>
    <n v="0"/>
    <n v="0"/>
    <n v="0"/>
    <n v="0"/>
    <n v="6.72"/>
  </r>
  <r>
    <n v="60295814"/>
    <s v="N"/>
    <n v="21349574"/>
    <s v="3000014595140016"/>
    <s v="CIVIL"/>
    <d v="2023-06-26T00:00:00"/>
    <d v="2023-07-10T19:01:40"/>
    <m/>
    <d v="2023-07-10T00:00:00"/>
    <n v="698"/>
    <n v="1814"/>
    <s v="60295814"/>
    <s v="60295814"/>
    <m/>
    <m/>
    <n v="22760776"/>
    <m/>
    <m/>
    <m/>
    <s v="SOLFIN"/>
    <s v="SOLFIN"/>
    <s v="CCMS"/>
    <n v="21349574"/>
    <n v="6157.71"/>
    <m/>
    <s v="N"/>
    <n v="5"/>
    <d v="2023-07-10T19:01:53"/>
    <s v="Y"/>
    <s v="Client Travel Expenses"/>
    <s v="Public Law Children"/>
    <s v="Non Expert Disbursement"/>
    <s v="WW"/>
    <s v="Y"/>
    <n v="2.8"/>
    <n v="0.5600000000000001"/>
    <x v="2"/>
    <s v="VALIDATED"/>
    <n v="1"/>
    <s v="01.11.80.308.6300.0000"/>
    <n v="2.8"/>
    <s v="11"/>
    <s v="6300"/>
    <n v="9652.620000000001"/>
    <n v="2.8"/>
    <s v="CREDITOR"/>
    <n v="0"/>
    <n v="0"/>
    <n v="0"/>
    <n v="0"/>
    <n v="2.8"/>
  </r>
  <r>
    <n v="61773150"/>
    <s v="N"/>
    <n v="21343947"/>
    <s v="3000015848680001"/>
    <s v="CIVIL"/>
    <d v="2023-06-29T00:00:00"/>
    <d v="2023-07-07T19:03:00"/>
    <m/>
    <d v="2023-07-07T00:00:00"/>
    <n v="698"/>
    <n v="1814"/>
    <s v="61773150"/>
    <s v="61773150"/>
    <m/>
    <m/>
    <n v="22787518"/>
    <m/>
    <m/>
    <m/>
    <s v="SOLFIN"/>
    <s v="SOLFIN"/>
    <s v="CCMS"/>
    <n v="21343947"/>
    <n v="923.08"/>
    <m/>
    <s v="N"/>
    <n v="7"/>
    <d v="2023-07-07T19:03:18"/>
    <s v="Y"/>
    <s v="Preparation - other"/>
    <s v="Care Remuneration Hourly Rates"/>
    <s v="Profit Cost"/>
    <s v="WW"/>
    <s v="Y"/>
    <n v="6.72"/>
    <n v="1.34"/>
    <x v="9"/>
    <s v="VALIDATED"/>
    <n v="1"/>
    <s v="01.11.80.305.6100.0000"/>
    <n v="6.72"/>
    <s v="11"/>
    <s v="6100"/>
    <n v="9652.620000000001"/>
    <n v="6.72"/>
    <s v="CREDITOR"/>
    <n v="0"/>
    <n v="0"/>
    <n v="0"/>
    <n v="0"/>
    <n v="6.72"/>
  </r>
  <r>
    <n v="61773150"/>
    <s v="N"/>
    <n v="21343947"/>
    <s v="3000015848680001"/>
    <s v="CIVIL"/>
    <d v="2023-06-29T00:00:00"/>
    <d v="2023-07-07T19:03:00"/>
    <m/>
    <d v="2023-07-07T00:00:00"/>
    <n v="698"/>
    <n v="1814"/>
    <s v="61773150"/>
    <s v="61773150"/>
    <m/>
    <m/>
    <n v="22787518"/>
    <m/>
    <m/>
    <m/>
    <s v="SOLFIN"/>
    <s v="SOLFIN"/>
    <s v="CCMS"/>
    <n v="21343947"/>
    <n v="923.08"/>
    <m/>
    <s v="N"/>
    <n v="8"/>
    <d v="2023-07-07T19:03:18"/>
    <s v="Y"/>
    <s v="Preparation - other"/>
    <s v="Care Remuneration Hourly Rates"/>
    <s v="Profit Cost"/>
    <s v="SH"/>
    <s v="Y"/>
    <n v="13.43"/>
    <n v="2.69"/>
    <x v="9"/>
    <s v="VALIDATED"/>
    <n v="1"/>
    <s v="01.11.80.305.6100.0000"/>
    <n v="13.43"/>
    <s v="11"/>
    <s v="6100"/>
    <n v="9652.620000000001"/>
    <n v="13.43"/>
    <s v="CREDITOR"/>
    <n v="0"/>
    <n v="0"/>
    <n v="0"/>
    <n v="0"/>
    <n v="13.43"/>
  </r>
  <r>
    <n v="61067017"/>
    <s v="N"/>
    <n v="21328235"/>
    <s v="3000015264100009"/>
    <s v="CIVIL"/>
    <d v="2023-06-26T00:00:00"/>
    <d v="2023-07-04T19:00:44"/>
    <m/>
    <d v="2023-07-04T00:00:00"/>
    <n v="698"/>
    <n v="1814"/>
    <s v="61067017"/>
    <s v="61067017"/>
    <m/>
    <m/>
    <n v="22759404"/>
    <m/>
    <m/>
    <m/>
    <s v="SOLFIN"/>
    <s v="SOLFIN"/>
    <s v="CCMS"/>
    <n v="21328235"/>
    <n v="6389.91"/>
    <m/>
    <s v="N"/>
    <n v="18"/>
    <d v="2023-07-04T19:01:09"/>
    <s v="Y"/>
    <s v="Solicitors Fixed Fee"/>
    <s v="Public Law Children"/>
    <s v="Profit Cost"/>
    <s v="MCS"/>
    <s v="Y"/>
    <n v="2013"/>
    <n v="402.6"/>
    <x v="1"/>
    <s v="VALIDATED"/>
    <n v="1"/>
    <s v="01.11.80.308.6100.0000"/>
    <n v="2013"/>
    <s v="11"/>
    <s v="6100"/>
    <n v="9652.620000000001"/>
    <n v="2013"/>
    <s v="CREDITOR"/>
    <n v="0"/>
    <n v="0"/>
    <n v="0"/>
    <n v="0"/>
    <n v="2013"/>
  </r>
  <r>
    <n v="60295814"/>
    <s v="N"/>
    <n v="21349574"/>
    <s v="3000014595140016"/>
    <s v="CIVIL"/>
    <d v="2023-06-26T00:00:00"/>
    <d v="2023-07-10T19:01:40"/>
    <m/>
    <d v="2023-07-10T00:00:00"/>
    <n v="698"/>
    <n v="1814"/>
    <s v="60295814"/>
    <s v="60295814"/>
    <m/>
    <m/>
    <n v="22760776"/>
    <m/>
    <m/>
    <m/>
    <s v="SOLFIN"/>
    <s v="SOLFIN"/>
    <s v="CCMS"/>
    <n v="21349574"/>
    <n v="6157.71"/>
    <m/>
    <s v="N"/>
    <n v="8"/>
    <d v="2023-07-10T19:01:53"/>
    <s v="Y"/>
    <s v="Solicitor Travel Mileage"/>
    <s v="Public Law Children"/>
    <s v="Non Expert Disbursement"/>
    <s v="WW"/>
    <s v="Y"/>
    <n v="8.699999999999999"/>
    <n v="1.74"/>
    <x v="2"/>
    <s v="VALIDATED"/>
    <n v="1"/>
    <s v="01.11.80.308.6300.0000"/>
    <n v="8.699999999999999"/>
    <s v="11"/>
    <s v="6300"/>
    <n v="9652.620000000001"/>
    <n v="8.699999999999999"/>
    <s v="CREDITOR"/>
    <n v="0"/>
    <n v="0"/>
    <n v="0"/>
    <n v="0"/>
    <n v="8.699999999999999"/>
  </r>
  <r>
    <n v="60210314"/>
    <s v="N"/>
    <n v="21360540"/>
    <s v="3000014524180010"/>
    <s v="CIVIL"/>
    <d v="2023-06-30T00:00:00"/>
    <d v="2023-07-11T11:50:54"/>
    <m/>
    <d v="2023-07-11T00:00:00"/>
    <n v="698"/>
    <n v="1814"/>
    <s v="60210314"/>
    <s v="60210314"/>
    <m/>
    <m/>
    <n v="22795842"/>
    <m/>
    <m/>
    <m/>
    <s v="SOLFIN"/>
    <s v="SOLFIN"/>
    <s v="CCMS"/>
    <n v="21360540"/>
    <n v="13402.35"/>
    <m/>
    <s v="N"/>
    <n v="2"/>
    <d v="2023-07-11T11:51:09"/>
    <s v="Y"/>
    <s v="Expert - Other"/>
    <s v="Public Law Children"/>
    <s v="Expert Disbursement"/>
    <s v="EF"/>
    <s v="Y"/>
    <n v="477.25"/>
    <n v="95.45"/>
    <x v="7"/>
    <s v="VALIDATED"/>
    <n v="1"/>
    <s v="01.11.80.308.6300.0000"/>
    <n v="477.25"/>
    <s v="11"/>
    <s v="6300"/>
    <n v="9652.620000000001"/>
    <n v="477.25"/>
    <s v="CREDITOR"/>
    <n v="0"/>
    <n v="0"/>
    <n v="0"/>
    <n v="0"/>
    <n v="477.25"/>
  </r>
  <r>
    <n v="61773150"/>
    <s v="N"/>
    <n v="21343947"/>
    <s v="3000015848680001"/>
    <s v="CIVIL"/>
    <d v="2023-06-29T00:00:00"/>
    <d v="2023-07-07T19:03:00"/>
    <m/>
    <d v="2023-07-07T00:00:00"/>
    <n v="698"/>
    <n v="1814"/>
    <s v="61773150"/>
    <s v="61773150"/>
    <m/>
    <m/>
    <n v="22787518"/>
    <m/>
    <m/>
    <m/>
    <s v="SOLFIN"/>
    <s v="SOLFIN"/>
    <s v="CCMS"/>
    <n v="21343947"/>
    <n v="923.08"/>
    <m/>
    <s v="N"/>
    <n v="5"/>
    <d v="2023-07-07T19:03:18"/>
    <s v="Y"/>
    <s v="Preparation - other"/>
    <s v="Care Remuneration Hourly Rates"/>
    <s v="Profit Cost"/>
    <s v="WW"/>
    <s v="Y"/>
    <n v="6.72"/>
    <n v="1.34"/>
    <x v="9"/>
    <s v="VALIDATED"/>
    <n v="1"/>
    <s v="01.11.80.305.6100.0000"/>
    <n v="6.72"/>
    <s v="11"/>
    <s v="6100"/>
    <n v="9652.620000000001"/>
    <n v="6.72"/>
    <s v="CREDITOR"/>
    <n v="0"/>
    <n v="0"/>
    <n v="0"/>
    <n v="0"/>
    <n v="6.72"/>
  </r>
  <r>
    <n v="61067017"/>
    <s v="N"/>
    <n v="21328235"/>
    <s v="3000015264100009"/>
    <s v="CIVIL"/>
    <d v="2023-06-26T00:00:00"/>
    <d v="2023-07-04T19:00:44"/>
    <m/>
    <d v="2023-07-04T00:00:00"/>
    <n v="698"/>
    <n v="1814"/>
    <s v="61067017"/>
    <s v="61067017"/>
    <m/>
    <m/>
    <n v="22759404"/>
    <m/>
    <m/>
    <m/>
    <s v="SOLFIN"/>
    <s v="SOLFIN"/>
    <s v="CCMS"/>
    <n v="21328235"/>
    <n v="6389.91"/>
    <m/>
    <s v="N"/>
    <n v="13"/>
    <d v="2023-07-04T19:01:09"/>
    <s v="Y"/>
    <s v="Advocates Meeting"/>
    <s v="Public Law Children"/>
    <s v="Advocacy"/>
    <s v="SH"/>
    <s v="Y"/>
    <n v="140.99"/>
    <n v="28.2"/>
    <x v="1"/>
    <s v="VALIDATED"/>
    <n v="1"/>
    <s v="01.11.80.308.6100.0000"/>
    <n v="140.99"/>
    <s v="11"/>
    <s v="6100"/>
    <n v="9652.620000000001"/>
    <n v="140.99"/>
    <s v="CREDITOR"/>
    <n v="0"/>
    <n v="0"/>
    <n v="0"/>
    <n v="0"/>
    <n v="140.99"/>
  </r>
  <r>
    <n v="60295814"/>
    <s v="N"/>
    <n v="21349574"/>
    <s v="3000014595140016"/>
    <s v="CIVIL"/>
    <d v="2023-06-26T00:00:00"/>
    <d v="2023-07-10T19:01:40"/>
    <m/>
    <d v="2023-07-10T00:00:00"/>
    <n v="698"/>
    <n v="1814"/>
    <s v="60295814"/>
    <s v="60295814"/>
    <m/>
    <m/>
    <n v="22760776"/>
    <m/>
    <m/>
    <m/>
    <s v="SOLFIN"/>
    <s v="SOLFIN"/>
    <s v="CCMS"/>
    <n v="21349574"/>
    <n v="6157.71"/>
    <m/>
    <s v="N"/>
    <n v="9"/>
    <d v="2023-07-10T19:01:53"/>
    <s v="Y"/>
    <s v="Court Fee"/>
    <s v="Public Law Children"/>
    <s v="Non Expert Disbursement"/>
    <s v="WW"/>
    <s v="Y"/>
    <n v="167"/>
    <n v="0"/>
    <x v="2"/>
    <s v="VALIDATED"/>
    <n v="1"/>
    <s v="01.11.80.308.6300.0000"/>
    <n v="167"/>
    <s v="11"/>
    <s v="6300"/>
    <n v="9652.620000000001"/>
    <n v="167"/>
    <s v="CREDITOR"/>
    <n v="0"/>
    <n v="0"/>
    <n v="0"/>
    <n v="0"/>
    <n v="167"/>
  </r>
  <r>
    <n v="60295814"/>
    <s v="N"/>
    <n v="21349574"/>
    <s v="3000014595140016"/>
    <s v="CIVIL"/>
    <d v="2023-06-26T00:00:00"/>
    <d v="2023-07-10T19:01:40"/>
    <m/>
    <d v="2023-07-10T00:00:00"/>
    <n v="698"/>
    <n v="1814"/>
    <s v="60295814"/>
    <s v="60295814"/>
    <m/>
    <m/>
    <n v="22760776"/>
    <m/>
    <m/>
    <m/>
    <s v="SOLFIN"/>
    <s v="SOLFIN"/>
    <s v="CCMS"/>
    <n v="21349574"/>
    <n v="6157.71"/>
    <m/>
    <s v="N"/>
    <n v="13"/>
    <d v="2023-07-10T19:01:53"/>
    <s v="Y"/>
    <s v="Final Hearing - 1 Day"/>
    <s v="Public Law Children"/>
    <s v="Advocacy"/>
    <s v="WW"/>
    <s v="Y"/>
    <n v="696.1"/>
    <n v="139.22"/>
    <x v="2"/>
    <s v="VALIDATED"/>
    <n v="1"/>
    <s v="01.11.80.308.6100.0000"/>
    <n v="696.1"/>
    <s v="11"/>
    <s v="6100"/>
    <n v="9652.620000000001"/>
    <n v="696.1"/>
    <s v="CREDITOR"/>
    <n v="0"/>
    <n v="0"/>
    <n v="0"/>
    <n v="0"/>
    <n v="696.1"/>
  </r>
  <r>
    <n v="60295814"/>
    <s v="N"/>
    <n v="21349574"/>
    <s v="3000014595140016"/>
    <s v="CIVIL"/>
    <d v="2023-06-26T00:00:00"/>
    <d v="2023-07-10T19:01:40"/>
    <m/>
    <d v="2023-07-10T00:00:00"/>
    <n v="698"/>
    <n v="1814"/>
    <s v="60295814"/>
    <s v="60295814"/>
    <m/>
    <m/>
    <n v="22760776"/>
    <m/>
    <m/>
    <m/>
    <s v="SOLFIN"/>
    <s v="SOLFIN"/>
    <s v="CCMS"/>
    <n v="21349574"/>
    <n v="6157.71"/>
    <m/>
    <s v="N"/>
    <n v="16"/>
    <d v="2023-07-10T19:01:53"/>
    <s v="Y"/>
    <s v="Hearing Unit 2.31 - 5.00 Hours"/>
    <s v="Public Law Children"/>
    <s v="Advocacy"/>
    <s v="WW"/>
    <s v="Y"/>
    <n v="476.92"/>
    <n v="95.38"/>
    <x v="2"/>
    <s v="VALIDATED"/>
    <n v="1"/>
    <s v="01.11.80.308.6100.0000"/>
    <n v="476.92"/>
    <s v="11"/>
    <s v="6100"/>
    <n v="9652.620000000001"/>
    <n v="476.92"/>
    <s v="CREDITOR"/>
    <n v="0"/>
    <n v="0"/>
    <n v="0"/>
    <n v="0"/>
    <n v="476.92"/>
  </r>
  <r>
    <n v="61493839"/>
    <s v="N"/>
    <n v="21360777"/>
    <s v="3000015618090001"/>
    <s v="CIVIL"/>
    <d v="2023-06-30T00:00:00"/>
    <d v="2023-07-11T19:00:25"/>
    <m/>
    <d v="2023-07-11T00:00:00"/>
    <n v="698"/>
    <n v="1814"/>
    <s v="61493839"/>
    <s v="61493839"/>
    <m/>
    <m/>
    <n v="22795412"/>
    <m/>
    <m/>
    <m/>
    <s v="SOLFIN"/>
    <s v="SOLFIN"/>
    <s v="CCMS"/>
    <n v="21360777"/>
    <n v="0"/>
    <m/>
    <s v="N"/>
    <n v="1"/>
    <d v="2023-07-11T19:00:34"/>
    <s v="N"/>
    <s v="NIL BILL"/>
    <s v="Public Law Children"/>
    <s v="Profit Cost"/>
    <s v="MS"/>
    <s v="N"/>
    <n v="0"/>
    <n v="0"/>
    <x v="7"/>
    <s v="VALIDATED"/>
    <n v="1"/>
    <s v="01.11.80.308.6100.0000"/>
    <n v="0"/>
    <s v="11"/>
    <s v="6100"/>
    <n v="9652.620000000001"/>
    <n v="0"/>
    <s v="CREDITOR"/>
    <n v="0"/>
    <n v="0"/>
    <n v="0"/>
    <n v="0"/>
    <n v="0"/>
  </r>
  <r>
    <n v="61709779"/>
    <s v="N"/>
    <n v="21337831"/>
    <s v="3000015799850006"/>
    <s v="CIVIL"/>
    <d v="2023-06-21T00:00:00"/>
    <d v="2023-07-06T19:21:01"/>
    <m/>
    <d v="2023-07-06T00:00:00"/>
    <n v="698"/>
    <n v="1814"/>
    <s v="61709779"/>
    <s v="61709779"/>
    <m/>
    <m/>
    <n v="22737596"/>
    <m/>
    <m/>
    <m/>
    <s v="SOLPOA"/>
    <s v="SOLPOA"/>
    <s v="CCMS"/>
    <n v="21337831"/>
    <n v="33"/>
    <m/>
    <s v="N"/>
    <n v="1"/>
    <d v="2023-07-06T19:21:09"/>
    <s v="N"/>
    <s v="Expert Cost"/>
    <s v="Expert Cost"/>
    <s v="Expert Disbursement"/>
    <s v="Bill Wilkins"/>
    <s v="N"/>
    <n v="27.5"/>
    <n v="5.5"/>
    <x v="4"/>
    <s v="VALIDATED"/>
    <n v="1"/>
    <s v="01.11.80.308.2012.0000"/>
    <n v="27.5"/>
    <s v="11"/>
    <s v="2012"/>
    <n v="9652.620000000001"/>
    <n v="27.5"/>
    <s v="CREDITOR"/>
    <n v="27.5"/>
    <n v="0"/>
    <n v="0"/>
    <n v="0"/>
    <n v="0"/>
  </r>
  <r>
    <n v="61625586"/>
    <s v="N"/>
    <n v="21349533"/>
    <s v="3000015730700009"/>
    <s v="CIVIL"/>
    <d v="2023-06-30T00:00:00"/>
    <d v="2023-07-10T19:01:40"/>
    <m/>
    <d v="2023-07-10T00:00:00"/>
    <n v="698"/>
    <n v="1814"/>
    <s v="61625586"/>
    <s v="61625586"/>
    <m/>
    <m/>
    <n v="22797982"/>
    <m/>
    <m/>
    <m/>
    <s v="SOLPOA"/>
    <s v="SOLPOA"/>
    <s v="CCMS"/>
    <n v="21349533"/>
    <n v="483.84"/>
    <m/>
    <s v="N"/>
    <n v="1"/>
    <d v="2023-07-10T19:01:53"/>
    <s v="N"/>
    <s v="Expert Cost"/>
    <s v="Expert Cost"/>
    <s v="Expert Disbursement"/>
    <s v="Sarah Hindle"/>
    <s v="N"/>
    <n v="403.2"/>
    <n v="80.64"/>
    <x v="2"/>
    <s v="VALIDATED"/>
    <n v="1"/>
    <s v="01.11.80.308.2012.0000"/>
    <n v="403.2"/>
    <s v="11"/>
    <s v="2012"/>
    <n v="9652.620000000001"/>
    <n v="403.2"/>
    <s v="CREDITOR"/>
    <n v="403.2"/>
    <n v="0"/>
    <n v="0"/>
    <n v="0"/>
    <n v="0"/>
  </r>
  <r>
    <n v="60295814"/>
    <s v="N"/>
    <n v="21349574"/>
    <s v="3000014595140016"/>
    <s v="CIVIL"/>
    <d v="2023-06-26T00:00:00"/>
    <d v="2023-07-10T19:01:40"/>
    <m/>
    <d v="2023-07-10T00:00:00"/>
    <n v="698"/>
    <n v="1814"/>
    <s v="60295814"/>
    <s v="60295814"/>
    <m/>
    <m/>
    <n v="22760776"/>
    <m/>
    <m/>
    <m/>
    <s v="SOLFIN"/>
    <s v="SOLFIN"/>
    <s v="CCMS"/>
    <n v="21349574"/>
    <n v="6157.71"/>
    <m/>
    <s v="N"/>
    <n v="19"/>
    <d v="2023-07-10T19:01:53"/>
    <s v="Y"/>
    <s v="Advocates Meeting"/>
    <s v="Public Law Children"/>
    <s v="Advocacy"/>
    <s v="KL"/>
    <s v="Y"/>
    <n v="140.99"/>
    <n v="28.2"/>
    <x v="2"/>
    <s v="VALIDATED"/>
    <n v="1"/>
    <s v="01.11.80.308.6100.0000"/>
    <n v="140.99"/>
    <s v="11"/>
    <s v="6100"/>
    <n v="9652.620000000001"/>
    <n v="140.99"/>
    <s v="CREDITOR"/>
    <n v="0"/>
    <n v="0"/>
    <n v="0"/>
    <n v="0"/>
    <n v="140.99"/>
  </r>
  <r>
    <n v="61773150"/>
    <s v="N"/>
    <n v="21343947"/>
    <s v="3000015848680001"/>
    <s v="CIVIL"/>
    <d v="2023-06-29T00:00:00"/>
    <d v="2023-07-07T19:03:00"/>
    <m/>
    <d v="2023-07-07T00:00:00"/>
    <n v="698"/>
    <n v="1814"/>
    <s v="61773150"/>
    <s v="61773150"/>
    <m/>
    <m/>
    <n v="22787518"/>
    <m/>
    <m/>
    <m/>
    <s v="SOLFIN"/>
    <s v="SOLFIN"/>
    <s v="CCMS"/>
    <n v="21343947"/>
    <n v="923.08"/>
    <m/>
    <s v="N"/>
    <n v="1"/>
    <d v="2023-07-07T19:03:18"/>
    <s v="Y"/>
    <s v="Preparation - other"/>
    <s v="Care Remuneration Hourly Rates"/>
    <s v="Profit Cost"/>
    <s v="ED"/>
    <s v="Y"/>
    <n v="23.36"/>
    <n v="4.67"/>
    <x v="9"/>
    <s v="VALIDATED"/>
    <n v="1"/>
    <s v="01.11.80.305.6100.0000"/>
    <n v="23.36"/>
    <s v="11"/>
    <s v="6100"/>
    <n v="9652.620000000001"/>
    <n v="23.36"/>
    <s v="CREDITOR"/>
    <n v="0"/>
    <n v="0"/>
    <n v="0"/>
    <n v="0"/>
    <n v="23.36"/>
  </r>
  <r>
    <n v="61709779"/>
    <s v="N"/>
    <n v="21337987"/>
    <s v="3000015799850007"/>
    <s v="CIVIL"/>
    <d v="2023-06-22T00:00:00"/>
    <d v="2023-07-06T19:21:01"/>
    <m/>
    <d v="2023-07-06T00:00:00"/>
    <n v="698"/>
    <n v="1814"/>
    <s v="61709779"/>
    <s v="61709779"/>
    <m/>
    <m/>
    <n v="22745732"/>
    <m/>
    <m/>
    <m/>
    <s v="SOLPOA"/>
    <s v="SOLPOA"/>
    <s v="CCMS"/>
    <n v="21337987"/>
    <n v="616.5"/>
    <m/>
    <s v="N"/>
    <n v="1"/>
    <d v="2023-07-06T19:21:11"/>
    <s v="N"/>
    <s v="Expert Cost"/>
    <s v="Expert Cost"/>
    <s v="Expert Disbursement"/>
    <s v="Bill Wilkins"/>
    <s v="N"/>
    <n v="513.75"/>
    <n v="102.75"/>
    <x v="4"/>
    <s v="VALIDATED"/>
    <n v="1"/>
    <s v="01.11.80.308.2012.0000"/>
    <n v="513.75"/>
    <s v="11"/>
    <s v="2012"/>
    <n v="9652.620000000001"/>
    <n v="513.75"/>
    <s v="CREDITOR"/>
    <n v="513.75"/>
    <n v="0"/>
    <n v="0"/>
    <n v="0"/>
    <n v="0"/>
  </r>
  <r>
    <n v="60827546"/>
    <s v="N"/>
    <n v="21331000"/>
    <s v="3000015059270005"/>
    <s v="CIVIL"/>
    <d v="2023-06-28T00:00:00"/>
    <d v="2023-07-05T19:01:47"/>
    <m/>
    <d v="2023-07-05T00:00:00"/>
    <n v="698"/>
    <n v="1814"/>
    <s v="60827546"/>
    <s v="60827546"/>
    <m/>
    <m/>
    <n v="22775866"/>
    <m/>
    <m/>
    <m/>
    <s v="SOLFIN"/>
    <s v="SOLFIN"/>
    <s v="CCMS"/>
    <n v="21331000"/>
    <n v="4782"/>
    <m/>
    <s v="N"/>
    <n v="1"/>
    <d v="2023-07-05T19:02:01"/>
    <s v="Y"/>
    <s v="Solicitor Travel Mileage"/>
    <s v="Public Law Children"/>
    <s v="Non Expert Disbursement"/>
    <s v="WW"/>
    <s v="Y"/>
    <n v="18.9"/>
    <n v="3.78"/>
    <x v="6"/>
    <s v="VALIDATED"/>
    <n v="1"/>
    <s v="01.11.80.308.6300.0000"/>
    <n v="18.9"/>
    <s v="11"/>
    <s v="6300"/>
    <n v="9652.620000000001"/>
    <n v="18.9"/>
    <s v="CREDITOR"/>
    <n v="0"/>
    <n v="0"/>
    <n v="0"/>
    <n v="0"/>
    <n v="18.9"/>
  </r>
  <r>
    <n v="60295814"/>
    <s v="N"/>
    <n v="21349574"/>
    <s v="3000014595140016"/>
    <s v="CIVIL"/>
    <d v="2023-06-26T00:00:00"/>
    <d v="2023-07-10T19:01:40"/>
    <m/>
    <d v="2023-07-10T00:00:00"/>
    <n v="698"/>
    <n v="1814"/>
    <s v="60295814"/>
    <s v="60295814"/>
    <m/>
    <m/>
    <n v="22760776"/>
    <m/>
    <m/>
    <m/>
    <s v="SOLFIN"/>
    <s v="SOLFIN"/>
    <s v="CCMS"/>
    <n v="21349574"/>
    <n v="6157.71"/>
    <m/>
    <s v="N"/>
    <n v="12"/>
    <d v="2023-07-10T19:01:53"/>
    <s v="Y"/>
    <s v="Psychologist"/>
    <s v="Public Law Children"/>
    <s v="Expert Disbursement"/>
    <s v="CARTER BROWN"/>
    <s v="Y"/>
    <n v="585"/>
    <n v="117"/>
    <x v="2"/>
    <s v="VALIDATED"/>
    <n v="1"/>
    <s v="01.11.80.308.6300.0000"/>
    <n v="585"/>
    <s v="11"/>
    <s v="6300"/>
    <n v="9652.620000000001"/>
    <n v="585"/>
    <s v="CREDITOR"/>
    <n v="0"/>
    <n v="0"/>
    <n v="0"/>
    <n v="0"/>
    <n v="585"/>
  </r>
  <r>
    <n v="61773150"/>
    <s v="N"/>
    <n v="21343947"/>
    <s v="3000015848680001"/>
    <s v="CIVIL"/>
    <d v="2023-06-29T00:00:00"/>
    <d v="2023-07-07T19:03:00"/>
    <m/>
    <d v="2023-07-07T00:00:00"/>
    <n v="698"/>
    <n v="1814"/>
    <s v="61773150"/>
    <s v="61773150"/>
    <m/>
    <m/>
    <n v="22787518"/>
    <m/>
    <m/>
    <m/>
    <s v="SOLFIN"/>
    <s v="SOLFIN"/>
    <s v="CCMS"/>
    <n v="21343947"/>
    <n v="923.08"/>
    <m/>
    <s v="N"/>
    <n v="14"/>
    <d v="2023-07-07T19:03:18"/>
    <s v="Y"/>
    <s v="Routine Letter Out"/>
    <s v="Care Remuneration Hourly Rates"/>
    <s v="Profit Cost"/>
    <s v="ED"/>
    <s v="Y"/>
    <n v="7.38"/>
    <n v="1.48"/>
    <x v="9"/>
    <s v="VALIDATED"/>
    <n v="1"/>
    <s v="01.11.80.305.6100.0000"/>
    <n v="7.38"/>
    <s v="11"/>
    <s v="6100"/>
    <n v="9652.620000000001"/>
    <n v="7.38"/>
    <s v="CREDITOR"/>
    <n v="0"/>
    <n v="0"/>
    <n v="0"/>
    <n v="0"/>
    <n v="7.38"/>
  </r>
  <r>
    <n v="60210314"/>
    <s v="N"/>
    <n v="21360540"/>
    <s v="3000014524180010"/>
    <s v="CIVIL"/>
    <d v="2023-06-30T00:00:00"/>
    <d v="2023-07-11T11:50:54"/>
    <m/>
    <d v="2023-07-11T00:00:00"/>
    <n v="698"/>
    <n v="1814"/>
    <s v="60210314"/>
    <s v="60210314"/>
    <m/>
    <m/>
    <n v="22795842"/>
    <m/>
    <m/>
    <m/>
    <s v="SOLFIN"/>
    <s v="SOLFIN"/>
    <s v="CCMS"/>
    <n v="21360540"/>
    <n v="13402.35"/>
    <m/>
    <s v="N"/>
    <n v="4"/>
    <d v="2023-07-11T11:51:09"/>
    <s v="Y"/>
    <s v="Psychologist"/>
    <s v="Public Law Children"/>
    <s v="Expert Disbursement"/>
    <s v="EF"/>
    <s v="Y"/>
    <n v="706.38"/>
    <n v="141.28"/>
    <x v="7"/>
    <s v="VALIDATED"/>
    <n v="1"/>
    <s v="01.11.80.308.6300.0000"/>
    <n v="706.38"/>
    <s v="11"/>
    <s v="6300"/>
    <n v="9652.620000000001"/>
    <n v="706.38"/>
    <s v="CREDITOR"/>
    <n v="0"/>
    <n v="0"/>
    <n v="0"/>
    <n v="0"/>
    <n v="706.38"/>
  </r>
  <r>
    <n v="60295814"/>
    <s v="N"/>
    <n v="21349574"/>
    <s v="3000014595140016"/>
    <s v="CIVIL"/>
    <d v="2023-06-26T00:00:00"/>
    <d v="2023-07-10T19:01:40"/>
    <m/>
    <d v="2023-07-10T00:00:00"/>
    <n v="698"/>
    <n v="1814"/>
    <s v="60295814"/>
    <s v="60295814"/>
    <m/>
    <m/>
    <n v="22760776"/>
    <m/>
    <m/>
    <m/>
    <s v="SOLFIN"/>
    <s v="SOLFIN"/>
    <s v="CCMS"/>
    <n v="21349574"/>
    <n v="6157.71"/>
    <m/>
    <s v="N"/>
    <n v="2"/>
    <d v="2023-07-10T19:01:53"/>
    <s v="Y"/>
    <s v="Exceptional Travel"/>
    <s v="Public Law Children"/>
    <s v="Advocacy"/>
    <s v="WW"/>
    <s v="Y"/>
    <n v="32.04"/>
    <n v="6.41"/>
    <x v="2"/>
    <s v="VALIDATED"/>
    <n v="1"/>
    <s v="01.11.80.308.6100.0000"/>
    <n v="32.04"/>
    <s v="11"/>
    <s v="6100"/>
    <n v="9652.620000000001"/>
    <n v="32.04"/>
    <s v="CREDITOR"/>
    <n v="0"/>
    <n v="0"/>
    <n v="0"/>
    <n v="0"/>
    <n v="32.04"/>
  </r>
  <r>
    <n v="61067017"/>
    <s v="N"/>
    <n v="21328235"/>
    <s v="3000015264100009"/>
    <s v="CIVIL"/>
    <d v="2023-06-26T00:00:00"/>
    <d v="2023-07-04T19:00:44"/>
    <m/>
    <d v="2023-07-04T00:00:00"/>
    <n v="698"/>
    <n v="1814"/>
    <s v="61067017"/>
    <s v="61067017"/>
    <m/>
    <m/>
    <n v="22759404"/>
    <m/>
    <m/>
    <m/>
    <s v="SOLFIN"/>
    <s v="SOLFIN"/>
    <s v="CCMS"/>
    <n v="21328235"/>
    <n v="6389.91"/>
    <m/>
    <s v="N"/>
    <n v="11"/>
    <d v="2023-07-04T19:01:09"/>
    <s v="Y"/>
    <s v="Hearing Unit 1.01 - 2.30 Hours"/>
    <s v="Public Law Children"/>
    <s v="Advocacy"/>
    <s v="MCS"/>
    <s v="Y"/>
    <n v="238.46"/>
    <n v="47.69"/>
    <x v="1"/>
    <s v="VALIDATED"/>
    <n v="1"/>
    <s v="01.11.80.308.6100.0000"/>
    <n v="238.46"/>
    <s v="11"/>
    <s v="6100"/>
    <n v="9652.620000000001"/>
    <n v="238.46"/>
    <s v="CREDITOR"/>
    <n v="0"/>
    <n v="0"/>
    <n v="0"/>
    <n v="0"/>
    <n v="238.46"/>
  </r>
  <r>
    <n v="60295814"/>
    <s v="N"/>
    <n v="21349574"/>
    <s v="3000014595140016"/>
    <s v="CIVIL"/>
    <d v="2023-06-26T00:00:00"/>
    <d v="2023-07-10T19:01:40"/>
    <m/>
    <d v="2023-07-10T00:00:00"/>
    <n v="698"/>
    <n v="1814"/>
    <s v="60295814"/>
    <s v="60295814"/>
    <m/>
    <m/>
    <n v="22760776"/>
    <m/>
    <m/>
    <m/>
    <s v="SOLFIN"/>
    <s v="SOLFIN"/>
    <s v="CCMS"/>
    <n v="21349574"/>
    <n v="6157.71"/>
    <m/>
    <s v="N"/>
    <n v="4"/>
    <d v="2023-07-10T19:01:53"/>
    <s v="Y"/>
    <s v="Solicitor Travel Mileage"/>
    <s v="Public Law Children"/>
    <s v="Non Expert Disbursement"/>
    <s v="WW"/>
    <s v="Y"/>
    <n v="40.5"/>
    <n v="8.1"/>
    <x v="2"/>
    <s v="VALIDATED"/>
    <n v="1"/>
    <s v="01.11.80.308.6300.0000"/>
    <n v="40.5"/>
    <s v="11"/>
    <s v="6300"/>
    <n v="9652.620000000001"/>
    <n v="40.5"/>
    <s v="CREDITOR"/>
    <n v="0"/>
    <n v="0"/>
    <n v="0"/>
    <n v="0"/>
    <n v="40.5"/>
  </r>
  <r>
    <n v="61224091"/>
    <s v="N"/>
    <n v="21338121"/>
    <s v="3000015395220015"/>
    <s v="CIVIL"/>
    <d v="2023-06-21T00:00:00"/>
    <d v="2023-07-06T19:21:01"/>
    <m/>
    <d v="2023-07-06T00:00:00"/>
    <n v="698"/>
    <n v="1814"/>
    <s v="61224091"/>
    <s v="61224091"/>
    <m/>
    <m/>
    <n v="22738012"/>
    <m/>
    <m/>
    <m/>
    <s v="SOLPOA"/>
    <s v="SOLPOA"/>
    <s v="CCMS"/>
    <n v="21338121"/>
    <n v="652.97"/>
    <m/>
    <s v="N"/>
    <n v="1"/>
    <d v="2023-07-06T19:21:12"/>
    <s v="N"/>
    <s v="Expert Cost"/>
    <s v="Expert Cost"/>
    <s v="Expert Disbursement"/>
    <s v="Bill Wilkins"/>
    <s v="N"/>
    <n v="544.14"/>
    <n v="108.83"/>
    <x v="4"/>
    <s v="VALIDATED"/>
    <n v="1"/>
    <s v="01.11.80.308.2012.0000"/>
    <n v="544.14"/>
    <s v="11"/>
    <s v="2012"/>
    <n v="9652.620000000001"/>
    <n v="544.14"/>
    <s v="CREDITOR"/>
    <n v="544.14"/>
    <n v="0"/>
    <n v="0"/>
    <n v="0"/>
    <n v="0"/>
  </r>
  <r>
    <n v="61067017"/>
    <s v="N"/>
    <n v="21328235"/>
    <s v="3000015264100009"/>
    <s v="CIVIL"/>
    <d v="2023-06-26T00:00:00"/>
    <d v="2023-07-04T19:00:44"/>
    <m/>
    <d v="2023-07-04T00:00:00"/>
    <n v="698"/>
    <n v="1814"/>
    <s v="61067017"/>
    <s v="61067017"/>
    <m/>
    <m/>
    <n v="22759404"/>
    <m/>
    <m/>
    <m/>
    <s v="SOLFIN"/>
    <s v="SOLFIN"/>
    <s v="CCMS"/>
    <n v="21328235"/>
    <n v="6389.91"/>
    <m/>
    <s v="N"/>
    <n v="1"/>
    <d v="2023-07-04T19:01:09"/>
    <s v="Y"/>
    <s v="Exceptional Travel"/>
    <s v="Public Law Children"/>
    <s v="Advocacy"/>
    <s v="MCS"/>
    <s v="Y"/>
    <n v="32.04"/>
    <n v="6.41"/>
    <x v="1"/>
    <s v="VALIDATED"/>
    <n v="1"/>
    <s v="01.11.80.308.6100.0000"/>
    <n v="32.04"/>
    <s v="11"/>
    <s v="6100"/>
    <n v="9652.620000000001"/>
    <n v="32.04"/>
    <s v="CREDITOR"/>
    <n v="0"/>
    <n v="0"/>
    <n v="0"/>
    <n v="0"/>
    <n v="32.04"/>
  </r>
  <r>
    <n v="61067017"/>
    <s v="N"/>
    <n v="21328235"/>
    <s v="3000015264100009"/>
    <s v="CIVIL"/>
    <d v="2023-06-26T00:00:00"/>
    <d v="2023-07-04T19:00:44"/>
    <m/>
    <d v="2023-07-04T00:00:00"/>
    <n v="698"/>
    <n v="1814"/>
    <s v="61067017"/>
    <s v="61067017"/>
    <m/>
    <m/>
    <n v="22759404"/>
    <m/>
    <m/>
    <m/>
    <s v="SOLFIN"/>
    <s v="SOLFIN"/>
    <s v="CCMS"/>
    <n v="21328235"/>
    <n v="6389.91"/>
    <m/>
    <s v="N"/>
    <n v="8"/>
    <d v="2023-07-04T19:01:09"/>
    <s v="Y"/>
    <s v="Solicitor Travel Mileage"/>
    <s v="Public Law Children"/>
    <s v="Non Expert Disbursement"/>
    <s v="MCS"/>
    <s v="Y"/>
    <n v="40.5"/>
    <n v="8.1"/>
    <x v="1"/>
    <s v="VALIDATED"/>
    <n v="1"/>
    <s v="01.11.80.308.6300.0000"/>
    <n v="40.5"/>
    <s v="11"/>
    <s v="6300"/>
    <n v="9652.620000000001"/>
    <n v="40.5"/>
    <s v="CREDITOR"/>
    <n v="0"/>
    <n v="0"/>
    <n v="0"/>
    <n v="0"/>
    <n v="40.5"/>
  </r>
  <r>
    <n v="62024090"/>
    <s v="N"/>
    <n v="21349590"/>
    <s v="3000016063240028"/>
    <s v="CIVIL"/>
    <d v="2023-06-30T00:00:00"/>
    <d v="2023-07-10T19:01:40"/>
    <m/>
    <d v="2023-07-10T00:00:00"/>
    <n v="698"/>
    <n v="1814"/>
    <s v="62024090"/>
    <s v="62024090"/>
    <m/>
    <m/>
    <n v="22796798"/>
    <m/>
    <m/>
    <m/>
    <s v="SOLPOA"/>
    <s v="SOLPOA"/>
    <s v="CCMS"/>
    <n v="21349590"/>
    <n v="42"/>
    <m/>
    <s v="N"/>
    <n v="1"/>
    <d v="2023-07-10T19:01:54"/>
    <s v="N"/>
    <s v="Expert Cost"/>
    <s v="Expert Cost"/>
    <s v="Expert Disbursement"/>
    <s v="Sarah Hindle"/>
    <s v="N"/>
    <n v="35"/>
    <n v="7"/>
    <x v="2"/>
    <s v="VALIDATED"/>
    <n v="1"/>
    <s v="01.11.80.308.2012.0000"/>
    <n v="35"/>
    <s v="11"/>
    <s v="2012"/>
    <n v="9652.620000000001"/>
    <n v="35"/>
    <s v="CREDITOR"/>
    <n v="35"/>
    <n v="0"/>
    <n v="0"/>
    <n v="0"/>
    <n v="0"/>
  </r>
  <r>
    <n v="61224091"/>
    <s v="N"/>
    <n v="21337886"/>
    <s v="3000015395220014"/>
    <s v="CIVIL"/>
    <d v="2023-06-22T00:00:00"/>
    <d v="2023-07-06T19:21:01"/>
    <m/>
    <d v="2023-07-06T00:00:00"/>
    <n v="698"/>
    <n v="1814"/>
    <s v="61224091"/>
    <s v="61224091"/>
    <m/>
    <m/>
    <n v="22745694"/>
    <m/>
    <m/>
    <m/>
    <s v="SOLPOA"/>
    <s v="SOLPOA"/>
    <s v="CCMS"/>
    <n v="21337886"/>
    <n v="222.6"/>
    <m/>
    <s v="N"/>
    <n v="1"/>
    <d v="2023-07-06T19:21:09"/>
    <s v="N"/>
    <s v="Expert Cost"/>
    <s v="Expert Cost"/>
    <s v="Expert Disbursement"/>
    <s v="Bill Wilkins"/>
    <s v="N"/>
    <n v="185.5"/>
    <n v="37.1"/>
    <x v="4"/>
    <s v="VALIDATED"/>
    <n v="1"/>
    <s v="01.11.80.308.2012.0000"/>
    <n v="185.5"/>
    <s v="11"/>
    <s v="2012"/>
    <n v="9652.620000000001"/>
    <n v="185.5"/>
    <s v="CREDITOR"/>
    <n v="185.5"/>
    <n v="0"/>
    <n v="0"/>
    <n v="0"/>
    <n v="0"/>
  </r>
  <r>
    <n v="60827546"/>
    <s v="N"/>
    <n v="21331000"/>
    <s v="3000015059270005"/>
    <s v="CIVIL"/>
    <d v="2023-06-28T00:00:00"/>
    <d v="2023-07-05T19:01:47"/>
    <m/>
    <d v="2023-07-05T00:00:00"/>
    <n v="698"/>
    <n v="1814"/>
    <s v="60827546"/>
    <s v="60827546"/>
    <m/>
    <m/>
    <n v="22775866"/>
    <m/>
    <m/>
    <m/>
    <s v="SOLFIN"/>
    <s v="SOLFIN"/>
    <s v="CCMS"/>
    <n v="21331000"/>
    <n v="4782"/>
    <m/>
    <s v="N"/>
    <n v="7"/>
    <d v="2023-07-05T19:02:01"/>
    <s v="Y"/>
    <s v="Solicitors Fixed Fee"/>
    <s v="Public Law Children"/>
    <s v="Profit Cost"/>
    <s v="WW"/>
    <s v="Y"/>
    <n v="3020"/>
    <n v="604"/>
    <x v="6"/>
    <s v="VALIDATED"/>
    <n v="1"/>
    <s v="01.11.80.308.6100.0000"/>
    <n v="3020"/>
    <s v="11"/>
    <s v="6100"/>
    <n v="9652.620000000001"/>
    <n v="3020"/>
    <s v="CREDITOR"/>
    <n v="0"/>
    <n v="0"/>
    <n v="0"/>
    <n v="0"/>
    <n v="3020"/>
  </r>
  <r>
    <n v="61067017"/>
    <s v="N"/>
    <n v="21328235"/>
    <s v="3000015264100009"/>
    <s v="CIVIL"/>
    <d v="2023-06-26T00:00:00"/>
    <d v="2023-07-04T19:00:44"/>
    <m/>
    <d v="2023-07-04T00:00:00"/>
    <n v="698"/>
    <n v="1814"/>
    <s v="61067017"/>
    <s v="61067017"/>
    <m/>
    <m/>
    <n v="22759404"/>
    <m/>
    <m/>
    <m/>
    <s v="SOLFIN"/>
    <s v="SOLFIN"/>
    <s v="CCMS"/>
    <n v="21328235"/>
    <n v="6389.91"/>
    <m/>
    <s v="N"/>
    <n v="14"/>
    <d v="2023-07-04T19:01:09"/>
    <s v="Y"/>
    <s v="Hearing Unit 2.31 - 5.00 Hours"/>
    <s v="Public Law Children"/>
    <s v="Advocacy"/>
    <s v="MCS"/>
    <s v="Y"/>
    <n v="476.92"/>
    <n v="95.38"/>
    <x v="1"/>
    <s v="VALIDATED"/>
    <n v="1"/>
    <s v="01.11.80.308.6100.0000"/>
    <n v="476.92"/>
    <s v="11"/>
    <s v="6100"/>
    <n v="9652.620000000001"/>
    <n v="476.92"/>
    <s v="CREDITOR"/>
    <n v="0"/>
    <n v="0"/>
    <n v="0"/>
    <n v="0"/>
    <n v="476.92"/>
  </r>
  <r>
    <n v="61067017"/>
    <s v="N"/>
    <n v="21328235"/>
    <s v="3000015264100009"/>
    <s v="CIVIL"/>
    <d v="2023-06-26T00:00:00"/>
    <d v="2023-07-04T19:00:44"/>
    <m/>
    <d v="2023-07-04T00:00:00"/>
    <n v="698"/>
    <n v="1814"/>
    <s v="61067017"/>
    <s v="61067017"/>
    <m/>
    <m/>
    <n v="22759404"/>
    <m/>
    <m/>
    <m/>
    <s v="SOLFIN"/>
    <s v="SOLFIN"/>
    <s v="CCMS"/>
    <n v="21328235"/>
    <n v="6389.91"/>
    <m/>
    <s v="N"/>
    <n v="9"/>
    <d v="2023-07-04T19:01:09"/>
    <s v="Y"/>
    <s v="Solicitor Travel Expenses"/>
    <s v="Public Law Children"/>
    <s v="Non Expert Disbursement"/>
    <s v="MCS"/>
    <s v="Y"/>
    <n v="5"/>
    <n v="1"/>
    <x v="1"/>
    <s v="VALIDATED"/>
    <n v="1"/>
    <s v="01.11.80.308.6300.0000"/>
    <n v="5"/>
    <s v="11"/>
    <s v="6300"/>
    <n v="9652.620000000001"/>
    <n v="5"/>
    <s v="CREDITOR"/>
    <n v="0"/>
    <n v="0"/>
    <n v="0"/>
    <n v="0"/>
    <n v="5"/>
  </r>
  <r>
    <n v="60295814"/>
    <s v="N"/>
    <n v="21349574"/>
    <s v="3000014595140016"/>
    <s v="CIVIL"/>
    <d v="2023-06-26T00:00:00"/>
    <d v="2023-07-10T19:01:40"/>
    <m/>
    <d v="2023-07-10T00:00:00"/>
    <n v="698"/>
    <n v="1814"/>
    <s v="60295814"/>
    <s v="60295814"/>
    <m/>
    <m/>
    <n v="22760776"/>
    <m/>
    <m/>
    <m/>
    <s v="SOLFIN"/>
    <s v="SOLFIN"/>
    <s v="CCMS"/>
    <n v="21349574"/>
    <n v="6157.71"/>
    <m/>
    <s v="N"/>
    <n v="17"/>
    <d v="2023-07-10T19:01:53"/>
    <s v="Y"/>
    <s v="Hearing Unit 1.01 - 2.30 Hours"/>
    <s v="Public Law Children"/>
    <s v="Advocacy"/>
    <s v="WW"/>
    <s v="Y"/>
    <n v="238.46"/>
    <n v="47.69"/>
    <x v="2"/>
    <s v="VALIDATED"/>
    <n v="1"/>
    <s v="01.11.80.308.6100.0000"/>
    <n v="238.46"/>
    <s v="11"/>
    <s v="6100"/>
    <n v="9652.620000000001"/>
    <n v="238.46"/>
    <s v="CREDITOR"/>
    <n v="0"/>
    <n v="0"/>
    <n v="0"/>
    <n v="0"/>
    <n v="238.46"/>
  </r>
  <r>
    <n v="61773150"/>
    <s v="N"/>
    <n v="21343947"/>
    <s v="3000015848680001"/>
    <s v="CIVIL"/>
    <d v="2023-06-29T00:00:00"/>
    <d v="2023-07-07T19:03:00"/>
    <m/>
    <d v="2023-07-07T00:00:00"/>
    <n v="698"/>
    <n v="1814"/>
    <s v="61773150"/>
    <s v="61773150"/>
    <m/>
    <m/>
    <n v="22787518"/>
    <m/>
    <m/>
    <m/>
    <s v="SOLFIN"/>
    <s v="SOLFIN"/>
    <s v="CCMS"/>
    <n v="21343947"/>
    <n v="923.08"/>
    <m/>
    <s v="N"/>
    <n v="10"/>
    <d v="2023-07-07T19:03:18"/>
    <s v="Y"/>
    <s v="Preparation - drafting bill/claim f"/>
    <s v="Care Remuneration Hourly Rates"/>
    <s v="Profit Cost"/>
    <s v="NH"/>
    <s v="Y"/>
    <n v="17.52"/>
    <n v="3.5"/>
    <x v="9"/>
    <s v="VALIDATED"/>
    <n v="1"/>
    <s v="01.11.80.305.6100.0000"/>
    <n v="17.52"/>
    <s v="11"/>
    <s v="6100"/>
    <n v="9652.620000000001"/>
    <n v="17.52"/>
    <s v="CREDITOR"/>
    <n v="0"/>
    <n v="0"/>
    <n v="0"/>
    <n v="0"/>
    <n v="17.52"/>
  </r>
  <r>
    <n v="60827546"/>
    <s v="N"/>
    <n v="21331000"/>
    <s v="3000015059270005"/>
    <s v="CIVIL"/>
    <d v="2023-06-28T00:00:00"/>
    <d v="2023-07-05T19:01:47"/>
    <m/>
    <d v="2023-07-05T00:00:00"/>
    <n v="698"/>
    <n v="1814"/>
    <s v="60827546"/>
    <s v="60827546"/>
    <m/>
    <m/>
    <n v="22775866"/>
    <m/>
    <m/>
    <m/>
    <s v="SOLFIN"/>
    <s v="SOLFIN"/>
    <s v="CCMS"/>
    <n v="21331000"/>
    <n v="4782"/>
    <m/>
    <s v="N"/>
    <n v="2"/>
    <d v="2023-07-05T19:02:01"/>
    <s v="Y"/>
    <s v="Psychologist"/>
    <s v="Public Law Children"/>
    <s v="Expert Disbursement"/>
    <s v="NBA SOLUTIONS"/>
    <s v="Y"/>
    <n v="187.2"/>
    <n v="37.44"/>
    <x v="6"/>
    <s v="VALIDATED"/>
    <n v="1"/>
    <s v="01.11.80.308.6300.0000"/>
    <n v="187.2"/>
    <s v="11"/>
    <s v="6300"/>
    <n v="9652.620000000001"/>
    <n v="187.2"/>
    <s v="CREDITOR"/>
    <n v="0"/>
    <n v="0"/>
    <n v="0"/>
    <n v="0"/>
    <n v="187.2"/>
  </r>
  <r>
    <n v="60827644"/>
    <s v="N"/>
    <n v="21330970"/>
    <s v="3000015059380001"/>
    <s v="CIVIL"/>
    <d v="2023-06-26T00:00:00"/>
    <d v="2023-07-05T19:01:47"/>
    <m/>
    <d v="2023-07-05T00:00:00"/>
    <n v="698"/>
    <n v="1814"/>
    <s v="60827644"/>
    <s v="60827644"/>
    <m/>
    <m/>
    <n v="22762184"/>
    <m/>
    <m/>
    <m/>
    <s v="SOLFIN"/>
    <s v="SOLFIN"/>
    <s v="CCMS"/>
    <n v="21330970"/>
    <n v="0"/>
    <m/>
    <s v="N"/>
    <n v="1"/>
    <d v="2023-07-05T19:02:00"/>
    <s v="N"/>
    <s v="NIL BILL"/>
    <s v="Public Law Children"/>
    <s v="Profit Cost"/>
    <s v="WW"/>
    <s v="N"/>
    <n v="0"/>
    <n v="0"/>
    <x v="6"/>
    <s v="VALIDATED"/>
    <n v="1"/>
    <s v="01.11.80.308.6100.0000"/>
    <n v="0"/>
    <s v="11"/>
    <s v="6100"/>
    <n v="9652.620000000001"/>
    <n v="0"/>
    <s v="CREDITOR"/>
    <n v="0"/>
    <n v="0"/>
    <n v="0"/>
    <n v="0"/>
    <n v="0"/>
  </r>
  <r>
    <n v="60295814"/>
    <s v="N"/>
    <n v="21349574"/>
    <s v="3000014595140016"/>
    <s v="CIVIL"/>
    <d v="2023-06-26T00:00:00"/>
    <d v="2023-07-10T19:01:40"/>
    <m/>
    <d v="2023-07-10T00:00:00"/>
    <n v="698"/>
    <n v="1814"/>
    <s v="60295814"/>
    <s v="60295814"/>
    <m/>
    <m/>
    <n v="22760776"/>
    <m/>
    <m/>
    <m/>
    <s v="SOLFIN"/>
    <s v="SOLFIN"/>
    <s v="CCMS"/>
    <n v="21349574"/>
    <n v="6157.71"/>
    <m/>
    <s v="N"/>
    <n v="1"/>
    <d v="2023-07-10T19:01:53"/>
    <s v="Y"/>
    <s v="Interim Hearing Court Bundle/Advoca"/>
    <s v="Public Law Children"/>
    <s v="Advocacy"/>
    <s v="WW"/>
    <s v="Y"/>
    <n v="89.09999999999999"/>
    <n v="17.82"/>
    <x v="2"/>
    <s v="VALIDATED"/>
    <n v="1"/>
    <s v="01.11.80.308.6100.0000"/>
    <n v="89.09999999999999"/>
    <s v="11"/>
    <s v="6100"/>
    <n v="9652.620000000001"/>
    <n v="89.09999999999999"/>
    <s v="CREDITOR"/>
    <n v="0"/>
    <n v="0"/>
    <n v="0"/>
    <n v="0"/>
    <n v="89.09999999999999"/>
  </r>
  <r>
    <n v="60295814"/>
    <s v="N"/>
    <n v="21349574"/>
    <s v="3000014595140016"/>
    <s v="CIVIL"/>
    <d v="2023-06-26T00:00:00"/>
    <d v="2023-07-10T19:01:40"/>
    <m/>
    <d v="2023-07-10T00:00:00"/>
    <n v="698"/>
    <n v="1814"/>
    <s v="60295814"/>
    <s v="60295814"/>
    <m/>
    <m/>
    <n v="22760776"/>
    <m/>
    <m/>
    <m/>
    <s v="SOLFIN"/>
    <s v="SOLFIN"/>
    <s v="CCMS"/>
    <n v="21349574"/>
    <n v="6157.71"/>
    <m/>
    <s v="N"/>
    <n v="10"/>
    <d v="2023-07-10T19:01:53"/>
    <s v="Y"/>
    <s v="Court Fee"/>
    <s v="Public Law Children"/>
    <s v="Non Expert Disbursement"/>
    <s v="WW"/>
    <s v="Y"/>
    <n v="53"/>
    <n v="0"/>
    <x v="2"/>
    <s v="VALIDATED"/>
    <n v="1"/>
    <s v="01.11.80.308.6300.0000"/>
    <n v="53"/>
    <s v="11"/>
    <s v="6300"/>
    <n v="9652.620000000001"/>
    <n v="53"/>
    <s v="CREDITOR"/>
    <n v="0"/>
    <n v="0"/>
    <n v="0"/>
    <n v="0"/>
    <n v="53"/>
  </r>
  <r>
    <n v="61773150"/>
    <s v="N"/>
    <n v="21343947"/>
    <s v="3000015848680001"/>
    <s v="CIVIL"/>
    <d v="2023-06-29T00:00:00"/>
    <d v="2023-07-07T19:03:00"/>
    <m/>
    <d v="2023-07-07T00:00:00"/>
    <n v="698"/>
    <n v="1814"/>
    <s v="61773150"/>
    <s v="61773150"/>
    <m/>
    <m/>
    <n v="22787518"/>
    <m/>
    <m/>
    <m/>
    <s v="SOLFIN"/>
    <s v="SOLFIN"/>
    <s v="CCMS"/>
    <n v="21343947"/>
    <n v="923.08"/>
    <m/>
    <s v="N"/>
    <n v="13"/>
    <d v="2023-07-07T19:03:18"/>
    <s v="Y"/>
    <s v="Routine Telephone Call"/>
    <s v="Care Remuneration Hourly Rates"/>
    <s v="Profit Cost"/>
    <s v="WW"/>
    <s v="Y"/>
    <n v="4.24"/>
    <n v="0.85"/>
    <x v="9"/>
    <s v="VALIDATED"/>
    <n v="1"/>
    <s v="01.11.80.305.6100.0000"/>
    <n v="4.24"/>
    <s v="11"/>
    <s v="6100"/>
    <n v="9652.620000000001"/>
    <n v="4.24"/>
    <s v="CREDITOR"/>
    <n v="0"/>
    <n v="0"/>
    <n v="0"/>
    <n v="0"/>
    <n v="4.24"/>
  </r>
  <r>
    <n v="61773150"/>
    <s v="N"/>
    <n v="21343947"/>
    <s v="3000015848680001"/>
    <s v="CIVIL"/>
    <d v="2023-06-29T00:00:00"/>
    <d v="2023-07-07T19:03:00"/>
    <m/>
    <d v="2023-07-07T00:00:00"/>
    <n v="698"/>
    <n v="1814"/>
    <s v="61773150"/>
    <s v="61773150"/>
    <m/>
    <m/>
    <n v="22787518"/>
    <m/>
    <m/>
    <m/>
    <s v="SOLFIN"/>
    <s v="SOLFIN"/>
    <s v="CCMS"/>
    <n v="21343947"/>
    <n v="923.08"/>
    <m/>
    <s v="N"/>
    <n v="17"/>
    <d v="2023-07-07T19:03:18"/>
    <s v="Y"/>
    <s v="Hearing Unit 1.01 - 2.30 Hours"/>
    <s v="Other Public Law Children"/>
    <s v="Advocacy"/>
    <s v="SH"/>
    <s v="Y"/>
    <n v="208.53"/>
    <n v="41.7"/>
    <x v="9"/>
    <s v="VALIDATED"/>
    <n v="1"/>
    <s v="01.11.80.305.6100.0000"/>
    <n v="208.53"/>
    <s v="11"/>
    <s v="6100"/>
    <n v="9652.620000000001"/>
    <n v="208.53"/>
    <s v="CREDITOR"/>
    <n v="0"/>
    <n v="0"/>
    <n v="0"/>
    <n v="0"/>
    <n v="208.53"/>
  </r>
  <r>
    <n v="60827546"/>
    <s v="N"/>
    <n v="21331000"/>
    <s v="3000015059270005"/>
    <s v="CIVIL"/>
    <d v="2023-06-28T00:00:00"/>
    <d v="2023-07-05T19:01:47"/>
    <m/>
    <d v="2023-07-05T00:00:00"/>
    <n v="698"/>
    <n v="1814"/>
    <s v="60827546"/>
    <s v="60827546"/>
    <m/>
    <m/>
    <n v="22775866"/>
    <m/>
    <m/>
    <m/>
    <s v="SOLFIN"/>
    <s v="SOLFIN"/>
    <s v="CCMS"/>
    <n v="21331000"/>
    <n v="4782"/>
    <m/>
    <s v="N"/>
    <n v="6"/>
    <d v="2023-07-05T19:02:01"/>
    <s v="Y"/>
    <s v="Advocates Meeting"/>
    <s v="Public Law Children"/>
    <s v="Advocacy"/>
    <s v="SH"/>
    <s v="Y"/>
    <n v="140.99"/>
    <n v="28.2"/>
    <x v="6"/>
    <s v="VALIDATED"/>
    <n v="1"/>
    <s v="01.11.80.308.6100.0000"/>
    <n v="140.99"/>
    <s v="11"/>
    <s v="6100"/>
    <n v="9652.620000000001"/>
    <n v="140.99"/>
    <s v="CREDITOR"/>
    <n v="0"/>
    <n v="0"/>
    <n v="0"/>
    <n v="0"/>
    <n v="140.99"/>
  </r>
  <r>
    <n v="61067017"/>
    <s v="N"/>
    <n v="21328235"/>
    <s v="3000015264100009"/>
    <s v="CIVIL"/>
    <d v="2023-06-26T00:00:00"/>
    <d v="2023-07-04T19:00:44"/>
    <m/>
    <d v="2023-07-04T00:00:00"/>
    <n v="698"/>
    <n v="1814"/>
    <s v="61067017"/>
    <s v="61067017"/>
    <m/>
    <m/>
    <n v="22759404"/>
    <m/>
    <m/>
    <m/>
    <s v="SOLFIN"/>
    <s v="SOLFIN"/>
    <s v="CCMS"/>
    <n v="21328235"/>
    <n v="6389.91"/>
    <m/>
    <s v="N"/>
    <n v="15"/>
    <d v="2023-07-04T19:01:09"/>
    <s v="Y"/>
    <s v="Advocates Meeting"/>
    <s v="Public Law Children"/>
    <s v="Advocacy"/>
    <s v="MCS"/>
    <s v="Y"/>
    <n v="140.99"/>
    <n v="28.2"/>
    <x v="1"/>
    <s v="VALIDATED"/>
    <n v="1"/>
    <s v="01.11.80.308.6100.0000"/>
    <n v="140.99"/>
    <s v="11"/>
    <s v="6100"/>
    <n v="9652.620000000001"/>
    <n v="140.99"/>
    <s v="CREDITOR"/>
    <n v="0"/>
    <n v="0"/>
    <n v="0"/>
    <n v="0"/>
    <n v="140.99"/>
  </r>
  <r>
    <n v="61067017"/>
    <s v="N"/>
    <n v="21328235"/>
    <s v="3000015264100009"/>
    <s v="CIVIL"/>
    <d v="2023-06-26T00:00:00"/>
    <d v="2023-07-04T19:00:44"/>
    <m/>
    <d v="2023-07-04T00:00:00"/>
    <n v="698"/>
    <n v="1814"/>
    <s v="61067017"/>
    <s v="61067017"/>
    <m/>
    <m/>
    <n v="22759404"/>
    <m/>
    <m/>
    <m/>
    <s v="SOLFIN"/>
    <s v="SOLFIN"/>
    <s v="CCMS"/>
    <n v="21328235"/>
    <n v="6389.91"/>
    <m/>
    <s v="N"/>
    <n v="6"/>
    <d v="2023-07-04T19:01:09"/>
    <s v="Y"/>
    <s v="Court Fee"/>
    <s v="Public Law Children"/>
    <s v="Non Expert Disbursement"/>
    <s v="MCS"/>
    <s v="Y"/>
    <n v="167"/>
    <n v="0"/>
    <x v="1"/>
    <s v="VALIDATED"/>
    <n v="1"/>
    <s v="01.11.80.308.6300.0000"/>
    <n v="167"/>
    <s v="11"/>
    <s v="6300"/>
    <n v="9652.620000000001"/>
    <n v="167"/>
    <s v="CREDITOR"/>
    <n v="0"/>
    <n v="0"/>
    <n v="0"/>
    <n v="0"/>
    <n v="167"/>
  </r>
  <r>
    <n v="61773150"/>
    <s v="N"/>
    <n v="21343947"/>
    <s v="3000015848680001"/>
    <s v="CIVIL"/>
    <d v="2023-06-29T00:00:00"/>
    <d v="2023-07-07T19:03:00"/>
    <m/>
    <d v="2023-07-07T00:00:00"/>
    <n v="698"/>
    <n v="1814"/>
    <s v="61773150"/>
    <s v="61773150"/>
    <m/>
    <m/>
    <n v="22787518"/>
    <m/>
    <m/>
    <m/>
    <s v="SOLFIN"/>
    <s v="SOLFIN"/>
    <s v="CCMS"/>
    <n v="21343947"/>
    <n v="923.08"/>
    <m/>
    <s v="N"/>
    <n v="4"/>
    <d v="2023-07-07T19:03:18"/>
    <s v="Y"/>
    <s v="Preparation - drafting notice(s)"/>
    <s v="Care Remuneration Hourly Rates"/>
    <s v="Profit Cost"/>
    <s v="WW"/>
    <s v="Y"/>
    <n v="13.43"/>
    <n v="2.69"/>
    <x v="9"/>
    <s v="VALIDATED"/>
    <n v="1"/>
    <s v="01.11.80.305.6100.0000"/>
    <n v="13.43"/>
    <s v="11"/>
    <s v="6100"/>
    <n v="9652.620000000001"/>
    <n v="13.43"/>
    <s v="CREDITOR"/>
    <n v="0"/>
    <n v="0"/>
    <n v="0"/>
    <n v="0"/>
    <n v="13.43"/>
  </r>
  <r>
    <n v="61067017"/>
    <s v="N"/>
    <n v="21328235"/>
    <s v="3000015264100009"/>
    <s v="CIVIL"/>
    <d v="2023-06-26T00:00:00"/>
    <d v="2023-07-04T19:00:44"/>
    <m/>
    <d v="2023-07-04T00:00:00"/>
    <n v="698"/>
    <n v="1814"/>
    <s v="61067017"/>
    <s v="61067017"/>
    <m/>
    <m/>
    <n v="22759404"/>
    <m/>
    <m/>
    <m/>
    <s v="SOLFIN"/>
    <s v="SOLFIN"/>
    <s v="CCMS"/>
    <n v="21328235"/>
    <n v="6389.91"/>
    <m/>
    <s v="N"/>
    <n v="12"/>
    <d v="2023-07-04T19:01:09"/>
    <s v="Y"/>
    <s v="Final Hearing - 1 Day"/>
    <s v="Public Law Children"/>
    <s v="Advocacy"/>
    <s v="MCS"/>
    <s v="Y"/>
    <n v="556.88"/>
    <n v="111.38"/>
    <x v="1"/>
    <s v="VALIDATED"/>
    <n v="1"/>
    <s v="01.11.80.308.6100.0000"/>
    <n v="556.88"/>
    <s v="11"/>
    <s v="6100"/>
    <n v="9652.620000000001"/>
    <n v="556.88"/>
    <s v="CREDITOR"/>
    <n v="0"/>
    <n v="0"/>
    <n v="0"/>
    <n v="0"/>
    <n v="556.88"/>
  </r>
  <r>
    <n v="60295814"/>
    <s v="N"/>
    <n v="21349574"/>
    <s v="3000014595140016"/>
    <s v="CIVIL"/>
    <d v="2023-06-26T00:00:00"/>
    <d v="2023-07-10T19:01:40"/>
    <m/>
    <d v="2023-07-10T00:00:00"/>
    <n v="698"/>
    <n v="1814"/>
    <s v="60295814"/>
    <s v="60295814"/>
    <m/>
    <m/>
    <n v="22760776"/>
    <m/>
    <m/>
    <m/>
    <s v="SOLFIN"/>
    <s v="SOLFIN"/>
    <s v="CCMS"/>
    <n v="21349574"/>
    <n v="6157.71"/>
    <m/>
    <s v="N"/>
    <n v="3"/>
    <d v="2023-07-10T19:01:53"/>
    <s v="Y"/>
    <s v="Exceptional Travel"/>
    <s v="Public Law Children"/>
    <s v="Advocacy"/>
    <s v="WW"/>
    <s v="Y"/>
    <n v="32.04"/>
    <n v="6.41"/>
    <x v="2"/>
    <s v="VALIDATED"/>
    <n v="1"/>
    <s v="01.11.80.308.6100.0000"/>
    <n v="32.04"/>
    <s v="11"/>
    <s v="6100"/>
    <n v="9652.620000000001"/>
    <n v="32.04"/>
    <s v="CREDITOR"/>
    <n v="0"/>
    <n v="0"/>
    <n v="0"/>
    <n v="0"/>
    <n v="32.04"/>
  </r>
  <r>
    <n v="60295814"/>
    <s v="N"/>
    <n v="21349574"/>
    <s v="3000014595140016"/>
    <s v="CIVIL"/>
    <d v="2023-06-26T00:00:00"/>
    <d v="2023-07-10T19:01:40"/>
    <m/>
    <d v="2023-07-10T00:00:00"/>
    <n v="698"/>
    <n v="1814"/>
    <s v="60295814"/>
    <s v="60295814"/>
    <m/>
    <m/>
    <n v="22760776"/>
    <m/>
    <m/>
    <m/>
    <s v="SOLFIN"/>
    <s v="SOLFIN"/>
    <s v="CCMS"/>
    <n v="21349574"/>
    <n v="6157.71"/>
    <m/>
    <s v="N"/>
    <n v="6"/>
    <d v="2023-07-10T19:01:53"/>
    <s v="Y"/>
    <s v="Solicitor Travel Mileage"/>
    <s v="Public Law Children"/>
    <s v="Non Expert Disbursement"/>
    <s v="WW"/>
    <s v="Y"/>
    <n v="15.3"/>
    <n v="3.06"/>
    <x v="2"/>
    <s v="VALIDATED"/>
    <n v="1"/>
    <s v="01.11.80.308.6300.0000"/>
    <n v="15.3"/>
    <s v="11"/>
    <s v="6300"/>
    <n v="9652.620000000001"/>
    <n v="15.3"/>
    <s v="CREDITOR"/>
    <n v="0"/>
    <n v="0"/>
    <n v="0"/>
    <n v="0"/>
    <n v="15.3"/>
  </r>
  <r>
    <n v="62483848"/>
    <s v="N"/>
    <n v="21323301"/>
    <s v="3000016443140001"/>
    <s v="CIVIL"/>
    <d v="2023-06-30T00:00:00"/>
    <d v="2023-07-03T19:05:56"/>
    <m/>
    <d v="2023-07-03T00:00:00"/>
    <n v="698"/>
    <n v="1814"/>
    <s v="62483848"/>
    <s v="62483848"/>
    <m/>
    <m/>
    <n v="22795854"/>
    <m/>
    <m/>
    <m/>
    <s v="SOLPOA"/>
    <s v="SOLPOA"/>
    <s v="CCMS"/>
    <n v="21323301"/>
    <n v="21.6"/>
    <m/>
    <s v="N"/>
    <n v="1"/>
    <d v="2023-07-03T19:05:56"/>
    <s v="N"/>
    <s v="Non Expert Disbursement"/>
    <s v="Non Expert Disbursement"/>
    <s v="Non Expert Disbursement"/>
    <s v="Bill Wilkins"/>
    <s v="N"/>
    <n v="18"/>
    <n v="3.6"/>
    <x v="3"/>
    <s v="VALIDATED"/>
    <n v="1"/>
    <s v="01.11.80.308.2012.0000"/>
    <n v="18"/>
    <s v="11"/>
    <s v="2012"/>
    <n v="9652.620000000001"/>
    <n v="18"/>
    <s v="CREDITOR"/>
    <n v="18"/>
    <n v="0"/>
    <n v="0"/>
    <n v="0"/>
    <n v="0"/>
  </r>
  <r>
    <n v="61067017"/>
    <s v="N"/>
    <n v="21328235"/>
    <s v="3000015264100009"/>
    <s v="CIVIL"/>
    <d v="2023-06-26T00:00:00"/>
    <d v="2023-07-04T19:00:44"/>
    <m/>
    <d v="2023-07-04T00:00:00"/>
    <n v="698"/>
    <n v="1814"/>
    <s v="61067017"/>
    <s v="61067017"/>
    <m/>
    <m/>
    <n v="22759404"/>
    <m/>
    <m/>
    <m/>
    <s v="SOLFIN"/>
    <s v="SOLFIN"/>
    <s v="CCMS"/>
    <n v="21328235"/>
    <n v="6389.91"/>
    <m/>
    <s v="N"/>
    <n v="3"/>
    <d v="2023-07-04T19:01:09"/>
    <s v="Y"/>
    <s v="Solicitor Travel Mileage"/>
    <s v="Public Law Children"/>
    <s v="Non Expert Disbursement"/>
    <s v="MCS"/>
    <s v="Y"/>
    <n v="40.5"/>
    <n v="8.1"/>
    <x v="1"/>
    <s v="VALIDATED"/>
    <n v="1"/>
    <s v="01.11.80.308.6300.0000"/>
    <n v="40.5"/>
    <s v="11"/>
    <s v="6300"/>
    <n v="9652.620000000001"/>
    <n v="40.5"/>
    <s v="CREDITOR"/>
    <n v="0"/>
    <n v="0"/>
    <n v="0"/>
    <n v="0"/>
    <n v="40.5"/>
  </r>
  <r>
    <n v="61067017"/>
    <s v="N"/>
    <n v="21328235"/>
    <s v="3000015264100009"/>
    <s v="CIVIL"/>
    <d v="2023-06-26T00:00:00"/>
    <d v="2023-07-04T19:00:44"/>
    <m/>
    <d v="2023-07-04T00:00:00"/>
    <n v="698"/>
    <n v="1814"/>
    <s v="61067017"/>
    <s v="61067017"/>
    <m/>
    <m/>
    <n v="22759404"/>
    <m/>
    <m/>
    <m/>
    <s v="SOLFIN"/>
    <s v="SOLFIN"/>
    <s v="CCMS"/>
    <n v="21328235"/>
    <n v="6389.91"/>
    <m/>
    <s v="N"/>
    <n v="16"/>
    <d v="2023-07-04T19:01:09"/>
    <s v="Y"/>
    <s v="Hearing Unit 1.01 - 2.30 Hours"/>
    <s v="Public Law Children"/>
    <s v="Advocacy"/>
    <s v="SH"/>
    <s v="Y"/>
    <n v="238.46"/>
    <n v="47.69"/>
    <x v="1"/>
    <s v="VALIDATED"/>
    <n v="1"/>
    <s v="01.11.80.308.6100.0000"/>
    <n v="238.46"/>
    <s v="11"/>
    <s v="6100"/>
    <n v="9652.620000000001"/>
    <n v="238.46"/>
    <s v="CREDITOR"/>
    <n v="0"/>
    <n v="0"/>
    <n v="0"/>
    <n v="0"/>
    <n v="238.46"/>
  </r>
  <r>
    <n v="62099787"/>
    <s v="N"/>
    <n v="21343301"/>
    <s v="3000016046830002"/>
    <s v="CIVIL"/>
    <d v="2023-06-30T00:00:00"/>
    <d v="2023-07-07T19:03:00"/>
    <m/>
    <d v="2023-07-07T00:00:00"/>
    <n v="699"/>
    <n v="1825"/>
    <s v="62099787"/>
    <s v="62099787"/>
    <m/>
    <m/>
    <n v="22799578"/>
    <m/>
    <m/>
    <m/>
    <s v="SOLPOA"/>
    <s v="SOLPOA"/>
    <s v="CCMS"/>
    <n v="21343301"/>
    <n v="171.45"/>
    <m/>
    <s v="N"/>
    <n v="1"/>
    <d v="2023-07-07T19:03:07"/>
    <s v="N"/>
    <s v="Non Expert Disbursement - Domestic "/>
    <s v="Non Expert Disbursement - Dome"/>
    <s v="Non Expert Disbursement"/>
    <s v="Natalie Cutting"/>
    <s v="N"/>
    <n v="171.45"/>
    <n v="0"/>
    <x v="9"/>
    <s v="VALIDATED"/>
    <n v="1"/>
    <s v="01.11.80.302.2012.0000"/>
    <n v="171.45"/>
    <s v="11"/>
    <s v="2012"/>
    <n v="495.32"/>
    <n v="171.45"/>
    <s v="CREDITOR"/>
    <n v="171.45"/>
    <n v="0"/>
    <n v="0"/>
    <n v="0"/>
    <n v="0"/>
  </r>
  <r>
    <n v="62261730"/>
    <s v="N"/>
    <n v="21343772"/>
    <s v="3000016224960001"/>
    <s v="CIVIL"/>
    <d v="2023-06-30T00:00:00"/>
    <d v="2023-07-07T19:03:00"/>
    <m/>
    <d v="2023-07-07T00:00:00"/>
    <n v="699"/>
    <n v="1825"/>
    <s v="62261730"/>
    <s v="62261730"/>
    <m/>
    <m/>
    <n v="22799996"/>
    <m/>
    <m/>
    <m/>
    <s v="SOLPOA"/>
    <s v="SOLPOA"/>
    <s v="CCMS"/>
    <n v="21343772"/>
    <n v="268.87"/>
    <m/>
    <s v="N"/>
    <n v="1"/>
    <d v="2023-07-07T19:03:13"/>
    <s v="N"/>
    <s v="Non Expert Disbursement - Domestic "/>
    <s v="Non Expert Disbursement - Dome"/>
    <s v="Non Expert Disbursement"/>
    <s v="Natalie Cutting"/>
    <s v="N"/>
    <n v="268.87"/>
    <n v="0"/>
    <x v="9"/>
    <s v="VALIDATED"/>
    <n v="1"/>
    <s v="01.11.80.302.2012.0000"/>
    <n v="268.87"/>
    <s v="11"/>
    <s v="2012"/>
    <n v="495.32"/>
    <n v="268.87"/>
    <s v="CREDITOR"/>
    <n v="268.87"/>
    <n v="0"/>
    <n v="0"/>
    <n v="0"/>
    <n v="0"/>
  </r>
  <r>
    <n v="62236614"/>
    <s v="N"/>
    <n v="21321141"/>
    <s v="3000016238730003"/>
    <s v="CIVIL"/>
    <d v="2023-06-28T00:00:00"/>
    <d v="2023-07-03T19:04:52"/>
    <m/>
    <d v="2023-07-03T00:00:00"/>
    <n v="699"/>
    <n v="1825"/>
    <s v="62236614"/>
    <s v="62236614"/>
    <m/>
    <m/>
    <n v="22779378"/>
    <m/>
    <m/>
    <m/>
    <s v="SOLPOA"/>
    <s v="SOLPOA"/>
    <s v="CCMS"/>
    <n v="21321141"/>
    <n v="55"/>
    <m/>
    <s v="N"/>
    <n v="1"/>
    <d v="2023-07-03T19:04:58"/>
    <s v="N"/>
    <s v="Expert Cost"/>
    <s v="Expert Cost"/>
    <s v="Expert Disbursement"/>
    <s v="Natalie Cutting"/>
    <s v="N"/>
    <n v="55"/>
    <n v="0"/>
    <x v="3"/>
    <s v="VALIDATED"/>
    <n v="1"/>
    <s v="01.11.80.308.2012.0000"/>
    <n v="55"/>
    <s v="11"/>
    <s v="2012"/>
    <n v="495.32"/>
    <n v="55"/>
    <s v="CREDITOR"/>
    <n v="55"/>
    <n v="0"/>
    <n v="0"/>
    <n v="0"/>
    <n v="0"/>
  </r>
  <r>
    <n v="45597544"/>
    <s v="N"/>
    <n v="21318749"/>
    <s v="3000011851510011"/>
    <s v="CIVIL"/>
    <d v="2023-06-26T00:00:00"/>
    <d v="2023-07-03T19:01:49"/>
    <m/>
    <d v="2023-07-03T00:00:00"/>
    <n v="714"/>
    <n v="14862"/>
    <s v="45597544"/>
    <s v="45597544"/>
    <m/>
    <m/>
    <n v="22762338"/>
    <m/>
    <m/>
    <m/>
    <s v="SOLFIN"/>
    <s v="SOLFIN"/>
    <s v="CCMS"/>
    <n v="21318749"/>
    <n v="28047.86"/>
    <m/>
    <s v="N"/>
    <n v="18"/>
    <d v="2023-07-03T19:02:02"/>
    <s v="Y"/>
    <s v="Advocates Meeting (Events Model)"/>
    <s v="VHCC"/>
    <s v="Profit Cost"/>
    <s v="Pavandeep Saran"/>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28"/>
    <d v="2023-07-03T19:02:02"/>
    <s v="Y"/>
    <s v="Finding-of-Fact Hearing (Events Mod"/>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20"/>
    <d v="2023-07-03T19:02:02"/>
    <s v="Y"/>
    <s v="Advocates Meeting (Events Model)"/>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29"/>
    <d v="2023-07-03T19:02:02"/>
    <s v="Y"/>
    <s v="Case Management Conference (Events "/>
    <s v="VHCC"/>
    <s v="Profit Cost"/>
    <s v="Pavandeep Saran"/>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19"/>
    <d v="2023-07-03T19:02:02"/>
    <s v="Y"/>
    <s v="Case Management Conference (Events "/>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4"/>
    <d v="2023-07-03T19:02:02"/>
    <s v="Y"/>
    <s v="Advocates Meeting (Events Model)"/>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2"/>
    <d v="2023-07-03T19:02:02"/>
    <s v="Y"/>
    <s v="Advocates Meeting (Events Model)"/>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22"/>
    <d v="2023-07-03T19:02:02"/>
    <s v="Y"/>
    <s v="Case Management Conference (Events "/>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24"/>
    <d v="2023-07-03T19:02:02"/>
    <s v="Y"/>
    <s v="Finding-of-Fact Hearing (Events Mod"/>
    <s v="VHCC"/>
    <s v="Profit Cost"/>
    <s v="Pavandeep Saran"/>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21"/>
    <d v="2023-07-03T19:02:02"/>
    <s v="Y"/>
    <s v="Case Management Conference (Events "/>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27"/>
    <d v="2023-07-03T19:02:02"/>
    <s v="Y"/>
    <s v="Case Management Conference (Events "/>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1"/>
    <d v="2023-07-03T19:02:02"/>
    <s v="Y"/>
    <s v="Issues Resolution Hearing (Events M"/>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6"/>
    <d v="2023-07-03T19:02:02"/>
    <s v="Y"/>
    <s v="Psychologist"/>
    <s v="VHCC"/>
    <s v="Expert Disbursement"/>
    <s v="Jasbinder Dail"/>
    <s v="Y"/>
    <n v="117"/>
    <n v="23.4"/>
    <x v="3"/>
    <s v="VALIDATED"/>
    <n v="1"/>
    <s v="01.11.80.308.6300.0000"/>
    <n v="117"/>
    <s v="11"/>
    <s v="6300"/>
    <n v="20839.32"/>
    <n v="117"/>
    <s v="CREDITOR"/>
    <n v="0"/>
    <n v="0"/>
    <n v="0"/>
    <n v="0"/>
    <n v="117"/>
  </r>
  <r>
    <n v="45597544"/>
    <s v="N"/>
    <n v="21318749"/>
    <s v="3000011851510011"/>
    <s v="CIVIL"/>
    <d v="2023-06-26T00:00:00"/>
    <d v="2023-07-03T19:01:49"/>
    <m/>
    <d v="2023-07-03T00:00:00"/>
    <n v="714"/>
    <n v="14862"/>
    <s v="45597544"/>
    <s v="45597544"/>
    <m/>
    <m/>
    <n v="22762338"/>
    <m/>
    <m/>
    <m/>
    <s v="SOLFIN"/>
    <s v="SOLFIN"/>
    <s v="CCMS"/>
    <n v="21318749"/>
    <n v="28047.86"/>
    <m/>
    <s v="N"/>
    <n v="13"/>
    <d v="2023-07-03T19:02:02"/>
    <s v="Y"/>
    <s v="Finding-of-Fact Hearing (Events Mod"/>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8"/>
    <d v="2023-07-03T19:02:02"/>
    <s v="Y"/>
    <s v="Psychiatrist"/>
    <s v="VHCC"/>
    <s v="Expert Disbursement"/>
    <s v="Jasbinder Dail"/>
    <s v="Y"/>
    <n v="135"/>
    <n v="27"/>
    <x v="3"/>
    <s v="VALIDATED"/>
    <n v="1"/>
    <s v="01.11.80.308.6300.0000"/>
    <n v="135"/>
    <s v="11"/>
    <s v="6300"/>
    <n v="20839.32"/>
    <n v="135"/>
    <s v="CREDITOR"/>
    <n v="0"/>
    <n v="0"/>
    <n v="0"/>
    <n v="0"/>
    <n v="135"/>
  </r>
  <r>
    <n v="45597544"/>
    <s v="N"/>
    <n v="21318749"/>
    <s v="3000011851510011"/>
    <s v="CIVIL"/>
    <d v="2023-06-26T00:00:00"/>
    <d v="2023-07-03T19:01:49"/>
    <m/>
    <d v="2023-07-03T00:00:00"/>
    <n v="714"/>
    <n v="14862"/>
    <s v="45597544"/>
    <s v="45597544"/>
    <m/>
    <m/>
    <n v="22762338"/>
    <m/>
    <m/>
    <m/>
    <s v="SOLFIN"/>
    <s v="SOLFIN"/>
    <s v="CCMS"/>
    <n v="21318749"/>
    <n v="28047.86"/>
    <m/>
    <s v="N"/>
    <n v="10"/>
    <d v="2023-07-03T19:02:02"/>
    <s v="Y"/>
    <s v="Psychiatrist"/>
    <s v="VHCC"/>
    <s v="Expert Disbursement"/>
    <s v="Jasbinder Dail"/>
    <s v="Y"/>
    <n v="997.23"/>
    <n v="199.45"/>
    <x v="3"/>
    <s v="VALIDATED"/>
    <n v="1"/>
    <s v="01.11.80.308.6300.0000"/>
    <n v="997.23"/>
    <s v="11"/>
    <s v="6300"/>
    <n v="20839.32"/>
    <n v="997.23"/>
    <s v="CREDITOR"/>
    <n v="0"/>
    <n v="0"/>
    <n v="0"/>
    <n v="0"/>
    <n v="997.23"/>
  </r>
  <r>
    <n v="45597544"/>
    <s v="N"/>
    <n v="21318749"/>
    <s v="3000011851510011"/>
    <s v="CIVIL"/>
    <d v="2023-06-26T00:00:00"/>
    <d v="2023-07-03T19:01:49"/>
    <m/>
    <d v="2023-07-03T00:00:00"/>
    <n v="714"/>
    <n v="14862"/>
    <s v="45597544"/>
    <s v="45597544"/>
    <m/>
    <m/>
    <n v="22762338"/>
    <m/>
    <m/>
    <m/>
    <s v="SOLFIN"/>
    <s v="SOLFIN"/>
    <s v="CCMS"/>
    <n v="21318749"/>
    <n v="28047.86"/>
    <m/>
    <s v="N"/>
    <n v="15"/>
    <d v="2023-07-03T19:02:02"/>
    <s v="Y"/>
    <s v="Finding-of-Fact Hearing (Events Mod"/>
    <s v="VHCC"/>
    <s v="Profit Cost"/>
    <s v="Pavandeep Saran"/>
    <s v="Y"/>
    <n v="707"/>
    <n v="141.4"/>
    <x v="3"/>
    <s v="VALIDATED"/>
    <n v="1"/>
    <s v="01.11.80.308.6100.0000"/>
    <n v="707"/>
    <s v="11"/>
    <s v="6100"/>
    <n v="20839.32"/>
    <n v="707"/>
    <s v="CREDITOR"/>
    <n v="0"/>
    <n v="0"/>
    <n v="0"/>
    <n v="0"/>
    <n v="707"/>
  </r>
  <r>
    <n v="61513281"/>
    <s v="N"/>
    <n v="21318936"/>
    <s v="3000015634700005"/>
    <s v="CIVIL"/>
    <d v="2023-06-16T00:00:00"/>
    <d v="2023-07-03T19:01:49"/>
    <m/>
    <d v="2023-07-03T00:00:00"/>
    <n v="714"/>
    <n v="14862"/>
    <s v="61513281"/>
    <s v="61513281"/>
    <m/>
    <m/>
    <n v="22705418"/>
    <m/>
    <m/>
    <m/>
    <s v="SOLPOA"/>
    <s v="SOLPOA"/>
    <s v="CCMS"/>
    <n v="21318936"/>
    <n v="72.90000000000001"/>
    <m/>
    <s v="N"/>
    <n v="1"/>
    <d v="2023-07-03T19:02:05"/>
    <s v="N"/>
    <s v="Non Expert Disbursement"/>
    <s v="Non Expert Disbursement"/>
    <s v="Non Expert Disbursement"/>
    <s v="Pamaldeep Holait"/>
    <s v="N"/>
    <n v="60.75"/>
    <n v="12.15"/>
    <x v="3"/>
    <s v="VALIDATED"/>
    <n v="1"/>
    <s v="01.11.80.308.2012.0000"/>
    <n v="60.75"/>
    <s v="11"/>
    <s v="2012"/>
    <n v="20839.32"/>
    <n v="60.75"/>
    <s v="CREDITOR"/>
    <n v="60.75"/>
    <n v="0"/>
    <n v="0"/>
    <n v="0"/>
    <n v="0"/>
  </r>
  <r>
    <n v="45597544"/>
    <s v="N"/>
    <n v="21318749"/>
    <s v="3000011851510011"/>
    <s v="CIVIL"/>
    <d v="2023-06-26T00:00:00"/>
    <d v="2023-07-03T19:01:49"/>
    <m/>
    <d v="2023-07-03T00:00:00"/>
    <n v="714"/>
    <n v="14862"/>
    <s v="45597544"/>
    <s v="45597544"/>
    <m/>
    <m/>
    <n v="22762338"/>
    <m/>
    <m/>
    <m/>
    <s v="SOLFIN"/>
    <s v="SOLFIN"/>
    <s v="CCMS"/>
    <n v="21318749"/>
    <n v="28047.86"/>
    <m/>
    <s v="N"/>
    <n v="7"/>
    <d v="2023-07-03T19:02:02"/>
    <s v="Y"/>
    <s v="Psychologist"/>
    <s v="VHCC"/>
    <s v="Expert Disbursement"/>
    <s v="Jasbinder Dail"/>
    <s v="Y"/>
    <n v="740.23"/>
    <n v="148.05"/>
    <x v="3"/>
    <s v="VALIDATED"/>
    <n v="1"/>
    <s v="01.11.80.308.6300.0000"/>
    <n v="740.23"/>
    <s v="11"/>
    <s v="6300"/>
    <n v="20839.32"/>
    <n v="740.23"/>
    <s v="CREDITOR"/>
    <n v="0"/>
    <n v="0"/>
    <n v="0"/>
    <n v="0"/>
    <n v="740.23"/>
  </r>
  <r>
    <n v="45597544"/>
    <s v="N"/>
    <n v="21318749"/>
    <s v="3000011851510011"/>
    <s v="CIVIL"/>
    <d v="2023-06-26T00:00:00"/>
    <d v="2023-07-03T19:01:49"/>
    <m/>
    <d v="2023-07-03T00:00:00"/>
    <n v="714"/>
    <n v="14862"/>
    <s v="45597544"/>
    <s v="45597544"/>
    <m/>
    <m/>
    <n v="22762338"/>
    <m/>
    <m/>
    <m/>
    <s v="SOLFIN"/>
    <s v="SOLFIN"/>
    <s v="CCMS"/>
    <n v="21318749"/>
    <n v="28047.86"/>
    <m/>
    <s v="N"/>
    <n v="17"/>
    <d v="2023-07-03T19:02:02"/>
    <s v="Y"/>
    <s v="Advocates Meeting (Events Model)"/>
    <s v="VHCC"/>
    <s v="Profit Cost"/>
    <s v="Pavandeep Saran"/>
    <s v="Y"/>
    <n v="707"/>
    <n v="141.4"/>
    <x v="3"/>
    <s v="VALIDATED"/>
    <n v="1"/>
    <s v="01.11.80.308.6100.0000"/>
    <n v="707"/>
    <s v="11"/>
    <s v="6100"/>
    <n v="20839.32"/>
    <n v="707"/>
    <s v="CREDITOR"/>
    <n v="0"/>
    <n v="0"/>
    <n v="0"/>
    <n v="0"/>
    <n v="707"/>
  </r>
  <r>
    <n v="45597544"/>
    <s v="N"/>
    <n v="21324352"/>
    <s v="3000011851510009RC"/>
    <s v="CIVIL"/>
    <d v="2023-06-26T00:00:00"/>
    <d v="2023-07-03T19:42:50"/>
    <m/>
    <d v="2023-07-03T00:00:00"/>
    <n v="714"/>
    <n v="14862"/>
    <s v="45597544"/>
    <s v="45597544"/>
    <m/>
    <m/>
    <m/>
    <m/>
    <m/>
    <m/>
    <s v="SOLRECOUP"/>
    <s v="SOLRECOUP"/>
    <s v="POARECOUP"/>
    <n v="21324352"/>
    <n v="-162"/>
    <m/>
    <s v="Y"/>
    <n v="2"/>
    <d v="2023-07-03T19:42:51"/>
    <s v="N"/>
    <m/>
    <m/>
    <s v="Expert Disbursement"/>
    <m/>
    <s v="N"/>
    <n v="0"/>
    <n v="-27"/>
    <x v="3"/>
    <s v="VALIDATED"/>
    <n v="1"/>
    <s v="01.11.80.308.2013.0000"/>
    <n v="-27"/>
    <s v="11"/>
    <s v="2013"/>
    <n v="20839.32"/>
    <n v="-27"/>
    <s v="CREDITOR"/>
    <n v="0"/>
    <n v="0"/>
    <n v="-27"/>
    <n v="0"/>
    <n v="0"/>
  </r>
  <r>
    <n v="45597544"/>
    <s v="N"/>
    <n v="21324353"/>
    <s v="3000011851510010RC"/>
    <s v="CIVIL"/>
    <d v="2023-06-26T00:00:00"/>
    <d v="2023-07-03T19:42:50"/>
    <m/>
    <d v="2023-07-03T00:00:00"/>
    <n v="714"/>
    <n v="14862"/>
    <s v="45597544"/>
    <s v="45597544"/>
    <m/>
    <m/>
    <m/>
    <m/>
    <m/>
    <m/>
    <s v="SOLRECOUP"/>
    <s v="SOLRECOUP"/>
    <s v="POARECOUP"/>
    <n v="21324353"/>
    <n v="-140.4"/>
    <m/>
    <s v="Y"/>
    <n v="1"/>
    <d v="2023-07-03T19:42:51"/>
    <s v="N"/>
    <m/>
    <m/>
    <s v="Expert Disbursement"/>
    <m/>
    <s v="N"/>
    <n v="-117"/>
    <n v="0"/>
    <x v="3"/>
    <s v="VALIDATED"/>
    <n v="1"/>
    <s v="01.11.80.308.2013.0000"/>
    <n v="-117"/>
    <s v="11"/>
    <s v="2013"/>
    <n v="20839.32"/>
    <n v="-117"/>
    <s v="CREDITOR"/>
    <n v="0"/>
    <n v="0"/>
    <n v="-117"/>
    <n v="0"/>
    <n v="0"/>
  </r>
  <r>
    <n v="45597544"/>
    <s v="N"/>
    <n v="21324353"/>
    <s v="3000011851510010RC"/>
    <s v="CIVIL"/>
    <d v="2023-06-26T00:00:00"/>
    <d v="2023-07-03T19:42:50"/>
    <m/>
    <d v="2023-07-03T00:00:00"/>
    <n v="714"/>
    <n v="14862"/>
    <s v="45597544"/>
    <s v="45597544"/>
    <m/>
    <m/>
    <m/>
    <m/>
    <m/>
    <m/>
    <s v="SOLRECOUP"/>
    <s v="SOLRECOUP"/>
    <s v="POARECOUP"/>
    <n v="21324353"/>
    <n v="-140.4"/>
    <m/>
    <s v="Y"/>
    <n v="2"/>
    <d v="2023-07-03T19:42:51"/>
    <s v="N"/>
    <m/>
    <m/>
    <s v="Expert Disbursement"/>
    <m/>
    <s v="N"/>
    <n v="0"/>
    <n v="-23.4"/>
    <x v="3"/>
    <s v="VALIDATED"/>
    <n v="1"/>
    <s v="01.11.80.308.2013.0000"/>
    <n v="-23.4"/>
    <s v="11"/>
    <s v="2013"/>
    <n v="20839.32"/>
    <n v="-23.4"/>
    <s v="CREDITOR"/>
    <n v="0"/>
    <n v="0"/>
    <n v="-23.4"/>
    <n v="0"/>
    <n v="0"/>
  </r>
  <r>
    <n v="45597544"/>
    <s v="N"/>
    <n v="21324348"/>
    <s v="3000011851510004RC"/>
    <s v="CIVIL"/>
    <d v="2023-06-26T00:00:00"/>
    <d v="2023-07-03T19:42:50"/>
    <m/>
    <d v="2023-07-03T00:00:00"/>
    <n v="714"/>
    <n v="14862"/>
    <s v="45597544"/>
    <s v="45597544"/>
    <m/>
    <m/>
    <m/>
    <m/>
    <m/>
    <m/>
    <s v="SOLRECOUP"/>
    <s v="SOLRECOUP"/>
    <s v="POARECOUP"/>
    <n v="21324348"/>
    <n v="-888.28"/>
    <m/>
    <s v="Y"/>
    <n v="1"/>
    <d v="2023-07-03T19:42:51"/>
    <s v="N"/>
    <m/>
    <m/>
    <s v="Expert Disbursement"/>
    <m/>
    <s v="N"/>
    <n v="-740.23"/>
    <n v="0"/>
    <x v="3"/>
    <s v="VALIDATED"/>
    <n v="1"/>
    <s v="01.11.80.308.2013.0000"/>
    <n v="-740.23"/>
    <s v="11"/>
    <s v="2013"/>
    <n v="20839.32"/>
    <n v="-740.23"/>
    <s v="CREDITOR"/>
    <n v="0"/>
    <n v="0"/>
    <n v="-740.23"/>
    <n v="0"/>
    <n v="0"/>
  </r>
  <r>
    <n v="45597544"/>
    <s v="N"/>
    <n v="21324348"/>
    <s v="3000011851510004RC"/>
    <s v="CIVIL"/>
    <d v="2023-06-26T00:00:00"/>
    <d v="2023-07-03T19:42:50"/>
    <m/>
    <d v="2023-07-03T00:00:00"/>
    <n v="714"/>
    <n v="14862"/>
    <s v="45597544"/>
    <s v="45597544"/>
    <m/>
    <m/>
    <m/>
    <m/>
    <m/>
    <m/>
    <s v="SOLRECOUP"/>
    <s v="SOLRECOUP"/>
    <s v="POARECOUP"/>
    <n v="21324348"/>
    <n v="-888.28"/>
    <m/>
    <s v="Y"/>
    <n v="2"/>
    <d v="2023-07-03T19:42:51"/>
    <s v="N"/>
    <m/>
    <m/>
    <s v="Expert Disbursement"/>
    <m/>
    <s v="N"/>
    <n v="0"/>
    <n v="-148.05"/>
    <x v="3"/>
    <s v="VALIDATED"/>
    <n v="1"/>
    <s v="01.11.80.308.2013.0000"/>
    <n v="-148.05"/>
    <s v="11"/>
    <s v="2013"/>
    <n v="20839.32"/>
    <n v="-148.05"/>
    <s v="CREDITOR"/>
    <n v="0"/>
    <n v="0"/>
    <n v="-148.05"/>
    <n v="0"/>
    <n v="0"/>
  </r>
  <r>
    <n v="45597544"/>
    <s v="N"/>
    <n v="21324349"/>
    <s v="3000011851510006RC"/>
    <s v="CIVIL"/>
    <d v="2023-06-26T00:00:00"/>
    <d v="2023-07-03T19:42:50"/>
    <m/>
    <d v="2023-07-03T00:00:00"/>
    <n v="714"/>
    <n v="14862"/>
    <s v="45597544"/>
    <s v="45597544"/>
    <m/>
    <m/>
    <m/>
    <m/>
    <m/>
    <m/>
    <s v="SOLRECOUP"/>
    <s v="SOLRECOUP"/>
    <s v="POARECOUP"/>
    <n v="21324349"/>
    <n v="-134.4"/>
    <m/>
    <s v="Y"/>
    <n v="1"/>
    <d v="2023-07-03T19:42:51"/>
    <s v="N"/>
    <m/>
    <m/>
    <s v="Non Expert Disbursement"/>
    <m/>
    <s v="N"/>
    <n v="-112"/>
    <n v="0"/>
    <x v="3"/>
    <s v="VALIDATED"/>
    <n v="1"/>
    <s v="01.11.80.308.2013.0000"/>
    <n v="-112"/>
    <s v="11"/>
    <s v="2013"/>
    <n v="20839.32"/>
    <n v="-112"/>
    <s v="CREDITOR"/>
    <n v="0"/>
    <n v="0"/>
    <n v="-112"/>
    <n v="0"/>
    <n v="0"/>
  </r>
  <r>
    <n v="45597544"/>
    <s v="N"/>
    <n v="21324349"/>
    <s v="3000011851510006RC"/>
    <s v="CIVIL"/>
    <d v="2023-06-26T00:00:00"/>
    <d v="2023-07-03T19:42:50"/>
    <m/>
    <d v="2023-07-03T00:00:00"/>
    <n v="714"/>
    <n v="14862"/>
    <s v="45597544"/>
    <s v="45597544"/>
    <m/>
    <m/>
    <m/>
    <m/>
    <m/>
    <m/>
    <s v="SOLRECOUP"/>
    <s v="SOLRECOUP"/>
    <s v="POARECOUP"/>
    <n v="21324349"/>
    <n v="-134.4"/>
    <m/>
    <s v="Y"/>
    <n v="2"/>
    <d v="2023-07-03T19:42:51"/>
    <s v="N"/>
    <m/>
    <m/>
    <s v="Non Expert Disbursement"/>
    <m/>
    <s v="N"/>
    <n v="0"/>
    <n v="-22.4"/>
    <x v="3"/>
    <s v="VALIDATED"/>
    <n v="1"/>
    <s v="01.11.80.308.2013.0000"/>
    <n v="-22.4"/>
    <s v="11"/>
    <s v="2013"/>
    <n v="20839.32"/>
    <n v="-22.4"/>
    <s v="CREDITOR"/>
    <n v="0"/>
    <n v="0"/>
    <n v="-22.4"/>
    <n v="0"/>
    <n v="0"/>
  </r>
  <r>
    <n v="45597544"/>
    <s v="N"/>
    <n v="21324350"/>
    <s v="3000011851510003RC"/>
    <s v="CIVIL"/>
    <d v="2023-06-26T00:00:00"/>
    <d v="2023-07-03T19:42:50"/>
    <m/>
    <d v="2023-07-03T00:00:00"/>
    <n v="714"/>
    <n v="14862"/>
    <s v="45597544"/>
    <s v="45597544"/>
    <m/>
    <m/>
    <m/>
    <m/>
    <m/>
    <m/>
    <s v="SOLRECOUP"/>
    <s v="SOLRECOUP"/>
    <s v="POARECOUP"/>
    <n v="21324350"/>
    <n v="-1196.66"/>
    <m/>
    <s v="Y"/>
    <n v="1"/>
    <d v="2023-07-03T19:42:51"/>
    <s v="N"/>
    <m/>
    <m/>
    <s v="Expert Disbursement"/>
    <m/>
    <s v="N"/>
    <n v="-997.22"/>
    <n v="0"/>
    <x v="3"/>
    <s v="VALIDATED"/>
    <n v="1"/>
    <s v="01.11.80.308.2013.0000"/>
    <n v="-997.22"/>
    <s v="11"/>
    <s v="2013"/>
    <n v="20839.32"/>
    <n v="-997.22"/>
    <s v="CREDITOR"/>
    <n v="0"/>
    <n v="0"/>
    <n v="-997.22"/>
    <n v="0"/>
    <n v="0"/>
  </r>
  <r>
    <n v="45597544"/>
    <s v="N"/>
    <n v="21324350"/>
    <s v="3000011851510003RC"/>
    <s v="CIVIL"/>
    <d v="2023-06-26T00:00:00"/>
    <d v="2023-07-03T19:42:50"/>
    <m/>
    <d v="2023-07-03T00:00:00"/>
    <n v="714"/>
    <n v="14862"/>
    <s v="45597544"/>
    <s v="45597544"/>
    <m/>
    <m/>
    <m/>
    <m/>
    <m/>
    <m/>
    <s v="SOLRECOUP"/>
    <s v="SOLRECOUP"/>
    <s v="POARECOUP"/>
    <n v="21324350"/>
    <n v="-1196.66"/>
    <m/>
    <s v="Y"/>
    <n v="2"/>
    <d v="2023-07-03T19:42:51"/>
    <s v="N"/>
    <m/>
    <m/>
    <s v="Expert Disbursement"/>
    <m/>
    <s v="N"/>
    <n v="0"/>
    <n v="-199.44"/>
    <x v="3"/>
    <s v="VALIDATED"/>
    <n v="1"/>
    <s v="01.11.80.308.2013.0000"/>
    <n v="-199.44"/>
    <s v="11"/>
    <s v="2013"/>
    <n v="20839.32"/>
    <n v="-199.44"/>
    <s v="CREDITOR"/>
    <n v="0"/>
    <n v="0"/>
    <n v="-199.44"/>
    <n v="0"/>
    <n v="0"/>
  </r>
  <r>
    <n v="45597544"/>
    <s v="N"/>
    <n v="21324351"/>
    <s v="3000011851510005RC"/>
    <s v="CIVIL"/>
    <d v="2023-06-26T00:00:00"/>
    <d v="2023-07-03T19:42:50"/>
    <m/>
    <d v="2023-07-03T00:00:00"/>
    <n v="714"/>
    <n v="14862"/>
    <s v="45597544"/>
    <s v="45597544"/>
    <m/>
    <m/>
    <m/>
    <m/>
    <m/>
    <m/>
    <s v="SOLRECOUP"/>
    <s v="SOLRECOUP"/>
    <s v="POARECOUP"/>
    <n v="21324351"/>
    <n v="-72.90000000000001"/>
    <m/>
    <s v="Y"/>
    <n v="1"/>
    <d v="2023-07-03T19:42:51"/>
    <s v="N"/>
    <m/>
    <m/>
    <s v="Expert Disbursement"/>
    <m/>
    <s v="N"/>
    <n v="-60.75"/>
    <n v="0"/>
    <x v="3"/>
    <s v="VALIDATED"/>
    <n v="1"/>
    <s v="01.11.80.308.2013.0000"/>
    <n v="-60.75"/>
    <s v="11"/>
    <s v="2013"/>
    <n v="20839.32"/>
    <n v="-60.75"/>
    <s v="CREDITOR"/>
    <n v="0"/>
    <n v="0"/>
    <n v="-60.75"/>
    <n v="0"/>
    <n v="0"/>
  </r>
  <r>
    <n v="45597544"/>
    <s v="N"/>
    <n v="21324351"/>
    <s v="3000011851510005RC"/>
    <s v="CIVIL"/>
    <d v="2023-06-26T00:00:00"/>
    <d v="2023-07-03T19:42:50"/>
    <m/>
    <d v="2023-07-03T00:00:00"/>
    <n v="714"/>
    <n v="14862"/>
    <s v="45597544"/>
    <s v="45597544"/>
    <m/>
    <m/>
    <m/>
    <m/>
    <m/>
    <m/>
    <s v="SOLRECOUP"/>
    <s v="SOLRECOUP"/>
    <s v="POARECOUP"/>
    <n v="21324351"/>
    <n v="-72.90000000000001"/>
    <m/>
    <s v="Y"/>
    <n v="2"/>
    <d v="2023-07-03T19:42:51"/>
    <s v="N"/>
    <m/>
    <m/>
    <s v="Expert Disbursement"/>
    <m/>
    <s v="N"/>
    <n v="0"/>
    <n v="-12.15"/>
    <x v="3"/>
    <s v="VALIDATED"/>
    <n v="1"/>
    <s v="01.11.80.308.2013.0000"/>
    <n v="-12.15"/>
    <s v="11"/>
    <s v="2013"/>
    <n v="20839.32"/>
    <n v="-12.15"/>
    <s v="CREDITOR"/>
    <n v="0"/>
    <n v="0"/>
    <n v="-12.15"/>
    <n v="0"/>
    <n v="0"/>
  </r>
  <r>
    <n v="45597544"/>
    <s v="N"/>
    <n v="21324352"/>
    <s v="3000011851510009RC"/>
    <s v="CIVIL"/>
    <d v="2023-06-26T00:00:00"/>
    <d v="2023-07-03T19:42:50"/>
    <m/>
    <d v="2023-07-03T00:00:00"/>
    <n v="714"/>
    <n v="14862"/>
    <s v="45597544"/>
    <s v="45597544"/>
    <m/>
    <m/>
    <m/>
    <m/>
    <m/>
    <m/>
    <s v="SOLRECOUP"/>
    <s v="SOLRECOUP"/>
    <s v="POARECOUP"/>
    <n v="21324352"/>
    <n v="-162"/>
    <m/>
    <s v="Y"/>
    <n v="1"/>
    <d v="2023-07-03T19:42:51"/>
    <s v="N"/>
    <m/>
    <m/>
    <s v="Expert Disbursement"/>
    <m/>
    <s v="N"/>
    <n v="-135"/>
    <n v="0"/>
    <x v="3"/>
    <s v="VALIDATED"/>
    <n v="1"/>
    <s v="01.11.80.308.2013.0000"/>
    <n v="-135"/>
    <s v="11"/>
    <s v="2013"/>
    <n v="20839.32"/>
    <n v="-135"/>
    <s v="CREDITOR"/>
    <n v="0"/>
    <n v="0"/>
    <n v="-135"/>
    <n v="0"/>
    <n v="0"/>
  </r>
  <r>
    <n v="45597544"/>
    <s v="N"/>
    <n v="21318749"/>
    <s v="3000011851510011"/>
    <s v="CIVIL"/>
    <d v="2023-06-26T00:00:00"/>
    <d v="2023-07-03T19:01:49"/>
    <m/>
    <d v="2023-07-03T00:00:00"/>
    <n v="714"/>
    <n v="14862"/>
    <s v="45597544"/>
    <s v="45597544"/>
    <m/>
    <m/>
    <n v="22762338"/>
    <m/>
    <m/>
    <m/>
    <s v="SOLFIN"/>
    <s v="SOLFIN"/>
    <s v="CCMS"/>
    <n v="21318749"/>
    <n v="28047.86"/>
    <m/>
    <s v="N"/>
    <n v="16"/>
    <d v="2023-07-03T19:02:02"/>
    <s v="Y"/>
    <s v="Case Management Conference (Events "/>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5"/>
    <d v="2023-07-03T19:02:02"/>
    <s v="Y"/>
    <s v="Expert - Other"/>
    <s v="VHCC"/>
    <s v="Expert Disbursement"/>
    <s v="Jasbinder Dail"/>
    <s v="Y"/>
    <n v="112"/>
    <n v="22.4"/>
    <x v="3"/>
    <s v="VALIDATED"/>
    <n v="1"/>
    <s v="01.11.80.308.6300.0000"/>
    <n v="112"/>
    <s v="11"/>
    <s v="6300"/>
    <n v="20839.32"/>
    <n v="112"/>
    <s v="CREDITOR"/>
    <n v="0"/>
    <n v="0"/>
    <n v="0"/>
    <n v="0"/>
    <n v="112"/>
  </r>
  <r>
    <n v="45597544"/>
    <s v="N"/>
    <n v="21318749"/>
    <s v="3000011851510011"/>
    <s v="CIVIL"/>
    <d v="2023-06-26T00:00:00"/>
    <d v="2023-07-03T19:01:49"/>
    <m/>
    <d v="2023-07-03T00:00:00"/>
    <n v="714"/>
    <n v="14862"/>
    <s v="45597544"/>
    <s v="45597544"/>
    <m/>
    <m/>
    <n v="22762338"/>
    <m/>
    <m/>
    <m/>
    <s v="SOLFIN"/>
    <s v="SOLFIN"/>
    <s v="CCMS"/>
    <n v="21318749"/>
    <n v="28047.86"/>
    <m/>
    <s v="N"/>
    <n v="9"/>
    <d v="2023-07-03T19:02:02"/>
    <s v="Y"/>
    <s v="Psychiatrist"/>
    <s v="VHCC"/>
    <s v="Expert Disbursement"/>
    <s v="Jasbinder Dail"/>
    <s v="Y"/>
    <n v="60.75"/>
    <n v="12.15"/>
    <x v="3"/>
    <s v="VALIDATED"/>
    <n v="1"/>
    <s v="01.11.80.308.6300.0000"/>
    <n v="60.75"/>
    <s v="11"/>
    <s v="6300"/>
    <n v="20839.32"/>
    <n v="60.75"/>
    <s v="CREDITOR"/>
    <n v="0"/>
    <n v="0"/>
    <n v="0"/>
    <n v="0"/>
    <n v="60.75"/>
  </r>
  <r>
    <n v="45597544"/>
    <s v="N"/>
    <n v="21318749"/>
    <s v="3000011851510011"/>
    <s v="CIVIL"/>
    <d v="2023-06-26T00:00:00"/>
    <d v="2023-07-03T19:01:49"/>
    <m/>
    <d v="2023-07-03T00:00:00"/>
    <n v="714"/>
    <n v="14862"/>
    <s v="45597544"/>
    <s v="45597544"/>
    <m/>
    <m/>
    <n v="22762338"/>
    <m/>
    <m/>
    <m/>
    <s v="SOLFIN"/>
    <s v="SOLFIN"/>
    <s v="CCMS"/>
    <n v="21318749"/>
    <n v="28047.86"/>
    <m/>
    <s v="N"/>
    <n v="14"/>
    <d v="2023-07-03T19:02:02"/>
    <s v="Y"/>
    <s v="Finding-of-Fact Hearing (Events Mod"/>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25"/>
    <d v="2023-07-03T19:02:02"/>
    <s v="Y"/>
    <s v="Advocates Meeting (Events Model)"/>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23"/>
    <d v="2023-07-03T19:02:02"/>
    <s v="Y"/>
    <s v="Case Management Conference (Events "/>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3"/>
    <d v="2023-07-03T19:02:02"/>
    <s v="Y"/>
    <s v="Case Management Conference (Events "/>
    <s v="VHCC"/>
    <s v="Profit Cost"/>
    <s v="Jasbinder Dail"/>
    <s v="Y"/>
    <n v="1157"/>
    <n v="231.4"/>
    <x v="3"/>
    <s v="VALIDATED"/>
    <n v="1"/>
    <s v="01.11.80.308.6100.0000"/>
    <n v="1157"/>
    <s v="11"/>
    <s v="6100"/>
    <n v="20839.32"/>
    <n v="1157"/>
    <s v="CREDITOR"/>
    <n v="0"/>
    <n v="0"/>
    <n v="0"/>
    <n v="0"/>
    <n v="1157"/>
  </r>
  <r>
    <n v="45597544"/>
    <s v="N"/>
    <n v="21318749"/>
    <s v="3000011851510011"/>
    <s v="CIVIL"/>
    <d v="2023-06-26T00:00:00"/>
    <d v="2023-07-03T19:01:49"/>
    <m/>
    <d v="2023-07-03T00:00:00"/>
    <n v="714"/>
    <n v="14862"/>
    <s v="45597544"/>
    <s v="45597544"/>
    <m/>
    <m/>
    <n v="22762338"/>
    <m/>
    <m/>
    <m/>
    <s v="SOLFIN"/>
    <s v="SOLFIN"/>
    <s v="CCMS"/>
    <n v="21318749"/>
    <n v="28047.86"/>
    <m/>
    <s v="N"/>
    <n v="12"/>
    <d v="2023-07-03T19:02:02"/>
    <s v="Y"/>
    <s v="Finding-of-Fact Hearing (Events Mod"/>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11"/>
    <d v="2023-07-03T19:02:02"/>
    <s v="Y"/>
    <s v="Finding-of-Fact Hearing (Events Mod"/>
    <s v="VHCC"/>
    <s v="Profit Cost"/>
    <s v="Pavandeep Saran"/>
    <s v="Y"/>
    <n v="707"/>
    <n v="141.4"/>
    <x v="3"/>
    <s v="VALIDATED"/>
    <n v="1"/>
    <s v="01.11.80.308.6100.0000"/>
    <n v="707"/>
    <s v="11"/>
    <s v="6100"/>
    <n v="20839.32"/>
    <n v="707"/>
    <s v="CREDITOR"/>
    <n v="0"/>
    <n v="0"/>
    <n v="0"/>
    <n v="0"/>
    <n v="707"/>
  </r>
  <r>
    <n v="45597544"/>
    <s v="N"/>
    <n v="21318749"/>
    <s v="3000011851510011"/>
    <s v="CIVIL"/>
    <d v="2023-06-26T00:00:00"/>
    <d v="2023-07-03T19:01:49"/>
    <m/>
    <d v="2023-07-03T00:00:00"/>
    <n v="714"/>
    <n v="14862"/>
    <s v="45597544"/>
    <s v="45597544"/>
    <m/>
    <m/>
    <n v="22762338"/>
    <m/>
    <m/>
    <m/>
    <s v="SOLFIN"/>
    <s v="SOLFIN"/>
    <s v="CCMS"/>
    <n v="21318749"/>
    <n v="28047.86"/>
    <m/>
    <s v="N"/>
    <n v="26"/>
    <d v="2023-07-03T19:02:02"/>
    <s v="Y"/>
    <s v="Finding-of-Fact Hearing (Events Mod"/>
    <s v="VHCC"/>
    <s v="Profit Cost"/>
    <s v="Pavandeep Saran"/>
    <s v="Y"/>
    <n v="707"/>
    <n v="141.4"/>
    <x v="3"/>
    <s v="VALIDATED"/>
    <n v="1"/>
    <s v="01.11.80.308.6100.0000"/>
    <n v="707"/>
    <s v="11"/>
    <s v="6100"/>
    <n v="20839.32"/>
    <n v="707"/>
    <s v="CREDITOR"/>
    <n v="0"/>
    <n v="0"/>
    <n v="0"/>
    <n v="0"/>
    <n v="707"/>
  </r>
  <r>
    <n v="60681058"/>
    <s v="N"/>
    <n v="21319265"/>
    <s v="3000014931270007"/>
    <s v="CIVIL"/>
    <d v="2023-06-27T00:00:00"/>
    <d v="2023-07-03T19:04:24"/>
    <m/>
    <d v="2023-07-03T00:00:00"/>
    <n v="721"/>
    <n v="14908"/>
    <s v="60681058"/>
    <s v="60681058"/>
    <m/>
    <m/>
    <n v="22774546"/>
    <m/>
    <m/>
    <m/>
    <s v="SOLPOA"/>
    <s v="SOLPOA"/>
    <s v="CCMS"/>
    <n v="21319265"/>
    <n v="585"/>
    <m/>
    <s v="N"/>
    <n v="1"/>
    <d v="2023-07-03T19:04:24"/>
    <s v="N"/>
    <s v="Expert Cost"/>
    <s v="Expert Cost"/>
    <s v="Expert Disbursement"/>
    <s v="Alexandra Scott Malden"/>
    <s v="N"/>
    <n v="585"/>
    <n v="0"/>
    <x v="3"/>
    <s v="VALIDATED"/>
    <n v="1"/>
    <s v="01.11.80.308.2012.0000"/>
    <n v="585"/>
    <s v="11"/>
    <s v="2012"/>
    <n v="585"/>
    <n v="585"/>
    <s v="CREDITOR"/>
    <n v="585"/>
    <n v="0"/>
    <n v="0"/>
    <n v="0"/>
    <n v="0"/>
  </r>
  <r>
    <n v="61504969"/>
    <s v="N"/>
    <n v="21330604"/>
    <s v="3000015627940015"/>
    <s v="CIVIL"/>
    <d v="2023-06-30T00:00:00"/>
    <d v="2023-07-05T19:01:47"/>
    <m/>
    <d v="2023-07-05T00:00:00"/>
    <n v="736"/>
    <n v="2614"/>
    <s v="61504969"/>
    <s v="61504969"/>
    <m/>
    <m/>
    <n v="22801622"/>
    <m/>
    <m/>
    <m/>
    <s v="SOLPOA"/>
    <s v="SOLPOA"/>
    <s v="CCMS"/>
    <n v="21330604"/>
    <n v="252.72"/>
    <m/>
    <s v="N"/>
    <n v="1"/>
    <d v="2023-07-05T19:01:51"/>
    <s v="N"/>
    <s v="Expert Cost"/>
    <s v="Expert Cost"/>
    <s v="Expert Disbursement"/>
    <s v="am"/>
    <s v="N"/>
    <n v="210.6"/>
    <n v="42.12"/>
    <x v="6"/>
    <s v="VALIDATED"/>
    <n v="1"/>
    <s v="01.11.80.308.2012.0000"/>
    <n v="210.6"/>
    <s v="11"/>
    <s v="2012"/>
    <n v="13800.4"/>
    <n v="210.6"/>
    <s v="CREDITOR"/>
    <n v="210.6"/>
    <n v="0"/>
    <n v="0"/>
    <n v="0"/>
    <n v="0"/>
  </r>
  <r>
    <n v="61987125"/>
    <s v="N"/>
    <n v="21320564"/>
    <s v="3000016032190004"/>
    <s v="CIVIL"/>
    <d v="2023-06-28T00:00:00"/>
    <d v="2023-07-03T19:04:52"/>
    <m/>
    <d v="2023-07-03T00:00:00"/>
    <n v="736"/>
    <n v="2614"/>
    <s v="61987125"/>
    <s v="61987125"/>
    <m/>
    <m/>
    <n v="22778862"/>
    <m/>
    <m/>
    <m/>
    <s v="SOLPOA"/>
    <s v="SOLPOA"/>
    <s v="CCMS"/>
    <n v="21320564"/>
    <n v="579.5599999999999"/>
    <m/>
    <s v="N"/>
    <n v="1"/>
    <d v="2023-07-03T19:04:55"/>
    <s v="N"/>
    <s v="Expert Cost"/>
    <s v="Expert Cost"/>
    <s v="Expert Disbursement"/>
    <s v="Alex Magill"/>
    <s v="N"/>
    <n v="482.97"/>
    <n v="96.59"/>
    <x v="3"/>
    <s v="VALIDATED"/>
    <n v="1"/>
    <s v="01.11.80.308.2012.0000"/>
    <n v="482.97"/>
    <s v="11"/>
    <s v="2012"/>
    <n v="13800.4"/>
    <n v="482.97"/>
    <s v="CREDITOR"/>
    <n v="482.97"/>
    <n v="0"/>
    <n v="0"/>
    <n v="0"/>
    <n v="0"/>
  </r>
  <r>
    <n v="61509280"/>
    <s v="N"/>
    <n v="21318738"/>
    <s v="3000015631670012"/>
    <s v="CIVIL"/>
    <d v="2023-06-26T00:00:00"/>
    <d v="2023-07-03T19:01:49"/>
    <m/>
    <d v="2023-07-03T00:00:00"/>
    <n v="736"/>
    <n v="2614"/>
    <s v="61509280"/>
    <s v="61509280"/>
    <m/>
    <m/>
    <n v="22761368"/>
    <m/>
    <m/>
    <m/>
    <s v="SOLPOA"/>
    <s v="SOLPOA"/>
    <s v="CCMS"/>
    <n v="21318738"/>
    <n v="5038.34"/>
    <m/>
    <s v="N"/>
    <n v="1"/>
    <d v="2023-07-03T19:02:02"/>
    <s v="N"/>
    <s v="Solicitors Fixed Fee"/>
    <s v="Public Law Children"/>
    <s v="Profit Cost"/>
    <s v="am"/>
    <s v="N"/>
    <n v="4198.62"/>
    <n v="839.72"/>
    <x v="3"/>
    <s v="VALIDATED"/>
    <n v="1"/>
    <s v="01.11.80.308.2012.0000"/>
    <n v="4198.62"/>
    <s v="11"/>
    <s v="2012"/>
    <n v="13800.4"/>
    <n v="4198.62"/>
    <s v="CREDITOR"/>
    <n v="4198.62"/>
    <n v="1049.655"/>
    <n v="0"/>
    <n v="0"/>
    <n v="0"/>
  </r>
  <r>
    <n v="61430756"/>
    <s v="N"/>
    <n v="21349379"/>
    <s v="3000015565930010"/>
    <s v="CIVIL"/>
    <d v="2023-06-29T00:00:00"/>
    <d v="2023-07-10T19:01:40"/>
    <m/>
    <d v="2023-07-10T00:00:00"/>
    <n v="736"/>
    <n v="2614"/>
    <s v="61430756"/>
    <s v="61430756"/>
    <m/>
    <m/>
    <n v="22786632"/>
    <m/>
    <m/>
    <m/>
    <s v="SOLPOA"/>
    <s v="SOLPOA"/>
    <s v="CCMS"/>
    <n v="21349379"/>
    <n v="2037.6"/>
    <m/>
    <s v="N"/>
    <n v="1"/>
    <d v="2023-07-10T19:01:48"/>
    <s v="N"/>
    <s v="Expert Cost"/>
    <s v="Expert Cost"/>
    <s v="Expert Disbursement"/>
    <s v="NMcE"/>
    <s v="N"/>
    <n v="1698"/>
    <n v="339.6"/>
    <x v="2"/>
    <s v="VALIDATED"/>
    <n v="1"/>
    <s v="01.11.80.308.2012.0000"/>
    <n v="1698"/>
    <s v="11"/>
    <s v="2012"/>
    <n v="13800.4"/>
    <n v="1698"/>
    <s v="CREDITOR"/>
    <n v="1698"/>
    <n v="0"/>
    <n v="0"/>
    <n v="0"/>
    <n v="0"/>
  </r>
  <r>
    <n v="61201615"/>
    <s v="N"/>
    <n v="21318800"/>
    <s v="3000015377320014"/>
    <s v="CIVIL"/>
    <d v="2023-06-26T00:00:00"/>
    <d v="2023-07-03T19:01:49"/>
    <m/>
    <d v="2023-07-03T00:00:00"/>
    <n v="736"/>
    <n v="2614"/>
    <s v="61201615"/>
    <s v="61201615"/>
    <m/>
    <m/>
    <n v="22761336"/>
    <m/>
    <m/>
    <m/>
    <s v="SOLPOA"/>
    <s v="SOLPOA"/>
    <s v="CCMS"/>
    <n v="21318800"/>
    <n v="8334.01"/>
    <m/>
    <s v="N"/>
    <n v="1"/>
    <d v="2023-07-03T19:02:03"/>
    <s v="N"/>
    <s v="Solicitors Fixed Fee"/>
    <s v="Public Law Children"/>
    <s v="Profit Cost"/>
    <s v="am"/>
    <s v="N"/>
    <n v="6945.01"/>
    <n v="1389"/>
    <x v="3"/>
    <s v="VALIDATED"/>
    <n v="1"/>
    <s v="01.11.80.308.2012.0000"/>
    <n v="6945.01"/>
    <s v="11"/>
    <s v="2012"/>
    <n v="13800.4"/>
    <n v="6945.01"/>
    <s v="CREDITOR"/>
    <n v="6945.01"/>
    <n v="1736.2525"/>
    <n v="0"/>
    <n v="0"/>
    <n v="0"/>
  </r>
  <r>
    <n v="60448209"/>
    <s v="N"/>
    <n v="21320631"/>
    <s v="3000014731730008"/>
    <s v="CIVIL"/>
    <d v="2023-06-28T00:00:00"/>
    <d v="2023-07-03T19:04:52"/>
    <m/>
    <d v="2023-07-03T00:00:00"/>
    <n v="736"/>
    <n v="2614"/>
    <s v="60448209"/>
    <s v="60448209"/>
    <m/>
    <m/>
    <n v="22781046"/>
    <m/>
    <m/>
    <m/>
    <s v="SOLPOA"/>
    <s v="SOLPOA"/>
    <s v="CCMS"/>
    <n v="21320631"/>
    <n v="318.24"/>
    <m/>
    <s v="N"/>
    <n v="1"/>
    <d v="2023-07-03T19:04:55"/>
    <s v="N"/>
    <s v="Expert Cost"/>
    <s v="Expert Cost"/>
    <s v="Expert Disbursement"/>
    <s v="Alex Magill"/>
    <s v="N"/>
    <n v="265.2"/>
    <n v="53.04"/>
    <x v="3"/>
    <s v="VALIDATED"/>
    <n v="1"/>
    <s v="01.11.80.308.2012.0000"/>
    <n v="265.2"/>
    <s v="11"/>
    <s v="2012"/>
    <n v="13800.4"/>
    <n v="265.2"/>
    <s v="CREDITOR"/>
    <n v="265.2"/>
    <n v="0"/>
    <n v="0"/>
    <n v="0"/>
    <n v="0"/>
  </r>
  <r>
    <n v="10590130"/>
    <s v="N"/>
    <n v="21338593"/>
    <s v="3000006425280010"/>
    <s v="CIVIL"/>
    <d v="2023-06-29T00:00:00"/>
    <d v="2023-07-06T19:21:01"/>
    <m/>
    <d v="2023-07-06T00:00:00"/>
    <n v="742"/>
    <n v="14941"/>
    <s v="10590130"/>
    <s v="10590130"/>
    <m/>
    <m/>
    <n v="22792042"/>
    <m/>
    <m/>
    <m/>
    <s v="SOLINT"/>
    <s v="SOLINT"/>
    <s v="CCMS"/>
    <n v="21338593"/>
    <n v="19747.94"/>
    <m/>
    <s v="N"/>
    <n v="2"/>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1"/>
    <d v="2023-07-06T19:21:29"/>
    <s v="Y"/>
    <s v="Advocates Meeting (Events Model)"/>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4"/>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2"/>
    <d v="2023-07-06T19:21:29"/>
    <s v="Y"/>
    <s v="Child psychologist"/>
    <s v="VHCC"/>
    <s v="Expert Disbursement"/>
    <s v="TML"/>
    <s v="Y"/>
    <n v="1602"/>
    <n v="320.4"/>
    <x v="4"/>
    <s v="VALIDATED"/>
    <n v="1"/>
    <s v="01.11.80.308.6300.0000"/>
    <n v="1602"/>
    <s v="11"/>
    <s v="6300"/>
    <n v="16456.62"/>
    <n v="1602"/>
    <s v="CREDITOR"/>
    <n v="0"/>
    <n v="0"/>
    <n v="0"/>
    <n v="0"/>
    <n v="1602"/>
  </r>
  <r>
    <n v="10590130"/>
    <s v="N"/>
    <n v="21338593"/>
    <s v="3000006425280010"/>
    <s v="CIVIL"/>
    <d v="2023-06-29T00:00:00"/>
    <d v="2023-07-06T19:21:01"/>
    <m/>
    <d v="2023-07-06T00:00:00"/>
    <n v="742"/>
    <n v="14941"/>
    <s v="10590130"/>
    <s v="10590130"/>
    <m/>
    <m/>
    <n v="22792042"/>
    <m/>
    <m/>
    <m/>
    <s v="SOLINT"/>
    <s v="SOLINT"/>
    <s v="CCMS"/>
    <n v="21338593"/>
    <n v="19747.94"/>
    <m/>
    <s v="N"/>
    <n v="3"/>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5"/>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0"/>
    <d v="2023-07-06T19:21:29"/>
    <s v="Y"/>
    <s v="Child psychologist"/>
    <s v="VHCC"/>
    <s v="Expert Disbursement"/>
    <s v="TML"/>
    <s v="Y"/>
    <n v="31.2"/>
    <n v="6.24"/>
    <x v="4"/>
    <s v="VALIDATED"/>
    <n v="1"/>
    <s v="01.11.80.308.6300.0000"/>
    <n v="31.2"/>
    <s v="11"/>
    <s v="6300"/>
    <n v="16456.62"/>
    <n v="31.2"/>
    <s v="CREDITOR"/>
    <n v="0"/>
    <n v="0"/>
    <n v="0"/>
    <n v="0"/>
    <n v="31.2"/>
  </r>
  <r>
    <n v="10590130"/>
    <s v="N"/>
    <n v="21338593"/>
    <s v="3000006425280010"/>
    <s v="CIVIL"/>
    <d v="2023-06-29T00:00:00"/>
    <d v="2023-07-06T19:21:01"/>
    <m/>
    <d v="2023-07-06T00:00:00"/>
    <n v="742"/>
    <n v="14941"/>
    <s v="10590130"/>
    <s v="10590130"/>
    <m/>
    <m/>
    <n v="22792042"/>
    <m/>
    <m/>
    <m/>
    <s v="SOLINT"/>
    <s v="SOLINT"/>
    <s v="CCMS"/>
    <n v="21338593"/>
    <n v="19747.94"/>
    <m/>
    <s v="N"/>
    <n v="4"/>
    <d v="2023-07-06T19:21:29"/>
    <s v="Y"/>
    <s v="Interim/Directions/Review Hearing ("/>
    <s v="VHCC"/>
    <s v="Profit Cost"/>
    <s v="T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9"/>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5"/>
    <d v="2023-07-06T19:21:29"/>
    <s v="Y"/>
    <s v="Advocates Meeting (Events Model)"/>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6"/>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3"/>
    <d v="2023-07-06T19:21:29"/>
    <s v="Y"/>
    <s v="Child psychologist"/>
    <s v="VHCC"/>
    <s v="Expert Disbursement"/>
    <s v="TML"/>
    <s v="Y"/>
    <n v="432.42"/>
    <n v="86.48"/>
    <x v="4"/>
    <s v="VALIDATED"/>
    <n v="1"/>
    <s v="01.11.80.308.6300.0000"/>
    <n v="432.42"/>
    <s v="11"/>
    <s v="6300"/>
    <n v="16456.62"/>
    <n v="432.42"/>
    <s v="CREDITOR"/>
    <n v="0"/>
    <n v="0"/>
    <n v="0"/>
    <n v="0"/>
    <n v="432.42"/>
  </r>
  <r>
    <n v="10590130"/>
    <s v="N"/>
    <n v="21338593"/>
    <s v="3000006425280010"/>
    <s v="CIVIL"/>
    <d v="2023-06-29T00:00:00"/>
    <d v="2023-07-06T19:21:01"/>
    <m/>
    <d v="2023-07-06T00:00:00"/>
    <n v="742"/>
    <n v="14941"/>
    <s v="10590130"/>
    <s v="10590130"/>
    <m/>
    <m/>
    <n v="22792042"/>
    <m/>
    <m/>
    <m/>
    <s v="SOLINT"/>
    <s v="SOLINT"/>
    <s v="CCMS"/>
    <n v="21338593"/>
    <n v="19747.94"/>
    <m/>
    <s v="N"/>
    <n v="7"/>
    <d v="2023-07-06T19:21:29"/>
    <s v="Y"/>
    <s v="Interim/Directions/Review Hearing ("/>
    <s v="VHCC"/>
    <s v="Profit Cost"/>
    <s v="TML"/>
    <s v="Y"/>
    <n v="1107"/>
    <n v="221.4"/>
    <x v="4"/>
    <s v="VALIDATED"/>
    <n v="1"/>
    <s v="01.11.80.308.6100.0000"/>
    <n v="1107"/>
    <s v="11"/>
    <s v="6100"/>
    <n v="16456.62"/>
    <n v="1107"/>
    <s v="CREDITOR"/>
    <n v="0"/>
    <n v="0"/>
    <n v="0"/>
    <n v="0"/>
    <n v="1107"/>
  </r>
  <r>
    <n v="15972048"/>
    <s v="N"/>
    <n v="21392661"/>
    <s v="3000007640000001"/>
    <s v="CIVIL"/>
    <d v="2023-05-05T00:00:00"/>
    <d v="2023-07-18T19:00:27"/>
    <m/>
    <d v="2023-07-18T00:00:00"/>
    <n v="742"/>
    <n v="14941"/>
    <s v="15972048"/>
    <s v="15972048"/>
    <m/>
    <m/>
    <n v="22446506"/>
    <m/>
    <m/>
    <m/>
    <s v="SOLFIN"/>
    <s v="SOLFIN"/>
    <s v="CCMS"/>
    <n v="21392661"/>
    <n v="0"/>
    <m/>
    <s v="N"/>
    <n v="1"/>
    <d v="2023-07-18T19:00:57"/>
    <s v="N"/>
    <s v="NIL BILL"/>
    <s v="Public Law Children"/>
    <s v="Profit Cost"/>
    <s v="JW"/>
    <s v="N"/>
    <n v="0"/>
    <n v="0"/>
    <x v="14"/>
    <s v="VALIDATED"/>
    <n v="1"/>
    <s v="01.11.80.308.6100.0000"/>
    <n v="0"/>
    <s v="11"/>
    <s v="6100"/>
    <n v="16456.62"/>
    <n v="0"/>
    <s v="CREDITOR"/>
    <n v="0"/>
    <n v="0"/>
    <n v="0"/>
    <n v="0"/>
    <n v="0"/>
  </r>
  <r>
    <n v="10590130"/>
    <s v="N"/>
    <n v="21338593"/>
    <s v="3000006425280010"/>
    <s v="CIVIL"/>
    <d v="2023-06-29T00:00:00"/>
    <d v="2023-07-06T19:21:01"/>
    <m/>
    <d v="2023-07-06T00:00:00"/>
    <n v="742"/>
    <n v="14941"/>
    <s v="10590130"/>
    <s v="10590130"/>
    <m/>
    <m/>
    <n v="22792042"/>
    <m/>
    <m/>
    <m/>
    <s v="SOLINT"/>
    <s v="SOLINT"/>
    <s v="CCMS"/>
    <n v="21338593"/>
    <n v="19747.94"/>
    <m/>
    <s v="N"/>
    <n v="8"/>
    <d v="2023-07-06T19:21:29"/>
    <s v="Y"/>
    <s v="Interim/Directions/Review Hearing ("/>
    <s v="VHCC"/>
    <s v="Profit Cost"/>
    <s v="TML"/>
    <s v="Y"/>
    <n v="1107"/>
    <n v="221.4"/>
    <x v="4"/>
    <s v="VALIDATED"/>
    <n v="1"/>
    <s v="01.11.80.308.6100.0000"/>
    <n v="1107"/>
    <s v="11"/>
    <s v="6100"/>
    <n v="16456.62"/>
    <n v="1107"/>
    <s v="CREDITOR"/>
    <n v="0"/>
    <n v="0"/>
    <n v="0"/>
    <n v="0"/>
    <n v="1107"/>
  </r>
  <r>
    <n v="10590130"/>
    <s v="N"/>
    <n v="21338593"/>
    <s v="3000006425280010"/>
    <s v="CIVIL"/>
    <d v="2023-06-29T00:00:00"/>
    <d v="2023-07-06T19:21:01"/>
    <m/>
    <d v="2023-07-06T00:00:00"/>
    <n v="742"/>
    <n v="14941"/>
    <s v="10590130"/>
    <s v="10590130"/>
    <m/>
    <m/>
    <n v="22792042"/>
    <m/>
    <m/>
    <m/>
    <s v="SOLINT"/>
    <s v="SOLINT"/>
    <s v="CCMS"/>
    <n v="21338593"/>
    <n v="19747.94"/>
    <m/>
    <s v="N"/>
    <n v="16"/>
    <d v="2023-07-06T19:21:29"/>
    <s v="Y"/>
    <s v="Interim/Directions/Review Hearing ("/>
    <s v="VHCC"/>
    <s v="Profit Cost"/>
    <s v="TML"/>
    <s v="Y"/>
    <n v="1107"/>
    <n v="221.4"/>
    <x v="4"/>
    <s v="VALIDATED"/>
    <n v="1"/>
    <s v="01.11.80.308.6100.0000"/>
    <n v="1107"/>
    <s v="11"/>
    <s v="6100"/>
    <n v="16456.62"/>
    <n v="1107"/>
    <s v="CREDITOR"/>
    <n v="0"/>
    <n v="0"/>
    <n v="0"/>
    <n v="0"/>
    <n v="1107"/>
  </r>
  <r>
    <n v="62224111"/>
    <s v="N"/>
    <n v="21349781"/>
    <s v="3000016228400001"/>
    <s v="CIVIL"/>
    <d v="2023-06-30T00:00:00"/>
    <d v="2023-07-10T19:01:40"/>
    <m/>
    <d v="2023-07-10T00:00:00"/>
    <n v="758"/>
    <n v="15108"/>
    <s v="62224111"/>
    <s v="62224111"/>
    <m/>
    <m/>
    <n v="22798720"/>
    <m/>
    <m/>
    <m/>
    <s v="SOLPOA"/>
    <s v="SOLPOA"/>
    <s v="CCMS"/>
    <n v="21349781"/>
    <n v="389.4"/>
    <m/>
    <s v="N"/>
    <n v="1"/>
    <d v="2023-07-10T19:01:57"/>
    <s v="N"/>
    <s v="Non Expert Disbursement"/>
    <s v="Non Expert Disbursement"/>
    <s v="Non Expert Disbursement"/>
    <s v="SM"/>
    <s v="N"/>
    <n v="324.5"/>
    <n v="64.90000000000001"/>
    <x v="2"/>
    <s v="VALIDATED"/>
    <n v="1"/>
    <s v="01.11.80.308.2012.0000"/>
    <n v="324.5"/>
    <s v="11"/>
    <s v="2012"/>
    <n v="446"/>
    <n v="324.5"/>
    <s v="CREDITOR"/>
    <n v="324.5"/>
    <n v="0"/>
    <n v="0"/>
    <n v="0"/>
    <n v="0"/>
  </r>
  <r>
    <n v="61847470"/>
    <s v="N"/>
    <n v="21349382"/>
    <s v="3000015911930003"/>
    <s v="CIVIL"/>
    <d v="2023-06-29T00:00:00"/>
    <d v="2023-07-10T19:01:40"/>
    <m/>
    <d v="2023-07-10T00:00:00"/>
    <n v="758"/>
    <n v="15108"/>
    <s v="61847470"/>
    <s v="61847470"/>
    <m/>
    <m/>
    <n v="22786758"/>
    <m/>
    <m/>
    <m/>
    <s v="SOLPOA"/>
    <s v="SOLPOA"/>
    <s v="CCMS"/>
    <n v="21349382"/>
    <n v="145.8"/>
    <m/>
    <s v="N"/>
    <n v="1"/>
    <d v="2023-07-10T19:01:48"/>
    <s v="N"/>
    <s v="Non Expert Disbursement"/>
    <s v="Non Expert Disbursement"/>
    <s v="Non Expert Disbursement"/>
    <s v="SM"/>
    <s v="N"/>
    <n v="121.5"/>
    <n v="24.3"/>
    <x v="2"/>
    <s v="VALIDATED"/>
    <n v="1"/>
    <s v="01.11.80.307.2012.0000"/>
    <n v="121.5"/>
    <s v="11"/>
    <s v="2012"/>
    <n v="446"/>
    <n v="121.5"/>
    <s v="CREDITOR"/>
    <n v="121.5"/>
    <n v="0"/>
    <n v="0"/>
    <n v="0"/>
    <n v="0"/>
  </r>
  <r>
    <n v="62257612"/>
    <s v="N"/>
    <n v="21402899"/>
    <s v="3000016255250008"/>
    <s v="CIVIL"/>
    <d v="2023-06-16T00:00:00"/>
    <d v="2023-07-20T19:22:20"/>
    <m/>
    <d v="2023-07-20T00:00:00"/>
    <n v="760"/>
    <n v="15130"/>
    <s v="62257612"/>
    <s v="62257612"/>
    <m/>
    <m/>
    <n v="22707476"/>
    <m/>
    <m/>
    <m/>
    <s v="SOLPOA"/>
    <s v="SOLPOA"/>
    <s v="CCMS"/>
    <n v="21402899"/>
    <n v="254.4"/>
    <m/>
    <s v="N"/>
    <n v="1"/>
    <d v="2023-07-20T19:22:26"/>
    <s v="N"/>
    <s v="Expert Cost"/>
    <s v="Expert Cost"/>
    <s v="Expert Disbursement"/>
    <s v="KD"/>
    <s v="N"/>
    <n v="212"/>
    <n v="42.4"/>
    <x v="13"/>
    <s v="VALIDATED"/>
    <n v="1"/>
    <s v="01.11.80.308.2012.0000"/>
    <n v="212"/>
    <s v="11"/>
    <s v="2012"/>
    <n v="212"/>
    <n v="212"/>
    <s v="CREDITOR"/>
    <n v="212"/>
    <n v="0"/>
    <n v="0"/>
    <n v="0"/>
    <n v="0"/>
  </r>
  <r>
    <n v="61707684"/>
    <s v="N"/>
    <n v="21321842"/>
    <s v="3000015798120004"/>
    <s v="CIVIL"/>
    <d v="2023-06-29T00:00:00"/>
    <d v="2023-07-03T19:05:17"/>
    <m/>
    <d v="2023-07-03T00:00:00"/>
    <n v="773"/>
    <n v="17718"/>
    <s v="61707684"/>
    <s v="61707684"/>
    <m/>
    <m/>
    <n v="22787646"/>
    <m/>
    <m/>
    <m/>
    <s v="SOLPOA"/>
    <s v="SOLPOA"/>
    <s v="CCMS"/>
    <n v="21321842"/>
    <n v="1837.73"/>
    <m/>
    <s v="N"/>
    <n v="1"/>
    <d v="2023-07-03T19:05:21"/>
    <s v="N"/>
    <s v="Solicitors Fixed Fee"/>
    <s v="Public Law Children"/>
    <s v="Profit Cost"/>
    <s v="Andrew Williams"/>
    <s v="N"/>
    <n v="1531.44"/>
    <n v="306.29"/>
    <x v="3"/>
    <s v="VALIDATED"/>
    <n v="1"/>
    <s v="01.11.80.308.2012.0000"/>
    <n v="1531.44"/>
    <s v="11"/>
    <s v="2012"/>
    <n v="-27251.63"/>
    <n v="1531.44"/>
    <s v="DEBTOR"/>
    <n v="0"/>
    <n v="0"/>
    <n v="0"/>
    <n v="0"/>
    <n v="0"/>
  </r>
  <r>
    <n v="16050813"/>
    <s v="N"/>
    <n v="21322599"/>
    <s v="3000007685920048"/>
    <s v="CIVIL"/>
    <d v="2023-06-29T00:00:00"/>
    <d v="2023-07-03T19:05:36"/>
    <m/>
    <d v="2023-07-03T00:00:00"/>
    <n v="773"/>
    <n v="17718"/>
    <s v="16050813"/>
    <s v="16050813"/>
    <m/>
    <m/>
    <n v="22791658"/>
    <m/>
    <m/>
    <m/>
    <s v="SOLPOA"/>
    <s v="SOLPOA"/>
    <s v="CCMS"/>
    <n v="21322599"/>
    <n v="398.83"/>
    <m/>
    <s v="N"/>
    <n v="1"/>
    <d v="2023-07-03T19:05:39"/>
    <s v="N"/>
    <s v="Expert Cost"/>
    <s v="Expert Cost"/>
    <s v="Expert Disbursement"/>
    <s v="Claire Roberts"/>
    <s v="N"/>
    <n v="332.36"/>
    <n v="66.47"/>
    <x v="3"/>
    <s v="VALIDATED"/>
    <n v="1"/>
    <s v="01.11.80.308.2012.0000"/>
    <n v="332.36"/>
    <s v="11"/>
    <s v="2012"/>
    <n v="-27251.63"/>
    <n v="332.36"/>
    <s v="DEBTOR"/>
    <n v="0"/>
    <n v="0"/>
    <n v="0"/>
    <n v="0"/>
    <n v="0"/>
  </r>
  <r>
    <n v="61970622"/>
    <s v="N"/>
    <n v="21323821"/>
    <s v="3000016017900010"/>
    <s v="CIVIL"/>
    <d v="2023-06-30T00:00:00"/>
    <d v="2023-07-03T19:05:56"/>
    <m/>
    <d v="2023-07-03T00:00:00"/>
    <n v="773"/>
    <n v="17718"/>
    <s v="61970622"/>
    <s v="61970622"/>
    <m/>
    <m/>
    <n v="22796142"/>
    <m/>
    <m/>
    <m/>
    <s v="SOLPOA"/>
    <s v="SOLPOA"/>
    <s v="CCMS"/>
    <n v="21323821"/>
    <n v="159"/>
    <m/>
    <s v="N"/>
    <n v="1"/>
    <d v="2023-07-03T19:05:59"/>
    <s v="N"/>
    <s v="Expert Cost"/>
    <s v="Expert Cost"/>
    <s v="Expert Disbursement"/>
    <s v="Dawn Konstantinou"/>
    <s v="N"/>
    <n v="132.5"/>
    <n v="26.5"/>
    <x v="3"/>
    <s v="VALIDATED"/>
    <n v="1"/>
    <s v="01.11.80.308.2012.0000"/>
    <n v="132.5"/>
    <s v="11"/>
    <s v="2012"/>
    <n v="-27251.63"/>
    <n v="132.5"/>
    <s v="DEBTOR"/>
    <n v="0"/>
    <n v="0"/>
    <n v="0"/>
    <n v="0"/>
    <n v="0"/>
  </r>
  <r>
    <n v="10987778"/>
    <s v="N"/>
    <n v="21388010"/>
    <s v="3000006726300006RC"/>
    <s v="CIVIL"/>
    <d v="2023-06-30T00:00:00"/>
    <d v="2023-07-17T19:42:13"/>
    <m/>
    <d v="2023-07-17T00:00:00"/>
    <n v="773"/>
    <n v="17718"/>
    <s v="10987778"/>
    <s v="10987778"/>
    <m/>
    <m/>
    <m/>
    <m/>
    <m/>
    <m/>
    <s v="SOLRECOUP"/>
    <s v="SOLRECOUP"/>
    <s v="POARECOUP"/>
    <n v="21388010"/>
    <n v="-100.8"/>
    <m/>
    <s v="Y"/>
    <n v="1"/>
    <d v="2023-07-17T19:42:14"/>
    <s v="N"/>
    <m/>
    <m/>
    <s v="Expert Disbursement"/>
    <m/>
    <s v="N"/>
    <n v="-84"/>
    <n v="0"/>
    <x v="8"/>
    <s v="VALIDATED"/>
    <n v="1"/>
    <s v="01.11.80.308.2013.0000"/>
    <n v="-84"/>
    <s v="11"/>
    <s v="2013"/>
    <n v="-27251.63"/>
    <n v="-84"/>
    <s v="DEBTOR"/>
    <n v="0"/>
    <n v="0"/>
    <n v="0"/>
    <n v="0"/>
    <n v="0"/>
  </r>
  <r>
    <n v="10987778"/>
    <s v="N"/>
    <n v="21388011"/>
    <s v="3000006726300007RC"/>
    <s v="CIVIL"/>
    <d v="2023-06-30T00:00:00"/>
    <d v="2023-07-17T19:42:13"/>
    <m/>
    <d v="2023-07-17T00:00:00"/>
    <n v="773"/>
    <n v="17718"/>
    <s v="10987778"/>
    <s v="10987778"/>
    <m/>
    <m/>
    <m/>
    <m/>
    <m/>
    <m/>
    <s v="SOLRECOUP"/>
    <s v="SOLRECOUP"/>
    <s v="POARECOUP"/>
    <n v="21388011"/>
    <n v="-648"/>
    <m/>
    <s v="Y"/>
    <n v="2"/>
    <d v="2023-07-17T19:42:14"/>
    <s v="N"/>
    <m/>
    <m/>
    <s v="Expert Disbursement"/>
    <m/>
    <s v="N"/>
    <n v="0"/>
    <n v="-108"/>
    <x v="8"/>
    <s v="VALIDATED"/>
    <n v="1"/>
    <s v="01.11.80.308.2013.0000"/>
    <n v="-108"/>
    <s v="11"/>
    <s v="2013"/>
    <n v="-27251.63"/>
    <n v="-108"/>
    <s v="DEBTOR"/>
    <n v="0"/>
    <n v="0"/>
    <n v="0"/>
    <n v="0"/>
    <n v="0"/>
  </r>
  <r>
    <n v="10987778"/>
    <s v="N"/>
    <n v="21388011"/>
    <s v="3000006726300007RC"/>
    <s v="CIVIL"/>
    <d v="2023-06-30T00:00:00"/>
    <d v="2023-07-17T19:42:13"/>
    <m/>
    <d v="2023-07-17T00:00:00"/>
    <n v="773"/>
    <n v="17718"/>
    <s v="10987778"/>
    <s v="10987778"/>
    <m/>
    <m/>
    <m/>
    <m/>
    <m/>
    <m/>
    <s v="SOLRECOUP"/>
    <s v="SOLRECOUP"/>
    <s v="POARECOUP"/>
    <n v="21388011"/>
    <n v="-648"/>
    <m/>
    <s v="Y"/>
    <n v="1"/>
    <d v="2023-07-17T19:42:14"/>
    <s v="N"/>
    <m/>
    <m/>
    <s v="Expert Disbursement"/>
    <m/>
    <s v="N"/>
    <n v="-540"/>
    <n v="0"/>
    <x v="8"/>
    <s v="VALIDATED"/>
    <n v="1"/>
    <s v="01.11.80.308.2013.0000"/>
    <n v="-540"/>
    <s v="11"/>
    <s v="2013"/>
    <n v="-27251.63"/>
    <n v="-540"/>
    <s v="DEBTOR"/>
    <n v="0"/>
    <n v="0"/>
    <n v="0"/>
    <n v="0"/>
    <n v="0"/>
  </r>
  <r>
    <n v="10987778"/>
    <s v="N"/>
    <n v="21388012"/>
    <s v="3000006726300009RC"/>
    <s v="CIVIL"/>
    <d v="2023-06-30T00:00:00"/>
    <d v="2023-07-17T19:42:13"/>
    <m/>
    <d v="2023-07-17T00:00:00"/>
    <n v="773"/>
    <n v="17718"/>
    <s v="10987778"/>
    <s v="10987778"/>
    <m/>
    <m/>
    <m/>
    <m/>
    <m/>
    <m/>
    <s v="SOLRECOUP"/>
    <s v="SOLRECOUP"/>
    <s v="POARECOUP"/>
    <n v="21388012"/>
    <n v="-215"/>
    <m/>
    <s v="Y"/>
    <n v="1"/>
    <d v="2023-07-17T19:42:14"/>
    <s v="N"/>
    <m/>
    <m/>
    <s v="Non Expert Disbursement"/>
    <m/>
    <s v="N"/>
    <n v="-215"/>
    <n v="0"/>
    <x v="8"/>
    <s v="VALIDATED"/>
    <n v="1"/>
    <s v="01.11.80.308.2013.0000"/>
    <n v="-215"/>
    <s v="11"/>
    <s v="2013"/>
    <n v="-27251.63"/>
    <n v="-215"/>
    <s v="DEBTOR"/>
    <n v="0"/>
    <n v="0"/>
    <n v="0"/>
    <n v="0"/>
    <n v="0"/>
  </r>
  <r>
    <n v="10987778"/>
    <s v="N"/>
    <n v="21388012"/>
    <s v="3000006726300009RC"/>
    <s v="CIVIL"/>
    <d v="2023-06-30T00:00:00"/>
    <d v="2023-07-17T19:42:13"/>
    <m/>
    <d v="2023-07-17T00:00:00"/>
    <n v="773"/>
    <n v="17718"/>
    <s v="10987778"/>
    <s v="10987778"/>
    <m/>
    <m/>
    <m/>
    <m/>
    <m/>
    <m/>
    <s v="SOLRECOUP"/>
    <s v="SOLRECOUP"/>
    <s v="POARECOUP"/>
    <n v="21388012"/>
    <n v="-215"/>
    <m/>
    <s v="Y"/>
    <n v="2"/>
    <d v="2023-07-17T19:42:14"/>
    <s v="N"/>
    <m/>
    <m/>
    <s v="Non Expert Disbursement"/>
    <m/>
    <s v="N"/>
    <n v="0"/>
    <n v="0"/>
    <x v="8"/>
    <s v="VALIDATED"/>
    <n v="1"/>
    <s v="01.11.80.000.0000.0000"/>
    <n v="0"/>
    <s v="11"/>
    <s v="0000"/>
    <n v="-27251.63"/>
    <n v="0"/>
    <s v="DEBTOR"/>
    <n v="0"/>
    <n v="0"/>
    <n v="0"/>
    <n v="0"/>
    <n v="0"/>
  </r>
  <r>
    <n v="10987778"/>
    <s v="N"/>
    <n v="21388013"/>
    <s v="3000006726300010RC"/>
    <s v="CIVIL"/>
    <d v="2023-06-30T00:00:00"/>
    <d v="2023-07-17T19:42:13"/>
    <m/>
    <d v="2023-07-17T00:00:00"/>
    <n v="773"/>
    <n v="17718"/>
    <s v="10987778"/>
    <s v="10987778"/>
    <m/>
    <m/>
    <m/>
    <m/>
    <m/>
    <m/>
    <s v="SOLRECOUP"/>
    <s v="SOLRECOUP"/>
    <s v="POARECOUP"/>
    <n v="21388013"/>
    <n v="-155"/>
    <m/>
    <s v="Y"/>
    <n v="2"/>
    <d v="2023-07-17T19:42:14"/>
    <s v="N"/>
    <m/>
    <m/>
    <s v="Non Expert Disbursement"/>
    <m/>
    <s v="N"/>
    <n v="0"/>
    <n v="0"/>
    <x v="8"/>
    <s v="VALIDATED"/>
    <n v="1"/>
    <s v="01.11.80.000.0000.0000"/>
    <n v="0"/>
    <s v="11"/>
    <s v="0000"/>
    <n v="-27251.63"/>
    <n v="0"/>
    <s v="DEBTOR"/>
    <n v="0"/>
    <n v="0"/>
    <n v="0"/>
    <n v="0"/>
    <n v="0"/>
  </r>
  <r>
    <n v="10987778"/>
    <s v="N"/>
    <n v="21388013"/>
    <s v="3000006726300010RC"/>
    <s v="CIVIL"/>
    <d v="2023-06-30T00:00:00"/>
    <d v="2023-07-17T19:42:13"/>
    <m/>
    <d v="2023-07-17T00:00:00"/>
    <n v="773"/>
    <n v="17718"/>
    <s v="10987778"/>
    <s v="10987778"/>
    <m/>
    <m/>
    <m/>
    <m/>
    <m/>
    <m/>
    <s v="SOLRECOUP"/>
    <s v="SOLRECOUP"/>
    <s v="POARECOUP"/>
    <n v="21388013"/>
    <n v="-155"/>
    <m/>
    <s v="Y"/>
    <n v="1"/>
    <d v="2023-07-17T19:42:14"/>
    <s v="N"/>
    <m/>
    <m/>
    <s v="Non Expert Disbursement"/>
    <m/>
    <s v="N"/>
    <n v="-155"/>
    <n v="0"/>
    <x v="8"/>
    <s v="VALIDATED"/>
    <n v="1"/>
    <s v="01.11.80.308.2013.0000"/>
    <n v="-155"/>
    <s v="11"/>
    <s v="2013"/>
    <n v="-27251.63"/>
    <n v="-155"/>
    <s v="DEBTOR"/>
    <n v="0"/>
    <n v="0"/>
    <n v="0"/>
    <n v="0"/>
    <n v="0"/>
  </r>
  <r>
    <n v="10987778"/>
    <s v="N"/>
    <n v="21388014"/>
    <s v="3000006726300011RC"/>
    <s v="CIVIL"/>
    <d v="2023-06-30T00:00:00"/>
    <d v="2023-07-17T19:42:13"/>
    <m/>
    <d v="2023-07-17T00:00:00"/>
    <n v="773"/>
    <n v="17718"/>
    <s v="10987778"/>
    <s v="10987778"/>
    <m/>
    <m/>
    <m/>
    <m/>
    <m/>
    <m/>
    <s v="SOLRECOUP"/>
    <s v="SOLRECOUP"/>
    <s v="POARECOUP"/>
    <n v="21388014"/>
    <n v="-1101.6"/>
    <m/>
    <s v="Y"/>
    <n v="2"/>
    <d v="2023-07-17T19:42:14"/>
    <s v="N"/>
    <m/>
    <m/>
    <s v="Expert Disbursement"/>
    <m/>
    <s v="N"/>
    <n v="0"/>
    <n v="-183.6"/>
    <x v="8"/>
    <s v="VALIDATED"/>
    <n v="1"/>
    <s v="01.11.80.308.2013.0000"/>
    <n v="-183.6"/>
    <s v="11"/>
    <s v="2013"/>
    <n v="-27251.63"/>
    <n v="-183.6"/>
    <s v="DEBTOR"/>
    <n v="0"/>
    <n v="0"/>
    <n v="0"/>
    <n v="0"/>
    <n v="0"/>
  </r>
  <r>
    <n v="10987778"/>
    <s v="N"/>
    <n v="21388014"/>
    <s v="3000006726300011RC"/>
    <s v="CIVIL"/>
    <d v="2023-06-30T00:00:00"/>
    <d v="2023-07-17T19:42:13"/>
    <m/>
    <d v="2023-07-17T00:00:00"/>
    <n v="773"/>
    <n v="17718"/>
    <s v="10987778"/>
    <s v="10987778"/>
    <m/>
    <m/>
    <m/>
    <m/>
    <m/>
    <m/>
    <s v="SOLRECOUP"/>
    <s v="SOLRECOUP"/>
    <s v="POARECOUP"/>
    <n v="21388014"/>
    <n v="-1101.6"/>
    <m/>
    <s v="Y"/>
    <n v="1"/>
    <d v="2023-07-17T19:42:14"/>
    <s v="N"/>
    <m/>
    <m/>
    <s v="Expert Disbursement"/>
    <m/>
    <s v="N"/>
    <n v="-918"/>
    <n v="0"/>
    <x v="8"/>
    <s v="VALIDATED"/>
    <n v="1"/>
    <s v="01.11.80.308.2013.0000"/>
    <n v="-918"/>
    <s v="11"/>
    <s v="2013"/>
    <n v="-27251.63"/>
    <n v="-918"/>
    <s v="DEBTOR"/>
    <n v="0"/>
    <n v="0"/>
    <n v="0"/>
    <n v="0"/>
    <n v="0"/>
  </r>
  <r>
    <n v="10987778"/>
    <s v="N"/>
    <n v="21388015"/>
    <s v="3000006726300015RC"/>
    <s v="CIVIL"/>
    <d v="2023-06-30T00:00:00"/>
    <d v="2023-07-17T19:42:13"/>
    <m/>
    <d v="2023-07-17T00:00:00"/>
    <n v="773"/>
    <n v="17718"/>
    <s v="10987778"/>
    <s v="10987778"/>
    <m/>
    <m/>
    <m/>
    <m/>
    <m/>
    <m/>
    <s v="SOLRECOUP"/>
    <s v="SOLRECOUP"/>
    <s v="POARECOUP"/>
    <n v="21388015"/>
    <n v="-1120.66"/>
    <m/>
    <s v="Y"/>
    <n v="2"/>
    <d v="2023-07-17T19:42:14"/>
    <s v="N"/>
    <m/>
    <m/>
    <s v="Expert Disbursement"/>
    <m/>
    <s v="N"/>
    <n v="0"/>
    <n v="0"/>
    <x v="8"/>
    <s v="VALIDATED"/>
    <n v="1"/>
    <s v="01.11.80.000.0000.0000"/>
    <n v="0"/>
    <s v="11"/>
    <s v="0000"/>
    <n v="-27251.63"/>
    <n v="0"/>
    <s v="DEBTOR"/>
    <n v="0"/>
    <n v="0"/>
    <n v="0"/>
    <n v="0"/>
    <n v="0"/>
  </r>
  <r>
    <n v="10987778"/>
    <s v="N"/>
    <n v="21388015"/>
    <s v="3000006726300015RC"/>
    <s v="CIVIL"/>
    <d v="2023-06-30T00:00:00"/>
    <d v="2023-07-17T19:42:13"/>
    <m/>
    <d v="2023-07-17T00:00:00"/>
    <n v="773"/>
    <n v="17718"/>
    <s v="10987778"/>
    <s v="10987778"/>
    <m/>
    <m/>
    <m/>
    <m/>
    <m/>
    <m/>
    <s v="SOLRECOUP"/>
    <s v="SOLRECOUP"/>
    <s v="POARECOUP"/>
    <n v="21388015"/>
    <n v="-1120.66"/>
    <m/>
    <s v="Y"/>
    <n v="1"/>
    <d v="2023-07-17T19:42:14"/>
    <s v="N"/>
    <m/>
    <m/>
    <s v="Expert Disbursement"/>
    <m/>
    <s v="N"/>
    <n v="-1120.66"/>
    <n v="0"/>
    <x v="8"/>
    <s v="VALIDATED"/>
    <n v="1"/>
    <s v="01.11.80.308.2013.0000"/>
    <n v="-1120.66"/>
    <s v="11"/>
    <s v="2013"/>
    <n v="-27251.63"/>
    <n v="-1120.66"/>
    <s v="DEBTOR"/>
    <n v="0"/>
    <n v="0"/>
    <n v="0"/>
    <n v="0"/>
    <n v="0"/>
  </r>
  <r>
    <n v="10987778"/>
    <s v="N"/>
    <n v="21388016"/>
    <s v="3000006726300020RC"/>
    <s v="CIVIL"/>
    <d v="2023-06-30T00:00:00"/>
    <d v="2023-07-17T19:42:13"/>
    <m/>
    <d v="2023-07-17T00:00:00"/>
    <n v="773"/>
    <n v="17718"/>
    <s v="10987778"/>
    <s v="10987778"/>
    <m/>
    <m/>
    <m/>
    <m/>
    <m/>
    <m/>
    <s v="SOLRECOUP"/>
    <s v="SOLRECOUP"/>
    <s v="POARECOUP"/>
    <n v="21388016"/>
    <n v="-161.27"/>
    <m/>
    <s v="Y"/>
    <n v="2"/>
    <d v="2023-07-17T19:42:14"/>
    <s v="N"/>
    <m/>
    <m/>
    <s v="Expert Disbursement"/>
    <m/>
    <s v="N"/>
    <n v="0"/>
    <n v="-26.88"/>
    <x v="8"/>
    <s v="VALIDATED"/>
    <n v="1"/>
    <s v="01.11.80.308.2013.0000"/>
    <n v="-26.88"/>
    <s v="11"/>
    <s v="2013"/>
    <n v="-27251.63"/>
    <n v="-26.88"/>
    <s v="DEBTOR"/>
    <n v="0"/>
    <n v="0"/>
    <n v="0"/>
    <n v="0"/>
    <n v="0"/>
  </r>
  <r>
    <n v="10987778"/>
    <s v="N"/>
    <n v="21388016"/>
    <s v="3000006726300020RC"/>
    <s v="CIVIL"/>
    <d v="2023-06-30T00:00:00"/>
    <d v="2023-07-17T19:42:13"/>
    <m/>
    <d v="2023-07-17T00:00:00"/>
    <n v="773"/>
    <n v="17718"/>
    <s v="10987778"/>
    <s v="10987778"/>
    <m/>
    <m/>
    <m/>
    <m/>
    <m/>
    <m/>
    <s v="SOLRECOUP"/>
    <s v="SOLRECOUP"/>
    <s v="POARECOUP"/>
    <n v="21388016"/>
    <n v="-161.27"/>
    <m/>
    <s v="Y"/>
    <n v="1"/>
    <d v="2023-07-17T19:42:14"/>
    <s v="N"/>
    <m/>
    <m/>
    <s v="Expert Disbursement"/>
    <m/>
    <s v="N"/>
    <n v="-134.39"/>
    <n v="0"/>
    <x v="8"/>
    <s v="VALIDATED"/>
    <n v="1"/>
    <s v="01.11.80.308.2013.0000"/>
    <n v="-134.39"/>
    <s v="11"/>
    <s v="2013"/>
    <n v="-27251.63"/>
    <n v="-134.39"/>
    <s v="DEBTOR"/>
    <n v="0"/>
    <n v="0"/>
    <n v="0"/>
    <n v="0"/>
    <n v="0"/>
  </r>
  <r>
    <n v="10987778"/>
    <s v="N"/>
    <n v="21388017"/>
    <s v="3000006726300023RC"/>
    <s v="CIVIL"/>
    <d v="2023-06-30T00:00:00"/>
    <d v="2023-07-17T19:42:13"/>
    <m/>
    <d v="2023-07-17T00:00:00"/>
    <n v="773"/>
    <n v="17718"/>
    <s v="10987778"/>
    <s v="10987778"/>
    <m/>
    <m/>
    <m/>
    <m/>
    <m/>
    <m/>
    <s v="SOLRECOUP"/>
    <s v="SOLRECOUP"/>
    <s v="POARECOUP"/>
    <n v="21388017"/>
    <n v="-8617.200000000001"/>
    <m/>
    <s v="Y"/>
    <n v="2"/>
    <d v="2023-07-17T19:42:14"/>
    <s v="N"/>
    <m/>
    <m/>
    <s v="Non Expert Disbursement"/>
    <m/>
    <s v="N"/>
    <n v="0"/>
    <n v="-1436.2"/>
    <x v="8"/>
    <s v="VALIDATED"/>
    <n v="1"/>
    <s v="01.11.80.308.2013.0000"/>
    <n v="-1436.2"/>
    <s v="11"/>
    <s v="2013"/>
    <n v="-27251.63"/>
    <n v="-1436.2"/>
    <s v="DEBTOR"/>
    <n v="0"/>
    <n v="0"/>
    <n v="0"/>
    <n v="0"/>
    <n v="0"/>
  </r>
  <r>
    <n v="10987778"/>
    <s v="N"/>
    <n v="21388017"/>
    <s v="3000006726300023RC"/>
    <s v="CIVIL"/>
    <d v="2023-06-30T00:00:00"/>
    <d v="2023-07-17T19:42:13"/>
    <m/>
    <d v="2023-07-17T00:00:00"/>
    <n v="773"/>
    <n v="17718"/>
    <s v="10987778"/>
    <s v="10987778"/>
    <m/>
    <m/>
    <m/>
    <m/>
    <m/>
    <m/>
    <s v="SOLRECOUP"/>
    <s v="SOLRECOUP"/>
    <s v="POARECOUP"/>
    <n v="21388017"/>
    <n v="-8617.200000000001"/>
    <m/>
    <s v="Y"/>
    <n v="1"/>
    <d v="2023-07-17T19:42:14"/>
    <s v="N"/>
    <m/>
    <m/>
    <s v="Non Expert Disbursement"/>
    <m/>
    <s v="N"/>
    <n v="-7181"/>
    <n v="0"/>
    <x v="8"/>
    <s v="VALIDATED"/>
    <n v="1"/>
    <s v="01.11.80.308.2013.0000"/>
    <n v="-7181"/>
    <s v="11"/>
    <s v="2013"/>
    <n v="-27251.63"/>
    <n v="-7181"/>
    <s v="DEBTOR"/>
    <n v="0"/>
    <n v="0"/>
    <n v="0"/>
    <n v="0"/>
    <n v="0"/>
  </r>
  <r>
    <n v="10987778"/>
    <s v="N"/>
    <n v="21388018"/>
    <s v="3000006726300019RC"/>
    <s v="CIVIL"/>
    <d v="2023-06-30T00:00:00"/>
    <d v="2023-07-17T19:42:13"/>
    <m/>
    <d v="2023-07-17T00:00:00"/>
    <n v="773"/>
    <n v="17718"/>
    <s v="10987778"/>
    <s v="10987778"/>
    <m/>
    <m/>
    <m/>
    <m/>
    <m/>
    <m/>
    <s v="SOLRECOUP"/>
    <s v="SOLRECOUP"/>
    <s v="POARECOUP"/>
    <n v="21388018"/>
    <n v="-16718.4"/>
    <m/>
    <s v="Y"/>
    <n v="1"/>
    <d v="2023-07-17T19:42:14"/>
    <s v="N"/>
    <m/>
    <m/>
    <s v="Non Expert Disbursement"/>
    <m/>
    <s v="N"/>
    <n v="-13932"/>
    <n v="0"/>
    <x v="8"/>
    <s v="VALIDATED"/>
    <n v="1"/>
    <s v="01.11.80.308.2013.0000"/>
    <n v="-13932"/>
    <s v="11"/>
    <s v="2013"/>
    <n v="-27251.63"/>
    <n v="-13932"/>
    <s v="DEBTOR"/>
    <n v="0"/>
    <n v="0"/>
    <n v="0"/>
    <n v="0"/>
    <n v="0"/>
  </r>
  <r>
    <n v="10987778"/>
    <s v="N"/>
    <n v="21388018"/>
    <s v="3000006726300019RC"/>
    <s v="CIVIL"/>
    <d v="2023-06-30T00:00:00"/>
    <d v="2023-07-17T19:42:13"/>
    <m/>
    <d v="2023-07-17T00:00:00"/>
    <n v="773"/>
    <n v="17718"/>
    <s v="10987778"/>
    <s v="10987778"/>
    <m/>
    <m/>
    <m/>
    <m/>
    <m/>
    <m/>
    <s v="SOLRECOUP"/>
    <s v="SOLRECOUP"/>
    <s v="POARECOUP"/>
    <n v="21388018"/>
    <n v="-16718.4"/>
    <m/>
    <s v="Y"/>
    <n v="2"/>
    <d v="2023-07-17T19:42:14"/>
    <s v="N"/>
    <m/>
    <m/>
    <s v="Non Expert Disbursement"/>
    <m/>
    <s v="N"/>
    <n v="0"/>
    <n v="-2786.4"/>
    <x v="8"/>
    <s v="VALIDATED"/>
    <n v="1"/>
    <s v="01.11.80.308.2013.0000"/>
    <n v="-2786.4"/>
    <s v="11"/>
    <s v="2013"/>
    <n v="-27251.63"/>
    <n v="-2786.4"/>
    <s v="DEBTOR"/>
    <n v="0"/>
    <n v="0"/>
    <n v="0"/>
    <n v="0"/>
    <n v="0"/>
  </r>
  <r>
    <n v="10987778"/>
    <s v="N"/>
    <n v="21388021"/>
    <s v="3000006726300024RC"/>
    <s v="CIVIL"/>
    <d v="2023-06-30T00:00:00"/>
    <d v="2023-07-17T19:42:13"/>
    <m/>
    <d v="2023-07-17T00:00:00"/>
    <n v="773"/>
    <n v="17718"/>
    <s v="10987778"/>
    <s v="10987778"/>
    <m/>
    <m/>
    <m/>
    <m/>
    <m/>
    <m/>
    <s v="SOLRECOUP"/>
    <s v="SOLRECOUP"/>
    <s v="POARECOUP"/>
    <n v="21388021"/>
    <n v="-100"/>
    <m/>
    <s v="Y"/>
    <n v="1"/>
    <d v="2023-07-17T19:42:14"/>
    <s v="N"/>
    <m/>
    <m/>
    <s v="Expert Disbursement"/>
    <m/>
    <s v="N"/>
    <n v="-83.33"/>
    <n v="0"/>
    <x v="8"/>
    <s v="VALIDATED"/>
    <n v="1"/>
    <s v="01.11.80.308.2013.0000"/>
    <n v="-83.33"/>
    <s v="11"/>
    <s v="2013"/>
    <n v="-27251.63"/>
    <n v="-83.33"/>
    <s v="DEBTOR"/>
    <n v="0"/>
    <n v="0"/>
    <n v="0"/>
    <n v="0"/>
    <n v="0"/>
  </r>
  <r>
    <n v="10987778"/>
    <s v="N"/>
    <n v="21388021"/>
    <s v="3000006726300024RC"/>
    <s v="CIVIL"/>
    <d v="2023-06-30T00:00:00"/>
    <d v="2023-07-17T19:42:13"/>
    <m/>
    <d v="2023-07-17T00:00:00"/>
    <n v="773"/>
    <n v="17718"/>
    <s v="10987778"/>
    <s v="10987778"/>
    <m/>
    <m/>
    <m/>
    <m/>
    <m/>
    <m/>
    <s v="SOLRECOUP"/>
    <s v="SOLRECOUP"/>
    <s v="POARECOUP"/>
    <n v="21388021"/>
    <n v="-100"/>
    <m/>
    <s v="Y"/>
    <n v="2"/>
    <d v="2023-07-17T19:42:14"/>
    <s v="N"/>
    <m/>
    <m/>
    <s v="Expert Disbursement"/>
    <m/>
    <s v="N"/>
    <n v="0"/>
    <n v="-16.67"/>
    <x v="8"/>
    <s v="VALIDATED"/>
    <n v="1"/>
    <s v="01.11.80.308.2013.0000"/>
    <n v="-16.67"/>
    <s v="11"/>
    <s v="2013"/>
    <n v="-27251.63"/>
    <n v="-16.67"/>
    <s v="DEBTOR"/>
    <n v="0"/>
    <n v="0"/>
    <n v="0"/>
    <n v="0"/>
    <n v="0"/>
  </r>
  <r>
    <n v="10987778"/>
    <s v="N"/>
    <n v="21388008"/>
    <s v="3000006726300002RC"/>
    <s v="CIVIL"/>
    <d v="2023-06-30T00:00:00"/>
    <d v="2023-07-17T19:42:13"/>
    <m/>
    <d v="2023-07-17T00:00:00"/>
    <n v="773"/>
    <n v="17718"/>
    <s v="10987778"/>
    <s v="10987778"/>
    <m/>
    <m/>
    <m/>
    <m/>
    <m/>
    <m/>
    <s v="SOLRECOUP"/>
    <s v="SOLRECOUP"/>
    <s v="POARECOUP"/>
    <n v="21388008"/>
    <n v="-155"/>
    <m/>
    <s v="Y"/>
    <n v="2"/>
    <d v="2023-07-17T19:42:14"/>
    <s v="N"/>
    <m/>
    <m/>
    <s v="Non Expert Disbursement"/>
    <m/>
    <s v="N"/>
    <n v="0"/>
    <n v="0"/>
    <x v="8"/>
    <s v="VALIDATED"/>
    <n v="1"/>
    <s v="01.11.80.000.0000.0000"/>
    <n v="0"/>
    <s v="11"/>
    <s v="0000"/>
    <n v="-27251.63"/>
    <n v="0"/>
    <s v="DEBTOR"/>
    <n v="0"/>
    <n v="0"/>
    <n v="0"/>
    <n v="0"/>
    <n v="0"/>
  </r>
  <r>
    <n v="10987778"/>
    <s v="N"/>
    <n v="21388008"/>
    <s v="3000006726300002RC"/>
    <s v="CIVIL"/>
    <d v="2023-06-30T00:00:00"/>
    <d v="2023-07-17T19:42:13"/>
    <m/>
    <d v="2023-07-17T00:00:00"/>
    <n v="773"/>
    <n v="17718"/>
    <s v="10987778"/>
    <s v="10987778"/>
    <m/>
    <m/>
    <m/>
    <m/>
    <m/>
    <m/>
    <s v="SOLRECOUP"/>
    <s v="SOLRECOUP"/>
    <s v="POARECOUP"/>
    <n v="21388008"/>
    <n v="-155"/>
    <m/>
    <s v="Y"/>
    <n v="1"/>
    <d v="2023-07-17T19:42:14"/>
    <s v="N"/>
    <m/>
    <m/>
    <s v="Non Expert Disbursement"/>
    <m/>
    <s v="N"/>
    <n v="-155"/>
    <n v="0"/>
    <x v="8"/>
    <s v="VALIDATED"/>
    <n v="1"/>
    <s v="01.11.80.308.2013.0000"/>
    <n v="-155"/>
    <s v="11"/>
    <s v="2013"/>
    <n v="-27251.63"/>
    <n v="-155"/>
    <s v="DEBTOR"/>
    <n v="0"/>
    <n v="0"/>
    <n v="0"/>
    <n v="0"/>
    <n v="0"/>
  </r>
  <r>
    <n v="10987778"/>
    <s v="N"/>
    <n v="21388009"/>
    <s v="3000006726300005RC"/>
    <s v="CIVIL"/>
    <d v="2023-06-30T00:00:00"/>
    <d v="2023-07-17T19:42:13"/>
    <m/>
    <d v="2023-07-17T00:00:00"/>
    <n v="773"/>
    <n v="17718"/>
    <s v="10987778"/>
    <s v="10987778"/>
    <m/>
    <m/>
    <m/>
    <m/>
    <m/>
    <m/>
    <s v="SOLRECOUP"/>
    <s v="SOLRECOUP"/>
    <s v="POARECOUP"/>
    <n v="21388009"/>
    <n v="-155"/>
    <m/>
    <s v="Y"/>
    <n v="1"/>
    <d v="2023-07-17T19:42:14"/>
    <s v="N"/>
    <m/>
    <m/>
    <s v="Non Expert Disbursement"/>
    <m/>
    <s v="N"/>
    <n v="-155"/>
    <n v="0"/>
    <x v="8"/>
    <s v="VALIDATED"/>
    <n v="1"/>
    <s v="01.11.80.308.2013.0000"/>
    <n v="-155"/>
    <s v="11"/>
    <s v="2013"/>
    <n v="-27251.63"/>
    <n v="-155"/>
    <s v="DEBTOR"/>
    <n v="0"/>
    <n v="0"/>
    <n v="0"/>
    <n v="0"/>
    <n v="0"/>
  </r>
  <r>
    <n v="10987778"/>
    <s v="N"/>
    <n v="21388009"/>
    <s v="3000006726300005RC"/>
    <s v="CIVIL"/>
    <d v="2023-06-30T00:00:00"/>
    <d v="2023-07-17T19:42:13"/>
    <m/>
    <d v="2023-07-17T00:00:00"/>
    <n v="773"/>
    <n v="17718"/>
    <s v="10987778"/>
    <s v="10987778"/>
    <m/>
    <m/>
    <m/>
    <m/>
    <m/>
    <m/>
    <s v="SOLRECOUP"/>
    <s v="SOLRECOUP"/>
    <s v="POARECOUP"/>
    <n v="21388009"/>
    <n v="-155"/>
    <m/>
    <s v="Y"/>
    <n v="2"/>
    <d v="2023-07-17T19:42:14"/>
    <s v="N"/>
    <m/>
    <m/>
    <s v="Non Expert Disbursement"/>
    <m/>
    <s v="N"/>
    <n v="0"/>
    <n v="0"/>
    <x v="8"/>
    <s v="VALIDATED"/>
    <n v="1"/>
    <s v="01.11.80.000.0000.0000"/>
    <n v="0"/>
    <s v="11"/>
    <s v="0000"/>
    <n v="-27251.63"/>
    <n v="0"/>
    <s v="DEBTOR"/>
    <n v="0"/>
    <n v="0"/>
    <n v="0"/>
    <n v="0"/>
    <n v="0"/>
  </r>
  <r>
    <n v="10987778"/>
    <s v="N"/>
    <n v="21388010"/>
    <s v="3000006726300006RC"/>
    <s v="CIVIL"/>
    <d v="2023-06-30T00:00:00"/>
    <d v="2023-07-17T19:42:13"/>
    <m/>
    <d v="2023-07-17T00:00:00"/>
    <n v="773"/>
    <n v="17718"/>
    <s v="10987778"/>
    <s v="10987778"/>
    <m/>
    <m/>
    <m/>
    <m/>
    <m/>
    <m/>
    <s v="SOLRECOUP"/>
    <s v="SOLRECOUP"/>
    <s v="POARECOUP"/>
    <n v="21388010"/>
    <n v="-100.8"/>
    <m/>
    <s v="Y"/>
    <n v="2"/>
    <d v="2023-07-17T19:42:14"/>
    <s v="N"/>
    <m/>
    <m/>
    <s v="Expert Disbursement"/>
    <m/>
    <s v="N"/>
    <n v="0"/>
    <n v="-16.8"/>
    <x v="8"/>
    <s v="VALIDATED"/>
    <n v="1"/>
    <s v="01.11.80.308.2013.0000"/>
    <n v="-16.8"/>
    <s v="11"/>
    <s v="2013"/>
    <n v="-27251.63"/>
    <n v="-16.8"/>
    <s v="DEBTOR"/>
    <n v="0"/>
    <n v="0"/>
    <n v="0"/>
    <n v="0"/>
    <n v="0"/>
  </r>
  <r>
    <n v="61270373"/>
    <s v="N"/>
    <n v="21321511"/>
    <s v="3000015433260004"/>
    <s v="CIVIL"/>
    <d v="2023-06-29T00:00:00"/>
    <d v="2023-07-03T19:05:17"/>
    <m/>
    <d v="2023-07-03T00:00:00"/>
    <n v="776"/>
    <n v="17751"/>
    <s v="61270373"/>
    <s v="61270373"/>
    <m/>
    <m/>
    <n v="22787568"/>
    <m/>
    <m/>
    <m/>
    <s v="SOLPOA"/>
    <s v="SOLPOA"/>
    <s v="CCMS"/>
    <n v="21321511"/>
    <n v="1560.96"/>
    <m/>
    <s v="N"/>
    <n v="1"/>
    <d v="2023-07-03T19:05:19"/>
    <s v="N"/>
    <s v="Solicitors Fixed Fee"/>
    <s v="Public Law Children"/>
    <s v="Profit Cost"/>
    <s v="Mary Enang"/>
    <s v="N"/>
    <n v="1300.8"/>
    <n v="260.16"/>
    <x v="3"/>
    <s v="VALIDATED"/>
    <n v="1"/>
    <s v="01.11.80.308.2012.0000"/>
    <n v="1300.8"/>
    <s v="11"/>
    <s v="2012"/>
    <n v="3753.8"/>
    <n v="1300.8"/>
    <s v="CREDITOR"/>
    <n v="1300.8"/>
    <n v="325.2"/>
    <n v="0"/>
    <n v="0"/>
    <n v="0"/>
  </r>
  <r>
    <n v="60420409"/>
    <s v="N"/>
    <n v="21319789"/>
    <s v="3000014707300014"/>
    <s v="CIVIL"/>
    <d v="2023-06-27T00:00:00"/>
    <d v="2023-07-03T19:04:24"/>
    <m/>
    <d v="2023-07-03T00:00:00"/>
    <n v="776"/>
    <n v="17751"/>
    <s v="60420409"/>
    <s v="60420409"/>
    <m/>
    <m/>
    <n v="22774664"/>
    <m/>
    <m/>
    <m/>
    <s v="SOLPOA"/>
    <s v="SOLPOA"/>
    <s v="CCMS"/>
    <n v="21319789"/>
    <n v="53"/>
    <m/>
    <s v="N"/>
    <n v="1"/>
    <d v="2023-07-03T19:04:27"/>
    <s v="N"/>
    <s v="Non Expert Disbursement"/>
    <s v="Non Expert Disbursement"/>
    <s v="Non Expert Disbursement"/>
    <s v="HMCTS"/>
    <s v="N"/>
    <n v="53"/>
    <n v="0"/>
    <x v="3"/>
    <s v="VALIDATED"/>
    <n v="1"/>
    <s v="01.11.80.308.2012.0000"/>
    <n v="53"/>
    <s v="11"/>
    <s v="2012"/>
    <n v="3753.8"/>
    <n v="53"/>
    <s v="CREDITOR"/>
    <n v="53"/>
    <n v="0"/>
    <n v="0"/>
    <n v="0"/>
    <n v="0"/>
  </r>
  <r>
    <n v="62044276"/>
    <s v="N"/>
    <n v="21323189"/>
    <s v="3000016080410002"/>
    <s v="CIVIL"/>
    <d v="2023-06-30T00:00:00"/>
    <d v="2023-07-03T19:05:56"/>
    <m/>
    <d v="2023-07-03T00:00:00"/>
    <n v="776"/>
    <n v="17751"/>
    <s v="62044276"/>
    <s v="62044276"/>
    <m/>
    <m/>
    <n v="22799004"/>
    <m/>
    <m/>
    <m/>
    <s v="SOLPOA"/>
    <s v="SOLPOA"/>
    <s v="CCMS"/>
    <n v="21323189"/>
    <n v="2880"/>
    <m/>
    <s v="N"/>
    <n v="1"/>
    <d v="2023-07-03T19:05:56"/>
    <s v="N"/>
    <s v="Solicitors Fixed Fee"/>
    <s v="Public Law Children"/>
    <s v="Profit Cost"/>
    <s v="Simon Pollard"/>
    <s v="N"/>
    <n v="2400"/>
    <n v="480"/>
    <x v="3"/>
    <s v="VALIDATED"/>
    <n v="1"/>
    <s v="01.11.80.308.2012.0000"/>
    <n v="2400"/>
    <s v="11"/>
    <s v="2012"/>
    <n v="3753.8"/>
    <n v="2400"/>
    <s v="CREDITOR"/>
    <n v="2400"/>
    <n v="600"/>
    <n v="0"/>
    <n v="0"/>
    <n v="0"/>
  </r>
  <r>
    <n v="56172560"/>
    <s v="N"/>
    <n v="21319379"/>
    <s v="3000013326220015"/>
    <s v="CIVIL"/>
    <d v="2023-06-28T00:00:00"/>
    <d v="2023-07-03T19:04:24"/>
    <m/>
    <d v="2023-07-03T00:00:00"/>
    <n v="785"/>
    <n v="17840"/>
    <s v="56172560"/>
    <s v="56172560"/>
    <m/>
    <m/>
    <n v="22778306"/>
    <m/>
    <m/>
    <m/>
    <s v="SOLPOA"/>
    <s v="SOLPOA"/>
    <s v="CCMS"/>
    <n v="21319379"/>
    <n v="836.76"/>
    <m/>
    <s v="N"/>
    <n v="1"/>
    <d v="2023-07-03T19:04:25"/>
    <s v="N"/>
    <s v="Expert Cost"/>
    <s v="Expert Cost"/>
    <s v="Expert Disbursement"/>
    <s v="Natasha Singh"/>
    <s v="N"/>
    <n v="697.3"/>
    <n v="139.46"/>
    <x v="3"/>
    <s v="VALIDATED"/>
    <n v="1"/>
    <s v="01.11.80.308.2012.0000"/>
    <n v="697.3"/>
    <s v="11"/>
    <s v="2012"/>
    <n v="1955.9"/>
    <n v="697.3"/>
    <s v="CREDITOR"/>
    <n v="697.3"/>
    <n v="0"/>
    <n v="0"/>
    <n v="0"/>
    <n v="0"/>
  </r>
  <r>
    <n v="62148118"/>
    <s v="N"/>
    <n v="21322228"/>
    <s v="3000016157380002"/>
    <s v="CIVIL"/>
    <d v="2023-06-29T00:00:00"/>
    <d v="2023-07-03T19:05:36"/>
    <m/>
    <d v="2023-07-03T00:00:00"/>
    <n v="785"/>
    <n v="17840"/>
    <s v="62148118"/>
    <s v="62148118"/>
    <m/>
    <m/>
    <n v="22789280"/>
    <m/>
    <m/>
    <m/>
    <s v="SOLPOA"/>
    <s v="SOLPOA"/>
    <s v="CCMS"/>
    <n v="21322228"/>
    <n v="421.2"/>
    <m/>
    <s v="N"/>
    <n v="1"/>
    <d v="2023-07-03T19:05:36"/>
    <s v="N"/>
    <s v="Expert Cost"/>
    <s v="Expert Cost"/>
    <s v="Expert Disbursement"/>
    <s v="Natasha Singh"/>
    <s v="N"/>
    <n v="351"/>
    <n v="70.2"/>
    <x v="3"/>
    <s v="VALIDATED"/>
    <n v="1"/>
    <s v="01.11.80.308.2012.0000"/>
    <n v="351"/>
    <s v="11"/>
    <s v="2012"/>
    <n v="1955.9"/>
    <n v="351"/>
    <s v="CREDITOR"/>
    <n v="351"/>
    <n v="0"/>
    <n v="0"/>
    <n v="0"/>
    <n v="0"/>
  </r>
  <r>
    <n v="62259249"/>
    <s v="N"/>
    <n v="21322218"/>
    <s v="3000016257660002"/>
    <s v="CIVIL"/>
    <d v="2023-06-29T00:00:00"/>
    <d v="2023-07-03T19:05:36"/>
    <m/>
    <d v="2023-07-03T00:00:00"/>
    <n v="785"/>
    <n v="17840"/>
    <s v="62259249"/>
    <s v="62259249"/>
    <m/>
    <m/>
    <n v="22788966"/>
    <m/>
    <m/>
    <m/>
    <s v="SOLPOA"/>
    <s v="SOLPOA"/>
    <s v="CCMS"/>
    <n v="21322218"/>
    <n v="367.6"/>
    <m/>
    <s v="N"/>
    <n v="1"/>
    <d v="2023-07-03T19:05:36"/>
    <s v="N"/>
    <s v="Expert Cost"/>
    <s v="Expert Cost"/>
    <s v="Expert Disbursement"/>
    <s v="Natasha Singh"/>
    <s v="N"/>
    <n v="367.6"/>
    <n v="0"/>
    <x v="3"/>
    <s v="VALIDATED"/>
    <n v="1"/>
    <s v="01.11.80.308.2012.0000"/>
    <n v="367.6"/>
    <s v="11"/>
    <s v="2012"/>
    <n v="1955.9"/>
    <n v="367.6"/>
    <s v="CREDITOR"/>
    <n v="367.6"/>
    <n v="0"/>
    <n v="0"/>
    <n v="0"/>
    <n v="0"/>
  </r>
  <r>
    <n v="62089345"/>
    <s v="N"/>
    <n v="21322679"/>
    <s v="3000016103860002"/>
    <s v="CIVIL"/>
    <d v="2023-06-29T00:00:00"/>
    <d v="2023-07-03T19:05:36"/>
    <m/>
    <d v="2023-07-03T00:00:00"/>
    <n v="785"/>
    <n v="17840"/>
    <s v="62089345"/>
    <s v="62089345"/>
    <m/>
    <m/>
    <n v="22789070"/>
    <m/>
    <m/>
    <m/>
    <s v="SOLPOA"/>
    <s v="SOLPOA"/>
    <s v="CCMS"/>
    <n v="21322679"/>
    <n v="540"/>
    <m/>
    <s v="N"/>
    <n v="1"/>
    <d v="2023-07-03T19:05:39"/>
    <s v="N"/>
    <s v="Expert Cost"/>
    <s v="Expert Cost"/>
    <s v="Expert Disbursement"/>
    <s v="Natasha Singh"/>
    <s v="N"/>
    <n v="540"/>
    <n v="0"/>
    <x v="3"/>
    <s v="VALIDATED"/>
    <n v="1"/>
    <s v="01.11.80.308.2012.0000"/>
    <n v="540"/>
    <s v="11"/>
    <s v="2012"/>
    <n v="1955.9"/>
    <n v="540"/>
    <s v="CREDITOR"/>
    <n v="540"/>
    <n v="0"/>
    <n v="0"/>
    <n v="0"/>
    <n v="0"/>
  </r>
  <r>
    <n v="61328414"/>
    <s v="N"/>
    <n v="21337830"/>
    <s v="3000015481180005"/>
    <s v="CIVIL"/>
    <d v="2023-06-14T00:00:00"/>
    <d v="2023-07-06T19:21:01"/>
    <m/>
    <d v="2023-07-06T00:00:00"/>
    <n v="800"/>
    <n v="17962"/>
    <s v="61328414"/>
    <s v="61328414"/>
    <m/>
    <m/>
    <n v="22684410"/>
    <m/>
    <m/>
    <m/>
    <s v="SOLFIN"/>
    <s v="SOLFIN"/>
    <s v="CCMS"/>
    <n v="21337830"/>
    <n v="3139.2"/>
    <m/>
    <s v="N"/>
    <n v="1"/>
    <d v="2023-07-06T19:21:09"/>
    <s v="Y"/>
    <s v="Solicitors Fixed Fee"/>
    <s v="Public Law Children"/>
    <s v="Profit Cost"/>
    <s v="LA"/>
    <s v="Y"/>
    <n v="2616"/>
    <n v="523.2"/>
    <x v="4"/>
    <s v="VALIDATED"/>
    <n v="1"/>
    <s v="01.11.80.308.6100.0000"/>
    <n v="2616"/>
    <s v="11"/>
    <s v="6100"/>
    <n v="13794.41"/>
    <n v="2616"/>
    <s v="CREDITOR"/>
    <n v="0"/>
    <n v="0"/>
    <n v="0"/>
    <n v="0"/>
    <n v="2616"/>
  </r>
  <r>
    <n v="61959434"/>
    <s v="N"/>
    <n v="21327587"/>
    <s v="3000016007930003"/>
    <s v="CIVIL"/>
    <d v="2023-06-26T00:00:00"/>
    <d v="2023-07-04T19:00:44"/>
    <m/>
    <d v="2023-07-04T00:00:00"/>
    <n v="800"/>
    <n v="17962"/>
    <s v="61959434"/>
    <s v="61959434"/>
    <m/>
    <m/>
    <n v="22761316"/>
    <m/>
    <m/>
    <m/>
    <s v="SOLFIN"/>
    <s v="SOLFIN"/>
    <s v="CCMS"/>
    <n v="21327587"/>
    <n v="1245.48"/>
    <m/>
    <s v="N"/>
    <n v="6"/>
    <d v="2023-07-04T19:00:50"/>
    <s v="Y"/>
    <s v="Routine Letter In"/>
    <s v="Care Remuneration Hourly Rates"/>
    <s v="Profit Cost"/>
    <s v="Jeni Styring"/>
    <s v="Y"/>
    <n v="48.93"/>
    <n v="9.789999999999999"/>
    <x v="1"/>
    <s v="VALIDATED"/>
    <n v="1"/>
    <s v="01.11.80.308.6100.0000"/>
    <n v="48.93"/>
    <s v="11"/>
    <s v="6100"/>
    <n v="13794.41"/>
    <n v="48.93"/>
    <s v="CREDITOR"/>
    <n v="0"/>
    <n v="0"/>
    <n v="0"/>
    <n v="0"/>
    <n v="48.93"/>
  </r>
  <r>
    <n v="61959434"/>
    <s v="N"/>
    <n v="21327587"/>
    <s v="3000016007930003"/>
    <s v="CIVIL"/>
    <d v="2023-06-26T00:00:00"/>
    <d v="2023-07-04T19:00:44"/>
    <m/>
    <d v="2023-07-04T00:00:00"/>
    <n v="800"/>
    <n v="17962"/>
    <s v="61959434"/>
    <s v="61959434"/>
    <m/>
    <m/>
    <n v="22761316"/>
    <m/>
    <m/>
    <m/>
    <s v="SOLFIN"/>
    <s v="SOLFIN"/>
    <s v="CCMS"/>
    <n v="21327587"/>
    <n v="1245.48"/>
    <m/>
    <s v="N"/>
    <n v="7"/>
    <d v="2023-07-04T19:00:50"/>
    <s v="Y"/>
    <s v="Attendance upon client"/>
    <s v="Care Remuneration Hourly Rates"/>
    <s v="Profit Cost"/>
    <s v="Jeni Styring"/>
    <s v="Y"/>
    <n v="56.47"/>
    <n v="11.29"/>
    <x v="1"/>
    <s v="VALIDATED"/>
    <n v="1"/>
    <s v="01.11.80.308.6100.0000"/>
    <n v="56.47"/>
    <s v="11"/>
    <s v="6100"/>
    <n v="13794.41"/>
    <n v="56.47"/>
    <s v="CREDITOR"/>
    <n v="0"/>
    <n v="0"/>
    <n v="0"/>
    <n v="0"/>
    <n v="56.47"/>
  </r>
  <r>
    <n v="61507209"/>
    <s v="N"/>
    <n v="21327952"/>
    <s v="3000015622940002"/>
    <s v="CIVIL"/>
    <d v="2023-06-14T00:00:00"/>
    <d v="2023-07-04T19:00:44"/>
    <m/>
    <d v="2023-07-04T00:00:00"/>
    <n v="800"/>
    <n v="17962"/>
    <s v="61507209"/>
    <s v="61507209"/>
    <m/>
    <m/>
    <n v="22689024"/>
    <m/>
    <m/>
    <m/>
    <s v="SOLFIN"/>
    <s v="SOLFIN"/>
    <s v="CCMS"/>
    <n v="21327952"/>
    <n v="4634.24"/>
    <m/>
    <s v="N"/>
    <n v="1"/>
    <d v="2023-07-04T19:00:59"/>
    <s v="Y"/>
    <s v="Interim Hearing Court Bundle/Advoca"/>
    <s v="Public Law Children"/>
    <s v="Advocacy"/>
    <s v="Pauline Lloyd"/>
    <s v="Y"/>
    <n v="59.4"/>
    <n v="11.88"/>
    <x v="1"/>
    <s v="VALIDATED"/>
    <n v="1"/>
    <s v="01.11.80.308.6100.0000"/>
    <n v="59.4"/>
    <s v="11"/>
    <s v="6100"/>
    <n v="13794.41"/>
    <n v="59.4"/>
    <s v="CREDITOR"/>
    <n v="0"/>
    <n v="0"/>
    <n v="0"/>
    <n v="0"/>
    <n v="59.4"/>
  </r>
  <r>
    <n v="61507209"/>
    <s v="N"/>
    <n v="21327952"/>
    <s v="3000015622940002"/>
    <s v="CIVIL"/>
    <d v="2023-06-14T00:00:00"/>
    <d v="2023-07-04T19:00:44"/>
    <m/>
    <d v="2023-07-04T00:00:00"/>
    <n v="800"/>
    <n v="17962"/>
    <s v="61507209"/>
    <s v="61507209"/>
    <m/>
    <m/>
    <n v="22689024"/>
    <m/>
    <m/>
    <m/>
    <s v="SOLFIN"/>
    <s v="SOLFIN"/>
    <s v="CCMS"/>
    <n v="21327952"/>
    <n v="4634.24"/>
    <m/>
    <s v="N"/>
    <n v="7"/>
    <d v="2023-07-04T19:00:59"/>
    <s v="Y"/>
    <s v="Advocates Meeting"/>
    <s v="Public Law Children"/>
    <s v="Advocacy"/>
    <s v="Ron Shockness"/>
    <s v="Y"/>
    <n v="140.99"/>
    <n v="28.2"/>
    <x v="1"/>
    <s v="VALIDATED"/>
    <n v="1"/>
    <s v="01.11.80.308.6100.0000"/>
    <n v="140.99"/>
    <s v="11"/>
    <s v="6100"/>
    <n v="13794.41"/>
    <n v="140.99"/>
    <s v="CREDITOR"/>
    <n v="0"/>
    <n v="0"/>
    <n v="0"/>
    <n v="0"/>
    <n v="140.99"/>
  </r>
  <r>
    <n v="61507209"/>
    <s v="N"/>
    <n v="21327952"/>
    <s v="3000015622940002"/>
    <s v="CIVIL"/>
    <d v="2023-06-14T00:00:00"/>
    <d v="2023-07-04T19:00:44"/>
    <m/>
    <d v="2023-07-04T00:00:00"/>
    <n v="800"/>
    <n v="17962"/>
    <s v="61507209"/>
    <s v="61507209"/>
    <m/>
    <m/>
    <n v="22689024"/>
    <m/>
    <m/>
    <m/>
    <s v="SOLFIN"/>
    <s v="SOLFIN"/>
    <s v="CCMS"/>
    <n v="21327952"/>
    <n v="4634.24"/>
    <m/>
    <s v="N"/>
    <n v="11"/>
    <d v="2023-07-04T19:00:59"/>
    <s v="Y"/>
    <s v="Solicitors Fixed Fee"/>
    <s v="Public Law Children"/>
    <s v="Profit Cost"/>
    <s v="Jennie Greene"/>
    <s v="Y"/>
    <n v="2013"/>
    <n v="402.6"/>
    <x v="1"/>
    <s v="VALIDATED"/>
    <n v="1"/>
    <s v="01.11.80.308.6100.0000"/>
    <n v="2013"/>
    <s v="11"/>
    <s v="6100"/>
    <n v="13794.41"/>
    <n v="2013"/>
    <s v="CREDITOR"/>
    <n v="0"/>
    <n v="0"/>
    <n v="0"/>
    <n v="0"/>
    <n v="2013"/>
  </r>
  <r>
    <n v="61959434"/>
    <s v="N"/>
    <n v="21327587"/>
    <s v="3000016007930003"/>
    <s v="CIVIL"/>
    <d v="2023-06-26T00:00:00"/>
    <d v="2023-07-04T19:00:44"/>
    <m/>
    <d v="2023-07-04T00:00:00"/>
    <n v="800"/>
    <n v="17962"/>
    <s v="61959434"/>
    <s v="61959434"/>
    <m/>
    <m/>
    <n v="22761316"/>
    <m/>
    <m/>
    <m/>
    <s v="SOLFIN"/>
    <s v="SOLFIN"/>
    <s v="CCMS"/>
    <n v="21327587"/>
    <n v="1245.48"/>
    <m/>
    <s v="N"/>
    <n v="15"/>
    <d v="2023-07-04T19:00:50"/>
    <s v="Y"/>
    <s v="Final Hearing - 1 Day"/>
    <s v="Other Public Law Children"/>
    <s v="Advocacy"/>
    <s v="Jeni Styring"/>
    <s v="Y"/>
    <n v="510.75"/>
    <n v="102.15"/>
    <x v="1"/>
    <s v="VALIDATED"/>
    <n v="1"/>
    <s v="01.11.80.308.6100.0000"/>
    <n v="510.75"/>
    <s v="11"/>
    <s v="6100"/>
    <n v="13794.41"/>
    <n v="510.75"/>
    <s v="CREDITOR"/>
    <n v="0"/>
    <n v="0"/>
    <n v="0"/>
    <n v="0"/>
    <n v="510.75"/>
  </r>
  <r>
    <n v="61507209"/>
    <s v="N"/>
    <n v="21327952"/>
    <s v="3000015622940002"/>
    <s v="CIVIL"/>
    <d v="2023-06-14T00:00:00"/>
    <d v="2023-07-04T19:00:44"/>
    <m/>
    <d v="2023-07-04T00:00:00"/>
    <n v="800"/>
    <n v="17962"/>
    <s v="61507209"/>
    <s v="61507209"/>
    <m/>
    <m/>
    <n v="22689024"/>
    <m/>
    <m/>
    <m/>
    <s v="SOLFIN"/>
    <s v="SOLFIN"/>
    <s v="CCMS"/>
    <n v="21327952"/>
    <n v="4634.24"/>
    <m/>
    <s v="N"/>
    <n v="6"/>
    <d v="2023-07-04T19:00:59"/>
    <s v="Y"/>
    <s v="Hearing Unit 2.31 - 5.00 Hours"/>
    <s v="Public Law Children"/>
    <s v="Advocacy"/>
    <s v="Ron Shockness"/>
    <s v="Y"/>
    <n v="476.92"/>
    <n v="95.38"/>
    <x v="1"/>
    <s v="VALIDATED"/>
    <n v="1"/>
    <s v="01.11.80.308.6100.0000"/>
    <n v="476.92"/>
    <s v="11"/>
    <s v="6100"/>
    <n v="13794.41"/>
    <n v="476.92"/>
    <s v="CREDITOR"/>
    <n v="0"/>
    <n v="0"/>
    <n v="0"/>
    <n v="0"/>
    <n v="476.92"/>
  </r>
  <r>
    <n v="61959434"/>
    <s v="N"/>
    <n v="21327587"/>
    <s v="3000016007930003"/>
    <s v="CIVIL"/>
    <d v="2023-06-26T00:00:00"/>
    <d v="2023-07-04T19:00:44"/>
    <m/>
    <d v="2023-07-04T00:00:00"/>
    <n v="800"/>
    <n v="17962"/>
    <s v="61959434"/>
    <s v="61959434"/>
    <m/>
    <m/>
    <n v="22761316"/>
    <m/>
    <m/>
    <m/>
    <s v="SOLFIN"/>
    <s v="SOLFIN"/>
    <s v="CCMS"/>
    <n v="21327587"/>
    <n v="1245.48"/>
    <m/>
    <s v="N"/>
    <n v="14"/>
    <d v="2023-07-04T19:00:50"/>
    <s v="Y"/>
    <s v="Routine Letter Out"/>
    <s v="Care Remuneration Hourly Rates"/>
    <s v="Profit Cost"/>
    <s v="Jeni Styring"/>
    <s v="Y"/>
    <n v="12.73"/>
    <n v="2.55"/>
    <x v="1"/>
    <s v="VALIDATED"/>
    <n v="1"/>
    <s v="01.11.80.308.6100.0000"/>
    <n v="12.73"/>
    <s v="11"/>
    <s v="6100"/>
    <n v="13794.41"/>
    <n v="12.73"/>
    <s v="CREDITOR"/>
    <n v="0"/>
    <n v="0"/>
    <n v="0"/>
    <n v="0"/>
    <n v="12.73"/>
  </r>
  <r>
    <n v="62365952"/>
    <s v="N"/>
    <n v="21343646"/>
    <s v="3000016346680001"/>
    <s v="CIVIL"/>
    <d v="2023-06-29T00:00:00"/>
    <d v="2023-07-07T19:03:00"/>
    <m/>
    <d v="2023-07-07T00:00:00"/>
    <n v="800"/>
    <n v="17962"/>
    <s v="62365952"/>
    <s v="62365952"/>
    <m/>
    <m/>
    <n v="22788702"/>
    <m/>
    <m/>
    <m/>
    <s v="SOLFIN"/>
    <s v="SOLFIN"/>
    <s v="CCMS"/>
    <n v="21343646"/>
    <n v="0"/>
    <m/>
    <s v="N"/>
    <n v="1"/>
    <d v="2023-07-07T19:03:11"/>
    <s v="N"/>
    <s v="NIL BILL"/>
    <s v="Care Remuneration Hourly Rates"/>
    <s v="Profit Cost"/>
    <s v="Tracey Cassidy"/>
    <s v="N"/>
    <n v="0"/>
    <n v="0"/>
    <x v="9"/>
    <s v="VALIDATED"/>
    <n v="1"/>
    <s v="01.11.80.308.6100.0000"/>
    <n v="0"/>
    <s v="11"/>
    <s v="6100"/>
    <n v="13794.41"/>
    <n v="0"/>
    <s v="CREDITOR"/>
    <n v="0"/>
    <n v="0"/>
    <n v="0"/>
    <n v="0"/>
    <n v="0"/>
  </r>
  <r>
    <n v="61507209"/>
    <s v="N"/>
    <n v="21327952"/>
    <s v="3000015622940002"/>
    <s v="CIVIL"/>
    <d v="2023-06-14T00:00:00"/>
    <d v="2023-07-04T19:00:44"/>
    <m/>
    <d v="2023-07-04T00:00:00"/>
    <n v="800"/>
    <n v="17962"/>
    <s v="61507209"/>
    <s v="61507209"/>
    <m/>
    <m/>
    <n v="22689024"/>
    <m/>
    <m/>
    <m/>
    <s v="SOLFIN"/>
    <s v="SOLFIN"/>
    <s v="CCMS"/>
    <n v="21327952"/>
    <n v="4634.24"/>
    <m/>
    <s v="N"/>
    <n v="10"/>
    <d v="2023-07-04T19:00:59"/>
    <s v="Y"/>
    <s v="Hearing Unit 2.31 - 5.00 Hours"/>
    <s v="Public Law Children"/>
    <s v="Advocacy"/>
    <s v="Ron Shockness"/>
    <s v="Y"/>
    <n v="476.92"/>
    <n v="95.38"/>
    <x v="1"/>
    <s v="VALIDATED"/>
    <n v="1"/>
    <s v="01.11.80.308.6100.0000"/>
    <n v="476.92"/>
    <s v="11"/>
    <s v="6100"/>
    <n v="13794.41"/>
    <n v="476.92"/>
    <s v="CREDITOR"/>
    <n v="0"/>
    <n v="0"/>
    <n v="0"/>
    <n v="0"/>
    <n v="476.92"/>
  </r>
  <r>
    <n v="61959434"/>
    <s v="N"/>
    <n v="21327587"/>
    <s v="3000016007930003"/>
    <s v="CIVIL"/>
    <d v="2023-06-26T00:00:00"/>
    <d v="2023-07-04T19:00:44"/>
    <m/>
    <d v="2023-07-04T00:00:00"/>
    <n v="800"/>
    <n v="17962"/>
    <s v="61959434"/>
    <s v="61959434"/>
    <m/>
    <m/>
    <n v="22761316"/>
    <m/>
    <m/>
    <m/>
    <s v="SOLFIN"/>
    <s v="SOLFIN"/>
    <s v="CCMS"/>
    <n v="21327587"/>
    <n v="1245.48"/>
    <m/>
    <s v="N"/>
    <n v="13"/>
    <d v="2023-07-04T19:00:50"/>
    <s v="Y"/>
    <s v="Routine Letter In"/>
    <s v="Care Remuneration Hourly Rates"/>
    <s v="Profit Cost"/>
    <s v="Jeni Styring"/>
    <s v="Y"/>
    <n v="44.68"/>
    <n v="8.94"/>
    <x v="1"/>
    <s v="VALIDATED"/>
    <n v="1"/>
    <s v="01.11.80.308.6100.0000"/>
    <n v="44.68"/>
    <s v="11"/>
    <s v="6100"/>
    <n v="13794.41"/>
    <n v="44.68"/>
    <s v="CREDITOR"/>
    <n v="0"/>
    <n v="0"/>
    <n v="0"/>
    <n v="0"/>
    <n v="44.68"/>
  </r>
  <r>
    <n v="61959434"/>
    <s v="N"/>
    <n v="21327587"/>
    <s v="3000016007930003"/>
    <s v="CIVIL"/>
    <d v="2023-06-26T00:00:00"/>
    <d v="2023-07-04T19:00:44"/>
    <m/>
    <d v="2023-07-04T00:00:00"/>
    <n v="800"/>
    <n v="17962"/>
    <s v="61959434"/>
    <s v="61959434"/>
    <m/>
    <m/>
    <n v="22761316"/>
    <m/>
    <m/>
    <m/>
    <s v="SOLFIN"/>
    <s v="SOLFIN"/>
    <s v="CCMS"/>
    <n v="21327587"/>
    <n v="1245.48"/>
    <m/>
    <s v="N"/>
    <n v="5"/>
    <d v="2023-07-04T19:00:50"/>
    <s v="Y"/>
    <s v="Preparation - drafting consent orde"/>
    <s v="Care Remuneration Hourly Rates"/>
    <s v="Profit Cost"/>
    <s v="Jeni Styring"/>
    <s v="Y"/>
    <n v="21.17"/>
    <n v="4.23"/>
    <x v="1"/>
    <s v="VALIDATED"/>
    <n v="1"/>
    <s v="01.11.80.308.6100.0000"/>
    <n v="21.17"/>
    <s v="11"/>
    <s v="6100"/>
    <n v="13794.41"/>
    <n v="21.17"/>
    <s v="CREDITOR"/>
    <n v="0"/>
    <n v="0"/>
    <n v="0"/>
    <n v="0"/>
    <n v="21.17"/>
  </r>
  <r>
    <n v="61058846"/>
    <s v="N"/>
    <n v="21338481"/>
    <s v="3000015254000010"/>
    <s v="CIVIL"/>
    <d v="2023-06-28T00:00:00"/>
    <d v="2023-07-06T19:21:01"/>
    <m/>
    <d v="2023-07-06T00:00:00"/>
    <n v="800"/>
    <n v="17962"/>
    <s v="61058846"/>
    <s v="61058846"/>
    <m/>
    <m/>
    <n v="22777482"/>
    <m/>
    <m/>
    <m/>
    <s v="SOLFIN"/>
    <s v="SOLFIN"/>
    <s v="CCMS"/>
    <n v="21338481"/>
    <n v="6053.11"/>
    <m/>
    <s v="N"/>
    <n v="2"/>
    <d v="2023-07-06T19:21:26"/>
    <s v="Y"/>
    <s v="Disbursements (Summary)"/>
    <s v="Care Remuneration Hourly Rates"/>
    <s v="Non Expert Disbursement"/>
    <s v="Ros Dunning"/>
    <s v="Y"/>
    <n v="452"/>
    <n v="0"/>
    <x v="4"/>
    <s v="VALIDATED"/>
    <n v="1"/>
    <s v="01.11.80.305.6300.0000"/>
    <n v="452"/>
    <s v="11"/>
    <s v="6300"/>
    <n v="13794.41"/>
    <n v="452"/>
    <s v="CREDITOR"/>
    <n v="0"/>
    <n v="0"/>
    <n v="0"/>
    <n v="0"/>
    <n v="452"/>
  </r>
  <r>
    <n v="61507209"/>
    <s v="N"/>
    <n v="21327952"/>
    <s v="3000015622940002"/>
    <s v="CIVIL"/>
    <d v="2023-06-14T00:00:00"/>
    <d v="2023-07-04T19:00:44"/>
    <m/>
    <d v="2023-07-04T00:00:00"/>
    <n v="800"/>
    <n v="17962"/>
    <s v="61507209"/>
    <s v="61507209"/>
    <m/>
    <m/>
    <n v="22689024"/>
    <m/>
    <m/>
    <m/>
    <s v="SOLFIN"/>
    <s v="SOLFIN"/>
    <s v="CCMS"/>
    <n v="21327952"/>
    <n v="4634.24"/>
    <m/>
    <s v="N"/>
    <n v="8"/>
    <d v="2023-07-04T19:00:59"/>
    <s v="Y"/>
    <s v="Hearing Unit 2.31 - 5.00 Hours"/>
    <s v="Public Law Children"/>
    <s v="Advocacy"/>
    <s v="Pauline Lloyd"/>
    <s v="Y"/>
    <n v="476.92"/>
    <n v="95.38"/>
    <x v="1"/>
    <s v="VALIDATED"/>
    <n v="1"/>
    <s v="01.11.80.308.6100.0000"/>
    <n v="476.92"/>
    <s v="11"/>
    <s v="6100"/>
    <n v="13794.41"/>
    <n v="476.92"/>
    <s v="CREDITOR"/>
    <n v="0"/>
    <n v="0"/>
    <n v="0"/>
    <n v="0"/>
    <n v="476.92"/>
  </r>
  <r>
    <n v="61507209"/>
    <s v="N"/>
    <n v="21327952"/>
    <s v="3000015622940002"/>
    <s v="CIVIL"/>
    <d v="2023-06-14T00:00:00"/>
    <d v="2023-07-04T19:00:44"/>
    <m/>
    <d v="2023-07-04T00:00:00"/>
    <n v="800"/>
    <n v="17962"/>
    <s v="61507209"/>
    <s v="61507209"/>
    <m/>
    <m/>
    <n v="22689024"/>
    <m/>
    <m/>
    <m/>
    <s v="SOLFIN"/>
    <s v="SOLFIN"/>
    <s v="CCMS"/>
    <n v="21327952"/>
    <n v="4634.24"/>
    <m/>
    <s v="N"/>
    <n v="3"/>
    <d v="2023-07-04T19:00:59"/>
    <s v="Y"/>
    <s v="Solicitor Travel Mileage"/>
    <s v="Public Law Children"/>
    <s v="Non Expert Disbursement"/>
    <s v="Pauline Lloyd"/>
    <s v="Y"/>
    <n v="12.75"/>
    <n v="2.55"/>
    <x v="1"/>
    <s v="VALIDATED"/>
    <n v="1"/>
    <s v="01.11.80.308.6300.0000"/>
    <n v="12.75"/>
    <s v="11"/>
    <s v="6300"/>
    <n v="13794.41"/>
    <n v="12.75"/>
    <s v="CREDITOR"/>
    <n v="0"/>
    <n v="0"/>
    <n v="0"/>
    <n v="0"/>
    <n v="12.75"/>
  </r>
  <r>
    <n v="61959434"/>
    <s v="N"/>
    <n v="21327587"/>
    <s v="3000016007930003"/>
    <s v="CIVIL"/>
    <d v="2023-06-26T00:00:00"/>
    <d v="2023-07-04T19:00:44"/>
    <m/>
    <d v="2023-07-04T00:00:00"/>
    <n v="800"/>
    <n v="17962"/>
    <s v="61959434"/>
    <s v="61959434"/>
    <m/>
    <m/>
    <n v="22761316"/>
    <m/>
    <m/>
    <m/>
    <s v="SOLFIN"/>
    <s v="SOLFIN"/>
    <s v="CCMS"/>
    <n v="21327587"/>
    <n v="1245.48"/>
    <m/>
    <s v="N"/>
    <n v="8"/>
    <d v="2023-07-04T19:00:50"/>
    <s v="Y"/>
    <s v="Preparation - drafting attendance n"/>
    <s v="Care Remuneration Hourly Rates"/>
    <s v="Profit Cost"/>
    <s v="Jeni Styring"/>
    <s v="Y"/>
    <n v="28.23"/>
    <n v="5.65"/>
    <x v="1"/>
    <s v="VALIDATED"/>
    <n v="1"/>
    <s v="01.11.80.308.6100.0000"/>
    <n v="28.23"/>
    <s v="11"/>
    <s v="6100"/>
    <n v="13794.41"/>
    <n v="28.23"/>
    <s v="CREDITOR"/>
    <n v="0"/>
    <n v="0"/>
    <n v="0"/>
    <n v="0"/>
    <n v="28.23"/>
  </r>
  <r>
    <n v="61058846"/>
    <s v="N"/>
    <n v="21338481"/>
    <s v="3000015254000010"/>
    <s v="CIVIL"/>
    <d v="2023-06-28T00:00:00"/>
    <d v="2023-07-06T19:21:01"/>
    <m/>
    <d v="2023-07-06T00:00:00"/>
    <n v="800"/>
    <n v="17962"/>
    <s v="61058846"/>
    <s v="61058846"/>
    <m/>
    <m/>
    <n v="22777482"/>
    <m/>
    <m/>
    <m/>
    <s v="SOLFIN"/>
    <s v="SOLFIN"/>
    <s v="CCMS"/>
    <n v="21338481"/>
    <n v="6053.11"/>
    <m/>
    <s v="N"/>
    <n v="1"/>
    <d v="2023-07-06T19:21:26"/>
    <s v="Y"/>
    <s v="Profit Costs (Summary)"/>
    <s v="Care Remuneration Hourly Rates"/>
    <s v="Profit Cost"/>
    <s v="Ros Dunning"/>
    <s v="Y"/>
    <n v="4667.59"/>
    <n v="933.52"/>
    <x v="4"/>
    <s v="VALIDATED"/>
    <n v="1"/>
    <s v="01.11.80.305.6100.0000"/>
    <n v="4667.59"/>
    <s v="11"/>
    <s v="6100"/>
    <n v="13794.41"/>
    <n v="4667.59"/>
    <s v="CREDITOR"/>
    <n v="0"/>
    <n v="0"/>
    <n v="0"/>
    <n v="0"/>
    <n v="4667.59"/>
  </r>
  <r>
    <n v="61507209"/>
    <s v="N"/>
    <n v="21327952"/>
    <s v="3000015622940002"/>
    <s v="CIVIL"/>
    <d v="2023-06-14T00:00:00"/>
    <d v="2023-07-04T19:00:44"/>
    <m/>
    <d v="2023-07-04T00:00:00"/>
    <n v="800"/>
    <n v="17962"/>
    <s v="61507209"/>
    <s v="61507209"/>
    <m/>
    <m/>
    <n v="22689024"/>
    <m/>
    <m/>
    <m/>
    <s v="SOLFIN"/>
    <s v="SOLFIN"/>
    <s v="CCMS"/>
    <n v="21327952"/>
    <n v="4634.24"/>
    <m/>
    <s v="N"/>
    <n v="4"/>
    <d v="2023-07-04T19:00:59"/>
    <s v="Y"/>
    <s v="Solicitor Travel Expenses"/>
    <s v="Public Law Children"/>
    <s v="Non Expert Disbursement"/>
    <s v="Pauline Lloyd"/>
    <s v="Y"/>
    <n v="1.67"/>
    <n v="0.33"/>
    <x v="1"/>
    <s v="VALIDATED"/>
    <n v="1"/>
    <s v="01.11.80.308.6300.0000"/>
    <n v="1.67"/>
    <s v="11"/>
    <s v="6300"/>
    <n v="13794.41"/>
    <n v="1.67"/>
    <s v="CREDITOR"/>
    <n v="0"/>
    <n v="0"/>
    <n v="0"/>
    <n v="0"/>
    <n v="1.67"/>
  </r>
  <r>
    <n v="56260015"/>
    <s v="N"/>
    <n v="21360238"/>
    <s v="3000013359060020"/>
    <s v="CIVIL"/>
    <d v="2023-06-30T00:00:00"/>
    <d v="2023-07-11T11:50:54"/>
    <m/>
    <d v="2023-07-11T00:00:00"/>
    <n v="800"/>
    <n v="17962"/>
    <s v="56260015"/>
    <s v="56260015"/>
    <m/>
    <m/>
    <n v="22799092"/>
    <m/>
    <m/>
    <m/>
    <s v="SOLFIN"/>
    <s v="SOLFIN"/>
    <s v="CCMS"/>
    <n v="21360238"/>
    <n v="4488.61"/>
    <m/>
    <s v="N"/>
    <n v="3"/>
    <d v="2023-07-11T11:50:58"/>
    <s v="Y"/>
    <s v="Expert - Other"/>
    <s v="Public Law Children"/>
    <s v="Expert Disbursement"/>
    <s v="LA"/>
    <s v="Y"/>
    <n v="702"/>
    <n v="140.4"/>
    <x v="7"/>
    <s v="VALIDATED"/>
    <n v="1"/>
    <s v="01.11.80.308.6300.0000"/>
    <n v="702"/>
    <s v="11"/>
    <s v="6300"/>
    <n v="13794.41"/>
    <n v="702"/>
    <s v="CREDITOR"/>
    <n v="0"/>
    <n v="0"/>
    <n v="0"/>
    <n v="0"/>
    <n v="702"/>
  </r>
  <r>
    <n v="61959434"/>
    <s v="N"/>
    <n v="21327587"/>
    <s v="3000016007930003"/>
    <s v="CIVIL"/>
    <d v="2023-06-26T00:00:00"/>
    <d v="2023-07-04T19:00:44"/>
    <m/>
    <d v="2023-07-04T00:00:00"/>
    <n v="800"/>
    <n v="17962"/>
    <s v="61959434"/>
    <s v="61959434"/>
    <m/>
    <m/>
    <n v="22761316"/>
    <m/>
    <m/>
    <m/>
    <s v="SOLFIN"/>
    <s v="SOLFIN"/>
    <s v="CCMS"/>
    <n v="21327587"/>
    <n v="1245.48"/>
    <m/>
    <s v="N"/>
    <n v="9"/>
    <d v="2023-07-04T19:00:50"/>
    <s v="Y"/>
    <s v="Preparation - drafting attendance n"/>
    <s v="Care Remuneration Hourly Rates"/>
    <s v="Profit Cost"/>
    <s v="Jeni Styring"/>
    <s v="Y"/>
    <n v="56.47"/>
    <n v="11.29"/>
    <x v="1"/>
    <s v="VALIDATED"/>
    <n v="1"/>
    <s v="01.11.80.308.6100.0000"/>
    <n v="56.47"/>
    <s v="11"/>
    <s v="6100"/>
    <n v="13794.41"/>
    <n v="56.47"/>
    <s v="CREDITOR"/>
    <n v="0"/>
    <n v="0"/>
    <n v="0"/>
    <n v="0"/>
    <n v="56.47"/>
  </r>
  <r>
    <n v="61507209"/>
    <s v="N"/>
    <n v="21327952"/>
    <s v="3000015622940002"/>
    <s v="CIVIL"/>
    <d v="2023-06-14T00:00:00"/>
    <d v="2023-07-04T19:00:44"/>
    <m/>
    <d v="2023-07-04T00:00:00"/>
    <n v="800"/>
    <n v="17962"/>
    <s v="61507209"/>
    <s v="61507209"/>
    <m/>
    <m/>
    <n v="22689024"/>
    <m/>
    <m/>
    <m/>
    <s v="SOLFIN"/>
    <s v="SOLFIN"/>
    <s v="CCMS"/>
    <n v="21327952"/>
    <n v="4634.24"/>
    <m/>
    <s v="N"/>
    <n v="9"/>
    <d v="2023-07-04T19:00:59"/>
    <s v="Y"/>
    <s v="Advocates Meeting"/>
    <s v="Public Law Children"/>
    <s v="Advocacy"/>
    <s v="Pauline Lloyd"/>
    <s v="Y"/>
    <n v="140.99"/>
    <n v="28.2"/>
    <x v="1"/>
    <s v="VALIDATED"/>
    <n v="1"/>
    <s v="01.11.80.308.6100.0000"/>
    <n v="140.99"/>
    <s v="11"/>
    <s v="6100"/>
    <n v="13794.41"/>
    <n v="140.99"/>
    <s v="CREDITOR"/>
    <n v="0"/>
    <n v="0"/>
    <n v="0"/>
    <n v="0"/>
    <n v="140.99"/>
  </r>
  <r>
    <n v="61959434"/>
    <s v="N"/>
    <n v="21327587"/>
    <s v="3000016007930003"/>
    <s v="CIVIL"/>
    <d v="2023-06-26T00:00:00"/>
    <d v="2023-07-04T19:00:44"/>
    <m/>
    <d v="2023-07-04T00:00:00"/>
    <n v="800"/>
    <n v="17962"/>
    <s v="61959434"/>
    <s v="61959434"/>
    <m/>
    <m/>
    <n v="22761316"/>
    <m/>
    <m/>
    <m/>
    <s v="SOLFIN"/>
    <s v="SOLFIN"/>
    <s v="CCMS"/>
    <n v="21327587"/>
    <n v="1245.48"/>
    <m/>
    <s v="N"/>
    <n v="11"/>
    <d v="2023-07-04T19:00:50"/>
    <s v="Y"/>
    <s v="Routine Letter In"/>
    <s v="Care Remuneration Hourly Rates"/>
    <s v="Profit Cost"/>
    <s v="Jeni Styring"/>
    <s v="Y"/>
    <n v="23.4"/>
    <n v="4.68"/>
    <x v="1"/>
    <s v="VALIDATED"/>
    <n v="1"/>
    <s v="01.11.80.308.6100.0000"/>
    <n v="23.4"/>
    <s v="11"/>
    <s v="6100"/>
    <n v="13794.41"/>
    <n v="23.4"/>
    <s v="CREDITOR"/>
    <n v="0"/>
    <n v="0"/>
    <n v="0"/>
    <n v="0"/>
    <n v="23.4"/>
  </r>
  <r>
    <n v="61507209"/>
    <s v="N"/>
    <n v="21327952"/>
    <s v="3000015622940002"/>
    <s v="CIVIL"/>
    <d v="2023-06-14T00:00:00"/>
    <d v="2023-07-04T19:00:44"/>
    <m/>
    <d v="2023-07-04T00:00:00"/>
    <n v="800"/>
    <n v="17962"/>
    <s v="61507209"/>
    <s v="61507209"/>
    <m/>
    <m/>
    <n v="22689024"/>
    <m/>
    <m/>
    <m/>
    <s v="SOLFIN"/>
    <s v="SOLFIN"/>
    <s v="CCMS"/>
    <n v="21327952"/>
    <n v="4634.24"/>
    <m/>
    <s v="N"/>
    <n v="5"/>
    <d v="2023-07-04T19:00:59"/>
    <s v="Y"/>
    <s v="Solicitor Travel Expenses"/>
    <s v="Public Law Children"/>
    <s v="Non Expert Disbursement"/>
    <s v="Jennie Greene"/>
    <s v="Y"/>
    <n v="2.92"/>
    <n v="0.58"/>
    <x v="1"/>
    <s v="VALIDATED"/>
    <n v="1"/>
    <s v="01.11.80.308.6300.0000"/>
    <n v="2.92"/>
    <s v="11"/>
    <s v="6300"/>
    <n v="13794.41"/>
    <n v="2.92"/>
    <s v="CREDITOR"/>
    <n v="0"/>
    <n v="0"/>
    <n v="0"/>
    <n v="0"/>
    <n v="2.92"/>
  </r>
  <r>
    <n v="61507209"/>
    <s v="N"/>
    <n v="21327952"/>
    <s v="3000015622940002"/>
    <s v="CIVIL"/>
    <d v="2023-06-14T00:00:00"/>
    <d v="2023-07-04T19:00:44"/>
    <m/>
    <d v="2023-07-04T00:00:00"/>
    <n v="800"/>
    <n v="17962"/>
    <s v="61507209"/>
    <s v="61507209"/>
    <m/>
    <m/>
    <n v="22689024"/>
    <m/>
    <m/>
    <m/>
    <s v="SOLFIN"/>
    <s v="SOLFIN"/>
    <s v="CCMS"/>
    <n v="21327952"/>
    <n v="4634.24"/>
    <m/>
    <s v="N"/>
    <n v="2"/>
    <d v="2023-07-04T19:00:59"/>
    <s v="Y"/>
    <s v="Interim Hearing Court Bundle/Advoca"/>
    <s v="Public Law Children"/>
    <s v="Advocacy"/>
    <s v="Ron Shockness"/>
    <s v="Y"/>
    <n v="59.4"/>
    <n v="11.88"/>
    <x v="1"/>
    <s v="VALIDATED"/>
    <n v="1"/>
    <s v="01.11.80.308.6100.0000"/>
    <n v="59.4"/>
    <s v="11"/>
    <s v="6100"/>
    <n v="13794.41"/>
    <n v="59.4"/>
    <s v="CREDITOR"/>
    <n v="0"/>
    <n v="0"/>
    <n v="0"/>
    <n v="0"/>
    <n v="59.4"/>
  </r>
  <r>
    <n v="61959434"/>
    <s v="N"/>
    <n v="21327587"/>
    <s v="3000016007930003"/>
    <s v="CIVIL"/>
    <d v="2023-06-26T00:00:00"/>
    <d v="2023-07-04T19:00:44"/>
    <m/>
    <d v="2023-07-04T00:00:00"/>
    <n v="800"/>
    <n v="17962"/>
    <s v="61959434"/>
    <s v="61959434"/>
    <m/>
    <m/>
    <n v="22761316"/>
    <m/>
    <m/>
    <m/>
    <s v="SOLFIN"/>
    <s v="SOLFIN"/>
    <s v="CCMS"/>
    <n v="21327587"/>
    <n v="1245.48"/>
    <m/>
    <s v="N"/>
    <n v="10"/>
    <d v="2023-07-04T19:00:50"/>
    <s v="Y"/>
    <s v="Routine Letter Out"/>
    <s v="Care Remuneration Hourly Rates"/>
    <s v="Profit Cost"/>
    <s v="Jeni Styring"/>
    <s v="Y"/>
    <n v="76.38"/>
    <n v="15.28"/>
    <x v="1"/>
    <s v="VALIDATED"/>
    <n v="1"/>
    <s v="01.11.80.308.6100.0000"/>
    <n v="76.38"/>
    <s v="11"/>
    <s v="6100"/>
    <n v="13794.41"/>
    <n v="76.38"/>
    <s v="CREDITOR"/>
    <n v="0"/>
    <n v="0"/>
    <n v="0"/>
    <n v="0"/>
    <n v="76.38"/>
  </r>
  <r>
    <n v="62365966"/>
    <s v="N"/>
    <n v="21343523"/>
    <s v="3000016346700001"/>
    <s v="CIVIL"/>
    <d v="2023-06-29T00:00:00"/>
    <d v="2023-07-07T19:03:00"/>
    <m/>
    <d v="2023-07-07T00:00:00"/>
    <n v="800"/>
    <n v="17962"/>
    <s v="62365966"/>
    <s v="62365966"/>
    <m/>
    <m/>
    <n v="22788746"/>
    <m/>
    <m/>
    <m/>
    <s v="SOLFIN"/>
    <s v="SOLFIN"/>
    <s v="CCMS"/>
    <n v="21343523"/>
    <n v="0"/>
    <m/>
    <s v="N"/>
    <n v="1"/>
    <d v="2023-07-07T19:03:10"/>
    <s v="N"/>
    <s v="NIL BILL"/>
    <s v="Care Remuneration Hourly Rates"/>
    <s v="Profit Cost"/>
    <s v="Tracey Cassidy"/>
    <s v="N"/>
    <n v="0"/>
    <n v="0"/>
    <x v="9"/>
    <s v="VALIDATED"/>
    <n v="1"/>
    <s v="01.11.80.308.6100.0000"/>
    <n v="0"/>
    <s v="11"/>
    <s v="6100"/>
    <n v="13794.41"/>
    <n v="0"/>
    <s v="CREDITOR"/>
    <n v="0"/>
    <n v="0"/>
    <n v="0"/>
    <n v="0"/>
    <n v="0"/>
  </r>
  <r>
    <n v="61959434"/>
    <s v="N"/>
    <n v="21327587"/>
    <s v="3000016007930003"/>
    <s v="CIVIL"/>
    <d v="2023-06-26T00:00:00"/>
    <d v="2023-07-04T19:00:44"/>
    <m/>
    <d v="2023-07-04T00:00:00"/>
    <n v="800"/>
    <n v="17962"/>
    <s v="61959434"/>
    <s v="61959434"/>
    <m/>
    <m/>
    <n v="22761316"/>
    <m/>
    <m/>
    <m/>
    <s v="SOLFIN"/>
    <s v="SOLFIN"/>
    <s v="CCMS"/>
    <n v="21327587"/>
    <n v="1245.48"/>
    <m/>
    <s v="N"/>
    <n v="2"/>
    <d v="2023-07-04T19:00:50"/>
    <s v="Y"/>
    <s v="Routine Letter In"/>
    <s v="Care Remuneration Hourly Rates"/>
    <s v="Profit Cost"/>
    <s v="Jeni Styring"/>
    <s v="Y"/>
    <n v="14.89"/>
    <n v="2.98"/>
    <x v="1"/>
    <s v="VALIDATED"/>
    <n v="1"/>
    <s v="01.11.80.308.6100.0000"/>
    <n v="14.89"/>
    <s v="11"/>
    <s v="6100"/>
    <n v="13794.41"/>
    <n v="14.89"/>
    <s v="CREDITOR"/>
    <n v="0"/>
    <n v="0"/>
    <n v="0"/>
    <n v="0"/>
    <n v="14.89"/>
  </r>
  <r>
    <n v="61959434"/>
    <s v="N"/>
    <n v="21327587"/>
    <s v="3000016007930003"/>
    <s v="CIVIL"/>
    <d v="2023-06-26T00:00:00"/>
    <d v="2023-07-04T19:00:44"/>
    <m/>
    <d v="2023-07-04T00:00:00"/>
    <n v="800"/>
    <n v="17962"/>
    <s v="61959434"/>
    <s v="61959434"/>
    <m/>
    <m/>
    <n v="22761316"/>
    <m/>
    <m/>
    <m/>
    <s v="SOLFIN"/>
    <s v="SOLFIN"/>
    <s v="CCMS"/>
    <n v="21327587"/>
    <n v="1245.48"/>
    <m/>
    <s v="N"/>
    <n v="12"/>
    <d v="2023-07-04T19:00:50"/>
    <s v="Y"/>
    <s v="Preparation - drafting bill/claim f"/>
    <s v="Care Remuneration Hourly Rates"/>
    <s v="Profit Cost"/>
    <s v="Ros Dunning"/>
    <s v="Y"/>
    <n v="30.69"/>
    <n v="6.14"/>
    <x v="1"/>
    <s v="VALIDATED"/>
    <n v="1"/>
    <s v="01.11.80.308.6100.0000"/>
    <n v="30.69"/>
    <s v="11"/>
    <s v="6100"/>
    <n v="13794.41"/>
    <n v="30.69"/>
    <s v="CREDITOR"/>
    <n v="0"/>
    <n v="0"/>
    <n v="0"/>
    <n v="0"/>
    <n v="30.69"/>
  </r>
  <r>
    <n v="56260015"/>
    <s v="N"/>
    <n v="21360238"/>
    <s v="3000013359060020"/>
    <s v="CIVIL"/>
    <d v="2023-06-30T00:00:00"/>
    <d v="2023-07-11T11:50:54"/>
    <m/>
    <d v="2023-07-11T00:00:00"/>
    <n v="800"/>
    <n v="17962"/>
    <s v="56260015"/>
    <s v="56260015"/>
    <m/>
    <m/>
    <n v="22799092"/>
    <m/>
    <m/>
    <m/>
    <s v="SOLFIN"/>
    <s v="SOLFIN"/>
    <s v="CCMS"/>
    <n v="21360238"/>
    <n v="4488.61"/>
    <m/>
    <s v="N"/>
    <n v="1"/>
    <d v="2023-07-11T11:50:58"/>
    <s v="Y"/>
    <s v="Toxicologist"/>
    <s v="Public Law Children"/>
    <s v="Expert Disbursement"/>
    <s v="LA"/>
    <s v="Y"/>
    <n v="88.76000000000001"/>
    <n v="17.75"/>
    <x v="7"/>
    <s v="VALIDATED"/>
    <n v="1"/>
    <s v="01.11.80.308.6300.0000"/>
    <n v="88.76000000000001"/>
    <s v="11"/>
    <s v="6300"/>
    <n v="13794.41"/>
    <n v="88.76000000000001"/>
    <s v="CREDITOR"/>
    <n v="0"/>
    <n v="0"/>
    <n v="0"/>
    <n v="0"/>
    <n v="88.76000000000001"/>
  </r>
  <r>
    <n v="61729358"/>
    <s v="N"/>
    <n v="21322280"/>
    <s v="3000015815180003"/>
    <s v="CIVIL"/>
    <d v="2023-06-29T00:00:00"/>
    <d v="2023-07-03T19:05:36"/>
    <m/>
    <d v="2023-07-03T00:00:00"/>
    <n v="800"/>
    <n v="17962"/>
    <s v="61729358"/>
    <s v="61729358"/>
    <m/>
    <m/>
    <n v="22791574"/>
    <m/>
    <m/>
    <m/>
    <s v="SOLPOA"/>
    <s v="SOLPOA"/>
    <s v="CCMS"/>
    <n v="21322280"/>
    <n v="85.73999999999999"/>
    <m/>
    <s v="N"/>
    <n v="1"/>
    <d v="2023-07-03T19:05:37"/>
    <s v="N"/>
    <s v="Expert Cost"/>
    <s v="Expert Cost"/>
    <s v="Expert Disbursement"/>
    <s v="JG"/>
    <s v="N"/>
    <n v="71.45"/>
    <n v="14.29"/>
    <x v="3"/>
    <s v="VALIDATED"/>
    <n v="1"/>
    <s v="01.11.80.308.2012.0000"/>
    <n v="71.45"/>
    <s v="11"/>
    <s v="2012"/>
    <n v="13794.41"/>
    <n v="71.45"/>
    <s v="CREDITOR"/>
    <n v="71.45"/>
    <n v="0"/>
    <n v="0"/>
    <n v="0"/>
    <n v="0"/>
  </r>
  <r>
    <n v="61455282"/>
    <s v="N"/>
    <n v="21322737"/>
    <s v="3000015586150008"/>
    <s v="CIVIL"/>
    <d v="2023-06-29T00:00:00"/>
    <d v="2023-07-03T19:05:36"/>
    <m/>
    <d v="2023-07-03T00:00:00"/>
    <n v="800"/>
    <n v="17962"/>
    <s v="61455282"/>
    <s v="61455282"/>
    <m/>
    <m/>
    <n v="22791770"/>
    <m/>
    <m/>
    <m/>
    <s v="SOLPOA"/>
    <s v="SOLPOA"/>
    <s v="CCMS"/>
    <n v="21322737"/>
    <n v="289.5"/>
    <m/>
    <s v="N"/>
    <n v="1"/>
    <d v="2023-07-03T19:05:39"/>
    <s v="N"/>
    <s v="Expert Cost"/>
    <s v="Expert Cost"/>
    <s v="Expert Disbursement"/>
    <s v="TC"/>
    <s v="N"/>
    <n v="241.25"/>
    <n v="48.25"/>
    <x v="3"/>
    <s v="VALIDATED"/>
    <n v="1"/>
    <s v="01.11.80.308.2012.0000"/>
    <n v="241.25"/>
    <s v="11"/>
    <s v="2012"/>
    <n v="13794.41"/>
    <n v="241.25"/>
    <s v="CREDITOR"/>
    <n v="241.25"/>
    <n v="0"/>
    <n v="0"/>
    <n v="0"/>
    <n v="0"/>
  </r>
  <r>
    <n v="61959434"/>
    <s v="N"/>
    <n v="21327587"/>
    <s v="3000016007930003"/>
    <s v="CIVIL"/>
    <d v="2023-06-26T00:00:00"/>
    <d v="2023-07-04T19:00:44"/>
    <m/>
    <d v="2023-07-04T00:00:00"/>
    <n v="800"/>
    <n v="17962"/>
    <s v="61959434"/>
    <s v="61959434"/>
    <m/>
    <m/>
    <n v="22761316"/>
    <m/>
    <m/>
    <m/>
    <s v="SOLFIN"/>
    <s v="SOLFIN"/>
    <s v="CCMS"/>
    <n v="21327587"/>
    <n v="1245.48"/>
    <m/>
    <s v="N"/>
    <n v="1"/>
    <d v="2023-07-04T19:00:50"/>
    <s v="Y"/>
    <s v="Preparation - drafting application"/>
    <s v="Care Remuneration Hourly Rates"/>
    <s v="Profit Cost"/>
    <s v="Jeni Styring"/>
    <s v="Y"/>
    <n v="28.23"/>
    <n v="5.65"/>
    <x v="1"/>
    <s v="VALIDATED"/>
    <n v="1"/>
    <s v="01.11.80.308.6100.0000"/>
    <n v="28.23"/>
    <s v="11"/>
    <s v="6100"/>
    <n v="13794.41"/>
    <n v="28.23"/>
    <s v="CREDITOR"/>
    <n v="0"/>
    <n v="0"/>
    <n v="0"/>
    <n v="0"/>
    <n v="28.23"/>
  </r>
  <r>
    <n v="61959434"/>
    <s v="N"/>
    <n v="21327587"/>
    <s v="3000016007930003"/>
    <s v="CIVIL"/>
    <d v="2023-06-26T00:00:00"/>
    <d v="2023-07-04T19:00:44"/>
    <m/>
    <d v="2023-07-04T00:00:00"/>
    <n v="800"/>
    <n v="17962"/>
    <s v="61959434"/>
    <s v="61959434"/>
    <m/>
    <m/>
    <n v="22761316"/>
    <m/>
    <m/>
    <m/>
    <s v="SOLFIN"/>
    <s v="SOLFIN"/>
    <s v="CCMS"/>
    <n v="21327587"/>
    <n v="1245.48"/>
    <m/>
    <s v="N"/>
    <n v="3"/>
    <d v="2023-07-04T19:00:50"/>
    <s v="Y"/>
    <s v="Routine Letter Out"/>
    <s v="Care Remuneration Hourly Rates"/>
    <s v="Profit Cost"/>
    <s v="Jeni Styring"/>
    <s v="Y"/>
    <n v="21.22"/>
    <n v="4.24"/>
    <x v="1"/>
    <s v="VALIDATED"/>
    <n v="1"/>
    <s v="01.11.80.308.6100.0000"/>
    <n v="21.22"/>
    <s v="11"/>
    <s v="6100"/>
    <n v="13794.41"/>
    <n v="21.22"/>
    <s v="CREDITOR"/>
    <n v="0"/>
    <n v="0"/>
    <n v="0"/>
    <n v="0"/>
    <n v="21.22"/>
  </r>
  <r>
    <n v="61846364"/>
    <s v="N"/>
    <n v="21319899"/>
    <s v="3000015912680004"/>
    <s v="CIVIL"/>
    <d v="2023-06-28T00:00:00"/>
    <d v="2023-07-03T19:04:24"/>
    <m/>
    <d v="2023-07-03T00:00:00"/>
    <n v="800"/>
    <n v="17962"/>
    <s v="61846364"/>
    <s v="61846364"/>
    <m/>
    <m/>
    <n v="22777458"/>
    <m/>
    <m/>
    <m/>
    <s v="SOLPOA"/>
    <s v="SOLPOA"/>
    <s v="CCMS"/>
    <n v="21319899"/>
    <n v="505.62"/>
    <m/>
    <s v="N"/>
    <n v="1"/>
    <d v="2023-07-03T19:04:28"/>
    <s v="N"/>
    <s v="Expert Cost"/>
    <s v="Expert Cost"/>
    <s v="Expert Disbursement"/>
    <s v="JS"/>
    <s v="N"/>
    <n v="421.35"/>
    <n v="84.27"/>
    <x v="3"/>
    <s v="VALIDATED"/>
    <n v="1"/>
    <s v="01.11.80.308.2012.0000"/>
    <n v="421.35"/>
    <s v="11"/>
    <s v="2012"/>
    <n v="13794.41"/>
    <n v="421.35"/>
    <s v="CREDITOR"/>
    <n v="421.35"/>
    <n v="0"/>
    <n v="0"/>
    <n v="0"/>
    <n v="0"/>
  </r>
  <r>
    <n v="56260015"/>
    <s v="N"/>
    <n v="21360238"/>
    <s v="3000013359060020"/>
    <s v="CIVIL"/>
    <d v="2023-06-30T00:00:00"/>
    <d v="2023-07-11T11:50:54"/>
    <m/>
    <d v="2023-07-11T00:00:00"/>
    <n v="800"/>
    <n v="17962"/>
    <s v="56260015"/>
    <s v="56260015"/>
    <m/>
    <m/>
    <n v="22799092"/>
    <m/>
    <m/>
    <m/>
    <s v="SOLFIN"/>
    <s v="SOLFIN"/>
    <s v="CCMS"/>
    <n v="21360238"/>
    <n v="4488.61"/>
    <m/>
    <s v="N"/>
    <n v="4"/>
    <d v="2023-07-11T11:50:58"/>
    <s v="Y"/>
    <s v="Solicitors Fixed Fee"/>
    <s v="Public Law Children"/>
    <s v="Profit Cost"/>
    <s v="LA"/>
    <s v="Y"/>
    <n v="2616"/>
    <n v="523.2"/>
    <x v="7"/>
    <s v="VALIDATED"/>
    <n v="1"/>
    <s v="01.11.80.308.6100.0000"/>
    <n v="2616"/>
    <s v="11"/>
    <s v="6100"/>
    <n v="13794.41"/>
    <n v="2616"/>
    <s v="CREDITOR"/>
    <n v="0"/>
    <n v="0"/>
    <n v="0"/>
    <n v="0"/>
    <n v="2616"/>
  </r>
  <r>
    <n v="61959434"/>
    <s v="N"/>
    <n v="21327587"/>
    <s v="3000016007930003"/>
    <s v="CIVIL"/>
    <d v="2023-06-26T00:00:00"/>
    <d v="2023-07-04T19:00:44"/>
    <m/>
    <d v="2023-07-04T00:00:00"/>
    <n v="800"/>
    <n v="17962"/>
    <s v="61959434"/>
    <s v="61959434"/>
    <m/>
    <m/>
    <n v="22761316"/>
    <m/>
    <m/>
    <m/>
    <s v="SOLFIN"/>
    <s v="SOLFIN"/>
    <s v="CCMS"/>
    <n v="21327587"/>
    <n v="1245.48"/>
    <m/>
    <s v="N"/>
    <n v="4"/>
    <d v="2023-07-04T19:00:50"/>
    <s v="Y"/>
    <s v="Routine Letter Out"/>
    <s v="Care Remuneration Hourly Rates"/>
    <s v="Profit Cost"/>
    <s v="Jeni Styring"/>
    <s v="Y"/>
    <n v="63.65"/>
    <n v="12.73"/>
    <x v="1"/>
    <s v="VALIDATED"/>
    <n v="1"/>
    <s v="01.11.80.308.6100.0000"/>
    <n v="63.65"/>
    <s v="11"/>
    <s v="6100"/>
    <n v="13794.41"/>
    <n v="63.65"/>
    <s v="CREDITOR"/>
    <n v="0"/>
    <n v="0"/>
    <n v="0"/>
    <n v="0"/>
    <n v="63.65"/>
  </r>
  <r>
    <n v="56260015"/>
    <s v="N"/>
    <n v="21360238"/>
    <s v="3000013359060020"/>
    <s v="CIVIL"/>
    <d v="2023-06-30T00:00:00"/>
    <d v="2023-07-11T11:50:54"/>
    <m/>
    <d v="2023-07-11T00:00:00"/>
    <n v="800"/>
    <n v="17962"/>
    <s v="56260015"/>
    <s v="56260015"/>
    <m/>
    <m/>
    <n v="22799092"/>
    <m/>
    <m/>
    <m/>
    <s v="SOLFIN"/>
    <s v="SOLFIN"/>
    <s v="CCMS"/>
    <n v="21360238"/>
    <n v="4488.61"/>
    <m/>
    <s v="N"/>
    <n v="2"/>
    <d v="2023-07-11T11:50:58"/>
    <s v="Y"/>
    <s v="Toxicologist"/>
    <s v="Public Law Children"/>
    <s v="Expert Disbursement"/>
    <s v="LA"/>
    <s v="Y"/>
    <n v="333.75"/>
    <n v="66.75"/>
    <x v="7"/>
    <s v="VALIDATED"/>
    <n v="1"/>
    <s v="01.11.80.308.6300.0000"/>
    <n v="333.75"/>
    <s v="11"/>
    <s v="6300"/>
    <n v="13794.41"/>
    <n v="333.75"/>
    <s v="CREDITOR"/>
    <n v="0"/>
    <n v="0"/>
    <n v="0"/>
    <n v="0"/>
    <n v="333.75"/>
  </r>
  <r>
    <n v="61959434"/>
    <s v="N"/>
    <n v="21328644"/>
    <s v="3000016007930001RC"/>
    <s v="CIVIL"/>
    <d v="2023-06-26T00:00:00"/>
    <d v="2023-07-04T19:38:21"/>
    <m/>
    <d v="2023-07-04T00:00:00"/>
    <n v="800"/>
    <n v="17962"/>
    <s v="61959434"/>
    <s v="61959434"/>
    <m/>
    <m/>
    <m/>
    <m/>
    <m/>
    <m/>
    <s v="SOLRECOUP"/>
    <s v="SOLRECOUP"/>
    <s v="POARECOUP"/>
    <n v="21328644"/>
    <n v="-132"/>
    <m/>
    <s v="Y"/>
    <n v="1"/>
    <d v="2023-07-04T19:38:22"/>
    <s v="N"/>
    <m/>
    <m/>
    <s v="Expert Disbursement"/>
    <m/>
    <s v="N"/>
    <n v="-110"/>
    <n v="0"/>
    <x v="1"/>
    <s v="VALIDATED"/>
    <n v="1"/>
    <s v="01.11.80.308.2013.0000"/>
    <n v="-110"/>
    <s v="11"/>
    <s v="2013"/>
    <n v="13794.41"/>
    <n v="-110"/>
    <s v="CREDITOR"/>
    <n v="0"/>
    <n v="0"/>
    <n v="-110"/>
    <n v="0"/>
    <n v="0"/>
  </r>
  <r>
    <n v="61959434"/>
    <s v="N"/>
    <n v="21328644"/>
    <s v="3000016007930001RC"/>
    <s v="CIVIL"/>
    <d v="2023-06-26T00:00:00"/>
    <d v="2023-07-04T19:38:21"/>
    <m/>
    <d v="2023-07-04T00:00:00"/>
    <n v="800"/>
    <n v="17962"/>
    <s v="61959434"/>
    <s v="61959434"/>
    <m/>
    <m/>
    <m/>
    <m/>
    <m/>
    <m/>
    <s v="SOLRECOUP"/>
    <s v="SOLRECOUP"/>
    <s v="POARECOUP"/>
    <n v="21328644"/>
    <n v="-132"/>
    <m/>
    <s v="Y"/>
    <n v="2"/>
    <d v="2023-07-04T19:38:22"/>
    <s v="N"/>
    <m/>
    <m/>
    <s v="Expert Disbursement"/>
    <m/>
    <s v="N"/>
    <n v="0"/>
    <n v="-22"/>
    <x v="1"/>
    <s v="VALIDATED"/>
    <n v="1"/>
    <s v="01.11.80.308.2013.0000"/>
    <n v="-22"/>
    <s v="11"/>
    <s v="2013"/>
    <n v="13794.41"/>
    <n v="-22"/>
    <s v="CREDITOR"/>
    <n v="0"/>
    <n v="0"/>
    <n v="-22"/>
    <n v="0"/>
    <n v="0"/>
  </r>
  <r>
    <n v="61959434"/>
    <s v="N"/>
    <n v="21328645"/>
    <s v="3000016007930002RC"/>
    <s v="CIVIL"/>
    <d v="2023-06-26T00:00:00"/>
    <d v="2023-07-04T19:38:21"/>
    <m/>
    <d v="2023-07-04T00:00:00"/>
    <n v="800"/>
    <n v="17962"/>
    <s v="61959434"/>
    <s v="61959434"/>
    <m/>
    <m/>
    <m/>
    <m/>
    <m/>
    <m/>
    <s v="SOLRECOUP"/>
    <s v="SOLRECOUP"/>
    <s v="POARECOUP"/>
    <n v="21328645"/>
    <n v="-1382.1"/>
    <m/>
    <s v="Y"/>
    <n v="1"/>
    <d v="2023-07-04T19:38:22"/>
    <s v="N"/>
    <m/>
    <m/>
    <s v="Expert Disbursement"/>
    <m/>
    <s v="N"/>
    <n v="-1151.75"/>
    <n v="0"/>
    <x v="1"/>
    <s v="VALIDATED"/>
    <n v="1"/>
    <s v="01.11.80.308.2013.0000"/>
    <n v="-1151.75"/>
    <s v="11"/>
    <s v="2013"/>
    <n v="13794.41"/>
    <n v="-1151.75"/>
    <s v="CREDITOR"/>
    <n v="0"/>
    <n v="0"/>
    <n v="-1151.75"/>
    <n v="0"/>
    <n v="0"/>
  </r>
  <r>
    <n v="61959434"/>
    <s v="N"/>
    <n v="21328645"/>
    <s v="3000016007930002RC"/>
    <s v="CIVIL"/>
    <d v="2023-06-26T00:00:00"/>
    <d v="2023-07-04T19:38:21"/>
    <m/>
    <d v="2023-07-04T00:00:00"/>
    <n v="800"/>
    <n v="17962"/>
    <s v="61959434"/>
    <s v="61959434"/>
    <m/>
    <m/>
    <m/>
    <m/>
    <m/>
    <m/>
    <s v="SOLRECOUP"/>
    <s v="SOLRECOUP"/>
    <s v="POARECOUP"/>
    <n v="21328645"/>
    <n v="-1382.1"/>
    <m/>
    <s v="Y"/>
    <n v="2"/>
    <d v="2023-07-04T19:38:22"/>
    <s v="N"/>
    <m/>
    <m/>
    <s v="Expert Disbursement"/>
    <m/>
    <s v="N"/>
    <n v="0"/>
    <n v="-230.35"/>
    <x v="1"/>
    <s v="VALIDATED"/>
    <n v="1"/>
    <s v="01.11.80.308.2013.0000"/>
    <n v="-230.35"/>
    <s v="11"/>
    <s v="2013"/>
    <n v="13794.41"/>
    <n v="-230.35"/>
    <s v="CREDITOR"/>
    <n v="0"/>
    <n v="0"/>
    <n v="-230.35"/>
    <n v="0"/>
    <n v="0"/>
  </r>
  <r>
    <n v="61058846"/>
    <s v="N"/>
    <n v="21339961"/>
    <s v="3000015254000001RC"/>
    <s v="CIVIL"/>
    <d v="2023-06-28T00:00:00"/>
    <d v="2023-07-06T19:54:22"/>
    <m/>
    <d v="2023-07-06T00:00:00"/>
    <n v="800"/>
    <n v="17962"/>
    <s v="61058846"/>
    <s v="61058846"/>
    <m/>
    <m/>
    <m/>
    <m/>
    <m/>
    <m/>
    <s v="SOLRECOUP"/>
    <s v="SOLRECOUP"/>
    <s v="POARECOUP"/>
    <n v="21339961"/>
    <n v="-232"/>
    <m/>
    <s v="Y"/>
    <n v="1"/>
    <d v="2023-07-06T19:54:23"/>
    <s v="N"/>
    <m/>
    <m/>
    <s v="Non Expert Disbursement"/>
    <m/>
    <s v="N"/>
    <n v="-232"/>
    <n v="0"/>
    <x v="4"/>
    <s v="VALIDATED"/>
    <n v="1"/>
    <s v="01.11.80.305.2013.0000"/>
    <n v="-232"/>
    <s v="11"/>
    <s v="2013"/>
    <n v="13794.41"/>
    <n v="-232"/>
    <s v="CREDITOR"/>
    <n v="0"/>
    <n v="0"/>
    <n v="-232"/>
    <n v="0"/>
    <n v="0"/>
  </r>
  <r>
    <n v="61058846"/>
    <s v="N"/>
    <n v="21339961"/>
    <s v="3000015254000001RC"/>
    <s v="CIVIL"/>
    <d v="2023-06-28T00:00:00"/>
    <d v="2023-07-06T19:54:22"/>
    <m/>
    <d v="2023-07-06T00:00:00"/>
    <n v="800"/>
    <n v="17962"/>
    <s v="61058846"/>
    <s v="61058846"/>
    <m/>
    <m/>
    <m/>
    <m/>
    <m/>
    <m/>
    <s v="SOLRECOUP"/>
    <s v="SOLRECOUP"/>
    <s v="POARECOUP"/>
    <n v="21339961"/>
    <n v="-232"/>
    <m/>
    <s v="Y"/>
    <n v="2"/>
    <d v="2023-07-06T19:54:23"/>
    <s v="N"/>
    <m/>
    <m/>
    <s v="Non Expert Disbursement"/>
    <m/>
    <s v="N"/>
    <n v="0"/>
    <n v="0"/>
    <x v="4"/>
    <s v="VALIDATED"/>
    <n v="1"/>
    <s v="01.11.80.000.0000.0000"/>
    <n v="0"/>
    <s v="11"/>
    <s v="0000"/>
    <n v="13794.41"/>
    <n v="0"/>
    <s v="CREDITOR"/>
    <n v="0"/>
    <n v="0"/>
    <n v="0"/>
    <n v="0"/>
    <n v="0"/>
  </r>
  <r>
    <n v="61058846"/>
    <s v="N"/>
    <n v="21339962"/>
    <s v="3000015254000006RC"/>
    <s v="CIVIL"/>
    <d v="2023-06-28T00:00:00"/>
    <d v="2023-07-06T19:54:22"/>
    <m/>
    <d v="2023-07-06T00:00:00"/>
    <n v="800"/>
    <n v="17962"/>
    <s v="61058846"/>
    <s v="61058846"/>
    <m/>
    <m/>
    <m/>
    <m/>
    <m/>
    <m/>
    <s v="SOLRECOUP"/>
    <s v="SOLRECOUP"/>
    <s v="POARECOUP"/>
    <n v="21339962"/>
    <n v="-167"/>
    <m/>
    <s v="Y"/>
    <n v="1"/>
    <d v="2023-07-06T19:54:23"/>
    <s v="N"/>
    <m/>
    <m/>
    <s v="Non Expert Disbursement"/>
    <m/>
    <s v="N"/>
    <n v="-167"/>
    <n v="0"/>
    <x v="4"/>
    <s v="VALIDATED"/>
    <n v="1"/>
    <s v="01.11.80.305.2013.0000"/>
    <n v="-167"/>
    <s v="11"/>
    <s v="2013"/>
    <n v="13794.41"/>
    <n v="-167"/>
    <s v="CREDITOR"/>
    <n v="0"/>
    <n v="0"/>
    <n v="-167"/>
    <n v="0"/>
    <n v="0"/>
  </r>
  <r>
    <n v="61058846"/>
    <s v="N"/>
    <n v="21339962"/>
    <s v="3000015254000006RC"/>
    <s v="CIVIL"/>
    <d v="2023-06-28T00:00:00"/>
    <d v="2023-07-06T19:54:22"/>
    <m/>
    <d v="2023-07-06T00:00:00"/>
    <n v="800"/>
    <n v="17962"/>
    <s v="61058846"/>
    <s v="61058846"/>
    <m/>
    <m/>
    <m/>
    <m/>
    <m/>
    <m/>
    <s v="SOLRECOUP"/>
    <s v="SOLRECOUP"/>
    <s v="POARECOUP"/>
    <n v="21339962"/>
    <n v="-167"/>
    <m/>
    <s v="Y"/>
    <n v="2"/>
    <d v="2023-07-06T19:54:23"/>
    <s v="N"/>
    <m/>
    <m/>
    <s v="Non Expert Disbursement"/>
    <m/>
    <s v="N"/>
    <n v="0"/>
    <n v="0"/>
    <x v="4"/>
    <s v="VALIDATED"/>
    <n v="1"/>
    <s v="01.11.80.000.0000.0000"/>
    <n v="0"/>
    <s v="11"/>
    <s v="0000"/>
    <n v="13794.41"/>
    <n v="0"/>
    <s v="CREDITOR"/>
    <n v="0"/>
    <n v="0"/>
    <n v="0"/>
    <n v="0"/>
    <n v="0"/>
  </r>
  <r>
    <n v="61058846"/>
    <s v="N"/>
    <n v="21339963"/>
    <s v="3000015254000005RC"/>
    <s v="CIVIL"/>
    <d v="2023-06-28T00:00:00"/>
    <d v="2023-07-06T19:54:22"/>
    <m/>
    <d v="2023-07-06T00:00:00"/>
    <n v="800"/>
    <n v="17962"/>
    <s v="61058846"/>
    <s v="61058846"/>
    <m/>
    <m/>
    <m/>
    <m/>
    <m/>
    <m/>
    <s v="SOLRECOUP"/>
    <s v="SOLRECOUP"/>
    <s v="POARECOUP"/>
    <n v="21339963"/>
    <n v="-53"/>
    <m/>
    <s v="Y"/>
    <n v="1"/>
    <d v="2023-07-06T19:54:23"/>
    <s v="N"/>
    <m/>
    <m/>
    <s v="Non Expert Disbursement"/>
    <m/>
    <s v="N"/>
    <n v="-53"/>
    <n v="0"/>
    <x v="4"/>
    <s v="VALIDATED"/>
    <n v="1"/>
    <s v="01.11.80.305.2013.0000"/>
    <n v="-53"/>
    <s v="11"/>
    <s v="2013"/>
    <n v="13794.41"/>
    <n v="-53"/>
    <s v="CREDITOR"/>
    <n v="0"/>
    <n v="0"/>
    <n v="-53"/>
    <n v="0"/>
    <n v="0"/>
  </r>
  <r>
    <n v="61058846"/>
    <s v="N"/>
    <n v="21339963"/>
    <s v="3000015254000005RC"/>
    <s v="CIVIL"/>
    <d v="2023-06-28T00:00:00"/>
    <d v="2023-07-06T19:54:22"/>
    <m/>
    <d v="2023-07-06T00:00:00"/>
    <n v="800"/>
    <n v="17962"/>
    <s v="61058846"/>
    <s v="61058846"/>
    <m/>
    <m/>
    <m/>
    <m/>
    <m/>
    <m/>
    <s v="SOLRECOUP"/>
    <s v="SOLRECOUP"/>
    <s v="POARECOUP"/>
    <n v="21339963"/>
    <n v="-53"/>
    <m/>
    <s v="Y"/>
    <n v="2"/>
    <d v="2023-07-06T19:54:23"/>
    <s v="N"/>
    <m/>
    <m/>
    <s v="Non Expert Disbursement"/>
    <m/>
    <s v="N"/>
    <n v="0"/>
    <n v="0"/>
    <x v="4"/>
    <s v="VALIDATED"/>
    <n v="1"/>
    <s v="01.11.80.000.0000.0000"/>
    <n v="0"/>
    <s v="11"/>
    <s v="0000"/>
    <n v="13794.41"/>
    <n v="0"/>
    <s v="CREDITOR"/>
    <n v="0"/>
    <n v="0"/>
    <n v="0"/>
    <n v="0"/>
    <n v="0"/>
  </r>
  <r>
    <n v="56260015"/>
    <s v="N"/>
    <n v="21361411"/>
    <s v="3000013359060004RC"/>
    <s v="CIVIL"/>
    <d v="2023-06-30T00:00:00"/>
    <d v="2023-07-11T19:38:00"/>
    <m/>
    <d v="2023-07-11T00:00:00"/>
    <n v="800"/>
    <n v="17962"/>
    <s v="56260015"/>
    <s v="56260015"/>
    <m/>
    <m/>
    <m/>
    <m/>
    <m/>
    <m/>
    <s v="SOLRECOUP"/>
    <s v="SOLRECOUP"/>
    <s v="POARECOUP"/>
    <n v="21361411"/>
    <n v="-106.51"/>
    <m/>
    <s v="Y"/>
    <n v="1"/>
    <d v="2023-07-11T19:38:01"/>
    <s v="N"/>
    <m/>
    <m/>
    <s v="Expert Disbursement"/>
    <m/>
    <s v="N"/>
    <n v="-88.76000000000001"/>
    <n v="0"/>
    <x v="7"/>
    <s v="VALIDATED"/>
    <n v="1"/>
    <s v="01.11.80.308.2013.0000"/>
    <n v="-88.76000000000001"/>
    <s v="11"/>
    <s v="2013"/>
    <n v="13794.41"/>
    <n v="-88.76000000000001"/>
    <s v="CREDITOR"/>
    <n v="0"/>
    <n v="0"/>
    <n v="-88.76000000000001"/>
    <n v="0"/>
    <n v="0"/>
  </r>
  <r>
    <n v="56260015"/>
    <s v="N"/>
    <n v="21361411"/>
    <s v="3000013359060004RC"/>
    <s v="CIVIL"/>
    <d v="2023-06-30T00:00:00"/>
    <d v="2023-07-11T19:38:00"/>
    <m/>
    <d v="2023-07-11T00:00:00"/>
    <n v="800"/>
    <n v="17962"/>
    <s v="56260015"/>
    <s v="56260015"/>
    <m/>
    <m/>
    <m/>
    <m/>
    <m/>
    <m/>
    <s v="SOLRECOUP"/>
    <s v="SOLRECOUP"/>
    <s v="POARECOUP"/>
    <n v="21361411"/>
    <n v="-106.51"/>
    <m/>
    <s v="Y"/>
    <n v="2"/>
    <d v="2023-07-11T19:38:01"/>
    <s v="N"/>
    <m/>
    <m/>
    <s v="Expert Disbursement"/>
    <m/>
    <s v="N"/>
    <n v="0"/>
    <n v="-17.75"/>
    <x v="7"/>
    <s v="VALIDATED"/>
    <n v="1"/>
    <s v="01.11.80.308.2013.0000"/>
    <n v="-17.75"/>
    <s v="11"/>
    <s v="2013"/>
    <n v="13794.41"/>
    <n v="-17.75"/>
    <s v="CREDITOR"/>
    <n v="0"/>
    <n v="0"/>
    <n v="-17.75"/>
    <n v="0"/>
    <n v="0"/>
  </r>
  <r>
    <n v="56260015"/>
    <s v="N"/>
    <n v="21361412"/>
    <s v="3000013359060005RC"/>
    <s v="CIVIL"/>
    <d v="2023-06-30T00:00:00"/>
    <d v="2023-07-11T19:38:00"/>
    <m/>
    <d v="2023-07-11T00:00:00"/>
    <n v="800"/>
    <n v="17962"/>
    <s v="56260015"/>
    <s v="56260015"/>
    <m/>
    <m/>
    <m/>
    <m/>
    <m/>
    <m/>
    <s v="SOLRECOUP"/>
    <s v="SOLRECOUP"/>
    <s v="POARECOUP"/>
    <n v="21361412"/>
    <n v="-400.5"/>
    <m/>
    <s v="Y"/>
    <n v="1"/>
    <d v="2023-07-11T19:38:01"/>
    <s v="N"/>
    <m/>
    <m/>
    <s v="Expert Disbursement"/>
    <m/>
    <s v="N"/>
    <n v="-333.75"/>
    <n v="0"/>
    <x v="7"/>
    <s v="VALIDATED"/>
    <n v="1"/>
    <s v="01.11.80.308.2013.0000"/>
    <n v="-333.75"/>
    <s v="11"/>
    <s v="2013"/>
    <n v="13794.41"/>
    <n v="-333.75"/>
    <s v="CREDITOR"/>
    <n v="0"/>
    <n v="0"/>
    <n v="-333.75"/>
    <n v="0"/>
    <n v="0"/>
  </r>
  <r>
    <n v="56260015"/>
    <s v="N"/>
    <n v="21361412"/>
    <s v="3000013359060005RC"/>
    <s v="CIVIL"/>
    <d v="2023-06-30T00:00:00"/>
    <d v="2023-07-11T19:38:00"/>
    <m/>
    <d v="2023-07-11T00:00:00"/>
    <n v="800"/>
    <n v="17962"/>
    <s v="56260015"/>
    <s v="56260015"/>
    <m/>
    <m/>
    <m/>
    <m/>
    <m/>
    <m/>
    <s v="SOLRECOUP"/>
    <s v="SOLRECOUP"/>
    <s v="POARECOUP"/>
    <n v="21361412"/>
    <n v="-400.5"/>
    <m/>
    <s v="Y"/>
    <n v="2"/>
    <d v="2023-07-11T19:38:01"/>
    <s v="N"/>
    <m/>
    <m/>
    <s v="Expert Disbursement"/>
    <m/>
    <s v="N"/>
    <n v="0"/>
    <n v="-66.75"/>
    <x v="7"/>
    <s v="VALIDATED"/>
    <n v="1"/>
    <s v="01.11.80.308.2013.0000"/>
    <n v="-66.75"/>
    <s v="11"/>
    <s v="2013"/>
    <n v="13794.41"/>
    <n v="-66.75"/>
    <s v="CREDITOR"/>
    <n v="0"/>
    <n v="0"/>
    <n v="-66.75"/>
    <n v="0"/>
    <n v="0"/>
  </r>
  <r>
    <n v="56260015"/>
    <s v="N"/>
    <n v="21361413"/>
    <s v="3000013359060007RC"/>
    <s v="CIVIL"/>
    <d v="2023-06-30T00:00:00"/>
    <d v="2023-07-11T19:38:00"/>
    <m/>
    <d v="2023-07-11T00:00:00"/>
    <n v="800"/>
    <n v="17962"/>
    <s v="56260015"/>
    <s v="56260015"/>
    <m/>
    <m/>
    <m/>
    <m/>
    <m/>
    <m/>
    <s v="SOLRECOUP"/>
    <s v="SOLRECOUP"/>
    <s v="POARECOUP"/>
    <n v="21361413"/>
    <n v="-842.4"/>
    <m/>
    <s v="Y"/>
    <n v="1"/>
    <d v="2023-07-11T19:38:01"/>
    <s v="N"/>
    <m/>
    <m/>
    <s v="Expert Disbursement"/>
    <m/>
    <s v="N"/>
    <n v="-702"/>
    <n v="0"/>
    <x v="7"/>
    <s v="VALIDATED"/>
    <n v="1"/>
    <s v="01.11.80.308.2013.0000"/>
    <n v="-702"/>
    <s v="11"/>
    <s v="2013"/>
    <n v="13794.41"/>
    <n v="-702"/>
    <s v="CREDITOR"/>
    <n v="0"/>
    <n v="0"/>
    <n v="-702"/>
    <n v="0"/>
    <n v="0"/>
  </r>
  <r>
    <n v="56260015"/>
    <s v="N"/>
    <n v="21361413"/>
    <s v="3000013359060007RC"/>
    <s v="CIVIL"/>
    <d v="2023-06-30T00:00:00"/>
    <d v="2023-07-11T19:38:00"/>
    <m/>
    <d v="2023-07-11T00:00:00"/>
    <n v="800"/>
    <n v="17962"/>
    <s v="56260015"/>
    <s v="56260015"/>
    <m/>
    <m/>
    <m/>
    <m/>
    <m/>
    <m/>
    <s v="SOLRECOUP"/>
    <s v="SOLRECOUP"/>
    <s v="POARECOUP"/>
    <n v="21361413"/>
    <n v="-842.4"/>
    <m/>
    <s v="Y"/>
    <n v="2"/>
    <d v="2023-07-11T19:38:01"/>
    <s v="N"/>
    <m/>
    <m/>
    <s v="Expert Disbursement"/>
    <m/>
    <s v="N"/>
    <n v="0"/>
    <n v="-140.4"/>
    <x v="7"/>
    <s v="VALIDATED"/>
    <n v="1"/>
    <s v="01.11.80.308.2013.0000"/>
    <n v="-140.4"/>
    <s v="11"/>
    <s v="2013"/>
    <n v="13794.41"/>
    <n v="-140.4"/>
    <s v="CREDITOR"/>
    <n v="0"/>
    <n v="0"/>
    <n v="-140.4"/>
    <n v="0"/>
    <n v="0"/>
  </r>
  <r>
    <n v="26501542"/>
    <s v="N"/>
    <n v="21323499"/>
    <s v="3000008465300019"/>
    <s v="CIVIL"/>
    <d v="2023-06-30T00:00:00"/>
    <d v="2023-07-03T19:05:56"/>
    <m/>
    <d v="2023-07-03T00:00:00"/>
    <n v="804"/>
    <n v="1869"/>
    <s v="26501542"/>
    <s v="26501542"/>
    <m/>
    <m/>
    <n v="22794998"/>
    <m/>
    <m/>
    <m/>
    <s v="SOLPOA"/>
    <s v="SOLPOA"/>
    <s v="CCMS"/>
    <n v="21323499"/>
    <n v="59.44"/>
    <m/>
    <s v="N"/>
    <n v="1"/>
    <d v="2023-07-03T19:05:57"/>
    <s v="N"/>
    <s v="Expert Cost - Private Law Children"/>
    <s v="Expert Cost - Private Law Chil"/>
    <s v="Expert Disbursement"/>
    <s v="Laura Powell"/>
    <s v="N"/>
    <n v="49.53"/>
    <n v="9.91"/>
    <x v="3"/>
    <s v="VALIDATED"/>
    <n v="1"/>
    <s v="01.11.80.307.2012.0000"/>
    <n v="49.53"/>
    <s v="11"/>
    <s v="2012"/>
    <n v="8995.57"/>
    <n v="49.53"/>
    <s v="CREDITOR"/>
    <n v="49.53"/>
    <n v="0"/>
    <n v="0"/>
    <n v="0"/>
    <n v="0"/>
  </r>
  <r>
    <n v="60085910"/>
    <s v="N"/>
    <n v="21350061"/>
    <s v="3000014419710017"/>
    <s v="CIVIL"/>
    <d v="2023-06-28T00:00:00"/>
    <d v="2023-07-10T19:01:40"/>
    <m/>
    <d v="2023-07-10T00:00:00"/>
    <n v="804"/>
    <n v="1869"/>
    <s v="60085910"/>
    <s v="60085910"/>
    <m/>
    <m/>
    <n v="22780764"/>
    <m/>
    <m/>
    <m/>
    <s v="SOLFIN"/>
    <s v="SOLFIN"/>
    <s v="CCMS"/>
    <n v="21350061"/>
    <n v="15578.62"/>
    <m/>
    <s v="N"/>
    <n v="1"/>
    <d v="2023-07-10T19:02:12"/>
    <s v="Y"/>
    <s v="Profit Costs (Summary)"/>
    <s v="Public Law Children"/>
    <s v="Profit Cost"/>
    <s v="Jess Gray"/>
    <s v="Y"/>
    <n v="11604.3"/>
    <n v="2320.86"/>
    <x v="2"/>
    <s v="VALIDATED"/>
    <n v="1"/>
    <s v="01.11.80.308.6100.0000"/>
    <n v="11604.3"/>
    <s v="11"/>
    <s v="6100"/>
    <n v="8995.57"/>
    <n v="11604.3"/>
    <s v="CREDITOR"/>
    <n v="0"/>
    <n v="0"/>
    <n v="0"/>
    <n v="0"/>
    <n v="11604.3"/>
  </r>
  <r>
    <n v="60085910"/>
    <s v="N"/>
    <n v="21350061"/>
    <s v="3000014419710017"/>
    <s v="CIVIL"/>
    <d v="2023-06-28T00:00:00"/>
    <d v="2023-07-10T19:01:40"/>
    <m/>
    <d v="2023-07-10T00:00:00"/>
    <n v="804"/>
    <n v="1869"/>
    <s v="60085910"/>
    <s v="60085910"/>
    <m/>
    <m/>
    <n v="22780764"/>
    <m/>
    <m/>
    <m/>
    <s v="SOLFIN"/>
    <s v="SOLFIN"/>
    <s v="CCMS"/>
    <n v="21350061"/>
    <n v="15578.62"/>
    <m/>
    <s v="N"/>
    <n v="2"/>
    <d v="2023-07-10T19:02:12"/>
    <s v="Y"/>
    <s v="Disbursements (Summary)"/>
    <s v="Public Law Children"/>
    <s v="Non Expert Disbursement"/>
    <s v="Jess Gray"/>
    <s v="Y"/>
    <n v="167"/>
    <n v="0"/>
    <x v="2"/>
    <s v="VALIDATED"/>
    <n v="1"/>
    <s v="01.11.80.308.6300.0000"/>
    <n v="167"/>
    <s v="11"/>
    <s v="6300"/>
    <n v="8995.57"/>
    <n v="167"/>
    <s v="CREDITOR"/>
    <n v="0"/>
    <n v="0"/>
    <n v="0"/>
    <n v="0"/>
    <n v="167"/>
  </r>
  <r>
    <n v="60085910"/>
    <s v="N"/>
    <n v="21350061"/>
    <s v="3000014419710017"/>
    <s v="CIVIL"/>
    <d v="2023-06-28T00:00:00"/>
    <d v="2023-07-10T19:01:40"/>
    <m/>
    <d v="2023-07-10T00:00:00"/>
    <n v="804"/>
    <n v="1869"/>
    <s v="60085910"/>
    <s v="60085910"/>
    <m/>
    <m/>
    <n v="22780764"/>
    <m/>
    <m/>
    <m/>
    <s v="SOLFIN"/>
    <s v="SOLFIN"/>
    <s v="CCMS"/>
    <n v="21350061"/>
    <n v="15578.62"/>
    <m/>
    <s v="N"/>
    <n v="3"/>
    <d v="2023-07-10T19:02:12"/>
    <s v="Y"/>
    <s v="Disbursements (Summary)"/>
    <s v="Public Law Children"/>
    <s v="Non Expert Disbursement"/>
    <s v="Jess Gray"/>
    <s v="Y"/>
    <n v="1238.72"/>
    <n v="247.74"/>
    <x v="2"/>
    <s v="VALIDATED"/>
    <n v="1"/>
    <s v="01.11.80.308.6300.0000"/>
    <n v="1238.72"/>
    <s v="11"/>
    <s v="6300"/>
    <n v="8995.57"/>
    <n v="1238.72"/>
    <s v="CREDITOR"/>
    <n v="0"/>
    <n v="0"/>
    <n v="0"/>
    <n v="0"/>
    <n v="1238.72"/>
  </r>
  <r>
    <n v="60594612"/>
    <s v="N"/>
    <n v="21323249"/>
    <s v="3000014796850004"/>
    <s v="CIVIL"/>
    <d v="2023-06-30T00:00:00"/>
    <d v="2023-07-03T19:05:56"/>
    <m/>
    <d v="2023-07-03T00:00:00"/>
    <n v="804"/>
    <n v="1869"/>
    <s v="60594612"/>
    <s v="60594612"/>
    <m/>
    <m/>
    <n v="22795020"/>
    <m/>
    <m/>
    <m/>
    <s v="SOLPOA"/>
    <s v="SOLPOA"/>
    <s v="CCMS"/>
    <n v="21323249"/>
    <n v="2.3"/>
    <m/>
    <s v="N"/>
    <n v="1"/>
    <d v="2023-07-03T19:05:56"/>
    <s v="N"/>
    <s v="Non Expert Disbursement - Finance"/>
    <s v="Non Expert Disbursement - Fina"/>
    <s v="Non Expert Disbursement"/>
    <s v="Laura Powell"/>
    <s v="N"/>
    <n v="1.92"/>
    <n v="0.38"/>
    <x v="3"/>
    <s v="VALIDATED"/>
    <n v="1"/>
    <s v="01.11.80.303.2012.0000"/>
    <n v="1.92"/>
    <s v="11"/>
    <s v="2012"/>
    <n v="8995.57"/>
    <n v="1.92"/>
    <s v="CREDITOR"/>
    <n v="1.92"/>
    <n v="0"/>
    <n v="0"/>
    <n v="0"/>
    <n v="0"/>
  </r>
  <r>
    <n v="60874813"/>
    <s v="N"/>
    <n v="21320151"/>
    <s v="3000015075530005"/>
    <s v="CIVIL"/>
    <d v="2023-06-28T00:00:00"/>
    <d v="2023-07-03T19:04:24"/>
    <m/>
    <d v="2023-07-03T00:00:00"/>
    <n v="804"/>
    <n v="1869"/>
    <s v="60874813"/>
    <s v="60874813"/>
    <m/>
    <m/>
    <n v="22777224"/>
    <m/>
    <m/>
    <m/>
    <s v="SOLPOA"/>
    <s v="SOLPOA"/>
    <s v="CCMS"/>
    <n v="21320151"/>
    <n v="167"/>
    <m/>
    <s v="N"/>
    <n v="1"/>
    <d v="2023-07-03T19:04:29"/>
    <s v="N"/>
    <s v="Non Expert Disbursement - Private L"/>
    <s v="Non Expert Disbursement - Priv"/>
    <s v="Non Expert Disbursement"/>
    <s v="Laura Powell"/>
    <s v="N"/>
    <n v="167"/>
    <n v="0"/>
    <x v="3"/>
    <s v="VALIDATED"/>
    <n v="1"/>
    <s v="01.11.80.307.2012.0000"/>
    <n v="167"/>
    <s v="11"/>
    <s v="2012"/>
    <n v="8995.57"/>
    <n v="167"/>
    <s v="CREDITOR"/>
    <n v="167"/>
    <n v="0"/>
    <n v="0"/>
    <n v="0"/>
    <n v="0"/>
  </r>
  <r>
    <n v="43984399"/>
    <s v="N"/>
    <n v="21320135"/>
    <s v="3000011567450016"/>
    <s v="CIVIL"/>
    <d v="2023-06-28T00:00:00"/>
    <d v="2023-07-03T19:04:24"/>
    <m/>
    <d v="2023-07-03T00:00:00"/>
    <n v="804"/>
    <n v="1869"/>
    <s v="43984399"/>
    <s v="43984399"/>
    <m/>
    <m/>
    <n v="22777260"/>
    <m/>
    <m/>
    <m/>
    <s v="SOLPOA"/>
    <s v="SOLPOA"/>
    <s v="CCMS"/>
    <n v="21320135"/>
    <n v="167"/>
    <m/>
    <s v="N"/>
    <n v="1"/>
    <d v="2023-07-03T19:04:29"/>
    <s v="N"/>
    <s v="Non Expert Disbursement"/>
    <s v="Non Expert Disbursement"/>
    <s v="Non Expert Disbursement"/>
    <s v="Laura Powell"/>
    <s v="N"/>
    <n v="167"/>
    <n v="0"/>
    <x v="3"/>
    <s v="VALIDATED"/>
    <n v="1"/>
    <s v="01.11.80.307.2012.0000"/>
    <n v="167"/>
    <s v="11"/>
    <s v="2012"/>
    <n v="8995.57"/>
    <n v="167"/>
    <s v="CREDITOR"/>
    <n v="167"/>
    <n v="0"/>
    <n v="0"/>
    <n v="0"/>
    <n v="0"/>
  </r>
  <r>
    <n v="60085910"/>
    <s v="N"/>
    <n v="21356469"/>
    <s v="3000014419710005RC"/>
    <s v="CIVIL"/>
    <d v="2023-06-28T00:00:00"/>
    <d v="2023-07-10T19:47:44"/>
    <m/>
    <d v="2023-07-10T00:00:00"/>
    <n v="804"/>
    <n v="1869"/>
    <s v="60085910"/>
    <s v="60085910"/>
    <m/>
    <m/>
    <m/>
    <m/>
    <m/>
    <m/>
    <s v="SOLRECOUP"/>
    <s v="SOLRECOUP"/>
    <s v="POARECOUP"/>
    <n v="21356469"/>
    <n v="-2275.2"/>
    <m/>
    <s v="Y"/>
    <n v="1"/>
    <d v="2023-07-10T19:47:45"/>
    <s v="N"/>
    <m/>
    <m/>
    <s v="Profit Cost"/>
    <m/>
    <s v="N"/>
    <n v="-1896"/>
    <n v="0"/>
    <x v="2"/>
    <s v="VALIDATED"/>
    <n v="1"/>
    <s v="01.11.80.308.2013.0000"/>
    <n v="-1896"/>
    <s v="11"/>
    <s v="2013"/>
    <n v="8995.57"/>
    <n v="-1896"/>
    <s v="CREDITOR"/>
    <n v="0"/>
    <n v="0"/>
    <n v="-1896"/>
    <n v="-474"/>
    <n v="0"/>
  </r>
  <r>
    <n v="60085910"/>
    <s v="N"/>
    <n v="21356469"/>
    <s v="3000014419710005RC"/>
    <s v="CIVIL"/>
    <d v="2023-06-28T00:00:00"/>
    <d v="2023-07-10T19:47:44"/>
    <m/>
    <d v="2023-07-10T00:00:00"/>
    <n v="804"/>
    <n v="1869"/>
    <s v="60085910"/>
    <s v="60085910"/>
    <m/>
    <m/>
    <m/>
    <m/>
    <m/>
    <m/>
    <s v="SOLRECOUP"/>
    <s v="SOLRECOUP"/>
    <s v="POARECOUP"/>
    <n v="21356469"/>
    <n v="-2275.2"/>
    <m/>
    <s v="Y"/>
    <n v="2"/>
    <d v="2023-07-10T19:47:45"/>
    <s v="N"/>
    <m/>
    <m/>
    <s v="Profit Cost"/>
    <m/>
    <s v="N"/>
    <n v="0"/>
    <n v="-379.2"/>
    <x v="2"/>
    <s v="VALIDATED"/>
    <n v="1"/>
    <s v="01.11.80.308.2013.0000"/>
    <n v="-379.2"/>
    <s v="11"/>
    <s v="2013"/>
    <n v="8995.57"/>
    <n v="-379.2"/>
    <s v="CREDITOR"/>
    <n v="0"/>
    <n v="0"/>
    <n v="-379.2"/>
    <n v="-94.8"/>
    <n v="0"/>
  </r>
  <r>
    <n v="60085910"/>
    <s v="N"/>
    <n v="21356470"/>
    <s v="3000014419710002RC"/>
    <s v="CIVIL"/>
    <d v="2023-06-28T00:00:00"/>
    <d v="2023-07-10T19:47:44"/>
    <m/>
    <d v="2023-07-10T00:00:00"/>
    <n v="804"/>
    <n v="1869"/>
    <s v="60085910"/>
    <s v="60085910"/>
    <m/>
    <m/>
    <m/>
    <m/>
    <m/>
    <m/>
    <s v="SOLRECOUP"/>
    <s v="SOLRECOUP"/>
    <s v="POARECOUP"/>
    <n v="21356470"/>
    <n v="-484.2"/>
    <m/>
    <s v="Y"/>
    <n v="1"/>
    <d v="2023-07-10T19:47:45"/>
    <s v="N"/>
    <m/>
    <m/>
    <s v="Expert Disbursement"/>
    <m/>
    <s v="N"/>
    <n v="-403.5"/>
    <n v="0"/>
    <x v="2"/>
    <s v="VALIDATED"/>
    <n v="1"/>
    <s v="01.11.80.308.2013.0000"/>
    <n v="-403.5"/>
    <s v="11"/>
    <s v="2013"/>
    <n v="8995.57"/>
    <n v="-403.5"/>
    <s v="CREDITOR"/>
    <n v="0"/>
    <n v="0"/>
    <n v="-403.5"/>
    <n v="0"/>
    <n v="0"/>
  </r>
  <r>
    <n v="60085910"/>
    <s v="N"/>
    <n v="21356470"/>
    <s v="3000014419710002RC"/>
    <s v="CIVIL"/>
    <d v="2023-06-28T00:00:00"/>
    <d v="2023-07-10T19:47:44"/>
    <m/>
    <d v="2023-07-10T00:00:00"/>
    <n v="804"/>
    <n v="1869"/>
    <s v="60085910"/>
    <s v="60085910"/>
    <m/>
    <m/>
    <m/>
    <m/>
    <m/>
    <m/>
    <s v="SOLRECOUP"/>
    <s v="SOLRECOUP"/>
    <s v="POARECOUP"/>
    <n v="21356470"/>
    <n v="-484.2"/>
    <m/>
    <s v="Y"/>
    <n v="2"/>
    <d v="2023-07-10T19:47:45"/>
    <s v="N"/>
    <m/>
    <m/>
    <s v="Expert Disbursement"/>
    <m/>
    <s v="N"/>
    <n v="0"/>
    <n v="-80.7"/>
    <x v="2"/>
    <s v="VALIDATED"/>
    <n v="1"/>
    <s v="01.11.80.308.2013.0000"/>
    <n v="-80.7"/>
    <s v="11"/>
    <s v="2013"/>
    <n v="8995.57"/>
    <n v="-80.7"/>
    <s v="CREDITOR"/>
    <n v="0"/>
    <n v="0"/>
    <n v="-80.7"/>
    <n v="0"/>
    <n v="0"/>
  </r>
  <r>
    <n v="60085910"/>
    <s v="N"/>
    <n v="21356471"/>
    <s v="3000014419710009RC"/>
    <s v="CIVIL"/>
    <d v="2023-06-28T00:00:00"/>
    <d v="2023-07-10T19:47:44"/>
    <m/>
    <d v="2023-07-10T00:00:00"/>
    <n v="804"/>
    <n v="1869"/>
    <s v="60085910"/>
    <s v="60085910"/>
    <m/>
    <m/>
    <m/>
    <m/>
    <m/>
    <m/>
    <s v="SOLRECOUP"/>
    <s v="SOLRECOUP"/>
    <s v="POARECOUP"/>
    <n v="21356471"/>
    <n v="-7.08"/>
    <m/>
    <s v="Y"/>
    <n v="1"/>
    <d v="2023-07-10T19:47:45"/>
    <s v="N"/>
    <m/>
    <m/>
    <s v="Non Expert Disbursement"/>
    <m/>
    <s v="N"/>
    <n v="-5.9"/>
    <n v="0"/>
    <x v="2"/>
    <s v="VALIDATED"/>
    <n v="1"/>
    <s v="01.11.80.308.2013.0000"/>
    <n v="-5.9"/>
    <s v="11"/>
    <s v="2013"/>
    <n v="8995.57"/>
    <n v="-5.9"/>
    <s v="CREDITOR"/>
    <n v="0"/>
    <n v="0"/>
    <n v="-5.9"/>
    <n v="0"/>
    <n v="0"/>
  </r>
  <r>
    <n v="60085910"/>
    <s v="N"/>
    <n v="21356471"/>
    <s v="3000014419710009RC"/>
    <s v="CIVIL"/>
    <d v="2023-06-28T00:00:00"/>
    <d v="2023-07-10T19:47:44"/>
    <m/>
    <d v="2023-07-10T00:00:00"/>
    <n v="804"/>
    <n v="1869"/>
    <s v="60085910"/>
    <s v="60085910"/>
    <m/>
    <m/>
    <m/>
    <m/>
    <m/>
    <m/>
    <s v="SOLRECOUP"/>
    <s v="SOLRECOUP"/>
    <s v="POARECOUP"/>
    <n v="21356471"/>
    <n v="-7.08"/>
    <m/>
    <s v="Y"/>
    <n v="2"/>
    <d v="2023-07-10T19:47:45"/>
    <s v="N"/>
    <m/>
    <m/>
    <s v="Non Expert Disbursement"/>
    <m/>
    <s v="N"/>
    <n v="0"/>
    <n v="-1.18"/>
    <x v="2"/>
    <s v="VALIDATED"/>
    <n v="1"/>
    <s v="01.11.80.308.2013.0000"/>
    <n v="-1.18"/>
    <s v="11"/>
    <s v="2013"/>
    <n v="8995.57"/>
    <n v="-1.18"/>
    <s v="CREDITOR"/>
    <n v="0"/>
    <n v="0"/>
    <n v="-1.18"/>
    <n v="0"/>
    <n v="0"/>
  </r>
  <r>
    <n v="60085910"/>
    <s v="N"/>
    <n v="21356472"/>
    <s v="3000014419710008RC"/>
    <s v="CIVIL"/>
    <d v="2023-06-28T00:00:00"/>
    <d v="2023-07-10T19:47:44"/>
    <m/>
    <d v="2023-07-10T00:00:00"/>
    <n v="804"/>
    <n v="1869"/>
    <s v="60085910"/>
    <s v="60085910"/>
    <m/>
    <m/>
    <m/>
    <m/>
    <m/>
    <m/>
    <s v="SOLRECOUP"/>
    <s v="SOLRECOUP"/>
    <s v="POARECOUP"/>
    <n v="21356472"/>
    <n v="-12.96"/>
    <m/>
    <s v="Y"/>
    <n v="1"/>
    <d v="2023-07-10T19:47:45"/>
    <s v="N"/>
    <m/>
    <m/>
    <s v="Non Expert Disbursement"/>
    <m/>
    <s v="N"/>
    <n v="-10.8"/>
    <n v="0"/>
    <x v="2"/>
    <s v="VALIDATED"/>
    <n v="1"/>
    <s v="01.11.80.308.2013.0000"/>
    <n v="-10.8"/>
    <s v="11"/>
    <s v="2013"/>
    <n v="8995.57"/>
    <n v="-10.8"/>
    <s v="CREDITOR"/>
    <n v="0"/>
    <n v="0"/>
    <n v="-10.8"/>
    <n v="0"/>
    <n v="0"/>
  </r>
  <r>
    <n v="60085910"/>
    <s v="N"/>
    <n v="21356472"/>
    <s v="3000014419710008RC"/>
    <s v="CIVIL"/>
    <d v="2023-06-28T00:00:00"/>
    <d v="2023-07-10T19:47:44"/>
    <m/>
    <d v="2023-07-10T00:00:00"/>
    <n v="804"/>
    <n v="1869"/>
    <s v="60085910"/>
    <s v="60085910"/>
    <m/>
    <m/>
    <m/>
    <m/>
    <m/>
    <m/>
    <s v="SOLRECOUP"/>
    <s v="SOLRECOUP"/>
    <s v="POARECOUP"/>
    <n v="21356472"/>
    <n v="-12.96"/>
    <m/>
    <s v="Y"/>
    <n v="2"/>
    <d v="2023-07-10T19:47:45"/>
    <s v="N"/>
    <m/>
    <m/>
    <s v="Non Expert Disbursement"/>
    <m/>
    <s v="N"/>
    <n v="0"/>
    <n v="-2.16"/>
    <x v="2"/>
    <s v="VALIDATED"/>
    <n v="1"/>
    <s v="01.11.80.308.2013.0000"/>
    <n v="-2.16"/>
    <s v="11"/>
    <s v="2013"/>
    <n v="8995.57"/>
    <n v="-2.16"/>
    <s v="CREDITOR"/>
    <n v="0"/>
    <n v="0"/>
    <n v="-2.16"/>
    <n v="0"/>
    <n v="0"/>
  </r>
  <r>
    <n v="60085910"/>
    <s v="N"/>
    <n v="21356473"/>
    <s v="3000014419710003RC"/>
    <s v="CIVIL"/>
    <d v="2023-06-28T00:00:00"/>
    <d v="2023-07-10T19:47:44"/>
    <m/>
    <d v="2023-07-10T00:00:00"/>
    <n v="804"/>
    <n v="1869"/>
    <s v="60085910"/>
    <s v="60085910"/>
    <m/>
    <m/>
    <m/>
    <m/>
    <m/>
    <m/>
    <s v="SOLRECOUP"/>
    <s v="SOLRECOUP"/>
    <s v="POARECOUP"/>
    <n v="21356473"/>
    <n v="-373.2"/>
    <m/>
    <s v="Y"/>
    <n v="1"/>
    <d v="2023-07-10T19:47:45"/>
    <s v="N"/>
    <m/>
    <m/>
    <s v="Expert Disbursement"/>
    <m/>
    <s v="N"/>
    <n v="-311"/>
    <n v="0"/>
    <x v="2"/>
    <s v="VALIDATED"/>
    <n v="1"/>
    <s v="01.11.80.308.2013.0000"/>
    <n v="-311"/>
    <s v="11"/>
    <s v="2013"/>
    <n v="8995.57"/>
    <n v="-311"/>
    <s v="CREDITOR"/>
    <n v="0"/>
    <n v="0"/>
    <n v="-311"/>
    <n v="0"/>
    <n v="0"/>
  </r>
  <r>
    <n v="60085910"/>
    <s v="N"/>
    <n v="21356473"/>
    <s v="3000014419710003RC"/>
    <s v="CIVIL"/>
    <d v="2023-06-28T00:00:00"/>
    <d v="2023-07-10T19:47:44"/>
    <m/>
    <d v="2023-07-10T00:00:00"/>
    <n v="804"/>
    <n v="1869"/>
    <s v="60085910"/>
    <s v="60085910"/>
    <m/>
    <m/>
    <m/>
    <m/>
    <m/>
    <m/>
    <s v="SOLRECOUP"/>
    <s v="SOLRECOUP"/>
    <s v="POARECOUP"/>
    <n v="21356473"/>
    <n v="-373.2"/>
    <m/>
    <s v="Y"/>
    <n v="2"/>
    <d v="2023-07-10T19:47:45"/>
    <s v="N"/>
    <m/>
    <m/>
    <s v="Expert Disbursement"/>
    <m/>
    <s v="N"/>
    <n v="0"/>
    <n v="-62.2"/>
    <x v="2"/>
    <s v="VALIDATED"/>
    <n v="1"/>
    <s v="01.11.80.308.2013.0000"/>
    <n v="-62.2"/>
    <s v="11"/>
    <s v="2013"/>
    <n v="8995.57"/>
    <n v="-62.2"/>
    <s v="CREDITOR"/>
    <n v="0"/>
    <n v="0"/>
    <n v="-62.2"/>
    <n v="0"/>
    <n v="0"/>
  </r>
  <r>
    <n v="60085910"/>
    <s v="N"/>
    <n v="21356474"/>
    <s v="3000014419710004RC"/>
    <s v="CIVIL"/>
    <d v="2023-06-28T00:00:00"/>
    <d v="2023-07-10T19:47:44"/>
    <m/>
    <d v="2023-07-10T00:00:00"/>
    <n v="804"/>
    <n v="1869"/>
    <s v="60085910"/>
    <s v="60085910"/>
    <m/>
    <m/>
    <m/>
    <m/>
    <m/>
    <m/>
    <s v="SOLRECOUP"/>
    <s v="SOLRECOUP"/>
    <s v="POARECOUP"/>
    <n v="21356474"/>
    <n v="-517.2"/>
    <m/>
    <s v="Y"/>
    <n v="1"/>
    <d v="2023-07-10T19:47:45"/>
    <s v="N"/>
    <m/>
    <m/>
    <s v="Expert Disbursement"/>
    <m/>
    <s v="N"/>
    <n v="-431"/>
    <n v="0"/>
    <x v="2"/>
    <s v="VALIDATED"/>
    <n v="1"/>
    <s v="01.11.80.308.2013.0000"/>
    <n v="-431"/>
    <s v="11"/>
    <s v="2013"/>
    <n v="8995.57"/>
    <n v="-431"/>
    <s v="CREDITOR"/>
    <n v="0"/>
    <n v="0"/>
    <n v="-431"/>
    <n v="0"/>
    <n v="0"/>
  </r>
  <r>
    <n v="60085910"/>
    <s v="N"/>
    <n v="21356474"/>
    <s v="3000014419710004RC"/>
    <s v="CIVIL"/>
    <d v="2023-06-28T00:00:00"/>
    <d v="2023-07-10T19:47:44"/>
    <m/>
    <d v="2023-07-10T00:00:00"/>
    <n v="804"/>
    <n v="1869"/>
    <s v="60085910"/>
    <s v="60085910"/>
    <m/>
    <m/>
    <m/>
    <m/>
    <m/>
    <m/>
    <s v="SOLRECOUP"/>
    <s v="SOLRECOUP"/>
    <s v="POARECOUP"/>
    <n v="21356474"/>
    <n v="-517.2"/>
    <m/>
    <s v="Y"/>
    <n v="2"/>
    <d v="2023-07-10T19:47:45"/>
    <s v="N"/>
    <m/>
    <m/>
    <s v="Expert Disbursement"/>
    <m/>
    <s v="N"/>
    <n v="0"/>
    <n v="-86.2"/>
    <x v="2"/>
    <s v="VALIDATED"/>
    <n v="1"/>
    <s v="01.11.80.308.2013.0000"/>
    <n v="-86.2"/>
    <s v="11"/>
    <s v="2013"/>
    <n v="8995.57"/>
    <n v="-86.2"/>
    <s v="CREDITOR"/>
    <n v="0"/>
    <n v="0"/>
    <n v="-86.2"/>
    <n v="0"/>
    <n v="0"/>
  </r>
  <r>
    <n v="60085910"/>
    <s v="N"/>
    <n v="21356475"/>
    <s v="3000014419710012RC"/>
    <s v="CIVIL"/>
    <d v="2023-06-28T00:00:00"/>
    <d v="2023-07-10T19:47:44"/>
    <m/>
    <d v="2023-07-10T00:00:00"/>
    <n v="804"/>
    <n v="1869"/>
    <s v="60085910"/>
    <s v="60085910"/>
    <m/>
    <m/>
    <m/>
    <m/>
    <m/>
    <m/>
    <s v="SOLRECOUP"/>
    <s v="SOLRECOUP"/>
    <s v="POARECOUP"/>
    <n v="21356475"/>
    <n v="-167"/>
    <m/>
    <s v="Y"/>
    <n v="1"/>
    <d v="2023-07-10T19:47:45"/>
    <s v="N"/>
    <m/>
    <m/>
    <s v="Non Expert Disbursement"/>
    <m/>
    <s v="N"/>
    <n v="-167"/>
    <n v="0"/>
    <x v="2"/>
    <s v="VALIDATED"/>
    <n v="1"/>
    <s v="01.11.80.308.2013.0000"/>
    <n v="-167"/>
    <s v="11"/>
    <s v="2013"/>
    <n v="8995.57"/>
    <n v="-167"/>
    <s v="CREDITOR"/>
    <n v="0"/>
    <n v="0"/>
    <n v="-167"/>
    <n v="0"/>
    <n v="0"/>
  </r>
  <r>
    <n v="60085910"/>
    <s v="N"/>
    <n v="21356475"/>
    <s v="3000014419710012RC"/>
    <s v="CIVIL"/>
    <d v="2023-06-28T00:00:00"/>
    <d v="2023-07-10T19:47:44"/>
    <m/>
    <d v="2023-07-10T00:00:00"/>
    <n v="804"/>
    <n v="1869"/>
    <s v="60085910"/>
    <s v="60085910"/>
    <m/>
    <m/>
    <m/>
    <m/>
    <m/>
    <m/>
    <s v="SOLRECOUP"/>
    <s v="SOLRECOUP"/>
    <s v="POARECOUP"/>
    <n v="21356475"/>
    <n v="-167"/>
    <m/>
    <s v="Y"/>
    <n v="2"/>
    <d v="2023-07-10T19:47:45"/>
    <s v="N"/>
    <m/>
    <m/>
    <s v="Non Expert Disbursement"/>
    <m/>
    <s v="N"/>
    <n v="0"/>
    <n v="0"/>
    <x v="2"/>
    <s v="VALIDATED"/>
    <n v="1"/>
    <s v="01.11.80.000.0000.0000"/>
    <n v="0"/>
    <s v="11"/>
    <s v="0000"/>
    <n v="8995.57"/>
    <n v="0"/>
    <s v="CREDITOR"/>
    <n v="0"/>
    <n v="0"/>
    <n v="0"/>
    <n v="0"/>
    <n v="0"/>
  </r>
  <r>
    <n v="60085910"/>
    <s v="N"/>
    <n v="21356476"/>
    <s v="3000014419710010RC"/>
    <s v="CIVIL"/>
    <d v="2023-06-28T00:00:00"/>
    <d v="2023-07-10T19:47:44"/>
    <m/>
    <d v="2023-07-10T00:00:00"/>
    <n v="804"/>
    <n v="1869"/>
    <s v="60085910"/>
    <s v="60085910"/>
    <m/>
    <m/>
    <m/>
    <m/>
    <m/>
    <m/>
    <s v="SOLRECOUP"/>
    <s v="SOLRECOUP"/>
    <s v="POARECOUP"/>
    <n v="21356476"/>
    <n v="-544.2"/>
    <m/>
    <s v="Y"/>
    <n v="1"/>
    <d v="2023-07-10T19:47:45"/>
    <s v="N"/>
    <m/>
    <m/>
    <s v="Expert Disbursement"/>
    <m/>
    <s v="N"/>
    <n v="-453.5"/>
    <n v="0"/>
    <x v="2"/>
    <s v="VALIDATED"/>
    <n v="1"/>
    <s v="01.11.80.308.2013.0000"/>
    <n v="-453.5"/>
    <s v="11"/>
    <s v="2013"/>
    <n v="8995.57"/>
    <n v="-453.5"/>
    <s v="CREDITOR"/>
    <n v="0"/>
    <n v="0"/>
    <n v="-453.5"/>
    <n v="0"/>
    <n v="0"/>
  </r>
  <r>
    <n v="60085910"/>
    <s v="N"/>
    <n v="21356476"/>
    <s v="3000014419710010RC"/>
    <s v="CIVIL"/>
    <d v="2023-06-28T00:00:00"/>
    <d v="2023-07-10T19:47:44"/>
    <m/>
    <d v="2023-07-10T00:00:00"/>
    <n v="804"/>
    <n v="1869"/>
    <s v="60085910"/>
    <s v="60085910"/>
    <m/>
    <m/>
    <m/>
    <m/>
    <m/>
    <m/>
    <s v="SOLRECOUP"/>
    <s v="SOLRECOUP"/>
    <s v="POARECOUP"/>
    <n v="21356476"/>
    <n v="-544.2"/>
    <m/>
    <s v="Y"/>
    <n v="2"/>
    <d v="2023-07-10T19:47:45"/>
    <s v="N"/>
    <m/>
    <m/>
    <s v="Expert Disbursement"/>
    <m/>
    <s v="N"/>
    <n v="0"/>
    <n v="-90.7"/>
    <x v="2"/>
    <s v="VALIDATED"/>
    <n v="1"/>
    <s v="01.11.80.308.2013.0000"/>
    <n v="-90.7"/>
    <s v="11"/>
    <s v="2013"/>
    <n v="8995.57"/>
    <n v="-90.7"/>
    <s v="CREDITOR"/>
    <n v="0"/>
    <n v="0"/>
    <n v="-90.7"/>
    <n v="0"/>
    <n v="0"/>
  </r>
  <r>
    <n v="60085910"/>
    <s v="N"/>
    <n v="21356477"/>
    <s v="3000014419710013RC"/>
    <s v="CIVIL"/>
    <d v="2023-06-28T00:00:00"/>
    <d v="2023-07-10T19:47:44"/>
    <m/>
    <d v="2023-07-10T00:00:00"/>
    <n v="804"/>
    <n v="1869"/>
    <s v="60085910"/>
    <s v="60085910"/>
    <m/>
    <m/>
    <m/>
    <m/>
    <m/>
    <m/>
    <s v="SOLRECOUP"/>
    <s v="SOLRECOUP"/>
    <s v="POARECOUP"/>
    <n v="21356477"/>
    <n v="-12.96"/>
    <m/>
    <s v="Y"/>
    <n v="1"/>
    <d v="2023-07-10T19:47:45"/>
    <s v="N"/>
    <m/>
    <m/>
    <s v="Non Expert Disbursement"/>
    <m/>
    <s v="N"/>
    <n v="-10.8"/>
    <n v="0"/>
    <x v="2"/>
    <s v="VALIDATED"/>
    <n v="1"/>
    <s v="01.11.80.308.2013.0000"/>
    <n v="-10.8"/>
    <s v="11"/>
    <s v="2013"/>
    <n v="8995.57"/>
    <n v="-10.8"/>
    <s v="CREDITOR"/>
    <n v="0"/>
    <n v="0"/>
    <n v="-10.8"/>
    <n v="0"/>
    <n v="0"/>
  </r>
  <r>
    <n v="60085910"/>
    <s v="N"/>
    <n v="21356477"/>
    <s v="3000014419710013RC"/>
    <s v="CIVIL"/>
    <d v="2023-06-28T00:00:00"/>
    <d v="2023-07-10T19:47:44"/>
    <m/>
    <d v="2023-07-10T00:00:00"/>
    <n v="804"/>
    <n v="1869"/>
    <s v="60085910"/>
    <s v="60085910"/>
    <m/>
    <m/>
    <m/>
    <m/>
    <m/>
    <m/>
    <s v="SOLRECOUP"/>
    <s v="SOLRECOUP"/>
    <s v="POARECOUP"/>
    <n v="21356477"/>
    <n v="-12.96"/>
    <m/>
    <s v="Y"/>
    <n v="2"/>
    <d v="2023-07-10T19:47:45"/>
    <s v="N"/>
    <m/>
    <m/>
    <s v="Non Expert Disbursement"/>
    <m/>
    <s v="N"/>
    <n v="0"/>
    <n v="-2.16"/>
    <x v="2"/>
    <s v="VALIDATED"/>
    <n v="1"/>
    <s v="01.11.80.308.2013.0000"/>
    <n v="-2.16"/>
    <s v="11"/>
    <s v="2013"/>
    <n v="8995.57"/>
    <n v="-2.16"/>
    <s v="CREDITOR"/>
    <n v="0"/>
    <n v="0"/>
    <n v="-2.16"/>
    <n v="0"/>
    <n v="0"/>
  </r>
  <r>
    <n v="60085910"/>
    <s v="N"/>
    <n v="21356478"/>
    <s v="3000014419710014RC"/>
    <s v="CIVIL"/>
    <d v="2023-06-28T00:00:00"/>
    <d v="2023-07-10T19:47:44"/>
    <m/>
    <d v="2023-07-10T00:00:00"/>
    <n v="804"/>
    <n v="1869"/>
    <s v="60085910"/>
    <s v="60085910"/>
    <m/>
    <m/>
    <m/>
    <m/>
    <m/>
    <m/>
    <s v="SOLRECOUP"/>
    <s v="SOLRECOUP"/>
    <s v="POARECOUP"/>
    <n v="21356478"/>
    <n v="-5.9"/>
    <m/>
    <s v="Y"/>
    <n v="1"/>
    <d v="2023-07-10T19:47:45"/>
    <s v="N"/>
    <m/>
    <m/>
    <s v="Non Expert Disbursement"/>
    <m/>
    <s v="N"/>
    <n v="-5.9"/>
    <n v="0"/>
    <x v="2"/>
    <s v="VALIDATED"/>
    <n v="1"/>
    <s v="01.11.80.308.2013.0000"/>
    <n v="-5.9"/>
    <s v="11"/>
    <s v="2013"/>
    <n v="8995.57"/>
    <n v="-5.9"/>
    <s v="CREDITOR"/>
    <n v="0"/>
    <n v="0"/>
    <n v="-5.9"/>
    <n v="0"/>
    <n v="0"/>
  </r>
  <r>
    <n v="60085910"/>
    <s v="N"/>
    <n v="21356478"/>
    <s v="3000014419710014RC"/>
    <s v="CIVIL"/>
    <d v="2023-06-28T00:00:00"/>
    <d v="2023-07-10T19:47:44"/>
    <m/>
    <d v="2023-07-10T00:00:00"/>
    <n v="804"/>
    <n v="1869"/>
    <s v="60085910"/>
    <s v="60085910"/>
    <m/>
    <m/>
    <m/>
    <m/>
    <m/>
    <m/>
    <s v="SOLRECOUP"/>
    <s v="SOLRECOUP"/>
    <s v="POARECOUP"/>
    <n v="21356478"/>
    <n v="-5.9"/>
    <m/>
    <s v="Y"/>
    <n v="2"/>
    <d v="2023-07-10T19:47:45"/>
    <s v="N"/>
    <m/>
    <m/>
    <s v="Non Expert Disbursement"/>
    <m/>
    <s v="N"/>
    <n v="0"/>
    <n v="0"/>
    <x v="2"/>
    <s v="VALIDATED"/>
    <n v="1"/>
    <s v="01.11.80.000.0000.0000"/>
    <n v="0"/>
    <s v="11"/>
    <s v="0000"/>
    <n v="8995.57"/>
    <n v="0"/>
    <s v="CREDITOR"/>
    <n v="0"/>
    <n v="0"/>
    <n v="0"/>
    <n v="0"/>
    <n v="0"/>
  </r>
  <r>
    <n v="10774308"/>
    <s v="N"/>
    <n v="21370314"/>
    <s v="3000006551240018"/>
    <s v="CIVIL"/>
    <d v="2023-06-18T00:00:00"/>
    <d v="2023-07-13T19:21:05"/>
    <m/>
    <d v="2023-07-13T00:00:00"/>
    <n v="810"/>
    <n v="14364"/>
    <s v="10774308"/>
    <s v="10774308"/>
    <m/>
    <m/>
    <n v="22711448"/>
    <m/>
    <m/>
    <m/>
    <s v="SOLINT"/>
    <s v="SOLINT"/>
    <s v="CCMS"/>
    <n v="21370314"/>
    <n v="3996.37"/>
    <m/>
    <s v="N"/>
    <n v="2"/>
    <d v="2023-07-13T19:21:20"/>
    <s v="Y"/>
    <s v="Solicitor Travel Mileage"/>
    <s v="VHCC"/>
    <s v="Non Expert Disbursement"/>
    <s v="R Wiles"/>
    <s v="Y"/>
    <n v="13.5"/>
    <n v="2.7"/>
    <x v="11"/>
    <s v="VALIDATED"/>
    <n v="1"/>
    <s v="01.11.80.307.6300.0000"/>
    <n v="13.5"/>
    <s v="11"/>
    <s v="6300"/>
    <n v="4856.82"/>
    <n v="13.5"/>
    <s v="CREDITOR"/>
    <n v="0"/>
    <n v="0"/>
    <n v="0"/>
    <n v="0"/>
    <n v="13.5"/>
  </r>
  <r>
    <n v="10774308"/>
    <s v="N"/>
    <n v="21370306"/>
    <s v="3000006551240017"/>
    <s v="CIVIL"/>
    <d v="2023-06-18T00:00:00"/>
    <d v="2023-07-13T19:21:05"/>
    <m/>
    <d v="2023-07-13T00:00:00"/>
    <n v="810"/>
    <n v="14364"/>
    <s v="10774308"/>
    <s v="10774308"/>
    <m/>
    <m/>
    <n v="22711462"/>
    <m/>
    <m/>
    <m/>
    <s v="SOLINT"/>
    <s v="SOLINT"/>
    <s v="CCMS"/>
    <n v="21370306"/>
    <n v="1574.33"/>
    <m/>
    <s v="N"/>
    <n v="1"/>
    <d v="2023-07-13T19:21:20"/>
    <s v="Y"/>
    <s v="Profit Costs (Summary)"/>
    <s v="VHCC"/>
    <s v="Profit Cost"/>
    <s v="R Wiles"/>
    <s v="Y"/>
    <n v="1311.94"/>
    <n v="262.39"/>
    <x v="11"/>
    <s v="VALIDATED"/>
    <n v="1"/>
    <s v="01.11.80.307.6100.0000"/>
    <n v="1311.94"/>
    <s v="11"/>
    <s v="6100"/>
    <n v="4856.82"/>
    <n v="1311.94"/>
    <s v="CREDITOR"/>
    <n v="0"/>
    <n v="0"/>
    <n v="0"/>
    <n v="0"/>
    <n v="1311.94"/>
  </r>
  <r>
    <n v="61923555"/>
    <s v="N"/>
    <n v="21321847"/>
    <s v="3000015977190004"/>
    <s v="CIVIL"/>
    <d v="2023-06-28T00:00:00"/>
    <d v="2023-07-03T19:05:17"/>
    <m/>
    <d v="2023-07-03T00:00:00"/>
    <n v="810"/>
    <n v="14364"/>
    <s v="61923555"/>
    <s v="61923555"/>
    <m/>
    <m/>
    <n v="22784142"/>
    <m/>
    <m/>
    <m/>
    <s v="SOLPOA"/>
    <s v="SOLPOA"/>
    <s v="CCMS"/>
    <n v="21321847"/>
    <n v="432"/>
    <m/>
    <s v="N"/>
    <n v="1"/>
    <d v="2023-07-03T19:05:21"/>
    <s v="N"/>
    <s v="Expert Cost"/>
    <s v="Expert Cost"/>
    <s v="Expert Disbursement"/>
    <s v="R Wiles"/>
    <s v="N"/>
    <n v="360"/>
    <n v="72"/>
    <x v="3"/>
    <s v="VALIDATED"/>
    <n v="1"/>
    <s v="01.11.80.308.2012.0000"/>
    <n v="360"/>
    <s v="11"/>
    <s v="2012"/>
    <n v="4856.82"/>
    <n v="360"/>
    <s v="CREDITOR"/>
    <n v="360"/>
    <n v="0"/>
    <n v="0"/>
    <n v="0"/>
    <n v="0"/>
  </r>
  <r>
    <n v="10774308"/>
    <s v="N"/>
    <n v="21370314"/>
    <s v="3000006551240018"/>
    <s v="CIVIL"/>
    <d v="2023-06-18T00:00:00"/>
    <d v="2023-07-13T19:21:05"/>
    <m/>
    <d v="2023-07-13T00:00:00"/>
    <n v="810"/>
    <n v="14364"/>
    <s v="10774308"/>
    <s v="10774308"/>
    <m/>
    <m/>
    <n v="22711448"/>
    <m/>
    <m/>
    <m/>
    <s v="SOLINT"/>
    <s v="SOLINT"/>
    <s v="CCMS"/>
    <n v="21370314"/>
    <n v="3996.37"/>
    <m/>
    <s v="N"/>
    <n v="5"/>
    <d v="2023-07-13T19:21:20"/>
    <s v="Y"/>
    <s v="Psychologist"/>
    <s v="VHCC"/>
    <s v="Expert Disbursement"/>
    <s v="R Wiles"/>
    <s v="Y"/>
    <n v="150"/>
    <n v="0"/>
    <x v="11"/>
    <s v="VALIDATED"/>
    <n v="1"/>
    <s v="01.11.80.307.6300.0000"/>
    <n v="150"/>
    <s v="11"/>
    <s v="6300"/>
    <n v="4856.82"/>
    <n v="150"/>
    <s v="CREDITOR"/>
    <n v="0"/>
    <n v="0"/>
    <n v="0"/>
    <n v="0"/>
    <n v="150"/>
  </r>
  <r>
    <n v="61923555"/>
    <s v="N"/>
    <n v="21322061"/>
    <s v="3000015977190006"/>
    <s v="CIVIL"/>
    <d v="2023-06-28T00:00:00"/>
    <d v="2023-07-03T19:05:17"/>
    <m/>
    <d v="2023-07-03T00:00:00"/>
    <n v="810"/>
    <n v="14364"/>
    <s v="61923555"/>
    <s v="61923555"/>
    <m/>
    <m/>
    <n v="22784164"/>
    <m/>
    <m/>
    <m/>
    <s v="SOLPOA"/>
    <s v="SOLPOA"/>
    <s v="CCMS"/>
    <n v="21322061"/>
    <n v="259.2"/>
    <m/>
    <s v="N"/>
    <n v="1"/>
    <d v="2023-07-03T19:05:22"/>
    <s v="N"/>
    <s v="Expert Cost"/>
    <s v="Expert Cost"/>
    <s v="Expert Disbursement"/>
    <s v="R Wiles"/>
    <s v="N"/>
    <n v="216"/>
    <n v="43.2"/>
    <x v="3"/>
    <s v="VALIDATED"/>
    <n v="1"/>
    <s v="01.11.80.308.2012.0000"/>
    <n v="216"/>
    <s v="11"/>
    <s v="2012"/>
    <n v="4856.82"/>
    <n v="216"/>
    <s v="CREDITOR"/>
    <n v="216"/>
    <n v="0"/>
    <n v="0"/>
    <n v="0"/>
    <n v="0"/>
  </r>
  <r>
    <n v="10774308"/>
    <s v="N"/>
    <n v="21370314"/>
    <s v="3000006551240018"/>
    <s v="CIVIL"/>
    <d v="2023-06-18T00:00:00"/>
    <d v="2023-07-13T19:21:05"/>
    <m/>
    <d v="2023-07-13T00:00:00"/>
    <n v="810"/>
    <n v="14364"/>
    <s v="10774308"/>
    <s v="10774308"/>
    <m/>
    <m/>
    <n v="22711448"/>
    <m/>
    <m/>
    <m/>
    <s v="SOLINT"/>
    <s v="SOLINT"/>
    <s v="CCMS"/>
    <n v="21370314"/>
    <n v="3996.37"/>
    <m/>
    <s v="N"/>
    <n v="3"/>
    <d v="2023-07-13T19:21:20"/>
    <s v="Y"/>
    <s v="Profit Costs (Summary)"/>
    <s v="VHCC"/>
    <s v="Profit Cost"/>
    <s v="R Wiles"/>
    <s v="Y"/>
    <n v="2389.93"/>
    <n v="477.99"/>
    <x v="11"/>
    <s v="VALIDATED"/>
    <n v="1"/>
    <s v="01.11.80.307.6100.0000"/>
    <n v="2389.93"/>
    <s v="11"/>
    <s v="6100"/>
    <n v="4856.82"/>
    <n v="2389.93"/>
    <s v="CREDITOR"/>
    <n v="0"/>
    <n v="0"/>
    <n v="0"/>
    <n v="0"/>
    <n v="2389.93"/>
  </r>
  <r>
    <n v="61923555"/>
    <s v="N"/>
    <n v="21321983"/>
    <s v="3000015977190005"/>
    <s v="CIVIL"/>
    <d v="2023-06-28T00:00:00"/>
    <d v="2023-07-03T19:05:17"/>
    <m/>
    <d v="2023-07-03T00:00:00"/>
    <n v="810"/>
    <n v="14364"/>
    <s v="61923555"/>
    <s v="61923555"/>
    <m/>
    <m/>
    <n v="22784126"/>
    <m/>
    <m/>
    <m/>
    <s v="SOLPOA"/>
    <s v="SOLPOA"/>
    <s v="CCMS"/>
    <n v="21321983"/>
    <n v="820.8"/>
    <m/>
    <s v="N"/>
    <n v="1"/>
    <d v="2023-07-03T19:05:21"/>
    <s v="N"/>
    <s v="Expert Cost"/>
    <s v="Expert Cost"/>
    <s v="Expert Disbursement"/>
    <s v="R Wiles"/>
    <s v="N"/>
    <n v="684"/>
    <n v="136.8"/>
    <x v="3"/>
    <s v="VALIDATED"/>
    <n v="1"/>
    <s v="01.11.80.308.2012.0000"/>
    <n v="684"/>
    <s v="11"/>
    <s v="2012"/>
    <n v="4856.82"/>
    <n v="684"/>
    <s v="CREDITOR"/>
    <n v="684"/>
    <n v="0"/>
    <n v="0"/>
    <n v="0"/>
    <n v="0"/>
  </r>
  <r>
    <n v="10774308"/>
    <s v="N"/>
    <n v="21370314"/>
    <s v="3000006551240018"/>
    <s v="CIVIL"/>
    <d v="2023-06-18T00:00:00"/>
    <d v="2023-07-13T19:21:05"/>
    <m/>
    <d v="2023-07-13T00:00:00"/>
    <n v="810"/>
    <n v="14364"/>
    <s v="10774308"/>
    <s v="10774308"/>
    <m/>
    <m/>
    <n v="22711448"/>
    <m/>
    <m/>
    <m/>
    <s v="SOLINT"/>
    <s v="SOLINT"/>
    <s v="CCMS"/>
    <n v="21370314"/>
    <n v="3996.37"/>
    <m/>
    <s v="N"/>
    <n v="7"/>
    <d v="2023-07-13T19:21:20"/>
    <s v="Y"/>
    <s v="Child psychologist"/>
    <s v="VHCC"/>
    <s v="Expert Disbursement"/>
    <s v="R Wiles"/>
    <s v="Y"/>
    <n v="281.44"/>
    <n v="56.29"/>
    <x v="11"/>
    <s v="VALIDATED"/>
    <n v="1"/>
    <s v="01.11.80.307.6300.0000"/>
    <n v="281.44"/>
    <s v="11"/>
    <s v="6300"/>
    <n v="4856.82"/>
    <n v="281.44"/>
    <s v="CREDITOR"/>
    <n v="0"/>
    <n v="0"/>
    <n v="0"/>
    <n v="0"/>
    <n v="281.44"/>
  </r>
  <r>
    <n v="10774308"/>
    <s v="N"/>
    <n v="21370314"/>
    <s v="3000006551240018"/>
    <s v="CIVIL"/>
    <d v="2023-06-18T00:00:00"/>
    <d v="2023-07-13T19:21:05"/>
    <m/>
    <d v="2023-07-13T00:00:00"/>
    <n v="810"/>
    <n v="14364"/>
    <s v="10774308"/>
    <s v="10774308"/>
    <m/>
    <m/>
    <n v="22711448"/>
    <m/>
    <m/>
    <m/>
    <s v="SOLINT"/>
    <s v="SOLINT"/>
    <s v="CCMS"/>
    <n v="21370314"/>
    <n v="3996.37"/>
    <m/>
    <s v="N"/>
    <n v="1"/>
    <d v="2023-07-13T19:21:20"/>
    <s v="Y"/>
    <s v="Solicitor Travel Expenses"/>
    <s v="VHCC"/>
    <s v="Non Expert Disbursement"/>
    <s v="R Wiles"/>
    <s v="Y"/>
    <n v="7.08"/>
    <n v="1.42"/>
    <x v="11"/>
    <s v="VALIDATED"/>
    <n v="1"/>
    <s v="01.11.80.307.6300.0000"/>
    <n v="7.08"/>
    <s v="11"/>
    <s v="6300"/>
    <n v="4856.82"/>
    <n v="7.08"/>
    <s v="CREDITOR"/>
    <n v="0"/>
    <n v="0"/>
    <n v="0"/>
    <n v="0"/>
    <n v="7.08"/>
  </r>
  <r>
    <n v="10774308"/>
    <s v="N"/>
    <n v="21370314"/>
    <s v="3000006551240018"/>
    <s v="CIVIL"/>
    <d v="2023-06-18T00:00:00"/>
    <d v="2023-07-13T19:21:05"/>
    <m/>
    <d v="2023-07-13T00:00:00"/>
    <n v="810"/>
    <n v="14364"/>
    <s v="10774308"/>
    <s v="10774308"/>
    <m/>
    <m/>
    <n v="22711448"/>
    <m/>
    <m/>
    <m/>
    <s v="SOLINT"/>
    <s v="SOLINT"/>
    <s v="CCMS"/>
    <n v="21370314"/>
    <n v="3996.37"/>
    <m/>
    <s v="N"/>
    <n v="6"/>
    <d v="2023-07-13T19:21:20"/>
    <s v="Y"/>
    <s v="Child psychologist"/>
    <s v="VHCC"/>
    <s v="Expert Disbursement"/>
    <s v="R Wiles"/>
    <s v="Y"/>
    <n v="489.54"/>
    <n v="97.91"/>
    <x v="11"/>
    <s v="VALIDATED"/>
    <n v="1"/>
    <s v="01.11.80.307.6300.0000"/>
    <n v="489.54"/>
    <s v="11"/>
    <s v="6300"/>
    <n v="4856.82"/>
    <n v="489.54"/>
    <s v="CREDITOR"/>
    <n v="0"/>
    <n v="0"/>
    <n v="0"/>
    <n v="0"/>
    <n v="489.54"/>
  </r>
  <r>
    <n v="10774308"/>
    <s v="N"/>
    <n v="21370314"/>
    <s v="3000006551240018"/>
    <s v="CIVIL"/>
    <d v="2023-06-18T00:00:00"/>
    <d v="2023-07-13T19:21:05"/>
    <m/>
    <d v="2023-07-13T00:00:00"/>
    <n v="810"/>
    <n v="14364"/>
    <s v="10774308"/>
    <s v="10774308"/>
    <m/>
    <m/>
    <n v="22711448"/>
    <m/>
    <m/>
    <m/>
    <s v="SOLINT"/>
    <s v="SOLINT"/>
    <s v="CCMS"/>
    <n v="21370314"/>
    <n v="3996.37"/>
    <m/>
    <s v="N"/>
    <n v="4"/>
    <d v="2023-07-13T19:21:20"/>
    <s v="Y"/>
    <s v="Independent Social Worker"/>
    <s v="VHCC"/>
    <s v="Expert Disbursement"/>
    <s v="R Wiles"/>
    <s v="Y"/>
    <n v="28.57"/>
    <n v="0"/>
    <x v="11"/>
    <s v="VALIDATED"/>
    <n v="1"/>
    <s v="01.11.80.307.6300.0000"/>
    <n v="28.57"/>
    <s v="11"/>
    <s v="6300"/>
    <n v="4856.82"/>
    <n v="28.57"/>
    <s v="CREDITOR"/>
    <n v="0"/>
    <n v="0"/>
    <n v="0"/>
    <n v="0"/>
    <n v="28.57"/>
  </r>
  <r>
    <n v="10774308"/>
    <s v="N"/>
    <n v="21371638"/>
    <s v="3000006551240010RC"/>
    <s v="CIVIL"/>
    <d v="2023-06-18T00:00:00"/>
    <d v="2023-07-13T19:53:16"/>
    <m/>
    <d v="2023-07-13T00:00:00"/>
    <n v="810"/>
    <n v="14364"/>
    <s v="10774308"/>
    <s v="10774308"/>
    <m/>
    <m/>
    <m/>
    <m/>
    <m/>
    <m/>
    <s v="SOLRECOUP"/>
    <s v="SOLRECOUP"/>
    <s v="POARECOUP"/>
    <n v="21371638"/>
    <n v="-587.45"/>
    <m/>
    <s v="Y"/>
    <n v="2"/>
    <d v="2023-07-13T19:53:16"/>
    <s v="N"/>
    <m/>
    <m/>
    <s v="Expert Disbursement"/>
    <m/>
    <s v="N"/>
    <n v="0"/>
    <n v="-97.91"/>
    <x v="11"/>
    <s v="VALIDATED"/>
    <n v="1"/>
    <s v="01.11.80.307.2013.0000"/>
    <n v="-97.91"/>
    <s v="11"/>
    <s v="2013"/>
    <n v="4856.82"/>
    <n v="-97.91"/>
    <s v="CREDITOR"/>
    <n v="0"/>
    <n v="0"/>
    <n v="-97.91"/>
    <n v="0"/>
    <n v="0"/>
  </r>
  <r>
    <n v="10774308"/>
    <s v="N"/>
    <n v="21371638"/>
    <s v="3000006551240010RC"/>
    <s v="CIVIL"/>
    <d v="2023-06-18T00:00:00"/>
    <d v="2023-07-13T19:53:16"/>
    <m/>
    <d v="2023-07-13T00:00:00"/>
    <n v="810"/>
    <n v="14364"/>
    <s v="10774308"/>
    <s v="10774308"/>
    <m/>
    <m/>
    <m/>
    <m/>
    <m/>
    <m/>
    <s v="SOLRECOUP"/>
    <s v="SOLRECOUP"/>
    <s v="POARECOUP"/>
    <n v="21371638"/>
    <n v="-587.45"/>
    <m/>
    <s v="Y"/>
    <n v="1"/>
    <d v="2023-07-13T19:53:16"/>
    <s v="N"/>
    <m/>
    <m/>
    <s v="Expert Disbursement"/>
    <m/>
    <s v="N"/>
    <n v="-489.54"/>
    <n v="0"/>
    <x v="11"/>
    <s v="VALIDATED"/>
    <n v="1"/>
    <s v="01.11.80.307.2013.0000"/>
    <n v="-489.54"/>
    <s v="11"/>
    <s v="2013"/>
    <n v="4856.82"/>
    <n v="-489.54"/>
    <s v="CREDITOR"/>
    <n v="0"/>
    <n v="0"/>
    <n v="-489.54"/>
    <n v="0"/>
    <n v="0"/>
  </r>
  <r>
    <n v="10774308"/>
    <s v="N"/>
    <n v="21371639"/>
    <s v="3000006551240012RC"/>
    <s v="CIVIL"/>
    <d v="2023-06-18T00:00:00"/>
    <d v="2023-07-13T19:53:16"/>
    <m/>
    <d v="2023-07-13T00:00:00"/>
    <n v="810"/>
    <n v="14364"/>
    <s v="10774308"/>
    <s v="10774308"/>
    <m/>
    <m/>
    <m/>
    <m/>
    <m/>
    <m/>
    <s v="SOLRECOUP"/>
    <s v="SOLRECOUP"/>
    <s v="POARECOUP"/>
    <n v="21371639"/>
    <n v="-337.73"/>
    <m/>
    <s v="Y"/>
    <n v="1"/>
    <d v="2023-07-13T19:53:16"/>
    <s v="N"/>
    <m/>
    <m/>
    <s v="Expert Disbursement"/>
    <m/>
    <s v="N"/>
    <n v="-281.44"/>
    <n v="0"/>
    <x v="11"/>
    <s v="VALIDATED"/>
    <n v="1"/>
    <s v="01.11.80.307.2013.0000"/>
    <n v="-281.44"/>
    <s v="11"/>
    <s v="2013"/>
    <n v="4856.82"/>
    <n v="-281.44"/>
    <s v="CREDITOR"/>
    <n v="0"/>
    <n v="0"/>
    <n v="-281.44"/>
    <n v="0"/>
    <n v="0"/>
  </r>
  <r>
    <n v="10774308"/>
    <s v="N"/>
    <n v="21371639"/>
    <s v="3000006551240012RC"/>
    <s v="CIVIL"/>
    <d v="2023-06-18T00:00:00"/>
    <d v="2023-07-13T19:53:16"/>
    <m/>
    <d v="2023-07-13T00:00:00"/>
    <n v="810"/>
    <n v="14364"/>
    <s v="10774308"/>
    <s v="10774308"/>
    <m/>
    <m/>
    <m/>
    <m/>
    <m/>
    <m/>
    <s v="SOLRECOUP"/>
    <s v="SOLRECOUP"/>
    <s v="POARECOUP"/>
    <n v="21371639"/>
    <n v="-337.73"/>
    <m/>
    <s v="Y"/>
    <n v="2"/>
    <d v="2023-07-13T19:53:16"/>
    <s v="N"/>
    <m/>
    <m/>
    <s v="Expert Disbursement"/>
    <m/>
    <s v="N"/>
    <n v="0"/>
    <n v="-56.29"/>
    <x v="11"/>
    <s v="VALIDATED"/>
    <n v="1"/>
    <s v="01.11.80.307.2013.0000"/>
    <n v="-56.29"/>
    <s v="11"/>
    <s v="2013"/>
    <n v="4856.82"/>
    <n v="-56.29"/>
    <s v="CREDITOR"/>
    <n v="0"/>
    <n v="0"/>
    <n v="-56.29"/>
    <n v="0"/>
    <n v="0"/>
  </r>
  <r>
    <n v="10774308"/>
    <s v="N"/>
    <n v="21371640"/>
    <s v="3000006551240011RC"/>
    <s v="CIVIL"/>
    <d v="2023-06-18T00:00:00"/>
    <d v="2023-07-13T19:53:16"/>
    <m/>
    <d v="2023-07-13T00:00:00"/>
    <n v="810"/>
    <n v="14364"/>
    <s v="10774308"/>
    <s v="10774308"/>
    <m/>
    <m/>
    <m/>
    <m/>
    <m/>
    <m/>
    <s v="SOLRECOUP"/>
    <s v="SOLRECOUP"/>
    <s v="POARECOUP"/>
    <n v="21371640"/>
    <n v="-150"/>
    <m/>
    <s v="Y"/>
    <n v="2"/>
    <d v="2023-07-13T19:53:17"/>
    <s v="N"/>
    <m/>
    <m/>
    <s v="Expert Disbursement"/>
    <m/>
    <s v="N"/>
    <n v="0"/>
    <n v="0"/>
    <x v="11"/>
    <s v="VALIDATED"/>
    <n v="1"/>
    <s v="01.11.80.000.0000.0000"/>
    <n v="0"/>
    <s v="11"/>
    <s v="0000"/>
    <n v="4856.82"/>
    <n v="0"/>
    <s v="CREDITOR"/>
    <n v="0"/>
    <n v="0"/>
    <n v="0"/>
    <n v="0"/>
    <n v="0"/>
  </r>
  <r>
    <n v="10774308"/>
    <s v="N"/>
    <n v="21371640"/>
    <s v="3000006551240011RC"/>
    <s v="CIVIL"/>
    <d v="2023-06-18T00:00:00"/>
    <d v="2023-07-13T19:53:16"/>
    <m/>
    <d v="2023-07-13T00:00:00"/>
    <n v="810"/>
    <n v="14364"/>
    <s v="10774308"/>
    <s v="10774308"/>
    <m/>
    <m/>
    <m/>
    <m/>
    <m/>
    <m/>
    <s v="SOLRECOUP"/>
    <s v="SOLRECOUP"/>
    <s v="POARECOUP"/>
    <n v="21371640"/>
    <n v="-150"/>
    <m/>
    <s v="Y"/>
    <n v="1"/>
    <d v="2023-07-13T19:53:17"/>
    <s v="N"/>
    <m/>
    <m/>
    <s v="Expert Disbursement"/>
    <m/>
    <s v="N"/>
    <n v="-150"/>
    <n v="0"/>
    <x v="11"/>
    <s v="VALIDATED"/>
    <n v="1"/>
    <s v="01.11.80.307.2013.0000"/>
    <n v="-150"/>
    <s v="11"/>
    <s v="2013"/>
    <n v="4856.82"/>
    <n v="-150"/>
    <s v="CREDITOR"/>
    <n v="0"/>
    <n v="0"/>
    <n v="-150"/>
    <n v="0"/>
    <n v="0"/>
  </r>
  <r>
    <n v="61232780"/>
    <s v="N"/>
    <n v="21343944"/>
    <s v="3000015401750005"/>
    <s v="CIVIL"/>
    <d v="2023-06-28T00:00:00"/>
    <d v="2023-07-07T19:03:00"/>
    <m/>
    <d v="2023-07-07T00:00:00"/>
    <n v="815"/>
    <n v="1925"/>
    <s v="61232780"/>
    <s v="61232780"/>
    <m/>
    <m/>
    <n v="22779374"/>
    <m/>
    <m/>
    <m/>
    <s v="SOLFIN"/>
    <s v="SOLFIN"/>
    <s v="CCMS"/>
    <n v="21343944"/>
    <n v="8596.91"/>
    <m/>
    <s v="N"/>
    <n v="5"/>
    <d v="2023-07-07T19:03:18"/>
    <s v="Y"/>
    <s v="Toxicologist"/>
    <s v="Public Law Children"/>
    <s v="Expert Disbursement"/>
    <s v="KC"/>
    <s v="Y"/>
    <n v="17.5"/>
    <n v="3.5"/>
    <x v="9"/>
    <s v="VALIDATED"/>
    <n v="1"/>
    <s v="01.11.80.308.6300.0000"/>
    <n v="17.5"/>
    <s v="11"/>
    <s v="6300"/>
    <n v="6393.55"/>
    <n v="17.5"/>
    <s v="CREDITOR"/>
    <n v="0"/>
    <n v="0"/>
    <n v="0"/>
    <n v="0"/>
    <n v="17.5"/>
  </r>
  <r>
    <n v="61232780"/>
    <s v="N"/>
    <n v="21343944"/>
    <s v="3000015401750005"/>
    <s v="CIVIL"/>
    <d v="2023-06-28T00:00:00"/>
    <d v="2023-07-07T19:03:00"/>
    <m/>
    <d v="2023-07-07T00:00:00"/>
    <n v="815"/>
    <n v="1925"/>
    <s v="61232780"/>
    <s v="61232780"/>
    <m/>
    <m/>
    <n v="22779374"/>
    <m/>
    <m/>
    <m/>
    <s v="SOLFIN"/>
    <s v="SOLFIN"/>
    <s v="CCMS"/>
    <n v="21343944"/>
    <n v="8596.91"/>
    <m/>
    <s v="N"/>
    <n v="7"/>
    <d v="2023-07-07T19:03:18"/>
    <s v="Y"/>
    <s v="Hearing Unit 2.31 - 5.00 Hours"/>
    <s v="Public Law Children"/>
    <s v="Advocacy"/>
    <s v="KC"/>
    <s v="Y"/>
    <n v="476.92"/>
    <n v="95.38"/>
    <x v="9"/>
    <s v="VALIDATED"/>
    <n v="1"/>
    <s v="01.11.80.308.6100.0000"/>
    <n v="476.92"/>
    <s v="11"/>
    <s v="6100"/>
    <n v="6393.55"/>
    <n v="476.92"/>
    <s v="CREDITOR"/>
    <n v="0"/>
    <n v="0"/>
    <n v="0"/>
    <n v="0"/>
    <n v="476.92"/>
  </r>
  <r>
    <n v="61232780"/>
    <s v="N"/>
    <n v="21343944"/>
    <s v="3000015401750005"/>
    <s v="CIVIL"/>
    <d v="2023-06-28T00:00:00"/>
    <d v="2023-07-07T19:03:00"/>
    <m/>
    <d v="2023-07-07T00:00:00"/>
    <n v="815"/>
    <n v="1925"/>
    <s v="61232780"/>
    <s v="61232780"/>
    <m/>
    <m/>
    <n v="22779374"/>
    <m/>
    <m/>
    <m/>
    <s v="SOLFIN"/>
    <s v="SOLFIN"/>
    <s v="CCMS"/>
    <n v="21343944"/>
    <n v="8596.91"/>
    <m/>
    <s v="N"/>
    <n v="6"/>
    <d v="2023-07-07T19:03:18"/>
    <s v="Y"/>
    <s v="Hearing Unit 1.01 - 2.30 Hours"/>
    <s v="Public Law Children"/>
    <s v="Advocacy"/>
    <s v="KC"/>
    <s v="Y"/>
    <n v="238.46"/>
    <n v="47.69"/>
    <x v="9"/>
    <s v="VALIDATED"/>
    <n v="1"/>
    <s v="01.11.80.308.6100.0000"/>
    <n v="238.46"/>
    <s v="11"/>
    <s v="6100"/>
    <n v="6393.55"/>
    <n v="238.46"/>
    <s v="CREDITOR"/>
    <n v="0"/>
    <n v="0"/>
    <n v="0"/>
    <n v="0"/>
    <n v="238.46"/>
  </r>
  <r>
    <n v="61232780"/>
    <s v="N"/>
    <n v="21343944"/>
    <s v="3000015401750005"/>
    <s v="CIVIL"/>
    <d v="2023-06-28T00:00:00"/>
    <d v="2023-07-07T19:03:00"/>
    <m/>
    <d v="2023-07-07T00:00:00"/>
    <n v="815"/>
    <n v="1925"/>
    <s v="61232780"/>
    <s v="61232780"/>
    <m/>
    <m/>
    <n v="22779374"/>
    <m/>
    <m/>
    <m/>
    <s v="SOLFIN"/>
    <s v="SOLFIN"/>
    <s v="CCMS"/>
    <n v="21343944"/>
    <n v="8596.91"/>
    <m/>
    <s v="N"/>
    <n v="10"/>
    <d v="2023-07-07T19:03:18"/>
    <s v="Y"/>
    <s v="Hearing Unit 1.01 - 2.30 Hours"/>
    <s v="Public Law Children"/>
    <s v="Advocacy"/>
    <s v="KC"/>
    <s v="Y"/>
    <n v="238.46"/>
    <n v="47.69"/>
    <x v="9"/>
    <s v="VALIDATED"/>
    <n v="1"/>
    <s v="01.11.80.308.6100.0000"/>
    <n v="238.46"/>
    <s v="11"/>
    <s v="6100"/>
    <n v="6393.55"/>
    <n v="238.46"/>
    <s v="CREDITOR"/>
    <n v="0"/>
    <n v="0"/>
    <n v="0"/>
    <n v="0"/>
    <n v="238.46"/>
  </r>
  <r>
    <n v="61232780"/>
    <s v="N"/>
    <n v="21343944"/>
    <s v="3000015401750005"/>
    <s v="CIVIL"/>
    <d v="2023-06-28T00:00:00"/>
    <d v="2023-07-07T19:03:00"/>
    <m/>
    <d v="2023-07-07T00:00:00"/>
    <n v="815"/>
    <n v="1925"/>
    <s v="61232780"/>
    <s v="61232780"/>
    <m/>
    <m/>
    <n v="22779374"/>
    <m/>
    <m/>
    <m/>
    <s v="SOLFIN"/>
    <s v="SOLFIN"/>
    <s v="CCMS"/>
    <n v="21343944"/>
    <n v="8596.91"/>
    <m/>
    <s v="N"/>
    <n v="9"/>
    <d v="2023-07-07T19:03:18"/>
    <s v="Y"/>
    <s v="Advocates Meeting"/>
    <s v="Public Law Children"/>
    <s v="Advocacy"/>
    <s v="KC"/>
    <s v="Y"/>
    <n v="140.99"/>
    <n v="28.2"/>
    <x v="9"/>
    <s v="VALIDATED"/>
    <n v="1"/>
    <s v="01.11.80.308.6100.0000"/>
    <n v="140.99"/>
    <s v="11"/>
    <s v="6100"/>
    <n v="6393.55"/>
    <n v="140.99"/>
    <s v="CREDITOR"/>
    <n v="0"/>
    <n v="0"/>
    <n v="0"/>
    <n v="0"/>
    <n v="140.99"/>
  </r>
  <r>
    <n v="61232780"/>
    <s v="N"/>
    <n v="21343944"/>
    <s v="3000015401750005"/>
    <s v="CIVIL"/>
    <d v="2023-06-28T00:00:00"/>
    <d v="2023-07-07T19:03:00"/>
    <m/>
    <d v="2023-07-07T00:00:00"/>
    <n v="815"/>
    <n v="1925"/>
    <s v="61232780"/>
    <s v="61232780"/>
    <m/>
    <m/>
    <n v="22779374"/>
    <m/>
    <m/>
    <m/>
    <s v="SOLFIN"/>
    <s v="SOLFIN"/>
    <s v="CCMS"/>
    <n v="21343944"/>
    <n v="8596.91"/>
    <m/>
    <s v="N"/>
    <n v="16"/>
    <d v="2023-07-07T19:03:18"/>
    <s v="Y"/>
    <s v="Final Hearing Court Bundle/Advocate"/>
    <s v="Public Law Children"/>
    <s v="Advocacy"/>
    <s v="KC"/>
    <s v="Y"/>
    <n v="318.6"/>
    <n v="63.72"/>
    <x v="9"/>
    <s v="VALIDATED"/>
    <n v="1"/>
    <s v="01.11.80.308.6100.0000"/>
    <n v="318.6"/>
    <s v="11"/>
    <s v="6100"/>
    <n v="6393.55"/>
    <n v="318.6"/>
    <s v="CREDITOR"/>
    <n v="0"/>
    <n v="0"/>
    <n v="0"/>
    <n v="0"/>
    <n v="318.6"/>
  </r>
  <r>
    <n v="61232780"/>
    <s v="N"/>
    <n v="21343944"/>
    <s v="3000015401750005"/>
    <s v="CIVIL"/>
    <d v="2023-06-28T00:00:00"/>
    <d v="2023-07-07T19:03:00"/>
    <m/>
    <d v="2023-07-07T00:00:00"/>
    <n v="815"/>
    <n v="1925"/>
    <s v="61232780"/>
    <s v="61232780"/>
    <m/>
    <m/>
    <n v="22779374"/>
    <m/>
    <m/>
    <m/>
    <s v="SOLFIN"/>
    <s v="SOLFIN"/>
    <s v="CCMS"/>
    <n v="21343944"/>
    <n v="8596.91"/>
    <m/>
    <s v="N"/>
    <n v="1"/>
    <d v="2023-07-07T19:03:18"/>
    <s v="Y"/>
    <s v="Solicitors Fixed Fee"/>
    <s v="Public Law Children"/>
    <s v="Profit Cost"/>
    <s v="KC"/>
    <s v="Y"/>
    <n v="3020"/>
    <n v="604"/>
    <x v="9"/>
    <s v="VALIDATED"/>
    <n v="1"/>
    <s v="01.11.80.308.6100.0000"/>
    <n v="3020"/>
    <s v="11"/>
    <s v="6100"/>
    <n v="6393.55"/>
    <n v="3020"/>
    <s v="CREDITOR"/>
    <n v="0"/>
    <n v="0"/>
    <n v="0"/>
    <n v="0"/>
    <n v="3020"/>
  </r>
  <r>
    <n v="62267782"/>
    <s v="N"/>
    <n v="21322901"/>
    <s v="3000016263900003"/>
    <s v="CIVIL"/>
    <d v="2023-06-29T00:00:00"/>
    <d v="2023-07-03T19:05:36"/>
    <m/>
    <d v="2023-07-03T00:00:00"/>
    <n v="815"/>
    <n v="1925"/>
    <s v="62267782"/>
    <s v="62267782"/>
    <m/>
    <m/>
    <n v="22790758"/>
    <m/>
    <m/>
    <m/>
    <s v="SOLPOA"/>
    <s v="SOLPOA"/>
    <s v="CCMS"/>
    <n v="21322901"/>
    <n v="483.96"/>
    <m/>
    <s v="N"/>
    <n v="1"/>
    <d v="2023-07-03T19:05:40"/>
    <s v="N"/>
    <s v="Expert Cost"/>
    <s v="Expert Cost"/>
    <s v="Expert Disbursement"/>
    <s v="KC"/>
    <s v="N"/>
    <n v="403.3"/>
    <n v="80.66"/>
    <x v="3"/>
    <s v="VALIDATED"/>
    <n v="1"/>
    <s v="01.11.80.308.2012.0000"/>
    <n v="403.3"/>
    <s v="11"/>
    <s v="2012"/>
    <n v="6393.55"/>
    <n v="403.3"/>
    <s v="CREDITOR"/>
    <n v="403.3"/>
    <n v="0"/>
    <n v="0"/>
    <n v="0"/>
    <n v="0"/>
  </r>
  <r>
    <n v="61232780"/>
    <s v="N"/>
    <n v="21343944"/>
    <s v="3000015401750005"/>
    <s v="CIVIL"/>
    <d v="2023-06-28T00:00:00"/>
    <d v="2023-07-07T19:03:00"/>
    <m/>
    <d v="2023-07-07T00:00:00"/>
    <n v="815"/>
    <n v="1925"/>
    <s v="61232780"/>
    <s v="61232780"/>
    <m/>
    <m/>
    <n v="22779374"/>
    <m/>
    <m/>
    <m/>
    <s v="SOLFIN"/>
    <s v="SOLFIN"/>
    <s v="CCMS"/>
    <n v="21343944"/>
    <n v="8596.91"/>
    <m/>
    <s v="N"/>
    <n v="14"/>
    <d v="2023-07-07T19:03:18"/>
    <s v="Y"/>
    <s v="Interim Hearing Court Bundle/Advoca"/>
    <s v="Public Law Children"/>
    <s v="Advocacy"/>
    <s v="KC"/>
    <s v="Y"/>
    <n v="89.09999999999999"/>
    <n v="17.82"/>
    <x v="9"/>
    <s v="VALIDATED"/>
    <n v="1"/>
    <s v="01.11.80.308.6100.0000"/>
    <n v="89.09999999999999"/>
    <s v="11"/>
    <s v="6100"/>
    <n v="6393.55"/>
    <n v="89.09999999999999"/>
    <s v="CREDITOR"/>
    <n v="0"/>
    <n v="0"/>
    <n v="0"/>
    <n v="0"/>
    <n v="89.09999999999999"/>
  </r>
  <r>
    <n v="61232780"/>
    <s v="N"/>
    <n v="21343944"/>
    <s v="3000015401750005"/>
    <s v="CIVIL"/>
    <d v="2023-06-28T00:00:00"/>
    <d v="2023-07-07T19:03:00"/>
    <m/>
    <d v="2023-07-07T00:00:00"/>
    <n v="815"/>
    <n v="1925"/>
    <s v="61232780"/>
    <s v="61232780"/>
    <m/>
    <m/>
    <n v="22779374"/>
    <m/>
    <m/>
    <m/>
    <s v="SOLFIN"/>
    <s v="SOLFIN"/>
    <s v="CCMS"/>
    <n v="21343944"/>
    <n v="8596.91"/>
    <m/>
    <s v="N"/>
    <n v="13"/>
    <d v="2023-07-07T19:03:18"/>
    <s v="Y"/>
    <s v="Final Hearing - 1 Day"/>
    <s v="Public Law Children"/>
    <s v="Advocacy"/>
    <s v="KC"/>
    <s v="Y"/>
    <n v="556.88"/>
    <n v="111.38"/>
    <x v="9"/>
    <s v="VALIDATED"/>
    <n v="1"/>
    <s v="01.11.80.308.6100.0000"/>
    <n v="556.88"/>
    <s v="11"/>
    <s v="6100"/>
    <n v="6393.55"/>
    <n v="556.88"/>
    <s v="CREDITOR"/>
    <n v="0"/>
    <n v="0"/>
    <n v="0"/>
    <n v="0"/>
    <n v="556.88"/>
  </r>
  <r>
    <n v="61232780"/>
    <s v="N"/>
    <n v="21343944"/>
    <s v="3000015401750005"/>
    <s v="CIVIL"/>
    <d v="2023-06-28T00:00:00"/>
    <d v="2023-07-07T19:03:00"/>
    <m/>
    <d v="2023-07-07T00:00:00"/>
    <n v="815"/>
    <n v="1925"/>
    <s v="61232780"/>
    <s v="61232780"/>
    <m/>
    <m/>
    <n v="22779374"/>
    <m/>
    <m/>
    <m/>
    <s v="SOLFIN"/>
    <s v="SOLFIN"/>
    <s v="CCMS"/>
    <n v="21343944"/>
    <n v="8596.91"/>
    <m/>
    <s v="N"/>
    <n v="3"/>
    <d v="2023-07-07T19:03:18"/>
    <s v="Y"/>
    <s v="Toxicologist"/>
    <s v="Public Law Children"/>
    <s v="Expert Disbursement"/>
    <s v="KC"/>
    <s v="Y"/>
    <n v="380"/>
    <n v="76"/>
    <x v="9"/>
    <s v="VALIDATED"/>
    <n v="1"/>
    <s v="01.11.80.308.6300.0000"/>
    <n v="380"/>
    <s v="11"/>
    <s v="6300"/>
    <n v="6393.55"/>
    <n v="380"/>
    <s v="CREDITOR"/>
    <n v="0"/>
    <n v="0"/>
    <n v="0"/>
    <n v="0"/>
    <n v="380"/>
  </r>
  <r>
    <n v="61232780"/>
    <s v="N"/>
    <n v="21343944"/>
    <s v="3000015401750005"/>
    <s v="CIVIL"/>
    <d v="2023-06-28T00:00:00"/>
    <d v="2023-07-07T19:03:00"/>
    <m/>
    <d v="2023-07-07T00:00:00"/>
    <n v="815"/>
    <n v="1925"/>
    <s v="61232780"/>
    <s v="61232780"/>
    <m/>
    <m/>
    <n v="22779374"/>
    <m/>
    <m/>
    <m/>
    <s v="SOLFIN"/>
    <s v="SOLFIN"/>
    <s v="CCMS"/>
    <n v="21343944"/>
    <n v="8596.91"/>
    <m/>
    <s v="N"/>
    <n v="11"/>
    <d v="2023-07-07T19:03:18"/>
    <s v="Y"/>
    <s v="Hearing Unit 1.01 - 2.30 Hours"/>
    <s v="Public Law Children"/>
    <s v="Advocacy"/>
    <s v="KC"/>
    <s v="Y"/>
    <n v="238.46"/>
    <n v="47.69"/>
    <x v="9"/>
    <s v="VALIDATED"/>
    <n v="1"/>
    <s v="01.11.80.308.6100.0000"/>
    <n v="238.46"/>
    <s v="11"/>
    <s v="6100"/>
    <n v="6393.55"/>
    <n v="238.46"/>
    <s v="CREDITOR"/>
    <n v="0"/>
    <n v="0"/>
    <n v="0"/>
    <n v="0"/>
    <n v="238.46"/>
  </r>
  <r>
    <n v="62199876"/>
    <s v="N"/>
    <n v="21322911"/>
    <s v="3000016208050002"/>
    <s v="CIVIL"/>
    <d v="2023-06-29T00:00:00"/>
    <d v="2023-07-03T19:05:36"/>
    <m/>
    <d v="2023-07-03T00:00:00"/>
    <n v="815"/>
    <n v="1925"/>
    <s v="62199876"/>
    <s v="62199876"/>
    <m/>
    <m/>
    <n v="22790882"/>
    <m/>
    <m/>
    <m/>
    <s v="SOLPOA"/>
    <s v="SOLPOA"/>
    <s v="CCMS"/>
    <n v="21322911"/>
    <n v="91.5"/>
    <m/>
    <s v="N"/>
    <n v="1"/>
    <d v="2023-07-03T19:05:40"/>
    <s v="N"/>
    <s v="Expert Cost"/>
    <s v="Expert Cost"/>
    <s v="Expert Disbursement"/>
    <s v="KC"/>
    <s v="N"/>
    <n v="76.25"/>
    <n v="15.25"/>
    <x v="3"/>
    <s v="VALIDATED"/>
    <n v="1"/>
    <s v="01.11.80.308.2012.0000"/>
    <n v="76.25"/>
    <s v="11"/>
    <s v="2012"/>
    <n v="6393.55"/>
    <n v="76.25"/>
    <s v="CREDITOR"/>
    <n v="76.25"/>
    <n v="0"/>
    <n v="0"/>
    <n v="0"/>
    <n v="0"/>
  </r>
  <r>
    <n v="61232780"/>
    <s v="N"/>
    <n v="21343944"/>
    <s v="3000015401750005"/>
    <s v="CIVIL"/>
    <d v="2023-06-28T00:00:00"/>
    <d v="2023-07-07T19:03:00"/>
    <m/>
    <d v="2023-07-07T00:00:00"/>
    <n v="815"/>
    <n v="1925"/>
    <s v="61232780"/>
    <s v="61232780"/>
    <m/>
    <m/>
    <n v="22779374"/>
    <m/>
    <m/>
    <m/>
    <s v="SOLFIN"/>
    <s v="SOLFIN"/>
    <s v="CCMS"/>
    <n v="21343944"/>
    <n v="8596.91"/>
    <m/>
    <s v="N"/>
    <n v="15"/>
    <d v="2023-07-07T19:03:18"/>
    <s v="Y"/>
    <s v="Interim Hearing Court Bundle/Advoca"/>
    <s v="Public Law Children"/>
    <s v="Advocacy"/>
    <s v="KC"/>
    <s v="Y"/>
    <n v="89.09999999999999"/>
    <n v="17.82"/>
    <x v="9"/>
    <s v="VALIDATED"/>
    <n v="1"/>
    <s v="01.11.80.308.6100.0000"/>
    <n v="89.09999999999999"/>
    <s v="11"/>
    <s v="6100"/>
    <n v="6393.55"/>
    <n v="89.09999999999999"/>
    <s v="CREDITOR"/>
    <n v="0"/>
    <n v="0"/>
    <n v="0"/>
    <n v="0"/>
    <n v="89.09999999999999"/>
  </r>
  <r>
    <n v="61232780"/>
    <s v="N"/>
    <n v="21343944"/>
    <s v="3000015401750005"/>
    <s v="CIVIL"/>
    <d v="2023-06-28T00:00:00"/>
    <d v="2023-07-07T19:03:00"/>
    <m/>
    <d v="2023-07-07T00:00:00"/>
    <n v="815"/>
    <n v="1925"/>
    <s v="61232780"/>
    <s v="61232780"/>
    <m/>
    <m/>
    <n v="22779374"/>
    <m/>
    <m/>
    <m/>
    <s v="SOLFIN"/>
    <s v="SOLFIN"/>
    <s v="CCMS"/>
    <n v="21343944"/>
    <n v="8596.91"/>
    <m/>
    <s v="N"/>
    <n v="12"/>
    <d v="2023-07-07T19:03:18"/>
    <s v="Y"/>
    <s v="Hearing Unit 1.01 - 2.30 Hours"/>
    <s v="Public Law Children"/>
    <s v="Advocacy"/>
    <s v="KC"/>
    <s v="Y"/>
    <n v="238.46"/>
    <n v="47.69"/>
    <x v="9"/>
    <s v="VALIDATED"/>
    <n v="1"/>
    <s v="01.11.80.308.6100.0000"/>
    <n v="238.46"/>
    <s v="11"/>
    <s v="6100"/>
    <n v="6393.55"/>
    <n v="238.46"/>
    <s v="CREDITOR"/>
    <n v="0"/>
    <n v="0"/>
    <n v="0"/>
    <n v="0"/>
    <n v="238.46"/>
  </r>
  <r>
    <n v="61232780"/>
    <s v="N"/>
    <n v="21343944"/>
    <s v="3000015401750005"/>
    <s v="CIVIL"/>
    <d v="2023-06-28T00:00:00"/>
    <d v="2023-07-07T19:03:00"/>
    <m/>
    <d v="2023-07-07T00:00:00"/>
    <n v="815"/>
    <n v="1925"/>
    <s v="61232780"/>
    <s v="61232780"/>
    <m/>
    <m/>
    <n v="22779374"/>
    <m/>
    <m/>
    <m/>
    <s v="SOLFIN"/>
    <s v="SOLFIN"/>
    <s v="CCMS"/>
    <n v="21343944"/>
    <n v="8596.91"/>
    <m/>
    <s v="N"/>
    <n v="8"/>
    <d v="2023-07-07T19:03:18"/>
    <s v="Y"/>
    <s v="Hearing Unit 2.31 - 5.00 Hours"/>
    <s v="Public Law Children"/>
    <s v="Advocacy"/>
    <s v="KC"/>
    <s v="Y"/>
    <n v="476.92"/>
    <n v="95.38"/>
    <x v="9"/>
    <s v="VALIDATED"/>
    <n v="1"/>
    <s v="01.11.80.308.6100.0000"/>
    <n v="476.92"/>
    <s v="11"/>
    <s v="6100"/>
    <n v="6393.55"/>
    <n v="476.92"/>
    <s v="CREDITOR"/>
    <n v="0"/>
    <n v="0"/>
    <n v="0"/>
    <n v="0"/>
    <n v="476.92"/>
  </r>
  <r>
    <n v="61232780"/>
    <s v="N"/>
    <n v="21343944"/>
    <s v="3000015401750005"/>
    <s v="CIVIL"/>
    <d v="2023-06-28T00:00:00"/>
    <d v="2023-07-07T19:03:00"/>
    <m/>
    <d v="2023-07-07T00:00:00"/>
    <n v="815"/>
    <n v="1925"/>
    <s v="61232780"/>
    <s v="61232780"/>
    <m/>
    <m/>
    <n v="22779374"/>
    <m/>
    <m/>
    <m/>
    <s v="SOLFIN"/>
    <s v="SOLFIN"/>
    <s v="CCMS"/>
    <n v="21343944"/>
    <n v="8596.91"/>
    <m/>
    <s v="N"/>
    <n v="2"/>
    <d v="2023-07-07T19:03:18"/>
    <s v="Y"/>
    <s v="Toxicologist"/>
    <s v="Public Law Children"/>
    <s v="Expert Disbursement"/>
    <s v="KC"/>
    <s v="Y"/>
    <n v="360"/>
    <n v="72"/>
    <x v="9"/>
    <s v="VALIDATED"/>
    <n v="1"/>
    <s v="01.11.80.308.6300.0000"/>
    <n v="360"/>
    <s v="11"/>
    <s v="6300"/>
    <n v="6393.55"/>
    <n v="360"/>
    <s v="CREDITOR"/>
    <n v="0"/>
    <n v="0"/>
    <n v="0"/>
    <n v="0"/>
    <n v="360"/>
  </r>
  <r>
    <n v="61232780"/>
    <s v="N"/>
    <n v="21343944"/>
    <s v="3000015401750005"/>
    <s v="CIVIL"/>
    <d v="2023-06-28T00:00:00"/>
    <d v="2023-07-07T19:03:00"/>
    <m/>
    <d v="2023-07-07T00:00:00"/>
    <n v="815"/>
    <n v="1925"/>
    <s v="61232780"/>
    <s v="61232780"/>
    <m/>
    <m/>
    <n v="22779374"/>
    <m/>
    <m/>
    <m/>
    <s v="SOLFIN"/>
    <s v="SOLFIN"/>
    <s v="CCMS"/>
    <n v="21343944"/>
    <n v="8596.91"/>
    <m/>
    <s v="N"/>
    <n v="4"/>
    <d v="2023-07-07T19:03:18"/>
    <s v="Y"/>
    <s v="Toxicologist"/>
    <s v="Public Law Children"/>
    <s v="Expert Disbursement"/>
    <s v="KC"/>
    <s v="Y"/>
    <n v="284.25"/>
    <n v="56.85"/>
    <x v="9"/>
    <s v="VALIDATED"/>
    <n v="1"/>
    <s v="01.11.80.308.6300.0000"/>
    <n v="284.25"/>
    <s v="11"/>
    <s v="6300"/>
    <n v="6393.55"/>
    <n v="284.25"/>
    <s v="CREDITOR"/>
    <n v="0"/>
    <n v="0"/>
    <n v="0"/>
    <n v="0"/>
    <n v="284.25"/>
  </r>
  <r>
    <n v="61232780"/>
    <s v="N"/>
    <n v="21346371"/>
    <s v="3000015401750002RC"/>
    <s v="CIVIL"/>
    <d v="2023-06-28T00:00:00"/>
    <d v="2023-07-07T19:34:21"/>
    <m/>
    <d v="2023-07-07T00:00:00"/>
    <n v="815"/>
    <n v="1925"/>
    <s v="61232780"/>
    <s v="61232780"/>
    <m/>
    <m/>
    <m/>
    <m/>
    <m/>
    <m/>
    <s v="SOLRECOUP"/>
    <s v="SOLRECOUP"/>
    <s v="POARECOUP"/>
    <n v="21346371"/>
    <n v="-456"/>
    <m/>
    <s v="Y"/>
    <n v="2"/>
    <d v="2023-07-07T19:34:22"/>
    <s v="N"/>
    <m/>
    <m/>
    <s v="Expert Disbursement"/>
    <m/>
    <s v="N"/>
    <n v="0"/>
    <n v="-76"/>
    <x v="9"/>
    <s v="VALIDATED"/>
    <n v="1"/>
    <s v="01.11.80.308.2013.0000"/>
    <n v="-76"/>
    <s v="11"/>
    <s v="2013"/>
    <n v="6393.55"/>
    <n v="-76"/>
    <s v="CREDITOR"/>
    <n v="0"/>
    <n v="0"/>
    <n v="-76"/>
    <n v="0"/>
    <n v="0"/>
  </r>
  <r>
    <n v="61232780"/>
    <s v="N"/>
    <n v="21346372"/>
    <s v="3000015401750004RC"/>
    <s v="CIVIL"/>
    <d v="2023-06-28T00:00:00"/>
    <d v="2023-07-07T19:34:21"/>
    <m/>
    <d v="2023-07-07T00:00:00"/>
    <n v="815"/>
    <n v="1925"/>
    <s v="61232780"/>
    <s v="61232780"/>
    <m/>
    <m/>
    <m/>
    <m/>
    <m/>
    <m/>
    <s v="SOLRECOUP"/>
    <s v="SOLRECOUP"/>
    <s v="POARECOUP"/>
    <n v="21346372"/>
    <n v="-21"/>
    <m/>
    <s v="Y"/>
    <n v="2"/>
    <d v="2023-07-07T19:34:22"/>
    <s v="N"/>
    <m/>
    <m/>
    <s v="Expert Disbursement"/>
    <m/>
    <s v="N"/>
    <n v="0"/>
    <n v="-3.5"/>
    <x v="9"/>
    <s v="VALIDATED"/>
    <n v="1"/>
    <s v="01.11.80.308.2013.0000"/>
    <n v="-3.5"/>
    <s v="11"/>
    <s v="2013"/>
    <n v="6393.55"/>
    <n v="-3.5"/>
    <s v="CREDITOR"/>
    <n v="0"/>
    <n v="0"/>
    <n v="-3.5"/>
    <n v="0"/>
    <n v="0"/>
  </r>
  <r>
    <n v="61232780"/>
    <s v="N"/>
    <n v="21346372"/>
    <s v="3000015401750004RC"/>
    <s v="CIVIL"/>
    <d v="2023-06-28T00:00:00"/>
    <d v="2023-07-07T19:34:21"/>
    <m/>
    <d v="2023-07-07T00:00:00"/>
    <n v="815"/>
    <n v="1925"/>
    <s v="61232780"/>
    <s v="61232780"/>
    <m/>
    <m/>
    <m/>
    <m/>
    <m/>
    <m/>
    <s v="SOLRECOUP"/>
    <s v="SOLRECOUP"/>
    <s v="POARECOUP"/>
    <n v="21346372"/>
    <n v="-21"/>
    <m/>
    <s v="Y"/>
    <n v="1"/>
    <d v="2023-07-07T19:34:22"/>
    <s v="N"/>
    <m/>
    <m/>
    <s v="Expert Disbursement"/>
    <m/>
    <s v="N"/>
    <n v="-17.5"/>
    <n v="0"/>
    <x v="9"/>
    <s v="VALIDATED"/>
    <n v="1"/>
    <s v="01.11.80.308.2013.0000"/>
    <n v="-17.5"/>
    <s v="11"/>
    <s v="2013"/>
    <n v="6393.55"/>
    <n v="-17.5"/>
    <s v="CREDITOR"/>
    <n v="0"/>
    <n v="0"/>
    <n v="-17.5"/>
    <n v="0"/>
    <n v="0"/>
  </r>
  <r>
    <n v="61232780"/>
    <s v="N"/>
    <n v="21346373"/>
    <s v="3000015401750003RC"/>
    <s v="CIVIL"/>
    <d v="2023-06-28T00:00:00"/>
    <d v="2023-07-07T19:34:21"/>
    <m/>
    <d v="2023-07-07T00:00:00"/>
    <n v="815"/>
    <n v="1925"/>
    <s v="61232780"/>
    <s v="61232780"/>
    <m/>
    <m/>
    <m/>
    <m/>
    <m/>
    <m/>
    <s v="SOLRECOUP"/>
    <s v="SOLRECOUP"/>
    <s v="POARECOUP"/>
    <n v="21346373"/>
    <n v="-341.1"/>
    <m/>
    <s v="Y"/>
    <n v="1"/>
    <d v="2023-07-07T19:34:22"/>
    <s v="N"/>
    <m/>
    <m/>
    <s v="Expert Disbursement"/>
    <m/>
    <s v="N"/>
    <n v="-284.25"/>
    <n v="0"/>
    <x v="9"/>
    <s v="VALIDATED"/>
    <n v="1"/>
    <s v="01.11.80.308.2013.0000"/>
    <n v="-284.25"/>
    <s v="11"/>
    <s v="2013"/>
    <n v="6393.55"/>
    <n v="-284.25"/>
    <s v="CREDITOR"/>
    <n v="0"/>
    <n v="0"/>
    <n v="-284.25"/>
    <n v="0"/>
    <n v="0"/>
  </r>
  <r>
    <n v="61232780"/>
    <s v="N"/>
    <n v="21346373"/>
    <s v="3000015401750003RC"/>
    <s v="CIVIL"/>
    <d v="2023-06-28T00:00:00"/>
    <d v="2023-07-07T19:34:21"/>
    <m/>
    <d v="2023-07-07T00:00:00"/>
    <n v="815"/>
    <n v="1925"/>
    <s v="61232780"/>
    <s v="61232780"/>
    <m/>
    <m/>
    <m/>
    <m/>
    <m/>
    <m/>
    <s v="SOLRECOUP"/>
    <s v="SOLRECOUP"/>
    <s v="POARECOUP"/>
    <n v="21346373"/>
    <n v="-341.1"/>
    <m/>
    <s v="Y"/>
    <n v="2"/>
    <d v="2023-07-07T19:34:22"/>
    <s v="N"/>
    <m/>
    <m/>
    <s v="Expert Disbursement"/>
    <m/>
    <s v="N"/>
    <n v="0"/>
    <n v="-56.85"/>
    <x v="9"/>
    <s v="VALIDATED"/>
    <n v="1"/>
    <s v="01.11.80.308.2013.0000"/>
    <n v="-56.85"/>
    <s v="11"/>
    <s v="2013"/>
    <n v="6393.55"/>
    <n v="-56.85"/>
    <s v="CREDITOR"/>
    <n v="0"/>
    <n v="0"/>
    <n v="-56.85"/>
    <n v="0"/>
    <n v="0"/>
  </r>
  <r>
    <n v="61232780"/>
    <s v="N"/>
    <n v="21346370"/>
    <s v="3000015401750001RC"/>
    <s v="CIVIL"/>
    <d v="2023-06-28T00:00:00"/>
    <d v="2023-07-07T19:34:21"/>
    <m/>
    <d v="2023-07-07T00:00:00"/>
    <n v="815"/>
    <n v="1925"/>
    <s v="61232780"/>
    <s v="61232780"/>
    <m/>
    <m/>
    <m/>
    <m/>
    <m/>
    <m/>
    <s v="SOLRECOUP"/>
    <s v="SOLRECOUP"/>
    <s v="POARECOUP"/>
    <n v="21346370"/>
    <n v="-432"/>
    <m/>
    <s v="Y"/>
    <n v="2"/>
    <d v="2023-07-07T19:34:22"/>
    <s v="N"/>
    <m/>
    <m/>
    <s v="Expert Disbursement"/>
    <m/>
    <s v="N"/>
    <n v="0"/>
    <n v="-72"/>
    <x v="9"/>
    <s v="VALIDATED"/>
    <n v="1"/>
    <s v="01.11.80.308.2013.0000"/>
    <n v="-72"/>
    <s v="11"/>
    <s v="2013"/>
    <n v="6393.55"/>
    <n v="-72"/>
    <s v="CREDITOR"/>
    <n v="0"/>
    <n v="0"/>
    <n v="-72"/>
    <n v="0"/>
    <n v="0"/>
  </r>
  <r>
    <n v="61232780"/>
    <s v="N"/>
    <n v="21346370"/>
    <s v="3000015401750001RC"/>
    <s v="CIVIL"/>
    <d v="2023-06-28T00:00:00"/>
    <d v="2023-07-07T19:34:21"/>
    <m/>
    <d v="2023-07-07T00:00:00"/>
    <n v="815"/>
    <n v="1925"/>
    <s v="61232780"/>
    <s v="61232780"/>
    <m/>
    <m/>
    <m/>
    <m/>
    <m/>
    <m/>
    <s v="SOLRECOUP"/>
    <s v="SOLRECOUP"/>
    <s v="POARECOUP"/>
    <n v="21346370"/>
    <n v="-432"/>
    <m/>
    <s v="Y"/>
    <n v="1"/>
    <d v="2023-07-07T19:34:22"/>
    <s v="N"/>
    <m/>
    <m/>
    <s v="Expert Disbursement"/>
    <m/>
    <s v="N"/>
    <n v="-360"/>
    <n v="0"/>
    <x v="9"/>
    <s v="VALIDATED"/>
    <n v="1"/>
    <s v="01.11.80.308.2013.0000"/>
    <n v="-360"/>
    <s v="11"/>
    <s v="2013"/>
    <n v="6393.55"/>
    <n v="-360"/>
    <s v="CREDITOR"/>
    <n v="0"/>
    <n v="0"/>
    <n v="-360"/>
    <n v="0"/>
    <n v="0"/>
  </r>
  <r>
    <n v="61232780"/>
    <s v="N"/>
    <n v="21346371"/>
    <s v="3000015401750002RC"/>
    <s v="CIVIL"/>
    <d v="2023-06-28T00:00:00"/>
    <d v="2023-07-07T19:34:21"/>
    <m/>
    <d v="2023-07-07T00:00:00"/>
    <n v="815"/>
    <n v="1925"/>
    <s v="61232780"/>
    <s v="61232780"/>
    <m/>
    <m/>
    <m/>
    <m/>
    <m/>
    <m/>
    <s v="SOLRECOUP"/>
    <s v="SOLRECOUP"/>
    <s v="POARECOUP"/>
    <n v="21346371"/>
    <n v="-456"/>
    <m/>
    <s v="Y"/>
    <n v="1"/>
    <d v="2023-07-07T19:34:22"/>
    <s v="N"/>
    <m/>
    <m/>
    <s v="Expert Disbursement"/>
    <m/>
    <s v="N"/>
    <n v="-380"/>
    <n v="0"/>
    <x v="9"/>
    <s v="VALIDATED"/>
    <n v="1"/>
    <s v="01.11.80.308.2013.0000"/>
    <n v="-380"/>
    <s v="11"/>
    <s v="2013"/>
    <n v="6393.55"/>
    <n v="-380"/>
    <s v="CREDITOR"/>
    <n v="0"/>
    <n v="0"/>
    <n v="-380"/>
    <n v="0"/>
    <n v="0"/>
  </r>
  <r>
    <n v="62333167"/>
    <s v="N"/>
    <n v="21324017"/>
    <s v="3000016319940003"/>
    <s v="CIVIL"/>
    <d v="2023-06-30T00:00:00"/>
    <d v="2023-07-03T19:05:56"/>
    <m/>
    <d v="2023-07-03T00:00:00"/>
    <n v="844"/>
    <n v="2102"/>
    <s v="62333167"/>
    <s v="62333167"/>
    <m/>
    <m/>
    <n v="22798112"/>
    <m/>
    <m/>
    <m/>
    <s v="SOLPOA"/>
    <s v="SOLPOA"/>
    <s v="CCMS"/>
    <n v="21324017"/>
    <n v="238.8"/>
    <m/>
    <s v="N"/>
    <n v="1"/>
    <d v="2023-07-03T19:06:00"/>
    <s v="N"/>
    <s v="Expert Cost"/>
    <s v="Expert Cost"/>
    <s v="Expert Disbursement"/>
    <s v="sarah millard"/>
    <s v="N"/>
    <n v="199"/>
    <n v="39.8"/>
    <x v="3"/>
    <s v="VALIDATED"/>
    <n v="1"/>
    <s v="01.11.80.308.2012.0000"/>
    <n v="199"/>
    <s v="11"/>
    <s v="2012"/>
    <n v="292.5"/>
    <n v="199"/>
    <s v="CREDITOR"/>
    <n v="199"/>
    <n v="0"/>
    <n v="0"/>
    <n v="0"/>
    <n v="0"/>
  </r>
  <r>
    <n v="55714822"/>
    <s v="N"/>
    <n v="21318951"/>
    <s v="3000013176220011"/>
    <s v="CIVIL"/>
    <d v="2023-06-14T00:00:00"/>
    <d v="2023-07-03T19:01:49"/>
    <m/>
    <d v="2023-07-03T00:00:00"/>
    <n v="844"/>
    <n v="2102"/>
    <s v="55714822"/>
    <s v="55714822"/>
    <m/>
    <m/>
    <n v="22692222"/>
    <m/>
    <m/>
    <m/>
    <s v="SOLPOA"/>
    <s v="SOLPOA"/>
    <s v="CCMS"/>
    <n v="21318951"/>
    <n v="93.5"/>
    <m/>
    <s v="N"/>
    <n v="1"/>
    <d v="2023-07-03T19:02:05"/>
    <s v="N"/>
    <s v="Expert Cost - Private Law Children"/>
    <s v="Expert Cost - Private Law Chil"/>
    <s v="Expert Disbursement"/>
    <s v="s e millard"/>
    <s v="N"/>
    <n v="93.5"/>
    <n v="0"/>
    <x v="3"/>
    <s v="VALIDATED"/>
    <n v="1"/>
    <s v="01.11.80.307.2012.0000"/>
    <n v="93.5"/>
    <s v="11"/>
    <s v="2012"/>
    <n v="292.5"/>
    <n v="93.5"/>
    <s v="CREDITOR"/>
    <n v="93.5"/>
    <n v="0"/>
    <n v="0"/>
    <n v="0"/>
    <n v="0"/>
  </r>
  <r>
    <n v="62412575"/>
    <s v="N"/>
    <n v="21322860"/>
    <s v="3000016385190004"/>
    <s v="CIVIL"/>
    <d v="2023-06-29T00:00:00"/>
    <d v="2023-07-03T19:05:36"/>
    <m/>
    <d v="2023-07-03T00:00:00"/>
    <n v="850"/>
    <n v="2314"/>
    <s v="62412575"/>
    <s v="62412575"/>
    <m/>
    <m/>
    <n v="22790944"/>
    <m/>
    <m/>
    <m/>
    <s v="SOLPOA"/>
    <s v="SOLPOA"/>
    <s v="CCMS"/>
    <n v="21322860"/>
    <n v="5"/>
    <m/>
    <s v="N"/>
    <n v="1"/>
    <d v="2023-07-03T19:05:40"/>
    <s v="N"/>
    <s v="Non Expert Disbursement"/>
    <s v="Non Expert Disbursement"/>
    <s v="Non Expert Disbursement"/>
    <s v="SEG"/>
    <s v="N"/>
    <n v="5"/>
    <n v="0"/>
    <x v="3"/>
    <s v="VALIDATED"/>
    <n v="1"/>
    <s v="01.11.80.307.2012.0000"/>
    <n v="5"/>
    <s v="11"/>
    <s v="2012"/>
    <n v="3235.73"/>
    <n v="5"/>
    <s v="CREDITOR"/>
    <n v="5"/>
    <n v="0"/>
    <n v="0"/>
    <n v="0"/>
    <n v="0"/>
  </r>
  <r>
    <n v="62412575"/>
    <s v="N"/>
    <n v="21321273"/>
    <s v="3000016385190001"/>
    <s v="CIVIL"/>
    <d v="2023-06-29T00:00:00"/>
    <d v="2023-07-03T19:05:17"/>
    <m/>
    <d v="2023-07-03T00:00:00"/>
    <n v="850"/>
    <n v="2314"/>
    <s v="62412575"/>
    <s v="62412575"/>
    <m/>
    <m/>
    <n v="22786378"/>
    <m/>
    <m/>
    <m/>
    <s v="SOLPOA"/>
    <s v="SOLPOA"/>
    <s v="CCMS"/>
    <n v="21321273"/>
    <n v="2298.9"/>
    <m/>
    <s v="N"/>
    <n v="1"/>
    <d v="2023-07-03T19:05:17"/>
    <s v="N"/>
    <s v="Expert Cost"/>
    <s v="Expert Cost"/>
    <s v="Expert Disbursement"/>
    <s v="SEG"/>
    <s v="N"/>
    <n v="2298.9"/>
    <n v="0"/>
    <x v="3"/>
    <s v="VALIDATED"/>
    <n v="1"/>
    <s v="01.11.80.307.2012.0000"/>
    <n v="2298.9"/>
    <s v="11"/>
    <s v="2012"/>
    <n v="3235.73"/>
    <n v="2298.9"/>
    <s v="CREDITOR"/>
    <n v="2298.9"/>
    <n v="0"/>
    <n v="0"/>
    <n v="0"/>
    <n v="0"/>
  </r>
  <r>
    <n v="61812042"/>
    <s v="N"/>
    <n v="21322318"/>
    <s v="3000015883520011"/>
    <s v="CIVIL"/>
    <d v="2023-06-29T00:00:00"/>
    <d v="2023-07-03T19:05:36"/>
    <m/>
    <d v="2023-07-03T00:00:00"/>
    <n v="850"/>
    <n v="2314"/>
    <s v="61812042"/>
    <s v="61812042"/>
    <m/>
    <m/>
    <n v="22789726"/>
    <m/>
    <m/>
    <m/>
    <s v="SOLPOA"/>
    <s v="SOLPOA"/>
    <s v="CCMS"/>
    <n v="21322318"/>
    <n v="53"/>
    <m/>
    <s v="N"/>
    <n v="1"/>
    <d v="2023-07-03T19:05:37"/>
    <s v="N"/>
    <s v="Non Expert Disbursement"/>
    <s v="Non Expert Disbursement"/>
    <s v="Non Expert Disbursement"/>
    <s v="SEG"/>
    <s v="N"/>
    <n v="53"/>
    <n v="0"/>
    <x v="3"/>
    <s v="VALIDATED"/>
    <n v="1"/>
    <s v="01.11.80.308.2012.0000"/>
    <n v="53"/>
    <s v="11"/>
    <s v="2012"/>
    <n v="3235.73"/>
    <n v="53"/>
    <s v="CREDITOR"/>
    <n v="53"/>
    <n v="0"/>
    <n v="0"/>
    <n v="0"/>
    <n v="0"/>
  </r>
  <r>
    <n v="62412575"/>
    <s v="N"/>
    <n v="21322668"/>
    <s v="3000016385190002"/>
    <s v="CIVIL"/>
    <d v="2023-06-29T00:00:00"/>
    <d v="2023-07-03T19:05:36"/>
    <m/>
    <d v="2023-07-03T00:00:00"/>
    <n v="850"/>
    <n v="2314"/>
    <s v="62412575"/>
    <s v="62412575"/>
    <m/>
    <m/>
    <n v="22789890"/>
    <m/>
    <m/>
    <m/>
    <s v="SOLPOA"/>
    <s v="SOLPOA"/>
    <s v="CCMS"/>
    <n v="21322668"/>
    <n v="167"/>
    <m/>
    <s v="N"/>
    <n v="1"/>
    <d v="2023-07-03T19:05:39"/>
    <s v="N"/>
    <s v="Non Expert Disbursement"/>
    <s v="Non Expert Disbursement"/>
    <s v="Non Expert Disbursement"/>
    <s v="SEG"/>
    <s v="N"/>
    <n v="167"/>
    <n v="0"/>
    <x v="3"/>
    <s v="VALIDATED"/>
    <n v="1"/>
    <s v="01.11.80.307.2012.0000"/>
    <n v="167"/>
    <s v="11"/>
    <s v="2012"/>
    <n v="3235.73"/>
    <n v="167"/>
    <s v="CREDITOR"/>
    <n v="167"/>
    <n v="0"/>
    <n v="0"/>
    <n v="0"/>
    <n v="0"/>
  </r>
  <r>
    <n v="62412575"/>
    <s v="N"/>
    <n v="21322784"/>
    <s v="3000016385190003"/>
    <s v="CIVIL"/>
    <d v="2023-06-29T00:00:00"/>
    <d v="2023-07-03T19:05:36"/>
    <m/>
    <d v="2023-07-03T00:00:00"/>
    <n v="850"/>
    <n v="2314"/>
    <s v="62412575"/>
    <s v="62412575"/>
    <m/>
    <m/>
    <n v="22790994"/>
    <m/>
    <m/>
    <m/>
    <s v="SOLPOA"/>
    <s v="SOLPOA"/>
    <s v="CCMS"/>
    <n v="21322784"/>
    <n v="30.78"/>
    <m/>
    <s v="N"/>
    <n v="1"/>
    <d v="2023-07-03T19:05:40"/>
    <s v="N"/>
    <s v="Non Expert Disbursement"/>
    <s v="Non Expert Disbursement"/>
    <s v="Non Expert Disbursement"/>
    <s v="SEG"/>
    <s v="N"/>
    <n v="25.65"/>
    <n v="5.13"/>
    <x v="3"/>
    <s v="VALIDATED"/>
    <n v="1"/>
    <s v="01.11.80.307.2012.0000"/>
    <n v="25.65"/>
    <s v="11"/>
    <s v="2012"/>
    <n v="3235.73"/>
    <n v="25.65"/>
    <s v="CREDITOR"/>
    <n v="25.65"/>
    <n v="0"/>
    <n v="0"/>
    <n v="0"/>
    <n v="0"/>
  </r>
  <r>
    <n v="62372654"/>
    <s v="N"/>
    <n v="21323082"/>
    <s v="3000016352470004"/>
    <s v="CIVIL"/>
    <d v="2023-06-29T00:00:00"/>
    <d v="2023-07-03T19:05:36"/>
    <m/>
    <d v="2023-07-03T00:00:00"/>
    <n v="850"/>
    <n v="2314"/>
    <s v="62372654"/>
    <s v="62372654"/>
    <m/>
    <m/>
    <n v="22793056"/>
    <m/>
    <m/>
    <m/>
    <s v="SOLPOA"/>
    <s v="SOLPOA"/>
    <s v="CCMS"/>
    <n v="21323082"/>
    <n v="580.8"/>
    <m/>
    <s v="N"/>
    <n v="1"/>
    <d v="2023-07-03T19:05:41"/>
    <s v="N"/>
    <s v="Expert Cost"/>
    <s v="Expert Cost"/>
    <s v="Expert Disbursement"/>
    <s v="Rhiannon Davies"/>
    <s v="N"/>
    <n v="484"/>
    <n v="96.8"/>
    <x v="3"/>
    <s v="VALIDATED"/>
    <n v="1"/>
    <s v="01.11.80.308.2012.0000"/>
    <n v="484"/>
    <s v="11"/>
    <s v="2012"/>
    <n v="3235.73"/>
    <n v="484"/>
    <s v="CREDITOR"/>
    <n v="484"/>
    <n v="0"/>
    <n v="0"/>
    <n v="0"/>
    <n v="0"/>
  </r>
  <r>
    <n v="60893194"/>
    <s v="N"/>
    <n v="21321934"/>
    <s v="3000015116250009"/>
    <s v="CIVIL"/>
    <d v="2023-06-29T00:00:00"/>
    <d v="2023-07-03T19:05:17"/>
    <m/>
    <d v="2023-07-03T00:00:00"/>
    <n v="850"/>
    <n v="2314"/>
    <s v="60893194"/>
    <s v="60893194"/>
    <m/>
    <m/>
    <n v="22786034"/>
    <m/>
    <m/>
    <m/>
    <s v="SOLPOA"/>
    <s v="SOLPOA"/>
    <s v="CCMS"/>
    <n v="21321934"/>
    <n v="202.18"/>
    <m/>
    <s v="N"/>
    <n v="1"/>
    <d v="2023-07-03T19:05:21"/>
    <s v="N"/>
    <s v="Expert Cost"/>
    <s v="Expert Cost"/>
    <s v="Expert Disbursement"/>
    <s v="SEG"/>
    <s v="N"/>
    <n v="202.18"/>
    <n v="0"/>
    <x v="3"/>
    <s v="VALIDATED"/>
    <n v="1"/>
    <s v="01.11.80.308.2012.0000"/>
    <n v="202.18"/>
    <s v="11"/>
    <s v="2012"/>
    <n v="3235.73"/>
    <n v="202.18"/>
    <s v="CREDITOR"/>
    <n v="202.18"/>
    <n v="0"/>
    <n v="0"/>
    <n v="0"/>
    <n v="0"/>
  </r>
  <r>
    <n v="10202101"/>
    <s v="N"/>
    <n v="21349882"/>
    <s v="3000006043800008"/>
    <s v="CIVIL"/>
    <d v="2023-06-02T00:00:00"/>
    <d v="2023-07-10T19:01:40"/>
    <m/>
    <d v="2023-07-10T00:00:00"/>
    <n v="855"/>
    <n v="2348"/>
    <s v="10202101"/>
    <s v="10202101"/>
    <m/>
    <m/>
    <n v="22603014"/>
    <m/>
    <m/>
    <m/>
    <s v="SOLFIN"/>
    <s v="SOLFIN"/>
    <s v="CCMS"/>
    <n v="21349882"/>
    <n v="4929.47"/>
    <m/>
    <s v="N"/>
    <n v="8"/>
    <d v="2023-07-10T19:02:01"/>
    <s v="Y"/>
    <s v="Preparation - drafting instructions"/>
    <s v="Prescribed Hourly Rates"/>
    <s v="Profit Cost"/>
    <s v="Samantha George"/>
    <s v="Y"/>
    <n v="16.47"/>
    <n v="3.29"/>
    <x v="2"/>
    <s v="VALIDATED"/>
    <n v="1"/>
    <s v="01.11.80.307.6100.0000"/>
    <n v="16.47"/>
    <s v="11"/>
    <s v="6100"/>
    <n v="1414.11"/>
    <n v="16.47"/>
    <s v="CREDITOR"/>
    <n v="0"/>
    <n v="0"/>
    <n v="0"/>
    <n v="0"/>
    <n v="16.47"/>
  </r>
  <r>
    <n v="10202101"/>
    <s v="N"/>
    <n v="21349882"/>
    <s v="3000006043800008"/>
    <s v="CIVIL"/>
    <d v="2023-06-02T00:00:00"/>
    <d v="2023-07-10T19:01:40"/>
    <m/>
    <d v="2023-07-10T00:00:00"/>
    <n v="855"/>
    <n v="2348"/>
    <s v="10202101"/>
    <s v="10202101"/>
    <m/>
    <m/>
    <n v="22603014"/>
    <m/>
    <m/>
    <m/>
    <s v="SOLFIN"/>
    <s v="SOLFIN"/>
    <s v="CCMS"/>
    <n v="21349882"/>
    <n v="4929.47"/>
    <m/>
    <s v="N"/>
    <n v="25"/>
    <d v="2023-07-10T19:02:01"/>
    <s v="Y"/>
    <s v="Other"/>
    <s v="Prescribed Hourly Rates"/>
    <s v="Non Expert Disbursement"/>
    <s v="Samantha George"/>
    <s v="Y"/>
    <n v="780"/>
    <n v="156"/>
    <x v="2"/>
    <s v="VALIDATED"/>
    <n v="1"/>
    <s v="01.11.80.307.6300.0000"/>
    <n v="780"/>
    <s v="11"/>
    <s v="6300"/>
    <n v="1414.11"/>
    <n v="780"/>
    <s v="CREDITOR"/>
    <n v="0"/>
    <n v="0"/>
    <n v="0"/>
    <n v="0"/>
    <n v="780"/>
  </r>
  <r>
    <n v="61853923"/>
    <s v="N"/>
    <n v="21318826"/>
    <s v="3000015800050005"/>
    <s v="CIVIL"/>
    <d v="2023-06-26T00:00:00"/>
    <d v="2023-07-03T19:01:49"/>
    <m/>
    <d v="2023-07-03T00:00:00"/>
    <n v="855"/>
    <n v="2348"/>
    <s v="61853923"/>
    <s v="61853923"/>
    <m/>
    <m/>
    <n v="22762982"/>
    <m/>
    <m/>
    <m/>
    <s v="SOLPOA"/>
    <s v="SOLPOA"/>
    <s v="CCMS"/>
    <n v="21318826"/>
    <n v="21"/>
    <m/>
    <s v="N"/>
    <n v="1"/>
    <d v="2023-07-03T19:02:03"/>
    <s v="N"/>
    <s v="Non Expert Disbursement - Domestic "/>
    <s v="Non Expert Disbursement - Dome"/>
    <s v="Non Expert Disbursement"/>
    <s v="Samantha George"/>
    <s v="N"/>
    <n v="21"/>
    <n v="0"/>
    <x v="3"/>
    <s v="VALIDATED"/>
    <n v="1"/>
    <s v="01.11.80.302.2012.0000"/>
    <n v="21"/>
    <s v="11"/>
    <s v="2012"/>
    <n v="1414.11"/>
    <n v="21"/>
    <s v="CREDITOR"/>
    <n v="21"/>
    <n v="0"/>
    <n v="0"/>
    <n v="0"/>
    <n v="0"/>
  </r>
  <r>
    <n v="10202101"/>
    <s v="N"/>
    <n v="21349882"/>
    <s v="3000006043800008"/>
    <s v="CIVIL"/>
    <d v="2023-06-02T00:00:00"/>
    <d v="2023-07-10T19:01:40"/>
    <m/>
    <d v="2023-07-10T00:00:00"/>
    <n v="855"/>
    <n v="2348"/>
    <s v="10202101"/>
    <s v="10202101"/>
    <m/>
    <m/>
    <n v="22603014"/>
    <m/>
    <m/>
    <m/>
    <s v="SOLFIN"/>
    <s v="SOLFIN"/>
    <s v="CCMS"/>
    <n v="21349882"/>
    <n v="4929.47"/>
    <m/>
    <s v="N"/>
    <n v="23"/>
    <d v="2023-07-10T19:02:01"/>
    <s v="Y"/>
    <s v="Other"/>
    <s v="Prescribed Hourly Rates"/>
    <s v="Non Expert Disbursement"/>
    <s v="Samantha George"/>
    <s v="Y"/>
    <n v="620"/>
    <n v="124"/>
    <x v="2"/>
    <s v="VALIDATED"/>
    <n v="1"/>
    <s v="01.11.80.307.6300.0000"/>
    <n v="620"/>
    <s v="11"/>
    <s v="6300"/>
    <n v="1414.11"/>
    <n v="620"/>
    <s v="CREDITOR"/>
    <n v="0"/>
    <n v="0"/>
    <n v="0"/>
    <n v="0"/>
    <n v="620"/>
  </r>
  <r>
    <n v="10202101"/>
    <s v="N"/>
    <n v="21349882"/>
    <s v="3000006043800008"/>
    <s v="CIVIL"/>
    <d v="2023-06-02T00:00:00"/>
    <d v="2023-07-10T19:01:40"/>
    <m/>
    <d v="2023-07-10T00:00:00"/>
    <n v="855"/>
    <n v="2348"/>
    <s v="10202101"/>
    <s v="10202101"/>
    <m/>
    <m/>
    <n v="22603014"/>
    <m/>
    <m/>
    <m/>
    <s v="SOLFIN"/>
    <s v="SOLFIN"/>
    <s v="CCMS"/>
    <n v="21349882"/>
    <n v="4929.47"/>
    <m/>
    <s v="N"/>
    <n v="5"/>
    <d v="2023-07-10T19:02:01"/>
    <s v="Y"/>
    <s v="Preparation - drafting pleadings"/>
    <s v="Prescribed Hourly Rates"/>
    <s v="Profit Cost"/>
    <s v="Samantha George"/>
    <s v="Y"/>
    <n v="10.98"/>
    <n v="2.2"/>
    <x v="2"/>
    <s v="VALIDATED"/>
    <n v="1"/>
    <s v="01.11.80.307.6100.0000"/>
    <n v="10.98"/>
    <s v="11"/>
    <s v="6100"/>
    <n v="1414.11"/>
    <n v="10.98"/>
    <s v="CREDITOR"/>
    <n v="0"/>
    <n v="0"/>
    <n v="0"/>
    <n v="0"/>
    <n v="10.98"/>
  </r>
  <r>
    <n v="10202101"/>
    <s v="N"/>
    <n v="21349882"/>
    <s v="3000006043800008"/>
    <s v="CIVIL"/>
    <d v="2023-06-02T00:00:00"/>
    <d v="2023-07-10T19:01:40"/>
    <m/>
    <d v="2023-07-10T00:00:00"/>
    <n v="855"/>
    <n v="2348"/>
    <s v="10202101"/>
    <s v="10202101"/>
    <m/>
    <m/>
    <n v="22603014"/>
    <m/>
    <m/>
    <m/>
    <s v="SOLFIN"/>
    <s v="SOLFIN"/>
    <s v="CCMS"/>
    <n v="21349882"/>
    <n v="4929.47"/>
    <m/>
    <s v="N"/>
    <n v="19"/>
    <d v="2023-07-10T19:02:01"/>
    <s v="Y"/>
    <s v="Attendance upon client"/>
    <s v="Prescribed Hourly Rates"/>
    <s v="Profit Cost"/>
    <s v="Samantha George"/>
    <s v="Y"/>
    <n v="10.98"/>
    <n v="2.2"/>
    <x v="2"/>
    <s v="VALIDATED"/>
    <n v="1"/>
    <s v="01.11.80.307.6100.0000"/>
    <n v="10.98"/>
    <s v="11"/>
    <s v="6100"/>
    <n v="1414.11"/>
    <n v="10.98"/>
    <s v="CREDITOR"/>
    <n v="0"/>
    <n v="0"/>
    <n v="0"/>
    <n v="0"/>
    <n v="10.98"/>
  </r>
  <r>
    <n v="10202101"/>
    <s v="N"/>
    <n v="21349882"/>
    <s v="3000006043800008"/>
    <s v="CIVIL"/>
    <d v="2023-06-02T00:00:00"/>
    <d v="2023-07-10T19:01:40"/>
    <m/>
    <d v="2023-07-10T00:00:00"/>
    <n v="855"/>
    <n v="2348"/>
    <s v="10202101"/>
    <s v="10202101"/>
    <m/>
    <m/>
    <n v="22603014"/>
    <m/>
    <m/>
    <m/>
    <s v="SOLFIN"/>
    <s v="SOLFIN"/>
    <s v="CCMS"/>
    <n v="21349882"/>
    <n v="4929.47"/>
    <m/>
    <s v="N"/>
    <n v="20"/>
    <d v="2023-07-10T19:02:01"/>
    <s v="Y"/>
    <s v="Attendance upon client"/>
    <s v="Prescribed Hourly Rates"/>
    <s v="Profit Cost"/>
    <s v="Samantha George"/>
    <s v="Y"/>
    <n v="32.94"/>
    <n v="6.59"/>
    <x v="2"/>
    <s v="VALIDATED"/>
    <n v="1"/>
    <s v="01.11.80.307.6100.0000"/>
    <n v="32.94"/>
    <s v="11"/>
    <s v="6100"/>
    <n v="1414.11"/>
    <n v="32.94"/>
    <s v="CREDITOR"/>
    <n v="0"/>
    <n v="0"/>
    <n v="0"/>
    <n v="0"/>
    <n v="32.94"/>
  </r>
  <r>
    <n v="10202101"/>
    <s v="N"/>
    <n v="21349882"/>
    <s v="3000006043800008"/>
    <s v="CIVIL"/>
    <d v="2023-06-02T00:00:00"/>
    <d v="2023-07-10T19:01:40"/>
    <m/>
    <d v="2023-07-10T00:00:00"/>
    <n v="855"/>
    <n v="2348"/>
    <s v="10202101"/>
    <s v="10202101"/>
    <m/>
    <m/>
    <n v="22603014"/>
    <m/>
    <m/>
    <m/>
    <s v="SOLFIN"/>
    <s v="SOLFIN"/>
    <s v="CCMS"/>
    <n v="21349882"/>
    <n v="4929.47"/>
    <m/>
    <s v="N"/>
    <n v="6"/>
    <d v="2023-07-10T19:02:01"/>
    <s v="Y"/>
    <s v="Attendance upon client"/>
    <s v="Prescribed Hourly Rates"/>
    <s v="Profit Cost"/>
    <s v="Estelle Crimmins"/>
    <s v="Y"/>
    <n v="10.98"/>
    <n v="2.2"/>
    <x v="2"/>
    <s v="VALIDATED"/>
    <n v="1"/>
    <s v="01.11.80.307.6100.0000"/>
    <n v="10.98"/>
    <s v="11"/>
    <s v="6100"/>
    <n v="1414.11"/>
    <n v="10.98"/>
    <s v="CREDITOR"/>
    <n v="0"/>
    <n v="0"/>
    <n v="0"/>
    <n v="0"/>
    <n v="10.98"/>
  </r>
  <r>
    <n v="10202101"/>
    <s v="N"/>
    <n v="21349882"/>
    <s v="3000006043800008"/>
    <s v="CIVIL"/>
    <d v="2023-06-02T00:00:00"/>
    <d v="2023-07-10T19:01:40"/>
    <m/>
    <d v="2023-07-10T00:00:00"/>
    <n v="855"/>
    <n v="2348"/>
    <s v="10202101"/>
    <s v="10202101"/>
    <m/>
    <m/>
    <n v="22603014"/>
    <m/>
    <m/>
    <m/>
    <s v="SOLFIN"/>
    <s v="SOLFIN"/>
    <s v="CCMS"/>
    <n v="21349882"/>
    <n v="4929.47"/>
    <m/>
    <s v="N"/>
    <n v="10"/>
    <d v="2023-07-10T19:02:01"/>
    <s v="Y"/>
    <s v="Preparation - drafting bill/claim f"/>
    <s v="Prescribed Hourly Rates"/>
    <s v="Profit Cost"/>
    <s v="Samantha George"/>
    <s v="Y"/>
    <n v="21.96"/>
    <n v="4.39"/>
    <x v="2"/>
    <s v="VALIDATED"/>
    <n v="1"/>
    <s v="01.11.80.307.6100.0000"/>
    <n v="21.96"/>
    <s v="11"/>
    <s v="6100"/>
    <n v="1414.11"/>
    <n v="21.96"/>
    <s v="CREDITOR"/>
    <n v="0"/>
    <n v="0"/>
    <n v="0"/>
    <n v="0"/>
    <n v="21.96"/>
  </r>
  <r>
    <n v="10202101"/>
    <s v="N"/>
    <n v="21349882"/>
    <s v="3000006043800008"/>
    <s v="CIVIL"/>
    <d v="2023-06-02T00:00:00"/>
    <d v="2023-07-10T19:01:40"/>
    <m/>
    <d v="2023-07-10T00:00:00"/>
    <n v="855"/>
    <n v="2348"/>
    <s v="10202101"/>
    <s v="10202101"/>
    <m/>
    <m/>
    <n v="22603014"/>
    <m/>
    <m/>
    <m/>
    <s v="SOLFIN"/>
    <s v="SOLFIN"/>
    <s v="CCMS"/>
    <n v="21349882"/>
    <n v="4929.47"/>
    <m/>
    <s v="N"/>
    <n v="3"/>
    <d v="2023-07-10T19:02:01"/>
    <s v="Y"/>
    <s v="Routine Letter Out"/>
    <s v="Prescribed Hourly Rates"/>
    <s v="Profit Cost"/>
    <s v="Samantha George"/>
    <s v="Y"/>
    <n v="637.2"/>
    <n v="127.44"/>
    <x v="2"/>
    <s v="VALIDATED"/>
    <n v="1"/>
    <s v="01.11.80.307.6100.0000"/>
    <n v="637.2"/>
    <s v="11"/>
    <s v="6100"/>
    <n v="1414.11"/>
    <n v="637.2"/>
    <s v="CREDITOR"/>
    <n v="0"/>
    <n v="0"/>
    <n v="0"/>
    <n v="0"/>
    <n v="637.2"/>
  </r>
  <r>
    <n v="10202101"/>
    <s v="N"/>
    <n v="21349882"/>
    <s v="3000006043800008"/>
    <s v="CIVIL"/>
    <d v="2023-06-02T00:00:00"/>
    <d v="2023-07-10T19:01:40"/>
    <m/>
    <d v="2023-07-10T00:00:00"/>
    <n v="855"/>
    <n v="2348"/>
    <s v="10202101"/>
    <s v="10202101"/>
    <m/>
    <m/>
    <n v="22603014"/>
    <m/>
    <m/>
    <m/>
    <s v="SOLFIN"/>
    <s v="SOLFIN"/>
    <s v="CCMS"/>
    <n v="21349882"/>
    <n v="4929.47"/>
    <m/>
    <s v="N"/>
    <n v="11"/>
    <d v="2023-07-10T19:02:01"/>
    <s v="Y"/>
    <s v="Routine Letter In"/>
    <s v="Prescribed Hourly Rates"/>
    <s v="Profit Cost"/>
    <s v="Samantha George"/>
    <s v="Y"/>
    <n v="191.7"/>
    <n v="38.34"/>
    <x v="2"/>
    <s v="VALIDATED"/>
    <n v="1"/>
    <s v="01.11.80.307.6100.0000"/>
    <n v="191.7"/>
    <s v="11"/>
    <s v="6100"/>
    <n v="1414.11"/>
    <n v="191.7"/>
    <s v="CREDITOR"/>
    <n v="0"/>
    <n v="0"/>
    <n v="0"/>
    <n v="0"/>
    <n v="191.7"/>
  </r>
  <r>
    <n v="10202101"/>
    <s v="N"/>
    <n v="21349882"/>
    <s v="3000006043800008"/>
    <s v="CIVIL"/>
    <d v="2023-06-02T00:00:00"/>
    <d v="2023-07-10T19:01:40"/>
    <m/>
    <d v="2023-07-10T00:00:00"/>
    <n v="855"/>
    <n v="2348"/>
    <s v="10202101"/>
    <s v="10202101"/>
    <m/>
    <m/>
    <n v="22603014"/>
    <m/>
    <m/>
    <m/>
    <s v="SOLFIN"/>
    <s v="SOLFIN"/>
    <s v="CCMS"/>
    <n v="21349882"/>
    <n v="4929.47"/>
    <m/>
    <s v="N"/>
    <n v="26"/>
    <d v="2023-07-10T19:02:01"/>
    <s v="Y"/>
    <s v="Medical Records"/>
    <s v="Prescribed Hourly Rates"/>
    <s v="Non Expert Disbursement"/>
    <s v="Samantha George"/>
    <s v="Y"/>
    <n v="50.4"/>
    <n v="0"/>
    <x v="2"/>
    <s v="VALIDATED"/>
    <n v="1"/>
    <s v="01.11.80.307.6300.0000"/>
    <n v="50.4"/>
    <s v="11"/>
    <s v="6300"/>
    <n v="1414.11"/>
    <n v="50.4"/>
    <s v="CREDITOR"/>
    <n v="0"/>
    <n v="0"/>
    <n v="0"/>
    <n v="0"/>
    <n v="50.4"/>
  </r>
  <r>
    <n v="10202101"/>
    <s v="N"/>
    <n v="21349882"/>
    <s v="3000006043800008"/>
    <s v="CIVIL"/>
    <d v="2023-06-02T00:00:00"/>
    <d v="2023-07-10T19:01:40"/>
    <m/>
    <d v="2023-07-10T00:00:00"/>
    <n v="855"/>
    <n v="2348"/>
    <s v="10202101"/>
    <s v="10202101"/>
    <m/>
    <m/>
    <n v="22603014"/>
    <m/>
    <m/>
    <m/>
    <s v="SOLFIN"/>
    <s v="SOLFIN"/>
    <s v="CCMS"/>
    <n v="21349882"/>
    <n v="4929.47"/>
    <m/>
    <s v="N"/>
    <n v="4"/>
    <d v="2023-07-10T19:02:01"/>
    <s v="Y"/>
    <s v="Attendance upon client"/>
    <s v="Prescribed Hourly Rates"/>
    <s v="Profit Cost"/>
    <s v="Samantha George"/>
    <s v="Y"/>
    <n v="21.96"/>
    <n v="4.39"/>
    <x v="2"/>
    <s v="VALIDATED"/>
    <n v="1"/>
    <s v="01.11.80.307.6100.0000"/>
    <n v="21.96"/>
    <s v="11"/>
    <s v="6100"/>
    <n v="1414.11"/>
    <n v="21.96"/>
    <s v="CREDITOR"/>
    <n v="0"/>
    <n v="0"/>
    <n v="0"/>
    <n v="0"/>
    <n v="21.96"/>
  </r>
  <r>
    <n v="10202101"/>
    <s v="N"/>
    <n v="21349882"/>
    <s v="3000006043800008"/>
    <s v="CIVIL"/>
    <d v="2023-06-02T00:00:00"/>
    <d v="2023-07-10T19:01:40"/>
    <m/>
    <d v="2023-07-10T00:00:00"/>
    <n v="855"/>
    <n v="2348"/>
    <s v="10202101"/>
    <s v="10202101"/>
    <m/>
    <m/>
    <n v="22603014"/>
    <m/>
    <m/>
    <m/>
    <s v="SOLFIN"/>
    <s v="SOLFIN"/>
    <s v="CCMS"/>
    <n v="21349882"/>
    <n v="4929.47"/>
    <m/>
    <s v="N"/>
    <n v="7"/>
    <d v="2023-07-10T19:02:01"/>
    <s v="Y"/>
    <s v="Attendance upon client"/>
    <s v="Prescribed Hourly Rates"/>
    <s v="Profit Cost"/>
    <s v="Estelle Crimmins"/>
    <s v="Y"/>
    <n v="10.98"/>
    <n v="2.2"/>
    <x v="2"/>
    <s v="VALIDATED"/>
    <n v="1"/>
    <s v="01.11.80.307.6100.0000"/>
    <n v="10.98"/>
    <s v="11"/>
    <s v="6100"/>
    <n v="1414.11"/>
    <n v="10.98"/>
    <s v="CREDITOR"/>
    <n v="0"/>
    <n v="0"/>
    <n v="0"/>
    <n v="0"/>
    <n v="10.98"/>
  </r>
  <r>
    <n v="10202101"/>
    <s v="N"/>
    <n v="21349882"/>
    <s v="3000006043800008"/>
    <s v="CIVIL"/>
    <d v="2023-06-02T00:00:00"/>
    <d v="2023-07-10T19:01:40"/>
    <m/>
    <d v="2023-07-10T00:00:00"/>
    <n v="855"/>
    <n v="2348"/>
    <s v="10202101"/>
    <s v="10202101"/>
    <m/>
    <m/>
    <n v="22603014"/>
    <m/>
    <m/>
    <m/>
    <s v="SOLFIN"/>
    <s v="SOLFIN"/>
    <s v="CCMS"/>
    <n v="21349882"/>
    <n v="4929.47"/>
    <m/>
    <s v="N"/>
    <n v="2"/>
    <d v="2023-07-10T19:02:01"/>
    <s v="Y"/>
    <s v="Report - Welfare report"/>
    <s v="Prescribed Hourly Rates"/>
    <s v="Profit Cost"/>
    <s v="Samantha George"/>
    <s v="Y"/>
    <n v="16.47"/>
    <n v="3.29"/>
    <x v="2"/>
    <s v="VALIDATED"/>
    <n v="1"/>
    <s v="01.11.80.307.6100.0000"/>
    <n v="16.47"/>
    <s v="11"/>
    <s v="6100"/>
    <n v="1414.11"/>
    <n v="16.47"/>
    <s v="CREDITOR"/>
    <n v="0"/>
    <n v="0"/>
    <n v="0"/>
    <n v="0"/>
    <n v="16.47"/>
  </r>
  <r>
    <n v="10202101"/>
    <s v="N"/>
    <n v="21349882"/>
    <s v="3000006043800008"/>
    <s v="CIVIL"/>
    <d v="2023-06-02T00:00:00"/>
    <d v="2023-07-10T19:01:40"/>
    <m/>
    <d v="2023-07-10T00:00:00"/>
    <n v="855"/>
    <n v="2348"/>
    <s v="10202101"/>
    <s v="10202101"/>
    <m/>
    <m/>
    <n v="22603014"/>
    <m/>
    <m/>
    <m/>
    <s v="SOLFIN"/>
    <s v="SOLFIN"/>
    <s v="CCMS"/>
    <n v="21349882"/>
    <n v="4929.47"/>
    <m/>
    <s v="N"/>
    <n v="17"/>
    <d v="2023-07-10T19:02:01"/>
    <s v="Y"/>
    <s v="Preparation - drafting pleadings"/>
    <s v="Prescribed Hourly Rates"/>
    <s v="Profit Cost"/>
    <s v="Samantha George"/>
    <s v="Y"/>
    <n v="21.96"/>
    <n v="4.39"/>
    <x v="2"/>
    <s v="VALIDATED"/>
    <n v="1"/>
    <s v="01.11.80.307.6100.0000"/>
    <n v="21.96"/>
    <s v="11"/>
    <s v="6100"/>
    <n v="1414.11"/>
    <n v="21.96"/>
    <s v="CREDITOR"/>
    <n v="0"/>
    <n v="0"/>
    <n v="0"/>
    <n v="0"/>
    <n v="21.96"/>
  </r>
  <r>
    <n v="10202101"/>
    <s v="N"/>
    <n v="21349882"/>
    <s v="3000006043800008"/>
    <s v="CIVIL"/>
    <d v="2023-06-02T00:00:00"/>
    <d v="2023-07-10T19:01:40"/>
    <m/>
    <d v="2023-07-10T00:00:00"/>
    <n v="855"/>
    <n v="2348"/>
    <s v="10202101"/>
    <s v="10202101"/>
    <m/>
    <m/>
    <n v="22603014"/>
    <m/>
    <m/>
    <m/>
    <s v="SOLFIN"/>
    <s v="SOLFIN"/>
    <s v="CCMS"/>
    <n v="21349882"/>
    <n v="4929.47"/>
    <m/>
    <s v="N"/>
    <n v="15"/>
    <d v="2023-07-10T19:02:01"/>
    <s v="Y"/>
    <s v="Report - other"/>
    <s v="Prescribed Hourly Rates"/>
    <s v="Profit Cost"/>
    <s v="Samantha George"/>
    <s v="Y"/>
    <n v="43.92"/>
    <n v="8.779999999999999"/>
    <x v="2"/>
    <s v="VALIDATED"/>
    <n v="1"/>
    <s v="01.11.80.307.6100.0000"/>
    <n v="43.92"/>
    <s v="11"/>
    <s v="6100"/>
    <n v="1414.11"/>
    <n v="43.92"/>
    <s v="CREDITOR"/>
    <n v="0"/>
    <n v="0"/>
    <n v="0"/>
    <n v="0"/>
    <n v="43.92"/>
  </r>
  <r>
    <n v="10202101"/>
    <s v="N"/>
    <n v="21349882"/>
    <s v="3000006043800008"/>
    <s v="CIVIL"/>
    <d v="2023-06-02T00:00:00"/>
    <d v="2023-07-10T19:01:40"/>
    <m/>
    <d v="2023-07-10T00:00:00"/>
    <n v="855"/>
    <n v="2348"/>
    <s v="10202101"/>
    <s v="10202101"/>
    <m/>
    <m/>
    <n v="22603014"/>
    <m/>
    <m/>
    <m/>
    <s v="SOLFIN"/>
    <s v="SOLFIN"/>
    <s v="CCMS"/>
    <n v="21349882"/>
    <n v="4929.47"/>
    <m/>
    <s v="N"/>
    <n v="29"/>
    <d v="2023-07-10T19:02:01"/>
    <s v="N"/>
    <s v="Level 3 Fixed Fee"/>
    <s v="Private Law Children"/>
    <s v="Profit Cost"/>
    <s v="Samantha George"/>
    <s v="N"/>
    <n v="0"/>
    <n v="0"/>
    <x v="2"/>
    <s v="VALIDATED"/>
    <n v="1"/>
    <s v="01.11.80.307.6100.0000"/>
    <n v="0"/>
    <s v="11"/>
    <s v="6100"/>
    <n v="1414.11"/>
    <n v="0"/>
    <s v="CREDITOR"/>
    <n v="0"/>
    <n v="0"/>
    <n v="0"/>
    <n v="0"/>
    <n v="0"/>
  </r>
  <r>
    <n v="10202101"/>
    <s v="N"/>
    <n v="21349882"/>
    <s v="3000006043800008"/>
    <s v="CIVIL"/>
    <d v="2023-06-02T00:00:00"/>
    <d v="2023-07-10T19:01:40"/>
    <m/>
    <d v="2023-07-10T00:00:00"/>
    <n v="855"/>
    <n v="2348"/>
    <s v="10202101"/>
    <s v="10202101"/>
    <m/>
    <m/>
    <n v="22603014"/>
    <m/>
    <m/>
    <m/>
    <s v="SOLFIN"/>
    <s v="SOLFIN"/>
    <s v="CCMS"/>
    <n v="21349882"/>
    <n v="4929.47"/>
    <m/>
    <s v="N"/>
    <n v="13"/>
    <d v="2023-07-10T19:02:01"/>
    <s v="Y"/>
    <s v="Attendance upon client"/>
    <s v="Prescribed Hourly Rates"/>
    <s v="Profit Cost"/>
    <s v="Estelle Crimmins"/>
    <s v="Y"/>
    <n v="21.96"/>
    <n v="4.39"/>
    <x v="2"/>
    <s v="VALIDATED"/>
    <n v="1"/>
    <s v="01.11.80.307.6100.0000"/>
    <n v="21.96"/>
    <s v="11"/>
    <s v="6100"/>
    <n v="1414.11"/>
    <n v="21.96"/>
    <s v="CREDITOR"/>
    <n v="0"/>
    <n v="0"/>
    <n v="0"/>
    <n v="0"/>
    <n v="21.96"/>
  </r>
  <r>
    <n v="10202101"/>
    <s v="N"/>
    <n v="21349882"/>
    <s v="3000006043800008"/>
    <s v="CIVIL"/>
    <d v="2023-06-02T00:00:00"/>
    <d v="2023-07-10T19:01:40"/>
    <m/>
    <d v="2023-07-10T00:00:00"/>
    <n v="855"/>
    <n v="2348"/>
    <s v="10202101"/>
    <s v="10202101"/>
    <m/>
    <m/>
    <n v="22603014"/>
    <m/>
    <m/>
    <m/>
    <s v="SOLFIN"/>
    <s v="SOLFIN"/>
    <s v="CCMS"/>
    <n v="21349882"/>
    <n v="4929.47"/>
    <m/>
    <s v="N"/>
    <n v="27"/>
    <d v="2023-07-10T19:02:01"/>
    <s v="Y"/>
    <s v="Hearing Unit 2.31 - 5.00 Hours"/>
    <s v="Private Law Children"/>
    <s v="Advocacy"/>
    <s v="Samantha George"/>
    <s v="Y"/>
    <n v="313.48"/>
    <n v="62.7"/>
    <x v="2"/>
    <s v="VALIDATED"/>
    <n v="1"/>
    <s v="01.11.80.307.6100.0000"/>
    <n v="313.48"/>
    <s v="11"/>
    <s v="6100"/>
    <n v="1414.11"/>
    <n v="313.48"/>
    <s v="CREDITOR"/>
    <n v="0"/>
    <n v="0"/>
    <n v="0"/>
    <n v="0"/>
    <n v="313.48"/>
  </r>
  <r>
    <n v="10202101"/>
    <s v="N"/>
    <n v="21349882"/>
    <s v="3000006043800008"/>
    <s v="CIVIL"/>
    <d v="2023-06-02T00:00:00"/>
    <d v="2023-07-10T19:01:40"/>
    <m/>
    <d v="2023-07-10T00:00:00"/>
    <n v="855"/>
    <n v="2348"/>
    <s v="10202101"/>
    <s v="10202101"/>
    <m/>
    <m/>
    <n v="22603014"/>
    <m/>
    <m/>
    <m/>
    <s v="SOLFIN"/>
    <s v="SOLFIN"/>
    <s v="CCMS"/>
    <n v="21349882"/>
    <n v="4929.47"/>
    <m/>
    <s v="N"/>
    <n v="1"/>
    <d v="2023-07-10T19:02:01"/>
    <s v="Y"/>
    <s v="Routine Telephone Call"/>
    <s v="Prescribed Hourly Rates"/>
    <s v="Profit Cost"/>
    <s v="Samantha George"/>
    <s v="Y"/>
    <n v="54"/>
    <n v="10.8"/>
    <x v="2"/>
    <s v="VALIDATED"/>
    <n v="1"/>
    <s v="01.11.80.307.6100.0000"/>
    <n v="54"/>
    <s v="11"/>
    <s v="6100"/>
    <n v="1414.11"/>
    <n v="54"/>
    <s v="CREDITOR"/>
    <n v="0"/>
    <n v="0"/>
    <n v="0"/>
    <n v="0"/>
    <n v="54"/>
  </r>
  <r>
    <n v="10202101"/>
    <s v="N"/>
    <n v="21349882"/>
    <s v="3000006043800008"/>
    <s v="CIVIL"/>
    <d v="2023-06-02T00:00:00"/>
    <d v="2023-07-10T19:01:40"/>
    <m/>
    <d v="2023-07-10T00:00:00"/>
    <n v="855"/>
    <n v="2348"/>
    <s v="10202101"/>
    <s v="10202101"/>
    <m/>
    <m/>
    <n v="22603014"/>
    <m/>
    <m/>
    <m/>
    <s v="SOLFIN"/>
    <s v="SOLFIN"/>
    <s v="CCMS"/>
    <n v="21349882"/>
    <n v="4929.47"/>
    <m/>
    <s v="N"/>
    <n v="16"/>
    <d v="2023-07-10T19:02:01"/>
    <s v="Y"/>
    <s v="Preparation - drafting instructions"/>
    <s v="Prescribed Hourly Rates"/>
    <s v="Profit Cost"/>
    <s v="Samantha George"/>
    <s v="Y"/>
    <n v="21.96"/>
    <n v="4.39"/>
    <x v="2"/>
    <s v="VALIDATED"/>
    <n v="1"/>
    <s v="01.11.80.307.6100.0000"/>
    <n v="21.96"/>
    <s v="11"/>
    <s v="6100"/>
    <n v="1414.11"/>
    <n v="21.96"/>
    <s v="CREDITOR"/>
    <n v="0"/>
    <n v="0"/>
    <n v="0"/>
    <n v="0"/>
    <n v="21.96"/>
  </r>
  <r>
    <n v="10202101"/>
    <s v="N"/>
    <n v="21349882"/>
    <s v="3000006043800008"/>
    <s v="CIVIL"/>
    <d v="2023-06-02T00:00:00"/>
    <d v="2023-07-10T19:01:40"/>
    <m/>
    <d v="2023-07-10T00:00:00"/>
    <n v="855"/>
    <n v="2348"/>
    <s v="10202101"/>
    <s v="10202101"/>
    <m/>
    <m/>
    <n v="22603014"/>
    <m/>
    <m/>
    <m/>
    <s v="SOLFIN"/>
    <s v="SOLFIN"/>
    <s v="CCMS"/>
    <n v="21349882"/>
    <n v="4929.47"/>
    <m/>
    <s v="N"/>
    <n v="28"/>
    <d v="2023-07-10T19:02:01"/>
    <s v="Y"/>
    <s v="Hearing Unit 2.31 - 5.00 Hours"/>
    <s v="Private Law Children"/>
    <s v="Advocacy"/>
    <s v="Samantha George"/>
    <s v="Y"/>
    <n v="313.48"/>
    <n v="62.7"/>
    <x v="2"/>
    <s v="VALIDATED"/>
    <n v="1"/>
    <s v="01.11.80.307.6100.0000"/>
    <n v="313.48"/>
    <s v="11"/>
    <s v="6100"/>
    <n v="1414.11"/>
    <n v="313.48"/>
    <s v="CREDITOR"/>
    <n v="0"/>
    <n v="0"/>
    <n v="0"/>
    <n v="0"/>
    <n v="313.48"/>
  </r>
  <r>
    <n v="10202101"/>
    <s v="N"/>
    <n v="21349882"/>
    <s v="3000006043800008"/>
    <s v="CIVIL"/>
    <d v="2023-06-02T00:00:00"/>
    <d v="2023-07-10T19:01:40"/>
    <m/>
    <d v="2023-07-10T00:00:00"/>
    <n v="855"/>
    <n v="2348"/>
    <s v="10202101"/>
    <s v="10202101"/>
    <m/>
    <m/>
    <n v="22603014"/>
    <m/>
    <m/>
    <m/>
    <s v="SOLFIN"/>
    <s v="SOLFIN"/>
    <s v="CCMS"/>
    <n v="21349882"/>
    <n v="4929.47"/>
    <m/>
    <s v="N"/>
    <n v="21"/>
    <d v="2023-07-10T19:02:01"/>
    <s v="Y"/>
    <s v="Attendance upon client"/>
    <s v="Prescribed Hourly Rates"/>
    <s v="Profit Cost"/>
    <s v="Estelle Crimmins"/>
    <s v="Y"/>
    <n v="10.98"/>
    <n v="2.2"/>
    <x v="2"/>
    <s v="VALIDATED"/>
    <n v="1"/>
    <s v="01.11.80.307.6100.0000"/>
    <n v="10.98"/>
    <s v="11"/>
    <s v="6100"/>
    <n v="1414.11"/>
    <n v="10.98"/>
    <s v="CREDITOR"/>
    <n v="0"/>
    <n v="0"/>
    <n v="0"/>
    <n v="0"/>
    <n v="10.98"/>
  </r>
  <r>
    <n v="10202101"/>
    <s v="N"/>
    <n v="21349882"/>
    <s v="3000006043800008"/>
    <s v="CIVIL"/>
    <d v="2023-06-02T00:00:00"/>
    <d v="2023-07-10T19:01:40"/>
    <m/>
    <d v="2023-07-10T00:00:00"/>
    <n v="855"/>
    <n v="2348"/>
    <s v="10202101"/>
    <s v="10202101"/>
    <m/>
    <m/>
    <n v="22603014"/>
    <m/>
    <m/>
    <m/>
    <s v="SOLFIN"/>
    <s v="SOLFIN"/>
    <s v="CCMS"/>
    <n v="21349882"/>
    <n v="4929.47"/>
    <m/>
    <s v="N"/>
    <n v="14"/>
    <d v="2023-07-10T19:02:01"/>
    <s v="Y"/>
    <s v="Attendance upon client"/>
    <s v="Prescribed Hourly Rates"/>
    <s v="Profit Cost"/>
    <s v="Samantha George"/>
    <s v="Y"/>
    <n v="38.43"/>
    <n v="7.69"/>
    <x v="2"/>
    <s v="VALIDATED"/>
    <n v="1"/>
    <s v="01.11.80.307.6100.0000"/>
    <n v="38.43"/>
    <s v="11"/>
    <s v="6100"/>
    <n v="1414.11"/>
    <n v="38.43"/>
    <s v="CREDITOR"/>
    <n v="0"/>
    <n v="0"/>
    <n v="0"/>
    <n v="0"/>
    <n v="38.43"/>
  </r>
  <r>
    <n v="10202101"/>
    <s v="N"/>
    <n v="21349882"/>
    <s v="3000006043800008"/>
    <s v="CIVIL"/>
    <d v="2023-06-02T00:00:00"/>
    <d v="2023-07-10T19:01:40"/>
    <m/>
    <d v="2023-07-10T00:00:00"/>
    <n v="855"/>
    <n v="2348"/>
    <s v="10202101"/>
    <s v="10202101"/>
    <m/>
    <m/>
    <n v="22603014"/>
    <m/>
    <m/>
    <m/>
    <s v="SOLFIN"/>
    <s v="SOLFIN"/>
    <s v="CCMS"/>
    <n v="21349882"/>
    <n v="4929.47"/>
    <m/>
    <s v="N"/>
    <n v="18"/>
    <d v="2023-07-10T19:02:01"/>
    <s v="Y"/>
    <s v="Report - other report"/>
    <s v="Prescribed Hourly Rates"/>
    <s v="Profit Cost"/>
    <s v="Samantha George"/>
    <s v="Y"/>
    <n v="21.96"/>
    <n v="4.39"/>
    <x v="2"/>
    <s v="VALIDATED"/>
    <n v="1"/>
    <s v="01.11.80.307.6100.0000"/>
    <n v="21.96"/>
    <s v="11"/>
    <s v="6100"/>
    <n v="1414.11"/>
    <n v="21.96"/>
    <s v="CREDITOR"/>
    <n v="0"/>
    <n v="0"/>
    <n v="0"/>
    <n v="0"/>
    <n v="21.96"/>
  </r>
  <r>
    <n v="10202101"/>
    <s v="N"/>
    <n v="21349882"/>
    <s v="3000006043800008"/>
    <s v="CIVIL"/>
    <d v="2023-06-02T00:00:00"/>
    <d v="2023-07-10T19:01:40"/>
    <m/>
    <d v="2023-07-10T00:00:00"/>
    <n v="855"/>
    <n v="2348"/>
    <s v="10202101"/>
    <s v="10202101"/>
    <m/>
    <m/>
    <n v="22603014"/>
    <m/>
    <m/>
    <m/>
    <s v="SOLFIN"/>
    <s v="SOLFIN"/>
    <s v="CCMS"/>
    <n v="21349882"/>
    <n v="4929.47"/>
    <m/>
    <s v="N"/>
    <n v="12"/>
    <d v="2023-07-10T19:02:01"/>
    <s v="Y"/>
    <s v="Attendance upon client"/>
    <s v="Prescribed Hourly Rates"/>
    <s v="Profit Cost"/>
    <s v="Samantha George"/>
    <s v="Y"/>
    <n v="10.98"/>
    <n v="2.2"/>
    <x v="2"/>
    <s v="VALIDATED"/>
    <n v="1"/>
    <s v="01.11.80.307.6100.0000"/>
    <n v="10.98"/>
    <s v="11"/>
    <s v="6100"/>
    <n v="1414.11"/>
    <n v="10.98"/>
    <s v="CREDITOR"/>
    <n v="0"/>
    <n v="0"/>
    <n v="0"/>
    <n v="0"/>
    <n v="10.98"/>
  </r>
  <r>
    <n v="10202101"/>
    <s v="N"/>
    <n v="21349882"/>
    <s v="3000006043800008"/>
    <s v="CIVIL"/>
    <d v="2023-06-02T00:00:00"/>
    <d v="2023-07-10T19:01:40"/>
    <m/>
    <d v="2023-07-10T00:00:00"/>
    <n v="855"/>
    <n v="2348"/>
    <s v="10202101"/>
    <s v="10202101"/>
    <m/>
    <m/>
    <n v="22603014"/>
    <m/>
    <m/>
    <m/>
    <s v="SOLFIN"/>
    <s v="SOLFIN"/>
    <s v="CCMS"/>
    <n v="21349882"/>
    <n v="4929.47"/>
    <m/>
    <s v="N"/>
    <n v="24"/>
    <d v="2023-07-10T19:02:01"/>
    <s v="Y"/>
    <s v="Court Fee"/>
    <s v="Prescribed Hourly Rates"/>
    <s v="Non Expert Disbursement"/>
    <s v="Samantha George"/>
    <s v="Y"/>
    <n v="215"/>
    <n v="0"/>
    <x v="2"/>
    <s v="VALIDATED"/>
    <n v="1"/>
    <s v="01.11.80.307.6300.0000"/>
    <n v="215"/>
    <s v="11"/>
    <s v="6300"/>
    <n v="1414.11"/>
    <n v="215"/>
    <s v="CREDITOR"/>
    <n v="0"/>
    <n v="0"/>
    <n v="0"/>
    <n v="0"/>
    <n v="215"/>
  </r>
  <r>
    <n v="10202101"/>
    <s v="N"/>
    <n v="21349882"/>
    <s v="3000006043800008"/>
    <s v="CIVIL"/>
    <d v="2023-06-02T00:00:00"/>
    <d v="2023-07-10T19:01:40"/>
    <m/>
    <d v="2023-07-10T00:00:00"/>
    <n v="855"/>
    <n v="2348"/>
    <s v="10202101"/>
    <s v="10202101"/>
    <m/>
    <m/>
    <n v="22603014"/>
    <m/>
    <m/>
    <m/>
    <s v="SOLFIN"/>
    <s v="SOLFIN"/>
    <s v="CCMS"/>
    <n v="21349882"/>
    <n v="4929.47"/>
    <m/>
    <s v="N"/>
    <n v="22"/>
    <d v="2023-07-10T19:02:01"/>
    <s v="Y"/>
    <s v="Other"/>
    <s v="Prescribed Hourly Rates"/>
    <s v="Non Expert Disbursement"/>
    <s v="Samantha George"/>
    <s v="Y"/>
    <n v="620"/>
    <n v="124"/>
    <x v="2"/>
    <s v="VALIDATED"/>
    <n v="1"/>
    <s v="01.11.80.307.6300.0000"/>
    <n v="620"/>
    <s v="11"/>
    <s v="6300"/>
    <n v="1414.11"/>
    <n v="620"/>
    <s v="CREDITOR"/>
    <n v="0"/>
    <n v="0"/>
    <n v="0"/>
    <n v="0"/>
    <n v="620"/>
  </r>
  <r>
    <n v="10202101"/>
    <s v="N"/>
    <n v="21349882"/>
    <s v="3000006043800008"/>
    <s v="CIVIL"/>
    <d v="2023-06-02T00:00:00"/>
    <d v="2023-07-10T19:01:40"/>
    <m/>
    <d v="2023-07-10T00:00:00"/>
    <n v="855"/>
    <n v="2348"/>
    <s v="10202101"/>
    <s v="10202101"/>
    <m/>
    <m/>
    <n v="22603014"/>
    <m/>
    <m/>
    <m/>
    <s v="SOLFIN"/>
    <s v="SOLFIN"/>
    <s v="CCMS"/>
    <n v="21349882"/>
    <n v="4929.47"/>
    <m/>
    <s v="N"/>
    <n v="9"/>
    <d v="2023-07-10T19:02:01"/>
    <s v="Y"/>
    <s v="Report - Welfare report"/>
    <s v="Prescribed Hourly Rates"/>
    <s v="Profit Cost"/>
    <s v="Samantha George"/>
    <s v="Y"/>
    <n v="10.98"/>
    <n v="2.2"/>
    <x v="2"/>
    <s v="VALIDATED"/>
    <n v="1"/>
    <s v="01.11.80.307.6100.0000"/>
    <n v="10.98"/>
    <s v="11"/>
    <s v="6100"/>
    <n v="1414.11"/>
    <n v="10.98"/>
    <s v="CREDITOR"/>
    <n v="0"/>
    <n v="0"/>
    <n v="0"/>
    <n v="0"/>
    <n v="10.98"/>
  </r>
  <r>
    <n v="10202101"/>
    <s v="N"/>
    <n v="21356479"/>
    <s v="3000006043800002RC"/>
    <s v="CIVIL"/>
    <d v="2023-06-02T00:00:00"/>
    <d v="2023-07-10T19:47:44"/>
    <m/>
    <d v="2023-07-10T00:00:00"/>
    <n v="855"/>
    <n v="2348"/>
    <s v="10202101"/>
    <s v="10202101"/>
    <m/>
    <m/>
    <m/>
    <m/>
    <m/>
    <m/>
    <s v="SOLRECOUP"/>
    <s v="SOLRECOUP"/>
    <s v="POARECOUP"/>
    <n v="21356479"/>
    <n v="-744"/>
    <m/>
    <s v="Y"/>
    <n v="1"/>
    <d v="2023-07-10T19:47:45"/>
    <s v="N"/>
    <m/>
    <m/>
    <s v="Expert Disbursement"/>
    <m/>
    <s v="N"/>
    <n v="-620"/>
    <n v="0"/>
    <x v="2"/>
    <s v="VALIDATED"/>
    <n v="1"/>
    <s v="01.11.80.307.2013.0000"/>
    <n v="-620"/>
    <s v="11"/>
    <s v="2013"/>
    <n v="1414.11"/>
    <n v="-620"/>
    <s v="CREDITOR"/>
    <n v="0"/>
    <n v="0"/>
    <n v="-620"/>
    <n v="0"/>
    <n v="0"/>
  </r>
  <r>
    <n v="10202101"/>
    <s v="N"/>
    <n v="21356479"/>
    <s v="3000006043800002RC"/>
    <s v="CIVIL"/>
    <d v="2023-06-02T00:00:00"/>
    <d v="2023-07-10T19:47:44"/>
    <m/>
    <d v="2023-07-10T00:00:00"/>
    <n v="855"/>
    <n v="2348"/>
    <s v="10202101"/>
    <s v="10202101"/>
    <m/>
    <m/>
    <m/>
    <m/>
    <m/>
    <m/>
    <s v="SOLRECOUP"/>
    <s v="SOLRECOUP"/>
    <s v="POARECOUP"/>
    <n v="21356479"/>
    <n v="-744"/>
    <m/>
    <s v="Y"/>
    <n v="2"/>
    <d v="2023-07-10T19:47:45"/>
    <s v="N"/>
    <m/>
    <m/>
    <s v="Expert Disbursement"/>
    <m/>
    <s v="N"/>
    <n v="0"/>
    <n v="-124"/>
    <x v="2"/>
    <s v="VALIDATED"/>
    <n v="1"/>
    <s v="01.11.80.307.2013.0000"/>
    <n v="-124"/>
    <s v="11"/>
    <s v="2013"/>
    <n v="1414.11"/>
    <n v="-124"/>
    <s v="CREDITOR"/>
    <n v="0"/>
    <n v="0"/>
    <n v="-124"/>
    <n v="0"/>
    <n v="0"/>
  </r>
  <r>
    <n v="10202101"/>
    <s v="N"/>
    <n v="21356480"/>
    <s v="3000006043800001RC"/>
    <s v="CIVIL"/>
    <d v="2023-06-02T00:00:00"/>
    <d v="2023-07-10T19:47:44"/>
    <m/>
    <d v="2023-07-10T00:00:00"/>
    <n v="855"/>
    <n v="2348"/>
    <s v="10202101"/>
    <s v="10202101"/>
    <m/>
    <m/>
    <m/>
    <m/>
    <m/>
    <m/>
    <s v="SOLRECOUP"/>
    <s v="SOLRECOUP"/>
    <s v="POARECOUP"/>
    <n v="21356480"/>
    <n v="-215"/>
    <m/>
    <s v="Y"/>
    <n v="1"/>
    <d v="2023-07-10T19:47:45"/>
    <s v="N"/>
    <m/>
    <m/>
    <s v="Non Expert Disbursement"/>
    <m/>
    <s v="N"/>
    <n v="-215"/>
    <n v="0"/>
    <x v="2"/>
    <s v="VALIDATED"/>
    <n v="1"/>
    <s v="01.11.80.307.2013.0000"/>
    <n v="-215"/>
    <s v="11"/>
    <s v="2013"/>
    <n v="1414.11"/>
    <n v="-215"/>
    <s v="CREDITOR"/>
    <n v="0"/>
    <n v="0"/>
    <n v="-215"/>
    <n v="0"/>
    <n v="0"/>
  </r>
  <r>
    <n v="10202101"/>
    <s v="N"/>
    <n v="21356480"/>
    <s v="3000006043800001RC"/>
    <s v="CIVIL"/>
    <d v="2023-06-02T00:00:00"/>
    <d v="2023-07-10T19:47:44"/>
    <m/>
    <d v="2023-07-10T00:00:00"/>
    <n v="855"/>
    <n v="2348"/>
    <s v="10202101"/>
    <s v="10202101"/>
    <m/>
    <m/>
    <m/>
    <m/>
    <m/>
    <m/>
    <s v="SOLRECOUP"/>
    <s v="SOLRECOUP"/>
    <s v="POARECOUP"/>
    <n v="21356480"/>
    <n v="-215"/>
    <m/>
    <s v="Y"/>
    <n v="2"/>
    <d v="2023-07-10T19:47:45"/>
    <s v="N"/>
    <m/>
    <m/>
    <s v="Non Expert Disbursement"/>
    <m/>
    <s v="N"/>
    <n v="0"/>
    <n v="0"/>
    <x v="2"/>
    <s v="VALIDATED"/>
    <n v="1"/>
    <s v="01.11.80.000.0000.0000"/>
    <n v="0"/>
    <s v="11"/>
    <s v="0000"/>
    <n v="1414.11"/>
    <n v="0"/>
    <s v="CREDITOR"/>
    <n v="0"/>
    <n v="0"/>
    <n v="0"/>
    <n v="0"/>
    <n v="0"/>
  </r>
  <r>
    <n v="10202101"/>
    <s v="N"/>
    <n v="21356481"/>
    <s v="3000006043800005RC"/>
    <s v="CIVIL"/>
    <d v="2023-06-02T00:00:00"/>
    <d v="2023-07-10T19:47:44"/>
    <m/>
    <d v="2023-07-10T00:00:00"/>
    <n v="855"/>
    <n v="2348"/>
    <s v="10202101"/>
    <s v="10202101"/>
    <m/>
    <m/>
    <m/>
    <m/>
    <m/>
    <m/>
    <s v="SOLRECOUP"/>
    <s v="SOLRECOUP"/>
    <s v="POARECOUP"/>
    <n v="21356481"/>
    <n v="-744"/>
    <m/>
    <s v="Y"/>
    <n v="1"/>
    <d v="2023-07-10T19:47:45"/>
    <s v="N"/>
    <m/>
    <m/>
    <s v="Expert Disbursement"/>
    <m/>
    <s v="N"/>
    <n v="-620"/>
    <n v="0"/>
    <x v="2"/>
    <s v="VALIDATED"/>
    <n v="1"/>
    <s v="01.11.80.307.2013.0000"/>
    <n v="-620"/>
    <s v="11"/>
    <s v="2013"/>
    <n v="1414.11"/>
    <n v="-620"/>
    <s v="CREDITOR"/>
    <n v="0"/>
    <n v="0"/>
    <n v="-620"/>
    <n v="0"/>
    <n v="0"/>
  </r>
  <r>
    <n v="10202101"/>
    <s v="N"/>
    <n v="21356481"/>
    <s v="3000006043800005RC"/>
    <s v="CIVIL"/>
    <d v="2023-06-02T00:00:00"/>
    <d v="2023-07-10T19:47:44"/>
    <m/>
    <d v="2023-07-10T00:00:00"/>
    <n v="855"/>
    <n v="2348"/>
    <s v="10202101"/>
    <s v="10202101"/>
    <m/>
    <m/>
    <m/>
    <m/>
    <m/>
    <m/>
    <s v="SOLRECOUP"/>
    <s v="SOLRECOUP"/>
    <s v="POARECOUP"/>
    <n v="21356481"/>
    <n v="-744"/>
    <m/>
    <s v="Y"/>
    <n v="2"/>
    <d v="2023-07-10T19:47:45"/>
    <s v="N"/>
    <m/>
    <m/>
    <s v="Expert Disbursement"/>
    <m/>
    <s v="N"/>
    <n v="0"/>
    <n v="-124"/>
    <x v="2"/>
    <s v="VALIDATED"/>
    <n v="1"/>
    <s v="01.11.80.307.2013.0000"/>
    <n v="-124"/>
    <s v="11"/>
    <s v="2013"/>
    <n v="1414.11"/>
    <n v="-124"/>
    <s v="CREDITOR"/>
    <n v="0"/>
    <n v="0"/>
    <n v="-124"/>
    <n v="0"/>
    <n v="0"/>
  </r>
  <r>
    <n v="10202101"/>
    <s v="N"/>
    <n v="21356482"/>
    <s v="3000006043800006RC"/>
    <s v="CIVIL"/>
    <d v="2023-06-02T00:00:00"/>
    <d v="2023-07-10T19:47:44"/>
    <m/>
    <d v="2023-07-10T00:00:00"/>
    <n v="855"/>
    <n v="2348"/>
    <s v="10202101"/>
    <s v="10202101"/>
    <m/>
    <m/>
    <m/>
    <m/>
    <m/>
    <m/>
    <s v="SOLRECOUP"/>
    <s v="SOLRECOUP"/>
    <s v="POARECOUP"/>
    <n v="21356482"/>
    <n v="-120"/>
    <m/>
    <s v="Y"/>
    <n v="1"/>
    <d v="2023-07-10T19:47:45"/>
    <s v="N"/>
    <m/>
    <m/>
    <s v="Expert Disbursement"/>
    <m/>
    <s v="N"/>
    <n v="-120"/>
    <n v="0"/>
    <x v="2"/>
    <s v="VALIDATED"/>
    <n v="1"/>
    <s v="01.11.80.307.2013.0000"/>
    <n v="-120"/>
    <s v="11"/>
    <s v="2013"/>
    <n v="1414.11"/>
    <n v="-120"/>
    <s v="CREDITOR"/>
    <n v="0"/>
    <n v="0"/>
    <n v="-120"/>
    <n v="0"/>
    <n v="0"/>
  </r>
  <r>
    <n v="10202101"/>
    <s v="N"/>
    <n v="21356482"/>
    <s v="3000006043800006RC"/>
    <s v="CIVIL"/>
    <d v="2023-06-02T00:00:00"/>
    <d v="2023-07-10T19:47:44"/>
    <m/>
    <d v="2023-07-10T00:00:00"/>
    <n v="855"/>
    <n v="2348"/>
    <s v="10202101"/>
    <s v="10202101"/>
    <m/>
    <m/>
    <m/>
    <m/>
    <m/>
    <m/>
    <s v="SOLRECOUP"/>
    <s v="SOLRECOUP"/>
    <s v="POARECOUP"/>
    <n v="21356482"/>
    <n v="-120"/>
    <m/>
    <s v="Y"/>
    <n v="2"/>
    <d v="2023-07-10T19:47:45"/>
    <s v="N"/>
    <m/>
    <m/>
    <s v="Expert Disbursement"/>
    <m/>
    <s v="N"/>
    <n v="0"/>
    <n v="0"/>
    <x v="2"/>
    <s v="VALIDATED"/>
    <n v="1"/>
    <s v="01.11.80.000.0000.0000"/>
    <n v="0"/>
    <s v="11"/>
    <s v="0000"/>
    <n v="1414.11"/>
    <n v="0"/>
    <s v="CREDITOR"/>
    <n v="0"/>
    <n v="0"/>
    <n v="0"/>
    <n v="0"/>
    <n v="0"/>
  </r>
  <r>
    <n v="10202101"/>
    <s v="N"/>
    <n v="21356483"/>
    <s v="3000006043800003RC"/>
    <s v="CIVIL"/>
    <d v="2023-06-02T00:00:00"/>
    <d v="2023-07-10T19:47:44"/>
    <m/>
    <d v="2023-07-10T00:00:00"/>
    <n v="855"/>
    <n v="2348"/>
    <s v="10202101"/>
    <s v="10202101"/>
    <m/>
    <m/>
    <m/>
    <m/>
    <m/>
    <m/>
    <s v="SOLRECOUP"/>
    <s v="SOLRECOUP"/>
    <s v="POARECOUP"/>
    <n v="21356483"/>
    <n v="-936"/>
    <m/>
    <s v="Y"/>
    <n v="1"/>
    <d v="2023-07-10T19:47:45"/>
    <s v="N"/>
    <m/>
    <m/>
    <s v="Expert Disbursement"/>
    <m/>
    <s v="N"/>
    <n v="-780"/>
    <n v="0"/>
    <x v="2"/>
    <s v="VALIDATED"/>
    <n v="1"/>
    <s v="01.11.80.307.2013.0000"/>
    <n v="-780"/>
    <s v="11"/>
    <s v="2013"/>
    <n v="1414.11"/>
    <n v="-780"/>
    <s v="CREDITOR"/>
    <n v="0"/>
    <n v="0"/>
    <n v="-780"/>
    <n v="0"/>
    <n v="0"/>
  </r>
  <r>
    <n v="10202101"/>
    <s v="N"/>
    <n v="21356483"/>
    <s v="3000006043800003RC"/>
    <s v="CIVIL"/>
    <d v="2023-06-02T00:00:00"/>
    <d v="2023-07-10T19:47:44"/>
    <m/>
    <d v="2023-07-10T00:00:00"/>
    <n v="855"/>
    <n v="2348"/>
    <s v="10202101"/>
    <s v="10202101"/>
    <m/>
    <m/>
    <m/>
    <m/>
    <m/>
    <m/>
    <s v="SOLRECOUP"/>
    <s v="SOLRECOUP"/>
    <s v="POARECOUP"/>
    <n v="21356483"/>
    <n v="-936"/>
    <m/>
    <s v="Y"/>
    <n v="2"/>
    <d v="2023-07-10T19:47:45"/>
    <s v="N"/>
    <m/>
    <m/>
    <s v="Expert Disbursement"/>
    <m/>
    <s v="N"/>
    <n v="0"/>
    <n v="-156"/>
    <x v="2"/>
    <s v="VALIDATED"/>
    <n v="1"/>
    <s v="01.11.80.307.2013.0000"/>
    <n v="-156"/>
    <s v="11"/>
    <s v="2013"/>
    <n v="1414.11"/>
    <n v="-156"/>
    <s v="CREDITOR"/>
    <n v="0"/>
    <n v="0"/>
    <n v="-156"/>
    <n v="0"/>
    <n v="0"/>
  </r>
  <r>
    <n v="62400214"/>
    <s v="N"/>
    <n v="21320614"/>
    <s v="3000016375090001"/>
    <s v="CIVIL"/>
    <d v="2023-06-28T00:00:00"/>
    <d v="2023-07-03T19:04:52"/>
    <m/>
    <d v="2023-07-03T00:00:00"/>
    <n v="863"/>
    <n v="2403"/>
    <s v="62400214"/>
    <s v="62400214"/>
    <m/>
    <m/>
    <n v="22781192"/>
    <m/>
    <m/>
    <m/>
    <s v="SOLPOA"/>
    <s v="SOLPOA"/>
    <s v="CCMS"/>
    <n v="21320614"/>
    <n v="127.2"/>
    <m/>
    <s v="N"/>
    <n v="1"/>
    <d v="2023-07-03T19:04:55"/>
    <s v="N"/>
    <s v="Expert Cost"/>
    <s v="Expert Cost"/>
    <s v="Expert Disbursement"/>
    <s v="Sharon Knox"/>
    <s v="N"/>
    <n v="106"/>
    <n v="21.2"/>
    <x v="3"/>
    <s v="VALIDATED"/>
    <n v="1"/>
    <s v="01.11.80.308.2012.0000"/>
    <n v="106"/>
    <s v="11"/>
    <s v="2012"/>
    <n v="164.5"/>
    <n v="106"/>
    <s v="CREDITOR"/>
    <n v="106"/>
    <n v="0"/>
    <n v="0"/>
    <n v="0"/>
    <n v="0"/>
  </r>
  <r>
    <n v="54248521"/>
    <s v="N"/>
    <n v="21321123"/>
    <s v="3000012924130011"/>
    <s v="CIVIL"/>
    <d v="2023-06-28T00:00:00"/>
    <d v="2023-07-03T19:04:52"/>
    <m/>
    <d v="2023-07-03T00:00:00"/>
    <n v="863"/>
    <n v="2403"/>
    <s v="54248521"/>
    <s v="54248521"/>
    <m/>
    <m/>
    <n v="22781530"/>
    <m/>
    <m/>
    <m/>
    <s v="SOLPOA"/>
    <s v="SOLPOA"/>
    <s v="CCMS"/>
    <n v="21321123"/>
    <n v="70.2"/>
    <m/>
    <s v="N"/>
    <n v="1"/>
    <d v="2023-07-03T19:04:58"/>
    <s v="N"/>
    <s v="Non Expert Disbursement"/>
    <s v="Non Expert Disbursement"/>
    <s v="Non Expert Disbursement"/>
    <s v="Sharon Knox"/>
    <s v="N"/>
    <n v="58.5"/>
    <n v="11.7"/>
    <x v="3"/>
    <s v="VALIDATED"/>
    <n v="1"/>
    <s v="01.11.80.307.2012.0000"/>
    <n v="58.5"/>
    <s v="11"/>
    <s v="2012"/>
    <n v="164.5"/>
    <n v="58.5"/>
    <s v="CREDITOR"/>
    <n v="58.5"/>
    <n v="0"/>
    <n v="0"/>
    <n v="0"/>
    <n v="0"/>
  </r>
  <r>
    <n v="62215563"/>
    <s v="N"/>
    <n v="21330567"/>
    <s v="3000016220650007"/>
    <s v="CIVIL"/>
    <d v="2023-06-16T00:00:00"/>
    <d v="2023-07-05T19:01:47"/>
    <m/>
    <d v="2023-07-05T00:00:00"/>
    <n v="865"/>
    <n v="2425"/>
    <s v="62215563"/>
    <s v="62215563"/>
    <m/>
    <m/>
    <n v="22707266"/>
    <m/>
    <m/>
    <m/>
    <s v="SOLINT"/>
    <s v="SOLINT"/>
    <s v="CCMS"/>
    <n v="21330567"/>
    <n v="0"/>
    <m/>
    <s v="N"/>
    <n v="1"/>
    <d v="2023-07-05T19:01:51"/>
    <s v="N"/>
    <s v="NIL BILL"/>
    <s v="Public Law Children"/>
    <s v="Profit Cost"/>
    <s v="sally perett"/>
    <s v="N"/>
    <n v="0"/>
    <n v="0"/>
    <x v="6"/>
    <s v="VALIDATED"/>
    <n v="1"/>
    <s v="01.11.80.308.6100.0000"/>
    <n v="0"/>
    <s v="11"/>
    <s v="6100"/>
    <n v="-437.6"/>
    <n v="0"/>
    <s v="DEBTOR"/>
    <n v="0"/>
    <n v="0"/>
    <n v="0"/>
    <n v="0"/>
    <n v="0"/>
  </r>
  <r>
    <n v="61871374"/>
    <s v="N"/>
    <n v="21337798"/>
    <s v="3000015913050004"/>
    <s v="CIVIL"/>
    <d v="2023-06-30T00:00:00"/>
    <d v="2023-07-06T19:21:01"/>
    <m/>
    <d v="2023-07-06T00:00:00"/>
    <n v="865"/>
    <n v="2425"/>
    <s v="61871374"/>
    <s v="61871374"/>
    <m/>
    <m/>
    <n v="22795974"/>
    <m/>
    <m/>
    <m/>
    <s v="SOLPOA"/>
    <s v="SOLPOA"/>
    <s v="CCMS"/>
    <n v="21337798"/>
    <n v="1056"/>
    <m/>
    <s v="N"/>
    <n v="1"/>
    <d v="2023-07-06T19:21:08"/>
    <s v="N"/>
    <s v="Level 3 Fixed Fee"/>
    <s v="Private Law Children"/>
    <s v="Profit Cost"/>
    <s v="Jodi Winter"/>
    <s v="N"/>
    <n v="880"/>
    <n v="176"/>
    <x v="4"/>
    <s v="VALIDATED"/>
    <n v="1"/>
    <s v="01.11.80.307.2012.0000"/>
    <n v="880"/>
    <s v="11"/>
    <s v="2012"/>
    <n v="-437.6"/>
    <n v="880"/>
    <s v="DEBTOR"/>
    <n v="0"/>
    <n v="0"/>
    <n v="0"/>
    <n v="0"/>
    <n v="0"/>
  </r>
  <r>
    <n v="62215563"/>
    <s v="N"/>
    <n v="21331138"/>
    <s v="3000016220650008"/>
    <s v="CIVIL"/>
    <d v="2023-06-29T00:00:00"/>
    <d v="2023-07-05T19:01:47"/>
    <m/>
    <d v="2023-07-05T00:00:00"/>
    <n v="865"/>
    <n v="2425"/>
    <s v="62215563"/>
    <s v="62215563"/>
    <m/>
    <m/>
    <n v="22793246"/>
    <m/>
    <m/>
    <m/>
    <s v="SOLINT"/>
    <s v="SOLINT"/>
    <s v="CCMS"/>
    <n v="21331138"/>
    <n v="0"/>
    <m/>
    <s v="N"/>
    <n v="1"/>
    <d v="2023-07-05T19:02:08"/>
    <s v="N"/>
    <s v="NIL BILL"/>
    <s v="Public Law Children"/>
    <s v="Profit Cost"/>
    <s v="sally perrett"/>
    <s v="N"/>
    <n v="0"/>
    <n v="0"/>
    <x v="6"/>
    <s v="VALIDATED"/>
    <n v="1"/>
    <s v="01.11.80.308.6100.0000"/>
    <n v="0"/>
    <s v="11"/>
    <s v="6100"/>
    <n v="-437.6"/>
    <n v="0"/>
    <s v="DEBTOR"/>
    <n v="0"/>
    <n v="0"/>
    <n v="0"/>
    <n v="0"/>
    <n v="0"/>
  </r>
  <r>
    <n v="62215563"/>
    <s v="N"/>
    <n v="21333798"/>
    <s v="3000016220650003RC"/>
    <s v="CIVIL"/>
    <d v="2023-06-16T00:00:00"/>
    <d v="2023-07-05T19:42:28"/>
    <m/>
    <d v="2023-07-05T00:00:00"/>
    <n v="865"/>
    <n v="2425"/>
    <s v="62215563"/>
    <s v="62215563"/>
    <m/>
    <m/>
    <m/>
    <m/>
    <m/>
    <m/>
    <s v="SOLRECOUP"/>
    <s v="SOLRECOUP"/>
    <s v="POARECOUP"/>
    <n v="21333798"/>
    <n v="-658.8"/>
    <m/>
    <s v="Y"/>
    <n v="1"/>
    <d v="2023-07-05T19:42:29"/>
    <s v="N"/>
    <m/>
    <m/>
    <s v="Expert Disbursement"/>
    <m/>
    <s v="N"/>
    <n v="-549"/>
    <n v="0"/>
    <x v="6"/>
    <s v="VALIDATED"/>
    <n v="1"/>
    <s v="01.11.80.308.2013.0000"/>
    <n v="-549"/>
    <s v="11"/>
    <s v="2013"/>
    <n v="-437.6"/>
    <n v="-549"/>
    <s v="DEBTOR"/>
    <n v="0"/>
    <n v="0"/>
    <n v="0"/>
    <n v="0"/>
    <n v="0"/>
  </r>
  <r>
    <n v="62215563"/>
    <s v="N"/>
    <n v="21333798"/>
    <s v="3000016220650003RC"/>
    <s v="CIVIL"/>
    <d v="2023-06-16T00:00:00"/>
    <d v="2023-07-05T19:42:28"/>
    <m/>
    <d v="2023-07-05T00:00:00"/>
    <n v="865"/>
    <n v="2425"/>
    <s v="62215563"/>
    <s v="62215563"/>
    <m/>
    <m/>
    <m/>
    <m/>
    <m/>
    <m/>
    <s v="SOLRECOUP"/>
    <s v="SOLRECOUP"/>
    <s v="POARECOUP"/>
    <n v="21333798"/>
    <n v="-658.8"/>
    <m/>
    <s v="Y"/>
    <n v="2"/>
    <d v="2023-07-05T19:42:29"/>
    <s v="N"/>
    <m/>
    <m/>
    <s v="Expert Disbursement"/>
    <m/>
    <s v="N"/>
    <n v="0"/>
    <n v="-109.8"/>
    <x v="6"/>
    <s v="VALIDATED"/>
    <n v="1"/>
    <s v="01.11.80.308.2013.0000"/>
    <n v="-109.8"/>
    <s v="11"/>
    <s v="2013"/>
    <n v="-437.6"/>
    <n v="-109.8"/>
    <s v="DEBTOR"/>
    <n v="0"/>
    <n v="0"/>
    <n v="0"/>
    <n v="0"/>
    <n v="0"/>
  </r>
  <r>
    <n v="62215563"/>
    <s v="N"/>
    <n v="21333799"/>
    <s v="3000016220650004RC"/>
    <s v="CIVIL"/>
    <d v="2023-06-16T00:00:00"/>
    <d v="2023-07-05T19:42:28"/>
    <m/>
    <d v="2023-07-05T00:00:00"/>
    <n v="865"/>
    <n v="2425"/>
    <s v="62215563"/>
    <s v="62215563"/>
    <m/>
    <m/>
    <m/>
    <m/>
    <m/>
    <m/>
    <s v="SOLRECOUP"/>
    <s v="SOLRECOUP"/>
    <s v="POARECOUP"/>
    <n v="21333799"/>
    <n v="-658.8"/>
    <m/>
    <s v="Y"/>
    <n v="1"/>
    <d v="2023-07-05T19:42:29"/>
    <s v="N"/>
    <m/>
    <m/>
    <s v="Expert Disbursement"/>
    <m/>
    <s v="N"/>
    <n v="-549"/>
    <n v="0"/>
    <x v="6"/>
    <s v="VALIDATED"/>
    <n v="1"/>
    <s v="01.11.80.308.2013.0000"/>
    <n v="-549"/>
    <s v="11"/>
    <s v="2013"/>
    <n v="-437.6"/>
    <n v="-549"/>
    <s v="DEBTOR"/>
    <n v="0"/>
    <n v="0"/>
    <n v="0"/>
    <n v="0"/>
    <n v="0"/>
  </r>
  <r>
    <n v="62215563"/>
    <s v="N"/>
    <n v="21333799"/>
    <s v="3000016220650004RC"/>
    <s v="CIVIL"/>
    <d v="2023-06-16T00:00:00"/>
    <d v="2023-07-05T19:42:28"/>
    <m/>
    <d v="2023-07-05T00:00:00"/>
    <n v="865"/>
    <n v="2425"/>
    <s v="62215563"/>
    <s v="62215563"/>
    <m/>
    <m/>
    <m/>
    <m/>
    <m/>
    <m/>
    <s v="SOLRECOUP"/>
    <s v="SOLRECOUP"/>
    <s v="POARECOUP"/>
    <n v="21333799"/>
    <n v="-658.8"/>
    <m/>
    <s v="Y"/>
    <n v="2"/>
    <d v="2023-07-05T19:42:29"/>
    <s v="N"/>
    <m/>
    <m/>
    <s v="Expert Disbursement"/>
    <m/>
    <s v="N"/>
    <n v="0"/>
    <n v="-109.8"/>
    <x v="6"/>
    <s v="VALIDATED"/>
    <n v="1"/>
    <s v="01.11.80.308.2013.0000"/>
    <n v="-109.8"/>
    <s v="11"/>
    <s v="2013"/>
    <n v="-437.6"/>
    <n v="-109.8"/>
    <s v="DEBTOR"/>
    <n v="0"/>
    <n v="0"/>
    <n v="0"/>
    <n v="0"/>
    <n v="0"/>
  </r>
  <r>
    <n v="60620379"/>
    <s v="N"/>
    <n v="21318419"/>
    <s v="3000014879160009"/>
    <s v="CIVIL"/>
    <d v="2023-06-23T00:00:00"/>
    <d v="2023-07-03T19:01:49"/>
    <m/>
    <d v="2023-07-03T00:00:00"/>
    <n v="871"/>
    <n v="2481"/>
    <s v="60620379"/>
    <s v="60620379"/>
    <m/>
    <m/>
    <n v="22750820"/>
    <m/>
    <m/>
    <m/>
    <s v="SOLPOA"/>
    <s v="SOLPOA"/>
    <s v="CCMS"/>
    <n v="21318419"/>
    <n v="1476"/>
    <m/>
    <s v="N"/>
    <n v="1"/>
    <d v="2023-07-03T19:01:55"/>
    <s v="N"/>
    <s v="Expert Cost - Private Law Children"/>
    <s v="Expert Cost - Private Law Chil"/>
    <s v="Expert Disbursement"/>
    <s v="Lucy Williams"/>
    <s v="N"/>
    <n v="1230"/>
    <n v="246"/>
    <x v="3"/>
    <s v="VALIDATED"/>
    <n v="1"/>
    <s v="01.11.80.307.2012.0000"/>
    <n v="1230"/>
    <s v="11"/>
    <s v="2012"/>
    <n v="5356.75"/>
    <n v="1230"/>
    <s v="CREDITOR"/>
    <n v="1230"/>
    <n v="0"/>
    <n v="0"/>
    <n v="0"/>
    <n v="0"/>
  </r>
  <r>
    <n v="62301136"/>
    <s v="N"/>
    <n v="21343484"/>
    <s v="3000016270520001"/>
    <s v="CIVIL"/>
    <d v="2023-06-29T00:00:00"/>
    <d v="2023-07-07T19:03:00"/>
    <m/>
    <d v="2023-07-07T00:00:00"/>
    <n v="871"/>
    <n v="2481"/>
    <s v="62301136"/>
    <s v="62301136"/>
    <m/>
    <m/>
    <n v="22791228"/>
    <m/>
    <m/>
    <m/>
    <s v="SOLPOA"/>
    <s v="SOLPOA"/>
    <s v="CCMS"/>
    <n v="21343484"/>
    <n v="232"/>
    <m/>
    <s v="N"/>
    <n v="1"/>
    <d v="2023-07-07T19:03:10"/>
    <s v="N"/>
    <s v="Non Expert Disbursement - Private L"/>
    <s v="Non Expert Disbursement - Priv"/>
    <s v="Non Expert Disbursement"/>
    <s v="Lucy Williams"/>
    <s v="N"/>
    <n v="232"/>
    <n v="0"/>
    <x v="9"/>
    <s v="VALIDATED"/>
    <n v="1"/>
    <s v="01.11.80.307.2012.0000"/>
    <n v="232"/>
    <s v="11"/>
    <s v="2012"/>
    <n v="5356.75"/>
    <n v="232"/>
    <s v="CREDITOR"/>
    <n v="232"/>
    <n v="0"/>
    <n v="0"/>
    <n v="0"/>
    <n v="0"/>
  </r>
  <r>
    <n v="62165670"/>
    <s v="N"/>
    <n v="21349801"/>
    <s v="3000016180820003"/>
    <s v="CIVIL"/>
    <d v="2023-06-29T00:00:00"/>
    <d v="2023-07-10T19:01:40"/>
    <m/>
    <d v="2023-07-10T00:00:00"/>
    <n v="871"/>
    <n v="2481"/>
    <s v="62165670"/>
    <s v="62165670"/>
    <m/>
    <m/>
    <n v="22788142"/>
    <m/>
    <m/>
    <m/>
    <s v="SOLPOA"/>
    <s v="SOLPOA"/>
    <s v="CCMS"/>
    <n v="21349801"/>
    <n v="912"/>
    <m/>
    <s v="N"/>
    <n v="1"/>
    <d v="2023-07-10T19:01:58"/>
    <s v="N"/>
    <s v="Non Expert Disbursement"/>
    <s v="Non Expert Disbursement"/>
    <s v="Non Expert Disbursement"/>
    <s v="RC"/>
    <s v="N"/>
    <n v="760"/>
    <n v="152"/>
    <x v="2"/>
    <s v="VALIDATED"/>
    <n v="1"/>
    <s v="01.11.80.305.2012.0000"/>
    <n v="760"/>
    <s v="11"/>
    <s v="2012"/>
    <n v="5356.75"/>
    <n v="760"/>
    <s v="CREDITOR"/>
    <n v="760"/>
    <n v="0"/>
    <n v="0"/>
    <n v="0"/>
    <n v="0"/>
  </r>
  <r>
    <n v="62008956"/>
    <s v="N"/>
    <n v="21338419"/>
    <s v="3000016051010006"/>
    <s v="CIVIL"/>
    <d v="2023-06-28T00:00:00"/>
    <d v="2023-07-06T19:21:01"/>
    <m/>
    <d v="2023-07-06T00:00:00"/>
    <n v="871"/>
    <n v="2481"/>
    <s v="62008956"/>
    <s v="62008956"/>
    <m/>
    <m/>
    <n v="22782446"/>
    <m/>
    <m/>
    <m/>
    <s v="SOLFIN"/>
    <s v="SOLFIN"/>
    <s v="CCMS"/>
    <n v="21338419"/>
    <n v="3543"/>
    <m/>
    <s v="N"/>
    <n v="3"/>
    <d v="2023-07-06T19:21:24"/>
    <s v="Y"/>
    <s v="Court Fee"/>
    <s v="Public Law Children"/>
    <s v="Non Expert Disbursement"/>
    <s v="Rachael Carter"/>
    <s v="Y"/>
    <n v="365"/>
    <n v="0"/>
    <x v="4"/>
    <s v="VALIDATED"/>
    <n v="1"/>
    <s v="01.11.80.308.6300.0000"/>
    <n v="365"/>
    <s v="11"/>
    <s v="6300"/>
    <n v="5356.75"/>
    <n v="365"/>
    <s v="CREDITOR"/>
    <n v="0"/>
    <n v="0"/>
    <n v="0"/>
    <n v="0"/>
    <n v="365"/>
  </r>
  <r>
    <n v="62008956"/>
    <s v="N"/>
    <n v="21338419"/>
    <s v="3000016051010006"/>
    <s v="CIVIL"/>
    <d v="2023-06-28T00:00:00"/>
    <d v="2023-07-06T19:21:01"/>
    <m/>
    <d v="2023-07-06T00:00:00"/>
    <n v="871"/>
    <n v="2481"/>
    <s v="62008956"/>
    <s v="62008956"/>
    <m/>
    <m/>
    <n v="22782446"/>
    <m/>
    <m/>
    <m/>
    <s v="SOLFIN"/>
    <s v="SOLFIN"/>
    <s v="CCMS"/>
    <n v="21338419"/>
    <n v="3543"/>
    <m/>
    <s v="N"/>
    <n v="2"/>
    <d v="2023-07-06T19:21:24"/>
    <s v="Y"/>
    <s v="Court Fee"/>
    <s v="Public Law Children"/>
    <s v="Non Expert Disbursement"/>
    <s v="Rachael Carter"/>
    <s v="Y"/>
    <n v="167"/>
    <n v="0"/>
    <x v="4"/>
    <s v="VALIDATED"/>
    <n v="1"/>
    <s v="01.11.80.308.6300.0000"/>
    <n v="167"/>
    <s v="11"/>
    <s v="6300"/>
    <n v="5356.75"/>
    <n v="167"/>
    <s v="CREDITOR"/>
    <n v="0"/>
    <n v="0"/>
    <n v="0"/>
    <n v="0"/>
    <n v="167"/>
  </r>
  <r>
    <n v="62417760"/>
    <s v="N"/>
    <n v="21323136"/>
    <s v="3000016388460001"/>
    <s v="CIVIL"/>
    <d v="2023-06-29T00:00:00"/>
    <d v="2023-07-03T19:05:36"/>
    <m/>
    <d v="2023-07-03T00:00:00"/>
    <n v="871"/>
    <n v="2481"/>
    <s v="62417760"/>
    <s v="62417760"/>
    <m/>
    <m/>
    <n v="22790198"/>
    <m/>
    <m/>
    <m/>
    <s v="SOLPOA"/>
    <s v="SOLPOA"/>
    <s v="CCMS"/>
    <n v="21323136"/>
    <n v="173.7"/>
    <m/>
    <s v="N"/>
    <n v="1"/>
    <d v="2023-07-03T19:05:41"/>
    <s v="N"/>
    <s v="Expert Cost"/>
    <s v="Expert Cost"/>
    <s v="Expert Disbursement"/>
    <s v="Lucy Williams"/>
    <s v="N"/>
    <n v="144.75"/>
    <n v="28.95"/>
    <x v="3"/>
    <s v="VALIDATED"/>
    <n v="1"/>
    <s v="01.11.80.308.2012.0000"/>
    <n v="144.75"/>
    <s v="11"/>
    <s v="2012"/>
    <n v="5356.75"/>
    <n v="144.75"/>
    <s v="CREDITOR"/>
    <n v="144.75"/>
    <n v="0"/>
    <n v="0"/>
    <n v="0"/>
    <n v="0"/>
  </r>
  <r>
    <n v="61614540"/>
    <s v="N"/>
    <n v="21320530"/>
    <s v="3000015720890006"/>
    <s v="CIVIL"/>
    <d v="2023-06-28T00:00:00"/>
    <d v="2023-07-03T19:04:52"/>
    <m/>
    <d v="2023-07-03T00:00:00"/>
    <n v="871"/>
    <n v="2481"/>
    <s v="61614540"/>
    <s v="61614540"/>
    <m/>
    <m/>
    <n v="22782368"/>
    <m/>
    <m/>
    <m/>
    <s v="SOLPOA"/>
    <s v="SOLPOA"/>
    <s v="CCMS"/>
    <n v="21320530"/>
    <n v="232.8"/>
    <m/>
    <s v="N"/>
    <n v="1"/>
    <d v="2023-07-03T19:04:54"/>
    <s v="N"/>
    <s v="Expert Cost"/>
    <s v="Expert Cost"/>
    <s v="Expert Disbursement"/>
    <s v="Lucy Williams"/>
    <s v="N"/>
    <n v="194"/>
    <n v="38.8"/>
    <x v="3"/>
    <s v="VALIDATED"/>
    <n v="1"/>
    <s v="01.11.80.308.2012.0000"/>
    <n v="194"/>
    <s v="11"/>
    <s v="2012"/>
    <n v="5356.75"/>
    <n v="194"/>
    <s v="CREDITOR"/>
    <n v="194"/>
    <n v="0"/>
    <n v="0"/>
    <n v="0"/>
    <n v="0"/>
  </r>
  <r>
    <n v="61614540"/>
    <s v="N"/>
    <n v="21318385"/>
    <s v="3000015720890005"/>
    <s v="CIVIL"/>
    <d v="2023-06-23T00:00:00"/>
    <d v="2023-07-03T19:01:49"/>
    <m/>
    <d v="2023-07-03T00:00:00"/>
    <n v="871"/>
    <n v="2481"/>
    <s v="61614540"/>
    <s v="61614540"/>
    <m/>
    <m/>
    <n v="22751350"/>
    <m/>
    <m/>
    <m/>
    <s v="SOLPOA"/>
    <s v="SOLPOA"/>
    <s v="CCMS"/>
    <n v="21318385"/>
    <n v="232.8"/>
    <m/>
    <s v="N"/>
    <n v="1"/>
    <d v="2023-07-03T19:01:54"/>
    <s v="N"/>
    <s v="Expert Cost"/>
    <s v="Expert Cost"/>
    <s v="Expert Disbursement"/>
    <s v="Lucy Williams"/>
    <s v="N"/>
    <n v="194"/>
    <n v="38.8"/>
    <x v="3"/>
    <s v="VALIDATED"/>
    <n v="1"/>
    <s v="01.11.80.308.2012.0000"/>
    <n v="194"/>
    <s v="11"/>
    <s v="2012"/>
    <n v="5356.75"/>
    <n v="194"/>
    <s v="CREDITOR"/>
    <n v="194"/>
    <n v="0"/>
    <n v="0"/>
    <n v="0"/>
    <n v="0"/>
  </r>
  <r>
    <n v="62008956"/>
    <s v="N"/>
    <n v="21338419"/>
    <s v="3000016051010006"/>
    <s v="CIVIL"/>
    <d v="2023-06-28T00:00:00"/>
    <d v="2023-07-06T19:21:01"/>
    <m/>
    <d v="2023-07-06T00:00:00"/>
    <n v="871"/>
    <n v="2481"/>
    <s v="62008956"/>
    <s v="62008956"/>
    <m/>
    <m/>
    <n v="22782446"/>
    <m/>
    <m/>
    <m/>
    <s v="SOLFIN"/>
    <s v="SOLFIN"/>
    <s v="CCMS"/>
    <n v="21338419"/>
    <n v="3543"/>
    <m/>
    <s v="N"/>
    <n v="4"/>
    <d v="2023-07-06T19:21:24"/>
    <s v="Y"/>
    <s v="Solicitors Fixed Fee"/>
    <s v="Public Law Children"/>
    <s v="Profit Cost"/>
    <s v="Rachael Carter"/>
    <s v="Y"/>
    <n v="2370"/>
    <n v="474"/>
    <x v="4"/>
    <s v="VALIDATED"/>
    <n v="1"/>
    <s v="01.11.80.308.6100.0000"/>
    <n v="2370"/>
    <s v="11"/>
    <s v="6100"/>
    <n v="5356.75"/>
    <n v="2370"/>
    <s v="CREDITOR"/>
    <n v="0"/>
    <n v="0"/>
    <n v="0"/>
    <n v="0"/>
    <n v="2370"/>
  </r>
  <r>
    <n v="60613608"/>
    <s v="N"/>
    <n v="21360765"/>
    <s v="3000014873520002"/>
    <s v="CIVIL"/>
    <d v="2023-06-28T00:00:00"/>
    <d v="2023-07-11T19:00:25"/>
    <m/>
    <d v="2023-07-11T00:00:00"/>
    <n v="871"/>
    <n v="2481"/>
    <s v="60613608"/>
    <s v="60613608"/>
    <m/>
    <m/>
    <n v="22778182"/>
    <m/>
    <m/>
    <m/>
    <s v="SOLFIN"/>
    <s v="SOLFIN"/>
    <s v="CCMS"/>
    <n v="21360765"/>
    <n v="0"/>
    <m/>
    <s v="N"/>
    <n v="1"/>
    <d v="2023-07-11T19:00:33"/>
    <s v="N"/>
    <s v="NIL BILL"/>
    <s v="Private Law Children"/>
    <s v="Profit Cost"/>
    <s v="RC"/>
    <s v="N"/>
    <n v="0"/>
    <n v="0"/>
    <x v="7"/>
    <s v="VALIDATED"/>
    <n v="1"/>
    <s v="01.11.80.307.6100.0000"/>
    <n v="0"/>
    <s v="11"/>
    <s v="6100"/>
    <n v="5356.75"/>
    <n v="0"/>
    <s v="CREDITOR"/>
    <n v="0"/>
    <n v="0"/>
    <n v="0"/>
    <n v="0"/>
    <n v="0"/>
  </r>
  <r>
    <n v="62384468"/>
    <s v="N"/>
    <n v="21349540"/>
    <s v="3000016358560001"/>
    <s v="CIVIL"/>
    <d v="2023-06-28T00:00:00"/>
    <d v="2023-07-10T19:01:40"/>
    <m/>
    <d v="2023-07-10T00:00:00"/>
    <n v="871"/>
    <n v="2481"/>
    <s v="62384468"/>
    <s v="62384468"/>
    <m/>
    <m/>
    <n v="22778718"/>
    <m/>
    <m/>
    <m/>
    <s v="SOLPOA"/>
    <s v="SOLPOA"/>
    <s v="CCMS"/>
    <n v="21349540"/>
    <n v="232"/>
    <m/>
    <s v="N"/>
    <n v="1"/>
    <d v="2023-07-10T19:01:53"/>
    <s v="N"/>
    <s v="Non Expert Disbursement - Private L"/>
    <s v="Non Expert Disbursement - Priv"/>
    <s v="Non Expert Disbursement"/>
    <s v="Rachael Carter"/>
    <s v="N"/>
    <n v="232"/>
    <n v="0"/>
    <x v="2"/>
    <s v="VALIDATED"/>
    <n v="1"/>
    <s v="01.11.80.307.2012.0000"/>
    <n v="232"/>
    <s v="11"/>
    <s v="2012"/>
    <n v="5356.75"/>
    <n v="232"/>
    <s v="CREDITOR"/>
    <n v="232"/>
    <n v="0"/>
    <n v="0"/>
    <n v="0"/>
    <n v="0"/>
  </r>
  <r>
    <n v="62008956"/>
    <s v="N"/>
    <n v="21338419"/>
    <s v="3000016051010006"/>
    <s v="CIVIL"/>
    <d v="2023-06-28T00:00:00"/>
    <d v="2023-07-06T19:21:01"/>
    <m/>
    <d v="2023-07-06T00:00:00"/>
    <n v="871"/>
    <n v="2481"/>
    <s v="62008956"/>
    <s v="62008956"/>
    <m/>
    <m/>
    <n v="22782446"/>
    <m/>
    <m/>
    <m/>
    <s v="SOLFIN"/>
    <s v="SOLFIN"/>
    <s v="CCMS"/>
    <n v="21338419"/>
    <n v="3543"/>
    <m/>
    <s v="N"/>
    <n v="1"/>
    <d v="2023-07-06T19:21:24"/>
    <s v="Y"/>
    <s v="Court Fee"/>
    <s v="Public Law Children"/>
    <s v="Non Expert Disbursement"/>
    <s v="Rachael Carter"/>
    <s v="Y"/>
    <n v="167"/>
    <n v="0"/>
    <x v="4"/>
    <s v="VALIDATED"/>
    <n v="1"/>
    <s v="01.11.80.308.6300.0000"/>
    <n v="167"/>
    <s v="11"/>
    <s v="6300"/>
    <n v="5356.75"/>
    <n v="167"/>
    <s v="CREDITOR"/>
    <n v="0"/>
    <n v="0"/>
    <n v="0"/>
    <n v="0"/>
    <n v="167"/>
  </r>
  <r>
    <n v="62008956"/>
    <s v="N"/>
    <n v="21339964"/>
    <s v="3000016051010003RC"/>
    <s v="CIVIL"/>
    <d v="2023-06-28T00:00:00"/>
    <d v="2023-07-06T19:54:22"/>
    <m/>
    <d v="2023-07-06T00:00:00"/>
    <n v="871"/>
    <n v="2481"/>
    <s v="62008956"/>
    <s v="62008956"/>
    <m/>
    <m/>
    <m/>
    <m/>
    <m/>
    <m/>
    <s v="SOLRECOUP"/>
    <s v="SOLRECOUP"/>
    <s v="POARECOUP"/>
    <n v="21339964"/>
    <n v="-167"/>
    <m/>
    <s v="Y"/>
    <n v="1"/>
    <d v="2023-07-06T19:54:23"/>
    <s v="N"/>
    <m/>
    <m/>
    <s v="Non Expert Disbursement"/>
    <m/>
    <s v="N"/>
    <n v="-167"/>
    <n v="0"/>
    <x v="4"/>
    <s v="VALIDATED"/>
    <n v="1"/>
    <s v="01.11.80.308.2013.0000"/>
    <n v="-167"/>
    <s v="11"/>
    <s v="2013"/>
    <n v="5356.75"/>
    <n v="-167"/>
    <s v="CREDITOR"/>
    <n v="0"/>
    <n v="0"/>
    <n v="-167"/>
    <n v="0"/>
    <n v="0"/>
  </r>
  <r>
    <n v="62008956"/>
    <s v="N"/>
    <n v="21339964"/>
    <s v="3000016051010003RC"/>
    <s v="CIVIL"/>
    <d v="2023-06-28T00:00:00"/>
    <d v="2023-07-06T19:54:22"/>
    <m/>
    <d v="2023-07-06T00:00:00"/>
    <n v="871"/>
    <n v="2481"/>
    <s v="62008956"/>
    <s v="62008956"/>
    <m/>
    <m/>
    <m/>
    <m/>
    <m/>
    <m/>
    <s v="SOLRECOUP"/>
    <s v="SOLRECOUP"/>
    <s v="POARECOUP"/>
    <n v="21339964"/>
    <n v="-167"/>
    <m/>
    <s v="Y"/>
    <n v="2"/>
    <d v="2023-07-06T19:54:23"/>
    <s v="N"/>
    <m/>
    <m/>
    <s v="Non Expert Disbursement"/>
    <m/>
    <s v="N"/>
    <n v="0"/>
    <n v="0"/>
    <x v="4"/>
    <s v="VALIDATED"/>
    <n v="1"/>
    <s v="01.11.80.000.0000.0000"/>
    <n v="0"/>
    <s v="11"/>
    <s v="0000"/>
    <n v="5356.75"/>
    <n v="0"/>
    <s v="CREDITOR"/>
    <n v="0"/>
    <n v="0"/>
    <n v="0"/>
    <n v="0"/>
    <n v="0"/>
  </r>
  <r>
    <n v="62008956"/>
    <s v="N"/>
    <n v="21339965"/>
    <s v="3000016051010001RC"/>
    <s v="CIVIL"/>
    <d v="2023-06-28T00:00:00"/>
    <d v="2023-07-06T19:54:22"/>
    <m/>
    <d v="2023-07-06T00:00:00"/>
    <n v="871"/>
    <n v="2481"/>
    <s v="62008956"/>
    <s v="62008956"/>
    <m/>
    <m/>
    <m/>
    <m/>
    <m/>
    <m/>
    <s v="SOLRECOUP"/>
    <s v="SOLRECOUP"/>
    <s v="POARECOUP"/>
    <n v="21339965"/>
    <n v="-365"/>
    <m/>
    <s v="Y"/>
    <n v="1"/>
    <d v="2023-07-06T19:54:23"/>
    <s v="N"/>
    <m/>
    <m/>
    <s v="Non Expert Disbursement"/>
    <m/>
    <s v="N"/>
    <n v="-365"/>
    <n v="0"/>
    <x v="4"/>
    <s v="VALIDATED"/>
    <n v="1"/>
    <s v="01.11.80.308.2013.0000"/>
    <n v="-365"/>
    <s v="11"/>
    <s v="2013"/>
    <n v="5356.75"/>
    <n v="-365"/>
    <s v="CREDITOR"/>
    <n v="0"/>
    <n v="0"/>
    <n v="-365"/>
    <n v="0"/>
    <n v="0"/>
  </r>
  <r>
    <n v="62008956"/>
    <s v="N"/>
    <n v="21339965"/>
    <s v="3000016051010001RC"/>
    <s v="CIVIL"/>
    <d v="2023-06-28T00:00:00"/>
    <d v="2023-07-06T19:54:22"/>
    <m/>
    <d v="2023-07-06T00:00:00"/>
    <n v="871"/>
    <n v="2481"/>
    <s v="62008956"/>
    <s v="62008956"/>
    <m/>
    <m/>
    <m/>
    <m/>
    <m/>
    <m/>
    <s v="SOLRECOUP"/>
    <s v="SOLRECOUP"/>
    <s v="POARECOUP"/>
    <n v="21339965"/>
    <n v="-365"/>
    <m/>
    <s v="Y"/>
    <n v="2"/>
    <d v="2023-07-06T19:54:23"/>
    <s v="N"/>
    <m/>
    <m/>
    <s v="Non Expert Disbursement"/>
    <m/>
    <s v="N"/>
    <n v="0"/>
    <n v="0"/>
    <x v="4"/>
    <s v="VALIDATED"/>
    <n v="1"/>
    <s v="01.11.80.000.0000.0000"/>
    <n v="0"/>
    <s v="11"/>
    <s v="0000"/>
    <n v="5356.75"/>
    <n v="0"/>
    <s v="CREDITOR"/>
    <n v="0"/>
    <n v="0"/>
    <n v="0"/>
    <n v="0"/>
    <n v="0"/>
  </r>
  <r>
    <n v="62008956"/>
    <s v="N"/>
    <n v="21339966"/>
    <s v="3000016051010002RC"/>
    <s v="CIVIL"/>
    <d v="2023-06-28T00:00:00"/>
    <d v="2023-07-06T19:54:22"/>
    <m/>
    <d v="2023-07-06T00:00:00"/>
    <n v="871"/>
    <n v="2481"/>
    <s v="62008956"/>
    <s v="62008956"/>
    <m/>
    <m/>
    <m/>
    <m/>
    <m/>
    <m/>
    <s v="SOLRECOUP"/>
    <s v="SOLRECOUP"/>
    <s v="POARECOUP"/>
    <n v="21339966"/>
    <n v="-167"/>
    <m/>
    <s v="Y"/>
    <n v="1"/>
    <d v="2023-07-06T19:54:23"/>
    <s v="N"/>
    <m/>
    <m/>
    <s v="Non Expert Disbursement"/>
    <m/>
    <s v="N"/>
    <n v="-167"/>
    <n v="0"/>
    <x v="4"/>
    <s v="VALIDATED"/>
    <n v="1"/>
    <s v="01.11.80.308.2013.0000"/>
    <n v="-167"/>
    <s v="11"/>
    <s v="2013"/>
    <n v="5356.75"/>
    <n v="-167"/>
    <s v="CREDITOR"/>
    <n v="0"/>
    <n v="0"/>
    <n v="-167"/>
    <n v="0"/>
    <n v="0"/>
  </r>
  <r>
    <n v="62008956"/>
    <s v="N"/>
    <n v="21339966"/>
    <s v="3000016051010002RC"/>
    <s v="CIVIL"/>
    <d v="2023-06-28T00:00:00"/>
    <d v="2023-07-06T19:54:22"/>
    <m/>
    <d v="2023-07-06T00:00:00"/>
    <n v="871"/>
    <n v="2481"/>
    <s v="62008956"/>
    <s v="62008956"/>
    <m/>
    <m/>
    <m/>
    <m/>
    <m/>
    <m/>
    <s v="SOLRECOUP"/>
    <s v="SOLRECOUP"/>
    <s v="POARECOUP"/>
    <n v="21339966"/>
    <n v="-167"/>
    <m/>
    <s v="Y"/>
    <n v="2"/>
    <d v="2023-07-06T19:54:23"/>
    <s v="N"/>
    <m/>
    <m/>
    <s v="Non Expert Disbursement"/>
    <m/>
    <s v="N"/>
    <n v="0"/>
    <n v="0"/>
    <x v="4"/>
    <s v="VALIDATED"/>
    <n v="1"/>
    <s v="01.11.80.000.0000.0000"/>
    <n v="0"/>
    <s v="11"/>
    <s v="0000"/>
    <n v="5356.75"/>
    <n v="0"/>
    <s v="CREDITOR"/>
    <n v="0"/>
    <n v="0"/>
    <n v="0"/>
    <n v="0"/>
    <n v="0"/>
  </r>
  <r>
    <n v="61256883"/>
    <s v="N"/>
    <n v="21322308"/>
    <s v="3000015421150028"/>
    <s v="CIVIL"/>
    <d v="2023-06-29T00:00:00"/>
    <d v="2023-07-03T19:05:36"/>
    <m/>
    <d v="2023-07-03T00:00:00"/>
    <n v="874"/>
    <n v="17407"/>
    <s v="61256883"/>
    <s v="61256883"/>
    <m/>
    <m/>
    <n v="22790082"/>
    <m/>
    <m/>
    <m/>
    <s v="SOLPOA"/>
    <s v="SOLPOA"/>
    <s v="CCMS"/>
    <n v="21322308"/>
    <n v="40.8"/>
    <m/>
    <s v="N"/>
    <n v="1"/>
    <d v="2023-07-03T19:05:37"/>
    <s v="N"/>
    <s v="Expert Cost"/>
    <s v="Expert Cost"/>
    <s v="Expert Disbursement"/>
    <s v="Hannah Evans"/>
    <s v="N"/>
    <n v="34"/>
    <n v="6.8"/>
    <x v="3"/>
    <s v="VALIDATED"/>
    <n v="1"/>
    <s v="01.11.80.308.2012.0000"/>
    <n v="34"/>
    <s v="11"/>
    <s v="2012"/>
    <n v="-17226.67"/>
    <n v="34"/>
    <s v="DEBTOR"/>
    <n v="0"/>
    <n v="0"/>
    <n v="0"/>
    <n v="0"/>
    <n v="0"/>
  </r>
  <r>
    <n v="61807661"/>
    <s v="N"/>
    <n v="21320654"/>
    <s v="3000015873320008"/>
    <s v="CIVIL"/>
    <d v="2023-06-28T00:00:00"/>
    <d v="2023-07-03T19:04:52"/>
    <m/>
    <d v="2023-07-03T00:00:00"/>
    <n v="874"/>
    <n v="17407"/>
    <s v="61807661"/>
    <s v="61807661"/>
    <m/>
    <m/>
    <n v="22780368"/>
    <m/>
    <m/>
    <m/>
    <s v="SOLPOA"/>
    <s v="SOLPOA"/>
    <s v="CCMS"/>
    <n v="21320654"/>
    <n v="53"/>
    <m/>
    <s v="N"/>
    <n v="1"/>
    <d v="2023-07-03T19:04:55"/>
    <s v="N"/>
    <s v="Non Expert Disbursement"/>
    <s v="Non Expert Disbursement"/>
    <s v="Non Expert Disbursement"/>
    <s v="Hannah Evans"/>
    <s v="N"/>
    <n v="53"/>
    <n v="0"/>
    <x v="3"/>
    <s v="VALIDATED"/>
    <n v="1"/>
    <s v="01.11.80.308.2012.0000"/>
    <n v="53"/>
    <s v="11"/>
    <s v="2012"/>
    <n v="-17226.67"/>
    <n v="53"/>
    <s v="DEBTOR"/>
    <n v="0"/>
    <n v="0"/>
    <n v="0"/>
    <n v="0"/>
    <n v="0"/>
  </r>
  <r>
    <n v="61000690"/>
    <s v="N"/>
    <n v="21330725"/>
    <s v="3000015207650021"/>
    <s v="CIVIL"/>
    <d v="2023-06-29T00:00:00"/>
    <d v="2023-07-05T19:01:47"/>
    <m/>
    <d v="2023-07-05T00:00:00"/>
    <n v="874"/>
    <n v="17407"/>
    <s v="61000690"/>
    <s v="61000690"/>
    <m/>
    <m/>
    <n v="22793008"/>
    <m/>
    <m/>
    <m/>
    <s v="SOLPOA"/>
    <s v="SOLPOA"/>
    <s v="CCMS"/>
    <n v="21330725"/>
    <n v="243"/>
    <m/>
    <s v="N"/>
    <n v="1"/>
    <d v="2023-07-05T19:01:53"/>
    <s v="N"/>
    <s v="Expert Cost"/>
    <s v="Expert Cost"/>
    <s v="Expert Disbursement"/>
    <s v="Hannah Evans"/>
    <s v="N"/>
    <n v="243"/>
    <n v="0"/>
    <x v="6"/>
    <s v="VALIDATED"/>
    <n v="1"/>
    <s v="01.11.80.308.2012.0000"/>
    <n v="243"/>
    <s v="11"/>
    <s v="2012"/>
    <n v="-17226.67"/>
    <n v="243"/>
    <s v="DEBTOR"/>
    <n v="0"/>
    <n v="0"/>
    <n v="0"/>
    <n v="0"/>
    <n v="0"/>
  </r>
  <r>
    <n v="61000690"/>
    <s v="N"/>
    <n v="21366375"/>
    <s v="3000015207650005RC"/>
    <s v="CIVIL"/>
    <d v="2023-06-29T00:00:00"/>
    <d v="2023-07-12T19:45:17"/>
    <m/>
    <d v="2023-07-12T00:00:00"/>
    <n v="874"/>
    <n v="17407"/>
    <s v="61000690"/>
    <s v="61000690"/>
    <m/>
    <m/>
    <m/>
    <m/>
    <m/>
    <m/>
    <s v="SOLRECOUP"/>
    <s v="SOLRECOUP"/>
    <s v="POARECOUP"/>
    <n v="21366375"/>
    <n v="-128.47"/>
    <m/>
    <s v="Y"/>
    <n v="1"/>
    <d v="2023-07-12T19:45:18"/>
    <s v="N"/>
    <m/>
    <m/>
    <s v="Non Expert Disbursement"/>
    <m/>
    <s v="N"/>
    <n v="-107.06"/>
    <n v="0"/>
    <x v="0"/>
    <s v="VALIDATED"/>
    <n v="1"/>
    <s v="01.11.80.308.2013.0000"/>
    <n v="-107.06"/>
    <s v="11"/>
    <s v="2013"/>
    <n v="-17226.67"/>
    <n v="-107.06"/>
    <s v="DEBTOR"/>
    <n v="0"/>
    <n v="0"/>
    <n v="0"/>
    <n v="0"/>
    <n v="0"/>
  </r>
  <r>
    <n v="61000690"/>
    <s v="N"/>
    <n v="21366376"/>
    <s v="3000015207650008RC"/>
    <s v="CIVIL"/>
    <d v="2023-06-29T00:00:00"/>
    <d v="2023-07-12T19:45:17"/>
    <m/>
    <d v="2023-07-12T00:00:00"/>
    <n v="874"/>
    <n v="17407"/>
    <s v="61000690"/>
    <s v="61000690"/>
    <m/>
    <m/>
    <m/>
    <m/>
    <m/>
    <m/>
    <s v="SOLRECOUP"/>
    <s v="SOLRECOUP"/>
    <s v="POARECOUP"/>
    <n v="21366376"/>
    <n v="-525.6"/>
    <m/>
    <s v="Y"/>
    <n v="1"/>
    <d v="2023-07-12T19:45:18"/>
    <s v="N"/>
    <m/>
    <m/>
    <s v="Expert Disbursement"/>
    <m/>
    <s v="N"/>
    <n v="-438"/>
    <n v="0"/>
    <x v="0"/>
    <s v="VALIDATED"/>
    <n v="1"/>
    <s v="01.11.80.308.2013.0000"/>
    <n v="-438"/>
    <s v="11"/>
    <s v="2013"/>
    <n v="-17226.67"/>
    <n v="-438"/>
    <s v="DEBTOR"/>
    <n v="0"/>
    <n v="0"/>
    <n v="0"/>
    <n v="0"/>
    <n v="0"/>
  </r>
  <r>
    <n v="61000690"/>
    <s v="N"/>
    <n v="21366376"/>
    <s v="3000015207650008RC"/>
    <s v="CIVIL"/>
    <d v="2023-06-29T00:00:00"/>
    <d v="2023-07-12T19:45:17"/>
    <m/>
    <d v="2023-07-12T00:00:00"/>
    <n v="874"/>
    <n v="17407"/>
    <s v="61000690"/>
    <s v="61000690"/>
    <m/>
    <m/>
    <m/>
    <m/>
    <m/>
    <m/>
    <s v="SOLRECOUP"/>
    <s v="SOLRECOUP"/>
    <s v="POARECOUP"/>
    <n v="21366376"/>
    <n v="-525.6"/>
    <m/>
    <s v="Y"/>
    <n v="2"/>
    <d v="2023-07-12T19:45:18"/>
    <s v="N"/>
    <m/>
    <m/>
    <s v="Expert Disbursement"/>
    <m/>
    <s v="N"/>
    <n v="0"/>
    <n v="-87.59999999999999"/>
    <x v="0"/>
    <s v="VALIDATED"/>
    <n v="1"/>
    <s v="01.11.80.308.2013.0000"/>
    <n v="-87.59999999999999"/>
    <s v="11"/>
    <s v="2013"/>
    <n v="-17226.67"/>
    <n v="-87.59999999999999"/>
    <s v="DEBTOR"/>
    <n v="0"/>
    <n v="0"/>
    <n v="0"/>
    <n v="0"/>
    <n v="0"/>
  </r>
  <r>
    <n v="61000690"/>
    <s v="N"/>
    <n v="21366377"/>
    <s v="3000015207650009RC"/>
    <s v="CIVIL"/>
    <d v="2023-06-29T00:00:00"/>
    <d v="2023-07-12T19:45:17"/>
    <m/>
    <d v="2023-07-12T00:00:00"/>
    <n v="874"/>
    <n v="17407"/>
    <s v="61000690"/>
    <s v="61000690"/>
    <m/>
    <m/>
    <m/>
    <m/>
    <m/>
    <m/>
    <s v="SOLRECOUP"/>
    <s v="SOLRECOUP"/>
    <s v="POARECOUP"/>
    <n v="21366377"/>
    <n v="-525.6"/>
    <m/>
    <s v="Y"/>
    <n v="2"/>
    <d v="2023-07-12T19:45:18"/>
    <s v="N"/>
    <m/>
    <m/>
    <s v="Expert Disbursement"/>
    <m/>
    <s v="N"/>
    <n v="0"/>
    <n v="-87.59999999999999"/>
    <x v="0"/>
    <s v="VALIDATED"/>
    <n v="1"/>
    <s v="01.11.80.308.2013.0000"/>
    <n v="-87.59999999999999"/>
    <s v="11"/>
    <s v="2013"/>
    <n v="-17226.67"/>
    <n v="-87.59999999999999"/>
    <s v="DEBTOR"/>
    <n v="0"/>
    <n v="0"/>
    <n v="0"/>
    <n v="0"/>
    <n v="0"/>
  </r>
  <r>
    <n v="61000690"/>
    <s v="N"/>
    <n v="21366377"/>
    <s v="3000015207650009RC"/>
    <s v="CIVIL"/>
    <d v="2023-06-29T00:00:00"/>
    <d v="2023-07-12T19:45:17"/>
    <m/>
    <d v="2023-07-12T00:00:00"/>
    <n v="874"/>
    <n v="17407"/>
    <s v="61000690"/>
    <s v="61000690"/>
    <m/>
    <m/>
    <m/>
    <m/>
    <m/>
    <m/>
    <s v="SOLRECOUP"/>
    <s v="SOLRECOUP"/>
    <s v="POARECOUP"/>
    <n v="21366377"/>
    <n v="-525.6"/>
    <m/>
    <s v="Y"/>
    <n v="1"/>
    <d v="2023-07-12T19:45:18"/>
    <s v="N"/>
    <m/>
    <m/>
    <s v="Expert Disbursement"/>
    <m/>
    <s v="N"/>
    <n v="-438"/>
    <n v="0"/>
    <x v="0"/>
    <s v="VALIDATED"/>
    <n v="1"/>
    <s v="01.11.80.308.2013.0000"/>
    <n v="-438"/>
    <s v="11"/>
    <s v="2013"/>
    <n v="-17226.67"/>
    <n v="-438"/>
    <s v="DEBTOR"/>
    <n v="0"/>
    <n v="0"/>
    <n v="0"/>
    <n v="0"/>
    <n v="0"/>
  </r>
  <r>
    <n v="61000690"/>
    <s v="N"/>
    <n v="21366378"/>
    <s v="3000015207650003RC"/>
    <s v="CIVIL"/>
    <d v="2023-06-29T00:00:00"/>
    <d v="2023-07-12T19:45:17"/>
    <m/>
    <d v="2023-07-12T00:00:00"/>
    <n v="874"/>
    <n v="17407"/>
    <s v="61000690"/>
    <s v="61000690"/>
    <m/>
    <m/>
    <m/>
    <m/>
    <m/>
    <m/>
    <s v="SOLRECOUP"/>
    <s v="SOLRECOUP"/>
    <s v="POARECOUP"/>
    <n v="21366378"/>
    <n v="-977.7"/>
    <m/>
    <s v="Y"/>
    <n v="2"/>
    <d v="2023-07-12T19:45:18"/>
    <s v="N"/>
    <m/>
    <m/>
    <s v="Expert Disbursement"/>
    <m/>
    <s v="N"/>
    <n v="0"/>
    <n v="-162.95"/>
    <x v="0"/>
    <s v="VALIDATED"/>
    <n v="1"/>
    <s v="01.11.80.308.2013.0000"/>
    <n v="-162.95"/>
    <s v="11"/>
    <s v="2013"/>
    <n v="-17226.67"/>
    <n v="-162.95"/>
    <s v="DEBTOR"/>
    <n v="0"/>
    <n v="0"/>
    <n v="0"/>
    <n v="0"/>
    <n v="0"/>
  </r>
  <r>
    <n v="61000690"/>
    <s v="N"/>
    <n v="21366378"/>
    <s v="3000015207650003RC"/>
    <s v="CIVIL"/>
    <d v="2023-06-29T00:00:00"/>
    <d v="2023-07-12T19:45:17"/>
    <m/>
    <d v="2023-07-12T00:00:00"/>
    <n v="874"/>
    <n v="17407"/>
    <s v="61000690"/>
    <s v="61000690"/>
    <m/>
    <m/>
    <m/>
    <m/>
    <m/>
    <m/>
    <s v="SOLRECOUP"/>
    <s v="SOLRECOUP"/>
    <s v="POARECOUP"/>
    <n v="21366378"/>
    <n v="-977.7"/>
    <m/>
    <s v="Y"/>
    <n v="1"/>
    <d v="2023-07-12T19:45:18"/>
    <s v="N"/>
    <m/>
    <m/>
    <s v="Expert Disbursement"/>
    <m/>
    <s v="N"/>
    <n v="-814.75"/>
    <n v="0"/>
    <x v="0"/>
    <s v="VALIDATED"/>
    <n v="1"/>
    <s v="01.11.80.308.2013.0000"/>
    <n v="-814.75"/>
    <s v="11"/>
    <s v="2013"/>
    <n v="-17226.67"/>
    <n v="-814.75"/>
    <s v="DEBTOR"/>
    <n v="0"/>
    <n v="0"/>
    <n v="0"/>
    <n v="0"/>
    <n v="0"/>
  </r>
  <r>
    <n v="61000690"/>
    <s v="N"/>
    <n v="21366379"/>
    <s v="3000015207650004RC"/>
    <s v="CIVIL"/>
    <d v="2023-06-29T00:00:00"/>
    <d v="2023-07-12T19:45:17"/>
    <m/>
    <d v="2023-07-12T00:00:00"/>
    <n v="874"/>
    <n v="17407"/>
    <s v="61000690"/>
    <s v="61000690"/>
    <m/>
    <m/>
    <m/>
    <m/>
    <m/>
    <m/>
    <s v="SOLRECOUP"/>
    <s v="SOLRECOUP"/>
    <s v="POARECOUP"/>
    <n v="21366379"/>
    <n v="-1015.8"/>
    <m/>
    <s v="Y"/>
    <n v="2"/>
    <d v="2023-07-12T19:45:18"/>
    <s v="N"/>
    <m/>
    <m/>
    <s v="Expert Disbursement"/>
    <m/>
    <s v="N"/>
    <n v="0"/>
    <n v="-169.3"/>
    <x v="0"/>
    <s v="VALIDATED"/>
    <n v="1"/>
    <s v="01.11.80.308.2013.0000"/>
    <n v="-169.3"/>
    <s v="11"/>
    <s v="2013"/>
    <n v="-17226.67"/>
    <n v="-169.3"/>
    <s v="DEBTOR"/>
    <n v="0"/>
    <n v="0"/>
    <n v="0"/>
    <n v="0"/>
    <n v="0"/>
  </r>
  <r>
    <n v="61000690"/>
    <s v="N"/>
    <n v="21366379"/>
    <s v="3000015207650004RC"/>
    <s v="CIVIL"/>
    <d v="2023-06-29T00:00:00"/>
    <d v="2023-07-12T19:45:17"/>
    <m/>
    <d v="2023-07-12T00:00:00"/>
    <n v="874"/>
    <n v="17407"/>
    <s v="61000690"/>
    <s v="61000690"/>
    <m/>
    <m/>
    <m/>
    <m/>
    <m/>
    <m/>
    <s v="SOLRECOUP"/>
    <s v="SOLRECOUP"/>
    <s v="POARECOUP"/>
    <n v="21366379"/>
    <n v="-1015.8"/>
    <m/>
    <s v="Y"/>
    <n v="1"/>
    <d v="2023-07-12T19:45:18"/>
    <s v="N"/>
    <m/>
    <m/>
    <s v="Expert Disbursement"/>
    <m/>
    <s v="N"/>
    <n v="-846.5"/>
    <n v="0"/>
    <x v="0"/>
    <s v="VALIDATED"/>
    <n v="1"/>
    <s v="01.11.80.308.2013.0000"/>
    <n v="-846.5"/>
    <s v="11"/>
    <s v="2013"/>
    <n v="-17226.67"/>
    <n v="-846.5"/>
    <s v="DEBTOR"/>
    <n v="0"/>
    <n v="0"/>
    <n v="0"/>
    <n v="0"/>
    <n v="0"/>
  </r>
  <r>
    <n v="61000690"/>
    <s v="N"/>
    <n v="21366380"/>
    <s v="3000015207650006RC"/>
    <s v="CIVIL"/>
    <d v="2023-06-29T00:00:00"/>
    <d v="2023-07-12T19:45:17"/>
    <m/>
    <d v="2023-07-12T00:00:00"/>
    <n v="874"/>
    <n v="17407"/>
    <s v="61000690"/>
    <s v="61000690"/>
    <m/>
    <m/>
    <m/>
    <m/>
    <m/>
    <m/>
    <s v="SOLRECOUP"/>
    <s v="SOLRECOUP"/>
    <s v="POARECOUP"/>
    <n v="21366380"/>
    <n v="-2275.2"/>
    <m/>
    <s v="Y"/>
    <n v="2"/>
    <d v="2023-07-12T19:45:18"/>
    <s v="N"/>
    <m/>
    <m/>
    <s v="Profit Cost"/>
    <m/>
    <s v="N"/>
    <n v="0"/>
    <n v="-379.2"/>
    <x v="0"/>
    <s v="VALIDATED"/>
    <n v="1"/>
    <s v="01.11.80.308.2013.0000"/>
    <n v="-379.2"/>
    <s v="11"/>
    <s v="2013"/>
    <n v="-17226.67"/>
    <n v="-379.2"/>
    <s v="DEBTOR"/>
    <n v="0"/>
    <n v="0"/>
    <n v="0"/>
    <n v="0"/>
    <n v="0"/>
  </r>
  <r>
    <n v="61000690"/>
    <s v="N"/>
    <n v="21366380"/>
    <s v="3000015207650006RC"/>
    <s v="CIVIL"/>
    <d v="2023-06-29T00:00:00"/>
    <d v="2023-07-12T19:45:17"/>
    <m/>
    <d v="2023-07-12T00:00:00"/>
    <n v="874"/>
    <n v="17407"/>
    <s v="61000690"/>
    <s v="61000690"/>
    <m/>
    <m/>
    <m/>
    <m/>
    <m/>
    <m/>
    <s v="SOLRECOUP"/>
    <s v="SOLRECOUP"/>
    <s v="POARECOUP"/>
    <n v="21366380"/>
    <n v="-2275.2"/>
    <m/>
    <s v="Y"/>
    <n v="1"/>
    <d v="2023-07-12T19:45:18"/>
    <s v="N"/>
    <m/>
    <m/>
    <s v="Profit Cost"/>
    <m/>
    <s v="N"/>
    <n v="-1896"/>
    <n v="0"/>
    <x v="0"/>
    <s v="VALIDATED"/>
    <n v="1"/>
    <s v="01.11.80.308.2013.0000"/>
    <n v="-1896"/>
    <s v="11"/>
    <s v="2013"/>
    <n v="-17226.67"/>
    <n v="-1896"/>
    <s v="DEBTOR"/>
    <n v="0"/>
    <n v="0"/>
    <n v="0"/>
    <n v="0"/>
    <n v="0"/>
  </r>
  <r>
    <n v="61000690"/>
    <s v="N"/>
    <n v="21366381"/>
    <s v="3000015207650021RC"/>
    <s v="CIVIL"/>
    <d v="2023-06-29T00:00:00"/>
    <d v="2023-07-12T19:45:17"/>
    <m/>
    <d v="2023-07-12T00:00:00"/>
    <n v="874"/>
    <n v="17407"/>
    <s v="61000690"/>
    <s v="61000690"/>
    <m/>
    <m/>
    <m/>
    <m/>
    <m/>
    <m/>
    <s v="SOLRECOUP"/>
    <s v="SOLRECOUP"/>
    <s v="POARECOUP"/>
    <n v="21366381"/>
    <n v="-243"/>
    <m/>
    <s v="Y"/>
    <n v="2"/>
    <d v="2023-07-12T19:45:18"/>
    <s v="N"/>
    <m/>
    <m/>
    <s v="Expert Disbursement"/>
    <m/>
    <s v="N"/>
    <n v="0"/>
    <n v="0"/>
    <x v="0"/>
    <s v="VALIDATED"/>
    <n v="1"/>
    <s v="01.11.80.000.0000.0000"/>
    <n v="0"/>
    <s v="11"/>
    <s v="0000"/>
    <n v="-17226.67"/>
    <n v="0"/>
    <s v="DEBTOR"/>
    <n v="0"/>
    <n v="0"/>
    <n v="0"/>
    <n v="0"/>
    <n v="0"/>
  </r>
  <r>
    <n v="61000690"/>
    <s v="N"/>
    <n v="21366381"/>
    <s v="3000015207650021RC"/>
    <s v="CIVIL"/>
    <d v="2023-06-29T00:00:00"/>
    <d v="2023-07-12T19:45:17"/>
    <m/>
    <d v="2023-07-12T00:00:00"/>
    <n v="874"/>
    <n v="17407"/>
    <s v="61000690"/>
    <s v="61000690"/>
    <m/>
    <m/>
    <m/>
    <m/>
    <m/>
    <m/>
    <s v="SOLRECOUP"/>
    <s v="SOLRECOUP"/>
    <s v="POARECOUP"/>
    <n v="21366381"/>
    <n v="-243"/>
    <m/>
    <s v="Y"/>
    <n v="1"/>
    <d v="2023-07-12T19:45:18"/>
    <s v="N"/>
    <m/>
    <m/>
    <s v="Expert Disbursement"/>
    <m/>
    <s v="N"/>
    <n v="-243"/>
    <n v="0"/>
    <x v="0"/>
    <s v="VALIDATED"/>
    <n v="1"/>
    <s v="01.11.80.308.2013.0000"/>
    <n v="-243"/>
    <s v="11"/>
    <s v="2013"/>
    <n v="-17226.67"/>
    <n v="-243"/>
    <s v="DEBTOR"/>
    <n v="0"/>
    <n v="0"/>
    <n v="0"/>
    <n v="0"/>
    <n v="0"/>
  </r>
  <r>
    <n v="61000690"/>
    <s v="N"/>
    <n v="21366382"/>
    <s v="3000015207650010RC"/>
    <s v="CIVIL"/>
    <d v="2023-06-29T00:00:00"/>
    <d v="2023-07-12T19:45:17"/>
    <m/>
    <d v="2023-07-12T00:00:00"/>
    <n v="874"/>
    <n v="17407"/>
    <s v="61000690"/>
    <s v="61000690"/>
    <m/>
    <m/>
    <m/>
    <m/>
    <m/>
    <m/>
    <s v="SOLRECOUP"/>
    <s v="SOLRECOUP"/>
    <s v="POARECOUP"/>
    <n v="21366382"/>
    <n v="-525.6"/>
    <m/>
    <s v="Y"/>
    <n v="1"/>
    <d v="2023-07-12T19:45:18"/>
    <s v="N"/>
    <m/>
    <m/>
    <s v="Expert Disbursement"/>
    <m/>
    <s v="N"/>
    <n v="-438"/>
    <n v="0"/>
    <x v="0"/>
    <s v="VALIDATED"/>
    <n v="1"/>
    <s v="01.11.80.308.2013.0000"/>
    <n v="-438"/>
    <s v="11"/>
    <s v="2013"/>
    <n v="-17226.67"/>
    <n v="-438"/>
    <s v="DEBTOR"/>
    <n v="0"/>
    <n v="0"/>
    <n v="0"/>
    <n v="0"/>
    <n v="0"/>
  </r>
  <r>
    <n v="61000690"/>
    <s v="N"/>
    <n v="21366382"/>
    <s v="3000015207650010RC"/>
    <s v="CIVIL"/>
    <d v="2023-06-29T00:00:00"/>
    <d v="2023-07-12T19:45:17"/>
    <m/>
    <d v="2023-07-12T00:00:00"/>
    <n v="874"/>
    <n v="17407"/>
    <s v="61000690"/>
    <s v="61000690"/>
    <m/>
    <m/>
    <m/>
    <m/>
    <m/>
    <m/>
    <s v="SOLRECOUP"/>
    <s v="SOLRECOUP"/>
    <s v="POARECOUP"/>
    <n v="21366382"/>
    <n v="-525.6"/>
    <m/>
    <s v="Y"/>
    <n v="2"/>
    <d v="2023-07-12T19:45:18"/>
    <s v="N"/>
    <m/>
    <m/>
    <s v="Expert Disbursement"/>
    <m/>
    <s v="N"/>
    <n v="0"/>
    <n v="-87.59999999999999"/>
    <x v="0"/>
    <s v="VALIDATED"/>
    <n v="1"/>
    <s v="01.11.80.308.2013.0000"/>
    <n v="-87.59999999999999"/>
    <s v="11"/>
    <s v="2013"/>
    <n v="-17226.67"/>
    <n v="-87.59999999999999"/>
    <s v="DEBTOR"/>
    <n v="0"/>
    <n v="0"/>
    <n v="0"/>
    <n v="0"/>
    <n v="0"/>
  </r>
  <r>
    <n v="61000690"/>
    <s v="N"/>
    <n v="21366383"/>
    <s v="3000015207650011RC"/>
    <s v="CIVIL"/>
    <d v="2023-06-29T00:00:00"/>
    <d v="2023-07-12T19:45:17"/>
    <m/>
    <d v="2023-07-12T00:00:00"/>
    <n v="874"/>
    <n v="17407"/>
    <s v="61000690"/>
    <s v="61000690"/>
    <m/>
    <m/>
    <m/>
    <m/>
    <m/>
    <m/>
    <s v="SOLRECOUP"/>
    <s v="SOLRECOUP"/>
    <s v="POARECOUP"/>
    <n v="21366383"/>
    <n v="-525.6"/>
    <m/>
    <s v="Y"/>
    <n v="1"/>
    <d v="2023-07-12T19:45:18"/>
    <s v="N"/>
    <m/>
    <m/>
    <s v="Expert Disbursement"/>
    <m/>
    <s v="N"/>
    <n v="-438"/>
    <n v="0"/>
    <x v="0"/>
    <s v="VALIDATED"/>
    <n v="1"/>
    <s v="01.11.80.308.2013.0000"/>
    <n v="-438"/>
    <s v="11"/>
    <s v="2013"/>
    <n v="-17226.67"/>
    <n v="-438"/>
    <s v="DEBTOR"/>
    <n v="0"/>
    <n v="0"/>
    <n v="0"/>
    <n v="0"/>
    <n v="0"/>
  </r>
  <r>
    <n v="61000690"/>
    <s v="N"/>
    <n v="21366383"/>
    <s v="3000015207650011RC"/>
    <s v="CIVIL"/>
    <d v="2023-06-29T00:00:00"/>
    <d v="2023-07-12T19:45:17"/>
    <m/>
    <d v="2023-07-12T00:00:00"/>
    <n v="874"/>
    <n v="17407"/>
    <s v="61000690"/>
    <s v="61000690"/>
    <m/>
    <m/>
    <m/>
    <m/>
    <m/>
    <m/>
    <s v="SOLRECOUP"/>
    <s v="SOLRECOUP"/>
    <s v="POARECOUP"/>
    <n v="21366383"/>
    <n v="-525.6"/>
    <m/>
    <s v="Y"/>
    <n v="2"/>
    <d v="2023-07-12T19:45:18"/>
    <s v="N"/>
    <m/>
    <m/>
    <s v="Expert Disbursement"/>
    <m/>
    <s v="N"/>
    <n v="0"/>
    <n v="-87.59999999999999"/>
    <x v="0"/>
    <s v="VALIDATED"/>
    <n v="1"/>
    <s v="01.11.80.308.2013.0000"/>
    <n v="-87.59999999999999"/>
    <s v="11"/>
    <s v="2013"/>
    <n v="-17226.67"/>
    <n v="-87.59999999999999"/>
    <s v="DEBTOR"/>
    <n v="0"/>
    <n v="0"/>
    <n v="0"/>
    <n v="0"/>
    <n v="0"/>
  </r>
  <r>
    <n v="61000690"/>
    <s v="N"/>
    <n v="21366384"/>
    <s v="3000015207650014RC"/>
    <s v="CIVIL"/>
    <d v="2023-06-29T00:00:00"/>
    <d v="2023-07-12T19:45:17"/>
    <m/>
    <d v="2023-07-12T00:00:00"/>
    <n v="874"/>
    <n v="17407"/>
    <s v="61000690"/>
    <s v="61000690"/>
    <m/>
    <m/>
    <m/>
    <m/>
    <m/>
    <m/>
    <s v="SOLRECOUP"/>
    <s v="SOLRECOUP"/>
    <s v="POARECOUP"/>
    <n v="21366384"/>
    <n v="-326.4"/>
    <m/>
    <s v="Y"/>
    <n v="2"/>
    <d v="2023-07-12T19:45:18"/>
    <s v="N"/>
    <m/>
    <m/>
    <s v="Expert Disbursement"/>
    <m/>
    <s v="N"/>
    <n v="0"/>
    <n v="-54.4"/>
    <x v="0"/>
    <s v="VALIDATED"/>
    <n v="1"/>
    <s v="01.11.80.308.2013.0000"/>
    <n v="-54.4"/>
    <s v="11"/>
    <s v="2013"/>
    <n v="-17226.67"/>
    <n v="-54.4"/>
    <s v="DEBTOR"/>
    <n v="0"/>
    <n v="0"/>
    <n v="0"/>
    <n v="0"/>
    <n v="0"/>
  </r>
  <r>
    <n v="61000690"/>
    <s v="N"/>
    <n v="21366384"/>
    <s v="3000015207650014RC"/>
    <s v="CIVIL"/>
    <d v="2023-06-29T00:00:00"/>
    <d v="2023-07-12T19:45:17"/>
    <m/>
    <d v="2023-07-12T00:00:00"/>
    <n v="874"/>
    <n v="17407"/>
    <s v="61000690"/>
    <s v="61000690"/>
    <m/>
    <m/>
    <m/>
    <m/>
    <m/>
    <m/>
    <s v="SOLRECOUP"/>
    <s v="SOLRECOUP"/>
    <s v="POARECOUP"/>
    <n v="21366384"/>
    <n v="-326.4"/>
    <m/>
    <s v="Y"/>
    <n v="1"/>
    <d v="2023-07-12T19:45:18"/>
    <s v="N"/>
    <m/>
    <m/>
    <s v="Expert Disbursement"/>
    <m/>
    <s v="N"/>
    <n v="-272"/>
    <n v="0"/>
    <x v="0"/>
    <s v="VALIDATED"/>
    <n v="1"/>
    <s v="01.11.80.308.2013.0000"/>
    <n v="-272"/>
    <s v="11"/>
    <s v="2013"/>
    <n v="-17226.67"/>
    <n v="-272"/>
    <s v="DEBTOR"/>
    <n v="0"/>
    <n v="0"/>
    <n v="0"/>
    <n v="0"/>
    <n v="0"/>
  </r>
  <r>
    <n v="61000690"/>
    <s v="N"/>
    <n v="21366385"/>
    <s v="3000015207650013RC"/>
    <s v="CIVIL"/>
    <d v="2023-06-29T00:00:00"/>
    <d v="2023-07-12T19:45:17"/>
    <m/>
    <d v="2023-07-12T00:00:00"/>
    <n v="874"/>
    <n v="17407"/>
    <s v="61000690"/>
    <s v="61000690"/>
    <m/>
    <m/>
    <m/>
    <m/>
    <m/>
    <m/>
    <s v="SOLRECOUP"/>
    <s v="SOLRECOUP"/>
    <s v="POARECOUP"/>
    <n v="21366385"/>
    <n v="-175.5"/>
    <m/>
    <s v="Y"/>
    <n v="2"/>
    <d v="2023-07-12T19:45:18"/>
    <s v="N"/>
    <m/>
    <m/>
    <s v="Expert Disbursement"/>
    <m/>
    <s v="N"/>
    <n v="0"/>
    <n v="0"/>
    <x v="0"/>
    <s v="VALIDATED"/>
    <n v="1"/>
    <s v="01.11.80.000.0000.0000"/>
    <n v="0"/>
    <s v="11"/>
    <s v="0000"/>
    <n v="-17226.67"/>
    <n v="0"/>
    <s v="DEBTOR"/>
    <n v="0"/>
    <n v="0"/>
    <n v="0"/>
    <n v="0"/>
    <n v="0"/>
  </r>
  <r>
    <n v="61000690"/>
    <s v="N"/>
    <n v="21366385"/>
    <s v="3000015207650013RC"/>
    <s v="CIVIL"/>
    <d v="2023-06-29T00:00:00"/>
    <d v="2023-07-12T19:45:17"/>
    <m/>
    <d v="2023-07-12T00:00:00"/>
    <n v="874"/>
    <n v="17407"/>
    <s v="61000690"/>
    <s v="61000690"/>
    <m/>
    <m/>
    <m/>
    <m/>
    <m/>
    <m/>
    <s v="SOLRECOUP"/>
    <s v="SOLRECOUP"/>
    <s v="POARECOUP"/>
    <n v="21366385"/>
    <n v="-175.5"/>
    <m/>
    <s v="Y"/>
    <n v="1"/>
    <d v="2023-07-12T19:45:18"/>
    <s v="N"/>
    <m/>
    <m/>
    <s v="Expert Disbursement"/>
    <m/>
    <s v="N"/>
    <n v="-175.5"/>
    <n v="0"/>
    <x v="0"/>
    <s v="VALIDATED"/>
    <n v="1"/>
    <s v="01.11.80.308.2013.0000"/>
    <n v="-175.5"/>
    <s v="11"/>
    <s v="2013"/>
    <n v="-17226.67"/>
    <n v="-175.5"/>
    <s v="DEBTOR"/>
    <n v="0"/>
    <n v="0"/>
    <n v="0"/>
    <n v="0"/>
    <n v="0"/>
  </r>
  <r>
    <n v="61000690"/>
    <s v="N"/>
    <n v="21366386"/>
    <s v="3000015207650016RC"/>
    <s v="CIVIL"/>
    <d v="2023-06-29T00:00:00"/>
    <d v="2023-07-12T19:45:17"/>
    <m/>
    <d v="2023-07-12T00:00:00"/>
    <n v="874"/>
    <n v="17407"/>
    <s v="61000690"/>
    <s v="61000690"/>
    <m/>
    <m/>
    <m/>
    <m/>
    <m/>
    <m/>
    <s v="SOLRECOUP"/>
    <s v="SOLRECOUP"/>
    <s v="POARECOUP"/>
    <n v="21366386"/>
    <n v="-326.4"/>
    <m/>
    <s v="Y"/>
    <n v="1"/>
    <d v="2023-07-12T19:45:18"/>
    <s v="N"/>
    <m/>
    <m/>
    <s v="Expert Disbursement"/>
    <m/>
    <s v="N"/>
    <n v="-272"/>
    <n v="0"/>
    <x v="0"/>
    <s v="VALIDATED"/>
    <n v="1"/>
    <s v="01.11.80.308.2013.0000"/>
    <n v="-272"/>
    <s v="11"/>
    <s v="2013"/>
    <n v="-17226.67"/>
    <n v="-272"/>
    <s v="DEBTOR"/>
    <n v="0"/>
    <n v="0"/>
    <n v="0"/>
    <n v="0"/>
    <n v="0"/>
  </r>
  <r>
    <n v="61000690"/>
    <s v="N"/>
    <n v="21366386"/>
    <s v="3000015207650016RC"/>
    <s v="CIVIL"/>
    <d v="2023-06-29T00:00:00"/>
    <d v="2023-07-12T19:45:17"/>
    <m/>
    <d v="2023-07-12T00:00:00"/>
    <n v="874"/>
    <n v="17407"/>
    <s v="61000690"/>
    <s v="61000690"/>
    <m/>
    <m/>
    <m/>
    <m/>
    <m/>
    <m/>
    <s v="SOLRECOUP"/>
    <s v="SOLRECOUP"/>
    <s v="POARECOUP"/>
    <n v="21366386"/>
    <n v="-326.4"/>
    <m/>
    <s v="Y"/>
    <n v="2"/>
    <d v="2023-07-12T19:45:18"/>
    <s v="N"/>
    <m/>
    <m/>
    <s v="Expert Disbursement"/>
    <m/>
    <s v="N"/>
    <n v="0"/>
    <n v="-54.4"/>
    <x v="0"/>
    <s v="VALIDATED"/>
    <n v="1"/>
    <s v="01.11.80.308.2013.0000"/>
    <n v="-54.4"/>
    <s v="11"/>
    <s v="2013"/>
    <n v="-17226.67"/>
    <n v="-54.4"/>
    <s v="DEBTOR"/>
    <n v="0"/>
    <n v="0"/>
    <n v="0"/>
    <n v="0"/>
    <n v="0"/>
  </r>
  <r>
    <n v="61000690"/>
    <s v="N"/>
    <n v="21366387"/>
    <s v="3000015207650019RC"/>
    <s v="CIVIL"/>
    <d v="2023-06-29T00:00:00"/>
    <d v="2023-07-12T19:45:17"/>
    <m/>
    <d v="2023-07-12T00:00:00"/>
    <n v="874"/>
    <n v="17407"/>
    <s v="61000690"/>
    <s v="61000690"/>
    <m/>
    <m/>
    <m/>
    <m/>
    <m/>
    <m/>
    <s v="SOLRECOUP"/>
    <s v="SOLRECOUP"/>
    <s v="POARECOUP"/>
    <n v="21366387"/>
    <n v="-8191.8"/>
    <m/>
    <s v="Y"/>
    <n v="2"/>
    <d v="2023-07-12T19:45:18"/>
    <s v="N"/>
    <m/>
    <m/>
    <s v="Profit Cost"/>
    <m/>
    <s v="N"/>
    <n v="0"/>
    <n v="-1365.3"/>
    <x v="0"/>
    <s v="VALIDATED"/>
    <n v="1"/>
    <s v="01.11.80.308.2013.0000"/>
    <n v="-1365.3"/>
    <s v="11"/>
    <s v="2013"/>
    <n v="-17226.67"/>
    <n v="-1365.3"/>
    <s v="DEBTOR"/>
    <n v="0"/>
    <n v="0"/>
    <n v="0"/>
    <n v="0"/>
    <n v="0"/>
  </r>
  <r>
    <n v="61000690"/>
    <s v="N"/>
    <n v="21366387"/>
    <s v="3000015207650019RC"/>
    <s v="CIVIL"/>
    <d v="2023-06-29T00:00:00"/>
    <d v="2023-07-12T19:45:17"/>
    <m/>
    <d v="2023-07-12T00:00:00"/>
    <n v="874"/>
    <n v="17407"/>
    <s v="61000690"/>
    <s v="61000690"/>
    <m/>
    <m/>
    <m/>
    <m/>
    <m/>
    <m/>
    <s v="SOLRECOUP"/>
    <s v="SOLRECOUP"/>
    <s v="POARECOUP"/>
    <n v="21366387"/>
    <n v="-8191.8"/>
    <m/>
    <s v="Y"/>
    <n v="1"/>
    <d v="2023-07-12T19:45:18"/>
    <s v="N"/>
    <m/>
    <m/>
    <s v="Profit Cost"/>
    <m/>
    <s v="N"/>
    <n v="-6826.5"/>
    <n v="0"/>
    <x v="0"/>
    <s v="VALIDATED"/>
    <n v="1"/>
    <s v="01.11.80.308.2013.0000"/>
    <n v="-6826.5"/>
    <s v="11"/>
    <s v="2013"/>
    <n v="-17226.67"/>
    <n v="-6826.5"/>
    <s v="DEBTOR"/>
    <n v="0"/>
    <n v="0"/>
    <n v="0"/>
    <n v="0"/>
    <n v="0"/>
  </r>
  <r>
    <n v="61000690"/>
    <s v="N"/>
    <n v="21366373"/>
    <s v="3000015207650002RC"/>
    <s v="CIVIL"/>
    <d v="2023-06-29T00:00:00"/>
    <d v="2023-07-12T19:45:17"/>
    <m/>
    <d v="2023-07-12T00:00:00"/>
    <n v="874"/>
    <n v="17407"/>
    <s v="61000690"/>
    <s v="61000690"/>
    <m/>
    <m/>
    <m/>
    <m/>
    <m/>
    <m/>
    <s v="SOLRECOUP"/>
    <s v="SOLRECOUP"/>
    <s v="POARECOUP"/>
    <n v="21366373"/>
    <n v="-1015.8"/>
    <m/>
    <s v="Y"/>
    <n v="2"/>
    <d v="2023-07-12T19:45:18"/>
    <s v="N"/>
    <m/>
    <m/>
    <s v="Expert Disbursement"/>
    <m/>
    <s v="N"/>
    <n v="0"/>
    <n v="-169.3"/>
    <x v="0"/>
    <s v="VALIDATED"/>
    <n v="1"/>
    <s v="01.11.80.308.2013.0000"/>
    <n v="-169.3"/>
    <s v="11"/>
    <s v="2013"/>
    <n v="-17226.67"/>
    <n v="-169.3"/>
    <s v="DEBTOR"/>
    <n v="0"/>
    <n v="0"/>
    <n v="0"/>
    <n v="0"/>
    <n v="0"/>
  </r>
  <r>
    <n v="61000690"/>
    <s v="N"/>
    <n v="21366373"/>
    <s v="3000015207650002RC"/>
    <s v="CIVIL"/>
    <d v="2023-06-29T00:00:00"/>
    <d v="2023-07-12T19:45:17"/>
    <m/>
    <d v="2023-07-12T00:00:00"/>
    <n v="874"/>
    <n v="17407"/>
    <s v="61000690"/>
    <s v="61000690"/>
    <m/>
    <m/>
    <m/>
    <m/>
    <m/>
    <m/>
    <s v="SOLRECOUP"/>
    <s v="SOLRECOUP"/>
    <s v="POARECOUP"/>
    <n v="21366373"/>
    <n v="-1015.8"/>
    <m/>
    <s v="Y"/>
    <n v="1"/>
    <d v="2023-07-12T19:45:18"/>
    <s v="N"/>
    <m/>
    <m/>
    <s v="Expert Disbursement"/>
    <m/>
    <s v="N"/>
    <n v="-846.5"/>
    <n v="0"/>
    <x v="0"/>
    <s v="VALIDATED"/>
    <n v="1"/>
    <s v="01.11.80.308.2013.0000"/>
    <n v="-846.5"/>
    <s v="11"/>
    <s v="2013"/>
    <n v="-17226.67"/>
    <n v="-846.5"/>
    <s v="DEBTOR"/>
    <n v="0"/>
    <n v="0"/>
    <n v="0"/>
    <n v="0"/>
    <n v="0"/>
  </r>
  <r>
    <n v="61000690"/>
    <s v="N"/>
    <n v="21366374"/>
    <s v="3000015207650001RC"/>
    <s v="CIVIL"/>
    <d v="2023-06-29T00:00:00"/>
    <d v="2023-07-12T19:45:17"/>
    <m/>
    <d v="2023-07-12T00:00:00"/>
    <n v="874"/>
    <n v="17407"/>
    <s v="61000690"/>
    <s v="61000690"/>
    <m/>
    <m/>
    <m/>
    <m/>
    <m/>
    <m/>
    <s v="SOLRECOUP"/>
    <s v="SOLRECOUP"/>
    <s v="POARECOUP"/>
    <n v="21366374"/>
    <n v="-778.2"/>
    <m/>
    <s v="Y"/>
    <n v="1"/>
    <d v="2023-07-12T19:45:18"/>
    <s v="N"/>
    <m/>
    <m/>
    <s v="Expert Disbursement"/>
    <m/>
    <s v="N"/>
    <n v="-648.5"/>
    <n v="0"/>
    <x v="0"/>
    <s v="VALIDATED"/>
    <n v="1"/>
    <s v="01.11.80.308.2013.0000"/>
    <n v="-648.5"/>
    <s v="11"/>
    <s v="2013"/>
    <n v="-17226.67"/>
    <n v="-648.5"/>
    <s v="DEBTOR"/>
    <n v="0"/>
    <n v="0"/>
    <n v="0"/>
    <n v="0"/>
    <n v="0"/>
  </r>
  <r>
    <n v="61000690"/>
    <s v="N"/>
    <n v="21366374"/>
    <s v="3000015207650001RC"/>
    <s v="CIVIL"/>
    <d v="2023-06-29T00:00:00"/>
    <d v="2023-07-12T19:45:17"/>
    <m/>
    <d v="2023-07-12T00:00:00"/>
    <n v="874"/>
    <n v="17407"/>
    <s v="61000690"/>
    <s v="61000690"/>
    <m/>
    <m/>
    <m/>
    <m/>
    <m/>
    <m/>
    <s v="SOLRECOUP"/>
    <s v="SOLRECOUP"/>
    <s v="POARECOUP"/>
    <n v="21366374"/>
    <n v="-778.2"/>
    <m/>
    <s v="Y"/>
    <n v="2"/>
    <d v="2023-07-12T19:45:18"/>
    <s v="N"/>
    <m/>
    <m/>
    <s v="Expert Disbursement"/>
    <m/>
    <s v="N"/>
    <n v="0"/>
    <n v="-129.7"/>
    <x v="0"/>
    <s v="VALIDATED"/>
    <n v="1"/>
    <s v="01.11.80.308.2013.0000"/>
    <n v="-129.7"/>
    <s v="11"/>
    <s v="2013"/>
    <n v="-17226.67"/>
    <n v="-129.7"/>
    <s v="DEBTOR"/>
    <n v="0"/>
    <n v="0"/>
    <n v="0"/>
    <n v="0"/>
    <n v="0"/>
  </r>
  <r>
    <n v="61000690"/>
    <s v="N"/>
    <n v="21366375"/>
    <s v="3000015207650005RC"/>
    <s v="CIVIL"/>
    <d v="2023-06-29T00:00:00"/>
    <d v="2023-07-12T19:45:17"/>
    <m/>
    <d v="2023-07-12T00:00:00"/>
    <n v="874"/>
    <n v="17407"/>
    <s v="61000690"/>
    <s v="61000690"/>
    <m/>
    <m/>
    <m/>
    <m/>
    <m/>
    <m/>
    <s v="SOLRECOUP"/>
    <s v="SOLRECOUP"/>
    <s v="POARECOUP"/>
    <n v="21366375"/>
    <n v="-128.47"/>
    <m/>
    <s v="Y"/>
    <n v="2"/>
    <d v="2023-07-12T19:45:18"/>
    <s v="N"/>
    <m/>
    <m/>
    <s v="Non Expert Disbursement"/>
    <m/>
    <s v="N"/>
    <n v="0"/>
    <n v="-21.41"/>
    <x v="0"/>
    <s v="VALIDATED"/>
    <n v="1"/>
    <s v="01.11.80.308.2013.0000"/>
    <n v="-21.41"/>
    <s v="11"/>
    <s v="2013"/>
    <n v="-17226.67"/>
    <n v="-21.41"/>
    <s v="DEBTOR"/>
    <n v="0"/>
    <n v="0"/>
    <n v="0"/>
    <n v="0"/>
    <n v="0"/>
  </r>
  <r>
    <n v="59517102"/>
    <s v="N"/>
    <n v="21327835"/>
    <s v="3000013923950014"/>
    <s v="CIVIL"/>
    <d v="2023-06-26T00:00:00"/>
    <d v="2023-07-04T19:00:44"/>
    <m/>
    <d v="2023-07-04T00:00:00"/>
    <n v="879"/>
    <n v="17441"/>
    <s v="59517102"/>
    <s v="59517102"/>
    <m/>
    <m/>
    <n v="22763514"/>
    <m/>
    <m/>
    <m/>
    <s v="SOLFIN"/>
    <s v="SOLFIN"/>
    <s v="CCMS"/>
    <n v="21327835"/>
    <n v="12682.59"/>
    <m/>
    <s v="N"/>
    <n v="70"/>
    <d v="2023-07-04T19:00:56"/>
    <s v="Y"/>
    <s v="Preparation - other"/>
    <s v="Prescribed Hourly Rates"/>
    <s v="Profit Cost"/>
    <s v="MM"/>
    <s v="Y"/>
    <n v="10.98"/>
    <n v="2.2"/>
    <x v="1"/>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15"/>
    <d v="2023-07-04T19:00:56"/>
    <s v="Y"/>
    <s v="Attendance upon client"/>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28"/>
    <d v="2023-07-04T19:00:56"/>
    <s v="Y"/>
    <s v="Preparation - other"/>
    <s v="Prescribed Hourly Rates"/>
    <s v="Profit Cost"/>
    <s v="VP"/>
    <s v="Y"/>
    <n v="82.34999999999999"/>
    <n v="16.47"/>
    <x v="1"/>
    <s v="VALIDATED"/>
    <n v="1"/>
    <s v="01.11.80.307.6100.0000"/>
    <n v="82.34999999999999"/>
    <s v="11"/>
    <s v="6100"/>
    <n v="8497.200000000001"/>
    <n v="82.34999999999999"/>
    <s v="CREDITOR"/>
    <n v="0"/>
    <n v="0"/>
    <n v="0"/>
    <n v="0"/>
    <n v="82.34999999999999"/>
  </r>
  <r>
    <n v="59517102"/>
    <s v="N"/>
    <n v="21327835"/>
    <s v="3000013923950014"/>
    <s v="CIVIL"/>
    <d v="2023-06-26T00:00:00"/>
    <d v="2023-07-04T19:00:44"/>
    <m/>
    <d v="2023-07-04T00:00:00"/>
    <n v="879"/>
    <n v="17441"/>
    <s v="59517102"/>
    <s v="59517102"/>
    <m/>
    <m/>
    <n v="22763514"/>
    <m/>
    <m/>
    <m/>
    <s v="SOLFIN"/>
    <s v="SOLFIN"/>
    <s v="CCMS"/>
    <n v="21327835"/>
    <n v="12682.59"/>
    <m/>
    <s v="N"/>
    <n v="88"/>
    <d v="2023-07-04T19:00:56"/>
    <s v="Y"/>
    <s v="Preparation - drafting statement"/>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115"/>
    <d v="2023-07-04T19:00:56"/>
    <s v="Y"/>
    <s v="Routine Letter In"/>
    <s v="Prescribed Hourly Rates"/>
    <s v="Profit Cost"/>
    <s v="IK"/>
    <s v="Y"/>
    <n v="444.02"/>
    <n v="88.81"/>
    <x v="1"/>
    <s v="VALIDATED"/>
    <n v="1"/>
    <s v="01.11.80.307.6100.0000"/>
    <n v="444.02"/>
    <s v="11"/>
    <s v="6100"/>
    <n v="8497.200000000001"/>
    <n v="444.02"/>
    <s v="CREDITOR"/>
    <n v="0"/>
    <n v="0"/>
    <n v="0"/>
    <n v="0"/>
    <n v="444.02"/>
  </r>
  <r>
    <n v="59517102"/>
    <s v="N"/>
    <n v="21327835"/>
    <s v="3000013923950014"/>
    <s v="CIVIL"/>
    <d v="2023-06-26T00:00:00"/>
    <d v="2023-07-04T19:00:44"/>
    <m/>
    <d v="2023-07-04T00:00:00"/>
    <n v="879"/>
    <n v="17441"/>
    <s v="59517102"/>
    <s v="59517102"/>
    <m/>
    <m/>
    <n v="22763514"/>
    <m/>
    <m/>
    <m/>
    <s v="SOLFIN"/>
    <s v="SOLFIN"/>
    <s v="CCMS"/>
    <n v="21327835"/>
    <n v="12682.59"/>
    <m/>
    <s v="N"/>
    <n v="51"/>
    <d v="2023-07-04T19:00:56"/>
    <s v="Y"/>
    <s v="Preparation - other"/>
    <s v="Prescribed Hourly Rates"/>
    <s v="Profit Cost"/>
    <s v="VP"/>
    <s v="Y"/>
    <n v="10.98"/>
    <n v="2.2"/>
    <x v="1"/>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9"/>
    <d v="2023-07-19T19:02:26"/>
    <s v="Y"/>
    <s v="Preparation - drafting instructions"/>
    <s v="Prescribed Hourly Rates"/>
    <s v="Profit Cost"/>
    <s v="GR"/>
    <s v="Y"/>
    <n v="65.88"/>
    <n v="13.18"/>
    <x v="5"/>
    <s v="VALIDATED"/>
    <n v="1"/>
    <s v="01.11.80.307.6100.0000"/>
    <n v="65.88"/>
    <s v="11"/>
    <s v="6100"/>
    <n v="8497.200000000001"/>
    <n v="65.88"/>
    <s v="CREDITOR"/>
    <n v="0"/>
    <n v="0"/>
    <n v="0"/>
    <n v="0"/>
    <n v="65.88"/>
  </r>
  <r>
    <n v="5268901"/>
    <s v="N"/>
    <n v="15865648"/>
    <s v="300000211120CT89"/>
    <s v="CIVIL"/>
    <d v="2020-12-15T00:00:00"/>
    <d v="2020-12-15T10:57:33"/>
    <m/>
    <d v="2020-12-15T00:00:00"/>
    <n v="879"/>
    <n v="17441"/>
    <s v="5268901"/>
    <s v="5268901"/>
    <m/>
    <m/>
    <m/>
    <m/>
    <m/>
    <m/>
    <s v="CCMSCR"/>
    <s v="CCMSCR"/>
    <s v="Manual Invoice Entry"/>
    <n v="15865648"/>
    <n v="0"/>
    <m/>
    <s v="N"/>
    <n v="1"/>
    <d v="2020-12-15T10:57:59"/>
    <s v="N"/>
    <m/>
    <m/>
    <s v="Profit Cost"/>
    <m/>
    <s v="N"/>
    <n v="0"/>
    <n v="91.91"/>
    <x v="15"/>
    <s v="TESTED BUT NOT VALIDATED"/>
    <n v="2"/>
    <s v="01.11.80.301.6100.0000"/>
    <n v="229.77"/>
    <s v="11"/>
    <s v="6100"/>
    <n v="8497.200000000001"/>
    <n v="229.77"/>
    <s v="CREDITOR"/>
    <n v="0"/>
    <n v="0"/>
    <n v="0"/>
    <n v="0"/>
    <n v="229.77"/>
  </r>
  <r>
    <n v="5268901"/>
    <s v="N"/>
    <n v="15865648"/>
    <s v="300000211120CT89"/>
    <s v="CIVIL"/>
    <d v="2020-12-15T00:00:00"/>
    <d v="2020-12-15T10:57:33"/>
    <m/>
    <d v="2020-12-15T00:00:00"/>
    <n v="879"/>
    <n v="17441"/>
    <s v="5268901"/>
    <s v="5268901"/>
    <m/>
    <m/>
    <m/>
    <m/>
    <m/>
    <m/>
    <s v="CCMSCR"/>
    <s v="CCMSCR"/>
    <s v="Manual Invoice Entry"/>
    <n v="15865648"/>
    <n v="0"/>
    <m/>
    <s v="N"/>
    <n v="1"/>
    <d v="2020-12-15T10:57:59"/>
    <s v="N"/>
    <m/>
    <m/>
    <s v="Profit Cost"/>
    <m/>
    <s v="N"/>
    <n v="0"/>
    <n v="91.91"/>
    <x v="15"/>
    <s v="TESTED BUT NOT VALIDATED"/>
    <n v="1"/>
    <s v="01.11.80.301.6100.0000"/>
    <n v="-229.77"/>
    <s v="11"/>
    <s v="6100"/>
    <n v="8497.200000000001"/>
    <n v="-229.77"/>
    <s v="CREDITOR"/>
    <n v="0"/>
    <n v="0"/>
    <n v="0"/>
    <n v="0"/>
    <n v="-229.77"/>
  </r>
  <r>
    <n v="10501628"/>
    <s v="N"/>
    <n v="21330972"/>
    <s v="3000006348010028"/>
    <s v="CIVIL"/>
    <d v="2023-06-22T00:00:00"/>
    <d v="2023-07-05T19:01:47"/>
    <m/>
    <d v="2023-07-05T00:00:00"/>
    <n v="879"/>
    <n v="17441"/>
    <s v="10501628"/>
    <s v="10501628"/>
    <m/>
    <m/>
    <n v="22741360"/>
    <m/>
    <m/>
    <m/>
    <s v="SOLFIN"/>
    <s v="SOLFIN"/>
    <s v="CCMS"/>
    <n v="21330972"/>
    <n v="16642.41"/>
    <m/>
    <s v="N"/>
    <n v="18"/>
    <d v="2023-07-05T19:02:00"/>
    <s v="Y"/>
    <s v="Hearing Unit 2.31 - 5.00 Hours"/>
    <s v="Public Law Children"/>
    <s v="Advocacy"/>
    <s v="SJS"/>
    <s v="Y"/>
    <n v="476.92"/>
    <n v="95.38"/>
    <x v="6"/>
    <s v="VALIDATED"/>
    <n v="1"/>
    <s v="01.11.80.308.6100.0000"/>
    <n v="476.92"/>
    <s v="11"/>
    <s v="6100"/>
    <n v="8497.200000000001"/>
    <n v="476.92"/>
    <s v="CREDITOR"/>
    <n v="0"/>
    <n v="0"/>
    <n v="0"/>
    <n v="0"/>
    <n v="476.92"/>
  </r>
  <r>
    <n v="10501628"/>
    <s v="N"/>
    <n v="21330972"/>
    <s v="3000006348010028"/>
    <s v="CIVIL"/>
    <d v="2023-06-22T00:00:00"/>
    <d v="2023-07-05T19:01:47"/>
    <m/>
    <d v="2023-07-05T00:00:00"/>
    <n v="879"/>
    <n v="17441"/>
    <s v="10501628"/>
    <s v="10501628"/>
    <m/>
    <m/>
    <n v="22741360"/>
    <m/>
    <m/>
    <m/>
    <s v="SOLFIN"/>
    <s v="SOLFIN"/>
    <s v="CCMS"/>
    <n v="21330972"/>
    <n v="16642.41"/>
    <m/>
    <s v="N"/>
    <n v="5"/>
    <d v="2023-07-05T19:02:00"/>
    <s v="Y"/>
    <s v="Child psychologist"/>
    <s v="Public Law Children"/>
    <s v="Expert Disbursement"/>
    <s v="SJS"/>
    <s v="Y"/>
    <n v="901.13"/>
    <n v="0"/>
    <x v="6"/>
    <s v="VALIDATED"/>
    <n v="1"/>
    <s v="01.11.80.308.6300.0000"/>
    <n v="901.13"/>
    <s v="11"/>
    <s v="6300"/>
    <n v="8497.200000000001"/>
    <n v="901.13"/>
    <s v="CREDITOR"/>
    <n v="0"/>
    <n v="0"/>
    <n v="0"/>
    <n v="0"/>
    <n v="901.13"/>
  </r>
  <r>
    <n v="59517102"/>
    <s v="N"/>
    <n v="21327835"/>
    <s v="3000013923950014"/>
    <s v="CIVIL"/>
    <d v="2023-06-26T00:00:00"/>
    <d v="2023-07-04T19:00:44"/>
    <m/>
    <d v="2023-07-04T00:00:00"/>
    <n v="879"/>
    <n v="17441"/>
    <s v="59517102"/>
    <s v="59517102"/>
    <m/>
    <m/>
    <n v="22763514"/>
    <m/>
    <m/>
    <m/>
    <s v="SOLFIN"/>
    <s v="SOLFIN"/>
    <s v="CCMS"/>
    <n v="21327835"/>
    <n v="12682.59"/>
    <m/>
    <s v="N"/>
    <n v="34"/>
    <d v="2023-07-04T19:00:56"/>
    <s v="Y"/>
    <s v="Preparation - drafting application"/>
    <s v="Prescribed Hourly Rates"/>
    <s v="Profit Cost"/>
    <s v="GR"/>
    <s v="Y"/>
    <n v="137.25"/>
    <n v="27.45"/>
    <x v="1"/>
    <s v="VALIDATED"/>
    <n v="1"/>
    <s v="01.11.80.307.6100.0000"/>
    <n v="137.25"/>
    <s v="11"/>
    <s v="6100"/>
    <n v="8497.200000000001"/>
    <n v="137.25"/>
    <s v="CREDITOR"/>
    <n v="0"/>
    <n v="0"/>
    <n v="0"/>
    <n v="0"/>
    <n v="137.25"/>
  </r>
  <r>
    <n v="60899405"/>
    <s v="N"/>
    <n v="21395413"/>
    <s v="3000015119790003"/>
    <s v="CIVIL"/>
    <d v="2023-06-29T00:00:00"/>
    <d v="2023-07-19T19:02:01"/>
    <m/>
    <d v="2023-07-19T00:00:00"/>
    <n v="879"/>
    <n v="17441"/>
    <s v="60899405"/>
    <s v="60899405"/>
    <m/>
    <m/>
    <n v="22790582"/>
    <m/>
    <m/>
    <m/>
    <s v="SOLFIN"/>
    <s v="SOLFIN"/>
    <s v="CCMS"/>
    <n v="21395413"/>
    <n v="2746.54"/>
    <m/>
    <s v="N"/>
    <n v="14"/>
    <d v="2023-07-19T19:02:26"/>
    <s v="Y"/>
    <s v="Preparation - drafting application"/>
    <s v="Prescribed Hourly Rates"/>
    <s v="Profit Cost"/>
    <s v="VP"/>
    <s v="Y"/>
    <n v="27.45"/>
    <n v="5.49"/>
    <x v="5"/>
    <s v="VALIDATED"/>
    <n v="1"/>
    <s v="01.11.80.307.6100.0000"/>
    <n v="27.45"/>
    <s v="11"/>
    <s v="6100"/>
    <n v="8497.200000000001"/>
    <n v="27.45"/>
    <s v="CREDITOR"/>
    <n v="0"/>
    <n v="0"/>
    <n v="0"/>
    <n v="0"/>
    <n v="27.45"/>
  </r>
  <r>
    <n v="60899405"/>
    <s v="N"/>
    <n v="21395413"/>
    <s v="3000015119790003"/>
    <s v="CIVIL"/>
    <d v="2023-06-29T00:00:00"/>
    <d v="2023-07-19T19:02:01"/>
    <m/>
    <d v="2023-07-19T00:00:00"/>
    <n v="879"/>
    <n v="17441"/>
    <s v="60899405"/>
    <s v="60899405"/>
    <m/>
    <m/>
    <n v="22790582"/>
    <m/>
    <m/>
    <m/>
    <s v="SOLFIN"/>
    <s v="SOLFIN"/>
    <s v="CCMS"/>
    <n v="21395413"/>
    <n v="2746.54"/>
    <m/>
    <s v="N"/>
    <n v="19"/>
    <d v="2023-07-19T19:02:26"/>
    <s v="Y"/>
    <s v="Preparation - other"/>
    <s v="Prescribed Hourly Rates"/>
    <s v="Profit Cost"/>
    <s v="GR"/>
    <s v="Y"/>
    <n v="10.98"/>
    <n v="2.2"/>
    <x v="5"/>
    <s v="VALIDATED"/>
    <n v="1"/>
    <s v="01.11.80.307.6100.0000"/>
    <n v="10.98"/>
    <s v="11"/>
    <s v="6100"/>
    <n v="8497.200000000001"/>
    <n v="10.98"/>
    <s v="CREDITOR"/>
    <n v="0"/>
    <n v="0"/>
    <n v="0"/>
    <n v="0"/>
    <n v="10.98"/>
  </r>
  <r>
    <n v="10501628"/>
    <s v="N"/>
    <n v="21330972"/>
    <s v="3000006348010028"/>
    <s v="CIVIL"/>
    <d v="2023-06-22T00:00:00"/>
    <d v="2023-07-05T19:01:47"/>
    <m/>
    <d v="2023-07-05T00:00:00"/>
    <n v="879"/>
    <n v="17441"/>
    <s v="10501628"/>
    <s v="10501628"/>
    <m/>
    <m/>
    <n v="22741360"/>
    <m/>
    <m/>
    <m/>
    <s v="SOLFIN"/>
    <s v="SOLFIN"/>
    <s v="CCMS"/>
    <n v="21330972"/>
    <n v="16642.41"/>
    <m/>
    <s v="N"/>
    <n v="22"/>
    <d v="2023-07-05T19:02:00"/>
    <s v="Y"/>
    <s v="Advocates Meeting"/>
    <s v="Public Law Children"/>
    <s v="Advocacy"/>
    <s v="SJS"/>
    <s v="Y"/>
    <n v="140.99"/>
    <n v="28.2"/>
    <x v="6"/>
    <s v="VALIDATED"/>
    <n v="1"/>
    <s v="01.11.80.308.6100.0000"/>
    <n v="140.99"/>
    <s v="11"/>
    <s v="6100"/>
    <n v="8497.200000000001"/>
    <n v="140.99"/>
    <s v="CREDITOR"/>
    <n v="0"/>
    <n v="0"/>
    <n v="0"/>
    <n v="0"/>
    <n v="140.99"/>
  </r>
  <r>
    <n v="60899405"/>
    <s v="N"/>
    <n v="21395413"/>
    <s v="3000015119790003"/>
    <s v="CIVIL"/>
    <d v="2023-06-29T00:00:00"/>
    <d v="2023-07-19T19:02:01"/>
    <m/>
    <d v="2023-07-19T00:00:00"/>
    <n v="879"/>
    <n v="17441"/>
    <s v="60899405"/>
    <s v="60899405"/>
    <m/>
    <m/>
    <n v="22790582"/>
    <m/>
    <m/>
    <m/>
    <s v="SOLFIN"/>
    <s v="SOLFIN"/>
    <s v="CCMS"/>
    <n v="21395413"/>
    <n v="2746.54"/>
    <m/>
    <s v="N"/>
    <n v="15"/>
    <d v="2023-07-19T19:02:26"/>
    <s v="Y"/>
    <s v="Preparation - drafting application"/>
    <s v="Prescribed Hourly Rates"/>
    <s v="Profit Cost"/>
    <s v="VP"/>
    <s v="Y"/>
    <n v="27.45"/>
    <n v="5.49"/>
    <x v="5"/>
    <s v="VALIDATED"/>
    <n v="1"/>
    <s v="01.11.80.307.6100.0000"/>
    <n v="27.45"/>
    <s v="11"/>
    <s v="6100"/>
    <n v="8497.200000000001"/>
    <n v="27.45"/>
    <s v="CREDITOR"/>
    <n v="0"/>
    <n v="0"/>
    <n v="0"/>
    <n v="0"/>
    <n v="27.45"/>
  </r>
  <r>
    <n v="60899405"/>
    <s v="N"/>
    <n v="21395413"/>
    <s v="3000015119790003"/>
    <s v="CIVIL"/>
    <d v="2023-06-29T00:00:00"/>
    <d v="2023-07-19T19:02:01"/>
    <m/>
    <d v="2023-07-19T00:00:00"/>
    <n v="879"/>
    <n v="17441"/>
    <s v="60899405"/>
    <s v="60899405"/>
    <m/>
    <m/>
    <n v="22790582"/>
    <m/>
    <m/>
    <m/>
    <s v="SOLFIN"/>
    <s v="SOLFIN"/>
    <s v="CCMS"/>
    <n v="21395413"/>
    <n v="2746.54"/>
    <m/>
    <s v="N"/>
    <n v="33"/>
    <d v="2023-07-19T19:02:26"/>
    <s v="Y"/>
    <s v="Preparation - other"/>
    <s v="Prescribed Hourly Rates"/>
    <s v="Profit Cost"/>
    <s v="LW"/>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32"/>
    <d v="2023-07-04T19:00:56"/>
    <s v="Y"/>
    <s v="Preparation - other"/>
    <s v="Prescribed Hourly Rates"/>
    <s v="Profit Cost"/>
    <s v="VP"/>
    <s v="Y"/>
    <n v="131.76"/>
    <n v="26.35"/>
    <x v="1"/>
    <s v="VALIDATED"/>
    <n v="1"/>
    <s v="01.11.80.307.6100.0000"/>
    <n v="131.76"/>
    <s v="11"/>
    <s v="6100"/>
    <n v="8497.200000000001"/>
    <n v="131.76"/>
    <s v="CREDITOR"/>
    <n v="0"/>
    <n v="0"/>
    <n v="0"/>
    <n v="0"/>
    <n v="131.76"/>
  </r>
  <r>
    <n v="10501628"/>
    <s v="N"/>
    <n v="21330972"/>
    <s v="3000006348010028"/>
    <s v="CIVIL"/>
    <d v="2023-06-22T00:00:00"/>
    <d v="2023-07-05T19:01:47"/>
    <m/>
    <d v="2023-07-05T00:00:00"/>
    <n v="879"/>
    <n v="17441"/>
    <s v="10501628"/>
    <s v="10501628"/>
    <m/>
    <m/>
    <n v="22741360"/>
    <m/>
    <m/>
    <m/>
    <s v="SOLFIN"/>
    <s v="SOLFIN"/>
    <s v="CCMS"/>
    <n v="21330972"/>
    <n v="16642.41"/>
    <m/>
    <s v="N"/>
    <n v="2"/>
    <d v="2023-07-05T19:02:00"/>
    <s v="Y"/>
    <s v="Exceptional Travel"/>
    <s v="Public Law Children"/>
    <s v="Advocacy"/>
    <s v="SJS"/>
    <s v="Y"/>
    <n v="32.04"/>
    <n v="6.41"/>
    <x v="6"/>
    <s v="VALIDATED"/>
    <n v="1"/>
    <s v="01.11.80.308.6100.0000"/>
    <n v="32.04"/>
    <s v="11"/>
    <s v="6100"/>
    <n v="8497.200000000001"/>
    <n v="32.04"/>
    <s v="CREDITOR"/>
    <n v="0"/>
    <n v="0"/>
    <n v="0"/>
    <n v="0"/>
    <n v="32.04"/>
  </r>
  <r>
    <n v="59517102"/>
    <s v="N"/>
    <n v="21327835"/>
    <s v="3000013923950014"/>
    <s v="CIVIL"/>
    <d v="2023-06-26T00:00:00"/>
    <d v="2023-07-04T19:00:44"/>
    <m/>
    <d v="2023-07-04T00:00:00"/>
    <n v="879"/>
    <n v="17441"/>
    <s v="59517102"/>
    <s v="59517102"/>
    <m/>
    <m/>
    <n v="22763514"/>
    <m/>
    <m/>
    <m/>
    <s v="SOLFIN"/>
    <s v="SOLFIN"/>
    <s v="CCMS"/>
    <n v="21327835"/>
    <n v="12682.59"/>
    <m/>
    <s v="N"/>
    <n v="59"/>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19"/>
    <d v="2023-07-04T19:00:56"/>
    <s v="Y"/>
    <s v="Preparation - other"/>
    <s v="Prescribed Hourly Rates"/>
    <s v="Profit Cost"/>
    <s v="MDL"/>
    <s v="Y"/>
    <n v="54.9"/>
    <n v="10.98"/>
    <x v="1"/>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53"/>
    <d v="2023-07-19T19:02:26"/>
    <s v="Y"/>
    <s v="Preparation - other"/>
    <s v="Prescribed Hourly Rates"/>
    <s v="Profit Cost"/>
    <s v="GR"/>
    <s v="Y"/>
    <n v="10.98"/>
    <n v="2.2"/>
    <x v="5"/>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54"/>
    <d v="2023-07-19T19:02:26"/>
    <s v="Y"/>
    <s v="Attendance upon client"/>
    <s v="Prescribed Hourly Rates"/>
    <s v="Profit Cost"/>
    <s v="LW"/>
    <s v="Y"/>
    <n v="27.45"/>
    <n v="5.49"/>
    <x v="5"/>
    <s v="VALIDATED"/>
    <n v="1"/>
    <s v="01.11.80.307.6100.0000"/>
    <n v="27.45"/>
    <s v="11"/>
    <s v="6100"/>
    <n v="8497.200000000001"/>
    <n v="27.45"/>
    <s v="CREDITOR"/>
    <n v="0"/>
    <n v="0"/>
    <n v="0"/>
    <n v="0"/>
    <n v="27.45"/>
  </r>
  <r>
    <n v="60899405"/>
    <s v="N"/>
    <n v="21395413"/>
    <s v="3000015119790003"/>
    <s v="CIVIL"/>
    <d v="2023-06-29T00:00:00"/>
    <d v="2023-07-19T19:02:01"/>
    <m/>
    <d v="2023-07-19T00:00:00"/>
    <n v="879"/>
    <n v="17441"/>
    <s v="60899405"/>
    <s v="60899405"/>
    <m/>
    <m/>
    <n v="22790582"/>
    <m/>
    <m/>
    <m/>
    <s v="SOLFIN"/>
    <s v="SOLFIN"/>
    <s v="CCMS"/>
    <n v="21395413"/>
    <n v="2746.54"/>
    <m/>
    <s v="N"/>
    <n v="62"/>
    <d v="2023-07-19T19:02:26"/>
    <s v="Y"/>
    <s v="Hearing Unit 0.00 - 1.00 Hours"/>
    <s v="Private Law Children"/>
    <s v="Advocacy"/>
    <s v="LW"/>
    <s v="Y"/>
    <n v="68.94"/>
    <n v="13.79"/>
    <x v="5"/>
    <s v="VALIDATED"/>
    <n v="1"/>
    <s v="01.11.80.307.6100.0000"/>
    <n v="68.94"/>
    <s v="11"/>
    <s v="6100"/>
    <n v="8497.200000000001"/>
    <n v="68.94"/>
    <s v="CREDITOR"/>
    <n v="0"/>
    <n v="0"/>
    <n v="0"/>
    <n v="0"/>
    <n v="68.94"/>
  </r>
  <r>
    <n v="60899405"/>
    <s v="N"/>
    <n v="21395413"/>
    <s v="3000015119790003"/>
    <s v="CIVIL"/>
    <d v="2023-06-29T00:00:00"/>
    <d v="2023-07-19T19:02:01"/>
    <m/>
    <d v="2023-07-19T00:00:00"/>
    <n v="879"/>
    <n v="17441"/>
    <s v="60899405"/>
    <s v="60899405"/>
    <m/>
    <m/>
    <n v="22790582"/>
    <m/>
    <m/>
    <m/>
    <s v="SOLFIN"/>
    <s v="SOLFIN"/>
    <s v="CCMS"/>
    <n v="21395413"/>
    <n v="2746.54"/>
    <m/>
    <s v="N"/>
    <n v="41"/>
    <d v="2023-07-19T19:02:26"/>
    <s v="Y"/>
    <s v="Preparation - other"/>
    <s v="Prescribed Hourly Rates"/>
    <s v="Profit Cost"/>
    <s v="GR"/>
    <s v="Y"/>
    <n v="65.88"/>
    <n v="13.18"/>
    <x v="5"/>
    <s v="VALIDATED"/>
    <n v="1"/>
    <s v="01.11.80.307.6100.0000"/>
    <n v="65.88"/>
    <s v="11"/>
    <s v="6100"/>
    <n v="8497.200000000001"/>
    <n v="65.88"/>
    <s v="CREDITOR"/>
    <n v="0"/>
    <n v="0"/>
    <n v="0"/>
    <n v="0"/>
    <n v="65.88"/>
  </r>
  <r>
    <n v="59517102"/>
    <s v="N"/>
    <n v="21327835"/>
    <s v="3000013923950014"/>
    <s v="CIVIL"/>
    <d v="2023-06-26T00:00:00"/>
    <d v="2023-07-04T19:00:44"/>
    <m/>
    <d v="2023-07-04T00:00:00"/>
    <n v="879"/>
    <n v="17441"/>
    <s v="59517102"/>
    <s v="59517102"/>
    <m/>
    <m/>
    <n v="22763514"/>
    <m/>
    <m/>
    <m/>
    <s v="SOLFIN"/>
    <s v="SOLFIN"/>
    <s v="CCMS"/>
    <n v="21327835"/>
    <n v="12682.59"/>
    <m/>
    <s v="N"/>
    <n v="13"/>
    <d v="2023-07-04T19:00:56"/>
    <s v="Y"/>
    <s v="Preparation - other"/>
    <s v="Prescribed Hourly Rates"/>
    <s v="Profit Cost"/>
    <s v="VP"/>
    <s v="Y"/>
    <n v="43.92"/>
    <n v="8.779999999999999"/>
    <x v="1"/>
    <s v="VALIDATED"/>
    <n v="1"/>
    <s v="01.11.80.307.6100.0000"/>
    <n v="43.92"/>
    <s v="11"/>
    <s v="6100"/>
    <n v="8497.200000000001"/>
    <n v="43.92"/>
    <s v="CREDITOR"/>
    <n v="0"/>
    <n v="0"/>
    <n v="0"/>
    <n v="0"/>
    <n v="43.92"/>
  </r>
  <r>
    <n v="10501628"/>
    <s v="N"/>
    <n v="21330972"/>
    <s v="3000006348010028"/>
    <s v="CIVIL"/>
    <d v="2023-06-22T00:00:00"/>
    <d v="2023-07-05T19:01:47"/>
    <m/>
    <d v="2023-07-05T00:00:00"/>
    <n v="879"/>
    <n v="17441"/>
    <s v="10501628"/>
    <s v="10501628"/>
    <m/>
    <m/>
    <n v="22741360"/>
    <m/>
    <m/>
    <m/>
    <s v="SOLFIN"/>
    <s v="SOLFIN"/>
    <s v="CCMS"/>
    <n v="21330972"/>
    <n v="16642.41"/>
    <m/>
    <s v="N"/>
    <n v="24"/>
    <d v="2023-07-05T19:02:00"/>
    <s v="Y"/>
    <s v="Hearing Unit 0.00 - 1.00 Hours"/>
    <s v="Public Law Children"/>
    <s v="Advocacy"/>
    <s v="SJS"/>
    <s v="Y"/>
    <n v="95.40000000000001"/>
    <n v="19.08"/>
    <x v="6"/>
    <s v="VALIDATED"/>
    <n v="1"/>
    <s v="01.11.80.308.6100.0000"/>
    <n v="95.40000000000001"/>
    <s v="11"/>
    <s v="6100"/>
    <n v="8497.200000000001"/>
    <n v="95.40000000000001"/>
    <s v="CREDITOR"/>
    <n v="0"/>
    <n v="0"/>
    <n v="0"/>
    <n v="0"/>
    <n v="95.40000000000001"/>
  </r>
  <r>
    <n v="59517102"/>
    <s v="N"/>
    <n v="21327835"/>
    <s v="3000013923950014"/>
    <s v="CIVIL"/>
    <d v="2023-06-26T00:00:00"/>
    <d v="2023-07-04T19:00:44"/>
    <m/>
    <d v="2023-07-04T00:00:00"/>
    <n v="879"/>
    <n v="17441"/>
    <s v="59517102"/>
    <s v="59517102"/>
    <m/>
    <m/>
    <n v="22763514"/>
    <m/>
    <m/>
    <m/>
    <s v="SOLFIN"/>
    <s v="SOLFIN"/>
    <s v="CCMS"/>
    <n v="21327835"/>
    <n v="12682.59"/>
    <m/>
    <s v="N"/>
    <n v="62"/>
    <d v="2023-07-04T19:00:56"/>
    <s v="Y"/>
    <s v="Attendance upon other"/>
    <s v="Prescribed Hourly Rates"/>
    <s v="Profit Cost"/>
    <s v="VP"/>
    <s v="Y"/>
    <n v="10.98"/>
    <n v="2.2"/>
    <x v="1"/>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71"/>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77"/>
    <d v="2023-07-04T19:00:56"/>
    <s v="Y"/>
    <s v="Preparation - other"/>
    <s v="Prescribed Hourly Rates"/>
    <s v="Profit Cost"/>
    <s v="IK"/>
    <s v="Y"/>
    <n v="63.14"/>
    <n v="12.63"/>
    <x v="1"/>
    <s v="VALIDATED"/>
    <n v="1"/>
    <s v="01.11.80.307.6100.0000"/>
    <n v="63.14"/>
    <s v="11"/>
    <s v="6100"/>
    <n v="8497.200000000001"/>
    <n v="63.14"/>
    <s v="CREDITOR"/>
    <n v="0"/>
    <n v="0"/>
    <n v="0"/>
    <n v="0"/>
    <n v="63.14"/>
  </r>
  <r>
    <n v="59517102"/>
    <s v="N"/>
    <n v="21327835"/>
    <s v="3000013923950014"/>
    <s v="CIVIL"/>
    <d v="2023-06-26T00:00:00"/>
    <d v="2023-07-04T19:00:44"/>
    <m/>
    <d v="2023-07-04T00:00:00"/>
    <n v="879"/>
    <n v="17441"/>
    <s v="59517102"/>
    <s v="59517102"/>
    <m/>
    <m/>
    <n v="22763514"/>
    <m/>
    <m/>
    <m/>
    <s v="SOLFIN"/>
    <s v="SOLFIN"/>
    <s v="CCMS"/>
    <n v="21327835"/>
    <n v="12682.59"/>
    <m/>
    <s v="N"/>
    <n v="87"/>
    <d v="2023-07-04T19:00:56"/>
    <s v="Y"/>
    <s v="Preparation - drafting statement"/>
    <s v="Prescribed Hourly Rates"/>
    <s v="Profit Cost"/>
    <s v="IK"/>
    <s v="Y"/>
    <n v="37.88"/>
    <n v="7.58"/>
    <x v="1"/>
    <s v="VALIDATED"/>
    <n v="1"/>
    <s v="01.11.80.307.6100.0000"/>
    <n v="37.88"/>
    <s v="11"/>
    <s v="6100"/>
    <n v="8497.200000000001"/>
    <n v="37.88"/>
    <s v="CREDITOR"/>
    <n v="0"/>
    <n v="0"/>
    <n v="0"/>
    <n v="0"/>
    <n v="37.88"/>
  </r>
  <r>
    <n v="60899405"/>
    <s v="N"/>
    <n v="21395413"/>
    <s v="3000015119790003"/>
    <s v="CIVIL"/>
    <d v="2023-06-29T00:00:00"/>
    <d v="2023-07-19T19:02:01"/>
    <m/>
    <d v="2023-07-19T00:00:00"/>
    <n v="879"/>
    <n v="17441"/>
    <s v="60899405"/>
    <s v="60899405"/>
    <m/>
    <m/>
    <n v="22790582"/>
    <m/>
    <m/>
    <m/>
    <s v="SOLFIN"/>
    <s v="SOLFIN"/>
    <s v="CCMS"/>
    <n v="21395413"/>
    <n v="2746.54"/>
    <m/>
    <s v="N"/>
    <n v="43"/>
    <d v="2023-07-19T19:02:26"/>
    <s v="Y"/>
    <s v="Preparation - other"/>
    <s v="Prescribed Hourly Rates"/>
    <s v="Profit Cost"/>
    <s v="GR"/>
    <s v="Y"/>
    <n v="10.98"/>
    <n v="2.2"/>
    <x v="5"/>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61"/>
    <d v="2023-07-19T19:02:26"/>
    <s v="Y"/>
    <s v="Preparation - drafting attendance n"/>
    <s v="Prescribed Hourly Rates"/>
    <s v="Profit Cost"/>
    <s v="GR"/>
    <s v="Y"/>
    <n v="27.45"/>
    <n v="5.49"/>
    <x v="5"/>
    <s v="VALIDATED"/>
    <n v="1"/>
    <s v="01.11.80.307.6100.0000"/>
    <n v="27.45"/>
    <s v="11"/>
    <s v="6100"/>
    <n v="8497.200000000001"/>
    <n v="27.45"/>
    <s v="CREDITOR"/>
    <n v="0"/>
    <n v="0"/>
    <n v="0"/>
    <n v="0"/>
    <n v="27.45"/>
  </r>
  <r>
    <n v="59517102"/>
    <s v="N"/>
    <n v="21327835"/>
    <s v="3000013923950014"/>
    <s v="CIVIL"/>
    <d v="2023-06-26T00:00:00"/>
    <d v="2023-07-04T19:00:44"/>
    <m/>
    <d v="2023-07-04T00:00:00"/>
    <n v="879"/>
    <n v="17441"/>
    <s v="59517102"/>
    <s v="59517102"/>
    <m/>
    <m/>
    <n v="22763514"/>
    <m/>
    <m/>
    <m/>
    <s v="SOLFIN"/>
    <s v="SOLFIN"/>
    <s v="CCMS"/>
    <n v="21327835"/>
    <n v="12682.59"/>
    <m/>
    <s v="N"/>
    <n v="104"/>
    <d v="2023-07-04T19:00:56"/>
    <s v="Y"/>
    <s v="Preparation - other"/>
    <s v="Prescribed Hourly Rates"/>
    <s v="Profit Cost"/>
    <s v="IK"/>
    <s v="Y"/>
    <n v="6.31"/>
    <n v="1.26"/>
    <x v="1"/>
    <s v="VALIDATED"/>
    <n v="1"/>
    <s v="01.11.80.307.6100.0000"/>
    <n v="6.31"/>
    <s v="11"/>
    <s v="6100"/>
    <n v="8497.200000000001"/>
    <n v="6.31"/>
    <s v="CREDITOR"/>
    <n v="0"/>
    <n v="0"/>
    <n v="0"/>
    <n v="0"/>
    <n v="6.31"/>
  </r>
  <r>
    <n v="60899405"/>
    <s v="N"/>
    <n v="21395413"/>
    <s v="3000015119790003"/>
    <s v="CIVIL"/>
    <d v="2023-06-29T00:00:00"/>
    <d v="2023-07-19T19:02:01"/>
    <m/>
    <d v="2023-07-19T00:00:00"/>
    <n v="879"/>
    <n v="17441"/>
    <s v="60899405"/>
    <s v="60899405"/>
    <m/>
    <m/>
    <n v="22790582"/>
    <m/>
    <m/>
    <m/>
    <s v="SOLFIN"/>
    <s v="SOLFIN"/>
    <s v="CCMS"/>
    <n v="21395413"/>
    <n v="2746.54"/>
    <m/>
    <s v="N"/>
    <n v="6"/>
    <d v="2023-07-19T19:02:26"/>
    <s v="Y"/>
    <s v="Preparation - drafting bill/claim f"/>
    <s v="Prescribed Hourly Rates"/>
    <s v="Profit Cost"/>
    <s v="ACC"/>
    <s v="Y"/>
    <n v="10.98"/>
    <n v="2.2"/>
    <x v="5"/>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7"/>
    <d v="2023-07-19T19:02:26"/>
    <s v="Y"/>
    <s v="Preparation - other"/>
    <s v="Prescribed Hourly Rates"/>
    <s v="Profit Cost"/>
    <s v="GR"/>
    <s v="Y"/>
    <n v="21.96"/>
    <n v="4.39"/>
    <x v="5"/>
    <s v="VALIDATED"/>
    <n v="1"/>
    <s v="01.11.80.307.6100.0000"/>
    <n v="21.96"/>
    <s v="11"/>
    <s v="6100"/>
    <n v="8497.200000000001"/>
    <n v="21.96"/>
    <s v="CREDITOR"/>
    <n v="0"/>
    <n v="0"/>
    <n v="0"/>
    <n v="0"/>
    <n v="21.96"/>
  </r>
  <r>
    <n v="59517102"/>
    <s v="N"/>
    <n v="21327835"/>
    <s v="3000013923950014"/>
    <s v="CIVIL"/>
    <d v="2023-06-26T00:00:00"/>
    <d v="2023-07-04T19:00:44"/>
    <m/>
    <d v="2023-07-04T00:00:00"/>
    <n v="879"/>
    <n v="17441"/>
    <s v="59517102"/>
    <s v="59517102"/>
    <m/>
    <m/>
    <n v="22763514"/>
    <m/>
    <m/>
    <m/>
    <s v="SOLFIN"/>
    <s v="SOLFIN"/>
    <s v="CCMS"/>
    <n v="21327835"/>
    <n v="12682.59"/>
    <m/>
    <s v="N"/>
    <n v="29"/>
    <d v="2023-07-04T19:00:56"/>
    <s v="Y"/>
    <s v="Preparation - other"/>
    <s v="Prescribed Hourly Rates"/>
    <s v="Profit Cost"/>
    <s v="VP"/>
    <s v="Y"/>
    <n v="65.88"/>
    <n v="13.18"/>
    <x v="1"/>
    <s v="VALIDATED"/>
    <n v="1"/>
    <s v="01.11.80.307.6100.0000"/>
    <n v="65.88"/>
    <s v="11"/>
    <s v="6100"/>
    <n v="8497.200000000001"/>
    <n v="65.88"/>
    <s v="CREDITOR"/>
    <n v="0"/>
    <n v="0"/>
    <n v="0"/>
    <n v="0"/>
    <n v="65.88"/>
  </r>
  <r>
    <n v="59517102"/>
    <s v="N"/>
    <n v="21327835"/>
    <s v="3000013923950014"/>
    <s v="CIVIL"/>
    <d v="2023-06-26T00:00:00"/>
    <d v="2023-07-04T19:00:44"/>
    <m/>
    <d v="2023-07-04T00:00:00"/>
    <n v="879"/>
    <n v="17441"/>
    <s v="59517102"/>
    <s v="59517102"/>
    <m/>
    <m/>
    <n v="22763514"/>
    <m/>
    <m/>
    <m/>
    <s v="SOLFIN"/>
    <s v="SOLFIN"/>
    <s v="CCMS"/>
    <n v="21327835"/>
    <n v="12682.59"/>
    <m/>
    <s v="N"/>
    <n v="42"/>
    <d v="2023-07-04T19:00:56"/>
    <s v="Y"/>
    <s v="Preparation - other"/>
    <s v="Prescribed Hourly Rates"/>
    <s v="Profit Cost"/>
    <s v="IK"/>
    <s v="Y"/>
    <n v="44.19"/>
    <n v="8.84"/>
    <x v="1"/>
    <s v="VALIDATED"/>
    <n v="1"/>
    <s v="01.11.80.307.6100.0000"/>
    <n v="44.19"/>
    <s v="11"/>
    <s v="6100"/>
    <n v="8497.200000000001"/>
    <n v="44.19"/>
    <s v="CREDITOR"/>
    <n v="0"/>
    <n v="0"/>
    <n v="0"/>
    <n v="0"/>
    <n v="44.19"/>
  </r>
  <r>
    <n v="59517102"/>
    <s v="N"/>
    <n v="21327835"/>
    <s v="3000013923950014"/>
    <s v="CIVIL"/>
    <d v="2023-06-26T00:00:00"/>
    <d v="2023-07-04T19:00:44"/>
    <m/>
    <d v="2023-07-04T00:00:00"/>
    <n v="879"/>
    <n v="17441"/>
    <s v="59517102"/>
    <s v="59517102"/>
    <m/>
    <m/>
    <n v="22763514"/>
    <m/>
    <m/>
    <m/>
    <s v="SOLFIN"/>
    <s v="SOLFIN"/>
    <s v="CCMS"/>
    <n v="21327835"/>
    <n v="12682.59"/>
    <m/>
    <s v="N"/>
    <n v="43"/>
    <d v="2023-07-04T19:00:56"/>
    <s v="Y"/>
    <s v="Preparation - drafting notice(s)"/>
    <s v="Prescribed Hourly Rates"/>
    <s v="Profit Cost"/>
    <s v="VP"/>
    <s v="Y"/>
    <n v="10.98"/>
    <n v="2.2"/>
    <x v="1"/>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78"/>
    <d v="2023-07-04T19:00:56"/>
    <s v="Y"/>
    <s v="Advocacy - Directions Hearing"/>
    <s v="Prescribed Hourly Rates"/>
    <s v="Advocacy"/>
    <s v="IK"/>
    <s v="Y"/>
    <n v="130.41"/>
    <n v="26.08"/>
    <x v="1"/>
    <s v="VALIDATED"/>
    <n v="1"/>
    <s v="01.11.80.307.6100.0000"/>
    <n v="130.41"/>
    <s v="11"/>
    <s v="6100"/>
    <n v="8497.200000000001"/>
    <n v="130.41"/>
    <s v="CREDITOR"/>
    <n v="0"/>
    <n v="0"/>
    <n v="0"/>
    <n v="0"/>
    <n v="130.41"/>
  </r>
  <r>
    <n v="60899405"/>
    <s v="N"/>
    <n v="21395413"/>
    <s v="3000015119790003"/>
    <s v="CIVIL"/>
    <d v="2023-06-29T00:00:00"/>
    <d v="2023-07-19T19:02:01"/>
    <m/>
    <d v="2023-07-19T00:00:00"/>
    <n v="879"/>
    <n v="17441"/>
    <s v="60899405"/>
    <s v="60899405"/>
    <m/>
    <m/>
    <n v="22790582"/>
    <m/>
    <m/>
    <m/>
    <s v="SOLFIN"/>
    <s v="SOLFIN"/>
    <s v="CCMS"/>
    <n v="21395413"/>
    <n v="2746.54"/>
    <m/>
    <s v="N"/>
    <n v="58"/>
    <d v="2023-07-19T19:02:26"/>
    <s v="Y"/>
    <s v="Preparation - other"/>
    <s v="Prescribed Hourly Rates"/>
    <s v="Profit Cost"/>
    <s v="GR"/>
    <s v="Y"/>
    <n v="5.49"/>
    <n v="1.1"/>
    <x v="5"/>
    <s v="VALIDATED"/>
    <n v="1"/>
    <s v="01.11.80.307.6100.0000"/>
    <n v="5.49"/>
    <s v="11"/>
    <s v="6100"/>
    <n v="8497.200000000001"/>
    <n v="5.49"/>
    <s v="CREDITOR"/>
    <n v="0"/>
    <n v="0"/>
    <n v="0"/>
    <n v="0"/>
    <n v="5.49"/>
  </r>
  <r>
    <n v="59442799"/>
    <s v="N"/>
    <n v="21375877"/>
    <s v="3000013881430034"/>
    <s v="CIVIL"/>
    <d v="2023-06-26T00:00:00"/>
    <d v="2023-07-14T10:00:03"/>
    <m/>
    <d v="2023-07-14T00:00:00"/>
    <n v="879"/>
    <n v="17441"/>
    <s v="59442799"/>
    <s v="59442799"/>
    <m/>
    <m/>
    <n v="22763218"/>
    <m/>
    <m/>
    <m/>
    <s v="SOLPOA"/>
    <s v="SOLPOA"/>
    <s v="CCMS"/>
    <n v="21375877"/>
    <n v="880.0700000000001"/>
    <m/>
    <s v="N"/>
    <n v="1"/>
    <d v="2023-07-14T10:00:19"/>
    <s v="N"/>
    <s v="Expert Cost"/>
    <s v="Expert Cost"/>
    <s v="Expert Disbursement"/>
    <s v="Imran Khodabocus"/>
    <s v="N"/>
    <n v="733.39"/>
    <n v="146.68"/>
    <x v="10"/>
    <s v="VALIDATED"/>
    <n v="1"/>
    <s v="01.11.80.307.2012.0000"/>
    <n v="733.39"/>
    <s v="11"/>
    <s v="2012"/>
    <n v="8497.200000000001"/>
    <n v="733.39"/>
    <s v="CREDITOR"/>
    <n v="733.39"/>
    <n v="0"/>
    <n v="0"/>
    <n v="0"/>
    <n v="0"/>
  </r>
  <r>
    <n v="10501628"/>
    <s v="N"/>
    <n v="21330972"/>
    <s v="3000006348010028"/>
    <s v="CIVIL"/>
    <d v="2023-06-22T00:00:00"/>
    <d v="2023-07-05T19:01:47"/>
    <m/>
    <d v="2023-07-05T00:00:00"/>
    <n v="879"/>
    <n v="17441"/>
    <s v="10501628"/>
    <s v="10501628"/>
    <m/>
    <m/>
    <n v="22741360"/>
    <m/>
    <m/>
    <m/>
    <s v="SOLFIN"/>
    <s v="SOLFIN"/>
    <s v="CCMS"/>
    <n v="21330972"/>
    <n v="16642.41"/>
    <m/>
    <s v="N"/>
    <n v="16"/>
    <d v="2023-07-05T19:02:00"/>
    <s v="Y"/>
    <s v="Independent Social Worker"/>
    <s v="Public Law Children"/>
    <s v="Expert Disbursement"/>
    <s v="SJS"/>
    <s v="Y"/>
    <n v="522.4"/>
    <n v="0"/>
    <x v="6"/>
    <s v="VALIDATED"/>
    <n v="1"/>
    <s v="01.11.80.308.6300.0000"/>
    <n v="522.4"/>
    <s v="11"/>
    <s v="6300"/>
    <n v="8497.200000000001"/>
    <n v="522.4"/>
    <s v="CREDITOR"/>
    <n v="0"/>
    <n v="0"/>
    <n v="0"/>
    <n v="0"/>
    <n v="522.4"/>
  </r>
  <r>
    <n v="59517102"/>
    <s v="N"/>
    <n v="21327835"/>
    <s v="3000013923950014"/>
    <s v="CIVIL"/>
    <d v="2023-06-26T00:00:00"/>
    <d v="2023-07-04T19:00:44"/>
    <m/>
    <d v="2023-07-04T00:00:00"/>
    <n v="879"/>
    <n v="17441"/>
    <s v="59517102"/>
    <s v="59517102"/>
    <m/>
    <m/>
    <n v="22763514"/>
    <m/>
    <m/>
    <m/>
    <s v="SOLFIN"/>
    <s v="SOLFIN"/>
    <s v="CCMS"/>
    <n v="21327835"/>
    <n v="12682.59"/>
    <m/>
    <s v="N"/>
    <n v="98"/>
    <d v="2023-07-04T19:00:56"/>
    <s v="Y"/>
    <s v="Preparation - other"/>
    <s v="Prescribed Hourly Rates"/>
    <s v="Profit Cost"/>
    <s v="MDL"/>
    <s v="Y"/>
    <n v="10.98"/>
    <n v="2.2"/>
    <x v="1"/>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111"/>
    <d v="2023-07-04T19:00:56"/>
    <s v="Y"/>
    <s v="Routine Telephone Call"/>
    <s v="Prescribed Hourly Rates"/>
    <s v="Profit Cost"/>
    <s v="IK"/>
    <s v="Y"/>
    <n v="12.42"/>
    <n v="2.48"/>
    <x v="1"/>
    <s v="VALIDATED"/>
    <n v="1"/>
    <s v="01.11.80.307.6100.0000"/>
    <n v="12.42"/>
    <s v="11"/>
    <s v="6100"/>
    <n v="8497.200000000001"/>
    <n v="12.42"/>
    <s v="CREDITOR"/>
    <n v="0"/>
    <n v="0"/>
    <n v="0"/>
    <n v="0"/>
    <n v="12.42"/>
  </r>
  <r>
    <n v="62198324"/>
    <s v="N"/>
    <n v="21323550"/>
    <s v="3000016205560005"/>
    <s v="CIVIL"/>
    <d v="2023-06-30T00:00:00"/>
    <d v="2023-07-03T19:05:56"/>
    <m/>
    <d v="2023-07-03T00:00:00"/>
    <n v="879"/>
    <n v="17441"/>
    <s v="62198324"/>
    <s v="62198324"/>
    <m/>
    <m/>
    <n v="22797498"/>
    <m/>
    <m/>
    <m/>
    <s v="SOLPOA"/>
    <s v="SOLPOA"/>
    <s v="CCMS"/>
    <n v="21323550"/>
    <n v="30"/>
    <m/>
    <s v="N"/>
    <n v="1"/>
    <d v="2023-07-03T19:05:57"/>
    <s v="N"/>
    <s v="Expert Cost"/>
    <s v="Expert Cost"/>
    <s v="Expert Disbursement"/>
    <s v="Galina Labworth"/>
    <s v="N"/>
    <n v="30"/>
    <n v="0"/>
    <x v="3"/>
    <s v="VALIDATED"/>
    <n v="1"/>
    <s v="01.11.80.308.2012.0000"/>
    <n v="30"/>
    <s v="11"/>
    <s v="2012"/>
    <n v="8497.200000000001"/>
    <n v="30"/>
    <s v="CREDITOR"/>
    <n v="30"/>
    <n v="0"/>
    <n v="0"/>
    <n v="0"/>
    <n v="0"/>
  </r>
  <r>
    <n v="59517102"/>
    <s v="N"/>
    <n v="21327835"/>
    <s v="3000013923950014"/>
    <s v="CIVIL"/>
    <d v="2023-06-26T00:00:00"/>
    <d v="2023-07-04T19:00:44"/>
    <m/>
    <d v="2023-07-04T00:00:00"/>
    <n v="879"/>
    <n v="17441"/>
    <s v="59517102"/>
    <s v="59517102"/>
    <m/>
    <m/>
    <n v="22763514"/>
    <m/>
    <m/>
    <m/>
    <s v="SOLFIN"/>
    <s v="SOLFIN"/>
    <s v="CCMS"/>
    <n v="21327835"/>
    <n v="12682.59"/>
    <m/>
    <s v="N"/>
    <n v="49"/>
    <d v="2023-07-04T19:00:56"/>
    <s v="Y"/>
    <s v="Attendance upon other"/>
    <s v="Prescribed Hourly Rates"/>
    <s v="Profit Cost"/>
    <s v="RL"/>
    <s v="Y"/>
    <n v="10.98"/>
    <n v="2.2"/>
    <x v="1"/>
    <s v="VALIDATED"/>
    <n v="1"/>
    <s v="01.11.80.307.6100.0000"/>
    <n v="10.98"/>
    <s v="11"/>
    <s v="6100"/>
    <n v="8497.200000000001"/>
    <n v="10.98"/>
    <s v="CREDITOR"/>
    <n v="0"/>
    <n v="0"/>
    <n v="0"/>
    <n v="0"/>
    <n v="10.98"/>
  </r>
  <r>
    <n v="10501628"/>
    <s v="N"/>
    <n v="21330972"/>
    <s v="3000006348010028"/>
    <s v="CIVIL"/>
    <d v="2023-06-22T00:00:00"/>
    <d v="2023-07-05T19:01:47"/>
    <m/>
    <d v="2023-07-05T00:00:00"/>
    <n v="879"/>
    <n v="17441"/>
    <s v="10501628"/>
    <s v="10501628"/>
    <m/>
    <m/>
    <n v="22741360"/>
    <m/>
    <m/>
    <m/>
    <s v="SOLFIN"/>
    <s v="SOLFIN"/>
    <s v="CCMS"/>
    <n v="21330972"/>
    <n v="16642.41"/>
    <m/>
    <s v="N"/>
    <n v="9"/>
    <d v="2023-07-05T19:02:00"/>
    <s v="Y"/>
    <s v="Solicitor Travel Expenses"/>
    <s v="Public Law Children"/>
    <s v="Non Expert Disbursement"/>
    <s v="SJS"/>
    <s v="Y"/>
    <n v="12"/>
    <n v="0"/>
    <x v="6"/>
    <s v="VALIDATED"/>
    <n v="1"/>
    <s v="01.11.80.308.6300.0000"/>
    <n v="12"/>
    <s v="11"/>
    <s v="6300"/>
    <n v="8497.200000000001"/>
    <n v="12"/>
    <s v="CREDITOR"/>
    <n v="0"/>
    <n v="0"/>
    <n v="0"/>
    <n v="0"/>
    <n v="12"/>
  </r>
  <r>
    <n v="59517102"/>
    <s v="N"/>
    <n v="21327835"/>
    <s v="3000013923950014"/>
    <s v="CIVIL"/>
    <d v="2023-06-26T00:00:00"/>
    <d v="2023-07-04T19:00:44"/>
    <m/>
    <d v="2023-07-04T00:00:00"/>
    <n v="879"/>
    <n v="17441"/>
    <s v="59517102"/>
    <s v="59517102"/>
    <m/>
    <m/>
    <n v="22763514"/>
    <m/>
    <m/>
    <m/>
    <s v="SOLFIN"/>
    <s v="SOLFIN"/>
    <s v="CCMS"/>
    <n v="21327835"/>
    <n v="12682.59"/>
    <m/>
    <s v="N"/>
    <n v="58"/>
    <d v="2023-07-04T19:00:56"/>
    <s v="Y"/>
    <s v="Preparation - other"/>
    <s v="Prescribed Hourly Rates"/>
    <s v="Profit Cost"/>
    <s v="RL"/>
    <s v="Y"/>
    <n v="5.49"/>
    <n v="1.1"/>
    <x v="1"/>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72"/>
    <d v="2023-07-04T19:00:56"/>
    <s v="Y"/>
    <s v="Preparation - other"/>
    <s v="Prescribed Hourly Rates"/>
    <s v="Profit Cost"/>
    <s v="MM"/>
    <s v="Y"/>
    <n v="21.96"/>
    <n v="4.39"/>
    <x v="1"/>
    <s v="VALIDATED"/>
    <n v="1"/>
    <s v="01.11.80.307.6100.0000"/>
    <n v="21.96"/>
    <s v="11"/>
    <s v="6100"/>
    <n v="8497.200000000001"/>
    <n v="21.96"/>
    <s v="CREDITOR"/>
    <n v="0"/>
    <n v="0"/>
    <n v="0"/>
    <n v="0"/>
    <n v="21.96"/>
  </r>
  <r>
    <n v="59517102"/>
    <s v="N"/>
    <n v="21327835"/>
    <s v="3000013923950014"/>
    <s v="CIVIL"/>
    <d v="2023-06-26T00:00:00"/>
    <d v="2023-07-04T19:00:44"/>
    <m/>
    <d v="2023-07-04T00:00:00"/>
    <n v="879"/>
    <n v="17441"/>
    <s v="59517102"/>
    <s v="59517102"/>
    <m/>
    <m/>
    <n v="22763514"/>
    <m/>
    <m/>
    <m/>
    <s v="SOLFIN"/>
    <s v="SOLFIN"/>
    <s v="CCMS"/>
    <n v="21327835"/>
    <n v="12682.59"/>
    <m/>
    <s v="N"/>
    <n v="44"/>
    <d v="2023-07-04T19:00:56"/>
    <s v="Y"/>
    <s v="Advocacy - Directions Hearing"/>
    <s v="Prescribed Hourly Rates"/>
    <s v="Advocacy"/>
    <s v="IK"/>
    <s v="Y"/>
    <n v="39.12"/>
    <n v="7.82"/>
    <x v="1"/>
    <s v="VALIDATED"/>
    <n v="1"/>
    <s v="01.11.80.307.6100.0000"/>
    <n v="39.12"/>
    <s v="11"/>
    <s v="6100"/>
    <n v="8497.200000000001"/>
    <n v="39.12"/>
    <s v="CREDITOR"/>
    <n v="0"/>
    <n v="0"/>
    <n v="0"/>
    <n v="0"/>
    <n v="39.12"/>
  </r>
  <r>
    <n v="10501628"/>
    <s v="N"/>
    <n v="21330972"/>
    <s v="3000006348010028"/>
    <s v="CIVIL"/>
    <d v="2023-06-22T00:00:00"/>
    <d v="2023-07-05T19:01:47"/>
    <m/>
    <d v="2023-07-05T00:00:00"/>
    <n v="879"/>
    <n v="17441"/>
    <s v="10501628"/>
    <s v="10501628"/>
    <m/>
    <m/>
    <n v="22741360"/>
    <m/>
    <m/>
    <m/>
    <s v="SOLFIN"/>
    <s v="SOLFIN"/>
    <s v="CCMS"/>
    <n v="21330972"/>
    <n v="16642.41"/>
    <m/>
    <s v="N"/>
    <n v="17"/>
    <d v="2023-07-05T19:02:00"/>
    <s v="Y"/>
    <s v="Advocates Meeting"/>
    <s v="Public Law Children"/>
    <s v="Advocacy"/>
    <s v="SJS"/>
    <s v="Y"/>
    <n v="140.99"/>
    <n v="28.2"/>
    <x v="6"/>
    <s v="VALIDATED"/>
    <n v="1"/>
    <s v="01.11.80.308.6100.0000"/>
    <n v="140.99"/>
    <s v="11"/>
    <s v="6100"/>
    <n v="8497.200000000001"/>
    <n v="140.99"/>
    <s v="CREDITOR"/>
    <n v="0"/>
    <n v="0"/>
    <n v="0"/>
    <n v="0"/>
    <n v="140.99"/>
  </r>
  <r>
    <n v="59517102"/>
    <s v="N"/>
    <n v="21327835"/>
    <s v="3000013923950014"/>
    <s v="CIVIL"/>
    <d v="2023-06-26T00:00:00"/>
    <d v="2023-07-04T19:00:44"/>
    <m/>
    <d v="2023-07-04T00:00:00"/>
    <n v="879"/>
    <n v="17441"/>
    <s v="59517102"/>
    <s v="59517102"/>
    <m/>
    <m/>
    <n v="22763514"/>
    <m/>
    <m/>
    <m/>
    <s v="SOLFIN"/>
    <s v="SOLFIN"/>
    <s v="CCMS"/>
    <n v="21327835"/>
    <n v="12682.59"/>
    <m/>
    <s v="N"/>
    <n v="81"/>
    <d v="2023-07-04T19:00:56"/>
    <s v="Y"/>
    <s v="Preparation - other"/>
    <s v="Prescribed Hourly Rates"/>
    <s v="Profit Cost"/>
    <s v="RL"/>
    <s v="Y"/>
    <n v="5.49"/>
    <n v="1.1"/>
    <x v="1"/>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45"/>
    <d v="2023-07-04T19:00:56"/>
    <s v="Y"/>
    <s v="Attendance upon client"/>
    <s v="Prescribed Hourly Rates"/>
    <s v="Profit Cost"/>
    <s v="IK"/>
    <s v="Y"/>
    <n v="12.63"/>
    <n v="2.53"/>
    <x v="1"/>
    <s v="VALIDATED"/>
    <n v="1"/>
    <s v="01.11.80.307.6100.0000"/>
    <n v="12.63"/>
    <s v="11"/>
    <s v="6100"/>
    <n v="8497.200000000001"/>
    <n v="12.63"/>
    <s v="CREDITOR"/>
    <n v="0"/>
    <n v="0"/>
    <n v="0"/>
    <n v="0"/>
    <n v="12.63"/>
  </r>
  <r>
    <n v="61609530"/>
    <s v="N"/>
    <n v="21375445"/>
    <s v="3000015716310003"/>
    <s v="CIVIL"/>
    <d v="2023-06-29T00:00:00"/>
    <d v="2023-07-14T10:00:03"/>
    <m/>
    <d v="2023-07-14T00:00:00"/>
    <n v="879"/>
    <n v="17441"/>
    <s v="61609530"/>
    <s v="61609530"/>
    <m/>
    <m/>
    <n v="22792770"/>
    <m/>
    <m/>
    <m/>
    <s v="SOLPOA"/>
    <s v="SOLPOA"/>
    <s v="CCMS"/>
    <n v="21375445"/>
    <n v="232"/>
    <m/>
    <s v="N"/>
    <n v="1"/>
    <d v="2023-07-14T10:00:15"/>
    <s v="N"/>
    <s v="Non Expert Disbursement - Private L"/>
    <s v="Non Expert Disbursement - Priv"/>
    <s v="Non Expert Disbursement"/>
    <s v="Zoe Hewines"/>
    <s v="N"/>
    <n v="232"/>
    <n v="0"/>
    <x v="10"/>
    <s v="VALIDATED"/>
    <n v="1"/>
    <s v="01.11.80.307.2012.0000"/>
    <n v="232"/>
    <s v="11"/>
    <s v="2012"/>
    <n v="8497.200000000001"/>
    <n v="232"/>
    <s v="CREDITOR"/>
    <n v="232"/>
    <n v="0"/>
    <n v="0"/>
    <n v="0"/>
    <n v="0"/>
  </r>
  <r>
    <n v="62038129"/>
    <s v="N"/>
    <n v="21318684"/>
    <s v="3000015925370002"/>
    <s v="CIVIL"/>
    <d v="2023-06-16T00:00:00"/>
    <d v="2023-07-03T19:01:49"/>
    <m/>
    <d v="2023-07-03T00:00:00"/>
    <n v="879"/>
    <n v="17441"/>
    <s v="62038129"/>
    <s v="62038129"/>
    <m/>
    <m/>
    <n v="22708816"/>
    <m/>
    <m/>
    <m/>
    <s v="SOLPOA"/>
    <s v="SOLPOA"/>
    <s v="CCMS"/>
    <n v="21318684"/>
    <n v="232"/>
    <m/>
    <s v="N"/>
    <n v="1"/>
    <d v="2023-07-03T19:02:01"/>
    <s v="N"/>
    <s v="Non Expert Disbursement - Private L"/>
    <s v="Non Expert Disbursement - Priv"/>
    <s v="Non Expert Disbursement"/>
    <s v="Mary-Ann Wanjiku"/>
    <s v="N"/>
    <n v="232"/>
    <n v="0"/>
    <x v="3"/>
    <s v="VALIDATED"/>
    <n v="1"/>
    <s v="01.11.80.307.2012.0000"/>
    <n v="232"/>
    <s v="11"/>
    <s v="2012"/>
    <n v="8497.200000000001"/>
    <n v="232"/>
    <s v="CREDITOR"/>
    <n v="232"/>
    <n v="0"/>
    <n v="0"/>
    <n v="0"/>
    <n v="0"/>
  </r>
  <r>
    <n v="60899405"/>
    <s v="N"/>
    <n v="21395413"/>
    <s v="3000015119790003"/>
    <s v="CIVIL"/>
    <d v="2023-06-29T00:00:00"/>
    <d v="2023-07-19T19:02:01"/>
    <m/>
    <d v="2023-07-19T00:00:00"/>
    <n v="879"/>
    <n v="17441"/>
    <s v="60899405"/>
    <s v="60899405"/>
    <m/>
    <m/>
    <n v="22790582"/>
    <m/>
    <m/>
    <m/>
    <s v="SOLFIN"/>
    <s v="SOLFIN"/>
    <s v="CCMS"/>
    <n v="21395413"/>
    <n v="2746.54"/>
    <m/>
    <s v="N"/>
    <n v="38"/>
    <d v="2023-07-19T19:02:26"/>
    <s v="Y"/>
    <s v="Preparation - other"/>
    <s v="Prescribed Hourly Rates"/>
    <s v="Profit Cost"/>
    <s v="LW"/>
    <s v="Y"/>
    <n v="27.45"/>
    <n v="5.49"/>
    <x v="5"/>
    <s v="VALIDATED"/>
    <n v="1"/>
    <s v="01.11.80.307.6100.0000"/>
    <n v="27.45"/>
    <s v="11"/>
    <s v="6100"/>
    <n v="8497.200000000001"/>
    <n v="27.45"/>
    <s v="CREDITOR"/>
    <n v="0"/>
    <n v="0"/>
    <n v="0"/>
    <n v="0"/>
    <n v="27.45"/>
  </r>
  <r>
    <n v="59517102"/>
    <s v="N"/>
    <n v="21327835"/>
    <s v="3000013923950014"/>
    <s v="CIVIL"/>
    <d v="2023-06-26T00:00:00"/>
    <d v="2023-07-04T19:00:44"/>
    <m/>
    <d v="2023-07-04T00:00:00"/>
    <n v="879"/>
    <n v="17441"/>
    <s v="59517102"/>
    <s v="59517102"/>
    <m/>
    <m/>
    <n v="22763514"/>
    <m/>
    <m/>
    <m/>
    <s v="SOLFIN"/>
    <s v="SOLFIN"/>
    <s v="CCMS"/>
    <n v="21327835"/>
    <n v="12682.59"/>
    <m/>
    <s v="N"/>
    <n v="1"/>
    <d v="2023-07-04T19:00:56"/>
    <s v="Y"/>
    <s v="Court Fee"/>
    <s v="Prescribed Hourly Rates"/>
    <s v="Non Expert Disbursement"/>
    <s v="IK"/>
    <s v="Y"/>
    <n v="155"/>
    <n v="0"/>
    <x v="1"/>
    <s v="VALIDATED"/>
    <n v="1"/>
    <s v="01.11.80.307.6300.0000"/>
    <n v="155"/>
    <s v="11"/>
    <s v="6300"/>
    <n v="8497.200000000001"/>
    <n v="155"/>
    <s v="CREDITOR"/>
    <n v="0"/>
    <n v="0"/>
    <n v="0"/>
    <n v="0"/>
    <n v="155"/>
  </r>
  <r>
    <n v="59517102"/>
    <s v="N"/>
    <n v="21327835"/>
    <s v="3000013923950014"/>
    <s v="CIVIL"/>
    <d v="2023-06-26T00:00:00"/>
    <d v="2023-07-04T19:00:44"/>
    <m/>
    <d v="2023-07-04T00:00:00"/>
    <n v="879"/>
    <n v="17441"/>
    <s v="59517102"/>
    <s v="59517102"/>
    <m/>
    <m/>
    <n v="22763514"/>
    <m/>
    <m/>
    <m/>
    <s v="SOLFIN"/>
    <s v="SOLFIN"/>
    <s v="CCMS"/>
    <n v="21327835"/>
    <n v="12682.59"/>
    <m/>
    <s v="N"/>
    <n v="67"/>
    <d v="2023-07-04T19:00:56"/>
    <s v="Y"/>
    <s v="Preparation - other"/>
    <s v="Prescribed Hourly Rates"/>
    <s v="Profit Cost"/>
    <s v="IK"/>
    <s v="Y"/>
    <n v="82.08"/>
    <n v="16.42"/>
    <x v="1"/>
    <s v="VALIDATED"/>
    <n v="1"/>
    <s v="01.11.80.307.6100.0000"/>
    <n v="82.08"/>
    <s v="11"/>
    <s v="6100"/>
    <n v="8497.200000000001"/>
    <n v="82.08"/>
    <s v="CREDITOR"/>
    <n v="0"/>
    <n v="0"/>
    <n v="0"/>
    <n v="0"/>
    <n v="82.08"/>
  </r>
  <r>
    <n v="59517102"/>
    <s v="N"/>
    <n v="21327835"/>
    <s v="3000013923950014"/>
    <s v="CIVIL"/>
    <d v="2023-06-26T00:00:00"/>
    <d v="2023-07-04T19:00:44"/>
    <m/>
    <d v="2023-07-04T00:00:00"/>
    <n v="879"/>
    <n v="17441"/>
    <s v="59517102"/>
    <s v="59517102"/>
    <m/>
    <m/>
    <n v="22763514"/>
    <m/>
    <m/>
    <m/>
    <s v="SOLFIN"/>
    <s v="SOLFIN"/>
    <s v="CCMS"/>
    <n v="21327835"/>
    <n v="12682.59"/>
    <m/>
    <s v="N"/>
    <n v="101"/>
    <d v="2023-07-04T19:00:56"/>
    <s v="Y"/>
    <s v="Preparation - other"/>
    <s v="Prescribed Hourly Rates"/>
    <s v="Profit Cost"/>
    <s v="IK"/>
    <s v="Y"/>
    <n v="25.25"/>
    <n v="5.05"/>
    <x v="1"/>
    <s v="VALIDATED"/>
    <n v="1"/>
    <s v="01.11.80.307.6100.0000"/>
    <n v="25.25"/>
    <s v="11"/>
    <s v="6100"/>
    <n v="8497.200000000001"/>
    <n v="25.25"/>
    <s v="CREDITOR"/>
    <n v="0"/>
    <n v="0"/>
    <n v="0"/>
    <n v="0"/>
    <n v="25.25"/>
  </r>
  <r>
    <n v="59517102"/>
    <s v="N"/>
    <n v="21327835"/>
    <s v="3000013923950014"/>
    <s v="CIVIL"/>
    <d v="2023-06-26T00:00:00"/>
    <d v="2023-07-04T19:00:44"/>
    <m/>
    <d v="2023-07-04T00:00:00"/>
    <n v="879"/>
    <n v="17441"/>
    <s v="59517102"/>
    <s v="59517102"/>
    <m/>
    <m/>
    <n v="22763514"/>
    <m/>
    <m/>
    <m/>
    <s v="SOLFIN"/>
    <s v="SOLFIN"/>
    <s v="CCMS"/>
    <n v="21327835"/>
    <n v="12682.59"/>
    <m/>
    <s v="N"/>
    <n v="36"/>
    <d v="2023-07-04T19:00:56"/>
    <s v="Y"/>
    <s v="Preparation - other"/>
    <s v="Prescribed Hourly Rates"/>
    <s v="Profit Cost"/>
    <s v="GR"/>
    <s v="Y"/>
    <n v="21.96"/>
    <n v="4.39"/>
    <x v="1"/>
    <s v="VALIDATED"/>
    <n v="1"/>
    <s v="01.11.80.307.6100.0000"/>
    <n v="21.96"/>
    <s v="11"/>
    <s v="6100"/>
    <n v="8497.200000000001"/>
    <n v="21.96"/>
    <s v="CREDITOR"/>
    <n v="0"/>
    <n v="0"/>
    <n v="0"/>
    <n v="0"/>
    <n v="21.96"/>
  </r>
  <r>
    <n v="60899405"/>
    <s v="N"/>
    <n v="21395413"/>
    <s v="3000015119790003"/>
    <s v="CIVIL"/>
    <d v="2023-06-29T00:00:00"/>
    <d v="2023-07-19T19:02:01"/>
    <m/>
    <d v="2023-07-19T00:00:00"/>
    <n v="879"/>
    <n v="17441"/>
    <s v="60899405"/>
    <s v="60899405"/>
    <m/>
    <m/>
    <n v="22790582"/>
    <m/>
    <m/>
    <m/>
    <s v="SOLFIN"/>
    <s v="SOLFIN"/>
    <s v="CCMS"/>
    <n v="21395413"/>
    <n v="2746.54"/>
    <m/>
    <s v="N"/>
    <n v="56"/>
    <d v="2023-07-19T19:02:26"/>
    <s v="Y"/>
    <s v="Preparation - other"/>
    <s v="Prescribed Hourly Rates"/>
    <s v="Profit Cost"/>
    <s v="LW"/>
    <s v="Y"/>
    <n v="10.98"/>
    <n v="2.2"/>
    <x v="5"/>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2"/>
    <d v="2023-07-19T19:02:26"/>
    <s v="Y"/>
    <s v="Preparation - drafting attendance n"/>
    <s v="Prescribed Hourly Rates"/>
    <s v="Profit Cost"/>
    <s v="GR"/>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114"/>
    <d v="2023-07-04T19:00:56"/>
    <s v="Y"/>
    <s v="Routine Letter Out"/>
    <s v="Prescribed Hourly Rates"/>
    <s v="Profit Cost"/>
    <s v="RL"/>
    <s v="Y"/>
    <n v="631.8"/>
    <n v="126.35"/>
    <x v="1"/>
    <s v="VALIDATED"/>
    <n v="1"/>
    <s v="01.11.80.307.6100.0000"/>
    <n v="631.8"/>
    <s v="11"/>
    <s v="6100"/>
    <n v="8497.200000000001"/>
    <n v="631.8"/>
    <s v="CREDITOR"/>
    <n v="0"/>
    <n v="0"/>
    <n v="0"/>
    <n v="0"/>
    <n v="631.8"/>
  </r>
  <r>
    <n v="59517102"/>
    <s v="N"/>
    <n v="21327835"/>
    <s v="3000013923950014"/>
    <s v="CIVIL"/>
    <d v="2023-06-26T00:00:00"/>
    <d v="2023-07-04T19:00:44"/>
    <m/>
    <d v="2023-07-04T00:00:00"/>
    <n v="879"/>
    <n v="17441"/>
    <s v="59517102"/>
    <s v="59517102"/>
    <m/>
    <m/>
    <n v="22763514"/>
    <m/>
    <m/>
    <m/>
    <s v="SOLFIN"/>
    <s v="SOLFIN"/>
    <s v="CCMS"/>
    <n v="21327835"/>
    <n v="12682.59"/>
    <m/>
    <s v="N"/>
    <n v="7"/>
    <d v="2023-07-04T19:00:56"/>
    <s v="Y"/>
    <s v="Psychiatrist"/>
    <s v="Prescribed Hourly Rates"/>
    <s v="Expert Disbursement"/>
    <s v="IK"/>
    <s v="Y"/>
    <n v="1080"/>
    <n v="0"/>
    <x v="1"/>
    <s v="VALIDATED"/>
    <n v="1"/>
    <s v="01.11.80.307.6300.0000"/>
    <n v="1080"/>
    <s v="11"/>
    <s v="6300"/>
    <n v="8497.200000000001"/>
    <n v="1080"/>
    <s v="CREDITOR"/>
    <n v="0"/>
    <n v="0"/>
    <n v="0"/>
    <n v="0"/>
    <n v="1080"/>
  </r>
  <r>
    <n v="60899405"/>
    <s v="N"/>
    <n v="21395413"/>
    <s v="3000015119790003"/>
    <s v="CIVIL"/>
    <d v="2023-06-29T00:00:00"/>
    <d v="2023-07-19T19:02:01"/>
    <m/>
    <d v="2023-07-19T00:00:00"/>
    <n v="879"/>
    <n v="17441"/>
    <s v="60899405"/>
    <s v="60899405"/>
    <m/>
    <m/>
    <n v="22790582"/>
    <m/>
    <m/>
    <m/>
    <s v="SOLFIN"/>
    <s v="SOLFIN"/>
    <s v="CCMS"/>
    <n v="21395413"/>
    <n v="2746.54"/>
    <m/>
    <s v="N"/>
    <n v="64"/>
    <d v="2023-07-19T19:02:26"/>
    <s v="N"/>
    <s v="Level 3 &amp; Level 4 Fixed Fee"/>
    <s v="Private Law Children"/>
    <s v="Profit Cost"/>
    <s v="GR"/>
    <s v="N"/>
    <n v="0"/>
    <n v="0"/>
    <x v="5"/>
    <s v="VALIDATED"/>
    <n v="1"/>
    <s v="01.11.80.307.6100.0000"/>
    <n v="0"/>
    <s v="11"/>
    <s v="6100"/>
    <n v="8497.200000000001"/>
    <n v="0"/>
    <s v="CREDITOR"/>
    <n v="0"/>
    <n v="0"/>
    <n v="0"/>
    <n v="0"/>
    <n v="0"/>
  </r>
  <r>
    <n v="40172407"/>
    <s v="N"/>
    <n v="21350112"/>
    <s v="3000010751610002"/>
    <s v="CIVIL"/>
    <d v="2023-06-30T00:00:00"/>
    <d v="2023-07-10T19:01:40"/>
    <m/>
    <d v="2023-07-10T00:00:00"/>
    <n v="879"/>
    <n v="17441"/>
    <s v="40172407"/>
    <s v="40172407"/>
    <m/>
    <m/>
    <n v="22794336"/>
    <m/>
    <m/>
    <m/>
    <s v="SOLFIN"/>
    <s v="SOLFIN"/>
    <s v="CCMS"/>
    <n v="21350112"/>
    <n v="1709.38"/>
    <m/>
    <s v="N"/>
    <n v="2"/>
    <d v="2023-07-10T19:02:14"/>
    <s v="Y"/>
    <s v="Hearing Unit 2.31 - 5.00 Hours"/>
    <s v="Private Law Children"/>
    <s v="Advocacy"/>
    <s v="MO"/>
    <s v="Y"/>
    <n v="313.48"/>
    <n v="62.7"/>
    <x v="2"/>
    <s v="VALIDATED"/>
    <n v="1"/>
    <s v="01.11.80.307.6100.0000"/>
    <n v="313.48"/>
    <s v="11"/>
    <s v="6100"/>
    <n v="8497.200000000001"/>
    <n v="313.48"/>
    <s v="CREDITOR"/>
    <n v="0"/>
    <n v="0"/>
    <n v="0"/>
    <n v="0"/>
    <n v="313.48"/>
  </r>
  <r>
    <n v="10501628"/>
    <s v="N"/>
    <n v="21330972"/>
    <s v="3000006348010028"/>
    <s v="CIVIL"/>
    <d v="2023-06-22T00:00:00"/>
    <d v="2023-07-05T19:01:47"/>
    <m/>
    <d v="2023-07-05T00:00:00"/>
    <n v="879"/>
    <n v="17441"/>
    <s v="10501628"/>
    <s v="10501628"/>
    <m/>
    <m/>
    <n v="22741360"/>
    <m/>
    <m/>
    <m/>
    <s v="SOLFIN"/>
    <s v="SOLFIN"/>
    <s v="CCMS"/>
    <n v="21330972"/>
    <n v="16642.41"/>
    <m/>
    <s v="N"/>
    <n v="20"/>
    <d v="2023-07-05T19:02:00"/>
    <s v="Y"/>
    <s v="Advocates Meeting"/>
    <s v="Public Law Children"/>
    <s v="Advocacy"/>
    <s v="SJS"/>
    <s v="Y"/>
    <n v="140.99"/>
    <n v="28.2"/>
    <x v="6"/>
    <s v="VALIDATED"/>
    <n v="1"/>
    <s v="01.11.80.308.6100.0000"/>
    <n v="140.99"/>
    <s v="11"/>
    <s v="6100"/>
    <n v="8497.200000000001"/>
    <n v="140.99"/>
    <s v="CREDITOR"/>
    <n v="0"/>
    <n v="0"/>
    <n v="0"/>
    <n v="0"/>
    <n v="140.99"/>
  </r>
  <r>
    <n v="59517102"/>
    <s v="N"/>
    <n v="21327835"/>
    <s v="3000013923950014"/>
    <s v="CIVIL"/>
    <d v="2023-06-26T00:00:00"/>
    <d v="2023-07-04T19:00:44"/>
    <m/>
    <d v="2023-07-04T00:00:00"/>
    <n v="879"/>
    <n v="17441"/>
    <s v="59517102"/>
    <s v="59517102"/>
    <m/>
    <m/>
    <n v="22763514"/>
    <m/>
    <m/>
    <m/>
    <s v="SOLFIN"/>
    <s v="SOLFIN"/>
    <s v="CCMS"/>
    <n v="21327835"/>
    <n v="12682.59"/>
    <m/>
    <s v="N"/>
    <n v="2"/>
    <d v="2023-07-04T19:00:56"/>
    <s v="Y"/>
    <s v="Court Fee"/>
    <s v="Prescribed Hourly Rates"/>
    <s v="Non Expert Disbursement"/>
    <s v="IK"/>
    <s v="Y"/>
    <n v="167"/>
    <n v="0"/>
    <x v="1"/>
    <s v="VALIDATED"/>
    <n v="1"/>
    <s v="01.11.80.307.6300.0000"/>
    <n v="167"/>
    <s v="11"/>
    <s v="6300"/>
    <n v="8497.200000000001"/>
    <n v="167"/>
    <s v="CREDITOR"/>
    <n v="0"/>
    <n v="0"/>
    <n v="0"/>
    <n v="0"/>
    <n v="167"/>
  </r>
  <r>
    <n v="59517102"/>
    <s v="N"/>
    <n v="21327835"/>
    <s v="3000013923950014"/>
    <s v="CIVIL"/>
    <d v="2023-06-26T00:00:00"/>
    <d v="2023-07-04T19:00:44"/>
    <m/>
    <d v="2023-07-04T00:00:00"/>
    <n v="879"/>
    <n v="17441"/>
    <s v="59517102"/>
    <s v="59517102"/>
    <m/>
    <m/>
    <n v="22763514"/>
    <m/>
    <m/>
    <m/>
    <s v="SOLFIN"/>
    <s v="SOLFIN"/>
    <s v="CCMS"/>
    <n v="21327835"/>
    <n v="12682.59"/>
    <m/>
    <s v="N"/>
    <n v="116"/>
    <d v="2023-07-04T19:00:56"/>
    <s v="Y"/>
    <s v="Routine Letter In"/>
    <s v="Prescribed Hourly Rates"/>
    <s v="Profit Cost"/>
    <s v="RL"/>
    <s v="Y"/>
    <n v="213.3"/>
    <n v="42.66"/>
    <x v="1"/>
    <s v="VALIDATED"/>
    <n v="1"/>
    <s v="01.11.80.307.6100.0000"/>
    <n v="213.3"/>
    <s v="11"/>
    <s v="6100"/>
    <n v="8497.200000000001"/>
    <n v="213.3"/>
    <s v="CREDITOR"/>
    <n v="0"/>
    <n v="0"/>
    <n v="0"/>
    <n v="0"/>
    <n v="213.3"/>
  </r>
  <r>
    <n v="59517102"/>
    <s v="N"/>
    <n v="21327835"/>
    <s v="3000013923950014"/>
    <s v="CIVIL"/>
    <d v="2023-06-26T00:00:00"/>
    <d v="2023-07-04T19:00:44"/>
    <m/>
    <d v="2023-07-04T00:00:00"/>
    <n v="879"/>
    <n v="17441"/>
    <s v="59517102"/>
    <s v="59517102"/>
    <m/>
    <m/>
    <n v="22763514"/>
    <m/>
    <m/>
    <m/>
    <s v="SOLFIN"/>
    <s v="SOLFIN"/>
    <s v="CCMS"/>
    <n v="21327835"/>
    <n v="12682.59"/>
    <m/>
    <s v="N"/>
    <n v="47"/>
    <d v="2023-07-04T19:00:56"/>
    <s v="Y"/>
    <s v="Preparation - drafting attendance n"/>
    <s v="Prescribed Hourly Rates"/>
    <s v="Profit Cost"/>
    <s v="IK"/>
    <s v="Y"/>
    <n v="37.88"/>
    <n v="7.58"/>
    <x v="1"/>
    <s v="VALIDATED"/>
    <n v="1"/>
    <s v="01.11.80.307.6100.0000"/>
    <n v="37.88"/>
    <s v="11"/>
    <s v="6100"/>
    <n v="8497.200000000001"/>
    <n v="37.88"/>
    <s v="CREDITOR"/>
    <n v="0"/>
    <n v="0"/>
    <n v="0"/>
    <n v="0"/>
    <n v="37.88"/>
  </r>
  <r>
    <n v="60899405"/>
    <s v="N"/>
    <n v="21395413"/>
    <s v="3000015119790003"/>
    <s v="CIVIL"/>
    <d v="2023-06-29T00:00:00"/>
    <d v="2023-07-19T19:02:01"/>
    <m/>
    <d v="2023-07-19T00:00:00"/>
    <n v="879"/>
    <n v="17441"/>
    <s v="60899405"/>
    <s v="60899405"/>
    <m/>
    <m/>
    <n v="22790582"/>
    <m/>
    <m/>
    <m/>
    <s v="SOLFIN"/>
    <s v="SOLFIN"/>
    <s v="CCMS"/>
    <n v="21395413"/>
    <n v="2746.54"/>
    <m/>
    <s v="N"/>
    <n v="47"/>
    <d v="2023-07-19T19:02:26"/>
    <s v="Y"/>
    <s v="Routine Letter In"/>
    <s v="Prescribed Hourly Rates"/>
    <s v="Profit Cost"/>
    <s v="GR"/>
    <s v="Y"/>
    <n v="351"/>
    <n v="70.22"/>
    <x v="5"/>
    <s v="VALIDATED"/>
    <n v="1"/>
    <s v="01.11.80.307.6100.0000"/>
    <n v="351"/>
    <s v="11"/>
    <s v="6100"/>
    <n v="8497.200000000001"/>
    <n v="351"/>
    <s v="CREDITOR"/>
    <n v="0"/>
    <n v="0"/>
    <n v="0"/>
    <n v="0"/>
    <n v="351"/>
  </r>
  <r>
    <n v="60899405"/>
    <s v="N"/>
    <n v="21395413"/>
    <s v="3000015119790003"/>
    <s v="CIVIL"/>
    <d v="2023-06-29T00:00:00"/>
    <d v="2023-07-19T19:02:01"/>
    <m/>
    <d v="2023-07-19T00:00:00"/>
    <n v="879"/>
    <n v="17441"/>
    <s v="60899405"/>
    <s v="60899405"/>
    <m/>
    <m/>
    <n v="22790582"/>
    <m/>
    <m/>
    <m/>
    <s v="SOLFIN"/>
    <s v="SOLFIN"/>
    <s v="CCMS"/>
    <n v="21395413"/>
    <n v="2746.54"/>
    <m/>
    <s v="N"/>
    <n v="25"/>
    <d v="2023-07-19T19:02:26"/>
    <s v="Y"/>
    <s v="Preparation - drafting attendance n"/>
    <s v="Prescribed Hourly Rates"/>
    <s v="Profit Cost"/>
    <s v="LW"/>
    <s v="Y"/>
    <n v="5.49"/>
    <n v="1.1"/>
    <x v="5"/>
    <s v="VALIDATED"/>
    <n v="1"/>
    <s v="01.11.80.307.6100.0000"/>
    <n v="5.49"/>
    <s v="11"/>
    <s v="6100"/>
    <n v="8497.200000000001"/>
    <n v="5.49"/>
    <s v="CREDITOR"/>
    <n v="0"/>
    <n v="0"/>
    <n v="0"/>
    <n v="0"/>
    <n v="5.49"/>
  </r>
  <r>
    <n v="10958197"/>
    <s v="N"/>
    <n v="21318813"/>
    <s v="3000006686290046"/>
    <s v="CIVIL"/>
    <d v="2023-06-20T00:00:00"/>
    <d v="2023-07-03T19:01:49"/>
    <m/>
    <d v="2023-07-03T00:00:00"/>
    <n v="879"/>
    <n v="17441"/>
    <s v="10958197"/>
    <s v="10958197"/>
    <m/>
    <m/>
    <n v="22729458"/>
    <m/>
    <m/>
    <m/>
    <s v="SOLPOA"/>
    <s v="SOLPOA"/>
    <s v="CCMS"/>
    <n v="21318813"/>
    <n v="1587.32"/>
    <m/>
    <s v="N"/>
    <n v="1"/>
    <d v="2023-07-03T19:02:03"/>
    <s v="N"/>
    <s v="Expert Cost"/>
    <s v="Expert Cost"/>
    <s v="Expert Disbursement"/>
    <s v="IK"/>
    <s v="N"/>
    <n v="1322.77"/>
    <n v="264.55"/>
    <x v="3"/>
    <s v="VALIDATED"/>
    <n v="1"/>
    <s v="01.11.80.307.2012.0000"/>
    <n v="1322.77"/>
    <s v="11"/>
    <s v="2012"/>
    <n v="8497.200000000001"/>
    <n v="1322.77"/>
    <s v="CREDITOR"/>
    <n v="1322.77"/>
    <n v="0"/>
    <n v="0"/>
    <n v="0"/>
    <n v="0"/>
  </r>
  <r>
    <n v="10501628"/>
    <s v="N"/>
    <n v="21330972"/>
    <s v="3000006348010028"/>
    <s v="CIVIL"/>
    <d v="2023-06-22T00:00:00"/>
    <d v="2023-07-05T19:01:47"/>
    <m/>
    <d v="2023-07-05T00:00:00"/>
    <n v="879"/>
    <n v="17441"/>
    <s v="10501628"/>
    <s v="10501628"/>
    <m/>
    <m/>
    <n v="22741360"/>
    <m/>
    <m/>
    <m/>
    <s v="SOLFIN"/>
    <s v="SOLFIN"/>
    <s v="CCMS"/>
    <n v="21330972"/>
    <n v="16642.41"/>
    <m/>
    <s v="N"/>
    <n v="12"/>
    <d v="2023-07-05T19:02:00"/>
    <s v="Y"/>
    <s v="Client Travel Expenses"/>
    <s v="Public Law Children"/>
    <s v="Non Expert Disbursement"/>
    <s v="SJS"/>
    <s v="Y"/>
    <n v="45.63"/>
    <n v="0"/>
    <x v="6"/>
    <s v="VALIDATED"/>
    <n v="1"/>
    <s v="01.11.80.308.6300.0000"/>
    <n v="45.63"/>
    <s v="11"/>
    <s v="6300"/>
    <n v="8497.200000000001"/>
    <n v="45.63"/>
    <s v="CREDITOR"/>
    <n v="0"/>
    <n v="0"/>
    <n v="0"/>
    <n v="0"/>
    <n v="45.63"/>
  </r>
  <r>
    <n v="59517102"/>
    <s v="N"/>
    <n v="21327835"/>
    <s v="3000013923950014"/>
    <s v="CIVIL"/>
    <d v="2023-06-26T00:00:00"/>
    <d v="2023-07-04T19:00:44"/>
    <m/>
    <d v="2023-07-04T00:00:00"/>
    <n v="879"/>
    <n v="17441"/>
    <s v="59517102"/>
    <s v="59517102"/>
    <m/>
    <m/>
    <n v="22763514"/>
    <m/>
    <m/>
    <m/>
    <s v="SOLFIN"/>
    <s v="SOLFIN"/>
    <s v="CCMS"/>
    <n v="21327835"/>
    <n v="12682.59"/>
    <m/>
    <s v="N"/>
    <n v="38"/>
    <d v="2023-07-04T19:00:56"/>
    <s v="Y"/>
    <s v="Preparation - other"/>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39"/>
    <d v="2023-07-04T19:00:56"/>
    <s v="Y"/>
    <s v="Preparation - drafting statement"/>
    <s v="Prescribed Hourly Rates"/>
    <s v="Profit Cost"/>
    <s v="IK"/>
    <s v="Y"/>
    <n v="44.19"/>
    <n v="8.84"/>
    <x v="1"/>
    <s v="VALIDATED"/>
    <n v="1"/>
    <s v="01.11.80.307.6100.0000"/>
    <n v="44.19"/>
    <s v="11"/>
    <s v="6100"/>
    <n v="8497.200000000001"/>
    <n v="44.19"/>
    <s v="CREDITOR"/>
    <n v="0"/>
    <n v="0"/>
    <n v="0"/>
    <n v="0"/>
    <n v="44.19"/>
  </r>
  <r>
    <n v="60899405"/>
    <s v="N"/>
    <n v="21395413"/>
    <s v="3000015119790003"/>
    <s v="CIVIL"/>
    <d v="2023-06-29T00:00:00"/>
    <d v="2023-07-19T19:02:01"/>
    <m/>
    <d v="2023-07-19T00:00:00"/>
    <n v="879"/>
    <n v="17441"/>
    <s v="60899405"/>
    <s v="60899405"/>
    <m/>
    <m/>
    <n v="22790582"/>
    <m/>
    <m/>
    <m/>
    <s v="SOLFIN"/>
    <s v="SOLFIN"/>
    <s v="CCMS"/>
    <n v="21395413"/>
    <n v="2746.54"/>
    <m/>
    <s v="N"/>
    <n v="35"/>
    <d v="2023-07-19T19:02:26"/>
    <s v="Y"/>
    <s v="Preparation - drafting attendance n"/>
    <s v="Prescribed Hourly Rates"/>
    <s v="Profit Cost"/>
    <s v="LW"/>
    <s v="Y"/>
    <n v="10.98"/>
    <n v="2.2"/>
    <x v="5"/>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94"/>
    <d v="2023-07-04T19:00:56"/>
    <s v="Y"/>
    <s v="Preparation - other"/>
    <s v="Prescribed Hourly Rates"/>
    <s v="Profit Cost"/>
    <s v="IK"/>
    <s v="Y"/>
    <n v="25.25"/>
    <n v="5.05"/>
    <x v="1"/>
    <s v="VALIDATED"/>
    <n v="1"/>
    <s v="01.11.80.307.6100.0000"/>
    <n v="25.25"/>
    <s v="11"/>
    <s v="6100"/>
    <n v="8497.200000000001"/>
    <n v="25.25"/>
    <s v="CREDITOR"/>
    <n v="0"/>
    <n v="0"/>
    <n v="0"/>
    <n v="0"/>
    <n v="25.25"/>
  </r>
  <r>
    <n v="62011258"/>
    <s v="N"/>
    <n v="21375621"/>
    <s v="3000016053100004"/>
    <s v="CIVIL"/>
    <d v="2023-06-27T00:00:00"/>
    <d v="2023-07-14T10:00:03"/>
    <m/>
    <d v="2023-07-14T00:00:00"/>
    <n v="879"/>
    <n v="17441"/>
    <s v="62011258"/>
    <s v="62011258"/>
    <m/>
    <m/>
    <n v="22766746"/>
    <m/>
    <m/>
    <m/>
    <s v="SOLPOA"/>
    <s v="SOLPOA"/>
    <s v="CCMS"/>
    <n v="21375621"/>
    <n v="221.58"/>
    <m/>
    <s v="N"/>
    <n v="1"/>
    <d v="2023-07-14T10:00:16"/>
    <s v="N"/>
    <s v="Expert Cost - Domestic Abuse"/>
    <s v="Expert Cost - Domestic Abuse"/>
    <s v="Expert Disbursement"/>
    <s v="Mary-Ann Wanjiku"/>
    <s v="N"/>
    <n v="221.58"/>
    <n v="0"/>
    <x v="10"/>
    <s v="VALIDATED"/>
    <n v="1"/>
    <s v="01.11.80.302.2012.0000"/>
    <n v="221.58"/>
    <s v="11"/>
    <s v="2012"/>
    <n v="8497.200000000001"/>
    <n v="221.58"/>
    <s v="CREDITOR"/>
    <n v="221.58"/>
    <n v="0"/>
    <n v="0"/>
    <n v="0"/>
    <n v="0"/>
  </r>
  <r>
    <n v="60899405"/>
    <s v="N"/>
    <n v="21395413"/>
    <s v="3000015119790003"/>
    <s v="CIVIL"/>
    <d v="2023-06-29T00:00:00"/>
    <d v="2023-07-19T19:02:01"/>
    <m/>
    <d v="2023-07-19T00:00:00"/>
    <n v="879"/>
    <n v="17441"/>
    <s v="60899405"/>
    <s v="60899405"/>
    <m/>
    <m/>
    <n v="22790582"/>
    <m/>
    <m/>
    <m/>
    <s v="SOLFIN"/>
    <s v="SOLFIN"/>
    <s v="CCMS"/>
    <n v="21395413"/>
    <n v="2746.54"/>
    <m/>
    <s v="N"/>
    <n v="63"/>
    <d v="2023-07-19T19:02:26"/>
    <s v="Y"/>
    <s v="Hearing Unit 0.00 - 1.00 Hours"/>
    <s v="Private Law Children"/>
    <s v="Advocacy"/>
    <s v="LW"/>
    <s v="Y"/>
    <n v="68.94"/>
    <n v="13.79"/>
    <x v="5"/>
    <s v="VALIDATED"/>
    <n v="1"/>
    <s v="01.11.80.307.6100.0000"/>
    <n v="68.94"/>
    <s v="11"/>
    <s v="6100"/>
    <n v="8497.200000000001"/>
    <n v="68.94"/>
    <s v="CREDITOR"/>
    <n v="0"/>
    <n v="0"/>
    <n v="0"/>
    <n v="0"/>
    <n v="68.94"/>
  </r>
  <r>
    <n v="60899405"/>
    <s v="N"/>
    <n v="21395413"/>
    <s v="3000015119790003"/>
    <s v="CIVIL"/>
    <d v="2023-06-29T00:00:00"/>
    <d v="2023-07-19T19:02:01"/>
    <m/>
    <d v="2023-07-19T00:00:00"/>
    <n v="879"/>
    <n v="17441"/>
    <s v="60899405"/>
    <s v="60899405"/>
    <m/>
    <m/>
    <n v="22790582"/>
    <m/>
    <m/>
    <m/>
    <s v="SOLFIN"/>
    <s v="SOLFIN"/>
    <s v="CCMS"/>
    <n v="21395413"/>
    <n v="2746.54"/>
    <m/>
    <s v="N"/>
    <n v="5"/>
    <d v="2023-07-19T19:02:26"/>
    <s v="Y"/>
    <s v="Attendance upon/with Counsel at Con"/>
    <s v="Prescribed Hourly Rates"/>
    <s v="Profit Cost"/>
    <s v="GR"/>
    <s v="Y"/>
    <n v="6.48"/>
    <n v="1.3"/>
    <x v="5"/>
    <s v="VALIDATED"/>
    <n v="1"/>
    <s v="01.11.80.307.6100.0000"/>
    <n v="6.48"/>
    <s v="11"/>
    <s v="6100"/>
    <n v="8497.200000000001"/>
    <n v="6.48"/>
    <s v="CREDITOR"/>
    <n v="0"/>
    <n v="0"/>
    <n v="0"/>
    <n v="0"/>
    <n v="6.48"/>
  </r>
  <r>
    <n v="60899405"/>
    <s v="N"/>
    <n v="21395413"/>
    <s v="3000015119790003"/>
    <s v="CIVIL"/>
    <d v="2023-06-29T00:00:00"/>
    <d v="2023-07-19T19:02:01"/>
    <m/>
    <d v="2023-07-19T00:00:00"/>
    <n v="879"/>
    <n v="17441"/>
    <s v="60899405"/>
    <s v="60899405"/>
    <m/>
    <m/>
    <n v="22790582"/>
    <m/>
    <m/>
    <m/>
    <s v="SOLFIN"/>
    <s v="SOLFIN"/>
    <s v="CCMS"/>
    <n v="21395413"/>
    <n v="2746.54"/>
    <m/>
    <s v="N"/>
    <n v="21"/>
    <d v="2023-07-19T19:02:26"/>
    <s v="Y"/>
    <s v="Preparation - drafting statement"/>
    <s v="Prescribed Hourly Rates"/>
    <s v="Profit Cost"/>
    <s v="LW"/>
    <s v="Y"/>
    <n v="43.92"/>
    <n v="8.789999999999999"/>
    <x v="5"/>
    <s v="VALIDATED"/>
    <n v="1"/>
    <s v="01.11.80.307.6100.0000"/>
    <n v="43.92"/>
    <s v="11"/>
    <s v="6100"/>
    <n v="8497.200000000001"/>
    <n v="43.92"/>
    <s v="CREDITOR"/>
    <n v="0"/>
    <n v="0"/>
    <n v="0"/>
    <n v="0"/>
    <n v="43.92"/>
  </r>
  <r>
    <n v="10501628"/>
    <s v="N"/>
    <n v="21330972"/>
    <s v="3000006348010028"/>
    <s v="CIVIL"/>
    <d v="2023-06-22T00:00:00"/>
    <d v="2023-07-05T19:01:47"/>
    <m/>
    <d v="2023-07-05T00:00:00"/>
    <n v="879"/>
    <n v="17441"/>
    <s v="10501628"/>
    <s v="10501628"/>
    <m/>
    <m/>
    <n v="22741360"/>
    <m/>
    <m/>
    <m/>
    <s v="SOLFIN"/>
    <s v="SOLFIN"/>
    <s v="CCMS"/>
    <n v="21330972"/>
    <n v="16642.41"/>
    <m/>
    <s v="N"/>
    <n v="8"/>
    <d v="2023-07-05T19:02:00"/>
    <s v="Y"/>
    <s v="Psychologist"/>
    <s v="Public Law Children"/>
    <s v="Expert Disbursement"/>
    <s v="SJS"/>
    <s v="Y"/>
    <n v="265.2"/>
    <n v="53.04"/>
    <x v="6"/>
    <s v="VALIDATED"/>
    <n v="1"/>
    <s v="01.11.80.308.6300.0000"/>
    <n v="265.2"/>
    <s v="11"/>
    <s v="6300"/>
    <n v="8497.200000000001"/>
    <n v="265.2"/>
    <s v="CREDITOR"/>
    <n v="0"/>
    <n v="0"/>
    <n v="0"/>
    <n v="0"/>
    <n v="265.2"/>
  </r>
  <r>
    <n v="59517102"/>
    <s v="N"/>
    <n v="21327835"/>
    <s v="3000013923950014"/>
    <s v="CIVIL"/>
    <d v="2023-06-26T00:00:00"/>
    <d v="2023-07-04T19:00:44"/>
    <m/>
    <d v="2023-07-04T00:00:00"/>
    <n v="879"/>
    <n v="17441"/>
    <s v="59517102"/>
    <s v="59517102"/>
    <m/>
    <m/>
    <n v="22763514"/>
    <m/>
    <m/>
    <m/>
    <s v="SOLFIN"/>
    <s v="SOLFIN"/>
    <s v="CCMS"/>
    <n v="21327835"/>
    <n v="12682.59"/>
    <m/>
    <s v="N"/>
    <n v="69"/>
    <d v="2023-07-04T19:00:56"/>
    <s v="Y"/>
    <s v="Preparation - drafting application"/>
    <s v="Prescribed Hourly Rates"/>
    <s v="Profit Cost"/>
    <s v="MM"/>
    <s v="Y"/>
    <n v="54.9"/>
    <n v="10.98"/>
    <x v="1"/>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76"/>
    <d v="2023-07-04T19:00:56"/>
    <s v="Y"/>
    <s v="Preparation - other"/>
    <s v="Prescribed Hourly Rates"/>
    <s v="Profit Cost"/>
    <s v="MM"/>
    <s v="Y"/>
    <n v="43.92"/>
    <n v="8.779999999999999"/>
    <x v="1"/>
    <s v="VALIDATED"/>
    <n v="1"/>
    <s v="01.11.80.307.6100.0000"/>
    <n v="43.92"/>
    <s v="11"/>
    <s v="6100"/>
    <n v="8497.200000000001"/>
    <n v="43.92"/>
    <s v="CREDITOR"/>
    <n v="0"/>
    <n v="0"/>
    <n v="0"/>
    <n v="0"/>
    <n v="43.92"/>
  </r>
  <r>
    <n v="59517102"/>
    <s v="N"/>
    <n v="21327835"/>
    <s v="3000013923950014"/>
    <s v="CIVIL"/>
    <d v="2023-06-26T00:00:00"/>
    <d v="2023-07-04T19:00:44"/>
    <m/>
    <d v="2023-07-04T00:00:00"/>
    <n v="879"/>
    <n v="17441"/>
    <s v="59517102"/>
    <s v="59517102"/>
    <m/>
    <m/>
    <n v="22763514"/>
    <m/>
    <m/>
    <m/>
    <s v="SOLFIN"/>
    <s v="SOLFIN"/>
    <s v="CCMS"/>
    <n v="21327835"/>
    <n v="12682.59"/>
    <m/>
    <s v="N"/>
    <n v="90"/>
    <d v="2023-07-04T19:00:56"/>
    <s v="Y"/>
    <s v="Advocacy - Directions Hearing"/>
    <s v="Prescribed Hourly Rates"/>
    <s v="Advocacy"/>
    <s v="IK"/>
    <s v="Y"/>
    <n v="104.33"/>
    <n v="20.87"/>
    <x v="1"/>
    <s v="VALIDATED"/>
    <n v="1"/>
    <s v="01.11.80.307.6100.0000"/>
    <n v="104.33"/>
    <s v="11"/>
    <s v="6100"/>
    <n v="8497.200000000001"/>
    <n v="104.33"/>
    <s v="CREDITOR"/>
    <n v="0"/>
    <n v="0"/>
    <n v="0"/>
    <n v="0"/>
    <n v="104.33"/>
  </r>
  <r>
    <n v="40172407"/>
    <s v="N"/>
    <n v="21350112"/>
    <s v="3000010751610002"/>
    <s v="CIVIL"/>
    <d v="2023-06-30T00:00:00"/>
    <d v="2023-07-10T19:01:40"/>
    <m/>
    <d v="2023-07-10T00:00:00"/>
    <n v="879"/>
    <n v="17441"/>
    <s v="40172407"/>
    <s v="40172407"/>
    <m/>
    <m/>
    <n v="22794336"/>
    <m/>
    <m/>
    <m/>
    <s v="SOLFIN"/>
    <s v="SOLFIN"/>
    <s v="CCMS"/>
    <n v="21350112"/>
    <n v="1709.38"/>
    <m/>
    <s v="N"/>
    <n v="3"/>
    <d v="2023-07-10T19:02:14"/>
    <s v="Y"/>
    <s v="Level 3 &amp; Level 4 Fixed Fee"/>
    <s v="Private Law Children"/>
    <s v="Profit Cost"/>
    <s v="MO"/>
    <s v="Y"/>
    <n v="604"/>
    <n v="120.8"/>
    <x v="2"/>
    <s v="VALIDATED"/>
    <n v="1"/>
    <s v="01.11.80.307.6100.0000"/>
    <n v="604"/>
    <s v="11"/>
    <s v="6100"/>
    <n v="8497.200000000001"/>
    <n v="604"/>
    <s v="CREDITOR"/>
    <n v="0"/>
    <n v="0"/>
    <n v="0"/>
    <n v="0"/>
    <n v="604"/>
  </r>
  <r>
    <n v="10501628"/>
    <s v="N"/>
    <n v="21330972"/>
    <s v="3000006348010028"/>
    <s v="CIVIL"/>
    <d v="2023-06-22T00:00:00"/>
    <d v="2023-07-05T19:01:47"/>
    <m/>
    <d v="2023-07-05T00:00:00"/>
    <n v="879"/>
    <n v="17441"/>
    <s v="10501628"/>
    <s v="10501628"/>
    <m/>
    <m/>
    <n v="22741360"/>
    <m/>
    <m/>
    <m/>
    <s v="SOLFIN"/>
    <s v="SOLFIN"/>
    <s v="CCMS"/>
    <n v="21330972"/>
    <n v="16642.41"/>
    <m/>
    <s v="N"/>
    <n v="14"/>
    <d v="2023-07-05T19:02:00"/>
    <s v="Y"/>
    <s v="Paediatrician"/>
    <s v="Public Law Children"/>
    <s v="Expert Disbursement"/>
    <s v="SJS"/>
    <s v="Y"/>
    <n v="500"/>
    <n v="0"/>
    <x v="6"/>
    <s v="VALIDATED"/>
    <n v="1"/>
    <s v="01.11.80.308.6300.0000"/>
    <n v="500"/>
    <s v="11"/>
    <s v="6300"/>
    <n v="8497.200000000001"/>
    <n v="500"/>
    <s v="CREDITOR"/>
    <n v="0"/>
    <n v="0"/>
    <n v="0"/>
    <n v="0"/>
    <n v="500"/>
  </r>
  <r>
    <n v="61465726"/>
    <s v="N"/>
    <n v="21321985"/>
    <s v="3000015569230005"/>
    <s v="CIVIL"/>
    <d v="2023-06-29T00:00:00"/>
    <d v="2023-07-03T19:05:17"/>
    <m/>
    <d v="2023-07-03T00:00:00"/>
    <n v="879"/>
    <n v="17441"/>
    <s v="61465726"/>
    <s v="61465726"/>
    <m/>
    <m/>
    <n v="22786074"/>
    <m/>
    <m/>
    <m/>
    <s v="SOLPOA"/>
    <s v="SOLPOA"/>
    <s v="CCMS"/>
    <n v="21321985"/>
    <n v="8.640000000000001"/>
    <m/>
    <s v="N"/>
    <n v="1"/>
    <d v="2023-07-03T19:05:21"/>
    <s v="N"/>
    <s v="Non Expert Disbursement - Private L"/>
    <s v="Non Expert Disbursement - Priv"/>
    <s v="Non Expert Disbursement"/>
    <s v="Mary-Ann Wanjiku"/>
    <s v="N"/>
    <n v="8.640000000000001"/>
    <n v="0"/>
    <x v="3"/>
    <s v="VALIDATED"/>
    <n v="1"/>
    <s v="01.11.80.307.2012.0000"/>
    <n v="8.640000000000001"/>
    <s v="11"/>
    <s v="2012"/>
    <n v="8497.200000000001"/>
    <n v="8.640000000000001"/>
    <s v="CREDITOR"/>
    <n v="8.640000000000001"/>
    <n v="0"/>
    <n v="0"/>
    <n v="0"/>
    <n v="0"/>
  </r>
  <r>
    <n v="60899405"/>
    <s v="N"/>
    <n v="21395413"/>
    <s v="3000015119790003"/>
    <s v="CIVIL"/>
    <d v="2023-06-29T00:00:00"/>
    <d v="2023-07-19T19:02:01"/>
    <m/>
    <d v="2023-07-19T00:00:00"/>
    <n v="879"/>
    <n v="17441"/>
    <s v="60899405"/>
    <s v="60899405"/>
    <m/>
    <m/>
    <n v="22790582"/>
    <m/>
    <m/>
    <m/>
    <s v="SOLFIN"/>
    <s v="SOLFIN"/>
    <s v="CCMS"/>
    <n v="21395413"/>
    <n v="2746.54"/>
    <m/>
    <s v="N"/>
    <n v="3"/>
    <d v="2023-07-19T19:02:26"/>
    <s v="Y"/>
    <s v="Attendance upon/with Counsel at Con"/>
    <s v="Prescribed Hourly Rates"/>
    <s v="Profit Cost"/>
    <s v="GR"/>
    <s v="Y"/>
    <n v="6.48"/>
    <n v="1.3"/>
    <x v="5"/>
    <s v="VALIDATED"/>
    <n v="1"/>
    <s v="01.11.80.307.6100.0000"/>
    <n v="6.48"/>
    <s v="11"/>
    <s v="6100"/>
    <n v="8497.200000000001"/>
    <n v="6.48"/>
    <s v="CREDITOR"/>
    <n v="0"/>
    <n v="0"/>
    <n v="0"/>
    <n v="0"/>
    <n v="6.48"/>
  </r>
  <r>
    <n v="60899405"/>
    <s v="N"/>
    <n v="21395413"/>
    <s v="3000015119790003"/>
    <s v="CIVIL"/>
    <d v="2023-06-29T00:00:00"/>
    <d v="2023-07-19T19:02:01"/>
    <m/>
    <d v="2023-07-19T00:00:00"/>
    <n v="879"/>
    <n v="17441"/>
    <s v="60899405"/>
    <s v="60899405"/>
    <m/>
    <m/>
    <n v="22790582"/>
    <m/>
    <m/>
    <m/>
    <s v="SOLFIN"/>
    <s v="SOLFIN"/>
    <s v="CCMS"/>
    <n v="21395413"/>
    <n v="2746.54"/>
    <m/>
    <s v="N"/>
    <n v="11"/>
    <d v="2023-07-19T19:02:26"/>
    <s v="Y"/>
    <s v="Preparation - other"/>
    <s v="Prescribed Hourly Rates"/>
    <s v="Profit Cost"/>
    <s v="GR"/>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23"/>
    <d v="2023-07-04T19:00:56"/>
    <s v="Y"/>
    <s v="Preparation - drafting attendance n"/>
    <s v="Prescribed Hourly Rates"/>
    <s v="Profit Cost"/>
    <s v="IK"/>
    <s v="Y"/>
    <n v="18.94"/>
    <n v="3.79"/>
    <x v="1"/>
    <s v="VALIDATED"/>
    <n v="1"/>
    <s v="01.11.80.307.6100.0000"/>
    <n v="18.94"/>
    <s v="11"/>
    <s v="6100"/>
    <n v="8497.200000000001"/>
    <n v="18.94"/>
    <s v="CREDITOR"/>
    <n v="0"/>
    <n v="0"/>
    <n v="0"/>
    <n v="0"/>
    <n v="18.94"/>
  </r>
  <r>
    <n v="60899405"/>
    <s v="N"/>
    <n v="21395413"/>
    <s v="3000015119790003"/>
    <s v="CIVIL"/>
    <d v="2023-06-29T00:00:00"/>
    <d v="2023-07-19T19:02:01"/>
    <m/>
    <d v="2023-07-19T00:00:00"/>
    <n v="879"/>
    <n v="17441"/>
    <s v="60899405"/>
    <s v="60899405"/>
    <m/>
    <m/>
    <n v="22790582"/>
    <m/>
    <m/>
    <m/>
    <s v="SOLFIN"/>
    <s v="SOLFIN"/>
    <s v="CCMS"/>
    <n v="21395413"/>
    <n v="2746.54"/>
    <m/>
    <s v="N"/>
    <n v="20"/>
    <d v="2023-07-19T19:02:26"/>
    <s v="Y"/>
    <s v="Preparation - drafting attendance n"/>
    <s v="Prescribed Hourly Rates"/>
    <s v="Profit Cost"/>
    <s v="LW"/>
    <s v="Y"/>
    <n v="10.98"/>
    <n v="2.2"/>
    <x v="5"/>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36"/>
    <d v="2023-07-19T19:02:26"/>
    <s v="Y"/>
    <s v="Attendance upon other"/>
    <s v="Prescribed Hourly Rates"/>
    <s v="Profit Cost"/>
    <s v="LW"/>
    <s v="Y"/>
    <n v="27.45"/>
    <n v="5.49"/>
    <x v="5"/>
    <s v="VALIDATED"/>
    <n v="1"/>
    <s v="01.11.80.307.6100.0000"/>
    <n v="27.45"/>
    <s v="11"/>
    <s v="6100"/>
    <n v="8497.200000000001"/>
    <n v="27.45"/>
    <s v="CREDITOR"/>
    <n v="0"/>
    <n v="0"/>
    <n v="0"/>
    <n v="0"/>
    <n v="27.45"/>
  </r>
  <r>
    <n v="59517102"/>
    <s v="N"/>
    <n v="21327835"/>
    <s v="3000013923950014"/>
    <s v="CIVIL"/>
    <d v="2023-06-26T00:00:00"/>
    <d v="2023-07-04T19:00:44"/>
    <m/>
    <d v="2023-07-04T00:00:00"/>
    <n v="879"/>
    <n v="17441"/>
    <s v="59517102"/>
    <s v="59517102"/>
    <m/>
    <m/>
    <n v="22763514"/>
    <m/>
    <m/>
    <m/>
    <s v="SOLFIN"/>
    <s v="SOLFIN"/>
    <s v="CCMS"/>
    <n v="21327835"/>
    <n v="12682.59"/>
    <m/>
    <s v="N"/>
    <n v="95"/>
    <d v="2023-07-04T19:00:56"/>
    <s v="Y"/>
    <s v="Preparation - other"/>
    <s v="Prescribed Hourly Rates"/>
    <s v="Profit Cost"/>
    <s v="IK"/>
    <s v="Y"/>
    <n v="6.31"/>
    <n v="1.26"/>
    <x v="1"/>
    <s v="VALIDATED"/>
    <n v="1"/>
    <s v="01.11.80.307.6100.0000"/>
    <n v="6.31"/>
    <s v="11"/>
    <s v="6100"/>
    <n v="8497.200000000001"/>
    <n v="6.31"/>
    <s v="CREDITOR"/>
    <n v="0"/>
    <n v="0"/>
    <n v="0"/>
    <n v="0"/>
    <n v="6.31"/>
  </r>
  <r>
    <n v="60899405"/>
    <s v="N"/>
    <n v="21395413"/>
    <s v="3000015119790003"/>
    <s v="CIVIL"/>
    <d v="2023-06-29T00:00:00"/>
    <d v="2023-07-19T19:02:01"/>
    <m/>
    <d v="2023-07-19T00:00:00"/>
    <n v="879"/>
    <n v="17441"/>
    <s v="60899405"/>
    <s v="60899405"/>
    <m/>
    <m/>
    <n v="22790582"/>
    <m/>
    <m/>
    <m/>
    <s v="SOLFIN"/>
    <s v="SOLFIN"/>
    <s v="CCMS"/>
    <n v="21395413"/>
    <n v="2746.54"/>
    <m/>
    <s v="N"/>
    <n v="46"/>
    <d v="2023-07-19T19:02:26"/>
    <s v="Y"/>
    <s v="Attendance upon client"/>
    <s v="Prescribed Hourly Rates"/>
    <s v="Profit Cost"/>
    <s v="LW"/>
    <s v="Y"/>
    <n v="27.45"/>
    <n v="5.49"/>
    <x v="5"/>
    <s v="VALIDATED"/>
    <n v="1"/>
    <s v="01.11.80.307.6100.0000"/>
    <n v="27.45"/>
    <s v="11"/>
    <s v="6100"/>
    <n v="8497.200000000001"/>
    <n v="27.45"/>
    <s v="CREDITOR"/>
    <n v="0"/>
    <n v="0"/>
    <n v="0"/>
    <n v="0"/>
    <n v="27.45"/>
  </r>
  <r>
    <n v="60899405"/>
    <s v="N"/>
    <n v="21395413"/>
    <s v="3000015119790003"/>
    <s v="CIVIL"/>
    <d v="2023-06-29T00:00:00"/>
    <d v="2023-07-19T19:02:01"/>
    <m/>
    <d v="2023-07-19T00:00:00"/>
    <n v="879"/>
    <n v="17441"/>
    <s v="60899405"/>
    <s v="60899405"/>
    <m/>
    <m/>
    <n v="22790582"/>
    <m/>
    <m/>
    <m/>
    <s v="SOLFIN"/>
    <s v="SOLFIN"/>
    <s v="CCMS"/>
    <n v="21395413"/>
    <n v="2746.54"/>
    <m/>
    <s v="N"/>
    <n v="22"/>
    <d v="2023-07-19T19:02:26"/>
    <s v="Y"/>
    <s v="Preparation - other"/>
    <s v="Prescribed Hourly Rates"/>
    <s v="Profit Cost"/>
    <s v="LW"/>
    <s v="Y"/>
    <n v="10.98"/>
    <n v="2.2"/>
    <x v="5"/>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92"/>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93"/>
    <d v="2023-07-04T19:00:56"/>
    <s v="Y"/>
    <s v="Preparation - other"/>
    <s v="Prescribed Hourly Rates"/>
    <s v="Profit Cost"/>
    <s v="RL"/>
    <s v="Y"/>
    <n v="5.49"/>
    <n v="1.1"/>
    <x v="1"/>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86"/>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91"/>
    <d v="2023-07-04T19:00:56"/>
    <s v="Y"/>
    <s v="Preparation - other"/>
    <s v="Prescribed Hourly Rates"/>
    <s v="Profit Cost"/>
    <s v="IK"/>
    <s v="Y"/>
    <n v="50.51"/>
    <n v="10.1"/>
    <x v="1"/>
    <s v="VALIDATED"/>
    <n v="1"/>
    <s v="01.11.80.307.6100.0000"/>
    <n v="50.51"/>
    <s v="11"/>
    <s v="6100"/>
    <n v="8497.200000000001"/>
    <n v="50.51"/>
    <s v="CREDITOR"/>
    <n v="0"/>
    <n v="0"/>
    <n v="0"/>
    <n v="0"/>
    <n v="50.51"/>
  </r>
  <r>
    <n v="55818221"/>
    <s v="N"/>
    <n v="21381828"/>
    <s v="3000013197010018"/>
    <s v="CIVIL"/>
    <d v="2023-06-29T00:00:00"/>
    <d v="2023-07-17T19:01:46"/>
    <m/>
    <d v="2023-07-17T00:00:00"/>
    <n v="879"/>
    <n v="17441"/>
    <s v="55818221"/>
    <s v="55818221"/>
    <m/>
    <m/>
    <n v="22786334"/>
    <m/>
    <m/>
    <m/>
    <s v="SOLPOA"/>
    <s v="SOLPOA"/>
    <s v="CCMS"/>
    <n v="21381828"/>
    <n v="45.97"/>
    <m/>
    <s v="N"/>
    <n v="1"/>
    <d v="2023-07-17T19:01:55"/>
    <s v="N"/>
    <s v="Non Expert Disbursement - Private L"/>
    <s v="Non Expert Disbursement - Priv"/>
    <s v="Non Expert Disbursement"/>
    <s v="Mary-Ann Wanjiku"/>
    <s v="N"/>
    <n v="45.97"/>
    <n v="0"/>
    <x v="8"/>
    <s v="VALIDATED"/>
    <n v="1"/>
    <s v="01.11.80.307.2012.0000"/>
    <n v="45.97"/>
    <s v="11"/>
    <s v="2012"/>
    <n v="8497.200000000001"/>
    <n v="45.97"/>
    <s v="CREDITOR"/>
    <n v="45.97"/>
    <n v="0"/>
    <n v="0"/>
    <n v="0"/>
    <n v="0"/>
  </r>
  <r>
    <n v="10501628"/>
    <s v="N"/>
    <n v="21330972"/>
    <s v="3000006348010028"/>
    <s v="CIVIL"/>
    <d v="2023-06-22T00:00:00"/>
    <d v="2023-07-05T19:01:47"/>
    <m/>
    <d v="2023-07-05T00:00:00"/>
    <n v="879"/>
    <n v="17441"/>
    <s v="10501628"/>
    <s v="10501628"/>
    <m/>
    <m/>
    <n v="22741360"/>
    <m/>
    <m/>
    <m/>
    <s v="SOLFIN"/>
    <s v="SOLFIN"/>
    <s v="CCMS"/>
    <n v="21330972"/>
    <n v="16642.41"/>
    <m/>
    <s v="N"/>
    <n v="23"/>
    <d v="2023-07-05T19:02:00"/>
    <s v="Y"/>
    <s v="Hearing Unit 2.31 - 5.00 Hours"/>
    <s v="Public Law Children"/>
    <s v="Advocacy"/>
    <s v="SJS"/>
    <s v="Y"/>
    <n v="476.92"/>
    <n v="95.38"/>
    <x v="6"/>
    <s v="VALIDATED"/>
    <n v="1"/>
    <s v="01.11.80.308.6100.0000"/>
    <n v="476.92"/>
    <s v="11"/>
    <s v="6100"/>
    <n v="8497.200000000001"/>
    <n v="476.92"/>
    <s v="CREDITOR"/>
    <n v="0"/>
    <n v="0"/>
    <n v="0"/>
    <n v="0"/>
    <n v="476.92"/>
  </r>
  <r>
    <n v="10501628"/>
    <s v="N"/>
    <n v="21330972"/>
    <s v="3000006348010028"/>
    <s v="CIVIL"/>
    <d v="2023-06-22T00:00:00"/>
    <d v="2023-07-05T19:01:47"/>
    <m/>
    <d v="2023-07-05T00:00:00"/>
    <n v="879"/>
    <n v="17441"/>
    <s v="10501628"/>
    <s v="10501628"/>
    <m/>
    <m/>
    <n v="22741360"/>
    <m/>
    <m/>
    <m/>
    <s v="SOLFIN"/>
    <s v="SOLFIN"/>
    <s v="CCMS"/>
    <n v="21330972"/>
    <n v="16642.41"/>
    <m/>
    <s v="N"/>
    <n v="13"/>
    <d v="2023-07-05T19:02:00"/>
    <s v="Y"/>
    <s v="Psychologist"/>
    <s v="Public Law Children"/>
    <s v="Expert Disbursement"/>
    <s v="SJS"/>
    <s v="Y"/>
    <n v="640.16"/>
    <n v="128.03"/>
    <x v="6"/>
    <s v="VALIDATED"/>
    <n v="1"/>
    <s v="01.11.80.308.6300.0000"/>
    <n v="640.16"/>
    <s v="11"/>
    <s v="6300"/>
    <n v="8497.200000000001"/>
    <n v="640.16"/>
    <s v="CREDITOR"/>
    <n v="0"/>
    <n v="0"/>
    <n v="0"/>
    <n v="0"/>
    <n v="640.16"/>
  </r>
  <r>
    <n v="10501628"/>
    <s v="N"/>
    <n v="21330972"/>
    <s v="3000006348010028"/>
    <s v="CIVIL"/>
    <d v="2023-06-22T00:00:00"/>
    <d v="2023-07-05T19:01:47"/>
    <m/>
    <d v="2023-07-05T00:00:00"/>
    <n v="879"/>
    <n v="17441"/>
    <s v="10501628"/>
    <s v="10501628"/>
    <m/>
    <m/>
    <n v="22741360"/>
    <m/>
    <m/>
    <m/>
    <s v="SOLFIN"/>
    <s v="SOLFIN"/>
    <s v="CCMS"/>
    <n v="21330972"/>
    <n v="16642.41"/>
    <m/>
    <s v="N"/>
    <n v="11"/>
    <d v="2023-07-05T19:02:00"/>
    <s v="Y"/>
    <s v="Court Fee"/>
    <s v="Public Law Children"/>
    <s v="Non Expert Disbursement"/>
    <s v="SJS"/>
    <s v="Y"/>
    <n v="615"/>
    <n v="0"/>
    <x v="6"/>
    <s v="VALIDATED"/>
    <n v="1"/>
    <s v="01.11.80.308.6300.0000"/>
    <n v="615"/>
    <s v="11"/>
    <s v="6300"/>
    <n v="8497.200000000001"/>
    <n v="615"/>
    <s v="CREDITOR"/>
    <n v="0"/>
    <n v="0"/>
    <n v="0"/>
    <n v="0"/>
    <n v="615"/>
  </r>
  <r>
    <n v="59517102"/>
    <s v="N"/>
    <n v="21327835"/>
    <s v="3000013923950014"/>
    <s v="CIVIL"/>
    <d v="2023-06-26T00:00:00"/>
    <d v="2023-07-04T19:00:44"/>
    <m/>
    <d v="2023-07-04T00:00:00"/>
    <n v="879"/>
    <n v="17441"/>
    <s v="59517102"/>
    <s v="59517102"/>
    <m/>
    <m/>
    <n v="22763514"/>
    <m/>
    <m/>
    <m/>
    <s v="SOLFIN"/>
    <s v="SOLFIN"/>
    <s v="CCMS"/>
    <n v="21327835"/>
    <n v="12682.59"/>
    <m/>
    <s v="N"/>
    <n v="46"/>
    <d v="2023-07-04T19:00:56"/>
    <s v="Y"/>
    <s v="Preparation - other"/>
    <s v="Prescribed Hourly Rates"/>
    <s v="Profit Cost"/>
    <s v="IK"/>
    <s v="Y"/>
    <n v="44.19"/>
    <n v="8.84"/>
    <x v="1"/>
    <s v="VALIDATED"/>
    <n v="1"/>
    <s v="01.11.80.307.6100.0000"/>
    <n v="44.19"/>
    <s v="11"/>
    <s v="6100"/>
    <n v="8497.200000000001"/>
    <n v="44.19"/>
    <s v="CREDITOR"/>
    <n v="0"/>
    <n v="0"/>
    <n v="0"/>
    <n v="0"/>
    <n v="44.19"/>
  </r>
  <r>
    <n v="59517102"/>
    <s v="N"/>
    <n v="21327835"/>
    <s v="3000013923950014"/>
    <s v="CIVIL"/>
    <d v="2023-06-26T00:00:00"/>
    <d v="2023-07-04T19:00:44"/>
    <m/>
    <d v="2023-07-04T00:00:00"/>
    <n v="879"/>
    <n v="17441"/>
    <s v="59517102"/>
    <s v="59517102"/>
    <m/>
    <m/>
    <n v="22763514"/>
    <m/>
    <m/>
    <m/>
    <s v="SOLFIN"/>
    <s v="SOLFIN"/>
    <s v="CCMS"/>
    <n v="21327835"/>
    <n v="12682.59"/>
    <m/>
    <s v="N"/>
    <n v="48"/>
    <d v="2023-07-04T19:00:56"/>
    <s v="Y"/>
    <s v="Preparation - other"/>
    <s v="Prescribed Hourly Rates"/>
    <s v="Profit Cost"/>
    <s v="IK"/>
    <s v="Y"/>
    <n v="18.94"/>
    <n v="3.79"/>
    <x v="1"/>
    <s v="VALIDATED"/>
    <n v="1"/>
    <s v="01.11.80.307.6100.0000"/>
    <n v="18.94"/>
    <s v="11"/>
    <s v="6100"/>
    <n v="8497.200000000001"/>
    <n v="18.94"/>
    <s v="CREDITOR"/>
    <n v="0"/>
    <n v="0"/>
    <n v="0"/>
    <n v="0"/>
    <n v="18.94"/>
  </r>
  <r>
    <n v="59517102"/>
    <s v="N"/>
    <n v="21327835"/>
    <s v="3000013923950014"/>
    <s v="CIVIL"/>
    <d v="2023-06-26T00:00:00"/>
    <d v="2023-07-04T19:00:44"/>
    <m/>
    <d v="2023-07-04T00:00:00"/>
    <n v="879"/>
    <n v="17441"/>
    <s v="59517102"/>
    <s v="59517102"/>
    <m/>
    <m/>
    <n v="22763514"/>
    <m/>
    <m/>
    <m/>
    <s v="SOLFIN"/>
    <s v="SOLFIN"/>
    <s v="CCMS"/>
    <n v="21327835"/>
    <n v="12682.59"/>
    <m/>
    <s v="N"/>
    <n v="54"/>
    <d v="2023-07-04T19:00:56"/>
    <s v="Y"/>
    <s v="Preparation - other"/>
    <s v="Prescribed Hourly Rates"/>
    <s v="Profit Cost"/>
    <s v="VP"/>
    <s v="Y"/>
    <n v="5.49"/>
    <n v="1.1"/>
    <x v="1"/>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57"/>
    <d v="2023-07-19T19:02:26"/>
    <s v="Y"/>
    <s v="Report - Welfare report"/>
    <s v="Prescribed Hourly Rates"/>
    <s v="Profit Cost"/>
    <s v="LW"/>
    <s v="Y"/>
    <n v="43.92"/>
    <n v="8.789999999999999"/>
    <x v="5"/>
    <s v="VALIDATED"/>
    <n v="1"/>
    <s v="01.11.80.307.6100.0000"/>
    <n v="43.92"/>
    <s v="11"/>
    <s v="6100"/>
    <n v="8497.200000000001"/>
    <n v="43.92"/>
    <s v="CREDITOR"/>
    <n v="0"/>
    <n v="0"/>
    <n v="0"/>
    <n v="0"/>
    <n v="43.92"/>
  </r>
  <r>
    <n v="59517102"/>
    <s v="N"/>
    <n v="21327835"/>
    <s v="3000013923950014"/>
    <s v="CIVIL"/>
    <d v="2023-06-26T00:00:00"/>
    <d v="2023-07-04T19:00:44"/>
    <m/>
    <d v="2023-07-04T00:00:00"/>
    <n v="879"/>
    <n v="17441"/>
    <s v="59517102"/>
    <s v="59517102"/>
    <m/>
    <m/>
    <n v="22763514"/>
    <m/>
    <m/>
    <m/>
    <s v="SOLFIN"/>
    <s v="SOLFIN"/>
    <s v="CCMS"/>
    <n v="21327835"/>
    <n v="12682.59"/>
    <m/>
    <s v="N"/>
    <n v="108"/>
    <d v="2023-07-04T19:00:56"/>
    <s v="Y"/>
    <s v="Preparation - other"/>
    <s v="Prescribed Hourly Rates"/>
    <s v="Profit Cost"/>
    <s v="IK"/>
    <s v="Y"/>
    <n v="12.63"/>
    <n v="2.53"/>
    <x v="1"/>
    <s v="VALIDATED"/>
    <n v="1"/>
    <s v="01.11.80.307.6100.0000"/>
    <n v="12.63"/>
    <s v="11"/>
    <s v="6100"/>
    <n v="8497.200000000001"/>
    <n v="12.63"/>
    <s v="CREDITOR"/>
    <n v="0"/>
    <n v="0"/>
    <n v="0"/>
    <n v="0"/>
    <n v="12.63"/>
  </r>
  <r>
    <n v="60899405"/>
    <s v="N"/>
    <n v="21395413"/>
    <s v="3000015119790003"/>
    <s v="CIVIL"/>
    <d v="2023-06-29T00:00:00"/>
    <d v="2023-07-19T19:02:01"/>
    <m/>
    <d v="2023-07-19T00:00:00"/>
    <n v="879"/>
    <n v="17441"/>
    <s v="60899405"/>
    <s v="60899405"/>
    <m/>
    <m/>
    <n v="22790582"/>
    <m/>
    <m/>
    <m/>
    <s v="SOLFIN"/>
    <s v="SOLFIN"/>
    <s v="CCMS"/>
    <n v="21395413"/>
    <n v="2746.54"/>
    <m/>
    <s v="N"/>
    <n v="13"/>
    <d v="2023-07-19T19:02:26"/>
    <s v="Y"/>
    <s v="Preparation - drafting attendance n"/>
    <s v="Prescribed Hourly Rates"/>
    <s v="Profit Cost"/>
    <s v="GR"/>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68"/>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85"/>
    <d v="2023-07-04T19:00:56"/>
    <s v="Y"/>
    <s v="Preparation - other"/>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24"/>
    <d v="2023-07-04T19:00:56"/>
    <s v="Y"/>
    <s v="Preparation - other"/>
    <s v="Prescribed Hourly Rates"/>
    <s v="Profit Cost"/>
    <s v="VP"/>
    <s v="Y"/>
    <n v="54.9"/>
    <n v="10.98"/>
    <x v="1"/>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40"/>
    <d v="2023-07-19T19:02:26"/>
    <s v="Y"/>
    <s v="Preparation - drafting bill/claim f"/>
    <s v="Prescribed Hourly Rates"/>
    <s v="Profit Cost"/>
    <s v="MC1"/>
    <s v="Y"/>
    <n v="126.27"/>
    <n v="25.26"/>
    <x v="5"/>
    <s v="VALIDATED"/>
    <n v="1"/>
    <s v="01.11.80.307.6100.0000"/>
    <n v="126.27"/>
    <s v="11"/>
    <s v="6100"/>
    <n v="8497.200000000001"/>
    <n v="126.27"/>
    <s v="CREDITOR"/>
    <n v="0"/>
    <n v="0"/>
    <n v="0"/>
    <n v="0"/>
    <n v="126.27"/>
  </r>
  <r>
    <n v="59517102"/>
    <s v="N"/>
    <n v="21327835"/>
    <s v="3000013923950014"/>
    <s v="CIVIL"/>
    <d v="2023-06-26T00:00:00"/>
    <d v="2023-07-04T19:00:44"/>
    <m/>
    <d v="2023-07-04T00:00:00"/>
    <n v="879"/>
    <n v="17441"/>
    <s v="59517102"/>
    <s v="59517102"/>
    <m/>
    <m/>
    <n v="22763514"/>
    <m/>
    <m/>
    <m/>
    <s v="SOLFIN"/>
    <s v="SOLFIN"/>
    <s v="CCMS"/>
    <n v="21327835"/>
    <n v="12682.59"/>
    <m/>
    <s v="N"/>
    <n v="83"/>
    <d v="2023-07-04T19:00:56"/>
    <s v="Y"/>
    <s v="Preparation - other"/>
    <s v="Prescribed Hourly Rates"/>
    <s v="Profit Cost"/>
    <s v="IK"/>
    <s v="Y"/>
    <n v="31.57"/>
    <n v="6.31"/>
    <x v="1"/>
    <s v="VALIDATED"/>
    <n v="1"/>
    <s v="01.11.80.307.6100.0000"/>
    <n v="31.57"/>
    <s v="11"/>
    <s v="6100"/>
    <n v="8497.200000000001"/>
    <n v="31.57"/>
    <s v="CREDITOR"/>
    <n v="0"/>
    <n v="0"/>
    <n v="0"/>
    <n v="0"/>
    <n v="31.57"/>
  </r>
  <r>
    <n v="60899405"/>
    <s v="N"/>
    <n v="21395413"/>
    <s v="3000015119790003"/>
    <s v="CIVIL"/>
    <d v="2023-06-29T00:00:00"/>
    <d v="2023-07-19T19:02:01"/>
    <m/>
    <d v="2023-07-19T00:00:00"/>
    <n v="879"/>
    <n v="17441"/>
    <s v="60899405"/>
    <s v="60899405"/>
    <m/>
    <m/>
    <n v="22790582"/>
    <m/>
    <m/>
    <m/>
    <s v="SOLFIN"/>
    <s v="SOLFIN"/>
    <s v="CCMS"/>
    <n v="21395413"/>
    <n v="2746.54"/>
    <m/>
    <s v="N"/>
    <n v="48"/>
    <d v="2023-07-19T19:02:26"/>
    <s v="Y"/>
    <s v="Preparation - drafting pleadings"/>
    <s v="Prescribed Hourly Rates"/>
    <s v="Profit Cost"/>
    <s v="LW"/>
    <s v="Y"/>
    <n v="21.96"/>
    <n v="4.39"/>
    <x v="5"/>
    <s v="VALIDATED"/>
    <n v="1"/>
    <s v="01.11.80.307.6100.0000"/>
    <n v="21.96"/>
    <s v="11"/>
    <s v="6100"/>
    <n v="8497.200000000001"/>
    <n v="21.96"/>
    <s v="CREDITOR"/>
    <n v="0"/>
    <n v="0"/>
    <n v="0"/>
    <n v="0"/>
    <n v="21.96"/>
  </r>
  <r>
    <n v="60899405"/>
    <s v="N"/>
    <n v="21395413"/>
    <s v="3000015119790003"/>
    <s v="CIVIL"/>
    <d v="2023-06-29T00:00:00"/>
    <d v="2023-07-19T19:02:01"/>
    <m/>
    <d v="2023-07-19T00:00:00"/>
    <n v="879"/>
    <n v="17441"/>
    <s v="60899405"/>
    <s v="60899405"/>
    <m/>
    <m/>
    <n v="22790582"/>
    <m/>
    <m/>
    <m/>
    <s v="SOLFIN"/>
    <s v="SOLFIN"/>
    <s v="CCMS"/>
    <n v="21395413"/>
    <n v="2746.54"/>
    <m/>
    <s v="N"/>
    <n v="37"/>
    <d v="2023-07-19T19:02:26"/>
    <s v="Y"/>
    <s v="Attendance upon client"/>
    <s v="Prescribed Hourly Rates"/>
    <s v="Profit Cost"/>
    <s v="LW"/>
    <s v="Y"/>
    <n v="60.39"/>
    <n v="12.08"/>
    <x v="5"/>
    <s v="VALIDATED"/>
    <n v="1"/>
    <s v="01.11.80.307.6100.0000"/>
    <n v="60.39"/>
    <s v="11"/>
    <s v="6100"/>
    <n v="8497.200000000001"/>
    <n v="60.39"/>
    <s v="CREDITOR"/>
    <n v="0"/>
    <n v="0"/>
    <n v="0"/>
    <n v="0"/>
    <n v="60.39"/>
  </r>
  <r>
    <n v="59517102"/>
    <s v="N"/>
    <n v="21327835"/>
    <s v="3000013923950014"/>
    <s v="CIVIL"/>
    <d v="2023-06-26T00:00:00"/>
    <d v="2023-07-04T19:00:44"/>
    <m/>
    <d v="2023-07-04T00:00:00"/>
    <n v="879"/>
    <n v="17441"/>
    <s v="59517102"/>
    <s v="59517102"/>
    <m/>
    <m/>
    <n v="22763514"/>
    <m/>
    <m/>
    <m/>
    <s v="SOLFIN"/>
    <s v="SOLFIN"/>
    <s v="CCMS"/>
    <n v="21327835"/>
    <n v="12682.59"/>
    <m/>
    <s v="N"/>
    <n v="25"/>
    <d v="2023-07-04T19:00:56"/>
    <s v="Y"/>
    <s v="Preparation - other"/>
    <s v="Prescribed Hourly Rates"/>
    <s v="Profit Cost"/>
    <s v="VP"/>
    <s v="Y"/>
    <n v="27.45"/>
    <n v="5.49"/>
    <x v="1"/>
    <s v="VALIDATED"/>
    <n v="1"/>
    <s v="01.11.80.307.6100.0000"/>
    <n v="27.45"/>
    <s v="11"/>
    <s v="6100"/>
    <n v="8497.200000000001"/>
    <n v="27.45"/>
    <s v="CREDITOR"/>
    <n v="0"/>
    <n v="0"/>
    <n v="0"/>
    <n v="0"/>
    <n v="27.45"/>
  </r>
  <r>
    <n v="60899405"/>
    <s v="N"/>
    <n v="21395413"/>
    <s v="3000015119790003"/>
    <s v="CIVIL"/>
    <d v="2023-06-29T00:00:00"/>
    <d v="2023-07-19T19:02:01"/>
    <m/>
    <d v="2023-07-19T00:00:00"/>
    <n v="879"/>
    <n v="17441"/>
    <s v="60899405"/>
    <s v="60899405"/>
    <m/>
    <m/>
    <n v="22790582"/>
    <m/>
    <m/>
    <m/>
    <s v="SOLFIN"/>
    <s v="SOLFIN"/>
    <s v="CCMS"/>
    <n v="21395413"/>
    <n v="2746.54"/>
    <m/>
    <s v="N"/>
    <n v="39"/>
    <d v="2023-07-19T19:02:26"/>
    <s v="Y"/>
    <s v="Report - Medical report"/>
    <s v="Prescribed Hourly Rates"/>
    <s v="Profit Cost"/>
    <s v="LW"/>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23"/>
    <d v="2023-07-19T19:02:26"/>
    <s v="Y"/>
    <s v="Preparation - other"/>
    <s v="Prescribed Hourly Rates"/>
    <s v="Profit Cost"/>
    <s v="LW"/>
    <s v="Y"/>
    <n v="10.98"/>
    <n v="2.2"/>
    <x v="5"/>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8"/>
    <d v="2023-07-04T19:00:56"/>
    <s v="Y"/>
    <s v="Psychiatrist"/>
    <s v="Prescribed Hourly Rates"/>
    <s v="Expert Disbursement"/>
    <s v="IK"/>
    <s v="Y"/>
    <n v="1080"/>
    <n v="0"/>
    <x v="1"/>
    <s v="VALIDATED"/>
    <n v="1"/>
    <s v="01.11.80.307.6300.0000"/>
    <n v="1080"/>
    <s v="11"/>
    <s v="6300"/>
    <n v="8497.200000000001"/>
    <n v="1080"/>
    <s v="CREDITOR"/>
    <n v="0"/>
    <n v="0"/>
    <n v="0"/>
    <n v="0"/>
    <n v="1080"/>
  </r>
  <r>
    <n v="59517102"/>
    <s v="N"/>
    <n v="21327835"/>
    <s v="3000013923950014"/>
    <s v="CIVIL"/>
    <d v="2023-06-26T00:00:00"/>
    <d v="2023-07-04T19:00:44"/>
    <m/>
    <d v="2023-07-04T00:00:00"/>
    <n v="879"/>
    <n v="17441"/>
    <s v="59517102"/>
    <s v="59517102"/>
    <m/>
    <m/>
    <n v="22763514"/>
    <m/>
    <m/>
    <m/>
    <s v="SOLFIN"/>
    <s v="SOLFIN"/>
    <s v="CCMS"/>
    <n v="21327835"/>
    <n v="12682.59"/>
    <m/>
    <s v="N"/>
    <n v="57"/>
    <d v="2023-07-04T19:00:56"/>
    <s v="Y"/>
    <s v="Preparation - drafting application"/>
    <s v="Prescribed Hourly Rates"/>
    <s v="Profit Cost"/>
    <s v="IK"/>
    <s v="Y"/>
    <n v="37.88"/>
    <n v="7.58"/>
    <x v="1"/>
    <s v="VALIDATED"/>
    <n v="1"/>
    <s v="01.11.80.307.6100.0000"/>
    <n v="37.88"/>
    <s v="11"/>
    <s v="6100"/>
    <n v="8497.200000000001"/>
    <n v="37.88"/>
    <s v="CREDITOR"/>
    <n v="0"/>
    <n v="0"/>
    <n v="0"/>
    <n v="0"/>
    <n v="37.88"/>
  </r>
  <r>
    <n v="59517102"/>
    <s v="N"/>
    <n v="21327835"/>
    <s v="3000013923950014"/>
    <s v="CIVIL"/>
    <d v="2023-06-26T00:00:00"/>
    <d v="2023-07-04T19:00:44"/>
    <m/>
    <d v="2023-07-04T00:00:00"/>
    <n v="879"/>
    <n v="17441"/>
    <s v="59517102"/>
    <s v="59517102"/>
    <m/>
    <m/>
    <n v="22763514"/>
    <m/>
    <m/>
    <m/>
    <s v="SOLFIN"/>
    <s v="SOLFIN"/>
    <s v="CCMS"/>
    <n v="21327835"/>
    <n v="12682.59"/>
    <m/>
    <s v="N"/>
    <n v="12"/>
    <d v="2023-07-04T19:00:56"/>
    <s v="Y"/>
    <s v="Preparation - drafting notice(s)"/>
    <s v="Prescribed Hourly Rates"/>
    <s v="Profit Cost"/>
    <s v="RL"/>
    <s v="Y"/>
    <n v="5.49"/>
    <n v="1.1"/>
    <x v="1"/>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102"/>
    <d v="2023-07-04T19:00:56"/>
    <s v="Y"/>
    <s v="Preparation - other"/>
    <s v="Prescribed Hourly Rates"/>
    <s v="Profit Cost"/>
    <s v="RL"/>
    <s v="Y"/>
    <n v="10.98"/>
    <n v="2.2"/>
    <x v="1"/>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109"/>
    <d v="2023-07-04T19:00:56"/>
    <s v="Y"/>
    <s v="Preparation - drafting notice(s)"/>
    <s v="Prescribed Hourly Rates"/>
    <s v="Profit Cost"/>
    <s v="IK"/>
    <s v="Y"/>
    <n v="6.31"/>
    <n v="1.26"/>
    <x v="1"/>
    <s v="VALIDATED"/>
    <n v="1"/>
    <s v="01.11.80.307.6100.0000"/>
    <n v="6.31"/>
    <s v="11"/>
    <s v="6100"/>
    <n v="8497.200000000001"/>
    <n v="6.31"/>
    <s v="CREDITOR"/>
    <n v="0"/>
    <n v="0"/>
    <n v="0"/>
    <n v="0"/>
    <n v="6.31"/>
  </r>
  <r>
    <n v="60899405"/>
    <s v="N"/>
    <n v="21395413"/>
    <s v="3000015119790003"/>
    <s v="CIVIL"/>
    <d v="2023-06-29T00:00:00"/>
    <d v="2023-07-19T19:02:01"/>
    <m/>
    <d v="2023-07-19T00:00:00"/>
    <n v="879"/>
    <n v="17441"/>
    <s v="60899405"/>
    <s v="60899405"/>
    <m/>
    <m/>
    <n v="22790582"/>
    <m/>
    <m/>
    <m/>
    <s v="SOLFIN"/>
    <s v="SOLFIN"/>
    <s v="CCMS"/>
    <n v="21395413"/>
    <n v="2746.54"/>
    <m/>
    <s v="N"/>
    <n v="32"/>
    <d v="2023-07-19T19:02:26"/>
    <s v="Y"/>
    <s v="Preparation - drafting notice(s)"/>
    <s v="Prescribed Hourly Rates"/>
    <s v="Profit Cost"/>
    <s v="LW"/>
    <s v="Y"/>
    <n v="5.49"/>
    <n v="1.1"/>
    <x v="5"/>
    <s v="VALIDATED"/>
    <n v="1"/>
    <s v="01.11.80.307.6100.0000"/>
    <n v="5.49"/>
    <s v="11"/>
    <s v="6100"/>
    <n v="8497.200000000001"/>
    <n v="5.49"/>
    <s v="CREDITOR"/>
    <n v="0"/>
    <n v="0"/>
    <n v="0"/>
    <n v="0"/>
    <n v="5.49"/>
  </r>
  <r>
    <n v="10501628"/>
    <s v="N"/>
    <n v="21330972"/>
    <s v="3000006348010028"/>
    <s v="CIVIL"/>
    <d v="2023-06-22T00:00:00"/>
    <d v="2023-07-05T19:01:47"/>
    <m/>
    <d v="2023-07-05T00:00:00"/>
    <n v="879"/>
    <n v="17441"/>
    <s v="10501628"/>
    <s v="10501628"/>
    <m/>
    <m/>
    <n v="22741360"/>
    <m/>
    <m/>
    <m/>
    <s v="SOLFIN"/>
    <s v="SOLFIN"/>
    <s v="CCMS"/>
    <n v="21330972"/>
    <n v="16642.41"/>
    <m/>
    <s v="N"/>
    <n v="7"/>
    <d v="2023-07-05T19:02:00"/>
    <s v="Y"/>
    <s v="Solicitor Travel Mileage"/>
    <s v="Public Law Children"/>
    <s v="Non Expert Disbursement"/>
    <s v="SJS"/>
    <s v="Y"/>
    <n v="81"/>
    <n v="16.2"/>
    <x v="6"/>
    <s v="VALIDATED"/>
    <n v="1"/>
    <s v="01.11.80.308.6300.0000"/>
    <n v="81"/>
    <s v="11"/>
    <s v="6300"/>
    <n v="8497.200000000001"/>
    <n v="81"/>
    <s v="CREDITOR"/>
    <n v="0"/>
    <n v="0"/>
    <n v="0"/>
    <n v="0"/>
    <n v="81"/>
  </r>
  <r>
    <n v="59517102"/>
    <s v="N"/>
    <n v="21327835"/>
    <s v="3000013923950014"/>
    <s v="CIVIL"/>
    <d v="2023-06-26T00:00:00"/>
    <d v="2023-07-04T19:00:44"/>
    <m/>
    <d v="2023-07-04T00:00:00"/>
    <n v="879"/>
    <n v="17441"/>
    <s v="59517102"/>
    <s v="59517102"/>
    <m/>
    <m/>
    <n v="22763514"/>
    <m/>
    <m/>
    <m/>
    <s v="SOLFIN"/>
    <s v="SOLFIN"/>
    <s v="CCMS"/>
    <n v="21327835"/>
    <n v="12682.59"/>
    <m/>
    <s v="N"/>
    <n v="60"/>
    <d v="2023-07-04T19:00:56"/>
    <s v="Y"/>
    <s v="Attendance upon other side"/>
    <s v="Prescribed Hourly Rates"/>
    <s v="Profit Cost"/>
    <s v="IK"/>
    <s v="Y"/>
    <n v="31.57"/>
    <n v="6.31"/>
    <x v="1"/>
    <s v="VALIDATED"/>
    <n v="1"/>
    <s v="01.11.80.307.6100.0000"/>
    <n v="31.57"/>
    <s v="11"/>
    <s v="6100"/>
    <n v="8497.200000000001"/>
    <n v="31.57"/>
    <s v="CREDITOR"/>
    <n v="0"/>
    <n v="0"/>
    <n v="0"/>
    <n v="0"/>
    <n v="31.57"/>
  </r>
  <r>
    <n v="59517102"/>
    <s v="N"/>
    <n v="21327835"/>
    <s v="3000013923950014"/>
    <s v="CIVIL"/>
    <d v="2023-06-26T00:00:00"/>
    <d v="2023-07-04T19:00:44"/>
    <m/>
    <d v="2023-07-04T00:00:00"/>
    <n v="879"/>
    <n v="17441"/>
    <s v="59517102"/>
    <s v="59517102"/>
    <m/>
    <m/>
    <n v="22763514"/>
    <m/>
    <m/>
    <m/>
    <s v="SOLFIN"/>
    <s v="SOLFIN"/>
    <s v="CCMS"/>
    <n v="21327835"/>
    <n v="12682.59"/>
    <m/>
    <s v="N"/>
    <n v="96"/>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100"/>
    <d v="2023-07-04T19:00:56"/>
    <s v="Y"/>
    <s v="Preparation - other"/>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113"/>
    <d v="2023-07-04T19:00:56"/>
    <s v="Y"/>
    <s v="Routine Letter Out"/>
    <s v="Prescribed Hourly Rates"/>
    <s v="Profit Cost"/>
    <s v="IK"/>
    <s v="Y"/>
    <n v="577.53"/>
    <n v="115.51"/>
    <x v="1"/>
    <s v="VALIDATED"/>
    <n v="1"/>
    <s v="01.11.80.307.6100.0000"/>
    <n v="577.53"/>
    <s v="11"/>
    <s v="6100"/>
    <n v="8497.200000000001"/>
    <n v="577.53"/>
    <s v="CREDITOR"/>
    <n v="0"/>
    <n v="0"/>
    <n v="0"/>
    <n v="0"/>
    <n v="577.53"/>
  </r>
  <r>
    <n v="59517102"/>
    <s v="N"/>
    <n v="21327835"/>
    <s v="3000013923950014"/>
    <s v="CIVIL"/>
    <d v="2023-06-26T00:00:00"/>
    <d v="2023-07-04T19:00:44"/>
    <m/>
    <d v="2023-07-04T00:00:00"/>
    <n v="879"/>
    <n v="17441"/>
    <s v="59517102"/>
    <s v="59517102"/>
    <m/>
    <m/>
    <n v="22763514"/>
    <m/>
    <m/>
    <m/>
    <s v="SOLFIN"/>
    <s v="SOLFIN"/>
    <s v="CCMS"/>
    <n v="21327835"/>
    <n v="12682.59"/>
    <m/>
    <s v="N"/>
    <n v="30"/>
    <d v="2023-07-04T19:00:56"/>
    <s v="Y"/>
    <s v="Preparation - other"/>
    <s v="Prescribed Hourly Rates"/>
    <s v="Profit Cost"/>
    <s v="VP"/>
    <s v="Y"/>
    <n v="137.25"/>
    <n v="27.45"/>
    <x v="1"/>
    <s v="VALIDATED"/>
    <n v="1"/>
    <s v="01.11.80.307.6100.0000"/>
    <n v="137.25"/>
    <s v="11"/>
    <s v="6100"/>
    <n v="8497.200000000001"/>
    <n v="137.25"/>
    <s v="CREDITOR"/>
    <n v="0"/>
    <n v="0"/>
    <n v="0"/>
    <n v="0"/>
    <n v="137.25"/>
  </r>
  <r>
    <n v="59517102"/>
    <s v="N"/>
    <n v="21327835"/>
    <s v="3000013923950014"/>
    <s v="CIVIL"/>
    <d v="2023-06-26T00:00:00"/>
    <d v="2023-07-04T19:00:44"/>
    <m/>
    <d v="2023-07-04T00:00:00"/>
    <n v="879"/>
    <n v="17441"/>
    <s v="59517102"/>
    <s v="59517102"/>
    <m/>
    <m/>
    <n v="22763514"/>
    <m/>
    <m/>
    <m/>
    <s v="SOLFIN"/>
    <s v="SOLFIN"/>
    <s v="CCMS"/>
    <n v="21327835"/>
    <n v="12682.59"/>
    <m/>
    <s v="N"/>
    <n v="50"/>
    <d v="2023-07-04T19:00:56"/>
    <s v="Y"/>
    <s v="Preparation - other"/>
    <s v="Prescribed Hourly Rates"/>
    <s v="Profit Cost"/>
    <s v="VP"/>
    <s v="Y"/>
    <n v="10.98"/>
    <n v="2.2"/>
    <x v="1"/>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34"/>
    <d v="2023-07-19T19:02:26"/>
    <s v="Y"/>
    <s v="Attendance upon client"/>
    <s v="Prescribed Hourly Rates"/>
    <s v="Profit Cost"/>
    <s v="LW"/>
    <s v="Y"/>
    <n v="10.98"/>
    <n v="2.2"/>
    <x v="5"/>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55"/>
    <d v="2023-07-19T19:02:26"/>
    <s v="Y"/>
    <s v="Preparation - other"/>
    <s v="Prescribed Hourly Rates"/>
    <s v="Profit Cost"/>
    <s v="GR"/>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17"/>
    <d v="2023-07-19T19:02:26"/>
    <s v="Y"/>
    <s v="Preparation - drafting attendance n"/>
    <s v="Prescribed Hourly Rates"/>
    <s v="Profit Cost"/>
    <s v="GR"/>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10"/>
    <d v="2023-07-04T19:00:56"/>
    <s v="Y"/>
    <s v="Attendance upon client"/>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106"/>
    <d v="2023-07-04T19:00:56"/>
    <s v="Y"/>
    <s v="Advocacy - Final Hearing"/>
    <s v="Prescribed Hourly Rates"/>
    <s v="Advocacy"/>
    <s v="IK"/>
    <s v="Y"/>
    <n v="43.47"/>
    <n v="8.69"/>
    <x v="1"/>
    <s v="VALIDATED"/>
    <n v="1"/>
    <s v="01.11.80.307.6100.0000"/>
    <n v="43.47"/>
    <s v="11"/>
    <s v="6100"/>
    <n v="8497.200000000001"/>
    <n v="43.47"/>
    <s v="CREDITOR"/>
    <n v="0"/>
    <n v="0"/>
    <n v="0"/>
    <n v="0"/>
    <n v="43.47"/>
  </r>
  <r>
    <n v="59517102"/>
    <s v="N"/>
    <n v="21327835"/>
    <s v="3000013923950014"/>
    <s v="CIVIL"/>
    <d v="2023-06-26T00:00:00"/>
    <d v="2023-07-04T19:00:44"/>
    <m/>
    <d v="2023-07-04T00:00:00"/>
    <n v="879"/>
    <n v="17441"/>
    <s v="59517102"/>
    <s v="59517102"/>
    <m/>
    <m/>
    <n v="22763514"/>
    <m/>
    <m/>
    <m/>
    <s v="SOLFIN"/>
    <s v="SOLFIN"/>
    <s v="CCMS"/>
    <n v="21327835"/>
    <n v="12682.59"/>
    <m/>
    <s v="N"/>
    <n v="31"/>
    <d v="2023-07-04T19:00:56"/>
    <s v="Y"/>
    <s v="Preparation - other"/>
    <s v="Prescribed Hourly Rates"/>
    <s v="Profit Cost"/>
    <s v="VP"/>
    <s v="Y"/>
    <n v="219.6"/>
    <n v="43.92"/>
    <x v="1"/>
    <s v="VALIDATED"/>
    <n v="1"/>
    <s v="01.11.80.307.6100.0000"/>
    <n v="219.6"/>
    <s v="11"/>
    <s v="6100"/>
    <n v="8497.200000000001"/>
    <n v="219.6"/>
    <s v="CREDITOR"/>
    <n v="0"/>
    <n v="0"/>
    <n v="0"/>
    <n v="0"/>
    <n v="219.6"/>
  </r>
  <r>
    <n v="60899405"/>
    <s v="N"/>
    <n v="21395413"/>
    <s v="3000015119790003"/>
    <s v="CIVIL"/>
    <d v="2023-06-29T00:00:00"/>
    <d v="2023-07-19T19:02:01"/>
    <m/>
    <d v="2023-07-19T00:00:00"/>
    <n v="879"/>
    <n v="17441"/>
    <s v="60899405"/>
    <s v="60899405"/>
    <m/>
    <m/>
    <n v="22790582"/>
    <m/>
    <m/>
    <m/>
    <s v="SOLFIN"/>
    <s v="SOLFIN"/>
    <s v="CCMS"/>
    <n v="21395413"/>
    <n v="2746.54"/>
    <m/>
    <s v="N"/>
    <n v="42"/>
    <d v="2023-07-19T19:02:26"/>
    <s v="Y"/>
    <s v="Preparation - other"/>
    <s v="Prescribed Hourly Rates"/>
    <s v="Profit Cost"/>
    <s v="GR"/>
    <s v="Y"/>
    <n v="10.98"/>
    <n v="2.2"/>
    <x v="5"/>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107"/>
    <d v="2023-07-04T19:00:56"/>
    <s v="Y"/>
    <s v="Preparation - drafting attendance n"/>
    <s v="Prescribed Hourly Rates"/>
    <s v="Profit Cost"/>
    <s v="IK"/>
    <s v="Y"/>
    <n v="31.57"/>
    <n v="6.31"/>
    <x v="1"/>
    <s v="VALIDATED"/>
    <n v="1"/>
    <s v="01.11.80.307.6100.0000"/>
    <n v="31.57"/>
    <s v="11"/>
    <s v="6100"/>
    <n v="8497.200000000001"/>
    <n v="31.57"/>
    <s v="CREDITOR"/>
    <n v="0"/>
    <n v="0"/>
    <n v="0"/>
    <n v="0"/>
    <n v="31.57"/>
  </r>
  <r>
    <n v="10501628"/>
    <s v="N"/>
    <n v="21330972"/>
    <s v="3000006348010028"/>
    <s v="CIVIL"/>
    <d v="2023-06-22T00:00:00"/>
    <d v="2023-07-05T19:01:47"/>
    <m/>
    <d v="2023-07-05T00:00:00"/>
    <n v="879"/>
    <n v="17441"/>
    <s v="10501628"/>
    <s v="10501628"/>
    <m/>
    <m/>
    <n v="22741360"/>
    <m/>
    <m/>
    <m/>
    <s v="SOLFIN"/>
    <s v="SOLFIN"/>
    <s v="CCMS"/>
    <n v="21330972"/>
    <n v="16642.41"/>
    <m/>
    <s v="N"/>
    <n v="15"/>
    <d v="2023-07-05T19:02:00"/>
    <s v="Y"/>
    <s v="Independent Social Worker"/>
    <s v="Public Law Children"/>
    <s v="Expert Disbursement"/>
    <s v="SJS"/>
    <s v="Y"/>
    <n v="262.16"/>
    <n v="0"/>
    <x v="6"/>
    <s v="VALIDATED"/>
    <n v="1"/>
    <s v="01.11.80.308.6300.0000"/>
    <n v="262.16"/>
    <s v="11"/>
    <s v="6300"/>
    <n v="8497.200000000001"/>
    <n v="262.16"/>
    <s v="CREDITOR"/>
    <n v="0"/>
    <n v="0"/>
    <n v="0"/>
    <n v="0"/>
    <n v="262.16"/>
  </r>
  <r>
    <n v="59517102"/>
    <s v="N"/>
    <n v="21327835"/>
    <s v="3000013923950014"/>
    <s v="CIVIL"/>
    <d v="2023-06-26T00:00:00"/>
    <d v="2023-07-04T19:00:44"/>
    <m/>
    <d v="2023-07-04T00:00:00"/>
    <n v="879"/>
    <n v="17441"/>
    <s v="59517102"/>
    <s v="59517102"/>
    <m/>
    <m/>
    <n v="22763514"/>
    <m/>
    <m/>
    <m/>
    <s v="SOLFIN"/>
    <s v="SOLFIN"/>
    <s v="CCMS"/>
    <n v="21327835"/>
    <n v="12682.59"/>
    <m/>
    <s v="N"/>
    <n v="56"/>
    <d v="2023-07-04T19:00:56"/>
    <s v="Y"/>
    <s v="Preparation - other"/>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79"/>
    <d v="2023-07-04T19:00:56"/>
    <s v="Y"/>
    <s v="Preparation - drafting attendance n"/>
    <s v="Prescribed Hourly Rates"/>
    <s v="Profit Cost"/>
    <s v="IK"/>
    <s v="Y"/>
    <n v="25.25"/>
    <n v="5.05"/>
    <x v="1"/>
    <s v="VALIDATED"/>
    <n v="1"/>
    <s v="01.11.80.307.6100.0000"/>
    <n v="25.25"/>
    <s v="11"/>
    <s v="6100"/>
    <n v="8497.200000000001"/>
    <n v="25.25"/>
    <s v="CREDITOR"/>
    <n v="0"/>
    <n v="0"/>
    <n v="0"/>
    <n v="0"/>
    <n v="25.25"/>
  </r>
  <r>
    <n v="59517102"/>
    <s v="N"/>
    <n v="21327835"/>
    <s v="3000013923950014"/>
    <s v="CIVIL"/>
    <d v="2023-06-26T00:00:00"/>
    <d v="2023-07-04T19:00:44"/>
    <m/>
    <d v="2023-07-04T00:00:00"/>
    <n v="879"/>
    <n v="17441"/>
    <s v="59517102"/>
    <s v="59517102"/>
    <m/>
    <m/>
    <n v="22763514"/>
    <m/>
    <m/>
    <m/>
    <s v="SOLFIN"/>
    <s v="SOLFIN"/>
    <s v="CCMS"/>
    <n v="21327835"/>
    <n v="12682.59"/>
    <m/>
    <s v="N"/>
    <n v="16"/>
    <d v="2023-07-04T19:00:56"/>
    <s v="Y"/>
    <s v="Preparation - other"/>
    <s v="Prescribed Hourly Rates"/>
    <s v="Profit Cost"/>
    <s v="MDL"/>
    <s v="Y"/>
    <n v="16.47"/>
    <n v="3.29"/>
    <x v="1"/>
    <s v="VALIDATED"/>
    <n v="1"/>
    <s v="01.11.80.307.6100.0000"/>
    <n v="16.47"/>
    <s v="11"/>
    <s v="6100"/>
    <n v="8497.200000000001"/>
    <n v="16.47"/>
    <s v="CREDITOR"/>
    <n v="0"/>
    <n v="0"/>
    <n v="0"/>
    <n v="0"/>
    <n v="16.47"/>
  </r>
  <r>
    <n v="59517102"/>
    <s v="N"/>
    <n v="21327835"/>
    <s v="3000013923950014"/>
    <s v="CIVIL"/>
    <d v="2023-06-26T00:00:00"/>
    <d v="2023-07-04T19:00:44"/>
    <m/>
    <d v="2023-07-04T00:00:00"/>
    <n v="879"/>
    <n v="17441"/>
    <s v="59517102"/>
    <s v="59517102"/>
    <m/>
    <m/>
    <n v="22763514"/>
    <m/>
    <m/>
    <m/>
    <s v="SOLFIN"/>
    <s v="SOLFIN"/>
    <s v="CCMS"/>
    <n v="21327835"/>
    <n v="12682.59"/>
    <m/>
    <s v="N"/>
    <n v="63"/>
    <d v="2023-07-04T19:00:56"/>
    <s v="Y"/>
    <s v="Attendance upon other"/>
    <s v="Prescribed Hourly Rates"/>
    <s v="Profit Cost"/>
    <s v="IK"/>
    <s v="Y"/>
    <n v="44.19"/>
    <n v="8.84"/>
    <x v="1"/>
    <s v="VALIDATED"/>
    <n v="1"/>
    <s v="01.11.80.307.6100.0000"/>
    <n v="44.19"/>
    <s v="11"/>
    <s v="6100"/>
    <n v="8497.200000000001"/>
    <n v="44.19"/>
    <s v="CREDITOR"/>
    <n v="0"/>
    <n v="0"/>
    <n v="0"/>
    <n v="0"/>
    <n v="44.19"/>
  </r>
  <r>
    <n v="59517102"/>
    <s v="N"/>
    <n v="21327835"/>
    <s v="3000013923950014"/>
    <s v="CIVIL"/>
    <d v="2023-06-26T00:00:00"/>
    <d v="2023-07-04T19:00:44"/>
    <m/>
    <d v="2023-07-04T00:00:00"/>
    <n v="879"/>
    <n v="17441"/>
    <s v="59517102"/>
    <s v="59517102"/>
    <m/>
    <m/>
    <n v="22763514"/>
    <m/>
    <m/>
    <m/>
    <s v="SOLFIN"/>
    <s v="SOLFIN"/>
    <s v="CCMS"/>
    <n v="21327835"/>
    <n v="12682.59"/>
    <m/>
    <s v="N"/>
    <n v="84"/>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20"/>
    <d v="2023-07-04T19:00:56"/>
    <s v="Y"/>
    <s v="Preparation - other"/>
    <s v="Prescribed Hourly Rates"/>
    <s v="Profit Cost"/>
    <s v="IK"/>
    <s v="Y"/>
    <n v="12.63"/>
    <n v="2.53"/>
    <x v="1"/>
    <s v="VALIDATED"/>
    <n v="1"/>
    <s v="01.11.80.307.6100.0000"/>
    <n v="12.63"/>
    <s v="11"/>
    <s v="6100"/>
    <n v="8497.200000000001"/>
    <n v="12.63"/>
    <s v="CREDITOR"/>
    <n v="0"/>
    <n v="0"/>
    <n v="0"/>
    <n v="0"/>
    <n v="12.63"/>
  </r>
  <r>
    <n v="60899405"/>
    <s v="N"/>
    <n v="21395413"/>
    <s v="3000015119790003"/>
    <s v="CIVIL"/>
    <d v="2023-06-29T00:00:00"/>
    <d v="2023-07-19T19:02:01"/>
    <m/>
    <d v="2023-07-19T00:00:00"/>
    <n v="879"/>
    <n v="17441"/>
    <s v="60899405"/>
    <s v="60899405"/>
    <m/>
    <m/>
    <n v="22790582"/>
    <m/>
    <m/>
    <m/>
    <s v="SOLFIN"/>
    <s v="SOLFIN"/>
    <s v="CCMS"/>
    <n v="21395413"/>
    <n v="2746.54"/>
    <m/>
    <s v="N"/>
    <n v="24"/>
    <d v="2023-07-19T19:02:26"/>
    <s v="Y"/>
    <s v="Preparation - drafting attendance n"/>
    <s v="Prescribed Hourly Rates"/>
    <s v="Profit Cost"/>
    <s v="LW"/>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5"/>
    <d v="2023-07-04T19:00:56"/>
    <s v="Y"/>
    <s v="Police Records"/>
    <s v="Prescribed Hourly Rates"/>
    <s v="Non Expert Disbursement"/>
    <s v="IK"/>
    <s v="Y"/>
    <n v="92"/>
    <n v="0"/>
    <x v="1"/>
    <s v="VALIDATED"/>
    <n v="1"/>
    <s v="01.11.80.307.6300.0000"/>
    <n v="92"/>
    <s v="11"/>
    <s v="6300"/>
    <n v="8497.200000000001"/>
    <n v="92"/>
    <s v="CREDITOR"/>
    <n v="0"/>
    <n v="0"/>
    <n v="0"/>
    <n v="0"/>
    <n v="92"/>
  </r>
  <r>
    <n v="59517102"/>
    <s v="N"/>
    <n v="21327835"/>
    <s v="3000013923950014"/>
    <s v="CIVIL"/>
    <d v="2023-06-26T00:00:00"/>
    <d v="2023-07-04T19:00:44"/>
    <m/>
    <d v="2023-07-04T00:00:00"/>
    <n v="879"/>
    <n v="17441"/>
    <s v="59517102"/>
    <s v="59517102"/>
    <m/>
    <m/>
    <n v="22763514"/>
    <m/>
    <m/>
    <m/>
    <s v="SOLFIN"/>
    <s v="SOLFIN"/>
    <s v="CCMS"/>
    <n v="21327835"/>
    <n v="12682.59"/>
    <m/>
    <s v="N"/>
    <n v="89"/>
    <d v="2023-07-04T19:00:56"/>
    <s v="Y"/>
    <s v="Preparation - other"/>
    <s v="Prescribed Hourly Rates"/>
    <s v="Profit Cost"/>
    <s v="IK"/>
    <s v="Y"/>
    <n v="12.63"/>
    <n v="2.53"/>
    <x v="1"/>
    <s v="VALIDATED"/>
    <n v="1"/>
    <s v="01.11.80.307.6100.0000"/>
    <n v="12.63"/>
    <s v="11"/>
    <s v="6100"/>
    <n v="8497.200000000001"/>
    <n v="12.63"/>
    <s v="CREDITOR"/>
    <n v="0"/>
    <n v="0"/>
    <n v="0"/>
    <n v="0"/>
    <n v="12.63"/>
  </r>
  <r>
    <n v="60899405"/>
    <s v="N"/>
    <n v="21395413"/>
    <s v="3000015119790003"/>
    <s v="CIVIL"/>
    <d v="2023-06-29T00:00:00"/>
    <d v="2023-07-19T19:02:01"/>
    <m/>
    <d v="2023-07-19T00:00:00"/>
    <n v="879"/>
    <n v="17441"/>
    <s v="60899405"/>
    <s v="60899405"/>
    <m/>
    <m/>
    <n v="22790582"/>
    <m/>
    <m/>
    <m/>
    <s v="SOLFIN"/>
    <s v="SOLFIN"/>
    <s v="CCMS"/>
    <n v="21395413"/>
    <n v="2746.54"/>
    <m/>
    <s v="N"/>
    <n v="28"/>
    <d v="2023-07-19T19:02:26"/>
    <s v="Y"/>
    <s v="Preparation - other"/>
    <s v="Prescribed Hourly Rates"/>
    <s v="Profit Cost"/>
    <s v="LW"/>
    <s v="Y"/>
    <n v="10.98"/>
    <n v="2.2"/>
    <x v="5"/>
    <s v="VALIDATED"/>
    <n v="1"/>
    <s v="01.11.80.307.6100.0000"/>
    <n v="10.98"/>
    <s v="11"/>
    <s v="6100"/>
    <n v="8497.200000000001"/>
    <n v="10.98"/>
    <s v="CREDITOR"/>
    <n v="0"/>
    <n v="0"/>
    <n v="0"/>
    <n v="0"/>
    <n v="10.98"/>
  </r>
  <r>
    <n v="10501628"/>
    <s v="N"/>
    <n v="21330972"/>
    <s v="3000006348010028"/>
    <s v="CIVIL"/>
    <d v="2023-06-22T00:00:00"/>
    <d v="2023-07-05T19:01:47"/>
    <m/>
    <d v="2023-07-05T00:00:00"/>
    <n v="879"/>
    <n v="17441"/>
    <s v="10501628"/>
    <s v="10501628"/>
    <m/>
    <m/>
    <n v="22741360"/>
    <m/>
    <m/>
    <m/>
    <s v="SOLFIN"/>
    <s v="SOLFIN"/>
    <s v="CCMS"/>
    <n v="21330972"/>
    <n v="16642.41"/>
    <m/>
    <s v="N"/>
    <n v="3"/>
    <d v="2023-07-05T19:02:00"/>
    <s v="Y"/>
    <s v="Exceptional Travel"/>
    <s v="Public Law Children"/>
    <s v="Advocacy"/>
    <s v="SJS"/>
    <s v="Y"/>
    <n v="32.04"/>
    <n v="6.41"/>
    <x v="6"/>
    <s v="VALIDATED"/>
    <n v="1"/>
    <s v="01.11.80.308.6100.0000"/>
    <n v="32.04"/>
    <s v="11"/>
    <s v="6100"/>
    <n v="8497.200000000001"/>
    <n v="32.04"/>
    <s v="CREDITOR"/>
    <n v="0"/>
    <n v="0"/>
    <n v="0"/>
    <n v="0"/>
    <n v="32.04"/>
  </r>
  <r>
    <n v="60899405"/>
    <s v="N"/>
    <n v="21395413"/>
    <s v="3000015119790003"/>
    <s v="CIVIL"/>
    <d v="2023-06-29T00:00:00"/>
    <d v="2023-07-19T19:02:01"/>
    <m/>
    <d v="2023-07-19T00:00:00"/>
    <n v="879"/>
    <n v="17441"/>
    <s v="60899405"/>
    <s v="60899405"/>
    <m/>
    <m/>
    <n v="22790582"/>
    <m/>
    <m/>
    <m/>
    <s v="SOLFIN"/>
    <s v="SOLFIN"/>
    <s v="CCMS"/>
    <n v="21395413"/>
    <n v="2746.54"/>
    <m/>
    <s v="N"/>
    <n v="59"/>
    <d v="2023-07-19T19:02:26"/>
    <s v="Y"/>
    <s v="Preparation - other"/>
    <s v="Prescribed Hourly Rates"/>
    <s v="Profit Cost"/>
    <s v="GR"/>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31"/>
    <d v="2023-07-19T19:02:26"/>
    <s v="Y"/>
    <s v="Preparation - other"/>
    <s v="Prescribed Hourly Rates"/>
    <s v="Profit Cost"/>
    <s v="LW"/>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6"/>
    <d v="2023-07-04T19:00:56"/>
    <s v="Y"/>
    <s v="Court Fee"/>
    <s v="Prescribed Hourly Rates"/>
    <s v="Non Expert Disbursement"/>
    <s v="IK"/>
    <s v="Y"/>
    <n v="167"/>
    <n v="0"/>
    <x v="1"/>
    <s v="VALIDATED"/>
    <n v="1"/>
    <s v="01.11.80.307.6300.0000"/>
    <n v="167"/>
    <s v="11"/>
    <s v="6300"/>
    <n v="8497.200000000001"/>
    <n v="167"/>
    <s v="CREDITOR"/>
    <n v="0"/>
    <n v="0"/>
    <n v="0"/>
    <n v="0"/>
    <n v="167"/>
  </r>
  <r>
    <n v="59517102"/>
    <s v="N"/>
    <n v="21327835"/>
    <s v="3000013923950014"/>
    <s v="CIVIL"/>
    <d v="2023-06-26T00:00:00"/>
    <d v="2023-07-04T19:00:44"/>
    <m/>
    <d v="2023-07-04T00:00:00"/>
    <n v="879"/>
    <n v="17441"/>
    <s v="59517102"/>
    <s v="59517102"/>
    <m/>
    <m/>
    <n v="22763514"/>
    <m/>
    <m/>
    <m/>
    <s v="SOLFIN"/>
    <s v="SOLFIN"/>
    <s v="CCMS"/>
    <n v="21327835"/>
    <n v="12682.59"/>
    <m/>
    <s v="N"/>
    <n v="14"/>
    <d v="2023-07-04T19:00:56"/>
    <s v="Y"/>
    <s v="Advocacy - Directions Hearing"/>
    <s v="Prescribed Hourly Rates"/>
    <s v="Advocacy"/>
    <s v="MDL"/>
    <s v="Y"/>
    <n v="73.70999999999999"/>
    <n v="14.74"/>
    <x v="1"/>
    <s v="VALIDATED"/>
    <n v="1"/>
    <s v="01.11.80.307.6100.0000"/>
    <n v="73.70999999999999"/>
    <s v="11"/>
    <s v="6100"/>
    <n v="8497.200000000001"/>
    <n v="73.70999999999999"/>
    <s v="CREDITOR"/>
    <n v="0"/>
    <n v="0"/>
    <n v="0"/>
    <n v="0"/>
    <n v="73.70999999999999"/>
  </r>
  <r>
    <n v="59517102"/>
    <s v="N"/>
    <n v="21327835"/>
    <s v="3000013923950014"/>
    <s v="CIVIL"/>
    <d v="2023-06-26T00:00:00"/>
    <d v="2023-07-04T19:00:44"/>
    <m/>
    <d v="2023-07-04T00:00:00"/>
    <n v="879"/>
    <n v="17441"/>
    <s v="59517102"/>
    <s v="59517102"/>
    <m/>
    <m/>
    <n v="22763514"/>
    <m/>
    <m/>
    <m/>
    <s v="SOLFIN"/>
    <s v="SOLFIN"/>
    <s v="CCMS"/>
    <n v="21327835"/>
    <n v="12682.59"/>
    <m/>
    <s v="N"/>
    <n v="41"/>
    <d v="2023-07-04T19:00:56"/>
    <s v="Y"/>
    <s v="Preparation - other"/>
    <s v="Prescribed Hourly Rates"/>
    <s v="Profit Cost"/>
    <s v="IK"/>
    <s v="Y"/>
    <n v="69.45"/>
    <n v="13.89"/>
    <x v="1"/>
    <s v="VALIDATED"/>
    <n v="1"/>
    <s v="01.11.80.307.6100.0000"/>
    <n v="69.45"/>
    <s v="11"/>
    <s v="6100"/>
    <n v="8497.200000000001"/>
    <n v="69.45"/>
    <s v="CREDITOR"/>
    <n v="0"/>
    <n v="0"/>
    <n v="0"/>
    <n v="0"/>
    <n v="69.45"/>
  </r>
  <r>
    <n v="60899405"/>
    <s v="N"/>
    <n v="21395413"/>
    <s v="3000015119790003"/>
    <s v="CIVIL"/>
    <d v="2023-06-29T00:00:00"/>
    <d v="2023-07-19T19:02:01"/>
    <m/>
    <d v="2023-07-19T00:00:00"/>
    <n v="879"/>
    <n v="17441"/>
    <s v="60899405"/>
    <s v="60899405"/>
    <m/>
    <m/>
    <n v="22790582"/>
    <m/>
    <m/>
    <m/>
    <s v="SOLFIN"/>
    <s v="SOLFIN"/>
    <s v="CCMS"/>
    <n v="21395413"/>
    <n v="2746.54"/>
    <m/>
    <s v="N"/>
    <n v="52"/>
    <d v="2023-07-19T19:02:26"/>
    <s v="Y"/>
    <s v="Preparation - drafting attendance n"/>
    <s v="Prescribed Hourly Rates"/>
    <s v="Profit Cost"/>
    <s v="LW"/>
    <s v="Y"/>
    <n v="10.98"/>
    <n v="2.2"/>
    <x v="5"/>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16"/>
    <d v="2023-07-19T19:02:26"/>
    <s v="Y"/>
    <s v="Preparation - other"/>
    <s v="Prescribed Hourly Rates"/>
    <s v="Profit Cost"/>
    <s v="GR"/>
    <s v="Y"/>
    <n v="5.49"/>
    <n v="1.1"/>
    <x v="5"/>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55"/>
    <d v="2023-07-04T19:00:56"/>
    <s v="Y"/>
    <s v="Preparation - other"/>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21"/>
    <d v="2023-07-04T19:00:56"/>
    <s v="Y"/>
    <s v="Preparation - other"/>
    <s v="Prescribed Hourly Rates"/>
    <s v="Profit Cost"/>
    <s v="IK"/>
    <s v="Y"/>
    <n v="63.14"/>
    <n v="12.63"/>
    <x v="1"/>
    <s v="VALIDATED"/>
    <n v="1"/>
    <s v="01.11.80.307.6100.0000"/>
    <n v="63.14"/>
    <s v="11"/>
    <s v="6100"/>
    <n v="8497.200000000001"/>
    <n v="63.14"/>
    <s v="CREDITOR"/>
    <n v="0"/>
    <n v="0"/>
    <n v="0"/>
    <n v="0"/>
    <n v="63.14"/>
  </r>
  <r>
    <n v="59517102"/>
    <s v="N"/>
    <n v="21327835"/>
    <s v="3000013923950014"/>
    <s v="CIVIL"/>
    <d v="2023-06-26T00:00:00"/>
    <d v="2023-07-04T19:00:44"/>
    <m/>
    <d v="2023-07-04T00:00:00"/>
    <n v="879"/>
    <n v="17441"/>
    <s v="59517102"/>
    <s v="59517102"/>
    <m/>
    <m/>
    <n v="22763514"/>
    <m/>
    <m/>
    <m/>
    <s v="SOLFIN"/>
    <s v="SOLFIN"/>
    <s v="CCMS"/>
    <n v="21327835"/>
    <n v="12682.59"/>
    <m/>
    <s v="N"/>
    <n v="110"/>
    <d v="2023-07-04T19:00:56"/>
    <s v="Y"/>
    <s v="Preparation - drafting bill/claim f"/>
    <s v="Prescribed Hourly Rates"/>
    <s v="Profit Cost"/>
    <s v="GMc"/>
    <s v="Y"/>
    <n v="329.4"/>
    <n v="65.88"/>
    <x v="1"/>
    <s v="VALIDATED"/>
    <n v="1"/>
    <s v="01.11.80.307.6100.0000"/>
    <n v="329.4"/>
    <s v="11"/>
    <s v="6100"/>
    <n v="8497.200000000001"/>
    <n v="329.4"/>
    <s v="CREDITOR"/>
    <n v="0"/>
    <n v="0"/>
    <n v="0"/>
    <n v="0"/>
    <n v="329.4"/>
  </r>
  <r>
    <n v="59517102"/>
    <s v="N"/>
    <n v="21327835"/>
    <s v="3000013923950014"/>
    <s v="CIVIL"/>
    <d v="2023-06-26T00:00:00"/>
    <d v="2023-07-04T19:00:44"/>
    <m/>
    <d v="2023-07-04T00:00:00"/>
    <n v="879"/>
    <n v="17441"/>
    <s v="59517102"/>
    <s v="59517102"/>
    <m/>
    <m/>
    <n v="22763514"/>
    <m/>
    <m/>
    <m/>
    <s v="SOLFIN"/>
    <s v="SOLFIN"/>
    <s v="CCMS"/>
    <n v="21327835"/>
    <n v="12682.59"/>
    <m/>
    <s v="N"/>
    <n v="53"/>
    <d v="2023-07-04T19:00:56"/>
    <s v="Y"/>
    <s v="Preparation - other"/>
    <s v="Prescribed Hourly Rates"/>
    <s v="Profit Cost"/>
    <s v="VP"/>
    <s v="Y"/>
    <n v="10.98"/>
    <n v="2.2"/>
    <x v="1"/>
    <s v="VALIDATED"/>
    <n v="1"/>
    <s v="01.11.80.307.6100.0000"/>
    <n v="10.98"/>
    <s v="11"/>
    <s v="6100"/>
    <n v="8497.200000000001"/>
    <n v="10.98"/>
    <s v="CREDITOR"/>
    <n v="0"/>
    <n v="0"/>
    <n v="0"/>
    <n v="0"/>
    <n v="10.98"/>
  </r>
  <r>
    <n v="60899405"/>
    <s v="N"/>
    <n v="21395413"/>
    <s v="3000015119790003"/>
    <s v="CIVIL"/>
    <d v="2023-06-29T00:00:00"/>
    <d v="2023-07-19T19:02:01"/>
    <m/>
    <d v="2023-07-19T00:00:00"/>
    <n v="879"/>
    <n v="17441"/>
    <s v="60899405"/>
    <s v="60899405"/>
    <m/>
    <m/>
    <n v="22790582"/>
    <m/>
    <m/>
    <m/>
    <s v="SOLFIN"/>
    <s v="SOLFIN"/>
    <s v="CCMS"/>
    <n v="21395413"/>
    <n v="2746.54"/>
    <m/>
    <s v="N"/>
    <n v="50"/>
    <d v="2023-07-19T19:02:26"/>
    <s v="Y"/>
    <s v="Preparation - other"/>
    <s v="Prescribed Hourly Rates"/>
    <s v="Profit Cost"/>
    <s v="LW"/>
    <s v="Y"/>
    <n v="54.9"/>
    <n v="10.98"/>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10"/>
    <d v="2023-07-19T19:02:26"/>
    <s v="Y"/>
    <s v="Preparation - drafting pleadings"/>
    <s v="Prescribed Hourly Rates"/>
    <s v="Profit Cost"/>
    <s v="GR"/>
    <s v="Y"/>
    <n v="16.47"/>
    <n v="3.29"/>
    <x v="5"/>
    <s v="VALIDATED"/>
    <n v="1"/>
    <s v="01.11.80.307.6100.0000"/>
    <n v="16.47"/>
    <s v="11"/>
    <s v="6100"/>
    <n v="8497.200000000001"/>
    <n v="16.47"/>
    <s v="CREDITOR"/>
    <n v="0"/>
    <n v="0"/>
    <n v="0"/>
    <n v="0"/>
    <n v="16.47"/>
  </r>
  <r>
    <n v="60899405"/>
    <s v="N"/>
    <n v="21395413"/>
    <s v="3000015119790003"/>
    <s v="CIVIL"/>
    <d v="2023-06-29T00:00:00"/>
    <d v="2023-07-19T19:02:01"/>
    <m/>
    <d v="2023-07-19T00:00:00"/>
    <n v="879"/>
    <n v="17441"/>
    <s v="60899405"/>
    <s v="60899405"/>
    <m/>
    <m/>
    <n v="22790582"/>
    <m/>
    <m/>
    <m/>
    <s v="SOLFIN"/>
    <s v="SOLFIN"/>
    <s v="CCMS"/>
    <n v="21395413"/>
    <n v="2746.54"/>
    <m/>
    <s v="N"/>
    <n v="30"/>
    <d v="2023-07-19T19:02:26"/>
    <s v="Y"/>
    <s v="Preparation - drafting notice(s)"/>
    <s v="Prescribed Hourly Rates"/>
    <s v="Profit Cost"/>
    <s v="LW"/>
    <s v="Y"/>
    <n v="5.49"/>
    <n v="1.1"/>
    <x v="5"/>
    <s v="VALIDATED"/>
    <n v="1"/>
    <s v="01.11.80.307.6100.0000"/>
    <n v="5.49"/>
    <s v="11"/>
    <s v="6100"/>
    <n v="8497.200000000001"/>
    <n v="5.49"/>
    <s v="CREDITOR"/>
    <n v="0"/>
    <n v="0"/>
    <n v="0"/>
    <n v="0"/>
    <n v="5.49"/>
  </r>
  <r>
    <n v="10501628"/>
    <s v="N"/>
    <n v="21330972"/>
    <s v="3000006348010028"/>
    <s v="CIVIL"/>
    <d v="2023-06-22T00:00:00"/>
    <d v="2023-07-05T19:01:47"/>
    <m/>
    <d v="2023-07-05T00:00:00"/>
    <n v="879"/>
    <n v="17441"/>
    <s v="10501628"/>
    <s v="10501628"/>
    <m/>
    <m/>
    <n v="22741360"/>
    <m/>
    <m/>
    <m/>
    <s v="SOLFIN"/>
    <s v="SOLFIN"/>
    <s v="CCMS"/>
    <n v="21330972"/>
    <n v="16642.41"/>
    <m/>
    <s v="N"/>
    <n v="4"/>
    <d v="2023-07-05T19:02:00"/>
    <s v="Y"/>
    <s v="Profit Costs (Summary)"/>
    <s v="Public Law Children"/>
    <s v="Profit Cost"/>
    <s v="SJS"/>
    <s v="Y"/>
    <n v="7225.86"/>
    <n v="1445.17"/>
    <x v="6"/>
    <s v="VALIDATED"/>
    <n v="1"/>
    <s v="01.11.80.308.6100.0000"/>
    <n v="7225.86"/>
    <s v="11"/>
    <s v="6100"/>
    <n v="8497.200000000001"/>
    <n v="7225.86"/>
    <s v="CREDITOR"/>
    <n v="0"/>
    <n v="0"/>
    <n v="0"/>
    <n v="0"/>
    <n v="7225.86"/>
  </r>
  <r>
    <n v="59517102"/>
    <s v="N"/>
    <n v="21327835"/>
    <s v="3000013923950014"/>
    <s v="CIVIL"/>
    <d v="2023-06-26T00:00:00"/>
    <d v="2023-07-04T19:00:44"/>
    <m/>
    <d v="2023-07-04T00:00:00"/>
    <n v="879"/>
    <n v="17441"/>
    <s v="59517102"/>
    <s v="59517102"/>
    <m/>
    <m/>
    <n v="22763514"/>
    <m/>
    <m/>
    <m/>
    <s v="SOLFIN"/>
    <s v="SOLFIN"/>
    <s v="CCMS"/>
    <n v="21327835"/>
    <n v="12682.59"/>
    <m/>
    <s v="N"/>
    <n v="97"/>
    <d v="2023-07-04T19:00:56"/>
    <s v="Y"/>
    <s v="Preparation - drafting application"/>
    <s v="Prescribed Hourly Rates"/>
    <s v="Profit Cost"/>
    <s v="MM"/>
    <s v="Y"/>
    <n v="43.92"/>
    <n v="8.779999999999999"/>
    <x v="1"/>
    <s v="VALIDATED"/>
    <n v="1"/>
    <s v="01.11.80.307.6100.0000"/>
    <n v="43.92"/>
    <s v="11"/>
    <s v="6100"/>
    <n v="8497.200000000001"/>
    <n v="43.92"/>
    <s v="CREDITOR"/>
    <n v="0"/>
    <n v="0"/>
    <n v="0"/>
    <n v="0"/>
    <n v="43.92"/>
  </r>
  <r>
    <n v="59517102"/>
    <s v="N"/>
    <n v="21327835"/>
    <s v="3000013923950014"/>
    <s v="CIVIL"/>
    <d v="2023-06-26T00:00:00"/>
    <d v="2023-07-04T19:00:44"/>
    <m/>
    <d v="2023-07-04T00:00:00"/>
    <n v="879"/>
    <n v="17441"/>
    <s v="59517102"/>
    <s v="59517102"/>
    <m/>
    <m/>
    <n v="22763514"/>
    <m/>
    <m/>
    <m/>
    <s v="SOLFIN"/>
    <s v="SOLFIN"/>
    <s v="CCMS"/>
    <n v="21327835"/>
    <n v="12682.59"/>
    <m/>
    <s v="N"/>
    <n v="26"/>
    <d v="2023-07-04T19:00:56"/>
    <s v="Y"/>
    <s v="Preparation - other"/>
    <s v="Prescribed Hourly Rates"/>
    <s v="Profit Cost"/>
    <s v="IK"/>
    <s v="Y"/>
    <n v="94.7"/>
    <n v="18.94"/>
    <x v="1"/>
    <s v="VALIDATED"/>
    <n v="1"/>
    <s v="01.11.80.307.6100.0000"/>
    <n v="94.7"/>
    <s v="11"/>
    <s v="6100"/>
    <n v="8497.200000000001"/>
    <n v="94.7"/>
    <s v="CREDITOR"/>
    <n v="0"/>
    <n v="0"/>
    <n v="0"/>
    <n v="0"/>
    <n v="94.7"/>
  </r>
  <r>
    <n v="59517102"/>
    <s v="N"/>
    <n v="21327835"/>
    <s v="3000013923950014"/>
    <s v="CIVIL"/>
    <d v="2023-06-26T00:00:00"/>
    <d v="2023-07-04T19:00:44"/>
    <m/>
    <d v="2023-07-04T00:00:00"/>
    <n v="879"/>
    <n v="17441"/>
    <s v="59517102"/>
    <s v="59517102"/>
    <m/>
    <m/>
    <n v="22763514"/>
    <m/>
    <m/>
    <m/>
    <s v="SOLFIN"/>
    <s v="SOLFIN"/>
    <s v="CCMS"/>
    <n v="21327835"/>
    <n v="12682.59"/>
    <m/>
    <s v="N"/>
    <n v="37"/>
    <d v="2023-07-04T19:00:56"/>
    <s v="Y"/>
    <s v="Preparation - other"/>
    <s v="Prescribed Hourly Rates"/>
    <s v="Profit Cost"/>
    <s v="IK"/>
    <s v="Y"/>
    <n v="63.14"/>
    <n v="12.63"/>
    <x v="1"/>
    <s v="VALIDATED"/>
    <n v="1"/>
    <s v="01.11.80.307.6100.0000"/>
    <n v="63.14"/>
    <s v="11"/>
    <s v="6100"/>
    <n v="8497.200000000001"/>
    <n v="63.14"/>
    <s v="CREDITOR"/>
    <n v="0"/>
    <n v="0"/>
    <n v="0"/>
    <n v="0"/>
    <n v="63.14"/>
  </r>
  <r>
    <n v="59517102"/>
    <s v="N"/>
    <n v="21327835"/>
    <s v="3000013923950014"/>
    <s v="CIVIL"/>
    <d v="2023-06-26T00:00:00"/>
    <d v="2023-07-04T19:00:44"/>
    <m/>
    <d v="2023-07-04T00:00:00"/>
    <n v="879"/>
    <n v="17441"/>
    <s v="59517102"/>
    <s v="59517102"/>
    <m/>
    <m/>
    <n v="22763514"/>
    <m/>
    <m/>
    <m/>
    <s v="SOLFIN"/>
    <s v="SOLFIN"/>
    <s v="CCMS"/>
    <n v="21327835"/>
    <n v="12682.59"/>
    <m/>
    <s v="N"/>
    <n v="64"/>
    <d v="2023-07-04T19:00:56"/>
    <s v="Y"/>
    <s v="Preparation - other"/>
    <s v="Prescribed Hourly Rates"/>
    <s v="Profit Cost"/>
    <s v="IK"/>
    <s v="Y"/>
    <n v="94.7"/>
    <n v="18.94"/>
    <x v="1"/>
    <s v="VALIDATED"/>
    <n v="1"/>
    <s v="01.11.80.307.6100.0000"/>
    <n v="94.7"/>
    <s v="11"/>
    <s v="6100"/>
    <n v="8497.200000000001"/>
    <n v="94.7"/>
    <s v="CREDITOR"/>
    <n v="0"/>
    <n v="0"/>
    <n v="0"/>
    <n v="0"/>
    <n v="94.7"/>
  </r>
  <r>
    <n v="60899405"/>
    <s v="N"/>
    <n v="21395413"/>
    <s v="3000015119790003"/>
    <s v="CIVIL"/>
    <d v="2023-06-29T00:00:00"/>
    <d v="2023-07-19T19:02:01"/>
    <m/>
    <d v="2023-07-19T00:00:00"/>
    <n v="879"/>
    <n v="17441"/>
    <s v="60899405"/>
    <s v="60899405"/>
    <m/>
    <m/>
    <n v="22790582"/>
    <m/>
    <m/>
    <m/>
    <s v="SOLFIN"/>
    <s v="SOLFIN"/>
    <s v="CCMS"/>
    <n v="21395413"/>
    <n v="2746.54"/>
    <m/>
    <s v="N"/>
    <n v="51"/>
    <d v="2023-07-19T19:02:26"/>
    <s v="Y"/>
    <s v="Preparation - other"/>
    <s v="Prescribed Hourly Rates"/>
    <s v="Profit Cost"/>
    <s v="GR"/>
    <s v="Y"/>
    <n v="10.98"/>
    <n v="2.2"/>
    <x v="5"/>
    <s v="VALIDATED"/>
    <n v="1"/>
    <s v="01.11.80.307.6100.0000"/>
    <n v="10.98"/>
    <s v="11"/>
    <s v="6100"/>
    <n v="8497.200000000001"/>
    <n v="10.98"/>
    <s v="CREDITOR"/>
    <n v="0"/>
    <n v="0"/>
    <n v="0"/>
    <n v="0"/>
    <n v="10.98"/>
  </r>
  <r>
    <n v="40172407"/>
    <s v="N"/>
    <n v="21350112"/>
    <s v="3000010751610002"/>
    <s v="CIVIL"/>
    <d v="2023-06-30T00:00:00"/>
    <d v="2023-07-10T19:01:40"/>
    <m/>
    <d v="2023-07-10T00:00:00"/>
    <n v="879"/>
    <n v="17441"/>
    <s v="40172407"/>
    <s v="40172407"/>
    <m/>
    <m/>
    <n v="22794336"/>
    <m/>
    <m/>
    <m/>
    <s v="SOLFIN"/>
    <s v="SOLFIN"/>
    <s v="CCMS"/>
    <n v="21350112"/>
    <n v="1709.38"/>
    <m/>
    <s v="N"/>
    <n v="1"/>
    <d v="2023-07-10T19:02:14"/>
    <s v="Y"/>
    <s v="Toxicologist"/>
    <s v="Private Law Children"/>
    <s v="Expert Disbursement"/>
    <s v="MO"/>
    <s v="Y"/>
    <n v="507"/>
    <n v="101.4"/>
    <x v="2"/>
    <s v="VALIDATED"/>
    <n v="1"/>
    <s v="01.11.80.307.6300.0000"/>
    <n v="507"/>
    <s v="11"/>
    <s v="6300"/>
    <n v="8497.200000000001"/>
    <n v="507"/>
    <s v="CREDITOR"/>
    <n v="0"/>
    <n v="0"/>
    <n v="0"/>
    <n v="0"/>
    <n v="507"/>
  </r>
  <r>
    <n v="10501628"/>
    <s v="N"/>
    <n v="21330972"/>
    <s v="3000006348010028"/>
    <s v="CIVIL"/>
    <d v="2023-06-22T00:00:00"/>
    <d v="2023-07-05T19:01:47"/>
    <m/>
    <d v="2023-07-05T00:00:00"/>
    <n v="879"/>
    <n v="17441"/>
    <s v="10501628"/>
    <s v="10501628"/>
    <m/>
    <m/>
    <n v="22741360"/>
    <m/>
    <m/>
    <m/>
    <s v="SOLFIN"/>
    <s v="SOLFIN"/>
    <s v="CCMS"/>
    <n v="21330972"/>
    <n v="16642.41"/>
    <m/>
    <s v="N"/>
    <n v="1"/>
    <d v="2023-07-05T19:02:00"/>
    <s v="Y"/>
    <s v="Exceptional Travel"/>
    <s v="Public Law Children"/>
    <s v="Advocacy"/>
    <s v="SJS"/>
    <s v="Y"/>
    <n v="32.04"/>
    <n v="6.41"/>
    <x v="6"/>
    <s v="VALIDATED"/>
    <n v="1"/>
    <s v="01.11.80.308.6100.0000"/>
    <n v="32.04"/>
    <s v="11"/>
    <s v="6100"/>
    <n v="8497.200000000001"/>
    <n v="32.04"/>
    <s v="CREDITOR"/>
    <n v="0"/>
    <n v="0"/>
    <n v="0"/>
    <n v="0"/>
    <n v="32.04"/>
  </r>
  <r>
    <n v="59517102"/>
    <s v="N"/>
    <n v="21327835"/>
    <s v="3000013923950014"/>
    <s v="CIVIL"/>
    <d v="2023-06-26T00:00:00"/>
    <d v="2023-07-04T19:00:44"/>
    <m/>
    <d v="2023-07-04T00:00:00"/>
    <n v="879"/>
    <n v="17441"/>
    <s v="59517102"/>
    <s v="59517102"/>
    <m/>
    <m/>
    <n v="22763514"/>
    <m/>
    <m/>
    <m/>
    <s v="SOLFIN"/>
    <s v="SOLFIN"/>
    <s v="CCMS"/>
    <n v="21327835"/>
    <n v="12682.59"/>
    <m/>
    <s v="N"/>
    <n v="99"/>
    <d v="2023-07-04T19:00:56"/>
    <s v="Y"/>
    <s v="Preparation - other"/>
    <s v="Prescribed Hourly Rates"/>
    <s v="Profit Cost"/>
    <s v="IK"/>
    <s v="Y"/>
    <n v="6.31"/>
    <n v="1.26"/>
    <x v="1"/>
    <s v="VALIDATED"/>
    <n v="1"/>
    <s v="01.11.80.307.6100.0000"/>
    <n v="6.31"/>
    <s v="11"/>
    <s v="6100"/>
    <n v="8497.200000000001"/>
    <n v="6.31"/>
    <s v="CREDITOR"/>
    <n v="0"/>
    <n v="0"/>
    <n v="0"/>
    <n v="0"/>
    <n v="6.31"/>
  </r>
  <r>
    <n v="59517102"/>
    <s v="N"/>
    <n v="21327835"/>
    <s v="3000013923950014"/>
    <s v="CIVIL"/>
    <d v="2023-06-26T00:00:00"/>
    <d v="2023-07-04T19:00:44"/>
    <m/>
    <d v="2023-07-04T00:00:00"/>
    <n v="879"/>
    <n v="17441"/>
    <s v="59517102"/>
    <s v="59517102"/>
    <m/>
    <m/>
    <n v="22763514"/>
    <m/>
    <m/>
    <m/>
    <s v="SOLFIN"/>
    <s v="SOLFIN"/>
    <s v="CCMS"/>
    <n v="21327835"/>
    <n v="12682.59"/>
    <m/>
    <s v="N"/>
    <n v="40"/>
    <d v="2023-07-04T19:00:56"/>
    <s v="Y"/>
    <s v="Preparation - other"/>
    <s v="Prescribed Hourly Rates"/>
    <s v="Profit Cost"/>
    <s v="RL"/>
    <s v="Y"/>
    <n v="5.49"/>
    <n v="1.1"/>
    <x v="1"/>
    <s v="VALIDATED"/>
    <n v="1"/>
    <s v="01.11.80.307.6100.0000"/>
    <n v="5.49"/>
    <s v="11"/>
    <s v="6100"/>
    <n v="8497.200000000001"/>
    <n v="5.49"/>
    <s v="CREDITOR"/>
    <n v="0"/>
    <n v="0"/>
    <n v="0"/>
    <n v="0"/>
    <n v="5.49"/>
  </r>
  <r>
    <n v="59517102"/>
    <s v="N"/>
    <n v="21327835"/>
    <s v="3000013923950014"/>
    <s v="CIVIL"/>
    <d v="2023-06-26T00:00:00"/>
    <d v="2023-07-04T19:00:44"/>
    <m/>
    <d v="2023-07-04T00:00:00"/>
    <n v="879"/>
    <n v="17441"/>
    <s v="59517102"/>
    <s v="59517102"/>
    <m/>
    <m/>
    <n v="22763514"/>
    <m/>
    <m/>
    <m/>
    <s v="SOLFIN"/>
    <s v="SOLFIN"/>
    <s v="CCMS"/>
    <n v="21327835"/>
    <n v="12682.59"/>
    <m/>
    <s v="N"/>
    <n v="65"/>
    <d v="2023-07-04T19:00:56"/>
    <s v="Y"/>
    <s v="Preparation - other"/>
    <s v="Prescribed Hourly Rates"/>
    <s v="Profit Cost"/>
    <s v="IK"/>
    <s v="Y"/>
    <n v="6.31"/>
    <n v="1.26"/>
    <x v="1"/>
    <s v="VALIDATED"/>
    <n v="1"/>
    <s v="01.11.80.307.6100.0000"/>
    <n v="6.31"/>
    <s v="11"/>
    <s v="6100"/>
    <n v="8497.200000000001"/>
    <n v="6.31"/>
    <s v="CREDITOR"/>
    <n v="0"/>
    <n v="0"/>
    <n v="0"/>
    <n v="0"/>
    <n v="6.31"/>
  </r>
  <r>
    <n v="60899405"/>
    <s v="N"/>
    <n v="21395413"/>
    <s v="3000015119790003"/>
    <s v="CIVIL"/>
    <d v="2023-06-29T00:00:00"/>
    <d v="2023-07-19T19:02:01"/>
    <m/>
    <d v="2023-07-19T00:00:00"/>
    <n v="879"/>
    <n v="17441"/>
    <s v="60899405"/>
    <s v="60899405"/>
    <m/>
    <m/>
    <n v="22790582"/>
    <m/>
    <m/>
    <m/>
    <s v="SOLFIN"/>
    <s v="SOLFIN"/>
    <s v="CCMS"/>
    <n v="21395413"/>
    <n v="2746.54"/>
    <m/>
    <s v="N"/>
    <n v="29"/>
    <d v="2023-07-19T19:02:26"/>
    <s v="Y"/>
    <s v="Report - Medical report"/>
    <s v="Prescribed Hourly Rates"/>
    <s v="Profit Cost"/>
    <s v="LW"/>
    <s v="Y"/>
    <n v="5.49"/>
    <n v="1.1"/>
    <x v="5"/>
    <s v="VALIDATED"/>
    <n v="1"/>
    <s v="01.11.80.307.6100.0000"/>
    <n v="5.49"/>
    <s v="11"/>
    <s v="6100"/>
    <n v="8497.200000000001"/>
    <n v="5.49"/>
    <s v="CREDITOR"/>
    <n v="0"/>
    <n v="0"/>
    <n v="0"/>
    <n v="0"/>
    <n v="5.49"/>
  </r>
  <r>
    <n v="61980947"/>
    <s v="N"/>
    <n v="21349369"/>
    <s v="3000016026780003"/>
    <s v="CIVIL"/>
    <d v="2023-06-26T00:00:00"/>
    <d v="2023-07-10T19:01:40"/>
    <m/>
    <d v="2023-07-10T00:00:00"/>
    <n v="879"/>
    <n v="17441"/>
    <s v="61980947"/>
    <s v="61980947"/>
    <m/>
    <m/>
    <n v="22764116"/>
    <m/>
    <m/>
    <m/>
    <s v="SOLPOA"/>
    <s v="SOLPOA"/>
    <s v="CCMS"/>
    <n v="21349369"/>
    <n v="106.8"/>
    <m/>
    <s v="N"/>
    <n v="1"/>
    <d v="2023-07-10T19:01:48"/>
    <s v="N"/>
    <s v="Non Expert Disbursement - Private L"/>
    <s v="Non Expert Disbursement - Priv"/>
    <s v="Non Expert Disbursement"/>
    <s v="Gemma Sparks"/>
    <s v="N"/>
    <n v="106.8"/>
    <n v="0"/>
    <x v="2"/>
    <s v="VALIDATED"/>
    <n v="1"/>
    <s v="01.11.80.302.2012.0000"/>
    <n v="106.8"/>
    <s v="11"/>
    <s v="2012"/>
    <n v="8497.200000000001"/>
    <n v="106.8"/>
    <s v="CREDITOR"/>
    <n v="106.8"/>
    <n v="0"/>
    <n v="0"/>
    <n v="0"/>
    <n v="0"/>
  </r>
  <r>
    <n v="59517102"/>
    <s v="N"/>
    <n v="21327835"/>
    <s v="3000013923950014"/>
    <s v="CIVIL"/>
    <d v="2023-06-26T00:00:00"/>
    <d v="2023-07-04T19:00:44"/>
    <m/>
    <d v="2023-07-04T00:00:00"/>
    <n v="879"/>
    <n v="17441"/>
    <s v="59517102"/>
    <s v="59517102"/>
    <m/>
    <m/>
    <n v="22763514"/>
    <m/>
    <m/>
    <m/>
    <s v="SOLFIN"/>
    <s v="SOLFIN"/>
    <s v="CCMS"/>
    <n v="21327835"/>
    <n v="12682.59"/>
    <m/>
    <s v="N"/>
    <n v="17"/>
    <d v="2023-07-04T19:00:56"/>
    <s v="Y"/>
    <s v="Preparation - other"/>
    <s v="Prescribed Hourly Rates"/>
    <s v="Profit Cost"/>
    <s v="MDL"/>
    <s v="Y"/>
    <n v="16.47"/>
    <n v="3.29"/>
    <x v="1"/>
    <s v="VALIDATED"/>
    <n v="1"/>
    <s v="01.11.80.307.6100.0000"/>
    <n v="16.47"/>
    <s v="11"/>
    <s v="6100"/>
    <n v="8497.200000000001"/>
    <n v="16.47"/>
    <s v="CREDITOR"/>
    <n v="0"/>
    <n v="0"/>
    <n v="0"/>
    <n v="0"/>
    <n v="16.47"/>
  </r>
  <r>
    <n v="59517102"/>
    <s v="N"/>
    <n v="21327835"/>
    <s v="3000013923950014"/>
    <s v="CIVIL"/>
    <d v="2023-06-26T00:00:00"/>
    <d v="2023-07-04T19:00:44"/>
    <m/>
    <d v="2023-07-04T00:00:00"/>
    <n v="879"/>
    <n v="17441"/>
    <s v="59517102"/>
    <s v="59517102"/>
    <m/>
    <m/>
    <n v="22763514"/>
    <m/>
    <m/>
    <m/>
    <s v="SOLFIN"/>
    <s v="SOLFIN"/>
    <s v="CCMS"/>
    <n v="21327835"/>
    <n v="12682.59"/>
    <m/>
    <s v="N"/>
    <n v="82"/>
    <d v="2023-07-04T19:00:56"/>
    <s v="Y"/>
    <s v="Preparation - other"/>
    <s v="Prescribed Hourly Rates"/>
    <s v="Profit Cost"/>
    <s v="IK"/>
    <s v="Y"/>
    <n v="88.39"/>
    <n v="17.68"/>
    <x v="1"/>
    <s v="VALIDATED"/>
    <n v="1"/>
    <s v="01.11.80.307.6100.0000"/>
    <n v="88.39"/>
    <s v="11"/>
    <s v="6100"/>
    <n v="8497.200000000001"/>
    <n v="88.39"/>
    <s v="CREDITOR"/>
    <n v="0"/>
    <n v="0"/>
    <n v="0"/>
    <n v="0"/>
    <n v="88.39"/>
  </r>
  <r>
    <n v="59517102"/>
    <s v="N"/>
    <n v="21327835"/>
    <s v="3000013923950014"/>
    <s v="CIVIL"/>
    <d v="2023-06-26T00:00:00"/>
    <d v="2023-07-04T19:00:44"/>
    <m/>
    <d v="2023-07-04T00:00:00"/>
    <n v="879"/>
    <n v="17441"/>
    <s v="59517102"/>
    <s v="59517102"/>
    <m/>
    <m/>
    <n v="22763514"/>
    <m/>
    <m/>
    <m/>
    <s v="SOLFIN"/>
    <s v="SOLFIN"/>
    <s v="CCMS"/>
    <n v="21327835"/>
    <n v="12682.59"/>
    <m/>
    <s v="N"/>
    <n v="11"/>
    <d v="2023-07-04T19:00:56"/>
    <s v="Y"/>
    <s v="Preparation - other"/>
    <s v="Prescribed Hourly Rates"/>
    <s v="Profit Cost"/>
    <s v="IK"/>
    <s v="Y"/>
    <n v="113.64"/>
    <n v="22.73"/>
    <x v="1"/>
    <s v="VALIDATED"/>
    <n v="1"/>
    <s v="01.11.80.307.6100.0000"/>
    <n v="113.64"/>
    <s v="11"/>
    <s v="6100"/>
    <n v="8497.200000000001"/>
    <n v="113.64"/>
    <s v="CREDITOR"/>
    <n v="0"/>
    <n v="0"/>
    <n v="0"/>
    <n v="0"/>
    <n v="113.64"/>
  </r>
  <r>
    <n v="10501628"/>
    <s v="N"/>
    <n v="21330972"/>
    <s v="3000006348010028"/>
    <s v="CIVIL"/>
    <d v="2023-06-22T00:00:00"/>
    <d v="2023-07-05T19:01:47"/>
    <m/>
    <d v="2023-07-05T00:00:00"/>
    <n v="879"/>
    <n v="17441"/>
    <s v="10501628"/>
    <s v="10501628"/>
    <m/>
    <m/>
    <n v="22741360"/>
    <m/>
    <m/>
    <m/>
    <s v="SOLFIN"/>
    <s v="SOLFIN"/>
    <s v="CCMS"/>
    <n v="21330972"/>
    <n v="16642.41"/>
    <m/>
    <s v="N"/>
    <n v="19"/>
    <d v="2023-07-05T19:02:00"/>
    <s v="Y"/>
    <s v="Hearing Unit 2.31 - 5.00 Hours"/>
    <s v="Public Law Children"/>
    <s v="Advocacy"/>
    <s v="SJS"/>
    <s v="Y"/>
    <n v="476.92"/>
    <n v="95.38"/>
    <x v="6"/>
    <s v="VALIDATED"/>
    <n v="1"/>
    <s v="01.11.80.308.6100.0000"/>
    <n v="476.92"/>
    <s v="11"/>
    <s v="6100"/>
    <n v="8497.200000000001"/>
    <n v="476.92"/>
    <s v="CREDITOR"/>
    <n v="0"/>
    <n v="0"/>
    <n v="0"/>
    <n v="0"/>
    <n v="476.92"/>
  </r>
  <r>
    <n v="59517102"/>
    <s v="N"/>
    <n v="21327835"/>
    <s v="3000013923950014"/>
    <s v="CIVIL"/>
    <d v="2023-06-26T00:00:00"/>
    <d v="2023-07-04T19:00:44"/>
    <m/>
    <d v="2023-07-04T00:00:00"/>
    <n v="879"/>
    <n v="17441"/>
    <s v="59517102"/>
    <s v="59517102"/>
    <m/>
    <m/>
    <n v="22763514"/>
    <m/>
    <m/>
    <m/>
    <s v="SOLFIN"/>
    <s v="SOLFIN"/>
    <s v="CCMS"/>
    <n v="21327835"/>
    <n v="12682.59"/>
    <m/>
    <s v="N"/>
    <n v="61"/>
    <d v="2023-07-04T19:00:56"/>
    <s v="Y"/>
    <s v="Preparation - other"/>
    <s v="Prescribed Hourly Rates"/>
    <s v="Profit Cost"/>
    <s v="IK"/>
    <s v="Y"/>
    <n v="94.7"/>
    <n v="18.94"/>
    <x v="1"/>
    <s v="VALIDATED"/>
    <n v="1"/>
    <s v="01.11.80.307.6100.0000"/>
    <n v="94.7"/>
    <s v="11"/>
    <s v="6100"/>
    <n v="8497.200000000001"/>
    <n v="94.7"/>
    <s v="CREDITOR"/>
    <n v="0"/>
    <n v="0"/>
    <n v="0"/>
    <n v="0"/>
    <n v="94.7"/>
  </r>
  <r>
    <n v="59517102"/>
    <s v="N"/>
    <n v="21327835"/>
    <s v="3000013923950014"/>
    <s v="CIVIL"/>
    <d v="2023-06-26T00:00:00"/>
    <d v="2023-07-04T19:00:44"/>
    <m/>
    <d v="2023-07-04T00:00:00"/>
    <n v="879"/>
    <n v="17441"/>
    <s v="59517102"/>
    <s v="59517102"/>
    <m/>
    <m/>
    <n v="22763514"/>
    <m/>
    <m/>
    <m/>
    <s v="SOLFIN"/>
    <s v="SOLFIN"/>
    <s v="CCMS"/>
    <n v="21327835"/>
    <n v="12682.59"/>
    <m/>
    <s v="N"/>
    <n v="66"/>
    <d v="2023-07-04T19:00:56"/>
    <s v="Y"/>
    <s v="Preparation - other"/>
    <s v="Prescribed Hourly Rates"/>
    <s v="Profit Cost"/>
    <s v="IK"/>
    <s v="Y"/>
    <n v="82.08"/>
    <n v="16.42"/>
    <x v="1"/>
    <s v="VALIDATED"/>
    <n v="1"/>
    <s v="01.11.80.307.6100.0000"/>
    <n v="82.08"/>
    <s v="11"/>
    <s v="6100"/>
    <n v="8497.200000000001"/>
    <n v="82.08"/>
    <s v="CREDITOR"/>
    <n v="0"/>
    <n v="0"/>
    <n v="0"/>
    <n v="0"/>
    <n v="82.08"/>
  </r>
  <r>
    <n v="59517102"/>
    <s v="N"/>
    <n v="21327835"/>
    <s v="3000013923950014"/>
    <s v="CIVIL"/>
    <d v="2023-06-26T00:00:00"/>
    <d v="2023-07-04T19:00:44"/>
    <m/>
    <d v="2023-07-04T00:00:00"/>
    <n v="879"/>
    <n v="17441"/>
    <s v="59517102"/>
    <s v="59517102"/>
    <m/>
    <m/>
    <n v="22763514"/>
    <m/>
    <m/>
    <m/>
    <s v="SOLFIN"/>
    <s v="SOLFIN"/>
    <s v="CCMS"/>
    <n v="21327835"/>
    <n v="12682.59"/>
    <m/>
    <s v="N"/>
    <n v="80"/>
    <d v="2023-07-04T19:00:56"/>
    <s v="Y"/>
    <s v="Preparation - other"/>
    <s v="Prescribed Hourly Rates"/>
    <s v="Profit Cost"/>
    <s v="IK"/>
    <s v="Y"/>
    <n v="18.94"/>
    <n v="3.79"/>
    <x v="1"/>
    <s v="VALIDATED"/>
    <n v="1"/>
    <s v="01.11.80.307.6100.0000"/>
    <n v="18.94"/>
    <s v="11"/>
    <s v="6100"/>
    <n v="8497.200000000001"/>
    <n v="18.94"/>
    <s v="CREDITOR"/>
    <n v="0"/>
    <n v="0"/>
    <n v="0"/>
    <n v="0"/>
    <n v="18.94"/>
  </r>
  <r>
    <n v="59517102"/>
    <s v="N"/>
    <n v="21327835"/>
    <s v="3000013923950014"/>
    <s v="CIVIL"/>
    <d v="2023-06-26T00:00:00"/>
    <d v="2023-07-04T19:00:44"/>
    <m/>
    <d v="2023-07-04T00:00:00"/>
    <n v="879"/>
    <n v="17441"/>
    <s v="59517102"/>
    <s v="59517102"/>
    <m/>
    <m/>
    <n v="22763514"/>
    <m/>
    <m/>
    <m/>
    <s v="SOLFIN"/>
    <s v="SOLFIN"/>
    <s v="CCMS"/>
    <n v="21327835"/>
    <n v="12682.59"/>
    <m/>
    <s v="N"/>
    <n v="112"/>
    <d v="2023-07-04T19:00:56"/>
    <s v="Y"/>
    <s v="Routine Telephone Call"/>
    <s v="Prescribed Hourly Rates"/>
    <s v="Profit Cost"/>
    <s v="VP"/>
    <s v="Y"/>
    <n v="129.6"/>
    <n v="25.92"/>
    <x v="1"/>
    <s v="VALIDATED"/>
    <n v="1"/>
    <s v="01.11.80.307.6100.0000"/>
    <n v="129.6"/>
    <s v="11"/>
    <s v="6100"/>
    <n v="8497.200000000001"/>
    <n v="129.6"/>
    <s v="CREDITOR"/>
    <n v="0"/>
    <n v="0"/>
    <n v="0"/>
    <n v="0"/>
    <n v="129.6"/>
  </r>
  <r>
    <n v="59517102"/>
    <s v="N"/>
    <n v="21327835"/>
    <s v="3000013923950014"/>
    <s v="CIVIL"/>
    <d v="2023-06-26T00:00:00"/>
    <d v="2023-07-04T19:00:44"/>
    <m/>
    <d v="2023-07-04T00:00:00"/>
    <n v="879"/>
    <n v="17441"/>
    <s v="59517102"/>
    <s v="59517102"/>
    <m/>
    <m/>
    <n v="22763514"/>
    <m/>
    <m/>
    <m/>
    <s v="SOLFIN"/>
    <s v="SOLFIN"/>
    <s v="CCMS"/>
    <n v="21327835"/>
    <n v="12682.59"/>
    <m/>
    <s v="N"/>
    <n v="18"/>
    <d v="2023-07-04T19:00:56"/>
    <s v="Y"/>
    <s v="Preparation - other"/>
    <s v="Prescribed Hourly Rates"/>
    <s v="Profit Cost"/>
    <s v="MDL"/>
    <s v="Y"/>
    <n v="10.98"/>
    <n v="2.2"/>
    <x v="1"/>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33"/>
    <d v="2023-07-04T19:00:56"/>
    <s v="Y"/>
    <s v="Preparation - other"/>
    <s v="Prescribed Hourly Rates"/>
    <s v="Profit Cost"/>
    <s v="IK"/>
    <s v="Y"/>
    <n v="31.57"/>
    <n v="6.31"/>
    <x v="1"/>
    <s v="VALIDATED"/>
    <n v="1"/>
    <s v="01.11.80.307.6100.0000"/>
    <n v="31.57"/>
    <s v="11"/>
    <s v="6100"/>
    <n v="8497.200000000001"/>
    <n v="31.57"/>
    <s v="CREDITOR"/>
    <n v="0"/>
    <n v="0"/>
    <n v="0"/>
    <n v="0"/>
    <n v="31.57"/>
  </r>
  <r>
    <n v="60899405"/>
    <s v="N"/>
    <n v="21395413"/>
    <s v="3000015119790003"/>
    <s v="CIVIL"/>
    <d v="2023-06-29T00:00:00"/>
    <d v="2023-07-19T19:02:01"/>
    <m/>
    <d v="2023-07-19T00:00:00"/>
    <n v="879"/>
    <n v="17441"/>
    <s v="60899405"/>
    <s v="60899405"/>
    <m/>
    <m/>
    <n v="22790582"/>
    <m/>
    <m/>
    <m/>
    <s v="SOLFIN"/>
    <s v="SOLFIN"/>
    <s v="CCMS"/>
    <n v="21395413"/>
    <n v="2746.54"/>
    <m/>
    <s v="N"/>
    <n v="49"/>
    <d v="2023-07-19T19:02:26"/>
    <s v="Y"/>
    <s v="Routine Letter Out"/>
    <s v="Prescribed Hourly Rates"/>
    <s v="Profit Cost"/>
    <s v="GR"/>
    <s v="Y"/>
    <n v="691.2"/>
    <n v="138.18"/>
    <x v="5"/>
    <s v="VALIDATED"/>
    <n v="1"/>
    <s v="01.11.80.307.6100.0000"/>
    <n v="691.2"/>
    <s v="11"/>
    <s v="6100"/>
    <n v="8497.200000000001"/>
    <n v="691.2"/>
    <s v="CREDITOR"/>
    <n v="0"/>
    <n v="0"/>
    <n v="0"/>
    <n v="0"/>
    <n v="691.2"/>
  </r>
  <r>
    <n v="10501628"/>
    <s v="N"/>
    <n v="21330972"/>
    <s v="3000006348010028"/>
    <s v="CIVIL"/>
    <d v="2023-06-22T00:00:00"/>
    <d v="2023-07-05T19:01:47"/>
    <m/>
    <d v="2023-07-05T00:00:00"/>
    <n v="879"/>
    <n v="17441"/>
    <s v="10501628"/>
    <s v="10501628"/>
    <m/>
    <m/>
    <n v="22741360"/>
    <m/>
    <m/>
    <m/>
    <s v="SOLFIN"/>
    <s v="SOLFIN"/>
    <s v="CCMS"/>
    <n v="21330972"/>
    <n v="16642.41"/>
    <m/>
    <s v="N"/>
    <n v="21"/>
    <d v="2023-07-05T19:02:00"/>
    <s v="Y"/>
    <s v="Hearing Unit 2.31 - 5.00 Hours"/>
    <s v="Public Law Children"/>
    <s v="Advocacy"/>
    <s v="SJS"/>
    <s v="Y"/>
    <n v="476.92"/>
    <n v="95.38"/>
    <x v="6"/>
    <s v="VALIDATED"/>
    <n v="1"/>
    <s v="01.11.80.308.6100.0000"/>
    <n v="476.92"/>
    <s v="11"/>
    <s v="6100"/>
    <n v="8497.200000000001"/>
    <n v="476.92"/>
    <s v="CREDITOR"/>
    <n v="0"/>
    <n v="0"/>
    <n v="0"/>
    <n v="0"/>
    <n v="476.92"/>
  </r>
  <r>
    <n v="59517102"/>
    <s v="N"/>
    <n v="21327835"/>
    <s v="3000013923950014"/>
    <s v="CIVIL"/>
    <d v="2023-06-26T00:00:00"/>
    <d v="2023-07-04T19:00:44"/>
    <m/>
    <d v="2023-07-04T00:00:00"/>
    <n v="879"/>
    <n v="17441"/>
    <s v="59517102"/>
    <s v="59517102"/>
    <m/>
    <m/>
    <n v="22763514"/>
    <m/>
    <m/>
    <m/>
    <s v="SOLFIN"/>
    <s v="SOLFIN"/>
    <s v="CCMS"/>
    <n v="21327835"/>
    <n v="12682.59"/>
    <m/>
    <s v="N"/>
    <n v="52"/>
    <d v="2023-07-04T19:00:56"/>
    <s v="Y"/>
    <s v="Attendance upon other"/>
    <s v="Prescribed Hourly Rates"/>
    <s v="Profit Cost"/>
    <s v="VP"/>
    <s v="Y"/>
    <n v="10.98"/>
    <n v="2.2"/>
    <x v="1"/>
    <s v="VALIDATED"/>
    <n v="1"/>
    <s v="01.11.80.307.6100.0000"/>
    <n v="10.98"/>
    <s v="11"/>
    <s v="6100"/>
    <n v="8497.200000000001"/>
    <n v="10.98"/>
    <s v="CREDITOR"/>
    <n v="0"/>
    <n v="0"/>
    <n v="0"/>
    <n v="0"/>
    <n v="10.98"/>
  </r>
  <r>
    <n v="10501628"/>
    <s v="N"/>
    <n v="21330972"/>
    <s v="3000006348010028"/>
    <s v="CIVIL"/>
    <d v="2023-06-22T00:00:00"/>
    <d v="2023-07-05T19:01:47"/>
    <m/>
    <d v="2023-07-05T00:00:00"/>
    <n v="879"/>
    <n v="17441"/>
    <s v="10501628"/>
    <s v="10501628"/>
    <m/>
    <m/>
    <n v="22741360"/>
    <m/>
    <m/>
    <m/>
    <s v="SOLFIN"/>
    <s v="SOLFIN"/>
    <s v="CCMS"/>
    <n v="21330972"/>
    <n v="16642.41"/>
    <m/>
    <s v="N"/>
    <n v="10"/>
    <d v="2023-07-05T19:02:00"/>
    <s v="Y"/>
    <s v="Child psychologist"/>
    <s v="Public Law Children"/>
    <s v="Expert Disbursement"/>
    <s v="SJS"/>
    <s v="Y"/>
    <n v="154.04"/>
    <n v="0"/>
    <x v="6"/>
    <s v="VALIDATED"/>
    <n v="1"/>
    <s v="01.11.80.308.6300.0000"/>
    <n v="154.04"/>
    <s v="11"/>
    <s v="6300"/>
    <n v="8497.200000000001"/>
    <n v="154.04"/>
    <s v="CREDITOR"/>
    <n v="0"/>
    <n v="0"/>
    <n v="0"/>
    <n v="0"/>
    <n v="154.04"/>
  </r>
  <r>
    <n v="59517102"/>
    <s v="N"/>
    <n v="21327835"/>
    <s v="3000013923950014"/>
    <s v="CIVIL"/>
    <d v="2023-06-26T00:00:00"/>
    <d v="2023-07-04T19:00:44"/>
    <m/>
    <d v="2023-07-04T00:00:00"/>
    <n v="879"/>
    <n v="17441"/>
    <s v="59517102"/>
    <s v="59517102"/>
    <m/>
    <m/>
    <n v="22763514"/>
    <m/>
    <m/>
    <m/>
    <s v="SOLFIN"/>
    <s v="SOLFIN"/>
    <s v="CCMS"/>
    <n v="21327835"/>
    <n v="12682.59"/>
    <m/>
    <s v="N"/>
    <n v="74"/>
    <d v="2023-07-04T19:00:56"/>
    <s v="Y"/>
    <s v="Preparation - other"/>
    <s v="Prescribed Hourly Rates"/>
    <s v="Profit Cost"/>
    <s v="RL"/>
    <s v="Y"/>
    <n v="10.98"/>
    <n v="2.2"/>
    <x v="1"/>
    <s v="VALIDATED"/>
    <n v="1"/>
    <s v="01.11.80.307.6100.0000"/>
    <n v="10.98"/>
    <s v="11"/>
    <s v="6100"/>
    <n v="8497.200000000001"/>
    <n v="10.98"/>
    <s v="CREDITOR"/>
    <n v="0"/>
    <n v="0"/>
    <n v="0"/>
    <n v="0"/>
    <n v="10.98"/>
  </r>
  <r>
    <n v="59517102"/>
    <s v="N"/>
    <n v="21327835"/>
    <s v="3000013923950014"/>
    <s v="CIVIL"/>
    <d v="2023-06-26T00:00:00"/>
    <d v="2023-07-04T19:00:44"/>
    <m/>
    <d v="2023-07-04T00:00:00"/>
    <n v="879"/>
    <n v="17441"/>
    <s v="59517102"/>
    <s v="59517102"/>
    <m/>
    <m/>
    <n v="22763514"/>
    <m/>
    <m/>
    <m/>
    <s v="SOLFIN"/>
    <s v="SOLFIN"/>
    <s v="CCMS"/>
    <n v="21327835"/>
    <n v="12682.59"/>
    <m/>
    <s v="N"/>
    <n v="35"/>
    <d v="2023-07-04T19:00:56"/>
    <s v="Y"/>
    <s v="Preparation - other"/>
    <s v="Prescribed Hourly Rates"/>
    <s v="Profit Cost"/>
    <s v="GR"/>
    <s v="Y"/>
    <n v="32.94"/>
    <n v="6.59"/>
    <x v="1"/>
    <s v="VALIDATED"/>
    <n v="1"/>
    <s v="01.11.80.307.6100.0000"/>
    <n v="32.94"/>
    <s v="11"/>
    <s v="6100"/>
    <n v="8497.200000000001"/>
    <n v="32.94"/>
    <s v="CREDITOR"/>
    <n v="0"/>
    <n v="0"/>
    <n v="0"/>
    <n v="0"/>
    <n v="32.94"/>
  </r>
  <r>
    <n v="59517102"/>
    <s v="N"/>
    <n v="21327835"/>
    <s v="3000013923950014"/>
    <s v="CIVIL"/>
    <d v="2023-06-26T00:00:00"/>
    <d v="2023-07-04T19:00:44"/>
    <m/>
    <d v="2023-07-04T00:00:00"/>
    <n v="879"/>
    <n v="17441"/>
    <s v="59517102"/>
    <s v="59517102"/>
    <m/>
    <m/>
    <n v="22763514"/>
    <m/>
    <m/>
    <m/>
    <s v="SOLFIN"/>
    <s v="SOLFIN"/>
    <s v="CCMS"/>
    <n v="21327835"/>
    <n v="12682.59"/>
    <m/>
    <s v="N"/>
    <n v="4"/>
    <d v="2023-07-04T19:00:56"/>
    <s v="Y"/>
    <s v="Police Records"/>
    <s v="Prescribed Hourly Rates"/>
    <s v="Non Expert Disbursement"/>
    <s v="IK"/>
    <s v="Y"/>
    <n v="91.8"/>
    <n v="0"/>
    <x v="1"/>
    <s v="VALIDATED"/>
    <n v="1"/>
    <s v="01.11.80.307.6300.0000"/>
    <n v="91.8"/>
    <s v="11"/>
    <s v="6300"/>
    <n v="8497.200000000001"/>
    <n v="91.8"/>
    <s v="CREDITOR"/>
    <n v="0"/>
    <n v="0"/>
    <n v="0"/>
    <n v="0"/>
    <n v="91.8"/>
  </r>
  <r>
    <n v="59517102"/>
    <s v="N"/>
    <n v="21327835"/>
    <s v="3000013923950014"/>
    <s v="CIVIL"/>
    <d v="2023-06-26T00:00:00"/>
    <d v="2023-07-04T19:00:44"/>
    <m/>
    <d v="2023-07-04T00:00:00"/>
    <n v="879"/>
    <n v="17441"/>
    <s v="59517102"/>
    <s v="59517102"/>
    <m/>
    <m/>
    <n v="22763514"/>
    <m/>
    <m/>
    <m/>
    <s v="SOLFIN"/>
    <s v="SOLFIN"/>
    <s v="CCMS"/>
    <n v="21327835"/>
    <n v="12682.59"/>
    <m/>
    <s v="N"/>
    <n v="73"/>
    <d v="2023-07-04T19:00:56"/>
    <s v="Y"/>
    <s v="Report - other expert's report"/>
    <s v="Prescribed Hourly Rates"/>
    <s v="Profit Cost"/>
    <s v="IK"/>
    <s v="Y"/>
    <n v="56.82"/>
    <n v="11.36"/>
    <x v="1"/>
    <s v="VALIDATED"/>
    <n v="1"/>
    <s v="01.11.80.307.6100.0000"/>
    <n v="56.82"/>
    <s v="11"/>
    <s v="6100"/>
    <n v="8497.200000000001"/>
    <n v="56.82"/>
    <s v="CREDITOR"/>
    <n v="0"/>
    <n v="0"/>
    <n v="0"/>
    <n v="0"/>
    <n v="56.82"/>
  </r>
  <r>
    <n v="59517102"/>
    <s v="N"/>
    <n v="21327835"/>
    <s v="3000013923950014"/>
    <s v="CIVIL"/>
    <d v="2023-06-26T00:00:00"/>
    <d v="2023-07-04T19:00:44"/>
    <m/>
    <d v="2023-07-04T00:00:00"/>
    <n v="879"/>
    <n v="17441"/>
    <s v="59517102"/>
    <s v="59517102"/>
    <m/>
    <m/>
    <n v="22763514"/>
    <m/>
    <m/>
    <m/>
    <s v="SOLFIN"/>
    <s v="SOLFIN"/>
    <s v="CCMS"/>
    <n v="21327835"/>
    <n v="12682.59"/>
    <m/>
    <s v="N"/>
    <n v="103"/>
    <d v="2023-07-04T19:00:56"/>
    <s v="Y"/>
    <s v="Preparation - other"/>
    <s v="Prescribed Hourly Rates"/>
    <s v="Profit Cost"/>
    <s v="IK"/>
    <s v="Y"/>
    <n v="347.24"/>
    <n v="69.45"/>
    <x v="1"/>
    <s v="VALIDATED"/>
    <n v="1"/>
    <s v="01.11.80.307.6100.0000"/>
    <n v="347.24"/>
    <s v="11"/>
    <s v="6100"/>
    <n v="8497.200000000001"/>
    <n v="347.24"/>
    <s v="CREDITOR"/>
    <n v="0"/>
    <n v="0"/>
    <n v="0"/>
    <n v="0"/>
    <n v="347.24"/>
  </r>
  <r>
    <n v="60899405"/>
    <s v="N"/>
    <n v="21395413"/>
    <s v="3000015119790003"/>
    <s v="CIVIL"/>
    <d v="2023-06-29T00:00:00"/>
    <d v="2023-07-19T19:02:01"/>
    <m/>
    <d v="2023-07-19T00:00:00"/>
    <n v="879"/>
    <n v="17441"/>
    <s v="60899405"/>
    <s v="60899405"/>
    <m/>
    <m/>
    <n v="22790582"/>
    <m/>
    <m/>
    <m/>
    <s v="SOLFIN"/>
    <s v="SOLFIN"/>
    <s v="CCMS"/>
    <n v="21395413"/>
    <n v="2746.54"/>
    <m/>
    <s v="N"/>
    <n v="44"/>
    <d v="2023-07-19T19:02:26"/>
    <s v="Y"/>
    <s v="Report - other report"/>
    <s v="Prescribed Hourly Rates"/>
    <s v="Profit Cost"/>
    <s v="LW"/>
    <s v="Y"/>
    <n v="5.49"/>
    <n v="1.1"/>
    <x v="5"/>
    <s v="VALIDATED"/>
    <n v="1"/>
    <s v="01.11.80.307.6100.0000"/>
    <n v="5.49"/>
    <s v="11"/>
    <s v="6100"/>
    <n v="8497.200000000001"/>
    <n v="5.49"/>
    <s v="CREDITOR"/>
    <n v="0"/>
    <n v="0"/>
    <n v="0"/>
    <n v="0"/>
    <n v="5.49"/>
  </r>
  <r>
    <n v="10501628"/>
    <s v="N"/>
    <n v="21330972"/>
    <s v="3000006348010028"/>
    <s v="CIVIL"/>
    <d v="2023-06-22T00:00:00"/>
    <d v="2023-07-05T19:01:47"/>
    <m/>
    <d v="2023-07-05T00:00:00"/>
    <n v="879"/>
    <n v="17441"/>
    <s v="10501628"/>
    <s v="10501628"/>
    <m/>
    <m/>
    <n v="22741360"/>
    <m/>
    <m/>
    <m/>
    <s v="SOLFIN"/>
    <s v="SOLFIN"/>
    <s v="CCMS"/>
    <n v="21330972"/>
    <n v="16642.41"/>
    <m/>
    <s v="N"/>
    <n v="6"/>
    <d v="2023-07-05T19:02:00"/>
    <s v="Y"/>
    <s v="Psychologist"/>
    <s v="Public Law Children"/>
    <s v="Expert Disbursement"/>
    <s v="SJS"/>
    <s v="Y"/>
    <n v="623.99"/>
    <n v="124.8"/>
    <x v="6"/>
    <s v="VALIDATED"/>
    <n v="1"/>
    <s v="01.11.80.308.6300.0000"/>
    <n v="623.99"/>
    <s v="11"/>
    <s v="6300"/>
    <n v="8497.200000000001"/>
    <n v="623.99"/>
    <s v="CREDITOR"/>
    <n v="0"/>
    <n v="0"/>
    <n v="0"/>
    <n v="0"/>
    <n v="623.99"/>
  </r>
  <r>
    <n v="59517102"/>
    <s v="N"/>
    <n v="21327835"/>
    <s v="3000013923950014"/>
    <s v="CIVIL"/>
    <d v="2023-06-26T00:00:00"/>
    <d v="2023-07-04T19:00:44"/>
    <m/>
    <d v="2023-07-04T00:00:00"/>
    <n v="879"/>
    <n v="17441"/>
    <s v="59517102"/>
    <s v="59517102"/>
    <m/>
    <m/>
    <n v="22763514"/>
    <m/>
    <m/>
    <m/>
    <s v="SOLFIN"/>
    <s v="SOLFIN"/>
    <s v="CCMS"/>
    <n v="21327835"/>
    <n v="12682.59"/>
    <m/>
    <s v="N"/>
    <n v="9"/>
    <d v="2023-07-04T19:00:56"/>
    <s v="Y"/>
    <s v="Independent Social Worker"/>
    <s v="Prescribed Hourly Rates"/>
    <s v="Expert Disbursement"/>
    <s v="IK"/>
    <s v="Y"/>
    <n v="1627.7"/>
    <n v="0"/>
    <x v="1"/>
    <s v="VALIDATED"/>
    <n v="1"/>
    <s v="01.11.80.307.6300.0000"/>
    <n v="1627.7"/>
    <s v="11"/>
    <s v="6300"/>
    <n v="8497.200000000001"/>
    <n v="1627.7"/>
    <s v="CREDITOR"/>
    <n v="0"/>
    <n v="0"/>
    <n v="0"/>
    <n v="0"/>
    <n v="1627.7"/>
  </r>
  <r>
    <n v="59517102"/>
    <s v="N"/>
    <n v="21327835"/>
    <s v="3000013923950014"/>
    <s v="CIVIL"/>
    <d v="2023-06-26T00:00:00"/>
    <d v="2023-07-04T19:00:44"/>
    <m/>
    <d v="2023-07-04T00:00:00"/>
    <n v="879"/>
    <n v="17441"/>
    <s v="59517102"/>
    <s v="59517102"/>
    <m/>
    <m/>
    <n v="22763514"/>
    <m/>
    <m/>
    <m/>
    <s v="SOLFIN"/>
    <s v="SOLFIN"/>
    <s v="CCMS"/>
    <n v="21327835"/>
    <n v="12682.59"/>
    <m/>
    <s v="N"/>
    <n v="75"/>
    <d v="2023-07-04T19:00:56"/>
    <s v="Y"/>
    <s v="Preparation - other"/>
    <s v="Prescribed Hourly Rates"/>
    <s v="Profit Cost"/>
    <s v="IK"/>
    <s v="Y"/>
    <n v="12.63"/>
    <n v="2.53"/>
    <x v="1"/>
    <s v="VALIDATED"/>
    <n v="1"/>
    <s v="01.11.80.307.6100.0000"/>
    <n v="12.63"/>
    <s v="11"/>
    <s v="6100"/>
    <n v="8497.200000000001"/>
    <n v="12.63"/>
    <s v="CREDITOR"/>
    <n v="0"/>
    <n v="0"/>
    <n v="0"/>
    <n v="0"/>
    <n v="12.63"/>
  </r>
  <r>
    <n v="59517102"/>
    <s v="N"/>
    <n v="21327835"/>
    <s v="3000013923950014"/>
    <s v="CIVIL"/>
    <d v="2023-06-26T00:00:00"/>
    <d v="2023-07-04T19:00:44"/>
    <m/>
    <d v="2023-07-04T00:00:00"/>
    <n v="879"/>
    <n v="17441"/>
    <s v="59517102"/>
    <s v="59517102"/>
    <m/>
    <m/>
    <n v="22763514"/>
    <m/>
    <m/>
    <m/>
    <s v="SOLFIN"/>
    <s v="SOLFIN"/>
    <s v="CCMS"/>
    <n v="21327835"/>
    <n v="12682.59"/>
    <m/>
    <s v="N"/>
    <n v="105"/>
    <d v="2023-07-04T19:00:56"/>
    <s v="Y"/>
    <s v="Attendance upon other"/>
    <s v="Prescribed Hourly Rates"/>
    <s v="Profit Cost"/>
    <s v="IK"/>
    <s v="Y"/>
    <n v="173.63"/>
    <n v="34.73"/>
    <x v="1"/>
    <s v="VALIDATED"/>
    <n v="1"/>
    <s v="01.11.80.307.6100.0000"/>
    <n v="173.63"/>
    <s v="11"/>
    <s v="6100"/>
    <n v="8497.200000000001"/>
    <n v="173.63"/>
    <s v="CREDITOR"/>
    <n v="0"/>
    <n v="0"/>
    <n v="0"/>
    <n v="0"/>
    <n v="173.63"/>
  </r>
  <r>
    <n v="59517102"/>
    <s v="N"/>
    <n v="21327835"/>
    <s v="3000013923950014"/>
    <s v="CIVIL"/>
    <d v="2023-06-26T00:00:00"/>
    <d v="2023-07-04T19:00:44"/>
    <m/>
    <d v="2023-07-04T00:00:00"/>
    <n v="879"/>
    <n v="17441"/>
    <s v="59517102"/>
    <s v="59517102"/>
    <m/>
    <m/>
    <n v="22763514"/>
    <m/>
    <m/>
    <m/>
    <s v="SOLFIN"/>
    <s v="SOLFIN"/>
    <s v="CCMS"/>
    <n v="21327835"/>
    <n v="12682.59"/>
    <m/>
    <s v="N"/>
    <n v="27"/>
    <d v="2023-07-04T19:00:56"/>
    <s v="Y"/>
    <s v="Preparation - other"/>
    <s v="Prescribed Hourly Rates"/>
    <s v="Profit Cost"/>
    <s v="VP"/>
    <s v="Y"/>
    <n v="82.34999999999999"/>
    <n v="16.47"/>
    <x v="1"/>
    <s v="VALIDATED"/>
    <n v="1"/>
    <s v="01.11.80.307.6100.0000"/>
    <n v="82.34999999999999"/>
    <s v="11"/>
    <s v="6100"/>
    <n v="8497.200000000001"/>
    <n v="82.34999999999999"/>
    <s v="CREDITOR"/>
    <n v="0"/>
    <n v="0"/>
    <n v="0"/>
    <n v="0"/>
    <n v="82.34999999999999"/>
  </r>
  <r>
    <n v="59517102"/>
    <s v="N"/>
    <n v="21327835"/>
    <s v="3000013923950014"/>
    <s v="CIVIL"/>
    <d v="2023-06-26T00:00:00"/>
    <d v="2023-07-04T19:00:44"/>
    <m/>
    <d v="2023-07-04T00:00:00"/>
    <n v="879"/>
    <n v="17441"/>
    <s v="59517102"/>
    <s v="59517102"/>
    <m/>
    <m/>
    <n v="22763514"/>
    <m/>
    <m/>
    <m/>
    <s v="SOLFIN"/>
    <s v="SOLFIN"/>
    <s v="CCMS"/>
    <n v="21327835"/>
    <n v="12682.59"/>
    <m/>
    <s v="N"/>
    <n v="3"/>
    <d v="2023-07-04T19:00:56"/>
    <s v="Y"/>
    <s v="Court Fee"/>
    <s v="Prescribed Hourly Rates"/>
    <s v="Non Expert Disbursement"/>
    <s v="IK"/>
    <s v="Y"/>
    <n v="167"/>
    <n v="0"/>
    <x v="1"/>
    <s v="VALIDATED"/>
    <n v="1"/>
    <s v="01.11.80.307.6300.0000"/>
    <n v="167"/>
    <s v="11"/>
    <s v="6300"/>
    <n v="8497.200000000001"/>
    <n v="167"/>
    <s v="CREDITOR"/>
    <n v="0"/>
    <n v="0"/>
    <n v="0"/>
    <n v="0"/>
    <n v="167"/>
  </r>
  <r>
    <n v="59517102"/>
    <s v="N"/>
    <n v="21327835"/>
    <s v="3000013923950014"/>
    <s v="CIVIL"/>
    <d v="2023-06-26T00:00:00"/>
    <d v="2023-07-04T19:00:44"/>
    <m/>
    <d v="2023-07-04T00:00:00"/>
    <n v="879"/>
    <n v="17441"/>
    <s v="59517102"/>
    <s v="59517102"/>
    <m/>
    <m/>
    <n v="22763514"/>
    <m/>
    <m/>
    <m/>
    <s v="SOLFIN"/>
    <s v="SOLFIN"/>
    <s v="CCMS"/>
    <n v="21327835"/>
    <n v="12682.59"/>
    <m/>
    <s v="N"/>
    <n v="22"/>
    <d v="2023-07-04T19:00:56"/>
    <s v="Y"/>
    <s v="Preparation - other"/>
    <s v="Prescribed Hourly Rates"/>
    <s v="Profit Cost"/>
    <s v="IK"/>
    <s v="Y"/>
    <n v="208.35"/>
    <n v="41.67"/>
    <x v="1"/>
    <s v="VALIDATED"/>
    <n v="1"/>
    <s v="01.11.80.307.6100.0000"/>
    <n v="208.35"/>
    <s v="11"/>
    <s v="6100"/>
    <n v="8497.200000000001"/>
    <n v="208.35"/>
    <s v="CREDITOR"/>
    <n v="0"/>
    <n v="0"/>
    <n v="0"/>
    <n v="0"/>
    <n v="208.35"/>
  </r>
  <r>
    <n v="60899405"/>
    <s v="N"/>
    <n v="21395413"/>
    <s v="3000015119790003"/>
    <s v="CIVIL"/>
    <d v="2023-06-29T00:00:00"/>
    <d v="2023-07-19T19:02:01"/>
    <m/>
    <d v="2023-07-19T00:00:00"/>
    <n v="879"/>
    <n v="17441"/>
    <s v="60899405"/>
    <s v="60899405"/>
    <m/>
    <m/>
    <n v="22790582"/>
    <m/>
    <m/>
    <m/>
    <s v="SOLFIN"/>
    <s v="SOLFIN"/>
    <s v="CCMS"/>
    <n v="21395413"/>
    <n v="2746.54"/>
    <m/>
    <s v="N"/>
    <n v="12"/>
    <d v="2023-07-19T19:02:26"/>
    <s v="Y"/>
    <s v="Preparation - other"/>
    <s v="Prescribed Hourly Rates"/>
    <s v="Profit Cost"/>
    <s v="GR"/>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60"/>
    <d v="2023-07-19T19:02:26"/>
    <s v="Y"/>
    <s v="Preparation - other"/>
    <s v="Prescribed Hourly Rates"/>
    <s v="Profit Cost"/>
    <s v="GR"/>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4"/>
    <d v="2023-07-19T19:02:26"/>
    <s v="Y"/>
    <s v="Preparation - drafting attendance n"/>
    <s v="Prescribed Hourly Rates"/>
    <s v="Profit Cost"/>
    <s v="GR"/>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27"/>
    <d v="2023-07-19T19:02:26"/>
    <s v="Y"/>
    <s v="Preparation - other"/>
    <s v="Prescribed Hourly Rates"/>
    <s v="Profit Cost"/>
    <s v="LW"/>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1"/>
    <d v="2023-07-19T19:02:26"/>
    <s v="Y"/>
    <s v="Attendance upon/with Counsel at Con"/>
    <s v="Prescribed Hourly Rates"/>
    <s v="Profit Cost"/>
    <s v="GR"/>
    <s v="Y"/>
    <n v="25.92"/>
    <n v="5.19"/>
    <x v="5"/>
    <s v="VALIDATED"/>
    <n v="1"/>
    <s v="01.11.80.307.6100.0000"/>
    <n v="25.92"/>
    <s v="11"/>
    <s v="6100"/>
    <n v="8497.200000000001"/>
    <n v="25.92"/>
    <s v="CREDITOR"/>
    <n v="0"/>
    <n v="0"/>
    <n v="0"/>
    <n v="0"/>
    <n v="25.92"/>
  </r>
  <r>
    <n v="60899405"/>
    <s v="N"/>
    <n v="21395413"/>
    <s v="3000015119790003"/>
    <s v="CIVIL"/>
    <d v="2023-06-29T00:00:00"/>
    <d v="2023-07-19T19:02:01"/>
    <m/>
    <d v="2023-07-19T00:00:00"/>
    <n v="879"/>
    <n v="17441"/>
    <s v="60899405"/>
    <s v="60899405"/>
    <m/>
    <m/>
    <n v="22790582"/>
    <m/>
    <m/>
    <m/>
    <s v="SOLFIN"/>
    <s v="SOLFIN"/>
    <s v="CCMS"/>
    <n v="21395413"/>
    <n v="2746.54"/>
    <m/>
    <s v="N"/>
    <n v="8"/>
    <d v="2023-07-19T19:02:26"/>
    <s v="Y"/>
    <s v="Preparation - other"/>
    <s v="Prescribed Hourly Rates"/>
    <s v="Profit Cost"/>
    <s v="GR"/>
    <s v="Y"/>
    <n v="10.98"/>
    <n v="2.2"/>
    <x v="5"/>
    <s v="VALIDATED"/>
    <n v="1"/>
    <s v="01.11.80.307.6100.0000"/>
    <n v="10.98"/>
    <s v="11"/>
    <s v="6100"/>
    <n v="8497.200000000001"/>
    <n v="10.98"/>
    <s v="CREDITOR"/>
    <n v="0"/>
    <n v="0"/>
    <n v="0"/>
    <n v="0"/>
    <n v="10.98"/>
  </r>
  <r>
    <n v="61470704"/>
    <s v="N"/>
    <n v="21318795"/>
    <s v="3000015416080007"/>
    <s v="CIVIL"/>
    <d v="2023-06-20T00:00:00"/>
    <d v="2023-07-03T19:01:49"/>
    <m/>
    <d v="2023-07-03T00:00:00"/>
    <n v="879"/>
    <n v="17441"/>
    <s v="61470704"/>
    <s v="61470704"/>
    <m/>
    <m/>
    <n v="22729244"/>
    <m/>
    <m/>
    <m/>
    <s v="SOLPOA"/>
    <s v="SOLPOA"/>
    <s v="CCMS"/>
    <n v="21318795"/>
    <n v="167"/>
    <m/>
    <s v="N"/>
    <n v="1"/>
    <d v="2023-07-03T19:02:03"/>
    <s v="N"/>
    <s v="Non Expert Disbursement - Private L"/>
    <s v="Non Expert Disbursement - Priv"/>
    <s v="Non Expert Disbursement"/>
    <s v="IK"/>
    <s v="N"/>
    <n v="167"/>
    <n v="0"/>
    <x v="3"/>
    <s v="VALIDATED"/>
    <n v="1"/>
    <s v="01.11.80.307.2012.0000"/>
    <n v="167"/>
    <s v="11"/>
    <s v="2012"/>
    <n v="8497.200000000001"/>
    <n v="167"/>
    <s v="CREDITOR"/>
    <n v="167"/>
    <n v="0"/>
    <n v="0"/>
    <n v="0"/>
    <n v="0"/>
  </r>
  <r>
    <n v="61087043"/>
    <s v="N"/>
    <n v="21375903"/>
    <s v="3000015239390013"/>
    <s v="CIVIL"/>
    <d v="2023-06-27T00:00:00"/>
    <d v="2023-07-14T10:00:03"/>
    <m/>
    <d v="2023-07-14T00:00:00"/>
    <n v="879"/>
    <n v="17441"/>
    <s v="61087043"/>
    <s v="61087043"/>
    <m/>
    <m/>
    <n v="22767204"/>
    <m/>
    <m/>
    <m/>
    <s v="SOLPOA"/>
    <s v="SOLPOA"/>
    <s v="CCMS"/>
    <n v="21375903"/>
    <n v="207.36"/>
    <m/>
    <s v="N"/>
    <n v="1"/>
    <d v="2023-07-14T10:00:19"/>
    <s v="N"/>
    <s v="Non Expert Disbursement - Private L"/>
    <s v="Non Expert Disbursement - Priv"/>
    <s v="Non Expert Disbursement"/>
    <s v="Mary-Ann Wanjiku"/>
    <s v="N"/>
    <n v="172.8"/>
    <n v="34.56"/>
    <x v="10"/>
    <s v="VALIDATED"/>
    <n v="1"/>
    <s v="01.11.80.307.2012.0000"/>
    <n v="172.8"/>
    <s v="11"/>
    <s v="2012"/>
    <n v="8497.200000000001"/>
    <n v="172.8"/>
    <s v="CREDITOR"/>
    <n v="172.8"/>
    <n v="0"/>
    <n v="0"/>
    <n v="0"/>
    <n v="0"/>
  </r>
  <r>
    <n v="10501628"/>
    <s v="N"/>
    <n v="21333800"/>
    <s v="3000006348010024RC"/>
    <s v="CIVIL"/>
    <d v="2023-06-22T00:00:00"/>
    <d v="2023-07-05T19:42:28"/>
    <m/>
    <d v="2023-07-05T00:00:00"/>
    <n v="879"/>
    <n v="17441"/>
    <s v="10501628"/>
    <s v="10501628"/>
    <m/>
    <m/>
    <m/>
    <m/>
    <m/>
    <m/>
    <s v="SOLRECOUP"/>
    <s v="SOLRECOUP"/>
    <s v="POARECOUP"/>
    <n v="21333800"/>
    <n v="-154.04"/>
    <m/>
    <s v="Y"/>
    <n v="1"/>
    <d v="2023-07-05T19:42:29"/>
    <s v="N"/>
    <m/>
    <m/>
    <s v="Expert Disbursement"/>
    <m/>
    <s v="N"/>
    <n v="-154.04"/>
    <n v="0"/>
    <x v="6"/>
    <s v="VALIDATED"/>
    <n v="1"/>
    <s v="01.11.80.308.2013.0000"/>
    <n v="-154.04"/>
    <s v="11"/>
    <s v="2013"/>
    <n v="8497.200000000001"/>
    <n v="-154.04"/>
    <s v="CREDITOR"/>
    <n v="0"/>
    <n v="0"/>
    <n v="-154.04"/>
    <n v="0"/>
    <n v="0"/>
  </r>
  <r>
    <n v="10501628"/>
    <s v="N"/>
    <n v="21333800"/>
    <s v="3000006348010024RC"/>
    <s v="CIVIL"/>
    <d v="2023-06-22T00:00:00"/>
    <d v="2023-07-05T19:42:28"/>
    <m/>
    <d v="2023-07-05T00:00:00"/>
    <n v="879"/>
    <n v="17441"/>
    <s v="10501628"/>
    <s v="10501628"/>
    <m/>
    <m/>
    <m/>
    <m/>
    <m/>
    <m/>
    <s v="SOLRECOUP"/>
    <s v="SOLRECOUP"/>
    <s v="POARECOUP"/>
    <n v="21333800"/>
    <n v="-154.04"/>
    <m/>
    <s v="Y"/>
    <n v="2"/>
    <d v="2023-07-05T19:42:29"/>
    <s v="N"/>
    <m/>
    <m/>
    <s v="Expert Disbursement"/>
    <m/>
    <s v="N"/>
    <n v="0"/>
    <n v="0"/>
    <x v="6"/>
    <s v="VALIDATED"/>
    <n v="1"/>
    <s v="01.11.80.000.0000.0000"/>
    <n v="0"/>
    <s v="11"/>
    <s v="0000"/>
    <n v="8497.200000000001"/>
    <n v="0"/>
    <s v="CREDITOR"/>
    <n v="0"/>
    <n v="0"/>
    <n v="0"/>
    <n v="0"/>
    <n v="0"/>
  </r>
  <r>
    <n v="10501628"/>
    <s v="N"/>
    <n v="21333801"/>
    <s v="3000006348010001RC"/>
    <s v="CIVIL"/>
    <d v="2023-06-22T00:00:00"/>
    <d v="2023-07-05T19:42:28"/>
    <m/>
    <d v="2023-07-05T00:00:00"/>
    <n v="879"/>
    <n v="17441"/>
    <s v="10501628"/>
    <s v="10501628"/>
    <m/>
    <m/>
    <m/>
    <m/>
    <m/>
    <m/>
    <s v="SOLRECOUP"/>
    <s v="SOLRECOUP"/>
    <s v="POARECOUP"/>
    <n v="21333801"/>
    <n v="-40.5"/>
    <m/>
    <s v="Y"/>
    <n v="1"/>
    <d v="2023-07-05T19:42:29"/>
    <s v="N"/>
    <m/>
    <m/>
    <s v="Non Expert Disbursement"/>
    <m/>
    <s v="N"/>
    <n v="-40.5"/>
    <n v="0"/>
    <x v="6"/>
    <s v="VALIDATED"/>
    <n v="1"/>
    <s v="01.11.80.308.2013.0000"/>
    <n v="-40.5"/>
    <s v="11"/>
    <s v="2013"/>
    <n v="8497.200000000001"/>
    <n v="-40.5"/>
    <s v="CREDITOR"/>
    <n v="0"/>
    <n v="0"/>
    <n v="-40.5"/>
    <n v="0"/>
    <n v="0"/>
  </r>
  <r>
    <n v="10501628"/>
    <s v="N"/>
    <n v="21333801"/>
    <s v="3000006348010001RC"/>
    <s v="CIVIL"/>
    <d v="2023-06-22T00:00:00"/>
    <d v="2023-07-05T19:42:28"/>
    <m/>
    <d v="2023-07-05T00:00:00"/>
    <n v="879"/>
    <n v="17441"/>
    <s v="10501628"/>
    <s v="10501628"/>
    <m/>
    <m/>
    <m/>
    <m/>
    <m/>
    <m/>
    <s v="SOLRECOUP"/>
    <s v="SOLRECOUP"/>
    <s v="POARECOUP"/>
    <n v="21333801"/>
    <n v="-40.5"/>
    <m/>
    <s v="Y"/>
    <n v="2"/>
    <d v="2023-07-05T19:42:29"/>
    <s v="N"/>
    <m/>
    <m/>
    <s v="Non Expert Disbursement"/>
    <m/>
    <s v="N"/>
    <n v="0"/>
    <n v="0"/>
    <x v="6"/>
    <s v="VALIDATED"/>
    <n v="1"/>
    <s v="01.11.80.000.0000.0000"/>
    <n v="0"/>
    <s v="11"/>
    <s v="0000"/>
    <n v="8497.200000000001"/>
    <n v="0"/>
    <s v="CREDITOR"/>
    <n v="0"/>
    <n v="0"/>
    <n v="0"/>
    <n v="0"/>
    <n v="0"/>
  </r>
  <r>
    <n v="10501628"/>
    <s v="N"/>
    <n v="21333802"/>
    <s v="3000006348010006RC"/>
    <s v="CIVIL"/>
    <d v="2023-06-22T00:00:00"/>
    <d v="2023-07-05T19:42:28"/>
    <m/>
    <d v="2023-07-05T00:00:00"/>
    <n v="879"/>
    <n v="17441"/>
    <s v="10501628"/>
    <s v="10501628"/>
    <m/>
    <m/>
    <m/>
    <m/>
    <m/>
    <m/>
    <s v="SOLRECOUP"/>
    <s v="SOLRECOUP"/>
    <s v="POARECOUP"/>
    <n v="21333802"/>
    <n v="-50"/>
    <m/>
    <s v="Y"/>
    <n v="1"/>
    <d v="2023-07-05T19:42:29"/>
    <s v="N"/>
    <m/>
    <m/>
    <s v="Non Expert Disbursement"/>
    <m/>
    <s v="N"/>
    <n v="-50"/>
    <n v="0"/>
    <x v="6"/>
    <s v="VALIDATED"/>
    <n v="1"/>
    <s v="01.11.80.308.2013.0000"/>
    <n v="-50"/>
    <s v="11"/>
    <s v="2013"/>
    <n v="8497.200000000001"/>
    <n v="-50"/>
    <s v="CREDITOR"/>
    <n v="0"/>
    <n v="0"/>
    <n v="-50"/>
    <n v="0"/>
    <n v="0"/>
  </r>
  <r>
    <n v="10501628"/>
    <s v="N"/>
    <n v="21333802"/>
    <s v="3000006348010006RC"/>
    <s v="CIVIL"/>
    <d v="2023-06-22T00:00:00"/>
    <d v="2023-07-05T19:42:28"/>
    <m/>
    <d v="2023-07-05T00:00:00"/>
    <n v="879"/>
    <n v="17441"/>
    <s v="10501628"/>
    <s v="10501628"/>
    <m/>
    <m/>
    <m/>
    <m/>
    <m/>
    <m/>
    <s v="SOLRECOUP"/>
    <s v="SOLRECOUP"/>
    <s v="POARECOUP"/>
    <n v="21333802"/>
    <n v="-50"/>
    <m/>
    <s v="Y"/>
    <n v="2"/>
    <d v="2023-07-05T19:42:29"/>
    <s v="N"/>
    <m/>
    <m/>
    <s v="Non Expert Disbursement"/>
    <m/>
    <s v="N"/>
    <n v="0"/>
    <n v="0"/>
    <x v="6"/>
    <s v="VALIDATED"/>
    <n v="1"/>
    <s v="01.11.80.000.0000.0000"/>
    <n v="0"/>
    <s v="11"/>
    <s v="0000"/>
    <n v="8497.200000000001"/>
    <n v="0"/>
    <s v="CREDITOR"/>
    <n v="0"/>
    <n v="0"/>
    <n v="0"/>
    <n v="0"/>
    <n v="0"/>
  </r>
  <r>
    <n v="10501628"/>
    <s v="N"/>
    <n v="21333803"/>
    <s v="3000006348010002RC"/>
    <s v="CIVIL"/>
    <d v="2023-06-22T00:00:00"/>
    <d v="2023-07-05T19:42:28"/>
    <m/>
    <d v="2023-07-05T00:00:00"/>
    <n v="879"/>
    <n v="17441"/>
    <s v="10501628"/>
    <s v="10501628"/>
    <m/>
    <m/>
    <m/>
    <m/>
    <m/>
    <m/>
    <s v="SOLRECOUP"/>
    <s v="SOLRECOUP"/>
    <s v="POARECOUP"/>
    <n v="21333803"/>
    <n v="-52.5"/>
    <m/>
    <s v="Y"/>
    <n v="1"/>
    <d v="2023-07-05T19:42:29"/>
    <s v="N"/>
    <m/>
    <m/>
    <s v="Non Expert Disbursement"/>
    <m/>
    <s v="N"/>
    <n v="-52.5"/>
    <n v="0"/>
    <x v="6"/>
    <s v="VALIDATED"/>
    <n v="1"/>
    <s v="01.11.80.308.2013.0000"/>
    <n v="-52.5"/>
    <s v="11"/>
    <s v="2013"/>
    <n v="8497.200000000001"/>
    <n v="-52.5"/>
    <s v="CREDITOR"/>
    <n v="0"/>
    <n v="0"/>
    <n v="-52.5"/>
    <n v="0"/>
    <n v="0"/>
  </r>
  <r>
    <n v="10501628"/>
    <s v="N"/>
    <n v="21333803"/>
    <s v="3000006348010002RC"/>
    <s v="CIVIL"/>
    <d v="2023-06-22T00:00:00"/>
    <d v="2023-07-05T19:42:28"/>
    <m/>
    <d v="2023-07-05T00:00:00"/>
    <n v="879"/>
    <n v="17441"/>
    <s v="10501628"/>
    <s v="10501628"/>
    <m/>
    <m/>
    <m/>
    <m/>
    <m/>
    <m/>
    <s v="SOLRECOUP"/>
    <s v="SOLRECOUP"/>
    <s v="POARECOUP"/>
    <n v="21333803"/>
    <n v="-52.5"/>
    <m/>
    <s v="Y"/>
    <n v="2"/>
    <d v="2023-07-05T19:42:29"/>
    <s v="N"/>
    <m/>
    <m/>
    <s v="Non Expert Disbursement"/>
    <m/>
    <s v="N"/>
    <n v="0"/>
    <n v="0"/>
    <x v="6"/>
    <s v="VALIDATED"/>
    <n v="1"/>
    <s v="01.11.80.000.0000.0000"/>
    <n v="0"/>
    <s v="11"/>
    <s v="0000"/>
    <n v="8497.200000000001"/>
    <n v="0"/>
    <s v="CREDITOR"/>
    <n v="0"/>
    <n v="0"/>
    <n v="0"/>
    <n v="0"/>
    <n v="0"/>
  </r>
  <r>
    <n v="10501628"/>
    <s v="N"/>
    <n v="21333804"/>
    <s v="3000006348010003RC"/>
    <s v="CIVIL"/>
    <d v="2023-06-22T00:00:00"/>
    <d v="2023-07-05T19:42:28"/>
    <m/>
    <d v="2023-07-05T00:00:00"/>
    <n v="879"/>
    <n v="17441"/>
    <s v="10501628"/>
    <s v="10501628"/>
    <m/>
    <m/>
    <m/>
    <m/>
    <m/>
    <m/>
    <s v="SOLRECOUP"/>
    <s v="SOLRECOUP"/>
    <s v="POARECOUP"/>
    <n v="21333804"/>
    <n v="-1897.2"/>
    <m/>
    <s v="Y"/>
    <n v="1"/>
    <d v="2023-07-05T19:42:29"/>
    <s v="N"/>
    <m/>
    <m/>
    <s v="Profit Cost"/>
    <m/>
    <s v="N"/>
    <n v="-1581"/>
    <n v="0"/>
    <x v="6"/>
    <s v="VALIDATED"/>
    <n v="1"/>
    <s v="01.11.80.308.2013.0000"/>
    <n v="-1581"/>
    <s v="11"/>
    <s v="2013"/>
    <n v="8497.200000000001"/>
    <n v="-1581"/>
    <s v="CREDITOR"/>
    <n v="0"/>
    <n v="0"/>
    <n v="-1581"/>
    <n v="-395.25"/>
    <n v="0"/>
  </r>
  <r>
    <n v="10501628"/>
    <s v="N"/>
    <n v="21333804"/>
    <s v="3000006348010003RC"/>
    <s v="CIVIL"/>
    <d v="2023-06-22T00:00:00"/>
    <d v="2023-07-05T19:42:28"/>
    <m/>
    <d v="2023-07-05T00:00:00"/>
    <n v="879"/>
    <n v="17441"/>
    <s v="10501628"/>
    <s v="10501628"/>
    <m/>
    <m/>
    <m/>
    <m/>
    <m/>
    <m/>
    <s v="SOLRECOUP"/>
    <s v="SOLRECOUP"/>
    <s v="POARECOUP"/>
    <n v="21333804"/>
    <n v="-1897.2"/>
    <m/>
    <s v="Y"/>
    <n v="2"/>
    <d v="2023-07-05T19:42:29"/>
    <s v="N"/>
    <m/>
    <m/>
    <s v="Profit Cost"/>
    <m/>
    <s v="N"/>
    <n v="0"/>
    <n v="-316.2"/>
    <x v="6"/>
    <s v="VALIDATED"/>
    <n v="1"/>
    <s v="01.11.80.308.2013.0000"/>
    <n v="-316.2"/>
    <s v="11"/>
    <s v="2013"/>
    <n v="8497.200000000001"/>
    <n v="-316.2"/>
    <s v="CREDITOR"/>
    <n v="0"/>
    <n v="0"/>
    <n v="-316.2"/>
    <n v="-79.05"/>
    <n v="0"/>
  </r>
  <r>
    <n v="10501628"/>
    <s v="N"/>
    <n v="21333805"/>
    <s v="3000006348010004RC"/>
    <s v="CIVIL"/>
    <d v="2023-06-22T00:00:00"/>
    <d v="2023-07-05T19:42:28"/>
    <m/>
    <d v="2023-07-05T00:00:00"/>
    <n v="879"/>
    <n v="17441"/>
    <s v="10501628"/>
    <s v="10501628"/>
    <m/>
    <m/>
    <m/>
    <m/>
    <m/>
    <m/>
    <s v="SOLRECOUP"/>
    <s v="SOLRECOUP"/>
    <s v="POARECOUP"/>
    <n v="21333805"/>
    <n v="-155"/>
    <m/>
    <s v="Y"/>
    <n v="1"/>
    <d v="2023-07-05T19:42:29"/>
    <s v="N"/>
    <m/>
    <m/>
    <s v="Non Expert Disbursement"/>
    <m/>
    <s v="N"/>
    <n v="-155"/>
    <n v="0"/>
    <x v="6"/>
    <s v="VALIDATED"/>
    <n v="1"/>
    <s v="01.11.80.308.2013.0000"/>
    <n v="-155"/>
    <s v="11"/>
    <s v="2013"/>
    <n v="8497.200000000001"/>
    <n v="-155"/>
    <s v="CREDITOR"/>
    <n v="0"/>
    <n v="0"/>
    <n v="-155"/>
    <n v="0"/>
    <n v="0"/>
  </r>
  <r>
    <n v="10501628"/>
    <s v="N"/>
    <n v="21333805"/>
    <s v="3000006348010004RC"/>
    <s v="CIVIL"/>
    <d v="2023-06-22T00:00:00"/>
    <d v="2023-07-05T19:42:28"/>
    <m/>
    <d v="2023-07-05T00:00:00"/>
    <n v="879"/>
    <n v="17441"/>
    <s v="10501628"/>
    <s v="10501628"/>
    <m/>
    <m/>
    <m/>
    <m/>
    <m/>
    <m/>
    <s v="SOLRECOUP"/>
    <s v="SOLRECOUP"/>
    <s v="POARECOUP"/>
    <n v="21333805"/>
    <n v="-155"/>
    <m/>
    <s v="Y"/>
    <n v="2"/>
    <d v="2023-07-05T19:42:29"/>
    <s v="N"/>
    <m/>
    <m/>
    <s v="Non Expert Disbursement"/>
    <m/>
    <s v="N"/>
    <n v="0"/>
    <n v="0"/>
    <x v="6"/>
    <s v="VALIDATED"/>
    <n v="1"/>
    <s v="01.11.80.000.0000.0000"/>
    <n v="0"/>
    <s v="11"/>
    <s v="0000"/>
    <n v="8497.200000000001"/>
    <n v="0"/>
    <s v="CREDITOR"/>
    <n v="0"/>
    <n v="0"/>
    <n v="0"/>
    <n v="0"/>
    <n v="0"/>
  </r>
  <r>
    <n v="10501628"/>
    <s v="N"/>
    <n v="21333806"/>
    <s v="3000006348010005RC"/>
    <s v="CIVIL"/>
    <d v="2023-06-22T00:00:00"/>
    <d v="2023-07-05T19:42:28"/>
    <m/>
    <d v="2023-07-05T00:00:00"/>
    <n v="879"/>
    <n v="17441"/>
    <s v="10501628"/>
    <s v="10501628"/>
    <m/>
    <m/>
    <m/>
    <m/>
    <m/>
    <m/>
    <s v="SOLRECOUP"/>
    <s v="SOLRECOUP"/>
    <s v="POARECOUP"/>
    <n v="21333806"/>
    <n v="-768.1900000000001"/>
    <m/>
    <s v="Y"/>
    <n v="1"/>
    <d v="2023-07-05T19:42:29"/>
    <s v="N"/>
    <m/>
    <m/>
    <s v="Expert Disbursement"/>
    <m/>
    <s v="N"/>
    <n v="-640.16"/>
    <n v="0"/>
    <x v="6"/>
    <s v="VALIDATED"/>
    <n v="1"/>
    <s v="01.11.80.308.2013.0000"/>
    <n v="-640.16"/>
    <s v="11"/>
    <s v="2013"/>
    <n v="8497.200000000001"/>
    <n v="-640.16"/>
    <s v="CREDITOR"/>
    <n v="0"/>
    <n v="0"/>
    <n v="-640.16"/>
    <n v="0"/>
    <n v="0"/>
  </r>
  <r>
    <n v="10501628"/>
    <s v="N"/>
    <n v="21333806"/>
    <s v="3000006348010005RC"/>
    <s v="CIVIL"/>
    <d v="2023-06-22T00:00:00"/>
    <d v="2023-07-05T19:42:28"/>
    <m/>
    <d v="2023-07-05T00:00:00"/>
    <n v="879"/>
    <n v="17441"/>
    <s v="10501628"/>
    <s v="10501628"/>
    <m/>
    <m/>
    <m/>
    <m/>
    <m/>
    <m/>
    <s v="SOLRECOUP"/>
    <s v="SOLRECOUP"/>
    <s v="POARECOUP"/>
    <n v="21333806"/>
    <n v="-768.1900000000001"/>
    <m/>
    <s v="Y"/>
    <n v="2"/>
    <d v="2023-07-05T19:42:29"/>
    <s v="N"/>
    <m/>
    <m/>
    <s v="Expert Disbursement"/>
    <m/>
    <s v="N"/>
    <n v="0"/>
    <n v="-128.03"/>
    <x v="6"/>
    <s v="VALIDATED"/>
    <n v="1"/>
    <s v="01.11.80.308.2013.0000"/>
    <n v="-128.03"/>
    <s v="11"/>
    <s v="2013"/>
    <n v="8497.200000000001"/>
    <n v="-128.03"/>
    <s v="CREDITOR"/>
    <n v="0"/>
    <n v="0"/>
    <n v="-128.03"/>
    <n v="0"/>
    <n v="0"/>
  </r>
  <r>
    <n v="10501628"/>
    <s v="N"/>
    <n v="21333807"/>
    <s v="3000006348010008RC"/>
    <s v="CIVIL"/>
    <d v="2023-06-22T00:00:00"/>
    <d v="2023-07-05T19:42:28"/>
    <m/>
    <d v="2023-07-05T00:00:00"/>
    <n v="879"/>
    <n v="17441"/>
    <s v="10501628"/>
    <s v="10501628"/>
    <m/>
    <m/>
    <m/>
    <m/>
    <m/>
    <m/>
    <s v="SOLRECOUP"/>
    <s v="SOLRECOUP"/>
    <s v="POARECOUP"/>
    <n v="21333807"/>
    <n v="-500"/>
    <m/>
    <s v="Y"/>
    <n v="1"/>
    <d v="2023-07-05T19:42:29"/>
    <s v="N"/>
    <m/>
    <m/>
    <s v="Expert Disbursement"/>
    <m/>
    <s v="N"/>
    <n v="-500"/>
    <n v="0"/>
    <x v="6"/>
    <s v="VALIDATED"/>
    <n v="1"/>
    <s v="01.11.80.308.2013.0000"/>
    <n v="-500"/>
    <s v="11"/>
    <s v="2013"/>
    <n v="8497.200000000001"/>
    <n v="-500"/>
    <s v="CREDITOR"/>
    <n v="0"/>
    <n v="0"/>
    <n v="-500"/>
    <n v="0"/>
    <n v="0"/>
  </r>
  <r>
    <n v="10501628"/>
    <s v="N"/>
    <n v="21333807"/>
    <s v="3000006348010008RC"/>
    <s v="CIVIL"/>
    <d v="2023-06-22T00:00:00"/>
    <d v="2023-07-05T19:42:28"/>
    <m/>
    <d v="2023-07-05T00:00:00"/>
    <n v="879"/>
    <n v="17441"/>
    <s v="10501628"/>
    <s v="10501628"/>
    <m/>
    <m/>
    <m/>
    <m/>
    <m/>
    <m/>
    <s v="SOLRECOUP"/>
    <s v="SOLRECOUP"/>
    <s v="POARECOUP"/>
    <n v="21333807"/>
    <n v="-500"/>
    <m/>
    <s v="Y"/>
    <n v="2"/>
    <d v="2023-07-05T19:42:29"/>
    <s v="N"/>
    <m/>
    <m/>
    <s v="Expert Disbursement"/>
    <m/>
    <s v="N"/>
    <n v="0"/>
    <n v="0"/>
    <x v="6"/>
    <s v="VALIDATED"/>
    <n v="1"/>
    <s v="01.11.80.000.0000.0000"/>
    <n v="0"/>
    <s v="11"/>
    <s v="0000"/>
    <n v="8497.200000000001"/>
    <n v="0"/>
    <s v="CREDITOR"/>
    <n v="0"/>
    <n v="0"/>
    <n v="0"/>
    <n v="0"/>
    <n v="0"/>
  </r>
  <r>
    <n v="10501628"/>
    <s v="N"/>
    <n v="21333808"/>
    <s v="3000006348010010RC"/>
    <s v="CIVIL"/>
    <d v="2023-06-22T00:00:00"/>
    <d v="2023-07-05T19:42:28"/>
    <m/>
    <d v="2023-07-05T00:00:00"/>
    <n v="879"/>
    <n v="17441"/>
    <s v="10501628"/>
    <s v="10501628"/>
    <m/>
    <m/>
    <m/>
    <m/>
    <m/>
    <m/>
    <s v="SOLRECOUP"/>
    <s v="SOLRECOUP"/>
    <s v="POARECOUP"/>
    <n v="21333808"/>
    <n v="-155"/>
    <m/>
    <s v="Y"/>
    <n v="1"/>
    <d v="2023-07-05T19:42:29"/>
    <s v="N"/>
    <m/>
    <m/>
    <s v="Non Expert Disbursement"/>
    <m/>
    <s v="N"/>
    <n v="-155"/>
    <n v="0"/>
    <x v="6"/>
    <s v="VALIDATED"/>
    <n v="1"/>
    <s v="01.11.80.308.2013.0000"/>
    <n v="-155"/>
    <s v="11"/>
    <s v="2013"/>
    <n v="8497.200000000001"/>
    <n v="-155"/>
    <s v="CREDITOR"/>
    <n v="0"/>
    <n v="0"/>
    <n v="-155"/>
    <n v="0"/>
    <n v="0"/>
  </r>
  <r>
    <n v="10501628"/>
    <s v="N"/>
    <n v="21333808"/>
    <s v="3000006348010010RC"/>
    <s v="CIVIL"/>
    <d v="2023-06-22T00:00:00"/>
    <d v="2023-07-05T19:42:28"/>
    <m/>
    <d v="2023-07-05T00:00:00"/>
    <n v="879"/>
    <n v="17441"/>
    <s v="10501628"/>
    <s v="10501628"/>
    <m/>
    <m/>
    <m/>
    <m/>
    <m/>
    <m/>
    <s v="SOLRECOUP"/>
    <s v="SOLRECOUP"/>
    <s v="POARECOUP"/>
    <n v="21333808"/>
    <n v="-155"/>
    <m/>
    <s v="Y"/>
    <n v="2"/>
    <d v="2023-07-05T19:42:29"/>
    <s v="N"/>
    <m/>
    <m/>
    <s v="Non Expert Disbursement"/>
    <m/>
    <s v="N"/>
    <n v="0"/>
    <n v="0"/>
    <x v="6"/>
    <s v="VALIDATED"/>
    <n v="1"/>
    <s v="01.11.80.000.0000.0000"/>
    <n v="0"/>
    <s v="11"/>
    <s v="0000"/>
    <n v="8497.200000000001"/>
    <n v="0"/>
    <s v="CREDITOR"/>
    <n v="0"/>
    <n v="0"/>
    <n v="0"/>
    <n v="0"/>
    <n v="0"/>
  </r>
  <r>
    <n v="10501628"/>
    <s v="N"/>
    <n v="21333809"/>
    <s v="3000006348010007RC"/>
    <s v="CIVIL"/>
    <d v="2023-06-22T00:00:00"/>
    <d v="2023-07-05T19:42:28"/>
    <m/>
    <d v="2023-07-05T00:00:00"/>
    <n v="879"/>
    <n v="17441"/>
    <s v="10501628"/>
    <s v="10501628"/>
    <m/>
    <m/>
    <m/>
    <m/>
    <m/>
    <m/>
    <s v="SOLRECOUP"/>
    <s v="SOLRECOUP"/>
    <s v="POARECOUP"/>
    <n v="21333809"/>
    <n v="-1346.4"/>
    <m/>
    <s v="Y"/>
    <n v="1"/>
    <d v="2023-07-05T19:42:29"/>
    <s v="N"/>
    <m/>
    <m/>
    <s v="Profit Cost"/>
    <m/>
    <s v="N"/>
    <n v="-1122"/>
    <n v="0"/>
    <x v="6"/>
    <s v="VALIDATED"/>
    <n v="1"/>
    <s v="01.11.80.308.2013.0000"/>
    <n v="-1122"/>
    <s v="11"/>
    <s v="2013"/>
    <n v="8497.200000000001"/>
    <n v="-1122"/>
    <s v="CREDITOR"/>
    <n v="0"/>
    <n v="0"/>
    <n v="-1122"/>
    <n v="-280.5"/>
    <n v="0"/>
  </r>
  <r>
    <n v="10501628"/>
    <s v="N"/>
    <n v="21333809"/>
    <s v="3000006348010007RC"/>
    <s v="CIVIL"/>
    <d v="2023-06-22T00:00:00"/>
    <d v="2023-07-05T19:42:28"/>
    <m/>
    <d v="2023-07-05T00:00:00"/>
    <n v="879"/>
    <n v="17441"/>
    <s v="10501628"/>
    <s v="10501628"/>
    <m/>
    <m/>
    <m/>
    <m/>
    <m/>
    <m/>
    <s v="SOLRECOUP"/>
    <s v="SOLRECOUP"/>
    <s v="POARECOUP"/>
    <n v="21333809"/>
    <n v="-1346.4"/>
    <m/>
    <s v="Y"/>
    <n v="2"/>
    <d v="2023-07-05T19:42:29"/>
    <s v="N"/>
    <m/>
    <m/>
    <s v="Profit Cost"/>
    <m/>
    <s v="N"/>
    <n v="0"/>
    <n v="-224.4"/>
    <x v="6"/>
    <s v="VALIDATED"/>
    <n v="1"/>
    <s v="01.11.80.308.2013.0000"/>
    <n v="-224.4"/>
    <s v="11"/>
    <s v="2013"/>
    <n v="8497.200000000001"/>
    <n v="-224.4"/>
    <s v="CREDITOR"/>
    <n v="0"/>
    <n v="0"/>
    <n v="-224.4"/>
    <n v="-56.1"/>
    <n v="0"/>
  </r>
  <r>
    <n v="10501628"/>
    <s v="N"/>
    <n v="21333810"/>
    <s v="3000006348010012RC"/>
    <s v="CIVIL"/>
    <d v="2023-06-22T00:00:00"/>
    <d v="2023-07-05T19:42:28"/>
    <m/>
    <d v="2023-07-05T00:00:00"/>
    <n v="879"/>
    <n v="17441"/>
    <s v="10501628"/>
    <s v="10501628"/>
    <m/>
    <m/>
    <m/>
    <m/>
    <m/>
    <m/>
    <s v="SOLRECOUP"/>
    <s v="SOLRECOUP"/>
    <s v="POARECOUP"/>
    <n v="21333810"/>
    <n v="-262.16"/>
    <m/>
    <s v="Y"/>
    <n v="1"/>
    <d v="2023-07-05T19:42:29"/>
    <s v="N"/>
    <m/>
    <m/>
    <s v="Expert Disbursement"/>
    <m/>
    <s v="N"/>
    <n v="-262.16"/>
    <n v="0"/>
    <x v="6"/>
    <s v="VALIDATED"/>
    <n v="1"/>
    <s v="01.11.80.308.2013.0000"/>
    <n v="-262.16"/>
    <s v="11"/>
    <s v="2013"/>
    <n v="8497.200000000001"/>
    <n v="-262.16"/>
    <s v="CREDITOR"/>
    <n v="0"/>
    <n v="0"/>
    <n v="-262.16"/>
    <n v="0"/>
    <n v="0"/>
  </r>
  <r>
    <n v="10501628"/>
    <s v="N"/>
    <n v="21333810"/>
    <s v="3000006348010012RC"/>
    <s v="CIVIL"/>
    <d v="2023-06-22T00:00:00"/>
    <d v="2023-07-05T19:42:28"/>
    <m/>
    <d v="2023-07-05T00:00:00"/>
    <n v="879"/>
    <n v="17441"/>
    <s v="10501628"/>
    <s v="10501628"/>
    <m/>
    <m/>
    <m/>
    <m/>
    <m/>
    <m/>
    <s v="SOLRECOUP"/>
    <s v="SOLRECOUP"/>
    <s v="POARECOUP"/>
    <n v="21333810"/>
    <n v="-262.16"/>
    <m/>
    <s v="Y"/>
    <n v="2"/>
    <d v="2023-07-05T19:42:29"/>
    <s v="N"/>
    <m/>
    <m/>
    <s v="Expert Disbursement"/>
    <m/>
    <s v="N"/>
    <n v="0"/>
    <n v="0"/>
    <x v="6"/>
    <s v="VALIDATED"/>
    <n v="1"/>
    <s v="01.11.80.000.0000.0000"/>
    <n v="0"/>
    <s v="11"/>
    <s v="0000"/>
    <n v="8497.200000000001"/>
    <n v="0"/>
    <s v="CREDITOR"/>
    <n v="0"/>
    <n v="0"/>
    <n v="0"/>
    <n v="0"/>
    <n v="0"/>
  </r>
  <r>
    <n v="10501628"/>
    <s v="N"/>
    <n v="21333811"/>
    <s v="3000006348010013RC"/>
    <s v="CIVIL"/>
    <d v="2023-06-22T00:00:00"/>
    <d v="2023-07-05T19:42:28"/>
    <m/>
    <d v="2023-07-05T00:00:00"/>
    <n v="879"/>
    <n v="17441"/>
    <s v="10501628"/>
    <s v="10501628"/>
    <m/>
    <m/>
    <m/>
    <m/>
    <m/>
    <m/>
    <s v="SOLRECOUP"/>
    <s v="SOLRECOUP"/>
    <s v="POARECOUP"/>
    <n v="21333811"/>
    <n v="-155"/>
    <m/>
    <s v="Y"/>
    <n v="1"/>
    <d v="2023-07-05T19:42:29"/>
    <s v="N"/>
    <m/>
    <m/>
    <s v="Non Expert Disbursement"/>
    <m/>
    <s v="N"/>
    <n v="-155"/>
    <n v="0"/>
    <x v="6"/>
    <s v="VALIDATED"/>
    <n v="1"/>
    <s v="01.11.80.308.2013.0000"/>
    <n v="-155"/>
    <s v="11"/>
    <s v="2013"/>
    <n v="8497.200000000001"/>
    <n v="-155"/>
    <s v="CREDITOR"/>
    <n v="0"/>
    <n v="0"/>
    <n v="-155"/>
    <n v="0"/>
    <n v="0"/>
  </r>
  <r>
    <n v="59517102"/>
    <s v="N"/>
    <n v="21328655"/>
    <s v="3000013923950002RC"/>
    <s v="CIVIL"/>
    <d v="2023-06-26T00:00:00"/>
    <d v="2023-07-04T19:38:21"/>
    <m/>
    <d v="2023-07-04T00:00:00"/>
    <n v="879"/>
    <n v="17441"/>
    <s v="59517102"/>
    <s v="59517102"/>
    <m/>
    <m/>
    <m/>
    <m/>
    <m/>
    <m/>
    <s v="SOLRECOUP"/>
    <s v="SOLRECOUP"/>
    <s v="POARECOUP"/>
    <n v="21328655"/>
    <n v="-2646.72"/>
    <m/>
    <s v="Y"/>
    <n v="2"/>
    <d v="2023-07-04T19:38:22"/>
    <s v="N"/>
    <m/>
    <m/>
    <s v="Profit Cost"/>
    <m/>
    <s v="N"/>
    <n v="0"/>
    <n v="-441.12"/>
    <x v="1"/>
    <s v="VALIDATED"/>
    <n v="1"/>
    <s v="01.11.80.307.2013.0000"/>
    <n v="-441.12"/>
    <s v="11"/>
    <s v="2013"/>
    <n v="8497.200000000001"/>
    <n v="-441.12"/>
    <s v="CREDITOR"/>
    <n v="0"/>
    <n v="0"/>
    <n v="-441.12"/>
    <n v="-110.28"/>
    <n v="0"/>
  </r>
  <r>
    <n v="59517102"/>
    <s v="N"/>
    <n v="21328656"/>
    <s v="3000013923950011RC"/>
    <s v="CIVIL"/>
    <d v="2023-06-26T00:00:00"/>
    <d v="2023-07-04T19:38:21"/>
    <m/>
    <d v="2023-07-04T00:00:00"/>
    <n v="879"/>
    <n v="17441"/>
    <s v="59517102"/>
    <s v="59517102"/>
    <m/>
    <m/>
    <m/>
    <m/>
    <m/>
    <m/>
    <s v="SOLRECOUP"/>
    <s v="SOLRECOUP"/>
    <s v="POARECOUP"/>
    <n v="21328656"/>
    <n v="-167"/>
    <m/>
    <s v="Y"/>
    <n v="1"/>
    <d v="2023-07-04T19:38:22"/>
    <s v="N"/>
    <m/>
    <m/>
    <s v="Non Expert Disbursement"/>
    <m/>
    <s v="N"/>
    <n v="-167"/>
    <n v="0"/>
    <x v="1"/>
    <s v="VALIDATED"/>
    <n v="1"/>
    <s v="01.11.80.307.2013.0000"/>
    <n v="-167"/>
    <s v="11"/>
    <s v="2013"/>
    <n v="8497.200000000001"/>
    <n v="-167"/>
    <s v="CREDITOR"/>
    <n v="0"/>
    <n v="0"/>
    <n v="-167"/>
    <n v="0"/>
    <n v="0"/>
  </r>
  <r>
    <n v="59517102"/>
    <s v="N"/>
    <n v="21328656"/>
    <s v="3000013923950011RC"/>
    <s v="CIVIL"/>
    <d v="2023-06-26T00:00:00"/>
    <d v="2023-07-04T19:38:21"/>
    <m/>
    <d v="2023-07-04T00:00:00"/>
    <n v="879"/>
    <n v="17441"/>
    <s v="59517102"/>
    <s v="59517102"/>
    <m/>
    <m/>
    <m/>
    <m/>
    <m/>
    <m/>
    <s v="SOLRECOUP"/>
    <s v="SOLRECOUP"/>
    <s v="POARECOUP"/>
    <n v="21328656"/>
    <n v="-167"/>
    <m/>
    <s v="Y"/>
    <n v="2"/>
    <d v="2023-07-04T19:38:22"/>
    <s v="N"/>
    <m/>
    <m/>
    <s v="Non Expert Disbursement"/>
    <m/>
    <s v="N"/>
    <n v="0"/>
    <n v="0"/>
    <x v="1"/>
    <s v="VALIDATED"/>
    <n v="1"/>
    <s v="01.11.80.000.0000.0000"/>
    <n v="0"/>
    <s v="11"/>
    <s v="0000"/>
    <n v="8497.200000000001"/>
    <n v="0"/>
    <s v="CREDITOR"/>
    <n v="0"/>
    <n v="0"/>
    <n v="0"/>
    <n v="0"/>
    <n v="0"/>
  </r>
  <r>
    <n v="59517102"/>
    <s v="N"/>
    <n v="21328657"/>
    <s v="3000013923950012RC"/>
    <s v="CIVIL"/>
    <d v="2023-06-26T00:00:00"/>
    <d v="2023-07-04T19:38:21"/>
    <m/>
    <d v="2023-07-04T00:00:00"/>
    <n v="879"/>
    <n v="17441"/>
    <s v="59517102"/>
    <s v="59517102"/>
    <m/>
    <m/>
    <m/>
    <m/>
    <m/>
    <m/>
    <s v="SOLRECOUP"/>
    <s v="SOLRECOUP"/>
    <s v="POARECOUP"/>
    <n v="21328657"/>
    <n v="-678.72"/>
    <m/>
    <s v="Y"/>
    <n v="1"/>
    <d v="2023-07-04T19:38:22"/>
    <s v="N"/>
    <m/>
    <m/>
    <s v="Profit Cost"/>
    <m/>
    <s v="N"/>
    <n v="-565.6"/>
    <n v="0"/>
    <x v="1"/>
    <s v="VALIDATED"/>
    <n v="1"/>
    <s v="01.11.80.307.2013.0000"/>
    <n v="-565.6"/>
    <s v="11"/>
    <s v="2013"/>
    <n v="8497.200000000001"/>
    <n v="-565.6"/>
    <s v="CREDITOR"/>
    <n v="0"/>
    <n v="0"/>
    <n v="-565.6"/>
    <n v="-141.4"/>
    <n v="0"/>
  </r>
  <r>
    <n v="59517102"/>
    <s v="N"/>
    <n v="21328657"/>
    <s v="3000013923950012RC"/>
    <s v="CIVIL"/>
    <d v="2023-06-26T00:00:00"/>
    <d v="2023-07-04T19:38:21"/>
    <m/>
    <d v="2023-07-04T00:00:00"/>
    <n v="879"/>
    <n v="17441"/>
    <s v="59517102"/>
    <s v="59517102"/>
    <m/>
    <m/>
    <m/>
    <m/>
    <m/>
    <m/>
    <s v="SOLRECOUP"/>
    <s v="SOLRECOUP"/>
    <s v="POARECOUP"/>
    <n v="21328657"/>
    <n v="-678.72"/>
    <m/>
    <s v="Y"/>
    <n v="2"/>
    <d v="2023-07-04T19:38:22"/>
    <s v="N"/>
    <m/>
    <m/>
    <s v="Profit Cost"/>
    <m/>
    <s v="N"/>
    <n v="0"/>
    <n v="-113.12"/>
    <x v="1"/>
    <s v="VALIDATED"/>
    <n v="1"/>
    <s v="01.11.80.307.2013.0000"/>
    <n v="-113.12"/>
    <s v="11"/>
    <s v="2013"/>
    <n v="8497.200000000001"/>
    <n v="-113.12"/>
    <s v="CREDITOR"/>
    <n v="0"/>
    <n v="0"/>
    <n v="-113.12"/>
    <n v="-28.28"/>
    <n v="0"/>
  </r>
  <r>
    <n v="59517102"/>
    <s v="N"/>
    <n v="21328658"/>
    <s v="3000013923950013RC"/>
    <s v="CIVIL"/>
    <d v="2023-06-26T00:00:00"/>
    <d v="2023-07-04T19:38:21"/>
    <m/>
    <d v="2023-07-04T00:00:00"/>
    <n v="879"/>
    <n v="17441"/>
    <s v="59517102"/>
    <s v="59517102"/>
    <m/>
    <m/>
    <m/>
    <m/>
    <m/>
    <m/>
    <s v="SOLRECOUP"/>
    <s v="SOLRECOUP"/>
    <s v="POARECOUP"/>
    <n v="21328658"/>
    <n v="-767.04"/>
    <m/>
    <s v="Y"/>
    <n v="1"/>
    <d v="2023-07-04T19:38:22"/>
    <s v="N"/>
    <m/>
    <m/>
    <s v="Profit Cost"/>
    <m/>
    <s v="N"/>
    <n v="-639.2"/>
    <n v="0"/>
    <x v="1"/>
    <s v="VALIDATED"/>
    <n v="1"/>
    <s v="01.11.80.307.2013.0000"/>
    <n v="-639.2"/>
    <s v="11"/>
    <s v="2013"/>
    <n v="8497.200000000001"/>
    <n v="-639.2"/>
    <s v="CREDITOR"/>
    <n v="0"/>
    <n v="0"/>
    <n v="-639.2"/>
    <n v="-159.8"/>
    <n v="0"/>
  </r>
  <r>
    <n v="59517102"/>
    <s v="N"/>
    <n v="21328658"/>
    <s v="3000013923950013RC"/>
    <s v="CIVIL"/>
    <d v="2023-06-26T00:00:00"/>
    <d v="2023-07-04T19:38:21"/>
    <m/>
    <d v="2023-07-04T00:00:00"/>
    <n v="879"/>
    <n v="17441"/>
    <s v="59517102"/>
    <s v="59517102"/>
    <m/>
    <m/>
    <m/>
    <m/>
    <m/>
    <m/>
    <s v="SOLRECOUP"/>
    <s v="SOLRECOUP"/>
    <s v="POARECOUP"/>
    <n v="21328658"/>
    <n v="-767.04"/>
    <m/>
    <s v="Y"/>
    <n v="2"/>
    <d v="2023-07-04T19:38:22"/>
    <s v="N"/>
    <m/>
    <m/>
    <s v="Profit Cost"/>
    <m/>
    <s v="N"/>
    <n v="0"/>
    <n v="-127.84"/>
    <x v="1"/>
    <s v="VALIDATED"/>
    <n v="1"/>
    <s v="01.11.80.307.2013.0000"/>
    <n v="-127.84"/>
    <s v="11"/>
    <s v="2013"/>
    <n v="8497.200000000001"/>
    <n v="-127.84"/>
    <s v="CREDITOR"/>
    <n v="0"/>
    <n v="0"/>
    <n v="-127.84"/>
    <n v="-31.96"/>
    <n v="0"/>
  </r>
  <r>
    <n v="59517102"/>
    <s v="N"/>
    <n v="21328646"/>
    <s v="3000013923950006RC"/>
    <s v="CIVIL"/>
    <d v="2023-06-26T00:00:00"/>
    <d v="2023-07-04T19:38:21"/>
    <m/>
    <d v="2023-07-04T00:00:00"/>
    <n v="879"/>
    <n v="17441"/>
    <s v="59517102"/>
    <s v="59517102"/>
    <m/>
    <m/>
    <m/>
    <m/>
    <m/>
    <m/>
    <s v="SOLRECOUP"/>
    <s v="SOLRECOUP"/>
    <s v="POARECOUP"/>
    <n v="21328646"/>
    <n v="-1080"/>
    <m/>
    <s v="Y"/>
    <n v="1"/>
    <d v="2023-07-04T19:38:22"/>
    <s v="N"/>
    <m/>
    <m/>
    <s v="Expert Disbursement"/>
    <m/>
    <s v="N"/>
    <n v="-1080"/>
    <n v="0"/>
    <x v="1"/>
    <s v="VALIDATED"/>
    <n v="1"/>
    <s v="01.11.80.307.2013.0000"/>
    <n v="-1080"/>
    <s v="11"/>
    <s v="2013"/>
    <n v="8497.200000000001"/>
    <n v="-1080"/>
    <s v="CREDITOR"/>
    <n v="0"/>
    <n v="0"/>
    <n v="-1080"/>
    <n v="0"/>
    <n v="0"/>
  </r>
  <r>
    <n v="59517102"/>
    <s v="N"/>
    <n v="21328646"/>
    <s v="3000013923950006RC"/>
    <s v="CIVIL"/>
    <d v="2023-06-26T00:00:00"/>
    <d v="2023-07-04T19:38:21"/>
    <m/>
    <d v="2023-07-04T00:00:00"/>
    <n v="879"/>
    <n v="17441"/>
    <s v="59517102"/>
    <s v="59517102"/>
    <m/>
    <m/>
    <m/>
    <m/>
    <m/>
    <m/>
    <s v="SOLRECOUP"/>
    <s v="SOLRECOUP"/>
    <s v="POARECOUP"/>
    <n v="21328646"/>
    <n v="-1080"/>
    <m/>
    <s v="Y"/>
    <n v="2"/>
    <d v="2023-07-04T19:38:22"/>
    <s v="N"/>
    <m/>
    <m/>
    <s v="Expert Disbursement"/>
    <m/>
    <s v="N"/>
    <n v="0"/>
    <n v="0"/>
    <x v="1"/>
    <s v="VALIDATED"/>
    <n v="1"/>
    <s v="01.11.80.000.0000.0000"/>
    <n v="0"/>
    <s v="11"/>
    <s v="0000"/>
    <n v="8497.200000000001"/>
    <n v="0"/>
    <s v="CREDITOR"/>
    <n v="0"/>
    <n v="0"/>
    <n v="0"/>
    <n v="0"/>
    <n v="0"/>
  </r>
  <r>
    <n v="59517102"/>
    <s v="N"/>
    <n v="21328647"/>
    <s v="3000013923950005RC"/>
    <s v="CIVIL"/>
    <d v="2023-06-26T00:00:00"/>
    <d v="2023-07-04T19:38:21"/>
    <m/>
    <d v="2023-07-04T00:00:00"/>
    <n v="879"/>
    <n v="17441"/>
    <s v="59517102"/>
    <s v="59517102"/>
    <m/>
    <m/>
    <m/>
    <m/>
    <m/>
    <m/>
    <s v="SOLRECOUP"/>
    <s v="SOLRECOUP"/>
    <s v="POARECOUP"/>
    <n v="21328647"/>
    <n v="-1080"/>
    <m/>
    <s v="Y"/>
    <n v="1"/>
    <d v="2023-07-04T19:38:22"/>
    <s v="N"/>
    <m/>
    <m/>
    <s v="Expert Disbursement"/>
    <m/>
    <s v="N"/>
    <n v="-1080"/>
    <n v="0"/>
    <x v="1"/>
    <s v="VALIDATED"/>
    <n v="1"/>
    <s v="01.11.80.307.2013.0000"/>
    <n v="-1080"/>
    <s v="11"/>
    <s v="2013"/>
    <n v="8497.200000000001"/>
    <n v="-1080"/>
    <s v="CREDITOR"/>
    <n v="0"/>
    <n v="0"/>
    <n v="-1080"/>
    <n v="0"/>
    <n v="0"/>
  </r>
  <r>
    <n v="59517102"/>
    <s v="N"/>
    <n v="21328647"/>
    <s v="3000013923950005RC"/>
    <s v="CIVIL"/>
    <d v="2023-06-26T00:00:00"/>
    <d v="2023-07-04T19:38:21"/>
    <m/>
    <d v="2023-07-04T00:00:00"/>
    <n v="879"/>
    <n v="17441"/>
    <s v="59517102"/>
    <s v="59517102"/>
    <m/>
    <m/>
    <m/>
    <m/>
    <m/>
    <m/>
    <s v="SOLRECOUP"/>
    <s v="SOLRECOUP"/>
    <s v="POARECOUP"/>
    <n v="21328647"/>
    <n v="-1080"/>
    <m/>
    <s v="Y"/>
    <n v="2"/>
    <d v="2023-07-04T19:38:22"/>
    <s v="N"/>
    <m/>
    <m/>
    <s v="Expert Disbursement"/>
    <m/>
    <s v="N"/>
    <n v="0"/>
    <n v="0"/>
    <x v="1"/>
    <s v="VALIDATED"/>
    <n v="1"/>
    <s v="01.11.80.000.0000.0000"/>
    <n v="0"/>
    <s v="11"/>
    <s v="0000"/>
    <n v="8497.200000000001"/>
    <n v="0"/>
    <s v="CREDITOR"/>
    <n v="0"/>
    <n v="0"/>
    <n v="0"/>
    <n v="0"/>
    <n v="0"/>
  </r>
  <r>
    <n v="59517102"/>
    <s v="N"/>
    <n v="21328648"/>
    <s v="3000013923950004RC"/>
    <s v="CIVIL"/>
    <d v="2023-06-26T00:00:00"/>
    <d v="2023-07-04T19:38:21"/>
    <m/>
    <d v="2023-07-04T00:00:00"/>
    <n v="879"/>
    <n v="17441"/>
    <s v="59517102"/>
    <s v="59517102"/>
    <m/>
    <m/>
    <m/>
    <m/>
    <m/>
    <m/>
    <s v="SOLRECOUP"/>
    <s v="SOLRECOUP"/>
    <s v="POARECOUP"/>
    <n v="21328648"/>
    <n v="-167"/>
    <m/>
    <s v="Y"/>
    <n v="1"/>
    <d v="2023-07-04T19:38:22"/>
    <s v="N"/>
    <m/>
    <m/>
    <s v="Non Expert Disbursement"/>
    <m/>
    <s v="N"/>
    <n v="-167"/>
    <n v="0"/>
    <x v="1"/>
    <s v="VALIDATED"/>
    <n v="1"/>
    <s v="01.11.80.307.2013.0000"/>
    <n v="-167"/>
    <s v="11"/>
    <s v="2013"/>
    <n v="8497.200000000001"/>
    <n v="-167"/>
    <s v="CREDITOR"/>
    <n v="0"/>
    <n v="0"/>
    <n v="-167"/>
    <n v="0"/>
    <n v="0"/>
  </r>
  <r>
    <n v="59517102"/>
    <s v="N"/>
    <n v="21328648"/>
    <s v="3000013923950004RC"/>
    <s v="CIVIL"/>
    <d v="2023-06-26T00:00:00"/>
    <d v="2023-07-04T19:38:21"/>
    <m/>
    <d v="2023-07-04T00:00:00"/>
    <n v="879"/>
    <n v="17441"/>
    <s v="59517102"/>
    <s v="59517102"/>
    <m/>
    <m/>
    <m/>
    <m/>
    <m/>
    <m/>
    <s v="SOLRECOUP"/>
    <s v="SOLRECOUP"/>
    <s v="POARECOUP"/>
    <n v="21328648"/>
    <n v="-167"/>
    <m/>
    <s v="Y"/>
    <n v="2"/>
    <d v="2023-07-04T19:38:22"/>
    <s v="N"/>
    <m/>
    <m/>
    <s v="Non Expert Disbursement"/>
    <m/>
    <s v="N"/>
    <n v="0"/>
    <n v="0"/>
    <x v="1"/>
    <s v="VALIDATED"/>
    <n v="1"/>
    <s v="01.11.80.000.0000.0000"/>
    <n v="0"/>
    <s v="11"/>
    <s v="0000"/>
    <n v="8497.200000000001"/>
    <n v="0"/>
    <s v="CREDITOR"/>
    <n v="0"/>
    <n v="0"/>
    <n v="0"/>
    <n v="0"/>
    <n v="0"/>
  </r>
  <r>
    <n v="59517102"/>
    <s v="N"/>
    <n v="21328649"/>
    <s v="3000013923950001RC"/>
    <s v="CIVIL"/>
    <d v="2023-06-26T00:00:00"/>
    <d v="2023-07-04T19:38:21"/>
    <m/>
    <d v="2023-07-04T00:00:00"/>
    <n v="879"/>
    <n v="17441"/>
    <s v="59517102"/>
    <s v="59517102"/>
    <m/>
    <m/>
    <m/>
    <m/>
    <m/>
    <m/>
    <s v="SOLRECOUP"/>
    <s v="SOLRECOUP"/>
    <s v="POARECOUP"/>
    <n v="21328649"/>
    <n v="-155"/>
    <m/>
    <s v="Y"/>
    <n v="1"/>
    <d v="2023-07-04T19:38:22"/>
    <s v="N"/>
    <m/>
    <m/>
    <s v="Non Expert Disbursement"/>
    <m/>
    <s v="N"/>
    <n v="-155"/>
    <n v="0"/>
    <x v="1"/>
    <s v="VALIDATED"/>
    <n v="1"/>
    <s v="01.11.80.307.2013.0000"/>
    <n v="-155"/>
    <s v="11"/>
    <s v="2013"/>
    <n v="8497.200000000001"/>
    <n v="-155"/>
    <s v="CREDITOR"/>
    <n v="0"/>
    <n v="0"/>
    <n v="-155"/>
    <n v="0"/>
    <n v="0"/>
  </r>
  <r>
    <n v="59517102"/>
    <s v="N"/>
    <n v="21328649"/>
    <s v="3000013923950001RC"/>
    <s v="CIVIL"/>
    <d v="2023-06-26T00:00:00"/>
    <d v="2023-07-04T19:38:21"/>
    <m/>
    <d v="2023-07-04T00:00:00"/>
    <n v="879"/>
    <n v="17441"/>
    <s v="59517102"/>
    <s v="59517102"/>
    <m/>
    <m/>
    <m/>
    <m/>
    <m/>
    <m/>
    <s v="SOLRECOUP"/>
    <s v="SOLRECOUP"/>
    <s v="POARECOUP"/>
    <n v="21328649"/>
    <n v="-155"/>
    <m/>
    <s v="Y"/>
    <n v="2"/>
    <d v="2023-07-04T19:38:22"/>
    <s v="N"/>
    <m/>
    <m/>
    <s v="Non Expert Disbursement"/>
    <m/>
    <s v="N"/>
    <n v="0"/>
    <n v="0"/>
    <x v="1"/>
    <s v="VALIDATED"/>
    <n v="1"/>
    <s v="01.11.80.000.0000.0000"/>
    <n v="0"/>
    <s v="11"/>
    <s v="0000"/>
    <n v="8497.200000000001"/>
    <n v="0"/>
    <s v="CREDITOR"/>
    <n v="0"/>
    <n v="0"/>
    <n v="0"/>
    <n v="0"/>
    <n v="0"/>
  </r>
  <r>
    <n v="59517102"/>
    <s v="N"/>
    <n v="21328650"/>
    <s v="3000013923950007RC"/>
    <s v="CIVIL"/>
    <d v="2023-06-26T00:00:00"/>
    <d v="2023-07-04T19:38:21"/>
    <m/>
    <d v="2023-07-04T00:00:00"/>
    <n v="879"/>
    <n v="17441"/>
    <s v="59517102"/>
    <s v="59517102"/>
    <m/>
    <m/>
    <m/>
    <m/>
    <m/>
    <m/>
    <s v="SOLRECOUP"/>
    <s v="SOLRECOUP"/>
    <s v="POARECOUP"/>
    <n v="21328650"/>
    <n v="-91.8"/>
    <m/>
    <s v="Y"/>
    <n v="1"/>
    <d v="2023-07-04T19:38:22"/>
    <s v="N"/>
    <m/>
    <m/>
    <s v="Non Expert Disbursement"/>
    <m/>
    <s v="N"/>
    <n v="-91.8"/>
    <n v="0"/>
    <x v="1"/>
    <s v="VALIDATED"/>
    <n v="1"/>
    <s v="01.11.80.307.2013.0000"/>
    <n v="-91.8"/>
    <s v="11"/>
    <s v="2013"/>
    <n v="8497.200000000001"/>
    <n v="-91.8"/>
    <s v="CREDITOR"/>
    <n v="0"/>
    <n v="0"/>
    <n v="-91.8"/>
    <n v="0"/>
    <n v="0"/>
  </r>
  <r>
    <n v="59517102"/>
    <s v="N"/>
    <n v="21328650"/>
    <s v="3000013923950007RC"/>
    <s v="CIVIL"/>
    <d v="2023-06-26T00:00:00"/>
    <d v="2023-07-04T19:38:21"/>
    <m/>
    <d v="2023-07-04T00:00:00"/>
    <n v="879"/>
    <n v="17441"/>
    <s v="59517102"/>
    <s v="59517102"/>
    <m/>
    <m/>
    <m/>
    <m/>
    <m/>
    <m/>
    <s v="SOLRECOUP"/>
    <s v="SOLRECOUP"/>
    <s v="POARECOUP"/>
    <n v="21328650"/>
    <n v="-91.8"/>
    <m/>
    <s v="Y"/>
    <n v="2"/>
    <d v="2023-07-04T19:38:22"/>
    <s v="N"/>
    <m/>
    <m/>
    <s v="Non Expert Disbursement"/>
    <m/>
    <s v="N"/>
    <n v="0"/>
    <n v="0"/>
    <x v="1"/>
    <s v="VALIDATED"/>
    <n v="1"/>
    <s v="01.11.80.000.0000.0000"/>
    <n v="0"/>
    <s v="11"/>
    <s v="0000"/>
    <n v="8497.200000000001"/>
    <n v="0"/>
    <s v="CREDITOR"/>
    <n v="0"/>
    <n v="0"/>
    <n v="0"/>
    <n v="0"/>
    <n v="0"/>
  </r>
  <r>
    <n v="59517102"/>
    <s v="N"/>
    <n v="21328651"/>
    <s v="3000013923950003RC"/>
    <s v="CIVIL"/>
    <d v="2023-06-26T00:00:00"/>
    <d v="2023-07-04T19:38:21"/>
    <m/>
    <d v="2023-07-04T00:00:00"/>
    <n v="879"/>
    <n v="17441"/>
    <s v="59517102"/>
    <s v="59517102"/>
    <m/>
    <m/>
    <m/>
    <m/>
    <m/>
    <m/>
    <s v="SOLRECOUP"/>
    <s v="SOLRECOUP"/>
    <s v="POARECOUP"/>
    <n v="21328651"/>
    <n v="-167"/>
    <m/>
    <s v="Y"/>
    <n v="1"/>
    <d v="2023-07-04T19:38:22"/>
    <s v="N"/>
    <m/>
    <m/>
    <s v="Non Expert Disbursement"/>
    <m/>
    <s v="N"/>
    <n v="-167"/>
    <n v="0"/>
    <x v="1"/>
    <s v="VALIDATED"/>
    <n v="1"/>
    <s v="01.11.80.307.2013.0000"/>
    <n v="-167"/>
    <s v="11"/>
    <s v="2013"/>
    <n v="8497.200000000001"/>
    <n v="-167"/>
    <s v="CREDITOR"/>
    <n v="0"/>
    <n v="0"/>
    <n v="-167"/>
    <n v="0"/>
    <n v="0"/>
  </r>
  <r>
    <n v="59517102"/>
    <s v="N"/>
    <n v="21328651"/>
    <s v="3000013923950003RC"/>
    <s v="CIVIL"/>
    <d v="2023-06-26T00:00:00"/>
    <d v="2023-07-04T19:38:21"/>
    <m/>
    <d v="2023-07-04T00:00:00"/>
    <n v="879"/>
    <n v="17441"/>
    <s v="59517102"/>
    <s v="59517102"/>
    <m/>
    <m/>
    <m/>
    <m/>
    <m/>
    <m/>
    <s v="SOLRECOUP"/>
    <s v="SOLRECOUP"/>
    <s v="POARECOUP"/>
    <n v="21328651"/>
    <n v="-167"/>
    <m/>
    <s v="Y"/>
    <n v="2"/>
    <d v="2023-07-04T19:38:22"/>
    <s v="N"/>
    <m/>
    <m/>
    <s v="Non Expert Disbursement"/>
    <m/>
    <s v="N"/>
    <n v="0"/>
    <n v="0"/>
    <x v="1"/>
    <s v="VALIDATED"/>
    <n v="1"/>
    <s v="01.11.80.000.0000.0000"/>
    <n v="0"/>
    <s v="11"/>
    <s v="0000"/>
    <n v="8497.200000000001"/>
    <n v="0"/>
    <s v="CREDITOR"/>
    <n v="0"/>
    <n v="0"/>
    <n v="0"/>
    <n v="0"/>
    <n v="0"/>
  </r>
  <r>
    <n v="59517102"/>
    <s v="N"/>
    <n v="21328652"/>
    <s v="3000013923950008RC"/>
    <s v="CIVIL"/>
    <d v="2023-06-26T00:00:00"/>
    <d v="2023-07-04T19:38:21"/>
    <m/>
    <d v="2023-07-04T00:00:00"/>
    <n v="879"/>
    <n v="17441"/>
    <s v="59517102"/>
    <s v="59517102"/>
    <m/>
    <m/>
    <m/>
    <m/>
    <m/>
    <m/>
    <s v="SOLRECOUP"/>
    <s v="SOLRECOUP"/>
    <s v="POARECOUP"/>
    <n v="21328652"/>
    <n v="-1359.36"/>
    <m/>
    <s v="Y"/>
    <n v="1"/>
    <d v="2023-07-04T19:38:22"/>
    <s v="N"/>
    <m/>
    <m/>
    <s v="Profit Cost"/>
    <m/>
    <s v="N"/>
    <n v="-1132.8"/>
    <n v="0"/>
    <x v="1"/>
    <s v="VALIDATED"/>
    <n v="1"/>
    <s v="01.11.80.307.2013.0000"/>
    <n v="-1132.8"/>
    <s v="11"/>
    <s v="2013"/>
    <n v="8497.200000000001"/>
    <n v="-1132.8"/>
    <s v="CREDITOR"/>
    <n v="0"/>
    <n v="0"/>
    <n v="-1132.8"/>
    <n v="-283.2"/>
    <n v="0"/>
  </r>
  <r>
    <n v="59517102"/>
    <s v="N"/>
    <n v="21328652"/>
    <s v="3000013923950008RC"/>
    <s v="CIVIL"/>
    <d v="2023-06-26T00:00:00"/>
    <d v="2023-07-04T19:38:21"/>
    <m/>
    <d v="2023-07-04T00:00:00"/>
    <n v="879"/>
    <n v="17441"/>
    <s v="59517102"/>
    <s v="59517102"/>
    <m/>
    <m/>
    <m/>
    <m/>
    <m/>
    <m/>
    <s v="SOLRECOUP"/>
    <s v="SOLRECOUP"/>
    <s v="POARECOUP"/>
    <n v="21328652"/>
    <n v="-1359.36"/>
    <m/>
    <s v="Y"/>
    <n v="2"/>
    <d v="2023-07-04T19:38:22"/>
    <s v="N"/>
    <m/>
    <m/>
    <s v="Profit Cost"/>
    <m/>
    <s v="N"/>
    <n v="0"/>
    <n v="-226.56"/>
    <x v="1"/>
    <s v="VALIDATED"/>
    <n v="1"/>
    <s v="01.11.80.307.2013.0000"/>
    <n v="-226.56"/>
    <s v="11"/>
    <s v="2013"/>
    <n v="8497.200000000001"/>
    <n v="-226.56"/>
    <s v="CREDITOR"/>
    <n v="0"/>
    <n v="0"/>
    <n v="-226.56"/>
    <n v="-56.64"/>
    <n v="0"/>
  </r>
  <r>
    <n v="59517102"/>
    <s v="N"/>
    <n v="21328653"/>
    <s v="3000013923950009RC"/>
    <s v="CIVIL"/>
    <d v="2023-06-26T00:00:00"/>
    <d v="2023-07-04T19:38:21"/>
    <m/>
    <d v="2023-07-04T00:00:00"/>
    <n v="879"/>
    <n v="17441"/>
    <s v="59517102"/>
    <s v="59517102"/>
    <m/>
    <m/>
    <m/>
    <m/>
    <m/>
    <m/>
    <s v="SOLRECOUP"/>
    <s v="SOLRECOUP"/>
    <s v="POARECOUP"/>
    <n v="21328653"/>
    <n v="-1627.7"/>
    <m/>
    <s v="Y"/>
    <n v="1"/>
    <d v="2023-07-04T19:38:22"/>
    <s v="N"/>
    <m/>
    <m/>
    <s v="Expert Disbursement"/>
    <m/>
    <s v="N"/>
    <n v="-1627.7"/>
    <n v="0"/>
    <x v="1"/>
    <s v="VALIDATED"/>
    <n v="1"/>
    <s v="01.11.80.307.2013.0000"/>
    <n v="-1627.7"/>
    <s v="11"/>
    <s v="2013"/>
    <n v="8497.200000000001"/>
    <n v="-1627.7"/>
    <s v="CREDITOR"/>
    <n v="0"/>
    <n v="0"/>
    <n v="-1627.7"/>
    <n v="0"/>
    <n v="0"/>
  </r>
  <r>
    <n v="59517102"/>
    <s v="N"/>
    <n v="21328653"/>
    <s v="3000013923950009RC"/>
    <s v="CIVIL"/>
    <d v="2023-06-26T00:00:00"/>
    <d v="2023-07-04T19:38:21"/>
    <m/>
    <d v="2023-07-04T00:00:00"/>
    <n v="879"/>
    <n v="17441"/>
    <s v="59517102"/>
    <s v="59517102"/>
    <m/>
    <m/>
    <m/>
    <m/>
    <m/>
    <m/>
    <s v="SOLRECOUP"/>
    <s v="SOLRECOUP"/>
    <s v="POARECOUP"/>
    <n v="21328653"/>
    <n v="-1627.7"/>
    <m/>
    <s v="Y"/>
    <n v="2"/>
    <d v="2023-07-04T19:38:22"/>
    <s v="N"/>
    <m/>
    <m/>
    <s v="Expert Disbursement"/>
    <m/>
    <s v="N"/>
    <n v="0"/>
    <n v="0"/>
    <x v="1"/>
    <s v="VALIDATED"/>
    <n v="1"/>
    <s v="01.11.80.000.0000.0000"/>
    <n v="0"/>
    <s v="11"/>
    <s v="0000"/>
    <n v="8497.200000000001"/>
    <n v="0"/>
    <s v="CREDITOR"/>
    <n v="0"/>
    <n v="0"/>
    <n v="0"/>
    <n v="0"/>
    <n v="0"/>
  </r>
  <r>
    <n v="59517102"/>
    <s v="N"/>
    <n v="21328654"/>
    <s v="3000013923950010RC"/>
    <s v="CIVIL"/>
    <d v="2023-06-26T00:00:00"/>
    <d v="2023-07-04T19:38:21"/>
    <m/>
    <d v="2023-07-04T00:00:00"/>
    <n v="879"/>
    <n v="17441"/>
    <s v="59517102"/>
    <s v="59517102"/>
    <m/>
    <m/>
    <m/>
    <m/>
    <m/>
    <m/>
    <s v="SOLRECOUP"/>
    <s v="SOLRECOUP"/>
    <s v="POARECOUP"/>
    <n v="21328654"/>
    <n v="-92"/>
    <m/>
    <s v="Y"/>
    <n v="1"/>
    <d v="2023-07-04T19:38:22"/>
    <s v="N"/>
    <m/>
    <m/>
    <s v="Non Expert Disbursement"/>
    <m/>
    <s v="N"/>
    <n v="-92"/>
    <n v="0"/>
    <x v="1"/>
    <s v="VALIDATED"/>
    <n v="1"/>
    <s v="01.11.80.307.2013.0000"/>
    <n v="-92"/>
    <s v="11"/>
    <s v="2013"/>
    <n v="8497.200000000001"/>
    <n v="-92"/>
    <s v="CREDITOR"/>
    <n v="0"/>
    <n v="0"/>
    <n v="-92"/>
    <n v="0"/>
    <n v="0"/>
  </r>
  <r>
    <n v="59517102"/>
    <s v="N"/>
    <n v="21328654"/>
    <s v="3000013923950010RC"/>
    <s v="CIVIL"/>
    <d v="2023-06-26T00:00:00"/>
    <d v="2023-07-04T19:38:21"/>
    <m/>
    <d v="2023-07-04T00:00:00"/>
    <n v="879"/>
    <n v="17441"/>
    <s v="59517102"/>
    <s v="59517102"/>
    <m/>
    <m/>
    <m/>
    <m/>
    <m/>
    <m/>
    <s v="SOLRECOUP"/>
    <s v="SOLRECOUP"/>
    <s v="POARECOUP"/>
    <n v="21328654"/>
    <n v="-92"/>
    <m/>
    <s v="Y"/>
    <n v="2"/>
    <d v="2023-07-04T19:38:22"/>
    <s v="N"/>
    <m/>
    <m/>
    <s v="Non Expert Disbursement"/>
    <m/>
    <s v="N"/>
    <n v="0"/>
    <n v="0"/>
    <x v="1"/>
    <s v="VALIDATED"/>
    <n v="1"/>
    <s v="01.11.80.000.0000.0000"/>
    <n v="0"/>
    <s v="11"/>
    <s v="0000"/>
    <n v="8497.200000000001"/>
    <n v="0"/>
    <s v="CREDITOR"/>
    <n v="0"/>
    <n v="0"/>
    <n v="0"/>
    <n v="0"/>
    <n v="0"/>
  </r>
  <r>
    <n v="59517102"/>
    <s v="N"/>
    <n v="21328655"/>
    <s v="3000013923950002RC"/>
    <s v="CIVIL"/>
    <d v="2023-06-26T00:00:00"/>
    <d v="2023-07-04T19:38:21"/>
    <m/>
    <d v="2023-07-04T00:00:00"/>
    <n v="879"/>
    <n v="17441"/>
    <s v="59517102"/>
    <s v="59517102"/>
    <m/>
    <m/>
    <m/>
    <m/>
    <m/>
    <m/>
    <s v="SOLRECOUP"/>
    <s v="SOLRECOUP"/>
    <s v="POARECOUP"/>
    <n v="21328655"/>
    <n v="-2646.72"/>
    <m/>
    <s v="Y"/>
    <n v="1"/>
    <d v="2023-07-04T19:38:22"/>
    <s v="N"/>
    <m/>
    <m/>
    <s v="Profit Cost"/>
    <m/>
    <s v="N"/>
    <n v="-2205.6"/>
    <n v="0"/>
    <x v="1"/>
    <s v="VALIDATED"/>
    <n v="1"/>
    <s v="01.11.80.307.2013.0000"/>
    <n v="-2205.6"/>
    <s v="11"/>
    <s v="2013"/>
    <n v="8497.200000000001"/>
    <n v="-2205.6"/>
    <s v="CREDITOR"/>
    <n v="0"/>
    <n v="0"/>
    <n v="-2205.6"/>
    <n v="-551.4"/>
    <n v="0"/>
  </r>
  <r>
    <n v="60899405"/>
    <s v="N"/>
    <n v="21395413"/>
    <s v="3000015119790003"/>
    <s v="CIVIL"/>
    <d v="2023-06-29T00:00:00"/>
    <d v="2023-07-19T19:02:01"/>
    <m/>
    <d v="2023-07-19T00:00:00"/>
    <n v="879"/>
    <n v="17441"/>
    <s v="60899405"/>
    <s v="60899405"/>
    <m/>
    <m/>
    <n v="22790582"/>
    <m/>
    <m/>
    <m/>
    <s v="SOLFIN"/>
    <s v="SOLFIN"/>
    <s v="CCMS"/>
    <n v="21395413"/>
    <n v="2746.54"/>
    <m/>
    <s v="N"/>
    <n v="45"/>
    <d v="2023-07-19T19:02:26"/>
    <s v="Y"/>
    <s v="Routine Telephone Call"/>
    <s v="Prescribed Hourly Rates"/>
    <s v="Profit Cost"/>
    <s v="GR"/>
    <s v="Y"/>
    <n v="48.6"/>
    <n v="9.720000000000001"/>
    <x v="5"/>
    <s v="VALIDATED"/>
    <n v="1"/>
    <s v="01.11.80.307.6100.0000"/>
    <n v="48.6"/>
    <s v="11"/>
    <s v="6100"/>
    <n v="8497.200000000001"/>
    <n v="48.6"/>
    <s v="CREDITOR"/>
    <n v="0"/>
    <n v="0"/>
    <n v="0"/>
    <n v="0"/>
    <n v="48.6"/>
  </r>
  <r>
    <n v="60899405"/>
    <s v="N"/>
    <n v="21395413"/>
    <s v="3000015119790003"/>
    <s v="CIVIL"/>
    <d v="2023-06-29T00:00:00"/>
    <d v="2023-07-19T19:02:01"/>
    <m/>
    <d v="2023-07-19T00:00:00"/>
    <n v="879"/>
    <n v="17441"/>
    <s v="60899405"/>
    <s v="60899405"/>
    <m/>
    <m/>
    <n v="22790582"/>
    <m/>
    <m/>
    <m/>
    <s v="SOLFIN"/>
    <s v="SOLFIN"/>
    <s v="CCMS"/>
    <n v="21395413"/>
    <n v="2746.54"/>
    <m/>
    <s v="N"/>
    <n v="18"/>
    <d v="2023-07-19T19:02:26"/>
    <s v="Y"/>
    <s v="Preparation - drafting statement"/>
    <s v="Prescribed Hourly Rates"/>
    <s v="Profit Cost"/>
    <s v="GR"/>
    <s v="Y"/>
    <n v="5.49"/>
    <n v="1.1"/>
    <x v="5"/>
    <s v="VALIDATED"/>
    <n v="1"/>
    <s v="01.11.80.307.6100.0000"/>
    <n v="5.49"/>
    <s v="11"/>
    <s v="6100"/>
    <n v="8497.200000000001"/>
    <n v="5.49"/>
    <s v="CREDITOR"/>
    <n v="0"/>
    <n v="0"/>
    <n v="0"/>
    <n v="0"/>
    <n v="5.49"/>
  </r>
  <r>
    <n v="60899405"/>
    <s v="N"/>
    <n v="21395413"/>
    <s v="3000015119790003"/>
    <s v="CIVIL"/>
    <d v="2023-06-29T00:00:00"/>
    <d v="2023-07-19T19:02:01"/>
    <m/>
    <d v="2023-07-19T00:00:00"/>
    <n v="879"/>
    <n v="17441"/>
    <s v="60899405"/>
    <s v="60899405"/>
    <m/>
    <m/>
    <n v="22790582"/>
    <m/>
    <m/>
    <m/>
    <s v="SOLFIN"/>
    <s v="SOLFIN"/>
    <s v="CCMS"/>
    <n v="21395413"/>
    <n v="2746.54"/>
    <m/>
    <s v="N"/>
    <n v="26"/>
    <d v="2023-07-19T19:02:26"/>
    <s v="Y"/>
    <s v="Attendance upon client"/>
    <s v="Prescribed Hourly Rates"/>
    <s v="Profit Cost"/>
    <s v="LW"/>
    <s v="Y"/>
    <n v="21.96"/>
    <n v="4.39"/>
    <x v="5"/>
    <s v="VALIDATED"/>
    <n v="1"/>
    <s v="01.11.80.307.6100.0000"/>
    <n v="21.96"/>
    <s v="11"/>
    <s v="6100"/>
    <n v="8497.200000000001"/>
    <n v="21.96"/>
    <s v="CREDITOR"/>
    <n v="0"/>
    <n v="0"/>
    <n v="0"/>
    <n v="0"/>
    <n v="21.96"/>
  </r>
  <r>
    <n v="40172407"/>
    <s v="N"/>
    <n v="21356485"/>
    <s v="3000010751610001RC"/>
    <s v="CIVIL"/>
    <d v="2023-06-30T00:00:00"/>
    <d v="2023-07-10T19:47:44"/>
    <m/>
    <d v="2023-07-10T00:00:00"/>
    <n v="879"/>
    <n v="17441"/>
    <s v="40172407"/>
    <s v="40172407"/>
    <m/>
    <m/>
    <m/>
    <m/>
    <m/>
    <m/>
    <s v="SOLRECOUP"/>
    <s v="SOLRECOUP"/>
    <s v="POARECOUP"/>
    <n v="21356485"/>
    <n v="-608.4"/>
    <m/>
    <s v="Y"/>
    <n v="1"/>
    <d v="2023-07-10T19:47:45"/>
    <s v="N"/>
    <m/>
    <m/>
    <s v="Non Expert Disbursement"/>
    <m/>
    <s v="N"/>
    <n v="-608.4"/>
    <n v="0"/>
    <x v="2"/>
    <s v="VALIDATED"/>
    <n v="1"/>
    <s v="01.11.80.307.2013.0000"/>
    <n v="-608.4"/>
    <s v="11"/>
    <s v="2013"/>
    <n v="8497.200000000001"/>
    <n v="-608.4"/>
    <s v="CREDITOR"/>
    <n v="0"/>
    <n v="0"/>
    <n v="-608.4"/>
    <n v="0"/>
    <n v="0"/>
  </r>
  <r>
    <n v="40172407"/>
    <s v="N"/>
    <n v="21356485"/>
    <s v="3000010751610001RC"/>
    <s v="CIVIL"/>
    <d v="2023-06-30T00:00:00"/>
    <d v="2023-07-10T19:47:44"/>
    <m/>
    <d v="2023-07-10T00:00:00"/>
    <n v="879"/>
    <n v="17441"/>
    <s v="40172407"/>
    <s v="40172407"/>
    <m/>
    <m/>
    <m/>
    <m/>
    <m/>
    <m/>
    <s v="SOLRECOUP"/>
    <s v="SOLRECOUP"/>
    <s v="POARECOUP"/>
    <n v="21356485"/>
    <n v="-608.4"/>
    <m/>
    <s v="Y"/>
    <n v="2"/>
    <d v="2023-07-10T19:47:45"/>
    <s v="N"/>
    <m/>
    <m/>
    <s v="Non Expert Disbursement"/>
    <m/>
    <s v="N"/>
    <n v="0"/>
    <n v="0"/>
    <x v="2"/>
    <s v="VALIDATED"/>
    <n v="1"/>
    <s v="01.11.80.000.0000.0000"/>
    <n v="0"/>
    <s v="11"/>
    <s v="0000"/>
    <n v="8497.200000000001"/>
    <n v="0"/>
    <s v="CREDITOR"/>
    <n v="0"/>
    <n v="0"/>
    <n v="0"/>
    <n v="0"/>
    <n v="0"/>
  </r>
  <r>
    <n v="10501628"/>
    <s v="N"/>
    <n v="21333811"/>
    <s v="3000006348010013RC"/>
    <s v="CIVIL"/>
    <d v="2023-06-22T00:00:00"/>
    <d v="2023-07-05T19:42:28"/>
    <m/>
    <d v="2023-07-05T00:00:00"/>
    <n v="879"/>
    <n v="17441"/>
    <s v="10501628"/>
    <s v="10501628"/>
    <m/>
    <m/>
    <m/>
    <m/>
    <m/>
    <m/>
    <s v="SOLRECOUP"/>
    <s v="SOLRECOUP"/>
    <s v="POARECOUP"/>
    <n v="21333811"/>
    <n v="-155"/>
    <m/>
    <s v="Y"/>
    <n v="2"/>
    <d v="2023-07-05T19:42:29"/>
    <s v="N"/>
    <m/>
    <m/>
    <s v="Non Expert Disbursement"/>
    <m/>
    <s v="N"/>
    <n v="0"/>
    <n v="0"/>
    <x v="6"/>
    <s v="VALIDATED"/>
    <n v="1"/>
    <s v="01.11.80.000.0000.0000"/>
    <n v="0"/>
    <s v="11"/>
    <s v="0000"/>
    <n v="8497.200000000001"/>
    <n v="0"/>
    <s v="CREDITOR"/>
    <n v="0"/>
    <n v="0"/>
    <n v="0"/>
    <n v="0"/>
    <n v="0"/>
  </r>
  <r>
    <n v="10501628"/>
    <s v="N"/>
    <n v="21333812"/>
    <s v="3000006348010016RC"/>
    <s v="CIVIL"/>
    <d v="2023-06-22T00:00:00"/>
    <d v="2023-07-05T19:42:28"/>
    <m/>
    <d v="2023-07-05T00:00:00"/>
    <n v="879"/>
    <n v="17441"/>
    <s v="10501628"/>
    <s v="10501628"/>
    <m/>
    <m/>
    <m/>
    <m/>
    <m/>
    <m/>
    <s v="SOLRECOUP"/>
    <s v="SOLRECOUP"/>
    <s v="POARECOUP"/>
    <n v="21333812"/>
    <n v="-50"/>
    <m/>
    <s v="Y"/>
    <n v="1"/>
    <d v="2023-07-05T19:42:29"/>
    <s v="N"/>
    <m/>
    <m/>
    <s v="Non Expert Disbursement"/>
    <m/>
    <s v="N"/>
    <n v="-50"/>
    <n v="0"/>
    <x v="6"/>
    <s v="VALIDATED"/>
    <n v="1"/>
    <s v="01.11.80.308.2013.0000"/>
    <n v="-50"/>
    <s v="11"/>
    <s v="2013"/>
    <n v="8497.200000000001"/>
    <n v="-50"/>
    <s v="CREDITOR"/>
    <n v="0"/>
    <n v="0"/>
    <n v="-50"/>
    <n v="0"/>
    <n v="0"/>
  </r>
  <r>
    <n v="10501628"/>
    <s v="N"/>
    <n v="21333812"/>
    <s v="3000006348010016RC"/>
    <s v="CIVIL"/>
    <d v="2023-06-22T00:00:00"/>
    <d v="2023-07-05T19:42:28"/>
    <m/>
    <d v="2023-07-05T00:00:00"/>
    <n v="879"/>
    <n v="17441"/>
    <s v="10501628"/>
    <s v="10501628"/>
    <m/>
    <m/>
    <m/>
    <m/>
    <m/>
    <m/>
    <s v="SOLRECOUP"/>
    <s v="SOLRECOUP"/>
    <s v="POARECOUP"/>
    <n v="21333812"/>
    <n v="-50"/>
    <m/>
    <s v="Y"/>
    <n v="2"/>
    <d v="2023-07-05T19:42:29"/>
    <s v="N"/>
    <m/>
    <m/>
    <s v="Non Expert Disbursement"/>
    <m/>
    <s v="N"/>
    <n v="0"/>
    <n v="0"/>
    <x v="6"/>
    <s v="VALIDATED"/>
    <n v="1"/>
    <s v="01.11.80.000.0000.0000"/>
    <n v="0"/>
    <s v="11"/>
    <s v="0000"/>
    <n v="8497.200000000001"/>
    <n v="0"/>
    <s v="CREDITOR"/>
    <n v="0"/>
    <n v="0"/>
    <n v="0"/>
    <n v="0"/>
    <n v="0"/>
  </r>
  <r>
    <n v="10501628"/>
    <s v="N"/>
    <n v="21333813"/>
    <s v="3000006348010015RC"/>
    <s v="CIVIL"/>
    <d v="2023-06-22T00:00:00"/>
    <d v="2023-07-05T19:42:28"/>
    <m/>
    <d v="2023-07-05T00:00:00"/>
    <n v="879"/>
    <n v="17441"/>
    <s v="10501628"/>
    <s v="10501628"/>
    <m/>
    <m/>
    <m/>
    <m/>
    <m/>
    <m/>
    <s v="SOLRECOUP"/>
    <s v="SOLRECOUP"/>
    <s v="POARECOUP"/>
    <n v="21333813"/>
    <n v="-1460.4"/>
    <m/>
    <s v="Y"/>
    <n v="1"/>
    <d v="2023-07-05T19:42:29"/>
    <s v="N"/>
    <m/>
    <m/>
    <s v="Profit Cost"/>
    <m/>
    <s v="N"/>
    <n v="-1217"/>
    <n v="0"/>
    <x v="6"/>
    <s v="VALIDATED"/>
    <n v="1"/>
    <s v="01.11.80.308.2013.0000"/>
    <n v="-1217"/>
    <s v="11"/>
    <s v="2013"/>
    <n v="8497.200000000001"/>
    <n v="-1217"/>
    <s v="CREDITOR"/>
    <n v="0"/>
    <n v="0"/>
    <n v="-1217"/>
    <n v="-304.25"/>
    <n v="0"/>
  </r>
  <r>
    <n v="10501628"/>
    <s v="N"/>
    <n v="21333813"/>
    <s v="3000006348010015RC"/>
    <s v="CIVIL"/>
    <d v="2023-06-22T00:00:00"/>
    <d v="2023-07-05T19:42:28"/>
    <m/>
    <d v="2023-07-05T00:00:00"/>
    <n v="879"/>
    <n v="17441"/>
    <s v="10501628"/>
    <s v="10501628"/>
    <m/>
    <m/>
    <m/>
    <m/>
    <m/>
    <m/>
    <s v="SOLRECOUP"/>
    <s v="SOLRECOUP"/>
    <s v="POARECOUP"/>
    <n v="21333813"/>
    <n v="-1460.4"/>
    <m/>
    <s v="Y"/>
    <n v="2"/>
    <d v="2023-07-05T19:42:29"/>
    <s v="N"/>
    <m/>
    <m/>
    <s v="Profit Cost"/>
    <m/>
    <s v="N"/>
    <n v="0"/>
    <n v="-243.4"/>
    <x v="6"/>
    <s v="VALIDATED"/>
    <n v="1"/>
    <s v="01.11.80.308.2013.0000"/>
    <n v="-243.4"/>
    <s v="11"/>
    <s v="2013"/>
    <n v="8497.200000000001"/>
    <n v="-243.4"/>
    <s v="CREDITOR"/>
    <n v="0"/>
    <n v="0"/>
    <n v="-243.4"/>
    <n v="-60.85"/>
    <n v="0"/>
  </r>
  <r>
    <n v="10501628"/>
    <s v="N"/>
    <n v="21333814"/>
    <s v="3000006348010019RC"/>
    <s v="CIVIL"/>
    <d v="2023-06-22T00:00:00"/>
    <d v="2023-07-05T19:42:28"/>
    <m/>
    <d v="2023-07-05T00:00:00"/>
    <n v="879"/>
    <n v="17441"/>
    <s v="10501628"/>
    <s v="10501628"/>
    <m/>
    <m/>
    <m/>
    <m/>
    <m/>
    <m/>
    <s v="SOLRECOUP"/>
    <s v="SOLRECOUP"/>
    <s v="POARECOUP"/>
    <n v="21333814"/>
    <n v="-522.4"/>
    <m/>
    <s v="Y"/>
    <n v="1"/>
    <d v="2023-07-05T19:42:29"/>
    <s v="N"/>
    <m/>
    <m/>
    <s v="Expert Disbursement"/>
    <m/>
    <s v="N"/>
    <n v="-522.4"/>
    <n v="0"/>
    <x v="6"/>
    <s v="VALIDATED"/>
    <n v="1"/>
    <s v="01.11.80.308.2013.0000"/>
    <n v="-522.4"/>
    <s v="11"/>
    <s v="2013"/>
    <n v="8497.200000000001"/>
    <n v="-522.4"/>
    <s v="CREDITOR"/>
    <n v="0"/>
    <n v="0"/>
    <n v="-522.4"/>
    <n v="0"/>
    <n v="0"/>
  </r>
  <r>
    <n v="10501628"/>
    <s v="N"/>
    <n v="21333814"/>
    <s v="3000006348010019RC"/>
    <s v="CIVIL"/>
    <d v="2023-06-22T00:00:00"/>
    <d v="2023-07-05T19:42:28"/>
    <m/>
    <d v="2023-07-05T00:00:00"/>
    <n v="879"/>
    <n v="17441"/>
    <s v="10501628"/>
    <s v="10501628"/>
    <m/>
    <m/>
    <m/>
    <m/>
    <m/>
    <m/>
    <s v="SOLRECOUP"/>
    <s v="SOLRECOUP"/>
    <s v="POARECOUP"/>
    <n v="21333814"/>
    <n v="-522.4"/>
    <m/>
    <s v="Y"/>
    <n v="2"/>
    <d v="2023-07-05T19:42:29"/>
    <s v="N"/>
    <m/>
    <m/>
    <s v="Expert Disbursement"/>
    <m/>
    <s v="N"/>
    <n v="0"/>
    <n v="0"/>
    <x v="6"/>
    <s v="VALIDATED"/>
    <n v="1"/>
    <s v="01.11.80.000.0000.0000"/>
    <n v="0"/>
    <s v="11"/>
    <s v="0000"/>
    <n v="8497.200000000001"/>
    <n v="0"/>
    <s v="CREDITOR"/>
    <n v="0"/>
    <n v="0"/>
    <n v="0"/>
    <n v="0"/>
    <n v="0"/>
  </r>
  <r>
    <n v="10501628"/>
    <s v="N"/>
    <n v="21333815"/>
    <s v="3000006348010022RC"/>
    <s v="CIVIL"/>
    <d v="2023-06-22T00:00:00"/>
    <d v="2023-07-05T19:42:28"/>
    <m/>
    <d v="2023-07-05T00:00:00"/>
    <n v="879"/>
    <n v="17441"/>
    <s v="10501628"/>
    <s v="10501628"/>
    <m/>
    <m/>
    <m/>
    <m/>
    <m/>
    <m/>
    <s v="SOLRECOUP"/>
    <s v="SOLRECOUP"/>
    <s v="POARECOUP"/>
    <n v="21333815"/>
    <n v="-15.21"/>
    <m/>
    <s v="Y"/>
    <n v="1"/>
    <d v="2023-07-05T19:42:29"/>
    <s v="N"/>
    <m/>
    <m/>
    <s v="Non Expert Disbursement"/>
    <m/>
    <s v="N"/>
    <n v="-15.21"/>
    <n v="0"/>
    <x v="6"/>
    <s v="VALIDATED"/>
    <n v="1"/>
    <s v="01.11.80.308.2013.0000"/>
    <n v="-15.21"/>
    <s v="11"/>
    <s v="2013"/>
    <n v="8497.200000000001"/>
    <n v="-15.21"/>
    <s v="CREDITOR"/>
    <n v="0"/>
    <n v="0"/>
    <n v="-15.21"/>
    <n v="0"/>
    <n v="0"/>
  </r>
  <r>
    <n v="10501628"/>
    <s v="N"/>
    <n v="21333815"/>
    <s v="3000006348010022RC"/>
    <s v="CIVIL"/>
    <d v="2023-06-22T00:00:00"/>
    <d v="2023-07-05T19:42:28"/>
    <m/>
    <d v="2023-07-05T00:00:00"/>
    <n v="879"/>
    <n v="17441"/>
    <s v="10501628"/>
    <s v="10501628"/>
    <m/>
    <m/>
    <m/>
    <m/>
    <m/>
    <m/>
    <s v="SOLRECOUP"/>
    <s v="SOLRECOUP"/>
    <s v="POARECOUP"/>
    <n v="21333815"/>
    <n v="-15.21"/>
    <m/>
    <s v="Y"/>
    <n v="2"/>
    <d v="2023-07-05T19:42:29"/>
    <s v="N"/>
    <m/>
    <m/>
    <s v="Non Expert Disbursement"/>
    <m/>
    <s v="N"/>
    <n v="0"/>
    <n v="0"/>
    <x v="6"/>
    <s v="VALIDATED"/>
    <n v="1"/>
    <s v="01.11.80.000.0000.0000"/>
    <n v="0"/>
    <s v="11"/>
    <s v="0000"/>
    <n v="8497.200000000001"/>
    <n v="0"/>
    <s v="CREDITOR"/>
    <n v="0"/>
    <n v="0"/>
    <n v="0"/>
    <n v="0"/>
    <n v="0"/>
  </r>
  <r>
    <n v="10501628"/>
    <s v="N"/>
    <n v="21333816"/>
    <s v="3000006348010017RC"/>
    <s v="CIVIL"/>
    <d v="2023-06-22T00:00:00"/>
    <d v="2023-07-05T19:42:28"/>
    <m/>
    <d v="2023-07-05T00:00:00"/>
    <n v="879"/>
    <n v="17441"/>
    <s v="10501628"/>
    <s v="10501628"/>
    <m/>
    <m/>
    <m/>
    <m/>
    <m/>
    <m/>
    <s v="SOLRECOUP"/>
    <s v="SOLRECOUP"/>
    <s v="POARECOUP"/>
    <n v="21333816"/>
    <n v="-50"/>
    <m/>
    <s v="Y"/>
    <n v="1"/>
    <d v="2023-07-05T19:42:29"/>
    <s v="N"/>
    <m/>
    <m/>
    <s v="Non Expert Disbursement"/>
    <m/>
    <s v="N"/>
    <n v="-50"/>
    <n v="0"/>
    <x v="6"/>
    <s v="VALIDATED"/>
    <n v="1"/>
    <s v="01.11.80.308.2013.0000"/>
    <n v="-50"/>
    <s v="11"/>
    <s v="2013"/>
    <n v="8497.200000000001"/>
    <n v="-50"/>
    <s v="CREDITOR"/>
    <n v="0"/>
    <n v="0"/>
    <n v="-50"/>
    <n v="0"/>
    <n v="0"/>
  </r>
  <r>
    <n v="10501628"/>
    <s v="N"/>
    <n v="21333816"/>
    <s v="3000006348010017RC"/>
    <s v="CIVIL"/>
    <d v="2023-06-22T00:00:00"/>
    <d v="2023-07-05T19:42:28"/>
    <m/>
    <d v="2023-07-05T00:00:00"/>
    <n v="879"/>
    <n v="17441"/>
    <s v="10501628"/>
    <s v="10501628"/>
    <m/>
    <m/>
    <m/>
    <m/>
    <m/>
    <m/>
    <s v="SOLRECOUP"/>
    <s v="SOLRECOUP"/>
    <s v="POARECOUP"/>
    <n v="21333816"/>
    <n v="-50"/>
    <m/>
    <s v="Y"/>
    <n v="2"/>
    <d v="2023-07-05T19:42:29"/>
    <s v="N"/>
    <m/>
    <m/>
    <s v="Non Expert Disbursement"/>
    <m/>
    <s v="N"/>
    <n v="0"/>
    <n v="0"/>
    <x v="6"/>
    <s v="VALIDATED"/>
    <n v="1"/>
    <s v="01.11.80.000.0000.0000"/>
    <n v="0"/>
    <s v="11"/>
    <s v="0000"/>
    <n v="8497.200000000001"/>
    <n v="0"/>
    <s v="CREDITOR"/>
    <n v="0"/>
    <n v="0"/>
    <n v="0"/>
    <n v="0"/>
    <n v="0"/>
  </r>
  <r>
    <n v="10501628"/>
    <s v="N"/>
    <n v="21333817"/>
    <s v="3000006348010025RC"/>
    <s v="CIVIL"/>
    <d v="2023-06-22T00:00:00"/>
    <d v="2023-07-05T19:42:28"/>
    <m/>
    <d v="2023-07-05T00:00:00"/>
    <n v="879"/>
    <n v="17441"/>
    <s v="10501628"/>
    <s v="10501628"/>
    <m/>
    <m/>
    <m/>
    <m/>
    <m/>
    <m/>
    <s v="SOLRECOUP"/>
    <s v="SOLRECOUP"/>
    <s v="POARECOUP"/>
    <n v="21333817"/>
    <n v="-901.13"/>
    <m/>
    <s v="Y"/>
    <n v="1"/>
    <d v="2023-07-05T19:42:29"/>
    <s v="N"/>
    <m/>
    <m/>
    <s v="Expert Disbursement"/>
    <m/>
    <s v="N"/>
    <n v="-901.13"/>
    <n v="0"/>
    <x v="6"/>
    <s v="VALIDATED"/>
    <n v="1"/>
    <s v="01.11.80.308.2013.0000"/>
    <n v="-901.13"/>
    <s v="11"/>
    <s v="2013"/>
    <n v="8497.200000000001"/>
    <n v="-901.13"/>
    <s v="CREDITOR"/>
    <n v="0"/>
    <n v="0"/>
    <n v="-901.13"/>
    <n v="0"/>
    <n v="0"/>
  </r>
  <r>
    <n v="10501628"/>
    <s v="N"/>
    <n v="21333817"/>
    <s v="3000006348010025RC"/>
    <s v="CIVIL"/>
    <d v="2023-06-22T00:00:00"/>
    <d v="2023-07-05T19:42:28"/>
    <m/>
    <d v="2023-07-05T00:00:00"/>
    <n v="879"/>
    <n v="17441"/>
    <s v="10501628"/>
    <s v="10501628"/>
    <m/>
    <m/>
    <m/>
    <m/>
    <m/>
    <m/>
    <s v="SOLRECOUP"/>
    <s v="SOLRECOUP"/>
    <s v="POARECOUP"/>
    <n v="21333817"/>
    <n v="-901.13"/>
    <m/>
    <s v="Y"/>
    <n v="2"/>
    <d v="2023-07-05T19:42:29"/>
    <s v="N"/>
    <m/>
    <m/>
    <s v="Expert Disbursement"/>
    <m/>
    <s v="N"/>
    <n v="0"/>
    <n v="0"/>
    <x v="6"/>
    <s v="VALIDATED"/>
    <n v="1"/>
    <s v="01.11.80.000.0000.0000"/>
    <n v="0"/>
    <s v="11"/>
    <s v="0000"/>
    <n v="8497.200000000001"/>
    <n v="0"/>
    <s v="CREDITOR"/>
    <n v="0"/>
    <n v="0"/>
    <n v="0"/>
    <n v="0"/>
    <n v="0"/>
  </r>
  <r>
    <n v="10501628"/>
    <s v="N"/>
    <n v="21333818"/>
    <s v="3000006348010026RC"/>
    <s v="CIVIL"/>
    <d v="2023-06-22T00:00:00"/>
    <d v="2023-07-05T19:42:28"/>
    <m/>
    <d v="2023-07-05T00:00:00"/>
    <n v="879"/>
    <n v="17441"/>
    <s v="10501628"/>
    <s v="10501628"/>
    <m/>
    <m/>
    <m/>
    <m/>
    <m/>
    <m/>
    <s v="SOLRECOUP"/>
    <s v="SOLRECOUP"/>
    <s v="POARECOUP"/>
    <n v="21333818"/>
    <n v="-318.24"/>
    <m/>
    <s v="Y"/>
    <n v="1"/>
    <d v="2023-07-05T19:42:29"/>
    <s v="N"/>
    <m/>
    <m/>
    <s v="Expert Disbursement"/>
    <m/>
    <s v="N"/>
    <n v="-265.2"/>
    <n v="0"/>
    <x v="6"/>
    <s v="VALIDATED"/>
    <n v="1"/>
    <s v="01.11.80.308.2013.0000"/>
    <n v="-265.2"/>
    <s v="11"/>
    <s v="2013"/>
    <n v="8497.200000000001"/>
    <n v="-265.2"/>
    <s v="CREDITOR"/>
    <n v="0"/>
    <n v="0"/>
    <n v="-265.2"/>
    <n v="0"/>
    <n v="0"/>
  </r>
  <r>
    <n v="10501628"/>
    <s v="N"/>
    <n v="21333818"/>
    <s v="3000006348010026RC"/>
    <s v="CIVIL"/>
    <d v="2023-06-22T00:00:00"/>
    <d v="2023-07-05T19:42:28"/>
    <m/>
    <d v="2023-07-05T00:00:00"/>
    <n v="879"/>
    <n v="17441"/>
    <s v="10501628"/>
    <s v="10501628"/>
    <m/>
    <m/>
    <m/>
    <m/>
    <m/>
    <m/>
    <s v="SOLRECOUP"/>
    <s v="SOLRECOUP"/>
    <s v="POARECOUP"/>
    <n v="21333818"/>
    <n v="-318.24"/>
    <m/>
    <s v="Y"/>
    <n v="2"/>
    <d v="2023-07-05T19:42:29"/>
    <s v="N"/>
    <m/>
    <m/>
    <s v="Expert Disbursement"/>
    <m/>
    <s v="N"/>
    <n v="0"/>
    <n v="-53.04"/>
    <x v="6"/>
    <s v="VALIDATED"/>
    <n v="1"/>
    <s v="01.11.80.308.2013.0000"/>
    <n v="-53.04"/>
    <s v="11"/>
    <s v="2013"/>
    <n v="8497.200000000001"/>
    <n v="-53.04"/>
    <s v="CREDITOR"/>
    <n v="0"/>
    <n v="0"/>
    <n v="-53.04"/>
    <n v="0"/>
    <n v="0"/>
  </r>
  <r>
    <n v="10501628"/>
    <s v="N"/>
    <n v="21333819"/>
    <s v="3000006348010018RC"/>
    <s v="CIVIL"/>
    <d v="2023-06-22T00:00:00"/>
    <d v="2023-07-05T19:42:28"/>
    <m/>
    <d v="2023-07-05T00:00:00"/>
    <n v="879"/>
    <n v="17441"/>
    <s v="10501628"/>
    <s v="10501628"/>
    <m/>
    <m/>
    <m/>
    <m/>
    <m/>
    <m/>
    <s v="SOLRECOUP"/>
    <s v="SOLRECOUP"/>
    <s v="POARECOUP"/>
    <n v="21333819"/>
    <n v="-748.79"/>
    <m/>
    <s v="Y"/>
    <n v="1"/>
    <d v="2023-07-05T19:42:29"/>
    <s v="N"/>
    <m/>
    <m/>
    <s v="Expert Disbursement"/>
    <m/>
    <s v="N"/>
    <n v="-623.99"/>
    <n v="0"/>
    <x v="6"/>
    <s v="VALIDATED"/>
    <n v="1"/>
    <s v="01.11.80.308.2013.0000"/>
    <n v="-623.99"/>
    <s v="11"/>
    <s v="2013"/>
    <n v="8497.200000000001"/>
    <n v="-623.99"/>
    <s v="CREDITOR"/>
    <n v="0"/>
    <n v="0"/>
    <n v="-623.99"/>
    <n v="0"/>
    <n v="0"/>
  </r>
  <r>
    <n v="10501628"/>
    <s v="N"/>
    <n v="21333819"/>
    <s v="3000006348010018RC"/>
    <s v="CIVIL"/>
    <d v="2023-06-22T00:00:00"/>
    <d v="2023-07-05T19:42:28"/>
    <m/>
    <d v="2023-07-05T00:00:00"/>
    <n v="879"/>
    <n v="17441"/>
    <s v="10501628"/>
    <s v="10501628"/>
    <m/>
    <m/>
    <m/>
    <m/>
    <m/>
    <m/>
    <s v="SOLRECOUP"/>
    <s v="SOLRECOUP"/>
    <s v="POARECOUP"/>
    <n v="21333819"/>
    <n v="-748.79"/>
    <m/>
    <s v="Y"/>
    <n v="2"/>
    <d v="2023-07-05T19:42:29"/>
    <s v="N"/>
    <m/>
    <m/>
    <s v="Expert Disbursement"/>
    <m/>
    <s v="N"/>
    <n v="0"/>
    <n v="-124.8"/>
    <x v="6"/>
    <s v="VALIDATED"/>
    <n v="1"/>
    <s v="01.11.80.308.2013.0000"/>
    <n v="-124.8"/>
    <s v="11"/>
    <s v="2013"/>
    <n v="8497.200000000001"/>
    <n v="-124.8"/>
    <s v="CREDITOR"/>
    <n v="0"/>
    <n v="0"/>
    <n v="-124.8"/>
    <n v="0"/>
    <n v="0"/>
  </r>
  <r>
    <n v="10501628"/>
    <s v="N"/>
    <n v="21333820"/>
    <s v="3000006348010020RC"/>
    <s v="CIVIL"/>
    <d v="2023-06-22T00:00:00"/>
    <d v="2023-07-05T19:42:28"/>
    <m/>
    <d v="2023-07-05T00:00:00"/>
    <n v="879"/>
    <n v="17441"/>
    <s v="10501628"/>
    <s v="10501628"/>
    <m/>
    <m/>
    <m/>
    <m/>
    <m/>
    <m/>
    <s v="SOLRECOUP"/>
    <s v="SOLRECOUP"/>
    <s v="POARECOUP"/>
    <n v="21333820"/>
    <n v="-15.21"/>
    <m/>
    <s v="Y"/>
    <n v="1"/>
    <d v="2023-07-05T19:42:29"/>
    <s v="N"/>
    <m/>
    <m/>
    <s v="Non Expert Disbursement"/>
    <m/>
    <s v="N"/>
    <n v="-15.21"/>
    <n v="0"/>
    <x v="6"/>
    <s v="VALIDATED"/>
    <n v="1"/>
    <s v="01.11.80.308.2013.0000"/>
    <n v="-15.21"/>
    <s v="11"/>
    <s v="2013"/>
    <n v="8497.200000000001"/>
    <n v="-15.21"/>
    <s v="CREDITOR"/>
    <n v="0"/>
    <n v="0"/>
    <n v="-15.21"/>
    <n v="0"/>
    <n v="0"/>
  </r>
  <r>
    <n v="10501628"/>
    <s v="N"/>
    <n v="21333820"/>
    <s v="3000006348010020RC"/>
    <s v="CIVIL"/>
    <d v="2023-06-22T00:00:00"/>
    <d v="2023-07-05T19:42:28"/>
    <m/>
    <d v="2023-07-05T00:00:00"/>
    <n v="879"/>
    <n v="17441"/>
    <s v="10501628"/>
    <s v="10501628"/>
    <m/>
    <m/>
    <m/>
    <m/>
    <m/>
    <m/>
    <s v="SOLRECOUP"/>
    <s v="SOLRECOUP"/>
    <s v="POARECOUP"/>
    <n v="21333820"/>
    <n v="-15.21"/>
    <m/>
    <s v="Y"/>
    <n v="2"/>
    <d v="2023-07-05T19:42:29"/>
    <s v="N"/>
    <m/>
    <m/>
    <s v="Non Expert Disbursement"/>
    <m/>
    <s v="N"/>
    <n v="0"/>
    <n v="0"/>
    <x v="6"/>
    <s v="VALIDATED"/>
    <n v="1"/>
    <s v="01.11.80.000.0000.0000"/>
    <n v="0"/>
    <s v="11"/>
    <s v="0000"/>
    <n v="8497.200000000001"/>
    <n v="0"/>
    <s v="CREDITOR"/>
    <n v="0"/>
    <n v="0"/>
    <n v="0"/>
    <n v="0"/>
    <n v="0"/>
  </r>
  <r>
    <n v="10501628"/>
    <s v="N"/>
    <n v="21333821"/>
    <s v="3000006348010021RC"/>
    <s v="CIVIL"/>
    <d v="2023-06-22T00:00:00"/>
    <d v="2023-07-05T19:42:28"/>
    <m/>
    <d v="2023-07-05T00:00:00"/>
    <n v="879"/>
    <n v="17441"/>
    <s v="10501628"/>
    <s v="10501628"/>
    <m/>
    <m/>
    <m/>
    <m/>
    <m/>
    <m/>
    <s v="SOLRECOUP"/>
    <s v="SOLRECOUP"/>
    <s v="POARECOUP"/>
    <n v="21333821"/>
    <n v="-15.21"/>
    <m/>
    <s v="Y"/>
    <n v="1"/>
    <d v="2023-07-05T19:42:29"/>
    <s v="N"/>
    <m/>
    <m/>
    <s v="Non Expert Disbursement"/>
    <m/>
    <s v="N"/>
    <n v="-15.21"/>
    <n v="0"/>
    <x v="6"/>
    <s v="VALIDATED"/>
    <n v="1"/>
    <s v="01.11.80.308.2013.0000"/>
    <n v="-15.21"/>
    <s v="11"/>
    <s v="2013"/>
    <n v="8497.200000000001"/>
    <n v="-15.21"/>
    <s v="CREDITOR"/>
    <n v="0"/>
    <n v="0"/>
    <n v="-15.21"/>
    <n v="0"/>
    <n v="0"/>
  </r>
  <r>
    <n v="10501628"/>
    <s v="N"/>
    <n v="21333821"/>
    <s v="3000006348010021RC"/>
    <s v="CIVIL"/>
    <d v="2023-06-22T00:00:00"/>
    <d v="2023-07-05T19:42:28"/>
    <m/>
    <d v="2023-07-05T00:00:00"/>
    <n v="879"/>
    <n v="17441"/>
    <s v="10501628"/>
    <s v="10501628"/>
    <m/>
    <m/>
    <m/>
    <m/>
    <m/>
    <m/>
    <s v="SOLRECOUP"/>
    <s v="SOLRECOUP"/>
    <s v="POARECOUP"/>
    <n v="21333821"/>
    <n v="-15.21"/>
    <m/>
    <s v="Y"/>
    <n v="2"/>
    <d v="2023-07-05T19:42:29"/>
    <s v="N"/>
    <m/>
    <m/>
    <s v="Non Expert Disbursement"/>
    <m/>
    <s v="N"/>
    <n v="0"/>
    <n v="0"/>
    <x v="6"/>
    <s v="VALIDATED"/>
    <n v="1"/>
    <s v="01.11.80.000.0000.0000"/>
    <n v="0"/>
    <s v="11"/>
    <s v="0000"/>
    <n v="8497.200000000001"/>
    <n v="0"/>
    <s v="CREDITOR"/>
    <n v="0"/>
    <n v="0"/>
    <n v="0"/>
    <n v="0"/>
    <n v="0"/>
  </r>
  <r>
    <n v="10501628"/>
    <s v="N"/>
    <n v="21333822"/>
    <s v="3000006348010027RC"/>
    <s v="CIVIL"/>
    <d v="2023-06-22T00:00:00"/>
    <d v="2023-07-05T19:42:28"/>
    <m/>
    <d v="2023-07-05T00:00:00"/>
    <n v="879"/>
    <n v="17441"/>
    <s v="10501628"/>
    <s v="10501628"/>
    <m/>
    <m/>
    <m/>
    <m/>
    <m/>
    <m/>
    <s v="SOLRECOUP"/>
    <s v="SOLRECOUP"/>
    <s v="POARECOUP"/>
    <n v="21333822"/>
    <n v="-2519.04"/>
    <m/>
    <s v="Y"/>
    <n v="1"/>
    <d v="2023-07-05T19:42:29"/>
    <s v="N"/>
    <m/>
    <m/>
    <s v="Profit Cost"/>
    <m/>
    <s v="N"/>
    <n v="-2099.2"/>
    <n v="0"/>
    <x v="6"/>
    <s v="VALIDATED"/>
    <n v="1"/>
    <s v="01.11.80.308.2013.0000"/>
    <n v="-2099.2"/>
    <s v="11"/>
    <s v="2013"/>
    <n v="8497.200000000001"/>
    <n v="-2099.2"/>
    <s v="CREDITOR"/>
    <n v="0"/>
    <n v="0"/>
    <n v="-2099.2"/>
    <n v="-524.8"/>
    <n v="0"/>
  </r>
  <r>
    <n v="10501628"/>
    <s v="N"/>
    <n v="21333822"/>
    <s v="3000006348010027RC"/>
    <s v="CIVIL"/>
    <d v="2023-06-22T00:00:00"/>
    <d v="2023-07-05T19:42:28"/>
    <m/>
    <d v="2023-07-05T00:00:00"/>
    <n v="879"/>
    <n v="17441"/>
    <s v="10501628"/>
    <s v="10501628"/>
    <m/>
    <m/>
    <m/>
    <m/>
    <m/>
    <m/>
    <s v="SOLRECOUP"/>
    <s v="SOLRECOUP"/>
    <s v="POARECOUP"/>
    <n v="21333822"/>
    <n v="-2519.04"/>
    <m/>
    <s v="Y"/>
    <n v="2"/>
    <d v="2023-07-05T19:42:29"/>
    <s v="N"/>
    <m/>
    <m/>
    <s v="Profit Cost"/>
    <m/>
    <s v="N"/>
    <n v="0"/>
    <n v="-419.84"/>
    <x v="6"/>
    <s v="VALIDATED"/>
    <n v="1"/>
    <s v="01.11.80.308.2013.0000"/>
    <n v="-419.84"/>
    <s v="11"/>
    <s v="2013"/>
    <n v="8497.200000000001"/>
    <n v="-419.84"/>
    <s v="CREDITOR"/>
    <n v="0"/>
    <n v="0"/>
    <n v="-419.84"/>
    <n v="-104.96"/>
    <n v="0"/>
  </r>
  <r>
    <n v="60899405"/>
    <s v="N"/>
    <n v="21399236"/>
    <s v="3000015119790001RC"/>
    <s v="CIVIL"/>
    <d v="2023-06-29T00:00:00"/>
    <d v="2023-07-19T19:43:58"/>
    <m/>
    <d v="2023-07-19T00:00:00"/>
    <n v="879"/>
    <n v="17441"/>
    <s v="60899405"/>
    <s v="60899405"/>
    <m/>
    <m/>
    <m/>
    <m/>
    <m/>
    <m/>
    <s v="SOLRECOUP"/>
    <s v="SOLRECOUP"/>
    <s v="POARECOUP"/>
    <n v="21399236"/>
    <n v="-1360.32"/>
    <m/>
    <s v="Y"/>
    <n v="2"/>
    <d v="2023-07-19T19:44:02"/>
    <s v="N"/>
    <m/>
    <m/>
    <s v="Profit Cost"/>
    <m/>
    <s v="N"/>
    <n v="0"/>
    <n v="-226.72"/>
    <x v="5"/>
    <s v="VALIDATED"/>
    <n v="1"/>
    <s v="01.11.80.307.2013.0000"/>
    <n v="-226.72"/>
    <s v="11"/>
    <s v="2013"/>
    <n v="8497.200000000001"/>
    <n v="-226.72"/>
    <s v="CREDITOR"/>
    <n v="0"/>
    <n v="0"/>
    <n v="-226.72"/>
    <n v="-56.68"/>
    <n v="0"/>
  </r>
  <r>
    <n v="60899405"/>
    <s v="N"/>
    <n v="21399236"/>
    <s v="3000015119790001RC"/>
    <s v="CIVIL"/>
    <d v="2023-06-29T00:00:00"/>
    <d v="2023-07-19T19:43:58"/>
    <m/>
    <d v="2023-07-19T00:00:00"/>
    <n v="879"/>
    <n v="17441"/>
    <s v="60899405"/>
    <s v="60899405"/>
    <m/>
    <m/>
    <m/>
    <m/>
    <m/>
    <m/>
    <s v="SOLRECOUP"/>
    <s v="SOLRECOUP"/>
    <s v="POARECOUP"/>
    <n v="21399236"/>
    <n v="-1360.32"/>
    <m/>
    <s v="Y"/>
    <n v="1"/>
    <d v="2023-07-19T19:44:02"/>
    <s v="N"/>
    <m/>
    <m/>
    <s v="Profit Cost"/>
    <m/>
    <s v="N"/>
    <n v="-1133.6"/>
    <n v="0"/>
    <x v="5"/>
    <s v="VALIDATED"/>
    <n v="1"/>
    <s v="01.11.80.307.2013.0000"/>
    <n v="-1133.6"/>
    <s v="11"/>
    <s v="2013"/>
    <n v="8497.200000000001"/>
    <n v="-1133.6"/>
    <s v="CREDITOR"/>
    <n v="0"/>
    <n v="0"/>
    <n v="-1133.6"/>
    <n v="-283.4"/>
    <n v="0"/>
  </r>
  <r>
    <n v="10578935"/>
    <s v="N"/>
    <n v="21331013"/>
    <s v="3000006413340006"/>
    <s v="CIVIL"/>
    <d v="2023-06-22T00:00:00"/>
    <d v="2023-07-05T19:01:47"/>
    <m/>
    <d v="2023-07-05T00:00:00"/>
    <n v="883"/>
    <n v="17474"/>
    <s v="10578935"/>
    <s v="10578935"/>
    <m/>
    <m/>
    <n v="22739862"/>
    <m/>
    <m/>
    <m/>
    <s v="SOLFIN"/>
    <s v="SOLFIN"/>
    <s v="CCMS"/>
    <n v="21331013"/>
    <n v="3440.95"/>
    <m/>
    <s v="N"/>
    <n v="8"/>
    <d v="2023-07-05T19:02:01"/>
    <s v="Y"/>
    <s v="Level 4 Fixed Fee"/>
    <s v="Domestic Abuse"/>
    <s v="Profit Cost"/>
    <s v="SDW"/>
    <s v="Y"/>
    <n v="507"/>
    <n v="101.35"/>
    <x v="6"/>
    <s v="VALIDATED"/>
    <n v="1"/>
    <s v="01.11.80.302.6100.0000"/>
    <n v="507"/>
    <s v="11"/>
    <s v="6100"/>
    <n v="1945.34"/>
    <n v="507"/>
    <s v="CREDITOR"/>
    <n v="0"/>
    <n v="0"/>
    <n v="0"/>
    <n v="0"/>
    <n v="507"/>
  </r>
  <r>
    <n v="10578935"/>
    <s v="N"/>
    <n v="21333827"/>
    <s v="3000006413340005RC"/>
    <s v="CIVIL"/>
    <d v="2023-06-22T00:00:00"/>
    <d v="2023-07-05T19:42:28"/>
    <m/>
    <d v="2023-07-05T00:00:00"/>
    <n v="883"/>
    <n v="17474"/>
    <s v="10578935"/>
    <s v="10578935"/>
    <m/>
    <m/>
    <m/>
    <m/>
    <m/>
    <m/>
    <s v="SOLRECOUP"/>
    <s v="SOLRECOUP"/>
    <s v="POARECOUP"/>
    <n v="21333827"/>
    <n v="-203.74"/>
    <m/>
    <s v="Y"/>
    <n v="1"/>
    <d v="2023-07-05T19:42:29"/>
    <s v="N"/>
    <m/>
    <m/>
    <s v="Profit Cost"/>
    <m/>
    <s v="N"/>
    <n v="-169.78"/>
    <n v="0"/>
    <x v="6"/>
    <s v="VALIDATED"/>
    <n v="1"/>
    <s v="01.11.80.302.2013.0000"/>
    <n v="-169.78"/>
    <s v="11"/>
    <s v="2013"/>
    <n v="1945.34"/>
    <n v="-169.78"/>
    <s v="CREDITOR"/>
    <n v="0"/>
    <n v="0"/>
    <n v="-169.78"/>
    <n v="-42.445"/>
    <n v="0"/>
  </r>
  <r>
    <n v="10578935"/>
    <s v="N"/>
    <n v="21331013"/>
    <s v="3000006413340006"/>
    <s v="CIVIL"/>
    <d v="2023-06-22T00:00:00"/>
    <d v="2023-07-05T19:01:47"/>
    <m/>
    <d v="2023-07-05T00:00:00"/>
    <n v="883"/>
    <n v="17474"/>
    <s v="10578935"/>
    <s v="10578935"/>
    <m/>
    <m/>
    <n v="22739862"/>
    <m/>
    <m/>
    <m/>
    <s v="SOLFIN"/>
    <s v="SOLFIN"/>
    <s v="CCMS"/>
    <n v="21331013"/>
    <n v="3440.95"/>
    <m/>
    <s v="N"/>
    <n v="43"/>
    <d v="2023-07-05T19:02:01"/>
    <s v="Y"/>
    <s v="Routine Telephone Call"/>
    <s v="Prescribed Hourly Rates"/>
    <s v="Profit Cost"/>
    <s v="SDW"/>
    <s v="Y"/>
    <n v="81"/>
    <n v="16.2"/>
    <x v="6"/>
    <s v="VALIDATED"/>
    <n v="1"/>
    <s v="01.11.80.302.6100.0000"/>
    <n v="81"/>
    <s v="11"/>
    <s v="6100"/>
    <n v="1945.34"/>
    <n v="81"/>
    <s v="CREDITOR"/>
    <n v="0"/>
    <n v="0"/>
    <n v="0"/>
    <n v="0"/>
    <n v="81"/>
  </r>
  <r>
    <n v="10578935"/>
    <s v="N"/>
    <n v="21331013"/>
    <s v="3000006413340006"/>
    <s v="CIVIL"/>
    <d v="2023-06-22T00:00:00"/>
    <d v="2023-07-05T19:01:47"/>
    <m/>
    <d v="2023-07-05T00:00:00"/>
    <n v="883"/>
    <n v="17474"/>
    <s v="10578935"/>
    <s v="10578935"/>
    <m/>
    <m/>
    <n v="22739862"/>
    <m/>
    <m/>
    <m/>
    <s v="SOLFIN"/>
    <s v="SOLFIN"/>
    <s v="CCMS"/>
    <n v="21331013"/>
    <n v="3440.95"/>
    <m/>
    <s v="N"/>
    <n v="6"/>
    <d v="2023-07-05T19:02:01"/>
    <s v="Y"/>
    <s v="Final Hearing - 1 Day"/>
    <s v="Domestic Abuse"/>
    <s v="Advocacy"/>
    <s v="MOB"/>
    <s v="Y"/>
    <n v="361.17"/>
    <n v="72.23999999999999"/>
    <x v="6"/>
    <s v="VALIDATED"/>
    <n v="1"/>
    <s v="01.11.80.302.6100.0000"/>
    <n v="361.17"/>
    <s v="11"/>
    <s v="6100"/>
    <n v="1945.34"/>
    <n v="361.17"/>
    <s v="CREDITOR"/>
    <n v="0"/>
    <n v="0"/>
    <n v="0"/>
    <n v="0"/>
    <n v="361.17"/>
  </r>
  <r>
    <n v="10578935"/>
    <s v="N"/>
    <n v="21331013"/>
    <s v="3000006413340006"/>
    <s v="CIVIL"/>
    <d v="2023-06-22T00:00:00"/>
    <d v="2023-07-05T19:01:47"/>
    <m/>
    <d v="2023-07-05T00:00:00"/>
    <n v="883"/>
    <n v="17474"/>
    <s v="10578935"/>
    <s v="10578935"/>
    <m/>
    <m/>
    <n v="22739862"/>
    <m/>
    <m/>
    <m/>
    <s v="SOLFIN"/>
    <s v="SOLFIN"/>
    <s v="CCMS"/>
    <n v="21331013"/>
    <n v="3440.95"/>
    <m/>
    <s v="N"/>
    <n v="13"/>
    <d v="2023-07-05T19:02:01"/>
    <s v="Y"/>
    <s v="Preparation - drafting statement"/>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33"/>
    <d v="2023-07-05T19:02:01"/>
    <s v="Y"/>
    <s v="Attendance upon client"/>
    <s v="Prescribed Hourly Rates"/>
    <s v="Profit Cost"/>
    <s v="SDW"/>
    <s v="Y"/>
    <n v="16.47"/>
    <n v="3.29"/>
    <x v="6"/>
    <s v="VALIDATED"/>
    <n v="1"/>
    <s v="01.11.80.302.6100.0000"/>
    <n v="16.47"/>
    <s v="11"/>
    <s v="6100"/>
    <n v="1945.34"/>
    <n v="16.47"/>
    <s v="CREDITOR"/>
    <n v="0"/>
    <n v="0"/>
    <n v="0"/>
    <n v="0"/>
    <n v="16.47"/>
  </r>
  <r>
    <n v="10578935"/>
    <s v="N"/>
    <n v="21331013"/>
    <s v="3000006413340006"/>
    <s v="CIVIL"/>
    <d v="2023-06-22T00:00:00"/>
    <d v="2023-07-05T19:01:47"/>
    <m/>
    <d v="2023-07-05T00:00:00"/>
    <n v="883"/>
    <n v="17474"/>
    <s v="10578935"/>
    <s v="10578935"/>
    <m/>
    <m/>
    <n v="22739862"/>
    <m/>
    <m/>
    <m/>
    <s v="SOLFIN"/>
    <s v="SOLFIN"/>
    <s v="CCMS"/>
    <n v="21331013"/>
    <n v="3440.95"/>
    <m/>
    <s v="N"/>
    <n v="39"/>
    <d v="2023-07-05T19:02:01"/>
    <s v="Y"/>
    <s v="Preparation - other"/>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24"/>
    <d v="2023-07-05T19:02:01"/>
    <s v="Y"/>
    <s v="Preparation - other"/>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4"/>
    <d v="2023-07-05T19:02:01"/>
    <s v="Y"/>
    <s v="Court Fee"/>
    <s v="Prescribed Hourly Rates"/>
    <s v="Non Expert Disbursement"/>
    <s v="SDW"/>
    <s v="Y"/>
    <n v="215"/>
    <n v="0"/>
    <x v="6"/>
    <s v="VALIDATED"/>
    <n v="1"/>
    <s v="01.11.80.302.6300.0000"/>
    <n v="215"/>
    <s v="11"/>
    <s v="6300"/>
    <n v="1945.34"/>
    <n v="215"/>
    <s v="CREDITOR"/>
    <n v="0"/>
    <n v="0"/>
    <n v="0"/>
    <n v="0"/>
    <n v="215"/>
  </r>
  <r>
    <n v="10578935"/>
    <s v="N"/>
    <n v="21331013"/>
    <s v="3000006413340006"/>
    <s v="CIVIL"/>
    <d v="2023-06-22T00:00:00"/>
    <d v="2023-07-05T19:01:47"/>
    <m/>
    <d v="2023-07-05T00:00:00"/>
    <n v="883"/>
    <n v="17474"/>
    <s v="10578935"/>
    <s v="10578935"/>
    <m/>
    <m/>
    <n v="22739862"/>
    <m/>
    <m/>
    <m/>
    <s v="SOLFIN"/>
    <s v="SOLFIN"/>
    <s v="CCMS"/>
    <n v="21331013"/>
    <n v="3440.95"/>
    <m/>
    <s v="N"/>
    <n v="27"/>
    <d v="2023-07-05T19:02:01"/>
    <s v="Y"/>
    <s v="Preparation - other"/>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18"/>
    <d v="2023-07-05T19:02:01"/>
    <s v="Y"/>
    <s v="Preparation - drafting consent orde"/>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3"/>
    <d v="2023-07-05T19:02:01"/>
    <s v="Y"/>
    <s v="Process server"/>
    <s v="Domestic Abuse"/>
    <s v="Expert Disbursement"/>
    <s v="SDW"/>
    <s v="Y"/>
    <n v="160.25"/>
    <n v="0"/>
    <x v="6"/>
    <s v="VALIDATED"/>
    <n v="1"/>
    <s v="01.11.80.302.6300.0000"/>
    <n v="160.25"/>
    <s v="11"/>
    <s v="6300"/>
    <n v="1945.34"/>
    <n v="160.25"/>
    <s v="CREDITOR"/>
    <n v="0"/>
    <n v="0"/>
    <n v="0"/>
    <n v="0"/>
    <n v="160.25"/>
  </r>
  <r>
    <n v="10578935"/>
    <s v="N"/>
    <n v="21331013"/>
    <s v="3000006413340006"/>
    <s v="CIVIL"/>
    <d v="2023-06-22T00:00:00"/>
    <d v="2023-07-05T19:01:47"/>
    <m/>
    <d v="2023-07-05T00:00:00"/>
    <n v="883"/>
    <n v="17474"/>
    <s v="10578935"/>
    <s v="10578935"/>
    <m/>
    <m/>
    <n v="22739862"/>
    <m/>
    <m/>
    <m/>
    <s v="SOLFIN"/>
    <s v="SOLFIN"/>
    <s v="CCMS"/>
    <n v="21331013"/>
    <n v="3440.95"/>
    <m/>
    <s v="N"/>
    <n v="16"/>
    <d v="2023-07-05T19:02:01"/>
    <s v="Y"/>
    <s v="Preparation - drafting notice(s)"/>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22"/>
    <d v="2023-07-05T19:02:01"/>
    <s v="Y"/>
    <s v="Preparation - drafting pleadings"/>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19"/>
    <d v="2023-07-05T19:02:01"/>
    <s v="Y"/>
    <s v="Preparation - drafting statement"/>
    <s v="Prescribed Hourly Rates"/>
    <s v="Profit Cost"/>
    <s v="SDW"/>
    <s v="Y"/>
    <n v="10.98"/>
    <n v="2.2"/>
    <x v="6"/>
    <s v="VALIDATED"/>
    <n v="1"/>
    <s v="01.11.80.302.6100.0000"/>
    <n v="10.98"/>
    <s v="11"/>
    <s v="6100"/>
    <n v="1945.34"/>
    <n v="10.98"/>
    <s v="CREDITOR"/>
    <n v="0"/>
    <n v="0"/>
    <n v="0"/>
    <n v="0"/>
    <n v="10.98"/>
  </r>
  <r>
    <n v="61922744"/>
    <s v="N"/>
    <n v="21320976"/>
    <s v="3000015976430006"/>
    <s v="CIVIL"/>
    <d v="2023-06-28T00:00:00"/>
    <d v="2023-07-03T19:04:52"/>
    <m/>
    <d v="2023-07-03T00:00:00"/>
    <n v="883"/>
    <n v="17474"/>
    <s v="61922744"/>
    <s v="61922744"/>
    <m/>
    <m/>
    <n v="22782082"/>
    <m/>
    <m/>
    <m/>
    <s v="SOLPOA"/>
    <s v="SOLPOA"/>
    <s v="CCMS"/>
    <n v="21320976"/>
    <n v="838.2"/>
    <m/>
    <s v="N"/>
    <n v="1"/>
    <d v="2023-07-03T19:04:57"/>
    <s v="N"/>
    <s v="Expert Cost"/>
    <s v="Expert Cost"/>
    <s v="Expert Disbursement"/>
    <s v="Sarah Evans"/>
    <s v="N"/>
    <n v="698.5"/>
    <n v="139.7"/>
    <x v="3"/>
    <s v="VALIDATED"/>
    <n v="1"/>
    <s v="01.11.80.308.2012.0000"/>
    <n v="698.5"/>
    <s v="11"/>
    <s v="2012"/>
    <n v="1945.34"/>
    <n v="698.5"/>
    <s v="CREDITOR"/>
    <n v="698.5"/>
    <n v="0"/>
    <n v="0"/>
    <n v="0"/>
    <n v="0"/>
  </r>
  <r>
    <n v="10578935"/>
    <s v="N"/>
    <n v="21331013"/>
    <s v="3000006413340006"/>
    <s v="CIVIL"/>
    <d v="2023-06-22T00:00:00"/>
    <d v="2023-07-05T19:01:47"/>
    <m/>
    <d v="2023-07-05T00:00:00"/>
    <n v="883"/>
    <n v="17474"/>
    <s v="10578935"/>
    <s v="10578935"/>
    <m/>
    <m/>
    <n v="22739862"/>
    <m/>
    <m/>
    <m/>
    <s v="SOLFIN"/>
    <s v="SOLFIN"/>
    <s v="CCMS"/>
    <n v="21331013"/>
    <n v="3440.95"/>
    <m/>
    <s v="N"/>
    <n v="15"/>
    <d v="2023-07-05T19:02:01"/>
    <s v="Y"/>
    <s v="Preparation - other"/>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10"/>
    <d v="2023-07-05T19:02:01"/>
    <s v="Y"/>
    <s v="Preparation - drafting application"/>
    <s v="Prescribed Hourly Rates"/>
    <s v="Profit Cost"/>
    <s v="SDW"/>
    <s v="Y"/>
    <n v="27.45"/>
    <n v="5.49"/>
    <x v="6"/>
    <s v="VALIDATED"/>
    <n v="1"/>
    <s v="01.11.80.302.6100.0000"/>
    <n v="27.45"/>
    <s v="11"/>
    <s v="6100"/>
    <n v="1945.34"/>
    <n v="27.45"/>
    <s v="CREDITOR"/>
    <n v="0"/>
    <n v="0"/>
    <n v="0"/>
    <n v="0"/>
    <n v="27.45"/>
  </r>
  <r>
    <n v="10578935"/>
    <s v="N"/>
    <n v="21331013"/>
    <s v="3000006413340006"/>
    <s v="CIVIL"/>
    <d v="2023-06-22T00:00:00"/>
    <d v="2023-07-05T19:01:47"/>
    <m/>
    <d v="2023-07-05T00:00:00"/>
    <n v="883"/>
    <n v="17474"/>
    <s v="10578935"/>
    <s v="10578935"/>
    <m/>
    <m/>
    <n v="22739862"/>
    <m/>
    <m/>
    <m/>
    <s v="SOLFIN"/>
    <s v="SOLFIN"/>
    <s v="CCMS"/>
    <n v="21331013"/>
    <n v="3440.95"/>
    <m/>
    <s v="N"/>
    <n v="1"/>
    <d v="2023-07-05T19:02:01"/>
    <s v="Y"/>
    <s v="Solicitor Travel Mileage"/>
    <s v="Domestic Abuse"/>
    <s v="Non Expert Disbursement"/>
    <s v="SDW"/>
    <s v="Y"/>
    <n v="7.65"/>
    <n v="1.53"/>
    <x v="6"/>
    <s v="VALIDATED"/>
    <n v="1"/>
    <s v="01.11.80.302.6300.0000"/>
    <n v="7.65"/>
    <s v="11"/>
    <s v="6300"/>
    <n v="1945.34"/>
    <n v="7.65"/>
    <s v="CREDITOR"/>
    <n v="0"/>
    <n v="0"/>
    <n v="0"/>
    <n v="0"/>
    <n v="7.65"/>
  </r>
  <r>
    <n v="10578935"/>
    <s v="N"/>
    <n v="21331013"/>
    <s v="3000006413340006"/>
    <s v="CIVIL"/>
    <d v="2023-06-22T00:00:00"/>
    <d v="2023-07-05T19:01:47"/>
    <m/>
    <d v="2023-07-05T00:00:00"/>
    <n v="883"/>
    <n v="17474"/>
    <s v="10578935"/>
    <s v="10578935"/>
    <m/>
    <m/>
    <n v="22739862"/>
    <m/>
    <m/>
    <m/>
    <s v="SOLFIN"/>
    <s v="SOLFIN"/>
    <s v="CCMS"/>
    <n v="21331013"/>
    <n v="3440.95"/>
    <m/>
    <s v="N"/>
    <n v="17"/>
    <d v="2023-07-05T19:02:01"/>
    <s v="Y"/>
    <s v="Preparation - drafting affidavit"/>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32"/>
    <d v="2023-07-05T19:02:01"/>
    <s v="Y"/>
    <s v="Preparation - drafting pleadings"/>
    <s v="Prescribed Hourly Rates"/>
    <s v="Profit Cost"/>
    <s v="SDW"/>
    <s v="Y"/>
    <n v="54.9"/>
    <n v="10.98"/>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38"/>
    <d v="2023-07-05T19:02:01"/>
    <s v="Y"/>
    <s v="Preparation - drafting consent orde"/>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14"/>
    <d v="2023-07-05T19:02:01"/>
    <s v="Y"/>
    <s v="Preparation - other"/>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30"/>
    <d v="2023-07-05T19:02:01"/>
    <s v="Y"/>
    <s v="Preparation - drafting consent orde"/>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40"/>
    <d v="2023-07-05T19:02:01"/>
    <s v="Y"/>
    <s v="Preparation - other"/>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35"/>
    <d v="2023-07-05T19:02:01"/>
    <s v="Y"/>
    <s v="Attendance upon other side"/>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7"/>
    <d v="2023-07-05T19:02:01"/>
    <s v="Y"/>
    <s v="Hearing Unit 0.00 - 1.00 Hours"/>
    <s v="Private Law Children"/>
    <s v="Advocacy"/>
    <s v="SDW"/>
    <s v="Y"/>
    <n v="62.69"/>
    <n v="12.54"/>
    <x v="6"/>
    <s v="VALIDATED"/>
    <n v="1"/>
    <s v="01.11.80.302.6100.0000"/>
    <n v="62.69"/>
    <s v="11"/>
    <s v="6100"/>
    <n v="1945.34"/>
    <n v="62.69"/>
    <s v="CREDITOR"/>
    <n v="0"/>
    <n v="0"/>
    <n v="0"/>
    <n v="0"/>
    <n v="62.69"/>
  </r>
  <r>
    <n v="10578935"/>
    <s v="N"/>
    <n v="21331013"/>
    <s v="3000006413340006"/>
    <s v="CIVIL"/>
    <d v="2023-06-22T00:00:00"/>
    <d v="2023-07-05T19:01:47"/>
    <m/>
    <d v="2023-07-05T00:00:00"/>
    <n v="883"/>
    <n v="17474"/>
    <s v="10578935"/>
    <s v="10578935"/>
    <m/>
    <m/>
    <n v="22739862"/>
    <m/>
    <m/>
    <m/>
    <s v="SOLFIN"/>
    <s v="SOLFIN"/>
    <s v="CCMS"/>
    <n v="21331013"/>
    <n v="3440.95"/>
    <m/>
    <s v="N"/>
    <n v="12"/>
    <d v="2023-07-05T19:02:01"/>
    <s v="Y"/>
    <s v="Preparation - other"/>
    <s v="Prescribed Hourly Rates"/>
    <s v="Profit Cost"/>
    <s v="SDW"/>
    <s v="Y"/>
    <n v="54.9"/>
    <n v="10.98"/>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45"/>
    <d v="2023-07-05T19:02:01"/>
    <s v="Y"/>
    <s v="Routine Letter In"/>
    <s v="Prescribed Hourly Rates"/>
    <s v="Profit Cost"/>
    <s v="SDW"/>
    <s v="Y"/>
    <n v="183.6"/>
    <n v="36.73"/>
    <x v="6"/>
    <s v="VALIDATED"/>
    <n v="1"/>
    <s v="01.11.80.302.6100.0000"/>
    <n v="183.6"/>
    <s v="11"/>
    <s v="6100"/>
    <n v="1945.34"/>
    <n v="183.6"/>
    <s v="CREDITOR"/>
    <n v="0"/>
    <n v="0"/>
    <n v="0"/>
    <n v="0"/>
    <n v="183.6"/>
  </r>
  <r>
    <n v="10578935"/>
    <s v="N"/>
    <n v="21331013"/>
    <s v="3000006413340006"/>
    <s v="CIVIL"/>
    <d v="2023-06-22T00:00:00"/>
    <d v="2023-07-05T19:01:47"/>
    <m/>
    <d v="2023-07-05T00:00:00"/>
    <n v="883"/>
    <n v="17474"/>
    <s v="10578935"/>
    <s v="10578935"/>
    <m/>
    <m/>
    <n v="22739862"/>
    <m/>
    <m/>
    <m/>
    <s v="SOLFIN"/>
    <s v="SOLFIN"/>
    <s v="CCMS"/>
    <n v="21331013"/>
    <n v="3440.95"/>
    <m/>
    <s v="N"/>
    <n v="23"/>
    <d v="2023-07-05T19:02:01"/>
    <s v="Y"/>
    <s v="Preparation - drafting pleadings"/>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44"/>
    <d v="2023-07-05T19:02:01"/>
    <s v="Y"/>
    <s v="Routine Letter Out"/>
    <s v="Prescribed Hourly Rates"/>
    <s v="Profit Cost"/>
    <s v="SDW"/>
    <s v="Y"/>
    <n v="480.6"/>
    <n v="96.13"/>
    <x v="6"/>
    <s v="VALIDATED"/>
    <n v="1"/>
    <s v="01.11.80.302.6100.0000"/>
    <n v="480.6"/>
    <s v="11"/>
    <s v="6100"/>
    <n v="1945.34"/>
    <n v="480.6"/>
    <s v="CREDITOR"/>
    <n v="0"/>
    <n v="0"/>
    <n v="0"/>
    <n v="0"/>
    <n v="480.6"/>
  </r>
  <r>
    <n v="10578935"/>
    <s v="N"/>
    <n v="21331013"/>
    <s v="3000006413340006"/>
    <s v="CIVIL"/>
    <d v="2023-06-22T00:00:00"/>
    <d v="2023-07-05T19:01:47"/>
    <m/>
    <d v="2023-07-05T00:00:00"/>
    <n v="883"/>
    <n v="17474"/>
    <s v="10578935"/>
    <s v="10578935"/>
    <m/>
    <m/>
    <n v="22739862"/>
    <m/>
    <m/>
    <m/>
    <s v="SOLFIN"/>
    <s v="SOLFIN"/>
    <s v="CCMS"/>
    <n v="21331013"/>
    <n v="3440.95"/>
    <m/>
    <s v="N"/>
    <n v="28"/>
    <d v="2023-07-05T19:02:01"/>
    <s v="Y"/>
    <s v="Preparation - drafting consent orde"/>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31"/>
    <d v="2023-07-05T19:02:01"/>
    <s v="Y"/>
    <s v="Preparation - other"/>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9"/>
    <d v="2023-07-05T19:02:01"/>
    <s v="N"/>
    <s v="Level 3 Fixed Fee"/>
    <s v="Private Law Children"/>
    <s v="Profit Cost"/>
    <s v="SDW"/>
    <s v="N"/>
    <n v="0"/>
    <n v="0"/>
    <x v="6"/>
    <s v="VALIDATED"/>
    <n v="1"/>
    <s v="01.11.80.302.6100.0000"/>
    <n v="0"/>
    <s v="11"/>
    <s v="6100"/>
    <n v="1945.34"/>
    <n v="0"/>
    <s v="CREDITOR"/>
    <n v="0"/>
    <n v="0"/>
    <n v="0"/>
    <n v="0"/>
    <n v="0"/>
  </r>
  <r>
    <n v="10578935"/>
    <s v="N"/>
    <n v="21331013"/>
    <s v="3000006413340006"/>
    <s v="CIVIL"/>
    <d v="2023-06-22T00:00:00"/>
    <d v="2023-07-05T19:01:47"/>
    <m/>
    <d v="2023-07-05T00:00:00"/>
    <n v="883"/>
    <n v="17474"/>
    <s v="10578935"/>
    <s v="10578935"/>
    <m/>
    <m/>
    <n v="22739862"/>
    <m/>
    <m/>
    <m/>
    <s v="SOLFIN"/>
    <s v="SOLFIN"/>
    <s v="CCMS"/>
    <n v="21331013"/>
    <n v="3440.95"/>
    <m/>
    <s v="N"/>
    <n v="29"/>
    <d v="2023-07-05T19:02:01"/>
    <s v="Y"/>
    <s v="Preparation - other"/>
    <s v="Prescribed Hourly Rates"/>
    <s v="Profit Cost"/>
    <s v="ACB"/>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20"/>
    <d v="2023-07-05T19:02:01"/>
    <s v="Y"/>
    <s v="Attendance upon client"/>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34"/>
    <d v="2023-07-05T19:02:01"/>
    <s v="Y"/>
    <s v="Preparation - drafting pleadings"/>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41"/>
    <d v="2023-07-05T19:02:01"/>
    <s v="Y"/>
    <s v="Preparation - drafting bill/claim f"/>
    <s v="Prescribed Hourly Rates"/>
    <s v="Profit Cost"/>
    <s v="CD"/>
    <s v="Y"/>
    <n v="76.86"/>
    <n v="15.37"/>
    <x v="6"/>
    <s v="VALIDATED"/>
    <n v="1"/>
    <s v="01.11.80.302.6100.0000"/>
    <n v="76.86"/>
    <s v="11"/>
    <s v="6100"/>
    <n v="1945.34"/>
    <n v="76.86"/>
    <s v="CREDITOR"/>
    <n v="0"/>
    <n v="0"/>
    <n v="0"/>
    <n v="0"/>
    <n v="76.86"/>
  </r>
  <r>
    <n v="10578935"/>
    <s v="N"/>
    <n v="21331013"/>
    <s v="3000006413340006"/>
    <s v="CIVIL"/>
    <d v="2023-06-22T00:00:00"/>
    <d v="2023-07-05T19:01:47"/>
    <m/>
    <d v="2023-07-05T00:00:00"/>
    <n v="883"/>
    <n v="17474"/>
    <s v="10578935"/>
    <s v="10578935"/>
    <m/>
    <m/>
    <n v="22739862"/>
    <m/>
    <m/>
    <m/>
    <s v="SOLFIN"/>
    <s v="SOLFIN"/>
    <s v="CCMS"/>
    <n v="21331013"/>
    <n v="3440.95"/>
    <m/>
    <s v="N"/>
    <n v="36"/>
    <d v="2023-07-05T19:02:01"/>
    <s v="Y"/>
    <s v="Attendance upon other side"/>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42"/>
    <d v="2023-07-05T19:02:01"/>
    <s v="Y"/>
    <s v="Preparation - other"/>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2"/>
    <d v="2023-07-05T19:02:01"/>
    <s v="Y"/>
    <s v="Solicitor Travel Expenses"/>
    <s v="Domestic Abuse"/>
    <s v="Non Expert Disbursement"/>
    <s v="SDW"/>
    <s v="Y"/>
    <n v="2.3"/>
    <n v="0.46"/>
    <x v="6"/>
    <s v="VALIDATED"/>
    <n v="1"/>
    <s v="01.11.80.302.6300.0000"/>
    <n v="2.3"/>
    <s v="11"/>
    <s v="6300"/>
    <n v="1945.34"/>
    <n v="2.3"/>
    <s v="CREDITOR"/>
    <n v="0"/>
    <n v="0"/>
    <n v="0"/>
    <n v="0"/>
    <n v="2.3"/>
  </r>
  <r>
    <n v="10578935"/>
    <s v="N"/>
    <n v="21331013"/>
    <s v="3000006413340006"/>
    <s v="CIVIL"/>
    <d v="2023-06-22T00:00:00"/>
    <d v="2023-07-05T19:01:47"/>
    <m/>
    <d v="2023-07-05T00:00:00"/>
    <n v="883"/>
    <n v="17474"/>
    <s v="10578935"/>
    <s v="10578935"/>
    <m/>
    <m/>
    <n v="22739862"/>
    <m/>
    <m/>
    <m/>
    <s v="SOLFIN"/>
    <s v="SOLFIN"/>
    <s v="CCMS"/>
    <n v="21331013"/>
    <n v="3440.95"/>
    <m/>
    <s v="N"/>
    <n v="21"/>
    <d v="2023-07-05T19:02:01"/>
    <s v="Y"/>
    <s v="Attendance upon other side"/>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11"/>
    <d v="2023-07-05T19:02:01"/>
    <s v="Y"/>
    <s v="Preparation - drafting notice(s)"/>
    <s v="Prescribed Hourly Rates"/>
    <s v="Profit Cost"/>
    <s v="SDW"/>
    <s v="Y"/>
    <n v="10.98"/>
    <n v="2.2"/>
    <x v="6"/>
    <s v="VALIDATED"/>
    <n v="1"/>
    <s v="01.11.80.302.6100.0000"/>
    <n v="10.98"/>
    <s v="11"/>
    <s v="6100"/>
    <n v="1945.34"/>
    <n v="10.98"/>
    <s v="CREDITOR"/>
    <n v="0"/>
    <n v="0"/>
    <n v="0"/>
    <n v="0"/>
    <n v="10.98"/>
  </r>
  <r>
    <n v="10578935"/>
    <s v="N"/>
    <n v="21331013"/>
    <s v="3000006413340006"/>
    <s v="CIVIL"/>
    <d v="2023-06-22T00:00:00"/>
    <d v="2023-07-05T19:01:47"/>
    <m/>
    <d v="2023-07-05T00:00:00"/>
    <n v="883"/>
    <n v="17474"/>
    <s v="10578935"/>
    <s v="10578935"/>
    <m/>
    <m/>
    <n v="22739862"/>
    <m/>
    <m/>
    <m/>
    <s v="SOLFIN"/>
    <s v="SOLFIN"/>
    <s v="CCMS"/>
    <n v="21331013"/>
    <n v="3440.95"/>
    <m/>
    <s v="N"/>
    <n v="25"/>
    <d v="2023-07-05T19:02:01"/>
    <s v="Y"/>
    <s v="Preparation - drafting consent orde"/>
    <s v="Prescribed Hourly Rates"/>
    <s v="Profit Cost"/>
    <s v="SDW"/>
    <s v="Y"/>
    <n v="5.49"/>
    <n v="1.1"/>
    <x v="6"/>
    <s v="VALIDATED"/>
    <n v="1"/>
    <s v="01.11.80.302.6100.0000"/>
    <n v="5.49"/>
    <s v="11"/>
    <s v="6100"/>
    <n v="1945.34"/>
    <n v="5.49"/>
    <s v="CREDITOR"/>
    <n v="0"/>
    <n v="0"/>
    <n v="0"/>
    <n v="0"/>
    <n v="5.49"/>
  </r>
  <r>
    <n v="10578935"/>
    <s v="N"/>
    <n v="21331013"/>
    <s v="3000006413340006"/>
    <s v="CIVIL"/>
    <d v="2023-06-22T00:00:00"/>
    <d v="2023-07-05T19:01:47"/>
    <m/>
    <d v="2023-07-05T00:00:00"/>
    <n v="883"/>
    <n v="17474"/>
    <s v="10578935"/>
    <s v="10578935"/>
    <m/>
    <m/>
    <n v="22739862"/>
    <m/>
    <m/>
    <m/>
    <s v="SOLFIN"/>
    <s v="SOLFIN"/>
    <s v="CCMS"/>
    <n v="21331013"/>
    <n v="3440.95"/>
    <m/>
    <s v="N"/>
    <n v="26"/>
    <d v="2023-07-05T19:02:01"/>
    <s v="Y"/>
    <s v="Preparation - other"/>
    <s v="Prescribed Hourly Rates"/>
    <s v="Profit Cost"/>
    <s v="SDW"/>
    <s v="Y"/>
    <n v="10.98"/>
    <n v="2.2"/>
    <x v="6"/>
    <s v="VALIDATED"/>
    <n v="1"/>
    <s v="01.11.80.302.6100.0000"/>
    <n v="10.98"/>
    <s v="11"/>
    <s v="6100"/>
    <n v="1945.34"/>
    <n v="10.98"/>
    <s v="CREDITOR"/>
    <n v="0"/>
    <n v="0"/>
    <n v="0"/>
    <n v="0"/>
    <n v="10.98"/>
  </r>
  <r>
    <n v="10578935"/>
    <s v="N"/>
    <n v="21333827"/>
    <s v="3000006413340005RC"/>
    <s v="CIVIL"/>
    <d v="2023-06-22T00:00:00"/>
    <d v="2023-07-05T19:42:28"/>
    <m/>
    <d v="2023-07-05T00:00:00"/>
    <n v="883"/>
    <n v="17474"/>
    <s v="10578935"/>
    <s v="10578935"/>
    <m/>
    <m/>
    <m/>
    <m/>
    <m/>
    <m/>
    <s v="SOLRECOUP"/>
    <s v="SOLRECOUP"/>
    <s v="POARECOUP"/>
    <n v="21333827"/>
    <n v="-203.74"/>
    <m/>
    <s v="Y"/>
    <n v="2"/>
    <d v="2023-07-05T19:42:29"/>
    <s v="N"/>
    <m/>
    <m/>
    <s v="Profit Cost"/>
    <m/>
    <s v="N"/>
    <n v="0"/>
    <n v="-33.96"/>
    <x v="6"/>
    <s v="VALIDATED"/>
    <n v="1"/>
    <s v="01.11.80.302.2013.0000"/>
    <n v="-33.96"/>
    <s v="11"/>
    <s v="2013"/>
    <n v="1945.34"/>
    <n v="-33.96"/>
    <s v="CREDITOR"/>
    <n v="0"/>
    <n v="0"/>
    <n v="-33.96"/>
    <n v="-8.49"/>
    <n v="0"/>
  </r>
  <r>
    <n v="10578935"/>
    <s v="N"/>
    <n v="21331013"/>
    <s v="3000006413340006"/>
    <s v="CIVIL"/>
    <d v="2023-06-22T00:00:00"/>
    <d v="2023-07-05T19:01:47"/>
    <m/>
    <d v="2023-07-05T00:00:00"/>
    <n v="883"/>
    <n v="17474"/>
    <s v="10578935"/>
    <s v="10578935"/>
    <m/>
    <m/>
    <n v="22739862"/>
    <m/>
    <m/>
    <m/>
    <s v="SOLFIN"/>
    <s v="SOLFIN"/>
    <s v="CCMS"/>
    <n v="21331013"/>
    <n v="3440.95"/>
    <m/>
    <s v="N"/>
    <n v="5"/>
    <d v="2023-07-05T19:02:01"/>
    <s v="Y"/>
    <s v="Hearing Unit 2.31 - 5.00 Hours"/>
    <s v="Domestic Abuse"/>
    <s v="Advocacy"/>
    <s v="SDW"/>
    <s v="Y"/>
    <n v="407.52"/>
    <n v="81.52"/>
    <x v="6"/>
    <s v="VALIDATED"/>
    <n v="1"/>
    <s v="01.11.80.302.6100.0000"/>
    <n v="407.52"/>
    <s v="11"/>
    <s v="6100"/>
    <n v="1945.34"/>
    <n v="407.52"/>
    <s v="CREDITOR"/>
    <n v="0"/>
    <n v="0"/>
    <n v="0"/>
    <n v="0"/>
    <n v="407.52"/>
  </r>
  <r>
    <n v="10578935"/>
    <s v="N"/>
    <n v="21331013"/>
    <s v="3000006413340006"/>
    <s v="CIVIL"/>
    <d v="2023-06-22T00:00:00"/>
    <d v="2023-07-05T19:01:47"/>
    <m/>
    <d v="2023-07-05T00:00:00"/>
    <n v="883"/>
    <n v="17474"/>
    <s v="10578935"/>
    <s v="10578935"/>
    <m/>
    <m/>
    <n v="22739862"/>
    <m/>
    <m/>
    <m/>
    <s v="SOLFIN"/>
    <s v="SOLFIN"/>
    <s v="CCMS"/>
    <n v="21331013"/>
    <n v="3440.95"/>
    <m/>
    <s v="N"/>
    <n v="37"/>
    <d v="2023-07-05T19:02:01"/>
    <s v="Y"/>
    <s v="Attendance upon client"/>
    <s v="Prescribed Hourly Rates"/>
    <s v="Profit Cost"/>
    <s v="SDW"/>
    <s v="Y"/>
    <n v="10.98"/>
    <n v="2.2"/>
    <x v="6"/>
    <s v="VALIDATED"/>
    <n v="1"/>
    <s v="01.11.80.302.6100.0000"/>
    <n v="10.98"/>
    <s v="11"/>
    <s v="6100"/>
    <n v="1945.34"/>
    <n v="10.98"/>
    <s v="CREDITOR"/>
    <n v="0"/>
    <n v="0"/>
    <n v="0"/>
    <n v="0"/>
    <n v="10.98"/>
  </r>
  <r>
    <n v="10578935"/>
    <s v="N"/>
    <n v="21333823"/>
    <s v="3000006413340001RC"/>
    <s v="CIVIL"/>
    <d v="2023-06-22T00:00:00"/>
    <d v="2023-07-05T19:42:28"/>
    <m/>
    <d v="2023-07-05T00:00:00"/>
    <n v="883"/>
    <n v="17474"/>
    <s v="10578935"/>
    <s v="10578935"/>
    <m/>
    <m/>
    <m/>
    <m/>
    <m/>
    <m/>
    <s v="SOLRECOUP"/>
    <s v="SOLRECOUP"/>
    <s v="POARECOUP"/>
    <n v="21333823"/>
    <n v="-160.25"/>
    <m/>
    <s v="Y"/>
    <n v="1"/>
    <d v="2023-07-05T19:42:29"/>
    <s v="N"/>
    <m/>
    <m/>
    <s v="Non Expert Disbursement"/>
    <m/>
    <s v="N"/>
    <n v="-160.25"/>
    <n v="0"/>
    <x v="6"/>
    <s v="VALIDATED"/>
    <n v="1"/>
    <s v="01.11.80.302.2013.0000"/>
    <n v="-160.25"/>
    <s v="11"/>
    <s v="2013"/>
    <n v="1945.34"/>
    <n v="-160.25"/>
    <s v="CREDITOR"/>
    <n v="0"/>
    <n v="0"/>
    <n v="-160.25"/>
    <n v="0"/>
    <n v="0"/>
  </r>
  <r>
    <n v="10578935"/>
    <s v="N"/>
    <n v="21333823"/>
    <s v="3000006413340001RC"/>
    <s v="CIVIL"/>
    <d v="2023-06-22T00:00:00"/>
    <d v="2023-07-05T19:42:28"/>
    <m/>
    <d v="2023-07-05T00:00:00"/>
    <n v="883"/>
    <n v="17474"/>
    <s v="10578935"/>
    <s v="10578935"/>
    <m/>
    <m/>
    <m/>
    <m/>
    <m/>
    <m/>
    <s v="SOLRECOUP"/>
    <s v="SOLRECOUP"/>
    <s v="POARECOUP"/>
    <n v="21333823"/>
    <n v="-160.25"/>
    <m/>
    <s v="Y"/>
    <n v="2"/>
    <d v="2023-07-05T19:42:29"/>
    <s v="N"/>
    <m/>
    <m/>
    <s v="Non Expert Disbursement"/>
    <m/>
    <s v="N"/>
    <n v="0"/>
    <n v="0"/>
    <x v="6"/>
    <s v="VALIDATED"/>
    <n v="1"/>
    <s v="01.11.80.000.0000.0000"/>
    <n v="0"/>
    <s v="11"/>
    <s v="0000"/>
    <n v="1945.34"/>
    <n v="0"/>
    <s v="CREDITOR"/>
    <n v="0"/>
    <n v="0"/>
    <n v="0"/>
    <n v="0"/>
    <n v="0"/>
  </r>
  <r>
    <n v="10578935"/>
    <s v="N"/>
    <n v="21333824"/>
    <s v="3000006413340002RC"/>
    <s v="CIVIL"/>
    <d v="2023-06-22T00:00:00"/>
    <d v="2023-07-05T19:42:28"/>
    <m/>
    <d v="2023-07-05T00:00:00"/>
    <n v="883"/>
    <n v="17474"/>
    <s v="10578935"/>
    <s v="10578935"/>
    <m/>
    <m/>
    <m/>
    <m/>
    <m/>
    <m/>
    <s v="SOLRECOUP"/>
    <s v="SOLRECOUP"/>
    <s v="POARECOUP"/>
    <n v="21333824"/>
    <n v="-215"/>
    <m/>
    <s v="Y"/>
    <n v="1"/>
    <d v="2023-07-05T19:42:29"/>
    <s v="N"/>
    <m/>
    <m/>
    <s v="Non Expert Disbursement"/>
    <m/>
    <s v="N"/>
    <n v="-215"/>
    <n v="0"/>
    <x v="6"/>
    <s v="VALIDATED"/>
    <n v="1"/>
    <s v="01.11.80.302.2013.0000"/>
    <n v="-215"/>
    <s v="11"/>
    <s v="2013"/>
    <n v="1945.34"/>
    <n v="-215"/>
    <s v="CREDITOR"/>
    <n v="0"/>
    <n v="0"/>
    <n v="-215"/>
    <n v="0"/>
    <n v="0"/>
  </r>
  <r>
    <n v="10578935"/>
    <s v="N"/>
    <n v="21333824"/>
    <s v="3000006413340002RC"/>
    <s v="CIVIL"/>
    <d v="2023-06-22T00:00:00"/>
    <d v="2023-07-05T19:42:28"/>
    <m/>
    <d v="2023-07-05T00:00:00"/>
    <n v="883"/>
    <n v="17474"/>
    <s v="10578935"/>
    <s v="10578935"/>
    <m/>
    <m/>
    <m/>
    <m/>
    <m/>
    <m/>
    <s v="SOLRECOUP"/>
    <s v="SOLRECOUP"/>
    <s v="POARECOUP"/>
    <n v="21333824"/>
    <n v="-215"/>
    <m/>
    <s v="Y"/>
    <n v="2"/>
    <d v="2023-07-05T19:42:29"/>
    <s v="N"/>
    <m/>
    <m/>
    <s v="Non Expert Disbursement"/>
    <m/>
    <s v="N"/>
    <n v="0"/>
    <n v="0"/>
    <x v="6"/>
    <s v="VALIDATED"/>
    <n v="1"/>
    <s v="01.11.80.000.0000.0000"/>
    <n v="0"/>
    <s v="11"/>
    <s v="0000"/>
    <n v="1945.34"/>
    <n v="0"/>
    <s v="CREDITOR"/>
    <n v="0"/>
    <n v="0"/>
    <n v="0"/>
    <n v="0"/>
    <n v="0"/>
  </r>
  <r>
    <n v="10578935"/>
    <s v="N"/>
    <n v="21333825"/>
    <s v="3000006413340003RC"/>
    <s v="CIVIL"/>
    <d v="2023-06-22T00:00:00"/>
    <d v="2023-07-05T19:42:28"/>
    <m/>
    <d v="2023-07-05T00:00:00"/>
    <n v="883"/>
    <n v="17474"/>
    <s v="10578935"/>
    <s v="10578935"/>
    <m/>
    <m/>
    <m/>
    <m/>
    <m/>
    <m/>
    <s v="SOLRECOUP"/>
    <s v="SOLRECOUP"/>
    <s v="POARECOUP"/>
    <n v="21333825"/>
    <n v="-645.34"/>
    <m/>
    <s v="Y"/>
    <n v="1"/>
    <d v="2023-07-05T19:42:29"/>
    <s v="N"/>
    <m/>
    <m/>
    <s v="Profit Cost"/>
    <m/>
    <s v="N"/>
    <n v="-537.78"/>
    <n v="0"/>
    <x v="6"/>
    <s v="VALIDATED"/>
    <n v="1"/>
    <s v="01.11.80.302.2013.0000"/>
    <n v="-537.78"/>
    <s v="11"/>
    <s v="2013"/>
    <n v="1945.34"/>
    <n v="-537.78"/>
    <s v="CREDITOR"/>
    <n v="0"/>
    <n v="0"/>
    <n v="-537.78"/>
    <n v="-134.445"/>
    <n v="0"/>
  </r>
  <r>
    <n v="10578935"/>
    <s v="N"/>
    <n v="21333825"/>
    <s v="3000006413340003RC"/>
    <s v="CIVIL"/>
    <d v="2023-06-22T00:00:00"/>
    <d v="2023-07-05T19:42:28"/>
    <m/>
    <d v="2023-07-05T00:00:00"/>
    <n v="883"/>
    <n v="17474"/>
    <s v="10578935"/>
    <s v="10578935"/>
    <m/>
    <m/>
    <m/>
    <m/>
    <m/>
    <m/>
    <s v="SOLRECOUP"/>
    <s v="SOLRECOUP"/>
    <s v="POARECOUP"/>
    <n v="21333825"/>
    <n v="-645.34"/>
    <m/>
    <s v="Y"/>
    <n v="2"/>
    <d v="2023-07-05T19:42:29"/>
    <s v="N"/>
    <m/>
    <m/>
    <s v="Profit Cost"/>
    <m/>
    <s v="N"/>
    <n v="0"/>
    <n v="-107.56"/>
    <x v="6"/>
    <s v="VALIDATED"/>
    <n v="1"/>
    <s v="01.11.80.302.2013.0000"/>
    <n v="-107.56"/>
    <s v="11"/>
    <s v="2013"/>
    <n v="1945.34"/>
    <n v="-107.56"/>
    <s v="CREDITOR"/>
    <n v="0"/>
    <n v="0"/>
    <n v="-107.56"/>
    <n v="-26.89"/>
    <n v="0"/>
  </r>
  <r>
    <n v="10578935"/>
    <s v="N"/>
    <n v="21333826"/>
    <s v="3000006413340004RC"/>
    <s v="CIVIL"/>
    <d v="2023-06-22T00:00:00"/>
    <d v="2023-07-05T19:42:28"/>
    <m/>
    <d v="2023-07-05T00:00:00"/>
    <n v="883"/>
    <n v="17474"/>
    <s v="10578935"/>
    <s v="10578935"/>
    <m/>
    <m/>
    <m/>
    <m/>
    <m/>
    <m/>
    <s v="SOLRECOUP"/>
    <s v="SOLRECOUP"/>
    <s v="POARECOUP"/>
    <n v="21333826"/>
    <n v="-458.77"/>
    <m/>
    <s v="Y"/>
    <n v="1"/>
    <d v="2023-07-05T19:42:29"/>
    <s v="N"/>
    <m/>
    <m/>
    <s v="Profit Cost"/>
    <m/>
    <s v="N"/>
    <n v="-382.31"/>
    <n v="0"/>
    <x v="6"/>
    <s v="VALIDATED"/>
    <n v="1"/>
    <s v="01.11.80.302.2013.0000"/>
    <n v="-382.31"/>
    <s v="11"/>
    <s v="2013"/>
    <n v="1945.34"/>
    <n v="-382.31"/>
    <s v="CREDITOR"/>
    <n v="0"/>
    <n v="0"/>
    <n v="-382.31"/>
    <n v="-95.5775"/>
    <n v="0"/>
  </r>
  <r>
    <n v="10578935"/>
    <s v="N"/>
    <n v="21333826"/>
    <s v="3000006413340004RC"/>
    <s v="CIVIL"/>
    <d v="2023-06-22T00:00:00"/>
    <d v="2023-07-05T19:42:28"/>
    <m/>
    <d v="2023-07-05T00:00:00"/>
    <n v="883"/>
    <n v="17474"/>
    <s v="10578935"/>
    <s v="10578935"/>
    <m/>
    <m/>
    <m/>
    <m/>
    <m/>
    <m/>
    <s v="SOLRECOUP"/>
    <s v="SOLRECOUP"/>
    <s v="POARECOUP"/>
    <n v="21333826"/>
    <n v="-458.77"/>
    <m/>
    <s v="Y"/>
    <n v="2"/>
    <d v="2023-07-05T19:42:29"/>
    <s v="N"/>
    <m/>
    <m/>
    <s v="Profit Cost"/>
    <m/>
    <s v="N"/>
    <n v="0"/>
    <n v="-76.45999999999999"/>
    <x v="6"/>
    <s v="VALIDATED"/>
    <n v="1"/>
    <s v="01.11.80.302.2013.0000"/>
    <n v="-76.45999999999999"/>
    <s v="11"/>
    <s v="2013"/>
    <n v="1945.34"/>
    <n v="-76.45999999999999"/>
    <s v="CREDITOR"/>
    <n v="0"/>
    <n v="0"/>
    <n v="-76.45999999999999"/>
    <n v="-19.115"/>
    <n v="0"/>
  </r>
  <r>
    <n v="59841806"/>
    <s v="N"/>
    <n v="21369829"/>
    <s v="3000014196540012"/>
    <s v="CIVIL"/>
    <d v="2023-06-22T00:00:00"/>
    <d v="2023-07-13T19:21:05"/>
    <m/>
    <d v="2023-07-13T00:00:00"/>
    <n v="899"/>
    <n v="2202"/>
    <s v="59841806"/>
    <s v="59841806"/>
    <m/>
    <m/>
    <n v="22744948"/>
    <m/>
    <m/>
    <m/>
    <s v="SOLPOA"/>
    <s v="SOLPOA"/>
    <s v="CCMS"/>
    <n v="21369829"/>
    <n v="1448.4"/>
    <m/>
    <s v="N"/>
    <n v="1"/>
    <d v="2023-07-13T19:21:11"/>
    <s v="N"/>
    <s v="Non Expert Disbursement - Private L"/>
    <s v="Non Expert Disbursement - Priv"/>
    <s v="Non Expert Disbursement"/>
    <s v="DE"/>
    <s v="N"/>
    <n v="1207"/>
    <n v="241.4"/>
    <x v="11"/>
    <s v="VALIDATED"/>
    <n v="1"/>
    <s v="01.11.80.307.2012.0000"/>
    <n v="1207"/>
    <s v="11"/>
    <s v="2012"/>
    <n v="1207"/>
    <n v="1207"/>
    <s v="CREDITOR"/>
    <n v="1207"/>
    <n v="0"/>
    <n v="0"/>
    <n v="0"/>
    <n v="0"/>
  </r>
  <r>
    <n v="60498400"/>
    <s v="N"/>
    <n v="21322106"/>
    <s v="3000014766550003"/>
    <s v="CIVIL"/>
    <d v="2023-06-29T00:00:00"/>
    <d v="2023-07-03T19:05:17"/>
    <m/>
    <d v="2023-07-03T00:00:00"/>
    <n v="904"/>
    <n v="2248"/>
    <s v="60498400"/>
    <s v="60498400"/>
    <m/>
    <m/>
    <n v="22788042"/>
    <m/>
    <m/>
    <m/>
    <s v="SOLPOA"/>
    <s v="SOLPOA"/>
    <s v="CCMS"/>
    <n v="21322106"/>
    <n v="232"/>
    <m/>
    <s v="N"/>
    <n v="1"/>
    <d v="2023-07-03T19:05:22"/>
    <s v="N"/>
    <s v="Non Expert Disbursement - Private L"/>
    <s v="Non Expert Disbursement - Priv"/>
    <s v="Non Expert Disbursement"/>
    <s v="Nicola Cuggy"/>
    <s v="N"/>
    <n v="232"/>
    <n v="0"/>
    <x v="3"/>
    <s v="VALIDATED"/>
    <n v="1"/>
    <s v="01.11.80.307.2012.0000"/>
    <n v="232"/>
    <s v="11"/>
    <s v="2012"/>
    <n v="232"/>
    <n v="232"/>
    <s v="CREDITOR"/>
    <n v="232"/>
    <n v="0"/>
    <n v="0"/>
    <n v="0"/>
    <n v="0"/>
  </r>
  <r>
    <n v="60040781"/>
    <s v="N"/>
    <n v="21338054"/>
    <s v="3000014380340006"/>
    <s v="CIVIL"/>
    <d v="2023-06-29T00:00:00"/>
    <d v="2023-07-06T19:21:01"/>
    <m/>
    <d v="2023-07-06T00:00:00"/>
    <n v="904"/>
    <n v="2248"/>
    <s v="60040781"/>
    <s v="60040781"/>
    <m/>
    <m/>
    <n v="22789696"/>
    <m/>
    <m/>
    <m/>
    <s v="SOLPOA"/>
    <s v="SOLPOA"/>
    <s v="CCMS"/>
    <n v="21338054"/>
    <n v="478.4"/>
    <m/>
    <s v="N"/>
    <n v="1"/>
    <d v="2023-07-06T19:21:11"/>
    <s v="N"/>
    <s v="Non Expert Disbursement"/>
    <s v="Non Expert Disbursement"/>
    <s v="Non Expert Disbursement"/>
    <s v="Simon Goddard"/>
    <s v="N"/>
    <n v="478.4"/>
    <n v="0"/>
    <x v="4"/>
    <s v="VALIDATED"/>
    <n v="1"/>
    <s v="01.11.80.308.2012.0000"/>
    <n v="478.4"/>
    <s v="11"/>
    <s v="2012"/>
    <n v="232"/>
    <n v="478.4"/>
    <s v="CREDITOR"/>
    <n v="478.4"/>
    <n v="0"/>
    <n v="0"/>
    <n v="0"/>
    <n v="0"/>
  </r>
  <r>
    <n v="43354590"/>
    <s v="N"/>
    <n v="21349310"/>
    <s v="3000011469770010"/>
    <s v="CIVIL"/>
    <d v="2023-06-29T00:00:00"/>
    <d v="2023-07-10T19:01:40"/>
    <m/>
    <d v="2023-07-10T00:00:00"/>
    <n v="904"/>
    <n v="2248"/>
    <s v="43354590"/>
    <s v="43354590"/>
    <m/>
    <m/>
    <n v="22789626"/>
    <m/>
    <m/>
    <m/>
    <s v="SOLINT"/>
    <s v="SOLINT"/>
    <s v="CCMS"/>
    <n v="21349310"/>
    <n v="0"/>
    <m/>
    <s v="N"/>
    <n v="1"/>
    <d v="2023-07-10T19:01:46"/>
    <s v="N"/>
    <s v="NIL BILL"/>
    <s v="Private Law Children"/>
    <s v="Profit Cost"/>
    <s v="Fiona Mayers"/>
    <s v="N"/>
    <n v="0"/>
    <n v="0"/>
    <x v="2"/>
    <s v="VALIDATED"/>
    <n v="1"/>
    <s v="01.11.80.307.6100.0000"/>
    <n v="0"/>
    <s v="11"/>
    <s v="6100"/>
    <n v="232"/>
    <n v="0"/>
    <s v="CREDITOR"/>
    <n v="0"/>
    <n v="0"/>
    <n v="0"/>
    <n v="0"/>
    <n v="0"/>
  </r>
  <r>
    <n v="43354590"/>
    <s v="N"/>
    <n v="21356442"/>
    <s v="3000011469770004RC"/>
    <s v="CIVIL"/>
    <d v="2023-06-29T00:00:00"/>
    <d v="2023-07-10T19:47:44"/>
    <m/>
    <d v="2023-07-10T00:00:00"/>
    <n v="904"/>
    <n v="2248"/>
    <s v="43354590"/>
    <s v="43354590"/>
    <m/>
    <m/>
    <m/>
    <m/>
    <m/>
    <m/>
    <s v="SOLRECOUP"/>
    <s v="SOLRECOUP"/>
    <s v="POARECOUP"/>
    <n v="21356442"/>
    <n v="-478.4"/>
    <m/>
    <s v="Y"/>
    <n v="1"/>
    <d v="2023-07-10T19:47:45"/>
    <s v="N"/>
    <m/>
    <m/>
    <s v="Non Expert Disbursement"/>
    <m/>
    <s v="N"/>
    <n v="-478.4"/>
    <n v="0"/>
    <x v="2"/>
    <s v="VALIDATED"/>
    <n v="1"/>
    <s v="01.11.80.307.2013.0000"/>
    <n v="-478.4"/>
    <s v="11"/>
    <s v="2013"/>
    <n v="232"/>
    <n v="-478.4"/>
    <s v="CREDITOR"/>
    <n v="0"/>
    <n v="0"/>
    <n v="-478.4"/>
    <n v="0"/>
    <n v="0"/>
  </r>
  <r>
    <n v="43354590"/>
    <s v="N"/>
    <n v="21356442"/>
    <s v="3000011469770004RC"/>
    <s v="CIVIL"/>
    <d v="2023-06-29T00:00:00"/>
    <d v="2023-07-10T19:47:44"/>
    <m/>
    <d v="2023-07-10T00:00:00"/>
    <n v="904"/>
    <n v="2248"/>
    <s v="43354590"/>
    <s v="43354590"/>
    <m/>
    <m/>
    <m/>
    <m/>
    <m/>
    <m/>
    <s v="SOLRECOUP"/>
    <s v="SOLRECOUP"/>
    <s v="POARECOUP"/>
    <n v="21356442"/>
    <n v="-478.4"/>
    <m/>
    <s v="Y"/>
    <n v="2"/>
    <d v="2023-07-10T19:47:45"/>
    <s v="N"/>
    <m/>
    <m/>
    <s v="Non Expert Disbursement"/>
    <m/>
    <s v="N"/>
    <n v="0"/>
    <n v="0"/>
    <x v="2"/>
    <s v="VALIDATED"/>
    <n v="1"/>
    <s v="01.11.80.000.0000.0000"/>
    <n v="0"/>
    <s v="11"/>
    <s v="0000"/>
    <n v="232"/>
    <n v="0"/>
    <s v="CREDITOR"/>
    <n v="0"/>
    <n v="0"/>
    <n v="0"/>
    <n v="0"/>
    <n v="0"/>
  </r>
  <r>
    <n v="34803568"/>
    <s v="N"/>
    <n v="21320030"/>
    <s v="3000010063520016"/>
    <s v="CIVIL"/>
    <d v="2023-06-27T00:00:00"/>
    <d v="2023-07-03T19:04:24"/>
    <m/>
    <d v="2023-07-03T00:00:00"/>
    <n v="915"/>
    <n v="19140"/>
    <s v="34803568"/>
    <s v="34803568"/>
    <m/>
    <m/>
    <n v="22774992"/>
    <m/>
    <m/>
    <m/>
    <s v="SOLFIN"/>
    <s v="SOLFIN"/>
    <s v="CCMS"/>
    <n v="21320030"/>
    <n v="17432.76"/>
    <m/>
    <s v="N"/>
    <n v="8"/>
    <d v="2023-07-03T19:04:28"/>
    <s v="Y"/>
    <s v="Psychologist"/>
    <s v="Public Law Children"/>
    <s v="Expert Disbursement"/>
    <s v="Terrance Boulter"/>
    <s v="Y"/>
    <n v="1638"/>
    <n v="327.6"/>
    <x v="3"/>
    <s v="VALIDATED"/>
    <n v="1"/>
    <s v="01.11.80.308.6300.0000"/>
    <n v="1638"/>
    <s v="11"/>
    <s v="6300"/>
    <n v="17937.03"/>
    <n v="1638"/>
    <s v="CREDITOR"/>
    <n v="0"/>
    <n v="0"/>
    <n v="0"/>
    <n v="0"/>
    <n v="1638"/>
  </r>
  <r>
    <n v="34803568"/>
    <s v="N"/>
    <n v="21320030"/>
    <s v="3000010063520016"/>
    <s v="CIVIL"/>
    <d v="2023-06-27T00:00:00"/>
    <d v="2023-07-03T19:04:24"/>
    <m/>
    <d v="2023-07-03T00:00:00"/>
    <n v="915"/>
    <n v="19140"/>
    <s v="34803568"/>
    <s v="34803568"/>
    <m/>
    <m/>
    <n v="22774992"/>
    <m/>
    <m/>
    <m/>
    <s v="SOLFIN"/>
    <s v="SOLFIN"/>
    <s v="CCMS"/>
    <n v="21320030"/>
    <n v="17432.76"/>
    <m/>
    <s v="N"/>
    <n v="33"/>
    <d v="2023-07-03T19:04:28"/>
    <s v="Y"/>
    <s v="Attendance upon client"/>
    <s v="Care Remuneration Hourly Rates"/>
    <s v="Profit Cost"/>
    <s v="Terrance Boulter"/>
    <s v="Y"/>
    <n v="18.14"/>
    <n v="3.63"/>
    <x v="3"/>
    <s v="VALIDATED"/>
    <n v="1"/>
    <s v="01.11.80.308.6100.0000"/>
    <n v="18.14"/>
    <s v="11"/>
    <s v="6100"/>
    <n v="17937.03"/>
    <n v="18.14"/>
    <s v="CREDITOR"/>
    <n v="0"/>
    <n v="0"/>
    <n v="0"/>
    <n v="0"/>
    <n v="18.14"/>
  </r>
  <r>
    <n v="34803568"/>
    <s v="N"/>
    <n v="21320030"/>
    <s v="3000010063520016"/>
    <s v="CIVIL"/>
    <d v="2023-06-27T00:00:00"/>
    <d v="2023-07-03T19:04:24"/>
    <m/>
    <d v="2023-07-03T00:00:00"/>
    <n v="915"/>
    <n v="19140"/>
    <s v="34803568"/>
    <s v="34803568"/>
    <m/>
    <m/>
    <n v="22774992"/>
    <m/>
    <m/>
    <m/>
    <s v="SOLFIN"/>
    <s v="SOLFIN"/>
    <s v="CCMS"/>
    <n v="21320030"/>
    <n v="17432.76"/>
    <m/>
    <s v="N"/>
    <n v="41"/>
    <d v="2023-07-03T19:04:28"/>
    <s v="Y"/>
    <s v="Attendance upon client"/>
    <s v="Care Remuneration Hourly Rates"/>
    <s v="Profit Cost"/>
    <s v="Terrance Boulter"/>
    <s v="Y"/>
    <n v="24.18"/>
    <n v="4.84"/>
    <x v="3"/>
    <s v="VALIDATED"/>
    <n v="1"/>
    <s v="01.11.80.308.6100.0000"/>
    <n v="24.18"/>
    <s v="11"/>
    <s v="6100"/>
    <n v="17937.03"/>
    <n v="24.18"/>
    <s v="CREDITOR"/>
    <n v="0"/>
    <n v="0"/>
    <n v="0"/>
    <n v="0"/>
    <n v="24.18"/>
  </r>
  <r>
    <n v="34803568"/>
    <s v="N"/>
    <n v="21320030"/>
    <s v="3000010063520016"/>
    <s v="CIVIL"/>
    <d v="2023-06-27T00:00:00"/>
    <d v="2023-07-03T19:04:24"/>
    <m/>
    <d v="2023-07-03T00:00:00"/>
    <n v="915"/>
    <n v="19140"/>
    <s v="34803568"/>
    <s v="34803568"/>
    <m/>
    <m/>
    <n v="22774992"/>
    <m/>
    <m/>
    <m/>
    <s v="SOLFIN"/>
    <s v="SOLFIN"/>
    <s v="CCMS"/>
    <n v="21320030"/>
    <n v="17432.76"/>
    <m/>
    <s v="N"/>
    <n v="18"/>
    <d v="2023-07-03T19:04:28"/>
    <s v="Y"/>
    <s v="Attendance upon client"/>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28"/>
    <d v="2023-07-03T19:04:28"/>
    <s v="Y"/>
    <s v="Attendance upon client"/>
    <s v="Care Remuneration Hourly Rates"/>
    <s v="Profit Cost"/>
    <s v="Terrance Boulter"/>
    <s v="Y"/>
    <n v="24.18"/>
    <n v="4.84"/>
    <x v="3"/>
    <s v="VALIDATED"/>
    <n v="1"/>
    <s v="01.11.80.308.6100.0000"/>
    <n v="24.18"/>
    <s v="11"/>
    <s v="6100"/>
    <n v="17937.03"/>
    <n v="24.18"/>
    <s v="CREDITOR"/>
    <n v="0"/>
    <n v="0"/>
    <n v="0"/>
    <n v="0"/>
    <n v="24.18"/>
  </r>
  <r>
    <n v="34803568"/>
    <s v="N"/>
    <n v="21320030"/>
    <s v="3000010063520016"/>
    <s v="CIVIL"/>
    <d v="2023-06-27T00:00:00"/>
    <d v="2023-07-03T19:04:24"/>
    <m/>
    <d v="2023-07-03T00:00:00"/>
    <n v="915"/>
    <n v="19140"/>
    <s v="34803568"/>
    <s v="34803568"/>
    <m/>
    <m/>
    <n v="22774992"/>
    <m/>
    <m/>
    <m/>
    <s v="SOLFIN"/>
    <s v="SOLFIN"/>
    <s v="CCMS"/>
    <n v="21320030"/>
    <n v="17432.76"/>
    <m/>
    <s v="N"/>
    <n v="55"/>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37"/>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25"/>
    <d v="2023-07-03T19:04:28"/>
    <s v="Y"/>
    <s v="Attendance upon client"/>
    <s v="Care Remuneration Hourly Rates"/>
    <s v="Profit Cost"/>
    <s v="Terrance Boulter"/>
    <s v="Y"/>
    <n v="12.09"/>
    <n v="2.42"/>
    <x v="3"/>
    <s v="VALIDATED"/>
    <n v="1"/>
    <s v="01.11.80.308.6100.0000"/>
    <n v="12.09"/>
    <s v="11"/>
    <s v="6100"/>
    <n v="17937.03"/>
    <n v="12.09"/>
    <s v="CREDITOR"/>
    <n v="0"/>
    <n v="0"/>
    <n v="0"/>
    <n v="0"/>
    <n v="12.09"/>
  </r>
  <r>
    <n v="34803568"/>
    <s v="N"/>
    <n v="21320030"/>
    <s v="3000010063520016"/>
    <s v="CIVIL"/>
    <d v="2023-06-27T00:00:00"/>
    <d v="2023-07-03T19:04:24"/>
    <m/>
    <d v="2023-07-03T00:00:00"/>
    <n v="915"/>
    <n v="19140"/>
    <s v="34803568"/>
    <s v="34803568"/>
    <m/>
    <m/>
    <n v="22774992"/>
    <m/>
    <m/>
    <m/>
    <s v="SOLFIN"/>
    <s v="SOLFIN"/>
    <s v="CCMS"/>
    <n v="21320030"/>
    <n v="17432.76"/>
    <m/>
    <s v="N"/>
    <n v="1"/>
    <d v="2023-07-03T19:04:28"/>
    <s v="N"/>
    <s v="Psychologist"/>
    <s v="Public Law Children"/>
    <s v="Expert Disbursement"/>
    <s v="Terrance Boulter"/>
    <s v="N"/>
    <n v="509.3"/>
    <n v="101.86"/>
    <x v="3"/>
    <s v="VALIDATED"/>
    <n v="1"/>
    <s v="01.11.80.308.6300.0000"/>
    <n v="509.3"/>
    <s v="11"/>
    <s v="6300"/>
    <n v="17937.03"/>
    <n v="509.3"/>
    <s v="CREDITOR"/>
    <n v="0"/>
    <n v="0"/>
    <n v="0"/>
    <n v="0"/>
    <n v="509.3"/>
  </r>
  <r>
    <n v="61436788"/>
    <s v="N"/>
    <n v="21327956"/>
    <s v="3000015570500006"/>
    <s v="CIVIL"/>
    <d v="2023-06-18T00:00:00"/>
    <d v="2023-07-04T19:00:44"/>
    <m/>
    <d v="2023-07-04T00:00:00"/>
    <n v="915"/>
    <n v="19140"/>
    <s v="61436788"/>
    <s v="61436788"/>
    <m/>
    <m/>
    <n v="22711424"/>
    <m/>
    <m/>
    <m/>
    <s v="SOLFIN"/>
    <s v="SOLFIN"/>
    <s v="CCMS"/>
    <n v="21327956"/>
    <n v="4955.83"/>
    <m/>
    <s v="N"/>
    <n v="9"/>
    <d v="2023-07-04T19:01:00"/>
    <s v="Y"/>
    <s v="Hearing Unit 2.31 - 5.00 Hours"/>
    <s v="Public Law Children"/>
    <s v="Advocacy"/>
    <s v="Christopher Redler"/>
    <s v="Y"/>
    <n v="476.92"/>
    <n v="95.38"/>
    <x v="1"/>
    <s v="VALIDATED"/>
    <n v="1"/>
    <s v="01.11.80.308.6100.0000"/>
    <n v="476.92"/>
    <s v="11"/>
    <s v="6100"/>
    <n v="17937.03"/>
    <n v="476.92"/>
    <s v="CREDITOR"/>
    <n v="0"/>
    <n v="0"/>
    <n v="0"/>
    <n v="0"/>
    <n v="476.92"/>
  </r>
  <r>
    <n v="34803568"/>
    <s v="N"/>
    <n v="21320030"/>
    <s v="3000010063520016"/>
    <s v="CIVIL"/>
    <d v="2023-06-27T00:00:00"/>
    <d v="2023-07-03T19:04:24"/>
    <m/>
    <d v="2023-07-03T00:00:00"/>
    <n v="915"/>
    <n v="19140"/>
    <s v="34803568"/>
    <s v="34803568"/>
    <m/>
    <m/>
    <n v="22774992"/>
    <m/>
    <m/>
    <m/>
    <s v="SOLFIN"/>
    <s v="SOLFIN"/>
    <s v="CCMS"/>
    <n v="21320030"/>
    <n v="17432.76"/>
    <m/>
    <s v="N"/>
    <n v="48"/>
    <d v="2023-07-03T19:04:28"/>
    <s v="Y"/>
    <s v="Attendance upon client"/>
    <s v="Care Remuneration Hourly Rates"/>
    <s v="Profit Cost"/>
    <s v="Terrance Boulter"/>
    <s v="Y"/>
    <n v="90.69"/>
    <n v="18.14"/>
    <x v="3"/>
    <s v="VALIDATED"/>
    <n v="1"/>
    <s v="01.11.80.308.6100.0000"/>
    <n v="90.69"/>
    <s v="11"/>
    <s v="6100"/>
    <n v="17937.03"/>
    <n v="90.69"/>
    <s v="CREDITOR"/>
    <n v="0"/>
    <n v="0"/>
    <n v="0"/>
    <n v="0"/>
    <n v="90.69"/>
  </r>
  <r>
    <n v="34803568"/>
    <s v="N"/>
    <n v="21320030"/>
    <s v="3000010063520016"/>
    <s v="CIVIL"/>
    <d v="2023-06-27T00:00:00"/>
    <d v="2023-07-03T19:04:24"/>
    <m/>
    <d v="2023-07-03T00:00:00"/>
    <n v="915"/>
    <n v="19140"/>
    <s v="34803568"/>
    <s v="34803568"/>
    <m/>
    <m/>
    <n v="22774992"/>
    <m/>
    <m/>
    <m/>
    <s v="SOLFIN"/>
    <s v="SOLFIN"/>
    <s v="CCMS"/>
    <n v="21320030"/>
    <n v="17432.76"/>
    <m/>
    <s v="N"/>
    <n v="67"/>
    <d v="2023-07-03T19:04:28"/>
    <s v="Y"/>
    <s v="Attendance upon client"/>
    <s v="Care Remuneration Hourly Rates"/>
    <s v="Profit Cost"/>
    <s v="Terrance Boulter"/>
    <s v="Y"/>
    <n v="18.14"/>
    <n v="3.63"/>
    <x v="3"/>
    <s v="VALIDATED"/>
    <n v="1"/>
    <s v="01.11.80.308.6100.0000"/>
    <n v="18.14"/>
    <s v="11"/>
    <s v="6100"/>
    <n v="17937.03"/>
    <n v="18.14"/>
    <s v="CREDITOR"/>
    <n v="0"/>
    <n v="0"/>
    <n v="0"/>
    <n v="0"/>
    <n v="18.14"/>
  </r>
  <r>
    <n v="61105510"/>
    <s v="N"/>
    <n v="21318320"/>
    <s v="3000015295740004"/>
    <s v="CIVIL"/>
    <d v="2023-06-18T00:00:00"/>
    <d v="2023-07-03T19:01:49"/>
    <m/>
    <d v="2023-07-03T00:00:00"/>
    <n v="915"/>
    <n v="19140"/>
    <s v="61105510"/>
    <s v="61105510"/>
    <m/>
    <m/>
    <n v="22711474"/>
    <m/>
    <m/>
    <m/>
    <s v="SOLFIN"/>
    <s v="SOLFIN"/>
    <s v="CCMS"/>
    <n v="21318320"/>
    <n v="4447.98"/>
    <m/>
    <s v="N"/>
    <n v="1"/>
    <d v="2023-07-03T19:01:53"/>
    <s v="Y"/>
    <s v="Final Hearing Court Bundle/Advocate"/>
    <s v="Public Law Children"/>
    <s v="Advocacy"/>
    <s v="Christopher Redler"/>
    <s v="Y"/>
    <n v="239.4"/>
    <n v="47.88"/>
    <x v="3"/>
    <s v="VALIDATED"/>
    <n v="1"/>
    <s v="01.11.80.308.6100.0000"/>
    <n v="239.4"/>
    <s v="11"/>
    <s v="6100"/>
    <n v="17937.03"/>
    <n v="239.4"/>
    <s v="CREDITOR"/>
    <n v="0"/>
    <n v="0"/>
    <n v="0"/>
    <n v="0"/>
    <n v="239.4"/>
  </r>
  <r>
    <n v="34803568"/>
    <s v="N"/>
    <n v="21320030"/>
    <s v="3000010063520016"/>
    <s v="CIVIL"/>
    <d v="2023-06-27T00:00:00"/>
    <d v="2023-07-03T19:04:24"/>
    <m/>
    <d v="2023-07-03T00:00:00"/>
    <n v="915"/>
    <n v="19140"/>
    <s v="34803568"/>
    <s v="34803568"/>
    <m/>
    <m/>
    <n v="22774992"/>
    <m/>
    <m/>
    <m/>
    <s v="SOLFIN"/>
    <s v="SOLFIN"/>
    <s v="CCMS"/>
    <n v="21320030"/>
    <n v="17432.76"/>
    <m/>
    <s v="N"/>
    <n v="6"/>
    <d v="2023-07-03T19:04:28"/>
    <s v="Y"/>
    <s v="Other"/>
    <s v="Public Law Children"/>
    <s v="Non Expert Disbursement"/>
    <s v="Terrance Boulter"/>
    <s v="Y"/>
    <n v="79.8"/>
    <n v="15.96"/>
    <x v="3"/>
    <s v="VALIDATED"/>
    <n v="1"/>
    <s v="01.11.80.308.6300.0000"/>
    <n v="79.8"/>
    <s v="11"/>
    <s v="6300"/>
    <n v="17937.03"/>
    <n v="79.8"/>
    <s v="CREDITOR"/>
    <n v="0"/>
    <n v="0"/>
    <n v="0"/>
    <n v="0"/>
    <n v="79.8"/>
  </r>
  <r>
    <n v="34803568"/>
    <s v="N"/>
    <n v="21320030"/>
    <s v="3000010063520016"/>
    <s v="CIVIL"/>
    <d v="2023-06-27T00:00:00"/>
    <d v="2023-07-03T19:04:24"/>
    <m/>
    <d v="2023-07-03T00:00:00"/>
    <n v="915"/>
    <n v="19140"/>
    <s v="34803568"/>
    <s v="34803568"/>
    <m/>
    <m/>
    <n v="22774992"/>
    <m/>
    <m/>
    <m/>
    <s v="SOLFIN"/>
    <s v="SOLFIN"/>
    <s v="CCMS"/>
    <n v="21320030"/>
    <n v="17432.76"/>
    <m/>
    <s v="N"/>
    <n v="60"/>
    <d v="2023-07-03T19:04:28"/>
    <s v="Y"/>
    <s v="Attendance upon client"/>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84"/>
    <d v="2023-07-03T19:04:28"/>
    <s v="Y"/>
    <s v="Hearing Unit 1.01 - 2.30 Hours"/>
    <s v="Public Law Children"/>
    <s v="Advocacy"/>
    <s v="Terrance Boulter"/>
    <s v="Y"/>
    <n v="238.46"/>
    <n v="47.69"/>
    <x v="3"/>
    <s v="VALIDATED"/>
    <n v="1"/>
    <s v="01.11.80.308.6100.0000"/>
    <n v="238.46"/>
    <s v="11"/>
    <s v="6100"/>
    <n v="17937.03"/>
    <n v="238.46"/>
    <s v="CREDITOR"/>
    <n v="0"/>
    <n v="0"/>
    <n v="0"/>
    <n v="0"/>
    <n v="238.46"/>
  </r>
  <r>
    <n v="34803568"/>
    <s v="N"/>
    <n v="21320030"/>
    <s v="3000010063520016"/>
    <s v="CIVIL"/>
    <d v="2023-06-27T00:00:00"/>
    <d v="2023-07-03T19:04:24"/>
    <m/>
    <d v="2023-07-03T00:00:00"/>
    <n v="915"/>
    <n v="19140"/>
    <s v="34803568"/>
    <s v="34803568"/>
    <m/>
    <m/>
    <n v="22774992"/>
    <m/>
    <m/>
    <m/>
    <s v="SOLFIN"/>
    <s v="SOLFIN"/>
    <s v="CCMS"/>
    <n v="21320030"/>
    <n v="17432.76"/>
    <m/>
    <s v="N"/>
    <n v="75"/>
    <d v="2023-07-03T19:04:28"/>
    <s v="Y"/>
    <s v="Attendance upon/with Counsel at Con"/>
    <s v="Care Remuneration Hourly Rates"/>
    <s v="Profit Cost"/>
    <s v="Terrance Boulter"/>
    <s v="Y"/>
    <n v="74.38"/>
    <n v="14.88"/>
    <x v="3"/>
    <s v="VALIDATED"/>
    <n v="1"/>
    <s v="01.11.80.308.6100.0000"/>
    <n v="74.38"/>
    <s v="11"/>
    <s v="6100"/>
    <n v="17937.03"/>
    <n v="74.38"/>
    <s v="CREDITOR"/>
    <n v="0"/>
    <n v="0"/>
    <n v="0"/>
    <n v="0"/>
    <n v="74.38"/>
  </r>
  <r>
    <n v="34803568"/>
    <s v="N"/>
    <n v="21320030"/>
    <s v="3000010063520016"/>
    <s v="CIVIL"/>
    <d v="2023-06-27T00:00:00"/>
    <d v="2023-07-03T19:04:24"/>
    <m/>
    <d v="2023-07-03T00:00:00"/>
    <n v="915"/>
    <n v="19140"/>
    <s v="34803568"/>
    <s v="34803568"/>
    <m/>
    <m/>
    <n v="22774992"/>
    <m/>
    <m/>
    <m/>
    <s v="SOLFIN"/>
    <s v="SOLFIN"/>
    <s v="CCMS"/>
    <n v="21320030"/>
    <n v="17432.76"/>
    <m/>
    <s v="N"/>
    <n v="78"/>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85"/>
    <d v="2023-07-03T19:04:28"/>
    <s v="Y"/>
    <s v="Hearing Unit 2.31 - 5.00 Hours"/>
    <s v="Public Law Children"/>
    <s v="Advocacy"/>
    <s v="Terrance Boulter"/>
    <s v="Y"/>
    <n v="476.92"/>
    <n v="95.39"/>
    <x v="3"/>
    <s v="VALIDATED"/>
    <n v="1"/>
    <s v="01.11.80.308.6100.0000"/>
    <n v="476.92"/>
    <s v="11"/>
    <s v="6100"/>
    <n v="17937.03"/>
    <n v="476.92"/>
    <s v="CREDITOR"/>
    <n v="0"/>
    <n v="0"/>
    <n v="0"/>
    <n v="0"/>
    <n v="476.92"/>
  </r>
  <r>
    <n v="34803568"/>
    <s v="N"/>
    <n v="21320030"/>
    <s v="3000010063520016"/>
    <s v="CIVIL"/>
    <d v="2023-06-27T00:00:00"/>
    <d v="2023-07-03T19:04:24"/>
    <m/>
    <d v="2023-07-03T00:00:00"/>
    <n v="915"/>
    <n v="19140"/>
    <s v="34803568"/>
    <s v="34803568"/>
    <m/>
    <m/>
    <n v="22774992"/>
    <m/>
    <m/>
    <m/>
    <s v="SOLFIN"/>
    <s v="SOLFIN"/>
    <s v="CCMS"/>
    <n v="21320030"/>
    <n v="17432.76"/>
    <m/>
    <s v="N"/>
    <n v="57"/>
    <d v="2023-07-03T19:04:28"/>
    <s v="Y"/>
    <s v="Attendance upon client"/>
    <s v="Care Remuneration Hourly Rates"/>
    <s v="Profit Cost"/>
    <s v="Terrance Boulter"/>
    <s v="Y"/>
    <n v="42.32"/>
    <n v="8.460000000000001"/>
    <x v="3"/>
    <s v="VALIDATED"/>
    <n v="1"/>
    <s v="01.11.80.308.6100.0000"/>
    <n v="42.32"/>
    <s v="11"/>
    <s v="6100"/>
    <n v="17937.03"/>
    <n v="42.32"/>
    <s v="CREDITOR"/>
    <n v="0"/>
    <n v="0"/>
    <n v="0"/>
    <n v="0"/>
    <n v="42.32"/>
  </r>
  <r>
    <n v="34803568"/>
    <s v="N"/>
    <n v="21320030"/>
    <s v="3000010063520016"/>
    <s v="CIVIL"/>
    <d v="2023-06-27T00:00:00"/>
    <d v="2023-07-03T19:04:24"/>
    <m/>
    <d v="2023-07-03T00:00:00"/>
    <n v="915"/>
    <n v="19140"/>
    <s v="34803568"/>
    <s v="34803568"/>
    <m/>
    <m/>
    <n v="22774992"/>
    <m/>
    <m/>
    <m/>
    <s v="SOLFIN"/>
    <s v="SOLFIN"/>
    <s v="CCMS"/>
    <n v="21320030"/>
    <n v="17432.76"/>
    <m/>
    <s v="N"/>
    <n v="64"/>
    <d v="2023-07-03T19:04:28"/>
    <s v="Y"/>
    <s v="Attendance upon client"/>
    <s v="Care Remuneration Hourly Rates"/>
    <s v="Profit Cost"/>
    <s v="Terrance Boulter"/>
    <s v="Y"/>
    <n v="30.23"/>
    <n v="6.05"/>
    <x v="3"/>
    <s v="VALIDATED"/>
    <n v="1"/>
    <s v="01.11.80.308.6100.0000"/>
    <n v="30.23"/>
    <s v="11"/>
    <s v="6100"/>
    <n v="17937.03"/>
    <n v="30.23"/>
    <s v="CREDITOR"/>
    <n v="0"/>
    <n v="0"/>
    <n v="0"/>
    <n v="0"/>
    <n v="30.23"/>
  </r>
  <r>
    <n v="34803568"/>
    <s v="N"/>
    <n v="21320030"/>
    <s v="3000010063520016"/>
    <s v="CIVIL"/>
    <d v="2023-06-27T00:00:00"/>
    <d v="2023-07-03T19:04:24"/>
    <m/>
    <d v="2023-07-03T00:00:00"/>
    <n v="915"/>
    <n v="19140"/>
    <s v="34803568"/>
    <s v="34803568"/>
    <m/>
    <m/>
    <n v="22774992"/>
    <m/>
    <m/>
    <m/>
    <s v="SOLFIN"/>
    <s v="SOLFIN"/>
    <s v="CCMS"/>
    <n v="21320030"/>
    <n v="17432.76"/>
    <m/>
    <s v="N"/>
    <n v="10"/>
    <d v="2023-07-03T19:04:28"/>
    <s v="Y"/>
    <s v="Court Fee"/>
    <s v="Public Law Children"/>
    <s v="Non Expert Disbursement"/>
    <s v="Terrance Boulter"/>
    <s v="Y"/>
    <n v="167"/>
    <n v="0"/>
    <x v="3"/>
    <s v="VALIDATED"/>
    <n v="1"/>
    <s v="01.11.80.308.6300.0000"/>
    <n v="167"/>
    <s v="11"/>
    <s v="6300"/>
    <n v="17937.03"/>
    <n v="167"/>
    <s v="CREDITOR"/>
    <n v="0"/>
    <n v="0"/>
    <n v="0"/>
    <n v="0"/>
    <n v="167"/>
  </r>
  <r>
    <n v="34803568"/>
    <s v="N"/>
    <n v="21320030"/>
    <s v="3000010063520016"/>
    <s v="CIVIL"/>
    <d v="2023-06-27T00:00:00"/>
    <d v="2023-07-03T19:04:24"/>
    <m/>
    <d v="2023-07-03T00:00:00"/>
    <n v="915"/>
    <n v="19140"/>
    <s v="34803568"/>
    <s v="34803568"/>
    <m/>
    <m/>
    <n v="22774992"/>
    <m/>
    <m/>
    <m/>
    <s v="SOLFIN"/>
    <s v="SOLFIN"/>
    <s v="CCMS"/>
    <n v="21320030"/>
    <n v="17432.76"/>
    <m/>
    <s v="N"/>
    <n v="32"/>
    <d v="2023-07-03T19:04:28"/>
    <s v="Y"/>
    <s v="Attendance upon client"/>
    <s v="Care Remuneration Hourly Rates"/>
    <s v="Profit Cost"/>
    <s v="Christopher Redler"/>
    <s v="Y"/>
    <n v="47.31"/>
    <n v="9.460000000000001"/>
    <x v="3"/>
    <s v="VALIDATED"/>
    <n v="1"/>
    <s v="01.11.80.308.6100.0000"/>
    <n v="47.31"/>
    <s v="11"/>
    <s v="6100"/>
    <n v="17937.03"/>
    <n v="47.31"/>
    <s v="CREDITOR"/>
    <n v="0"/>
    <n v="0"/>
    <n v="0"/>
    <n v="0"/>
    <n v="47.31"/>
  </r>
  <r>
    <n v="34803568"/>
    <s v="N"/>
    <n v="21320030"/>
    <s v="3000010063520016"/>
    <s v="CIVIL"/>
    <d v="2023-06-27T00:00:00"/>
    <d v="2023-07-03T19:04:24"/>
    <m/>
    <d v="2023-07-03T00:00:00"/>
    <n v="915"/>
    <n v="19140"/>
    <s v="34803568"/>
    <s v="34803568"/>
    <m/>
    <m/>
    <n v="22774992"/>
    <m/>
    <m/>
    <m/>
    <s v="SOLFIN"/>
    <s v="SOLFIN"/>
    <s v="CCMS"/>
    <n v="21320030"/>
    <n v="17432.76"/>
    <m/>
    <s v="N"/>
    <n v="49"/>
    <d v="2023-07-03T19:04:28"/>
    <s v="Y"/>
    <s v="Preparation - drafting statement"/>
    <s v="Care Remuneration Hourly Rates"/>
    <s v="Profit Cost"/>
    <s v="Terrance Boulter"/>
    <s v="Y"/>
    <n v="139.05"/>
    <n v="27.81"/>
    <x v="3"/>
    <s v="VALIDATED"/>
    <n v="1"/>
    <s v="01.11.80.308.6100.0000"/>
    <n v="139.05"/>
    <s v="11"/>
    <s v="6100"/>
    <n v="17937.03"/>
    <n v="139.05"/>
    <s v="CREDITOR"/>
    <n v="0"/>
    <n v="0"/>
    <n v="0"/>
    <n v="0"/>
    <n v="139.05"/>
  </r>
  <r>
    <n v="34803568"/>
    <s v="N"/>
    <n v="21320030"/>
    <s v="3000010063520016"/>
    <s v="CIVIL"/>
    <d v="2023-06-27T00:00:00"/>
    <d v="2023-07-03T19:04:24"/>
    <m/>
    <d v="2023-07-03T00:00:00"/>
    <n v="915"/>
    <n v="19140"/>
    <s v="34803568"/>
    <s v="34803568"/>
    <m/>
    <m/>
    <n v="22774992"/>
    <m/>
    <m/>
    <m/>
    <s v="SOLFIN"/>
    <s v="SOLFIN"/>
    <s v="CCMS"/>
    <n v="21320030"/>
    <n v="17432.76"/>
    <m/>
    <s v="N"/>
    <n v="81"/>
    <d v="2023-07-03T19:04:28"/>
    <s v="Y"/>
    <s v="Advocates Meeting"/>
    <s v="Public Law Children"/>
    <s v="Advocacy"/>
    <s v="Terrance Boulter"/>
    <s v="Y"/>
    <n v="140.99"/>
    <n v="28.2"/>
    <x v="3"/>
    <s v="VALIDATED"/>
    <n v="1"/>
    <s v="01.11.80.308.6100.0000"/>
    <n v="140.99"/>
    <s v="11"/>
    <s v="6100"/>
    <n v="17937.03"/>
    <n v="140.99"/>
    <s v="CREDITOR"/>
    <n v="0"/>
    <n v="0"/>
    <n v="0"/>
    <n v="0"/>
    <n v="140.99"/>
  </r>
  <r>
    <n v="34803568"/>
    <s v="N"/>
    <n v="21320030"/>
    <s v="3000010063520016"/>
    <s v="CIVIL"/>
    <d v="2023-06-27T00:00:00"/>
    <d v="2023-07-03T19:04:24"/>
    <m/>
    <d v="2023-07-03T00:00:00"/>
    <n v="915"/>
    <n v="19140"/>
    <s v="34803568"/>
    <s v="34803568"/>
    <m/>
    <m/>
    <n v="22774992"/>
    <m/>
    <m/>
    <m/>
    <s v="SOLFIN"/>
    <s v="SOLFIN"/>
    <s v="CCMS"/>
    <n v="21320030"/>
    <n v="17432.76"/>
    <m/>
    <s v="N"/>
    <n v="80"/>
    <d v="2023-07-03T19:04:28"/>
    <s v="Y"/>
    <s v="Hearing Unit 2.31 - 5.00 Hours"/>
    <s v="Public Law Children"/>
    <s v="Advocacy"/>
    <s v="Terrance Boulter"/>
    <s v="Y"/>
    <n v="476.92"/>
    <n v="95.39"/>
    <x v="3"/>
    <s v="VALIDATED"/>
    <n v="1"/>
    <s v="01.11.80.308.6100.0000"/>
    <n v="476.92"/>
    <s v="11"/>
    <s v="6100"/>
    <n v="17937.03"/>
    <n v="476.92"/>
    <s v="CREDITOR"/>
    <n v="0"/>
    <n v="0"/>
    <n v="0"/>
    <n v="0"/>
    <n v="476.92"/>
  </r>
  <r>
    <n v="34803568"/>
    <s v="N"/>
    <n v="21320030"/>
    <s v="3000010063520016"/>
    <s v="CIVIL"/>
    <d v="2023-06-27T00:00:00"/>
    <d v="2023-07-03T19:04:24"/>
    <m/>
    <d v="2023-07-03T00:00:00"/>
    <n v="915"/>
    <n v="19140"/>
    <s v="34803568"/>
    <s v="34803568"/>
    <m/>
    <m/>
    <n v="22774992"/>
    <m/>
    <m/>
    <m/>
    <s v="SOLFIN"/>
    <s v="SOLFIN"/>
    <s v="CCMS"/>
    <n v="21320030"/>
    <n v="17432.76"/>
    <m/>
    <s v="N"/>
    <n v="35"/>
    <d v="2023-07-03T19:04:28"/>
    <s v="Y"/>
    <s v="Attendance upon client"/>
    <s v="Care Remuneration Hourly Rates"/>
    <s v="Profit Cost"/>
    <s v="Terrance Boulter"/>
    <s v="Y"/>
    <n v="18.14"/>
    <n v="3.63"/>
    <x v="3"/>
    <s v="VALIDATED"/>
    <n v="1"/>
    <s v="01.11.80.308.6100.0000"/>
    <n v="18.14"/>
    <s v="11"/>
    <s v="6100"/>
    <n v="17937.03"/>
    <n v="18.14"/>
    <s v="CREDITOR"/>
    <n v="0"/>
    <n v="0"/>
    <n v="0"/>
    <n v="0"/>
    <n v="18.14"/>
  </r>
  <r>
    <n v="61105510"/>
    <s v="N"/>
    <n v="21318320"/>
    <s v="3000015295740004"/>
    <s v="CIVIL"/>
    <d v="2023-06-18T00:00:00"/>
    <d v="2023-07-03T19:01:49"/>
    <m/>
    <d v="2023-07-03T00:00:00"/>
    <n v="915"/>
    <n v="19140"/>
    <s v="61105510"/>
    <s v="61105510"/>
    <m/>
    <m/>
    <n v="22711474"/>
    <m/>
    <m/>
    <m/>
    <s v="SOLFIN"/>
    <s v="SOLFIN"/>
    <s v="CCMS"/>
    <n v="21318320"/>
    <n v="4447.98"/>
    <m/>
    <s v="N"/>
    <n v="5"/>
    <d v="2023-07-03T19:01:53"/>
    <s v="Y"/>
    <s v="Final Hearing - 1 Day"/>
    <s v="Public Law Children"/>
    <s v="Advocacy"/>
    <s v="Christopher Redler"/>
    <s v="Y"/>
    <n v="556.88"/>
    <n v="111.38"/>
    <x v="3"/>
    <s v="VALIDATED"/>
    <n v="1"/>
    <s v="01.11.80.308.6100.0000"/>
    <n v="556.88"/>
    <s v="11"/>
    <s v="6100"/>
    <n v="17937.03"/>
    <n v="556.88"/>
    <s v="CREDITOR"/>
    <n v="0"/>
    <n v="0"/>
    <n v="0"/>
    <n v="0"/>
    <n v="556.88"/>
  </r>
  <r>
    <n v="34803568"/>
    <s v="N"/>
    <n v="21320030"/>
    <s v="3000010063520016"/>
    <s v="CIVIL"/>
    <d v="2023-06-27T00:00:00"/>
    <d v="2023-07-03T19:04:24"/>
    <m/>
    <d v="2023-07-03T00:00:00"/>
    <n v="915"/>
    <n v="19140"/>
    <s v="34803568"/>
    <s v="34803568"/>
    <m/>
    <m/>
    <n v="22774992"/>
    <m/>
    <m/>
    <m/>
    <s v="SOLFIN"/>
    <s v="SOLFIN"/>
    <s v="CCMS"/>
    <n v="21320030"/>
    <n v="17432.76"/>
    <m/>
    <s v="N"/>
    <n v="39"/>
    <d v="2023-07-03T19:04:28"/>
    <s v="Y"/>
    <s v="Attendance upon client"/>
    <s v="Care Remuneration Hourly Rates"/>
    <s v="Profit Cost"/>
    <s v="Terrance Boulter"/>
    <s v="Y"/>
    <n v="24.18"/>
    <n v="4.84"/>
    <x v="3"/>
    <s v="VALIDATED"/>
    <n v="1"/>
    <s v="01.11.80.308.6100.0000"/>
    <n v="24.18"/>
    <s v="11"/>
    <s v="6100"/>
    <n v="17937.03"/>
    <n v="24.18"/>
    <s v="CREDITOR"/>
    <n v="0"/>
    <n v="0"/>
    <n v="0"/>
    <n v="0"/>
    <n v="24.18"/>
  </r>
  <r>
    <n v="34803568"/>
    <s v="N"/>
    <n v="21320030"/>
    <s v="3000010063520016"/>
    <s v="CIVIL"/>
    <d v="2023-06-27T00:00:00"/>
    <d v="2023-07-03T19:04:24"/>
    <m/>
    <d v="2023-07-03T00:00:00"/>
    <n v="915"/>
    <n v="19140"/>
    <s v="34803568"/>
    <s v="34803568"/>
    <m/>
    <m/>
    <n v="22774992"/>
    <m/>
    <m/>
    <m/>
    <s v="SOLFIN"/>
    <s v="SOLFIN"/>
    <s v="CCMS"/>
    <n v="21320030"/>
    <n v="17432.76"/>
    <m/>
    <s v="N"/>
    <n v="58"/>
    <d v="2023-07-03T19:04:28"/>
    <s v="Y"/>
    <s v="Attendance upon client"/>
    <s v="Care Remuneration Hourly Rates"/>
    <s v="Profit Cost"/>
    <s v="Terrance Boulter"/>
    <s v="Y"/>
    <n v="30.23"/>
    <n v="6.05"/>
    <x v="3"/>
    <s v="VALIDATED"/>
    <n v="1"/>
    <s v="01.11.80.308.6100.0000"/>
    <n v="30.23"/>
    <s v="11"/>
    <s v="6100"/>
    <n v="17937.03"/>
    <n v="30.23"/>
    <s v="CREDITOR"/>
    <n v="0"/>
    <n v="0"/>
    <n v="0"/>
    <n v="0"/>
    <n v="30.23"/>
  </r>
  <r>
    <n v="61436788"/>
    <s v="N"/>
    <n v="21327956"/>
    <s v="3000015570500006"/>
    <s v="CIVIL"/>
    <d v="2023-06-18T00:00:00"/>
    <d v="2023-07-04T19:00:44"/>
    <m/>
    <d v="2023-07-04T00:00:00"/>
    <n v="915"/>
    <n v="19140"/>
    <s v="61436788"/>
    <s v="61436788"/>
    <m/>
    <m/>
    <n v="22711424"/>
    <m/>
    <m/>
    <m/>
    <s v="SOLFIN"/>
    <s v="SOLFIN"/>
    <s v="CCMS"/>
    <n v="21327956"/>
    <n v="4955.83"/>
    <m/>
    <s v="N"/>
    <n v="3"/>
    <d v="2023-07-04T19:01:00"/>
    <s v="Y"/>
    <s v="Solicitor Travel Mileage"/>
    <s v="Public Law Children"/>
    <s v="Non Expert Disbursement"/>
    <s v="Christopher Redler"/>
    <s v="Y"/>
    <n v="16.2"/>
    <n v="3.24"/>
    <x v="1"/>
    <s v="VALIDATED"/>
    <n v="1"/>
    <s v="01.11.80.308.6300.0000"/>
    <n v="16.2"/>
    <s v="11"/>
    <s v="6300"/>
    <n v="17937.03"/>
    <n v="16.2"/>
    <s v="CREDITOR"/>
    <n v="0"/>
    <n v="0"/>
    <n v="0"/>
    <n v="0"/>
    <n v="16.2"/>
  </r>
  <r>
    <n v="61436788"/>
    <s v="N"/>
    <n v="21327956"/>
    <s v="3000015570500006"/>
    <s v="CIVIL"/>
    <d v="2023-06-18T00:00:00"/>
    <d v="2023-07-04T19:00:44"/>
    <m/>
    <d v="2023-07-04T00:00:00"/>
    <n v="915"/>
    <n v="19140"/>
    <s v="61436788"/>
    <s v="61436788"/>
    <m/>
    <m/>
    <n v="22711424"/>
    <m/>
    <m/>
    <m/>
    <s v="SOLFIN"/>
    <s v="SOLFIN"/>
    <s v="CCMS"/>
    <n v="21327956"/>
    <n v="4955.83"/>
    <m/>
    <s v="N"/>
    <n v="7"/>
    <d v="2023-07-04T19:01:00"/>
    <s v="Y"/>
    <s v="Hearing Unit 2.31 - 5.00 Hours"/>
    <s v="Public Law Children"/>
    <s v="Advocacy"/>
    <s v="Christopher Redler"/>
    <s v="Y"/>
    <n v="476.92"/>
    <n v="95.38"/>
    <x v="1"/>
    <s v="VALIDATED"/>
    <n v="1"/>
    <s v="01.11.80.308.6100.0000"/>
    <n v="476.92"/>
    <s v="11"/>
    <s v="6100"/>
    <n v="17937.03"/>
    <n v="476.92"/>
    <s v="CREDITOR"/>
    <n v="0"/>
    <n v="0"/>
    <n v="0"/>
    <n v="0"/>
    <n v="476.92"/>
  </r>
  <r>
    <n v="34803568"/>
    <s v="N"/>
    <n v="21320030"/>
    <s v="3000010063520016"/>
    <s v="CIVIL"/>
    <d v="2023-06-27T00:00:00"/>
    <d v="2023-07-03T19:04:24"/>
    <m/>
    <d v="2023-07-03T00:00:00"/>
    <n v="915"/>
    <n v="19140"/>
    <s v="34803568"/>
    <s v="34803568"/>
    <m/>
    <m/>
    <n v="22774992"/>
    <m/>
    <m/>
    <m/>
    <s v="SOLFIN"/>
    <s v="SOLFIN"/>
    <s v="CCMS"/>
    <n v="21320030"/>
    <n v="17432.76"/>
    <m/>
    <s v="N"/>
    <n v="15"/>
    <d v="2023-07-03T19:04:28"/>
    <s v="Y"/>
    <s v="Attendance upon client"/>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43"/>
    <d v="2023-07-03T19:04:28"/>
    <s v="Y"/>
    <s v="Preparation - drafting statement"/>
    <s v="Care Remuneration Hourly Rates"/>
    <s v="Profit Cost"/>
    <s v="Terrance Boulter"/>
    <s v="Y"/>
    <n v="30.23"/>
    <n v="6.05"/>
    <x v="3"/>
    <s v="VALIDATED"/>
    <n v="1"/>
    <s v="01.11.80.308.6100.0000"/>
    <n v="30.23"/>
    <s v="11"/>
    <s v="6100"/>
    <n v="17937.03"/>
    <n v="30.23"/>
    <s v="CREDITOR"/>
    <n v="0"/>
    <n v="0"/>
    <n v="0"/>
    <n v="0"/>
    <n v="30.23"/>
  </r>
  <r>
    <n v="61436788"/>
    <s v="N"/>
    <n v="21327956"/>
    <s v="3000015570500006"/>
    <s v="CIVIL"/>
    <d v="2023-06-18T00:00:00"/>
    <d v="2023-07-04T19:00:44"/>
    <m/>
    <d v="2023-07-04T00:00:00"/>
    <n v="915"/>
    <n v="19140"/>
    <s v="61436788"/>
    <s v="61436788"/>
    <m/>
    <m/>
    <n v="22711424"/>
    <m/>
    <m/>
    <m/>
    <s v="SOLFIN"/>
    <s v="SOLFIN"/>
    <s v="CCMS"/>
    <n v="21327956"/>
    <n v="4955.83"/>
    <m/>
    <s v="N"/>
    <n v="5"/>
    <d v="2023-07-04T19:01:00"/>
    <s v="Y"/>
    <s v="Solicitor Travel Mileage"/>
    <s v="Public Law Children"/>
    <s v="Non Expert Disbursement"/>
    <s v="Christopher Redler"/>
    <s v="Y"/>
    <n v="16.2"/>
    <n v="3.24"/>
    <x v="1"/>
    <s v="VALIDATED"/>
    <n v="1"/>
    <s v="01.11.80.308.6300.0000"/>
    <n v="16.2"/>
    <s v="11"/>
    <s v="6300"/>
    <n v="17937.03"/>
    <n v="16.2"/>
    <s v="CREDITOR"/>
    <n v="0"/>
    <n v="0"/>
    <n v="0"/>
    <n v="0"/>
    <n v="16.2"/>
  </r>
  <r>
    <n v="34803568"/>
    <s v="N"/>
    <n v="21320030"/>
    <s v="3000010063520016"/>
    <s v="CIVIL"/>
    <d v="2023-06-27T00:00:00"/>
    <d v="2023-07-03T19:04:24"/>
    <m/>
    <d v="2023-07-03T00:00:00"/>
    <n v="915"/>
    <n v="19140"/>
    <s v="34803568"/>
    <s v="34803568"/>
    <m/>
    <m/>
    <n v="22774992"/>
    <m/>
    <m/>
    <m/>
    <s v="SOLFIN"/>
    <s v="SOLFIN"/>
    <s v="CCMS"/>
    <n v="21320030"/>
    <n v="17432.76"/>
    <m/>
    <s v="N"/>
    <n v="24"/>
    <d v="2023-07-03T19:04:28"/>
    <s v="Y"/>
    <s v="Attendance upon client"/>
    <s v="Care Remuneration Hourly Rates"/>
    <s v="Profit Cost"/>
    <s v="Terrance Boulter"/>
    <s v="Y"/>
    <n v="24.18"/>
    <n v="4.84"/>
    <x v="3"/>
    <s v="VALIDATED"/>
    <n v="1"/>
    <s v="01.11.80.308.6100.0000"/>
    <n v="24.18"/>
    <s v="11"/>
    <s v="6100"/>
    <n v="17937.03"/>
    <n v="24.18"/>
    <s v="CREDITOR"/>
    <n v="0"/>
    <n v="0"/>
    <n v="0"/>
    <n v="0"/>
    <n v="24.18"/>
  </r>
  <r>
    <n v="34803568"/>
    <s v="N"/>
    <n v="21320030"/>
    <s v="3000010063520016"/>
    <s v="CIVIL"/>
    <d v="2023-06-27T00:00:00"/>
    <d v="2023-07-03T19:04:24"/>
    <m/>
    <d v="2023-07-03T00:00:00"/>
    <n v="915"/>
    <n v="19140"/>
    <s v="34803568"/>
    <s v="34803568"/>
    <m/>
    <m/>
    <n v="22774992"/>
    <m/>
    <m/>
    <m/>
    <s v="SOLFIN"/>
    <s v="SOLFIN"/>
    <s v="CCMS"/>
    <n v="21320030"/>
    <n v="17432.76"/>
    <m/>
    <s v="N"/>
    <n v="27"/>
    <d v="2023-07-03T19:04:28"/>
    <s v="Y"/>
    <s v="Attendance upon client"/>
    <s v="Care Remuneration Hourly Rates"/>
    <s v="Profit Cost"/>
    <s v="Terrance Boulter"/>
    <s v="Y"/>
    <n v="12.09"/>
    <n v="2.42"/>
    <x v="3"/>
    <s v="VALIDATED"/>
    <n v="1"/>
    <s v="01.11.80.308.6100.0000"/>
    <n v="12.09"/>
    <s v="11"/>
    <s v="6100"/>
    <n v="17937.03"/>
    <n v="12.09"/>
    <s v="CREDITOR"/>
    <n v="0"/>
    <n v="0"/>
    <n v="0"/>
    <n v="0"/>
    <n v="12.09"/>
  </r>
  <r>
    <n v="34803568"/>
    <s v="N"/>
    <n v="21320030"/>
    <s v="3000010063520016"/>
    <s v="CIVIL"/>
    <d v="2023-06-27T00:00:00"/>
    <d v="2023-07-03T19:04:24"/>
    <m/>
    <d v="2023-07-03T00:00:00"/>
    <n v="915"/>
    <n v="19140"/>
    <s v="34803568"/>
    <s v="34803568"/>
    <m/>
    <m/>
    <n v="22774992"/>
    <m/>
    <m/>
    <m/>
    <s v="SOLFIN"/>
    <s v="SOLFIN"/>
    <s v="CCMS"/>
    <n v="21320030"/>
    <n v="17432.76"/>
    <m/>
    <s v="N"/>
    <n v="2"/>
    <d v="2023-07-03T19:04:28"/>
    <s v="Y"/>
    <s v="Psychologist"/>
    <s v="Public Law Children"/>
    <s v="Expert Disbursement"/>
    <s v="Terrance Boulter"/>
    <s v="Y"/>
    <n v="77.81999999999999"/>
    <n v="15.56"/>
    <x v="3"/>
    <s v="VALIDATED"/>
    <n v="1"/>
    <s v="01.11.80.308.6300.0000"/>
    <n v="77.81999999999999"/>
    <s v="11"/>
    <s v="6300"/>
    <n v="17937.03"/>
    <n v="77.81999999999999"/>
    <s v="CREDITOR"/>
    <n v="0"/>
    <n v="0"/>
    <n v="0"/>
    <n v="0"/>
    <n v="77.81999999999999"/>
  </r>
  <r>
    <n v="61436788"/>
    <s v="N"/>
    <n v="21328641"/>
    <s v="3000015570500003RC"/>
    <s v="CIVIL"/>
    <d v="2023-06-18T00:00:00"/>
    <d v="2023-07-04T19:38:21"/>
    <m/>
    <d v="2023-07-04T00:00:00"/>
    <n v="915"/>
    <n v="19140"/>
    <s v="61436788"/>
    <s v="61436788"/>
    <m/>
    <m/>
    <m/>
    <m/>
    <m/>
    <m/>
    <s v="SOLRECOUP"/>
    <s v="SOLRECOUP"/>
    <s v="POARECOUP"/>
    <n v="21328641"/>
    <n v="-359.1"/>
    <m/>
    <s v="Y"/>
    <n v="1"/>
    <d v="2023-07-04T19:38:22"/>
    <s v="N"/>
    <m/>
    <m/>
    <s v="Expert Disbursement"/>
    <m/>
    <s v="N"/>
    <n v="-299.25"/>
    <n v="0"/>
    <x v="1"/>
    <s v="VALIDATED"/>
    <n v="1"/>
    <s v="01.11.80.308.2013.0000"/>
    <n v="-299.25"/>
    <s v="11"/>
    <s v="2013"/>
    <n v="17937.03"/>
    <n v="-299.25"/>
    <s v="CREDITOR"/>
    <n v="0"/>
    <n v="0"/>
    <n v="-299.25"/>
    <n v="0"/>
    <n v="0"/>
  </r>
  <r>
    <n v="61436788"/>
    <s v="N"/>
    <n v="21328641"/>
    <s v="3000015570500003RC"/>
    <s v="CIVIL"/>
    <d v="2023-06-18T00:00:00"/>
    <d v="2023-07-04T19:38:21"/>
    <m/>
    <d v="2023-07-04T00:00:00"/>
    <n v="915"/>
    <n v="19140"/>
    <s v="61436788"/>
    <s v="61436788"/>
    <m/>
    <m/>
    <m/>
    <m/>
    <m/>
    <m/>
    <s v="SOLRECOUP"/>
    <s v="SOLRECOUP"/>
    <s v="POARECOUP"/>
    <n v="21328641"/>
    <n v="-359.1"/>
    <m/>
    <s v="Y"/>
    <n v="2"/>
    <d v="2023-07-04T19:38:22"/>
    <s v="N"/>
    <m/>
    <m/>
    <s v="Expert Disbursement"/>
    <m/>
    <s v="N"/>
    <n v="0"/>
    <n v="-59.85"/>
    <x v="1"/>
    <s v="VALIDATED"/>
    <n v="1"/>
    <s v="01.11.80.308.2013.0000"/>
    <n v="-59.85"/>
    <s v="11"/>
    <s v="2013"/>
    <n v="17937.03"/>
    <n v="-59.85"/>
    <s v="CREDITOR"/>
    <n v="0"/>
    <n v="0"/>
    <n v="-59.85"/>
    <n v="0"/>
    <n v="0"/>
  </r>
  <r>
    <n v="61436788"/>
    <s v="N"/>
    <n v="21328642"/>
    <s v="3000015570500002RC"/>
    <s v="CIVIL"/>
    <d v="2023-06-18T00:00:00"/>
    <d v="2023-07-04T19:38:21"/>
    <m/>
    <d v="2023-07-04T00:00:00"/>
    <n v="915"/>
    <n v="19140"/>
    <s v="61436788"/>
    <s v="61436788"/>
    <m/>
    <m/>
    <m/>
    <m/>
    <m/>
    <m/>
    <s v="SOLRECOUP"/>
    <s v="SOLRECOUP"/>
    <s v="POARECOUP"/>
    <n v="21328642"/>
    <n v="-359.1"/>
    <m/>
    <s v="Y"/>
    <n v="1"/>
    <d v="2023-07-04T19:38:22"/>
    <s v="N"/>
    <m/>
    <m/>
    <s v="Expert Disbursement"/>
    <m/>
    <s v="N"/>
    <n v="-299.25"/>
    <n v="0"/>
    <x v="1"/>
    <s v="VALIDATED"/>
    <n v="1"/>
    <s v="01.11.80.308.2013.0000"/>
    <n v="-299.25"/>
    <s v="11"/>
    <s v="2013"/>
    <n v="17937.03"/>
    <n v="-299.25"/>
    <s v="CREDITOR"/>
    <n v="0"/>
    <n v="0"/>
    <n v="-299.25"/>
    <n v="0"/>
    <n v="0"/>
  </r>
  <r>
    <n v="61436788"/>
    <s v="N"/>
    <n v="21328642"/>
    <s v="3000015570500002RC"/>
    <s v="CIVIL"/>
    <d v="2023-06-18T00:00:00"/>
    <d v="2023-07-04T19:38:21"/>
    <m/>
    <d v="2023-07-04T00:00:00"/>
    <n v="915"/>
    <n v="19140"/>
    <s v="61436788"/>
    <s v="61436788"/>
    <m/>
    <m/>
    <m/>
    <m/>
    <m/>
    <m/>
    <s v="SOLRECOUP"/>
    <s v="SOLRECOUP"/>
    <s v="POARECOUP"/>
    <n v="21328642"/>
    <n v="-359.1"/>
    <m/>
    <s v="Y"/>
    <n v="2"/>
    <d v="2023-07-04T19:38:22"/>
    <s v="N"/>
    <m/>
    <m/>
    <s v="Expert Disbursement"/>
    <m/>
    <s v="N"/>
    <n v="0"/>
    <n v="-59.85"/>
    <x v="1"/>
    <s v="VALIDATED"/>
    <n v="1"/>
    <s v="01.11.80.308.2013.0000"/>
    <n v="-59.85"/>
    <s v="11"/>
    <s v="2013"/>
    <n v="17937.03"/>
    <n v="-59.85"/>
    <s v="CREDITOR"/>
    <n v="0"/>
    <n v="0"/>
    <n v="-59.85"/>
    <n v="0"/>
    <n v="0"/>
  </r>
  <r>
    <n v="34803568"/>
    <s v="N"/>
    <n v="21324416"/>
    <s v="3000010063520005RC"/>
    <s v="CIVIL"/>
    <d v="2023-06-27T00:00:00"/>
    <d v="2023-07-03T19:42:50"/>
    <m/>
    <d v="2023-07-03T00:00:00"/>
    <n v="915"/>
    <n v="19140"/>
    <s v="34803568"/>
    <s v="34803568"/>
    <m/>
    <m/>
    <m/>
    <m/>
    <m/>
    <m/>
    <s v="SOLRECOUP"/>
    <s v="SOLRECOUP"/>
    <s v="POARECOUP"/>
    <n v="21324416"/>
    <n v="-611.16"/>
    <m/>
    <s v="Y"/>
    <n v="2"/>
    <d v="2023-07-03T19:42:51"/>
    <s v="N"/>
    <m/>
    <m/>
    <s v="Expert Disbursement"/>
    <m/>
    <s v="N"/>
    <n v="0"/>
    <n v="-101.86"/>
    <x v="3"/>
    <s v="VALIDATED"/>
    <n v="1"/>
    <s v="01.11.80.308.2013.0000"/>
    <n v="-101.86"/>
    <s v="11"/>
    <s v="2013"/>
    <n v="17937.03"/>
    <n v="-101.86"/>
    <s v="CREDITOR"/>
    <n v="0"/>
    <n v="0"/>
    <n v="-101.86"/>
    <n v="0"/>
    <n v="0"/>
  </r>
  <r>
    <n v="34803568"/>
    <s v="N"/>
    <n v="21324417"/>
    <s v="3000010063520010RC"/>
    <s v="CIVIL"/>
    <d v="2023-06-27T00:00:00"/>
    <d v="2023-07-03T19:42:50"/>
    <m/>
    <d v="2023-07-03T00:00:00"/>
    <n v="915"/>
    <n v="19140"/>
    <s v="34803568"/>
    <s v="34803568"/>
    <m/>
    <m/>
    <m/>
    <m/>
    <m/>
    <m/>
    <s v="SOLRECOUP"/>
    <s v="SOLRECOUP"/>
    <s v="POARECOUP"/>
    <n v="21324417"/>
    <n v="-429"/>
    <m/>
    <s v="Y"/>
    <n v="1"/>
    <d v="2023-07-03T19:42:51"/>
    <s v="N"/>
    <m/>
    <m/>
    <s v="Expert Disbursement"/>
    <m/>
    <s v="N"/>
    <n v="-357.5"/>
    <n v="0"/>
    <x v="3"/>
    <s v="VALIDATED"/>
    <n v="1"/>
    <s v="01.11.80.308.2013.0000"/>
    <n v="-357.5"/>
    <s v="11"/>
    <s v="2013"/>
    <n v="17937.03"/>
    <n v="-357.5"/>
    <s v="CREDITOR"/>
    <n v="0"/>
    <n v="0"/>
    <n v="-357.5"/>
    <n v="0"/>
    <n v="0"/>
  </r>
  <r>
    <n v="34803568"/>
    <s v="N"/>
    <n v="21324417"/>
    <s v="3000010063520010RC"/>
    <s v="CIVIL"/>
    <d v="2023-06-27T00:00:00"/>
    <d v="2023-07-03T19:42:50"/>
    <m/>
    <d v="2023-07-03T00:00:00"/>
    <n v="915"/>
    <n v="19140"/>
    <s v="34803568"/>
    <s v="34803568"/>
    <m/>
    <m/>
    <m/>
    <m/>
    <m/>
    <m/>
    <s v="SOLRECOUP"/>
    <s v="SOLRECOUP"/>
    <s v="POARECOUP"/>
    <n v="21324417"/>
    <n v="-429"/>
    <m/>
    <s v="Y"/>
    <n v="2"/>
    <d v="2023-07-03T19:42:51"/>
    <s v="N"/>
    <m/>
    <m/>
    <s v="Expert Disbursement"/>
    <m/>
    <s v="N"/>
    <n v="0"/>
    <n v="-71.5"/>
    <x v="3"/>
    <s v="VALIDATED"/>
    <n v="1"/>
    <s v="01.11.80.308.2013.0000"/>
    <n v="-71.5"/>
    <s v="11"/>
    <s v="2013"/>
    <n v="17937.03"/>
    <n v="-71.5"/>
    <s v="CREDITOR"/>
    <n v="0"/>
    <n v="0"/>
    <n v="-71.5"/>
    <n v="0"/>
    <n v="0"/>
  </r>
  <r>
    <n v="34803568"/>
    <s v="N"/>
    <n v="21324418"/>
    <s v="3000010063520008RC"/>
    <s v="CIVIL"/>
    <d v="2023-06-27T00:00:00"/>
    <d v="2023-07-03T19:42:50"/>
    <m/>
    <d v="2023-07-03T00:00:00"/>
    <n v="915"/>
    <n v="19140"/>
    <s v="34803568"/>
    <s v="34803568"/>
    <m/>
    <m/>
    <m/>
    <m/>
    <m/>
    <m/>
    <s v="SOLRECOUP"/>
    <s v="SOLRECOUP"/>
    <s v="POARECOUP"/>
    <n v="21324418"/>
    <n v="-330"/>
    <m/>
    <s v="Y"/>
    <n v="1"/>
    <d v="2023-07-03T19:42:51"/>
    <s v="N"/>
    <m/>
    <m/>
    <s v="Expert Disbursement"/>
    <m/>
    <s v="N"/>
    <n v="-275"/>
    <n v="0"/>
    <x v="3"/>
    <s v="VALIDATED"/>
    <n v="1"/>
    <s v="01.11.80.308.2013.0000"/>
    <n v="-275"/>
    <s v="11"/>
    <s v="2013"/>
    <n v="17937.03"/>
    <n v="-275"/>
    <s v="CREDITOR"/>
    <n v="0"/>
    <n v="0"/>
    <n v="-275"/>
    <n v="0"/>
    <n v="0"/>
  </r>
  <r>
    <n v="34803568"/>
    <s v="N"/>
    <n v="21324418"/>
    <s v="3000010063520008RC"/>
    <s v="CIVIL"/>
    <d v="2023-06-27T00:00:00"/>
    <d v="2023-07-03T19:42:50"/>
    <m/>
    <d v="2023-07-03T00:00:00"/>
    <n v="915"/>
    <n v="19140"/>
    <s v="34803568"/>
    <s v="34803568"/>
    <m/>
    <m/>
    <m/>
    <m/>
    <m/>
    <m/>
    <s v="SOLRECOUP"/>
    <s v="SOLRECOUP"/>
    <s v="POARECOUP"/>
    <n v="21324418"/>
    <n v="-330"/>
    <m/>
    <s v="Y"/>
    <n v="2"/>
    <d v="2023-07-03T19:42:51"/>
    <s v="N"/>
    <m/>
    <m/>
    <s v="Expert Disbursement"/>
    <m/>
    <s v="N"/>
    <n v="0"/>
    <n v="-55"/>
    <x v="3"/>
    <s v="VALIDATED"/>
    <n v="1"/>
    <s v="01.11.80.308.2013.0000"/>
    <n v="-55"/>
    <s v="11"/>
    <s v="2013"/>
    <n v="17937.03"/>
    <n v="-55"/>
    <s v="CREDITOR"/>
    <n v="0"/>
    <n v="0"/>
    <n v="-55"/>
    <n v="0"/>
    <n v="0"/>
  </r>
  <r>
    <n v="34803568"/>
    <s v="N"/>
    <n v="21324419"/>
    <s v="3000010063520014RC"/>
    <s v="CIVIL"/>
    <d v="2023-06-27T00:00:00"/>
    <d v="2023-07-03T19:42:50"/>
    <m/>
    <d v="2023-07-03T00:00:00"/>
    <n v="915"/>
    <n v="19140"/>
    <s v="34803568"/>
    <s v="34803568"/>
    <m/>
    <m/>
    <m/>
    <m/>
    <m/>
    <m/>
    <s v="SOLRECOUP"/>
    <s v="SOLRECOUP"/>
    <s v="POARECOUP"/>
    <n v="21324419"/>
    <n v="-95.76000000000001"/>
    <m/>
    <s v="Y"/>
    <n v="1"/>
    <d v="2023-07-03T19:42:51"/>
    <s v="N"/>
    <m/>
    <m/>
    <s v="Non Expert Disbursement"/>
    <m/>
    <s v="N"/>
    <n v="-79.8"/>
    <n v="0"/>
    <x v="3"/>
    <s v="VALIDATED"/>
    <n v="1"/>
    <s v="01.11.80.308.2013.0000"/>
    <n v="-79.8"/>
    <s v="11"/>
    <s v="2013"/>
    <n v="17937.03"/>
    <n v="-79.8"/>
    <s v="CREDITOR"/>
    <n v="0"/>
    <n v="0"/>
    <n v="-79.8"/>
    <n v="0"/>
    <n v="0"/>
  </r>
  <r>
    <n v="34803568"/>
    <s v="N"/>
    <n v="21324419"/>
    <s v="3000010063520014RC"/>
    <s v="CIVIL"/>
    <d v="2023-06-27T00:00:00"/>
    <d v="2023-07-03T19:42:50"/>
    <m/>
    <d v="2023-07-03T00:00:00"/>
    <n v="915"/>
    <n v="19140"/>
    <s v="34803568"/>
    <s v="34803568"/>
    <m/>
    <m/>
    <m/>
    <m/>
    <m/>
    <m/>
    <s v="SOLRECOUP"/>
    <s v="SOLRECOUP"/>
    <s v="POARECOUP"/>
    <n v="21324419"/>
    <n v="-95.76000000000001"/>
    <m/>
    <s v="Y"/>
    <n v="2"/>
    <d v="2023-07-03T19:42:51"/>
    <s v="N"/>
    <m/>
    <m/>
    <s v="Non Expert Disbursement"/>
    <m/>
    <s v="N"/>
    <n v="0"/>
    <n v="-15.96"/>
    <x v="3"/>
    <s v="VALIDATED"/>
    <n v="1"/>
    <s v="01.11.80.308.2013.0000"/>
    <n v="-15.96"/>
    <s v="11"/>
    <s v="2013"/>
    <n v="17937.03"/>
    <n v="-15.96"/>
    <s v="CREDITOR"/>
    <n v="0"/>
    <n v="0"/>
    <n v="-15.96"/>
    <n v="0"/>
    <n v="0"/>
  </r>
  <r>
    <n v="61105510"/>
    <s v="N"/>
    <n v="21324420"/>
    <s v="3000015295740002RC"/>
    <s v="CIVIL"/>
    <d v="2023-06-18T00:00:00"/>
    <d v="2023-07-03T19:42:50"/>
    <m/>
    <d v="2023-07-03T00:00:00"/>
    <n v="915"/>
    <n v="19140"/>
    <s v="61105510"/>
    <s v="61105510"/>
    <m/>
    <m/>
    <m/>
    <m/>
    <m/>
    <m/>
    <s v="SOLRECOUP"/>
    <s v="SOLRECOUP"/>
    <s v="POARECOUP"/>
    <n v="21324420"/>
    <n v="-135.7"/>
    <m/>
    <s v="Y"/>
    <n v="1"/>
    <d v="2023-07-03T19:42:51"/>
    <s v="N"/>
    <m/>
    <m/>
    <s v="Expert Disbursement"/>
    <m/>
    <s v="N"/>
    <n v="-113.08"/>
    <n v="0"/>
    <x v="3"/>
    <s v="VALIDATED"/>
    <n v="1"/>
    <s v="01.11.80.308.2013.0000"/>
    <n v="-113.08"/>
    <s v="11"/>
    <s v="2013"/>
    <n v="17937.03"/>
    <n v="-113.08"/>
    <s v="CREDITOR"/>
    <n v="0"/>
    <n v="0"/>
    <n v="-113.08"/>
    <n v="0"/>
    <n v="0"/>
  </r>
  <r>
    <n v="61105510"/>
    <s v="N"/>
    <n v="21324420"/>
    <s v="3000015295740002RC"/>
    <s v="CIVIL"/>
    <d v="2023-06-18T00:00:00"/>
    <d v="2023-07-03T19:42:50"/>
    <m/>
    <d v="2023-07-03T00:00:00"/>
    <n v="915"/>
    <n v="19140"/>
    <s v="61105510"/>
    <s v="61105510"/>
    <m/>
    <m/>
    <m/>
    <m/>
    <m/>
    <m/>
    <s v="SOLRECOUP"/>
    <s v="SOLRECOUP"/>
    <s v="POARECOUP"/>
    <n v="21324420"/>
    <n v="-135.7"/>
    <m/>
    <s v="Y"/>
    <n v="2"/>
    <d v="2023-07-03T19:42:51"/>
    <s v="N"/>
    <m/>
    <m/>
    <s v="Expert Disbursement"/>
    <m/>
    <s v="N"/>
    <n v="0"/>
    <n v="-22.62"/>
    <x v="3"/>
    <s v="VALIDATED"/>
    <n v="1"/>
    <s v="01.11.80.308.2013.0000"/>
    <n v="-22.62"/>
    <s v="11"/>
    <s v="2013"/>
    <n v="17937.03"/>
    <n v="-22.62"/>
    <s v="CREDITOR"/>
    <n v="0"/>
    <n v="0"/>
    <n v="-22.62"/>
    <n v="0"/>
    <n v="0"/>
  </r>
  <r>
    <n v="34803568"/>
    <s v="N"/>
    <n v="21324421"/>
    <s v="3000010063520015RC"/>
    <s v="CIVIL"/>
    <d v="2023-06-27T00:00:00"/>
    <d v="2023-07-03T19:42:50"/>
    <m/>
    <d v="2023-07-03T00:00:00"/>
    <n v="915"/>
    <n v="19140"/>
    <s v="34803568"/>
    <s v="34803568"/>
    <m/>
    <m/>
    <m/>
    <m/>
    <m/>
    <m/>
    <s v="SOLRECOUP"/>
    <s v="SOLRECOUP"/>
    <s v="POARECOUP"/>
    <n v="21324421"/>
    <n v="-270"/>
    <m/>
    <s v="Y"/>
    <n v="1"/>
    <d v="2023-07-03T19:42:51"/>
    <s v="N"/>
    <m/>
    <m/>
    <s v="Expert Disbursement"/>
    <m/>
    <s v="N"/>
    <n v="-270"/>
    <n v="0"/>
    <x v="3"/>
    <s v="VALIDATED"/>
    <n v="1"/>
    <s v="01.11.80.308.2013.0000"/>
    <n v="-270"/>
    <s v="11"/>
    <s v="2013"/>
    <n v="17937.03"/>
    <n v="-270"/>
    <s v="CREDITOR"/>
    <n v="0"/>
    <n v="0"/>
    <n v="-270"/>
    <n v="0"/>
    <n v="0"/>
  </r>
  <r>
    <n v="34803568"/>
    <s v="N"/>
    <n v="21324421"/>
    <s v="3000010063520015RC"/>
    <s v="CIVIL"/>
    <d v="2023-06-27T00:00:00"/>
    <d v="2023-07-03T19:42:50"/>
    <m/>
    <d v="2023-07-03T00:00:00"/>
    <n v="915"/>
    <n v="19140"/>
    <s v="34803568"/>
    <s v="34803568"/>
    <m/>
    <m/>
    <m/>
    <m/>
    <m/>
    <m/>
    <s v="SOLRECOUP"/>
    <s v="SOLRECOUP"/>
    <s v="POARECOUP"/>
    <n v="21324421"/>
    <n v="-270"/>
    <m/>
    <s v="Y"/>
    <n v="2"/>
    <d v="2023-07-03T19:42:51"/>
    <s v="N"/>
    <m/>
    <m/>
    <s v="Expert Disbursement"/>
    <m/>
    <s v="N"/>
    <n v="0"/>
    <n v="0"/>
    <x v="3"/>
    <s v="VALIDATED"/>
    <n v="1"/>
    <s v="01.11.80.000.0000.0000"/>
    <n v="0"/>
    <s v="11"/>
    <s v="0000"/>
    <n v="17937.03"/>
    <n v="0"/>
    <s v="CREDITOR"/>
    <n v="0"/>
    <n v="0"/>
    <n v="0"/>
    <n v="0"/>
    <n v="0"/>
  </r>
  <r>
    <n v="34803568"/>
    <s v="N"/>
    <n v="21324415"/>
    <s v="3000010063520003RC"/>
    <s v="CIVIL"/>
    <d v="2023-06-27T00:00:00"/>
    <d v="2023-07-03T19:42:50"/>
    <m/>
    <d v="2023-07-03T00:00:00"/>
    <n v="915"/>
    <n v="19140"/>
    <s v="34803568"/>
    <s v="34803568"/>
    <m/>
    <m/>
    <m/>
    <m/>
    <m/>
    <m/>
    <s v="SOLRECOUP"/>
    <s v="SOLRECOUP"/>
    <s v="POARECOUP"/>
    <n v="21324415"/>
    <n v="-1965.6"/>
    <m/>
    <s v="Y"/>
    <n v="1"/>
    <d v="2023-07-03T19:42:51"/>
    <s v="N"/>
    <m/>
    <m/>
    <s v="Expert Disbursement"/>
    <m/>
    <s v="N"/>
    <n v="-1638"/>
    <n v="0"/>
    <x v="3"/>
    <s v="VALIDATED"/>
    <n v="1"/>
    <s v="01.11.80.308.2013.0000"/>
    <n v="-1638"/>
    <s v="11"/>
    <s v="2013"/>
    <n v="17937.03"/>
    <n v="-1638"/>
    <s v="CREDITOR"/>
    <n v="0"/>
    <n v="0"/>
    <n v="-1638"/>
    <n v="0"/>
    <n v="0"/>
  </r>
  <r>
    <n v="34803568"/>
    <s v="N"/>
    <n v="21324415"/>
    <s v="3000010063520003RC"/>
    <s v="CIVIL"/>
    <d v="2023-06-27T00:00:00"/>
    <d v="2023-07-03T19:42:50"/>
    <m/>
    <d v="2023-07-03T00:00:00"/>
    <n v="915"/>
    <n v="19140"/>
    <s v="34803568"/>
    <s v="34803568"/>
    <m/>
    <m/>
    <m/>
    <m/>
    <m/>
    <m/>
    <s v="SOLRECOUP"/>
    <s v="SOLRECOUP"/>
    <s v="POARECOUP"/>
    <n v="21324415"/>
    <n v="-1965.6"/>
    <m/>
    <s v="Y"/>
    <n v="2"/>
    <d v="2023-07-03T19:42:51"/>
    <s v="N"/>
    <m/>
    <m/>
    <s v="Expert Disbursement"/>
    <m/>
    <s v="N"/>
    <n v="0"/>
    <n v="-327.6"/>
    <x v="3"/>
    <s v="VALIDATED"/>
    <n v="1"/>
    <s v="01.11.80.308.2013.0000"/>
    <n v="-327.6"/>
    <s v="11"/>
    <s v="2013"/>
    <n v="17937.03"/>
    <n v="-327.6"/>
    <s v="CREDITOR"/>
    <n v="0"/>
    <n v="0"/>
    <n v="-327.6"/>
    <n v="0"/>
    <n v="0"/>
  </r>
  <r>
    <n v="34803568"/>
    <s v="N"/>
    <n v="21324416"/>
    <s v="3000010063520005RC"/>
    <s v="CIVIL"/>
    <d v="2023-06-27T00:00:00"/>
    <d v="2023-07-03T19:42:50"/>
    <m/>
    <d v="2023-07-03T00:00:00"/>
    <n v="915"/>
    <n v="19140"/>
    <s v="34803568"/>
    <s v="34803568"/>
    <m/>
    <m/>
    <m/>
    <m/>
    <m/>
    <m/>
    <s v="SOLRECOUP"/>
    <s v="SOLRECOUP"/>
    <s v="POARECOUP"/>
    <n v="21324416"/>
    <n v="-611.16"/>
    <m/>
    <s v="Y"/>
    <n v="1"/>
    <d v="2023-07-03T19:42:51"/>
    <s v="N"/>
    <m/>
    <m/>
    <s v="Expert Disbursement"/>
    <m/>
    <s v="N"/>
    <n v="-509.3"/>
    <n v="0"/>
    <x v="3"/>
    <s v="VALIDATED"/>
    <n v="1"/>
    <s v="01.11.80.308.2013.0000"/>
    <n v="-509.3"/>
    <s v="11"/>
    <s v="2013"/>
    <n v="17937.03"/>
    <n v="-509.3"/>
    <s v="CREDITOR"/>
    <n v="0"/>
    <n v="0"/>
    <n v="-509.3"/>
    <n v="0"/>
    <n v="0"/>
  </r>
  <r>
    <n v="34803568"/>
    <s v="N"/>
    <n v="21320030"/>
    <s v="3000010063520016"/>
    <s v="CIVIL"/>
    <d v="2023-06-27T00:00:00"/>
    <d v="2023-07-03T19:04:24"/>
    <m/>
    <d v="2023-07-03T00:00:00"/>
    <n v="915"/>
    <n v="19140"/>
    <s v="34803568"/>
    <s v="34803568"/>
    <m/>
    <m/>
    <n v="22774992"/>
    <m/>
    <m/>
    <m/>
    <s v="SOLFIN"/>
    <s v="SOLFIN"/>
    <s v="CCMS"/>
    <n v="21320030"/>
    <n v="17432.76"/>
    <m/>
    <s v="N"/>
    <n v="65"/>
    <d v="2023-07-03T19:04:28"/>
    <s v="Y"/>
    <s v="Attendance upon client"/>
    <s v="Care Remuneration Hourly Rates"/>
    <s v="Profit Cost"/>
    <s v="Terrance Boulter"/>
    <s v="Y"/>
    <n v="42.32"/>
    <n v="8.460000000000001"/>
    <x v="3"/>
    <s v="VALIDATED"/>
    <n v="1"/>
    <s v="01.11.80.308.6100.0000"/>
    <n v="42.32"/>
    <s v="11"/>
    <s v="6100"/>
    <n v="17937.03"/>
    <n v="42.32"/>
    <s v="CREDITOR"/>
    <n v="0"/>
    <n v="0"/>
    <n v="0"/>
    <n v="0"/>
    <n v="42.32"/>
  </r>
  <r>
    <n v="34803568"/>
    <s v="N"/>
    <n v="21320030"/>
    <s v="3000010063520016"/>
    <s v="CIVIL"/>
    <d v="2023-06-27T00:00:00"/>
    <d v="2023-07-03T19:04:24"/>
    <m/>
    <d v="2023-07-03T00:00:00"/>
    <n v="915"/>
    <n v="19140"/>
    <s v="34803568"/>
    <s v="34803568"/>
    <m/>
    <m/>
    <n v="22774992"/>
    <m/>
    <m/>
    <m/>
    <s v="SOLFIN"/>
    <s v="SOLFIN"/>
    <s v="CCMS"/>
    <n v="21320030"/>
    <n v="17432.76"/>
    <m/>
    <s v="N"/>
    <n v="29"/>
    <d v="2023-07-03T19:04:28"/>
    <s v="Y"/>
    <s v="Attendance upon client"/>
    <s v="Care Remuneration Hourly Rates"/>
    <s v="Profit Cost"/>
    <s v="Terrance Boulter"/>
    <s v="Y"/>
    <n v="102.78"/>
    <n v="20.56"/>
    <x v="3"/>
    <s v="VALIDATED"/>
    <n v="1"/>
    <s v="01.11.80.308.6100.0000"/>
    <n v="102.78"/>
    <s v="11"/>
    <s v="6100"/>
    <n v="17937.03"/>
    <n v="102.78"/>
    <s v="CREDITOR"/>
    <n v="0"/>
    <n v="0"/>
    <n v="0"/>
    <n v="0"/>
    <n v="102.78"/>
  </r>
  <r>
    <n v="34803568"/>
    <s v="N"/>
    <n v="21320030"/>
    <s v="3000010063520016"/>
    <s v="CIVIL"/>
    <d v="2023-06-27T00:00:00"/>
    <d v="2023-07-03T19:04:24"/>
    <m/>
    <d v="2023-07-03T00:00:00"/>
    <n v="915"/>
    <n v="19140"/>
    <s v="34803568"/>
    <s v="34803568"/>
    <m/>
    <m/>
    <n v="22774992"/>
    <m/>
    <m/>
    <m/>
    <s v="SOLFIN"/>
    <s v="SOLFIN"/>
    <s v="CCMS"/>
    <n v="21320030"/>
    <n v="17432.76"/>
    <m/>
    <s v="N"/>
    <n v="9"/>
    <d v="2023-07-03T19:04:28"/>
    <s v="Y"/>
    <s v="Court Fee"/>
    <s v="Public Law Children"/>
    <s v="Non Expert Disbursement"/>
    <s v="Terrance Boulter"/>
    <s v="Y"/>
    <n v="155"/>
    <n v="0"/>
    <x v="3"/>
    <s v="VALIDATED"/>
    <n v="1"/>
    <s v="01.11.80.308.6300.0000"/>
    <n v="155"/>
    <s v="11"/>
    <s v="6300"/>
    <n v="17937.03"/>
    <n v="155"/>
    <s v="CREDITOR"/>
    <n v="0"/>
    <n v="0"/>
    <n v="0"/>
    <n v="0"/>
    <n v="155"/>
  </r>
  <r>
    <n v="34803568"/>
    <s v="N"/>
    <n v="21320030"/>
    <s v="3000010063520016"/>
    <s v="CIVIL"/>
    <d v="2023-06-27T00:00:00"/>
    <d v="2023-07-03T19:04:24"/>
    <m/>
    <d v="2023-07-03T00:00:00"/>
    <n v="915"/>
    <n v="19140"/>
    <s v="34803568"/>
    <s v="34803568"/>
    <m/>
    <m/>
    <n v="22774992"/>
    <m/>
    <m/>
    <m/>
    <s v="SOLFIN"/>
    <s v="SOLFIN"/>
    <s v="CCMS"/>
    <n v="21320030"/>
    <n v="17432.76"/>
    <m/>
    <s v="N"/>
    <n v="45"/>
    <d v="2023-07-03T19:04:28"/>
    <s v="Y"/>
    <s v="Preparation - drafting statement"/>
    <s v="Care Remuneration Hourly Rates"/>
    <s v="Profit Cost"/>
    <s v="Terrance Boulter"/>
    <s v="Y"/>
    <n v="139.05"/>
    <n v="27.81"/>
    <x v="3"/>
    <s v="VALIDATED"/>
    <n v="1"/>
    <s v="01.11.80.308.6100.0000"/>
    <n v="139.05"/>
    <s v="11"/>
    <s v="6100"/>
    <n v="17937.03"/>
    <n v="139.05"/>
    <s v="CREDITOR"/>
    <n v="0"/>
    <n v="0"/>
    <n v="0"/>
    <n v="0"/>
    <n v="139.05"/>
  </r>
  <r>
    <n v="34803568"/>
    <s v="N"/>
    <n v="21320030"/>
    <s v="3000010063520016"/>
    <s v="CIVIL"/>
    <d v="2023-06-27T00:00:00"/>
    <d v="2023-07-03T19:04:24"/>
    <m/>
    <d v="2023-07-03T00:00:00"/>
    <n v="915"/>
    <n v="19140"/>
    <s v="34803568"/>
    <s v="34803568"/>
    <m/>
    <m/>
    <n v="22774992"/>
    <m/>
    <m/>
    <m/>
    <s v="SOLFIN"/>
    <s v="SOLFIN"/>
    <s v="CCMS"/>
    <n v="21320030"/>
    <n v="17432.76"/>
    <m/>
    <s v="N"/>
    <n v="16"/>
    <d v="2023-07-03T19:04:28"/>
    <s v="Y"/>
    <s v="Attendance upon client"/>
    <s v="Care Remuneration Hourly Rates"/>
    <s v="Profit Cost"/>
    <s v="Terrance Boulter"/>
    <s v="Y"/>
    <n v="24.18"/>
    <n v="4.84"/>
    <x v="3"/>
    <s v="VALIDATED"/>
    <n v="1"/>
    <s v="01.11.80.308.6100.0000"/>
    <n v="24.18"/>
    <s v="11"/>
    <s v="6100"/>
    <n v="17937.03"/>
    <n v="24.18"/>
    <s v="CREDITOR"/>
    <n v="0"/>
    <n v="0"/>
    <n v="0"/>
    <n v="0"/>
    <n v="24.18"/>
  </r>
  <r>
    <n v="34803568"/>
    <s v="N"/>
    <n v="21320030"/>
    <s v="3000010063520016"/>
    <s v="CIVIL"/>
    <d v="2023-06-27T00:00:00"/>
    <d v="2023-07-03T19:04:24"/>
    <m/>
    <d v="2023-07-03T00:00:00"/>
    <n v="915"/>
    <n v="19140"/>
    <s v="34803568"/>
    <s v="34803568"/>
    <m/>
    <m/>
    <n v="22774992"/>
    <m/>
    <m/>
    <m/>
    <s v="SOLFIN"/>
    <s v="SOLFIN"/>
    <s v="CCMS"/>
    <n v="21320030"/>
    <n v="17432.76"/>
    <m/>
    <s v="N"/>
    <n v="59"/>
    <d v="2023-07-03T19:04:28"/>
    <s v="Y"/>
    <s v="Preparation - other"/>
    <s v="Care Remuneration Hourly Rates"/>
    <s v="Profit Cost"/>
    <s v="Terrance Boulter"/>
    <s v="Y"/>
    <n v="120.91"/>
    <n v="24.18"/>
    <x v="3"/>
    <s v="VALIDATED"/>
    <n v="1"/>
    <s v="01.11.80.308.6100.0000"/>
    <n v="120.91"/>
    <s v="11"/>
    <s v="6100"/>
    <n v="17937.03"/>
    <n v="120.91"/>
    <s v="CREDITOR"/>
    <n v="0"/>
    <n v="0"/>
    <n v="0"/>
    <n v="0"/>
    <n v="120.91"/>
  </r>
  <r>
    <n v="34803568"/>
    <s v="N"/>
    <n v="21320030"/>
    <s v="3000010063520016"/>
    <s v="CIVIL"/>
    <d v="2023-06-27T00:00:00"/>
    <d v="2023-07-03T19:04:24"/>
    <m/>
    <d v="2023-07-03T00:00:00"/>
    <n v="915"/>
    <n v="19140"/>
    <s v="34803568"/>
    <s v="34803568"/>
    <m/>
    <m/>
    <n v="22774992"/>
    <m/>
    <m/>
    <m/>
    <s v="SOLFIN"/>
    <s v="SOLFIN"/>
    <s v="CCMS"/>
    <n v="21320030"/>
    <n v="17432.76"/>
    <m/>
    <s v="N"/>
    <n v="54"/>
    <d v="2023-07-03T19:04:28"/>
    <s v="Y"/>
    <s v="Preparation - Periodic file review"/>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82"/>
    <d v="2023-07-03T19:04:28"/>
    <s v="Y"/>
    <s v="Hearing Unit 2.31 - 5.00 Hours"/>
    <s v="Public Law Children"/>
    <s v="Advocacy"/>
    <s v="Terrance Boulter"/>
    <s v="Y"/>
    <n v="476.92"/>
    <n v="95.39"/>
    <x v="3"/>
    <s v="VALIDATED"/>
    <n v="1"/>
    <s v="01.11.80.308.6100.0000"/>
    <n v="476.92"/>
    <s v="11"/>
    <s v="6100"/>
    <n v="17937.03"/>
    <n v="476.92"/>
    <s v="CREDITOR"/>
    <n v="0"/>
    <n v="0"/>
    <n v="0"/>
    <n v="0"/>
    <n v="476.92"/>
  </r>
  <r>
    <n v="34803568"/>
    <s v="N"/>
    <n v="21320030"/>
    <s v="3000010063520016"/>
    <s v="CIVIL"/>
    <d v="2023-06-27T00:00:00"/>
    <d v="2023-07-03T19:04:24"/>
    <m/>
    <d v="2023-07-03T00:00:00"/>
    <n v="915"/>
    <n v="19140"/>
    <s v="34803568"/>
    <s v="34803568"/>
    <m/>
    <m/>
    <n v="22774992"/>
    <m/>
    <m/>
    <m/>
    <s v="SOLFIN"/>
    <s v="SOLFIN"/>
    <s v="CCMS"/>
    <n v="21320030"/>
    <n v="17432.76"/>
    <m/>
    <s v="N"/>
    <n v="50"/>
    <d v="2023-07-03T19:04:28"/>
    <s v="Y"/>
    <s v="Attendance upon client"/>
    <s v="Care Remuneration Hourly Rates"/>
    <s v="Profit Cost"/>
    <s v="Terrance Boulter"/>
    <s v="Y"/>
    <n v="30.23"/>
    <n v="6.05"/>
    <x v="3"/>
    <s v="VALIDATED"/>
    <n v="1"/>
    <s v="01.11.80.308.6100.0000"/>
    <n v="30.23"/>
    <s v="11"/>
    <s v="6100"/>
    <n v="17937.03"/>
    <n v="30.23"/>
    <s v="CREDITOR"/>
    <n v="0"/>
    <n v="0"/>
    <n v="0"/>
    <n v="0"/>
    <n v="30.23"/>
  </r>
  <r>
    <n v="34803568"/>
    <s v="N"/>
    <n v="21320030"/>
    <s v="3000010063520016"/>
    <s v="CIVIL"/>
    <d v="2023-06-27T00:00:00"/>
    <d v="2023-07-03T19:04:24"/>
    <m/>
    <d v="2023-07-03T00:00:00"/>
    <n v="915"/>
    <n v="19140"/>
    <s v="34803568"/>
    <s v="34803568"/>
    <m/>
    <m/>
    <n v="22774992"/>
    <m/>
    <m/>
    <m/>
    <s v="SOLFIN"/>
    <s v="SOLFIN"/>
    <s v="CCMS"/>
    <n v="21320030"/>
    <n v="17432.76"/>
    <m/>
    <s v="N"/>
    <n v="3"/>
    <d v="2023-07-03T19:04:28"/>
    <s v="N"/>
    <s v="Psychologist"/>
    <s v="Public Law Children"/>
    <s v="Expert Disbursement"/>
    <s v="Terrance Boulter"/>
    <s v="N"/>
    <n v="197.18"/>
    <n v="39.44"/>
    <x v="3"/>
    <s v="VALIDATED"/>
    <n v="1"/>
    <s v="01.11.80.308.6300.0000"/>
    <n v="197.18"/>
    <s v="11"/>
    <s v="6300"/>
    <n v="17937.03"/>
    <n v="197.18"/>
    <s v="CREDITOR"/>
    <n v="0"/>
    <n v="0"/>
    <n v="0"/>
    <n v="0"/>
    <n v="197.18"/>
  </r>
  <r>
    <n v="61105510"/>
    <s v="N"/>
    <n v="21318320"/>
    <s v="3000015295740004"/>
    <s v="CIVIL"/>
    <d v="2023-06-18T00:00:00"/>
    <d v="2023-07-03T19:01:49"/>
    <m/>
    <d v="2023-07-03T00:00:00"/>
    <n v="915"/>
    <n v="19140"/>
    <s v="61105510"/>
    <s v="61105510"/>
    <m/>
    <m/>
    <n v="22711474"/>
    <m/>
    <m/>
    <m/>
    <s v="SOLFIN"/>
    <s v="SOLFIN"/>
    <s v="CCMS"/>
    <n v="21318320"/>
    <n v="4447.98"/>
    <m/>
    <s v="N"/>
    <n v="3"/>
    <d v="2023-07-03T19:01:53"/>
    <s v="Y"/>
    <s v="Solicitor Travel Mileage"/>
    <s v="Public Law Children"/>
    <s v="Non Expert Disbursement"/>
    <s v="Christopher Redler"/>
    <s v="Y"/>
    <n v="16.2"/>
    <n v="3.24"/>
    <x v="3"/>
    <s v="VALIDATED"/>
    <n v="1"/>
    <s v="01.11.80.308.6300.0000"/>
    <n v="16.2"/>
    <s v="11"/>
    <s v="6300"/>
    <n v="17937.03"/>
    <n v="16.2"/>
    <s v="CREDITOR"/>
    <n v="0"/>
    <n v="0"/>
    <n v="0"/>
    <n v="0"/>
    <n v="16.2"/>
  </r>
  <r>
    <n v="34803568"/>
    <s v="N"/>
    <n v="21320030"/>
    <s v="3000010063520016"/>
    <s v="CIVIL"/>
    <d v="2023-06-27T00:00:00"/>
    <d v="2023-07-03T19:04:24"/>
    <m/>
    <d v="2023-07-03T00:00:00"/>
    <n v="915"/>
    <n v="19140"/>
    <s v="34803568"/>
    <s v="34803568"/>
    <m/>
    <m/>
    <n v="22774992"/>
    <m/>
    <m/>
    <m/>
    <s v="SOLFIN"/>
    <s v="SOLFIN"/>
    <s v="CCMS"/>
    <n v="21320030"/>
    <n v="17432.76"/>
    <m/>
    <s v="N"/>
    <n v="30"/>
    <d v="2023-07-03T19:04:28"/>
    <s v="Y"/>
    <s v="Attendance upon client"/>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38"/>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70"/>
    <d v="2023-07-03T19:04:28"/>
    <s v="Y"/>
    <s v="Preparation - drafting statement"/>
    <s v="Care Remuneration Hourly Rates"/>
    <s v="Profit Cost"/>
    <s v="Terrance Boulter"/>
    <s v="Y"/>
    <n v="120.91"/>
    <n v="24.18"/>
    <x v="3"/>
    <s v="VALIDATED"/>
    <n v="1"/>
    <s v="01.11.80.308.6100.0000"/>
    <n v="120.91"/>
    <s v="11"/>
    <s v="6100"/>
    <n v="17937.03"/>
    <n v="120.91"/>
    <s v="CREDITOR"/>
    <n v="0"/>
    <n v="0"/>
    <n v="0"/>
    <n v="0"/>
    <n v="120.91"/>
  </r>
  <r>
    <n v="61436788"/>
    <s v="N"/>
    <n v="21327956"/>
    <s v="3000015570500006"/>
    <s v="CIVIL"/>
    <d v="2023-06-18T00:00:00"/>
    <d v="2023-07-04T19:00:44"/>
    <m/>
    <d v="2023-07-04T00:00:00"/>
    <n v="915"/>
    <n v="19140"/>
    <s v="61436788"/>
    <s v="61436788"/>
    <m/>
    <m/>
    <n v="22711424"/>
    <m/>
    <m/>
    <m/>
    <s v="SOLFIN"/>
    <s v="SOLFIN"/>
    <s v="CCMS"/>
    <n v="21327956"/>
    <n v="4955.83"/>
    <m/>
    <s v="N"/>
    <n v="6"/>
    <d v="2023-07-04T19:01:00"/>
    <s v="Y"/>
    <s v="Solicitor Travel Expenses"/>
    <s v="Public Law Children"/>
    <s v="Non Expert Disbursement"/>
    <s v="Christopher Redler"/>
    <s v="Y"/>
    <n v="3"/>
    <n v="0"/>
    <x v="1"/>
    <s v="VALIDATED"/>
    <n v="1"/>
    <s v="01.11.80.308.6300.0000"/>
    <n v="3"/>
    <s v="11"/>
    <s v="6300"/>
    <n v="17937.03"/>
    <n v="3"/>
    <s v="CREDITOR"/>
    <n v="0"/>
    <n v="0"/>
    <n v="0"/>
    <n v="0"/>
    <n v="3"/>
  </r>
  <r>
    <n v="34803568"/>
    <s v="N"/>
    <n v="21320030"/>
    <s v="3000010063520016"/>
    <s v="CIVIL"/>
    <d v="2023-06-27T00:00:00"/>
    <d v="2023-07-03T19:04:24"/>
    <m/>
    <d v="2023-07-03T00:00:00"/>
    <n v="915"/>
    <n v="19140"/>
    <s v="34803568"/>
    <s v="34803568"/>
    <m/>
    <m/>
    <n v="22774992"/>
    <m/>
    <m/>
    <m/>
    <s v="SOLFIN"/>
    <s v="SOLFIN"/>
    <s v="CCMS"/>
    <n v="21320030"/>
    <n v="17432.76"/>
    <m/>
    <s v="N"/>
    <n v="23"/>
    <d v="2023-07-03T19:04:28"/>
    <s v="Y"/>
    <s v="Attendance upon client"/>
    <s v="Care Remuneration Hourly Rates"/>
    <s v="Profit Cost"/>
    <s v="Terrance Boulter"/>
    <s v="Y"/>
    <n v="24.18"/>
    <n v="4.84"/>
    <x v="3"/>
    <s v="VALIDATED"/>
    <n v="1"/>
    <s v="01.11.80.308.6100.0000"/>
    <n v="24.18"/>
    <s v="11"/>
    <s v="6100"/>
    <n v="17937.03"/>
    <n v="24.18"/>
    <s v="CREDITOR"/>
    <n v="0"/>
    <n v="0"/>
    <n v="0"/>
    <n v="0"/>
    <n v="24.18"/>
  </r>
  <r>
    <n v="61436788"/>
    <s v="N"/>
    <n v="21327956"/>
    <s v="3000015570500006"/>
    <s v="CIVIL"/>
    <d v="2023-06-18T00:00:00"/>
    <d v="2023-07-04T19:00:44"/>
    <m/>
    <d v="2023-07-04T00:00:00"/>
    <n v="915"/>
    <n v="19140"/>
    <s v="61436788"/>
    <s v="61436788"/>
    <m/>
    <m/>
    <n v="22711424"/>
    <m/>
    <m/>
    <m/>
    <s v="SOLFIN"/>
    <s v="SOLFIN"/>
    <s v="CCMS"/>
    <n v="21327956"/>
    <n v="4955.83"/>
    <m/>
    <s v="N"/>
    <n v="4"/>
    <d v="2023-07-04T19:01:00"/>
    <s v="Y"/>
    <s v="Solicitor Travel Expenses"/>
    <s v="Public Law Children"/>
    <s v="Non Expert Disbursement"/>
    <s v="Christopher Redler"/>
    <s v="Y"/>
    <n v="5"/>
    <n v="0"/>
    <x v="1"/>
    <s v="VALIDATED"/>
    <n v="1"/>
    <s v="01.11.80.308.6300.0000"/>
    <n v="5"/>
    <s v="11"/>
    <s v="6300"/>
    <n v="17937.03"/>
    <n v="5"/>
    <s v="CREDITOR"/>
    <n v="0"/>
    <n v="0"/>
    <n v="0"/>
    <n v="0"/>
    <n v="5"/>
  </r>
  <r>
    <n v="34803568"/>
    <s v="N"/>
    <n v="21320030"/>
    <s v="3000010063520016"/>
    <s v="CIVIL"/>
    <d v="2023-06-27T00:00:00"/>
    <d v="2023-07-03T19:04:24"/>
    <m/>
    <d v="2023-07-03T00:00:00"/>
    <n v="915"/>
    <n v="19140"/>
    <s v="34803568"/>
    <s v="34803568"/>
    <m/>
    <m/>
    <n v="22774992"/>
    <m/>
    <m/>
    <m/>
    <s v="SOLFIN"/>
    <s v="SOLFIN"/>
    <s v="CCMS"/>
    <n v="21320030"/>
    <n v="17432.76"/>
    <m/>
    <s v="N"/>
    <n v="72"/>
    <d v="2023-07-03T19:04:28"/>
    <s v="Y"/>
    <s v="Attendance upon client"/>
    <s v="Care Remuneration Hourly Rates"/>
    <s v="Profit Cost"/>
    <s v="Terrance Boulter"/>
    <s v="Y"/>
    <n v="12.09"/>
    <n v="2.42"/>
    <x v="3"/>
    <s v="VALIDATED"/>
    <n v="1"/>
    <s v="01.11.80.308.6100.0000"/>
    <n v="12.09"/>
    <s v="11"/>
    <s v="6100"/>
    <n v="17937.03"/>
    <n v="12.09"/>
    <s v="CREDITOR"/>
    <n v="0"/>
    <n v="0"/>
    <n v="0"/>
    <n v="0"/>
    <n v="12.09"/>
  </r>
  <r>
    <n v="34803568"/>
    <s v="N"/>
    <n v="21320030"/>
    <s v="3000010063520016"/>
    <s v="CIVIL"/>
    <d v="2023-06-27T00:00:00"/>
    <d v="2023-07-03T19:04:24"/>
    <m/>
    <d v="2023-07-03T00:00:00"/>
    <n v="915"/>
    <n v="19140"/>
    <s v="34803568"/>
    <s v="34803568"/>
    <m/>
    <m/>
    <n v="22774992"/>
    <m/>
    <m/>
    <m/>
    <s v="SOLFIN"/>
    <s v="SOLFIN"/>
    <s v="CCMS"/>
    <n v="21320030"/>
    <n v="17432.76"/>
    <m/>
    <s v="N"/>
    <n v="71"/>
    <d v="2023-07-03T19:04:28"/>
    <s v="Y"/>
    <s v="Preparation - drafting statement"/>
    <s v="Care Remuneration Hourly Rates"/>
    <s v="Profit Cost"/>
    <s v="Terrance Boulter"/>
    <s v="Y"/>
    <n v="102.78"/>
    <n v="20.56"/>
    <x v="3"/>
    <s v="VALIDATED"/>
    <n v="1"/>
    <s v="01.11.80.308.6100.0000"/>
    <n v="102.78"/>
    <s v="11"/>
    <s v="6100"/>
    <n v="17937.03"/>
    <n v="102.78"/>
    <s v="CREDITOR"/>
    <n v="0"/>
    <n v="0"/>
    <n v="0"/>
    <n v="0"/>
    <n v="102.78"/>
  </r>
  <r>
    <n v="34803568"/>
    <s v="N"/>
    <n v="21320030"/>
    <s v="3000010063520016"/>
    <s v="CIVIL"/>
    <d v="2023-06-27T00:00:00"/>
    <d v="2023-07-03T19:04:24"/>
    <m/>
    <d v="2023-07-03T00:00:00"/>
    <n v="915"/>
    <n v="19140"/>
    <s v="34803568"/>
    <s v="34803568"/>
    <m/>
    <m/>
    <n v="22774992"/>
    <m/>
    <m/>
    <m/>
    <s v="SOLFIN"/>
    <s v="SOLFIN"/>
    <s v="CCMS"/>
    <n v="21320030"/>
    <n v="17432.76"/>
    <m/>
    <s v="N"/>
    <n v="31"/>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7"/>
    <d v="2023-07-03T19:04:28"/>
    <s v="Y"/>
    <s v="Paediatrician"/>
    <s v="Public Law Children"/>
    <s v="Expert Disbursement"/>
    <s v="Terrance Boulter"/>
    <s v="Y"/>
    <n v="270"/>
    <n v="0"/>
    <x v="3"/>
    <s v="VALIDATED"/>
    <n v="1"/>
    <s v="01.11.80.308.6300.0000"/>
    <n v="270"/>
    <s v="11"/>
    <s v="6300"/>
    <n v="17937.03"/>
    <n v="270"/>
    <s v="CREDITOR"/>
    <n v="0"/>
    <n v="0"/>
    <n v="0"/>
    <n v="0"/>
    <n v="270"/>
  </r>
  <r>
    <n v="34803568"/>
    <s v="N"/>
    <n v="21320030"/>
    <s v="3000010063520016"/>
    <s v="CIVIL"/>
    <d v="2023-06-27T00:00:00"/>
    <d v="2023-07-03T19:04:24"/>
    <m/>
    <d v="2023-07-03T00:00:00"/>
    <n v="915"/>
    <n v="19140"/>
    <s v="34803568"/>
    <s v="34803568"/>
    <m/>
    <m/>
    <n v="22774992"/>
    <m/>
    <m/>
    <m/>
    <s v="SOLFIN"/>
    <s v="SOLFIN"/>
    <s v="CCMS"/>
    <n v="21320030"/>
    <n v="17432.76"/>
    <m/>
    <s v="N"/>
    <n v="4"/>
    <d v="2023-07-03T19:04:28"/>
    <s v="Y"/>
    <s v="Court Fee"/>
    <s v="Public Law Children"/>
    <s v="Non Expert Disbursement"/>
    <s v="Terrance Boulter"/>
    <s v="Y"/>
    <n v="167"/>
    <n v="0"/>
    <x v="3"/>
    <s v="VALIDATED"/>
    <n v="1"/>
    <s v="01.11.80.308.6300.0000"/>
    <n v="167"/>
    <s v="11"/>
    <s v="6300"/>
    <n v="17937.03"/>
    <n v="167"/>
    <s v="CREDITOR"/>
    <n v="0"/>
    <n v="0"/>
    <n v="0"/>
    <n v="0"/>
    <n v="167"/>
  </r>
  <r>
    <n v="34803568"/>
    <s v="N"/>
    <n v="21320030"/>
    <s v="3000010063520016"/>
    <s v="CIVIL"/>
    <d v="2023-06-27T00:00:00"/>
    <d v="2023-07-03T19:04:24"/>
    <m/>
    <d v="2023-07-03T00:00:00"/>
    <n v="915"/>
    <n v="19140"/>
    <s v="34803568"/>
    <s v="34803568"/>
    <m/>
    <m/>
    <n v="22774992"/>
    <m/>
    <m/>
    <m/>
    <s v="SOLFIN"/>
    <s v="SOLFIN"/>
    <s v="CCMS"/>
    <n v="21320030"/>
    <n v="17432.76"/>
    <m/>
    <s v="N"/>
    <n v="68"/>
    <d v="2023-07-03T19:04:28"/>
    <s v="Y"/>
    <s v="Attendance upon client"/>
    <s v="Care Remuneration Hourly Rates"/>
    <s v="Profit Cost"/>
    <s v="Terrance Boulter"/>
    <s v="Y"/>
    <n v="30.23"/>
    <n v="6.05"/>
    <x v="3"/>
    <s v="VALIDATED"/>
    <n v="1"/>
    <s v="01.11.80.308.6100.0000"/>
    <n v="30.23"/>
    <s v="11"/>
    <s v="6100"/>
    <n v="17937.03"/>
    <n v="30.23"/>
    <s v="CREDITOR"/>
    <n v="0"/>
    <n v="0"/>
    <n v="0"/>
    <n v="0"/>
    <n v="30.23"/>
  </r>
  <r>
    <n v="61436788"/>
    <s v="N"/>
    <n v="21327956"/>
    <s v="3000015570500006"/>
    <s v="CIVIL"/>
    <d v="2023-06-18T00:00:00"/>
    <d v="2023-07-04T19:00:44"/>
    <m/>
    <d v="2023-07-04T00:00:00"/>
    <n v="915"/>
    <n v="19140"/>
    <s v="61436788"/>
    <s v="61436788"/>
    <m/>
    <m/>
    <n v="22711424"/>
    <m/>
    <m/>
    <m/>
    <s v="SOLFIN"/>
    <s v="SOLFIN"/>
    <s v="CCMS"/>
    <n v="21327956"/>
    <n v="4955.83"/>
    <m/>
    <s v="N"/>
    <n v="1"/>
    <d v="2023-07-04T19:01:00"/>
    <s v="Y"/>
    <s v="Toxicologist"/>
    <s v="Public Law Children"/>
    <s v="Expert Disbursement"/>
    <s v="Christopher Redler"/>
    <s v="Y"/>
    <n v="299.25"/>
    <n v="59.85"/>
    <x v="1"/>
    <s v="VALIDATED"/>
    <n v="1"/>
    <s v="01.11.80.308.6300.0000"/>
    <n v="299.25"/>
    <s v="11"/>
    <s v="6300"/>
    <n v="17937.03"/>
    <n v="299.25"/>
    <s v="CREDITOR"/>
    <n v="0"/>
    <n v="0"/>
    <n v="0"/>
    <n v="0"/>
    <n v="299.25"/>
  </r>
  <r>
    <n v="34803568"/>
    <s v="N"/>
    <n v="21320030"/>
    <s v="3000010063520016"/>
    <s v="CIVIL"/>
    <d v="2023-06-27T00:00:00"/>
    <d v="2023-07-03T19:04:24"/>
    <m/>
    <d v="2023-07-03T00:00:00"/>
    <n v="915"/>
    <n v="19140"/>
    <s v="34803568"/>
    <s v="34803568"/>
    <m/>
    <m/>
    <n v="22774992"/>
    <m/>
    <m/>
    <m/>
    <s v="SOLFIN"/>
    <s v="SOLFIN"/>
    <s v="CCMS"/>
    <n v="21320030"/>
    <n v="17432.76"/>
    <m/>
    <s v="N"/>
    <n v="88"/>
    <d v="2023-07-03T19:04:28"/>
    <s v="N"/>
    <m/>
    <m/>
    <s v="Overall Adjustment"/>
    <m/>
    <s v="N"/>
    <n v="-706.48"/>
    <n v="-141.3"/>
    <x v="3"/>
    <s v="VALIDATED"/>
    <n v="1"/>
    <s v="01.11.80.308.6100.0000"/>
    <n v="-706.48"/>
    <s v="11"/>
    <s v="6100"/>
    <n v="17937.03"/>
    <n v="-706.48"/>
    <s v="CREDITOR"/>
    <n v="0"/>
    <n v="0"/>
    <n v="0"/>
    <n v="0"/>
    <n v="-706.48"/>
  </r>
  <r>
    <n v="34803568"/>
    <s v="N"/>
    <n v="21320030"/>
    <s v="3000010063520016"/>
    <s v="CIVIL"/>
    <d v="2023-06-27T00:00:00"/>
    <d v="2023-07-03T19:04:24"/>
    <m/>
    <d v="2023-07-03T00:00:00"/>
    <n v="915"/>
    <n v="19140"/>
    <s v="34803568"/>
    <s v="34803568"/>
    <m/>
    <m/>
    <n v="22774992"/>
    <m/>
    <m/>
    <m/>
    <s v="SOLFIN"/>
    <s v="SOLFIN"/>
    <s v="CCMS"/>
    <n v="21320030"/>
    <n v="17432.76"/>
    <m/>
    <s v="N"/>
    <n v="40"/>
    <d v="2023-07-03T19:04:28"/>
    <s v="Y"/>
    <s v="Attendance upon client"/>
    <s v="Care Remuneration Hourly Rates"/>
    <s v="Profit Cost"/>
    <s v="Terrance Boulter"/>
    <s v="Y"/>
    <n v="30.23"/>
    <n v="6.05"/>
    <x v="3"/>
    <s v="VALIDATED"/>
    <n v="1"/>
    <s v="01.11.80.308.6100.0000"/>
    <n v="30.23"/>
    <s v="11"/>
    <s v="6100"/>
    <n v="17937.03"/>
    <n v="30.23"/>
    <s v="CREDITOR"/>
    <n v="0"/>
    <n v="0"/>
    <n v="0"/>
    <n v="0"/>
    <n v="30.23"/>
  </r>
  <r>
    <n v="34803568"/>
    <s v="N"/>
    <n v="21320030"/>
    <s v="3000010063520016"/>
    <s v="CIVIL"/>
    <d v="2023-06-27T00:00:00"/>
    <d v="2023-07-03T19:04:24"/>
    <m/>
    <d v="2023-07-03T00:00:00"/>
    <n v="915"/>
    <n v="19140"/>
    <s v="34803568"/>
    <s v="34803568"/>
    <m/>
    <m/>
    <n v="22774992"/>
    <m/>
    <m/>
    <m/>
    <s v="SOLFIN"/>
    <s v="SOLFIN"/>
    <s v="CCMS"/>
    <n v="21320030"/>
    <n v="17432.76"/>
    <m/>
    <s v="N"/>
    <n v="46"/>
    <d v="2023-07-03T19:04:28"/>
    <s v="Y"/>
    <s v="Preparation - drafting statement"/>
    <s v="Care Remuneration Hourly Rates"/>
    <s v="Profit Cost"/>
    <s v="Terrance Boulter"/>
    <s v="Y"/>
    <n v="362.73"/>
    <n v="72.55"/>
    <x v="3"/>
    <s v="VALIDATED"/>
    <n v="1"/>
    <s v="01.11.80.308.6100.0000"/>
    <n v="362.73"/>
    <s v="11"/>
    <s v="6100"/>
    <n v="17937.03"/>
    <n v="362.73"/>
    <s v="CREDITOR"/>
    <n v="0"/>
    <n v="0"/>
    <n v="0"/>
    <n v="0"/>
    <n v="362.73"/>
  </r>
  <r>
    <n v="34803568"/>
    <s v="N"/>
    <n v="21320030"/>
    <s v="3000010063520016"/>
    <s v="CIVIL"/>
    <d v="2023-06-27T00:00:00"/>
    <d v="2023-07-03T19:04:24"/>
    <m/>
    <d v="2023-07-03T00:00:00"/>
    <n v="915"/>
    <n v="19140"/>
    <s v="34803568"/>
    <s v="34803568"/>
    <m/>
    <m/>
    <n v="22774992"/>
    <m/>
    <m/>
    <m/>
    <s v="SOLFIN"/>
    <s v="SOLFIN"/>
    <s v="CCMS"/>
    <n v="21320030"/>
    <n v="17432.76"/>
    <m/>
    <s v="N"/>
    <n v="62"/>
    <d v="2023-07-03T19:04:28"/>
    <s v="Y"/>
    <s v="Preparation - drafting statement"/>
    <s v="Care Remuneration Hourly Rates"/>
    <s v="Profit Cost"/>
    <s v="Terrance Boulter"/>
    <s v="Y"/>
    <n v="18.14"/>
    <n v="3.63"/>
    <x v="3"/>
    <s v="VALIDATED"/>
    <n v="1"/>
    <s v="01.11.80.308.6100.0000"/>
    <n v="18.14"/>
    <s v="11"/>
    <s v="6100"/>
    <n v="17937.03"/>
    <n v="18.14"/>
    <s v="CREDITOR"/>
    <n v="0"/>
    <n v="0"/>
    <n v="0"/>
    <n v="0"/>
    <n v="18.14"/>
  </r>
  <r>
    <n v="34803568"/>
    <s v="N"/>
    <n v="21320030"/>
    <s v="3000010063520016"/>
    <s v="CIVIL"/>
    <d v="2023-06-27T00:00:00"/>
    <d v="2023-07-03T19:04:24"/>
    <m/>
    <d v="2023-07-03T00:00:00"/>
    <n v="915"/>
    <n v="19140"/>
    <s v="34803568"/>
    <s v="34803568"/>
    <m/>
    <m/>
    <n v="22774992"/>
    <m/>
    <m/>
    <m/>
    <s v="SOLFIN"/>
    <s v="SOLFIN"/>
    <s v="CCMS"/>
    <n v="21320030"/>
    <n v="17432.76"/>
    <m/>
    <s v="N"/>
    <n v="73"/>
    <d v="2023-07-03T19:04:28"/>
    <s v="Y"/>
    <s v="Attendance upon/with Counsel at Con"/>
    <s v="Care Remuneration Hourly Rates"/>
    <s v="Profit Cost"/>
    <s v="Terrance Boulter"/>
    <s v="Y"/>
    <n v="13.52"/>
    <n v="2.7"/>
    <x v="3"/>
    <s v="VALIDATED"/>
    <n v="1"/>
    <s v="01.11.80.308.6100.0000"/>
    <n v="13.52"/>
    <s v="11"/>
    <s v="6100"/>
    <n v="17937.03"/>
    <n v="13.52"/>
    <s v="CREDITOR"/>
    <n v="0"/>
    <n v="0"/>
    <n v="0"/>
    <n v="0"/>
    <n v="13.52"/>
  </r>
  <r>
    <n v="61436788"/>
    <s v="N"/>
    <n v="21327956"/>
    <s v="3000015570500006"/>
    <s v="CIVIL"/>
    <d v="2023-06-18T00:00:00"/>
    <d v="2023-07-04T19:00:44"/>
    <m/>
    <d v="2023-07-04T00:00:00"/>
    <n v="915"/>
    <n v="19140"/>
    <s v="61436788"/>
    <s v="61436788"/>
    <m/>
    <m/>
    <n v="22711424"/>
    <m/>
    <m/>
    <m/>
    <s v="SOLFIN"/>
    <s v="SOLFIN"/>
    <s v="CCMS"/>
    <n v="21327956"/>
    <n v="4955.83"/>
    <m/>
    <s v="N"/>
    <n v="2"/>
    <d v="2023-07-04T19:01:00"/>
    <s v="Y"/>
    <s v="Toxicologist"/>
    <s v="Public Law Children"/>
    <s v="Expert Disbursement"/>
    <s v="Christopher Redler"/>
    <s v="Y"/>
    <n v="299.25"/>
    <n v="59.85"/>
    <x v="1"/>
    <s v="VALIDATED"/>
    <n v="1"/>
    <s v="01.11.80.308.6300.0000"/>
    <n v="299.25"/>
    <s v="11"/>
    <s v="6300"/>
    <n v="17937.03"/>
    <n v="299.25"/>
    <s v="CREDITOR"/>
    <n v="0"/>
    <n v="0"/>
    <n v="0"/>
    <n v="0"/>
    <n v="299.25"/>
  </r>
  <r>
    <n v="34803568"/>
    <s v="N"/>
    <n v="21320030"/>
    <s v="3000010063520016"/>
    <s v="CIVIL"/>
    <d v="2023-06-27T00:00:00"/>
    <d v="2023-07-03T19:04:24"/>
    <m/>
    <d v="2023-07-03T00:00:00"/>
    <n v="915"/>
    <n v="19140"/>
    <s v="34803568"/>
    <s v="34803568"/>
    <m/>
    <m/>
    <n v="22774992"/>
    <m/>
    <m/>
    <m/>
    <s v="SOLFIN"/>
    <s v="SOLFIN"/>
    <s v="CCMS"/>
    <n v="21320030"/>
    <n v="17432.76"/>
    <m/>
    <s v="N"/>
    <n v="47"/>
    <d v="2023-07-03T19:04:28"/>
    <s v="Y"/>
    <s v="Preparation - drafting statement"/>
    <s v="Care Remuneration Hourly Rates"/>
    <s v="Profit Cost"/>
    <s v="Terrance Boulter"/>
    <s v="Y"/>
    <n v="30.23"/>
    <n v="6.05"/>
    <x v="3"/>
    <s v="VALIDATED"/>
    <n v="1"/>
    <s v="01.11.80.308.6100.0000"/>
    <n v="30.23"/>
    <s v="11"/>
    <s v="6100"/>
    <n v="17937.03"/>
    <n v="30.23"/>
    <s v="CREDITOR"/>
    <n v="0"/>
    <n v="0"/>
    <n v="0"/>
    <n v="0"/>
    <n v="30.23"/>
  </r>
  <r>
    <n v="34803568"/>
    <s v="N"/>
    <n v="21320030"/>
    <s v="3000010063520016"/>
    <s v="CIVIL"/>
    <d v="2023-06-27T00:00:00"/>
    <d v="2023-07-03T19:04:24"/>
    <m/>
    <d v="2023-07-03T00:00:00"/>
    <n v="915"/>
    <n v="19140"/>
    <s v="34803568"/>
    <s v="34803568"/>
    <m/>
    <m/>
    <n v="22774992"/>
    <m/>
    <m/>
    <m/>
    <s v="SOLFIN"/>
    <s v="SOLFIN"/>
    <s v="CCMS"/>
    <n v="21320030"/>
    <n v="17432.76"/>
    <m/>
    <s v="N"/>
    <n v="79"/>
    <d v="2023-07-03T19:04:28"/>
    <s v="Y"/>
    <s v="Advocates Meeting"/>
    <s v="Public Law Children"/>
    <s v="Advocacy"/>
    <s v="Terrance Boulter"/>
    <s v="Y"/>
    <n v="140.99"/>
    <n v="28.2"/>
    <x v="3"/>
    <s v="VALIDATED"/>
    <n v="1"/>
    <s v="01.11.80.308.6100.0000"/>
    <n v="140.99"/>
    <s v="11"/>
    <s v="6100"/>
    <n v="17937.03"/>
    <n v="140.99"/>
    <s v="CREDITOR"/>
    <n v="0"/>
    <n v="0"/>
    <n v="0"/>
    <n v="0"/>
    <n v="140.99"/>
  </r>
  <r>
    <n v="34803568"/>
    <s v="N"/>
    <n v="21320030"/>
    <s v="3000010063520016"/>
    <s v="CIVIL"/>
    <d v="2023-06-27T00:00:00"/>
    <d v="2023-07-03T19:04:24"/>
    <m/>
    <d v="2023-07-03T00:00:00"/>
    <n v="915"/>
    <n v="19140"/>
    <s v="34803568"/>
    <s v="34803568"/>
    <m/>
    <m/>
    <n v="22774992"/>
    <m/>
    <m/>
    <m/>
    <s v="SOLFIN"/>
    <s v="SOLFIN"/>
    <s v="CCMS"/>
    <n v="21320030"/>
    <n v="17432.76"/>
    <m/>
    <s v="N"/>
    <n v="26"/>
    <d v="2023-07-03T19:04:28"/>
    <s v="Y"/>
    <s v="Attendance upon client"/>
    <s v="Care Remuneration Hourly Rates"/>
    <s v="Profit Cost"/>
    <s v="Terrance Boulter"/>
    <s v="Y"/>
    <n v="12.09"/>
    <n v="2.42"/>
    <x v="3"/>
    <s v="VALIDATED"/>
    <n v="1"/>
    <s v="01.11.80.308.6100.0000"/>
    <n v="12.09"/>
    <s v="11"/>
    <s v="6100"/>
    <n v="17937.03"/>
    <n v="12.09"/>
    <s v="CREDITOR"/>
    <n v="0"/>
    <n v="0"/>
    <n v="0"/>
    <n v="0"/>
    <n v="12.09"/>
  </r>
  <r>
    <n v="61436788"/>
    <s v="N"/>
    <n v="21327956"/>
    <s v="3000015570500006"/>
    <s v="CIVIL"/>
    <d v="2023-06-18T00:00:00"/>
    <d v="2023-07-04T19:00:44"/>
    <m/>
    <d v="2023-07-04T00:00:00"/>
    <n v="915"/>
    <n v="19140"/>
    <s v="61436788"/>
    <s v="61436788"/>
    <m/>
    <m/>
    <n v="22711424"/>
    <m/>
    <m/>
    <m/>
    <s v="SOLFIN"/>
    <s v="SOLFIN"/>
    <s v="CCMS"/>
    <n v="21327956"/>
    <n v="4955.83"/>
    <m/>
    <s v="N"/>
    <n v="10"/>
    <d v="2023-07-04T19:01:00"/>
    <s v="Y"/>
    <s v="Solicitors Fixed Fee"/>
    <s v="Public Law Children"/>
    <s v="Profit Cost"/>
    <s v="Christopher Redler"/>
    <s v="Y"/>
    <n v="2300"/>
    <n v="460"/>
    <x v="1"/>
    <s v="VALIDATED"/>
    <n v="1"/>
    <s v="01.11.80.308.6100.0000"/>
    <n v="2300"/>
    <s v="11"/>
    <s v="6100"/>
    <n v="17937.03"/>
    <n v="2300"/>
    <s v="CREDITOR"/>
    <n v="0"/>
    <n v="0"/>
    <n v="0"/>
    <n v="0"/>
    <n v="2300"/>
  </r>
  <r>
    <n v="34803568"/>
    <s v="N"/>
    <n v="21320030"/>
    <s v="3000010063520016"/>
    <s v="CIVIL"/>
    <d v="2023-06-27T00:00:00"/>
    <d v="2023-07-03T19:04:24"/>
    <m/>
    <d v="2023-07-03T00:00:00"/>
    <n v="915"/>
    <n v="19140"/>
    <s v="34803568"/>
    <s v="34803568"/>
    <m/>
    <m/>
    <n v="22774992"/>
    <m/>
    <m/>
    <m/>
    <s v="SOLFIN"/>
    <s v="SOLFIN"/>
    <s v="CCMS"/>
    <n v="21320030"/>
    <n v="17432.76"/>
    <m/>
    <s v="N"/>
    <n v="51"/>
    <d v="2023-07-03T19:04:28"/>
    <s v="Y"/>
    <s v="Preparation - drafting statement"/>
    <s v="Care Remuneration Hourly Rates"/>
    <s v="Profit Cost"/>
    <s v="Terrance Boulter"/>
    <s v="Y"/>
    <n v="42.32"/>
    <n v="8.460000000000001"/>
    <x v="3"/>
    <s v="VALIDATED"/>
    <n v="1"/>
    <s v="01.11.80.308.6100.0000"/>
    <n v="42.32"/>
    <s v="11"/>
    <s v="6100"/>
    <n v="17937.03"/>
    <n v="42.32"/>
    <s v="CREDITOR"/>
    <n v="0"/>
    <n v="0"/>
    <n v="0"/>
    <n v="0"/>
    <n v="42.32"/>
  </r>
  <r>
    <n v="34803568"/>
    <s v="N"/>
    <n v="21320030"/>
    <s v="3000010063520016"/>
    <s v="CIVIL"/>
    <d v="2023-06-27T00:00:00"/>
    <d v="2023-07-03T19:04:24"/>
    <m/>
    <d v="2023-07-03T00:00:00"/>
    <n v="915"/>
    <n v="19140"/>
    <s v="34803568"/>
    <s v="34803568"/>
    <m/>
    <m/>
    <n v="22774992"/>
    <m/>
    <m/>
    <m/>
    <s v="SOLFIN"/>
    <s v="SOLFIN"/>
    <s v="CCMS"/>
    <n v="21320030"/>
    <n v="17432.76"/>
    <m/>
    <s v="N"/>
    <n v="44"/>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61105510"/>
    <s v="N"/>
    <n v="21318320"/>
    <s v="3000015295740004"/>
    <s v="CIVIL"/>
    <d v="2023-06-18T00:00:00"/>
    <d v="2023-07-03T19:01:49"/>
    <m/>
    <d v="2023-07-03T00:00:00"/>
    <n v="915"/>
    <n v="19140"/>
    <s v="61105510"/>
    <s v="61105510"/>
    <m/>
    <m/>
    <n v="22711474"/>
    <m/>
    <m/>
    <m/>
    <s v="SOLFIN"/>
    <s v="SOLFIN"/>
    <s v="CCMS"/>
    <n v="21318320"/>
    <n v="4447.98"/>
    <m/>
    <s v="N"/>
    <n v="2"/>
    <d v="2023-07-03T19:01:53"/>
    <s v="Y"/>
    <s v="Psychologist"/>
    <s v="Public Law Children"/>
    <s v="Expert Disbursement"/>
    <s v="Christopher Redler"/>
    <s v="Y"/>
    <n v="113.08"/>
    <n v="22.62"/>
    <x v="3"/>
    <s v="VALIDATED"/>
    <n v="1"/>
    <s v="01.11.80.308.6300.0000"/>
    <n v="113.08"/>
    <s v="11"/>
    <s v="6300"/>
    <n v="17937.03"/>
    <n v="113.08"/>
    <s v="CREDITOR"/>
    <n v="0"/>
    <n v="0"/>
    <n v="0"/>
    <n v="0"/>
    <n v="113.08"/>
  </r>
  <r>
    <n v="34803568"/>
    <s v="N"/>
    <n v="21320030"/>
    <s v="3000010063520016"/>
    <s v="CIVIL"/>
    <d v="2023-06-27T00:00:00"/>
    <d v="2023-07-03T19:04:24"/>
    <m/>
    <d v="2023-07-03T00:00:00"/>
    <n v="915"/>
    <n v="19140"/>
    <s v="34803568"/>
    <s v="34803568"/>
    <m/>
    <m/>
    <n v="22774992"/>
    <m/>
    <m/>
    <m/>
    <s v="SOLFIN"/>
    <s v="SOLFIN"/>
    <s v="CCMS"/>
    <n v="21320030"/>
    <n v="17432.76"/>
    <m/>
    <s v="N"/>
    <n v="17"/>
    <d v="2023-07-03T19:04:28"/>
    <s v="Y"/>
    <s v="Attendance upon client"/>
    <s v="Care Remuneration Hourly Rates"/>
    <s v="Profit Cost"/>
    <s v="Terrance Boulter"/>
    <s v="Y"/>
    <n v="24.18"/>
    <n v="4.84"/>
    <x v="3"/>
    <s v="VALIDATED"/>
    <n v="1"/>
    <s v="01.11.80.308.6100.0000"/>
    <n v="24.18"/>
    <s v="11"/>
    <s v="6100"/>
    <n v="17937.03"/>
    <n v="24.18"/>
    <s v="CREDITOR"/>
    <n v="0"/>
    <n v="0"/>
    <n v="0"/>
    <n v="0"/>
    <n v="24.18"/>
  </r>
  <r>
    <n v="34803568"/>
    <s v="N"/>
    <n v="21320030"/>
    <s v="3000010063520016"/>
    <s v="CIVIL"/>
    <d v="2023-06-27T00:00:00"/>
    <d v="2023-07-03T19:04:24"/>
    <m/>
    <d v="2023-07-03T00:00:00"/>
    <n v="915"/>
    <n v="19140"/>
    <s v="34803568"/>
    <s v="34803568"/>
    <m/>
    <m/>
    <n v="22774992"/>
    <m/>
    <m/>
    <m/>
    <s v="SOLFIN"/>
    <s v="SOLFIN"/>
    <s v="CCMS"/>
    <n v="21320030"/>
    <n v="17432.76"/>
    <m/>
    <s v="N"/>
    <n v="52"/>
    <d v="2023-07-03T19:04:28"/>
    <s v="Y"/>
    <s v="Preparation - drafting statement"/>
    <s v="Care Remuneration Hourly Rates"/>
    <s v="Profit Cost"/>
    <s v="Terrance Boulter"/>
    <s v="Y"/>
    <n v="151.14"/>
    <n v="30.23"/>
    <x v="3"/>
    <s v="VALIDATED"/>
    <n v="1"/>
    <s v="01.11.80.308.6100.0000"/>
    <n v="151.14"/>
    <s v="11"/>
    <s v="6100"/>
    <n v="17937.03"/>
    <n v="151.14"/>
    <s v="CREDITOR"/>
    <n v="0"/>
    <n v="0"/>
    <n v="0"/>
    <n v="0"/>
    <n v="151.14"/>
  </r>
  <r>
    <n v="61436788"/>
    <s v="N"/>
    <n v="21327956"/>
    <s v="3000015570500006"/>
    <s v="CIVIL"/>
    <d v="2023-06-18T00:00:00"/>
    <d v="2023-07-04T19:00:44"/>
    <m/>
    <d v="2023-07-04T00:00:00"/>
    <n v="915"/>
    <n v="19140"/>
    <s v="61436788"/>
    <s v="61436788"/>
    <m/>
    <m/>
    <n v="22711424"/>
    <m/>
    <m/>
    <m/>
    <s v="SOLFIN"/>
    <s v="SOLFIN"/>
    <s v="CCMS"/>
    <n v="21327956"/>
    <n v="4955.83"/>
    <m/>
    <s v="N"/>
    <n v="8"/>
    <d v="2023-07-04T19:01:00"/>
    <s v="Y"/>
    <s v="Hearing Unit 1.01 - 2.30 Hours"/>
    <s v="Public Law Children"/>
    <s v="Advocacy"/>
    <s v="Christopher Redler"/>
    <s v="Y"/>
    <n v="238.46"/>
    <n v="47.69"/>
    <x v="1"/>
    <s v="VALIDATED"/>
    <n v="1"/>
    <s v="01.11.80.308.6100.0000"/>
    <n v="238.46"/>
    <s v="11"/>
    <s v="6100"/>
    <n v="17937.03"/>
    <n v="238.46"/>
    <s v="CREDITOR"/>
    <n v="0"/>
    <n v="0"/>
    <n v="0"/>
    <n v="0"/>
    <n v="238.46"/>
  </r>
  <r>
    <n v="34803568"/>
    <s v="N"/>
    <n v="21320030"/>
    <s v="3000010063520016"/>
    <s v="CIVIL"/>
    <d v="2023-06-27T00:00:00"/>
    <d v="2023-07-03T19:04:24"/>
    <m/>
    <d v="2023-07-03T00:00:00"/>
    <n v="915"/>
    <n v="19140"/>
    <s v="34803568"/>
    <s v="34803568"/>
    <m/>
    <m/>
    <n v="22774992"/>
    <m/>
    <m/>
    <m/>
    <s v="SOLFIN"/>
    <s v="SOLFIN"/>
    <s v="CCMS"/>
    <n v="21320030"/>
    <n v="17432.76"/>
    <m/>
    <s v="N"/>
    <n v="22"/>
    <d v="2023-07-03T19:04:28"/>
    <s v="Y"/>
    <s v="Attendance upon client"/>
    <s v="Care Remuneration Hourly Rates"/>
    <s v="Profit Cost"/>
    <s v="Terrance Boulter"/>
    <s v="Y"/>
    <n v="24.18"/>
    <n v="4.84"/>
    <x v="3"/>
    <s v="VALIDATED"/>
    <n v="1"/>
    <s v="01.11.80.308.6100.0000"/>
    <n v="24.18"/>
    <s v="11"/>
    <s v="6100"/>
    <n v="17937.03"/>
    <n v="24.18"/>
    <s v="CREDITOR"/>
    <n v="0"/>
    <n v="0"/>
    <n v="0"/>
    <n v="0"/>
    <n v="24.18"/>
  </r>
  <r>
    <n v="34803568"/>
    <s v="N"/>
    <n v="21320030"/>
    <s v="3000010063520016"/>
    <s v="CIVIL"/>
    <d v="2023-06-27T00:00:00"/>
    <d v="2023-07-03T19:04:24"/>
    <m/>
    <d v="2023-07-03T00:00:00"/>
    <n v="915"/>
    <n v="19140"/>
    <s v="34803568"/>
    <s v="34803568"/>
    <m/>
    <m/>
    <n v="22774992"/>
    <m/>
    <m/>
    <m/>
    <s v="SOLFIN"/>
    <s v="SOLFIN"/>
    <s v="CCMS"/>
    <n v="21320030"/>
    <n v="17432.76"/>
    <m/>
    <s v="N"/>
    <n v="53"/>
    <d v="2023-07-03T19:04:28"/>
    <s v="Y"/>
    <s v="Attendance upon client"/>
    <s v="Care Remuneration Hourly Rates"/>
    <s v="Profit Cost"/>
    <s v="Terrance Boulter"/>
    <s v="Y"/>
    <n v="48.37"/>
    <n v="9.67"/>
    <x v="3"/>
    <s v="VALIDATED"/>
    <n v="1"/>
    <s v="01.11.80.308.6100.0000"/>
    <n v="48.37"/>
    <s v="11"/>
    <s v="6100"/>
    <n v="17937.03"/>
    <n v="48.37"/>
    <s v="CREDITOR"/>
    <n v="0"/>
    <n v="0"/>
    <n v="0"/>
    <n v="0"/>
    <n v="48.37"/>
  </r>
  <r>
    <n v="34803568"/>
    <s v="N"/>
    <n v="21320030"/>
    <s v="3000010063520016"/>
    <s v="CIVIL"/>
    <d v="2023-06-27T00:00:00"/>
    <d v="2023-07-03T19:04:24"/>
    <m/>
    <d v="2023-07-03T00:00:00"/>
    <n v="915"/>
    <n v="19140"/>
    <s v="34803568"/>
    <s v="34803568"/>
    <m/>
    <m/>
    <n v="22774992"/>
    <m/>
    <m/>
    <m/>
    <s v="SOLFIN"/>
    <s v="SOLFIN"/>
    <s v="CCMS"/>
    <n v="21320030"/>
    <n v="17432.76"/>
    <m/>
    <s v="N"/>
    <n v="86"/>
    <d v="2023-07-03T19:04:28"/>
    <s v="Y"/>
    <s v="Hearing Unit 5.01 - 7.30 Hours"/>
    <s v="Public Law Children"/>
    <s v="Advocacy"/>
    <s v="Terrance Boulter"/>
    <s v="Y"/>
    <n v="715.38"/>
    <n v="143.08"/>
    <x v="3"/>
    <s v="VALIDATED"/>
    <n v="1"/>
    <s v="01.11.80.308.6100.0000"/>
    <n v="715.38"/>
    <s v="11"/>
    <s v="6100"/>
    <n v="17937.03"/>
    <n v="715.38"/>
    <s v="CREDITOR"/>
    <n v="0"/>
    <n v="0"/>
    <n v="0"/>
    <n v="0"/>
    <n v="715.38"/>
  </r>
  <r>
    <n v="34803568"/>
    <s v="N"/>
    <n v="21320030"/>
    <s v="3000010063520016"/>
    <s v="CIVIL"/>
    <d v="2023-06-27T00:00:00"/>
    <d v="2023-07-03T19:04:24"/>
    <m/>
    <d v="2023-07-03T00:00:00"/>
    <n v="915"/>
    <n v="19140"/>
    <s v="34803568"/>
    <s v="34803568"/>
    <m/>
    <m/>
    <n v="22774992"/>
    <m/>
    <m/>
    <m/>
    <s v="SOLFIN"/>
    <s v="SOLFIN"/>
    <s v="CCMS"/>
    <n v="21320030"/>
    <n v="17432.76"/>
    <m/>
    <s v="N"/>
    <n v="12"/>
    <d v="2023-07-03T19:04:28"/>
    <s v="Y"/>
    <s v="Routine Letter In"/>
    <s v="Care Remuneration Hourly Rates"/>
    <s v="Profit Cost"/>
    <s v="Terrance Boulter"/>
    <s v="Y"/>
    <n v="2752.99"/>
    <n v="550.55"/>
    <x v="3"/>
    <s v="VALIDATED"/>
    <n v="1"/>
    <s v="01.11.80.308.6100.0000"/>
    <n v="2752.99"/>
    <s v="11"/>
    <s v="6100"/>
    <n v="17937.03"/>
    <n v="2752.99"/>
    <s v="CREDITOR"/>
    <n v="0"/>
    <n v="0"/>
    <n v="0"/>
    <n v="0"/>
    <n v="2752.99"/>
  </r>
  <r>
    <n v="34803568"/>
    <s v="N"/>
    <n v="21320030"/>
    <s v="3000010063520016"/>
    <s v="CIVIL"/>
    <d v="2023-06-27T00:00:00"/>
    <d v="2023-07-03T19:04:24"/>
    <m/>
    <d v="2023-07-03T00:00:00"/>
    <n v="915"/>
    <n v="19140"/>
    <s v="34803568"/>
    <s v="34803568"/>
    <m/>
    <m/>
    <n v="22774992"/>
    <m/>
    <m/>
    <m/>
    <s v="SOLFIN"/>
    <s v="SOLFIN"/>
    <s v="CCMS"/>
    <n v="21320030"/>
    <n v="17432.76"/>
    <m/>
    <s v="N"/>
    <n v="21"/>
    <d v="2023-07-03T19:04:28"/>
    <s v="Y"/>
    <s v="Preparation - drafting application"/>
    <s v="Care Remuneration Hourly Rates"/>
    <s v="Profit Cost"/>
    <s v="Terrance Boulter"/>
    <s v="Y"/>
    <n v="120.91"/>
    <n v="24.18"/>
    <x v="3"/>
    <s v="VALIDATED"/>
    <n v="1"/>
    <s v="01.11.80.308.6100.0000"/>
    <n v="120.91"/>
    <s v="11"/>
    <s v="6100"/>
    <n v="17937.03"/>
    <n v="120.91"/>
    <s v="CREDITOR"/>
    <n v="0"/>
    <n v="0"/>
    <n v="0"/>
    <n v="0"/>
    <n v="120.91"/>
  </r>
  <r>
    <n v="34803568"/>
    <s v="N"/>
    <n v="21320030"/>
    <s v="3000010063520016"/>
    <s v="CIVIL"/>
    <d v="2023-06-27T00:00:00"/>
    <d v="2023-07-03T19:04:24"/>
    <m/>
    <d v="2023-07-03T00:00:00"/>
    <n v="915"/>
    <n v="19140"/>
    <s v="34803568"/>
    <s v="34803568"/>
    <m/>
    <m/>
    <n v="22774992"/>
    <m/>
    <m/>
    <m/>
    <s v="SOLFIN"/>
    <s v="SOLFIN"/>
    <s v="CCMS"/>
    <n v="21320030"/>
    <n v="17432.76"/>
    <m/>
    <s v="N"/>
    <n v="13"/>
    <d v="2023-07-03T19:04:28"/>
    <s v="Y"/>
    <s v="Routine Telephone Call"/>
    <s v="Care Remuneration Hourly Rates"/>
    <s v="Profit Cost"/>
    <s v="Terrance Boulter"/>
    <s v="Y"/>
    <n v="373.43"/>
    <n v="74.69"/>
    <x v="3"/>
    <s v="VALIDATED"/>
    <n v="1"/>
    <s v="01.11.80.308.6100.0000"/>
    <n v="373.43"/>
    <s v="11"/>
    <s v="6100"/>
    <n v="17937.03"/>
    <n v="373.43"/>
    <s v="CREDITOR"/>
    <n v="0"/>
    <n v="0"/>
    <n v="0"/>
    <n v="0"/>
    <n v="373.43"/>
  </r>
  <r>
    <n v="34803568"/>
    <s v="N"/>
    <n v="21320030"/>
    <s v="3000010063520016"/>
    <s v="CIVIL"/>
    <d v="2023-06-27T00:00:00"/>
    <d v="2023-07-03T19:04:24"/>
    <m/>
    <d v="2023-07-03T00:00:00"/>
    <n v="915"/>
    <n v="19140"/>
    <s v="34803568"/>
    <s v="34803568"/>
    <m/>
    <m/>
    <n v="22774992"/>
    <m/>
    <m/>
    <m/>
    <s v="SOLFIN"/>
    <s v="SOLFIN"/>
    <s v="CCMS"/>
    <n v="21320030"/>
    <n v="17432.76"/>
    <m/>
    <s v="N"/>
    <n v="76"/>
    <d v="2023-07-03T19:04:28"/>
    <s v="Y"/>
    <s v="Attendance upon client"/>
    <s v="Care Remuneration Hourly Rates"/>
    <s v="Profit Cost"/>
    <s v="Terrance Boulter"/>
    <s v="Y"/>
    <n v="30.23"/>
    <n v="6.05"/>
    <x v="3"/>
    <s v="VALIDATED"/>
    <n v="1"/>
    <s v="01.11.80.308.6100.0000"/>
    <n v="30.23"/>
    <s v="11"/>
    <s v="6100"/>
    <n v="17937.03"/>
    <n v="30.23"/>
    <s v="CREDITOR"/>
    <n v="0"/>
    <n v="0"/>
    <n v="0"/>
    <n v="0"/>
    <n v="30.23"/>
  </r>
  <r>
    <n v="34803568"/>
    <s v="N"/>
    <n v="21320030"/>
    <s v="3000010063520016"/>
    <s v="CIVIL"/>
    <d v="2023-06-27T00:00:00"/>
    <d v="2023-07-03T19:04:24"/>
    <m/>
    <d v="2023-07-03T00:00:00"/>
    <n v="915"/>
    <n v="19140"/>
    <s v="34803568"/>
    <s v="34803568"/>
    <m/>
    <m/>
    <n v="22774992"/>
    <m/>
    <m/>
    <m/>
    <s v="SOLFIN"/>
    <s v="SOLFIN"/>
    <s v="CCMS"/>
    <n v="21320030"/>
    <n v="17432.76"/>
    <m/>
    <s v="N"/>
    <n v="77"/>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83"/>
    <d v="2023-07-03T19:04:28"/>
    <s v="Y"/>
    <s v="Hearing Unit 2.31 - 5.00 Hours"/>
    <s v="Public Law Children"/>
    <s v="Advocacy"/>
    <s v="Terrance Boulter"/>
    <s v="Y"/>
    <n v="476.92"/>
    <n v="95.39"/>
    <x v="3"/>
    <s v="VALIDATED"/>
    <n v="1"/>
    <s v="01.11.80.308.6100.0000"/>
    <n v="476.92"/>
    <s v="11"/>
    <s v="6100"/>
    <n v="17937.03"/>
    <n v="476.92"/>
    <s v="CREDITOR"/>
    <n v="0"/>
    <n v="0"/>
    <n v="0"/>
    <n v="0"/>
    <n v="476.92"/>
  </r>
  <r>
    <n v="34803568"/>
    <s v="N"/>
    <n v="21320030"/>
    <s v="3000010063520016"/>
    <s v="CIVIL"/>
    <d v="2023-06-27T00:00:00"/>
    <d v="2023-07-03T19:04:24"/>
    <m/>
    <d v="2023-07-03T00:00:00"/>
    <n v="915"/>
    <n v="19140"/>
    <s v="34803568"/>
    <s v="34803568"/>
    <m/>
    <m/>
    <n v="22774992"/>
    <m/>
    <m/>
    <m/>
    <s v="SOLFIN"/>
    <s v="SOLFIN"/>
    <s v="CCMS"/>
    <n v="21320030"/>
    <n v="17432.76"/>
    <m/>
    <s v="N"/>
    <n v="20"/>
    <d v="2023-07-03T19:04:28"/>
    <s v="Y"/>
    <s v="Preparation - drafting statement"/>
    <s v="Care Remuneration Hourly Rates"/>
    <s v="Profit Cost"/>
    <s v="Terrance Boulter"/>
    <s v="Y"/>
    <n v="48.37"/>
    <n v="9.67"/>
    <x v="3"/>
    <s v="VALIDATED"/>
    <n v="1"/>
    <s v="01.11.80.308.6100.0000"/>
    <n v="48.37"/>
    <s v="11"/>
    <s v="6100"/>
    <n v="17937.03"/>
    <n v="48.37"/>
    <s v="CREDITOR"/>
    <n v="0"/>
    <n v="0"/>
    <n v="0"/>
    <n v="0"/>
    <n v="48.37"/>
  </r>
  <r>
    <n v="34803568"/>
    <s v="N"/>
    <n v="21320030"/>
    <s v="3000010063520016"/>
    <s v="CIVIL"/>
    <d v="2023-06-27T00:00:00"/>
    <d v="2023-07-03T19:04:24"/>
    <m/>
    <d v="2023-07-03T00:00:00"/>
    <n v="915"/>
    <n v="19140"/>
    <s v="34803568"/>
    <s v="34803568"/>
    <m/>
    <m/>
    <n v="22774992"/>
    <m/>
    <m/>
    <m/>
    <s v="SOLFIN"/>
    <s v="SOLFIN"/>
    <s v="CCMS"/>
    <n v="21320030"/>
    <n v="17432.76"/>
    <m/>
    <s v="N"/>
    <n v="14"/>
    <d v="2023-07-03T19:04:28"/>
    <s v="Y"/>
    <s v="Attendance upon client"/>
    <s v="Care Remuneration Hourly Rates"/>
    <s v="Profit Cost"/>
    <s v="Terrance Boulter"/>
    <s v="Y"/>
    <n v="78.59"/>
    <n v="15.72"/>
    <x v="3"/>
    <s v="VALIDATED"/>
    <n v="1"/>
    <s v="01.11.80.308.6100.0000"/>
    <n v="78.59"/>
    <s v="11"/>
    <s v="6100"/>
    <n v="17937.03"/>
    <n v="78.59"/>
    <s v="CREDITOR"/>
    <n v="0"/>
    <n v="0"/>
    <n v="0"/>
    <n v="0"/>
    <n v="78.59"/>
  </r>
  <r>
    <n v="34803568"/>
    <s v="N"/>
    <n v="21320030"/>
    <s v="3000010063520016"/>
    <s v="CIVIL"/>
    <d v="2023-06-27T00:00:00"/>
    <d v="2023-07-03T19:04:24"/>
    <m/>
    <d v="2023-07-03T00:00:00"/>
    <n v="915"/>
    <n v="19140"/>
    <s v="34803568"/>
    <s v="34803568"/>
    <m/>
    <m/>
    <n v="22774992"/>
    <m/>
    <m/>
    <m/>
    <s v="SOLFIN"/>
    <s v="SOLFIN"/>
    <s v="CCMS"/>
    <n v="21320030"/>
    <n v="17432.76"/>
    <m/>
    <s v="N"/>
    <n v="34"/>
    <d v="2023-07-03T19:04:28"/>
    <s v="Y"/>
    <s v="Preparation - drafting statement"/>
    <s v="Care Remuneration Hourly Rates"/>
    <s v="Profit Cost"/>
    <s v="Terrance Boulter"/>
    <s v="Y"/>
    <n v="42.32"/>
    <n v="8.460000000000001"/>
    <x v="3"/>
    <s v="VALIDATED"/>
    <n v="1"/>
    <s v="01.11.80.308.6100.0000"/>
    <n v="42.32"/>
    <s v="11"/>
    <s v="6100"/>
    <n v="17937.03"/>
    <n v="42.32"/>
    <s v="CREDITOR"/>
    <n v="0"/>
    <n v="0"/>
    <n v="0"/>
    <n v="0"/>
    <n v="42.32"/>
  </r>
  <r>
    <n v="34803568"/>
    <s v="N"/>
    <n v="21320030"/>
    <s v="3000010063520016"/>
    <s v="CIVIL"/>
    <d v="2023-06-27T00:00:00"/>
    <d v="2023-07-03T19:04:24"/>
    <m/>
    <d v="2023-07-03T00:00:00"/>
    <n v="915"/>
    <n v="19140"/>
    <s v="34803568"/>
    <s v="34803568"/>
    <m/>
    <m/>
    <n v="22774992"/>
    <m/>
    <m/>
    <m/>
    <s v="SOLFIN"/>
    <s v="SOLFIN"/>
    <s v="CCMS"/>
    <n v="21320030"/>
    <n v="17432.76"/>
    <m/>
    <s v="N"/>
    <n v="61"/>
    <d v="2023-07-03T19:04:28"/>
    <s v="Y"/>
    <s v="Preparation - drafting instructions"/>
    <s v="Care Remuneration Hourly Rates"/>
    <s v="Profit Cost"/>
    <s v="Terrance Boulter"/>
    <s v="Y"/>
    <n v="60.46"/>
    <n v="12.09"/>
    <x v="3"/>
    <s v="VALIDATED"/>
    <n v="1"/>
    <s v="01.11.80.308.6100.0000"/>
    <n v="60.46"/>
    <s v="11"/>
    <s v="6100"/>
    <n v="17937.03"/>
    <n v="60.46"/>
    <s v="CREDITOR"/>
    <n v="0"/>
    <n v="0"/>
    <n v="0"/>
    <n v="0"/>
    <n v="60.46"/>
  </r>
  <r>
    <n v="61105510"/>
    <s v="N"/>
    <n v="21318320"/>
    <s v="3000015295740004"/>
    <s v="CIVIL"/>
    <d v="2023-06-18T00:00:00"/>
    <d v="2023-07-03T19:01:49"/>
    <m/>
    <d v="2023-07-03T00:00:00"/>
    <n v="915"/>
    <n v="19140"/>
    <s v="61105510"/>
    <s v="61105510"/>
    <m/>
    <m/>
    <n v="22711474"/>
    <m/>
    <m/>
    <m/>
    <s v="SOLFIN"/>
    <s v="SOLFIN"/>
    <s v="CCMS"/>
    <n v="21318320"/>
    <n v="4447.98"/>
    <m/>
    <s v="N"/>
    <n v="7"/>
    <d v="2023-07-03T19:01:53"/>
    <s v="Y"/>
    <s v="Solicitors Fixed Fee"/>
    <s v="Public Law Children"/>
    <s v="Profit Cost"/>
    <s v="Christopher Redler"/>
    <s v="Y"/>
    <n v="2300"/>
    <n v="460"/>
    <x v="3"/>
    <s v="VALIDATED"/>
    <n v="1"/>
    <s v="01.11.80.308.6100.0000"/>
    <n v="2300"/>
    <s v="11"/>
    <s v="6100"/>
    <n v="17937.03"/>
    <n v="2300"/>
    <s v="CREDITOR"/>
    <n v="0"/>
    <n v="0"/>
    <n v="0"/>
    <n v="0"/>
    <n v="2300"/>
  </r>
  <r>
    <n v="34803568"/>
    <s v="N"/>
    <n v="21320030"/>
    <s v="3000010063520016"/>
    <s v="CIVIL"/>
    <d v="2023-06-27T00:00:00"/>
    <d v="2023-07-03T19:04:24"/>
    <m/>
    <d v="2023-07-03T00:00:00"/>
    <n v="915"/>
    <n v="19140"/>
    <s v="34803568"/>
    <s v="34803568"/>
    <m/>
    <m/>
    <n v="22774992"/>
    <m/>
    <m/>
    <m/>
    <s v="SOLFIN"/>
    <s v="SOLFIN"/>
    <s v="CCMS"/>
    <n v="21320030"/>
    <n v="17432.76"/>
    <m/>
    <s v="N"/>
    <n v="42"/>
    <d v="2023-07-03T19:04:28"/>
    <s v="Y"/>
    <s v="Attendance upon client"/>
    <s v="Care Remuneration Hourly Rates"/>
    <s v="Profit Cost"/>
    <s v="Terrance Boulter"/>
    <s v="Y"/>
    <n v="12.09"/>
    <n v="2.42"/>
    <x v="3"/>
    <s v="VALIDATED"/>
    <n v="1"/>
    <s v="01.11.80.308.6100.0000"/>
    <n v="12.09"/>
    <s v="11"/>
    <s v="6100"/>
    <n v="17937.03"/>
    <n v="12.09"/>
    <s v="CREDITOR"/>
    <n v="0"/>
    <n v="0"/>
    <n v="0"/>
    <n v="0"/>
    <n v="12.09"/>
  </r>
  <r>
    <n v="34803568"/>
    <s v="N"/>
    <n v="21320030"/>
    <s v="3000010063520016"/>
    <s v="CIVIL"/>
    <d v="2023-06-27T00:00:00"/>
    <d v="2023-07-03T19:04:24"/>
    <m/>
    <d v="2023-07-03T00:00:00"/>
    <n v="915"/>
    <n v="19140"/>
    <s v="34803568"/>
    <s v="34803568"/>
    <m/>
    <m/>
    <n v="22774992"/>
    <m/>
    <m/>
    <m/>
    <s v="SOLFIN"/>
    <s v="SOLFIN"/>
    <s v="CCMS"/>
    <n v="21320030"/>
    <n v="17432.76"/>
    <m/>
    <s v="N"/>
    <n v="63"/>
    <d v="2023-07-03T19:04:28"/>
    <s v="Y"/>
    <s v="Attendance upon/with Counsel at Con"/>
    <s v="Care Remuneration Hourly Rates"/>
    <s v="Profit Cost"/>
    <s v="Christopher Redler"/>
    <s v="Y"/>
    <n v="41.16"/>
    <n v="8.23"/>
    <x v="3"/>
    <s v="VALIDATED"/>
    <n v="1"/>
    <s v="01.11.80.308.6100.0000"/>
    <n v="41.16"/>
    <s v="11"/>
    <s v="6100"/>
    <n v="17937.03"/>
    <n v="41.16"/>
    <s v="CREDITOR"/>
    <n v="0"/>
    <n v="0"/>
    <n v="0"/>
    <n v="0"/>
    <n v="41.16"/>
  </r>
  <r>
    <n v="34803568"/>
    <s v="N"/>
    <n v="21320030"/>
    <s v="3000010063520016"/>
    <s v="CIVIL"/>
    <d v="2023-06-27T00:00:00"/>
    <d v="2023-07-03T19:04:24"/>
    <m/>
    <d v="2023-07-03T00:00:00"/>
    <n v="915"/>
    <n v="19140"/>
    <s v="34803568"/>
    <s v="34803568"/>
    <m/>
    <m/>
    <n v="22774992"/>
    <m/>
    <m/>
    <m/>
    <s v="SOLFIN"/>
    <s v="SOLFIN"/>
    <s v="CCMS"/>
    <n v="21320030"/>
    <n v="17432.76"/>
    <m/>
    <s v="N"/>
    <n v="66"/>
    <d v="2023-07-03T19:04:28"/>
    <s v="Y"/>
    <s v="Attendance upon/with Counsel at Con"/>
    <s v="Care Remuneration Hourly Rates"/>
    <s v="Profit Cost"/>
    <s v="Terrance Boulter"/>
    <s v="Y"/>
    <n v="16.91"/>
    <n v="3.38"/>
    <x v="3"/>
    <s v="VALIDATED"/>
    <n v="1"/>
    <s v="01.11.80.308.6100.0000"/>
    <n v="16.91"/>
    <s v="11"/>
    <s v="6100"/>
    <n v="17937.03"/>
    <n v="16.91"/>
    <s v="CREDITOR"/>
    <n v="0"/>
    <n v="0"/>
    <n v="0"/>
    <n v="0"/>
    <n v="16.91"/>
  </r>
  <r>
    <n v="34803568"/>
    <s v="N"/>
    <n v="21320030"/>
    <s v="3000010063520016"/>
    <s v="CIVIL"/>
    <d v="2023-06-27T00:00:00"/>
    <d v="2023-07-03T19:04:24"/>
    <m/>
    <d v="2023-07-03T00:00:00"/>
    <n v="915"/>
    <n v="19140"/>
    <s v="34803568"/>
    <s v="34803568"/>
    <m/>
    <m/>
    <n v="22774992"/>
    <m/>
    <m/>
    <m/>
    <s v="SOLFIN"/>
    <s v="SOLFIN"/>
    <s v="CCMS"/>
    <n v="21320030"/>
    <n v="17432.76"/>
    <m/>
    <s v="N"/>
    <n v="11"/>
    <d v="2023-07-03T19:04:28"/>
    <s v="Y"/>
    <s v="Routine Letter Out"/>
    <s v="Care Remuneration Hourly Rates"/>
    <s v="Profit Cost"/>
    <s v="Terrance Boulter"/>
    <s v="Y"/>
    <n v="1977.47"/>
    <n v="395.5"/>
    <x v="3"/>
    <s v="VALIDATED"/>
    <n v="1"/>
    <s v="01.11.80.308.6100.0000"/>
    <n v="1977.47"/>
    <s v="11"/>
    <s v="6100"/>
    <n v="17937.03"/>
    <n v="1977.47"/>
    <s v="CREDITOR"/>
    <n v="0"/>
    <n v="0"/>
    <n v="0"/>
    <n v="0"/>
    <n v="1977.47"/>
  </r>
  <r>
    <n v="61105510"/>
    <s v="N"/>
    <n v="21318320"/>
    <s v="3000015295740004"/>
    <s v="CIVIL"/>
    <d v="2023-06-18T00:00:00"/>
    <d v="2023-07-03T19:01:49"/>
    <m/>
    <d v="2023-07-03T00:00:00"/>
    <n v="915"/>
    <n v="19140"/>
    <s v="61105510"/>
    <s v="61105510"/>
    <m/>
    <m/>
    <n v="22711474"/>
    <m/>
    <m/>
    <m/>
    <s v="SOLFIN"/>
    <s v="SOLFIN"/>
    <s v="CCMS"/>
    <n v="21318320"/>
    <n v="4447.98"/>
    <m/>
    <s v="N"/>
    <n v="4"/>
    <d v="2023-07-03T19:01:53"/>
    <s v="Y"/>
    <s v="Solicitor Travel Expenses"/>
    <s v="Public Law Children"/>
    <s v="Non Expert Disbursement"/>
    <s v="Christopher Redler"/>
    <s v="Y"/>
    <n v="5"/>
    <n v="0"/>
    <x v="3"/>
    <s v="VALIDATED"/>
    <n v="1"/>
    <s v="01.11.80.308.6300.0000"/>
    <n v="5"/>
    <s v="11"/>
    <s v="6300"/>
    <n v="17937.03"/>
    <n v="5"/>
    <s v="CREDITOR"/>
    <n v="0"/>
    <n v="0"/>
    <n v="0"/>
    <n v="0"/>
    <n v="5"/>
  </r>
  <r>
    <n v="34803568"/>
    <s v="N"/>
    <n v="21320030"/>
    <s v="3000010063520016"/>
    <s v="CIVIL"/>
    <d v="2023-06-27T00:00:00"/>
    <d v="2023-07-03T19:04:24"/>
    <m/>
    <d v="2023-07-03T00:00:00"/>
    <n v="915"/>
    <n v="19140"/>
    <s v="34803568"/>
    <s v="34803568"/>
    <m/>
    <m/>
    <n v="22774992"/>
    <m/>
    <m/>
    <m/>
    <s v="SOLFIN"/>
    <s v="SOLFIN"/>
    <s v="CCMS"/>
    <n v="21320030"/>
    <n v="17432.76"/>
    <m/>
    <s v="N"/>
    <n v="19"/>
    <d v="2023-07-03T19:04:28"/>
    <s v="Y"/>
    <s v="Preparation - drafting statement"/>
    <s v="Care Remuneration Hourly Rates"/>
    <s v="Profit Cost"/>
    <s v="Terrance Boulter"/>
    <s v="Y"/>
    <n v="60.46"/>
    <n v="12.09"/>
    <x v="3"/>
    <s v="VALIDATED"/>
    <n v="1"/>
    <s v="01.11.80.308.6100.0000"/>
    <n v="60.46"/>
    <s v="11"/>
    <s v="6100"/>
    <n v="17937.03"/>
    <n v="60.46"/>
    <s v="CREDITOR"/>
    <n v="0"/>
    <n v="0"/>
    <n v="0"/>
    <n v="0"/>
    <n v="60.46"/>
  </r>
  <r>
    <n v="34803568"/>
    <s v="N"/>
    <n v="21320030"/>
    <s v="3000010063520016"/>
    <s v="CIVIL"/>
    <d v="2023-06-27T00:00:00"/>
    <d v="2023-07-03T19:04:24"/>
    <m/>
    <d v="2023-07-03T00:00:00"/>
    <n v="915"/>
    <n v="19140"/>
    <s v="34803568"/>
    <s v="34803568"/>
    <m/>
    <m/>
    <n v="22774992"/>
    <m/>
    <m/>
    <m/>
    <s v="SOLFIN"/>
    <s v="SOLFIN"/>
    <s v="CCMS"/>
    <n v="21320030"/>
    <n v="17432.76"/>
    <m/>
    <s v="N"/>
    <n v="56"/>
    <d v="2023-07-03T19:04:28"/>
    <s v="Y"/>
    <s v="Preparation - drafting statement"/>
    <s v="Care Remuneration Hourly Rates"/>
    <s v="Profit Cost"/>
    <s v="Terrance Boulter"/>
    <s v="Y"/>
    <n v="18.14"/>
    <n v="3.63"/>
    <x v="3"/>
    <s v="VALIDATED"/>
    <n v="1"/>
    <s v="01.11.80.308.6100.0000"/>
    <n v="18.14"/>
    <s v="11"/>
    <s v="6100"/>
    <n v="17937.03"/>
    <n v="18.14"/>
    <s v="CREDITOR"/>
    <n v="0"/>
    <n v="0"/>
    <n v="0"/>
    <n v="0"/>
    <n v="18.14"/>
  </r>
  <r>
    <n v="34803568"/>
    <s v="N"/>
    <n v="21320030"/>
    <s v="3000010063520016"/>
    <s v="CIVIL"/>
    <d v="2023-06-27T00:00:00"/>
    <d v="2023-07-03T19:04:24"/>
    <m/>
    <d v="2023-07-03T00:00:00"/>
    <n v="915"/>
    <n v="19140"/>
    <s v="34803568"/>
    <s v="34803568"/>
    <m/>
    <m/>
    <n v="22774992"/>
    <m/>
    <m/>
    <m/>
    <s v="SOLFIN"/>
    <s v="SOLFIN"/>
    <s v="CCMS"/>
    <n v="21320030"/>
    <n v="17432.76"/>
    <m/>
    <s v="N"/>
    <n v="36"/>
    <d v="2023-07-03T19:04:28"/>
    <s v="Y"/>
    <s v="Attendance upon client"/>
    <s v="Care Remuneration Hourly Rates"/>
    <s v="Profit Cost"/>
    <s v="Terrance Boulter"/>
    <s v="Y"/>
    <n v="18.14"/>
    <n v="3.63"/>
    <x v="3"/>
    <s v="VALIDATED"/>
    <n v="1"/>
    <s v="01.11.80.308.6100.0000"/>
    <n v="18.14"/>
    <s v="11"/>
    <s v="6100"/>
    <n v="17937.03"/>
    <n v="18.14"/>
    <s v="CREDITOR"/>
    <n v="0"/>
    <n v="0"/>
    <n v="0"/>
    <n v="0"/>
    <n v="18.14"/>
  </r>
  <r>
    <n v="34803568"/>
    <s v="N"/>
    <n v="21320030"/>
    <s v="3000010063520016"/>
    <s v="CIVIL"/>
    <d v="2023-06-27T00:00:00"/>
    <d v="2023-07-03T19:04:24"/>
    <m/>
    <d v="2023-07-03T00:00:00"/>
    <n v="915"/>
    <n v="19140"/>
    <s v="34803568"/>
    <s v="34803568"/>
    <m/>
    <m/>
    <n v="22774992"/>
    <m/>
    <m/>
    <m/>
    <s v="SOLFIN"/>
    <s v="SOLFIN"/>
    <s v="CCMS"/>
    <n v="21320030"/>
    <n v="17432.76"/>
    <m/>
    <s v="N"/>
    <n v="74"/>
    <d v="2023-07-03T19:04:28"/>
    <s v="Y"/>
    <s v="Preparation - other"/>
    <s v="Care Remuneration Hourly Rates"/>
    <s v="Profit Cost"/>
    <s v="Terrance Boulter"/>
    <s v="Y"/>
    <n v="30.23"/>
    <n v="6.05"/>
    <x v="3"/>
    <s v="VALIDATED"/>
    <n v="1"/>
    <s v="01.11.80.308.6100.0000"/>
    <n v="30.23"/>
    <s v="11"/>
    <s v="6100"/>
    <n v="17937.03"/>
    <n v="30.23"/>
    <s v="CREDITOR"/>
    <n v="0"/>
    <n v="0"/>
    <n v="0"/>
    <n v="0"/>
    <n v="30.23"/>
  </r>
  <r>
    <n v="34803568"/>
    <s v="N"/>
    <n v="21320030"/>
    <s v="3000010063520016"/>
    <s v="CIVIL"/>
    <d v="2023-06-27T00:00:00"/>
    <d v="2023-07-03T19:04:24"/>
    <m/>
    <d v="2023-07-03T00:00:00"/>
    <n v="915"/>
    <n v="19140"/>
    <s v="34803568"/>
    <s v="34803568"/>
    <m/>
    <m/>
    <n v="22774992"/>
    <m/>
    <m/>
    <m/>
    <s v="SOLFIN"/>
    <s v="SOLFIN"/>
    <s v="CCMS"/>
    <n v="21320030"/>
    <n v="17432.76"/>
    <m/>
    <s v="N"/>
    <n v="69"/>
    <d v="2023-07-03T19:04:28"/>
    <s v="Y"/>
    <s v="Attendance upon client"/>
    <s v="Care Remuneration Hourly Rates"/>
    <s v="Profit Cost"/>
    <s v="Terrance Boulter"/>
    <s v="Y"/>
    <n v="24.18"/>
    <n v="4.84"/>
    <x v="3"/>
    <s v="VALIDATED"/>
    <n v="1"/>
    <s v="01.11.80.308.6100.0000"/>
    <n v="24.18"/>
    <s v="11"/>
    <s v="6100"/>
    <n v="17937.03"/>
    <n v="24.18"/>
    <s v="CREDITOR"/>
    <n v="0"/>
    <n v="0"/>
    <n v="0"/>
    <n v="0"/>
    <n v="24.18"/>
  </r>
  <r>
    <n v="61105510"/>
    <s v="N"/>
    <n v="21318320"/>
    <s v="3000015295740004"/>
    <s v="CIVIL"/>
    <d v="2023-06-18T00:00:00"/>
    <d v="2023-07-03T19:01:49"/>
    <m/>
    <d v="2023-07-03T00:00:00"/>
    <n v="915"/>
    <n v="19140"/>
    <s v="61105510"/>
    <s v="61105510"/>
    <m/>
    <m/>
    <n v="22711474"/>
    <m/>
    <m/>
    <m/>
    <s v="SOLFIN"/>
    <s v="SOLFIN"/>
    <s v="CCMS"/>
    <n v="21318320"/>
    <n v="4447.98"/>
    <m/>
    <s v="N"/>
    <n v="6"/>
    <d v="2023-07-03T19:01:53"/>
    <s v="Y"/>
    <s v="Hearing Unit 2.31 - 5.00 Hours"/>
    <s v="Public Law Children"/>
    <s v="Advocacy"/>
    <s v="Christopher Redler"/>
    <s v="Y"/>
    <n v="476.92"/>
    <n v="95.38"/>
    <x v="3"/>
    <s v="VALIDATED"/>
    <n v="1"/>
    <s v="01.11.80.308.6100.0000"/>
    <n v="476.92"/>
    <s v="11"/>
    <s v="6100"/>
    <n v="17937.03"/>
    <n v="476.92"/>
    <s v="CREDITOR"/>
    <n v="0"/>
    <n v="0"/>
    <n v="0"/>
    <n v="0"/>
    <n v="476.92"/>
  </r>
  <r>
    <n v="34803568"/>
    <s v="N"/>
    <n v="21320030"/>
    <s v="3000010063520016"/>
    <s v="CIVIL"/>
    <d v="2023-06-27T00:00:00"/>
    <d v="2023-07-03T19:04:24"/>
    <m/>
    <d v="2023-07-03T00:00:00"/>
    <n v="915"/>
    <n v="19140"/>
    <s v="34803568"/>
    <s v="34803568"/>
    <m/>
    <m/>
    <n v="22774992"/>
    <m/>
    <m/>
    <m/>
    <s v="SOLFIN"/>
    <s v="SOLFIN"/>
    <s v="CCMS"/>
    <n v="21320030"/>
    <n v="17432.76"/>
    <m/>
    <s v="N"/>
    <n v="5"/>
    <d v="2023-07-03T19:04:28"/>
    <s v="Y"/>
    <s v="Psychologist"/>
    <s v="Public Law Children"/>
    <s v="Expert Disbursement"/>
    <s v="Terrance Boulter"/>
    <s v="Y"/>
    <n v="357.5"/>
    <n v="71.5"/>
    <x v="3"/>
    <s v="VALIDATED"/>
    <n v="1"/>
    <s v="01.11.80.308.6300.0000"/>
    <n v="357.5"/>
    <s v="11"/>
    <s v="6300"/>
    <n v="17937.03"/>
    <n v="357.5"/>
    <s v="CREDITOR"/>
    <n v="0"/>
    <n v="0"/>
    <n v="0"/>
    <n v="0"/>
    <n v="357.5"/>
  </r>
  <r>
    <n v="34803568"/>
    <s v="N"/>
    <n v="21320030"/>
    <s v="3000010063520016"/>
    <s v="CIVIL"/>
    <d v="2023-06-27T00:00:00"/>
    <d v="2023-07-03T19:04:24"/>
    <m/>
    <d v="2023-07-03T00:00:00"/>
    <n v="915"/>
    <n v="19140"/>
    <s v="34803568"/>
    <s v="34803568"/>
    <m/>
    <m/>
    <n v="22774992"/>
    <m/>
    <m/>
    <m/>
    <s v="SOLFIN"/>
    <s v="SOLFIN"/>
    <s v="CCMS"/>
    <n v="21320030"/>
    <n v="17432.76"/>
    <m/>
    <s v="N"/>
    <n v="87"/>
    <d v="2023-07-03T19:04:28"/>
    <s v="N"/>
    <s v="Solicitors Fixed Fee"/>
    <s v="Public Law Children"/>
    <s v="Profit Cost"/>
    <s v="Terrance Boulter"/>
    <s v="N"/>
    <n v="0"/>
    <n v="0"/>
    <x v="3"/>
    <s v="VALIDATED"/>
    <n v="1"/>
    <s v="01.11.80.308.6100.0000"/>
    <n v="0"/>
    <s v="11"/>
    <s v="6100"/>
    <n v="17937.03"/>
    <n v="0"/>
    <s v="CREDITOR"/>
    <n v="0"/>
    <n v="0"/>
    <n v="0"/>
    <n v="0"/>
    <n v="0"/>
  </r>
  <r>
    <n v="59629456"/>
    <s v="N"/>
    <n v="21339941"/>
    <s v="3000014027440005RC"/>
    <s v="CIVIL"/>
    <d v="2023-06-28T00:00:00"/>
    <d v="2023-07-06T19:54:22"/>
    <m/>
    <d v="2023-07-06T00:00:00"/>
    <n v="917"/>
    <n v="19162"/>
    <s v="59629456"/>
    <s v="59629456"/>
    <m/>
    <m/>
    <m/>
    <m/>
    <m/>
    <m/>
    <s v="SOLRECOUP"/>
    <s v="SOLRECOUP"/>
    <s v="POARECOUP"/>
    <n v="21339941"/>
    <n v="-432"/>
    <m/>
    <s v="Y"/>
    <n v="2"/>
    <d v="2023-07-06T19:54:23"/>
    <s v="N"/>
    <m/>
    <m/>
    <s v="Non Expert Disbursement"/>
    <m/>
    <s v="N"/>
    <n v="0"/>
    <n v="-72"/>
    <x v="4"/>
    <s v="VALIDATED"/>
    <n v="1"/>
    <s v="01.11.80.308.2013.0000"/>
    <n v="-72"/>
    <s v="11"/>
    <s v="2013"/>
    <n v="24987.5"/>
    <n v="-72"/>
    <s v="CREDITOR"/>
    <n v="0"/>
    <n v="0"/>
    <n v="-72"/>
    <n v="0"/>
    <n v="0"/>
  </r>
  <r>
    <n v="60313374"/>
    <s v="N"/>
    <n v="21339942"/>
    <s v="3000014615690001RC"/>
    <s v="CIVIL"/>
    <d v="2023-06-28T00:00:00"/>
    <d v="2023-07-06T19:54:22"/>
    <m/>
    <d v="2023-07-06T00:00:00"/>
    <n v="917"/>
    <n v="19162"/>
    <s v="60313374"/>
    <s v="60313374"/>
    <m/>
    <m/>
    <m/>
    <m/>
    <m/>
    <m/>
    <s v="SOLRECOUP"/>
    <s v="SOLRECOUP"/>
    <s v="POARECOUP"/>
    <n v="21339942"/>
    <n v="-152.97"/>
    <m/>
    <s v="Y"/>
    <n v="1"/>
    <d v="2023-07-06T19:54:23"/>
    <s v="N"/>
    <m/>
    <m/>
    <s v="Non Expert Disbursement"/>
    <m/>
    <s v="N"/>
    <n v="-152.97"/>
    <n v="0"/>
    <x v="4"/>
    <s v="VALIDATED"/>
    <n v="1"/>
    <s v="01.11.80.307.2013.0000"/>
    <n v="-152.97"/>
    <s v="11"/>
    <s v="2013"/>
    <n v="24987.5"/>
    <n v="-152.97"/>
    <s v="CREDITOR"/>
    <n v="0"/>
    <n v="0"/>
    <n v="-152.97"/>
    <n v="0"/>
    <n v="0"/>
  </r>
  <r>
    <n v="60313374"/>
    <s v="N"/>
    <n v="21339942"/>
    <s v="3000014615690001RC"/>
    <s v="CIVIL"/>
    <d v="2023-06-28T00:00:00"/>
    <d v="2023-07-06T19:54:22"/>
    <m/>
    <d v="2023-07-06T00:00:00"/>
    <n v="917"/>
    <n v="19162"/>
    <s v="60313374"/>
    <s v="60313374"/>
    <m/>
    <m/>
    <m/>
    <m/>
    <m/>
    <m/>
    <s v="SOLRECOUP"/>
    <s v="SOLRECOUP"/>
    <s v="POARECOUP"/>
    <n v="21339942"/>
    <n v="-152.97"/>
    <m/>
    <s v="Y"/>
    <n v="2"/>
    <d v="2023-07-06T19:54:23"/>
    <s v="N"/>
    <m/>
    <m/>
    <s v="Non Expert Disbursement"/>
    <m/>
    <s v="N"/>
    <n v="0"/>
    <n v="0"/>
    <x v="4"/>
    <s v="VALIDATED"/>
    <n v="1"/>
    <s v="01.11.80.000.0000.0000"/>
    <n v="0"/>
    <s v="11"/>
    <s v="0000"/>
    <n v="24987.5"/>
    <n v="0"/>
    <s v="CREDITOR"/>
    <n v="0"/>
    <n v="0"/>
    <n v="0"/>
    <n v="0"/>
    <n v="0"/>
  </r>
  <r>
    <n v="59629456"/>
    <s v="N"/>
    <n v="21339943"/>
    <s v="3000014027440006RC"/>
    <s v="CIVIL"/>
    <d v="2023-06-28T00:00:00"/>
    <d v="2023-07-06T19:54:22"/>
    <m/>
    <d v="2023-07-06T00:00:00"/>
    <n v="917"/>
    <n v="19162"/>
    <s v="59629456"/>
    <s v="59629456"/>
    <m/>
    <m/>
    <m/>
    <m/>
    <m/>
    <m/>
    <s v="SOLRECOUP"/>
    <s v="SOLRECOUP"/>
    <s v="POARECOUP"/>
    <n v="21339943"/>
    <n v="-4266.41"/>
    <m/>
    <s v="Y"/>
    <n v="1"/>
    <d v="2023-07-06T19:54:23"/>
    <s v="N"/>
    <m/>
    <m/>
    <s v="Profit Cost"/>
    <m/>
    <s v="N"/>
    <n v="-3555.34"/>
    <n v="0"/>
    <x v="4"/>
    <s v="VALIDATED"/>
    <n v="1"/>
    <s v="01.11.80.308.2013.0000"/>
    <n v="-3555.34"/>
    <s v="11"/>
    <s v="2013"/>
    <n v="24987.5"/>
    <n v="-3555.34"/>
    <s v="CREDITOR"/>
    <n v="0"/>
    <n v="0"/>
    <n v="-3555.34"/>
    <n v="-888.835"/>
    <n v="0"/>
  </r>
  <r>
    <n v="59629456"/>
    <s v="N"/>
    <n v="21339943"/>
    <s v="3000014027440006RC"/>
    <s v="CIVIL"/>
    <d v="2023-06-28T00:00:00"/>
    <d v="2023-07-06T19:54:22"/>
    <m/>
    <d v="2023-07-06T00:00:00"/>
    <n v="917"/>
    <n v="19162"/>
    <s v="59629456"/>
    <s v="59629456"/>
    <m/>
    <m/>
    <m/>
    <m/>
    <m/>
    <m/>
    <s v="SOLRECOUP"/>
    <s v="SOLRECOUP"/>
    <s v="POARECOUP"/>
    <n v="21339943"/>
    <n v="-4266.41"/>
    <m/>
    <s v="Y"/>
    <n v="2"/>
    <d v="2023-07-06T19:54:23"/>
    <s v="N"/>
    <m/>
    <m/>
    <s v="Profit Cost"/>
    <m/>
    <s v="N"/>
    <n v="0"/>
    <n v="-711.0700000000001"/>
    <x v="4"/>
    <s v="VALIDATED"/>
    <n v="1"/>
    <s v="01.11.80.308.2013.0000"/>
    <n v="-711.0700000000001"/>
    <s v="11"/>
    <s v="2013"/>
    <n v="24987.5"/>
    <n v="-711.0700000000001"/>
    <s v="CREDITOR"/>
    <n v="0"/>
    <n v="0"/>
    <n v="-711.0700000000001"/>
    <n v="-177.7675"/>
    <n v="0"/>
  </r>
  <r>
    <n v="60313374"/>
    <s v="N"/>
    <n v="21339944"/>
    <s v="3000014615690002RC"/>
    <s v="CIVIL"/>
    <d v="2023-06-28T00:00:00"/>
    <d v="2023-07-06T19:54:22"/>
    <m/>
    <d v="2023-07-06T00:00:00"/>
    <n v="917"/>
    <n v="19162"/>
    <s v="60313374"/>
    <s v="60313374"/>
    <m/>
    <m/>
    <m/>
    <m/>
    <m/>
    <m/>
    <s v="SOLRECOUP"/>
    <s v="SOLRECOUP"/>
    <s v="POARECOUP"/>
    <n v="21339944"/>
    <n v="-171.97"/>
    <m/>
    <s v="Y"/>
    <n v="1"/>
    <d v="2023-07-06T19:54:23"/>
    <s v="N"/>
    <m/>
    <m/>
    <s v="Non Expert Disbursement"/>
    <m/>
    <s v="N"/>
    <n v="-171.97"/>
    <n v="0"/>
    <x v="4"/>
    <s v="VALIDATED"/>
    <n v="1"/>
    <s v="01.11.80.307.2013.0000"/>
    <n v="-171.97"/>
    <s v="11"/>
    <s v="2013"/>
    <n v="24987.5"/>
    <n v="-171.97"/>
    <s v="CREDITOR"/>
    <n v="0"/>
    <n v="0"/>
    <n v="-171.97"/>
    <n v="0"/>
    <n v="0"/>
  </r>
  <r>
    <n v="60313374"/>
    <s v="N"/>
    <n v="21339944"/>
    <s v="3000014615690002RC"/>
    <s v="CIVIL"/>
    <d v="2023-06-28T00:00:00"/>
    <d v="2023-07-06T19:54:22"/>
    <m/>
    <d v="2023-07-06T00:00:00"/>
    <n v="917"/>
    <n v="19162"/>
    <s v="60313374"/>
    <s v="60313374"/>
    <m/>
    <m/>
    <m/>
    <m/>
    <m/>
    <m/>
    <s v="SOLRECOUP"/>
    <s v="SOLRECOUP"/>
    <s v="POARECOUP"/>
    <n v="21339944"/>
    <n v="-171.97"/>
    <m/>
    <s v="Y"/>
    <n v="2"/>
    <d v="2023-07-06T19:54:23"/>
    <s v="N"/>
    <m/>
    <m/>
    <s v="Non Expert Disbursement"/>
    <m/>
    <s v="N"/>
    <n v="0"/>
    <n v="0"/>
    <x v="4"/>
    <s v="VALIDATED"/>
    <n v="1"/>
    <s v="01.11.80.000.0000.0000"/>
    <n v="0"/>
    <s v="11"/>
    <s v="0000"/>
    <n v="24987.5"/>
    <n v="0"/>
    <s v="CREDITOR"/>
    <n v="0"/>
    <n v="0"/>
    <n v="0"/>
    <n v="0"/>
    <n v="0"/>
  </r>
  <r>
    <n v="60313374"/>
    <s v="N"/>
    <n v="21339945"/>
    <s v="3000014615690003RC"/>
    <s v="CIVIL"/>
    <d v="2023-06-28T00:00:00"/>
    <d v="2023-07-06T19:54:22"/>
    <m/>
    <d v="2023-07-06T00:00:00"/>
    <n v="917"/>
    <n v="19162"/>
    <s v="60313374"/>
    <s v="60313374"/>
    <m/>
    <m/>
    <m/>
    <m/>
    <m/>
    <m/>
    <s v="SOLRECOUP"/>
    <s v="SOLRECOUP"/>
    <s v="POARECOUP"/>
    <n v="21339945"/>
    <n v="-1511.02"/>
    <m/>
    <s v="Y"/>
    <n v="1"/>
    <d v="2023-07-06T19:54:23"/>
    <s v="N"/>
    <m/>
    <m/>
    <s v="Profit Cost"/>
    <m/>
    <s v="N"/>
    <n v="-1259.18"/>
    <n v="0"/>
    <x v="4"/>
    <s v="VALIDATED"/>
    <n v="1"/>
    <s v="01.11.80.307.2013.0000"/>
    <n v="-1259.18"/>
    <s v="11"/>
    <s v="2013"/>
    <n v="24987.5"/>
    <n v="-1259.18"/>
    <s v="CREDITOR"/>
    <n v="0"/>
    <n v="0"/>
    <n v="-1259.18"/>
    <n v="-314.795"/>
    <n v="0"/>
  </r>
  <r>
    <n v="60313374"/>
    <s v="N"/>
    <n v="21339945"/>
    <s v="3000014615690003RC"/>
    <s v="CIVIL"/>
    <d v="2023-06-28T00:00:00"/>
    <d v="2023-07-06T19:54:22"/>
    <m/>
    <d v="2023-07-06T00:00:00"/>
    <n v="917"/>
    <n v="19162"/>
    <s v="60313374"/>
    <s v="60313374"/>
    <m/>
    <m/>
    <m/>
    <m/>
    <m/>
    <m/>
    <s v="SOLRECOUP"/>
    <s v="SOLRECOUP"/>
    <s v="POARECOUP"/>
    <n v="21339945"/>
    <n v="-1511.02"/>
    <m/>
    <s v="Y"/>
    <n v="2"/>
    <d v="2023-07-06T19:54:23"/>
    <s v="N"/>
    <m/>
    <m/>
    <s v="Profit Cost"/>
    <m/>
    <s v="N"/>
    <n v="0"/>
    <n v="-251.84"/>
    <x v="4"/>
    <s v="VALIDATED"/>
    <n v="1"/>
    <s v="01.11.80.307.2013.0000"/>
    <n v="-251.84"/>
    <s v="11"/>
    <s v="2013"/>
    <n v="24987.5"/>
    <n v="-251.84"/>
    <s v="CREDITOR"/>
    <n v="0"/>
    <n v="0"/>
    <n v="-251.84"/>
    <n v="-62.96"/>
    <n v="0"/>
  </r>
  <r>
    <n v="59629456"/>
    <s v="N"/>
    <n v="21339946"/>
    <s v="3000014027440012RC"/>
    <s v="CIVIL"/>
    <d v="2023-06-28T00:00:00"/>
    <d v="2023-07-06T19:54:22"/>
    <m/>
    <d v="2023-07-06T00:00:00"/>
    <n v="917"/>
    <n v="19162"/>
    <s v="59629456"/>
    <s v="59629456"/>
    <m/>
    <m/>
    <m/>
    <m/>
    <m/>
    <m/>
    <s v="SOLRECOUP"/>
    <s v="SOLRECOUP"/>
    <s v="POARECOUP"/>
    <n v="21339946"/>
    <n v="-2461.87"/>
    <m/>
    <s v="Y"/>
    <n v="1"/>
    <d v="2023-07-06T19:54:23"/>
    <s v="N"/>
    <m/>
    <m/>
    <s v="Profit Cost"/>
    <m/>
    <s v="N"/>
    <n v="-2051.56"/>
    <n v="0"/>
    <x v="4"/>
    <s v="VALIDATED"/>
    <n v="1"/>
    <s v="01.11.80.308.2013.0000"/>
    <n v="-2051.56"/>
    <s v="11"/>
    <s v="2013"/>
    <n v="24987.5"/>
    <n v="-2051.56"/>
    <s v="CREDITOR"/>
    <n v="0"/>
    <n v="0"/>
    <n v="-2051.56"/>
    <n v="-512.89"/>
    <n v="0"/>
  </r>
  <r>
    <n v="59629456"/>
    <s v="N"/>
    <n v="21339946"/>
    <s v="3000014027440012RC"/>
    <s v="CIVIL"/>
    <d v="2023-06-28T00:00:00"/>
    <d v="2023-07-06T19:54:22"/>
    <m/>
    <d v="2023-07-06T00:00:00"/>
    <n v="917"/>
    <n v="19162"/>
    <s v="59629456"/>
    <s v="59629456"/>
    <m/>
    <m/>
    <m/>
    <m/>
    <m/>
    <m/>
    <s v="SOLRECOUP"/>
    <s v="SOLRECOUP"/>
    <s v="POARECOUP"/>
    <n v="21339946"/>
    <n v="-2461.87"/>
    <m/>
    <s v="Y"/>
    <n v="2"/>
    <d v="2023-07-06T19:54:23"/>
    <s v="N"/>
    <m/>
    <m/>
    <s v="Profit Cost"/>
    <m/>
    <s v="N"/>
    <n v="0"/>
    <n v="-410.31"/>
    <x v="4"/>
    <s v="VALIDATED"/>
    <n v="1"/>
    <s v="01.11.80.308.2013.0000"/>
    <n v="-410.31"/>
    <s v="11"/>
    <s v="2013"/>
    <n v="24987.5"/>
    <n v="-410.31"/>
    <s v="CREDITOR"/>
    <n v="0"/>
    <n v="0"/>
    <n v="-410.31"/>
    <n v="-102.5775"/>
    <n v="0"/>
  </r>
  <r>
    <n v="60313374"/>
    <s v="N"/>
    <n v="21339947"/>
    <s v="3000014615690004RC"/>
    <s v="CIVIL"/>
    <d v="2023-06-28T00:00:00"/>
    <d v="2023-07-06T19:54:22"/>
    <m/>
    <d v="2023-07-06T00:00:00"/>
    <n v="917"/>
    <n v="19162"/>
    <s v="60313374"/>
    <s v="60313374"/>
    <m/>
    <m/>
    <m/>
    <m/>
    <m/>
    <m/>
    <s v="SOLRECOUP"/>
    <s v="SOLRECOUP"/>
    <s v="POARECOUP"/>
    <n v="21339947"/>
    <n v="-1959.64"/>
    <m/>
    <s v="Y"/>
    <n v="1"/>
    <d v="2023-07-06T19:54:23"/>
    <s v="N"/>
    <m/>
    <m/>
    <s v="Profit Cost"/>
    <m/>
    <s v="N"/>
    <n v="-1633.03"/>
    <n v="0"/>
    <x v="4"/>
    <s v="VALIDATED"/>
    <n v="1"/>
    <s v="01.11.80.307.2013.0000"/>
    <n v="-1633.03"/>
    <s v="11"/>
    <s v="2013"/>
    <n v="24987.5"/>
    <n v="-1633.03"/>
    <s v="CREDITOR"/>
    <n v="0"/>
    <n v="0"/>
    <n v="-1633.03"/>
    <n v="-408.2575"/>
    <n v="0"/>
  </r>
  <r>
    <n v="60313374"/>
    <s v="N"/>
    <n v="21339947"/>
    <s v="3000014615690004RC"/>
    <s v="CIVIL"/>
    <d v="2023-06-28T00:00:00"/>
    <d v="2023-07-06T19:54:22"/>
    <m/>
    <d v="2023-07-06T00:00:00"/>
    <n v="917"/>
    <n v="19162"/>
    <s v="60313374"/>
    <s v="60313374"/>
    <m/>
    <m/>
    <m/>
    <m/>
    <m/>
    <m/>
    <s v="SOLRECOUP"/>
    <s v="SOLRECOUP"/>
    <s v="POARECOUP"/>
    <n v="21339947"/>
    <n v="-1959.64"/>
    <m/>
    <s v="Y"/>
    <n v="2"/>
    <d v="2023-07-06T19:54:23"/>
    <s v="N"/>
    <m/>
    <m/>
    <s v="Profit Cost"/>
    <m/>
    <s v="N"/>
    <n v="0"/>
    <n v="-326.61"/>
    <x v="4"/>
    <s v="VALIDATED"/>
    <n v="1"/>
    <s v="01.11.80.307.2013.0000"/>
    <n v="-326.61"/>
    <s v="11"/>
    <s v="2013"/>
    <n v="24987.5"/>
    <n v="-326.61"/>
    <s v="CREDITOR"/>
    <n v="0"/>
    <n v="0"/>
    <n v="-326.61"/>
    <n v="-81.6525"/>
    <n v="0"/>
  </r>
  <r>
    <n v="59629456"/>
    <s v="N"/>
    <n v="21339948"/>
    <s v="3000014027440014RC"/>
    <s v="CIVIL"/>
    <d v="2023-06-28T00:00:00"/>
    <d v="2023-07-06T19:54:22"/>
    <m/>
    <d v="2023-07-06T00:00:00"/>
    <n v="917"/>
    <n v="19162"/>
    <s v="59629456"/>
    <s v="59629456"/>
    <m/>
    <m/>
    <m/>
    <m/>
    <m/>
    <m/>
    <s v="SOLRECOUP"/>
    <s v="SOLRECOUP"/>
    <s v="POARECOUP"/>
    <n v="21339948"/>
    <n v="-486"/>
    <m/>
    <s v="Y"/>
    <n v="1"/>
    <d v="2023-07-06T19:54:23"/>
    <s v="N"/>
    <m/>
    <m/>
    <s v="Non Expert Disbursement"/>
    <m/>
    <s v="N"/>
    <n v="-405"/>
    <n v="0"/>
    <x v="4"/>
    <s v="VALIDATED"/>
    <n v="1"/>
    <s v="01.11.80.308.2013.0000"/>
    <n v="-405"/>
    <s v="11"/>
    <s v="2013"/>
    <n v="24987.5"/>
    <n v="-405"/>
    <s v="CREDITOR"/>
    <n v="0"/>
    <n v="0"/>
    <n v="-405"/>
    <n v="0"/>
    <n v="0"/>
  </r>
  <r>
    <n v="59629456"/>
    <s v="N"/>
    <n v="21339948"/>
    <s v="3000014027440014RC"/>
    <s v="CIVIL"/>
    <d v="2023-06-28T00:00:00"/>
    <d v="2023-07-06T19:54:22"/>
    <m/>
    <d v="2023-07-06T00:00:00"/>
    <n v="917"/>
    <n v="19162"/>
    <s v="59629456"/>
    <s v="59629456"/>
    <m/>
    <m/>
    <m/>
    <m/>
    <m/>
    <m/>
    <s v="SOLRECOUP"/>
    <s v="SOLRECOUP"/>
    <s v="POARECOUP"/>
    <n v="21339948"/>
    <n v="-486"/>
    <m/>
    <s v="Y"/>
    <n v="2"/>
    <d v="2023-07-06T19:54:23"/>
    <s v="N"/>
    <m/>
    <m/>
    <s v="Non Expert Disbursement"/>
    <m/>
    <s v="N"/>
    <n v="0"/>
    <n v="-81"/>
    <x v="4"/>
    <s v="VALIDATED"/>
    <n v="1"/>
    <s v="01.11.80.308.2013.0000"/>
    <n v="-81"/>
    <s v="11"/>
    <s v="2013"/>
    <n v="24987.5"/>
    <n v="-81"/>
    <s v="CREDITOR"/>
    <n v="0"/>
    <n v="0"/>
    <n v="-81"/>
    <n v="0"/>
    <n v="0"/>
  </r>
  <r>
    <n v="60313374"/>
    <s v="N"/>
    <n v="21339949"/>
    <s v="3000014615690007RC"/>
    <s v="CIVIL"/>
    <d v="2023-06-28T00:00:00"/>
    <d v="2023-07-06T19:54:22"/>
    <m/>
    <d v="2023-07-06T00:00:00"/>
    <n v="917"/>
    <n v="19162"/>
    <s v="60313374"/>
    <s v="60313374"/>
    <m/>
    <m/>
    <m/>
    <m/>
    <m/>
    <m/>
    <s v="SOLRECOUP"/>
    <s v="SOLRECOUP"/>
    <s v="POARECOUP"/>
    <n v="21339949"/>
    <n v="-1314.62"/>
    <m/>
    <s v="Y"/>
    <n v="1"/>
    <d v="2023-07-06T19:54:23"/>
    <s v="N"/>
    <m/>
    <m/>
    <s v="Profit Cost"/>
    <m/>
    <s v="N"/>
    <n v="-1095.52"/>
    <n v="0"/>
    <x v="4"/>
    <s v="VALIDATED"/>
    <n v="1"/>
    <s v="01.11.80.307.2013.0000"/>
    <n v="-1095.52"/>
    <s v="11"/>
    <s v="2013"/>
    <n v="24987.5"/>
    <n v="-1095.52"/>
    <s v="CREDITOR"/>
    <n v="0"/>
    <n v="0"/>
    <n v="-1095.52"/>
    <n v="-273.88"/>
    <n v="0"/>
  </r>
  <r>
    <n v="60313374"/>
    <s v="N"/>
    <n v="21339949"/>
    <s v="3000014615690007RC"/>
    <s v="CIVIL"/>
    <d v="2023-06-28T00:00:00"/>
    <d v="2023-07-06T19:54:22"/>
    <m/>
    <d v="2023-07-06T00:00:00"/>
    <n v="917"/>
    <n v="19162"/>
    <s v="60313374"/>
    <s v="60313374"/>
    <m/>
    <m/>
    <m/>
    <m/>
    <m/>
    <m/>
    <s v="SOLRECOUP"/>
    <s v="SOLRECOUP"/>
    <s v="POARECOUP"/>
    <n v="21339949"/>
    <n v="-1314.62"/>
    <m/>
    <s v="Y"/>
    <n v="2"/>
    <d v="2023-07-06T19:54:23"/>
    <s v="N"/>
    <m/>
    <m/>
    <s v="Profit Cost"/>
    <m/>
    <s v="N"/>
    <n v="0"/>
    <n v="-219.1"/>
    <x v="4"/>
    <s v="VALIDATED"/>
    <n v="1"/>
    <s v="01.11.80.307.2013.0000"/>
    <n v="-219.1"/>
    <s v="11"/>
    <s v="2013"/>
    <n v="24987.5"/>
    <n v="-219.1"/>
    <s v="CREDITOR"/>
    <n v="0"/>
    <n v="0"/>
    <n v="-219.1"/>
    <n v="-54.775"/>
    <n v="0"/>
  </r>
  <r>
    <n v="59629456"/>
    <s v="N"/>
    <n v="21339950"/>
    <s v="3000014027440013RC"/>
    <s v="CIVIL"/>
    <d v="2023-06-28T00:00:00"/>
    <d v="2023-07-06T19:54:22"/>
    <m/>
    <d v="2023-07-06T00:00:00"/>
    <n v="917"/>
    <n v="19162"/>
    <s v="59629456"/>
    <s v="59629456"/>
    <m/>
    <m/>
    <m/>
    <m/>
    <m/>
    <m/>
    <s v="SOLRECOUP"/>
    <s v="SOLRECOUP"/>
    <s v="POARECOUP"/>
    <n v="21339950"/>
    <n v="-317.52"/>
    <m/>
    <s v="Y"/>
    <n v="1"/>
    <d v="2023-07-06T19:54:23"/>
    <s v="N"/>
    <m/>
    <m/>
    <s v="Non Expert Disbursement"/>
    <m/>
    <s v="N"/>
    <n v="-264.6"/>
    <n v="0"/>
    <x v="4"/>
    <s v="VALIDATED"/>
    <n v="1"/>
    <s v="01.11.80.308.2013.0000"/>
    <n v="-264.6"/>
    <s v="11"/>
    <s v="2013"/>
    <n v="24987.5"/>
    <n v="-264.6"/>
    <s v="CREDITOR"/>
    <n v="0"/>
    <n v="0"/>
    <n v="-264.6"/>
    <n v="0"/>
    <n v="0"/>
  </r>
  <r>
    <n v="61285176"/>
    <s v="N"/>
    <n v="21333792"/>
    <s v="3000015444990001RC"/>
    <s v="CIVIL"/>
    <d v="2023-06-27T00:00:00"/>
    <d v="2023-07-05T19:42:28"/>
    <m/>
    <d v="2023-07-05T00:00:00"/>
    <n v="917"/>
    <n v="19162"/>
    <s v="61285176"/>
    <s v="61285176"/>
    <m/>
    <m/>
    <m/>
    <m/>
    <m/>
    <m/>
    <s v="SOLRECOUP"/>
    <s v="SOLRECOUP"/>
    <s v="POARECOUP"/>
    <n v="21333792"/>
    <n v="-232"/>
    <m/>
    <s v="Y"/>
    <n v="1"/>
    <d v="2023-07-05T19:42:29"/>
    <s v="N"/>
    <m/>
    <m/>
    <s v="Non Expert Disbursement"/>
    <m/>
    <s v="N"/>
    <n v="-232"/>
    <n v="0"/>
    <x v="6"/>
    <s v="VALIDATED"/>
    <n v="1"/>
    <s v="01.11.80.307.2013.0000"/>
    <n v="-232"/>
    <s v="11"/>
    <s v="2013"/>
    <n v="24987.5"/>
    <n v="-232"/>
    <s v="CREDITOR"/>
    <n v="0"/>
    <n v="0"/>
    <n v="-232"/>
    <n v="0"/>
    <n v="0"/>
  </r>
  <r>
    <n v="61285176"/>
    <s v="N"/>
    <n v="21333792"/>
    <s v="3000015444990001RC"/>
    <s v="CIVIL"/>
    <d v="2023-06-27T00:00:00"/>
    <d v="2023-07-05T19:42:28"/>
    <m/>
    <d v="2023-07-05T00:00:00"/>
    <n v="917"/>
    <n v="19162"/>
    <s v="61285176"/>
    <s v="61285176"/>
    <m/>
    <m/>
    <m/>
    <m/>
    <m/>
    <m/>
    <s v="SOLRECOUP"/>
    <s v="SOLRECOUP"/>
    <s v="POARECOUP"/>
    <n v="21333792"/>
    <n v="-232"/>
    <m/>
    <s v="Y"/>
    <n v="2"/>
    <d v="2023-07-05T19:42:29"/>
    <s v="N"/>
    <m/>
    <m/>
    <s v="Non Expert Disbursement"/>
    <m/>
    <s v="N"/>
    <n v="0"/>
    <n v="0"/>
    <x v="6"/>
    <s v="VALIDATED"/>
    <n v="1"/>
    <s v="01.11.80.000.0000.0000"/>
    <n v="0"/>
    <s v="11"/>
    <s v="0000"/>
    <n v="24987.5"/>
    <n v="0"/>
    <s v="CREDITOR"/>
    <n v="0"/>
    <n v="0"/>
    <n v="0"/>
    <n v="0"/>
    <n v="0"/>
  </r>
  <r>
    <n v="61087371"/>
    <s v="N"/>
    <n v="21356443"/>
    <s v="3000015258150001RC"/>
    <s v="CIVIL"/>
    <d v="2023-06-28T00:00:00"/>
    <d v="2023-07-10T19:47:44"/>
    <m/>
    <d v="2023-07-10T00:00:00"/>
    <n v="917"/>
    <n v="19162"/>
    <s v="61087371"/>
    <s v="61087371"/>
    <m/>
    <m/>
    <m/>
    <m/>
    <m/>
    <m/>
    <s v="SOLRECOUP"/>
    <s v="SOLRECOUP"/>
    <s v="POARECOUP"/>
    <n v="21356443"/>
    <n v="-232"/>
    <m/>
    <s v="Y"/>
    <n v="1"/>
    <d v="2023-07-10T19:47:45"/>
    <s v="N"/>
    <m/>
    <m/>
    <s v="Non Expert Disbursement"/>
    <m/>
    <s v="N"/>
    <n v="-232"/>
    <n v="0"/>
    <x v="2"/>
    <s v="VALIDATED"/>
    <n v="1"/>
    <s v="01.11.80.307.2013.0000"/>
    <n v="-232"/>
    <s v="11"/>
    <s v="2013"/>
    <n v="24987.5"/>
    <n v="-232"/>
    <s v="CREDITOR"/>
    <n v="0"/>
    <n v="0"/>
    <n v="-232"/>
    <n v="0"/>
    <n v="0"/>
  </r>
  <r>
    <n v="61087371"/>
    <s v="N"/>
    <n v="21356443"/>
    <s v="3000015258150001RC"/>
    <s v="CIVIL"/>
    <d v="2023-06-28T00:00:00"/>
    <d v="2023-07-10T19:47:44"/>
    <m/>
    <d v="2023-07-10T00:00:00"/>
    <n v="917"/>
    <n v="19162"/>
    <s v="61087371"/>
    <s v="61087371"/>
    <m/>
    <m/>
    <m/>
    <m/>
    <m/>
    <m/>
    <s v="SOLRECOUP"/>
    <s v="SOLRECOUP"/>
    <s v="POARECOUP"/>
    <n v="21356443"/>
    <n v="-232"/>
    <m/>
    <s v="Y"/>
    <n v="2"/>
    <d v="2023-07-10T19:47:45"/>
    <s v="N"/>
    <m/>
    <m/>
    <s v="Non Expert Disbursement"/>
    <m/>
    <s v="N"/>
    <n v="0"/>
    <n v="0"/>
    <x v="2"/>
    <s v="VALIDATED"/>
    <n v="1"/>
    <s v="01.11.80.000.0000.0000"/>
    <n v="0"/>
    <s v="11"/>
    <s v="0000"/>
    <n v="24987.5"/>
    <n v="0"/>
    <s v="CREDITOR"/>
    <n v="0"/>
    <n v="0"/>
    <n v="0"/>
    <n v="0"/>
    <n v="0"/>
  </r>
  <r>
    <n v="61087371"/>
    <s v="N"/>
    <n v="21356444"/>
    <s v="3000015258150002RC"/>
    <s v="CIVIL"/>
    <d v="2023-06-28T00:00:00"/>
    <d v="2023-07-10T19:47:44"/>
    <m/>
    <d v="2023-07-10T00:00:00"/>
    <n v="917"/>
    <n v="19162"/>
    <s v="61087371"/>
    <s v="61087371"/>
    <m/>
    <m/>
    <m/>
    <m/>
    <m/>
    <m/>
    <s v="SOLRECOUP"/>
    <s v="SOLRECOUP"/>
    <s v="POARECOUP"/>
    <n v="21356444"/>
    <n v="-4685.98"/>
    <m/>
    <s v="Y"/>
    <n v="1"/>
    <d v="2023-07-10T19:47:45"/>
    <s v="N"/>
    <m/>
    <m/>
    <s v="Profit Cost"/>
    <m/>
    <s v="N"/>
    <n v="-3904.98"/>
    <n v="0"/>
    <x v="2"/>
    <s v="VALIDATED"/>
    <n v="1"/>
    <s v="01.11.80.307.2013.0000"/>
    <n v="-3904.98"/>
    <s v="11"/>
    <s v="2013"/>
    <n v="24987.5"/>
    <n v="-3904.98"/>
    <s v="CREDITOR"/>
    <n v="0"/>
    <n v="0"/>
    <n v="-3904.98"/>
    <n v="-976.245"/>
    <n v="0"/>
  </r>
  <r>
    <n v="61087371"/>
    <s v="N"/>
    <n v="21356444"/>
    <s v="3000015258150002RC"/>
    <s v="CIVIL"/>
    <d v="2023-06-28T00:00:00"/>
    <d v="2023-07-10T19:47:44"/>
    <m/>
    <d v="2023-07-10T00:00:00"/>
    <n v="917"/>
    <n v="19162"/>
    <s v="61087371"/>
    <s v="61087371"/>
    <m/>
    <m/>
    <m/>
    <m/>
    <m/>
    <m/>
    <s v="SOLRECOUP"/>
    <s v="SOLRECOUP"/>
    <s v="POARECOUP"/>
    <n v="21356444"/>
    <n v="-4685.98"/>
    <m/>
    <s v="Y"/>
    <n v="2"/>
    <d v="2023-07-10T19:47:45"/>
    <s v="N"/>
    <m/>
    <m/>
    <s v="Profit Cost"/>
    <m/>
    <s v="N"/>
    <n v="0"/>
    <n v="-781"/>
    <x v="2"/>
    <s v="VALIDATED"/>
    <n v="1"/>
    <s v="01.11.80.307.2013.0000"/>
    <n v="-781"/>
    <s v="11"/>
    <s v="2013"/>
    <n v="24987.5"/>
    <n v="-781"/>
    <s v="CREDITOR"/>
    <n v="0"/>
    <n v="0"/>
    <n v="-781"/>
    <n v="-195.25"/>
    <n v="0"/>
  </r>
  <r>
    <n v="61546807"/>
    <s v="N"/>
    <n v="21319087"/>
    <s v="3000015661680003"/>
    <s v="CIVIL"/>
    <d v="2023-06-23T00:00:00"/>
    <d v="2023-07-03T19:01:49"/>
    <m/>
    <d v="2023-07-03T00:00:00"/>
    <n v="917"/>
    <n v="19162"/>
    <s v="61546807"/>
    <s v="61546807"/>
    <m/>
    <m/>
    <n v="22754138"/>
    <m/>
    <m/>
    <m/>
    <s v="SOLFIN"/>
    <s v="SOLFIN"/>
    <s v="CCMS"/>
    <n v="21319087"/>
    <n v="3003.37"/>
    <m/>
    <s v="N"/>
    <n v="44"/>
    <d v="2023-07-03T19:02:10"/>
    <s v="Y"/>
    <s v="Preparation - other"/>
    <s v="Prescribed Hourly Rates"/>
    <s v="Profit Cost"/>
    <s v="PH"/>
    <s v="Y"/>
    <n v="13.73"/>
    <n v="2.75"/>
    <x v="3"/>
    <s v="VALIDATED"/>
    <n v="1"/>
    <s v="01.11.80.307.6100.0000"/>
    <n v="13.73"/>
    <s v="11"/>
    <s v="6100"/>
    <n v="24987.5"/>
    <n v="13.73"/>
    <s v="CREDITOR"/>
    <n v="0"/>
    <n v="0"/>
    <n v="0"/>
    <n v="0"/>
    <n v="13.73"/>
  </r>
  <r>
    <n v="61546807"/>
    <s v="N"/>
    <n v="21319087"/>
    <s v="3000015661680003"/>
    <s v="CIVIL"/>
    <d v="2023-06-23T00:00:00"/>
    <d v="2023-07-03T19:01:49"/>
    <m/>
    <d v="2023-07-03T00:00:00"/>
    <n v="917"/>
    <n v="19162"/>
    <s v="61546807"/>
    <s v="61546807"/>
    <m/>
    <m/>
    <n v="22754138"/>
    <m/>
    <m/>
    <m/>
    <s v="SOLFIN"/>
    <s v="SOLFIN"/>
    <s v="CCMS"/>
    <n v="21319087"/>
    <n v="3003.37"/>
    <m/>
    <s v="N"/>
    <n v="45"/>
    <d v="2023-07-03T19:02:10"/>
    <s v="Y"/>
    <s v="Attendance upon client"/>
    <s v="Prescribed Hourly Rates"/>
    <s v="Profit Cost"/>
    <s v="PH"/>
    <s v="Y"/>
    <n v="34.31"/>
    <n v="6.86"/>
    <x v="3"/>
    <s v="VALIDATED"/>
    <n v="1"/>
    <s v="01.11.80.307.6100.0000"/>
    <n v="34.31"/>
    <s v="11"/>
    <s v="6100"/>
    <n v="24987.5"/>
    <n v="34.31"/>
    <s v="CREDITOR"/>
    <n v="0"/>
    <n v="0"/>
    <n v="0"/>
    <n v="0"/>
    <n v="34.31"/>
  </r>
  <r>
    <n v="60313374"/>
    <s v="N"/>
    <n v="21338325"/>
    <s v="3000014615690008"/>
    <s v="CIVIL"/>
    <d v="2023-06-28T00:00:00"/>
    <d v="2023-07-06T19:21:01"/>
    <m/>
    <d v="2023-07-06T00:00:00"/>
    <n v="917"/>
    <n v="19162"/>
    <s v="60313374"/>
    <s v="60313374"/>
    <m/>
    <m/>
    <n v="22782652"/>
    <m/>
    <m/>
    <m/>
    <s v="SOLFIN"/>
    <s v="SOLFIN"/>
    <s v="CCMS"/>
    <n v="21338325"/>
    <n v="6871.22"/>
    <m/>
    <s v="N"/>
    <n v="52"/>
    <d v="2023-07-06T19:21:19"/>
    <s v="Y"/>
    <s v="Preparation - other"/>
    <s v="Prescribed Hourly Rates"/>
    <s v="Profit Cost"/>
    <s v="PH"/>
    <s v="Y"/>
    <n v="5.49"/>
    <n v="1.1"/>
    <x v="4"/>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54"/>
    <d v="2023-07-06T19:21:19"/>
    <s v="Y"/>
    <s v="Preparation - other"/>
    <s v="Prescribed Hourly Rates"/>
    <s v="Profit Cost"/>
    <s v="PH"/>
    <s v="Y"/>
    <n v="115.29"/>
    <n v="23.06"/>
    <x v="4"/>
    <s v="VALIDATED"/>
    <n v="1"/>
    <s v="01.11.80.307.6100.0000"/>
    <n v="115.29"/>
    <s v="11"/>
    <s v="6100"/>
    <n v="24987.5"/>
    <n v="115.29"/>
    <s v="CREDITOR"/>
    <n v="0"/>
    <n v="0"/>
    <n v="0"/>
    <n v="0"/>
    <n v="115.29"/>
  </r>
  <r>
    <n v="61087371"/>
    <s v="N"/>
    <n v="21349665"/>
    <s v="3000015258150003"/>
    <s v="CIVIL"/>
    <d v="2023-06-28T00:00:00"/>
    <d v="2023-07-10T19:01:40"/>
    <m/>
    <d v="2023-07-10T00:00:00"/>
    <n v="917"/>
    <n v="19162"/>
    <s v="61087371"/>
    <s v="61087371"/>
    <m/>
    <m/>
    <n v="22783936"/>
    <m/>
    <m/>
    <m/>
    <s v="SOLFIN"/>
    <s v="SOLFIN"/>
    <s v="CCMS"/>
    <n v="21349665"/>
    <n v="1736"/>
    <m/>
    <s v="N"/>
    <n v="8"/>
    <d v="2023-07-10T19:01:55"/>
    <s v="Y"/>
    <s v="Preparation - other"/>
    <s v="Prescribed Hourly Rates"/>
    <s v="Profit Cost"/>
    <s v="PH"/>
    <s v="Y"/>
    <n v="6.59"/>
    <n v="1.32"/>
    <x v="2"/>
    <s v="VALIDATED"/>
    <n v="1"/>
    <s v="01.11.80.307.6100.0000"/>
    <n v="6.59"/>
    <s v="11"/>
    <s v="6100"/>
    <n v="24987.5"/>
    <n v="6.59"/>
    <s v="CREDITOR"/>
    <n v="0"/>
    <n v="0"/>
    <n v="0"/>
    <n v="0"/>
    <n v="6.59"/>
  </r>
  <r>
    <n v="59629456"/>
    <s v="N"/>
    <n v="21338367"/>
    <s v="3000014027440015"/>
    <s v="CIVIL"/>
    <d v="2023-06-28T00:00:00"/>
    <d v="2023-07-06T19:21:01"/>
    <m/>
    <d v="2023-07-06T00:00:00"/>
    <n v="917"/>
    <n v="19162"/>
    <s v="59629456"/>
    <s v="59629456"/>
    <m/>
    <m/>
    <n v="22776034"/>
    <m/>
    <m/>
    <m/>
    <s v="SOLFIN"/>
    <s v="SOLFIN"/>
    <s v="CCMS"/>
    <n v="21338367"/>
    <n v="17364.08"/>
    <m/>
    <s v="N"/>
    <n v="91"/>
    <d v="2023-07-06T19:21:22"/>
    <s v="Y"/>
    <s v="Travel to court"/>
    <s v="Care Remuneration Hourly Rates"/>
    <s v="Profit Cost"/>
    <s v="ZM"/>
    <s v="Y"/>
    <n v="15.12"/>
    <n v="3.02"/>
    <x v="4"/>
    <s v="VALIDATED"/>
    <n v="1"/>
    <s v="01.11.80.308.6100.0000"/>
    <n v="15.12"/>
    <s v="11"/>
    <s v="6100"/>
    <n v="24987.5"/>
    <n v="15.12"/>
    <s v="CREDITOR"/>
    <n v="0"/>
    <n v="0"/>
    <n v="0"/>
    <n v="0"/>
    <n v="15.12"/>
  </r>
  <r>
    <n v="60313374"/>
    <s v="N"/>
    <n v="21338325"/>
    <s v="3000014615690008"/>
    <s v="CIVIL"/>
    <d v="2023-06-28T00:00:00"/>
    <d v="2023-07-06T19:21:01"/>
    <m/>
    <d v="2023-07-06T00:00:00"/>
    <n v="917"/>
    <n v="19162"/>
    <s v="60313374"/>
    <s v="60313374"/>
    <m/>
    <m/>
    <n v="22782652"/>
    <m/>
    <m/>
    <m/>
    <s v="SOLFIN"/>
    <s v="SOLFIN"/>
    <s v="CCMS"/>
    <n v="21338325"/>
    <n v="6871.22"/>
    <m/>
    <s v="N"/>
    <n v="27"/>
    <d v="2023-07-06T19:21:19"/>
    <s v="Y"/>
    <s v="Attendance upon client"/>
    <s v="Prescribed Hourly Rates"/>
    <s v="Profit Cost"/>
    <s v="PH"/>
    <s v="Y"/>
    <n v="94.7"/>
    <n v="18.94"/>
    <x v="4"/>
    <s v="VALIDATED"/>
    <n v="1"/>
    <s v="01.11.80.307.6100.0000"/>
    <n v="94.7"/>
    <s v="11"/>
    <s v="6100"/>
    <n v="24987.5"/>
    <n v="94.7"/>
    <s v="CREDITOR"/>
    <n v="0"/>
    <n v="0"/>
    <n v="0"/>
    <n v="0"/>
    <n v="94.7"/>
  </r>
  <r>
    <n v="60313374"/>
    <s v="N"/>
    <n v="21338325"/>
    <s v="3000014615690008"/>
    <s v="CIVIL"/>
    <d v="2023-06-28T00:00:00"/>
    <d v="2023-07-06T19:21:01"/>
    <m/>
    <d v="2023-07-06T00:00:00"/>
    <n v="917"/>
    <n v="19162"/>
    <s v="60313374"/>
    <s v="60313374"/>
    <m/>
    <m/>
    <n v="22782652"/>
    <m/>
    <m/>
    <m/>
    <s v="SOLFIN"/>
    <s v="SOLFIN"/>
    <s v="CCMS"/>
    <n v="21338325"/>
    <n v="6871.22"/>
    <m/>
    <s v="N"/>
    <n v="1"/>
    <d v="2023-07-06T19:21:19"/>
    <s v="Y"/>
    <s v="Process server"/>
    <s v="Domestic Abuse"/>
    <s v="Expert Disbursement"/>
    <s v="XXX"/>
    <s v="Y"/>
    <n v="151.27"/>
    <n v="0"/>
    <x v="4"/>
    <s v="VALIDATED"/>
    <n v="1"/>
    <s v="01.11.80.307.6300.0000"/>
    <n v="151.27"/>
    <s v="11"/>
    <s v="6300"/>
    <n v="24987.5"/>
    <n v="151.27"/>
    <s v="CREDITOR"/>
    <n v="0"/>
    <n v="0"/>
    <n v="0"/>
    <n v="0"/>
    <n v="151.27"/>
  </r>
  <r>
    <n v="59629456"/>
    <s v="N"/>
    <n v="21338367"/>
    <s v="3000014027440015"/>
    <s v="CIVIL"/>
    <d v="2023-06-28T00:00:00"/>
    <d v="2023-07-06T19:21:01"/>
    <m/>
    <d v="2023-07-06T00:00:00"/>
    <n v="917"/>
    <n v="19162"/>
    <s v="59629456"/>
    <s v="59629456"/>
    <m/>
    <m/>
    <n v="22776034"/>
    <m/>
    <m/>
    <m/>
    <s v="SOLFIN"/>
    <s v="SOLFIN"/>
    <s v="CCMS"/>
    <n v="21338367"/>
    <n v="17364.08"/>
    <m/>
    <s v="N"/>
    <n v="131"/>
    <d v="2023-07-06T19:21:22"/>
    <s v="Y"/>
    <s v="Preparation - other"/>
    <s v="Care Remuneration Hourly Rates"/>
    <s v="Profit Cost"/>
    <s v="DHH"/>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36"/>
    <d v="2023-07-06T19:21:22"/>
    <s v="Y"/>
    <s v="Preparation - other"/>
    <s v="Care Remuneration Hourly Rates"/>
    <s v="Profit Cost"/>
    <s v="PF"/>
    <s v="Y"/>
    <n v="58.88"/>
    <n v="11.78"/>
    <x v="4"/>
    <s v="VALIDATED"/>
    <n v="1"/>
    <s v="01.11.80.308.6100.0000"/>
    <n v="58.88"/>
    <s v="11"/>
    <s v="6100"/>
    <n v="24987.5"/>
    <n v="58.88"/>
    <s v="CREDITOR"/>
    <n v="0"/>
    <n v="0"/>
    <n v="0"/>
    <n v="0"/>
    <n v="58.88"/>
  </r>
  <r>
    <n v="60969011"/>
    <s v="N"/>
    <n v="21328040"/>
    <s v="3000015171370002"/>
    <s v="CIVIL"/>
    <d v="2023-06-27T00:00:00"/>
    <d v="2023-07-04T19:00:44"/>
    <m/>
    <d v="2023-07-04T00:00:00"/>
    <n v="917"/>
    <n v="19162"/>
    <s v="60969011"/>
    <s v="60969011"/>
    <m/>
    <m/>
    <n v="22772306"/>
    <m/>
    <m/>
    <m/>
    <s v="SOLFIN"/>
    <s v="SOLFIN"/>
    <s v="CCMS"/>
    <n v="21328040"/>
    <n v="2128.61"/>
    <m/>
    <s v="N"/>
    <n v="9"/>
    <d v="2023-07-04T19:01:02"/>
    <s v="Y"/>
    <s v="Preparation - other"/>
    <s v="Prescribed Hourly Rates"/>
    <s v="Profit Cost"/>
    <s v="DM"/>
    <s v="Y"/>
    <n v="54.9"/>
    <n v="10.98"/>
    <x v="1"/>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15"/>
    <d v="2023-07-03T19:02:10"/>
    <s v="Y"/>
    <s v="Attendance upon other side"/>
    <s v="Prescribed Hourly Rates"/>
    <s v="Profit Cost"/>
    <s v="PH"/>
    <s v="Y"/>
    <n v="13.73"/>
    <n v="2.75"/>
    <x v="3"/>
    <s v="VALIDATED"/>
    <n v="1"/>
    <s v="01.11.80.307.6100.0000"/>
    <n v="13.73"/>
    <s v="11"/>
    <s v="6100"/>
    <n v="24987.5"/>
    <n v="13.73"/>
    <s v="CREDITOR"/>
    <n v="0"/>
    <n v="0"/>
    <n v="0"/>
    <n v="0"/>
    <n v="13.73"/>
  </r>
  <r>
    <n v="61087371"/>
    <s v="N"/>
    <n v="21349665"/>
    <s v="3000015258150003"/>
    <s v="CIVIL"/>
    <d v="2023-06-28T00:00:00"/>
    <d v="2023-07-10T19:01:40"/>
    <m/>
    <d v="2023-07-10T00:00:00"/>
    <n v="917"/>
    <n v="19162"/>
    <s v="61087371"/>
    <s v="61087371"/>
    <m/>
    <m/>
    <n v="22783936"/>
    <m/>
    <m/>
    <m/>
    <s v="SOLFIN"/>
    <s v="SOLFIN"/>
    <s v="CCMS"/>
    <n v="21349665"/>
    <n v="1736"/>
    <m/>
    <s v="N"/>
    <n v="17"/>
    <d v="2023-07-10T19:01:55"/>
    <s v="Y"/>
    <s v="Preparation - other"/>
    <s v="Prescribed Hourly Rates"/>
    <s v="Profit Cost"/>
    <s v="PH"/>
    <s v="Y"/>
    <n v="46.12"/>
    <n v="9.23"/>
    <x v="2"/>
    <s v="VALIDATED"/>
    <n v="1"/>
    <s v="01.11.80.307.6100.0000"/>
    <n v="46.12"/>
    <s v="11"/>
    <s v="6100"/>
    <n v="24987.5"/>
    <n v="46.12"/>
    <s v="CREDITOR"/>
    <n v="0"/>
    <n v="0"/>
    <n v="0"/>
    <n v="0"/>
    <n v="46.12"/>
  </r>
  <r>
    <n v="61087371"/>
    <s v="N"/>
    <n v="21349665"/>
    <s v="3000015258150003"/>
    <s v="CIVIL"/>
    <d v="2023-06-28T00:00:00"/>
    <d v="2023-07-10T19:01:40"/>
    <m/>
    <d v="2023-07-10T00:00:00"/>
    <n v="917"/>
    <n v="19162"/>
    <s v="61087371"/>
    <s v="61087371"/>
    <m/>
    <m/>
    <n v="22783936"/>
    <m/>
    <m/>
    <m/>
    <s v="SOLFIN"/>
    <s v="SOLFIN"/>
    <s v="CCMS"/>
    <n v="21349665"/>
    <n v="1736"/>
    <m/>
    <s v="N"/>
    <n v="49"/>
    <d v="2023-07-10T19:01:55"/>
    <s v="Y"/>
    <s v="Routine Letter Out"/>
    <s v="Prescribed Hourly Rates"/>
    <s v="Profit Cost"/>
    <s v="PH"/>
    <s v="Y"/>
    <n v="232.2"/>
    <n v="46.41"/>
    <x v="2"/>
    <s v="VALIDATED"/>
    <n v="1"/>
    <s v="01.11.80.307.6100.0000"/>
    <n v="232.2"/>
    <s v="11"/>
    <s v="6100"/>
    <n v="24987.5"/>
    <n v="232.2"/>
    <s v="CREDITOR"/>
    <n v="0"/>
    <n v="0"/>
    <n v="0"/>
    <n v="0"/>
    <n v="232.2"/>
  </r>
  <r>
    <n v="60313374"/>
    <s v="N"/>
    <n v="21338325"/>
    <s v="3000014615690008"/>
    <s v="CIVIL"/>
    <d v="2023-06-28T00:00:00"/>
    <d v="2023-07-06T19:21:01"/>
    <m/>
    <d v="2023-07-06T00:00:00"/>
    <n v="917"/>
    <n v="19162"/>
    <s v="60313374"/>
    <s v="60313374"/>
    <m/>
    <m/>
    <n v="22782652"/>
    <m/>
    <m/>
    <m/>
    <s v="SOLFIN"/>
    <s v="SOLFIN"/>
    <s v="CCMS"/>
    <n v="21338325"/>
    <n v="6871.22"/>
    <m/>
    <s v="N"/>
    <n v="39"/>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55"/>
    <d v="2023-07-06T19:21:22"/>
    <s v="Y"/>
    <s v="Preparation - other"/>
    <s v="Care Remuneration Hourly Rates"/>
    <s v="Profit Cost"/>
    <s v="ZM"/>
    <s v="Y"/>
    <n v="88.31"/>
    <n v="17.66"/>
    <x v="4"/>
    <s v="VALIDATED"/>
    <n v="1"/>
    <s v="01.11.80.308.6100.0000"/>
    <n v="88.31"/>
    <s v="11"/>
    <s v="6100"/>
    <n v="24987.5"/>
    <n v="88.31"/>
    <s v="CREDITOR"/>
    <n v="0"/>
    <n v="0"/>
    <n v="0"/>
    <n v="0"/>
    <n v="88.31"/>
  </r>
  <r>
    <n v="59629456"/>
    <s v="N"/>
    <n v="21338367"/>
    <s v="3000014027440015"/>
    <s v="CIVIL"/>
    <d v="2023-06-28T00:00:00"/>
    <d v="2023-07-06T19:21:01"/>
    <m/>
    <d v="2023-07-06T00:00:00"/>
    <n v="917"/>
    <n v="19162"/>
    <s v="59629456"/>
    <s v="59629456"/>
    <m/>
    <m/>
    <n v="22776034"/>
    <m/>
    <m/>
    <m/>
    <s v="SOLFIN"/>
    <s v="SOLFIN"/>
    <s v="CCMS"/>
    <n v="21338367"/>
    <n v="17364.08"/>
    <m/>
    <s v="N"/>
    <n v="181"/>
    <d v="2023-07-06T19:21:22"/>
    <s v="Y"/>
    <s v="Paediatrician"/>
    <s v="Care Remuneration Hourly Rates"/>
    <s v="Expert Disbursement"/>
    <s v="XXX"/>
    <s v="Y"/>
    <n v="405"/>
    <n v="81"/>
    <x v="4"/>
    <s v="VALIDATED"/>
    <n v="1"/>
    <s v="01.11.80.308.6300.0000"/>
    <n v="405"/>
    <s v="11"/>
    <s v="6300"/>
    <n v="24987.5"/>
    <n v="405"/>
    <s v="CREDITOR"/>
    <n v="0"/>
    <n v="0"/>
    <n v="0"/>
    <n v="0"/>
    <n v="405"/>
  </r>
  <r>
    <n v="59629456"/>
    <s v="N"/>
    <n v="21338367"/>
    <s v="3000014027440015"/>
    <s v="CIVIL"/>
    <d v="2023-06-28T00:00:00"/>
    <d v="2023-07-06T19:21:01"/>
    <m/>
    <d v="2023-07-06T00:00:00"/>
    <n v="917"/>
    <n v="19162"/>
    <s v="59629456"/>
    <s v="59629456"/>
    <m/>
    <m/>
    <n v="22776034"/>
    <m/>
    <m/>
    <m/>
    <s v="SOLFIN"/>
    <s v="SOLFIN"/>
    <s v="CCMS"/>
    <n v="21338367"/>
    <n v="17364.08"/>
    <m/>
    <s v="N"/>
    <n v="71"/>
    <d v="2023-07-06T19:21:22"/>
    <s v="Y"/>
    <s v="Attendance upon client"/>
    <s v="Care Remuneration Hourly Rates"/>
    <s v="Profit Cost"/>
    <s v="ZM"/>
    <s v="Y"/>
    <n v="14.71"/>
    <n v="2.94"/>
    <x v="4"/>
    <s v="VALIDATED"/>
    <n v="1"/>
    <s v="01.11.80.308.6100.0000"/>
    <n v="14.71"/>
    <s v="11"/>
    <s v="6100"/>
    <n v="24987.5"/>
    <n v="14.71"/>
    <s v="CREDITOR"/>
    <n v="0"/>
    <n v="0"/>
    <n v="0"/>
    <n v="0"/>
    <n v="14.71"/>
  </r>
  <r>
    <n v="60313374"/>
    <s v="N"/>
    <n v="21338325"/>
    <s v="3000014615690008"/>
    <s v="CIVIL"/>
    <d v="2023-06-28T00:00:00"/>
    <d v="2023-07-06T19:21:01"/>
    <m/>
    <d v="2023-07-06T00:00:00"/>
    <n v="917"/>
    <n v="19162"/>
    <s v="60313374"/>
    <s v="60313374"/>
    <m/>
    <m/>
    <n v="22782652"/>
    <m/>
    <m/>
    <m/>
    <s v="SOLFIN"/>
    <s v="SOLFIN"/>
    <s v="CCMS"/>
    <n v="21338325"/>
    <n v="6871.22"/>
    <m/>
    <s v="N"/>
    <n v="23"/>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13"/>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23"/>
    <d v="2023-07-06T19:21:22"/>
    <s v="Y"/>
    <s v="Preparation - other"/>
    <s v="Care Remuneration Hourly Rates"/>
    <s v="Profit Cost"/>
    <s v="DHH"/>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34"/>
    <d v="2023-07-06T19:21:22"/>
    <s v="Y"/>
    <s v="Preparation - other"/>
    <s v="Care Remuneration Hourly Rates"/>
    <s v="Profit Cost"/>
    <s v="PF"/>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39"/>
    <d v="2023-07-06T19:21:22"/>
    <s v="Y"/>
    <s v="Attendance upon other"/>
    <s v="Care Remuneration Hourly Rates"/>
    <s v="Profit Cost"/>
    <s v="PF"/>
    <s v="Y"/>
    <n v="14.71"/>
    <n v="2.94"/>
    <x v="4"/>
    <s v="VALIDATED"/>
    <n v="1"/>
    <s v="01.11.80.308.6100.0000"/>
    <n v="14.71"/>
    <s v="11"/>
    <s v="6100"/>
    <n v="24987.5"/>
    <n v="14.71"/>
    <s v="CREDITOR"/>
    <n v="0"/>
    <n v="0"/>
    <n v="0"/>
    <n v="0"/>
    <n v="14.71"/>
  </r>
  <r>
    <n v="60969011"/>
    <s v="N"/>
    <n v="21328040"/>
    <s v="3000015171370002"/>
    <s v="CIVIL"/>
    <d v="2023-06-27T00:00:00"/>
    <d v="2023-07-04T19:00:44"/>
    <m/>
    <d v="2023-07-04T00:00:00"/>
    <n v="917"/>
    <n v="19162"/>
    <s v="60969011"/>
    <s v="60969011"/>
    <m/>
    <m/>
    <n v="22772306"/>
    <m/>
    <m/>
    <m/>
    <s v="SOLFIN"/>
    <s v="SOLFIN"/>
    <s v="CCMS"/>
    <n v="21328040"/>
    <n v="2128.61"/>
    <m/>
    <s v="N"/>
    <n v="13"/>
    <d v="2023-07-04T19:01:02"/>
    <s v="Y"/>
    <s v="Preparation - other"/>
    <s v="Prescribed Hourly Rates"/>
    <s v="Profit Cost"/>
    <s v="DM"/>
    <s v="Y"/>
    <n v="5.49"/>
    <n v="1.1"/>
    <x v="1"/>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46"/>
    <d v="2023-07-03T19:02:10"/>
    <s v="Y"/>
    <s v="Attendance upon client"/>
    <s v="Prescribed Hourly Rates"/>
    <s v="Profit Cost"/>
    <s v="PH"/>
    <s v="Y"/>
    <n v="5.49"/>
    <n v="1.1"/>
    <x v="3"/>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51"/>
    <d v="2023-07-03T19:02:10"/>
    <s v="Y"/>
    <s v="Preparation - other"/>
    <s v="Prescribed Hourly Rates"/>
    <s v="Profit Cost"/>
    <s v="PH"/>
    <s v="Y"/>
    <n v="13.73"/>
    <n v="2.75"/>
    <x v="3"/>
    <s v="VALIDATED"/>
    <n v="1"/>
    <s v="01.11.80.307.6100.0000"/>
    <n v="13.73"/>
    <s v="11"/>
    <s v="6100"/>
    <n v="24987.5"/>
    <n v="13.73"/>
    <s v="CREDITOR"/>
    <n v="0"/>
    <n v="0"/>
    <n v="0"/>
    <n v="0"/>
    <n v="13.73"/>
  </r>
  <r>
    <n v="61196876"/>
    <s v="N"/>
    <n v="21344045"/>
    <s v="3000015373210004"/>
    <s v="CIVIL"/>
    <d v="2023-06-29T00:00:00"/>
    <d v="2023-07-07T19:03:00"/>
    <m/>
    <d v="2023-07-07T00:00:00"/>
    <n v="917"/>
    <n v="19162"/>
    <s v="61196876"/>
    <s v="61196876"/>
    <m/>
    <m/>
    <n v="22785108"/>
    <m/>
    <m/>
    <m/>
    <s v="SOLFIN"/>
    <s v="SOLFIN"/>
    <s v="CCMS"/>
    <n v="21344045"/>
    <n v="4358.58"/>
    <m/>
    <s v="N"/>
    <n v="4"/>
    <d v="2023-07-07T19:03:21"/>
    <s v="Y"/>
    <s v="Advocates Meeting"/>
    <s v="Public Law Children"/>
    <s v="Advocacy"/>
    <s v="DJM"/>
    <s v="Y"/>
    <n v="140.99"/>
    <n v="28.2"/>
    <x v="9"/>
    <s v="VALIDATED"/>
    <n v="1"/>
    <s v="01.11.80.308.6100.0000"/>
    <n v="140.99"/>
    <s v="11"/>
    <s v="6100"/>
    <n v="24987.5"/>
    <n v="140.99"/>
    <s v="CREDITOR"/>
    <n v="0"/>
    <n v="0"/>
    <n v="0"/>
    <n v="0"/>
    <n v="140.99"/>
  </r>
  <r>
    <n v="61196876"/>
    <s v="N"/>
    <n v="21344045"/>
    <s v="3000015373210004"/>
    <s v="CIVIL"/>
    <d v="2023-06-29T00:00:00"/>
    <d v="2023-07-07T19:03:00"/>
    <m/>
    <d v="2023-07-07T00:00:00"/>
    <n v="917"/>
    <n v="19162"/>
    <s v="61196876"/>
    <s v="61196876"/>
    <m/>
    <m/>
    <n v="22785108"/>
    <m/>
    <m/>
    <m/>
    <s v="SOLFIN"/>
    <s v="SOLFIN"/>
    <s v="CCMS"/>
    <n v="21344045"/>
    <n v="4358.58"/>
    <m/>
    <s v="N"/>
    <n v="2"/>
    <d v="2023-07-07T19:03:21"/>
    <s v="Y"/>
    <s v="Toxicologist"/>
    <s v="Public Law Children"/>
    <s v="Expert Disbursement"/>
    <s v="XXX"/>
    <s v="Y"/>
    <n v="118.26"/>
    <n v="23.65"/>
    <x v="9"/>
    <s v="VALIDATED"/>
    <n v="1"/>
    <s v="01.11.80.308.6300.0000"/>
    <n v="118.26"/>
    <s v="11"/>
    <s v="6300"/>
    <n v="24987.5"/>
    <n v="118.26"/>
    <s v="CREDITOR"/>
    <n v="0"/>
    <n v="0"/>
    <n v="0"/>
    <n v="0"/>
    <n v="118.26"/>
  </r>
  <r>
    <n v="60969011"/>
    <s v="N"/>
    <n v="21328643"/>
    <s v="3000015171370001RC"/>
    <s v="CIVIL"/>
    <d v="2023-06-27T00:00:00"/>
    <d v="2023-07-04T19:38:21"/>
    <m/>
    <d v="2023-07-04T00:00:00"/>
    <n v="917"/>
    <n v="19162"/>
    <s v="60969011"/>
    <s v="60969011"/>
    <m/>
    <m/>
    <m/>
    <m/>
    <m/>
    <m/>
    <s v="SOLRECOUP"/>
    <s v="SOLRECOUP"/>
    <s v="POARECOUP"/>
    <n v="21328643"/>
    <n v="-1000.9"/>
    <m/>
    <s v="Y"/>
    <n v="1"/>
    <d v="2023-07-04T19:38:22"/>
    <s v="N"/>
    <m/>
    <m/>
    <s v="Profit Cost"/>
    <m/>
    <s v="N"/>
    <n v="-834.08"/>
    <n v="0"/>
    <x v="1"/>
    <s v="VALIDATED"/>
    <n v="1"/>
    <s v="01.11.80.307.2013.0000"/>
    <n v="-834.08"/>
    <s v="11"/>
    <s v="2013"/>
    <n v="24987.5"/>
    <n v="-834.08"/>
    <s v="CREDITOR"/>
    <n v="0"/>
    <n v="0"/>
    <n v="-834.08"/>
    <n v="-208.52"/>
    <n v="0"/>
  </r>
  <r>
    <n v="60969011"/>
    <s v="N"/>
    <n v="21328643"/>
    <s v="3000015171370001RC"/>
    <s v="CIVIL"/>
    <d v="2023-06-27T00:00:00"/>
    <d v="2023-07-04T19:38:21"/>
    <m/>
    <d v="2023-07-04T00:00:00"/>
    <n v="917"/>
    <n v="19162"/>
    <s v="60969011"/>
    <s v="60969011"/>
    <m/>
    <m/>
    <m/>
    <m/>
    <m/>
    <m/>
    <s v="SOLRECOUP"/>
    <s v="SOLRECOUP"/>
    <s v="POARECOUP"/>
    <n v="21328643"/>
    <n v="-1000.9"/>
    <m/>
    <s v="Y"/>
    <n v="2"/>
    <d v="2023-07-04T19:38:22"/>
    <s v="N"/>
    <m/>
    <m/>
    <s v="Profit Cost"/>
    <m/>
    <s v="N"/>
    <n v="0"/>
    <n v="-166.82"/>
    <x v="1"/>
    <s v="VALIDATED"/>
    <n v="1"/>
    <s v="01.11.80.307.2013.0000"/>
    <n v="-166.82"/>
    <s v="11"/>
    <s v="2013"/>
    <n v="24987.5"/>
    <n v="-166.82"/>
    <s v="CREDITOR"/>
    <n v="0"/>
    <n v="0"/>
    <n v="-166.82"/>
    <n v="-41.705"/>
    <n v="0"/>
  </r>
  <r>
    <n v="61546807"/>
    <s v="N"/>
    <n v="21324422"/>
    <s v="3000015661680002RC"/>
    <s v="CIVIL"/>
    <d v="2023-06-23T00:00:00"/>
    <d v="2023-07-03T19:42:50"/>
    <m/>
    <d v="2023-07-03T00:00:00"/>
    <n v="917"/>
    <n v="19162"/>
    <s v="61546807"/>
    <s v="61546807"/>
    <m/>
    <m/>
    <m/>
    <m/>
    <m/>
    <m/>
    <s v="SOLRECOUP"/>
    <s v="SOLRECOUP"/>
    <s v="POARECOUP"/>
    <n v="21324422"/>
    <n v="-1931.14"/>
    <m/>
    <s v="Y"/>
    <n v="1"/>
    <d v="2023-07-03T19:42:51"/>
    <s v="N"/>
    <m/>
    <m/>
    <s v="Profit Cost"/>
    <m/>
    <s v="N"/>
    <n v="-1609.28"/>
    <n v="0"/>
    <x v="3"/>
    <s v="VALIDATED"/>
    <n v="1"/>
    <s v="01.11.80.307.2013.0000"/>
    <n v="-1609.28"/>
    <s v="11"/>
    <s v="2013"/>
    <n v="24987.5"/>
    <n v="-1609.28"/>
    <s v="CREDITOR"/>
    <n v="0"/>
    <n v="0"/>
    <n v="-1609.28"/>
    <n v="-402.32"/>
    <n v="0"/>
  </r>
  <r>
    <n v="61546807"/>
    <s v="N"/>
    <n v="21324422"/>
    <s v="3000015661680002RC"/>
    <s v="CIVIL"/>
    <d v="2023-06-23T00:00:00"/>
    <d v="2023-07-03T19:42:50"/>
    <m/>
    <d v="2023-07-03T00:00:00"/>
    <n v="917"/>
    <n v="19162"/>
    <s v="61546807"/>
    <s v="61546807"/>
    <m/>
    <m/>
    <m/>
    <m/>
    <m/>
    <m/>
    <s v="SOLRECOUP"/>
    <s v="SOLRECOUP"/>
    <s v="POARECOUP"/>
    <n v="21324422"/>
    <n v="-1931.14"/>
    <m/>
    <s v="Y"/>
    <n v="2"/>
    <d v="2023-07-03T19:42:51"/>
    <s v="N"/>
    <m/>
    <m/>
    <s v="Profit Cost"/>
    <m/>
    <s v="N"/>
    <n v="0"/>
    <n v="-321.86"/>
    <x v="3"/>
    <s v="VALIDATED"/>
    <n v="1"/>
    <s v="01.11.80.307.2013.0000"/>
    <n v="-321.86"/>
    <s v="11"/>
    <s v="2013"/>
    <n v="24987.5"/>
    <n v="-321.86"/>
    <s v="CREDITOR"/>
    <n v="0"/>
    <n v="0"/>
    <n v="-321.86"/>
    <n v="-80.465"/>
    <n v="0"/>
  </r>
  <r>
    <n v="61087371"/>
    <s v="N"/>
    <n v="21349665"/>
    <s v="3000015258150003"/>
    <s v="CIVIL"/>
    <d v="2023-06-28T00:00:00"/>
    <d v="2023-07-10T19:01:40"/>
    <m/>
    <d v="2023-07-10T00:00:00"/>
    <n v="917"/>
    <n v="19162"/>
    <s v="61087371"/>
    <s v="61087371"/>
    <m/>
    <m/>
    <n v="22783936"/>
    <m/>
    <m/>
    <m/>
    <s v="SOLFIN"/>
    <s v="SOLFIN"/>
    <s v="CCMS"/>
    <n v="21349665"/>
    <n v="1736"/>
    <m/>
    <s v="N"/>
    <n v="11"/>
    <d v="2023-07-10T19:01:55"/>
    <s v="Y"/>
    <s v="Preparation - other"/>
    <s v="Prescribed Hourly Rates"/>
    <s v="Profit Cost"/>
    <s v="PH"/>
    <s v="Y"/>
    <n v="19.76"/>
    <n v="3.95"/>
    <x v="2"/>
    <s v="VALIDATED"/>
    <n v="1"/>
    <s v="01.11.80.307.6100.0000"/>
    <n v="19.76"/>
    <s v="11"/>
    <s v="6100"/>
    <n v="24987.5"/>
    <n v="19.76"/>
    <s v="CREDITOR"/>
    <n v="0"/>
    <n v="0"/>
    <n v="0"/>
    <n v="0"/>
    <n v="19.76"/>
  </r>
  <r>
    <n v="61087371"/>
    <s v="N"/>
    <n v="21349665"/>
    <s v="3000015258150003"/>
    <s v="CIVIL"/>
    <d v="2023-06-28T00:00:00"/>
    <d v="2023-07-10T19:01:40"/>
    <m/>
    <d v="2023-07-10T00:00:00"/>
    <n v="917"/>
    <n v="19162"/>
    <s v="61087371"/>
    <s v="61087371"/>
    <m/>
    <m/>
    <n v="22783936"/>
    <m/>
    <m/>
    <m/>
    <s v="SOLFIN"/>
    <s v="SOLFIN"/>
    <s v="CCMS"/>
    <n v="21349665"/>
    <n v="1736"/>
    <m/>
    <s v="N"/>
    <n v="18"/>
    <d v="2023-07-10T19:01:55"/>
    <s v="Y"/>
    <s v="Attendance upon client"/>
    <s v="Prescribed Hourly Rates"/>
    <s v="Profit Cost"/>
    <s v="PH"/>
    <s v="Y"/>
    <n v="32.94"/>
    <n v="6.59"/>
    <x v="2"/>
    <s v="VALIDATED"/>
    <n v="1"/>
    <s v="01.11.80.307.6100.0000"/>
    <n v="32.94"/>
    <s v="11"/>
    <s v="6100"/>
    <n v="24987.5"/>
    <n v="32.94"/>
    <s v="CREDITOR"/>
    <n v="0"/>
    <n v="0"/>
    <n v="0"/>
    <n v="0"/>
    <n v="32.94"/>
  </r>
  <r>
    <n v="59629456"/>
    <s v="N"/>
    <n v="21338367"/>
    <s v="3000014027440015"/>
    <s v="CIVIL"/>
    <d v="2023-06-28T00:00:00"/>
    <d v="2023-07-06T19:21:01"/>
    <m/>
    <d v="2023-07-06T00:00:00"/>
    <n v="917"/>
    <n v="19162"/>
    <s v="59629456"/>
    <s v="59629456"/>
    <m/>
    <m/>
    <n v="22776034"/>
    <m/>
    <m/>
    <m/>
    <s v="SOLFIN"/>
    <s v="SOLFIN"/>
    <s v="CCMS"/>
    <n v="21338367"/>
    <n v="17364.08"/>
    <m/>
    <s v="N"/>
    <n v="163"/>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121"/>
    <d v="2023-07-06T19:21:22"/>
    <s v="Y"/>
    <s v="Preparation - other"/>
    <s v="Care Remuneration Hourly Rates"/>
    <s v="Profit Cost"/>
    <s v="ZM"/>
    <s v="Y"/>
    <n v="103.04"/>
    <n v="20.61"/>
    <x v="4"/>
    <s v="VALIDATED"/>
    <n v="1"/>
    <s v="01.11.80.308.6100.0000"/>
    <n v="103.04"/>
    <s v="11"/>
    <s v="6100"/>
    <n v="24987.5"/>
    <n v="103.04"/>
    <s v="CREDITOR"/>
    <n v="0"/>
    <n v="0"/>
    <n v="0"/>
    <n v="0"/>
    <n v="103.04"/>
  </r>
  <r>
    <n v="61285176"/>
    <s v="N"/>
    <n v="21330916"/>
    <s v="3000015444990003"/>
    <s v="CIVIL"/>
    <d v="2023-06-27T00:00:00"/>
    <d v="2023-07-05T19:01:47"/>
    <m/>
    <d v="2023-07-05T00:00:00"/>
    <n v="917"/>
    <n v="19162"/>
    <s v="61285176"/>
    <s v="61285176"/>
    <m/>
    <m/>
    <n v="22769388"/>
    <m/>
    <m/>
    <m/>
    <s v="SOLFIN"/>
    <s v="SOLFIN"/>
    <s v="CCMS"/>
    <n v="21330916"/>
    <n v="655.6"/>
    <m/>
    <s v="N"/>
    <n v="2"/>
    <d v="2023-07-05T19:01:56"/>
    <s v="Y"/>
    <s v="Level 3 Fixed Fee"/>
    <s v="Private Law Children"/>
    <s v="Profit Cost"/>
    <s v="XXX"/>
    <s v="Y"/>
    <n v="353"/>
    <n v="70.59999999999999"/>
    <x v="6"/>
    <s v="VALIDATED"/>
    <n v="1"/>
    <s v="01.11.80.307.6100.0000"/>
    <n v="353"/>
    <s v="11"/>
    <s v="6100"/>
    <n v="24987.5"/>
    <n v="353"/>
    <s v="CREDITOR"/>
    <n v="0"/>
    <n v="0"/>
    <n v="0"/>
    <n v="0"/>
    <n v="353"/>
  </r>
  <r>
    <n v="61546807"/>
    <s v="N"/>
    <n v="21319087"/>
    <s v="3000015661680003"/>
    <s v="CIVIL"/>
    <d v="2023-06-23T00:00:00"/>
    <d v="2023-07-03T19:01:49"/>
    <m/>
    <d v="2023-07-03T00:00:00"/>
    <n v="917"/>
    <n v="19162"/>
    <s v="61546807"/>
    <s v="61546807"/>
    <m/>
    <m/>
    <n v="22754138"/>
    <m/>
    <m/>
    <m/>
    <s v="SOLFIN"/>
    <s v="SOLFIN"/>
    <s v="CCMS"/>
    <n v="21319087"/>
    <n v="3003.37"/>
    <m/>
    <s v="N"/>
    <n v="56"/>
    <d v="2023-07-03T19:02:10"/>
    <s v="Y"/>
    <s v="Attendance upon client"/>
    <s v="Prescribed Hourly Rates"/>
    <s v="Profit Cost"/>
    <s v="PH"/>
    <s v="Y"/>
    <n v="27.45"/>
    <n v="5.49"/>
    <x v="3"/>
    <s v="VALIDATED"/>
    <n v="1"/>
    <s v="01.11.80.307.6100.0000"/>
    <n v="27.45"/>
    <s v="11"/>
    <s v="6100"/>
    <n v="24987.5"/>
    <n v="27.45"/>
    <s v="CREDITOR"/>
    <n v="0"/>
    <n v="0"/>
    <n v="0"/>
    <n v="0"/>
    <n v="27.45"/>
  </r>
  <r>
    <n v="61546807"/>
    <s v="N"/>
    <n v="21319087"/>
    <s v="3000015661680003"/>
    <s v="CIVIL"/>
    <d v="2023-06-23T00:00:00"/>
    <d v="2023-07-03T19:01:49"/>
    <m/>
    <d v="2023-07-03T00:00:00"/>
    <n v="917"/>
    <n v="19162"/>
    <s v="61546807"/>
    <s v="61546807"/>
    <m/>
    <m/>
    <n v="22754138"/>
    <m/>
    <m/>
    <m/>
    <s v="SOLFIN"/>
    <s v="SOLFIN"/>
    <s v="CCMS"/>
    <n v="21319087"/>
    <n v="3003.37"/>
    <m/>
    <s v="N"/>
    <n v="27"/>
    <d v="2023-07-03T19:02:10"/>
    <s v="Y"/>
    <s v="Preparation - other"/>
    <s v="Prescribed Hourly Rates"/>
    <s v="Profit Cost"/>
    <s v="PH"/>
    <s v="Y"/>
    <n v="185.29"/>
    <n v="37.06"/>
    <x v="3"/>
    <s v="VALIDATED"/>
    <n v="1"/>
    <s v="01.11.80.307.6100.0000"/>
    <n v="185.29"/>
    <s v="11"/>
    <s v="6100"/>
    <n v="24987.5"/>
    <n v="185.29"/>
    <s v="CREDITOR"/>
    <n v="0"/>
    <n v="0"/>
    <n v="0"/>
    <n v="0"/>
    <n v="185.29"/>
  </r>
  <r>
    <n v="59629456"/>
    <s v="N"/>
    <n v="21338367"/>
    <s v="3000014027440015"/>
    <s v="CIVIL"/>
    <d v="2023-06-28T00:00:00"/>
    <d v="2023-07-06T19:21:01"/>
    <m/>
    <d v="2023-07-06T00:00:00"/>
    <n v="917"/>
    <n v="19162"/>
    <s v="59629456"/>
    <s v="59629456"/>
    <m/>
    <m/>
    <n v="22776034"/>
    <m/>
    <m/>
    <m/>
    <s v="SOLFIN"/>
    <s v="SOLFIN"/>
    <s v="CCMS"/>
    <n v="21338367"/>
    <n v="17364.08"/>
    <m/>
    <s v="N"/>
    <n v="43"/>
    <d v="2023-07-06T19:21:22"/>
    <s v="Y"/>
    <s v="Attendance upon client"/>
    <s v="Care Remuneration Hourly Rates"/>
    <s v="Profit Cost"/>
    <s v="ZM"/>
    <s v="Y"/>
    <n v="29.44"/>
    <n v="5.89"/>
    <x v="4"/>
    <s v="VALIDATED"/>
    <n v="1"/>
    <s v="01.11.80.308.6100.0000"/>
    <n v="29.44"/>
    <s v="11"/>
    <s v="6100"/>
    <n v="24987.5"/>
    <n v="29.44"/>
    <s v="CREDITOR"/>
    <n v="0"/>
    <n v="0"/>
    <n v="0"/>
    <n v="0"/>
    <n v="29.44"/>
  </r>
  <r>
    <n v="59629456"/>
    <s v="N"/>
    <n v="21338367"/>
    <s v="3000014027440015"/>
    <s v="CIVIL"/>
    <d v="2023-06-28T00:00:00"/>
    <d v="2023-07-06T19:21:01"/>
    <m/>
    <d v="2023-07-06T00:00:00"/>
    <n v="917"/>
    <n v="19162"/>
    <s v="59629456"/>
    <s v="59629456"/>
    <m/>
    <m/>
    <n v="22776034"/>
    <m/>
    <m/>
    <m/>
    <s v="SOLFIN"/>
    <s v="SOLFIN"/>
    <s v="CCMS"/>
    <n v="21338367"/>
    <n v="17364.08"/>
    <m/>
    <s v="N"/>
    <n v="53"/>
    <d v="2023-07-06T19:21:22"/>
    <s v="Y"/>
    <s v="Attendance upon client"/>
    <s v="Care Remuneration Hourly Rates"/>
    <s v="Profit Cost"/>
    <s v="BW"/>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96"/>
    <d v="2023-07-06T19:21:22"/>
    <s v="Y"/>
    <s v="Preparation - other"/>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4"/>
    <d v="2023-07-06T19:21:22"/>
    <s v="Y"/>
    <s v="Preparation - other"/>
    <s v="Care Remuneration Hourly Rates"/>
    <s v="Profit Cost"/>
    <s v="D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142"/>
    <d v="2023-07-06T19:21:22"/>
    <s v="Y"/>
    <s v="Preparation - other"/>
    <s v="Care Remuneration Hourly Rates"/>
    <s v="Profit Cost"/>
    <s v="PF"/>
    <s v="Y"/>
    <n v="7.36"/>
    <n v="1.47"/>
    <x v="4"/>
    <s v="VALIDATED"/>
    <n v="1"/>
    <s v="01.11.80.308.6100.0000"/>
    <n v="7.36"/>
    <s v="11"/>
    <s v="6100"/>
    <n v="24987.5"/>
    <n v="7.36"/>
    <s v="CREDITOR"/>
    <n v="0"/>
    <n v="0"/>
    <n v="0"/>
    <n v="0"/>
    <n v="7.36"/>
  </r>
  <r>
    <n v="61196876"/>
    <s v="N"/>
    <n v="21346318"/>
    <s v="3000015373210003RC"/>
    <s v="CIVIL"/>
    <d v="2023-06-29T00:00:00"/>
    <d v="2023-07-07T19:34:21"/>
    <m/>
    <d v="2023-07-07T00:00:00"/>
    <n v="917"/>
    <n v="19162"/>
    <s v="61196876"/>
    <s v="61196876"/>
    <m/>
    <m/>
    <m/>
    <m/>
    <m/>
    <m/>
    <s v="SOLRECOUP"/>
    <s v="SOLRECOUP"/>
    <s v="POARECOUP"/>
    <n v="21346318"/>
    <n v="-1267.32"/>
    <m/>
    <s v="Y"/>
    <n v="2"/>
    <d v="2023-07-07T19:34:22"/>
    <s v="N"/>
    <m/>
    <m/>
    <s v="Profit Cost"/>
    <m/>
    <s v="N"/>
    <n v="0"/>
    <n v="-211.22"/>
    <x v="9"/>
    <s v="VALIDATED"/>
    <n v="1"/>
    <s v="01.11.80.308.2013.0000"/>
    <n v="-211.22"/>
    <s v="11"/>
    <s v="2013"/>
    <n v="24987.5"/>
    <n v="-211.22"/>
    <s v="CREDITOR"/>
    <n v="0"/>
    <n v="0"/>
    <n v="-211.22"/>
    <n v="-52.805"/>
    <n v="0"/>
  </r>
  <r>
    <n v="61196876"/>
    <s v="N"/>
    <n v="21346318"/>
    <s v="3000015373210003RC"/>
    <s v="CIVIL"/>
    <d v="2023-06-29T00:00:00"/>
    <d v="2023-07-07T19:34:21"/>
    <m/>
    <d v="2023-07-07T00:00:00"/>
    <n v="917"/>
    <n v="19162"/>
    <s v="61196876"/>
    <s v="61196876"/>
    <m/>
    <m/>
    <m/>
    <m/>
    <m/>
    <m/>
    <s v="SOLRECOUP"/>
    <s v="SOLRECOUP"/>
    <s v="POARECOUP"/>
    <n v="21346318"/>
    <n v="-1267.32"/>
    <m/>
    <s v="Y"/>
    <n v="1"/>
    <d v="2023-07-07T19:34:22"/>
    <s v="N"/>
    <m/>
    <m/>
    <s v="Profit Cost"/>
    <m/>
    <s v="N"/>
    <n v="-1056.1"/>
    <n v="0"/>
    <x v="9"/>
    <s v="VALIDATED"/>
    <n v="1"/>
    <s v="01.11.80.308.2013.0000"/>
    <n v="-1056.1"/>
    <s v="11"/>
    <s v="2013"/>
    <n v="24987.5"/>
    <n v="-1056.1"/>
    <s v="CREDITOR"/>
    <n v="0"/>
    <n v="0"/>
    <n v="-1056.1"/>
    <n v="-264.025"/>
    <n v="0"/>
  </r>
  <r>
    <n v="61196876"/>
    <s v="N"/>
    <n v="21346319"/>
    <s v="3000015373210002RC"/>
    <s v="CIVIL"/>
    <d v="2023-06-29T00:00:00"/>
    <d v="2023-07-07T19:34:21"/>
    <m/>
    <d v="2023-07-07T00:00:00"/>
    <n v="917"/>
    <n v="19162"/>
    <s v="61196876"/>
    <s v="61196876"/>
    <m/>
    <m/>
    <m/>
    <m/>
    <m/>
    <m/>
    <s v="SOLRECOUP"/>
    <s v="SOLRECOUP"/>
    <s v="POARECOUP"/>
    <n v="21346319"/>
    <n v="-141.91"/>
    <m/>
    <s v="Y"/>
    <n v="2"/>
    <d v="2023-07-07T19:34:22"/>
    <s v="N"/>
    <m/>
    <m/>
    <s v="Expert Disbursement"/>
    <m/>
    <s v="N"/>
    <n v="0"/>
    <n v="-23.65"/>
    <x v="9"/>
    <s v="VALIDATED"/>
    <n v="1"/>
    <s v="01.11.80.308.2013.0000"/>
    <n v="-23.65"/>
    <s v="11"/>
    <s v="2013"/>
    <n v="24987.5"/>
    <n v="-23.65"/>
    <s v="CREDITOR"/>
    <n v="0"/>
    <n v="0"/>
    <n v="-23.65"/>
    <n v="0"/>
    <n v="0"/>
  </r>
  <r>
    <n v="61196876"/>
    <s v="N"/>
    <n v="21346319"/>
    <s v="3000015373210002RC"/>
    <s v="CIVIL"/>
    <d v="2023-06-29T00:00:00"/>
    <d v="2023-07-07T19:34:21"/>
    <m/>
    <d v="2023-07-07T00:00:00"/>
    <n v="917"/>
    <n v="19162"/>
    <s v="61196876"/>
    <s v="61196876"/>
    <m/>
    <m/>
    <m/>
    <m/>
    <m/>
    <m/>
    <s v="SOLRECOUP"/>
    <s v="SOLRECOUP"/>
    <s v="POARECOUP"/>
    <n v="21346319"/>
    <n v="-141.91"/>
    <m/>
    <s v="Y"/>
    <n v="1"/>
    <d v="2023-07-07T19:34:22"/>
    <s v="N"/>
    <m/>
    <m/>
    <s v="Expert Disbursement"/>
    <m/>
    <s v="N"/>
    <n v="-118.26"/>
    <n v="0"/>
    <x v="9"/>
    <s v="VALIDATED"/>
    <n v="1"/>
    <s v="01.11.80.308.2013.0000"/>
    <n v="-118.26"/>
    <s v="11"/>
    <s v="2013"/>
    <n v="24987.5"/>
    <n v="-118.26"/>
    <s v="CREDITOR"/>
    <n v="0"/>
    <n v="0"/>
    <n v="-118.26"/>
    <n v="0"/>
    <n v="0"/>
  </r>
  <r>
    <n v="61196876"/>
    <s v="N"/>
    <n v="21346320"/>
    <s v="3000015373210001RC"/>
    <s v="CIVIL"/>
    <d v="2023-06-29T00:00:00"/>
    <d v="2023-07-07T19:34:21"/>
    <m/>
    <d v="2023-07-07T00:00:00"/>
    <n v="917"/>
    <n v="19162"/>
    <s v="61196876"/>
    <s v="61196876"/>
    <m/>
    <m/>
    <m/>
    <m/>
    <m/>
    <m/>
    <s v="SOLRECOUP"/>
    <s v="SOLRECOUP"/>
    <s v="POARECOUP"/>
    <n v="21346320"/>
    <n v="-141.91"/>
    <m/>
    <s v="Y"/>
    <n v="2"/>
    <d v="2023-07-07T19:34:22"/>
    <s v="N"/>
    <m/>
    <m/>
    <s v="Expert Disbursement"/>
    <m/>
    <s v="N"/>
    <n v="0"/>
    <n v="-23.65"/>
    <x v="9"/>
    <s v="VALIDATED"/>
    <n v="1"/>
    <s v="01.11.80.308.2013.0000"/>
    <n v="-23.65"/>
    <s v="11"/>
    <s v="2013"/>
    <n v="24987.5"/>
    <n v="-23.65"/>
    <s v="CREDITOR"/>
    <n v="0"/>
    <n v="0"/>
    <n v="-23.65"/>
    <n v="0"/>
    <n v="0"/>
  </r>
  <r>
    <n v="61196876"/>
    <s v="N"/>
    <n v="21346320"/>
    <s v="3000015373210001RC"/>
    <s v="CIVIL"/>
    <d v="2023-06-29T00:00:00"/>
    <d v="2023-07-07T19:34:21"/>
    <m/>
    <d v="2023-07-07T00:00:00"/>
    <n v="917"/>
    <n v="19162"/>
    <s v="61196876"/>
    <s v="61196876"/>
    <m/>
    <m/>
    <m/>
    <m/>
    <m/>
    <m/>
    <s v="SOLRECOUP"/>
    <s v="SOLRECOUP"/>
    <s v="POARECOUP"/>
    <n v="21346320"/>
    <n v="-141.91"/>
    <m/>
    <s v="Y"/>
    <n v="1"/>
    <d v="2023-07-07T19:34:22"/>
    <s v="N"/>
    <m/>
    <m/>
    <s v="Expert Disbursement"/>
    <m/>
    <s v="N"/>
    <n v="-118.26"/>
    <n v="0"/>
    <x v="9"/>
    <s v="VALIDATED"/>
    <n v="1"/>
    <s v="01.11.80.308.2013.0000"/>
    <n v="-118.26"/>
    <s v="11"/>
    <s v="2013"/>
    <n v="24987.5"/>
    <n v="-118.26"/>
    <s v="CREDITOR"/>
    <n v="0"/>
    <n v="0"/>
    <n v="-118.26"/>
    <n v="0"/>
    <n v="0"/>
  </r>
  <r>
    <n v="59629456"/>
    <s v="N"/>
    <n v="21339950"/>
    <s v="3000014027440013RC"/>
    <s v="CIVIL"/>
    <d v="2023-06-28T00:00:00"/>
    <d v="2023-07-06T19:54:22"/>
    <m/>
    <d v="2023-07-06T00:00:00"/>
    <n v="917"/>
    <n v="19162"/>
    <s v="59629456"/>
    <s v="59629456"/>
    <m/>
    <m/>
    <m/>
    <m/>
    <m/>
    <m/>
    <s v="SOLRECOUP"/>
    <s v="SOLRECOUP"/>
    <s v="POARECOUP"/>
    <n v="21339950"/>
    <n v="-317.52"/>
    <m/>
    <s v="Y"/>
    <n v="2"/>
    <d v="2023-07-06T19:54:23"/>
    <s v="N"/>
    <m/>
    <m/>
    <s v="Non Expert Disbursement"/>
    <m/>
    <s v="N"/>
    <n v="0"/>
    <n v="-52.92"/>
    <x v="4"/>
    <s v="VALIDATED"/>
    <n v="1"/>
    <s v="01.11.80.308.2013.0000"/>
    <n v="-52.92"/>
    <s v="11"/>
    <s v="2013"/>
    <n v="24987.5"/>
    <n v="-52.92"/>
    <s v="CREDITOR"/>
    <n v="0"/>
    <n v="0"/>
    <n v="-52.92"/>
    <n v="0"/>
    <n v="0"/>
  </r>
  <r>
    <n v="60313374"/>
    <s v="N"/>
    <n v="21339951"/>
    <s v="3000014615690005RC"/>
    <s v="CIVIL"/>
    <d v="2023-06-28T00:00:00"/>
    <d v="2023-07-06T19:54:22"/>
    <m/>
    <d v="2023-07-06T00:00:00"/>
    <n v="917"/>
    <n v="19162"/>
    <s v="60313374"/>
    <s v="60313374"/>
    <m/>
    <m/>
    <m/>
    <m/>
    <m/>
    <m/>
    <s v="SOLRECOUP"/>
    <s v="SOLRECOUP"/>
    <s v="POARECOUP"/>
    <n v="21339951"/>
    <n v="-50.4"/>
    <m/>
    <s v="Y"/>
    <n v="1"/>
    <d v="2023-07-06T19:54:23"/>
    <s v="N"/>
    <m/>
    <m/>
    <s v="Expert Disbursement"/>
    <m/>
    <s v="N"/>
    <n v="-50.4"/>
    <n v="0"/>
    <x v="4"/>
    <s v="VALIDATED"/>
    <n v="1"/>
    <s v="01.11.80.307.2013.0000"/>
    <n v="-50.4"/>
    <s v="11"/>
    <s v="2013"/>
    <n v="24987.5"/>
    <n v="-50.4"/>
    <s v="CREDITOR"/>
    <n v="0"/>
    <n v="0"/>
    <n v="-50.4"/>
    <n v="0"/>
    <n v="0"/>
  </r>
  <r>
    <n v="60313374"/>
    <s v="N"/>
    <n v="21339951"/>
    <s v="3000014615690005RC"/>
    <s v="CIVIL"/>
    <d v="2023-06-28T00:00:00"/>
    <d v="2023-07-06T19:54:22"/>
    <m/>
    <d v="2023-07-06T00:00:00"/>
    <n v="917"/>
    <n v="19162"/>
    <s v="60313374"/>
    <s v="60313374"/>
    <m/>
    <m/>
    <m/>
    <m/>
    <m/>
    <m/>
    <s v="SOLRECOUP"/>
    <s v="SOLRECOUP"/>
    <s v="POARECOUP"/>
    <n v="21339951"/>
    <n v="-50.4"/>
    <m/>
    <s v="Y"/>
    <n v="2"/>
    <d v="2023-07-06T19:54:23"/>
    <s v="N"/>
    <m/>
    <m/>
    <s v="Expert Disbursement"/>
    <m/>
    <s v="N"/>
    <n v="0"/>
    <n v="0"/>
    <x v="4"/>
    <s v="VALIDATED"/>
    <n v="1"/>
    <s v="01.11.80.000.0000.0000"/>
    <n v="0"/>
    <s v="11"/>
    <s v="0000"/>
    <n v="24987.5"/>
    <n v="0"/>
    <s v="CREDITOR"/>
    <n v="0"/>
    <n v="0"/>
    <n v="0"/>
    <n v="0"/>
    <n v="0"/>
  </r>
  <r>
    <n v="59629456"/>
    <s v="N"/>
    <n v="21339936"/>
    <s v="3000014027440003RC"/>
    <s v="CIVIL"/>
    <d v="2023-06-28T00:00:00"/>
    <d v="2023-07-06T19:54:22"/>
    <m/>
    <d v="2023-07-06T00:00:00"/>
    <n v="917"/>
    <n v="19162"/>
    <s v="59629456"/>
    <s v="59629456"/>
    <m/>
    <m/>
    <m/>
    <m/>
    <m/>
    <m/>
    <s v="SOLRECOUP"/>
    <s v="SOLRECOUP"/>
    <s v="POARECOUP"/>
    <n v="21339936"/>
    <n v="-378"/>
    <m/>
    <s v="Y"/>
    <n v="1"/>
    <d v="2023-07-06T19:54:23"/>
    <s v="N"/>
    <m/>
    <m/>
    <s v="Expert Disbursement"/>
    <m/>
    <s v="N"/>
    <n v="-378"/>
    <n v="0"/>
    <x v="4"/>
    <s v="VALIDATED"/>
    <n v="1"/>
    <s v="01.11.80.308.2013.0000"/>
    <n v="-378"/>
    <s v="11"/>
    <s v="2013"/>
    <n v="24987.5"/>
    <n v="-378"/>
    <s v="CREDITOR"/>
    <n v="0"/>
    <n v="0"/>
    <n v="-378"/>
    <n v="0"/>
    <n v="0"/>
  </r>
  <r>
    <n v="59629456"/>
    <s v="N"/>
    <n v="21339936"/>
    <s v="3000014027440003RC"/>
    <s v="CIVIL"/>
    <d v="2023-06-28T00:00:00"/>
    <d v="2023-07-06T19:54:22"/>
    <m/>
    <d v="2023-07-06T00:00:00"/>
    <n v="917"/>
    <n v="19162"/>
    <s v="59629456"/>
    <s v="59629456"/>
    <m/>
    <m/>
    <m/>
    <m/>
    <m/>
    <m/>
    <s v="SOLRECOUP"/>
    <s v="SOLRECOUP"/>
    <s v="POARECOUP"/>
    <n v="21339936"/>
    <n v="-378"/>
    <m/>
    <s v="Y"/>
    <n v="2"/>
    <d v="2023-07-06T19:54:23"/>
    <s v="N"/>
    <m/>
    <m/>
    <s v="Expert Disbursement"/>
    <m/>
    <s v="N"/>
    <n v="0"/>
    <n v="0"/>
    <x v="4"/>
    <s v="VALIDATED"/>
    <n v="1"/>
    <s v="01.11.80.000.0000.0000"/>
    <n v="0"/>
    <s v="11"/>
    <s v="0000"/>
    <n v="24987.5"/>
    <n v="0"/>
    <s v="CREDITOR"/>
    <n v="0"/>
    <n v="0"/>
    <n v="0"/>
    <n v="0"/>
    <n v="0"/>
  </r>
  <r>
    <n v="59629456"/>
    <s v="N"/>
    <n v="21339937"/>
    <s v="3000014027440004RC"/>
    <s v="CIVIL"/>
    <d v="2023-06-28T00:00:00"/>
    <d v="2023-07-06T19:54:22"/>
    <m/>
    <d v="2023-07-06T00:00:00"/>
    <n v="917"/>
    <n v="19162"/>
    <s v="59629456"/>
    <s v="59629456"/>
    <m/>
    <m/>
    <m/>
    <m/>
    <m/>
    <m/>
    <s v="SOLRECOUP"/>
    <s v="SOLRECOUP"/>
    <s v="POARECOUP"/>
    <n v="21339937"/>
    <n v="-518.4"/>
    <m/>
    <s v="Y"/>
    <n v="1"/>
    <d v="2023-07-06T19:54:23"/>
    <s v="N"/>
    <m/>
    <m/>
    <s v="Non Expert Disbursement"/>
    <m/>
    <s v="N"/>
    <n v="-432"/>
    <n v="0"/>
    <x v="4"/>
    <s v="VALIDATED"/>
    <n v="1"/>
    <s v="01.11.80.308.2013.0000"/>
    <n v="-432"/>
    <s v="11"/>
    <s v="2013"/>
    <n v="24987.5"/>
    <n v="-432"/>
    <s v="CREDITOR"/>
    <n v="0"/>
    <n v="0"/>
    <n v="-432"/>
    <n v="0"/>
    <n v="0"/>
  </r>
  <r>
    <n v="59629456"/>
    <s v="N"/>
    <n v="21339937"/>
    <s v="3000014027440004RC"/>
    <s v="CIVIL"/>
    <d v="2023-06-28T00:00:00"/>
    <d v="2023-07-06T19:54:22"/>
    <m/>
    <d v="2023-07-06T00:00:00"/>
    <n v="917"/>
    <n v="19162"/>
    <s v="59629456"/>
    <s v="59629456"/>
    <m/>
    <m/>
    <m/>
    <m/>
    <m/>
    <m/>
    <s v="SOLRECOUP"/>
    <s v="SOLRECOUP"/>
    <s v="POARECOUP"/>
    <n v="21339937"/>
    <n v="-518.4"/>
    <m/>
    <s v="Y"/>
    <n v="2"/>
    <d v="2023-07-06T19:54:23"/>
    <s v="N"/>
    <m/>
    <m/>
    <s v="Non Expert Disbursement"/>
    <m/>
    <s v="N"/>
    <n v="0"/>
    <n v="-86.40000000000001"/>
    <x v="4"/>
    <s v="VALIDATED"/>
    <n v="1"/>
    <s v="01.11.80.308.2013.0000"/>
    <n v="-86.40000000000001"/>
    <s v="11"/>
    <s v="2013"/>
    <n v="24987.5"/>
    <n v="-86.40000000000001"/>
    <s v="CREDITOR"/>
    <n v="0"/>
    <n v="0"/>
    <n v="-86.40000000000001"/>
    <n v="0"/>
    <n v="0"/>
  </r>
  <r>
    <n v="59629456"/>
    <s v="N"/>
    <n v="21339938"/>
    <s v="3000014027440001RC"/>
    <s v="CIVIL"/>
    <d v="2023-06-28T00:00:00"/>
    <d v="2023-07-06T19:54:22"/>
    <m/>
    <d v="2023-07-06T00:00:00"/>
    <n v="917"/>
    <n v="19162"/>
    <s v="59629456"/>
    <s v="59629456"/>
    <m/>
    <m/>
    <m/>
    <m/>
    <m/>
    <m/>
    <s v="SOLRECOUP"/>
    <s v="SOLRECOUP"/>
    <s v="POARECOUP"/>
    <n v="21339938"/>
    <n v="-50.4"/>
    <m/>
    <s v="Y"/>
    <n v="1"/>
    <d v="2023-07-06T19:54:23"/>
    <s v="N"/>
    <m/>
    <m/>
    <s v="Non Expert Disbursement"/>
    <m/>
    <s v="N"/>
    <n v="-50.4"/>
    <n v="0"/>
    <x v="4"/>
    <s v="VALIDATED"/>
    <n v="1"/>
    <s v="01.11.80.308.2013.0000"/>
    <n v="-50.4"/>
    <s v="11"/>
    <s v="2013"/>
    <n v="24987.5"/>
    <n v="-50.4"/>
    <s v="CREDITOR"/>
    <n v="0"/>
    <n v="0"/>
    <n v="-50.4"/>
    <n v="0"/>
    <n v="0"/>
  </r>
  <r>
    <n v="59629456"/>
    <s v="N"/>
    <n v="21339938"/>
    <s v="3000014027440001RC"/>
    <s v="CIVIL"/>
    <d v="2023-06-28T00:00:00"/>
    <d v="2023-07-06T19:54:22"/>
    <m/>
    <d v="2023-07-06T00:00:00"/>
    <n v="917"/>
    <n v="19162"/>
    <s v="59629456"/>
    <s v="59629456"/>
    <m/>
    <m/>
    <m/>
    <m/>
    <m/>
    <m/>
    <s v="SOLRECOUP"/>
    <s v="SOLRECOUP"/>
    <s v="POARECOUP"/>
    <n v="21339938"/>
    <n v="-50.4"/>
    <m/>
    <s v="Y"/>
    <n v="2"/>
    <d v="2023-07-06T19:54:23"/>
    <s v="N"/>
    <m/>
    <m/>
    <s v="Non Expert Disbursement"/>
    <m/>
    <s v="N"/>
    <n v="0"/>
    <n v="0"/>
    <x v="4"/>
    <s v="VALIDATED"/>
    <n v="1"/>
    <s v="01.11.80.000.0000.0000"/>
    <n v="0"/>
    <s v="11"/>
    <s v="0000"/>
    <n v="24987.5"/>
    <n v="0"/>
    <s v="CREDITOR"/>
    <n v="0"/>
    <n v="0"/>
    <n v="0"/>
    <n v="0"/>
    <n v="0"/>
  </r>
  <r>
    <n v="59629456"/>
    <s v="N"/>
    <n v="21339939"/>
    <s v="3000014027440007RC"/>
    <s v="CIVIL"/>
    <d v="2023-06-28T00:00:00"/>
    <d v="2023-07-06T19:54:22"/>
    <m/>
    <d v="2023-07-06T00:00:00"/>
    <n v="917"/>
    <n v="19162"/>
    <s v="59629456"/>
    <s v="59629456"/>
    <m/>
    <m/>
    <m/>
    <m/>
    <m/>
    <m/>
    <s v="SOLRECOUP"/>
    <s v="SOLRECOUP"/>
    <s v="POARECOUP"/>
    <n v="21339939"/>
    <n v="-109.75"/>
    <m/>
    <s v="Y"/>
    <n v="1"/>
    <d v="2023-07-06T19:54:23"/>
    <s v="N"/>
    <m/>
    <m/>
    <s v="Non Expert Disbursement"/>
    <m/>
    <s v="N"/>
    <n v="-91.45999999999999"/>
    <n v="0"/>
    <x v="4"/>
    <s v="VALIDATED"/>
    <n v="1"/>
    <s v="01.11.80.308.2013.0000"/>
    <n v="-91.45999999999999"/>
    <s v="11"/>
    <s v="2013"/>
    <n v="24987.5"/>
    <n v="-91.45999999999999"/>
    <s v="CREDITOR"/>
    <n v="0"/>
    <n v="0"/>
    <n v="-91.45999999999999"/>
    <n v="0"/>
    <n v="0"/>
  </r>
  <r>
    <n v="59629456"/>
    <s v="N"/>
    <n v="21339939"/>
    <s v="3000014027440007RC"/>
    <s v="CIVIL"/>
    <d v="2023-06-28T00:00:00"/>
    <d v="2023-07-06T19:54:22"/>
    <m/>
    <d v="2023-07-06T00:00:00"/>
    <n v="917"/>
    <n v="19162"/>
    <s v="59629456"/>
    <s v="59629456"/>
    <m/>
    <m/>
    <m/>
    <m/>
    <m/>
    <m/>
    <s v="SOLRECOUP"/>
    <s v="SOLRECOUP"/>
    <s v="POARECOUP"/>
    <n v="21339939"/>
    <n v="-109.75"/>
    <m/>
    <s v="Y"/>
    <n v="2"/>
    <d v="2023-07-06T19:54:23"/>
    <s v="N"/>
    <m/>
    <m/>
    <s v="Non Expert Disbursement"/>
    <m/>
    <s v="N"/>
    <n v="0"/>
    <n v="-18.29"/>
    <x v="4"/>
    <s v="VALIDATED"/>
    <n v="1"/>
    <s v="01.11.80.308.2013.0000"/>
    <n v="-18.29"/>
    <s v="11"/>
    <s v="2013"/>
    <n v="24987.5"/>
    <n v="-18.29"/>
    <s v="CREDITOR"/>
    <n v="0"/>
    <n v="0"/>
    <n v="-18.29"/>
    <n v="0"/>
    <n v="0"/>
  </r>
  <r>
    <n v="59629456"/>
    <s v="N"/>
    <n v="21339940"/>
    <s v="3000014027440002RC"/>
    <s v="CIVIL"/>
    <d v="2023-06-28T00:00:00"/>
    <d v="2023-07-06T19:54:22"/>
    <m/>
    <d v="2023-07-06T00:00:00"/>
    <n v="917"/>
    <n v="19162"/>
    <s v="59629456"/>
    <s v="59629456"/>
    <m/>
    <m/>
    <m/>
    <m/>
    <m/>
    <m/>
    <s v="SOLRECOUP"/>
    <s v="SOLRECOUP"/>
    <s v="POARECOUP"/>
    <n v="21339940"/>
    <n v="-2091.07"/>
    <m/>
    <s v="Y"/>
    <n v="1"/>
    <d v="2023-07-06T19:54:23"/>
    <s v="N"/>
    <m/>
    <m/>
    <s v="Profit Cost"/>
    <m/>
    <s v="N"/>
    <n v="-1742.56"/>
    <n v="0"/>
    <x v="4"/>
    <s v="VALIDATED"/>
    <n v="1"/>
    <s v="01.11.80.308.2013.0000"/>
    <n v="-1742.56"/>
    <s v="11"/>
    <s v="2013"/>
    <n v="24987.5"/>
    <n v="-1742.56"/>
    <s v="CREDITOR"/>
    <n v="0"/>
    <n v="0"/>
    <n v="-1742.56"/>
    <n v="-435.64"/>
    <n v="0"/>
  </r>
  <r>
    <n v="59629456"/>
    <s v="N"/>
    <n v="21339940"/>
    <s v="3000014027440002RC"/>
    <s v="CIVIL"/>
    <d v="2023-06-28T00:00:00"/>
    <d v="2023-07-06T19:54:22"/>
    <m/>
    <d v="2023-07-06T00:00:00"/>
    <n v="917"/>
    <n v="19162"/>
    <s v="59629456"/>
    <s v="59629456"/>
    <m/>
    <m/>
    <m/>
    <m/>
    <m/>
    <m/>
    <s v="SOLRECOUP"/>
    <s v="SOLRECOUP"/>
    <s v="POARECOUP"/>
    <n v="21339940"/>
    <n v="-2091.07"/>
    <m/>
    <s v="Y"/>
    <n v="2"/>
    <d v="2023-07-06T19:54:23"/>
    <s v="N"/>
    <m/>
    <m/>
    <s v="Profit Cost"/>
    <m/>
    <s v="N"/>
    <n v="0"/>
    <n v="-348.51"/>
    <x v="4"/>
    <s v="VALIDATED"/>
    <n v="1"/>
    <s v="01.11.80.308.2013.0000"/>
    <n v="-348.51"/>
    <s v="11"/>
    <s v="2013"/>
    <n v="24987.5"/>
    <n v="-348.51"/>
    <s v="CREDITOR"/>
    <n v="0"/>
    <n v="0"/>
    <n v="-348.51"/>
    <n v="-87.1275"/>
    <n v="0"/>
  </r>
  <r>
    <n v="59629456"/>
    <s v="N"/>
    <n v="21339941"/>
    <s v="3000014027440005RC"/>
    <s v="CIVIL"/>
    <d v="2023-06-28T00:00:00"/>
    <d v="2023-07-06T19:54:22"/>
    <m/>
    <d v="2023-07-06T00:00:00"/>
    <n v="917"/>
    <n v="19162"/>
    <s v="59629456"/>
    <s v="59629456"/>
    <m/>
    <m/>
    <m/>
    <m/>
    <m/>
    <m/>
    <s v="SOLRECOUP"/>
    <s v="SOLRECOUP"/>
    <s v="POARECOUP"/>
    <n v="21339941"/>
    <n v="-432"/>
    <m/>
    <s v="Y"/>
    <n v="1"/>
    <d v="2023-07-06T19:54:23"/>
    <s v="N"/>
    <m/>
    <m/>
    <s v="Non Expert Disbursement"/>
    <m/>
    <s v="N"/>
    <n v="-360"/>
    <n v="0"/>
    <x v="4"/>
    <s v="VALIDATED"/>
    <n v="1"/>
    <s v="01.11.80.308.2013.0000"/>
    <n v="-360"/>
    <s v="11"/>
    <s v="2013"/>
    <n v="24987.5"/>
    <n v="-360"/>
    <s v="CREDITOR"/>
    <n v="0"/>
    <n v="0"/>
    <n v="-360"/>
    <n v="0"/>
    <n v="0"/>
  </r>
  <r>
    <n v="59629456"/>
    <s v="N"/>
    <n v="21338367"/>
    <s v="3000014027440015"/>
    <s v="CIVIL"/>
    <d v="2023-06-28T00:00:00"/>
    <d v="2023-07-06T19:21:01"/>
    <m/>
    <d v="2023-07-06T00:00:00"/>
    <n v="917"/>
    <n v="19162"/>
    <s v="59629456"/>
    <s v="59629456"/>
    <m/>
    <m/>
    <n v="22776034"/>
    <m/>
    <m/>
    <m/>
    <s v="SOLFIN"/>
    <s v="SOLFIN"/>
    <s v="CCMS"/>
    <n v="21338367"/>
    <n v="17364.08"/>
    <m/>
    <s v="N"/>
    <n v="10"/>
    <d v="2023-07-06T19:21:22"/>
    <s v="Y"/>
    <s v="Preparation - other"/>
    <s v="Care Remuneration Hourly Rates"/>
    <s v="Profit Cost"/>
    <s v="DM"/>
    <s v="Y"/>
    <n v="7.36"/>
    <n v="1.47"/>
    <x v="4"/>
    <s v="VALIDATED"/>
    <n v="1"/>
    <s v="01.11.80.308.6100.0000"/>
    <n v="7.36"/>
    <s v="11"/>
    <s v="6100"/>
    <n v="24987.5"/>
    <n v="7.36"/>
    <s v="CREDITOR"/>
    <n v="0"/>
    <n v="0"/>
    <n v="0"/>
    <n v="0"/>
    <n v="7.36"/>
  </r>
  <r>
    <n v="61546807"/>
    <s v="N"/>
    <n v="21319087"/>
    <s v="3000015661680003"/>
    <s v="CIVIL"/>
    <d v="2023-06-23T00:00:00"/>
    <d v="2023-07-03T19:01:49"/>
    <m/>
    <d v="2023-07-03T00:00:00"/>
    <n v="917"/>
    <n v="19162"/>
    <s v="61546807"/>
    <s v="61546807"/>
    <m/>
    <m/>
    <n v="22754138"/>
    <m/>
    <m/>
    <m/>
    <s v="SOLFIN"/>
    <s v="SOLFIN"/>
    <s v="CCMS"/>
    <n v="21319087"/>
    <n v="3003.37"/>
    <m/>
    <s v="N"/>
    <n v="48"/>
    <d v="2023-07-03T19:02:10"/>
    <s v="Y"/>
    <s v="Preparation - other"/>
    <s v="Prescribed Hourly Rates"/>
    <s v="Profit Cost"/>
    <s v="PH"/>
    <s v="Y"/>
    <n v="13.73"/>
    <n v="2.75"/>
    <x v="3"/>
    <s v="VALIDATED"/>
    <n v="1"/>
    <s v="01.11.80.307.6100.0000"/>
    <n v="13.73"/>
    <s v="11"/>
    <s v="6100"/>
    <n v="24987.5"/>
    <n v="13.73"/>
    <s v="CREDITOR"/>
    <n v="0"/>
    <n v="0"/>
    <n v="0"/>
    <n v="0"/>
    <n v="13.73"/>
  </r>
  <r>
    <n v="61546807"/>
    <s v="N"/>
    <n v="21319087"/>
    <s v="3000015661680003"/>
    <s v="CIVIL"/>
    <d v="2023-06-23T00:00:00"/>
    <d v="2023-07-03T19:01:49"/>
    <m/>
    <d v="2023-07-03T00:00:00"/>
    <n v="917"/>
    <n v="19162"/>
    <s v="61546807"/>
    <s v="61546807"/>
    <m/>
    <m/>
    <n v="22754138"/>
    <m/>
    <m/>
    <m/>
    <s v="SOLFIN"/>
    <s v="SOLFIN"/>
    <s v="CCMS"/>
    <n v="21319087"/>
    <n v="3003.37"/>
    <m/>
    <s v="N"/>
    <n v="57"/>
    <d v="2023-07-03T19:02:10"/>
    <s v="Y"/>
    <s v="Attendance upon client"/>
    <s v="Prescribed Hourly Rates"/>
    <s v="Profit Cost"/>
    <s v="PH"/>
    <s v="Y"/>
    <n v="5.49"/>
    <n v="1.1"/>
    <x v="3"/>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64"/>
    <d v="2023-07-03T19:02:10"/>
    <s v="N"/>
    <s v="Preparation - other"/>
    <s v="Prescribed Hourly Rates"/>
    <s v="Profit Cost"/>
    <s v="PH"/>
    <s v="N"/>
    <n v="0"/>
    <n v="0"/>
    <x v="3"/>
    <s v="VALIDATED"/>
    <n v="1"/>
    <s v="01.11.80.307.6100.0000"/>
    <n v="0"/>
    <s v="11"/>
    <s v="6100"/>
    <n v="24987.5"/>
    <n v="0"/>
    <s v="CREDITOR"/>
    <n v="0"/>
    <n v="0"/>
    <n v="0"/>
    <n v="0"/>
    <n v="0"/>
  </r>
  <r>
    <n v="61546807"/>
    <s v="N"/>
    <n v="21319087"/>
    <s v="3000015661680003"/>
    <s v="CIVIL"/>
    <d v="2023-06-23T00:00:00"/>
    <d v="2023-07-03T19:01:49"/>
    <m/>
    <d v="2023-07-03T00:00:00"/>
    <n v="917"/>
    <n v="19162"/>
    <s v="61546807"/>
    <s v="61546807"/>
    <m/>
    <m/>
    <n v="22754138"/>
    <m/>
    <m/>
    <m/>
    <s v="SOLFIN"/>
    <s v="SOLFIN"/>
    <s v="CCMS"/>
    <n v="21319087"/>
    <n v="3003.37"/>
    <m/>
    <s v="N"/>
    <n v="3"/>
    <d v="2023-07-03T19:02:10"/>
    <s v="Y"/>
    <s v="Preparation - other"/>
    <s v="Prescribed Hourly Rates"/>
    <s v="Profit Cost"/>
    <s v="PH"/>
    <s v="Y"/>
    <n v="16.47"/>
    <n v="3.29"/>
    <x v="3"/>
    <s v="VALIDATED"/>
    <n v="1"/>
    <s v="01.11.80.307.6100.0000"/>
    <n v="16.47"/>
    <s v="11"/>
    <s v="6100"/>
    <n v="24987.5"/>
    <n v="16.47"/>
    <s v="CREDITOR"/>
    <n v="0"/>
    <n v="0"/>
    <n v="0"/>
    <n v="0"/>
    <n v="16.47"/>
  </r>
  <r>
    <n v="61546807"/>
    <s v="N"/>
    <n v="21319087"/>
    <s v="3000015661680003"/>
    <s v="CIVIL"/>
    <d v="2023-06-23T00:00:00"/>
    <d v="2023-07-03T19:01:49"/>
    <m/>
    <d v="2023-07-03T00:00:00"/>
    <n v="917"/>
    <n v="19162"/>
    <s v="61546807"/>
    <s v="61546807"/>
    <m/>
    <m/>
    <n v="22754138"/>
    <m/>
    <m/>
    <m/>
    <s v="SOLFIN"/>
    <s v="SOLFIN"/>
    <s v="CCMS"/>
    <n v="21319087"/>
    <n v="3003.37"/>
    <m/>
    <s v="N"/>
    <n v="25"/>
    <d v="2023-07-03T19:02:10"/>
    <s v="Y"/>
    <s v="Preparation - drafting statement"/>
    <s v="Prescribed Hourly Rates"/>
    <s v="Profit Cost"/>
    <s v="PH"/>
    <s v="Y"/>
    <n v="34.31"/>
    <n v="6.86"/>
    <x v="3"/>
    <s v="VALIDATED"/>
    <n v="1"/>
    <s v="01.11.80.307.6100.0000"/>
    <n v="34.31"/>
    <s v="11"/>
    <s v="6100"/>
    <n v="24987.5"/>
    <n v="34.31"/>
    <s v="CREDITOR"/>
    <n v="0"/>
    <n v="0"/>
    <n v="0"/>
    <n v="0"/>
    <n v="34.31"/>
  </r>
  <r>
    <n v="61546807"/>
    <s v="N"/>
    <n v="21319087"/>
    <s v="3000015661680003"/>
    <s v="CIVIL"/>
    <d v="2023-06-23T00:00:00"/>
    <d v="2023-07-03T19:01:49"/>
    <m/>
    <d v="2023-07-03T00:00:00"/>
    <n v="917"/>
    <n v="19162"/>
    <s v="61546807"/>
    <s v="61546807"/>
    <m/>
    <m/>
    <n v="22754138"/>
    <m/>
    <m/>
    <m/>
    <s v="SOLFIN"/>
    <s v="SOLFIN"/>
    <s v="CCMS"/>
    <n v="21319087"/>
    <n v="3003.37"/>
    <m/>
    <s v="N"/>
    <n v="26"/>
    <d v="2023-07-03T19:02:10"/>
    <s v="Y"/>
    <s v="Preparation - other"/>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18"/>
    <d v="2023-07-03T19:02:10"/>
    <s v="Y"/>
    <s v="Attendance upon client"/>
    <s v="Prescribed Hourly Rates"/>
    <s v="Profit Cost"/>
    <s v="PH"/>
    <s v="Y"/>
    <n v="6.86"/>
    <n v="1.37"/>
    <x v="3"/>
    <s v="VALIDATED"/>
    <n v="1"/>
    <s v="01.11.80.307.6100.0000"/>
    <n v="6.86"/>
    <s v="11"/>
    <s v="6100"/>
    <n v="24987.5"/>
    <n v="6.86"/>
    <s v="CREDITOR"/>
    <n v="0"/>
    <n v="0"/>
    <n v="0"/>
    <n v="0"/>
    <n v="6.86"/>
  </r>
  <r>
    <n v="59629456"/>
    <s v="N"/>
    <n v="21338367"/>
    <s v="3000014027440015"/>
    <s v="CIVIL"/>
    <d v="2023-06-28T00:00:00"/>
    <d v="2023-07-06T19:21:01"/>
    <m/>
    <d v="2023-07-06T00:00:00"/>
    <n v="917"/>
    <n v="19162"/>
    <s v="59629456"/>
    <s v="59629456"/>
    <m/>
    <m/>
    <n v="22776034"/>
    <m/>
    <m/>
    <m/>
    <s v="SOLFIN"/>
    <s v="SOLFIN"/>
    <s v="CCMS"/>
    <n v="21338367"/>
    <n v="17364.08"/>
    <m/>
    <s v="N"/>
    <n v="37"/>
    <d v="2023-07-06T19:21:22"/>
    <s v="Y"/>
    <s v="Attendance upon client"/>
    <s v="Care Remuneration Hourly Rates"/>
    <s v="Profit Cost"/>
    <s v="ZM"/>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49"/>
    <d v="2023-07-06T19:21:22"/>
    <s v="Y"/>
    <s v="Preparation - other"/>
    <s v="Care Remuneration Hourly Rates"/>
    <s v="Profit Cost"/>
    <s v="ZM"/>
    <s v="Y"/>
    <n v="36.81"/>
    <n v="7.36"/>
    <x v="4"/>
    <s v="VALIDATED"/>
    <n v="1"/>
    <s v="01.11.80.308.6100.0000"/>
    <n v="36.81"/>
    <s v="11"/>
    <s v="6100"/>
    <n v="24987.5"/>
    <n v="36.81"/>
    <s v="CREDITOR"/>
    <n v="0"/>
    <n v="0"/>
    <n v="0"/>
    <n v="0"/>
    <n v="36.81"/>
  </r>
  <r>
    <n v="60313374"/>
    <s v="N"/>
    <n v="21338325"/>
    <s v="3000014615690008"/>
    <s v="CIVIL"/>
    <d v="2023-06-28T00:00:00"/>
    <d v="2023-07-06T19:21:01"/>
    <m/>
    <d v="2023-07-06T00:00:00"/>
    <n v="917"/>
    <n v="19162"/>
    <s v="60313374"/>
    <s v="60313374"/>
    <m/>
    <m/>
    <n v="22782652"/>
    <m/>
    <m/>
    <m/>
    <s v="SOLFIN"/>
    <s v="SOLFIN"/>
    <s v="CCMS"/>
    <n v="21338325"/>
    <n v="6871.22"/>
    <m/>
    <s v="N"/>
    <n v="32"/>
    <d v="2023-07-06T19:21:19"/>
    <s v="Y"/>
    <s v="Preparation - other"/>
    <s v="Prescribed Hourly Rates"/>
    <s v="Profit Cost"/>
    <s v="PH"/>
    <s v="Y"/>
    <n v="109.8"/>
    <n v="21.96"/>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18"/>
    <d v="2023-07-06T19:21:22"/>
    <s v="Y"/>
    <s v="Preparation - other"/>
    <s v="Care Remuneration Hourly Rates"/>
    <s v="Profit Cost"/>
    <s v="ZM"/>
    <s v="Y"/>
    <n v="29.44"/>
    <n v="5.89"/>
    <x v="4"/>
    <s v="VALIDATED"/>
    <n v="1"/>
    <s v="01.11.80.308.6100.0000"/>
    <n v="29.44"/>
    <s v="11"/>
    <s v="6100"/>
    <n v="24987.5"/>
    <n v="29.44"/>
    <s v="CREDITOR"/>
    <n v="0"/>
    <n v="0"/>
    <n v="0"/>
    <n v="0"/>
    <n v="29.44"/>
  </r>
  <r>
    <n v="59629456"/>
    <s v="N"/>
    <n v="21338367"/>
    <s v="3000014027440015"/>
    <s v="CIVIL"/>
    <d v="2023-06-28T00:00:00"/>
    <d v="2023-07-06T19:21:01"/>
    <m/>
    <d v="2023-07-06T00:00:00"/>
    <n v="917"/>
    <n v="19162"/>
    <s v="59629456"/>
    <s v="59629456"/>
    <m/>
    <m/>
    <n v="22776034"/>
    <m/>
    <m/>
    <m/>
    <s v="SOLFIN"/>
    <s v="SOLFIN"/>
    <s v="CCMS"/>
    <n v="21338367"/>
    <n v="17364.08"/>
    <m/>
    <s v="N"/>
    <n v="19"/>
    <d v="2023-07-06T19:21:22"/>
    <s v="Y"/>
    <s v="Preparation - other"/>
    <s v="Care Remuneration Hourly Rates"/>
    <s v="Profit Cost"/>
    <s v="ZM"/>
    <s v="Y"/>
    <n v="22.08"/>
    <n v="4.42"/>
    <x v="4"/>
    <s v="VALIDATED"/>
    <n v="1"/>
    <s v="01.11.80.308.6100.0000"/>
    <n v="22.08"/>
    <s v="11"/>
    <s v="6100"/>
    <n v="24987.5"/>
    <n v="22.08"/>
    <s v="CREDITOR"/>
    <n v="0"/>
    <n v="0"/>
    <n v="0"/>
    <n v="0"/>
    <n v="22.08"/>
  </r>
  <r>
    <n v="60969011"/>
    <s v="N"/>
    <n v="21328040"/>
    <s v="3000015171370002"/>
    <s v="CIVIL"/>
    <d v="2023-06-27T00:00:00"/>
    <d v="2023-07-04T19:00:44"/>
    <m/>
    <d v="2023-07-04T00:00:00"/>
    <n v="917"/>
    <n v="19162"/>
    <s v="60969011"/>
    <s v="60969011"/>
    <m/>
    <m/>
    <n v="22772306"/>
    <m/>
    <m/>
    <m/>
    <s v="SOLFIN"/>
    <s v="SOLFIN"/>
    <s v="CCMS"/>
    <n v="21328040"/>
    <n v="2128.61"/>
    <m/>
    <s v="N"/>
    <n v="17"/>
    <d v="2023-07-04T19:01:02"/>
    <s v="Y"/>
    <s v="Attendance upon client"/>
    <s v="Prescribed Hourly Rates"/>
    <s v="Profit Cost"/>
    <s v="DM"/>
    <s v="Y"/>
    <n v="16.47"/>
    <n v="3.29"/>
    <x v="1"/>
    <s v="VALIDATED"/>
    <n v="1"/>
    <s v="01.11.80.307.6100.0000"/>
    <n v="16.47"/>
    <s v="11"/>
    <s v="6100"/>
    <n v="24987.5"/>
    <n v="16.47"/>
    <s v="CREDITOR"/>
    <n v="0"/>
    <n v="0"/>
    <n v="0"/>
    <n v="0"/>
    <n v="16.47"/>
  </r>
  <r>
    <n v="60969011"/>
    <s v="N"/>
    <n v="21328040"/>
    <s v="3000015171370002"/>
    <s v="CIVIL"/>
    <d v="2023-06-27T00:00:00"/>
    <d v="2023-07-04T19:00:44"/>
    <m/>
    <d v="2023-07-04T00:00:00"/>
    <n v="917"/>
    <n v="19162"/>
    <s v="60969011"/>
    <s v="60969011"/>
    <m/>
    <m/>
    <n v="22772306"/>
    <m/>
    <m/>
    <m/>
    <s v="SOLFIN"/>
    <s v="SOLFIN"/>
    <s v="CCMS"/>
    <n v="21328040"/>
    <n v="2128.61"/>
    <m/>
    <s v="N"/>
    <n v="19"/>
    <d v="2023-07-04T19:01:02"/>
    <s v="Y"/>
    <s v="Preparation - other"/>
    <s v="Prescribed Hourly Rates"/>
    <s v="Profit Cost"/>
    <s v="DM"/>
    <s v="Y"/>
    <n v="5.49"/>
    <n v="1.1"/>
    <x v="1"/>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71"/>
    <d v="2023-07-03T19:02:10"/>
    <s v="Y"/>
    <s v="Preparation - other"/>
    <s v="Prescribed Hourly Rates"/>
    <s v="Profit Cost"/>
    <s v="PH"/>
    <s v="Y"/>
    <n v="21.96"/>
    <n v="4.39"/>
    <x v="3"/>
    <s v="VALIDATED"/>
    <n v="1"/>
    <s v="01.11.80.307.6100.0000"/>
    <n v="21.96"/>
    <s v="11"/>
    <s v="6100"/>
    <n v="24987.5"/>
    <n v="21.96"/>
    <s v="CREDITOR"/>
    <n v="0"/>
    <n v="0"/>
    <n v="0"/>
    <n v="0"/>
    <n v="21.96"/>
  </r>
  <r>
    <n v="59629456"/>
    <s v="N"/>
    <n v="21338367"/>
    <s v="3000014027440015"/>
    <s v="CIVIL"/>
    <d v="2023-06-28T00:00:00"/>
    <d v="2023-07-06T19:21:01"/>
    <m/>
    <d v="2023-07-06T00:00:00"/>
    <n v="917"/>
    <n v="19162"/>
    <s v="59629456"/>
    <s v="59629456"/>
    <m/>
    <m/>
    <n v="22776034"/>
    <m/>
    <m/>
    <m/>
    <s v="SOLFIN"/>
    <s v="SOLFIN"/>
    <s v="CCMS"/>
    <n v="21338367"/>
    <n v="17364.08"/>
    <m/>
    <s v="N"/>
    <n v="30"/>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66"/>
    <d v="2023-07-06T19:21:22"/>
    <s v="Y"/>
    <s v="Preparation - drafting statement"/>
    <s v="Care Remuneration Hourly Rates"/>
    <s v="Profit Cost"/>
    <s v="ZM"/>
    <s v="Y"/>
    <n v="323.83"/>
    <n v="64.76000000000001"/>
    <x v="4"/>
    <s v="VALIDATED"/>
    <n v="1"/>
    <s v="01.11.80.308.6100.0000"/>
    <n v="323.83"/>
    <s v="11"/>
    <s v="6100"/>
    <n v="24987.5"/>
    <n v="323.83"/>
    <s v="CREDITOR"/>
    <n v="0"/>
    <n v="0"/>
    <n v="0"/>
    <n v="0"/>
    <n v="323.83"/>
  </r>
  <r>
    <n v="59629456"/>
    <s v="N"/>
    <n v="21338367"/>
    <s v="3000014027440015"/>
    <s v="CIVIL"/>
    <d v="2023-06-28T00:00:00"/>
    <d v="2023-07-06T19:21:01"/>
    <m/>
    <d v="2023-07-06T00:00:00"/>
    <n v="917"/>
    <n v="19162"/>
    <s v="59629456"/>
    <s v="59629456"/>
    <m/>
    <m/>
    <n v="22776034"/>
    <m/>
    <m/>
    <m/>
    <s v="SOLFIN"/>
    <s v="SOLFIN"/>
    <s v="CCMS"/>
    <n v="21338367"/>
    <n v="17364.08"/>
    <m/>
    <s v="N"/>
    <n v="101"/>
    <d v="2023-07-06T19:21:22"/>
    <s v="Y"/>
    <s v="Preparation - other"/>
    <s v="Care Remuneration Hourly Rates"/>
    <s v="Profit Cost"/>
    <s v="DHH"/>
    <s v="Y"/>
    <n v="66.23"/>
    <n v="13.25"/>
    <x v="4"/>
    <s v="VALIDATED"/>
    <n v="1"/>
    <s v="01.11.80.308.6100.0000"/>
    <n v="66.23"/>
    <s v="11"/>
    <s v="6100"/>
    <n v="24987.5"/>
    <n v="66.23"/>
    <s v="CREDITOR"/>
    <n v="0"/>
    <n v="0"/>
    <n v="0"/>
    <n v="0"/>
    <n v="66.23"/>
  </r>
  <r>
    <n v="60313374"/>
    <s v="N"/>
    <n v="21338325"/>
    <s v="3000014615690008"/>
    <s v="CIVIL"/>
    <d v="2023-06-28T00:00:00"/>
    <d v="2023-07-06T19:21:01"/>
    <m/>
    <d v="2023-07-06T00:00:00"/>
    <n v="917"/>
    <n v="19162"/>
    <s v="60313374"/>
    <s v="60313374"/>
    <m/>
    <m/>
    <n v="22782652"/>
    <m/>
    <m/>
    <m/>
    <s v="SOLFIN"/>
    <s v="SOLFIN"/>
    <s v="CCMS"/>
    <n v="21338325"/>
    <n v="6871.22"/>
    <m/>
    <s v="N"/>
    <n v="34"/>
    <d v="2023-07-06T19:21:19"/>
    <s v="Y"/>
    <s v="Preparation - other"/>
    <s v="Prescribed Hourly Rates"/>
    <s v="Profit Cost"/>
    <s v="PH"/>
    <s v="Y"/>
    <n v="10.98"/>
    <n v="2.2"/>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151"/>
    <d v="2023-07-06T19:21:22"/>
    <s v="Y"/>
    <s v="Preparation - other"/>
    <s v="Care Remuneration Hourly Rates"/>
    <s v="Profit Cost"/>
    <s v="DHH"/>
    <s v="Y"/>
    <n v="7.36"/>
    <n v="1.47"/>
    <x v="4"/>
    <s v="VALIDATED"/>
    <n v="1"/>
    <s v="01.11.80.308.6100.0000"/>
    <n v="7.36"/>
    <s v="11"/>
    <s v="6100"/>
    <n v="24987.5"/>
    <n v="7.36"/>
    <s v="CREDITOR"/>
    <n v="0"/>
    <n v="0"/>
    <n v="0"/>
    <n v="0"/>
    <n v="7.36"/>
  </r>
  <r>
    <n v="60969011"/>
    <s v="N"/>
    <n v="21328040"/>
    <s v="3000015171370002"/>
    <s v="CIVIL"/>
    <d v="2023-06-27T00:00:00"/>
    <d v="2023-07-04T19:00:44"/>
    <m/>
    <d v="2023-07-04T00:00:00"/>
    <n v="917"/>
    <n v="19162"/>
    <s v="60969011"/>
    <s v="60969011"/>
    <m/>
    <m/>
    <n v="22772306"/>
    <m/>
    <m/>
    <m/>
    <s v="SOLFIN"/>
    <s v="SOLFIN"/>
    <s v="CCMS"/>
    <n v="21328040"/>
    <n v="2128.61"/>
    <m/>
    <s v="N"/>
    <n v="31"/>
    <d v="2023-07-04T19:01:02"/>
    <s v="Y"/>
    <s v="Routine Telephone Call"/>
    <s v="Prescribed Hourly Rates"/>
    <s v="Profit Cost"/>
    <s v="DM"/>
    <s v="Y"/>
    <n v="48.6"/>
    <n v="9.720000000000001"/>
    <x v="1"/>
    <s v="VALIDATED"/>
    <n v="1"/>
    <s v="01.11.80.307.6100.0000"/>
    <n v="48.6"/>
    <s v="11"/>
    <s v="6100"/>
    <n v="24987.5"/>
    <n v="48.6"/>
    <s v="CREDITOR"/>
    <n v="0"/>
    <n v="0"/>
    <n v="0"/>
    <n v="0"/>
    <n v="48.6"/>
  </r>
  <r>
    <n v="60969011"/>
    <s v="N"/>
    <n v="21328040"/>
    <s v="3000015171370002"/>
    <s v="CIVIL"/>
    <d v="2023-06-27T00:00:00"/>
    <d v="2023-07-04T19:00:44"/>
    <m/>
    <d v="2023-07-04T00:00:00"/>
    <n v="917"/>
    <n v="19162"/>
    <s v="60969011"/>
    <s v="60969011"/>
    <m/>
    <m/>
    <n v="22772306"/>
    <m/>
    <m/>
    <m/>
    <s v="SOLFIN"/>
    <s v="SOLFIN"/>
    <s v="CCMS"/>
    <n v="21328040"/>
    <n v="2128.61"/>
    <m/>
    <s v="N"/>
    <n v="15"/>
    <d v="2023-07-04T19:01:02"/>
    <s v="Y"/>
    <s v="Preparation - other"/>
    <s v="Prescribed Hourly Rates"/>
    <s v="Profit Cost"/>
    <s v="DM"/>
    <s v="Y"/>
    <n v="16.47"/>
    <n v="3.29"/>
    <x v="1"/>
    <s v="VALIDATED"/>
    <n v="1"/>
    <s v="01.11.80.307.6100.0000"/>
    <n v="16.47"/>
    <s v="11"/>
    <s v="6100"/>
    <n v="24987.5"/>
    <n v="16.47"/>
    <s v="CREDITOR"/>
    <n v="0"/>
    <n v="0"/>
    <n v="0"/>
    <n v="0"/>
    <n v="16.47"/>
  </r>
  <r>
    <n v="61546807"/>
    <s v="N"/>
    <n v="21319087"/>
    <s v="3000015661680003"/>
    <s v="CIVIL"/>
    <d v="2023-06-23T00:00:00"/>
    <d v="2023-07-03T19:01:49"/>
    <m/>
    <d v="2023-07-03T00:00:00"/>
    <n v="917"/>
    <n v="19162"/>
    <s v="61546807"/>
    <s v="61546807"/>
    <m/>
    <m/>
    <n v="22754138"/>
    <m/>
    <m/>
    <m/>
    <s v="SOLFIN"/>
    <s v="SOLFIN"/>
    <s v="CCMS"/>
    <n v="21319087"/>
    <n v="3003.37"/>
    <m/>
    <s v="N"/>
    <n v="33"/>
    <d v="2023-07-03T19:02:10"/>
    <s v="Y"/>
    <s v="Preparation - other"/>
    <s v="Prescribed Hourly Rates"/>
    <s v="Profit Cost"/>
    <s v="PH"/>
    <s v="Y"/>
    <n v="20.59"/>
    <n v="4.12"/>
    <x v="3"/>
    <s v="VALIDATED"/>
    <n v="1"/>
    <s v="01.11.80.307.6100.0000"/>
    <n v="20.59"/>
    <s v="11"/>
    <s v="6100"/>
    <n v="24987.5"/>
    <n v="20.59"/>
    <s v="CREDITOR"/>
    <n v="0"/>
    <n v="0"/>
    <n v="0"/>
    <n v="0"/>
    <n v="20.59"/>
  </r>
  <r>
    <n v="61546807"/>
    <s v="N"/>
    <n v="21319087"/>
    <s v="3000015661680003"/>
    <s v="CIVIL"/>
    <d v="2023-06-23T00:00:00"/>
    <d v="2023-07-03T19:01:49"/>
    <m/>
    <d v="2023-07-03T00:00:00"/>
    <n v="917"/>
    <n v="19162"/>
    <s v="61546807"/>
    <s v="61546807"/>
    <m/>
    <m/>
    <n v="22754138"/>
    <m/>
    <m/>
    <m/>
    <s v="SOLFIN"/>
    <s v="SOLFIN"/>
    <s v="CCMS"/>
    <n v="21319087"/>
    <n v="3003.37"/>
    <m/>
    <s v="N"/>
    <n v="6"/>
    <d v="2023-07-03T19:02:10"/>
    <s v="Y"/>
    <s v="Preparation - other"/>
    <s v="Prescribed Hourly Rates"/>
    <s v="Profit Cost"/>
    <s v="PH"/>
    <s v="Y"/>
    <n v="144.11"/>
    <n v="28.83"/>
    <x v="3"/>
    <s v="VALIDATED"/>
    <n v="1"/>
    <s v="01.11.80.307.6100.0000"/>
    <n v="144.11"/>
    <s v="11"/>
    <s v="6100"/>
    <n v="24987.5"/>
    <n v="144.11"/>
    <s v="CREDITOR"/>
    <n v="0"/>
    <n v="0"/>
    <n v="0"/>
    <n v="0"/>
    <n v="144.11"/>
  </r>
  <r>
    <n v="61087371"/>
    <s v="N"/>
    <n v="21349665"/>
    <s v="3000015258150003"/>
    <s v="CIVIL"/>
    <d v="2023-06-28T00:00:00"/>
    <d v="2023-07-10T19:01:40"/>
    <m/>
    <d v="2023-07-10T00:00:00"/>
    <n v="917"/>
    <n v="19162"/>
    <s v="61087371"/>
    <s v="61087371"/>
    <m/>
    <m/>
    <n v="22783936"/>
    <m/>
    <m/>
    <m/>
    <s v="SOLFIN"/>
    <s v="SOLFIN"/>
    <s v="CCMS"/>
    <n v="21349665"/>
    <n v="1736"/>
    <m/>
    <s v="N"/>
    <n v="37"/>
    <d v="2023-07-10T19:01:55"/>
    <s v="Y"/>
    <s v="Preparation - drafting attendance n"/>
    <s v="Prescribed Hourly Rates"/>
    <s v="Profit Cost"/>
    <s v="PH"/>
    <s v="Y"/>
    <n v="6.59"/>
    <n v="1.32"/>
    <x v="2"/>
    <s v="VALIDATED"/>
    <n v="1"/>
    <s v="01.11.80.307.6100.0000"/>
    <n v="6.59"/>
    <s v="11"/>
    <s v="6100"/>
    <n v="24987.5"/>
    <n v="6.59"/>
    <s v="CREDITOR"/>
    <n v="0"/>
    <n v="0"/>
    <n v="0"/>
    <n v="0"/>
    <n v="6.59"/>
  </r>
  <r>
    <n v="60313374"/>
    <s v="N"/>
    <n v="21338325"/>
    <s v="3000014615690008"/>
    <s v="CIVIL"/>
    <d v="2023-06-28T00:00:00"/>
    <d v="2023-07-06T19:21:01"/>
    <m/>
    <d v="2023-07-06T00:00:00"/>
    <n v="917"/>
    <n v="19162"/>
    <s v="60313374"/>
    <s v="60313374"/>
    <m/>
    <m/>
    <n v="22782652"/>
    <m/>
    <m/>
    <m/>
    <s v="SOLFIN"/>
    <s v="SOLFIN"/>
    <s v="CCMS"/>
    <n v="21338325"/>
    <n v="6871.22"/>
    <m/>
    <s v="N"/>
    <n v="31"/>
    <d v="2023-07-06T19:21:19"/>
    <s v="Y"/>
    <s v="Preparation - drafting statement"/>
    <s v="Prescribed Hourly Rates"/>
    <s v="Profit Cost"/>
    <s v="PH"/>
    <s v="Y"/>
    <n v="109.8"/>
    <n v="21.96"/>
    <x v="4"/>
    <s v="VALIDATED"/>
    <n v="1"/>
    <s v="01.11.80.307.6100.0000"/>
    <n v="109.8"/>
    <s v="11"/>
    <s v="6100"/>
    <n v="24987.5"/>
    <n v="109.8"/>
    <s v="CREDITOR"/>
    <n v="0"/>
    <n v="0"/>
    <n v="0"/>
    <n v="0"/>
    <n v="109.8"/>
  </r>
  <r>
    <n v="60313374"/>
    <s v="N"/>
    <n v="21338325"/>
    <s v="3000014615690008"/>
    <s v="CIVIL"/>
    <d v="2023-06-28T00:00:00"/>
    <d v="2023-07-06T19:21:01"/>
    <m/>
    <d v="2023-07-06T00:00:00"/>
    <n v="917"/>
    <n v="19162"/>
    <s v="60313374"/>
    <s v="60313374"/>
    <m/>
    <m/>
    <n v="22782652"/>
    <m/>
    <m/>
    <m/>
    <s v="SOLFIN"/>
    <s v="SOLFIN"/>
    <s v="CCMS"/>
    <n v="21338325"/>
    <n v="6871.22"/>
    <m/>
    <s v="N"/>
    <n v="97"/>
    <d v="2023-07-06T19:21:19"/>
    <s v="Y"/>
    <s v="Preparation - other"/>
    <s v="Prescribed Hourly Rates"/>
    <s v="Profit Cost"/>
    <s v="PH"/>
    <s v="Y"/>
    <n v="21.96"/>
    <n v="4.39"/>
    <x v="4"/>
    <s v="VALIDATED"/>
    <n v="1"/>
    <s v="01.11.80.307.6100.0000"/>
    <n v="21.96"/>
    <s v="11"/>
    <s v="6100"/>
    <n v="24987.5"/>
    <n v="21.96"/>
    <s v="CREDITOR"/>
    <n v="0"/>
    <n v="0"/>
    <n v="0"/>
    <n v="0"/>
    <n v="21.96"/>
  </r>
  <r>
    <n v="60969011"/>
    <s v="N"/>
    <n v="21328040"/>
    <s v="3000015171370002"/>
    <s v="CIVIL"/>
    <d v="2023-06-27T00:00:00"/>
    <d v="2023-07-04T19:00:44"/>
    <m/>
    <d v="2023-07-04T00:00:00"/>
    <n v="917"/>
    <n v="19162"/>
    <s v="60969011"/>
    <s v="60969011"/>
    <m/>
    <m/>
    <n v="22772306"/>
    <m/>
    <m/>
    <m/>
    <s v="SOLFIN"/>
    <s v="SOLFIN"/>
    <s v="CCMS"/>
    <n v="21328040"/>
    <n v="2128.61"/>
    <m/>
    <s v="N"/>
    <n v="27"/>
    <d v="2023-07-04T19:01:02"/>
    <s v="Y"/>
    <s v="Preparation - other"/>
    <s v="Prescribed Hourly Rates"/>
    <s v="Profit Cost"/>
    <s v="DM"/>
    <s v="Y"/>
    <n v="27.45"/>
    <n v="5.49"/>
    <x v="1"/>
    <s v="VALIDATED"/>
    <n v="1"/>
    <s v="01.11.80.307.6100.0000"/>
    <n v="27.45"/>
    <s v="11"/>
    <s v="6100"/>
    <n v="24987.5"/>
    <n v="27.45"/>
    <s v="CREDITOR"/>
    <n v="0"/>
    <n v="0"/>
    <n v="0"/>
    <n v="0"/>
    <n v="27.45"/>
  </r>
  <r>
    <n v="61546807"/>
    <s v="N"/>
    <n v="21319087"/>
    <s v="3000015661680003"/>
    <s v="CIVIL"/>
    <d v="2023-06-23T00:00:00"/>
    <d v="2023-07-03T19:01:49"/>
    <m/>
    <d v="2023-07-03T00:00:00"/>
    <n v="917"/>
    <n v="19162"/>
    <s v="61546807"/>
    <s v="61546807"/>
    <m/>
    <m/>
    <n v="22754138"/>
    <m/>
    <m/>
    <m/>
    <s v="SOLFIN"/>
    <s v="SOLFIN"/>
    <s v="CCMS"/>
    <n v="21319087"/>
    <n v="3003.37"/>
    <m/>
    <s v="N"/>
    <n v="36"/>
    <d v="2023-07-03T19:02:10"/>
    <s v="Y"/>
    <s v="Preparation - other"/>
    <s v="Prescribed Hourly Rates"/>
    <s v="Profit Cost"/>
    <s v="PH"/>
    <s v="Y"/>
    <n v="13.73"/>
    <n v="2.75"/>
    <x v="3"/>
    <s v="VALIDATED"/>
    <n v="1"/>
    <s v="01.11.80.307.6100.0000"/>
    <n v="13.73"/>
    <s v="11"/>
    <s v="6100"/>
    <n v="24987.5"/>
    <n v="13.73"/>
    <s v="CREDITOR"/>
    <n v="0"/>
    <n v="0"/>
    <n v="0"/>
    <n v="0"/>
    <n v="13.73"/>
  </r>
  <r>
    <n v="61087371"/>
    <s v="N"/>
    <n v="21349665"/>
    <s v="3000015258150003"/>
    <s v="CIVIL"/>
    <d v="2023-06-28T00:00:00"/>
    <d v="2023-07-10T19:01:40"/>
    <m/>
    <d v="2023-07-10T00:00:00"/>
    <n v="917"/>
    <n v="19162"/>
    <s v="61087371"/>
    <s v="61087371"/>
    <m/>
    <m/>
    <n v="22783936"/>
    <m/>
    <m/>
    <m/>
    <s v="SOLFIN"/>
    <s v="SOLFIN"/>
    <s v="CCMS"/>
    <n v="21349665"/>
    <n v="1736"/>
    <m/>
    <s v="N"/>
    <n v="43"/>
    <d v="2023-07-10T19:01:55"/>
    <s v="Y"/>
    <s v="Preparation - other"/>
    <s v="Prescribed Hourly Rates"/>
    <s v="Profit Cost"/>
    <s v="PH"/>
    <s v="Y"/>
    <n v="5.49"/>
    <n v="1.1"/>
    <x v="2"/>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41"/>
    <d v="2023-07-06T19:21:22"/>
    <s v="Y"/>
    <s v="Preparation - other"/>
    <s v="Care Remuneration Hourly Rates"/>
    <s v="Profit Cost"/>
    <s v="ZM"/>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70"/>
    <d v="2023-07-06T19:21:19"/>
    <s v="Y"/>
    <s v="Attendance upon client"/>
    <s v="Prescribed Hourly Rates"/>
    <s v="Profit Cost"/>
    <s v="PH"/>
    <s v="Y"/>
    <n v="12.63"/>
    <n v="2.53"/>
    <x v="4"/>
    <s v="VALIDATED"/>
    <n v="1"/>
    <s v="01.11.80.307.6100.0000"/>
    <n v="12.63"/>
    <s v="11"/>
    <s v="6100"/>
    <n v="24987.5"/>
    <n v="12.63"/>
    <s v="CREDITOR"/>
    <n v="0"/>
    <n v="0"/>
    <n v="0"/>
    <n v="0"/>
    <n v="12.63"/>
  </r>
  <r>
    <n v="60313374"/>
    <s v="N"/>
    <n v="21338325"/>
    <s v="3000014615690008"/>
    <s v="CIVIL"/>
    <d v="2023-06-28T00:00:00"/>
    <d v="2023-07-06T19:21:01"/>
    <m/>
    <d v="2023-07-06T00:00:00"/>
    <n v="917"/>
    <n v="19162"/>
    <s v="60313374"/>
    <s v="60313374"/>
    <m/>
    <m/>
    <n v="22782652"/>
    <m/>
    <m/>
    <m/>
    <s v="SOLFIN"/>
    <s v="SOLFIN"/>
    <s v="CCMS"/>
    <n v="21338325"/>
    <n v="6871.22"/>
    <m/>
    <s v="N"/>
    <n v="12"/>
    <d v="2023-07-06T19:21:19"/>
    <s v="Y"/>
    <s v="Attendance upon client"/>
    <s v="Prescribed Hourly Rates"/>
    <s v="Profit Cost"/>
    <s v="PH"/>
    <s v="Y"/>
    <n v="18.94"/>
    <n v="3.79"/>
    <x v="4"/>
    <s v="VALIDATED"/>
    <n v="1"/>
    <s v="01.11.80.307.6100.0000"/>
    <n v="18.94"/>
    <s v="11"/>
    <s v="6100"/>
    <n v="24987.5"/>
    <n v="18.94"/>
    <s v="CREDITOR"/>
    <n v="0"/>
    <n v="0"/>
    <n v="0"/>
    <n v="0"/>
    <n v="18.94"/>
  </r>
  <r>
    <n v="59629456"/>
    <s v="N"/>
    <n v="21338367"/>
    <s v="3000014027440015"/>
    <s v="CIVIL"/>
    <d v="2023-06-28T00:00:00"/>
    <d v="2023-07-06T19:21:01"/>
    <m/>
    <d v="2023-07-06T00:00:00"/>
    <n v="917"/>
    <n v="19162"/>
    <s v="59629456"/>
    <s v="59629456"/>
    <m/>
    <m/>
    <n v="22776034"/>
    <m/>
    <m/>
    <m/>
    <s v="SOLFIN"/>
    <s v="SOLFIN"/>
    <s v="CCMS"/>
    <n v="21338367"/>
    <n v="17364.08"/>
    <m/>
    <s v="N"/>
    <n v="1"/>
    <d v="2023-07-06T19:21:22"/>
    <s v="Y"/>
    <s v="Preparation - other"/>
    <s v="Care Remuneration Hourly Rates"/>
    <s v="Profit Cost"/>
    <s v="DM"/>
    <s v="Y"/>
    <n v="26.29"/>
    <n v="5.26"/>
    <x v="4"/>
    <s v="VALIDATED"/>
    <n v="1"/>
    <s v="01.11.80.308.6100.0000"/>
    <n v="26.29"/>
    <s v="11"/>
    <s v="6100"/>
    <n v="24987.5"/>
    <n v="26.29"/>
    <s v="CREDITOR"/>
    <n v="0"/>
    <n v="0"/>
    <n v="0"/>
    <n v="0"/>
    <n v="26.29"/>
  </r>
  <r>
    <n v="61087371"/>
    <s v="N"/>
    <n v="21349665"/>
    <s v="3000015258150003"/>
    <s v="CIVIL"/>
    <d v="2023-06-28T00:00:00"/>
    <d v="2023-07-10T19:01:40"/>
    <m/>
    <d v="2023-07-10T00:00:00"/>
    <n v="917"/>
    <n v="19162"/>
    <s v="61087371"/>
    <s v="61087371"/>
    <m/>
    <m/>
    <n v="22783936"/>
    <m/>
    <m/>
    <m/>
    <s v="SOLFIN"/>
    <s v="SOLFIN"/>
    <s v="CCMS"/>
    <n v="21349665"/>
    <n v="1736"/>
    <m/>
    <s v="N"/>
    <n v="10"/>
    <d v="2023-07-10T19:01:55"/>
    <s v="Y"/>
    <s v="Preparation - drafting attendance n"/>
    <s v="Prescribed Hourly Rates"/>
    <s v="Profit Cost"/>
    <s v="PH"/>
    <s v="Y"/>
    <n v="6.59"/>
    <n v="1.32"/>
    <x v="2"/>
    <s v="VALIDATED"/>
    <n v="1"/>
    <s v="01.11.80.307.6100.0000"/>
    <n v="6.59"/>
    <s v="11"/>
    <s v="6100"/>
    <n v="24987.5"/>
    <n v="6.59"/>
    <s v="CREDITOR"/>
    <n v="0"/>
    <n v="0"/>
    <n v="0"/>
    <n v="0"/>
    <n v="6.59"/>
  </r>
  <r>
    <n v="59629456"/>
    <s v="N"/>
    <n v="21338367"/>
    <s v="3000014027440015"/>
    <s v="CIVIL"/>
    <d v="2023-06-28T00:00:00"/>
    <d v="2023-07-06T19:21:01"/>
    <m/>
    <d v="2023-07-06T00:00:00"/>
    <n v="917"/>
    <n v="19162"/>
    <s v="59629456"/>
    <s v="59629456"/>
    <m/>
    <m/>
    <n v="22776034"/>
    <m/>
    <m/>
    <m/>
    <s v="SOLFIN"/>
    <s v="SOLFIN"/>
    <s v="CCMS"/>
    <n v="21338367"/>
    <n v="17364.08"/>
    <m/>
    <s v="N"/>
    <n v="153"/>
    <d v="2023-07-06T19:21:22"/>
    <s v="Y"/>
    <s v="Preparation - other"/>
    <s v="Care Remuneration Hourly Rates"/>
    <s v="Profit Cost"/>
    <s v="DHH"/>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155"/>
    <d v="2023-07-06T19:21:22"/>
    <s v="Y"/>
    <s v="Advocacy - In court behind counsel"/>
    <s v="Care Remuneration Hourly Rates"/>
    <s v="Advocacy"/>
    <s v="DHH"/>
    <s v="Y"/>
    <n v="26.46"/>
    <n v="5.29"/>
    <x v="4"/>
    <s v="VALIDATED"/>
    <n v="1"/>
    <s v="01.11.80.308.6100.0000"/>
    <n v="26.46"/>
    <s v="11"/>
    <s v="6100"/>
    <n v="24987.5"/>
    <n v="26.46"/>
    <s v="CREDITOR"/>
    <n v="0"/>
    <n v="0"/>
    <n v="0"/>
    <n v="0"/>
    <n v="26.46"/>
  </r>
  <r>
    <n v="60313374"/>
    <s v="N"/>
    <n v="21338325"/>
    <s v="3000014615690008"/>
    <s v="CIVIL"/>
    <d v="2023-06-28T00:00:00"/>
    <d v="2023-07-06T19:21:01"/>
    <m/>
    <d v="2023-07-06T00:00:00"/>
    <n v="917"/>
    <n v="19162"/>
    <s v="60313374"/>
    <s v="60313374"/>
    <m/>
    <m/>
    <n v="22782652"/>
    <m/>
    <m/>
    <m/>
    <s v="SOLFIN"/>
    <s v="SOLFIN"/>
    <s v="CCMS"/>
    <n v="21338325"/>
    <n v="6871.22"/>
    <m/>
    <s v="N"/>
    <n v="48"/>
    <d v="2023-07-06T19:21:19"/>
    <s v="Y"/>
    <s v="Attendance upon client"/>
    <s v="Prescribed Hourly Rates"/>
    <s v="Profit Cost"/>
    <s v="PH"/>
    <s v="Y"/>
    <n v="138.9"/>
    <n v="27.78"/>
    <x v="4"/>
    <s v="VALIDATED"/>
    <n v="1"/>
    <s v="01.11.80.307.6100.0000"/>
    <n v="138.9"/>
    <s v="11"/>
    <s v="6100"/>
    <n v="24987.5"/>
    <n v="138.9"/>
    <s v="CREDITOR"/>
    <n v="0"/>
    <n v="0"/>
    <n v="0"/>
    <n v="0"/>
    <n v="138.9"/>
  </r>
  <r>
    <n v="59629456"/>
    <s v="N"/>
    <n v="21338367"/>
    <s v="3000014027440015"/>
    <s v="CIVIL"/>
    <d v="2023-06-28T00:00:00"/>
    <d v="2023-07-06T19:21:01"/>
    <m/>
    <d v="2023-07-06T00:00:00"/>
    <n v="917"/>
    <n v="19162"/>
    <s v="59629456"/>
    <s v="59629456"/>
    <m/>
    <m/>
    <n v="22776034"/>
    <m/>
    <m/>
    <m/>
    <s v="SOLFIN"/>
    <s v="SOLFIN"/>
    <s v="CCMS"/>
    <n v="21338367"/>
    <n v="17364.08"/>
    <m/>
    <s v="N"/>
    <n v="73"/>
    <d v="2023-07-06T19:21:22"/>
    <s v="Y"/>
    <s v="Attendance upon other side"/>
    <s v="Care Remuneration Hourly Rates"/>
    <s v="Profit Cost"/>
    <s v="ZM"/>
    <s v="Y"/>
    <n v="36.81"/>
    <n v="7.36"/>
    <x v="4"/>
    <s v="VALIDATED"/>
    <n v="1"/>
    <s v="01.11.80.308.6100.0000"/>
    <n v="36.81"/>
    <s v="11"/>
    <s v="6100"/>
    <n v="24987.5"/>
    <n v="36.81"/>
    <s v="CREDITOR"/>
    <n v="0"/>
    <n v="0"/>
    <n v="0"/>
    <n v="0"/>
    <n v="36.81"/>
  </r>
  <r>
    <n v="60313374"/>
    <s v="N"/>
    <n v="21338325"/>
    <s v="3000014615690008"/>
    <s v="CIVIL"/>
    <d v="2023-06-28T00:00:00"/>
    <d v="2023-07-06T19:21:01"/>
    <m/>
    <d v="2023-07-06T00:00:00"/>
    <n v="917"/>
    <n v="19162"/>
    <s v="60313374"/>
    <s v="60313374"/>
    <m/>
    <m/>
    <n v="22782652"/>
    <m/>
    <m/>
    <m/>
    <s v="SOLFIN"/>
    <s v="SOLFIN"/>
    <s v="CCMS"/>
    <n v="21338325"/>
    <n v="6871.22"/>
    <m/>
    <s v="N"/>
    <n v="11"/>
    <d v="2023-07-06T19:21:19"/>
    <s v="Y"/>
    <s v="Attendance upon client"/>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171"/>
    <d v="2023-07-06T19:21:22"/>
    <s v="Y"/>
    <s v="Routine Telephone Call"/>
    <s v="Care Remuneration Hourly Rates"/>
    <s v="Profit Cost"/>
    <s v="ZM"/>
    <s v="Y"/>
    <n v="67.90000000000001"/>
    <n v="13.58"/>
    <x v="4"/>
    <s v="VALIDATED"/>
    <n v="1"/>
    <s v="01.11.80.308.6100.0000"/>
    <n v="67.90000000000001"/>
    <s v="11"/>
    <s v="6100"/>
    <n v="24987.5"/>
    <n v="67.90000000000001"/>
    <s v="CREDITOR"/>
    <n v="0"/>
    <n v="0"/>
    <n v="0"/>
    <n v="0"/>
    <n v="67.90000000000001"/>
  </r>
  <r>
    <n v="59629456"/>
    <s v="N"/>
    <n v="21338367"/>
    <s v="3000014027440015"/>
    <s v="CIVIL"/>
    <d v="2023-06-28T00:00:00"/>
    <d v="2023-07-06T19:21:01"/>
    <m/>
    <d v="2023-07-06T00:00:00"/>
    <n v="917"/>
    <n v="19162"/>
    <s v="59629456"/>
    <s v="59629456"/>
    <m/>
    <m/>
    <n v="22776034"/>
    <m/>
    <m/>
    <m/>
    <s v="SOLFIN"/>
    <s v="SOLFIN"/>
    <s v="CCMS"/>
    <n v="21338367"/>
    <n v="17364.08"/>
    <m/>
    <s v="N"/>
    <n v="65"/>
    <d v="2023-07-06T19:21:22"/>
    <s v="Y"/>
    <s v="Preparation - other"/>
    <s v="Care Remuneration Hourly Rates"/>
    <s v="Profit Cost"/>
    <s v="ZM"/>
    <s v="Y"/>
    <n v="80.95999999999999"/>
    <n v="16.19"/>
    <x v="4"/>
    <s v="VALIDATED"/>
    <n v="1"/>
    <s v="01.11.80.308.6100.0000"/>
    <n v="80.95999999999999"/>
    <s v="11"/>
    <s v="6100"/>
    <n v="24987.5"/>
    <n v="80.95999999999999"/>
    <s v="CREDITOR"/>
    <n v="0"/>
    <n v="0"/>
    <n v="0"/>
    <n v="0"/>
    <n v="80.95999999999999"/>
  </r>
  <r>
    <n v="60313374"/>
    <s v="N"/>
    <n v="21338325"/>
    <s v="3000014615690008"/>
    <s v="CIVIL"/>
    <d v="2023-06-28T00:00:00"/>
    <d v="2023-07-06T19:21:01"/>
    <m/>
    <d v="2023-07-06T00:00:00"/>
    <n v="917"/>
    <n v="19162"/>
    <s v="60313374"/>
    <s v="60313374"/>
    <m/>
    <m/>
    <n v="22782652"/>
    <m/>
    <m/>
    <m/>
    <s v="SOLFIN"/>
    <s v="SOLFIN"/>
    <s v="CCMS"/>
    <n v="21338325"/>
    <n v="6871.22"/>
    <m/>
    <s v="N"/>
    <n v="111"/>
    <d v="2023-07-06T19:21:19"/>
    <s v="N"/>
    <s v="Preparation - other"/>
    <s v="Prescribed Hourly Rates"/>
    <s v="Profit Cost"/>
    <s v="PH"/>
    <s v="N"/>
    <n v="0"/>
    <n v="0"/>
    <x v="4"/>
    <s v="VALIDATED"/>
    <n v="1"/>
    <s v="01.11.80.307.6100.0000"/>
    <n v="0"/>
    <s v="11"/>
    <s v="6100"/>
    <n v="24987.5"/>
    <n v="0"/>
    <s v="CREDITOR"/>
    <n v="0"/>
    <n v="0"/>
    <n v="0"/>
    <n v="0"/>
    <n v="0"/>
  </r>
  <r>
    <n v="59629456"/>
    <s v="N"/>
    <n v="21338367"/>
    <s v="3000014027440015"/>
    <s v="CIVIL"/>
    <d v="2023-06-28T00:00:00"/>
    <d v="2023-07-06T19:21:01"/>
    <m/>
    <d v="2023-07-06T00:00:00"/>
    <n v="917"/>
    <n v="19162"/>
    <s v="59629456"/>
    <s v="59629456"/>
    <m/>
    <m/>
    <n v="22776034"/>
    <m/>
    <m/>
    <m/>
    <s v="SOLFIN"/>
    <s v="SOLFIN"/>
    <s v="CCMS"/>
    <n v="21338367"/>
    <n v="17364.08"/>
    <m/>
    <s v="N"/>
    <n v="109"/>
    <d v="2023-07-06T19:21:22"/>
    <s v="Y"/>
    <s v="Preparation - drafting statement"/>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146"/>
    <d v="2023-07-06T19:21:22"/>
    <s v="Y"/>
    <s v="Preparation - other"/>
    <s v="Care Remuneration Hourly Rates"/>
    <s v="Profit Cost"/>
    <s v="PF"/>
    <s v="Y"/>
    <n v="7.36"/>
    <n v="1.47"/>
    <x v="4"/>
    <s v="VALIDATED"/>
    <n v="1"/>
    <s v="01.11.80.308.6100.0000"/>
    <n v="7.36"/>
    <s v="11"/>
    <s v="6100"/>
    <n v="24987.5"/>
    <n v="7.36"/>
    <s v="CREDITOR"/>
    <n v="0"/>
    <n v="0"/>
    <n v="0"/>
    <n v="0"/>
    <n v="7.36"/>
  </r>
  <r>
    <n v="61087371"/>
    <s v="N"/>
    <n v="21349665"/>
    <s v="3000015258150003"/>
    <s v="CIVIL"/>
    <d v="2023-06-28T00:00:00"/>
    <d v="2023-07-10T19:01:40"/>
    <m/>
    <d v="2023-07-10T00:00:00"/>
    <n v="917"/>
    <n v="19162"/>
    <s v="61087371"/>
    <s v="61087371"/>
    <m/>
    <m/>
    <n v="22783936"/>
    <m/>
    <m/>
    <m/>
    <s v="SOLFIN"/>
    <s v="SOLFIN"/>
    <s v="CCMS"/>
    <n v="21349665"/>
    <n v="1736"/>
    <m/>
    <s v="N"/>
    <n v="24"/>
    <d v="2023-07-10T19:01:55"/>
    <s v="Y"/>
    <s v="Preparation - other"/>
    <s v="Prescribed Hourly Rates"/>
    <s v="Profit Cost"/>
    <s v="PH"/>
    <s v="Y"/>
    <n v="19.76"/>
    <n v="3.95"/>
    <x v="2"/>
    <s v="VALIDATED"/>
    <n v="1"/>
    <s v="01.11.80.307.6100.0000"/>
    <n v="19.76"/>
    <s v="11"/>
    <s v="6100"/>
    <n v="24987.5"/>
    <n v="19.76"/>
    <s v="CREDITOR"/>
    <n v="0"/>
    <n v="0"/>
    <n v="0"/>
    <n v="0"/>
    <n v="19.76"/>
  </r>
  <r>
    <n v="59629456"/>
    <s v="N"/>
    <n v="21338367"/>
    <s v="3000014027440015"/>
    <s v="CIVIL"/>
    <d v="2023-06-28T00:00:00"/>
    <d v="2023-07-06T19:21:01"/>
    <m/>
    <d v="2023-07-06T00:00:00"/>
    <n v="917"/>
    <n v="19162"/>
    <s v="59629456"/>
    <s v="59629456"/>
    <m/>
    <m/>
    <n v="22776034"/>
    <m/>
    <m/>
    <m/>
    <s v="SOLFIN"/>
    <s v="SOLFIN"/>
    <s v="CCMS"/>
    <n v="21338367"/>
    <n v="17364.08"/>
    <m/>
    <s v="N"/>
    <n v="160"/>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88"/>
    <d v="2023-07-06T19:21:22"/>
    <s v="Y"/>
    <s v="Preparation - other"/>
    <s v="Care Remuneration Hourly Rates"/>
    <s v="Profit Cost"/>
    <s v="ZM"/>
    <s v="Y"/>
    <n v="14.71"/>
    <n v="2.94"/>
    <x v="4"/>
    <s v="VALIDATED"/>
    <n v="1"/>
    <s v="01.11.80.308.6100.0000"/>
    <n v="14.71"/>
    <s v="11"/>
    <s v="6100"/>
    <n v="24987.5"/>
    <n v="14.71"/>
    <s v="CREDITOR"/>
    <n v="0"/>
    <n v="0"/>
    <n v="0"/>
    <n v="0"/>
    <n v="14.71"/>
  </r>
  <r>
    <n v="60313374"/>
    <s v="N"/>
    <n v="21338325"/>
    <s v="3000014615690008"/>
    <s v="CIVIL"/>
    <d v="2023-06-28T00:00:00"/>
    <d v="2023-07-06T19:21:01"/>
    <m/>
    <d v="2023-07-06T00:00:00"/>
    <n v="917"/>
    <n v="19162"/>
    <s v="60313374"/>
    <s v="60313374"/>
    <m/>
    <m/>
    <n v="22782652"/>
    <m/>
    <m/>
    <m/>
    <s v="SOLFIN"/>
    <s v="SOLFIN"/>
    <s v="CCMS"/>
    <n v="21338325"/>
    <n v="6871.22"/>
    <m/>
    <s v="N"/>
    <n v="7"/>
    <d v="2023-07-06T19:21:19"/>
    <s v="Y"/>
    <s v="Hearing Unit 1.01 - 2.30 Hours"/>
    <s v="Private Law Children"/>
    <s v="Advocacy"/>
    <s v="PH"/>
    <s v="Y"/>
    <n v="156.74"/>
    <n v="31.35"/>
    <x v="4"/>
    <s v="VALIDATED"/>
    <n v="1"/>
    <s v="01.11.80.307.6100.0000"/>
    <n v="156.74"/>
    <s v="11"/>
    <s v="6100"/>
    <n v="24987.5"/>
    <n v="156.74"/>
    <s v="CREDITOR"/>
    <n v="0"/>
    <n v="0"/>
    <n v="0"/>
    <n v="0"/>
    <n v="156.74"/>
  </r>
  <r>
    <n v="60969011"/>
    <s v="N"/>
    <n v="21328040"/>
    <s v="3000015171370002"/>
    <s v="CIVIL"/>
    <d v="2023-06-27T00:00:00"/>
    <d v="2023-07-04T19:00:44"/>
    <m/>
    <d v="2023-07-04T00:00:00"/>
    <n v="917"/>
    <n v="19162"/>
    <s v="60969011"/>
    <s v="60969011"/>
    <m/>
    <m/>
    <n v="22772306"/>
    <m/>
    <m/>
    <m/>
    <s v="SOLFIN"/>
    <s v="SOLFIN"/>
    <s v="CCMS"/>
    <n v="21328040"/>
    <n v="2128.61"/>
    <m/>
    <s v="N"/>
    <n v="23"/>
    <d v="2023-07-04T19:01:02"/>
    <s v="Y"/>
    <s v="Preparation - other"/>
    <s v="Prescribed Hourly Rates"/>
    <s v="Profit Cost"/>
    <s v="DM"/>
    <s v="Y"/>
    <n v="5.49"/>
    <n v="1.1"/>
    <x v="1"/>
    <s v="VALIDATED"/>
    <n v="1"/>
    <s v="01.11.80.307.6100.0000"/>
    <n v="5.49"/>
    <s v="11"/>
    <s v="6100"/>
    <n v="24987.5"/>
    <n v="5.49"/>
    <s v="CREDITOR"/>
    <n v="0"/>
    <n v="0"/>
    <n v="0"/>
    <n v="0"/>
    <n v="5.49"/>
  </r>
  <r>
    <n v="60969011"/>
    <s v="N"/>
    <n v="21328040"/>
    <s v="3000015171370002"/>
    <s v="CIVIL"/>
    <d v="2023-06-27T00:00:00"/>
    <d v="2023-07-04T19:00:44"/>
    <m/>
    <d v="2023-07-04T00:00:00"/>
    <n v="917"/>
    <n v="19162"/>
    <s v="60969011"/>
    <s v="60969011"/>
    <m/>
    <m/>
    <n v="22772306"/>
    <m/>
    <m/>
    <m/>
    <s v="SOLFIN"/>
    <s v="SOLFIN"/>
    <s v="CCMS"/>
    <n v="21328040"/>
    <n v="2128.61"/>
    <m/>
    <s v="N"/>
    <n v="12"/>
    <d v="2023-07-04T19:01:02"/>
    <s v="Y"/>
    <s v="Attendance upon client"/>
    <s v="Prescribed Hourly Rates"/>
    <s v="Profit Cost"/>
    <s v="DM"/>
    <s v="Y"/>
    <n v="16.47"/>
    <n v="3.29"/>
    <x v="1"/>
    <s v="VALIDATED"/>
    <n v="1"/>
    <s v="01.11.80.307.6100.0000"/>
    <n v="16.47"/>
    <s v="11"/>
    <s v="6100"/>
    <n v="24987.5"/>
    <n v="16.47"/>
    <s v="CREDITOR"/>
    <n v="0"/>
    <n v="0"/>
    <n v="0"/>
    <n v="0"/>
    <n v="16.47"/>
  </r>
  <r>
    <n v="61546807"/>
    <s v="N"/>
    <n v="21319087"/>
    <s v="3000015661680003"/>
    <s v="CIVIL"/>
    <d v="2023-06-23T00:00:00"/>
    <d v="2023-07-03T19:01:49"/>
    <m/>
    <d v="2023-07-03T00:00:00"/>
    <n v="917"/>
    <n v="19162"/>
    <s v="61546807"/>
    <s v="61546807"/>
    <m/>
    <m/>
    <n v="22754138"/>
    <m/>
    <m/>
    <m/>
    <s v="SOLFIN"/>
    <s v="SOLFIN"/>
    <s v="CCMS"/>
    <n v="21319087"/>
    <n v="3003.37"/>
    <m/>
    <s v="N"/>
    <n v="11"/>
    <d v="2023-07-03T19:02:10"/>
    <s v="Y"/>
    <s v="Preparation - other"/>
    <s v="Prescribed Hourly Rates"/>
    <s v="Profit Cost"/>
    <s v="PH"/>
    <s v="Y"/>
    <n v="10.98"/>
    <n v="2.2"/>
    <x v="3"/>
    <s v="VALIDATED"/>
    <n v="1"/>
    <s v="01.11.80.307.6100.0000"/>
    <n v="10.98"/>
    <s v="11"/>
    <s v="6100"/>
    <n v="24987.5"/>
    <n v="10.98"/>
    <s v="CREDITOR"/>
    <n v="0"/>
    <n v="0"/>
    <n v="0"/>
    <n v="0"/>
    <n v="10.98"/>
  </r>
  <r>
    <n v="61087371"/>
    <s v="N"/>
    <n v="21349665"/>
    <s v="3000015258150003"/>
    <s v="CIVIL"/>
    <d v="2023-06-28T00:00:00"/>
    <d v="2023-07-10T19:01:40"/>
    <m/>
    <d v="2023-07-10T00:00:00"/>
    <n v="917"/>
    <n v="19162"/>
    <s v="61087371"/>
    <s v="61087371"/>
    <m/>
    <m/>
    <n v="22783936"/>
    <m/>
    <m/>
    <m/>
    <s v="SOLFIN"/>
    <s v="SOLFIN"/>
    <s v="CCMS"/>
    <n v="21349665"/>
    <n v="1736"/>
    <m/>
    <s v="N"/>
    <n v="27"/>
    <d v="2023-07-10T19:01:55"/>
    <s v="Y"/>
    <s v="Preparation - other"/>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31"/>
    <d v="2023-07-10T19:01:55"/>
    <s v="Y"/>
    <s v="Preparation - drafting attendance n"/>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5"/>
    <d v="2023-07-10T19:01:55"/>
    <s v="Y"/>
    <s v="Preparation - other"/>
    <s v="Prescribed Hourly Rates"/>
    <s v="Profit Cost"/>
    <s v="PH"/>
    <s v="Y"/>
    <n v="32.94"/>
    <n v="6.59"/>
    <x v="2"/>
    <s v="VALIDATED"/>
    <n v="1"/>
    <s v="01.11.80.307.6100.0000"/>
    <n v="32.94"/>
    <s v="11"/>
    <s v="6100"/>
    <n v="24987.5"/>
    <n v="32.94"/>
    <s v="CREDITOR"/>
    <n v="0"/>
    <n v="0"/>
    <n v="0"/>
    <n v="0"/>
    <n v="32.94"/>
  </r>
  <r>
    <n v="59629456"/>
    <s v="N"/>
    <n v="21338367"/>
    <s v="3000014027440015"/>
    <s v="CIVIL"/>
    <d v="2023-06-28T00:00:00"/>
    <d v="2023-07-06T19:21:01"/>
    <m/>
    <d v="2023-07-06T00:00:00"/>
    <n v="917"/>
    <n v="19162"/>
    <s v="59629456"/>
    <s v="59629456"/>
    <m/>
    <m/>
    <n v="22776034"/>
    <m/>
    <m/>
    <m/>
    <s v="SOLFIN"/>
    <s v="SOLFIN"/>
    <s v="CCMS"/>
    <n v="21338367"/>
    <n v="17364.08"/>
    <m/>
    <s v="N"/>
    <n v="54"/>
    <d v="2023-07-06T19:21:22"/>
    <s v="Y"/>
    <s v="Preparation - other"/>
    <s v="Care Remuneration Hourly Rates"/>
    <s v="Profit Cost"/>
    <s v="ZM"/>
    <s v="Y"/>
    <n v="58.88"/>
    <n v="11.78"/>
    <x v="4"/>
    <s v="VALIDATED"/>
    <n v="1"/>
    <s v="01.11.80.308.6100.0000"/>
    <n v="58.88"/>
    <s v="11"/>
    <s v="6100"/>
    <n v="24987.5"/>
    <n v="58.88"/>
    <s v="CREDITOR"/>
    <n v="0"/>
    <n v="0"/>
    <n v="0"/>
    <n v="0"/>
    <n v="58.88"/>
  </r>
  <r>
    <n v="60313374"/>
    <s v="N"/>
    <n v="21338325"/>
    <s v="3000014615690008"/>
    <s v="CIVIL"/>
    <d v="2023-06-28T00:00:00"/>
    <d v="2023-07-06T19:21:01"/>
    <m/>
    <d v="2023-07-06T00:00:00"/>
    <n v="917"/>
    <n v="19162"/>
    <s v="60313374"/>
    <s v="60313374"/>
    <m/>
    <m/>
    <n v="22782652"/>
    <m/>
    <m/>
    <m/>
    <s v="SOLFIN"/>
    <s v="SOLFIN"/>
    <s v="CCMS"/>
    <n v="21338325"/>
    <n v="6871.22"/>
    <m/>
    <s v="N"/>
    <n v="71"/>
    <d v="2023-07-06T19:21:19"/>
    <s v="Y"/>
    <s v="Attendance upon other side"/>
    <s v="Prescribed Hourly Rates"/>
    <s v="Profit Cost"/>
    <s v="PH"/>
    <s v="Y"/>
    <n v="12.63"/>
    <n v="2.53"/>
    <x v="4"/>
    <s v="VALIDATED"/>
    <n v="1"/>
    <s v="01.11.80.307.6100.0000"/>
    <n v="12.63"/>
    <s v="11"/>
    <s v="6100"/>
    <n v="24987.5"/>
    <n v="12.63"/>
    <s v="CREDITOR"/>
    <n v="0"/>
    <n v="0"/>
    <n v="0"/>
    <n v="0"/>
    <n v="12.63"/>
  </r>
  <r>
    <n v="60313374"/>
    <s v="N"/>
    <n v="21338325"/>
    <s v="3000014615690008"/>
    <s v="CIVIL"/>
    <d v="2023-06-28T00:00:00"/>
    <d v="2023-07-06T19:21:01"/>
    <m/>
    <d v="2023-07-06T00:00:00"/>
    <n v="917"/>
    <n v="19162"/>
    <s v="60313374"/>
    <s v="60313374"/>
    <m/>
    <m/>
    <n v="22782652"/>
    <m/>
    <m/>
    <m/>
    <s v="SOLFIN"/>
    <s v="SOLFIN"/>
    <s v="CCMS"/>
    <n v="21338325"/>
    <n v="6871.22"/>
    <m/>
    <s v="N"/>
    <n v="20"/>
    <d v="2023-07-06T19:21:19"/>
    <s v="Y"/>
    <s v="Preparation - other"/>
    <s v="Prescribed Hourly Rates"/>
    <s v="Profit Cost"/>
    <s v="PH"/>
    <s v="Y"/>
    <n v="27.45"/>
    <n v="5.49"/>
    <x v="4"/>
    <s v="VALIDATED"/>
    <n v="1"/>
    <s v="01.11.80.307.6100.0000"/>
    <n v="27.45"/>
    <s v="11"/>
    <s v="6100"/>
    <n v="24987.5"/>
    <n v="27.45"/>
    <s v="CREDITOR"/>
    <n v="0"/>
    <n v="0"/>
    <n v="0"/>
    <n v="0"/>
    <n v="27.45"/>
  </r>
  <r>
    <n v="60313374"/>
    <s v="N"/>
    <n v="21338325"/>
    <s v="3000014615690008"/>
    <s v="CIVIL"/>
    <d v="2023-06-28T00:00:00"/>
    <d v="2023-07-06T19:21:01"/>
    <m/>
    <d v="2023-07-06T00:00:00"/>
    <n v="917"/>
    <n v="19162"/>
    <s v="60313374"/>
    <s v="60313374"/>
    <m/>
    <m/>
    <n v="22782652"/>
    <m/>
    <m/>
    <m/>
    <s v="SOLFIN"/>
    <s v="SOLFIN"/>
    <s v="CCMS"/>
    <n v="21338325"/>
    <n v="6871.22"/>
    <m/>
    <s v="N"/>
    <n v="35"/>
    <d v="2023-07-06T19:21:19"/>
    <s v="Y"/>
    <s v="Preparation - other"/>
    <s v="Prescribed Hourly Rates"/>
    <s v="Profit Cost"/>
    <s v="PH"/>
    <s v="Y"/>
    <n v="5.49"/>
    <n v="1.1"/>
    <x v="4"/>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37"/>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26"/>
    <d v="2023-07-06T19:21:22"/>
    <s v="Y"/>
    <s v="Preparation - other"/>
    <s v="Care Remuneration Hourly Rates"/>
    <s v="Profit Cost"/>
    <s v="DHH"/>
    <s v="Y"/>
    <n v="5.26"/>
    <n v="1.05"/>
    <x v="4"/>
    <s v="VALIDATED"/>
    <n v="1"/>
    <s v="01.11.80.308.6100.0000"/>
    <n v="5.26"/>
    <s v="11"/>
    <s v="6100"/>
    <n v="24987.5"/>
    <n v="5.26"/>
    <s v="CREDITOR"/>
    <n v="0"/>
    <n v="0"/>
    <n v="0"/>
    <n v="0"/>
    <n v="5.26"/>
  </r>
  <r>
    <n v="60969011"/>
    <s v="N"/>
    <n v="21328040"/>
    <s v="3000015171370002"/>
    <s v="CIVIL"/>
    <d v="2023-06-27T00:00:00"/>
    <d v="2023-07-04T19:00:44"/>
    <m/>
    <d v="2023-07-04T00:00:00"/>
    <n v="917"/>
    <n v="19162"/>
    <s v="60969011"/>
    <s v="60969011"/>
    <m/>
    <m/>
    <n v="22772306"/>
    <m/>
    <m/>
    <m/>
    <s v="SOLFIN"/>
    <s v="SOLFIN"/>
    <s v="CCMS"/>
    <n v="21328040"/>
    <n v="2128.61"/>
    <m/>
    <s v="N"/>
    <n v="4"/>
    <d v="2023-07-04T19:01:02"/>
    <s v="Y"/>
    <s v="Attendance upon client"/>
    <s v="Prescribed Hourly Rates"/>
    <s v="Profit Cost"/>
    <s v="DM"/>
    <s v="Y"/>
    <n v="27.45"/>
    <n v="5.49"/>
    <x v="1"/>
    <s v="VALIDATED"/>
    <n v="1"/>
    <s v="01.11.80.307.6100.0000"/>
    <n v="27.45"/>
    <s v="11"/>
    <s v="6100"/>
    <n v="24987.5"/>
    <n v="27.45"/>
    <s v="CREDITOR"/>
    <n v="0"/>
    <n v="0"/>
    <n v="0"/>
    <n v="0"/>
    <n v="27.45"/>
  </r>
  <r>
    <n v="61546807"/>
    <s v="N"/>
    <n v="21319087"/>
    <s v="3000015661680003"/>
    <s v="CIVIL"/>
    <d v="2023-06-23T00:00:00"/>
    <d v="2023-07-03T19:01:49"/>
    <m/>
    <d v="2023-07-03T00:00:00"/>
    <n v="917"/>
    <n v="19162"/>
    <s v="61546807"/>
    <s v="61546807"/>
    <m/>
    <m/>
    <n v="22754138"/>
    <m/>
    <m/>
    <m/>
    <s v="SOLFIN"/>
    <s v="SOLFIN"/>
    <s v="CCMS"/>
    <n v="21319087"/>
    <n v="3003.37"/>
    <m/>
    <s v="N"/>
    <n v="38"/>
    <d v="2023-07-03T19:02:10"/>
    <s v="Y"/>
    <s v="Preparation - other"/>
    <s v="Prescribed Hourly Rates"/>
    <s v="Profit Cost"/>
    <s v="PH"/>
    <s v="Y"/>
    <n v="89.20999999999999"/>
    <n v="17.84"/>
    <x v="3"/>
    <s v="VALIDATED"/>
    <n v="1"/>
    <s v="01.11.80.307.6100.0000"/>
    <n v="89.20999999999999"/>
    <s v="11"/>
    <s v="6100"/>
    <n v="24987.5"/>
    <n v="89.20999999999999"/>
    <s v="CREDITOR"/>
    <n v="0"/>
    <n v="0"/>
    <n v="0"/>
    <n v="0"/>
    <n v="89.20999999999999"/>
  </r>
  <r>
    <n v="60313374"/>
    <s v="N"/>
    <n v="21338325"/>
    <s v="3000014615690008"/>
    <s v="CIVIL"/>
    <d v="2023-06-28T00:00:00"/>
    <d v="2023-07-06T19:21:01"/>
    <m/>
    <d v="2023-07-06T00:00:00"/>
    <n v="917"/>
    <n v="19162"/>
    <s v="60313374"/>
    <s v="60313374"/>
    <m/>
    <m/>
    <n v="22782652"/>
    <m/>
    <m/>
    <m/>
    <s v="SOLFIN"/>
    <s v="SOLFIN"/>
    <s v="CCMS"/>
    <n v="21338325"/>
    <n v="6871.22"/>
    <m/>
    <s v="N"/>
    <n v="116"/>
    <d v="2023-07-06T19:21:19"/>
    <s v="Y"/>
    <s v="Routine Letter In"/>
    <s v="Prescribed Hourly Rates"/>
    <s v="Profit Cost"/>
    <s v="PH"/>
    <s v="Y"/>
    <n v="415.8"/>
    <n v="83.17"/>
    <x v="4"/>
    <s v="VALIDATED"/>
    <n v="1"/>
    <s v="01.11.80.307.6100.0000"/>
    <n v="415.8"/>
    <s v="11"/>
    <s v="6100"/>
    <n v="24987.5"/>
    <n v="415.8"/>
    <s v="CREDITOR"/>
    <n v="0"/>
    <n v="0"/>
    <n v="0"/>
    <n v="0"/>
    <n v="415.8"/>
  </r>
  <r>
    <n v="60313374"/>
    <s v="N"/>
    <n v="21338325"/>
    <s v="3000014615690008"/>
    <s v="CIVIL"/>
    <d v="2023-06-28T00:00:00"/>
    <d v="2023-07-06T19:21:01"/>
    <m/>
    <d v="2023-07-06T00:00:00"/>
    <n v="917"/>
    <n v="19162"/>
    <s v="60313374"/>
    <s v="60313374"/>
    <m/>
    <m/>
    <n v="22782652"/>
    <m/>
    <m/>
    <m/>
    <s v="SOLFIN"/>
    <s v="SOLFIN"/>
    <s v="CCMS"/>
    <n v="21338325"/>
    <n v="6871.22"/>
    <m/>
    <s v="N"/>
    <n v="91"/>
    <d v="2023-07-06T19:21:19"/>
    <s v="Y"/>
    <s v="Attendance upon client"/>
    <s v="Prescribed Hourly Rates"/>
    <s v="Profit Cost"/>
    <s v="EH"/>
    <s v="Y"/>
    <n v="12.63"/>
    <n v="2.53"/>
    <x v="4"/>
    <s v="VALIDATED"/>
    <n v="1"/>
    <s v="01.11.80.307.6100.0000"/>
    <n v="12.63"/>
    <s v="11"/>
    <s v="6100"/>
    <n v="24987.5"/>
    <n v="12.63"/>
    <s v="CREDITOR"/>
    <n v="0"/>
    <n v="0"/>
    <n v="0"/>
    <n v="0"/>
    <n v="12.63"/>
  </r>
  <r>
    <n v="60313374"/>
    <s v="N"/>
    <n v="21338325"/>
    <s v="3000014615690008"/>
    <s v="CIVIL"/>
    <d v="2023-06-28T00:00:00"/>
    <d v="2023-07-06T19:21:01"/>
    <m/>
    <d v="2023-07-06T00:00:00"/>
    <n v="917"/>
    <n v="19162"/>
    <s v="60313374"/>
    <s v="60313374"/>
    <m/>
    <m/>
    <n v="22782652"/>
    <m/>
    <m/>
    <m/>
    <s v="SOLFIN"/>
    <s v="SOLFIN"/>
    <s v="CCMS"/>
    <n v="21338325"/>
    <n v="6871.22"/>
    <m/>
    <s v="N"/>
    <n v="95"/>
    <d v="2023-07-06T19:21:19"/>
    <s v="N"/>
    <s v="Preparation - other"/>
    <s v="Prescribed Hourly Rates"/>
    <s v="Profit Cost"/>
    <s v="PH"/>
    <s v="N"/>
    <n v="0"/>
    <n v="0"/>
    <x v="4"/>
    <s v="VALIDATED"/>
    <n v="1"/>
    <s v="01.11.80.307.6100.0000"/>
    <n v="0"/>
    <s v="11"/>
    <s v="6100"/>
    <n v="24987.5"/>
    <n v="0"/>
    <s v="CREDITOR"/>
    <n v="0"/>
    <n v="0"/>
    <n v="0"/>
    <n v="0"/>
    <n v="0"/>
  </r>
  <r>
    <n v="61087371"/>
    <s v="N"/>
    <n v="21349665"/>
    <s v="3000015258150003"/>
    <s v="CIVIL"/>
    <d v="2023-06-28T00:00:00"/>
    <d v="2023-07-10T19:01:40"/>
    <m/>
    <d v="2023-07-10T00:00:00"/>
    <n v="917"/>
    <n v="19162"/>
    <s v="61087371"/>
    <s v="61087371"/>
    <m/>
    <m/>
    <n v="22783936"/>
    <m/>
    <m/>
    <m/>
    <s v="SOLFIN"/>
    <s v="SOLFIN"/>
    <s v="CCMS"/>
    <n v="21349665"/>
    <n v="1736"/>
    <m/>
    <s v="N"/>
    <n v="20"/>
    <d v="2023-07-10T19:01:55"/>
    <s v="Y"/>
    <s v="Preparation - other"/>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39"/>
    <d v="2023-07-10T19:01:55"/>
    <s v="Y"/>
    <s v="Preparation - other"/>
    <s v="Prescribed Hourly Rates"/>
    <s v="Profit Cost"/>
    <s v="PH"/>
    <s v="Y"/>
    <n v="10.98"/>
    <n v="2.2"/>
    <x v="2"/>
    <s v="VALIDATED"/>
    <n v="1"/>
    <s v="01.11.80.307.6100.0000"/>
    <n v="10.98"/>
    <s v="11"/>
    <s v="6100"/>
    <n v="24987.5"/>
    <n v="10.98"/>
    <s v="CREDITOR"/>
    <n v="0"/>
    <n v="0"/>
    <n v="0"/>
    <n v="0"/>
    <n v="10.98"/>
  </r>
  <r>
    <n v="60313374"/>
    <s v="N"/>
    <n v="21338325"/>
    <s v="3000014615690008"/>
    <s v="CIVIL"/>
    <d v="2023-06-28T00:00:00"/>
    <d v="2023-07-06T19:21:01"/>
    <m/>
    <d v="2023-07-06T00:00:00"/>
    <n v="917"/>
    <n v="19162"/>
    <s v="60313374"/>
    <s v="60313374"/>
    <m/>
    <m/>
    <n v="22782652"/>
    <m/>
    <m/>
    <m/>
    <s v="SOLFIN"/>
    <s v="SOLFIN"/>
    <s v="CCMS"/>
    <n v="21338325"/>
    <n v="6871.22"/>
    <m/>
    <s v="N"/>
    <n v="41"/>
    <d v="2023-07-06T19:21:19"/>
    <s v="Y"/>
    <s v="Preparation - other"/>
    <s v="Prescribed Hourly Rates"/>
    <s v="Profit Cost"/>
    <s v="SN"/>
    <s v="Y"/>
    <n v="54.9"/>
    <n v="10.98"/>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73"/>
    <d v="2023-07-06T19:21:22"/>
    <s v="Y"/>
    <s v="Routine Letter Out"/>
    <s v="Care Remuneration Hourly Rates"/>
    <s v="Profit Cost"/>
    <s v="ZM"/>
    <s v="Y"/>
    <n v="649.26"/>
    <n v="129.85"/>
    <x v="4"/>
    <s v="VALIDATED"/>
    <n v="1"/>
    <s v="01.11.80.308.6100.0000"/>
    <n v="649.26"/>
    <s v="11"/>
    <s v="6100"/>
    <n v="24987.5"/>
    <n v="649.26"/>
    <s v="CREDITOR"/>
    <n v="0"/>
    <n v="0"/>
    <n v="0"/>
    <n v="0"/>
    <n v="649.26"/>
  </r>
  <r>
    <n v="60313374"/>
    <s v="N"/>
    <n v="21338325"/>
    <s v="3000014615690008"/>
    <s v="CIVIL"/>
    <d v="2023-06-28T00:00:00"/>
    <d v="2023-07-06T19:21:01"/>
    <m/>
    <d v="2023-07-06T00:00:00"/>
    <n v="917"/>
    <n v="19162"/>
    <s v="60313374"/>
    <s v="60313374"/>
    <m/>
    <m/>
    <n v="22782652"/>
    <m/>
    <m/>
    <m/>
    <s v="SOLFIN"/>
    <s v="SOLFIN"/>
    <s v="CCMS"/>
    <n v="21338325"/>
    <n v="6871.22"/>
    <m/>
    <s v="N"/>
    <n v="49"/>
    <d v="2023-07-06T19:21:19"/>
    <s v="Y"/>
    <s v="Preparation - drafting statement"/>
    <s v="Prescribed Hourly Rates"/>
    <s v="Profit Cost"/>
    <s v="PH"/>
    <s v="Y"/>
    <n v="115.29"/>
    <n v="23.06"/>
    <x v="4"/>
    <s v="VALIDATED"/>
    <n v="1"/>
    <s v="01.11.80.307.6100.0000"/>
    <n v="115.29"/>
    <s v="11"/>
    <s v="6100"/>
    <n v="24987.5"/>
    <n v="115.29"/>
    <s v="CREDITOR"/>
    <n v="0"/>
    <n v="0"/>
    <n v="0"/>
    <n v="0"/>
    <n v="115.29"/>
  </r>
  <r>
    <n v="59629456"/>
    <s v="N"/>
    <n v="21338367"/>
    <s v="3000014027440015"/>
    <s v="CIVIL"/>
    <d v="2023-06-28T00:00:00"/>
    <d v="2023-07-06T19:21:01"/>
    <m/>
    <d v="2023-07-06T00:00:00"/>
    <n v="917"/>
    <n v="19162"/>
    <s v="59629456"/>
    <s v="59629456"/>
    <m/>
    <m/>
    <n v="22776034"/>
    <m/>
    <m/>
    <m/>
    <s v="SOLFIN"/>
    <s v="SOLFIN"/>
    <s v="CCMS"/>
    <n v="21338367"/>
    <n v="17364.08"/>
    <m/>
    <s v="N"/>
    <n v="186"/>
    <d v="2023-07-06T19:21:22"/>
    <s v="Y"/>
    <s v="Advocates Meeting"/>
    <s v="Public Law Children"/>
    <s v="Advocacy"/>
    <s v="DM"/>
    <s v="Y"/>
    <n v="140.99"/>
    <n v="28.2"/>
    <x v="4"/>
    <s v="VALIDATED"/>
    <n v="1"/>
    <s v="01.11.80.308.6100.0000"/>
    <n v="140.99"/>
    <s v="11"/>
    <s v="6100"/>
    <n v="24987.5"/>
    <n v="140.99"/>
    <s v="CREDITOR"/>
    <n v="0"/>
    <n v="0"/>
    <n v="0"/>
    <n v="0"/>
    <n v="140.99"/>
  </r>
  <r>
    <n v="60313374"/>
    <s v="N"/>
    <n v="21338325"/>
    <s v="3000014615690008"/>
    <s v="CIVIL"/>
    <d v="2023-06-28T00:00:00"/>
    <d v="2023-07-06T19:21:01"/>
    <m/>
    <d v="2023-07-06T00:00:00"/>
    <n v="917"/>
    <n v="19162"/>
    <s v="60313374"/>
    <s v="60313374"/>
    <m/>
    <m/>
    <n v="22782652"/>
    <m/>
    <m/>
    <m/>
    <s v="SOLFIN"/>
    <s v="SOLFIN"/>
    <s v="CCMS"/>
    <n v="21338325"/>
    <n v="6871.22"/>
    <m/>
    <s v="N"/>
    <n v="83"/>
    <d v="2023-07-06T19:21:19"/>
    <s v="Y"/>
    <s v="Preparation - other"/>
    <s v="Prescribed Hourly Rates"/>
    <s v="Profit Cost"/>
    <s v="PH"/>
    <s v="Y"/>
    <n v="27.45"/>
    <n v="5.49"/>
    <x v="4"/>
    <s v="VALIDATED"/>
    <n v="1"/>
    <s v="01.11.80.307.6100.0000"/>
    <n v="27.45"/>
    <s v="11"/>
    <s v="6100"/>
    <n v="24987.5"/>
    <n v="27.45"/>
    <s v="CREDITOR"/>
    <n v="0"/>
    <n v="0"/>
    <n v="0"/>
    <n v="0"/>
    <n v="27.45"/>
  </r>
  <r>
    <n v="59629456"/>
    <s v="N"/>
    <n v="21338367"/>
    <s v="3000014027440015"/>
    <s v="CIVIL"/>
    <d v="2023-06-28T00:00:00"/>
    <d v="2023-07-06T19:21:01"/>
    <m/>
    <d v="2023-07-06T00:00:00"/>
    <n v="917"/>
    <n v="19162"/>
    <s v="59629456"/>
    <s v="59629456"/>
    <m/>
    <m/>
    <n v="22776034"/>
    <m/>
    <m/>
    <m/>
    <s v="SOLFIN"/>
    <s v="SOLFIN"/>
    <s v="CCMS"/>
    <n v="21338367"/>
    <n v="17364.08"/>
    <m/>
    <s v="N"/>
    <n v="124"/>
    <d v="2023-07-06T19:21:22"/>
    <s v="Y"/>
    <s v="Preparation - other"/>
    <s v="Care Remuneration Hourly Rates"/>
    <s v="Profit Cost"/>
    <s v="DHH"/>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90"/>
    <d v="2023-07-06T19:21:19"/>
    <s v="Y"/>
    <s v="Preparation - other"/>
    <s v="Prescribed Hourly Rates"/>
    <s v="Profit Cost"/>
    <s v="PH"/>
    <s v="Y"/>
    <n v="16.47"/>
    <n v="3.29"/>
    <x v="4"/>
    <s v="VALIDATED"/>
    <n v="1"/>
    <s v="01.11.80.307.6100.0000"/>
    <n v="16.47"/>
    <s v="11"/>
    <s v="6100"/>
    <n v="24987.5"/>
    <n v="16.47"/>
    <s v="CREDITOR"/>
    <n v="0"/>
    <n v="0"/>
    <n v="0"/>
    <n v="0"/>
    <n v="16.47"/>
  </r>
  <r>
    <n v="60969011"/>
    <s v="N"/>
    <n v="21328040"/>
    <s v="3000015171370002"/>
    <s v="CIVIL"/>
    <d v="2023-06-27T00:00:00"/>
    <d v="2023-07-04T19:00:44"/>
    <m/>
    <d v="2023-07-04T00:00:00"/>
    <n v="917"/>
    <n v="19162"/>
    <s v="60969011"/>
    <s v="60969011"/>
    <m/>
    <m/>
    <n v="22772306"/>
    <m/>
    <m/>
    <m/>
    <s v="SOLFIN"/>
    <s v="SOLFIN"/>
    <s v="CCMS"/>
    <n v="21328040"/>
    <n v="2128.61"/>
    <m/>
    <s v="N"/>
    <n v="2"/>
    <d v="2023-07-04T19:01:02"/>
    <s v="Y"/>
    <s v="Hearing Unit 2.31 - 5.00 Hours"/>
    <s v="Private Law Children"/>
    <s v="Advocacy"/>
    <s v="DM"/>
    <s v="Y"/>
    <n v="313.48"/>
    <n v="62.7"/>
    <x v="1"/>
    <s v="VALIDATED"/>
    <n v="1"/>
    <s v="01.11.80.307.6100.0000"/>
    <n v="313.48"/>
    <s v="11"/>
    <s v="6100"/>
    <n v="24987.5"/>
    <n v="313.48"/>
    <s v="CREDITOR"/>
    <n v="0"/>
    <n v="0"/>
    <n v="0"/>
    <n v="0"/>
    <n v="313.48"/>
  </r>
  <r>
    <n v="59629456"/>
    <s v="N"/>
    <n v="21338367"/>
    <s v="3000014027440015"/>
    <s v="CIVIL"/>
    <d v="2023-06-28T00:00:00"/>
    <d v="2023-07-06T19:21:01"/>
    <m/>
    <d v="2023-07-06T00:00:00"/>
    <n v="917"/>
    <n v="19162"/>
    <s v="59629456"/>
    <s v="59629456"/>
    <m/>
    <m/>
    <n v="22776034"/>
    <m/>
    <m/>
    <m/>
    <s v="SOLFIN"/>
    <s v="SOLFIN"/>
    <s v="CCMS"/>
    <n v="21338367"/>
    <n v="17364.08"/>
    <m/>
    <s v="N"/>
    <n v="162"/>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183"/>
    <d v="2023-07-06T19:21:22"/>
    <s v="Y"/>
    <s v="Independent Social Worker"/>
    <s v="Care Remuneration Hourly Rates"/>
    <s v="Expert Disbursement"/>
    <s v="XXX"/>
    <s v="Y"/>
    <n v="264.6"/>
    <n v="52.92"/>
    <x v="4"/>
    <s v="VALIDATED"/>
    <n v="1"/>
    <s v="01.11.80.308.6300.0000"/>
    <n v="264.6"/>
    <s v="11"/>
    <s v="6300"/>
    <n v="24987.5"/>
    <n v="264.6"/>
    <s v="CREDITOR"/>
    <n v="0"/>
    <n v="0"/>
    <n v="0"/>
    <n v="0"/>
    <n v="264.6"/>
  </r>
  <r>
    <n v="59629456"/>
    <s v="N"/>
    <n v="21338367"/>
    <s v="3000014027440015"/>
    <s v="CIVIL"/>
    <d v="2023-06-28T00:00:00"/>
    <d v="2023-07-06T19:21:01"/>
    <m/>
    <d v="2023-07-06T00:00:00"/>
    <n v="917"/>
    <n v="19162"/>
    <s v="59629456"/>
    <s v="59629456"/>
    <m/>
    <m/>
    <n v="22776034"/>
    <m/>
    <m/>
    <m/>
    <s v="SOLFIN"/>
    <s v="SOLFIN"/>
    <s v="CCMS"/>
    <n v="21338367"/>
    <n v="17364.08"/>
    <m/>
    <s v="N"/>
    <n v="69"/>
    <d v="2023-07-06T19:21:22"/>
    <s v="Y"/>
    <s v="Preparation - other"/>
    <s v="Care Remuneration Hourly Rates"/>
    <s v="Profit Cost"/>
    <s v="ZM"/>
    <s v="Y"/>
    <n v="7.36"/>
    <n v="1.47"/>
    <x v="4"/>
    <s v="VALIDATED"/>
    <n v="1"/>
    <s v="01.11.80.308.6100.0000"/>
    <n v="7.36"/>
    <s v="11"/>
    <s v="6100"/>
    <n v="24987.5"/>
    <n v="7.36"/>
    <s v="CREDITOR"/>
    <n v="0"/>
    <n v="0"/>
    <n v="0"/>
    <n v="0"/>
    <n v="7.36"/>
  </r>
  <r>
    <n v="60969011"/>
    <s v="N"/>
    <n v="21328040"/>
    <s v="3000015171370002"/>
    <s v="CIVIL"/>
    <d v="2023-06-27T00:00:00"/>
    <d v="2023-07-04T19:00:44"/>
    <m/>
    <d v="2023-07-04T00:00:00"/>
    <n v="917"/>
    <n v="19162"/>
    <s v="60969011"/>
    <s v="60969011"/>
    <m/>
    <m/>
    <n v="22772306"/>
    <m/>
    <m/>
    <m/>
    <s v="SOLFIN"/>
    <s v="SOLFIN"/>
    <s v="CCMS"/>
    <n v="21328040"/>
    <n v="2128.61"/>
    <m/>
    <s v="N"/>
    <n v="26"/>
    <d v="2023-07-04T19:01:02"/>
    <s v="Y"/>
    <s v="Preparation - other"/>
    <s v="Prescribed Hourly Rates"/>
    <s v="Profit Cost"/>
    <s v="DM"/>
    <s v="Y"/>
    <n v="27.45"/>
    <n v="5.49"/>
    <x v="1"/>
    <s v="VALIDATED"/>
    <n v="1"/>
    <s v="01.11.80.307.6100.0000"/>
    <n v="27.45"/>
    <s v="11"/>
    <s v="6100"/>
    <n v="24987.5"/>
    <n v="27.45"/>
    <s v="CREDITOR"/>
    <n v="0"/>
    <n v="0"/>
    <n v="0"/>
    <n v="0"/>
    <n v="27.45"/>
  </r>
  <r>
    <n v="61546807"/>
    <s v="N"/>
    <n v="21319087"/>
    <s v="3000015661680003"/>
    <s v="CIVIL"/>
    <d v="2023-06-23T00:00:00"/>
    <d v="2023-07-03T19:01:49"/>
    <m/>
    <d v="2023-07-03T00:00:00"/>
    <n v="917"/>
    <n v="19162"/>
    <s v="61546807"/>
    <s v="61546807"/>
    <m/>
    <m/>
    <n v="22754138"/>
    <m/>
    <m/>
    <m/>
    <s v="SOLFIN"/>
    <s v="SOLFIN"/>
    <s v="CCMS"/>
    <n v="21319087"/>
    <n v="3003.37"/>
    <m/>
    <s v="N"/>
    <n v="2"/>
    <d v="2023-07-03T19:02:10"/>
    <s v="N"/>
    <s v="Level 3 &amp; Level 4 Fixed Fee"/>
    <s v="Private Law Children"/>
    <s v="Profit Cost"/>
    <s v="XXX"/>
    <s v="N"/>
    <n v="0"/>
    <n v="0"/>
    <x v="3"/>
    <s v="VALIDATED"/>
    <n v="1"/>
    <s v="01.11.80.307.6100.0000"/>
    <n v="0"/>
    <s v="11"/>
    <s v="6100"/>
    <n v="24987.5"/>
    <n v="0"/>
    <s v="CREDITOR"/>
    <n v="0"/>
    <n v="0"/>
    <n v="0"/>
    <n v="0"/>
    <n v="0"/>
  </r>
  <r>
    <n v="61546807"/>
    <s v="N"/>
    <n v="21319087"/>
    <s v="3000015661680003"/>
    <s v="CIVIL"/>
    <d v="2023-06-23T00:00:00"/>
    <d v="2023-07-03T19:01:49"/>
    <m/>
    <d v="2023-07-03T00:00:00"/>
    <n v="917"/>
    <n v="19162"/>
    <s v="61546807"/>
    <s v="61546807"/>
    <m/>
    <m/>
    <n v="22754138"/>
    <m/>
    <m/>
    <m/>
    <s v="SOLFIN"/>
    <s v="SOLFIN"/>
    <s v="CCMS"/>
    <n v="21319087"/>
    <n v="3003.37"/>
    <m/>
    <s v="N"/>
    <n v="32"/>
    <d v="2023-07-03T19:02:10"/>
    <s v="Y"/>
    <s v="Preparation - drafting instructions"/>
    <s v="Prescribed Hourly Rates"/>
    <s v="Profit Cost"/>
    <s v="PH"/>
    <s v="Y"/>
    <n v="68.63"/>
    <n v="13.73"/>
    <x v="3"/>
    <s v="VALIDATED"/>
    <n v="1"/>
    <s v="01.11.80.307.6100.0000"/>
    <n v="68.63"/>
    <s v="11"/>
    <s v="6100"/>
    <n v="24987.5"/>
    <n v="68.63"/>
    <s v="CREDITOR"/>
    <n v="0"/>
    <n v="0"/>
    <n v="0"/>
    <n v="0"/>
    <n v="68.63"/>
  </r>
  <r>
    <n v="61087371"/>
    <s v="N"/>
    <n v="21349665"/>
    <s v="3000015258150003"/>
    <s v="CIVIL"/>
    <d v="2023-06-28T00:00:00"/>
    <d v="2023-07-10T19:01:40"/>
    <m/>
    <d v="2023-07-10T00:00:00"/>
    <n v="917"/>
    <n v="19162"/>
    <s v="61087371"/>
    <s v="61087371"/>
    <m/>
    <m/>
    <n v="22783936"/>
    <m/>
    <m/>
    <m/>
    <s v="SOLFIN"/>
    <s v="SOLFIN"/>
    <s v="CCMS"/>
    <n v="21349665"/>
    <n v="1736"/>
    <m/>
    <s v="N"/>
    <n v="50"/>
    <d v="2023-07-10T19:01:55"/>
    <s v="Y"/>
    <s v="Routine Letter In"/>
    <s v="Prescribed Hourly Rates"/>
    <s v="Profit Cost"/>
    <s v="PH"/>
    <s v="Y"/>
    <n v="143.1"/>
    <n v="28.63"/>
    <x v="2"/>
    <s v="VALIDATED"/>
    <n v="1"/>
    <s v="01.11.80.307.6100.0000"/>
    <n v="143.1"/>
    <s v="11"/>
    <s v="6100"/>
    <n v="24987.5"/>
    <n v="143.1"/>
    <s v="CREDITOR"/>
    <n v="0"/>
    <n v="0"/>
    <n v="0"/>
    <n v="0"/>
    <n v="143.1"/>
  </r>
  <r>
    <n v="60313374"/>
    <s v="N"/>
    <n v="21338325"/>
    <s v="3000014615690008"/>
    <s v="CIVIL"/>
    <d v="2023-06-28T00:00:00"/>
    <d v="2023-07-06T19:21:01"/>
    <m/>
    <d v="2023-07-06T00:00:00"/>
    <n v="917"/>
    <n v="19162"/>
    <s v="60313374"/>
    <s v="60313374"/>
    <m/>
    <m/>
    <n v="22782652"/>
    <m/>
    <m/>
    <m/>
    <s v="SOLFIN"/>
    <s v="SOLFIN"/>
    <s v="CCMS"/>
    <n v="21338325"/>
    <n v="6871.22"/>
    <m/>
    <s v="N"/>
    <n v="109"/>
    <d v="2023-07-06T19:21:19"/>
    <s v="Y"/>
    <s v="Preparation - drafting pleadings"/>
    <s v="Prescribed Hourly Rates"/>
    <s v="Profit Cost"/>
    <s v="JC"/>
    <s v="Y"/>
    <n v="290.97"/>
    <n v="58.2"/>
    <x v="4"/>
    <s v="VALIDATED"/>
    <n v="1"/>
    <s v="01.11.80.307.6100.0000"/>
    <n v="290.97"/>
    <s v="11"/>
    <s v="6100"/>
    <n v="24987.5"/>
    <n v="290.97"/>
    <s v="CREDITOR"/>
    <n v="0"/>
    <n v="0"/>
    <n v="0"/>
    <n v="0"/>
    <n v="290.97"/>
  </r>
  <r>
    <n v="59629456"/>
    <s v="N"/>
    <n v="21338367"/>
    <s v="3000014027440015"/>
    <s v="CIVIL"/>
    <d v="2023-06-28T00:00:00"/>
    <d v="2023-07-06T19:21:01"/>
    <m/>
    <d v="2023-07-06T00:00:00"/>
    <n v="917"/>
    <n v="19162"/>
    <s v="59629456"/>
    <s v="59629456"/>
    <m/>
    <m/>
    <n v="22776034"/>
    <m/>
    <m/>
    <m/>
    <s v="SOLFIN"/>
    <s v="SOLFIN"/>
    <s v="CCMS"/>
    <n v="21338367"/>
    <n v="17364.08"/>
    <m/>
    <s v="N"/>
    <n v="110"/>
    <d v="2023-07-06T19:21:22"/>
    <s v="Y"/>
    <s v="Preparation - other"/>
    <s v="Care Remuneration Hourly Rates"/>
    <s v="Profit Cost"/>
    <s v="PF"/>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3"/>
    <d v="2023-07-06T19:21:22"/>
    <s v="Y"/>
    <s v="Preparation - drafting notice(s)"/>
    <s v="Care Remuneration Hourly Rates"/>
    <s v="Profit Cost"/>
    <s v="DM"/>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8"/>
    <d v="2023-07-06T19:21:22"/>
    <s v="Y"/>
    <s v="Preparation - other"/>
    <s v="Care Remuneration Hourly Rates"/>
    <s v="Profit Cost"/>
    <s v="DM"/>
    <s v="Y"/>
    <n v="5.26"/>
    <n v="1.05"/>
    <x v="4"/>
    <s v="VALIDATED"/>
    <n v="1"/>
    <s v="01.11.80.308.6100.0000"/>
    <n v="5.26"/>
    <s v="11"/>
    <s v="6100"/>
    <n v="24987.5"/>
    <n v="5.26"/>
    <s v="CREDITOR"/>
    <n v="0"/>
    <n v="0"/>
    <n v="0"/>
    <n v="0"/>
    <n v="5.26"/>
  </r>
  <r>
    <n v="61546807"/>
    <s v="N"/>
    <n v="21319087"/>
    <s v="3000015661680003"/>
    <s v="CIVIL"/>
    <d v="2023-06-23T00:00:00"/>
    <d v="2023-07-03T19:01:49"/>
    <m/>
    <d v="2023-07-03T00:00:00"/>
    <n v="917"/>
    <n v="19162"/>
    <s v="61546807"/>
    <s v="61546807"/>
    <m/>
    <m/>
    <n v="22754138"/>
    <m/>
    <m/>
    <m/>
    <s v="SOLFIN"/>
    <s v="SOLFIN"/>
    <s v="CCMS"/>
    <n v="21319087"/>
    <n v="3003.37"/>
    <m/>
    <s v="N"/>
    <n v="63"/>
    <d v="2023-07-03T19:02:10"/>
    <s v="Y"/>
    <s v="Preparation - other"/>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31"/>
    <d v="2023-07-03T19:02:10"/>
    <s v="Y"/>
    <s v="Preparation - other"/>
    <s v="Prescribed Hourly Rates"/>
    <s v="Profit Cost"/>
    <s v="PH"/>
    <s v="Y"/>
    <n v="20.59"/>
    <n v="4.12"/>
    <x v="3"/>
    <s v="VALIDATED"/>
    <n v="1"/>
    <s v="01.11.80.307.6100.0000"/>
    <n v="20.59"/>
    <s v="11"/>
    <s v="6100"/>
    <n v="24987.5"/>
    <n v="20.59"/>
    <s v="CREDITOR"/>
    <n v="0"/>
    <n v="0"/>
    <n v="0"/>
    <n v="0"/>
    <n v="20.59"/>
  </r>
  <r>
    <n v="61546807"/>
    <s v="N"/>
    <n v="21319087"/>
    <s v="3000015661680003"/>
    <s v="CIVIL"/>
    <d v="2023-06-23T00:00:00"/>
    <d v="2023-07-03T19:01:49"/>
    <m/>
    <d v="2023-07-03T00:00:00"/>
    <n v="917"/>
    <n v="19162"/>
    <s v="61546807"/>
    <s v="61546807"/>
    <m/>
    <m/>
    <n v="22754138"/>
    <m/>
    <m/>
    <m/>
    <s v="SOLFIN"/>
    <s v="SOLFIN"/>
    <s v="CCMS"/>
    <n v="21319087"/>
    <n v="3003.37"/>
    <m/>
    <s v="N"/>
    <n v="14"/>
    <d v="2023-07-03T19:02:10"/>
    <s v="Y"/>
    <s v="Preparation - other"/>
    <s v="Prescribed Hourly Rates"/>
    <s v="Profit Cost"/>
    <s v="PH"/>
    <s v="Y"/>
    <n v="20.59"/>
    <n v="4.12"/>
    <x v="3"/>
    <s v="VALIDATED"/>
    <n v="1"/>
    <s v="01.11.80.307.6100.0000"/>
    <n v="20.59"/>
    <s v="11"/>
    <s v="6100"/>
    <n v="24987.5"/>
    <n v="20.59"/>
    <s v="CREDITOR"/>
    <n v="0"/>
    <n v="0"/>
    <n v="0"/>
    <n v="0"/>
    <n v="20.59"/>
  </r>
  <r>
    <n v="61546807"/>
    <s v="N"/>
    <n v="21319087"/>
    <s v="3000015661680003"/>
    <s v="CIVIL"/>
    <d v="2023-06-23T00:00:00"/>
    <d v="2023-07-03T19:01:49"/>
    <m/>
    <d v="2023-07-03T00:00:00"/>
    <n v="917"/>
    <n v="19162"/>
    <s v="61546807"/>
    <s v="61546807"/>
    <m/>
    <m/>
    <n v="22754138"/>
    <m/>
    <m/>
    <m/>
    <s v="SOLFIN"/>
    <s v="SOLFIN"/>
    <s v="CCMS"/>
    <n v="21319087"/>
    <n v="3003.37"/>
    <m/>
    <s v="N"/>
    <n v="73"/>
    <d v="2023-07-03T19:02:10"/>
    <s v="N"/>
    <s v="Preparation - other"/>
    <s v="Prescribed Hourly Rates"/>
    <s v="Profit Cost"/>
    <s v="PH"/>
    <s v="N"/>
    <n v="0"/>
    <n v="0"/>
    <x v="3"/>
    <s v="VALIDATED"/>
    <n v="1"/>
    <s v="01.11.80.307.6100.0000"/>
    <n v="0"/>
    <s v="11"/>
    <s v="6100"/>
    <n v="24987.5"/>
    <n v="0"/>
    <s v="CREDITOR"/>
    <n v="0"/>
    <n v="0"/>
    <n v="0"/>
    <n v="0"/>
    <n v="0"/>
  </r>
  <r>
    <n v="60313374"/>
    <s v="N"/>
    <n v="21338325"/>
    <s v="3000014615690008"/>
    <s v="CIVIL"/>
    <d v="2023-06-28T00:00:00"/>
    <d v="2023-07-06T19:21:01"/>
    <m/>
    <d v="2023-07-06T00:00:00"/>
    <n v="917"/>
    <n v="19162"/>
    <s v="60313374"/>
    <s v="60313374"/>
    <m/>
    <m/>
    <n v="22782652"/>
    <m/>
    <m/>
    <m/>
    <s v="SOLFIN"/>
    <s v="SOLFIN"/>
    <s v="CCMS"/>
    <n v="21338325"/>
    <n v="6871.22"/>
    <m/>
    <s v="N"/>
    <n v="101"/>
    <d v="2023-07-06T19:21:19"/>
    <s v="Y"/>
    <s v="Preparation - other"/>
    <s v="Prescribed Hourly Rates"/>
    <s v="Profit Cost"/>
    <s v="SL"/>
    <s v="Y"/>
    <n v="5.49"/>
    <n v="1.1"/>
    <x v="4"/>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81"/>
    <d v="2023-07-06T19:21:19"/>
    <s v="Y"/>
    <s v="Preparation - other"/>
    <s v="Prescribed Hourly Rates"/>
    <s v="Profit Cost"/>
    <s v="PH"/>
    <s v="Y"/>
    <n v="60.39"/>
    <n v="12.08"/>
    <x v="4"/>
    <s v="VALIDATED"/>
    <n v="1"/>
    <s v="01.11.80.307.6100.0000"/>
    <n v="60.39"/>
    <s v="11"/>
    <s v="6100"/>
    <n v="24987.5"/>
    <n v="60.39"/>
    <s v="CREDITOR"/>
    <n v="0"/>
    <n v="0"/>
    <n v="0"/>
    <n v="0"/>
    <n v="60.39"/>
  </r>
  <r>
    <n v="59629456"/>
    <s v="N"/>
    <n v="21338367"/>
    <s v="3000014027440015"/>
    <s v="CIVIL"/>
    <d v="2023-06-28T00:00:00"/>
    <d v="2023-07-06T19:21:01"/>
    <m/>
    <d v="2023-07-06T00:00:00"/>
    <n v="917"/>
    <n v="19162"/>
    <s v="59629456"/>
    <s v="59629456"/>
    <m/>
    <m/>
    <n v="22776034"/>
    <m/>
    <m/>
    <m/>
    <s v="SOLFIN"/>
    <s v="SOLFIN"/>
    <s v="CCMS"/>
    <n v="21338367"/>
    <n v="17364.08"/>
    <m/>
    <s v="N"/>
    <n v="84"/>
    <d v="2023-07-06T19:21:22"/>
    <s v="Y"/>
    <s v="Attendance upon client"/>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106"/>
    <d v="2023-07-06T19:21:22"/>
    <s v="Y"/>
    <s v="Preparation - other"/>
    <s v="Care Remuneration Hourly Rates"/>
    <s v="Profit Cost"/>
    <s v="ZM"/>
    <s v="Y"/>
    <n v="7.36"/>
    <n v="1.47"/>
    <x v="4"/>
    <s v="VALIDATED"/>
    <n v="1"/>
    <s v="01.11.80.308.6100.0000"/>
    <n v="7.36"/>
    <s v="11"/>
    <s v="6100"/>
    <n v="24987.5"/>
    <n v="7.36"/>
    <s v="CREDITOR"/>
    <n v="0"/>
    <n v="0"/>
    <n v="0"/>
    <n v="0"/>
    <n v="7.36"/>
  </r>
  <r>
    <n v="60969011"/>
    <s v="N"/>
    <n v="21328040"/>
    <s v="3000015171370002"/>
    <s v="CIVIL"/>
    <d v="2023-06-27T00:00:00"/>
    <d v="2023-07-04T19:00:44"/>
    <m/>
    <d v="2023-07-04T00:00:00"/>
    <n v="917"/>
    <n v="19162"/>
    <s v="60969011"/>
    <s v="60969011"/>
    <m/>
    <m/>
    <n v="22772306"/>
    <m/>
    <m/>
    <m/>
    <s v="SOLFIN"/>
    <s v="SOLFIN"/>
    <s v="CCMS"/>
    <n v="21328040"/>
    <n v="2128.61"/>
    <m/>
    <s v="N"/>
    <n v="28"/>
    <d v="2023-07-04T19:01:02"/>
    <s v="Y"/>
    <s v="Preparation - drafting bill/claim f"/>
    <s v="Prescribed Hourly Rates"/>
    <s v="Profit Cost"/>
    <s v="CD"/>
    <s v="Y"/>
    <n v="65.88"/>
    <n v="13.18"/>
    <x v="1"/>
    <s v="VALIDATED"/>
    <n v="1"/>
    <s v="01.11.80.307.6100.0000"/>
    <n v="65.88"/>
    <s v="11"/>
    <s v="6100"/>
    <n v="24987.5"/>
    <n v="65.88"/>
    <s v="CREDITOR"/>
    <n v="0"/>
    <n v="0"/>
    <n v="0"/>
    <n v="0"/>
    <n v="65.88"/>
  </r>
  <r>
    <n v="61087371"/>
    <s v="N"/>
    <n v="21349665"/>
    <s v="3000015258150003"/>
    <s v="CIVIL"/>
    <d v="2023-06-28T00:00:00"/>
    <d v="2023-07-10T19:01:40"/>
    <m/>
    <d v="2023-07-10T00:00:00"/>
    <n v="917"/>
    <n v="19162"/>
    <s v="61087371"/>
    <s v="61087371"/>
    <m/>
    <m/>
    <n v="22783936"/>
    <m/>
    <m/>
    <m/>
    <s v="SOLFIN"/>
    <s v="SOLFIN"/>
    <s v="CCMS"/>
    <n v="21349665"/>
    <n v="1736"/>
    <m/>
    <s v="N"/>
    <n v="33"/>
    <d v="2023-07-10T19:01:55"/>
    <s v="Y"/>
    <s v="Preparation - other"/>
    <s v="Prescribed Hourly Rates"/>
    <s v="Profit Cost"/>
    <s v="PH"/>
    <s v="Y"/>
    <n v="13.18"/>
    <n v="2.64"/>
    <x v="2"/>
    <s v="VALIDATED"/>
    <n v="1"/>
    <s v="01.11.80.307.6100.0000"/>
    <n v="13.18"/>
    <s v="11"/>
    <s v="6100"/>
    <n v="24987.5"/>
    <n v="13.18"/>
    <s v="CREDITOR"/>
    <n v="0"/>
    <n v="0"/>
    <n v="0"/>
    <n v="0"/>
    <n v="13.18"/>
  </r>
  <r>
    <n v="59629456"/>
    <s v="N"/>
    <n v="21338367"/>
    <s v="3000014027440015"/>
    <s v="CIVIL"/>
    <d v="2023-06-28T00:00:00"/>
    <d v="2023-07-06T19:21:01"/>
    <m/>
    <d v="2023-07-06T00:00:00"/>
    <n v="917"/>
    <n v="19162"/>
    <s v="59629456"/>
    <s v="59629456"/>
    <m/>
    <m/>
    <n v="22776034"/>
    <m/>
    <m/>
    <m/>
    <s v="SOLFIN"/>
    <s v="SOLFIN"/>
    <s v="CCMS"/>
    <n v="21338367"/>
    <n v="17364.08"/>
    <m/>
    <s v="N"/>
    <n v="157"/>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46"/>
    <d v="2023-07-06T19:21:22"/>
    <s v="Y"/>
    <s v="Preparation - other"/>
    <s v="Care Remuneration Hourly Rates"/>
    <s v="Profit Cost"/>
    <s v="ZM"/>
    <s v="Y"/>
    <n v="117.75"/>
    <n v="23.55"/>
    <x v="4"/>
    <s v="VALIDATED"/>
    <n v="1"/>
    <s v="01.11.80.308.6100.0000"/>
    <n v="117.75"/>
    <s v="11"/>
    <s v="6100"/>
    <n v="24987.5"/>
    <n v="117.75"/>
    <s v="CREDITOR"/>
    <n v="0"/>
    <n v="0"/>
    <n v="0"/>
    <n v="0"/>
    <n v="117.75"/>
  </r>
  <r>
    <n v="59629456"/>
    <s v="N"/>
    <n v="21338367"/>
    <s v="3000014027440015"/>
    <s v="CIVIL"/>
    <d v="2023-06-28T00:00:00"/>
    <d v="2023-07-06T19:21:01"/>
    <m/>
    <d v="2023-07-06T00:00:00"/>
    <n v="917"/>
    <n v="19162"/>
    <s v="59629456"/>
    <s v="59629456"/>
    <m/>
    <m/>
    <n v="22776034"/>
    <m/>
    <m/>
    <m/>
    <s v="SOLFIN"/>
    <s v="SOLFIN"/>
    <s v="CCMS"/>
    <n v="21338367"/>
    <n v="17364.08"/>
    <m/>
    <s v="N"/>
    <n v="51"/>
    <d v="2023-07-06T19:21:22"/>
    <s v="Y"/>
    <s v="Attendance upon other side"/>
    <s v="Care Remuneration Hourly Rates"/>
    <s v="Profit Cost"/>
    <s v="ZM"/>
    <s v="Y"/>
    <n v="22.08"/>
    <n v="4.42"/>
    <x v="4"/>
    <s v="VALIDATED"/>
    <n v="1"/>
    <s v="01.11.80.308.6100.0000"/>
    <n v="22.08"/>
    <s v="11"/>
    <s v="6100"/>
    <n v="24987.5"/>
    <n v="22.08"/>
    <s v="CREDITOR"/>
    <n v="0"/>
    <n v="0"/>
    <n v="0"/>
    <n v="0"/>
    <n v="22.08"/>
  </r>
  <r>
    <n v="59629456"/>
    <s v="N"/>
    <n v="21338367"/>
    <s v="3000014027440015"/>
    <s v="CIVIL"/>
    <d v="2023-06-28T00:00:00"/>
    <d v="2023-07-06T19:21:01"/>
    <m/>
    <d v="2023-07-06T00:00:00"/>
    <n v="917"/>
    <n v="19162"/>
    <s v="59629456"/>
    <s v="59629456"/>
    <m/>
    <m/>
    <n v="22776034"/>
    <m/>
    <m/>
    <m/>
    <s v="SOLFIN"/>
    <s v="SOLFIN"/>
    <s v="CCMS"/>
    <n v="21338367"/>
    <n v="17364.08"/>
    <m/>
    <s v="N"/>
    <n v="112"/>
    <d v="2023-07-06T19:21:22"/>
    <s v="Y"/>
    <s v="Preparation - other"/>
    <s v="Care Remuneration Hourly Rates"/>
    <s v="Profit Cost"/>
    <s v="Z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22"/>
    <d v="2023-07-06T19:21:22"/>
    <s v="Y"/>
    <s v="Attendance upon client"/>
    <s v="Care Remuneration Hourly Rates"/>
    <s v="Profit Cost"/>
    <s v="ZM"/>
    <s v="Y"/>
    <n v="95.68000000000001"/>
    <n v="19.14"/>
    <x v="4"/>
    <s v="VALIDATED"/>
    <n v="1"/>
    <s v="01.11.80.308.6100.0000"/>
    <n v="95.68000000000001"/>
    <s v="11"/>
    <s v="6100"/>
    <n v="24987.5"/>
    <n v="95.68000000000001"/>
    <s v="CREDITOR"/>
    <n v="0"/>
    <n v="0"/>
    <n v="0"/>
    <n v="0"/>
    <n v="95.68000000000001"/>
  </r>
  <r>
    <n v="61546807"/>
    <s v="N"/>
    <n v="21319087"/>
    <s v="3000015661680003"/>
    <s v="CIVIL"/>
    <d v="2023-06-23T00:00:00"/>
    <d v="2023-07-03T19:01:49"/>
    <m/>
    <d v="2023-07-03T00:00:00"/>
    <n v="917"/>
    <n v="19162"/>
    <s v="61546807"/>
    <s v="61546807"/>
    <m/>
    <m/>
    <n v="22754138"/>
    <m/>
    <m/>
    <m/>
    <s v="SOLFIN"/>
    <s v="SOLFIN"/>
    <s v="CCMS"/>
    <n v="21319087"/>
    <n v="3003.37"/>
    <m/>
    <s v="N"/>
    <n v="52"/>
    <d v="2023-07-03T19:02:10"/>
    <s v="Y"/>
    <s v="Preparation - other"/>
    <s v="Prescribed Hourly Rates"/>
    <s v="Profit Cost"/>
    <s v="PH"/>
    <s v="Y"/>
    <n v="5.49"/>
    <n v="1.1"/>
    <x v="3"/>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1"/>
    <d v="2023-07-03T19:02:10"/>
    <s v="Y"/>
    <s v="Hearing Unit 2.31 - 5.00 Hours"/>
    <s v="Private Law Children"/>
    <s v="Advocacy"/>
    <s v="PH"/>
    <s v="Y"/>
    <n v="344.8"/>
    <n v="68.93000000000001"/>
    <x v="3"/>
    <s v="VALIDATED"/>
    <n v="1"/>
    <s v="01.11.80.307.6100.0000"/>
    <n v="344.8"/>
    <s v="11"/>
    <s v="6100"/>
    <n v="24987.5"/>
    <n v="344.8"/>
    <s v="CREDITOR"/>
    <n v="0"/>
    <n v="0"/>
    <n v="0"/>
    <n v="0"/>
    <n v="344.8"/>
  </r>
  <r>
    <n v="61546807"/>
    <s v="N"/>
    <n v="21319087"/>
    <s v="3000015661680003"/>
    <s v="CIVIL"/>
    <d v="2023-06-23T00:00:00"/>
    <d v="2023-07-03T19:01:49"/>
    <m/>
    <d v="2023-07-03T00:00:00"/>
    <n v="917"/>
    <n v="19162"/>
    <s v="61546807"/>
    <s v="61546807"/>
    <m/>
    <m/>
    <n v="22754138"/>
    <m/>
    <m/>
    <m/>
    <s v="SOLFIN"/>
    <s v="SOLFIN"/>
    <s v="CCMS"/>
    <n v="21319087"/>
    <n v="3003.37"/>
    <m/>
    <s v="N"/>
    <n v="12"/>
    <d v="2023-07-03T19:02:10"/>
    <s v="Y"/>
    <s v="Preparation - drafting notice(s)"/>
    <s v="Prescribed Hourly Rates"/>
    <s v="Profit Cost"/>
    <s v="PH"/>
    <s v="Y"/>
    <n v="10.98"/>
    <n v="2.2"/>
    <x v="3"/>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23"/>
    <d v="2023-07-06T19:21:22"/>
    <s v="Y"/>
    <s v="Preparation - other"/>
    <s v="Care Remuneration Hourly Rates"/>
    <s v="Profit Cost"/>
    <s v="ZM"/>
    <s v="Y"/>
    <n v="36.81"/>
    <n v="7.36"/>
    <x v="4"/>
    <s v="VALIDATED"/>
    <n v="1"/>
    <s v="01.11.80.308.6100.0000"/>
    <n v="36.81"/>
    <s v="11"/>
    <s v="6100"/>
    <n v="24987.5"/>
    <n v="36.81"/>
    <s v="CREDITOR"/>
    <n v="0"/>
    <n v="0"/>
    <n v="0"/>
    <n v="0"/>
    <n v="36.81"/>
  </r>
  <r>
    <n v="61196876"/>
    <s v="N"/>
    <n v="21344045"/>
    <s v="3000015373210004"/>
    <s v="CIVIL"/>
    <d v="2023-06-29T00:00:00"/>
    <d v="2023-07-07T19:03:00"/>
    <m/>
    <d v="2023-07-07T00:00:00"/>
    <n v="917"/>
    <n v="19162"/>
    <s v="61196876"/>
    <s v="61196876"/>
    <m/>
    <m/>
    <n v="22785108"/>
    <m/>
    <m/>
    <m/>
    <s v="SOLFIN"/>
    <s v="SOLFIN"/>
    <s v="CCMS"/>
    <n v="21344045"/>
    <n v="4358.58"/>
    <m/>
    <s v="N"/>
    <n v="3"/>
    <d v="2023-07-07T19:03:21"/>
    <s v="Y"/>
    <s v="Toxicologist"/>
    <s v="Public Law Children"/>
    <s v="Expert Disbursement"/>
    <s v="XXX"/>
    <s v="Y"/>
    <n v="118.26"/>
    <n v="23.65"/>
    <x v="9"/>
    <s v="VALIDATED"/>
    <n v="1"/>
    <s v="01.11.80.308.6300.0000"/>
    <n v="118.26"/>
    <s v="11"/>
    <s v="6300"/>
    <n v="24987.5"/>
    <n v="118.26"/>
    <s v="CREDITOR"/>
    <n v="0"/>
    <n v="0"/>
    <n v="0"/>
    <n v="0"/>
    <n v="118.26"/>
  </r>
  <r>
    <n v="60313374"/>
    <s v="N"/>
    <n v="21338325"/>
    <s v="3000014615690008"/>
    <s v="CIVIL"/>
    <d v="2023-06-28T00:00:00"/>
    <d v="2023-07-06T19:21:01"/>
    <m/>
    <d v="2023-07-06T00:00:00"/>
    <n v="917"/>
    <n v="19162"/>
    <s v="60313374"/>
    <s v="60313374"/>
    <m/>
    <m/>
    <n v="22782652"/>
    <m/>
    <m/>
    <m/>
    <s v="SOLFIN"/>
    <s v="SOLFIN"/>
    <s v="CCMS"/>
    <n v="21338325"/>
    <n v="6871.22"/>
    <m/>
    <s v="N"/>
    <n v="14"/>
    <d v="2023-07-06T19:21:19"/>
    <s v="Y"/>
    <s v="Preparation - other"/>
    <s v="Prescribed Hourly Rates"/>
    <s v="Profit Cost"/>
    <s v="PL"/>
    <s v="Y"/>
    <n v="21.96"/>
    <n v="4.39"/>
    <x v="4"/>
    <s v="VALIDATED"/>
    <n v="1"/>
    <s v="01.11.80.307.6100.0000"/>
    <n v="21.96"/>
    <s v="11"/>
    <s v="6100"/>
    <n v="24987.5"/>
    <n v="21.96"/>
    <s v="CREDITOR"/>
    <n v="0"/>
    <n v="0"/>
    <n v="0"/>
    <n v="0"/>
    <n v="21.96"/>
  </r>
  <r>
    <n v="59629456"/>
    <s v="N"/>
    <n v="21338367"/>
    <s v="3000014027440015"/>
    <s v="CIVIL"/>
    <d v="2023-06-28T00:00:00"/>
    <d v="2023-07-06T19:21:01"/>
    <m/>
    <d v="2023-07-06T00:00:00"/>
    <n v="917"/>
    <n v="19162"/>
    <s v="59629456"/>
    <s v="59629456"/>
    <m/>
    <m/>
    <n v="22776034"/>
    <m/>
    <m/>
    <m/>
    <s v="SOLFIN"/>
    <s v="SOLFIN"/>
    <s v="CCMS"/>
    <n v="21338367"/>
    <n v="17364.08"/>
    <m/>
    <s v="N"/>
    <n v="24"/>
    <d v="2023-07-06T19:21:22"/>
    <s v="Y"/>
    <s v="Preparation - drafting statement"/>
    <s v="Care Remuneration Hourly Rates"/>
    <s v="Profit Cost"/>
    <s v="ZM"/>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27"/>
    <d v="2023-07-06T19:21:22"/>
    <s v="Y"/>
    <s v="Attendance upon client"/>
    <s v="Care Remuneration Hourly Rates"/>
    <s v="Profit Cost"/>
    <s v="ZM"/>
    <s v="Y"/>
    <n v="58.88"/>
    <n v="11.78"/>
    <x v="4"/>
    <s v="VALIDATED"/>
    <n v="1"/>
    <s v="01.11.80.308.6100.0000"/>
    <n v="58.88"/>
    <s v="11"/>
    <s v="6100"/>
    <n v="24987.5"/>
    <n v="58.88"/>
    <s v="CREDITOR"/>
    <n v="0"/>
    <n v="0"/>
    <n v="0"/>
    <n v="0"/>
    <n v="58.88"/>
  </r>
  <r>
    <n v="60313374"/>
    <s v="N"/>
    <n v="21338325"/>
    <s v="3000014615690008"/>
    <s v="CIVIL"/>
    <d v="2023-06-28T00:00:00"/>
    <d v="2023-07-06T19:21:01"/>
    <m/>
    <d v="2023-07-06T00:00:00"/>
    <n v="917"/>
    <n v="19162"/>
    <s v="60313374"/>
    <s v="60313374"/>
    <m/>
    <m/>
    <n v="22782652"/>
    <m/>
    <m/>
    <m/>
    <s v="SOLFIN"/>
    <s v="SOLFIN"/>
    <s v="CCMS"/>
    <n v="21338325"/>
    <n v="6871.22"/>
    <m/>
    <s v="N"/>
    <n v="57"/>
    <d v="2023-07-06T19:21:19"/>
    <s v="Y"/>
    <s v="Attendance upon other"/>
    <s v="Prescribed Hourly Rates"/>
    <s v="Profit Cost"/>
    <s v="PH"/>
    <s v="Y"/>
    <n v="27.45"/>
    <n v="5.49"/>
    <x v="4"/>
    <s v="VALIDATED"/>
    <n v="1"/>
    <s v="01.11.80.307.6100.0000"/>
    <n v="27.45"/>
    <s v="11"/>
    <s v="6100"/>
    <n v="24987.5"/>
    <n v="27.45"/>
    <s v="CREDITOR"/>
    <n v="0"/>
    <n v="0"/>
    <n v="0"/>
    <n v="0"/>
    <n v="27.45"/>
  </r>
  <r>
    <n v="59629456"/>
    <s v="N"/>
    <n v="21338367"/>
    <s v="3000014027440015"/>
    <s v="CIVIL"/>
    <d v="2023-06-28T00:00:00"/>
    <d v="2023-07-06T19:21:01"/>
    <m/>
    <d v="2023-07-06T00:00:00"/>
    <n v="917"/>
    <n v="19162"/>
    <s v="59629456"/>
    <s v="59629456"/>
    <m/>
    <m/>
    <n v="22776034"/>
    <m/>
    <m/>
    <m/>
    <s v="SOLFIN"/>
    <s v="SOLFIN"/>
    <s v="CCMS"/>
    <n v="21338367"/>
    <n v="17364.08"/>
    <m/>
    <s v="N"/>
    <n v="189"/>
    <d v="2023-07-06T19:21:22"/>
    <s v="Y"/>
    <s v="Hearing Unit 2.31 - 5.00 Hours"/>
    <s v="Public Law Children"/>
    <s v="Advocacy"/>
    <s v="ZM"/>
    <s v="Y"/>
    <n v="596.15"/>
    <n v="119.23"/>
    <x v="4"/>
    <s v="VALIDATED"/>
    <n v="1"/>
    <s v="01.11.80.308.6100.0000"/>
    <n v="596.15"/>
    <s v="11"/>
    <s v="6100"/>
    <n v="24987.5"/>
    <n v="596.15"/>
    <s v="CREDITOR"/>
    <n v="0"/>
    <n v="0"/>
    <n v="0"/>
    <n v="0"/>
    <n v="596.15"/>
  </r>
  <r>
    <n v="59629456"/>
    <s v="N"/>
    <n v="21338367"/>
    <s v="3000014027440015"/>
    <s v="CIVIL"/>
    <d v="2023-06-28T00:00:00"/>
    <d v="2023-07-06T19:21:01"/>
    <m/>
    <d v="2023-07-06T00:00:00"/>
    <n v="917"/>
    <n v="19162"/>
    <s v="59629456"/>
    <s v="59629456"/>
    <m/>
    <m/>
    <n v="22776034"/>
    <m/>
    <m/>
    <m/>
    <s v="SOLFIN"/>
    <s v="SOLFIN"/>
    <s v="CCMS"/>
    <n v="21338367"/>
    <n v="17364.08"/>
    <m/>
    <s v="N"/>
    <n v="80"/>
    <d v="2023-07-06T19:21:22"/>
    <s v="Y"/>
    <s v="Preparation - drafting statement"/>
    <s v="Care Remuneration Hourly Rates"/>
    <s v="Profit Cost"/>
    <s v="ZM"/>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167"/>
    <d v="2023-07-06T19:21:22"/>
    <s v="Y"/>
    <s v="Preparation - other"/>
    <s v="Care Remuneration Hourly Rates"/>
    <s v="Profit Cost"/>
    <s v="DHH"/>
    <s v="Y"/>
    <n v="5.26"/>
    <n v="1.05"/>
    <x v="4"/>
    <s v="VALIDATED"/>
    <n v="1"/>
    <s v="01.11.80.308.6100.0000"/>
    <n v="5.26"/>
    <s v="11"/>
    <s v="6100"/>
    <n v="24987.5"/>
    <n v="5.26"/>
    <s v="CREDITOR"/>
    <n v="0"/>
    <n v="0"/>
    <n v="0"/>
    <n v="0"/>
    <n v="5.26"/>
  </r>
  <r>
    <n v="60313374"/>
    <s v="N"/>
    <n v="21338325"/>
    <s v="3000014615690008"/>
    <s v="CIVIL"/>
    <d v="2023-06-28T00:00:00"/>
    <d v="2023-07-06T19:21:01"/>
    <m/>
    <d v="2023-07-06T00:00:00"/>
    <n v="917"/>
    <n v="19162"/>
    <s v="60313374"/>
    <s v="60313374"/>
    <m/>
    <m/>
    <n v="22782652"/>
    <m/>
    <m/>
    <m/>
    <s v="SOLFIN"/>
    <s v="SOLFIN"/>
    <s v="CCMS"/>
    <n v="21338325"/>
    <n v="6871.22"/>
    <m/>
    <s v="N"/>
    <n v="61"/>
    <d v="2023-07-06T19:21:19"/>
    <s v="Y"/>
    <s v="Preparation - other"/>
    <s v="Prescribed Hourly Rates"/>
    <s v="Profit Cost"/>
    <s v="PH"/>
    <s v="Y"/>
    <n v="18.94"/>
    <n v="3.79"/>
    <x v="4"/>
    <s v="VALIDATED"/>
    <n v="1"/>
    <s v="01.11.80.307.6100.0000"/>
    <n v="18.94"/>
    <s v="11"/>
    <s v="6100"/>
    <n v="24987.5"/>
    <n v="18.94"/>
    <s v="CREDITOR"/>
    <n v="0"/>
    <n v="0"/>
    <n v="0"/>
    <n v="0"/>
    <n v="18.94"/>
  </r>
  <r>
    <n v="59629456"/>
    <s v="N"/>
    <n v="21338367"/>
    <s v="3000014027440015"/>
    <s v="CIVIL"/>
    <d v="2023-06-28T00:00:00"/>
    <d v="2023-07-06T19:21:01"/>
    <m/>
    <d v="2023-07-06T00:00:00"/>
    <n v="917"/>
    <n v="19162"/>
    <s v="59629456"/>
    <s v="59629456"/>
    <m/>
    <m/>
    <n v="22776034"/>
    <m/>
    <m/>
    <m/>
    <s v="SOLFIN"/>
    <s v="SOLFIN"/>
    <s v="CCMS"/>
    <n v="21338367"/>
    <n v="17364.08"/>
    <m/>
    <s v="N"/>
    <n v="99"/>
    <d v="2023-07-06T19:21:22"/>
    <s v="Y"/>
    <s v="Preparation - other"/>
    <s v="Care Remuneration Hourly Rates"/>
    <s v="Profit Cost"/>
    <s v="ZM"/>
    <s v="Y"/>
    <n v="22.08"/>
    <n v="4.42"/>
    <x v="4"/>
    <s v="VALIDATED"/>
    <n v="1"/>
    <s v="01.11.80.308.6100.0000"/>
    <n v="22.08"/>
    <s v="11"/>
    <s v="6100"/>
    <n v="24987.5"/>
    <n v="22.08"/>
    <s v="CREDITOR"/>
    <n v="0"/>
    <n v="0"/>
    <n v="0"/>
    <n v="0"/>
    <n v="22.08"/>
  </r>
  <r>
    <n v="60313374"/>
    <s v="N"/>
    <n v="21338325"/>
    <s v="3000014615690008"/>
    <s v="CIVIL"/>
    <d v="2023-06-28T00:00:00"/>
    <d v="2023-07-06T19:21:01"/>
    <m/>
    <d v="2023-07-06T00:00:00"/>
    <n v="917"/>
    <n v="19162"/>
    <s v="60313374"/>
    <s v="60313374"/>
    <m/>
    <m/>
    <n v="22782652"/>
    <m/>
    <m/>
    <m/>
    <s v="SOLFIN"/>
    <s v="SOLFIN"/>
    <s v="CCMS"/>
    <n v="21338325"/>
    <n v="6871.22"/>
    <m/>
    <s v="N"/>
    <n v="4"/>
    <d v="2023-07-06T19:21:19"/>
    <s v="Y"/>
    <s v="Hearing Unit 0.00 - 1.00 Hours"/>
    <s v="Domestic Abuse"/>
    <s v="Advocacy"/>
    <s v="PH"/>
    <s v="Y"/>
    <n v="81.5"/>
    <n v="16.3"/>
    <x v="4"/>
    <s v="VALIDATED"/>
    <n v="1"/>
    <s v="01.11.80.307.6100.0000"/>
    <n v="81.5"/>
    <s v="11"/>
    <s v="6100"/>
    <n v="24987.5"/>
    <n v="81.5"/>
    <s v="CREDITOR"/>
    <n v="0"/>
    <n v="0"/>
    <n v="0"/>
    <n v="0"/>
    <n v="81.5"/>
  </r>
  <r>
    <n v="59629456"/>
    <s v="N"/>
    <n v="21338367"/>
    <s v="3000014027440015"/>
    <s v="CIVIL"/>
    <d v="2023-06-28T00:00:00"/>
    <d v="2023-07-06T19:21:01"/>
    <m/>
    <d v="2023-07-06T00:00:00"/>
    <n v="917"/>
    <n v="19162"/>
    <s v="59629456"/>
    <s v="59629456"/>
    <m/>
    <m/>
    <n v="22776034"/>
    <m/>
    <m/>
    <m/>
    <s v="SOLFIN"/>
    <s v="SOLFIN"/>
    <s v="CCMS"/>
    <n v="21338367"/>
    <n v="17364.08"/>
    <m/>
    <s v="N"/>
    <n v="62"/>
    <d v="2023-07-06T19:21:22"/>
    <s v="Y"/>
    <s v="Preparation - other"/>
    <s v="Care Remuneration Hourly Rates"/>
    <s v="Profit Cost"/>
    <s v="ZM"/>
    <s v="Y"/>
    <n v="22.08"/>
    <n v="4.42"/>
    <x v="4"/>
    <s v="VALIDATED"/>
    <n v="1"/>
    <s v="01.11.80.308.6100.0000"/>
    <n v="22.08"/>
    <s v="11"/>
    <s v="6100"/>
    <n v="24987.5"/>
    <n v="22.08"/>
    <s v="CREDITOR"/>
    <n v="0"/>
    <n v="0"/>
    <n v="0"/>
    <n v="0"/>
    <n v="22.08"/>
  </r>
  <r>
    <n v="61546807"/>
    <s v="N"/>
    <n v="21319087"/>
    <s v="3000015661680003"/>
    <s v="CIVIL"/>
    <d v="2023-06-23T00:00:00"/>
    <d v="2023-07-03T19:01:49"/>
    <m/>
    <d v="2023-07-03T00:00:00"/>
    <n v="917"/>
    <n v="19162"/>
    <s v="61546807"/>
    <s v="61546807"/>
    <m/>
    <m/>
    <n v="22754138"/>
    <m/>
    <m/>
    <m/>
    <s v="SOLFIN"/>
    <s v="SOLFIN"/>
    <s v="CCMS"/>
    <n v="21319087"/>
    <n v="3003.37"/>
    <m/>
    <s v="N"/>
    <n v="58"/>
    <d v="2023-07-03T19:02:10"/>
    <s v="Y"/>
    <s v="Preparation - other"/>
    <s v="Prescribed Hourly Rates"/>
    <s v="Profit Cost"/>
    <s v="PH"/>
    <s v="Y"/>
    <n v="27.45"/>
    <n v="5.49"/>
    <x v="3"/>
    <s v="VALIDATED"/>
    <n v="1"/>
    <s v="01.11.80.307.6100.0000"/>
    <n v="27.45"/>
    <s v="11"/>
    <s v="6100"/>
    <n v="24987.5"/>
    <n v="27.45"/>
    <s v="CREDITOR"/>
    <n v="0"/>
    <n v="0"/>
    <n v="0"/>
    <n v="0"/>
    <n v="27.45"/>
  </r>
  <r>
    <n v="60313374"/>
    <s v="N"/>
    <n v="21338325"/>
    <s v="3000014615690008"/>
    <s v="CIVIL"/>
    <d v="2023-06-28T00:00:00"/>
    <d v="2023-07-06T19:21:01"/>
    <m/>
    <d v="2023-07-06T00:00:00"/>
    <n v="917"/>
    <n v="19162"/>
    <s v="60313374"/>
    <s v="60313374"/>
    <m/>
    <m/>
    <n v="22782652"/>
    <m/>
    <m/>
    <m/>
    <s v="SOLFIN"/>
    <s v="SOLFIN"/>
    <s v="CCMS"/>
    <n v="21338325"/>
    <n v="6871.22"/>
    <m/>
    <s v="N"/>
    <n v="98"/>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66"/>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182"/>
    <d v="2023-07-06T19:21:22"/>
    <s v="Y"/>
    <s v="Expert - Other"/>
    <s v="Care Remuneration Hourly Rates"/>
    <s v="Expert Disbursement"/>
    <s v="XXX"/>
    <s v="Y"/>
    <n v="91.45999999999999"/>
    <n v="18.29"/>
    <x v="4"/>
    <s v="VALIDATED"/>
    <n v="1"/>
    <s v="01.11.80.308.6300.0000"/>
    <n v="91.45999999999999"/>
    <s v="11"/>
    <s v="6300"/>
    <n v="24987.5"/>
    <n v="91.45999999999999"/>
    <s v="CREDITOR"/>
    <n v="0"/>
    <n v="0"/>
    <n v="0"/>
    <n v="0"/>
    <n v="91.45999999999999"/>
  </r>
  <r>
    <n v="60313374"/>
    <s v="N"/>
    <n v="21338325"/>
    <s v="3000014615690008"/>
    <s v="CIVIL"/>
    <d v="2023-06-28T00:00:00"/>
    <d v="2023-07-06T19:21:01"/>
    <m/>
    <d v="2023-07-06T00:00:00"/>
    <n v="917"/>
    <n v="19162"/>
    <s v="60313374"/>
    <s v="60313374"/>
    <m/>
    <m/>
    <n v="22782652"/>
    <m/>
    <m/>
    <m/>
    <s v="SOLFIN"/>
    <s v="SOLFIN"/>
    <s v="CCMS"/>
    <n v="21338325"/>
    <n v="6871.22"/>
    <m/>
    <s v="N"/>
    <n v="18"/>
    <d v="2023-07-06T19:21:19"/>
    <s v="Y"/>
    <s v="Preparation - other"/>
    <s v="Prescribed Hourly Rates"/>
    <s v="Profit Cost"/>
    <s v="PH"/>
    <s v="Y"/>
    <n v="10.98"/>
    <n v="2.2"/>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77"/>
    <d v="2023-07-06T19:21:22"/>
    <s v="Y"/>
    <s v="Preparation - other"/>
    <s v="Care Remuneration Hourly Rates"/>
    <s v="Profit Cost"/>
    <s v="ZM"/>
    <s v="Y"/>
    <n v="73.59999999999999"/>
    <n v="14.72"/>
    <x v="4"/>
    <s v="VALIDATED"/>
    <n v="1"/>
    <s v="01.11.80.308.6100.0000"/>
    <n v="73.59999999999999"/>
    <s v="11"/>
    <s v="6100"/>
    <n v="24987.5"/>
    <n v="73.59999999999999"/>
    <s v="CREDITOR"/>
    <n v="0"/>
    <n v="0"/>
    <n v="0"/>
    <n v="0"/>
    <n v="73.59999999999999"/>
  </r>
  <r>
    <n v="60313374"/>
    <s v="N"/>
    <n v="21338325"/>
    <s v="3000014615690008"/>
    <s v="CIVIL"/>
    <d v="2023-06-28T00:00:00"/>
    <d v="2023-07-06T19:21:01"/>
    <m/>
    <d v="2023-07-06T00:00:00"/>
    <n v="917"/>
    <n v="19162"/>
    <s v="60313374"/>
    <s v="60313374"/>
    <m/>
    <m/>
    <n v="22782652"/>
    <m/>
    <m/>
    <m/>
    <s v="SOLFIN"/>
    <s v="SOLFIN"/>
    <s v="CCMS"/>
    <n v="21338325"/>
    <n v="6871.22"/>
    <m/>
    <s v="N"/>
    <n v="17"/>
    <d v="2023-07-06T19:21:19"/>
    <s v="Y"/>
    <s v="Preparation - other"/>
    <s v="Prescribed Hourly Rates"/>
    <s v="Profit Cost"/>
    <s v="PH"/>
    <s v="Y"/>
    <n v="16.47"/>
    <n v="3.29"/>
    <x v="4"/>
    <s v="VALIDATED"/>
    <n v="1"/>
    <s v="01.11.80.307.6100.0000"/>
    <n v="16.47"/>
    <s v="11"/>
    <s v="6100"/>
    <n v="24987.5"/>
    <n v="16.47"/>
    <s v="CREDITOR"/>
    <n v="0"/>
    <n v="0"/>
    <n v="0"/>
    <n v="0"/>
    <n v="16.47"/>
  </r>
  <r>
    <n v="60313374"/>
    <s v="N"/>
    <n v="21338325"/>
    <s v="3000014615690008"/>
    <s v="CIVIL"/>
    <d v="2023-06-28T00:00:00"/>
    <d v="2023-07-06T19:21:01"/>
    <m/>
    <d v="2023-07-06T00:00:00"/>
    <n v="917"/>
    <n v="19162"/>
    <s v="60313374"/>
    <s v="60313374"/>
    <m/>
    <m/>
    <n v="22782652"/>
    <m/>
    <m/>
    <m/>
    <s v="SOLFIN"/>
    <s v="SOLFIN"/>
    <s v="CCMS"/>
    <n v="21338325"/>
    <n v="6871.22"/>
    <m/>
    <s v="N"/>
    <n v="33"/>
    <d v="2023-07-06T19:21:19"/>
    <s v="Y"/>
    <s v="Attendance upon client"/>
    <s v="Prescribed Hourly Rates"/>
    <s v="Profit Cost"/>
    <s v="PH"/>
    <s v="Y"/>
    <n v="50.51"/>
    <n v="10.1"/>
    <x v="4"/>
    <s v="VALIDATED"/>
    <n v="1"/>
    <s v="01.11.80.307.6100.0000"/>
    <n v="50.51"/>
    <s v="11"/>
    <s v="6100"/>
    <n v="24987.5"/>
    <n v="50.51"/>
    <s v="CREDITOR"/>
    <n v="0"/>
    <n v="0"/>
    <n v="0"/>
    <n v="0"/>
    <n v="50.51"/>
  </r>
  <r>
    <n v="59629456"/>
    <s v="N"/>
    <n v="21338367"/>
    <s v="3000014027440015"/>
    <s v="CIVIL"/>
    <d v="2023-06-28T00:00:00"/>
    <d v="2023-07-06T19:21:01"/>
    <m/>
    <d v="2023-07-06T00:00:00"/>
    <n v="917"/>
    <n v="19162"/>
    <s v="59629456"/>
    <s v="59629456"/>
    <m/>
    <m/>
    <n v="22776034"/>
    <m/>
    <m/>
    <m/>
    <s v="SOLFIN"/>
    <s v="SOLFIN"/>
    <s v="CCMS"/>
    <n v="21338367"/>
    <n v="17364.08"/>
    <m/>
    <s v="N"/>
    <n v="117"/>
    <d v="2023-07-06T19:21:22"/>
    <s v="Y"/>
    <s v="Preparation - other"/>
    <s v="Care Remuneration Hourly Rates"/>
    <s v="Profit Cost"/>
    <s v="ZM"/>
    <s v="Y"/>
    <n v="139.83"/>
    <n v="27.96"/>
    <x v="4"/>
    <s v="VALIDATED"/>
    <n v="1"/>
    <s v="01.11.80.308.6100.0000"/>
    <n v="139.83"/>
    <s v="11"/>
    <s v="6100"/>
    <n v="24987.5"/>
    <n v="139.83"/>
    <s v="CREDITOR"/>
    <n v="0"/>
    <n v="0"/>
    <n v="0"/>
    <n v="0"/>
    <n v="139.83"/>
  </r>
  <r>
    <n v="61546807"/>
    <s v="N"/>
    <n v="21319087"/>
    <s v="3000015661680003"/>
    <s v="CIVIL"/>
    <d v="2023-06-23T00:00:00"/>
    <d v="2023-07-03T19:01:49"/>
    <m/>
    <d v="2023-07-03T00:00:00"/>
    <n v="917"/>
    <n v="19162"/>
    <s v="61546807"/>
    <s v="61546807"/>
    <m/>
    <m/>
    <n v="22754138"/>
    <m/>
    <m/>
    <m/>
    <s v="SOLFIN"/>
    <s v="SOLFIN"/>
    <s v="CCMS"/>
    <n v="21319087"/>
    <n v="3003.37"/>
    <m/>
    <s v="N"/>
    <n v="34"/>
    <d v="2023-07-03T19:02:10"/>
    <s v="Y"/>
    <s v="Preparation - other"/>
    <s v="Prescribed Hourly Rates"/>
    <s v="Profit Cost"/>
    <s v="PH"/>
    <s v="Y"/>
    <n v="13.73"/>
    <n v="2.75"/>
    <x v="3"/>
    <s v="VALIDATED"/>
    <n v="1"/>
    <s v="01.11.80.307.6100.0000"/>
    <n v="13.73"/>
    <s v="11"/>
    <s v="6100"/>
    <n v="24987.5"/>
    <n v="13.73"/>
    <s v="CREDITOR"/>
    <n v="0"/>
    <n v="0"/>
    <n v="0"/>
    <n v="0"/>
    <n v="13.73"/>
  </r>
  <r>
    <n v="60313374"/>
    <s v="N"/>
    <n v="21338325"/>
    <s v="3000014615690008"/>
    <s v="CIVIL"/>
    <d v="2023-06-28T00:00:00"/>
    <d v="2023-07-06T19:21:01"/>
    <m/>
    <d v="2023-07-06T00:00:00"/>
    <n v="917"/>
    <n v="19162"/>
    <s v="60313374"/>
    <s v="60313374"/>
    <m/>
    <m/>
    <n v="22782652"/>
    <m/>
    <m/>
    <m/>
    <s v="SOLFIN"/>
    <s v="SOLFIN"/>
    <s v="CCMS"/>
    <n v="21338325"/>
    <n v="6871.22"/>
    <m/>
    <s v="N"/>
    <n v="106"/>
    <d v="2023-07-06T19:21:19"/>
    <s v="Y"/>
    <s v="Preparation - other"/>
    <s v="Prescribed Hourly Rates"/>
    <s v="Profit Cost"/>
    <s v="PH"/>
    <s v="Y"/>
    <n v="10.98"/>
    <n v="2.2"/>
    <x v="4"/>
    <s v="VALIDATED"/>
    <n v="1"/>
    <s v="01.11.80.307.6100.0000"/>
    <n v="10.98"/>
    <s v="11"/>
    <s v="6100"/>
    <n v="24987.5"/>
    <n v="10.98"/>
    <s v="CREDITOR"/>
    <n v="0"/>
    <n v="0"/>
    <n v="0"/>
    <n v="0"/>
    <n v="10.98"/>
  </r>
  <r>
    <n v="60313374"/>
    <s v="N"/>
    <n v="21338325"/>
    <s v="3000014615690008"/>
    <s v="CIVIL"/>
    <d v="2023-06-28T00:00:00"/>
    <d v="2023-07-06T19:21:01"/>
    <m/>
    <d v="2023-07-06T00:00:00"/>
    <n v="917"/>
    <n v="19162"/>
    <s v="60313374"/>
    <s v="60313374"/>
    <m/>
    <m/>
    <n v="22782652"/>
    <m/>
    <m/>
    <m/>
    <s v="SOLFIN"/>
    <s v="SOLFIN"/>
    <s v="CCMS"/>
    <n v="21338325"/>
    <n v="6871.22"/>
    <m/>
    <s v="N"/>
    <n v="56"/>
    <d v="2023-07-06T19:21:19"/>
    <s v="Y"/>
    <s v="Preparation - other"/>
    <s v="Prescribed Hourly Rates"/>
    <s v="Profit Cost"/>
    <s v="PH"/>
    <s v="Y"/>
    <n v="21.96"/>
    <n v="4.39"/>
    <x v="4"/>
    <s v="VALIDATED"/>
    <n v="1"/>
    <s v="01.11.80.307.6100.0000"/>
    <n v="21.96"/>
    <s v="11"/>
    <s v="6100"/>
    <n v="24987.5"/>
    <n v="21.96"/>
    <s v="CREDITOR"/>
    <n v="0"/>
    <n v="0"/>
    <n v="0"/>
    <n v="0"/>
    <n v="21.96"/>
  </r>
  <r>
    <n v="59629456"/>
    <s v="N"/>
    <n v="21338367"/>
    <s v="3000014027440015"/>
    <s v="CIVIL"/>
    <d v="2023-06-28T00:00:00"/>
    <d v="2023-07-06T19:21:01"/>
    <m/>
    <d v="2023-07-06T00:00:00"/>
    <n v="917"/>
    <n v="19162"/>
    <s v="59629456"/>
    <s v="59629456"/>
    <m/>
    <m/>
    <n v="22776034"/>
    <m/>
    <m/>
    <m/>
    <s v="SOLFIN"/>
    <s v="SOLFIN"/>
    <s v="CCMS"/>
    <n v="21338367"/>
    <n v="17364.08"/>
    <m/>
    <s v="N"/>
    <n v="192"/>
    <d v="2023-07-06T19:21:22"/>
    <s v="Y"/>
    <s v="Hearing Unit 2.31 - 5.00 Hours"/>
    <s v="Public Law Children"/>
    <s v="Advocacy"/>
    <s v="PF"/>
    <s v="Y"/>
    <n v="476.92"/>
    <n v="95.38"/>
    <x v="4"/>
    <s v="VALIDATED"/>
    <n v="1"/>
    <s v="01.11.80.308.6100.0000"/>
    <n v="476.92"/>
    <s v="11"/>
    <s v="6100"/>
    <n v="24987.5"/>
    <n v="476.92"/>
    <s v="CREDITOR"/>
    <n v="0"/>
    <n v="0"/>
    <n v="0"/>
    <n v="0"/>
    <n v="476.92"/>
  </r>
  <r>
    <n v="59629456"/>
    <s v="N"/>
    <n v="21338367"/>
    <s v="3000014027440015"/>
    <s v="CIVIL"/>
    <d v="2023-06-28T00:00:00"/>
    <d v="2023-07-06T19:21:01"/>
    <m/>
    <d v="2023-07-06T00:00:00"/>
    <n v="917"/>
    <n v="19162"/>
    <s v="59629456"/>
    <s v="59629456"/>
    <m/>
    <m/>
    <n v="22776034"/>
    <m/>
    <m/>
    <m/>
    <s v="SOLFIN"/>
    <s v="SOLFIN"/>
    <s v="CCMS"/>
    <n v="21338367"/>
    <n v="17364.08"/>
    <m/>
    <s v="N"/>
    <n v="107"/>
    <d v="2023-07-06T19:21:22"/>
    <s v="Y"/>
    <s v="Preparation - other"/>
    <s v="Care Remuneration Hourly Rates"/>
    <s v="Profit Cost"/>
    <s v="ZM"/>
    <s v="Y"/>
    <n v="22.08"/>
    <n v="4.42"/>
    <x v="4"/>
    <s v="VALIDATED"/>
    <n v="1"/>
    <s v="01.11.80.308.6100.0000"/>
    <n v="22.08"/>
    <s v="11"/>
    <s v="6100"/>
    <n v="24987.5"/>
    <n v="22.08"/>
    <s v="CREDITOR"/>
    <n v="0"/>
    <n v="0"/>
    <n v="0"/>
    <n v="0"/>
    <n v="22.08"/>
  </r>
  <r>
    <n v="59629456"/>
    <s v="N"/>
    <n v="21338367"/>
    <s v="3000014027440015"/>
    <s v="CIVIL"/>
    <d v="2023-06-28T00:00:00"/>
    <d v="2023-07-06T19:21:01"/>
    <m/>
    <d v="2023-07-06T00:00:00"/>
    <n v="917"/>
    <n v="19162"/>
    <s v="59629456"/>
    <s v="59629456"/>
    <m/>
    <m/>
    <n v="22776034"/>
    <m/>
    <m/>
    <m/>
    <s v="SOLFIN"/>
    <s v="SOLFIN"/>
    <s v="CCMS"/>
    <n v="21338367"/>
    <n v="17364.08"/>
    <m/>
    <s v="N"/>
    <n v="6"/>
    <d v="2023-07-06T19:21:22"/>
    <s v="Y"/>
    <s v="Preparation - other"/>
    <s v="Care Remuneration Hourly Rates"/>
    <s v="Profit Cost"/>
    <s v="DM"/>
    <s v="Y"/>
    <n v="14.71"/>
    <n v="2.94"/>
    <x v="4"/>
    <s v="VALIDATED"/>
    <n v="1"/>
    <s v="01.11.80.308.6100.0000"/>
    <n v="14.71"/>
    <s v="11"/>
    <s v="6100"/>
    <n v="24987.5"/>
    <n v="14.71"/>
    <s v="CREDITOR"/>
    <n v="0"/>
    <n v="0"/>
    <n v="0"/>
    <n v="0"/>
    <n v="14.71"/>
  </r>
  <r>
    <n v="61087371"/>
    <s v="N"/>
    <n v="21349665"/>
    <s v="3000015258150003"/>
    <s v="CIVIL"/>
    <d v="2023-06-28T00:00:00"/>
    <d v="2023-07-10T19:01:40"/>
    <m/>
    <d v="2023-07-10T00:00:00"/>
    <n v="917"/>
    <n v="19162"/>
    <s v="61087371"/>
    <s v="61087371"/>
    <m/>
    <m/>
    <n v="22783936"/>
    <m/>
    <m/>
    <m/>
    <s v="SOLFIN"/>
    <s v="SOLFIN"/>
    <s v="CCMS"/>
    <n v="21349665"/>
    <n v="1736"/>
    <m/>
    <s v="N"/>
    <n v="26"/>
    <d v="2023-07-10T19:01:55"/>
    <s v="Y"/>
    <s v="Preparation - drafting attendance n"/>
    <s v="Prescribed Hourly Rates"/>
    <s v="Profit Cost"/>
    <s v="PH"/>
    <s v="Y"/>
    <n v="6.59"/>
    <n v="1.32"/>
    <x v="2"/>
    <s v="VALIDATED"/>
    <n v="1"/>
    <s v="01.11.80.307.6100.0000"/>
    <n v="6.59"/>
    <s v="11"/>
    <s v="6100"/>
    <n v="24987.5"/>
    <n v="6.59"/>
    <s v="CREDITOR"/>
    <n v="0"/>
    <n v="0"/>
    <n v="0"/>
    <n v="0"/>
    <n v="6.59"/>
  </r>
  <r>
    <n v="59629456"/>
    <s v="N"/>
    <n v="21338367"/>
    <s v="3000014027440015"/>
    <s v="CIVIL"/>
    <d v="2023-06-28T00:00:00"/>
    <d v="2023-07-06T19:21:01"/>
    <m/>
    <d v="2023-07-06T00:00:00"/>
    <n v="917"/>
    <n v="19162"/>
    <s v="59629456"/>
    <s v="59629456"/>
    <m/>
    <m/>
    <n v="22776034"/>
    <m/>
    <m/>
    <m/>
    <s v="SOLFIN"/>
    <s v="SOLFIN"/>
    <s v="CCMS"/>
    <n v="21338367"/>
    <n v="17364.08"/>
    <m/>
    <s v="N"/>
    <n v="176"/>
    <d v="2023-07-06T19:21:22"/>
    <s v="Y"/>
    <s v="Routine Letter In"/>
    <s v="Care Remuneration Hourly Rates"/>
    <s v="Profit Cost"/>
    <s v="DM"/>
    <s v="Y"/>
    <n v="456.95"/>
    <n v="91.39"/>
    <x v="4"/>
    <s v="VALIDATED"/>
    <n v="1"/>
    <s v="01.11.80.308.6100.0000"/>
    <n v="456.95"/>
    <s v="11"/>
    <s v="6100"/>
    <n v="24987.5"/>
    <n v="456.95"/>
    <s v="CREDITOR"/>
    <n v="0"/>
    <n v="0"/>
    <n v="0"/>
    <n v="0"/>
    <n v="456.95"/>
  </r>
  <r>
    <n v="59629456"/>
    <s v="N"/>
    <n v="21338367"/>
    <s v="3000014027440015"/>
    <s v="CIVIL"/>
    <d v="2023-06-28T00:00:00"/>
    <d v="2023-07-06T19:21:01"/>
    <m/>
    <d v="2023-07-06T00:00:00"/>
    <n v="917"/>
    <n v="19162"/>
    <s v="59629456"/>
    <s v="59629456"/>
    <m/>
    <m/>
    <n v="22776034"/>
    <m/>
    <m/>
    <m/>
    <s v="SOLFIN"/>
    <s v="SOLFIN"/>
    <s v="CCMS"/>
    <n v="21338367"/>
    <n v="17364.08"/>
    <m/>
    <s v="N"/>
    <n v="114"/>
    <d v="2023-07-06T19:21:22"/>
    <s v="Y"/>
    <s v="Attendance upon client"/>
    <s v="Care Remuneration Hourly Rates"/>
    <s v="Profit Cost"/>
    <s v="ZM"/>
    <s v="Y"/>
    <n v="66.23"/>
    <n v="13.25"/>
    <x v="4"/>
    <s v="VALIDATED"/>
    <n v="1"/>
    <s v="01.11.80.308.6100.0000"/>
    <n v="66.23"/>
    <s v="11"/>
    <s v="6100"/>
    <n v="24987.5"/>
    <n v="66.23"/>
    <s v="CREDITOR"/>
    <n v="0"/>
    <n v="0"/>
    <n v="0"/>
    <n v="0"/>
    <n v="66.23"/>
  </r>
  <r>
    <n v="59629456"/>
    <s v="N"/>
    <n v="21338367"/>
    <s v="3000014027440015"/>
    <s v="CIVIL"/>
    <d v="2023-06-28T00:00:00"/>
    <d v="2023-07-06T19:21:01"/>
    <m/>
    <d v="2023-07-06T00:00:00"/>
    <n v="917"/>
    <n v="19162"/>
    <s v="59629456"/>
    <s v="59629456"/>
    <m/>
    <m/>
    <n v="22776034"/>
    <m/>
    <m/>
    <m/>
    <s v="SOLFIN"/>
    <s v="SOLFIN"/>
    <s v="CCMS"/>
    <n v="21338367"/>
    <n v="17364.08"/>
    <m/>
    <s v="N"/>
    <n v="133"/>
    <d v="2023-07-06T19:21:22"/>
    <s v="Y"/>
    <s v="Preparation - other"/>
    <s v="Care Remuneration Hourly Rates"/>
    <s v="Profit Cost"/>
    <s v="DHH"/>
    <s v="Y"/>
    <n v="5.26"/>
    <n v="1.05"/>
    <x v="4"/>
    <s v="VALIDATED"/>
    <n v="1"/>
    <s v="01.11.80.308.6100.0000"/>
    <n v="5.26"/>
    <s v="11"/>
    <s v="6100"/>
    <n v="24987.5"/>
    <n v="5.26"/>
    <s v="CREDITOR"/>
    <n v="0"/>
    <n v="0"/>
    <n v="0"/>
    <n v="0"/>
    <n v="5.26"/>
  </r>
  <r>
    <n v="60313374"/>
    <s v="N"/>
    <n v="21338325"/>
    <s v="3000014615690008"/>
    <s v="CIVIL"/>
    <d v="2023-06-28T00:00:00"/>
    <d v="2023-07-06T19:21:01"/>
    <m/>
    <d v="2023-07-06T00:00:00"/>
    <n v="917"/>
    <n v="19162"/>
    <s v="60313374"/>
    <s v="60313374"/>
    <m/>
    <m/>
    <n v="22782652"/>
    <m/>
    <m/>
    <m/>
    <s v="SOLFIN"/>
    <s v="SOLFIN"/>
    <s v="CCMS"/>
    <n v="21338325"/>
    <n v="6871.22"/>
    <m/>
    <s v="N"/>
    <n v="92"/>
    <d v="2023-07-06T19:21:19"/>
    <s v="Y"/>
    <s v="Attendance upon client"/>
    <s v="Prescribed Hourly Rates"/>
    <s v="Profit Cost"/>
    <s v="PH"/>
    <s v="Y"/>
    <n v="31.57"/>
    <n v="6.31"/>
    <x v="4"/>
    <s v="VALIDATED"/>
    <n v="1"/>
    <s v="01.11.80.307.6100.0000"/>
    <n v="31.57"/>
    <s v="11"/>
    <s v="6100"/>
    <n v="24987.5"/>
    <n v="31.57"/>
    <s v="CREDITOR"/>
    <n v="0"/>
    <n v="0"/>
    <n v="0"/>
    <n v="0"/>
    <n v="31.57"/>
  </r>
  <r>
    <n v="59629456"/>
    <s v="N"/>
    <n v="21338367"/>
    <s v="3000014027440015"/>
    <s v="CIVIL"/>
    <d v="2023-06-28T00:00:00"/>
    <d v="2023-07-06T19:21:01"/>
    <m/>
    <d v="2023-07-06T00:00:00"/>
    <n v="917"/>
    <n v="19162"/>
    <s v="59629456"/>
    <s v="59629456"/>
    <m/>
    <m/>
    <n v="22776034"/>
    <m/>
    <m/>
    <m/>
    <s v="SOLFIN"/>
    <s v="SOLFIN"/>
    <s v="CCMS"/>
    <n v="21338367"/>
    <n v="17364.08"/>
    <m/>
    <s v="N"/>
    <n v="45"/>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70"/>
    <d v="2023-07-06T19:21:22"/>
    <s v="Y"/>
    <s v="Preparation - other"/>
    <s v="Care Remuneration Hourly Rates"/>
    <s v="Profit Cost"/>
    <s v="DHH"/>
    <s v="Y"/>
    <n v="26.29"/>
    <n v="5.26"/>
    <x v="4"/>
    <s v="VALIDATED"/>
    <n v="1"/>
    <s v="01.11.80.308.6100.0000"/>
    <n v="26.29"/>
    <s v="11"/>
    <s v="6100"/>
    <n v="24987.5"/>
    <n v="26.29"/>
    <s v="CREDITOR"/>
    <n v="0"/>
    <n v="0"/>
    <n v="0"/>
    <n v="0"/>
    <n v="26.29"/>
  </r>
  <r>
    <n v="61285176"/>
    <s v="N"/>
    <n v="21330916"/>
    <s v="3000015444990003"/>
    <s v="CIVIL"/>
    <d v="2023-06-27T00:00:00"/>
    <d v="2023-07-05T19:01:47"/>
    <m/>
    <d v="2023-07-05T00:00:00"/>
    <n v="917"/>
    <n v="19162"/>
    <s v="61285176"/>
    <s v="61285176"/>
    <m/>
    <m/>
    <n v="22769388"/>
    <m/>
    <m/>
    <m/>
    <s v="SOLFIN"/>
    <s v="SOLFIN"/>
    <s v="CCMS"/>
    <n v="21330916"/>
    <n v="655.6"/>
    <m/>
    <s v="N"/>
    <n v="1"/>
    <d v="2023-07-05T19:01:56"/>
    <s v="Y"/>
    <s v="Court Fee"/>
    <s v="Private Law Children"/>
    <s v="Non Expert Disbursement"/>
    <s v="XXX"/>
    <s v="Y"/>
    <n v="232"/>
    <n v="0"/>
    <x v="6"/>
    <s v="VALIDATED"/>
    <n v="1"/>
    <s v="01.11.80.307.6300.0000"/>
    <n v="232"/>
    <s v="11"/>
    <s v="6300"/>
    <n v="24987.5"/>
    <n v="232"/>
    <s v="CREDITOR"/>
    <n v="0"/>
    <n v="0"/>
    <n v="0"/>
    <n v="0"/>
    <n v="232"/>
  </r>
  <r>
    <n v="60313374"/>
    <s v="N"/>
    <n v="21338325"/>
    <s v="3000014615690008"/>
    <s v="CIVIL"/>
    <d v="2023-06-28T00:00:00"/>
    <d v="2023-07-06T19:21:01"/>
    <m/>
    <d v="2023-07-06T00:00:00"/>
    <n v="917"/>
    <n v="19162"/>
    <s v="60313374"/>
    <s v="60313374"/>
    <m/>
    <m/>
    <n v="22782652"/>
    <m/>
    <m/>
    <m/>
    <s v="SOLFIN"/>
    <s v="SOLFIN"/>
    <s v="CCMS"/>
    <n v="21338325"/>
    <n v="6871.22"/>
    <m/>
    <s v="N"/>
    <n v="108"/>
    <d v="2023-07-06T19:21:19"/>
    <s v="Y"/>
    <s v="Preparation - other"/>
    <s v="Prescribed Hourly Rates"/>
    <s v="Profit Cost"/>
    <s v="PH"/>
    <s v="Y"/>
    <n v="21.96"/>
    <n v="4.39"/>
    <x v="4"/>
    <s v="VALIDATED"/>
    <n v="1"/>
    <s v="01.11.80.307.6100.0000"/>
    <n v="21.96"/>
    <s v="11"/>
    <s v="6100"/>
    <n v="24987.5"/>
    <n v="21.96"/>
    <s v="CREDITOR"/>
    <n v="0"/>
    <n v="0"/>
    <n v="0"/>
    <n v="0"/>
    <n v="21.96"/>
  </r>
  <r>
    <n v="60313374"/>
    <s v="N"/>
    <n v="21338325"/>
    <s v="3000014615690008"/>
    <s v="CIVIL"/>
    <d v="2023-06-28T00:00:00"/>
    <d v="2023-07-06T19:21:01"/>
    <m/>
    <d v="2023-07-06T00:00:00"/>
    <n v="917"/>
    <n v="19162"/>
    <s v="60313374"/>
    <s v="60313374"/>
    <m/>
    <m/>
    <n v="22782652"/>
    <m/>
    <m/>
    <m/>
    <s v="SOLFIN"/>
    <s v="SOLFIN"/>
    <s v="CCMS"/>
    <n v="21338325"/>
    <n v="6871.22"/>
    <m/>
    <s v="N"/>
    <n v="58"/>
    <d v="2023-07-06T19:21:19"/>
    <s v="Y"/>
    <s v="Preparation - other"/>
    <s v="Prescribed Hourly Rates"/>
    <s v="Profit Cost"/>
    <s v="PH"/>
    <s v="Y"/>
    <n v="10.98"/>
    <n v="2.2"/>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187"/>
    <d v="2023-07-06T19:21:22"/>
    <s v="Y"/>
    <s v="Hearing Unit 1.01 - 2.30 Hours"/>
    <s v="Public Law Children"/>
    <s v="Advocacy"/>
    <s v="DM"/>
    <s v="Y"/>
    <n v="298.08"/>
    <n v="59.61"/>
    <x v="4"/>
    <s v="VALIDATED"/>
    <n v="1"/>
    <s v="01.11.80.308.6100.0000"/>
    <n v="298.08"/>
    <s v="11"/>
    <s v="6100"/>
    <n v="24987.5"/>
    <n v="298.08"/>
    <s v="CREDITOR"/>
    <n v="0"/>
    <n v="0"/>
    <n v="0"/>
    <n v="0"/>
    <n v="298.08"/>
  </r>
  <r>
    <n v="59629456"/>
    <s v="N"/>
    <n v="21338367"/>
    <s v="3000014027440015"/>
    <s v="CIVIL"/>
    <d v="2023-06-28T00:00:00"/>
    <d v="2023-07-06T19:21:01"/>
    <m/>
    <d v="2023-07-06T00:00:00"/>
    <n v="917"/>
    <n v="19162"/>
    <s v="59629456"/>
    <s v="59629456"/>
    <m/>
    <m/>
    <n v="22776034"/>
    <m/>
    <m/>
    <m/>
    <s v="SOLFIN"/>
    <s v="SOLFIN"/>
    <s v="CCMS"/>
    <n v="21338367"/>
    <n v="17364.08"/>
    <m/>
    <s v="N"/>
    <n v="130"/>
    <d v="2023-07-06T19:21:22"/>
    <s v="Y"/>
    <s v="Preparation - other"/>
    <s v="Care Remuneration Hourly Rates"/>
    <s v="Profit Cost"/>
    <s v="DHH"/>
    <s v="Y"/>
    <n v="132.48"/>
    <n v="26.49"/>
    <x v="4"/>
    <s v="VALIDATED"/>
    <n v="1"/>
    <s v="01.11.80.308.6100.0000"/>
    <n v="132.48"/>
    <s v="11"/>
    <s v="6100"/>
    <n v="24987.5"/>
    <n v="132.48"/>
    <s v="CREDITOR"/>
    <n v="0"/>
    <n v="0"/>
    <n v="0"/>
    <n v="0"/>
    <n v="132.48"/>
  </r>
  <r>
    <n v="59629456"/>
    <s v="N"/>
    <n v="21338367"/>
    <s v="3000014027440015"/>
    <s v="CIVIL"/>
    <d v="2023-06-28T00:00:00"/>
    <d v="2023-07-06T19:21:01"/>
    <m/>
    <d v="2023-07-06T00:00:00"/>
    <n v="917"/>
    <n v="19162"/>
    <s v="59629456"/>
    <s v="59629456"/>
    <m/>
    <m/>
    <n v="22776034"/>
    <m/>
    <m/>
    <m/>
    <s v="SOLFIN"/>
    <s v="SOLFIN"/>
    <s v="CCMS"/>
    <n v="21338367"/>
    <n v="17364.08"/>
    <m/>
    <s v="N"/>
    <n v="147"/>
    <d v="2023-07-06T19:21:22"/>
    <s v="Y"/>
    <s v="Preparation - other"/>
    <s v="Care Remuneration Hourly Rates"/>
    <s v="Profit Cost"/>
    <s v="PF"/>
    <s v="Y"/>
    <n v="132.48"/>
    <n v="26.49"/>
    <x v="4"/>
    <s v="VALIDATED"/>
    <n v="1"/>
    <s v="01.11.80.308.6100.0000"/>
    <n v="132.48"/>
    <s v="11"/>
    <s v="6100"/>
    <n v="24987.5"/>
    <n v="132.48"/>
    <s v="CREDITOR"/>
    <n v="0"/>
    <n v="0"/>
    <n v="0"/>
    <n v="0"/>
    <n v="132.48"/>
  </r>
  <r>
    <n v="59629456"/>
    <s v="N"/>
    <n v="21338367"/>
    <s v="3000014027440015"/>
    <s v="CIVIL"/>
    <d v="2023-06-28T00:00:00"/>
    <d v="2023-07-06T19:21:01"/>
    <m/>
    <d v="2023-07-06T00:00:00"/>
    <n v="917"/>
    <n v="19162"/>
    <s v="59629456"/>
    <s v="59629456"/>
    <m/>
    <m/>
    <n v="22776034"/>
    <m/>
    <m/>
    <m/>
    <s v="SOLFIN"/>
    <s v="SOLFIN"/>
    <s v="CCMS"/>
    <n v="21338367"/>
    <n v="17364.08"/>
    <m/>
    <s v="N"/>
    <n v="148"/>
    <d v="2023-07-06T19:21:22"/>
    <s v="Y"/>
    <s v="Preparation - other"/>
    <s v="Care Remuneration Hourly Rates"/>
    <s v="Profit Cost"/>
    <s v="DHH"/>
    <s v="Y"/>
    <n v="22.08"/>
    <n v="4.42"/>
    <x v="4"/>
    <s v="VALIDATED"/>
    <n v="1"/>
    <s v="01.11.80.308.6100.0000"/>
    <n v="22.08"/>
    <s v="11"/>
    <s v="6100"/>
    <n v="24987.5"/>
    <n v="22.08"/>
    <s v="CREDITOR"/>
    <n v="0"/>
    <n v="0"/>
    <n v="0"/>
    <n v="0"/>
    <n v="22.08"/>
  </r>
  <r>
    <n v="60969011"/>
    <s v="N"/>
    <n v="21328040"/>
    <s v="3000015171370002"/>
    <s v="CIVIL"/>
    <d v="2023-06-27T00:00:00"/>
    <d v="2023-07-04T19:00:44"/>
    <m/>
    <d v="2023-07-04T00:00:00"/>
    <n v="917"/>
    <n v="19162"/>
    <s v="60969011"/>
    <s v="60969011"/>
    <m/>
    <m/>
    <n v="22772306"/>
    <m/>
    <m/>
    <m/>
    <s v="SOLFIN"/>
    <s v="SOLFIN"/>
    <s v="CCMS"/>
    <n v="21328040"/>
    <n v="2128.61"/>
    <m/>
    <s v="N"/>
    <n v="24"/>
    <d v="2023-07-04T19:01:02"/>
    <s v="Y"/>
    <s v="Attendance upon client"/>
    <s v="Prescribed Hourly Rates"/>
    <s v="Profit Cost"/>
    <s v="DM"/>
    <s v="Y"/>
    <n v="27.45"/>
    <n v="5.49"/>
    <x v="1"/>
    <s v="VALIDATED"/>
    <n v="1"/>
    <s v="01.11.80.307.6100.0000"/>
    <n v="27.45"/>
    <s v="11"/>
    <s v="6100"/>
    <n v="24987.5"/>
    <n v="27.45"/>
    <s v="CREDITOR"/>
    <n v="0"/>
    <n v="0"/>
    <n v="0"/>
    <n v="0"/>
    <n v="27.45"/>
  </r>
  <r>
    <n v="61087371"/>
    <s v="N"/>
    <n v="21349665"/>
    <s v="3000015258150003"/>
    <s v="CIVIL"/>
    <d v="2023-06-28T00:00:00"/>
    <d v="2023-07-10T19:01:40"/>
    <m/>
    <d v="2023-07-10T00:00:00"/>
    <n v="917"/>
    <n v="19162"/>
    <s v="61087371"/>
    <s v="61087371"/>
    <m/>
    <m/>
    <n v="22783936"/>
    <m/>
    <m/>
    <m/>
    <s v="SOLFIN"/>
    <s v="SOLFIN"/>
    <s v="CCMS"/>
    <n v="21349665"/>
    <n v="1736"/>
    <m/>
    <s v="N"/>
    <n v="32"/>
    <d v="2023-07-10T19:01:55"/>
    <s v="Y"/>
    <s v="Preparation - other"/>
    <s v="Prescribed Hourly Rates"/>
    <s v="Profit Cost"/>
    <s v="PH"/>
    <s v="Y"/>
    <n v="6.59"/>
    <n v="1.32"/>
    <x v="2"/>
    <s v="VALIDATED"/>
    <n v="1"/>
    <s v="01.11.80.307.6100.0000"/>
    <n v="6.59"/>
    <s v="11"/>
    <s v="6100"/>
    <n v="24987.5"/>
    <n v="6.59"/>
    <s v="CREDITOR"/>
    <n v="0"/>
    <n v="0"/>
    <n v="0"/>
    <n v="0"/>
    <n v="6.59"/>
  </r>
  <r>
    <n v="61196876"/>
    <s v="N"/>
    <n v="21344045"/>
    <s v="3000015373210004"/>
    <s v="CIVIL"/>
    <d v="2023-06-29T00:00:00"/>
    <d v="2023-07-07T19:03:00"/>
    <m/>
    <d v="2023-07-07T00:00:00"/>
    <n v="917"/>
    <n v="19162"/>
    <s v="61196876"/>
    <s v="61196876"/>
    <m/>
    <m/>
    <n v="22785108"/>
    <m/>
    <m/>
    <m/>
    <s v="SOLFIN"/>
    <s v="SOLFIN"/>
    <s v="CCMS"/>
    <n v="21344045"/>
    <n v="4358.58"/>
    <m/>
    <s v="N"/>
    <n v="5"/>
    <d v="2023-07-07T19:03:21"/>
    <s v="Y"/>
    <s v="Hearing Unit 1.01 - 2.30 Hours"/>
    <s v="Public Law Children"/>
    <s v="Advocacy"/>
    <s v="DJM"/>
    <s v="Y"/>
    <n v="238.46"/>
    <n v="47.69"/>
    <x v="9"/>
    <s v="VALIDATED"/>
    <n v="1"/>
    <s v="01.11.80.308.6100.0000"/>
    <n v="238.46"/>
    <s v="11"/>
    <s v="6100"/>
    <n v="24987.5"/>
    <n v="238.46"/>
    <s v="CREDITOR"/>
    <n v="0"/>
    <n v="0"/>
    <n v="0"/>
    <n v="0"/>
    <n v="238.46"/>
  </r>
  <r>
    <n v="59629456"/>
    <s v="N"/>
    <n v="21338367"/>
    <s v="3000014027440015"/>
    <s v="CIVIL"/>
    <d v="2023-06-28T00:00:00"/>
    <d v="2023-07-06T19:21:01"/>
    <m/>
    <d v="2023-07-06T00:00:00"/>
    <n v="917"/>
    <n v="19162"/>
    <s v="59629456"/>
    <s v="59629456"/>
    <m/>
    <m/>
    <n v="22776034"/>
    <m/>
    <m/>
    <m/>
    <s v="SOLFIN"/>
    <s v="SOLFIN"/>
    <s v="CCMS"/>
    <n v="21338367"/>
    <n v="17364.08"/>
    <m/>
    <s v="N"/>
    <n v="31"/>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69"/>
    <d v="2023-07-06T19:21:22"/>
    <s v="Y"/>
    <s v="Preparation - drafting bill/claim f"/>
    <s v="Care Remuneration Hourly Rates"/>
    <s v="Profit Cost"/>
    <s v="CD"/>
    <s v="Y"/>
    <n v="772.78"/>
    <n v="154.55"/>
    <x v="4"/>
    <s v="VALIDATED"/>
    <n v="1"/>
    <s v="01.11.80.308.6100.0000"/>
    <n v="772.78"/>
    <s v="11"/>
    <s v="6100"/>
    <n v="24987.5"/>
    <n v="772.78"/>
    <s v="CREDITOR"/>
    <n v="0"/>
    <n v="0"/>
    <n v="0"/>
    <n v="0"/>
    <n v="772.78"/>
  </r>
  <r>
    <n v="60313374"/>
    <s v="N"/>
    <n v="21338325"/>
    <s v="3000014615690008"/>
    <s v="CIVIL"/>
    <d v="2023-06-28T00:00:00"/>
    <d v="2023-07-06T19:21:01"/>
    <m/>
    <d v="2023-07-06T00:00:00"/>
    <n v="917"/>
    <n v="19162"/>
    <s v="60313374"/>
    <s v="60313374"/>
    <m/>
    <m/>
    <n v="22782652"/>
    <m/>
    <m/>
    <m/>
    <s v="SOLFIN"/>
    <s v="SOLFIN"/>
    <s v="CCMS"/>
    <n v="21338325"/>
    <n v="6871.22"/>
    <m/>
    <s v="N"/>
    <n v="46"/>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76"/>
    <d v="2023-07-06T19:21:22"/>
    <s v="Y"/>
    <s v="Preparation - other"/>
    <s v="Care Remuneration Hourly Rates"/>
    <s v="Profit Cost"/>
    <s v="ZM"/>
    <s v="Y"/>
    <n v="14.71"/>
    <n v="2.94"/>
    <x v="4"/>
    <s v="VALIDATED"/>
    <n v="1"/>
    <s v="01.11.80.308.6100.0000"/>
    <n v="14.71"/>
    <s v="11"/>
    <s v="6100"/>
    <n v="24987.5"/>
    <n v="14.71"/>
    <s v="CREDITOR"/>
    <n v="0"/>
    <n v="0"/>
    <n v="0"/>
    <n v="0"/>
    <n v="14.71"/>
  </r>
  <r>
    <n v="60313374"/>
    <s v="N"/>
    <n v="21338325"/>
    <s v="3000014615690008"/>
    <s v="CIVIL"/>
    <d v="2023-06-28T00:00:00"/>
    <d v="2023-07-06T19:21:01"/>
    <m/>
    <d v="2023-07-06T00:00:00"/>
    <n v="917"/>
    <n v="19162"/>
    <s v="60313374"/>
    <s v="60313374"/>
    <m/>
    <m/>
    <n v="22782652"/>
    <m/>
    <m/>
    <m/>
    <s v="SOLFIN"/>
    <s v="SOLFIN"/>
    <s v="CCMS"/>
    <n v="21338325"/>
    <n v="6871.22"/>
    <m/>
    <s v="N"/>
    <n v="13"/>
    <d v="2023-07-06T19:21:19"/>
    <s v="Y"/>
    <s v="Preparation - other"/>
    <s v="Prescribed Hourly Rates"/>
    <s v="Profit Cost"/>
    <s v="PH"/>
    <s v="Y"/>
    <n v="27.45"/>
    <n v="5.49"/>
    <x v="4"/>
    <s v="VALIDATED"/>
    <n v="1"/>
    <s v="01.11.80.307.6100.0000"/>
    <n v="27.45"/>
    <s v="11"/>
    <s v="6100"/>
    <n v="24987.5"/>
    <n v="27.45"/>
    <s v="CREDITOR"/>
    <n v="0"/>
    <n v="0"/>
    <n v="0"/>
    <n v="0"/>
    <n v="27.45"/>
  </r>
  <r>
    <n v="59629456"/>
    <s v="N"/>
    <n v="21338367"/>
    <s v="3000014027440015"/>
    <s v="CIVIL"/>
    <d v="2023-06-28T00:00:00"/>
    <d v="2023-07-06T19:21:01"/>
    <m/>
    <d v="2023-07-06T00:00:00"/>
    <n v="917"/>
    <n v="19162"/>
    <s v="59629456"/>
    <s v="59629456"/>
    <m/>
    <m/>
    <n v="22776034"/>
    <m/>
    <m/>
    <m/>
    <s v="SOLFIN"/>
    <s v="SOLFIN"/>
    <s v="CCMS"/>
    <n v="21338367"/>
    <n v="17364.08"/>
    <m/>
    <s v="N"/>
    <n v="12"/>
    <d v="2023-07-06T19:21:22"/>
    <s v="Y"/>
    <s v="Preparation - other"/>
    <s v="Care Remuneration Hourly Rates"/>
    <s v="Profit Cost"/>
    <s v="DM"/>
    <s v="Y"/>
    <n v="7.36"/>
    <n v="1.47"/>
    <x v="4"/>
    <s v="VALIDATED"/>
    <n v="1"/>
    <s v="01.11.80.308.6100.0000"/>
    <n v="7.36"/>
    <s v="11"/>
    <s v="6100"/>
    <n v="24987.5"/>
    <n v="7.36"/>
    <s v="CREDITOR"/>
    <n v="0"/>
    <n v="0"/>
    <n v="0"/>
    <n v="0"/>
    <n v="7.36"/>
  </r>
  <r>
    <n v="61546807"/>
    <s v="N"/>
    <n v="21319087"/>
    <s v="3000015661680003"/>
    <s v="CIVIL"/>
    <d v="2023-06-23T00:00:00"/>
    <d v="2023-07-03T19:01:49"/>
    <m/>
    <d v="2023-07-03T00:00:00"/>
    <n v="917"/>
    <n v="19162"/>
    <s v="61546807"/>
    <s v="61546807"/>
    <m/>
    <m/>
    <n v="22754138"/>
    <m/>
    <m/>
    <m/>
    <s v="SOLFIN"/>
    <s v="SOLFIN"/>
    <s v="CCMS"/>
    <n v="21319087"/>
    <n v="3003.37"/>
    <m/>
    <s v="N"/>
    <n v="62"/>
    <d v="2023-07-03T19:02:10"/>
    <s v="Y"/>
    <s v="Attendance upon client"/>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65"/>
    <d v="2023-07-03T19:02:10"/>
    <s v="Y"/>
    <s v="Preparation - other"/>
    <s v="Prescribed Hourly Rates"/>
    <s v="Profit Cost"/>
    <s v="PH"/>
    <s v="Y"/>
    <n v="10.98"/>
    <n v="2.2"/>
    <x v="3"/>
    <s v="VALIDATED"/>
    <n v="1"/>
    <s v="01.11.80.307.6100.0000"/>
    <n v="10.98"/>
    <s v="11"/>
    <s v="6100"/>
    <n v="24987.5"/>
    <n v="10.98"/>
    <s v="CREDITOR"/>
    <n v="0"/>
    <n v="0"/>
    <n v="0"/>
    <n v="0"/>
    <n v="10.98"/>
  </r>
  <r>
    <n v="61546807"/>
    <s v="N"/>
    <n v="21319087"/>
    <s v="3000015661680003"/>
    <s v="CIVIL"/>
    <d v="2023-06-23T00:00:00"/>
    <d v="2023-07-03T19:01:49"/>
    <m/>
    <d v="2023-07-03T00:00:00"/>
    <n v="917"/>
    <n v="19162"/>
    <s v="61546807"/>
    <s v="61546807"/>
    <m/>
    <m/>
    <n v="22754138"/>
    <m/>
    <m/>
    <m/>
    <s v="SOLFIN"/>
    <s v="SOLFIN"/>
    <s v="CCMS"/>
    <n v="21319087"/>
    <n v="3003.37"/>
    <m/>
    <s v="N"/>
    <n v="24"/>
    <d v="2023-07-03T19:02:10"/>
    <s v="Y"/>
    <s v="Preparation - other"/>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67"/>
    <d v="2023-07-03T19:02:10"/>
    <s v="Y"/>
    <s v="Preparation - other"/>
    <s v="Prescribed Hourly Rates"/>
    <s v="Profit Cost"/>
    <s v="EA"/>
    <s v="Y"/>
    <n v="5.49"/>
    <n v="1.1"/>
    <x v="3"/>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75"/>
    <d v="2023-07-06T19:21:22"/>
    <s v="Y"/>
    <s v="Preparation - other"/>
    <s v="Care Remuneration Hourly Rates"/>
    <s v="Profit Cost"/>
    <s v="ZM"/>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21"/>
    <d v="2023-07-06T19:21:19"/>
    <s v="Y"/>
    <s v="Preparation - other"/>
    <s v="Prescribed Hourly Rates"/>
    <s v="Profit Cost"/>
    <s v="PH"/>
    <s v="Y"/>
    <n v="10.98"/>
    <n v="2.2"/>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92"/>
    <d v="2023-07-06T19:21:22"/>
    <s v="Y"/>
    <s v="Preparation - other"/>
    <s v="Care Remuneration Hourly Rates"/>
    <s v="Profit Cost"/>
    <s v="ZM"/>
    <s v="Y"/>
    <n v="154.56"/>
    <n v="30.91"/>
    <x v="4"/>
    <s v="VALIDATED"/>
    <n v="1"/>
    <s v="01.11.80.308.6100.0000"/>
    <n v="154.56"/>
    <s v="11"/>
    <s v="6100"/>
    <n v="24987.5"/>
    <n v="154.56"/>
    <s v="CREDITOR"/>
    <n v="0"/>
    <n v="0"/>
    <n v="0"/>
    <n v="0"/>
    <n v="154.56"/>
  </r>
  <r>
    <n v="60313374"/>
    <s v="N"/>
    <n v="21338325"/>
    <s v="3000014615690008"/>
    <s v="CIVIL"/>
    <d v="2023-06-28T00:00:00"/>
    <d v="2023-07-06T19:21:01"/>
    <m/>
    <d v="2023-07-06T00:00:00"/>
    <n v="917"/>
    <n v="19162"/>
    <s v="60313374"/>
    <s v="60313374"/>
    <m/>
    <m/>
    <n v="22782652"/>
    <m/>
    <m/>
    <m/>
    <s v="SOLFIN"/>
    <s v="SOLFIN"/>
    <s v="CCMS"/>
    <n v="21338325"/>
    <n v="6871.22"/>
    <m/>
    <s v="N"/>
    <n v="2"/>
    <d v="2023-07-06T19:21:19"/>
    <s v="Y"/>
    <s v="Process server"/>
    <s v="Domestic Abuse"/>
    <s v="Expert Disbursement"/>
    <s v="XXX"/>
    <s v="Y"/>
    <n v="171.37"/>
    <n v="0"/>
    <x v="4"/>
    <s v="VALIDATED"/>
    <n v="1"/>
    <s v="01.11.80.307.6300.0000"/>
    <n v="171.37"/>
    <s v="11"/>
    <s v="6300"/>
    <n v="24987.5"/>
    <n v="171.37"/>
    <s v="CREDITOR"/>
    <n v="0"/>
    <n v="0"/>
    <n v="0"/>
    <n v="0"/>
    <n v="171.37"/>
  </r>
  <r>
    <n v="59629456"/>
    <s v="N"/>
    <n v="21338367"/>
    <s v="3000014027440015"/>
    <s v="CIVIL"/>
    <d v="2023-06-28T00:00:00"/>
    <d v="2023-07-06T19:21:01"/>
    <m/>
    <d v="2023-07-06T00:00:00"/>
    <n v="917"/>
    <n v="19162"/>
    <s v="59629456"/>
    <s v="59629456"/>
    <m/>
    <m/>
    <n v="22776034"/>
    <m/>
    <m/>
    <m/>
    <s v="SOLFIN"/>
    <s v="SOLFIN"/>
    <s v="CCMS"/>
    <n v="21338367"/>
    <n v="17364.08"/>
    <m/>
    <s v="N"/>
    <n v="2"/>
    <d v="2023-07-06T19:21:22"/>
    <s v="Y"/>
    <s v="Preparation - drafting notice(s)"/>
    <s v="Care Remuneration Hourly Rates"/>
    <s v="Profit Cost"/>
    <s v="DM"/>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14"/>
    <d v="2023-07-06T19:21:22"/>
    <s v="Y"/>
    <s v="Preparation - other"/>
    <s v="Care Remuneration Hourly Rates"/>
    <s v="Profit Cost"/>
    <s v="D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35"/>
    <d v="2023-07-06T19:21:22"/>
    <s v="Y"/>
    <s v="Preparation - other"/>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39"/>
    <d v="2023-07-06T19:21:22"/>
    <s v="Y"/>
    <s v="Preparation - other"/>
    <s v="Care Remuneration Hourly Rates"/>
    <s v="Profit Cost"/>
    <s v="ZM"/>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161"/>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188"/>
    <d v="2023-07-06T19:21:22"/>
    <s v="Y"/>
    <s v="Hearing Unit 1.01 - 2.30 Hours"/>
    <s v="Public Law Children"/>
    <s v="Advocacy"/>
    <s v="ZM"/>
    <s v="Y"/>
    <n v="298.08"/>
    <n v="59.61"/>
    <x v="4"/>
    <s v="VALIDATED"/>
    <n v="1"/>
    <s v="01.11.80.308.6100.0000"/>
    <n v="298.08"/>
    <s v="11"/>
    <s v="6100"/>
    <n v="24987.5"/>
    <n v="298.08"/>
    <s v="CREDITOR"/>
    <n v="0"/>
    <n v="0"/>
    <n v="0"/>
    <n v="0"/>
    <n v="298.08"/>
  </r>
  <r>
    <n v="59629456"/>
    <s v="N"/>
    <n v="21338367"/>
    <s v="3000014027440015"/>
    <s v="CIVIL"/>
    <d v="2023-06-28T00:00:00"/>
    <d v="2023-07-06T19:21:01"/>
    <m/>
    <d v="2023-07-06T00:00:00"/>
    <n v="917"/>
    <n v="19162"/>
    <s v="59629456"/>
    <s v="59629456"/>
    <m/>
    <m/>
    <n v="22776034"/>
    <m/>
    <m/>
    <m/>
    <s v="SOLFIN"/>
    <s v="SOLFIN"/>
    <s v="CCMS"/>
    <n v="21338367"/>
    <n v="17364.08"/>
    <m/>
    <s v="N"/>
    <n v="74"/>
    <d v="2023-07-06T19:21:22"/>
    <s v="Y"/>
    <s v="Preparation - drafting instructions"/>
    <s v="Care Remuneration Hourly Rates"/>
    <s v="Profit Cost"/>
    <s v="ZM"/>
    <s v="Y"/>
    <n v="250.24"/>
    <n v="50.05"/>
    <x v="4"/>
    <s v="VALIDATED"/>
    <n v="1"/>
    <s v="01.11.80.308.6100.0000"/>
    <n v="250.24"/>
    <s v="11"/>
    <s v="6100"/>
    <n v="24987.5"/>
    <n v="250.24"/>
    <s v="CREDITOR"/>
    <n v="0"/>
    <n v="0"/>
    <n v="0"/>
    <n v="0"/>
    <n v="250.24"/>
  </r>
  <r>
    <n v="59629456"/>
    <s v="N"/>
    <n v="21338367"/>
    <s v="3000014027440015"/>
    <s v="CIVIL"/>
    <d v="2023-06-28T00:00:00"/>
    <d v="2023-07-06T19:21:01"/>
    <m/>
    <d v="2023-07-06T00:00:00"/>
    <n v="917"/>
    <n v="19162"/>
    <s v="59629456"/>
    <s v="59629456"/>
    <m/>
    <m/>
    <n v="22776034"/>
    <m/>
    <m/>
    <m/>
    <s v="SOLFIN"/>
    <s v="SOLFIN"/>
    <s v="CCMS"/>
    <n v="21338367"/>
    <n v="17364.08"/>
    <m/>
    <s v="N"/>
    <n v="85"/>
    <d v="2023-07-06T19:21:22"/>
    <s v="Y"/>
    <s v="Attendance upon client"/>
    <s v="Care Remuneration Hourly Rates"/>
    <s v="Profit Cost"/>
    <s v="ZM"/>
    <s v="Y"/>
    <n v="44.16"/>
    <n v="8.83"/>
    <x v="4"/>
    <s v="VALIDATED"/>
    <n v="1"/>
    <s v="01.11.80.308.6100.0000"/>
    <n v="44.16"/>
    <s v="11"/>
    <s v="6100"/>
    <n v="24987.5"/>
    <n v="44.16"/>
    <s v="CREDITOR"/>
    <n v="0"/>
    <n v="0"/>
    <n v="0"/>
    <n v="0"/>
    <n v="44.16"/>
  </r>
  <r>
    <n v="59629456"/>
    <s v="N"/>
    <n v="21338367"/>
    <s v="3000014027440015"/>
    <s v="CIVIL"/>
    <d v="2023-06-28T00:00:00"/>
    <d v="2023-07-06T19:21:01"/>
    <m/>
    <d v="2023-07-06T00:00:00"/>
    <n v="917"/>
    <n v="19162"/>
    <s v="59629456"/>
    <s v="59629456"/>
    <m/>
    <m/>
    <n v="22776034"/>
    <m/>
    <m/>
    <m/>
    <s v="SOLFIN"/>
    <s v="SOLFIN"/>
    <s v="CCMS"/>
    <n v="21338367"/>
    <n v="17364.08"/>
    <m/>
    <s v="N"/>
    <n v="29"/>
    <d v="2023-07-06T19:21:22"/>
    <s v="Y"/>
    <s v="Preparation - other"/>
    <s v="Care Remuneration Hourly Rates"/>
    <s v="Profit Cost"/>
    <s v="ZM"/>
    <s v="Y"/>
    <n v="51.52"/>
    <n v="10.3"/>
    <x v="4"/>
    <s v="VALIDATED"/>
    <n v="1"/>
    <s v="01.11.80.308.6100.0000"/>
    <n v="51.52"/>
    <s v="11"/>
    <s v="6100"/>
    <n v="24987.5"/>
    <n v="51.52"/>
    <s v="CREDITOR"/>
    <n v="0"/>
    <n v="0"/>
    <n v="0"/>
    <n v="0"/>
    <n v="51.52"/>
  </r>
  <r>
    <n v="61546807"/>
    <s v="N"/>
    <n v="21319087"/>
    <s v="3000015661680003"/>
    <s v="CIVIL"/>
    <d v="2023-06-23T00:00:00"/>
    <d v="2023-07-03T19:01:49"/>
    <m/>
    <d v="2023-07-03T00:00:00"/>
    <n v="917"/>
    <n v="19162"/>
    <s v="61546807"/>
    <s v="61546807"/>
    <m/>
    <m/>
    <n v="22754138"/>
    <m/>
    <m/>
    <m/>
    <s v="SOLFIN"/>
    <s v="SOLFIN"/>
    <s v="CCMS"/>
    <n v="21319087"/>
    <n v="3003.37"/>
    <m/>
    <s v="N"/>
    <n v="23"/>
    <d v="2023-07-03T19:02:10"/>
    <s v="Y"/>
    <s v="Preparation - other"/>
    <s v="Prescribed Hourly Rates"/>
    <s v="Profit Cost"/>
    <s v="PH"/>
    <s v="Y"/>
    <n v="6.86"/>
    <n v="1.37"/>
    <x v="3"/>
    <s v="VALIDATED"/>
    <n v="1"/>
    <s v="01.11.80.307.6100.0000"/>
    <n v="6.86"/>
    <s v="11"/>
    <s v="6100"/>
    <n v="24987.5"/>
    <n v="6.86"/>
    <s v="CREDITOR"/>
    <n v="0"/>
    <n v="0"/>
    <n v="0"/>
    <n v="0"/>
    <n v="6.86"/>
  </r>
  <r>
    <n v="61087371"/>
    <s v="N"/>
    <n v="21349665"/>
    <s v="3000015258150003"/>
    <s v="CIVIL"/>
    <d v="2023-06-28T00:00:00"/>
    <d v="2023-07-10T19:01:40"/>
    <m/>
    <d v="2023-07-10T00:00:00"/>
    <n v="917"/>
    <n v="19162"/>
    <s v="61087371"/>
    <s v="61087371"/>
    <m/>
    <m/>
    <n v="22783936"/>
    <m/>
    <m/>
    <m/>
    <s v="SOLFIN"/>
    <s v="SOLFIN"/>
    <s v="CCMS"/>
    <n v="21349665"/>
    <n v="1736"/>
    <m/>
    <s v="N"/>
    <n v="12"/>
    <d v="2023-07-10T19:01:55"/>
    <s v="Y"/>
    <s v="Preparation - other"/>
    <s v="Prescribed Hourly Rates"/>
    <s v="Profit Cost"/>
    <s v="PH"/>
    <s v="Y"/>
    <n v="26.35"/>
    <n v="5.27"/>
    <x v="2"/>
    <s v="VALIDATED"/>
    <n v="1"/>
    <s v="01.11.80.307.6100.0000"/>
    <n v="26.35"/>
    <s v="11"/>
    <s v="6100"/>
    <n v="24987.5"/>
    <n v="26.35"/>
    <s v="CREDITOR"/>
    <n v="0"/>
    <n v="0"/>
    <n v="0"/>
    <n v="0"/>
    <n v="26.35"/>
  </r>
  <r>
    <n v="60313374"/>
    <s v="N"/>
    <n v="21338325"/>
    <s v="3000014615690008"/>
    <s v="CIVIL"/>
    <d v="2023-06-28T00:00:00"/>
    <d v="2023-07-06T19:21:01"/>
    <m/>
    <d v="2023-07-06T00:00:00"/>
    <n v="917"/>
    <n v="19162"/>
    <s v="60313374"/>
    <s v="60313374"/>
    <m/>
    <m/>
    <n v="22782652"/>
    <m/>
    <m/>
    <m/>
    <s v="SOLFIN"/>
    <s v="SOLFIN"/>
    <s v="CCMS"/>
    <n v="21338325"/>
    <n v="6871.22"/>
    <m/>
    <s v="N"/>
    <n v="110"/>
    <d v="2023-07-06T19:21:19"/>
    <s v="Y"/>
    <s v="Preparation - other"/>
    <s v="Prescribed Hourly Rates"/>
    <s v="Profit Cost"/>
    <s v="PH"/>
    <s v="Y"/>
    <n v="16.47"/>
    <n v="3.29"/>
    <x v="4"/>
    <s v="VALIDATED"/>
    <n v="1"/>
    <s v="01.11.80.307.6100.0000"/>
    <n v="16.47"/>
    <s v="11"/>
    <s v="6100"/>
    <n v="24987.5"/>
    <n v="16.47"/>
    <s v="CREDITOR"/>
    <n v="0"/>
    <n v="0"/>
    <n v="0"/>
    <n v="0"/>
    <n v="16.47"/>
  </r>
  <r>
    <n v="60313374"/>
    <s v="N"/>
    <n v="21338325"/>
    <s v="3000014615690008"/>
    <s v="CIVIL"/>
    <d v="2023-06-28T00:00:00"/>
    <d v="2023-07-06T19:21:01"/>
    <m/>
    <d v="2023-07-06T00:00:00"/>
    <n v="917"/>
    <n v="19162"/>
    <s v="60313374"/>
    <s v="60313374"/>
    <m/>
    <m/>
    <n v="22782652"/>
    <m/>
    <m/>
    <m/>
    <s v="SOLFIN"/>
    <s v="SOLFIN"/>
    <s v="CCMS"/>
    <n v="21338325"/>
    <n v="6871.22"/>
    <m/>
    <s v="N"/>
    <n v="64"/>
    <d v="2023-07-06T19:21:19"/>
    <s v="Y"/>
    <s v="Attendance upon client"/>
    <s v="Prescribed Hourly Rates"/>
    <s v="Profit Cost"/>
    <s v="PH"/>
    <s v="Y"/>
    <n v="44.19"/>
    <n v="8.84"/>
    <x v="4"/>
    <s v="VALIDATED"/>
    <n v="1"/>
    <s v="01.11.80.307.6100.0000"/>
    <n v="44.19"/>
    <s v="11"/>
    <s v="6100"/>
    <n v="24987.5"/>
    <n v="44.19"/>
    <s v="CREDITOR"/>
    <n v="0"/>
    <n v="0"/>
    <n v="0"/>
    <n v="0"/>
    <n v="44.19"/>
  </r>
  <r>
    <n v="59629456"/>
    <s v="N"/>
    <n v="21338367"/>
    <s v="3000014027440015"/>
    <s v="CIVIL"/>
    <d v="2023-06-28T00:00:00"/>
    <d v="2023-07-06T19:21:01"/>
    <m/>
    <d v="2023-07-06T00:00:00"/>
    <n v="917"/>
    <n v="19162"/>
    <s v="59629456"/>
    <s v="59629456"/>
    <m/>
    <m/>
    <n v="22776034"/>
    <m/>
    <m/>
    <m/>
    <s v="SOLFIN"/>
    <s v="SOLFIN"/>
    <s v="CCMS"/>
    <n v="21338367"/>
    <n v="17364.08"/>
    <m/>
    <s v="N"/>
    <n v="20"/>
    <d v="2023-07-06T19:21:22"/>
    <s v="Y"/>
    <s v="Preparation - other"/>
    <s v="Care Remuneration Hourly Rates"/>
    <s v="Profit Cost"/>
    <s v="ZM"/>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103"/>
    <d v="2023-07-06T19:21:19"/>
    <s v="Y"/>
    <s v="Preparation - other"/>
    <s v="Prescribed Hourly Rates"/>
    <s v="Profit Cost"/>
    <s v="SN"/>
    <s v="Y"/>
    <n v="5.49"/>
    <n v="1.1"/>
    <x v="4"/>
    <s v="VALIDATED"/>
    <n v="1"/>
    <s v="01.11.80.307.6100.0000"/>
    <n v="5.49"/>
    <s v="11"/>
    <s v="6100"/>
    <n v="24987.5"/>
    <n v="5.49"/>
    <s v="CREDITOR"/>
    <n v="0"/>
    <n v="0"/>
    <n v="0"/>
    <n v="0"/>
    <n v="5.49"/>
  </r>
  <r>
    <n v="60969011"/>
    <s v="N"/>
    <n v="21328040"/>
    <s v="3000015171370002"/>
    <s v="CIVIL"/>
    <d v="2023-06-27T00:00:00"/>
    <d v="2023-07-04T19:00:44"/>
    <m/>
    <d v="2023-07-04T00:00:00"/>
    <n v="917"/>
    <n v="19162"/>
    <s v="60969011"/>
    <s v="60969011"/>
    <m/>
    <m/>
    <n v="22772306"/>
    <m/>
    <m/>
    <m/>
    <s v="SOLFIN"/>
    <s v="SOLFIN"/>
    <s v="CCMS"/>
    <n v="21328040"/>
    <n v="2128.61"/>
    <m/>
    <s v="N"/>
    <n v="8"/>
    <d v="2023-07-04T19:01:02"/>
    <s v="Y"/>
    <s v="Preparation - other"/>
    <s v="Prescribed Hourly Rates"/>
    <s v="Profit Cost"/>
    <s v="DM"/>
    <s v="Y"/>
    <n v="21.96"/>
    <n v="4.39"/>
    <x v="1"/>
    <s v="VALIDATED"/>
    <n v="1"/>
    <s v="01.11.80.307.6100.0000"/>
    <n v="21.96"/>
    <s v="11"/>
    <s v="6100"/>
    <n v="24987.5"/>
    <n v="21.96"/>
    <s v="CREDITOR"/>
    <n v="0"/>
    <n v="0"/>
    <n v="0"/>
    <n v="0"/>
    <n v="21.96"/>
  </r>
  <r>
    <n v="61546807"/>
    <s v="N"/>
    <n v="21319087"/>
    <s v="3000015661680003"/>
    <s v="CIVIL"/>
    <d v="2023-06-23T00:00:00"/>
    <d v="2023-07-03T19:01:49"/>
    <m/>
    <d v="2023-07-03T00:00:00"/>
    <n v="917"/>
    <n v="19162"/>
    <s v="61546807"/>
    <s v="61546807"/>
    <m/>
    <m/>
    <n v="22754138"/>
    <m/>
    <m/>
    <m/>
    <s v="SOLFIN"/>
    <s v="SOLFIN"/>
    <s v="CCMS"/>
    <n v="21319087"/>
    <n v="3003.37"/>
    <m/>
    <s v="N"/>
    <n v="54"/>
    <d v="2023-07-03T19:02:10"/>
    <s v="Y"/>
    <s v="Preparation - other"/>
    <s v="Prescribed Hourly Rates"/>
    <s v="Profit Cost"/>
    <s v="PH"/>
    <s v="Y"/>
    <n v="13.73"/>
    <n v="2.75"/>
    <x v="3"/>
    <s v="VALIDATED"/>
    <n v="1"/>
    <s v="01.11.80.307.6100.0000"/>
    <n v="13.73"/>
    <s v="11"/>
    <s v="6100"/>
    <n v="24987.5"/>
    <n v="13.73"/>
    <s v="CREDITOR"/>
    <n v="0"/>
    <n v="0"/>
    <n v="0"/>
    <n v="0"/>
    <n v="13.73"/>
  </r>
  <r>
    <n v="61546807"/>
    <s v="N"/>
    <n v="21319087"/>
    <s v="3000015661680003"/>
    <s v="CIVIL"/>
    <d v="2023-06-23T00:00:00"/>
    <d v="2023-07-03T19:01:49"/>
    <m/>
    <d v="2023-07-03T00:00:00"/>
    <n v="917"/>
    <n v="19162"/>
    <s v="61546807"/>
    <s v="61546807"/>
    <m/>
    <m/>
    <n v="22754138"/>
    <m/>
    <m/>
    <m/>
    <s v="SOLFIN"/>
    <s v="SOLFIN"/>
    <s v="CCMS"/>
    <n v="21319087"/>
    <n v="3003.37"/>
    <m/>
    <s v="N"/>
    <n v="10"/>
    <d v="2023-07-03T19:02:10"/>
    <s v="Y"/>
    <s v="Preparation - other"/>
    <s v="Prescribed Hourly Rates"/>
    <s v="Profit Cost"/>
    <s v="PH"/>
    <s v="Y"/>
    <n v="13.73"/>
    <n v="2.75"/>
    <x v="3"/>
    <s v="VALIDATED"/>
    <n v="1"/>
    <s v="01.11.80.307.6100.0000"/>
    <n v="13.73"/>
    <s v="11"/>
    <s v="6100"/>
    <n v="24987.5"/>
    <n v="13.73"/>
    <s v="CREDITOR"/>
    <n v="0"/>
    <n v="0"/>
    <n v="0"/>
    <n v="0"/>
    <n v="13.73"/>
  </r>
  <r>
    <n v="61087371"/>
    <s v="N"/>
    <n v="21349665"/>
    <s v="3000015258150003"/>
    <s v="CIVIL"/>
    <d v="2023-06-28T00:00:00"/>
    <d v="2023-07-10T19:01:40"/>
    <m/>
    <d v="2023-07-10T00:00:00"/>
    <n v="917"/>
    <n v="19162"/>
    <s v="61087371"/>
    <s v="61087371"/>
    <m/>
    <m/>
    <n v="22783936"/>
    <m/>
    <m/>
    <m/>
    <s v="SOLFIN"/>
    <s v="SOLFIN"/>
    <s v="CCMS"/>
    <n v="21349665"/>
    <n v="1736"/>
    <m/>
    <s v="N"/>
    <n v="30"/>
    <d v="2023-07-10T19:01:55"/>
    <s v="Y"/>
    <s v="Preparation - other"/>
    <s v="Prescribed Hourly Rates"/>
    <s v="Profit Cost"/>
    <s v="PL"/>
    <s v="Y"/>
    <n v="13.18"/>
    <n v="2.64"/>
    <x v="2"/>
    <s v="VALIDATED"/>
    <n v="1"/>
    <s v="01.11.80.307.6100.0000"/>
    <n v="13.18"/>
    <s v="11"/>
    <s v="6100"/>
    <n v="24987.5"/>
    <n v="13.18"/>
    <s v="CREDITOR"/>
    <n v="0"/>
    <n v="0"/>
    <n v="0"/>
    <n v="0"/>
    <n v="13.18"/>
  </r>
  <r>
    <n v="59629456"/>
    <s v="N"/>
    <n v="21338367"/>
    <s v="3000014027440015"/>
    <s v="CIVIL"/>
    <d v="2023-06-28T00:00:00"/>
    <d v="2023-07-06T19:21:01"/>
    <m/>
    <d v="2023-07-06T00:00:00"/>
    <n v="917"/>
    <n v="19162"/>
    <s v="59629456"/>
    <s v="59629456"/>
    <m/>
    <m/>
    <n v="22776034"/>
    <m/>
    <m/>
    <m/>
    <s v="SOLFIN"/>
    <s v="SOLFIN"/>
    <s v="CCMS"/>
    <n v="21338367"/>
    <n v="17364.08"/>
    <m/>
    <s v="N"/>
    <n v="190"/>
    <d v="2023-07-06T19:21:22"/>
    <s v="Y"/>
    <s v="Advocates Meeting"/>
    <s v="Public Law Children"/>
    <s v="Advocacy"/>
    <s v="PF"/>
    <s v="Y"/>
    <n v="140.99"/>
    <n v="28.2"/>
    <x v="4"/>
    <s v="VALIDATED"/>
    <n v="1"/>
    <s v="01.11.80.308.6100.0000"/>
    <n v="140.99"/>
    <s v="11"/>
    <s v="6100"/>
    <n v="24987.5"/>
    <n v="140.99"/>
    <s v="CREDITOR"/>
    <n v="0"/>
    <n v="0"/>
    <n v="0"/>
    <n v="0"/>
    <n v="140.99"/>
  </r>
  <r>
    <n v="60313374"/>
    <s v="N"/>
    <n v="21338325"/>
    <s v="3000014615690008"/>
    <s v="CIVIL"/>
    <d v="2023-06-28T00:00:00"/>
    <d v="2023-07-06T19:21:01"/>
    <m/>
    <d v="2023-07-06T00:00:00"/>
    <n v="917"/>
    <n v="19162"/>
    <s v="60313374"/>
    <s v="60313374"/>
    <m/>
    <m/>
    <n v="22782652"/>
    <m/>
    <m/>
    <m/>
    <s v="SOLFIN"/>
    <s v="SOLFIN"/>
    <s v="CCMS"/>
    <n v="21338325"/>
    <n v="6871.22"/>
    <m/>
    <s v="N"/>
    <n v="80"/>
    <d v="2023-07-06T19:21:19"/>
    <s v="Y"/>
    <s v="Preparation - other"/>
    <s v="Prescribed Hourly Rates"/>
    <s v="Profit Cost"/>
    <s v="PH"/>
    <s v="Y"/>
    <n v="21.96"/>
    <n v="4.39"/>
    <x v="4"/>
    <s v="VALIDATED"/>
    <n v="1"/>
    <s v="01.11.80.307.6100.0000"/>
    <n v="21.96"/>
    <s v="11"/>
    <s v="6100"/>
    <n v="24987.5"/>
    <n v="21.96"/>
    <s v="CREDITOR"/>
    <n v="0"/>
    <n v="0"/>
    <n v="0"/>
    <n v="0"/>
    <n v="21.96"/>
  </r>
  <r>
    <n v="60313374"/>
    <s v="N"/>
    <n v="21338325"/>
    <s v="3000014615690008"/>
    <s v="CIVIL"/>
    <d v="2023-06-28T00:00:00"/>
    <d v="2023-07-06T19:21:01"/>
    <m/>
    <d v="2023-07-06T00:00:00"/>
    <n v="917"/>
    <n v="19162"/>
    <s v="60313374"/>
    <s v="60313374"/>
    <m/>
    <m/>
    <n v="22782652"/>
    <m/>
    <m/>
    <m/>
    <s v="SOLFIN"/>
    <s v="SOLFIN"/>
    <s v="CCMS"/>
    <n v="21338325"/>
    <n v="6871.22"/>
    <m/>
    <s v="N"/>
    <n v="94"/>
    <d v="2023-07-06T19:21:19"/>
    <s v="Y"/>
    <s v="Attendance upon client"/>
    <s v="Prescribed Hourly Rates"/>
    <s v="Profit Cost"/>
    <s v="SN"/>
    <s v="Y"/>
    <n v="27.45"/>
    <n v="5.49"/>
    <x v="4"/>
    <s v="VALIDATED"/>
    <n v="1"/>
    <s v="01.11.80.307.6100.0000"/>
    <n v="27.45"/>
    <s v="11"/>
    <s v="6100"/>
    <n v="24987.5"/>
    <n v="27.45"/>
    <s v="CREDITOR"/>
    <n v="0"/>
    <n v="0"/>
    <n v="0"/>
    <n v="0"/>
    <n v="27.45"/>
  </r>
  <r>
    <n v="59629456"/>
    <s v="N"/>
    <n v="21338367"/>
    <s v="3000014027440015"/>
    <s v="CIVIL"/>
    <d v="2023-06-28T00:00:00"/>
    <d v="2023-07-06T19:21:01"/>
    <m/>
    <d v="2023-07-06T00:00:00"/>
    <n v="917"/>
    <n v="19162"/>
    <s v="59629456"/>
    <s v="59629456"/>
    <m/>
    <m/>
    <n v="22776034"/>
    <m/>
    <m/>
    <m/>
    <s v="SOLFIN"/>
    <s v="SOLFIN"/>
    <s v="CCMS"/>
    <n v="21338367"/>
    <n v="17364.08"/>
    <m/>
    <s v="N"/>
    <n v="140"/>
    <d v="2023-07-06T19:21:22"/>
    <s v="Y"/>
    <s v="Preparation - drafting instructions"/>
    <s v="Care Remuneration Hourly Rates"/>
    <s v="Profit Cost"/>
    <s v="DHH"/>
    <s v="Y"/>
    <n v="22.08"/>
    <n v="4.42"/>
    <x v="4"/>
    <s v="VALIDATED"/>
    <n v="1"/>
    <s v="01.11.80.308.6100.0000"/>
    <n v="22.08"/>
    <s v="11"/>
    <s v="6100"/>
    <n v="24987.5"/>
    <n v="22.08"/>
    <s v="CREDITOR"/>
    <n v="0"/>
    <n v="0"/>
    <n v="0"/>
    <n v="0"/>
    <n v="22.08"/>
  </r>
  <r>
    <n v="61894458"/>
    <s v="N"/>
    <n v="21320336"/>
    <s v="3000015932810004"/>
    <s v="CIVIL"/>
    <d v="2023-06-28T00:00:00"/>
    <d v="2023-07-03T19:04:52"/>
    <m/>
    <d v="2023-07-03T00:00:00"/>
    <n v="917"/>
    <n v="19162"/>
    <s v="61894458"/>
    <s v="61894458"/>
    <m/>
    <m/>
    <n v="22782982"/>
    <m/>
    <m/>
    <m/>
    <s v="SOLPOA"/>
    <s v="SOLPOA"/>
    <s v="CCMS"/>
    <n v="21320336"/>
    <n v="2222.08"/>
    <m/>
    <s v="N"/>
    <n v="1"/>
    <d v="2023-07-03T19:04:53"/>
    <s v="N"/>
    <s v="Level 3 Fixed Fee"/>
    <s v="Private Law Children"/>
    <s v="Profit Cost"/>
    <s v="PHILLIP HARRIS"/>
    <s v="N"/>
    <n v="1851.73"/>
    <n v="370.35"/>
    <x v="3"/>
    <s v="VALIDATED"/>
    <n v="1"/>
    <s v="01.11.80.307.2012.0000"/>
    <n v="1851.73"/>
    <s v="11"/>
    <s v="2012"/>
    <n v="24987.5"/>
    <n v="1851.73"/>
    <s v="CREDITOR"/>
    <n v="1851.73"/>
    <n v="462.9325"/>
    <n v="0"/>
    <n v="0"/>
    <n v="0"/>
  </r>
  <r>
    <n v="60313374"/>
    <s v="N"/>
    <n v="21338325"/>
    <s v="3000014615690008"/>
    <s v="CIVIL"/>
    <d v="2023-06-28T00:00:00"/>
    <d v="2023-07-06T19:21:01"/>
    <m/>
    <d v="2023-07-06T00:00:00"/>
    <n v="917"/>
    <n v="19162"/>
    <s v="60313374"/>
    <s v="60313374"/>
    <m/>
    <m/>
    <n v="22782652"/>
    <m/>
    <m/>
    <m/>
    <s v="SOLFIN"/>
    <s v="SOLFIN"/>
    <s v="CCMS"/>
    <n v="21338325"/>
    <n v="6871.22"/>
    <m/>
    <s v="N"/>
    <n v="38"/>
    <d v="2023-07-06T19:21:19"/>
    <s v="Y"/>
    <s v="Attendance upon client"/>
    <s v="Prescribed Hourly Rates"/>
    <s v="Profit Cost"/>
    <s v="PH"/>
    <s v="Y"/>
    <n v="18.94"/>
    <n v="3.79"/>
    <x v="4"/>
    <s v="VALIDATED"/>
    <n v="1"/>
    <s v="01.11.80.307.6100.0000"/>
    <n v="18.94"/>
    <s v="11"/>
    <s v="6100"/>
    <n v="24987.5"/>
    <n v="18.94"/>
    <s v="CREDITOR"/>
    <n v="0"/>
    <n v="0"/>
    <n v="0"/>
    <n v="0"/>
    <n v="18.94"/>
  </r>
  <r>
    <n v="60313374"/>
    <s v="N"/>
    <n v="21338325"/>
    <s v="3000014615690008"/>
    <s v="CIVIL"/>
    <d v="2023-06-28T00:00:00"/>
    <d v="2023-07-06T19:21:01"/>
    <m/>
    <d v="2023-07-06T00:00:00"/>
    <n v="917"/>
    <n v="19162"/>
    <s v="60313374"/>
    <s v="60313374"/>
    <m/>
    <m/>
    <n v="22782652"/>
    <m/>
    <m/>
    <m/>
    <s v="SOLFIN"/>
    <s v="SOLFIN"/>
    <s v="CCMS"/>
    <n v="21338325"/>
    <n v="6871.22"/>
    <m/>
    <s v="N"/>
    <n v="65"/>
    <d v="2023-07-06T19:21:19"/>
    <s v="Y"/>
    <s v="Attendance upon client"/>
    <s v="Prescribed Hourly Rates"/>
    <s v="Profit Cost"/>
    <s v="EH"/>
    <s v="Y"/>
    <n v="12.63"/>
    <n v="2.53"/>
    <x v="4"/>
    <s v="VALIDATED"/>
    <n v="1"/>
    <s v="01.11.80.307.6100.0000"/>
    <n v="12.63"/>
    <s v="11"/>
    <s v="6100"/>
    <n v="24987.5"/>
    <n v="12.63"/>
    <s v="CREDITOR"/>
    <n v="0"/>
    <n v="0"/>
    <n v="0"/>
    <n v="0"/>
    <n v="12.63"/>
  </r>
  <r>
    <n v="60313374"/>
    <s v="N"/>
    <n v="21338325"/>
    <s v="3000014615690008"/>
    <s v="CIVIL"/>
    <d v="2023-06-28T00:00:00"/>
    <d v="2023-07-06T19:21:01"/>
    <m/>
    <d v="2023-07-06T00:00:00"/>
    <n v="917"/>
    <n v="19162"/>
    <s v="60313374"/>
    <s v="60313374"/>
    <m/>
    <m/>
    <n v="22782652"/>
    <m/>
    <m/>
    <m/>
    <s v="SOLFIN"/>
    <s v="SOLFIN"/>
    <s v="CCMS"/>
    <n v="21338325"/>
    <n v="6871.22"/>
    <m/>
    <s v="N"/>
    <n v="115"/>
    <d v="2023-07-06T19:21:19"/>
    <s v="Y"/>
    <s v="Routine Letter Out"/>
    <s v="Prescribed Hourly Rates"/>
    <s v="Profit Cost"/>
    <s v="PH"/>
    <s v="Y"/>
    <n v="783"/>
    <n v="156.55"/>
    <x v="4"/>
    <s v="VALIDATED"/>
    <n v="1"/>
    <s v="01.11.80.307.6100.0000"/>
    <n v="783"/>
    <s v="11"/>
    <s v="6100"/>
    <n v="24987.5"/>
    <n v="783"/>
    <s v="CREDITOR"/>
    <n v="0"/>
    <n v="0"/>
    <n v="0"/>
    <n v="0"/>
    <n v="783"/>
  </r>
  <r>
    <n v="61546807"/>
    <s v="N"/>
    <n v="21319087"/>
    <s v="3000015661680003"/>
    <s v="CIVIL"/>
    <d v="2023-06-23T00:00:00"/>
    <d v="2023-07-03T19:01:49"/>
    <m/>
    <d v="2023-07-03T00:00:00"/>
    <n v="917"/>
    <n v="19162"/>
    <s v="61546807"/>
    <s v="61546807"/>
    <m/>
    <m/>
    <n v="22754138"/>
    <m/>
    <m/>
    <m/>
    <s v="SOLFIN"/>
    <s v="SOLFIN"/>
    <s v="CCMS"/>
    <n v="21319087"/>
    <n v="3003.37"/>
    <m/>
    <s v="N"/>
    <n v="4"/>
    <d v="2023-07-03T19:02:10"/>
    <s v="Y"/>
    <s v="Preparation - other"/>
    <s v="Prescribed Hourly Rates"/>
    <s v="Profit Cost"/>
    <s v="PH"/>
    <s v="Y"/>
    <n v="21.96"/>
    <n v="4.39"/>
    <x v="3"/>
    <s v="VALIDATED"/>
    <n v="1"/>
    <s v="01.11.80.307.6100.0000"/>
    <n v="21.96"/>
    <s v="11"/>
    <s v="6100"/>
    <n v="24987.5"/>
    <n v="21.96"/>
    <s v="CREDITOR"/>
    <n v="0"/>
    <n v="0"/>
    <n v="0"/>
    <n v="0"/>
    <n v="21.96"/>
  </r>
  <r>
    <n v="61546807"/>
    <s v="N"/>
    <n v="21319087"/>
    <s v="3000015661680003"/>
    <s v="CIVIL"/>
    <d v="2023-06-23T00:00:00"/>
    <d v="2023-07-03T19:01:49"/>
    <m/>
    <d v="2023-07-03T00:00:00"/>
    <n v="917"/>
    <n v="19162"/>
    <s v="61546807"/>
    <s v="61546807"/>
    <m/>
    <m/>
    <n v="22754138"/>
    <m/>
    <m/>
    <m/>
    <s v="SOLFIN"/>
    <s v="SOLFIN"/>
    <s v="CCMS"/>
    <n v="21319087"/>
    <n v="3003.37"/>
    <m/>
    <s v="N"/>
    <n v="76"/>
    <d v="2023-07-03T19:02:10"/>
    <s v="Y"/>
    <s v="Routine Letter Out"/>
    <s v="Prescribed Hourly Rates"/>
    <s v="Profit Cost"/>
    <s v="PH"/>
    <s v="Y"/>
    <n v="280.8"/>
    <n v="56.17"/>
    <x v="3"/>
    <s v="VALIDATED"/>
    <n v="1"/>
    <s v="01.11.80.307.6100.0000"/>
    <n v="280.8"/>
    <s v="11"/>
    <s v="6100"/>
    <n v="24987.5"/>
    <n v="280.8"/>
    <s v="CREDITOR"/>
    <n v="0"/>
    <n v="0"/>
    <n v="0"/>
    <n v="0"/>
    <n v="280.8"/>
  </r>
  <r>
    <n v="61087371"/>
    <s v="N"/>
    <n v="21349665"/>
    <s v="3000015258150003"/>
    <s v="CIVIL"/>
    <d v="2023-06-28T00:00:00"/>
    <d v="2023-07-10T19:01:40"/>
    <m/>
    <d v="2023-07-10T00:00:00"/>
    <n v="917"/>
    <n v="19162"/>
    <s v="61087371"/>
    <s v="61087371"/>
    <m/>
    <m/>
    <n v="22783936"/>
    <m/>
    <m/>
    <m/>
    <s v="SOLFIN"/>
    <s v="SOLFIN"/>
    <s v="CCMS"/>
    <n v="21349665"/>
    <n v="1736"/>
    <m/>
    <s v="N"/>
    <n v="44"/>
    <d v="2023-07-10T19:01:55"/>
    <s v="Y"/>
    <s v="Preparation - other"/>
    <s v="Prescribed Hourly Rates"/>
    <s v="Profit Cost"/>
    <s v="PH"/>
    <s v="Y"/>
    <n v="5.49"/>
    <n v="1.1"/>
    <x v="2"/>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72"/>
    <d v="2023-07-06T19:21:22"/>
    <s v="Y"/>
    <s v="Routine Telephone Call"/>
    <s v="Care Remuneration Hourly Rates"/>
    <s v="Profit Cost"/>
    <s v="DHH"/>
    <s v="Y"/>
    <n v="225.09"/>
    <n v="45.02"/>
    <x v="4"/>
    <s v="VALIDATED"/>
    <n v="1"/>
    <s v="01.11.80.308.6100.0000"/>
    <n v="225.09"/>
    <s v="11"/>
    <s v="6100"/>
    <n v="24987.5"/>
    <n v="225.09"/>
    <s v="CREDITOR"/>
    <n v="0"/>
    <n v="0"/>
    <n v="0"/>
    <n v="0"/>
    <n v="225.09"/>
  </r>
  <r>
    <n v="59629456"/>
    <s v="N"/>
    <n v="21338367"/>
    <s v="3000014027440015"/>
    <s v="CIVIL"/>
    <d v="2023-06-28T00:00:00"/>
    <d v="2023-07-06T19:21:01"/>
    <m/>
    <d v="2023-07-06T00:00:00"/>
    <n v="917"/>
    <n v="19162"/>
    <s v="59629456"/>
    <s v="59629456"/>
    <m/>
    <m/>
    <n v="22776034"/>
    <m/>
    <m/>
    <m/>
    <s v="SOLFIN"/>
    <s v="SOLFIN"/>
    <s v="CCMS"/>
    <n v="21338367"/>
    <n v="17364.08"/>
    <m/>
    <s v="N"/>
    <n v="60"/>
    <d v="2023-07-06T19:21:22"/>
    <s v="Y"/>
    <s v="Preparation - other"/>
    <s v="Care Remuneration Hourly Rates"/>
    <s v="Profit Cost"/>
    <s v="ZM"/>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67"/>
    <d v="2023-07-06T19:21:19"/>
    <s v="Y"/>
    <s v="Attendance upon client"/>
    <s v="Prescribed Hourly Rates"/>
    <s v="Profit Cost"/>
    <s v="PH"/>
    <s v="Y"/>
    <n v="12.63"/>
    <n v="2.53"/>
    <x v="4"/>
    <s v="VALIDATED"/>
    <n v="1"/>
    <s v="01.11.80.307.6100.0000"/>
    <n v="12.63"/>
    <s v="11"/>
    <s v="6100"/>
    <n v="24987.5"/>
    <n v="12.63"/>
    <s v="CREDITOR"/>
    <n v="0"/>
    <n v="0"/>
    <n v="0"/>
    <n v="0"/>
    <n v="12.63"/>
  </r>
  <r>
    <n v="60313374"/>
    <s v="N"/>
    <n v="21338325"/>
    <s v="3000014615690008"/>
    <s v="CIVIL"/>
    <d v="2023-06-28T00:00:00"/>
    <d v="2023-07-06T19:21:01"/>
    <m/>
    <d v="2023-07-06T00:00:00"/>
    <n v="917"/>
    <n v="19162"/>
    <s v="60313374"/>
    <s v="60313374"/>
    <m/>
    <m/>
    <n v="22782652"/>
    <m/>
    <m/>
    <m/>
    <s v="SOLFIN"/>
    <s v="SOLFIN"/>
    <s v="CCMS"/>
    <n v="21338325"/>
    <n v="6871.22"/>
    <m/>
    <s v="N"/>
    <n v="24"/>
    <d v="2023-07-06T19:21:19"/>
    <s v="Y"/>
    <s v="Attendance upon client"/>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125"/>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132"/>
    <d v="2023-07-06T19:21:22"/>
    <s v="Y"/>
    <s v="Preparation - other"/>
    <s v="Care Remuneration Hourly Rates"/>
    <s v="Profit Cost"/>
    <s v="PF"/>
    <s v="Y"/>
    <n v="147.2"/>
    <n v="29.44"/>
    <x v="4"/>
    <s v="VALIDATED"/>
    <n v="1"/>
    <s v="01.11.80.308.6100.0000"/>
    <n v="147.2"/>
    <s v="11"/>
    <s v="6100"/>
    <n v="24987.5"/>
    <n v="147.2"/>
    <s v="CREDITOR"/>
    <n v="0"/>
    <n v="0"/>
    <n v="0"/>
    <n v="0"/>
    <n v="147.2"/>
  </r>
  <r>
    <n v="59629456"/>
    <s v="N"/>
    <n v="21338367"/>
    <s v="3000014027440015"/>
    <s v="CIVIL"/>
    <d v="2023-06-28T00:00:00"/>
    <d v="2023-07-06T19:21:01"/>
    <m/>
    <d v="2023-07-06T00:00:00"/>
    <n v="917"/>
    <n v="19162"/>
    <s v="59629456"/>
    <s v="59629456"/>
    <m/>
    <m/>
    <n v="22776034"/>
    <m/>
    <m/>
    <m/>
    <s v="SOLFIN"/>
    <s v="SOLFIN"/>
    <s v="CCMS"/>
    <n v="21338367"/>
    <n v="17364.08"/>
    <m/>
    <s v="N"/>
    <n v="21"/>
    <d v="2023-07-06T19:21:22"/>
    <s v="Y"/>
    <s v="Preparation - other"/>
    <s v="Care Remuneration Hourly Rates"/>
    <s v="Profit Cost"/>
    <s v="ZM"/>
    <s v="Y"/>
    <n v="36.81"/>
    <n v="7.36"/>
    <x v="4"/>
    <s v="VALIDATED"/>
    <n v="1"/>
    <s v="01.11.80.308.6100.0000"/>
    <n v="36.81"/>
    <s v="11"/>
    <s v="6100"/>
    <n v="24987.5"/>
    <n v="36.81"/>
    <s v="CREDITOR"/>
    <n v="0"/>
    <n v="0"/>
    <n v="0"/>
    <n v="0"/>
    <n v="36.81"/>
  </r>
  <r>
    <n v="61087371"/>
    <s v="N"/>
    <n v="21349665"/>
    <s v="3000015258150003"/>
    <s v="CIVIL"/>
    <d v="2023-06-28T00:00:00"/>
    <d v="2023-07-10T19:01:40"/>
    <m/>
    <d v="2023-07-10T00:00:00"/>
    <n v="917"/>
    <n v="19162"/>
    <s v="61087371"/>
    <s v="61087371"/>
    <m/>
    <m/>
    <n v="22783936"/>
    <m/>
    <m/>
    <m/>
    <s v="SOLFIN"/>
    <s v="SOLFIN"/>
    <s v="CCMS"/>
    <n v="21349665"/>
    <n v="1736"/>
    <m/>
    <s v="N"/>
    <n v="1"/>
    <d v="2023-07-10T19:01:55"/>
    <s v="Y"/>
    <s v="Court Fee"/>
    <s v="Prescribed Hourly Rates"/>
    <s v="Non Expert Disbursement"/>
    <s v="XXX"/>
    <s v="Y"/>
    <n v="232"/>
    <n v="0"/>
    <x v="2"/>
    <s v="VALIDATED"/>
    <n v="1"/>
    <s v="01.11.80.307.6300.0000"/>
    <n v="232"/>
    <s v="11"/>
    <s v="6300"/>
    <n v="24987.5"/>
    <n v="232"/>
    <s v="CREDITOR"/>
    <n v="0"/>
    <n v="0"/>
    <n v="0"/>
    <n v="0"/>
    <n v="232"/>
  </r>
  <r>
    <n v="61087371"/>
    <s v="N"/>
    <n v="21349665"/>
    <s v="3000015258150003"/>
    <s v="CIVIL"/>
    <d v="2023-06-28T00:00:00"/>
    <d v="2023-07-10T19:01:40"/>
    <m/>
    <d v="2023-07-10T00:00:00"/>
    <n v="917"/>
    <n v="19162"/>
    <s v="61087371"/>
    <s v="61087371"/>
    <m/>
    <m/>
    <n v="22783936"/>
    <m/>
    <m/>
    <m/>
    <s v="SOLFIN"/>
    <s v="SOLFIN"/>
    <s v="CCMS"/>
    <n v="21349665"/>
    <n v="1736"/>
    <m/>
    <s v="N"/>
    <n v="6"/>
    <d v="2023-07-10T19:01:55"/>
    <s v="Y"/>
    <s v="Preparation - drafting attendance n"/>
    <s v="Prescribed Hourly Rates"/>
    <s v="Profit Cost"/>
    <s v="PH"/>
    <s v="Y"/>
    <n v="6.59"/>
    <n v="1.32"/>
    <x v="2"/>
    <s v="VALIDATED"/>
    <n v="1"/>
    <s v="01.11.80.307.6100.0000"/>
    <n v="6.59"/>
    <s v="11"/>
    <s v="6100"/>
    <n v="24987.5"/>
    <n v="6.59"/>
    <s v="CREDITOR"/>
    <n v="0"/>
    <n v="0"/>
    <n v="0"/>
    <n v="0"/>
    <n v="6.59"/>
  </r>
  <r>
    <n v="60313374"/>
    <s v="N"/>
    <n v="21338325"/>
    <s v="3000014615690008"/>
    <s v="CIVIL"/>
    <d v="2023-06-28T00:00:00"/>
    <d v="2023-07-06T19:21:01"/>
    <m/>
    <d v="2023-07-06T00:00:00"/>
    <n v="917"/>
    <n v="19162"/>
    <s v="60313374"/>
    <s v="60313374"/>
    <m/>
    <m/>
    <n v="22782652"/>
    <m/>
    <m/>
    <m/>
    <s v="SOLFIN"/>
    <s v="SOLFIN"/>
    <s v="CCMS"/>
    <n v="21338325"/>
    <n v="6871.22"/>
    <m/>
    <s v="N"/>
    <n v="43"/>
    <d v="2023-07-06T19:21:19"/>
    <s v="Y"/>
    <s v="Preparation - other"/>
    <s v="Prescribed Hourly Rates"/>
    <s v="Profit Cost"/>
    <s v="PH"/>
    <s v="Y"/>
    <n v="21.96"/>
    <n v="4.39"/>
    <x v="4"/>
    <s v="VALIDATED"/>
    <n v="1"/>
    <s v="01.11.80.307.6100.0000"/>
    <n v="21.96"/>
    <s v="11"/>
    <s v="6100"/>
    <n v="24987.5"/>
    <n v="21.96"/>
    <s v="CREDITOR"/>
    <n v="0"/>
    <n v="0"/>
    <n v="0"/>
    <n v="0"/>
    <n v="21.96"/>
  </r>
  <r>
    <n v="59629456"/>
    <s v="N"/>
    <n v="21338367"/>
    <s v="3000014027440015"/>
    <s v="CIVIL"/>
    <d v="2023-06-28T00:00:00"/>
    <d v="2023-07-06T19:21:01"/>
    <m/>
    <d v="2023-07-06T00:00:00"/>
    <n v="917"/>
    <n v="19162"/>
    <s v="59629456"/>
    <s v="59629456"/>
    <m/>
    <m/>
    <n v="22776034"/>
    <m/>
    <m/>
    <m/>
    <s v="SOLFIN"/>
    <s v="SOLFIN"/>
    <s v="CCMS"/>
    <n v="21338367"/>
    <n v="17364.08"/>
    <m/>
    <s v="N"/>
    <n v="52"/>
    <d v="2023-07-06T19:21:22"/>
    <s v="Y"/>
    <s v="Preparation - other"/>
    <s v="Care Remuneration Hourly Rates"/>
    <s v="Profit Cost"/>
    <s v="ZM"/>
    <s v="Y"/>
    <n v="22.08"/>
    <n v="4.42"/>
    <x v="4"/>
    <s v="VALIDATED"/>
    <n v="1"/>
    <s v="01.11.80.308.6100.0000"/>
    <n v="22.08"/>
    <s v="11"/>
    <s v="6100"/>
    <n v="24987.5"/>
    <n v="22.08"/>
    <s v="CREDITOR"/>
    <n v="0"/>
    <n v="0"/>
    <n v="0"/>
    <n v="0"/>
    <n v="22.08"/>
  </r>
  <r>
    <n v="60313374"/>
    <s v="N"/>
    <n v="21338325"/>
    <s v="3000014615690008"/>
    <s v="CIVIL"/>
    <d v="2023-06-28T00:00:00"/>
    <d v="2023-07-06T19:21:01"/>
    <m/>
    <d v="2023-07-06T00:00:00"/>
    <n v="917"/>
    <n v="19162"/>
    <s v="60313374"/>
    <s v="60313374"/>
    <m/>
    <m/>
    <n v="22782652"/>
    <m/>
    <m/>
    <m/>
    <s v="SOLFIN"/>
    <s v="SOLFIN"/>
    <s v="CCMS"/>
    <n v="21338325"/>
    <n v="6871.22"/>
    <m/>
    <s v="N"/>
    <n v="50"/>
    <d v="2023-07-06T19:21:19"/>
    <s v="Y"/>
    <s v="Attendance upon client"/>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184"/>
    <d v="2023-07-06T19:21:22"/>
    <s v="Y"/>
    <s v="Paediatrician"/>
    <s v="Care Remuneration Hourly Rates"/>
    <s v="Expert Disbursement"/>
    <s v="XXX"/>
    <s v="Y"/>
    <n v="216"/>
    <n v="43.2"/>
    <x v="4"/>
    <s v="VALIDATED"/>
    <n v="1"/>
    <s v="01.11.80.308.6300.0000"/>
    <n v="216"/>
    <s v="11"/>
    <s v="6300"/>
    <n v="24987.5"/>
    <n v="216"/>
    <s v="CREDITOR"/>
    <n v="0"/>
    <n v="0"/>
    <n v="0"/>
    <n v="0"/>
    <n v="216"/>
  </r>
  <r>
    <n v="59629456"/>
    <s v="N"/>
    <n v="21338367"/>
    <s v="3000014027440015"/>
    <s v="CIVIL"/>
    <d v="2023-06-28T00:00:00"/>
    <d v="2023-07-06T19:21:01"/>
    <m/>
    <d v="2023-07-06T00:00:00"/>
    <n v="917"/>
    <n v="19162"/>
    <s v="59629456"/>
    <s v="59629456"/>
    <m/>
    <m/>
    <n v="22776034"/>
    <m/>
    <m/>
    <m/>
    <s v="SOLFIN"/>
    <s v="SOLFIN"/>
    <s v="CCMS"/>
    <n v="21338367"/>
    <n v="17364.08"/>
    <m/>
    <s v="N"/>
    <n v="81"/>
    <d v="2023-07-06T19:21:22"/>
    <s v="Y"/>
    <s v="Attendance upon client"/>
    <s v="Care Remuneration Hourly Rates"/>
    <s v="Profit Cost"/>
    <s v="ZM"/>
    <s v="Y"/>
    <n v="73.59999999999999"/>
    <n v="14.72"/>
    <x v="4"/>
    <s v="VALIDATED"/>
    <n v="1"/>
    <s v="01.11.80.308.6100.0000"/>
    <n v="73.59999999999999"/>
    <s v="11"/>
    <s v="6100"/>
    <n v="24987.5"/>
    <n v="73.59999999999999"/>
    <s v="CREDITOR"/>
    <n v="0"/>
    <n v="0"/>
    <n v="0"/>
    <n v="0"/>
    <n v="73.59999999999999"/>
  </r>
  <r>
    <n v="60313374"/>
    <s v="N"/>
    <n v="21338325"/>
    <s v="3000014615690008"/>
    <s v="CIVIL"/>
    <d v="2023-06-28T00:00:00"/>
    <d v="2023-07-06T19:21:01"/>
    <m/>
    <d v="2023-07-06T00:00:00"/>
    <n v="917"/>
    <n v="19162"/>
    <s v="60313374"/>
    <s v="60313374"/>
    <m/>
    <m/>
    <n v="22782652"/>
    <m/>
    <m/>
    <m/>
    <s v="SOLFIN"/>
    <s v="SOLFIN"/>
    <s v="CCMS"/>
    <n v="21338325"/>
    <n v="6871.22"/>
    <m/>
    <s v="N"/>
    <n v="89"/>
    <d v="2023-07-06T19:21:19"/>
    <s v="Y"/>
    <s v="Preparation - other"/>
    <s v="Prescribed Hourly Rates"/>
    <s v="Profit Cost"/>
    <s v="PH"/>
    <s v="Y"/>
    <n v="10.98"/>
    <n v="2.2"/>
    <x v="4"/>
    <s v="VALIDATED"/>
    <n v="1"/>
    <s v="01.11.80.307.6100.0000"/>
    <n v="10.98"/>
    <s v="11"/>
    <s v="6100"/>
    <n v="24987.5"/>
    <n v="10.98"/>
    <s v="CREDITOR"/>
    <n v="0"/>
    <n v="0"/>
    <n v="0"/>
    <n v="0"/>
    <n v="10.98"/>
  </r>
  <r>
    <n v="61087371"/>
    <s v="N"/>
    <n v="21349665"/>
    <s v="3000015258150003"/>
    <s v="CIVIL"/>
    <d v="2023-06-28T00:00:00"/>
    <d v="2023-07-10T19:01:40"/>
    <m/>
    <d v="2023-07-10T00:00:00"/>
    <n v="917"/>
    <n v="19162"/>
    <s v="61087371"/>
    <s v="61087371"/>
    <m/>
    <m/>
    <n v="22783936"/>
    <m/>
    <m/>
    <m/>
    <s v="SOLFIN"/>
    <s v="SOLFIN"/>
    <s v="CCMS"/>
    <n v="21349665"/>
    <n v="1736"/>
    <m/>
    <s v="N"/>
    <n v="13"/>
    <d v="2023-07-10T19:01:55"/>
    <s v="Y"/>
    <s v="Preparation - other"/>
    <s v="Prescribed Hourly Rates"/>
    <s v="Profit Cost"/>
    <s v="PH"/>
    <s v="Y"/>
    <n v="10.98"/>
    <n v="2.2"/>
    <x v="2"/>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67"/>
    <d v="2023-07-06T19:21:22"/>
    <s v="Y"/>
    <s v="Preparation - other"/>
    <s v="Care Remuneration Hourly Rates"/>
    <s v="Profit Cost"/>
    <s v="ZM"/>
    <s v="Y"/>
    <n v="36.81"/>
    <n v="7.36"/>
    <x v="4"/>
    <s v="VALIDATED"/>
    <n v="1"/>
    <s v="01.11.80.308.6100.0000"/>
    <n v="36.81"/>
    <s v="11"/>
    <s v="6100"/>
    <n v="24987.5"/>
    <n v="36.81"/>
    <s v="CREDITOR"/>
    <n v="0"/>
    <n v="0"/>
    <n v="0"/>
    <n v="0"/>
    <n v="36.81"/>
  </r>
  <r>
    <n v="60313374"/>
    <s v="N"/>
    <n v="21338325"/>
    <s v="3000014615690008"/>
    <s v="CIVIL"/>
    <d v="2023-06-28T00:00:00"/>
    <d v="2023-07-06T19:21:01"/>
    <m/>
    <d v="2023-07-06T00:00:00"/>
    <n v="917"/>
    <n v="19162"/>
    <s v="60313374"/>
    <s v="60313374"/>
    <m/>
    <m/>
    <n v="22782652"/>
    <m/>
    <m/>
    <m/>
    <s v="SOLFIN"/>
    <s v="SOLFIN"/>
    <s v="CCMS"/>
    <n v="21338325"/>
    <n v="6871.22"/>
    <m/>
    <s v="N"/>
    <n v="62"/>
    <d v="2023-07-06T19:21:19"/>
    <s v="Y"/>
    <s v="Attendance upon client"/>
    <s v="Prescribed Hourly Rates"/>
    <s v="Profit Cost"/>
    <s v="PH"/>
    <s v="Y"/>
    <n v="25.25"/>
    <n v="5.05"/>
    <x v="4"/>
    <s v="VALIDATED"/>
    <n v="1"/>
    <s v="01.11.80.307.6100.0000"/>
    <n v="25.25"/>
    <s v="11"/>
    <s v="6100"/>
    <n v="24987.5"/>
    <n v="25.25"/>
    <s v="CREDITOR"/>
    <n v="0"/>
    <n v="0"/>
    <n v="0"/>
    <n v="0"/>
    <n v="25.25"/>
  </r>
  <r>
    <n v="60313374"/>
    <s v="N"/>
    <n v="21338325"/>
    <s v="3000014615690008"/>
    <s v="CIVIL"/>
    <d v="2023-06-28T00:00:00"/>
    <d v="2023-07-06T19:21:01"/>
    <m/>
    <d v="2023-07-06T00:00:00"/>
    <n v="917"/>
    <n v="19162"/>
    <s v="60313374"/>
    <s v="60313374"/>
    <m/>
    <m/>
    <n v="22782652"/>
    <m/>
    <m/>
    <m/>
    <s v="SOLFIN"/>
    <s v="SOLFIN"/>
    <s v="CCMS"/>
    <n v="21338325"/>
    <n v="6871.22"/>
    <m/>
    <s v="N"/>
    <n v="26"/>
    <d v="2023-07-06T19:21:19"/>
    <s v="Y"/>
    <s v="Attendance upon other side"/>
    <s v="Prescribed Hourly Rates"/>
    <s v="Profit Cost"/>
    <s v="PH"/>
    <s v="Y"/>
    <n v="12.63"/>
    <n v="2.53"/>
    <x v="4"/>
    <s v="VALIDATED"/>
    <n v="1"/>
    <s v="01.11.80.307.6100.0000"/>
    <n v="12.63"/>
    <s v="11"/>
    <s v="6100"/>
    <n v="24987.5"/>
    <n v="12.63"/>
    <s v="CREDITOR"/>
    <n v="0"/>
    <n v="0"/>
    <n v="0"/>
    <n v="0"/>
    <n v="12.63"/>
  </r>
  <r>
    <n v="60313374"/>
    <s v="N"/>
    <n v="21338325"/>
    <s v="3000014615690008"/>
    <s v="CIVIL"/>
    <d v="2023-06-28T00:00:00"/>
    <d v="2023-07-06T19:21:01"/>
    <m/>
    <d v="2023-07-06T00:00:00"/>
    <n v="917"/>
    <n v="19162"/>
    <s v="60313374"/>
    <s v="60313374"/>
    <m/>
    <m/>
    <n v="22782652"/>
    <m/>
    <m/>
    <m/>
    <s v="SOLFIN"/>
    <s v="SOLFIN"/>
    <s v="CCMS"/>
    <n v="21338325"/>
    <n v="6871.22"/>
    <m/>
    <s v="N"/>
    <n v="36"/>
    <d v="2023-07-06T19:21:19"/>
    <s v="Y"/>
    <s v="Attendance upon client"/>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120"/>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27"/>
    <d v="2023-07-06T19:21:22"/>
    <s v="Y"/>
    <s v="Attendance upon client"/>
    <s v="Care Remuneration Hourly Rates"/>
    <s v="Profit Cost"/>
    <s v="DHH"/>
    <s v="Y"/>
    <n v="14.71"/>
    <n v="2.94"/>
    <x v="4"/>
    <s v="VALIDATED"/>
    <n v="1"/>
    <s v="01.11.80.308.6100.0000"/>
    <n v="14.71"/>
    <s v="11"/>
    <s v="6100"/>
    <n v="24987.5"/>
    <n v="14.71"/>
    <s v="CREDITOR"/>
    <n v="0"/>
    <n v="0"/>
    <n v="0"/>
    <n v="0"/>
    <n v="14.71"/>
  </r>
  <r>
    <n v="60313374"/>
    <s v="N"/>
    <n v="21338325"/>
    <s v="3000014615690008"/>
    <s v="CIVIL"/>
    <d v="2023-06-28T00:00:00"/>
    <d v="2023-07-06T19:21:01"/>
    <m/>
    <d v="2023-07-06T00:00:00"/>
    <n v="917"/>
    <n v="19162"/>
    <s v="60313374"/>
    <s v="60313374"/>
    <m/>
    <m/>
    <n v="22782652"/>
    <m/>
    <m/>
    <m/>
    <s v="SOLFIN"/>
    <s v="SOLFIN"/>
    <s v="CCMS"/>
    <n v="21338325"/>
    <n v="6871.22"/>
    <m/>
    <s v="N"/>
    <n v="102"/>
    <d v="2023-07-06T19:21:19"/>
    <s v="N"/>
    <s v="Preparation - other"/>
    <s v="Prescribed Hourly Rates"/>
    <s v="Profit Cost"/>
    <s v="PH"/>
    <s v="N"/>
    <n v="0"/>
    <n v="0"/>
    <x v="4"/>
    <s v="VALIDATED"/>
    <n v="1"/>
    <s v="01.11.80.307.6100.0000"/>
    <n v="0"/>
    <s v="11"/>
    <s v="6100"/>
    <n v="24987.5"/>
    <n v="0"/>
    <s v="CREDITOR"/>
    <n v="0"/>
    <n v="0"/>
    <n v="0"/>
    <n v="0"/>
    <n v="0"/>
  </r>
  <r>
    <n v="60969011"/>
    <s v="N"/>
    <n v="21328040"/>
    <s v="3000015171370002"/>
    <s v="CIVIL"/>
    <d v="2023-06-27T00:00:00"/>
    <d v="2023-07-04T19:00:44"/>
    <m/>
    <d v="2023-07-04T00:00:00"/>
    <n v="917"/>
    <n v="19162"/>
    <s v="60969011"/>
    <s v="60969011"/>
    <m/>
    <m/>
    <n v="22772306"/>
    <m/>
    <m/>
    <m/>
    <s v="SOLFIN"/>
    <s v="SOLFIN"/>
    <s v="CCMS"/>
    <n v="21328040"/>
    <n v="2128.61"/>
    <m/>
    <s v="N"/>
    <n v="33"/>
    <d v="2023-07-04T19:01:02"/>
    <s v="Y"/>
    <s v="Routine Letter In"/>
    <s v="Prescribed Hourly Rates"/>
    <s v="Profit Cost"/>
    <s v="DM"/>
    <s v="Y"/>
    <n v="153.9"/>
    <n v="30.78"/>
    <x v="1"/>
    <s v="VALIDATED"/>
    <n v="1"/>
    <s v="01.11.80.307.6100.0000"/>
    <n v="153.9"/>
    <s v="11"/>
    <s v="6100"/>
    <n v="24987.5"/>
    <n v="153.9"/>
    <s v="CREDITOR"/>
    <n v="0"/>
    <n v="0"/>
    <n v="0"/>
    <n v="0"/>
    <n v="153.9"/>
  </r>
  <r>
    <n v="60969011"/>
    <s v="N"/>
    <n v="21328040"/>
    <s v="3000015171370002"/>
    <s v="CIVIL"/>
    <d v="2023-06-27T00:00:00"/>
    <d v="2023-07-04T19:00:44"/>
    <m/>
    <d v="2023-07-04T00:00:00"/>
    <n v="917"/>
    <n v="19162"/>
    <s v="60969011"/>
    <s v="60969011"/>
    <m/>
    <m/>
    <n v="22772306"/>
    <m/>
    <m/>
    <m/>
    <s v="SOLFIN"/>
    <s v="SOLFIN"/>
    <s v="CCMS"/>
    <n v="21328040"/>
    <n v="2128.61"/>
    <m/>
    <s v="N"/>
    <n v="6"/>
    <d v="2023-07-04T19:01:02"/>
    <s v="Y"/>
    <s v="Preparation - other"/>
    <s v="Prescribed Hourly Rates"/>
    <s v="Profit Cost"/>
    <s v="DM"/>
    <s v="Y"/>
    <n v="10.98"/>
    <n v="2.2"/>
    <x v="1"/>
    <s v="VALIDATED"/>
    <n v="1"/>
    <s v="01.11.80.307.6100.0000"/>
    <n v="10.98"/>
    <s v="11"/>
    <s v="6100"/>
    <n v="24987.5"/>
    <n v="10.98"/>
    <s v="CREDITOR"/>
    <n v="0"/>
    <n v="0"/>
    <n v="0"/>
    <n v="0"/>
    <n v="10.98"/>
  </r>
  <r>
    <n v="60969011"/>
    <s v="N"/>
    <n v="21328040"/>
    <s v="3000015171370002"/>
    <s v="CIVIL"/>
    <d v="2023-06-27T00:00:00"/>
    <d v="2023-07-04T19:00:44"/>
    <m/>
    <d v="2023-07-04T00:00:00"/>
    <n v="917"/>
    <n v="19162"/>
    <s v="60969011"/>
    <s v="60969011"/>
    <m/>
    <m/>
    <n v="22772306"/>
    <m/>
    <m/>
    <m/>
    <s v="SOLFIN"/>
    <s v="SOLFIN"/>
    <s v="CCMS"/>
    <n v="21328040"/>
    <n v="2128.61"/>
    <m/>
    <s v="N"/>
    <n v="16"/>
    <d v="2023-07-04T19:01:02"/>
    <s v="Y"/>
    <s v="Preparation - other"/>
    <s v="Prescribed Hourly Rates"/>
    <s v="Profit Cost"/>
    <s v="DM"/>
    <s v="Y"/>
    <n v="10.98"/>
    <n v="2.2"/>
    <x v="1"/>
    <s v="VALIDATED"/>
    <n v="1"/>
    <s v="01.11.80.307.6100.0000"/>
    <n v="10.98"/>
    <s v="11"/>
    <s v="6100"/>
    <n v="24987.5"/>
    <n v="10.98"/>
    <s v="CREDITOR"/>
    <n v="0"/>
    <n v="0"/>
    <n v="0"/>
    <n v="0"/>
    <n v="10.98"/>
  </r>
  <r>
    <n v="60969011"/>
    <s v="N"/>
    <n v="21328040"/>
    <s v="3000015171370002"/>
    <s v="CIVIL"/>
    <d v="2023-06-27T00:00:00"/>
    <d v="2023-07-04T19:00:44"/>
    <m/>
    <d v="2023-07-04T00:00:00"/>
    <n v="917"/>
    <n v="19162"/>
    <s v="60969011"/>
    <s v="60969011"/>
    <m/>
    <m/>
    <n v="22772306"/>
    <m/>
    <m/>
    <m/>
    <s v="SOLFIN"/>
    <s v="SOLFIN"/>
    <s v="CCMS"/>
    <n v="21328040"/>
    <n v="2128.61"/>
    <m/>
    <s v="N"/>
    <n v="20"/>
    <d v="2023-07-04T19:01:02"/>
    <s v="Y"/>
    <s v="Preparation - other"/>
    <s v="Prescribed Hourly Rates"/>
    <s v="Profit Cost"/>
    <s v="DM"/>
    <s v="Y"/>
    <n v="43.92"/>
    <n v="8.779999999999999"/>
    <x v="1"/>
    <s v="VALIDATED"/>
    <n v="1"/>
    <s v="01.11.80.307.6100.0000"/>
    <n v="43.92"/>
    <s v="11"/>
    <s v="6100"/>
    <n v="24987.5"/>
    <n v="43.92"/>
    <s v="CREDITOR"/>
    <n v="0"/>
    <n v="0"/>
    <n v="0"/>
    <n v="0"/>
    <n v="43.92"/>
  </r>
  <r>
    <n v="61087371"/>
    <s v="N"/>
    <n v="21349665"/>
    <s v="3000015258150003"/>
    <s v="CIVIL"/>
    <d v="2023-06-28T00:00:00"/>
    <d v="2023-07-10T19:01:40"/>
    <m/>
    <d v="2023-07-10T00:00:00"/>
    <n v="917"/>
    <n v="19162"/>
    <s v="61087371"/>
    <s v="61087371"/>
    <m/>
    <m/>
    <n v="22783936"/>
    <m/>
    <m/>
    <m/>
    <s v="SOLFIN"/>
    <s v="SOLFIN"/>
    <s v="CCMS"/>
    <n v="21349665"/>
    <n v="1736"/>
    <m/>
    <s v="N"/>
    <n v="46"/>
    <d v="2023-07-10T19:01:55"/>
    <s v="Y"/>
    <s v="Preparation - other"/>
    <s v="Prescribed Hourly Rates"/>
    <s v="Profit Cost"/>
    <s v="PH"/>
    <s v="Y"/>
    <n v="16.47"/>
    <n v="3.29"/>
    <x v="2"/>
    <s v="VALIDATED"/>
    <n v="1"/>
    <s v="01.11.80.307.6100.0000"/>
    <n v="16.47"/>
    <s v="11"/>
    <s v="6100"/>
    <n v="24987.5"/>
    <n v="16.47"/>
    <s v="CREDITOR"/>
    <n v="0"/>
    <n v="0"/>
    <n v="0"/>
    <n v="0"/>
    <n v="16.47"/>
  </r>
  <r>
    <n v="61087371"/>
    <s v="N"/>
    <n v="21349665"/>
    <s v="3000015258150003"/>
    <s v="CIVIL"/>
    <d v="2023-06-28T00:00:00"/>
    <d v="2023-07-10T19:01:40"/>
    <m/>
    <d v="2023-07-10T00:00:00"/>
    <n v="917"/>
    <n v="19162"/>
    <s v="61087371"/>
    <s v="61087371"/>
    <m/>
    <m/>
    <n v="22783936"/>
    <m/>
    <m/>
    <m/>
    <s v="SOLFIN"/>
    <s v="SOLFIN"/>
    <s v="CCMS"/>
    <n v="21349665"/>
    <n v="1736"/>
    <m/>
    <s v="N"/>
    <n v="16"/>
    <d v="2023-07-10T19:01:55"/>
    <s v="Y"/>
    <s v="Preparation - other"/>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19"/>
    <d v="2023-07-10T19:01:55"/>
    <s v="Y"/>
    <s v="Attendance upon client"/>
    <s v="Prescribed Hourly Rates"/>
    <s v="Profit Cost"/>
    <s v="PH"/>
    <s v="Y"/>
    <n v="19.76"/>
    <n v="3.95"/>
    <x v="2"/>
    <s v="VALIDATED"/>
    <n v="1"/>
    <s v="01.11.80.307.6100.0000"/>
    <n v="19.76"/>
    <s v="11"/>
    <s v="6100"/>
    <n v="24987.5"/>
    <n v="19.76"/>
    <s v="CREDITOR"/>
    <n v="0"/>
    <n v="0"/>
    <n v="0"/>
    <n v="0"/>
    <n v="19.76"/>
  </r>
  <r>
    <n v="61087371"/>
    <s v="N"/>
    <n v="21349665"/>
    <s v="3000015258150003"/>
    <s v="CIVIL"/>
    <d v="2023-06-28T00:00:00"/>
    <d v="2023-07-10T19:01:40"/>
    <m/>
    <d v="2023-07-10T00:00:00"/>
    <n v="917"/>
    <n v="19162"/>
    <s v="61087371"/>
    <s v="61087371"/>
    <m/>
    <m/>
    <n v="22783936"/>
    <m/>
    <m/>
    <m/>
    <s v="SOLFIN"/>
    <s v="SOLFIN"/>
    <s v="CCMS"/>
    <n v="21349665"/>
    <n v="1736"/>
    <m/>
    <s v="N"/>
    <n v="28"/>
    <d v="2023-07-10T19:01:55"/>
    <s v="Y"/>
    <s v="Attendance upon client"/>
    <s v="Prescribed Hourly Rates"/>
    <s v="Profit Cost"/>
    <s v="PH"/>
    <s v="Y"/>
    <n v="13.18"/>
    <n v="2.64"/>
    <x v="2"/>
    <s v="VALIDATED"/>
    <n v="1"/>
    <s v="01.11.80.307.6100.0000"/>
    <n v="13.18"/>
    <s v="11"/>
    <s v="6100"/>
    <n v="24987.5"/>
    <n v="13.18"/>
    <s v="CREDITOR"/>
    <n v="0"/>
    <n v="0"/>
    <n v="0"/>
    <n v="0"/>
    <n v="13.18"/>
  </r>
  <r>
    <n v="60313374"/>
    <s v="N"/>
    <n v="21338325"/>
    <s v="3000014615690008"/>
    <s v="CIVIL"/>
    <d v="2023-06-28T00:00:00"/>
    <d v="2023-07-06T19:21:01"/>
    <m/>
    <d v="2023-07-06T00:00:00"/>
    <n v="917"/>
    <n v="19162"/>
    <s v="60313374"/>
    <s v="60313374"/>
    <m/>
    <m/>
    <n v="22782652"/>
    <m/>
    <m/>
    <m/>
    <s v="SOLFIN"/>
    <s v="SOLFIN"/>
    <s v="CCMS"/>
    <n v="21338325"/>
    <n v="6871.22"/>
    <m/>
    <s v="N"/>
    <n v="29"/>
    <d v="2023-07-06T19:21:19"/>
    <s v="Y"/>
    <s v="Attendance upon client"/>
    <s v="Prescribed Hourly Rates"/>
    <s v="Profit Cost"/>
    <s v="PH"/>
    <s v="Y"/>
    <n v="37.88"/>
    <n v="7.58"/>
    <x v="4"/>
    <s v="VALIDATED"/>
    <n v="1"/>
    <s v="01.11.80.307.6100.0000"/>
    <n v="37.88"/>
    <s v="11"/>
    <s v="6100"/>
    <n v="24987.5"/>
    <n v="37.88"/>
    <s v="CREDITOR"/>
    <n v="0"/>
    <n v="0"/>
    <n v="0"/>
    <n v="0"/>
    <n v="37.88"/>
  </r>
  <r>
    <n v="59629456"/>
    <s v="N"/>
    <n v="21338367"/>
    <s v="3000014027440015"/>
    <s v="CIVIL"/>
    <d v="2023-06-28T00:00:00"/>
    <d v="2023-07-06T19:21:01"/>
    <m/>
    <d v="2023-07-06T00:00:00"/>
    <n v="917"/>
    <n v="19162"/>
    <s v="59629456"/>
    <s v="59629456"/>
    <m/>
    <m/>
    <n v="22776034"/>
    <m/>
    <m/>
    <m/>
    <s v="SOLFIN"/>
    <s v="SOLFIN"/>
    <s v="CCMS"/>
    <n v="21338367"/>
    <n v="17364.08"/>
    <m/>
    <s v="N"/>
    <n v="111"/>
    <d v="2023-07-06T19:21:22"/>
    <s v="Y"/>
    <s v="Preparation - other"/>
    <s v="Care Remuneration Hourly Rates"/>
    <s v="Profit Cost"/>
    <s v="ZM"/>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9"/>
    <d v="2023-07-06T19:21:19"/>
    <s v="Y"/>
    <s v="Level 4 Fixed Fee"/>
    <s v="Domestic Abuse"/>
    <s v="Profit Cost"/>
    <s v="XXX"/>
    <s v="Y"/>
    <n v="507"/>
    <n v="101.41"/>
    <x v="4"/>
    <s v="VALIDATED"/>
    <n v="1"/>
    <s v="01.11.80.307.6100.0000"/>
    <n v="507"/>
    <s v="11"/>
    <s v="6100"/>
    <n v="24987.5"/>
    <n v="507"/>
    <s v="CREDITOR"/>
    <n v="0"/>
    <n v="0"/>
    <n v="0"/>
    <n v="0"/>
    <n v="507"/>
  </r>
  <r>
    <n v="59629456"/>
    <s v="N"/>
    <n v="21338367"/>
    <s v="3000014027440015"/>
    <s v="CIVIL"/>
    <d v="2023-06-28T00:00:00"/>
    <d v="2023-07-06T19:21:01"/>
    <m/>
    <d v="2023-07-06T00:00:00"/>
    <n v="917"/>
    <n v="19162"/>
    <s v="59629456"/>
    <s v="59629456"/>
    <m/>
    <m/>
    <n v="22776034"/>
    <m/>
    <m/>
    <m/>
    <s v="SOLFIN"/>
    <s v="SOLFIN"/>
    <s v="CCMS"/>
    <n v="21338367"/>
    <n v="17364.08"/>
    <m/>
    <s v="N"/>
    <n v="9"/>
    <d v="2023-07-06T19:21:22"/>
    <s v="Y"/>
    <s v="Preparation - other"/>
    <s v="Care Remuneration Hourly Rates"/>
    <s v="Profit Cost"/>
    <s v="DM"/>
    <s v="Y"/>
    <n v="22.08"/>
    <n v="4.42"/>
    <x v="4"/>
    <s v="VALIDATED"/>
    <n v="1"/>
    <s v="01.11.80.308.6100.0000"/>
    <n v="22.08"/>
    <s v="11"/>
    <s v="6100"/>
    <n v="24987.5"/>
    <n v="22.08"/>
    <s v="CREDITOR"/>
    <n v="0"/>
    <n v="0"/>
    <n v="0"/>
    <n v="0"/>
    <n v="22.08"/>
  </r>
  <r>
    <n v="59629456"/>
    <s v="N"/>
    <n v="21338367"/>
    <s v="3000014027440015"/>
    <s v="CIVIL"/>
    <d v="2023-06-28T00:00:00"/>
    <d v="2023-07-06T19:21:01"/>
    <m/>
    <d v="2023-07-06T00:00:00"/>
    <n v="917"/>
    <n v="19162"/>
    <s v="59629456"/>
    <s v="59629456"/>
    <m/>
    <m/>
    <n v="22776034"/>
    <m/>
    <m/>
    <m/>
    <s v="SOLFIN"/>
    <s v="SOLFIN"/>
    <s v="CCMS"/>
    <n v="21338367"/>
    <n v="17364.08"/>
    <m/>
    <s v="N"/>
    <n v="137"/>
    <d v="2023-07-06T19:21:22"/>
    <s v="Y"/>
    <s v="Preparation - other"/>
    <s v="Care Remuneration Hourly Rates"/>
    <s v="Profit Cost"/>
    <s v="PF"/>
    <s v="Y"/>
    <n v="36.81"/>
    <n v="7.36"/>
    <x v="4"/>
    <s v="VALIDATED"/>
    <n v="1"/>
    <s v="01.11.80.308.6100.0000"/>
    <n v="36.81"/>
    <s v="11"/>
    <s v="6100"/>
    <n v="24987.5"/>
    <n v="36.81"/>
    <s v="CREDITOR"/>
    <n v="0"/>
    <n v="0"/>
    <n v="0"/>
    <n v="0"/>
    <n v="36.81"/>
  </r>
  <r>
    <n v="60313374"/>
    <s v="N"/>
    <n v="21338325"/>
    <s v="3000014615690008"/>
    <s v="CIVIL"/>
    <d v="2023-06-28T00:00:00"/>
    <d v="2023-07-06T19:21:01"/>
    <m/>
    <d v="2023-07-06T00:00:00"/>
    <n v="917"/>
    <n v="19162"/>
    <s v="60313374"/>
    <s v="60313374"/>
    <m/>
    <m/>
    <n v="22782652"/>
    <m/>
    <m/>
    <m/>
    <s v="SOLFIN"/>
    <s v="SOLFIN"/>
    <s v="CCMS"/>
    <n v="21338325"/>
    <n v="6871.22"/>
    <m/>
    <s v="N"/>
    <n v="93"/>
    <d v="2023-07-06T19:21:19"/>
    <s v="Y"/>
    <s v="Preparation - other"/>
    <s v="Prescribed Hourly Rates"/>
    <s v="Profit Cost"/>
    <s v="PH"/>
    <s v="Y"/>
    <n v="10.98"/>
    <n v="2.2"/>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16"/>
    <d v="2023-07-06T19:21:22"/>
    <s v="Y"/>
    <s v="Preparation - other"/>
    <s v="Care Remuneration Hourly Rates"/>
    <s v="Profit Cost"/>
    <s v="DM"/>
    <s v="Y"/>
    <n v="44.16"/>
    <n v="8.83"/>
    <x v="4"/>
    <s v="VALIDATED"/>
    <n v="1"/>
    <s v="01.11.80.308.6100.0000"/>
    <n v="44.16"/>
    <s v="11"/>
    <s v="6100"/>
    <n v="24987.5"/>
    <n v="44.16"/>
    <s v="CREDITOR"/>
    <n v="0"/>
    <n v="0"/>
    <n v="0"/>
    <n v="0"/>
    <n v="44.16"/>
  </r>
  <r>
    <n v="60969011"/>
    <s v="N"/>
    <n v="21328040"/>
    <s v="3000015171370002"/>
    <s v="CIVIL"/>
    <d v="2023-06-27T00:00:00"/>
    <d v="2023-07-04T19:00:44"/>
    <m/>
    <d v="2023-07-04T00:00:00"/>
    <n v="917"/>
    <n v="19162"/>
    <s v="60969011"/>
    <s v="60969011"/>
    <m/>
    <m/>
    <n v="22772306"/>
    <m/>
    <m/>
    <m/>
    <s v="SOLFIN"/>
    <s v="SOLFIN"/>
    <s v="CCMS"/>
    <n v="21328040"/>
    <n v="2128.61"/>
    <m/>
    <s v="N"/>
    <n v="3"/>
    <d v="2023-07-04T19:01:02"/>
    <s v="N"/>
    <s v="Level 3 Fixed Fee"/>
    <s v="Private Law Children"/>
    <s v="Profit Cost"/>
    <s v="XXX"/>
    <s v="N"/>
    <n v="0"/>
    <n v="0"/>
    <x v="1"/>
    <s v="VALIDATED"/>
    <n v="1"/>
    <s v="01.11.80.307.6100.0000"/>
    <n v="0"/>
    <s v="11"/>
    <s v="6100"/>
    <n v="24987.5"/>
    <n v="0"/>
    <s v="CREDITOR"/>
    <n v="0"/>
    <n v="0"/>
    <n v="0"/>
    <n v="0"/>
    <n v="0"/>
  </r>
  <r>
    <n v="61546807"/>
    <s v="N"/>
    <n v="21319087"/>
    <s v="3000015661680003"/>
    <s v="CIVIL"/>
    <d v="2023-06-23T00:00:00"/>
    <d v="2023-07-03T19:01:49"/>
    <m/>
    <d v="2023-07-03T00:00:00"/>
    <n v="917"/>
    <n v="19162"/>
    <s v="61546807"/>
    <s v="61546807"/>
    <m/>
    <m/>
    <n v="22754138"/>
    <m/>
    <m/>
    <m/>
    <s v="SOLFIN"/>
    <s v="SOLFIN"/>
    <s v="CCMS"/>
    <n v="21319087"/>
    <n v="3003.37"/>
    <m/>
    <s v="N"/>
    <n v="20"/>
    <d v="2023-07-03T19:02:10"/>
    <s v="Y"/>
    <s v="Preparation - other"/>
    <s v="Prescribed Hourly Rates"/>
    <s v="Profit Cost"/>
    <s v="PH"/>
    <s v="Y"/>
    <n v="20.59"/>
    <n v="4.12"/>
    <x v="3"/>
    <s v="VALIDATED"/>
    <n v="1"/>
    <s v="01.11.80.307.6100.0000"/>
    <n v="20.59"/>
    <s v="11"/>
    <s v="6100"/>
    <n v="24987.5"/>
    <n v="20.59"/>
    <s v="CREDITOR"/>
    <n v="0"/>
    <n v="0"/>
    <n v="0"/>
    <n v="0"/>
    <n v="20.59"/>
  </r>
  <r>
    <n v="59629456"/>
    <s v="N"/>
    <n v="21338367"/>
    <s v="3000014027440015"/>
    <s v="CIVIL"/>
    <d v="2023-06-28T00:00:00"/>
    <d v="2023-07-06T19:21:01"/>
    <m/>
    <d v="2023-07-06T00:00:00"/>
    <n v="917"/>
    <n v="19162"/>
    <s v="59629456"/>
    <s v="59629456"/>
    <m/>
    <m/>
    <n v="22776034"/>
    <m/>
    <m/>
    <m/>
    <s v="SOLFIN"/>
    <s v="SOLFIN"/>
    <s v="CCMS"/>
    <n v="21338367"/>
    <n v="17364.08"/>
    <m/>
    <s v="N"/>
    <n v="32"/>
    <d v="2023-07-06T19:21:22"/>
    <s v="Y"/>
    <s v="Attendance upon client"/>
    <s v="Care Remuneration Hourly Rates"/>
    <s v="Profit Cost"/>
    <s v="Z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47"/>
    <d v="2023-07-06T19:21:22"/>
    <s v="Y"/>
    <s v="Preparation - other"/>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174"/>
    <d v="2023-07-06T19:21:22"/>
    <s v="Y"/>
    <s v="Routine Letter Out"/>
    <s v="Care Remuneration Hourly Rates"/>
    <s v="Profit Cost"/>
    <s v="DM"/>
    <s v="Y"/>
    <n v="553.5"/>
    <n v="110.7"/>
    <x v="4"/>
    <s v="VALIDATED"/>
    <n v="1"/>
    <s v="01.11.80.308.6100.0000"/>
    <n v="553.5"/>
    <s v="11"/>
    <s v="6100"/>
    <n v="24987.5"/>
    <n v="553.5"/>
    <s v="CREDITOR"/>
    <n v="0"/>
    <n v="0"/>
    <n v="0"/>
    <n v="0"/>
    <n v="553.5"/>
  </r>
  <r>
    <n v="59629456"/>
    <s v="N"/>
    <n v="21338367"/>
    <s v="3000014027440015"/>
    <s v="CIVIL"/>
    <d v="2023-06-28T00:00:00"/>
    <d v="2023-07-06T19:21:01"/>
    <m/>
    <d v="2023-07-06T00:00:00"/>
    <n v="917"/>
    <n v="19162"/>
    <s v="59629456"/>
    <s v="59629456"/>
    <m/>
    <m/>
    <n v="22776034"/>
    <m/>
    <m/>
    <m/>
    <s v="SOLFIN"/>
    <s v="SOLFIN"/>
    <s v="CCMS"/>
    <n v="21338367"/>
    <n v="17364.08"/>
    <m/>
    <s v="N"/>
    <n v="58"/>
    <d v="2023-07-06T19:21:22"/>
    <s v="Y"/>
    <s v="Attendance upon client"/>
    <s v="Care Remuneration Hourly Rates"/>
    <s v="Profit Cost"/>
    <s v="ZM"/>
    <s v="Y"/>
    <n v="44.16"/>
    <n v="8.83"/>
    <x v="4"/>
    <s v="VALIDATED"/>
    <n v="1"/>
    <s v="01.11.80.308.6100.0000"/>
    <n v="44.16"/>
    <s v="11"/>
    <s v="6100"/>
    <n v="24987.5"/>
    <n v="44.16"/>
    <s v="CREDITOR"/>
    <n v="0"/>
    <n v="0"/>
    <n v="0"/>
    <n v="0"/>
    <n v="44.16"/>
  </r>
  <r>
    <n v="59629456"/>
    <s v="N"/>
    <n v="21338367"/>
    <s v="3000014027440015"/>
    <s v="CIVIL"/>
    <d v="2023-06-28T00:00:00"/>
    <d v="2023-07-06T19:21:01"/>
    <m/>
    <d v="2023-07-06T00:00:00"/>
    <n v="917"/>
    <n v="19162"/>
    <s v="59629456"/>
    <s v="59629456"/>
    <m/>
    <m/>
    <n v="22776034"/>
    <m/>
    <m/>
    <m/>
    <s v="SOLFIN"/>
    <s v="SOLFIN"/>
    <s v="CCMS"/>
    <n v="21338367"/>
    <n v="17364.08"/>
    <m/>
    <s v="N"/>
    <n v="64"/>
    <d v="2023-07-06T19:21:22"/>
    <s v="Y"/>
    <s v="Preparation - drafting statement"/>
    <s v="Care Remuneration Hourly Rates"/>
    <s v="Profit Cost"/>
    <s v="ZM"/>
    <s v="Y"/>
    <n v="154.56"/>
    <n v="30.91"/>
    <x v="4"/>
    <s v="VALIDATED"/>
    <n v="1"/>
    <s v="01.11.80.308.6100.0000"/>
    <n v="154.56"/>
    <s v="11"/>
    <s v="6100"/>
    <n v="24987.5"/>
    <n v="154.56"/>
    <s v="CREDITOR"/>
    <n v="0"/>
    <n v="0"/>
    <n v="0"/>
    <n v="0"/>
    <n v="154.56"/>
  </r>
  <r>
    <n v="59629456"/>
    <s v="N"/>
    <n v="21338367"/>
    <s v="3000014027440015"/>
    <s v="CIVIL"/>
    <d v="2023-06-28T00:00:00"/>
    <d v="2023-07-06T19:21:01"/>
    <m/>
    <d v="2023-07-06T00:00:00"/>
    <n v="917"/>
    <n v="19162"/>
    <s v="59629456"/>
    <s v="59629456"/>
    <m/>
    <m/>
    <n v="22776034"/>
    <m/>
    <m/>
    <m/>
    <s v="SOLFIN"/>
    <s v="SOLFIN"/>
    <s v="CCMS"/>
    <n v="21338367"/>
    <n v="17364.08"/>
    <m/>
    <s v="N"/>
    <n v="79"/>
    <d v="2023-07-06T19:21:22"/>
    <s v="Y"/>
    <s v="Preparation - other"/>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100"/>
    <d v="2023-07-06T19:21:22"/>
    <s v="Y"/>
    <s v="Preparation - other"/>
    <s v="Care Remuneration Hourly Rates"/>
    <s v="Profit Cost"/>
    <s v="ZM"/>
    <s v="Y"/>
    <n v="14.71"/>
    <n v="2.94"/>
    <x v="4"/>
    <s v="VALIDATED"/>
    <n v="1"/>
    <s v="01.11.80.308.6100.0000"/>
    <n v="14.71"/>
    <s v="11"/>
    <s v="6100"/>
    <n v="24987.5"/>
    <n v="14.71"/>
    <s v="CREDITOR"/>
    <n v="0"/>
    <n v="0"/>
    <n v="0"/>
    <n v="0"/>
    <n v="14.71"/>
  </r>
  <r>
    <n v="61972153"/>
    <s v="N"/>
    <n v="21320900"/>
    <s v="3000016019080005"/>
    <s v="CIVIL"/>
    <d v="2023-06-28T00:00:00"/>
    <d v="2023-07-03T19:04:52"/>
    <m/>
    <d v="2023-07-03T00:00:00"/>
    <n v="917"/>
    <n v="19162"/>
    <s v="61972153"/>
    <s v="61972153"/>
    <m/>
    <m/>
    <n v="22783160"/>
    <m/>
    <m/>
    <m/>
    <s v="SOLPOA"/>
    <s v="SOLPOA"/>
    <s v="CCMS"/>
    <n v="21320900"/>
    <n v="4843.51"/>
    <m/>
    <s v="N"/>
    <n v="1"/>
    <d v="2023-07-03T19:04:57"/>
    <s v="N"/>
    <s v="Solicitors Fixed Fee"/>
    <s v="Public Law Children"/>
    <s v="Profit Cost"/>
    <s v="DANIEL MAIDEN"/>
    <s v="N"/>
    <n v="4036.26"/>
    <n v="807.25"/>
    <x v="3"/>
    <s v="VALIDATED"/>
    <n v="1"/>
    <s v="01.11.80.308.2012.0000"/>
    <n v="4036.26"/>
    <s v="11"/>
    <s v="2012"/>
    <n v="24987.5"/>
    <n v="4036.26"/>
    <s v="CREDITOR"/>
    <n v="4036.26"/>
    <n v="1009.065"/>
    <n v="0"/>
    <n v="0"/>
    <n v="0"/>
  </r>
  <r>
    <n v="61546807"/>
    <s v="N"/>
    <n v="21319087"/>
    <s v="3000015661680003"/>
    <s v="CIVIL"/>
    <d v="2023-06-23T00:00:00"/>
    <d v="2023-07-03T19:01:49"/>
    <m/>
    <d v="2023-07-03T00:00:00"/>
    <n v="917"/>
    <n v="19162"/>
    <s v="61546807"/>
    <s v="61546807"/>
    <m/>
    <m/>
    <n v="22754138"/>
    <m/>
    <m/>
    <m/>
    <s v="SOLFIN"/>
    <s v="SOLFIN"/>
    <s v="CCMS"/>
    <n v="21319087"/>
    <n v="3003.37"/>
    <m/>
    <s v="N"/>
    <n v="53"/>
    <d v="2023-07-03T19:02:10"/>
    <s v="Y"/>
    <s v="Preparation - other"/>
    <s v="Prescribed Hourly Rates"/>
    <s v="Profit Cost"/>
    <s v="PH"/>
    <s v="Y"/>
    <n v="5.49"/>
    <n v="1.1"/>
    <x v="3"/>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70"/>
    <d v="2023-07-03T19:02:10"/>
    <s v="N"/>
    <s v="Preparation - other"/>
    <s v="Prescribed Hourly Rates"/>
    <s v="Profit Cost"/>
    <s v="PH"/>
    <s v="N"/>
    <n v="0"/>
    <n v="0"/>
    <x v="3"/>
    <s v="VALIDATED"/>
    <n v="1"/>
    <s v="01.11.80.307.6100.0000"/>
    <n v="0"/>
    <s v="11"/>
    <s v="6100"/>
    <n v="24987.5"/>
    <n v="0"/>
    <s v="CREDITOR"/>
    <n v="0"/>
    <n v="0"/>
    <n v="0"/>
    <n v="0"/>
    <n v="0"/>
  </r>
  <r>
    <n v="61087371"/>
    <s v="N"/>
    <n v="21349665"/>
    <s v="3000015258150003"/>
    <s v="CIVIL"/>
    <d v="2023-06-28T00:00:00"/>
    <d v="2023-07-10T19:01:40"/>
    <m/>
    <d v="2023-07-10T00:00:00"/>
    <n v="917"/>
    <n v="19162"/>
    <s v="61087371"/>
    <s v="61087371"/>
    <m/>
    <m/>
    <n v="22783936"/>
    <m/>
    <m/>
    <m/>
    <s v="SOLFIN"/>
    <s v="SOLFIN"/>
    <s v="CCMS"/>
    <n v="21349665"/>
    <n v="1736"/>
    <m/>
    <s v="N"/>
    <n v="2"/>
    <d v="2023-07-10T19:01:55"/>
    <s v="N"/>
    <s v="Level 3 Fixed Fee"/>
    <s v="Private Law Children"/>
    <s v="Profit Cost"/>
    <s v="XXX"/>
    <s v="N"/>
    <n v="0"/>
    <n v="0"/>
    <x v="2"/>
    <s v="VALIDATED"/>
    <n v="1"/>
    <s v="01.11.80.307.6100.0000"/>
    <n v="0"/>
    <s v="11"/>
    <s v="6100"/>
    <n v="24987.5"/>
    <n v="0"/>
    <s v="CREDITOR"/>
    <n v="0"/>
    <n v="0"/>
    <n v="0"/>
    <n v="0"/>
    <n v="0"/>
  </r>
  <r>
    <n v="59629456"/>
    <s v="N"/>
    <n v="21338367"/>
    <s v="3000014027440015"/>
    <s v="CIVIL"/>
    <d v="2023-06-28T00:00:00"/>
    <d v="2023-07-06T19:21:01"/>
    <m/>
    <d v="2023-07-06T00:00:00"/>
    <n v="917"/>
    <n v="19162"/>
    <s v="59629456"/>
    <s v="59629456"/>
    <m/>
    <m/>
    <n v="22776034"/>
    <m/>
    <m/>
    <m/>
    <s v="SOLFIN"/>
    <s v="SOLFIN"/>
    <s v="CCMS"/>
    <n v="21338367"/>
    <n v="17364.08"/>
    <m/>
    <s v="N"/>
    <n v="11"/>
    <d v="2023-07-06T19:21:22"/>
    <s v="Y"/>
    <s v="Attendance upon client"/>
    <s v="Care Remuneration Hourly Rates"/>
    <s v="Profit Cost"/>
    <s v="DM"/>
    <s v="Y"/>
    <n v="22.08"/>
    <n v="4.42"/>
    <x v="4"/>
    <s v="VALIDATED"/>
    <n v="1"/>
    <s v="01.11.80.308.6100.0000"/>
    <n v="22.08"/>
    <s v="11"/>
    <s v="6100"/>
    <n v="24987.5"/>
    <n v="22.08"/>
    <s v="CREDITOR"/>
    <n v="0"/>
    <n v="0"/>
    <n v="0"/>
    <n v="0"/>
    <n v="22.08"/>
  </r>
  <r>
    <n v="61546807"/>
    <s v="N"/>
    <n v="21319087"/>
    <s v="3000015661680003"/>
    <s v="CIVIL"/>
    <d v="2023-06-23T00:00:00"/>
    <d v="2023-07-03T19:01:49"/>
    <m/>
    <d v="2023-07-03T00:00:00"/>
    <n v="917"/>
    <n v="19162"/>
    <s v="61546807"/>
    <s v="61546807"/>
    <m/>
    <m/>
    <n v="22754138"/>
    <m/>
    <m/>
    <m/>
    <s v="SOLFIN"/>
    <s v="SOLFIN"/>
    <s v="CCMS"/>
    <n v="21319087"/>
    <n v="3003.37"/>
    <m/>
    <s v="N"/>
    <n v="43"/>
    <d v="2023-07-03T19:02:10"/>
    <s v="Y"/>
    <s v="Preparation - other"/>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5"/>
    <d v="2023-07-03T19:02:10"/>
    <s v="Y"/>
    <s v="Attendance upon client"/>
    <s v="Prescribed Hourly Rates"/>
    <s v="Profit Cost"/>
    <s v="DH"/>
    <s v="Y"/>
    <n v="13.73"/>
    <n v="2.75"/>
    <x v="3"/>
    <s v="VALIDATED"/>
    <n v="1"/>
    <s v="01.11.80.307.6100.0000"/>
    <n v="13.73"/>
    <s v="11"/>
    <s v="6100"/>
    <n v="24987.5"/>
    <n v="13.73"/>
    <s v="CREDITOR"/>
    <n v="0"/>
    <n v="0"/>
    <n v="0"/>
    <n v="0"/>
    <n v="13.73"/>
  </r>
  <r>
    <n v="61087371"/>
    <s v="N"/>
    <n v="21349665"/>
    <s v="3000015258150003"/>
    <s v="CIVIL"/>
    <d v="2023-06-28T00:00:00"/>
    <d v="2023-07-10T19:01:40"/>
    <m/>
    <d v="2023-07-10T00:00:00"/>
    <n v="917"/>
    <n v="19162"/>
    <s v="61087371"/>
    <s v="61087371"/>
    <m/>
    <m/>
    <n v="22783936"/>
    <m/>
    <m/>
    <m/>
    <s v="SOLFIN"/>
    <s v="SOLFIN"/>
    <s v="CCMS"/>
    <n v="21349665"/>
    <n v="1736"/>
    <m/>
    <s v="N"/>
    <n v="15"/>
    <d v="2023-07-10T19:01:55"/>
    <s v="Y"/>
    <s v="Preparation - other"/>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34"/>
    <d v="2023-07-10T19:01:55"/>
    <s v="Y"/>
    <s v="Preparation - drafting attendance n"/>
    <s v="Prescribed Hourly Rates"/>
    <s v="Profit Cost"/>
    <s v="PH"/>
    <s v="Y"/>
    <n v="6.59"/>
    <n v="1.32"/>
    <x v="2"/>
    <s v="VALIDATED"/>
    <n v="1"/>
    <s v="01.11.80.307.6100.0000"/>
    <n v="6.59"/>
    <s v="11"/>
    <s v="6100"/>
    <n v="24987.5"/>
    <n v="6.59"/>
    <s v="CREDITOR"/>
    <n v="0"/>
    <n v="0"/>
    <n v="0"/>
    <n v="0"/>
    <n v="6.59"/>
  </r>
  <r>
    <n v="61196876"/>
    <s v="N"/>
    <n v="21344045"/>
    <s v="3000015373210004"/>
    <s v="CIVIL"/>
    <d v="2023-06-29T00:00:00"/>
    <d v="2023-07-07T19:03:00"/>
    <m/>
    <d v="2023-07-07T00:00:00"/>
    <n v="917"/>
    <n v="19162"/>
    <s v="61196876"/>
    <s v="61196876"/>
    <m/>
    <m/>
    <n v="22785108"/>
    <m/>
    <m/>
    <m/>
    <s v="SOLFIN"/>
    <s v="SOLFIN"/>
    <s v="CCMS"/>
    <n v="21344045"/>
    <n v="4358.58"/>
    <m/>
    <s v="N"/>
    <n v="6"/>
    <d v="2023-07-07T19:03:21"/>
    <s v="Y"/>
    <s v="Final Hearing - 1 Day"/>
    <s v="Public Law Children"/>
    <s v="Advocacy"/>
    <s v="DJM"/>
    <s v="Y"/>
    <n v="556.88"/>
    <n v="111.38"/>
    <x v="9"/>
    <s v="VALIDATED"/>
    <n v="1"/>
    <s v="01.11.80.308.6100.0000"/>
    <n v="556.88"/>
    <s v="11"/>
    <s v="6100"/>
    <n v="24987.5"/>
    <n v="556.88"/>
    <s v="CREDITOR"/>
    <n v="0"/>
    <n v="0"/>
    <n v="0"/>
    <n v="0"/>
    <n v="556.88"/>
  </r>
  <r>
    <n v="59629456"/>
    <s v="N"/>
    <n v="21338367"/>
    <s v="3000014027440015"/>
    <s v="CIVIL"/>
    <d v="2023-06-28T00:00:00"/>
    <d v="2023-07-06T19:21:01"/>
    <m/>
    <d v="2023-07-06T00:00:00"/>
    <n v="917"/>
    <n v="19162"/>
    <s v="59629456"/>
    <s v="59629456"/>
    <m/>
    <m/>
    <n v="22776034"/>
    <m/>
    <m/>
    <m/>
    <s v="SOLFIN"/>
    <s v="SOLFIN"/>
    <s v="CCMS"/>
    <n v="21338367"/>
    <n v="17364.08"/>
    <m/>
    <s v="N"/>
    <n v="177"/>
    <d v="2023-07-06T19:21:22"/>
    <s v="N"/>
    <s v="Solicitors Fixed Fee"/>
    <s v="Public Law Children"/>
    <s v="Profit Cost"/>
    <s v="XXX"/>
    <s v="N"/>
    <n v="0"/>
    <n v="0"/>
    <x v="4"/>
    <s v="VALIDATED"/>
    <n v="1"/>
    <s v="01.11.80.308.6100.0000"/>
    <n v="0"/>
    <s v="11"/>
    <s v="6100"/>
    <n v="24987.5"/>
    <n v="0"/>
    <s v="CREDITOR"/>
    <n v="0"/>
    <n v="0"/>
    <n v="0"/>
    <n v="0"/>
    <n v="0"/>
  </r>
  <r>
    <n v="60313374"/>
    <s v="N"/>
    <n v="21338325"/>
    <s v="3000014615690008"/>
    <s v="CIVIL"/>
    <d v="2023-06-28T00:00:00"/>
    <d v="2023-07-06T19:21:01"/>
    <m/>
    <d v="2023-07-06T00:00:00"/>
    <n v="917"/>
    <n v="19162"/>
    <s v="60313374"/>
    <s v="60313374"/>
    <m/>
    <m/>
    <n v="22782652"/>
    <m/>
    <m/>
    <m/>
    <s v="SOLFIN"/>
    <s v="SOLFIN"/>
    <s v="CCMS"/>
    <n v="21338325"/>
    <n v="6871.22"/>
    <m/>
    <s v="N"/>
    <n v="85"/>
    <d v="2023-07-06T19:21:19"/>
    <s v="Y"/>
    <s v="Preparation - other"/>
    <s v="Prescribed Hourly Rates"/>
    <s v="Profit Cost"/>
    <s v="PH"/>
    <s v="Y"/>
    <n v="16.47"/>
    <n v="3.29"/>
    <x v="4"/>
    <s v="VALIDATED"/>
    <n v="1"/>
    <s v="01.11.80.307.6100.0000"/>
    <n v="16.47"/>
    <s v="11"/>
    <s v="6100"/>
    <n v="24987.5"/>
    <n v="16.47"/>
    <s v="CREDITOR"/>
    <n v="0"/>
    <n v="0"/>
    <n v="0"/>
    <n v="0"/>
    <n v="16.47"/>
  </r>
  <r>
    <n v="61546807"/>
    <s v="N"/>
    <n v="21319087"/>
    <s v="3000015661680003"/>
    <s v="CIVIL"/>
    <d v="2023-06-23T00:00:00"/>
    <d v="2023-07-03T19:01:49"/>
    <m/>
    <d v="2023-07-03T00:00:00"/>
    <n v="917"/>
    <n v="19162"/>
    <s v="61546807"/>
    <s v="61546807"/>
    <m/>
    <m/>
    <n v="22754138"/>
    <m/>
    <m/>
    <m/>
    <s v="SOLFIN"/>
    <s v="SOLFIN"/>
    <s v="CCMS"/>
    <n v="21319087"/>
    <n v="3003.37"/>
    <m/>
    <s v="N"/>
    <n v="55"/>
    <d v="2023-07-03T19:02:10"/>
    <s v="Y"/>
    <s v="Attendance upon client"/>
    <s v="Prescribed Hourly Rates"/>
    <s v="Profit Cost"/>
    <s v="EA"/>
    <s v="Y"/>
    <n v="13.73"/>
    <n v="2.75"/>
    <x v="3"/>
    <s v="VALIDATED"/>
    <n v="1"/>
    <s v="01.11.80.307.6100.0000"/>
    <n v="13.73"/>
    <s v="11"/>
    <s v="6100"/>
    <n v="24987.5"/>
    <n v="13.73"/>
    <s v="CREDITOR"/>
    <n v="0"/>
    <n v="0"/>
    <n v="0"/>
    <n v="0"/>
    <n v="13.73"/>
  </r>
  <r>
    <n v="61546807"/>
    <s v="N"/>
    <n v="21319087"/>
    <s v="3000015661680003"/>
    <s v="CIVIL"/>
    <d v="2023-06-23T00:00:00"/>
    <d v="2023-07-03T19:01:49"/>
    <m/>
    <d v="2023-07-03T00:00:00"/>
    <n v="917"/>
    <n v="19162"/>
    <s v="61546807"/>
    <s v="61546807"/>
    <m/>
    <m/>
    <n v="22754138"/>
    <m/>
    <m/>
    <m/>
    <s v="SOLFIN"/>
    <s v="SOLFIN"/>
    <s v="CCMS"/>
    <n v="21319087"/>
    <n v="3003.37"/>
    <m/>
    <s v="N"/>
    <n v="60"/>
    <d v="2023-07-03T19:02:10"/>
    <s v="Y"/>
    <s v="Attendance upon client"/>
    <s v="Prescribed Hourly Rates"/>
    <s v="Profit Cost"/>
    <s v="EA"/>
    <s v="Y"/>
    <n v="13.73"/>
    <n v="2.75"/>
    <x v="3"/>
    <s v="VALIDATED"/>
    <n v="1"/>
    <s v="01.11.80.307.6100.0000"/>
    <n v="13.73"/>
    <s v="11"/>
    <s v="6100"/>
    <n v="24987.5"/>
    <n v="13.73"/>
    <s v="CREDITOR"/>
    <n v="0"/>
    <n v="0"/>
    <n v="0"/>
    <n v="0"/>
    <n v="13.73"/>
  </r>
  <r>
    <n v="59629456"/>
    <s v="N"/>
    <n v="21338367"/>
    <s v="3000014027440015"/>
    <s v="CIVIL"/>
    <d v="2023-06-28T00:00:00"/>
    <d v="2023-07-06T19:21:01"/>
    <m/>
    <d v="2023-07-06T00:00:00"/>
    <n v="917"/>
    <n v="19162"/>
    <s v="59629456"/>
    <s v="59629456"/>
    <m/>
    <m/>
    <n v="22776034"/>
    <m/>
    <m/>
    <m/>
    <s v="SOLFIN"/>
    <s v="SOLFIN"/>
    <s v="CCMS"/>
    <n v="21338367"/>
    <n v="17364.08"/>
    <m/>
    <s v="N"/>
    <n v="72"/>
    <d v="2023-07-06T19:21:22"/>
    <s v="Y"/>
    <s v="Attendance upon client"/>
    <s v="Care Remuneration Hourly Rates"/>
    <s v="Profit Cost"/>
    <s v="ZM"/>
    <s v="Y"/>
    <n v="80.95999999999999"/>
    <n v="16.19"/>
    <x v="4"/>
    <s v="VALIDATED"/>
    <n v="1"/>
    <s v="01.11.80.308.6100.0000"/>
    <n v="80.95999999999999"/>
    <s v="11"/>
    <s v="6100"/>
    <n v="24987.5"/>
    <n v="80.95999999999999"/>
    <s v="CREDITOR"/>
    <n v="0"/>
    <n v="0"/>
    <n v="0"/>
    <n v="0"/>
    <n v="80.95999999999999"/>
  </r>
  <r>
    <n v="60313374"/>
    <s v="N"/>
    <n v="21338325"/>
    <s v="3000014615690008"/>
    <s v="CIVIL"/>
    <d v="2023-06-28T00:00:00"/>
    <d v="2023-07-06T19:21:01"/>
    <m/>
    <d v="2023-07-06T00:00:00"/>
    <n v="917"/>
    <n v="19162"/>
    <s v="60313374"/>
    <s v="60313374"/>
    <m/>
    <m/>
    <n v="22782652"/>
    <m/>
    <m/>
    <m/>
    <s v="SOLFIN"/>
    <s v="SOLFIN"/>
    <s v="CCMS"/>
    <n v="21338325"/>
    <n v="6871.22"/>
    <m/>
    <s v="N"/>
    <n v="78"/>
    <d v="2023-07-06T19:21:19"/>
    <s v="Y"/>
    <s v="Attendance upon client"/>
    <s v="Prescribed Hourly Rates"/>
    <s v="Profit Cost"/>
    <s v="PH"/>
    <s v="Y"/>
    <n v="25.25"/>
    <n v="5.05"/>
    <x v="4"/>
    <s v="VALIDATED"/>
    <n v="1"/>
    <s v="01.11.80.307.6100.0000"/>
    <n v="25.25"/>
    <s v="11"/>
    <s v="6100"/>
    <n v="24987.5"/>
    <n v="25.25"/>
    <s v="CREDITOR"/>
    <n v="0"/>
    <n v="0"/>
    <n v="0"/>
    <n v="0"/>
    <n v="25.25"/>
  </r>
  <r>
    <n v="60313374"/>
    <s v="N"/>
    <n v="21338325"/>
    <s v="3000014615690008"/>
    <s v="CIVIL"/>
    <d v="2023-06-28T00:00:00"/>
    <d v="2023-07-06T19:21:01"/>
    <m/>
    <d v="2023-07-06T00:00:00"/>
    <n v="917"/>
    <n v="19162"/>
    <s v="60313374"/>
    <s v="60313374"/>
    <m/>
    <m/>
    <n v="22782652"/>
    <m/>
    <m/>
    <m/>
    <s v="SOLFIN"/>
    <s v="SOLFIN"/>
    <s v="CCMS"/>
    <n v="21338325"/>
    <n v="6871.22"/>
    <m/>
    <s v="N"/>
    <n v="79"/>
    <d v="2023-07-06T19:21:19"/>
    <s v="Y"/>
    <s v="Attendance upon other side"/>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90"/>
    <d v="2023-07-06T19:21:22"/>
    <s v="Y"/>
    <s v="Advocacy - In court behind counsel"/>
    <s v="Care Remuneration Hourly Rates"/>
    <s v="Advocacy"/>
    <s v="ZM"/>
    <s v="Y"/>
    <n v="138.62"/>
    <n v="27.72"/>
    <x v="4"/>
    <s v="VALIDATED"/>
    <n v="1"/>
    <s v="01.11.80.308.6100.0000"/>
    <n v="138.62"/>
    <s v="11"/>
    <s v="6100"/>
    <n v="24987.5"/>
    <n v="138.62"/>
    <s v="CREDITOR"/>
    <n v="0"/>
    <n v="0"/>
    <n v="0"/>
    <n v="0"/>
    <n v="138.62"/>
  </r>
  <r>
    <n v="59629456"/>
    <s v="N"/>
    <n v="21338367"/>
    <s v="3000014027440015"/>
    <s v="CIVIL"/>
    <d v="2023-06-28T00:00:00"/>
    <d v="2023-07-06T19:21:01"/>
    <m/>
    <d v="2023-07-06T00:00:00"/>
    <n v="917"/>
    <n v="19162"/>
    <s v="59629456"/>
    <s v="59629456"/>
    <m/>
    <m/>
    <n v="22776034"/>
    <m/>
    <m/>
    <m/>
    <s v="SOLFIN"/>
    <s v="SOLFIN"/>
    <s v="CCMS"/>
    <n v="21338367"/>
    <n v="17364.08"/>
    <m/>
    <s v="N"/>
    <n v="115"/>
    <d v="2023-07-06T19:21:22"/>
    <s v="Y"/>
    <s v="Preparation - other"/>
    <s v="Care Remuneration Hourly Rates"/>
    <s v="Profit Cost"/>
    <s v="ZM"/>
    <s v="Y"/>
    <n v="66.23"/>
    <n v="13.25"/>
    <x v="4"/>
    <s v="VALIDATED"/>
    <n v="1"/>
    <s v="01.11.80.308.6100.0000"/>
    <n v="66.23"/>
    <s v="11"/>
    <s v="6100"/>
    <n v="24987.5"/>
    <n v="66.23"/>
    <s v="CREDITOR"/>
    <n v="0"/>
    <n v="0"/>
    <n v="0"/>
    <n v="0"/>
    <n v="66.23"/>
  </r>
  <r>
    <n v="59629456"/>
    <s v="N"/>
    <n v="21338367"/>
    <s v="3000014027440015"/>
    <s v="CIVIL"/>
    <d v="2023-06-28T00:00:00"/>
    <d v="2023-07-06T19:21:01"/>
    <m/>
    <d v="2023-07-06T00:00:00"/>
    <n v="917"/>
    <n v="19162"/>
    <s v="59629456"/>
    <s v="59629456"/>
    <m/>
    <m/>
    <n v="22776034"/>
    <m/>
    <m/>
    <m/>
    <s v="SOLFIN"/>
    <s v="SOLFIN"/>
    <s v="CCMS"/>
    <n v="21338367"/>
    <n v="17364.08"/>
    <m/>
    <s v="N"/>
    <n v="128"/>
    <d v="2023-07-06T19:21:22"/>
    <s v="Y"/>
    <s v="Preparation - other"/>
    <s v="Care Remuneration Hourly Rates"/>
    <s v="Profit Cost"/>
    <s v="DHH"/>
    <s v="Y"/>
    <n v="88.31"/>
    <n v="17.66"/>
    <x v="4"/>
    <s v="VALIDATED"/>
    <n v="1"/>
    <s v="01.11.80.308.6100.0000"/>
    <n v="88.31"/>
    <s v="11"/>
    <s v="6100"/>
    <n v="24987.5"/>
    <n v="88.31"/>
    <s v="CREDITOR"/>
    <n v="0"/>
    <n v="0"/>
    <n v="0"/>
    <n v="0"/>
    <n v="88.31"/>
  </r>
  <r>
    <n v="59629456"/>
    <s v="N"/>
    <n v="21338367"/>
    <s v="3000014027440015"/>
    <s v="CIVIL"/>
    <d v="2023-06-28T00:00:00"/>
    <d v="2023-07-06T19:21:01"/>
    <m/>
    <d v="2023-07-06T00:00:00"/>
    <n v="917"/>
    <n v="19162"/>
    <s v="59629456"/>
    <s v="59629456"/>
    <m/>
    <m/>
    <n v="22776034"/>
    <m/>
    <m/>
    <m/>
    <s v="SOLFIN"/>
    <s v="SOLFIN"/>
    <s v="CCMS"/>
    <n v="21338367"/>
    <n v="17364.08"/>
    <m/>
    <s v="N"/>
    <n v="149"/>
    <d v="2023-07-06T19:21:22"/>
    <s v="Y"/>
    <s v="Attendance upon other"/>
    <s v="Care Remuneration Hourly Rates"/>
    <s v="Profit Cost"/>
    <s v="DHH"/>
    <s v="Y"/>
    <n v="14.71"/>
    <n v="2.94"/>
    <x v="4"/>
    <s v="VALIDATED"/>
    <n v="1"/>
    <s v="01.11.80.308.6100.0000"/>
    <n v="14.71"/>
    <s v="11"/>
    <s v="6100"/>
    <n v="24987.5"/>
    <n v="14.71"/>
    <s v="CREDITOR"/>
    <n v="0"/>
    <n v="0"/>
    <n v="0"/>
    <n v="0"/>
    <n v="14.71"/>
  </r>
  <r>
    <n v="61546807"/>
    <s v="N"/>
    <n v="21319087"/>
    <s v="3000015661680003"/>
    <s v="CIVIL"/>
    <d v="2023-06-23T00:00:00"/>
    <d v="2023-07-03T19:01:49"/>
    <m/>
    <d v="2023-07-03T00:00:00"/>
    <n v="917"/>
    <n v="19162"/>
    <s v="61546807"/>
    <s v="61546807"/>
    <m/>
    <m/>
    <n v="22754138"/>
    <m/>
    <m/>
    <m/>
    <s v="SOLFIN"/>
    <s v="SOLFIN"/>
    <s v="CCMS"/>
    <n v="21319087"/>
    <n v="3003.37"/>
    <m/>
    <s v="N"/>
    <n v="68"/>
    <d v="2023-07-03T19:02:10"/>
    <s v="Y"/>
    <s v="Preparation - other"/>
    <s v="Prescribed Hourly Rates"/>
    <s v="Profit Cost"/>
    <s v="PH"/>
    <s v="Y"/>
    <n v="10.98"/>
    <n v="2.2"/>
    <x v="3"/>
    <s v="VALIDATED"/>
    <n v="1"/>
    <s v="01.11.80.307.6100.0000"/>
    <n v="10.98"/>
    <s v="11"/>
    <s v="6100"/>
    <n v="24987.5"/>
    <n v="10.98"/>
    <s v="CREDITOR"/>
    <n v="0"/>
    <n v="0"/>
    <n v="0"/>
    <n v="0"/>
    <n v="10.98"/>
  </r>
  <r>
    <n v="61546807"/>
    <s v="N"/>
    <n v="21319087"/>
    <s v="3000015661680003"/>
    <s v="CIVIL"/>
    <d v="2023-06-23T00:00:00"/>
    <d v="2023-07-03T19:01:49"/>
    <m/>
    <d v="2023-07-03T00:00:00"/>
    <n v="917"/>
    <n v="19162"/>
    <s v="61546807"/>
    <s v="61546807"/>
    <m/>
    <m/>
    <n v="22754138"/>
    <m/>
    <m/>
    <m/>
    <s v="SOLFIN"/>
    <s v="SOLFIN"/>
    <s v="CCMS"/>
    <n v="21319087"/>
    <n v="3003.37"/>
    <m/>
    <s v="N"/>
    <n v="59"/>
    <d v="2023-07-03T19:02:10"/>
    <s v="Y"/>
    <s v="Preparation - other"/>
    <s v="Prescribed Hourly Rates"/>
    <s v="Profit Cost"/>
    <s v="EA"/>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9"/>
    <d v="2023-07-03T19:02:10"/>
    <s v="Y"/>
    <s v="Preparation - other"/>
    <s v="Prescribed Hourly Rates"/>
    <s v="Profit Cost"/>
    <s v="PH"/>
    <s v="Y"/>
    <n v="10.98"/>
    <n v="2.2"/>
    <x v="3"/>
    <s v="VALIDATED"/>
    <n v="1"/>
    <s v="01.11.80.307.6100.0000"/>
    <n v="10.98"/>
    <s v="11"/>
    <s v="6100"/>
    <n v="24987.5"/>
    <n v="10.98"/>
    <s v="CREDITOR"/>
    <n v="0"/>
    <n v="0"/>
    <n v="0"/>
    <n v="0"/>
    <n v="10.98"/>
  </r>
  <r>
    <n v="61546807"/>
    <s v="N"/>
    <n v="21319087"/>
    <s v="3000015661680003"/>
    <s v="CIVIL"/>
    <d v="2023-06-23T00:00:00"/>
    <d v="2023-07-03T19:01:49"/>
    <m/>
    <d v="2023-07-03T00:00:00"/>
    <n v="917"/>
    <n v="19162"/>
    <s v="61546807"/>
    <s v="61546807"/>
    <m/>
    <m/>
    <n v="22754138"/>
    <m/>
    <m/>
    <m/>
    <s v="SOLFIN"/>
    <s v="SOLFIN"/>
    <s v="CCMS"/>
    <n v="21319087"/>
    <n v="3003.37"/>
    <m/>
    <s v="N"/>
    <n v="75"/>
    <d v="2023-07-03T19:02:10"/>
    <s v="Y"/>
    <s v="Routine Telephone Call"/>
    <s v="Prescribed Hourly Rates"/>
    <s v="Profit Cost"/>
    <s v="PH"/>
    <s v="Y"/>
    <n v="86.40000000000001"/>
    <n v="17.28"/>
    <x v="3"/>
    <s v="VALIDATED"/>
    <n v="1"/>
    <s v="01.11.80.307.6100.0000"/>
    <n v="86.40000000000001"/>
    <s v="11"/>
    <s v="6100"/>
    <n v="24987.5"/>
    <n v="86.40000000000001"/>
    <s v="CREDITOR"/>
    <n v="0"/>
    <n v="0"/>
    <n v="0"/>
    <n v="0"/>
    <n v="86.40000000000001"/>
  </r>
  <r>
    <n v="60313374"/>
    <s v="N"/>
    <n v="21338325"/>
    <s v="3000014615690008"/>
    <s v="CIVIL"/>
    <d v="2023-06-28T00:00:00"/>
    <d v="2023-07-06T19:21:01"/>
    <m/>
    <d v="2023-07-06T00:00:00"/>
    <n v="917"/>
    <n v="19162"/>
    <s v="60313374"/>
    <s v="60313374"/>
    <m/>
    <m/>
    <n v="22782652"/>
    <m/>
    <m/>
    <m/>
    <s v="SOLFIN"/>
    <s v="SOLFIN"/>
    <s v="CCMS"/>
    <n v="21338325"/>
    <n v="6871.22"/>
    <m/>
    <s v="N"/>
    <n v="60"/>
    <d v="2023-07-06T19:21:19"/>
    <s v="Y"/>
    <s v="Attendance upon other"/>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191"/>
    <d v="2023-07-06T19:21:22"/>
    <s v="Y"/>
    <s v="Advocates Meeting"/>
    <s v="Public Law Children"/>
    <s v="Advocacy"/>
    <s v="PF"/>
    <s v="Y"/>
    <n v="140.99"/>
    <n v="28.2"/>
    <x v="4"/>
    <s v="VALIDATED"/>
    <n v="1"/>
    <s v="01.11.80.308.6100.0000"/>
    <n v="140.99"/>
    <s v="11"/>
    <s v="6100"/>
    <n v="24987.5"/>
    <n v="140.99"/>
    <s v="CREDITOR"/>
    <n v="0"/>
    <n v="0"/>
    <n v="0"/>
    <n v="0"/>
    <n v="140.99"/>
  </r>
  <r>
    <n v="60313374"/>
    <s v="N"/>
    <n v="21338325"/>
    <s v="3000014615690008"/>
    <s v="CIVIL"/>
    <d v="2023-06-28T00:00:00"/>
    <d v="2023-07-06T19:21:01"/>
    <m/>
    <d v="2023-07-06T00:00:00"/>
    <n v="917"/>
    <n v="19162"/>
    <s v="60313374"/>
    <s v="60313374"/>
    <m/>
    <m/>
    <n v="22782652"/>
    <m/>
    <m/>
    <m/>
    <s v="SOLFIN"/>
    <s v="SOLFIN"/>
    <s v="CCMS"/>
    <n v="21338325"/>
    <n v="6871.22"/>
    <m/>
    <s v="N"/>
    <n v="22"/>
    <d v="2023-07-06T19:21:19"/>
    <s v="Y"/>
    <s v="Preparation - drafting notice(s)"/>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45"/>
    <d v="2023-07-06T19:21:22"/>
    <s v="Y"/>
    <s v="Preparation - other"/>
    <s v="Care Remuneration Hourly Rates"/>
    <s v="Profit Cost"/>
    <s v="DHH"/>
    <s v="Y"/>
    <n v="5.26"/>
    <n v="1.05"/>
    <x v="4"/>
    <s v="VALIDATED"/>
    <n v="1"/>
    <s v="01.11.80.308.6100.0000"/>
    <n v="5.26"/>
    <s v="11"/>
    <s v="6100"/>
    <n v="24987.5"/>
    <n v="5.26"/>
    <s v="CREDITOR"/>
    <n v="0"/>
    <n v="0"/>
    <n v="0"/>
    <n v="0"/>
    <n v="5.26"/>
  </r>
  <r>
    <n v="61546807"/>
    <s v="N"/>
    <n v="21319087"/>
    <s v="3000015661680003"/>
    <s v="CIVIL"/>
    <d v="2023-06-23T00:00:00"/>
    <d v="2023-07-03T19:01:49"/>
    <m/>
    <d v="2023-07-03T00:00:00"/>
    <n v="917"/>
    <n v="19162"/>
    <s v="61546807"/>
    <s v="61546807"/>
    <m/>
    <m/>
    <n v="22754138"/>
    <m/>
    <m/>
    <m/>
    <s v="SOLFIN"/>
    <s v="SOLFIN"/>
    <s v="CCMS"/>
    <n v="21319087"/>
    <n v="3003.37"/>
    <m/>
    <s v="N"/>
    <n v="8"/>
    <d v="2023-07-03T19:02:10"/>
    <s v="Y"/>
    <s v="Preparation - drafting statement"/>
    <s v="Prescribed Hourly Rates"/>
    <s v="Profit Cost"/>
    <s v="PH"/>
    <s v="Y"/>
    <n v="20.59"/>
    <n v="4.12"/>
    <x v="3"/>
    <s v="VALIDATED"/>
    <n v="1"/>
    <s v="01.11.80.307.6100.0000"/>
    <n v="20.59"/>
    <s v="11"/>
    <s v="6100"/>
    <n v="24987.5"/>
    <n v="20.59"/>
    <s v="CREDITOR"/>
    <n v="0"/>
    <n v="0"/>
    <n v="0"/>
    <n v="0"/>
    <n v="20.59"/>
  </r>
  <r>
    <n v="61087371"/>
    <s v="N"/>
    <n v="21349665"/>
    <s v="3000015258150003"/>
    <s v="CIVIL"/>
    <d v="2023-06-28T00:00:00"/>
    <d v="2023-07-10T19:01:40"/>
    <m/>
    <d v="2023-07-10T00:00:00"/>
    <n v="917"/>
    <n v="19162"/>
    <s v="61087371"/>
    <s v="61087371"/>
    <m/>
    <m/>
    <n v="22783936"/>
    <m/>
    <m/>
    <m/>
    <s v="SOLFIN"/>
    <s v="SOLFIN"/>
    <s v="CCMS"/>
    <n v="21349665"/>
    <n v="1736"/>
    <m/>
    <s v="N"/>
    <n v="14"/>
    <d v="2023-07-10T19:01:55"/>
    <s v="Y"/>
    <s v="Preparation - other"/>
    <s v="Prescribed Hourly Rates"/>
    <s v="Profit Cost"/>
    <s v="PH"/>
    <s v="Y"/>
    <n v="6.59"/>
    <n v="1.32"/>
    <x v="2"/>
    <s v="VALIDATED"/>
    <n v="1"/>
    <s v="01.11.80.307.6100.0000"/>
    <n v="6.59"/>
    <s v="11"/>
    <s v="6100"/>
    <n v="24987.5"/>
    <n v="6.59"/>
    <s v="CREDITOR"/>
    <n v="0"/>
    <n v="0"/>
    <n v="0"/>
    <n v="0"/>
    <n v="6.59"/>
  </r>
  <r>
    <n v="59629456"/>
    <s v="N"/>
    <n v="21338367"/>
    <s v="3000014027440015"/>
    <s v="CIVIL"/>
    <d v="2023-06-28T00:00:00"/>
    <d v="2023-07-06T19:21:01"/>
    <m/>
    <d v="2023-07-06T00:00:00"/>
    <n v="917"/>
    <n v="19162"/>
    <s v="59629456"/>
    <s v="59629456"/>
    <m/>
    <m/>
    <n v="22776034"/>
    <m/>
    <m/>
    <m/>
    <s v="SOLFIN"/>
    <s v="SOLFIN"/>
    <s v="CCMS"/>
    <n v="21338367"/>
    <n v="17364.08"/>
    <m/>
    <s v="N"/>
    <n v="38"/>
    <d v="2023-07-06T19:21:22"/>
    <s v="Y"/>
    <s v="Preparation - other"/>
    <s v="Care Remuneration Hourly Rates"/>
    <s v="Profit Cost"/>
    <s v="Z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44"/>
    <d v="2023-07-06T19:21:22"/>
    <s v="Y"/>
    <s v="Preparation - drafting statement"/>
    <s v="Care Remuneration Hourly Rates"/>
    <s v="Profit Cost"/>
    <s v="ZM"/>
    <s v="Y"/>
    <n v="22.08"/>
    <n v="4.42"/>
    <x v="4"/>
    <s v="VALIDATED"/>
    <n v="1"/>
    <s v="01.11.80.308.6100.0000"/>
    <n v="22.08"/>
    <s v="11"/>
    <s v="6100"/>
    <n v="24987.5"/>
    <n v="22.08"/>
    <s v="CREDITOR"/>
    <n v="0"/>
    <n v="0"/>
    <n v="0"/>
    <n v="0"/>
    <n v="22.08"/>
  </r>
  <r>
    <n v="60313374"/>
    <s v="N"/>
    <n v="21338325"/>
    <s v="3000014615690008"/>
    <s v="CIVIL"/>
    <d v="2023-06-28T00:00:00"/>
    <d v="2023-07-06T19:21:01"/>
    <m/>
    <d v="2023-07-06T00:00:00"/>
    <n v="917"/>
    <n v="19162"/>
    <s v="60313374"/>
    <s v="60313374"/>
    <m/>
    <m/>
    <n v="22782652"/>
    <m/>
    <m/>
    <m/>
    <s v="SOLFIN"/>
    <s v="SOLFIN"/>
    <s v="CCMS"/>
    <n v="21338325"/>
    <n v="6871.22"/>
    <m/>
    <s v="N"/>
    <n v="44"/>
    <d v="2023-07-06T19:21:19"/>
    <s v="Y"/>
    <s v="Preparation - other"/>
    <s v="Prescribed Hourly Rates"/>
    <s v="Profit Cost"/>
    <s v="PH"/>
    <s v="Y"/>
    <n v="16.47"/>
    <n v="3.29"/>
    <x v="4"/>
    <s v="VALIDATED"/>
    <n v="1"/>
    <s v="01.11.80.307.6100.0000"/>
    <n v="16.47"/>
    <s v="11"/>
    <s v="6100"/>
    <n v="24987.5"/>
    <n v="16.47"/>
    <s v="CREDITOR"/>
    <n v="0"/>
    <n v="0"/>
    <n v="0"/>
    <n v="0"/>
    <n v="16.47"/>
  </r>
  <r>
    <n v="60969011"/>
    <s v="N"/>
    <n v="21328040"/>
    <s v="3000015171370002"/>
    <s v="CIVIL"/>
    <d v="2023-06-27T00:00:00"/>
    <d v="2023-07-04T19:00:44"/>
    <m/>
    <d v="2023-07-04T00:00:00"/>
    <n v="917"/>
    <n v="19162"/>
    <s v="60969011"/>
    <s v="60969011"/>
    <m/>
    <m/>
    <n v="22772306"/>
    <m/>
    <m/>
    <m/>
    <s v="SOLFIN"/>
    <s v="SOLFIN"/>
    <s v="CCMS"/>
    <n v="21328040"/>
    <n v="2128.61"/>
    <m/>
    <s v="N"/>
    <n v="7"/>
    <d v="2023-07-04T19:01:02"/>
    <s v="Y"/>
    <s v="Preparation - other"/>
    <s v="Prescribed Hourly Rates"/>
    <s v="Profit Cost"/>
    <s v="DM"/>
    <s v="Y"/>
    <n v="5.49"/>
    <n v="1.1"/>
    <x v="1"/>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72"/>
    <d v="2023-07-03T19:02:10"/>
    <s v="Y"/>
    <s v="Preparation - other"/>
    <s v="Prescribed Hourly Rates"/>
    <s v="Profit Cost"/>
    <s v="PH"/>
    <s v="Y"/>
    <n v="16.47"/>
    <n v="3.29"/>
    <x v="3"/>
    <s v="VALIDATED"/>
    <n v="1"/>
    <s v="01.11.80.307.6100.0000"/>
    <n v="16.47"/>
    <s v="11"/>
    <s v="6100"/>
    <n v="24987.5"/>
    <n v="16.47"/>
    <s v="CREDITOR"/>
    <n v="0"/>
    <n v="0"/>
    <n v="0"/>
    <n v="0"/>
    <n v="16.47"/>
  </r>
  <r>
    <n v="61546807"/>
    <s v="N"/>
    <n v="21319087"/>
    <s v="3000015661680003"/>
    <s v="CIVIL"/>
    <d v="2023-06-23T00:00:00"/>
    <d v="2023-07-03T19:01:49"/>
    <m/>
    <d v="2023-07-03T00:00:00"/>
    <n v="917"/>
    <n v="19162"/>
    <s v="61546807"/>
    <s v="61546807"/>
    <m/>
    <m/>
    <n v="22754138"/>
    <m/>
    <m/>
    <m/>
    <s v="SOLFIN"/>
    <s v="SOLFIN"/>
    <s v="CCMS"/>
    <n v="21319087"/>
    <n v="3003.37"/>
    <m/>
    <s v="N"/>
    <n v="13"/>
    <d v="2023-07-03T19:02:10"/>
    <s v="Y"/>
    <s v="Preparation - other"/>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49"/>
    <d v="2023-07-03T19:02:10"/>
    <s v="Y"/>
    <s v="Attendance upon client"/>
    <s v="Prescribed Hourly Rates"/>
    <s v="Profit Cost"/>
    <s v="PH"/>
    <s v="Y"/>
    <n v="20.59"/>
    <n v="4.12"/>
    <x v="3"/>
    <s v="VALIDATED"/>
    <n v="1"/>
    <s v="01.11.80.307.6100.0000"/>
    <n v="20.59"/>
    <s v="11"/>
    <s v="6100"/>
    <n v="24987.5"/>
    <n v="20.59"/>
    <s v="CREDITOR"/>
    <n v="0"/>
    <n v="0"/>
    <n v="0"/>
    <n v="0"/>
    <n v="20.59"/>
  </r>
  <r>
    <n v="62315634"/>
    <s v="N"/>
    <n v="21349721"/>
    <s v="3000016304780003"/>
    <s v="CIVIL"/>
    <d v="2023-06-22T00:00:00"/>
    <d v="2023-07-10T19:01:40"/>
    <m/>
    <d v="2023-07-10T00:00:00"/>
    <n v="917"/>
    <n v="19162"/>
    <s v="62315634"/>
    <s v="62315634"/>
    <m/>
    <m/>
    <n v="22746982"/>
    <m/>
    <m/>
    <m/>
    <s v="SOLPOA"/>
    <s v="SOLPOA"/>
    <s v="CCMS"/>
    <n v="21349721"/>
    <n v="328.32"/>
    <m/>
    <s v="N"/>
    <n v="1"/>
    <d v="2023-07-10T19:01:56"/>
    <s v="N"/>
    <s v="Non Expert Disbursement"/>
    <s v="Non Expert Disbursement"/>
    <s v="Non Expert Disbursement"/>
    <s v="PEF"/>
    <s v="N"/>
    <n v="273.6"/>
    <n v="54.72"/>
    <x v="2"/>
    <s v="VALIDATED"/>
    <n v="1"/>
    <s v="01.11.80.308.2012.0000"/>
    <n v="273.6"/>
    <s v="11"/>
    <s v="2012"/>
    <n v="24987.5"/>
    <n v="273.6"/>
    <s v="CREDITOR"/>
    <n v="273.6"/>
    <n v="0"/>
    <n v="0"/>
    <n v="0"/>
    <n v="0"/>
  </r>
  <r>
    <n v="61087371"/>
    <s v="N"/>
    <n v="21349665"/>
    <s v="3000015258150003"/>
    <s v="CIVIL"/>
    <d v="2023-06-28T00:00:00"/>
    <d v="2023-07-10T19:01:40"/>
    <m/>
    <d v="2023-07-10T00:00:00"/>
    <n v="917"/>
    <n v="19162"/>
    <s v="61087371"/>
    <s v="61087371"/>
    <m/>
    <m/>
    <n v="22783936"/>
    <m/>
    <m/>
    <m/>
    <s v="SOLFIN"/>
    <s v="SOLFIN"/>
    <s v="CCMS"/>
    <n v="21349665"/>
    <n v="1736"/>
    <m/>
    <s v="N"/>
    <n v="40"/>
    <d v="2023-07-10T19:01:55"/>
    <s v="Y"/>
    <s v="Preparation - other"/>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47"/>
    <d v="2023-07-10T19:01:55"/>
    <s v="Y"/>
    <s v="Preparation - other"/>
    <s v="Prescribed Hourly Rates"/>
    <s v="Profit Cost"/>
    <s v="PH"/>
    <s v="Y"/>
    <n v="21.96"/>
    <n v="4.39"/>
    <x v="2"/>
    <s v="VALIDATED"/>
    <n v="1"/>
    <s v="01.11.80.307.6100.0000"/>
    <n v="21.96"/>
    <s v="11"/>
    <s v="6100"/>
    <n v="24987.5"/>
    <n v="21.96"/>
    <s v="CREDITOR"/>
    <n v="0"/>
    <n v="0"/>
    <n v="0"/>
    <n v="0"/>
    <n v="21.96"/>
  </r>
  <r>
    <n v="59629456"/>
    <s v="N"/>
    <n v="21338367"/>
    <s v="3000014027440015"/>
    <s v="CIVIL"/>
    <d v="2023-06-28T00:00:00"/>
    <d v="2023-07-06T19:21:01"/>
    <m/>
    <d v="2023-07-06T00:00:00"/>
    <n v="917"/>
    <n v="19162"/>
    <s v="59629456"/>
    <s v="59629456"/>
    <m/>
    <m/>
    <n v="22776034"/>
    <m/>
    <m/>
    <m/>
    <s v="SOLFIN"/>
    <s v="SOLFIN"/>
    <s v="CCMS"/>
    <n v="21338367"/>
    <n v="17364.08"/>
    <m/>
    <s v="N"/>
    <n v="87"/>
    <d v="2023-07-06T19:21:22"/>
    <s v="Y"/>
    <s v="Preparation - other"/>
    <s v="Care Remuneration Hourly Rates"/>
    <s v="Profit Cost"/>
    <s v="ZM"/>
    <s v="Y"/>
    <n v="7.36"/>
    <n v="1.47"/>
    <x v="4"/>
    <s v="VALIDATED"/>
    <n v="1"/>
    <s v="01.11.80.308.6100.0000"/>
    <n v="7.36"/>
    <s v="11"/>
    <s v="6100"/>
    <n v="24987.5"/>
    <n v="7.36"/>
    <s v="CREDITOR"/>
    <n v="0"/>
    <n v="0"/>
    <n v="0"/>
    <n v="0"/>
    <n v="7.36"/>
  </r>
  <r>
    <n v="61546807"/>
    <s v="N"/>
    <n v="21319087"/>
    <s v="3000015661680003"/>
    <s v="CIVIL"/>
    <d v="2023-06-23T00:00:00"/>
    <d v="2023-07-03T19:01:49"/>
    <m/>
    <d v="2023-07-03T00:00:00"/>
    <n v="917"/>
    <n v="19162"/>
    <s v="61546807"/>
    <s v="61546807"/>
    <m/>
    <m/>
    <n v="22754138"/>
    <m/>
    <m/>
    <m/>
    <s v="SOLFIN"/>
    <s v="SOLFIN"/>
    <s v="CCMS"/>
    <n v="21319087"/>
    <n v="3003.37"/>
    <m/>
    <s v="N"/>
    <n v="77"/>
    <d v="2023-07-03T19:02:10"/>
    <s v="Y"/>
    <s v="Routine Letter In"/>
    <s v="Prescribed Hourly Rates"/>
    <s v="Profit Cost"/>
    <s v="PH"/>
    <s v="Y"/>
    <n v="189"/>
    <n v="37.8"/>
    <x v="3"/>
    <s v="VALIDATED"/>
    <n v="1"/>
    <s v="01.11.80.307.6100.0000"/>
    <n v="189"/>
    <s v="11"/>
    <s v="6100"/>
    <n v="24987.5"/>
    <n v="189"/>
    <s v="CREDITOR"/>
    <n v="0"/>
    <n v="0"/>
    <n v="0"/>
    <n v="0"/>
    <n v="189"/>
  </r>
  <r>
    <n v="59629456"/>
    <s v="N"/>
    <n v="21338367"/>
    <s v="3000014027440015"/>
    <s v="CIVIL"/>
    <d v="2023-06-28T00:00:00"/>
    <d v="2023-07-06T19:21:01"/>
    <m/>
    <d v="2023-07-06T00:00:00"/>
    <n v="917"/>
    <n v="19162"/>
    <s v="59629456"/>
    <s v="59629456"/>
    <m/>
    <m/>
    <n v="22776034"/>
    <m/>
    <m/>
    <m/>
    <s v="SOLFIN"/>
    <s v="SOLFIN"/>
    <s v="CCMS"/>
    <n v="21338367"/>
    <n v="17364.08"/>
    <m/>
    <s v="N"/>
    <n v="168"/>
    <d v="2023-07-06T19:21:22"/>
    <s v="Y"/>
    <s v="Preparation - other"/>
    <s v="Care Remuneration Hourly Rates"/>
    <s v="Profit Cost"/>
    <s v="PF"/>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93"/>
    <d v="2023-07-06T19:21:22"/>
    <s v="Y"/>
    <s v="Preparation - other"/>
    <s v="Care Remuneration Hourly Rates"/>
    <s v="Profit Cost"/>
    <s v="ZM"/>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3"/>
    <d v="2023-07-06T19:21:19"/>
    <s v="Y"/>
    <s v="GP (records report)"/>
    <s v="Prescribed Hourly Rates"/>
    <s v="Expert Disbursement"/>
    <s v="XXX"/>
    <s v="Y"/>
    <n v="50.4"/>
    <n v="0"/>
    <x v="4"/>
    <s v="VALIDATED"/>
    <n v="1"/>
    <s v="01.11.80.307.6300.0000"/>
    <n v="50.4"/>
    <s v="11"/>
    <s v="6300"/>
    <n v="24987.5"/>
    <n v="50.4"/>
    <s v="CREDITOR"/>
    <n v="0"/>
    <n v="0"/>
    <n v="0"/>
    <n v="0"/>
    <n v="50.4"/>
  </r>
  <r>
    <n v="59629456"/>
    <s v="N"/>
    <n v="21338367"/>
    <s v="3000014027440015"/>
    <s v="CIVIL"/>
    <d v="2023-06-28T00:00:00"/>
    <d v="2023-07-06T19:21:01"/>
    <m/>
    <d v="2023-07-06T00:00:00"/>
    <n v="917"/>
    <n v="19162"/>
    <s v="59629456"/>
    <s v="59629456"/>
    <m/>
    <m/>
    <n v="22776034"/>
    <m/>
    <m/>
    <m/>
    <s v="SOLFIN"/>
    <s v="SOLFIN"/>
    <s v="CCMS"/>
    <n v="21338367"/>
    <n v="17364.08"/>
    <m/>
    <s v="N"/>
    <n v="5"/>
    <d v="2023-07-06T19:21:22"/>
    <s v="Y"/>
    <s v="Preparation - other"/>
    <s v="Care Remuneration Hourly Rates"/>
    <s v="Profit Cost"/>
    <s v="DM"/>
    <s v="Y"/>
    <n v="7.36"/>
    <n v="1.47"/>
    <x v="4"/>
    <s v="VALIDATED"/>
    <n v="1"/>
    <s v="01.11.80.308.6100.0000"/>
    <n v="7.36"/>
    <s v="11"/>
    <s v="6100"/>
    <n v="24987.5"/>
    <n v="7.36"/>
    <s v="CREDITOR"/>
    <n v="0"/>
    <n v="0"/>
    <n v="0"/>
    <n v="0"/>
    <n v="7.36"/>
  </r>
  <r>
    <n v="62058289"/>
    <s v="N"/>
    <n v="21320298"/>
    <s v="3000016091590002"/>
    <s v="CIVIL"/>
    <d v="2023-06-28T00:00:00"/>
    <d v="2023-07-03T19:04:52"/>
    <m/>
    <d v="2023-07-03T00:00:00"/>
    <n v="917"/>
    <n v="19162"/>
    <s v="62058289"/>
    <s v="62058289"/>
    <m/>
    <m/>
    <n v="22782940"/>
    <m/>
    <m/>
    <m/>
    <s v="SOLPOA"/>
    <s v="SOLPOA"/>
    <s v="CCMS"/>
    <n v="21320298"/>
    <n v="2397.11"/>
    <m/>
    <s v="N"/>
    <n v="1"/>
    <d v="2023-07-03T19:04:53"/>
    <s v="N"/>
    <s v="Level 3 Fixed Fee"/>
    <s v="Private Law Children"/>
    <s v="Profit Cost"/>
    <s v="suzanne oldnall"/>
    <s v="N"/>
    <n v="1997.59"/>
    <n v="399.52"/>
    <x v="3"/>
    <s v="VALIDATED"/>
    <n v="1"/>
    <s v="01.11.80.307.2012.0000"/>
    <n v="1997.59"/>
    <s v="11"/>
    <s v="2012"/>
    <n v="24987.5"/>
    <n v="1997.59"/>
    <s v="CREDITOR"/>
    <n v="1997.59"/>
    <n v="499.3975"/>
    <n v="0"/>
    <n v="0"/>
    <n v="0"/>
  </r>
  <r>
    <n v="61087371"/>
    <s v="N"/>
    <n v="21349665"/>
    <s v="3000015258150003"/>
    <s v="CIVIL"/>
    <d v="2023-06-28T00:00:00"/>
    <d v="2023-07-10T19:01:40"/>
    <m/>
    <d v="2023-07-10T00:00:00"/>
    <n v="917"/>
    <n v="19162"/>
    <s v="61087371"/>
    <s v="61087371"/>
    <m/>
    <m/>
    <n v="22783936"/>
    <m/>
    <m/>
    <m/>
    <s v="SOLFIN"/>
    <s v="SOLFIN"/>
    <s v="CCMS"/>
    <n v="21349665"/>
    <n v="1736"/>
    <m/>
    <s v="N"/>
    <n v="36"/>
    <d v="2023-07-10T19:01:55"/>
    <s v="Y"/>
    <s v="Attendance upon client"/>
    <s v="Prescribed Hourly Rates"/>
    <s v="Profit Cost"/>
    <s v="PH"/>
    <s v="Y"/>
    <n v="39.53"/>
    <n v="7.91"/>
    <x v="2"/>
    <s v="VALIDATED"/>
    <n v="1"/>
    <s v="01.11.80.307.6100.0000"/>
    <n v="39.53"/>
    <s v="11"/>
    <s v="6100"/>
    <n v="24987.5"/>
    <n v="39.53"/>
    <s v="CREDITOR"/>
    <n v="0"/>
    <n v="0"/>
    <n v="0"/>
    <n v="0"/>
    <n v="39.53"/>
  </r>
  <r>
    <n v="59629456"/>
    <s v="N"/>
    <n v="21338367"/>
    <s v="3000014027440015"/>
    <s v="CIVIL"/>
    <d v="2023-06-28T00:00:00"/>
    <d v="2023-07-06T19:21:01"/>
    <m/>
    <d v="2023-07-06T00:00:00"/>
    <n v="917"/>
    <n v="19162"/>
    <s v="59629456"/>
    <s v="59629456"/>
    <m/>
    <m/>
    <n v="22776034"/>
    <m/>
    <m/>
    <m/>
    <s v="SOLFIN"/>
    <s v="SOLFIN"/>
    <s v="CCMS"/>
    <n v="21338367"/>
    <n v="17364.08"/>
    <m/>
    <s v="N"/>
    <n v="34"/>
    <d v="2023-07-06T19:21:22"/>
    <s v="Y"/>
    <s v="Preparation - other"/>
    <s v="Care Remuneration Hourly Rates"/>
    <s v="Profit Cost"/>
    <s v="Z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180"/>
    <d v="2023-07-06T19:21:22"/>
    <s v="Y"/>
    <s v="Expert - Other"/>
    <s v="Care Remuneration Hourly Rates"/>
    <s v="Expert Disbursement"/>
    <s v="XXX"/>
    <s v="Y"/>
    <n v="360"/>
    <n v="72"/>
    <x v="4"/>
    <s v="VALIDATED"/>
    <n v="1"/>
    <s v="01.11.80.308.6300.0000"/>
    <n v="360"/>
    <s v="11"/>
    <s v="6300"/>
    <n v="24987.5"/>
    <n v="360"/>
    <s v="CREDITOR"/>
    <n v="0"/>
    <n v="0"/>
    <n v="0"/>
    <n v="0"/>
    <n v="360"/>
  </r>
  <r>
    <n v="59629456"/>
    <s v="N"/>
    <n v="21338367"/>
    <s v="3000014027440015"/>
    <s v="CIVIL"/>
    <d v="2023-06-28T00:00:00"/>
    <d v="2023-07-06T19:21:01"/>
    <m/>
    <d v="2023-07-06T00:00:00"/>
    <n v="917"/>
    <n v="19162"/>
    <s v="59629456"/>
    <s v="59629456"/>
    <m/>
    <m/>
    <n v="22776034"/>
    <m/>
    <m/>
    <m/>
    <s v="SOLFIN"/>
    <s v="SOLFIN"/>
    <s v="CCMS"/>
    <n v="21338367"/>
    <n v="17364.08"/>
    <m/>
    <s v="N"/>
    <n v="61"/>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63"/>
    <d v="2023-07-06T19:21:22"/>
    <s v="Y"/>
    <s v="Preparation - drafting statement"/>
    <s v="Care Remuneration Hourly Rates"/>
    <s v="Profit Cost"/>
    <s v="ZM"/>
    <s v="Y"/>
    <n v="147.2"/>
    <n v="29.44"/>
    <x v="4"/>
    <s v="VALIDATED"/>
    <n v="1"/>
    <s v="01.11.80.308.6100.0000"/>
    <n v="147.2"/>
    <s v="11"/>
    <s v="6100"/>
    <n v="24987.5"/>
    <n v="147.2"/>
    <s v="CREDITOR"/>
    <n v="0"/>
    <n v="0"/>
    <n v="0"/>
    <n v="0"/>
    <n v="147.2"/>
  </r>
  <r>
    <n v="60313374"/>
    <s v="N"/>
    <n v="21338325"/>
    <s v="3000014615690008"/>
    <s v="CIVIL"/>
    <d v="2023-06-28T00:00:00"/>
    <d v="2023-07-06T19:21:01"/>
    <m/>
    <d v="2023-07-06T00:00:00"/>
    <n v="917"/>
    <n v="19162"/>
    <s v="60313374"/>
    <s v="60313374"/>
    <m/>
    <m/>
    <n v="22782652"/>
    <m/>
    <m/>
    <m/>
    <s v="SOLFIN"/>
    <s v="SOLFIN"/>
    <s v="CCMS"/>
    <n v="21338325"/>
    <n v="6871.22"/>
    <m/>
    <s v="N"/>
    <n v="19"/>
    <d v="2023-07-06T19:21:19"/>
    <s v="Y"/>
    <s v="Preparation - other"/>
    <s v="Prescribed Hourly Rates"/>
    <s v="Profit Cost"/>
    <s v="PH"/>
    <s v="Y"/>
    <n v="10.98"/>
    <n v="2.2"/>
    <x v="4"/>
    <s v="VALIDATED"/>
    <n v="1"/>
    <s v="01.11.80.307.6100.0000"/>
    <n v="10.98"/>
    <s v="11"/>
    <s v="6100"/>
    <n v="24987.5"/>
    <n v="10.98"/>
    <s v="CREDITOR"/>
    <n v="0"/>
    <n v="0"/>
    <n v="0"/>
    <n v="0"/>
    <n v="10.98"/>
  </r>
  <r>
    <n v="60313374"/>
    <s v="N"/>
    <n v="21338325"/>
    <s v="3000014615690008"/>
    <s v="CIVIL"/>
    <d v="2023-06-28T00:00:00"/>
    <d v="2023-07-06T19:21:01"/>
    <m/>
    <d v="2023-07-06T00:00:00"/>
    <n v="917"/>
    <n v="19162"/>
    <s v="60313374"/>
    <s v="60313374"/>
    <m/>
    <m/>
    <n v="22782652"/>
    <m/>
    <m/>
    <m/>
    <s v="SOLFIN"/>
    <s v="SOLFIN"/>
    <s v="CCMS"/>
    <n v="21338325"/>
    <n v="6871.22"/>
    <m/>
    <s v="N"/>
    <n v="86"/>
    <d v="2023-07-06T19:21:19"/>
    <s v="Y"/>
    <s v="Preparation - other"/>
    <s v="Prescribed Hourly Rates"/>
    <s v="Profit Cost"/>
    <s v="PH"/>
    <s v="Y"/>
    <n v="16.47"/>
    <n v="3.29"/>
    <x v="4"/>
    <s v="VALIDATED"/>
    <n v="1"/>
    <s v="01.11.80.307.6100.0000"/>
    <n v="16.47"/>
    <s v="11"/>
    <s v="6100"/>
    <n v="24987.5"/>
    <n v="16.47"/>
    <s v="CREDITOR"/>
    <n v="0"/>
    <n v="0"/>
    <n v="0"/>
    <n v="0"/>
    <n v="16.47"/>
  </r>
  <r>
    <n v="60969011"/>
    <s v="N"/>
    <n v="21328040"/>
    <s v="3000015171370002"/>
    <s v="CIVIL"/>
    <d v="2023-06-27T00:00:00"/>
    <d v="2023-07-04T19:00:44"/>
    <m/>
    <d v="2023-07-04T00:00:00"/>
    <n v="917"/>
    <n v="19162"/>
    <s v="60969011"/>
    <s v="60969011"/>
    <m/>
    <m/>
    <n v="22772306"/>
    <m/>
    <m/>
    <m/>
    <s v="SOLFIN"/>
    <s v="SOLFIN"/>
    <s v="CCMS"/>
    <n v="21328040"/>
    <n v="2128.61"/>
    <m/>
    <s v="N"/>
    <n v="14"/>
    <d v="2023-07-04T19:01:02"/>
    <s v="Y"/>
    <s v="Preparation - other"/>
    <s v="Prescribed Hourly Rates"/>
    <s v="Profit Cost"/>
    <s v="DM"/>
    <s v="Y"/>
    <n v="5.49"/>
    <n v="1.1"/>
    <x v="1"/>
    <s v="VALIDATED"/>
    <n v="1"/>
    <s v="01.11.80.307.6100.0000"/>
    <n v="5.49"/>
    <s v="11"/>
    <s v="6100"/>
    <n v="24987.5"/>
    <n v="5.49"/>
    <s v="CREDITOR"/>
    <n v="0"/>
    <n v="0"/>
    <n v="0"/>
    <n v="0"/>
    <n v="5.49"/>
  </r>
  <r>
    <n v="61087371"/>
    <s v="N"/>
    <n v="21349665"/>
    <s v="3000015258150003"/>
    <s v="CIVIL"/>
    <d v="2023-06-28T00:00:00"/>
    <d v="2023-07-10T19:01:40"/>
    <m/>
    <d v="2023-07-10T00:00:00"/>
    <n v="917"/>
    <n v="19162"/>
    <s v="61087371"/>
    <s v="61087371"/>
    <m/>
    <m/>
    <n v="22783936"/>
    <m/>
    <m/>
    <m/>
    <s v="SOLFIN"/>
    <s v="SOLFIN"/>
    <s v="CCMS"/>
    <n v="21349665"/>
    <n v="1736"/>
    <m/>
    <s v="N"/>
    <n v="9"/>
    <d v="2023-07-10T19:01:55"/>
    <s v="Y"/>
    <s v="Attendance upon client"/>
    <s v="Prescribed Hourly Rates"/>
    <s v="Profit Cost"/>
    <s v="PH"/>
    <s v="Y"/>
    <n v="19.76"/>
    <n v="3.95"/>
    <x v="2"/>
    <s v="VALIDATED"/>
    <n v="1"/>
    <s v="01.11.80.307.6100.0000"/>
    <n v="19.76"/>
    <s v="11"/>
    <s v="6100"/>
    <n v="24987.5"/>
    <n v="19.76"/>
    <s v="CREDITOR"/>
    <n v="0"/>
    <n v="0"/>
    <n v="0"/>
    <n v="0"/>
    <n v="19.76"/>
  </r>
  <r>
    <n v="61087371"/>
    <s v="N"/>
    <n v="21349665"/>
    <s v="3000015258150003"/>
    <s v="CIVIL"/>
    <d v="2023-06-28T00:00:00"/>
    <d v="2023-07-10T19:01:40"/>
    <m/>
    <d v="2023-07-10T00:00:00"/>
    <n v="917"/>
    <n v="19162"/>
    <s v="61087371"/>
    <s v="61087371"/>
    <m/>
    <m/>
    <n v="22783936"/>
    <m/>
    <m/>
    <m/>
    <s v="SOLFIN"/>
    <s v="SOLFIN"/>
    <s v="CCMS"/>
    <n v="21349665"/>
    <n v="1736"/>
    <m/>
    <s v="N"/>
    <n v="38"/>
    <d v="2023-07-10T19:01:55"/>
    <s v="Y"/>
    <s v="Preparation - other"/>
    <s v="Prescribed Hourly Rates"/>
    <s v="Profit Cost"/>
    <s v="EA"/>
    <s v="Y"/>
    <n v="6.59"/>
    <n v="1.32"/>
    <x v="2"/>
    <s v="VALIDATED"/>
    <n v="1"/>
    <s v="01.11.80.307.6100.0000"/>
    <n v="6.59"/>
    <s v="11"/>
    <s v="6100"/>
    <n v="24987.5"/>
    <n v="6.59"/>
    <s v="CREDITOR"/>
    <n v="0"/>
    <n v="0"/>
    <n v="0"/>
    <n v="0"/>
    <n v="6.59"/>
  </r>
  <r>
    <n v="60313374"/>
    <s v="N"/>
    <n v="21338325"/>
    <s v="3000014615690008"/>
    <s v="CIVIL"/>
    <d v="2023-06-28T00:00:00"/>
    <d v="2023-07-06T19:21:01"/>
    <m/>
    <d v="2023-07-06T00:00:00"/>
    <n v="917"/>
    <n v="19162"/>
    <s v="60313374"/>
    <s v="60313374"/>
    <m/>
    <m/>
    <n v="22782652"/>
    <m/>
    <m/>
    <m/>
    <s v="SOLFIN"/>
    <s v="SOLFIN"/>
    <s v="CCMS"/>
    <n v="21338325"/>
    <n v="6871.22"/>
    <m/>
    <s v="N"/>
    <n v="45"/>
    <d v="2023-07-06T19:21:19"/>
    <s v="Y"/>
    <s v="Preparation - other"/>
    <s v="Prescribed Hourly Rates"/>
    <s v="Profit Cost"/>
    <s v="PH"/>
    <s v="Y"/>
    <n v="5.49"/>
    <n v="1.1"/>
    <x v="4"/>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59"/>
    <d v="2023-07-06T19:21:19"/>
    <s v="Y"/>
    <s v="Attendance upon client"/>
    <s v="Prescribed Hourly Rates"/>
    <s v="Profit Cost"/>
    <s v="PH"/>
    <s v="Y"/>
    <n v="25.25"/>
    <n v="5.05"/>
    <x v="4"/>
    <s v="VALIDATED"/>
    <n v="1"/>
    <s v="01.11.80.307.6100.0000"/>
    <n v="25.25"/>
    <s v="11"/>
    <s v="6100"/>
    <n v="24987.5"/>
    <n v="25.25"/>
    <s v="CREDITOR"/>
    <n v="0"/>
    <n v="0"/>
    <n v="0"/>
    <n v="0"/>
    <n v="25.25"/>
  </r>
  <r>
    <n v="60313374"/>
    <s v="N"/>
    <n v="21338325"/>
    <s v="3000014615690008"/>
    <s v="CIVIL"/>
    <d v="2023-06-28T00:00:00"/>
    <d v="2023-07-06T19:21:01"/>
    <m/>
    <d v="2023-07-06T00:00:00"/>
    <n v="917"/>
    <n v="19162"/>
    <s v="60313374"/>
    <s v="60313374"/>
    <m/>
    <m/>
    <n v="22782652"/>
    <m/>
    <m/>
    <m/>
    <s v="SOLFIN"/>
    <s v="SOLFIN"/>
    <s v="CCMS"/>
    <n v="21338325"/>
    <n v="6871.22"/>
    <m/>
    <s v="N"/>
    <n v="112"/>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56"/>
    <d v="2023-07-06T19:21:22"/>
    <s v="Y"/>
    <s v="Preparation - other"/>
    <s v="Care Remuneration Hourly Rates"/>
    <s v="Profit Cost"/>
    <s v="DHH"/>
    <s v="Y"/>
    <n v="5.26"/>
    <n v="1.05"/>
    <x v="4"/>
    <s v="VALIDATED"/>
    <n v="1"/>
    <s v="01.11.80.308.6100.0000"/>
    <n v="5.26"/>
    <s v="11"/>
    <s v="6100"/>
    <n v="24987.5"/>
    <n v="5.26"/>
    <s v="CREDITOR"/>
    <n v="0"/>
    <n v="0"/>
    <n v="0"/>
    <n v="0"/>
    <n v="5.26"/>
  </r>
  <r>
    <n v="59629456"/>
    <s v="N"/>
    <n v="21338367"/>
    <s v="3000014027440015"/>
    <s v="CIVIL"/>
    <d v="2023-06-28T00:00:00"/>
    <d v="2023-07-06T19:21:01"/>
    <m/>
    <d v="2023-07-06T00:00:00"/>
    <n v="917"/>
    <n v="19162"/>
    <s v="59629456"/>
    <s v="59629456"/>
    <m/>
    <m/>
    <n v="22776034"/>
    <m/>
    <m/>
    <m/>
    <s v="SOLFIN"/>
    <s v="SOLFIN"/>
    <s v="CCMS"/>
    <n v="21338367"/>
    <n v="17364.08"/>
    <m/>
    <s v="N"/>
    <n v="56"/>
    <d v="2023-07-06T19:21:22"/>
    <s v="Y"/>
    <s v="Preparation - other"/>
    <s v="Care Remuneration Hourly Rates"/>
    <s v="Profit Cost"/>
    <s v="ZM"/>
    <s v="Y"/>
    <n v="44.16"/>
    <n v="8.83"/>
    <x v="4"/>
    <s v="VALIDATED"/>
    <n v="1"/>
    <s v="01.11.80.308.6100.0000"/>
    <n v="44.16"/>
    <s v="11"/>
    <s v="6100"/>
    <n v="24987.5"/>
    <n v="44.16"/>
    <s v="CREDITOR"/>
    <n v="0"/>
    <n v="0"/>
    <n v="0"/>
    <n v="0"/>
    <n v="44.16"/>
  </r>
  <r>
    <n v="60313374"/>
    <s v="N"/>
    <n v="21338325"/>
    <s v="3000014615690008"/>
    <s v="CIVIL"/>
    <d v="2023-06-28T00:00:00"/>
    <d v="2023-07-06T19:21:01"/>
    <m/>
    <d v="2023-07-06T00:00:00"/>
    <n v="917"/>
    <n v="19162"/>
    <s v="60313374"/>
    <s v="60313374"/>
    <m/>
    <m/>
    <n v="22782652"/>
    <m/>
    <m/>
    <m/>
    <s v="SOLFIN"/>
    <s v="SOLFIN"/>
    <s v="CCMS"/>
    <n v="21338325"/>
    <n v="6871.22"/>
    <m/>
    <s v="N"/>
    <n v="55"/>
    <d v="2023-07-06T19:21:19"/>
    <s v="Y"/>
    <s v="Preparation - drafting instructions"/>
    <s v="Prescribed Hourly Rates"/>
    <s v="Profit Cost"/>
    <s v="PH"/>
    <s v="Y"/>
    <n v="87.84"/>
    <n v="17.57"/>
    <x v="4"/>
    <s v="VALIDATED"/>
    <n v="1"/>
    <s v="01.11.80.307.6100.0000"/>
    <n v="87.84"/>
    <s v="11"/>
    <s v="6100"/>
    <n v="24987.5"/>
    <n v="87.84"/>
    <s v="CREDITOR"/>
    <n v="0"/>
    <n v="0"/>
    <n v="0"/>
    <n v="0"/>
    <n v="87.84"/>
  </r>
  <r>
    <n v="60313374"/>
    <s v="N"/>
    <n v="21338325"/>
    <s v="3000014615690008"/>
    <s v="CIVIL"/>
    <d v="2023-06-28T00:00:00"/>
    <d v="2023-07-06T19:21:01"/>
    <m/>
    <d v="2023-07-06T00:00:00"/>
    <n v="917"/>
    <n v="19162"/>
    <s v="60313374"/>
    <s v="60313374"/>
    <m/>
    <m/>
    <n v="22782652"/>
    <m/>
    <m/>
    <m/>
    <s v="SOLFIN"/>
    <s v="SOLFIN"/>
    <s v="CCMS"/>
    <n v="21338325"/>
    <n v="6871.22"/>
    <m/>
    <s v="N"/>
    <n v="82"/>
    <d v="2023-07-06T19:21:19"/>
    <s v="Y"/>
    <s v="Preparation - other"/>
    <s v="Prescribed Hourly Rates"/>
    <s v="Profit Cost"/>
    <s v="PH"/>
    <s v="Y"/>
    <n v="21.96"/>
    <n v="4.39"/>
    <x v="4"/>
    <s v="VALIDATED"/>
    <n v="1"/>
    <s v="01.11.80.307.6100.0000"/>
    <n v="21.96"/>
    <s v="11"/>
    <s v="6100"/>
    <n v="24987.5"/>
    <n v="21.96"/>
    <s v="CREDITOR"/>
    <n v="0"/>
    <n v="0"/>
    <n v="0"/>
    <n v="0"/>
    <n v="21.96"/>
  </r>
  <r>
    <n v="59629456"/>
    <s v="N"/>
    <n v="21338367"/>
    <s v="3000014027440015"/>
    <s v="CIVIL"/>
    <d v="2023-06-28T00:00:00"/>
    <d v="2023-07-06T19:21:01"/>
    <m/>
    <d v="2023-07-06T00:00:00"/>
    <n v="917"/>
    <n v="19162"/>
    <s v="59629456"/>
    <s v="59629456"/>
    <m/>
    <m/>
    <n v="22776034"/>
    <m/>
    <m/>
    <m/>
    <s v="SOLFIN"/>
    <s v="SOLFIN"/>
    <s v="CCMS"/>
    <n v="21338367"/>
    <n v="17364.08"/>
    <m/>
    <s v="N"/>
    <n v="116"/>
    <d v="2023-07-06T19:21:22"/>
    <s v="Y"/>
    <s v="Preparation - other"/>
    <s v="Care Remuneration Hourly Rates"/>
    <s v="Profit Cost"/>
    <s v="ZM"/>
    <s v="Y"/>
    <n v="14.71"/>
    <n v="2.94"/>
    <x v="4"/>
    <s v="VALIDATED"/>
    <n v="1"/>
    <s v="01.11.80.308.6100.0000"/>
    <n v="14.71"/>
    <s v="11"/>
    <s v="6100"/>
    <n v="24987.5"/>
    <n v="14.71"/>
    <s v="CREDITOR"/>
    <n v="0"/>
    <n v="0"/>
    <n v="0"/>
    <n v="0"/>
    <n v="14.71"/>
  </r>
  <r>
    <n v="62026638"/>
    <s v="N"/>
    <n v="21320483"/>
    <s v="3000016049170001"/>
    <s v="CIVIL"/>
    <d v="2023-06-28T00:00:00"/>
    <d v="2023-07-03T19:04:52"/>
    <m/>
    <d v="2023-07-03T00:00:00"/>
    <n v="917"/>
    <n v="19162"/>
    <s v="62026638"/>
    <s v="62026638"/>
    <m/>
    <m/>
    <n v="22783012"/>
    <m/>
    <m/>
    <m/>
    <s v="SOLPOA"/>
    <s v="SOLPOA"/>
    <s v="CCMS"/>
    <n v="21320483"/>
    <n v="2825.88"/>
    <m/>
    <s v="N"/>
    <n v="1"/>
    <d v="2023-07-03T19:04:54"/>
    <s v="N"/>
    <s v="Level 3 Fixed Fee"/>
    <s v="Private Law Children"/>
    <s v="Profit Cost"/>
    <s v="suzanne oldnall"/>
    <s v="N"/>
    <n v="2354.9"/>
    <n v="470.98"/>
    <x v="3"/>
    <s v="VALIDATED"/>
    <n v="1"/>
    <s v="01.11.80.307.2012.0000"/>
    <n v="2354.9"/>
    <s v="11"/>
    <s v="2012"/>
    <n v="24987.5"/>
    <n v="2354.9"/>
    <s v="CREDITOR"/>
    <n v="2354.9"/>
    <n v="588.725"/>
    <n v="0"/>
    <n v="0"/>
    <n v="0"/>
  </r>
  <r>
    <n v="61546807"/>
    <s v="N"/>
    <n v="21319087"/>
    <s v="3000015661680003"/>
    <s v="CIVIL"/>
    <d v="2023-06-23T00:00:00"/>
    <d v="2023-07-03T19:01:49"/>
    <m/>
    <d v="2023-07-03T00:00:00"/>
    <n v="917"/>
    <n v="19162"/>
    <s v="61546807"/>
    <s v="61546807"/>
    <m/>
    <m/>
    <n v="22754138"/>
    <m/>
    <m/>
    <m/>
    <s v="SOLFIN"/>
    <s v="SOLFIN"/>
    <s v="CCMS"/>
    <n v="21319087"/>
    <n v="3003.37"/>
    <m/>
    <s v="N"/>
    <n v="30"/>
    <d v="2023-07-03T19:02:10"/>
    <s v="Y"/>
    <s v="Preparation - other"/>
    <s v="Prescribed Hourly Rates"/>
    <s v="Profit Cost"/>
    <s v="PH"/>
    <s v="Y"/>
    <n v="54.9"/>
    <n v="10.98"/>
    <x v="3"/>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35"/>
    <d v="2023-07-03T19:02:10"/>
    <s v="Y"/>
    <s v="Preparation - other"/>
    <s v="Prescribed Hourly Rates"/>
    <s v="Profit Cost"/>
    <s v="PH"/>
    <s v="Y"/>
    <n v="13.73"/>
    <n v="2.75"/>
    <x v="3"/>
    <s v="VALIDATED"/>
    <n v="1"/>
    <s v="01.11.80.307.6100.0000"/>
    <n v="13.73"/>
    <s v="11"/>
    <s v="6100"/>
    <n v="24987.5"/>
    <n v="13.73"/>
    <s v="CREDITOR"/>
    <n v="0"/>
    <n v="0"/>
    <n v="0"/>
    <n v="0"/>
    <n v="13.73"/>
  </r>
  <r>
    <n v="61087371"/>
    <s v="N"/>
    <n v="21349665"/>
    <s v="3000015258150003"/>
    <s v="CIVIL"/>
    <d v="2023-06-28T00:00:00"/>
    <d v="2023-07-10T19:01:40"/>
    <m/>
    <d v="2023-07-10T00:00:00"/>
    <n v="917"/>
    <n v="19162"/>
    <s v="61087371"/>
    <s v="61087371"/>
    <m/>
    <m/>
    <n v="22783936"/>
    <m/>
    <m/>
    <m/>
    <s v="SOLFIN"/>
    <s v="SOLFIN"/>
    <s v="CCMS"/>
    <n v="21349665"/>
    <n v="1736"/>
    <m/>
    <s v="N"/>
    <n v="48"/>
    <d v="2023-07-10T19:01:55"/>
    <s v="Y"/>
    <s v="Routine Telephone Call"/>
    <s v="Prescribed Hourly Rates"/>
    <s v="Profit Cost"/>
    <s v="PH"/>
    <s v="Y"/>
    <n v="27"/>
    <n v="5.4"/>
    <x v="2"/>
    <s v="VALIDATED"/>
    <n v="1"/>
    <s v="01.11.80.307.6100.0000"/>
    <n v="27"/>
    <s v="11"/>
    <s v="6100"/>
    <n v="24987.5"/>
    <n v="27"/>
    <s v="CREDITOR"/>
    <n v="0"/>
    <n v="0"/>
    <n v="0"/>
    <n v="0"/>
    <n v="27"/>
  </r>
  <r>
    <n v="59629456"/>
    <s v="N"/>
    <n v="21338367"/>
    <s v="3000014027440015"/>
    <s v="CIVIL"/>
    <d v="2023-06-28T00:00:00"/>
    <d v="2023-07-06T19:21:01"/>
    <m/>
    <d v="2023-07-06T00:00:00"/>
    <n v="917"/>
    <n v="19162"/>
    <s v="59629456"/>
    <s v="59629456"/>
    <m/>
    <m/>
    <n v="22776034"/>
    <m/>
    <m/>
    <m/>
    <s v="SOLFIN"/>
    <s v="SOLFIN"/>
    <s v="CCMS"/>
    <n v="21338367"/>
    <n v="17364.08"/>
    <m/>
    <s v="N"/>
    <n v="165"/>
    <d v="2023-07-06T19:21:22"/>
    <s v="Y"/>
    <s v="Preparation - other"/>
    <s v="Care Remuneration Hourly Rates"/>
    <s v="Profit Cost"/>
    <s v="DHH"/>
    <s v="Y"/>
    <n v="10.51"/>
    <n v="2.1"/>
    <x v="4"/>
    <s v="VALIDATED"/>
    <n v="1"/>
    <s v="01.11.80.308.6100.0000"/>
    <n v="10.51"/>
    <s v="11"/>
    <s v="6100"/>
    <n v="24987.5"/>
    <n v="10.51"/>
    <s v="CREDITOR"/>
    <n v="0"/>
    <n v="0"/>
    <n v="0"/>
    <n v="0"/>
    <n v="10.51"/>
  </r>
  <r>
    <n v="60313374"/>
    <s v="N"/>
    <n v="21338325"/>
    <s v="3000014615690008"/>
    <s v="CIVIL"/>
    <d v="2023-06-28T00:00:00"/>
    <d v="2023-07-06T19:21:01"/>
    <m/>
    <d v="2023-07-06T00:00:00"/>
    <n v="917"/>
    <n v="19162"/>
    <s v="60313374"/>
    <s v="60313374"/>
    <m/>
    <m/>
    <n v="22782652"/>
    <m/>
    <m/>
    <m/>
    <s v="SOLFIN"/>
    <s v="SOLFIN"/>
    <s v="CCMS"/>
    <n v="21338325"/>
    <n v="6871.22"/>
    <m/>
    <s v="N"/>
    <n v="113"/>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78"/>
    <d v="2023-07-06T19:21:22"/>
    <s v="Y"/>
    <s v="GP (records report)"/>
    <s v="Care Remuneration Hourly Rates"/>
    <s v="Expert Disbursement"/>
    <s v="XXX"/>
    <s v="Y"/>
    <n v="50.4"/>
    <n v="0"/>
    <x v="4"/>
    <s v="VALIDATED"/>
    <n v="1"/>
    <s v="01.11.80.308.6300.0000"/>
    <n v="50.4"/>
    <s v="11"/>
    <s v="6300"/>
    <n v="24987.5"/>
    <n v="50.4"/>
    <s v="CREDITOR"/>
    <n v="0"/>
    <n v="0"/>
    <n v="0"/>
    <n v="0"/>
    <n v="50.4"/>
  </r>
  <r>
    <n v="60313374"/>
    <s v="N"/>
    <n v="21338325"/>
    <s v="3000014615690008"/>
    <s v="CIVIL"/>
    <d v="2023-06-28T00:00:00"/>
    <d v="2023-07-06T19:21:01"/>
    <m/>
    <d v="2023-07-06T00:00:00"/>
    <n v="917"/>
    <n v="19162"/>
    <s v="60313374"/>
    <s v="60313374"/>
    <m/>
    <m/>
    <n v="22782652"/>
    <m/>
    <m/>
    <m/>
    <s v="SOLFIN"/>
    <s v="SOLFIN"/>
    <s v="CCMS"/>
    <n v="21338325"/>
    <n v="6871.22"/>
    <m/>
    <s v="N"/>
    <n v="53"/>
    <d v="2023-07-06T19:21:19"/>
    <s v="Y"/>
    <s v="Preparation - other"/>
    <s v="Prescribed Hourly Rates"/>
    <s v="Profit Cost"/>
    <s v="PH"/>
    <s v="Y"/>
    <n v="5.49"/>
    <n v="1.1"/>
    <x v="4"/>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77"/>
    <d v="2023-07-06T19:21:19"/>
    <s v="Y"/>
    <s v="Attendance upon client"/>
    <s v="Prescribed Hourly Rates"/>
    <s v="Profit Cost"/>
    <s v="PH"/>
    <s v="Y"/>
    <n v="25.25"/>
    <n v="5.05"/>
    <x v="4"/>
    <s v="VALIDATED"/>
    <n v="1"/>
    <s v="01.11.80.307.6100.0000"/>
    <n v="25.25"/>
    <s v="11"/>
    <s v="6100"/>
    <n v="24987.5"/>
    <n v="25.25"/>
    <s v="CREDITOR"/>
    <n v="0"/>
    <n v="0"/>
    <n v="0"/>
    <n v="0"/>
    <n v="25.25"/>
  </r>
  <r>
    <n v="60313374"/>
    <s v="N"/>
    <n v="21338325"/>
    <s v="3000014615690008"/>
    <s v="CIVIL"/>
    <d v="2023-06-28T00:00:00"/>
    <d v="2023-07-06T19:21:01"/>
    <m/>
    <d v="2023-07-06T00:00:00"/>
    <n v="917"/>
    <n v="19162"/>
    <s v="60313374"/>
    <s v="60313374"/>
    <m/>
    <m/>
    <n v="22782652"/>
    <m/>
    <m/>
    <m/>
    <s v="SOLFIN"/>
    <s v="SOLFIN"/>
    <s v="CCMS"/>
    <n v="21338325"/>
    <n v="6871.22"/>
    <m/>
    <s v="N"/>
    <n v="88"/>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41"/>
    <d v="2023-07-06T19:21:22"/>
    <s v="Y"/>
    <s v="Attendance upon client"/>
    <s v="Care Remuneration Hourly Rates"/>
    <s v="Profit Cost"/>
    <s v="PF"/>
    <s v="Y"/>
    <n v="36.81"/>
    <n v="7.36"/>
    <x v="4"/>
    <s v="VALIDATED"/>
    <n v="1"/>
    <s v="01.11.80.308.6100.0000"/>
    <n v="36.81"/>
    <s v="11"/>
    <s v="6100"/>
    <n v="24987.5"/>
    <n v="36.81"/>
    <s v="CREDITOR"/>
    <n v="0"/>
    <n v="0"/>
    <n v="0"/>
    <n v="0"/>
    <n v="36.81"/>
  </r>
  <r>
    <n v="60969011"/>
    <s v="N"/>
    <n v="21328040"/>
    <s v="3000015171370002"/>
    <s v="CIVIL"/>
    <d v="2023-06-27T00:00:00"/>
    <d v="2023-07-04T19:00:44"/>
    <m/>
    <d v="2023-07-04T00:00:00"/>
    <n v="917"/>
    <n v="19162"/>
    <s v="60969011"/>
    <s v="60969011"/>
    <m/>
    <m/>
    <n v="22772306"/>
    <m/>
    <m/>
    <m/>
    <s v="SOLFIN"/>
    <s v="SOLFIN"/>
    <s v="CCMS"/>
    <n v="21328040"/>
    <n v="2128.61"/>
    <m/>
    <s v="N"/>
    <n v="30"/>
    <d v="2023-07-04T19:01:02"/>
    <s v="Y"/>
    <s v="Preparation - other"/>
    <s v="Prescribed Hourly Rates"/>
    <s v="Profit Cost"/>
    <s v="DM"/>
    <s v="Y"/>
    <n v="27.45"/>
    <n v="5.49"/>
    <x v="1"/>
    <s v="VALIDATED"/>
    <n v="1"/>
    <s v="01.11.80.307.6100.0000"/>
    <n v="27.45"/>
    <s v="11"/>
    <s v="6100"/>
    <n v="24987.5"/>
    <n v="27.45"/>
    <s v="CREDITOR"/>
    <n v="0"/>
    <n v="0"/>
    <n v="0"/>
    <n v="0"/>
    <n v="27.45"/>
  </r>
  <r>
    <n v="60969011"/>
    <s v="N"/>
    <n v="21328040"/>
    <s v="3000015171370002"/>
    <s v="CIVIL"/>
    <d v="2023-06-27T00:00:00"/>
    <d v="2023-07-04T19:00:44"/>
    <m/>
    <d v="2023-07-04T00:00:00"/>
    <n v="917"/>
    <n v="19162"/>
    <s v="60969011"/>
    <s v="60969011"/>
    <m/>
    <m/>
    <n v="22772306"/>
    <m/>
    <m/>
    <m/>
    <s v="SOLFIN"/>
    <s v="SOLFIN"/>
    <s v="CCMS"/>
    <n v="21328040"/>
    <n v="2128.61"/>
    <m/>
    <s v="N"/>
    <n v="1"/>
    <d v="2023-07-04T19:01:02"/>
    <s v="Y"/>
    <s v="Hearing Unit 2.31 - 5.00 Hours"/>
    <s v="Private Law Children"/>
    <s v="Advocacy"/>
    <s v="DM"/>
    <s v="Y"/>
    <n v="313.48"/>
    <n v="62.7"/>
    <x v="1"/>
    <s v="VALIDATED"/>
    <n v="1"/>
    <s v="01.11.80.307.6100.0000"/>
    <n v="313.48"/>
    <s v="11"/>
    <s v="6100"/>
    <n v="24987.5"/>
    <n v="313.48"/>
    <s v="CREDITOR"/>
    <n v="0"/>
    <n v="0"/>
    <n v="0"/>
    <n v="0"/>
    <n v="313.48"/>
  </r>
  <r>
    <n v="60969011"/>
    <s v="N"/>
    <n v="21328040"/>
    <s v="3000015171370002"/>
    <s v="CIVIL"/>
    <d v="2023-06-27T00:00:00"/>
    <d v="2023-07-04T19:00:44"/>
    <m/>
    <d v="2023-07-04T00:00:00"/>
    <n v="917"/>
    <n v="19162"/>
    <s v="60969011"/>
    <s v="60969011"/>
    <m/>
    <m/>
    <n v="22772306"/>
    <m/>
    <m/>
    <m/>
    <s v="SOLFIN"/>
    <s v="SOLFIN"/>
    <s v="CCMS"/>
    <n v="21328040"/>
    <n v="2128.61"/>
    <m/>
    <s v="N"/>
    <n v="5"/>
    <d v="2023-07-04T19:01:02"/>
    <s v="Y"/>
    <s v="Preparation - other"/>
    <s v="Prescribed Hourly Rates"/>
    <s v="Profit Cost"/>
    <s v="DM"/>
    <s v="Y"/>
    <n v="38.43"/>
    <n v="7.69"/>
    <x v="1"/>
    <s v="VALIDATED"/>
    <n v="1"/>
    <s v="01.11.80.307.6100.0000"/>
    <n v="38.43"/>
    <s v="11"/>
    <s v="6100"/>
    <n v="24987.5"/>
    <n v="38.43"/>
    <s v="CREDITOR"/>
    <n v="0"/>
    <n v="0"/>
    <n v="0"/>
    <n v="0"/>
    <n v="38.43"/>
  </r>
  <r>
    <n v="61546807"/>
    <s v="N"/>
    <n v="21319087"/>
    <s v="3000015661680003"/>
    <s v="CIVIL"/>
    <d v="2023-06-23T00:00:00"/>
    <d v="2023-07-03T19:01:49"/>
    <m/>
    <d v="2023-07-03T00:00:00"/>
    <n v="917"/>
    <n v="19162"/>
    <s v="61546807"/>
    <s v="61546807"/>
    <m/>
    <m/>
    <n v="22754138"/>
    <m/>
    <m/>
    <m/>
    <s v="SOLFIN"/>
    <s v="SOLFIN"/>
    <s v="CCMS"/>
    <n v="21319087"/>
    <n v="3003.37"/>
    <m/>
    <s v="N"/>
    <n v="37"/>
    <d v="2023-07-03T19:02:10"/>
    <s v="Y"/>
    <s v="Preparation - other"/>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50"/>
    <d v="2023-07-03T19:02:10"/>
    <s v="Y"/>
    <s v="Preparation - other"/>
    <s v="Prescribed Hourly Rates"/>
    <s v="Profit Cost"/>
    <s v="PH"/>
    <s v="Y"/>
    <n v="13.73"/>
    <n v="2.75"/>
    <x v="3"/>
    <s v="VALIDATED"/>
    <n v="1"/>
    <s v="01.11.80.307.6100.0000"/>
    <n v="13.73"/>
    <s v="11"/>
    <s v="6100"/>
    <n v="24987.5"/>
    <n v="13.73"/>
    <s v="CREDITOR"/>
    <n v="0"/>
    <n v="0"/>
    <n v="0"/>
    <n v="0"/>
    <n v="13.73"/>
  </r>
  <r>
    <n v="61546807"/>
    <s v="N"/>
    <n v="21319087"/>
    <s v="3000015661680003"/>
    <s v="CIVIL"/>
    <d v="2023-06-23T00:00:00"/>
    <d v="2023-07-03T19:01:49"/>
    <m/>
    <d v="2023-07-03T00:00:00"/>
    <n v="917"/>
    <n v="19162"/>
    <s v="61546807"/>
    <s v="61546807"/>
    <m/>
    <m/>
    <n v="22754138"/>
    <m/>
    <m/>
    <m/>
    <s v="SOLFIN"/>
    <s v="SOLFIN"/>
    <s v="CCMS"/>
    <n v="21319087"/>
    <n v="3003.37"/>
    <m/>
    <s v="N"/>
    <n v="7"/>
    <d v="2023-07-03T19:02:10"/>
    <s v="Y"/>
    <s v="Preparation - other"/>
    <s v="Prescribed Hourly Rates"/>
    <s v="Profit Cost"/>
    <s v="SN"/>
    <s v="Y"/>
    <n v="54.9"/>
    <n v="10.98"/>
    <x v="3"/>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66"/>
    <d v="2023-07-03T19:02:10"/>
    <s v="Y"/>
    <s v="Preparation - other"/>
    <s v="Prescribed Hourly Rates"/>
    <s v="Profit Cost"/>
    <s v="EA"/>
    <s v="Y"/>
    <n v="5.49"/>
    <n v="1.1"/>
    <x v="3"/>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68"/>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97"/>
    <d v="2023-07-06T19:21:22"/>
    <s v="Y"/>
    <s v="Preparation - other"/>
    <s v="Care Remuneration Hourly Rates"/>
    <s v="Profit Cost"/>
    <s v="PF"/>
    <s v="Y"/>
    <n v="44.16"/>
    <n v="8.83"/>
    <x v="4"/>
    <s v="VALIDATED"/>
    <n v="1"/>
    <s v="01.11.80.308.6100.0000"/>
    <n v="44.16"/>
    <s v="11"/>
    <s v="6100"/>
    <n v="24987.5"/>
    <n v="44.16"/>
    <s v="CREDITOR"/>
    <n v="0"/>
    <n v="0"/>
    <n v="0"/>
    <n v="0"/>
    <n v="44.16"/>
  </r>
  <r>
    <n v="59629456"/>
    <s v="N"/>
    <n v="21338367"/>
    <s v="3000014027440015"/>
    <s v="CIVIL"/>
    <d v="2023-06-28T00:00:00"/>
    <d v="2023-07-06T19:21:01"/>
    <m/>
    <d v="2023-07-06T00:00:00"/>
    <n v="917"/>
    <n v="19162"/>
    <s v="59629456"/>
    <s v="59629456"/>
    <m/>
    <m/>
    <n v="22776034"/>
    <m/>
    <m/>
    <m/>
    <s v="SOLFIN"/>
    <s v="SOLFIN"/>
    <s v="CCMS"/>
    <n v="21338367"/>
    <n v="17364.08"/>
    <m/>
    <s v="N"/>
    <n v="103"/>
    <d v="2023-07-06T19:21:22"/>
    <s v="Y"/>
    <s v="Preparation - drafting instructions"/>
    <s v="Care Remuneration Hourly Rates"/>
    <s v="Profit Cost"/>
    <s v="ZM"/>
    <s v="Y"/>
    <n v="51.52"/>
    <n v="10.3"/>
    <x v="4"/>
    <s v="VALIDATED"/>
    <n v="1"/>
    <s v="01.11.80.308.6100.0000"/>
    <n v="51.52"/>
    <s v="11"/>
    <s v="6100"/>
    <n v="24987.5"/>
    <n v="51.52"/>
    <s v="CREDITOR"/>
    <n v="0"/>
    <n v="0"/>
    <n v="0"/>
    <n v="0"/>
    <n v="51.52"/>
  </r>
  <r>
    <n v="59629456"/>
    <s v="N"/>
    <n v="21338367"/>
    <s v="3000014027440015"/>
    <s v="CIVIL"/>
    <d v="2023-06-28T00:00:00"/>
    <d v="2023-07-06T19:21:01"/>
    <m/>
    <d v="2023-07-06T00:00:00"/>
    <n v="917"/>
    <n v="19162"/>
    <s v="59629456"/>
    <s v="59629456"/>
    <m/>
    <m/>
    <n v="22776034"/>
    <m/>
    <m/>
    <m/>
    <s v="SOLFIN"/>
    <s v="SOLFIN"/>
    <s v="CCMS"/>
    <n v="21338367"/>
    <n v="17364.08"/>
    <m/>
    <s v="N"/>
    <n v="13"/>
    <d v="2023-07-06T19:21:22"/>
    <s v="Y"/>
    <s v="Preparation - other"/>
    <s v="Care Remuneration Hourly Rates"/>
    <s v="Profit Cost"/>
    <s v="DM"/>
    <s v="Y"/>
    <n v="29.44"/>
    <n v="5.89"/>
    <x v="4"/>
    <s v="VALIDATED"/>
    <n v="1"/>
    <s v="01.11.80.308.6100.0000"/>
    <n v="29.44"/>
    <s v="11"/>
    <s v="6100"/>
    <n v="24987.5"/>
    <n v="29.44"/>
    <s v="CREDITOR"/>
    <n v="0"/>
    <n v="0"/>
    <n v="0"/>
    <n v="0"/>
    <n v="29.44"/>
  </r>
  <r>
    <n v="59629456"/>
    <s v="N"/>
    <n v="21338367"/>
    <s v="3000014027440015"/>
    <s v="CIVIL"/>
    <d v="2023-06-28T00:00:00"/>
    <d v="2023-07-06T19:21:01"/>
    <m/>
    <d v="2023-07-06T00:00:00"/>
    <n v="917"/>
    <n v="19162"/>
    <s v="59629456"/>
    <s v="59629456"/>
    <m/>
    <m/>
    <n v="22776034"/>
    <m/>
    <m/>
    <m/>
    <s v="SOLFIN"/>
    <s v="SOLFIN"/>
    <s v="CCMS"/>
    <n v="21338367"/>
    <n v="17364.08"/>
    <m/>
    <s v="N"/>
    <n v="15"/>
    <d v="2023-07-06T19:21:22"/>
    <s v="Y"/>
    <s v="Preparation - other"/>
    <s v="Care Remuneration Hourly Rates"/>
    <s v="Profit Cost"/>
    <s v="DM"/>
    <s v="Y"/>
    <n v="22.08"/>
    <n v="4.42"/>
    <x v="4"/>
    <s v="VALIDATED"/>
    <n v="1"/>
    <s v="01.11.80.308.6100.0000"/>
    <n v="22.08"/>
    <s v="11"/>
    <s v="6100"/>
    <n v="24987.5"/>
    <n v="22.08"/>
    <s v="CREDITOR"/>
    <n v="0"/>
    <n v="0"/>
    <n v="0"/>
    <n v="0"/>
    <n v="22.08"/>
  </r>
  <r>
    <n v="60969011"/>
    <s v="N"/>
    <n v="21328040"/>
    <s v="3000015171370002"/>
    <s v="CIVIL"/>
    <d v="2023-06-27T00:00:00"/>
    <d v="2023-07-04T19:00:44"/>
    <m/>
    <d v="2023-07-04T00:00:00"/>
    <n v="917"/>
    <n v="19162"/>
    <s v="60969011"/>
    <s v="60969011"/>
    <m/>
    <m/>
    <n v="22772306"/>
    <m/>
    <m/>
    <m/>
    <s v="SOLFIN"/>
    <s v="SOLFIN"/>
    <s v="CCMS"/>
    <n v="21328040"/>
    <n v="2128.61"/>
    <m/>
    <s v="N"/>
    <n v="10"/>
    <d v="2023-07-04T19:01:02"/>
    <s v="Y"/>
    <s v="Preparation - other"/>
    <s v="Prescribed Hourly Rates"/>
    <s v="Profit Cost"/>
    <s v="DM"/>
    <s v="Y"/>
    <n v="5.49"/>
    <n v="1.1"/>
    <x v="1"/>
    <s v="VALIDATED"/>
    <n v="1"/>
    <s v="01.11.80.307.6100.0000"/>
    <n v="5.49"/>
    <s v="11"/>
    <s v="6100"/>
    <n v="24987.5"/>
    <n v="5.49"/>
    <s v="CREDITOR"/>
    <n v="0"/>
    <n v="0"/>
    <n v="0"/>
    <n v="0"/>
    <n v="5.49"/>
  </r>
  <r>
    <n v="61546807"/>
    <s v="N"/>
    <n v="21319087"/>
    <s v="3000015661680003"/>
    <s v="CIVIL"/>
    <d v="2023-06-23T00:00:00"/>
    <d v="2023-07-03T19:01:49"/>
    <m/>
    <d v="2023-07-03T00:00:00"/>
    <n v="917"/>
    <n v="19162"/>
    <s v="61546807"/>
    <s v="61546807"/>
    <m/>
    <m/>
    <n v="22754138"/>
    <m/>
    <m/>
    <m/>
    <s v="SOLFIN"/>
    <s v="SOLFIN"/>
    <s v="CCMS"/>
    <n v="21319087"/>
    <n v="3003.37"/>
    <m/>
    <s v="N"/>
    <n v="61"/>
    <d v="2023-07-03T19:02:10"/>
    <s v="Y"/>
    <s v="Attendance upon client"/>
    <s v="Prescribed Hourly Rates"/>
    <s v="Profit Cost"/>
    <s v="PH"/>
    <s v="Y"/>
    <n v="27.45"/>
    <n v="5.49"/>
    <x v="3"/>
    <s v="VALIDATED"/>
    <n v="1"/>
    <s v="01.11.80.307.6100.0000"/>
    <n v="27.45"/>
    <s v="11"/>
    <s v="6100"/>
    <n v="24987.5"/>
    <n v="27.45"/>
    <s v="CREDITOR"/>
    <n v="0"/>
    <n v="0"/>
    <n v="0"/>
    <n v="0"/>
    <n v="27.45"/>
  </r>
  <r>
    <n v="61087371"/>
    <s v="N"/>
    <n v="21349665"/>
    <s v="3000015258150003"/>
    <s v="CIVIL"/>
    <d v="2023-06-28T00:00:00"/>
    <d v="2023-07-10T19:01:40"/>
    <m/>
    <d v="2023-07-10T00:00:00"/>
    <n v="917"/>
    <n v="19162"/>
    <s v="61087371"/>
    <s v="61087371"/>
    <m/>
    <m/>
    <n v="22783936"/>
    <m/>
    <m/>
    <m/>
    <s v="SOLFIN"/>
    <s v="SOLFIN"/>
    <s v="CCMS"/>
    <n v="21349665"/>
    <n v="1736"/>
    <m/>
    <s v="N"/>
    <n v="23"/>
    <d v="2023-07-10T19:01:55"/>
    <s v="Y"/>
    <s v="Attendance upon client"/>
    <s v="Prescribed Hourly Rates"/>
    <s v="Profit Cost"/>
    <s v="PH"/>
    <s v="Y"/>
    <n v="32.94"/>
    <n v="6.59"/>
    <x v="2"/>
    <s v="VALIDATED"/>
    <n v="1"/>
    <s v="01.11.80.307.6100.0000"/>
    <n v="32.94"/>
    <s v="11"/>
    <s v="6100"/>
    <n v="24987.5"/>
    <n v="32.94"/>
    <s v="CREDITOR"/>
    <n v="0"/>
    <n v="0"/>
    <n v="0"/>
    <n v="0"/>
    <n v="32.94"/>
  </r>
  <r>
    <n v="59629456"/>
    <s v="N"/>
    <n v="21338367"/>
    <s v="3000014027440015"/>
    <s v="CIVIL"/>
    <d v="2023-06-28T00:00:00"/>
    <d v="2023-07-06T19:21:01"/>
    <m/>
    <d v="2023-07-06T00:00:00"/>
    <n v="917"/>
    <n v="19162"/>
    <s v="59629456"/>
    <s v="59629456"/>
    <m/>
    <m/>
    <n v="22776034"/>
    <m/>
    <m/>
    <m/>
    <s v="SOLFIN"/>
    <s v="SOLFIN"/>
    <s v="CCMS"/>
    <n v="21338367"/>
    <n v="17364.08"/>
    <m/>
    <s v="N"/>
    <n v="158"/>
    <d v="2023-07-06T19:21:22"/>
    <s v="Y"/>
    <s v="Preparation - other"/>
    <s v="Care Remuneration Hourly Rates"/>
    <s v="Profit Cost"/>
    <s v="DHH"/>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69"/>
    <d v="2023-07-06T19:21:19"/>
    <s v="Y"/>
    <s v="Preparation - other"/>
    <s v="Prescribed Hourly Rates"/>
    <s v="Profit Cost"/>
    <s v="PH"/>
    <s v="Y"/>
    <n v="5.49"/>
    <n v="1.1"/>
    <x v="4"/>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84"/>
    <d v="2023-07-06T19:21:19"/>
    <s v="Y"/>
    <s v="Preparation - drafting instructions"/>
    <s v="Prescribed Hourly Rates"/>
    <s v="Profit Cost"/>
    <s v="PH"/>
    <s v="Y"/>
    <n v="71.37"/>
    <n v="14.28"/>
    <x v="4"/>
    <s v="VALIDATED"/>
    <n v="1"/>
    <s v="01.11.80.307.6100.0000"/>
    <n v="71.37"/>
    <s v="11"/>
    <s v="6100"/>
    <n v="24987.5"/>
    <n v="71.37"/>
    <s v="CREDITOR"/>
    <n v="0"/>
    <n v="0"/>
    <n v="0"/>
    <n v="0"/>
    <n v="71.37"/>
  </r>
  <r>
    <n v="60313374"/>
    <s v="N"/>
    <n v="21338325"/>
    <s v="3000014615690008"/>
    <s v="CIVIL"/>
    <d v="2023-06-28T00:00:00"/>
    <d v="2023-07-06T19:21:01"/>
    <m/>
    <d v="2023-07-06T00:00:00"/>
    <n v="917"/>
    <n v="19162"/>
    <s v="60313374"/>
    <s v="60313374"/>
    <m/>
    <m/>
    <n v="22782652"/>
    <m/>
    <m/>
    <m/>
    <s v="SOLFIN"/>
    <s v="SOLFIN"/>
    <s v="CCMS"/>
    <n v="21338325"/>
    <n v="6871.22"/>
    <m/>
    <s v="N"/>
    <n v="8"/>
    <d v="2023-07-06T19:21:19"/>
    <s v="Y"/>
    <s v="Hearing Unit 1.01 - 2.30 Hours"/>
    <s v="Private Law Children"/>
    <s v="Advocacy"/>
    <s v="PH"/>
    <s v="Y"/>
    <n v="156.74"/>
    <n v="31.35"/>
    <x v="4"/>
    <s v="VALIDATED"/>
    <n v="1"/>
    <s v="01.11.80.307.6100.0000"/>
    <n v="156.74"/>
    <s v="11"/>
    <s v="6100"/>
    <n v="24987.5"/>
    <n v="156.74"/>
    <s v="CREDITOR"/>
    <n v="0"/>
    <n v="0"/>
    <n v="0"/>
    <n v="0"/>
    <n v="156.74"/>
  </r>
  <r>
    <n v="60313374"/>
    <s v="N"/>
    <n v="21338325"/>
    <s v="3000014615690008"/>
    <s v="CIVIL"/>
    <d v="2023-06-28T00:00:00"/>
    <d v="2023-07-06T19:21:01"/>
    <m/>
    <d v="2023-07-06T00:00:00"/>
    <n v="917"/>
    <n v="19162"/>
    <s v="60313374"/>
    <s v="60313374"/>
    <m/>
    <m/>
    <n v="22782652"/>
    <m/>
    <m/>
    <m/>
    <s v="SOLFIN"/>
    <s v="SOLFIN"/>
    <s v="CCMS"/>
    <n v="21338325"/>
    <n v="6871.22"/>
    <m/>
    <s v="N"/>
    <n v="100"/>
    <d v="2023-07-06T19:21:19"/>
    <s v="Y"/>
    <s v="Preparation - drafting notice(s)"/>
    <s v="Prescribed Hourly Rates"/>
    <s v="Profit Cost"/>
    <s v="PH"/>
    <s v="Y"/>
    <n v="5.49"/>
    <n v="1.1"/>
    <x v="4"/>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104"/>
    <d v="2023-07-06T19:21:19"/>
    <s v="Y"/>
    <s v="Preparation - other"/>
    <s v="Prescribed Hourly Rates"/>
    <s v="Profit Cost"/>
    <s v="PH"/>
    <s v="Y"/>
    <n v="16.47"/>
    <n v="3.29"/>
    <x v="4"/>
    <s v="VALIDATED"/>
    <n v="1"/>
    <s v="01.11.80.307.6100.0000"/>
    <n v="16.47"/>
    <s v="11"/>
    <s v="6100"/>
    <n v="24987.5"/>
    <n v="16.47"/>
    <s v="CREDITOR"/>
    <n v="0"/>
    <n v="0"/>
    <n v="0"/>
    <n v="0"/>
    <n v="16.47"/>
  </r>
  <r>
    <n v="60969011"/>
    <s v="N"/>
    <n v="21328040"/>
    <s v="3000015171370002"/>
    <s v="CIVIL"/>
    <d v="2023-06-27T00:00:00"/>
    <d v="2023-07-04T19:00:44"/>
    <m/>
    <d v="2023-07-04T00:00:00"/>
    <n v="917"/>
    <n v="19162"/>
    <s v="60969011"/>
    <s v="60969011"/>
    <m/>
    <m/>
    <n v="22772306"/>
    <m/>
    <m/>
    <m/>
    <s v="SOLFIN"/>
    <s v="SOLFIN"/>
    <s v="CCMS"/>
    <n v="21328040"/>
    <n v="2128.61"/>
    <m/>
    <s v="N"/>
    <n v="18"/>
    <d v="2023-07-04T19:01:02"/>
    <s v="Y"/>
    <s v="Preparation - other"/>
    <s v="Prescribed Hourly Rates"/>
    <s v="Profit Cost"/>
    <s v="DM"/>
    <s v="Y"/>
    <n v="5.49"/>
    <n v="1.1"/>
    <x v="1"/>
    <s v="VALIDATED"/>
    <n v="1"/>
    <s v="01.11.80.307.6100.0000"/>
    <n v="5.49"/>
    <s v="11"/>
    <s v="6100"/>
    <n v="24987.5"/>
    <n v="5.49"/>
    <s v="CREDITOR"/>
    <n v="0"/>
    <n v="0"/>
    <n v="0"/>
    <n v="0"/>
    <n v="5.49"/>
  </r>
  <r>
    <n v="62181743"/>
    <s v="N"/>
    <n v="21320858"/>
    <s v="3000016192500001"/>
    <s v="CIVIL"/>
    <d v="2023-06-28T00:00:00"/>
    <d v="2023-07-03T19:04:52"/>
    <m/>
    <d v="2023-07-03T00:00:00"/>
    <n v="917"/>
    <n v="19162"/>
    <s v="62181743"/>
    <s v="62181743"/>
    <m/>
    <m/>
    <n v="22782668"/>
    <m/>
    <m/>
    <m/>
    <s v="SOLPOA"/>
    <s v="SOLPOA"/>
    <s v="CCMS"/>
    <n v="21320858"/>
    <n v="1954.3"/>
    <m/>
    <s v="N"/>
    <n v="1"/>
    <d v="2023-07-03T19:04:56"/>
    <s v="N"/>
    <s v="Level 3 Fixed Fee"/>
    <s v="Private Law Children"/>
    <s v="Profit Cost"/>
    <s v="PHILLIP HARRIS"/>
    <s v="N"/>
    <n v="1628.58"/>
    <n v="325.72"/>
    <x v="3"/>
    <s v="VALIDATED"/>
    <n v="1"/>
    <s v="01.11.80.307.2012.0000"/>
    <n v="1628.58"/>
    <s v="11"/>
    <s v="2012"/>
    <n v="24987.5"/>
    <n v="1628.58"/>
    <s v="CREDITOR"/>
    <n v="1628.58"/>
    <n v="407.145"/>
    <n v="0"/>
    <n v="0"/>
    <n v="0"/>
  </r>
  <r>
    <n v="61546807"/>
    <s v="N"/>
    <n v="21319087"/>
    <s v="3000015661680003"/>
    <s v="CIVIL"/>
    <d v="2023-06-23T00:00:00"/>
    <d v="2023-07-03T19:01:49"/>
    <m/>
    <d v="2023-07-03T00:00:00"/>
    <n v="917"/>
    <n v="19162"/>
    <s v="61546807"/>
    <s v="61546807"/>
    <m/>
    <m/>
    <n v="22754138"/>
    <m/>
    <m/>
    <m/>
    <s v="SOLFIN"/>
    <s v="SOLFIN"/>
    <s v="CCMS"/>
    <n v="21319087"/>
    <n v="3003.37"/>
    <m/>
    <s v="N"/>
    <n v="29"/>
    <d v="2023-07-03T19:02:10"/>
    <s v="Y"/>
    <s v="Preparation - other"/>
    <s v="Prescribed Hourly Rates"/>
    <s v="Profit Cost"/>
    <s v="EA"/>
    <s v="Y"/>
    <n v="16.47"/>
    <n v="3.29"/>
    <x v="3"/>
    <s v="VALIDATED"/>
    <n v="1"/>
    <s v="01.11.80.307.6100.0000"/>
    <n v="16.47"/>
    <s v="11"/>
    <s v="6100"/>
    <n v="24987.5"/>
    <n v="16.47"/>
    <s v="CREDITOR"/>
    <n v="0"/>
    <n v="0"/>
    <n v="0"/>
    <n v="0"/>
    <n v="16.47"/>
  </r>
  <r>
    <n v="61087371"/>
    <s v="N"/>
    <n v="21349665"/>
    <s v="3000015258150003"/>
    <s v="CIVIL"/>
    <d v="2023-06-28T00:00:00"/>
    <d v="2023-07-10T19:01:40"/>
    <m/>
    <d v="2023-07-10T00:00:00"/>
    <n v="917"/>
    <n v="19162"/>
    <s v="61087371"/>
    <s v="61087371"/>
    <m/>
    <m/>
    <n v="22783936"/>
    <m/>
    <m/>
    <m/>
    <s v="SOLFIN"/>
    <s v="SOLFIN"/>
    <s v="CCMS"/>
    <n v="21349665"/>
    <n v="1736"/>
    <m/>
    <s v="N"/>
    <n v="41"/>
    <d v="2023-07-10T19:01:55"/>
    <s v="Y"/>
    <s v="Preparation - other"/>
    <s v="Prescribed Hourly Rates"/>
    <s v="Profit Cost"/>
    <s v="PH"/>
    <s v="Y"/>
    <n v="26.35"/>
    <n v="5.27"/>
    <x v="2"/>
    <s v="VALIDATED"/>
    <n v="1"/>
    <s v="01.11.80.307.6100.0000"/>
    <n v="26.35"/>
    <s v="11"/>
    <s v="6100"/>
    <n v="24987.5"/>
    <n v="26.35"/>
    <s v="CREDITOR"/>
    <n v="0"/>
    <n v="0"/>
    <n v="0"/>
    <n v="0"/>
    <n v="26.35"/>
  </r>
  <r>
    <n v="60313374"/>
    <s v="N"/>
    <n v="21338325"/>
    <s v="3000014615690008"/>
    <s v="CIVIL"/>
    <d v="2023-06-28T00:00:00"/>
    <d v="2023-07-06T19:21:01"/>
    <m/>
    <d v="2023-07-06T00:00:00"/>
    <n v="917"/>
    <n v="19162"/>
    <s v="60313374"/>
    <s v="60313374"/>
    <m/>
    <m/>
    <n v="22782652"/>
    <m/>
    <m/>
    <m/>
    <s v="SOLFIN"/>
    <s v="SOLFIN"/>
    <s v="CCMS"/>
    <n v="21338325"/>
    <n v="6871.22"/>
    <m/>
    <s v="N"/>
    <n v="107"/>
    <d v="2023-07-06T19:21:19"/>
    <s v="Y"/>
    <s v="Preparation - other"/>
    <s v="Prescribed Hourly Rates"/>
    <s v="Profit Cost"/>
    <s v="PH"/>
    <s v="Y"/>
    <n v="10.98"/>
    <n v="2.2"/>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57"/>
    <d v="2023-07-06T19:21:22"/>
    <s v="Y"/>
    <s v="Preparation - other"/>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83"/>
    <d v="2023-07-06T19:21:22"/>
    <s v="Y"/>
    <s v="Preparation - other"/>
    <s v="Care Remuneration Hourly Rates"/>
    <s v="Profit Cost"/>
    <s v="ZM"/>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114"/>
    <d v="2023-07-06T19:21:19"/>
    <s v="Y"/>
    <s v="Routine Telephone Call"/>
    <s v="Prescribed Hourly Rates"/>
    <s v="Profit Cost"/>
    <s v="PH"/>
    <s v="Y"/>
    <n v="145.8"/>
    <n v="29.16"/>
    <x v="4"/>
    <s v="VALIDATED"/>
    <n v="1"/>
    <s v="01.11.80.307.6100.0000"/>
    <n v="145.8"/>
    <s v="11"/>
    <s v="6100"/>
    <n v="24987.5"/>
    <n v="145.8"/>
    <s v="CREDITOR"/>
    <n v="0"/>
    <n v="0"/>
    <n v="0"/>
    <n v="0"/>
    <n v="145.8"/>
  </r>
  <r>
    <n v="60313374"/>
    <s v="N"/>
    <n v="21338325"/>
    <s v="3000014615690008"/>
    <s v="CIVIL"/>
    <d v="2023-06-28T00:00:00"/>
    <d v="2023-07-06T19:21:01"/>
    <m/>
    <d v="2023-07-06T00:00:00"/>
    <n v="917"/>
    <n v="19162"/>
    <s v="60313374"/>
    <s v="60313374"/>
    <m/>
    <m/>
    <n v="22782652"/>
    <m/>
    <m/>
    <m/>
    <s v="SOLFIN"/>
    <s v="SOLFIN"/>
    <s v="CCMS"/>
    <n v="21338325"/>
    <n v="6871.22"/>
    <m/>
    <s v="N"/>
    <n v="10"/>
    <d v="2023-07-06T19:21:19"/>
    <s v="N"/>
    <s v="Level 3 &amp; Level 4 Fixed Fee"/>
    <s v="Private Law Children"/>
    <s v="Profit Cost"/>
    <s v="XXX"/>
    <s v="N"/>
    <n v="0"/>
    <n v="0"/>
    <x v="4"/>
    <s v="VALIDATED"/>
    <n v="1"/>
    <s v="01.11.80.307.6100.0000"/>
    <n v="0"/>
    <s v="11"/>
    <s v="6100"/>
    <n v="24987.5"/>
    <n v="0"/>
    <s v="CREDITOR"/>
    <n v="0"/>
    <n v="0"/>
    <n v="0"/>
    <n v="0"/>
    <n v="0"/>
  </r>
  <r>
    <n v="61087371"/>
    <s v="N"/>
    <n v="21349665"/>
    <s v="3000015258150003"/>
    <s v="CIVIL"/>
    <d v="2023-06-28T00:00:00"/>
    <d v="2023-07-10T19:01:40"/>
    <m/>
    <d v="2023-07-10T00:00:00"/>
    <n v="917"/>
    <n v="19162"/>
    <s v="61087371"/>
    <s v="61087371"/>
    <m/>
    <m/>
    <n v="22783936"/>
    <m/>
    <m/>
    <m/>
    <s v="SOLFIN"/>
    <s v="SOLFIN"/>
    <s v="CCMS"/>
    <n v="21349665"/>
    <n v="1736"/>
    <m/>
    <s v="N"/>
    <n v="22"/>
    <d v="2023-07-10T19:01:55"/>
    <s v="Y"/>
    <s v="Preparation - drafting attendance n"/>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7"/>
    <d v="2023-07-10T19:01:55"/>
    <s v="Y"/>
    <s v="Preparation - drafting application"/>
    <s v="Prescribed Hourly Rates"/>
    <s v="Profit Cost"/>
    <s v="PH"/>
    <s v="Y"/>
    <n v="85.64"/>
    <n v="17.13"/>
    <x v="2"/>
    <s v="VALIDATED"/>
    <n v="1"/>
    <s v="01.11.80.307.6100.0000"/>
    <n v="85.64"/>
    <s v="11"/>
    <s v="6100"/>
    <n v="24987.5"/>
    <n v="85.64"/>
    <s v="CREDITOR"/>
    <n v="0"/>
    <n v="0"/>
    <n v="0"/>
    <n v="0"/>
    <n v="85.64"/>
  </r>
  <r>
    <n v="60313374"/>
    <s v="N"/>
    <n v="21338325"/>
    <s v="3000014615690008"/>
    <s v="CIVIL"/>
    <d v="2023-06-28T00:00:00"/>
    <d v="2023-07-06T19:21:01"/>
    <m/>
    <d v="2023-07-06T00:00:00"/>
    <n v="917"/>
    <n v="19162"/>
    <s v="60313374"/>
    <s v="60313374"/>
    <m/>
    <m/>
    <n v="22782652"/>
    <m/>
    <m/>
    <m/>
    <s v="SOLFIN"/>
    <s v="SOLFIN"/>
    <s v="CCMS"/>
    <n v="21338325"/>
    <n v="6871.22"/>
    <m/>
    <s v="N"/>
    <n v="72"/>
    <d v="2023-07-06T19:21:19"/>
    <s v="Y"/>
    <s v="Preparation - other"/>
    <s v="Prescribed Hourly Rates"/>
    <s v="Profit Cost"/>
    <s v="PH"/>
    <s v="Y"/>
    <n v="10.98"/>
    <n v="2.2"/>
    <x v="4"/>
    <s v="VALIDATED"/>
    <n v="1"/>
    <s v="01.11.80.307.6100.0000"/>
    <n v="10.98"/>
    <s v="11"/>
    <s v="6100"/>
    <n v="24987.5"/>
    <n v="10.98"/>
    <s v="CREDITOR"/>
    <n v="0"/>
    <n v="0"/>
    <n v="0"/>
    <n v="0"/>
    <n v="10.98"/>
  </r>
  <r>
    <n v="60313374"/>
    <s v="N"/>
    <n v="21338325"/>
    <s v="3000014615690008"/>
    <s v="CIVIL"/>
    <d v="2023-06-28T00:00:00"/>
    <d v="2023-07-06T19:21:01"/>
    <m/>
    <d v="2023-07-06T00:00:00"/>
    <n v="917"/>
    <n v="19162"/>
    <s v="60313374"/>
    <s v="60313374"/>
    <m/>
    <m/>
    <n v="22782652"/>
    <m/>
    <m/>
    <m/>
    <s v="SOLFIN"/>
    <s v="SOLFIN"/>
    <s v="CCMS"/>
    <n v="21338325"/>
    <n v="6871.22"/>
    <m/>
    <s v="N"/>
    <n v="76"/>
    <d v="2023-07-06T19:21:19"/>
    <s v="Y"/>
    <s v="Attendance upon client"/>
    <s v="Prescribed Hourly Rates"/>
    <s v="Profit Cost"/>
    <s v="PH"/>
    <s v="Y"/>
    <n v="18.94"/>
    <n v="3.79"/>
    <x v="4"/>
    <s v="VALIDATED"/>
    <n v="1"/>
    <s v="01.11.80.307.6100.0000"/>
    <n v="18.94"/>
    <s v="11"/>
    <s v="6100"/>
    <n v="24987.5"/>
    <n v="18.94"/>
    <s v="CREDITOR"/>
    <n v="0"/>
    <n v="0"/>
    <n v="0"/>
    <n v="0"/>
    <n v="18.94"/>
  </r>
  <r>
    <n v="60313374"/>
    <s v="N"/>
    <n v="21338325"/>
    <s v="3000014615690008"/>
    <s v="CIVIL"/>
    <d v="2023-06-28T00:00:00"/>
    <d v="2023-07-06T19:21:01"/>
    <m/>
    <d v="2023-07-06T00:00:00"/>
    <n v="917"/>
    <n v="19162"/>
    <s v="60313374"/>
    <s v="60313374"/>
    <m/>
    <m/>
    <n v="22782652"/>
    <m/>
    <m/>
    <m/>
    <s v="SOLFIN"/>
    <s v="SOLFIN"/>
    <s v="CCMS"/>
    <n v="21338325"/>
    <n v="6871.22"/>
    <m/>
    <s v="N"/>
    <n v="25"/>
    <d v="2023-07-06T19:21:19"/>
    <s v="Y"/>
    <s v="Attendance upon client"/>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150"/>
    <d v="2023-07-06T19:21:22"/>
    <s v="Y"/>
    <s v="Preparation - other"/>
    <s v="Care Remuneration Hourly Rates"/>
    <s v="Profit Cost"/>
    <s v="DHH"/>
    <s v="Y"/>
    <n v="7.36"/>
    <n v="1.47"/>
    <x v="4"/>
    <s v="VALIDATED"/>
    <n v="1"/>
    <s v="01.11.80.308.6100.0000"/>
    <n v="7.36"/>
    <s v="11"/>
    <s v="6100"/>
    <n v="24987.5"/>
    <n v="7.36"/>
    <s v="CREDITOR"/>
    <n v="0"/>
    <n v="0"/>
    <n v="0"/>
    <n v="0"/>
    <n v="7.36"/>
  </r>
  <r>
    <n v="61546807"/>
    <s v="N"/>
    <n v="21319087"/>
    <s v="3000015661680003"/>
    <s v="CIVIL"/>
    <d v="2023-06-23T00:00:00"/>
    <d v="2023-07-03T19:01:49"/>
    <m/>
    <d v="2023-07-03T00:00:00"/>
    <n v="917"/>
    <n v="19162"/>
    <s v="61546807"/>
    <s v="61546807"/>
    <m/>
    <m/>
    <n v="22754138"/>
    <m/>
    <m/>
    <m/>
    <s v="SOLFIN"/>
    <s v="SOLFIN"/>
    <s v="CCMS"/>
    <n v="21319087"/>
    <n v="3003.37"/>
    <m/>
    <s v="N"/>
    <n v="40"/>
    <d v="2023-07-03T19:02:10"/>
    <s v="Y"/>
    <s v="Preparation - other"/>
    <s v="Prescribed Hourly Rates"/>
    <s v="Profit Cost"/>
    <s v="EA"/>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17"/>
    <d v="2023-07-03T19:02:10"/>
    <s v="Y"/>
    <s v="Attendance upon client"/>
    <s v="Prescribed Hourly Rates"/>
    <s v="Profit Cost"/>
    <s v="PH"/>
    <s v="Y"/>
    <n v="41.18"/>
    <n v="8.24"/>
    <x v="3"/>
    <s v="VALIDATED"/>
    <n v="1"/>
    <s v="01.11.80.307.6100.0000"/>
    <n v="41.18"/>
    <s v="11"/>
    <s v="6100"/>
    <n v="24987.5"/>
    <n v="41.18"/>
    <s v="CREDITOR"/>
    <n v="0"/>
    <n v="0"/>
    <n v="0"/>
    <n v="0"/>
    <n v="41.18"/>
  </r>
  <r>
    <n v="61546807"/>
    <s v="N"/>
    <n v="21319087"/>
    <s v="3000015661680003"/>
    <s v="CIVIL"/>
    <d v="2023-06-23T00:00:00"/>
    <d v="2023-07-03T19:01:49"/>
    <m/>
    <d v="2023-07-03T00:00:00"/>
    <n v="917"/>
    <n v="19162"/>
    <s v="61546807"/>
    <s v="61546807"/>
    <m/>
    <m/>
    <n v="22754138"/>
    <m/>
    <m/>
    <m/>
    <s v="SOLFIN"/>
    <s v="SOLFIN"/>
    <s v="CCMS"/>
    <n v="21319087"/>
    <n v="3003.37"/>
    <m/>
    <s v="N"/>
    <n v="74"/>
    <d v="2023-07-03T19:02:10"/>
    <s v="Y"/>
    <s v="Preparation - other"/>
    <s v="Prescribed Hourly Rates"/>
    <s v="Profit Cost"/>
    <s v="PH"/>
    <s v="Y"/>
    <n v="5.49"/>
    <n v="1.1"/>
    <x v="3"/>
    <s v="VALIDATED"/>
    <n v="1"/>
    <s v="01.11.80.307.6100.0000"/>
    <n v="5.49"/>
    <s v="11"/>
    <s v="6100"/>
    <n v="24987.5"/>
    <n v="5.49"/>
    <s v="CREDITOR"/>
    <n v="0"/>
    <n v="0"/>
    <n v="0"/>
    <n v="0"/>
    <n v="5.49"/>
  </r>
  <r>
    <n v="60313374"/>
    <s v="N"/>
    <n v="21338325"/>
    <s v="3000014615690008"/>
    <s v="CIVIL"/>
    <d v="2023-06-28T00:00:00"/>
    <d v="2023-07-06T19:21:01"/>
    <m/>
    <d v="2023-07-06T00:00:00"/>
    <n v="917"/>
    <n v="19162"/>
    <s v="60313374"/>
    <s v="60313374"/>
    <m/>
    <m/>
    <n v="22782652"/>
    <m/>
    <m/>
    <m/>
    <s v="SOLFIN"/>
    <s v="SOLFIN"/>
    <s v="CCMS"/>
    <n v="21338325"/>
    <n v="6871.22"/>
    <m/>
    <s v="N"/>
    <n v="42"/>
    <d v="2023-07-06T19:21:19"/>
    <s v="Y"/>
    <s v="Preparation - other"/>
    <s v="Prescribed Hourly Rates"/>
    <s v="Profit Cost"/>
    <s v="PH"/>
    <s v="Y"/>
    <n v="10.98"/>
    <n v="2.2"/>
    <x v="4"/>
    <s v="VALIDATED"/>
    <n v="1"/>
    <s v="01.11.80.307.6100.0000"/>
    <n v="10.98"/>
    <s v="11"/>
    <s v="6100"/>
    <n v="24987.5"/>
    <n v="10.98"/>
    <s v="CREDITOR"/>
    <n v="0"/>
    <n v="0"/>
    <n v="0"/>
    <n v="0"/>
    <n v="10.98"/>
  </r>
  <r>
    <n v="60313374"/>
    <s v="N"/>
    <n v="21338325"/>
    <s v="3000014615690008"/>
    <s v="CIVIL"/>
    <d v="2023-06-28T00:00:00"/>
    <d v="2023-07-06T19:21:01"/>
    <m/>
    <d v="2023-07-06T00:00:00"/>
    <n v="917"/>
    <n v="19162"/>
    <s v="60313374"/>
    <s v="60313374"/>
    <m/>
    <m/>
    <n v="22782652"/>
    <m/>
    <m/>
    <m/>
    <s v="SOLFIN"/>
    <s v="SOLFIN"/>
    <s v="CCMS"/>
    <n v="21338325"/>
    <n v="6871.22"/>
    <m/>
    <s v="N"/>
    <n v="75"/>
    <d v="2023-07-06T19:21:19"/>
    <s v="Y"/>
    <s v="Preparation - other"/>
    <s v="Prescribed Hourly Rates"/>
    <s v="Profit Cost"/>
    <s v="PH"/>
    <s v="Y"/>
    <n v="10.98"/>
    <n v="2.2"/>
    <x v="4"/>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122"/>
    <d v="2023-07-06T19:21:22"/>
    <s v="Y"/>
    <s v="Preparation - other"/>
    <s v="Care Remuneration Hourly Rates"/>
    <s v="Profit Cost"/>
    <s v="ZM"/>
    <s v="Y"/>
    <n v="103.04"/>
    <n v="20.61"/>
    <x v="4"/>
    <s v="VALIDATED"/>
    <n v="1"/>
    <s v="01.11.80.308.6100.0000"/>
    <n v="103.04"/>
    <s v="11"/>
    <s v="6100"/>
    <n v="24987.5"/>
    <n v="103.04"/>
    <s v="CREDITOR"/>
    <n v="0"/>
    <n v="0"/>
    <n v="0"/>
    <n v="0"/>
    <n v="103.04"/>
  </r>
  <r>
    <n v="60313374"/>
    <s v="N"/>
    <n v="21338325"/>
    <s v="3000014615690008"/>
    <s v="CIVIL"/>
    <d v="2023-06-28T00:00:00"/>
    <d v="2023-07-06T19:21:01"/>
    <m/>
    <d v="2023-07-06T00:00:00"/>
    <n v="917"/>
    <n v="19162"/>
    <s v="60313374"/>
    <s v="60313374"/>
    <m/>
    <m/>
    <n v="22782652"/>
    <m/>
    <m/>
    <m/>
    <s v="SOLFIN"/>
    <s v="SOLFIN"/>
    <s v="CCMS"/>
    <n v="21338325"/>
    <n v="6871.22"/>
    <m/>
    <s v="N"/>
    <n v="15"/>
    <d v="2023-07-06T19:21:19"/>
    <s v="Y"/>
    <s v="Preparation - other"/>
    <s v="Prescribed Hourly Rates"/>
    <s v="Profit Cost"/>
    <s v="SN"/>
    <s v="Y"/>
    <n v="54.9"/>
    <n v="10.98"/>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7"/>
    <d v="2023-07-06T19:21:22"/>
    <s v="Y"/>
    <s v="Attendance upon client"/>
    <s v="Care Remuneration Hourly Rates"/>
    <s v="Profit Cost"/>
    <s v="DM"/>
    <s v="Y"/>
    <n v="73.59999999999999"/>
    <n v="14.72"/>
    <x v="4"/>
    <s v="VALIDATED"/>
    <n v="1"/>
    <s v="01.11.80.308.6100.0000"/>
    <n v="73.59999999999999"/>
    <s v="11"/>
    <s v="6100"/>
    <n v="24987.5"/>
    <n v="73.59999999999999"/>
    <s v="CREDITOR"/>
    <n v="0"/>
    <n v="0"/>
    <n v="0"/>
    <n v="0"/>
    <n v="73.59999999999999"/>
  </r>
  <r>
    <n v="60313374"/>
    <s v="N"/>
    <n v="21338325"/>
    <s v="3000014615690008"/>
    <s v="CIVIL"/>
    <d v="2023-06-28T00:00:00"/>
    <d v="2023-07-06T19:21:01"/>
    <m/>
    <d v="2023-07-06T00:00:00"/>
    <n v="917"/>
    <n v="19162"/>
    <s v="60313374"/>
    <s v="60313374"/>
    <m/>
    <m/>
    <n v="22782652"/>
    <m/>
    <m/>
    <m/>
    <s v="SOLFIN"/>
    <s v="SOLFIN"/>
    <s v="CCMS"/>
    <n v="21338325"/>
    <n v="6871.22"/>
    <m/>
    <s v="N"/>
    <n v="99"/>
    <d v="2023-07-06T19:21:19"/>
    <s v="Y"/>
    <s v="Preparation - other"/>
    <s v="Prescribed Hourly Rates"/>
    <s v="Profit Cost"/>
    <s v="PH"/>
    <s v="Y"/>
    <n v="32.94"/>
    <n v="6.59"/>
    <x v="4"/>
    <s v="VALIDATED"/>
    <n v="1"/>
    <s v="01.11.80.307.6100.0000"/>
    <n v="32.94"/>
    <s v="11"/>
    <s v="6100"/>
    <n v="24987.5"/>
    <n v="32.94"/>
    <s v="CREDITOR"/>
    <n v="0"/>
    <n v="0"/>
    <n v="0"/>
    <n v="0"/>
    <n v="32.94"/>
  </r>
  <r>
    <n v="60313374"/>
    <s v="N"/>
    <n v="21338325"/>
    <s v="3000014615690008"/>
    <s v="CIVIL"/>
    <d v="2023-06-28T00:00:00"/>
    <d v="2023-07-06T19:21:01"/>
    <m/>
    <d v="2023-07-06T00:00:00"/>
    <n v="917"/>
    <n v="19162"/>
    <s v="60313374"/>
    <s v="60313374"/>
    <m/>
    <m/>
    <n v="22782652"/>
    <m/>
    <m/>
    <m/>
    <s v="SOLFIN"/>
    <s v="SOLFIN"/>
    <s v="CCMS"/>
    <n v="21338325"/>
    <n v="6871.22"/>
    <m/>
    <s v="N"/>
    <n v="105"/>
    <d v="2023-07-06T19:21:19"/>
    <s v="Y"/>
    <s v="Preparation - other"/>
    <s v="Prescribed Hourly Rates"/>
    <s v="Profit Cost"/>
    <s v="PH"/>
    <s v="Y"/>
    <n v="5.49"/>
    <n v="1.1"/>
    <x v="4"/>
    <s v="VALIDATED"/>
    <n v="1"/>
    <s v="01.11.80.307.6100.0000"/>
    <n v="5.49"/>
    <s v="11"/>
    <s v="6100"/>
    <n v="24987.5"/>
    <n v="5.49"/>
    <s v="CREDITOR"/>
    <n v="0"/>
    <n v="0"/>
    <n v="0"/>
    <n v="0"/>
    <n v="5.49"/>
  </r>
  <r>
    <n v="61080886"/>
    <s v="N"/>
    <n v="21319939"/>
    <s v="3000015276190012"/>
    <s v="CIVIL"/>
    <d v="2023-06-27T00:00:00"/>
    <d v="2023-07-03T19:04:24"/>
    <m/>
    <d v="2023-07-03T00:00:00"/>
    <n v="917"/>
    <n v="19162"/>
    <s v="61080886"/>
    <s v="61080886"/>
    <m/>
    <m/>
    <n v="22772796"/>
    <m/>
    <m/>
    <m/>
    <s v="SOLPOA"/>
    <s v="SOLPOA"/>
    <s v="CCMS"/>
    <n v="21319939"/>
    <n v="145.8"/>
    <m/>
    <s v="N"/>
    <n v="1"/>
    <d v="2023-07-03T19:04:28"/>
    <s v="N"/>
    <s v="Expert Cost - Private Law Children"/>
    <s v="Expert Cost - Private Law Chil"/>
    <s v="Expert Disbursement"/>
    <s v="EH"/>
    <s v="N"/>
    <n v="121.5"/>
    <n v="24.3"/>
    <x v="3"/>
    <s v="VALIDATED"/>
    <n v="1"/>
    <s v="01.11.80.302.2012.0000"/>
    <n v="121.5"/>
    <s v="11"/>
    <s v="2012"/>
    <n v="24987.5"/>
    <n v="121.5"/>
    <s v="CREDITOR"/>
    <n v="121.5"/>
    <n v="0"/>
    <n v="0"/>
    <n v="0"/>
    <n v="0"/>
  </r>
  <r>
    <n v="62120715"/>
    <s v="N"/>
    <n v="21320237"/>
    <s v="3000016142320001"/>
    <s v="CIVIL"/>
    <d v="2023-06-28T00:00:00"/>
    <d v="2023-07-03T19:04:52"/>
    <m/>
    <d v="2023-07-03T00:00:00"/>
    <n v="917"/>
    <n v="19162"/>
    <s v="62120715"/>
    <s v="62120715"/>
    <m/>
    <m/>
    <n v="22782700"/>
    <m/>
    <m/>
    <m/>
    <s v="SOLPOA"/>
    <s v="SOLPOA"/>
    <s v="CCMS"/>
    <n v="21320237"/>
    <n v="2088.31"/>
    <m/>
    <s v="N"/>
    <n v="1"/>
    <d v="2023-07-03T19:04:53"/>
    <s v="N"/>
    <s v="Level 3 Fixed Fee"/>
    <s v="Private Law Children"/>
    <s v="Profit Cost"/>
    <s v="suzanne oldnall"/>
    <s v="N"/>
    <n v="1740.26"/>
    <n v="348.05"/>
    <x v="3"/>
    <s v="VALIDATED"/>
    <n v="1"/>
    <s v="01.11.80.307.2012.0000"/>
    <n v="1740.26"/>
    <s v="11"/>
    <s v="2012"/>
    <n v="24987.5"/>
    <n v="1740.26"/>
    <s v="CREDITOR"/>
    <n v="1740.26"/>
    <n v="435.065"/>
    <n v="0"/>
    <n v="0"/>
    <n v="0"/>
  </r>
  <r>
    <n v="61546807"/>
    <s v="N"/>
    <n v="21319087"/>
    <s v="3000015661680003"/>
    <s v="CIVIL"/>
    <d v="2023-06-23T00:00:00"/>
    <d v="2023-07-03T19:01:49"/>
    <m/>
    <d v="2023-07-03T00:00:00"/>
    <n v="917"/>
    <n v="19162"/>
    <s v="61546807"/>
    <s v="61546807"/>
    <m/>
    <m/>
    <n v="22754138"/>
    <m/>
    <m/>
    <m/>
    <s v="SOLFIN"/>
    <s v="SOLFIN"/>
    <s v="CCMS"/>
    <n v="21319087"/>
    <n v="3003.37"/>
    <m/>
    <s v="N"/>
    <n v="42"/>
    <d v="2023-07-03T19:02:10"/>
    <s v="Y"/>
    <s v="Attendance upon other"/>
    <s v="Prescribed Hourly Rates"/>
    <s v="Profit Cost"/>
    <s v="EA"/>
    <s v="Y"/>
    <n v="16.47"/>
    <n v="3.29"/>
    <x v="3"/>
    <s v="VALIDATED"/>
    <n v="1"/>
    <s v="01.11.80.307.6100.0000"/>
    <n v="16.47"/>
    <s v="11"/>
    <s v="6100"/>
    <n v="24987.5"/>
    <n v="16.47"/>
    <s v="CREDITOR"/>
    <n v="0"/>
    <n v="0"/>
    <n v="0"/>
    <n v="0"/>
    <n v="16.47"/>
  </r>
  <r>
    <n v="61546807"/>
    <s v="N"/>
    <n v="21319087"/>
    <s v="3000015661680003"/>
    <s v="CIVIL"/>
    <d v="2023-06-23T00:00:00"/>
    <d v="2023-07-03T19:01:49"/>
    <m/>
    <d v="2023-07-03T00:00:00"/>
    <n v="917"/>
    <n v="19162"/>
    <s v="61546807"/>
    <s v="61546807"/>
    <m/>
    <m/>
    <n v="22754138"/>
    <m/>
    <m/>
    <m/>
    <s v="SOLFIN"/>
    <s v="SOLFIN"/>
    <s v="CCMS"/>
    <n v="21319087"/>
    <n v="3003.37"/>
    <m/>
    <s v="N"/>
    <n v="28"/>
    <d v="2023-07-03T19:02:10"/>
    <s v="Y"/>
    <s v="Preparation - other"/>
    <s v="Prescribed Hourly Rates"/>
    <s v="Profit Cost"/>
    <s v="PH"/>
    <s v="Y"/>
    <n v="6.86"/>
    <n v="1.37"/>
    <x v="3"/>
    <s v="VALIDATED"/>
    <n v="1"/>
    <s v="01.11.80.307.6100.0000"/>
    <n v="6.86"/>
    <s v="11"/>
    <s v="6100"/>
    <n v="24987.5"/>
    <n v="6.86"/>
    <s v="CREDITOR"/>
    <n v="0"/>
    <n v="0"/>
    <n v="0"/>
    <n v="0"/>
    <n v="6.86"/>
  </r>
  <r>
    <n v="61546807"/>
    <s v="N"/>
    <n v="21319087"/>
    <s v="3000015661680003"/>
    <s v="CIVIL"/>
    <d v="2023-06-23T00:00:00"/>
    <d v="2023-07-03T19:01:49"/>
    <m/>
    <d v="2023-07-03T00:00:00"/>
    <n v="917"/>
    <n v="19162"/>
    <s v="61546807"/>
    <s v="61546807"/>
    <m/>
    <m/>
    <n v="22754138"/>
    <m/>
    <m/>
    <m/>
    <s v="SOLFIN"/>
    <s v="SOLFIN"/>
    <s v="CCMS"/>
    <n v="21319087"/>
    <n v="3003.37"/>
    <m/>
    <s v="N"/>
    <n v="16"/>
    <d v="2023-07-03T19:02:10"/>
    <s v="Y"/>
    <s v="Preparation - other"/>
    <s v="Prescribed Hourly Rates"/>
    <s v="Profit Cost"/>
    <s v="PH"/>
    <s v="Y"/>
    <n v="6.86"/>
    <n v="1.37"/>
    <x v="3"/>
    <s v="VALIDATED"/>
    <n v="1"/>
    <s v="01.11.80.307.6100.0000"/>
    <n v="6.86"/>
    <s v="11"/>
    <s v="6100"/>
    <n v="24987.5"/>
    <n v="6.86"/>
    <s v="CREDITOR"/>
    <n v="0"/>
    <n v="0"/>
    <n v="0"/>
    <n v="0"/>
    <n v="6.86"/>
  </r>
  <r>
    <n v="61087371"/>
    <s v="N"/>
    <n v="21349665"/>
    <s v="3000015258150003"/>
    <s v="CIVIL"/>
    <d v="2023-06-28T00:00:00"/>
    <d v="2023-07-10T19:01:40"/>
    <m/>
    <d v="2023-07-10T00:00:00"/>
    <n v="917"/>
    <n v="19162"/>
    <s v="61087371"/>
    <s v="61087371"/>
    <m/>
    <m/>
    <n v="22783936"/>
    <m/>
    <m/>
    <m/>
    <s v="SOLFIN"/>
    <s v="SOLFIN"/>
    <s v="CCMS"/>
    <n v="21349665"/>
    <n v="1736"/>
    <m/>
    <s v="N"/>
    <n v="3"/>
    <d v="2023-07-10T19:01:55"/>
    <s v="Y"/>
    <s v="Preparation - other"/>
    <s v="Prescribed Hourly Rates"/>
    <s v="Profit Cost"/>
    <s v="PH"/>
    <s v="Y"/>
    <n v="5.49"/>
    <n v="1.1"/>
    <x v="2"/>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78"/>
    <d v="2023-07-06T19:21:22"/>
    <s v="Y"/>
    <s v="Preparation - other"/>
    <s v="Care Remuneration Hourly Rates"/>
    <s v="Profit Cost"/>
    <s v="ZM"/>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82"/>
    <d v="2023-07-06T19:21:22"/>
    <s v="Y"/>
    <s v="Attendance upon other side"/>
    <s v="Care Remuneration Hourly Rates"/>
    <s v="Profit Cost"/>
    <s v="ZM"/>
    <s v="Y"/>
    <n v="29.44"/>
    <n v="5.89"/>
    <x v="4"/>
    <s v="VALIDATED"/>
    <n v="1"/>
    <s v="01.11.80.308.6100.0000"/>
    <n v="29.44"/>
    <s v="11"/>
    <s v="6100"/>
    <n v="24987.5"/>
    <n v="29.44"/>
    <s v="CREDITOR"/>
    <n v="0"/>
    <n v="0"/>
    <n v="0"/>
    <n v="0"/>
    <n v="29.44"/>
  </r>
  <r>
    <n v="59629456"/>
    <s v="N"/>
    <n v="21338367"/>
    <s v="3000014027440015"/>
    <s v="CIVIL"/>
    <d v="2023-06-28T00:00:00"/>
    <d v="2023-07-06T19:21:01"/>
    <m/>
    <d v="2023-07-06T00:00:00"/>
    <n v="917"/>
    <n v="19162"/>
    <s v="59629456"/>
    <s v="59629456"/>
    <m/>
    <m/>
    <n v="22776034"/>
    <m/>
    <m/>
    <m/>
    <s v="SOLFIN"/>
    <s v="SOLFIN"/>
    <s v="CCMS"/>
    <n v="21338367"/>
    <n v="17364.08"/>
    <m/>
    <s v="N"/>
    <n v="17"/>
    <d v="2023-07-06T19:21:22"/>
    <s v="Y"/>
    <s v="Preparation - other"/>
    <s v="Care Remuneration Hourly Rates"/>
    <s v="Profit Cost"/>
    <s v="DM"/>
    <s v="Y"/>
    <n v="147.2"/>
    <n v="29.44"/>
    <x v="4"/>
    <s v="VALIDATED"/>
    <n v="1"/>
    <s v="01.11.80.308.6100.0000"/>
    <n v="147.2"/>
    <s v="11"/>
    <s v="6100"/>
    <n v="24987.5"/>
    <n v="147.2"/>
    <s v="CREDITOR"/>
    <n v="0"/>
    <n v="0"/>
    <n v="0"/>
    <n v="0"/>
    <n v="147.2"/>
  </r>
  <r>
    <n v="59629456"/>
    <s v="N"/>
    <n v="21338367"/>
    <s v="3000014027440015"/>
    <s v="CIVIL"/>
    <d v="2023-06-28T00:00:00"/>
    <d v="2023-07-06T19:21:01"/>
    <m/>
    <d v="2023-07-06T00:00:00"/>
    <n v="917"/>
    <n v="19162"/>
    <s v="59629456"/>
    <s v="59629456"/>
    <m/>
    <m/>
    <n v="22776034"/>
    <m/>
    <m/>
    <m/>
    <s v="SOLFIN"/>
    <s v="SOLFIN"/>
    <s v="CCMS"/>
    <n v="21338367"/>
    <n v="17364.08"/>
    <m/>
    <s v="N"/>
    <n v="144"/>
    <d v="2023-07-06T19:21:22"/>
    <s v="Y"/>
    <s v="Preparation - other"/>
    <s v="Care Remuneration Hourly Rates"/>
    <s v="Profit Cost"/>
    <s v="DHH"/>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52"/>
    <d v="2023-07-06T19:21:22"/>
    <s v="Y"/>
    <s v="Preparation - drafting instructions"/>
    <s v="Care Remuneration Hourly Rates"/>
    <s v="Profit Cost"/>
    <s v="DHH"/>
    <s v="Y"/>
    <n v="51.52"/>
    <n v="10.3"/>
    <x v="4"/>
    <s v="VALIDATED"/>
    <n v="1"/>
    <s v="01.11.80.308.6100.0000"/>
    <n v="51.52"/>
    <s v="11"/>
    <s v="6100"/>
    <n v="24987.5"/>
    <n v="51.52"/>
    <s v="CREDITOR"/>
    <n v="0"/>
    <n v="0"/>
    <n v="0"/>
    <n v="0"/>
    <n v="51.52"/>
  </r>
  <r>
    <n v="60313374"/>
    <s v="N"/>
    <n v="21338325"/>
    <s v="3000014615690008"/>
    <s v="CIVIL"/>
    <d v="2023-06-28T00:00:00"/>
    <d v="2023-07-06T19:21:01"/>
    <m/>
    <d v="2023-07-06T00:00:00"/>
    <n v="917"/>
    <n v="19162"/>
    <s v="60313374"/>
    <s v="60313374"/>
    <m/>
    <m/>
    <n v="22782652"/>
    <m/>
    <m/>
    <m/>
    <s v="SOLFIN"/>
    <s v="SOLFIN"/>
    <s v="CCMS"/>
    <n v="21338325"/>
    <n v="6871.22"/>
    <m/>
    <s v="N"/>
    <n v="40"/>
    <d v="2023-07-06T19:21:19"/>
    <s v="Y"/>
    <s v="Attendance upon client"/>
    <s v="Prescribed Hourly Rates"/>
    <s v="Profit Cost"/>
    <s v="PH"/>
    <s v="Y"/>
    <n v="18.94"/>
    <n v="3.79"/>
    <x v="4"/>
    <s v="VALIDATED"/>
    <n v="1"/>
    <s v="01.11.80.307.6100.0000"/>
    <n v="18.94"/>
    <s v="11"/>
    <s v="6100"/>
    <n v="24987.5"/>
    <n v="18.94"/>
    <s v="CREDITOR"/>
    <n v="0"/>
    <n v="0"/>
    <n v="0"/>
    <n v="0"/>
    <n v="18.94"/>
  </r>
  <r>
    <n v="60969011"/>
    <s v="N"/>
    <n v="21328040"/>
    <s v="3000015171370002"/>
    <s v="CIVIL"/>
    <d v="2023-06-27T00:00:00"/>
    <d v="2023-07-04T19:00:44"/>
    <m/>
    <d v="2023-07-04T00:00:00"/>
    <n v="917"/>
    <n v="19162"/>
    <s v="60969011"/>
    <s v="60969011"/>
    <m/>
    <m/>
    <n v="22772306"/>
    <m/>
    <m/>
    <m/>
    <s v="SOLFIN"/>
    <s v="SOLFIN"/>
    <s v="CCMS"/>
    <n v="21328040"/>
    <n v="2128.61"/>
    <m/>
    <s v="N"/>
    <n v="21"/>
    <d v="2023-07-04T19:01:02"/>
    <s v="Y"/>
    <s v="Preparation - other"/>
    <s v="Prescribed Hourly Rates"/>
    <s v="Profit Cost"/>
    <s v="DM"/>
    <s v="Y"/>
    <n v="21.96"/>
    <n v="4.39"/>
    <x v="1"/>
    <s v="VALIDATED"/>
    <n v="1"/>
    <s v="01.11.80.307.6100.0000"/>
    <n v="21.96"/>
    <s v="11"/>
    <s v="6100"/>
    <n v="24987.5"/>
    <n v="21.96"/>
    <s v="CREDITOR"/>
    <n v="0"/>
    <n v="0"/>
    <n v="0"/>
    <n v="0"/>
    <n v="21.96"/>
  </r>
  <r>
    <n v="62061165"/>
    <s v="N"/>
    <n v="21320854"/>
    <s v="3000016092530003"/>
    <s v="CIVIL"/>
    <d v="2023-06-28T00:00:00"/>
    <d v="2023-07-03T19:04:52"/>
    <m/>
    <d v="2023-07-03T00:00:00"/>
    <n v="917"/>
    <n v="19162"/>
    <s v="62061165"/>
    <s v="62061165"/>
    <m/>
    <m/>
    <n v="22782634"/>
    <m/>
    <m/>
    <m/>
    <s v="SOLPOA"/>
    <s v="SOLPOA"/>
    <s v="CCMS"/>
    <n v="21320854"/>
    <n v="1857.68"/>
    <m/>
    <s v="N"/>
    <n v="1"/>
    <d v="2023-07-03T19:04:56"/>
    <s v="N"/>
    <s v="Profit Cost"/>
    <s v="Profit Cost"/>
    <s v="Profit Cost"/>
    <s v="PAUL FORD"/>
    <s v="N"/>
    <n v="1548.07"/>
    <n v="309.61"/>
    <x v="3"/>
    <s v="VALIDATED"/>
    <n v="1"/>
    <s v="01.11.80.305.2012.0000"/>
    <n v="1548.07"/>
    <s v="11"/>
    <s v="2012"/>
    <n v="24987.5"/>
    <n v="1548.07"/>
    <s v="CREDITOR"/>
    <n v="1548.07"/>
    <n v="387.0175"/>
    <n v="0"/>
    <n v="0"/>
    <n v="0"/>
  </r>
  <r>
    <n v="61974438"/>
    <s v="N"/>
    <n v="21320905"/>
    <s v="3000016020830004"/>
    <s v="CIVIL"/>
    <d v="2023-06-28T00:00:00"/>
    <d v="2023-07-03T19:04:52"/>
    <m/>
    <d v="2023-07-03T00:00:00"/>
    <n v="917"/>
    <n v="19162"/>
    <s v="61974438"/>
    <s v="61974438"/>
    <m/>
    <m/>
    <n v="22783046"/>
    <m/>
    <m/>
    <m/>
    <s v="SOLPOA"/>
    <s v="SOLPOA"/>
    <s v="CCMS"/>
    <n v="21320905"/>
    <n v="2963.18"/>
    <m/>
    <s v="N"/>
    <n v="1"/>
    <d v="2023-07-03T19:04:57"/>
    <s v="N"/>
    <s v="Level 3 Fixed Fee"/>
    <s v="Private Law Children"/>
    <s v="Profit Cost"/>
    <s v="PHILLIP HARRIS"/>
    <s v="N"/>
    <n v="2469.32"/>
    <n v="493.86"/>
    <x v="3"/>
    <s v="VALIDATED"/>
    <n v="1"/>
    <s v="01.11.80.307.2012.0000"/>
    <n v="2469.32"/>
    <s v="11"/>
    <s v="2012"/>
    <n v="24987.5"/>
    <n v="2469.32"/>
    <s v="CREDITOR"/>
    <n v="2469.32"/>
    <n v="617.33"/>
    <n v="0"/>
    <n v="0"/>
    <n v="0"/>
  </r>
  <r>
    <n v="61546807"/>
    <s v="N"/>
    <n v="21319087"/>
    <s v="3000015661680003"/>
    <s v="CIVIL"/>
    <d v="2023-06-23T00:00:00"/>
    <d v="2023-07-03T19:01:49"/>
    <m/>
    <d v="2023-07-03T00:00:00"/>
    <n v="917"/>
    <n v="19162"/>
    <s v="61546807"/>
    <s v="61546807"/>
    <m/>
    <m/>
    <n v="22754138"/>
    <m/>
    <m/>
    <m/>
    <s v="SOLFIN"/>
    <s v="SOLFIN"/>
    <s v="CCMS"/>
    <n v="21319087"/>
    <n v="3003.37"/>
    <m/>
    <s v="N"/>
    <n v="22"/>
    <d v="2023-07-03T19:02:10"/>
    <s v="Y"/>
    <s v="Preparation - other"/>
    <s v="Prescribed Hourly Rates"/>
    <s v="Profit Cost"/>
    <s v="PH"/>
    <s v="Y"/>
    <n v="6.86"/>
    <n v="1.37"/>
    <x v="3"/>
    <s v="VALIDATED"/>
    <n v="1"/>
    <s v="01.11.80.307.6100.0000"/>
    <n v="6.86"/>
    <s v="11"/>
    <s v="6100"/>
    <n v="24987.5"/>
    <n v="6.86"/>
    <s v="CREDITOR"/>
    <n v="0"/>
    <n v="0"/>
    <n v="0"/>
    <n v="0"/>
    <n v="6.86"/>
  </r>
  <r>
    <n v="61087371"/>
    <s v="N"/>
    <n v="21349665"/>
    <s v="3000015258150003"/>
    <s v="CIVIL"/>
    <d v="2023-06-28T00:00:00"/>
    <d v="2023-07-10T19:01:40"/>
    <m/>
    <d v="2023-07-10T00:00:00"/>
    <n v="917"/>
    <n v="19162"/>
    <s v="61087371"/>
    <s v="61087371"/>
    <m/>
    <m/>
    <n v="22783936"/>
    <m/>
    <m/>
    <m/>
    <s v="SOLFIN"/>
    <s v="SOLFIN"/>
    <s v="CCMS"/>
    <n v="21349665"/>
    <n v="1736"/>
    <m/>
    <s v="N"/>
    <n v="42"/>
    <d v="2023-07-10T19:01:55"/>
    <s v="Y"/>
    <s v="Preparation - other"/>
    <s v="Prescribed Hourly Rates"/>
    <s v="Profit Cost"/>
    <s v="PH"/>
    <s v="Y"/>
    <n v="10.98"/>
    <n v="2.2"/>
    <x v="2"/>
    <s v="VALIDATED"/>
    <n v="1"/>
    <s v="01.11.80.307.6100.0000"/>
    <n v="10.98"/>
    <s v="11"/>
    <s v="6100"/>
    <n v="24987.5"/>
    <n v="10.98"/>
    <s v="CREDITOR"/>
    <n v="0"/>
    <n v="0"/>
    <n v="0"/>
    <n v="0"/>
    <n v="10.98"/>
  </r>
  <r>
    <n v="59629456"/>
    <s v="N"/>
    <n v="21338367"/>
    <s v="3000014027440015"/>
    <s v="CIVIL"/>
    <d v="2023-06-28T00:00:00"/>
    <d v="2023-07-06T19:21:01"/>
    <m/>
    <d v="2023-07-06T00:00:00"/>
    <n v="917"/>
    <n v="19162"/>
    <s v="59629456"/>
    <s v="59629456"/>
    <m/>
    <m/>
    <n v="22776034"/>
    <m/>
    <m/>
    <m/>
    <s v="SOLFIN"/>
    <s v="SOLFIN"/>
    <s v="CCMS"/>
    <n v="21338367"/>
    <n v="17364.08"/>
    <m/>
    <s v="N"/>
    <n v="185"/>
    <d v="2023-07-06T19:21:22"/>
    <s v="Y"/>
    <s v="Independent Social Worker"/>
    <s v="Care Remuneration Hourly Rates"/>
    <s v="Expert Disbursement"/>
    <s v="XXX"/>
    <s v="Y"/>
    <n v="75.59999999999999"/>
    <n v="15.12"/>
    <x v="4"/>
    <s v="VALIDATED"/>
    <n v="1"/>
    <s v="01.11.80.308.6300.0000"/>
    <n v="75.59999999999999"/>
    <s v="11"/>
    <s v="6300"/>
    <n v="24987.5"/>
    <n v="75.59999999999999"/>
    <s v="CREDITOR"/>
    <n v="0"/>
    <n v="0"/>
    <n v="0"/>
    <n v="0"/>
    <n v="75.59999999999999"/>
  </r>
  <r>
    <n v="60313374"/>
    <s v="N"/>
    <n v="21338325"/>
    <s v="3000014615690008"/>
    <s v="CIVIL"/>
    <d v="2023-06-28T00:00:00"/>
    <d v="2023-07-06T19:21:01"/>
    <m/>
    <d v="2023-07-06T00:00:00"/>
    <n v="917"/>
    <n v="19162"/>
    <s v="60313374"/>
    <s v="60313374"/>
    <m/>
    <m/>
    <n v="22782652"/>
    <m/>
    <m/>
    <m/>
    <s v="SOLFIN"/>
    <s v="SOLFIN"/>
    <s v="CCMS"/>
    <n v="21338325"/>
    <n v="6871.22"/>
    <m/>
    <s v="N"/>
    <n v="66"/>
    <d v="2023-07-06T19:21:19"/>
    <s v="Y"/>
    <s v="Attendance upon client"/>
    <s v="Prescribed Hourly Rates"/>
    <s v="Profit Cost"/>
    <s v="PH"/>
    <s v="Y"/>
    <n v="31.57"/>
    <n v="6.31"/>
    <x v="4"/>
    <s v="VALIDATED"/>
    <n v="1"/>
    <s v="01.11.80.307.6100.0000"/>
    <n v="31.57"/>
    <s v="11"/>
    <s v="6100"/>
    <n v="24987.5"/>
    <n v="31.57"/>
    <s v="CREDITOR"/>
    <n v="0"/>
    <n v="0"/>
    <n v="0"/>
    <n v="0"/>
    <n v="31.57"/>
  </r>
  <r>
    <n v="60969011"/>
    <s v="N"/>
    <n v="21328040"/>
    <s v="3000015171370002"/>
    <s v="CIVIL"/>
    <d v="2023-06-27T00:00:00"/>
    <d v="2023-07-04T19:00:44"/>
    <m/>
    <d v="2023-07-04T00:00:00"/>
    <n v="917"/>
    <n v="19162"/>
    <s v="60969011"/>
    <s v="60969011"/>
    <m/>
    <m/>
    <n v="22772306"/>
    <m/>
    <m/>
    <m/>
    <s v="SOLFIN"/>
    <s v="SOLFIN"/>
    <s v="CCMS"/>
    <n v="21328040"/>
    <n v="2128.61"/>
    <m/>
    <s v="N"/>
    <n v="11"/>
    <d v="2023-07-04T19:01:02"/>
    <s v="Y"/>
    <s v="Preparation - other"/>
    <s v="Prescribed Hourly Rates"/>
    <s v="Profit Cost"/>
    <s v="DM"/>
    <s v="Y"/>
    <n v="54.9"/>
    <n v="10.98"/>
    <x v="1"/>
    <s v="VALIDATED"/>
    <n v="1"/>
    <s v="01.11.80.307.6100.0000"/>
    <n v="54.9"/>
    <s v="11"/>
    <s v="6100"/>
    <n v="24987.5"/>
    <n v="54.9"/>
    <s v="CREDITOR"/>
    <n v="0"/>
    <n v="0"/>
    <n v="0"/>
    <n v="0"/>
    <n v="54.9"/>
  </r>
  <r>
    <n v="62082498"/>
    <s v="N"/>
    <n v="21320696"/>
    <s v="3000016111640004"/>
    <s v="CIVIL"/>
    <d v="2023-06-28T00:00:00"/>
    <d v="2023-07-03T19:04:52"/>
    <m/>
    <d v="2023-07-03T00:00:00"/>
    <n v="917"/>
    <n v="19162"/>
    <s v="62082498"/>
    <s v="62082498"/>
    <m/>
    <m/>
    <n v="22783068"/>
    <m/>
    <m/>
    <m/>
    <s v="SOLPOA"/>
    <s v="SOLPOA"/>
    <s v="CCMS"/>
    <n v="21320696"/>
    <n v="3074.66"/>
    <m/>
    <s v="N"/>
    <n v="1"/>
    <d v="2023-07-03T19:04:55"/>
    <s v="N"/>
    <s v="Level 3 Fixed Fee"/>
    <s v="Private Law Children"/>
    <s v="Profit Cost"/>
    <s v="DANIEL MAIDEN"/>
    <s v="N"/>
    <n v="2562.22"/>
    <n v="512.4400000000001"/>
    <x v="3"/>
    <s v="VALIDATED"/>
    <n v="1"/>
    <s v="01.11.80.307.2012.0000"/>
    <n v="2562.22"/>
    <s v="11"/>
    <s v="2012"/>
    <n v="24987.5"/>
    <n v="2562.22"/>
    <s v="CREDITOR"/>
    <n v="2562.22"/>
    <n v="640.5549999999999"/>
    <n v="0"/>
    <n v="0"/>
    <n v="0"/>
  </r>
  <r>
    <n v="61546807"/>
    <s v="N"/>
    <n v="21319087"/>
    <s v="3000015661680003"/>
    <s v="CIVIL"/>
    <d v="2023-06-23T00:00:00"/>
    <d v="2023-07-03T19:01:49"/>
    <m/>
    <d v="2023-07-03T00:00:00"/>
    <n v="917"/>
    <n v="19162"/>
    <s v="61546807"/>
    <s v="61546807"/>
    <m/>
    <m/>
    <n v="22754138"/>
    <m/>
    <m/>
    <m/>
    <s v="SOLFIN"/>
    <s v="SOLFIN"/>
    <s v="CCMS"/>
    <n v="21319087"/>
    <n v="3003.37"/>
    <m/>
    <s v="N"/>
    <n v="69"/>
    <d v="2023-07-03T19:02:10"/>
    <s v="Y"/>
    <s v="Preparation - drafting bill/claim f"/>
    <s v="Prescribed Hourly Rates"/>
    <s v="Profit Cost"/>
    <s v="JC"/>
    <s v="Y"/>
    <n v="153.72"/>
    <n v="30.75"/>
    <x v="3"/>
    <s v="VALIDATED"/>
    <n v="1"/>
    <s v="01.11.80.307.6100.0000"/>
    <n v="153.72"/>
    <s v="11"/>
    <s v="6100"/>
    <n v="24987.5"/>
    <n v="153.72"/>
    <s v="CREDITOR"/>
    <n v="0"/>
    <n v="0"/>
    <n v="0"/>
    <n v="0"/>
    <n v="153.72"/>
  </r>
  <r>
    <n v="61196876"/>
    <s v="N"/>
    <n v="21344045"/>
    <s v="3000015373210004"/>
    <s v="CIVIL"/>
    <d v="2023-06-29T00:00:00"/>
    <d v="2023-07-07T19:03:00"/>
    <m/>
    <d v="2023-07-07T00:00:00"/>
    <n v="917"/>
    <n v="19162"/>
    <s v="61196876"/>
    <s v="61196876"/>
    <m/>
    <m/>
    <n v="22785108"/>
    <m/>
    <m/>
    <m/>
    <s v="SOLFIN"/>
    <s v="SOLFIN"/>
    <s v="CCMS"/>
    <n v="21344045"/>
    <n v="4358.58"/>
    <m/>
    <s v="N"/>
    <n v="7"/>
    <d v="2023-07-07T19:03:21"/>
    <s v="Y"/>
    <s v="Final Hearing Court Bundle/Advocate"/>
    <s v="Public Law Children"/>
    <s v="Advocacy"/>
    <s v="DJM"/>
    <s v="Y"/>
    <n v="159.3"/>
    <n v="31.86"/>
    <x v="9"/>
    <s v="VALIDATED"/>
    <n v="1"/>
    <s v="01.11.80.308.6100.0000"/>
    <n v="159.3"/>
    <s v="11"/>
    <s v="6100"/>
    <n v="24987.5"/>
    <n v="159.3"/>
    <s v="CREDITOR"/>
    <n v="0"/>
    <n v="0"/>
    <n v="0"/>
    <n v="0"/>
    <n v="159.3"/>
  </r>
  <r>
    <n v="59629456"/>
    <s v="N"/>
    <n v="21338367"/>
    <s v="3000014027440015"/>
    <s v="CIVIL"/>
    <d v="2023-06-28T00:00:00"/>
    <d v="2023-07-06T19:21:01"/>
    <m/>
    <d v="2023-07-06T00:00:00"/>
    <n v="917"/>
    <n v="19162"/>
    <s v="59629456"/>
    <s v="59629456"/>
    <m/>
    <m/>
    <n v="22776034"/>
    <m/>
    <m/>
    <m/>
    <s v="SOLFIN"/>
    <s v="SOLFIN"/>
    <s v="CCMS"/>
    <n v="21338367"/>
    <n v="17364.08"/>
    <m/>
    <s v="N"/>
    <n v="159"/>
    <d v="2023-07-06T19:21:22"/>
    <s v="Y"/>
    <s v="Preparation - other"/>
    <s v="Care Remuneration Hourly Rates"/>
    <s v="Profit Cost"/>
    <s v="DHH"/>
    <s v="Y"/>
    <n v="29.44"/>
    <n v="5.89"/>
    <x v="4"/>
    <s v="VALIDATED"/>
    <n v="1"/>
    <s v="01.11.80.308.6100.0000"/>
    <n v="29.44"/>
    <s v="11"/>
    <s v="6100"/>
    <n v="24987.5"/>
    <n v="29.44"/>
    <s v="CREDITOR"/>
    <n v="0"/>
    <n v="0"/>
    <n v="0"/>
    <n v="0"/>
    <n v="29.44"/>
  </r>
  <r>
    <n v="59629456"/>
    <s v="N"/>
    <n v="21338367"/>
    <s v="3000014027440015"/>
    <s v="CIVIL"/>
    <d v="2023-06-28T00:00:00"/>
    <d v="2023-07-06T19:21:01"/>
    <m/>
    <d v="2023-07-06T00:00:00"/>
    <n v="917"/>
    <n v="19162"/>
    <s v="59629456"/>
    <s v="59629456"/>
    <m/>
    <m/>
    <n v="22776034"/>
    <m/>
    <m/>
    <m/>
    <s v="SOLFIN"/>
    <s v="SOLFIN"/>
    <s v="CCMS"/>
    <n v="21338367"/>
    <n v="17364.08"/>
    <m/>
    <s v="N"/>
    <n v="50"/>
    <d v="2023-07-06T19:21:22"/>
    <s v="Y"/>
    <s v="Preparation - other"/>
    <s v="Care Remuneration Hourly Rates"/>
    <s v="Profit Cost"/>
    <s v="D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70"/>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86"/>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02"/>
    <d v="2023-07-06T19:21:22"/>
    <s v="Y"/>
    <s v="Preparation - other"/>
    <s v="Care Remuneration Hourly Rates"/>
    <s v="Profit Cost"/>
    <s v="ZM"/>
    <s v="Y"/>
    <n v="22.08"/>
    <n v="4.42"/>
    <x v="4"/>
    <s v="VALIDATED"/>
    <n v="1"/>
    <s v="01.11.80.308.6100.0000"/>
    <n v="22.08"/>
    <s v="11"/>
    <s v="6100"/>
    <n v="24987.5"/>
    <n v="22.08"/>
    <s v="CREDITOR"/>
    <n v="0"/>
    <n v="0"/>
    <n v="0"/>
    <n v="0"/>
    <n v="22.08"/>
  </r>
  <r>
    <n v="60969011"/>
    <s v="N"/>
    <n v="21328040"/>
    <s v="3000015171370002"/>
    <s v="CIVIL"/>
    <d v="2023-06-27T00:00:00"/>
    <d v="2023-07-04T19:00:44"/>
    <m/>
    <d v="2023-07-04T00:00:00"/>
    <n v="917"/>
    <n v="19162"/>
    <s v="60969011"/>
    <s v="60969011"/>
    <m/>
    <m/>
    <n v="22772306"/>
    <m/>
    <m/>
    <m/>
    <s v="SOLFIN"/>
    <s v="SOLFIN"/>
    <s v="CCMS"/>
    <n v="21328040"/>
    <n v="2128.61"/>
    <m/>
    <s v="N"/>
    <n v="29"/>
    <d v="2023-07-04T19:01:02"/>
    <s v="Y"/>
    <s v="Preparation - other"/>
    <s v="Prescribed Hourly Rates"/>
    <s v="Profit Cost"/>
    <s v="DM"/>
    <s v="Y"/>
    <n v="27.45"/>
    <n v="5.49"/>
    <x v="1"/>
    <s v="VALIDATED"/>
    <n v="1"/>
    <s v="01.11.80.307.6100.0000"/>
    <n v="27.45"/>
    <s v="11"/>
    <s v="6100"/>
    <n v="24987.5"/>
    <n v="27.45"/>
    <s v="CREDITOR"/>
    <n v="0"/>
    <n v="0"/>
    <n v="0"/>
    <n v="0"/>
    <n v="27.45"/>
  </r>
  <r>
    <n v="61087371"/>
    <s v="N"/>
    <n v="21349665"/>
    <s v="3000015258150003"/>
    <s v="CIVIL"/>
    <d v="2023-06-28T00:00:00"/>
    <d v="2023-07-10T19:01:40"/>
    <m/>
    <d v="2023-07-10T00:00:00"/>
    <n v="917"/>
    <n v="19162"/>
    <s v="61087371"/>
    <s v="61087371"/>
    <m/>
    <m/>
    <n v="22783936"/>
    <m/>
    <m/>
    <m/>
    <s v="SOLFIN"/>
    <s v="SOLFIN"/>
    <s v="CCMS"/>
    <n v="21349665"/>
    <n v="1736"/>
    <m/>
    <s v="N"/>
    <n v="25"/>
    <d v="2023-07-10T19:01:55"/>
    <s v="Y"/>
    <s v="Preparation - drafting consent orde"/>
    <s v="Prescribed Hourly Rates"/>
    <s v="Profit Cost"/>
    <s v="PH"/>
    <s v="Y"/>
    <n v="32.94"/>
    <n v="6.59"/>
    <x v="2"/>
    <s v="VALIDATED"/>
    <n v="1"/>
    <s v="01.11.80.307.6100.0000"/>
    <n v="32.94"/>
    <s v="11"/>
    <s v="6100"/>
    <n v="24987.5"/>
    <n v="32.94"/>
    <s v="CREDITOR"/>
    <n v="0"/>
    <n v="0"/>
    <n v="0"/>
    <n v="0"/>
    <n v="32.94"/>
  </r>
  <r>
    <n v="59629456"/>
    <s v="N"/>
    <n v="21338367"/>
    <s v="3000014027440015"/>
    <s v="CIVIL"/>
    <d v="2023-06-28T00:00:00"/>
    <d v="2023-07-06T19:21:01"/>
    <m/>
    <d v="2023-07-06T00:00:00"/>
    <n v="917"/>
    <n v="19162"/>
    <s v="59629456"/>
    <s v="59629456"/>
    <m/>
    <m/>
    <n v="22776034"/>
    <m/>
    <m/>
    <m/>
    <s v="SOLFIN"/>
    <s v="SOLFIN"/>
    <s v="CCMS"/>
    <n v="21338367"/>
    <n v="17364.08"/>
    <m/>
    <s v="N"/>
    <n v="95"/>
    <d v="2023-07-06T19:21:22"/>
    <s v="Y"/>
    <s v="Preparation - other"/>
    <s v="Care Remuneration Hourly Rates"/>
    <s v="Profit Cost"/>
    <s v="DHH"/>
    <s v="Y"/>
    <n v="5.26"/>
    <n v="1.05"/>
    <x v="4"/>
    <s v="VALIDATED"/>
    <n v="1"/>
    <s v="01.11.80.308.6100.0000"/>
    <n v="5.26"/>
    <s v="11"/>
    <s v="6100"/>
    <n v="24987.5"/>
    <n v="5.26"/>
    <s v="CREDITOR"/>
    <n v="0"/>
    <n v="0"/>
    <n v="0"/>
    <n v="0"/>
    <n v="5.26"/>
  </r>
  <r>
    <n v="60313374"/>
    <s v="N"/>
    <n v="21338325"/>
    <s v="3000014615690008"/>
    <s v="CIVIL"/>
    <d v="2023-06-28T00:00:00"/>
    <d v="2023-07-06T19:21:01"/>
    <m/>
    <d v="2023-07-06T00:00:00"/>
    <n v="917"/>
    <n v="19162"/>
    <s v="60313374"/>
    <s v="60313374"/>
    <m/>
    <m/>
    <n v="22782652"/>
    <m/>
    <m/>
    <m/>
    <s v="SOLFIN"/>
    <s v="SOLFIN"/>
    <s v="CCMS"/>
    <n v="21338325"/>
    <n v="6871.22"/>
    <m/>
    <s v="N"/>
    <n v="6"/>
    <d v="2023-07-06T19:21:19"/>
    <s v="Y"/>
    <s v="Final Hearing - 1 Day"/>
    <s v="Domestic Abuse"/>
    <s v="Advocacy"/>
    <s v="SO"/>
    <s v="Y"/>
    <n v="361.17"/>
    <n v="72.23999999999999"/>
    <x v="4"/>
    <s v="VALIDATED"/>
    <n v="1"/>
    <s v="01.11.80.307.6100.0000"/>
    <n v="361.17"/>
    <s v="11"/>
    <s v="6100"/>
    <n v="24987.5"/>
    <n v="361.17"/>
    <s v="CREDITOR"/>
    <n v="0"/>
    <n v="0"/>
    <n v="0"/>
    <n v="0"/>
    <n v="361.17"/>
  </r>
  <r>
    <n v="59629456"/>
    <s v="N"/>
    <n v="21338367"/>
    <s v="3000014027440015"/>
    <s v="CIVIL"/>
    <d v="2023-06-28T00:00:00"/>
    <d v="2023-07-06T19:21:01"/>
    <m/>
    <d v="2023-07-06T00:00:00"/>
    <n v="917"/>
    <n v="19162"/>
    <s v="59629456"/>
    <s v="59629456"/>
    <m/>
    <m/>
    <n v="22776034"/>
    <m/>
    <m/>
    <m/>
    <s v="SOLFIN"/>
    <s v="SOLFIN"/>
    <s v="CCMS"/>
    <n v="21338367"/>
    <n v="17364.08"/>
    <m/>
    <s v="N"/>
    <n v="138"/>
    <d v="2023-07-06T19:21:22"/>
    <s v="Y"/>
    <s v="Attendance upon client"/>
    <s v="Care Remuneration Hourly Rates"/>
    <s v="Profit Cost"/>
    <s v="PF"/>
    <s v="Y"/>
    <n v="14.71"/>
    <n v="2.94"/>
    <x v="4"/>
    <s v="VALIDATED"/>
    <n v="1"/>
    <s v="01.11.80.308.6100.0000"/>
    <n v="14.71"/>
    <s v="11"/>
    <s v="6100"/>
    <n v="24987.5"/>
    <n v="14.71"/>
    <s v="CREDITOR"/>
    <n v="0"/>
    <n v="0"/>
    <n v="0"/>
    <n v="0"/>
    <n v="14.71"/>
  </r>
  <r>
    <n v="61546807"/>
    <s v="N"/>
    <n v="21319087"/>
    <s v="3000015661680003"/>
    <s v="CIVIL"/>
    <d v="2023-06-23T00:00:00"/>
    <d v="2023-07-03T19:01:49"/>
    <m/>
    <d v="2023-07-03T00:00:00"/>
    <n v="917"/>
    <n v="19162"/>
    <s v="61546807"/>
    <s v="61546807"/>
    <m/>
    <m/>
    <n v="22754138"/>
    <m/>
    <m/>
    <m/>
    <s v="SOLFIN"/>
    <s v="SOLFIN"/>
    <s v="CCMS"/>
    <n v="21319087"/>
    <n v="3003.37"/>
    <m/>
    <s v="N"/>
    <n v="41"/>
    <d v="2023-07-03T19:02:10"/>
    <s v="Y"/>
    <s v="Attendance upon other"/>
    <s v="Prescribed Hourly Rates"/>
    <s v="Profit Cost"/>
    <s v="EA"/>
    <s v="Y"/>
    <n v="10.98"/>
    <n v="2.2"/>
    <x v="3"/>
    <s v="VALIDATED"/>
    <n v="1"/>
    <s v="01.11.80.307.6100.0000"/>
    <n v="10.98"/>
    <s v="11"/>
    <s v="6100"/>
    <n v="24987.5"/>
    <n v="10.98"/>
    <s v="CREDITOR"/>
    <n v="0"/>
    <n v="0"/>
    <n v="0"/>
    <n v="0"/>
    <n v="10.98"/>
  </r>
  <r>
    <n v="61546807"/>
    <s v="N"/>
    <n v="21319087"/>
    <s v="3000015661680003"/>
    <s v="CIVIL"/>
    <d v="2023-06-23T00:00:00"/>
    <d v="2023-07-03T19:01:49"/>
    <m/>
    <d v="2023-07-03T00:00:00"/>
    <n v="917"/>
    <n v="19162"/>
    <s v="61546807"/>
    <s v="61546807"/>
    <m/>
    <m/>
    <n v="22754138"/>
    <m/>
    <m/>
    <m/>
    <s v="SOLFIN"/>
    <s v="SOLFIN"/>
    <s v="CCMS"/>
    <n v="21319087"/>
    <n v="3003.37"/>
    <m/>
    <s v="N"/>
    <n v="19"/>
    <d v="2023-07-03T19:02:10"/>
    <s v="Y"/>
    <s v="Preparation - other"/>
    <s v="Prescribed Hourly Rates"/>
    <s v="Profit Cost"/>
    <s v="PH"/>
    <s v="Y"/>
    <n v="20.59"/>
    <n v="4.12"/>
    <x v="3"/>
    <s v="VALIDATED"/>
    <n v="1"/>
    <s v="01.11.80.307.6100.0000"/>
    <n v="20.59"/>
    <s v="11"/>
    <s v="6100"/>
    <n v="24987.5"/>
    <n v="20.59"/>
    <s v="CREDITOR"/>
    <n v="0"/>
    <n v="0"/>
    <n v="0"/>
    <n v="0"/>
    <n v="20.59"/>
  </r>
  <r>
    <n v="61546807"/>
    <s v="N"/>
    <n v="21319087"/>
    <s v="3000015661680003"/>
    <s v="CIVIL"/>
    <d v="2023-06-23T00:00:00"/>
    <d v="2023-07-03T19:01:49"/>
    <m/>
    <d v="2023-07-03T00:00:00"/>
    <n v="917"/>
    <n v="19162"/>
    <s v="61546807"/>
    <s v="61546807"/>
    <m/>
    <m/>
    <n v="22754138"/>
    <m/>
    <m/>
    <m/>
    <s v="SOLFIN"/>
    <s v="SOLFIN"/>
    <s v="CCMS"/>
    <n v="21319087"/>
    <n v="3003.37"/>
    <m/>
    <s v="N"/>
    <n v="21"/>
    <d v="2023-07-03T19:02:10"/>
    <s v="Y"/>
    <s v="Preparation - other"/>
    <s v="Prescribed Hourly Rates"/>
    <s v="Profit Cost"/>
    <s v="PH"/>
    <s v="Y"/>
    <n v="6.86"/>
    <n v="1.37"/>
    <x v="3"/>
    <s v="VALIDATED"/>
    <n v="1"/>
    <s v="01.11.80.307.6100.0000"/>
    <n v="6.86"/>
    <s v="11"/>
    <s v="6100"/>
    <n v="24987.5"/>
    <n v="6.86"/>
    <s v="CREDITOR"/>
    <n v="0"/>
    <n v="0"/>
    <n v="0"/>
    <n v="0"/>
    <n v="6.86"/>
  </r>
  <r>
    <n v="59629456"/>
    <s v="N"/>
    <n v="21338367"/>
    <s v="3000014027440015"/>
    <s v="CIVIL"/>
    <d v="2023-06-28T00:00:00"/>
    <d v="2023-07-06T19:21:01"/>
    <m/>
    <d v="2023-07-06T00:00:00"/>
    <n v="917"/>
    <n v="19162"/>
    <s v="59629456"/>
    <s v="59629456"/>
    <m/>
    <m/>
    <n v="22776034"/>
    <m/>
    <m/>
    <m/>
    <s v="SOLFIN"/>
    <s v="SOLFIN"/>
    <s v="CCMS"/>
    <n v="21338367"/>
    <n v="17364.08"/>
    <m/>
    <s v="N"/>
    <n v="40"/>
    <d v="2023-07-06T19:21:22"/>
    <s v="Y"/>
    <s v="Preparation - other"/>
    <s v="Care Remuneration Hourly Rates"/>
    <s v="Profit Cost"/>
    <s v="Z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25"/>
    <d v="2023-07-06T19:21:22"/>
    <s v="Y"/>
    <s v="Preparation - other"/>
    <s v="Care Remuneration Hourly Rates"/>
    <s v="Profit Cost"/>
    <s v="ZM"/>
    <s v="Y"/>
    <n v="7.36"/>
    <n v="1.47"/>
    <x v="4"/>
    <s v="VALIDATED"/>
    <n v="1"/>
    <s v="01.11.80.308.6100.0000"/>
    <n v="7.36"/>
    <s v="11"/>
    <s v="6100"/>
    <n v="24987.5"/>
    <n v="7.36"/>
    <s v="CREDITOR"/>
    <n v="0"/>
    <n v="0"/>
    <n v="0"/>
    <n v="0"/>
    <n v="7.36"/>
  </r>
  <r>
    <n v="61546807"/>
    <s v="N"/>
    <n v="21319087"/>
    <s v="3000015661680003"/>
    <s v="CIVIL"/>
    <d v="2023-06-23T00:00:00"/>
    <d v="2023-07-03T19:01:49"/>
    <m/>
    <d v="2023-07-03T00:00:00"/>
    <n v="917"/>
    <n v="19162"/>
    <s v="61546807"/>
    <s v="61546807"/>
    <m/>
    <m/>
    <n v="22754138"/>
    <m/>
    <m/>
    <m/>
    <s v="SOLFIN"/>
    <s v="SOLFIN"/>
    <s v="CCMS"/>
    <n v="21319087"/>
    <n v="3003.37"/>
    <m/>
    <s v="N"/>
    <n v="47"/>
    <d v="2023-07-03T19:02:10"/>
    <s v="Y"/>
    <s v="Preparation - other"/>
    <s v="Prescribed Hourly Rates"/>
    <s v="Profit Cost"/>
    <s v="PH"/>
    <s v="Y"/>
    <n v="5.49"/>
    <n v="1.1"/>
    <x v="3"/>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35"/>
    <d v="2023-07-06T19:21:22"/>
    <s v="Y"/>
    <s v="Preparation - other"/>
    <s v="Care Remuneration Hourly Rates"/>
    <s v="Profit Cost"/>
    <s v="PF"/>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51"/>
    <d v="2023-07-06T19:21:19"/>
    <s v="Y"/>
    <s v="Preparation - other"/>
    <s v="Prescribed Hourly Rates"/>
    <s v="Profit Cost"/>
    <s v="PH"/>
    <s v="Y"/>
    <n v="5.49"/>
    <n v="1.1"/>
    <x v="4"/>
    <s v="VALIDATED"/>
    <n v="1"/>
    <s v="01.11.80.307.6100.0000"/>
    <n v="5.49"/>
    <s v="11"/>
    <s v="6100"/>
    <n v="24987.5"/>
    <n v="5.49"/>
    <s v="CREDITOR"/>
    <n v="0"/>
    <n v="0"/>
    <n v="0"/>
    <n v="0"/>
    <n v="5.49"/>
  </r>
  <r>
    <n v="59629456"/>
    <s v="N"/>
    <n v="21338367"/>
    <s v="3000014027440015"/>
    <s v="CIVIL"/>
    <d v="2023-06-28T00:00:00"/>
    <d v="2023-07-06T19:21:01"/>
    <m/>
    <d v="2023-07-06T00:00:00"/>
    <n v="917"/>
    <n v="19162"/>
    <s v="59629456"/>
    <s v="59629456"/>
    <m/>
    <m/>
    <n v="22776034"/>
    <m/>
    <m/>
    <m/>
    <s v="SOLFIN"/>
    <s v="SOLFIN"/>
    <s v="CCMS"/>
    <n v="21338367"/>
    <n v="17364.08"/>
    <m/>
    <s v="N"/>
    <n v="179"/>
    <d v="2023-07-06T19:21:22"/>
    <s v="Y"/>
    <s v="Radiologist"/>
    <s v="Care Remuneration Hourly Rates"/>
    <s v="Expert Disbursement"/>
    <s v="XXX"/>
    <s v="Y"/>
    <n v="378"/>
    <n v="0"/>
    <x v="4"/>
    <s v="VALIDATED"/>
    <n v="1"/>
    <s v="01.11.80.308.6300.0000"/>
    <n v="378"/>
    <s v="11"/>
    <s v="6300"/>
    <n v="24987.5"/>
    <n v="378"/>
    <s v="CREDITOR"/>
    <n v="0"/>
    <n v="0"/>
    <n v="0"/>
    <n v="0"/>
    <n v="378"/>
  </r>
  <r>
    <n v="59629456"/>
    <s v="N"/>
    <n v="21338367"/>
    <s v="3000014027440015"/>
    <s v="CIVIL"/>
    <d v="2023-06-28T00:00:00"/>
    <d v="2023-07-06T19:21:01"/>
    <m/>
    <d v="2023-07-06T00:00:00"/>
    <n v="917"/>
    <n v="19162"/>
    <s v="59629456"/>
    <s v="59629456"/>
    <m/>
    <m/>
    <n v="22776034"/>
    <m/>
    <m/>
    <m/>
    <s v="SOLFIN"/>
    <s v="SOLFIN"/>
    <s v="CCMS"/>
    <n v="21338367"/>
    <n v="17364.08"/>
    <m/>
    <s v="N"/>
    <n v="68"/>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04"/>
    <d v="2023-07-06T19:21:22"/>
    <s v="Y"/>
    <s v="Attendance upon client"/>
    <s v="Care Remuneration Hourly Rates"/>
    <s v="Profit Cost"/>
    <s v="ZM"/>
    <s v="Y"/>
    <n v="58.88"/>
    <n v="11.78"/>
    <x v="4"/>
    <s v="VALIDATED"/>
    <n v="1"/>
    <s v="01.11.80.308.6100.0000"/>
    <n v="58.88"/>
    <s v="11"/>
    <s v="6100"/>
    <n v="24987.5"/>
    <n v="58.88"/>
    <s v="CREDITOR"/>
    <n v="0"/>
    <n v="0"/>
    <n v="0"/>
    <n v="0"/>
    <n v="58.88"/>
  </r>
  <r>
    <n v="59629456"/>
    <s v="N"/>
    <n v="21338367"/>
    <s v="3000014027440015"/>
    <s v="CIVIL"/>
    <d v="2023-06-28T00:00:00"/>
    <d v="2023-07-06T19:21:01"/>
    <m/>
    <d v="2023-07-06T00:00:00"/>
    <n v="917"/>
    <n v="19162"/>
    <s v="59629456"/>
    <s v="59629456"/>
    <m/>
    <m/>
    <n v="22776034"/>
    <m/>
    <m/>
    <m/>
    <s v="SOLFIN"/>
    <s v="SOLFIN"/>
    <s v="CCMS"/>
    <n v="21338367"/>
    <n v="17364.08"/>
    <m/>
    <s v="N"/>
    <n v="119"/>
    <d v="2023-07-06T19:21:22"/>
    <s v="Y"/>
    <s v="Preparation - other"/>
    <s v="Care Remuneration Hourly Rates"/>
    <s v="Profit Cost"/>
    <s v="ZM"/>
    <s v="Y"/>
    <n v="36.81"/>
    <n v="7.36"/>
    <x v="4"/>
    <s v="VALIDATED"/>
    <n v="1"/>
    <s v="01.11.80.308.6100.0000"/>
    <n v="36.81"/>
    <s v="11"/>
    <s v="6100"/>
    <n v="24987.5"/>
    <n v="36.81"/>
    <s v="CREDITOR"/>
    <n v="0"/>
    <n v="0"/>
    <n v="0"/>
    <n v="0"/>
    <n v="36.81"/>
  </r>
  <r>
    <n v="61087371"/>
    <s v="N"/>
    <n v="21349665"/>
    <s v="3000015258150003"/>
    <s v="CIVIL"/>
    <d v="2023-06-28T00:00:00"/>
    <d v="2023-07-10T19:01:40"/>
    <m/>
    <d v="2023-07-10T00:00:00"/>
    <n v="917"/>
    <n v="19162"/>
    <s v="61087371"/>
    <s v="61087371"/>
    <m/>
    <m/>
    <n v="22783936"/>
    <m/>
    <m/>
    <m/>
    <s v="SOLFIN"/>
    <s v="SOLFIN"/>
    <s v="CCMS"/>
    <n v="21349665"/>
    <n v="1736"/>
    <m/>
    <s v="N"/>
    <n v="45"/>
    <d v="2023-07-10T19:01:55"/>
    <s v="Y"/>
    <s v="Preparation - drafting bill/claim f"/>
    <s v="Prescribed Hourly Rates"/>
    <s v="Profit Cost"/>
    <s v="CD"/>
    <s v="Y"/>
    <n v="71.37"/>
    <n v="14.28"/>
    <x v="2"/>
    <s v="VALIDATED"/>
    <n v="1"/>
    <s v="01.11.80.307.6100.0000"/>
    <n v="71.37"/>
    <s v="11"/>
    <s v="6100"/>
    <n v="24987.5"/>
    <n v="71.37"/>
    <s v="CREDITOR"/>
    <n v="0"/>
    <n v="0"/>
    <n v="0"/>
    <n v="0"/>
    <n v="71.37"/>
  </r>
  <r>
    <n v="59629456"/>
    <s v="N"/>
    <n v="21338367"/>
    <s v="3000014027440015"/>
    <s v="CIVIL"/>
    <d v="2023-06-28T00:00:00"/>
    <d v="2023-07-06T19:21:01"/>
    <m/>
    <d v="2023-07-06T00:00:00"/>
    <n v="917"/>
    <n v="19162"/>
    <s v="59629456"/>
    <s v="59629456"/>
    <m/>
    <m/>
    <n v="22776034"/>
    <m/>
    <m/>
    <m/>
    <s v="SOLFIN"/>
    <s v="SOLFIN"/>
    <s v="CCMS"/>
    <n v="21338367"/>
    <n v="17364.08"/>
    <m/>
    <s v="N"/>
    <n v="36"/>
    <d v="2023-07-06T19:21:22"/>
    <s v="Y"/>
    <s v="Attendance upon client"/>
    <s v="Care Remuneration Hourly Rates"/>
    <s v="Profit Cost"/>
    <s v="ZM"/>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42"/>
    <d v="2023-07-06T19:21:22"/>
    <s v="Y"/>
    <s v="Preparation - other"/>
    <s v="Care Remuneration Hourly Rates"/>
    <s v="Profit Cost"/>
    <s v="ZM"/>
    <s v="Y"/>
    <n v="22.08"/>
    <n v="4.42"/>
    <x v="4"/>
    <s v="VALIDATED"/>
    <n v="1"/>
    <s v="01.11.80.308.6100.0000"/>
    <n v="22.08"/>
    <s v="11"/>
    <s v="6100"/>
    <n v="24987.5"/>
    <n v="22.08"/>
    <s v="CREDITOR"/>
    <n v="0"/>
    <n v="0"/>
    <n v="0"/>
    <n v="0"/>
    <n v="22.08"/>
  </r>
  <r>
    <n v="60313374"/>
    <s v="N"/>
    <n v="21338325"/>
    <s v="3000014615690008"/>
    <s v="CIVIL"/>
    <d v="2023-06-28T00:00:00"/>
    <d v="2023-07-06T19:21:01"/>
    <m/>
    <d v="2023-07-06T00:00:00"/>
    <n v="917"/>
    <n v="19162"/>
    <s v="60313374"/>
    <s v="60313374"/>
    <m/>
    <m/>
    <n v="22782652"/>
    <m/>
    <m/>
    <m/>
    <s v="SOLFIN"/>
    <s v="SOLFIN"/>
    <s v="CCMS"/>
    <n v="21338325"/>
    <n v="6871.22"/>
    <m/>
    <s v="N"/>
    <n v="30"/>
    <d v="2023-07-06T19:21:19"/>
    <s v="Y"/>
    <s v="Attendance upon client"/>
    <s v="Prescribed Hourly Rates"/>
    <s v="Profit Cost"/>
    <s v="PH"/>
    <s v="Y"/>
    <n v="25.25"/>
    <n v="5.05"/>
    <x v="4"/>
    <s v="VALIDATED"/>
    <n v="1"/>
    <s v="01.11.80.307.6100.0000"/>
    <n v="25.25"/>
    <s v="11"/>
    <s v="6100"/>
    <n v="24987.5"/>
    <n v="25.25"/>
    <s v="CREDITOR"/>
    <n v="0"/>
    <n v="0"/>
    <n v="0"/>
    <n v="0"/>
    <n v="25.25"/>
  </r>
  <r>
    <n v="59629456"/>
    <s v="N"/>
    <n v="21338367"/>
    <s v="3000014027440015"/>
    <s v="CIVIL"/>
    <d v="2023-06-28T00:00:00"/>
    <d v="2023-07-06T19:21:01"/>
    <m/>
    <d v="2023-07-06T00:00:00"/>
    <n v="917"/>
    <n v="19162"/>
    <s v="59629456"/>
    <s v="59629456"/>
    <m/>
    <m/>
    <n v="22776034"/>
    <m/>
    <m/>
    <m/>
    <s v="SOLFIN"/>
    <s v="SOLFIN"/>
    <s v="CCMS"/>
    <n v="21338367"/>
    <n v="17364.08"/>
    <m/>
    <s v="N"/>
    <n v="118"/>
    <d v="2023-07-06T19:21:22"/>
    <s v="Y"/>
    <s v="Preparation - other"/>
    <s v="Care Remuneration Hourly Rates"/>
    <s v="Profit Cost"/>
    <s v="ZM"/>
    <s v="Y"/>
    <n v="147.2"/>
    <n v="29.44"/>
    <x v="4"/>
    <s v="VALIDATED"/>
    <n v="1"/>
    <s v="01.11.80.308.6100.0000"/>
    <n v="147.2"/>
    <s v="11"/>
    <s v="6100"/>
    <n v="24987.5"/>
    <n v="147.2"/>
    <s v="CREDITOR"/>
    <n v="0"/>
    <n v="0"/>
    <n v="0"/>
    <n v="0"/>
    <n v="147.2"/>
  </r>
  <r>
    <n v="60313374"/>
    <s v="N"/>
    <n v="21338325"/>
    <s v="3000014615690008"/>
    <s v="CIVIL"/>
    <d v="2023-06-28T00:00:00"/>
    <d v="2023-07-06T19:21:01"/>
    <m/>
    <d v="2023-07-06T00:00:00"/>
    <n v="917"/>
    <n v="19162"/>
    <s v="60313374"/>
    <s v="60313374"/>
    <m/>
    <m/>
    <n v="22782652"/>
    <m/>
    <m/>
    <m/>
    <s v="SOLFIN"/>
    <s v="SOLFIN"/>
    <s v="CCMS"/>
    <n v="21338325"/>
    <n v="6871.22"/>
    <m/>
    <s v="N"/>
    <n v="96"/>
    <d v="2023-07-06T19:21:19"/>
    <s v="Y"/>
    <s v="Preparation - other"/>
    <s v="Prescribed Hourly Rates"/>
    <s v="Profit Cost"/>
    <s v="PH"/>
    <s v="Y"/>
    <n v="10.98"/>
    <n v="2.2"/>
    <x v="4"/>
    <s v="VALIDATED"/>
    <n v="1"/>
    <s v="01.11.80.307.6100.0000"/>
    <n v="10.98"/>
    <s v="11"/>
    <s v="6100"/>
    <n v="24987.5"/>
    <n v="10.98"/>
    <s v="CREDITOR"/>
    <n v="0"/>
    <n v="0"/>
    <n v="0"/>
    <n v="0"/>
    <n v="10.98"/>
  </r>
  <r>
    <n v="60969011"/>
    <s v="N"/>
    <n v="21328040"/>
    <s v="3000015171370002"/>
    <s v="CIVIL"/>
    <d v="2023-06-27T00:00:00"/>
    <d v="2023-07-04T19:00:44"/>
    <m/>
    <d v="2023-07-04T00:00:00"/>
    <n v="917"/>
    <n v="19162"/>
    <s v="60969011"/>
    <s v="60969011"/>
    <m/>
    <m/>
    <n v="22772306"/>
    <m/>
    <m/>
    <m/>
    <s v="SOLFIN"/>
    <s v="SOLFIN"/>
    <s v="CCMS"/>
    <n v="21328040"/>
    <n v="2128.61"/>
    <m/>
    <s v="N"/>
    <n v="32"/>
    <d v="2023-07-04T19:01:02"/>
    <s v="Y"/>
    <s v="Routine Letter Out"/>
    <s v="Prescribed Hourly Rates"/>
    <s v="Profit Cost"/>
    <s v="DM"/>
    <s v="Y"/>
    <n v="324"/>
    <n v="64.8"/>
    <x v="1"/>
    <s v="VALIDATED"/>
    <n v="1"/>
    <s v="01.11.80.307.6100.0000"/>
    <n v="324"/>
    <s v="11"/>
    <s v="6100"/>
    <n v="24987.5"/>
    <n v="324"/>
    <s v="CREDITOR"/>
    <n v="0"/>
    <n v="0"/>
    <n v="0"/>
    <n v="0"/>
    <n v="324"/>
  </r>
  <r>
    <n v="60969011"/>
    <s v="N"/>
    <n v="21328040"/>
    <s v="3000015171370002"/>
    <s v="CIVIL"/>
    <d v="2023-06-27T00:00:00"/>
    <d v="2023-07-04T19:00:44"/>
    <m/>
    <d v="2023-07-04T00:00:00"/>
    <n v="917"/>
    <n v="19162"/>
    <s v="60969011"/>
    <s v="60969011"/>
    <m/>
    <m/>
    <n v="22772306"/>
    <m/>
    <m/>
    <m/>
    <s v="SOLFIN"/>
    <s v="SOLFIN"/>
    <s v="CCMS"/>
    <n v="21328040"/>
    <n v="2128.61"/>
    <m/>
    <s v="N"/>
    <n v="22"/>
    <d v="2023-07-04T19:01:02"/>
    <s v="Y"/>
    <s v="Preparation - other"/>
    <s v="Prescribed Hourly Rates"/>
    <s v="Profit Cost"/>
    <s v="DM"/>
    <s v="Y"/>
    <n v="16.47"/>
    <n v="3.29"/>
    <x v="1"/>
    <s v="VALIDATED"/>
    <n v="1"/>
    <s v="01.11.80.307.6100.0000"/>
    <n v="16.47"/>
    <s v="11"/>
    <s v="6100"/>
    <n v="24987.5"/>
    <n v="16.47"/>
    <s v="CREDITOR"/>
    <n v="0"/>
    <n v="0"/>
    <n v="0"/>
    <n v="0"/>
    <n v="16.47"/>
  </r>
  <r>
    <n v="61087371"/>
    <s v="N"/>
    <n v="21349665"/>
    <s v="3000015258150003"/>
    <s v="CIVIL"/>
    <d v="2023-06-28T00:00:00"/>
    <d v="2023-07-10T19:01:40"/>
    <m/>
    <d v="2023-07-10T00:00:00"/>
    <n v="917"/>
    <n v="19162"/>
    <s v="61087371"/>
    <s v="61087371"/>
    <m/>
    <m/>
    <n v="22783936"/>
    <m/>
    <m/>
    <m/>
    <s v="SOLFIN"/>
    <s v="SOLFIN"/>
    <s v="CCMS"/>
    <n v="21349665"/>
    <n v="1736"/>
    <m/>
    <s v="N"/>
    <n v="4"/>
    <d v="2023-07-10T19:01:55"/>
    <s v="Y"/>
    <s v="Attendance upon client"/>
    <s v="Prescribed Hourly Rates"/>
    <s v="Profit Cost"/>
    <s v="PH"/>
    <s v="Y"/>
    <n v="85.64"/>
    <n v="17.13"/>
    <x v="2"/>
    <s v="VALIDATED"/>
    <n v="1"/>
    <s v="01.11.80.307.6100.0000"/>
    <n v="85.64"/>
    <s v="11"/>
    <s v="6100"/>
    <n v="24987.5"/>
    <n v="85.64"/>
    <s v="CREDITOR"/>
    <n v="0"/>
    <n v="0"/>
    <n v="0"/>
    <n v="0"/>
    <n v="85.64"/>
  </r>
  <r>
    <n v="60313374"/>
    <s v="N"/>
    <n v="21338325"/>
    <s v="3000014615690008"/>
    <s v="CIVIL"/>
    <d v="2023-06-28T00:00:00"/>
    <d v="2023-07-06T19:21:01"/>
    <m/>
    <d v="2023-07-06T00:00:00"/>
    <n v="917"/>
    <n v="19162"/>
    <s v="60313374"/>
    <s v="60313374"/>
    <m/>
    <m/>
    <n v="22782652"/>
    <m/>
    <m/>
    <m/>
    <s v="SOLFIN"/>
    <s v="SOLFIN"/>
    <s v="CCMS"/>
    <n v="21338325"/>
    <n v="6871.22"/>
    <m/>
    <s v="N"/>
    <n v="73"/>
    <d v="2023-07-06T19:21:19"/>
    <s v="Y"/>
    <s v="Attendance upon client"/>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89"/>
    <d v="2023-07-06T19:21:22"/>
    <s v="Y"/>
    <s v="Preparation - other"/>
    <s v="Care Remuneration Hourly Rates"/>
    <s v="Profit Cost"/>
    <s v="ZM"/>
    <s v="Y"/>
    <n v="36.81"/>
    <n v="7.36"/>
    <x v="4"/>
    <s v="VALIDATED"/>
    <n v="1"/>
    <s v="01.11.80.308.6100.0000"/>
    <n v="36.81"/>
    <s v="11"/>
    <s v="6100"/>
    <n v="24987.5"/>
    <n v="36.81"/>
    <s v="CREDITOR"/>
    <n v="0"/>
    <n v="0"/>
    <n v="0"/>
    <n v="0"/>
    <n v="36.81"/>
  </r>
  <r>
    <n v="59629456"/>
    <s v="N"/>
    <n v="21338367"/>
    <s v="3000014027440015"/>
    <s v="CIVIL"/>
    <d v="2023-06-28T00:00:00"/>
    <d v="2023-07-06T19:21:01"/>
    <m/>
    <d v="2023-07-06T00:00:00"/>
    <n v="917"/>
    <n v="19162"/>
    <s v="59629456"/>
    <s v="59629456"/>
    <m/>
    <m/>
    <n v="22776034"/>
    <m/>
    <m/>
    <m/>
    <s v="SOLFIN"/>
    <s v="SOLFIN"/>
    <s v="CCMS"/>
    <n v="21338367"/>
    <n v="17364.08"/>
    <m/>
    <s v="N"/>
    <n v="98"/>
    <d v="2023-07-06T19:21:22"/>
    <s v="Y"/>
    <s v="Preparation - other"/>
    <s v="Care Remuneration Hourly Rates"/>
    <s v="Profit Cost"/>
    <s v="PF"/>
    <s v="Y"/>
    <n v="294.39"/>
    <n v="58.88"/>
    <x v="4"/>
    <s v="VALIDATED"/>
    <n v="1"/>
    <s v="01.11.80.308.6100.0000"/>
    <n v="294.39"/>
    <s v="11"/>
    <s v="6100"/>
    <n v="24987.5"/>
    <n v="294.39"/>
    <s v="CREDITOR"/>
    <n v="0"/>
    <n v="0"/>
    <n v="0"/>
    <n v="0"/>
    <n v="294.39"/>
  </r>
  <r>
    <n v="61087371"/>
    <s v="N"/>
    <n v="21349665"/>
    <s v="3000015258150003"/>
    <s v="CIVIL"/>
    <d v="2023-06-28T00:00:00"/>
    <d v="2023-07-10T19:01:40"/>
    <m/>
    <d v="2023-07-10T00:00:00"/>
    <n v="917"/>
    <n v="19162"/>
    <s v="61087371"/>
    <s v="61087371"/>
    <m/>
    <m/>
    <n v="22783936"/>
    <m/>
    <m/>
    <m/>
    <s v="SOLFIN"/>
    <s v="SOLFIN"/>
    <s v="CCMS"/>
    <n v="21349665"/>
    <n v="1736"/>
    <m/>
    <s v="N"/>
    <n v="21"/>
    <d v="2023-07-10T19:01:55"/>
    <s v="Y"/>
    <s v="Preparation - drafting attendance n"/>
    <s v="Prescribed Hourly Rates"/>
    <s v="Profit Cost"/>
    <s v="PH"/>
    <s v="Y"/>
    <n v="6.59"/>
    <n v="1.32"/>
    <x v="2"/>
    <s v="VALIDATED"/>
    <n v="1"/>
    <s v="01.11.80.307.6100.0000"/>
    <n v="6.59"/>
    <s v="11"/>
    <s v="6100"/>
    <n v="24987.5"/>
    <n v="6.59"/>
    <s v="CREDITOR"/>
    <n v="0"/>
    <n v="0"/>
    <n v="0"/>
    <n v="0"/>
    <n v="6.59"/>
  </r>
  <r>
    <n v="61087371"/>
    <s v="N"/>
    <n v="21349665"/>
    <s v="3000015258150003"/>
    <s v="CIVIL"/>
    <d v="2023-06-28T00:00:00"/>
    <d v="2023-07-10T19:01:40"/>
    <m/>
    <d v="2023-07-10T00:00:00"/>
    <n v="917"/>
    <n v="19162"/>
    <s v="61087371"/>
    <s v="61087371"/>
    <m/>
    <m/>
    <n v="22783936"/>
    <m/>
    <m/>
    <m/>
    <s v="SOLFIN"/>
    <s v="SOLFIN"/>
    <s v="CCMS"/>
    <n v="21349665"/>
    <n v="1736"/>
    <m/>
    <s v="N"/>
    <n v="35"/>
    <d v="2023-07-10T19:01:55"/>
    <s v="Y"/>
    <s v="Preparation - other"/>
    <s v="Prescribed Hourly Rates"/>
    <s v="Profit Cost"/>
    <s v="PH"/>
    <s v="Y"/>
    <n v="6.59"/>
    <n v="1.32"/>
    <x v="2"/>
    <s v="VALIDATED"/>
    <n v="1"/>
    <s v="01.11.80.307.6100.0000"/>
    <n v="6.59"/>
    <s v="11"/>
    <s v="6100"/>
    <n v="24987.5"/>
    <n v="6.59"/>
    <s v="CREDITOR"/>
    <n v="0"/>
    <n v="0"/>
    <n v="0"/>
    <n v="0"/>
    <n v="6.59"/>
  </r>
  <r>
    <n v="61196876"/>
    <s v="N"/>
    <n v="21344045"/>
    <s v="3000015373210004"/>
    <s v="CIVIL"/>
    <d v="2023-06-29T00:00:00"/>
    <d v="2023-07-07T19:03:00"/>
    <m/>
    <d v="2023-07-07T00:00:00"/>
    <n v="917"/>
    <n v="19162"/>
    <s v="61196876"/>
    <s v="61196876"/>
    <m/>
    <m/>
    <n v="22785108"/>
    <m/>
    <m/>
    <m/>
    <s v="SOLFIN"/>
    <s v="SOLFIN"/>
    <s v="CCMS"/>
    <n v="21344045"/>
    <n v="4358.58"/>
    <m/>
    <s v="N"/>
    <n v="1"/>
    <d v="2023-07-07T19:03:21"/>
    <s v="Y"/>
    <s v="Solicitors Fixed Fee"/>
    <s v="Public Law Children"/>
    <s v="Profit Cost"/>
    <s v="XXX"/>
    <s v="Y"/>
    <n v="2300"/>
    <n v="460"/>
    <x v="9"/>
    <s v="VALIDATED"/>
    <n v="1"/>
    <s v="01.11.80.308.6100.0000"/>
    <n v="2300"/>
    <s v="11"/>
    <s v="6100"/>
    <n v="24987.5"/>
    <n v="2300"/>
    <s v="CREDITOR"/>
    <n v="0"/>
    <n v="0"/>
    <n v="0"/>
    <n v="0"/>
    <n v="2300"/>
  </r>
  <r>
    <n v="59629456"/>
    <s v="N"/>
    <n v="21338367"/>
    <s v="3000014027440015"/>
    <s v="CIVIL"/>
    <d v="2023-06-28T00:00:00"/>
    <d v="2023-07-06T19:21:01"/>
    <m/>
    <d v="2023-07-06T00:00:00"/>
    <n v="917"/>
    <n v="19162"/>
    <s v="59629456"/>
    <s v="59629456"/>
    <m/>
    <m/>
    <n v="22776034"/>
    <m/>
    <m/>
    <m/>
    <s v="SOLFIN"/>
    <s v="SOLFIN"/>
    <s v="CCMS"/>
    <n v="21338367"/>
    <n v="17364.08"/>
    <m/>
    <s v="N"/>
    <n v="48"/>
    <d v="2023-07-06T19:21:22"/>
    <s v="Y"/>
    <s v="Attendance upon client"/>
    <s v="Care Remuneration Hourly Rates"/>
    <s v="Profit Cost"/>
    <s v="ZM"/>
    <s v="Y"/>
    <n v="51.52"/>
    <n v="10.3"/>
    <x v="4"/>
    <s v="VALIDATED"/>
    <n v="1"/>
    <s v="01.11.80.308.6100.0000"/>
    <n v="51.52"/>
    <s v="11"/>
    <s v="6100"/>
    <n v="24987.5"/>
    <n v="51.52"/>
    <s v="CREDITOR"/>
    <n v="0"/>
    <n v="0"/>
    <n v="0"/>
    <n v="0"/>
    <n v="51.52"/>
  </r>
  <r>
    <n v="59629456"/>
    <s v="N"/>
    <n v="21338367"/>
    <s v="3000014027440015"/>
    <s v="CIVIL"/>
    <d v="2023-06-28T00:00:00"/>
    <d v="2023-07-06T19:21:01"/>
    <m/>
    <d v="2023-07-06T00:00:00"/>
    <n v="917"/>
    <n v="19162"/>
    <s v="59629456"/>
    <s v="59629456"/>
    <m/>
    <m/>
    <n v="22776034"/>
    <m/>
    <m/>
    <m/>
    <s v="SOLFIN"/>
    <s v="SOLFIN"/>
    <s v="CCMS"/>
    <n v="21338367"/>
    <n v="17364.08"/>
    <m/>
    <s v="N"/>
    <n v="175"/>
    <d v="2023-07-06T19:21:22"/>
    <s v="Y"/>
    <s v="Routine Letter In"/>
    <s v="Care Remuneration Hourly Rates"/>
    <s v="Profit Cost"/>
    <s v="ZM"/>
    <s v="Y"/>
    <n v="1038.22"/>
    <n v="207.71"/>
    <x v="4"/>
    <s v="VALIDATED"/>
    <n v="1"/>
    <s v="01.11.80.308.6100.0000"/>
    <n v="1038.22"/>
    <s v="11"/>
    <s v="6100"/>
    <n v="24987.5"/>
    <n v="1038.22"/>
    <s v="CREDITOR"/>
    <n v="0"/>
    <n v="0"/>
    <n v="0"/>
    <n v="0"/>
    <n v="1038.22"/>
  </r>
  <r>
    <n v="60313374"/>
    <s v="N"/>
    <n v="21338325"/>
    <s v="3000014615690008"/>
    <s v="CIVIL"/>
    <d v="2023-06-28T00:00:00"/>
    <d v="2023-07-06T19:21:01"/>
    <m/>
    <d v="2023-07-06T00:00:00"/>
    <n v="917"/>
    <n v="19162"/>
    <s v="60313374"/>
    <s v="60313374"/>
    <m/>
    <m/>
    <n v="22782652"/>
    <m/>
    <m/>
    <m/>
    <s v="SOLFIN"/>
    <s v="SOLFIN"/>
    <s v="CCMS"/>
    <n v="21338325"/>
    <n v="6871.22"/>
    <m/>
    <s v="N"/>
    <n v="74"/>
    <d v="2023-07-06T19:21:19"/>
    <s v="Y"/>
    <s v="Attendance upon client"/>
    <s v="Prescribed Hourly Rates"/>
    <s v="Profit Cost"/>
    <s v="PH"/>
    <s v="Y"/>
    <n v="25.25"/>
    <n v="5.05"/>
    <x v="4"/>
    <s v="VALIDATED"/>
    <n v="1"/>
    <s v="01.11.80.307.6100.0000"/>
    <n v="25.25"/>
    <s v="11"/>
    <s v="6100"/>
    <n v="24987.5"/>
    <n v="25.25"/>
    <s v="CREDITOR"/>
    <n v="0"/>
    <n v="0"/>
    <n v="0"/>
    <n v="0"/>
    <n v="25.25"/>
  </r>
  <r>
    <n v="59629456"/>
    <s v="N"/>
    <n v="21338367"/>
    <s v="3000014027440015"/>
    <s v="CIVIL"/>
    <d v="2023-06-28T00:00:00"/>
    <d v="2023-07-06T19:21:01"/>
    <m/>
    <d v="2023-07-06T00:00:00"/>
    <n v="917"/>
    <n v="19162"/>
    <s v="59629456"/>
    <s v="59629456"/>
    <m/>
    <m/>
    <n v="22776034"/>
    <m/>
    <m/>
    <m/>
    <s v="SOLFIN"/>
    <s v="SOLFIN"/>
    <s v="CCMS"/>
    <n v="21338367"/>
    <n v="17364.08"/>
    <m/>
    <s v="N"/>
    <n v="129"/>
    <d v="2023-07-06T19:21:22"/>
    <s v="Y"/>
    <s v="Attendance upon client"/>
    <s v="Care Remuneration Hourly Rates"/>
    <s v="Profit Cost"/>
    <s v="DHH"/>
    <s v="Y"/>
    <n v="14.71"/>
    <n v="2.94"/>
    <x v="4"/>
    <s v="VALIDATED"/>
    <n v="1"/>
    <s v="01.11.80.308.6100.0000"/>
    <n v="14.71"/>
    <s v="11"/>
    <s v="6100"/>
    <n v="24987.5"/>
    <n v="14.71"/>
    <s v="CREDITOR"/>
    <n v="0"/>
    <n v="0"/>
    <n v="0"/>
    <n v="0"/>
    <n v="14.71"/>
  </r>
  <r>
    <n v="60313374"/>
    <s v="N"/>
    <n v="21338325"/>
    <s v="3000014615690008"/>
    <s v="CIVIL"/>
    <d v="2023-06-28T00:00:00"/>
    <d v="2023-07-06T19:21:01"/>
    <m/>
    <d v="2023-07-06T00:00:00"/>
    <n v="917"/>
    <n v="19162"/>
    <s v="60313374"/>
    <s v="60313374"/>
    <m/>
    <m/>
    <n v="22782652"/>
    <m/>
    <m/>
    <m/>
    <s v="SOLFIN"/>
    <s v="SOLFIN"/>
    <s v="CCMS"/>
    <n v="21338325"/>
    <n v="6871.22"/>
    <m/>
    <s v="N"/>
    <n v="16"/>
    <d v="2023-07-06T19:21:19"/>
    <s v="Y"/>
    <s v="Attendance upon client"/>
    <s v="Prescribed Hourly Rates"/>
    <s v="Profit Cost"/>
    <s v="PH"/>
    <s v="Y"/>
    <n v="18.94"/>
    <n v="3.79"/>
    <x v="4"/>
    <s v="VALIDATED"/>
    <n v="1"/>
    <s v="01.11.80.307.6100.0000"/>
    <n v="18.94"/>
    <s v="11"/>
    <s v="6100"/>
    <n v="24987.5"/>
    <n v="18.94"/>
    <s v="CREDITOR"/>
    <n v="0"/>
    <n v="0"/>
    <n v="0"/>
    <n v="0"/>
    <n v="18.94"/>
  </r>
  <r>
    <n v="60313374"/>
    <s v="N"/>
    <n v="21338325"/>
    <s v="3000014615690008"/>
    <s v="CIVIL"/>
    <d v="2023-06-28T00:00:00"/>
    <d v="2023-07-06T19:21:01"/>
    <m/>
    <d v="2023-07-06T00:00:00"/>
    <n v="917"/>
    <n v="19162"/>
    <s v="60313374"/>
    <s v="60313374"/>
    <m/>
    <m/>
    <n v="22782652"/>
    <m/>
    <m/>
    <m/>
    <s v="SOLFIN"/>
    <s v="SOLFIN"/>
    <s v="CCMS"/>
    <n v="21338325"/>
    <n v="6871.22"/>
    <m/>
    <s v="N"/>
    <n v="87"/>
    <d v="2023-07-06T19:21:19"/>
    <s v="Y"/>
    <s v="Preparation - other"/>
    <s v="Prescribed Hourly Rates"/>
    <s v="Profit Cost"/>
    <s v="PH"/>
    <s v="Y"/>
    <n v="16.47"/>
    <n v="3.29"/>
    <x v="4"/>
    <s v="VALIDATED"/>
    <n v="1"/>
    <s v="01.11.80.307.6100.0000"/>
    <n v="16.47"/>
    <s v="11"/>
    <s v="6100"/>
    <n v="24987.5"/>
    <n v="16.47"/>
    <s v="CREDITOR"/>
    <n v="0"/>
    <n v="0"/>
    <n v="0"/>
    <n v="0"/>
    <n v="16.47"/>
  </r>
  <r>
    <n v="59629456"/>
    <s v="N"/>
    <n v="21338367"/>
    <s v="3000014027440015"/>
    <s v="CIVIL"/>
    <d v="2023-06-28T00:00:00"/>
    <d v="2023-07-06T19:21:01"/>
    <m/>
    <d v="2023-07-06T00:00:00"/>
    <n v="917"/>
    <n v="19162"/>
    <s v="59629456"/>
    <s v="59629456"/>
    <m/>
    <m/>
    <n v="22776034"/>
    <m/>
    <m/>
    <m/>
    <s v="SOLFIN"/>
    <s v="SOLFIN"/>
    <s v="CCMS"/>
    <n v="21338367"/>
    <n v="17364.08"/>
    <m/>
    <s v="N"/>
    <n v="143"/>
    <d v="2023-07-06T19:21:22"/>
    <s v="Y"/>
    <s v="Advocacy - In court behind counsel"/>
    <s v="Care Remuneration Hourly Rates"/>
    <s v="Advocacy"/>
    <s v="DHH"/>
    <s v="Y"/>
    <n v="67.62"/>
    <n v="13.52"/>
    <x v="4"/>
    <s v="VALIDATED"/>
    <n v="1"/>
    <s v="01.11.80.308.6100.0000"/>
    <n v="67.62"/>
    <s v="11"/>
    <s v="6100"/>
    <n v="24987.5"/>
    <n v="67.62"/>
    <s v="CREDITOR"/>
    <n v="0"/>
    <n v="0"/>
    <n v="0"/>
    <n v="0"/>
    <n v="67.62"/>
  </r>
  <r>
    <n v="59629456"/>
    <s v="N"/>
    <n v="21338367"/>
    <s v="3000014027440015"/>
    <s v="CIVIL"/>
    <d v="2023-06-28T00:00:00"/>
    <d v="2023-07-06T19:21:01"/>
    <m/>
    <d v="2023-07-06T00:00:00"/>
    <n v="917"/>
    <n v="19162"/>
    <s v="59629456"/>
    <s v="59629456"/>
    <m/>
    <m/>
    <n v="22776034"/>
    <m/>
    <m/>
    <m/>
    <s v="SOLFIN"/>
    <s v="SOLFIN"/>
    <s v="CCMS"/>
    <n v="21338367"/>
    <n v="17364.08"/>
    <m/>
    <s v="N"/>
    <n v="28"/>
    <d v="2023-07-06T19:21:22"/>
    <s v="Y"/>
    <s v="Preparation - other"/>
    <s v="Care Remuneration Hourly Rates"/>
    <s v="Profit Cost"/>
    <s v="ZM"/>
    <s v="Y"/>
    <n v="7.36"/>
    <n v="1.47"/>
    <x v="4"/>
    <s v="VALIDATED"/>
    <n v="1"/>
    <s v="01.11.80.308.6100.0000"/>
    <n v="7.36"/>
    <s v="11"/>
    <s v="6100"/>
    <n v="24987.5"/>
    <n v="7.36"/>
    <s v="CREDITOR"/>
    <n v="0"/>
    <n v="0"/>
    <n v="0"/>
    <n v="0"/>
    <n v="7.36"/>
  </r>
  <r>
    <n v="60969011"/>
    <s v="N"/>
    <n v="21328040"/>
    <s v="3000015171370002"/>
    <s v="CIVIL"/>
    <d v="2023-06-27T00:00:00"/>
    <d v="2023-07-04T19:00:44"/>
    <m/>
    <d v="2023-07-04T00:00:00"/>
    <n v="917"/>
    <n v="19162"/>
    <s v="60969011"/>
    <s v="60969011"/>
    <m/>
    <m/>
    <n v="22772306"/>
    <m/>
    <m/>
    <m/>
    <s v="SOLFIN"/>
    <s v="SOLFIN"/>
    <s v="CCMS"/>
    <n v="21328040"/>
    <n v="2128.61"/>
    <m/>
    <s v="N"/>
    <n v="25"/>
    <d v="2023-07-04T19:01:02"/>
    <s v="Y"/>
    <s v="Preparation - other"/>
    <s v="Prescribed Hourly Rates"/>
    <s v="Profit Cost"/>
    <s v="DM"/>
    <s v="Y"/>
    <n v="27.45"/>
    <n v="5.49"/>
    <x v="1"/>
    <s v="VALIDATED"/>
    <n v="1"/>
    <s v="01.11.80.307.6100.0000"/>
    <n v="27.45"/>
    <s v="11"/>
    <s v="6100"/>
    <n v="24987.5"/>
    <n v="27.45"/>
    <s v="CREDITOR"/>
    <n v="0"/>
    <n v="0"/>
    <n v="0"/>
    <n v="0"/>
    <n v="27.45"/>
  </r>
  <r>
    <n v="61546807"/>
    <s v="N"/>
    <n v="21319087"/>
    <s v="3000015661680003"/>
    <s v="CIVIL"/>
    <d v="2023-06-23T00:00:00"/>
    <d v="2023-07-03T19:01:49"/>
    <m/>
    <d v="2023-07-03T00:00:00"/>
    <n v="917"/>
    <n v="19162"/>
    <s v="61546807"/>
    <s v="61546807"/>
    <m/>
    <m/>
    <n v="22754138"/>
    <m/>
    <m/>
    <m/>
    <s v="SOLFIN"/>
    <s v="SOLFIN"/>
    <s v="CCMS"/>
    <n v="21319087"/>
    <n v="3003.37"/>
    <m/>
    <s v="N"/>
    <n v="39"/>
    <d v="2023-07-03T19:02:10"/>
    <s v="Y"/>
    <s v="Preparation - other"/>
    <s v="Prescribed Hourly Rates"/>
    <s v="Profit Cost"/>
    <s v="PH"/>
    <s v="Y"/>
    <n v="13.73"/>
    <n v="2.75"/>
    <x v="3"/>
    <s v="VALIDATED"/>
    <n v="1"/>
    <s v="01.11.80.307.6100.0000"/>
    <n v="13.73"/>
    <s v="11"/>
    <s v="6100"/>
    <n v="24987.5"/>
    <n v="13.73"/>
    <s v="CREDITOR"/>
    <n v="0"/>
    <n v="0"/>
    <n v="0"/>
    <n v="0"/>
    <n v="13.73"/>
  </r>
  <r>
    <n v="61087371"/>
    <s v="N"/>
    <n v="21349665"/>
    <s v="3000015258150003"/>
    <s v="CIVIL"/>
    <d v="2023-06-28T00:00:00"/>
    <d v="2023-07-10T19:01:40"/>
    <m/>
    <d v="2023-07-10T00:00:00"/>
    <n v="917"/>
    <n v="19162"/>
    <s v="61087371"/>
    <s v="61087371"/>
    <m/>
    <m/>
    <n v="22783936"/>
    <m/>
    <m/>
    <m/>
    <s v="SOLFIN"/>
    <s v="SOLFIN"/>
    <s v="CCMS"/>
    <n v="21349665"/>
    <n v="1736"/>
    <m/>
    <s v="N"/>
    <n v="29"/>
    <d v="2023-07-10T19:01:55"/>
    <s v="Y"/>
    <s v="Attendance upon client"/>
    <s v="Prescribed Hourly Rates"/>
    <s v="Profit Cost"/>
    <s v="PH"/>
    <s v="Y"/>
    <n v="13.18"/>
    <n v="2.64"/>
    <x v="2"/>
    <s v="VALIDATED"/>
    <n v="1"/>
    <s v="01.11.80.307.6100.0000"/>
    <n v="13.18"/>
    <s v="11"/>
    <s v="6100"/>
    <n v="24987.5"/>
    <n v="13.18"/>
    <s v="CREDITOR"/>
    <n v="0"/>
    <n v="0"/>
    <n v="0"/>
    <n v="0"/>
    <n v="13.18"/>
  </r>
  <r>
    <n v="59629456"/>
    <s v="N"/>
    <n v="21338367"/>
    <s v="3000014027440015"/>
    <s v="CIVIL"/>
    <d v="2023-06-28T00:00:00"/>
    <d v="2023-07-06T19:21:01"/>
    <m/>
    <d v="2023-07-06T00:00:00"/>
    <n v="917"/>
    <n v="19162"/>
    <s v="59629456"/>
    <s v="59629456"/>
    <m/>
    <m/>
    <n v="22776034"/>
    <m/>
    <m/>
    <m/>
    <s v="SOLFIN"/>
    <s v="SOLFIN"/>
    <s v="CCMS"/>
    <n v="21338367"/>
    <n v="17364.08"/>
    <m/>
    <s v="N"/>
    <n v="154"/>
    <d v="2023-07-06T19:21:22"/>
    <s v="Y"/>
    <s v="Advocacy - In court behind counsel"/>
    <s v="Care Remuneration Hourly Rates"/>
    <s v="Advocacy"/>
    <s v="DHH"/>
    <s v="Y"/>
    <n v="41.16"/>
    <n v="8.23"/>
    <x v="4"/>
    <s v="VALIDATED"/>
    <n v="1"/>
    <s v="01.11.80.308.6100.0000"/>
    <n v="41.16"/>
    <s v="11"/>
    <s v="6100"/>
    <n v="24987.5"/>
    <n v="41.16"/>
    <s v="CREDITOR"/>
    <n v="0"/>
    <n v="0"/>
    <n v="0"/>
    <n v="0"/>
    <n v="41.16"/>
  </r>
  <r>
    <n v="59629456"/>
    <s v="N"/>
    <n v="21338367"/>
    <s v="3000014027440015"/>
    <s v="CIVIL"/>
    <d v="2023-06-28T00:00:00"/>
    <d v="2023-07-06T19:21:01"/>
    <m/>
    <d v="2023-07-06T00:00:00"/>
    <n v="917"/>
    <n v="19162"/>
    <s v="59629456"/>
    <s v="59629456"/>
    <m/>
    <m/>
    <n v="22776034"/>
    <m/>
    <m/>
    <m/>
    <s v="SOLFIN"/>
    <s v="SOLFIN"/>
    <s v="CCMS"/>
    <n v="21338367"/>
    <n v="17364.08"/>
    <m/>
    <s v="N"/>
    <n v="59"/>
    <d v="2023-07-06T19:21:22"/>
    <s v="Y"/>
    <s v="Preparation - other"/>
    <s v="Care Remuneration Hourly Rates"/>
    <s v="Profit Cost"/>
    <s v="ZM"/>
    <s v="Y"/>
    <n v="36.81"/>
    <n v="7.36"/>
    <x v="4"/>
    <s v="VALIDATED"/>
    <n v="1"/>
    <s v="01.11.80.308.6100.0000"/>
    <n v="36.81"/>
    <s v="11"/>
    <s v="6100"/>
    <n v="24987.5"/>
    <n v="36.81"/>
    <s v="CREDITOR"/>
    <n v="0"/>
    <n v="0"/>
    <n v="0"/>
    <n v="0"/>
    <n v="36.81"/>
  </r>
  <r>
    <n v="60313374"/>
    <s v="N"/>
    <n v="21338325"/>
    <s v="3000014615690008"/>
    <s v="CIVIL"/>
    <d v="2023-06-28T00:00:00"/>
    <d v="2023-07-06T19:21:01"/>
    <m/>
    <d v="2023-07-06T00:00:00"/>
    <n v="917"/>
    <n v="19162"/>
    <s v="60313374"/>
    <s v="60313374"/>
    <m/>
    <m/>
    <n v="22782652"/>
    <m/>
    <m/>
    <m/>
    <s v="SOLFIN"/>
    <s v="SOLFIN"/>
    <s v="CCMS"/>
    <n v="21338325"/>
    <n v="6871.22"/>
    <m/>
    <s v="N"/>
    <n v="63"/>
    <d v="2023-07-06T19:21:19"/>
    <s v="Y"/>
    <s v="Attendance upon client"/>
    <s v="Prescribed Hourly Rates"/>
    <s v="Profit Cost"/>
    <s v="PH"/>
    <s v="Y"/>
    <n v="12.63"/>
    <n v="2.53"/>
    <x v="4"/>
    <s v="VALIDATED"/>
    <n v="1"/>
    <s v="01.11.80.307.6100.0000"/>
    <n v="12.63"/>
    <s v="11"/>
    <s v="6100"/>
    <n v="24987.5"/>
    <n v="12.63"/>
    <s v="CREDITOR"/>
    <n v="0"/>
    <n v="0"/>
    <n v="0"/>
    <n v="0"/>
    <n v="12.63"/>
  </r>
  <r>
    <n v="59629456"/>
    <s v="N"/>
    <n v="21338367"/>
    <s v="3000014027440015"/>
    <s v="CIVIL"/>
    <d v="2023-06-28T00:00:00"/>
    <d v="2023-07-06T19:21:01"/>
    <m/>
    <d v="2023-07-06T00:00:00"/>
    <n v="917"/>
    <n v="19162"/>
    <s v="59629456"/>
    <s v="59629456"/>
    <m/>
    <m/>
    <n v="22776034"/>
    <m/>
    <m/>
    <m/>
    <s v="SOLFIN"/>
    <s v="SOLFIN"/>
    <s v="CCMS"/>
    <n v="21338367"/>
    <n v="17364.08"/>
    <m/>
    <s v="N"/>
    <n v="94"/>
    <d v="2023-07-06T19:21:22"/>
    <s v="Y"/>
    <s v="Preparation - other"/>
    <s v="Care Remuneration Hourly Rates"/>
    <s v="Profit Cost"/>
    <s v="Z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105"/>
    <d v="2023-07-06T19:21:22"/>
    <s v="Y"/>
    <s v="Attendance upon client"/>
    <s v="Care Remuneration Hourly Rates"/>
    <s v="Profit Cost"/>
    <s v="ZM"/>
    <s v="Y"/>
    <n v="73.59999999999999"/>
    <n v="14.72"/>
    <x v="4"/>
    <s v="VALIDATED"/>
    <n v="1"/>
    <s v="01.11.80.308.6100.0000"/>
    <n v="73.59999999999999"/>
    <s v="11"/>
    <s v="6100"/>
    <n v="24987.5"/>
    <n v="73.59999999999999"/>
    <s v="CREDITOR"/>
    <n v="0"/>
    <n v="0"/>
    <n v="0"/>
    <n v="0"/>
    <n v="73.59999999999999"/>
  </r>
  <r>
    <n v="59629456"/>
    <s v="N"/>
    <n v="21338367"/>
    <s v="3000014027440015"/>
    <s v="CIVIL"/>
    <d v="2023-06-28T00:00:00"/>
    <d v="2023-07-06T19:21:01"/>
    <m/>
    <d v="2023-07-06T00:00:00"/>
    <n v="917"/>
    <n v="19162"/>
    <s v="59629456"/>
    <s v="59629456"/>
    <m/>
    <m/>
    <n v="22776034"/>
    <m/>
    <m/>
    <m/>
    <s v="SOLFIN"/>
    <s v="SOLFIN"/>
    <s v="CCMS"/>
    <n v="21338367"/>
    <n v="17364.08"/>
    <m/>
    <s v="N"/>
    <n v="108"/>
    <d v="2023-07-06T19:21:22"/>
    <s v="Y"/>
    <s v="Preparation - other"/>
    <s v="Care Remuneration Hourly Rates"/>
    <s v="Profit Cost"/>
    <s v="ZM"/>
    <s v="Y"/>
    <n v="44.16"/>
    <n v="8.83"/>
    <x v="4"/>
    <s v="VALIDATED"/>
    <n v="1"/>
    <s v="01.11.80.308.6100.0000"/>
    <n v="44.16"/>
    <s v="11"/>
    <s v="6100"/>
    <n v="24987.5"/>
    <n v="44.16"/>
    <s v="CREDITOR"/>
    <n v="0"/>
    <n v="0"/>
    <n v="0"/>
    <n v="0"/>
    <n v="44.16"/>
  </r>
  <r>
    <n v="59629456"/>
    <s v="N"/>
    <n v="21338367"/>
    <s v="3000014027440015"/>
    <s v="CIVIL"/>
    <d v="2023-06-28T00:00:00"/>
    <d v="2023-07-06T19:21:01"/>
    <m/>
    <d v="2023-07-06T00:00:00"/>
    <n v="917"/>
    <n v="19162"/>
    <s v="59629456"/>
    <s v="59629456"/>
    <m/>
    <m/>
    <n v="22776034"/>
    <m/>
    <m/>
    <m/>
    <s v="SOLFIN"/>
    <s v="SOLFIN"/>
    <s v="CCMS"/>
    <n v="21338367"/>
    <n v="17364.08"/>
    <m/>
    <s v="N"/>
    <n v="26"/>
    <d v="2023-07-06T19:21:22"/>
    <s v="Y"/>
    <s v="Preparation - other"/>
    <s v="Care Remuneration Hourly Rates"/>
    <s v="Profit Cost"/>
    <s v="DM"/>
    <s v="Y"/>
    <n v="7.36"/>
    <n v="1.47"/>
    <x v="4"/>
    <s v="VALIDATED"/>
    <n v="1"/>
    <s v="01.11.80.308.6100.0000"/>
    <n v="7.36"/>
    <s v="11"/>
    <s v="6100"/>
    <n v="24987.5"/>
    <n v="7.36"/>
    <s v="CREDITOR"/>
    <n v="0"/>
    <n v="0"/>
    <n v="0"/>
    <n v="0"/>
    <n v="7.36"/>
  </r>
  <r>
    <n v="59629456"/>
    <s v="N"/>
    <n v="21338367"/>
    <s v="3000014027440015"/>
    <s v="CIVIL"/>
    <d v="2023-06-28T00:00:00"/>
    <d v="2023-07-06T19:21:01"/>
    <m/>
    <d v="2023-07-06T00:00:00"/>
    <n v="917"/>
    <n v="19162"/>
    <s v="59629456"/>
    <s v="59629456"/>
    <m/>
    <m/>
    <n v="22776034"/>
    <m/>
    <m/>
    <m/>
    <s v="SOLFIN"/>
    <s v="SOLFIN"/>
    <s v="CCMS"/>
    <n v="21338367"/>
    <n v="17364.08"/>
    <m/>
    <s v="N"/>
    <n v="33"/>
    <d v="2023-07-06T19:21:22"/>
    <s v="Y"/>
    <s v="Preparation - other"/>
    <s v="Care Remuneration Hourly Rates"/>
    <s v="Profit Cost"/>
    <s v="ZM"/>
    <s v="Y"/>
    <n v="14.71"/>
    <n v="2.94"/>
    <x v="4"/>
    <s v="VALIDATED"/>
    <n v="1"/>
    <s v="01.11.80.308.6100.0000"/>
    <n v="14.71"/>
    <s v="11"/>
    <s v="6100"/>
    <n v="24987.5"/>
    <n v="14.71"/>
    <s v="CREDITOR"/>
    <n v="0"/>
    <n v="0"/>
    <n v="0"/>
    <n v="0"/>
    <n v="14.71"/>
  </r>
  <r>
    <n v="59629456"/>
    <s v="N"/>
    <n v="21338367"/>
    <s v="3000014027440015"/>
    <s v="CIVIL"/>
    <d v="2023-06-28T00:00:00"/>
    <d v="2023-07-06T19:21:01"/>
    <m/>
    <d v="2023-07-06T00:00:00"/>
    <n v="917"/>
    <n v="19162"/>
    <s v="59629456"/>
    <s v="59629456"/>
    <m/>
    <m/>
    <n v="22776034"/>
    <m/>
    <m/>
    <m/>
    <s v="SOLFIN"/>
    <s v="SOLFIN"/>
    <s v="CCMS"/>
    <n v="21338367"/>
    <n v="17364.08"/>
    <m/>
    <s v="N"/>
    <n v="164"/>
    <d v="2023-07-06T19:21:22"/>
    <s v="Y"/>
    <s v="Preparation - other"/>
    <s v="Care Remuneration Hourly Rates"/>
    <s v="Profit Cost"/>
    <s v="PF"/>
    <s v="Y"/>
    <n v="7.36"/>
    <n v="1.47"/>
    <x v="4"/>
    <s v="VALIDATED"/>
    <n v="1"/>
    <s v="01.11.80.308.6100.0000"/>
    <n v="7.36"/>
    <s v="11"/>
    <s v="6100"/>
    <n v="24987.5"/>
    <n v="7.36"/>
    <s v="CREDITOR"/>
    <n v="0"/>
    <n v="0"/>
    <n v="0"/>
    <n v="0"/>
    <n v="7.36"/>
  </r>
  <r>
    <n v="60313374"/>
    <s v="N"/>
    <n v="21338325"/>
    <s v="3000014615690008"/>
    <s v="CIVIL"/>
    <d v="2023-06-28T00:00:00"/>
    <d v="2023-07-06T19:21:01"/>
    <m/>
    <d v="2023-07-06T00:00:00"/>
    <n v="917"/>
    <n v="19162"/>
    <s v="60313374"/>
    <s v="60313374"/>
    <m/>
    <m/>
    <n v="22782652"/>
    <m/>
    <m/>
    <m/>
    <s v="SOLFIN"/>
    <s v="SOLFIN"/>
    <s v="CCMS"/>
    <n v="21338325"/>
    <n v="6871.22"/>
    <m/>
    <s v="N"/>
    <n v="47"/>
    <d v="2023-07-06T19:21:19"/>
    <s v="Y"/>
    <s v="Attendance upon client"/>
    <s v="Prescribed Hourly Rates"/>
    <s v="Profit Cost"/>
    <s v="PH"/>
    <s v="Y"/>
    <n v="25.25"/>
    <n v="5.05"/>
    <x v="4"/>
    <s v="VALIDATED"/>
    <n v="1"/>
    <s v="01.11.80.307.6100.0000"/>
    <n v="25.25"/>
    <s v="11"/>
    <s v="6100"/>
    <n v="24987.5"/>
    <n v="25.25"/>
    <s v="CREDITOR"/>
    <n v="0"/>
    <n v="0"/>
    <n v="0"/>
    <n v="0"/>
    <n v="25.25"/>
  </r>
  <r>
    <n v="60313374"/>
    <s v="N"/>
    <n v="21338325"/>
    <s v="3000014615690008"/>
    <s v="CIVIL"/>
    <d v="2023-06-28T00:00:00"/>
    <d v="2023-07-06T19:21:01"/>
    <m/>
    <d v="2023-07-06T00:00:00"/>
    <n v="917"/>
    <n v="19162"/>
    <s v="60313374"/>
    <s v="60313374"/>
    <m/>
    <m/>
    <n v="22782652"/>
    <m/>
    <m/>
    <m/>
    <s v="SOLFIN"/>
    <s v="SOLFIN"/>
    <s v="CCMS"/>
    <n v="21338325"/>
    <n v="6871.22"/>
    <m/>
    <s v="N"/>
    <n v="28"/>
    <d v="2023-07-06T19:21:19"/>
    <s v="Y"/>
    <s v="Attendance upon client"/>
    <s v="Prescribed Hourly Rates"/>
    <s v="Profit Cost"/>
    <s v="PH"/>
    <s v="Y"/>
    <n v="37.88"/>
    <n v="7.58"/>
    <x v="4"/>
    <s v="VALIDATED"/>
    <n v="1"/>
    <s v="01.11.80.307.6100.0000"/>
    <n v="37.88"/>
    <s v="11"/>
    <s v="6100"/>
    <n v="24987.5"/>
    <n v="37.88"/>
    <s v="CREDITOR"/>
    <n v="0"/>
    <n v="0"/>
    <n v="0"/>
    <n v="0"/>
    <n v="37.88"/>
  </r>
  <r>
    <n v="60313374"/>
    <s v="N"/>
    <n v="21338325"/>
    <s v="3000014615690008"/>
    <s v="CIVIL"/>
    <d v="2023-06-28T00:00:00"/>
    <d v="2023-07-06T19:21:01"/>
    <m/>
    <d v="2023-07-06T00:00:00"/>
    <n v="917"/>
    <n v="19162"/>
    <s v="60313374"/>
    <s v="60313374"/>
    <m/>
    <m/>
    <n v="22782652"/>
    <m/>
    <m/>
    <m/>
    <s v="SOLFIN"/>
    <s v="SOLFIN"/>
    <s v="CCMS"/>
    <n v="21338325"/>
    <n v="6871.22"/>
    <m/>
    <s v="N"/>
    <n v="5"/>
    <d v="2023-07-06T19:21:19"/>
    <s v="Y"/>
    <s v="Hearing Unit 0.00 - 1.00 Hours"/>
    <s v="Domestic Abuse"/>
    <s v="Advocacy"/>
    <s v="PH"/>
    <s v="Y"/>
    <n v="81.5"/>
    <n v="16.3"/>
    <x v="4"/>
    <s v="VALIDATED"/>
    <n v="1"/>
    <s v="01.11.80.307.6100.0000"/>
    <n v="81.5"/>
    <s v="11"/>
    <s v="6100"/>
    <n v="24987.5"/>
    <n v="81.5"/>
    <s v="CREDITOR"/>
    <n v="0"/>
    <n v="0"/>
    <n v="0"/>
    <n v="0"/>
    <n v="81.5"/>
  </r>
  <r>
    <n v="14064052"/>
    <s v="N"/>
    <n v="21349905"/>
    <s v="3000007298400008"/>
    <s v="CIVIL"/>
    <d v="2023-06-29T00:00:00"/>
    <d v="2023-07-10T19:01:40"/>
    <m/>
    <d v="2023-07-10T00:00:00"/>
    <n v="924"/>
    <n v="2281"/>
    <s v="14064052"/>
    <s v="14064052"/>
    <m/>
    <m/>
    <n v="22788366"/>
    <m/>
    <m/>
    <m/>
    <s v="SOLFIN"/>
    <s v="SOLFIN"/>
    <s v="CCMS"/>
    <n v="21349905"/>
    <n v="4899.44"/>
    <m/>
    <s v="N"/>
    <n v="43"/>
    <d v="2023-07-10T19:02:03"/>
    <s v="Y"/>
    <s v="Preparation - other"/>
    <s v="Prescribed Hourly Rates"/>
    <s v="Profit Cost"/>
    <s v="CD"/>
    <s v="Y"/>
    <n v="27.45"/>
    <n v="5.49"/>
    <x v="2"/>
    <s v="VALIDATED"/>
    <n v="1"/>
    <s v="01.11.80.302.6100.0000"/>
    <n v="27.45"/>
    <s v="11"/>
    <s v="6100"/>
    <n v="43154.65"/>
    <n v="27.45"/>
    <s v="CREDITOR"/>
    <n v="0"/>
    <n v="0"/>
    <n v="0"/>
    <n v="0"/>
    <n v="27.45"/>
  </r>
  <r>
    <n v="8647673"/>
    <s v="N"/>
    <n v="21349284"/>
    <s v="3000004688890022"/>
    <s v="CIVIL"/>
    <d v="2023-06-27T00:00:00"/>
    <d v="2023-07-10T19:01:40"/>
    <m/>
    <d v="2023-07-10T00:00:00"/>
    <n v="924"/>
    <n v="2281"/>
    <s v="8647673"/>
    <s v="8647673"/>
    <m/>
    <m/>
    <n v="22771220"/>
    <m/>
    <m/>
    <m/>
    <s v="SOLFIN"/>
    <s v="SOLFIN"/>
    <s v="CCMS"/>
    <n v="21349284"/>
    <n v="14502.62"/>
    <m/>
    <s v="N"/>
    <n v="56"/>
    <d v="2023-07-10T19:01:43"/>
    <s v="Y"/>
    <s v="Preparation - other"/>
    <s v="Prescribed Hourly Rates"/>
    <s v="Profit Cost"/>
    <s v="ROS"/>
    <s v="Y"/>
    <n v="37.06"/>
    <n v="7.41"/>
    <x v="2"/>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114"/>
    <d v="2023-07-10T19:01:43"/>
    <s v="Y"/>
    <s v="Preparation - other"/>
    <s v="Prescribed Hourly Rates"/>
    <s v="Profit Cost"/>
    <s v="CD"/>
    <s v="Y"/>
    <n v="10.98"/>
    <n v="2.2"/>
    <x v="2"/>
    <s v="VALIDATED"/>
    <n v="1"/>
    <s v="01.11.80.307.6100.0000"/>
    <n v="10.98"/>
    <s v="11"/>
    <s v="6100"/>
    <n v="43154.65"/>
    <n v="10.98"/>
    <s v="CREDITOR"/>
    <n v="0"/>
    <n v="0"/>
    <n v="0"/>
    <n v="0"/>
    <n v="10.98"/>
  </r>
  <r>
    <n v="11594527"/>
    <s v="N"/>
    <n v="21337864"/>
    <s v="3000006991410004"/>
    <s v="CIVIL"/>
    <d v="2023-06-27T00:00:00"/>
    <d v="2023-07-06T19:21:01"/>
    <m/>
    <d v="2023-07-06T00:00:00"/>
    <n v="924"/>
    <n v="2281"/>
    <s v="11594527"/>
    <s v="11594527"/>
    <m/>
    <m/>
    <n v="22768496"/>
    <m/>
    <m/>
    <m/>
    <s v="SOLFIN"/>
    <s v="SOLFIN"/>
    <s v="CCMS"/>
    <n v="21337864"/>
    <n v="6756.82"/>
    <m/>
    <s v="N"/>
    <n v="69"/>
    <d v="2023-07-06T19:21:09"/>
    <s v="Y"/>
    <s v="Preparation - other"/>
    <s v="Prescribed Hourly Rates"/>
    <s v="Profit Cost"/>
    <s v="RS"/>
    <s v="Y"/>
    <n v="6.31"/>
    <n v="1.26"/>
    <x v="4"/>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20"/>
    <d v="2023-07-11T11:51:09"/>
    <s v="Y"/>
    <s v="Attendance upon client"/>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12"/>
    <d v="2023-07-11T11:51:09"/>
    <s v="Y"/>
    <s v="Preparation - other"/>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31"/>
    <d v="2023-07-11T11:51:09"/>
    <s v="Y"/>
    <s v="Preparation - other"/>
    <s v="Prescribed Hourly Rates"/>
    <s v="Profit Cost"/>
    <s v="RS"/>
    <s v="Y"/>
    <n v="6.31"/>
    <n v="1.26"/>
    <x v="7"/>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64"/>
    <d v="2023-07-10T19:02:09"/>
    <s v="Y"/>
    <s v="Preparation - other"/>
    <s v="Prescribed Hourly Rates"/>
    <s v="Profit Cost"/>
    <s v="RS"/>
    <s v="Y"/>
    <n v="185.29"/>
    <n v="37.06"/>
    <x v="2"/>
    <s v="VALIDATED"/>
    <n v="1"/>
    <s v="01.11.80.307.6100.0000"/>
    <n v="185.29"/>
    <s v="11"/>
    <s v="6100"/>
    <n v="43154.65"/>
    <n v="185.29"/>
    <s v="CREDITOR"/>
    <n v="0"/>
    <n v="0"/>
    <n v="0"/>
    <n v="0"/>
    <n v="185.29"/>
  </r>
  <r>
    <n v="61313803"/>
    <s v="N"/>
    <n v="21350025"/>
    <s v="3000015470000008"/>
    <s v="CIVIL"/>
    <d v="2023-06-29T00:00:00"/>
    <d v="2023-07-10T19:01:40"/>
    <m/>
    <d v="2023-07-10T00:00:00"/>
    <n v="924"/>
    <n v="2281"/>
    <s v="61313803"/>
    <s v="61313803"/>
    <m/>
    <m/>
    <n v="22789528"/>
    <m/>
    <m/>
    <m/>
    <s v="SOLFIN"/>
    <s v="SOLFIN"/>
    <s v="CCMS"/>
    <n v="21350025"/>
    <n v="6800.74"/>
    <m/>
    <s v="N"/>
    <n v="24"/>
    <d v="2023-07-10T19:02:09"/>
    <s v="Y"/>
    <s v="Preparation - other"/>
    <s v="Prescribed Hourly Rates"/>
    <s v="Profit Cost"/>
    <s v="NPM"/>
    <s v="Y"/>
    <n v="10.98"/>
    <n v="2.2"/>
    <x v="2"/>
    <s v="VALIDATED"/>
    <n v="1"/>
    <s v="01.11.80.307.6100.0000"/>
    <n v="10.98"/>
    <s v="11"/>
    <s v="6100"/>
    <n v="43154.65"/>
    <n v="10.98"/>
    <s v="CREDITOR"/>
    <n v="0"/>
    <n v="0"/>
    <n v="0"/>
    <n v="0"/>
    <n v="10.98"/>
  </r>
  <r>
    <n v="61313803"/>
    <s v="N"/>
    <n v="21350025"/>
    <s v="3000015470000008"/>
    <s v="CIVIL"/>
    <d v="2023-06-29T00:00:00"/>
    <d v="2023-07-10T19:01:40"/>
    <m/>
    <d v="2023-07-10T00:00:00"/>
    <n v="924"/>
    <n v="2281"/>
    <s v="61313803"/>
    <s v="61313803"/>
    <m/>
    <m/>
    <n v="22789528"/>
    <m/>
    <m/>
    <m/>
    <s v="SOLFIN"/>
    <s v="SOLFIN"/>
    <s v="CCMS"/>
    <n v="21350025"/>
    <n v="6800.74"/>
    <m/>
    <s v="N"/>
    <n v="30"/>
    <d v="2023-07-10T19:02:09"/>
    <s v="Y"/>
    <s v="Preparation - other"/>
    <s v="Prescribed Hourly Rates"/>
    <s v="Profit Cost"/>
    <s v="RS"/>
    <s v="Y"/>
    <n v="222.35"/>
    <n v="44.47"/>
    <x v="2"/>
    <s v="VALIDATED"/>
    <n v="1"/>
    <s v="01.11.80.307.6100.0000"/>
    <n v="222.35"/>
    <s v="11"/>
    <s v="6100"/>
    <n v="43154.65"/>
    <n v="222.35"/>
    <s v="CREDITOR"/>
    <n v="0"/>
    <n v="0"/>
    <n v="0"/>
    <n v="0"/>
    <n v="222.35"/>
  </r>
  <r>
    <n v="61313803"/>
    <s v="N"/>
    <n v="21350025"/>
    <s v="3000015470000008"/>
    <s v="CIVIL"/>
    <d v="2023-06-29T00:00:00"/>
    <d v="2023-07-10T19:01:40"/>
    <m/>
    <d v="2023-07-10T00:00:00"/>
    <n v="924"/>
    <n v="2281"/>
    <s v="61313803"/>
    <s v="61313803"/>
    <m/>
    <m/>
    <n v="22789528"/>
    <m/>
    <m/>
    <m/>
    <s v="SOLFIN"/>
    <s v="SOLFIN"/>
    <s v="CCMS"/>
    <n v="21350025"/>
    <n v="6800.74"/>
    <m/>
    <s v="N"/>
    <n v="48"/>
    <d v="2023-07-10T19:02:09"/>
    <s v="Y"/>
    <s v="Preparation - other"/>
    <s v="Prescribed Hourly Rates"/>
    <s v="Profit Cost"/>
    <s v="RS"/>
    <s v="Y"/>
    <n v="6.31"/>
    <n v="1.26"/>
    <x v="2"/>
    <s v="VALIDATED"/>
    <n v="1"/>
    <s v="01.11.80.307.6100.0000"/>
    <n v="6.31"/>
    <s v="11"/>
    <s v="6100"/>
    <n v="43154.65"/>
    <n v="6.31"/>
    <s v="CREDITOR"/>
    <n v="0"/>
    <n v="0"/>
    <n v="0"/>
    <n v="0"/>
    <n v="6.31"/>
  </r>
  <r>
    <n v="8647673"/>
    <s v="N"/>
    <n v="21349284"/>
    <s v="3000004688890022"/>
    <s v="CIVIL"/>
    <d v="2023-06-27T00:00:00"/>
    <d v="2023-07-10T19:01:40"/>
    <m/>
    <d v="2023-07-10T00:00:00"/>
    <n v="924"/>
    <n v="2281"/>
    <s v="8647673"/>
    <s v="8647673"/>
    <m/>
    <m/>
    <n v="22771220"/>
    <m/>
    <m/>
    <m/>
    <s v="SOLFIN"/>
    <s v="SOLFIN"/>
    <s v="CCMS"/>
    <n v="21349284"/>
    <n v="14502.62"/>
    <m/>
    <s v="N"/>
    <n v="23"/>
    <d v="2023-07-10T19:01:43"/>
    <s v="Y"/>
    <s v="Preparation - other"/>
    <s v="Prescribed Hourly Rates"/>
    <s v="Profit Cost"/>
    <s v="ROS"/>
    <s v="Y"/>
    <n v="6.31"/>
    <n v="1.26"/>
    <x v="2"/>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94"/>
    <d v="2023-07-06T19:21:09"/>
    <s v="Y"/>
    <s v="Routine Letter Out"/>
    <s v="Prescribed Hourly Rates"/>
    <s v="Profit Cost"/>
    <s v="RS"/>
    <s v="Y"/>
    <n v="726.5700000000001"/>
    <n v="145.37"/>
    <x v="4"/>
    <s v="VALIDATED"/>
    <n v="1"/>
    <s v="01.11.80.307.6100.0000"/>
    <n v="726.5700000000001"/>
    <s v="11"/>
    <s v="6100"/>
    <n v="43154.65"/>
    <n v="726.5700000000001"/>
    <s v="CREDITOR"/>
    <n v="0"/>
    <n v="0"/>
    <n v="0"/>
    <n v="0"/>
    <n v="726.5700000000001"/>
  </r>
  <r>
    <n v="60950874"/>
    <s v="N"/>
    <n v="21360551"/>
    <s v="3000015160760008"/>
    <s v="CIVIL"/>
    <d v="2023-06-30T00:00:00"/>
    <d v="2023-07-11T11:50:54"/>
    <m/>
    <d v="2023-07-11T00:00:00"/>
    <n v="924"/>
    <n v="2281"/>
    <s v="60950874"/>
    <s v="60950874"/>
    <m/>
    <m/>
    <n v="22794622"/>
    <m/>
    <m/>
    <m/>
    <s v="SOLFIN"/>
    <s v="SOLFIN"/>
    <s v="CCMS"/>
    <n v="21360551"/>
    <n v="11550.02"/>
    <m/>
    <s v="N"/>
    <n v="119"/>
    <d v="2023-07-11T11:51:09"/>
    <s v="Y"/>
    <s v="Preparation - other"/>
    <s v="Prescribed Hourly Rates"/>
    <s v="Profit Cost"/>
    <s v="NPM"/>
    <s v="Y"/>
    <n v="16.47"/>
    <n v="3.29"/>
    <x v="7"/>
    <s v="VALIDATED"/>
    <n v="1"/>
    <s v="01.11.80.307.6100.0000"/>
    <n v="16.47"/>
    <s v="11"/>
    <s v="6100"/>
    <n v="43154.65"/>
    <n v="16.47"/>
    <s v="CREDITOR"/>
    <n v="0"/>
    <n v="0"/>
    <n v="0"/>
    <n v="0"/>
    <n v="16.47"/>
  </r>
  <r>
    <n v="60950874"/>
    <s v="N"/>
    <n v="21360551"/>
    <s v="3000015160760008"/>
    <s v="CIVIL"/>
    <d v="2023-06-30T00:00:00"/>
    <d v="2023-07-11T11:50:54"/>
    <m/>
    <d v="2023-07-11T00:00:00"/>
    <n v="924"/>
    <n v="2281"/>
    <s v="60950874"/>
    <s v="60950874"/>
    <m/>
    <m/>
    <n v="22794622"/>
    <m/>
    <m/>
    <m/>
    <s v="SOLFIN"/>
    <s v="SOLFIN"/>
    <s v="CCMS"/>
    <n v="21360551"/>
    <n v="11550.02"/>
    <m/>
    <s v="N"/>
    <n v="127"/>
    <d v="2023-07-11T11:51:09"/>
    <s v="Y"/>
    <s v="Routine Letter Out"/>
    <s v="Prescribed Hourly Rates"/>
    <s v="Profit Cost"/>
    <s v="RS"/>
    <s v="Y"/>
    <n v="838.35"/>
    <n v="167.66"/>
    <x v="7"/>
    <s v="VALIDATED"/>
    <n v="1"/>
    <s v="01.11.80.307.6100.0000"/>
    <n v="838.35"/>
    <s v="11"/>
    <s v="6100"/>
    <n v="43154.65"/>
    <n v="838.35"/>
    <s v="CREDITOR"/>
    <n v="0"/>
    <n v="0"/>
    <n v="0"/>
    <n v="0"/>
    <n v="838.35"/>
  </r>
  <r>
    <n v="60950874"/>
    <s v="N"/>
    <n v="21360551"/>
    <s v="3000015160760008"/>
    <s v="CIVIL"/>
    <d v="2023-06-30T00:00:00"/>
    <d v="2023-07-11T11:50:54"/>
    <m/>
    <d v="2023-07-11T00:00:00"/>
    <n v="924"/>
    <n v="2281"/>
    <s v="60950874"/>
    <s v="60950874"/>
    <m/>
    <m/>
    <n v="22794622"/>
    <m/>
    <m/>
    <m/>
    <s v="SOLFIN"/>
    <s v="SOLFIN"/>
    <s v="CCMS"/>
    <n v="21360551"/>
    <n v="11550.02"/>
    <m/>
    <s v="N"/>
    <n v="15"/>
    <d v="2023-07-11T11:51:09"/>
    <s v="Y"/>
    <s v="Preparation - drafting statement"/>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46"/>
    <d v="2023-07-11T11:51:09"/>
    <s v="Y"/>
    <s v="Preparation - other"/>
    <s v="Prescribed Hourly Rates"/>
    <s v="Profit Cost"/>
    <s v="RS"/>
    <s v="Y"/>
    <n v="14.82"/>
    <n v="2.96"/>
    <x v="7"/>
    <s v="VALIDATED"/>
    <n v="1"/>
    <s v="01.11.80.307.6100.0000"/>
    <n v="14.82"/>
    <s v="11"/>
    <s v="6100"/>
    <n v="43154.65"/>
    <n v="14.82"/>
    <s v="CREDITOR"/>
    <n v="0"/>
    <n v="0"/>
    <n v="0"/>
    <n v="0"/>
    <n v="14.82"/>
  </r>
  <r>
    <n v="8647673"/>
    <s v="N"/>
    <n v="21349284"/>
    <s v="3000004688890022"/>
    <s v="CIVIL"/>
    <d v="2023-06-27T00:00:00"/>
    <d v="2023-07-10T19:01:40"/>
    <m/>
    <d v="2023-07-10T00:00:00"/>
    <n v="924"/>
    <n v="2281"/>
    <s v="8647673"/>
    <s v="8647673"/>
    <m/>
    <m/>
    <n v="22771220"/>
    <m/>
    <m/>
    <m/>
    <s v="SOLFIN"/>
    <s v="SOLFIN"/>
    <s v="CCMS"/>
    <n v="21349284"/>
    <n v="14502.62"/>
    <m/>
    <s v="N"/>
    <n v="63"/>
    <d v="2023-07-10T19:01:43"/>
    <s v="Y"/>
    <s v="Preparation - other"/>
    <s v="Prescribed Hourly Rates"/>
    <s v="Profit Cost"/>
    <s v="ROS"/>
    <s v="Y"/>
    <n v="7.41"/>
    <n v="1.48"/>
    <x v="2"/>
    <s v="VALIDATED"/>
    <n v="1"/>
    <s v="01.11.80.307.6100.0000"/>
    <n v="7.41"/>
    <s v="11"/>
    <s v="6100"/>
    <n v="43154.65"/>
    <n v="7.41"/>
    <s v="CREDITOR"/>
    <n v="0"/>
    <n v="0"/>
    <n v="0"/>
    <n v="0"/>
    <n v="7.41"/>
  </r>
  <r>
    <n v="43603550"/>
    <s v="N"/>
    <n v="21349979"/>
    <s v="3000011467990003"/>
    <s v="CIVIL"/>
    <d v="2023-06-30T00:00:00"/>
    <d v="2023-07-10T19:01:40"/>
    <m/>
    <d v="2023-07-10T00:00:00"/>
    <n v="924"/>
    <n v="2281"/>
    <s v="43603550"/>
    <s v="43603550"/>
    <m/>
    <m/>
    <n v="22798362"/>
    <m/>
    <m/>
    <m/>
    <s v="SOLFIN"/>
    <s v="SOLFIN"/>
    <s v="CCMS"/>
    <n v="21349979"/>
    <n v="1231.93"/>
    <m/>
    <s v="N"/>
    <n v="4"/>
    <d v="2023-07-10T19:02:06"/>
    <s v="Y"/>
    <s v="Level 4 Fixed Fee"/>
    <s v="Domestic Abuse"/>
    <s v="Profit Cost"/>
    <s v="ROS"/>
    <s v="Y"/>
    <n v="507"/>
    <n v="101.4"/>
    <x v="2"/>
    <s v="VALIDATED"/>
    <n v="1"/>
    <s v="01.11.80.302.6100.0000"/>
    <n v="507"/>
    <s v="11"/>
    <s v="6100"/>
    <n v="43154.65"/>
    <n v="507"/>
    <s v="CREDITOR"/>
    <n v="0"/>
    <n v="0"/>
    <n v="0"/>
    <n v="0"/>
    <n v="507"/>
  </r>
  <r>
    <n v="43603550"/>
    <s v="N"/>
    <n v="21349979"/>
    <s v="3000011467990003"/>
    <s v="CIVIL"/>
    <d v="2023-06-30T00:00:00"/>
    <d v="2023-07-10T19:01:40"/>
    <m/>
    <d v="2023-07-10T00:00:00"/>
    <n v="924"/>
    <n v="2281"/>
    <s v="43603550"/>
    <s v="43603550"/>
    <m/>
    <m/>
    <n v="22798362"/>
    <m/>
    <m/>
    <m/>
    <s v="SOLFIN"/>
    <s v="SOLFIN"/>
    <s v="CCMS"/>
    <n v="21349979"/>
    <n v="1231.93"/>
    <m/>
    <s v="N"/>
    <n v="3"/>
    <d v="2023-07-10T19:02:06"/>
    <s v="Y"/>
    <s v="Final Hearing - 1 Day"/>
    <s v="Domestic Abuse"/>
    <s v="Advocacy"/>
    <s v="AM"/>
    <s v="Y"/>
    <n v="361.17"/>
    <n v="72.23"/>
    <x v="2"/>
    <s v="VALIDATED"/>
    <n v="1"/>
    <s v="01.11.80.302.6100.0000"/>
    <n v="361.17"/>
    <s v="11"/>
    <s v="6100"/>
    <n v="43154.65"/>
    <n v="361.17"/>
    <s v="CREDITOR"/>
    <n v="0"/>
    <n v="0"/>
    <n v="0"/>
    <n v="0"/>
    <n v="361.17"/>
  </r>
  <r>
    <n v="61313803"/>
    <s v="N"/>
    <n v="21350025"/>
    <s v="3000015470000008"/>
    <s v="CIVIL"/>
    <d v="2023-06-29T00:00:00"/>
    <d v="2023-07-10T19:01:40"/>
    <m/>
    <d v="2023-07-10T00:00:00"/>
    <n v="924"/>
    <n v="2281"/>
    <s v="61313803"/>
    <s v="61313803"/>
    <m/>
    <m/>
    <n v="22789528"/>
    <m/>
    <m/>
    <m/>
    <s v="SOLFIN"/>
    <s v="SOLFIN"/>
    <s v="CCMS"/>
    <n v="21350025"/>
    <n v="6800.74"/>
    <m/>
    <s v="N"/>
    <n v="28"/>
    <d v="2023-07-10T19:02:09"/>
    <s v="Y"/>
    <s v="Preparation - other"/>
    <s v="Prescribed Hourly Rates"/>
    <s v="Profit Cost"/>
    <s v="RS"/>
    <s v="Y"/>
    <n v="6.31"/>
    <n v="1.26"/>
    <x v="2"/>
    <s v="VALIDATED"/>
    <n v="1"/>
    <s v="01.11.80.307.6100.0000"/>
    <n v="6.31"/>
    <s v="11"/>
    <s v="6100"/>
    <n v="43154.65"/>
    <n v="6.31"/>
    <s v="CREDITOR"/>
    <n v="0"/>
    <n v="0"/>
    <n v="0"/>
    <n v="0"/>
    <n v="6.31"/>
  </r>
  <r>
    <n v="8647673"/>
    <s v="N"/>
    <n v="21349284"/>
    <s v="3000004688890022"/>
    <s v="CIVIL"/>
    <d v="2023-06-27T00:00:00"/>
    <d v="2023-07-10T19:01:40"/>
    <m/>
    <d v="2023-07-10T00:00:00"/>
    <n v="924"/>
    <n v="2281"/>
    <s v="8647673"/>
    <s v="8647673"/>
    <m/>
    <m/>
    <n v="22771220"/>
    <m/>
    <m/>
    <m/>
    <s v="SOLFIN"/>
    <s v="SOLFIN"/>
    <s v="CCMS"/>
    <n v="21349284"/>
    <n v="14502.62"/>
    <m/>
    <s v="N"/>
    <n v="117"/>
    <d v="2023-07-10T19:01:43"/>
    <s v="Y"/>
    <s v="Preparation - drafting bill/claim f"/>
    <s v="Prescribed Hourly Rates"/>
    <s v="Profit Cost"/>
    <s v="CD"/>
    <s v="Y"/>
    <n v="323.91"/>
    <n v="64.78"/>
    <x v="2"/>
    <s v="VALIDATED"/>
    <n v="1"/>
    <s v="01.11.80.307.6100.0000"/>
    <n v="323.91"/>
    <s v="11"/>
    <s v="6100"/>
    <n v="43154.65"/>
    <n v="323.91"/>
    <s v="CREDITOR"/>
    <n v="0"/>
    <n v="0"/>
    <n v="0"/>
    <n v="0"/>
    <n v="323.91"/>
  </r>
  <r>
    <n v="8647673"/>
    <s v="N"/>
    <n v="21349284"/>
    <s v="3000004688890022"/>
    <s v="CIVIL"/>
    <d v="2023-06-27T00:00:00"/>
    <d v="2023-07-10T19:01:40"/>
    <m/>
    <d v="2023-07-10T00:00:00"/>
    <n v="924"/>
    <n v="2281"/>
    <s v="8647673"/>
    <s v="8647673"/>
    <m/>
    <m/>
    <n v="22771220"/>
    <m/>
    <m/>
    <m/>
    <s v="SOLFIN"/>
    <s v="SOLFIN"/>
    <s v="CCMS"/>
    <n v="21349284"/>
    <n v="14502.62"/>
    <m/>
    <s v="N"/>
    <n v="41"/>
    <d v="2023-07-10T19:01:43"/>
    <s v="Y"/>
    <s v="Preparation - other"/>
    <s v="Prescribed Hourly Rates"/>
    <s v="Profit Cost"/>
    <s v="ROS"/>
    <s v="Y"/>
    <n v="7.41"/>
    <n v="1.48"/>
    <x v="2"/>
    <s v="VALIDATED"/>
    <n v="1"/>
    <s v="01.11.80.307.6100.0000"/>
    <n v="7.41"/>
    <s v="11"/>
    <s v="6100"/>
    <n v="43154.65"/>
    <n v="7.41"/>
    <s v="CREDITOR"/>
    <n v="0"/>
    <n v="0"/>
    <n v="0"/>
    <n v="0"/>
    <n v="7.41"/>
  </r>
  <r>
    <n v="8647673"/>
    <s v="N"/>
    <n v="21349284"/>
    <s v="3000004688890022"/>
    <s v="CIVIL"/>
    <d v="2023-06-27T00:00:00"/>
    <d v="2023-07-10T19:01:40"/>
    <m/>
    <d v="2023-07-10T00:00:00"/>
    <n v="924"/>
    <n v="2281"/>
    <s v="8647673"/>
    <s v="8647673"/>
    <m/>
    <m/>
    <n v="22771220"/>
    <m/>
    <m/>
    <m/>
    <s v="SOLFIN"/>
    <s v="SOLFIN"/>
    <s v="CCMS"/>
    <n v="21349284"/>
    <n v="14502.62"/>
    <m/>
    <s v="N"/>
    <n v="43"/>
    <d v="2023-07-10T19:01:43"/>
    <s v="Y"/>
    <s v="Preparation - other"/>
    <s v="Prescribed Hourly Rates"/>
    <s v="Profit Cost"/>
    <s v="ROS"/>
    <s v="Y"/>
    <n v="12.63"/>
    <n v="2.53"/>
    <x v="2"/>
    <s v="VALIDATED"/>
    <n v="1"/>
    <s v="01.11.80.307.6100.0000"/>
    <n v="12.63"/>
    <s v="11"/>
    <s v="6100"/>
    <n v="43154.65"/>
    <n v="12.63"/>
    <s v="CREDITOR"/>
    <n v="0"/>
    <n v="0"/>
    <n v="0"/>
    <n v="0"/>
    <n v="12.63"/>
  </r>
  <r>
    <n v="6022968"/>
    <s v="N"/>
    <n v="21331042"/>
    <s v="3000002607450005"/>
    <s v="CIVIL"/>
    <d v="2023-06-23T00:00:00"/>
    <d v="2023-07-05T19:01:47"/>
    <m/>
    <d v="2023-07-05T00:00:00"/>
    <n v="924"/>
    <n v="2281"/>
    <s v="6022968"/>
    <s v="6022968"/>
    <m/>
    <m/>
    <n v="22748538"/>
    <m/>
    <m/>
    <m/>
    <s v="SOLFIN"/>
    <s v="SOLFIN"/>
    <s v="CCMS"/>
    <n v="21331042"/>
    <n v="2416.22"/>
    <m/>
    <s v="N"/>
    <n v="1"/>
    <d v="2023-07-05T19:02:03"/>
    <s v="Y"/>
    <s v="Court Fee"/>
    <s v="Prescribed Hourly Rates"/>
    <s v="Non Expert Disbursement"/>
    <s v="XXX"/>
    <s v="Y"/>
    <n v="215"/>
    <n v="0"/>
    <x v="6"/>
    <s v="VALIDATED"/>
    <n v="1"/>
    <s v="01.11.80.307.6300.0000"/>
    <n v="215"/>
    <s v="11"/>
    <s v="6300"/>
    <n v="43154.65"/>
    <n v="215"/>
    <s v="CREDITOR"/>
    <n v="0"/>
    <n v="0"/>
    <n v="0"/>
    <n v="0"/>
    <n v="215"/>
  </r>
  <r>
    <n v="60950874"/>
    <s v="N"/>
    <n v="21360551"/>
    <s v="3000015160760008"/>
    <s v="CIVIL"/>
    <d v="2023-06-30T00:00:00"/>
    <d v="2023-07-11T11:50:54"/>
    <m/>
    <d v="2023-07-11T00:00:00"/>
    <n v="924"/>
    <n v="2281"/>
    <s v="60950874"/>
    <s v="60950874"/>
    <m/>
    <m/>
    <n v="22794622"/>
    <m/>
    <m/>
    <m/>
    <s v="SOLFIN"/>
    <s v="SOLFIN"/>
    <s v="CCMS"/>
    <n v="21360551"/>
    <n v="11550.02"/>
    <m/>
    <s v="N"/>
    <n v="92"/>
    <d v="2023-07-11T11:51:09"/>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20"/>
    <d v="2023-07-11T11:51:02"/>
    <s v="Y"/>
    <s v="Preparation - other"/>
    <s v="Prescribed Hourly Rates"/>
    <s v="Profit Cost"/>
    <s v="RS"/>
    <s v="Y"/>
    <n v="63.14"/>
    <n v="12.63"/>
    <x v="7"/>
    <s v="VALIDATED"/>
    <n v="1"/>
    <s v="01.11.80.307.6100.0000"/>
    <n v="63.14"/>
    <s v="11"/>
    <s v="6100"/>
    <n v="43154.65"/>
    <n v="63.14"/>
    <s v="CREDITOR"/>
    <n v="0"/>
    <n v="0"/>
    <n v="0"/>
    <n v="0"/>
    <n v="63.14"/>
  </r>
  <r>
    <n v="8647673"/>
    <s v="N"/>
    <n v="21349284"/>
    <s v="3000004688890022"/>
    <s v="CIVIL"/>
    <d v="2023-06-27T00:00:00"/>
    <d v="2023-07-10T19:01:40"/>
    <m/>
    <d v="2023-07-10T00:00:00"/>
    <n v="924"/>
    <n v="2281"/>
    <s v="8647673"/>
    <s v="8647673"/>
    <m/>
    <m/>
    <n v="22771220"/>
    <m/>
    <m/>
    <m/>
    <s v="SOLFIN"/>
    <s v="SOLFIN"/>
    <s v="CCMS"/>
    <n v="21349284"/>
    <n v="14502.62"/>
    <m/>
    <s v="N"/>
    <n v="44"/>
    <d v="2023-07-10T19:01:43"/>
    <s v="Y"/>
    <s v="Preparation - other"/>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47"/>
    <d v="2023-07-10T19:01:43"/>
    <s v="Y"/>
    <s v="Preparation - other"/>
    <s v="Prescribed Hourly Rates"/>
    <s v="Profit Cost"/>
    <s v="ROS"/>
    <s v="Y"/>
    <n v="355.75"/>
    <n v="71.15000000000001"/>
    <x v="2"/>
    <s v="VALIDATED"/>
    <n v="1"/>
    <s v="01.11.80.307.6100.0000"/>
    <n v="355.75"/>
    <s v="11"/>
    <s v="6100"/>
    <n v="43154.65"/>
    <n v="355.75"/>
    <s v="CREDITOR"/>
    <n v="0"/>
    <n v="0"/>
    <n v="0"/>
    <n v="0"/>
    <n v="355.75"/>
  </r>
  <r>
    <n v="8647673"/>
    <s v="N"/>
    <n v="21349284"/>
    <s v="3000004688890022"/>
    <s v="CIVIL"/>
    <d v="2023-06-27T00:00:00"/>
    <d v="2023-07-10T19:01:40"/>
    <m/>
    <d v="2023-07-10T00:00:00"/>
    <n v="924"/>
    <n v="2281"/>
    <s v="8647673"/>
    <s v="8647673"/>
    <m/>
    <m/>
    <n v="22771220"/>
    <m/>
    <m/>
    <m/>
    <s v="SOLFIN"/>
    <s v="SOLFIN"/>
    <s v="CCMS"/>
    <n v="21349284"/>
    <n v="14502.62"/>
    <m/>
    <s v="N"/>
    <n v="77"/>
    <d v="2023-07-10T19:01:43"/>
    <s v="Y"/>
    <s v="Attendance upon other side"/>
    <s v="Prescribed Hourly Rates"/>
    <s v="Profit Cost"/>
    <s v="ROS"/>
    <s v="Y"/>
    <n v="37.06"/>
    <n v="7.41"/>
    <x v="2"/>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51"/>
    <d v="2023-07-10T19:02:09"/>
    <s v="Y"/>
    <s v="Attendance upon client"/>
    <s v="Prescribed Hourly Rates"/>
    <s v="Profit Cost"/>
    <s v="RS"/>
    <s v="Y"/>
    <n v="74.12"/>
    <n v="14.82"/>
    <x v="2"/>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74"/>
    <d v="2023-07-06T19:21:09"/>
    <s v="Y"/>
    <s v="Attendance upon client"/>
    <s v="Prescribed Hourly Rates"/>
    <s v="Profit Cost"/>
    <s v="RS"/>
    <s v="Y"/>
    <n v="74.12"/>
    <n v="14.82"/>
    <x v="4"/>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49"/>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96"/>
    <d v="2023-07-11T11:51:02"/>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98"/>
    <d v="2023-07-11T11:51:09"/>
    <s v="Y"/>
    <s v="Preparation - drafting application"/>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79"/>
    <d v="2023-07-11T11:51:02"/>
    <s v="Y"/>
    <s v="Preparation - other"/>
    <s v="Prescribed Hourly Rates"/>
    <s v="Profit Cost"/>
    <s v="RS"/>
    <s v="Y"/>
    <n v="148.23"/>
    <n v="29.64"/>
    <x v="7"/>
    <s v="VALIDATED"/>
    <n v="1"/>
    <s v="01.11.80.307.6100.0000"/>
    <n v="148.23"/>
    <s v="11"/>
    <s v="6100"/>
    <n v="43154.65"/>
    <n v="148.23"/>
    <s v="CREDITOR"/>
    <n v="0"/>
    <n v="0"/>
    <n v="0"/>
    <n v="0"/>
    <n v="148.23"/>
  </r>
  <r>
    <n v="10004121"/>
    <s v="N"/>
    <n v="21360316"/>
    <s v="3000005900070010"/>
    <s v="CIVIL"/>
    <d v="2023-06-28T00:00:00"/>
    <d v="2023-07-11T11:50:54"/>
    <m/>
    <d v="2023-07-11T00:00:00"/>
    <n v="924"/>
    <n v="2281"/>
    <s v="10004121"/>
    <s v="10004121"/>
    <m/>
    <m/>
    <n v="22778134"/>
    <m/>
    <m/>
    <m/>
    <s v="SOLFIN"/>
    <s v="SOLFIN"/>
    <s v="CCMS"/>
    <n v="21360316"/>
    <n v="7425.76"/>
    <m/>
    <s v="N"/>
    <n v="10"/>
    <d v="2023-07-11T11:51:02"/>
    <s v="Y"/>
    <s v="Preparation - other"/>
    <s v="Prescribed Hourly Rates"/>
    <s v="Profit Cost"/>
    <s v="RS"/>
    <s v="Y"/>
    <n v="6.31"/>
    <n v="1.26"/>
    <x v="7"/>
    <s v="VALIDATED"/>
    <n v="1"/>
    <s v="01.11.80.307.6100.0000"/>
    <n v="6.31"/>
    <s v="11"/>
    <s v="6100"/>
    <n v="43154.65"/>
    <n v="6.31"/>
    <s v="CREDITOR"/>
    <n v="0"/>
    <n v="0"/>
    <n v="0"/>
    <n v="0"/>
    <n v="6.31"/>
  </r>
  <r>
    <n v="14064052"/>
    <s v="N"/>
    <n v="21349905"/>
    <s v="3000007298400008"/>
    <s v="CIVIL"/>
    <d v="2023-06-29T00:00:00"/>
    <d v="2023-07-10T19:01:40"/>
    <m/>
    <d v="2023-07-10T00:00:00"/>
    <n v="924"/>
    <n v="2281"/>
    <s v="14064052"/>
    <s v="14064052"/>
    <m/>
    <m/>
    <n v="22788366"/>
    <m/>
    <m/>
    <m/>
    <s v="SOLFIN"/>
    <s v="SOLFIN"/>
    <s v="CCMS"/>
    <n v="21349905"/>
    <n v="4899.44"/>
    <m/>
    <s v="N"/>
    <n v="7"/>
    <d v="2023-07-10T19:02:03"/>
    <s v="N"/>
    <s v="Level 3 &amp; Level 4 Fixed Fee"/>
    <s v="Private Law Children"/>
    <s v="Profit Cost"/>
    <s v="XXX"/>
    <s v="N"/>
    <n v="0"/>
    <n v="0"/>
    <x v="2"/>
    <s v="VALIDATED"/>
    <n v="1"/>
    <s v="01.11.80.302.6100.0000"/>
    <n v="0"/>
    <s v="11"/>
    <s v="6100"/>
    <n v="43154.65"/>
    <n v="0"/>
    <s v="CREDITOR"/>
    <n v="0"/>
    <n v="0"/>
    <n v="0"/>
    <n v="0"/>
    <n v="0"/>
  </r>
  <r>
    <n v="14064052"/>
    <s v="N"/>
    <n v="21349905"/>
    <s v="3000007298400008"/>
    <s v="CIVIL"/>
    <d v="2023-06-29T00:00:00"/>
    <d v="2023-07-10T19:01:40"/>
    <m/>
    <d v="2023-07-10T00:00:00"/>
    <n v="924"/>
    <n v="2281"/>
    <s v="14064052"/>
    <s v="14064052"/>
    <m/>
    <m/>
    <n v="22788366"/>
    <m/>
    <m/>
    <m/>
    <s v="SOLFIN"/>
    <s v="SOLFIN"/>
    <s v="CCMS"/>
    <n v="21349905"/>
    <n v="4899.44"/>
    <m/>
    <s v="N"/>
    <n v="8"/>
    <d v="2023-07-10T19:02:03"/>
    <s v="Y"/>
    <s v="Preparation - other"/>
    <s v="Prescribed Hourly Rates"/>
    <s v="Profit Cost"/>
    <s v="ROS"/>
    <s v="Y"/>
    <n v="31.57"/>
    <n v="6.31"/>
    <x v="2"/>
    <s v="VALIDATED"/>
    <n v="1"/>
    <s v="01.11.80.302.6100.0000"/>
    <n v="31.57"/>
    <s v="11"/>
    <s v="6100"/>
    <n v="43154.65"/>
    <n v="31.57"/>
    <s v="CREDITOR"/>
    <n v="0"/>
    <n v="0"/>
    <n v="0"/>
    <n v="0"/>
    <n v="31.57"/>
  </r>
  <r>
    <n v="14064052"/>
    <s v="N"/>
    <n v="21349905"/>
    <s v="3000007298400008"/>
    <s v="CIVIL"/>
    <d v="2023-06-29T00:00:00"/>
    <d v="2023-07-10T19:01:40"/>
    <m/>
    <d v="2023-07-10T00:00:00"/>
    <n v="924"/>
    <n v="2281"/>
    <s v="14064052"/>
    <s v="14064052"/>
    <m/>
    <m/>
    <n v="22788366"/>
    <m/>
    <m/>
    <m/>
    <s v="SOLFIN"/>
    <s v="SOLFIN"/>
    <s v="CCMS"/>
    <n v="21349905"/>
    <n v="4899.44"/>
    <m/>
    <s v="N"/>
    <n v="10"/>
    <d v="2023-07-10T19:02:03"/>
    <s v="Y"/>
    <s v="Preparation - other"/>
    <s v="Prescribed Hourly Rates"/>
    <s v="Profit Cost"/>
    <s v="ROS"/>
    <s v="Y"/>
    <n v="12.63"/>
    <n v="2.53"/>
    <x v="2"/>
    <s v="VALIDATED"/>
    <n v="1"/>
    <s v="01.11.80.302.6100.0000"/>
    <n v="12.63"/>
    <s v="11"/>
    <s v="6100"/>
    <n v="43154.65"/>
    <n v="12.63"/>
    <s v="CREDITOR"/>
    <n v="0"/>
    <n v="0"/>
    <n v="0"/>
    <n v="0"/>
    <n v="12.63"/>
  </r>
  <r>
    <n v="8647673"/>
    <s v="N"/>
    <n v="21349284"/>
    <s v="3000004688890022"/>
    <s v="CIVIL"/>
    <d v="2023-06-27T00:00:00"/>
    <d v="2023-07-10T19:01:40"/>
    <m/>
    <d v="2023-07-10T00:00:00"/>
    <n v="924"/>
    <n v="2281"/>
    <s v="8647673"/>
    <s v="8647673"/>
    <m/>
    <m/>
    <n v="22771220"/>
    <m/>
    <m/>
    <m/>
    <s v="SOLFIN"/>
    <s v="SOLFIN"/>
    <s v="CCMS"/>
    <n v="21349284"/>
    <n v="14502.62"/>
    <m/>
    <s v="N"/>
    <n v="97"/>
    <d v="2023-07-10T19:01:43"/>
    <s v="Y"/>
    <s v="Attendance upon client"/>
    <s v="Prescribed Hourly Rates"/>
    <s v="Profit Cost"/>
    <s v="ROS"/>
    <s v="Y"/>
    <n v="74.12"/>
    <n v="14.82"/>
    <x v="2"/>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46"/>
    <d v="2023-07-06T19:21:09"/>
    <s v="Y"/>
    <s v="Attendance upon client"/>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82"/>
    <d v="2023-07-06T19:21:09"/>
    <s v="Y"/>
    <s v="Preparation - other"/>
    <s v="Prescribed Hourly Rates"/>
    <s v="Profit Cost"/>
    <s v="RS"/>
    <s v="Y"/>
    <n v="31.57"/>
    <n v="6.31"/>
    <x v="4"/>
    <s v="VALIDATED"/>
    <n v="1"/>
    <s v="01.11.80.307.6100.0000"/>
    <n v="31.57"/>
    <s v="11"/>
    <s v="6100"/>
    <n v="43154.65"/>
    <n v="31.57"/>
    <s v="CREDITOR"/>
    <n v="0"/>
    <n v="0"/>
    <n v="0"/>
    <n v="0"/>
    <n v="31.57"/>
  </r>
  <r>
    <n v="6022968"/>
    <s v="N"/>
    <n v="21331042"/>
    <s v="3000002607450005"/>
    <s v="CIVIL"/>
    <d v="2023-06-23T00:00:00"/>
    <d v="2023-07-05T19:01:47"/>
    <m/>
    <d v="2023-07-05T00:00:00"/>
    <n v="924"/>
    <n v="2281"/>
    <s v="6022968"/>
    <s v="6022968"/>
    <m/>
    <m/>
    <n v="22748538"/>
    <m/>
    <m/>
    <m/>
    <s v="SOLFIN"/>
    <s v="SOLFIN"/>
    <s v="CCMS"/>
    <n v="21331042"/>
    <n v="2416.22"/>
    <m/>
    <s v="N"/>
    <n v="3"/>
    <d v="2023-07-05T19:02:03"/>
    <s v="Y"/>
    <s v="Attendance upon client"/>
    <s v="Prescribed Hourly Rates"/>
    <s v="Profit Cost"/>
    <s v="RS"/>
    <s v="Y"/>
    <n v="109.8"/>
    <n v="21.96"/>
    <x v="6"/>
    <s v="VALIDATED"/>
    <n v="1"/>
    <s v="01.11.80.307.6100.0000"/>
    <n v="109.8"/>
    <s v="11"/>
    <s v="6100"/>
    <n v="43154.65"/>
    <n v="109.8"/>
    <s v="CREDITOR"/>
    <n v="0"/>
    <n v="0"/>
    <n v="0"/>
    <n v="0"/>
    <n v="109.8"/>
  </r>
  <r>
    <n v="60950874"/>
    <s v="N"/>
    <n v="21360551"/>
    <s v="3000015160760008"/>
    <s v="CIVIL"/>
    <d v="2023-06-30T00:00:00"/>
    <d v="2023-07-11T11:50:54"/>
    <m/>
    <d v="2023-07-11T00:00:00"/>
    <n v="924"/>
    <n v="2281"/>
    <s v="60950874"/>
    <s v="60950874"/>
    <m/>
    <m/>
    <n v="22794622"/>
    <m/>
    <m/>
    <m/>
    <s v="SOLFIN"/>
    <s v="SOLFIN"/>
    <s v="CCMS"/>
    <n v="21360551"/>
    <n v="11550.02"/>
    <m/>
    <s v="N"/>
    <n v="41"/>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52"/>
    <d v="2023-07-11T11:51:09"/>
    <s v="Y"/>
    <s v="Preparation - other"/>
    <s v="Prescribed Hourly Rates"/>
    <s v="Profit Cost"/>
    <s v="RS"/>
    <s v="Y"/>
    <n v="135.88"/>
    <n v="27.17"/>
    <x v="7"/>
    <s v="VALIDATED"/>
    <n v="1"/>
    <s v="01.11.80.307.6100.0000"/>
    <n v="135.88"/>
    <s v="11"/>
    <s v="6100"/>
    <n v="43154.65"/>
    <n v="135.88"/>
    <s v="CREDITOR"/>
    <n v="0"/>
    <n v="0"/>
    <n v="0"/>
    <n v="0"/>
    <n v="135.88"/>
  </r>
  <r>
    <n v="60950874"/>
    <s v="N"/>
    <n v="21360551"/>
    <s v="3000015160760008"/>
    <s v="CIVIL"/>
    <d v="2023-06-30T00:00:00"/>
    <d v="2023-07-11T11:50:54"/>
    <m/>
    <d v="2023-07-11T00:00:00"/>
    <n v="924"/>
    <n v="2281"/>
    <s v="60950874"/>
    <s v="60950874"/>
    <m/>
    <m/>
    <n v="22794622"/>
    <m/>
    <m/>
    <m/>
    <s v="SOLFIN"/>
    <s v="SOLFIN"/>
    <s v="CCMS"/>
    <n v="21360551"/>
    <n v="11550.02"/>
    <m/>
    <s v="N"/>
    <n v="54"/>
    <d v="2023-07-11T11:51:09"/>
    <s v="Y"/>
    <s v="Attendance upon client"/>
    <s v="Prescribed Hourly Rates"/>
    <s v="Profit Cost"/>
    <s v="RS"/>
    <s v="Y"/>
    <n v="123.53"/>
    <n v="24.7"/>
    <x v="7"/>
    <s v="VALIDATED"/>
    <n v="1"/>
    <s v="01.11.80.307.6100.0000"/>
    <n v="123.53"/>
    <s v="11"/>
    <s v="6100"/>
    <n v="43154.65"/>
    <n v="123.53"/>
    <s v="CREDITOR"/>
    <n v="0"/>
    <n v="0"/>
    <n v="0"/>
    <n v="0"/>
    <n v="123.53"/>
  </r>
  <r>
    <n v="10004121"/>
    <s v="N"/>
    <n v="21360316"/>
    <s v="3000005900070010"/>
    <s v="CIVIL"/>
    <d v="2023-06-28T00:00:00"/>
    <d v="2023-07-11T11:50:54"/>
    <m/>
    <d v="2023-07-11T00:00:00"/>
    <n v="924"/>
    <n v="2281"/>
    <s v="10004121"/>
    <s v="10004121"/>
    <m/>
    <m/>
    <n v="22778134"/>
    <m/>
    <m/>
    <m/>
    <s v="SOLFIN"/>
    <s v="SOLFIN"/>
    <s v="CCMS"/>
    <n v="21360316"/>
    <n v="7425.76"/>
    <m/>
    <s v="N"/>
    <n v="107"/>
    <d v="2023-07-11T11:51:02"/>
    <s v="Y"/>
    <s v="Preparation - other"/>
    <s v="Prescribed Hourly Rates"/>
    <s v="Profit Cost"/>
    <s v="RS"/>
    <s v="Y"/>
    <n v="6.31"/>
    <n v="1.26"/>
    <x v="7"/>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69"/>
    <d v="2023-07-10T19:02:09"/>
    <s v="Y"/>
    <s v="Preparation - other"/>
    <s v="Prescribed Hourly Rates"/>
    <s v="Profit Cost"/>
    <s v="RS"/>
    <s v="Y"/>
    <n v="37.06"/>
    <n v="7.41"/>
    <x v="2"/>
    <s v="VALIDATED"/>
    <n v="1"/>
    <s v="01.11.80.307.6100.0000"/>
    <n v="37.06"/>
    <s v="11"/>
    <s v="6100"/>
    <n v="43154.65"/>
    <n v="37.06"/>
    <s v="CREDITOR"/>
    <n v="0"/>
    <n v="0"/>
    <n v="0"/>
    <n v="0"/>
    <n v="37.06"/>
  </r>
  <r>
    <n v="14064052"/>
    <s v="N"/>
    <n v="21349905"/>
    <s v="3000007298400008"/>
    <s v="CIVIL"/>
    <d v="2023-06-29T00:00:00"/>
    <d v="2023-07-10T19:01:40"/>
    <m/>
    <d v="2023-07-10T00:00:00"/>
    <n v="924"/>
    <n v="2281"/>
    <s v="14064052"/>
    <s v="14064052"/>
    <m/>
    <m/>
    <n v="22788366"/>
    <m/>
    <m/>
    <m/>
    <s v="SOLFIN"/>
    <s v="SOLFIN"/>
    <s v="CCMS"/>
    <n v="21349905"/>
    <n v="4899.44"/>
    <m/>
    <s v="N"/>
    <n v="13"/>
    <d v="2023-07-10T19:02:03"/>
    <s v="Y"/>
    <s v="Preparation - drafting instructions"/>
    <s v="Prescribed Hourly Rates"/>
    <s v="Profit Cost"/>
    <s v="ROS"/>
    <s v="Y"/>
    <n v="37.88"/>
    <n v="7.58"/>
    <x v="2"/>
    <s v="VALIDATED"/>
    <n v="1"/>
    <s v="01.11.80.302.6100.0000"/>
    <n v="37.88"/>
    <s v="11"/>
    <s v="6100"/>
    <n v="43154.65"/>
    <n v="37.88"/>
    <s v="CREDITOR"/>
    <n v="0"/>
    <n v="0"/>
    <n v="0"/>
    <n v="0"/>
    <n v="37.88"/>
  </r>
  <r>
    <n v="8647673"/>
    <s v="N"/>
    <n v="21349284"/>
    <s v="3000004688890022"/>
    <s v="CIVIL"/>
    <d v="2023-06-27T00:00:00"/>
    <d v="2023-07-10T19:01:40"/>
    <m/>
    <d v="2023-07-10T00:00:00"/>
    <n v="924"/>
    <n v="2281"/>
    <s v="8647673"/>
    <s v="8647673"/>
    <m/>
    <m/>
    <n v="22771220"/>
    <m/>
    <m/>
    <m/>
    <s v="SOLFIN"/>
    <s v="SOLFIN"/>
    <s v="CCMS"/>
    <n v="21349284"/>
    <n v="14502.62"/>
    <m/>
    <s v="N"/>
    <n v="3"/>
    <d v="2023-07-10T19:01:43"/>
    <s v="Y"/>
    <s v="Court Fee"/>
    <s v="Prescribed Hourly Rates"/>
    <s v="Non Expert Disbursement"/>
    <s v="XXX"/>
    <s v="Y"/>
    <n v="155"/>
    <n v="0"/>
    <x v="2"/>
    <s v="VALIDATED"/>
    <n v="1"/>
    <s v="01.11.80.307.6300.0000"/>
    <n v="155"/>
    <s v="11"/>
    <s v="6300"/>
    <n v="43154.65"/>
    <n v="155"/>
    <s v="CREDITOR"/>
    <n v="0"/>
    <n v="0"/>
    <n v="0"/>
    <n v="0"/>
    <n v="155"/>
  </r>
  <r>
    <n v="8647673"/>
    <s v="N"/>
    <n v="21349284"/>
    <s v="3000004688890022"/>
    <s v="CIVIL"/>
    <d v="2023-06-27T00:00:00"/>
    <d v="2023-07-10T19:01:40"/>
    <m/>
    <d v="2023-07-10T00:00:00"/>
    <n v="924"/>
    <n v="2281"/>
    <s v="8647673"/>
    <s v="8647673"/>
    <m/>
    <m/>
    <n v="22771220"/>
    <m/>
    <m/>
    <m/>
    <s v="SOLFIN"/>
    <s v="SOLFIN"/>
    <s v="CCMS"/>
    <n v="21349284"/>
    <n v="14502.62"/>
    <m/>
    <s v="N"/>
    <n v="21"/>
    <d v="2023-07-10T19:01:43"/>
    <s v="Y"/>
    <s v="Preparation - other"/>
    <s v="Prescribed Hourly Rates"/>
    <s v="Profit Cost"/>
    <s v="ROS"/>
    <s v="Y"/>
    <n v="7.41"/>
    <n v="1.48"/>
    <x v="2"/>
    <s v="VALIDATED"/>
    <n v="1"/>
    <s v="01.11.80.307.6100.0000"/>
    <n v="7.41"/>
    <s v="11"/>
    <s v="6100"/>
    <n v="43154.65"/>
    <n v="7.41"/>
    <s v="CREDITOR"/>
    <n v="0"/>
    <n v="0"/>
    <n v="0"/>
    <n v="0"/>
    <n v="7.41"/>
  </r>
  <r>
    <n v="8647673"/>
    <s v="N"/>
    <n v="21349284"/>
    <s v="3000004688890022"/>
    <s v="CIVIL"/>
    <d v="2023-06-27T00:00:00"/>
    <d v="2023-07-10T19:01:40"/>
    <m/>
    <d v="2023-07-10T00:00:00"/>
    <n v="924"/>
    <n v="2281"/>
    <s v="8647673"/>
    <s v="8647673"/>
    <m/>
    <m/>
    <n v="22771220"/>
    <m/>
    <m/>
    <m/>
    <s v="SOLFIN"/>
    <s v="SOLFIN"/>
    <s v="CCMS"/>
    <n v="21349284"/>
    <n v="14502.62"/>
    <m/>
    <s v="N"/>
    <n v="73"/>
    <d v="2023-07-10T19:01:43"/>
    <s v="Y"/>
    <s v="Preparation - other"/>
    <s v="Prescribed Hourly Rates"/>
    <s v="Profit Cost"/>
    <s v="ROS"/>
    <s v="Y"/>
    <n v="7.41"/>
    <n v="1.48"/>
    <x v="2"/>
    <s v="VALIDATED"/>
    <n v="1"/>
    <s v="01.11.80.307.6100.0000"/>
    <n v="7.41"/>
    <s v="11"/>
    <s v="6100"/>
    <n v="43154.65"/>
    <n v="7.41"/>
    <s v="CREDITOR"/>
    <n v="0"/>
    <n v="0"/>
    <n v="0"/>
    <n v="0"/>
    <n v="7.41"/>
  </r>
  <r>
    <n v="60950874"/>
    <s v="N"/>
    <n v="21360551"/>
    <s v="3000015160760008"/>
    <s v="CIVIL"/>
    <d v="2023-06-30T00:00:00"/>
    <d v="2023-07-11T11:50:54"/>
    <m/>
    <d v="2023-07-11T00:00:00"/>
    <n v="924"/>
    <n v="2281"/>
    <s v="60950874"/>
    <s v="60950874"/>
    <m/>
    <m/>
    <n v="22794622"/>
    <m/>
    <m/>
    <m/>
    <s v="SOLFIN"/>
    <s v="SOLFIN"/>
    <s v="CCMS"/>
    <n v="21360551"/>
    <n v="11550.02"/>
    <m/>
    <s v="N"/>
    <n v="37"/>
    <d v="2023-07-11T11:51:09"/>
    <s v="Y"/>
    <s v="Attendance upon client"/>
    <s v="Prescribed Hourly Rates"/>
    <s v="Profit Cost"/>
    <s v="RS"/>
    <s v="Y"/>
    <n v="123.53"/>
    <n v="24.7"/>
    <x v="7"/>
    <s v="VALIDATED"/>
    <n v="1"/>
    <s v="01.11.80.307.6100.0000"/>
    <n v="123.53"/>
    <s v="11"/>
    <s v="6100"/>
    <n v="43154.65"/>
    <n v="123.53"/>
    <s v="CREDITOR"/>
    <n v="0"/>
    <n v="0"/>
    <n v="0"/>
    <n v="0"/>
    <n v="123.53"/>
  </r>
  <r>
    <n v="60950874"/>
    <s v="N"/>
    <n v="21360551"/>
    <s v="3000015160760008"/>
    <s v="CIVIL"/>
    <d v="2023-06-30T00:00:00"/>
    <d v="2023-07-11T11:50:54"/>
    <m/>
    <d v="2023-07-11T00:00:00"/>
    <n v="924"/>
    <n v="2281"/>
    <s v="60950874"/>
    <s v="60950874"/>
    <m/>
    <m/>
    <n v="22794622"/>
    <m/>
    <m/>
    <m/>
    <s v="SOLFIN"/>
    <s v="SOLFIN"/>
    <s v="CCMS"/>
    <n v="21360551"/>
    <n v="11550.02"/>
    <m/>
    <s v="N"/>
    <n v="73"/>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91"/>
    <d v="2023-07-11T11:51:09"/>
    <s v="Y"/>
    <s v="Preparation - other"/>
    <s v="Prescribed Hourly Rates"/>
    <s v="Profit Cost"/>
    <s v="RS"/>
    <s v="Y"/>
    <n v="7.41"/>
    <n v="1.48"/>
    <x v="7"/>
    <s v="VALIDATED"/>
    <n v="1"/>
    <s v="01.11.80.307.6100.0000"/>
    <n v="7.41"/>
    <s v="11"/>
    <s v="6100"/>
    <n v="43154.65"/>
    <n v="7.41"/>
    <s v="CREDITOR"/>
    <n v="0"/>
    <n v="0"/>
    <n v="0"/>
    <n v="0"/>
    <n v="7.41"/>
  </r>
  <r>
    <n v="10004121"/>
    <s v="N"/>
    <n v="21360316"/>
    <s v="3000005900070010"/>
    <s v="CIVIL"/>
    <d v="2023-06-28T00:00:00"/>
    <d v="2023-07-11T11:50:54"/>
    <m/>
    <d v="2023-07-11T00:00:00"/>
    <n v="924"/>
    <n v="2281"/>
    <s v="10004121"/>
    <s v="10004121"/>
    <m/>
    <m/>
    <n v="22778134"/>
    <m/>
    <m/>
    <m/>
    <s v="SOLFIN"/>
    <s v="SOLFIN"/>
    <s v="CCMS"/>
    <n v="21360316"/>
    <n v="7425.76"/>
    <m/>
    <s v="N"/>
    <n v="88"/>
    <d v="2023-07-11T11:51:02"/>
    <s v="Y"/>
    <s v="Preparation - other"/>
    <s v="Prescribed Hourly Rates"/>
    <s v="Profit Cost"/>
    <s v="NPM"/>
    <s v="Y"/>
    <n v="10.98"/>
    <n v="2.2"/>
    <x v="7"/>
    <s v="VALIDATED"/>
    <n v="1"/>
    <s v="01.11.80.307.6100.0000"/>
    <n v="10.98"/>
    <s v="11"/>
    <s v="6100"/>
    <n v="43154.65"/>
    <n v="10.98"/>
    <s v="CREDITOR"/>
    <n v="0"/>
    <n v="0"/>
    <n v="0"/>
    <n v="0"/>
    <n v="10.98"/>
  </r>
  <r>
    <n v="10004121"/>
    <s v="N"/>
    <n v="21360316"/>
    <s v="3000005900070010"/>
    <s v="CIVIL"/>
    <d v="2023-06-28T00:00:00"/>
    <d v="2023-07-11T11:50:54"/>
    <m/>
    <d v="2023-07-11T00:00:00"/>
    <n v="924"/>
    <n v="2281"/>
    <s v="10004121"/>
    <s v="10004121"/>
    <m/>
    <m/>
    <n v="22778134"/>
    <m/>
    <m/>
    <m/>
    <s v="SOLFIN"/>
    <s v="SOLFIN"/>
    <s v="CCMS"/>
    <n v="21360316"/>
    <n v="7425.76"/>
    <m/>
    <s v="N"/>
    <n v="91"/>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93"/>
    <d v="2023-07-11T11:51:02"/>
    <s v="Y"/>
    <s v="Preparation - drafting application"/>
    <s v="Prescribed Hourly Rates"/>
    <s v="Profit Cost"/>
    <s v="NPM"/>
    <s v="Y"/>
    <n v="82.34999999999999"/>
    <n v="16.47"/>
    <x v="7"/>
    <s v="VALIDATED"/>
    <n v="1"/>
    <s v="01.11.80.307.6100.0000"/>
    <n v="82.34999999999999"/>
    <s v="11"/>
    <s v="6100"/>
    <n v="43154.65"/>
    <n v="82.34999999999999"/>
    <s v="CREDITOR"/>
    <n v="0"/>
    <n v="0"/>
    <n v="0"/>
    <n v="0"/>
    <n v="82.34999999999999"/>
  </r>
  <r>
    <n v="10004121"/>
    <s v="N"/>
    <n v="21360316"/>
    <s v="3000005900070010"/>
    <s v="CIVIL"/>
    <d v="2023-06-28T00:00:00"/>
    <d v="2023-07-11T11:50:54"/>
    <m/>
    <d v="2023-07-11T00:00:00"/>
    <n v="924"/>
    <n v="2281"/>
    <s v="10004121"/>
    <s v="10004121"/>
    <m/>
    <m/>
    <n v="22778134"/>
    <m/>
    <m/>
    <m/>
    <s v="SOLFIN"/>
    <s v="SOLFIN"/>
    <s v="CCMS"/>
    <n v="21360316"/>
    <n v="7425.76"/>
    <m/>
    <s v="N"/>
    <n v="46"/>
    <d v="2023-07-11T11:51:02"/>
    <s v="Y"/>
    <s v="Preparation - other"/>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105"/>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108"/>
    <d v="2023-07-11T11:51:02"/>
    <s v="Y"/>
    <s v="Preparation - other"/>
    <s v="Prescribed Hourly Rates"/>
    <s v="Profit Cost"/>
    <s v="NPM"/>
    <s v="Y"/>
    <n v="16.47"/>
    <n v="3.29"/>
    <x v="7"/>
    <s v="VALIDATED"/>
    <n v="1"/>
    <s v="01.11.80.307.6100.0000"/>
    <n v="16.47"/>
    <s v="11"/>
    <s v="6100"/>
    <n v="43154.65"/>
    <n v="16.47"/>
    <s v="CREDITOR"/>
    <n v="0"/>
    <n v="0"/>
    <n v="0"/>
    <n v="0"/>
    <n v="16.47"/>
  </r>
  <r>
    <n v="8647673"/>
    <s v="N"/>
    <n v="21349284"/>
    <s v="3000004688890022"/>
    <s v="CIVIL"/>
    <d v="2023-06-27T00:00:00"/>
    <d v="2023-07-10T19:01:40"/>
    <m/>
    <d v="2023-07-10T00:00:00"/>
    <n v="924"/>
    <n v="2281"/>
    <s v="8647673"/>
    <s v="8647673"/>
    <m/>
    <m/>
    <n v="22771220"/>
    <m/>
    <m/>
    <m/>
    <s v="SOLFIN"/>
    <s v="SOLFIN"/>
    <s v="CCMS"/>
    <n v="21349284"/>
    <n v="14502.62"/>
    <m/>
    <s v="N"/>
    <n v="86"/>
    <d v="2023-07-10T19:01:43"/>
    <s v="Y"/>
    <s v="Attendance upon client"/>
    <s v="Prescribed Hourly Rates"/>
    <s v="Profit Cost"/>
    <s v="ROS"/>
    <s v="Y"/>
    <n v="111.17"/>
    <n v="22.23"/>
    <x v="2"/>
    <s v="VALIDATED"/>
    <n v="1"/>
    <s v="01.11.80.307.6100.0000"/>
    <n v="111.17"/>
    <s v="11"/>
    <s v="6100"/>
    <n v="43154.65"/>
    <n v="111.17"/>
    <s v="CREDITOR"/>
    <n v="0"/>
    <n v="0"/>
    <n v="0"/>
    <n v="0"/>
    <n v="111.17"/>
  </r>
  <r>
    <n v="14064052"/>
    <s v="N"/>
    <n v="21349905"/>
    <s v="3000007298400008"/>
    <s v="CIVIL"/>
    <d v="2023-06-29T00:00:00"/>
    <d v="2023-07-10T19:01:40"/>
    <m/>
    <d v="2023-07-10T00:00:00"/>
    <n v="924"/>
    <n v="2281"/>
    <s v="14064052"/>
    <s v="14064052"/>
    <m/>
    <m/>
    <n v="22788366"/>
    <m/>
    <m/>
    <m/>
    <s v="SOLFIN"/>
    <s v="SOLFIN"/>
    <s v="CCMS"/>
    <n v="21349905"/>
    <n v="4899.44"/>
    <m/>
    <s v="N"/>
    <n v="29"/>
    <d v="2023-07-10T19:02:03"/>
    <s v="Y"/>
    <s v="Attendance upon client"/>
    <s v="Prescribed Hourly Rates"/>
    <s v="Profit Cost"/>
    <s v="ROS"/>
    <s v="Y"/>
    <n v="107.33"/>
    <n v="21.47"/>
    <x v="2"/>
    <s v="VALIDATED"/>
    <n v="1"/>
    <s v="01.11.80.302.6100.0000"/>
    <n v="107.33"/>
    <s v="11"/>
    <s v="6100"/>
    <n v="43154.65"/>
    <n v="107.33"/>
    <s v="CREDITOR"/>
    <n v="0"/>
    <n v="0"/>
    <n v="0"/>
    <n v="0"/>
    <n v="107.33"/>
  </r>
  <r>
    <n v="61313803"/>
    <s v="N"/>
    <n v="21350025"/>
    <s v="3000015470000008"/>
    <s v="CIVIL"/>
    <d v="2023-06-29T00:00:00"/>
    <d v="2023-07-10T19:01:40"/>
    <m/>
    <d v="2023-07-10T00:00:00"/>
    <n v="924"/>
    <n v="2281"/>
    <s v="61313803"/>
    <s v="61313803"/>
    <m/>
    <m/>
    <n v="22789528"/>
    <m/>
    <m/>
    <m/>
    <s v="SOLFIN"/>
    <s v="SOLFIN"/>
    <s v="CCMS"/>
    <n v="21350025"/>
    <n v="6800.74"/>
    <m/>
    <s v="N"/>
    <n v="67"/>
    <d v="2023-07-10T19:02:09"/>
    <s v="Y"/>
    <s v="Preparation - other"/>
    <s v="Prescribed Hourly Rates"/>
    <s v="Profit Cost"/>
    <s v="RS"/>
    <s v="Y"/>
    <n v="6.31"/>
    <n v="1.26"/>
    <x v="2"/>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66"/>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00"/>
    <d v="2023-07-11T11:51:09"/>
    <s v="Y"/>
    <s v="Preparation - other"/>
    <s v="Prescribed Hourly Rates"/>
    <s v="Profit Cost"/>
    <s v="RS"/>
    <s v="Y"/>
    <n v="49.41"/>
    <n v="9.880000000000001"/>
    <x v="7"/>
    <s v="VALIDATED"/>
    <n v="1"/>
    <s v="01.11.80.307.6100.0000"/>
    <n v="49.41"/>
    <s v="11"/>
    <s v="6100"/>
    <n v="43154.65"/>
    <n v="49.41"/>
    <s v="CREDITOR"/>
    <n v="0"/>
    <n v="0"/>
    <n v="0"/>
    <n v="0"/>
    <n v="49.41"/>
  </r>
  <r>
    <n v="10004121"/>
    <s v="N"/>
    <n v="21360316"/>
    <s v="3000005900070010"/>
    <s v="CIVIL"/>
    <d v="2023-06-28T00:00:00"/>
    <d v="2023-07-11T11:50:54"/>
    <m/>
    <d v="2023-07-11T00:00:00"/>
    <n v="924"/>
    <n v="2281"/>
    <s v="10004121"/>
    <s v="10004121"/>
    <m/>
    <m/>
    <n v="22778134"/>
    <m/>
    <m/>
    <m/>
    <s v="SOLFIN"/>
    <s v="SOLFIN"/>
    <s v="CCMS"/>
    <n v="21360316"/>
    <n v="7425.76"/>
    <m/>
    <s v="N"/>
    <n v="77"/>
    <d v="2023-07-11T11:51:02"/>
    <s v="Y"/>
    <s v="Preparation - other"/>
    <s v="Prescribed Hourly Rates"/>
    <s v="Profit Cost"/>
    <s v="NPM"/>
    <s v="Y"/>
    <n v="16.47"/>
    <n v="3.29"/>
    <x v="7"/>
    <s v="VALIDATED"/>
    <n v="1"/>
    <s v="01.11.80.307.6100.0000"/>
    <n v="16.47"/>
    <s v="11"/>
    <s v="6100"/>
    <n v="43154.65"/>
    <n v="16.47"/>
    <s v="CREDITOR"/>
    <n v="0"/>
    <n v="0"/>
    <n v="0"/>
    <n v="0"/>
    <n v="16.47"/>
  </r>
  <r>
    <n v="8647673"/>
    <s v="N"/>
    <n v="21349284"/>
    <s v="3000004688890022"/>
    <s v="CIVIL"/>
    <d v="2023-06-27T00:00:00"/>
    <d v="2023-07-10T19:01:40"/>
    <m/>
    <d v="2023-07-10T00:00:00"/>
    <n v="924"/>
    <n v="2281"/>
    <s v="8647673"/>
    <s v="8647673"/>
    <m/>
    <m/>
    <n v="22771220"/>
    <m/>
    <m/>
    <m/>
    <s v="SOLFIN"/>
    <s v="SOLFIN"/>
    <s v="CCMS"/>
    <n v="21349284"/>
    <n v="14502.62"/>
    <m/>
    <s v="N"/>
    <n v="81"/>
    <d v="2023-07-10T19:01:43"/>
    <s v="Y"/>
    <s v="Attendance upon client"/>
    <s v="Prescribed Hourly Rates"/>
    <s v="Profit Cost"/>
    <s v="ROS"/>
    <s v="Y"/>
    <n v="37.06"/>
    <n v="7.41"/>
    <x v="2"/>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56"/>
    <d v="2023-07-10T19:02:09"/>
    <s v="Y"/>
    <s v="Preparation - other"/>
    <s v="Prescribed Hourly Rates"/>
    <s v="Profit Cost"/>
    <s v="RS"/>
    <s v="Y"/>
    <n v="74.12"/>
    <n v="14.82"/>
    <x v="2"/>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84"/>
    <d v="2023-07-10T19:02:09"/>
    <s v="Y"/>
    <s v="Preparation - other"/>
    <s v="Prescribed Hourly Rates"/>
    <s v="Profit Cost"/>
    <s v="CD"/>
    <s v="Y"/>
    <n v="16.47"/>
    <n v="3.29"/>
    <x v="2"/>
    <s v="VALIDATED"/>
    <n v="1"/>
    <s v="01.11.80.307.6100.0000"/>
    <n v="16.47"/>
    <s v="11"/>
    <s v="6100"/>
    <n v="43154.65"/>
    <n v="16.47"/>
    <s v="CREDITOR"/>
    <n v="0"/>
    <n v="0"/>
    <n v="0"/>
    <n v="0"/>
    <n v="16.47"/>
  </r>
  <r>
    <n v="11594527"/>
    <s v="N"/>
    <n v="21337864"/>
    <s v="3000006991410004"/>
    <s v="CIVIL"/>
    <d v="2023-06-27T00:00:00"/>
    <d v="2023-07-06T19:21:01"/>
    <m/>
    <d v="2023-07-06T00:00:00"/>
    <n v="924"/>
    <n v="2281"/>
    <s v="11594527"/>
    <s v="11594527"/>
    <m/>
    <m/>
    <n v="22768496"/>
    <m/>
    <m/>
    <m/>
    <s v="SOLFIN"/>
    <s v="SOLFIN"/>
    <s v="CCMS"/>
    <n v="21337864"/>
    <n v="6756.82"/>
    <m/>
    <s v="N"/>
    <n v="32"/>
    <d v="2023-07-06T19:21:09"/>
    <s v="Y"/>
    <s v="Preparation - other"/>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76"/>
    <d v="2023-07-06T19:21:09"/>
    <s v="Y"/>
    <s v="Preparation - other"/>
    <s v="Prescribed Hourly Rates"/>
    <s v="Profit Cost"/>
    <s v="RS"/>
    <s v="Y"/>
    <n v="74.12"/>
    <n v="14.82"/>
    <x v="4"/>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28"/>
    <d v="2023-07-06T19:21:09"/>
    <s v="Y"/>
    <s v="Attendance upon client"/>
    <s v="Prescribed Hourly Rates"/>
    <s v="Profit Cost"/>
    <s v="RS"/>
    <s v="Y"/>
    <n v="74.12"/>
    <n v="14.82"/>
    <x v="4"/>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126"/>
    <d v="2023-07-11T11:51:09"/>
    <s v="Y"/>
    <s v="Preparation - drafting bill/claim f"/>
    <s v="Prescribed Hourly Rates"/>
    <s v="Profit Cost"/>
    <s v="CD"/>
    <s v="Y"/>
    <n v="329.4"/>
    <n v="65.88"/>
    <x v="7"/>
    <s v="VALIDATED"/>
    <n v="1"/>
    <s v="01.11.80.307.6100.0000"/>
    <n v="329.4"/>
    <s v="11"/>
    <s v="6100"/>
    <n v="43154.65"/>
    <n v="329.4"/>
    <s v="CREDITOR"/>
    <n v="0"/>
    <n v="0"/>
    <n v="0"/>
    <n v="0"/>
    <n v="329.4"/>
  </r>
  <r>
    <n v="10004121"/>
    <s v="N"/>
    <n v="21360316"/>
    <s v="3000005900070010"/>
    <s v="CIVIL"/>
    <d v="2023-06-28T00:00:00"/>
    <d v="2023-07-11T11:50:54"/>
    <m/>
    <d v="2023-07-11T00:00:00"/>
    <n v="924"/>
    <n v="2281"/>
    <s v="10004121"/>
    <s v="10004121"/>
    <m/>
    <m/>
    <n v="22778134"/>
    <m/>
    <m/>
    <m/>
    <s v="SOLFIN"/>
    <s v="SOLFIN"/>
    <s v="CCMS"/>
    <n v="21360316"/>
    <n v="7425.76"/>
    <m/>
    <s v="N"/>
    <n v="5"/>
    <d v="2023-07-11T11:51:02"/>
    <s v="Y"/>
    <s v="Hearing Unit 1.01 - 2.30 Hours"/>
    <s v="Private Law Children"/>
    <s v="Advocacy"/>
    <s v="RS"/>
    <s v="Y"/>
    <n v="172.4"/>
    <n v="34.48"/>
    <x v="7"/>
    <s v="VALIDATED"/>
    <n v="1"/>
    <s v="01.11.80.307.6100.0000"/>
    <n v="172.4"/>
    <s v="11"/>
    <s v="6100"/>
    <n v="43154.65"/>
    <n v="172.4"/>
    <s v="CREDITOR"/>
    <n v="0"/>
    <n v="0"/>
    <n v="0"/>
    <n v="0"/>
    <n v="172.4"/>
  </r>
  <r>
    <n v="10004121"/>
    <s v="N"/>
    <n v="21360316"/>
    <s v="3000005900070010"/>
    <s v="CIVIL"/>
    <d v="2023-06-28T00:00:00"/>
    <d v="2023-07-11T11:50:54"/>
    <m/>
    <d v="2023-07-11T00:00:00"/>
    <n v="924"/>
    <n v="2281"/>
    <s v="10004121"/>
    <s v="10004121"/>
    <m/>
    <m/>
    <n v="22778134"/>
    <m/>
    <m/>
    <m/>
    <s v="SOLFIN"/>
    <s v="SOLFIN"/>
    <s v="CCMS"/>
    <n v="21360316"/>
    <n v="7425.76"/>
    <m/>
    <s v="N"/>
    <n v="6"/>
    <d v="2023-07-11T11:51:02"/>
    <s v="Y"/>
    <s v="Hearing Unit 0.00 - 1.00 Hours"/>
    <s v="Private Law Children"/>
    <s v="Advocacy"/>
    <s v="RS"/>
    <s v="Y"/>
    <n v="68.94"/>
    <n v="13.79"/>
    <x v="7"/>
    <s v="VALIDATED"/>
    <n v="1"/>
    <s v="01.11.80.307.6100.0000"/>
    <n v="68.94"/>
    <s v="11"/>
    <s v="6100"/>
    <n v="43154.65"/>
    <n v="68.94"/>
    <s v="CREDITOR"/>
    <n v="0"/>
    <n v="0"/>
    <n v="0"/>
    <n v="0"/>
    <n v="68.94"/>
  </r>
  <r>
    <n v="14064052"/>
    <s v="N"/>
    <n v="21349905"/>
    <s v="3000007298400008"/>
    <s v="CIVIL"/>
    <d v="2023-06-29T00:00:00"/>
    <d v="2023-07-10T19:01:40"/>
    <m/>
    <d v="2023-07-10T00:00:00"/>
    <n v="924"/>
    <n v="2281"/>
    <s v="14064052"/>
    <s v="14064052"/>
    <m/>
    <m/>
    <n v="22788366"/>
    <m/>
    <m/>
    <m/>
    <s v="SOLFIN"/>
    <s v="SOLFIN"/>
    <s v="CCMS"/>
    <n v="21349905"/>
    <n v="4899.44"/>
    <m/>
    <s v="N"/>
    <n v="36"/>
    <d v="2023-07-10T19:02:03"/>
    <s v="Y"/>
    <s v="Preparation - other"/>
    <s v="Prescribed Hourly Rates"/>
    <s v="Profit Cost"/>
    <s v="ROS"/>
    <s v="Y"/>
    <n v="94.7"/>
    <n v="18.94"/>
    <x v="2"/>
    <s v="VALIDATED"/>
    <n v="1"/>
    <s v="01.11.80.302.6100.0000"/>
    <n v="94.7"/>
    <s v="11"/>
    <s v="6100"/>
    <n v="43154.65"/>
    <n v="94.7"/>
    <s v="CREDITOR"/>
    <n v="0"/>
    <n v="0"/>
    <n v="0"/>
    <n v="0"/>
    <n v="94.7"/>
  </r>
  <r>
    <n v="8647673"/>
    <s v="N"/>
    <n v="21349284"/>
    <s v="3000004688890022"/>
    <s v="CIVIL"/>
    <d v="2023-06-27T00:00:00"/>
    <d v="2023-07-10T19:01:40"/>
    <m/>
    <d v="2023-07-10T00:00:00"/>
    <n v="924"/>
    <n v="2281"/>
    <s v="8647673"/>
    <s v="8647673"/>
    <m/>
    <m/>
    <n v="22771220"/>
    <m/>
    <m/>
    <m/>
    <s v="SOLFIN"/>
    <s v="SOLFIN"/>
    <s v="CCMS"/>
    <n v="21349284"/>
    <n v="14502.62"/>
    <m/>
    <s v="N"/>
    <n v="7"/>
    <d v="2023-07-10T19:01:43"/>
    <s v="Y"/>
    <s v="Court Fee"/>
    <s v="Prescribed Hourly Rates"/>
    <s v="Non Expert Disbursement"/>
    <s v="XXX"/>
    <s v="Y"/>
    <n v="215"/>
    <n v="0"/>
    <x v="2"/>
    <s v="VALIDATED"/>
    <n v="1"/>
    <s v="01.11.80.307.6300.0000"/>
    <n v="215"/>
    <s v="11"/>
    <s v="6300"/>
    <n v="43154.65"/>
    <n v="215"/>
    <s v="CREDITOR"/>
    <n v="0"/>
    <n v="0"/>
    <n v="0"/>
    <n v="0"/>
    <n v="215"/>
  </r>
  <r>
    <n v="8647673"/>
    <s v="N"/>
    <n v="21349284"/>
    <s v="3000004688890022"/>
    <s v="CIVIL"/>
    <d v="2023-06-27T00:00:00"/>
    <d v="2023-07-10T19:01:40"/>
    <m/>
    <d v="2023-07-10T00:00:00"/>
    <n v="924"/>
    <n v="2281"/>
    <s v="8647673"/>
    <s v="8647673"/>
    <m/>
    <m/>
    <n v="22771220"/>
    <m/>
    <m/>
    <m/>
    <s v="SOLFIN"/>
    <s v="SOLFIN"/>
    <s v="CCMS"/>
    <n v="21349284"/>
    <n v="14502.62"/>
    <m/>
    <s v="N"/>
    <n v="115"/>
    <d v="2023-07-10T19:01:43"/>
    <s v="Y"/>
    <s v="Preparation - other"/>
    <s v="Prescribed Hourly Rates"/>
    <s v="Profit Cost"/>
    <s v="NPM"/>
    <s v="Y"/>
    <n v="27.45"/>
    <n v="5.49"/>
    <x v="2"/>
    <s v="VALIDATED"/>
    <n v="1"/>
    <s v="01.11.80.307.6100.0000"/>
    <n v="27.45"/>
    <s v="11"/>
    <s v="6100"/>
    <n v="43154.65"/>
    <n v="27.45"/>
    <s v="CREDITOR"/>
    <n v="0"/>
    <n v="0"/>
    <n v="0"/>
    <n v="0"/>
    <n v="27.45"/>
  </r>
  <r>
    <n v="14064052"/>
    <s v="N"/>
    <n v="21349905"/>
    <s v="3000007298400008"/>
    <s v="CIVIL"/>
    <d v="2023-06-29T00:00:00"/>
    <d v="2023-07-10T19:01:40"/>
    <m/>
    <d v="2023-07-10T00:00:00"/>
    <n v="924"/>
    <n v="2281"/>
    <s v="14064052"/>
    <s v="14064052"/>
    <m/>
    <m/>
    <n v="22788366"/>
    <m/>
    <m/>
    <m/>
    <s v="SOLFIN"/>
    <s v="SOLFIN"/>
    <s v="CCMS"/>
    <n v="21349905"/>
    <n v="4899.44"/>
    <m/>
    <s v="N"/>
    <n v="2"/>
    <d v="2023-07-10T19:02:03"/>
    <s v="Y"/>
    <s v="Court Fee"/>
    <s v="Prescribed Hourly Rates"/>
    <s v="Non Expert Disbursement"/>
    <s v="XXX"/>
    <s v="Y"/>
    <n v="155"/>
    <n v="0"/>
    <x v="2"/>
    <s v="VALIDATED"/>
    <n v="1"/>
    <s v="01.11.80.302.6300.0000"/>
    <n v="155"/>
    <s v="11"/>
    <s v="6300"/>
    <n v="43154.65"/>
    <n v="155"/>
    <s v="CREDITOR"/>
    <n v="0"/>
    <n v="0"/>
    <n v="0"/>
    <n v="0"/>
    <n v="155"/>
  </r>
  <r>
    <n v="11594527"/>
    <s v="N"/>
    <n v="21337864"/>
    <s v="3000006991410004"/>
    <s v="CIVIL"/>
    <d v="2023-06-27T00:00:00"/>
    <d v="2023-07-06T19:21:01"/>
    <m/>
    <d v="2023-07-06T00:00:00"/>
    <n v="924"/>
    <n v="2281"/>
    <s v="11594527"/>
    <s v="11594527"/>
    <m/>
    <m/>
    <n v="22768496"/>
    <m/>
    <m/>
    <m/>
    <s v="SOLFIN"/>
    <s v="SOLFIN"/>
    <s v="CCMS"/>
    <n v="21337864"/>
    <n v="6756.82"/>
    <m/>
    <s v="N"/>
    <n v="93"/>
    <d v="2023-07-06T19:21:09"/>
    <s v="Y"/>
    <s v="Preparation - drafting bill/claim f"/>
    <s v="Prescribed Hourly Rates"/>
    <s v="Profit Cost"/>
    <s v="CD"/>
    <s v="Y"/>
    <n v="290.97"/>
    <n v="58.19"/>
    <x v="4"/>
    <s v="VALIDATED"/>
    <n v="1"/>
    <s v="01.11.80.307.6100.0000"/>
    <n v="290.97"/>
    <s v="11"/>
    <s v="6100"/>
    <n v="43154.65"/>
    <n v="290.97"/>
    <s v="CREDITOR"/>
    <n v="0"/>
    <n v="0"/>
    <n v="0"/>
    <n v="0"/>
    <n v="290.97"/>
  </r>
  <r>
    <n v="61649995"/>
    <s v="N"/>
    <n v="21327585"/>
    <s v="3000015744050002"/>
    <s v="CIVIL"/>
    <d v="2023-06-30T00:00:00"/>
    <d v="2023-07-04T19:00:44"/>
    <m/>
    <d v="2023-07-04T00:00:00"/>
    <n v="924"/>
    <n v="2281"/>
    <s v="61649995"/>
    <s v="61649995"/>
    <m/>
    <m/>
    <n v="22794030"/>
    <m/>
    <m/>
    <m/>
    <s v="SOLPOA"/>
    <s v="SOLPOA"/>
    <s v="CCMS"/>
    <n v="21327585"/>
    <n v="275"/>
    <m/>
    <s v="N"/>
    <n v="1"/>
    <d v="2023-07-04T19:00:50"/>
    <s v="N"/>
    <s v="Non Expert Disbursement - Finance"/>
    <s v="Non Expert Disbursement - Fina"/>
    <s v="Non Expert Disbursement"/>
    <s v="Rodric Singh"/>
    <s v="N"/>
    <n v="275"/>
    <n v="0"/>
    <x v="1"/>
    <s v="VALIDATED"/>
    <n v="1"/>
    <s v="01.11.80.303.2012.0000"/>
    <n v="275"/>
    <s v="11"/>
    <s v="2012"/>
    <n v="43154.65"/>
    <n v="275"/>
    <s v="CREDITOR"/>
    <n v="275"/>
    <n v="0"/>
    <n v="0"/>
    <n v="0"/>
    <n v="0"/>
  </r>
  <r>
    <n v="60950874"/>
    <s v="N"/>
    <n v="21360551"/>
    <s v="3000015160760008"/>
    <s v="CIVIL"/>
    <d v="2023-06-30T00:00:00"/>
    <d v="2023-07-11T11:50:54"/>
    <m/>
    <d v="2023-07-11T00:00:00"/>
    <n v="924"/>
    <n v="2281"/>
    <s v="60950874"/>
    <s v="60950874"/>
    <m/>
    <m/>
    <n v="22794622"/>
    <m/>
    <m/>
    <m/>
    <s v="SOLFIN"/>
    <s v="SOLFIN"/>
    <s v="CCMS"/>
    <n v="21360551"/>
    <n v="11550.02"/>
    <m/>
    <s v="N"/>
    <n v="65"/>
    <d v="2023-07-11T11:51:09"/>
    <s v="Y"/>
    <s v="Attendance upon client"/>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85"/>
    <d v="2023-07-11T11:51:02"/>
    <s v="Y"/>
    <s v="Preparation - drafting consent orde"/>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50"/>
    <d v="2023-07-11T11:51:02"/>
    <s v="Y"/>
    <s v="Attendance upon client"/>
    <s v="Prescribed Hourly Rates"/>
    <s v="Profit Cost"/>
    <s v="RS"/>
    <s v="Y"/>
    <n v="74.12"/>
    <n v="14.82"/>
    <x v="7"/>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63"/>
    <d v="2023-07-10T19:02:09"/>
    <s v="Y"/>
    <s v="Preparation - other"/>
    <s v="Prescribed Hourly Rates"/>
    <s v="Profit Cost"/>
    <s v="RS"/>
    <s v="Y"/>
    <n v="2.47"/>
    <n v="0.49"/>
    <x v="2"/>
    <s v="VALIDATED"/>
    <n v="1"/>
    <s v="01.11.80.307.6100.0000"/>
    <n v="2.47"/>
    <s v="11"/>
    <s v="6100"/>
    <n v="43154.65"/>
    <n v="2.47"/>
    <s v="CREDITOR"/>
    <n v="0"/>
    <n v="0"/>
    <n v="0"/>
    <n v="0"/>
    <n v="2.47"/>
  </r>
  <r>
    <n v="61313803"/>
    <s v="N"/>
    <n v="21350025"/>
    <s v="3000015470000008"/>
    <s v="CIVIL"/>
    <d v="2023-06-29T00:00:00"/>
    <d v="2023-07-10T19:01:40"/>
    <m/>
    <d v="2023-07-10T00:00:00"/>
    <n v="924"/>
    <n v="2281"/>
    <s v="61313803"/>
    <s v="61313803"/>
    <m/>
    <m/>
    <n v="22789528"/>
    <m/>
    <m/>
    <m/>
    <s v="SOLFIN"/>
    <s v="SOLFIN"/>
    <s v="CCMS"/>
    <n v="21350025"/>
    <n v="6800.74"/>
    <m/>
    <s v="N"/>
    <n v="88"/>
    <d v="2023-07-10T19:02:09"/>
    <s v="Y"/>
    <s v="Routine Telephone Call"/>
    <s v="Prescribed Hourly Rates"/>
    <s v="Profit Cost"/>
    <s v="RS"/>
    <s v="Y"/>
    <n v="43.47"/>
    <n v="8.69"/>
    <x v="2"/>
    <s v="VALIDATED"/>
    <n v="1"/>
    <s v="01.11.80.307.6100.0000"/>
    <n v="43.47"/>
    <s v="11"/>
    <s v="6100"/>
    <n v="43154.65"/>
    <n v="43.47"/>
    <s v="CREDITOR"/>
    <n v="0"/>
    <n v="0"/>
    <n v="0"/>
    <n v="0"/>
    <n v="43.47"/>
  </r>
  <r>
    <n v="14064052"/>
    <s v="N"/>
    <n v="21349905"/>
    <s v="3000007298400008"/>
    <s v="CIVIL"/>
    <d v="2023-06-29T00:00:00"/>
    <d v="2023-07-10T19:01:40"/>
    <m/>
    <d v="2023-07-10T00:00:00"/>
    <n v="924"/>
    <n v="2281"/>
    <s v="14064052"/>
    <s v="14064052"/>
    <m/>
    <m/>
    <n v="22788366"/>
    <m/>
    <m/>
    <m/>
    <s v="SOLFIN"/>
    <s v="SOLFIN"/>
    <s v="CCMS"/>
    <n v="21349905"/>
    <n v="4899.44"/>
    <m/>
    <s v="N"/>
    <n v="40"/>
    <d v="2023-07-10T19:02:03"/>
    <s v="Y"/>
    <s v="Preparation - other"/>
    <s v="Prescribed Hourly Rates"/>
    <s v="Profit Cost"/>
    <s v="CD"/>
    <s v="Y"/>
    <n v="10.98"/>
    <n v="2.2"/>
    <x v="2"/>
    <s v="VALIDATED"/>
    <n v="1"/>
    <s v="01.11.80.302.6100.0000"/>
    <n v="10.98"/>
    <s v="11"/>
    <s v="6100"/>
    <n v="43154.65"/>
    <n v="10.98"/>
    <s v="CREDITOR"/>
    <n v="0"/>
    <n v="0"/>
    <n v="0"/>
    <n v="0"/>
    <n v="10.98"/>
  </r>
  <r>
    <n v="8647673"/>
    <s v="N"/>
    <n v="21349284"/>
    <s v="3000004688890022"/>
    <s v="CIVIL"/>
    <d v="2023-06-27T00:00:00"/>
    <d v="2023-07-10T19:01:40"/>
    <m/>
    <d v="2023-07-10T00:00:00"/>
    <n v="924"/>
    <n v="2281"/>
    <s v="8647673"/>
    <s v="8647673"/>
    <m/>
    <m/>
    <n v="22771220"/>
    <m/>
    <m/>
    <m/>
    <s v="SOLFIN"/>
    <s v="SOLFIN"/>
    <s v="CCMS"/>
    <n v="21349284"/>
    <n v="14502.62"/>
    <m/>
    <s v="N"/>
    <n v="26"/>
    <d v="2023-07-10T19:01:43"/>
    <s v="Y"/>
    <s v="Preparation - other"/>
    <s v="Prescribed Hourly Rates"/>
    <s v="Profit Cost"/>
    <s v="ROS"/>
    <s v="Y"/>
    <n v="12.63"/>
    <n v="2.53"/>
    <x v="2"/>
    <s v="VALIDATED"/>
    <n v="1"/>
    <s v="01.11.80.307.6100.0000"/>
    <n v="12.63"/>
    <s v="11"/>
    <s v="6100"/>
    <n v="43154.65"/>
    <n v="12.63"/>
    <s v="CREDITOR"/>
    <n v="0"/>
    <n v="0"/>
    <n v="0"/>
    <n v="0"/>
    <n v="12.63"/>
  </r>
  <r>
    <n v="8647673"/>
    <s v="N"/>
    <n v="21349284"/>
    <s v="3000004688890022"/>
    <s v="CIVIL"/>
    <d v="2023-06-27T00:00:00"/>
    <d v="2023-07-10T19:01:40"/>
    <m/>
    <d v="2023-07-10T00:00:00"/>
    <n v="924"/>
    <n v="2281"/>
    <s v="8647673"/>
    <s v="8647673"/>
    <m/>
    <m/>
    <n v="22771220"/>
    <m/>
    <m/>
    <m/>
    <s v="SOLFIN"/>
    <s v="SOLFIN"/>
    <s v="CCMS"/>
    <n v="21349284"/>
    <n v="14502.62"/>
    <m/>
    <s v="N"/>
    <n v="45"/>
    <d v="2023-07-10T19:01:43"/>
    <s v="Y"/>
    <s v="Preparation - other"/>
    <s v="Prescribed Hourly Rates"/>
    <s v="Profit Cost"/>
    <s v="ROS"/>
    <s v="Y"/>
    <n v="7.41"/>
    <n v="1.48"/>
    <x v="2"/>
    <s v="VALIDATED"/>
    <n v="1"/>
    <s v="01.11.80.307.6100.0000"/>
    <n v="7.41"/>
    <s v="11"/>
    <s v="6100"/>
    <n v="43154.65"/>
    <n v="7.41"/>
    <s v="CREDITOR"/>
    <n v="0"/>
    <n v="0"/>
    <n v="0"/>
    <n v="0"/>
    <n v="7.41"/>
  </r>
  <r>
    <n v="8647673"/>
    <s v="N"/>
    <n v="21349284"/>
    <s v="3000004688890022"/>
    <s v="CIVIL"/>
    <d v="2023-06-27T00:00:00"/>
    <d v="2023-07-10T19:01:40"/>
    <m/>
    <d v="2023-07-10T00:00:00"/>
    <n v="924"/>
    <n v="2281"/>
    <s v="8647673"/>
    <s v="8647673"/>
    <m/>
    <m/>
    <n v="22771220"/>
    <m/>
    <m/>
    <m/>
    <s v="SOLFIN"/>
    <s v="SOLFIN"/>
    <s v="CCMS"/>
    <n v="21349284"/>
    <n v="14502.62"/>
    <m/>
    <s v="N"/>
    <n v="59"/>
    <d v="2023-07-10T19:01:43"/>
    <s v="Y"/>
    <s v="Preparation - other"/>
    <s v="Prescribed Hourly Rates"/>
    <s v="Profit Cost"/>
    <s v="ROS"/>
    <s v="Y"/>
    <n v="51.88"/>
    <n v="10.38"/>
    <x v="2"/>
    <s v="VALIDATED"/>
    <n v="1"/>
    <s v="01.11.80.307.6100.0000"/>
    <n v="51.88"/>
    <s v="11"/>
    <s v="6100"/>
    <n v="43154.65"/>
    <n v="51.88"/>
    <s v="CREDITOR"/>
    <n v="0"/>
    <n v="0"/>
    <n v="0"/>
    <n v="0"/>
    <n v="51.88"/>
  </r>
  <r>
    <n v="6022968"/>
    <s v="N"/>
    <n v="21331042"/>
    <s v="3000002607450005"/>
    <s v="CIVIL"/>
    <d v="2023-06-23T00:00:00"/>
    <d v="2023-07-05T19:01:47"/>
    <m/>
    <d v="2023-07-05T00:00:00"/>
    <n v="924"/>
    <n v="2281"/>
    <s v="6022968"/>
    <s v="6022968"/>
    <m/>
    <m/>
    <n v="22748538"/>
    <m/>
    <m/>
    <m/>
    <s v="SOLFIN"/>
    <s v="SOLFIN"/>
    <s v="CCMS"/>
    <n v="21331042"/>
    <n v="2416.22"/>
    <m/>
    <s v="N"/>
    <n v="12"/>
    <d v="2023-07-05T19:02:03"/>
    <s v="Y"/>
    <s v="Preparation - other"/>
    <s v="Prescribed Hourly Rates"/>
    <s v="Profit Cost"/>
    <s v="RS"/>
    <s v="Y"/>
    <n v="91.5"/>
    <n v="18.3"/>
    <x v="6"/>
    <s v="VALIDATED"/>
    <n v="1"/>
    <s v="01.11.80.307.6100.0000"/>
    <n v="91.5"/>
    <s v="11"/>
    <s v="6100"/>
    <n v="43154.65"/>
    <n v="91.5"/>
    <s v="CREDITOR"/>
    <n v="0"/>
    <n v="0"/>
    <n v="0"/>
    <n v="0"/>
    <n v="91.5"/>
  </r>
  <r>
    <n v="60950874"/>
    <s v="N"/>
    <n v="21360551"/>
    <s v="3000015160760008"/>
    <s v="CIVIL"/>
    <d v="2023-06-30T00:00:00"/>
    <d v="2023-07-11T11:50:54"/>
    <m/>
    <d v="2023-07-11T00:00:00"/>
    <n v="924"/>
    <n v="2281"/>
    <s v="60950874"/>
    <s v="60950874"/>
    <m/>
    <m/>
    <n v="22794622"/>
    <m/>
    <m/>
    <m/>
    <s v="SOLFIN"/>
    <s v="SOLFIN"/>
    <s v="CCMS"/>
    <n v="21360551"/>
    <n v="11550.02"/>
    <m/>
    <s v="N"/>
    <n v="30"/>
    <d v="2023-07-11T11:51:09"/>
    <s v="Y"/>
    <s v="Preparation - other"/>
    <s v="Prescribed Hourly Rates"/>
    <s v="Profit Cost"/>
    <s v="RS"/>
    <s v="Y"/>
    <n v="49.41"/>
    <n v="9.880000000000001"/>
    <x v="7"/>
    <s v="VALIDATED"/>
    <n v="1"/>
    <s v="01.11.80.307.6100.0000"/>
    <n v="49.41"/>
    <s v="11"/>
    <s v="6100"/>
    <n v="43154.65"/>
    <n v="49.41"/>
    <s v="CREDITOR"/>
    <n v="0"/>
    <n v="0"/>
    <n v="0"/>
    <n v="0"/>
    <n v="49.41"/>
  </r>
  <r>
    <n v="60950874"/>
    <s v="N"/>
    <n v="21360551"/>
    <s v="3000015160760008"/>
    <s v="CIVIL"/>
    <d v="2023-06-30T00:00:00"/>
    <d v="2023-07-11T11:50:54"/>
    <m/>
    <d v="2023-07-11T00:00:00"/>
    <n v="924"/>
    <n v="2281"/>
    <s v="60950874"/>
    <s v="60950874"/>
    <m/>
    <m/>
    <n v="22794622"/>
    <m/>
    <m/>
    <m/>
    <s v="SOLFIN"/>
    <s v="SOLFIN"/>
    <s v="CCMS"/>
    <n v="21360551"/>
    <n v="11550.02"/>
    <m/>
    <s v="N"/>
    <n v="44"/>
    <d v="2023-07-11T11:51:09"/>
    <s v="Y"/>
    <s v="Preparation - other"/>
    <s v="Prescribed Hourly Rates"/>
    <s v="Profit Cost"/>
    <s v="RS"/>
    <s v="Y"/>
    <n v="14.82"/>
    <n v="2.96"/>
    <x v="7"/>
    <s v="VALIDATED"/>
    <n v="1"/>
    <s v="01.11.80.307.6100.0000"/>
    <n v="14.82"/>
    <s v="11"/>
    <s v="6100"/>
    <n v="43154.65"/>
    <n v="14.82"/>
    <s v="CREDITOR"/>
    <n v="0"/>
    <n v="0"/>
    <n v="0"/>
    <n v="0"/>
    <n v="14.82"/>
  </r>
  <r>
    <n v="60950874"/>
    <s v="N"/>
    <n v="21360551"/>
    <s v="3000015160760008"/>
    <s v="CIVIL"/>
    <d v="2023-06-30T00:00:00"/>
    <d v="2023-07-11T11:50:54"/>
    <m/>
    <d v="2023-07-11T00:00:00"/>
    <n v="924"/>
    <n v="2281"/>
    <s v="60950874"/>
    <s v="60950874"/>
    <m/>
    <m/>
    <n v="22794622"/>
    <m/>
    <m/>
    <m/>
    <s v="SOLFIN"/>
    <s v="SOLFIN"/>
    <s v="CCMS"/>
    <n v="21360551"/>
    <n v="11550.02"/>
    <m/>
    <s v="N"/>
    <n v="7"/>
    <d v="2023-07-11T11:51:09"/>
    <s v="N"/>
    <s v="Level 3 &amp; Enforcement Fixed Fee"/>
    <s v="Private Law Children"/>
    <s v="Profit Cost"/>
    <s v="XXX"/>
    <s v="N"/>
    <n v="0"/>
    <n v="0"/>
    <x v="7"/>
    <s v="VALIDATED"/>
    <n v="1"/>
    <s v="01.11.80.307.6100.0000"/>
    <n v="0"/>
    <s v="11"/>
    <s v="6100"/>
    <n v="43154.65"/>
    <n v="0"/>
    <s v="CREDITOR"/>
    <n v="0"/>
    <n v="0"/>
    <n v="0"/>
    <n v="0"/>
    <n v="0"/>
  </r>
  <r>
    <n v="10004121"/>
    <s v="N"/>
    <n v="21360316"/>
    <s v="3000005900070010"/>
    <s v="CIVIL"/>
    <d v="2023-06-28T00:00:00"/>
    <d v="2023-07-11T11:50:54"/>
    <m/>
    <d v="2023-07-11T00:00:00"/>
    <n v="924"/>
    <n v="2281"/>
    <s v="10004121"/>
    <s v="10004121"/>
    <m/>
    <m/>
    <n v="22778134"/>
    <m/>
    <m/>
    <m/>
    <s v="SOLFIN"/>
    <s v="SOLFIN"/>
    <s v="CCMS"/>
    <n v="21360316"/>
    <n v="7425.76"/>
    <m/>
    <s v="N"/>
    <n v="54"/>
    <d v="2023-07-11T11:51:02"/>
    <s v="Y"/>
    <s v="Attendance upon client"/>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4"/>
    <d v="2023-07-11T11:51:02"/>
    <s v="Y"/>
    <s v="Hearing Unit 0.00 - 1.00 Hours"/>
    <s v="Private Law Children"/>
    <s v="Advocacy"/>
    <s v="RS"/>
    <s v="Y"/>
    <n v="68.94"/>
    <n v="13.79"/>
    <x v="7"/>
    <s v="VALIDATED"/>
    <n v="1"/>
    <s v="01.11.80.307.6100.0000"/>
    <n v="68.94"/>
    <s v="11"/>
    <s v="6100"/>
    <n v="43154.65"/>
    <n v="68.94"/>
    <s v="CREDITOR"/>
    <n v="0"/>
    <n v="0"/>
    <n v="0"/>
    <n v="0"/>
    <n v="68.94"/>
  </r>
  <r>
    <n v="8647673"/>
    <s v="N"/>
    <n v="21349284"/>
    <s v="3000004688890022"/>
    <s v="CIVIL"/>
    <d v="2023-06-27T00:00:00"/>
    <d v="2023-07-10T19:01:40"/>
    <m/>
    <d v="2023-07-10T00:00:00"/>
    <n v="924"/>
    <n v="2281"/>
    <s v="8647673"/>
    <s v="8647673"/>
    <m/>
    <m/>
    <n v="22771220"/>
    <m/>
    <m/>
    <m/>
    <s v="SOLFIN"/>
    <s v="SOLFIN"/>
    <s v="CCMS"/>
    <n v="21349284"/>
    <n v="14502.62"/>
    <m/>
    <s v="N"/>
    <n v="20"/>
    <d v="2023-07-10T19:01:43"/>
    <s v="Y"/>
    <s v="Attendance upon client"/>
    <s v="Prescribed Hourly Rates"/>
    <s v="Profit Cost"/>
    <s v="ROS"/>
    <s v="Y"/>
    <n v="7.41"/>
    <n v="1.48"/>
    <x v="2"/>
    <s v="VALIDATED"/>
    <n v="1"/>
    <s v="01.11.80.307.6100.0000"/>
    <n v="7.41"/>
    <s v="11"/>
    <s v="6100"/>
    <n v="43154.65"/>
    <n v="7.41"/>
    <s v="CREDITOR"/>
    <n v="0"/>
    <n v="0"/>
    <n v="0"/>
    <n v="0"/>
    <n v="7.41"/>
  </r>
  <r>
    <n v="11594527"/>
    <s v="N"/>
    <n v="21337864"/>
    <s v="3000006991410004"/>
    <s v="CIVIL"/>
    <d v="2023-06-27T00:00:00"/>
    <d v="2023-07-06T19:21:01"/>
    <m/>
    <d v="2023-07-06T00:00:00"/>
    <n v="924"/>
    <n v="2281"/>
    <s v="11594527"/>
    <s v="11594527"/>
    <m/>
    <m/>
    <n v="22768496"/>
    <m/>
    <m/>
    <m/>
    <s v="SOLFIN"/>
    <s v="SOLFIN"/>
    <s v="CCMS"/>
    <n v="21337864"/>
    <n v="6756.82"/>
    <m/>
    <s v="N"/>
    <n v="27"/>
    <d v="2023-07-06T19:21:09"/>
    <s v="Y"/>
    <s v="Preparation - drafting attendance n"/>
    <s v="Prescribed Hourly Rates"/>
    <s v="Profit Cost"/>
    <s v="RS"/>
    <s v="Y"/>
    <n v="6.31"/>
    <n v="1.26"/>
    <x v="4"/>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18"/>
    <d v="2023-07-11T11:51:09"/>
    <s v="Y"/>
    <s v="Preparation - drafting statement"/>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77"/>
    <d v="2023-07-11T11:51:09"/>
    <s v="Y"/>
    <s v="Preparation - other"/>
    <s v="Prescribed Hourly Rates"/>
    <s v="Profit Cost"/>
    <s v="RS"/>
    <s v="Y"/>
    <n v="37.06"/>
    <n v="7.41"/>
    <x v="7"/>
    <s v="VALIDATED"/>
    <n v="1"/>
    <s v="01.11.80.307.6100.0000"/>
    <n v="37.06"/>
    <s v="11"/>
    <s v="6100"/>
    <n v="43154.65"/>
    <n v="37.06"/>
    <s v="CREDITOR"/>
    <n v="0"/>
    <n v="0"/>
    <n v="0"/>
    <n v="0"/>
    <n v="37.06"/>
  </r>
  <r>
    <n v="60950874"/>
    <s v="N"/>
    <n v="21360551"/>
    <s v="3000015160760008"/>
    <s v="CIVIL"/>
    <d v="2023-06-30T00:00:00"/>
    <d v="2023-07-11T11:50:54"/>
    <m/>
    <d v="2023-07-11T00:00:00"/>
    <n v="924"/>
    <n v="2281"/>
    <s v="60950874"/>
    <s v="60950874"/>
    <m/>
    <m/>
    <n v="22794622"/>
    <m/>
    <m/>
    <m/>
    <s v="SOLFIN"/>
    <s v="SOLFIN"/>
    <s v="CCMS"/>
    <n v="21360551"/>
    <n v="11550.02"/>
    <m/>
    <s v="N"/>
    <n v="97"/>
    <d v="2023-07-11T11:51:09"/>
    <s v="Y"/>
    <s v="Preparation - other"/>
    <s v="Prescribed Hourly Rates"/>
    <s v="Profit Cost"/>
    <s v="RS"/>
    <s v="Y"/>
    <n v="27.18"/>
    <n v="5.44"/>
    <x v="7"/>
    <s v="VALIDATED"/>
    <n v="1"/>
    <s v="01.11.80.307.6100.0000"/>
    <n v="27.18"/>
    <s v="11"/>
    <s v="6100"/>
    <n v="43154.65"/>
    <n v="27.18"/>
    <s v="CREDITOR"/>
    <n v="0"/>
    <n v="0"/>
    <n v="0"/>
    <n v="0"/>
    <n v="27.18"/>
  </r>
  <r>
    <n v="10004121"/>
    <s v="N"/>
    <n v="21360316"/>
    <s v="3000005900070010"/>
    <s v="CIVIL"/>
    <d v="2023-06-28T00:00:00"/>
    <d v="2023-07-11T11:50:54"/>
    <m/>
    <d v="2023-07-11T00:00:00"/>
    <n v="924"/>
    <n v="2281"/>
    <s v="10004121"/>
    <s v="10004121"/>
    <m/>
    <m/>
    <n v="22778134"/>
    <m/>
    <m/>
    <m/>
    <s v="SOLFIN"/>
    <s v="SOLFIN"/>
    <s v="CCMS"/>
    <n v="21360316"/>
    <n v="7425.76"/>
    <m/>
    <s v="N"/>
    <n v="61"/>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21"/>
    <d v="2023-07-11T11:51:02"/>
    <s v="Y"/>
    <s v="Preparation - other"/>
    <s v="Prescribed Hourly Rates"/>
    <s v="Profit Cost"/>
    <s v="NPM"/>
    <s v="Y"/>
    <n v="10.98"/>
    <n v="2.2"/>
    <x v="7"/>
    <s v="VALIDATED"/>
    <n v="1"/>
    <s v="01.11.80.307.6100.0000"/>
    <n v="10.98"/>
    <s v="11"/>
    <s v="6100"/>
    <n v="43154.65"/>
    <n v="10.98"/>
    <s v="CREDITOR"/>
    <n v="0"/>
    <n v="0"/>
    <n v="0"/>
    <n v="0"/>
    <n v="10.98"/>
  </r>
  <r>
    <n v="8647673"/>
    <s v="N"/>
    <n v="21349284"/>
    <s v="3000004688890022"/>
    <s v="CIVIL"/>
    <d v="2023-06-27T00:00:00"/>
    <d v="2023-07-10T19:01:40"/>
    <m/>
    <d v="2023-07-10T00:00:00"/>
    <n v="924"/>
    <n v="2281"/>
    <s v="8647673"/>
    <s v="8647673"/>
    <m/>
    <m/>
    <n v="22771220"/>
    <m/>
    <m/>
    <m/>
    <s v="SOLFIN"/>
    <s v="SOLFIN"/>
    <s v="CCMS"/>
    <n v="21349284"/>
    <n v="14502.62"/>
    <m/>
    <s v="N"/>
    <n v="78"/>
    <d v="2023-07-10T19:01:43"/>
    <s v="Y"/>
    <s v="Preparation - other"/>
    <s v="Prescribed Hourly Rates"/>
    <s v="Profit Cost"/>
    <s v="ROS"/>
    <s v="Y"/>
    <n v="12.63"/>
    <n v="2.53"/>
    <x v="2"/>
    <s v="VALIDATED"/>
    <n v="1"/>
    <s v="01.11.80.307.6100.0000"/>
    <n v="12.63"/>
    <s v="11"/>
    <s v="6100"/>
    <n v="43154.65"/>
    <n v="12.63"/>
    <s v="CREDITOR"/>
    <n v="0"/>
    <n v="0"/>
    <n v="0"/>
    <n v="0"/>
    <n v="12.63"/>
  </r>
  <r>
    <n v="14064052"/>
    <s v="N"/>
    <n v="21349905"/>
    <s v="3000007298400008"/>
    <s v="CIVIL"/>
    <d v="2023-06-29T00:00:00"/>
    <d v="2023-07-10T19:01:40"/>
    <m/>
    <d v="2023-07-10T00:00:00"/>
    <n v="924"/>
    <n v="2281"/>
    <s v="14064052"/>
    <s v="14064052"/>
    <m/>
    <m/>
    <n v="22788366"/>
    <m/>
    <m/>
    <m/>
    <s v="SOLFIN"/>
    <s v="SOLFIN"/>
    <s v="CCMS"/>
    <n v="21349905"/>
    <n v="4899.44"/>
    <m/>
    <s v="N"/>
    <n v="20"/>
    <d v="2023-07-10T19:02:03"/>
    <s v="Y"/>
    <s v="Preparation - drafting application"/>
    <s v="Prescribed Hourly Rates"/>
    <s v="Profit Cost"/>
    <s v="ROS"/>
    <s v="Y"/>
    <n v="94.7"/>
    <n v="18.94"/>
    <x v="2"/>
    <s v="VALIDATED"/>
    <n v="1"/>
    <s v="01.11.80.302.6100.0000"/>
    <n v="94.7"/>
    <s v="11"/>
    <s v="6100"/>
    <n v="43154.65"/>
    <n v="94.7"/>
    <s v="CREDITOR"/>
    <n v="0"/>
    <n v="0"/>
    <n v="0"/>
    <n v="0"/>
    <n v="94.7"/>
  </r>
  <r>
    <n v="14064052"/>
    <s v="N"/>
    <n v="21349905"/>
    <s v="3000007298400008"/>
    <s v="CIVIL"/>
    <d v="2023-06-29T00:00:00"/>
    <d v="2023-07-10T19:01:40"/>
    <m/>
    <d v="2023-07-10T00:00:00"/>
    <n v="924"/>
    <n v="2281"/>
    <s v="14064052"/>
    <s v="14064052"/>
    <m/>
    <m/>
    <n v="22788366"/>
    <m/>
    <m/>
    <m/>
    <s v="SOLFIN"/>
    <s v="SOLFIN"/>
    <s v="CCMS"/>
    <n v="21349905"/>
    <n v="4899.44"/>
    <m/>
    <s v="N"/>
    <n v="25"/>
    <d v="2023-07-10T19:02:03"/>
    <s v="Y"/>
    <s v="Preparation - other"/>
    <s v="Prescribed Hourly Rates"/>
    <s v="Profit Cost"/>
    <s v="ROS"/>
    <s v="Y"/>
    <n v="31.57"/>
    <n v="6.31"/>
    <x v="2"/>
    <s v="VALIDATED"/>
    <n v="1"/>
    <s v="01.11.80.302.6100.0000"/>
    <n v="31.57"/>
    <s v="11"/>
    <s v="6100"/>
    <n v="43154.65"/>
    <n v="31.57"/>
    <s v="CREDITOR"/>
    <n v="0"/>
    <n v="0"/>
    <n v="0"/>
    <n v="0"/>
    <n v="31.57"/>
  </r>
  <r>
    <n v="62040026"/>
    <s v="N"/>
    <n v="21349914"/>
    <s v="3000016076260004"/>
    <s v="CIVIL"/>
    <d v="2023-06-30T00:00:00"/>
    <d v="2023-07-10T19:01:40"/>
    <m/>
    <d v="2023-07-10T00:00:00"/>
    <n v="924"/>
    <n v="2281"/>
    <s v="62040026"/>
    <s v="62040026"/>
    <m/>
    <m/>
    <n v="22794588"/>
    <m/>
    <m/>
    <m/>
    <s v="SOLFIN"/>
    <s v="SOLFIN"/>
    <s v="CCMS"/>
    <n v="21349914"/>
    <n v="1491.52"/>
    <m/>
    <s v="N"/>
    <n v="1"/>
    <d v="2023-07-10T19:02:03"/>
    <s v="Y"/>
    <s v="Process server"/>
    <s v="Domestic Abuse"/>
    <s v="Expert Disbursement"/>
    <s v="XXX"/>
    <s v="Y"/>
    <n v="223.18"/>
    <n v="0"/>
    <x v="2"/>
    <s v="VALIDATED"/>
    <n v="1"/>
    <s v="01.11.80.302.6300.0000"/>
    <n v="223.18"/>
    <s v="11"/>
    <s v="6300"/>
    <n v="43154.65"/>
    <n v="223.18"/>
    <s v="CREDITOR"/>
    <n v="0"/>
    <n v="0"/>
    <n v="0"/>
    <n v="0"/>
    <n v="223.18"/>
  </r>
  <r>
    <n v="8647673"/>
    <s v="N"/>
    <n v="21349284"/>
    <s v="3000004688890022"/>
    <s v="CIVIL"/>
    <d v="2023-06-27T00:00:00"/>
    <d v="2023-07-10T19:01:40"/>
    <m/>
    <d v="2023-07-10T00:00:00"/>
    <n v="924"/>
    <n v="2281"/>
    <s v="8647673"/>
    <s v="8647673"/>
    <m/>
    <m/>
    <n v="22771220"/>
    <m/>
    <m/>
    <m/>
    <s v="SOLFIN"/>
    <s v="SOLFIN"/>
    <s v="CCMS"/>
    <n v="21349284"/>
    <n v="14502.62"/>
    <m/>
    <s v="N"/>
    <n v="11"/>
    <d v="2023-07-10T19:01:43"/>
    <s v="Y"/>
    <s v="Hearing Unit 0.00 - 1.00 Hours"/>
    <s v="Private Law Children"/>
    <s v="Advocacy"/>
    <s v="ROS"/>
    <s v="Y"/>
    <n v="68.94"/>
    <n v="13.79"/>
    <x v="2"/>
    <s v="VALIDATED"/>
    <n v="1"/>
    <s v="01.11.80.307.6100.0000"/>
    <n v="68.94"/>
    <s v="11"/>
    <s v="6100"/>
    <n v="43154.65"/>
    <n v="68.94"/>
    <s v="CREDITOR"/>
    <n v="0"/>
    <n v="0"/>
    <n v="0"/>
    <n v="0"/>
    <n v="68.94"/>
  </r>
  <r>
    <n v="8647673"/>
    <s v="N"/>
    <n v="21349284"/>
    <s v="3000004688890022"/>
    <s v="CIVIL"/>
    <d v="2023-06-27T00:00:00"/>
    <d v="2023-07-10T19:01:40"/>
    <m/>
    <d v="2023-07-10T00:00:00"/>
    <n v="924"/>
    <n v="2281"/>
    <s v="8647673"/>
    <s v="8647673"/>
    <m/>
    <m/>
    <n v="22771220"/>
    <m/>
    <m/>
    <m/>
    <s v="SOLFIN"/>
    <s v="SOLFIN"/>
    <s v="CCMS"/>
    <n v="21349284"/>
    <n v="14502.62"/>
    <m/>
    <s v="N"/>
    <n v="24"/>
    <d v="2023-07-10T19:01:43"/>
    <s v="Y"/>
    <s v="Preparation - other"/>
    <s v="Prescribed Hourly Rates"/>
    <s v="Profit Cost"/>
    <s v="ROS"/>
    <s v="Y"/>
    <n v="7.41"/>
    <n v="1.48"/>
    <x v="2"/>
    <s v="VALIDATED"/>
    <n v="1"/>
    <s v="01.11.80.307.6100.0000"/>
    <n v="7.41"/>
    <s v="11"/>
    <s v="6100"/>
    <n v="43154.65"/>
    <n v="7.41"/>
    <s v="CREDITOR"/>
    <n v="0"/>
    <n v="0"/>
    <n v="0"/>
    <n v="0"/>
    <n v="7.41"/>
  </r>
  <r>
    <n v="11594527"/>
    <s v="N"/>
    <n v="21337864"/>
    <s v="3000006991410004"/>
    <s v="CIVIL"/>
    <d v="2023-06-27T00:00:00"/>
    <d v="2023-07-06T19:21:01"/>
    <m/>
    <d v="2023-07-06T00:00:00"/>
    <n v="924"/>
    <n v="2281"/>
    <s v="11594527"/>
    <s v="11594527"/>
    <m/>
    <m/>
    <n v="22768496"/>
    <m/>
    <m/>
    <m/>
    <s v="SOLFIN"/>
    <s v="SOLFIN"/>
    <s v="CCMS"/>
    <n v="21337864"/>
    <n v="6756.82"/>
    <m/>
    <s v="N"/>
    <n v="39"/>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71"/>
    <d v="2023-07-06T19:21:09"/>
    <s v="Y"/>
    <s v="Preparation - other"/>
    <s v="Prescribed Hourly Rates"/>
    <s v="Profit Cost"/>
    <s v="RS"/>
    <s v="Y"/>
    <n v="49.41"/>
    <n v="9.880000000000001"/>
    <x v="4"/>
    <s v="VALIDATED"/>
    <n v="1"/>
    <s v="01.11.80.307.6100.0000"/>
    <n v="49.41"/>
    <s v="11"/>
    <s v="6100"/>
    <n v="43154.65"/>
    <n v="49.41"/>
    <s v="CREDITOR"/>
    <n v="0"/>
    <n v="0"/>
    <n v="0"/>
    <n v="0"/>
    <n v="49.41"/>
  </r>
  <r>
    <n v="11594527"/>
    <s v="N"/>
    <n v="21337864"/>
    <s v="3000006991410004"/>
    <s v="CIVIL"/>
    <d v="2023-06-27T00:00:00"/>
    <d v="2023-07-06T19:21:01"/>
    <m/>
    <d v="2023-07-06T00:00:00"/>
    <n v="924"/>
    <n v="2281"/>
    <s v="11594527"/>
    <s v="11594527"/>
    <m/>
    <m/>
    <n v="22768496"/>
    <m/>
    <m/>
    <m/>
    <s v="SOLFIN"/>
    <s v="SOLFIN"/>
    <s v="CCMS"/>
    <n v="21337864"/>
    <n v="6756.82"/>
    <m/>
    <s v="N"/>
    <n v="3"/>
    <d v="2023-07-06T19:21:09"/>
    <s v="N"/>
    <s v="Level 3 Fixed Fee"/>
    <s v="Private Law Children"/>
    <s v="Profit Cost"/>
    <s v="XXX"/>
    <s v="N"/>
    <n v="0"/>
    <n v="0"/>
    <x v="4"/>
    <s v="VALIDATED"/>
    <n v="1"/>
    <s v="01.11.80.307.6100.0000"/>
    <n v="0"/>
    <s v="11"/>
    <s v="6100"/>
    <n v="43154.65"/>
    <n v="0"/>
    <s v="CREDITOR"/>
    <n v="0"/>
    <n v="0"/>
    <n v="0"/>
    <n v="0"/>
    <n v="0"/>
  </r>
  <r>
    <n v="10788846"/>
    <s v="N"/>
    <n v="21338341"/>
    <s v="3000006570470018"/>
    <s v="CIVIL"/>
    <d v="2023-06-28T00:00:00"/>
    <d v="2023-07-06T19:21:01"/>
    <m/>
    <d v="2023-07-06T00:00:00"/>
    <n v="924"/>
    <n v="2281"/>
    <s v="10788846"/>
    <s v="10788846"/>
    <m/>
    <m/>
    <n v="22777146"/>
    <m/>
    <m/>
    <m/>
    <s v="SOLFIN"/>
    <s v="SOLFIN"/>
    <s v="CCMS"/>
    <n v="21338341"/>
    <n v="1098.86"/>
    <m/>
    <s v="N"/>
    <n v="4"/>
    <d v="2023-07-06T19:21:20"/>
    <s v="Y"/>
    <s v="Process server"/>
    <s v="Domestic Abuse"/>
    <s v="Expert Disbursement"/>
    <s v="ROS"/>
    <s v="Y"/>
    <n v="70.15000000000001"/>
    <n v="0"/>
    <x v="4"/>
    <s v="VALIDATED"/>
    <n v="1"/>
    <s v="01.11.80.307.6300.0000"/>
    <n v="70.15000000000001"/>
    <s v="11"/>
    <s v="6300"/>
    <n v="43154.65"/>
    <n v="70.15000000000001"/>
    <s v="CREDITOR"/>
    <n v="0"/>
    <n v="0"/>
    <n v="0"/>
    <n v="0"/>
    <n v="70.15000000000001"/>
  </r>
  <r>
    <n v="62427494"/>
    <s v="N"/>
    <n v="21327648"/>
    <s v="3000016397010001"/>
    <s v="CIVIL"/>
    <d v="2023-06-30T00:00:00"/>
    <d v="2023-07-04T19:00:44"/>
    <m/>
    <d v="2023-07-04T00:00:00"/>
    <n v="924"/>
    <n v="2281"/>
    <s v="62427494"/>
    <s v="62427494"/>
    <m/>
    <m/>
    <n v="22794018"/>
    <m/>
    <m/>
    <m/>
    <s v="SOLPOA"/>
    <s v="SOLPOA"/>
    <s v="CCMS"/>
    <n v="21327648"/>
    <n v="232"/>
    <m/>
    <s v="N"/>
    <n v="1"/>
    <d v="2023-07-04T19:00:51"/>
    <s v="N"/>
    <s v="Non Expert Disbursement - Private L"/>
    <s v="Non Expert Disbursement - Priv"/>
    <s v="Non Expert Disbursement"/>
    <s v="Richard Singh"/>
    <s v="N"/>
    <n v="232"/>
    <n v="0"/>
    <x v="1"/>
    <s v="VALIDATED"/>
    <n v="1"/>
    <s v="01.11.80.307.2012.0000"/>
    <n v="232"/>
    <s v="11"/>
    <s v="2012"/>
    <n v="43154.65"/>
    <n v="232"/>
    <s v="CREDITOR"/>
    <n v="232"/>
    <n v="0"/>
    <n v="0"/>
    <n v="0"/>
    <n v="0"/>
  </r>
  <r>
    <n v="61236601"/>
    <s v="N"/>
    <n v="21327706"/>
    <s v="3000015405140007"/>
    <s v="CIVIL"/>
    <d v="2023-06-29T00:00:00"/>
    <d v="2023-07-04T19:00:44"/>
    <m/>
    <d v="2023-07-04T00:00:00"/>
    <n v="924"/>
    <n v="2281"/>
    <s v="61236601"/>
    <s v="61236601"/>
    <m/>
    <m/>
    <n v="22784652"/>
    <m/>
    <m/>
    <m/>
    <s v="SOLPOA"/>
    <s v="SOLPOA"/>
    <s v="CCMS"/>
    <n v="21327706"/>
    <n v="52.35"/>
    <m/>
    <s v="N"/>
    <n v="1"/>
    <d v="2023-07-04T19:00:52"/>
    <s v="N"/>
    <s v="Expert Cost - Private Law Children"/>
    <s v="Expert Cost - Private Law Chil"/>
    <s v="Expert Disbursement"/>
    <s v="Rodric Singh"/>
    <s v="N"/>
    <n v="52.35"/>
    <n v="0"/>
    <x v="1"/>
    <s v="VALIDATED"/>
    <n v="1"/>
    <s v="01.11.80.307.2012.0000"/>
    <n v="52.35"/>
    <s v="11"/>
    <s v="2012"/>
    <n v="43154.65"/>
    <n v="52.35"/>
    <s v="CREDITOR"/>
    <n v="52.35"/>
    <n v="0"/>
    <n v="0"/>
    <n v="0"/>
    <n v="0"/>
  </r>
  <r>
    <n v="60950874"/>
    <s v="N"/>
    <n v="21360551"/>
    <s v="3000015160760008"/>
    <s v="CIVIL"/>
    <d v="2023-06-30T00:00:00"/>
    <d v="2023-07-11T11:50:54"/>
    <m/>
    <d v="2023-07-11T00:00:00"/>
    <n v="924"/>
    <n v="2281"/>
    <s v="60950874"/>
    <s v="60950874"/>
    <m/>
    <m/>
    <n v="22794622"/>
    <m/>
    <m/>
    <m/>
    <s v="SOLFIN"/>
    <s v="SOLFIN"/>
    <s v="CCMS"/>
    <n v="21360551"/>
    <n v="11550.02"/>
    <m/>
    <s v="N"/>
    <n v="84"/>
    <d v="2023-07-11T11:51:09"/>
    <s v="Y"/>
    <s v="Preparation - other"/>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62"/>
    <d v="2023-07-11T11:51:02"/>
    <s v="Y"/>
    <s v="Attendance upon client"/>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80"/>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41"/>
    <d v="2023-07-11T11:51:02"/>
    <s v="Y"/>
    <s v="Preparation - other"/>
    <s v="Prescribed Hourly Rates"/>
    <s v="Profit Cost"/>
    <s v="RS"/>
    <s v="Y"/>
    <n v="37.06"/>
    <n v="7.41"/>
    <x v="7"/>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22"/>
    <d v="2023-07-10T19:01:43"/>
    <s v="Y"/>
    <s v="Preparation - other"/>
    <s v="Prescribed Hourly Rates"/>
    <s v="Profit Cost"/>
    <s v="ROS"/>
    <s v="Y"/>
    <n v="7.41"/>
    <n v="1.48"/>
    <x v="2"/>
    <s v="VALIDATED"/>
    <n v="1"/>
    <s v="01.11.80.307.6100.0000"/>
    <n v="7.41"/>
    <s v="11"/>
    <s v="6100"/>
    <n v="43154.65"/>
    <n v="7.41"/>
    <s v="CREDITOR"/>
    <n v="0"/>
    <n v="0"/>
    <n v="0"/>
    <n v="0"/>
    <n v="7.41"/>
  </r>
  <r>
    <n v="11594527"/>
    <s v="N"/>
    <n v="21337864"/>
    <s v="3000006991410004"/>
    <s v="CIVIL"/>
    <d v="2023-06-27T00:00:00"/>
    <d v="2023-07-06T19:21:01"/>
    <m/>
    <d v="2023-07-06T00:00:00"/>
    <n v="924"/>
    <n v="2281"/>
    <s v="11594527"/>
    <s v="11594527"/>
    <m/>
    <m/>
    <n v="22768496"/>
    <m/>
    <m/>
    <m/>
    <s v="SOLFIN"/>
    <s v="SOLFIN"/>
    <s v="CCMS"/>
    <n v="21337864"/>
    <n v="6756.82"/>
    <m/>
    <s v="N"/>
    <n v="59"/>
    <d v="2023-07-06T19:21:09"/>
    <s v="Y"/>
    <s v="Attendance upon client"/>
    <s v="Prescribed Hourly Rates"/>
    <s v="Profit Cost"/>
    <s v="RS"/>
    <s v="Y"/>
    <n v="74.12"/>
    <n v="14.82"/>
    <x v="4"/>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72"/>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77"/>
    <d v="2023-07-06T19:21:09"/>
    <s v="Y"/>
    <s v="Attendance upon/with Counsel at Con"/>
    <s v="Prescribed Hourly Rates"/>
    <s v="Profit Cost"/>
    <s v="RS"/>
    <s v="Y"/>
    <n v="37.26"/>
    <n v="7.45"/>
    <x v="4"/>
    <s v="VALIDATED"/>
    <n v="1"/>
    <s v="01.11.80.307.6100.0000"/>
    <n v="37.26"/>
    <s v="11"/>
    <s v="6100"/>
    <n v="43154.65"/>
    <n v="37.26"/>
    <s v="CREDITOR"/>
    <n v="0"/>
    <n v="0"/>
    <n v="0"/>
    <n v="0"/>
    <n v="37.26"/>
  </r>
  <r>
    <n v="6022968"/>
    <s v="N"/>
    <n v="21331042"/>
    <s v="3000002607450005"/>
    <s v="CIVIL"/>
    <d v="2023-06-23T00:00:00"/>
    <d v="2023-07-05T19:01:47"/>
    <m/>
    <d v="2023-07-05T00:00:00"/>
    <n v="924"/>
    <n v="2281"/>
    <s v="6022968"/>
    <s v="6022968"/>
    <m/>
    <m/>
    <n v="22748538"/>
    <m/>
    <m/>
    <m/>
    <s v="SOLFIN"/>
    <s v="SOLFIN"/>
    <s v="CCMS"/>
    <n v="21331042"/>
    <n v="2416.22"/>
    <m/>
    <s v="N"/>
    <n v="15"/>
    <d v="2023-07-05T19:02:03"/>
    <s v="Y"/>
    <s v="Attendance upon client"/>
    <s v="Prescribed Hourly Rates"/>
    <s v="Profit Cost"/>
    <s v="RS"/>
    <s v="Y"/>
    <n v="164.7"/>
    <n v="32.94"/>
    <x v="6"/>
    <s v="VALIDATED"/>
    <n v="1"/>
    <s v="01.11.80.307.6100.0000"/>
    <n v="164.7"/>
    <s v="11"/>
    <s v="6100"/>
    <n v="43154.65"/>
    <n v="164.7"/>
    <s v="CREDITOR"/>
    <n v="0"/>
    <n v="0"/>
    <n v="0"/>
    <n v="0"/>
    <n v="164.7"/>
  </r>
  <r>
    <n v="11594527"/>
    <s v="N"/>
    <n v="21337864"/>
    <s v="3000006991410004"/>
    <s v="CIVIL"/>
    <d v="2023-06-27T00:00:00"/>
    <d v="2023-07-06T19:21:01"/>
    <m/>
    <d v="2023-07-06T00:00:00"/>
    <n v="924"/>
    <n v="2281"/>
    <s v="11594527"/>
    <s v="11594527"/>
    <m/>
    <m/>
    <n v="22768496"/>
    <m/>
    <m/>
    <m/>
    <s v="SOLFIN"/>
    <s v="SOLFIN"/>
    <s v="CCMS"/>
    <n v="21337864"/>
    <n v="6756.82"/>
    <m/>
    <s v="N"/>
    <n v="15"/>
    <d v="2023-07-06T19:21:09"/>
    <s v="Y"/>
    <s v="Preparation - other"/>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36"/>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65"/>
    <d v="2023-07-06T19:21:09"/>
    <s v="Y"/>
    <s v="Preparation - other"/>
    <s v="Prescribed Hourly Rates"/>
    <s v="Profit Cost"/>
    <s v="RS"/>
    <s v="Y"/>
    <n v="49.41"/>
    <n v="9.880000000000001"/>
    <x v="4"/>
    <s v="VALIDATED"/>
    <n v="1"/>
    <s v="01.11.80.307.6100.0000"/>
    <n v="49.41"/>
    <s v="11"/>
    <s v="6100"/>
    <n v="43154.65"/>
    <n v="49.41"/>
    <s v="CREDITOR"/>
    <n v="0"/>
    <n v="0"/>
    <n v="0"/>
    <n v="0"/>
    <n v="49.41"/>
  </r>
  <r>
    <n v="60950874"/>
    <s v="N"/>
    <n v="21360551"/>
    <s v="3000015160760008"/>
    <s v="CIVIL"/>
    <d v="2023-06-30T00:00:00"/>
    <d v="2023-07-11T11:50:54"/>
    <m/>
    <d v="2023-07-11T00:00:00"/>
    <n v="924"/>
    <n v="2281"/>
    <s v="60950874"/>
    <s v="60950874"/>
    <m/>
    <m/>
    <n v="22794622"/>
    <m/>
    <m/>
    <m/>
    <s v="SOLFIN"/>
    <s v="SOLFIN"/>
    <s v="CCMS"/>
    <n v="21360551"/>
    <n v="11550.02"/>
    <m/>
    <s v="N"/>
    <n v="116"/>
    <d v="2023-07-11T11:51:09"/>
    <s v="Y"/>
    <s v="Preparation - other"/>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32"/>
    <d v="2023-07-11T11:51:09"/>
    <s v="Y"/>
    <s v="Preparation - other"/>
    <s v="Prescribed Hourly Rates"/>
    <s v="Profit Cost"/>
    <s v="RS"/>
    <s v="Y"/>
    <n v="37.06"/>
    <n v="7.41"/>
    <x v="7"/>
    <s v="VALIDATED"/>
    <n v="1"/>
    <s v="01.11.80.307.6100.0000"/>
    <n v="37.06"/>
    <s v="11"/>
    <s v="6100"/>
    <n v="43154.65"/>
    <n v="37.06"/>
    <s v="CREDITOR"/>
    <n v="0"/>
    <n v="0"/>
    <n v="0"/>
    <n v="0"/>
    <n v="37.06"/>
  </r>
  <r>
    <n v="60950874"/>
    <s v="N"/>
    <n v="21360551"/>
    <s v="3000015160760008"/>
    <s v="CIVIL"/>
    <d v="2023-06-30T00:00:00"/>
    <d v="2023-07-11T11:50:54"/>
    <m/>
    <d v="2023-07-11T00:00:00"/>
    <n v="924"/>
    <n v="2281"/>
    <s v="60950874"/>
    <s v="60950874"/>
    <m/>
    <m/>
    <n v="22794622"/>
    <m/>
    <m/>
    <m/>
    <s v="SOLFIN"/>
    <s v="SOLFIN"/>
    <s v="CCMS"/>
    <n v="21360551"/>
    <n v="11550.02"/>
    <m/>
    <s v="N"/>
    <n v="76"/>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86"/>
    <d v="2023-07-11T11:51:09"/>
    <s v="Y"/>
    <s v="Attendance upon client"/>
    <s v="Prescribed Hourly Rates"/>
    <s v="Profit Cost"/>
    <s v="RS"/>
    <s v="Y"/>
    <n v="49.41"/>
    <n v="9.880000000000001"/>
    <x v="7"/>
    <s v="VALIDATED"/>
    <n v="1"/>
    <s v="01.11.80.307.6100.0000"/>
    <n v="49.41"/>
    <s v="11"/>
    <s v="6100"/>
    <n v="43154.65"/>
    <n v="49.41"/>
    <s v="CREDITOR"/>
    <n v="0"/>
    <n v="0"/>
    <n v="0"/>
    <n v="0"/>
    <n v="49.41"/>
  </r>
  <r>
    <n v="10004121"/>
    <s v="N"/>
    <n v="21360316"/>
    <s v="3000005900070010"/>
    <s v="CIVIL"/>
    <d v="2023-06-28T00:00:00"/>
    <d v="2023-07-11T11:50:54"/>
    <m/>
    <d v="2023-07-11T00:00:00"/>
    <n v="924"/>
    <n v="2281"/>
    <s v="10004121"/>
    <s v="10004121"/>
    <m/>
    <m/>
    <n v="22778134"/>
    <m/>
    <m/>
    <m/>
    <s v="SOLFIN"/>
    <s v="SOLFIN"/>
    <s v="CCMS"/>
    <n v="21360316"/>
    <n v="7425.76"/>
    <m/>
    <s v="N"/>
    <n v="75"/>
    <d v="2023-07-11T11:51:02"/>
    <s v="Y"/>
    <s v="Preparation - other"/>
    <s v="Prescribed Hourly Rates"/>
    <s v="Profit Cost"/>
    <s v="RS"/>
    <s v="Y"/>
    <n v="14.82"/>
    <n v="2.96"/>
    <x v="7"/>
    <s v="VALIDATED"/>
    <n v="1"/>
    <s v="01.11.80.307.6100.0000"/>
    <n v="14.82"/>
    <s v="11"/>
    <s v="6100"/>
    <n v="43154.65"/>
    <n v="14.82"/>
    <s v="CREDITOR"/>
    <n v="0"/>
    <n v="0"/>
    <n v="0"/>
    <n v="0"/>
    <n v="14.82"/>
  </r>
  <r>
    <n v="10004121"/>
    <s v="N"/>
    <n v="21360316"/>
    <s v="3000005900070010"/>
    <s v="CIVIL"/>
    <d v="2023-06-28T00:00:00"/>
    <d v="2023-07-11T11:50:54"/>
    <m/>
    <d v="2023-07-11T00:00:00"/>
    <n v="924"/>
    <n v="2281"/>
    <s v="10004121"/>
    <s v="10004121"/>
    <m/>
    <m/>
    <n v="22778134"/>
    <m/>
    <m/>
    <m/>
    <s v="SOLFIN"/>
    <s v="SOLFIN"/>
    <s v="CCMS"/>
    <n v="21360316"/>
    <n v="7425.76"/>
    <m/>
    <s v="N"/>
    <n v="53"/>
    <d v="2023-07-11T11:51:02"/>
    <s v="Y"/>
    <s v="Preparation - other"/>
    <s v="Prescribed Hourly Rates"/>
    <s v="Profit Cost"/>
    <s v="RS"/>
    <s v="Y"/>
    <n v="6.31"/>
    <n v="1.26"/>
    <x v="7"/>
    <s v="VALIDATED"/>
    <n v="1"/>
    <s v="01.11.80.307.6100.0000"/>
    <n v="6.31"/>
    <s v="11"/>
    <s v="6100"/>
    <n v="43154.65"/>
    <n v="6.31"/>
    <s v="CREDITOR"/>
    <n v="0"/>
    <n v="0"/>
    <n v="0"/>
    <n v="0"/>
    <n v="6.31"/>
  </r>
  <r>
    <n v="8647673"/>
    <s v="N"/>
    <n v="21349284"/>
    <s v="3000004688890022"/>
    <s v="CIVIL"/>
    <d v="2023-06-27T00:00:00"/>
    <d v="2023-07-10T19:01:40"/>
    <m/>
    <d v="2023-07-10T00:00:00"/>
    <n v="924"/>
    <n v="2281"/>
    <s v="8647673"/>
    <s v="8647673"/>
    <m/>
    <m/>
    <n v="22771220"/>
    <m/>
    <m/>
    <m/>
    <s v="SOLFIN"/>
    <s v="SOLFIN"/>
    <s v="CCMS"/>
    <n v="21349284"/>
    <n v="14502.62"/>
    <m/>
    <s v="N"/>
    <n v="68"/>
    <d v="2023-07-10T19:01:43"/>
    <s v="Y"/>
    <s v="Attendance upon client"/>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75"/>
    <d v="2023-07-10T19:01:43"/>
    <s v="Y"/>
    <s v="Preparation - drafting instructions"/>
    <s v="Prescribed Hourly Rates"/>
    <s v="Profit Cost"/>
    <s v="ROS"/>
    <s v="Y"/>
    <n v="37.06"/>
    <n v="7.41"/>
    <x v="2"/>
    <s v="VALIDATED"/>
    <n v="1"/>
    <s v="01.11.80.307.6100.0000"/>
    <n v="37.06"/>
    <s v="11"/>
    <s v="6100"/>
    <n v="43154.65"/>
    <n v="37.06"/>
    <s v="CREDITOR"/>
    <n v="0"/>
    <n v="0"/>
    <n v="0"/>
    <n v="0"/>
    <n v="37.06"/>
  </r>
  <r>
    <n v="56409031"/>
    <s v="N"/>
    <n v="21349897"/>
    <s v="3000013405050005"/>
    <s v="CIVIL"/>
    <d v="2023-06-30T00:00:00"/>
    <d v="2023-07-10T19:01:40"/>
    <m/>
    <d v="2023-07-10T00:00:00"/>
    <n v="924"/>
    <n v="2281"/>
    <s v="56409031"/>
    <s v="56409031"/>
    <m/>
    <m/>
    <n v="22794626"/>
    <m/>
    <m/>
    <m/>
    <s v="SOLFIN"/>
    <s v="SOLFIN"/>
    <s v="CCMS"/>
    <n v="21349897"/>
    <n v="1432.16"/>
    <m/>
    <s v="N"/>
    <n v="4"/>
    <d v="2023-07-10T19:02:02"/>
    <s v="Y"/>
    <s v="Hearing Unit 1.01 - 2.30 Hours"/>
    <s v="Private Law Children"/>
    <s v="Advocacy"/>
    <s v="RS"/>
    <s v="Y"/>
    <n v="156.74"/>
    <n v="31.35"/>
    <x v="2"/>
    <s v="VALIDATED"/>
    <n v="1"/>
    <s v="01.11.80.307.6100.0000"/>
    <n v="156.74"/>
    <s v="11"/>
    <s v="6100"/>
    <n v="43154.65"/>
    <n v="156.74"/>
    <s v="CREDITOR"/>
    <n v="0"/>
    <n v="0"/>
    <n v="0"/>
    <n v="0"/>
    <n v="156.74"/>
  </r>
  <r>
    <n v="61313803"/>
    <s v="N"/>
    <n v="21350025"/>
    <s v="3000015470000008"/>
    <s v="CIVIL"/>
    <d v="2023-06-29T00:00:00"/>
    <d v="2023-07-10T19:01:40"/>
    <m/>
    <d v="2023-07-10T00:00:00"/>
    <n v="924"/>
    <n v="2281"/>
    <s v="61313803"/>
    <s v="61313803"/>
    <m/>
    <m/>
    <n v="22789528"/>
    <m/>
    <m/>
    <m/>
    <s v="SOLFIN"/>
    <s v="SOLFIN"/>
    <s v="CCMS"/>
    <n v="21350025"/>
    <n v="6800.74"/>
    <m/>
    <s v="N"/>
    <n v="68"/>
    <d v="2023-07-10T19:02:09"/>
    <s v="Y"/>
    <s v="Attendance upon client"/>
    <s v="Prescribed Hourly Rates"/>
    <s v="Profit Cost"/>
    <s v="RS"/>
    <s v="Y"/>
    <n v="148.23"/>
    <n v="29.64"/>
    <x v="2"/>
    <s v="VALIDATED"/>
    <n v="1"/>
    <s v="01.11.80.307.6100.0000"/>
    <n v="148.23"/>
    <s v="11"/>
    <s v="6100"/>
    <n v="43154.65"/>
    <n v="148.23"/>
    <s v="CREDITOR"/>
    <n v="0"/>
    <n v="0"/>
    <n v="0"/>
    <n v="0"/>
    <n v="148.23"/>
  </r>
  <r>
    <n v="61313803"/>
    <s v="N"/>
    <n v="21350025"/>
    <s v="3000015470000008"/>
    <s v="CIVIL"/>
    <d v="2023-06-29T00:00:00"/>
    <d v="2023-07-10T19:01:40"/>
    <m/>
    <d v="2023-07-10T00:00:00"/>
    <n v="924"/>
    <n v="2281"/>
    <s v="61313803"/>
    <s v="61313803"/>
    <m/>
    <m/>
    <n v="22789528"/>
    <m/>
    <m/>
    <m/>
    <s v="SOLFIN"/>
    <s v="SOLFIN"/>
    <s v="CCMS"/>
    <n v="21350025"/>
    <n v="6800.74"/>
    <m/>
    <s v="N"/>
    <n v="11"/>
    <d v="2023-07-10T19:02:09"/>
    <s v="Y"/>
    <s v="Preparation - other"/>
    <s v="Prescribed Hourly Rates"/>
    <s v="Profit Cost"/>
    <s v="RS"/>
    <s v="Y"/>
    <n v="6.31"/>
    <n v="1.26"/>
    <x v="2"/>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43"/>
    <d v="2023-07-06T19:21:09"/>
    <s v="Y"/>
    <s v="Attendance upon client"/>
    <s v="Prescribed Hourly Rates"/>
    <s v="Profit Cost"/>
    <s v="RS"/>
    <s v="Y"/>
    <n v="148.23"/>
    <n v="29.64"/>
    <x v="4"/>
    <s v="VALIDATED"/>
    <n v="1"/>
    <s v="01.11.80.307.6100.0000"/>
    <n v="148.23"/>
    <s v="11"/>
    <s v="6100"/>
    <n v="43154.65"/>
    <n v="148.23"/>
    <s v="CREDITOR"/>
    <n v="0"/>
    <n v="0"/>
    <n v="0"/>
    <n v="0"/>
    <n v="148.23"/>
  </r>
  <r>
    <n v="6022968"/>
    <s v="N"/>
    <n v="21331042"/>
    <s v="3000002607450005"/>
    <s v="CIVIL"/>
    <d v="2023-06-23T00:00:00"/>
    <d v="2023-07-05T19:01:47"/>
    <m/>
    <d v="2023-07-05T00:00:00"/>
    <n v="924"/>
    <n v="2281"/>
    <s v="6022968"/>
    <s v="6022968"/>
    <m/>
    <m/>
    <n v="22748538"/>
    <m/>
    <m/>
    <m/>
    <s v="SOLFIN"/>
    <s v="SOLFIN"/>
    <s v="CCMS"/>
    <n v="21331042"/>
    <n v="2416.22"/>
    <m/>
    <s v="N"/>
    <n v="5"/>
    <d v="2023-07-05T19:02:03"/>
    <s v="Y"/>
    <s v="Attendance upon client"/>
    <s v="Prescribed Hourly Rates"/>
    <s v="Profit Cost"/>
    <s v="RS"/>
    <s v="Y"/>
    <n v="164.7"/>
    <n v="32.94"/>
    <x v="6"/>
    <s v="VALIDATED"/>
    <n v="1"/>
    <s v="01.11.80.307.6100.0000"/>
    <n v="164.7"/>
    <s v="11"/>
    <s v="6100"/>
    <n v="43154.65"/>
    <n v="164.7"/>
    <s v="CREDITOR"/>
    <n v="0"/>
    <n v="0"/>
    <n v="0"/>
    <n v="0"/>
    <n v="164.7"/>
  </r>
  <r>
    <n v="62372128"/>
    <s v="N"/>
    <n v="21327584"/>
    <s v="3000016352220001"/>
    <s v="CIVIL"/>
    <d v="2023-06-30T00:00:00"/>
    <d v="2023-07-04T19:00:44"/>
    <m/>
    <d v="2023-07-04T00:00:00"/>
    <n v="924"/>
    <n v="2281"/>
    <s v="62372128"/>
    <s v="62372128"/>
    <m/>
    <m/>
    <n v="22794032"/>
    <m/>
    <m/>
    <m/>
    <s v="SOLPOA"/>
    <s v="SOLPOA"/>
    <s v="CCMS"/>
    <n v="21327584"/>
    <n v="232"/>
    <m/>
    <s v="N"/>
    <n v="1"/>
    <d v="2023-07-04T19:00:50"/>
    <s v="N"/>
    <s v="Non Expert Disbursement - Private L"/>
    <s v="Non Expert Disbursement - Priv"/>
    <s v="Non Expert Disbursement"/>
    <s v="Richard Singh"/>
    <s v="N"/>
    <n v="232"/>
    <n v="0"/>
    <x v="1"/>
    <s v="VALIDATED"/>
    <n v="1"/>
    <s v="01.11.80.307.2012.0000"/>
    <n v="232"/>
    <s v="11"/>
    <s v="2012"/>
    <n v="43154.65"/>
    <n v="232"/>
    <s v="CREDITOR"/>
    <n v="232"/>
    <n v="0"/>
    <n v="0"/>
    <n v="0"/>
    <n v="0"/>
  </r>
  <r>
    <n v="60950874"/>
    <s v="N"/>
    <n v="21360551"/>
    <s v="3000015160760008"/>
    <s v="CIVIL"/>
    <d v="2023-06-30T00:00:00"/>
    <d v="2023-07-11T11:50:54"/>
    <m/>
    <d v="2023-07-11T00:00:00"/>
    <n v="924"/>
    <n v="2281"/>
    <s v="60950874"/>
    <s v="60950874"/>
    <m/>
    <m/>
    <n v="22794622"/>
    <m/>
    <m/>
    <m/>
    <s v="SOLFIN"/>
    <s v="SOLFIN"/>
    <s v="CCMS"/>
    <n v="21360551"/>
    <n v="11550.02"/>
    <m/>
    <s v="N"/>
    <n v="35"/>
    <d v="2023-07-11T11:51:09"/>
    <s v="Y"/>
    <s v="Preparation - drafting instructions"/>
    <s v="Prescribed Hourly Rates"/>
    <s v="Profit Cost"/>
    <s v="RS"/>
    <s v="Y"/>
    <n v="37.06"/>
    <n v="7.41"/>
    <x v="7"/>
    <s v="VALIDATED"/>
    <n v="1"/>
    <s v="01.11.80.307.6100.0000"/>
    <n v="37.06"/>
    <s v="11"/>
    <s v="6100"/>
    <n v="43154.65"/>
    <n v="37.06"/>
    <s v="CREDITOR"/>
    <n v="0"/>
    <n v="0"/>
    <n v="0"/>
    <n v="0"/>
    <n v="37.06"/>
  </r>
  <r>
    <n v="56409031"/>
    <s v="N"/>
    <n v="21349897"/>
    <s v="3000013405050005"/>
    <s v="CIVIL"/>
    <d v="2023-06-30T00:00:00"/>
    <d v="2023-07-10T19:01:40"/>
    <m/>
    <d v="2023-07-10T00:00:00"/>
    <n v="924"/>
    <n v="2281"/>
    <s v="56409031"/>
    <s v="56409031"/>
    <m/>
    <m/>
    <n v="22794626"/>
    <m/>
    <m/>
    <m/>
    <s v="SOLFIN"/>
    <s v="SOLFIN"/>
    <s v="CCMS"/>
    <n v="21349897"/>
    <n v="1432.16"/>
    <m/>
    <s v="N"/>
    <n v="2"/>
    <d v="2023-07-10T19:02:02"/>
    <s v="Y"/>
    <s v="Process server"/>
    <s v="Private Law Children"/>
    <s v="Expert Disbursement"/>
    <s v="XXX"/>
    <s v="Y"/>
    <n v="116.18"/>
    <n v="0"/>
    <x v="2"/>
    <s v="VALIDATED"/>
    <n v="1"/>
    <s v="01.11.80.307.6300.0000"/>
    <n v="116.18"/>
    <s v="11"/>
    <s v="6300"/>
    <n v="43154.65"/>
    <n v="116.18"/>
    <s v="CREDITOR"/>
    <n v="0"/>
    <n v="0"/>
    <n v="0"/>
    <n v="0"/>
    <n v="116.18"/>
  </r>
  <r>
    <n v="11594527"/>
    <s v="N"/>
    <n v="21337864"/>
    <s v="3000006991410004"/>
    <s v="CIVIL"/>
    <d v="2023-06-27T00:00:00"/>
    <d v="2023-07-06T19:21:01"/>
    <m/>
    <d v="2023-07-06T00:00:00"/>
    <n v="924"/>
    <n v="2281"/>
    <s v="11594527"/>
    <s v="11594527"/>
    <m/>
    <m/>
    <n v="22768496"/>
    <m/>
    <m/>
    <m/>
    <s v="SOLFIN"/>
    <s v="SOLFIN"/>
    <s v="CCMS"/>
    <n v="21337864"/>
    <n v="6756.82"/>
    <m/>
    <s v="N"/>
    <n v="40"/>
    <d v="2023-07-06T19:21:09"/>
    <s v="Y"/>
    <s v="Preparation - other"/>
    <s v="Prescribed Hourly Rates"/>
    <s v="Profit Cost"/>
    <s v="RS"/>
    <s v="Y"/>
    <n v="37.06"/>
    <n v="7.41"/>
    <x v="4"/>
    <s v="VALIDATED"/>
    <n v="1"/>
    <s v="01.11.80.307.6100.0000"/>
    <n v="37.06"/>
    <s v="11"/>
    <s v="6100"/>
    <n v="43154.65"/>
    <n v="37.06"/>
    <s v="CREDITOR"/>
    <n v="0"/>
    <n v="0"/>
    <n v="0"/>
    <n v="0"/>
    <n v="37.06"/>
  </r>
  <r>
    <n v="6022968"/>
    <s v="N"/>
    <n v="21331042"/>
    <s v="3000002607450005"/>
    <s v="CIVIL"/>
    <d v="2023-06-23T00:00:00"/>
    <d v="2023-07-05T19:01:47"/>
    <m/>
    <d v="2023-07-05T00:00:00"/>
    <n v="924"/>
    <n v="2281"/>
    <s v="6022968"/>
    <s v="6022968"/>
    <m/>
    <m/>
    <n v="22748538"/>
    <m/>
    <m/>
    <m/>
    <s v="SOLFIN"/>
    <s v="SOLFIN"/>
    <s v="CCMS"/>
    <n v="21331042"/>
    <n v="2416.22"/>
    <m/>
    <s v="N"/>
    <n v="14"/>
    <d v="2023-07-05T19:02:03"/>
    <s v="Y"/>
    <s v="Preparation - other"/>
    <s v="Prescribed Hourly Rates"/>
    <s v="Profit Cost"/>
    <s v="RS"/>
    <s v="Y"/>
    <n v="54.9"/>
    <n v="10.98"/>
    <x v="6"/>
    <s v="VALIDATED"/>
    <n v="1"/>
    <s v="01.11.80.307.6100.0000"/>
    <n v="54.9"/>
    <s v="11"/>
    <s v="6100"/>
    <n v="43154.65"/>
    <n v="54.9"/>
    <s v="CREDITOR"/>
    <n v="0"/>
    <n v="0"/>
    <n v="0"/>
    <n v="0"/>
    <n v="54.9"/>
  </r>
  <r>
    <n v="60950874"/>
    <s v="N"/>
    <n v="21360551"/>
    <s v="3000015160760008"/>
    <s v="CIVIL"/>
    <d v="2023-06-30T00:00:00"/>
    <d v="2023-07-11T11:50:54"/>
    <m/>
    <d v="2023-07-11T00:00:00"/>
    <n v="924"/>
    <n v="2281"/>
    <s v="60950874"/>
    <s v="60950874"/>
    <m/>
    <m/>
    <n v="22794622"/>
    <m/>
    <m/>
    <m/>
    <s v="SOLFIN"/>
    <s v="SOLFIN"/>
    <s v="CCMS"/>
    <n v="21360551"/>
    <n v="11550.02"/>
    <m/>
    <s v="N"/>
    <n v="4"/>
    <d v="2023-07-11T11:51:09"/>
    <s v="Y"/>
    <s v="Court Fee"/>
    <s v="Prescribed Hourly Rates"/>
    <s v="Non Expert Disbursement"/>
    <s v="XXX"/>
    <s v="Y"/>
    <n v="167"/>
    <n v="0"/>
    <x v="7"/>
    <s v="VALIDATED"/>
    <n v="1"/>
    <s v="01.11.80.307.6300.0000"/>
    <n v="167"/>
    <s v="11"/>
    <s v="6300"/>
    <n v="43154.65"/>
    <n v="167"/>
    <s v="CREDITOR"/>
    <n v="0"/>
    <n v="0"/>
    <n v="0"/>
    <n v="0"/>
    <n v="167"/>
  </r>
  <r>
    <n v="60950874"/>
    <s v="N"/>
    <n v="21360551"/>
    <s v="3000015160760008"/>
    <s v="CIVIL"/>
    <d v="2023-06-30T00:00:00"/>
    <d v="2023-07-11T11:50:54"/>
    <m/>
    <d v="2023-07-11T00:00:00"/>
    <n v="924"/>
    <n v="2281"/>
    <s v="60950874"/>
    <s v="60950874"/>
    <m/>
    <m/>
    <n v="22794622"/>
    <m/>
    <m/>
    <m/>
    <s v="SOLFIN"/>
    <s v="SOLFIN"/>
    <s v="CCMS"/>
    <n v="21360551"/>
    <n v="11550.02"/>
    <m/>
    <s v="N"/>
    <n v="5"/>
    <d v="2023-07-11T11:51:09"/>
    <s v="Y"/>
    <s v="Court Fee"/>
    <s v="Prescribed Hourly Rates"/>
    <s v="Non Expert Disbursement"/>
    <s v="XXX"/>
    <s v="Y"/>
    <n v="167"/>
    <n v="0"/>
    <x v="7"/>
    <s v="VALIDATED"/>
    <n v="1"/>
    <s v="01.11.80.307.6300.0000"/>
    <n v="167"/>
    <s v="11"/>
    <s v="6300"/>
    <n v="43154.65"/>
    <n v="167"/>
    <s v="CREDITOR"/>
    <n v="0"/>
    <n v="0"/>
    <n v="0"/>
    <n v="0"/>
    <n v="167"/>
  </r>
  <r>
    <n v="60950874"/>
    <s v="N"/>
    <n v="21360551"/>
    <s v="3000015160760008"/>
    <s v="CIVIL"/>
    <d v="2023-06-30T00:00:00"/>
    <d v="2023-07-11T11:50:54"/>
    <m/>
    <d v="2023-07-11T00:00:00"/>
    <n v="924"/>
    <n v="2281"/>
    <s v="60950874"/>
    <s v="60950874"/>
    <m/>
    <m/>
    <n v="22794622"/>
    <m/>
    <m/>
    <m/>
    <s v="SOLFIN"/>
    <s v="SOLFIN"/>
    <s v="CCMS"/>
    <n v="21360551"/>
    <n v="11550.02"/>
    <m/>
    <s v="N"/>
    <n v="16"/>
    <d v="2023-07-11T11:51:09"/>
    <s v="Y"/>
    <s v="Preparation - other"/>
    <s v="Prescribed Hourly Rates"/>
    <s v="Profit Cost"/>
    <s v="NPM"/>
    <s v="Y"/>
    <n v="5.49"/>
    <n v="1.1"/>
    <x v="7"/>
    <s v="VALIDATED"/>
    <n v="1"/>
    <s v="01.11.80.307.6100.0000"/>
    <n v="5.49"/>
    <s v="11"/>
    <s v="6100"/>
    <n v="43154.65"/>
    <n v="5.49"/>
    <s v="CREDITOR"/>
    <n v="0"/>
    <n v="0"/>
    <n v="0"/>
    <n v="0"/>
    <n v="5.49"/>
  </r>
  <r>
    <n v="60950874"/>
    <s v="N"/>
    <n v="21360551"/>
    <s v="3000015160760008"/>
    <s v="CIVIL"/>
    <d v="2023-06-30T00:00:00"/>
    <d v="2023-07-11T11:50:54"/>
    <m/>
    <d v="2023-07-11T00:00:00"/>
    <n v="924"/>
    <n v="2281"/>
    <s v="60950874"/>
    <s v="60950874"/>
    <m/>
    <m/>
    <n v="22794622"/>
    <m/>
    <m/>
    <m/>
    <s v="SOLFIN"/>
    <s v="SOLFIN"/>
    <s v="CCMS"/>
    <n v="21360551"/>
    <n v="11550.02"/>
    <m/>
    <s v="N"/>
    <n v="80"/>
    <d v="2023-07-11T11:51:09"/>
    <s v="Y"/>
    <s v="Attendance upon client"/>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105"/>
    <d v="2023-07-11T11:51:09"/>
    <s v="Y"/>
    <s v="Attendance upon client"/>
    <s v="Prescribed Hourly Rates"/>
    <s v="Profit Cost"/>
    <s v="RS"/>
    <s v="Y"/>
    <n v="148.23"/>
    <n v="29.64"/>
    <x v="7"/>
    <s v="VALIDATED"/>
    <n v="1"/>
    <s v="01.11.80.307.6100.0000"/>
    <n v="148.23"/>
    <s v="11"/>
    <s v="6100"/>
    <n v="43154.65"/>
    <n v="148.23"/>
    <s v="CREDITOR"/>
    <n v="0"/>
    <n v="0"/>
    <n v="0"/>
    <n v="0"/>
    <n v="148.23"/>
  </r>
  <r>
    <n v="8647673"/>
    <s v="N"/>
    <n v="21349284"/>
    <s v="3000004688890022"/>
    <s v="CIVIL"/>
    <d v="2023-06-27T00:00:00"/>
    <d v="2023-07-10T19:01:40"/>
    <m/>
    <d v="2023-07-10T00:00:00"/>
    <n v="924"/>
    <n v="2281"/>
    <s v="8647673"/>
    <s v="8647673"/>
    <m/>
    <m/>
    <n v="22771220"/>
    <m/>
    <m/>
    <m/>
    <s v="SOLFIN"/>
    <s v="SOLFIN"/>
    <s v="CCMS"/>
    <n v="21349284"/>
    <n v="14502.62"/>
    <m/>
    <s v="N"/>
    <n v="87"/>
    <d v="2023-07-10T19:01:43"/>
    <s v="Y"/>
    <s v="Preparation - drafting application"/>
    <s v="Prescribed Hourly Rates"/>
    <s v="Profit Cost"/>
    <s v="ROS"/>
    <s v="Y"/>
    <n v="50.51"/>
    <n v="10.1"/>
    <x v="2"/>
    <s v="VALIDATED"/>
    <n v="1"/>
    <s v="01.11.80.307.6100.0000"/>
    <n v="50.51"/>
    <s v="11"/>
    <s v="6100"/>
    <n v="43154.65"/>
    <n v="50.51"/>
    <s v="CREDITOR"/>
    <n v="0"/>
    <n v="0"/>
    <n v="0"/>
    <n v="0"/>
    <n v="50.51"/>
  </r>
  <r>
    <n v="14064052"/>
    <s v="N"/>
    <n v="21349905"/>
    <s v="3000007298400008"/>
    <s v="CIVIL"/>
    <d v="2023-06-29T00:00:00"/>
    <d v="2023-07-10T19:01:40"/>
    <m/>
    <d v="2023-07-10T00:00:00"/>
    <n v="924"/>
    <n v="2281"/>
    <s v="14064052"/>
    <s v="14064052"/>
    <m/>
    <m/>
    <n v="22788366"/>
    <m/>
    <m/>
    <m/>
    <s v="SOLFIN"/>
    <s v="SOLFIN"/>
    <s v="CCMS"/>
    <n v="21349905"/>
    <n v="4899.44"/>
    <m/>
    <s v="N"/>
    <n v="26"/>
    <d v="2023-07-10T19:02:03"/>
    <s v="Y"/>
    <s v="Preparation - other"/>
    <s v="Prescribed Hourly Rates"/>
    <s v="Profit Cost"/>
    <s v="ROS"/>
    <s v="Y"/>
    <n v="12.63"/>
    <n v="2.53"/>
    <x v="2"/>
    <s v="VALIDATED"/>
    <n v="1"/>
    <s v="01.11.80.302.6100.0000"/>
    <n v="12.63"/>
    <s v="11"/>
    <s v="6100"/>
    <n v="43154.65"/>
    <n v="12.63"/>
    <s v="CREDITOR"/>
    <n v="0"/>
    <n v="0"/>
    <n v="0"/>
    <n v="0"/>
    <n v="12.63"/>
  </r>
  <r>
    <n v="61313803"/>
    <s v="N"/>
    <n v="21350025"/>
    <s v="3000015470000008"/>
    <s v="CIVIL"/>
    <d v="2023-06-29T00:00:00"/>
    <d v="2023-07-10T19:01:40"/>
    <m/>
    <d v="2023-07-10T00:00:00"/>
    <n v="924"/>
    <n v="2281"/>
    <s v="61313803"/>
    <s v="61313803"/>
    <m/>
    <m/>
    <n v="22789528"/>
    <m/>
    <m/>
    <m/>
    <s v="SOLFIN"/>
    <s v="SOLFIN"/>
    <s v="CCMS"/>
    <n v="21350025"/>
    <n v="6800.74"/>
    <m/>
    <s v="N"/>
    <n v="80"/>
    <d v="2023-07-10T19:02:09"/>
    <s v="Y"/>
    <s v="Preparation - other"/>
    <s v="Prescribed Hourly Rates"/>
    <s v="Profit Cost"/>
    <s v="NPM"/>
    <s v="Y"/>
    <n v="10.98"/>
    <n v="2.2"/>
    <x v="2"/>
    <s v="VALIDATED"/>
    <n v="1"/>
    <s v="01.11.80.307.6100.0000"/>
    <n v="10.98"/>
    <s v="11"/>
    <s v="6100"/>
    <n v="43154.65"/>
    <n v="10.98"/>
    <s v="CREDITOR"/>
    <n v="0"/>
    <n v="0"/>
    <n v="0"/>
    <n v="0"/>
    <n v="10.98"/>
  </r>
  <r>
    <n v="8647673"/>
    <s v="N"/>
    <n v="21349284"/>
    <s v="3000004688890022"/>
    <s v="CIVIL"/>
    <d v="2023-06-27T00:00:00"/>
    <d v="2023-07-10T19:01:40"/>
    <m/>
    <d v="2023-07-10T00:00:00"/>
    <n v="924"/>
    <n v="2281"/>
    <s v="8647673"/>
    <s v="8647673"/>
    <m/>
    <m/>
    <n v="22771220"/>
    <m/>
    <m/>
    <m/>
    <s v="SOLFIN"/>
    <s v="SOLFIN"/>
    <s v="CCMS"/>
    <n v="21349284"/>
    <n v="14502.62"/>
    <m/>
    <s v="N"/>
    <n v="5"/>
    <d v="2023-07-10T19:01:43"/>
    <s v="Y"/>
    <s v="Police Records"/>
    <s v="Prescribed Hourly Rates"/>
    <s v="Non Expert Disbursement"/>
    <s v="XXX"/>
    <s v="Y"/>
    <n v="76.05"/>
    <n v="0"/>
    <x v="2"/>
    <s v="VALIDATED"/>
    <n v="1"/>
    <s v="01.11.80.307.6300.0000"/>
    <n v="76.05"/>
    <s v="11"/>
    <s v="6300"/>
    <n v="43154.65"/>
    <n v="76.05"/>
    <s v="CREDITOR"/>
    <n v="0"/>
    <n v="0"/>
    <n v="0"/>
    <n v="0"/>
    <n v="76.05"/>
  </r>
  <r>
    <n v="8647673"/>
    <s v="N"/>
    <n v="21349284"/>
    <s v="3000004688890022"/>
    <s v="CIVIL"/>
    <d v="2023-06-27T00:00:00"/>
    <d v="2023-07-10T19:01:40"/>
    <m/>
    <d v="2023-07-10T00:00:00"/>
    <n v="924"/>
    <n v="2281"/>
    <s v="8647673"/>
    <s v="8647673"/>
    <m/>
    <m/>
    <n v="22771220"/>
    <m/>
    <m/>
    <m/>
    <s v="SOLFIN"/>
    <s v="SOLFIN"/>
    <s v="CCMS"/>
    <n v="21349284"/>
    <n v="14502.62"/>
    <m/>
    <s v="N"/>
    <n v="119"/>
    <d v="2023-07-10T19:01:43"/>
    <s v="Y"/>
    <s v="Routine Letter Out"/>
    <s v="Prescribed Hourly Rates"/>
    <s v="Profit Cost"/>
    <s v="ROS"/>
    <s v="Y"/>
    <n v="1496.61"/>
    <n v="299.35"/>
    <x v="2"/>
    <s v="VALIDATED"/>
    <n v="1"/>
    <s v="01.11.80.307.6100.0000"/>
    <n v="1496.61"/>
    <s v="11"/>
    <s v="6100"/>
    <n v="43154.65"/>
    <n v="1496.61"/>
    <s v="CREDITOR"/>
    <n v="0"/>
    <n v="0"/>
    <n v="0"/>
    <n v="0"/>
    <n v="1496.61"/>
  </r>
  <r>
    <n v="8647673"/>
    <s v="N"/>
    <n v="21349284"/>
    <s v="3000004688890022"/>
    <s v="CIVIL"/>
    <d v="2023-06-27T00:00:00"/>
    <d v="2023-07-10T19:01:40"/>
    <m/>
    <d v="2023-07-10T00:00:00"/>
    <n v="924"/>
    <n v="2281"/>
    <s v="8647673"/>
    <s v="8647673"/>
    <m/>
    <m/>
    <n v="22771220"/>
    <m/>
    <m/>
    <m/>
    <s v="SOLFIN"/>
    <s v="SOLFIN"/>
    <s v="CCMS"/>
    <n v="21349284"/>
    <n v="14502.62"/>
    <m/>
    <s v="N"/>
    <n v="100"/>
    <d v="2023-07-10T19:01:43"/>
    <s v="Y"/>
    <s v="Attendance upon client"/>
    <s v="Prescribed Hourly Rates"/>
    <s v="Profit Cost"/>
    <s v="ROS"/>
    <s v="Y"/>
    <n v="148.23"/>
    <n v="29.64"/>
    <x v="2"/>
    <s v="VALIDATED"/>
    <n v="1"/>
    <s v="01.11.80.307.6100.0000"/>
    <n v="148.23"/>
    <s v="11"/>
    <s v="6100"/>
    <n v="43154.65"/>
    <n v="148.23"/>
    <s v="CREDITOR"/>
    <n v="0"/>
    <n v="0"/>
    <n v="0"/>
    <n v="0"/>
    <n v="148.23"/>
  </r>
  <r>
    <n v="8647673"/>
    <s v="N"/>
    <n v="21349284"/>
    <s v="3000004688890022"/>
    <s v="CIVIL"/>
    <d v="2023-06-27T00:00:00"/>
    <d v="2023-07-10T19:01:40"/>
    <m/>
    <d v="2023-07-10T00:00:00"/>
    <n v="924"/>
    <n v="2281"/>
    <s v="8647673"/>
    <s v="8647673"/>
    <m/>
    <m/>
    <n v="22771220"/>
    <m/>
    <m/>
    <m/>
    <s v="SOLFIN"/>
    <s v="SOLFIN"/>
    <s v="CCMS"/>
    <n v="21349284"/>
    <n v="14502.62"/>
    <m/>
    <s v="N"/>
    <n v="34"/>
    <d v="2023-07-10T19:01:43"/>
    <s v="Y"/>
    <s v="Preparation - other"/>
    <s v="Prescribed Hourly Rates"/>
    <s v="Profit Cost"/>
    <s v="ROS"/>
    <s v="Y"/>
    <n v="12.63"/>
    <n v="2.53"/>
    <x v="2"/>
    <s v="VALIDATED"/>
    <n v="1"/>
    <s v="01.11.80.307.6100.0000"/>
    <n v="12.63"/>
    <s v="11"/>
    <s v="6100"/>
    <n v="43154.65"/>
    <n v="12.63"/>
    <s v="CREDITOR"/>
    <n v="0"/>
    <n v="0"/>
    <n v="0"/>
    <n v="0"/>
    <n v="12.63"/>
  </r>
  <r>
    <n v="8647673"/>
    <s v="N"/>
    <n v="21349284"/>
    <s v="3000004688890022"/>
    <s v="CIVIL"/>
    <d v="2023-06-27T00:00:00"/>
    <d v="2023-07-10T19:01:40"/>
    <m/>
    <d v="2023-07-10T00:00:00"/>
    <n v="924"/>
    <n v="2281"/>
    <s v="8647673"/>
    <s v="8647673"/>
    <m/>
    <m/>
    <n v="22771220"/>
    <m/>
    <m/>
    <m/>
    <s v="SOLFIN"/>
    <s v="SOLFIN"/>
    <s v="CCMS"/>
    <n v="21349284"/>
    <n v="14502.62"/>
    <m/>
    <s v="N"/>
    <n v="60"/>
    <d v="2023-07-10T19:01:43"/>
    <s v="Y"/>
    <s v="Preparation - other"/>
    <s v="Prescribed Hourly Rates"/>
    <s v="Profit Cost"/>
    <s v="ROS"/>
    <s v="Y"/>
    <n v="7.41"/>
    <n v="1.48"/>
    <x v="2"/>
    <s v="VALIDATED"/>
    <n v="1"/>
    <s v="01.11.80.307.6100.0000"/>
    <n v="7.41"/>
    <s v="11"/>
    <s v="6100"/>
    <n v="43154.65"/>
    <n v="7.41"/>
    <s v="CREDITOR"/>
    <n v="0"/>
    <n v="0"/>
    <n v="0"/>
    <n v="0"/>
    <n v="7.41"/>
  </r>
  <r>
    <n v="11594527"/>
    <s v="N"/>
    <n v="21337864"/>
    <s v="3000006991410004"/>
    <s v="CIVIL"/>
    <d v="2023-06-27T00:00:00"/>
    <d v="2023-07-06T19:21:01"/>
    <m/>
    <d v="2023-07-06T00:00:00"/>
    <n v="924"/>
    <n v="2281"/>
    <s v="11594527"/>
    <s v="11594527"/>
    <m/>
    <m/>
    <n v="22768496"/>
    <m/>
    <m/>
    <m/>
    <s v="SOLFIN"/>
    <s v="SOLFIN"/>
    <s v="CCMS"/>
    <n v="21337864"/>
    <n v="6756.82"/>
    <m/>
    <s v="N"/>
    <n v="33"/>
    <d v="2023-07-06T19:21:09"/>
    <s v="Y"/>
    <s v="Attendance upon client"/>
    <s v="Prescribed Hourly Rates"/>
    <s v="Profit Cost"/>
    <s v="RS"/>
    <s v="Y"/>
    <n v="14.82"/>
    <n v="2.96"/>
    <x v="4"/>
    <s v="VALIDATED"/>
    <n v="1"/>
    <s v="01.11.80.307.6100.0000"/>
    <n v="14.82"/>
    <s v="11"/>
    <s v="6100"/>
    <n v="43154.65"/>
    <n v="14.82"/>
    <s v="CREDITOR"/>
    <n v="0"/>
    <n v="0"/>
    <n v="0"/>
    <n v="0"/>
    <n v="14.82"/>
  </r>
  <r>
    <n v="11594527"/>
    <s v="N"/>
    <n v="21337864"/>
    <s v="3000006991410004"/>
    <s v="CIVIL"/>
    <d v="2023-06-27T00:00:00"/>
    <d v="2023-07-06T19:21:01"/>
    <m/>
    <d v="2023-07-06T00:00:00"/>
    <n v="924"/>
    <n v="2281"/>
    <s v="11594527"/>
    <s v="11594527"/>
    <m/>
    <m/>
    <n v="22768496"/>
    <m/>
    <m/>
    <m/>
    <s v="SOLFIN"/>
    <s v="SOLFIN"/>
    <s v="CCMS"/>
    <n v="21337864"/>
    <n v="6756.82"/>
    <m/>
    <s v="N"/>
    <n v="44"/>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13"/>
    <d v="2023-07-06T19:21:09"/>
    <s v="Y"/>
    <s v="Preparation - other"/>
    <s v="Prescribed Hourly Rates"/>
    <s v="Profit Cost"/>
    <s v="NPM"/>
    <s v="Y"/>
    <n v="5.49"/>
    <n v="1.1"/>
    <x v="4"/>
    <s v="VALIDATED"/>
    <n v="1"/>
    <s v="01.11.80.307.6100.0000"/>
    <n v="5.49"/>
    <s v="11"/>
    <s v="6100"/>
    <n v="43154.65"/>
    <n v="5.49"/>
    <s v="CREDITOR"/>
    <n v="0"/>
    <n v="0"/>
    <n v="0"/>
    <n v="0"/>
    <n v="5.49"/>
  </r>
  <r>
    <n v="60950874"/>
    <s v="N"/>
    <n v="21360551"/>
    <s v="3000015160760008"/>
    <s v="CIVIL"/>
    <d v="2023-06-30T00:00:00"/>
    <d v="2023-07-11T11:50:54"/>
    <m/>
    <d v="2023-07-11T00:00:00"/>
    <n v="924"/>
    <n v="2281"/>
    <s v="60950874"/>
    <s v="60950874"/>
    <m/>
    <m/>
    <n v="22794622"/>
    <m/>
    <m/>
    <m/>
    <s v="SOLFIN"/>
    <s v="SOLFIN"/>
    <s v="CCMS"/>
    <n v="21360551"/>
    <n v="11550.02"/>
    <m/>
    <s v="N"/>
    <n v="29"/>
    <d v="2023-07-11T11:51:09"/>
    <s v="Y"/>
    <s v="Attendance upon client"/>
    <s v="Prescribed Hourly Rates"/>
    <s v="Profit Cost"/>
    <s v="RS"/>
    <s v="Y"/>
    <n v="123.53"/>
    <n v="24.7"/>
    <x v="7"/>
    <s v="VALIDATED"/>
    <n v="1"/>
    <s v="01.11.80.307.6100.0000"/>
    <n v="123.53"/>
    <s v="11"/>
    <s v="6100"/>
    <n v="43154.65"/>
    <n v="123.53"/>
    <s v="CREDITOR"/>
    <n v="0"/>
    <n v="0"/>
    <n v="0"/>
    <n v="0"/>
    <n v="123.53"/>
  </r>
  <r>
    <n v="60950874"/>
    <s v="N"/>
    <n v="21360551"/>
    <s v="3000015160760008"/>
    <s v="CIVIL"/>
    <d v="2023-06-30T00:00:00"/>
    <d v="2023-07-11T11:50:54"/>
    <m/>
    <d v="2023-07-11T00:00:00"/>
    <n v="924"/>
    <n v="2281"/>
    <s v="60950874"/>
    <s v="60950874"/>
    <m/>
    <m/>
    <n v="22794622"/>
    <m/>
    <m/>
    <m/>
    <s v="SOLFIN"/>
    <s v="SOLFIN"/>
    <s v="CCMS"/>
    <n v="21360551"/>
    <n v="11550.02"/>
    <m/>
    <s v="N"/>
    <n v="45"/>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57"/>
    <d v="2023-07-11T11:51:09"/>
    <s v="Y"/>
    <s v="Preparation - other"/>
    <s v="Prescribed Hourly Rates"/>
    <s v="Profit Cost"/>
    <s v="NPM"/>
    <s v="Y"/>
    <n v="5.49"/>
    <n v="1.1"/>
    <x v="7"/>
    <s v="VALIDATED"/>
    <n v="1"/>
    <s v="01.11.80.307.6100.0000"/>
    <n v="5.49"/>
    <s v="11"/>
    <s v="6100"/>
    <n v="43154.65"/>
    <n v="5.49"/>
    <s v="CREDITOR"/>
    <n v="0"/>
    <n v="0"/>
    <n v="0"/>
    <n v="0"/>
    <n v="5.49"/>
  </r>
  <r>
    <n v="60950874"/>
    <s v="N"/>
    <n v="21360551"/>
    <s v="3000015160760008"/>
    <s v="CIVIL"/>
    <d v="2023-06-30T00:00:00"/>
    <d v="2023-07-11T11:50:54"/>
    <m/>
    <d v="2023-07-11T00:00:00"/>
    <n v="924"/>
    <n v="2281"/>
    <s v="60950874"/>
    <s v="60950874"/>
    <m/>
    <m/>
    <n v="22794622"/>
    <m/>
    <m/>
    <m/>
    <s v="SOLFIN"/>
    <s v="SOLFIN"/>
    <s v="CCMS"/>
    <n v="21360551"/>
    <n v="11550.02"/>
    <m/>
    <s v="N"/>
    <n v="60"/>
    <d v="2023-07-11T11:51:09"/>
    <s v="Y"/>
    <s v="Attendance upon client"/>
    <s v="Prescribed Hourly Rates"/>
    <s v="Profit Cost"/>
    <s v="RS"/>
    <s v="Y"/>
    <n v="74.12"/>
    <n v="14.82"/>
    <x v="7"/>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66"/>
    <d v="2023-07-10T19:02:09"/>
    <s v="Y"/>
    <s v="Attendance upon client"/>
    <s v="Prescribed Hourly Rates"/>
    <s v="Profit Cost"/>
    <s v="RS"/>
    <s v="Y"/>
    <n v="74.12"/>
    <n v="14.82"/>
    <x v="2"/>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52"/>
    <d v="2023-07-10T19:02:09"/>
    <s v="Y"/>
    <s v="Preparation - other"/>
    <s v="Prescribed Hourly Rates"/>
    <s v="Profit Cost"/>
    <s v="NPM"/>
    <s v="Y"/>
    <n v="16.47"/>
    <n v="3.29"/>
    <x v="2"/>
    <s v="VALIDATED"/>
    <n v="1"/>
    <s v="01.11.80.307.6100.0000"/>
    <n v="16.47"/>
    <s v="11"/>
    <s v="6100"/>
    <n v="43154.65"/>
    <n v="16.47"/>
    <s v="CREDITOR"/>
    <n v="0"/>
    <n v="0"/>
    <n v="0"/>
    <n v="0"/>
    <n v="16.47"/>
  </r>
  <r>
    <n v="8647673"/>
    <s v="N"/>
    <n v="21349284"/>
    <s v="3000004688890022"/>
    <s v="CIVIL"/>
    <d v="2023-06-27T00:00:00"/>
    <d v="2023-07-10T19:01:40"/>
    <m/>
    <d v="2023-07-10T00:00:00"/>
    <n v="924"/>
    <n v="2281"/>
    <s v="8647673"/>
    <s v="8647673"/>
    <m/>
    <m/>
    <n v="22771220"/>
    <m/>
    <m/>
    <m/>
    <s v="SOLFIN"/>
    <s v="SOLFIN"/>
    <s v="CCMS"/>
    <n v="21349284"/>
    <n v="14502.62"/>
    <m/>
    <s v="N"/>
    <n v="107"/>
    <d v="2023-07-10T19:01:43"/>
    <s v="Y"/>
    <s v="Preparation - other"/>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70"/>
    <d v="2023-07-10T19:01:43"/>
    <s v="Y"/>
    <s v="Preparation - other"/>
    <s v="Prescribed Hourly Rates"/>
    <s v="Profit Cost"/>
    <s v="ROS"/>
    <s v="Y"/>
    <n v="14.82"/>
    <n v="2.96"/>
    <x v="2"/>
    <s v="VALIDATED"/>
    <n v="1"/>
    <s v="01.11.80.307.6100.0000"/>
    <n v="14.82"/>
    <s v="11"/>
    <s v="6100"/>
    <n v="43154.65"/>
    <n v="14.82"/>
    <s v="CREDITOR"/>
    <n v="0"/>
    <n v="0"/>
    <n v="0"/>
    <n v="0"/>
    <n v="14.82"/>
  </r>
  <r>
    <n v="11594527"/>
    <s v="N"/>
    <n v="21337864"/>
    <s v="3000006991410004"/>
    <s v="CIVIL"/>
    <d v="2023-06-27T00:00:00"/>
    <d v="2023-07-06T19:21:01"/>
    <m/>
    <d v="2023-07-06T00:00:00"/>
    <n v="924"/>
    <n v="2281"/>
    <s v="11594527"/>
    <s v="11594527"/>
    <m/>
    <m/>
    <n v="22768496"/>
    <m/>
    <m/>
    <m/>
    <s v="SOLFIN"/>
    <s v="SOLFIN"/>
    <s v="CCMS"/>
    <n v="21337864"/>
    <n v="6756.82"/>
    <m/>
    <s v="N"/>
    <n v="5"/>
    <d v="2023-07-06T19:21:09"/>
    <s v="Y"/>
    <s v="Preparation - other"/>
    <s v="Prescribed Hourly Rates"/>
    <s v="Profit Cost"/>
    <s v="RS"/>
    <s v="Y"/>
    <n v="6.31"/>
    <n v="1.26"/>
    <x v="4"/>
    <s v="VALIDATED"/>
    <n v="1"/>
    <s v="01.11.80.307.6100.0000"/>
    <n v="6.31"/>
    <s v="11"/>
    <s v="6100"/>
    <n v="43154.65"/>
    <n v="6.31"/>
    <s v="CREDITOR"/>
    <n v="0"/>
    <n v="0"/>
    <n v="0"/>
    <n v="0"/>
    <n v="6.31"/>
  </r>
  <r>
    <n v="62183454"/>
    <s v="N"/>
    <n v="21327540"/>
    <s v="3000016194870001"/>
    <s v="CIVIL"/>
    <d v="2023-06-30T00:00:00"/>
    <d v="2023-07-04T19:00:44"/>
    <m/>
    <d v="2023-07-04T00:00:00"/>
    <n v="924"/>
    <n v="2281"/>
    <s v="62183454"/>
    <s v="62183454"/>
    <m/>
    <m/>
    <n v="22794044"/>
    <m/>
    <m/>
    <m/>
    <s v="SOLPOA"/>
    <s v="SOLPOA"/>
    <s v="CCMS"/>
    <n v="21327540"/>
    <n v="232"/>
    <m/>
    <s v="N"/>
    <n v="1"/>
    <d v="2023-07-04T19:00:50"/>
    <s v="N"/>
    <s v="Non Expert Disbursement - Private L"/>
    <s v="Non Expert Disbursement - Priv"/>
    <s v="Non Expert Disbursement"/>
    <s v="Richard Singh"/>
    <s v="N"/>
    <n v="232"/>
    <n v="0"/>
    <x v="1"/>
    <s v="VALIDATED"/>
    <n v="1"/>
    <s v="01.11.80.307.2012.0000"/>
    <n v="232"/>
    <s v="11"/>
    <s v="2012"/>
    <n v="43154.65"/>
    <n v="232"/>
    <s v="CREDITOR"/>
    <n v="232"/>
    <n v="0"/>
    <n v="0"/>
    <n v="0"/>
    <n v="0"/>
  </r>
  <r>
    <n v="60950874"/>
    <s v="N"/>
    <n v="21360551"/>
    <s v="3000015160760008"/>
    <s v="CIVIL"/>
    <d v="2023-06-30T00:00:00"/>
    <d v="2023-07-11T11:50:54"/>
    <m/>
    <d v="2023-07-11T00:00:00"/>
    <n v="924"/>
    <n v="2281"/>
    <s v="60950874"/>
    <s v="60950874"/>
    <m/>
    <m/>
    <n v="22794622"/>
    <m/>
    <m/>
    <m/>
    <s v="SOLFIN"/>
    <s v="SOLFIN"/>
    <s v="CCMS"/>
    <n v="21360551"/>
    <n v="11550.02"/>
    <m/>
    <s v="N"/>
    <n v="75"/>
    <d v="2023-07-11T11:51:09"/>
    <s v="Y"/>
    <s v="Attendance upon client"/>
    <s v="Prescribed Hourly Rates"/>
    <s v="Profit Cost"/>
    <s v="RS"/>
    <s v="Y"/>
    <n v="148.23"/>
    <n v="29.64"/>
    <x v="7"/>
    <s v="VALIDATED"/>
    <n v="1"/>
    <s v="01.11.80.307.6100.0000"/>
    <n v="148.23"/>
    <s v="11"/>
    <s v="6100"/>
    <n v="43154.65"/>
    <n v="148.23"/>
    <s v="CREDITOR"/>
    <n v="0"/>
    <n v="0"/>
    <n v="0"/>
    <n v="0"/>
    <n v="148.23"/>
  </r>
  <r>
    <n v="10004121"/>
    <s v="N"/>
    <n v="21360316"/>
    <s v="3000005900070010"/>
    <s v="CIVIL"/>
    <d v="2023-06-28T00:00:00"/>
    <d v="2023-07-11T11:50:54"/>
    <m/>
    <d v="2023-07-11T00:00:00"/>
    <n v="924"/>
    <n v="2281"/>
    <s v="10004121"/>
    <s v="10004121"/>
    <m/>
    <m/>
    <n v="22778134"/>
    <m/>
    <m/>
    <m/>
    <s v="SOLFIN"/>
    <s v="SOLFIN"/>
    <s v="CCMS"/>
    <n v="21360316"/>
    <n v="7425.76"/>
    <m/>
    <s v="N"/>
    <n v="99"/>
    <d v="2023-07-11T11:51:02"/>
    <s v="Y"/>
    <s v="Preparation - other"/>
    <s v="Prescribed Hourly Rates"/>
    <s v="Profit Cost"/>
    <s v="NPM"/>
    <s v="Y"/>
    <n v="10.98"/>
    <n v="2.2"/>
    <x v="7"/>
    <s v="VALIDATED"/>
    <n v="1"/>
    <s v="01.11.80.307.6100.0000"/>
    <n v="10.98"/>
    <s v="11"/>
    <s v="6100"/>
    <n v="43154.65"/>
    <n v="10.98"/>
    <s v="CREDITOR"/>
    <n v="0"/>
    <n v="0"/>
    <n v="0"/>
    <n v="0"/>
    <n v="10.98"/>
  </r>
  <r>
    <n v="10004121"/>
    <s v="N"/>
    <n v="21360316"/>
    <s v="3000005900070010"/>
    <s v="CIVIL"/>
    <d v="2023-06-28T00:00:00"/>
    <d v="2023-07-11T11:50:54"/>
    <m/>
    <d v="2023-07-11T00:00:00"/>
    <n v="924"/>
    <n v="2281"/>
    <s v="10004121"/>
    <s v="10004121"/>
    <m/>
    <m/>
    <n v="22778134"/>
    <m/>
    <m/>
    <m/>
    <s v="SOLFIN"/>
    <s v="SOLFIN"/>
    <s v="CCMS"/>
    <n v="21360316"/>
    <n v="7425.76"/>
    <m/>
    <s v="N"/>
    <n v="56"/>
    <d v="2023-07-11T11:51:02"/>
    <s v="Y"/>
    <s v="Attendance upon client"/>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112"/>
    <d v="2023-07-11T11:51:02"/>
    <s v="Y"/>
    <s v="Preparation - other"/>
    <s v="Prescribed Hourly Rates"/>
    <s v="Profit Cost"/>
    <s v="CD"/>
    <s v="Y"/>
    <n v="27.45"/>
    <n v="5.49"/>
    <x v="7"/>
    <s v="VALIDATED"/>
    <n v="1"/>
    <s v="01.11.80.307.6100.0000"/>
    <n v="27.45"/>
    <s v="11"/>
    <s v="6100"/>
    <n v="43154.65"/>
    <n v="27.45"/>
    <s v="CREDITOR"/>
    <n v="0"/>
    <n v="0"/>
    <n v="0"/>
    <n v="0"/>
    <n v="27.45"/>
  </r>
  <r>
    <n v="10004121"/>
    <s v="N"/>
    <n v="21360316"/>
    <s v="3000005900070010"/>
    <s v="CIVIL"/>
    <d v="2023-06-28T00:00:00"/>
    <d v="2023-07-11T11:50:54"/>
    <m/>
    <d v="2023-07-11T00:00:00"/>
    <n v="924"/>
    <n v="2281"/>
    <s v="10004121"/>
    <s v="10004121"/>
    <m/>
    <m/>
    <n v="22778134"/>
    <m/>
    <m/>
    <m/>
    <s v="SOLFIN"/>
    <s v="SOLFIN"/>
    <s v="CCMS"/>
    <n v="21360316"/>
    <n v="7425.76"/>
    <m/>
    <s v="N"/>
    <n v="14"/>
    <d v="2023-07-11T11:51:02"/>
    <s v="Y"/>
    <s v="Preparation - other"/>
    <s v="Prescribed Hourly Rates"/>
    <s v="Profit Cost"/>
    <s v="RS"/>
    <s v="Y"/>
    <n v="22.23"/>
    <n v="4.45"/>
    <x v="7"/>
    <s v="VALIDATED"/>
    <n v="1"/>
    <s v="01.11.80.307.6100.0000"/>
    <n v="22.23"/>
    <s v="11"/>
    <s v="6100"/>
    <n v="43154.65"/>
    <n v="22.23"/>
    <s v="CREDITOR"/>
    <n v="0"/>
    <n v="0"/>
    <n v="0"/>
    <n v="0"/>
    <n v="22.23"/>
  </r>
  <r>
    <n v="10004121"/>
    <s v="N"/>
    <n v="21360316"/>
    <s v="3000005900070010"/>
    <s v="CIVIL"/>
    <d v="2023-06-28T00:00:00"/>
    <d v="2023-07-11T11:50:54"/>
    <m/>
    <d v="2023-07-11T00:00:00"/>
    <n v="924"/>
    <n v="2281"/>
    <s v="10004121"/>
    <s v="10004121"/>
    <m/>
    <m/>
    <n v="22778134"/>
    <m/>
    <m/>
    <m/>
    <s v="SOLFIN"/>
    <s v="SOLFIN"/>
    <s v="CCMS"/>
    <n v="21360316"/>
    <n v="7425.76"/>
    <m/>
    <s v="N"/>
    <n v="22"/>
    <d v="2023-07-11T11:51:02"/>
    <s v="Y"/>
    <s v="Preparation - other"/>
    <s v="Prescribed Hourly Rates"/>
    <s v="Profit Cost"/>
    <s v="NPM"/>
    <s v="Y"/>
    <n v="5.49"/>
    <n v="1.1"/>
    <x v="7"/>
    <s v="VALIDATED"/>
    <n v="1"/>
    <s v="01.11.80.307.6100.0000"/>
    <n v="5.49"/>
    <s v="11"/>
    <s v="6100"/>
    <n v="43154.65"/>
    <n v="5.49"/>
    <s v="CREDITOR"/>
    <n v="0"/>
    <n v="0"/>
    <n v="0"/>
    <n v="0"/>
    <n v="5.49"/>
  </r>
  <r>
    <n v="61313803"/>
    <s v="N"/>
    <n v="21350025"/>
    <s v="3000015470000008"/>
    <s v="CIVIL"/>
    <d v="2023-06-29T00:00:00"/>
    <d v="2023-07-10T19:01:40"/>
    <m/>
    <d v="2023-07-10T00:00:00"/>
    <n v="924"/>
    <n v="2281"/>
    <s v="61313803"/>
    <s v="61313803"/>
    <m/>
    <m/>
    <n v="22789528"/>
    <m/>
    <m/>
    <m/>
    <s v="SOLFIN"/>
    <s v="SOLFIN"/>
    <s v="CCMS"/>
    <n v="21350025"/>
    <n v="6800.74"/>
    <m/>
    <s v="N"/>
    <n v="89"/>
    <d v="2023-07-10T19:02:09"/>
    <s v="Y"/>
    <s v="Routine Letter Out"/>
    <s v="Prescribed Hourly Rates"/>
    <s v="Profit Cost"/>
    <s v="RS"/>
    <s v="Y"/>
    <n v="503.01"/>
    <n v="100.69"/>
    <x v="2"/>
    <s v="VALIDATED"/>
    <n v="1"/>
    <s v="01.11.80.307.6100.0000"/>
    <n v="503.01"/>
    <s v="11"/>
    <s v="6100"/>
    <n v="43154.65"/>
    <n v="503.01"/>
    <s v="CREDITOR"/>
    <n v="0"/>
    <n v="0"/>
    <n v="0"/>
    <n v="0"/>
    <n v="503.01"/>
  </r>
  <r>
    <n v="14064052"/>
    <s v="N"/>
    <n v="21349905"/>
    <s v="3000007298400008"/>
    <s v="CIVIL"/>
    <d v="2023-06-29T00:00:00"/>
    <d v="2023-07-10T19:01:40"/>
    <m/>
    <d v="2023-07-10T00:00:00"/>
    <n v="924"/>
    <n v="2281"/>
    <s v="14064052"/>
    <s v="14064052"/>
    <m/>
    <m/>
    <n v="22788366"/>
    <m/>
    <m/>
    <m/>
    <s v="SOLFIN"/>
    <s v="SOLFIN"/>
    <s v="CCMS"/>
    <n v="21349905"/>
    <n v="4899.44"/>
    <m/>
    <s v="N"/>
    <n v="34"/>
    <d v="2023-07-10T19:02:03"/>
    <s v="Y"/>
    <s v="Attendance upon client"/>
    <s v="Prescribed Hourly Rates"/>
    <s v="Profit Cost"/>
    <s v="ROS"/>
    <s v="Y"/>
    <n v="25.25"/>
    <n v="5.05"/>
    <x v="2"/>
    <s v="VALIDATED"/>
    <n v="1"/>
    <s v="01.11.80.302.6100.0000"/>
    <n v="25.25"/>
    <s v="11"/>
    <s v="6100"/>
    <n v="43154.65"/>
    <n v="25.25"/>
    <s v="CREDITOR"/>
    <n v="0"/>
    <n v="0"/>
    <n v="0"/>
    <n v="0"/>
    <n v="25.25"/>
  </r>
  <r>
    <n v="61313803"/>
    <s v="N"/>
    <n v="21350025"/>
    <s v="3000015470000008"/>
    <s v="CIVIL"/>
    <d v="2023-06-29T00:00:00"/>
    <d v="2023-07-10T19:01:40"/>
    <m/>
    <d v="2023-07-10T00:00:00"/>
    <n v="924"/>
    <n v="2281"/>
    <s v="61313803"/>
    <s v="61313803"/>
    <m/>
    <m/>
    <n v="22789528"/>
    <m/>
    <m/>
    <m/>
    <s v="SOLFIN"/>
    <s v="SOLFIN"/>
    <s v="CCMS"/>
    <n v="21350025"/>
    <n v="6800.74"/>
    <m/>
    <s v="N"/>
    <n v="2"/>
    <d v="2023-07-10T19:02:09"/>
    <s v="Y"/>
    <s v="Police Records"/>
    <s v="Prescribed Hourly Rates"/>
    <s v="Non Expert Disbursement"/>
    <s v="XXX"/>
    <s v="Y"/>
    <n v="67.55"/>
    <n v="0"/>
    <x v="2"/>
    <s v="VALIDATED"/>
    <n v="1"/>
    <s v="01.11.80.307.6300.0000"/>
    <n v="67.55"/>
    <s v="11"/>
    <s v="6300"/>
    <n v="43154.65"/>
    <n v="67.55"/>
    <s v="CREDITOR"/>
    <n v="0"/>
    <n v="0"/>
    <n v="0"/>
    <n v="0"/>
    <n v="67.55"/>
  </r>
  <r>
    <n v="11594527"/>
    <s v="N"/>
    <n v="21337864"/>
    <s v="3000006991410004"/>
    <s v="CIVIL"/>
    <d v="2023-06-27T00:00:00"/>
    <d v="2023-07-06T19:21:01"/>
    <m/>
    <d v="2023-07-06T00:00:00"/>
    <n v="924"/>
    <n v="2281"/>
    <s v="11594527"/>
    <s v="11594527"/>
    <m/>
    <m/>
    <n v="22768496"/>
    <m/>
    <m/>
    <m/>
    <s v="SOLFIN"/>
    <s v="SOLFIN"/>
    <s v="CCMS"/>
    <n v="21337864"/>
    <n v="6756.82"/>
    <m/>
    <s v="N"/>
    <n v="12"/>
    <d v="2023-07-06T19:21:09"/>
    <s v="Y"/>
    <s v="Preparation - other"/>
    <s v="Prescribed Hourly Rates"/>
    <s v="Profit Cost"/>
    <s v="RS"/>
    <s v="Y"/>
    <n v="12.63"/>
    <n v="2.53"/>
    <x v="4"/>
    <s v="VALIDATED"/>
    <n v="1"/>
    <s v="01.11.80.307.6100.0000"/>
    <n v="12.63"/>
    <s v="11"/>
    <s v="6100"/>
    <n v="43154.65"/>
    <n v="12.63"/>
    <s v="CREDITOR"/>
    <n v="0"/>
    <n v="0"/>
    <n v="0"/>
    <n v="0"/>
    <n v="12.63"/>
  </r>
  <r>
    <n v="60950874"/>
    <s v="N"/>
    <n v="21360551"/>
    <s v="3000015160760008"/>
    <s v="CIVIL"/>
    <d v="2023-06-30T00:00:00"/>
    <d v="2023-07-11T11:50:54"/>
    <m/>
    <d v="2023-07-11T00:00:00"/>
    <n v="924"/>
    <n v="2281"/>
    <s v="60950874"/>
    <s v="60950874"/>
    <m/>
    <m/>
    <n v="22794622"/>
    <m/>
    <m/>
    <m/>
    <s v="SOLFIN"/>
    <s v="SOLFIN"/>
    <s v="CCMS"/>
    <n v="21360551"/>
    <n v="11550.02"/>
    <m/>
    <s v="N"/>
    <n v="14"/>
    <d v="2023-07-11T11:51:09"/>
    <s v="Y"/>
    <s v="Preparation - other"/>
    <s v="Prescribed Hourly Rates"/>
    <s v="Profit Cost"/>
    <s v="NPM"/>
    <s v="Y"/>
    <n v="5.49"/>
    <n v="1.1"/>
    <x v="7"/>
    <s v="VALIDATED"/>
    <n v="1"/>
    <s v="01.11.80.307.6100.0000"/>
    <n v="5.49"/>
    <s v="11"/>
    <s v="6100"/>
    <n v="43154.65"/>
    <n v="5.49"/>
    <s v="CREDITOR"/>
    <n v="0"/>
    <n v="0"/>
    <n v="0"/>
    <n v="0"/>
    <n v="5.49"/>
  </r>
  <r>
    <n v="60950874"/>
    <s v="N"/>
    <n v="21360551"/>
    <s v="3000015160760008"/>
    <s v="CIVIL"/>
    <d v="2023-06-30T00:00:00"/>
    <d v="2023-07-11T11:50:54"/>
    <m/>
    <d v="2023-07-11T00:00:00"/>
    <n v="924"/>
    <n v="2281"/>
    <s v="60950874"/>
    <s v="60950874"/>
    <m/>
    <m/>
    <n v="22794622"/>
    <m/>
    <m/>
    <m/>
    <s v="SOLFIN"/>
    <s v="SOLFIN"/>
    <s v="CCMS"/>
    <n v="21360551"/>
    <n v="11550.02"/>
    <m/>
    <s v="N"/>
    <n v="90"/>
    <d v="2023-07-11T11:51:09"/>
    <s v="Y"/>
    <s v="Attendance upon client"/>
    <s v="Prescribed Hourly Rates"/>
    <s v="Profit Cost"/>
    <s v="RS"/>
    <s v="Y"/>
    <n v="148.23"/>
    <n v="29.64"/>
    <x v="7"/>
    <s v="VALIDATED"/>
    <n v="1"/>
    <s v="01.11.80.307.6100.0000"/>
    <n v="148.23"/>
    <s v="11"/>
    <s v="6100"/>
    <n v="43154.65"/>
    <n v="148.23"/>
    <s v="CREDITOR"/>
    <n v="0"/>
    <n v="0"/>
    <n v="0"/>
    <n v="0"/>
    <n v="148.23"/>
  </r>
  <r>
    <n v="10004121"/>
    <s v="N"/>
    <n v="21360316"/>
    <s v="3000005900070010"/>
    <s v="CIVIL"/>
    <d v="2023-06-28T00:00:00"/>
    <d v="2023-07-11T11:50:54"/>
    <m/>
    <d v="2023-07-11T00:00:00"/>
    <n v="924"/>
    <n v="2281"/>
    <s v="10004121"/>
    <s v="10004121"/>
    <m/>
    <m/>
    <n v="22778134"/>
    <m/>
    <m/>
    <m/>
    <s v="SOLFIN"/>
    <s v="SOLFIN"/>
    <s v="CCMS"/>
    <n v="21360316"/>
    <n v="7425.76"/>
    <m/>
    <s v="N"/>
    <n v="9"/>
    <d v="2023-07-11T11:51:02"/>
    <s v="Y"/>
    <s v="Preparation - other"/>
    <s v="Prescribed Hourly Rates"/>
    <s v="Profit Cost"/>
    <s v="RS"/>
    <s v="Y"/>
    <n v="370.58"/>
    <n v="74.11"/>
    <x v="7"/>
    <s v="VALIDATED"/>
    <n v="1"/>
    <s v="01.11.80.307.6100.0000"/>
    <n v="370.58"/>
    <s v="11"/>
    <s v="6100"/>
    <n v="43154.65"/>
    <n v="370.58"/>
    <s v="CREDITOR"/>
    <n v="0"/>
    <n v="0"/>
    <n v="0"/>
    <n v="0"/>
    <n v="370.58"/>
  </r>
  <r>
    <n v="8647673"/>
    <s v="N"/>
    <n v="21349284"/>
    <s v="3000004688890022"/>
    <s v="CIVIL"/>
    <d v="2023-06-27T00:00:00"/>
    <d v="2023-07-10T19:01:40"/>
    <m/>
    <d v="2023-07-10T00:00:00"/>
    <n v="924"/>
    <n v="2281"/>
    <s v="8647673"/>
    <s v="8647673"/>
    <m/>
    <m/>
    <n v="22771220"/>
    <m/>
    <m/>
    <m/>
    <s v="SOLFIN"/>
    <s v="SOLFIN"/>
    <s v="CCMS"/>
    <n v="21349284"/>
    <n v="14502.62"/>
    <m/>
    <s v="N"/>
    <n v="92"/>
    <d v="2023-07-10T19:01:43"/>
    <s v="Y"/>
    <s v="Preparation - other"/>
    <s v="Prescribed Hourly Rates"/>
    <s v="Profit Cost"/>
    <s v="ROS"/>
    <s v="Y"/>
    <n v="12.63"/>
    <n v="2.53"/>
    <x v="2"/>
    <s v="VALIDATED"/>
    <n v="1"/>
    <s v="01.11.80.307.6100.0000"/>
    <n v="12.63"/>
    <s v="11"/>
    <s v="6100"/>
    <n v="43154.65"/>
    <n v="12.63"/>
    <s v="CREDITOR"/>
    <n v="0"/>
    <n v="0"/>
    <n v="0"/>
    <n v="0"/>
    <n v="12.63"/>
  </r>
  <r>
    <n v="61313803"/>
    <s v="N"/>
    <n v="21350025"/>
    <s v="3000015470000008"/>
    <s v="CIVIL"/>
    <d v="2023-06-29T00:00:00"/>
    <d v="2023-07-10T19:01:40"/>
    <m/>
    <d v="2023-07-10T00:00:00"/>
    <n v="924"/>
    <n v="2281"/>
    <s v="61313803"/>
    <s v="61313803"/>
    <m/>
    <m/>
    <n v="22789528"/>
    <m/>
    <m/>
    <m/>
    <s v="SOLFIN"/>
    <s v="SOLFIN"/>
    <s v="CCMS"/>
    <n v="21350025"/>
    <n v="6800.74"/>
    <m/>
    <s v="N"/>
    <n v="27"/>
    <d v="2023-07-10T19:02:09"/>
    <s v="Y"/>
    <s v="Attendance upon client"/>
    <s v="Prescribed Hourly Rates"/>
    <s v="Profit Cost"/>
    <s v="RS"/>
    <s v="Y"/>
    <n v="14.82"/>
    <n v="2.96"/>
    <x v="2"/>
    <s v="VALIDATED"/>
    <n v="1"/>
    <s v="01.11.80.307.6100.0000"/>
    <n v="14.82"/>
    <s v="11"/>
    <s v="6100"/>
    <n v="43154.65"/>
    <n v="14.82"/>
    <s v="CREDITOR"/>
    <n v="0"/>
    <n v="0"/>
    <n v="0"/>
    <n v="0"/>
    <n v="14.82"/>
  </r>
  <r>
    <n v="11594527"/>
    <s v="N"/>
    <n v="21337864"/>
    <s v="3000006991410004"/>
    <s v="CIVIL"/>
    <d v="2023-06-27T00:00:00"/>
    <d v="2023-07-06T19:21:01"/>
    <m/>
    <d v="2023-07-06T00:00:00"/>
    <n v="924"/>
    <n v="2281"/>
    <s v="11594527"/>
    <s v="11594527"/>
    <m/>
    <m/>
    <n v="22768496"/>
    <m/>
    <m/>
    <m/>
    <s v="SOLFIN"/>
    <s v="SOLFIN"/>
    <s v="CCMS"/>
    <n v="21337864"/>
    <n v="6756.82"/>
    <m/>
    <s v="N"/>
    <n v="80"/>
    <d v="2023-07-06T19:21:09"/>
    <s v="Y"/>
    <s v="Attendance upon client"/>
    <s v="Prescribed Hourly Rates"/>
    <s v="Profit Cost"/>
    <s v="RS"/>
    <s v="Y"/>
    <n v="111.17"/>
    <n v="22.23"/>
    <x v="4"/>
    <s v="VALIDATED"/>
    <n v="1"/>
    <s v="01.11.80.307.6100.0000"/>
    <n v="111.17"/>
    <s v="11"/>
    <s v="6100"/>
    <n v="43154.65"/>
    <n v="111.17"/>
    <s v="CREDITOR"/>
    <n v="0"/>
    <n v="0"/>
    <n v="0"/>
    <n v="0"/>
    <n v="111.17"/>
  </r>
  <r>
    <n v="11594527"/>
    <s v="N"/>
    <n v="21337864"/>
    <s v="3000006991410004"/>
    <s v="CIVIL"/>
    <d v="2023-06-27T00:00:00"/>
    <d v="2023-07-06T19:21:01"/>
    <m/>
    <d v="2023-07-06T00:00:00"/>
    <n v="924"/>
    <n v="2281"/>
    <s v="11594527"/>
    <s v="11594527"/>
    <m/>
    <m/>
    <n v="22768496"/>
    <m/>
    <m/>
    <m/>
    <s v="SOLFIN"/>
    <s v="SOLFIN"/>
    <s v="CCMS"/>
    <n v="21337864"/>
    <n v="6756.82"/>
    <m/>
    <s v="N"/>
    <n v="91"/>
    <d v="2023-07-06T19:21:09"/>
    <s v="Y"/>
    <s v="Preparation - other"/>
    <s v="Prescribed Hourly Rates"/>
    <s v="Profit Cost"/>
    <s v="CD"/>
    <s v="Y"/>
    <n v="27.45"/>
    <n v="5.49"/>
    <x v="4"/>
    <s v="VALIDATED"/>
    <n v="1"/>
    <s v="01.11.80.307.6100.0000"/>
    <n v="27.45"/>
    <s v="11"/>
    <s v="6100"/>
    <n v="43154.65"/>
    <n v="27.45"/>
    <s v="CREDITOR"/>
    <n v="0"/>
    <n v="0"/>
    <n v="0"/>
    <n v="0"/>
    <n v="27.45"/>
  </r>
  <r>
    <n v="11594527"/>
    <s v="N"/>
    <n v="21337864"/>
    <s v="3000006991410004"/>
    <s v="CIVIL"/>
    <d v="2023-06-27T00:00:00"/>
    <d v="2023-07-06T19:21:01"/>
    <m/>
    <d v="2023-07-06T00:00:00"/>
    <n v="924"/>
    <n v="2281"/>
    <s v="11594527"/>
    <s v="11594527"/>
    <m/>
    <m/>
    <n v="22768496"/>
    <m/>
    <m/>
    <m/>
    <s v="SOLFIN"/>
    <s v="SOLFIN"/>
    <s v="CCMS"/>
    <n v="21337864"/>
    <n v="6756.82"/>
    <m/>
    <s v="N"/>
    <n v="17"/>
    <d v="2023-07-06T19:21:09"/>
    <s v="Y"/>
    <s v="Attendance upon client"/>
    <s v="Prescribed Hourly Rates"/>
    <s v="Profit Cost"/>
    <s v="RS"/>
    <s v="Y"/>
    <n v="74.12"/>
    <n v="14.82"/>
    <x v="4"/>
    <s v="VALIDATED"/>
    <n v="1"/>
    <s v="01.11.80.307.6100.0000"/>
    <n v="74.12"/>
    <s v="11"/>
    <s v="6100"/>
    <n v="43154.65"/>
    <n v="74.12"/>
    <s v="CREDITOR"/>
    <n v="0"/>
    <n v="0"/>
    <n v="0"/>
    <n v="0"/>
    <n v="74.12"/>
  </r>
  <r>
    <n v="59941716"/>
    <s v="N"/>
    <n v="21327616"/>
    <s v="3000014294620012"/>
    <s v="CIVIL"/>
    <d v="2023-06-29T00:00:00"/>
    <d v="2023-07-04T19:00:44"/>
    <m/>
    <d v="2023-07-04T00:00:00"/>
    <n v="924"/>
    <n v="2281"/>
    <s v="59941716"/>
    <s v="59941716"/>
    <m/>
    <m/>
    <n v="22784646"/>
    <m/>
    <m/>
    <m/>
    <s v="SOLPOA"/>
    <s v="SOLPOA"/>
    <s v="CCMS"/>
    <n v="21327616"/>
    <n v="70"/>
    <m/>
    <s v="N"/>
    <n v="1"/>
    <d v="2023-07-04T19:00:51"/>
    <s v="N"/>
    <s v="Expert Cost - Private Law Children"/>
    <s v="Expert Cost - Private Law Chil"/>
    <s v="Expert Disbursement"/>
    <s v="Richard Singh"/>
    <s v="N"/>
    <n v="70"/>
    <n v="0"/>
    <x v="1"/>
    <s v="VALIDATED"/>
    <n v="1"/>
    <s v="01.11.80.307.2012.0000"/>
    <n v="70"/>
    <s v="11"/>
    <s v="2012"/>
    <n v="43154.65"/>
    <n v="70"/>
    <s v="CREDITOR"/>
    <n v="70"/>
    <n v="0"/>
    <n v="0"/>
    <n v="0"/>
    <n v="0"/>
  </r>
  <r>
    <n v="60557877"/>
    <s v="N"/>
    <n v="21327609"/>
    <s v="3000014824850016"/>
    <s v="CIVIL"/>
    <d v="2023-06-29T00:00:00"/>
    <d v="2023-07-04T19:00:44"/>
    <m/>
    <d v="2023-07-04T00:00:00"/>
    <n v="924"/>
    <n v="2281"/>
    <s v="60557877"/>
    <s v="60557877"/>
    <m/>
    <m/>
    <n v="22784650"/>
    <m/>
    <m/>
    <m/>
    <s v="SOLPOA"/>
    <s v="SOLPOA"/>
    <s v="CCMS"/>
    <n v="21327609"/>
    <n v="163.15"/>
    <m/>
    <s v="N"/>
    <n v="1"/>
    <d v="2023-07-04T19:00:51"/>
    <s v="N"/>
    <s v="Expert Cost - Private Law Children"/>
    <s v="Expert Cost - Private Law Chil"/>
    <s v="Expert Disbursement"/>
    <s v="Richard Singh"/>
    <s v="N"/>
    <n v="163.15"/>
    <n v="0"/>
    <x v="1"/>
    <s v="VALIDATED"/>
    <n v="1"/>
    <s v="01.11.80.307.2012.0000"/>
    <n v="163.15"/>
    <s v="11"/>
    <s v="2012"/>
    <n v="43154.65"/>
    <n v="163.15"/>
    <s v="CREDITOR"/>
    <n v="163.15"/>
    <n v="0"/>
    <n v="0"/>
    <n v="0"/>
    <n v="0"/>
  </r>
  <r>
    <n v="10004121"/>
    <s v="N"/>
    <n v="21360316"/>
    <s v="3000005900070010"/>
    <s v="CIVIL"/>
    <d v="2023-06-28T00:00:00"/>
    <d v="2023-07-11T11:50:54"/>
    <m/>
    <d v="2023-07-11T00:00:00"/>
    <n v="924"/>
    <n v="2281"/>
    <s v="10004121"/>
    <s v="10004121"/>
    <m/>
    <m/>
    <n v="22778134"/>
    <m/>
    <m/>
    <m/>
    <s v="SOLFIN"/>
    <s v="SOLFIN"/>
    <s v="CCMS"/>
    <n v="21360316"/>
    <n v="7425.76"/>
    <m/>
    <s v="N"/>
    <n v="39"/>
    <d v="2023-07-11T11:51:02"/>
    <s v="Y"/>
    <s v="Attendance upon other"/>
    <s v="Prescribed Hourly Rates"/>
    <s v="Profit Cost"/>
    <s v="RS"/>
    <s v="Y"/>
    <n v="14.82"/>
    <n v="2.96"/>
    <x v="7"/>
    <s v="VALIDATED"/>
    <n v="1"/>
    <s v="01.11.80.307.6100.0000"/>
    <n v="14.82"/>
    <s v="11"/>
    <s v="6100"/>
    <n v="43154.65"/>
    <n v="14.82"/>
    <s v="CREDITOR"/>
    <n v="0"/>
    <n v="0"/>
    <n v="0"/>
    <n v="0"/>
    <n v="14.82"/>
  </r>
  <r>
    <n v="14064052"/>
    <s v="N"/>
    <n v="21349905"/>
    <s v="3000007298400008"/>
    <s v="CIVIL"/>
    <d v="2023-06-29T00:00:00"/>
    <d v="2023-07-10T19:01:40"/>
    <m/>
    <d v="2023-07-10T00:00:00"/>
    <n v="924"/>
    <n v="2281"/>
    <s v="14064052"/>
    <s v="14064052"/>
    <m/>
    <m/>
    <n v="22788366"/>
    <m/>
    <m/>
    <m/>
    <s v="SOLFIN"/>
    <s v="SOLFIN"/>
    <s v="CCMS"/>
    <n v="21349905"/>
    <n v="4899.44"/>
    <m/>
    <s v="N"/>
    <n v="23"/>
    <d v="2023-07-10T19:02:03"/>
    <s v="Y"/>
    <s v="Attendance upon client"/>
    <s v="Prescribed Hourly Rates"/>
    <s v="Profit Cost"/>
    <s v="ROS"/>
    <s v="Y"/>
    <n v="63.14"/>
    <n v="12.63"/>
    <x v="2"/>
    <s v="VALIDATED"/>
    <n v="1"/>
    <s v="01.11.80.302.6100.0000"/>
    <n v="63.14"/>
    <s v="11"/>
    <s v="6100"/>
    <n v="43154.65"/>
    <n v="63.14"/>
    <s v="CREDITOR"/>
    <n v="0"/>
    <n v="0"/>
    <n v="0"/>
    <n v="0"/>
    <n v="63.14"/>
  </r>
  <r>
    <n v="61313803"/>
    <s v="N"/>
    <n v="21350025"/>
    <s v="3000015470000008"/>
    <s v="CIVIL"/>
    <d v="2023-06-29T00:00:00"/>
    <d v="2023-07-10T19:01:40"/>
    <m/>
    <d v="2023-07-10T00:00:00"/>
    <n v="924"/>
    <n v="2281"/>
    <s v="61313803"/>
    <s v="61313803"/>
    <m/>
    <m/>
    <n v="22789528"/>
    <m/>
    <m/>
    <m/>
    <s v="SOLFIN"/>
    <s v="SOLFIN"/>
    <s v="CCMS"/>
    <n v="21350025"/>
    <n v="6800.74"/>
    <m/>
    <s v="N"/>
    <n v="58"/>
    <d v="2023-07-10T19:02:09"/>
    <s v="Y"/>
    <s v="Preparation - other"/>
    <s v="Prescribed Hourly Rates"/>
    <s v="Profit Cost"/>
    <s v="RS"/>
    <s v="Y"/>
    <n v="74.12"/>
    <n v="14.82"/>
    <x v="2"/>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4"/>
    <d v="2023-07-10T19:02:09"/>
    <s v="N"/>
    <s v="Level 3 &amp; Level 4 Fixed Fee"/>
    <s v="Private Law Children"/>
    <s v="Profit Cost"/>
    <s v="XXX"/>
    <s v="N"/>
    <n v="0"/>
    <n v="0"/>
    <x v="2"/>
    <s v="VALIDATED"/>
    <n v="1"/>
    <s v="01.11.80.307.6100.0000"/>
    <n v="0"/>
    <s v="11"/>
    <s v="6100"/>
    <n v="43154.65"/>
    <n v="0"/>
    <s v="CREDITOR"/>
    <n v="0"/>
    <n v="0"/>
    <n v="0"/>
    <n v="0"/>
    <n v="0"/>
  </r>
  <r>
    <n v="14064052"/>
    <s v="N"/>
    <n v="21349905"/>
    <s v="3000007298400008"/>
    <s v="CIVIL"/>
    <d v="2023-06-29T00:00:00"/>
    <d v="2023-07-10T19:01:40"/>
    <m/>
    <d v="2023-07-10T00:00:00"/>
    <n v="924"/>
    <n v="2281"/>
    <s v="14064052"/>
    <s v="14064052"/>
    <m/>
    <m/>
    <n v="22788366"/>
    <m/>
    <m/>
    <m/>
    <s v="SOLFIN"/>
    <s v="SOLFIN"/>
    <s v="CCMS"/>
    <n v="21349905"/>
    <n v="4899.44"/>
    <m/>
    <s v="N"/>
    <n v="38"/>
    <d v="2023-07-10T19:02:03"/>
    <s v="Y"/>
    <s v="Preparation - other"/>
    <s v="Prescribed Hourly Rates"/>
    <s v="Profit Cost"/>
    <s v="ROS"/>
    <s v="Y"/>
    <n v="12.63"/>
    <n v="2.53"/>
    <x v="2"/>
    <s v="VALIDATED"/>
    <n v="1"/>
    <s v="01.11.80.302.6100.0000"/>
    <n v="12.63"/>
    <s v="11"/>
    <s v="6100"/>
    <n v="43154.65"/>
    <n v="12.63"/>
    <s v="CREDITOR"/>
    <n v="0"/>
    <n v="0"/>
    <n v="0"/>
    <n v="0"/>
    <n v="12.63"/>
  </r>
  <r>
    <n v="6022968"/>
    <s v="N"/>
    <n v="21331042"/>
    <s v="3000002607450005"/>
    <s v="CIVIL"/>
    <d v="2023-06-23T00:00:00"/>
    <d v="2023-07-05T19:01:47"/>
    <m/>
    <d v="2023-07-05T00:00:00"/>
    <n v="924"/>
    <n v="2281"/>
    <s v="6022968"/>
    <s v="6022968"/>
    <m/>
    <m/>
    <n v="22748538"/>
    <m/>
    <m/>
    <m/>
    <s v="SOLFIN"/>
    <s v="SOLFIN"/>
    <s v="CCMS"/>
    <n v="21331042"/>
    <n v="2416.22"/>
    <m/>
    <s v="N"/>
    <n v="18"/>
    <d v="2023-07-05T19:02:03"/>
    <s v="Y"/>
    <s v="Routine Letter In"/>
    <s v="Prescribed Hourly Rates"/>
    <s v="Profit Cost"/>
    <s v="RS"/>
    <s v="Y"/>
    <n v="13.5"/>
    <n v="2.7"/>
    <x v="6"/>
    <s v="VALIDATED"/>
    <n v="1"/>
    <s v="01.11.80.307.6100.0000"/>
    <n v="13.5"/>
    <s v="11"/>
    <s v="6100"/>
    <n v="43154.65"/>
    <n v="13.5"/>
    <s v="CREDITOR"/>
    <n v="0"/>
    <n v="0"/>
    <n v="0"/>
    <n v="0"/>
    <n v="13.5"/>
  </r>
  <r>
    <n v="61672530"/>
    <s v="N"/>
    <n v="21327700"/>
    <s v="3000015769340013"/>
    <s v="CIVIL"/>
    <d v="2023-06-30T00:00:00"/>
    <d v="2023-07-04T19:00:44"/>
    <m/>
    <d v="2023-07-04T00:00:00"/>
    <n v="924"/>
    <n v="2281"/>
    <s v="61672530"/>
    <s v="61672530"/>
    <m/>
    <m/>
    <n v="22794020"/>
    <m/>
    <m/>
    <m/>
    <s v="SOLPOA"/>
    <s v="SOLPOA"/>
    <s v="CCMS"/>
    <n v="21327700"/>
    <n v="100.8"/>
    <m/>
    <s v="N"/>
    <n v="1"/>
    <d v="2023-07-04T19:00:52"/>
    <s v="N"/>
    <s v="Expert Cost - Private Law Children"/>
    <s v="Expert Cost - Private Law Chil"/>
    <s v="Expert Disbursement"/>
    <s v="Richard Singh"/>
    <s v="N"/>
    <n v="84"/>
    <n v="16.8"/>
    <x v="1"/>
    <s v="VALIDATED"/>
    <n v="1"/>
    <s v="01.11.80.307.2012.0000"/>
    <n v="84"/>
    <s v="11"/>
    <s v="2012"/>
    <n v="43154.65"/>
    <n v="84"/>
    <s v="CREDITOR"/>
    <n v="84"/>
    <n v="0"/>
    <n v="0"/>
    <n v="0"/>
    <n v="0"/>
  </r>
  <r>
    <n v="60950874"/>
    <s v="N"/>
    <n v="21360551"/>
    <s v="3000015160760008"/>
    <s v="CIVIL"/>
    <d v="2023-06-30T00:00:00"/>
    <d v="2023-07-11T11:50:54"/>
    <m/>
    <d v="2023-07-11T00:00:00"/>
    <n v="924"/>
    <n v="2281"/>
    <s v="60950874"/>
    <s v="60950874"/>
    <m/>
    <m/>
    <n v="22794622"/>
    <m/>
    <m/>
    <m/>
    <s v="SOLFIN"/>
    <s v="SOLFIN"/>
    <s v="CCMS"/>
    <n v="21360551"/>
    <n v="11550.02"/>
    <m/>
    <s v="N"/>
    <n v="123"/>
    <d v="2023-07-11T11:51:09"/>
    <s v="Y"/>
    <s v="Preparation - other"/>
    <s v="Prescribed Hourly Rates"/>
    <s v="Profit Cost"/>
    <s v="CD"/>
    <s v="Y"/>
    <n v="16.47"/>
    <n v="3.29"/>
    <x v="7"/>
    <s v="VALIDATED"/>
    <n v="1"/>
    <s v="01.11.80.307.6100.0000"/>
    <n v="16.47"/>
    <s v="11"/>
    <s v="6100"/>
    <n v="43154.65"/>
    <n v="16.47"/>
    <s v="CREDITOR"/>
    <n v="0"/>
    <n v="0"/>
    <n v="0"/>
    <n v="0"/>
    <n v="16.47"/>
  </r>
  <r>
    <n v="10004121"/>
    <s v="N"/>
    <n v="21360316"/>
    <s v="3000005900070010"/>
    <s v="CIVIL"/>
    <d v="2023-06-28T00:00:00"/>
    <d v="2023-07-11T11:50:54"/>
    <m/>
    <d v="2023-07-11T00:00:00"/>
    <n v="924"/>
    <n v="2281"/>
    <s v="10004121"/>
    <s v="10004121"/>
    <m/>
    <m/>
    <n v="22778134"/>
    <m/>
    <m/>
    <m/>
    <s v="SOLFIN"/>
    <s v="SOLFIN"/>
    <s v="CCMS"/>
    <n v="21360316"/>
    <n v="7425.76"/>
    <m/>
    <s v="N"/>
    <n v="58"/>
    <d v="2023-07-11T11:51:02"/>
    <s v="Y"/>
    <s v="Preparation - other"/>
    <s v="Prescribed Hourly Rates"/>
    <s v="Profit Cost"/>
    <s v="RS"/>
    <s v="Y"/>
    <n v="74.12"/>
    <n v="14.82"/>
    <x v="7"/>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38"/>
    <d v="2023-07-10T19:02:09"/>
    <s v="Y"/>
    <s v="Preparation - other"/>
    <s v="Prescribed Hourly Rates"/>
    <s v="Profit Cost"/>
    <s v="RS"/>
    <s v="Y"/>
    <n v="6.31"/>
    <n v="1.26"/>
    <x v="2"/>
    <s v="VALIDATED"/>
    <n v="1"/>
    <s v="01.11.80.307.6100.0000"/>
    <n v="6.31"/>
    <s v="11"/>
    <s v="6100"/>
    <n v="43154.65"/>
    <n v="6.31"/>
    <s v="CREDITOR"/>
    <n v="0"/>
    <n v="0"/>
    <n v="0"/>
    <n v="0"/>
    <n v="6.31"/>
  </r>
  <r>
    <n v="8647673"/>
    <s v="N"/>
    <n v="21349284"/>
    <s v="3000004688890022"/>
    <s v="CIVIL"/>
    <d v="2023-06-27T00:00:00"/>
    <d v="2023-07-10T19:01:40"/>
    <m/>
    <d v="2023-07-10T00:00:00"/>
    <n v="924"/>
    <n v="2281"/>
    <s v="8647673"/>
    <s v="8647673"/>
    <m/>
    <m/>
    <n v="22771220"/>
    <m/>
    <m/>
    <m/>
    <s v="SOLFIN"/>
    <s v="SOLFIN"/>
    <s v="CCMS"/>
    <n v="21349284"/>
    <n v="14502.62"/>
    <m/>
    <s v="N"/>
    <n v="16"/>
    <d v="2023-07-10T19:01:43"/>
    <s v="Y"/>
    <s v="Hearing Unit 2.31 - 5.00 Hours"/>
    <s v="Private Law Children"/>
    <s v="Advocacy"/>
    <s v="ROS"/>
    <s v="Y"/>
    <n v="344.8"/>
    <n v="68.95999999999999"/>
    <x v="2"/>
    <s v="VALIDATED"/>
    <n v="1"/>
    <s v="01.11.80.307.6100.0000"/>
    <n v="344.8"/>
    <s v="11"/>
    <s v="6100"/>
    <n v="43154.65"/>
    <n v="344.8"/>
    <s v="CREDITOR"/>
    <n v="0"/>
    <n v="0"/>
    <n v="0"/>
    <n v="0"/>
    <n v="344.8"/>
  </r>
  <r>
    <n v="8647673"/>
    <s v="N"/>
    <n v="21349284"/>
    <s v="3000004688890022"/>
    <s v="CIVIL"/>
    <d v="2023-06-27T00:00:00"/>
    <d v="2023-07-10T19:01:40"/>
    <m/>
    <d v="2023-07-10T00:00:00"/>
    <n v="924"/>
    <n v="2281"/>
    <s v="8647673"/>
    <s v="8647673"/>
    <m/>
    <m/>
    <n v="22771220"/>
    <m/>
    <m/>
    <m/>
    <s v="SOLFIN"/>
    <s v="SOLFIN"/>
    <s v="CCMS"/>
    <n v="21349284"/>
    <n v="14502.62"/>
    <m/>
    <s v="N"/>
    <n v="54"/>
    <d v="2023-07-10T19:01:43"/>
    <s v="Y"/>
    <s v="Preparation - other"/>
    <s v="Prescribed Hourly Rates"/>
    <s v="Profit Cost"/>
    <s v="ROS"/>
    <s v="Y"/>
    <n v="6.31"/>
    <n v="1.26"/>
    <x v="2"/>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25"/>
    <d v="2023-07-06T19:21:09"/>
    <s v="Y"/>
    <s v="Preparation - other"/>
    <s v="Prescribed Hourly Rates"/>
    <s v="Profit Cost"/>
    <s v="RS"/>
    <s v="Y"/>
    <n v="222.35"/>
    <n v="44.46"/>
    <x v="4"/>
    <s v="VALIDATED"/>
    <n v="1"/>
    <s v="01.11.80.307.6100.0000"/>
    <n v="222.35"/>
    <s v="11"/>
    <s v="6100"/>
    <n v="43154.65"/>
    <n v="222.35"/>
    <s v="CREDITOR"/>
    <n v="0"/>
    <n v="0"/>
    <n v="0"/>
    <n v="0"/>
    <n v="222.35"/>
  </r>
  <r>
    <n v="60950874"/>
    <s v="N"/>
    <n v="21360551"/>
    <s v="3000015160760008"/>
    <s v="CIVIL"/>
    <d v="2023-06-30T00:00:00"/>
    <d v="2023-07-11T11:50:54"/>
    <m/>
    <d v="2023-07-11T00:00:00"/>
    <n v="924"/>
    <n v="2281"/>
    <s v="60950874"/>
    <s v="60950874"/>
    <m/>
    <m/>
    <n v="22794622"/>
    <m/>
    <m/>
    <m/>
    <s v="SOLFIN"/>
    <s v="SOLFIN"/>
    <s v="CCMS"/>
    <n v="21360551"/>
    <n v="11550.02"/>
    <m/>
    <s v="N"/>
    <n v="40"/>
    <d v="2023-07-11T11:51:09"/>
    <s v="Y"/>
    <s v="Attendance upon client"/>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71"/>
    <d v="2023-07-11T11:51:09"/>
    <s v="Y"/>
    <s v="Preparation - other"/>
    <s v="Prescribed Hourly Rates"/>
    <s v="Profit Cost"/>
    <s v="RS"/>
    <s v="Y"/>
    <n v="190.23"/>
    <n v="38.04"/>
    <x v="7"/>
    <s v="VALIDATED"/>
    <n v="1"/>
    <s v="01.11.80.307.6100.0000"/>
    <n v="190.23"/>
    <s v="11"/>
    <s v="6100"/>
    <n v="43154.65"/>
    <n v="190.23"/>
    <s v="CREDITOR"/>
    <n v="0"/>
    <n v="0"/>
    <n v="0"/>
    <n v="0"/>
    <n v="190.23"/>
  </r>
  <r>
    <n v="8647673"/>
    <s v="N"/>
    <n v="21349284"/>
    <s v="3000004688890022"/>
    <s v="CIVIL"/>
    <d v="2023-06-27T00:00:00"/>
    <d v="2023-07-10T19:01:40"/>
    <m/>
    <d v="2023-07-10T00:00:00"/>
    <n v="924"/>
    <n v="2281"/>
    <s v="8647673"/>
    <s v="8647673"/>
    <m/>
    <m/>
    <n v="22771220"/>
    <m/>
    <m/>
    <m/>
    <s v="SOLFIN"/>
    <s v="SOLFIN"/>
    <s v="CCMS"/>
    <n v="21349284"/>
    <n v="14502.62"/>
    <m/>
    <s v="N"/>
    <n v="93"/>
    <d v="2023-07-10T19:01:43"/>
    <s v="Y"/>
    <s v="Attendance upon client"/>
    <s v="Prescribed Hourly Rates"/>
    <s v="Profit Cost"/>
    <s v="ROS"/>
    <s v="Y"/>
    <n v="111.17"/>
    <n v="22.23"/>
    <x v="2"/>
    <s v="VALIDATED"/>
    <n v="1"/>
    <s v="01.11.80.307.6100.0000"/>
    <n v="111.17"/>
    <s v="11"/>
    <s v="6100"/>
    <n v="43154.65"/>
    <n v="111.17"/>
    <s v="CREDITOR"/>
    <n v="0"/>
    <n v="0"/>
    <n v="0"/>
    <n v="0"/>
    <n v="111.17"/>
  </r>
  <r>
    <n v="8647673"/>
    <s v="N"/>
    <n v="21349284"/>
    <s v="3000004688890022"/>
    <s v="CIVIL"/>
    <d v="2023-06-27T00:00:00"/>
    <d v="2023-07-10T19:01:40"/>
    <m/>
    <d v="2023-07-10T00:00:00"/>
    <n v="924"/>
    <n v="2281"/>
    <s v="8647673"/>
    <s v="8647673"/>
    <m/>
    <m/>
    <n v="22771220"/>
    <m/>
    <m/>
    <m/>
    <s v="SOLFIN"/>
    <s v="SOLFIN"/>
    <s v="CCMS"/>
    <n v="21349284"/>
    <n v="14502.62"/>
    <m/>
    <s v="N"/>
    <n v="30"/>
    <d v="2023-07-10T19:01:43"/>
    <s v="Y"/>
    <s v="Preparation - drafting application"/>
    <s v="Prescribed Hourly Rates"/>
    <s v="Profit Cost"/>
    <s v="ROS"/>
    <s v="Y"/>
    <n v="189.41"/>
    <n v="37.88"/>
    <x v="2"/>
    <s v="VALIDATED"/>
    <n v="1"/>
    <s v="01.11.80.307.6100.0000"/>
    <n v="189.41"/>
    <s v="11"/>
    <s v="6100"/>
    <n v="43154.65"/>
    <n v="189.41"/>
    <s v="CREDITOR"/>
    <n v="0"/>
    <n v="0"/>
    <n v="0"/>
    <n v="0"/>
    <n v="189.41"/>
  </r>
  <r>
    <n v="8647673"/>
    <s v="N"/>
    <n v="21349284"/>
    <s v="3000004688890022"/>
    <s v="CIVIL"/>
    <d v="2023-06-27T00:00:00"/>
    <d v="2023-07-10T19:01:40"/>
    <m/>
    <d v="2023-07-10T00:00:00"/>
    <n v="924"/>
    <n v="2281"/>
    <s v="8647673"/>
    <s v="8647673"/>
    <m/>
    <m/>
    <n v="22771220"/>
    <m/>
    <m/>
    <m/>
    <s v="SOLFIN"/>
    <s v="SOLFIN"/>
    <s v="CCMS"/>
    <n v="21349284"/>
    <n v="14502.62"/>
    <m/>
    <s v="N"/>
    <n v="42"/>
    <d v="2023-07-10T19:01:43"/>
    <s v="Y"/>
    <s v="Preparation - drafting statement"/>
    <s v="Prescribed Hourly Rates"/>
    <s v="Profit Cost"/>
    <s v="ROS"/>
    <s v="Y"/>
    <n v="296.46"/>
    <n v="59.29"/>
    <x v="2"/>
    <s v="VALIDATED"/>
    <n v="1"/>
    <s v="01.11.80.307.6100.0000"/>
    <n v="296.46"/>
    <s v="11"/>
    <s v="6100"/>
    <n v="43154.65"/>
    <n v="296.46"/>
    <s v="CREDITOR"/>
    <n v="0"/>
    <n v="0"/>
    <n v="0"/>
    <n v="0"/>
    <n v="296.46"/>
  </r>
  <r>
    <n v="8647673"/>
    <s v="N"/>
    <n v="21349284"/>
    <s v="3000004688890022"/>
    <s v="CIVIL"/>
    <d v="2023-06-27T00:00:00"/>
    <d v="2023-07-10T19:01:40"/>
    <m/>
    <d v="2023-07-10T00:00:00"/>
    <n v="924"/>
    <n v="2281"/>
    <s v="8647673"/>
    <s v="8647673"/>
    <m/>
    <m/>
    <n v="22771220"/>
    <m/>
    <m/>
    <m/>
    <s v="SOLFIN"/>
    <s v="SOLFIN"/>
    <s v="CCMS"/>
    <n v="21349284"/>
    <n v="14502.62"/>
    <m/>
    <s v="N"/>
    <n v="74"/>
    <d v="2023-07-10T19:01:43"/>
    <s v="Y"/>
    <s v="Preparation - other"/>
    <s v="Prescribed Hourly Rates"/>
    <s v="Profit Cost"/>
    <s v="ROS"/>
    <s v="Y"/>
    <n v="7.41"/>
    <n v="1.48"/>
    <x v="2"/>
    <s v="VALIDATED"/>
    <n v="1"/>
    <s v="01.11.80.307.6100.0000"/>
    <n v="7.41"/>
    <s v="11"/>
    <s v="6100"/>
    <n v="43154.65"/>
    <n v="7.41"/>
    <s v="CREDITOR"/>
    <n v="0"/>
    <n v="0"/>
    <n v="0"/>
    <n v="0"/>
    <n v="7.41"/>
  </r>
  <r>
    <n v="14064052"/>
    <s v="N"/>
    <n v="21349905"/>
    <s v="3000007298400008"/>
    <s v="CIVIL"/>
    <d v="2023-06-29T00:00:00"/>
    <d v="2023-07-10T19:01:40"/>
    <m/>
    <d v="2023-07-10T00:00:00"/>
    <n v="924"/>
    <n v="2281"/>
    <s v="14064052"/>
    <s v="14064052"/>
    <m/>
    <m/>
    <n v="22788366"/>
    <m/>
    <m/>
    <m/>
    <s v="SOLFIN"/>
    <s v="SOLFIN"/>
    <s v="CCMS"/>
    <n v="21349905"/>
    <n v="4899.44"/>
    <m/>
    <s v="N"/>
    <n v="32"/>
    <d v="2023-07-10T19:02:03"/>
    <s v="Y"/>
    <s v="Preparation - other"/>
    <s v="Prescribed Hourly Rates"/>
    <s v="Profit Cost"/>
    <s v="ROS"/>
    <s v="Y"/>
    <n v="44.19"/>
    <n v="8.84"/>
    <x v="2"/>
    <s v="VALIDATED"/>
    <n v="1"/>
    <s v="01.11.80.302.6100.0000"/>
    <n v="44.19"/>
    <s v="11"/>
    <s v="6100"/>
    <n v="43154.65"/>
    <n v="44.19"/>
    <s v="CREDITOR"/>
    <n v="0"/>
    <n v="0"/>
    <n v="0"/>
    <n v="0"/>
    <n v="44.19"/>
  </r>
  <r>
    <n v="61313803"/>
    <s v="N"/>
    <n v="21350025"/>
    <s v="3000015470000008"/>
    <s v="CIVIL"/>
    <d v="2023-06-29T00:00:00"/>
    <d v="2023-07-10T19:01:40"/>
    <m/>
    <d v="2023-07-10T00:00:00"/>
    <n v="924"/>
    <n v="2281"/>
    <s v="61313803"/>
    <s v="61313803"/>
    <m/>
    <m/>
    <n v="22789528"/>
    <m/>
    <m/>
    <m/>
    <s v="SOLFIN"/>
    <s v="SOLFIN"/>
    <s v="CCMS"/>
    <n v="21350025"/>
    <n v="6800.74"/>
    <m/>
    <s v="N"/>
    <n v="73"/>
    <d v="2023-07-10T19:02:09"/>
    <s v="Y"/>
    <s v="Preparation - other"/>
    <s v="Prescribed Hourly Rates"/>
    <s v="Profit Cost"/>
    <s v="NPM"/>
    <s v="Y"/>
    <n v="16.47"/>
    <n v="3.29"/>
    <x v="2"/>
    <s v="VALIDATED"/>
    <n v="1"/>
    <s v="01.11.80.307.6100.0000"/>
    <n v="16.47"/>
    <s v="11"/>
    <s v="6100"/>
    <n v="43154.65"/>
    <n v="16.47"/>
    <s v="CREDITOR"/>
    <n v="0"/>
    <n v="0"/>
    <n v="0"/>
    <n v="0"/>
    <n v="16.47"/>
  </r>
  <r>
    <n v="61313803"/>
    <s v="N"/>
    <n v="21350025"/>
    <s v="3000015470000008"/>
    <s v="CIVIL"/>
    <d v="2023-06-29T00:00:00"/>
    <d v="2023-07-10T19:01:40"/>
    <m/>
    <d v="2023-07-10T00:00:00"/>
    <n v="924"/>
    <n v="2281"/>
    <s v="61313803"/>
    <s v="61313803"/>
    <m/>
    <m/>
    <n v="22789528"/>
    <m/>
    <m/>
    <m/>
    <s v="SOLFIN"/>
    <s v="SOLFIN"/>
    <s v="CCMS"/>
    <n v="21350025"/>
    <n v="6800.74"/>
    <m/>
    <s v="N"/>
    <n v="83"/>
    <d v="2023-07-10T19:02:09"/>
    <s v="Y"/>
    <s v="Attendance upon client"/>
    <s v="Prescribed Hourly Rates"/>
    <s v="Profit Cost"/>
    <s v="RS"/>
    <s v="Y"/>
    <n v="18.54"/>
    <n v="3.71"/>
    <x v="2"/>
    <s v="VALIDATED"/>
    <n v="1"/>
    <s v="01.11.80.307.6100.0000"/>
    <n v="18.54"/>
    <s v="11"/>
    <s v="6100"/>
    <n v="43154.65"/>
    <n v="18.54"/>
    <s v="CREDITOR"/>
    <n v="0"/>
    <n v="0"/>
    <n v="0"/>
    <n v="0"/>
    <n v="18.54"/>
  </r>
  <r>
    <n v="14064052"/>
    <s v="N"/>
    <n v="21349905"/>
    <s v="3000007298400008"/>
    <s v="CIVIL"/>
    <d v="2023-06-29T00:00:00"/>
    <d v="2023-07-10T19:01:40"/>
    <m/>
    <d v="2023-07-10T00:00:00"/>
    <n v="924"/>
    <n v="2281"/>
    <s v="14064052"/>
    <s v="14064052"/>
    <m/>
    <m/>
    <n v="22788366"/>
    <m/>
    <m/>
    <m/>
    <s v="SOLFIN"/>
    <s v="SOLFIN"/>
    <s v="CCMS"/>
    <n v="21349905"/>
    <n v="4899.44"/>
    <m/>
    <s v="N"/>
    <n v="1"/>
    <d v="2023-07-10T19:02:03"/>
    <s v="Y"/>
    <s v="Process server"/>
    <s v="Domestic Abuse"/>
    <s v="Expert Disbursement"/>
    <s v="XXX"/>
    <s v="Y"/>
    <n v="128.55"/>
    <n v="0"/>
    <x v="2"/>
    <s v="VALIDATED"/>
    <n v="1"/>
    <s v="01.11.80.302.6300.0000"/>
    <n v="128.55"/>
    <s v="11"/>
    <s v="6300"/>
    <n v="43154.65"/>
    <n v="128.55"/>
    <s v="CREDITOR"/>
    <n v="0"/>
    <n v="0"/>
    <n v="0"/>
    <n v="0"/>
    <n v="128.55"/>
  </r>
  <r>
    <n v="11594527"/>
    <s v="N"/>
    <n v="21337864"/>
    <s v="3000006991410004"/>
    <s v="CIVIL"/>
    <d v="2023-06-27T00:00:00"/>
    <d v="2023-07-06T19:21:01"/>
    <m/>
    <d v="2023-07-06T00:00:00"/>
    <n v="924"/>
    <n v="2281"/>
    <s v="11594527"/>
    <s v="11594527"/>
    <m/>
    <m/>
    <n v="22768496"/>
    <m/>
    <m/>
    <m/>
    <s v="SOLFIN"/>
    <s v="SOLFIN"/>
    <s v="CCMS"/>
    <n v="21337864"/>
    <n v="6756.82"/>
    <m/>
    <s v="N"/>
    <n v="48"/>
    <d v="2023-07-06T19:21:09"/>
    <s v="Y"/>
    <s v="Preparation - other"/>
    <s v="Prescribed Hourly Rates"/>
    <s v="Profit Cost"/>
    <s v="RS"/>
    <s v="Y"/>
    <n v="74.12"/>
    <n v="14.82"/>
    <x v="4"/>
    <s v="VALIDATED"/>
    <n v="1"/>
    <s v="01.11.80.307.6100.0000"/>
    <n v="74.12"/>
    <s v="11"/>
    <s v="6100"/>
    <n v="43154.65"/>
    <n v="74.12"/>
    <s v="CREDITOR"/>
    <n v="0"/>
    <n v="0"/>
    <n v="0"/>
    <n v="0"/>
    <n v="74.12"/>
  </r>
  <r>
    <n v="6022968"/>
    <s v="N"/>
    <n v="21331042"/>
    <s v="3000002607450005"/>
    <s v="CIVIL"/>
    <d v="2023-06-23T00:00:00"/>
    <d v="2023-07-05T19:01:47"/>
    <m/>
    <d v="2023-07-05T00:00:00"/>
    <n v="924"/>
    <n v="2281"/>
    <s v="6022968"/>
    <s v="6022968"/>
    <m/>
    <m/>
    <n v="22748538"/>
    <m/>
    <m/>
    <m/>
    <s v="SOLFIN"/>
    <s v="SOLFIN"/>
    <s v="CCMS"/>
    <n v="21331042"/>
    <n v="2416.22"/>
    <m/>
    <s v="N"/>
    <n v="11"/>
    <d v="2023-07-05T19:02:03"/>
    <s v="Y"/>
    <s v="Attendance upon client"/>
    <s v="Prescribed Hourly Rates"/>
    <s v="Profit Cost"/>
    <s v="RS"/>
    <s v="Y"/>
    <n v="164.7"/>
    <n v="32.94"/>
    <x v="6"/>
    <s v="VALIDATED"/>
    <n v="1"/>
    <s v="01.11.80.307.6100.0000"/>
    <n v="164.7"/>
    <s v="11"/>
    <s v="6100"/>
    <n v="43154.65"/>
    <n v="164.7"/>
    <s v="CREDITOR"/>
    <n v="0"/>
    <n v="0"/>
    <n v="0"/>
    <n v="0"/>
    <n v="164.7"/>
  </r>
  <r>
    <n v="6022968"/>
    <s v="N"/>
    <n v="21331042"/>
    <s v="3000002607450005"/>
    <s v="CIVIL"/>
    <d v="2023-06-23T00:00:00"/>
    <d v="2023-07-05T19:01:47"/>
    <m/>
    <d v="2023-07-05T00:00:00"/>
    <n v="924"/>
    <n v="2281"/>
    <s v="6022968"/>
    <s v="6022968"/>
    <m/>
    <m/>
    <n v="22748538"/>
    <m/>
    <m/>
    <m/>
    <s v="SOLFIN"/>
    <s v="SOLFIN"/>
    <s v="CCMS"/>
    <n v="21331042"/>
    <n v="2416.22"/>
    <m/>
    <s v="N"/>
    <n v="17"/>
    <d v="2023-07-05T19:02:03"/>
    <s v="Y"/>
    <s v="Attendance upon client"/>
    <s v="Prescribed Hourly Rates"/>
    <s v="Profit Cost"/>
    <s v="RS"/>
    <s v="Y"/>
    <n v="27.45"/>
    <n v="5.49"/>
    <x v="6"/>
    <s v="VALIDATED"/>
    <n v="1"/>
    <s v="01.11.80.307.6100.0000"/>
    <n v="27.45"/>
    <s v="11"/>
    <s v="6100"/>
    <n v="43154.65"/>
    <n v="27.45"/>
    <s v="CREDITOR"/>
    <n v="0"/>
    <n v="0"/>
    <n v="0"/>
    <n v="0"/>
    <n v="27.45"/>
  </r>
  <r>
    <n v="59941716"/>
    <s v="N"/>
    <n v="21327666"/>
    <s v="3000014294620013"/>
    <s v="CIVIL"/>
    <d v="2023-06-29T00:00:00"/>
    <d v="2023-07-04T19:00:44"/>
    <m/>
    <d v="2023-07-04T00:00:00"/>
    <n v="924"/>
    <n v="2281"/>
    <s v="59941716"/>
    <s v="59941716"/>
    <m/>
    <m/>
    <n v="22784648"/>
    <m/>
    <m/>
    <m/>
    <s v="SOLPOA"/>
    <s v="SOLPOA"/>
    <s v="CCMS"/>
    <n v="21327666"/>
    <n v="53"/>
    <m/>
    <s v="N"/>
    <n v="1"/>
    <d v="2023-07-04T19:00:51"/>
    <s v="N"/>
    <s v="Non Expert Disbursement - Private L"/>
    <s v="Non Expert Disbursement - Priv"/>
    <s v="Non Expert Disbursement"/>
    <s v="Richard Singh"/>
    <s v="N"/>
    <n v="53"/>
    <n v="0"/>
    <x v="1"/>
    <s v="VALIDATED"/>
    <n v="1"/>
    <s v="01.11.80.307.2012.0000"/>
    <n v="53"/>
    <s v="11"/>
    <s v="2012"/>
    <n v="43154.65"/>
    <n v="53"/>
    <s v="CREDITOR"/>
    <n v="53"/>
    <n v="0"/>
    <n v="0"/>
    <n v="0"/>
    <n v="0"/>
  </r>
  <r>
    <n v="60950874"/>
    <s v="N"/>
    <n v="21360551"/>
    <s v="3000015160760008"/>
    <s v="CIVIL"/>
    <d v="2023-06-30T00:00:00"/>
    <d v="2023-07-11T11:50:54"/>
    <m/>
    <d v="2023-07-11T00:00:00"/>
    <n v="924"/>
    <n v="2281"/>
    <s v="60950874"/>
    <s v="60950874"/>
    <m/>
    <m/>
    <n v="22794622"/>
    <m/>
    <m/>
    <m/>
    <s v="SOLFIN"/>
    <s v="SOLFIN"/>
    <s v="CCMS"/>
    <n v="21360551"/>
    <n v="11550.02"/>
    <m/>
    <s v="N"/>
    <n v="125"/>
    <d v="2023-07-11T11:51:09"/>
    <s v="Y"/>
    <s v="Preparation - other"/>
    <s v="Prescribed Hourly Rates"/>
    <s v="Profit Cost"/>
    <s v="CD"/>
    <s v="Y"/>
    <n v="27.45"/>
    <n v="5.49"/>
    <x v="7"/>
    <s v="VALIDATED"/>
    <n v="1"/>
    <s v="01.11.80.307.6100.0000"/>
    <n v="27.45"/>
    <s v="11"/>
    <s v="6100"/>
    <n v="43154.65"/>
    <n v="27.45"/>
    <s v="CREDITOR"/>
    <n v="0"/>
    <n v="0"/>
    <n v="0"/>
    <n v="0"/>
    <n v="27.45"/>
  </r>
  <r>
    <n v="60950874"/>
    <s v="N"/>
    <n v="21360551"/>
    <s v="3000015160760008"/>
    <s v="CIVIL"/>
    <d v="2023-06-30T00:00:00"/>
    <d v="2023-07-11T11:50:54"/>
    <m/>
    <d v="2023-07-11T00:00:00"/>
    <n v="924"/>
    <n v="2281"/>
    <s v="60950874"/>
    <s v="60950874"/>
    <m/>
    <m/>
    <n v="22794622"/>
    <m/>
    <m/>
    <m/>
    <s v="SOLFIN"/>
    <s v="SOLFIN"/>
    <s v="CCMS"/>
    <n v="21360551"/>
    <n v="11550.02"/>
    <m/>
    <s v="N"/>
    <n v="25"/>
    <d v="2023-07-11T11:51:09"/>
    <s v="Y"/>
    <s v="Attendance upon other"/>
    <s v="Prescribed Hourly Rates"/>
    <s v="Profit Cost"/>
    <s v="RS"/>
    <s v="Y"/>
    <n v="18.54"/>
    <n v="3.71"/>
    <x v="7"/>
    <s v="VALIDATED"/>
    <n v="1"/>
    <s v="01.11.80.307.6100.0000"/>
    <n v="18.54"/>
    <s v="11"/>
    <s v="6100"/>
    <n v="43154.65"/>
    <n v="18.54"/>
    <s v="CREDITOR"/>
    <n v="0"/>
    <n v="0"/>
    <n v="0"/>
    <n v="0"/>
    <n v="18.54"/>
  </r>
  <r>
    <n v="60950874"/>
    <s v="N"/>
    <n v="21360551"/>
    <s v="3000015160760008"/>
    <s v="CIVIL"/>
    <d v="2023-06-30T00:00:00"/>
    <d v="2023-07-11T11:50:54"/>
    <m/>
    <d v="2023-07-11T00:00:00"/>
    <n v="924"/>
    <n v="2281"/>
    <s v="60950874"/>
    <s v="60950874"/>
    <m/>
    <m/>
    <n v="22794622"/>
    <m/>
    <m/>
    <m/>
    <s v="SOLFIN"/>
    <s v="SOLFIN"/>
    <s v="CCMS"/>
    <n v="21360551"/>
    <n v="11550.02"/>
    <m/>
    <s v="N"/>
    <n v="64"/>
    <d v="2023-07-11T11:51:09"/>
    <s v="Y"/>
    <s v="Preparation - other"/>
    <s v="Prescribed Hourly Rates"/>
    <s v="Profit Cost"/>
    <s v="RS"/>
    <s v="Y"/>
    <n v="148.23"/>
    <n v="29.64"/>
    <x v="7"/>
    <s v="VALIDATED"/>
    <n v="1"/>
    <s v="01.11.80.307.6100.0000"/>
    <n v="148.23"/>
    <s v="11"/>
    <s v="6100"/>
    <n v="43154.65"/>
    <n v="148.23"/>
    <s v="CREDITOR"/>
    <n v="0"/>
    <n v="0"/>
    <n v="0"/>
    <n v="0"/>
    <n v="148.23"/>
  </r>
  <r>
    <n v="60950874"/>
    <s v="N"/>
    <n v="21360551"/>
    <s v="3000015160760008"/>
    <s v="CIVIL"/>
    <d v="2023-06-30T00:00:00"/>
    <d v="2023-07-11T11:50:54"/>
    <m/>
    <d v="2023-07-11T00:00:00"/>
    <n v="924"/>
    <n v="2281"/>
    <s v="60950874"/>
    <s v="60950874"/>
    <m/>
    <m/>
    <n v="22794622"/>
    <m/>
    <m/>
    <m/>
    <s v="SOLFIN"/>
    <s v="SOLFIN"/>
    <s v="CCMS"/>
    <n v="21360551"/>
    <n v="11550.02"/>
    <m/>
    <s v="N"/>
    <n v="70"/>
    <d v="2023-07-11T11:51:09"/>
    <s v="Y"/>
    <s v="Attendance upon client"/>
    <s v="Prescribed Hourly Rates"/>
    <s v="Profit Cost"/>
    <s v="RS"/>
    <s v="Y"/>
    <n v="148.23"/>
    <n v="29.64"/>
    <x v="7"/>
    <s v="VALIDATED"/>
    <n v="1"/>
    <s v="01.11.80.307.6100.0000"/>
    <n v="148.23"/>
    <s v="11"/>
    <s v="6100"/>
    <n v="43154.65"/>
    <n v="148.23"/>
    <s v="CREDITOR"/>
    <n v="0"/>
    <n v="0"/>
    <n v="0"/>
    <n v="0"/>
    <n v="148.23"/>
  </r>
  <r>
    <n v="10004121"/>
    <s v="N"/>
    <n v="21360316"/>
    <s v="3000005900070010"/>
    <s v="CIVIL"/>
    <d v="2023-06-28T00:00:00"/>
    <d v="2023-07-11T11:50:54"/>
    <m/>
    <d v="2023-07-11T00:00:00"/>
    <n v="924"/>
    <n v="2281"/>
    <s v="10004121"/>
    <s v="10004121"/>
    <m/>
    <m/>
    <n v="22778134"/>
    <m/>
    <m/>
    <m/>
    <s v="SOLFIN"/>
    <s v="SOLFIN"/>
    <s v="CCMS"/>
    <n v="21360316"/>
    <n v="7425.76"/>
    <m/>
    <s v="N"/>
    <n v="48"/>
    <d v="2023-07-11T11:51:02"/>
    <s v="Y"/>
    <s v="Preparation - other"/>
    <s v="Prescribed Hourly Rates"/>
    <s v="Profit Cost"/>
    <s v="RS"/>
    <s v="Y"/>
    <n v="111.17"/>
    <n v="22.23"/>
    <x v="7"/>
    <s v="VALIDATED"/>
    <n v="1"/>
    <s v="01.11.80.307.6100.0000"/>
    <n v="111.17"/>
    <s v="11"/>
    <s v="6100"/>
    <n v="43154.65"/>
    <n v="111.17"/>
    <s v="CREDITOR"/>
    <n v="0"/>
    <n v="0"/>
    <n v="0"/>
    <n v="0"/>
    <n v="111.17"/>
  </r>
  <r>
    <n v="8647673"/>
    <s v="N"/>
    <n v="21349284"/>
    <s v="3000004688890022"/>
    <s v="CIVIL"/>
    <d v="2023-06-27T00:00:00"/>
    <d v="2023-07-10T19:01:40"/>
    <m/>
    <d v="2023-07-10T00:00:00"/>
    <n v="924"/>
    <n v="2281"/>
    <s v="8647673"/>
    <s v="8647673"/>
    <m/>
    <m/>
    <n v="22771220"/>
    <m/>
    <m/>
    <m/>
    <s v="SOLFIN"/>
    <s v="SOLFIN"/>
    <s v="CCMS"/>
    <n v="21349284"/>
    <n v="14502.62"/>
    <m/>
    <s v="N"/>
    <n v="36"/>
    <d v="2023-07-10T19:01:43"/>
    <s v="Y"/>
    <s v="Preparation - other"/>
    <s v="Prescribed Hourly Rates"/>
    <s v="Profit Cost"/>
    <s v="ROS"/>
    <s v="Y"/>
    <n v="12.63"/>
    <n v="2.53"/>
    <x v="2"/>
    <s v="VALIDATED"/>
    <n v="1"/>
    <s v="01.11.80.307.6100.0000"/>
    <n v="12.63"/>
    <s v="11"/>
    <s v="6100"/>
    <n v="43154.65"/>
    <n v="12.63"/>
    <s v="CREDITOR"/>
    <n v="0"/>
    <n v="0"/>
    <n v="0"/>
    <n v="0"/>
    <n v="12.63"/>
  </r>
  <r>
    <n v="8647673"/>
    <s v="N"/>
    <n v="21349284"/>
    <s v="3000004688890022"/>
    <s v="CIVIL"/>
    <d v="2023-06-27T00:00:00"/>
    <d v="2023-07-10T19:01:40"/>
    <m/>
    <d v="2023-07-10T00:00:00"/>
    <n v="924"/>
    <n v="2281"/>
    <s v="8647673"/>
    <s v="8647673"/>
    <m/>
    <m/>
    <n v="22771220"/>
    <m/>
    <m/>
    <m/>
    <s v="SOLFIN"/>
    <s v="SOLFIN"/>
    <s v="CCMS"/>
    <n v="21349284"/>
    <n v="14502.62"/>
    <m/>
    <s v="N"/>
    <n v="53"/>
    <d v="2023-07-10T19:01:43"/>
    <s v="Y"/>
    <s v="Preparation - other"/>
    <s v="Prescribed Hourly Rates"/>
    <s v="Profit Cost"/>
    <s v="ROS"/>
    <s v="Y"/>
    <n v="7.41"/>
    <n v="1.48"/>
    <x v="2"/>
    <s v="VALIDATED"/>
    <n v="1"/>
    <s v="01.11.80.307.6100.0000"/>
    <n v="7.41"/>
    <s v="11"/>
    <s v="6100"/>
    <n v="43154.65"/>
    <n v="7.41"/>
    <s v="CREDITOR"/>
    <n v="0"/>
    <n v="0"/>
    <n v="0"/>
    <n v="0"/>
    <n v="7.41"/>
  </r>
  <r>
    <n v="11594527"/>
    <s v="N"/>
    <n v="21337864"/>
    <s v="3000006991410004"/>
    <s v="CIVIL"/>
    <d v="2023-06-27T00:00:00"/>
    <d v="2023-07-06T19:21:01"/>
    <m/>
    <d v="2023-07-06T00:00:00"/>
    <n v="924"/>
    <n v="2281"/>
    <s v="11594527"/>
    <s v="11594527"/>
    <m/>
    <m/>
    <n v="22768496"/>
    <m/>
    <m/>
    <m/>
    <s v="SOLFIN"/>
    <s v="SOLFIN"/>
    <s v="CCMS"/>
    <n v="21337864"/>
    <n v="6756.82"/>
    <m/>
    <s v="N"/>
    <n v="47"/>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58"/>
    <d v="2023-07-06T19:21:09"/>
    <s v="Y"/>
    <s v="Preparation - other"/>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29"/>
    <d v="2023-07-06T19:21:09"/>
    <s v="Y"/>
    <s v="Attendance upon client"/>
    <s v="Prescribed Hourly Rates"/>
    <s v="Profit Cost"/>
    <s v="RS"/>
    <s v="Y"/>
    <n v="111.17"/>
    <n v="22.23"/>
    <x v="4"/>
    <s v="VALIDATED"/>
    <n v="1"/>
    <s v="01.11.80.307.6100.0000"/>
    <n v="111.17"/>
    <s v="11"/>
    <s v="6100"/>
    <n v="43154.65"/>
    <n v="111.17"/>
    <s v="CREDITOR"/>
    <n v="0"/>
    <n v="0"/>
    <n v="0"/>
    <n v="0"/>
    <n v="111.17"/>
  </r>
  <r>
    <n v="60950874"/>
    <s v="N"/>
    <n v="21360551"/>
    <s v="3000015160760008"/>
    <s v="CIVIL"/>
    <d v="2023-06-30T00:00:00"/>
    <d v="2023-07-11T11:50:54"/>
    <m/>
    <d v="2023-07-11T00:00:00"/>
    <n v="924"/>
    <n v="2281"/>
    <s v="60950874"/>
    <s v="60950874"/>
    <m/>
    <m/>
    <n v="22794622"/>
    <m/>
    <m/>
    <m/>
    <s v="SOLFIN"/>
    <s v="SOLFIN"/>
    <s v="CCMS"/>
    <n v="21360551"/>
    <n v="11550.02"/>
    <m/>
    <s v="N"/>
    <n v="1"/>
    <d v="2023-07-11T11:51:09"/>
    <s v="Y"/>
    <s v="Police Records"/>
    <s v="Prescribed Hourly Rates"/>
    <s v="Non Expert Disbursement"/>
    <s v="XXX"/>
    <s v="Y"/>
    <n v="96.5"/>
    <n v="0"/>
    <x v="7"/>
    <s v="VALIDATED"/>
    <n v="1"/>
    <s v="01.11.80.307.6300.0000"/>
    <n v="96.5"/>
    <s v="11"/>
    <s v="6300"/>
    <n v="43154.65"/>
    <n v="96.5"/>
    <s v="CREDITOR"/>
    <n v="0"/>
    <n v="0"/>
    <n v="0"/>
    <n v="0"/>
    <n v="96.5"/>
  </r>
  <r>
    <n v="60950874"/>
    <s v="N"/>
    <n v="21360551"/>
    <s v="3000015160760008"/>
    <s v="CIVIL"/>
    <d v="2023-06-30T00:00:00"/>
    <d v="2023-07-11T11:50:54"/>
    <m/>
    <d v="2023-07-11T00:00:00"/>
    <n v="924"/>
    <n v="2281"/>
    <s v="60950874"/>
    <s v="60950874"/>
    <m/>
    <m/>
    <n v="22794622"/>
    <m/>
    <m/>
    <m/>
    <s v="SOLFIN"/>
    <s v="SOLFIN"/>
    <s v="CCMS"/>
    <n v="21360551"/>
    <n v="11550.02"/>
    <m/>
    <s v="N"/>
    <n v="33"/>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42"/>
    <d v="2023-07-11T11:51:09"/>
    <s v="Y"/>
    <s v="Preparation - other"/>
    <s v="Prescribed Hourly Rates"/>
    <s v="Profit Cost"/>
    <s v="NPM"/>
    <s v="Y"/>
    <n v="10.98"/>
    <n v="2.2"/>
    <x v="7"/>
    <s v="VALIDATED"/>
    <n v="1"/>
    <s v="01.11.80.307.6100.0000"/>
    <n v="10.98"/>
    <s v="11"/>
    <s v="6100"/>
    <n v="43154.65"/>
    <n v="10.98"/>
    <s v="CREDITOR"/>
    <n v="0"/>
    <n v="0"/>
    <n v="0"/>
    <n v="0"/>
    <n v="10.98"/>
  </r>
  <r>
    <n v="60950874"/>
    <s v="N"/>
    <n v="21360551"/>
    <s v="3000015160760008"/>
    <s v="CIVIL"/>
    <d v="2023-06-30T00:00:00"/>
    <d v="2023-07-11T11:50:54"/>
    <m/>
    <d v="2023-07-11T00:00:00"/>
    <n v="924"/>
    <n v="2281"/>
    <s v="60950874"/>
    <s v="60950874"/>
    <m/>
    <m/>
    <n v="22794622"/>
    <m/>
    <m/>
    <m/>
    <s v="SOLFIN"/>
    <s v="SOLFIN"/>
    <s v="CCMS"/>
    <n v="21360551"/>
    <n v="11550.02"/>
    <m/>
    <s v="N"/>
    <n v="56"/>
    <d v="2023-07-11T11:51:09"/>
    <s v="Y"/>
    <s v="Preparation - other"/>
    <s v="Prescribed Hourly Rates"/>
    <s v="Profit Cost"/>
    <s v="NPM"/>
    <s v="Y"/>
    <n v="10.98"/>
    <n v="2.2"/>
    <x v="7"/>
    <s v="VALIDATED"/>
    <n v="1"/>
    <s v="01.11.80.307.6100.0000"/>
    <n v="10.98"/>
    <s v="11"/>
    <s v="6100"/>
    <n v="43154.65"/>
    <n v="10.98"/>
    <s v="CREDITOR"/>
    <n v="0"/>
    <n v="0"/>
    <n v="0"/>
    <n v="0"/>
    <n v="10.98"/>
  </r>
  <r>
    <n v="60950874"/>
    <s v="N"/>
    <n v="21360551"/>
    <s v="3000015160760008"/>
    <s v="CIVIL"/>
    <d v="2023-06-30T00:00:00"/>
    <d v="2023-07-11T11:50:54"/>
    <m/>
    <d v="2023-07-11T00:00:00"/>
    <n v="924"/>
    <n v="2281"/>
    <s v="60950874"/>
    <s v="60950874"/>
    <m/>
    <m/>
    <n v="22794622"/>
    <m/>
    <m/>
    <m/>
    <s v="SOLFIN"/>
    <s v="SOLFIN"/>
    <s v="CCMS"/>
    <n v="21360551"/>
    <n v="11550.02"/>
    <m/>
    <s v="N"/>
    <n v="85"/>
    <d v="2023-07-11T11:51:09"/>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83"/>
    <d v="2023-07-11T11:51:02"/>
    <s v="Y"/>
    <s v="Attendance upon client"/>
    <s v="Prescribed Hourly Rates"/>
    <s v="Profit Cost"/>
    <s v="RS"/>
    <s v="Y"/>
    <n v="12.35"/>
    <n v="2.47"/>
    <x v="7"/>
    <s v="VALIDATED"/>
    <n v="1"/>
    <s v="01.11.80.307.6100.0000"/>
    <n v="12.35"/>
    <s v="11"/>
    <s v="6100"/>
    <n v="43154.65"/>
    <n v="12.35"/>
    <s v="CREDITOR"/>
    <n v="0"/>
    <n v="0"/>
    <n v="0"/>
    <n v="0"/>
    <n v="12.35"/>
  </r>
  <r>
    <n v="10004121"/>
    <s v="N"/>
    <n v="21360316"/>
    <s v="3000005900070010"/>
    <s v="CIVIL"/>
    <d v="2023-06-28T00:00:00"/>
    <d v="2023-07-11T11:50:54"/>
    <m/>
    <d v="2023-07-11T00:00:00"/>
    <n v="924"/>
    <n v="2281"/>
    <s v="10004121"/>
    <s v="10004121"/>
    <m/>
    <m/>
    <n v="22778134"/>
    <m/>
    <m/>
    <m/>
    <s v="SOLFIN"/>
    <s v="SOLFIN"/>
    <s v="CCMS"/>
    <n v="21360316"/>
    <n v="7425.76"/>
    <m/>
    <s v="N"/>
    <n v="90"/>
    <d v="2023-07-11T11:51:02"/>
    <s v="Y"/>
    <s v="Preparation - drafting statement"/>
    <s v="Prescribed Hourly Rates"/>
    <s v="Profit Cost"/>
    <s v="RS"/>
    <s v="Y"/>
    <n v="111.17"/>
    <n v="22.23"/>
    <x v="7"/>
    <s v="VALIDATED"/>
    <n v="1"/>
    <s v="01.11.80.307.6100.0000"/>
    <n v="111.17"/>
    <s v="11"/>
    <s v="6100"/>
    <n v="43154.65"/>
    <n v="111.17"/>
    <s v="CREDITOR"/>
    <n v="0"/>
    <n v="0"/>
    <n v="0"/>
    <n v="0"/>
    <n v="111.17"/>
  </r>
  <r>
    <n v="10004121"/>
    <s v="N"/>
    <n v="21360316"/>
    <s v="3000005900070010"/>
    <s v="CIVIL"/>
    <d v="2023-06-28T00:00:00"/>
    <d v="2023-07-11T11:50:54"/>
    <m/>
    <d v="2023-07-11T00:00:00"/>
    <n v="924"/>
    <n v="2281"/>
    <s v="10004121"/>
    <s v="10004121"/>
    <m/>
    <m/>
    <n v="22778134"/>
    <m/>
    <m/>
    <m/>
    <s v="SOLFIN"/>
    <s v="SOLFIN"/>
    <s v="CCMS"/>
    <n v="21360316"/>
    <n v="7425.76"/>
    <m/>
    <s v="N"/>
    <n v="102"/>
    <d v="2023-07-11T11:51:02"/>
    <s v="Y"/>
    <s v="Attendance upon client"/>
    <s v="Prescribed Hourly Rates"/>
    <s v="Profit Cost"/>
    <s v="RS"/>
    <s v="Y"/>
    <n v="111.17"/>
    <n v="22.23"/>
    <x v="7"/>
    <s v="VALIDATED"/>
    <n v="1"/>
    <s v="01.11.80.307.6100.0000"/>
    <n v="111.17"/>
    <s v="11"/>
    <s v="6100"/>
    <n v="43154.65"/>
    <n v="111.17"/>
    <s v="CREDITOR"/>
    <n v="0"/>
    <n v="0"/>
    <n v="0"/>
    <n v="0"/>
    <n v="111.17"/>
  </r>
  <r>
    <n v="10004121"/>
    <s v="N"/>
    <n v="21360316"/>
    <s v="3000005900070010"/>
    <s v="CIVIL"/>
    <d v="2023-06-28T00:00:00"/>
    <d v="2023-07-11T11:50:54"/>
    <m/>
    <d v="2023-07-11T00:00:00"/>
    <n v="924"/>
    <n v="2281"/>
    <s v="10004121"/>
    <s v="10004121"/>
    <m/>
    <m/>
    <n v="22778134"/>
    <m/>
    <m/>
    <m/>
    <s v="SOLFIN"/>
    <s v="SOLFIN"/>
    <s v="CCMS"/>
    <n v="21360316"/>
    <n v="7425.76"/>
    <m/>
    <s v="N"/>
    <n v="116"/>
    <d v="2023-07-11T11:51:02"/>
    <s v="Y"/>
    <s v="Routine Letter In"/>
    <s v="Prescribed Hourly Rates"/>
    <s v="Profit Cost"/>
    <s v="RS"/>
    <s v="Y"/>
    <n v="189.41"/>
    <n v="37.88"/>
    <x v="7"/>
    <s v="VALIDATED"/>
    <n v="1"/>
    <s v="01.11.80.307.6100.0000"/>
    <n v="189.41"/>
    <s v="11"/>
    <s v="6100"/>
    <n v="43154.65"/>
    <n v="189.41"/>
    <s v="CREDITOR"/>
    <n v="0"/>
    <n v="0"/>
    <n v="0"/>
    <n v="0"/>
    <n v="189.41"/>
  </r>
  <r>
    <n v="8647673"/>
    <s v="N"/>
    <n v="21349284"/>
    <s v="3000004688890022"/>
    <s v="CIVIL"/>
    <d v="2023-06-27T00:00:00"/>
    <d v="2023-07-10T19:01:40"/>
    <m/>
    <d v="2023-07-10T00:00:00"/>
    <n v="924"/>
    <n v="2281"/>
    <s v="8647673"/>
    <s v="8647673"/>
    <m/>
    <m/>
    <n v="22771220"/>
    <m/>
    <m/>
    <m/>
    <s v="SOLFIN"/>
    <s v="SOLFIN"/>
    <s v="CCMS"/>
    <n v="21349284"/>
    <n v="14502.62"/>
    <m/>
    <s v="N"/>
    <n v="112"/>
    <d v="2023-07-10T19:01:43"/>
    <s v="Y"/>
    <s v="Attendance upon client"/>
    <s v="Prescribed Hourly Rates"/>
    <s v="Profit Cost"/>
    <s v="ROS"/>
    <s v="Y"/>
    <n v="133.41"/>
    <n v="26.68"/>
    <x v="2"/>
    <s v="VALIDATED"/>
    <n v="1"/>
    <s v="01.11.80.307.6100.0000"/>
    <n v="133.41"/>
    <s v="11"/>
    <s v="6100"/>
    <n v="43154.65"/>
    <n v="133.41"/>
    <s v="CREDITOR"/>
    <n v="0"/>
    <n v="0"/>
    <n v="0"/>
    <n v="0"/>
    <n v="133.41"/>
  </r>
  <r>
    <n v="8647673"/>
    <s v="N"/>
    <n v="21349284"/>
    <s v="3000004688890022"/>
    <s v="CIVIL"/>
    <d v="2023-06-27T00:00:00"/>
    <d v="2023-07-10T19:01:40"/>
    <m/>
    <d v="2023-07-10T00:00:00"/>
    <n v="924"/>
    <n v="2281"/>
    <s v="8647673"/>
    <s v="8647673"/>
    <m/>
    <m/>
    <n v="22771220"/>
    <m/>
    <m/>
    <m/>
    <s v="SOLFIN"/>
    <s v="SOLFIN"/>
    <s v="CCMS"/>
    <n v="21349284"/>
    <n v="14502.62"/>
    <m/>
    <s v="N"/>
    <n v="90"/>
    <d v="2023-07-10T19:01:43"/>
    <s v="Y"/>
    <s v="Attendance upon client"/>
    <s v="Prescribed Hourly Rates"/>
    <s v="Profit Cost"/>
    <s v="ROS"/>
    <s v="Y"/>
    <n v="74.12"/>
    <n v="14.82"/>
    <x v="2"/>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65"/>
    <d v="2023-07-10T19:02:09"/>
    <s v="Y"/>
    <s v="Preparation - other"/>
    <s v="Prescribed Hourly Rates"/>
    <s v="Profit Cost"/>
    <s v="RS"/>
    <s v="Y"/>
    <n v="74.12"/>
    <n v="14.82"/>
    <x v="2"/>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15"/>
    <d v="2023-07-10T19:02:09"/>
    <s v="Y"/>
    <s v="Preparation - other"/>
    <s v="Prescribed Hourly Rates"/>
    <s v="Profit Cost"/>
    <s v="RS"/>
    <s v="Y"/>
    <n v="6.31"/>
    <n v="1.26"/>
    <x v="2"/>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21"/>
    <d v="2023-07-10T19:02:09"/>
    <s v="Y"/>
    <s v="Attendance upon client"/>
    <s v="Prescribed Hourly Rates"/>
    <s v="Profit Cost"/>
    <s v="R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99"/>
    <d v="2023-07-10T19:01:43"/>
    <s v="Y"/>
    <s v="Preparation - drafting statement"/>
    <s v="Prescribed Hourly Rates"/>
    <s v="Profit Cost"/>
    <s v="ROS"/>
    <s v="Y"/>
    <n v="111.17"/>
    <n v="22.23"/>
    <x v="2"/>
    <s v="VALIDATED"/>
    <n v="1"/>
    <s v="01.11.80.307.6100.0000"/>
    <n v="111.17"/>
    <s v="11"/>
    <s v="6100"/>
    <n v="43154.65"/>
    <n v="111.17"/>
    <s v="CREDITOR"/>
    <n v="0"/>
    <n v="0"/>
    <n v="0"/>
    <n v="0"/>
    <n v="111.17"/>
  </r>
  <r>
    <n v="11594527"/>
    <s v="N"/>
    <n v="21337864"/>
    <s v="3000006991410004"/>
    <s v="CIVIL"/>
    <d v="2023-06-27T00:00:00"/>
    <d v="2023-07-06T19:21:01"/>
    <m/>
    <d v="2023-07-06T00:00:00"/>
    <n v="924"/>
    <n v="2281"/>
    <s v="11594527"/>
    <s v="11594527"/>
    <m/>
    <m/>
    <n v="22768496"/>
    <m/>
    <m/>
    <m/>
    <s v="SOLFIN"/>
    <s v="SOLFIN"/>
    <s v="CCMS"/>
    <n v="21337864"/>
    <n v="6756.82"/>
    <m/>
    <s v="N"/>
    <n v="95"/>
    <d v="2023-07-06T19:21:09"/>
    <s v="Y"/>
    <s v="Routine Letter In"/>
    <s v="Prescribed Hourly Rates"/>
    <s v="Profit Cost"/>
    <s v="RS"/>
    <s v="Y"/>
    <n v="344.66"/>
    <n v="68.92"/>
    <x v="4"/>
    <s v="VALIDATED"/>
    <n v="1"/>
    <s v="01.11.80.307.6100.0000"/>
    <n v="344.66"/>
    <s v="11"/>
    <s v="6100"/>
    <n v="43154.65"/>
    <n v="344.66"/>
    <s v="CREDITOR"/>
    <n v="0"/>
    <n v="0"/>
    <n v="0"/>
    <n v="0"/>
    <n v="344.66"/>
  </r>
  <r>
    <n v="6022968"/>
    <s v="N"/>
    <n v="21331042"/>
    <s v="3000002607450005"/>
    <s v="CIVIL"/>
    <d v="2023-06-23T00:00:00"/>
    <d v="2023-07-05T19:01:47"/>
    <m/>
    <d v="2023-07-05T00:00:00"/>
    <n v="924"/>
    <n v="2281"/>
    <s v="6022968"/>
    <s v="6022968"/>
    <m/>
    <m/>
    <n v="22748538"/>
    <m/>
    <m/>
    <m/>
    <s v="SOLFIN"/>
    <s v="SOLFIN"/>
    <s v="CCMS"/>
    <n v="21331042"/>
    <n v="2416.22"/>
    <m/>
    <s v="N"/>
    <n v="4"/>
    <d v="2023-07-05T19:02:03"/>
    <s v="Y"/>
    <s v="Preparation - other"/>
    <s v="Prescribed Hourly Rates"/>
    <s v="Profit Cost"/>
    <s v="RS"/>
    <s v="Y"/>
    <n v="219.6"/>
    <n v="43.92"/>
    <x v="6"/>
    <s v="VALIDATED"/>
    <n v="1"/>
    <s v="01.11.80.307.6100.0000"/>
    <n v="219.6"/>
    <s v="11"/>
    <s v="6100"/>
    <n v="43154.65"/>
    <n v="219.6"/>
    <s v="CREDITOR"/>
    <n v="0"/>
    <n v="0"/>
    <n v="0"/>
    <n v="0"/>
    <n v="219.6"/>
  </r>
  <r>
    <n v="10004121"/>
    <s v="N"/>
    <n v="21360316"/>
    <s v="3000005900070010"/>
    <s v="CIVIL"/>
    <d v="2023-06-28T00:00:00"/>
    <d v="2023-07-11T11:50:54"/>
    <m/>
    <d v="2023-07-11T00:00:00"/>
    <n v="924"/>
    <n v="2281"/>
    <s v="10004121"/>
    <s v="10004121"/>
    <m/>
    <m/>
    <n v="22778134"/>
    <m/>
    <m/>
    <m/>
    <s v="SOLFIN"/>
    <s v="SOLFIN"/>
    <s v="CCMS"/>
    <n v="21360316"/>
    <n v="7425.76"/>
    <m/>
    <s v="N"/>
    <n v="104"/>
    <d v="2023-07-11T11:51:02"/>
    <s v="Y"/>
    <s v="Preparation - other"/>
    <s v="Prescribed Hourly Rates"/>
    <s v="Profit Cost"/>
    <s v="RS"/>
    <s v="Y"/>
    <n v="111.17"/>
    <n v="22.23"/>
    <x v="7"/>
    <s v="VALIDATED"/>
    <n v="1"/>
    <s v="01.11.80.307.6100.0000"/>
    <n v="111.17"/>
    <s v="11"/>
    <s v="6100"/>
    <n v="43154.65"/>
    <n v="111.17"/>
    <s v="CREDITOR"/>
    <n v="0"/>
    <n v="0"/>
    <n v="0"/>
    <n v="0"/>
    <n v="111.17"/>
  </r>
  <r>
    <n v="10004121"/>
    <s v="N"/>
    <n v="21360316"/>
    <s v="3000005900070010"/>
    <s v="CIVIL"/>
    <d v="2023-06-28T00:00:00"/>
    <d v="2023-07-11T11:50:54"/>
    <m/>
    <d v="2023-07-11T00:00:00"/>
    <n v="924"/>
    <n v="2281"/>
    <s v="10004121"/>
    <s v="10004121"/>
    <m/>
    <m/>
    <n v="22778134"/>
    <m/>
    <m/>
    <m/>
    <s v="SOLFIN"/>
    <s v="SOLFIN"/>
    <s v="CCMS"/>
    <n v="21360316"/>
    <n v="7425.76"/>
    <m/>
    <s v="N"/>
    <n v="11"/>
    <d v="2023-07-11T11:51:02"/>
    <s v="Y"/>
    <s v="Preparation - other"/>
    <s v="Prescribed Hourly Rates"/>
    <s v="Profit Cost"/>
    <s v="RS"/>
    <s v="Y"/>
    <n v="22.23"/>
    <n v="4.45"/>
    <x v="7"/>
    <s v="VALIDATED"/>
    <n v="1"/>
    <s v="01.11.80.307.6100.0000"/>
    <n v="22.23"/>
    <s v="11"/>
    <s v="6100"/>
    <n v="43154.65"/>
    <n v="22.23"/>
    <s v="CREDITOR"/>
    <n v="0"/>
    <n v="0"/>
    <n v="0"/>
    <n v="0"/>
    <n v="22.23"/>
  </r>
  <r>
    <n v="8647673"/>
    <s v="N"/>
    <n v="21349284"/>
    <s v="3000004688890022"/>
    <s v="CIVIL"/>
    <d v="2023-06-27T00:00:00"/>
    <d v="2023-07-10T19:01:40"/>
    <m/>
    <d v="2023-07-10T00:00:00"/>
    <n v="924"/>
    <n v="2281"/>
    <s v="8647673"/>
    <s v="8647673"/>
    <m/>
    <m/>
    <n v="22771220"/>
    <m/>
    <m/>
    <m/>
    <s v="SOLFIN"/>
    <s v="SOLFIN"/>
    <s v="CCMS"/>
    <n v="21349284"/>
    <n v="14502.62"/>
    <m/>
    <s v="N"/>
    <n v="120"/>
    <d v="2023-07-10T19:01:43"/>
    <s v="Y"/>
    <s v="Routine Letter In"/>
    <s v="Prescribed Hourly Rates"/>
    <s v="Profit Cost"/>
    <s v="ROS"/>
    <s v="Y"/>
    <n v="810.41"/>
    <n v="162.08"/>
    <x v="2"/>
    <s v="VALIDATED"/>
    <n v="1"/>
    <s v="01.11.80.307.6100.0000"/>
    <n v="810.41"/>
    <s v="11"/>
    <s v="6100"/>
    <n v="43154.65"/>
    <n v="810.41"/>
    <s v="CREDITOR"/>
    <n v="0"/>
    <n v="0"/>
    <n v="0"/>
    <n v="0"/>
    <n v="810.41"/>
  </r>
  <r>
    <n v="8647673"/>
    <s v="N"/>
    <n v="21349284"/>
    <s v="3000004688890022"/>
    <s v="CIVIL"/>
    <d v="2023-06-27T00:00:00"/>
    <d v="2023-07-10T19:01:40"/>
    <m/>
    <d v="2023-07-10T00:00:00"/>
    <n v="924"/>
    <n v="2281"/>
    <s v="8647673"/>
    <s v="8647673"/>
    <m/>
    <m/>
    <n v="22771220"/>
    <m/>
    <m/>
    <m/>
    <s v="SOLFIN"/>
    <s v="SOLFIN"/>
    <s v="CCMS"/>
    <n v="21349284"/>
    <n v="14502.62"/>
    <m/>
    <s v="N"/>
    <n v="103"/>
    <d v="2023-07-10T19:01:43"/>
    <s v="Y"/>
    <s v="Preparation - other"/>
    <s v="Prescribed Hourly Rates"/>
    <s v="Profit Cost"/>
    <s v="ROS"/>
    <s v="Y"/>
    <n v="222.35"/>
    <n v="44.47"/>
    <x v="2"/>
    <s v="VALIDATED"/>
    <n v="1"/>
    <s v="01.11.80.307.6100.0000"/>
    <n v="222.35"/>
    <s v="11"/>
    <s v="6100"/>
    <n v="43154.65"/>
    <n v="222.35"/>
    <s v="CREDITOR"/>
    <n v="0"/>
    <n v="0"/>
    <n v="0"/>
    <n v="0"/>
    <n v="222.35"/>
  </r>
  <r>
    <n v="8647673"/>
    <s v="N"/>
    <n v="21349284"/>
    <s v="3000004688890022"/>
    <s v="CIVIL"/>
    <d v="2023-06-27T00:00:00"/>
    <d v="2023-07-10T19:01:40"/>
    <m/>
    <d v="2023-07-10T00:00:00"/>
    <n v="924"/>
    <n v="2281"/>
    <s v="8647673"/>
    <s v="8647673"/>
    <m/>
    <m/>
    <n v="22771220"/>
    <m/>
    <m/>
    <m/>
    <s v="SOLFIN"/>
    <s v="SOLFIN"/>
    <s v="CCMS"/>
    <n v="21349284"/>
    <n v="14502.62"/>
    <m/>
    <s v="N"/>
    <n v="67"/>
    <d v="2023-07-10T19:01:43"/>
    <s v="Y"/>
    <s v="Preparation - other"/>
    <s v="Prescribed Hourly Rates"/>
    <s v="Profit Cost"/>
    <s v="ROS"/>
    <s v="Y"/>
    <n v="37.06"/>
    <n v="7.41"/>
    <x v="2"/>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50"/>
    <d v="2023-07-10T19:02:09"/>
    <s v="Y"/>
    <s v="Preparation - other"/>
    <s v="Prescribed Hourly Rates"/>
    <s v="Profit Cost"/>
    <s v="RS"/>
    <s v="Y"/>
    <n v="234.7"/>
    <n v="46.94"/>
    <x v="2"/>
    <s v="VALIDATED"/>
    <n v="1"/>
    <s v="01.11.80.307.6100.0000"/>
    <n v="234.7"/>
    <s v="11"/>
    <s v="6100"/>
    <n v="43154.65"/>
    <n v="234.7"/>
    <s v="CREDITOR"/>
    <n v="0"/>
    <n v="0"/>
    <n v="0"/>
    <n v="0"/>
    <n v="234.7"/>
  </r>
  <r>
    <n v="11594527"/>
    <s v="N"/>
    <n v="21337864"/>
    <s v="3000006991410004"/>
    <s v="CIVIL"/>
    <d v="2023-06-27T00:00:00"/>
    <d v="2023-07-06T19:21:01"/>
    <m/>
    <d v="2023-07-06T00:00:00"/>
    <n v="924"/>
    <n v="2281"/>
    <s v="11594527"/>
    <s v="11594527"/>
    <m/>
    <m/>
    <n v="22768496"/>
    <m/>
    <m/>
    <m/>
    <s v="SOLFIN"/>
    <s v="SOLFIN"/>
    <s v="CCMS"/>
    <n v="21337864"/>
    <n v="6756.82"/>
    <m/>
    <s v="N"/>
    <n v="31"/>
    <d v="2023-07-06T19:21:09"/>
    <s v="Y"/>
    <s v="Preparation - other"/>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81"/>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11"/>
    <d v="2023-07-06T19:21:09"/>
    <s v="Y"/>
    <s v="Preparation - other"/>
    <s v="Prescribed Hourly Rates"/>
    <s v="Profit Cost"/>
    <s v="NPM"/>
    <s v="Y"/>
    <n v="10.98"/>
    <n v="2.2"/>
    <x v="4"/>
    <s v="VALIDATED"/>
    <n v="1"/>
    <s v="01.11.80.307.6100.0000"/>
    <n v="10.98"/>
    <s v="11"/>
    <s v="6100"/>
    <n v="43154.65"/>
    <n v="10.98"/>
    <s v="CREDITOR"/>
    <n v="0"/>
    <n v="0"/>
    <n v="0"/>
    <n v="0"/>
    <n v="10.98"/>
  </r>
  <r>
    <n v="10004121"/>
    <s v="N"/>
    <n v="21360316"/>
    <s v="3000005900070010"/>
    <s v="CIVIL"/>
    <d v="2023-06-28T00:00:00"/>
    <d v="2023-07-11T11:50:54"/>
    <m/>
    <d v="2023-07-11T00:00:00"/>
    <n v="924"/>
    <n v="2281"/>
    <s v="10004121"/>
    <s v="10004121"/>
    <m/>
    <m/>
    <n v="22778134"/>
    <m/>
    <m/>
    <m/>
    <s v="SOLFIN"/>
    <s v="SOLFIN"/>
    <s v="CCMS"/>
    <n v="21360316"/>
    <n v="7425.76"/>
    <m/>
    <s v="N"/>
    <n v="69"/>
    <d v="2023-07-11T11:51:02"/>
    <s v="Y"/>
    <s v="Preparation - other"/>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92"/>
    <d v="2023-07-11T11:51:02"/>
    <s v="Y"/>
    <s v="Preparation - drafting instructions"/>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23"/>
    <d v="2023-07-11T11:51:02"/>
    <s v="Y"/>
    <s v="Preparation - other"/>
    <s v="Prescribed Hourly Rates"/>
    <s v="Profit Cost"/>
    <s v="NPM"/>
    <s v="Y"/>
    <n v="27.45"/>
    <n v="5.49"/>
    <x v="7"/>
    <s v="VALIDATED"/>
    <n v="1"/>
    <s v="01.11.80.307.6100.0000"/>
    <n v="27.45"/>
    <s v="11"/>
    <s v="6100"/>
    <n v="43154.65"/>
    <n v="27.45"/>
    <s v="CREDITOR"/>
    <n v="0"/>
    <n v="0"/>
    <n v="0"/>
    <n v="0"/>
    <n v="27.45"/>
  </r>
  <r>
    <n v="14064052"/>
    <s v="N"/>
    <n v="21349905"/>
    <s v="3000007298400008"/>
    <s v="CIVIL"/>
    <d v="2023-06-29T00:00:00"/>
    <d v="2023-07-10T19:01:40"/>
    <m/>
    <d v="2023-07-10T00:00:00"/>
    <n v="924"/>
    <n v="2281"/>
    <s v="14064052"/>
    <s v="14064052"/>
    <m/>
    <m/>
    <n v="22788366"/>
    <m/>
    <m/>
    <m/>
    <s v="SOLFIN"/>
    <s v="SOLFIN"/>
    <s v="CCMS"/>
    <n v="21349905"/>
    <n v="4899.44"/>
    <m/>
    <s v="N"/>
    <n v="44"/>
    <d v="2023-07-10T19:02:03"/>
    <s v="Y"/>
    <s v="Routine Letter Out"/>
    <s v="Prescribed Hourly Rates"/>
    <s v="Profit Cost"/>
    <s v="ROS"/>
    <s v="Y"/>
    <n v="751.41"/>
    <n v="150.27"/>
    <x v="2"/>
    <s v="VALIDATED"/>
    <n v="1"/>
    <s v="01.11.80.302.6100.0000"/>
    <n v="751.41"/>
    <s v="11"/>
    <s v="6100"/>
    <n v="43154.65"/>
    <n v="751.41"/>
    <s v="CREDITOR"/>
    <n v="0"/>
    <n v="0"/>
    <n v="0"/>
    <n v="0"/>
    <n v="751.41"/>
  </r>
  <r>
    <n v="60950874"/>
    <s v="N"/>
    <n v="21360551"/>
    <s v="3000015160760008"/>
    <s v="CIVIL"/>
    <d v="2023-06-30T00:00:00"/>
    <d v="2023-07-11T11:50:54"/>
    <m/>
    <d v="2023-07-11T00:00:00"/>
    <n v="924"/>
    <n v="2281"/>
    <s v="60950874"/>
    <s v="60950874"/>
    <m/>
    <m/>
    <n v="22794622"/>
    <m/>
    <m/>
    <m/>
    <s v="SOLFIN"/>
    <s v="SOLFIN"/>
    <s v="CCMS"/>
    <n v="21360551"/>
    <n v="11550.02"/>
    <m/>
    <s v="N"/>
    <n v="59"/>
    <d v="2023-07-11T11:51:09"/>
    <s v="Y"/>
    <s v="Preparation - other"/>
    <s v="Prescribed Hourly Rates"/>
    <s v="Profit Cost"/>
    <s v="NPM"/>
    <s v="Y"/>
    <n v="5.49"/>
    <n v="1.1"/>
    <x v="7"/>
    <s v="VALIDATED"/>
    <n v="1"/>
    <s v="01.11.80.307.6100.0000"/>
    <n v="5.49"/>
    <s v="11"/>
    <s v="6100"/>
    <n v="43154.65"/>
    <n v="5.49"/>
    <s v="CREDITOR"/>
    <n v="0"/>
    <n v="0"/>
    <n v="0"/>
    <n v="0"/>
    <n v="5.49"/>
  </r>
  <r>
    <n v="8647673"/>
    <s v="N"/>
    <n v="21349284"/>
    <s v="3000004688890022"/>
    <s v="CIVIL"/>
    <d v="2023-06-27T00:00:00"/>
    <d v="2023-07-10T19:01:40"/>
    <m/>
    <d v="2023-07-10T00:00:00"/>
    <n v="924"/>
    <n v="2281"/>
    <s v="8647673"/>
    <s v="8647673"/>
    <m/>
    <m/>
    <n v="22771220"/>
    <m/>
    <m/>
    <m/>
    <s v="SOLFIN"/>
    <s v="SOLFIN"/>
    <s v="CCMS"/>
    <n v="21349284"/>
    <n v="14502.62"/>
    <m/>
    <s v="N"/>
    <n v="8"/>
    <d v="2023-07-10T19:01:43"/>
    <s v="Y"/>
    <s v="Court Fee"/>
    <s v="Prescribed Hourly Rates"/>
    <s v="Non Expert Disbursement"/>
    <s v="XXX"/>
    <s v="Y"/>
    <n v="215"/>
    <n v="0"/>
    <x v="2"/>
    <s v="VALIDATED"/>
    <n v="1"/>
    <s v="01.11.80.307.6300.0000"/>
    <n v="215"/>
    <s v="11"/>
    <s v="6300"/>
    <n v="43154.65"/>
    <n v="215"/>
    <s v="CREDITOR"/>
    <n v="0"/>
    <n v="0"/>
    <n v="0"/>
    <n v="0"/>
    <n v="215"/>
  </r>
  <r>
    <n v="8647673"/>
    <s v="N"/>
    <n v="21349284"/>
    <s v="3000004688890022"/>
    <s v="CIVIL"/>
    <d v="2023-06-27T00:00:00"/>
    <d v="2023-07-10T19:01:40"/>
    <m/>
    <d v="2023-07-10T00:00:00"/>
    <n v="924"/>
    <n v="2281"/>
    <s v="8647673"/>
    <s v="8647673"/>
    <m/>
    <m/>
    <n v="22771220"/>
    <m/>
    <m/>
    <m/>
    <s v="SOLFIN"/>
    <s v="SOLFIN"/>
    <s v="CCMS"/>
    <n v="21349284"/>
    <n v="14502.62"/>
    <m/>
    <s v="N"/>
    <n v="64"/>
    <d v="2023-07-10T19:01:43"/>
    <s v="Y"/>
    <s v="Preparation - other"/>
    <s v="Prescribed Hourly Rates"/>
    <s v="Profit Cost"/>
    <s v="ROS"/>
    <s v="Y"/>
    <n v="14.82"/>
    <n v="2.96"/>
    <x v="2"/>
    <s v="VALIDATED"/>
    <n v="1"/>
    <s v="01.11.80.307.6100.0000"/>
    <n v="14.82"/>
    <s v="11"/>
    <s v="6100"/>
    <n v="43154.65"/>
    <n v="14.82"/>
    <s v="CREDITOR"/>
    <n v="0"/>
    <n v="0"/>
    <n v="0"/>
    <n v="0"/>
    <n v="14.82"/>
  </r>
  <r>
    <n v="8647673"/>
    <s v="N"/>
    <n v="21349284"/>
    <s v="3000004688890022"/>
    <s v="CIVIL"/>
    <d v="2023-06-27T00:00:00"/>
    <d v="2023-07-10T19:01:40"/>
    <m/>
    <d v="2023-07-10T00:00:00"/>
    <n v="924"/>
    <n v="2281"/>
    <s v="8647673"/>
    <s v="8647673"/>
    <m/>
    <m/>
    <n v="22771220"/>
    <m/>
    <m/>
    <m/>
    <s v="SOLFIN"/>
    <s v="SOLFIN"/>
    <s v="CCMS"/>
    <n v="21349284"/>
    <n v="14502.62"/>
    <m/>
    <s v="N"/>
    <n v="66"/>
    <d v="2023-07-10T19:01:43"/>
    <s v="Y"/>
    <s v="Preparation - drafting instructions"/>
    <s v="Prescribed Hourly Rates"/>
    <s v="Profit Cost"/>
    <s v="ROS"/>
    <s v="Y"/>
    <n v="22.23"/>
    <n v="4.45"/>
    <x v="2"/>
    <s v="VALIDATED"/>
    <n v="1"/>
    <s v="01.11.80.307.6100.0000"/>
    <n v="22.23"/>
    <s v="11"/>
    <s v="6100"/>
    <n v="43154.65"/>
    <n v="22.23"/>
    <s v="CREDITOR"/>
    <n v="0"/>
    <n v="0"/>
    <n v="0"/>
    <n v="0"/>
    <n v="22.23"/>
  </r>
  <r>
    <n v="8647673"/>
    <s v="N"/>
    <n v="21349284"/>
    <s v="3000004688890022"/>
    <s v="CIVIL"/>
    <d v="2023-06-27T00:00:00"/>
    <d v="2023-07-10T19:01:40"/>
    <m/>
    <d v="2023-07-10T00:00:00"/>
    <n v="924"/>
    <n v="2281"/>
    <s v="8647673"/>
    <s v="8647673"/>
    <m/>
    <m/>
    <n v="22771220"/>
    <m/>
    <m/>
    <m/>
    <s v="SOLFIN"/>
    <s v="SOLFIN"/>
    <s v="CCMS"/>
    <n v="21349284"/>
    <n v="14502.62"/>
    <m/>
    <s v="N"/>
    <n v="72"/>
    <d v="2023-07-10T19:01:43"/>
    <s v="Y"/>
    <s v="Preparation - other"/>
    <s v="Prescribed Hourly Rates"/>
    <s v="Profit Cost"/>
    <s v="ROS"/>
    <s v="Y"/>
    <n v="12.63"/>
    <n v="2.53"/>
    <x v="2"/>
    <s v="VALIDATED"/>
    <n v="1"/>
    <s v="01.11.80.307.6100.0000"/>
    <n v="12.63"/>
    <s v="11"/>
    <s v="6100"/>
    <n v="43154.65"/>
    <n v="12.63"/>
    <s v="CREDITOR"/>
    <n v="0"/>
    <n v="0"/>
    <n v="0"/>
    <n v="0"/>
    <n v="12.63"/>
  </r>
  <r>
    <n v="6022968"/>
    <s v="N"/>
    <n v="21331042"/>
    <s v="3000002607450005"/>
    <s v="CIVIL"/>
    <d v="2023-06-23T00:00:00"/>
    <d v="2023-07-05T19:01:47"/>
    <m/>
    <d v="2023-07-05T00:00:00"/>
    <n v="924"/>
    <n v="2281"/>
    <s v="6022968"/>
    <s v="6022968"/>
    <m/>
    <m/>
    <n v="22748538"/>
    <m/>
    <m/>
    <m/>
    <s v="SOLFIN"/>
    <s v="SOLFIN"/>
    <s v="CCMS"/>
    <n v="21331042"/>
    <n v="2416.22"/>
    <m/>
    <s v="N"/>
    <n v="2"/>
    <d v="2023-07-05T19:02:03"/>
    <s v="N"/>
    <s v="Level 3 &amp; Level 4 Fixed Fee"/>
    <s v="Private Law Children"/>
    <s v="Profit Cost"/>
    <s v="XXX"/>
    <s v="N"/>
    <n v="0"/>
    <n v="0"/>
    <x v="6"/>
    <s v="VALIDATED"/>
    <n v="1"/>
    <s v="01.11.80.307.6100.0000"/>
    <n v="0"/>
    <s v="11"/>
    <s v="6100"/>
    <n v="43154.65"/>
    <n v="0"/>
    <s v="CREDITOR"/>
    <n v="0"/>
    <n v="0"/>
    <n v="0"/>
    <n v="0"/>
    <n v="0"/>
  </r>
  <r>
    <n v="60950874"/>
    <s v="N"/>
    <n v="21360551"/>
    <s v="3000015160760008"/>
    <s v="CIVIL"/>
    <d v="2023-06-30T00:00:00"/>
    <d v="2023-07-11T11:50:54"/>
    <m/>
    <d v="2023-07-11T00:00:00"/>
    <n v="924"/>
    <n v="2281"/>
    <s v="60950874"/>
    <s v="60950874"/>
    <m/>
    <m/>
    <n v="22794622"/>
    <m/>
    <m/>
    <m/>
    <s v="SOLFIN"/>
    <s v="SOLFIN"/>
    <s v="CCMS"/>
    <n v="21360551"/>
    <n v="11550.02"/>
    <m/>
    <s v="N"/>
    <n v="53"/>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81"/>
    <d v="2023-07-11T11:51:09"/>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36"/>
    <d v="2023-07-11T11:51:02"/>
    <s v="Y"/>
    <s v="Preparation - drafting statement"/>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52"/>
    <d v="2023-07-11T11:51:02"/>
    <s v="Y"/>
    <s v="Attendance upon other"/>
    <s v="Prescribed Hourly Rates"/>
    <s v="Profit Cost"/>
    <s v="RS"/>
    <s v="Y"/>
    <n v="24.71"/>
    <n v="4.94"/>
    <x v="7"/>
    <s v="VALIDATED"/>
    <n v="1"/>
    <s v="01.11.80.307.6100.0000"/>
    <n v="24.71"/>
    <s v="11"/>
    <s v="6100"/>
    <n v="43154.65"/>
    <n v="24.71"/>
    <s v="CREDITOR"/>
    <n v="0"/>
    <n v="0"/>
    <n v="0"/>
    <n v="0"/>
    <n v="24.71"/>
  </r>
  <r>
    <n v="10004121"/>
    <s v="N"/>
    <n v="21360316"/>
    <s v="3000005900070010"/>
    <s v="CIVIL"/>
    <d v="2023-06-28T00:00:00"/>
    <d v="2023-07-11T11:50:54"/>
    <m/>
    <d v="2023-07-11T00:00:00"/>
    <n v="924"/>
    <n v="2281"/>
    <s v="10004121"/>
    <s v="10004121"/>
    <m/>
    <m/>
    <n v="22778134"/>
    <m/>
    <m/>
    <m/>
    <s v="SOLFIN"/>
    <s v="SOLFIN"/>
    <s v="CCMS"/>
    <n v="21360316"/>
    <n v="7425.76"/>
    <m/>
    <s v="N"/>
    <n v="113"/>
    <d v="2023-07-11T11:51:02"/>
    <s v="Y"/>
    <s v="Preparation - drafting bill/claim f"/>
    <s v="Prescribed Hourly Rates"/>
    <s v="Profit Cost"/>
    <s v="CD"/>
    <s v="Y"/>
    <n v="329.4"/>
    <n v="65.87"/>
    <x v="7"/>
    <s v="VALIDATED"/>
    <n v="1"/>
    <s v="01.11.80.307.6100.0000"/>
    <n v="329.4"/>
    <s v="11"/>
    <s v="6100"/>
    <n v="43154.65"/>
    <n v="329.4"/>
    <s v="CREDITOR"/>
    <n v="0"/>
    <n v="0"/>
    <n v="0"/>
    <n v="0"/>
    <n v="329.4"/>
  </r>
  <r>
    <n v="61313803"/>
    <s v="N"/>
    <n v="21350025"/>
    <s v="3000015470000008"/>
    <s v="CIVIL"/>
    <d v="2023-06-29T00:00:00"/>
    <d v="2023-07-10T19:01:40"/>
    <m/>
    <d v="2023-07-10T00:00:00"/>
    <n v="924"/>
    <n v="2281"/>
    <s v="61313803"/>
    <s v="61313803"/>
    <m/>
    <m/>
    <n v="22789528"/>
    <m/>
    <m/>
    <m/>
    <s v="SOLFIN"/>
    <s v="SOLFIN"/>
    <s v="CCMS"/>
    <n v="21350025"/>
    <n v="6800.74"/>
    <m/>
    <s v="N"/>
    <n v="39"/>
    <d v="2023-07-10T19:02:09"/>
    <s v="Y"/>
    <s v="Preparation - other"/>
    <s v="Prescribed Hourly Rates"/>
    <s v="Profit Cost"/>
    <s v="RS"/>
    <s v="Y"/>
    <n v="74.12"/>
    <n v="14.82"/>
    <x v="2"/>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78"/>
    <d v="2023-07-10T19:02:09"/>
    <s v="Y"/>
    <s v="Preparation - other"/>
    <s v="Prescribed Hourly Rates"/>
    <s v="Profit Cost"/>
    <s v="NPM"/>
    <s v="Y"/>
    <n v="10.98"/>
    <n v="2.2"/>
    <x v="2"/>
    <s v="VALIDATED"/>
    <n v="1"/>
    <s v="01.11.80.307.6100.0000"/>
    <n v="10.98"/>
    <s v="11"/>
    <s v="6100"/>
    <n v="43154.65"/>
    <n v="10.98"/>
    <s v="CREDITOR"/>
    <n v="0"/>
    <n v="0"/>
    <n v="0"/>
    <n v="0"/>
    <n v="10.98"/>
  </r>
  <r>
    <n v="60950874"/>
    <s v="N"/>
    <n v="21360551"/>
    <s v="3000015160760008"/>
    <s v="CIVIL"/>
    <d v="2023-06-30T00:00:00"/>
    <d v="2023-07-11T11:50:54"/>
    <m/>
    <d v="2023-07-11T00:00:00"/>
    <n v="924"/>
    <n v="2281"/>
    <s v="60950874"/>
    <s v="60950874"/>
    <m/>
    <m/>
    <n v="22794622"/>
    <m/>
    <m/>
    <m/>
    <s v="SOLFIN"/>
    <s v="SOLFIN"/>
    <s v="CCMS"/>
    <n v="21360551"/>
    <n v="11550.02"/>
    <m/>
    <s v="N"/>
    <n v="124"/>
    <d v="2023-07-11T11:51:09"/>
    <s v="Y"/>
    <s v="Preparation - other"/>
    <s v="Prescribed Hourly Rates"/>
    <s v="Profit Cost"/>
    <s v="NPM"/>
    <s v="Y"/>
    <n v="27.45"/>
    <n v="5.49"/>
    <x v="7"/>
    <s v="VALIDATED"/>
    <n v="1"/>
    <s v="01.11.80.307.6100.0000"/>
    <n v="27.45"/>
    <s v="11"/>
    <s v="6100"/>
    <n v="43154.65"/>
    <n v="27.45"/>
    <s v="CREDITOR"/>
    <n v="0"/>
    <n v="0"/>
    <n v="0"/>
    <n v="0"/>
    <n v="27.45"/>
  </r>
  <r>
    <n v="11594527"/>
    <s v="N"/>
    <n v="21337864"/>
    <s v="3000006991410004"/>
    <s v="CIVIL"/>
    <d v="2023-06-27T00:00:00"/>
    <d v="2023-07-06T19:21:01"/>
    <m/>
    <d v="2023-07-06T00:00:00"/>
    <n v="924"/>
    <n v="2281"/>
    <s v="11594527"/>
    <s v="11594527"/>
    <m/>
    <m/>
    <n v="22768496"/>
    <m/>
    <m/>
    <m/>
    <s v="SOLFIN"/>
    <s v="SOLFIN"/>
    <s v="CCMS"/>
    <n v="21337864"/>
    <n v="6756.82"/>
    <m/>
    <s v="N"/>
    <n v="35"/>
    <d v="2023-07-06T19:21:09"/>
    <s v="Y"/>
    <s v="Attendance upon other"/>
    <s v="Prescribed Hourly Rates"/>
    <s v="Profit Cost"/>
    <s v="RS"/>
    <s v="Y"/>
    <n v="12.63"/>
    <n v="2.53"/>
    <x v="4"/>
    <s v="VALIDATED"/>
    <n v="1"/>
    <s v="01.11.80.307.6100.0000"/>
    <n v="12.63"/>
    <s v="11"/>
    <s v="6100"/>
    <n v="43154.65"/>
    <n v="12.63"/>
    <s v="CREDITOR"/>
    <n v="0"/>
    <n v="0"/>
    <n v="0"/>
    <n v="0"/>
    <n v="12.63"/>
  </r>
  <r>
    <n v="60950874"/>
    <s v="N"/>
    <n v="21360551"/>
    <s v="3000015160760008"/>
    <s v="CIVIL"/>
    <d v="2023-06-30T00:00:00"/>
    <d v="2023-07-11T11:50:54"/>
    <m/>
    <d v="2023-07-11T00:00:00"/>
    <n v="924"/>
    <n v="2281"/>
    <s v="60950874"/>
    <s v="60950874"/>
    <m/>
    <m/>
    <n v="22794622"/>
    <m/>
    <m/>
    <m/>
    <s v="SOLFIN"/>
    <s v="SOLFIN"/>
    <s v="CCMS"/>
    <n v="21360551"/>
    <n v="11550.02"/>
    <m/>
    <s v="N"/>
    <n v="115"/>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34"/>
    <d v="2023-07-11T11:51:09"/>
    <s v="Y"/>
    <s v="Attendance upon client"/>
    <s v="Prescribed Hourly Rates"/>
    <s v="Profit Cost"/>
    <s v="RS"/>
    <s v="Y"/>
    <n v="148.23"/>
    <n v="29.64"/>
    <x v="7"/>
    <s v="VALIDATED"/>
    <n v="1"/>
    <s v="01.11.80.307.6100.0000"/>
    <n v="148.23"/>
    <s v="11"/>
    <s v="6100"/>
    <n v="43154.65"/>
    <n v="148.23"/>
    <s v="CREDITOR"/>
    <n v="0"/>
    <n v="0"/>
    <n v="0"/>
    <n v="0"/>
    <n v="148.23"/>
  </r>
  <r>
    <n v="60950874"/>
    <s v="N"/>
    <n v="21360551"/>
    <s v="3000015160760008"/>
    <s v="CIVIL"/>
    <d v="2023-06-30T00:00:00"/>
    <d v="2023-07-11T11:50:54"/>
    <m/>
    <d v="2023-07-11T00:00:00"/>
    <n v="924"/>
    <n v="2281"/>
    <s v="60950874"/>
    <s v="60950874"/>
    <m/>
    <m/>
    <n v="22794622"/>
    <m/>
    <m/>
    <m/>
    <s v="SOLFIN"/>
    <s v="SOLFIN"/>
    <s v="CCMS"/>
    <n v="21360551"/>
    <n v="11550.02"/>
    <m/>
    <s v="N"/>
    <n v="83"/>
    <d v="2023-07-11T11:51:09"/>
    <s v="Y"/>
    <s v="Preparation - other"/>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7"/>
    <d v="2023-07-11T11:51:02"/>
    <s v="Y"/>
    <s v="Hearing Unit 2.31 - 5.00 Hours"/>
    <s v="Private Law Children"/>
    <s v="Advocacy"/>
    <s v="RS"/>
    <s v="Y"/>
    <n v="344.8"/>
    <n v="68.95"/>
    <x v="7"/>
    <s v="VALIDATED"/>
    <n v="1"/>
    <s v="01.11.80.307.6100.0000"/>
    <n v="344.8"/>
    <s v="11"/>
    <s v="6100"/>
    <n v="43154.65"/>
    <n v="344.8"/>
    <s v="CREDITOR"/>
    <n v="0"/>
    <n v="0"/>
    <n v="0"/>
    <n v="0"/>
    <n v="344.8"/>
  </r>
  <r>
    <n v="61313803"/>
    <s v="N"/>
    <n v="21350025"/>
    <s v="3000015470000008"/>
    <s v="CIVIL"/>
    <d v="2023-06-29T00:00:00"/>
    <d v="2023-07-10T19:01:40"/>
    <m/>
    <d v="2023-07-10T00:00:00"/>
    <n v="924"/>
    <n v="2281"/>
    <s v="61313803"/>
    <s v="61313803"/>
    <m/>
    <m/>
    <n v="22789528"/>
    <m/>
    <m/>
    <m/>
    <s v="SOLFIN"/>
    <s v="SOLFIN"/>
    <s v="CCMS"/>
    <n v="21350025"/>
    <n v="6800.74"/>
    <m/>
    <s v="N"/>
    <n v="59"/>
    <d v="2023-07-10T19:02:09"/>
    <s v="Y"/>
    <s v="Preparation - other"/>
    <s v="Prescribed Hourly Rates"/>
    <s v="Profit Cost"/>
    <s v="RS"/>
    <s v="Y"/>
    <n v="6.31"/>
    <n v="1.26"/>
    <x v="2"/>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72"/>
    <d v="2023-07-10T19:02:09"/>
    <s v="Y"/>
    <s v="Preparation - other"/>
    <s v="Prescribed Hourly Rates"/>
    <s v="Profit Cost"/>
    <s v="RS"/>
    <s v="Y"/>
    <n v="6.31"/>
    <n v="1.26"/>
    <x v="2"/>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79"/>
    <d v="2023-07-10T19:02:09"/>
    <s v="Y"/>
    <s v="Preparation - other"/>
    <s v="Prescribed Hourly Rates"/>
    <s v="Profit Cost"/>
    <s v="NPM"/>
    <s v="Y"/>
    <n v="5.49"/>
    <n v="1.1"/>
    <x v="2"/>
    <s v="VALIDATED"/>
    <n v="1"/>
    <s v="01.11.80.307.6100.0000"/>
    <n v="5.49"/>
    <s v="11"/>
    <s v="6100"/>
    <n v="43154.65"/>
    <n v="5.49"/>
    <s v="CREDITOR"/>
    <n v="0"/>
    <n v="0"/>
    <n v="0"/>
    <n v="0"/>
    <n v="5.49"/>
  </r>
  <r>
    <n v="14064052"/>
    <s v="N"/>
    <n v="21349905"/>
    <s v="3000007298400008"/>
    <s v="CIVIL"/>
    <d v="2023-06-29T00:00:00"/>
    <d v="2023-07-10T19:01:40"/>
    <m/>
    <d v="2023-07-10T00:00:00"/>
    <n v="924"/>
    <n v="2281"/>
    <s v="14064052"/>
    <s v="14064052"/>
    <m/>
    <m/>
    <n v="22788366"/>
    <m/>
    <m/>
    <m/>
    <s v="SOLFIN"/>
    <s v="SOLFIN"/>
    <s v="CCMS"/>
    <n v="21349905"/>
    <n v="4899.44"/>
    <m/>
    <s v="N"/>
    <n v="14"/>
    <d v="2023-07-10T19:02:03"/>
    <s v="Y"/>
    <s v="Preparation - other"/>
    <s v="Prescribed Hourly Rates"/>
    <s v="Profit Cost"/>
    <s v="ROS"/>
    <s v="Y"/>
    <n v="25.25"/>
    <n v="5.05"/>
    <x v="2"/>
    <s v="VALIDATED"/>
    <n v="1"/>
    <s v="01.11.80.302.6100.0000"/>
    <n v="25.25"/>
    <s v="11"/>
    <s v="6100"/>
    <n v="43154.65"/>
    <n v="25.25"/>
    <s v="CREDITOR"/>
    <n v="0"/>
    <n v="0"/>
    <n v="0"/>
    <n v="0"/>
    <n v="25.25"/>
  </r>
  <r>
    <n v="8647673"/>
    <s v="N"/>
    <n v="21349284"/>
    <s v="3000004688890022"/>
    <s v="CIVIL"/>
    <d v="2023-06-27T00:00:00"/>
    <d v="2023-07-10T19:01:40"/>
    <m/>
    <d v="2023-07-10T00:00:00"/>
    <n v="924"/>
    <n v="2281"/>
    <s v="8647673"/>
    <s v="8647673"/>
    <m/>
    <m/>
    <n v="22771220"/>
    <m/>
    <m/>
    <m/>
    <s v="SOLFIN"/>
    <s v="SOLFIN"/>
    <s v="CCMS"/>
    <n v="21349284"/>
    <n v="14502.62"/>
    <m/>
    <s v="N"/>
    <n v="89"/>
    <d v="2023-07-10T19:01:43"/>
    <s v="Y"/>
    <s v="Attendance upon/with Counsel at Con"/>
    <s v="Prescribed Hourly Rates"/>
    <s v="Profit Cost"/>
    <s v="ROS"/>
    <s v="Y"/>
    <n v="17.5"/>
    <n v="3.5"/>
    <x v="2"/>
    <s v="VALIDATED"/>
    <n v="1"/>
    <s v="01.11.80.307.6100.0000"/>
    <n v="17.5"/>
    <s v="11"/>
    <s v="6100"/>
    <n v="43154.65"/>
    <n v="17.5"/>
    <s v="CREDITOR"/>
    <n v="0"/>
    <n v="0"/>
    <n v="0"/>
    <n v="0"/>
    <n v="17.5"/>
  </r>
  <r>
    <n v="11594527"/>
    <s v="N"/>
    <n v="21337864"/>
    <s v="3000006991410004"/>
    <s v="CIVIL"/>
    <d v="2023-06-27T00:00:00"/>
    <d v="2023-07-06T19:21:01"/>
    <m/>
    <d v="2023-07-06T00:00:00"/>
    <n v="924"/>
    <n v="2281"/>
    <s v="11594527"/>
    <s v="11594527"/>
    <m/>
    <m/>
    <n v="22768496"/>
    <m/>
    <m/>
    <m/>
    <s v="SOLFIN"/>
    <s v="SOLFIN"/>
    <s v="CCMS"/>
    <n v="21337864"/>
    <n v="6756.82"/>
    <m/>
    <s v="N"/>
    <n v="1"/>
    <d v="2023-07-06T19:21:09"/>
    <s v="Y"/>
    <s v="Court Fee"/>
    <s v="Prescribed Hourly Rates"/>
    <s v="Non Expert Disbursement"/>
    <s v="XXX"/>
    <s v="Y"/>
    <n v="232"/>
    <n v="0"/>
    <x v="4"/>
    <s v="VALIDATED"/>
    <n v="1"/>
    <s v="01.11.80.307.6300.0000"/>
    <n v="232"/>
    <s v="11"/>
    <s v="6300"/>
    <n v="43154.65"/>
    <n v="232"/>
    <s v="CREDITOR"/>
    <n v="0"/>
    <n v="0"/>
    <n v="0"/>
    <n v="0"/>
    <n v="232"/>
  </r>
  <r>
    <n v="11594527"/>
    <s v="N"/>
    <n v="21337864"/>
    <s v="3000006991410004"/>
    <s v="CIVIL"/>
    <d v="2023-06-27T00:00:00"/>
    <d v="2023-07-06T19:21:01"/>
    <m/>
    <d v="2023-07-06T00:00:00"/>
    <n v="924"/>
    <n v="2281"/>
    <s v="11594527"/>
    <s v="11594527"/>
    <m/>
    <m/>
    <n v="22768496"/>
    <m/>
    <m/>
    <m/>
    <s v="SOLFIN"/>
    <s v="SOLFIN"/>
    <s v="CCMS"/>
    <n v="21337864"/>
    <n v="6756.82"/>
    <m/>
    <s v="N"/>
    <n v="10"/>
    <d v="2023-07-06T19:21:09"/>
    <s v="Y"/>
    <s v="Preparation - other"/>
    <s v="Prescribed Hourly Rates"/>
    <s v="Profit Cost"/>
    <s v="NPM"/>
    <s v="Y"/>
    <n v="5.49"/>
    <n v="1.1"/>
    <x v="4"/>
    <s v="VALIDATED"/>
    <n v="1"/>
    <s v="01.11.80.307.6100.0000"/>
    <n v="5.49"/>
    <s v="11"/>
    <s v="6100"/>
    <n v="43154.65"/>
    <n v="5.49"/>
    <s v="CREDITOR"/>
    <n v="0"/>
    <n v="0"/>
    <n v="0"/>
    <n v="0"/>
    <n v="5.49"/>
  </r>
  <r>
    <n v="10004121"/>
    <s v="N"/>
    <n v="21360316"/>
    <s v="3000005900070010"/>
    <s v="CIVIL"/>
    <d v="2023-06-28T00:00:00"/>
    <d v="2023-07-11T11:50:54"/>
    <m/>
    <d v="2023-07-11T00:00:00"/>
    <n v="924"/>
    <n v="2281"/>
    <s v="10004121"/>
    <s v="10004121"/>
    <m/>
    <m/>
    <n v="22778134"/>
    <m/>
    <m/>
    <m/>
    <s v="SOLFIN"/>
    <s v="SOLFIN"/>
    <s v="CCMS"/>
    <n v="21360316"/>
    <n v="7425.76"/>
    <m/>
    <s v="N"/>
    <n v="1"/>
    <d v="2023-07-11T11:51:02"/>
    <s v="Y"/>
    <s v="Process server"/>
    <s v="Prescribed Hourly Rates"/>
    <s v="Expert Disbursement"/>
    <s v="XXX"/>
    <s v="Y"/>
    <n v="60.9"/>
    <n v="0"/>
    <x v="7"/>
    <s v="VALIDATED"/>
    <n v="1"/>
    <s v="01.11.80.307.6300.0000"/>
    <n v="60.9"/>
    <s v="11"/>
    <s v="6300"/>
    <n v="43154.65"/>
    <n v="60.9"/>
    <s v="CREDITOR"/>
    <n v="0"/>
    <n v="0"/>
    <n v="0"/>
    <n v="0"/>
    <n v="60.9"/>
  </r>
  <r>
    <n v="10004121"/>
    <s v="N"/>
    <n v="21360316"/>
    <s v="3000005900070010"/>
    <s v="CIVIL"/>
    <d v="2023-06-28T00:00:00"/>
    <d v="2023-07-11T11:50:54"/>
    <m/>
    <d v="2023-07-11T00:00:00"/>
    <n v="924"/>
    <n v="2281"/>
    <s v="10004121"/>
    <s v="10004121"/>
    <m/>
    <m/>
    <n v="22778134"/>
    <m/>
    <m/>
    <m/>
    <s v="SOLFIN"/>
    <s v="SOLFIN"/>
    <s v="CCMS"/>
    <n v="21360316"/>
    <n v="7425.76"/>
    <m/>
    <s v="N"/>
    <n v="78"/>
    <d v="2023-07-11T11:51:02"/>
    <s v="Y"/>
    <s v="Preparation - other"/>
    <s v="Prescribed Hourly Rates"/>
    <s v="Profit Cost"/>
    <s v="NPM"/>
    <s v="Y"/>
    <n v="5.49"/>
    <n v="1.1"/>
    <x v="7"/>
    <s v="VALIDATED"/>
    <n v="1"/>
    <s v="01.11.80.307.6100.0000"/>
    <n v="5.49"/>
    <s v="11"/>
    <s v="6100"/>
    <n v="43154.65"/>
    <n v="5.49"/>
    <s v="CREDITOR"/>
    <n v="0"/>
    <n v="0"/>
    <n v="0"/>
    <n v="0"/>
    <n v="5.49"/>
  </r>
  <r>
    <n v="10004121"/>
    <s v="N"/>
    <n v="21360316"/>
    <s v="3000005900070010"/>
    <s v="CIVIL"/>
    <d v="2023-06-28T00:00:00"/>
    <d v="2023-07-11T11:50:54"/>
    <m/>
    <d v="2023-07-11T00:00:00"/>
    <n v="924"/>
    <n v="2281"/>
    <s v="10004121"/>
    <s v="10004121"/>
    <m/>
    <m/>
    <n v="22778134"/>
    <m/>
    <m/>
    <m/>
    <s v="SOLFIN"/>
    <s v="SOLFIN"/>
    <s v="CCMS"/>
    <n v="21360316"/>
    <n v="7425.76"/>
    <m/>
    <s v="N"/>
    <n v="81"/>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82"/>
    <d v="2023-07-11T11:51:02"/>
    <s v="Y"/>
    <s v="Preparation - drafting statement"/>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84"/>
    <d v="2023-07-11T11:51:02"/>
    <s v="Y"/>
    <s v="Preparation - other"/>
    <s v="Prescribed Hourly Rates"/>
    <s v="Profit Cost"/>
    <s v="RS"/>
    <s v="Y"/>
    <n v="6.31"/>
    <n v="1.26"/>
    <x v="7"/>
    <s v="VALIDATED"/>
    <n v="1"/>
    <s v="01.11.80.307.6100.0000"/>
    <n v="6.31"/>
    <s v="11"/>
    <s v="6100"/>
    <n v="43154.65"/>
    <n v="6.31"/>
    <s v="CREDITOR"/>
    <n v="0"/>
    <n v="0"/>
    <n v="0"/>
    <n v="0"/>
    <n v="6.31"/>
  </r>
  <r>
    <n v="62040026"/>
    <s v="N"/>
    <n v="21349914"/>
    <s v="3000016076260004"/>
    <s v="CIVIL"/>
    <d v="2023-06-30T00:00:00"/>
    <d v="2023-07-10T19:01:40"/>
    <m/>
    <d v="2023-07-10T00:00:00"/>
    <n v="924"/>
    <n v="2281"/>
    <s v="62040026"/>
    <s v="62040026"/>
    <m/>
    <m/>
    <n v="22794588"/>
    <m/>
    <m/>
    <m/>
    <s v="SOLFIN"/>
    <s v="SOLFIN"/>
    <s v="CCMS"/>
    <n v="21349914"/>
    <n v="1491.52"/>
    <m/>
    <s v="N"/>
    <n v="4"/>
    <d v="2023-07-10T19:02:03"/>
    <s v="Y"/>
    <s v="Level 3 Fixed Fee"/>
    <s v="Finance"/>
    <s v="Profit Cost"/>
    <s v="XXX"/>
    <s v="Y"/>
    <n v="392"/>
    <n v="78.40000000000001"/>
    <x v="2"/>
    <s v="VALIDATED"/>
    <n v="1"/>
    <s v="01.11.80.302.6100.0000"/>
    <n v="392"/>
    <s v="11"/>
    <s v="6100"/>
    <n v="43154.65"/>
    <n v="392"/>
    <s v="CREDITOR"/>
    <n v="0"/>
    <n v="0"/>
    <n v="0"/>
    <n v="0"/>
    <n v="392"/>
  </r>
  <r>
    <n v="11594527"/>
    <s v="N"/>
    <n v="21337864"/>
    <s v="3000006991410004"/>
    <s v="CIVIL"/>
    <d v="2023-06-27T00:00:00"/>
    <d v="2023-07-06T19:21:01"/>
    <m/>
    <d v="2023-07-06T00:00:00"/>
    <n v="924"/>
    <n v="2281"/>
    <s v="11594527"/>
    <s v="11594527"/>
    <m/>
    <m/>
    <n v="22768496"/>
    <m/>
    <m/>
    <m/>
    <s v="SOLFIN"/>
    <s v="SOLFIN"/>
    <s v="CCMS"/>
    <n v="21337864"/>
    <n v="6756.82"/>
    <m/>
    <s v="N"/>
    <n v="18"/>
    <d v="2023-07-06T19:21:09"/>
    <s v="Y"/>
    <s v="Preparation - other"/>
    <s v="Prescribed Hourly Rates"/>
    <s v="Profit Cost"/>
    <s v="RS"/>
    <s v="Y"/>
    <n v="37.06"/>
    <n v="7.41"/>
    <x v="4"/>
    <s v="VALIDATED"/>
    <n v="1"/>
    <s v="01.11.80.307.6100.0000"/>
    <n v="37.06"/>
    <s v="11"/>
    <s v="6100"/>
    <n v="43154.65"/>
    <n v="37.06"/>
    <s v="CREDITOR"/>
    <n v="0"/>
    <n v="0"/>
    <n v="0"/>
    <n v="0"/>
    <n v="37.06"/>
  </r>
  <r>
    <n v="62372708"/>
    <s v="N"/>
    <n v="21327646"/>
    <s v="3000016352560003"/>
    <s v="CIVIL"/>
    <d v="2023-06-29T00:00:00"/>
    <d v="2023-07-04T19:00:44"/>
    <m/>
    <d v="2023-07-04T00:00:00"/>
    <n v="924"/>
    <n v="2281"/>
    <s v="62372708"/>
    <s v="62372708"/>
    <m/>
    <m/>
    <n v="22784644"/>
    <m/>
    <m/>
    <m/>
    <s v="SOLPOA"/>
    <s v="SOLPOA"/>
    <s v="CCMS"/>
    <n v="21327646"/>
    <n v="169.08"/>
    <m/>
    <s v="N"/>
    <n v="1"/>
    <d v="2023-07-04T19:00:51"/>
    <s v="N"/>
    <s v="Expert Cost - Domestic Abuse"/>
    <s v="Expert Cost - Domestic Abuse"/>
    <s v="Expert Disbursement"/>
    <s v="Richard Singh"/>
    <s v="N"/>
    <n v="169.08"/>
    <n v="0"/>
    <x v="1"/>
    <s v="VALIDATED"/>
    <n v="1"/>
    <s v="01.11.80.302.2012.0000"/>
    <n v="169.08"/>
    <s v="11"/>
    <s v="2012"/>
    <n v="43154.65"/>
    <n v="169.08"/>
    <s v="CREDITOR"/>
    <n v="169.08"/>
    <n v="0"/>
    <n v="0"/>
    <n v="0"/>
    <n v="0"/>
  </r>
  <r>
    <n v="60950874"/>
    <s v="N"/>
    <n v="21360551"/>
    <s v="3000015160760008"/>
    <s v="CIVIL"/>
    <d v="2023-06-30T00:00:00"/>
    <d v="2023-07-11T11:50:54"/>
    <m/>
    <d v="2023-07-11T00:00:00"/>
    <n v="924"/>
    <n v="2281"/>
    <s v="60950874"/>
    <s v="60950874"/>
    <m/>
    <m/>
    <n v="22794622"/>
    <m/>
    <m/>
    <m/>
    <s v="SOLFIN"/>
    <s v="SOLFIN"/>
    <s v="CCMS"/>
    <n v="21360551"/>
    <n v="11550.02"/>
    <m/>
    <s v="N"/>
    <n v="21"/>
    <d v="2023-07-11T11:51:09"/>
    <s v="Y"/>
    <s v="Preparation - other"/>
    <s v="Prescribed Hourly Rates"/>
    <s v="Profit Cost"/>
    <s v="RS"/>
    <s v="Y"/>
    <n v="14.82"/>
    <n v="2.96"/>
    <x v="7"/>
    <s v="VALIDATED"/>
    <n v="1"/>
    <s v="01.11.80.307.6100.0000"/>
    <n v="14.82"/>
    <s v="11"/>
    <s v="6100"/>
    <n v="43154.65"/>
    <n v="14.82"/>
    <s v="CREDITOR"/>
    <n v="0"/>
    <n v="0"/>
    <n v="0"/>
    <n v="0"/>
    <n v="14.82"/>
  </r>
  <r>
    <n v="8647673"/>
    <s v="N"/>
    <n v="21349284"/>
    <s v="3000004688890022"/>
    <s v="CIVIL"/>
    <d v="2023-06-27T00:00:00"/>
    <d v="2023-07-10T19:01:40"/>
    <m/>
    <d v="2023-07-10T00:00:00"/>
    <n v="924"/>
    <n v="2281"/>
    <s v="8647673"/>
    <s v="8647673"/>
    <m/>
    <m/>
    <n v="22771220"/>
    <m/>
    <m/>
    <m/>
    <s v="SOLFIN"/>
    <s v="SOLFIN"/>
    <s v="CCMS"/>
    <n v="21349284"/>
    <n v="14502.62"/>
    <m/>
    <s v="N"/>
    <n v="25"/>
    <d v="2023-07-10T19:01:43"/>
    <s v="Y"/>
    <s v="Preparation - drafting notice(s)"/>
    <s v="Prescribed Hourly Rates"/>
    <s v="Profit Cost"/>
    <s v="ROS"/>
    <s v="Y"/>
    <n v="12.63"/>
    <n v="2.53"/>
    <x v="2"/>
    <s v="VALIDATED"/>
    <n v="1"/>
    <s v="01.11.80.307.6100.0000"/>
    <n v="12.63"/>
    <s v="11"/>
    <s v="6100"/>
    <n v="43154.65"/>
    <n v="12.63"/>
    <s v="CREDITOR"/>
    <n v="0"/>
    <n v="0"/>
    <n v="0"/>
    <n v="0"/>
    <n v="12.63"/>
  </r>
  <r>
    <n v="8647673"/>
    <s v="N"/>
    <n v="21349284"/>
    <s v="3000004688890022"/>
    <s v="CIVIL"/>
    <d v="2023-06-27T00:00:00"/>
    <d v="2023-07-10T19:01:40"/>
    <m/>
    <d v="2023-07-10T00:00:00"/>
    <n v="924"/>
    <n v="2281"/>
    <s v="8647673"/>
    <s v="8647673"/>
    <m/>
    <m/>
    <n v="22771220"/>
    <m/>
    <m/>
    <m/>
    <s v="SOLFIN"/>
    <s v="SOLFIN"/>
    <s v="CCMS"/>
    <n v="21349284"/>
    <n v="14502.62"/>
    <m/>
    <s v="N"/>
    <n v="31"/>
    <d v="2023-07-10T19:01:43"/>
    <s v="Y"/>
    <s v="Preparation - other"/>
    <s v="Prescribed Hourly Rates"/>
    <s v="Profit Cost"/>
    <s v="ROS"/>
    <s v="Y"/>
    <n v="7.41"/>
    <n v="1.48"/>
    <x v="2"/>
    <s v="VALIDATED"/>
    <n v="1"/>
    <s v="01.11.80.307.6100.0000"/>
    <n v="7.41"/>
    <s v="11"/>
    <s v="6100"/>
    <n v="43154.65"/>
    <n v="7.41"/>
    <s v="CREDITOR"/>
    <n v="0"/>
    <n v="0"/>
    <n v="0"/>
    <n v="0"/>
    <n v="7.41"/>
  </r>
  <r>
    <n v="8647673"/>
    <s v="N"/>
    <n v="21349284"/>
    <s v="3000004688890022"/>
    <s v="CIVIL"/>
    <d v="2023-06-27T00:00:00"/>
    <d v="2023-07-10T19:01:40"/>
    <m/>
    <d v="2023-07-10T00:00:00"/>
    <n v="924"/>
    <n v="2281"/>
    <s v="8647673"/>
    <s v="8647673"/>
    <m/>
    <m/>
    <n v="22771220"/>
    <m/>
    <m/>
    <m/>
    <s v="SOLFIN"/>
    <s v="SOLFIN"/>
    <s v="CCMS"/>
    <n v="21349284"/>
    <n v="14502.62"/>
    <m/>
    <s v="N"/>
    <n v="79"/>
    <d v="2023-07-10T19:01:43"/>
    <s v="Y"/>
    <s v="Preparation - drafting instructions"/>
    <s v="Prescribed Hourly Rates"/>
    <s v="Profit Cost"/>
    <s v="ROS"/>
    <s v="Y"/>
    <n v="37.06"/>
    <n v="7.41"/>
    <x v="2"/>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80"/>
    <d v="2023-07-10T19:01:43"/>
    <s v="Y"/>
    <s v="Attendance upon client"/>
    <s v="Prescribed Hourly Rates"/>
    <s v="Profit Cost"/>
    <s v="ROS"/>
    <s v="Y"/>
    <n v="22.23"/>
    <n v="4.45"/>
    <x v="2"/>
    <s v="VALIDATED"/>
    <n v="1"/>
    <s v="01.11.80.307.6100.0000"/>
    <n v="22.23"/>
    <s v="11"/>
    <s v="6100"/>
    <n v="43154.65"/>
    <n v="22.23"/>
    <s v="CREDITOR"/>
    <n v="0"/>
    <n v="0"/>
    <n v="0"/>
    <n v="0"/>
    <n v="22.23"/>
  </r>
  <r>
    <n v="11594527"/>
    <s v="N"/>
    <n v="21337864"/>
    <s v="3000006991410004"/>
    <s v="CIVIL"/>
    <d v="2023-06-27T00:00:00"/>
    <d v="2023-07-06T19:21:01"/>
    <m/>
    <d v="2023-07-06T00:00:00"/>
    <n v="924"/>
    <n v="2281"/>
    <s v="11594527"/>
    <s v="11594527"/>
    <m/>
    <m/>
    <n v="22768496"/>
    <m/>
    <m/>
    <m/>
    <s v="SOLFIN"/>
    <s v="SOLFIN"/>
    <s v="CCMS"/>
    <n v="21337864"/>
    <n v="6756.82"/>
    <m/>
    <s v="N"/>
    <n v="9"/>
    <d v="2023-07-06T19:21:09"/>
    <s v="Y"/>
    <s v="Preparation - other"/>
    <s v="Prescribed Hourly Rates"/>
    <s v="Profit Cost"/>
    <s v="NPM"/>
    <s v="Y"/>
    <n v="10.98"/>
    <n v="2.2"/>
    <x v="4"/>
    <s v="VALIDATED"/>
    <n v="1"/>
    <s v="01.11.80.307.6100.0000"/>
    <n v="10.98"/>
    <s v="11"/>
    <s v="6100"/>
    <n v="43154.65"/>
    <n v="10.98"/>
    <s v="CREDITOR"/>
    <n v="0"/>
    <n v="0"/>
    <n v="0"/>
    <n v="0"/>
    <n v="10.98"/>
  </r>
  <r>
    <n v="11594527"/>
    <s v="N"/>
    <n v="21337864"/>
    <s v="3000006991410004"/>
    <s v="CIVIL"/>
    <d v="2023-06-27T00:00:00"/>
    <d v="2023-07-06T19:21:01"/>
    <m/>
    <d v="2023-07-06T00:00:00"/>
    <n v="924"/>
    <n v="2281"/>
    <s v="11594527"/>
    <s v="11594527"/>
    <m/>
    <m/>
    <n v="22768496"/>
    <m/>
    <m/>
    <m/>
    <s v="SOLFIN"/>
    <s v="SOLFIN"/>
    <s v="CCMS"/>
    <n v="21337864"/>
    <n v="6756.82"/>
    <m/>
    <s v="N"/>
    <n v="56"/>
    <d v="2023-07-06T19:21:09"/>
    <s v="Y"/>
    <s v="Preparation - other"/>
    <s v="Prescribed Hourly Rates"/>
    <s v="Profit Cost"/>
    <s v="RS"/>
    <s v="Y"/>
    <n v="14.82"/>
    <n v="2.96"/>
    <x v="4"/>
    <s v="VALIDATED"/>
    <n v="1"/>
    <s v="01.11.80.307.6100.0000"/>
    <n v="14.82"/>
    <s v="11"/>
    <s v="6100"/>
    <n v="43154.65"/>
    <n v="14.82"/>
    <s v="CREDITOR"/>
    <n v="0"/>
    <n v="0"/>
    <n v="0"/>
    <n v="0"/>
    <n v="14.82"/>
  </r>
  <r>
    <n v="6022968"/>
    <s v="N"/>
    <n v="21331042"/>
    <s v="3000002607450005"/>
    <s v="CIVIL"/>
    <d v="2023-06-23T00:00:00"/>
    <d v="2023-07-05T19:01:47"/>
    <m/>
    <d v="2023-07-05T00:00:00"/>
    <n v="924"/>
    <n v="2281"/>
    <s v="6022968"/>
    <s v="6022968"/>
    <m/>
    <m/>
    <n v="22748538"/>
    <m/>
    <m/>
    <m/>
    <s v="SOLFIN"/>
    <s v="SOLFIN"/>
    <s v="CCMS"/>
    <n v="21331042"/>
    <n v="2416.22"/>
    <m/>
    <s v="N"/>
    <n v="13"/>
    <d v="2023-07-05T19:02:03"/>
    <s v="Y"/>
    <s v="Attendance upon client"/>
    <s v="Prescribed Hourly Rates"/>
    <s v="Profit Cost"/>
    <s v="RS"/>
    <s v="Y"/>
    <n v="164.7"/>
    <n v="32.94"/>
    <x v="6"/>
    <s v="VALIDATED"/>
    <n v="1"/>
    <s v="01.11.80.307.6100.0000"/>
    <n v="164.7"/>
    <s v="11"/>
    <s v="6100"/>
    <n v="43154.65"/>
    <n v="164.7"/>
    <s v="CREDITOR"/>
    <n v="0"/>
    <n v="0"/>
    <n v="0"/>
    <n v="0"/>
    <n v="164.7"/>
  </r>
  <r>
    <n v="60950874"/>
    <s v="N"/>
    <n v="21360551"/>
    <s v="3000015160760008"/>
    <s v="CIVIL"/>
    <d v="2023-06-30T00:00:00"/>
    <d v="2023-07-11T11:50:54"/>
    <m/>
    <d v="2023-07-11T00:00:00"/>
    <n v="924"/>
    <n v="2281"/>
    <s v="60950874"/>
    <s v="60950874"/>
    <m/>
    <m/>
    <n v="22794622"/>
    <m/>
    <m/>
    <m/>
    <s v="SOLFIN"/>
    <s v="SOLFIN"/>
    <s v="CCMS"/>
    <n v="21360551"/>
    <n v="11550.02"/>
    <m/>
    <s v="N"/>
    <n v="3"/>
    <d v="2023-07-11T11:51:09"/>
    <s v="Y"/>
    <s v="Police Records"/>
    <s v="Prescribed Hourly Rates"/>
    <s v="Non Expert Disbursement"/>
    <s v="XXX"/>
    <s v="Y"/>
    <n v="153.5"/>
    <n v="0"/>
    <x v="7"/>
    <s v="VALIDATED"/>
    <n v="1"/>
    <s v="01.11.80.307.6300.0000"/>
    <n v="153.5"/>
    <s v="11"/>
    <s v="6300"/>
    <n v="43154.65"/>
    <n v="153.5"/>
    <s v="CREDITOR"/>
    <n v="0"/>
    <n v="0"/>
    <n v="0"/>
    <n v="0"/>
    <n v="153.5"/>
  </r>
  <r>
    <n v="60950874"/>
    <s v="N"/>
    <n v="21360551"/>
    <s v="3000015160760008"/>
    <s v="CIVIL"/>
    <d v="2023-06-30T00:00:00"/>
    <d v="2023-07-11T11:50:54"/>
    <m/>
    <d v="2023-07-11T00:00:00"/>
    <n v="924"/>
    <n v="2281"/>
    <s v="60950874"/>
    <s v="60950874"/>
    <m/>
    <m/>
    <n v="22794622"/>
    <m/>
    <m/>
    <m/>
    <s v="SOLFIN"/>
    <s v="SOLFIN"/>
    <s v="CCMS"/>
    <n v="21360551"/>
    <n v="11550.02"/>
    <m/>
    <s v="N"/>
    <n v="43"/>
    <d v="2023-07-11T11:51:09"/>
    <s v="Y"/>
    <s v="Preparation - other"/>
    <s v="Prescribed Hourly Rates"/>
    <s v="Profit Cost"/>
    <s v="NPM"/>
    <s v="Y"/>
    <n v="10.98"/>
    <n v="2.2"/>
    <x v="7"/>
    <s v="VALIDATED"/>
    <n v="1"/>
    <s v="01.11.80.307.6100.0000"/>
    <n v="10.98"/>
    <s v="11"/>
    <s v="6100"/>
    <n v="43154.65"/>
    <n v="10.98"/>
    <s v="CREDITOR"/>
    <n v="0"/>
    <n v="0"/>
    <n v="0"/>
    <n v="0"/>
    <n v="10.98"/>
  </r>
  <r>
    <n v="60950874"/>
    <s v="N"/>
    <n v="21360551"/>
    <s v="3000015160760008"/>
    <s v="CIVIL"/>
    <d v="2023-06-30T00:00:00"/>
    <d v="2023-07-11T11:50:54"/>
    <m/>
    <d v="2023-07-11T00:00:00"/>
    <n v="924"/>
    <n v="2281"/>
    <s v="60950874"/>
    <s v="60950874"/>
    <m/>
    <m/>
    <n v="22794622"/>
    <m/>
    <m/>
    <m/>
    <s v="SOLFIN"/>
    <s v="SOLFIN"/>
    <s v="CCMS"/>
    <n v="21360551"/>
    <n v="11550.02"/>
    <m/>
    <s v="N"/>
    <n v="89"/>
    <d v="2023-07-11T11:51:09"/>
    <s v="Y"/>
    <s v="Attendance upon client"/>
    <s v="Prescribed Hourly Rates"/>
    <s v="Profit Cost"/>
    <s v="RS"/>
    <s v="Y"/>
    <n v="148.23"/>
    <n v="29.64"/>
    <x v="7"/>
    <s v="VALIDATED"/>
    <n v="1"/>
    <s v="01.11.80.307.6100.0000"/>
    <n v="148.23"/>
    <s v="11"/>
    <s v="6100"/>
    <n v="43154.65"/>
    <n v="148.23"/>
    <s v="CREDITOR"/>
    <n v="0"/>
    <n v="0"/>
    <n v="0"/>
    <n v="0"/>
    <n v="148.23"/>
  </r>
  <r>
    <n v="10004121"/>
    <s v="N"/>
    <n v="21360316"/>
    <s v="3000005900070010"/>
    <s v="CIVIL"/>
    <d v="2023-06-28T00:00:00"/>
    <d v="2023-07-11T11:50:54"/>
    <m/>
    <d v="2023-07-11T00:00:00"/>
    <n v="924"/>
    <n v="2281"/>
    <s v="10004121"/>
    <s v="10004121"/>
    <m/>
    <m/>
    <n v="22778134"/>
    <m/>
    <m/>
    <m/>
    <s v="SOLFIN"/>
    <s v="SOLFIN"/>
    <s v="CCMS"/>
    <n v="21360316"/>
    <n v="7425.76"/>
    <m/>
    <s v="N"/>
    <n v="70"/>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106"/>
    <d v="2023-07-11T11:51:02"/>
    <s v="Y"/>
    <s v="Preparation - other"/>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30"/>
    <d v="2023-07-11T11:51:02"/>
    <s v="Y"/>
    <s v="Preparation - other"/>
    <s v="Prescribed Hourly Rates"/>
    <s v="Profit Cost"/>
    <s v="RS"/>
    <s v="Y"/>
    <n v="12.63"/>
    <n v="2.53"/>
    <x v="7"/>
    <s v="VALIDATED"/>
    <n v="1"/>
    <s v="01.11.80.307.6100.0000"/>
    <n v="12.63"/>
    <s v="11"/>
    <s v="6100"/>
    <n v="43154.65"/>
    <n v="12.63"/>
    <s v="CREDITOR"/>
    <n v="0"/>
    <n v="0"/>
    <n v="0"/>
    <n v="0"/>
    <n v="12.63"/>
  </r>
  <r>
    <n v="8647673"/>
    <s v="N"/>
    <n v="21349284"/>
    <s v="3000004688890022"/>
    <s v="CIVIL"/>
    <d v="2023-06-27T00:00:00"/>
    <d v="2023-07-10T19:01:40"/>
    <m/>
    <d v="2023-07-10T00:00:00"/>
    <n v="924"/>
    <n v="2281"/>
    <s v="8647673"/>
    <s v="8647673"/>
    <m/>
    <m/>
    <n v="22771220"/>
    <m/>
    <m/>
    <m/>
    <s v="SOLFIN"/>
    <s v="SOLFIN"/>
    <s v="CCMS"/>
    <n v="21349284"/>
    <n v="14502.62"/>
    <m/>
    <s v="N"/>
    <n v="118"/>
    <d v="2023-07-10T19:01:43"/>
    <s v="Y"/>
    <s v="Routine Telephone Call"/>
    <s v="Prescribed Hourly Rates"/>
    <s v="Profit Cost"/>
    <s v="ROS"/>
    <s v="Y"/>
    <n v="43.47"/>
    <n v="8.69"/>
    <x v="2"/>
    <s v="VALIDATED"/>
    <n v="1"/>
    <s v="01.11.80.307.6100.0000"/>
    <n v="43.47"/>
    <s v="11"/>
    <s v="6100"/>
    <n v="43154.65"/>
    <n v="43.47"/>
    <s v="CREDITOR"/>
    <n v="0"/>
    <n v="0"/>
    <n v="0"/>
    <n v="0"/>
    <n v="43.47"/>
  </r>
  <r>
    <n v="61313803"/>
    <s v="N"/>
    <n v="21350025"/>
    <s v="3000015470000008"/>
    <s v="CIVIL"/>
    <d v="2023-06-29T00:00:00"/>
    <d v="2023-07-10T19:01:40"/>
    <m/>
    <d v="2023-07-10T00:00:00"/>
    <n v="924"/>
    <n v="2281"/>
    <s v="61313803"/>
    <s v="61313803"/>
    <m/>
    <m/>
    <n v="22789528"/>
    <m/>
    <m/>
    <m/>
    <s v="SOLFIN"/>
    <s v="SOLFIN"/>
    <s v="CCMS"/>
    <n v="21350025"/>
    <n v="6800.74"/>
    <m/>
    <s v="N"/>
    <n v="40"/>
    <d v="2023-07-10T19:02:09"/>
    <s v="Y"/>
    <s v="Preparation - other"/>
    <s v="Prescribed Hourly Rates"/>
    <s v="Profit Cost"/>
    <s v="RS"/>
    <s v="Y"/>
    <n v="6.31"/>
    <n v="1.26"/>
    <x v="2"/>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24"/>
    <d v="2023-07-06T19:21:09"/>
    <s v="Y"/>
    <s v="Attendance upon client"/>
    <s v="Prescribed Hourly Rates"/>
    <s v="Profit Cost"/>
    <s v="RS"/>
    <s v="Y"/>
    <n v="74.12"/>
    <n v="14.82"/>
    <x v="4"/>
    <s v="VALIDATED"/>
    <n v="1"/>
    <s v="01.11.80.307.6100.0000"/>
    <n v="74.12"/>
    <s v="11"/>
    <s v="6100"/>
    <n v="43154.65"/>
    <n v="74.12"/>
    <s v="CREDITOR"/>
    <n v="0"/>
    <n v="0"/>
    <n v="0"/>
    <n v="0"/>
    <n v="74.12"/>
  </r>
  <r>
    <n v="62357131"/>
    <s v="N"/>
    <n v="21327641"/>
    <s v="3000016340250001"/>
    <s v="CIVIL"/>
    <d v="2023-06-30T00:00:00"/>
    <d v="2023-07-04T19:00:44"/>
    <m/>
    <d v="2023-07-04T00:00:00"/>
    <n v="924"/>
    <n v="2281"/>
    <s v="62357131"/>
    <s v="62357131"/>
    <m/>
    <m/>
    <n v="22794034"/>
    <m/>
    <m/>
    <m/>
    <s v="SOLPOA"/>
    <s v="SOLPOA"/>
    <s v="CCMS"/>
    <n v="21327641"/>
    <n v="232"/>
    <m/>
    <s v="N"/>
    <n v="1"/>
    <d v="2023-07-04T19:00:51"/>
    <s v="N"/>
    <s v="Non Expert Disbursement - Private L"/>
    <s v="Non Expert Disbursement - Priv"/>
    <s v="Non Expert Disbursement"/>
    <s v="Richard Singh"/>
    <s v="N"/>
    <n v="232"/>
    <n v="0"/>
    <x v="1"/>
    <s v="VALIDATED"/>
    <n v="1"/>
    <s v="01.11.80.307.2012.0000"/>
    <n v="232"/>
    <s v="11"/>
    <s v="2012"/>
    <n v="43154.65"/>
    <n v="232"/>
    <s v="CREDITOR"/>
    <n v="232"/>
    <n v="0"/>
    <n v="0"/>
    <n v="0"/>
    <n v="0"/>
  </r>
  <r>
    <n v="60950874"/>
    <s v="N"/>
    <n v="21360551"/>
    <s v="3000015160760008"/>
    <s v="CIVIL"/>
    <d v="2023-06-30T00:00:00"/>
    <d v="2023-07-11T11:50:54"/>
    <m/>
    <d v="2023-07-11T00:00:00"/>
    <n v="924"/>
    <n v="2281"/>
    <s v="60950874"/>
    <s v="60950874"/>
    <m/>
    <m/>
    <n v="22794622"/>
    <m/>
    <m/>
    <m/>
    <s v="SOLFIN"/>
    <s v="SOLFIN"/>
    <s v="CCMS"/>
    <n v="21360551"/>
    <n v="11550.02"/>
    <m/>
    <s v="N"/>
    <n v="50"/>
    <d v="2023-07-11T11:51:09"/>
    <s v="Y"/>
    <s v="Attendance upon client"/>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63"/>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55"/>
    <d v="2023-07-11T11:51:09"/>
    <s v="Y"/>
    <s v="Attendance upon client"/>
    <s v="Prescribed Hourly Rates"/>
    <s v="Profit Cost"/>
    <s v="RS"/>
    <s v="Y"/>
    <n v="123.53"/>
    <n v="24.7"/>
    <x v="7"/>
    <s v="VALIDATED"/>
    <n v="1"/>
    <s v="01.11.80.307.6100.0000"/>
    <n v="123.53"/>
    <s v="11"/>
    <s v="6100"/>
    <n v="43154.65"/>
    <n v="123.53"/>
    <s v="CREDITOR"/>
    <n v="0"/>
    <n v="0"/>
    <n v="0"/>
    <n v="0"/>
    <n v="123.53"/>
  </r>
  <r>
    <n v="10004121"/>
    <s v="N"/>
    <n v="21360316"/>
    <s v="3000005900070010"/>
    <s v="CIVIL"/>
    <d v="2023-06-28T00:00:00"/>
    <d v="2023-07-11T11:50:54"/>
    <m/>
    <d v="2023-07-11T00:00:00"/>
    <n v="924"/>
    <n v="2281"/>
    <s v="10004121"/>
    <s v="10004121"/>
    <m/>
    <m/>
    <n v="22778134"/>
    <m/>
    <m/>
    <m/>
    <s v="SOLFIN"/>
    <s v="SOLFIN"/>
    <s v="CCMS"/>
    <n v="21360316"/>
    <n v="7425.76"/>
    <m/>
    <s v="N"/>
    <n v="25"/>
    <d v="2023-07-11T11:51:02"/>
    <s v="Y"/>
    <s v="Preparation - other"/>
    <s v="Prescribed Hourly Rates"/>
    <s v="Profit Cost"/>
    <s v="RS"/>
    <s v="Y"/>
    <n v="37.06"/>
    <n v="7.41"/>
    <x v="7"/>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87"/>
    <d v="2023-07-10T19:02:09"/>
    <s v="Y"/>
    <s v="Preparation - other"/>
    <s v="Prescribed Hourly Rates"/>
    <s v="Profit Cost"/>
    <s v="CD"/>
    <s v="Y"/>
    <n v="247.05"/>
    <n v="49.41"/>
    <x v="2"/>
    <s v="VALIDATED"/>
    <n v="1"/>
    <s v="01.11.80.307.6100.0000"/>
    <n v="247.05"/>
    <s v="11"/>
    <s v="6100"/>
    <n v="43154.65"/>
    <n v="247.05"/>
    <s v="CREDITOR"/>
    <n v="0"/>
    <n v="0"/>
    <n v="0"/>
    <n v="0"/>
    <n v="247.05"/>
  </r>
  <r>
    <n v="61313803"/>
    <s v="N"/>
    <n v="21350025"/>
    <s v="3000015470000008"/>
    <s v="CIVIL"/>
    <d v="2023-06-29T00:00:00"/>
    <d v="2023-07-10T19:01:40"/>
    <m/>
    <d v="2023-07-10T00:00:00"/>
    <n v="924"/>
    <n v="2281"/>
    <s v="61313803"/>
    <s v="61313803"/>
    <m/>
    <m/>
    <n v="22789528"/>
    <m/>
    <m/>
    <m/>
    <s v="SOLFIN"/>
    <s v="SOLFIN"/>
    <s v="CCMS"/>
    <n v="21350025"/>
    <n v="6800.74"/>
    <m/>
    <s v="N"/>
    <n v="17"/>
    <d v="2023-07-10T19:02:09"/>
    <s v="Y"/>
    <s v="Preparation - other"/>
    <s v="Prescribed Hourly Rates"/>
    <s v="Profit Cost"/>
    <s v="NPM"/>
    <s v="Y"/>
    <n v="10.98"/>
    <n v="2.2"/>
    <x v="2"/>
    <s v="VALIDATED"/>
    <n v="1"/>
    <s v="01.11.80.307.6100.0000"/>
    <n v="10.98"/>
    <s v="11"/>
    <s v="6100"/>
    <n v="43154.65"/>
    <n v="10.98"/>
    <s v="CREDITOR"/>
    <n v="0"/>
    <n v="0"/>
    <n v="0"/>
    <n v="0"/>
    <n v="10.98"/>
  </r>
  <r>
    <n v="61313803"/>
    <s v="N"/>
    <n v="21350025"/>
    <s v="3000015470000008"/>
    <s v="CIVIL"/>
    <d v="2023-06-29T00:00:00"/>
    <d v="2023-07-10T19:01:40"/>
    <m/>
    <d v="2023-07-10T00:00:00"/>
    <n v="924"/>
    <n v="2281"/>
    <s v="61313803"/>
    <s v="61313803"/>
    <m/>
    <m/>
    <n v="22789528"/>
    <m/>
    <m/>
    <m/>
    <s v="SOLFIN"/>
    <s v="SOLFIN"/>
    <s v="CCMS"/>
    <n v="21350025"/>
    <n v="6800.74"/>
    <m/>
    <s v="N"/>
    <n v="20"/>
    <d v="2023-07-10T19:02:09"/>
    <s v="Y"/>
    <s v="Preparation - other"/>
    <s v="Prescribed Hourly Rates"/>
    <s v="Profit Cost"/>
    <s v="RS"/>
    <s v="Y"/>
    <n v="6.31"/>
    <n v="1.26"/>
    <x v="2"/>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37"/>
    <d v="2023-07-06T19:21:09"/>
    <s v="Y"/>
    <s v="Preparation - other"/>
    <s v="Prescribed Hourly Rates"/>
    <s v="Profit Cost"/>
    <s v="RS"/>
    <s v="Y"/>
    <n v="24.71"/>
    <n v="4.94"/>
    <x v="4"/>
    <s v="VALIDATED"/>
    <n v="1"/>
    <s v="01.11.80.307.6100.0000"/>
    <n v="24.71"/>
    <s v="11"/>
    <s v="6100"/>
    <n v="43154.65"/>
    <n v="24.71"/>
    <s v="CREDITOR"/>
    <n v="0"/>
    <n v="0"/>
    <n v="0"/>
    <n v="0"/>
    <n v="24.71"/>
  </r>
  <r>
    <n v="11594527"/>
    <s v="N"/>
    <n v="21337864"/>
    <s v="3000006991410004"/>
    <s v="CIVIL"/>
    <d v="2023-06-27T00:00:00"/>
    <d v="2023-07-06T19:21:01"/>
    <m/>
    <d v="2023-07-06T00:00:00"/>
    <n v="924"/>
    <n v="2281"/>
    <s v="11594527"/>
    <s v="11594527"/>
    <m/>
    <m/>
    <n v="22768496"/>
    <m/>
    <m/>
    <m/>
    <s v="SOLFIN"/>
    <s v="SOLFIN"/>
    <s v="CCMS"/>
    <n v="21337864"/>
    <n v="6756.82"/>
    <m/>
    <s v="N"/>
    <n v="75"/>
    <d v="2023-07-06T19:21:09"/>
    <s v="Y"/>
    <s v="Attendance upon/with Counsel at Con"/>
    <s v="Prescribed Hourly Rates"/>
    <s v="Profit Cost"/>
    <s v="RS"/>
    <s v="Y"/>
    <n v="18.63"/>
    <n v="3.73"/>
    <x v="4"/>
    <s v="VALIDATED"/>
    <n v="1"/>
    <s v="01.11.80.307.6100.0000"/>
    <n v="18.63"/>
    <s v="11"/>
    <s v="6100"/>
    <n v="43154.65"/>
    <n v="18.63"/>
    <s v="CREDITOR"/>
    <n v="0"/>
    <n v="0"/>
    <n v="0"/>
    <n v="0"/>
    <n v="18.63"/>
  </r>
  <r>
    <n v="60950874"/>
    <s v="N"/>
    <n v="21360551"/>
    <s v="3000015160760008"/>
    <s v="CIVIL"/>
    <d v="2023-06-30T00:00:00"/>
    <d v="2023-07-11T11:50:54"/>
    <m/>
    <d v="2023-07-11T00:00:00"/>
    <n v="924"/>
    <n v="2281"/>
    <s v="60950874"/>
    <s v="60950874"/>
    <m/>
    <m/>
    <n v="22794622"/>
    <m/>
    <m/>
    <m/>
    <s v="SOLFIN"/>
    <s v="SOLFIN"/>
    <s v="CCMS"/>
    <n v="21360551"/>
    <n v="11550.02"/>
    <m/>
    <s v="N"/>
    <n v="88"/>
    <d v="2023-07-11T11:51:09"/>
    <s v="Y"/>
    <s v="Preparation - other"/>
    <s v="Prescribed Hourly Rates"/>
    <s v="Profit Cost"/>
    <s v="NPM"/>
    <s v="Y"/>
    <n v="16.47"/>
    <n v="3.29"/>
    <x v="7"/>
    <s v="VALIDATED"/>
    <n v="1"/>
    <s v="01.11.80.307.6100.0000"/>
    <n v="16.47"/>
    <s v="11"/>
    <s v="6100"/>
    <n v="43154.65"/>
    <n v="16.47"/>
    <s v="CREDITOR"/>
    <n v="0"/>
    <n v="0"/>
    <n v="0"/>
    <n v="0"/>
    <n v="16.47"/>
  </r>
  <r>
    <n v="10004121"/>
    <s v="N"/>
    <n v="21360316"/>
    <s v="3000005900070010"/>
    <s v="CIVIL"/>
    <d v="2023-06-28T00:00:00"/>
    <d v="2023-07-11T11:50:54"/>
    <m/>
    <d v="2023-07-11T00:00:00"/>
    <n v="924"/>
    <n v="2281"/>
    <s v="10004121"/>
    <s v="10004121"/>
    <m/>
    <m/>
    <n v="22778134"/>
    <m/>
    <m/>
    <m/>
    <s v="SOLFIN"/>
    <s v="SOLFIN"/>
    <s v="CCMS"/>
    <n v="21360316"/>
    <n v="7425.76"/>
    <m/>
    <s v="N"/>
    <n v="60"/>
    <d v="2023-07-11T11:51:02"/>
    <s v="Y"/>
    <s v="Preparation - other"/>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18"/>
    <d v="2023-07-11T11:51:02"/>
    <s v="Y"/>
    <s v="Preparation - other"/>
    <s v="Prescribed Hourly Rates"/>
    <s v="Profit Cost"/>
    <s v="NPM"/>
    <s v="Y"/>
    <n v="16.47"/>
    <n v="3.29"/>
    <x v="7"/>
    <s v="VALIDATED"/>
    <n v="1"/>
    <s v="01.11.80.307.6100.0000"/>
    <n v="16.47"/>
    <s v="11"/>
    <s v="6100"/>
    <n v="43154.65"/>
    <n v="16.47"/>
    <s v="CREDITOR"/>
    <n v="0"/>
    <n v="0"/>
    <n v="0"/>
    <n v="0"/>
    <n v="16.47"/>
  </r>
  <r>
    <n v="61313803"/>
    <s v="N"/>
    <n v="21350025"/>
    <s v="3000015470000008"/>
    <s v="CIVIL"/>
    <d v="2023-06-29T00:00:00"/>
    <d v="2023-07-10T19:01:40"/>
    <m/>
    <d v="2023-07-10T00:00:00"/>
    <n v="924"/>
    <n v="2281"/>
    <s v="61313803"/>
    <s v="61313803"/>
    <m/>
    <m/>
    <n v="22789528"/>
    <m/>
    <m/>
    <m/>
    <s v="SOLFIN"/>
    <s v="SOLFIN"/>
    <s v="CCMS"/>
    <n v="21350025"/>
    <n v="6800.74"/>
    <m/>
    <s v="N"/>
    <n v="31"/>
    <d v="2023-07-10T19:02:09"/>
    <s v="Y"/>
    <s v="Preparation - other"/>
    <s v="Prescribed Hourly Rates"/>
    <s v="Profit Cost"/>
    <s v="NPM"/>
    <s v="Y"/>
    <n v="10.98"/>
    <n v="2.2"/>
    <x v="2"/>
    <s v="VALIDATED"/>
    <n v="1"/>
    <s v="01.11.80.307.6100.0000"/>
    <n v="10.98"/>
    <s v="11"/>
    <s v="6100"/>
    <n v="43154.65"/>
    <n v="10.98"/>
    <s v="CREDITOR"/>
    <n v="0"/>
    <n v="0"/>
    <n v="0"/>
    <n v="0"/>
    <n v="10.98"/>
  </r>
  <r>
    <n v="61313803"/>
    <s v="N"/>
    <n v="21350025"/>
    <s v="3000015470000008"/>
    <s v="CIVIL"/>
    <d v="2023-06-29T00:00:00"/>
    <d v="2023-07-10T19:01:40"/>
    <m/>
    <d v="2023-07-10T00:00:00"/>
    <n v="924"/>
    <n v="2281"/>
    <s v="61313803"/>
    <s v="61313803"/>
    <m/>
    <m/>
    <n v="22789528"/>
    <m/>
    <m/>
    <m/>
    <s v="SOLFIN"/>
    <s v="SOLFIN"/>
    <s v="CCMS"/>
    <n v="21350025"/>
    <n v="6800.74"/>
    <m/>
    <s v="N"/>
    <n v="35"/>
    <d v="2023-07-10T19:02:09"/>
    <s v="Y"/>
    <s v="Preparation - other"/>
    <s v="Prescribed Hourly Rates"/>
    <s v="Profit Cost"/>
    <s v="RS"/>
    <s v="Y"/>
    <n v="6.31"/>
    <n v="1.26"/>
    <x v="2"/>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14"/>
    <d v="2023-07-11T11:51:09"/>
    <s v="Y"/>
    <s v="Preparation - other"/>
    <s v="Prescribed Hourly Rates"/>
    <s v="Profit Cost"/>
    <s v="RS"/>
    <s v="Y"/>
    <n v="49.41"/>
    <n v="9.880000000000001"/>
    <x v="7"/>
    <s v="VALIDATED"/>
    <n v="1"/>
    <s v="01.11.80.307.6100.0000"/>
    <n v="49.41"/>
    <s v="11"/>
    <s v="6100"/>
    <n v="43154.65"/>
    <n v="49.41"/>
    <s v="CREDITOR"/>
    <n v="0"/>
    <n v="0"/>
    <n v="0"/>
    <n v="0"/>
    <n v="49.41"/>
  </r>
  <r>
    <n v="8647673"/>
    <s v="N"/>
    <n v="21349284"/>
    <s v="3000004688890022"/>
    <s v="CIVIL"/>
    <d v="2023-06-27T00:00:00"/>
    <d v="2023-07-10T19:01:40"/>
    <m/>
    <d v="2023-07-10T00:00:00"/>
    <n v="924"/>
    <n v="2281"/>
    <s v="8647673"/>
    <s v="8647673"/>
    <m/>
    <m/>
    <n v="22771220"/>
    <m/>
    <m/>
    <m/>
    <s v="SOLFIN"/>
    <s v="SOLFIN"/>
    <s v="CCMS"/>
    <n v="21349284"/>
    <n v="14502.62"/>
    <m/>
    <s v="N"/>
    <n v="10"/>
    <d v="2023-07-10T19:01:43"/>
    <s v="Y"/>
    <s v="Toxicologist"/>
    <s v="Prescribed Hourly Rates"/>
    <s v="Expert Disbursement"/>
    <s v="XXX"/>
    <s v="Y"/>
    <n v="402"/>
    <n v="80.40000000000001"/>
    <x v="2"/>
    <s v="VALIDATED"/>
    <n v="1"/>
    <s v="01.11.80.307.6300.0000"/>
    <n v="402"/>
    <s v="11"/>
    <s v="6300"/>
    <n v="43154.65"/>
    <n v="402"/>
    <s v="CREDITOR"/>
    <n v="0"/>
    <n v="0"/>
    <n v="0"/>
    <n v="0"/>
    <n v="402"/>
  </r>
  <r>
    <n v="8647673"/>
    <s v="N"/>
    <n v="21349284"/>
    <s v="3000004688890022"/>
    <s v="CIVIL"/>
    <d v="2023-06-27T00:00:00"/>
    <d v="2023-07-10T19:01:40"/>
    <m/>
    <d v="2023-07-10T00:00:00"/>
    <n v="924"/>
    <n v="2281"/>
    <s v="8647673"/>
    <s v="8647673"/>
    <m/>
    <m/>
    <n v="22771220"/>
    <m/>
    <m/>
    <m/>
    <s v="SOLFIN"/>
    <s v="SOLFIN"/>
    <s v="CCMS"/>
    <n v="21349284"/>
    <n v="14502.62"/>
    <m/>
    <s v="N"/>
    <n v="15"/>
    <d v="2023-07-10T19:01:43"/>
    <s v="Y"/>
    <s v="Hearing Unit 2.31 - 5.00 Hours"/>
    <s v="Private Law Children"/>
    <s v="Advocacy"/>
    <s v="RAS"/>
    <s v="Y"/>
    <n v="344.8"/>
    <n v="68.95999999999999"/>
    <x v="2"/>
    <s v="VALIDATED"/>
    <n v="1"/>
    <s v="01.11.80.307.6100.0000"/>
    <n v="344.8"/>
    <s v="11"/>
    <s v="6100"/>
    <n v="43154.65"/>
    <n v="344.8"/>
    <s v="CREDITOR"/>
    <n v="0"/>
    <n v="0"/>
    <n v="0"/>
    <n v="0"/>
    <n v="344.8"/>
  </r>
  <r>
    <n v="8647673"/>
    <s v="N"/>
    <n v="21349284"/>
    <s v="3000004688890022"/>
    <s v="CIVIL"/>
    <d v="2023-06-27T00:00:00"/>
    <d v="2023-07-10T19:01:40"/>
    <m/>
    <d v="2023-07-10T00:00:00"/>
    <n v="924"/>
    <n v="2281"/>
    <s v="8647673"/>
    <s v="8647673"/>
    <m/>
    <m/>
    <n v="22771220"/>
    <m/>
    <m/>
    <m/>
    <s v="SOLFIN"/>
    <s v="SOLFIN"/>
    <s v="CCMS"/>
    <n v="21349284"/>
    <n v="14502.62"/>
    <m/>
    <s v="N"/>
    <n v="110"/>
    <d v="2023-07-10T19:01:43"/>
    <s v="Y"/>
    <s v="Preparation - other"/>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33"/>
    <d v="2023-07-10T19:01:43"/>
    <s v="Y"/>
    <s v="Preparation - other"/>
    <s v="Prescribed Hourly Rates"/>
    <s v="Profit Cost"/>
    <s v="ROS"/>
    <s v="Y"/>
    <n v="37.06"/>
    <n v="7.41"/>
    <x v="2"/>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84"/>
    <d v="2023-07-10T19:01:43"/>
    <s v="Y"/>
    <s v="Preparation - other"/>
    <s v="Prescribed Hourly Rates"/>
    <s v="Profit Cost"/>
    <s v="ROS"/>
    <s v="Y"/>
    <n v="25.25"/>
    <n v="5.05"/>
    <x v="2"/>
    <s v="VALIDATED"/>
    <n v="1"/>
    <s v="01.11.80.307.6100.0000"/>
    <n v="25.25"/>
    <s v="11"/>
    <s v="6100"/>
    <n v="43154.65"/>
    <n v="25.25"/>
    <s v="CREDITOR"/>
    <n v="0"/>
    <n v="0"/>
    <n v="0"/>
    <n v="0"/>
    <n v="25.25"/>
  </r>
  <r>
    <n v="11594527"/>
    <s v="N"/>
    <n v="21337864"/>
    <s v="3000006991410004"/>
    <s v="CIVIL"/>
    <d v="2023-06-27T00:00:00"/>
    <d v="2023-07-06T19:21:01"/>
    <m/>
    <d v="2023-07-06T00:00:00"/>
    <n v="924"/>
    <n v="2281"/>
    <s v="11594527"/>
    <s v="11594527"/>
    <m/>
    <m/>
    <n v="22768496"/>
    <m/>
    <m/>
    <m/>
    <s v="SOLFIN"/>
    <s v="SOLFIN"/>
    <s v="CCMS"/>
    <n v="21337864"/>
    <n v="6756.82"/>
    <m/>
    <s v="N"/>
    <n v="67"/>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22"/>
    <d v="2023-07-06T19:21:09"/>
    <s v="Y"/>
    <s v="Preparation - other"/>
    <s v="Prescribed Hourly Rates"/>
    <s v="Profit Cost"/>
    <s v="RS"/>
    <s v="Y"/>
    <n v="74.12"/>
    <n v="14.82"/>
    <x v="4"/>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30"/>
    <d v="2023-07-06T19:21:09"/>
    <s v="Y"/>
    <s v="Preparation - other"/>
    <s v="Prescribed Hourly Rates"/>
    <s v="Profit Cost"/>
    <s v="RS"/>
    <s v="Y"/>
    <n v="6.31"/>
    <n v="1.26"/>
    <x v="4"/>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3"/>
    <d v="2023-07-11T11:51:09"/>
    <s v="Y"/>
    <s v="Preparation - other"/>
    <s v="Prescribed Hourly Rates"/>
    <s v="Profit Cost"/>
    <s v="RS"/>
    <s v="Y"/>
    <n v="12.63"/>
    <n v="2.53"/>
    <x v="7"/>
    <s v="VALIDATED"/>
    <n v="1"/>
    <s v="01.11.80.307.6100.0000"/>
    <n v="12.63"/>
    <s v="11"/>
    <s v="6100"/>
    <n v="43154.65"/>
    <n v="12.63"/>
    <s v="CREDITOR"/>
    <n v="0"/>
    <n v="0"/>
    <n v="0"/>
    <n v="0"/>
    <n v="12.63"/>
  </r>
  <r>
    <n v="60950874"/>
    <s v="N"/>
    <n v="21360551"/>
    <s v="3000015160760008"/>
    <s v="CIVIL"/>
    <d v="2023-06-30T00:00:00"/>
    <d v="2023-07-11T11:50:54"/>
    <m/>
    <d v="2023-07-11T00:00:00"/>
    <n v="924"/>
    <n v="2281"/>
    <s v="60950874"/>
    <s v="60950874"/>
    <m/>
    <m/>
    <n v="22794622"/>
    <m/>
    <m/>
    <m/>
    <s v="SOLFIN"/>
    <s v="SOLFIN"/>
    <s v="CCMS"/>
    <n v="21360551"/>
    <n v="11550.02"/>
    <m/>
    <s v="N"/>
    <n v="103"/>
    <d v="2023-07-11T11:51:09"/>
    <s v="Y"/>
    <s v="Attendance upon client"/>
    <s v="Prescribed Hourly Rates"/>
    <s v="Profit Cost"/>
    <s v="RS"/>
    <s v="Y"/>
    <n v="123.53"/>
    <n v="24.7"/>
    <x v="7"/>
    <s v="VALIDATED"/>
    <n v="1"/>
    <s v="01.11.80.307.6100.0000"/>
    <n v="123.53"/>
    <s v="11"/>
    <s v="6100"/>
    <n v="43154.65"/>
    <n v="123.53"/>
    <s v="CREDITOR"/>
    <n v="0"/>
    <n v="0"/>
    <n v="0"/>
    <n v="0"/>
    <n v="123.53"/>
  </r>
  <r>
    <n v="10004121"/>
    <s v="N"/>
    <n v="21360316"/>
    <s v="3000005900070010"/>
    <s v="CIVIL"/>
    <d v="2023-06-28T00:00:00"/>
    <d v="2023-07-11T11:50:54"/>
    <m/>
    <d v="2023-07-11T00:00:00"/>
    <n v="924"/>
    <n v="2281"/>
    <s v="10004121"/>
    <s v="10004121"/>
    <m/>
    <m/>
    <n v="22778134"/>
    <m/>
    <m/>
    <m/>
    <s v="SOLFIN"/>
    <s v="SOLFIN"/>
    <s v="CCMS"/>
    <n v="21360316"/>
    <n v="7425.76"/>
    <m/>
    <s v="N"/>
    <n v="17"/>
    <d v="2023-07-11T11:51:02"/>
    <s v="Y"/>
    <s v="Preparation - other"/>
    <s v="Prescribed Hourly Rates"/>
    <s v="Profit Cost"/>
    <s v="RS"/>
    <s v="Y"/>
    <n v="14.82"/>
    <n v="2.96"/>
    <x v="7"/>
    <s v="VALIDATED"/>
    <n v="1"/>
    <s v="01.11.80.307.6100.0000"/>
    <n v="14.82"/>
    <s v="11"/>
    <s v="6100"/>
    <n v="43154.65"/>
    <n v="14.82"/>
    <s v="CREDITOR"/>
    <n v="0"/>
    <n v="0"/>
    <n v="0"/>
    <n v="0"/>
    <n v="14.82"/>
  </r>
  <r>
    <n v="8647673"/>
    <s v="N"/>
    <n v="21349284"/>
    <s v="3000004688890022"/>
    <s v="CIVIL"/>
    <d v="2023-06-27T00:00:00"/>
    <d v="2023-07-10T19:01:40"/>
    <m/>
    <d v="2023-07-10T00:00:00"/>
    <n v="924"/>
    <n v="2281"/>
    <s v="8647673"/>
    <s v="8647673"/>
    <m/>
    <m/>
    <n v="22771220"/>
    <m/>
    <m/>
    <m/>
    <s v="SOLFIN"/>
    <s v="SOLFIN"/>
    <s v="CCMS"/>
    <n v="21349284"/>
    <n v="14502.62"/>
    <m/>
    <s v="N"/>
    <n v="106"/>
    <d v="2023-07-10T19:01:43"/>
    <s v="Y"/>
    <s v="Preparation - other"/>
    <s v="Prescribed Hourly Rates"/>
    <s v="Profit Cost"/>
    <s v="ROS"/>
    <s v="Y"/>
    <n v="111.17"/>
    <n v="22.23"/>
    <x v="2"/>
    <s v="VALIDATED"/>
    <n v="1"/>
    <s v="01.11.80.307.6100.0000"/>
    <n v="111.17"/>
    <s v="11"/>
    <s v="6100"/>
    <n v="43154.65"/>
    <n v="111.17"/>
    <s v="CREDITOR"/>
    <n v="0"/>
    <n v="0"/>
    <n v="0"/>
    <n v="0"/>
    <n v="111.17"/>
  </r>
  <r>
    <n v="8647673"/>
    <s v="N"/>
    <n v="21349284"/>
    <s v="3000004688890022"/>
    <s v="CIVIL"/>
    <d v="2023-06-27T00:00:00"/>
    <d v="2023-07-10T19:01:40"/>
    <m/>
    <d v="2023-07-10T00:00:00"/>
    <n v="924"/>
    <n v="2281"/>
    <s v="8647673"/>
    <s v="8647673"/>
    <m/>
    <m/>
    <n v="22771220"/>
    <m/>
    <m/>
    <m/>
    <s v="SOLFIN"/>
    <s v="SOLFIN"/>
    <s v="CCMS"/>
    <n v="21349284"/>
    <n v="14502.62"/>
    <m/>
    <s v="N"/>
    <n v="88"/>
    <d v="2023-07-10T19:01:43"/>
    <s v="Y"/>
    <s v="Preparation - drafting application"/>
    <s v="Prescribed Hourly Rates"/>
    <s v="Profit Cost"/>
    <s v="ROS"/>
    <s v="Y"/>
    <n v="222.35"/>
    <n v="44.47"/>
    <x v="2"/>
    <s v="VALIDATED"/>
    <n v="1"/>
    <s v="01.11.80.307.6100.0000"/>
    <n v="222.35"/>
    <s v="11"/>
    <s v="6100"/>
    <n v="43154.65"/>
    <n v="222.35"/>
    <s v="CREDITOR"/>
    <n v="0"/>
    <n v="0"/>
    <n v="0"/>
    <n v="0"/>
    <n v="222.35"/>
  </r>
  <r>
    <n v="61313803"/>
    <s v="N"/>
    <n v="21350025"/>
    <s v="3000015470000008"/>
    <s v="CIVIL"/>
    <d v="2023-06-29T00:00:00"/>
    <d v="2023-07-10T19:01:40"/>
    <m/>
    <d v="2023-07-10T00:00:00"/>
    <n v="924"/>
    <n v="2281"/>
    <s v="61313803"/>
    <s v="61313803"/>
    <m/>
    <m/>
    <n v="22789528"/>
    <m/>
    <m/>
    <m/>
    <s v="SOLFIN"/>
    <s v="SOLFIN"/>
    <s v="CCMS"/>
    <n v="21350025"/>
    <n v="6800.74"/>
    <m/>
    <s v="N"/>
    <n v="32"/>
    <d v="2023-07-10T19:02:09"/>
    <s v="Y"/>
    <s v="Preparation - other"/>
    <s v="Prescribed Hourly Rates"/>
    <s v="Profit Cost"/>
    <s v="NPM"/>
    <s v="Y"/>
    <n v="5.49"/>
    <n v="1.1"/>
    <x v="2"/>
    <s v="VALIDATED"/>
    <n v="1"/>
    <s v="01.11.80.307.6100.0000"/>
    <n v="5.49"/>
    <s v="11"/>
    <s v="6100"/>
    <n v="43154.65"/>
    <n v="5.49"/>
    <s v="CREDITOR"/>
    <n v="0"/>
    <n v="0"/>
    <n v="0"/>
    <n v="0"/>
    <n v="5.49"/>
  </r>
  <r>
    <n v="14064052"/>
    <s v="N"/>
    <n v="21349905"/>
    <s v="3000007298400008"/>
    <s v="CIVIL"/>
    <d v="2023-06-29T00:00:00"/>
    <d v="2023-07-10T19:01:40"/>
    <m/>
    <d v="2023-07-10T00:00:00"/>
    <n v="924"/>
    <n v="2281"/>
    <s v="14064052"/>
    <s v="14064052"/>
    <m/>
    <m/>
    <n v="22788366"/>
    <m/>
    <m/>
    <m/>
    <s v="SOLFIN"/>
    <s v="SOLFIN"/>
    <s v="CCMS"/>
    <n v="21349905"/>
    <n v="4899.44"/>
    <m/>
    <s v="N"/>
    <n v="5"/>
    <d v="2023-07-10T19:02:03"/>
    <s v="Y"/>
    <s v="Hearing Unit 2.31 - 5.00 Hours"/>
    <s v="Private Law Children"/>
    <s v="Advocacy"/>
    <s v="RAS"/>
    <s v="Y"/>
    <n v="313.48"/>
    <n v="62.7"/>
    <x v="2"/>
    <s v="VALIDATED"/>
    <n v="1"/>
    <s v="01.11.80.302.6100.0000"/>
    <n v="313.48"/>
    <s v="11"/>
    <s v="6100"/>
    <n v="43154.65"/>
    <n v="313.48"/>
    <s v="CREDITOR"/>
    <n v="0"/>
    <n v="0"/>
    <n v="0"/>
    <n v="0"/>
    <n v="313.48"/>
  </r>
  <r>
    <n v="10788846"/>
    <s v="N"/>
    <n v="21338341"/>
    <s v="3000006570470018"/>
    <s v="CIVIL"/>
    <d v="2023-06-28T00:00:00"/>
    <d v="2023-07-06T19:21:01"/>
    <m/>
    <d v="2023-07-06T00:00:00"/>
    <n v="924"/>
    <n v="2281"/>
    <s v="10788846"/>
    <s v="10788846"/>
    <m/>
    <m/>
    <n v="22777146"/>
    <m/>
    <m/>
    <m/>
    <s v="SOLFIN"/>
    <s v="SOLFIN"/>
    <s v="CCMS"/>
    <n v="21338341"/>
    <n v="1098.86"/>
    <m/>
    <s v="N"/>
    <n v="5"/>
    <d v="2023-07-06T19:21:20"/>
    <s v="Y"/>
    <s v="Level 4 Fixed Fee"/>
    <s v="Domestic Abuse"/>
    <s v="Profit Cost"/>
    <s v="ROS"/>
    <s v="Y"/>
    <n v="507"/>
    <n v="101.4"/>
    <x v="4"/>
    <s v="VALIDATED"/>
    <n v="1"/>
    <s v="01.11.80.307.6100.0000"/>
    <n v="507"/>
    <s v="11"/>
    <s v="6100"/>
    <n v="43154.65"/>
    <n v="507"/>
    <s v="CREDITOR"/>
    <n v="0"/>
    <n v="0"/>
    <n v="0"/>
    <n v="0"/>
    <n v="507"/>
  </r>
  <r>
    <n v="62292803"/>
    <s v="N"/>
    <n v="21327593"/>
    <s v="3000016285210001"/>
    <s v="CIVIL"/>
    <d v="2023-06-30T00:00:00"/>
    <d v="2023-07-04T19:00:44"/>
    <m/>
    <d v="2023-07-04T00:00:00"/>
    <n v="924"/>
    <n v="2281"/>
    <s v="62292803"/>
    <s v="62292803"/>
    <m/>
    <m/>
    <n v="22794046"/>
    <m/>
    <m/>
    <m/>
    <s v="SOLPOA"/>
    <s v="SOLPOA"/>
    <s v="CCMS"/>
    <n v="21327593"/>
    <n v="232"/>
    <m/>
    <s v="N"/>
    <n v="1"/>
    <d v="2023-07-04T19:00:50"/>
    <s v="N"/>
    <s v="Non Expert Disbursement - Private L"/>
    <s v="Non Expert Disbursement - Priv"/>
    <s v="Non Expert Disbursement"/>
    <s v="Richard Singh"/>
    <s v="N"/>
    <n v="232"/>
    <n v="0"/>
    <x v="1"/>
    <s v="VALIDATED"/>
    <n v="1"/>
    <s v="01.11.80.307.2012.0000"/>
    <n v="232"/>
    <s v="11"/>
    <s v="2012"/>
    <n v="43154.65"/>
    <n v="232"/>
    <s v="CREDITOR"/>
    <n v="232"/>
    <n v="0"/>
    <n v="0"/>
    <n v="0"/>
    <n v="0"/>
  </r>
  <r>
    <n v="60950874"/>
    <s v="N"/>
    <n v="21360551"/>
    <s v="3000015160760008"/>
    <s v="CIVIL"/>
    <d v="2023-06-30T00:00:00"/>
    <d v="2023-07-11T11:50:54"/>
    <m/>
    <d v="2023-07-11T00:00:00"/>
    <n v="924"/>
    <n v="2281"/>
    <s v="60950874"/>
    <s v="60950874"/>
    <m/>
    <m/>
    <n v="22794622"/>
    <m/>
    <m/>
    <m/>
    <s v="SOLFIN"/>
    <s v="SOLFIN"/>
    <s v="CCMS"/>
    <n v="21360551"/>
    <n v="11550.02"/>
    <m/>
    <s v="N"/>
    <n v="61"/>
    <d v="2023-07-11T11:51:09"/>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31"/>
    <d v="2023-07-11T11:51:02"/>
    <s v="Y"/>
    <s v="Preparation - other"/>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51"/>
    <d v="2023-07-11T11:51:02"/>
    <s v="Y"/>
    <s v="Attendance upon other"/>
    <s v="Prescribed Hourly Rates"/>
    <s v="Profit Cost"/>
    <s v="RS"/>
    <s v="Y"/>
    <n v="14.82"/>
    <n v="2.96"/>
    <x v="7"/>
    <s v="VALIDATED"/>
    <n v="1"/>
    <s v="01.11.80.307.6100.0000"/>
    <n v="14.82"/>
    <s v="11"/>
    <s v="6100"/>
    <n v="43154.65"/>
    <n v="14.82"/>
    <s v="CREDITOR"/>
    <n v="0"/>
    <n v="0"/>
    <n v="0"/>
    <n v="0"/>
    <n v="14.82"/>
  </r>
  <r>
    <n v="61313803"/>
    <s v="N"/>
    <n v="21350025"/>
    <s v="3000015470000008"/>
    <s v="CIVIL"/>
    <d v="2023-06-29T00:00:00"/>
    <d v="2023-07-10T19:01:40"/>
    <m/>
    <d v="2023-07-10T00:00:00"/>
    <n v="924"/>
    <n v="2281"/>
    <s v="61313803"/>
    <s v="61313803"/>
    <m/>
    <m/>
    <n v="22789528"/>
    <m/>
    <m/>
    <m/>
    <s v="SOLFIN"/>
    <s v="SOLFIN"/>
    <s v="CCMS"/>
    <n v="21350025"/>
    <n v="6800.74"/>
    <m/>
    <s v="N"/>
    <n v="74"/>
    <d v="2023-07-10T19:02:09"/>
    <s v="Y"/>
    <s v="Preparation - other"/>
    <s v="Prescribed Hourly Rates"/>
    <s v="Profit Cost"/>
    <s v="RS"/>
    <s v="Y"/>
    <n v="22.23"/>
    <n v="4.45"/>
    <x v="2"/>
    <s v="VALIDATED"/>
    <n v="1"/>
    <s v="01.11.80.307.6100.0000"/>
    <n v="22.23"/>
    <s v="11"/>
    <s v="6100"/>
    <n v="43154.65"/>
    <n v="22.23"/>
    <s v="CREDITOR"/>
    <n v="0"/>
    <n v="0"/>
    <n v="0"/>
    <n v="0"/>
    <n v="22.23"/>
  </r>
  <r>
    <n v="61313803"/>
    <s v="N"/>
    <n v="21350025"/>
    <s v="3000015470000008"/>
    <s v="CIVIL"/>
    <d v="2023-06-29T00:00:00"/>
    <d v="2023-07-10T19:01:40"/>
    <m/>
    <d v="2023-07-10T00:00:00"/>
    <n v="924"/>
    <n v="2281"/>
    <s v="61313803"/>
    <s v="61313803"/>
    <m/>
    <m/>
    <n v="22789528"/>
    <m/>
    <m/>
    <m/>
    <s v="SOLFIN"/>
    <s v="SOLFIN"/>
    <s v="CCMS"/>
    <n v="21350025"/>
    <n v="6800.74"/>
    <m/>
    <s v="N"/>
    <n v="76"/>
    <d v="2023-07-10T19:02:09"/>
    <s v="Y"/>
    <s v="Preparation - other"/>
    <s v="Prescribed Hourly Rates"/>
    <s v="Profit Cost"/>
    <s v="RS"/>
    <s v="Y"/>
    <n v="12.35"/>
    <n v="2.47"/>
    <x v="2"/>
    <s v="VALIDATED"/>
    <n v="1"/>
    <s v="01.11.80.307.6100.0000"/>
    <n v="12.35"/>
    <s v="11"/>
    <s v="6100"/>
    <n v="43154.65"/>
    <n v="12.35"/>
    <s v="CREDITOR"/>
    <n v="0"/>
    <n v="0"/>
    <n v="0"/>
    <n v="0"/>
    <n v="12.35"/>
  </r>
  <r>
    <n v="8647673"/>
    <s v="N"/>
    <n v="21349284"/>
    <s v="3000004688890022"/>
    <s v="CIVIL"/>
    <d v="2023-06-27T00:00:00"/>
    <d v="2023-07-10T19:01:40"/>
    <m/>
    <d v="2023-07-10T00:00:00"/>
    <n v="924"/>
    <n v="2281"/>
    <s v="8647673"/>
    <s v="8647673"/>
    <m/>
    <m/>
    <n v="22771220"/>
    <m/>
    <m/>
    <m/>
    <s v="SOLFIN"/>
    <s v="SOLFIN"/>
    <s v="CCMS"/>
    <n v="21349284"/>
    <n v="14502.62"/>
    <m/>
    <s v="N"/>
    <n v="18"/>
    <d v="2023-07-10T19:01:43"/>
    <s v="Y"/>
    <s v="Hearing Unit 1.01 - 2.30 Hours"/>
    <s v="Private Law Children"/>
    <s v="Advocacy"/>
    <s v="RAS"/>
    <s v="Y"/>
    <n v="172.4"/>
    <n v="34.48"/>
    <x v="2"/>
    <s v="VALIDATED"/>
    <n v="1"/>
    <s v="01.11.80.307.6100.0000"/>
    <n v="172.4"/>
    <s v="11"/>
    <s v="6100"/>
    <n v="43154.65"/>
    <n v="172.4"/>
    <s v="CREDITOR"/>
    <n v="0"/>
    <n v="0"/>
    <n v="0"/>
    <n v="0"/>
    <n v="172.4"/>
  </r>
  <r>
    <n v="8647673"/>
    <s v="N"/>
    <n v="21349284"/>
    <s v="3000004688890022"/>
    <s v="CIVIL"/>
    <d v="2023-06-27T00:00:00"/>
    <d v="2023-07-10T19:01:40"/>
    <m/>
    <d v="2023-07-10T00:00:00"/>
    <n v="924"/>
    <n v="2281"/>
    <s v="8647673"/>
    <s v="8647673"/>
    <m/>
    <m/>
    <n v="22771220"/>
    <m/>
    <m/>
    <m/>
    <s v="SOLFIN"/>
    <s v="SOLFIN"/>
    <s v="CCMS"/>
    <n v="21349284"/>
    <n v="14502.62"/>
    <m/>
    <s v="N"/>
    <n v="19"/>
    <d v="2023-07-10T19:01:43"/>
    <s v="N"/>
    <s v="Level 3 &amp; Level 4 Fixed Fee"/>
    <s v="Private Law Children"/>
    <s v="Profit Cost"/>
    <s v="XXX"/>
    <s v="N"/>
    <n v="0"/>
    <n v="0"/>
    <x v="2"/>
    <s v="VALIDATED"/>
    <n v="1"/>
    <s v="01.11.80.307.6100.0000"/>
    <n v="0"/>
    <s v="11"/>
    <s v="6100"/>
    <n v="43154.65"/>
    <n v="0"/>
    <s v="CREDITOR"/>
    <n v="0"/>
    <n v="0"/>
    <n v="0"/>
    <n v="0"/>
    <n v="0"/>
  </r>
  <r>
    <n v="8647673"/>
    <s v="N"/>
    <n v="21349284"/>
    <s v="3000004688890022"/>
    <s v="CIVIL"/>
    <d v="2023-06-27T00:00:00"/>
    <d v="2023-07-10T19:01:40"/>
    <m/>
    <d v="2023-07-10T00:00:00"/>
    <n v="924"/>
    <n v="2281"/>
    <s v="8647673"/>
    <s v="8647673"/>
    <m/>
    <m/>
    <n v="22771220"/>
    <m/>
    <m/>
    <m/>
    <s v="SOLFIN"/>
    <s v="SOLFIN"/>
    <s v="CCMS"/>
    <n v="21349284"/>
    <n v="14502.62"/>
    <m/>
    <s v="N"/>
    <n v="102"/>
    <d v="2023-07-10T19:01:43"/>
    <s v="Y"/>
    <s v="Attendance upon client"/>
    <s v="Prescribed Hourly Rates"/>
    <s v="Profit Cost"/>
    <s v="ROS"/>
    <s v="Y"/>
    <n v="111.17"/>
    <n v="22.23"/>
    <x v="2"/>
    <s v="VALIDATED"/>
    <n v="1"/>
    <s v="01.11.80.307.6100.0000"/>
    <n v="111.17"/>
    <s v="11"/>
    <s v="6100"/>
    <n v="43154.65"/>
    <n v="111.17"/>
    <s v="CREDITOR"/>
    <n v="0"/>
    <n v="0"/>
    <n v="0"/>
    <n v="0"/>
    <n v="111.17"/>
  </r>
  <r>
    <n v="11594527"/>
    <s v="N"/>
    <n v="21337864"/>
    <s v="3000006991410004"/>
    <s v="CIVIL"/>
    <d v="2023-06-27T00:00:00"/>
    <d v="2023-07-06T19:21:01"/>
    <m/>
    <d v="2023-07-06T00:00:00"/>
    <n v="924"/>
    <n v="2281"/>
    <s v="11594527"/>
    <s v="11594527"/>
    <m/>
    <m/>
    <n v="22768496"/>
    <m/>
    <m/>
    <m/>
    <s v="SOLFIN"/>
    <s v="SOLFIN"/>
    <s v="CCMS"/>
    <n v="21337864"/>
    <n v="6756.82"/>
    <m/>
    <s v="N"/>
    <n v="52"/>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62"/>
    <d v="2023-07-06T19:21:09"/>
    <s v="Y"/>
    <s v="Preparation - other"/>
    <s v="Prescribed Hourly Rates"/>
    <s v="Profit Cost"/>
    <s v="RS"/>
    <s v="Y"/>
    <n v="6.31"/>
    <n v="1.26"/>
    <x v="4"/>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13"/>
    <d v="2023-07-11T11:51:09"/>
    <s v="Y"/>
    <s v="Attendance upon client"/>
    <s v="Prescribed Hourly Rates"/>
    <s v="Profit Cost"/>
    <s v="RS"/>
    <s v="Y"/>
    <n v="74.12"/>
    <n v="14.82"/>
    <x v="7"/>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77"/>
    <d v="2023-07-10T19:02:09"/>
    <s v="Y"/>
    <s v="Attendance upon client"/>
    <s v="Prescribed Hourly Rates"/>
    <s v="Profit Cost"/>
    <s v="RS"/>
    <s v="Y"/>
    <n v="148.23"/>
    <n v="29.64"/>
    <x v="2"/>
    <s v="VALIDATED"/>
    <n v="1"/>
    <s v="01.11.80.307.6100.0000"/>
    <n v="148.23"/>
    <s v="11"/>
    <s v="6100"/>
    <n v="43154.65"/>
    <n v="148.23"/>
    <s v="CREDITOR"/>
    <n v="0"/>
    <n v="0"/>
    <n v="0"/>
    <n v="0"/>
    <n v="148.23"/>
  </r>
  <r>
    <n v="14064052"/>
    <s v="N"/>
    <n v="21349905"/>
    <s v="3000007298400008"/>
    <s v="CIVIL"/>
    <d v="2023-06-29T00:00:00"/>
    <d v="2023-07-10T19:01:40"/>
    <m/>
    <d v="2023-07-10T00:00:00"/>
    <n v="924"/>
    <n v="2281"/>
    <s v="14064052"/>
    <s v="14064052"/>
    <m/>
    <m/>
    <n v="22788366"/>
    <m/>
    <m/>
    <m/>
    <s v="SOLFIN"/>
    <s v="SOLFIN"/>
    <s v="CCMS"/>
    <n v="21349905"/>
    <n v="4899.44"/>
    <m/>
    <s v="N"/>
    <n v="6"/>
    <d v="2023-07-10T19:02:03"/>
    <s v="Y"/>
    <s v="Level 4 Fixed Fee"/>
    <s v="Domestic Abuse"/>
    <s v="Profit Cost"/>
    <s v="XXX"/>
    <s v="Y"/>
    <n v="507"/>
    <n v="101.41"/>
    <x v="2"/>
    <s v="VALIDATED"/>
    <n v="1"/>
    <s v="01.11.80.302.6100.0000"/>
    <n v="507"/>
    <s v="11"/>
    <s v="6100"/>
    <n v="43154.65"/>
    <n v="507"/>
    <s v="CREDITOR"/>
    <n v="0"/>
    <n v="0"/>
    <n v="0"/>
    <n v="0"/>
    <n v="507"/>
  </r>
  <r>
    <n v="14064052"/>
    <s v="N"/>
    <n v="21349905"/>
    <s v="3000007298400008"/>
    <s v="CIVIL"/>
    <d v="2023-06-29T00:00:00"/>
    <d v="2023-07-10T19:01:40"/>
    <m/>
    <d v="2023-07-10T00:00:00"/>
    <n v="924"/>
    <n v="2281"/>
    <s v="14064052"/>
    <s v="14064052"/>
    <m/>
    <m/>
    <n v="22788366"/>
    <m/>
    <m/>
    <m/>
    <s v="SOLFIN"/>
    <s v="SOLFIN"/>
    <s v="CCMS"/>
    <n v="21349905"/>
    <n v="4899.44"/>
    <m/>
    <s v="N"/>
    <n v="15"/>
    <d v="2023-07-10T19:02:03"/>
    <s v="Y"/>
    <s v="Preparation - other"/>
    <s v="Prescribed Hourly Rates"/>
    <s v="Profit Cost"/>
    <s v="ROS"/>
    <s v="Y"/>
    <n v="12.63"/>
    <n v="2.53"/>
    <x v="2"/>
    <s v="VALIDATED"/>
    <n v="1"/>
    <s v="01.11.80.302.6100.0000"/>
    <n v="12.63"/>
    <s v="11"/>
    <s v="6100"/>
    <n v="43154.65"/>
    <n v="12.63"/>
    <s v="CREDITOR"/>
    <n v="0"/>
    <n v="0"/>
    <n v="0"/>
    <n v="0"/>
    <n v="12.63"/>
  </r>
  <r>
    <n v="14064052"/>
    <s v="N"/>
    <n v="21349905"/>
    <s v="3000007298400008"/>
    <s v="CIVIL"/>
    <d v="2023-06-29T00:00:00"/>
    <d v="2023-07-10T19:01:40"/>
    <m/>
    <d v="2023-07-10T00:00:00"/>
    <n v="924"/>
    <n v="2281"/>
    <s v="14064052"/>
    <s v="14064052"/>
    <m/>
    <m/>
    <n v="22788366"/>
    <m/>
    <m/>
    <m/>
    <s v="SOLFIN"/>
    <s v="SOLFIN"/>
    <s v="CCMS"/>
    <n v="21349905"/>
    <n v="4899.44"/>
    <m/>
    <s v="N"/>
    <n v="17"/>
    <d v="2023-07-10T19:02:03"/>
    <s v="Y"/>
    <s v="Preparation - other"/>
    <s v="Prescribed Hourly Rates"/>
    <s v="Profit Cost"/>
    <s v="ROS"/>
    <s v="Y"/>
    <n v="31.57"/>
    <n v="6.31"/>
    <x v="2"/>
    <s v="VALIDATED"/>
    <n v="1"/>
    <s v="01.11.80.302.6100.0000"/>
    <n v="31.57"/>
    <s v="11"/>
    <s v="6100"/>
    <n v="43154.65"/>
    <n v="31.57"/>
    <s v="CREDITOR"/>
    <n v="0"/>
    <n v="0"/>
    <n v="0"/>
    <n v="0"/>
    <n v="31.57"/>
  </r>
  <r>
    <n v="14064052"/>
    <s v="N"/>
    <n v="21349905"/>
    <s v="3000007298400008"/>
    <s v="CIVIL"/>
    <d v="2023-06-29T00:00:00"/>
    <d v="2023-07-10T19:01:40"/>
    <m/>
    <d v="2023-07-10T00:00:00"/>
    <n v="924"/>
    <n v="2281"/>
    <s v="14064052"/>
    <s v="14064052"/>
    <m/>
    <m/>
    <n v="22788366"/>
    <m/>
    <m/>
    <m/>
    <s v="SOLFIN"/>
    <s v="SOLFIN"/>
    <s v="CCMS"/>
    <n v="21349905"/>
    <n v="4899.44"/>
    <m/>
    <s v="N"/>
    <n v="18"/>
    <d v="2023-07-10T19:02:03"/>
    <s v="Y"/>
    <s v="Preparation - other"/>
    <s v="Prescribed Hourly Rates"/>
    <s v="Profit Cost"/>
    <s v="ROS"/>
    <s v="Y"/>
    <n v="37.88"/>
    <n v="7.58"/>
    <x v="2"/>
    <s v="VALIDATED"/>
    <n v="1"/>
    <s v="01.11.80.302.6100.0000"/>
    <n v="37.88"/>
    <s v="11"/>
    <s v="6100"/>
    <n v="43154.65"/>
    <n v="37.88"/>
    <s v="CREDITOR"/>
    <n v="0"/>
    <n v="0"/>
    <n v="0"/>
    <n v="0"/>
    <n v="37.88"/>
  </r>
  <r>
    <n v="61313803"/>
    <s v="N"/>
    <n v="21350025"/>
    <s v="3000015470000008"/>
    <s v="CIVIL"/>
    <d v="2023-06-29T00:00:00"/>
    <d v="2023-07-10T19:01:40"/>
    <m/>
    <d v="2023-07-10T00:00:00"/>
    <n v="924"/>
    <n v="2281"/>
    <s v="61313803"/>
    <s v="61313803"/>
    <m/>
    <m/>
    <n v="22789528"/>
    <m/>
    <m/>
    <m/>
    <s v="SOLFIN"/>
    <s v="SOLFIN"/>
    <s v="CCMS"/>
    <n v="21350025"/>
    <n v="6800.74"/>
    <m/>
    <s v="N"/>
    <n v="23"/>
    <d v="2023-07-10T19:02:09"/>
    <s v="Y"/>
    <s v="Preparation - other"/>
    <s v="Prescribed Hourly Rates"/>
    <s v="Profit Cost"/>
    <s v="RS"/>
    <s v="Y"/>
    <n v="6.31"/>
    <n v="1.26"/>
    <x v="2"/>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1"/>
    <d v="2023-07-11T11:51:09"/>
    <s v="Y"/>
    <s v="Preparation - drafting application"/>
    <s v="Prescribed Hourly Rates"/>
    <s v="Profit Cost"/>
    <s v="NPM"/>
    <s v="Y"/>
    <n v="54.9"/>
    <n v="10.98"/>
    <x v="7"/>
    <s v="VALIDATED"/>
    <n v="1"/>
    <s v="01.11.80.307.6100.0000"/>
    <n v="54.9"/>
    <s v="11"/>
    <s v="6100"/>
    <n v="43154.65"/>
    <n v="54.9"/>
    <s v="CREDITOR"/>
    <n v="0"/>
    <n v="0"/>
    <n v="0"/>
    <n v="0"/>
    <n v="54.9"/>
  </r>
  <r>
    <n v="8647673"/>
    <s v="N"/>
    <n v="21349284"/>
    <s v="3000004688890022"/>
    <s v="CIVIL"/>
    <d v="2023-06-27T00:00:00"/>
    <d v="2023-07-10T19:01:40"/>
    <m/>
    <d v="2023-07-10T00:00:00"/>
    <n v="924"/>
    <n v="2281"/>
    <s v="8647673"/>
    <s v="8647673"/>
    <m/>
    <m/>
    <n v="22771220"/>
    <m/>
    <m/>
    <m/>
    <s v="SOLFIN"/>
    <s v="SOLFIN"/>
    <s v="CCMS"/>
    <n v="21349284"/>
    <n v="14502.62"/>
    <m/>
    <s v="N"/>
    <n v="57"/>
    <d v="2023-07-10T19:01:43"/>
    <s v="Y"/>
    <s v="Preparation - drafting instructions"/>
    <s v="Prescribed Hourly Rates"/>
    <s v="Profit Cost"/>
    <s v="ROS"/>
    <s v="Y"/>
    <n v="37.06"/>
    <n v="7.41"/>
    <x v="2"/>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71"/>
    <d v="2023-07-10T19:01:43"/>
    <s v="Y"/>
    <s v="Preparation - other"/>
    <s v="Prescribed Hourly Rates"/>
    <s v="Profit Cost"/>
    <s v="ROS"/>
    <s v="Y"/>
    <n v="12.63"/>
    <n v="2.53"/>
    <x v="2"/>
    <s v="VALIDATED"/>
    <n v="1"/>
    <s v="01.11.80.307.6100.0000"/>
    <n v="12.63"/>
    <s v="11"/>
    <s v="6100"/>
    <n v="43154.65"/>
    <n v="12.63"/>
    <s v="CREDITOR"/>
    <n v="0"/>
    <n v="0"/>
    <n v="0"/>
    <n v="0"/>
    <n v="12.63"/>
  </r>
  <r>
    <n v="11594527"/>
    <s v="N"/>
    <n v="21337864"/>
    <s v="3000006991410004"/>
    <s v="CIVIL"/>
    <d v="2023-06-27T00:00:00"/>
    <d v="2023-07-06T19:21:01"/>
    <m/>
    <d v="2023-07-06T00:00:00"/>
    <n v="924"/>
    <n v="2281"/>
    <s v="11594527"/>
    <s v="11594527"/>
    <m/>
    <m/>
    <n v="22768496"/>
    <m/>
    <m/>
    <m/>
    <s v="SOLFIN"/>
    <s v="SOLFIN"/>
    <s v="CCMS"/>
    <n v="21337864"/>
    <n v="6756.82"/>
    <m/>
    <s v="N"/>
    <n v="49"/>
    <d v="2023-07-06T19:21:09"/>
    <s v="Y"/>
    <s v="Preparation - other"/>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54"/>
    <d v="2023-07-06T19:21:09"/>
    <s v="Y"/>
    <s v="Attendance upon client"/>
    <s v="Prescribed Hourly Rates"/>
    <s v="Profit Cost"/>
    <s v="RS"/>
    <s v="Y"/>
    <n v="111.17"/>
    <n v="22.23"/>
    <x v="4"/>
    <s v="VALIDATED"/>
    <n v="1"/>
    <s v="01.11.80.307.6100.0000"/>
    <n v="111.17"/>
    <s v="11"/>
    <s v="6100"/>
    <n v="43154.65"/>
    <n v="111.17"/>
    <s v="CREDITOR"/>
    <n v="0"/>
    <n v="0"/>
    <n v="0"/>
    <n v="0"/>
    <n v="111.17"/>
  </r>
  <r>
    <n v="11594527"/>
    <s v="N"/>
    <n v="21337864"/>
    <s v="3000006991410004"/>
    <s v="CIVIL"/>
    <d v="2023-06-27T00:00:00"/>
    <d v="2023-07-06T19:21:01"/>
    <m/>
    <d v="2023-07-06T00:00:00"/>
    <n v="924"/>
    <n v="2281"/>
    <s v="11594527"/>
    <s v="11594527"/>
    <m/>
    <m/>
    <n v="22768496"/>
    <m/>
    <m/>
    <m/>
    <s v="SOLFIN"/>
    <s v="SOLFIN"/>
    <s v="CCMS"/>
    <n v="21337864"/>
    <n v="6756.82"/>
    <m/>
    <s v="N"/>
    <n v="78"/>
    <d v="2023-07-06T19:21:09"/>
    <s v="Y"/>
    <s v="Preparation - other"/>
    <s v="Prescribed Hourly Rates"/>
    <s v="Profit Cost"/>
    <s v="RS"/>
    <s v="Y"/>
    <n v="74.12"/>
    <n v="14.82"/>
    <x v="4"/>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84"/>
    <d v="2023-07-06T19:21:09"/>
    <s v="Y"/>
    <s v="Preparation - other"/>
    <s v="Prescribed Hourly Rates"/>
    <s v="Profit Cost"/>
    <s v="RS"/>
    <s v="Y"/>
    <n v="6.31"/>
    <n v="1.26"/>
    <x v="4"/>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24"/>
    <d v="2023-07-11T11:51:09"/>
    <s v="Y"/>
    <s v="Preparation - drafting instructions"/>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100"/>
    <d v="2023-07-11T11:51:02"/>
    <s v="Y"/>
    <s v="Preparation - other"/>
    <s v="Prescribed Hourly Rates"/>
    <s v="Profit Cost"/>
    <s v="RS"/>
    <s v="Y"/>
    <n v="37.06"/>
    <n v="7.41"/>
    <x v="7"/>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83"/>
    <d v="2023-07-06T19:21:09"/>
    <s v="Y"/>
    <s v="Attendance upon client"/>
    <s v="Prescribed Hourly Rates"/>
    <s v="Profit Cost"/>
    <s v="RS"/>
    <s v="Y"/>
    <n v="37.06"/>
    <n v="7.41"/>
    <x v="4"/>
    <s v="VALIDATED"/>
    <n v="1"/>
    <s v="01.11.80.307.6100.0000"/>
    <n v="37.06"/>
    <s v="11"/>
    <s v="6100"/>
    <n v="43154.65"/>
    <n v="37.06"/>
    <s v="CREDITOR"/>
    <n v="0"/>
    <n v="0"/>
    <n v="0"/>
    <n v="0"/>
    <n v="37.06"/>
  </r>
  <r>
    <n v="6022968"/>
    <s v="N"/>
    <n v="21331042"/>
    <s v="3000002607450005"/>
    <s v="CIVIL"/>
    <d v="2023-06-23T00:00:00"/>
    <d v="2023-07-05T19:01:47"/>
    <m/>
    <d v="2023-07-05T00:00:00"/>
    <n v="924"/>
    <n v="2281"/>
    <s v="6022968"/>
    <s v="6022968"/>
    <m/>
    <m/>
    <n v="22748538"/>
    <m/>
    <m/>
    <m/>
    <s v="SOLFIN"/>
    <s v="SOLFIN"/>
    <s v="CCMS"/>
    <n v="21331042"/>
    <n v="2416.22"/>
    <m/>
    <s v="N"/>
    <n v="10"/>
    <d v="2023-07-05T19:02:03"/>
    <s v="Y"/>
    <s v="Attendance upon client"/>
    <s v="Prescribed Hourly Rates"/>
    <s v="Profit Cost"/>
    <s v="RS"/>
    <s v="Y"/>
    <n v="164.7"/>
    <n v="32.94"/>
    <x v="6"/>
    <s v="VALIDATED"/>
    <n v="1"/>
    <s v="01.11.80.307.6100.0000"/>
    <n v="164.7"/>
    <s v="11"/>
    <s v="6100"/>
    <n v="43154.65"/>
    <n v="164.7"/>
    <s v="CREDITOR"/>
    <n v="0"/>
    <n v="0"/>
    <n v="0"/>
    <n v="0"/>
    <n v="164.7"/>
  </r>
  <r>
    <n v="6022968"/>
    <s v="N"/>
    <n v="21331042"/>
    <s v="3000002607450005"/>
    <s v="CIVIL"/>
    <d v="2023-06-23T00:00:00"/>
    <d v="2023-07-05T19:01:47"/>
    <m/>
    <d v="2023-07-05T00:00:00"/>
    <n v="924"/>
    <n v="2281"/>
    <s v="6022968"/>
    <s v="6022968"/>
    <m/>
    <m/>
    <n v="22748538"/>
    <m/>
    <m/>
    <m/>
    <s v="SOLFIN"/>
    <s v="SOLFIN"/>
    <s v="CCMS"/>
    <n v="21331042"/>
    <n v="2416.22"/>
    <m/>
    <s v="N"/>
    <n v="16"/>
    <d v="2023-07-05T19:02:03"/>
    <s v="Y"/>
    <s v="Attendance upon client"/>
    <s v="Prescribed Hourly Rates"/>
    <s v="Profit Cost"/>
    <s v="RS"/>
    <s v="Y"/>
    <n v="109.8"/>
    <n v="21.96"/>
    <x v="6"/>
    <s v="VALIDATED"/>
    <n v="1"/>
    <s v="01.11.80.307.6100.0000"/>
    <n v="109.8"/>
    <s v="11"/>
    <s v="6100"/>
    <n v="43154.65"/>
    <n v="109.8"/>
    <s v="CREDITOR"/>
    <n v="0"/>
    <n v="0"/>
    <n v="0"/>
    <n v="0"/>
    <n v="109.8"/>
  </r>
  <r>
    <n v="60950874"/>
    <s v="N"/>
    <n v="21360551"/>
    <s v="3000015160760008"/>
    <s v="CIVIL"/>
    <d v="2023-06-30T00:00:00"/>
    <d v="2023-07-11T11:50:54"/>
    <m/>
    <d v="2023-07-11T00:00:00"/>
    <n v="924"/>
    <n v="2281"/>
    <s v="60950874"/>
    <s v="60950874"/>
    <m/>
    <m/>
    <n v="22794622"/>
    <m/>
    <m/>
    <m/>
    <s v="SOLFIN"/>
    <s v="SOLFIN"/>
    <s v="CCMS"/>
    <n v="21360551"/>
    <n v="11550.02"/>
    <m/>
    <s v="N"/>
    <n v="19"/>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68"/>
    <d v="2023-07-11T11:51:09"/>
    <s v="Y"/>
    <s v="Attendance upon client"/>
    <s v="Prescribed Hourly Rates"/>
    <s v="Profit Cost"/>
    <s v="RS"/>
    <s v="Y"/>
    <n v="49.41"/>
    <n v="9.880000000000001"/>
    <x v="7"/>
    <s v="VALIDATED"/>
    <n v="1"/>
    <s v="01.11.80.307.6100.0000"/>
    <n v="49.41"/>
    <s v="11"/>
    <s v="6100"/>
    <n v="43154.65"/>
    <n v="49.41"/>
    <s v="CREDITOR"/>
    <n v="0"/>
    <n v="0"/>
    <n v="0"/>
    <n v="0"/>
    <n v="49.41"/>
  </r>
  <r>
    <n v="60950874"/>
    <s v="N"/>
    <n v="21360551"/>
    <s v="3000015160760008"/>
    <s v="CIVIL"/>
    <d v="2023-06-30T00:00:00"/>
    <d v="2023-07-11T11:50:54"/>
    <m/>
    <d v="2023-07-11T00:00:00"/>
    <n v="924"/>
    <n v="2281"/>
    <s v="60950874"/>
    <s v="60950874"/>
    <m/>
    <m/>
    <n v="22794622"/>
    <m/>
    <m/>
    <m/>
    <s v="SOLFIN"/>
    <s v="SOLFIN"/>
    <s v="CCMS"/>
    <n v="21360551"/>
    <n v="11550.02"/>
    <m/>
    <s v="N"/>
    <n v="82"/>
    <d v="2023-07-11T11:51:09"/>
    <s v="Y"/>
    <s v="Attendance upon client"/>
    <s v="Prescribed Hourly Rates"/>
    <s v="Profit Cost"/>
    <s v="RS"/>
    <s v="Y"/>
    <n v="123.53"/>
    <n v="24.7"/>
    <x v="7"/>
    <s v="VALIDATED"/>
    <n v="1"/>
    <s v="01.11.80.307.6100.0000"/>
    <n v="123.53"/>
    <s v="11"/>
    <s v="6100"/>
    <n v="43154.65"/>
    <n v="123.53"/>
    <s v="CREDITOR"/>
    <n v="0"/>
    <n v="0"/>
    <n v="0"/>
    <n v="0"/>
    <n v="123.53"/>
  </r>
  <r>
    <n v="60950874"/>
    <s v="N"/>
    <n v="21360551"/>
    <s v="3000015160760008"/>
    <s v="CIVIL"/>
    <d v="2023-06-30T00:00:00"/>
    <d v="2023-07-11T11:50:54"/>
    <m/>
    <d v="2023-07-11T00:00:00"/>
    <n v="924"/>
    <n v="2281"/>
    <s v="60950874"/>
    <s v="60950874"/>
    <m/>
    <m/>
    <n v="22794622"/>
    <m/>
    <m/>
    <m/>
    <s v="SOLFIN"/>
    <s v="SOLFIN"/>
    <s v="CCMS"/>
    <n v="21360551"/>
    <n v="11550.02"/>
    <m/>
    <s v="N"/>
    <n v="94"/>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01"/>
    <d v="2023-07-11T11:51:09"/>
    <s v="Y"/>
    <s v="Attendance upon client"/>
    <s v="Prescribed Hourly Rates"/>
    <s v="Profit Cost"/>
    <s v="RS"/>
    <s v="Y"/>
    <n v="123.53"/>
    <n v="24.7"/>
    <x v="7"/>
    <s v="VALIDATED"/>
    <n v="1"/>
    <s v="01.11.80.307.6100.0000"/>
    <n v="123.53"/>
    <s v="11"/>
    <s v="6100"/>
    <n v="43154.65"/>
    <n v="123.53"/>
    <s v="CREDITOR"/>
    <n v="0"/>
    <n v="0"/>
    <n v="0"/>
    <n v="0"/>
    <n v="123.53"/>
  </r>
  <r>
    <n v="61313803"/>
    <s v="N"/>
    <n v="21350025"/>
    <s v="3000015470000008"/>
    <s v="CIVIL"/>
    <d v="2023-06-29T00:00:00"/>
    <d v="2023-07-10T19:01:40"/>
    <m/>
    <d v="2023-07-10T00:00:00"/>
    <n v="924"/>
    <n v="2281"/>
    <s v="61313803"/>
    <s v="61313803"/>
    <m/>
    <m/>
    <n v="22789528"/>
    <m/>
    <m/>
    <m/>
    <s v="SOLFIN"/>
    <s v="SOLFIN"/>
    <s v="CCMS"/>
    <n v="21350025"/>
    <n v="6800.74"/>
    <m/>
    <s v="N"/>
    <n v="25"/>
    <d v="2023-07-10T19:02:09"/>
    <s v="Y"/>
    <s v="Attendance upon client"/>
    <s v="Prescribed Hourly Rates"/>
    <s v="Profit Cost"/>
    <s v="RS"/>
    <s v="Y"/>
    <n v="74.12"/>
    <n v="14.82"/>
    <x v="2"/>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45"/>
    <d v="2023-07-06T19:21:09"/>
    <s v="Y"/>
    <s v="Preparation - other"/>
    <s v="Prescribed Hourly Rates"/>
    <s v="Profit Cost"/>
    <s v="RS"/>
    <s v="Y"/>
    <n v="74.12"/>
    <n v="14.82"/>
    <x v="4"/>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35"/>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72"/>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74"/>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66"/>
    <d v="2023-07-11T11:51:02"/>
    <s v="Y"/>
    <s v="Preparation - other"/>
    <s v="Prescribed Hourly Rates"/>
    <s v="Profit Cost"/>
    <s v="RS"/>
    <s v="Y"/>
    <n v="18.54"/>
    <n v="3.71"/>
    <x v="7"/>
    <s v="VALIDATED"/>
    <n v="1"/>
    <s v="01.11.80.307.6100.0000"/>
    <n v="18.54"/>
    <s v="11"/>
    <s v="6100"/>
    <n v="43154.65"/>
    <n v="18.54"/>
    <s v="CREDITOR"/>
    <n v="0"/>
    <n v="0"/>
    <n v="0"/>
    <n v="0"/>
    <n v="18.54"/>
  </r>
  <r>
    <n v="10004121"/>
    <s v="N"/>
    <n v="21360316"/>
    <s v="3000005900070010"/>
    <s v="CIVIL"/>
    <d v="2023-06-28T00:00:00"/>
    <d v="2023-07-11T11:50:54"/>
    <m/>
    <d v="2023-07-11T00:00:00"/>
    <n v="924"/>
    <n v="2281"/>
    <s v="10004121"/>
    <s v="10004121"/>
    <m/>
    <m/>
    <n v="22778134"/>
    <m/>
    <m/>
    <m/>
    <s v="SOLFIN"/>
    <s v="SOLFIN"/>
    <s v="CCMS"/>
    <n v="21360316"/>
    <n v="7425.76"/>
    <m/>
    <s v="N"/>
    <n v="97"/>
    <d v="2023-07-11T11:51:02"/>
    <s v="Y"/>
    <s v="Attendance upon other"/>
    <s v="Prescribed Hourly Rates"/>
    <s v="Profit Cost"/>
    <s v="NPM"/>
    <s v="Y"/>
    <n v="10.07"/>
    <n v="2.01"/>
    <x v="7"/>
    <s v="VALIDATED"/>
    <n v="1"/>
    <s v="01.11.80.307.6100.0000"/>
    <n v="10.07"/>
    <s v="11"/>
    <s v="6100"/>
    <n v="43154.65"/>
    <n v="10.07"/>
    <s v="CREDITOR"/>
    <n v="0"/>
    <n v="0"/>
    <n v="0"/>
    <n v="0"/>
    <n v="10.07"/>
  </r>
  <r>
    <n v="61313803"/>
    <s v="N"/>
    <n v="21350025"/>
    <s v="3000015470000008"/>
    <s v="CIVIL"/>
    <d v="2023-06-29T00:00:00"/>
    <d v="2023-07-10T19:01:40"/>
    <m/>
    <d v="2023-07-10T00:00:00"/>
    <n v="924"/>
    <n v="2281"/>
    <s v="61313803"/>
    <s v="61313803"/>
    <m/>
    <m/>
    <n v="22789528"/>
    <m/>
    <m/>
    <m/>
    <s v="SOLFIN"/>
    <s v="SOLFIN"/>
    <s v="CCMS"/>
    <n v="21350025"/>
    <n v="6800.74"/>
    <m/>
    <s v="N"/>
    <n v="29"/>
    <d v="2023-07-10T19:02:09"/>
    <s v="Y"/>
    <s v="Preparation - other"/>
    <s v="Prescribed Hourly Rates"/>
    <s v="Profit Cost"/>
    <s v="RS"/>
    <s v="Y"/>
    <n v="6.31"/>
    <n v="1.26"/>
    <x v="2"/>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67"/>
    <d v="2023-07-11T11:51:09"/>
    <s v="Y"/>
    <s v="Preparation - other"/>
    <s v="Prescribed Hourly Rates"/>
    <s v="Profit Cost"/>
    <s v="RS"/>
    <s v="Y"/>
    <n v="123.53"/>
    <n v="24.7"/>
    <x v="7"/>
    <s v="VALIDATED"/>
    <n v="1"/>
    <s v="01.11.80.307.6100.0000"/>
    <n v="123.53"/>
    <s v="11"/>
    <s v="6100"/>
    <n v="43154.65"/>
    <n v="123.53"/>
    <s v="CREDITOR"/>
    <n v="0"/>
    <n v="0"/>
    <n v="0"/>
    <n v="0"/>
    <n v="123.53"/>
  </r>
  <r>
    <n v="11594527"/>
    <s v="N"/>
    <n v="21337864"/>
    <s v="3000006991410004"/>
    <s v="CIVIL"/>
    <d v="2023-06-27T00:00:00"/>
    <d v="2023-07-06T19:21:01"/>
    <m/>
    <d v="2023-07-06T00:00:00"/>
    <n v="924"/>
    <n v="2281"/>
    <s v="11594527"/>
    <s v="11594527"/>
    <m/>
    <m/>
    <n v="22768496"/>
    <m/>
    <m/>
    <m/>
    <s v="SOLFIN"/>
    <s v="SOLFIN"/>
    <s v="CCMS"/>
    <n v="21337864"/>
    <n v="6756.82"/>
    <m/>
    <s v="N"/>
    <n v="68"/>
    <d v="2023-07-06T19:21:09"/>
    <s v="Y"/>
    <s v="Preparation - other"/>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70"/>
    <d v="2023-07-06T19:21:09"/>
    <s v="Y"/>
    <s v="Preparation - other"/>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21"/>
    <d v="2023-07-06T19:21:09"/>
    <s v="Y"/>
    <s v="Preparation - other"/>
    <s v="Prescribed Hourly Rates"/>
    <s v="Profit Cost"/>
    <s v="RS"/>
    <s v="Y"/>
    <n v="74.12"/>
    <n v="14.82"/>
    <x v="4"/>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20"/>
    <d v="2023-07-11T11:51:09"/>
    <s v="Y"/>
    <s v="Attendance upon client"/>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43"/>
    <d v="2023-07-11T11:51:02"/>
    <s v="Y"/>
    <s v="Preparation - drafting instructions"/>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114"/>
    <d v="2023-07-11T11:51:02"/>
    <s v="Y"/>
    <s v="Routine Telephone Call"/>
    <s v="Prescribed Hourly Rates"/>
    <s v="Profit Cost"/>
    <s v="RS"/>
    <s v="Y"/>
    <n v="62.1"/>
    <n v="12.42"/>
    <x v="7"/>
    <s v="VALIDATED"/>
    <n v="1"/>
    <s v="01.11.80.307.6100.0000"/>
    <n v="62.1"/>
    <s v="11"/>
    <s v="6100"/>
    <n v="43154.65"/>
    <n v="62.1"/>
    <s v="CREDITOR"/>
    <n v="0"/>
    <n v="0"/>
    <n v="0"/>
    <n v="0"/>
    <n v="62.1"/>
  </r>
  <r>
    <n v="10004121"/>
    <s v="N"/>
    <n v="21360316"/>
    <s v="3000005900070010"/>
    <s v="CIVIL"/>
    <d v="2023-06-28T00:00:00"/>
    <d v="2023-07-11T11:50:54"/>
    <m/>
    <d v="2023-07-11T00:00:00"/>
    <n v="924"/>
    <n v="2281"/>
    <s v="10004121"/>
    <s v="10004121"/>
    <m/>
    <m/>
    <n v="22778134"/>
    <m/>
    <m/>
    <m/>
    <s v="SOLFIN"/>
    <s v="SOLFIN"/>
    <s v="CCMS"/>
    <n v="21360316"/>
    <n v="7425.76"/>
    <m/>
    <s v="N"/>
    <n v="19"/>
    <d v="2023-07-11T11:51:02"/>
    <s v="Y"/>
    <s v="Preparation - other"/>
    <s v="Prescribed Hourly Rates"/>
    <s v="Profit Cost"/>
    <s v="NPM"/>
    <s v="Y"/>
    <n v="5.49"/>
    <n v="1.1"/>
    <x v="7"/>
    <s v="VALIDATED"/>
    <n v="1"/>
    <s v="01.11.80.307.6100.0000"/>
    <n v="5.49"/>
    <s v="11"/>
    <s v="6100"/>
    <n v="43154.65"/>
    <n v="5.49"/>
    <s v="CREDITOR"/>
    <n v="0"/>
    <n v="0"/>
    <n v="0"/>
    <n v="0"/>
    <n v="5.49"/>
  </r>
  <r>
    <n v="10004121"/>
    <s v="N"/>
    <n v="21360316"/>
    <s v="3000005900070010"/>
    <s v="CIVIL"/>
    <d v="2023-06-28T00:00:00"/>
    <d v="2023-07-11T11:50:54"/>
    <m/>
    <d v="2023-07-11T00:00:00"/>
    <n v="924"/>
    <n v="2281"/>
    <s v="10004121"/>
    <s v="10004121"/>
    <m/>
    <m/>
    <n v="22778134"/>
    <m/>
    <m/>
    <m/>
    <s v="SOLFIN"/>
    <s v="SOLFIN"/>
    <s v="CCMS"/>
    <n v="21360316"/>
    <n v="7425.76"/>
    <m/>
    <s v="N"/>
    <n v="26"/>
    <d v="2023-07-11T11:51:02"/>
    <s v="Y"/>
    <s v="Preparation - other"/>
    <s v="Prescribed Hourly Rates"/>
    <s v="Profit Cost"/>
    <s v="RS"/>
    <s v="Y"/>
    <n v="6.31"/>
    <n v="1.26"/>
    <x v="7"/>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26"/>
    <d v="2023-07-10T19:02:09"/>
    <s v="Y"/>
    <s v="Preparation - drafting statement"/>
    <s v="Prescribed Hourly Rates"/>
    <s v="Profit Cost"/>
    <s v="RS"/>
    <s v="Y"/>
    <n v="37.06"/>
    <n v="7.41"/>
    <x v="2"/>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37"/>
    <d v="2023-07-10T19:02:09"/>
    <s v="Y"/>
    <s v="Preparation - other"/>
    <s v="Prescribed Hourly Rates"/>
    <s v="Profit Cost"/>
    <s v="RS"/>
    <s v="Y"/>
    <n v="49.41"/>
    <n v="9.880000000000001"/>
    <x v="2"/>
    <s v="VALIDATED"/>
    <n v="1"/>
    <s v="01.11.80.307.6100.0000"/>
    <n v="49.41"/>
    <s v="11"/>
    <s v="6100"/>
    <n v="43154.65"/>
    <n v="49.41"/>
    <s v="CREDITOR"/>
    <n v="0"/>
    <n v="0"/>
    <n v="0"/>
    <n v="0"/>
    <n v="49.41"/>
  </r>
  <r>
    <n v="8647673"/>
    <s v="N"/>
    <n v="21349284"/>
    <s v="3000004688890022"/>
    <s v="CIVIL"/>
    <d v="2023-06-27T00:00:00"/>
    <d v="2023-07-10T19:01:40"/>
    <m/>
    <d v="2023-07-10T00:00:00"/>
    <n v="924"/>
    <n v="2281"/>
    <s v="8647673"/>
    <s v="8647673"/>
    <m/>
    <m/>
    <n v="22771220"/>
    <m/>
    <m/>
    <m/>
    <s v="SOLFIN"/>
    <s v="SOLFIN"/>
    <s v="CCMS"/>
    <n v="21349284"/>
    <n v="14502.62"/>
    <m/>
    <s v="N"/>
    <n v="58"/>
    <d v="2023-07-10T19:01:43"/>
    <s v="Y"/>
    <s v="Attendance upon client"/>
    <s v="Prescribed Hourly Rates"/>
    <s v="Profit Cost"/>
    <s v="ROS"/>
    <s v="Y"/>
    <n v="29.65"/>
    <n v="5.93"/>
    <x v="2"/>
    <s v="VALIDATED"/>
    <n v="1"/>
    <s v="01.11.80.307.6100.0000"/>
    <n v="29.65"/>
    <s v="11"/>
    <s v="6100"/>
    <n v="43154.65"/>
    <n v="29.65"/>
    <s v="CREDITOR"/>
    <n v="0"/>
    <n v="0"/>
    <n v="0"/>
    <n v="0"/>
    <n v="29.65"/>
  </r>
  <r>
    <n v="11594527"/>
    <s v="N"/>
    <n v="21337864"/>
    <s v="3000006991410004"/>
    <s v="CIVIL"/>
    <d v="2023-06-27T00:00:00"/>
    <d v="2023-07-06T19:21:01"/>
    <m/>
    <d v="2023-07-06T00:00:00"/>
    <n v="924"/>
    <n v="2281"/>
    <s v="11594527"/>
    <s v="11594527"/>
    <m/>
    <m/>
    <n v="22768496"/>
    <m/>
    <m/>
    <m/>
    <s v="SOLFIN"/>
    <s v="SOLFIN"/>
    <s v="CCMS"/>
    <n v="21337864"/>
    <n v="6756.82"/>
    <m/>
    <s v="N"/>
    <n v="86"/>
    <d v="2023-07-06T19:21:09"/>
    <s v="Y"/>
    <s v="Preparation - other"/>
    <s v="Prescribed Hourly Rates"/>
    <s v="Profit Cost"/>
    <s v="NPM"/>
    <s v="Y"/>
    <n v="5.49"/>
    <n v="1.1"/>
    <x v="4"/>
    <s v="VALIDATED"/>
    <n v="1"/>
    <s v="01.11.80.307.6100.0000"/>
    <n v="5.49"/>
    <s v="11"/>
    <s v="6100"/>
    <n v="43154.65"/>
    <n v="5.49"/>
    <s v="CREDITOR"/>
    <n v="0"/>
    <n v="0"/>
    <n v="0"/>
    <n v="0"/>
    <n v="5.49"/>
  </r>
  <r>
    <n v="11594527"/>
    <s v="N"/>
    <n v="21337864"/>
    <s v="3000006991410004"/>
    <s v="CIVIL"/>
    <d v="2023-06-27T00:00:00"/>
    <d v="2023-07-06T19:21:01"/>
    <m/>
    <d v="2023-07-06T00:00:00"/>
    <n v="924"/>
    <n v="2281"/>
    <s v="11594527"/>
    <s v="11594527"/>
    <m/>
    <m/>
    <n v="22768496"/>
    <m/>
    <m/>
    <m/>
    <s v="SOLFIN"/>
    <s v="SOLFIN"/>
    <s v="CCMS"/>
    <n v="21337864"/>
    <n v="6756.82"/>
    <m/>
    <s v="N"/>
    <n v="8"/>
    <d v="2023-07-06T19:21:09"/>
    <s v="Y"/>
    <s v="Preparation - other"/>
    <s v="Prescribed Hourly Rates"/>
    <s v="Profit Cost"/>
    <s v="RS"/>
    <s v="Y"/>
    <n v="148.23"/>
    <n v="29.64"/>
    <x v="4"/>
    <s v="VALIDATED"/>
    <n v="1"/>
    <s v="01.11.80.307.6100.0000"/>
    <n v="148.23"/>
    <s v="11"/>
    <s v="6100"/>
    <n v="43154.65"/>
    <n v="148.23"/>
    <s v="CREDITOR"/>
    <n v="0"/>
    <n v="0"/>
    <n v="0"/>
    <n v="0"/>
    <n v="148.23"/>
  </r>
  <r>
    <n v="11594527"/>
    <s v="N"/>
    <n v="21337864"/>
    <s v="3000006991410004"/>
    <s v="CIVIL"/>
    <d v="2023-06-27T00:00:00"/>
    <d v="2023-07-06T19:21:01"/>
    <m/>
    <d v="2023-07-06T00:00:00"/>
    <n v="924"/>
    <n v="2281"/>
    <s v="11594527"/>
    <s v="11594527"/>
    <m/>
    <m/>
    <n v="22768496"/>
    <m/>
    <m/>
    <m/>
    <s v="SOLFIN"/>
    <s v="SOLFIN"/>
    <s v="CCMS"/>
    <n v="21337864"/>
    <n v="6756.82"/>
    <m/>
    <s v="N"/>
    <n v="19"/>
    <d v="2023-07-06T19:21:09"/>
    <s v="Y"/>
    <s v="Attendance upon client"/>
    <s v="Prescribed Hourly Rates"/>
    <s v="Profit Cost"/>
    <s v="RS"/>
    <s v="Y"/>
    <n v="49.41"/>
    <n v="9.880000000000001"/>
    <x v="4"/>
    <s v="VALIDATED"/>
    <n v="1"/>
    <s v="01.11.80.307.6100.0000"/>
    <n v="49.41"/>
    <s v="11"/>
    <s v="6100"/>
    <n v="43154.65"/>
    <n v="49.41"/>
    <s v="CREDITOR"/>
    <n v="0"/>
    <n v="0"/>
    <n v="0"/>
    <n v="0"/>
    <n v="49.41"/>
  </r>
  <r>
    <n v="11594527"/>
    <s v="N"/>
    <n v="21337864"/>
    <s v="3000006991410004"/>
    <s v="CIVIL"/>
    <d v="2023-06-27T00:00:00"/>
    <d v="2023-07-06T19:21:01"/>
    <m/>
    <d v="2023-07-06T00:00:00"/>
    <n v="924"/>
    <n v="2281"/>
    <s v="11594527"/>
    <s v="11594527"/>
    <m/>
    <m/>
    <n v="22768496"/>
    <m/>
    <m/>
    <m/>
    <s v="SOLFIN"/>
    <s v="SOLFIN"/>
    <s v="CCMS"/>
    <n v="21337864"/>
    <n v="6756.82"/>
    <m/>
    <s v="N"/>
    <n v="23"/>
    <d v="2023-07-06T19:21:09"/>
    <s v="Y"/>
    <s v="Attendance upon client"/>
    <s v="Prescribed Hourly Rates"/>
    <s v="Profit Cost"/>
    <s v="RS"/>
    <s v="Y"/>
    <n v="74.12"/>
    <n v="14.82"/>
    <x v="4"/>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104"/>
    <d v="2023-07-11T11:51:09"/>
    <s v="Y"/>
    <s v="Preparation - other"/>
    <s v="Prescribed Hourly Rates"/>
    <s v="Profit Cost"/>
    <s v="RS"/>
    <s v="Y"/>
    <n v="222.35"/>
    <n v="44.47"/>
    <x v="7"/>
    <s v="VALIDATED"/>
    <n v="1"/>
    <s v="01.11.80.307.6100.0000"/>
    <n v="222.35"/>
    <s v="11"/>
    <s v="6100"/>
    <n v="43154.65"/>
    <n v="222.35"/>
    <s v="CREDITOR"/>
    <n v="0"/>
    <n v="0"/>
    <n v="0"/>
    <n v="0"/>
    <n v="222.35"/>
  </r>
  <r>
    <n v="10004121"/>
    <s v="N"/>
    <n v="21360316"/>
    <s v="3000005900070010"/>
    <s v="CIVIL"/>
    <d v="2023-06-28T00:00:00"/>
    <d v="2023-07-11T11:50:54"/>
    <m/>
    <d v="2023-07-11T00:00:00"/>
    <n v="924"/>
    <n v="2281"/>
    <s v="10004121"/>
    <s v="10004121"/>
    <m/>
    <m/>
    <n v="22778134"/>
    <m/>
    <m/>
    <m/>
    <s v="SOLFIN"/>
    <s v="SOLFIN"/>
    <s v="CCMS"/>
    <n v="21360316"/>
    <n v="7425.76"/>
    <m/>
    <s v="N"/>
    <n v="59"/>
    <d v="2023-07-11T11:51:02"/>
    <s v="Y"/>
    <s v="Preparation - other"/>
    <s v="Prescribed Hourly Rates"/>
    <s v="Profit Cost"/>
    <s v="RS"/>
    <s v="Y"/>
    <n v="6.31"/>
    <n v="1.26"/>
    <x v="7"/>
    <s v="VALIDATED"/>
    <n v="1"/>
    <s v="01.11.80.307.6100.0000"/>
    <n v="6.31"/>
    <s v="11"/>
    <s v="6100"/>
    <n v="43154.65"/>
    <n v="6.31"/>
    <s v="CREDITOR"/>
    <n v="0"/>
    <n v="0"/>
    <n v="0"/>
    <n v="0"/>
    <n v="6.31"/>
  </r>
  <r>
    <n v="14064052"/>
    <s v="N"/>
    <n v="21349905"/>
    <s v="3000007298400008"/>
    <s v="CIVIL"/>
    <d v="2023-06-29T00:00:00"/>
    <d v="2023-07-10T19:01:40"/>
    <m/>
    <d v="2023-07-10T00:00:00"/>
    <n v="924"/>
    <n v="2281"/>
    <s v="14064052"/>
    <s v="14064052"/>
    <m/>
    <m/>
    <n v="22788366"/>
    <m/>
    <m/>
    <m/>
    <s v="SOLFIN"/>
    <s v="SOLFIN"/>
    <s v="CCMS"/>
    <n v="21349905"/>
    <n v="4899.44"/>
    <m/>
    <s v="N"/>
    <n v="24"/>
    <d v="2023-07-10T19:02:03"/>
    <s v="Y"/>
    <s v="Attendance upon client"/>
    <s v="Prescribed Hourly Rates"/>
    <s v="Profit Cost"/>
    <s v="ROS"/>
    <s v="Y"/>
    <n v="94.7"/>
    <n v="18.94"/>
    <x v="2"/>
    <s v="VALIDATED"/>
    <n v="1"/>
    <s v="01.11.80.302.6100.0000"/>
    <n v="94.7"/>
    <s v="11"/>
    <s v="6100"/>
    <n v="43154.65"/>
    <n v="94.7"/>
    <s v="CREDITOR"/>
    <n v="0"/>
    <n v="0"/>
    <n v="0"/>
    <n v="0"/>
    <n v="94.7"/>
  </r>
  <r>
    <n v="61313803"/>
    <s v="N"/>
    <n v="21350025"/>
    <s v="3000015470000008"/>
    <s v="CIVIL"/>
    <d v="2023-06-29T00:00:00"/>
    <d v="2023-07-10T19:01:40"/>
    <m/>
    <d v="2023-07-10T00:00:00"/>
    <n v="924"/>
    <n v="2281"/>
    <s v="61313803"/>
    <s v="61313803"/>
    <m/>
    <m/>
    <n v="22789528"/>
    <m/>
    <m/>
    <m/>
    <s v="SOLFIN"/>
    <s v="SOLFIN"/>
    <s v="CCMS"/>
    <n v="21350025"/>
    <n v="6800.74"/>
    <m/>
    <s v="N"/>
    <n v="70"/>
    <d v="2023-07-10T19:02:09"/>
    <s v="Y"/>
    <s v="Preparation - drafting statement"/>
    <s v="Prescribed Hourly Rates"/>
    <s v="Profit Cost"/>
    <s v="RS"/>
    <s v="Y"/>
    <n v="37.06"/>
    <n v="7.41"/>
    <x v="2"/>
    <s v="VALIDATED"/>
    <n v="1"/>
    <s v="01.11.80.307.6100.0000"/>
    <n v="37.06"/>
    <s v="11"/>
    <s v="6100"/>
    <n v="43154.65"/>
    <n v="37.06"/>
    <s v="CREDITOR"/>
    <n v="0"/>
    <n v="0"/>
    <n v="0"/>
    <n v="0"/>
    <n v="37.06"/>
  </r>
  <r>
    <n v="14064052"/>
    <s v="N"/>
    <n v="21349905"/>
    <s v="3000007298400008"/>
    <s v="CIVIL"/>
    <d v="2023-06-29T00:00:00"/>
    <d v="2023-07-10T19:01:40"/>
    <m/>
    <d v="2023-07-10T00:00:00"/>
    <n v="924"/>
    <n v="2281"/>
    <s v="14064052"/>
    <s v="14064052"/>
    <m/>
    <m/>
    <n v="22788366"/>
    <m/>
    <m/>
    <m/>
    <s v="SOLFIN"/>
    <s v="SOLFIN"/>
    <s v="CCMS"/>
    <n v="21349905"/>
    <n v="4899.44"/>
    <m/>
    <s v="N"/>
    <n v="41"/>
    <d v="2023-07-10T19:02:03"/>
    <s v="Y"/>
    <s v="Preparation - drafting bill/claim f"/>
    <s v="Prescribed Hourly Rates"/>
    <s v="Profit Cost"/>
    <s v="CD"/>
    <s v="Y"/>
    <n v="192.15"/>
    <n v="38.43"/>
    <x v="2"/>
    <s v="VALIDATED"/>
    <n v="1"/>
    <s v="01.11.80.302.6100.0000"/>
    <n v="192.15"/>
    <s v="11"/>
    <s v="6100"/>
    <n v="43154.65"/>
    <n v="192.15"/>
    <s v="CREDITOR"/>
    <n v="0"/>
    <n v="0"/>
    <n v="0"/>
    <n v="0"/>
    <n v="192.15"/>
  </r>
  <r>
    <n v="14064052"/>
    <s v="N"/>
    <n v="21349905"/>
    <s v="3000007298400008"/>
    <s v="CIVIL"/>
    <d v="2023-06-29T00:00:00"/>
    <d v="2023-07-10T19:01:40"/>
    <m/>
    <d v="2023-07-10T00:00:00"/>
    <n v="924"/>
    <n v="2281"/>
    <s v="14064052"/>
    <s v="14064052"/>
    <m/>
    <m/>
    <n v="22788366"/>
    <m/>
    <m/>
    <m/>
    <s v="SOLFIN"/>
    <s v="SOLFIN"/>
    <s v="CCMS"/>
    <n v="21349905"/>
    <n v="4899.44"/>
    <m/>
    <s v="N"/>
    <n v="45"/>
    <d v="2023-07-10T19:02:03"/>
    <s v="Y"/>
    <s v="Routine Letter In"/>
    <s v="Prescribed Hourly Rates"/>
    <s v="Profit Cost"/>
    <s v="ROS"/>
    <s v="Y"/>
    <n v="326.03"/>
    <n v="65.20999999999999"/>
    <x v="2"/>
    <s v="VALIDATED"/>
    <n v="1"/>
    <s v="01.11.80.302.6100.0000"/>
    <n v="326.03"/>
    <s v="11"/>
    <s v="6100"/>
    <n v="43154.65"/>
    <n v="326.03"/>
    <s v="CREDITOR"/>
    <n v="0"/>
    <n v="0"/>
    <n v="0"/>
    <n v="0"/>
    <n v="326.03"/>
  </r>
  <r>
    <n v="8647673"/>
    <s v="N"/>
    <n v="21349284"/>
    <s v="3000004688890022"/>
    <s v="CIVIL"/>
    <d v="2023-06-27T00:00:00"/>
    <d v="2023-07-10T19:01:40"/>
    <m/>
    <d v="2023-07-10T00:00:00"/>
    <n v="924"/>
    <n v="2281"/>
    <s v="8647673"/>
    <s v="8647673"/>
    <m/>
    <m/>
    <n v="22771220"/>
    <m/>
    <m/>
    <m/>
    <s v="SOLFIN"/>
    <s v="SOLFIN"/>
    <s v="CCMS"/>
    <n v="21349284"/>
    <n v="14502.62"/>
    <m/>
    <s v="N"/>
    <n v="50"/>
    <d v="2023-07-10T19:01:43"/>
    <s v="Y"/>
    <s v="Preparation - other"/>
    <s v="Prescribed Hourly Rates"/>
    <s v="Profit Cost"/>
    <s v="ROS"/>
    <s v="Y"/>
    <n v="7.41"/>
    <n v="1.48"/>
    <x v="2"/>
    <s v="VALIDATED"/>
    <n v="1"/>
    <s v="01.11.80.307.6100.0000"/>
    <n v="7.41"/>
    <s v="11"/>
    <s v="6100"/>
    <n v="43154.65"/>
    <n v="7.41"/>
    <s v="CREDITOR"/>
    <n v="0"/>
    <n v="0"/>
    <n v="0"/>
    <n v="0"/>
    <n v="7.41"/>
  </r>
  <r>
    <n v="8647673"/>
    <s v="N"/>
    <n v="21349284"/>
    <s v="3000004688890022"/>
    <s v="CIVIL"/>
    <d v="2023-06-27T00:00:00"/>
    <d v="2023-07-10T19:01:40"/>
    <m/>
    <d v="2023-07-10T00:00:00"/>
    <n v="924"/>
    <n v="2281"/>
    <s v="8647673"/>
    <s v="8647673"/>
    <m/>
    <m/>
    <n v="22771220"/>
    <m/>
    <m/>
    <m/>
    <s v="SOLFIN"/>
    <s v="SOLFIN"/>
    <s v="CCMS"/>
    <n v="21349284"/>
    <n v="14502.62"/>
    <m/>
    <s v="N"/>
    <n v="51"/>
    <d v="2023-07-10T19:01:43"/>
    <s v="Y"/>
    <s v="Preparation - other"/>
    <s v="Prescribed Hourly Rates"/>
    <s v="Profit Cost"/>
    <s v="ROS"/>
    <s v="Y"/>
    <n v="14.82"/>
    <n v="2.96"/>
    <x v="2"/>
    <s v="VALIDATED"/>
    <n v="1"/>
    <s v="01.11.80.307.6100.0000"/>
    <n v="14.82"/>
    <s v="11"/>
    <s v="6100"/>
    <n v="43154.65"/>
    <n v="14.82"/>
    <s v="CREDITOR"/>
    <n v="0"/>
    <n v="0"/>
    <n v="0"/>
    <n v="0"/>
    <n v="14.82"/>
  </r>
  <r>
    <n v="62040026"/>
    <s v="N"/>
    <n v="21349914"/>
    <s v="3000016076260004"/>
    <s v="CIVIL"/>
    <d v="2023-06-30T00:00:00"/>
    <d v="2023-07-10T19:01:40"/>
    <m/>
    <d v="2023-07-10T00:00:00"/>
    <n v="924"/>
    <n v="2281"/>
    <s v="62040026"/>
    <s v="62040026"/>
    <m/>
    <m/>
    <n v="22794588"/>
    <m/>
    <m/>
    <m/>
    <s v="SOLFIN"/>
    <s v="SOLFIN"/>
    <s v="CCMS"/>
    <n v="21349914"/>
    <n v="1491.52"/>
    <m/>
    <s v="N"/>
    <n v="2"/>
    <d v="2023-07-10T19:02:03"/>
    <s v="Y"/>
    <s v="Hearing Unit 1.01 - 2.30 Hours"/>
    <s v="Private Law Finance"/>
    <s v="Advocacy"/>
    <s v="RS"/>
    <s v="Y"/>
    <n v="157.95"/>
    <n v="31.59"/>
    <x v="2"/>
    <s v="VALIDATED"/>
    <n v="1"/>
    <s v="01.11.80.302.6100.0000"/>
    <n v="157.95"/>
    <s v="11"/>
    <s v="6100"/>
    <n v="43154.65"/>
    <n v="157.95"/>
    <s v="CREDITOR"/>
    <n v="0"/>
    <n v="0"/>
    <n v="0"/>
    <n v="0"/>
    <n v="157.95"/>
  </r>
  <r>
    <n v="11594527"/>
    <s v="N"/>
    <n v="21337864"/>
    <s v="3000006991410004"/>
    <s v="CIVIL"/>
    <d v="2023-06-27T00:00:00"/>
    <d v="2023-07-06T19:21:01"/>
    <m/>
    <d v="2023-07-06T00:00:00"/>
    <n v="924"/>
    <n v="2281"/>
    <s v="11594527"/>
    <s v="11594527"/>
    <m/>
    <m/>
    <n v="22768496"/>
    <m/>
    <m/>
    <m/>
    <s v="SOLFIN"/>
    <s v="SOLFIN"/>
    <s v="CCMS"/>
    <n v="21337864"/>
    <n v="6756.82"/>
    <m/>
    <s v="N"/>
    <n v="50"/>
    <d v="2023-07-06T19:21:09"/>
    <s v="Y"/>
    <s v="Preparation - other"/>
    <s v="Prescribed Hourly Rates"/>
    <s v="Profit Cost"/>
    <s v="RS"/>
    <s v="Y"/>
    <n v="18.54"/>
    <n v="3.71"/>
    <x v="4"/>
    <s v="VALIDATED"/>
    <n v="1"/>
    <s v="01.11.80.307.6100.0000"/>
    <n v="18.54"/>
    <s v="11"/>
    <s v="6100"/>
    <n v="43154.65"/>
    <n v="18.54"/>
    <s v="CREDITOR"/>
    <n v="0"/>
    <n v="0"/>
    <n v="0"/>
    <n v="0"/>
    <n v="18.54"/>
  </r>
  <r>
    <n v="11594527"/>
    <s v="N"/>
    <n v="21337864"/>
    <s v="3000006991410004"/>
    <s v="CIVIL"/>
    <d v="2023-06-27T00:00:00"/>
    <d v="2023-07-06T19:21:01"/>
    <m/>
    <d v="2023-07-06T00:00:00"/>
    <n v="924"/>
    <n v="2281"/>
    <s v="11594527"/>
    <s v="11594527"/>
    <m/>
    <m/>
    <n v="22768496"/>
    <m/>
    <m/>
    <m/>
    <s v="SOLFIN"/>
    <s v="SOLFIN"/>
    <s v="CCMS"/>
    <n v="21337864"/>
    <n v="6756.82"/>
    <m/>
    <s v="N"/>
    <n v="41"/>
    <d v="2023-07-06T19:21:09"/>
    <s v="Y"/>
    <s v="Preparation - other"/>
    <s v="Prescribed Hourly Rates"/>
    <s v="Profit Cost"/>
    <s v="RS"/>
    <s v="Y"/>
    <n v="180.35"/>
    <n v="36.07"/>
    <x v="4"/>
    <s v="VALIDATED"/>
    <n v="1"/>
    <s v="01.11.80.307.6100.0000"/>
    <n v="180.35"/>
    <s v="11"/>
    <s v="6100"/>
    <n v="43154.65"/>
    <n v="180.35"/>
    <s v="CREDITOR"/>
    <n v="0"/>
    <n v="0"/>
    <n v="0"/>
    <n v="0"/>
    <n v="180.35"/>
  </r>
  <r>
    <n v="11594527"/>
    <s v="N"/>
    <n v="21337864"/>
    <s v="3000006991410004"/>
    <s v="CIVIL"/>
    <d v="2023-06-27T00:00:00"/>
    <d v="2023-07-06T19:21:01"/>
    <m/>
    <d v="2023-07-06T00:00:00"/>
    <n v="924"/>
    <n v="2281"/>
    <s v="11594527"/>
    <s v="11594527"/>
    <m/>
    <m/>
    <n v="22768496"/>
    <m/>
    <m/>
    <m/>
    <s v="SOLFIN"/>
    <s v="SOLFIN"/>
    <s v="CCMS"/>
    <n v="21337864"/>
    <n v="6756.82"/>
    <m/>
    <s v="N"/>
    <n v="4"/>
    <d v="2023-07-06T19:21:09"/>
    <s v="Y"/>
    <s v="Attendance upon client"/>
    <s v="Prescribed Hourly Rates"/>
    <s v="Profit Cost"/>
    <s v="RS"/>
    <s v="Y"/>
    <n v="74.12"/>
    <n v="14.82"/>
    <x v="4"/>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78"/>
    <d v="2023-07-11T11:51:09"/>
    <s v="Y"/>
    <s v="Preparation - other"/>
    <s v="Prescribed Hourly Rates"/>
    <s v="Profit Cost"/>
    <s v="RS"/>
    <s v="Y"/>
    <n v="14.82"/>
    <n v="2.96"/>
    <x v="7"/>
    <s v="VALIDATED"/>
    <n v="1"/>
    <s v="01.11.80.307.6100.0000"/>
    <n v="14.82"/>
    <s v="11"/>
    <s v="6100"/>
    <n v="43154.65"/>
    <n v="14.82"/>
    <s v="CREDITOR"/>
    <n v="0"/>
    <n v="0"/>
    <n v="0"/>
    <n v="0"/>
    <n v="14.82"/>
  </r>
  <r>
    <n v="10004121"/>
    <s v="N"/>
    <n v="21360316"/>
    <s v="3000005900070010"/>
    <s v="CIVIL"/>
    <d v="2023-06-28T00:00:00"/>
    <d v="2023-07-11T11:50:54"/>
    <m/>
    <d v="2023-07-11T00:00:00"/>
    <n v="924"/>
    <n v="2281"/>
    <s v="10004121"/>
    <s v="10004121"/>
    <m/>
    <m/>
    <n v="22778134"/>
    <m/>
    <m/>
    <m/>
    <s v="SOLFIN"/>
    <s v="SOLFIN"/>
    <s v="CCMS"/>
    <n v="21360316"/>
    <n v="7425.76"/>
    <m/>
    <s v="N"/>
    <n v="67"/>
    <d v="2023-07-11T11:51:02"/>
    <s v="Y"/>
    <s v="Preparation - other"/>
    <s v="Prescribed Hourly Rates"/>
    <s v="Profit Cost"/>
    <s v="NPM"/>
    <s v="Y"/>
    <n v="10.98"/>
    <n v="2.2"/>
    <x v="7"/>
    <s v="VALIDATED"/>
    <n v="1"/>
    <s v="01.11.80.307.6100.0000"/>
    <n v="10.98"/>
    <s v="11"/>
    <s v="6100"/>
    <n v="43154.65"/>
    <n v="10.98"/>
    <s v="CREDITOR"/>
    <n v="0"/>
    <n v="0"/>
    <n v="0"/>
    <n v="0"/>
    <n v="10.98"/>
  </r>
  <r>
    <n v="10004121"/>
    <s v="N"/>
    <n v="21360316"/>
    <s v="3000005900070010"/>
    <s v="CIVIL"/>
    <d v="2023-06-28T00:00:00"/>
    <d v="2023-07-11T11:50:54"/>
    <m/>
    <d v="2023-07-11T00:00:00"/>
    <n v="924"/>
    <n v="2281"/>
    <s v="10004121"/>
    <s v="10004121"/>
    <m/>
    <m/>
    <n v="22778134"/>
    <m/>
    <m/>
    <m/>
    <s v="SOLFIN"/>
    <s v="SOLFIN"/>
    <s v="CCMS"/>
    <n v="21360316"/>
    <n v="7425.76"/>
    <m/>
    <s v="N"/>
    <n v="3"/>
    <d v="2023-07-11T11:51:02"/>
    <s v="Y"/>
    <s v="Hearing Unit 0.00 - 1.00 Hours"/>
    <s v="Private Law Children"/>
    <s v="Advocacy"/>
    <s v="RS"/>
    <s v="Y"/>
    <n v="68.94"/>
    <n v="13.79"/>
    <x v="7"/>
    <s v="VALIDATED"/>
    <n v="1"/>
    <s v="01.11.80.307.6100.0000"/>
    <n v="68.94"/>
    <s v="11"/>
    <s v="6100"/>
    <n v="43154.65"/>
    <n v="68.94"/>
    <s v="CREDITOR"/>
    <n v="0"/>
    <n v="0"/>
    <n v="0"/>
    <n v="0"/>
    <n v="68.94"/>
  </r>
  <r>
    <n v="8647673"/>
    <s v="N"/>
    <n v="21349284"/>
    <s v="3000004688890022"/>
    <s v="CIVIL"/>
    <d v="2023-06-27T00:00:00"/>
    <d v="2023-07-10T19:01:40"/>
    <m/>
    <d v="2023-07-10T00:00:00"/>
    <n v="924"/>
    <n v="2281"/>
    <s v="8647673"/>
    <s v="8647673"/>
    <m/>
    <m/>
    <n v="22771220"/>
    <m/>
    <m/>
    <m/>
    <s v="SOLFIN"/>
    <s v="SOLFIN"/>
    <s v="CCMS"/>
    <n v="21349284"/>
    <n v="14502.62"/>
    <m/>
    <s v="N"/>
    <n v="12"/>
    <d v="2023-07-10T19:01:43"/>
    <s v="Y"/>
    <s v="Hearing Unit 1.01 - 2.30 Hours"/>
    <s v="Private Law Children"/>
    <s v="Advocacy"/>
    <s v="ROS"/>
    <s v="Y"/>
    <n v="172.4"/>
    <n v="34.48"/>
    <x v="2"/>
    <s v="VALIDATED"/>
    <n v="1"/>
    <s v="01.11.80.307.6100.0000"/>
    <n v="172.4"/>
    <s v="11"/>
    <s v="6100"/>
    <n v="43154.65"/>
    <n v="172.4"/>
    <s v="CREDITOR"/>
    <n v="0"/>
    <n v="0"/>
    <n v="0"/>
    <n v="0"/>
    <n v="172.4"/>
  </r>
  <r>
    <n v="8647673"/>
    <s v="N"/>
    <n v="21349284"/>
    <s v="3000004688890022"/>
    <s v="CIVIL"/>
    <d v="2023-06-27T00:00:00"/>
    <d v="2023-07-10T19:01:40"/>
    <m/>
    <d v="2023-07-10T00:00:00"/>
    <n v="924"/>
    <n v="2281"/>
    <s v="8647673"/>
    <s v="8647673"/>
    <m/>
    <m/>
    <n v="22771220"/>
    <m/>
    <m/>
    <m/>
    <s v="SOLFIN"/>
    <s v="SOLFIN"/>
    <s v="CCMS"/>
    <n v="21349284"/>
    <n v="14502.62"/>
    <m/>
    <s v="N"/>
    <n v="32"/>
    <d v="2023-07-10T19:01:43"/>
    <s v="Y"/>
    <s v="Preparation - other"/>
    <s v="Prescribed Hourly Rates"/>
    <s v="Profit Cost"/>
    <s v="ROS"/>
    <s v="Y"/>
    <n v="7.41"/>
    <n v="1.48"/>
    <x v="2"/>
    <s v="VALIDATED"/>
    <n v="1"/>
    <s v="01.11.80.307.6100.0000"/>
    <n v="7.41"/>
    <s v="11"/>
    <s v="6100"/>
    <n v="43154.65"/>
    <n v="7.41"/>
    <s v="CREDITOR"/>
    <n v="0"/>
    <n v="0"/>
    <n v="0"/>
    <n v="0"/>
    <n v="7.41"/>
  </r>
  <r>
    <n v="8647673"/>
    <s v="N"/>
    <n v="21349284"/>
    <s v="3000004688890022"/>
    <s v="CIVIL"/>
    <d v="2023-06-27T00:00:00"/>
    <d v="2023-07-10T19:01:40"/>
    <m/>
    <d v="2023-07-10T00:00:00"/>
    <n v="924"/>
    <n v="2281"/>
    <s v="8647673"/>
    <s v="8647673"/>
    <m/>
    <m/>
    <n v="22771220"/>
    <m/>
    <m/>
    <m/>
    <s v="SOLFIN"/>
    <s v="SOLFIN"/>
    <s v="CCMS"/>
    <n v="21349284"/>
    <n v="14502.62"/>
    <m/>
    <s v="N"/>
    <n v="82"/>
    <d v="2023-07-10T19:01:43"/>
    <s v="Y"/>
    <s v="Preparation - drafting notice(s)"/>
    <s v="Prescribed Hourly Rates"/>
    <s v="Profit Cost"/>
    <s v="ROS"/>
    <s v="Y"/>
    <n v="12.63"/>
    <n v="2.53"/>
    <x v="2"/>
    <s v="VALIDATED"/>
    <n v="1"/>
    <s v="01.11.80.307.6100.0000"/>
    <n v="12.63"/>
    <s v="11"/>
    <s v="6100"/>
    <n v="43154.65"/>
    <n v="12.63"/>
    <s v="CREDITOR"/>
    <n v="0"/>
    <n v="0"/>
    <n v="0"/>
    <n v="0"/>
    <n v="12.63"/>
  </r>
  <r>
    <n v="56409031"/>
    <s v="N"/>
    <n v="21349897"/>
    <s v="3000013405050005"/>
    <s v="CIVIL"/>
    <d v="2023-06-30T00:00:00"/>
    <d v="2023-07-10T19:01:40"/>
    <m/>
    <d v="2023-07-10T00:00:00"/>
    <n v="924"/>
    <n v="2281"/>
    <s v="56409031"/>
    <s v="56409031"/>
    <m/>
    <m/>
    <n v="22794626"/>
    <m/>
    <m/>
    <m/>
    <s v="SOLFIN"/>
    <s v="SOLFIN"/>
    <s v="CCMS"/>
    <n v="21349897"/>
    <n v="1432.16"/>
    <m/>
    <s v="N"/>
    <n v="1"/>
    <d v="2023-07-10T19:02:02"/>
    <s v="Y"/>
    <s v="Court Fee"/>
    <s v="Private Law Children"/>
    <s v="Non Expert Disbursement"/>
    <s v="XXX"/>
    <s v="Y"/>
    <n v="215"/>
    <n v="0"/>
    <x v="2"/>
    <s v="VALIDATED"/>
    <n v="1"/>
    <s v="01.11.80.307.6300.0000"/>
    <n v="215"/>
    <s v="11"/>
    <s v="6300"/>
    <n v="43154.65"/>
    <n v="215"/>
    <s v="CREDITOR"/>
    <n v="0"/>
    <n v="0"/>
    <n v="0"/>
    <n v="0"/>
    <n v="215"/>
  </r>
  <r>
    <n v="11594527"/>
    <s v="N"/>
    <n v="21337864"/>
    <s v="3000006991410004"/>
    <s v="CIVIL"/>
    <d v="2023-06-27T00:00:00"/>
    <d v="2023-07-06T19:21:01"/>
    <m/>
    <d v="2023-07-06T00:00:00"/>
    <n v="924"/>
    <n v="2281"/>
    <s v="11594527"/>
    <s v="11594527"/>
    <m/>
    <m/>
    <n v="22768496"/>
    <m/>
    <m/>
    <m/>
    <s v="SOLFIN"/>
    <s v="SOLFIN"/>
    <s v="CCMS"/>
    <n v="21337864"/>
    <n v="6756.82"/>
    <m/>
    <s v="N"/>
    <n v="87"/>
    <d v="2023-07-06T19:21:09"/>
    <s v="Y"/>
    <s v="Preparation - other"/>
    <s v="Prescribed Hourly Rates"/>
    <s v="Profit Cost"/>
    <s v="NPM"/>
    <s v="Y"/>
    <n v="10.98"/>
    <n v="2.2"/>
    <x v="4"/>
    <s v="VALIDATED"/>
    <n v="1"/>
    <s v="01.11.80.307.6100.0000"/>
    <n v="10.98"/>
    <s v="11"/>
    <s v="6100"/>
    <n v="43154.65"/>
    <n v="10.98"/>
    <s v="CREDITOR"/>
    <n v="0"/>
    <n v="0"/>
    <n v="0"/>
    <n v="0"/>
    <n v="10.98"/>
  </r>
  <r>
    <n v="62414620"/>
    <s v="N"/>
    <n v="21327577"/>
    <s v="3000016387190001"/>
    <s v="CIVIL"/>
    <d v="2023-06-30T00:00:00"/>
    <d v="2023-07-04T19:00:44"/>
    <m/>
    <d v="2023-07-04T00:00:00"/>
    <n v="924"/>
    <n v="2281"/>
    <s v="62414620"/>
    <s v="62414620"/>
    <m/>
    <m/>
    <n v="22794038"/>
    <m/>
    <m/>
    <m/>
    <s v="SOLPOA"/>
    <s v="SOLPOA"/>
    <s v="CCMS"/>
    <n v="21327577"/>
    <n v="232"/>
    <m/>
    <s v="N"/>
    <n v="1"/>
    <d v="2023-07-04T19:00:50"/>
    <s v="N"/>
    <s v="Non Expert Disbursement - Private L"/>
    <s v="Non Expert Disbursement - Priv"/>
    <s v="Non Expert Disbursement"/>
    <s v="Richard Singh"/>
    <s v="N"/>
    <n v="232"/>
    <n v="0"/>
    <x v="1"/>
    <s v="VALIDATED"/>
    <n v="1"/>
    <s v="01.11.80.307.2012.0000"/>
    <n v="232"/>
    <s v="11"/>
    <s v="2012"/>
    <n v="43154.65"/>
    <n v="232"/>
    <s v="CREDITOR"/>
    <n v="232"/>
    <n v="0"/>
    <n v="0"/>
    <n v="0"/>
    <n v="0"/>
  </r>
  <r>
    <n v="60950874"/>
    <s v="N"/>
    <n v="21360551"/>
    <s v="3000015160760008"/>
    <s v="CIVIL"/>
    <d v="2023-06-30T00:00:00"/>
    <d v="2023-07-11T11:50:54"/>
    <m/>
    <d v="2023-07-11T00:00:00"/>
    <n v="924"/>
    <n v="2281"/>
    <s v="60950874"/>
    <s v="60950874"/>
    <m/>
    <m/>
    <n v="22794622"/>
    <m/>
    <m/>
    <m/>
    <s v="SOLFIN"/>
    <s v="SOLFIN"/>
    <s v="CCMS"/>
    <n v="21360551"/>
    <n v="11550.02"/>
    <m/>
    <s v="N"/>
    <n v="9"/>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23"/>
    <d v="2023-07-11T11:51:09"/>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34"/>
    <d v="2023-07-11T11:51:02"/>
    <s v="Y"/>
    <s v="Preparation - drafting statement"/>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63"/>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76"/>
    <d v="2023-07-11T11:51:02"/>
    <s v="Y"/>
    <s v="Preparation - other"/>
    <s v="Prescribed Hourly Rates"/>
    <s v="Profit Cost"/>
    <s v="RS"/>
    <s v="Y"/>
    <n v="22.23"/>
    <n v="4.45"/>
    <x v="7"/>
    <s v="VALIDATED"/>
    <n v="1"/>
    <s v="01.11.80.307.6100.0000"/>
    <n v="22.23"/>
    <s v="11"/>
    <s v="6100"/>
    <n v="43154.65"/>
    <n v="22.23"/>
    <s v="CREDITOR"/>
    <n v="0"/>
    <n v="0"/>
    <n v="0"/>
    <n v="0"/>
    <n v="22.23"/>
  </r>
  <r>
    <n v="10004121"/>
    <s v="N"/>
    <n v="21360316"/>
    <s v="3000005900070010"/>
    <s v="CIVIL"/>
    <d v="2023-06-28T00:00:00"/>
    <d v="2023-07-11T11:50:54"/>
    <m/>
    <d v="2023-07-11T00:00:00"/>
    <n v="924"/>
    <n v="2281"/>
    <s v="10004121"/>
    <s v="10004121"/>
    <m/>
    <m/>
    <n v="22778134"/>
    <m/>
    <m/>
    <m/>
    <s v="SOLFIN"/>
    <s v="SOLFIN"/>
    <s v="CCMS"/>
    <n v="21360316"/>
    <n v="7425.76"/>
    <m/>
    <s v="N"/>
    <n v="24"/>
    <d v="2023-07-11T11:51:02"/>
    <s v="Y"/>
    <s v="Preparation - other"/>
    <s v="Prescribed Hourly Rates"/>
    <s v="Profit Cost"/>
    <s v="NPM"/>
    <s v="Y"/>
    <n v="27.45"/>
    <n v="5.49"/>
    <x v="7"/>
    <s v="VALIDATED"/>
    <n v="1"/>
    <s v="01.11.80.307.6100.0000"/>
    <n v="27.45"/>
    <s v="11"/>
    <s v="6100"/>
    <n v="43154.65"/>
    <n v="27.45"/>
    <s v="CREDITOR"/>
    <n v="0"/>
    <n v="0"/>
    <n v="0"/>
    <n v="0"/>
    <n v="27.45"/>
  </r>
  <r>
    <n v="61313803"/>
    <s v="N"/>
    <n v="21350025"/>
    <s v="3000015470000008"/>
    <s v="CIVIL"/>
    <d v="2023-06-29T00:00:00"/>
    <d v="2023-07-10T19:01:40"/>
    <m/>
    <d v="2023-07-10T00:00:00"/>
    <n v="924"/>
    <n v="2281"/>
    <s v="61313803"/>
    <s v="61313803"/>
    <m/>
    <m/>
    <n v="22789528"/>
    <m/>
    <m/>
    <m/>
    <s v="SOLFIN"/>
    <s v="SOLFIN"/>
    <s v="CCMS"/>
    <n v="21350025"/>
    <n v="6800.74"/>
    <m/>
    <s v="N"/>
    <n v="60"/>
    <d v="2023-07-10T19:02:09"/>
    <s v="Y"/>
    <s v="Attendance upon client"/>
    <s v="Prescribed Hourly Rates"/>
    <s v="Profit Cost"/>
    <s v="RS"/>
    <s v="Y"/>
    <n v="148.23"/>
    <n v="29.64"/>
    <x v="2"/>
    <s v="VALIDATED"/>
    <n v="1"/>
    <s v="01.11.80.307.6100.0000"/>
    <n v="148.23"/>
    <s v="11"/>
    <s v="6100"/>
    <n v="43154.65"/>
    <n v="148.23"/>
    <s v="CREDITOR"/>
    <n v="0"/>
    <n v="0"/>
    <n v="0"/>
    <n v="0"/>
    <n v="148.23"/>
  </r>
  <r>
    <n v="61313803"/>
    <s v="N"/>
    <n v="21350025"/>
    <s v="3000015470000008"/>
    <s v="CIVIL"/>
    <d v="2023-06-29T00:00:00"/>
    <d v="2023-07-10T19:01:40"/>
    <m/>
    <d v="2023-07-10T00:00:00"/>
    <n v="924"/>
    <n v="2281"/>
    <s v="61313803"/>
    <s v="61313803"/>
    <m/>
    <m/>
    <n v="22789528"/>
    <m/>
    <m/>
    <m/>
    <s v="SOLFIN"/>
    <s v="SOLFIN"/>
    <s v="CCMS"/>
    <n v="21350025"/>
    <n v="6800.74"/>
    <m/>
    <s v="N"/>
    <n v="82"/>
    <d v="2023-07-10T19:02:09"/>
    <s v="Y"/>
    <s v="Preparation - other"/>
    <s v="Prescribed Hourly Rates"/>
    <s v="Profit Cost"/>
    <s v="NPM"/>
    <s v="Y"/>
    <n v="16.47"/>
    <n v="3.29"/>
    <x v="2"/>
    <s v="VALIDATED"/>
    <n v="1"/>
    <s v="01.11.80.307.6100.0000"/>
    <n v="16.47"/>
    <s v="11"/>
    <s v="6100"/>
    <n v="43154.65"/>
    <n v="16.47"/>
    <s v="CREDITOR"/>
    <n v="0"/>
    <n v="0"/>
    <n v="0"/>
    <n v="0"/>
    <n v="16.47"/>
  </r>
  <r>
    <n v="8647673"/>
    <s v="N"/>
    <n v="21349284"/>
    <s v="3000004688890022"/>
    <s v="CIVIL"/>
    <d v="2023-06-27T00:00:00"/>
    <d v="2023-07-10T19:01:40"/>
    <m/>
    <d v="2023-07-10T00:00:00"/>
    <n v="924"/>
    <n v="2281"/>
    <s v="8647673"/>
    <s v="8647673"/>
    <m/>
    <m/>
    <n v="22771220"/>
    <m/>
    <m/>
    <m/>
    <s v="SOLFIN"/>
    <s v="SOLFIN"/>
    <s v="CCMS"/>
    <n v="21349284"/>
    <n v="14502.62"/>
    <m/>
    <s v="N"/>
    <n v="49"/>
    <d v="2023-07-10T19:01:43"/>
    <s v="Y"/>
    <s v="Preparation - other"/>
    <s v="Prescribed Hourly Rates"/>
    <s v="Profit Cost"/>
    <s v="ROS"/>
    <s v="Y"/>
    <n v="279.17"/>
    <n v="55.83"/>
    <x v="2"/>
    <s v="VALIDATED"/>
    <n v="1"/>
    <s v="01.11.80.307.6100.0000"/>
    <n v="279.17"/>
    <s v="11"/>
    <s v="6100"/>
    <n v="43154.65"/>
    <n v="279.17"/>
    <s v="CREDITOR"/>
    <n v="0"/>
    <n v="0"/>
    <n v="0"/>
    <n v="0"/>
    <n v="279.17"/>
  </r>
  <r>
    <n v="60950874"/>
    <s v="N"/>
    <n v="21360551"/>
    <s v="3000015160760008"/>
    <s v="CIVIL"/>
    <d v="2023-06-30T00:00:00"/>
    <d v="2023-07-11T11:50:54"/>
    <m/>
    <d v="2023-07-11T00:00:00"/>
    <n v="924"/>
    <n v="2281"/>
    <s v="60950874"/>
    <s v="60950874"/>
    <m/>
    <m/>
    <n v="22794622"/>
    <m/>
    <m/>
    <m/>
    <s v="SOLFIN"/>
    <s v="SOLFIN"/>
    <s v="CCMS"/>
    <n v="21360551"/>
    <n v="11550.02"/>
    <m/>
    <s v="N"/>
    <n v="10"/>
    <d v="2023-07-11T11:51:09"/>
    <s v="Y"/>
    <s v="Preparation - other"/>
    <s v="Prescribed Hourly Rates"/>
    <s v="Profit Cost"/>
    <s v="NPM"/>
    <s v="Y"/>
    <n v="5.49"/>
    <n v="1.1"/>
    <x v="7"/>
    <s v="VALIDATED"/>
    <n v="1"/>
    <s v="01.11.80.307.6100.0000"/>
    <n v="5.49"/>
    <s v="11"/>
    <s v="6100"/>
    <n v="43154.65"/>
    <n v="5.49"/>
    <s v="CREDITOR"/>
    <n v="0"/>
    <n v="0"/>
    <n v="0"/>
    <n v="0"/>
    <n v="5.49"/>
  </r>
  <r>
    <n v="10004121"/>
    <s v="N"/>
    <n v="21360316"/>
    <s v="3000005900070010"/>
    <s v="CIVIL"/>
    <d v="2023-06-28T00:00:00"/>
    <d v="2023-07-11T11:50:54"/>
    <m/>
    <d v="2023-07-11T00:00:00"/>
    <n v="924"/>
    <n v="2281"/>
    <s v="10004121"/>
    <s v="10004121"/>
    <m/>
    <m/>
    <n v="22778134"/>
    <m/>
    <m/>
    <m/>
    <s v="SOLFIN"/>
    <s v="SOLFIN"/>
    <s v="CCMS"/>
    <n v="21360316"/>
    <n v="7425.76"/>
    <m/>
    <s v="N"/>
    <n v="2"/>
    <d v="2023-07-11T11:51:02"/>
    <s v="Y"/>
    <s v="Court Fee"/>
    <s v="Prescribed Hourly Rates"/>
    <s v="Non Expert Disbursement"/>
    <s v="XXX"/>
    <s v="Y"/>
    <n v="215"/>
    <n v="0"/>
    <x v="7"/>
    <s v="VALIDATED"/>
    <n v="1"/>
    <s v="01.11.80.307.6300.0000"/>
    <n v="215"/>
    <s v="11"/>
    <s v="6300"/>
    <n v="43154.65"/>
    <n v="215"/>
    <s v="CREDITOR"/>
    <n v="0"/>
    <n v="0"/>
    <n v="0"/>
    <n v="0"/>
    <n v="215"/>
  </r>
  <r>
    <n v="10004121"/>
    <s v="N"/>
    <n v="21360316"/>
    <s v="3000005900070010"/>
    <s v="CIVIL"/>
    <d v="2023-06-28T00:00:00"/>
    <d v="2023-07-11T11:50:54"/>
    <m/>
    <d v="2023-07-11T00:00:00"/>
    <n v="924"/>
    <n v="2281"/>
    <s v="10004121"/>
    <s v="10004121"/>
    <m/>
    <m/>
    <n v="22778134"/>
    <m/>
    <m/>
    <m/>
    <s v="SOLFIN"/>
    <s v="SOLFIN"/>
    <s v="CCMS"/>
    <n v="21360316"/>
    <n v="7425.76"/>
    <m/>
    <s v="N"/>
    <n v="38"/>
    <d v="2023-07-11T11:51:02"/>
    <s v="Y"/>
    <s v="Preparation - other"/>
    <s v="Prescribed Hourly Rates"/>
    <s v="Profit Cost"/>
    <s v="NPM"/>
    <s v="Y"/>
    <n v="16.47"/>
    <n v="3.29"/>
    <x v="7"/>
    <s v="VALIDATED"/>
    <n v="1"/>
    <s v="01.11.80.307.6100.0000"/>
    <n v="16.47"/>
    <s v="11"/>
    <s v="6100"/>
    <n v="43154.65"/>
    <n v="16.47"/>
    <s v="CREDITOR"/>
    <n v="0"/>
    <n v="0"/>
    <n v="0"/>
    <n v="0"/>
    <n v="16.47"/>
  </r>
  <r>
    <n v="14064052"/>
    <s v="N"/>
    <n v="21349905"/>
    <s v="3000007298400008"/>
    <s v="CIVIL"/>
    <d v="2023-06-29T00:00:00"/>
    <d v="2023-07-10T19:01:40"/>
    <m/>
    <d v="2023-07-10T00:00:00"/>
    <n v="924"/>
    <n v="2281"/>
    <s v="14064052"/>
    <s v="14064052"/>
    <m/>
    <m/>
    <n v="22788366"/>
    <m/>
    <m/>
    <m/>
    <s v="SOLFIN"/>
    <s v="SOLFIN"/>
    <s v="CCMS"/>
    <n v="21349905"/>
    <n v="4899.44"/>
    <m/>
    <s v="N"/>
    <n v="22"/>
    <d v="2023-07-10T19:02:03"/>
    <s v="Y"/>
    <s v="Preparation - drafting instructions"/>
    <s v="Prescribed Hourly Rates"/>
    <s v="Profit Cost"/>
    <s v="ROS"/>
    <s v="Y"/>
    <n v="94.7"/>
    <n v="18.94"/>
    <x v="2"/>
    <s v="VALIDATED"/>
    <n v="1"/>
    <s v="01.11.80.302.6100.0000"/>
    <n v="94.7"/>
    <s v="11"/>
    <s v="6100"/>
    <n v="43154.65"/>
    <n v="94.7"/>
    <s v="CREDITOR"/>
    <n v="0"/>
    <n v="0"/>
    <n v="0"/>
    <n v="0"/>
    <n v="94.7"/>
  </r>
  <r>
    <n v="61313803"/>
    <s v="N"/>
    <n v="21350025"/>
    <s v="3000015470000008"/>
    <s v="CIVIL"/>
    <d v="2023-06-29T00:00:00"/>
    <d v="2023-07-10T19:01:40"/>
    <m/>
    <d v="2023-07-10T00:00:00"/>
    <n v="924"/>
    <n v="2281"/>
    <s v="61313803"/>
    <s v="61313803"/>
    <m/>
    <m/>
    <n v="22789528"/>
    <m/>
    <m/>
    <m/>
    <s v="SOLFIN"/>
    <s v="SOLFIN"/>
    <s v="CCMS"/>
    <n v="21350025"/>
    <n v="6800.74"/>
    <m/>
    <s v="N"/>
    <n v="75"/>
    <d v="2023-07-10T19:02:09"/>
    <s v="Y"/>
    <s v="Preparation - other"/>
    <s v="Prescribed Hourly Rates"/>
    <s v="Profit Cost"/>
    <s v="NPM"/>
    <s v="Y"/>
    <n v="10.98"/>
    <n v="2.2"/>
    <x v="2"/>
    <s v="VALIDATED"/>
    <n v="1"/>
    <s v="01.11.80.307.6100.0000"/>
    <n v="10.98"/>
    <s v="11"/>
    <s v="6100"/>
    <n v="43154.65"/>
    <n v="10.98"/>
    <s v="CREDITOR"/>
    <n v="0"/>
    <n v="0"/>
    <n v="0"/>
    <n v="0"/>
    <n v="10.98"/>
  </r>
  <r>
    <n v="14064052"/>
    <s v="N"/>
    <n v="21349905"/>
    <s v="3000007298400008"/>
    <s v="CIVIL"/>
    <d v="2023-06-29T00:00:00"/>
    <d v="2023-07-10T19:01:40"/>
    <m/>
    <d v="2023-07-10T00:00:00"/>
    <n v="924"/>
    <n v="2281"/>
    <s v="14064052"/>
    <s v="14064052"/>
    <m/>
    <m/>
    <n v="22788366"/>
    <m/>
    <m/>
    <m/>
    <s v="SOLFIN"/>
    <s v="SOLFIN"/>
    <s v="CCMS"/>
    <n v="21349905"/>
    <n v="4899.44"/>
    <m/>
    <s v="N"/>
    <n v="42"/>
    <d v="2023-07-10T19:02:03"/>
    <s v="Y"/>
    <s v="Preparation - other"/>
    <s v="Prescribed Hourly Rates"/>
    <s v="Profit Cost"/>
    <s v="NPM"/>
    <s v="Y"/>
    <n v="16.47"/>
    <n v="3.29"/>
    <x v="2"/>
    <s v="VALIDATED"/>
    <n v="1"/>
    <s v="01.11.80.302.6100.0000"/>
    <n v="16.47"/>
    <s v="11"/>
    <s v="6100"/>
    <n v="43154.65"/>
    <n v="16.47"/>
    <s v="CREDITOR"/>
    <n v="0"/>
    <n v="0"/>
    <n v="0"/>
    <n v="0"/>
    <n v="16.47"/>
  </r>
  <r>
    <n v="8647673"/>
    <s v="N"/>
    <n v="21349284"/>
    <s v="3000004688890022"/>
    <s v="CIVIL"/>
    <d v="2023-06-27T00:00:00"/>
    <d v="2023-07-10T19:01:40"/>
    <m/>
    <d v="2023-07-10T00:00:00"/>
    <n v="924"/>
    <n v="2281"/>
    <s v="8647673"/>
    <s v="8647673"/>
    <m/>
    <m/>
    <n v="22771220"/>
    <m/>
    <m/>
    <m/>
    <s v="SOLFIN"/>
    <s v="SOLFIN"/>
    <s v="CCMS"/>
    <n v="21349284"/>
    <n v="14502.62"/>
    <m/>
    <s v="N"/>
    <n v="17"/>
    <d v="2023-07-10T19:01:43"/>
    <s v="Y"/>
    <s v="Hearing Unit 2.31 - 5.00 Hours"/>
    <s v="Private Law Children"/>
    <s v="Advocacy"/>
    <s v="ROS"/>
    <s v="Y"/>
    <n v="344.8"/>
    <n v="68.95999999999999"/>
    <x v="2"/>
    <s v="VALIDATED"/>
    <n v="1"/>
    <s v="01.11.80.307.6100.0000"/>
    <n v="344.8"/>
    <s v="11"/>
    <s v="6100"/>
    <n v="43154.65"/>
    <n v="344.8"/>
    <s v="CREDITOR"/>
    <n v="0"/>
    <n v="0"/>
    <n v="0"/>
    <n v="0"/>
    <n v="344.8"/>
  </r>
  <r>
    <n v="8647673"/>
    <s v="N"/>
    <n v="21349284"/>
    <s v="3000004688890022"/>
    <s v="CIVIL"/>
    <d v="2023-06-27T00:00:00"/>
    <d v="2023-07-10T19:01:40"/>
    <m/>
    <d v="2023-07-10T00:00:00"/>
    <n v="924"/>
    <n v="2281"/>
    <s v="8647673"/>
    <s v="8647673"/>
    <m/>
    <m/>
    <n v="22771220"/>
    <m/>
    <m/>
    <m/>
    <s v="SOLFIN"/>
    <s v="SOLFIN"/>
    <s v="CCMS"/>
    <n v="21349284"/>
    <n v="14502.62"/>
    <m/>
    <s v="N"/>
    <n v="37"/>
    <d v="2023-07-10T19:01:43"/>
    <s v="Y"/>
    <s v="Preparation - other"/>
    <s v="Prescribed Hourly Rates"/>
    <s v="Profit Cost"/>
    <s v="ROS"/>
    <s v="Y"/>
    <n v="25.25"/>
    <n v="5.05"/>
    <x v="2"/>
    <s v="VALIDATED"/>
    <n v="1"/>
    <s v="01.11.80.307.6100.0000"/>
    <n v="25.25"/>
    <s v="11"/>
    <s v="6100"/>
    <n v="43154.65"/>
    <n v="25.25"/>
    <s v="CREDITOR"/>
    <n v="0"/>
    <n v="0"/>
    <n v="0"/>
    <n v="0"/>
    <n v="25.25"/>
  </r>
  <r>
    <n v="11594527"/>
    <s v="N"/>
    <n v="21337864"/>
    <s v="3000006991410004"/>
    <s v="CIVIL"/>
    <d v="2023-06-27T00:00:00"/>
    <d v="2023-07-06T19:21:01"/>
    <m/>
    <d v="2023-07-06T00:00:00"/>
    <n v="924"/>
    <n v="2281"/>
    <s v="11594527"/>
    <s v="11594527"/>
    <m/>
    <m/>
    <n v="22768496"/>
    <m/>
    <m/>
    <m/>
    <s v="SOLFIN"/>
    <s v="SOLFIN"/>
    <s v="CCMS"/>
    <n v="21337864"/>
    <n v="6756.82"/>
    <m/>
    <s v="N"/>
    <n v="53"/>
    <d v="2023-07-06T19:21:09"/>
    <s v="Y"/>
    <s v="Preparation - other"/>
    <s v="Prescribed Hourly Rates"/>
    <s v="Profit Cost"/>
    <s v="RS"/>
    <s v="Y"/>
    <n v="31.57"/>
    <n v="6.31"/>
    <x v="4"/>
    <s v="VALIDATED"/>
    <n v="1"/>
    <s v="01.11.80.307.6100.0000"/>
    <n v="31.57"/>
    <s v="11"/>
    <s v="6100"/>
    <n v="43154.65"/>
    <n v="31.57"/>
    <s v="CREDITOR"/>
    <n v="0"/>
    <n v="0"/>
    <n v="0"/>
    <n v="0"/>
    <n v="31.57"/>
  </r>
  <r>
    <n v="11594527"/>
    <s v="N"/>
    <n v="21337864"/>
    <s v="3000006991410004"/>
    <s v="CIVIL"/>
    <d v="2023-06-27T00:00:00"/>
    <d v="2023-07-06T19:21:01"/>
    <m/>
    <d v="2023-07-06T00:00:00"/>
    <n v="924"/>
    <n v="2281"/>
    <s v="11594527"/>
    <s v="11594527"/>
    <m/>
    <m/>
    <n v="22768496"/>
    <m/>
    <m/>
    <m/>
    <s v="SOLFIN"/>
    <s v="SOLFIN"/>
    <s v="CCMS"/>
    <n v="21337864"/>
    <n v="6756.82"/>
    <m/>
    <s v="N"/>
    <n v="42"/>
    <d v="2023-07-06T19:21:09"/>
    <s v="Y"/>
    <s v="Preparation - other"/>
    <s v="Prescribed Hourly Rates"/>
    <s v="Profit Cost"/>
    <s v="RS"/>
    <s v="Y"/>
    <n v="14.82"/>
    <n v="2.96"/>
    <x v="4"/>
    <s v="VALIDATED"/>
    <n v="1"/>
    <s v="01.11.80.307.6100.0000"/>
    <n v="14.82"/>
    <s v="11"/>
    <s v="6100"/>
    <n v="43154.65"/>
    <n v="14.82"/>
    <s v="CREDITOR"/>
    <n v="0"/>
    <n v="0"/>
    <n v="0"/>
    <n v="0"/>
    <n v="14.82"/>
  </r>
  <r>
    <n v="10004121"/>
    <s v="N"/>
    <n v="21360316"/>
    <s v="3000005900070010"/>
    <s v="CIVIL"/>
    <d v="2023-06-28T00:00:00"/>
    <d v="2023-07-11T11:50:54"/>
    <m/>
    <d v="2023-07-11T00:00:00"/>
    <n v="924"/>
    <n v="2281"/>
    <s v="10004121"/>
    <s v="10004121"/>
    <m/>
    <m/>
    <n v="22778134"/>
    <m/>
    <m/>
    <m/>
    <s v="SOLFIN"/>
    <s v="SOLFIN"/>
    <s v="CCMS"/>
    <n v="21360316"/>
    <n v="7425.76"/>
    <m/>
    <s v="N"/>
    <n v="28"/>
    <d v="2023-07-11T11:51:02"/>
    <s v="Y"/>
    <s v="Attendance upon client"/>
    <s v="Prescribed Hourly Rates"/>
    <s v="Profit Cost"/>
    <s v="RS"/>
    <s v="Y"/>
    <n v="74.12"/>
    <n v="14.82"/>
    <x v="7"/>
    <s v="VALIDATED"/>
    <n v="1"/>
    <s v="01.11.80.307.6100.0000"/>
    <n v="74.12"/>
    <s v="11"/>
    <s v="6100"/>
    <n v="43154.65"/>
    <n v="74.12"/>
    <s v="CREDITOR"/>
    <n v="0"/>
    <n v="0"/>
    <n v="0"/>
    <n v="0"/>
    <n v="74.12"/>
  </r>
  <r>
    <n v="14064052"/>
    <s v="N"/>
    <n v="21349905"/>
    <s v="3000007298400008"/>
    <s v="CIVIL"/>
    <d v="2023-06-29T00:00:00"/>
    <d v="2023-07-10T19:01:40"/>
    <m/>
    <d v="2023-07-10T00:00:00"/>
    <n v="924"/>
    <n v="2281"/>
    <s v="14064052"/>
    <s v="14064052"/>
    <m/>
    <m/>
    <n v="22788366"/>
    <m/>
    <m/>
    <m/>
    <s v="SOLFIN"/>
    <s v="SOLFIN"/>
    <s v="CCMS"/>
    <n v="21349905"/>
    <n v="4899.44"/>
    <m/>
    <s v="N"/>
    <n v="11"/>
    <d v="2023-07-10T19:02:03"/>
    <s v="Y"/>
    <s v="Attendance upon client"/>
    <s v="Prescribed Hourly Rates"/>
    <s v="Profit Cost"/>
    <s v="ROS"/>
    <s v="Y"/>
    <n v="63.14"/>
    <n v="12.63"/>
    <x v="2"/>
    <s v="VALIDATED"/>
    <n v="1"/>
    <s v="01.11.80.302.6100.0000"/>
    <n v="63.14"/>
    <s v="11"/>
    <s v="6100"/>
    <n v="43154.65"/>
    <n v="63.14"/>
    <s v="CREDITOR"/>
    <n v="0"/>
    <n v="0"/>
    <n v="0"/>
    <n v="0"/>
    <n v="63.14"/>
  </r>
  <r>
    <n v="8647673"/>
    <s v="N"/>
    <n v="21349284"/>
    <s v="3000004688890022"/>
    <s v="CIVIL"/>
    <d v="2023-06-27T00:00:00"/>
    <d v="2023-07-10T19:01:40"/>
    <m/>
    <d v="2023-07-10T00:00:00"/>
    <n v="924"/>
    <n v="2281"/>
    <s v="8647673"/>
    <s v="8647673"/>
    <m/>
    <m/>
    <n v="22771220"/>
    <m/>
    <m/>
    <m/>
    <s v="SOLFIN"/>
    <s v="SOLFIN"/>
    <s v="CCMS"/>
    <n v="21349284"/>
    <n v="14502.62"/>
    <m/>
    <s v="N"/>
    <n v="55"/>
    <d v="2023-07-10T19:01:43"/>
    <s v="Y"/>
    <s v="Preparation - other"/>
    <s v="Prescribed Hourly Rates"/>
    <s v="Profit Cost"/>
    <s v="ROS"/>
    <s v="Y"/>
    <n v="7.41"/>
    <n v="1.48"/>
    <x v="2"/>
    <s v="VALIDATED"/>
    <n v="1"/>
    <s v="01.11.80.307.6100.0000"/>
    <n v="7.41"/>
    <s v="11"/>
    <s v="6100"/>
    <n v="43154.65"/>
    <n v="7.41"/>
    <s v="CREDITOR"/>
    <n v="0"/>
    <n v="0"/>
    <n v="0"/>
    <n v="0"/>
    <n v="7.41"/>
  </r>
  <r>
    <n v="8647673"/>
    <s v="N"/>
    <n v="21349284"/>
    <s v="3000004688890022"/>
    <s v="CIVIL"/>
    <d v="2023-06-27T00:00:00"/>
    <d v="2023-07-10T19:01:40"/>
    <m/>
    <d v="2023-07-10T00:00:00"/>
    <n v="924"/>
    <n v="2281"/>
    <s v="8647673"/>
    <s v="8647673"/>
    <m/>
    <m/>
    <n v="22771220"/>
    <m/>
    <m/>
    <m/>
    <s v="SOLFIN"/>
    <s v="SOLFIN"/>
    <s v="CCMS"/>
    <n v="21349284"/>
    <n v="14502.62"/>
    <m/>
    <s v="N"/>
    <n v="108"/>
    <d v="2023-07-10T19:01:43"/>
    <s v="Y"/>
    <s v="Attendance upon client"/>
    <s v="Prescribed Hourly Rates"/>
    <s v="Profit Cost"/>
    <s v="ROS"/>
    <s v="Y"/>
    <n v="111.17"/>
    <n v="22.23"/>
    <x v="2"/>
    <s v="VALIDATED"/>
    <n v="1"/>
    <s v="01.11.80.307.6100.0000"/>
    <n v="111.17"/>
    <s v="11"/>
    <s v="6100"/>
    <n v="43154.65"/>
    <n v="111.17"/>
    <s v="CREDITOR"/>
    <n v="0"/>
    <n v="0"/>
    <n v="0"/>
    <n v="0"/>
    <n v="111.17"/>
  </r>
  <r>
    <n v="61313803"/>
    <s v="N"/>
    <n v="21350025"/>
    <s v="3000015470000008"/>
    <s v="CIVIL"/>
    <d v="2023-06-29T00:00:00"/>
    <d v="2023-07-10T19:01:40"/>
    <m/>
    <d v="2023-07-10T00:00:00"/>
    <n v="924"/>
    <n v="2281"/>
    <s v="61313803"/>
    <s v="61313803"/>
    <m/>
    <m/>
    <n v="22789528"/>
    <m/>
    <m/>
    <m/>
    <s v="SOLFIN"/>
    <s v="SOLFIN"/>
    <s v="CCMS"/>
    <n v="21350025"/>
    <n v="6800.74"/>
    <m/>
    <s v="N"/>
    <n v="71"/>
    <d v="2023-07-10T19:02:09"/>
    <s v="Y"/>
    <s v="Preparation - other"/>
    <s v="Prescribed Hourly Rates"/>
    <s v="Profit Cost"/>
    <s v="RS"/>
    <s v="Y"/>
    <n v="195.17"/>
    <n v="39.03"/>
    <x v="2"/>
    <s v="VALIDATED"/>
    <n v="1"/>
    <s v="01.11.80.307.6100.0000"/>
    <n v="195.17"/>
    <s v="11"/>
    <s v="6100"/>
    <n v="43154.65"/>
    <n v="195.17"/>
    <s v="CREDITOR"/>
    <n v="0"/>
    <n v="0"/>
    <n v="0"/>
    <n v="0"/>
    <n v="195.17"/>
  </r>
  <r>
    <n v="43603550"/>
    <s v="N"/>
    <n v="21349979"/>
    <s v="3000011467990003"/>
    <s v="CIVIL"/>
    <d v="2023-06-30T00:00:00"/>
    <d v="2023-07-10T19:01:40"/>
    <m/>
    <d v="2023-07-10T00:00:00"/>
    <n v="924"/>
    <n v="2281"/>
    <s v="43603550"/>
    <s v="43603550"/>
    <m/>
    <m/>
    <n v="22798362"/>
    <m/>
    <m/>
    <m/>
    <s v="SOLFIN"/>
    <s v="SOLFIN"/>
    <s v="CCMS"/>
    <n v="21349979"/>
    <n v="1231.93"/>
    <m/>
    <s v="N"/>
    <n v="2"/>
    <d v="2023-07-10T19:02:06"/>
    <s v="Y"/>
    <s v="Process server"/>
    <s v="Domestic Abuse"/>
    <s v="Expert Disbursement"/>
    <s v="ROS"/>
    <s v="Y"/>
    <n v="60.45"/>
    <n v="0"/>
    <x v="2"/>
    <s v="VALIDATED"/>
    <n v="1"/>
    <s v="01.11.80.302.6300.0000"/>
    <n v="60.45"/>
    <s v="11"/>
    <s v="6300"/>
    <n v="43154.65"/>
    <n v="60.45"/>
    <s v="CREDITOR"/>
    <n v="0"/>
    <n v="0"/>
    <n v="0"/>
    <n v="0"/>
    <n v="60.45"/>
  </r>
  <r>
    <n v="8647673"/>
    <s v="N"/>
    <n v="21349284"/>
    <s v="3000004688890022"/>
    <s v="CIVIL"/>
    <d v="2023-06-27T00:00:00"/>
    <d v="2023-07-10T19:01:40"/>
    <m/>
    <d v="2023-07-10T00:00:00"/>
    <n v="924"/>
    <n v="2281"/>
    <s v="8647673"/>
    <s v="8647673"/>
    <m/>
    <m/>
    <n v="22771220"/>
    <m/>
    <m/>
    <m/>
    <s v="SOLFIN"/>
    <s v="SOLFIN"/>
    <s v="CCMS"/>
    <n v="21349284"/>
    <n v="14502.62"/>
    <m/>
    <s v="N"/>
    <n v="6"/>
    <d v="2023-07-10T19:01:43"/>
    <s v="Y"/>
    <s v="Court Fee"/>
    <s v="Prescribed Hourly Rates"/>
    <s v="Non Expert Disbursement"/>
    <s v="XXX"/>
    <s v="Y"/>
    <n v="215"/>
    <n v="0"/>
    <x v="2"/>
    <s v="VALIDATED"/>
    <n v="1"/>
    <s v="01.11.80.307.6300.0000"/>
    <n v="215"/>
    <s v="11"/>
    <s v="6300"/>
    <n v="43154.65"/>
    <n v="215"/>
    <s v="CREDITOR"/>
    <n v="0"/>
    <n v="0"/>
    <n v="0"/>
    <n v="0"/>
    <n v="215"/>
  </r>
  <r>
    <n v="11594527"/>
    <s v="N"/>
    <n v="21337864"/>
    <s v="3000006991410004"/>
    <s v="CIVIL"/>
    <d v="2023-06-27T00:00:00"/>
    <d v="2023-07-06T19:21:01"/>
    <m/>
    <d v="2023-07-06T00:00:00"/>
    <n v="924"/>
    <n v="2281"/>
    <s v="11594527"/>
    <s v="11594527"/>
    <m/>
    <m/>
    <n v="22768496"/>
    <m/>
    <m/>
    <m/>
    <s v="SOLFIN"/>
    <s v="SOLFIN"/>
    <s v="CCMS"/>
    <n v="21337864"/>
    <n v="6756.82"/>
    <m/>
    <s v="N"/>
    <n v="26"/>
    <d v="2023-07-06T19:21:09"/>
    <s v="Y"/>
    <s v="Attendance upon client"/>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38"/>
    <d v="2023-07-06T19:21:09"/>
    <s v="Y"/>
    <s v="Attendance upon client"/>
    <s v="Prescribed Hourly Rates"/>
    <s v="Profit Cost"/>
    <s v="RS"/>
    <s v="Y"/>
    <n v="74.12"/>
    <n v="14.82"/>
    <x v="4"/>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92"/>
    <d v="2023-07-06T19:21:09"/>
    <s v="Y"/>
    <s v="Preparation - other"/>
    <s v="Prescribed Hourly Rates"/>
    <s v="Profit Cost"/>
    <s v="NPM"/>
    <s v="Y"/>
    <n v="27.45"/>
    <n v="5.49"/>
    <x v="4"/>
    <s v="VALIDATED"/>
    <n v="1"/>
    <s v="01.11.80.307.6100.0000"/>
    <n v="27.45"/>
    <s v="11"/>
    <s v="6100"/>
    <n v="43154.65"/>
    <n v="27.45"/>
    <s v="CREDITOR"/>
    <n v="0"/>
    <n v="0"/>
    <n v="0"/>
    <n v="0"/>
    <n v="27.45"/>
  </r>
  <r>
    <n v="11594527"/>
    <s v="N"/>
    <n v="21337864"/>
    <s v="3000006991410004"/>
    <s v="CIVIL"/>
    <d v="2023-06-27T00:00:00"/>
    <d v="2023-07-06T19:21:01"/>
    <m/>
    <d v="2023-07-06T00:00:00"/>
    <n v="924"/>
    <n v="2281"/>
    <s v="11594527"/>
    <s v="11594527"/>
    <m/>
    <m/>
    <n v="22768496"/>
    <m/>
    <m/>
    <m/>
    <s v="SOLFIN"/>
    <s v="SOLFIN"/>
    <s v="CCMS"/>
    <n v="21337864"/>
    <n v="6756.82"/>
    <m/>
    <s v="N"/>
    <n v="20"/>
    <d v="2023-07-06T19:21:09"/>
    <s v="Y"/>
    <s v="Preparation - other"/>
    <s v="Prescribed Hourly Rates"/>
    <s v="Profit Cost"/>
    <s v="RS"/>
    <s v="Y"/>
    <n v="6.31"/>
    <n v="1.26"/>
    <x v="4"/>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17"/>
    <d v="2023-07-11T11:51:09"/>
    <s v="Y"/>
    <s v="Attendance upon client"/>
    <s v="Prescribed Hourly Rates"/>
    <s v="Profit Cost"/>
    <s v="RS"/>
    <s v="Y"/>
    <n v="148.23"/>
    <n v="29.64"/>
    <x v="7"/>
    <s v="VALIDATED"/>
    <n v="1"/>
    <s v="01.11.80.307.6100.0000"/>
    <n v="148.23"/>
    <s v="11"/>
    <s v="6100"/>
    <n v="43154.65"/>
    <n v="148.23"/>
    <s v="CREDITOR"/>
    <n v="0"/>
    <n v="0"/>
    <n v="0"/>
    <n v="0"/>
    <n v="148.23"/>
  </r>
  <r>
    <n v="10004121"/>
    <s v="N"/>
    <n v="21360316"/>
    <s v="3000005900070010"/>
    <s v="CIVIL"/>
    <d v="2023-06-28T00:00:00"/>
    <d v="2023-07-11T11:50:54"/>
    <m/>
    <d v="2023-07-11T00:00:00"/>
    <n v="924"/>
    <n v="2281"/>
    <s v="10004121"/>
    <s v="10004121"/>
    <m/>
    <m/>
    <n v="22778134"/>
    <m/>
    <m/>
    <m/>
    <s v="SOLFIN"/>
    <s v="SOLFIN"/>
    <s v="CCMS"/>
    <n v="21360316"/>
    <n v="7425.76"/>
    <m/>
    <s v="N"/>
    <n v="45"/>
    <d v="2023-07-11T11:51:02"/>
    <s v="Y"/>
    <s v="Preparation - other"/>
    <s v="Prescribed Hourly Rates"/>
    <s v="Profit Cost"/>
    <s v="RS"/>
    <s v="Y"/>
    <n v="14.82"/>
    <n v="2.96"/>
    <x v="7"/>
    <s v="VALIDATED"/>
    <n v="1"/>
    <s v="01.11.80.307.6100.0000"/>
    <n v="14.82"/>
    <s v="11"/>
    <s v="6100"/>
    <n v="43154.65"/>
    <n v="14.82"/>
    <s v="CREDITOR"/>
    <n v="0"/>
    <n v="0"/>
    <n v="0"/>
    <n v="0"/>
    <n v="14.82"/>
  </r>
  <r>
    <n v="8647673"/>
    <s v="N"/>
    <n v="21349284"/>
    <s v="3000004688890022"/>
    <s v="CIVIL"/>
    <d v="2023-06-27T00:00:00"/>
    <d v="2023-07-10T19:01:40"/>
    <m/>
    <d v="2023-07-10T00:00:00"/>
    <n v="924"/>
    <n v="2281"/>
    <s v="8647673"/>
    <s v="8647673"/>
    <m/>
    <m/>
    <n v="22771220"/>
    <m/>
    <m/>
    <m/>
    <s v="SOLFIN"/>
    <s v="SOLFIN"/>
    <s v="CCMS"/>
    <n v="21349284"/>
    <n v="14502.62"/>
    <m/>
    <s v="N"/>
    <n v="28"/>
    <d v="2023-07-10T19:01:43"/>
    <s v="Y"/>
    <s v="Preparation - drafting instructions"/>
    <s v="Prescribed Hourly Rates"/>
    <s v="Profit Cost"/>
    <s v="ROS"/>
    <s v="Y"/>
    <n v="22.23"/>
    <n v="4.45"/>
    <x v="2"/>
    <s v="VALIDATED"/>
    <n v="1"/>
    <s v="01.11.80.307.6100.0000"/>
    <n v="22.23"/>
    <s v="11"/>
    <s v="6100"/>
    <n v="43154.65"/>
    <n v="22.23"/>
    <s v="CREDITOR"/>
    <n v="0"/>
    <n v="0"/>
    <n v="0"/>
    <n v="0"/>
    <n v="22.23"/>
  </r>
  <r>
    <n v="8647673"/>
    <s v="N"/>
    <n v="21349284"/>
    <s v="3000004688890022"/>
    <s v="CIVIL"/>
    <d v="2023-06-27T00:00:00"/>
    <d v="2023-07-10T19:01:40"/>
    <m/>
    <d v="2023-07-10T00:00:00"/>
    <n v="924"/>
    <n v="2281"/>
    <s v="8647673"/>
    <s v="8647673"/>
    <m/>
    <m/>
    <n v="22771220"/>
    <m/>
    <m/>
    <m/>
    <s v="SOLFIN"/>
    <s v="SOLFIN"/>
    <s v="CCMS"/>
    <n v="21349284"/>
    <n v="14502.62"/>
    <m/>
    <s v="N"/>
    <n v="95"/>
    <d v="2023-07-10T19:01:43"/>
    <s v="Y"/>
    <s v="Attendance upon other"/>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109"/>
    <d v="2023-07-10T19:01:43"/>
    <s v="Y"/>
    <s v="Preparation - drafting instructions"/>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39"/>
    <d v="2023-07-10T19:01:43"/>
    <s v="Y"/>
    <s v="Attendance upon client"/>
    <s v="Prescribed Hourly Rates"/>
    <s v="Profit Cost"/>
    <s v="ROS"/>
    <s v="Y"/>
    <n v="37.06"/>
    <n v="7.41"/>
    <x v="2"/>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40"/>
    <d v="2023-07-10T19:01:43"/>
    <s v="Y"/>
    <s v="Preparation - other"/>
    <s v="Prescribed Hourly Rates"/>
    <s v="Profit Cost"/>
    <s v="ROS"/>
    <s v="Y"/>
    <n v="74.12"/>
    <n v="14.82"/>
    <x v="2"/>
    <s v="VALIDATED"/>
    <n v="1"/>
    <s v="01.11.80.307.6100.0000"/>
    <n v="74.12"/>
    <s v="11"/>
    <s v="6100"/>
    <n v="43154.65"/>
    <n v="74.12"/>
    <s v="CREDITOR"/>
    <n v="0"/>
    <n v="0"/>
    <n v="0"/>
    <n v="0"/>
    <n v="74.12"/>
  </r>
  <r>
    <n v="14064052"/>
    <s v="N"/>
    <n v="21349905"/>
    <s v="3000007298400008"/>
    <s v="CIVIL"/>
    <d v="2023-06-29T00:00:00"/>
    <d v="2023-07-10T19:01:40"/>
    <m/>
    <d v="2023-07-10T00:00:00"/>
    <n v="924"/>
    <n v="2281"/>
    <s v="14064052"/>
    <s v="14064052"/>
    <m/>
    <m/>
    <n v="22788366"/>
    <m/>
    <m/>
    <m/>
    <s v="SOLFIN"/>
    <s v="SOLFIN"/>
    <s v="CCMS"/>
    <n v="21349905"/>
    <n v="4899.44"/>
    <m/>
    <s v="N"/>
    <n v="33"/>
    <d v="2023-07-10T19:02:03"/>
    <s v="Y"/>
    <s v="Preparation - drafting statement"/>
    <s v="Prescribed Hourly Rates"/>
    <s v="Profit Cost"/>
    <s v="ROS"/>
    <s v="Y"/>
    <n v="63.14"/>
    <n v="12.63"/>
    <x v="2"/>
    <s v="VALIDATED"/>
    <n v="1"/>
    <s v="01.11.80.302.6100.0000"/>
    <n v="63.14"/>
    <s v="11"/>
    <s v="6100"/>
    <n v="43154.65"/>
    <n v="63.14"/>
    <s v="CREDITOR"/>
    <n v="0"/>
    <n v="0"/>
    <n v="0"/>
    <n v="0"/>
    <n v="63.14"/>
  </r>
  <r>
    <n v="61313803"/>
    <s v="N"/>
    <n v="21350025"/>
    <s v="3000015470000008"/>
    <s v="CIVIL"/>
    <d v="2023-06-29T00:00:00"/>
    <d v="2023-07-10T19:01:40"/>
    <m/>
    <d v="2023-07-10T00:00:00"/>
    <n v="924"/>
    <n v="2281"/>
    <s v="61313803"/>
    <s v="61313803"/>
    <m/>
    <m/>
    <n v="22789528"/>
    <m/>
    <m/>
    <m/>
    <s v="SOLFIN"/>
    <s v="SOLFIN"/>
    <s v="CCMS"/>
    <n v="21350025"/>
    <n v="6800.74"/>
    <m/>
    <s v="N"/>
    <n v="1"/>
    <d v="2023-07-10T19:02:09"/>
    <s v="Y"/>
    <s v="Process server"/>
    <s v="Prescribed Hourly Rates"/>
    <s v="Expert Disbursement"/>
    <s v="XXX"/>
    <s v="Y"/>
    <n v="68.09999999999999"/>
    <n v="0"/>
    <x v="2"/>
    <s v="VALIDATED"/>
    <n v="1"/>
    <s v="01.11.80.307.6300.0000"/>
    <n v="68.09999999999999"/>
    <s v="11"/>
    <s v="6300"/>
    <n v="43154.65"/>
    <n v="68.09999999999999"/>
    <s v="CREDITOR"/>
    <n v="0"/>
    <n v="0"/>
    <n v="0"/>
    <n v="0"/>
    <n v="68.09999999999999"/>
  </r>
  <r>
    <n v="11594527"/>
    <s v="N"/>
    <n v="21337864"/>
    <s v="3000006991410004"/>
    <s v="CIVIL"/>
    <d v="2023-06-27T00:00:00"/>
    <d v="2023-07-06T19:21:01"/>
    <m/>
    <d v="2023-07-06T00:00:00"/>
    <n v="924"/>
    <n v="2281"/>
    <s v="11594527"/>
    <s v="11594527"/>
    <m/>
    <m/>
    <n v="22768496"/>
    <m/>
    <m/>
    <m/>
    <s v="SOLFIN"/>
    <s v="SOLFIN"/>
    <s v="CCMS"/>
    <n v="21337864"/>
    <n v="6756.82"/>
    <m/>
    <s v="N"/>
    <n v="64"/>
    <d v="2023-07-06T19:21:09"/>
    <s v="Y"/>
    <s v="Preparation - other"/>
    <s v="Prescribed Hourly Rates"/>
    <s v="Profit Cost"/>
    <s v="RS"/>
    <s v="Y"/>
    <n v="6.31"/>
    <n v="1.26"/>
    <x v="4"/>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86"/>
    <d v="2023-07-10T19:02:09"/>
    <s v="Y"/>
    <s v="Preparation - other"/>
    <s v="Prescribed Hourly Rates"/>
    <s v="Profit Cost"/>
    <s v="CD"/>
    <s v="Y"/>
    <n v="27.45"/>
    <n v="5.49"/>
    <x v="2"/>
    <s v="VALIDATED"/>
    <n v="1"/>
    <s v="01.11.80.307.6100.0000"/>
    <n v="27.45"/>
    <s v="11"/>
    <s v="6100"/>
    <n v="43154.65"/>
    <n v="27.45"/>
    <s v="CREDITOR"/>
    <n v="0"/>
    <n v="0"/>
    <n v="0"/>
    <n v="0"/>
    <n v="27.45"/>
  </r>
  <r>
    <n v="10788846"/>
    <s v="N"/>
    <n v="21338341"/>
    <s v="3000006570470018"/>
    <s v="CIVIL"/>
    <d v="2023-06-28T00:00:00"/>
    <d v="2023-07-06T19:21:01"/>
    <m/>
    <d v="2023-07-06T00:00:00"/>
    <n v="924"/>
    <n v="2281"/>
    <s v="10788846"/>
    <s v="10788846"/>
    <m/>
    <m/>
    <n v="22777146"/>
    <m/>
    <m/>
    <m/>
    <s v="SOLFIN"/>
    <s v="SOLFIN"/>
    <s v="CCMS"/>
    <n v="21338341"/>
    <n v="1098.86"/>
    <m/>
    <s v="N"/>
    <n v="3"/>
    <d v="2023-07-06T19:21:20"/>
    <s v="Y"/>
    <s v="Process server"/>
    <s v="Domestic Abuse"/>
    <s v="Expert Disbursement"/>
    <s v="ROS"/>
    <s v="Y"/>
    <n v="159.35"/>
    <n v="0"/>
    <x v="4"/>
    <s v="VALIDATED"/>
    <n v="1"/>
    <s v="01.11.80.307.6300.0000"/>
    <n v="159.35"/>
    <s v="11"/>
    <s v="6300"/>
    <n v="43154.65"/>
    <n v="159.35"/>
    <s v="CREDITOR"/>
    <n v="0"/>
    <n v="0"/>
    <n v="0"/>
    <n v="0"/>
    <n v="159.35"/>
  </r>
  <r>
    <n v="60950874"/>
    <s v="N"/>
    <n v="21360551"/>
    <s v="3000015160760008"/>
    <s v="CIVIL"/>
    <d v="2023-06-30T00:00:00"/>
    <d v="2023-07-11T11:50:54"/>
    <m/>
    <d v="2023-07-11T00:00:00"/>
    <n v="924"/>
    <n v="2281"/>
    <s v="60950874"/>
    <s v="60950874"/>
    <m/>
    <m/>
    <n v="22794622"/>
    <m/>
    <m/>
    <m/>
    <s v="SOLFIN"/>
    <s v="SOLFIN"/>
    <s v="CCMS"/>
    <n v="21360551"/>
    <n v="11550.02"/>
    <m/>
    <s v="N"/>
    <n v="99"/>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108"/>
    <d v="2023-07-11T11:51:09"/>
    <s v="Y"/>
    <s v="Preparation - other"/>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29"/>
    <d v="2023-07-11T11:51:02"/>
    <s v="Y"/>
    <s v="Preparation - other"/>
    <s v="Prescribed Hourly Rates"/>
    <s v="Profit Cost"/>
    <s v="RS"/>
    <s v="Y"/>
    <n v="6.31"/>
    <n v="1.26"/>
    <x v="7"/>
    <s v="VALIDATED"/>
    <n v="1"/>
    <s v="01.11.80.307.6100.0000"/>
    <n v="6.31"/>
    <s v="11"/>
    <s v="6100"/>
    <n v="43154.65"/>
    <n v="6.31"/>
    <s v="CREDITOR"/>
    <n v="0"/>
    <n v="0"/>
    <n v="0"/>
    <n v="0"/>
    <n v="6.31"/>
  </r>
  <r>
    <n v="14064052"/>
    <s v="N"/>
    <n v="21349905"/>
    <s v="3000007298400008"/>
    <s v="CIVIL"/>
    <d v="2023-06-29T00:00:00"/>
    <d v="2023-07-10T19:01:40"/>
    <m/>
    <d v="2023-07-10T00:00:00"/>
    <n v="924"/>
    <n v="2281"/>
    <s v="14064052"/>
    <s v="14064052"/>
    <m/>
    <m/>
    <n v="22788366"/>
    <m/>
    <m/>
    <m/>
    <s v="SOLFIN"/>
    <s v="SOLFIN"/>
    <s v="CCMS"/>
    <n v="21349905"/>
    <n v="4899.44"/>
    <m/>
    <s v="N"/>
    <n v="9"/>
    <d v="2023-07-10T19:02:03"/>
    <s v="Y"/>
    <s v="Preparation - other"/>
    <s v="Prescribed Hourly Rates"/>
    <s v="Profit Cost"/>
    <s v="ROS"/>
    <s v="Y"/>
    <n v="12.63"/>
    <n v="2.53"/>
    <x v="2"/>
    <s v="VALIDATED"/>
    <n v="1"/>
    <s v="01.11.80.302.6100.0000"/>
    <n v="12.63"/>
    <s v="11"/>
    <s v="6100"/>
    <n v="43154.65"/>
    <n v="12.63"/>
    <s v="CREDITOR"/>
    <n v="0"/>
    <n v="0"/>
    <n v="0"/>
    <n v="0"/>
    <n v="12.63"/>
  </r>
  <r>
    <n v="61313803"/>
    <s v="N"/>
    <n v="21350025"/>
    <s v="3000015470000008"/>
    <s v="CIVIL"/>
    <d v="2023-06-29T00:00:00"/>
    <d v="2023-07-10T19:01:40"/>
    <m/>
    <d v="2023-07-10T00:00:00"/>
    <n v="924"/>
    <n v="2281"/>
    <s v="61313803"/>
    <s v="61313803"/>
    <m/>
    <m/>
    <n v="22789528"/>
    <m/>
    <m/>
    <m/>
    <s v="SOLFIN"/>
    <s v="SOLFIN"/>
    <s v="CCMS"/>
    <n v="21350025"/>
    <n v="6800.74"/>
    <m/>
    <s v="N"/>
    <n v="12"/>
    <d v="2023-07-10T19:02:09"/>
    <s v="Y"/>
    <s v="Attendance upon client"/>
    <s v="Prescribed Hourly Rates"/>
    <s v="Profit Cost"/>
    <s v="RS"/>
    <s v="Y"/>
    <n v="123.53"/>
    <n v="24.7"/>
    <x v="2"/>
    <s v="VALIDATED"/>
    <n v="1"/>
    <s v="01.11.80.307.6100.0000"/>
    <n v="123.53"/>
    <s v="11"/>
    <s v="6100"/>
    <n v="43154.65"/>
    <n v="123.53"/>
    <s v="CREDITOR"/>
    <n v="0"/>
    <n v="0"/>
    <n v="0"/>
    <n v="0"/>
    <n v="123.53"/>
  </r>
  <r>
    <n v="8647673"/>
    <s v="N"/>
    <n v="21349284"/>
    <s v="3000004688890022"/>
    <s v="CIVIL"/>
    <d v="2023-06-27T00:00:00"/>
    <d v="2023-07-10T19:01:40"/>
    <m/>
    <d v="2023-07-10T00:00:00"/>
    <n v="924"/>
    <n v="2281"/>
    <s v="8647673"/>
    <s v="8647673"/>
    <m/>
    <m/>
    <n v="22771220"/>
    <m/>
    <m/>
    <m/>
    <s v="SOLFIN"/>
    <s v="SOLFIN"/>
    <s v="CCMS"/>
    <n v="21349284"/>
    <n v="14502.62"/>
    <m/>
    <s v="N"/>
    <n v="14"/>
    <d v="2023-07-10T19:01:43"/>
    <s v="Y"/>
    <s v="Hearing Unit 2.31 - 5.00 Hours"/>
    <s v="Private Law Children"/>
    <s v="Advocacy"/>
    <s v="ROS"/>
    <s v="Y"/>
    <n v="344.8"/>
    <n v="68.95999999999999"/>
    <x v="2"/>
    <s v="VALIDATED"/>
    <n v="1"/>
    <s v="01.11.80.307.6100.0000"/>
    <n v="344.8"/>
    <s v="11"/>
    <s v="6100"/>
    <n v="43154.65"/>
    <n v="344.8"/>
    <s v="CREDITOR"/>
    <n v="0"/>
    <n v="0"/>
    <n v="0"/>
    <n v="0"/>
    <n v="344.8"/>
  </r>
  <r>
    <n v="8647673"/>
    <s v="N"/>
    <n v="21349284"/>
    <s v="3000004688890022"/>
    <s v="CIVIL"/>
    <d v="2023-06-27T00:00:00"/>
    <d v="2023-07-10T19:01:40"/>
    <m/>
    <d v="2023-07-10T00:00:00"/>
    <n v="924"/>
    <n v="2281"/>
    <s v="8647673"/>
    <s v="8647673"/>
    <m/>
    <m/>
    <n v="22771220"/>
    <m/>
    <m/>
    <m/>
    <s v="SOLFIN"/>
    <s v="SOLFIN"/>
    <s v="CCMS"/>
    <n v="21349284"/>
    <n v="14502.62"/>
    <m/>
    <s v="N"/>
    <n v="48"/>
    <d v="2023-07-10T19:01:43"/>
    <s v="Y"/>
    <s v="Preparation - other"/>
    <s v="Prescribed Hourly Rates"/>
    <s v="Profit Cost"/>
    <s v="ROS"/>
    <s v="Y"/>
    <n v="279.17"/>
    <n v="55.83"/>
    <x v="2"/>
    <s v="VALIDATED"/>
    <n v="1"/>
    <s v="01.11.80.307.6100.0000"/>
    <n v="279.17"/>
    <s v="11"/>
    <s v="6100"/>
    <n v="43154.65"/>
    <n v="279.17"/>
    <s v="CREDITOR"/>
    <n v="0"/>
    <n v="0"/>
    <n v="0"/>
    <n v="0"/>
    <n v="279.17"/>
  </r>
  <r>
    <n v="11594527"/>
    <s v="N"/>
    <n v="21337864"/>
    <s v="3000006991410004"/>
    <s v="CIVIL"/>
    <d v="2023-06-27T00:00:00"/>
    <d v="2023-07-06T19:21:01"/>
    <m/>
    <d v="2023-07-06T00:00:00"/>
    <n v="924"/>
    <n v="2281"/>
    <s v="11594527"/>
    <s v="11594527"/>
    <m/>
    <m/>
    <n v="22768496"/>
    <m/>
    <m/>
    <m/>
    <s v="SOLFIN"/>
    <s v="SOLFIN"/>
    <s v="CCMS"/>
    <n v="21337864"/>
    <n v="6756.82"/>
    <m/>
    <s v="N"/>
    <n v="60"/>
    <d v="2023-07-06T19:21:09"/>
    <s v="Y"/>
    <s v="Preparation - drafting statement"/>
    <s v="Prescribed Hourly Rates"/>
    <s v="Profit Cost"/>
    <s v="RS"/>
    <s v="Y"/>
    <n v="49.41"/>
    <n v="9.880000000000001"/>
    <x v="4"/>
    <s v="VALIDATED"/>
    <n v="1"/>
    <s v="01.11.80.307.6100.0000"/>
    <n v="49.41"/>
    <s v="11"/>
    <s v="6100"/>
    <n v="43154.65"/>
    <n v="49.41"/>
    <s v="CREDITOR"/>
    <n v="0"/>
    <n v="0"/>
    <n v="0"/>
    <n v="0"/>
    <n v="49.41"/>
  </r>
  <r>
    <n v="61313803"/>
    <s v="N"/>
    <n v="21350025"/>
    <s v="3000015470000008"/>
    <s v="CIVIL"/>
    <d v="2023-06-29T00:00:00"/>
    <d v="2023-07-10T19:01:40"/>
    <m/>
    <d v="2023-07-10T00:00:00"/>
    <n v="924"/>
    <n v="2281"/>
    <s v="61313803"/>
    <s v="61313803"/>
    <m/>
    <m/>
    <n v="22789528"/>
    <m/>
    <m/>
    <m/>
    <s v="SOLFIN"/>
    <s v="SOLFIN"/>
    <s v="CCMS"/>
    <n v="21350025"/>
    <n v="6800.74"/>
    <m/>
    <s v="N"/>
    <n v="14"/>
    <d v="2023-07-10T19:02:09"/>
    <s v="Y"/>
    <s v="Attendance upon other"/>
    <s v="Prescribed Hourly Rates"/>
    <s v="Profit Cost"/>
    <s v="NPM"/>
    <s v="Y"/>
    <n v="10.98"/>
    <n v="2.2"/>
    <x v="2"/>
    <s v="VALIDATED"/>
    <n v="1"/>
    <s v="01.11.80.307.6100.0000"/>
    <n v="10.98"/>
    <s v="11"/>
    <s v="6100"/>
    <n v="43154.65"/>
    <n v="10.98"/>
    <s v="CREDITOR"/>
    <n v="0"/>
    <n v="0"/>
    <n v="0"/>
    <n v="0"/>
    <n v="10.98"/>
  </r>
  <r>
    <n v="61313803"/>
    <s v="N"/>
    <n v="21350025"/>
    <s v="3000015470000008"/>
    <s v="CIVIL"/>
    <d v="2023-06-29T00:00:00"/>
    <d v="2023-07-10T19:01:40"/>
    <m/>
    <d v="2023-07-10T00:00:00"/>
    <n v="924"/>
    <n v="2281"/>
    <s v="61313803"/>
    <s v="61313803"/>
    <m/>
    <m/>
    <n v="22789528"/>
    <m/>
    <m/>
    <m/>
    <s v="SOLFIN"/>
    <s v="SOLFIN"/>
    <s v="CCMS"/>
    <n v="21350025"/>
    <n v="6800.74"/>
    <m/>
    <s v="N"/>
    <n v="19"/>
    <d v="2023-07-10T19:02:09"/>
    <s v="Y"/>
    <s v="Preparation - other"/>
    <s v="Prescribed Hourly Rates"/>
    <s v="Profit Cost"/>
    <s v="RS"/>
    <s v="Y"/>
    <n v="123.53"/>
    <n v="24.7"/>
    <x v="2"/>
    <s v="VALIDATED"/>
    <n v="1"/>
    <s v="01.11.80.307.6100.0000"/>
    <n v="123.53"/>
    <s v="11"/>
    <s v="6100"/>
    <n v="43154.65"/>
    <n v="123.53"/>
    <s v="CREDITOR"/>
    <n v="0"/>
    <n v="0"/>
    <n v="0"/>
    <n v="0"/>
    <n v="123.53"/>
  </r>
  <r>
    <n v="10004121"/>
    <s v="N"/>
    <n v="21360316"/>
    <s v="3000005900070010"/>
    <s v="CIVIL"/>
    <d v="2023-06-28T00:00:00"/>
    <d v="2023-07-11T11:50:54"/>
    <m/>
    <d v="2023-07-11T00:00:00"/>
    <n v="924"/>
    <n v="2281"/>
    <s v="10004121"/>
    <s v="10004121"/>
    <m/>
    <m/>
    <n v="22778134"/>
    <m/>
    <m/>
    <m/>
    <s v="SOLFIN"/>
    <s v="SOLFIN"/>
    <s v="CCMS"/>
    <n v="21360316"/>
    <n v="7425.76"/>
    <m/>
    <s v="N"/>
    <n v="73"/>
    <d v="2023-07-11T11:51:02"/>
    <s v="Y"/>
    <s v="Preparation - other"/>
    <s v="Prescribed Hourly Rates"/>
    <s v="Profit Cost"/>
    <s v="RS"/>
    <s v="Y"/>
    <n v="37.06"/>
    <n v="7.41"/>
    <x v="7"/>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101"/>
    <d v="2023-07-10T19:01:43"/>
    <s v="Y"/>
    <s v="Preparation - other"/>
    <s v="Prescribed Hourly Rates"/>
    <s v="Profit Cost"/>
    <s v="ROS"/>
    <s v="Y"/>
    <n v="148.23"/>
    <n v="29.64"/>
    <x v="2"/>
    <s v="VALIDATED"/>
    <n v="1"/>
    <s v="01.11.80.307.6100.0000"/>
    <n v="148.23"/>
    <s v="11"/>
    <s v="6100"/>
    <n v="43154.65"/>
    <n v="148.23"/>
    <s v="CREDITOR"/>
    <n v="0"/>
    <n v="0"/>
    <n v="0"/>
    <n v="0"/>
    <n v="148.23"/>
  </r>
  <r>
    <n v="8647673"/>
    <s v="N"/>
    <n v="21349284"/>
    <s v="3000004688890022"/>
    <s v="CIVIL"/>
    <d v="2023-06-27T00:00:00"/>
    <d v="2023-07-10T19:01:40"/>
    <m/>
    <d v="2023-07-10T00:00:00"/>
    <n v="924"/>
    <n v="2281"/>
    <s v="8647673"/>
    <s v="8647673"/>
    <m/>
    <m/>
    <n v="22771220"/>
    <m/>
    <m/>
    <m/>
    <s v="SOLFIN"/>
    <s v="SOLFIN"/>
    <s v="CCMS"/>
    <n v="21349284"/>
    <n v="14502.62"/>
    <m/>
    <s v="N"/>
    <n v="76"/>
    <d v="2023-07-10T19:01:43"/>
    <s v="Y"/>
    <s v="Preparation - drafting statement"/>
    <s v="Prescribed Hourly Rates"/>
    <s v="Profit Cost"/>
    <s v="ROS"/>
    <s v="Y"/>
    <n v="74.12"/>
    <n v="14.82"/>
    <x v="2"/>
    <s v="VALIDATED"/>
    <n v="1"/>
    <s v="01.11.80.307.6100.0000"/>
    <n v="74.12"/>
    <s v="11"/>
    <s v="6100"/>
    <n v="43154.65"/>
    <n v="74.12"/>
    <s v="CREDITOR"/>
    <n v="0"/>
    <n v="0"/>
    <n v="0"/>
    <n v="0"/>
    <n v="74.12"/>
  </r>
  <r>
    <n v="14064052"/>
    <s v="N"/>
    <n v="21349905"/>
    <s v="3000007298400008"/>
    <s v="CIVIL"/>
    <d v="2023-06-29T00:00:00"/>
    <d v="2023-07-10T19:01:40"/>
    <m/>
    <d v="2023-07-10T00:00:00"/>
    <n v="924"/>
    <n v="2281"/>
    <s v="14064052"/>
    <s v="14064052"/>
    <m/>
    <m/>
    <n v="22788366"/>
    <m/>
    <m/>
    <m/>
    <s v="SOLFIN"/>
    <s v="SOLFIN"/>
    <s v="CCMS"/>
    <n v="21349905"/>
    <n v="4899.44"/>
    <m/>
    <s v="N"/>
    <n v="21"/>
    <d v="2023-07-10T19:02:03"/>
    <s v="Y"/>
    <s v="Attendance upon client"/>
    <s v="Prescribed Hourly Rates"/>
    <s v="Profit Cost"/>
    <s v="ROS"/>
    <s v="Y"/>
    <n v="94.7"/>
    <n v="18.94"/>
    <x v="2"/>
    <s v="VALIDATED"/>
    <n v="1"/>
    <s v="01.11.80.302.6100.0000"/>
    <n v="94.7"/>
    <s v="11"/>
    <s v="6100"/>
    <n v="43154.65"/>
    <n v="94.7"/>
    <s v="CREDITOR"/>
    <n v="0"/>
    <n v="0"/>
    <n v="0"/>
    <n v="0"/>
    <n v="94.7"/>
  </r>
  <r>
    <n v="61313803"/>
    <s v="N"/>
    <n v="21350025"/>
    <s v="3000015470000008"/>
    <s v="CIVIL"/>
    <d v="2023-06-29T00:00:00"/>
    <d v="2023-07-10T19:01:40"/>
    <m/>
    <d v="2023-07-10T00:00:00"/>
    <n v="924"/>
    <n v="2281"/>
    <s v="61313803"/>
    <s v="61313803"/>
    <m/>
    <m/>
    <n v="22789528"/>
    <m/>
    <m/>
    <m/>
    <s v="SOLFIN"/>
    <s v="SOLFIN"/>
    <s v="CCMS"/>
    <n v="21350025"/>
    <n v="6800.74"/>
    <m/>
    <s v="N"/>
    <n v="57"/>
    <d v="2023-07-10T19:02:09"/>
    <s v="Y"/>
    <s v="Preparation - other"/>
    <s v="Prescribed Hourly Rates"/>
    <s v="Profit Cost"/>
    <s v="RS"/>
    <s v="Y"/>
    <n v="49.41"/>
    <n v="9.880000000000001"/>
    <x v="2"/>
    <s v="VALIDATED"/>
    <n v="1"/>
    <s v="01.11.80.307.6100.0000"/>
    <n v="49.41"/>
    <s v="11"/>
    <s v="6100"/>
    <n v="43154.65"/>
    <n v="49.41"/>
    <s v="CREDITOR"/>
    <n v="0"/>
    <n v="0"/>
    <n v="0"/>
    <n v="0"/>
    <n v="49.41"/>
  </r>
  <r>
    <n v="11594527"/>
    <s v="N"/>
    <n v="21337864"/>
    <s v="3000006991410004"/>
    <s v="CIVIL"/>
    <d v="2023-06-27T00:00:00"/>
    <d v="2023-07-06T19:21:01"/>
    <m/>
    <d v="2023-07-06T00:00:00"/>
    <n v="924"/>
    <n v="2281"/>
    <s v="11594527"/>
    <s v="11594527"/>
    <m/>
    <m/>
    <n v="22768496"/>
    <m/>
    <m/>
    <m/>
    <s v="SOLFIN"/>
    <s v="SOLFIN"/>
    <s v="CCMS"/>
    <n v="21337864"/>
    <n v="6756.82"/>
    <m/>
    <s v="N"/>
    <n v="6"/>
    <d v="2023-07-06T19:21:09"/>
    <s v="Y"/>
    <s v="Preparation - drafting statement"/>
    <s v="Prescribed Hourly Rates"/>
    <s v="Profit Cost"/>
    <s v="RS"/>
    <s v="Y"/>
    <n v="296.46"/>
    <n v="59.28"/>
    <x v="4"/>
    <s v="VALIDATED"/>
    <n v="1"/>
    <s v="01.11.80.307.6100.0000"/>
    <n v="296.46"/>
    <s v="11"/>
    <s v="6100"/>
    <n v="43154.65"/>
    <n v="296.46"/>
    <s v="CREDITOR"/>
    <n v="0"/>
    <n v="0"/>
    <n v="0"/>
    <n v="0"/>
    <n v="296.46"/>
  </r>
  <r>
    <n v="61313803"/>
    <s v="N"/>
    <n v="21350025"/>
    <s v="3000015470000008"/>
    <s v="CIVIL"/>
    <d v="2023-06-29T00:00:00"/>
    <d v="2023-07-10T19:01:40"/>
    <m/>
    <d v="2023-07-10T00:00:00"/>
    <n v="924"/>
    <n v="2281"/>
    <s v="61313803"/>
    <s v="61313803"/>
    <m/>
    <m/>
    <n v="22789528"/>
    <m/>
    <m/>
    <m/>
    <s v="SOLFIN"/>
    <s v="SOLFIN"/>
    <s v="CCMS"/>
    <n v="21350025"/>
    <n v="6800.74"/>
    <m/>
    <s v="N"/>
    <n v="47"/>
    <d v="2023-07-10T19:02:09"/>
    <s v="Y"/>
    <s v="Attendance upon client"/>
    <s v="Prescribed Hourly Rates"/>
    <s v="Profit Cost"/>
    <s v="RS"/>
    <s v="Y"/>
    <n v="49.41"/>
    <n v="9.880000000000001"/>
    <x v="2"/>
    <s v="VALIDATED"/>
    <n v="1"/>
    <s v="01.11.80.307.6100.0000"/>
    <n v="49.41"/>
    <s v="11"/>
    <s v="6100"/>
    <n v="43154.65"/>
    <n v="49.41"/>
    <s v="CREDITOR"/>
    <n v="0"/>
    <n v="0"/>
    <n v="0"/>
    <n v="0"/>
    <n v="49.41"/>
  </r>
  <r>
    <n v="61313803"/>
    <s v="N"/>
    <n v="21350025"/>
    <s v="3000015470000008"/>
    <s v="CIVIL"/>
    <d v="2023-06-29T00:00:00"/>
    <d v="2023-07-10T19:01:40"/>
    <m/>
    <d v="2023-07-10T00:00:00"/>
    <n v="924"/>
    <n v="2281"/>
    <s v="61313803"/>
    <s v="61313803"/>
    <m/>
    <m/>
    <n v="22789528"/>
    <m/>
    <m/>
    <m/>
    <s v="SOLFIN"/>
    <s v="SOLFIN"/>
    <s v="CCMS"/>
    <n v="21350025"/>
    <n v="6800.74"/>
    <m/>
    <s v="N"/>
    <n v="49"/>
    <d v="2023-07-10T19:02:09"/>
    <s v="Y"/>
    <s v="Attendance upon client"/>
    <s v="Prescribed Hourly Rates"/>
    <s v="Profit Cost"/>
    <s v="RS"/>
    <s v="Y"/>
    <n v="148.23"/>
    <n v="29.64"/>
    <x v="2"/>
    <s v="VALIDATED"/>
    <n v="1"/>
    <s v="01.11.80.307.6100.0000"/>
    <n v="148.23"/>
    <s v="11"/>
    <s v="6100"/>
    <n v="43154.65"/>
    <n v="148.23"/>
    <s v="CREDITOR"/>
    <n v="0"/>
    <n v="0"/>
    <n v="0"/>
    <n v="0"/>
    <n v="148.23"/>
  </r>
  <r>
    <n v="61313803"/>
    <s v="N"/>
    <n v="21350025"/>
    <s v="3000015470000008"/>
    <s v="CIVIL"/>
    <d v="2023-06-29T00:00:00"/>
    <d v="2023-07-10T19:01:40"/>
    <m/>
    <d v="2023-07-10T00:00:00"/>
    <n v="924"/>
    <n v="2281"/>
    <s v="61313803"/>
    <s v="61313803"/>
    <m/>
    <m/>
    <n v="22789528"/>
    <m/>
    <m/>
    <m/>
    <s v="SOLFIN"/>
    <s v="SOLFIN"/>
    <s v="CCMS"/>
    <n v="21350025"/>
    <n v="6800.74"/>
    <m/>
    <s v="N"/>
    <n v="13"/>
    <d v="2023-07-10T19:02:09"/>
    <s v="Y"/>
    <s v="Preparation - drafting instructions"/>
    <s v="Prescribed Hourly Rates"/>
    <s v="Profit Cost"/>
    <s v="RS"/>
    <s v="Y"/>
    <n v="37.06"/>
    <n v="7.41"/>
    <x v="2"/>
    <s v="VALIDATED"/>
    <n v="1"/>
    <s v="01.11.80.307.6100.0000"/>
    <n v="37.06"/>
    <s v="11"/>
    <s v="6100"/>
    <n v="43154.65"/>
    <n v="37.06"/>
    <s v="CREDITOR"/>
    <n v="0"/>
    <n v="0"/>
    <n v="0"/>
    <n v="0"/>
    <n v="37.06"/>
  </r>
  <r>
    <n v="14064052"/>
    <s v="N"/>
    <n v="21349905"/>
    <s v="3000007298400008"/>
    <s v="CIVIL"/>
    <d v="2023-06-29T00:00:00"/>
    <d v="2023-07-10T19:01:40"/>
    <m/>
    <d v="2023-07-10T00:00:00"/>
    <n v="924"/>
    <n v="2281"/>
    <s v="14064052"/>
    <s v="14064052"/>
    <m/>
    <m/>
    <n v="22788366"/>
    <m/>
    <m/>
    <m/>
    <s v="SOLFIN"/>
    <s v="SOLFIN"/>
    <s v="CCMS"/>
    <n v="21349905"/>
    <n v="4899.44"/>
    <m/>
    <s v="N"/>
    <n v="12"/>
    <d v="2023-07-10T19:02:03"/>
    <s v="Y"/>
    <s v="Preparation - other"/>
    <s v="Prescribed Hourly Rates"/>
    <s v="Profit Cost"/>
    <s v="ROS"/>
    <s v="Y"/>
    <n v="63.14"/>
    <n v="12.63"/>
    <x v="2"/>
    <s v="VALIDATED"/>
    <n v="1"/>
    <s v="01.11.80.302.6100.0000"/>
    <n v="63.14"/>
    <s v="11"/>
    <s v="6100"/>
    <n v="43154.65"/>
    <n v="63.14"/>
    <s v="CREDITOR"/>
    <n v="0"/>
    <n v="0"/>
    <n v="0"/>
    <n v="0"/>
    <n v="63.14"/>
  </r>
  <r>
    <n v="8647673"/>
    <s v="N"/>
    <n v="21349284"/>
    <s v="3000004688890022"/>
    <s v="CIVIL"/>
    <d v="2023-06-27T00:00:00"/>
    <d v="2023-07-10T19:01:40"/>
    <m/>
    <d v="2023-07-10T00:00:00"/>
    <n v="924"/>
    <n v="2281"/>
    <s v="8647673"/>
    <s v="8647673"/>
    <m/>
    <m/>
    <n v="22771220"/>
    <m/>
    <m/>
    <m/>
    <s v="SOLFIN"/>
    <s v="SOLFIN"/>
    <s v="CCMS"/>
    <n v="21349284"/>
    <n v="14502.62"/>
    <m/>
    <s v="N"/>
    <n v="105"/>
    <d v="2023-07-10T19:01:43"/>
    <s v="Y"/>
    <s v="Preparation - other"/>
    <s v="Prescribed Hourly Rates"/>
    <s v="Profit Cost"/>
    <s v="ROS"/>
    <s v="Y"/>
    <n v="22.23"/>
    <n v="4.45"/>
    <x v="2"/>
    <s v="VALIDATED"/>
    <n v="1"/>
    <s v="01.11.80.307.6100.0000"/>
    <n v="22.23"/>
    <s v="11"/>
    <s v="6100"/>
    <n v="43154.65"/>
    <n v="22.23"/>
    <s v="CREDITOR"/>
    <n v="0"/>
    <n v="0"/>
    <n v="0"/>
    <n v="0"/>
    <n v="22.23"/>
  </r>
  <r>
    <n v="8647673"/>
    <s v="N"/>
    <n v="21349284"/>
    <s v="3000004688890022"/>
    <s v="CIVIL"/>
    <d v="2023-06-27T00:00:00"/>
    <d v="2023-07-10T19:01:40"/>
    <m/>
    <d v="2023-07-10T00:00:00"/>
    <n v="924"/>
    <n v="2281"/>
    <s v="8647673"/>
    <s v="8647673"/>
    <m/>
    <m/>
    <n v="22771220"/>
    <m/>
    <m/>
    <m/>
    <s v="SOLFIN"/>
    <s v="SOLFIN"/>
    <s v="CCMS"/>
    <n v="21349284"/>
    <n v="14502.62"/>
    <m/>
    <s v="N"/>
    <n v="85"/>
    <d v="2023-07-10T19:01:43"/>
    <s v="Y"/>
    <s v="Attendance upon/with Counsel at Con"/>
    <s v="Prescribed Hourly Rates"/>
    <s v="Profit Cost"/>
    <s v="ROS"/>
    <s v="Y"/>
    <n v="30.62"/>
    <n v="6.12"/>
    <x v="2"/>
    <s v="VALIDATED"/>
    <n v="1"/>
    <s v="01.11.80.307.6100.0000"/>
    <n v="30.62"/>
    <s v="11"/>
    <s v="6100"/>
    <n v="43154.65"/>
    <n v="30.62"/>
    <s v="CREDITOR"/>
    <n v="0"/>
    <n v="0"/>
    <n v="0"/>
    <n v="0"/>
    <n v="30.62"/>
  </r>
  <r>
    <n v="11594527"/>
    <s v="N"/>
    <n v="21337864"/>
    <s v="3000006991410004"/>
    <s v="CIVIL"/>
    <d v="2023-06-27T00:00:00"/>
    <d v="2023-07-06T19:21:01"/>
    <m/>
    <d v="2023-07-06T00:00:00"/>
    <n v="924"/>
    <n v="2281"/>
    <s v="11594527"/>
    <s v="11594527"/>
    <m/>
    <m/>
    <n v="22768496"/>
    <m/>
    <m/>
    <m/>
    <s v="SOLFIN"/>
    <s v="SOLFIN"/>
    <s v="CCMS"/>
    <n v="21337864"/>
    <n v="6756.82"/>
    <m/>
    <s v="N"/>
    <n v="63"/>
    <d v="2023-07-06T19:21:09"/>
    <s v="Y"/>
    <s v="Attendance upon client"/>
    <s v="Prescribed Hourly Rates"/>
    <s v="Profit Cost"/>
    <s v="RS"/>
    <s v="Y"/>
    <n v="24.71"/>
    <n v="4.94"/>
    <x v="4"/>
    <s v="VALIDATED"/>
    <n v="1"/>
    <s v="01.11.80.307.6100.0000"/>
    <n v="24.71"/>
    <s v="11"/>
    <s v="6100"/>
    <n v="43154.65"/>
    <n v="24.71"/>
    <s v="CREDITOR"/>
    <n v="0"/>
    <n v="0"/>
    <n v="0"/>
    <n v="0"/>
    <n v="24.71"/>
  </r>
  <r>
    <n v="11594527"/>
    <s v="N"/>
    <n v="21337864"/>
    <s v="3000006991410004"/>
    <s v="CIVIL"/>
    <d v="2023-06-27T00:00:00"/>
    <d v="2023-07-06T19:21:01"/>
    <m/>
    <d v="2023-07-06T00:00:00"/>
    <n v="924"/>
    <n v="2281"/>
    <s v="11594527"/>
    <s v="11594527"/>
    <m/>
    <m/>
    <n v="22768496"/>
    <m/>
    <m/>
    <m/>
    <s v="SOLFIN"/>
    <s v="SOLFIN"/>
    <s v="CCMS"/>
    <n v="21337864"/>
    <n v="6756.82"/>
    <m/>
    <s v="N"/>
    <n v="73"/>
    <d v="2023-07-06T19:21:09"/>
    <s v="Y"/>
    <s v="Preparation - drafting instructions"/>
    <s v="Prescribed Hourly Rates"/>
    <s v="Profit Cost"/>
    <s v="RS"/>
    <s v="Y"/>
    <n v="37.06"/>
    <n v="7.41"/>
    <x v="4"/>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88"/>
    <d v="2023-07-06T19:21:09"/>
    <s v="Y"/>
    <s v="Preparation - other"/>
    <s v="Prescribed Hourly Rates"/>
    <s v="Profit Cost"/>
    <s v="NPM"/>
    <s v="Y"/>
    <n v="5.49"/>
    <n v="1.1"/>
    <x v="4"/>
    <s v="VALIDATED"/>
    <n v="1"/>
    <s v="01.11.80.307.6100.0000"/>
    <n v="5.49"/>
    <s v="11"/>
    <s v="6100"/>
    <n v="43154.65"/>
    <n v="5.49"/>
    <s v="CREDITOR"/>
    <n v="0"/>
    <n v="0"/>
    <n v="0"/>
    <n v="0"/>
    <n v="5.49"/>
  </r>
  <r>
    <n v="11594527"/>
    <s v="N"/>
    <n v="21337864"/>
    <s v="3000006991410004"/>
    <s v="CIVIL"/>
    <d v="2023-06-27T00:00:00"/>
    <d v="2023-07-06T19:21:01"/>
    <m/>
    <d v="2023-07-06T00:00:00"/>
    <n v="924"/>
    <n v="2281"/>
    <s v="11594527"/>
    <s v="11594527"/>
    <m/>
    <m/>
    <n v="22768496"/>
    <m/>
    <m/>
    <m/>
    <s v="SOLFIN"/>
    <s v="SOLFIN"/>
    <s v="CCMS"/>
    <n v="21337864"/>
    <n v="6756.82"/>
    <m/>
    <s v="N"/>
    <n v="89"/>
    <d v="2023-07-06T19:21:09"/>
    <s v="Y"/>
    <s v="Preparation - other"/>
    <s v="Prescribed Hourly Rates"/>
    <s v="Profit Cost"/>
    <s v="NPM"/>
    <s v="Y"/>
    <n v="16.47"/>
    <n v="3.29"/>
    <x v="4"/>
    <s v="VALIDATED"/>
    <n v="1"/>
    <s v="01.11.80.307.6100.0000"/>
    <n v="16.47"/>
    <s v="11"/>
    <s v="6100"/>
    <n v="43154.65"/>
    <n v="16.47"/>
    <s v="CREDITOR"/>
    <n v="0"/>
    <n v="0"/>
    <n v="0"/>
    <n v="0"/>
    <n v="16.47"/>
  </r>
  <r>
    <n v="10788846"/>
    <s v="N"/>
    <n v="21338341"/>
    <s v="3000006570470018"/>
    <s v="CIVIL"/>
    <d v="2023-06-28T00:00:00"/>
    <d v="2023-07-06T19:21:01"/>
    <m/>
    <d v="2023-07-06T00:00:00"/>
    <n v="924"/>
    <n v="2281"/>
    <s v="10788846"/>
    <s v="10788846"/>
    <m/>
    <m/>
    <n v="22777146"/>
    <m/>
    <m/>
    <m/>
    <s v="SOLFIN"/>
    <s v="SOLFIN"/>
    <s v="CCMS"/>
    <n v="21338341"/>
    <n v="1098.86"/>
    <m/>
    <s v="N"/>
    <n v="2"/>
    <d v="2023-07-06T19:21:20"/>
    <s v="Y"/>
    <s v="Process server"/>
    <s v="Domestic Abuse"/>
    <s v="Expert Disbursement"/>
    <s v="ROS"/>
    <s v="Y"/>
    <n v="136.88"/>
    <n v="0"/>
    <x v="4"/>
    <s v="VALIDATED"/>
    <n v="1"/>
    <s v="01.11.80.307.6300.0000"/>
    <n v="136.88"/>
    <s v="11"/>
    <s v="6300"/>
    <n v="43154.65"/>
    <n v="136.88"/>
    <s v="CREDITOR"/>
    <n v="0"/>
    <n v="0"/>
    <n v="0"/>
    <n v="0"/>
    <n v="136.88"/>
  </r>
  <r>
    <n v="6022968"/>
    <s v="N"/>
    <n v="21331042"/>
    <s v="3000002607450005"/>
    <s v="CIVIL"/>
    <d v="2023-06-23T00:00:00"/>
    <d v="2023-07-05T19:01:47"/>
    <m/>
    <d v="2023-07-05T00:00:00"/>
    <n v="924"/>
    <n v="2281"/>
    <s v="6022968"/>
    <s v="6022968"/>
    <m/>
    <m/>
    <n v="22748538"/>
    <m/>
    <m/>
    <m/>
    <s v="SOLFIN"/>
    <s v="SOLFIN"/>
    <s v="CCMS"/>
    <n v="21331042"/>
    <n v="2416.22"/>
    <m/>
    <s v="N"/>
    <n v="6"/>
    <d v="2023-07-05T19:02:03"/>
    <s v="Y"/>
    <s v="Preparation - other"/>
    <s v="Prescribed Hourly Rates"/>
    <s v="Profit Cost"/>
    <s v="RS"/>
    <s v="Y"/>
    <n v="36.6"/>
    <n v="7.32"/>
    <x v="6"/>
    <s v="VALIDATED"/>
    <n v="1"/>
    <s v="01.11.80.307.6100.0000"/>
    <n v="36.6"/>
    <s v="11"/>
    <s v="6100"/>
    <n v="43154.65"/>
    <n v="36.6"/>
    <s v="CREDITOR"/>
    <n v="0"/>
    <n v="0"/>
    <n v="0"/>
    <n v="0"/>
    <n v="36.6"/>
  </r>
  <r>
    <n v="6022968"/>
    <s v="N"/>
    <n v="21331042"/>
    <s v="3000002607450005"/>
    <s v="CIVIL"/>
    <d v="2023-06-23T00:00:00"/>
    <d v="2023-07-05T19:01:47"/>
    <m/>
    <d v="2023-07-05T00:00:00"/>
    <n v="924"/>
    <n v="2281"/>
    <s v="6022968"/>
    <s v="6022968"/>
    <m/>
    <m/>
    <n v="22748538"/>
    <m/>
    <m/>
    <m/>
    <s v="SOLFIN"/>
    <s v="SOLFIN"/>
    <s v="CCMS"/>
    <n v="21331042"/>
    <n v="2416.22"/>
    <m/>
    <s v="N"/>
    <n v="9"/>
    <d v="2023-07-05T19:02:03"/>
    <s v="Y"/>
    <s v="Preparation - other"/>
    <s v="Prescribed Hourly Rates"/>
    <s v="Profit Cost"/>
    <s v="RS"/>
    <s v="Y"/>
    <n v="91.5"/>
    <n v="18.3"/>
    <x v="6"/>
    <s v="VALIDATED"/>
    <n v="1"/>
    <s v="01.11.80.307.6100.0000"/>
    <n v="91.5"/>
    <s v="11"/>
    <s v="6100"/>
    <n v="43154.65"/>
    <n v="91.5"/>
    <s v="CREDITOR"/>
    <n v="0"/>
    <n v="0"/>
    <n v="0"/>
    <n v="0"/>
    <n v="91.5"/>
  </r>
  <r>
    <n v="60950874"/>
    <s v="N"/>
    <n v="21360551"/>
    <s v="3000015160760008"/>
    <s v="CIVIL"/>
    <d v="2023-06-30T00:00:00"/>
    <d v="2023-07-11T11:50:54"/>
    <m/>
    <d v="2023-07-11T00:00:00"/>
    <n v="924"/>
    <n v="2281"/>
    <s v="60950874"/>
    <s v="60950874"/>
    <m/>
    <m/>
    <n v="22794622"/>
    <m/>
    <m/>
    <m/>
    <s v="SOLFIN"/>
    <s v="SOLFIN"/>
    <s v="CCMS"/>
    <n v="21360551"/>
    <n v="11550.02"/>
    <m/>
    <s v="N"/>
    <n v="122"/>
    <d v="2023-07-11T11:51:09"/>
    <s v="Y"/>
    <s v="Attendance upon client"/>
    <s v="Prescribed Hourly Rates"/>
    <s v="Profit Cost"/>
    <s v="RS"/>
    <s v="Y"/>
    <n v="148.23"/>
    <n v="29.64"/>
    <x v="7"/>
    <s v="VALIDATED"/>
    <n v="1"/>
    <s v="01.11.80.307.6100.0000"/>
    <n v="148.23"/>
    <s v="11"/>
    <s v="6100"/>
    <n v="43154.65"/>
    <n v="148.23"/>
    <s v="CREDITOR"/>
    <n v="0"/>
    <n v="0"/>
    <n v="0"/>
    <n v="0"/>
    <n v="148.23"/>
  </r>
  <r>
    <n v="60950874"/>
    <s v="N"/>
    <n v="21360551"/>
    <s v="3000015160760008"/>
    <s v="CIVIL"/>
    <d v="2023-06-30T00:00:00"/>
    <d v="2023-07-11T11:50:54"/>
    <m/>
    <d v="2023-07-11T00:00:00"/>
    <n v="924"/>
    <n v="2281"/>
    <s v="60950874"/>
    <s v="60950874"/>
    <m/>
    <m/>
    <n v="22794622"/>
    <m/>
    <m/>
    <m/>
    <s v="SOLFIN"/>
    <s v="SOLFIN"/>
    <s v="CCMS"/>
    <n v="21360551"/>
    <n v="11550.02"/>
    <m/>
    <s v="N"/>
    <n v="106"/>
    <d v="2023-07-11T11:51:09"/>
    <s v="Y"/>
    <s v="Preparation - other"/>
    <s v="Prescribed Hourly Rates"/>
    <s v="Profit Cost"/>
    <s v="RS"/>
    <s v="Y"/>
    <n v="128.47"/>
    <n v="25.69"/>
    <x v="7"/>
    <s v="VALIDATED"/>
    <n v="1"/>
    <s v="01.11.80.307.6100.0000"/>
    <n v="128.47"/>
    <s v="11"/>
    <s v="6100"/>
    <n v="43154.65"/>
    <n v="128.47"/>
    <s v="CREDITOR"/>
    <n v="0"/>
    <n v="0"/>
    <n v="0"/>
    <n v="0"/>
    <n v="128.47"/>
  </r>
  <r>
    <n v="60950874"/>
    <s v="N"/>
    <n v="21360551"/>
    <s v="3000015160760008"/>
    <s v="CIVIL"/>
    <d v="2023-06-30T00:00:00"/>
    <d v="2023-07-11T11:50:54"/>
    <m/>
    <d v="2023-07-11T00:00:00"/>
    <n v="924"/>
    <n v="2281"/>
    <s v="60950874"/>
    <s v="60950874"/>
    <m/>
    <m/>
    <n v="22794622"/>
    <m/>
    <m/>
    <m/>
    <s v="SOLFIN"/>
    <s v="SOLFIN"/>
    <s v="CCMS"/>
    <n v="21360551"/>
    <n v="11550.02"/>
    <m/>
    <s v="N"/>
    <n v="107"/>
    <d v="2023-07-11T11:51:09"/>
    <s v="Y"/>
    <s v="Preparation - other"/>
    <s v="Prescribed Hourly Rates"/>
    <s v="Profit Cost"/>
    <s v="RS"/>
    <s v="Y"/>
    <n v="4.94"/>
    <n v="0.99"/>
    <x v="7"/>
    <s v="VALIDATED"/>
    <n v="1"/>
    <s v="01.11.80.307.6100.0000"/>
    <n v="4.94"/>
    <s v="11"/>
    <s v="6100"/>
    <n v="43154.65"/>
    <n v="4.94"/>
    <s v="CREDITOR"/>
    <n v="0"/>
    <n v="0"/>
    <n v="0"/>
    <n v="0"/>
    <n v="4.94"/>
  </r>
  <r>
    <n v="14064052"/>
    <s v="N"/>
    <n v="21349905"/>
    <s v="3000007298400008"/>
    <s v="CIVIL"/>
    <d v="2023-06-29T00:00:00"/>
    <d v="2023-07-10T19:01:40"/>
    <m/>
    <d v="2023-07-10T00:00:00"/>
    <n v="924"/>
    <n v="2281"/>
    <s v="14064052"/>
    <s v="14064052"/>
    <m/>
    <m/>
    <n v="22788366"/>
    <m/>
    <m/>
    <m/>
    <s v="SOLFIN"/>
    <s v="SOLFIN"/>
    <s v="CCMS"/>
    <n v="21349905"/>
    <n v="4899.44"/>
    <m/>
    <s v="N"/>
    <n v="4"/>
    <d v="2023-07-10T19:02:03"/>
    <s v="Y"/>
    <s v="Hearing Unit 0.00 - 1.00 Hours"/>
    <s v="Domestic Abuse"/>
    <s v="Advocacy"/>
    <s v="ROS"/>
    <s v="Y"/>
    <n v="81.5"/>
    <n v="16.3"/>
    <x v="2"/>
    <s v="VALIDATED"/>
    <n v="1"/>
    <s v="01.11.80.302.6100.0000"/>
    <n v="81.5"/>
    <s v="11"/>
    <s v="6100"/>
    <n v="43154.65"/>
    <n v="81.5"/>
    <s v="CREDITOR"/>
    <n v="0"/>
    <n v="0"/>
    <n v="0"/>
    <n v="0"/>
    <n v="81.5"/>
  </r>
  <r>
    <n v="8647673"/>
    <s v="N"/>
    <n v="21349284"/>
    <s v="3000004688890022"/>
    <s v="CIVIL"/>
    <d v="2023-06-27T00:00:00"/>
    <d v="2023-07-10T19:01:40"/>
    <m/>
    <d v="2023-07-10T00:00:00"/>
    <n v="924"/>
    <n v="2281"/>
    <s v="8647673"/>
    <s v="8647673"/>
    <m/>
    <m/>
    <n v="22771220"/>
    <m/>
    <m/>
    <m/>
    <s v="SOLFIN"/>
    <s v="SOLFIN"/>
    <s v="CCMS"/>
    <n v="21349284"/>
    <n v="14502.62"/>
    <m/>
    <s v="N"/>
    <n v="62"/>
    <d v="2023-07-10T19:01:43"/>
    <s v="Y"/>
    <s v="Preparation - drafting application"/>
    <s v="Prescribed Hourly Rates"/>
    <s v="Profit Cost"/>
    <s v="ROS"/>
    <s v="Y"/>
    <n v="37.06"/>
    <n v="7.41"/>
    <x v="2"/>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14"/>
    <d v="2023-07-06T19:21:09"/>
    <s v="Y"/>
    <s v="Attendance upon client"/>
    <s v="Prescribed Hourly Rates"/>
    <s v="Profit Cost"/>
    <s v="RS"/>
    <s v="Y"/>
    <n v="74.12"/>
    <n v="14.82"/>
    <x v="4"/>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28"/>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38"/>
    <d v="2023-07-11T11:51:09"/>
    <s v="Y"/>
    <s v="Preparation - other"/>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112"/>
    <d v="2023-07-11T11:51:09"/>
    <s v="Y"/>
    <s v="Preparation - drafting instructions"/>
    <s v="Prescribed Hourly Rates"/>
    <s v="Profit Cost"/>
    <s v="RS"/>
    <s v="Y"/>
    <n v="49.41"/>
    <n v="9.880000000000001"/>
    <x v="7"/>
    <s v="VALIDATED"/>
    <n v="1"/>
    <s v="01.11.80.307.6100.0000"/>
    <n v="49.41"/>
    <s v="11"/>
    <s v="6100"/>
    <n v="43154.65"/>
    <n v="49.41"/>
    <s v="CREDITOR"/>
    <n v="0"/>
    <n v="0"/>
    <n v="0"/>
    <n v="0"/>
    <n v="49.41"/>
  </r>
  <r>
    <n v="10004121"/>
    <s v="N"/>
    <n v="21360316"/>
    <s v="3000005900070010"/>
    <s v="CIVIL"/>
    <d v="2023-06-28T00:00:00"/>
    <d v="2023-07-11T11:50:54"/>
    <m/>
    <d v="2023-07-11T00:00:00"/>
    <n v="924"/>
    <n v="2281"/>
    <s v="10004121"/>
    <s v="10004121"/>
    <m/>
    <m/>
    <n v="22778134"/>
    <m/>
    <m/>
    <m/>
    <s v="SOLFIN"/>
    <s v="SOLFIN"/>
    <s v="CCMS"/>
    <n v="21360316"/>
    <n v="7425.76"/>
    <m/>
    <s v="N"/>
    <n v="98"/>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64"/>
    <d v="2023-07-11T11:51:02"/>
    <s v="Y"/>
    <s v="Preparation - other"/>
    <s v="Prescribed Hourly Rates"/>
    <s v="Profit Cost"/>
    <s v="RS"/>
    <s v="Y"/>
    <n v="94.7"/>
    <n v="18.94"/>
    <x v="7"/>
    <s v="VALIDATED"/>
    <n v="1"/>
    <s v="01.11.80.307.6100.0000"/>
    <n v="94.7"/>
    <s v="11"/>
    <s v="6100"/>
    <n v="43154.65"/>
    <n v="94.7"/>
    <s v="CREDITOR"/>
    <n v="0"/>
    <n v="0"/>
    <n v="0"/>
    <n v="0"/>
    <n v="94.7"/>
  </r>
  <r>
    <n v="10004121"/>
    <s v="N"/>
    <n v="21360316"/>
    <s v="3000005900070010"/>
    <s v="CIVIL"/>
    <d v="2023-06-28T00:00:00"/>
    <d v="2023-07-11T11:50:54"/>
    <m/>
    <d v="2023-07-11T00:00:00"/>
    <n v="924"/>
    <n v="2281"/>
    <s v="10004121"/>
    <s v="10004121"/>
    <m/>
    <m/>
    <n v="22778134"/>
    <m/>
    <m/>
    <m/>
    <s v="SOLFIN"/>
    <s v="SOLFIN"/>
    <s v="CCMS"/>
    <n v="21360316"/>
    <n v="7425.76"/>
    <m/>
    <s v="N"/>
    <n v="13"/>
    <d v="2023-07-11T11:51:02"/>
    <s v="Y"/>
    <s v="Preparation - other"/>
    <s v="Prescribed Hourly Rates"/>
    <s v="Profit Cost"/>
    <s v="RS"/>
    <s v="Y"/>
    <n v="6.31"/>
    <n v="1.26"/>
    <x v="7"/>
    <s v="VALIDATED"/>
    <n v="1"/>
    <s v="01.11.80.307.6100.0000"/>
    <n v="6.31"/>
    <s v="11"/>
    <s v="6100"/>
    <n v="43154.65"/>
    <n v="6.31"/>
    <s v="CREDITOR"/>
    <n v="0"/>
    <n v="0"/>
    <n v="0"/>
    <n v="0"/>
    <n v="6.31"/>
  </r>
  <r>
    <n v="14064052"/>
    <s v="N"/>
    <n v="21349905"/>
    <s v="3000007298400008"/>
    <s v="CIVIL"/>
    <d v="2023-06-29T00:00:00"/>
    <d v="2023-07-10T19:01:40"/>
    <m/>
    <d v="2023-07-10T00:00:00"/>
    <n v="924"/>
    <n v="2281"/>
    <s v="14064052"/>
    <s v="14064052"/>
    <m/>
    <m/>
    <n v="22788366"/>
    <m/>
    <m/>
    <m/>
    <s v="SOLFIN"/>
    <s v="SOLFIN"/>
    <s v="CCMS"/>
    <n v="21349905"/>
    <n v="4899.44"/>
    <m/>
    <s v="N"/>
    <n v="30"/>
    <d v="2023-07-10T19:02:03"/>
    <s v="Y"/>
    <s v="Preparation - other"/>
    <s v="Prescribed Hourly Rates"/>
    <s v="Profit Cost"/>
    <s v="ROS"/>
    <s v="Y"/>
    <n v="25.25"/>
    <n v="5.05"/>
    <x v="2"/>
    <s v="VALIDATED"/>
    <n v="1"/>
    <s v="01.11.80.302.6100.0000"/>
    <n v="25.25"/>
    <s v="11"/>
    <s v="6100"/>
    <n v="43154.65"/>
    <n v="25.25"/>
    <s v="CREDITOR"/>
    <n v="0"/>
    <n v="0"/>
    <n v="0"/>
    <n v="0"/>
    <n v="25.25"/>
  </r>
  <r>
    <n v="61313803"/>
    <s v="N"/>
    <n v="21350025"/>
    <s v="3000015470000008"/>
    <s v="CIVIL"/>
    <d v="2023-06-29T00:00:00"/>
    <d v="2023-07-10T19:01:40"/>
    <m/>
    <d v="2023-07-10T00:00:00"/>
    <n v="924"/>
    <n v="2281"/>
    <s v="61313803"/>
    <s v="61313803"/>
    <m/>
    <m/>
    <n v="22789528"/>
    <m/>
    <m/>
    <m/>
    <s v="SOLFIN"/>
    <s v="SOLFIN"/>
    <s v="CCMS"/>
    <n v="21350025"/>
    <n v="6800.74"/>
    <m/>
    <s v="N"/>
    <n v="43"/>
    <d v="2023-07-10T19:02:09"/>
    <s v="Y"/>
    <s v="Attendance upon client"/>
    <s v="Prescribed Hourly Rates"/>
    <s v="Profit Cost"/>
    <s v="RS"/>
    <s v="Y"/>
    <n v="148.23"/>
    <n v="29.64"/>
    <x v="2"/>
    <s v="VALIDATED"/>
    <n v="1"/>
    <s v="01.11.80.307.6100.0000"/>
    <n v="148.23"/>
    <s v="11"/>
    <s v="6100"/>
    <n v="43154.65"/>
    <n v="148.23"/>
    <s v="CREDITOR"/>
    <n v="0"/>
    <n v="0"/>
    <n v="0"/>
    <n v="0"/>
    <n v="148.23"/>
  </r>
  <r>
    <n v="56409031"/>
    <s v="N"/>
    <n v="21349897"/>
    <s v="3000013405050005"/>
    <s v="CIVIL"/>
    <d v="2023-06-30T00:00:00"/>
    <d v="2023-07-10T19:01:40"/>
    <m/>
    <d v="2023-07-10T00:00:00"/>
    <n v="924"/>
    <n v="2281"/>
    <s v="56409031"/>
    <s v="56409031"/>
    <m/>
    <m/>
    <n v="22794626"/>
    <m/>
    <m/>
    <m/>
    <s v="SOLFIN"/>
    <s v="SOLFIN"/>
    <s v="CCMS"/>
    <n v="21349897"/>
    <n v="1432.16"/>
    <m/>
    <s v="N"/>
    <n v="3"/>
    <d v="2023-07-10T19:02:02"/>
    <s v="Y"/>
    <s v="Hearing Unit 1.01 - 2.30 Hours"/>
    <s v="Private Law Children"/>
    <s v="Advocacy"/>
    <s v="RS"/>
    <s v="Y"/>
    <n v="156.74"/>
    <n v="31.35"/>
    <x v="2"/>
    <s v="VALIDATED"/>
    <n v="1"/>
    <s v="01.11.80.307.6100.0000"/>
    <n v="156.74"/>
    <s v="11"/>
    <s v="6100"/>
    <n v="43154.65"/>
    <n v="156.74"/>
    <s v="CREDITOR"/>
    <n v="0"/>
    <n v="0"/>
    <n v="0"/>
    <n v="0"/>
    <n v="156.74"/>
  </r>
  <r>
    <n v="11594527"/>
    <s v="N"/>
    <n v="21337864"/>
    <s v="3000006991410004"/>
    <s v="CIVIL"/>
    <d v="2023-06-27T00:00:00"/>
    <d v="2023-07-06T19:21:01"/>
    <m/>
    <d v="2023-07-06T00:00:00"/>
    <n v="924"/>
    <n v="2281"/>
    <s v="11594527"/>
    <s v="11594527"/>
    <m/>
    <m/>
    <n v="22768496"/>
    <m/>
    <m/>
    <m/>
    <s v="SOLFIN"/>
    <s v="SOLFIN"/>
    <s v="CCMS"/>
    <n v="21337864"/>
    <n v="6756.82"/>
    <m/>
    <s v="N"/>
    <n v="16"/>
    <d v="2023-07-06T19:21:09"/>
    <s v="Y"/>
    <s v="Preparation - other"/>
    <s v="Prescribed Hourly Rates"/>
    <s v="Profit Cost"/>
    <s v="NPM"/>
    <s v="Y"/>
    <n v="10.98"/>
    <n v="2.2"/>
    <x v="4"/>
    <s v="VALIDATED"/>
    <n v="1"/>
    <s v="01.11.80.307.6100.0000"/>
    <n v="10.98"/>
    <s v="11"/>
    <s v="6100"/>
    <n v="43154.65"/>
    <n v="10.98"/>
    <s v="CREDITOR"/>
    <n v="0"/>
    <n v="0"/>
    <n v="0"/>
    <n v="0"/>
    <n v="10.98"/>
  </r>
  <r>
    <n v="62275874"/>
    <s v="N"/>
    <n v="21327565"/>
    <s v="3000016271980001"/>
    <s v="CIVIL"/>
    <d v="2023-06-30T00:00:00"/>
    <d v="2023-07-04T19:00:44"/>
    <m/>
    <d v="2023-07-04T00:00:00"/>
    <n v="924"/>
    <n v="2281"/>
    <s v="62275874"/>
    <s v="62275874"/>
    <m/>
    <m/>
    <n v="22794040"/>
    <m/>
    <m/>
    <m/>
    <s v="SOLPOA"/>
    <s v="SOLPOA"/>
    <s v="CCMS"/>
    <n v="21327565"/>
    <n v="232"/>
    <m/>
    <s v="N"/>
    <n v="1"/>
    <d v="2023-07-04T19:00:50"/>
    <s v="N"/>
    <s v="Non Expert Disbursement - Private L"/>
    <s v="Non Expert Disbursement - Priv"/>
    <s v="Non Expert Disbursement"/>
    <s v="Richard Singh"/>
    <s v="N"/>
    <n v="232"/>
    <n v="0"/>
    <x v="1"/>
    <s v="VALIDATED"/>
    <n v="1"/>
    <s v="01.11.80.307.2012.0000"/>
    <n v="232"/>
    <s v="11"/>
    <s v="2012"/>
    <n v="43154.65"/>
    <n v="232"/>
    <s v="CREDITOR"/>
    <n v="232"/>
    <n v="0"/>
    <n v="0"/>
    <n v="0"/>
    <n v="0"/>
  </r>
  <r>
    <n v="61516378"/>
    <s v="N"/>
    <n v="21327661"/>
    <s v="3000015637370011"/>
    <s v="CIVIL"/>
    <d v="2023-06-29T00:00:00"/>
    <d v="2023-07-04T19:00:44"/>
    <m/>
    <d v="2023-07-04T00:00:00"/>
    <n v="924"/>
    <n v="2281"/>
    <s v="61516378"/>
    <s v="61516378"/>
    <m/>
    <m/>
    <n v="22784654"/>
    <m/>
    <m/>
    <m/>
    <s v="SOLPOA"/>
    <s v="SOLPOA"/>
    <s v="CCMS"/>
    <n v="21327661"/>
    <n v="1536"/>
    <m/>
    <s v="N"/>
    <n v="1"/>
    <d v="2023-07-04T19:00:51"/>
    <s v="N"/>
    <s v="Expert Cost - Private Law Children"/>
    <s v="Expert Cost - Private Law Chil"/>
    <s v="Expert Disbursement"/>
    <s v="Richard Singh"/>
    <s v="N"/>
    <n v="1280"/>
    <n v="256"/>
    <x v="1"/>
    <s v="VALIDATED"/>
    <n v="1"/>
    <s v="01.11.80.307.2012.0000"/>
    <n v="1280"/>
    <s v="11"/>
    <s v="2012"/>
    <n v="43154.65"/>
    <n v="1280"/>
    <s v="CREDITOR"/>
    <n v="1280"/>
    <n v="0"/>
    <n v="0"/>
    <n v="0"/>
    <n v="0"/>
  </r>
  <r>
    <n v="10004121"/>
    <s v="N"/>
    <n v="21360316"/>
    <s v="3000005900070010"/>
    <s v="CIVIL"/>
    <d v="2023-06-28T00:00:00"/>
    <d v="2023-07-11T11:50:54"/>
    <m/>
    <d v="2023-07-11T00:00:00"/>
    <n v="924"/>
    <n v="2281"/>
    <s v="10004121"/>
    <s v="10004121"/>
    <m/>
    <m/>
    <n v="22778134"/>
    <m/>
    <m/>
    <m/>
    <s v="SOLFIN"/>
    <s v="SOLFIN"/>
    <s v="CCMS"/>
    <n v="21360316"/>
    <n v="7425.76"/>
    <m/>
    <s v="N"/>
    <n v="86"/>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95"/>
    <d v="2023-07-11T11:51:02"/>
    <s v="Y"/>
    <s v="Preparation - other"/>
    <s v="Prescribed Hourly Rates"/>
    <s v="Profit Cost"/>
    <s v="RS"/>
    <s v="Y"/>
    <n v="259.4"/>
    <n v="51.87"/>
    <x v="7"/>
    <s v="VALIDATED"/>
    <n v="1"/>
    <s v="01.11.80.307.6100.0000"/>
    <n v="259.4"/>
    <s v="11"/>
    <s v="6100"/>
    <n v="43154.65"/>
    <n v="259.4"/>
    <s v="CREDITOR"/>
    <n v="0"/>
    <n v="0"/>
    <n v="0"/>
    <n v="0"/>
    <n v="259.4"/>
  </r>
  <r>
    <n v="10004121"/>
    <s v="N"/>
    <n v="21360316"/>
    <s v="3000005900070010"/>
    <s v="CIVIL"/>
    <d v="2023-06-28T00:00:00"/>
    <d v="2023-07-11T11:50:54"/>
    <m/>
    <d v="2023-07-11T00:00:00"/>
    <n v="924"/>
    <n v="2281"/>
    <s v="10004121"/>
    <s v="10004121"/>
    <m/>
    <m/>
    <n v="22778134"/>
    <m/>
    <m/>
    <m/>
    <s v="SOLFIN"/>
    <s v="SOLFIN"/>
    <s v="CCMS"/>
    <n v="21360316"/>
    <n v="7425.76"/>
    <m/>
    <s v="N"/>
    <n v="16"/>
    <d v="2023-07-11T11:51:02"/>
    <s v="Y"/>
    <s v="Preparation - drafting instructions"/>
    <s v="Prescribed Hourly Rates"/>
    <s v="Profit Cost"/>
    <s v="RS"/>
    <s v="Y"/>
    <n v="37.06"/>
    <n v="7.41"/>
    <x v="7"/>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34"/>
    <d v="2023-07-10T19:02:09"/>
    <s v="Y"/>
    <s v="Attendance upon client"/>
    <s v="Prescribed Hourly Rates"/>
    <s v="Profit Cost"/>
    <s v="RS"/>
    <s v="Y"/>
    <n v="148.23"/>
    <n v="29.64"/>
    <x v="2"/>
    <s v="VALIDATED"/>
    <n v="1"/>
    <s v="01.11.80.307.6100.0000"/>
    <n v="148.23"/>
    <s v="11"/>
    <s v="6100"/>
    <n v="43154.65"/>
    <n v="148.23"/>
    <s v="CREDITOR"/>
    <n v="0"/>
    <n v="0"/>
    <n v="0"/>
    <n v="0"/>
    <n v="148.23"/>
  </r>
  <r>
    <n v="8647673"/>
    <s v="N"/>
    <n v="21349284"/>
    <s v="3000004688890022"/>
    <s v="CIVIL"/>
    <d v="2023-06-27T00:00:00"/>
    <d v="2023-07-10T19:01:40"/>
    <m/>
    <d v="2023-07-10T00:00:00"/>
    <n v="924"/>
    <n v="2281"/>
    <s v="8647673"/>
    <s v="8647673"/>
    <m/>
    <m/>
    <n v="22771220"/>
    <m/>
    <m/>
    <m/>
    <s v="SOLFIN"/>
    <s v="SOLFIN"/>
    <s v="CCMS"/>
    <n v="21349284"/>
    <n v="14502.62"/>
    <m/>
    <s v="N"/>
    <n v="111"/>
    <d v="2023-07-10T19:01:43"/>
    <s v="Y"/>
    <s v="Attendance upon client"/>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113"/>
    <d v="2023-07-10T19:01:43"/>
    <s v="Y"/>
    <s v="Preparation - other"/>
    <s v="Prescribed Hourly Rates"/>
    <s v="Profit Cost"/>
    <s v="ROS"/>
    <s v="Y"/>
    <n v="22.23"/>
    <n v="4.45"/>
    <x v="2"/>
    <s v="VALIDATED"/>
    <n v="1"/>
    <s v="01.11.80.307.6100.0000"/>
    <n v="22.23"/>
    <s v="11"/>
    <s v="6100"/>
    <n v="43154.65"/>
    <n v="22.23"/>
    <s v="CREDITOR"/>
    <n v="0"/>
    <n v="0"/>
    <n v="0"/>
    <n v="0"/>
    <n v="22.23"/>
  </r>
  <r>
    <n v="8647673"/>
    <s v="N"/>
    <n v="21349284"/>
    <s v="3000004688890022"/>
    <s v="CIVIL"/>
    <d v="2023-06-27T00:00:00"/>
    <d v="2023-07-10T19:01:40"/>
    <m/>
    <d v="2023-07-10T00:00:00"/>
    <n v="924"/>
    <n v="2281"/>
    <s v="8647673"/>
    <s v="8647673"/>
    <m/>
    <m/>
    <n v="22771220"/>
    <m/>
    <m/>
    <m/>
    <s v="SOLFIN"/>
    <s v="SOLFIN"/>
    <s v="CCMS"/>
    <n v="21349284"/>
    <n v="14502.62"/>
    <m/>
    <s v="N"/>
    <n v="116"/>
    <d v="2023-07-10T19:01:43"/>
    <s v="Y"/>
    <s v="Preparation - other"/>
    <s v="Prescribed Hourly Rates"/>
    <s v="Profit Cost"/>
    <s v="CD"/>
    <s v="Y"/>
    <n v="27.45"/>
    <n v="5.49"/>
    <x v="2"/>
    <s v="VALIDATED"/>
    <n v="1"/>
    <s v="01.11.80.307.6100.0000"/>
    <n v="27.45"/>
    <s v="11"/>
    <s v="6100"/>
    <n v="43154.65"/>
    <n v="27.45"/>
    <s v="CREDITOR"/>
    <n v="0"/>
    <n v="0"/>
    <n v="0"/>
    <n v="0"/>
    <n v="27.45"/>
  </r>
  <r>
    <n v="8647673"/>
    <s v="N"/>
    <n v="21349284"/>
    <s v="3000004688890022"/>
    <s v="CIVIL"/>
    <d v="2023-06-27T00:00:00"/>
    <d v="2023-07-10T19:01:40"/>
    <m/>
    <d v="2023-07-10T00:00:00"/>
    <n v="924"/>
    <n v="2281"/>
    <s v="8647673"/>
    <s v="8647673"/>
    <m/>
    <m/>
    <n v="22771220"/>
    <m/>
    <m/>
    <m/>
    <s v="SOLFIN"/>
    <s v="SOLFIN"/>
    <s v="CCMS"/>
    <n v="21349284"/>
    <n v="14502.62"/>
    <m/>
    <s v="N"/>
    <n v="35"/>
    <d v="2023-07-10T19:01:43"/>
    <s v="Y"/>
    <s v="Preparation - other"/>
    <s v="Prescribed Hourly Rates"/>
    <s v="Profit Cost"/>
    <s v="ROS"/>
    <s v="Y"/>
    <n v="37.06"/>
    <n v="7.41"/>
    <x v="2"/>
    <s v="VALIDATED"/>
    <n v="1"/>
    <s v="01.11.80.307.6100.0000"/>
    <n v="37.06"/>
    <s v="11"/>
    <s v="6100"/>
    <n v="43154.65"/>
    <n v="37.06"/>
    <s v="CREDITOR"/>
    <n v="0"/>
    <n v="0"/>
    <n v="0"/>
    <n v="0"/>
    <n v="37.06"/>
  </r>
  <r>
    <n v="11594527"/>
    <s v="N"/>
    <n v="21337864"/>
    <s v="3000006991410004"/>
    <s v="CIVIL"/>
    <d v="2023-06-27T00:00:00"/>
    <d v="2023-07-06T19:21:01"/>
    <m/>
    <d v="2023-07-06T00:00:00"/>
    <n v="924"/>
    <n v="2281"/>
    <s v="11594527"/>
    <s v="11594527"/>
    <m/>
    <m/>
    <n v="22768496"/>
    <m/>
    <m/>
    <m/>
    <s v="SOLFIN"/>
    <s v="SOLFIN"/>
    <s v="CCMS"/>
    <n v="21337864"/>
    <n v="6756.82"/>
    <m/>
    <s v="N"/>
    <n v="51"/>
    <d v="2023-07-06T19:21:09"/>
    <s v="Y"/>
    <s v="Preparation - other"/>
    <s v="Prescribed Hourly Rates"/>
    <s v="Profit Cost"/>
    <s v="RS"/>
    <s v="Y"/>
    <n v="18.54"/>
    <n v="3.71"/>
    <x v="4"/>
    <s v="VALIDATED"/>
    <n v="1"/>
    <s v="01.11.80.307.6100.0000"/>
    <n v="18.54"/>
    <s v="11"/>
    <s v="6100"/>
    <n v="43154.65"/>
    <n v="18.54"/>
    <s v="CREDITOR"/>
    <n v="0"/>
    <n v="0"/>
    <n v="0"/>
    <n v="0"/>
    <n v="18.54"/>
  </r>
  <r>
    <n v="60644617"/>
    <s v="N"/>
    <n v="21361029"/>
    <s v="3000014899550001"/>
    <s v="CIVIL"/>
    <d v="2023-05-31T00:00:00"/>
    <d v="2023-07-11T19:00:25"/>
    <m/>
    <d v="2023-07-11T00:00:00"/>
    <n v="924"/>
    <n v="2281"/>
    <s v="60644617"/>
    <s v="60644617"/>
    <m/>
    <m/>
    <n v="22587942"/>
    <m/>
    <m/>
    <m/>
    <s v="SOLFIN"/>
    <s v="SOLFIN"/>
    <s v="CCMS"/>
    <n v="21361029"/>
    <n v="608.4"/>
    <m/>
    <s v="N"/>
    <n v="1"/>
    <d v="2023-07-11T19:00:43"/>
    <s v="Y"/>
    <s v="Level 4 Fixed Fee"/>
    <s v="Domestic Abuse"/>
    <s v="Profit Cost"/>
    <s v="XXX"/>
    <s v="Y"/>
    <n v="507"/>
    <n v="101.4"/>
    <x v="7"/>
    <s v="VALIDATED"/>
    <n v="1"/>
    <s v="01.11.80.302.6100.0000"/>
    <n v="507"/>
    <s v="11"/>
    <s v="6100"/>
    <n v="43154.65"/>
    <n v="507"/>
    <s v="CREDITOR"/>
    <n v="0"/>
    <n v="0"/>
    <n v="0"/>
    <n v="0"/>
    <n v="507"/>
  </r>
  <r>
    <n v="60950874"/>
    <s v="N"/>
    <n v="21360551"/>
    <s v="3000015160760008"/>
    <s v="CIVIL"/>
    <d v="2023-06-30T00:00:00"/>
    <d v="2023-07-11T11:50:54"/>
    <m/>
    <d v="2023-07-11T00:00:00"/>
    <n v="924"/>
    <n v="2281"/>
    <s v="60950874"/>
    <s v="60950874"/>
    <m/>
    <m/>
    <n v="22794622"/>
    <m/>
    <m/>
    <m/>
    <s v="SOLFIN"/>
    <s v="SOLFIN"/>
    <s v="CCMS"/>
    <n v="21360551"/>
    <n v="11550.02"/>
    <m/>
    <s v="N"/>
    <n v="36"/>
    <d v="2023-07-11T11:51:09"/>
    <s v="Y"/>
    <s v="Preparation - other"/>
    <s v="Prescribed Hourly Rates"/>
    <s v="Profit Cost"/>
    <s v="NPM"/>
    <s v="Y"/>
    <n v="16.47"/>
    <n v="3.29"/>
    <x v="7"/>
    <s v="VALIDATED"/>
    <n v="1"/>
    <s v="01.11.80.307.6100.0000"/>
    <n v="16.47"/>
    <s v="11"/>
    <s v="6100"/>
    <n v="43154.65"/>
    <n v="16.47"/>
    <s v="CREDITOR"/>
    <n v="0"/>
    <n v="0"/>
    <n v="0"/>
    <n v="0"/>
    <n v="16.47"/>
  </r>
  <r>
    <n v="60950874"/>
    <s v="N"/>
    <n v="21360551"/>
    <s v="3000015160760008"/>
    <s v="CIVIL"/>
    <d v="2023-06-30T00:00:00"/>
    <d v="2023-07-11T11:50:54"/>
    <m/>
    <d v="2023-07-11T00:00:00"/>
    <n v="924"/>
    <n v="2281"/>
    <s v="60950874"/>
    <s v="60950874"/>
    <m/>
    <m/>
    <n v="22794622"/>
    <m/>
    <m/>
    <m/>
    <s v="SOLFIN"/>
    <s v="SOLFIN"/>
    <s v="CCMS"/>
    <n v="21360551"/>
    <n v="11550.02"/>
    <m/>
    <s v="N"/>
    <n v="47"/>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49"/>
    <d v="2023-07-11T11:51:09"/>
    <s v="Y"/>
    <s v="Attendance upon client"/>
    <s v="Prescribed Hourly Rates"/>
    <s v="Profit Cost"/>
    <s v="RS"/>
    <s v="Y"/>
    <n v="148.23"/>
    <n v="29.64"/>
    <x v="7"/>
    <s v="VALIDATED"/>
    <n v="1"/>
    <s v="01.11.80.307.6100.0000"/>
    <n v="148.23"/>
    <s v="11"/>
    <s v="6100"/>
    <n v="43154.65"/>
    <n v="148.23"/>
    <s v="CREDITOR"/>
    <n v="0"/>
    <n v="0"/>
    <n v="0"/>
    <n v="0"/>
    <n v="148.23"/>
  </r>
  <r>
    <n v="60950874"/>
    <s v="N"/>
    <n v="21360551"/>
    <s v="3000015160760008"/>
    <s v="CIVIL"/>
    <d v="2023-06-30T00:00:00"/>
    <d v="2023-07-11T11:50:54"/>
    <m/>
    <d v="2023-07-11T00:00:00"/>
    <n v="924"/>
    <n v="2281"/>
    <s v="60950874"/>
    <s v="60950874"/>
    <m/>
    <m/>
    <n v="22794622"/>
    <m/>
    <m/>
    <m/>
    <s v="SOLFIN"/>
    <s v="SOLFIN"/>
    <s v="CCMS"/>
    <n v="21360551"/>
    <n v="11550.02"/>
    <m/>
    <s v="N"/>
    <n v="79"/>
    <d v="2023-07-11T11:51:09"/>
    <s v="Y"/>
    <s v="Preparation - other"/>
    <s v="Prescribed Hourly Rates"/>
    <s v="Profit Cost"/>
    <s v="RS"/>
    <s v="Y"/>
    <n v="49.41"/>
    <n v="9.880000000000001"/>
    <x v="7"/>
    <s v="VALIDATED"/>
    <n v="1"/>
    <s v="01.11.80.307.6100.0000"/>
    <n v="49.41"/>
    <s v="11"/>
    <s v="6100"/>
    <n v="43154.65"/>
    <n v="49.41"/>
    <s v="CREDITOR"/>
    <n v="0"/>
    <n v="0"/>
    <n v="0"/>
    <n v="0"/>
    <n v="49.41"/>
  </r>
  <r>
    <n v="60950874"/>
    <s v="N"/>
    <n v="21360551"/>
    <s v="3000015160760008"/>
    <s v="CIVIL"/>
    <d v="2023-06-30T00:00:00"/>
    <d v="2023-07-11T11:50:54"/>
    <m/>
    <d v="2023-07-11T00:00:00"/>
    <n v="924"/>
    <n v="2281"/>
    <s v="60950874"/>
    <s v="60950874"/>
    <m/>
    <m/>
    <n v="22794622"/>
    <m/>
    <m/>
    <m/>
    <s v="SOLFIN"/>
    <s v="SOLFIN"/>
    <s v="CCMS"/>
    <n v="21360551"/>
    <n v="11550.02"/>
    <m/>
    <s v="N"/>
    <n v="109"/>
    <d v="2023-07-11T11:51:09"/>
    <s v="Y"/>
    <s v="Preparation - drafting application"/>
    <s v="Prescribed Hourly Rates"/>
    <s v="Profit Cost"/>
    <s v="RS"/>
    <s v="Y"/>
    <n v="49.41"/>
    <n v="9.880000000000001"/>
    <x v="7"/>
    <s v="VALIDATED"/>
    <n v="1"/>
    <s v="01.11.80.307.6100.0000"/>
    <n v="49.41"/>
    <s v="11"/>
    <s v="6100"/>
    <n v="43154.65"/>
    <n v="49.41"/>
    <s v="CREDITOR"/>
    <n v="0"/>
    <n v="0"/>
    <n v="0"/>
    <n v="0"/>
    <n v="49.41"/>
  </r>
  <r>
    <n v="10004121"/>
    <s v="N"/>
    <n v="21360316"/>
    <s v="3000005900070010"/>
    <s v="CIVIL"/>
    <d v="2023-06-28T00:00:00"/>
    <d v="2023-07-11T11:50:54"/>
    <m/>
    <d v="2023-07-11T00:00:00"/>
    <n v="924"/>
    <n v="2281"/>
    <s v="10004121"/>
    <s v="10004121"/>
    <m/>
    <m/>
    <n v="22778134"/>
    <m/>
    <m/>
    <m/>
    <s v="SOLFIN"/>
    <s v="SOLFIN"/>
    <s v="CCMS"/>
    <n v="21360316"/>
    <n v="7425.76"/>
    <m/>
    <s v="N"/>
    <n v="32"/>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42"/>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57"/>
    <d v="2023-07-11T11:51:02"/>
    <s v="Y"/>
    <s v="Preparation - other"/>
    <s v="Prescribed Hourly Rates"/>
    <s v="Profit Cost"/>
    <s v="RS"/>
    <s v="Y"/>
    <n v="74.12"/>
    <n v="14.82"/>
    <x v="7"/>
    <s v="VALIDATED"/>
    <n v="1"/>
    <s v="01.11.80.307.6100.0000"/>
    <n v="74.12"/>
    <s v="11"/>
    <s v="6100"/>
    <n v="43154.65"/>
    <n v="74.12"/>
    <s v="CREDITOR"/>
    <n v="0"/>
    <n v="0"/>
    <n v="0"/>
    <n v="0"/>
    <n v="74.12"/>
  </r>
  <r>
    <n v="14064052"/>
    <s v="N"/>
    <n v="21349905"/>
    <s v="3000007298400008"/>
    <s v="CIVIL"/>
    <d v="2023-06-29T00:00:00"/>
    <d v="2023-07-10T19:01:40"/>
    <m/>
    <d v="2023-07-10T00:00:00"/>
    <n v="924"/>
    <n v="2281"/>
    <s v="14064052"/>
    <s v="14064052"/>
    <m/>
    <m/>
    <n v="22788366"/>
    <m/>
    <m/>
    <m/>
    <s v="SOLFIN"/>
    <s v="SOLFIN"/>
    <s v="CCMS"/>
    <n v="21349905"/>
    <n v="4899.44"/>
    <m/>
    <s v="N"/>
    <n v="19"/>
    <d v="2023-07-10T19:02:03"/>
    <s v="Y"/>
    <s v="Attendance upon client"/>
    <s v="Prescribed Hourly Rates"/>
    <s v="Profit Cost"/>
    <s v="ROS"/>
    <s v="Y"/>
    <n v="63.14"/>
    <n v="12.63"/>
    <x v="2"/>
    <s v="VALIDATED"/>
    <n v="1"/>
    <s v="01.11.80.302.6100.0000"/>
    <n v="63.14"/>
    <s v="11"/>
    <s v="6100"/>
    <n v="43154.65"/>
    <n v="63.14"/>
    <s v="CREDITOR"/>
    <n v="0"/>
    <n v="0"/>
    <n v="0"/>
    <n v="0"/>
    <n v="63.14"/>
  </r>
  <r>
    <n v="61313803"/>
    <s v="N"/>
    <n v="21350025"/>
    <s v="3000015470000008"/>
    <s v="CIVIL"/>
    <d v="2023-06-29T00:00:00"/>
    <d v="2023-07-10T19:01:40"/>
    <m/>
    <d v="2023-07-10T00:00:00"/>
    <n v="924"/>
    <n v="2281"/>
    <s v="61313803"/>
    <s v="61313803"/>
    <m/>
    <m/>
    <n v="22789528"/>
    <m/>
    <m/>
    <m/>
    <s v="SOLFIN"/>
    <s v="SOLFIN"/>
    <s v="CCMS"/>
    <n v="21350025"/>
    <n v="6800.74"/>
    <m/>
    <s v="N"/>
    <n v="62"/>
    <d v="2023-07-10T19:02:09"/>
    <s v="Y"/>
    <s v="Preparation - other"/>
    <s v="Prescribed Hourly Rates"/>
    <s v="Profit Cost"/>
    <s v="RS"/>
    <s v="Y"/>
    <n v="6.31"/>
    <n v="1.26"/>
    <x v="2"/>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42"/>
    <d v="2023-07-10T19:02:09"/>
    <s v="Y"/>
    <s v="Preparation - other"/>
    <s v="Prescribed Hourly Rates"/>
    <s v="Profit Cost"/>
    <s v="RS"/>
    <s v="Y"/>
    <n v="6.31"/>
    <n v="1.26"/>
    <x v="2"/>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18"/>
    <d v="2023-07-10T19:02:09"/>
    <s v="Y"/>
    <s v="Preparation - other"/>
    <s v="Prescribed Hourly Rates"/>
    <s v="Profit Cost"/>
    <s v="NPM"/>
    <s v="Y"/>
    <n v="10.98"/>
    <n v="2.2"/>
    <x v="2"/>
    <s v="VALIDATED"/>
    <n v="1"/>
    <s v="01.11.80.307.6100.0000"/>
    <n v="10.98"/>
    <s v="11"/>
    <s v="6100"/>
    <n v="43154.65"/>
    <n v="10.98"/>
    <s v="CREDITOR"/>
    <n v="0"/>
    <n v="0"/>
    <n v="0"/>
    <n v="0"/>
    <n v="10.98"/>
  </r>
  <r>
    <n v="10004121"/>
    <s v="N"/>
    <n v="21360316"/>
    <s v="3000005900070010"/>
    <s v="CIVIL"/>
    <d v="2023-06-28T00:00:00"/>
    <d v="2023-07-11T11:50:54"/>
    <m/>
    <d v="2023-07-11T00:00:00"/>
    <n v="924"/>
    <n v="2281"/>
    <s v="10004121"/>
    <s v="10004121"/>
    <m/>
    <m/>
    <n v="22778134"/>
    <m/>
    <m/>
    <m/>
    <s v="SOLFIN"/>
    <s v="SOLFIN"/>
    <s v="CCMS"/>
    <n v="21360316"/>
    <n v="7425.76"/>
    <m/>
    <s v="N"/>
    <n v="27"/>
    <d v="2023-07-11T11:51:02"/>
    <s v="Y"/>
    <s v="Preparation - other"/>
    <s v="Prescribed Hourly Rates"/>
    <s v="Profit Cost"/>
    <s v="RS"/>
    <s v="Y"/>
    <n v="37.06"/>
    <n v="7.41"/>
    <x v="7"/>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38"/>
    <d v="2023-07-10T19:01:43"/>
    <s v="Y"/>
    <s v="Preparation - other"/>
    <s v="Prescribed Hourly Rates"/>
    <s v="Profit Cost"/>
    <s v="ROS"/>
    <s v="Y"/>
    <n v="37.06"/>
    <n v="7.41"/>
    <x v="2"/>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65"/>
    <d v="2023-07-10T19:01:43"/>
    <s v="Y"/>
    <s v="Preparation - other"/>
    <s v="Prescribed Hourly Rates"/>
    <s v="Profit Cost"/>
    <s v="ROS"/>
    <s v="Y"/>
    <n v="7.41"/>
    <n v="1.48"/>
    <x v="2"/>
    <s v="VALIDATED"/>
    <n v="1"/>
    <s v="01.11.80.307.6100.0000"/>
    <n v="7.41"/>
    <s v="11"/>
    <s v="6100"/>
    <n v="43154.65"/>
    <n v="7.41"/>
    <s v="CREDITOR"/>
    <n v="0"/>
    <n v="0"/>
    <n v="0"/>
    <n v="0"/>
    <n v="7.41"/>
  </r>
  <r>
    <n v="61313803"/>
    <s v="N"/>
    <n v="21350025"/>
    <s v="3000015470000008"/>
    <s v="CIVIL"/>
    <d v="2023-06-29T00:00:00"/>
    <d v="2023-07-10T19:01:40"/>
    <m/>
    <d v="2023-07-10T00:00:00"/>
    <n v="924"/>
    <n v="2281"/>
    <s v="61313803"/>
    <s v="61313803"/>
    <m/>
    <m/>
    <n v="22789528"/>
    <m/>
    <m/>
    <m/>
    <s v="SOLFIN"/>
    <s v="SOLFIN"/>
    <s v="CCMS"/>
    <n v="21350025"/>
    <n v="6800.74"/>
    <m/>
    <s v="N"/>
    <n v="33"/>
    <d v="2023-07-10T19:02:09"/>
    <s v="Y"/>
    <s v="Preparation - drafting instructions"/>
    <s v="Prescribed Hourly Rates"/>
    <s v="Profit Cost"/>
    <s v="RS"/>
    <s v="Y"/>
    <n v="37.06"/>
    <n v="7.41"/>
    <x v="2"/>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45"/>
    <d v="2023-07-10T19:02:09"/>
    <s v="Y"/>
    <s v="Preparation - other"/>
    <s v="Prescribed Hourly Rates"/>
    <s v="Profit Cost"/>
    <s v="RS"/>
    <s v="Y"/>
    <n v="6.31"/>
    <n v="1.26"/>
    <x v="2"/>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85"/>
    <d v="2023-07-10T19:02:09"/>
    <s v="Y"/>
    <s v="Preparation - other"/>
    <s v="Prescribed Hourly Rates"/>
    <s v="Profit Cost"/>
    <s v="NPM"/>
    <s v="Y"/>
    <n v="27.45"/>
    <n v="5.49"/>
    <x v="2"/>
    <s v="VALIDATED"/>
    <n v="1"/>
    <s v="01.11.80.307.6100.0000"/>
    <n v="27.45"/>
    <s v="11"/>
    <s v="6100"/>
    <n v="43154.65"/>
    <n v="27.45"/>
    <s v="CREDITOR"/>
    <n v="0"/>
    <n v="0"/>
    <n v="0"/>
    <n v="0"/>
    <n v="27.45"/>
  </r>
  <r>
    <n v="11594527"/>
    <s v="N"/>
    <n v="21337864"/>
    <s v="3000006991410004"/>
    <s v="CIVIL"/>
    <d v="2023-06-27T00:00:00"/>
    <d v="2023-07-06T19:21:01"/>
    <m/>
    <d v="2023-07-06T00:00:00"/>
    <n v="924"/>
    <n v="2281"/>
    <s v="11594527"/>
    <s v="11594527"/>
    <m/>
    <m/>
    <n v="22768496"/>
    <m/>
    <m/>
    <m/>
    <s v="SOLFIN"/>
    <s v="SOLFIN"/>
    <s v="CCMS"/>
    <n v="21337864"/>
    <n v="6756.82"/>
    <m/>
    <s v="N"/>
    <n v="57"/>
    <d v="2023-07-06T19:21:09"/>
    <s v="Y"/>
    <s v="Preparation - drafting application"/>
    <s v="Prescribed Hourly Rates"/>
    <s v="Profit Cost"/>
    <s v="RS"/>
    <s v="Y"/>
    <n v="18.54"/>
    <n v="3.71"/>
    <x v="4"/>
    <s v="VALIDATED"/>
    <n v="1"/>
    <s v="01.11.80.307.6100.0000"/>
    <n v="18.54"/>
    <s v="11"/>
    <s v="6100"/>
    <n v="43154.65"/>
    <n v="18.54"/>
    <s v="CREDITOR"/>
    <n v="0"/>
    <n v="0"/>
    <n v="0"/>
    <n v="0"/>
    <n v="18.54"/>
  </r>
  <r>
    <n v="11594527"/>
    <s v="N"/>
    <n v="21337864"/>
    <s v="3000006991410004"/>
    <s v="CIVIL"/>
    <d v="2023-06-27T00:00:00"/>
    <d v="2023-07-06T19:21:01"/>
    <m/>
    <d v="2023-07-06T00:00:00"/>
    <n v="924"/>
    <n v="2281"/>
    <s v="11594527"/>
    <s v="11594527"/>
    <m/>
    <m/>
    <n v="22768496"/>
    <m/>
    <m/>
    <m/>
    <s v="SOLFIN"/>
    <s v="SOLFIN"/>
    <s v="CCMS"/>
    <n v="21337864"/>
    <n v="6756.82"/>
    <m/>
    <s v="N"/>
    <n v="79"/>
    <d v="2023-07-06T19:21:09"/>
    <s v="Y"/>
    <s v="Preparation - other"/>
    <s v="Prescribed Hourly Rates"/>
    <s v="Profit Cost"/>
    <s v="RS"/>
    <s v="Y"/>
    <n v="6.31"/>
    <n v="1.26"/>
    <x v="4"/>
    <s v="VALIDATED"/>
    <n v="1"/>
    <s v="01.11.80.307.6100.0000"/>
    <n v="6.31"/>
    <s v="11"/>
    <s v="6100"/>
    <n v="43154.65"/>
    <n v="6.31"/>
    <s v="CREDITOR"/>
    <n v="0"/>
    <n v="0"/>
    <n v="0"/>
    <n v="0"/>
    <n v="6.31"/>
  </r>
  <r>
    <n v="11594527"/>
    <s v="N"/>
    <n v="21337864"/>
    <s v="3000006991410004"/>
    <s v="CIVIL"/>
    <d v="2023-06-27T00:00:00"/>
    <d v="2023-07-06T19:21:01"/>
    <m/>
    <d v="2023-07-06T00:00:00"/>
    <n v="924"/>
    <n v="2281"/>
    <s v="11594527"/>
    <s v="11594527"/>
    <m/>
    <m/>
    <n v="22768496"/>
    <m/>
    <m/>
    <m/>
    <s v="SOLFIN"/>
    <s v="SOLFIN"/>
    <s v="CCMS"/>
    <n v="21337864"/>
    <n v="6756.82"/>
    <m/>
    <s v="N"/>
    <n v="90"/>
    <d v="2023-07-06T19:21:09"/>
    <s v="Y"/>
    <s v="Preparation - other"/>
    <s v="Prescribed Hourly Rates"/>
    <s v="Profit Cost"/>
    <s v="CD"/>
    <s v="Y"/>
    <n v="16.47"/>
    <n v="3.29"/>
    <x v="4"/>
    <s v="VALIDATED"/>
    <n v="1"/>
    <s v="01.11.80.307.6100.0000"/>
    <n v="16.47"/>
    <s v="11"/>
    <s v="6100"/>
    <n v="43154.65"/>
    <n v="16.47"/>
    <s v="CREDITOR"/>
    <n v="0"/>
    <n v="0"/>
    <n v="0"/>
    <n v="0"/>
    <n v="16.47"/>
  </r>
  <r>
    <n v="60950874"/>
    <s v="N"/>
    <n v="21360551"/>
    <s v="3000015160760008"/>
    <s v="CIVIL"/>
    <d v="2023-06-30T00:00:00"/>
    <d v="2023-07-11T11:50:54"/>
    <m/>
    <d v="2023-07-11T00:00:00"/>
    <n v="924"/>
    <n v="2281"/>
    <s v="60950874"/>
    <s v="60950874"/>
    <m/>
    <m/>
    <n v="22794622"/>
    <m/>
    <m/>
    <m/>
    <s v="SOLFIN"/>
    <s v="SOLFIN"/>
    <s v="CCMS"/>
    <n v="21360551"/>
    <n v="11550.02"/>
    <m/>
    <s v="N"/>
    <n v="18"/>
    <d v="2023-07-11T11:51:09"/>
    <s v="Y"/>
    <s v="Preparation - other"/>
    <s v="Prescribed Hourly Rates"/>
    <s v="Profit Cost"/>
    <s v="NPM"/>
    <s v="Y"/>
    <n v="10.98"/>
    <n v="2.2"/>
    <x v="7"/>
    <s v="VALIDATED"/>
    <n v="1"/>
    <s v="01.11.80.307.6100.0000"/>
    <n v="10.98"/>
    <s v="11"/>
    <s v="6100"/>
    <n v="43154.65"/>
    <n v="10.98"/>
    <s v="CREDITOR"/>
    <n v="0"/>
    <n v="0"/>
    <n v="0"/>
    <n v="0"/>
    <n v="10.98"/>
  </r>
  <r>
    <n v="60950874"/>
    <s v="N"/>
    <n v="21360551"/>
    <s v="3000015160760008"/>
    <s v="CIVIL"/>
    <d v="2023-06-30T00:00:00"/>
    <d v="2023-07-11T11:50:54"/>
    <m/>
    <d v="2023-07-11T00:00:00"/>
    <n v="924"/>
    <n v="2281"/>
    <s v="60950874"/>
    <s v="60950874"/>
    <m/>
    <m/>
    <n v="22794622"/>
    <m/>
    <m/>
    <m/>
    <s v="SOLFIN"/>
    <s v="SOLFIN"/>
    <s v="CCMS"/>
    <n v="21360551"/>
    <n v="11550.02"/>
    <m/>
    <s v="N"/>
    <n v="111"/>
    <d v="2023-07-11T11:51:09"/>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101"/>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103"/>
    <d v="2023-07-11T11:51:02"/>
    <s v="Y"/>
    <s v="Preparation - other"/>
    <s v="Prescribed Hourly Rates"/>
    <s v="Profit Cost"/>
    <s v="RS"/>
    <s v="Y"/>
    <n v="6.31"/>
    <n v="1.26"/>
    <x v="7"/>
    <s v="VALIDATED"/>
    <n v="1"/>
    <s v="01.11.80.307.6100.0000"/>
    <n v="6.31"/>
    <s v="11"/>
    <s v="6100"/>
    <n v="43154.65"/>
    <n v="6.31"/>
    <s v="CREDITOR"/>
    <n v="0"/>
    <n v="0"/>
    <n v="0"/>
    <n v="0"/>
    <n v="6.31"/>
  </r>
  <r>
    <n v="14064052"/>
    <s v="N"/>
    <n v="21349905"/>
    <s v="3000007298400008"/>
    <s v="CIVIL"/>
    <d v="2023-06-29T00:00:00"/>
    <d v="2023-07-10T19:01:40"/>
    <m/>
    <d v="2023-07-10T00:00:00"/>
    <n v="924"/>
    <n v="2281"/>
    <s v="14064052"/>
    <s v="14064052"/>
    <m/>
    <m/>
    <n v="22788366"/>
    <m/>
    <m/>
    <m/>
    <s v="SOLFIN"/>
    <s v="SOLFIN"/>
    <s v="CCMS"/>
    <n v="21349905"/>
    <n v="4899.44"/>
    <m/>
    <s v="N"/>
    <n v="31"/>
    <d v="2023-07-10T19:02:03"/>
    <s v="Y"/>
    <s v="Attendance upon client"/>
    <s v="Prescribed Hourly Rates"/>
    <s v="Profit Cost"/>
    <s v="ROS"/>
    <s v="Y"/>
    <n v="94.7"/>
    <n v="18.94"/>
    <x v="2"/>
    <s v="VALIDATED"/>
    <n v="1"/>
    <s v="01.11.80.302.6100.0000"/>
    <n v="94.7"/>
    <s v="11"/>
    <s v="6100"/>
    <n v="43154.65"/>
    <n v="94.7"/>
    <s v="CREDITOR"/>
    <n v="0"/>
    <n v="0"/>
    <n v="0"/>
    <n v="0"/>
    <n v="94.7"/>
  </r>
  <r>
    <n v="61313803"/>
    <s v="N"/>
    <n v="21350025"/>
    <s v="3000015470000008"/>
    <s v="CIVIL"/>
    <d v="2023-06-29T00:00:00"/>
    <d v="2023-07-10T19:01:40"/>
    <m/>
    <d v="2023-07-10T00:00:00"/>
    <n v="924"/>
    <n v="2281"/>
    <s v="61313803"/>
    <s v="61313803"/>
    <m/>
    <m/>
    <n v="22789528"/>
    <m/>
    <m/>
    <m/>
    <s v="SOLFIN"/>
    <s v="SOLFIN"/>
    <s v="CCMS"/>
    <n v="21350025"/>
    <n v="6800.74"/>
    <m/>
    <s v="N"/>
    <n v="3"/>
    <d v="2023-07-10T19:02:09"/>
    <s v="Y"/>
    <s v="Process server"/>
    <s v="Prescribed Hourly Rates"/>
    <s v="Expert Disbursement"/>
    <s v="XXX"/>
    <s v="Y"/>
    <n v="129.45"/>
    <n v="0"/>
    <x v="2"/>
    <s v="VALIDATED"/>
    <n v="1"/>
    <s v="01.11.80.307.6300.0000"/>
    <n v="129.45"/>
    <s v="11"/>
    <s v="6300"/>
    <n v="43154.65"/>
    <n v="129.45"/>
    <s v="CREDITOR"/>
    <n v="0"/>
    <n v="0"/>
    <n v="0"/>
    <n v="0"/>
    <n v="129.45"/>
  </r>
  <r>
    <n v="8647673"/>
    <s v="N"/>
    <n v="21349284"/>
    <s v="3000004688890022"/>
    <s v="CIVIL"/>
    <d v="2023-06-27T00:00:00"/>
    <d v="2023-07-10T19:01:40"/>
    <m/>
    <d v="2023-07-10T00:00:00"/>
    <n v="924"/>
    <n v="2281"/>
    <s v="8647673"/>
    <s v="8647673"/>
    <m/>
    <m/>
    <n v="22771220"/>
    <m/>
    <m/>
    <m/>
    <s v="SOLFIN"/>
    <s v="SOLFIN"/>
    <s v="CCMS"/>
    <n v="21349284"/>
    <n v="14502.62"/>
    <m/>
    <s v="N"/>
    <n v="4"/>
    <d v="2023-07-10T19:01:43"/>
    <s v="Y"/>
    <s v="Process server"/>
    <s v="Prescribed Hourly Rates"/>
    <s v="Expert Disbursement"/>
    <s v="XXX"/>
    <s v="Y"/>
    <n v="164.53"/>
    <n v="0"/>
    <x v="2"/>
    <s v="VALIDATED"/>
    <n v="1"/>
    <s v="01.11.80.307.6300.0000"/>
    <n v="164.53"/>
    <s v="11"/>
    <s v="6300"/>
    <n v="43154.65"/>
    <n v="164.53"/>
    <s v="CREDITOR"/>
    <n v="0"/>
    <n v="0"/>
    <n v="0"/>
    <n v="0"/>
    <n v="164.53"/>
  </r>
  <r>
    <n v="8647673"/>
    <s v="N"/>
    <n v="21349284"/>
    <s v="3000004688890022"/>
    <s v="CIVIL"/>
    <d v="2023-06-27T00:00:00"/>
    <d v="2023-07-10T19:01:40"/>
    <m/>
    <d v="2023-07-10T00:00:00"/>
    <n v="924"/>
    <n v="2281"/>
    <s v="8647673"/>
    <s v="8647673"/>
    <m/>
    <m/>
    <n v="22771220"/>
    <m/>
    <m/>
    <m/>
    <s v="SOLFIN"/>
    <s v="SOLFIN"/>
    <s v="CCMS"/>
    <n v="21349284"/>
    <n v="14502.62"/>
    <m/>
    <s v="N"/>
    <n v="98"/>
    <d v="2023-07-10T19:01:43"/>
    <s v="Y"/>
    <s v="Preparation - other"/>
    <s v="Prescribed Hourly Rates"/>
    <s v="Profit Cost"/>
    <s v="ROS"/>
    <s v="Y"/>
    <n v="12.63"/>
    <n v="2.53"/>
    <x v="2"/>
    <s v="VALIDATED"/>
    <n v="1"/>
    <s v="01.11.80.307.6100.0000"/>
    <n v="12.63"/>
    <s v="11"/>
    <s v="6100"/>
    <n v="43154.65"/>
    <n v="12.63"/>
    <s v="CREDITOR"/>
    <n v="0"/>
    <n v="0"/>
    <n v="0"/>
    <n v="0"/>
    <n v="12.63"/>
  </r>
  <r>
    <n v="56409031"/>
    <s v="N"/>
    <n v="21349897"/>
    <s v="3000013405050005"/>
    <s v="CIVIL"/>
    <d v="2023-06-30T00:00:00"/>
    <d v="2023-07-10T19:01:40"/>
    <m/>
    <d v="2023-07-10T00:00:00"/>
    <n v="924"/>
    <n v="2281"/>
    <s v="56409031"/>
    <s v="56409031"/>
    <m/>
    <m/>
    <n v="22794626"/>
    <m/>
    <m/>
    <m/>
    <s v="SOLFIN"/>
    <s v="SOLFIN"/>
    <s v="CCMS"/>
    <n v="21349897"/>
    <n v="1432.16"/>
    <m/>
    <s v="N"/>
    <n v="5"/>
    <d v="2023-07-10T19:02:02"/>
    <s v="Y"/>
    <s v="Level 3 &amp; Level 4 Fixed Fee"/>
    <s v="Private Law Children"/>
    <s v="Profit Cost"/>
    <s v="XXX"/>
    <s v="Y"/>
    <n v="604"/>
    <n v="120.8"/>
    <x v="2"/>
    <s v="VALIDATED"/>
    <n v="1"/>
    <s v="01.11.80.307.6100.0000"/>
    <n v="604"/>
    <s v="11"/>
    <s v="6100"/>
    <n v="43154.65"/>
    <n v="604"/>
    <s v="CREDITOR"/>
    <n v="0"/>
    <n v="0"/>
    <n v="0"/>
    <n v="0"/>
    <n v="604"/>
  </r>
  <r>
    <n v="61313803"/>
    <s v="N"/>
    <n v="21350025"/>
    <s v="3000015470000008"/>
    <s v="CIVIL"/>
    <d v="2023-06-29T00:00:00"/>
    <d v="2023-07-10T19:01:40"/>
    <m/>
    <d v="2023-07-10T00:00:00"/>
    <n v="924"/>
    <n v="2281"/>
    <s v="61313803"/>
    <s v="61313803"/>
    <m/>
    <m/>
    <n v="22789528"/>
    <m/>
    <m/>
    <m/>
    <s v="SOLFIN"/>
    <s v="SOLFIN"/>
    <s v="CCMS"/>
    <n v="21350025"/>
    <n v="6800.74"/>
    <m/>
    <s v="N"/>
    <n v="53"/>
    <d v="2023-07-10T19:02:09"/>
    <s v="Y"/>
    <s v="Attendance upon client"/>
    <s v="Prescribed Hourly Rates"/>
    <s v="Profit Cost"/>
    <s v="RS"/>
    <s v="Y"/>
    <n v="74.12"/>
    <n v="14.82"/>
    <x v="2"/>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22"/>
    <d v="2023-07-11T11:51:09"/>
    <s v="Y"/>
    <s v="Attendance upon other"/>
    <s v="Prescribed Hourly Rates"/>
    <s v="Profit Cost"/>
    <s v="RS"/>
    <s v="Y"/>
    <n v="14.82"/>
    <n v="2.96"/>
    <x v="7"/>
    <s v="VALIDATED"/>
    <n v="1"/>
    <s v="01.11.80.307.6100.0000"/>
    <n v="14.82"/>
    <s v="11"/>
    <s v="6100"/>
    <n v="43154.65"/>
    <n v="14.82"/>
    <s v="CREDITOR"/>
    <n v="0"/>
    <n v="0"/>
    <n v="0"/>
    <n v="0"/>
    <n v="14.82"/>
  </r>
  <r>
    <n v="60950874"/>
    <s v="N"/>
    <n v="21360551"/>
    <s v="3000015160760008"/>
    <s v="CIVIL"/>
    <d v="2023-06-30T00:00:00"/>
    <d v="2023-07-11T11:50:54"/>
    <m/>
    <d v="2023-07-11T00:00:00"/>
    <n v="924"/>
    <n v="2281"/>
    <s v="60950874"/>
    <s v="60950874"/>
    <m/>
    <m/>
    <n v="22794622"/>
    <m/>
    <m/>
    <m/>
    <s v="SOLFIN"/>
    <s v="SOLFIN"/>
    <s v="CCMS"/>
    <n v="21360551"/>
    <n v="11550.02"/>
    <m/>
    <s v="N"/>
    <n v="93"/>
    <d v="2023-07-11T11:51:09"/>
    <s v="Y"/>
    <s v="Preparation - drafting statement"/>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8"/>
    <d v="2023-07-11T11:51:02"/>
    <s v="N"/>
    <s v="Level 3 &amp; Level 4 &amp; Enforcement Fix"/>
    <s v="Private Law Children"/>
    <s v="Profit Cost"/>
    <s v="XXX"/>
    <s v="N"/>
    <n v="0"/>
    <n v="0"/>
    <x v="7"/>
    <s v="VALIDATED"/>
    <n v="1"/>
    <s v="01.11.80.307.6100.0000"/>
    <n v="0"/>
    <s v="11"/>
    <s v="6100"/>
    <n v="43154.65"/>
    <n v="0"/>
    <s v="CREDITOR"/>
    <n v="0"/>
    <n v="0"/>
    <n v="0"/>
    <n v="0"/>
    <n v="0"/>
  </r>
  <r>
    <n v="14064052"/>
    <s v="N"/>
    <n v="21349905"/>
    <s v="3000007298400008"/>
    <s v="CIVIL"/>
    <d v="2023-06-29T00:00:00"/>
    <d v="2023-07-10T19:01:40"/>
    <m/>
    <d v="2023-07-10T00:00:00"/>
    <n v="924"/>
    <n v="2281"/>
    <s v="14064052"/>
    <s v="14064052"/>
    <m/>
    <m/>
    <n v="22788366"/>
    <m/>
    <m/>
    <m/>
    <s v="SOLFIN"/>
    <s v="SOLFIN"/>
    <s v="CCMS"/>
    <n v="21349905"/>
    <n v="4899.44"/>
    <m/>
    <s v="N"/>
    <n v="27"/>
    <d v="2023-07-10T19:02:03"/>
    <s v="Y"/>
    <s v="Preparation - other"/>
    <s v="Prescribed Hourly Rates"/>
    <s v="Profit Cost"/>
    <s v="ROS"/>
    <s v="Y"/>
    <n v="18.94"/>
    <n v="3.79"/>
    <x v="2"/>
    <s v="VALIDATED"/>
    <n v="1"/>
    <s v="01.11.80.302.6100.0000"/>
    <n v="18.94"/>
    <s v="11"/>
    <s v="6100"/>
    <n v="43154.65"/>
    <n v="18.94"/>
    <s v="CREDITOR"/>
    <n v="0"/>
    <n v="0"/>
    <n v="0"/>
    <n v="0"/>
    <n v="18.94"/>
  </r>
  <r>
    <n v="61313803"/>
    <s v="N"/>
    <n v="21350025"/>
    <s v="3000015470000008"/>
    <s v="CIVIL"/>
    <d v="2023-06-29T00:00:00"/>
    <d v="2023-07-10T19:01:40"/>
    <m/>
    <d v="2023-07-10T00:00:00"/>
    <n v="924"/>
    <n v="2281"/>
    <s v="61313803"/>
    <s v="61313803"/>
    <m/>
    <m/>
    <n v="22789528"/>
    <m/>
    <m/>
    <m/>
    <s v="SOLFIN"/>
    <s v="SOLFIN"/>
    <s v="CCMS"/>
    <n v="21350025"/>
    <n v="6800.74"/>
    <m/>
    <s v="N"/>
    <n v="36"/>
    <d v="2023-07-10T19:02:09"/>
    <s v="Y"/>
    <s v="Preparation - other"/>
    <s v="Prescribed Hourly Rates"/>
    <s v="Profit Cost"/>
    <s v="RS"/>
    <s v="Y"/>
    <n v="182.82"/>
    <n v="36.56"/>
    <x v="2"/>
    <s v="VALIDATED"/>
    <n v="1"/>
    <s v="01.11.80.307.6100.0000"/>
    <n v="182.82"/>
    <s v="11"/>
    <s v="6100"/>
    <n v="43154.65"/>
    <n v="182.82"/>
    <s v="CREDITOR"/>
    <n v="0"/>
    <n v="0"/>
    <n v="0"/>
    <n v="0"/>
    <n v="182.82"/>
  </r>
  <r>
    <n v="61313803"/>
    <s v="N"/>
    <n v="21350025"/>
    <s v="3000015470000008"/>
    <s v="CIVIL"/>
    <d v="2023-06-29T00:00:00"/>
    <d v="2023-07-10T19:01:40"/>
    <m/>
    <d v="2023-07-10T00:00:00"/>
    <n v="924"/>
    <n v="2281"/>
    <s v="61313803"/>
    <s v="61313803"/>
    <m/>
    <m/>
    <n v="22789528"/>
    <m/>
    <m/>
    <m/>
    <s v="SOLFIN"/>
    <s v="SOLFIN"/>
    <s v="CCMS"/>
    <n v="21350025"/>
    <n v="6800.74"/>
    <m/>
    <s v="N"/>
    <n v="9"/>
    <d v="2023-07-10T19:02:09"/>
    <s v="Y"/>
    <s v="Preparation - other"/>
    <s v="Prescribed Hourly Rates"/>
    <s v="Profit Cost"/>
    <s v="RS"/>
    <s v="Y"/>
    <n v="370.58"/>
    <n v="74.11"/>
    <x v="2"/>
    <s v="VALIDATED"/>
    <n v="1"/>
    <s v="01.11.80.307.6100.0000"/>
    <n v="370.58"/>
    <s v="11"/>
    <s v="6100"/>
    <n v="43154.65"/>
    <n v="370.58"/>
    <s v="CREDITOR"/>
    <n v="0"/>
    <n v="0"/>
    <n v="0"/>
    <n v="0"/>
    <n v="370.58"/>
  </r>
  <r>
    <n v="14064052"/>
    <s v="N"/>
    <n v="21349905"/>
    <s v="3000007298400008"/>
    <s v="CIVIL"/>
    <d v="2023-06-29T00:00:00"/>
    <d v="2023-07-10T19:01:40"/>
    <m/>
    <d v="2023-07-10T00:00:00"/>
    <n v="924"/>
    <n v="2281"/>
    <s v="14064052"/>
    <s v="14064052"/>
    <m/>
    <m/>
    <n v="22788366"/>
    <m/>
    <m/>
    <m/>
    <s v="SOLFIN"/>
    <s v="SOLFIN"/>
    <s v="CCMS"/>
    <n v="21349905"/>
    <n v="4899.44"/>
    <m/>
    <s v="N"/>
    <n v="39"/>
    <d v="2023-07-10T19:02:03"/>
    <s v="Y"/>
    <s v="Preparation - drafting instructions"/>
    <s v="Prescribed Hourly Rates"/>
    <s v="Profit Cost"/>
    <s v="ROS"/>
    <s v="Y"/>
    <n v="12.63"/>
    <n v="2.53"/>
    <x v="2"/>
    <s v="VALIDATED"/>
    <n v="1"/>
    <s v="01.11.80.302.6100.0000"/>
    <n v="12.63"/>
    <s v="11"/>
    <s v="6100"/>
    <n v="43154.65"/>
    <n v="12.63"/>
    <s v="CREDITOR"/>
    <n v="0"/>
    <n v="0"/>
    <n v="0"/>
    <n v="0"/>
    <n v="12.63"/>
  </r>
  <r>
    <n v="61313803"/>
    <s v="N"/>
    <n v="21350025"/>
    <s v="3000015470000008"/>
    <s v="CIVIL"/>
    <d v="2023-06-29T00:00:00"/>
    <d v="2023-07-10T19:01:40"/>
    <m/>
    <d v="2023-07-10T00:00:00"/>
    <n v="924"/>
    <n v="2281"/>
    <s v="61313803"/>
    <s v="61313803"/>
    <m/>
    <m/>
    <n v="22789528"/>
    <m/>
    <m/>
    <m/>
    <s v="SOLFIN"/>
    <s v="SOLFIN"/>
    <s v="CCMS"/>
    <n v="21350025"/>
    <n v="6800.74"/>
    <m/>
    <s v="N"/>
    <n v="6"/>
    <d v="2023-07-10T19:02:09"/>
    <s v="Y"/>
    <s v="Preparation - other"/>
    <s v="Prescribed Hourly Rates"/>
    <s v="Profit Cost"/>
    <s v="RS"/>
    <s v="Y"/>
    <n v="6.31"/>
    <n v="1.26"/>
    <x v="2"/>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26"/>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48"/>
    <d v="2023-07-11T11:51:09"/>
    <s v="Y"/>
    <s v="Preparation - other"/>
    <s v="Prescribed Hourly Rates"/>
    <s v="Profit Cost"/>
    <s v="NPM"/>
    <s v="Y"/>
    <n v="16.47"/>
    <n v="3.29"/>
    <x v="7"/>
    <s v="VALIDATED"/>
    <n v="1"/>
    <s v="01.11.80.307.6100.0000"/>
    <n v="16.47"/>
    <s v="11"/>
    <s v="6100"/>
    <n v="43154.65"/>
    <n v="16.47"/>
    <s v="CREDITOR"/>
    <n v="0"/>
    <n v="0"/>
    <n v="0"/>
    <n v="0"/>
    <n v="16.47"/>
  </r>
  <r>
    <n v="10004121"/>
    <s v="N"/>
    <n v="21360316"/>
    <s v="3000005900070010"/>
    <s v="CIVIL"/>
    <d v="2023-06-28T00:00:00"/>
    <d v="2023-07-11T11:50:54"/>
    <m/>
    <d v="2023-07-11T00:00:00"/>
    <n v="924"/>
    <n v="2281"/>
    <s v="10004121"/>
    <s v="10004121"/>
    <m/>
    <m/>
    <n v="22778134"/>
    <m/>
    <m/>
    <m/>
    <s v="SOLFIN"/>
    <s v="SOLFIN"/>
    <s v="CCMS"/>
    <n v="21360316"/>
    <n v="7425.76"/>
    <m/>
    <s v="N"/>
    <n v="44"/>
    <d v="2023-07-11T11:51:02"/>
    <s v="Y"/>
    <s v="Preparation - other"/>
    <s v="Prescribed Hourly Rates"/>
    <s v="Profit Cost"/>
    <s v="NPM"/>
    <s v="Y"/>
    <n v="16.47"/>
    <n v="3.29"/>
    <x v="7"/>
    <s v="VALIDATED"/>
    <n v="1"/>
    <s v="01.11.80.307.6100.0000"/>
    <n v="16.47"/>
    <s v="11"/>
    <s v="6100"/>
    <n v="43154.65"/>
    <n v="16.47"/>
    <s v="CREDITOR"/>
    <n v="0"/>
    <n v="0"/>
    <n v="0"/>
    <n v="0"/>
    <n v="16.47"/>
  </r>
  <r>
    <n v="8647673"/>
    <s v="N"/>
    <n v="21349284"/>
    <s v="3000004688890022"/>
    <s v="CIVIL"/>
    <d v="2023-06-27T00:00:00"/>
    <d v="2023-07-10T19:01:40"/>
    <m/>
    <d v="2023-07-10T00:00:00"/>
    <n v="924"/>
    <n v="2281"/>
    <s v="8647673"/>
    <s v="8647673"/>
    <m/>
    <m/>
    <n v="22771220"/>
    <m/>
    <m/>
    <m/>
    <s v="SOLFIN"/>
    <s v="SOLFIN"/>
    <s v="CCMS"/>
    <n v="21349284"/>
    <n v="14502.62"/>
    <m/>
    <s v="N"/>
    <n v="27"/>
    <d v="2023-07-10T19:01:43"/>
    <s v="Y"/>
    <s v="Preparation - other"/>
    <s v="Prescribed Hourly Rates"/>
    <s v="Profit Cost"/>
    <s v="ROS"/>
    <s v="Y"/>
    <n v="12.63"/>
    <n v="2.53"/>
    <x v="2"/>
    <s v="VALIDATED"/>
    <n v="1"/>
    <s v="01.11.80.307.6100.0000"/>
    <n v="12.63"/>
    <s v="11"/>
    <s v="6100"/>
    <n v="43154.65"/>
    <n v="12.63"/>
    <s v="CREDITOR"/>
    <n v="0"/>
    <n v="0"/>
    <n v="0"/>
    <n v="0"/>
    <n v="12.63"/>
  </r>
  <r>
    <n v="8647673"/>
    <s v="N"/>
    <n v="21349284"/>
    <s v="3000004688890022"/>
    <s v="CIVIL"/>
    <d v="2023-06-27T00:00:00"/>
    <d v="2023-07-10T19:01:40"/>
    <m/>
    <d v="2023-07-10T00:00:00"/>
    <n v="924"/>
    <n v="2281"/>
    <s v="8647673"/>
    <s v="8647673"/>
    <m/>
    <m/>
    <n v="22771220"/>
    <m/>
    <m/>
    <m/>
    <s v="SOLFIN"/>
    <s v="SOLFIN"/>
    <s v="CCMS"/>
    <n v="21349284"/>
    <n v="14502.62"/>
    <m/>
    <s v="N"/>
    <n v="69"/>
    <d v="2023-07-10T19:01:43"/>
    <s v="Y"/>
    <s v="Preparation - other"/>
    <s v="Prescribed Hourly Rates"/>
    <s v="Profit Cost"/>
    <s v="ROS"/>
    <s v="Y"/>
    <n v="6.31"/>
    <n v="1.26"/>
    <x v="2"/>
    <s v="VALIDATED"/>
    <n v="1"/>
    <s v="01.11.80.307.6100.0000"/>
    <n v="6.31"/>
    <s v="11"/>
    <s v="6100"/>
    <n v="43154.65"/>
    <n v="6.31"/>
    <s v="CREDITOR"/>
    <n v="0"/>
    <n v="0"/>
    <n v="0"/>
    <n v="0"/>
    <n v="6.31"/>
  </r>
  <r>
    <n v="62092610"/>
    <s v="N"/>
    <n v="21327663"/>
    <s v="3000016120600001"/>
    <s v="CIVIL"/>
    <d v="2023-06-30T00:00:00"/>
    <d v="2023-07-04T19:00:44"/>
    <m/>
    <d v="2023-07-04T00:00:00"/>
    <n v="924"/>
    <n v="2281"/>
    <s v="62092610"/>
    <s v="62092610"/>
    <m/>
    <m/>
    <n v="22794036"/>
    <m/>
    <m/>
    <m/>
    <s v="SOLPOA"/>
    <s v="SOLPOA"/>
    <s v="CCMS"/>
    <n v="21327663"/>
    <n v="232"/>
    <m/>
    <s v="N"/>
    <n v="1"/>
    <d v="2023-07-04T19:00:51"/>
    <s v="N"/>
    <s v="Non Expert Disbursement - Private L"/>
    <s v="Non Expert Disbursement - Priv"/>
    <s v="Non Expert Disbursement"/>
    <s v="Richard Singh"/>
    <s v="N"/>
    <n v="232"/>
    <n v="0"/>
    <x v="1"/>
    <s v="VALIDATED"/>
    <n v="1"/>
    <s v="01.11.80.307.2012.0000"/>
    <n v="232"/>
    <s v="11"/>
    <s v="2012"/>
    <n v="43154.65"/>
    <n v="232"/>
    <s v="CREDITOR"/>
    <n v="232"/>
    <n v="0"/>
    <n v="0"/>
    <n v="0"/>
    <n v="0"/>
  </r>
  <r>
    <n v="60950874"/>
    <s v="N"/>
    <n v="21360551"/>
    <s v="3000015160760008"/>
    <s v="CIVIL"/>
    <d v="2023-06-30T00:00:00"/>
    <d v="2023-07-11T11:50:54"/>
    <m/>
    <d v="2023-07-11T00:00:00"/>
    <n v="924"/>
    <n v="2281"/>
    <s v="60950874"/>
    <s v="60950874"/>
    <m/>
    <m/>
    <n v="22794622"/>
    <m/>
    <m/>
    <m/>
    <s v="SOLFIN"/>
    <s v="SOLFIN"/>
    <s v="CCMS"/>
    <n v="21360551"/>
    <n v="11550.02"/>
    <m/>
    <s v="N"/>
    <n v="6"/>
    <d v="2023-07-11T11:51:09"/>
    <s v="Y"/>
    <s v="Hearing Unit 1.01 - 2.30 Hours"/>
    <s v="Private Law Children"/>
    <s v="Advocacy"/>
    <s v="RS"/>
    <s v="Y"/>
    <n v="172.4"/>
    <n v="34.48"/>
    <x v="7"/>
    <s v="VALIDATED"/>
    <n v="1"/>
    <s v="01.11.80.307.6100.0000"/>
    <n v="172.4"/>
    <s v="11"/>
    <s v="6100"/>
    <n v="43154.65"/>
    <n v="172.4"/>
    <s v="CREDITOR"/>
    <n v="0"/>
    <n v="0"/>
    <n v="0"/>
    <n v="0"/>
    <n v="172.4"/>
  </r>
  <r>
    <n v="10004121"/>
    <s v="N"/>
    <n v="21360316"/>
    <s v="3000005900070010"/>
    <s v="CIVIL"/>
    <d v="2023-06-28T00:00:00"/>
    <d v="2023-07-11T11:50:54"/>
    <m/>
    <d v="2023-07-11T00:00:00"/>
    <n v="924"/>
    <n v="2281"/>
    <s v="10004121"/>
    <s v="10004121"/>
    <m/>
    <m/>
    <n v="22778134"/>
    <m/>
    <m/>
    <m/>
    <s v="SOLFIN"/>
    <s v="SOLFIN"/>
    <s v="CCMS"/>
    <n v="21360316"/>
    <n v="7425.76"/>
    <m/>
    <s v="N"/>
    <n v="33"/>
    <d v="2023-07-11T11:51:02"/>
    <s v="Y"/>
    <s v="Preparation - other"/>
    <s v="Prescribed Hourly Rates"/>
    <s v="Profit Cost"/>
    <s v="RS"/>
    <s v="Y"/>
    <n v="185.29"/>
    <n v="37.05"/>
    <x v="7"/>
    <s v="VALIDATED"/>
    <n v="1"/>
    <s v="01.11.80.307.6100.0000"/>
    <n v="185.29"/>
    <s v="11"/>
    <s v="6100"/>
    <n v="43154.65"/>
    <n v="185.29"/>
    <s v="CREDITOR"/>
    <n v="0"/>
    <n v="0"/>
    <n v="0"/>
    <n v="0"/>
    <n v="185.29"/>
  </r>
  <r>
    <n v="61313803"/>
    <s v="N"/>
    <n v="21350025"/>
    <s v="3000015470000008"/>
    <s v="CIVIL"/>
    <d v="2023-06-29T00:00:00"/>
    <d v="2023-07-10T19:01:40"/>
    <m/>
    <d v="2023-07-10T00:00:00"/>
    <n v="924"/>
    <n v="2281"/>
    <s v="61313803"/>
    <s v="61313803"/>
    <m/>
    <m/>
    <n v="22789528"/>
    <m/>
    <m/>
    <m/>
    <s v="SOLFIN"/>
    <s v="SOLFIN"/>
    <s v="CCMS"/>
    <n v="21350025"/>
    <n v="6800.74"/>
    <m/>
    <s v="N"/>
    <n v="61"/>
    <d v="2023-07-10T19:02:09"/>
    <s v="Y"/>
    <s v="Preparation - other"/>
    <s v="Prescribed Hourly Rates"/>
    <s v="Profit Cost"/>
    <s v="NPM"/>
    <s v="Y"/>
    <n v="16.47"/>
    <n v="3.29"/>
    <x v="2"/>
    <s v="VALIDATED"/>
    <n v="1"/>
    <s v="01.11.80.307.6100.0000"/>
    <n v="16.47"/>
    <s v="11"/>
    <s v="6100"/>
    <n v="43154.65"/>
    <n v="16.47"/>
    <s v="CREDITOR"/>
    <n v="0"/>
    <n v="0"/>
    <n v="0"/>
    <n v="0"/>
    <n v="16.47"/>
  </r>
  <r>
    <n v="61313803"/>
    <s v="N"/>
    <n v="21350025"/>
    <s v="3000015470000008"/>
    <s v="CIVIL"/>
    <d v="2023-06-29T00:00:00"/>
    <d v="2023-07-10T19:01:40"/>
    <m/>
    <d v="2023-07-10T00:00:00"/>
    <n v="924"/>
    <n v="2281"/>
    <s v="61313803"/>
    <s v="61313803"/>
    <m/>
    <m/>
    <n v="22789528"/>
    <m/>
    <m/>
    <m/>
    <s v="SOLFIN"/>
    <s v="SOLFIN"/>
    <s v="CCMS"/>
    <n v="21350025"/>
    <n v="6800.74"/>
    <m/>
    <s v="N"/>
    <n v="41"/>
    <d v="2023-07-10T19:02:09"/>
    <s v="Y"/>
    <s v="Preparation - other"/>
    <s v="Prescribed Hourly Rates"/>
    <s v="Profit Cost"/>
    <s v="RS"/>
    <s v="Y"/>
    <n v="14.82"/>
    <n v="2.96"/>
    <x v="2"/>
    <s v="VALIDATED"/>
    <n v="1"/>
    <s v="01.11.80.307.6100.0000"/>
    <n v="14.82"/>
    <s v="11"/>
    <s v="6100"/>
    <n v="43154.65"/>
    <n v="14.82"/>
    <s v="CREDITOR"/>
    <n v="0"/>
    <n v="0"/>
    <n v="0"/>
    <n v="0"/>
    <n v="14.82"/>
  </r>
  <r>
    <n v="61313803"/>
    <s v="N"/>
    <n v="21350025"/>
    <s v="3000015470000008"/>
    <s v="CIVIL"/>
    <d v="2023-06-29T00:00:00"/>
    <d v="2023-07-10T19:01:40"/>
    <m/>
    <d v="2023-07-10T00:00:00"/>
    <n v="924"/>
    <n v="2281"/>
    <s v="61313803"/>
    <s v="61313803"/>
    <m/>
    <m/>
    <n v="22789528"/>
    <m/>
    <m/>
    <m/>
    <s v="SOLFIN"/>
    <s v="SOLFIN"/>
    <s v="CCMS"/>
    <n v="21350025"/>
    <n v="6800.74"/>
    <m/>
    <s v="N"/>
    <n v="81"/>
    <d v="2023-07-10T19:02:09"/>
    <s v="Y"/>
    <s v="Preparation - other"/>
    <s v="Prescribed Hourly Rates"/>
    <s v="Profit Cost"/>
    <s v="NPM"/>
    <s v="Y"/>
    <n v="5.49"/>
    <n v="1.1"/>
    <x v="2"/>
    <s v="VALIDATED"/>
    <n v="1"/>
    <s v="01.11.80.307.6100.0000"/>
    <n v="5.49"/>
    <s v="11"/>
    <s v="6100"/>
    <n v="43154.65"/>
    <n v="5.49"/>
    <s v="CREDITOR"/>
    <n v="0"/>
    <n v="0"/>
    <n v="0"/>
    <n v="0"/>
    <n v="5.49"/>
  </r>
  <r>
    <n v="8647673"/>
    <s v="N"/>
    <n v="21349284"/>
    <s v="3000004688890022"/>
    <s v="CIVIL"/>
    <d v="2023-06-27T00:00:00"/>
    <d v="2023-07-10T19:01:40"/>
    <m/>
    <d v="2023-07-10T00:00:00"/>
    <n v="924"/>
    <n v="2281"/>
    <s v="8647673"/>
    <s v="8647673"/>
    <m/>
    <m/>
    <n v="22771220"/>
    <m/>
    <m/>
    <m/>
    <s v="SOLFIN"/>
    <s v="SOLFIN"/>
    <s v="CCMS"/>
    <n v="21349284"/>
    <n v="14502.62"/>
    <m/>
    <s v="N"/>
    <n v="13"/>
    <d v="2023-07-10T19:01:43"/>
    <s v="Y"/>
    <s v="Hearing Unit 2.31 - 5.00 Hours"/>
    <s v="Private Law Children"/>
    <s v="Advocacy"/>
    <s v="ROS"/>
    <s v="Y"/>
    <n v="344.8"/>
    <n v="68.95999999999999"/>
    <x v="2"/>
    <s v="VALIDATED"/>
    <n v="1"/>
    <s v="01.11.80.307.6100.0000"/>
    <n v="344.8"/>
    <s v="11"/>
    <s v="6100"/>
    <n v="43154.65"/>
    <n v="344.8"/>
    <s v="CREDITOR"/>
    <n v="0"/>
    <n v="0"/>
    <n v="0"/>
    <n v="0"/>
    <n v="344.8"/>
  </r>
  <r>
    <n v="8647673"/>
    <s v="N"/>
    <n v="21349284"/>
    <s v="3000004688890022"/>
    <s v="CIVIL"/>
    <d v="2023-06-27T00:00:00"/>
    <d v="2023-07-10T19:01:40"/>
    <m/>
    <d v="2023-07-10T00:00:00"/>
    <n v="924"/>
    <n v="2281"/>
    <s v="8647673"/>
    <s v="8647673"/>
    <m/>
    <m/>
    <n v="22771220"/>
    <m/>
    <m/>
    <m/>
    <s v="SOLFIN"/>
    <s v="SOLFIN"/>
    <s v="CCMS"/>
    <n v="21349284"/>
    <n v="14502.62"/>
    <m/>
    <s v="N"/>
    <n v="91"/>
    <d v="2023-07-10T19:01:43"/>
    <s v="Y"/>
    <s v="Preparation - other"/>
    <s v="Prescribed Hourly Rates"/>
    <s v="Profit Cost"/>
    <s v="ROS"/>
    <s v="Y"/>
    <n v="12.63"/>
    <n v="2.53"/>
    <x v="2"/>
    <s v="VALIDATED"/>
    <n v="1"/>
    <s v="01.11.80.307.6100.0000"/>
    <n v="12.63"/>
    <s v="11"/>
    <s v="6100"/>
    <n v="43154.65"/>
    <n v="12.63"/>
    <s v="CREDITOR"/>
    <n v="0"/>
    <n v="0"/>
    <n v="0"/>
    <n v="0"/>
    <n v="12.63"/>
  </r>
  <r>
    <n v="62040026"/>
    <s v="N"/>
    <n v="21349914"/>
    <s v="3000016076260004"/>
    <s v="CIVIL"/>
    <d v="2023-06-30T00:00:00"/>
    <d v="2023-07-10T19:01:40"/>
    <m/>
    <d v="2023-07-10T00:00:00"/>
    <n v="924"/>
    <n v="2281"/>
    <s v="62040026"/>
    <s v="62040026"/>
    <m/>
    <m/>
    <n v="22794588"/>
    <m/>
    <m/>
    <m/>
    <s v="SOLFIN"/>
    <s v="SOLFIN"/>
    <s v="CCMS"/>
    <n v="21349914"/>
    <n v="1491.52"/>
    <m/>
    <s v="N"/>
    <n v="3"/>
    <d v="2023-07-10T19:02:03"/>
    <s v="Y"/>
    <s v="Level 4 Fixed Fee"/>
    <s v="Domestic Abuse"/>
    <s v="Profit Cost"/>
    <s v="XXX"/>
    <s v="Y"/>
    <n v="507"/>
    <n v="101.4"/>
    <x v="2"/>
    <s v="VALIDATED"/>
    <n v="1"/>
    <s v="01.11.80.302.6100.0000"/>
    <n v="507"/>
    <s v="11"/>
    <s v="6100"/>
    <n v="43154.65"/>
    <n v="507"/>
    <s v="CREDITOR"/>
    <n v="0"/>
    <n v="0"/>
    <n v="0"/>
    <n v="0"/>
    <n v="507"/>
  </r>
  <r>
    <n v="8647673"/>
    <s v="N"/>
    <n v="21349284"/>
    <s v="3000004688890022"/>
    <s v="CIVIL"/>
    <d v="2023-06-27T00:00:00"/>
    <d v="2023-07-10T19:01:40"/>
    <m/>
    <d v="2023-07-10T00:00:00"/>
    <n v="924"/>
    <n v="2281"/>
    <s v="8647673"/>
    <s v="8647673"/>
    <m/>
    <m/>
    <n v="22771220"/>
    <m/>
    <m/>
    <m/>
    <s v="SOLFIN"/>
    <s v="SOLFIN"/>
    <s v="CCMS"/>
    <n v="21349284"/>
    <n v="14502.62"/>
    <m/>
    <s v="N"/>
    <n v="1"/>
    <d v="2023-07-10T19:01:43"/>
    <s v="Y"/>
    <s v="Court Fee"/>
    <s v="Prescribed Hourly Rates"/>
    <s v="Non Expert Disbursement"/>
    <s v="XXX"/>
    <s v="Y"/>
    <n v="215"/>
    <n v="0"/>
    <x v="2"/>
    <s v="VALIDATED"/>
    <n v="1"/>
    <s v="01.11.80.307.6300.0000"/>
    <n v="215"/>
    <s v="11"/>
    <s v="6300"/>
    <n v="43154.65"/>
    <n v="215"/>
    <s v="CREDITOR"/>
    <n v="0"/>
    <n v="0"/>
    <n v="0"/>
    <n v="0"/>
    <n v="215"/>
  </r>
  <r>
    <n v="43603550"/>
    <s v="N"/>
    <n v="21349979"/>
    <s v="3000011467990003"/>
    <s v="CIVIL"/>
    <d v="2023-06-30T00:00:00"/>
    <d v="2023-07-10T19:01:40"/>
    <m/>
    <d v="2023-07-10T00:00:00"/>
    <n v="924"/>
    <n v="2281"/>
    <s v="43603550"/>
    <s v="43603550"/>
    <m/>
    <m/>
    <n v="22798362"/>
    <m/>
    <m/>
    <m/>
    <s v="SOLFIN"/>
    <s v="SOLFIN"/>
    <s v="CCMS"/>
    <n v="21349979"/>
    <n v="1231.93"/>
    <m/>
    <s v="N"/>
    <n v="1"/>
    <d v="2023-07-10T19:02:06"/>
    <s v="Y"/>
    <s v="Process server"/>
    <s v="Domestic Abuse"/>
    <s v="Expert Disbursement"/>
    <s v="ROS"/>
    <s v="Y"/>
    <n v="129.68"/>
    <n v="0"/>
    <x v="2"/>
    <s v="VALIDATED"/>
    <n v="1"/>
    <s v="01.11.80.302.6300.0000"/>
    <n v="129.68"/>
    <s v="11"/>
    <s v="6300"/>
    <n v="43154.65"/>
    <n v="129.68"/>
    <s v="CREDITOR"/>
    <n v="0"/>
    <n v="0"/>
    <n v="0"/>
    <n v="0"/>
    <n v="129.68"/>
  </r>
  <r>
    <n v="8647673"/>
    <s v="N"/>
    <n v="21349284"/>
    <s v="3000004688890022"/>
    <s v="CIVIL"/>
    <d v="2023-06-27T00:00:00"/>
    <d v="2023-07-10T19:01:40"/>
    <m/>
    <d v="2023-07-10T00:00:00"/>
    <n v="924"/>
    <n v="2281"/>
    <s v="8647673"/>
    <s v="8647673"/>
    <m/>
    <m/>
    <n v="22771220"/>
    <m/>
    <m/>
    <m/>
    <s v="SOLFIN"/>
    <s v="SOLFIN"/>
    <s v="CCMS"/>
    <n v="21349284"/>
    <n v="14502.62"/>
    <m/>
    <s v="N"/>
    <n v="9"/>
    <d v="2023-07-10T19:01:43"/>
    <s v="Y"/>
    <s v="Process server"/>
    <s v="Prescribed Hourly Rates"/>
    <s v="Expert Disbursement"/>
    <s v="XXX"/>
    <s v="Y"/>
    <n v="79.34999999999999"/>
    <n v="0"/>
    <x v="2"/>
    <s v="VALIDATED"/>
    <n v="1"/>
    <s v="01.11.80.307.6300.0000"/>
    <n v="79.34999999999999"/>
    <s v="11"/>
    <s v="6300"/>
    <n v="43154.65"/>
    <n v="79.34999999999999"/>
    <s v="CREDITOR"/>
    <n v="0"/>
    <n v="0"/>
    <n v="0"/>
    <n v="0"/>
    <n v="79.34999999999999"/>
  </r>
  <r>
    <n v="6022968"/>
    <s v="N"/>
    <n v="21331042"/>
    <s v="3000002607450005"/>
    <s v="CIVIL"/>
    <d v="2023-06-23T00:00:00"/>
    <d v="2023-07-05T19:01:47"/>
    <m/>
    <d v="2023-07-05T00:00:00"/>
    <n v="924"/>
    <n v="2281"/>
    <s v="6022968"/>
    <s v="6022968"/>
    <m/>
    <m/>
    <n v="22748538"/>
    <m/>
    <m/>
    <m/>
    <s v="SOLFIN"/>
    <s v="SOLFIN"/>
    <s v="CCMS"/>
    <n v="21331042"/>
    <n v="2416.22"/>
    <m/>
    <s v="N"/>
    <n v="8"/>
    <d v="2023-07-05T19:02:03"/>
    <s v="Y"/>
    <s v="Attendance upon client"/>
    <s v="Prescribed Hourly Rates"/>
    <s v="Profit Cost"/>
    <s v="RS"/>
    <s v="Y"/>
    <n v="146.4"/>
    <n v="29.28"/>
    <x v="6"/>
    <s v="VALIDATED"/>
    <n v="1"/>
    <s v="01.11.80.307.6100.0000"/>
    <n v="146.4"/>
    <s v="11"/>
    <s v="6100"/>
    <n v="43154.65"/>
    <n v="146.4"/>
    <s v="CREDITOR"/>
    <n v="0"/>
    <n v="0"/>
    <n v="0"/>
    <n v="0"/>
    <n v="146.4"/>
  </r>
  <r>
    <n v="60089136"/>
    <s v="N"/>
    <n v="21327664"/>
    <s v="3000014422620007"/>
    <s v="CIVIL"/>
    <d v="2023-06-30T00:00:00"/>
    <d v="2023-07-04T19:00:44"/>
    <m/>
    <d v="2023-07-04T00:00:00"/>
    <n v="924"/>
    <n v="2281"/>
    <s v="60089136"/>
    <s v="60089136"/>
    <m/>
    <m/>
    <n v="22794042"/>
    <m/>
    <m/>
    <m/>
    <s v="SOLPOA"/>
    <s v="SOLPOA"/>
    <s v="CCMS"/>
    <n v="21327664"/>
    <n v="232"/>
    <m/>
    <s v="N"/>
    <n v="1"/>
    <d v="2023-07-04T19:00:51"/>
    <s v="N"/>
    <s v="Non Expert Disbursement - Private L"/>
    <s v="Non Expert Disbursement - Priv"/>
    <s v="Non Expert Disbursement"/>
    <s v="Richard Singh"/>
    <s v="N"/>
    <n v="232"/>
    <n v="0"/>
    <x v="1"/>
    <s v="VALIDATED"/>
    <n v="1"/>
    <s v="01.11.80.307.2012.0000"/>
    <n v="232"/>
    <s v="11"/>
    <s v="2012"/>
    <n v="43154.65"/>
    <n v="232"/>
    <s v="CREDITOR"/>
    <n v="232"/>
    <n v="0"/>
    <n v="0"/>
    <n v="0"/>
    <n v="0"/>
  </r>
  <r>
    <n v="60950874"/>
    <s v="N"/>
    <n v="21360551"/>
    <s v="3000015160760008"/>
    <s v="CIVIL"/>
    <d v="2023-06-30T00:00:00"/>
    <d v="2023-07-11T11:50:54"/>
    <m/>
    <d v="2023-07-11T00:00:00"/>
    <n v="924"/>
    <n v="2281"/>
    <s v="60950874"/>
    <s v="60950874"/>
    <m/>
    <m/>
    <n v="22794622"/>
    <m/>
    <m/>
    <m/>
    <s v="SOLFIN"/>
    <s v="SOLFIN"/>
    <s v="CCMS"/>
    <n v="21360551"/>
    <n v="11550.02"/>
    <m/>
    <s v="N"/>
    <n v="62"/>
    <d v="2023-07-11T11:51:09"/>
    <s v="Y"/>
    <s v="Attendance upon client"/>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87"/>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96"/>
    <d v="2023-07-11T11:51:09"/>
    <s v="Y"/>
    <s v="Preparation - other"/>
    <s v="Prescribed Hourly Rates"/>
    <s v="Profit Cost"/>
    <s v="NPM"/>
    <s v="Y"/>
    <n v="5.49"/>
    <n v="1.1"/>
    <x v="7"/>
    <s v="VALIDATED"/>
    <n v="1"/>
    <s v="01.11.80.307.6100.0000"/>
    <n v="5.49"/>
    <s v="11"/>
    <s v="6100"/>
    <n v="43154.65"/>
    <n v="5.49"/>
    <s v="CREDITOR"/>
    <n v="0"/>
    <n v="0"/>
    <n v="0"/>
    <n v="0"/>
    <n v="5.49"/>
  </r>
  <r>
    <n v="10004121"/>
    <s v="N"/>
    <n v="21360316"/>
    <s v="3000005900070010"/>
    <s v="CIVIL"/>
    <d v="2023-06-28T00:00:00"/>
    <d v="2023-07-11T11:50:54"/>
    <m/>
    <d v="2023-07-11T00:00:00"/>
    <n v="924"/>
    <n v="2281"/>
    <s v="10004121"/>
    <s v="10004121"/>
    <m/>
    <m/>
    <n v="22778134"/>
    <m/>
    <m/>
    <m/>
    <s v="SOLFIN"/>
    <s v="SOLFIN"/>
    <s v="CCMS"/>
    <n v="21360316"/>
    <n v="7425.76"/>
    <m/>
    <s v="N"/>
    <n v="55"/>
    <d v="2023-07-11T11:51:02"/>
    <s v="Y"/>
    <s v="Preparation - other"/>
    <s v="Prescribed Hourly Rates"/>
    <s v="Profit Cost"/>
    <s v="RS"/>
    <s v="Y"/>
    <n v="37.06"/>
    <n v="7.41"/>
    <x v="7"/>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46"/>
    <d v="2023-07-10T19:01:43"/>
    <s v="Y"/>
    <s v="Preparation - other"/>
    <s v="Prescribed Hourly Rates"/>
    <s v="Profit Cost"/>
    <s v="ROS"/>
    <s v="Y"/>
    <n v="348.34"/>
    <n v="69.67"/>
    <x v="2"/>
    <s v="VALIDATED"/>
    <n v="1"/>
    <s v="01.11.80.307.6100.0000"/>
    <n v="348.34"/>
    <s v="11"/>
    <s v="6100"/>
    <n v="43154.65"/>
    <n v="348.34"/>
    <s v="CREDITOR"/>
    <n v="0"/>
    <n v="0"/>
    <n v="0"/>
    <n v="0"/>
    <n v="348.34"/>
  </r>
  <r>
    <n v="61313803"/>
    <s v="N"/>
    <n v="21350025"/>
    <s v="3000015470000008"/>
    <s v="CIVIL"/>
    <d v="2023-06-29T00:00:00"/>
    <d v="2023-07-10T19:01:40"/>
    <m/>
    <d v="2023-07-10T00:00:00"/>
    <n v="924"/>
    <n v="2281"/>
    <s v="61313803"/>
    <s v="61313803"/>
    <m/>
    <m/>
    <n v="22789528"/>
    <m/>
    <m/>
    <m/>
    <s v="SOLFIN"/>
    <s v="SOLFIN"/>
    <s v="CCMS"/>
    <n v="21350025"/>
    <n v="6800.74"/>
    <m/>
    <s v="N"/>
    <n v="7"/>
    <d v="2023-07-10T19:02:09"/>
    <s v="Y"/>
    <s v="Attendance upon client"/>
    <s v="Prescribed Hourly Rates"/>
    <s v="Profit Cost"/>
    <s v="RS"/>
    <s v="Y"/>
    <n v="111.17"/>
    <n v="22.23"/>
    <x v="2"/>
    <s v="VALIDATED"/>
    <n v="1"/>
    <s v="01.11.80.307.6100.0000"/>
    <n v="111.17"/>
    <s v="11"/>
    <s v="6100"/>
    <n v="43154.65"/>
    <n v="111.17"/>
    <s v="CREDITOR"/>
    <n v="0"/>
    <n v="0"/>
    <n v="0"/>
    <n v="0"/>
    <n v="111.17"/>
  </r>
  <r>
    <n v="60950874"/>
    <s v="N"/>
    <n v="21360551"/>
    <s v="3000015160760008"/>
    <s v="CIVIL"/>
    <d v="2023-06-30T00:00:00"/>
    <d v="2023-07-11T11:50:54"/>
    <m/>
    <d v="2023-07-11T00:00:00"/>
    <n v="924"/>
    <n v="2281"/>
    <s v="60950874"/>
    <s v="60950874"/>
    <m/>
    <m/>
    <n v="22794622"/>
    <m/>
    <m/>
    <m/>
    <s v="SOLFIN"/>
    <s v="SOLFIN"/>
    <s v="CCMS"/>
    <n v="21360551"/>
    <n v="11550.02"/>
    <m/>
    <s v="N"/>
    <n v="2"/>
    <d v="2023-07-11T11:51:09"/>
    <s v="Y"/>
    <s v="Police Records"/>
    <s v="Prescribed Hourly Rates"/>
    <s v="Non Expert Disbursement"/>
    <s v="XXX"/>
    <s v="Y"/>
    <n v="731.9"/>
    <n v="0"/>
    <x v="7"/>
    <s v="VALIDATED"/>
    <n v="1"/>
    <s v="01.11.80.307.6300.0000"/>
    <n v="731.9"/>
    <s v="11"/>
    <s v="6300"/>
    <n v="43154.65"/>
    <n v="731.9"/>
    <s v="CREDITOR"/>
    <n v="0"/>
    <n v="0"/>
    <n v="0"/>
    <n v="0"/>
    <n v="731.9"/>
  </r>
  <r>
    <n v="60950874"/>
    <s v="N"/>
    <n v="21360551"/>
    <s v="3000015160760008"/>
    <s v="CIVIL"/>
    <d v="2023-06-30T00:00:00"/>
    <d v="2023-07-11T11:50:54"/>
    <m/>
    <d v="2023-07-11T00:00:00"/>
    <n v="924"/>
    <n v="2281"/>
    <s v="60950874"/>
    <s v="60950874"/>
    <m/>
    <m/>
    <n v="22794622"/>
    <m/>
    <m/>
    <m/>
    <s v="SOLFIN"/>
    <s v="SOLFIN"/>
    <s v="CCMS"/>
    <n v="21360551"/>
    <n v="11550.02"/>
    <m/>
    <s v="N"/>
    <n v="51"/>
    <d v="2023-07-11T11:51:09"/>
    <s v="Y"/>
    <s v="Attendance upon client"/>
    <s v="Prescribed Hourly Rates"/>
    <s v="Profit Cost"/>
    <s v="RS"/>
    <s v="Y"/>
    <n v="49.41"/>
    <n v="9.880000000000001"/>
    <x v="7"/>
    <s v="VALIDATED"/>
    <n v="1"/>
    <s v="01.11.80.307.6100.0000"/>
    <n v="49.41"/>
    <s v="11"/>
    <s v="6100"/>
    <n v="43154.65"/>
    <n v="49.41"/>
    <s v="CREDITOR"/>
    <n v="0"/>
    <n v="0"/>
    <n v="0"/>
    <n v="0"/>
    <n v="49.41"/>
  </r>
  <r>
    <n v="60950874"/>
    <s v="N"/>
    <n v="21360551"/>
    <s v="3000015160760008"/>
    <s v="CIVIL"/>
    <d v="2023-06-30T00:00:00"/>
    <d v="2023-07-11T11:50:54"/>
    <m/>
    <d v="2023-07-11T00:00:00"/>
    <n v="924"/>
    <n v="2281"/>
    <s v="60950874"/>
    <s v="60950874"/>
    <m/>
    <m/>
    <n v="22794622"/>
    <m/>
    <m/>
    <m/>
    <s v="SOLFIN"/>
    <s v="SOLFIN"/>
    <s v="CCMS"/>
    <n v="21360551"/>
    <n v="11550.02"/>
    <m/>
    <s v="N"/>
    <n v="58"/>
    <d v="2023-07-11T11:51:09"/>
    <s v="Y"/>
    <s v="Report - other expert's report"/>
    <s v="Prescribed Hourly Rates"/>
    <s v="Profit Cost"/>
    <s v="NPM"/>
    <s v="Y"/>
    <n v="10.98"/>
    <n v="2.2"/>
    <x v="7"/>
    <s v="VALIDATED"/>
    <n v="1"/>
    <s v="01.11.80.307.6100.0000"/>
    <n v="10.98"/>
    <s v="11"/>
    <s v="6100"/>
    <n v="43154.65"/>
    <n v="10.98"/>
    <s v="CREDITOR"/>
    <n v="0"/>
    <n v="0"/>
    <n v="0"/>
    <n v="0"/>
    <n v="10.98"/>
  </r>
  <r>
    <n v="10004121"/>
    <s v="N"/>
    <n v="21360316"/>
    <s v="3000005900070010"/>
    <s v="CIVIL"/>
    <d v="2023-06-28T00:00:00"/>
    <d v="2023-07-11T11:50:54"/>
    <m/>
    <d v="2023-07-11T00:00:00"/>
    <n v="924"/>
    <n v="2281"/>
    <s v="10004121"/>
    <s v="10004121"/>
    <m/>
    <m/>
    <n v="22778134"/>
    <m/>
    <m/>
    <m/>
    <s v="SOLFIN"/>
    <s v="SOLFIN"/>
    <s v="CCMS"/>
    <n v="21360316"/>
    <n v="7425.76"/>
    <m/>
    <s v="N"/>
    <n v="89"/>
    <d v="2023-07-11T11:51:02"/>
    <s v="Y"/>
    <s v="Preparation - other"/>
    <s v="Prescribed Hourly Rates"/>
    <s v="Profit Cost"/>
    <s v="NPM"/>
    <s v="Y"/>
    <n v="5.49"/>
    <n v="1.1"/>
    <x v="7"/>
    <s v="VALIDATED"/>
    <n v="1"/>
    <s v="01.11.80.307.6100.0000"/>
    <n v="5.49"/>
    <s v="11"/>
    <s v="6100"/>
    <n v="43154.65"/>
    <n v="5.49"/>
    <s v="CREDITOR"/>
    <n v="0"/>
    <n v="0"/>
    <n v="0"/>
    <n v="0"/>
    <n v="5.49"/>
  </r>
  <r>
    <n v="10004121"/>
    <s v="N"/>
    <n v="21360316"/>
    <s v="3000005900070010"/>
    <s v="CIVIL"/>
    <d v="2023-06-28T00:00:00"/>
    <d v="2023-07-11T11:50:54"/>
    <m/>
    <d v="2023-07-11T00:00:00"/>
    <n v="924"/>
    <n v="2281"/>
    <s v="10004121"/>
    <s v="10004121"/>
    <m/>
    <m/>
    <n v="22778134"/>
    <m/>
    <m/>
    <m/>
    <s v="SOLFIN"/>
    <s v="SOLFIN"/>
    <s v="CCMS"/>
    <n v="21360316"/>
    <n v="7425.76"/>
    <m/>
    <s v="N"/>
    <n v="110"/>
    <d v="2023-07-11T11:51:02"/>
    <s v="Y"/>
    <s v="Preparation - other"/>
    <s v="Prescribed Hourly Rates"/>
    <s v="Profit Cost"/>
    <s v="CD"/>
    <s v="Y"/>
    <n v="16.47"/>
    <n v="3.29"/>
    <x v="7"/>
    <s v="VALIDATED"/>
    <n v="1"/>
    <s v="01.11.80.307.6100.0000"/>
    <n v="16.47"/>
    <s v="11"/>
    <s v="6100"/>
    <n v="43154.65"/>
    <n v="16.47"/>
    <s v="CREDITOR"/>
    <n v="0"/>
    <n v="0"/>
    <n v="0"/>
    <n v="0"/>
    <n v="16.47"/>
  </r>
  <r>
    <n v="8647673"/>
    <s v="N"/>
    <n v="21349284"/>
    <s v="3000004688890022"/>
    <s v="CIVIL"/>
    <d v="2023-06-27T00:00:00"/>
    <d v="2023-07-10T19:01:40"/>
    <m/>
    <d v="2023-07-10T00:00:00"/>
    <n v="924"/>
    <n v="2281"/>
    <s v="8647673"/>
    <s v="8647673"/>
    <m/>
    <m/>
    <n v="22771220"/>
    <m/>
    <m/>
    <m/>
    <s v="SOLFIN"/>
    <s v="SOLFIN"/>
    <s v="CCMS"/>
    <n v="21349284"/>
    <n v="14502.62"/>
    <m/>
    <s v="N"/>
    <n v="52"/>
    <d v="2023-07-10T19:01:43"/>
    <s v="Y"/>
    <s v="Preparation - drafting instructions"/>
    <s v="Prescribed Hourly Rates"/>
    <s v="Profit Cost"/>
    <s v="ROS"/>
    <s v="Y"/>
    <n v="22.23"/>
    <n v="4.45"/>
    <x v="2"/>
    <s v="VALIDATED"/>
    <n v="1"/>
    <s v="01.11.80.307.6100.0000"/>
    <n v="22.23"/>
    <s v="11"/>
    <s v="6100"/>
    <n v="43154.65"/>
    <n v="22.23"/>
    <s v="CREDITOR"/>
    <n v="0"/>
    <n v="0"/>
    <n v="0"/>
    <n v="0"/>
    <n v="22.23"/>
  </r>
  <r>
    <n v="61313803"/>
    <s v="N"/>
    <n v="21350025"/>
    <s v="3000015470000008"/>
    <s v="CIVIL"/>
    <d v="2023-06-29T00:00:00"/>
    <d v="2023-07-10T19:01:40"/>
    <m/>
    <d v="2023-07-10T00:00:00"/>
    <n v="924"/>
    <n v="2281"/>
    <s v="61313803"/>
    <s v="61313803"/>
    <m/>
    <m/>
    <n v="22789528"/>
    <m/>
    <m/>
    <m/>
    <s v="SOLFIN"/>
    <s v="SOLFIN"/>
    <s v="CCMS"/>
    <n v="21350025"/>
    <n v="6800.74"/>
    <m/>
    <s v="N"/>
    <n v="5"/>
    <d v="2023-07-10T19:02:09"/>
    <s v="Y"/>
    <s v="Attendance upon client"/>
    <s v="Prescribed Hourly Rates"/>
    <s v="Profit Cost"/>
    <s v="RS"/>
    <s v="Y"/>
    <n v="111.17"/>
    <n v="22.23"/>
    <x v="2"/>
    <s v="VALIDATED"/>
    <n v="1"/>
    <s v="01.11.80.307.6100.0000"/>
    <n v="111.17"/>
    <s v="11"/>
    <s v="6100"/>
    <n v="43154.65"/>
    <n v="111.17"/>
    <s v="CREDITOR"/>
    <n v="0"/>
    <n v="0"/>
    <n v="0"/>
    <n v="0"/>
    <n v="111.17"/>
  </r>
  <r>
    <n v="14064052"/>
    <s v="N"/>
    <n v="21349905"/>
    <s v="3000007298400008"/>
    <s v="CIVIL"/>
    <d v="2023-06-29T00:00:00"/>
    <d v="2023-07-10T19:01:40"/>
    <m/>
    <d v="2023-07-10T00:00:00"/>
    <n v="924"/>
    <n v="2281"/>
    <s v="14064052"/>
    <s v="14064052"/>
    <m/>
    <m/>
    <n v="22788366"/>
    <m/>
    <m/>
    <m/>
    <s v="SOLFIN"/>
    <s v="SOLFIN"/>
    <s v="CCMS"/>
    <n v="21349905"/>
    <n v="4899.44"/>
    <m/>
    <s v="N"/>
    <n v="16"/>
    <d v="2023-07-10T19:02:03"/>
    <s v="Y"/>
    <s v="Attendance upon client"/>
    <s v="Prescribed Hourly Rates"/>
    <s v="Profit Cost"/>
    <s v="ROS"/>
    <s v="Y"/>
    <n v="94.7"/>
    <n v="18.94"/>
    <x v="2"/>
    <s v="VALIDATED"/>
    <n v="1"/>
    <s v="01.11.80.302.6100.0000"/>
    <n v="94.7"/>
    <s v="11"/>
    <s v="6100"/>
    <n v="43154.65"/>
    <n v="94.7"/>
    <s v="CREDITOR"/>
    <n v="0"/>
    <n v="0"/>
    <n v="0"/>
    <n v="0"/>
    <n v="94.7"/>
  </r>
  <r>
    <n v="61313803"/>
    <s v="N"/>
    <n v="21350025"/>
    <s v="3000015470000008"/>
    <s v="CIVIL"/>
    <d v="2023-06-29T00:00:00"/>
    <d v="2023-07-10T19:01:40"/>
    <m/>
    <d v="2023-07-10T00:00:00"/>
    <n v="924"/>
    <n v="2281"/>
    <s v="61313803"/>
    <s v="61313803"/>
    <m/>
    <m/>
    <n v="22789528"/>
    <m/>
    <m/>
    <m/>
    <s v="SOLFIN"/>
    <s v="SOLFIN"/>
    <s v="CCMS"/>
    <n v="21350025"/>
    <n v="6800.74"/>
    <m/>
    <s v="N"/>
    <n v="22"/>
    <d v="2023-07-10T19:02:09"/>
    <s v="Y"/>
    <s v="Attendance upon client"/>
    <s v="Prescribed Hourly Rates"/>
    <s v="Profit Cost"/>
    <s v="RS"/>
    <s v="Y"/>
    <n v="14.82"/>
    <n v="2.96"/>
    <x v="2"/>
    <s v="VALIDATED"/>
    <n v="1"/>
    <s v="01.11.80.307.6100.0000"/>
    <n v="14.82"/>
    <s v="11"/>
    <s v="6100"/>
    <n v="43154.65"/>
    <n v="14.82"/>
    <s v="CREDITOR"/>
    <n v="0"/>
    <n v="0"/>
    <n v="0"/>
    <n v="0"/>
    <n v="14.82"/>
  </r>
  <r>
    <n v="8647673"/>
    <s v="N"/>
    <n v="21349284"/>
    <s v="3000004688890022"/>
    <s v="CIVIL"/>
    <d v="2023-06-27T00:00:00"/>
    <d v="2023-07-10T19:01:40"/>
    <m/>
    <d v="2023-07-10T00:00:00"/>
    <n v="924"/>
    <n v="2281"/>
    <s v="8647673"/>
    <s v="8647673"/>
    <m/>
    <m/>
    <n v="22771220"/>
    <m/>
    <m/>
    <m/>
    <s v="SOLFIN"/>
    <s v="SOLFIN"/>
    <s v="CCMS"/>
    <n v="21349284"/>
    <n v="14502.62"/>
    <m/>
    <s v="N"/>
    <n v="2"/>
    <d v="2023-07-10T19:01:43"/>
    <s v="Y"/>
    <s v="Process server"/>
    <s v="Prescribed Hourly Rates"/>
    <s v="Expert Disbursement"/>
    <s v="XXX"/>
    <s v="Y"/>
    <n v="59.75"/>
    <n v="0"/>
    <x v="2"/>
    <s v="VALIDATED"/>
    <n v="1"/>
    <s v="01.11.80.307.6300.0000"/>
    <n v="59.75"/>
    <s v="11"/>
    <s v="6300"/>
    <n v="43154.65"/>
    <n v="59.75"/>
    <s v="CREDITOR"/>
    <n v="0"/>
    <n v="0"/>
    <n v="0"/>
    <n v="0"/>
    <n v="59.75"/>
  </r>
  <r>
    <n v="11594527"/>
    <s v="N"/>
    <n v="21337864"/>
    <s v="3000006991410004"/>
    <s v="CIVIL"/>
    <d v="2023-06-27T00:00:00"/>
    <d v="2023-07-06T19:21:01"/>
    <m/>
    <d v="2023-07-06T00:00:00"/>
    <n v="924"/>
    <n v="2281"/>
    <s v="11594527"/>
    <s v="11594527"/>
    <m/>
    <m/>
    <n v="22768496"/>
    <m/>
    <m/>
    <m/>
    <s v="SOLFIN"/>
    <s v="SOLFIN"/>
    <s v="CCMS"/>
    <n v="21337864"/>
    <n v="6756.82"/>
    <m/>
    <s v="N"/>
    <n v="55"/>
    <d v="2023-07-06T19:21:09"/>
    <s v="Y"/>
    <s v="Preparation - other"/>
    <s v="Prescribed Hourly Rates"/>
    <s v="Profit Cost"/>
    <s v="RS"/>
    <s v="Y"/>
    <n v="18.54"/>
    <n v="3.71"/>
    <x v="4"/>
    <s v="VALIDATED"/>
    <n v="1"/>
    <s v="01.11.80.307.6100.0000"/>
    <n v="18.54"/>
    <s v="11"/>
    <s v="6100"/>
    <n v="43154.65"/>
    <n v="18.54"/>
    <s v="CREDITOR"/>
    <n v="0"/>
    <n v="0"/>
    <n v="0"/>
    <n v="0"/>
    <n v="18.54"/>
  </r>
  <r>
    <n v="11594527"/>
    <s v="N"/>
    <n v="21337864"/>
    <s v="3000006991410004"/>
    <s v="CIVIL"/>
    <d v="2023-06-27T00:00:00"/>
    <d v="2023-07-06T19:21:01"/>
    <m/>
    <d v="2023-07-06T00:00:00"/>
    <n v="924"/>
    <n v="2281"/>
    <s v="11594527"/>
    <s v="11594527"/>
    <m/>
    <m/>
    <n v="22768496"/>
    <m/>
    <m/>
    <m/>
    <s v="SOLFIN"/>
    <s v="SOLFIN"/>
    <s v="CCMS"/>
    <n v="21337864"/>
    <n v="6756.82"/>
    <m/>
    <s v="N"/>
    <n v="61"/>
    <d v="2023-07-06T19:21:09"/>
    <s v="Y"/>
    <s v="Preparation - other"/>
    <s v="Prescribed Hourly Rates"/>
    <s v="Profit Cost"/>
    <s v="RS"/>
    <s v="Y"/>
    <n v="37.06"/>
    <n v="7.41"/>
    <x v="4"/>
    <s v="VALIDATED"/>
    <n v="1"/>
    <s v="01.11.80.307.6100.0000"/>
    <n v="37.06"/>
    <s v="11"/>
    <s v="6100"/>
    <n v="43154.65"/>
    <n v="37.06"/>
    <s v="CREDITOR"/>
    <n v="0"/>
    <n v="0"/>
    <n v="0"/>
    <n v="0"/>
    <n v="37.06"/>
  </r>
  <r>
    <n v="60950874"/>
    <s v="N"/>
    <n v="21360551"/>
    <s v="3000015160760008"/>
    <s v="CIVIL"/>
    <d v="2023-06-30T00:00:00"/>
    <d v="2023-07-11T11:50:54"/>
    <m/>
    <d v="2023-07-11T00:00:00"/>
    <n v="924"/>
    <n v="2281"/>
    <s v="60950874"/>
    <s v="60950874"/>
    <m/>
    <m/>
    <n v="22794622"/>
    <m/>
    <m/>
    <m/>
    <s v="SOLFIN"/>
    <s v="SOLFIN"/>
    <s v="CCMS"/>
    <n v="21360551"/>
    <n v="11550.02"/>
    <m/>
    <s v="N"/>
    <n v="102"/>
    <d v="2023-07-11T11:51:09"/>
    <s v="Y"/>
    <s v="Attendance upon client"/>
    <s v="Prescribed Hourly Rates"/>
    <s v="Profit Cost"/>
    <s v="RS"/>
    <s v="Y"/>
    <n v="222.35"/>
    <n v="44.47"/>
    <x v="7"/>
    <s v="VALIDATED"/>
    <n v="1"/>
    <s v="01.11.80.307.6100.0000"/>
    <n v="222.35"/>
    <s v="11"/>
    <s v="6100"/>
    <n v="43154.65"/>
    <n v="222.35"/>
    <s v="CREDITOR"/>
    <n v="0"/>
    <n v="0"/>
    <n v="0"/>
    <n v="0"/>
    <n v="222.35"/>
  </r>
  <r>
    <n v="10004121"/>
    <s v="N"/>
    <n v="21360316"/>
    <s v="3000005900070010"/>
    <s v="CIVIL"/>
    <d v="2023-06-28T00:00:00"/>
    <d v="2023-07-11T11:50:54"/>
    <m/>
    <d v="2023-07-11T00:00:00"/>
    <n v="924"/>
    <n v="2281"/>
    <s v="10004121"/>
    <s v="10004121"/>
    <m/>
    <m/>
    <n v="22778134"/>
    <m/>
    <m/>
    <m/>
    <s v="SOLFIN"/>
    <s v="SOLFIN"/>
    <s v="CCMS"/>
    <n v="21360316"/>
    <n v="7425.76"/>
    <m/>
    <s v="N"/>
    <n v="12"/>
    <d v="2023-07-11T11:51:02"/>
    <s v="Y"/>
    <s v="Attendance upon client"/>
    <s v="Prescribed Hourly Rates"/>
    <s v="Profit Cost"/>
    <s v="RS"/>
    <s v="Y"/>
    <n v="74.12"/>
    <n v="14.82"/>
    <x v="7"/>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29"/>
    <d v="2023-07-10T19:01:43"/>
    <s v="Y"/>
    <s v="Preparation - other"/>
    <s v="Prescribed Hourly Rates"/>
    <s v="Profit Cost"/>
    <s v="ROS"/>
    <s v="Y"/>
    <n v="37.06"/>
    <n v="7.41"/>
    <x v="2"/>
    <s v="VALIDATED"/>
    <n v="1"/>
    <s v="01.11.80.307.6100.0000"/>
    <n v="37.06"/>
    <s v="11"/>
    <s v="6100"/>
    <n v="43154.65"/>
    <n v="37.06"/>
    <s v="CREDITOR"/>
    <n v="0"/>
    <n v="0"/>
    <n v="0"/>
    <n v="0"/>
    <n v="37.06"/>
  </r>
  <r>
    <n v="8647673"/>
    <s v="N"/>
    <n v="21349284"/>
    <s v="3000004688890022"/>
    <s v="CIVIL"/>
    <d v="2023-06-27T00:00:00"/>
    <d v="2023-07-10T19:01:40"/>
    <m/>
    <d v="2023-07-10T00:00:00"/>
    <n v="924"/>
    <n v="2281"/>
    <s v="8647673"/>
    <s v="8647673"/>
    <m/>
    <m/>
    <n v="22771220"/>
    <m/>
    <m/>
    <m/>
    <s v="SOLFIN"/>
    <s v="SOLFIN"/>
    <s v="CCMS"/>
    <n v="21349284"/>
    <n v="14502.62"/>
    <m/>
    <s v="N"/>
    <n v="61"/>
    <d v="2023-07-10T19:01:43"/>
    <s v="Y"/>
    <s v="Preparation - other"/>
    <s v="Prescribed Hourly Rates"/>
    <s v="Profit Cost"/>
    <s v="ROS"/>
    <s v="Y"/>
    <n v="12.63"/>
    <n v="2.53"/>
    <x v="2"/>
    <s v="VALIDATED"/>
    <n v="1"/>
    <s v="01.11.80.307.6100.0000"/>
    <n v="12.63"/>
    <s v="11"/>
    <s v="6100"/>
    <n v="43154.65"/>
    <n v="12.63"/>
    <s v="CREDITOR"/>
    <n v="0"/>
    <n v="0"/>
    <n v="0"/>
    <n v="0"/>
    <n v="12.63"/>
  </r>
  <r>
    <n v="14064052"/>
    <s v="N"/>
    <n v="21349905"/>
    <s v="3000007298400008"/>
    <s v="CIVIL"/>
    <d v="2023-06-29T00:00:00"/>
    <d v="2023-07-10T19:01:40"/>
    <m/>
    <d v="2023-07-10T00:00:00"/>
    <n v="924"/>
    <n v="2281"/>
    <s v="14064052"/>
    <s v="14064052"/>
    <m/>
    <m/>
    <n v="22788366"/>
    <m/>
    <m/>
    <m/>
    <s v="SOLFIN"/>
    <s v="SOLFIN"/>
    <s v="CCMS"/>
    <n v="21349905"/>
    <n v="4899.44"/>
    <m/>
    <s v="N"/>
    <n v="37"/>
    <d v="2023-07-10T19:02:03"/>
    <s v="Y"/>
    <s v="Preparation - other"/>
    <s v="Prescribed Hourly Rates"/>
    <s v="Profit Cost"/>
    <s v="ROS"/>
    <s v="Y"/>
    <n v="63.14"/>
    <n v="12.63"/>
    <x v="2"/>
    <s v="VALIDATED"/>
    <n v="1"/>
    <s v="01.11.80.302.6100.0000"/>
    <n v="63.14"/>
    <s v="11"/>
    <s v="6100"/>
    <n v="43154.65"/>
    <n v="63.14"/>
    <s v="CREDITOR"/>
    <n v="0"/>
    <n v="0"/>
    <n v="0"/>
    <n v="0"/>
    <n v="63.14"/>
  </r>
  <r>
    <n v="11594527"/>
    <s v="N"/>
    <n v="21337864"/>
    <s v="3000006991410004"/>
    <s v="CIVIL"/>
    <d v="2023-06-27T00:00:00"/>
    <d v="2023-07-06T19:21:01"/>
    <m/>
    <d v="2023-07-06T00:00:00"/>
    <n v="924"/>
    <n v="2281"/>
    <s v="11594527"/>
    <s v="11594527"/>
    <m/>
    <m/>
    <n v="22768496"/>
    <m/>
    <m/>
    <m/>
    <s v="SOLFIN"/>
    <s v="SOLFIN"/>
    <s v="CCMS"/>
    <n v="21337864"/>
    <n v="6756.82"/>
    <m/>
    <s v="N"/>
    <n v="34"/>
    <d v="2023-07-06T19:21:09"/>
    <s v="Y"/>
    <s v="Preparation - other"/>
    <s v="Prescribed Hourly Rates"/>
    <s v="Profit Cost"/>
    <s v="RS"/>
    <s v="Y"/>
    <n v="6.31"/>
    <n v="1.26"/>
    <x v="4"/>
    <s v="VALIDATED"/>
    <n v="1"/>
    <s v="01.11.80.307.6100.0000"/>
    <n v="6.31"/>
    <s v="11"/>
    <s v="6100"/>
    <n v="43154.65"/>
    <n v="6.31"/>
    <s v="CREDITOR"/>
    <n v="0"/>
    <n v="0"/>
    <n v="0"/>
    <n v="0"/>
    <n v="6.31"/>
  </r>
  <r>
    <n v="6022968"/>
    <s v="N"/>
    <n v="21331042"/>
    <s v="3000002607450005"/>
    <s v="CIVIL"/>
    <d v="2023-06-23T00:00:00"/>
    <d v="2023-07-05T19:01:47"/>
    <m/>
    <d v="2023-07-05T00:00:00"/>
    <n v="924"/>
    <n v="2281"/>
    <s v="6022968"/>
    <s v="6022968"/>
    <m/>
    <m/>
    <n v="22748538"/>
    <m/>
    <m/>
    <m/>
    <s v="SOLFIN"/>
    <s v="SOLFIN"/>
    <s v="CCMS"/>
    <n v="21331042"/>
    <n v="2416.22"/>
    <m/>
    <s v="N"/>
    <n v="7"/>
    <d v="2023-07-05T19:02:03"/>
    <s v="Y"/>
    <s v="Preparation - other"/>
    <s v="Prescribed Hourly Rates"/>
    <s v="Profit Cost"/>
    <s v="RS"/>
    <s v="Y"/>
    <n v="109.8"/>
    <n v="21.96"/>
    <x v="6"/>
    <s v="VALIDATED"/>
    <n v="1"/>
    <s v="01.11.80.307.6100.0000"/>
    <n v="109.8"/>
    <s v="11"/>
    <s v="6100"/>
    <n v="43154.65"/>
    <n v="109.8"/>
    <s v="CREDITOR"/>
    <n v="0"/>
    <n v="0"/>
    <n v="0"/>
    <n v="0"/>
    <n v="109.8"/>
  </r>
  <r>
    <n v="60922072"/>
    <s v="N"/>
    <n v="21327671"/>
    <s v="3000015141490009"/>
    <s v="CIVIL"/>
    <d v="2023-06-30T00:00:00"/>
    <d v="2023-07-04T19:00:44"/>
    <m/>
    <d v="2023-07-04T00:00:00"/>
    <n v="924"/>
    <n v="2281"/>
    <s v="60922072"/>
    <s v="60922072"/>
    <m/>
    <m/>
    <n v="22794026"/>
    <m/>
    <m/>
    <m/>
    <s v="SOLPOA"/>
    <s v="SOLPOA"/>
    <s v="CCMS"/>
    <n v="21327671"/>
    <n v="83.5"/>
    <m/>
    <s v="N"/>
    <n v="1"/>
    <d v="2023-07-04T19:00:52"/>
    <s v="N"/>
    <s v="Non Expert Disbursement - Private L"/>
    <s v="Non Expert Disbursement - Priv"/>
    <s v="Non Expert Disbursement"/>
    <s v="Richard Singh"/>
    <s v="N"/>
    <n v="83.5"/>
    <n v="0"/>
    <x v="1"/>
    <s v="VALIDATED"/>
    <n v="1"/>
    <s v="01.11.80.307.2012.0000"/>
    <n v="83.5"/>
    <s v="11"/>
    <s v="2012"/>
    <n v="43154.65"/>
    <n v="83.5"/>
    <s v="CREDITOR"/>
    <n v="83.5"/>
    <n v="0"/>
    <n v="0"/>
    <n v="0"/>
    <n v="0"/>
  </r>
  <r>
    <n v="60950874"/>
    <s v="N"/>
    <n v="21360551"/>
    <s v="3000015160760008"/>
    <s v="CIVIL"/>
    <d v="2023-06-30T00:00:00"/>
    <d v="2023-07-11T11:50:54"/>
    <m/>
    <d v="2023-07-11T00:00:00"/>
    <n v="924"/>
    <n v="2281"/>
    <s v="60950874"/>
    <s v="60950874"/>
    <m/>
    <m/>
    <n v="22794622"/>
    <m/>
    <m/>
    <m/>
    <s v="SOLFIN"/>
    <s v="SOLFIN"/>
    <s v="CCMS"/>
    <n v="21360551"/>
    <n v="11550.02"/>
    <m/>
    <s v="N"/>
    <n v="74"/>
    <d v="2023-07-11T11:51:09"/>
    <s v="Y"/>
    <s v="Preparation - other"/>
    <s v="Prescribed Hourly Rates"/>
    <s v="Profit Cost"/>
    <s v="RS"/>
    <s v="Y"/>
    <n v="49.41"/>
    <n v="9.880000000000001"/>
    <x v="7"/>
    <s v="VALIDATED"/>
    <n v="1"/>
    <s v="01.11.80.307.6100.0000"/>
    <n v="49.41"/>
    <s v="11"/>
    <s v="6100"/>
    <n v="43154.65"/>
    <n v="49.41"/>
    <s v="CREDITOR"/>
    <n v="0"/>
    <n v="0"/>
    <n v="0"/>
    <n v="0"/>
    <n v="49.41"/>
  </r>
  <r>
    <n v="10004121"/>
    <s v="N"/>
    <n v="21360316"/>
    <s v="3000005900070010"/>
    <s v="CIVIL"/>
    <d v="2023-06-28T00:00:00"/>
    <d v="2023-07-11T11:50:54"/>
    <m/>
    <d v="2023-07-11T00:00:00"/>
    <n v="924"/>
    <n v="2281"/>
    <s v="10004121"/>
    <s v="10004121"/>
    <m/>
    <m/>
    <n v="22778134"/>
    <m/>
    <m/>
    <m/>
    <s v="SOLFIN"/>
    <s v="SOLFIN"/>
    <s v="CCMS"/>
    <n v="21360316"/>
    <n v="7425.76"/>
    <m/>
    <s v="N"/>
    <n v="15"/>
    <d v="2023-07-11T11:51:02"/>
    <s v="Y"/>
    <s v="Preparation - other"/>
    <s v="Prescribed Hourly Rates"/>
    <s v="Profit Cost"/>
    <s v="NPM"/>
    <s v="Y"/>
    <n v="10.98"/>
    <n v="2.2"/>
    <x v="7"/>
    <s v="VALIDATED"/>
    <n v="1"/>
    <s v="01.11.80.307.6100.0000"/>
    <n v="10.98"/>
    <s v="11"/>
    <s v="6100"/>
    <n v="43154.65"/>
    <n v="10.98"/>
    <s v="CREDITOR"/>
    <n v="0"/>
    <n v="0"/>
    <n v="0"/>
    <n v="0"/>
    <n v="10.98"/>
  </r>
  <r>
    <n v="14064052"/>
    <s v="N"/>
    <n v="21349905"/>
    <s v="3000007298400008"/>
    <s v="CIVIL"/>
    <d v="2023-06-29T00:00:00"/>
    <d v="2023-07-10T19:01:40"/>
    <m/>
    <d v="2023-07-10T00:00:00"/>
    <n v="924"/>
    <n v="2281"/>
    <s v="14064052"/>
    <s v="14064052"/>
    <m/>
    <m/>
    <n v="22788366"/>
    <m/>
    <m/>
    <m/>
    <s v="SOLFIN"/>
    <s v="SOLFIN"/>
    <s v="CCMS"/>
    <n v="21349905"/>
    <n v="4899.44"/>
    <m/>
    <s v="N"/>
    <n v="28"/>
    <d v="2023-07-10T19:02:03"/>
    <s v="Y"/>
    <s v="Preparation - other"/>
    <s v="Prescribed Hourly Rates"/>
    <s v="Profit Cost"/>
    <s v="ROS"/>
    <s v="Y"/>
    <n v="12.63"/>
    <n v="2.53"/>
    <x v="2"/>
    <s v="VALIDATED"/>
    <n v="1"/>
    <s v="01.11.80.302.6100.0000"/>
    <n v="12.63"/>
    <s v="11"/>
    <s v="6100"/>
    <n v="43154.65"/>
    <n v="12.63"/>
    <s v="CREDITOR"/>
    <n v="0"/>
    <n v="0"/>
    <n v="0"/>
    <n v="0"/>
    <n v="12.63"/>
  </r>
  <r>
    <n v="61313803"/>
    <s v="N"/>
    <n v="21350025"/>
    <s v="3000015470000008"/>
    <s v="CIVIL"/>
    <d v="2023-06-29T00:00:00"/>
    <d v="2023-07-10T19:01:40"/>
    <m/>
    <d v="2023-07-10T00:00:00"/>
    <n v="924"/>
    <n v="2281"/>
    <s v="61313803"/>
    <s v="61313803"/>
    <m/>
    <m/>
    <n v="22789528"/>
    <m/>
    <m/>
    <m/>
    <s v="SOLFIN"/>
    <s v="SOLFIN"/>
    <s v="CCMS"/>
    <n v="21350025"/>
    <n v="6800.74"/>
    <m/>
    <s v="N"/>
    <n v="90"/>
    <d v="2023-07-10T19:02:09"/>
    <s v="Y"/>
    <s v="Routine Letter In"/>
    <s v="Prescribed Hourly Rates"/>
    <s v="Profit Cost"/>
    <s v="RS"/>
    <s v="Y"/>
    <n v="257.72"/>
    <n v="51.54"/>
    <x v="2"/>
    <s v="VALIDATED"/>
    <n v="1"/>
    <s v="01.11.80.307.6100.0000"/>
    <n v="257.72"/>
    <s v="11"/>
    <s v="6100"/>
    <n v="43154.65"/>
    <n v="257.72"/>
    <s v="CREDITOR"/>
    <n v="0"/>
    <n v="0"/>
    <n v="0"/>
    <n v="0"/>
    <n v="257.72"/>
  </r>
  <r>
    <n v="61313803"/>
    <s v="N"/>
    <n v="21350025"/>
    <s v="3000015470000008"/>
    <s v="CIVIL"/>
    <d v="2023-06-29T00:00:00"/>
    <d v="2023-07-10T19:01:40"/>
    <m/>
    <d v="2023-07-10T00:00:00"/>
    <n v="924"/>
    <n v="2281"/>
    <s v="61313803"/>
    <s v="61313803"/>
    <m/>
    <m/>
    <n v="22789528"/>
    <m/>
    <m/>
    <m/>
    <s v="SOLFIN"/>
    <s v="SOLFIN"/>
    <s v="CCMS"/>
    <n v="21350025"/>
    <n v="6800.74"/>
    <m/>
    <s v="N"/>
    <n v="46"/>
    <d v="2023-07-10T19:02:09"/>
    <s v="Y"/>
    <s v="Preparation - other"/>
    <s v="Prescribed Hourly Rates"/>
    <s v="Profit Cost"/>
    <s v="RS"/>
    <s v="Y"/>
    <n v="6.31"/>
    <n v="1.26"/>
    <x v="2"/>
    <s v="VALIDATED"/>
    <n v="1"/>
    <s v="01.11.80.307.6100.0000"/>
    <n v="6.31"/>
    <s v="11"/>
    <s v="6100"/>
    <n v="43154.65"/>
    <n v="6.31"/>
    <s v="CREDITOR"/>
    <n v="0"/>
    <n v="0"/>
    <n v="0"/>
    <n v="0"/>
    <n v="6.31"/>
  </r>
  <r>
    <n v="61313803"/>
    <s v="N"/>
    <n v="21350025"/>
    <s v="3000015470000008"/>
    <s v="CIVIL"/>
    <d v="2023-06-29T00:00:00"/>
    <d v="2023-07-10T19:01:40"/>
    <m/>
    <d v="2023-07-10T00:00:00"/>
    <n v="924"/>
    <n v="2281"/>
    <s v="61313803"/>
    <s v="61313803"/>
    <m/>
    <m/>
    <n v="22789528"/>
    <m/>
    <m/>
    <m/>
    <s v="SOLFIN"/>
    <s v="SOLFIN"/>
    <s v="CCMS"/>
    <n v="21350025"/>
    <n v="6800.74"/>
    <m/>
    <s v="N"/>
    <n v="10"/>
    <d v="2023-07-10T19:02:09"/>
    <s v="Y"/>
    <s v="Preparation - other"/>
    <s v="Prescribed Hourly Rates"/>
    <s v="Profit Cost"/>
    <s v="RS"/>
    <s v="Y"/>
    <n v="12.63"/>
    <n v="2.53"/>
    <x v="2"/>
    <s v="VALIDATED"/>
    <n v="1"/>
    <s v="01.11.80.307.6100.0000"/>
    <n v="12.63"/>
    <s v="11"/>
    <s v="6100"/>
    <n v="43154.65"/>
    <n v="12.63"/>
    <s v="CREDITOR"/>
    <n v="0"/>
    <n v="0"/>
    <n v="0"/>
    <n v="0"/>
    <n v="12.63"/>
  </r>
  <r>
    <n v="60950874"/>
    <s v="N"/>
    <n v="21360551"/>
    <s v="3000015160760008"/>
    <s v="CIVIL"/>
    <d v="2023-06-30T00:00:00"/>
    <d v="2023-07-11T11:50:54"/>
    <m/>
    <d v="2023-07-11T00:00:00"/>
    <n v="924"/>
    <n v="2281"/>
    <s v="60950874"/>
    <s v="60950874"/>
    <m/>
    <m/>
    <n v="22794622"/>
    <m/>
    <m/>
    <m/>
    <s v="SOLFIN"/>
    <s v="SOLFIN"/>
    <s v="CCMS"/>
    <n v="21360551"/>
    <n v="11550.02"/>
    <m/>
    <s v="N"/>
    <n v="72"/>
    <d v="2023-07-11T11:51:09"/>
    <s v="Y"/>
    <s v="Preparation - other"/>
    <s v="Prescribed Hourly Rates"/>
    <s v="Profit Cost"/>
    <s v="RS"/>
    <s v="Y"/>
    <n v="74.12"/>
    <n v="14.82"/>
    <x v="7"/>
    <s v="VALIDATED"/>
    <n v="1"/>
    <s v="01.11.80.307.6100.0000"/>
    <n v="74.12"/>
    <s v="11"/>
    <s v="6100"/>
    <n v="43154.65"/>
    <n v="74.12"/>
    <s v="CREDITOR"/>
    <n v="0"/>
    <n v="0"/>
    <n v="0"/>
    <n v="0"/>
    <n v="74.12"/>
  </r>
  <r>
    <n v="11594527"/>
    <s v="N"/>
    <n v="21337864"/>
    <s v="3000006991410004"/>
    <s v="CIVIL"/>
    <d v="2023-06-27T00:00:00"/>
    <d v="2023-07-06T19:21:01"/>
    <m/>
    <d v="2023-07-06T00:00:00"/>
    <n v="924"/>
    <n v="2281"/>
    <s v="11594527"/>
    <s v="11594527"/>
    <m/>
    <m/>
    <n v="22768496"/>
    <m/>
    <m/>
    <m/>
    <s v="SOLFIN"/>
    <s v="SOLFIN"/>
    <s v="CCMS"/>
    <n v="21337864"/>
    <n v="6756.82"/>
    <m/>
    <s v="N"/>
    <n v="85"/>
    <d v="2023-07-06T19:21:09"/>
    <s v="Y"/>
    <s v="Preparation - other"/>
    <s v="Prescribed Hourly Rates"/>
    <s v="Profit Cost"/>
    <s v="NPM"/>
    <s v="Y"/>
    <n v="10.98"/>
    <n v="2.2"/>
    <x v="4"/>
    <s v="VALIDATED"/>
    <n v="1"/>
    <s v="01.11.80.307.6100.0000"/>
    <n v="10.98"/>
    <s v="11"/>
    <s v="6100"/>
    <n v="43154.65"/>
    <n v="10.98"/>
    <s v="CREDITOR"/>
    <n v="0"/>
    <n v="0"/>
    <n v="0"/>
    <n v="0"/>
    <n v="10.98"/>
  </r>
  <r>
    <n v="11594527"/>
    <s v="N"/>
    <n v="21337864"/>
    <s v="3000006991410004"/>
    <s v="CIVIL"/>
    <d v="2023-06-27T00:00:00"/>
    <d v="2023-07-06T19:21:01"/>
    <m/>
    <d v="2023-07-06T00:00:00"/>
    <n v="924"/>
    <n v="2281"/>
    <s v="11594527"/>
    <s v="11594527"/>
    <m/>
    <m/>
    <n v="22768496"/>
    <m/>
    <m/>
    <m/>
    <s v="SOLFIN"/>
    <s v="SOLFIN"/>
    <s v="CCMS"/>
    <n v="21337864"/>
    <n v="6756.82"/>
    <m/>
    <s v="N"/>
    <n v="2"/>
    <d v="2023-07-06T19:21:09"/>
    <s v="Y"/>
    <s v="Hearing Unit 2.31 - 5.00 Hours"/>
    <s v="Private Law Children"/>
    <s v="Advocacy"/>
    <s v="RS"/>
    <s v="Y"/>
    <n v="313.48"/>
    <n v="62.69"/>
    <x v="4"/>
    <s v="VALIDATED"/>
    <n v="1"/>
    <s v="01.11.80.307.6100.0000"/>
    <n v="313.48"/>
    <s v="11"/>
    <s v="6100"/>
    <n v="43154.65"/>
    <n v="313.48"/>
    <s v="CREDITOR"/>
    <n v="0"/>
    <n v="0"/>
    <n v="0"/>
    <n v="0"/>
    <n v="313.48"/>
  </r>
  <r>
    <n v="11594527"/>
    <s v="N"/>
    <n v="21337864"/>
    <s v="3000006991410004"/>
    <s v="CIVIL"/>
    <d v="2023-06-27T00:00:00"/>
    <d v="2023-07-06T19:21:01"/>
    <m/>
    <d v="2023-07-06T00:00:00"/>
    <n v="924"/>
    <n v="2281"/>
    <s v="11594527"/>
    <s v="11594527"/>
    <m/>
    <m/>
    <n v="22768496"/>
    <m/>
    <m/>
    <m/>
    <s v="SOLFIN"/>
    <s v="SOLFIN"/>
    <s v="CCMS"/>
    <n v="21337864"/>
    <n v="6756.82"/>
    <m/>
    <s v="N"/>
    <n v="7"/>
    <d v="2023-07-06T19:21:09"/>
    <s v="Y"/>
    <s v="Preparation - other"/>
    <s v="Prescribed Hourly Rates"/>
    <s v="Profit Cost"/>
    <s v="RS"/>
    <s v="Y"/>
    <n v="6.31"/>
    <n v="1.26"/>
    <x v="4"/>
    <s v="VALIDATED"/>
    <n v="1"/>
    <s v="01.11.80.307.6100.0000"/>
    <n v="6.31"/>
    <s v="11"/>
    <s v="6100"/>
    <n v="43154.65"/>
    <n v="6.31"/>
    <s v="CREDITOR"/>
    <n v="0"/>
    <n v="0"/>
    <n v="0"/>
    <n v="0"/>
    <n v="6.31"/>
  </r>
  <r>
    <n v="10788846"/>
    <s v="N"/>
    <n v="21338341"/>
    <s v="3000006570470018"/>
    <s v="CIVIL"/>
    <d v="2023-06-28T00:00:00"/>
    <d v="2023-07-06T19:21:01"/>
    <m/>
    <d v="2023-07-06T00:00:00"/>
    <n v="924"/>
    <n v="2281"/>
    <s v="10788846"/>
    <s v="10788846"/>
    <m/>
    <m/>
    <n v="22777146"/>
    <m/>
    <m/>
    <m/>
    <s v="SOLFIN"/>
    <s v="SOLFIN"/>
    <s v="CCMS"/>
    <n v="21338341"/>
    <n v="1098.86"/>
    <m/>
    <s v="N"/>
    <n v="1"/>
    <d v="2023-07-06T19:21:20"/>
    <s v="Y"/>
    <s v="Process server"/>
    <s v="Domestic Abuse"/>
    <s v="Expert Disbursement"/>
    <s v="ROS"/>
    <s v="Y"/>
    <n v="124.08"/>
    <n v="0"/>
    <x v="4"/>
    <s v="VALIDATED"/>
    <n v="1"/>
    <s v="01.11.80.307.6300.0000"/>
    <n v="124.08"/>
    <s v="11"/>
    <s v="6300"/>
    <n v="43154.65"/>
    <n v="124.08"/>
    <s v="CREDITOR"/>
    <n v="0"/>
    <n v="0"/>
    <n v="0"/>
    <n v="0"/>
    <n v="124.08"/>
  </r>
  <r>
    <n v="62427494"/>
    <s v="N"/>
    <n v="21327678"/>
    <s v="3000016397010002"/>
    <s v="CIVIL"/>
    <d v="2023-06-30T00:00:00"/>
    <d v="2023-07-04T19:00:44"/>
    <m/>
    <d v="2023-07-04T00:00:00"/>
    <n v="924"/>
    <n v="2281"/>
    <s v="62427494"/>
    <s v="62427494"/>
    <m/>
    <m/>
    <n v="22794016"/>
    <m/>
    <m/>
    <m/>
    <s v="SOLPOA"/>
    <s v="SOLPOA"/>
    <s v="CCMS"/>
    <n v="21327678"/>
    <n v="126.31"/>
    <m/>
    <s v="N"/>
    <n v="1"/>
    <d v="2023-07-04T19:00:52"/>
    <s v="N"/>
    <s v="Expert Cost - Private Law Children"/>
    <s v="Expert Cost - Private Law Chil"/>
    <s v="Expert Disbursement"/>
    <s v="Richard Singh"/>
    <s v="N"/>
    <n v="126.31"/>
    <n v="0"/>
    <x v="1"/>
    <s v="VALIDATED"/>
    <n v="1"/>
    <s v="01.11.80.307.2012.0000"/>
    <n v="126.31"/>
    <s v="11"/>
    <s v="2012"/>
    <n v="43154.65"/>
    <n v="126.31"/>
    <s v="CREDITOR"/>
    <n v="126.31"/>
    <n v="0"/>
    <n v="0"/>
    <n v="0"/>
    <n v="0"/>
  </r>
  <r>
    <n v="60950874"/>
    <s v="N"/>
    <n v="21360551"/>
    <s v="3000015160760008"/>
    <s v="CIVIL"/>
    <d v="2023-06-30T00:00:00"/>
    <d v="2023-07-11T11:50:54"/>
    <m/>
    <d v="2023-07-11T00:00:00"/>
    <n v="924"/>
    <n v="2281"/>
    <s v="60950874"/>
    <s v="60950874"/>
    <m/>
    <m/>
    <n v="22794622"/>
    <m/>
    <m/>
    <m/>
    <s v="SOLFIN"/>
    <s v="SOLFIN"/>
    <s v="CCMS"/>
    <n v="21360551"/>
    <n v="11550.02"/>
    <m/>
    <s v="N"/>
    <n v="121"/>
    <d v="2023-07-11T11:51:09"/>
    <s v="Y"/>
    <s v="Preparation - drafting attendance n"/>
    <s v="Prescribed Hourly Rates"/>
    <s v="Profit Cost"/>
    <s v="RS"/>
    <s v="Y"/>
    <n v="49.41"/>
    <n v="9.880000000000001"/>
    <x v="7"/>
    <s v="VALIDATED"/>
    <n v="1"/>
    <s v="01.11.80.307.6100.0000"/>
    <n v="49.41"/>
    <s v="11"/>
    <s v="6100"/>
    <n v="43154.65"/>
    <n v="49.41"/>
    <s v="CREDITOR"/>
    <n v="0"/>
    <n v="0"/>
    <n v="0"/>
    <n v="0"/>
    <n v="49.41"/>
  </r>
  <r>
    <n v="60950874"/>
    <s v="N"/>
    <n v="21360551"/>
    <s v="3000015160760008"/>
    <s v="CIVIL"/>
    <d v="2023-06-30T00:00:00"/>
    <d v="2023-07-11T11:50:54"/>
    <m/>
    <d v="2023-07-11T00:00:00"/>
    <n v="924"/>
    <n v="2281"/>
    <s v="60950874"/>
    <s v="60950874"/>
    <m/>
    <m/>
    <n v="22794622"/>
    <m/>
    <m/>
    <m/>
    <s v="SOLFIN"/>
    <s v="SOLFIN"/>
    <s v="CCMS"/>
    <n v="21360551"/>
    <n v="11550.02"/>
    <m/>
    <s v="N"/>
    <n v="128"/>
    <d v="2023-07-11T11:51:09"/>
    <s v="Y"/>
    <s v="Routine Letter In"/>
    <s v="Prescribed Hourly Rates"/>
    <s v="Profit Cost"/>
    <s v="RS"/>
    <s v="Y"/>
    <n v="860.09"/>
    <n v="172.23"/>
    <x v="7"/>
    <s v="VALIDATED"/>
    <n v="1"/>
    <s v="01.11.80.307.6100.0000"/>
    <n v="860.09"/>
    <s v="11"/>
    <s v="6100"/>
    <n v="43154.65"/>
    <n v="860.09"/>
    <s v="CREDITOR"/>
    <n v="0"/>
    <n v="0"/>
    <n v="0"/>
    <n v="0"/>
    <n v="860.09"/>
  </r>
  <r>
    <n v="10004121"/>
    <s v="N"/>
    <n v="21360316"/>
    <s v="3000005900070010"/>
    <s v="CIVIL"/>
    <d v="2023-06-28T00:00:00"/>
    <d v="2023-07-11T11:50:54"/>
    <m/>
    <d v="2023-07-11T00:00:00"/>
    <n v="924"/>
    <n v="2281"/>
    <s v="10004121"/>
    <s v="10004121"/>
    <m/>
    <m/>
    <n v="22778134"/>
    <m/>
    <m/>
    <m/>
    <s v="SOLFIN"/>
    <s v="SOLFIN"/>
    <s v="CCMS"/>
    <n v="21360316"/>
    <n v="7425.76"/>
    <m/>
    <s v="N"/>
    <n v="71"/>
    <d v="2023-07-11T11:51:02"/>
    <s v="Y"/>
    <s v="Attendance upon client"/>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94"/>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65"/>
    <d v="2023-07-11T11:51:02"/>
    <s v="Y"/>
    <s v="Preparation - other"/>
    <s v="Prescribed Hourly Rates"/>
    <s v="Profit Cost"/>
    <s v="RS"/>
    <s v="Y"/>
    <n v="6.31"/>
    <n v="1.26"/>
    <x v="7"/>
    <s v="VALIDATED"/>
    <n v="1"/>
    <s v="01.11.80.307.6100.0000"/>
    <n v="6.31"/>
    <s v="11"/>
    <s v="6100"/>
    <n v="43154.65"/>
    <n v="6.31"/>
    <s v="CREDITOR"/>
    <n v="0"/>
    <n v="0"/>
    <n v="0"/>
    <n v="0"/>
    <n v="6.31"/>
  </r>
  <r>
    <n v="10004121"/>
    <s v="N"/>
    <n v="21360316"/>
    <s v="3000005900070010"/>
    <s v="CIVIL"/>
    <d v="2023-06-28T00:00:00"/>
    <d v="2023-07-11T11:50:54"/>
    <m/>
    <d v="2023-07-11T00:00:00"/>
    <n v="924"/>
    <n v="2281"/>
    <s v="10004121"/>
    <s v="10004121"/>
    <m/>
    <m/>
    <n v="22778134"/>
    <m/>
    <m/>
    <m/>
    <s v="SOLFIN"/>
    <s v="SOLFIN"/>
    <s v="CCMS"/>
    <n v="21360316"/>
    <n v="7425.76"/>
    <m/>
    <s v="N"/>
    <n v="40"/>
    <d v="2023-07-11T11:51:02"/>
    <s v="Y"/>
    <s v="Preparation - other"/>
    <s v="Prescribed Hourly Rates"/>
    <s v="Profit Cost"/>
    <s v="RS"/>
    <s v="Y"/>
    <n v="12.63"/>
    <n v="2.53"/>
    <x v="7"/>
    <s v="VALIDATED"/>
    <n v="1"/>
    <s v="01.11.80.307.6100.0000"/>
    <n v="12.63"/>
    <s v="11"/>
    <s v="6100"/>
    <n v="43154.65"/>
    <n v="12.63"/>
    <s v="CREDITOR"/>
    <n v="0"/>
    <n v="0"/>
    <n v="0"/>
    <n v="0"/>
    <n v="12.63"/>
  </r>
  <r>
    <n v="10004121"/>
    <s v="N"/>
    <n v="21360316"/>
    <s v="3000005900070010"/>
    <s v="CIVIL"/>
    <d v="2023-06-28T00:00:00"/>
    <d v="2023-07-11T11:50:54"/>
    <m/>
    <d v="2023-07-11T00:00:00"/>
    <n v="924"/>
    <n v="2281"/>
    <s v="10004121"/>
    <s v="10004121"/>
    <m/>
    <m/>
    <n v="22778134"/>
    <m/>
    <m/>
    <m/>
    <s v="SOLFIN"/>
    <s v="SOLFIN"/>
    <s v="CCMS"/>
    <n v="21360316"/>
    <n v="7425.76"/>
    <m/>
    <s v="N"/>
    <n v="47"/>
    <d v="2023-07-11T11:51:02"/>
    <s v="Y"/>
    <s v="Preparation - other"/>
    <s v="Prescribed Hourly Rates"/>
    <s v="Profit Cost"/>
    <s v="RS"/>
    <s v="Y"/>
    <n v="37.06"/>
    <n v="7.41"/>
    <x v="7"/>
    <s v="VALIDATED"/>
    <n v="1"/>
    <s v="01.11.80.307.6100.0000"/>
    <n v="37.06"/>
    <s v="11"/>
    <s v="6100"/>
    <n v="43154.65"/>
    <n v="37.06"/>
    <s v="CREDITOR"/>
    <n v="0"/>
    <n v="0"/>
    <n v="0"/>
    <n v="0"/>
    <n v="37.06"/>
  </r>
  <r>
    <n v="10004121"/>
    <s v="N"/>
    <n v="21360316"/>
    <s v="3000005900070010"/>
    <s v="CIVIL"/>
    <d v="2023-06-28T00:00:00"/>
    <d v="2023-07-11T11:50:54"/>
    <m/>
    <d v="2023-07-11T00:00:00"/>
    <n v="924"/>
    <n v="2281"/>
    <s v="10004121"/>
    <s v="10004121"/>
    <m/>
    <m/>
    <n v="22778134"/>
    <m/>
    <m/>
    <m/>
    <s v="SOLFIN"/>
    <s v="SOLFIN"/>
    <s v="CCMS"/>
    <n v="21360316"/>
    <n v="7425.76"/>
    <m/>
    <s v="N"/>
    <n v="109"/>
    <d v="2023-07-11T11:51:02"/>
    <s v="Y"/>
    <s v="Preparation - other"/>
    <s v="Prescribed Hourly Rates"/>
    <s v="Profit Cost"/>
    <s v="NPM"/>
    <s v="Y"/>
    <n v="16.47"/>
    <n v="3.29"/>
    <x v="7"/>
    <s v="VALIDATED"/>
    <n v="1"/>
    <s v="01.11.80.307.6100.0000"/>
    <n v="16.47"/>
    <s v="11"/>
    <s v="6100"/>
    <n v="43154.65"/>
    <n v="16.47"/>
    <s v="CREDITOR"/>
    <n v="0"/>
    <n v="0"/>
    <n v="0"/>
    <n v="0"/>
    <n v="16.47"/>
  </r>
  <r>
    <n v="10004121"/>
    <s v="N"/>
    <n v="21360316"/>
    <s v="3000005900070010"/>
    <s v="CIVIL"/>
    <d v="2023-06-28T00:00:00"/>
    <d v="2023-07-11T11:50:54"/>
    <m/>
    <d v="2023-07-11T00:00:00"/>
    <n v="924"/>
    <n v="2281"/>
    <s v="10004121"/>
    <s v="10004121"/>
    <m/>
    <m/>
    <n v="22778134"/>
    <m/>
    <m/>
    <m/>
    <s v="SOLFIN"/>
    <s v="SOLFIN"/>
    <s v="CCMS"/>
    <n v="21360316"/>
    <n v="7425.76"/>
    <m/>
    <s v="N"/>
    <n v="115"/>
    <d v="2023-07-11T11:51:02"/>
    <s v="Y"/>
    <s v="Routine Letter Out"/>
    <s v="Prescribed Hourly Rates"/>
    <s v="Profit Cost"/>
    <s v="RS"/>
    <s v="Y"/>
    <n v="689.3099999999999"/>
    <n v="137.92"/>
    <x v="7"/>
    <s v="VALIDATED"/>
    <n v="1"/>
    <s v="01.11.80.307.6100.0000"/>
    <n v="689.3099999999999"/>
    <s v="11"/>
    <s v="6100"/>
    <n v="43154.65"/>
    <n v="689.3099999999999"/>
    <s v="CREDITOR"/>
    <n v="0"/>
    <n v="0"/>
    <n v="0"/>
    <n v="0"/>
    <n v="689.3099999999999"/>
  </r>
  <r>
    <n v="8647673"/>
    <s v="N"/>
    <n v="21349284"/>
    <s v="3000004688890022"/>
    <s v="CIVIL"/>
    <d v="2023-06-27T00:00:00"/>
    <d v="2023-07-10T19:01:40"/>
    <m/>
    <d v="2023-07-10T00:00:00"/>
    <n v="924"/>
    <n v="2281"/>
    <s v="8647673"/>
    <s v="8647673"/>
    <m/>
    <m/>
    <n v="22771220"/>
    <m/>
    <m/>
    <m/>
    <s v="SOLFIN"/>
    <s v="SOLFIN"/>
    <s v="CCMS"/>
    <n v="21349284"/>
    <n v="14502.62"/>
    <m/>
    <s v="N"/>
    <n v="94"/>
    <d v="2023-07-10T19:01:43"/>
    <s v="Y"/>
    <s v="Preparation - other"/>
    <s v="Prescribed Hourly Rates"/>
    <s v="Profit Cost"/>
    <s v="ROS"/>
    <s v="Y"/>
    <n v="148.23"/>
    <n v="29.64"/>
    <x v="2"/>
    <s v="VALIDATED"/>
    <n v="1"/>
    <s v="01.11.80.307.6100.0000"/>
    <n v="148.23"/>
    <s v="11"/>
    <s v="6100"/>
    <n v="43154.65"/>
    <n v="148.23"/>
    <s v="CREDITOR"/>
    <n v="0"/>
    <n v="0"/>
    <n v="0"/>
    <n v="0"/>
    <n v="148.23"/>
  </r>
  <r>
    <n v="8647673"/>
    <s v="N"/>
    <n v="21349284"/>
    <s v="3000004688890022"/>
    <s v="CIVIL"/>
    <d v="2023-06-27T00:00:00"/>
    <d v="2023-07-10T19:01:40"/>
    <m/>
    <d v="2023-07-10T00:00:00"/>
    <n v="924"/>
    <n v="2281"/>
    <s v="8647673"/>
    <s v="8647673"/>
    <m/>
    <m/>
    <n v="22771220"/>
    <m/>
    <m/>
    <m/>
    <s v="SOLFIN"/>
    <s v="SOLFIN"/>
    <s v="CCMS"/>
    <n v="21349284"/>
    <n v="14502.62"/>
    <m/>
    <s v="N"/>
    <n v="96"/>
    <d v="2023-07-10T19:01:43"/>
    <s v="Y"/>
    <s v="Preparation - other"/>
    <s v="Prescribed Hourly Rates"/>
    <s v="Profit Cost"/>
    <s v="ROS"/>
    <s v="Y"/>
    <n v="74.12"/>
    <n v="14.82"/>
    <x v="2"/>
    <s v="VALIDATED"/>
    <n v="1"/>
    <s v="01.11.80.307.6100.0000"/>
    <n v="74.12"/>
    <s v="11"/>
    <s v="6100"/>
    <n v="43154.65"/>
    <n v="74.12"/>
    <s v="CREDITOR"/>
    <n v="0"/>
    <n v="0"/>
    <n v="0"/>
    <n v="0"/>
    <n v="74.12"/>
  </r>
  <r>
    <n v="8647673"/>
    <s v="N"/>
    <n v="21349284"/>
    <s v="3000004688890022"/>
    <s v="CIVIL"/>
    <d v="2023-06-27T00:00:00"/>
    <d v="2023-07-10T19:01:40"/>
    <m/>
    <d v="2023-07-10T00:00:00"/>
    <n v="924"/>
    <n v="2281"/>
    <s v="8647673"/>
    <s v="8647673"/>
    <m/>
    <m/>
    <n v="22771220"/>
    <m/>
    <m/>
    <m/>
    <s v="SOLFIN"/>
    <s v="SOLFIN"/>
    <s v="CCMS"/>
    <n v="21349284"/>
    <n v="14502.62"/>
    <m/>
    <s v="N"/>
    <n v="104"/>
    <d v="2023-07-10T19:01:43"/>
    <s v="Y"/>
    <s v="Preparation - drafting instructions"/>
    <s v="Prescribed Hourly Rates"/>
    <s v="Profit Cost"/>
    <s v="ROS"/>
    <s v="Y"/>
    <n v="37.06"/>
    <n v="7.41"/>
    <x v="2"/>
    <s v="VALIDATED"/>
    <n v="1"/>
    <s v="01.11.80.307.6100.0000"/>
    <n v="37.06"/>
    <s v="11"/>
    <s v="6100"/>
    <n v="43154.65"/>
    <n v="37.06"/>
    <s v="CREDITOR"/>
    <n v="0"/>
    <n v="0"/>
    <n v="0"/>
    <n v="0"/>
    <n v="37.06"/>
  </r>
  <r>
    <n v="61313803"/>
    <s v="N"/>
    <n v="21350025"/>
    <s v="3000015470000008"/>
    <s v="CIVIL"/>
    <d v="2023-06-29T00:00:00"/>
    <d v="2023-07-10T19:01:40"/>
    <m/>
    <d v="2023-07-10T00:00:00"/>
    <n v="924"/>
    <n v="2281"/>
    <s v="61313803"/>
    <s v="61313803"/>
    <m/>
    <m/>
    <n v="22789528"/>
    <m/>
    <m/>
    <m/>
    <s v="SOLFIN"/>
    <s v="SOLFIN"/>
    <s v="CCMS"/>
    <n v="21350025"/>
    <n v="6800.74"/>
    <m/>
    <s v="N"/>
    <n v="55"/>
    <d v="2023-07-10T19:02:09"/>
    <s v="Y"/>
    <s v="Attendance upon client"/>
    <s v="Prescribed Hourly Rates"/>
    <s v="Profit Cost"/>
    <s v="RS"/>
    <s v="Y"/>
    <n v="74.12"/>
    <n v="14.82"/>
    <x v="2"/>
    <s v="VALIDATED"/>
    <n v="1"/>
    <s v="01.11.80.307.6100.0000"/>
    <n v="74.12"/>
    <s v="11"/>
    <s v="6100"/>
    <n v="43154.65"/>
    <n v="74.12"/>
    <s v="CREDITOR"/>
    <n v="0"/>
    <n v="0"/>
    <n v="0"/>
    <n v="0"/>
    <n v="74.12"/>
  </r>
  <r>
    <n v="14064052"/>
    <s v="N"/>
    <n v="21349905"/>
    <s v="3000007298400008"/>
    <s v="CIVIL"/>
    <d v="2023-06-29T00:00:00"/>
    <d v="2023-07-10T19:01:40"/>
    <m/>
    <d v="2023-07-10T00:00:00"/>
    <n v="924"/>
    <n v="2281"/>
    <s v="14064052"/>
    <s v="14064052"/>
    <m/>
    <m/>
    <n v="22788366"/>
    <m/>
    <m/>
    <m/>
    <s v="SOLFIN"/>
    <s v="SOLFIN"/>
    <s v="CCMS"/>
    <n v="21349905"/>
    <n v="4899.44"/>
    <m/>
    <s v="N"/>
    <n v="3"/>
    <d v="2023-07-10T19:02:03"/>
    <s v="Y"/>
    <s v="Court Fee"/>
    <s v="Prescribed Hourly Rates"/>
    <s v="Non Expert Disbursement"/>
    <s v="XXX"/>
    <s v="Y"/>
    <n v="50"/>
    <n v="0"/>
    <x v="2"/>
    <s v="VALIDATED"/>
    <n v="1"/>
    <s v="01.11.80.302.6300.0000"/>
    <n v="50"/>
    <s v="11"/>
    <s v="6300"/>
    <n v="43154.65"/>
    <n v="50"/>
    <s v="CREDITOR"/>
    <n v="0"/>
    <n v="0"/>
    <n v="0"/>
    <n v="0"/>
    <n v="50"/>
  </r>
  <r>
    <n v="11594527"/>
    <s v="N"/>
    <n v="21337864"/>
    <s v="3000006991410004"/>
    <s v="CIVIL"/>
    <d v="2023-06-27T00:00:00"/>
    <d v="2023-07-06T19:21:01"/>
    <m/>
    <d v="2023-07-06T00:00:00"/>
    <n v="924"/>
    <n v="2281"/>
    <s v="11594527"/>
    <s v="11594527"/>
    <m/>
    <m/>
    <n v="22768496"/>
    <m/>
    <m/>
    <m/>
    <s v="SOLFIN"/>
    <s v="SOLFIN"/>
    <s v="CCMS"/>
    <n v="21337864"/>
    <n v="6756.82"/>
    <m/>
    <s v="N"/>
    <n v="66"/>
    <d v="2023-07-06T19:21:09"/>
    <s v="Y"/>
    <s v="Attendance upon/with Counsel at Con"/>
    <s v="Prescribed Hourly Rates"/>
    <s v="Profit Cost"/>
    <s v="RS"/>
    <s v="Y"/>
    <n v="7.45"/>
    <n v="1.49"/>
    <x v="4"/>
    <s v="VALIDATED"/>
    <n v="1"/>
    <s v="01.11.80.307.6100.0000"/>
    <n v="7.45"/>
    <s v="11"/>
    <s v="6100"/>
    <n v="43154.65"/>
    <n v="7.45"/>
    <s v="CREDITOR"/>
    <n v="0"/>
    <n v="0"/>
    <n v="0"/>
    <n v="0"/>
    <n v="7.45"/>
  </r>
  <r>
    <n v="60950874"/>
    <s v="N"/>
    <n v="21360551"/>
    <s v="3000015160760008"/>
    <s v="CIVIL"/>
    <d v="2023-06-30T00:00:00"/>
    <d v="2023-07-11T11:50:54"/>
    <m/>
    <d v="2023-07-11T00:00:00"/>
    <n v="924"/>
    <n v="2281"/>
    <s v="60950874"/>
    <s v="60950874"/>
    <m/>
    <m/>
    <n v="22794622"/>
    <m/>
    <m/>
    <m/>
    <s v="SOLFIN"/>
    <s v="SOLFIN"/>
    <s v="CCMS"/>
    <n v="21360551"/>
    <n v="11550.02"/>
    <m/>
    <s v="N"/>
    <n v="27"/>
    <d v="2023-07-11T11:51:09"/>
    <s v="Y"/>
    <s v="Preparation - other"/>
    <s v="Prescribed Hourly Rates"/>
    <s v="Profit Cost"/>
    <s v="RS"/>
    <s v="Y"/>
    <n v="74.12"/>
    <n v="14.82"/>
    <x v="7"/>
    <s v="VALIDATED"/>
    <n v="1"/>
    <s v="01.11.80.307.6100.0000"/>
    <n v="74.12"/>
    <s v="11"/>
    <s v="6100"/>
    <n v="43154.65"/>
    <n v="74.12"/>
    <s v="CREDITOR"/>
    <n v="0"/>
    <n v="0"/>
    <n v="0"/>
    <n v="0"/>
    <n v="74.12"/>
  </r>
  <r>
    <n v="60950874"/>
    <s v="N"/>
    <n v="21360551"/>
    <s v="3000015160760008"/>
    <s v="CIVIL"/>
    <d v="2023-06-30T00:00:00"/>
    <d v="2023-07-11T11:50:54"/>
    <m/>
    <d v="2023-07-11T00:00:00"/>
    <n v="924"/>
    <n v="2281"/>
    <s v="60950874"/>
    <s v="60950874"/>
    <m/>
    <m/>
    <n v="22794622"/>
    <m/>
    <m/>
    <m/>
    <s v="SOLFIN"/>
    <s v="SOLFIN"/>
    <s v="CCMS"/>
    <n v="21360551"/>
    <n v="11550.02"/>
    <m/>
    <s v="N"/>
    <n v="69"/>
    <d v="2023-07-11T11:51:09"/>
    <s v="Y"/>
    <s v="Preparation - other"/>
    <s v="Prescribed Hourly Rates"/>
    <s v="Profit Cost"/>
    <s v="RS"/>
    <s v="Y"/>
    <n v="6.31"/>
    <n v="1.26"/>
    <x v="7"/>
    <s v="VALIDATED"/>
    <n v="1"/>
    <s v="01.11.80.307.6100.0000"/>
    <n v="6.31"/>
    <s v="11"/>
    <s v="6100"/>
    <n v="43154.65"/>
    <n v="6.31"/>
    <s v="CREDITOR"/>
    <n v="0"/>
    <n v="0"/>
    <n v="0"/>
    <n v="0"/>
    <n v="6.31"/>
  </r>
  <r>
    <n v="60950874"/>
    <s v="N"/>
    <n v="21360551"/>
    <s v="3000015160760008"/>
    <s v="CIVIL"/>
    <d v="2023-06-30T00:00:00"/>
    <d v="2023-07-11T11:50:54"/>
    <m/>
    <d v="2023-07-11T00:00:00"/>
    <n v="924"/>
    <n v="2281"/>
    <s v="60950874"/>
    <s v="60950874"/>
    <m/>
    <m/>
    <n v="22794622"/>
    <m/>
    <m/>
    <m/>
    <s v="SOLFIN"/>
    <s v="SOLFIN"/>
    <s v="CCMS"/>
    <n v="21360551"/>
    <n v="11550.02"/>
    <m/>
    <s v="N"/>
    <n v="95"/>
    <d v="2023-07-11T11:51:09"/>
    <s v="Y"/>
    <s v="Preparation - other"/>
    <s v="Prescribed Hourly Rates"/>
    <s v="Profit Cost"/>
    <s v="NPM"/>
    <s v="Y"/>
    <n v="10.98"/>
    <n v="2.2"/>
    <x v="7"/>
    <s v="VALIDATED"/>
    <n v="1"/>
    <s v="01.11.80.307.6100.0000"/>
    <n v="10.98"/>
    <s v="11"/>
    <s v="6100"/>
    <n v="43154.65"/>
    <n v="10.98"/>
    <s v="CREDITOR"/>
    <n v="0"/>
    <n v="0"/>
    <n v="0"/>
    <n v="0"/>
    <n v="10.98"/>
  </r>
  <r>
    <n v="10004121"/>
    <s v="N"/>
    <n v="21360316"/>
    <s v="3000005900070010"/>
    <s v="CIVIL"/>
    <d v="2023-06-28T00:00:00"/>
    <d v="2023-07-11T11:50:54"/>
    <m/>
    <d v="2023-07-11T00:00:00"/>
    <n v="924"/>
    <n v="2281"/>
    <s v="10004121"/>
    <s v="10004121"/>
    <m/>
    <m/>
    <n v="22778134"/>
    <m/>
    <m/>
    <m/>
    <s v="SOLFIN"/>
    <s v="SOLFIN"/>
    <s v="CCMS"/>
    <n v="21360316"/>
    <n v="7425.76"/>
    <m/>
    <s v="N"/>
    <n v="68"/>
    <d v="2023-07-11T11:51:02"/>
    <s v="Y"/>
    <s v="Preparation - other"/>
    <s v="Prescribed Hourly Rates"/>
    <s v="Profit Cost"/>
    <s v="NPM"/>
    <s v="Y"/>
    <n v="5.49"/>
    <n v="1.1"/>
    <x v="7"/>
    <s v="VALIDATED"/>
    <n v="1"/>
    <s v="01.11.80.307.6100.0000"/>
    <n v="5.49"/>
    <s v="11"/>
    <s v="6100"/>
    <n v="43154.65"/>
    <n v="5.49"/>
    <s v="CREDITOR"/>
    <n v="0"/>
    <n v="0"/>
    <n v="0"/>
    <n v="0"/>
    <n v="5.49"/>
  </r>
  <r>
    <n v="10004121"/>
    <s v="N"/>
    <n v="21360316"/>
    <s v="3000005900070010"/>
    <s v="CIVIL"/>
    <d v="2023-06-28T00:00:00"/>
    <d v="2023-07-11T11:50:54"/>
    <m/>
    <d v="2023-07-11T00:00:00"/>
    <n v="924"/>
    <n v="2281"/>
    <s v="10004121"/>
    <s v="10004121"/>
    <m/>
    <m/>
    <n v="22778134"/>
    <m/>
    <m/>
    <m/>
    <s v="SOLFIN"/>
    <s v="SOLFIN"/>
    <s v="CCMS"/>
    <n v="21360316"/>
    <n v="7425.76"/>
    <m/>
    <s v="N"/>
    <n v="111"/>
    <d v="2023-07-11T11:51:02"/>
    <s v="Y"/>
    <s v="Preparation - other"/>
    <s v="Prescribed Hourly Rates"/>
    <s v="Profit Cost"/>
    <s v="NPM"/>
    <s v="Y"/>
    <n v="27.45"/>
    <n v="5.49"/>
    <x v="7"/>
    <s v="VALIDATED"/>
    <n v="1"/>
    <s v="01.11.80.307.6100.0000"/>
    <n v="27.45"/>
    <s v="11"/>
    <s v="6100"/>
    <n v="43154.65"/>
    <n v="27.45"/>
    <s v="CREDITOR"/>
    <n v="0"/>
    <n v="0"/>
    <n v="0"/>
    <n v="0"/>
    <n v="27.45"/>
  </r>
  <r>
    <n v="14064052"/>
    <s v="N"/>
    <n v="21349905"/>
    <s v="3000007298400008"/>
    <s v="CIVIL"/>
    <d v="2023-06-29T00:00:00"/>
    <d v="2023-07-10T19:01:40"/>
    <m/>
    <d v="2023-07-10T00:00:00"/>
    <n v="924"/>
    <n v="2281"/>
    <s v="14064052"/>
    <s v="14064052"/>
    <m/>
    <m/>
    <n v="22788366"/>
    <m/>
    <m/>
    <m/>
    <s v="SOLFIN"/>
    <s v="SOLFIN"/>
    <s v="CCMS"/>
    <n v="21349905"/>
    <n v="4899.44"/>
    <m/>
    <s v="N"/>
    <n v="35"/>
    <d v="2023-07-10T19:02:03"/>
    <s v="Y"/>
    <s v="Preparation - drafting instructions"/>
    <s v="Prescribed Hourly Rates"/>
    <s v="Profit Cost"/>
    <s v="ROS"/>
    <s v="Y"/>
    <n v="31.57"/>
    <n v="6.31"/>
    <x v="2"/>
    <s v="VALIDATED"/>
    <n v="1"/>
    <s v="01.11.80.302.6100.0000"/>
    <n v="31.57"/>
    <s v="11"/>
    <s v="6100"/>
    <n v="43154.65"/>
    <n v="31.57"/>
    <s v="CREDITOR"/>
    <n v="0"/>
    <n v="0"/>
    <n v="0"/>
    <n v="0"/>
    <n v="31.57"/>
  </r>
  <r>
    <n v="61313803"/>
    <s v="N"/>
    <n v="21350025"/>
    <s v="3000015470000008"/>
    <s v="CIVIL"/>
    <d v="2023-06-29T00:00:00"/>
    <d v="2023-07-10T19:01:40"/>
    <m/>
    <d v="2023-07-10T00:00:00"/>
    <n v="924"/>
    <n v="2281"/>
    <s v="61313803"/>
    <s v="61313803"/>
    <m/>
    <m/>
    <n v="22789528"/>
    <m/>
    <m/>
    <m/>
    <s v="SOLFIN"/>
    <s v="SOLFIN"/>
    <s v="CCMS"/>
    <n v="21350025"/>
    <n v="6800.74"/>
    <m/>
    <s v="N"/>
    <n v="8"/>
    <d v="2023-07-10T19:02:09"/>
    <s v="Y"/>
    <s v="Preparation - other"/>
    <s v="Prescribed Hourly Rates"/>
    <s v="Profit Cost"/>
    <s v="RS"/>
    <s v="Y"/>
    <n v="31.57"/>
    <n v="6.31"/>
    <x v="2"/>
    <s v="VALIDATED"/>
    <n v="1"/>
    <s v="01.11.80.307.6100.0000"/>
    <n v="31.57"/>
    <s v="11"/>
    <s v="6100"/>
    <n v="43154.65"/>
    <n v="31.57"/>
    <s v="CREDITOR"/>
    <n v="0"/>
    <n v="0"/>
    <n v="0"/>
    <n v="0"/>
    <n v="31.57"/>
  </r>
  <r>
    <n v="60950874"/>
    <s v="N"/>
    <n v="21360551"/>
    <s v="3000015160760008"/>
    <s v="CIVIL"/>
    <d v="2023-06-30T00:00:00"/>
    <d v="2023-07-11T11:50:54"/>
    <m/>
    <d v="2023-07-11T00:00:00"/>
    <n v="924"/>
    <n v="2281"/>
    <s v="60950874"/>
    <s v="60950874"/>
    <m/>
    <m/>
    <n v="22794622"/>
    <m/>
    <m/>
    <m/>
    <s v="SOLFIN"/>
    <s v="SOLFIN"/>
    <s v="CCMS"/>
    <n v="21360551"/>
    <n v="11550.02"/>
    <m/>
    <s v="N"/>
    <n v="8"/>
    <d v="2023-07-11T11:51:09"/>
    <s v="Y"/>
    <s v="Attendance upon client"/>
    <s v="Prescribed Hourly Rates"/>
    <s v="Profit Cost"/>
    <s v="RS"/>
    <s v="Y"/>
    <n v="111.17"/>
    <n v="22.23"/>
    <x v="7"/>
    <s v="VALIDATED"/>
    <n v="1"/>
    <s v="01.11.80.307.6100.0000"/>
    <n v="111.17"/>
    <s v="11"/>
    <s v="6100"/>
    <n v="43154.65"/>
    <n v="111.17"/>
    <s v="CREDITOR"/>
    <n v="0"/>
    <n v="0"/>
    <n v="0"/>
    <n v="0"/>
    <n v="111.17"/>
  </r>
  <r>
    <n v="60950874"/>
    <s v="N"/>
    <n v="21360551"/>
    <s v="3000015160760008"/>
    <s v="CIVIL"/>
    <d v="2023-06-30T00:00:00"/>
    <d v="2023-07-11T11:50:54"/>
    <m/>
    <d v="2023-07-11T00:00:00"/>
    <n v="924"/>
    <n v="2281"/>
    <s v="60950874"/>
    <s v="60950874"/>
    <m/>
    <m/>
    <n v="22794622"/>
    <m/>
    <m/>
    <m/>
    <s v="SOLFIN"/>
    <s v="SOLFIN"/>
    <s v="CCMS"/>
    <n v="21360551"/>
    <n v="11550.02"/>
    <m/>
    <s v="N"/>
    <n v="17"/>
    <d v="2023-07-11T11:51:09"/>
    <s v="Y"/>
    <s v="Preparation - other"/>
    <s v="Prescribed Hourly Rates"/>
    <s v="Profit Cost"/>
    <s v="NPM"/>
    <s v="Y"/>
    <n v="5.49"/>
    <n v="1.1"/>
    <x v="7"/>
    <s v="VALIDATED"/>
    <n v="1"/>
    <s v="01.11.80.307.6100.0000"/>
    <n v="5.49"/>
    <s v="11"/>
    <s v="6100"/>
    <n v="43154.65"/>
    <n v="5.49"/>
    <s v="CREDITOR"/>
    <n v="0"/>
    <n v="0"/>
    <n v="0"/>
    <n v="0"/>
    <n v="5.49"/>
  </r>
  <r>
    <n v="61313803"/>
    <s v="N"/>
    <n v="21350025"/>
    <s v="3000015470000008"/>
    <s v="CIVIL"/>
    <d v="2023-06-29T00:00:00"/>
    <d v="2023-07-10T19:01:40"/>
    <m/>
    <d v="2023-07-10T00:00:00"/>
    <n v="924"/>
    <n v="2281"/>
    <s v="61313803"/>
    <s v="61313803"/>
    <m/>
    <m/>
    <n v="22789528"/>
    <m/>
    <m/>
    <m/>
    <s v="SOLFIN"/>
    <s v="SOLFIN"/>
    <s v="CCMS"/>
    <n v="21350025"/>
    <n v="6800.74"/>
    <m/>
    <s v="N"/>
    <n v="16"/>
    <d v="2023-07-10T19:02:09"/>
    <s v="Y"/>
    <s v="Preparation - other"/>
    <s v="Prescribed Hourly Rates"/>
    <s v="Profit Cost"/>
    <s v="NPM"/>
    <s v="Y"/>
    <n v="16.47"/>
    <n v="3.29"/>
    <x v="2"/>
    <s v="VALIDATED"/>
    <n v="1"/>
    <s v="01.11.80.307.6100.0000"/>
    <n v="16.47"/>
    <s v="11"/>
    <s v="6100"/>
    <n v="43154.65"/>
    <n v="16.47"/>
    <s v="CREDITOR"/>
    <n v="0"/>
    <n v="0"/>
    <n v="0"/>
    <n v="0"/>
    <n v="16.47"/>
  </r>
  <r>
    <n v="60950874"/>
    <s v="N"/>
    <n v="21360551"/>
    <s v="3000015160760008"/>
    <s v="CIVIL"/>
    <d v="2023-06-30T00:00:00"/>
    <d v="2023-07-11T11:50:54"/>
    <m/>
    <d v="2023-07-11T00:00:00"/>
    <n v="924"/>
    <n v="2281"/>
    <s v="60950874"/>
    <s v="60950874"/>
    <m/>
    <m/>
    <n v="22794622"/>
    <m/>
    <m/>
    <m/>
    <s v="SOLFIN"/>
    <s v="SOLFIN"/>
    <s v="CCMS"/>
    <n v="21360551"/>
    <n v="11550.02"/>
    <m/>
    <s v="N"/>
    <n v="39"/>
    <d v="2023-07-11T11:51:09"/>
    <s v="Y"/>
    <s v="Preparation - other"/>
    <s v="Prescribed Hourly Rates"/>
    <s v="Profit Cost"/>
    <s v="RS"/>
    <s v="Y"/>
    <n v="37.06"/>
    <n v="7.41"/>
    <x v="7"/>
    <s v="VALIDATED"/>
    <n v="1"/>
    <s v="01.11.80.307.6100.0000"/>
    <n v="37.06"/>
    <s v="11"/>
    <s v="6100"/>
    <n v="43154.65"/>
    <n v="37.06"/>
    <s v="CREDITOR"/>
    <n v="0"/>
    <n v="0"/>
    <n v="0"/>
    <n v="0"/>
    <n v="37.06"/>
  </r>
  <r>
    <n v="60950874"/>
    <s v="N"/>
    <n v="21360551"/>
    <s v="3000015160760008"/>
    <s v="CIVIL"/>
    <d v="2023-06-30T00:00:00"/>
    <d v="2023-07-11T11:50:54"/>
    <m/>
    <d v="2023-07-11T00:00:00"/>
    <n v="924"/>
    <n v="2281"/>
    <s v="60950874"/>
    <s v="60950874"/>
    <m/>
    <m/>
    <n v="22794622"/>
    <m/>
    <m/>
    <m/>
    <s v="SOLFIN"/>
    <s v="SOLFIN"/>
    <s v="CCMS"/>
    <n v="21360551"/>
    <n v="11550.02"/>
    <m/>
    <s v="N"/>
    <n v="110"/>
    <d v="2023-07-11T11:51:09"/>
    <s v="Y"/>
    <s v="Attendance upon client"/>
    <s v="Prescribed Hourly Rates"/>
    <s v="Profit Cost"/>
    <s v="RS"/>
    <s v="Y"/>
    <n v="111.17"/>
    <n v="22.23"/>
    <x v="7"/>
    <s v="VALIDATED"/>
    <n v="1"/>
    <s v="01.11.80.307.6100.0000"/>
    <n v="111.17"/>
    <s v="11"/>
    <s v="6100"/>
    <n v="43154.65"/>
    <n v="111.17"/>
    <s v="CREDITOR"/>
    <n v="0"/>
    <n v="0"/>
    <n v="0"/>
    <n v="0"/>
    <n v="111.17"/>
  </r>
  <r>
    <n v="10004121"/>
    <s v="N"/>
    <n v="21360316"/>
    <s v="3000005900070010"/>
    <s v="CIVIL"/>
    <d v="2023-06-28T00:00:00"/>
    <d v="2023-07-11T11:50:54"/>
    <m/>
    <d v="2023-07-11T00:00:00"/>
    <n v="924"/>
    <n v="2281"/>
    <s v="10004121"/>
    <s v="10004121"/>
    <m/>
    <m/>
    <n v="22778134"/>
    <m/>
    <m/>
    <m/>
    <s v="SOLFIN"/>
    <s v="SOLFIN"/>
    <s v="CCMS"/>
    <n v="21360316"/>
    <n v="7425.76"/>
    <m/>
    <s v="N"/>
    <n v="87"/>
    <d v="2023-07-11T11:51:02"/>
    <s v="Y"/>
    <s v="Attendance upon client"/>
    <s v="Prescribed Hourly Rates"/>
    <s v="Profit Cost"/>
    <s v="RS"/>
    <s v="Y"/>
    <n v="74.12"/>
    <n v="14.82"/>
    <x v="7"/>
    <s v="VALIDATED"/>
    <n v="1"/>
    <s v="01.11.80.307.6100.0000"/>
    <n v="74.12"/>
    <s v="11"/>
    <s v="6100"/>
    <n v="43154.65"/>
    <n v="74.12"/>
    <s v="CREDITOR"/>
    <n v="0"/>
    <n v="0"/>
    <n v="0"/>
    <n v="0"/>
    <n v="74.12"/>
  </r>
  <r>
    <n v="10004121"/>
    <s v="N"/>
    <n v="21360316"/>
    <s v="3000005900070010"/>
    <s v="CIVIL"/>
    <d v="2023-06-28T00:00:00"/>
    <d v="2023-07-11T11:50:54"/>
    <m/>
    <d v="2023-07-11T00:00:00"/>
    <n v="924"/>
    <n v="2281"/>
    <s v="10004121"/>
    <s v="10004121"/>
    <m/>
    <m/>
    <n v="22778134"/>
    <m/>
    <m/>
    <m/>
    <s v="SOLFIN"/>
    <s v="SOLFIN"/>
    <s v="CCMS"/>
    <n v="21360316"/>
    <n v="7425.76"/>
    <m/>
    <s v="N"/>
    <n v="37"/>
    <d v="2023-07-11T11:51:02"/>
    <s v="Y"/>
    <s v="Preparation - other"/>
    <s v="Prescribed Hourly Rates"/>
    <s v="Profit Cost"/>
    <s v="RS"/>
    <s v="Y"/>
    <n v="6.31"/>
    <n v="1.26"/>
    <x v="7"/>
    <s v="VALIDATED"/>
    <n v="1"/>
    <s v="01.11.80.307.6100.0000"/>
    <n v="6.31"/>
    <s v="11"/>
    <s v="6100"/>
    <n v="43154.65"/>
    <n v="6.31"/>
    <s v="CREDITOR"/>
    <n v="0"/>
    <n v="0"/>
    <n v="0"/>
    <n v="0"/>
    <n v="6.31"/>
  </r>
  <r>
    <n v="8647673"/>
    <s v="N"/>
    <n v="21349284"/>
    <s v="3000004688890022"/>
    <s v="CIVIL"/>
    <d v="2023-06-27T00:00:00"/>
    <d v="2023-07-10T19:01:40"/>
    <m/>
    <d v="2023-07-10T00:00:00"/>
    <n v="924"/>
    <n v="2281"/>
    <s v="8647673"/>
    <s v="8647673"/>
    <m/>
    <m/>
    <n v="22771220"/>
    <m/>
    <m/>
    <m/>
    <s v="SOLFIN"/>
    <s v="SOLFIN"/>
    <s v="CCMS"/>
    <n v="21349284"/>
    <n v="14502.62"/>
    <m/>
    <s v="N"/>
    <n v="83"/>
    <d v="2023-07-10T19:01:43"/>
    <s v="Y"/>
    <s v="Preparation - drafting application"/>
    <s v="Prescribed Hourly Rates"/>
    <s v="Profit Cost"/>
    <s v="ROS"/>
    <s v="Y"/>
    <n v="74.12"/>
    <n v="14.82"/>
    <x v="2"/>
    <s v="VALIDATED"/>
    <n v="1"/>
    <s v="01.11.80.307.6100.0000"/>
    <n v="74.12"/>
    <s v="11"/>
    <s v="6100"/>
    <n v="43154.65"/>
    <n v="74.12"/>
    <s v="CREDITOR"/>
    <n v="0"/>
    <n v="0"/>
    <n v="0"/>
    <n v="0"/>
    <n v="74.12"/>
  </r>
  <r>
    <n v="61313803"/>
    <s v="N"/>
    <n v="21350025"/>
    <s v="3000015470000008"/>
    <s v="CIVIL"/>
    <d v="2023-06-29T00:00:00"/>
    <d v="2023-07-10T19:01:40"/>
    <m/>
    <d v="2023-07-10T00:00:00"/>
    <n v="924"/>
    <n v="2281"/>
    <s v="61313803"/>
    <s v="61313803"/>
    <m/>
    <m/>
    <n v="22789528"/>
    <m/>
    <m/>
    <m/>
    <s v="SOLFIN"/>
    <s v="SOLFIN"/>
    <s v="CCMS"/>
    <n v="21350025"/>
    <n v="6800.74"/>
    <m/>
    <s v="N"/>
    <n v="54"/>
    <d v="2023-07-10T19:02:09"/>
    <s v="Y"/>
    <s v="Preparation - other"/>
    <s v="Prescribed Hourly Rates"/>
    <s v="Profit Cost"/>
    <s v="NPM"/>
    <s v="Y"/>
    <n v="5.49"/>
    <n v="1.1"/>
    <x v="2"/>
    <s v="VALIDATED"/>
    <n v="1"/>
    <s v="01.11.80.307.6100.0000"/>
    <n v="5.49"/>
    <s v="11"/>
    <s v="6100"/>
    <n v="43154.65"/>
    <n v="5.49"/>
    <s v="CREDITOR"/>
    <n v="0"/>
    <n v="0"/>
    <n v="0"/>
    <n v="0"/>
    <n v="5.49"/>
  </r>
  <r>
    <n v="61313803"/>
    <s v="N"/>
    <n v="21350025"/>
    <s v="3000015470000008"/>
    <s v="CIVIL"/>
    <d v="2023-06-29T00:00:00"/>
    <d v="2023-07-10T19:01:40"/>
    <m/>
    <d v="2023-07-10T00:00:00"/>
    <n v="924"/>
    <n v="2281"/>
    <s v="61313803"/>
    <s v="61313803"/>
    <m/>
    <m/>
    <n v="22789528"/>
    <m/>
    <m/>
    <m/>
    <s v="SOLFIN"/>
    <s v="SOLFIN"/>
    <s v="CCMS"/>
    <n v="21350025"/>
    <n v="6800.74"/>
    <m/>
    <s v="N"/>
    <n v="44"/>
    <d v="2023-07-10T19:02:09"/>
    <s v="Y"/>
    <s v="Preparation - other"/>
    <s v="Prescribed Hourly Rates"/>
    <s v="Profit Cost"/>
    <s v="RS"/>
    <s v="Y"/>
    <n v="49.41"/>
    <n v="9.880000000000001"/>
    <x v="2"/>
    <s v="VALIDATED"/>
    <n v="1"/>
    <s v="01.11.80.307.6100.0000"/>
    <n v="49.41"/>
    <s v="11"/>
    <s v="6100"/>
    <n v="43154.65"/>
    <n v="49.41"/>
    <s v="CREDITOR"/>
    <n v="0"/>
    <n v="0"/>
    <n v="0"/>
    <n v="0"/>
    <n v="49.41"/>
  </r>
  <r>
    <n v="61347538"/>
    <s v="N"/>
    <n v="21327605"/>
    <s v="3000015268830004"/>
    <s v="CIVIL"/>
    <d v="2023-06-30T00:00:00"/>
    <d v="2023-07-04T19:00:44"/>
    <m/>
    <d v="2023-07-04T00:00:00"/>
    <n v="924"/>
    <n v="2281"/>
    <s v="61347538"/>
    <s v="61347538"/>
    <m/>
    <m/>
    <n v="22794028"/>
    <m/>
    <m/>
    <m/>
    <s v="SOLPOA"/>
    <s v="SOLPOA"/>
    <s v="CCMS"/>
    <n v="21327605"/>
    <n v="167"/>
    <m/>
    <s v="N"/>
    <n v="1"/>
    <d v="2023-07-04T19:00:51"/>
    <s v="N"/>
    <s v="Non Expert Disbursement - Finance"/>
    <s v="Non Expert Disbursement - Fina"/>
    <s v="Non Expert Disbursement"/>
    <s v="Rodric Singh"/>
    <s v="N"/>
    <n v="167"/>
    <n v="0"/>
    <x v="1"/>
    <s v="VALIDATED"/>
    <n v="1"/>
    <s v="01.11.80.303.2012.0000"/>
    <n v="167"/>
    <s v="11"/>
    <s v="2012"/>
    <n v="43154.65"/>
    <n v="167"/>
    <s v="CREDITOR"/>
    <n v="167"/>
    <n v="0"/>
    <n v="0"/>
    <n v="0"/>
    <n v="0"/>
  </r>
  <r>
    <n v="60650035"/>
    <s v="N"/>
    <n v="21327629"/>
    <s v="3000014894820007"/>
    <s v="CIVIL"/>
    <d v="2023-06-29T00:00:00"/>
    <d v="2023-07-04T19:00:44"/>
    <m/>
    <d v="2023-07-04T00:00:00"/>
    <n v="924"/>
    <n v="2281"/>
    <s v="60650035"/>
    <s v="60650035"/>
    <m/>
    <m/>
    <n v="22784658"/>
    <m/>
    <m/>
    <m/>
    <s v="SOLPOA"/>
    <s v="SOLPOA"/>
    <s v="CCMS"/>
    <n v="21327629"/>
    <n v="1275"/>
    <m/>
    <s v="N"/>
    <n v="1"/>
    <d v="2023-07-04T19:00:51"/>
    <s v="N"/>
    <s v="Expert Cost - Private Law Children"/>
    <s v="Expert Cost - Private Law Chil"/>
    <s v="Expert Disbursement"/>
    <s v="Richard Singh"/>
    <s v="N"/>
    <n v="1062.5"/>
    <n v="212.5"/>
    <x v="1"/>
    <s v="VALIDATED"/>
    <n v="1"/>
    <s v="01.11.80.307.2012.0000"/>
    <n v="1062.5"/>
    <s v="11"/>
    <s v="2012"/>
    <n v="43154.65"/>
    <n v="1062.5"/>
    <s v="CREDITOR"/>
    <n v="1062.5"/>
    <n v="0"/>
    <n v="0"/>
    <n v="0"/>
    <n v="0"/>
  </r>
  <r>
    <n v="62238068"/>
    <s v="N"/>
    <n v="21327510"/>
    <s v="3000016239990003"/>
    <s v="CIVIL"/>
    <d v="2023-06-29T00:00:00"/>
    <d v="2023-07-04T19:00:44"/>
    <m/>
    <d v="2023-07-04T00:00:00"/>
    <n v="924"/>
    <n v="2281"/>
    <s v="62238068"/>
    <s v="62238068"/>
    <m/>
    <m/>
    <n v="22784656"/>
    <m/>
    <m/>
    <m/>
    <s v="SOLPOA"/>
    <s v="SOLPOA"/>
    <s v="CCMS"/>
    <n v="21327510"/>
    <n v="291.5"/>
    <m/>
    <s v="N"/>
    <n v="1"/>
    <d v="2023-07-04T19:00:49"/>
    <s v="N"/>
    <s v="Non Expert Disbursement - Private L"/>
    <s v="Non Expert Disbursement - Priv"/>
    <s v="Non Expert Disbursement"/>
    <s v="Richard Singh"/>
    <s v="N"/>
    <n v="291.5"/>
    <n v="0"/>
    <x v="1"/>
    <s v="VALIDATED"/>
    <n v="1"/>
    <s v="01.11.80.307.2012.0000"/>
    <n v="291.5"/>
    <s v="11"/>
    <s v="2012"/>
    <n v="43154.65"/>
    <n v="291.5"/>
    <s v="CREDITOR"/>
    <n v="291.5"/>
    <n v="0"/>
    <n v="0"/>
    <n v="0"/>
    <n v="0"/>
  </r>
  <r>
    <n v="14064052"/>
    <s v="N"/>
    <n v="21356454"/>
    <s v="3000007298400001RC"/>
    <s v="CIVIL"/>
    <d v="2023-06-29T00:00:00"/>
    <d v="2023-07-10T19:47:44"/>
    <m/>
    <d v="2023-07-10T00:00:00"/>
    <n v="924"/>
    <n v="2281"/>
    <s v="14064052"/>
    <s v="14064052"/>
    <m/>
    <m/>
    <m/>
    <m/>
    <m/>
    <m/>
    <s v="SOLRECOUP"/>
    <s v="SOLRECOUP"/>
    <s v="POARECOUP"/>
    <n v="21356454"/>
    <n v="-128.55"/>
    <m/>
    <s v="Y"/>
    <n v="2"/>
    <d v="2023-07-10T19:47:45"/>
    <s v="N"/>
    <m/>
    <m/>
    <s v="Expert Disbursement"/>
    <m/>
    <s v="N"/>
    <n v="0"/>
    <n v="0"/>
    <x v="2"/>
    <s v="VALIDATED"/>
    <n v="1"/>
    <s v="01.11.80.000.0000.0000"/>
    <n v="0"/>
    <s v="11"/>
    <s v="0000"/>
    <n v="43154.65"/>
    <n v="0"/>
    <s v="CREDITOR"/>
    <n v="0"/>
    <n v="0"/>
    <n v="0"/>
    <n v="0"/>
    <n v="0"/>
  </r>
  <r>
    <n v="14064052"/>
    <s v="N"/>
    <n v="21356455"/>
    <s v="3000007298400002RC"/>
    <s v="CIVIL"/>
    <d v="2023-06-29T00:00:00"/>
    <d v="2023-07-10T19:47:44"/>
    <m/>
    <d v="2023-07-10T00:00:00"/>
    <n v="924"/>
    <n v="2281"/>
    <s v="14064052"/>
    <s v="14064052"/>
    <m/>
    <m/>
    <m/>
    <m/>
    <m/>
    <m/>
    <s v="SOLRECOUP"/>
    <s v="SOLRECOUP"/>
    <s v="POARECOUP"/>
    <n v="21356455"/>
    <n v="-486.72"/>
    <m/>
    <s v="Y"/>
    <n v="1"/>
    <d v="2023-07-10T19:47:45"/>
    <s v="N"/>
    <m/>
    <m/>
    <s v="Profit Cost"/>
    <m/>
    <s v="N"/>
    <n v="-405.6"/>
    <n v="0"/>
    <x v="2"/>
    <s v="VALIDATED"/>
    <n v="1"/>
    <s v="01.11.80.302.2013.0000"/>
    <n v="-405.6"/>
    <s v="11"/>
    <s v="2013"/>
    <n v="43154.65"/>
    <n v="-405.6"/>
    <s v="CREDITOR"/>
    <n v="0"/>
    <n v="0"/>
    <n v="-405.6"/>
    <n v="-101.4"/>
    <n v="0"/>
  </r>
  <r>
    <n v="10788846"/>
    <s v="N"/>
    <n v="21339952"/>
    <s v="3000006570470004RC"/>
    <s v="CIVIL"/>
    <d v="2023-06-28T00:00:00"/>
    <d v="2023-07-06T19:54:22"/>
    <m/>
    <d v="2023-07-06T00:00:00"/>
    <n v="924"/>
    <n v="2281"/>
    <s v="10788846"/>
    <s v="10788846"/>
    <m/>
    <m/>
    <m/>
    <m/>
    <m/>
    <m/>
    <s v="SOLRECOUP"/>
    <s v="SOLRECOUP"/>
    <s v="POARECOUP"/>
    <n v="21339952"/>
    <n v="-1689.29"/>
    <m/>
    <s v="Y"/>
    <n v="1"/>
    <d v="2023-07-06T19:54:23"/>
    <s v="N"/>
    <m/>
    <m/>
    <s v="Profit Cost"/>
    <m/>
    <s v="N"/>
    <n v="-1407.74"/>
    <n v="0"/>
    <x v="4"/>
    <s v="VALIDATED"/>
    <n v="1"/>
    <s v="01.11.80.307.2013.0000"/>
    <n v="-1407.74"/>
    <s v="11"/>
    <s v="2013"/>
    <n v="43154.65"/>
    <n v="-1407.74"/>
    <s v="CREDITOR"/>
    <n v="0"/>
    <n v="0"/>
    <n v="-1407.74"/>
    <n v="-351.935"/>
    <n v="0"/>
  </r>
  <r>
    <n v="10788846"/>
    <s v="N"/>
    <n v="21339952"/>
    <s v="3000006570470004RC"/>
    <s v="CIVIL"/>
    <d v="2023-06-28T00:00:00"/>
    <d v="2023-07-06T19:54:22"/>
    <m/>
    <d v="2023-07-06T00:00:00"/>
    <n v="924"/>
    <n v="2281"/>
    <s v="10788846"/>
    <s v="10788846"/>
    <m/>
    <m/>
    <m/>
    <m/>
    <m/>
    <m/>
    <s v="SOLRECOUP"/>
    <s v="SOLRECOUP"/>
    <s v="POARECOUP"/>
    <n v="21339952"/>
    <n v="-1689.29"/>
    <m/>
    <s v="Y"/>
    <n v="2"/>
    <d v="2023-07-06T19:54:23"/>
    <s v="N"/>
    <m/>
    <m/>
    <s v="Profit Cost"/>
    <m/>
    <s v="N"/>
    <n v="0"/>
    <n v="-281.55"/>
    <x v="4"/>
    <s v="VALIDATED"/>
    <n v="1"/>
    <s v="01.11.80.307.2013.0000"/>
    <n v="-281.55"/>
    <s v="11"/>
    <s v="2013"/>
    <n v="43154.65"/>
    <n v="-281.55"/>
    <s v="CREDITOR"/>
    <n v="0"/>
    <n v="0"/>
    <n v="-281.55"/>
    <n v="-70.3875"/>
    <n v="0"/>
  </r>
  <r>
    <n v="10788846"/>
    <s v="N"/>
    <n v="21339953"/>
    <s v="3000006570470007RC"/>
    <s v="CIVIL"/>
    <d v="2023-06-28T00:00:00"/>
    <d v="2023-07-06T19:54:22"/>
    <m/>
    <d v="2023-07-06T00:00:00"/>
    <n v="924"/>
    <n v="2281"/>
    <s v="10788846"/>
    <s v="10788846"/>
    <m/>
    <m/>
    <m/>
    <m/>
    <m/>
    <m/>
    <s v="SOLRECOUP"/>
    <s v="SOLRECOUP"/>
    <s v="POARECOUP"/>
    <n v="21339953"/>
    <n v="-159.35"/>
    <m/>
    <s v="Y"/>
    <n v="1"/>
    <d v="2023-07-06T19:54:23"/>
    <s v="N"/>
    <m/>
    <m/>
    <s v="Expert Disbursement"/>
    <m/>
    <s v="N"/>
    <n v="-159.35"/>
    <n v="0"/>
    <x v="4"/>
    <s v="VALIDATED"/>
    <n v="1"/>
    <s v="01.11.80.307.2013.0000"/>
    <n v="-159.35"/>
    <s v="11"/>
    <s v="2013"/>
    <n v="43154.65"/>
    <n v="-159.35"/>
    <s v="CREDITOR"/>
    <n v="0"/>
    <n v="0"/>
    <n v="-159.35"/>
    <n v="0"/>
    <n v="0"/>
  </r>
  <r>
    <n v="10788846"/>
    <s v="N"/>
    <n v="21339953"/>
    <s v="3000006570470007RC"/>
    <s v="CIVIL"/>
    <d v="2023-06-28T00:00:00"/>
    <d v="2023-07-06T19:54:22"/>
    <m/>
    <d v="2023-07-06T00:00:00"/>
    <n v="924"/>
    <n v="2281"/>
    <s v="10788846"/>
    <s v="10788846"/>
    <m/>
    <m/>
    <m/>
    <m/>
    <m/>
    <m/>
    <s v="SOLRECOUP"/>
    <s v="SOLRECOUP"/>
    <s v="POARECOUP"/>
    <n v="21339953"/>
    <n v="-159.35"/>
    <m/>
    <s v="Y"/>
    <n v="2"/>
    <d v="2023-07-06T19:54:23"/>
    <s v="N"/>
    <m/>
    <m/>
    <s v="Expert Disbursement"/>
    <m/>
    <s v="N"/>
    <n v="0"/>
    <n v="0"/>
    <x v="4"/>
    <s v="VALIDATED"/>
    <n v="1"/>
    <s v="01.11.80.000.0000.0000"/>
    <n v="0"/>
    <s v="11"/>
    <s v="0000"/>
    <n v="43154.65"/>
    <n v="0"/>
    <s v="CREDITOR"/>
    <n v="0"/>
    <n v="0"/>
    <n v="0"/>
    <n v="0"/>
    <n v="0"/>
  </r>
  <r>
    <n v="10788846"/>
    <s v="N"/>
    <n v="21339954"/>
    <s v="3000006570470008RC"/>
    <s v="CIVIL"/>
    <d v="2023-06-28T00:00:00"/>
    <d v="2023-07-06T19:54:22"/>
    <m/>
    <d v="2023-07-06T00:00:00"/>
    <n v="924"/>
    <n v="2281"/>
    <s v="10788846"/>
    <s v="10788846"/>
    <m/>
    <m/>
    <m/>
    <m/>
    <m/>
    <m/>
    <s v="SOLRECOUP"/>
    <s v="SOLRECOUP"/>
    <s v="POARECOUP"/>
    <n v="21339954"/>
    <n v="-70.15000000000001"/>
    <m/>
    <s v="Y"/>
    <n v="1"/>
    <d v="2023-07-06T19:54:23"/>
    <s v="N"/>
    <m/>
    <m/>
    <s v="Expert Disbursement"/>
    <m/>
    <s v="N"/>
    <n v="-70.15000000000001"/>
    <n v="0"/>
    <x v="4"/>
    <s v="VALIDATED"/>
    <n v="1"/>
    <s v="01.11.80.307.2013.0000"/>
    <n v="-70.15000000000001"/>
    <s v="11"/>
    <s v="2013"/>
    <n v="43154.65"/>
    <n v="-70.15000000000001"/>
    <s v="CREDITOR"/>
    <n v="0"/>
    <n v="0"/>
    <n v="-70.15000000000001"/>
    <n v="0"/>
    <n v="0"/>
  </r>
  <r>
    <n v="10788846"/>
    <s v="N"/>
    <n v="21339954"/>
    <s v="3000006570470008RC"/>
    <s v="CIVIL"/>
    <d v="2023-06-28T00:00:00"/>
    <d v="2023-07-06T19:54:22"/>
    <m/>
    <d v="2023-07-06T00:00:00"/>
    <n v="924"/>
    <n v="2281"/>
    <s v="10788846"/>
    <s v="10788846"/>
    <m/>
    <m/>
    <m/>
    <m/>
    <m/>
    <m/>
    <s v="SOLRECOUP"/>
    <s v="SOLRECOUP"/>
    <s v="POARECOUP"/>
    <n v="21339954"/>
    <n v="-70.15000000000001"/>
    <m/>
    <s v="Y"/>
    <n v="2"/>
    <d v="2023-07-06T19:54:23"/>
    <s v="N"/>
    <m/>
    <m/>
    <s v="Expert Disbursement"/>
    <m/>
    <s v="N"/>
    <n v="0"/>
    <n v="0"/>
    <x v="4"/>
    <s v="VALIDATED"/>
    <n v="1"/>
    <s v="01.11.80.000.0000.0000"/>
    <n v="0"/>
    <s v="11"/>
    <s v="0000"/>
    <n v="43154.65"/>
    <n v="0"/>
    <s v="CREDITOR"/>
    <n v="0"/>
    <n v="0"/>
    <n v="0"/>
    <n v="0"/>
    <n v="0"/>
  </r>
  <r>
    <n v="10788846"/>
    <s v="N"/>
    <n v="21339955"/>
    <s v="3000006570470009RC"/>
    <s v="CIVIL"/>
    <d v="2023-06-28T00:00:00"/>
    <d v="2023-07-06T19:54:22"/>
    <m/>
    <d v="2023-07-06T00:00:00"/>
    <n v="924"/>
    <n v="2281"/>
    <s v="10788846"/>
    <s v="10788846"/>
    <m/>
    <m/>
    <m/>
    <m/>
    <m/>
    <m/>
    <s v="SOLRECOUP"/>
    <s v="SOLRECOUP"/>
    <s v="POARECOUP"/>
    <n v="21339955"/>
    <n v="-257"/>
    <m/>
    <s v="Y"/>
    <n v="1"/>
    <d v="2023-07-06T19:54:23"/>
    <s v="N"/>
    <m/>
    <m/>
    <s v="Non Expert Disbursement"/>
    <m/>
    <s v="N"/>
    <n v="-257"/>
    <n v="0"/>
    <x v="4"/>
    <s v="VALIDATED"/>
    <n v="1"/>
    <s v="01.11.80.307.2013.0000"/>
    <n v="-257"/>
    <s v="11"/>
    <s v="2013"/>
    <n v="43154.65"/>
    <n v="-257"/>
    <s v="CREDITOR"/>
    <n v="0"/>
    <n v="0"/>
    <n v="-257"/>
    <n v="0"/>
    <n v="0"/>
  </r>
  <r>
    <n v="10788846"/>
    <s v="N"/>
    <n v="21339955"/>
    <s v="3000006570470009RC"/>
    <s v="CIVIL"/>
    <d v="2023-06-28T00:00:00"/>
    <d v="2023-07-06T19:54:22"/>
    <m/>
    <d v="2023-07-06T00:00:00"/>
    <n v="924"/>
    <n v="2281"/>
    <s v="10788846"/>
    <s v="10788846"/>
    <m/>
    <m/>
    <m/>
    <m/>
    <m/>
    <m/>
    <s v="SOLRECOUP"/>
    <s v="SOLRECOUP"/>
    <s v="POARECOUP"/>
    <n v="21339955"/>
    <n v="-257"/>
    <m/>
    <s v="Y"/>
    <n v="2"/>
    <d v="2023-07-06T19:54:23"/>
    <s v="N"/>
    <m/>
    <m/>
    <s v="Non Expert Disbursement"/>
    <m/>
    <s v="N"/>
    <n v="0"/>
    <n v="0"/>
    <x v="4"/>
    <s v="VALIDATED"/>
    <n v="1"/>
    <s v="01.11.80.000.0000.0000"/>
    <n v="0"/>
    <s v="11"/>
    <s v="0000"/>
    <n v="43154.65"/>
    <n v="0"/>
    <s v="CREDITOR"/>
    <n v="0"/>
    <n v="0"/>
    <n v="0"/>
    <n v="0"/>
    <n v="0"/>
  </r>
  <r>
    <n v="11594527"/>
    <s v="N"/>
    <n v="21339956"/>
    <s v="3000006991410001RC"/>
    <s v="CIVIL"/>
    <d v="2023-06-27T00:00:00"/>
    <d v="2023-07-06T19:54:22"/>
    <m/>
    <d v="2023-07-06T00:00:00"/>
    <n v="924"/>
    <n v="2281"/>
    <s v="11594527"/>
    <s v="11594527"/>
    <m/>
    <m/>
    <m/>
    <m/>
    <m/>
    <m/>
    <s v="SOLRECOUP"/>
    <s v="SOLRECOUP"/>
    <s v="POARECOUP"/>
    <n v="21339956"/>
    <n v="-2592"/>
    <m/>
    <s v="Y"/>
    <n v="1"/>
    <d v="2023-07-06T19:54:23"/>
    <s v="N"/>
    <m/>
    <m/>
    <s v="Profit Cost"/>
    <m/>
    <s v="N"/>
    <n v="-2160"/>
    <n v="0"/>
    <x v="4"/>
    <s v="VALIDATED"/>
    <n v="1"/>
    <s v="01.11.80.307.2013.0000"/>
    <n v="-2160"/>
    <s v="11"/>
    <s v="2013"/>
    <n v="43154.65"/>
    <n v="-2160"/>
    <s v="CREDITOR"/>
    <n v="0"/>
    <n v="0"/>
    <n v="-2160"/>
    <n v="-540"/>
    <n v="0"/>
  </r>
  <r>
    <n v="11594527"/>
    <s v="N"/>
    <n v="21339956"/>
    <s v="3000006991410001RC"/>
    <s v="CIVIL"/>
    <d v="2023-06-27T00:00:00"/>
    <d v="2023-07-06T19:54:22"/>
    <m/>
    <d v="2023-07-06T00:00:00"/>
    <n v="924"/>
    <n v="2281"/>
    <s v="11594527"/>
    <s v="11594527"/>
    <m/>
    <m/>
    <m/>
    <m/>
    <m/>
    <m/>
    <s v="SOLRECOUP"/>
    <s v="SOLRECOUP"/>
    <s v="POARECOUP"/>
    <n v="21339956"/>
    <n v="-2592"/>
    <m/>
    <s v="Y"/>
    <n v="2"/>
    <d v="2023-07-06T19:54:23"/>
    <s v="N"/>
    <m/>
    <m/>
    <s v="Profit Cost"/>
    <m/>
    <s v="N"/>
    <n v="0"/>
    <n v="-432"/>
    <x v="4"/>
    <s v="VALIDATED"/>
    <n v="1"/>
    <s v="01.11.80.307.2013.0000"/>
    <n v="-432"/>
    <s v="11"/>
    <s v="2013"/>
    <n v="43154.65"/>
    <n v="-432"/>
    <s v="CREDITOR"/>
    <n v="0"/>
    <n v="0"/>
    <n v="-432"/>
    <n v="-108"/>
    <n v="0"/>
  </r>
  <r>
    <n v="11594527"/>
    <s v="N"/>
    <n v="21339957"/>
    <s v="3000006991410002RC"/>
    <s v="CIVIL"/>
    <d v="2023-06-27T00:00:00"/>
    <d v="2023-07-06T19:54:22"/>
    <m/>
    <d v="2023-07-06T00:00:00"/>
    <n v="924"/>
    <n v="2281"/>
    <s v="11594527"/>
    <s v="11594527"/>
    <m/>
    <m/>
    <m/>
    <m/>
    <m/>
    <m/>
    <s v="SOLRECOUP"/>
    <s v="SOLRECOUP"/>
    <s v="POARECOUP"/>
    <n v="21339957"/>
    <n v="-232"/>
    <m/>
    <s v="Y"/>
    <n v="1"/>
    <d v="2023-07-06T19:54:23"/>
    <s v="N"/>
    <m/>
    <m/>
    <s v="Non Expert Disbursement"/>
    <m/>
    <s v="N"/>
    <n v="-232"/>
    <n v="0"/>
    <x v="4"/>
    <s v="VALIDATED"/>
    <n v="1"/>
    <s v="01.11.80.307.2013.0000"/>
    <n v="-232"/>
    <s v="11"/>
    <s v="2013"/>
    <n v="43154.65"/>
    <n v="-232"/>
    <s v="CREDITOR"/>
    <n v="0"/>
    <n v="0"/>
    <n v="-232"/>
    <n v="0"/>
    <n v="0"/>
  </r>
  <r>
    <n v="11594527"/>
    <s v="N"/>
    <n v="21339957"/>
    <s v="3000006991410002RC"/>
    <s v="CIVIL"/>
    <d v="2023-06-27T00:00:00"/>
    <d v="2023-07-06T19:54:22"/>
    <m/>
    <d v="2023-07-06T00:00:00"/>
    <n v="924"/>
    <n v="2281"/>
    <s v="11594527"/>
    <s v="11594527"/>
    <m/>
    <m/>
    <m/>
    <m/>
    <m/>
    <m/>
    <s v="SOLRECOUP"/>
    <s v="SOLRECOUP"/>
    <s v="POARECOUP"/>
    <n v="21339957"/>
    <n v="-232"/>
    <m/>
    <s v="Y"/>
    <n v="2"/>
    <d v="2023-07-06T19:54:23"/>
    <s v="N"/>
    <m/>
    <m/>
    <s v="Non Expert Disbursement"/>
    <m/>
    <s v="N"/>
    <n v="0"/>
    <n v="0"/>
    <x v="4"/>
    <s v="VALIDATED"/>
    <n v="1"/>
    <s v="01.11.80.000.0000.0000"/>
    <n v="0"/>
    <s v="11"/>
    <s v="0000"/>
    <n v="43154.65"/>
    <n v="0"/>
    <s v="CREDITOR"/>
    <n v="0"/>
    <n v="0"/>
    <n v="0"/>
    <n v="0"/>
    <n v="0"/>
  </r>
  <r>
    <n v="10788846"/>
    <s v="N"/>
    <n v="21339958"/>
    <s v="3000006570470014RC"/>
    <s v="CIVIL"/>
    <d v="2023-06-28T00:00:00"/>
    <d v="2023-07-06T19:54:22"/>
    <m/>
    <d v="2023-07-06T00:00:00"/>
    <n v="924"/>
    <n v="2281"/>
    <s v="10788846"/>
    <s v="10788846"/>
    <m/>
    <m/>
    <m/>
    <m/>
    <m/>
    <m/>
    <s v="SOLRECOUP"/>
    <s v="SOLRECOUP"/>
    <s v="POARECOUP"/>
    <n v="21339958"/>
    <n v="-136.88"/>
    <m/>
    <s v="Y"/>
    <n v="1"/>
    <d v="2023-07-06T19:54:23"/>
    <s v="N"/>
    <m/>
    <m/>
    <s v="Expert Disbursement"/>
    <m/>
    <s v="N"/>
    <n v="-136.88"/>
    <n v="0"/>
    <x v="4"/>
    <s v="VALIDATED"/>
    <n v="1"/>
    <s v="01.11.80.307.2013.0000"/>
    <n v="-136.88"/>
    <s v="11"/>
    <s v="2013"/>
    <n v="43154.65"/>
    <n v="-136.88"/>
    <s v="CREDITOR"/>
    <n v="0"/>
    <n v="0"/>
    <n v="-136.88"/>
    <n v="0"/>
    <n v="0"/>
  </r>
  <r>
    <n v="10788846"/>
    <s v="N"/>
    <n v="21339958"/>
    <s v="3000006570470014RC"/>
    <s v="CIVIL"/>
    <d v="2023-06-28T00:00:00"/>
    <d v="2023-07-06T19:54:22"/>
    <m/>
    <d v="2023-07-06T00:00:00"/>
    <n v="924"/>
    <n v="2281"/>
    <s v="10788846"/>
    <s v="10788846"/>
    <m/>
    <m/>
    <m/>
    <m/>
    <m/>
    <m/>
    <s v="SOLRECOUP"/>
    <s v="SOLRECOUP"/>
    <s v="POARECOUP"/>
    <n v="21339958"/>
    <n v="-136.88"/>
    <m/>
    <s v="Y"/>
    <n v="2"/>
    <d v="2023-07-06T19:54:23"/>
    <s v="N"/>
    <m/>
    <m/>
    <s v="Expert Disbursement"/>
    <m/>
    <s v="N"/>
    <n v="0"/>
    <n v="0"/>
    <x v="4"/>
    <s v="VALIDATED"/>
    <n v="1"/>
    <s v="01.11.80.000.0000.0000"/>
    <n v="0"/>
    <s v="11"/>
    <s v="0000"/>
    <n v="43154.65"/>
    <n v="0"/>
    <s v="CREDITOR"/>
    <n v="0"/>
    <n v="0"/>
    <n v="0"/>
    <n v="0"/>
    <n v="0"/>
  </r>
  <r>
    <n v="10788846"/>
    <s v="N"/>
    <n v="21339959"/>
    <s v="3000006570470015RC"/>
    <s v="CIVIL"/>
    <d v="2023-06-28T00:00:00"/>
    <d v="2023-07-06T19:54:22"/>
    <m/>
    <d v="2023-07-06T00:00:00"/>
    <n v="924"/>
    <n v="2281"/>
    <s v="10788846"/>
    <s v="10788846"/>
    <m/>
    <m/>
    <m/>
    <m/>
    <m/>
    <m/>
    <s v="SOLRECOUP"/>
    <s v="SOLRECOUP"/>
    <s v="POARECOUP"/>
    <n v="21339959"/>
    <n v="-124.08"/>
    <m/>
    <s v="Y"/>
    <n v="1"/>
    <d v="2023-07-06T19:54:23"/>
    <s v="N"/>
    <m/>
    <m/>
    <s v="Expert Disbursement"/>
    <m/>
    <s v="N"/>
    <n v="-124.08"/>
    <n v="0"/>
    <x v="4"/>
    <s v="VALIDATED"/>
    <n v="1"/>
    <s v="01.11.80.307.2013.0000"/>
    <n v="-124.08"/>
    <s v="11"/>
    <s v="2013"/>
    <n v="43154.65"/>
    <n v="-124.08"/>
    <s v="CREDITOR"/>
    <n v="0"/>
    <n v="0"/>
    <n v="-124.08"/>
    <n v="0"/>
    <n v="0"/>
  </r>
  <r>
    <n v="10788846"/>
    <s v="N"/>
    <n v="21339959"/>
    <s v="3000006570470015RC"/>
    <s v="CIVIL"/>
    <d v="2023-06-28T00:00:00"/>
    <d v="2023-07-06T19:54:22"/>
    <m/>
    <d v="2023-07-06T00:00:00"/>
    <n v="924"/>
    <n v="2281"/>
    <s v="10788846"/>
    <s v="10788846"/>
    <m/>
    <m/>
    <m/>
    <m/>
    <m/>
    <m/>
    <s v="SOLRECOUP"/>
    <s v="SOLRECOUP"/>
    <s v="POARECOUP"/>
    <n v="21339959"/>
    <n v="-124.08"/>
    <m/>
    <s v="Y"/>
    <n v="2"/>
    <d v="2023-07-06T19:54:23"/>
    <s v="N"/>
    <m/>
    <m/>
    <s v="Expert Disbursement"/>
    <m/>
    <s v="N"/>
    <n v="0"/>
    <n v="0"/>
    <x v="4"/>
    <s v="VALIDATED"/>
    <n v="1"/>
    <s v="01.11.80.000.0000.0000"/>
    <n v="0"/>
    <s v="11"/>
    <s v="0000"/>
    <n v="43154.65"/>
    <n v="0"/>
    <s v="CREDITOR"/>
    <n v="0"/>
    <n v="0"/>
    <n v="0"/>
    <n v="0"/>
    <n v="0"/>
  </r>
  <r>
    <n v="6022968"/>
    <s v="N"/>
    <n v="21333793"/>
    <s v="3000002607450002RC"/>
    <s v="CIVIL"/>
    <d v="2023-06-23T00:00:00"/>
    <d v="2023-07-05T19:42:28"/>
    <m/>
    <d v="2023-07-05T00:00:00"/>
    <n v="924"/>
    <n v="2281"/>
    <s v="6022968"/>
    <s v="6022968"/>
    <m/>
    <m/>
    <m/>
    <m/>
    <m/>
    <m/>
    <s v="SOLRECOUP"/>
    <s v="SOLRECOUP"/>
    <s v="POARECOUP"/>
    <n v="21333793"/>
    <n v="-1800"/>
    <m/>
    <s v="Y"/>
    <n v="1"/>
    <d v="2023-07-05T19:42:29"/>
    <s v="N"/>
    <m/>
    <m/>
    <s v="Profit Cost"/>
    <m/>
    <s v="N"/>
    <n v="-1500"/>
    <n v="0"/>
    <x v="6"/>
    <s v="VALIDATED"/>
    <n v="1"/>
    <s v="01.11.80.307.2013.0000"/>
    <n v="-1500"/>
    <s v="11"/>
    <s v="2013"/>
    <n v="43154.65"/>
    <n v="-1500"/>
    <s v="CREDITOR"/>
    <n v="0"/>
    <n v="0"/>
    <n v="-1500"/>
    <n v="-375"/>
    <n v="0"/>
  </r>
  <r>
    <n v="6022968"/>
    <s v="N"/>
    <n v="21333793"/>
    <s v="3000002607450002RC"/>
    <s v="CIVIL"/>
    <d v="2023-06-23T00:00:00"/>
    <d v="2023-07-05T19:42:28"/>
    <m/>
    <d v="2023-07-05T00:00:00"/>
    <n v="924"/>
    <n v="2281"/>
    <s v="6022968"/>
    <s v="6022968"/>
    <m/>
    <m/>
    <m/>
    <m/>
    <m/>
    <m/>
    <s v="SOLRECOUP"/>
    <s v="SOLRECOUP"/>
    <s v="POARECOUP"/>
    <n v="21333793"/>
    <n v="-1800"/>
    <m/>
    <s v="Y"/>
    <n v="2"/>
    <d v="2023-07-05T19:42:29"/>
    <s v="N"/>
    <m/>
    <m/>
    <s v="Profit Cost"/>
    <m/>
    <s v="N"/>
    <n v="0"/>
    <n v="-300"/>
    <x v="6"/>
    <s v="VALIDATED"/>
    <n v="1"/>
    <s v="01.11.80.307.2013.0000"/>
    <n v="-300"/>
    <s v="11"/>
    <s v="2013"/>
    <n v="43154.65"/>
    <n v="-300"/>
    <s v="CREDITOR"/>
    <n v="0"/>
    <n v="0"/>
    <n v="-300"/>
    <n v="-75"/>
    <n v="0"/>
  </r>
  <r>
    <n v="10004121"/>
    <s v="N"/>
    <n v="21361402"/>
    <s v="3000005900070002RC"/>
    <s v="CIVIL"/>
    <d v="2023-06-28T00:00:00"/>
    <d v="2023-07-11T19:38:00"/>
    <m/>
    <d v="2023-07-11T00:00:00"/>
    <n v="924"/>
    <n v="2281"/>
    <s v="10004121"/>
    <s v="10004121"/>
    <m/>
    <m/>
    <m/>
    <m/>
    <m/>
    <m/>
    <s v="SOLRECOUP"/>
    <s v="SOLRECOUP"/>
    <s v="POARECOUP"/>
    <n v="21361402"/>
    <n v="-317.7"/>
    <m/>
    <s v="Y"/>
    <n v="1"/>
    <d v="2023-07-11T19:38:01"/>
    <s v="N"/>
    <m/>
    <m/>
    <s v="Profit Cost"/>
    <m/>
    <s v="N"/>
    <n v="-264.75"/>
    <n v="0"/>
    <x v="7"/>
    <s v="VALIDATED"/>
    <n v="1"/>
    <s v="01.11.80.307.2013.0000"/>
    <n v="-264.75"/>
    <s v="11"/>
    <s v="2013"/>
    <n v="43154.65"/>
    <n v="-264.75"/>
    <s v="CREDITOR"/>
    <n v="0"/>
    <n v="0"/>
    <n v="-264.75"/>
    <n v="-66.1875"/>
    <n v="0"/>
  </r>
  <r>
    <n v="10004121"/>
    <s v="N"/>
    <n v="21361402"/>
    <s v="3000005900070002RC"/>
    <s v="CIVIL"/>
    <d v="2023-06-28T00:00:00"/>
    <d v="2023-07-11T19:38:00"/>
    <m/>
    <d v="2023-07-11T00:00:00"/>
    <n v="924"/>
    <n v="2281"/>
    <s v="10004121"/>
    <s v="10004121"/>
    <m/>
    <m/>
    <m/>
    <m/>
    <m/>
    <m/>
    <s v="SOLRECOUP"/>
    <s v="SOLRECOUP"/>
    <s v="POARECOUP"/>
    <n v="21361402"/>
    <n v="-317.7"/>
    <m/>
    <s v="Y"/>
    <n v="2"/>
    <d v="2023-07-11T19:38:01"/>
    <s v="N"/>
    <m/>
    <m/>
    <s v="Profit Cost"/>
    <m/>
    <s v="N"/>
    <n v="0"/>
    <n v="-52.95"/>
    <x v="7"/>
    <s v="VALIDATED"/>
    <n v="1"/>
    <s v="01.11.80.307.2013.0000"/>
    <n v="-52.95"/>
    <s v="11"/>
    <s v="2013"/>
    <n v="43154.65"/>
    <n v="-52.95"/>
    <s v="CREDITOR"/>
    <n v="0"/>
    <n v="0"/>
    <n v="-52.95"/>
    <n v="-13.2375"/>
    <n v="0"/>
  </r>
  <r>
    <n v="10004121"/>
    <s v="N"/>
    <n v="21361403"/>
    <s v="3000005900070005RC"/>
    <s v="CIVIL"/>
    <d v="2023-06-28T00:00:00"/>
    <d v="2023-07-11T19:38:00"/>
    <m/>
    <d v="2023-07-11T00:00:00"/>
    <n v="924"/>
    <n v="2281"/>
    <s v="10004121"/>
    <s v="10004121"/>
    <m/>
    <m/>
    <m/>
    <m/>
    <m/>
    <m/>
    <s v="SOLRECOUP"/>
    <s v="SOLRECOUP"/>
    <s v="POARECOUP"/>
    <n v="21361403"/>
    <n v="-60.9"/>
    <m/>
    <s v="Y"/>
    <n v="1"/>
    <d v="2023-07-11T19:38:01"/>
    <s v="N"/>
    <m/>
    <m/>
    <s v="Expert Disbursement"/>
    <m/>
    <s v="N"/>
    <n v="-60.9"/>
    <n v="0"/>
    <x v="7"/>
    <s v="VALIDATED"/>
    <n v="1"/>
    <s v="01.11.80.307.2013.0000"/>
    <n v="-60.9"/>
    <s v="11"/>
    <s v="2013"/>
    <n v="43154.65"/>
    <n v="-60.9"/>
    <s v="CREDITOR"/>
    <n v="0"/>
    <n v="0"/>
    <n v="-60.9"/>
    <n v="0"/>
    <n v="0"/>
  </r>
  <r>
    <n v="10004121"/>
    <s v="N"/>
    <n v="21361403"/>
    <s v="3000005900070005RC"/>
    <s v="CIVIL"/>
    <d v="2023-06-28T00:00:00"/>
    <d v="2023-07-11T19:38:00"/>
    <m/>
    <d v="2023-07-11T00:00:00"/>
    <n v="924"/>
    <n v="2281"/>
    <s v="10004121"/>
    <s v="10004121"/>
    <m/>
    <m/>
    <m/>
    <m/>
    <m/>
    <m/>
    <s v="SOLRECOUP"/>
    <s v="SOLRECOUP"/>
    <s v="POARECOUP"/>
    <n v="21361403"/>
    <n v="-60.9"/>
    <m/>
    <s v="Y"/>
    <n v="2"/>
    <d v="2023-07-11T19:38:01"/>
    <s v="N"/>
    <m/>
    <m/>
    <s v="Expert Disbursement"/>
    <m/>
    <s v="N"/>
    <n v="0"/>
    <n v="0"/>
    <x v="7"/>
    <s v="VALIDATED"/>
    <n v="1"/>
    <s v="01.11.80.000.0000.0000"/>
    <n v="0"/>
    <s v="11"/>
    <s v="0000"/>
    <n v="43154.65"/>
    <n v="0"/>
    <s v="CREDITOR"/>
    <n v="0"/>
    <n v="0"/>
    <n v="0"/>
    <n v="0"/>
    <n v="0"/>
  </r>
  <r>
    <n v="10004121"/>
    <s v="N"/>
    <n v="21361404"/>
    <s v="3000005900070007RC"/>
    <s v="CIVIL"/>
    <d v="2023-06-28T00:00:00"/>
    <d v="2023-07-11T19:38:00"/>
    <m/>
    <d v="2023-07-11T00:00:00"/>
    <n v="924"/>
    <n v="2281"/>
    <s v="10004121"/>
    <s v="10004121"/>
    <m/>
    <m/>
    <m/>
    <m/>
    <m/>
    <m/>
    <s v="SOLRECOUP"/>
    <s v="SOLRECOUP"/>
    <s v="POARECOUP"/>
    <n v="21361404"/>
    <n v="-215"/>
    <m/>
    <s v="Y"/>
    <n v="1"/>
    <d v="2023-07-11T19:38:01"/>
    <s v="N"/>
    <m/>
    <m/>
    <s v="Non Expert Disbursement"/>
    <m/>
    <s v="N"/>
    <n v="-215"/>
    <n v="0"/>
    <x v="7"/>
    <s v="VALIDATED"/>
    <n v="1"/>
    <s v="01.11.80.307.2013.0000"/>
    <n v="-215"/>
    <s v="11"/>
    <s v="2013"/>
    <n v="43154.65"/>
    <n v="-215"/>
    <s v="CREDITOR"/>
    <n v="0"/>
    <n v="0"/>
    <n v="-215"/>
    <n v="0"/>
    <n v="0"/>
  </r>
  <r>
    <n v="10004121"/>
    <s v="N"/>
    <n v="21361404"/>
    <s v="3000005900070007RC"/>
    <s v="CIVIL"/>
    <d v="2023-06-28T00:00:00"/>
    <d v="2023-07-11T19:38:00"/>
    <m/>
    <d v="2023-07-11T00:00:00"/>
    <n v="924"/>
    <n v="2281"/>
    <s v="10004121"/>
    <s v="10004121"/>
    <m/>
    <m/>
    <m/>
    <m/>
    <m/>
    <m/>
    <s v="SOLRECOUP"/>
    <s v="SOLRECOUP"/>
    <s v="POARECOUP"/>
    <n v="21361404"/>
    <n v="-215"/>
    <m/>
    <s v="Y"/>
    <n v="2"/>
    <d v="2023-07-11T19:38:01"/>
    <s v="N"/>
    <m/>
    <m/>
    <s v="Non Expert Disbursement"/>
    <m/>
    <s v="N"/>
    <n v="0"/>
    <n v="0"/>
    <x v="7"/>
    <s v="VALIDATED"/>
    <n v="1"/>
    <s v="01.11.80.000.0000.0000"/>
    <n v="0"/>
    <s v="11"/>
    <s v="0000"/>
    <n v="43154.65"/>
    <n v="0"/>
    <s v="CREDITOR"/>
    <n v="0"/>
    <n v="0"/>
    <n v="0"/>
    <n v="0"/>
    <n v="0"/>
  </r>
  <r>
    <n v="60950874"/>
    <s v="N"/>
    <n v="21361405"/>
    <s v="3000015160760004RC"/>
    <s v="CIVIL"/>
    <d v="2023-06-30T00:00:00"/>
    <d v="2023-07-11T19:38:00"/>
    <m/>
    <d v="2023-07-11T00:00:00"/>
    <n v="924"/>
    <n v="2281"/>
    <s v="60950874"/>
    <s v="60950874"/>
    <m/>
    <m/>
    <m/>
    <m/>
    <m/>
    <m/>
    <s v="SOLRECOUP"/>
    <s v="SOLRECOUP"/>
    <s v="POARECOUP"/>
    <n v="21361405"/>
    <n v="-731.9"/>
    <m/>
    <s v="Y"/>
    <n v="1"/>
    <d v="2023-07-11T19:38:01"/>
    <s v="N"/>
    <m/>
    <m/>
    <s v="Non Expert Disbursement"/>
    <m/>
    <s v="N"/>
    <n v="-731.9"/>
    <n v="0"/>
    <x v="7"/>
    <s v="VALIDATED"/>
    <n v="1"/>
    <s v="01.11.80.307.2013.0000"/>
    <n v="-731.9"/>
    <s v="11"/>
    <s v="2013"/>
    <n v="43154.65"/>
    <n v="-731.9"/>
    <s v="CREDITOR"/>
    <n v="0"/>
    <n v="0"/>
    <n v="-731.9"/>
    <n v="0"/>
    <n v="0"/>
  </r>
  <r>
    <n v="60950874"/>
    <s v="N"/>
    <n v="21361405"/>
    <s v="3000015160760004RC"/>
    <s v="CIVIL"/>
    <d v="2023-06-30T00:00:00"/>
    <d v="2023-07-11T19:38:00"/>
    <m/>
    <d v="2023-07-11T00:00:00"/>
    <n v="924"/>
    <n v="2281"/>
    <s v="60950874"/>
    <s v="60950874"/>
    <m/>
    <m/>
    <m/>
    <m/>
    <m/>
    <m/>
    <s v="SOLRECOUP"/>
    <s v="SOLRECOUP"/>
    <s v="POARECOUP"/>
    <n v="21361405"/>
    <n v="-731.9"/>
    <m/>
    <s v="Y"/>
    <n v="2"/>
    <d v="2023-07-11T19:38:01"/>
    <s v="N"/>
    <m/>
    <m/>
    <s v="Non Expert Disbursement"/>
    <m/>
    <s v="N"/>
    <n v="0"/>
    <n v="0"/>
    <x v="7"/>
    <s v="VALIDATED"/>
    <n v="1"/>
    <s v="01.11.80.000.0000.0000"/>
    <n v="0"/>
    <s v="11"/>
    <s v="0000"/>
    <n v="43154.65"/>
    <n v="0"/>
    <s v="CREDITOR"/>
    <n v="0"/>
    <n v="0"/>
    <n v="0"/>
    <n v="0"/>
    <n v="0"/>
  </r>
  <r>
    <n v="60950874"/>
    <s v="N"/>
    <n v="21361406"/>
    <s v="3000015160760003RC"/>
    <s v="CIVIL"/>
    <d v="2023-06-30T00:00:00"/>
    <d v="2023-07-11T19:38:00"/>
    <m/>
    <d v="2023-07-11T00:00:00"/>
    <n v="924"/>
    <n v="2281"/>
    <s v="60950874"/>
    <s v="60950874"/>
    <m/>
    <m/>
    <m/>
    <m/>
    <m/>
    <m/>
    <s v="SOLRECOUP"/>
    <s v="SOLRECOUP"/>
    <s v="POARECOUP"/>
    <n v="21361406"/>
    <n v="-96.5"/>
    <m/>
    <s v="Y"/>
    <n v="1"/>
    <d v="2023-07-11T19:38:01"/>
    <s v="N"/>
    <m/>
    <m/>
    <s v="Non Expert Disbursement"/>
    <m/>
    <s v="N"/>
    <n v="-96.5"/>
    <n v="0"/>
    <x v="7"/>
    <s v="VALIDATED"/>
    <n v="1"/>
    <s v="01.11.80.307.2013.0000"/>
    <n v="-96.5"/>
    <s v="11"/>
    <s v="2013"/>
    <n v="43154.65"/>
    <n v="-96.5"/>
    <s v="CREDITOR"/>
    <n v="0"/>
    <n v="0"/>
    <n v="-96.5"/>
    <n v="0"/>
    <n v="0"/>
  </r>
  <r>
    <n v="60950874"/>
    <s v="N"/>
    <n v="21361406"/>
    <s v="3000015160760003RC"/>
    <s v="CIVIL"/>
    <d v="2023-06-30T00:00:00"/>
    <d v="2023-07-11T19:38:00"/>
    <m/>
    <d v="2023-07-11T00:00:00"/>
    <n v="924"/>
    <n v="2281"/>
    <s v="60950874"/>
    <s v="60950874"/>
    <m/>
    <m/>
    <m/>
    <m/>
    <m/>
    <m/>
    <s v="SOLRECOUP"/>
    <s v="SOLRECOUP"/>
    <s v="POARECOUP"/>
    <n v="21361406"/>
    <n v="-96.5"/>
    <m/>
    <s v="Y"/>
    <n v="2"/>
    <d v="2023-07-11T19:38:01"/>
    <s v="N"/>
    <m/>
    <m/>
    <s v="Non Expert Disbursement"/>
    <m/>
    <s v="N"/>
    <n v="0"/>
    <n v="0"/>
    <x v="7"/>
    <s v="VALIDATED"/>
    <n v="1"/>
    <s v="01.11.80.000.0000.0000"/>
    <n v="0"/>
    <s v="11"/>
    <s v="0000"/>
    <n v="43154.65"/>
    <n v="0"/>
    <s v="CREDITOR"/>
    <n v="0"/>
    <n v="0"/>
    <n v="0"/>
    <n v="0"/>
    <n v="0"/>
  </r>
  <r>
    <n v="60950874"/>
    <s v="N"/>
    <n v="21361407"/>
    <s v="3000015160760006RC"/>
    <s v="CIVIL"/>
    <d v="2023-06-30T00:00:00"/>
    <d v="2023-07-11T19:38:00"/>
    <m/>
    <d v="2023-07-11T00:00:00"/>
    <n v="924"/>
    <n v="2281"/>
    <s v="60950874"/>
    <s v="60950874"/>
    <m/>
    <m/>
    <m/>
    <m/>
    <m/>
    <m/>
    <s v="SOLRECOUP"/>
    <s v="SOLRECOUP"/>
    <s v="POARECOUP"/>
    <n v="21361407"/>
    <n v="-153.5"/>
    <m/>
    <s v="Y"/>
    <n v="1"/>
    <d v="2023-07-11T19:38:01"/>
    <s v="N"/>
    <m/>
    <m/>
    <s v="Non Expert Disbursement"/>
    <m/>
    <s v="N"/>
    <n v="-153.5"/>
    <n v="0"/>
    <x v="7"/>
    <s v="VALIDATED"/>
    <n v="1"/>
    <s v="01.11.80.307.2013.0000"/>
    <n v="-153.5"/>
    <s v="11"/>
    <s v="2013"/>
    <n v="43154.65"/>
    <n v="-153.5"/>
    <s v="CREDITOR"/>
    <n v="0"/>
    <n v="0"/>
    <n v="-153.5"/>
    <n v="0"/>
    <n v="0"/>
  </r>
  <r>
    <n v="60950874"/>
    <s v="N"/>
    <n v="21361407"/>
    <s v="3000015160760006RC"/>
    <s v="CIVIL"/>
    <d v="2023-06-30T00:00:00"/>
    <d v="2023-07-11T19:38:00"/>
    <m/>
    <d v="2023-07-11T00:00:00"/>
    <n v="924"/>
    <n v="2281"/>
    <s v="60950874"/>
    <s v="60950874"/>
    <m/>
    <m/>
    <m/>
    <m/>
    <m/>
    <m/>
    <s v="SOLRECOUP"/>
    <s v="SOLRECOUP"/>
    <s v="POARECOUP"/>
    <n v="21361407"/>
    <n v="-153.5"/>
    <m/>
    <s v="Y"/>
    <n v="2"/>
    <d v="2023-07-11T19:38:01"/>
    <s v="N"/>
    <m/>
    <m/>
    <s v="Non Expert Disbursement"/>
    <m/>
    <s v="N"/>
    <n v="0"/>
    <n v="0"/>
    <x v="7"/>
    <s v="VALIDATED"/>
    <n v="1"/>
    <s v="01.11.80.000.0000.0000"/>
    <n v="0"/>
    <s v="11"/>
    <s v="0000"/>
    <n v="43154.65"/>
    <n v="0"/>
    <s v="CREDITOR"/>
    <n v="0"/>
    <n v="0"/>
    <n v="0"/>
    <n v="0"/>
    <n v="0"/>
  </r>
  <r>
    <n v="14064052"/>
    <s v="N"/>
    <n v="21356455"/>
    <s v="3000007298400002RC"/>
    <s v="CIVIL"/>
    <d v="2023-06-29T00:00:00"/>
    <d v="2023-07-10T19:47:44"/>
    <m/>
    <d v="2023-07-10T00:00:00"/>
    <n v="924"/>
    <n v="2281"/>
    <s v="14064052"/>
    <s v="14064052"/>
    <m/>
    <m/>
    <m/>
    <m/>
    <m/>
    <m/>
    <s v="SOLRECOUP"/>
    <s v="SOLRECOUP"/>
    <s v="POARECOUP"/>
    <n v="21356455"/>
    <n v="-486.72"/>
    <m/>
    <s v="Y"/>
    <n v="2"/>
    <d v="2023-07-10T19:47:45"/>
    <s v="N"/>
    <m/>
    <m/>
    <s v="Profit Cost"/>
    <m/>
    <s v="N"/>
    <n v="0"/>
    <n v="-81.12"/>
    <x v="2"/>
    <s v="VALIDATED"/>
    <n v="1"/>
    <s v="01.11.80.302.2013.0000"/>
    <n v="-81.12"/>
    <s v="11"/>
    <s v="2013"/>
    <n v="43154.65"/>
    <n v="-81.12"/>
    <s v="CREDITOR"/>
    <n v="0"/>
    <n v="0"/>
    <n v="-81.12"/>
    <n v="-20.28"/>
    <n v="0"/>
  </r>
  <r>
    <n v="43603550"/>
    <s v="N"/>
    <n v="21356456"/>
    <s v="3000011467990001RC"/>
    <s v="CIVIL"/>
    <d v="2023-06-30T00:00:00"/>
    <d v="2023-07-10T19:47:44"/>
    <m/>
    <d v="2023-07-10T00:00:00"/>
    <n v="924"/>
    <n v="2281"/>
    <s v="43603550"/>
    <s v="43603550"/>
    <m/>
    <m/>
    <m/>
    <m/>
    <m/>
    <m/>
    <s v="SOLRECOUP"/>
    <s v="SOLRECOUP"/>
    <s v="POARECOUP"/>
    <n v="21356456"/>
    <n v="-129.68"/>
    <m/>
    <s v="Y"/>
    <n v="1"/>
    <d v="2023-07-10T19:47:45"/>
    <s v="N"/>
    <m/>
    <m/>
    <s v="Expert Disbursement"/>
    <m/>
    <s v="N"/>
    <n v="-129.68"/>
    <n v="0"/>
    <x v="2"/>
    <s v="VALIDATED"/>
    <n v="1"/>
    <s v="01.11.80.302.2013.0000"/>
    <n v="-129.68"/>
    <s v="11"/>
    <s v="2013"/>
    <n v="43154.65"/>
    <n v="-129.68"/>
    <s v="CREDITOR"/>
    <n v="0"/>
    <n v="0"/>
    <n v="-129.68"/>
    <n v="0"/>
    <n v="0"/>
  </r>
  <r>
    <n v="43603550"/>
    <s v="N"/>
    <n v="21356456"/>
    <s v="3000011467990001RC"/>
    <s v="CIVIL"/>
    <d v="2023-06-30T00:00:00"/>
    <d v="2023-07-10T19:47:44"/>
    <m/>
    <d v="2023-07-10T00:00:00"/>
    <n v="924"/>
    <n v="2281"/>
    <s v="43603550"/>
    <s v="43603550"/>
    <m/>
    <m/>
    <m/>
    <m/>
    <m/>
    <m/>
    <s v="SOLRECOUP"/>
    <s v="SOLRECOUP"/>
    <s v="POARECOUP"/>
    <n v="21356456"/>
    <n v="-129.68"/>
    <m/>
    <s v="Y"/>
    <n v="2"/>
    <d v="2023-07-10T19:47:45"/>
    <s v="N"/>
    <m/>
    <m/>
    <s v="Expert Disbursement"/>
    <m/>
    <s v="N"/>
    <n v="0"/>
    <n v="0"/>
    <x v="2"/>
    <s v="VALIDATED"/>
    <n v="1"/>
    <s v="01.11.80.000.0000.0000"/>
    <n v="0"/>
    <s v="11"/>
    <s v="0000"/>
    <n v="43154.65"/>
    <n v="0"/>
    <s v="CREDITOR"/>
    <n v="0"/>
    <n v="0"/>
    <n v="0"/>
    <n v="0"/>
    <n v="0"/>
  </r>
  <r>
    <n v="8647673"/>
    <s v="N"/>
    <n v="21356457"/>
    <s v="3000004688890017RC"/>
    <s v="CIVIL"/>
    <d v="2023-06-27T00:00:00"/>
    <d v="2023-07-10T19:47:44"/>
    <m/>
    <d v="2023-07-10T00:00:00"/>
    <n v="924"/>
    <n v="2281"/>
    <s v="8647673"/>
    <s v="8647673"/>
    <m/>
    <m/>
    <m/>
    <m/>
    <m/>
    <m/>
    <s v="SOLRECOUP"/>
    <s v="SOLRECOUP"/>
    <s v="POARECOUP"/>
    <n v="21356457"/>
    <n v="-79.34999999999999"/>
    <m/>
    <s v="Y"/>
    <n v="1"/>
    <d v="2023-07-10T19:47:45"/>
    <s v="N"/>
    <m/>
    <m/>
    <s v="Expert Disbursement"/>
    <m/>
    <s v="N"/>
    <n v="-79.34999999999999"/>
    <n v="0"/>
    <x v="2"/>
    <s v="VALIDATED"/>
    <n v="1"/>
    <s v="01.11.80.307.2013.0000"/>
    <n v="-79.34999999999999"/>
    <s v="11"/>
    <s v="2013"/>
    <n v="43154.65"/>
    <n v="-79.34999999999999"/>
    <s v="CREDITOR"/>
    <n v="0"/>
    <n v="0"/>
    <n v="-79.34999999999999"/>
    <n v="0"/>
    <n v="0"/>
  </r>
  <r>
    <n v="8647673"/>
    <s v="N"/>
    <n v="21356457"/>
    <s v="3000004688890017RC"/>
    <s v="CIVIL"/>
    <d v="2023-06-27T00:00:00"/>
    <d v="2023-07-10T19:47:44"/>
    <m/>
    <d v="2023-07-10T00:00:00"/>
    <n v="924"/>
    <n v="2281"/>
    <s v="8647673"/>
    <s v="8647673"/>
    <m/>
    <m/>
    <m/>
    <m/>
    <m/>
    <m/>
    <s v="SOLRECOUP"/>
    <s v="SOLRECOUP"/>
    <s v="POARECOUP"/>
    <n v="21356457"/>
    <n v="-79.34999999999999"/>
    <m/>
    <s v="Y"/>
    <n v="2"/>
    <d v="2023-07-10T19:47:45"/>
    <s v="N"/>
    <m/>
    <m/>
    <s v="Expert Disbursement"/>
    <m/>
    <s v="N"/>
    <n v="0"/>
    <n v="0"/>
    <x v="2"/>
    <s v="VALIDATED"/>
    <n v="1"/>
    <s v="01.11.80.000.0000.0000"/>
    <n v="0"/>
    <s v="11"/>
    <s v="0000"/>
    <n v="43154.65"/>
    <n v="0"/>
    <s v="CREDITOR"/>
    <n v="0"/>
    <n v="0"/>
    <n v="0"/>
    <n v="0"/>
    <n v="0"/>
  </r>
  <r>
    <n v="8647673"/>
    <s v="N"/>
    <n v="21356458"/>
    <s v="3000004688890018RC"/>
    <s v="CIVIL"/>
    <d v="2023-06-27T00:00:00"/>
    <d v="2023-07-10T19:47:44"/>
    <m/>
    <d v="2023-07-10T00:00:00"/>
    <n v="924"/>
    <n v="2281"/>
    <s v="8647673"/>
    <s v="8647673"/>
    <m/>
    <m/>
    <m/>
    <m/>
    <m/>
    <m/>
    <s v="SOLRECOUP"/>
    <s v="SOLRECOUP"/>
    <s v="POARECOUP"/>
    <n v="21356458"/>
    <n v="-215"/>
    <m/>
    <s v="Y"/>
    <n v="1"/>
    <d v="2023-07-10T19:47:45"/>
    <s v="N"/>
    <m/>
    <m/>
    <s v="Non Expert Disbursement"/>
    <m/>
    <s v="N"/>
    <n v="-215"/>
    <n v="0"/>
    <x v="2"/>
    <s v="VALIDATED"/>
    <n v="1"/>
    <s v="01.11.80.307.2013.0000"/>
    <n v="-215"/>
    <s v="11"/>
    <s v="2013"/>
    <n v="43154.65"/>
    <n v="-215"/>
    <s v="CREDITOR"/>
    <n v="0"/>
    <n v="0"/>
    <n v="-215"/>
    <n v="0"/>
    <n v="0"/>
  </r>
  <r>
    <n v="8647673"/>
    <s v="N"/>
    <n v="21356458"/>
    <s v="3000004688890018RC"/>
    <s v="CIVIL"/>
    <d v="2023-06-27T00:00:00"/>
    <d v="2023-07-10T19:47:44"/>
    <m/>
    <d v="2023-07-10T00:00:00"/>
    <n v="924"/>
    <n v="2281"/>
    <s v="8647673"/>
    <s v="8647673"/>
    <m/>
    <m/>
    <m/>
    <m/>
    <m/>
    <m/>
    <s v="SOLRECOUP"/>
    <s v="SOLRECOUP"/>
    <s v="POARECOUP"/>
    <n v="21356458"/>
    <n v="-215"/>
    <m/>
    <s v="Y"/>
    <n v="2"/>
    <d v="2023-07-10T19:47:45"/>
    <s v="N"/>
    <m/>
    <m/>
    <s v="Non Expert Disbursement"/>
    <m/>
    <s v="N"/>
    <n v="0"/>
    <n v="0"/>
    <x v="2"/>
    <s v="VALIDATED"/>
    <n v="1"/>
    <s v="01.11.80.000.0000.0000"/>
    <n v="0"/>
    <s v="11"/>
    <s v="0000"/>
    <n v="43154.65"/>
    <n v="0"/>
    <s v="CREDITOR"/>
    <n v="0"/>
    <n v="0"/>
    <n v="0"/>
    <n v="0"/>
    <n v="0"/>
  </r>
  <r>
    <n v="56409031"/>
    <s v="N"/>
    <n v="21356459"/>
    <s v="3000013405050002RC"/>
    <s v="CIVIL"/>
    <d v="2023-06-30T00:00:00"/>
    <d v="2023-07-10T19:47:44"/>
    <m/>
    <d v="2023-07-10T00:00:00"/>
    <n v="924"/>
    <n v="2281"/>
    <s v="56409031"/>
    <s v="56409031"/>
    <m/>
    <m/>
    <m/>
    <m/>
    <m/>
    <m/>
    <s v="SOLRECOUP"/>
    <s v="SOLRECOUP"/>
    <s v="POARECOUP"/>
    <n v="21356459"/>
    <n v="-215"/>
    <m/>
    <s v="Y"/>
    <n v="1"/>
    <d v="2023-07-10T19:47:45"/>
    <s v="N"/>
    <m/>
    <m/>
    <s v="Non Expert Disbursement"/>
    <m/>
    <s v="N"/>
    <n v="-215"/>
    <n v="0"/>
    <x v="2"/>
    <s v="VALIDATED"/>
    <n v="1"/>
    <s v="01.11.80.307.2013.0000"/>
    <n v="-215"/>
    <s v="11"/>
    <s v="2013"/>
    <n v="43154.65"/>
    <n v="-215"/>
    <s v="CREDITOR"/>
    <n v="0"/>
    <n v="0"/>
    <n v="-215"/>
    <n v="0"/>
    <n v="0"/>
  </r>
  <r>
    <n v="56409031"/>
    <s v="N"/>
    <n v="21356459"/>
    <s v="3000013405050002RC"/>
    <s v="CIVIL"/>
    <d v="2023-06-30T00:00:00"/>
    <d v="2023-07-10T19:47:44"/>
    <m/>
    <d v="2023-07-10T00:00:00"/>
    <n v="924"/>
    <n v="2281"/>
    <s v="56409031"/>
    <s v="56409031"/>
    <m/>
    <m/>
    <m/>
    <m/>
    <m/>
    <m/>
    <s v="SOLRECOUP"/>
    <s v="SOLRECOUP"/>
    <s v="POARECOUP"/>
    <n v="21356459"/>
    <n v="-215"/>
    <m/>
    <s v="Y"/>
    <n v="2"/>
    <d v="2023-07-10T19:47:45"/>
    <s v="N"/>
    <m/>
    <m/>
    <s v="Non Expert Disbursement"/>
    <m/>
    <s v="N"/>
    <n v="0"/>
    <n v="0"/>
    <x v="2"/>
    <s v="VALIDATED"/>
    <n v="1"/>
    <s v="01.11.80.000.0000.0000"/>
    <n v="0"/>
    <s v="11"/>
    <s v="0000"/>
    <n v="43154.65"/>
    <n v="0"/>
    <s v="CREDITOR"/>
    <n v="0"/>
    <n v="0"/>
    <n v="0"/>
    <n v="0"/>
    <n v="0"/>
  </r>
  <r>
    <n v="56409031"/>
    <s v="N"/>
    <n v="21356460"/>
    <s v="3000013405050001RC"/>
    <s v="CIVIL"/>
    <d v="2023-06-30T00:00:00"/>
    <d v="2023-07-10T19:47:44"/>
    <m/>
    <d v="2023-07-10T00:00:00"/>
    <n v="924"/>
    <n v="2281"/>
    <s v="56409031"/>
    <s v="56409031"/>
    <m/>
    <m/>
    <m/>
    <m/>
    <m/>
    <m/>
    <s v="SOLRECOUP"/>
    <s v="SOLRECOUP"/>
    <s v="POARECOUP"/>
    <n v="21356460"/>
    <n v="-116.18"/>
    <m/>
    <s v="Y"/>
    <n v="1"/>
    <d v="2023-07-10T19:47:45"/>
    <s v="N"/>
    <m/>
    <m/>
    <s v="Expert Disbursement"/>
    <m/>
    <s v="N"/>
    <n v="-116.18"/>
    <n v="0"/>
    <x v="2"/>
    <s v="VALIDATED"/>
    <n v="1"/>
    <s v="01.11.80.307.2013.0000"/>
    <n v="-116.18"/>
    <s v="11"/>
    <s v="2013"/>
    <n v="43154.65"/>
    <n v="-116.18"/>
    <s v="CREDITOR"/>
    <n v="0"/>
    <n v="0"/>
    <n v="-116.18"/>
    <n v="0"/>
    <n v="0"/>
  </r>
  <r>
    <n v="56409031"/>
    <s v="N"/>
    <n v="21356460"/>
    <s v="3000013405050001RC"/>
    <s v="CIVIL"/>
    <d v="2023-06-30T00:00:00"/>
    <d v="2023-07-10T19:47:44"/>
    <m/>
    <d v="2023-07-10T00:00:00"/>
    <n v="924"/>
    <n v="2281"/>
    <s v="56409031"/>
    <s v="56409031"/>
    <m/>
    <m/>
    <m/>
    <m/>
    <m/>
    <m/>
    <s v="SOLRECOUP"/>
    <s v="SOLRECOUP"/>
    <s v="POARECOUP"/>
    <n v="21356460"/>
    <n v="-116.18"/>
    <m/>
    <s v="Y"/>
    <n v="2"/>
    <d v="2023-07-10T19:47:45"/>
    <s v="N"/>
    <m/>
    <m/>
    <s v="Expert Disbursement"/>
    <m/>
    <s v="N"/>
    <n v="0"/>
    <n v="0"/>
    <x v="2"/>
    <s v="VALIDATED"/>
    <n v="1"/>
    <s v="01.11.80.000.0000.0000"/>
    <n v="0"/>
    <s v="11"/>
    <s v="0000"/>
    <n v="43154.65"/>
    <n v="0"/>
    <s v="CREDITOR"/>
    <n v="0"/>
    <n v="0"/>
    <n v="0"/>
    <n v="0"/>
    <n v="0"/>
  </r>
  <r>
    <n v="8647673"/>
    <s v="N"/>
    <n v="21356461"/>
    <s v="3000004688890019RC"/>
    <s v="CIVIL"/>
    <d v="2023-06-27T00:00:00"/>
    <d v="2023-07-10T19:47:44"/>
    <m/>
    <d v="2023-07-10T00:00:00"/>
    <n v="924"/>
    <n v="2281"/>
    <s v="8647673"/>
    <s v="8647673"/>
    <m/>
    <m/>
    <m/>
    <m/>
    <m/>
    <m/>
    <s v="SOLRECOUP"/>
    <s v="SOLRECOUP"/>
    <s v="POARECOUP"/>
    <n v="21356461"/>
    <n v="-482.4"/>
    <m/>
    <s v="Y"/>
    <n v="1"/>
    <d v="2023-07-10T19:47:45"/>
    <s v="N"/>
    <m/>
    <m/>
    <s v="Expert Disbursement"/>
    <m/>
    <s v="N"/>
    <n v="-402"/>
    <n v="0"/>
    <x v="2"/>
    <s v="VALIDATED"/>
    <n v="1"/>
    <s v="01.11.80.307.2013.0000"/>
    <n v="-402"/>
    <s v="11"/>
    <s v="2013"/>
    <n v="43154.65"/>
    <n v="-402"/>
    <s v="CREDITOR"/>
    <n v="0"/>
    <n v="0"/>
    <n v="-402"/>
    <n v="0"/>
    <n v="0"/>
  </r>
  <r>
    <n v="8647673"/>
    <s v="N"/>
    <n v="21356461"/>
    <s v="3000004688890019RC"/>
    <s v="CIVIL"/>
    <d v="2023-06-27T00:00:00"/>
    <d v="2023-07-10T19:47:44"/>
    <m/>
    <d v="2023-07-10T00:00:00"/>
    <n v="924"/>
    <n v="2281"/>
    <s v="8647673"/>
    <s v="8647673"/>
    <m/>
    <m/>
    <m/>
    <m/>
    <m/>
    <m/>
    <s v="SOLRECOUP"/>
    <s v="SOLRECOUP"/>
    <s v="POARECOUP"/>
    <n v="21356461"/>
    <n v="-482.4"/>
    <m/>
    <s v="Y"/>
    <n v="2"/>
    <d v="2023-07-10T19:47:45"/>
    <s v="N"/>
    <m/>
    <m/>
    <s v="Expert Disbursement"/>
    <m/>
    <s v="N"/>
    <n v="0"/>
    <n v="-80.40000000000001"/>
    <x v="2"/>
    <s v="VALIDATED"/>
    <n v="1"/>
    <s v="01.11.80.307.2013.0000"/>
    <n v="-80.40000000000001"/>
    <s v="11"/>
    <s v="2013"/>
    <n v="43154.65"/>
    <n v="-80.40000000000001"/>
    <s v="CREDITOR"/>
    <n v="0"/>
    <n v="0"/>
    <n v="-80.40000000000001"/>
    <n v="0"/>
    <n v="0"/>
  </r>
  <r>
    <n v="43603550"/>
    <s v="N"/>
    <n v="21356462"/>
    <s v="3000011467990002RC"/>
    <s v="CIVIL"/>
    <d v="2023-06-30T00:00:00"/>
    <d v="2023-07-10T19:47:44"/>
    <m/>
    <d v="2023-07-10T00:00:00"/>
    <n v="924"/>
    <n v="2281"/>
    <s v="43603550"/>
    <s v="43603550"/>
    <m/>
    <m/>
    <m/>
    <m/>
    <m/>
    <m/>
    <s v="SOLRECOUP"/>
    <s v="SOLRECOUP"/>
    <s v="POARECOUP"/>
    <n v="21356462"/>
    <n v="-60.45"/>
    <m/>
    <s v="Y"/>
    <n v="1"/>
    <d v="2023-07-10T19:47:45"/>
    <s v="N"/>
    <m/>
    <m/>
    <s v="Expert Disbursement"/>
    <m/>
    <s v="N"/>
    <n v="-60.45"/>
    <n v="0"/>
    <x v="2"/>
    <s v="VALIDATED"/>
    <n v="1"/>
    <s v="01.11.80.302.2013.0000"/>
    <n v="-60.45"/>
    <s v="11"/>
    <s v="2013"/>
    <n v="43154.65"/>
    <n v="-60.45"/>
    <s v="CREDITOR"/>
    <n v="0"/>
    <n v="0"/>
    <n v="-60.45"/>
    <n v="0"/>
    <n v="0"/>
  </r>
  <r>
    <n v="43603550"/>
    <s v="N"/>
    <n v="21356462"/>
    <s v="3000011467990002RC"/>
    <s v="CIVIL"/>
    <d v="2023-06-30T00:00:00"/>
    <d v="2023-07-10T19:47:44"/>
    <m/>
    <d v="2023-07-10T00:00:00"/>
    <n v="924"/>
    <n v="2281"/>
    <s v="43603550"/>
    <s v="43603550"/>
    <m/>
    <m/>
    <m/>
    <m/>
    <m/>
    <m/>
    <s v="SOLRECOUP"/>
    <s v="SOLRECOUP"/>
    <s v="POARECOUP"/>
    <n v="21356462"/>
    <n v="-60.45"/>
    <m/>
    <s v="Y"/>
    <n v="2"/>
    <d v="2023-07-10T19:47:45"/>
    <s v="N"/>
    <m/>
    <m/>
    <s v="Expert Disbursement"/>
    <m/>
    <s v="N"/>
    <n v="0"/>
    <n v="0"/>
    <x v="2"/>
    <s v="VALIDATED"/>
    <n v="1"/>
    <s v="01.11.80.000.0000.0000"/>
    <n v="0"/>
    <s v="11"/>
    <s v="0000"/>
    <n v="43154.65"/>
    <n v="0"/>
    <s v="CREDITOR"/>
    <n v="0"/>
    <n v="0"/>
    <n v="0"/>
    <n v="0"/>
    <n v="0"/>
  </r>
  <r>
    <n v="14064052"/>
    <s v="N"/>
    <n v="21356463"/>
    <s v="3000007298400004RC"/>
    <s v="CIVIL"/>
    <d v="2023-06-29T00:00:00"/>
    <d v="2023-07-10T19:47:44"/>
    <m/>
    <d v="2023-07-10T00:00:00"/>
    <n v="924"/>
    <n v="2281"/>
    <s v="14064052"/>
    <s v="14064052"/>
    <m/>
    <m/>
    <m/>
    <m/>
    <m/>
    <m/>
    <s v="SOLRECOUP"/>
    <s v="SOLRECOUP"/>
    <s v="POARECOUP"/>
    <n v="21356463"/>
    <n v="-50"/>
    <m/>
    <s v="Y"/>
    <n v="1"/>
    <d v="2023-07-10T19:47:45"/>
    <s v="N"/>
    <m/>
    <m/>
    <s v="Non Expert Disbursement"/>
    <m/>
    <s v="N"/>
    <n v="-50"/>
    <n v="0"/>
    <x v="2"/>
    <s v="VALIDATED"/>
    <n v="1"/>
    <s v="01.11.80.302.2013.0000"/>
    <n v="-50"/>
    <s v="11"/>
    <s v="2013"/>
    <n v="43154.65"/>
    <n v="-50"/>
    <s v="CREDITOR"/>
    <n v="0"/>
    <n v="0"/>
    <n v="-50"/>
    <n v="0"/>
    <n v="0"/>
  </r>
  <r>
    <n v="14064052"/>
    <s v="N"/>
    <n v="21356463"/>
    <s v="3000007298400004RC"/>
    <s v="CIVIL"/>
    <d v="2023-06-29T00:00:00"/>
    <d v="2023-07-10T19:47:44"/>
    <m/>
    <d v="2023-07-10T00:00:00"/>
    <n v="924"/>
    <n v="2281"/>
    <s v="14064052"/>
    <s v="14064052"/>
    <m/>
    <m/>
    <m/>
    <m/>
    <m/>
    <m/>
    <s v="SOLRECOUP"/>
    <s v="SOLRECOUP"/>
    <s v="POARECOUP"/>
    <n v="21356463"/>
    <n v="-50"/>
    <m/>
    <s v="Y"/>
    <n v="2"/>
    <d v="2023-07-10T19:47:45"/>
    <s v="N"/>
    <m/>
    <m/>
    <s v="Non Expert Disbursement"/>
    <m/>
    <s v="N"/>
    <n v="0"/>
    <n v="0"/>
    <x v="2"/>
    <s v="VALIDATED"/>
    <n v="1"/>
    <s v="01.11.80.000.0000.0000"/>
    <n v="0"/>
    <s v="11"/>
    <s v="0000"/>
    <n v="43154.65"/>
    <n v="0"/>
    <s v="CREDITOR"/>
    <n v="0"/>
    <n v="0"/>
    <n v="0"/>
    <n v="0"/>
    <n v="0"/>
  </r>
  <r>
    <n v="14064052"/>
    <s v="N"/>
    <n v="21356464"/>
    <s v="3000007298400005RC"/>
    <s v="CIVIL"/>
    <d v="2023-06-29T00:00:00"/>
    <d v="2023-07-10T19:47:44"/>
    <m/>
    <d v="2023-07-10T00:00:00"/>
    <n v="924"/>
    <n v="2281"/>
    <s v="14064052"/>
    <s v="14064052"/>
    <m/>
    <m/>
    <m/>
    <m/>
    <m/>
    <m/>
    <s v="SOLRECOUP"/>
    <s v="SOLRECOUP"/>
    <s v="POARECOUP"/>
    <n v="21356464"/>
    <n v="-155"/>
    <m/>
    <s v="Y"/>
    <n v="1"/>
    <d v="2023-07-10T19:47:45"/>
    <s v="N"/>
    <m/>
    <m/>
    <s v="Non Expert Disbursement"/>
    <m/>
    <s v="N"/>
    <n v="-155"/>
    <n v="0"/>
    <x v="2"/>
    <s v="VALIDATED"/>
    <n v="1"/>
    <s v="01.11.80.302.2013.0000"/>
    <n v="-155"/>
    <s v="11"/>
    <s v="2013"/>
    <n v="43154.65"/>
    <n v="-155"/>
    <s v="CREDITOR"/>
    <n v="0"/>
    <n v="0"/>
    <n v="-155"/>
    <n v="0"/>
    <n v="0"/>
  </r>
  <r>
    <n v="14064052"/>
    <s v="N"/>
    <n v="21356464"/>
    <s v="3000007298400005RC"/>
    <s v="CIVIL"/>
    <d v="2023-06-29T00:00:00"/>
    <d v="2023-07-10T19:47:44"/>
    <m/>
    <d v="2023-07-10T00:00:00"/>
    <n v="924"/>
    <n v="2281"/>
    <s v="14064052"/>
    <s v="14064052"/>
    <m/>
    <m/>
    <m/>
    <m/>
    <m/>
    <m/>
    <s v="SOLRECOUP"/>
    <s v="SOLRECOUP"/>
    <s v="POARECOUP"/>
    <n v="21356464"/>
    <n v="-155"/>
    <m/>
    <s v="Y"/>
    <n v="2"/>
    <d v="2023-07-10T19:47:45"/>
    <s v="N"/>
    <m/>
    <m/>
    <s v="Non Expert Disbursement"/>
    <m/>
    <s v="N"/>
    <n v="0"/>
    <n v="0"/>
    <x v="2"/>
    <s v="VALIDATED"/>
    <n v="1"/>
    <s v="01.11.80.000.0000.0000"/>
    <n v="0"/>
    <s v="11"/>
    <s v="0000"/>
    <n v="43154.65"/>
    <n v="0"/>
    <s v="CREDITOR"/>
    <n v="0"/>
    <n v="0"/>
    <n v="0"/>
    <n v="0"/>
    <n v="0"/>
  </r>
  <r>
    <n v="61313803"/>
    <s v="N"/>
    <n v="21356465"/>
    <s v="3000015470000005RC"/>
    <s v="CIVIL"/>
    <d v="2023-06-29T00:00:00"/>
    <d v="2023-07-10T19:47:44"/>
    <m/>
    <d v="2023-07-10T00:00:00"/>
    <n v="924"/>
    <n v="2281"/>
    <s v="61313803"/>
    <s v="61313803"/>
    <m/>
    <m/>
    <m/>
    <m/>
    <m/>
    <m/>
    <s v="SOLRECOUP"/>
    <s v="SOLRECOUP"/>
    <s v="POARECOUP"/>
    <n v="21356465"/>
    <n v="-67.55"/>
    <m/>
    <s v="Y"/>
    <n v="1"/>
    <d v="2023-07-10T19:47:45"/>
    <s v="N"/>
    <m/>
    <m/>
    <s v="Non Expert Disbursement"/>
    <m/>
    <s v="N"/>
    <n v="-67.55"/>
    <n v="0"/>
    <x v="2"/>
    <s v="VALIDATED"/>
    <n v="1"/>
    <s v="01.11.80.307.2013.0000"/>
    <n v="-67.55"/>
    <s v="11"/>
    <s v="2013"/>
    <n v="43154.65"/>
    <n v="-67.55"/>
    <s v="CREDITOR"/>
    <n v="0"/>
    <n v="0"/>
    <n v="-67.55"/>
    <n v="0"/>
    <n v="0"/>
  </r>
  <r>
    <n v="61313803"/>
    <s v="N"/>
    <n v="21356465"/>
    <s v="3000015470000005RC"/>
    <s v="CIVIL"/>
    <d v="2023-06-29T00:00:00"/>
    <d v="2023-07-10T19:47:44"/>
    <m/>
    <d v="2023-07-10T00:00:00"/>
    <n v="924"/>
    <n v="2281"/>
    <s v="61313803"/>
    <s v="61313803"/>
    <m/>
    <m/>
    <m/>
    <m/>
    <m/>
    <m/>
    <s v="SOLRECOUP"/>
    <s v="SOLRECOUP"/>
    <s v="POARECOUP"/>
    <n v="21356465"/>
    <n v="-67.55"/>
    <m/>
    <s v="Y"/>
    <n v="2"/>
    <d v="2023-07-10T19:47:45"/>
    <s v="N"/>
    <m/>
    <m/>
    <s v="Non Expert Disbursement"/>
    <m/>
    <s v="N"/>
    <n v="0"/>
    <n v="0"/>
    <x v="2"/>
    <s v="VALIDATED"/>
    <n v="1"/>
    <s v="01.11.80.000.0000.0000"/>
    <n v="0"/>
    <s v="11"/>
    <s v="0000"/>
    <n v="43154.65"/>
    <n v="0"/>
    <s v="CREDITOR"/>
    <n v="0"/>
    <n v="0"/>
    <n v="0"/>
    <n v="0"/>
    <n v="0"/>
  </r>
  <r>
    <n v="61313803"/>
    <s v="N"/>
    <n v="21356466"/>
    <s v="3000015470000006RC"/>
    <s v="CIVIL"/>
    <d v="2023-06-29T00:00:00"/>
    <d v="2023-07-10T19:47:44"/>
    <m/>
    <d v="2023-07-10T00:00:00"/>
    <n v="924"/>
    <n v="2281"/>
    <s v="61313803"/>
    <s v="61313803"/>
    <m/>
    <m/>
    <m/>
    <m/>
    <m/>
    <m/>
    <s v="SOLRECOUP"/>
    <s v="SOLRECOUP"/>
    <s v="POARECOUP"/>
    <n v="21356466"/>
    <n v="-129.45"/>
    <m/>
    <s v="Y"/>
    <n v="1"/>
    <d v="2023-07-10T19:47:45"/>
    <s v="N"/>
    <m/>
    <m/>
    <s v="Expert Disbursement"/>
    <m/>
    <s v="N"/>
    <n v="-129.45"/>
    <n v="0"/>
    <x v="2"/>
    <s v="VALIDATED"/>
    <n v="1"/>
    <s v="01.11.80.307.2013.0000"/>
    <n v="-129.45"/>
    <s v="11"/>
    <s v="2013"/>
    <n v="43154.65"/>
    <n v="-129.45"/>
    <s v="CREDITOR"/>
    <n v="0"/>
    <n v="0"/>
    <n v="-129.45"/>
    <n v="0"/>
    <n v="0"/>
  </r>
  <r>
    <n v="61313803"/>
    <s v="N"/>
    <n v="21356466"/>
    <s v="3000015470000006RC"/>
    <s v="CIVIL"/>
    <d v="2023-06-29T00:00:00"/>
    <d v="2023-07-10T19:47:44"/>
    <m/>
    <d v="2023-07-10T00:00:00"/>
    <n v="924"/>
    <n v="2281"/>
    <s v="61313803"/>
    <s v="61313803"/>
    <m/>
    <m/>
    <m/>
    <m/>
    <m/>
    <m/>
    <s v="SOLRECOUP"/>
    <s v="SOLRECOUP"/>
    <s v="POARECOUP"/>
    <n v="21356466"/>
    <n v="-129.45"/>
    <m/>
    <s v="Y"/>
    <n v="2"/>
    <d v="2023-07-10T19:47:45"/>
    <s v="N"/>
    <m/>
    <m/>
    <s v="Expert Disbursement"/>
    <m/>
    <s v="N"/>
    <n v="0"/>
    <n v="0"/>
    <x v="2"/>
    <s v="VALIDATED"/>
    <n v="1"/>
    <s v="01.11.80.000.0000.0000"/>
    <n v="0"/>
    <s v="11"/>
    <s v="0000"/>
    <n v="43154.65"/>
    <n v="0"/>
    <s v="CREDITOR"/>
    <n v="0"/>
    <n v="0"/>
    <n v="0"/>
    <n v="0"/>
    <n v="0"/>
  </r>
  <r>
    <n v="61313803"/>
    <s v="N"/>
    <n v="21356467"/>
    <s v="3000015470000002RC"/>
    <s v="CIVIL"/>
    <d v="2023-06-29T00:00:00"/>
    <d v="2023-07-10T19:47:44"/>
    <m/>
    <d v="2023-07-10T00:00:00"/>
    <n v="924"/>
    <n v="2281"/>
    <s v="61313803"/>
    <s v="61313803"/>
    <m/>
    <m/>
    <m/>
    <m/>
    <m/>
    <m/>
    <s v="SOLRECOUP"/>
    <s v="SOLRECOUP"/>
    <s v="POARECOUP"/>
    <n v="21356467"/>
    <n v="-68.09999999999999"/>
    <m/>
    <s v="Y"/>
    <n v="1"/>
    <d v="2023-07-10T19:47:45"/>
    <s v="N"/>
    <m/>
    <m/>
    <s v="Expert Disbursement"/>
    <m/>
    <s v="N"/>
    <n v="-68.09999999999999"/>
    <n v="0"/>
    <x v="2"/>
    <s v="VALIDATED"/>
    <n v="1"/>
    <s v="01.11.80.307.2013.0000"/>
    <n v="-68.09999999999999"/>
    <s v="11"/>
    <s v="2013"/>
    <n v="43154.65"/>
    <n v="-68.09999999999999"/>
    <s v="CREDITOR"/>
    <n v="0"/>
    <n v="0"/>
    <n v="-68.09999999999999"/>
    <n v="0"/>
    <n v="0"/>
  </r>
  <r>
    <n v="61313803"/>
    <s v="N"/>
    <n v="21356467"/>
    <s v="3000015470000002RC"/>
    <s v="CIVIL"/>
    <d v="2023-06-29T00:00:00"/>
    <d v="2023-07-10T19:47:44"/>
    <m/>
    <d v="2023-07-10T00:00:00"/>
    <n v="924"/>
    <n v="2281"/>
    <s v="61313803"/>
    <s v="61313803"/>
    <m/>
    <m/>
    <m/>
    <m/>
    <m/>
    <m/>
    <s v="SOLRECOUP"/>
    <s v="SOLRECOUP"/>
    <s v="POARECOUP"/>
    <n v="21356467"/>
    <n v="-68.09999999999999"/>
    <m/>
    <s v="Y"/>
    <n v="2"/>
    <d v="2023-07-10T19:47:45"/>
    <s v="N"/>
    <m/>
    <m/>
    <s v="Expert Disbursement"/>
    <m/>
    <s v="N"/>
    <n v="0"/>
    <n v="0"/>
    <x v="2"/>
    <s v="VALIDATED"/>
    <n v="1"/>
    <s v="01.11.80.000.0000.0000"/>
    <n v="0"/>
    <s v="11"/>
    <s v="0000"/>
    <n v="43154.65"/>
    <n v="0"/>
    <s v="CREDITOR"/>
    <n v="0"/>
    <n v="0"/>
    <n v="0"/>
    <n v="0"/>
    <n v="0"/>
  </r>
  <r>
    <n v="62040026"/>
    <s v="N"/>
    <n v="21356468"/>
    <s v="3000016076260001RC"/>
    <s v="CIVIL"/>
    <d v="2023-06-30T00:00:00"/>
    <d v="2023-07-10T19:47:44"/>
    <m/>
    <d v="2023-07-10T00:00:00"/>
    <n v="924"/>
    <n v="2281"/>
    <s v="62040026"/>
    <s v="62040026"/>
    <m/>
    <m/>
    <m/>
    <m/>
    <m/>
    <m/>
    <s v="SOLRECOUP"/>
    <s v="SOLRECOUP"/>
    <s v="POARECOUP"/>
    <n v="21356468"/>
    <n v="-223.18"/>
    <m/>
    <s v="Y"/>
    <n v="1"/>
    <d v="2023-07-10T19:47:45"/>
    <s v="N"/>
    <m/>
    <m/>
    <s v="Expert Disbursement"/>
    <m/>
    <s v="N"/>
    <n v="-223.18"/>
    <n v="0"/>
    <x v="2"/>
    <s v="VALIDATED"/>
    <n v="1"/>
    <s v="01.11.80.302.2013.0000"/>
    <n v="-223.18"/>
    <s v="11"/>
    <s v="2013"/>
    <n v="43154.65"/>
    <n v="-223.18"/>
    <s v="CREDITOR"/>
    <n v="0"/>
    <n v="0"/>
    <n v="-223.18"/>
    <n v="0"/>
    <n v="0"/>
  </r>
  <r>
    <n v="62040026"/>
    <s v="N"/>
    <n v="21356468"/>
    <s v="3000016076260001RC"/>
    <s v="CIVIL"/>
    <d v="2023-06-30T00:00:00"/>
    <d v="2023-07-10T19:47:44"/>
    <m/>
    <d v="2023-07-10T00:00:00"/>
    <n v="924"/>
    <n v="2281"/>
    <s v="62040026"/>
    <s v="62040026"/>
    <m/>
    <m/>
    <m/>
    <m/>
    <m/>
    <m/>
    <s v="SOLRECOUP"/>
    <s v="SOLRECOUP"/>
    <s v="POARECOUP"/>
    <n v="21356468"/>
    <n v="-223.18"/>
    <m/>
    <s v="Y"/>
    <n v="2"/>
    <d v="2023-07-10T19:47:45"/>
    <s v="N"/>
    <m/>
    <m/>
    <s v="Expert Disbursement"/>
    <m/>
    <s v="N"/>
    <n v="0"/>
    <n v="0"/>
    <x v="2"/>
    <s v="VALIDATED"/>
    <n v="1"/>
    <s v="01.11.80.000.0000.0000"/>
    <n v="0"/>
    <s v="11"/>
    <s v="0000"/>
    <n v="43154.65"/>
    <n v="0"/>
    <s v="CREDITOR"/>
    <n v="0"/>
    <n v="0"/>
    <n v="0"/>
    <n v="0"/>
    <n v="0"/>
  </r>
  <r>
    <n v="8647673"/>
    <s v="N"/>
    <n v="21356445"/>
    <s v="3000004688890001RC"/>
    <s v="CIVIL"/>
    <d v="2023-06-27T00:00:00"/>
    <d v="2023-07-10T19:47:44"/>
    <m/>
    <d v="2023-07-10T00:00:00"/>
    <n v="924"/>
    <n v="2281"/>
    <s v="8647673"/>
    <s v="8647673"/>
    <m/>
    <m/>
    <m/>
    <m/>
    <m/>
    <m/>
    <s v="SOLRECOUP"/>
    <s v="SOLRECOUP"/>
    <s v="POARECOUP"/>
    <n v="21356445"/>
    <n v="-215"/>
    <m/>
    <s v="Y"/>
    <n v="1"/>
    <d v="2023-07-10T19:47:45"/>
    <s v="N"/>
    <m/>
    <m/>
    <s v="Non Expert Disbursement"/>
    <m/>
    <s v="N"/>
    <n v="-215"/>
    <n v="0"/>
    <x v="2"/>
    <s v="VALIDATED"/>
    <n v="1"/>
    <s v="01.11.80.307.2013.0000"/>
    <n v="-215"/>
    <s v="11"/>
    <s v="2013"/>
    <n v="43154.65"/>
    <n v="-215"/>
    <s v="CREDITOR"/>
    <n v="0"/>
    <n v="0"/>
    <n v="-215"/>
    <n v="0"/>
    <n v="0"/>
  </r>
  <r>
    <n v="8647673"/>
    <s v="N"/>
    <n v="21356445"/>
    <s v="3000004688890001RC"/>
    <s v="CIVIL"/>
    <d v="2023-06-27T00:00:00"/>
    <d v="2023-07-10T19:47:44"/>
    <m/>
    <d v="2023-07-10T00:00:00"/>
    <n v="924"/>
    <n v="2281"/>
    <s v="8647673"/>
    <s v="8647673"/>
    <m/>
    <m/>
    <m/>
    <m/>
    <m/>
    <m/>
    <s v="SOLRECOUP"/>
    <s v="SOLRECOUP"/>
    <s v="POARECOUP"/>
    <n v="21356445"/>
    <n v="-215"/>
    <m/>
    <s v="Y"/>
    <n v="2"/>
    <d v="2023-07-10T19:47:45"/>
    <s v="N"/>
    <m/>
    <m/>
    <s v="Non Expert Disbursement"/>
    <m/>
    <s v="N"/>
    <n v="0"/>
    <n v="0"/>
    <x v="2"/>
    <s v="VALIDATED"/>
    <n v="1"/>
    <s v="01.11.80.000.0000.0000"/>
    <n v="0"/>
    <s v="11"/>
    <s v="0000"/>
    <n v="43154.65"/>
    <n v="0"/>
    <s v="CREDITOR"/>
    <n v="0"/>
    <n v="0"/>
    <n v="0"/>
    <n v="0"/>
    <n v="0"/>
  </r>
  <r>
    <n v="8647673"/>
    <s v="N"/>
    <n v="21356446"/>
    <s v="3000004688890003RC"/>
    <s v="CIVIL"/>
    <d v="2023-06-27T00:00:00"/>
    <d v="2023-07-10T19:47:44"/>
    <m/>
    <d v="2023-07-10T00:00:00"/>
    <n v="924"/>
    <n v="2281"/>
    <s v="8647673"/>
    <s v="8647673"/>
    <m/>
    <m/>
    <m/>
    <m/>
    <m/>
    <m/>
    <s v="SOLRECOUP"/>
    <s v="SOLRECOUP"/>
    <s v="POARECOUP"/>
    <n v="21356446"/>
    <n v="-59.75"/>
    <m/>
    <s v="Y"/>
    <n v="1"/>
    <d v="2023-07-10T19:47:45"/>
    <s v="N"/>
    <m/>
    <m/>
    <s v="Expert Disbursement"/>
    <m/>
    <s v="N"/>
    <n v="-59.75"/>
    <n v="0"/>
    <x v="2"/>
    <s v="VALIDATED"/>
    <n v="1"/>
    <s v="01.11.80.307.2013.0000"/>
    <n v="-59.75"/>
    <s v="11"/>
    <s v="2013"/>
    <n v="43154.65"/>
    <n v="-59.75"/>
    <s v="CREDITOR"/>
    <n v="0"/>
    <n v="0"/>
    <n v="-59.75"/>
    <n v="0"/>
    <n v="0"/>
  </r>
  <r>
    <n v="8647673"/>
    <s v="N"/>
    <n v="21356446"/>
    <s v="3000004688890003RC"/>
    <s v="CIVIL"/>
    <d v="2023-06-27T00:00:00"/>
    <d v="2023-07-10T19:47:44"/>
    <m/>
    <d v="2023-07-10T00:00:00"/>
    <n v="924"/>
    <n v="2281"/>
    <s v="8647673"/>
    <s v="8647673"/>
    <m/>
    <m/>
    <m/>
    <m/>
    <m/>
    <m/>
    <s v="SOLRECOUP"/>
    <s v="SOLRECOUP"/>
    <s v="POARECOUP"/>
    <n v="21356446"/>
    <n v="-59.75"/>
    <m/>
    <s v="Y"/>
    <n v="2"/>
    <d v="2023-07-10T19:47:45"/>
    <s v="N"/>
    <m/>
    <m/>
    <s v="Expert Disbursement"/>
    <m/>
    <s v="N"/>
    <n v="0"/>
    <n v="0"/>
    <x v="2"/>
    <s v="VALIDATED"/>
    <n v="1"/>
    <s v="01.11.80.000.0000.0000"/>
    <n v="0"/>
    <s v="11"/>
    <s v="0000"/>
    <n v="43154.65"/>
    <n v="0"/>
    <s v="CREDITOR"/>
    <n v="0"/>
    <n v="0"/>
    <n v="0"/>
    <n v="0"/>
    <n v="0"/>
  </r>
  <r>
    <n v="8647673"/>
    <s v="N"/>
    <n v="21356447"/>
    <s v="3000004688890005RC"/>
    <s v="CIVIL"/>
    <d v="2023-06-27T00:00:00"/>
    <d v="2023-07-10T19:47:44"/>
    <m/>
    <d v="2023-07-10T00:00:00"/>
    <n v="924"/>
    <n v="2281"/>
    <s v="8647673"/>
    <s v="8647673"/>
    <m/>
    <m/>
    <m/>
    <m/>
    <m/>
    <m/>
    <s v="SOLRECOUP"/>
    <s v="SOLRECOUP"/>
    <s v="POARECOUP"/>
    <n v="21356447"/>
    <n v="-1440"/>
    <m/>
    <s v="Y"/>
    <n v="1"/>
    <d v="2023-07-10T19:47:45"/>
    <s v="N"/>
    <m/>
    <m/>
    <s v="Profit Cost"/>
    <m/>
    <s v="N"/>
    <n v="-1200"/>
    <n v="0"/>
    <x v="2"/>
    <s v="VALIDATED"/>
    <n v="1"/>
    <s v="01.11.80.307.2013.0000"/>
    <n v="-1200"/>
    <s v="11"/>
    <s v="2013"/>
    <n v="43154.65"/>
    <n v="-1200"/>
    <s v="CREDITOR"/>
    <n v="0"/>
    <n v="0"/>
    <n v="-1200"/>
    <n v="-300"/>
    <n v="0"/>
  </r>
  <r>
    <n v="8647673"/>
    <s v="N"/>
    <n v="21356447"/>
    <s v="3000004688890005RC"/>
    <s v="CIVIL"/>
    <d v="2023-06-27T00:00:00"/>
    <d v="2023-07-10T19:47:44"/>
    <m/>
    <d v="2023-07-10T00:00:00"/>
    <n v="924"/>
    <n v="2281"/>
    <s v="8647673"/>
    <s v="8647673"/>
    <m/>
    <m/>
    <m/>
    <m/>
    <m/>
    <m/>
    <s v="SOLRECOUP"/>
    <s v="SOLRECOUP"/>
    <s v="POARECOUP"/>
    <n v="21356447"/>
    <n v="-1440"/>
    <m/>
    <s v="Y"/>
    <n v="2"/>
    <d v="2023-07-10T19:47:45"/>
    <s v="N"/>
    <m/>
    <m/>
    <s v="Profit Cost"/>
    <m/>
    <s v="N"/>
    <n v="0"/>
    <n v="-240"/>
    <x v="2"/>
    <s v="VALIDATED"/>
    <n v="1"/>
    <s v="01.11.80.307.2013.0000"/>
    <n v="-240"/>
    <s v="11"/>
    <s v="2013"/>
    <n v="43154.65"/>
    <n v="-240"/>
    <s v="CREDITOR"/>
    <n v="0"/>
    <n v="0"/>
    <n v="-240"/>
    <n v="-60"/>
    <n v="0"/>
  </r>
  <r>
    <n v="8647673"/>
    <s v="N"/>
    <n v="21356448"/>
    <s v="3000004688890010RC"/>
    <s v="CIVIL"/>
    <d v="2023-06-27T00:00:00"/>
    <d v="2023-07-10T19:47:44"/>
    <m/>
    <d v="2023-07-10T00:00:00"/>
    <n v="924"/>
    <n v="2281"/>
    <s v="8647673"/>
    <s v="8647673"/>
    <m/>
    <m/>
    <m/>
    <m/>
    <m/>
    <m/>
    <s v="SOLRECOUP"/>
    <s v="SOLRECOUP"/>
    <s v="POARECOUP"/>
    <n v="21356448"/>
    <n v="-164.53"/>
    <m/>
    <s v="Y"/>
    <n v="1"/>
    <d v="2023-07-10T19:47:45"/>
    <s v="N"/>
    <m/>
    <m/>
    <s v="Expert Disbursement"/>
    <m/>
    <s v="N"/>
    <n v="-164.53"/>
    <n v="0"/>
    <x v="2"/>
    <s v="VALIDATED"/>
    <n v="1"/>
    <s v="01.11.80.307.2013.0000"/>
    <n v="-164.53"/>
    <s v="11"/>
    <s v="2013"/>
    <n v="43154.65"/>
    <n v="-164.53"/>
    <s v="CREDITOR"/>
    <n v="0"/>
    <n v="0"/>
    <n v="-164.53"/>
    <n v="0"/>
    <n v="0"/>
  </r>
  <r>
    <n v="8647673"/>
    <s v="N"/>
    <n v="21356448"/>
    <s v="3000004688890010RC"/>
    <s v="CIVIL"/>
    <d v="2023-06-27T00:00:00"/>
    <d v="2023-07-10T19:47:44"/>
    <m/>
    <d v="2023-07-10T00:00:00"/>
    <n v="924"/>
    <n v="2281"/>
    <s v="8647673"/>
    <s v="8647673"/>
    <m/>
    <m/>
    <m/>
    <m/>
    <m/>
    <m/>
    <s v="SOLRECOUP"/>
    <s v="SOLRECOUP"/>
    <s v="POARECOUP"/>
    <n v="21356448"/>
    <n v="-164.53"/>
    <m/>
    <s v="Y"/>
    <n v="2"/>
    <d v="2023-07-10T19:47:45"/>
    <s v="N"/>
    <m/>
    <m/>
    <s v="Expert Disbursement"/>
    <m/>
    <s v="N"/>
    <n v="0"/>
    <n v="0"/>
    <x v="2"/>
    <s v="VALIDATED"/>
    <n v="1"/>
    <s v="01.11.80.000.0000.0000"/>
    <n v="0"/>
    <s v="11"/>
    <s v="0000"/>
    <n v="43154.65"/>
    <n v="0"/>
    <s v="CREDITOR"/>
    <n v="0"/>
    <n v="0"/>
    <n v="0"/>
    <n v="0"/>
    <n v="0"/>
  </r>
  <r>
    <n v="8647673"/>
    <s v="N"/>
    <n v="21356449"/>
    <s v="3000004688890007RC"/>
    <s v="CIVIL"/>
    <d v="2023-06-27T00:00:00"/>
    <d v="2023-07-10T19:47:44"/>
    <m/>
    <d v="2023-07-10T00:00:00"/>
    <n v="924"/>
    <n v="2281"/>
    <s v="8647673"/>
    <s v="8647673"/>
    <m/>
    <m/>
    <m/>
    <m/>
    <m/>
    <m/>
    <s v="SOLRECOUP"/>
    <s v="SOLRECOUP"/>
    <s v="POARECOUP"/>
    <n v="21356449"/>
    <n v="-76.05"/>
    <m/>
    <s v="Y"/>
    <n v="1"/>
    <d v="2023-07-10T19:47:45"/>
    <s v="N"/>
    <m/>
    <m/>
    <s v="Non Expert Disbursement"/>
    <m/>
    <s v="N"/>
    <n v="-76.05"/>
    <n v="0"/>
    <x v="2"/>
    <s v="VALIDATED"/>
    <n v="1"/>
    <s v="01.11.80.307.2013.0000"/>
    <n v="-76.05"/>
    <s v="11"/>
    <s v="2013"/>
    <n v="43154.65"/>
    <n v="-76.05"/>
    <s v="CREDITOR"/>
    <n v="0"/>
    <n v="0"/>
    <n v="-76.05"/>
    <n v="0"/>
    <n v="0"/>
  </r>
  <r>
    <n v="8647673"/>
    <s v="N"/>
    <n v="21356449"/>
    <s v="3000004688890007RC"/>
    <s v="CIVIL"/>
    <d v="2023-06-27T00:00:00"/>
    <d v="2023-07-10T19:47:44"/>
    <m/>
    <d v="2023-07-10T00:00:00"/>
    <n v="924"/>
    <n v="2281"/>
    <s v="8647673"/>
    <s v="8647673"/>
    <m/>
    <m/>
    <m/>
    <m/>
    <m/>
    <m/>
    <s v="SOLRECOUP"/>
    <s v="SOLRECOUP"/>
    <s v="POARECOUP"/>
    <n v="21356449"/>
    <n v="-76.05"/>
    <m/>
    <s v="Y"/>
    <n v="2"/>
    <d v="2023-07-10T19:47:45"/>
    <s v="N"/>
    <m/>
    <m/>
    <s v="Non Expert Disbursement"/>
    <m/>
    <s v="N"/>
    <n v="0"/>
    <n v="0"/>
    <x v="2"/>
    <s v="VALIDATED"/>
    <n v="1"/>
    <s v="01.11.80.000.0000.0000"/>
    <n v="0"/>
    <s v="11"/>
    <s v="0000"/>
    <n v="43154.65"/>
    <n v="0"/>
    <s v="CREDITOR"/>
    <n v="0"/>
    <n v="0"/>
    <n v="0"/>
    <n v="0"/>
    <n v="0"/>
  </r>
  <r>
    <n v="8647673"/>
    <s v="N"/>
    <n v="21356450"/>
    <s v="3000004688890012RC"/>
    <s v="CIVIL"/>
    <d v="2023-06-27T00:00:00"/>
    <d v="2023-07-10T19:47:44"/>
    <m/>
    <d v="2023-07-10T00:00:00"/>
    <n v="924"/>
    <n v="2281"/>
    <s v="8647673"/>
    <s v="8647673"/>
    <m/>
    <m/>
    <m/>
    <m/>
    <m/>
    <m/>
    <s v="SOLRECOUP"/>
    <s v="SOLRECOUP"/>
    <s v="POARECOUP"/>
    <n v="21356450"/>
    <n v="-155"/>
    <m/>
    <s v="Y"/>
    <n v="1"/>
    <d v="2023-07-10T19:47:45"/>
    <s v="N"/>
    <m/>
    <m/>
    <s v="Non Expert Disbursement"/>
    <m/>
    <s v="N"/>
    <n v="-155"/>
    <n v="0"/>
    <x v="2"/>
    <s v="VALIDATED"/>
    <n v="1"/>
    <s v="01.11.80.307.2013.0000"/>
    <n v="-155"/>
    <s v="11"/>
    <s v="2013"/>
    <n v="43154.65"/>
    <n v="-155"/>
    <s v="CREDITOR"/>
    <n v="0"/>
    <n v="0"/>
    <n v="-155"/>
    <n v="0"/>
    <n v="0"/>
  </r>
  <r>
    <n v="8647673"/>
    <s v="N"/>
    <n v="21356450"/>
    <s v="3000004688890012RC"/>
    <s v="CIVIL"/>
    <d v="2023-06-27T00:00:00"/>
    <d v="2023-07-10T19:47:44"/>
    <m/>
    <d v="2023-07-10T00:00:00"/>
    <n v="924"/>
    <n v="2281"/>
    <s v="8647673"/>
    <s v="8647673"/>
    <m/>
    <m/>
    <m/>
    <m/>
    <m/>
    <m/>
    <s v="SOLRECOUP"/>
    <s v="SOLRECOUP"/>
    <s v="POARECOUP"/>
    <n v="21356450"/>
    <n v="-155"/>
    <m/>
    <s v="Y"/>
    <n v="2"/>
    <d v="2023-07-10T19:47:45"/>
    <s v="N"/>
    <m/>
    <m/>
    <s v="Non Expert Disbursement"/>
    <m/>
    <s v="N"/>
    <n v="0"/>
    <n v="0"/>
    <x v="2"/>
    <s v="VALIDATED"/>
    <n v="1"/>
    <s v="01.11.80.000.0000.0000"/>
    <n v="0"/>
    <s v="11"/>
    <s v="0000"/>
    <n v="43154.65"/>
    <n v="0"/>
    <s v="CREDITOR"/>
    <n v="0"/>
    <n v="0"/>
    <n v="0"/>
    <n v="0"/>
    <n v="0"/>
  </r>
  <r>
    <n v="8647673"/>
    <s v="N"/>
    <n v="21356451"/>
    <s v="3000004688890014RC"/>
    <s v="CIVIL"/>
    <d v="2023-06-27T00:00:00"/>
    <d v="2023-07-10T19:47:44"/>
    <m/>
    <d v="2023-07-10T00:00:00"/>
    <n v="924"/>
    <n v="2281"/>
    <s v="8647673"/>
    <s v="8647673"/>
    <m/>
    <m/>
    <m/>
    <m/>
    <m/>
    <m/>
    <s v="SOLRECOUP"/>
    <s v="SOLRECOUP"/>
    <s v="POARECOUP"/>
    <n v="21356451"/>
    <n v="-84.53"/>
    <m/>
    <s v="Y"/>
    <n v="1"/>
    <d v="2023-07-10T19:47:45"/>
    <s v="N"/>
    <m/>
    <m/>
    <s v="Expert Disbursement"/>
    <m/>
    <s v="N"/>
    <n v="-84.53"/>
    <n v="0"/>
    <x v="2"/>
    <s v="VALIDATED"/>
    <n v="1"/>
    <s v="01.11.80.307.2013.0000"/>
    <n v="-84.53"/>
    <s v="11"/>
    <s v="2013"/>
    <n v="43154.65"/>
    <n v="-84.53"/>
    <s v="CREDITOR"/>
    <n v="0"/>
    <n v="0"/>
    <n v="-84.53"/>
    <n v="0"/>
    <n v="0"/>
  </r>
  <r>
    <n v="8647673"/>
    <s v="N"/>
    <n v="21356451"/>
    <s v="3000004688890014RC"/>
    <s v="CIVIL"/>
    <d v="2023-06-27T00:00:00"/>
    <d v="2023-07-10T19:47:44"/>
    <m/>
    <d v="2023-07-10T00:00:00"/>
    <n v="924"/>
    <n v="2281"/>
    <s v="8647673"/>
    <s v="8647673"/>
    <m/>
    <m/>
    <m/>
    <m/>
    <m/>
    <m/>
    <s v="SOLRECOUP"/>
    <s v="SOLRECOUP"/>
    <s v="POARECOUP"/>
    <n v="21356451"/>
    <n v="-84.53"/>
    <m/>
    <s v="Y"/>
    <n v="2"/>
    <d v="2023-07-10T19:47:45"/>
    <s v="N"/>
    <m/>
    <m/>
    <s v="Expert Disbursement"/>
    <m/>
    <s v="N"/>
    <n v="0"/>
    <n v="0"/>
    <x v="2"/>
    <s v="VALIDATED"/>
    <n v="1"/>
    <s v="01.11.80.000.0000.0000"/>
    <n v="0"/>
    <s v="11"/>
    <s v="0000"/>
    <n v="43154.65"/>
    <n v="0"/>
    <s v="CREDITOR"/>
    <n v="0"/>
    <n v="0"/>
    <n v="0"/>
    <n v="0"/>
    <n v="0"/>
  </r>
  <r>
    <n v="8647673"/>
    <s v="N"/>
    <n v="21356452"/>
    <s v="3000004688890016RC"/>
    <s v="CIVIL"/>
    <d v="2023-06-27T00:00:00"/>
    <d v="2023-07-10T19:47:44"/>
    <m/>
    <d v="2023-07-10T00:00:00"/>
    <n v="924"/>
    <n v="2281"/>
    <s v="8647673"/>
    <s v="8647673"/>
    <m/>
    <m/>
    <m/>
    <m/>
    <m/>
    <m/>
    <s v="SOLRECOUP"/>
    <s v="SOLRECOUP"/>
    <s v="POARECOUP"/>
    <n v="21356452"/>
    <n v="-215"/>
    <m/>
    <s v="Y"/>
    <n v="1"/>
    <d v="2023-07-10T19:47:45"/>
    <s v="N"/>
    <m/>
    <m/>
    <s v="Non Expert Disbursement"/>
    <m/>
    <s v="N"/>
    <n v="-215"/>
    <n v="0"/>
    <x v="2"/>
    <s v="VALIDATED"/>
    <n v="1"/>
    <s v="01.11.80.307.2013.0000"/>
    <n v="-215"/>
    <s v="11"/>
    <s v="2013"/>
    <n v="43154.65"/>
    <n v="-215"/>
    <s v="CREDITOR"/>
    <n v="0"/>
    <n v="0"/>
    <n v="-215"/>
    <n v="0"/>
    <n v="0"/>
  </r>
  <r>
    <n v="8647673"/>
    <s v="N"/>
    <n v="21356452"/>
    <s v="3000004688890016RC"/>
    <s v="CIVIL"/>
    <d v="2023-06-27T00:00:00"/>
    <d v="2023-07-10T19:47:44"/>
    <m/>
    <d v="2023-07-10T00:00:00"/>
    <n v="924"/>
    <n v="2281"/>
    <s v="8647673"/>
    <s v="8647673"/>
    <m/>
    <m/>
    <m/>
    <m/>
    <m/>
    <m/>
    <s v="SOLRECOUP"/>
    <s v="SOLRECOUP"/>
    <s v="POARECOUP"/>
    <n v="21356452"/>
    <n v="-215"/>
    <m/>
    <s v="Y"/>
    <n v="2"/>
    <d v="2023-07-10T19:47:45"/>
    <s v="N"/>
    <m/>
    <m/>
    <s v="Non Expert Disbursement"/>
    <m/>
    <s v="N"/>
    <n v="0"/>
    <n v="0"/>
    <x v="2"/>
    <s v="VALIDATED"/>
    <n v="1"/>
    <s v="01.11.80.000.0000.0000"/>
    <n v="0"/>
    <s v="11"/>
    <s v="0000"/>
    <n v="43154.65"/>
    <n v="0"/>
    <s v="CREDITOR"/>
    <n v="0"/>
    <n v="0"/>
    <n v="0"/>
    <n v="0"/>
    <n v="0"/>
  </r>
  <r>
    <n v="8647673"/>
    <s v="N"/>
    <n v="21356453"/>
    <s v="3000004688890015RC"/>
    <s v="CIVIL"/>
    <d v="2023-06-27T00:00:00"/>
    <d v="2023-07-10T19:47:44"/>
    <m/>
    <d v="2023-07-10T00:00:00"/>
    <n v="924"/>
    <n v="2281"/>
    <s v="8647673"/>
    <s v="8647673"/>
    <m/>
    <m/>
    <m/>
    <m/>
    <m/>
    <m/>
    <s v="SOLRECOUP"/>
    <s v="SOLRECOUP"/>
    <s v="POARECOUP"/>
    <n v="21356453"/>
    <n v="-215"/>
    <m/>
    <s v="Y"/>
    <n v="1"/>
    <d v="2023-07-10T19:47:45"/>
    <s v="N"/>
    <m/>
    <m/>
    <s v="Non Expert Disbursement"/>
    <m/>
    <s v="N"/>
    <n v="-215"/>
    <n v="0"/>
    <x v="2"/>
    <s v="VALIDATED"/>
    <n v="1"/>
    <s v="01.11.80.307.2013.0000"/>
    <n v="-215"/>
    <s v="11"/>
    <s v="2013"/>
    <n v="43154.65"/>
    <n v="-215"/>
    <s v="CREDITOR"/>
    <n v="0"/>
    <n v="0"/>
    <n v="-215"/>
    <n v="0"/>
    <n v="0"/>
  </r>
  <r>
    <n v="8647673"/>
    <s v="N"/>
    <n v="21356453"/>
    <s v="3000004688890015RC"/>
    <s v="CIVIL"/>
    <d v="2023-06-27T00:00:00"/>
    <d v="2023-07-10T19:47:44"/>
    <m/>
    <d v="2023-07-10T00:00:00"/>
    <n v="924"/>
    <n v="2281"/>
    <s v="8647673"/>
    <s v="8647673"/>
    <m/>
    <m/>
    <m/>
    <m/>
    <m/>
    <m/>
    <s v="SOLRECOUP"/>
    <s v="SOLRECOUP"/>
    <s v="POARECOUP"/>
    <n v="21356453"/>
    <n v="-215"/>
    <m/>
    <s v="Y"/>
    <n v="2"/>
    <d v="2023-07-10T19:47:45"/>
    <s v="N"/>
    <m/>
    <m/>
    <s v="Non Expert Disbursement"/>
    <m/>
    <s v="N"/>
    <n v="0"/>
    <n v="0"/>
    <x v="2"/>
    <s v="VALIDATED"/>
    <n v="1"/>
    <s v="01.11.80.000.0000.0000"/>
    <n v="0"/>
    <s v="11"/>
    <s v="0000"/>
    <n v="43154.65"/>
    <n v="0"/>
    <s v="CREDITOR"/>
    <n v="0"/>
    <n v="0"/>
    <n v="0"/>
    <n v="0"/>
    <n v="0"/>
  </r>
  <r>
    <n v="14064052"/>
    <s v="N"/>
    <n v="21356454"/>
    <s v="3000007298400001RC"/>
    <s v="CIVIL"/>
    <d v="2023-06-29T00:00:00"/>
    <d v="2023-07-10T19:47:44"/>
    <m/>
    <d v="2023-07-10T00:00:00"/>
    <n v="924"/>
    <n v="2281"/>
    <s v="14064052"/>
    <s v="14064052"/>
    <m/>
    <m/>
    <m/>
    <m/>
    <m/>
    <m/>
    <s v="SOLRECOUP"/>
    <s v="SOLRECOUP"/>
    <s v="POARECOUP"/>
    <n v="21356454"/>
    <n v="-128.55"/>
    <m/>
    <s v="Y"/>
    <n v="1"/>
    <d v="2023-07-10T19:47:45"/>
    <s v="N"/>
    <m/>
    <m/>
    <s v="Expert Disbursement"/>
    <m/>
    <s v="N"/>
    <n v="-128.55"/>
    <n v="0"/>
    <x v="2"/>
    <s v="VALIDATED"/>
    <n v="1"/>
    <s v="01.11.80.302.2013.0000"/>
    <n v="-128.55"/>
    <s v="11"/>
    <s v="2013"/>
    <n v="43154.65"/>
    <n v="-128.55"/>
    <s v="CREDITOR"/>
    <n v="0"/>
    <n v="0"/>
    <n v="-128.55"/>
    <n v="0"/>
    <n v="0"/>
  </r>
  <r>
    <n v="60921415"/>
    <s v="N"/>
    <n v="21331219"/>
    <s v="3000015140790003"/>
    <s v="CIVIL"/>
    <d v="2023-06-27T00:00:00"/>
    <d v="2023-07-05T19:01:47"/>
    <m/>
    <d v="2023-07-05T00:00:00"/>
    <n v="927"/>
    <n v="14369"/>
    <s v="60921415"/>
    <s v="60921415"/>
    <m/>
    <m/>
    <n v="22773566"/>
    <m/>
    <m/>
    <m/>
    <s v="SOLFIN"/>
    <s v="SOLFIN"/>
    <s v="CCMS"/>
    <n v="21331219"/>
    <n v="7099.85"/>
    <m/>
    <s v="N"/>
    <n v="7"/>
    <d v="2023-07-05T19:02:10"/>
    <s v="Y"/>
    <s v="Solicitors Fixed Fee"/>
    <s v="Public Law Children"/>
    <s v="Profit Cost"/>
    <s v="Glennie McKinley"/>
    <s v="Y"/>
    <n v="2616"/>
    <n v="523.2"/>
    <x v="6"/>
    <s v="VALIDATED"/>
    <n v="1"/>
    <s v="01.11.80.308.6100.0000"/>
    <n v="2616"/>
    <s v="11"/>
    <s v="6100"/>
    <n v="5254.74"/>
    <n v="2616"/>
    <s v="CREDITOR"/>
    <n v="0"/>
    <n v="0"/>
    <n v="0"/>
    <n v="0"/>
    <n v="2616"/>
  </r>
  <r>
    <n v="60921415"/>
    <s v="N"/>
    <n v="21331219"/>
    <s v="3000015140790003"/>
    <s v="CIVIL"/>
    <d v="2023-06-27T00:00:00"/>
    <d v="2023-07-05T19:01:47"/>
    <m/>
    <d v="2023-07-05T00:00:00"/>
    <n v="927"/>
    <n v="14369"/>
    <s v="60921415"/>
    <s v="60921415"/>
    <m/>
    <m/>
    <n v="22773566"/>
    <m/>
    <m/>
    <m/>
    <s v="SOLFIN"/>
    <s v="SOLFIN"/>
    <s v="CCMS"/>
    <n v="21331219"/>
    <n v="7099.85"/>
    <m/>
    <s v="N"/>
    <n v="6"/>
    <d v="2023-07-05T19:02:10"/>
    <s v="Y"/>
    <s v="Advocates Meeting"/>
    <s v="Public Law Children"/>
    <s v="Advocacy"/>
    <s v="Glennie McKinley"/>
    <s v="Y"/>
    <n v="140.99"/>
    <n v="28.2"/>
    <x v="6"/>
    <s v="VALIDATED"/>
    <n v="1"/>
    <s v="01.11.80.308.6100.0000"/>
    <n v="140.99"/>
    <s v="11"/>
    <s v="6100"/>
    <n v="5254.74"/>
    <n v="140.99"/>
    <s v="CREDITOR"/>
    <n v="0"/>
    <n v="0"/>
    <n v="0"/>
    <n v="0"/>
    <n v="140.99"/>
  </r>
  <r>
    <n v="60921415"/>
    <s v="N"/>
    <n v="21331219"/>
    <s v="3000015140790003"/>
    <s v="CIVIL"/>
    <d v="2023-06-27T00:00:00"/>
    <d v="2023-07-05T19:01:47"/>
    <m/>
    <d v="2023-07-05T00:00:00"/>
    <n v="927"/>
    <n v="14369"/>
    <s v="60921415"/>
    <s v="60921415"/>
    <m/>
    <m/>
    <n v="22773566"/>
    <m/>
    <m/>
    <m/>
    <s v="SOLFIN"/>
    <s v="SOLFIN"/>
    <s v="CCMS"/>
    <n v="21331219"/>
    <n v="7099.85"/>
    <m/>
    <s v="N"/>
    <n v="1"/>
    <d v="2023-07-05T19:02:10"/>
    <s v="Y"/>
    <s v="Final Hearing Court Bundle/Advocate"/>
    <s v="Public Law Children"/>
    <s v="Advocacy"/>
    <s v="Glennie McKinley"/>
    <s v="Y"/>
    <n v="318.6"/>
    <n v="63.72"/>
    <x v="6"/>
    <s v="VALIDATED"/>
    <n v="1"/>
    <s v="01.11.80.308.6100.0000"/>
    <n v="318.6"/>
    <s v="11"/>
    <s v="6100"/>
    <n v="5254.74"/>
    <n v="318.6"/>
    <s v="CREDITOR"/>
    <n v="0"/>
    <n v="0"/>
    <n v="0"/>
    <n v="0"/>
    <n v="318.6"/>
  </r>
  <r>
    <n v="60921415"/>
    <s v="N"/>
    <n v="21331219"/>
    <s v="3000015140790003"/>
    <s v="CIVIL"/>
    <d v="2023-06-27T00:00:00"/>
    <d v="2023-07-05T19:01:47"/>
    <m/>
    <d v="2023-07-05T00:00:00"/>
    <n v="927"/>
    <n v="14369"/>
    <s v="60921415"/>
    <s v="60921415"/>
    <m/>
    <m/>
    <n v="22773566"/>
    <m/>
    <m/>
    <m/>
    <s v="SOLFIN"/>
    <s v="SOLFIN"/>
    <s v="CCMS"/>
    <n v="21331219"/>
    <n v="7099.85"/>
    <m/>
    <s v="N"/>
    <n v="3"/>
    <d v="2023-07-05T19:02:10"/>
    <s v="Y"/>
    <s v="Final Hearing - 1 Day"/>
    <s v="Public Law Children"/>
    <s v="Advocacy"/>
    <s v="Glennie McKinley"/>
    <s v="Y"/>
    <n v="556.88"/>
    <n v="111.38"/>
    <x v="6"/>
    <s v="VALIDATED"/>
    <n v="1"/>
    <s v="01.11.80.308.6100.0000"/>
    <n v="556.88"/>
    <s v="11"/>
    <s v="6100"/>
    <n v="5254.74"/>
    <n v="556.88"/>
    <s v="CREDITOR"/>
    <n v="0"/>
    <n v="0"/>
    <n v="0"/>
    <n v="0"/>
    <n v="556.88"/>
  </r>
  <r>
    <n v="60921415"/>
    <s v="N"/>
    <n v="21331219"/>
    <s v="3000015140790003"/>
    <s v="CIVIL"/>
    <d v="2023-06-27T00:00:00"/>
    <d v="2023-07-05T19:01:47"/>
    <m/>
    <d v="2023-07-05T00:00:00"/>
    <n v="927"/>
    <n v="14369"/>
    <s v="60921415"/>
    <s v="60921415"/>
    <m/>
    <m/>
    <n v="22773566"/>
    <m/>
    <m/>
    <m/>
    <s v="SOLFIN"/>
    <s v="SOLFIN"/>
    <s v="CCMS"/>
    <n v="21331219"/>
    <n v="7099.85"/>
    <m/>
    <s v="N"/>
    <n v="2"/>
    <d v="2023-07-05T19:02:10"/>
    <s v="Y"/>
    <s v="Child psychologist"/>
    <s v="Public Law Children"/>
    <s v="Expert Disbursement"/>
    <s v="Glennie McKinley"/>
    <s v="Y"/>
    <n v="1568.69"/>
    <n v="313.74"/>
    <x v="6"/>
    <s v="VALIDATED"/>
    <n v="1"/>
    <s v="01.11.80.308.6300.0000"/>
    <n v="1568.69"/>
    <s v="11"/>
    <s v="6300"/>
    <n v="5254.74"/>
    <n v="1568.69"/>
    <s v="CREDITOR"/>
    <n v="0"/>
    <n v="0"/>
    <n v="0"/>
    <n v="0"/>
    <n v="1568.69"/>
  </r>
  <r>
    <n v="60921415"/>
    <s v="N"/>
    <n v="21331219"/>
    <s v="3000015140790003"/>
    <s v="CIVIL"/>
    <d v="2023-06-27T00:00:00"/>
    <d v="2023-07-05T19:01:47"/>
    <m/>
    <d v="2023-07-05T00:00:00"/>
    <n v="927"/>
    <n v="14369"/>
    <s v="60921415"/>
    <s v="60921415"/>
    <m/>
    <m/>
    <n v="22773566"/>
    <m/>
    <m/>
    <m/>
    <s v="SOLFIN"/>
    <s v="SOLFIN"/>
    <s v="CCMS"/>
    <n v="21331219"/>
    <n v="7099.85"/>
    <m/>
    <s v="N"/>
    <n v="5"/>
    <d v="2023-07-05T19:02:10"/>
    <s v="Y"/>
    <s v="Hearing Unit 1.01 - 2.30 Hours"/>
    <s v="Public Law Children"/>
    <s v="Advocacy"/>
    <s v="Glennie McKinley"/>
    <s v="Y"/>
    <n v="238.46"/>
    <n v="47.69"/>
    <x v="6"/>
    <s v="VALIDATED"/>
    <n v="1"/>
    <s v="01.11.80.308.6100.0000"/>
    <n v="238.46"/>
    <s v="11"/>
    <s v="6100"/>
    <n v="5254.74"/>
    <n v="238.46"/>
    <s v="CREDITOR"/>
    <n v="0"/>
    <n v="0"/>
    <n v="0"/>
    <n v="0"/>
    <n v="238.46"/>
  </r>
  <r>
    <n v="62050286"/>
    <s v="N"/>
    <n v="21322411"/>
    <s v="3000016084880002"/>
    <s v="CIVIL"/>
    <d v="2023-06-29T00:00:00"/>
    <d v="2023-07-03T19:05:36"/>
    <m/>
    <d v="2023-07-03T00:00:00"/>
    <n v="927"/>
    <n v="14369"/>
    <s v="62050286"/>
    <s v="62050286"/>
    <m/>
    <m/>
    <n v="22790132"/>
    <m/>
    <m/>
    <m/>
    <s v="SOLPOA"/>
    <s v="SOLPOA"/>
    <s v="CCMS"/>
    <n v="21322411"/>
    <n v="365.04"/>
    <m/>
    <s v="N"/>
    <n v="1"/>
    <d v="2023-07-03T19:05:37"/>
    <s v="N"/>
    <s v="Expert Cost"/>
    <s v="Expert Cost"/>
    <s v="Expert Disbursement"/>
    <s v="glennie mckinley"/>
    <s v="N"/>
    <n v="304.2"/>
    <n v="60.84"/>
    <x v="3"/>
    <s v="VALIDATED"/>
    <n v="1"/>
    <s v="01.11.80.308.2012.0000"/>
    <n v="304.2"/>
    <s v="11"/>
    <s v="2012"/>
    <n v="5254.74"/>
    <n v="304.2"/>
    <s v="CREDITOR"/>
    <n v="304.2"/>
    <n v="0"/>
    <n v="0"/>
    <n v="0"/>
    <n v="0"/>
  </r>
  <r>
    <n v="61853285"/>
    <s v="N"/>
    <n v="21322641"/>
    <s v="3000015918590005"/>
    <s v="CIVIL"/>
    <d v="2023-06-29T00:00:00"/>
    <d v="2023-07-03T19:05:36"/>
    <m/>
    <d v="2023-07-03T00:00:00"/>
    <n v="927"/>
    <n v="14369"/>
    <s v="61853285"/>
    <s v="61853285"/>
    <m/>
    <m/>
    <n v="22790096"/>
    <m/>
    <m/>
    <m/>
    <s v="SOLPOA"/>
    <s v="SOLPOA"/>
    <s v="CCMS"/>
    <n v="21322641"/>
    <n v="704.52"/>
    <m/>
    <s v="N"/>
    <n v="1"/>
    <d v="2023-07-03T19:05:39"/>
    <s v="N"/>
    <s v="Expert Cost"/>
    <s v="Expert Cost"/>
    <s v="Expert Disbursement"/>
    <s v="glennie mckinley"/>
    <s v="N"/>
    <n v="587.1"/>
    <n v="117.42"/>
    <x v="3"/>
    <s v="VALIDATED"/>
    <n v="1"/>
    <s v="01.11.80.308.2012.0000"/>
    <n v="587.1"/>
    <s v="11"/>
    <s v="2012"/>
    <n v="5254.74"/>
    <n v="587.1"/>
    <s v="CREDITOR"/>
    <n v="587.1"/>
    <n v="0"/>
    <n v="0"/>
    <n v="0"/>
    <n v="0"/>
  </r>
  <r>
    <n v="61853285"/>
    <s v="N"/>
    <n v="21318493"/>
    <s v="3000015918590004"/>
    <s v="CIVIL"/>
    <d v="2023-05-26T00:00:00"/>
    <d v="2023-07-03T19:01:49"/>
    <m/>
    <d v="2023-07-03T00:00:00"/>
    <n v="927"/>
    <n v="14369"/>
    <s v="61853285"/>
    <s v="61853285"/>
    <m/>
    <m/>
    <n v="22580284"/>
    <m/>
    <m/>
    <m/>
    <s v="SOLPOA"/>
    <s v="SOLPOA"/>
    <s v="CCMS"/>
    <n v="21318493"/>
    <n v="395.2"/>
    <m/>
    <s v="N"/>
    <n v="1"/>
    <d v="2023-07-03T19:01:57"/>
    <s v="N"/>
    <s v="Expert Cost"/>
    <s v="Expert Cost"/>
    <s v="Expert Disbursement"/>
    <s v="gmc"/>
    <s v="N"/>
    <n v="329.33"/>
    <n v="65.87"/>
    <x v="3"/>
    <s v="VALIDATED"/>
    <n v="1"/>
    <s v="01.11.80.308.2012.0000"/>
    <n v="329.33"/>
    <s v="11"/>
    <s v="2012"/>
    <n v="5254.74"/>
    <n v="329.33"/>
    <s v="CREDITOR"/>
    <n v="329.33"/>
    <n v="0"/>
    <n v="0"/>
    <n v="0"/>
    <n v="0"/>
  </r>
  <r>
    <n v="60921415"/>
    <s v="N"/>
    <n v="21331219"/>
    <s v="3000015140790003"/>
    <s v="CIVIL"/>
    <d v="2023-06-27T00:00:00"/>
    <d v="2023-07-05T19:01:47"/>
    <m/>
    <d v="2023-07-05T00:00:00"/>
    <n v="927"/>
    <n v="14369"/>
    <s v="60921415"/>
    <s v="60921415"/>
    <m/>
    <m/>
    <n v="22773566"/>
    <m/>
    <m/>
    <m/>
    <s v="SOLFIN"/>
    <s v="SOLFIN"/>
    <s v="CCMS"/>
    <n v="21331219"/>
    <n v="7099.85"/>
    <m/>
    <s v="N"/>
    <n v="4"/>
    <d v="2023-07-05T19:02:10"/>
    <s v="Y"/>
    <s v="Hearing Unit 2.31 - 5.00 Hours"/>
    <s v="Public Law Children"/>
    <s v="Advocacy"/>
    <s v="Glennie McKinley"/>
    <s v="Y"/>
    <n v="476.92"/>
    <n v="95.38"/>
    <x v="6"/>
    <s v="VALIDATED"/>
    <n v="1"/>
    <s v="01.11.80.308.6100.0000"/>
    <n v="476.92"/>
    <s v="11"/>
    <s v="6100"/>
    <n v="5254.74"/>
    <n v="476.92"/>
    <s v="CREDITOR"/>
    <n v="0"/>
    <n v="0"/>
    <n v="0"/>
    <n v="0"/>
    <n v="476.92"/>
  </r>
  <r>
    <n v="60921415"/>
    <s v="N"/>
    <n v="21333794"/>
    <s v="3000015140790002RC"/>
    <s v="CIVIL"/>
    <d v="2023-06-27T00:00:00"/>
    <d v="2023-07-05T19:42:28"/>
    <m/>
    <d v="2023-07-05T00:00:00"/>
    <n v="927"/>
    <n v="14369"/>
    <s v="60921415"/>
    <s v="60921415"/>
    <m/>
    <m/>
    <m/>
    <m/>
    <m/>
    <m/>
    <s v="SOLRECOUP"/>
    <s v="SOLRECOUP"/>
    <s v="POARECOUP"/>
    <n v="21333794"/>
    <n v="-1882.43"/>
    <m/>
    <s v="Y"/>
    <n v="1"/>
    <d v="2023-07-05T19:42:29"/>
    <s v="N"/>
    <m/>
    <m/>
    <s v="Expert Disbursement"/>
    <m/>
    <s v="N"/>
    <n v="-1568.69"/>
    <n v="0"/>
    <x v="6"/>
    <s v="VALIDATED"/>
    <n v="1"/>
    <s v="01.11.80.308.2013.0000"/>
    <n v="-1568.69"/>
    <s v="11"/>
    <s v="2013"/>
    <n v="5254.74"/>
    <n v="-1568.69"/>
    <s v="CREDITOR"/>
    <n v="0"/>
    <n v="0"/>
    <n v="-1568.69"/>
    <n v="0"/>
    <n v="0"/>
  </r>
  <r>
    <n v="60921415"/>
    <s v="N"/>
    <n v="21333794"/>
    <s v="3000015140790002RC"/>
    <s v="CIVIL"/>
    <d v="2023-06-27T00:00:00"/>
    <d v="2023-07-05T19:42:28"/>
    <m/>
    <d v="2023-07-05T00:00:00"/>
    <n v="927"/>
    <n v="14369"/>
    <s v="60921415"/>
    <s v="60921415"/>
    <m/>
    <m/>
    <m/>
    <m/>
    <m/>
    <m/>
    <s v="SOLRECOUP"/>
    <s v="SOLRECOUP"/>
    <s v="POARECOUP"/>
    <n v="21333794"/>
    <n v="-1882.43"/>
    <m/>
    <s v="Y"/>
    <n v="2"/>
    <d v="2023-07-05T19:42:29"/>
    <s v="N"/>
    <m/>
    <m/>
    <s v="Expert Disbursement"/>
    <m/>
    <s v="N"/>
    <n v="0"/>
    <n v="-313.74"/>
    <x v="6"/>
    <s v="VALIDATED"/>
    <n v="1"/>
    <s v="01.11.80.308.2013.0000"/>
    <n v="-313.74"/>
    <s v="11"/>
    <s v="2013"/>
    <n v="5254.74"/>
    <n v="-313.74"/>
    <s v="CREDITOR"/>
    <n v="0"/>
    <n v="0"/>
    <n v="-313.74"/>
    <n v="0"/>
    <n v="0"/>
  </r>
  <r>
    <n v="62265458"/>
    <s v="N"/>
    <n v="21319270"/>
    <s v="3000016260940005"/>
    <s v="CIVIL"/>
    <d v="2023-06-27T00:00:00"/>
    <d v="2023-07-03T19:04:24"/>
    <m/>
    <d v="2023-07-03T00:00:00"/>
    <n v="929"/>
    <n v="17474"/>
    <s v="62265458"/>
    <s v="62265458"/>
    <m/>
    <m/>
    <n v="22770504"/>
    <m/>
    <m/>
    <m/>
    <s v="SOLPOA"/>
    <s v="SOLPOA"/>
    <s v="CCMS"/>
    <n v="21319270"/>
    <n v="483.96"/>
    <m/>
    <s v="N"/>
    <n v="1"/>
    <d v="2023-07-03T19:04:25"/>
    <s v="N"/>
    <s v="Non Expert Disbursement"/>
    <s v="Non Expert Disbursement"/>
    <s v="Non Expert Disbursement"/>
    <s v="Victoria Walters"/>
    <s v="N"/>
    <n v="403.3"/>
    <n v="80.66"/>
    <x v="3"/>
    <s v="VALIDATED"/>
    <n v="1"/>
    <s v="01.11.80.308.2012.0000"/>
    <n v="403.3"/>
    <s v="11"/>
    <s v="2012"/>
    <n v="403.3"/>
    <n v="403.3"/>
    <s v="CREDITOR"/>
    <n v="403.3"/>
    <n v="0"/>
    <n v="0"/>
    <n v="0"/>
    <n v="0"/>
  </r>
  <r>
    <n v="61438898"/>
    <s v="N"/>
    <n v="21321374"/>
    <s v="3000015457420012"/>
    <s v="CIVIL"/>
    <d v="2023-06-29T00:00:00"/>
    <d v="2023-07-03T19:05:17"/>
    <m/>
    <d v="2023-07-03T00:00:00"/>
    <n v="930"/>
    <n v="17474"/>
    <s v="61438898"/>
    <s v="61438898"/>
    <m/>
    <m/>
    <n v="22787128"/>
    <m/>
    <m/>
    <m/>
    <s v="SOLPOA"/>
    <s v="SOLPOA"/>
    <s v="CCMS"/>
    <n v="21321374"/>
    <n v="414.12"/>
    <m/>
    <s v="N"/>
    <n v="1"/>
    <d v="2023-07-03T19:05:18"/>
    <s v="N"/>
    <s v="Non Expert Disbursement - Private L"/>
    <s v="Non Expert Disbursement - Priv"/>
    <s v="Non Expert Disbursement"/>
    <s v="Christopher Johns"/>
    <s v="N"/>
    <n v="345.1"/>
    <n v="69.02"/>
    <x v="3"/>
    <s v="VALIDATED"/>
    <n v="1"/>
    <s v="01.11.80.307.2012.0000"/>
    <n v="345.1"/>
    <s v="11"/>
    <s v="2012"/>
    <n v="345.1"/>
    <n v="345.1"/>
    <s v="CREDITOR"/>
    <n v="345.1"/>
    <n v="0"/>
    <n v="0"/>
    <n v="0"/>
    <n v="0"/>
  </r>
  <r>
    <n v="61727143"/>
    <s v="N"/>
    <n v="21321015"/>
    <s v="3000015813710006"/>
    <s v="CIVIL"/>
    <d v="2023-06-28T00:00:00"/>
    <d v="2023-07-03T19:04:52"/>
    <m/>
    <d v="2023-07-03T00:00:00"/>
    <n v="932"/>
    <n v="17474"/>
    <s v="61727143"/>
    <s v="61727143"/>
    <m/>
    <m/>
    <n v="22781936"/>
    <m/>
    <m/>
    <m/>
    <s v="SOLPOA"/>
    <s v="SOLPOA"/>
    <s v="CCMS"/>
    <n v="21321015"/>
    <n v="397.2"/>
    <m/>
    <s v="N"/>
    <n v="1"/>
    <d v="2023-07-03T19:04:57"/>
    <s v="N"/>
    <s v="Expert Cost"/>
    <s v="Expert Cost"/>
    <s v="Expert Disbursement"/>
    <s v="Julian Tyson"/>
    <s v="N"/>
    <n v="331"/>
    <n v="66.2"/>
    <x v="3"/>
    <s v="VALIDATED"/>
    <n v="1"/>
    <s v="01.11.80.308.2012.0000"/>
    <n v="331"/>
    <s v="11"/>
    <s v="2012"/>
    <n v="1476.1"/>
    <n v="331"/>
    <s v="CREDITOR"/>
    <n v="331"/>
    <n v="0"/>
    <n v="0"/>
    <n v="0"/>
    <n v="0"/>
  </r>
  <r>
    <n v="62299700"/>
    <s v="N"/>
    <n v="21319892"/>
    <s v="3000016291310003"/>
    <s v="CIVIL"/>
    <d v="2023-06-27T00:00:00"/>
    <d v="2023-07-03T19:04:24"/>
    <m/>
    <d v="2023-07-03T00:00:00"/>
    <n v="932"/>
    <n v="17474"/>
    <s v="62299700"/>
    <s v="62299700"/>
    <m/>
    <m/>
    <n v="22770158"/>
    <m/>
    <m/>
    <m/>
    <s v="SOLPOA"/>
    <s v="SOLPOA"/>
    <s v="CCMS"/>
    <n v="21319892"/>
    <n v="129.6"/>
    <m/>
    <s v="N"/>
    <n v="1"/>
    <d v="2023-07-03T19:04:28"/>
    <s v="N"/>
    <s v="Expert Cost"/>
    <s v="Expert Cost"/>
    <s v="Expert Disbursement"/>
    <s v="Victoria Walters"/>
    <s v="N"/>
    <n v="108"/>
    <n v="21.6"/>
    <x v="3"/>
    <s v="VALIDATED"/>
    <n v="1"/>
    <s v="01.11.80.308.2012.0000"/>
    <n v="108"/>
    <s v="11"/>
    <s v="2012"/>
    <n v="1476.1"/>
    <n v="108"/>
    <s v="CREDITOR"/>
    <n v="108"/>
    <n v="0"/>
    <n v="0"/>
    <n v="0"/>
    <n v="0"/>
  </r>
  <r>
    <n v="61153632"/>
    <s v="N"/>
    <n v="21319877"/>
    <s v="3000015336900023"/>
    <s v="CIVIL"/>
    <d v="2023-06-27T00:00:00"/>
    <d v="2023-07-03T19:04:24"/>
    <m/>
    <d v="2023-07-03T00:00:00"/>
    <n v="932"/>
    <n v="17474"/>
    <s v="61153632"/>
    <s v="61153632"/>
    <m/>
    <m/>
    <n v="22770330"/>
    <m/>
    <m/>
    <m/>
    <s v="SOLPOA"/>
    <s v="SOLPOA"/>
    <s v="CCMS"/>
    <n v="21319877"/>
    <n v="518.4"/>
    <m/>
    <s v="N"/>
    <n v="1"/>
    <d v="2023-07-03T19:04:28"/>
    <s v="N"/>
    <s v="Expert Cost"/>
    <s v="Expert Cost"/>
    <s v="Expert Disbursement"/>
    <s v="Victoria Walters"/>
    <s v="N"/>
    <n v="432"/>
    <n v="86.40000000000001"/>
    <x v="3"/>
    <s v="VALIDATED"/>
    <n v="1"/>
    <s v="01.11.80.308.2012.0000"/>
    <n v="432"/>
    <s v="11"/>
    <s v="2012"/>
    <n v="1476.1"/>
    <n v="432"/>
    <s v="CREDITOR"/>
    <n v="432"/>
    <n v="0"/>
    <n v="0"/>
    <n v="0"/>
    <n v="0"/>
  </r>
  <r>
    <n v="61997876"/>
    <s v="N"/>
    <n v="21320965"/>
    <s v="3000016040880004"/>
    <s v="CIVIL"/>
    <d v="2023-06-28T00:00:00"/>
    <d v="2023-07-03T19:04:52"/>
    <m/>
    <d v="2023-07-03T00:00:00"/>
    <n v="932"/>
    <n v="17474"/>
    <s v="61997876"/>
    <s v="61997876"/>
    <m/>
    <m/>
    <n v="22781600"/>
    <m/>
    <m/>
    <m/>
    <s v="SOLPOA"/>
    <s v="SOLPOA"/>
    <s v="CCMS"/>
    <n v="21320965"/>
    <n v="726.12"/>
    <m/>
    <s v="N"/>
    <n v="1"/>
    <d v="2023-07-03T19:04:57"/>
    <s v="N"/>
    <s v="Expert Cost"/>
    <s v="Expert Cost"/>
    <s v="Expert Disbursement"/>
    <s v="Julian Tyson"/>
    <s v="N"/>
    <n v="605.1"/>
    <n v="121.02"/>
    <x v="3"/>
    <s v="VALIDATED"/>
    <n v="1"/>
    <s v="01.11.80.308.2012.0000"/>
    <n v="605.1"/>
    <s v="11"/>
    <s v="2012"/>
    <n v="1476.1"/>
    <n v="605.1"/>
    <s v="CREDITOR"/>
    <n v="605.1"/>
    <n v="0"/>
    <n v="0"/>
    <n v="0"/>
    <n v="0"/>
  </r>
  <r>
    <n v="32743545"/>
    <s v="N"/>
    <n v="21323395"/>
    <s v="3000008323670021"/>
    <s v="CIVIL"/>
    <d v="2023-06-30T00:00:00"/>
    <d v="2023-07-03T19:05:56"/>
    <m/>
    <d v="2023-07-03T00:00:00"/>
    <n v="933"/>
    <n v="17474"/>
    <s v="32743545"/>
    <s v="32743545"/>
    <m/>
    <m/>
    <n v="22794988"/>
    <m/>
    <m/>
    <m/>
    <s v="SOLPOA"/>
    <s v="SOLPOA"/>
    <s v="CCMS"/>
    <n v="21323395"/>
    <n v="750"/>
    <m/>
    <s v="N"/>
    <n v="1"/>
    <d v="2023-07-03T19:05:56"/>
    <s v="N"/>
    <s v="Expert Cost - Private Law Children"/>
    <s v="Expert Cost - Private Law Chil"/>
    <s v="Expert Disbursement"/>
    <s v="Sarah Evans"/>
    <s v="N"/>
    <n v="625"/>
    <n v="125"/>
    <x v="3"/>
    <s v="VALIDATED"/>
    <n v="1"/>
    <s v="01.11.80.307.2012.0000"/>
    <n v="625"/>
    <s v="11"/>
    <s v="2012"/>
    <n v="3615.57"/>
    <n v="625"/>
    <s v="CREDITOR"/>
    <n v="625"/>
    <n v="0"/>
    <n v="0"/>
    <n v="0"/>
    <n v="0"/>
  </r>
  <r>
    <n v="62306289"/>
    <s v="N"/>
    <n v="21319634"/>
    <s v="3000016291630001"/>
    <s v="CIVIL"/>
    <d v="2023-06-27T00:00:00"/>
    <d v="2023-07-03T19:04:24"/>
    <m/>
    <d v="2023-07-03T00:00:00"/>
    <n v="933"/>
    <n v="17474"/>
    <s v="62306289"/>
    <s v="62306289"/>
    <m/>
    <m/>
    <n v="22770062"/>
    <m/>
    <m/>
    <m/>
    <s v="SOLPOA"/>
    <s v="SOLPOA"/>
    <s v="CCMS"/>
    <n v="21319634"/>
    <n v="408.38"/>
    <m/>
    <s v="N"/>
    <n v="1"/>
    <d v="2023-07-03T19:04:26"/>
    <s v="N"/>
    <s v="Expert Cost"/>
    <s v="Expert Cost"/>
    <s v="Expert Disbursement"/>
    <s v="Sarah Evans"/>
    <s v="N"/>
    <n v="340.32"/>
    <n v="68.06"/>
    <x v="3"/>
    <s v="VALIDATED"/>
    <n v="1"/>
    <s v="01.11.80.308.2012.0000"/>
    <n v="340.32"/>
    <s v="11"/>
    <s v="2012"/>
    <n v="3615.57"/>
    <n v="340.32"/>
    <s v="CREDITOR"/>
    <n v="340.32"/>
    <n v="0"/>
    <n v="0"/>
    <n v="0"/>
    <n v="0"/>
  </r>
  <r>
    <n v="62180580"/>
    <s v="N"/>
    <n v="21320101"/>
    <s v="3000016079490001"/>
    <s v="CIVIL"/>
    <d v="2023-06-27T00:00:00"/>
    <d v="2023-07-03T19:04:24"/>
    <m/>
    <d v="2023-07-03T00:00:00"/>
    <n v="933"/>
    <n v="17474"/>
    <s v="62180580"/>
    <s v="62180580"/>
    <m/>
    <m/>
    <n v="22770658"/>
    <m/>
    <m/>
    <m/>
    <s v="SOLPOA"/>
    <s v="SOLPOA"/>
    <s v="CCMS"/>
    <n v="21320101"/>
    <n v="106.8"/>
    <m/>
    <s v="N"/>
    <n v="1"/>
    <d v="2023-07-03T19:04:29"/>
    <s v="N"/>
    <s v="Non Expert Disbursement - Private L"/>
    <s v="Non Expert Disbursement - Priv"/>
    <s v="Non Expert Disbursement"/>
    <s v="Christopher Johns"/>
    <s v="N"/>
    <n v="106.8"/>
    <n v="0"/>
    <x v="3"/>
    <s v="VALIDATED"/>
    <n v="1"/>
    <s v="01.11.80.307.2012.0000"/>
    <n v="106.8"/>
    <s v="11"/>
    <s v="2012"/>
    <n v="3615.57"/>
    <n v="106.8"/>
    <s v="CREDITOR"/>
    <n v="106.8"/>
    <n v="0"/>
    <n v="0"/>
    <n v="0"/>
    <n v="0"/>
  </r>
  <r>
    <n v="11450892"/>
    <s v="N"/>
    <n v="21320971"/>
    <s v="3000006896230010"/>
    <s v="CIVIL"/>
    <d v="2023-06-28T00:00:00"/>
    <d v="2023-07-03T19:04:52"/>
    <m/>
    <d v="2023-07-03T00:00:00"/>
    <n v="933"/>
    <n v="17474"/>
    <s v="11450892"/>
    <s v="11450892"/>
    <m/>
    <m/>
    <n v="22781846"/>
    <m/>
    <m/>
    <m/>
    <s v="SOLPOA"/>
    <s v="SOLPOA"/>
    <s v="CCMS"/>
    <n v="21320971"/>
    <n v="3052.14"/>
    <m/>
    <s v="N"/>
    <n v="1"/>
    <d v="2023-07-03T19:04:57"/>
    <s v="N"/>
    <s v="Expert Cost - Private Law Children"/>
    <s v="Expert Cost - Private Law Chil"/>
    <s v="Expert Disbursement"/>
    <s v="Sarah Evans"/>
    <s v="N"/>
    <n v="2543.45"/>
    <n v="508.69"/>
    <x v="3"/>
    <s v="VALIDATED"/>
    <n v="1"/>
    <s v="01.11.80.307.2012.0000"/>
    <n v="2543.45"/>
    <s v="11"/>
    <s v="2012"/>
    <n v="3615.57"/>
    <n v="2543.45"/>
    <s v="CREDITOR"/>
    <n v="2543.45"/>
    <n v="0"/>
    <n v="0"/>
    <n v="0"/>
    <n v="0"/>
  </r>
  <r>
    <n v="60236049"/>
    <s v="N"/>
    <n v="21338206"/>
    <s v="3000014547000002"/>
    <s v="CIVIL"/>
    <d v="2023-06-27T00:00:00"/>
    <d v="2023-07-06T19:21:01"/>
    <m/>
    <d v="2023-07-06T00:00:00"/>
    <n v="935"/>
    <n v="14302"/>
    <s v="60236049"/>
    <s v="60236049"/>
    <m/>
    <m/>
    <n v="22770608"/>
    <m/>
    <m/>
    <m/>
    <s v="SOLFIN"/>
    <s v="SOLFIN"/>
    <s v="CCMS"/>
    <n v="21338206"/>
    <n v="5152.91"/>
    <m/>
    <s v="N"/>
    <n v="5"/>
    <d v="2023-07-06T19:21:12"/>
    <s v="Y"/>
    <s v="Solicitor Travel Mileage"/>
    <s v="Public Law Children"/>
    <s v="Non Expert Disbursement"/>
    <s v="Gareth Ingram"/>
    <s v="Y"/>
    <n v="22.5"/>
    <n v="4.5"/>
    <x v="4"/>
    <s v="VALIDATED"/>
    <n v="1"/>
    <s v="01.11.80.308.6300.0000"/>
    <n v="22.5"/>
    <s v="11"/>
    <s v="6300"/>
    <n v="14740.96"/>
    <n v="22.5"/>
    <s v="CREDITOR"/>
    <n v="0"/>
    <n v="0"/>
    <n v="0"/>
    <n v="0"/>
    <n v="22.5"/>
  </r>
  <r>
    <n v="61450787"/>
    <s v="N"/>
    <n v="21331185"/>
    <s v="3000015581940001"/>
    <s v="CIVIL"/>
    <d v="2023-06-27T00:00:00"/>
    <d v="2023-07-05T19:01:47"/>
    <m/>
    <d v="2023-07-05T00:00:00"/>
    <n v="935"/>
    <n v="14302"/>
    <s v="61450787"/>
    <s v="61450787"/>
    <m/>
    <m/>
    <n v="22769756"/>
    <m/>
    <m/>
    <m/>
    <s v="SOLFIN"/>
    <s v="SOLFIN"/>
    <s v="CCMS"/>
    <n v="21331185"/>
    <n v="3429.96"/>
    <m/>
    <s v="N"/>
    <n v="5"/>
    <d v="2023-07-05T19:02:09"/>
    <s v="Y"/>
    <s v="Hearing Unit 1.01 - 2.30 Hours"/>
    <s v="Public Law Children"/>
    <s v="Advocacy"/>
    <s v="Gareth Ingram"/>
    <s v="Y"/>
    <n v="238.46"/>
    <n v="47.69"/>
    <x v="6"/>
    <s v="VALIDATED"/>
    <n v="1"/>
    <s v="01.11.80.308.6100.0000"/>
    <n v="238.46"/>
    <s v="11"/>
    <s v="6100"/>
    <n v="14740.96"/>
    <n v="238.46"/>
    <s v="CREDITOR"/>
    <n v="0"/>
    <n v="0"/>
    <n v="0"/>
    <n v="0"/>
    <n v="238.46"/>
  </r>
  <r>
    <n v="60404984"/>
    <s v="N"/>
    <n v="21331339"/>
    <s v="3000014692060005"/>
    <s v="CIVIL"/>
    <d v="2023-06-27T00:00:00"/>
    <d v="2023-07-05T19:01:47"/>
    <m/>
    <d v="2023-07-05T00:00:00"/>
    <n v="935"/>
    <n v="14302"/>
    <s v="60404984"/>
    <s v="60404984"/>
    <m/>
    <m/>
    <n v="22770100"/>
    <m/>
    <m/>
    <m/>
    <s v="SOLFIN"/>
    <s v="SOLFIN"/>
    <s v="CCMS"/>
    <n v="21331339"/>
    <n v="6820.21"/>
    <m/>
    <s v="N"/>
    <n v="10"/>
    <d v="2023-07-05T19:02:15"/>
    <s v="Y"/>
    <s v="Solicitors Fixed Fee"/>
    <s v="Public Law Children"/>
    <s v="Profit Cost"/>
    <s v="Gareth Ingram"/>
    <s v="Y"/>
    <n v="2616"/>
    <n v="523.2"/>
    <x v="6"/>
    <s v="VALIDATED"/>
    <n v="1"/>
    <s v="01.11.80.308.6100.0000"/>
    <n v="2616"/>
    <s v="11"/>
    <s v="6100"/>
    <n v="14740.96"/>
    <n v="2616"/>
    <s v="CREDITOR"/>
    <n v="0"/>
    <n v="0"/>
    <n v="0"/>
    <n v="0"/>
    <n v="2616"/>
  </r>
  <r>
    <n v="60404984"/>
    <s v="N"/>
    <n v="21331339"/>
    <s v="3000014692060005"/>
    <s v="CIVIL"/>
    <d v="2023-06-27T00:00:00"/>
    <d v="2023-07-05T19:01:47"/>
    <m/>
    <d v="2023-07-05T00:00:00"/>
    <n v="935"/>
    <n v="14302"/>
    <s v="60404984"/>
    <s v="60404984"/>
    <m/>
    <m/>
    <n v="22770100"/>
    <m/>
    <m/>
    <m/>
    <s v="SOLFIN"/>
    <s v="SOLFIN"/>
    <s v="CCMS"/>
    <n v="21331339"/>
    <n v="6820.21"/>
    <m/>
    <s v="N"/>
    <n v="7"/>
    <d v="2023-07-05T19:02:15"/>
    <s v="Y"/>
    <s v="Hearing Unit 1.01 - 2.30 Hours"/>
    <s v="Public Law Children"/>
    <s v="Advocacy"/>
    <s v="Gareth Ingram"/>
    <s v="Y"/>
    <n v="238.46"/>
    <n v="47.69"/>
    <x v="6"/>
    <s v="VALIDATED"/>
    <n v="1"/>
    <s v="01.11.80.308.6100.0000"/>
    <n v="238.46"/>
    <s v="11"/>
    <s v="6100"/>
    <n v="14740.96"/>
    <n v="238.46"/>
    <s v="CREDITOR"/>
    <n v="0"/>
    <n v="0"/>
    <n v="0"/>
    <n v="0"/>
    <n v="238.46"/>
  </r>
  <r>
    <n v="60404984"/>
    <s v="N"/>
    <n v="21331339"/>
    <s v="3000014692060005"/>
    <s v="CIVIL"/>
    <d v="2023-06-27T00:00:00"/>
    <d v="2023-07-05T19:01:47"/>
    <m/>
    <d v="2023-07-05T00:00:00"/>
    <n v="935"/>
    <n v="14302"/>
    <s v="60404984"/>
    <s v="60404984"/>
    <m/>
    <m/>
    <n v="22770100"/>
    <m/>
    <m/>
    <m/>
    <s v="SOLFIN"/>
    <s v="SOLFIN"/>
    <s v="CCMS"/>
    <n v="21331339"/>
    <n v="6820.21"/>
    <m/>
    <s v="N"/>
    <n v="1"/>
    <d v="2023-07-05T19:02:15"/>
    <s v="Y"/>
    <s v="Final Hearing Court Bundle/Advocate"/>
    <s v="Public Law Children"/>
    <s v="Advocacy"/>
    <s v="Gareth Ingram"/>
    <s v="Y"/>
    <n v="239.4"/>
    <n v="47.88"/>
    <x v="6"/>
    <s v="VALIDATED"/>
    <n v="1"/>
    <s v="01.11.80.308.6100.0000"/>
    <n v="239.4"/>
    <s v="11"/>
    <s v="6100"/>
    <n v="14740.96"/>
    <n v="239.4"/>
    <s v="CREDITOR"/>
    <n v="0"/>
    <n v="0"/>
    <n v="0"/>
    <n v="0"/>
    <n v="239.4"/>
  </r>
  <r>
    <n v="60404984"/>
    <s v="N"/>
    <n v="21331339"/>
    <s v="3000014692060005"/>
    <s v="CIVIL"/>
    <d v="2023-06-27T00:00:00"/>
    <d v="2023-07-05T19:01:47"/>
    <m/>
    <d v="2023-07-05T00:00:00"/>
    <n v="935"/>
    <n v="14302"/>
    <s v="60404984"/>
    <s v="60404984"/>
    <m/>
    <m/>
    <n v="22770100"/>
    <m/>
    <m/>
    <m/>
    <s v="SOLFIN"/>
    <s v="SOLFIN"/>
    <s v="CCMS"/>
    <n v="21331339"/>
    <n v="6820.21"/>
    <m/>
    <s v="N"/>
    <n v="8"/>
    <d v="2023-07-05T19:02:15"/>
    <s v="Y"/>
    <s v="Hearing Unit 1.01 - 2.30 Hours"/>
    <s v="Public Law Children"/>
    <s v="Advocacy"/>
    <s v="Gareth Ingram"/>
    <s v="Y"/>
    <n v="238.46"/>
    <n v="47.69"/>
    <x v="6"/>
    <s v="VALIDATED"/>
    <n v="1"/>
    <s v="01.11.80.308.6100.0000"/>
    <n v="238.46"/>
    <s v="11"/>
    <s v="6100"/>
    <n v="14740.96"/>
    <n v="238.46"/>
    <s v="CREDITOR"/>
    <n v="0"/>
    <n v="0"/>
    <n v="0"/>
    <n v="0"/>
    <n v="238.46"/>
  </r>
  <r>
    <n v="60236049"/>
    <s v="N"/>
    <n v="21338206"/>
    <s v="3000014547000002"/>
    <s v="CIVIL"/>
    <d v="2023-06-27T00:00:00"/>
    <d v="2023-07-06T19:21:01"/>
    <m/>
    <d v="2023-07-06T00:00:00"/>
    <n v="935"/>
    <n v="14302"/>
    <s v="60236049"/>
    <s v="60236049"/>
    <m/>
    <m/>
    <n v="22770608"/>
    <m/>
    <m/>
    <m/>
    <s v="SOLFIN"/>
    <s v="SOLFIN"/>
    <s v="CCMS"/>
    <n v="21338206"/>
    <n v="5152.91"/>
    <m/>
    <s v="N"/>
    <n v="2"/>
    <d v="2023-07-06T19:21:12"/>
    <s v="Y"/>
    <s v="Interim Hearing Court Bundle/Advoca"/>
    <s v="Public Law Children"/>
    <s v="Advocacy"/>
    <s v="Gareth Ingram"/>
    <s v="Y"/>
    <n v="59.4"/>
    <n v="11.88"/>
    <x v="4"/>
    <s v="VALIDATED"/>
    <n v="1"/>
    <s v="01.11.80.308.6100.0000"/>
    <n v="59.4"/>
    <s v="11"/>
    <s v="6100"/>
    <n v="14740.96"/>
    <n v="59.4"/>
    <s v="CREDITOR"/>
    <n v="0"/>
    <n v="0"/>
    <n v="0"/>
    <n v="0"/>
    <n v="59.4"/>
  </r>
  <r>
    <n v="60236049"/>
    <s v="N"/>
    <n v="21338206"/>
    <s v="3000014547000002"/>
    <s v="CIVIL"/>
    <d v="2023-06-27T00:00:00"/>
    <d v="2023-07-06T19:21:01"/>
    <m/>
    <d v="2023-07-06T00:00:00"/>
    <n v="935"/>
    <n v="14302"/>
    <s v="60236049"/>
    <s v="60236049"/>
    <m/>
    <m/>
    <n v="22770608"/>
    <m/>
    <m/>
    <m/>
    <s v="SOLFIN"/>
    <s v="SOLFIN"/>
    <s v="CCMS"/>
    <n v="21338206"/>
    <n v="5152.91"/>
    <m/>
    <s v="N"/>
    <n v="9"/>
    <d v="2023-07-06T19:21:12"/>
    <s v="Y"/>
    <s v="Solicitors Fixed Fee"/>
    <s v="Public Law Children"/>
    <s v="Profit Cost"/>
    <s v="Gareth Ingram"/>
    <s v="Y"/>
    <n v="2616"/>
    <n v="523.2"/>
    <x v="4"/>
    <s v="VALIDATED"/>
    <n v="1"/>
    <s v="01.11.80.308.6100.0000"/>
    <n v="2616"/>
    <s v="11"/>
    <s v="6100"/>
    <n v="14740.96"/>
    <n v="2616"/>
    <s v="CREDITOR"/>
    <n v="0"/>
    <n v="0"/>
    <n v="0"/>
    <n v="0"/>
    <n v="2616"/>
  </r>
  <r>
    <n v="61450787"/>
    <s v="N"/>
    <n v="21331185"/>
    <s v="3000015581940001"/>
    <s v="CIVIL"/>
    <d v="2023-06-27T00:00:00"/>
    <d v="2023-07-05T19:01:47"/>
    <m/>
    <d v="2023-07-05T00:00:00"/>
    <n v="935"/>
    <n v="14302"/>
    <s v="61450787"/>
    <s v="61450787"/>
    <m/>
    <m/>
    <n v="22769756"/>
    <m/>
    <m/>
    <m/>
    <s v="SOLFIN"/>
    <s v="SOLFIN"/>
    <s v="CCMS"/>
    <n v="21331185"/>
    <n v="3429.96"/>
    <m/>
    <s v="N"/>
    <n v="1"/>
    <d v="2023-07-05T19:02:09"/>
    <s v="Y"/>
    <s v="Solicitor Travel Expenses"/>
    <s v="Public Law Children"/>
    <s v="Non Expert Disbursement"/>
    <s v="Gareth Ingram"/>
    <s v="Y"/>
    <n v="4.96"/>
    <n v="0.99"/>
    <x v="6"/>
    <s v="VALIDATED"/>
    <n v="1"/>
    <s v="01.11.80.308.6300.0000"/>
    <n v="4.96"/>
    <s v="11"/>
    <s v="6300"/>
    <n v="14740.96"/>
    <n v="4.96"/>
    <s v="CREDITOR"/>
    <n v="0"/>
    <n v="0"/>
    <n v="0"/>
    <n v="0"/>
    <n v="4.96"/>
  </r>
  <r>
    <n v="60697158"/>
    <s v="N"/>
    <n v="21331291"/>
    <s v="3000014939990002"/>
    <s v="CIVIL"/>
    <d v="2023-06-27T00:00:00"/>
    <d v="2023-07-05T19:01:47"/>
    <m/>
    <d v="2023-07-05T00:00:00"/>
    <n v="935"/>
    <n v="14302"/>
    <s v="60697158"/>
    <s v="60697158"/>
    <m/>
    <m/>
    <n v="22770324"/>
    <m/>
    <m/>
    <m/>
    <s v="SOLFIN"/>
    <s v="SOLFIN"/>
    <s v="CCMS"/>
    <n v="21331291"/>
    <n v="3997.65"/>
    <m/>
    <s v="N"/>
    <n v="1"/>
    <d v="2023-07-05T19:02:13"/>
    <s v="Y"/>
    <s v="Hearing Unit 1.01 - 2.30 Hours"/>
    <s v="Public Law Children"/>
    <s v="Advocacy"/>
    <s v="Gareth Ingram"/>
    <s v="Y"/>
    <n v="238.46"/>
    <n v="47.69"/>
    <x v="6"/>
    <s v="VALIDATED"/>
    <n v="1"/>
    <s v="01.11.80.308.6100.0000"/>
    <n v="238.46"/>
    <s v="11"/>
    <s v="6100"/>
    <n v="14740.96"/>
    <n v="238.46"/>
    <s v="CREDITOR"/>
    <n v="0"/>
    <n v="0"/>
    <n v="0"/>
    <n v="0"/>
    <n v="238.46"/>
  </r>
  <r>
    <n v="60236049"/>
    <s v="N"/>
    <n v="21338206"/>
    <s v="3000014547000002"/>
    <s v="CIVIL"/>
    <d v="2023-06-27T00:00:00"/>
    <d v="2023-07-06T19:21:01"/>
    <m/>
    <d v="2023-07-06T00:00:00"/>
    <n v="935"/>
    <n v="14302"/>
    <s v="60236049"/>
    <s v="60236049"/>
    <m/>
    <m/>
    <n v="22770608"/>
    <m/>
    <m/>
    <m/>
    <s v="SOLFIN"/>
    <s v="SOLFIN"/>
    <s v="CCMS"/>
    <n v="21338206"/>
    <n v="5152.91"/>
    <m/>
    <s v="N"/>
    <n v="4"/>
    <d v="2023-07-06T19:21:12"/>
    <s v="Y"/>
    <s v="Solicitor Travel Expenses"/>
    <s v="Public Law Children"/>
    <s v="Non Expert Disbursement"/>
    <s v="Gareth Ingram"/>
    <s v="Y"/>
    <n v="7.33"/>
    <n v="1.47"/>
    <x v="4"/>
    <s v="VALIDATED"/>
    <n v="1"/>
    <s v="01.11.80.308.6300.0000"/>
    <n v="7.33"/>
    <s v="11"/>
    <s v="6300"/>
    <n v="14740.96"/>
    <n v="7.33"/>
    <s v="CREDITOR"/>
    <n v="0"/>
    <n v="0"/>
    <n v="0"/>
    <n v="0"/>
    <n v="7.33"/>
  </r>
  <r>
    <n v="61450787"/>
    <s v="N"/>
    <n v="21331185"/>
    <s v="3000015581940001"/>
    <s v="CIVIL"/>
    <d v="2023-06-27T00:00:00"/>
    <d v="2023-07-05T19:01:47"/>
    <m/>
    <d v="2023-07-05T00:00:00"/>
    <n v="935"/>
    <n v="14302"/>
    <s v="61450787"/>
    <s v="61450787"/>
    <m/>
    <m/>
    <n v="22769756"/>
    <m/>
    <m/>
    <m/>
    <s v="SOLFIN"/>
    <s v="SOLFIN"/>
    <s v="CCMS"/>
    <n v="21331185"/>
    <n v="3429.96"/>
    <m/>
    <s v="N"/>
    <n v="4"/>
    <d v="2023-07-05T19:02:09"/>
    <s v="Y"/>
    <s v="Final Hearing - 1 Day"/>
    <s v="Public Law Children"/>
    <s v="Advocacy"/>
    <s v="Gareth Ingram"/>
    <s v="Y"/>
    <n v="556.88"/>
    <n v="111.38"/>
    <x v="6"/>
    <s v="VALIDATED"/>
    <n v="1"/>
    <s v="01.11.80.308.6100.0000"/>
    <n v="556.88"/>
    <s v="11"/>
    <s v="6100"/>
    <n v="14740.96"/>
    <n v="556.88"/>
    <s v="CREDITOR"/>
    <n v="0"/>
    <n v="0"/>
    <n v="0"/>
    <n v="0"/>
    <n v="556.88"/>
  </r>
  <r>
    <n v="60236049"/>
    <s v="N"/>
    <n v="21338206"/>
    <s v="3000014547000002"/>
    <s v="CIVIL"/>
    <d v="2023-06-27T00:00:00"/>
    <d v="2023-07-06T19:21:01"/>
    <m/>
    <d v="2023-07-06T00:00:00"/>
    <n v="935"/>
    <n v="14302"/>
    <s v="60236049"/>
    <s v="60236049"/>
    <m/>
    <m/>
    <n v="22770608"/>
    <m/>
    <m/>
    <m/>
    <s v="SOLFIN"/>
    <s v="SOLFIN"/>
    <s v="CCMS"/>
    <n v="21338206"/>
    <n v="5152.91"/>
    <m/>
    <s v="N"/>
    <n v="6"/>
    <d v="2023-07-06T19:21:12"/>
    <s v="Y"/>
    <s v="Final Hearing - 1 Day"/>
    <s v="Public Law Children"/>
    <s v="Advocacy"/>
    <s v="Gareth Ingram"/>
    <s v="Y"/>
    <n v="556.88"/>
    <n v="111.38"/>
    <x v="4"/>
    <s v="VALIDATED"/>
    <n v="1"/>
    <s v="01.11.80.308.6100.0000"/>
    <n v="556.88"/>
    <s v="11"/>
    <s v="6100"/>
    <n v="14740.96"/>
    <n v="556.88"/>
    <s v="CREDITOR"/>
    <n v="0"/>
    <n v="0"/>
    <n v="0"/>
    <n v="0"/>
    <n v="556.88"/>
  </r>
  <r>
    <n v="60404984"/>
    <s v="N"/>
    <n v="21331339"/>
    <s v="3000014692060005"/>
    <s v="CIVIL"/>
    <d v="2023-06-27T00:00:00"/>
    <d v="2023-07-05T19:01:47"/>
    <m/>
    <d v="2023-07-05T00:00:00"/>
    <n v="935"/>
    <n v="14302"/>
    <s v="60404984"/>
    <s v="60404984"/>
    <m/>
    <m/>
    <n v="22770100"/>
    <m/>
    <m/>
    <m/>
    <s v="SOLFIN"/>
    <s v="SOLFIN"/>
    <s v="CCMS"/>
    <n v="21331339"/>
    <n v="6820.21"/>
    <m/>
    <s v="N"/>
    <n v="4"/>
    <d v="2023-07-05T19:02:15"/>
    <s v="Y"/>
    <s v="Psychiatrist"/>
    <s v="Public Law Children"/>
    <s v="Expert Disbursement"/>
    <s v="Gareth Ingram"/>
    <s v="Y"/>
    <n v="432"/>
    <n v="86.40000000000001"/>
    <x v="6"/>
    <s v="VALIDATED"/>
    <n v="1"/>
    <s v="01.11.80.308.6300.0000"/>
    <n v="432"/>
    <s v="11"/>
    <s v="6300"/>
    <n v="14740.96"/>
    <n v="432"/>
    <s v="CREDITOR"/>
    <n v="0"/>
    <n v="0"/>
    <n v="0"/>
    <n v="0"/>
    <n v="432"/>
  </r>
  <r>
    <n v="60236049"/>
    <s v="N"/>
    <n v="21338206"/>
    <s v="3000014547000002"/>
    <s v="CIVIL"/>
    <d v="2023-06-27T00:00:00"/>
    <d v="2023-07-06T19:21:01"/>
    <m/>
    <d v="2023-07-06T00:00:00"/>
    <n v="935"/>
    <n v="14302"/>
    <s v="60236049"/>
    <s v="60236049"/>
    <m/>
    <m/>
    <n v="22770608"/>
    <m/>
    <m/>
    <m/>
    <s v="SOLFIN"/>
    <s v="SOLFIN"/>
    <s v="CCMS"/>
    <n v="21338206"/>
    <n v="5152.91"/>
    <m/>
    <s v="N"/>
    <n v="7"/>
    <d v="2023-07-06T19:21:12"/>
    <s v="Y"/>
    <s v="Hearing Unit 1.01 - 2.30 Hours"/>
    <s v="Public Law Children"/>
    <s v="Advocacy"/>
    <s v="Gareth Ingram"/>
    <s v="Y"/>
    <n v="238.46"/>
    <n v="47.69"/>
    <x v="4"/>
    <s v="VALIDATED"/>
    <n v="1"/>
    <s v="01.11.80.308.6100.0000"/>
    <n v="238.46"/>
    <s v="11"/>
    <s v="6100"/>
    <n v="14740.96"/>
    <n v="238.46"/>
    <s v="CREDITOR"/>
    <n v="0"/>
    <n v="0"/>
    <n v="0"/>
    <n v="0"/>
    <n v="238.46"/>
  </r>
  <r>
    <n v="60697158"/>
    <s v="N"/>
    <n v="21331291"/>
    <s v="3000014939990002"/>
    <s v="CIVIL"/>
    <d v="2023-06-27T00:00:00"/>
    <d v="2023-07-05T19:01:47"/>
    <m/>
    <d v="2023-07-05T00:00:00"/>
    <n v="935"/>
    <n v="14302"/>
    <s v="60697158"/>
    <s v="60697158"/>
    <m/>
    <m/>
    <n v="22770324"/>
    <m/>
    <m/>
    <m/>
    <s v="SOLFIN"/>
    <s v="SOLFIN"/>
    <s v="CCMS"/>
    <n v="21331291"/>
    <n v="3997.65"/>
    <m/>
    <s v="N"/>
    <n v="2"/>
    <d v="2023-07-05T19:02:13"/>
    <s v="Y"/>
    <s v="Hearing Unit 1.01 - 2.30 Hours"/>
    <s v="Public Law Children"/>
    <s v="Advocacy"/>
    <s v="Gareth Ingram"/>
    <s v="Y"/>
    <n v="238.46"/>
    <n v="47.69"/>
    <x v="6"/>
    <s v="VALIDATED"/>
    <n v="1"/>
    <s v="01.11.80.308.6100.0000"/>
    <n v="238.46"/>
    <s v="11"/>
    <s v="6100"/>
    <n v="14740.96"/>
    <n v="238.46"/>
    <s v="CREDITOR"/>
    <n v="0"/>
    <n v="0"/>
    <n v="0"/>
    <n v="0"/>
    <n v="238.46"/>
  </r>
  <r>
    <n v="60404984"/>
    <s v="N"/>
    <n v="21331339"/>
    <s v="3000014692060005"/>
    <s v="CIVIL"/>
    <d v="2023-06-27T00:00:00"/>
    <d v="2023-07-05T19:01:47"/>
    <m/>
    <d v="2023-07-05T00:00:00"/>
    <n v="935"/>
    <n v="14302"/>
    <s v="60404984"/>
    <s v="60404984"/>
    <m/>
    <m/>
    <n v="22770100"/>
    <m/>
    <m/>
    <m/>
    <s v="SOLFIN"/>
    <s v="SOLFIN"/>
    <s v="CCMS"/>
    <n v="21331339"/>
    <n v="6820.21"/>
    <m/>
    <s v="N"/>
    <n v="3"/>
    <d v="2023-07-05T19:02:15"/>
    <s v="Y"/>
    <s v="Psychologist"/>
    <s v="Public Law Children"/>
    <s v="Expert Disbursement"/>
    <s v="Gareth Ingram"/>
    <s v="Y"/>
    <n v="468"/>
    <n v="0"/>
    <x v="6"/>
    <s v="VALIDATED"/>
    <n v="1"/>
    <s v="01.11.80.308.6300.0000"/>
    <n v="468"/>
    <s v="11"/>
    <s v="6300"/>
    <n v="14740.96"/>
    <n v="468"/>
    <s v="CREDITOR"/>
    <n v="0"/>
    <n v="0"/>
    <n v="0"/>
    <n v="0"/>
    <n v="468"/>
  </r>
  <r>
    <n v="60404984"/>
    <s v="N"/>
    <n v="21331339"/>
    <s v="3000014692060005"/>
    <s v="CIVIL"/>
    <d v="2023-06-27T00:00:00"/>
    <d v="2023-07-05T19:01:47"/>
    <m/>
    <d v="2023-07-05T00:00:00"/>
    <n v="935"/>
    <n v="14302"/>
    <s v="60404984"/>
    <s v="60404984"/>
    <m/>
    <m/>
    <n v="22770100"/>
    <m/>
    <m/>
    <m/>
    <s v="SOLFIN"/>
    <s v="SOLFIN"/>
    <s v="CCMS"/>
    <n v="21331339"/>
    <n v="6820.21"/>
    <m/>
    <s v="N"/>
    <n v="5"/>
    <d v="2023-07-05T19:02:15"/>
    <s v="Y"/>
    <s v="Final Hearing - 1 Day"/>
    <s v="Public Law Children"/>
    <s v="Advocacy"/>
    <s v="Gareth Ingram"/>
    <s v="Y"/>
    <n v="556.88"/>
    <n v="111.38"/>
    <x v="6"/>
    <s v="VALIDATED"/>
    <n v="1"/>
    <s v="01.11.80.308.6100.0000"/>
    <n v="556.88"/>
    <s v="11"/>
    <s v="6100"/>
    <n v="14740.96"/>
    <n v="556.88"/>
    <s v="CREDITOR"/>
    <n v="0"/>
    <n v="0"/>
    <n v="0"/>
    <n v="0"/>
    <n v="556.88"/>
  </r>
  <r>
    <n v="60697158"/>
    <s v="N"/>
    <n v="21331291"/>
    <s v="3000014939990002"/>
    <s v="CIVIL"/>
    <d v="2023-06-27T00:00:00"/>
    <d v="2023-07-05T19:01:47"/>
    <m/>
    <d v="2023-07-05T00:00:00"/>
    <n v="935"/>
    <n v="14302"/>
    <s v="60697158"/>
    <s v="60697158"/>
    <m/>
    <m/>
    <n v="22770324"/>
    <m/>
    <m/>
    <m/>
    <s v="SOLFIN"/>
    <s v="SOLFIN"/>
    <s v="CCMS"/>
    <n v="21331291"/>
    <n v="3997.65"/>
    <m/>
    <s v="N"/>
    <n v="4"/>
    <d v="2023-07-05T19:02:13"/>
    <s v="Y"/>
    <s v="Solicitors Fixed Fee"/>
    <s v="Public Law Children"/>
    <s v="Profit Cost"/>
    <s v="Gareth Ingram"/>
    <s v="Y"/>
    <n v="2616"/>
    <n v="523.2"/>
    <x v="6"/>
    <s v="VALIDATED"/>
    <n v="1"/>
    <s v="01.11.80.308.6100.0000"/>
    <n v="2616"/>
    <s v="11"/>
    <s v="6100"/>
    <n v="14740.96"/>
    <n v="2616"/>
    <s v="CREDITOR"/>
    <n v="0"/>
    <n v="0"/>
    <n v="0"/>
    <n v="0"/>
    <n v="2616"/>
  </r>
  <r>
    <n v="61450787"/>
    <s v="N"/>
    <n v="21331185"/>
    <s v="3000015581940001"/>
    <s v="CIVIL"/>
    <d v="2023-06-27T00:00:00"/>
    <d v="2023-07-05T19:01:47"/>
    <m/>
    <d v="2023-07-05T00:00:00"/>
    <n v="935"/>
    <n v="14302"/>
    <s v="61450787"/>
    <s v="61450787"/>
    <m/>
    <m/>
    <n v="22769756"/>
    <m/>
    <m/>
    <m/>
    <s v="SOLFIN"/>
    <s v="SOLFIN"/>
    <s v="CCMS"/>
    <n v="21331185"/>
    <n v="3429.96"/>
    <m/>
    <s v="N"/>
    <n v="3"/>
    <d v="2023-07-05T19:02:09"/>
    <s v="Y"/>
    <s v="Solicitor Travel Mileage"/>
    <s v="Public Law Children"/>
    <s v="Non Expert Disbursement"/>
    <s v="Gareth Ingram"/>
    <s v="Y"/>
    <n v="22.5"/>
    <n v="4.5"/>
    <x v="6"/>
    <s v="VALIDATED"/>
    <n v="1"/>
    <s v="01.11.80.308.6300.0000"/>
    <n v="22.5"/>
    <s v="11"/>
    <s v="6300"/>
    <n v="14740.96"/>
    <n v="22.5"/>
    <s v="CREDITOR"/>
    <n v="0"/>
    <n v="0"/>
    <n v="0"/>
    <n v="0"/>
    <n v="22.5"/>
  </r>
  <r>
    <n v="60404984"/>
    <s v="N"/>
    <n v="21331339"/>
    <s v="3000014692060005"/>
    <s v="CIVIL"/>
    <d v="2023-06-27T00:00:00"/>
    <d v="2023-07-05T19:01:47"/>
    <m/>
    <d v="2023-07-05T00:00:00"/>
    <n v="935"/>
    <n v="14302"/>
    <s v="60404984"/>
    <s v="60404984"/>
    <m/>
    <m/>
    <n v="22770100"/>
    <m/>
    <m/>
    <m/>
    <s v="SOLFIN"/>
    <s v="SOLFIN"/>
    <s v="CCMS"/>
    <n v="21331339"/>
    <n v="6820.21"/>
    <m/>
    <s v="N"/>
    <n v="2"/>
    <d v="2023-07-05T19:02:15"/>
    <s v="Y"/>
    <s v="Expert - Other"/>
    <s v="Public Law Children"/>
    <s v="Expert Disbursement"/>
    <s v="Gareth Ingram"/>
    <s v="Y"/>
    <n v="354.4"/>
    <n v="70.88"/>
    <x v="6"/>
    <s v="VALIDATED"/>
    <n v="1"/>
    <s v="01.11.80.308.6300.0000"/>
    <n v="354.4"/>
    <s v="11"/>
    <s v="6300"/>
    <n v="14740.96"/>
    <n v="354.4"/>
    <s v="CREDITOR"/>
    <n v="0"/>
    <n v="0"/>
    <n v="0"/>
    <n v="0"/>
    <n v="354.4"/>
  </r>
  <r>
    <n v="60697158"/>
    <s v="N"/>
    <n v="21331291"/>
    <s v="3000014939990002"/>
    <s v="CIVIL"/>
    <d v="2023-06-27T00:00:00"/>
    <d v="2023-07-05T19:01:47"/>
    <m/>
    <d v="2023-07-05T00:00:00"/>
    <n v="935"/>
    <n v="14302"/>
    <s v="60697158"/>
    <s v="60697158"/>
    <m/>
    <m/>
    <n v="22770324"/>
    <m/>
    <m/>
    <m/>
    <s v="SOLFIN"/>
    <s v="SOLFIN"/>
    <s v="CCMS"/>
    <n v="21331291"/>
    <n v="3997.65"/>
    <m/>
    <s v="N"/>
    <n v="3"/>
    <d v="2023-07-05T19:02:13"/>
    <s v="Y"/>
    <s v="Hearing Unit 1.01 - 2.30 Hours"/>
    <s v="Public Law Children"/>
    <s v="Advocacy"/>
    <s v="Gareth Ingram"/>
    <s v="Y"/>
    <n v="238.46"/>
    <n v="47.69"/>
    <x v="6"/>
    <s v="VALIDATED"/>
    <n v="1"/>
    <s v="01.11.80.308.6100.0000"/>
    <n v="238.46"/>
    <s v="11"/>
    <s v="6100"/>
    <n v="14740.96"/>
    <n v="238.46"/>
    <s v="CREDITOR"/>
    <n v="0"/>
    <n v="0"/>
    <n v="0"/>
    <n v="0"/>
    <n v="238.46"/>
  </r>
  <r>
    <n v="61450787"/>
    <s v="N"/>
    <n v="21331185"/>
    <s v="3000015581940001"/>
    <s v="CIVIL"/>
    <d v="2023-06-27T00:00:00"/>
    <d v="2023-07-05T19:01:47"/>
    <m/>
    <d v="2023-07-05T00:00:00"/>
    <n v="935"/>
    <n v="14302"/>
    <s v="61450787"/>
    <s v="61450787"/>
    <m/>
    <m/>
    <n v="22769756"/>
    <m/>
    <m/>
    <m/>
    <s v="SOLFIN"/>
    <s v="SOLFIN"/>
    <s v="CCMS"/>
    <n v="21331185"/>
    <n v="3429.96"/>
    <m/>
    <s v="N"/>
    <n v="6"/>
    <d v="2023-07-05T19:02:09"/>
    <s v="Y"/>
    <s v="Solicitors Fixed Fee"/>
    <s v="Public Law Children"/>
    <s v="Profit Cost"/>
    <s v="Gareth Ingram"/>
    <s v="Y"/>
    <n v="2013"/>
    <n v="402.6"/>
    <x v="6"/>
    <s v="VALIDATED"/>
    <n v="1"/>
    <s v="01.11.80.308.6100.0000"/>
    <n v="2013"/>
    <s v="11"/>
    <s v="6100"/>
    <n v="14740.96"/>
    <n v="2013"/>
    <s v="CREDITOR"/>
    <n v="0"/>
    <n v="0"/>
    <n v="0"/>
    <n v="0"/>
    <n v="2013"/>
  </r>
  <r>
    <n v="60236049"/>
    <s v="N"/>
    <n v="21338206"/>
    <s v="3000014547000002"/>
    <s v="CIVIL"/>
    <d v="2023-06-27T00:00:00"/>
    <d v="2023-07-06T19:21:01"/>
    <m/>
    <d v="2023-07-06T00:00:00"/>
    <n v="935"/>
    <n v="14302"/>
    <s v="60236049"/>
    <s v="60236049"/>
    <m/>
    <m/>
    <n v="22770608"/>
    <m/>
    <m/>
    <m/>
    <s v="SOLFIN"/>
    <s v="SOLFIN"/>
    <s v="CCMS"/>
    <n v="21338206"/>
    <n v="5152.91"/>
    <m/>
    <s v="N"/>
    <n v="1"/>
    <d v="2023-07-06T19:21:12"/>
    <s v="Y"/>
    <s v="Final Hearing Court Bundle/Advocate"/>
    <s v="Public Law Children"/>
    <s v="Advocacy"/>
    <s v="Gareth Ingram"/>
    <s v="Y"/>
    <n v="239.4"/>
    <n v="47.88"/>
    <x v="4"/>
    <s v="VALIDATED"/>
    <n v="1"/>
    <s v="01.11.80.308.6100.0000"/>
    <n v="239.4"/>
    <s v="11"/>
    <s v="6100"/>
    <n v="14740.96"/>
    <n v="239.4"/>
    <s v="CREDITOR"/>
    <n v="0"/>
    <n v="0"/>
    <n v="0"/>
    <n v="0"/>
    <n v="239.4"/>
  </r>
  <r>
    <n v="61450787"/>
    <s v="N"/>
    <n v="21331185"/>
    <s v="3000015581940001"/>
    <s v="CIVIL"/>
    <d v="2023-06-27T00:00:00"/>
    <d v="2023-07-05T19:01:47"/>
    <m/>
    <d v="2023-07-05T00:00:00"/>
    <n v="935"/>
    <n v="14302"/>
    <s v="61450787"/>
    <s v="61450787"/>
    <m/>
    <m/>
    <n v="22769756"/>
    <m/>
    <m/>
    <m/>
    <s v="SOLFIN"/>
    <s v="SOLFIN"/>
    <s v="CCMS"/>
    <n v="21331185"/>
    <n v="3429.96"/>
    <m/>
    <s v="N"/>
    <n v="2"/>
    <d v="2023-07-05T19:02:09"/>
    <s v="Y"/>
    <s v="Solicitor Travel Mileage"/>
    <s v="Public Law Children"/>
    <s v="Non Expert Disbursement"/>
    <s v="Gareth Ingram"/>
    <s v="Y"/>
    <n v="22.5"/>
    <n v="4.5"/>
    <x v="6"/>
    <s v="VALIDATED"/>
    <n v="1"/>
    <s v="01.11.80.308.6300.0000"/>
    <n v="22.5"/>
    <s v="11"/>
    <s v="6300"/>
    <n v="14740.96"/>
    <n v="22.5"/>
    <s v="CREDITOR"/>
    <n v="0"/>
    <n v="0"/>
    <n v="0"/>
    <n v="0"/>
    <n v="22.5"/>
  </r>
  <r>
    <n v="60236049"/>
    <s v="N"/>
    <n v="21338206"/>
    <s v="3000014547000002"/>
    <s v="CIVIL"/>
    <d v="2023-06-27T00:00:00"/>
    <d v="2023-07-06T19:21:01"/>
    <m/>
    <d v="2023-07-06T00:00:00"/>
    <n v="935"/>
    <n v="14302"/>
    <s v="60236049"/>
    <s v="60236049"/>
    <m/>
    <m/>
    <n v="22770608"/>
    <m/>
    <m/>
    <m/>
    <s v="SOLFIN"/>
    <s v="SOLFIN"/>
    <s v="CCMS"/>
    <n v="21338206"/>
    <n v="5152.91"/>
    <m/>
    <s v="N"/>
    <n v="3"/>
    <d v="2023-07-06T19:21:12"/>
    <s v="Y"/>
    <s v="Expert - Other"/>
    <s v="Public Law Children"/>
    <s v="Expert Disbursement"/>
    <s v="Gareth Ingram"/>
    <s v="Y"/>
    <n v="77.2"/>
    <n v="15.44"/>
    <x v="4"/>
    <s v="VALIDATED"/>
    <n v="1"/>
    <s v="01.11.80.308.6300.0000"/>
    <n v="77.2"/>
    <s v="11"/>
    <s v="6300"/>
    <n v="14740.96"/>
    <n v="77.2"/>
    <s v="CREDITOR"/>
    <n v="0"/>
    <n v="0"/>
    <n v="0"/>
    <n v="0"/>
    <n v="77.2"/>
  </r>
  <r>
    <n v="60404984"/>
    <s v="N"/>
    <n v="21331339"/>
    <s v="3000014692060005"/>
    <s v="CIVIL"/>
    <d v="2023-06-27T00:00:00"/>
    <d v="2023-07-05T19:01:47"/>
    <m/>
    <d v="2023-07-05T00:00:00"/>
    <n v="935"/>
    <n v="14302"/>
    <s v="60404984"/>
    <s v="60404984"/>
    <m/>
    <m/>
    <n v="22770100"/>
    <m/>
    <m/>
    <m/>
    <s v="SOLFIN"/>
    <s v="SOLFIN"/>
    <s v="CCMS"/>
    <n v="21331339"/>
    <n v="6820.21"/>
    <m/>
    <s v="N"/>
    <n v="9"/>
    <d v="2023-07-05T19:02:15"/>
    <s v="Y"/>
    <s v="Hearing Unit 2.31 - 5.00 Hours"/>
    <s v="Public Law Children"/>
    <s v="Advocacy"/>
    <s v="Gareth Ingram"/>
    <s v="Y"/>
    <n v="476.92"/>
    <n v="95.38"/>
    <x v="6"/>
    <s v="VALIDATED"/>
    <n v="1"/>
    <s v="01.11.80.308.6100.0000"/>
    <n v="476.92"/>
    <s v="11"/>
    <s v="6100"/>
    <n v="14740.96"/>
    <n v="476.92"/>
    <s v="CREDITOR"/>
    <n v="0"/>
    <n v="0"/>
    <n v="0"/>
    <n v="0"/>
    <n v="476.92"/>
  </r>
  <r>
    <n v="60236049"/>
    <s v="N"/>
    <n v="21338206"/>
    <s v="3000014547000002"/>
    <s v="CIVIL"/>
    <d v="2023-06-27T00:00:00"/>
    <d v="2023-07-06T19:21:01"/>
    <m/>
    <d v="2023-07-06T00:00:00"/>
    <n v="935"/>
    <n v="14302"/>
    <s v="60236049"/>
    <s v="60236049"/>
    <m/>
    <m/>
    <n v="22770608"/>
    <m/>
    <m/>
    <m/>
    <s v="SOLFIN"/>
    <s v="SOLFIN"/>
    <s v="CCMS"/>
    <n v="21338206"/>
    <n v="5152.91"/>
    <m/>
    <s v="N"/>
    <n v="8"/>
    <d v="2023-07-06T19:21:12"/>
    <s v="Y"/>
    <s v="Hearing Unit 2.31 - 5.00 Hours"/>
    <s v="Public Law Children"/>
    <s v="Advocacy"/>
    <s v="Gareth Ingram"/>
    <s v="Y"/>
    <n v="476.92"/>
    <n v="95.38"/>
    <x v="4"/>
    <s v="VALIDATED"/>
    <n v="1"/>
    <s v="01.11.80.308.6100.0000"/>
    <n v="476.92"/>
    <s v="11"/>
    <s v="6100"/>
    <n v="14740.96"/>
    <n v="476.92"/>
    <s v="CREDITOR"/>
    <n v="0"/>
    <n v="0"/>
    <n v="0"/>
    <n v="0"/>
    <n v="476.92"/>
  </r>
  <r>
    <n v="60404984"/>
    <s v="N"/>
    <n v="21333795"/>
    <s v="3000014692060002RC"/>
    <s v="CIVIL"/>
    <d v="2023-06-27T00:00:00"/>
    <d v="2023-07-05T19:42:28"/>
    <m/>
    <d v="2023-07-05T00:00:00"/>
    <n v="935"/>
    <n v="14302"/>
    <s v="60404984"/>
    <s v="60404984"/>
    <m/>
    <m/>
    <m/>
    <m/>
    <m/>
    <m/>
    <s v="SOLRECOUP"/>
    <s v="SOLRECOUP"/>
    <s v="POARECOUP"/>
    <n v="21333795"/>
    <n v="-468"/>
    <m/>
    <s v="Y"/>
    <n v="1"/>
    <d v="2023-07-05T19:42:29"/>
    <s v="N"/>
    <m/>
    <m/>
    <s v="Expert Disbursement"/>
    <m/>
    <s v="N"/>
    <n v="-468"/>
    <n v="0"/>
    <x v="6"/>
    <s v="VALIDATED"/>
    <n v="1"/>
    <s v="01.11.80.308.2013.0000"/>
    <n v="-468"/>
    <s v="11"/>
    <s v="2013"/>
    <n v="14740.96"/>
    <n v="-468"/>
    <s v="CREDITOR"/>
    <n v="0"/>
    <n v="0"/>
    <n v="-468"/>
    <n v="0"/>
    <n v="0"/>
  </r>
  <r>
    <n v="60404984"/>
    <s v="N"/>
    <n v="21333795"/>
    <s v="3000014692060002RC"/>
    <s v="CIVIL"/>
    <d v="2023-06-27T00:00:00"/>
    <d v="2023-07-05T19:42:28"/>
    <m/>
    <d v="2023-07-05T00:00:00"/>
    <n v="935"/>
    <n v="14302"/>
    <s v="60404984"/>
    <s v="60404984"/>
    <m/>
    <m/>
    <m/>
    <m/>
    <m/>
    <m/>
    <s v="SOLRECOUP"/>
    <s v="SOLRECOUP"/>
    <s v="POARECOUP"/>
    <n v="21333795"/>
    <n v="-468"/>
    <m/>
    <s v="Y"/>
    <n v="2"/>
    <d v="2023-07-05T19:42:29"/>
    <s v="N"/>
    <m/>
    <m/>
    <s v="Expert Disbursement"/>
    <m/>
    <s v="N"/>
    <n v="0"/>
    <n v="0"/>
    <x v="6"/>
    <s v="VALIDATED"/>
    <n v="1"/>
    <s v="01.11.80.000.0000.0000"/>
    <n v="0"/>
    <s v="11"/>
    <s v="0000"/>
    <n v="14740.96"/>
    <n v="0"/>
    <s v="CREDITOR"/>
    <n v="0"/>
    <n v="0"/>
    <n v="0"/>
    <n v="0"/>
    <n v="0"/>
  </r>
  <r>
    <n v="60404984"/>
    <s v="N"/>
    <n v="21333796"/>
    <s v="3000014692060001RC"/>
    <s v="CIVIL"/>
    <d v="2023-06-27T00:00:00"/>
    <d v="2023-07-05T19:42:28"/>
    <m/>
    <d v="2023-07-05T00:00:00"/>
    <n v="935"/>
    <n v="14302"/>
    <s v="60404984"/>
    <s v="60404984"/>
    <m/>
    <m/>
    <m/>
    <m/>
    <m/>
    <m/>
    <s v="SOLRECOUP"/>
    <s v="SOLRECOUP"/>
    <s v="POARECOUP"/>
    <n v="21333796"/>
    <n v="-425.28"/>
    <m/>
    <s v="Y"/>
    <n v="1"/>
    <d v="2023-07-05T19:42:29"/>
    <s v="N"/>
    <m/>
    <m/>
    <s v="Expert Disbursement"/>
    <m/>
    <s v="N"/>
    <n v="-354.4"/>
    <n v="0"/>
    <x v="6"/>
    <s v="VALIDATED"/>
    <n v="1"/>
    <s v="01.11.80.308.2013.0000"/>
    <n v="-354.4"/>
    <s v="11"/>
    <s v="2013"/>
    <n v="14740.96"/>
    <n v="-354.4"/>
    <s v="CREDITOR"/>
    <n v="0"/>
    <n v="0"/>
    <n v="-354.4"/>
    <n v="0"/>
    <n v="0"/>
  </r>
  <r>
    <n v="60404984"/>
    <s v="N"/>
    <n v="21333796"/>
    <s v="3000014692060001RC"/>
    <s v="CIVIL"/>
    <d v="2023-06-27T00:00:00"/>
    <d v="2023-07-05T19:42:28"/>
    <m/>
    <d v="2023-07-05T00:00:00"/>
    <n v="935"/>
    <n v="14302"/>
    <s v="60404984"/>
    <s v="60404984"/>
    <m/>
    <m/>
    <m/>
    <m/>
    <m/>
    <m/>
    <s v="SOLRECOUP"/>
    <s v="SOLRECOUP"/>
    <s v="POARECOUP"/>
    <n v="21333796"/>
    <n v="-425.28"/>
    <m/>
    <s v="Y"/>
    <n v="2"/>
    <d v="2023-07-05T19:42:29"/>
    <s v="N"/>
    <m/>
    <m/>
    <s v="Expert Disbursement"/>
    <m/>
    <s v="N"/>
    <n v="0"/>
    <n v="-70.88"/>
    <x v="6"/>
    <s v="VALIDATED"/>
    <n v="1"/>
    <s v="01.11.80.308.2013.0000"/>
    <n v="-70.88"/>
    <s v="11"/>
    <s v="2013"/>
    <n v="14740.96"/>
    <n v="-70.88"/>
    <s v="CREDITOR"/>
    <n v="0"/>
    <n v="0"/>
    <n v="-70.88"/>
    <n v="0"/>
    <n v="0"/>
  </r>
  <r>
    <n v="60404984"/>
    <s v="N"/>
    <n v="21333797"/>
    <s v="3000014692060004RC"/>
    <s v="CIVIL"/>
    <d v="2023-06-27T00:00:00"/>
    <d v="2023-07-05T19:42:28"/>
    <m/>
    <d v="2023-07-05T00:00:00"/>
    <n v="935"/>
    <n v="14302"/>
    <s v="60404984"/>
    <s v="60404984"/>
    <m/>
    <m/>
    <m/>
    <m/>
    <m/>
    <m/>
    <s v="SOLRECOUP"/>
    <s v="SOLRECOUP"/>
    <s v="POARECOUP"/>
    <n v="21333797"/>
    <n v="-518.4"/>
    <m/>
    <s v="Y"/>
    <n v="1"/>
    <d v="2023-07-05T19:42:29"/>
    <s v="N"/>
    <m/>
    <m/>
    <s v="Expert Disbursement"/>
    <m/>
    <s v="N"/>
    <n v="-432"/>
    <n v="0"/>
    <x v="6"/>
    <s v="VALIDATED"/>
    <n v="1"/>
    <s v="01.11.80.308.2013.0000"/>
    <n v="-432"/>
    <s v="11"/>
    <s v="2013"/>
    <n v="14740.96"/>
    <n v="-432"/>
    <s v="CREDITOR"/>
    <n v="0"/>
    <n v="0"/>
    <n v="-432"/>
    <n v="0"/>
    <n v="0"/>
  </r>
  <r>
    <n v="60404984"/>
    <s v="N"/>
    <n v="21333797"/>
    <s v="3000014692060004RC"/>
    <s v="CIVIL"/>
    <d v="2023-06-27T00:00:00"/>
    <d v="2023-07-05T19:42:28"/>
    <m/>
    <d v="2023-07-05T00:00:00"/>
    <n v="935"/>
    <n v="14302"/>
    <s v="60404984"/>
    <s v="60404984"/>
    <m/>
    <m/>
    <m/>
    <m/>
    <m/>
    <m/>
    <s v="SOLRECOUP"/>
    <s v="SOLRECOUP"/>
    <s v="POARECOUP"/>
    <n v="21333797"/>
    <n v="-518.4"/>
    <m/>
    <s v="Y"/>
    <n v="2"/>
    <d v="2023-07-05T19:42:29"/>
    <s v="N"/>
    <m/>
    <m/>
    <s v="Expert Disbursement"/>
    <m/>
    <s v="N"/>
    <n v="0"/>
    <n v="-86.40000000000001"/>
    <x v="6"/>
    <s v="VALIDATED"/>
    <n v="1"/>
    <s v="01.11.80.308.2013.0000"/>
    <n v="-86.40000000000001"/>
    <s v="11"/>
    <s v="2013"/>
    <n v="14740.96"/>
    <n v="-86.40000000000001"/>
    <s v="CREDITOR"/>
    <n v="0"/>
    <n v="0"/>
    <n v="-86.40000000000001"/>
    <n v="0"/>
    <n v="0"/>
  </r>
  <r>
    <n v="60404984"/>
    <s v="N"/>
    <n v="21331339"/>
    <s v="3000014692060005"/>
    <s v="CIVIL"/>
    <d v="2023-06-27T00:00:00"/>
    <d v="2023-07-05T19:01:47"/>
    <m/>
    <d v="2023-07-05T00:00:00"/>
    <n v="935"/>
    <n v="14302"/>
    <s v="60404984"/>
    <s v="60404984"/>
    <m/>
    <m/>
    <n v="22770100"/>
    <m/>
    <m/>
    <m/>
    <s v="SOLFIN"/>
    <s v="SOLFIN"/>
    <s v="CCMS"/>
    <n v="21331339"/>
    <n v="6820.21"/>
    <m/>
    <s v="N"/>
    <n v="6"/>
    <d v="2023-07-05T19:02:15"/>
    <s v="Y"/>
    <s v="Advocates Meeting"/>
    <s v="Public Law Children"/>
    <s v="Advocacy"/>
    <s v="Gareth Ingram"/>
    <s v="Y"/>
    <n v="140.99"/>
    <n v="28.2"/>
    <x v="6"/>
    <s v="VALIDATED"/>
    <n v="1"/>
    <s v="01.11.80.308.6100.0000"/>
    <n v="140.99"/>
    <s v="11"/>
    <s v="6100"/>
    <n v="14740.96"/>
    <n v="140.99"/>
    <s v="CREDITOR"/>
    <n v="0"/>
    <n v="0"/>
    <n v="0"/>
    <n v="0"/>
    <n v="140.99"/>
  </r>
  <r>
    <n v="60236049"/>
    <s v="N"/>
    <n v="21339960"/>
    <s v="3000014547000001RC"/>
    <s v="CIVIL"/>
    <d v="2023-06-27T00:00:00"/>
    <d v="2023-07-06T19:54:22"/>
    <m/>
    <d v="2023-07-06T00:00:00"/>
    <n v="935"/>
    <n v="14302"/>
    <s v="60236049"/>
    <s v="60236049"/>
    <m/>
    <m/>
    <m/>
    <m/>
    <m/>
    <m/>
    <s v="SOLRECOUP"/>
    <s v="SOLRECOUP"/>
    <s v="POARECOUP"/>
    <n v="21339960"/>
    <n v="-92.64"/>
    <m/>
    <s v="Y"/>
    <n v="1"/>
    <d v="2023-07-06T19:54:23"/>
    <s v="N"/>
    <m/>
    <m/>
    <s v="Expert Disbursement"/>
    <m/>
    <s v="N"/>
    <n v="-77.2"/>
    <n v="0"/>
    <x v="4"/>
    <s v="VALIDATED"/>
    <n v="1"/>
    <s v="01.11.80.308.2013.0000"/>
    <n v="-77.2"/>
    <s v="11"/>
    <s v="2013"/>
    <n v="14740.96"/>
    <n v="-77.2"/>
    <s v="CREDITOR"/>
    <n v="0"/>
    <n v="0"/>
    <n v="-77.2"/>
    <n v="0"/>
    <n v="0"/>
  </r>
  <r>
    <n v="60236049"/>
    <s v="N"/>
    <n v="21339960"/>
    <s v="3000014547000001RC"/>
    <s v="CIVIL"/>
    <d v="2023-06-27T00:00:00"/>
    <d v="2023-07-06T19:54:22"/>
    <m/>
    <d v="2023-07-06T00:00:00"/>
    <n v="935"/>
    <n v="14302"/>
    <s v="60236049"/>
    <s v="60236049"/>
    <m/>
    <m/>
    <m/>
    <m/>
    <m/>
    <m/>
    <s v="SOLRECOUP"/>
    <s v="SOLRECOUP"/>
    <s v="POARECOUP"/>
    <n v="21339960"/>
    <n v="-92.64"/>
    <m/>
    <s v="Y"/>
    <n v="2"/>
    <d v="2023-07-06T19:54:23"/>
    <s v="N"/>
    <m/>
    <m/>
    <s v="Expert Disbursement"/>
    <m/>
    <s v="N"/>
    <n v="0"/>
    <n v="-15.44"/>
    <x v="4"/>
    <s v="VALIDATED"/>
    <n v="1"/>
    <s v="01.11.80.308.2013.0000"/>
    <n v="-15.44"/>
    <s v="11"/>
    <s v="2013"/>
    <n v="14740.96"/>
    <n v="-15.44"/>
    <s v="CREDITOR"/>
    <n v="0"/>
    <n v="0"/>
    <n v="-15.44"/>
    <n v="0"/>
    <n v="0"/>
  </r>
  <r>
    <n v="61475396"/>
    <s v="N"/>
    <n v="21321522"/>
    <s v="3000015604090007"/>
    <s v="CIVIL"/>
    <d v="2023-06-29T00:00:00"/>
    <d v="2023-07-03T19:05:17"/>
    <m/>
    <d v="2023-07-03T00:00:00"/>
    <n v="958"/>
    <n v="17563"/>
    <s v="61475396"/>
    <s v="61475396"/>
    <m/>
    <m/>
    <n v="22787086"/>
    <m/>
    <m/>
    <m/>
    <s v="SOLPOA"/>
    <s v="SOLPOA"/>
    <s v="CCMS"/>
    <n v="21321522"/>
    <n v="53"/>
    <m/>
    <s v="N"/>
    <n v="1"/>
    <d v="2023-07-03T19:05:19"/>
    <s v="N"/>
    <s v="Non Expert Disbursement"/>
    <s v="Non Expert Disbursement"/>
    <s v="Non Expert Disbursement"/>
    <s v="AM"/>
    <s v="N"/>
    <n v="53"/>
    <n v="0"/>
    <x v="3"/>
    <s v="VALIDATED"/>
    <n v="1"/>
    <s v="01.11.80.308.2012.0000"/>
    <n v="53"/>
    <s v="11"/>
    <s v="2012"/>
    <n v="6749.83"/>
    <n v="53"/>
    <s v="CREDITOR"/>
    <n v="53"/>
    <n v="0"/>
    <n v="0"/>
    <n v="0"/>
    <n v="0"/>
  </r>
  <r>
    <n v="61690119"/>
    <s v="N"/>
    <n v="21343810"/>
    <s v="3000015784540009"/>
    <s v="CIVIL"/>
    <d v="2023-06-30T00:00:00"/>
    <d v="2023-07-07T19:03:00"/>
    <m/>
    <d v="2023-07-07T00:00:00"/>
    <n v="958"/>
    <n v="17563"/>
    <s v="61690119"/>
    <s v="61690119"/>
    <m/>
    <m/>
    <n v="22800568"/>
    <m/>
    <m/>
    <m/>
    <s v="SOLPOA"/>
    <s v="SOLPOA"/>
    <s v="CCMS"/>
    <n v="21343810"/>
    <n v="620.7"/>
    <m/>
    <s v="N"/>
    <n v="1"/>
    <d v="2023-07-07T19:03:13"/>
    <s v="N"/>
    <s v="Expert Cost"/>
    <s v="Expert Cost"/>
    <s v="Expert Disbursement"/>
    <s v="AM"/>
    <s v="N"/>
    <n v="517.25"/>
    <n v="103.45"/>
    <x v="9"/>
    <s v="VALIDATED"/>
    <n v="1"/>
    <s v="01.11.80.308.2012.0000"/>
    <n v="517.25"/>
    <s v="11"/>
    <s v="2012"/>
    <n v="6749.83"/>
    <n v="517.25"/>
    <s v="CREDITOR"/>
    <n v="517.25"/>
    <n v="0"/>
    <n v="0"/>
    <n v="0"/>
    <n v="0"/>
  </r>
  <r>
    <n v="62084833"/>
    <s v="N"/>
    <n v="21322042"/>
    <s v="3000016114100003"/>
    <s v="CIVIL"/>
    <d v="2023-06-28T00:00:00"/>
    <d v="2023-07-03T19:05:17"/>
    <m/>
    <d v="2023-07-03T00:00:00"/>
    <n v="958"/>
    <n v="17563"/>
    <s v="62084833"/>
    <s v="62084833"/>
    <m/>
    <m/>
    <n v="22784058"/>
    <m/>
    <m/>
    <m/>
    <s v="SOLPOA"/>
    <s v="SOLPOA"/>
    <s v="CCMS"/>
    <n v="21322042"/>
    <n v="2412.83"/>
    <m/>
    <s v="N"/>
    <n v="1"/>
    <d v="2023-07-03T19:05:22"/>
    <s v="N"/>
    <s v="Profit Cost"/>
    <s v="Profit Cost"/>
    <s v="Profit Cost"/>
    <s v="Jonathan Hall"/>
    <s v="N"/>
    <n v="2010.69"/>
    <n v="402.14"/>
    <x v="3"/>
    <s v="VALIDATED"/>
    <n v="1"/>
    <s v="01.11.80.305.2012.0000"/>
    <n v="2010.69"/>
    <s v="11"/>
    <s v="2012"/>
    <n v="6749.83"/>
    <n v="2010.69"/>
    <s v="CREDITOR"/>
    <n v="2010.69"/>
    <n v="502.6725"/>
    <n v="0"/>
    <n v="0"/>
    <n v="0"/>
  </r>
  <r>
    <n v="62462571"/>
    <s v="N"/>
    <n v="21321716"/>
    <s v="3000016426320002"/>
    <s v="CIVIL"/>
    <d v="2023-06-29T00:00:00"/>
    <d v="2023-07-03T19:05:17"/>
    <m/>
    <d v="2023-07-03T00:00:00"/>
    <n v="958"/>
    <n v="17563"/>
    <s v="62462571"/>
    <s v="62462571"/>
    <m/>
    <m/>
    <n v="22785098"/>
    <m/>
    <m/>
    <m/>
    <s v="SOLPOA"/>
    <s v="SOLPOA"/>
    <s v="CCMS"/>
    <n v="21321716"/>
    <n v="61.5"/>
    <m/>
    <s v="N"/>
    <n v="1"/>
    <d v="2023-07-03T19:05:20"/>
    <s v="N"/>
    <s v="Expert Cost"/>
    <s v="Expert Cost"/>
    <s v="Expert Disbursement"/>
    <s v="AM"/>
    <s v="N"/>
    <n v="51.25"/>
    <n v="10.25"/>
    <x v="3"/>
    <s v="VALIDATED"/>
    <n v="1"/>
    <s v="01.11.80.308.2012.0000"/>
    <n v="51.25"/>
    <s v="11"/>
    <s v="2012"/>
    <n v="6749.83"/>
    <n v="51.25"/>
    <s v="CREDITOR"/>
    <n v="51.25"/>
    <n v="0"/>
    <n v="0"/>
    <n v="0"/>
    <n v="0"/>
  </r>
  <r>
    <n v="61307136"/>
    <s v="N"/>
    <n v="21321689"/>
    <s v="3000015464450009"/>
    <s v="CIVIL"/>
    <d v="2023-06-29T00:00:00"/>
    <d v="2023-07-03T19:05:17"/>
    <m/>
    <d v="2023-07-03T00:00:00"/>
    <n v="958"/>
    <n v="17563"/>
    <s v="61307136"/>
    <s v="61307136"/>
    <m/>
    <m/>
    <n v="22785426"/>
    <m/>
    <m/>
    <m/>
    <s v="SOLPOA"/>
    <s v="SOLPOA"/>
    <s v="CCMS"/>
    <n v="21321689"/>
    <n v="12.88"/>
    <m/>
    <s v="N"/>
    <n v="1"/>
    <d v="2023-07-03T19:05:20"/>
    <s v="N"/>
    <s v="Non Expert Disbursement"/>
    <s v="Non Expert Disbursement"/>
    <s v="Non Expert Disbursement"/>
    <s v="Hannah Davies"/>
    <s v="N"/>
    <n v="10.73"/>
    <n v="2.15"/>
    <x v="3"/>
    <s v="VALIDATED"/>
    <n v="1"/>
    <s v="01.11.80.308.2012.0000"/>
    <n v="10.73"/>
    <s v="11"/>
    <s v="2012"/>
    <n v="6749.83"/>
    <n v="10.73"/>
    <s v="CREDITOR"/>
    <n v="10.73"/>
    <n v="0"/>
    <n v="0"/>
    <n v="0"/>
    <n v="0"/>
  </r>
  <r>
    <n v="61780781"/>
    <s v="N"/>
    <n v="21321688"/>
    <s v="3000015857290007"/>
    <s v="CIVIL"/>
    <d v="2023-06-29T00:00:00"/>
    <d v="2023-07-03T19:05:17"/>
    <m/>
    <d v="2023-07-03T00:00:00"/>
    <n v="958"/>
    <n v="17563"/>
    <s v="61780781"/>
    <s v="61780781"/>
    <m/>
    <m/>
    <n v="22786088"/>
    <m/>
    <m/>
    <m/>
    <s v="SOLPOA"/>
    <s v="SOLPOA"/>
    <s v="CCMS"/>
    <n v="21321688"/>
    <n v="12.88"/>
    <m/>
    <s v="N"/>
    <n v="1"/>
    <d v="2023-07-03T19:05:20"/>
    <s v="N"/>
    <s v="Non Expert Disbursement"/>
    <s v="Non Expert Disbursement"/>
    <s v="Non Expert Disbursement"/>
    <s v="Hannah Davies"/>
    <s v="N"/>
    <n v="10.73"/>
    <n v="2.15"/>
    <x v="3"/>
    <s v="VALIDATED"/>
    <n v="1"/>
    <s v="01.11.80.308.2012.0000"/>
    <n v="10.73"/>
    <s v="11"/>
    <s v="2012"/>
    <n v="6749.83"/>
    <n v="10.73"/>
    <s v="CREDITOR"/>
    <n v="10.73"/>
    <n v="0"/>
    <n v="0"/>
    <n v="0"/>
    <n v="0"/>
  </r>
  <r>
    <n v="62326848"/>
    <s v="N"/>
    <n v="21319979"/>
    <s v="3000016314480002"/>
    <s v="CIVIL"/>
    <d v="2023-06-27T00:00:00"/>
    <d v="2023-07-03T19:04:24"/>
    <m/>
    <d v="2023-07-03T00:00:00"/>
    <n v="958"/>
    <n v="17563"/>
    <s v="62326848"/>
    <s v="62326848"/>
    <m/>
    <m/>
    <n v="22770714"/>
    <m/>
    <m/>
    <m/>
    <s v="SOLPOA"/>
    <s v="SOLPOA"/>
    <s v="CCMS"/>
    <n v="21319979"/>
    <n v="806.64"/>
    <m/>
    <s v="N"/>
    <n v="1"/>
    <d v="2023-07-03T19:04:28"/>
    <s v="N"/>
    <s v="Expert Cost"/>
    <s v="Expert Cost"/>
    <s v="Expert Disbursement"/>
    <s v="AM"/>
    <s v="N"/>
    <n v="672.2"/>
    <n v="134.44"/>
    <x v="3"/>
    <s v="VALIDATED"/>
    <n v="1"/>
    <s v="01.11.80.308.2012.0000"/>
    <n v="672.2"/>
    <s v="11"/>
    <s v="2012"/>
    <n v="6749.83"/>
    <n v="672.2"/>
    <s v="CREDITOR"/>
    <n v="672.2"/>
    <n v="0"/>
    <n v="0"/>
    <n v="0"/>
    <n v="0"/>
  </r>
  <r>
    <n v="62326848"/>
    <s v="N"/>
    <n v="21343642"/>
    <s v="3000016314480003"/>
    <s v="CIVIL"/>
    <d v="2023-06-29T00:00:00"/>
    <d v="2023-07-07T19:03:00"/>
    <m/>
    <d v="2023-07-07T00:00:00"/>
    <n v="958"/>
    <n v="17563"/>
    <s v="62326848"/>
    <s v="62326848"/>
    <m/>
    <m/>
    <n v="22791858"/>
    <m/>
    <m/>
    <m/>
    <s v="SOLPOA"/>
    <s v="SOLPOA"/>
    <s v="CCMS"/>
    <n v="21343642"/>
    <n v="496.56"/>
    <m/>
    <s v="N"/>
    <n v="1"/>
    <d v="2023-07-07T19:03:11"/>
    <s v="N"/>
    <s v="Expert Cost"/>
    <s v="Expert Cost"/>
    <s v="Expert Disbursement"/>
    <s v="AM"/>
    <s v="N"/>
    <n v="413.8"/>
    <n v="82.76000000000001"/>
    <x v="9"/>
    <s v="VALIDATED"/>
    <n v="1"/>
    <s v="01.11.80.308.2012.0000"/>
    <n v="413.8"/>
    <s v="11"/>
    <s v="2012"/>
    <n v="6749.83"/>
    <n v="413.8"/>
    <s v="CREDITOR"/>
    <n v="413.8"/>
    <n v="0"/>
    <n v="0"/>
    <n v="0"/>
    <n v="0"/>
  </r>
  <r>
    <n v="61331705"/>
    <s v="N"/>
    <n v="21320756"/>
    <s v="3000015483970010"/>
    <s v="CIVIL"/>
    <d v="2023-06-28T00:00:00"/>
    <d v="2023-07-03T19:04:52"/>
    <m/>
    <d v="2023-07-03T00:00:00"/>
    <n v="958"/>
    <n v="17563"/>
    <s v="61331705"/>
    <s v="61331705"/>
    <m/>
    <m/>
    <n v="22779894"/>
    <m/>
    <m/>
    <m/>
    <s v="SOLPOA"/>
    <s v="SOLPOA"/>
    <s v="CCMS"/>
    <n v="21320756"/>
    <n v="172.8"/>
    <m/>
    <s v="N"/>
    <n v="1"/>
    <d v="2023-07-03T19:04:56"/>
    <s v="N"/>
    <s v="Expert Cost"/>
    <s v="Expert Cost"/>
    <s v="Expert Disbursement"/>
    <s v="Jonathan Hall"/>
    <s v="N"/>
    <n v="144"/>
    <n v="28.8"/>
    <x v="3"/>
    <s v="VALIDATED"/>
    <n v="1"/>
    <s v="01.11.80.308.2012.0000"/>
    <n v="144"/>
    <s v="11"/>
    <s v="2012"/>
    <n v="6749.83"/>
    <n v="144"/>
    <s v="CREDITOR"/>
    <n v="144"/>
    <n v="0"/>
    <n v="0"/>
    <n v="0"/>
    <n v="0"/>
  </r>
  <r>
    <n v="62108253"/>
    <s v="N"/>
    <n v="21320270"/>
    <s v="3000016134390002"/>
    <s v="CIVIL"/>
    <d v="2023-06-28T00:00:00"/>
    <d v="2023-07-03T19:04:52"/>
    <m/>
    <d v="2023-07-03T00:00:00"/>
    <n v="958"/>
    <n v="17563"/>
    <s v="62108253"/>
    <s v="62108253"/>
    <m/>
    <m/>
    <n v="22779052"/>
    <m/>
    <m/>
    <m/>
    <s v="SOLPOA"/>
    <s v="SOLPOA"/>
    <s v="CCMS"/>
    <n v="21320270"/>
    <n v="682.8099999999999"/>
    <m/>
    <s v="N"/>
    <n v="1"/>
    <d v="2023-07-03T19:04:53"/>
    <s v="N"/>
    <s v="Profit Cost"/>
    <s v="Profit Cost"/>
    <s v="Profit Cost"/>
    <s v="Jonathan Hall"/>
    <s v="N"/>
    <n v="569.01"/>
    <n v="113.8"/>
    <x v="3"/>
    <s v="VALIDATED"/>
    <n v="1"/>
    <s v="01.11.80.305.2012.0000"/>
    <n v="569.01"/>
    <s v="11"/>
    <s v="2012"/>
    <n v="6749.83"/>
    <n v="569.01"/>
    <s v="CREDITOR"/>
    <n v="569.01"/>
    <n v="142.2525"/>
    <n v="0"/>
    <n v="0"/>
    <n v="0"/>
  </r>
  <r>
    <n v="62072044"/>
    <s v="N"/>
    <n v="21320317"/>
    <s v="3000016103750002"/>
    <s v="CIVIL"/>
    <d v="2023-06-28T00:00:00"/>
    <d v="2023-07-03T19:04:52"/>
    <m/>
    <d v="2023-07-03T00:00:00"/>
    <n v="958"/>
    <n v="17563"/>
    <s v="62072044"/>
    <s v="62072044"/>
    <m/>
    <m/>
    <n v="22779164"/>
    <m/>
    <m/>
    <m/>
    <s v="SOLPOA"/>
    <s v="SOLPOA"/>
    <s v="CCMS"/>
    <n v="21320317"/>
    <n v="2756.6"/>
    <m/>
    <s v="N"/>
    <n v="1"/>
    <d v="2023-07-03T19:04:53"/>
    <s v="N"/>
    <s v="Solicitors Fixed Fee"/>
    <s v="Public Law Children"/>
    <s v="Profit Cost"/>
    <s v="Jonathan Hall"/>
    <s v="N"/>
    <n v="2297.17"/>
    <n v="459.43"/>
    <x v="3"/>
    <s v="VALIDATED"/>
    <n v="1"/>
    <s v="01.11.80.308.2012.0000"/>
    <n v="2297.17"/>
    <s v="11"/>
    <s v="2012"/>
    <n v="6749.83"/>
    <n v="2297.17"/>
    <s v="CREDITOR"/>
    <n v="2297.17"/>
    <n v="574.2925"/>
    <n v="0"/>
    <n v="0"/>
    <n v="0"/>
  </r>
  <r>
    <n v="60972456"/>
    <s v="N"/>
    <n v="21319242"/>
    <s v="3000015183660008"/>
    <s v="CIVIL"/>
    <d v="2023-06-27T00:00:00"/>
    <d v="2023-07-03T19:04:24"/>
    <m/>
    <d v="2023-07-03T00:00:00"/>
    <n v="982"/>
    <n v="1769"/>
    <s v="60972456"/>
    <s v="60972456"/>
    <m/>
    <m/>
    <n v="22773758"/>
    <m/>
    <m/>
    <m/>
    <s v="SOLPOA"/>
    <s v="SOLPOA"/>
    <s v="CCMS"/>
    <n v="21319242"/>
    <n v="23.15"/>
    <m/>
    <s v="N"/>
    <n v="1"/>
    <d v="2023-07-03T19:04:24"/>
    <s v="N"/>
    <s v="Non Expert Disbursement"/>
    <s v="Non Expert Disbursement"/>
    <s v="Non Expert Disbursement"/>
    <s v="Victoria Hubball"/>
    <s v="N"/>
    <n v="23.15"/>
    <n v="0"/>
    <x v="3"/>
    <s v="VALIDATED"/>
    <n v="1"/>
    <s v="01.11.80.308.2012.0000"/>
    <n v="23.15"/>
    <s v="11"/>
    <s v="2012"/>
    <n v="727.23"/>
    <n v="23.15"/>
    <s v="CREDITOR"/>
    <n v="23.15"/>
    <n v="0"/>
    <n v="0"/>
    <n v="0"/>
    <n v="0"/>
  </r>
  <r>
    <n v="62121597"/>
    <s v="N"/>
    <n v="21322985"/>
    <s v="3000016145430003"/>
    <s v="CIVIL"/>
    <d v="2023-06-29T00:00:00"/>
    <d v="2023-07-03T19:05:36"/>
    <m/>
    <d v="2023-07-03T00:00:00"/>
    <n v="982"/>
    <n v="1769"/>
    <s v="62121597"/>
    <s v="62121597"/>
    <m/>
    <m/>
    <n v="22792854"/>
    <m/>
    <m/>
    <m/>
    <s v="SOLPOA"/>
    <s v="SOLPOA"/>
    <s v="CCMS"/>
    <n v="21322985"/>
    <n v="844.9"/>
    <m/>
    <s v="N"/>
    <n v="1"/>
    <d v="2023-07-03T19:05:41"/>
    <s v="N"/>
    <s v="Expert Cost"/>
    <s v="Expert Cost"/>
    <s v="Expert Disbursement"/>
    <s v="Oxford Human Sciences"/>
    <s v="N"/>
    <n v="704.08"/>
    <n v="140.82"/>
    <x v="3"/>
    <s v="VALIDATED"/>
    <n v="1"/>
    <s v="01.11.80.308.2012.0000"/>
    <n v="704.08"/>
    <s v="11"/>
    <s v="2012"/>
    <n v="727.23"/>
    <n v="704.08"/>
    <s v="CREDITOR"/>
    <n v="704.08"/>
    <n v="0"/>
    <n v="0"/>
    <n v="0"/>
    <n v="0"/>
  </r>
  <r>
    <n v="59768251"/>
    <s v="N"/>
    <n v="21321803"/>
    <s v="3000014144050018"/>
    <s v="CIVIL"/>
    <d v="2023-06-29T00:00:00"/>
    <d v="2023-07-03T19:05:17"/>
    <m/>
    <d v="2023-07-03T00:00:00"/>
    <n v="996"/>
    <n v="3492"/>
    <s v="59768251"/>
    <s v="59768251"/>
    <m/>
    <m/>
    <n v="22787520"/>
    <m/>
    <m/>
    <m/>
    <s v="SOLPOA"/>
    <s v="SOLPOA"/>
    <s v="CCMS"/>
    <n v="21321803"/>
    <n v="6674.08"/>
    <m/>
    <s v="N"/>
    <n v="1"/>
    <d v="2023-07-03T19:05:21"/>
    <s v="N"/>
    <s v="Solicitors Fixed Fee"/>
    <s v="Public Law Children"/>
    <s v="Profit Cost"/>
    <s v="Vasoulla Constantinou"/>
    <s v="N"/>
    <n v="5561.73"/>
    <n v="1112.35"/>
    <x v="3"/>
    <s v="VALIDATED"/>
    <n v="1"/>
    <s v="01.11.80.308.2012.0000"/>
    <n v="5561.73"/>
    <s v="11"/>
    <s v="2012"/>
    <n v="42107.88"/>
    <n v="5561.73"/>
    <s v="CREDITOR"/>
    <n v="5561.73"/>
    <n v="1390.4325"/>
    <n v="0"/>
    <n v="0"/>
    <n v="0"/>
  </r>
  <r>
    <n v="43675577"/>
    <s v="N"/>
    <n v="21320070"/>
    <s v="3000011588250005"/>
    <s v="CIVIL"/>
    <d v="2023-06-27T00:00:00"/>
    <d v="2023-07-03T19:04:24"/>
    <m/>
    <d v="2023-07-03T00:00:00"/>
    <n v="996"/>
    <n v="3492"/>
    <s v="43675577"/>
    <s v="43675577"/>
    <m/>
    <m/>
    <n v="22770994"/>
    <m/>
    <m/>
    <m/>
    <s v="SOLPOA"/>
    <s v="SOLPOA"/>
    <s v="CCMS"/>
    <n v="21320070"/>
    <n v="1948.12"/>
    <m/>
    <s v="N"/>
    <n v="1"/>
    <d v="2023-07-03T19:04:29"/>
    <s v="N"/>
    <s v="Level 3 &amp; Level 4 Fixed Fee"/>
    <s v="Private Law Children"/>
    <s v="Profit Cost"/>
    <s v="Vasoulla Constantinou"/>
    <s v="N"/>
    <n v="1623.43"/>
    <n v="324.69"/>
    <x v="3"/>
    <s v="VALIDATED"/>
    <n v="1"/>
    <s v="01.11.80.307.2012.0000"/>
    <n v="1623.43"/>
    <s v="11"/>
    <s v="2012"/>
    <n v="42107.88"/>
    <n v="1623.43"/>
    <s v="CREDITOR"/>
    <n v="1623.43"/>
    <n v="405.8575"/>
    <n v="0"/>
    <n v="0"/>
    <n v="0"/>
  </r>
  <r>
    <n v="56675641"/>
    <s v="N"/>
    <n v="21318440"/>
    <s v="3000013492470004"/>
    <s v="CIVIL"/>
    <d v="2023-06-15T00:00:00"/>
    <d v="2023-07-03T19:01:49"/>
    <m/>
    <d v="2023-07-03T00:00:00"/>
    <n v="996"/>
    <n v="3492"/>
    <s v="56675641"/>
    <s v="56675641"/>
    <m/>
    <m/>
    <n v="22695672"/>
    <m/>
    <m/>
    <m/>
    <s v="SOLPOA"/>
    <s v="SOLPOA"/>
    <s v="CCMS"/>
    <n v="21318440"/>
    <n v="1216.8"/>
    <m/>
    <s v="N"/>
    <n v="1"/>
    <d v="2023-07-03T19:01:55"/>
    <s v="N"/>
    <s v="Non Expert Disbursement - Private L"/>
    <s v="Non Expert Disbursement - Priv"/>
    <s v="Non Expert Disbursement"/>
    <s v="Riyan Cronin"/>
    <s v="N"/>
    <n v="1014"/>
    <n v="202.8"/>
    <x v="3"/>
    <s v="VALIDATED"/>
    <n v="1"/>
    <s v="01.11.80.307.2012.0000"/>
    <n v="1014"/>
    <s v="11"/>
    <s v="2012"/>
    <n v="42107.88"/>
    <n v="1014"/>
    <s v="CREDITOR"/>
    <n v="1014"/>
    <n v="0"/>
    <n v="0"/>
    <n v="0"/>
    <n v="0"/>
  </r>
  <r>
    <n v="52125544"/>
    <s v="N"/>
    <n v="21360283"/>
    <s v="3000012647120001"/>
    <s v="CIVIL"/>
    <d v="2023-06-28T00:00:00"/>
    <d v="2023-07-11T11:50:54"/>
    <m/>
    <d v="2023-07-11T00:00:00"/>
    <n v="996"/>
    <n v="3492"/>
    <s v="52125544"/>
    <s v="52125544"/>
    <m/>
    <m/>
    <n v="22775760"/>
    <m/>
    <m/>
    <m/>
    <s v="SOLFIN"/>
    <s v="SOLFIN"/>
    <s v="CCMS"/>
    <n v="21360283"/>
    <n v="29998"/>
    <m/>
    <s v="N"/>
    <n v="2"/>
    <d v="2023-07-11T11:51:00"/>
    <s v="Y"/>
    <s v="Psychologist"/>
    <s v="Prescribed Hourly Rates"/>
    <s v="Expert Disbursement"/>
    <s v="EN"/>
    <s v="Y"/>
    <n v="819"/>
    <n v="163.8"/>
    <x v="7"/>
    <s v="VALIDATED"/>
    <n v="1"/>
    <s v="01.11.80.302.6300.0000"/>
    <n v="819"/>
    <s v="11"/>
    <s v="6300"/>
    <n v="42107.88"/>
    <n v="819"/>
    <s v="CREDITOR"/>
    <n v="0"/>
    <n v="0"/>
    <n v="0"/>
    <n v="0"/>
    <n v="819"/>
  </r>
  <r>
    <n v="52125544"/>
    <s v="N"/>
    <n v="21360283"/>
    <s v="3000012647120001"/>
    <s v="CIVIL"/>
    <d v="2023-06-28T00:00:00"/>
    <d v="2023-07-11T11:50:54"/>
    <m/>
    <d v="2023-07-11T00:00:00"/>
    <n v="996"/>
    <n v="3492"/>
    <s v="52125544"/>
    <s v="52125544"/>
    <m/>
    <m/>
    <n v="22775760"/>
    <m/>
    <m/>
    <m/>
    <s v="SOLFIN"/>
    <s v="SOLFIN"/>
    <s v="CCMS"/>
    <n v="21360283"/>
    <n v="29998"/>
    <m/>
    <s v="N"/>
    <n v="1"/>
    <d v="2023-07-11T11:51:00"/>
    <s v="Y"/>
    <s v="Profit Costs (Summary)"/>
    <s v="Prescribed Hourly Rates"/>
    <s v="Profit Cost"/>
    <s v="en"/>
    <s v="Y"/>
    <n v="24179.33"/>
    <n v="4835.87"/>
    <x v="7"/>
    <s v="VALIDATED"/>
    <n v="1"/>
    <s v="01.11.80.302.6100.0000"/>
    <n v="24179.33"/>
    <s v="11"/>
    <s v="6100"/>
    <n v="42107.88"/>
    <n v="24179.33"/>
    <s v="CREDITOR"/>
    <n v="0"/>
    <n v="0"/>
    <n v="0"/>
    <n v="0"/>
    <n v="24179.33"/>
  </r>
  <r>
    <n v="33891542"/>
    <s v="N"/>
    <n v="21327704"/>
    <s v="3000009954940021"/>
    <s v="CIVIL"/>
    <d v="2023-06-29T00:00:00"/>
    <d v="2023-07-04T19:00:44"/>
    <m/>
    <d v="2023-07-04T00:00:00"/>
    <n v="996"/>
    <n v="3492"/>
    <s v="33891542"/>
    <s v="33891542"/>
    <m/>
    <m/>
    <n v="22784778"/>
    <m/>
    <m/>
    <m/>
    <s v="SOLADJ"/>
    <s v="SOLADJ"/>
    <s v="CCMS"/>
    <n v="21327704"/>
    <n v="1552.4"/>
    <m/>
    <s v="N"/>
    <n v="1"/>
    <d v="2023-07-04T19:00:52"/>
    <s v="Y"/>
    <s v="Interpreter"/>
    <s v="VHCC"/>
    <s v="Expert Disbursement"/>
    <s v="dy"/>
    <s v="Y"/>
    <n v="1552.4"/>
    <n v="0"/>
    <x v="1"/>
    <s v="VALIDATED"/>
    <n v="1"/>
    <s v="01.11.80.308.6300.0000"/>
    <n v="1552.4"/>
    <s v="11"/>
    <s v="6300"/>
    <n v="42107.88"/>
    <n v="1552.4"/>
    <s v="CREDITOR"/>
    <n v="0"/>
    <n v="0"/>
    <n v="0"/>
    <n v="0"/>
    <n v="1552.4"/>
  </r>
  <r>
    <n v="61939101"/>
    <s v="N"/>
    <n v="21324010"/>
    <s v="3000015989630002"/>
    <s v="CIVIL"/>
    <d v="2023-06-30T00:00:00"/>
    <d v="2023-07-03T19:05:56"/>
    <m/>
    <d v="2023-07-03T00:00:00"/>
    <n v="996"/>
    <n v="3492"/>
    <s v="61939101"/>
    <s v="61939101"/>
    <m/>
    <m/>
    <n v="22795732"/>
    <m/>
    <m/>
    <m/>
    <s v="SOLPOA"/>
    <s v="SOLPOA"/>
    <s v="CCMS"/>
    <n v="21324010"/>
    <n v="130.2"/>
    <m/>
    <s v="N"/>
    <n v="1"/>
    <d v="2023-07-03T19:06:00"/>
    <s v="N"/>
    <s v="Expert Cost"/>
    <s v="Expert Cost"/>
    <s v="Expert Disbursement"/>
    <s v="Nitu Johal"/>
    <s v="N"/>
    <n v="108.5"/>
    <n v="21.7"/>
    <x v="3"/>
    <s v="VALIDATED"/>
    <n v="1"/>
    <s v="01.11.80.308.2012.0000"/>
    <n v="108.5"/>
    <s v="11"/>
    <s v="2012"/>
    <n v="42107.88"/>
    <n v="108.5"/>
    <s v="CREDITOR"/>
    <n v="108.5"/>
    <n v="0"/>
    <n v="0"/>
    <n v="0"/>
    <n v="0"/>
  </r>
  <r>
    <n v="59838509"/>
    <s v="N"/>
    <n v="21322884"/>
    <s v="3000014202980021"/>
    <s v="CIVIL"/>
    <d v="2023-06-29T00:00:00"/>
    <d v="2023-07-03T19:05:36"/>
    <m/>
    <d v="2023-07-03T00:00:00"/>
    <n v="996"/>
    <n v="3492"/>
    <s v="59838509"/>
    <s v="59838509"/>
    <m/>
    <m/>
    <n v="22792848"/>
    <m/>
    <m/>
    <m/>
    <s v="SOLPOA"/>
    <s v="SOLPOA"/>
    <s v="CCMS"/>
    <n v="21322884"/>
    <n v="31.25"/>
    <m/>
    <s v="N"/>
    <n v="1"/>
    <d v="2023-07-03T19:05:40"/>
    <s v="N"/>
    <s v="Non Expert Disbursement - Private L"/>
    <s v="Non Expert Disbursement - Priv"/>
    <s v="Non Expert Disbursement"/>
    <s v="Riyan Cronin"/>
    <s v="N"/>
    <n v="31.25"/>
    <n v="0"/>
    <x v="3"/>
    <s v="VALIDATED"/>
    <n v="1"/>
    <s v="01.11.80.307.2012.0000"/>
    <n v="31.25"/>
    <s v="11"/>
    <s v="2012"/>
    <n v="42107.88"/>
    <n v="31.25"/>
    <s v="CREDITOR"/>
    <n v="31.25"/>
    <n v="0"/>
    <n v="0"/>
    <n v="0"/>
    <n v="0"/>
  </r>
  <r>
    <n v="61049339"/>
    <s v="N"/>
    <n v="21349600"/>
    <s v="3000015249380003"/>
    <s v="CIVIL"/>
    <d v="2023-06-29T00:00:00"/>
    <d v="2023-07-10T19:01:40"/>
    <m/>
    <d v="2023-07-10T00:00:00"/>
    <n v="996"/>
    <n v="3492"/>
    <s v="61049339"/>
    <s v="61049339"/>
    <m/>
    <m/>
    <n v="22787602"/>
    <m/>
    <m/>
    <m/>
    <s v="SOLPOA"/>
    <s v="SOLPOA"/>
    <s v="CCMS"/>
    <n v="21349600"/>
    <n v="7787.69"/>
    <m/>
    <s v="N"/>
    <n v="1"/>
    <d v="2023-07-10T19:01:54"/>
    <s v="N"/>
    <s v="Solicitors Fixed Fee"/>
    <s v="Public Law Children"/>
    <s v="Profit Cost"/>
    <s v="Nitu Johal"/>
    <s v="N"/>
    <n v="6489.74"/>
    <n v="1297.95"/>
    <x v="2"/>
    <s v="VALIDATED"/>
    <n v="1"/>
    <s v="01.11.80.308.2012.0000"/>
    <n v="6489.74"/>
    <s v="11"/>
    <s v="2012"/>
    <n v="42107.88"/>
    <n v="6489.74"/>
    <s v="CREDITOR"/>
    <n v="6489.74"/>
    <n v="1622.435"/>
    <n v="0"/>
    <n v="0"/>
    <n v="0"/>
  </r>
  <r>
    <n v="59838509"/>
    <s v="N"/>
    <n v="21322793"/>
    <s v="3000014202980020"/>
    <s v="CIVIL"/>
    <d v="2023-06-29T00:00:00"/>
    <d v="2023-07-03T19:05:36"/>
    <m/>
    <d v="2023-07-03T00:00:00"/>
    <n v="996"/>
    <n v="3492"/>
    <s v="59838509"/>
    <s v="59838509"/>
    <m/>
    <m/>
    <n v="22792864"/>
    <m/>
    <m/>
    <m/>
    <s v="SOLPOA"/>
    <s v="SOLPOA"/>
    <s v="CCMS"/>
    <n v="21322793"/>
    <n v="25"/>
    <m/>
    <s v="N"/>
    <n v="1"/>
    <d v="2023-07-03T19:05:40"/>
    <s v="N"/>
    <s v="Non Expert Disbursement - Private L"/>
    <s v="Non Expert Disbursement - Priv"/>
    <s v="Non Expert Disbursement"/>
    <s v="Riyan Cronin"/>
    <s v="N"/>
    <n v="25"/>
    <n v="0"/>
    <x v="3"/>
    <s v="VALIDATED"/>
    <n v="1"/>
    <s v="01.11.80.307.2012.0000"/>
    <n v="25"/>
    <s v="11"/>
    <s v="2012"/>
    <n v="42107.88"/>
    <n v="25"/>
    <s v="CREDITOR"/>
    <n v="25"/>
    <n v="0"/>
    <n v="0"/>
    <n v="0"/>
    <n v="0"/>
  </r>
  <r>
    <n v="60824908"/>
    <s v="N"/>
    <n v="21323936"/>
    <s v="3000015056900021"/>
    <s v="CIVIL"/>
    <d v="2023-06-30T00:00:00"/>
    <d v="2023-07-03T19:05:56"/>
    <m/>
    <d v="2023-07-03T00:00:00"/>
    <n v="996"/>
    <n v="3492"/>
    <s v="60824908"/>
    <s v="60824908"/>
    <m/>
    <m/>
    <n v="22794678"/>
    <m/>
    <m/>
    <m/>
    <s v="SOLPOA"/>
    <s v="SOLPOA"/>
    <s v="CCMS"/>
    <n v="21323936"/>
    <n v="844.2"/>
    <m/>
    <s v="N"/>
    <n v="1"/>
    <d v="2023-07-03T19:05:59"/>
    <s v="N"/>
    <s v="Expert Cost"/>
    <s v="Expert Cost"/>
    <s v="Expert Disbursement"/>
    <s v="EN"/>
    <s v="N"/>
    <n v="703.5"/>
    <n v="140.7"/>
    <x v="3"/>
    <s v="VALIDATED"/>
    <n v="1"/>
    <s v="01.11.80.308.2012.0000"/>
    <n v="703.5"/>
    <s v="11"/>
    <s v="2012"/>
    <n v="42107.88"/>
    <n v="703.5"/>
    <s v="CREDITOR"/>
    <n v="703.5"/>
    <n v="0"/>
    <n v="0"/>
    <n v="0"/>
    <n v="0"/>
  </r>
  <r>
    <n v="43186780"/>
    <s v="N"/>
    <n v="21356525"/>
    <s v="3000011484110010RC"/>
    <s v="CIVIL"/>
    <d v="2023-06-23T00:00:00"/>
    <d v="2023-07-10T19:47:44"/>
    <m/>
    <d v="2023-07-10T00:00:00"/>
    <n v="1015"/>
    <n v="3592"/>
    <s v="43186780"/>
    <s v="43186780"/>
    <m/>
    <m/>
    <m/>
    <m/>
    <m/>
    <m/>
    <s v="SOLRECOUP"/>
    <s v="SOLRECOUP"/>
    <s v="POARECOUP"/>
    <n v="21356525"/>
    <n v="-147"/>
    <m/>
    <s v="Y"/>
    <n v="2"/>
    <d v="2023-07-10T19:47:45"/>
    <s v="N"/>
    <m/>
    <m/>
    <s v="Expert Disbursement"/>
    <m/>
    <s v="N"/>
    <n v="0"/>
    <n v="-24.5"/>
    <x v="2"/>
    <s v="VALIDATED"/>
    <n v="1"/>
    <s v="01.11.80.308.2013.0000"/>
    <n v="-24.5"/>
    <s v="11"/>
    <s v="2013"/>
    <n v="-3301.9"/>
    <n v="-24.5"/>
    <s v="DEBTOR"/>
    <n v="0"/>
    <n v="0"/>
    <n v="0"/>
    <n v="0"/>
    <n v="0"/>
  </r>
  <r>
    <n v="43186780"/>
    <s v="N"/>
    <n v="21356522"/>
    <s v="3000011484110009RC"/>
    <s v="CIVIL"/>
    <d v="2023-06-23T00:00:00"/>
    <d v="2023-07-10T19:47:44"/>
    <m/>
    <d v="2023-07-10T00:00:00"/>
    <n v="1015"/>
    <n v="3592"/>
    <s v="43186780"/>
    <s v="43186780"/>
    <m/>
    <m/>
    <m/>
    <m/>
    <m/>
    <m/>
    <s v="SOLRECOUP"/>
    <s v="SOLRECOUP"/>
    <s v="POARECOUP"/>
    <n v="21356522"/>
    <n v="-114"/>
    <m/>
    <s v="Y"/>
    <n v="2"/>
    <d v="2023-07-10T19:47:45"/>
    <s v="N"/>
    <m/>
    <m/>
    <s v="Expert Disbursement"/>
    <m/>
    <s v="N"/>
    <n v="0"/>
    <n v="-19"/>
    <x v="2"/>
    <s v="VALIDATED"/>
    <n v="1"/>
    <s v="01.11.80.308.2013.0000"/>
    <n v="-19"/>
    <s v="11"/>
    <s v="2013"/>
    <n v="-3301.9"/>
    <n v="-19"/>
    <s v="DEBTOR"/>
    <n v="0"/>
    <n v="0"/>
    <n v="0"/>
    <n v="0"/>
    <n v="0"/>
  </r>
  <r>
    <n v="43186780"/>
    <s v="N"/>
    <n v="21356520"/>
    <s v="3000011484110005RC"/>
    <s v="CIVIL"/>
    <d v="2023-06-23T00:00:00"/>
    <d v="2023-07-10T19:47:44"/>
    <m/>
    <d v="2023-07-10T00:00:00"/>
    <n v="1015"/>
    <n v="3592"/>
    <s v="43186780"/>
    <s v="43186780"/>
    <m/>
    <m/>
    <m/>
    <m/>
    <m/>
    <m/>
    <s v="SOLRECOUP"/>
    <s v="SOLRECOUP"/>
    <s v="POARECOUP"/>
    <n v="21356520"/>
    <n v="-298.74"/>
    <m/>
    <s v="Y"/>
    <n v="2"/>
    <d v="2023-07-10T19:47:45"/>
    <s v="N"/>
    <m/>
    <m/>
    <s v="Expert Disbursement"/>
    <m/>
    <s v="N"/>
    <n v="0"/>
    <n v="-49.79"/>
    <x v="2"/>
    <s v="VALIDATED"/>
    <n v="1"/>
    <s v="01.11.80.308.2013.0000"/>
    <n v="-49.79"/>
    <s v="11"/>
    <s v="2013"/>
    <n v="-3301.9"/>
    <n v="-49.79"/>
    <s v="DEBTOR"/>
    <n v="0"/>
    <n v="0"/>
    <n v="0"/>
    <n v="0"/>
    <n v="0"/>
  </r>
  <r>
    <n v="43186780"/>
    <s v="N"/>
    <n v="21356521"/>
    <s v="3000011484110006RC"/>
    <s v="CIVIL"/>
    <d v="2023-06-23T00:00:00"/>
    <d v="2023-07-10T19:47:44"/>
    <m/>
    <d v="2023-07-10T00:00:00"/>
    <n v="1015"/>
    <n v="3592"/>
    <s v="43186780"/>
    <s v="43186780"/>
    <m/>
    <m/>
    <m/>
    <m/>
    <m/>
    <m/>
    <s v="SOLRECOUP"/>
    <s v="SOLRECOUP"/>
    <s v="POARECOUP"/>
    <n v="21356521"/>
    <n v="-159.9"/>
    <m/>
    <s v="Y"/>
    <n v="1"/>
    <d v="2023-07-10T19:47:45"/>
    <s v="N"/>
    <m/>
    <m/>
    <s v="Expert Disbursement"/>
    <m/>
    <s v="N"/>
    <n v="-133.25"/>
    <n v="0"/>
    <x v="2"/>
    <s v="VALIDATED"/>
    <n v="1"/>
    <s v="01.11.80.308.2013.0000"/>
    <n v="-133.25"/>
    <s v="11"/>
    <s v="2013"/>
    <n v="-3301.9"/>
    <n v="-133.25"/>
    <s v="DEBTOR"/>
    <n v="0"/>
    <n v="0"/>
    <n v="0"/>
    <n v="0"/>
    <n v="0"/>
  </r>
  <r>
    <n v="43186780"/>
    <s v="N"/>
    <n v="21356521"/>
    <s v="3000011484110006RC"/>
    <s v="CIVIL"/>
    <d v="2023-06-23T00:00:00"/>
    <d v="2023-07-10T19:47:44"/>
    <m/>
    <d v="2023-07-10T00:00:00"/>
    <n v="1015"/>
    <n v="3592"/>
    <s v="43186780"/>
    <s v="43186780"/>
    <m/>
    <m/>
    <m/>
    <m/>
    <m/>
    <m/>
    <s v="SOLRECOUP"/>
    <s v="SOLRECOUP"/>
    <s v="POARECOUP"/>
    <n v="21356521"/>
    <n v="-159.9"/>
    <m/>
    <s v="Y"/>
    <n v="2"/>
    <d v="2023-07-10T19:47:45"/>
    <s v="N"/>
    <m/>
    <m/>
    <s v="Expert Disbursement"/>
    <m/>
    <s v="N"/>
    <n v="0"/>
    <n v="-26.65"/>
    <x v="2"/>
    <s v="VALIDATED"/>
    <n v="1"/>
    <s v="01.11.80.308.2013.0000"/>
    <n v="-26.65"/>
    <s v="11"/>
    <s v="2013"/>
    <n v="-3301.9"/>
    <n v="-26.65"/>
    <s v="DEBTOR"/>
    <n v="0"/>
    <n v="0"/>
    <n v="0"/>
    <n v="0"/>
    <n v="0"/>
  </r>
  <r>
    <n v="43186780"/>
    <s v="N"/>
    <n v="21356522"/>
    <s v="3000011484110009RC"/>
    <s v="CIVIL"/>
    <d v="2023-06-23T00:00:00"/>
    <d v="2023-07-10T19:47:44"/>
    <m/>
    <d v="2023-07-10T00:00:00"/>
    <n v="1015"/>
    <n v="3592"/>
    <s v="43186780"/>
    <s v="43186780"/>
    <m/>
    <m/>
    <m/>
    <m/>
    <m/>
    <m/>
    <s v="SOLRECOUP"/>
    <s v="SOLRECOUP"/>
    <s v="POARECOUP"/>
    <n v="21356522"/>
    <n v="-114"/>
    <m/>
    <s v="Y"/>
    <n v="1"/>
    <d v="2023-07-10T19:47:45"/>
    <s v="N"/>
    <m/>
    <m/>
    <s v="Expert Disbursement"/>
    <m/>
    <s v="N"/>
    <n v="-95"/>
    <n v="0"/>
    <x v="2"/>
    <s v="VALIDATED"/>
    <n v="1"/>
    <s v="01.11.80.308.2013.0000"/>
    <n v="-95"/>
    <s v="11"/>
    <s v="2013"/>
    <n v="-3301.9"/>
    <n v="-95"/>
    <s v="DEBTOR"/>
    <n v="0"/>
    <n v="0"/>
    <n v="0"/>
    <n v="0"/>
    <n v="0"/>
  </r>
  <r>
    <n v="43186780"/>
    <s v="N"/>
    <n v="21356525"/>
    <s v="3000011484110010RC"/>
    <s v="CIVIL"/>
    <d v="2023-06-23T00:00:00"/>
    <d v="2023-07-10T19:47:44"/>
    <m/>
    <d v="2023-07-10T00:00:00"/>
    <n v="1015"/>
    <n v="3592"/>
    <s v="43186780"/>
    <s v="43186780"/>
    <m/>
    <m/>
    <m/>
    <m/>
    <m/>
    <m/>
    <s v="SOLRECOUP"/>
    <s v="SOLRECOUP"/>
    <s v="POARECOUP"/>
    <n v="21356525"/>
    <n v="-147"/>
    <m/>
    <s v="Y"/>
    <n v="1"/>
    <d v="2023-07-10T19:47:45"/>
    <s v="N"/>
    <m/>
    <m/>
    <s v="Expert Disbursement"/>
    <m/>
    <s v="N"/>
    <n v="-122.5"/>
    <n v="0"/>
    <x v="2"/>
    <s v="VALIDATED"/>
    <n v="1"/>
    <s v="01.11.80.308.2013.0000"/>
    <n v="-122.5"/>
    <s v="11"/>
    <s v="2013"/>
    <n v="-3301.9"/>
    <n v="-122.5"/>
    <s v="DEBTOR"/>
    <n v="0"/>
    <n v="0"/>
    <n v="0"/>
    <n v="0"/>
    <n v="0"/>
  </r>
  <r>
    <n v="43186780"/>
    <s v="N"/>
    <n v="21356524"/>
    <s v="3000011484110011RC"/>
    <s v="CIVIL"/>
    <d v="2023-06-23T00:00:00"/>
    <d v="2023-07-10T19:47:44"/>
    <m/>
    <d v="2023-07-10T00:00:00"/>
    <n v="1015"/>
    <n v="3592"/>
    <s v="43186780"/>
    <s v="43186780"/>
    <m/>
    <m/>
    <m/>
    <m/>
    <m/>
    <m/>
    <s v="SOLRECOUP"/>
    <s v="SOLRECOUP"/>
    <s v="POARECOUP"/>
    <n v="21356524"/>
    <n v="-294.3"/>
    <m/>
    <s v="Y"/>
    <n v="2"/>
    <d v="2023-07-10T19:47:45"/>
    <s v="N"/>
    <m/>
    <m/>
    <s v="Expert Disbursement"/>
    <m/>
    <s v="N"/>
    <n v="0"/>
    <n v="-49.05"/>
    <x v="2"/>
    <s v="VALIDATED"/>
    <n v="1"/>
    <s v="01.11.80.308.2013.0000"/>
    <n v="-49.05"/>
    <s v="11"/>
    <s v="2013"/>
    <n v="-3301.9"/>
    <n v="-49.05"/>
    <s v="DEBTOR"/>
    <n v="0"/>
    <n v="0"/>
    <n v="0"/>
    <n v="0"/>
    <n v="0"/>
  </r>
  <r>
    <n v="43186780"/>
    <s v="N"/>
    <n v="21356519"/>
    <s v="3000011484110002RC"/>
    <s v="CIVIL"/>
    <d v="2023-06-23T00:00:00"/>
    <d v="2023-07-10T19:47:44"/>
    <m/>
    <d v="2023-07-10T00:00:00"/>
    <n v="1015"/>
    <n v="3592"/>
    <s v="43186780"/>
    <s v="43186780"/>
    <m/>
    <m/>
    <m/>
    <m/>
    <m/>
    <m/>
    <s v="SOLRECOUP"/>
    <s v="SOLRECOUP"/>
    <s v="POARECOUP"/>
    <n v="21356519"/>
    <n v="-1448.62"/>
    <m/>
    <s v="Y"/>
    <n v="1"/>
    <d v="2023-07-10T19:47:45"/>
    <s v="N"/>
    <m/>
    <m/>
    <s v="Profit Cost"/>
    <m/>
    <s v="N"/>
    <n v="-1207.18"/>
    <n v="0"/>
    <x v="2"/>
    <s v="VALIDATED"/>
    <n v="1"/>
    <s v="01.11.80.308.2013.0000"/>
    <n v="-1207.18"/>
    <s v="11"/>
    <s v="2013"/>
    <n v="-3301.9"/>
    <n v="-1207.18"/>
    <s v="DEBTOR"/>
    <n v="0"/>
    <n v="0"/>
    <n v="0"/>
    <n v="0"/>
    <n v="0"/>
  </r>
  <r>
    <n v="43186780"/>
    <s v="N"/>
    <n v="21356519"/>
    <s v="3000011484110002RC"/>
    <s v="CIVIL"/>
    <d v="2023-06-23T00:00:00"/>
    <d v="2023-07-10T19:47:44"/>
    <m/>
    <d v="2023-07-10T00:00:00"/>
    <n v="1015"/>
    <n v="3592"/>
    <s v="43186780"/>
    <s v="43186780"/>
    <m/>
    <m/>
    <m/>
    <m/>
    <m/>
    <m/>
    <s v="SOLRECOUP"/>
    <s v="SOLRECOUP"/>
    <s v="POARECOUP"/>
    <n v="21356519"/>
    <n v="-1448.62"/>
    <m/>
    <s v="Y"/>
    <n v="2"/>
    <d v="2023-07-10T19:47:45"/>
    <s v="N"/>
    <m/>
    <m/>
    <s v="Profit Cost"/>
    <m/>
    <s v="N"/>
    <n v="0"/>
    <n v="-241.44"/>
    <x v="2"/>
    <s v="VALIDATED"/>
    <n v="1"/>
    <s v="01.11.80.308.2013.0000"/>
    <n v="-241.44"/>
    <s v="11"/>
    <s v="2013"/>
    <n v="-3301.9"/>
    <n v="-241.44"/>
    <s v="DEBTOR"/>
    <n v="0"/>
    <n v="0"/>
    <n v="0"/>
    <n v="0"/>
    <n v="0"/>
  </r>
  <r>
    <n v="43186780"/>
    <s v="N"/>
    <n v="21356524"/>
    <s v="3000011484110011RC"/>
    <s v="CIVIL"/>
    <d v="2023-06-23T00:00:00"/>
    <d v="2023-07-10T19:47:44"/>
    <m/>
    <d v="2023-07-10T00:00:00"/>
    <n v="1015"/>
    <n v="3592"/>
    <s v="43186780"/>
    <s v="43186780"/>
    <m/>
    <m/>
    <m/>
    <m/>
    <m/>
    <m/>
    <s v="SOLRECOUP"/>
    <s v="SOLRECOUP"/>
    <s v="POARECOUP"/>
    <n v="21356524"/>
    <n v="-294.3"/>
    <m/>
    <s v="Y"/>
    <n v="1"/>
    <d v="2023-07-10T19:47:45"/>
    <s v="N"/>
    <m/>
    <m/>
    <s v="Expert Disbursement"/>
    <m/>
    <s v="N"/>
    <n v="-245.25"/>
    <n v="0"/>
    <x v="2"/>
    <s v="VALIDATED"/>
    <n v="1"/>
    <s v="01.11.80.308.2013.0000"/>
    <n v="-245.25"/>
    <s v="11"/>
    <s v="2013"/>
    <n v="-3301.9"/>
    <n v="-245.25"/>
    <s v="DEBTOR"/>
    <n v="0"/>
    <n v="0"/>
    <n v="0"/>
    <n v="0"/>
    <n v="0"/>
  </r>
  <r>
    <n v="43186780"/>
    <s v="N"/>
    <n v="21356518"/>
    <s v="3000011484110001RC"/>
    <s v="CIVIL"/>
    <d v="2023-06-23T00:00:00"/>
    <d v="2023-07-10T19:47:44"/>
    <m/>
    <d v="2023-07-10T00:00:00"/>
    <n v="1015"/>
    <n v="3592"/>
    <s v="43186780"/>
    <s v="43186780"/>
    <m/>
    <m/>
    <m/>
    <m/>
    <m/>
    <m/>
    <s v="SOLRECOUP"/>
    <s v="SOLRECOUP"/>
    <s v="POARECOUP"/>
    <n v="21356518"/>
    <n v="-185.58"/>
    <m/>
    <s v="Y"/>
    <n v="2"/>
    <d v="2023-07-10T19:47:45"/>
    <s v="N"/>
    <m/>
    <m/>
    <s v="Expert Disbursement"/>
    <m/>
    <s v="N"/>
    <n v="0"/>
    <n v="-30.93"/>
    <x v="2"/>
    <s v="VALIDATED"/>
    <n v="1"/>
    <s v="01.11.80.308.2013.0000"/>
    <n v="-30.93"/>
    <s v="11"/>
    <s v="2013"/>
    <n v="-3301.9"/>
    <n v="-30.93"/>
    <s v="DEBTOR"/>
    <n v="0"/>
    <n v="0"/>
    <n v="0"/>
    <n v="0"/>
    <n v="0"/>
  </r>
  <r>
    <n v="43186780"/>
    <s v="N"/>
    <n v="21356523"/>
    <s v="3000011484110003RC"/>
    <s v="CIVIL"/>
    <d v="2023-06-23T00:00:00"/>
    <d v="2023-07-10T19:47:44"/>
    <m/>
    <d v="2023-07-10T00:00:00"/>
    <n v="1015"/>
    <n v="3592"/>
    <s v="43186780"/>
    <s v="43186780"/>
    <m/>
    <m/>
    <m/>
    <m/>
    <m/>
    <m/>
    <s v="SOLRECOUP"/>
    <s v="SOLRECOUP"/>
    <s v="POARECOUP"/>
    <n v="21356523"/>
    <n v="-653.76"/>
    <m/>
    <s v="Y"/>
    <n v="2"/>
    <d v="2023-07-10T19:47:45"/>
    <s v="N"/>
    <m/>
    <m/>
    <s v="Expert Disbursement"/>
    <m/>
    <s v="N"/>
    <n v="0"/>
    <n v="-108.96"/>
    <x v="2"/>
    <s v="VALIDATED"/>
    <n v="1"/>
    <s v="01.11.80.308.2013.0000"/>
    <n v="-108.96"/>
    <s v="11"/>
    <s v="2013"/>
    <n v="-3301.9"/>
    <n v="-108.96"/>
    <s v="DEBTOR"/>
    <n v="0"/>
    <n v="0"/>
    <n v="0"/>
    <n v="0"/>
    <n v="0"/>
  </r>
  <r>
    <n v="43186780"/>
    <s v="N"/>
    <n v="21356518"/>
    <s v="3000011484110001RC"/>
    <s v="CIVIL"/>
    <d v="2023-06-23T00:00:00"/>
    <d v="2023-07-10T19:47:44"/>
    <m/>
    <d v="2023-07-10T00:00:00"/>
    <n v="1015"/>
    <n v="3592"/>
    <s v="43186780"/>
    <s v="43186780"/>
    <m/>
    <m/>
    <m/>
    <m/>
    <m/>
    <m/>
    <s v="SOLRECOUP"/>
    <s v="SOLRECOUP"/>
    <s v="POARECOUP"/>
    <n v="21356518"/>
    <n v="-185.58"/>
    <m/>
    <s v="Y"/>
    <n v="1"/>
    <d v="2023-07-10T19:47:45"/>
    <s v="N"/>
    <m/>
    <m/>
    <s v="Expert Disbursement"/>
    <m/>
    <s v="N"/>
    <n v="-154.65"/>
    <n v="0"/>
    <x v="2"/>
    <s v="VALIDATED"/>
    <n v="1"/>
    <s v="01.11.80.308.2013.0000"/>
    <n v="-154.65"/>
    <s v="11"/>
    <s v="2013"/>
    <n v="-3301.9"/>
    <n v="-154.65"/>
    <s v="DEBTOR"/>
    <n v="0"/>
    <n v="0"/>
    <n v="0"/>
    <n v="0"/>
    <n v="0"/>
  </r>
  <r>
    <n v="43186780"/>
    <s v="N"/>
    <n v="21356523"/>
    <s v="3000011484110003RC"/>
    <s v="CIVIL"/>
    <d v="2023-06-23T00:00:00"/>
    <d v="2023-07-10T19:47:44"/>
    <m/>
    <d v="2023-07-10T00:00:00"/>
    <n v="1015"/>
    <n v="3592"/>
    <s v="43186780"/>
    <s v="43186780"/>
    <m/>
    <m/>
    <m/>
    <m/>
    <m/>
    <m/>
    <s v="SOLRECOUP"/>
    <s v="SOLRECOUP"/>
    <s v="POARECOUP"/>
    <n v="21356523"/>
    <n v="-653.76"/>
    <m/>
    <s v="Y"/>
    <n v="1"/>
    <d v="2023-07-10T19:47:45"/>
    <s v="N"/>
    <m/>
    <m/>
    <s v="Expert Disbursement"/>
    <m/>
    <s v="N"/>
    <n v="-544.8"/>
    <n v="0"/>
    <x v="2"/>
    <s v="VALIDATED"/>
    <n v="1"/>
    <s v="01.11.80.308.2013.0000"/>
    <n v="-544.8"/>
    <s v="11"/>
    <s v="2013"/>
    <n v="-3301.9"/>
    <n v="-544.8"/>
    <s v="DEBTOR"/>
    <n v="0"/>
    <n v="0"/>
    <n v="0"/>
    <n v="0"/>
    <n v="0"/>
  </r>
  <r>
    <n v="43186780"/>
    <s v="N"/>
    <n v="21356520"/>
    <s v="3000011484110005RC"/>
    <s v="CIVIL"/>
    <d v="2023-06-23T00:00:00"/>
    <d v="2023-07-10T19:47:44"/>
    <m/>
    <d v="2023-07-10T00:00:00"/>
    <n v="1015"/>
    <n v="3592"/>
    <s v="43186780"/>
    <s v="43186780"/>
    <m/>
    <m/>
    <m/>
    <m/>
    <m/>
    <m/>
    <s v="SOLRECOUP"/>
    <s v="SOLRECOUP"/>
    <s v="POARECOUP"/>
    <n v="21356520"/>
    <n v="-298.74"/>
    <m/>
    <s v="Y"/>
    <n v="1"/>
    <d v="2023-07-10T19:47:45"/>
    <s v="N"/>
    <m/>
    <m/>
    <s v="Expert Disbursement"/>
    <m/>
    <s v="N"/>
    <n v="-248.95"/>
    <n v="0"/>
    <x v="2"/>
    <s v="VALIDATED"/>
    <n v="1"/>
    <s v="01.11.80.308.2013.0000"/>
    <n v="-248.95"/>
    <s v="11"/>
    <s v="2013"/>
    <n v="-3301.9"/>
    <n v="-248.95"/>
    <s v="DEBTOR"/>
    <n v="0"/>
    <n v="0"/>
    <n v="0"/>
    <n v="0"/>
    <n v="0"/>
  </r>
  <r>
    <n v="62121642"/>
    <s v="N"/>
    <n v="21331153"/>
    <s v="3000016144930003"/>
    <s v="CIVIL"/>
    <d v="2023-06-26T00:00:00"/>
    <d v="2023-07-05T19:01:47"/>
    <m/>
    <d v="2023-07-05T00:00:00"/>
    <n v="1021"/>
    <n v="3636"/>
    <s v="62121642"/>
    <s v="62121642"/>
    <m/>
    <m/>
    <n v="22763898"/>
    <m/>
    <m/>
    <m/>
    <s v="SOLFIN"/>
    <s v="SOLFIN"/>
    <s v="CCMS"/>
    <n v="21331153"/>
    <n v="2163.55"/>
    <m/>
    <s v="N"/>
    <n v="4"/>
    <d v="2023-07-05T19:02:08"/>
    <s v="Y"/>
    <s v="Hearing Unit 0.00 - 1.00 Hours"/>
    <s v="Private Law Children"/>
    <s v="Advocacy"/>
    <s v="SJ"/>
    <s v="Y"/>
    <n v="68.94"/>
    <n v="13.79"/>
    <x v="6"/>
    <s v="VALIDATED"/>
    <n v="1"/>
    <s v="01.11.80.302.6100.0000"/>
    <n v="68.94"/>
    <s v="11"/>
    <s v="6100"/>
    <n v="2275.2"/>
    <n v="68.94"/>
    <s v="CREDITOR"/>
    <n v="0"/>
    <n v="0"/>
    <n v="0"/>
    <n v="0"/>
    <n v="68.94"/>
  </r>
  <r>
    <n v="62121642"/>
    <s v="N"/>
    <n v="21331153"/>
    <s v="3000016144930003"/>
    <s v="CIVIL"/>
    <d v="2023-06-26T00:00:00"/>
    <d v="2023-07-05T19:01:47"/>
    <m/>
    <d v="2023-07-05T00:00:00"/>
    <n v="1021"/>
    <n v="3636"/>
    <s v="62121642"/>
    <s v="62121642"/>
    <m/>
    <m/>
    <n v="22763898"/>
    <m/>
    <m/>
    <m/>
    <s v="SOLFIN"/>
    <s v="SOLFIN"/>
    <s v="CCMS"/>
    <n v="21331153"/>
    <n v="2163.55"/>
    <m/>
    <s v="N"/>
    <n v="2"/>
    <d v="2023-07-05T19:02:08"/>
    <s v="Y"/>
    <s v="Process server"/>
    <s v="Domestic Abuse"/>
    <s v="Expert Disbursement"/>
    <s v="SJ"/>
    <s v="Y"/>
    <n v="147.52"/>
    <n v="29.5"/>
    <x v="6"/>
    <s v="VALIDATED"/>
    <n v="1"/>
    <s v="01.11.80.302.6300.0000"/>
    <n v="147.52"/>
    <s v="11"/>
    <s v="6300"/>
    <n v="2275.2"/>
    <n v="147.52"/>
    <s v="CREDITOR"/>
    <n v="0"/>
    <n v="0"/>
    <n v="0"/>
    <n v="0"/>
    <n v="147.52"/>
  </r>
  <r>
    <n v="62121642"/>
    <s v="N"/>
    <n v="21331153"/>
    <s v="3000016144930003"/>
    <s v="CIVIL"/>
    <d v="2023-06-26T00:00:00"/>
    <d v="2023-07-05T19:01:47"/>
    <m/>
    <d v="2023-07-05T00:00:00"/>
    <n v="1021"/>
    <n v="3636"/>
    <s v="62121642"/>
    <s v="62121642"/>
    <m/>
    <m/>
    <n v="22763898"/>
    <m/>
    <m/>
    <m/>
    <s v="SOLFIN"/>
    <s v="SOLFIN"/>
    <s v="CCMS"/>
    <n v="21331153"/>
    <n v="2163.55"/>
    <m/>
    <s v="N"/>
    <n v="3"/>
    <d v="2023-07-05T19:02:08"/>
    <s v="Y"/>
    <s v="Final Hearing - 1 Day"/>
    <s v="Domestic Abuse"/>
    <s v="Advocacy"/>
    <s v="SJ"/>
    <s v="Y"/>
    <n v="361.17"/>
    <n v="72.23"/>
    <x v="6"/>
    <s v="VALIDATED"/>
    <n v="1"/>
    <s v="01.11.80.302.6100.0000"/>
    <n v="361.17"/>
    <s v="11"/>
    <s v="6100"/>
    <n v="2275.2"/>
    <n v="361.17"/>
    <s v="CREDITOR"/>
    <n v="0"/>
    <n v="0"/>
    <n v="0"/>
    <n v="0"/>
    <n v="361.17"/>
  </r>
  <r>
    <n v="62076999"/>
    <s v="N"/>
    <n v="21338088"/>
    <s v="3000016107730001"/>
    <s v="CIVIL"/>
    <d v="2023-06-30T00:00:00"/>
    <d v="2023-07-06T19:21:01"/>
    <m/>
    <d v="2023-07-06T00:00:00"/>
    <n v="1021"/>
    <n v="3636"/>
    <s v="62076999"/>
    <s v="62076999"/>
    <m/>
    <m/>
    <n v="22799460"/>
    <m/>
    <m/>
    <m/>
    <s v="SOLPOA"/>
    <s v="SOLPOA"/>
    <s v="CCMS"/>
    <n v="21338088"/>
    <n v="436.8"/>
    <m/>
    <s v="N"/>
    <n v="1"/>
    <d v="2023-07-06T19:21:11"/>
    <s v="N"/>
    <s v="Expert Cost"/>
    <s v="Expert Cost"/>
    <s v="Expert Disbursement"/>
    <s v="AC"/>
    <s v="N"/>
    <n v="364"/>
    <n v="72.8"/>
    <x v="4"/>
    <s v="VALIDATED"/>
    <n v="1"/>
    <s v="01.11.80.308.2012.0000"/>
    <n v="364"/>
    <s v="11"/>
    <s v="2012"/>
    <n v="2275.2"/>
    <n v="364"/>
    <s v="CREDITOR"/>
    <n v="364"/>
    <n v="0"/>
    <n v="0"/>
    <n v="0"/>
    <n v="0"/>
  </r>
  <r>
    <n v="60952705"/>
    <s v="N"/>
    <n v="21322104"/>
    <s v="3000015167420010"/>
    <s v="CIVIL"/>
    <d v="2023-06-29T00:00:00"/>
    <d v="2023-07-03T19:05:17"/>
    <m/>
    <d v="2023-07-03T00:00:00"/>
    <n v="1021"/>
    <n v="3636"/>
    <s v="60952705"/>
    <s v="60952705"/>
    <m/>
    <m/>
    <n v="22786144"/>
    <m/>
    <m/>
    <m/>
    <s v="SOLPOA"/>
    <s v="SOLPOA"/>
    <s v="CCMS"/>
    <n v="21322104"/>
    <n v="441.92"/>
    <m/>
    <s v="N"/>
    <n v="1"/>
    <d v="2023-07-03T19:05:22"/>
    <s v="N"/>
    <s v="Expert Cost"/>
    <s v="Expert Cost"/>
    <s v="Expert Disbursement"/>
    <s v="SJ"/>
    <s v="N"/>
    <n v="441.92"/>
    <n v="0"/>
    <x v="3"/>
    <s v="VALIDATED"/>
    <n v="1"/>
    <s v="01.11.80.308.2012.0000"/>
    <n v="441.92"/>
    <s v="11"/>
    <s v="2012"/>
    <n v="2275.2"/>
    <n v="441.92"/>
    <s v="CREDITOR"/>
    <n v="441.92"/>
    <n v="0"/>
    <n v="0"/>
    <n v="0"/>
    <n v="0"/>
  </r>
  <r>
    <n v="62121642"/>
    <s v="N"/>
    <n v="21331153"/>
    <s v="3000016144930003"/>
    <s v="CIVIL"/>
    <d v="2023-06-26T00:00:00"/>
    <d v="2023-07-05T19:01:47"/>
    <m/>
    <d v="2023-07-05T00:00:00"/>
    <n v="1021"/>
    <n v="3636"/>
    <s v="62121642"/>
    <s v="62121642"/>
    <m/>
    <m/>
    <n v="22763898"/>
    <m/>
    <m/>
    <m/>
    <s v="SOLFIN"/>
    <s v="SOLFIN"/>
    <s v="CCMS"/>
    <n v="21331153"/>
    <n v="2163.55"/>
    <m/>
    <s v="N"/>
    <n v="1"/>
    <d v="2023-07-05T19:02:08"/>
    <s v="Y"/>
    <s v="Court Fee"/>
    <s v="Private Law Children"/>
    <s v="Non Expert Disbursement"/>
    <s v="SJ"/>
    <s v="Y"/>
    <n v="232"/>
    <n v="0"/>
    <x v="6"/>
    <s v="VALIDATED"/>
    <n v="1"/>
    <s v="01.11.80.302.6300.0000"/>
    <n v="232"/>
    <s v="11"/>
    <s v="6300"/>
    <n v="2275.2"/>
    <n v="232"/>
    <s v="CREDITOR"/>
    <n v="0"/>
    <n v="0"/>
    <n v="0"/>
    <n v="0"/>
    <n v="232"/>
  </r>
  <r>
    <n v="62121642"/>
    <s v="N"/>
    <n v="21331153"/>
    <s v="3000016144930003"/>
    <s v="CIVIL"/>
    <d v="2023-06-26T00:00:00"/>
    <d v="2023-07-05T19:01:47"/>
    <m/>
    <d v="2023-07-05T00:00:00"/>
    <n v="1021"/>
    <n v="3636"/>
    <s v="62121642"/>
    <s v="62121642"/>
    <m/>
    <m/>
    <n v="22763898"/>
    <m/>
    <m/>
    <m/>
    <s v="SOLFIN"/>
    <s v="SOLFIN"/>
    <s v="CCMS"/>
    <n v="21331153"/>
    <n v="2163.55"/>
    <m/>
    <s v="N"/>
    <n v="6"/>
    <d v="2023-07-05T19:02:08"/>
    <s v="Y"/>
    <s v="Level 3 Fixed Fee"/>
    <s v="Private Law Children"/>
    <s v="Profit Cost"/>
    <s v="SJ"/>
    <s v="Y"/>
    <n v="424"/>
    <n v="84.8"/>
    <x v="6"/>
    <s v="VALIDATED"/>
    <n v="1"/>
    <s v="01.11.80.302.6100.0000"/>
    <n v="424"/>
    <s v="11"/>
    <s v="6100"/>
    <n v="2275.2"/>
    <n v="424"/>
    <s v="CREDITOR"/>
    <n v="0"/>
    <n v="0"/>
    <n v="0"/>
    <n v="0"/>
    <n v="424"/>
  </r>
  <r>
    <n v="62121642"/>
    <s v="N"/>
    <n v="21333849"/>
    <s v="3000016144930002RC"/>
    <s v="CIVIL"/>
    <d v="2023-06-26T00:00:00"/>
    <d v="2023-07-05T19:42:28"/>
    <m/>
    <d v="2023-07-05T00:00:00"/>
    <n v="1021"/>
    <n v="3636"/>
    <s v="62121642"/>
    <s v="62121642"/>
    <m/>
    <m/>
    <m/>
    <m/>
    <m/>
    <m/>
    <s v="SOLRECOUP"/>
    <s v="SOLRECOUP"/>
    <s v="POARECOUP"/>
    <n v="21333849"/>
    <n v="-177.02"/>
    <m/>
    <s v="Y"/>
    <n v="2"/>
    <d v="2023-07-05T19:42:29"/>
    <s v="N"/>
    <m/>
    <m/>
    <s v="Expert Disbursement"/>
    <m/>
    <s v="N"/>
    <n v="0"/>
    <n v="-29.5"/>
    <x v="6"/>
    <s v="VALIDATED"/>
    <n v="1"/>
    <s v="01.11.80.302.2013.0000"/>
    <n v="-29.5"/>
    <s v="11"/>
    <s v="2013"/>
    <n v="2275.2"/>
    <n v="-29.5"/>
    <s v="CREDITOR"/>
    <n v="0"/>
    <n v="0"/>
    <n v="-29.5"/>
    <n v="0"/>
    <n v="0"/>
  </r>
  <r>
    <n v="62121642"/>
    <s v="N"/>
    <n v="21333849"/>
    <s v="3000016144930002RC"/>
    <s v="CIVIL"/>
    <d v="2023-06-26T00:00:00"/>
    <d v="2023-07-05T19:42:28"/>
    <m/>
    <d v="2023-07-05T00:00:00"/>
    <n v="1021"/>
    <n v="3636"/>
    <s v="62121642"/>
    <s v="62121642"/>
    <m/>
    <m/>
    <m/>
    <m/>
    <m/>
    <m/>
    <s v="SOLRECOUP"/>
    <s v="SOLRECOUP"/>
    <s v="POARECOUP"/>
    <n v="21333849"/>
    <n v="-177.02"/>
    <m/>
    <s v="Y"/>
    <n v="1"/>
    <d v="2023-07-05T19:42:29"/>
    <s v="N"/>
    <m/>
    <m/>
    <s v="Expert Disbursement"/>
    <m/>
    <s v="N"/>
    <n v="-147.52"/>
    <n v="0"/>
    <x v="6"/>
    <s v="VALIDATED"/>
    <n v="1"/>
    <s v="01.11.80.302.2013.0000"/>
    <n v="-147.52"/>
    <s v="11"/>
    <s v="2013"/>
    <n v="2275.2"/>
    <n v="-147.52"/>
    <s v="CREDITOR"/>
    <n v="0"/>
    <n v="0"/>
    <n v="-147.52"/>
    <n v="0"/>
    <n v="0"/>
  </r>
  <r>
    <n v="62121642"/>
    <s v="N"/>
    <n v="21333848"/>
    <s v="3000016144930001RC"/>
    <s v="CIVIL"/>
    <d v="2023-06-26T00:00:00"/>
    <d v="2023-07-05T19:42:28"/>
    <m/>
    <d v="2023-07-05T00:00:00"/>
    <n v="1021"/>
    <n v="3636"/>
    <s v="62121642"/>
    <s v="62121642"/>
    <m/>
    <m/>
    <m/>
    <m/>
    <m/>
    <m/>
    <s v="SOLRECOUP"/>
    <s v="SOLRECOUP"/>
    <s v="POARECOUP"/>
    <n v="21333848"/>
    <n v="-232"/>
    <m/>
    <s v="Y"/>
    <n v="2"/>
    <d v="2023-07-05T19:42:29"/>
    <s v="N"/>
    <m/>
    <m/>
    <s v="Non Expert Disbursement"/>
    <m/>
    <s v="N"/>
    <n v="0"/>
    <n v="0"/>
    <x v="6"/>
    <s v="VALIDATED"/>
    <n v="1"/>
    <s v="01.11.80.000.0000.0000"/>
    <n v="0"/>
    <s v="11"/>
    <s v="0000"/>
    <n v="2275.2"/>
    <n v="0"/>
    <s v="CREDITOR"/>
    <n v="0"/>
    <n v="0"/>
    <n v="0"/>
    <n v="0"/>
    <n v="0"/>
  </r>
  <r>
    <n v="62121642"/>
    <s v="N"/>
    <n v="21333848"/>
    <s v="3000016144930001RC"/>
    <s v="CIVIL"/>
    <d v="2023-06-26T00:00:00"/>
    <d v="2023-07-05T19:42:28"/>
    <m/>
    <d v="2023-07-05T00:00:00"/>
    <n v="1021"/>
    <n v="3636"/>
    <s v="62121642"/>
    <s v="62121642"/>
    <m/>
    <m/>
    <m/>
    <m/>
    <m/>
    <m/>
    <s v="SOLRECOUP"/>
    <s v="SOLRECOUP"/>
    <s v="POARECOUP"/>
    <n v="21333848"/>
    <n v="-232"/>
    <m/>
    <s v="Y"/>
    <n v="1"/>
    <d v="2023-07-05T19:42:29"/>
    <s v="N"/>
    <m/>
    <m/>
    <s v="Non Expert Disbursement"/>
    <m/>
    <s v="N"/>
    <n v="-232"/>
    <n v="0"/>
    <x v="6"/>
    <s v="VALIDATED"/>
    <n v="1"/>
    <s v="01.11.80.302.2013.0000"/>
    <n v="-232"/>
    <s v="11"/>
    <s v="2013"/>
    <n v="2275.2"/>
    <n v="-232"/>
    <s v="CREDITOR"/>
    <n v="0"/>
    <n v="0"/>
    <n v="-232"/>
    <n v="0"/>
    <n v="0"/>
  </r>
  <r>
    <n v="60600212"/>
    <s v="N"/>
    <n v="21337800"/>
    <s v="3000014861950013"/>
    <s v="CIVIL"/>
    <d v="2023-06-30T00:00:00"/>
    <d v="2023-07-06T19:21:01"/>
    <m/>
    <d v="2023-07-06T00:00:00"/>
    <n v="1021"/>
    <n v="3636"/>
    <s v="60600212"/>
    <s v="60600212"/>
    <m/>
    <m/>
    <n v="22799482"/>
    <m/>
    <m/>
    <m/>
    <s v="SOLPOA"/>
    <s v="SOLPOA"/>
    <s v="CCMS"/>
    <n v="21337800"/>
    <n v="44"/>
    <m/>
    <s v="N"/>
    <n v="1"/>
    <d v="2023-07-06T19:21:08"/>
    <s v="N"/>
    <s v="Expert Cost"/>
    <s v="Expert Cost"/>
    <s v="Expert Disbursement"/>
    <s v="RB"/>
    <s v="N"/>
    <n v="36.67"/>
    <n v="7.33"/>
    <x v="4"/>
    <s v="VALIDATED"/>
    <n v="1"/>
    <s v="01.11.80.308.2012.0000"/>
    <n v="36.67"/>
    <s v="11"/>
    <s v="2012"/>
    <n v="2275.2"/>
    <n v="36.67"/>
    <s v="CREDITOR"/>
    <n v="36.67"/>
    <n v="0"/>
    <n v="0"/>
    <n v="0"/>
    <n v="0"/>
  </r>
  <r>
    <n v="62121642"/>
    <s v="N"/>
    <n v="21331153"/>
    <s v="3000016144930003"/>
    <s v="CIVIL"/>
    <d v="2023-06-26T00:00:00"/>
    <d v="2023-07-05T19:01:47"/>
    <m/>
    <d v="2023-07-05T00:00:00"/>
    <n v="1021"/>
    <n v="3636"/>
    <s v="62121642"/>
    <s v="62121642"/>
    <m/>
    <m/>
    <n v="22763898"/>
    <m/>
    <m/>
    <m/>
    <s v="SOLFIN"/>
    <s v="SOLFIN"/>
    <s v="CCMS"/>
    <n v="21331153"/>
    <n v="2163.55"/>
    <m/>
    <s v="N"/>
    <n v="5"/>
    <d v="2023-07-05T19:02:08"/>
    <s v="Y"/>
    <s v="Level 4 Fixed Fee"/>
    <s v="Domestic Abuse"/>
    <s v="Profit Cost"/>
    <s v="SJ"/>
    <s v="Y"/>
    <n v="608"/>
    <n v="121.6"/>
    <x v="6"/>
    <s v="VALIDATED"/>
    <n v="1"/>
    <s v="01.11.80.302.6100.0000"/>
    <n v="608"/>
    <s v="11"/>
    <s v="6100"/>
    <n v="2275.2"/>
    <n v="608"/>
    <s v="CREDITOR"/>
    <n v="0"/>
    <n v="0"/>
    <n v="0"/>
    <n v="0"/>
    <n v="608"/>
  </r>
  <r>
    <n v="61533727"/>
    <s v="N"/>
    <n v="21320104"/>
    <s v="3000015652870006"/>
    <s v="CIVIL"/>
    <d v="2023-06-26T00:00:00"/>
    <d v="2023-07-03T19:04:24"/>
    <m/>
    <d v="2023-07-03T00:00:00"/>
    <n v="1022"/>
    <n v="3647"/>
    <s v="61533727"/>
    <s v="61533727"/>
    <m/>
    <m/>
    <n v="22765272"/>
    <m/>
    <m/>
    <m/>
    <s v="SOLPOA"/>
    <s v="SOLPOA"/>
    <s v="CCMS"/>
    <n v="21320104"/>
    <n v="114"/>
    <m/>
    <s v="N"/>
    <n v="1"/>
    <d v="2023-07-03T19:04:29"/>
    <s v="N"/>
    <s v="Expert Cost"/>
    <s v="Expert Cost"/>
    <s v="Expert Disbursement"/>
    <s v="MGUYER@JDSPICER.CO.UK"/>
    <s v="N"/>
    <n v="95"/>
    <n v="19"/>
    <x v="3"/>
    <s v="VALIDATED"/>
    <n v="1"/>
    <s v="01.11.80.308.2012.0000"/>
    <n v="95"/>
    <s v="11"/>
    <s v="2012"/>
    <n v="1215.58"/>
    <n v="95"/>
    <s v="CREDITOR"/>
    <n v="95"/>
    <n v="0"/>
    <n v="0"/>
    <n v="0"/>
    <n v="0"/>
  </r>
  <r>
    <n v="59887750"/>
    <s v="N"/>
    <n v="21327985"/>
    <s v="3000014246320001"/>
    <s v="CIVIL"/>
    <d v="2023-06-26T00:00:00"/>
    <d v="2023-07-04T19:00:44"/>
    <m/>
    <d v="2023-07-04T00:00:00"/>
    <n v="1022"/>
    <n v="3647"/>
    <s v="59887750"/>
    <s v="59887750"/>
    <m/>
    <m/>
    <n v="22760788"/>
    <m/>
    <m/>
    <m/>
    <s v="SOLFIN"/>
    <s v="SOLFIN"/>
    <s v="CCMS"/>
    <n v="21327985"/>
    <n v="675"/>
    <m/>
    <s v="N"/>
    <n v="7"/>
    <d v="2023-07-04T19:01:00"/>
    <s v="N"/>
    <m/>
    <m/>
    <s v="Overall Adjustment"/>
    <m/>
    <s v="N"/>
    <n v="-122.97"/>
    <n v="0"/>
    <x v="1"/>
    <s v="VALIDATED"/>
    <n v="1"/>
    <s v="01.11.80.401.6100.0000"/>
    <n v="-122.97"/>
    <s v="11"/>
    <s v="6100"/>
    <n v="1215.58"/>
    <n v="-122.97"/>
    <s v="CREDITOR"/>
    <n v="0"/>
    <n v="0"/>
    <n v="0"/>
    <n v="0"/>
    <n v="-122.97"/>
  </r>
  <r>
    <n v="61888262"/>
    <s v="N"/>
    <n v="21338747"/>
    <s v="3000015949010011"/>
    <s v="CIVIL"/>
    <d v="2023-06-30T00:00:00"/>
    <d v="2023-07-06T19:23:40"/>
    <m/>
    <d v="2023-07-06T00:00:00"/>
    <n v="1022"/>
    <n v="3647"/>
    <s v="61888262"/>
    <s v="61888262"/>
    <m/>
    <m/>
    <n v="22801322"/>
    <m/>
    <m/>
    <m/>
    <s v="SOLPOA"/>
    <s v="SOLPOA"/>
    <s v="CCMS"/>
    <n v="21338747"/>
    <n v="183.6"/>
    <m/>
    <s v="N"/>
    <n v="1"/>
    <d v="2023-07-06T19:23:40"/>
    <s v="N"/>
    <s v="Expert Cost"/>
    <s v="Expert Cost"/>
    <s v="Expert Disbursement"/>
    <s v="MGUYER@JDSPICER.CO.UK"/>
    <s v="N"/>
    <n v="153"/>
    <n v="30.6"/>
    <x v="4"/>
    <s v="VALIDATED"/>
    <n v="1"/>
    <s v="01.11.80.308.2012.0000"/>
    <n v="153"/>
    <s v="11"/>
    <s v="2012"/>
    <n v="1215.58"/>
    <n v="153"/>
    <s v="CREDITOR"/>
    <n v="153"/>
    <n v="0"/>
    <n v="0"/>
    <n v="0"/>
    <n v="0"/>
  </r>
  <r>
    <n v="59887750"/>
    <s v="N"/>
    <n v="21327985"/>
    <s v="3000014246320001"/>
    <s v="CIVIL"/>
    <d v="2023-06-26T00:00:00"/>
    <d v="2023-07-04T19:00:44"/>
    <m/>
    <d v="2023-07-04T00:00:00"/>
    <n v="1022"/>
    <n v="3647"/>
    <s v="59887750"/>
    <s v="59887750"/>
    <m/>
    <m/>
    <n v="22760788"/>
    <m/>
    <m/>
    <m/>
    <s v="SOLFIN"/>
    <s v="SOLFIN"/>
    <s v="CCMS"/>
    <n v="21327985"/>
    <n v="675"/>
    <m/>
    <s v="N"/>
    <n v="6"/>
    <d v="2023-07-04T19:01:00"/>
    <s v="Y"/>
    <s v="Court Fee"/>
    <s v="Non Family Hourly Rates"/>
    <s v="Non Expert Disbursement"/>
    <s v="Kam Dhanjal"/>
    <s v="Y"/>
    <n v="569"/>
    <n v="0"/>
    <x v="1"/>
    <s v="VALIDATED"/>
    <n v="1"/>
    <s v="01.11.80.401.6300.0000"/>
    <n v="569"/>
    <s v="11"/>
    <s v="6300"/>
    <n v="1215.58"/>
    <n v="569"/>
    <s v="CREDITOR"/>
    <n v="0"/>
    <n v="0"/>
    <n v="0"/>
    <n v="0"/>
    <n v="569"/>
  </r>
  <r>
    <n v="59887750"/>
    <s v="N"/>
    <n v="21327985"/>
    <s v="3000014246320001"/>
    <s v="CIVIL"/>
    <d v="2023-06-26T00:00:00"/>
    <d v="2023-07-04T19:00:44"/>
    <m/>
    <d v="2023-07-04T00:00:00"/>
    <n v="1022"/>
    <n v="3647"/>
    <s v="59887750"/>
    <s v="59887750"/>
    <m/>
    <m/>
    <n v="22760788"/>
    <m/>
    <m/>
    <m/>
    <s v="SOLFIN"/>
    <s v="SOLFIN"/>
    <s v="CCMS"/>
    <n v="21327985"/>
    <n v="675"/>
    <m/>
    <s v="N"/>
    <n v="4"/>
    <d v="2023-07-04T19:01:00"/>
    <s v="N"/>
    <s v="Preparation - drafting application"/>
    <s v="Non Family Hourly Rates"/>
    <s v="Profit Cost"/>
    <s v="Kam Dhanjal"/>
    <s v="N"/>
    <n v="37.11"/>
    <n v="0"/>
    <x v="1"/>
    <s v="VALIDATED"/>
    <n v="1"/>
    <s v="01.11.80.401.6100.0000"/>
    <n v="37.11"/>
    <s v="11"/>
    <s v="6100"/>
    <n v="1215.58"/>
    <n v="37.11"/>
    <s v="CREDITOR"/>
    <n v="0"/>
    <n v="0"/>
    <n v="0"/>
    <n v="0"/>
    <n v="37.11"/>
  </r>
  <r>
    <n v="59887750"/>
    <s v="N"/>
    <n v="21327985"/>
    <s v="3000014246320001"/>
    <s v="CIVIL"/>
    <d v="2023-06-26T00:00:00"/>
    <d v="2023-07-04T19:00:44"/>
    <m/>
    <d v="2023-07-04T00:00:00"/>
    <n v="1022"/>
    <n v="3647"/>
    <s v="59887750"/>
    <s v="59887750"/>
    <m/>
    <m/>
    <n v="22760788"/>
    <m/>
    <m/>
    <m/>
    <s v="SOLFIN"/>
    <s v="SOLFIN"/>
    <s v="CCMS"/>
    <n v="21327985"/>
    <n v="675"/>
    <m/>
    <s v="N"/>
    <n v="5"/>
    <d v="2023-07-04T19:01:00"/>
    <s v="Y"/>
    <s v="Attendance upon client"/>
    <s v="Non Family Hourly Rates"/>
    <s v="Profit Cost"/>
    <s v="Kam Dhanjal"/>
    <s v="Y"/>
    <n v="35.78"/>
    <n v="0"/>
    <x v="1"/>
    <s v="VALIDATED"/>
    <n v="1"/>
    <s v="01.11.80.401.6100.0000"/>
    <n v="35.78"/>
    <s v="11"/>
    <s v="6100"/>
    <n v="1215.58"/>
    <n v="35.78"/>
    <s v="CREDITOR"/>
    <n v="0"/>
    <n v="0"/>
    <n v="0"/>
    <n v="0"/>
    <n v="35.78"/>
  </r>
  <r>
    <n v="59887750"/>
    <s v="N"/>
    <n v="21327985"/>
    <s v="3000014246320001"/>
    <s v="CIVIL"/>
    <d v="2023-06-26T00:00:00"/>
    <d v="2023-07-04T19:00:44"/>
    <m/>
    <d v="2023-07-04T00:00:00"/>
    <n v="1022"/>
    <n v="3647"/>
    <s v="59887750"/>
    <s v="59887750"/>
    <m/>
    <m/>
    <n v="22760788"/>
    <m/>
    <m/>
    <m/>
    <s v="SOLFIN"/>
    <s v="SOLFIN"/>
    <s v="CCMS"/>
    <n v="21327985"/>
    <n v="675"/>
    <m/>
    <s v="N"/>
    <n v="1"/>
    <d v="2023-07-04T19:01:00"/>
    <s v="N"/>
    <s v="Report - Counsel's opinion"/>
    <s v="Non Family Hourly Rates"/>
    <s v="Profit Cost"/>
    <s v="Kam Dhanjal"/>
    <s v="N"/>
    <n v="71.55"/>
    <n v="0"/>
    <x v="1"/>
    <s v="VALIDATED"/>
    <n v="1"/>
    <s v="01.11.80.401.6100.0000"/>
    <n v="71.55"/>
    <s v="11"/>
    <s v="6100"/>
    <n v="1215.58"/>
    <n v="71.55"/>
    <s v="CREDITOR"/>
    <n v="0"/>
    <n v="0"/>
    <n v="0"/>
    <n v="0"/>
    <n v="71.55"/>
  </r>
  <r>
    <n v="59887750"/>
    <s v="N"/>
    <n v="21327985"/>
    <s v="3000014246320001"/>
    <s v="CIVIL"/>
    <d v="2023-06-26T00:00:00"/>
    <d v="2023-07-04T19:00:44"/>
    <m/>
    <d v="2023-07-04T00:00:00"/>
    <n v="1022"/>
    <n v="3647"/>
    <s v="59887750"/>
    <s v="59887750"/>
    <m/>
    <m/>
    <n v="22760788"/>
    <m/>
    <m/>
    <m/>
    <s v="SOLFIN"/>
    <s v="SOLFIN"/>
    <s v="CCMS"/>
    <n v="21327985"/>
    <n v="675"/>
    <m/>
    <s v="N"/>
    <n v="3"/>
    <d v="2023-07-04T19:01:00"/>
    <s v="Y"/>
    <s v="Preparation - drafting application"/>
    <s v="Non Family Hourly Rates"/>
    <s v="Profit Cost"/>
    <s v="Kam Dhanjal"/>
    <s v="Y"/>
    <n v="70.22"/>
    <n v="0"/>
    <x v="1"/>
    <s v="VALIDATED"/>
    <n v="1"/>
    <s v="01.11.80.401.6100.0000"/>
    <n v="70.22"/>
    <s v="11"/>
    <s v="6100"/>
    <n v="1215.58"/>
    <n v="70.22"/>
    <s v="CREDITOR"/>
    <n v="0"/>
    <n v="0"/>
    <n v="0"/>
    <n v="0"/>
    <n v="70.22"/>
  </r>
  <r>
    <n v="61888262"/>
    <s v="N"/>
    <n v="21338864"/>
    <s v="3000015949010012"/>
    <s v="CIVIL"/>
    <d v="2023-06-30T00:00:00"/>
    <d v="2023-07-06T19:23:40"/>
    <m/>
    <d v="2023-07-06T00:00:00"/>
    <n v="1022"/>
    <n v="3647"/>
    <s v="61888262"/>
    <s v="61888262"/>
    <m/>
    <m/>
    <n v="22801344"/>
    <m/>
    <m/>
    <m/>
    <s v="SOLPOA"/>
    <s v="SOLPOA"/>
    <s v="CCMS"/>
    <n v="21338864"/>
    <n v="149.8"/>
    <m/>
    <s v="N"/>
    <n v="1"/>
    <d v="2023-07-06T19:23:41"/>
    <s v="N"/>
    <s v="Expert Cost"/>
    <s v="Expert Cost"/>
    <s v="Expert Disbursement"/>
    <s v="MGUYER@JDSPICER.CO.UK"/>
    <s v="N"/>
    <n v="124.83"/>
    <n v="24.97"/>
    <x v="4"/>
    <s v="VALIDATED"/>
    <n v="1"/>
    <s v="01.11.80.308.2012.0000"/>
    <n v="124.83"/>
    <s v="11"/>
    <s v="2012"/>
    <n v="1215.58"/>
    <n v="124.83"/>
    <s v="CREDITOR"/>
    <n v="124.83"/>
    <n v="0"/>
    <n v="0"/>
    <n v="0"/>
    <n v="0"/>
  </r>
  <r>
    <n v="59887750"/>
    <s v="N"/>
    <n v="21327985"/>
    <s v="3000014246320001"/>
    <s v="CIVIL"/>
    <d v="2023-06-26T00:00:00"/>
    <d v="2023-07-04T19:00:44"/>
    <m/>
    <d v="2023-07-04T00:00:00"/>
    <n v="1022"/>
    <n v="3647"/>
    <s v="59887750"/>
    <s v="59887750"/>
    <m/>
    <m/>
    <n v="22760788"/>
    <m/>
    <m/>
    <m/>
    <s v="SOLFIN"/>
    <s v="SOLFIN"/>
    <s v="CCMS"/>
    <n v="21327985"/>
    <n v="675"/>
    <m/>
    <s v="N"/>
    <n v="2"/>
    <d v="2023-07-04T19:01:00"/>
    <s v="N"/>
    <s v="Preparation - drafting attendance n"/>
    <s v="Non Family Hourly Rates"/>
    <s v="Profit Cost"/>
    <s v="Kam Dhanjal"/>
    <s v="N"/>
    <n v="14.31"/>
    <n v="0"/>
    <x v="1"/>
    <s v="VALIDATED"/>
    <n v="1"/>
    <s v="01.11.80.401.6100.0000"/>
    <n v="14.31"/>
    <s v="11"/>
    <s v="6100"/>
    <n v="1215.58"/>
    <n v="14.31"/>
    <s v="CREDITOR"/>
    <n v="0"/>
    <n v="0"/>
    <n v="0"/>
    <n v="0"/>
    <n v="14.31"/>
  </r>
  <r>
    <n v="61373527"/>
    <s v="N"/>
    <n v="21321047"/>
    <s v="3000015519480004"/>
    <s v="CIVIL"/>
    <d v="2023-06-28T00:00:00"/>
    <d v="2023-07-03T19:04:52"/>
    <m/>
    <d v="2023-07-03T00:00:00"/>
    <n v="1022"/>
    <n v="3647"/>
    <s v="61373527"/>
    <s v="61373527"/>
    <m/>
    <m/>
    <n v="22779456"/>
    <m/>
    <m/>
    <m/>
    <s v="SOLPOA"/>
    <s v="SOLPOA"/>
    <s v="CCMS"/>
    <n v="21321047"/>
    <n v="201.3"/>
    <m/>
    <s v="N"/>
    <n v="1"/>
    <d v="2023-07-03T19:04:57"/>
    <s v="N"/>
    <s v="Expert Cost"/>
    <s v="Expert Cost"/>
    <s v="Expert Disbursement"/>
    <s v="Ramandeep Rai"/>
    <s v="N"/>
    <n v="167.75"/>
    <n v="33.55"/>
    <x v="3"/>
    <s v="VALIDATED"/>
    <n v="1"/>
    <s v="01.11.80.308.2012.0000"/>
    <n v="167.75"/>
    <s v="11"/>
    <s v="2012"/>
    <n v="1215.58"/>
    <n v="167.75"/>
    <s v="CREDITOR"/>
    <n v="167.75"/>
    <n v="0"/>
    <n v="0"/>
    <n v="0"/>
    <n v="0"/>
  </r>
  <r>
    <n v="61134116"/>
    <s v="N"/>
    <n v="21318534"/>
    <s v="3000015309150005"/>
    <s v="CIVIL"/>
    <d v="2023-06-20T00:00:00"/>
    <d v="2023-07-03T19:01:49"/>
    <m/>
    <d v="2023-07-03T00:00:00"/>
    <n v="1025"/>
    <n v="3658"/>
    <s v="61134116"/>
    <s v="61134116"/>
    <m/>
    <m/>
    <n v="22721352"/>
    <m/>
    <m/>
    <m/>
    <s v="SOLFIN"/>
    <s v="SOLFIN"/>
    <s v="CCMS"/>
    <n v="21318534"/>
    <n v="8016"/>
    <m/>
    <s v="N"/>
    <n v="5"/>
    <d v="2023-07-03T19:01:58"/>
    <s v="Y"/>
    <s v="Court Fee"/>
    <s v="Non Family Hourly Rates"/>
    <s v="Non Expert Disbursement"/>
    <s v="Aneela Samrai"/>
    <s v="Y"/>
    <n v="108"/>
    <n v="0"/>
    <x v="3"/>
    <s v="VALIDATED"/>
    <n v="1"/>
    <s v="01.11.80.208.6300.0000"/>
    <n v="108"/>
    <s v="11"/>
    <s v="6300"/>
    <n v="8665.01"/>
    <n v="108"/>
    <s v="CREDITOR"/>
    <n v="0"/>
    <n v="0"/>
    <n v="0"/>
    <n v="0"/>
    <n v="108"/>
  </r>
  <r>
    <n v="61134116"/>
    <s v="N"/>
    <n v="21318534"/>
    <s v="3000015309150005"/>
    <s v="CIVIL"/>
    <d v="2023-06-20T00:00:00"/>
    <d v="2023-07-03T19:01:49"/>
    <m/>
    <d v="2023-07-03T00:00:00"/>
    <n v="1025"/>
    <n v="3658"/>
    <s v="61134116"/>
    <s v="61134116"/>
    <m/>
    <m/>
    <n v="22721352"/>
    <m/>
    <m/>
    <m/>
    <s v="SOLFIN"/>
    <s v="SOLFIN"/>
    <s v="CCMS"/>
    <n v="21318534"/>
    <n v="8016"/>
    <m/>
    <s v="N"/>
    <n v="1"/>
    <d v="2023-07-03T19:01:58"/>
    <s v="Y"/>
    <s v="Court Fee"/>
    <s v="Non Family Hourly Rates"/>
    <s v="Non Expert Disbursement"/>
    <s v="Aneela Samrai"/>
    <s v="Y"/>
    <n v="275"/>
    <n v="0"/>
    <x v="3"/>
    <s v="VALIDATED"/>
    <n v="1"/>
    <s v="01.11.80.208.6300.0000"/>
    <n v="275"/>
    <s v="11"/>
    <s v="6300"/>
    <n v="8665.01"/>
    <n v="275"/>
    <s v="CREDITOR"/>
    <n v="0"/>
    <n v="0"/>
    <n v="0"/>
    <n v="0"/>
    <n v="275"/>
  </r>
  <r>
    <n v="61134116"/>
    <s v="N"/>
    <n v="21318534"/>
    <s v="3000015309150005"/>
    <s v="CIVIL"/>
    <d v="2023-06-20T00:00:00"/>
    <d v="2023-07-03T19:01:49"/>
    <m/>
    <d v="2023-07-03T00:00:00"/>
    <n v="1025"/>
    <n v="3658"/>
    <s v="61134116"/>
    <s v="61134116"/>
    <m/>
    <m/>
    <n v="22721352"/>
    <m/>
    <m/>
    <m/>
    <s v="SOLFIN"/>
    <s v="SOLFIN"/>
    <s v="CCMS"/>
    <n v="21318534"/>
    <n v="8016"/>
    <m/>
    <s v="N"/>
    <n v="2"/>
    <d v="2023-07-03T19:01:58"/>
    <s v="Y"/>
    <s v="Profit Costs (Summary)"/>
    <s v="Non Family Hourly Rates"/>
    <s v="Profit Cost"/>
    <s v="Aneela Samrai"/>
    <s v="Y"/>
    <n v="5506.67"/>
    <n v="1101.33"/>
    <x v="3"/>
    <s v="VALIDATED"/>
    <n v="1"/>
    <s v="01.11.80.208.6100.0000"/>
    <n v="5506.67"/>
    <s v="11"/>
    <s v="6100"/>
    <n v="8665.01"/>
    <n v="5506.67"/>
    <s v="CREDITOR"/>
    <n v="0"/>
    <n v="0"/>
    <n v="0"/>
    <n v="0"/>
    <n v="5506.67"/>
  </r>
  <r>
    <n v="61134116"/>
    <s v="N"/>
    <n v="21318534"/>
    <s v="3000015309150005"/>
    <s v="CIVIL"/>
    <d v="2023-06-20T00:00:00"/>
    <d v="2023-07-03T19:01:49"/>
    <m/>
    <d v="2023-07-03T00:00:00"/>
    <n v="1025"/>
    <n v="3658"/>
    <s v="61134116"/>
    <s v="61134116"/>
    <m/>
    <m/>
    <n v="22721352"/>
    <m/>
    <m/>
    <m/>
    <s v="SOLFIN"/>
    <s v="SOLFIN"/>
    <s v="CCMS"/>
    <n v="21318534"/>
    <n v="8016"/>
    <m/>
    <s v="N"/>
    <n v="3"/>
    <d v="2023-07-03T19:01:58"/>
    <s v="Y"/>
    <s v="Court Fee"/>
    <s v="Non Family Hourly Rates"/>
    <s v="Non Expert Disbursement"/>
    <s v="Aneela Samrai"/>
    <s v="Y"/>
    <n v="275"/>
    <n v="0"/>
    <x v="3"/>
    <s v="VALIDATED"/>
    <n v="1"/>
    <s v="01.11.80.208.6300.0000"/>
    <n v="275"/>
    <s v="11"/>
    <s v="6300"/>
    <n v="8665.01"/>
    <n v="275"/>
    <s v="CREDITOR"/>
    <n v="0"/>
    <n v="0"/>
    <n v="0"/>
    <n v="0"/>
    <n v="275"/>
  </r>
  <r>
    <n v="62357567"/>
    <s v="N"/>
    <n v="21319897"/>
    <s v="3000016335480001"/>
    <s v="CIVIL"/>
    <d v="2023-06-28T00:00:00"/>
    <d v="2023-07-03T19:04:24"/>
    <m/>
    <d v="2023-07-03T00:00:00"/>
    <n v="1025"/>
    <n v="3658"/>
    <s v="62357567"/>
    <s v="62357567"/>
    <m/>
    <m/>
    <n v="22776026"/>
    <m/>
    <m/>
    <m/>
    <s v="SOLPOA"/>
    <s v="SOLPOA"/>
    <s v="CCMS"/>
    <n v="21319897"/>
    <n v="151"/>
    <m/>
    <s v="N"/>
    <n v="1"/>
    <d v="2023-07-03T19:04:28"/>
    <s v="N"/>
    <s v="Non Expert Disbursement"/>
    <s v="Non Expert Disbursement"/>
    <s v="Non Expert Disbursement"/>
    <s v="Aneela Samrai"/>
    <s v="N"/>
    <n v="151"/>
    <n v="0"/>
    <x v="3"/>
    <s v="VALIDATED"/>
    <n v="1"/>
    <s v="01.11.80.208.2012.0000"/>
    <n v="151"/>
    <s v="11"/>
    <s v="2012"/>
    <n v="8665.01"/>
    <n v="151"/>
    <s v="CREDITOR"/>
    <n v="151"/>
    <n v="0"/>
    <n v="0"/>
    <n v="0"/>
    <n v="0"/>
  </r>
  <r>
    <n v="61134116"/>
    <s v="N"/>
    <n v="21324460"/>
    <s v="3000015309150002RC"/>
    <s v="CIVIL"/>
    <d v="2023-06-20T00:00:00"/>
    <d v="2023-07-03T19:42:50"/>
    <m/>
    <d v="2023-07-03T00:00:00"/>
    <n v="1025"/>
    <n v="3658"/>
    <s v="61134116"/>
    <s v="61134116"/>
    <m/>
    <m/>
    <m/>
    <m/>
    <m/>
    <m/>
    <s v="SOLRECOUP"/>
    <s v="SOLRECOUP"/>
    <s v="POARECOUP"/>
    <n v="21324460"/>
    <n v="-275"/>
    <m/>
    <s v="Y"/>
    <n v="2"/>
    <d v="2023-07-03T19:42:51"/>
    <s v="N"/>
    <m/>
    <m/>
    <s v="Non Expert Disbursement"/>
    <m/>
    <s v="N"/>
    <n v="0"/>
    <n v="0"/>
    <x v="3"/>
    <s v="VALIDATED"/>
    <n v="1"/>
    <s v="01.11.80.000.0000.0000"/>
    <n v="0"/>
    <s v="11"/>
    <s v="0000"/>
    <n v="8665.01"/>
    <n v="0"/>
    <s v="CREDITOR"/>
    <n v="0"/>
    <n v="0"/>
    <n v="0"/>
    <n v="0"/>
    <n v="0"/>
  </r>
  <r>
    <n v="61134116"/>
    <s v="N"/>
    <n v="21324460"/>
    <s v="3000015309150002RC"/>
    <s v="CIVIL"/>
    <d v="2023-06-20T00:00:00"/>
    <d v="2023-07-03T19:42:50"/>
    <m/>
    <d v="2023-07-03T00:00:00"/>
    <n v="1025"/>
    <n v="3658"/>
    <s v="61134116"/>
    <s v="61134116"/>
    <m/>
    <m/>
    <m/>
    <m/>
    <m/>
    <m/>
    <s v="SOLRECOUP"/>
    <s v="SOLRECOUP"/>
    <s v="POARECOUP"/>
    <n v="21324460"/>
    <n v="-275"/>
    <m/>
    <s v="Y"/>
    <n v="1"/>
    <d v="2023-07-03T19:42:51"/>
    <s v="N"/>
    <m/>
    <m/>
    <s v="Non Expert Disbursement"/>
    <m/>
    <s v="N"/>
    <n v="-275"/>
    <n v="0"/>
    <x v="3"/>
    <s v="VALIDATED"/>
    <n v="1"/>
    <s v="01.11.80.208.2013.0000"/>
    <n v="-275"/>
    <s v="11"/>
    <s v="2013"/>
    <n v="8665.01"/>
    <n v="-275"/>
    <s v="CREDITOR"/>
    <n v="0"/>
    <n v="0"/>
    <n v="-275"/>
    <n v="0"/>
    <n v="0"/>
  </r>
  <r>
    <n v="61134116"/>
    <s v="N"/>
    <n v="21324459"/>
    <s v="3000015309150001RC"/>
    <s v="CIVIL"/>
    <d v="2023-06-20T00:00:00"/>
    <d v="2023-07-03T19:42:50"/>
    <m/>
    <d v="2023-07-03T00:00:00"/>
    <n v="1025"/>
    <n v="3658"/>
    <s v="61134116"/>
    <s v="61134116"/>
    <m/>
    <m/>
    <m/>
    <m/>
    <m/>
    <m/>
    <s v="SOLRECOUP"/>
    <s v="SOLRECOUP"/>
    <s v="POARECOUP"/>
    <n v="21324459"/>
    <n v="-750"/>
    <m/>
    <s v="Y"/>
    <n v="2"/>
    <d v="2023-07-03T19:42:51"/>
    <s v="N"/>
    <m/>
    <m/>
    <s v="Non Expert Disbursement"/>
    <m/>
    <s v="N"/>
    <n v="0"/>
    <n v="0"/>
    <x v="3"/>
    <s v="VALIDATED"/>
    <n v="1"/>
    <s v="01.11.80.000.0000.0000"/>
    <n v="0"/>
    <s v="11"/>
    <s v="0000"/>
    <n v="8665.01"/>
    <n v="0"/>
    <s v="CREDITOR"/>
    <n v="0"/>
    <n v="0"/>
    <n v="0"/>
    <n v="0"/>
    <n v="0"/>
  </r>
  <r>
    <n v="61134116"/>
    <s v="N"/>
    <n v="21324459"/>
    <s v="3000015309150001RC"/>
    <s v="CIVIL"/>
    <d v="2023-06-20T00:00:00"/>
    <d v="2023-07-03T19:42:50"/>
    <m/>
    <d v="2023-07-03T00:00:00"/>
    <n v="1025"/>
    <n v="3658"/>
    <s v="61134116"/>
    <s v="61134116"/>
    <m/>
    <m/>
    <m/>
    <m/>
    <m/>
    <m/>
    <s v="SOLRECOUP"/>
    <s v="SOLRECOUP"/>
    <s v="POARECOUP"/>
    <n v="21324459"/>
    <n v="-750"/>
    <m/>
    <s v="Y"/>
    <n v="1"/>
    <d v="2023-07-03T19:42:51"/>
    <s v="N"/>
    <m/>
    <m/>
    <s v="Non Expert Disbursement"/>
    <m/>
    <s v="N"/>
    <n v="-750"/>
    <n v="0"/>
    <x v="3"/>
    <s v="VALIDATED"/>
    <n v="1"/>
    <s v="01.11.80.208.2013.0000"/>
    <n v="-750"/>
    <s v="11"/>
    <s v="2013"/>
    <n v="8665.01"/>
    <n v="-750"/>
    <s v="CREDITOR"/>
    <n v="0"/>
    <n v="0"/>
    <n v="-750"/>
    <n v="0"/>
    <n v="0"/>
  </r>
  <r>
    <n v="61280580"/>
    <s v="N"/>
    <n v="21321838"/>
    <s v="3000015370280002"/>
    <s v="CIVIL"/>
    <d v="2023-06-29T00:00:00"/>
    <d v="2023-07-03T19:05:17"/>
    <m/>
    <d v="2023-07-03T00:00:00"/>
    <n v="1025"/>
    <n v="3658"/>
    <s v="61280580"/>
    <s v="61280580"/>
    <m/>
    <m/>
    <n v="22786382"/>
    <m/>
    <m/>
    <m/>
    <s v="SOLPOA"/>
    <s v="SOLPOA"/>
    <s v="CCMS"/>
    <n v="21321838"/>
    <n v="2708.81"/>
    <m/>
    <s v="N"/>
    <n v="1"/>
    <d v="2023-07-03T19:05:21"/>
    <s v="N"/>
    <s v="Profit Cost"/>
    <s v="Profit Cost"/>
    <s v="Profit Cost"/>
    <s v="Charlotte Sykes"/>
    <s v="N"/>
    <n v="2257.34"/>
    <n v="451.47"/>
    <x v="3"/>
    <s v="VALIDATED"/>
    <n v="1"/>
    <s v="01.11.80.201.2012.0000"/>
    <n v="2257.34"/>
    <s v="11"/>
    <s v="2012"/>
    <n v="8665.01"/>
    <n v="2257.34"/>
    <s v="CREDITOR"/>
    <n v="2257.34"/>
    <n v="564.335"/>
    <n v="0"/>
    <n v="0"/>
    <n v="0"/>
  </r>
  <r>
    <n v="16205005"/>
    <s v="N"/>
    <n v="21319696"/>
    <s v="3000007680330015"/>
    <s v="CIVIL"/>
    <d v="2023-06-28T00:00:00"/>
    <d v="2023-07-03T19:04:24"/>
    <m/>
    <d v="2023-07-03T00:00:00"/>
    <n v="1025"/>
    <n v="3658"/>
    <s v="16205005"/>
    <s v="16205005"/>
    <m/>
    <m/>
    <n v="22776042"/>
    <m/>
    <m/>
    <m/>
    <s v="SOLPOA"/>
    <s v="SOLPOA"/>
    <s v="CCMS"/>
    <n v="21319696"/>
    <n v="108"/>
    <m/>
    <s v="N"/>
    <n v="1"/>
    <d v="2023-07-03T19:04:27"/>
    <s v="N"/>
    <s v="Non Expert Disbursement"/>
    <s v="Non Expert Disbursement"/>
    <s v="Non Expert Disbursement"/>
    <s v="Sasha Barton"/>
    <s v="N"/>
    <n v="108"/>
    <n v="0"/>
    <x v="3"/>
    <s v="VALIDATED"/>
    <n v="1"/>
    <s v="01.11.80.201.2012.0000"/>
    <n v="108"/>
    <s v="11"/>
    <s v="2012"/>
    <n v="8665.01"/>
    <n v="108"/>
    <s v="CREDITOR"/>
    <n v="108"/>
    <n v="0"/>
    <n v="0"/>
    <n v="0"/>
    <n v="0"/>
  </r>
  <r>
    <n v="62340747"/>
    <s v="N"/>
    <n v="21319552"/>
    <s v="3000016325780002"/>
    <s v="CIVIL"/>
    <d v="2023-06-28T00:00:00"/>
    <d v="2023-07-03T19:04:24"/>
    <m/>
    <d v="2023-07-03T00:00:00"/>
    <n v="1025"/>
    <n v="3658"/>
    <s v="62340747"/>
    <s v="62340747"/>
    <m/>
    <m/>
    <n v="22775864"/>
    <m/>
    <m/>
    <m/>
    <s v="SOLPOA"/>
    <s v="SOLPOA"/>
    <s v="CCMS"/>
    <n v="21319552"/>
    <n v="151"/>
    <m/>
    <s v="N"/>
    <n v="1"/>
    <d v="2023-07-03T19:04:26"/>
    <s v="N"/>
    <s v="Non Expert Disbursement"/>
    <s v="Non Expert Disbursement"/>
    <s v="Non Expert Disbursement"/>
    <s v="Sophie Bell"/>
    <s v="N"/>
    <n v="151"/>
    <n v="0"/>
    <x v="3"/>
    <s v="VALIDATED"/>
    <n v="1"/>
    <s v="01.11.80.208.2012.0000"/>
    <n v="151"/>
    <s v="11"/>
    <s v="2012"/>
    <n v="8665.01"/>
    <n v="151"/>
    <s v="CREDITOR"/>
    <n v="151"/>
    <n v="0"/>
    <n v="0"/>
    <n v="0"/>
    <n v="0"/>
  </r>
  <r>
    <n v="61134116"/>
    <s v="N"/>
    <n v="21318534"/>
    <s v="3000015309150005"/>
    <s v="CIVIL"/>
    <d v="2023-06-20T00:00:00"/>
    <d v="2023-07-03T19:01:49"/>
    <m/>
    <d v="2023-07-03T00:00:00"/>
    <n v="1025"/>
    <n v="3658"/>
    <s v="61134116"/>
    <s v="61134116"/>
    <m/>
    <m/>
    <n v="22721352"/>
    <m/>
    <m/>
    <m/>
    <s v="SOLFIN"/>
    <s v="SOLFIN"/>
    <s v="CCMS"/>
    <n v="21318534"/>
    <n v="8016"/>
    <m/>
    <s v="N"/>
    <n v="4"/>
    <d v="2023-07-03T19:01:58"/>
    <s v="Y"/>
    <s v="Court Fee"/>
    <s v="Non Family Hourly Rates"/>
    <s v="Non Expert Disbursement"/>
    <s v="Aneela Samrai"/>
    <s v="Y"/>
    <n v="750"/>
    <n v="0"/>
    <x v="3"/>
    <s v="VALIDATED"/>
    <n v="1"/>
    <s v="01.11.80.208.6300.0000"/>
    <n v="750"/>
    <s v="11"/>
    <s v="6300"/>
    <n v="8665.01"/>
    <n v="750"/>
    <s v="CREDITOR"/>
    <n v="0"/>
    <n v="0"/>
    <n v="0"/>
    <n v="0"/>
    <n v="750"/>
  </r>
  <r>
    <n v="62340747"/>
    <s v="N"/>
    <n v="21319201"/>
    <s v="3000016325780001"/>
    <s v="CIVIL"/>
    <d v="2023-06-28T00:00:00"/>
    <d v="2023-07-03T19:04:24"/>
    <m/>
    <d v="2023-07-03T00:00:00"/>
    <n v="1025"/>
    <n v="3658"/>
    <s v="62340747"/>
    <s v="62340747"/>
    <m/>
    <m/>
    <n v="22775872"/>
    <m/>
    <m/>
    <m/>
    <s v="SOLPOA"/>
    <s v="SOLPOA"/>
    <s v="CCMS"/>
    <n v="21319201"/>
    <n v="108"/>
    <m/>
    <s v="N"/>
    <n v="1"/>
    <d v="2023-07-03T19:04:24"/>
    <s v="N"/>
    <s v="Non Expert Disbursement"/>
    <s v="Non Expert Disbursement"/>
    <s v="Non Expert Disbursement"/>
    <s v="Sophie Bell"/>
    <s v="N"/>
    <n v="108"/>
    <n v="0"/>
    <x v="3"/>
    <s v="VALIDATED"/>
    <n v="1"/>
    <s v="01.11.80.208.2012.0000"/>
    <n v="108"/>
    <s v="11"/>
    <s v="2012"/>
    <n v="8665.01"/>
    <n v="108"/>
    <s v="CREDITOR"/>
    <n v="108"/>
    <n v="0"/>
    <n v="0"/>
    <n v="0"/>
    <n v="0"/>
  </r>
  <r>
    <n v="61715899"/>
    <s v="N"/>
    <n v="21322590"/>
    <s v="3000015804520003"/>
    <s v="CIVIL"/>
    <d v="2023-06-29T00:00:00"/>
    <d v="2023-07-03T19:05:36"/>
    <m/>
    <d v="2023-07-03T00:00:00"/>
    <n v="1047"/>
    <n v="19051"/>
    <s v="61715899"/>
    <s v="61715899"/>
    <m/>
    <m/>
    <n v="22791390"/>
    <m/>
    <m/>
    <m/>
    <s v="SOLPOA"/>
    <s v="SOLPOA"/>
    <s v="CCMS"/>
    <n v="21322590"/>
    <n v="915.6799999999999"/>
    <m/>
    <s v="N"/>
    <n v="1"/>
    <d v="2023-07-03T19:05:39"/>
    <s v="N"/>
    <s v="Solicitors Fixed Fee"/>
    <s v="Public Law Children"/>
    <s v="Profit Cost"/>
    <s v="SDH/142191"/>
    <s v="N"/>
    <n v="763.0700000000001"/>
    <n v="152.61"/>
    <x v="3"/>
    <s v="VALIDATED"/>
    <n v="1"/>
    <s v="01.11.80.308.2012.0000"/>
    <n v="763.0700000000001"/>
    <s v="11"/>
    <s v="2012"/>
    <n v="1448.17"/>
    <n v="763.0700000000001"/>
    <s v="CREDITOR"/>
    <n v="763.0700000000001"/>
    <n v="190.7675"/>
    <n v="0"/>
    <n v="0"/>
    <n v="0"/>
  </r>
  <r>
    <n v="61160317"/>
    <s v="N"/>
    <n v="21321986"/>
    <s v="3000015343250004"/>
    <s v="CIVIL"/>
    <d v="2023-06-29T00:00:00"/>
    <d v="2023-07-03T19:05:17"/>
    <m/>
    <d v="2023-07-03T00:00:00"/>
    <n v="1047"/>
    <n v="19051"/>
    <s v="61160317"/>
    <s v="61160317"/>
    <m/>
    <m/>
    <n v="22788094"/>
    <m/>
    <m/>
    <m/>
    <s v="SOLPOA"/>
    <s v="SOLPOA"/>
    <s v="CCMS"/>
    <n v="21321986"/>
    <n v="822.12"/>
    <m/>
    <s v="N"/>
    <n v="1"/>
    <d v="2023-07-03T19:05:21"/>
    <s v="N"/>
    <s v="Solicitors Fixed Fee"/>
    <s v="Public Law Children"/>
    <s v="Profit Cost"/>
    <s v="SDH/141898"/>
    <s v="N"/>
    <n v="685.1"/>
    <n v="137.02"/>
    <x v="3"/>
    <s v="VALIDATED"/>
    <n v="1"/>
    <s v="01.11.80.308.2012.0000"/>
    <n v="685.1"/>
    <s v="11"/>
    <s v="2012"/>
    <n v="1448.17"/>
    <n v="685.1"/>
    <s v="CREDITOR"/>
    <n v="685.1"/>
    <n v="171.275"/>
    <n v="0"/>
    <n v="0"/>
    <n v="0"/>
  </r>
  <r>
    <n v="60185677"/>
    <s v="N"/>
    <n v="21318767"/>
    <s v="3000014502310013"/>
    <s v="CIVIL"/>
    <d v="2023-06-20T00:00:00"/>
    <d v="2023-07-03T19:01:49"/>
    <m/>
    <d v="2023-07-03T00:00:00"/>
    <n v="1057"/>
    <n v="2647"/>
    <s v="60185677"/>
    <s v="60185677"/>
    <m/>
    <m/>
    <n v="22723482"/>
    <m/>
    <m/>
    <m/>
    <s v="SOLFIN"/>
    <s v="SOLFIN"/>
    <s v="CCMS"/>
    <n v="21318767"/>
    <n v="10146.79"/>
    <m/>
    <s v="N"/>
    <n v="78"/>
    <d v="2023-07-03T19:02:02"/>
    <s v="Y"/>
    <s v="Preparation - other"/>
    <s v="Care Remuneration Hourly Rates"/>
    <s v="Profit Cost"/>
    <s v="NC"/>
    <s v="Y"/>
    <n v="52.57"/>
    <n v="10.51"/>
    <x v="3"/>
    <s v="VALIDATED"/>
    <n v="1"/>
    <s v="01.11.80.308.6100.0000"/>
    <n v="52.57"/>
    <s v="11"/>
    <s v="6100"/>
    <n v="5845.23"/>
    <n v="52.57"/>
    <s v="CREDITOR"/>
    <n v="0"/>
    <n v="0"/>
    <n v="0"/>
    <n v="0"/>
    <n v="52.57"/>
  </r>
  <r>
    <n v="61108480"/>
    <s v="N"/>
    <n v="21349717"/>
    <s v="3000015299220009"/>
    <s v="CIVIL"/>
    <d v="2023-06-30T00:00:00"/>
    <d v="2023-07-10T19:01:40"/>
    <m/>
    <d v="2023-07-10T00:00:00"/>
    <n v="1057"/>
    <n v="2647"/>
    <s v="61108480"/>
    <s v="61108480"/>
    <m/>
    <m/>
    <n v="22794122"/>
    <m/>
    <m/>
    <m/>
    <s v="SOLFIN"/>
    <s v="SOLFIN"/>
    <s v="CCMS"/>
    <n v="21349717"/>
    <n v="21432.99"/>
    <m/>
    <s v="N"/>
    <n v="1"/>
    <d v="2023-07-10T19:01:56"/>
    <s v="Y"/>
    <s v="Final Hearing Court Bundle/Advocate"/>
    <s v="Public Law Children"/>
    <s v="Advocacy"/>
    <s v="Natalie Corten"/>
    <s v="Y"/>
    <n v="318.6"/>
    <n v="63.72"/>
    <x v="2"/>
    <s v="VALIDATED"/>
    <n v="1"/>
    <s v="01.11.80.308.6100.0000"/>
    <n v="318.6"/>
    <s v="11"/>
    <s v="6100"/>
    <n v="5845.23"/>
    <n v="318.6"/>
    <s v="CREDITOR"/>
    <n v="0"/>
    <n v="0"/>
    <n v="0"/>
    <n v="0"/>
    <n v="318.6"/>
  </r>
  <r>
    <n v="61947885"/>
    <s v="N"/>
    <n v="21323615"/>
    <s v="3000015998750009"/>
    <s v="CIVIL"/>
    <d v="2023-06-30T00:00:00"/>
    <d v="2023-07-03T19:05:56"/>
    <m/>
    <d v="2023-07-03T00:00:00"/>
    <n v="1057"/>
    <n v="2647"/>
    <s v="61947885"/>
    <s v="61947885"/>
    <m/>
    <m/>
    <n v="22794614"/>
    <m/>
    <m/>
    <m/>
    <s v="SOLPOA"/>
    <s v="SOLPOA"/>
    <s v="CCMS"/>
    <n v="21323615"/>
    <n v="368.7"/>
    <m/>
    <s v="N"/>
    <n v="1"/>
    <d v="2023-07-03T19:05:58"/>
    <s v="N"/>
    <s v="Expert Cost"/>
    <s v="Expert Cost"/>
    <s v="Expert Disbursement"/>
    <s v="Natalie Corten"/>
    <s v="N"/>
    <n v="307.25"/>
    <n v="61.45"/>
    <x v="3"/>
    <s v="VALIDATED"/>
    <n v="1"/>
    <s v="01.11.80.308.2012.0000"/>
    <n v="307.25"/>
    <s v="11"/>
    <s v="2012"/>
    <n v="5845.23"/>
    <n v="307.25"/>
    <s v="CREDITOR"/>
    <n v="307.25"/>
    <n v="0"/>
    <n v="0"/>
    <n v="0"/>
    <n v="0"/>
  </r>
  <r>
    <n v="60185677"/>
    <s v="N"/>
    <n v="21318767"/>
    <s v="3000014502310013"/>
    <s v="CIVIL"/>
    <d v="2023-06-20T00:00:00"/>
    <d v="2023-07-03T19:01:49"/>
    <m/>
    <d v="2023-07-03T00:00:00"/>
    <n v="1057"/>
    <n v="2647"/>
    <s v="60185677"/>
    <s v="60185677"/>
    <m/>
    <m/>
    <n v="22723482"/>
    <m/>
    <m/>
    <m/>
    <s v="SOLFIN"/>
    <s v="SOLFIN"/>
    <s v="CCMS"/>
    <n v="21318767"/>
    <n v="10146.79"/>
    <m/>
    <s v="N"/>
    <n v="36"/>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49"/>
    <d v="2023-07-03T19:02:02"/>
    <s v="Y"/>
    <s v="Preparation - other"/>
    <s v="Care Remuneration Hourly Rates"/>
    <s v="Profit Cost"/>
    <s v="NC"/>
    <s v="Y"/>
    <n v="247.08"/>
    <n v="49.41"/>
    <x v="3"/>
    <s v="VALIDATED"/>
    <n v="1"/>
    <s v="01.11.80.308.6100.0000"/>
    <n v="247.08"/>
    <s v="11"/>
    <s v="6100"/>
    <n v="5845.23"/>
    <n v="247.08"/>
    <s v="CREDITOR"/>
    <n v="0"/>
    <n v="0"/>
    <n v="0"/>
    <n v="0"/>
    <n v="247.08"/>
  </r>
  <r>
    <n v="60185677"/>
    <s v="N"/>
    <n v="21318767"/>
    <s v="3000014502310013"/>
    <s v="CIVIL"/>
    <d v="2023-06-20T00:00:00"/>
    <d v="2023-07-03T19:01:49"/>
    <m/>
    <d v="2023-07-03T00:00:00"/>
    <n v="1057"/>
    <n v="2647"/>
    <s v="60185677"/>
    <s v="60185677"/>
    <m/>
    <m/>
    <n v="22723482"/>
    <m/>
    <m/>
    <m/>
    <s v="SOLFIN"/>
    <s v="SOLFIN"/>
    <s v="CCMS"/>
    <n v="21318767"/>
    <n v="10146.79"/>
    <m/>
    <s v="N"/>
    <n v="99"/>
    <d v="2023-07-03T19:02:02"/>
    <s v="Y"/>
    <s v="Court Fee"/>
    <s v="Care Remuneration Hourly Rates"/>
    <s v="Non Expert Disbursement"/>
    <s v="NC"/>
    <s v="Y"/>
    <n v="167"/>
    <n v="0"/>
    <x v="3"/>
    <s v="VALIDATED"/>
    <n v="1"/>
    <s v="01.11.80.308.6300.0000"/>
    <n v="167"/>
    <s v="11"/>
    <s v="6300"/>
    <n v="5845.23"/>
    <n v="167"/>
    <s v="CREDITOR"/>
    <n v="0"/>
    <n v="0"/>
    <n v="0"/>
    <n v="0"/>
    <n v="167"/>
  </r>
  <r>
    <n v="60185677"/>
    <s v="N"/>
    <n v="21318767"/>
    <s v="3000014502310013"/>
    <s v="CIVIL"/>
    <d v="2023-06-20T00:00:00"/>
    <d v="2023-07-03T19:01:49"/>
    <m/>
    <d v="2023-07-03T00:00:00"/>
    <n v="1057"/>
    <n v="2647"/>
    <s v="60185677"/>
    <s v="60185677"/>
    <m/>
    <m/>
    <n v="22723482"/>
    <m/>
    <m/>
    <m/>
    <s v="SOLFIN"/>
    <s v="SOLFIN"/>
    <s v="CCMS"/>
    <n v="21318767"/>
    <n v="10146.79"/>
    <m/>
    <s v="N"/>
    <n v="9"/>
    <d v="2023-07-03T19:02:02"/>
    <s v="Y"/>
    <s v="Preparation - other"/>
    <s v="Care Remuneration Hourly Rates"/>
    <s v="Profit Cost"/>
    <s v="RL"/>
    <s v="Y"/>
    <n v="299.65"/>
    <n v="59.93"/>
    <x v="3"/>
    <s v="VALIDATED"/>
    <n v="1"/>
    <s v="01.11.80.308.6100.0000"/>
    <n v="299.65"/>
    <s v="11"/>
    <s v="6100"/>
    <n v="5845.23"/>
    <n v="299.65"/>
    <s v="CREDITOR"/>
    <n v="0"/>
    <n v="0"/>
    <n v="0"/>
    <n v="0"/>
    <n v="299.65"/>
  </r>
  <r>
    <n v="60185677"/>
    <s v="N"/>
    <n v="21318767"/>
    <s v="3000014502310013"/>
    <s v="CIVIL"/>
    <d v="2023-06-20T00:00:00"/>
    <d v="2023-07-03T19:01:49"/>
    <m/>
    <d v="2023-07-03T00:00:00"/>
    <n v="1057"/>
    <n v="2647"/>
    <s v="60185677"/>
    <s v="60185677"/>
    <m/>
    <m/>
    <n v="22723482"/>
    <m/>
    <m/>
    <m/>
    <s v="SOLFIN"/>
    <s v="SOLFIN"/>
    <s v="CCMS"/>
    <n v="21318767"/>
    <n v="10146.79"/>
    <m/>
    <s v="N"/>
    <n v="57"/>
    <d v="2023-07-03T19:02:02"/>
    <s v="Y"/>
    <s v="Attendance upon client"/>
    <s v="Care Remuneration Hourly Rates"/>
    <s v="Profit Cost"/>
    <s v="RL"/>
    <s v="Y"/>
    <n v="15.77"/>
    <n v="3.15"/>
    <x v="3"/>
    <s v="VALIDATED"/>
    <n v="1"/>
    <s v="01.11.80.308.6100.0000"/>
    <n v="15.77"/>
    <s v="11"/>
    <s v="6100"/>
    <n v="5845.23"/>
    <n v="15.77"/>
    <s v="CREDITOR"/>
    <n v="0"/>
    <n v="0"/>
    <n v="0"/>
    <n v="0"/>
    <n v="15.77"/>
  </r>
  <r>
    <n v="59981770"/>
    <s v="N"/>
    <n v="21343942"/>
    <s v="3000014327240015"/>
    <s v="CIVIL"/>
    <d v="2023-06-26T00:00:00"/>
    <d v="2023-07-07T19:03:00"/>
    <m/>
    <d v="2023-07-07T00:00:00"/>
    <n v="1057"/>
    <n v="2647"/>
    <s v="59981770"/>
    <s v="59981770"/>
    <m/>
    <m/>
    <n v="22759482"/>
    <m/>
    <m/>
    <m/>
    <s v="SOLFIN"/>
    <s v="SOLFIN"/>
    <s v="CCMS"/>
    <n v="21343942"/>
    <n v="26854.41"/>
    <m/>
    <s v="N"/>
    <n v="4"/>
    <d v="2023-07-07T19:03:18"/>
    <s v="Y"/>
    <s v="Disbursements (Summary)"/>
    <s v="Public Law Children"/>
    <s v="Non Expert Disbursement"/>
    <s v="Kate Roberts"/>
    <s v="Y"/>
    <n v="4239.32"/>
    <n v="847.86"/>
    <x v="9"/>
    <s v="VALIDATED"/>
    <n v="1"/>
    <s v="01.11.80.308.6300.0000"/>
    <n v="4239.32"/>
    <s v="11"/>
    <s v="6300"/>
    <n v="5845.23"/>
    <n v="4239.32"/>
    <s v="CREDITOR"/>
    <n v="0"/>
    <n v="0"/>
    <n v="0"/>
    <n v="0"/>
    <n v="4239.32"/>
  </r>
  <r>
    <n v="60185677"/>
    <s v="N"/>
    <n v="21318767"/>
    <s v="3000014502310013"/>
    <s v="CIVIL"/>
    <d v="2023-06-20T00:00:00"/>
    <d v="2023-07-03T19:01:49"/>
    <m/>
    <d v="2023-07-03T00:00:00"/>
    <n v="1057"/>
    <n v="2647"/>
    <s v="60185677"/>
    <s v="60185677"/>
    <m/>
    <m/>
    <n v="22723482"/>
    <m/>
    <m/>
    <m/>
    <s v="SOLFIN"/>
    <s v="SOLFIN"/>
    <s v="CCMS"/>
    <n v="21318767"/>
    <n v="10146.79"/>
    <m/>
    <s v="N"/>
    <n v="5"/>
    <d v="2023-07-03T19:02:02"/>
    <s v="Y"/>
    <s v="Preparation - drafting attendance n"/>
    <s v="Care Remuneration Hourly Rates"/>
    <s v="Profit Cost"/>
    <s v="NC"/>
    <s v="Y"/>
    <n v="26.29"/>
    <n v="5.26"/>
    <x v="3"/>
    <s v="VALIDATED"/>
    <n v="1"/>
    <s v="01.11.80.308.6100.0000"/>
    <n v="26.29"/>
    <s v="11"/>
    <s v="6100"/>
    <n v="5845.23"/>
    <n v="26.29"/>
    <s v="CREDITOR"/>
    <n v="0"/>
    <n v="0"/>
    <n v="0"/>
    <n v="0"/>
    <n v="26.29"/>
  </r>
  <r>
    <n v="61108480"/>
    <s v="N"/>
    <n v="21349717"/>
    <s v="3000015299220009"/>
    <s v="CIVIL"/>
    <d v="2023-06-30T00:00:00"/>
    <d v="2023-07-10T19:01:40"/>
    <m/>
    <d v="2023-07-10T00:00:00"/>
    <n v="1057"/>
    <n v="2647"/>
    <s v="61108480"/>
    <s v="61108480"/>
    <m/>
    <m/>
    <n v="22794122"/>
    <m/>
    <m/>
    <m/>
    <s v="SOLFIN"/>
    <s v="SOLFIN"/>
    <s v="CCMS"/>
    <n v="21349717"/>
    <n v="21432.99"/>
    <m/>
    <s v="N"/>
    <n v="3"/>
    <d v="2023-07-10T19:01:56"/>
    <s v="Y"/>
    <s v="Profit Costs (Summary)"/>
    <s v="Public Law Children"/>
    <s v="Profit Cost"/>
    <s v="Natalie Corten"/>
    <s v="Y"/>
    <n v="14271.65"/>
    <n v="2854.33"/>
    <x v="2"/>
    <s v="VALIDATED"/>
    <n v="1"/>
    <s v="01.11.80.308.6100.0000"/>
    <n v="14271.65"/>
    <s v="11"/>
    <s v="6100"/>
    <n v="5845.23"/>
    <n v="14271.65"/>
    <s v="CREDITOR"/>
    <n v="0"/>
    <n v="0"/>
    <n v="0"/>
    <n v="0"/>
    <n v="14271.65"/>
  </r>
  <r>
    <n v="60185677"/>
    <s v="N"/>
    <n v="21318767"/>
    <s v="3000014502310013"/>
    <s v="CIVIL"/>
    <d v="2023-06-20T00:00:00"/>
    <d v="2023-07-03T19:01:49"/>
    <m/>
    <d v="2023-07-03T00:00:00"/>
    <n v="1057"/>
    <n v="2647"/>
    <s v="60185677"/>
    <s v="60185677"/>
    <m/>
    <m/>
    <n v="22723482"/>
    <m/>
    <m/>
    <m/>
    <s v="SOLFIN"/>
    <s v="SOLFIN"/>
    <s v="CCMS"/>
    <n v="21318767"/>
    <n v="10146.79"/>
    <m/>
    <s v="N"/>
    <n v="41"/>
    <d v="2023-07-03T19:02:02"/>
    <s v="Y"/>
    <s v="Attendance upon client"/>
    <s v="Care Remuneration Hourly Rates"/>
    <s v="Profit Cost"/>
    <s v="NC"/>
    <s v="Y"/>
    <n v="42.06"/>
    <n v="8.41"/>
    <x v="3"/>
    <s v="VALIDATED"/>
    <n v="1"/>
    <s v="01.11.80.308.6100.0000"/>
    <n v="42.06"/>
    <s v="11"/>
    <s v="6100"/>
    <n v="5845.23"/>
    <n v="42.06"/>
    <s v="CREDITOR"/>
    <n v="0"/>
    <n v="0"/>
    <n v="0"/>
    <n v="0"/>
    <n v="42.06"/>
  </r>
  <r>
    <n v="60185677"/>
    <s v="N"/>
    <n v="21318767"/>
    <s v="3000014502310013"/>
    <s v="CIVIL"/>
    <d v="2023-06-20T00:00:00"/>
    <d v="2023-07-03T19:01:49"/>
    <m/>
    <d v="2023-07-03T00:00:00"/>
    <n v="1057"/>
    <n v="2647"/>
    <s v="60185677"/>
    <s v="60185677"/>
    <m/>
    <m/>
    <n v="22723482"/>
    <m/>
    <m/>
    <m/>
    <s v="SOLFIN"/>
    <s v="SOLFIN"/>
    <s v="CCMS"/>
    <n v="21318767"/>
    <n v="10146.79"/>
    <m/>
    <s v="N"/>
    <n v="39"/>
    <d v="2023-07-03T19:02:02"/>
    <s v="Y"/>
    <s v="Report - other expert's report"/>
    <s v="Care Remuneration Hourly Rates"/>
    <s v="Profit Cost"/>
    <s v="NC"/>
    <s v="Y"/>
    <n v="36.8"/>
    <n v="7.36"/>
    <x v="3"/>
    <s v="VALIDATED"/>
    <n v="1"/>
    <s v="01.11.80.308.6100.0000"/>
    <n v="36.8"/>
    <s v="11"/>
    <s v="6100"/>
    <n v="5845.23"/>
    <n v="36.8"/>
    <s v="CREDITOR"/>
    <n v="0"/>
    <n v="0"/>
    <n v="0"/>
    <n v="0"/>
    <n v="36.8"/>
  </r>
  <r>
    <n v="60185677"/>
    <s v="N"/>
    <n v="21318767"/>
    <s v="3000014502310013"/>
    <s v="CIVIL"/>
    <d v="2023-06-20T00:00:00"/>
    <d v="2023-07-03T19:01:49"/>
    <m/>
    <d v="2023-07-03T00:00:00"/>
    <n v="1057"/>
    <n v="2647"/>
    <s v="60185677"/>
    <s v="60185677"/>
    <m/>
    <m/>
    <n v="22723482"/>
    <m/>
    <m/>
    <m/>
    <s v="SOLFIN"/>
    <s v="SOLFIN"/>
    <s v="CCMS"/>
    <n v="21318767"/>
    <n v="10146.79"/>
    <m/>
    <s v="N"/>
    <n v="35"/>
    <d v="2023-07-03T19:02:02"/>
    <s v="Y"/>
    <s v="Preparation - drafting instructions"/>
    <s v="Care Remuneration Hourly Rates"/>
    <s v="Profit Cost"/>
    <s v="NC"/>
    <s v="Y"/>
    <n v="52.57"/>
    <n v="10.51"/>
    <x v="3"/>
    <s v="VALIDATED"/>
    <n v="1"/>
    <s v="01.11.80.308.6100.0000"/>
    <n v="52.57"/>
    <s v="11"/>
    <s v="6100"/>
    <n v="5845.23"/>
    <n v="52.57"/>
    <s v="CREDITOR"/>
    <n v="0"/>
    <n v="0"/>
    <n v="0"/>
    <n v="0"/>
    <n v="52.57"/>
  </r>
  <r>
    <n v="60185677"/>
    <s v="N"/>
    <n v="21318767"/>
    <s v="3000014502310013"/>
    <s v="CIVIL"/>
    <d v="2023-06-20T00:00:00"/>
    <d v="2023-07-03T19:01:49"/>
    <m/>
    <d v="2023-07-03T00:00:00"/>
    <n v="1057"/>
    <n v="2647"/>
    <s v="60185677"/>
    <s v="60185677"/>
    <m/>
    <m/>
    <n v="22723482"/>
    <m/>
    <m/>
    <m/>
    <s v="SOLFIN"/>
    <s v="SOLFIN"/>
    <s v="CCMS"/>
    <n v="21318767"/>
    <n v="10146.79"/>
    <m/>
    <s v="N"/>
    <n v="88"/>
    <d v="2023-07-03T19:02:02"/>
    <s v="Y"/>
    <s v="Preparation - drafting bill/claim f"/>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44"/>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75"/>
    <d v="2023-07-03T19:02:02"/>
    <s v="Y"/>
    <s v="Preparation - other"/>
    <s v="Care Remuneration Hourly Rates"/>
    <s v="Profit Cost"/>
    <s v="NC"/>
    <s v="Y"/>
    <n v="136.68"/>
    <n v="27.33"/>
    <x v="3"/>
    <s v="VALIDATED"/>
    <n v="1"/>
    <s v="01.11.80.308.6100.0000"/>
    <n v="136.68"/>
    <s v="11"/>
    <s v="6100"/>
    <n v="5845.23"/>
    <n v="136.68"/>
    <s v="CREDITOR"/>
    <n v="0"/>
    <n v="0"/>
    <n v="0"/>
    <n v="0"/>
    <n v="136.68"/>
  </r>
  <r>
    <n v="60810005"/>
    <s v="N"/>
    <n v="21328241"/>
    <s v="3000015004970004"/>
    <s v="CIVIL"/>
    <d v="2023-06-26T00:00:00"/>
    <d v="2023-07-04T19:00:44"/>
    <m/>
    <d v="2023-07-04T00:00:00"/>
    <n v="1057"/>
    <n v="2647"/>
    <s v="60810005"/>
    <s v="60810005"/>
    <m/>
    <m/>
    <n v="22760470"/>
    <m/>
    <m/>
    <m/>
    <s v="SOLFIN"/>
    <s v="SOLFIN"/>
    <s v="CCMS"/>
    <n v="21328241"/>
    <n v="806.2"/>
    <m/>
    <s v="N"/>
    <n v="2"/>
    <d v="2023-07-04T19:01:09"/>
    <s v="Y"/>
    <s v="Level 3 &amp; Enforcement Fixed Fee"/>
    <s v="Private Law Children"/>
    <s v="Profit Cost"/>
    <s v="Ross Lang"/>
    <s v="Y"/>
    <n v="478.5"/>
    <n v="95.7"/>
    <x v="1"/>
    <s v="VALIDATED"/>
    <n v="1"/>
    <s v="01.11.80.307.6100.0000"/>
    <n v="478.5"/>
    <s v="11"/>
    <s v="6100"/>
    <n v="5845.23"/>
    <n v="478.5"/>
    <s v="CREDITOR"/>
    <n v="0"/>
    <n v="0"/>
    <n v="0"/>
    <n v="0"/>
    <n v="478.5"/>
  </r>
  <r>
    <n v="60185677"/>
    <s v="N"/>
    <n v="21318767"/>
    <s v="3000014502310013"/>
    <s v="CIVIL"/>
    <d v="2023-06-20T00:00:00"/>
    <d v="2023-07-03T19:01:49"/>
    <m/>
    <d v="2023-07-03T00:00:00"/>
    <n v="1057"/>
    <n v="2647"/>
    <s v="60185677"/>
    <s v="60185677"/>
    <m/>
    <m/>
    <n v="22723482"/>
    <m/>
    <m/>
    <m/>
    <s v="SOLFIN"/>
    <s v="SOLFIN"/>
    <s v="CCMS"/>
    <n v="21318767"/>
    <n v="10146.79"/>
    <m/>
    <s v="N"/>
    <n v="46"/>
    <d v="2023-07-03T19:02:02"/>
    <s v="Y"/>
    <s v="Preparation - other"/>
    <s v="Care Remuneration Hourly Rates"/>
    <s v="Profit Cost"/>
    <s v="NC"/>
    <s v="Y"/>
    <n v="5.26"/>
    <n v="1.05"/>
    <x v="3"/>
    <s v="VALIDATED"/>
    <n v="1"/>
    <s v="01.11.80.308.6100.0000"/>
    <n v="5.26"/>
    <s v="11"/>
    <s v="6100"/>
    <n v="5845.23"/>
    <n v="5.26"/>
    <s v="CREDITOR"/>
    <n v="0"/>
    <n v="0"/>
    <n v="0"/>
    <n v="0"/>
    <n v="5.26"/>
  </r>
  <r>
    <n v="60185677"/>
    <s v="N"/>
    <n v="21318767"/>
    <s v="3000014502310013"/>
    <s v="CIVIL"/>
    <d v="2023-06-20T00:00:00"/>
    <d v="2023-07-03T19:01:49"/>
    <m/>
    <d v="2023-07-03T00:00:00"/>
    <n v="1057"/>
    <n v="2647"/>
    <s v="60185677"/>
    <s v="60185677"/>
    <m/>
    <m/>
    <n v="22723482"/>
    <m/>
    <m/>
    <m/>
    <s v="SOLFIN"/>
    <s v="SOLFIN"/>
    <s v="CCMS"/>
    <n v="21318767"/>
    <n v="10146.79"/>
    <m/>
    <s v="N"/>
    <n v="69"/>
    <d v="2023-07-03T19:02:02"/>
    <s v="Y"/>
    <s v="Preparation - other"/>
    <s v="Care Remuneration Hourly Rates"/>
    <s v="Profit Cost"/>
    <s v="NC"/>
    <s v="Y"/>
    <n v="26.29"/>
    <n v="5.26"/>
    <x v="3"/>
    <s v="VALIDATED"/>
    <n v="1"/>
    <s v="01.11.80.308.6100.0000"/>
    <n v="26.29"/>
    <s v="11"/>
    <s v="6100"/>
    <n v="5845.23"/>
    <n v="26.29"/>
    <s v="CREDITOR"/>
    <n v="0"/>
    <n v="0"/>
    <n v="0"/>
    <n v="0"/>
    <n v="26.29"/>
  </r>
  <r>
    <n v="60185677"/>
    <s v="N"/>
    <n v="21318767"/>
    <s v="3000014502310013"/>
    <s v="CIVIL"/>
    <d v="2023-06-20T00:00:00"/>
    <d v="2023-07-03T19:01:49"/>
    <m/>
    <d v="2023-07-03T00:00:00"/>
    <n v="1057"/>
    <n v="2647"/>
    <s v="60185677"/>
    <s v="60185677"/>
    <m/>
    <m/>
    <n v="22723482"/>
    <m/>
    <m/>
    <m/>
    <s v="SOLFIN"/>
    <s v="SOLFIN"/>
    <s v="CCMS"/>
    <n v="21318767"/>
    <n v="10146.79"/>
    <m/>
    <s v="N"/>
    <n v="79"/>
    <d v="2023-07-03T19:02:02"/>
    <s v="Y"/>
    <s v="Report - Welfare report"/>
    <s v="Care Remuneration Hourly Rates"/>
    <s v="Profit Cost"/>
    <s v="NC"/>
    <s v="Y"/>
    <n v="42.06"/>
    <n v="8.41"/>
    <x v="3"/>
    <s v="VALIDATED"/>
    <n v="1"/>
    <s v="01.11.80.308.6100.0000"/>
    <n v="42.06"/>
    <s v="11"/>
    <s v="6100"/>
    <n v="5845.23"/>
    <n v="42.06"/>
    <s v="CREDITOR"/>
    <n v="0"/>
    <n v="0"/>
    <n v="0"/>
    <n v="0"/>
    <n v="42.06"/>
  </r>
  <r>
    <n v="60185677"/>
    <s v="N"/>
    <n v="21318767"/>
    <s v="3000014502310013"/>
    <s v="CIVIL"/>
    <d v="2023-06-20T00:00:00"/>
    <d v="2023-07-03T19:01:49"/>
    <m/>
    <d v="2023-07-03T00:00:00"/>
    <n v="1057"/>
    <n v="2647"/>
    <s v="60185677"/>
    <s v="60185677"/>
    <m/>
    <m/>
    <n v="22723482"/>
    <m/>
    <m/>
    <m/>
    <s v="SOLFIN"/>
    <s v="SOLFIN"/>
    <s v="CCMS"/>
    <n v="21318767"/>
    <n v="10146.79"/>
    <m/>
    <s v="N"/>
    <n v="20"/>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72"/>
    <d v="2023-07-03T19:02:02"/>
    <s v="Y"/>
    <s v="Preparation - drafting application"/>
    <s v="Care Remuneration Hourly Rates"/>
    <s v="Profit Cost"/>
    <s v="NC"/>
    <s v="Y"/>
    <n v="52.57"/>
    <n v="10.51"/>
    <x v="3"/>
    <s v="VALIDATED"/>
    <n v="1"/>
    <s v="01.11.80.308.6100.0000"/>
    <n v="52.57"/>
    <s v="11"/>
    <s v="6100"/>
    <n v="5845.23"/>
    <n v="52.57"/>
    <s v="CREDITOR"/>
    <n v="0"/>
    <n v="0"/>
    <n v="0"/>
    <n v="0"/>
    <n v="52.57"/>
  </r>
  <r>
    <n v="60185677"/>
    <s v="N"/>
    <n v="21318767"/>
    <s v="3000014502310013"/>
    <s v="CIVIL"/>
    <d v="2023-06-20T00:00:00"/>
    <d v="2023-07-03T19:01:49"/>
    <m/>
    <d v="2023-07-03T00:00:00"/>
    <n v="1057"/>
    <n v="2647"/>
    <s v="60185677"/>
    <s v="60185677"/>
    <m/>
    <m/>
    <n v="22723482"/>
    <m/>
    <m/>
    <m/>
    <s v="SOLFIN"/>
    <s v="SOLFIN"/>
    <s v="CCMS"/>
    <n v="21318767"/>
    <n v="10146.79"/>
    <m/>
    <s v="N"/>
    <n v="90"/>
    <d v="2023-07-03T19:02:02"/>
    <s v="Y"/>
    <s v="Preparation - other"/>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97"/>
    <d v="2023-07-03T19:02:02"/>
    <s v="Y"/>
    <s v="Court Fee"/>
    <s v="Care Remuneration Hourly Rates"/>
    <s v="Non Expert Disbursement"/>
    <s v="NC"/>
    <s v="Y"/>
    <n v="167"/>
    <n v="0"/>
    <x v="3"/>
    <s v="VALIDATED"/>
    <n v="1"/>
    <s v="01.11.80.308.6300.0000"/>
    <n v="167"/>
    <s v="11"/>
    <s v="6300"/>
    <n v="5845.23"/>
    <n v="167"/>
    <s v="CREDITOR"/>
    <n v="0"/>
    <n v="0"/>
    <n v="0"/>
    <n v="0"/>
    <n v="167"/>
  </r>
  <r>
    <n v="60185677"/>
    <s v="N"/>
    <n v="21318767"/>
    <s v="3000014502310013"/>
    <s v="CIVIL"/>
    <d v="2023-06-20T00:00:00"/>
    <d v="2023-07-03T19:01:49"/>
    <m/>
    <d v="2023-07-03T00:00:00"/>
    <n v="1057"/>
    <n v="2647"/>
    <s v="60185677"/>
    <s v="60185677"/>
    <m/>
    <m/>
    <n v="22723482"/>
    <m/>
    <m/>
    <m/>
    <s v="SOLFIN"/>
    <s v="SOLFIN"/>
    <s v="CCMS"/>
    <n v="21318767"/>
    <n v="10146.79"/>
    <m/>
    <s v="N"/>
    <n v="61"/>
    <d v="2023-07-03T19:02:02"/>
    <s v="Y"/>
    <s v="Preparation - drafting statement"/>
    <s v="Care Remuneration Hourly Rates"/>
    <s v="Profit Cost"/>
    <s v="NC"/>
    <s v="Y"/>
    <n v="52.57"/>
    <n v="10.51"/>
    <x v="3"/>
    <s v="VALIDATED"/>
    <n v="1"/>
    <s v="01.11.80.308.6100.0000"/>
    <n v="52.57"/>
    <s v="11"/>
    <s v="6100"/>
    <n v="5845.23"/>
    <n v="52.57"/>
    <s v="CREDITOR"/>
    <n v="0"/>
    <n v="0"/>
    <n v="0"/>
    <n v="0"/>
    <n v="52.57"/>
  </r>
  <r>
    <n v="60185677"/>
    <s v="N"/>
    <n v="21318767"/>
    <s v="3000014502310013"/>
    <s v="CIVIL"/>
    <d v="2023-06-20T00:00:00"/>
    <d v="2023-07-03T19:01:49"/>
    <m/>
    <d v="2023-07-03T00:00:00"/>
    <n v="1057"/>
    <n v="2647"/>
    <s v="60185677"/>
    <s v="60185677"/>
    <m/>
    <m/>
    <n v="22723482"/>
    <m/>
    <m/>
    <m/>
    <s v="SOLFIN"/>
    <s v="SOLFIN"/>
    <s v="CCMS"/>
    <n v="21318767"/>
    <n v="10146.79"/>
    <m/>
    <s v="N"/>
    <n v="63"/>
    <d v="2023-07-03T19:02:02"/>
    <s v="Y"/>
    <s v="Preparation - other"/>
    <s v="Care Remuneration Hourly Rates"/>
    <s v="Profit Cost"/>
    <s v="LM"/>
    <s v="Y"/>
    <n v="120.91"/>
    <n v="24.18"/>
    <x v="3"/>
    <s v="VALIDATED"/>
    <n v="1"/>
    <s v="01.11.80.308.6100.0000"/>
    <n v="120.91"/>
    <s v="11"/>
    <s v="6100"/>
    <n v="5845.23"/>
    <n v="120.91"/>
    <s v="CREDITOR"/>
    <n v="0"/>
    <n v="0"/>
    <n v="0"/>
    <n v="0"/>
    <n v="120.91"/>
  </r>
  <r>
    <n v="60185677"/>
    <s v="N"/>
    <n v="21318767"/>
    <s v="3000014502310013"/>
    <s v="CIVIL"/>
    <d v="2023-06-20T00:00:00"/>
    <d v="2023-07-03T19:01:49"/>
    <m/>
    <d v="2023-07-03T00:00:00"/>
    <n v="1057"/>
    <n v="2647"/>
    <s v="60185677"/>
    <s v="60185677"/>
    <m/>
    <m/>
    <n v="22723482"/>
    <m/>
    <m/>
    <m/>
    <s v="SOLFIN"/>
    <s v="SOLFIN"/>
    <s v="CCMS"/>
    <n v="21318767"/>
    <n v="10146.79"/>
    <m/>
    <s v="N"/>
    <n v="51"/>
    <d v="2023-07-03T19:02:02"/>
    <s v="Y"/>
    <s v="Preparation - other"/>
    <s v="Care Remuneration Hourly Rates"/>
    <s v="Profit Cost"/>
    <s v="NC"/>
    <s v="Y"/>
    <n v="26.29"/>
    <n v="5.26"/>
    <x v="3"/>
    <s v="VALIDATED"/>
    <n v="1"/>
    <s v="01.11.80.308.6100.0000"/>
    <n v="26.29"/>
    <s v="11"/>
    <s v="6100"/>
    <n v="5845.23"/>
    <n v="26.29"/>
    <s v="CREDITOR"/>
    <n v="0"/>
    <n v="0"/>
    <n v="0"/>
    <n v="0"/>
    <n v="26.29"/>
  </r>
  <r>
    <n v="60185677"/>
    <s v="N"/>
    <n v="21318767"/>
    <s v="3000014502310013"/>
    <s v="CIVIL"/>
    <d v="2023-06-20T00:00:00"/>
    <d v="2023-07-03T19:01:49"/>
    <m/>
    <d v="2023-07-03T00:00:00"/>
    <n v="1057"/>
    <n v="2647"/>
    <s v="60185677"/>
    <s v="60185677"/>
    <m/>
    <m/>
    <n v="22723482"/>
    <m/>
    <m/>
    <m/>
    <s v="SOLFIN"/>
    <s v="SOLFIN"/>
    <s v="CCMS"/>
    <n v="21318767"/>
    <n v="10146.79"/>
    <m/>
    <s v="N"/>
    <n v="73"/>
    <d v="2023-07-03T19:02:02"/>
    <s v="Y"/>
    <s v="Preparation - drafting statement"/>
    <s v="Care Remuneration Hourly Rates"/>
    <s v="Profit Cost"/>
    <s v="NC"/>
    <s v="Y"/>
    <n v="110.4"/>
    <n v="22.08"/>
    <x v="3"/>
    <s v="VALIDATED"/>
    <n v="1"/>
    <s v="01.11.80.308.6100.0000"/>
    <n v="110.4"/>
    <s v="11"/>
    <s v="6100"/>
    <n v="5845.23"/>
    <n v="110.4"/>
    <s v="CREDITOR"/>
    <n v="0"/>
    <n v="0"/>
    <n v="0"/>
    <n v="0"/>
    <n v="110.4"/>
  </r>
  <r>
    <n v="60185677"/>
    <s v="N"/>
    <n v="21318767"/>
    <s v="3000014502310013"/>
    <s v="CIVIL"/>
    <d v="2023-06-20T00:00:00"/>
    <d v="2023-07-03T19:01:49"/>
    <m/>
    <d v="2023-07-03T00:00:00"/>
    <n v="1057"/>
    <n v="2647"/>
    <s v="60185677"/>
    <s v="60185677"/>
    <m/>
    <m/>
    <n v="22723482"/>
    <m/>
    <m/>
    <m/>
    <s v="SOLFIN"/>
    <s v="SOLFIN"/>
    <s v="CCMS"/>
    <n v="21318767"/>
    <n v="10146.79"/>
    <m/>
    <s v="N"/>
    <n v="13"/>
    <d v="2023-07-03T19:02:02"/>
    <s v="Y"/>
    <s v="Preparation - drafting attendance n"/>
    <s v="Care Remuneration Hourly Rates"/>
    <s v="Profit Cost"/>
    <s v="NC"/>
    <s v="Y"/>
    <n v="5.26"/>
    <n v="1.05"/>
    <x v="3"/>
    <s v="VALIDATED"/>
    <n v="1"/>
    <s v="01.11.80.308.6100.0000"/>
    <n v="5.26"/>
    <s v="11"/>
    <s v="6100"/>
    <n v="5845.23"/>
    <n v="5.26"/>
    <s v="CREDITOR"/>
    <n v="0"/>
    <n v="0"/>
    <n v="0"/>
    <n v="0"/>
    <n v="5.26"/>
  </r>
  <r>
    <n v="60185677"/>
    <s v="N"/>
    <n v="21318767"/>
    <s v="3000014502310013"/>
    <s v="CIVIL"/>
    <d v="2023-06-20T00:00:00"/>
    <d v="2023-07-03T19:01:49"/>
    <m/>
    <d v="2023-07-03T00:00:00"/>
    <n v="1057"/>
    <n v="2647"/>
    <s v="60185677"/>
    <s v="60185677"/>
    <m/>
    <m/>
    <n v="22723482"/>
    <m/>
    <m/>
    <m/>
    <s v="SOLFIN"/>
    <s v="SOLFIN"/>
    <s v="CCMS"/>
    <n v="21318767"/>
    <n v="10146.79"/>
    <m/>
    <s v="N"/>
    <n v="101"/>
    <d v="2023-07-03T19:02:02"/>
    <s v="Y"/>
    <s v="Toxicologist"/>
    <s v="Care Remuneration Hourly Rates"/>
    <s v="Expert Disbursement"/>
    <s v="NC"/>
    <s v="Y"/>
    <n v="40"/>
    <n v="8"/>
    <x v="3"/>
    <s v="VALIDATED"/>
    <n v="1"/>
    <s v="01.11.80.308.6300.0000"/>
    <n v="40"/>
    <s v="11"/>
    <s v="6300"/>
    <n v="5845.23"/>
    <n v="40"/>
    <s v="CREDITOR"/>
    <n v="0"/>
    <n v="0"/>
    <n v="0"/>
    <n v="0"/>
    <n v="40"/>
  </r>
  <r>
    <n v="60185677"/>
    <s v="N"/>
    <n v="21318767"/>
    <s v="3000014502310013"/>
    <s v="CIVIL"/>
    <d v="2023-06-20T00:00:00"/>
    <d v="2023-07-03T19:01:49"/>
    <m/>
    <d v="2023-07-03T00:00:00"/>
    <n v="1057"/>
    <n v="2647"/>
    <s v="60185677"/>
    <s v="60185677"/>
    <m/>
    <m/>
    <n v="22723482"/>
    <m/>
    <m/>
    <m/>
    <s v="SOLFIN"/>
    <s v="SOLFIN"/>
    <s v="CCMS"/>
    <n v="21318767"/>
    <n v="10146.79"/>
    <m/>
    <s v="N"/>
    <n v="42"/>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45"/>
    <d v="2023-07-03T19:02:02"/>
    <s v="Y"/>
    <s v="Preparation - other"/>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6"/>
    <d v="2023-07-03T19:02:02"/>
    <s v="Y"/>
    <s v="Preparation - other"/>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67"/>
    <d v="2023-07-03T19:02:02"/>
    <s v="Y"/>
    <s v="Preparation - drafting statement"/>
    <s v="Care Remuneration Hourly Rates"/>
    <s v="Profit Cost"/>
    <s v="NC"/>
    <s v="Y"/>
    <n v="105.14"/>
    <n v="21.03"/>
    <x v="3"/>
    <s v="VALIDATED"/>
    <n v="1"/>
    <s v="01.11.80.308.6100.0000"/>
    <n v="105.14"/>
    <s v="11"/>
    <s v="6100"/>
    <n v="5845.23"/>
    <n v="105.14"/>
    <s v="CREDITOR"/>
    <n v="0"/>
    <n v="0"/>
    <n v="0"/>
    <n v="0"/>
    <n v="105.14"/>
  </r>
  <r>
    <n v="60185677"/>
    <s v="N"/>
    <n v="21318767"/>
    <s v="3000014502310013"/>
    <s v="CIVIL"/>
    <d v="2023-06-20T00:00:00"/>
    <d v="2023-07-03T19:01:49"/>
    <m/>
    <d v="2023-07-03T00:00:00"/>
    <n v="1057"/>
    <n v="2647"/>
    <s v="60185677"/>
    <s v="60185677"/>
    <m/>
    <m/>
    <n v="22723482"/>
    <m/>
    <m/>
    <m/>
    <s v="SOLFIN"/>
    <s v="SOLFIN"/>
    <s v="CCMS"/>
    <n v="21318767"/>
    <n v="10146.79"/>
    <m/>
    <s v="N"/>
    <n v="100"/>
    <d v="2023-07-03T19:02:02"/>
    <s v="Y"/>
    <s v="Toxicologist"/>
    <s v="Care Remuneration Hourly Rates"/>
    <s v="Expert Disbursement"/>
    <s v="NC"/>
    <s v="Y"/>
    <n v="332.5"/>
    <n v="66.5"/>
    <x v="3"/>
    <s v="VALIDATED"/>
    <n v="1"/>
    <s v="01.11.80.308.6300.0000"/>
    <n v="332.5"/>
    <s v="11"/>
    <s v="6300"/>
    <n v="5845.23"/>
    <n v="332.5"/>
    <s v="CREDITOR"/>
    <n v="0"/>
    <n v="0"/>
    <n v="0"/>
    <n v="0"/>
    <n v="332.5"/>
  </r>
  <r>
    <n v="60185677"/>
    <s v="N"/>
    <n v="21318767"/>
    <s v="3000014502310013"/>
    <s v="CIVIL"/>
    <d v="2023-06-20T00:00:00"/>
    <d v="2023-07-03T19:01:49"/>
    <m/>
    <d v="2023-07-03T00:00:00"/>
    <n v="1057"/>
    <n v="2647"/>
    <s v="60185677"/>
    <s v="60185677"/>
    <m/>
    <m/>
    <n v="22723482"/>
    <m/>
    <m/>
    <m/>
    <s v="SOLFIN"/>
    <s v="SOLFIN"/>
    <s v="CCMS"/>
    <n v="21318767"/>
    <n v="10146.79"/>
    <m/>
    <s v="N"/>
    <n v="18"/>
    <d v="2023-07-03T19:02:02"/>
    <s v="Y"/>
    <s v="Preparation - other"/>
    <s v="Care Remuneration Hourly Rates"/>
    <s v="Profit Cost"/>
    <s v="LM"/>
    <s v="Y"/>
    <n v="131.43"/>
    <n v="26.28"/>
    <x v="3"/>
    <s v="VALIDATED"/>
    <n v="1"/>
    <s v="01.11.80.308.6100.0000"/>
    <n v="131.43"/>
    <s v="11"/>
    <s v="6100"/>
    <n v="5845.23"/>
    <n v="131.43"/>
    <s v="CREDITOR"/>
    <n v="0"/>
    <n v="0"/>
    <n v="0"/>
    <n v="0"/>
    <n v="131.43"/>
  </r>
  <r>
    <n v="60185677"/>
    <s v="N"/>
    <n v="21318767"/>
    <s v="3000014502310013"/>
    <s v="CIVIL"/>
    <d v="2023-06-20T00:00:00"/>
    <d v="2023-07-03T19:01:49"/>
    <m/>
    <d v="2023-07-03T00:00:00"/>
    <n v="1057"/>
    <n v="2647"/>
    <s v="60185677"/>
    <s v="60185677"/>
    <m/>
    <m/>
    <n v="22723482"/>
    <m/>
    <m/>
    <m/>
    <s v="SOLFIN"/>
    <s v="SOLFIN"/>
    <s v="CCMS"/>
    <n v="21318767"/>
    <n v="10146.79"/>
    <m/>
    <s v="N"/>
    <n v="54"/>
    <d v="2023-07-03T19:02:02"/>
    <s v="Y"/>
    <s v="Preparation - other"/>
    <s v="Care Remuneration Hourly Rates"/>
    <s v="Profit Cost"/>
    <s v="NC"/>
    <s v="Y"/>
    <n v="115.65"/>
    <n v="23.13"/>
    <x v="3"/>
    <s v="VALIDATED"/>
    <n v="1"/>
    <s v="01.11.80.308.6100.0000"/>
    <n v="115.65"/>
    <s v="11"/>
    <s v="6100"/>
    <n v="5845.23"/>
    <n v="115.65"/>
    <s v="CREDITOR"/>
    <n v="0"/>
    <n v="0"/>
    <n v="0"/>
    <n v="0"/>
    <n v="115.65"/>
  </r>
  <r>
    <n v="59981770"/>
    <s v="N"/>
    <n v="21343942"/>
    <s v="3000014327240015"/>
    <s v="CIVIL"/>
    <d v="2023-06-26T00:00:00"/>
    <d v="2023-07-07T19:03:00"/>
    <m/>
    <d v="2023-07-07T00:00:00"/>
    <n v="1057"/>
    <n v="2647"/>
    <s v="59981770"/>
    <s v="59981770"/>
    <m/>
    <m/>
    <n v="22759482"/>
    <m/>
    <m/>
    <m/>
    <s v="SOLFIN"/>
    <s v="SOLFIN"/>
    <s v="CCMS"/>
    <n v="21343942"/>
    <n v="26854.41"/>
    <m/>
    <s v="N"/>
    <n v="2"/>
    <d v="2023-07-07T19:03:18"/>
    <s v="Y"/>
    <s v="Profit Costs (Summary)"/>
    <s v="Public Law Children"/>
    <s v="Profit Cost"/>
    <s v="Kate Roberts"/>
    <s v="Y"/>
    <n v="16185.96"/>
    <n v="3237.19"/>
    <x v="9"/>
    <s v="VALIDATED"/>
    <n v="1"/>
    <s v="01.11.80.308.6100.0000"/>
    <n v="16185.96"/>
    <s v="11"/>
    <s v="6100"/>
    <n v="5845.23"/>
    <n v="16185.96"/>
    <s v="CREDITOR"/>
    <n v="0"/>
    <n v="0"/>
    <n v="0"/>
    <n v="0"/>
    <n v="16185.96"/>
  </r>
  <r>
    <n v="60185677"/>
    <s v="N"/>
    <n v="21318767"/>
    <s v="3000014502310013"/>
    <s v="CIVIL"/>
    <d v="2023-06-20T00:00:00"/>
    <d v="2023-07-03T19:01:49"/>
    <m/>
    <d v="2023-07-03T00:00:00"/>
    <n v="1057"/>
    <n v="2647"/>
    <s v="60185677"/>
    <s v="60185677"/>
    <m/>
    <m/>
    <n v="22723482"/>
    <m/>
    <m/>
    <m/>
    <s v="SOLFIN"/>
    <s v="SOLFIN"/>
    <s v="CCMS"/>
    <n v="21318767"/>
    <n v="10146.79"/>
    <m/>
    <s v="N"/>
    <n v="7"/>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62"/>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43"/>
    <d v="2023-07-03T19:02:02"/>
    <s v="Y"/>
    <s v="Preparation - other"/>
    <s v="Care Remuneration Hourly Rates"/>
    <s v="Profit Cost"/>
    <s v="NC"/>
    <s v="Y"/>
    <n v="5.26"/>
    <n v="1.05"/>
    <x v="3"/>
    <s v="VALIDATED"/>
    <n v="1"/>
    <s v="01.11.80.308.6100.0000"/>
    <n v="5.26"/>
    <s v="11"/>
    <s v="6100"/>
    <n v="5845.23"/>
    <n v="5.26"/>
    <s v="CREDITOR"/>
    <n v="0"/>
    <n v="0"/>
    <n v="0"/>
    <n v="0"/>
    <n v="5.26"/>
  </r>
  <r>
    <n v="60185677"/>
    <s v="N"/>
    <n v="21318767"/>
    <s v="3000014502310013"/>
    <s v="CIVIL"/>
    <d v="2023-06-20T00:00:00"/>
    <d v="2023-07-03T19:01:49"/>
    <m/>
    <d v="2023-07-03T00:00:00"/>
    <n v="1057"/>
    <n v="2647"/>
    <s v="60185677"/>
    <s v="60185677"/>
    <m/>
    <m/>
    <n v="22723482"/>
    <m/>
    <m/>
    <m/>
    <s v="SOLFIN"/>
    <s v="SOLFIN"/>
    <s v="CCMS"/>
    <n v="21318767"/>
    <n v="10146.79"/>
    <m/>
    <s v="N"/>
    <n v="25"/>
    <d v="2023-07-03T19:02:02"/>
    <s v="Y"/>
    <s v="Preparation - drafting statement"/>
    <s v="Care Remuneration Hourly Rates"/>
    <s v="Profit Cost"/>
    <s v="NC"/>
    <s v="Y"/>
    <n v="52.57"/>
    <n v="10.51"/>
    <x v="3"/>
    <s v="VALIDATED"/>
    <n v="1"/>
    <s v="01.11.80.308.6100.0000"/>
    <n v="52.57"/>
    <s v="11"/>
    <s v="6100"/>
    <n v="5845.23"/>
    <n v="52.57"/>
    <s v="CREDITOR"/>
    <n v="0"/>
    <n v="0"/>
    <n v="0"/>
    <n v="0"/>
    <n v="52.57"/>
  </r>
  <r>
    <n v="60185677"/>
    <s v="N"/>
    <n v="21318767"/>
    <s v="3000014502310013"/>
    <s v="CIVIL"/>
    <d v="2023-06-20T00:00:00"/>
    <d v="2023-07-03T19:01:49"/>
    <m/>
    <d v="2023-07-03T00:00:00"/>
    <n v="1057"/>
    <n v="2647"/>
    <s v="60185677"/>
    <s v="60185677"/>
    <m/>
    <m/>
    <n v="22723482"/>
    <m/>
    <m/>
    <m/>
    <s v="SOLFIN"/>
    <s v="SOLFIN"/>
    <s v="CCMS"/>
    <n v="21318767"/>
    <n v="10146.79"/>
    <m/>
    <s v="N"/>
    <n v="98"/>
    <d v="2023-07-03T19:02:02"/>
    <s v="Y"/>
    <s v="Court Fee"/>
    <s v="Care Remuneration Hourly Rates"/>
    <s v="Non Expert Disbursement"/>
    <s v="NC"/>
    <s v="Y"/>
    <n v="167"/>
    <n v="0"/>
    <x v="3"/>
    <s v="VALIDATED"/>
    <n v="1"/>
    <s v="01.11.80.308.6300.0000"/>
    <n v="167"/>
    <s v="11"/>
    <s v="6300"/>
    <n v="5845.23"/>
    <n v="167"/>
    <s v="CREDITOR"/>
    <n v="0"/>
    <n v="0"/>
    <n v="0"/>
    <n v="0"/>
    <n v="167"/>
  </r>
  <r>
    <n v="60185677"/>
    <s v="N"/>
    <n v="21318767"/>
    <s v="3000014502310013"/>
    <s v="CIVIL"/>
    <d v="2023-06-20T00:00:00"/>
    <d v="2023-07-03T19:01:49"/>
    <m/>
    <d v="2023-07-03T00:00:00"/>
    <n v="1057"/>
    <n v="2647"/>
    <s v="60185677"/>
    <s v="60185677"/>
    <m/>
    <m/>
    <n v="22723482"/>
    <m/>
    <m/>
    <m/>
    <s v="SOLFIN"/>
    <s v="SOLFIN"/>
    <s v="CCMS"/>
    <n v="21318767"/>
    <n v="10146.79"/>
    <m/>
    <s v="N"/>
    <n v="16"/>
    <d v="2023-07-03T19:02:02"/>
    <s v="Y"/>
    <s v="Preparation - drafting attendance n"/>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26"/>
    <d v="2023-07-03T19:02:02"/>
    <s v="Y"/>
    <s v="Preparation - other"/>
    <s v="Care Remuneration Hourly Rates"/>
    <s v="Profit Cost"/>
    <s v="RL"/>
    <s v="Y"/>
    <n v="26.29"/>
    <n v="5.26"/>
    <x v="3"/>
    <s v="VALIDATED"/>
    <n v="1"/>
    <s v="01.11.80.308.6100.0000"/>
    <n v="26.29"/>
    <s v="11"/>
    <s v="6100"/>
    <n v="5845.23"/>
    <n v="26.29"/>
    <s v="CREDITOR"/>
    <n v="0"/>
    <n v="0"/>
    <n v="0"/>
    <n v="0"/>
    <n v="26.29"/>
  </r>
  <r>
    <n v="60185677"/>
    <s v="N"/>
    <n v="21318767"/>
    <s v="3000014502310013"/>
    <s v="CIVIL"/>
    <d v="2023-06-20T00:00:00"/>
    <d v="2023-07-03T19:01:49"/>
    <m/>
    <d v="2023-07-03T00:00:00"/>
    <n v="1057"/>
    <n v="2647"/>
    <s v="60185677"/>
    <s v="60185677"/>
    <m/>
    <m/>
    <n v="22723482"/>
    <m/>
    <m/>
    <m/>
    <s v="SOLFIN"/>
    <s v="SOLFIN"/>
    <s v="CCMS"/>
    <n v="21318767"/>
    <n v="10146.79"/>
    <m/>
    <s v="N"/>
    <n v="28"/>
    <d v="2023-07-03T19:02:02"/>
    <s v="Y"/>
    <s v="Attendance upon client"/>
    <s v="Care Remuneration Hourly Rates"/>
    <s v="Profit Cost"/>
    <s v="NC"/>
    <s v="Y"/>
    <n v="15.77"/>
    <n v="3.15"/>
    <x v="3"/>
    <s v="VALIDATED"/>
    <n v="1"/>
    <s v="01.11.80.308.6100.0000"/>
    <n v="15.77"/>
    <s v="11"/>
    <s v="6100"/>
    <n v="5845.23"/>
    <n v="15.77"/>
    <s v="CREDITOR"/>
    <n v="0"/>
    <n v="0"/>
    <n v="0"/>
    <n v="0"/>
    <n v="15.77"/>
  </r>
  <r>
    <n v="59981770"/>
    <s v="N"/>
    <n v="21343942"/>
    <s v="3000014327240015"/>
    <s v="CIVIL"/>
    <d v="2023-06-26T00:00:00"/>
    <d v="2023-07-07T19:03:00"/>
    <m/>
    <d v="2023-07-07T00:00:00"/>
    <n v="1057"/>
    <n v="2647"/>
    <s v="59981770"/>
    <s v="59981770"/>
    <m/>
    <m/>
    <n v="22759482"/>
    <m/>
    <m/>
    <m/>
    <s v="SOLFIN"/>
    <s v="SOLFIN"/>
    <s v="CCMS"/>
    <n v="21343942"/>
    <n v="26854.41"/>
    <m/>
    <s v="N"/>
    <n v="3"/>
    <d v="2023-07-07T19:03:18"/>
    <s v="Y"/>
    <s v="Disbursements (Summary)"/>
    <s v="Public Law Children"/>
    <s v="Non Expert Disbursement"/>
    <s v="Kate Roberts"/>
    <s v="Y"/>
    <n v="597"/>
    <n v="0"/>
    <x v="9"/>
    <s v="VALIDATED"/>
    <n v="1"/>
    <s v="01.11.80.308.6300.0000"/>
    <n v="597"/>
    <s v="11"/>
    <s v="6300"/>
    <n v="5845.23"/>
    <n v="597"/>
    <s v="CREDITOR"/>
    <n v="0"/>
    <n v="0"/>
    <n v="0"/>
    <n v="0"/>
    <n v="597"/>
  </r>
  <r>
    <n v="59981770"/>
    <s v="N"/>
    <n v="21343942"/>
    <s v="3000014327240015"/>
    <s v="CIVIL"/>
    <d v="2023-06-26T00:00:00"/>
    <d v="2023-07-07T19:03:00"/>
    <m/>
    <d v="2023-07-07T00:00:00"/>
    <n v="1057"/>
    <n v="2647"/>
    <s v="59981770"/>
    <s v="59981770"/>
    <m/>
    <m/>
    <n v="22759482"/>
    <m/>
    <m/>
    <m/>
    <s v="SOLFIN"/>
    <s v="SOLFIN"/>
    <s v="CCMS"/>
    <n v="21343942"/>
    <n v="26854.41"/>
    <m/>
    <s v="N"/>
    <n v="5"/>
    <d v="2023-07-07T19:03:18"/>
    <s v="Y"/>
    <s v="Advocates Meeting"/>
    <s v="Public Law Children"/>
    <s v="Advocacy"/>
    <s v="Kate Roberts"/>
    <s v="Y"/>
    <n v="140.99"/>
    <n v="28.2"/>
    <x v="9"/>
    <s v="VALIDATED"/>
    <n v="1"/>
    <s v="01.11.80.308.6100.0000"/>
    <n v="140.99"/>
    <s v="11"/>
    <s v="6100"/>
    <n v="5845.23"/>
    <n v="140.99"/>
    <s v="CREDITOR"/>
    <n v="0"/>
    <n v="0"/>
    <n v="0"/>
    <n v="0"/>
    <n v="140.99"/>
  </r>
  <r>
    <n v="60185677"/>
    <s v="N"/>
    <n v="21318767"/>
    <s v="3000014502310013"/>
    <s v="CIVIL"/>
    <d v="2023-06-20T00:00:00"/>
    <d v="2023-07-03T19:01:49"/>
    <m/>
    <d v="2023-07-03T00:00:00"/>
    <n v="1057"/>
    <n v="2647"/>
    <s v="60185677"/>
    <s v="60185677"/>
    <m/>
    <m/>
    <n v="22723482"/>
    <m/>
    <m/>
    <m/>
    <s v="SOLFIN"/>
    <s v="SOLFIN"/>
    <s v="CCMS"/>
    <n v="21318767"/>
    <n v="10146.79"/>
    <m/>
    <s v="N"/>
    <n v="8"/>
    <d v="2023-07-03T19:02:02"/>
    <s v="Y"/>
    <s v="Preparation - other"/>
    <s v="Care Remuneration Hourly Rates"/>
    <s v="Profit Cost"/>
    <s v="RL"/>
    <s v="Y"/>
    <n v="31.54"/>
    <n v="6.31"/>
    <x v="3"/>
    <s v="VALIDATED"/>
    <n v="1"/>
    <s v="01.11.80.308.6100.0000"/>
    <n v="31.54"/>
    <s v="11"/>
    <s v="6100"/>
    <n v="5845.23"/>
    <n v="31.54"/>
    <s v="CREDITOR"/>
    <n v="0"/>
    <n v="0"/>
    <n v="0"/>
    <n v="0"/>
    <n v="31.54"/>
  </r>
  <r>
    <n v="60185677"/>
    <s v="N"/>
    <n v="21318767"/>
    <s v="3000014502310013"/>
    <s v="CIVIL"/>
    <d v="2023-06-20T00:00:00"/>
    <d v="2023-07-03T19:01:49"/>
    <m/>
    <d v="2023-07-03T00:00:00"/>
    <n v="1057"/>
    <n v="2647"/>
    <s v="60185677"/>
    <s v="60185677"/>
    <m/>
    <m/>
    <n v="22723482"/>
    <m/>
    <m/>
    <m/>
    <s v="SOLFIN"/>
    <s v="SOLFIN"/>
    <s v="CCMS"/>
    <n v="21318767"/>
    <n v="10146.79"/>
    <m/>
    <s v="N"/>
    <n v="10"/>
    <d v="2023-07-03T19:02:02"/>
    <s v="Y"/>
    <s v="Preparation - other"/>
    <s v="Care Remuneration Hourly Rates"/>
    <s v="Profit Cost"/>
    <s v="RL"/>
    <s v="Y"/>
    <n v="84.11"/>
    <n v="16.82"/>
    <x v="3"/>
    <s v="VALIDATED"/>
    <n v="1"/>
    <s v="01.11.80.308.6100.0000"/>
    <n v="84.11"/>
    <s v="11"/>
    <s v="6100"/>
    <n v="5845.23"/>
    <n v="84.11"/>
    <s v="CREDITOR"/>
    <n v="0"/>
    <n v="0"/>
    <n v="0"/>
    <n v="0"/>
    <n v="84.11"/>
  </r>
  <r>
    <n v="60185677"/>
    <s v="N"/>
    <n v="21318767"/>
    <s v="3000014502310013"/>
    <s v="CIVIL"/>
    <d v="2023-06-20T00:00:00"/>
    <d v="2023-07-03T19:01:49"/>
    <m/>
    <d v="2023-07-03T00:00:00"/>
    <n v="1057"/>
    <n v="2647"/>
    <s v="60185677"/>
    <s v="60185677"/>
    <m/>
    <m/>
    <n v="22723482"/>
    <m/>
    <m/>
    <m/>
    <s v="SOLFIN"/>
    <s v="SOLFIN"/>
    <s v="CCMS"/>
    <n v="21318767"/>
    <n v="10146.79"/>
    <m/>
    <s v="N"/>
    <n v="59"/>
    <d v="2023-07-03T19:02:02"/>
    <s v="Y"/>
    <s v="Preparation - drafting instructions"/>
    <s v="Care Remuneration Hourly Rates"/>
    <s v="Profit Cost"/>
    <s v="NC"/>
    <s v="Y"/>
    <n v="52.57"/>
    <n v="10.51"/>
    <x v="3"/>
    <s v="VALIDATED"/>
    <n v="1"/>
    <s v="01.11.80.308.6100.0000"/>
    <n v="52.57"/>
    <s v="11"/>
    <s v="6100"/>
    <n v="5845.23"/>
    <n v="52.57"/>
    <s v="CREDITOR"/>
    <n v="0"/>
    <n v="0"/>
    <n v="0"/>
    <n v="0"/>
    <n v="52.57"/>
  </r>
  <r>
    <n v="60185677"/>
    <s v="N"/>
    <n v="21318767"/>
    <s v="3000014502310013"/>
    <s v="CIVIL"/>
    <d v="2023-06-20T00:00:00"/>
    <d v="2023-07-03T19:01:49"/>
    <m/>
    <d v="2023-07-03T00:00:00"/>
    <n v="1057"/>
    <n v="2647"/>
    <s v="60185677"/>
    <s v="60185677"/>
    <m/>
    <m/>
    <n v="22723482"/>
    <m/>
    <m/>
    <m/>
    <s v="SOLFIN"/>
    <s v="SOLFIN"/>
    <s v="CCMS"/>
    <n v="21318767"/>
    <n v="10146.79"/>
    <m/>
    <s v="N"/>
    <n v="93"/>
    <d v="2023-07-03T19:02:02"/>
    <s v="Y"/>
    <s v="Routine Telephone Call"/>
    <s v="Care Remuneration Hourly Rates"/>
    <s v="Profit Cost"/>
    <s v="NC"/>
    <s v="Y"/>
    <n v="62.73"/>
    <n v="12.55"/>
    <x v="3"/>
    <s v="VALIDATED"/>
    <n v="1"/>
    <s v="01.11.80.308.6100.0000"/>
    <n v="62.73"/>
    <s v="11"/>
    <s v="6100"/>
    <n v="5845.23"/>
    <n v="62.73"/>
    <s v="CREDITOR"/>
    <n v="0"/>
    <n v="0"/>
    <n v="0"/>
    <n v="0"/>
    <n v="62.73"/>
  </r>
  <r>
    <n v="60185677"/>
    <s v="N"/>
    <n v="21318767"/>
    <s v="3000014502310013"/>
    <s v="CIVIL"/>
    <d v="2023-06-20T00:00:00"/>
    <d v="2023-07-03T19:01:49"/>
    <m/>
    <d v="2023-07-03T00:00:00"/>
    <n v="1057"/>
    <n v="2647"/>
    <s v="60185677"/>
    <s v="60185677"/>
    <m/>
    <m/>
    <n v="22723482"/>
    <m/>
    <m/>
    <m/>
    <s v="SOLFIN"/>
    <s v="SOLFIN"/>
    <s v="CCMS"/>
    <n v="21318767"/>
    <n v="10146.79"/>
    <m/>
    <s v="N"/>
    <n v="17"/>
    <d v="2023-07-03T19:02:02"/>
    <s v="Y"/>
    <s v="Preparation - other"/>
    <s v="Care Remuneration Hourly Rates"/>
    <s v="Profit Cost"/>
    <s v="NC"/>
    <s v="Y"/>
    <n v="5.26"/>
    <n v="1.05"/>
    <x v="3"/>
    <s v="VALIDATED"/>
    <n v="1"/>
    <s v="01.11.80.308.6100.0000"/>
    <n v="5.26"/>
    <s v="11"/>
    <s v="6100"/>
    <n v="5845.23"/>
    <n v="5.26"/>
    <s v="CREDITOR"/>
    <n v="0"/>
    <n v="0"/>
    <n v="0"/>
    <n v="0"/>
    <n v="5.26"/>
  </r>
  <r>
    <n v="61867735"/>
    <s v="N"/>
    <n v="21327535"/>
    <s v="3000015923500002"/>
    <s v="CIVIL"/>
    <d v="2023-06-26T00:00:00"/>
    <d v="2023-07-04T19:00:44"/>
    <m/>
    <d v="2023-07-04T00:00:00"/>
    <n v="1057"/>
    <n v="2647"/>
    <s v="61867735"/>
    <s v="61867735"/>
    <m/>
    <m/>
    <n v="22760838"/>
    <m/>
    <m/>
    <m/>
    <s v="SOLFIN"/>
    <s v="SOLFIN"/>
    <s v="CCMS"/>
    <n v="21327535"/>
    <n v="423.6"/>
    <m/>
    <s v="N"/>
    <n v="1"/>
    <d v="2023-07-04T19:00:50"/>
    <s v="Y"/>
    <s v="Level 3 Fixed Fee"/>
    <s v="Private Law Children"/>
    <s v="Profit Cost"/>
    <s v="Ross Lang"/>
    <s v="Y"/>
    <n v="353"/>
    <n v="70.59999999999999"/>
    <x v="1"/>
    <s v="VALIDATED"/>
    <n v="1"/>
    <s v="01.11.80.306.6100.0000"/>
    <n v="353"/>
    <s v="11"/>
    <s v="6100"/>
    <n v="5845.23"/>
    <n v="353"/>
    <s v="CREDITOR"/>
    <n v="0"/>
    <n v="0"/>
    <n v="0"/>
    <n v="0"/>
    <n v="353"/>
  </r>
  <r>
    <n v="60185677"/>
    <s v="N"/>
    <n v="21318767"/>
    <s v="3000014502310013"/>
    <s v="CIVIL"/>
    <d v="2023-06-20T00:00:00"/>
    <d v="2023-07-03T19:01:49"/>
    <m/>
    <d v="2023-07-03T00:00:00"/>
    <n v="1057"/>
    <n v="2647"/>
    <s v="60185677"/>
    <s v="60185677"/>
    <m/>
    <m/>
    <n v="22723482"/>
    <m/>
    <m/>
    <m/>
    <s v="SOLFIN"/>
    <s v="SOLFIN"/>
    <s v="CCMS"/>
    <n v="21318767"/>
    <n v="10146.79"/>
    <m/>
    <s v="N"/>
    <n v="4"/>
    <d v="2023-07-03T19:02:02"/>
    <s v="Y"/>
    <s v="Attendance upon client"/>
    <s v="Care Remuneration Hourly Rates"/>
    <s v="Profit Cost"/>
    <s v="NC"/>
    <s v="Y"/>
    <n v="52.57"/>
    <n v="10.51"/>
    <x v="3"/>
    <s v="VALIDATED"/>
    <n v="1"/>
    <s v="01.11.80.308.6100.0000"/>
    <n v="52.57"/>
    <s v="11"/>
    <s v="6100"/>
    <n v="5845.23"/>
    <n v="52.57"/>
    <s v="CREDITOR"/>
    <n v="0"/>
    <n v="0"/>
    <n v="0"/>
    <n v="0"/>
    <n v="52.57"/>
  </r>
  <r>
    <n v="59744040"/>
    <s v="N"/>
    <n v="21321185"/>
    <s v="3000014122910016"/>
    <s v="CIVIL"/>
    <d v="2023-06-28T00:00:00"/>
    <d v="2023-07-03T19:04:52"/>
    <m/>
    <d v="2023-07-03T00:00:00"/>
    <n v="1057"/>
    <n v="2647"/>
    <s v="59744040"/>
    <s v="59744040"/>
    <m/>
    <m/>
    <n v="22780422"/>
    <m/>
    <m/>
    <m/>
    <s v="SOLAPP"/>
    <s v="SOLAPP"/>
    <s v="CCMS"/>
    <n v="21321185"/>
    <n v="358.8"/>
    <m/>
    <s v="N"/>
    <n v="1"/>
    <d v="2023-07-03T19:04:58"/>
    <s v="Y"/>
    <s v="Expert - Other"/>
    <s v="Public Law Children"/>
    <s v="Expert Disbursement"/>
    <s v="Kate Roberts"/>
    <s v="Y"/>
    <n v="358.8"/>
    <n v="0"/>
    <x v="3"/>
    <s v="VALIDATED"/>
    <n v="1"/>
    <s v="01.11.80.308.6300.0000"/>
    <n v="358.8"/>
    <s v="11"/>
    <s v="6300"/>
    <n v="5845.23"/>
    <n v="358.8"/>
    <s v="CREDITOR"/>
    <n v="0"/>
    <n v="0"/>
    <n v="0"/>
    <n v="0"/>
    <n v="358.8"/>
  </r>
  <r>
    <n v="60185677"/>
    <s v="N"/>
    <n v="21318767"/>
    <s v="3000014502310013"/>
    <s v="CIVIL"/>
    <d v="2023-06-20T00:00:00"/>
    <d v="2023-07-03T19:01:49"/>
    <m/>
    <d v="2023-07-03T00:00:00"/>
    <n v="1057"/>
    <n v="2647"/>
    <s v="60185677"/>
    <s v="60185677"/>
    <m/>
    <m/>
    <n v="22723482"/>
    <m/>
    <m/>
    <m/>
    <s v="SOLFIN"/>
    <s v="SOLFIN"/>
    <s v="CCMS"/>
    <n v="21318767"/>
    <n v="10146.79"/>
    <m/>
    <s v="N"/>
    <n v="32"/>
    <d v="2023-07-03T19:02:02"/>
    <s v="Y"/>
    <s v="Preparation - other"/>
    <s v="Care Remuneration Hourly Rates"/>
    <s v="Profit Cost"/>
    <s v="RL"/>
    <s v="Y"/>
    <n v="762.27"/>
    <n v="152.44"/>
    <x v="3"/>
    <s v="VALIDATED"/>
    <n v="1"/>
    <s v="01.11.80.308.6100.0000"/>
    <n v="762.27"/>
    <s v="11"/>
    <s v="6100"/>
    <n v="5845.23"/>
    <n v="762.27"/>
    <s v="CREDITOR"/>
    <n v="0"/>
    <n v="0"/>
    <n v="0"/>
    <n v="0"/>
    <n v="762.27"/>
  </r>
  <r>
    <n v="60185677"/>
    <s v="N"/>
    <n v="21318767"/>
    <s v="3000014502310013"/>
    <s v="CIVIL"/>
    <d v="2023-06-20T00:00:00"/>
    <d v="2023-07-03T19:01:49"/>
    <m/>
    <d v="2023-07-03T00:00:00"/>
    <n v="1057"/>
    <n v="2647"/>
    <s v="60185677"/>
    <s v="60185677"/>
    <m/>
    <m/>
    <n v="22723482"/>
    <m/>
    <m/>
    <m/>
    <s v="SOLFIN"/>
    <s v="SOLFIN"/>
    <s v="CCMS"/>
    <n v="21318767"/>
    <n v="10146.79"/>
    <m/>
    <s v="N"/>
    <n v="37"/>
    <d v="2023-07-03T19:02:02"/>
    <s v="Y"/>
    <s v="Advocacy - In court behind counsel"/>
    <s v="Care Remuneration Hourly Rates"/>
    <s v="Advocacy"/>
    <s v="RL"/>
    <s v="Y"/>
    <n v="41.16"/>
    <n v="8.23"/>
    <x v="3"/>
    <s v="VALIDATED"/>
    <n v="1"/>
    <s v="01.11.80.308.6100.0000"/>
    <n v="41.16"/>
    <s v="11"/>
    <s v="6100"/>
    <n v="5845.23"/>
    <n v="41.16"/>
    <s v="CREDITOR"/>
    <n v="0"/>
    <n v="0"/>
    <n v="0"/>
    <n v="0"/>
    <n v="41.16"/>
  </r>
  <r>
    <n v="60185677"/>
    <s v="N"/>
    <n v="21318767"/>
    <s v="3000014502310013"/>
    <s v="CIVIL"/>
    <d v="2023-06-20T00:00:00"/>
    <d v="2023-07-03T19:01:49"/>
    <m/>
    <d v="2023-07-03T00:00:00"/>
    <n v="1057"/>
    <n v="2647"/>
    <s v="60185677"/>
    <s v="60185677"/>
    <m/>
    <m/>
    <n v="22723482"/>
    <m/>
    <m/>
    <m/>
    <s v="SOLFIN"/>
    <s v="SOLFIN"/>
    <s v="CCMS"/>
    <n v="21318767"/>
    <n v="10146.79"/>
    <m/>
    <s v="N"/>
    <n v="1"/>
    <d v="2023-07-03T19:02:02"/>
    <s v="Y"/>
    <s v="Preparation - other"/>
    <s v="Care Remuneration Hourly Rates"/>
    <s v="Profit Cost"/>
    <s v="NC"/>
    <s v="Y"/>
    <n v="499.42"/>
    <n v="99.88"/>
    <x v="3"/>
    <s v="VALIDATED"/>
    <n v="1"/>
    <s v="01.11.80.308.6100.0000"/>
    <n v="499.42"/>
    <s v="11"/>
    <s v="6100"/>
    <n v="5845.23"/>
    <n v="499.42"/>
    <s v="CREDITOR"/>
    <n v="0"/>
    <n v="0"/>
    <n v="0"/>
    <n v="0"/>
    <n v="499.42"/>
  </r>
  <r>
    <n v="62296876"/>
    <s v="N"/>
    <n v="21322723"/>
    <s v="3000016289200002"/>
    <s v="CIVIL"/>
    <d v="2023-06-29T00:00:00"/>
    <d v="2023-07-03T19:05:36"/>
    <m/>
    <d v="2023-07-03T00:00:00"/>
    <n v="1057"/>
    <n v="2647"/>
    <s v="62296876"/>
    <s v="62296876"/>
    <m/>
    <m/>
    <n v="22790172"/>
    <m/>
    <m/>
    <m/>
    <s v="SOLPOA"/>
    <s v="SOLPOA"/>
    <s v="CCMS"/>
    <n v="21322723"/>
    <n v="345.6"/>
    <m/>
    <s v="N"/>
    <n v="1"/>
    <d v="2023-07-03T19:05:39"/>
    <s v="N"/>
    <s v="Expert Cost"/>
    <s v="Expert Cost"/>
    <s v="Expert Disbursement"/>
    <s v="Athena Forensics"/>
    <s v="N"/>
    <n v="288"/>
    <n v="57.6"/>
    <x v="3"/>
    <s v="VALIDATED"/>
    <n v="1"/>
    <s v="01.11.80.308.2012.0000"/>
    <n v="288"/>
    <s v="11"/>
    <s v="2012"/>
    <n v="5845.23"/>
    <n v="288"/>
    <s v="CREDITOR"/>
    <n v="288"/>
    <n v="0"/>
    <n v="0"/>
    <n v="0"/>
    <n v="0"/>
  </r>
  <r>
    <n v="59981770"/>
    <s v="N"/>
    <n v="21343942"/>
    <s v="3000014327240015"/>
    <s v="CIVIL"/>
    <d v="2023-06-26T00:00:00"/>
    <d v="2023-07-07T19:03:00"/>
    <m/>
    <d v="2023-07-07T00:00:00"/>
    <n v="1057"/>
    <n v="2647"/>
    <s v="59981770"/>
    <s v="59981770"/>
    <m/>
    <m/>
    <n v="22759482"/>
    <m/>
    <m/>
    <m/>
    <s v="SOLFIN"/>
    <s v="SOLFIN"/>
    <s v="CCMS"/>
    <n v="21343942"/>
    <n v="26854.41"/>
    <m/>
    <s v="N"/>
    <n v="8"/>
    <d v="2023-07-07T19:03:18"/>
    <s v="Y"/>
    <s v="Advocates Meeting"/>
    <s v="Public Law Children"/>
    <s v="Advocacy"/>
    <s v="Kate Roberts"/>
    <s v="Y"/>
    <n v="128.16"/>
    <n v="25.63"/>
    <x v="9"/>
    <s v="VALIDATED"/>
    <n v="1"/>
    <s v="01.11.80.308.6100.0000"/>
    <n v="128.16"/>
    <s v="11"/>
    <s v="6100"/>
    <n v="5845.23"/>
    <n v="128.16"/>
    <s v="CREDITOR"/>
    <n v="0"/>
    <n v="0"/>
    <n v="0"/>
    <n v="0"/>
    <n v="128.16"/>
  </r>
  <r>
    <n v="60185677"/>
    <s v="N"/>
    <n v="21318767"/>
    <s v="3000014502310013"/>
    <s v="CIVIL"/>
    <d v="2023-06-20T00:00:00"/>
    <d v="2023-07-03T19:01:49"/>
    <m/>
    <d v="2023-07-03T00:00:00"/>
    <n v="1057"/>
    <n v="2647"/>
    <s v="60185677"/>
    <s v="60185677"/>
    <m/>
    <m/>
    <n v="22723482"/>
    <m/>
    <m/>
    <m/>
    <s v="SOLFIN"/>
    <s v="SOLFIN"/>
    <s v="CCMS"/>
    <n v="21318767"/>
    <n v="10146.79"/>
    <m/>
    <s v="N"/>
    <n v="22"/>
    <d v="2023-07-03T19:02:02"/>
    <s v="Y"/>
    <s v="Preparation - other"/>
    <s v="Care Remuneration Hourly Rates"/>
    <s v="Profit Cost"/>
    <s v="RL"/>
    <s v="Y"/>
    <n v="84.11"/>
    <n v="16.82"/>
    <x v="3"/>
    <s v="VALIDATED"/>
    <n v="1"/>
    <s v="01.11.80.308.6100.0000"/>
    <n v="84.11"/>
    <s v="11"/>
    <s v="6100"/>
    <n v="5845.23"/>
    <n v="84.11"/>
    <s v="CREDITOR"/>
    <n v="0"/>
    <n v="0"/>
    <n v="0"/>
    <n v="0"/>
    <n v="84.11"/>
  </r>
  <r>
    <n v="60185677"/>
    <s v="N"/>
    <n v="21318767"/>
    <s v="3000014502310013"/>
    <s v="CIVIL"/>
    <d v="2023-06-20T00:00:00"/>
    <d v="2023-07-03T19:01:49"/>
    <m/>
    <d v="2023-07-03T00:00:00"/>
    <n v="1057"/>
    <n v="2647"/>
    <s v="60185677"/>
    <s v="60185677"/>
    <m/>
    <m/>
    <n v="22723482"/>
    <m/>
    <m/>
    <m/>
    <s v="SOLFIN"/>
    <s v="SOLFIN"/>
    <s v="CCMS"/>
    <n v="21318767"/>
    <n v="10146.79"/>
    <m/>
    <s v="N"/>
    <n v="60"/>
    <d v="2023-07-03T19:02:02"/>
    <s v="Y"/>
    <s v="Attendance upon client"/>
    <s v="Care Remuneration Hourly Rates"/>
    <s v="Profit Cost"/>
    <s v="NC"/>
    <s v="Y"/>
    <n v="52.57"/>
    <n v="10.51"/>
    <x v="3"/>
    <s v="VALIDATED"/>
    <n v="1"/>
    <s v="01.11.80.308.6100.0000"/>
    <n v="52.57"/>
    <s v="11"/>
    <s v="6100"/>
    <n v="5845.23"/>
    <n v="52.57"/>
    <s v="CREDITOR"/>
    <n v="0"/>
    <n v="0"/>
    <n v="0"/>
    <n v="0"/>
    <n v="52.57"/>
  </r>
  <r>
    <n v="59981770"/>
    <s v="N"/>
    <n v="21343942"/>
    <s v="3000014327240015"/>
    <s v="CIVIL"/>
    <d v="2023-06-26T00:00:00"/>
    <d v="2023-07-07T19:03:00"/>
    <m/>
    <d v="2023-07-07T00:00:00"/>
    <n v="1057"/>
    <n v="2647"/>
    <s v="59981770"/>
    <s v="59981770"/>
    <m/>
    <m/>
    <n v="22759482"/>
    <m/>
    <m/>
    <m/>
    <s v="SOLFIN"/>
    <s v="SOLFIN"/>
    <s v="CCMS"/>
    <n v="21343942"/>
    <n v="26854.41"/>
    <m/>
    <s v="N"/>
    <n v="1"/>
    <d v="2023-07-07T19:03:18"/>
    <s v="Y"/>
    <s v="Interim Hearing Court Bundle/Advoca"/>
    <s v="Public Law Children"/>
    <s v="Advocacy"/>
    <s v="Kate Roberts"/>
    <s v="Y"/>
    <n v="59.4"/>
    <n v="11.88"/>
    <x v="9"/>
    <s v="VALIDATED"/>
    <n v="1"/>
    <s v="01.11.80.308.6100.0000"/>
    <n v="59.4"/>
    <s v="11"/>
    <s v="6100"/>
    <n v="5845.23"/>
    <n v="59.4"/>
    <s v="CREDITOR"/>
    <n v="0"/>
    <n v="0"/>
    <n v="0"/>
    <n v="0"/>
    <n v="59.4"/>
  </r>
  <r>
    <n v="60185677"/>
    <s v="N"/>
    <n v="21318767"/>
    <s v="3000014502310013"/>
    <s v="CIVIL"/>
    <d v="2023-06-20T00:00:00"/>
    <d v="2023-07-03T19:01:49"/>
    <m/>
    <d v="2023-07-03T00:00:00"/>
    <n v="1057"/>
    <n v="2647"/>
    <s v="60185677"/>
    <s v="60185677"/>
    <m/>
    <m/>
    <n v="22723482"/>
    <m/>
    <m/>
    <m/>
    <s v="SOLFIN"/>
    <s v="SOLFIN"/>
    <s v="CCMS"/>
    <n v="21318767"/>
    <n v="10146.79"/>
    <m/>
    <s v="N"/>
    <n v="81"/>
    <d v="2023-07-03T19:02:02"/>
    <s v="Y"/>
    <s v="Attendance upon/with Counsel at Con"/>
    <s v="Care Remuneration Hourly Rates"/>
    <s v="Profit Cost"/>
    <s v="NC"/>
    <s v="Y"/>
    <n v="47.04"/>
    <n v="9.41"/>
    <x v="3"/>
    <s v="VALIDATED"/>
    <n v="1"/>
    <s v="01.11.80.308.6100.0000"/>
    <n v="47.04"/>
    <s v="11"/>
    <s v="6100"/>
    <n v="5845.23"/>
    <n v="47.04"/>
    <s v="CREDITOR"/>
    <n v="0"/>
    <n v="0"/>
    <n v="0"/>
    <n v="0"/>
    <n v="47.04"/>
  </r>
  <r>
    <n v="60185677"/>
    <s v="N"/>
    <n v="21318767"/>
    <s v="3000014502310013"/>
    <s v="CIVIL"/>
    <d v="2023-06-20T00:00:00"/>
    <d v="2023-07-03T19:01:49"/>
    <m/>
    <d v="2023-07-03T00:00:00"/>
    <n v="1057"/>
    <n v="2647"/>
    <s v="60185677"/>
    <s v="60185677"/>
    <m/>
    <m/>
    <n v="22723482"/>
    <m/>
    <m/>
    <m/>
    <s v="SOLFIN"/>
    <s v="SOLFIN"/>
    <s v="CCMS"/>
    <n v="21318767"/>
    <n v="10146.79"/>
    <m/>
    <s v="N"/>
    <n v="70"/>
    <d v="2023-07-03T19:02:02"/>
    <s v="Y"/>
    <s v="Preparation - other"/>
    <s v="Care Remuneration Hourly Rates"/>
    <s v="Profit Cost"/>
    <s v="NC"/>
    <s v="Y"/>
    <n v="10.51"/>
    <n v="2.1"/>
    <x v="3"/>
    <s v="VALIDATED"/>
    <n v="1"/>
    <s v="01.11.80.308.6100.0000"/>
    <n v="10.51"/>
    <s v="11"/>
    <s v="6100"/>
    <n v="5845.23"/>
    <n v="10.51"/>
    <s v="CREDITOR"/>
    <n v="0"/>
    <n v="0"/>
    <n v="0"/>
    <n v="0"/>
    <n v="10.51"/>
  </r>
  <r>
    <n v="62355748"/>
    <s v="N"/>
    <n v="21323840"/>
    <s v="3000016338940002"/>
    <s v="CIVIL"/>
    <d v="2023-06-30T00:00:00"/>
    <d v="2023-07-03T19:05:56"/>
    <m/>
    <d v="2023-07-03T00:00:00"/>
    <n v="1057"/>
    <n v="2647"/>
    <s v="62355748"/>
    <s v="62355748"/>
    <m/>
    <m/>
    <n v="22796260"/>
    <m/>
    <m/>
    <m/>
    <s v="SOLPOA"/>
    <s v="SOLPOA"/>
    <s v="CCMS"/>
    <n v="21323840"/>
    <n v="496.56"/>
    <m/>
    <s v="N"/>
    <n v="1"/>
    <d v="2023-07-03T19:05:59"/>
    <s v="N"/>
    <s v="Expert Cost"/>
    <s v="Expert Cost"/>
    <s v="Expert Disbursement"/>
    <s v="Natalie Corten"/>
    <s v="N"/>
    <n v="413.8"/>
    <n v="82.76000000000001"/>
    <x v="3"/>
    <s v="VALIDATED"/>
    <n v="1"/>
    <s v="01.11.80.308.2012.0000"/>
    <n v="413.8"/>
    <s v="11"/>
    <s v="2012"/>
    <n v="5845.23"/>
    <n v="413.8"/>
    <s v="CREDITOR"/>
    <n v="413.8"/>
    <n v="0"/>
    <n v="0"/>
    <n v="0"/>
    <n v="0"/>
  </r>
  <r>
    <n v="60185677"/>
    <s v="N"/>
    <n v="21318767"/>
    <s v="3000014502310013"/>
    <s v="CIVIL"/>
    <d v="2023-06-20T00:00:00"/>
    <d v="2023-07-03T19:01:49"/>
    <m/>
    <d v="2023-07-03T00:00:00"/>
    <n v="1057"/>
    <n v="2647"/>
    <s v="60185677"/>
    <s v="60185677"/>
    <m/>
    <m/>
    <n v="22723482"/>
    <m/>
    <m/>
    <m/>
    <s v="SOLFIN"/>
    <s v="SOLFIN"/>
    <s v="CCMS"/>
    <n v="21318767"/>
    <n v="10146.79"/>
    <m/>
    <s v="N"/>
    <n v="48"/>
    <d v="2023-07-03T19:02:02"/>
    <s v="Y"/>
    <s v="Preparation - drafting bill/claim f"/>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3"/>
    <d v="2023-07-03T19:02:02"/>
    <s v="Y"/>
    <s v="Preparation - other"/>
    <s v="Care Remuneration Hourly Rates"/>
    <s v="Profit Cost"/>
    <s v="NC"/>
    <s v="Y"/>
    <n v="26.29"/>
    <n v="5.26"/>
    <x v="3"/>
    <s v="VALIDATED"/>
    <n v="1"/>
    <s v="01.11.80.308.6100.0000"/>
    <n v="26.29"/>
    <s v="11"/>
    <s v="6100"/>
    <n v="5845.23"/>
    <n v="26.29"/>
    <s v="CREDITOR"/>
    <n v="0"/>
    <n v="0"/>
    <n v="0"/>
    <n v="0"/>
    <n v="26.29"/>
  </r>
  <r>
    <n v="62355748"/>
    <s v="N"/>
    <n v="21323607"/>
    <s v="3000016338940001"/>
    <s v="CIVIL"/>
    <d v="2023-06-30T00:00:00"/>
    <d v="2023-07-03T19:05:56"/>
    <m/>
    <d v="2023-07-03T00:00:00"/>
    <n v="1057"/>
    <n v="2647"/>
    <s v="62355748"/>
    <s v="62355748"/>
    <m/>
    <m/>
    <n v="22794920"/>
    <m/>
    <m/>
    <m/>
    <s v="SOLPOA"/>
    <s v="SOLPOA"/>
    <s v="CCMS"/>
    <n v="21323607"/>
    <n v="806.64"/>
    <m/>
    <s v="N"/>
    <n v="1"/>
    <d v="2023-07-03T19:05:58"/>
    <s v="N"/>
    <s v="Expert Cost"/>
    <s v="Expert Cost"/>
    <s v="Expert Disbursement"/>
    <s v="Natalie Corten"/>
    <s v="N"/>
    <n v="672.2"/>
    <n v="134.44"/>
    <x v="3"/>
    <s v="VALIDATED"/>
    <n v="1"/>
    <s v="01.11.80.308.2012.0000"/>
    <n v="672.2"/>
    <s v="11"/>
    <s v="2012"/>
    <n v="5845.23"/>
    <n v="672.2"/>
    <s v="CREDITOR"/>
    <n v="672.2"/>
    <n v="0"/>
    <n v="0"/>
    <n v="0"/>
    <n v="0"/>
  </r>
  <r>
    <n v="60185677"/>
    <s v="N"/>
    <n v="21318767"/>
    <s v="3000014502310013"/>
    <s v="CIVIL"/>
    <d v="2023-06-20T00:00:00"/>
    <d v="2023-07-03T19:01:49"/>
    <m/>
    <d v="2023-07-03T00:00:00"/>
    <n v="1057"/>
    <n v="2647"/>
    <s v="60185677"/>
    <s v="60185677"/>
    <m/>
    <m/>
    <n v="22723482"/>
    <m/>
    <m/>
    <m/>
    <s v="SOLFIN"/>
    <s v="SOLFIN"/>
    <s v="CCMS"/>
    <n v="21318767"/>
    <n v="10146.79"/>
    <m/>
    <s v="N"/>
    <n v="12"/>
    <d v="2023-07-03T19:02:02"/>
    <s v="Y"/>
    <s v="Attendance upon client"/>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58"/>
    <d v="2023-07-03T19:02:02"/>
    <s v="Y"/>
    <s v="Preparation - drafting attendance n"/>
    <s v="Care Remuneration Hourly Rates"/>
    <s v="Profit Cost"/>
    <s v="RL"/>
    <s v="Y"/>
    <n v="15.77"/>
    <n v="3.15"/>
    <x v="3"/>
    <s v="VALIDATED"/>
    <n v="1"/>
    <s v="01.11.80.308.6100.0000"/>
    <n v="15.77"/>
    <s v="11"/>
    <s v="6100"/>
    <n v="5845.23"/>
    <n v="15.77"/>
    <s v="CREDITOR"/>
    <n v="0"/>
    <n v="0"/>
    <n v="0"/>
    <n v="0"/>
    <n v="15.77"/>
  </r>
  <r>
    <n v="61108480"/>
    <s v="N"/>
    <n v="21349717"/>
    <s v="3000015299220009"/>
    <s v="CIVIL"/>
    <d v="2023-06-30T00:00:00"/>
    <d v="2023-07-10T19:01:40"/>
    <m/>
    <d v="2023-07-10T00:00:00"/>
    <n v="1057"/>
    <n v="2647"/>
    <s v="61108480"/>
    <s v="61108480"/>
    <m/>
    <m/>
    <n v="22794122"/>
    <m/>
    <m/>
    <m/>
    <s v="SOLFIN"/>
    <s v="SOLFIN"/>
    <s v="CCMS"/>
    <n v="21349717"/>
    <n v="21432.99"/>
    <m/>
    <s v="N"/>
    <n v="2"/>
    <d v="2023-07-10T19:01:56"/>
    <s v="Y"/>
    <s v="Exceptional Travel"/>
    <s v="Public Law Children"/>
    <s v="Advocacy"/>
    <s v="Natalie Corten"/>
    <s v="Y"/>
    <n v="32.04"/>
    <n v="6.41"/>
    <x v="2"/>
    <s v="VALIDATED"/>
    <n v="1"/>
    <s v="01.11.80.308.6100.0000"/>
    <n v="32.04"/>
    <s v="11"/>
    <s v="6100"/>
    <n v="5845.23"/>
    <n v="32.04"/>
    <s v="CREDITOR"/>
    <n v="0"/>
    <n v="0"/>
    <n v="0"/>
    <n v="0"/>
    <n v="32.04"/>
  </r>
  <r>
    <n v="60185677"/>
    <s v="N"/>
    <n v="21318767"/>
    <s v="3000014502310013"/>
    <s v="CIVIL"/>
    <d v="2023-06-20T00:00:00"/>
    <d v="2023-07-03T19:01:49"/>
    <m/>
    <d v="2023-07-03T00:00:00"/>
    <n v="1057"/>
    <n v="2647"/>
    <s v="60185677"/>
    <s v="60185677"/>
    <m/>
    <m/>
    <n v="22723482"/>
    <m/>
    <m/>
    <m/>
    <s v="SOLFIN"/>
    <s v="SOLFIN"/>
    <s v="CCMS"/>
    <n v="21318767"/>
    <n v="10146.79"/>
    <m/>
    <s v="N"/>
    <n v="50"/>
    <d v="2023-07-03T19:02:02"/>
    <s v="Y"/>
    <s v="Preparation - other"/>
    <s v="Care Remuneration Hourly Rates"/>
    <s v="Profit Cost"/>
    <s v="NC"/>
    <s v="Y"/>
    <n v="78.86"/>
    <n v="15.77"/>
    <x v="3"/>
    <s v="VALIDATED"/>
    <n v="1"/>
    <s v="01.11.80.308.6100.0000"/>
    <n v="78.86"/>
    <s v="11"/>
    <s v="6100"/>
    <n v="5845.23"/>
    <n v="78.86"/>
    <s v="CREDITOR"/>
    <n v="0"/>
    <n v="0"/>
    <n v="0"/>
    <n v="0"/>
    <n v="78.86"/>
  </r>
  <r>
    <n v="60185677"/>
    <s v="N"/>
    <n v="21318767"/>
    <s v="3000014502310013"/>
    <s v="CIVIL"/>
    <d v="2023-06-20T00:00:00"/>
    <d v="2023-07-03T19:01:49"/>
    <m/>
    <d v="2023-07-03T00:00:00"/>
    <n v="1057"/>
    <n v="2647"/>
    <s v="60185677"/>
    <s v="60185677"/>
    <m/>
    <m/>
    <n v="22723482"/>
    <m/>
    <m/>
    <m/>
    <s v="SOLFIN"/>
    <s v="SOLFIN"/>
    <s v="CCMS"/>
    <n v="21318767"/>
    <n v="10146.79"/>
    <m/>
    <s v="N"/>
    <n v="14"/>
    <d v="2023-07-03T19:02:02"/>
    <s v="Y"/>
    <s v="Preparation - drafting application"/>
    <s v="Care Remuneration Hourly Rates"/>
    <s v="Profit Cost"/>
    <s v="NC"/>
    <s v="Y"/>
    <n v="78.86"/>
    <n v="15.77"/>
    <x v="3"/>
    <s v="VALIDATED"/>
    <n v="1"/>
    <s v="01.11.80.308.6100.0000"/>
    <n v="78.86"/>
    <s v="11"/>
    <s v="6100"/>
    <n v="5845.23"/>
    <n v="78.86"/>
    <s v="CREDITOR"/>
    <n v="0"/>
    <n v="0"/>
    <n v="0"/>
    <n v="0"/>
    <n v="78.86"/>
  </r>
  <r>
    <n v="60185677"/>
    <s v="N"/>
    <n v="21318767"/>
    <s v="3000014502310013"/>
    <s v="CIVIL"/>
    <d v="2023-06-20T00:00:00"/>
    <d v="2023-07-03T19:01:49"/>
    <m/>
    <d v="2023-07-03T00:00:00"/>
    <n v="1057"/>
    <n v="2647"/>
    <s v="60185677"/>
    <s v="60185677"/>
    <m/>
    <m/>
    <n v="22723482"/>
    <m/>
    <m/>
    <m/>
    <s v="SOLFIN"/>
    <s v="SOLFIN"/>
    <s v="CCMS"/>
    <n v="21318767"/>
    <n v="10146.79"/>
    <m/>
    <s v="N"/>
    <n v="23"/>
    <d v="2023-07-03T19:02:02"/>
    <s v="Y"/>
    <s v="Attendance upon client"/>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76"/>
    <d v="2023-07-03T19:02:02"/>
    <s v="Y"/>
    <s v="Preparation - other"/>
    <s v="Care Remuneration Hourly Rates"/>
    <s v="Profit Cost"/>
    <s v="NC"/>
    <s v="Y"/>
    <n v="52.57"/>
    <n v="10.51"/>
    <x v="3"/>
    <s v="VALIDATED"/>
    <n v="1"/>
    <s v="01.11.80.308.6100.0000"/>
    <n v="52.57"/>
    <s v="11"/>
    <s v="6100"/>
    <n v="5845.23"/>
    <n v="52.57"/>
    <s v="CREDITOR"/>
    <n v="0"/>
    <n v="0"/>
    <n v="0"/>
    <n v="0"/>
    <n v="52.57"/>
  </r>
  <r>
    <n v="60185677"/>
    <s v="N"/>
    <n v="21318767"/>
    <s v="3000014502310013"/>
    <s v="CIVIL"/>
    <d v="2023-06-20T00:00:00"/>
    <d v="2023-07-03T19:01:49"/>
    <m/>
    <d v="2023-07-03T00:00:00"/>
    <n v="1057"/>
    <n v="2647"/>
    <s v="60185677"/>
    <s v="60185677"/>
    <m/>
    <m/>
    <n v="22723482"/>
    <m/>
    <m/>
    <m/>
    <s v="SOLFIN"/>
    <s v="SOLFIN"/>
    <s v="CCMS"/>
    <n v="21318767"/>
    <n v="10146.79"/>
    <m/>
    <s v="N"/>
    <n v="89"/>
    <d v="2023-07-03T19:02:02"/>
    <s v="Y"/>
    <s v="Preparation - drafting bill/claim f"/>
    <s v="Care Remuneration Hourly Rates"/>
    <s v="Profit Cost"/>
    <s v="NC"/>
    <s v="Y"/>
    <n v="21.03"/>
    <n v="4.21"/>
    <x v="3"/>
    <s v="VALIDATED"/>
    <n v="1"/>
    <s v="01.11.80.308.6100.0000"/>
    <n v="21.03"/>
    <s v="11"/>
    <s v="6100"/>
    <n v="5845.23"/>
    <n v="21.03"/>
    <s v="CREDITOR"/>
    <n v="0"/>
    <n v="0"/>
    <n v="0"/>
    <n v="0"/>
    <n v="21.03"/>
  </r>
  <r>
    <n v="60185677"/>
    <s v="N"/>
    <n v="21318767"/>
    <s v="3000014502310013"/>
    <s v="CIVIL"/>
    <d v="2023-06-20T00:00:00"/>
    <d v="2023-07-03T19:01:49"/>
    <m/>
    <d v="2023-07-03T00:00:00"/>
    <n v="1057"/>
    <n v="2647"/>
    <s v="60185677"/>
    <s v="60185677"/>
    <m/>
    <m/>
    <n v="22723482"/>
    <m/>
    <m/>
    <m/>
    <s v="SOLFIN"/>
    <s v="SOLFIN"/>
    <s v="CCMS"/>
    <n v="21318767"/>
    <n v="10146.79"/>
    <m/>
    <s v="N"/>
    <n v="21"/>
    <d v="2023-07-03T19:02:02"/>
    <s v="Y"/>
    <s v="Preparation - other"/>
    <s v="Care Remuneration Hourly Rates"/>
    <s v="Profit Cost"/>
    <s v="RL"/>
    <s v="Y"/>
    <n v="26.29"/>
    <n v="5.26"/>
    <x v="3"/>
    <s v="VALIDATED"/>
    <n v="1"/>
    <s v="01.11.80.308.6100.0000"/>
    <n v="26.29"/>
    <s v="11"/>
    <s v="6100"/>
    <n v="5845.23"/>
    <n v="26.29"/>
    <s v="CREDITOR"/>
    <n v="0"/>
    <n v="0"/>
    <n v="0"/>
    <n v="0"/>
    <n v="26.29"/>
  </r>
  <r>
    <n v="61108480"/>
    <s v="N"/>
    <n v="21349717"/>
    <s v="3000015299220009"/>
    <s v="CIVIL"/>
    <d v="2023-06-30T00:00:00"/>
    <d v="2023-07-10T19:01:40"/>
    <m/>
    <d v="2023-07-10T00:00:00"/>
    <n v="1057"/>
    <n v="2647"/>
    <s v="61108480"/>
    <s v="61108480"/>
    <m/>
    <m/>
    <n v="22794122"/>
    <m/>
    <m/>
    <m/>
    <s v="SOLFIN"/>
    <s v="SOLFIN"/>
    <s v="CCMS"/>
    <n v="21349717"/>
    <n v="21432.99"/>
    <m/>
    <s v="N"/>
    <n v="8"/>
    <d v="2023-07-10T19:01:56"/>
    <s v="Y"/>
    <s v="Advocates Meeting"/>
    <s v="Public Law Children"/>
    <s v="Advocacy"/>
    <s v="Natalie Corten"/>
    <s v="Y"/>
    <n v="140.99"/>
    <n v="28.2"/>
    <x v="2"/>
    <s v="VALIDATED"/>
    <n v="1"/>
    <s v="01.11.80.308.6100.0000"/>
    <n v="140.99"/>
    <s v="11"/>
    <s v="6100"/>
    <n v="5845.23"/>
    <n v="140.99"/>
    <s v="CREDITOR"/>
    <n v="0"/>
    <n v="0"/>
    <n v="0"/>
    <n v="0"/>
    <n v="140.99"/>
  </r>
  <r>
    <n v="60185677"/>
    <s v="N"/>
    <n v="21318767"/>
    <s v="3000014502310013"/>
    <s v="CIVIL"/>
    <d v="2023-06-20T00:00:00"/>
    <d v="2023-07-03T19:01:49"/>
    <m/>
    <d v="2023-07-03T00:00:00"/>
    <n v="1057"/>
    <n v="2647"/>
    <s v="60185677"/>
    <s v="60185677"/>
    <m/>
    <m/>
    <n v="22723482"/>
    <m/>
    <m/>
    <m/>
    <s v="SOLFIN"/>
    <s v="SOLFIN"/>
    <s v="CCMS"/>
    <n v="21318767"/>
    <n v="10146.79"/>
    <m/>
    <s v="N"/>
    <n v="40"/>
    <d v="2023-07-03T19:02:02"/>
    <s v="Y"/>
    <s v="Preparation - other"/>
    <s v="Care Remuneration Hourly Rates"/>
    <s v="Profit Cost"/>
    <s v="NC"/>
    <s v="Y"/>
    <n v="283.88"/>
    <n v="56.77"/>
    <x v="3"/>
    <s v="VALIDATED"/>
    <n v="1"/>
    <s v="01.11.80.308.6100.0000"/>
    <n v="283.88"/>
    <s v="11"/>
    <s v="6100"/>
    <n v="5845.23"/>
    <n v="283.88"/>
    <s v="CREDITOR"/>
    <n v="0"/>
    <n v="0"/>
    <n v="0"/>
    <n v="0"/>
    <n v="283.88"/>
  </r>
  <r>
    <n v="60185677"/>
    <s v="N"/>
    <n v="21318767"/>
    <s v="3000014502310013"/>
    <s v="CIVIL"/>
    <d v="2023-06-20T00:00:00"/>
    <d v="2023-07-03T19:01:49"/>
    <m/>
    <d v="2023-07-03T00:00:00"/>
    <n v="1057"/>
    <n v="2647"/>
    <s v="60185677"/>
    <s v="60185677"/>
    <m/>
    <m/>
    <n v="22723482"/>
    <m/>
    <m/>
    <m/>
    <s v="SOLFIN"/>
    <s v="SOLFIN"/>
    <s v="CCMS"/>
    <n v="21318767"/>
    <n v="10146.79"/>
    <m/>
    <s v="N"/>
    <n v="91"/>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47"/>
    <d v="2023-07-03T19:02:02"/>
    <s v="Y"/>
    <s v="Preparation - drafting bill/claim f"/>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29"/>
    <d v="2023-07-03T19:02:02"/>
    <s v="Y"/>
    <s v="Attendance upon client"/>
    <s v="Care Remuneration Hourly Rates"/>
    <s v="Profit Cost"/>
    <s v="RL"/>
    <s v="Y"/>
    <n v="10.51"/>
    <n v="2.1"/>
    <x v="3"/>
    <s v="VALIDATED"/>
    <n v="1"/>
    <s v="01.11.80.308.6100.0000"/>
    <n v="10.51"/>
    <s v="11"/>
    <s v="6100"/>
    <n v="5845.23"/>
    <n v="10.51"/>
    <s v="CREDITOR"/>
    <n v="0"/>
    <n v="0"/>
    <n v="0"/>
    <n v="0"/>
    <n v="10.51"/>
  </r>
  <r>
    <n v="61858282"/>
    <s v="N"/>
    <n v="21349648"/>
    <s v="3000015922260017"/>
    <s v="CIVIL"/>
    <d v="2023-06-29T00:00:00"/>
    <d v="2023-07-10T19:01:40"/>
    <m/>
    <d v="2023-07-10T00:00:00"/>
    <n v="1057"/>
    <n v="2647"/>
    <s v="61858282"/>
    <s v="61858282"/>
    <m/>
    <m/>
    <n v="22791156"/>
    <m/>
    <m/>
    <m/>
    <s v="SOLPOA"/>
    <s v="SOLPOA"/>
    <s v="CCMS"/>
    <n v="21349648"/>
    <n v="53"/>
    <m/>
    <s v="N"/>
    <n v="1"/>
    <d v="2023-07-10T19:01:55"/>
    <s v="N"/>
    <s v="Non Expert Disbursement"/>
    <s v="Non Expert Disbursement"/>
    <s v="Non Expert Disbursement"/>
    <s v="HMCTS"/>
    <s v="N"/>
    <n v="53"/>
    <n v="0"/>
    <x v="2"/>
    <s v="VALIDATED"/>
    <n v="1"/>
    <s v="01.11.80.308.2012.0000"/>
    <n v="53"/>
    <s v="11"/>
    <s v="2012"/>
    <n v="5845.23"/>
    <n v="53"/>
    <s v="CREDITOR"/>
    <n v="53"/>
    <n v="0"/>
    <n v="0"/>
    <n v="0"/>
    <n v="0"/>
  </r>
  <r>
    <n v="60185677"/>
    <s v="N"/>
    <n v="21318767"/>
    <s v="3000014502310013"/>
    <s v="CIVIL"/>
    <d v="2023-06-20T00:00:00"/>
    <d v="2023-07-03T19:01:49"/>
    <m/>
    <d v="2023-07-03T00:00:00"/>
    <n v="1057"/>
    <n v="2647"/>
    <s v="60185677"/>
    <s v="60185677"/>
    <m/>
    <m/>
    <n v="22723482"/>
    <m/>
    <m/>
    <m/>
    <s v="SOLFIN"/>
    <s v="SOLFIN"/>
    <s v="CCMS"/>
    <n v="21318767"/>
    <n v="10146.79"/>
    <m/>
    <s v="N"/>
    <n v="80"/>
    <d v="2023-07-03T19:02:02"/>
    <s v="Y"/>
    <s v="Preparation - other"/>
    <s v="Care Remuneration Hourly Rates"/>
    <s v="Profit Cost"/>
    <s v="NC"/>
    <s v="Y"/>
    <n v="141.94"/>
    <n v="28.39"/>
    <x v="3"/>
    <s v="VALIDATED"/>
    <n v="1"/>
    <s v="01.11.80.308.6100.0000"/>
    <n v="141.94"/>
    <s v="11"/>
    <s v="6100"/>
    <n v="5845.23"/>
    <n v="141.94"/>
    <s v="CREDITOR"/>
    <n v="0"/>
    <n v="0"/>
    <n v="0"/>
    <n v="0"/>
    <n v="141.94"/>
  </r>
  <r>
    <n v="60185677"/>
    <s v="N"/>
    <n v="21318767"/>
    <s v="3000014502310013"/>
    <s v="CIVIL"/>
    <d v="2023-06-20T00:00:00"/>
    <d v="2023-07-03T19:01:49"/>
    <m/>
    <d v="2023-07-03T00:00:00"/>
    <n v="1057"/>
    <n v="2647"/>
    <s v="60185677"/>
    <s v="60185677"/>
    <m/>
    <m/>
    <n v="22723482"/>
    <m/>
    <m/>
    <m/>
    <s v="SOLFIN"/>
    <s v="SOLFIN"/>
    <s v="CCMS"/>
    <n v="21318767"/>
    <n v="10146.79"/>
    <m/>
    <s v="N"/>
    <n v="24"/>
    <d v="2023-07-03T19:02:02"/>
    <s v="Y"/>
    <s v="Preparation - drafting attendance n"/>
    <s v="Care Remuneration Hourly Rates"/>
    <s v="Profit Cost"/>
    <s v="NC"/>
    <s v="Y"/>
    <n v="21.03"/>
    <n v="4.21"/>
    <x v="3"/>
    <s v="VALIDATED"/>
    <n v="1"/>
    <s v="01.11.80.308.6100.0000"/>
    <n v="21.03"/>
    <s v="11"/>
    <s v="6100"/>
    <n v="5845.23"/>
    <n v="21.03"/>
    <s v="CREDITOR"/>
    <n v="0"/>
    <n v="0"/>
    <n v="0"/>
    <n v="0"/>
    <n v="21.03"/>
  </r>
  <r>
    <n v="60185677"/>
    <s v="N"/>
    <n v="21318767"/>
    <s v="3000014502310013"/>
    <s v="CIVIL"/>
    <d v="2023-06-20T00:00:00"/>
    <d v="2023-07-03T19:01:49"/>
    <m/>
    <d v="2023-07-03T00:00:00"/>
    <n v="1057"/>
    <n v="2647"/>
    <s v="60185677"/>
    <s v="60185677"/>
    <m/>
    <m/>
    <n v="22723482"/>
    <m/>
    <m/>
    <m/>
    <s v="SOLFIN"/>
    <s v="SOLFIN"/>
    <s v="CCMS"/>
    <n v="21318767"/>
    <n v="10146.79"/>
    <m/>
    <s v="N"/>
    <n v="30"/>
    <d v="2023-07-03T19:02:02"/>
    <s v="Y"/>
    <s v="Preparation - drafting attendance n"/>
    <s v="Care Remuneration Hourly Rates"/>
    <s v="Profit Cost"/>
    <s v="RL"/>
    <s v="Y"/>
    <n v="5.26"/>
    <n v="1.05"/>
    <x v="3"/>
    <s v="VALIDATED"/>
    <n v="1"/>
    <s v="01.11.80.308.6100.0000"/>
    <n v="5.26"/>
    <s v="11"/>
    <s v="6100"/>
    <n v="5845.23"/>
    <n v="5.26"/>
    <s v="CREDITOR"/>
    <n v="0"/>
    <n v="0"/>
    <n v="0"/>
    <n v="0"/>
    <n v="5.26"/>
  </r>
  <r>
    <n v="60185677"/>
    <s v="N"/>
    <n v="21318767"/>
    <s v="3000014502310013"/>
    <s v="CIVIL"/>
    <d v="2023-06-20T00:00:00"/>
    <d v="2023-07-03T19:01:49"/>
    <m/>
    <d v="2023-07-03T00:00:00"/>
    <n v="1057"/>
    <n v="2647"/>
    <s v="60185677"/>
    <s v="60185677"/>
    <m/>
    <m/>
    <n v="22723482"/>
    <m/>
    <m/>
    <m/>
    <s v="SOLFIN"/>
    <s v="SOLFIN"/>
    <s v="CCMS"/>
    <n v="21318767"/>
    <n v="10146.79"/>
    <m/>
    <s v="N"/>
    <n v="31"/>
    <d v="2023-07-03T19:02:02"/>
    <s v="Y"/>
    <s v="Preparation - other"/>
    <s v="Care Remuneration Hourly Rates"/>
    <s v="Profit Cost"/>
    <s v="RL"/>
    <s v="Y"/>
    <n v="26.29"/>
    <n v="5.26"/>
    <x v="3"/>
    <s v="VALIDATED"/>
    <n v="1"/>
    <s v="01.11.80.308.6100.0000"/>
    <n v="26.29"/>
    <s v="11"/>
    <s v="6100"/>
    <n v="5845.23"/>
    <n v="26.29"/>
    <s v="CREDITOR"/>
    <n v="0"/>
    <n v="0"/>
    <n v="0"/>
    <n v="0"/>
    <n v="26.29"/>
  </r>
  <r>
    <n v="60185677"/>
    <s v="N"/>
    <n v="21318767"/>
    <s v="3000014502310013"/>
    <s v="CIVIL"/>
    <d v="2023-06-20T00:00:00"/>
    <d v="2023-07-03T19:01:49"/>
    <m/>
    <d v="2023-07-03T00:00:00"/>
    <n v="1057"/>
    <n v="2647"/>
    <s v="60185677"/>
    <s v="60185677"/>
    <m/>
    <m/>
    <n v="22723482"/>
    <m/>
    <m/>
    <m/>
    <s v="SOLFIN"/>
    <s v="SOLFIN"/>
    <s v="CCMS"/>
    <n v="21318767"/>
    <n v="10146.79"/>
    <m/>
    <s v="N"/>
    <n v="65"/>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96"/>
    <d v="2023-07-03T19:02:02"/>
    <s v="N"/>
    <s v="Solicitors Fixed Fee"/>
    <s v="Public Law Children"/>
    <s v="Profit Cost"/>
    <s v="NC"/>
    <s v="N"/>
    <n v="0"/>
    <n v="0"/>
    <x v="3"/>
    <s v="VALIDATED"/>
    <n v="1"/>
    <s v="01.11.80.308.6100.0000"/>
    <n v="0"/>
    <s v="11"/>
    <s v="6100"/>
    <n v="5845.23"/>
    <n v="0"/>
    <s v="CREDITOR"/>
    <n v="0"/>
    <n v="0"/>
    <n v="0"/>
    <n v="0"/>
    <n v="0"/>
  </r>
  <r>
    <n v="60185677"/>
    <s v="N"/>
    <n v="21318767"/>
    <s v="3000014502310013"/>
    <s v="CIVIL"/>
    <d v="2023-06-20T00:00:00"/>
    <d v="2023-07-03T19:01:49"/>
    <m/>
    <d v="2023-07-03T00:00:00"/>
    <n v="1057"/>
    <n v="2647"/>
    <s v="60185677"/>
    <s v="60185677"/>
    <m/>
    <m/>
    <n v="22723482"/>
    <m/>
    <m/>
    <m/>
    <s v="SOLFIN"/>
    <s v="SOLFIN"/>
    <s v="CCMS"/>
    <n v="21318767"/>
    <n v="10146.79"/>
    <m/>
    <s v="N"/>
    <n v="82"/>
    <d v="2023-07-03T19:02:02"/>
    <s v="Y"/>
    <s v="Preparation - drafting attendance n"/>
    <s v="Care Remuneration Hourly Rates"/>
    <s v="Profit Cost"/>
    <s v="NC"/>
    <s v="Y"/>
    <n v="36.8"/>
    <n v="7.36"/>
    <x v="3"/>
    <s v="VALIDATED"/>
    <n v="1"/>
    <s v="01.11.80.308.6100.0000"/>
    <n v="36.8"/>
    <s v="11"/>
    <s v="6100"/>
    <n v="5845.23"/>
    <n v="36.8"/>
    <s v="CREDITOR"/>
    <n v="0"/>
    <n v="0"/>
    <n v="0"/>
    <n v="0"/>
    <n v="36.8"/>
  </r>
  <r>
    <n v="60185677"/>
    <s v="N"/>
    <n v="21318767"/>
    <s v="3000014502310013"/>
    <s v="CIVIL"/>
    <d v="2023-06-20T00:00:00"/>
    <d v="2023-07-03T19:01:49"/>
    <m/>
    <d v="2023-07-03T00:00:00"/>
    <n v="1057"/>
    <n v="2647"/>
    <s v="60185677"/>
    <s v="60185677"/>
    <m/>
    <m/>
    <n v="22723482"/>
    <m/>
    <m/>
    <m/>
    <s v="SOLFIN"/>
    <s v="SOLFIN"/>
    <s v="CCMS"/>
    <n v="21318767"/>
    <n v="10146.79"/>
    <m/>
    <s v="N"/>
    <n v="56"/>
    <d v="2023-07-03T19:02:02"/>
    <s v="Y"/>
    <s v="Attendance upon client"/>
    <s v="Care Remuneration Hourly Rates"/>
    <s v="Profit Cost"/>
    <s v="RL"/>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53"/>
    <d v="2023-07-03T19:02:02"/>
    <s v="Y"/>
    <s v="Preparation - drafting attendance n"/>
    <s v="Care Remuneration Hourly Rates"/>
    <s v="Profit Cost"/>
    <s v="RL"/>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52"/>
    <d v="2023-07-03T19:02:02"/>
    <s v="Y"/>
    <s v="Attendance upon client"/>
    <s v="Care Remuneration Hourly Rates"/>
    <s v="Profit Cost"/>
    <s v="RL"/>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66"/>
    <d v="2023-07-03T19:02:02"/>
    <s v="Y"/>
    <s v="Preparation - drafting application"/>
    <s v="Care Remuneration Hourly Rates"/>
    <s v="Profit Cost"/>
    <s v="NC"/>
    <s v="Y"/>
    <n v="52.57"/>
    <n v="10.51"/>
    <x v="3"/>
    <s v="VALIDATED"/>
    <n v="1"/>
    <s v="01.11.80.308.6100.0000"/>
    <n v="52.57"/>
    <s v="11"/>
    <s v="6100"/>
    <n v="5845.23"/>
    <n v="52.57"/>
    <s v="CREDITOR"/>
    <n v="0"/>
    <n v="0"/>
    <n v="0"/>
    <n v="0"/>
    <n v="52.57"/>
  </r>
  <r>
    <n v="60185677"/>
    <s v="N"/>
    <n v="21318767"/>
    <s v="3000014502310013"/>
    <s v="CIVIL"/>
    <d v="2023-06-20T00:00:00"/>
    <d v="2023-07-03T19:01:49"/>
    <m/>
    <d v="2023-07-03T00:00:00"/>
    <n v="1057"/>
    <n v="2647"/>
    <s v="60185677"/>
    <s v="60185677"/>
    <m/>
    <m/>
    <n v="22723482"/>
    <m/>
    <m/>
    <m/>
    <s v="SOLFIN"/>
    <s v="SOLFIN"/>
    <s v="CCMS"/>
    <n v="21318767"/>
    <n v="10146.79"/>
    <m/>
    <s v="N"/>
    <n v="68"/>
    <d v="2023-07-03T19:02:02"/>
    <s v="Y"/>
    <s v="Preparation - drafting statement"/>
    <s v="Care Remuneration Hourly Rates"/>
    <s v="Profit Cost"/>
    <s v="NC"/>
    <s v="Y"/>
    <n v="31.54"/>
    <n v="6.31"/>
    <x v="3"/>
    <s v="VALIDATED"/>
    <n v="1"/>
    <s v="01.11.80.308.6100.0000"/>
    <n v="31.54"/>
    <s v="11"/>
    <s v="6100"/>
    <n v="5845.23"/>
    <n v="31.54"/>
    <s v="CREDITOR"/>
    <n v="0"/>
    <n v="0"/>
    <n v="0"/>
    <n v="0"/>
    <n v="31.54"/>
  </r>
  <r>
    <n v="61108480"/>
    <s v="N"/>
    <n v="21349717"/>
    <s v="3000015299220009"/>
    <s v="CIVIL"/>
    <d v="2023-06-30T00:00:00"/>
    <d v="2023-07-10T19:01:40"/>
    <m/>
    <d v="2023-07-10T00:00:00"/>
    <n v="1057"/>
    <n v="2647"/>
    <s v="61108480"/>
    <s v="61108480"/>
    <m/>
    <m/>
    <n v="22794122"/>
    <m/>
    <m/>
    <m/>
    <s v="SOLFIN"/>
    <s v="SOLFIN"/>
    <s v="CCMS"/>
    <n v="21349717"/>
    <n v="21432.99"/>
    <m/>
    <s v="N"/>
    <n v="6"/>
    <d v="2023-07-10T19:01:56"/>
    <s v="Y"/>
    <s v="Hearing Unit 1.01 - 2.30 Hours"/>
    <s v="Public Law Children"/>
    <s v="Advocacy"/>
    <s v="Natalie Corten"/>
    <s v="Y"/>
    <n v="238.46"/>
    <n v="47.69"/>
    <x v="2"/>
    <s v="VALIDATED"/>
    <n v="1"/>
    <s v="01.11.80.308.6100.0000"/>
    <n v="238.46"/>
    <s v="11"/>
    <s v="6100"/>
    <n v="5845.23"/>
    <n v="238.46"/>
    <s v="CREDITOR"/>
    <n v="0"/>
    <n v="0"/>
    <n v="0"/>
    <n v="0"/>
    <n v="238.46"/>
  </r>
  <r>
    <n v="59981770"/>
    <s v="N"/>
    <n v="21343942"/>
    <s v="3000014327240015"/>
    <s v="CIVIL"/>
    <d v="2023-06-26T00:00:00"/>
    <d v="2023-07-07T19:03:00"/>
    <m/>
    <d v="2023-07-07T00:00:00"/>
    <n v="1057"/>
    <n v="2647"/>
    <s v="59981770"/>
    <s v="59981770"/>
    <m/>
    <m/>
    <n v="22759482"/>
    <m/>
    <m/>
    <m/>
    <s v="SOLFIN"/>
    <s v="SOLFIN"/>
    <s v="CCMS"/>
    <n v="21343942"/>
    <n v="26854.41"/>
    <m/>
    <s v="N"/>
    <n v="7"/>
    <d v="2023-07-07T19:03:18"/>
    <s v="Y"/>
    <s v="Hearing Unit 2.31 - 5.00 Hours"/>
    <s v="Public Law Children"/>
    <s v="Advocacy"/>
    <s v="Kate Roberts"/>
    <s v="Y"/>
    <n v="476.92"/>
    <n v="95.38"/>
    <x v="9"/>
    <s v="VALIDATED"/>
    <n v="1"/>
    <s v="01.11.80.308.6100.0000"/>
    <n v="476.92"/>
    <s v="11"/>
    <s v="6100"/>
    <n v="5845.23"/>
    <n v="476.92"/>
    <s v="CREDITOR"/>
    <n v="0"/>
    <n v="0"/>
    <n v="0"/>
    <n v="0"/>
    <n v="476.92"/>
  </r>
  <r>
    <n v="60185677"/>
    <s v="N"/>
    <n v="21318767"/>
    <s v="3000014502310013"/>
    <s v="CIVIL"/>
    <d v="2023-06-20T00:00:00"/>
    <d v="2023-07-03T19:01:49"/>
    <m/>
    <d v="2023-07-03T00:00:00"/>
    <n v="1057"/>
    <n v="2647"/>
    <s v="60185677"/>
    <s v="60185677"/>
    <m/>
    <m/>
    <n v="22723482"/>
    <m/>
    <m/>
    <m/>
    <s v="SOLFIN"/>
    <s v="SOLFIN"/>
    <s v="CCMS"/>
    <n v="21318767"/>
    <n v="10146.79"/>
    <m/>
    <s v="N"/>
    <n v="92"/>
    <d v="2023-07-03T19:02:02"/>
    <s v="Y"/>
    <s v="Preparation - drafting bill/claim f"/>
    <s v="Care Remuneration Hourly Rates"/>
    <s v="Profit Cost"/>
    <s v="SWJ"/>
    <s v="Y"/>
    <n v="147.2"/>
    <n v="29.44"/>
    <x v="3"/>
    <s v="VALIDATED"/>
    <n v="1"/>
    <s v="01.11.80.308.6100.0000"/>
    <n v="147.2"/>
    <s v="11"/>
    <s v="6100"/>
    <n v="5845.23"/>
    <n v="147.2"/>
    <s v="CREDITOR"/>
    <n v="0"/>
    <n v="0"/>
    <n v="0"/>
    <n v="0"/>
    <n v="147.2"/>
  </r>
  <r>
    <n v="61108480"/>
    <s v="N"/>
    <n v="21349717"/>
    <s v="3000015299220009"/>
    <s v="CIVIL"/>
    <d v="2023-06-30T00:00:00"/>
    <d v="2023-07-10T19:01:40"/>
    <m/>
    <d v="2023-07-10T00:00:00"/>
    <n v="1057"/>
    <n v="2647"/>
    <s v="61108480"/>
    <s v="61108480"/>
    <m/>
    <m/>
    <n v="22794122"/>
    <m/>
    <m/>
    <m/>
    <s v="SOLFIN"/>
    <s v="SOLFIN"/>
    <s v="CCMS"/>
    <n v="21349717"/>
    <n v="21432.99"/>
    <m/>
    <s v="N"/>
    <n v="7"/>
    <d v="2023-07-10T19:01:56"/>
    <s v="Y"/>
    <s v="Final Hearing - 1 Day"/>
    <s v="Public Law Children"/>
    <s v="Advocacy"/>
    <s v="Natalie Corten"/>
    <s v="Y"/>
    <n v="556.88"/>
    <n v="111.38"/>
    <x v="2"/>
    <s v="VALIDATED"/>
    <n v="1"/>
    <s v="01.11.80.308.6100.0000"/>
    <n v="556.88"/>
    <s v="11"/>
    <s v="6100"/>
    <n v="5845.23"/>
    <n v="556.88"/>
    <s v="CREDITOR"/>
    <n v="0"/>
    <n v="0"/>
    <n v="0"/>
    <n v="0"/>
    <n v="556.88"/>
  </r>
  <r>
    <n v="60185677"/>
    <s v="N"/>
    <n v="21318767"/>
    <s v="3000014502310013"/>
    <s v="CIVIL"/>
    <d v="2023-06-20T00:00:00"/>
    <d v="2023-07-03T19:01:49"/>
    <m/>
    <d v="2023-07-03T00:00:00"/>
    <n v="1057"/>
    <n v="2647"/>
    <s v="60185677"/>
    <s v="60185677"/>
    <m/>
    <m/>
    <n v="22723482"/>
    <m/>
    <m/>
    <m/>
    <s v="SOLFIN"/>
    <s v="SOLFIN"/>
    <s v="CCMS"/>
    <n v="21318767"/>
    <n v="10146.79"/>
    <m/>
    <s v="N"/>
    <n v="38"/>
    <d v="2023-07-03T19:02:02"/>
    <s v="Y"/>
    <s v="Waiting at court"/>
    <s v="Care Remuneration Hourly Rates"/>
    <s v="Profit Cost"/>
    <s v="RL"/>
    <s v="Y"/>
    <n v="10.52"/>
    <n v="2.1"/>
    <x v="3"/>
    <s v="VALIDATED"/>
    <n v="1"/>
    <s v="01.11.80.308.6100.0000"/>
    <n v="10.52"/>
    <s v="11"/>
    <s v="6100"/>
    <n v="5845.23"/>
    <n v="10.52"/>
    <s v="CREDITOR"/>
    <n v="0"/>
    <n v="0"/>
    <n v="0"/>
    <n v="0"/>
    <n v="10.52"/>
  </r>
  <r>
    <n v="60185677"/>
    <s v="N"/>
    <n v="21318767"/>
    <s v="3000014502310013"/>
    <s v="CIVIL"/>
    <d v="2023-06-20T00:00:00"/>
    <d v="2023-07-03T19:01:49"/>
    <m/>
    <d v="2023-07-03T00:00:00"/>
    <n v="1057"/>
    <n v="2647"/>
    <s v="60185677"/>
    <s v="60185677"/>
    <m/>
    <m/>
    <n v="22723482"/>
    <m/>
    <m/>
    <m/>
    <s v="SOLFIN"/>
    <s v="SOLFIN"/>
    <s v="CCMS"/>
    <n v="21318767"/>
    <n v="10146.79"/>
    <m/>
    <s v="N"/>
    <n v="11"/>
    <d v="2023-07-03T19:02:02"/>
    <s v="Y"/>
    <s v="Preparation - other"/>
    <s v="Care Remuneration Hourly Rates"/>
    <s v="Profit Cost"/>
    <s v="RL"/>
    <s v="Y"/>
    <n v="1051.4"/>
    <n v="210.35"/>
    <x v="3"/>
    <s v="VALIDATED"/>
    <n v="1"/>
    <s v="01.11.80.308.6100.0000"/>
    <n v="1051.4"/>
    <s v="11"/>
    <s v="6100"/>
    <n v="5845.23"/>
    <n v="1051.4"/>
    <s v="CREDITOR"/>
    <n v="0"/>
    <n v="0"/>
    <n v="0"/>
    <n v="0"/>
    <n v="1051.4"/>
  </r>
  <r>
    <n v="60185677"/>
    <s v="N"/>
    <n v="21318767"/>
    <s v="3000014502310013"/>
    <s v="CIVIL"/>
    <d v="2023-06-20T00:00:00"/>
    <d v="2023-07-03T19:01:49"/>
    <m/>
    <d v="2023-07-03T00:00:00"/>
    <n v="1057"/>
    <n v="2647"/>
    <s v="60185677"/>
    <s v="60185677"/>
    <m/>
    <m/>
    <n v="22723482"/>
    <m/>
    <m/>
    <m/>
    <s v="SOLFIN"/>
    <s v="SOLFIN"/>
    <s v="CCMS"/>
    <n v="21318767"/>
    <n v="10146.79"/>
    <m/>
    <s v="N"/>
    <n v="15"/>
    <d v="2023-07-03T19:02:02"/>
    <s v="Y"/>
    <s v="Attendance upon client"/>
    <s v="Care Remuneration Hourly Rates"/>
    <s v="Profit Cost"/>
    <s v="NC"/>
    <s v="Y"/>
    <n v="15.77"/>
    <n v="3.15"/>
    <x v="3"/>
    <s v="VALIDATED"/>
    <n v="1"/>
    <s v="01.11.80.308.6100.0000"/>
    <n v="15.77"/>
    <s v="11"/>
    <s v="6100"/>
    <n v="5845.23"/>
    <n v="15.77"/>
    <s v="CREDITOR"/>
    <n v="0"/>
    <n v="0"/>
    <n v="0"/>
    <n v="0"/>
    <n v="15.77"/>
  </r>
  <r>
    <n v="60185677"/>
    <s v="N"/>
    <n v="21318767"/>
    <s v="3000014502310013"/>
    <s v="CIVIL"/>
    <d v="2023-06-20T00:00:00"/>
    <d v="2023-07-03T19:01:49"/>
    <m/>
    <d v="2023-07-03T00:00:00"/>
    <n v="1057"/>
    <n v="2647"/>
    <s v="60185677"/>
    <s v="60185677"/>
    <m/>
    <m/>
    <n v="22723482"/>
    <m/>
    <m/>
    <m/>
    <s v="SOLFIN"/>
    <s v="SOLFIN"/>
    <s v="CCMS"/>
    <n v="21318767"/>
    <n v="10146.79"/>
    <m/>
    <s v="N"/>
    <n v="19"/>
    <d v="2023-07-03T19:02:02"/>
    <s v="Y"/>
    <s v="Preparation - other"/>
    <s v="Care Remuneration Hourly Rates"/>
    <s v="Profit Cost"/>
    <s v="NC"/>
    <s v="Y"/>
    <n v="5.26"/>
    <n v="1.05"/>
    <x v="3"/>
    <s v="VALIDATED"/>
    <n v="1"/>
    <s v="01.11.80.308.6100.0000"/>
    <n v="5.26"/>
    <s v="11"/>
    <s v="6100"/>
    <n v="5845.23"/>
    <n v="5.26"/>
    <s v="CREDITOR"/>
    <n v="0"/>
    <n v="0"/>
    <n v="0"/>
    <n v="0"/>
    <n v="5.26"/>
  </r>
  <r>
    <n v="60185677"/>
    <s v="N"/>
    <n v="21318767"/>
    <s v="3000014502310013"/>
    <s v="CIVIL"/>
    <d v="2023-06-20T00:00:00"/>
    <d v="2023-07-03T19:01:49"/>
    <m/>
    <d v="2023-07-03T00:00:00"/>
    <n v="1057"/>
    <n v="2647"/>
    <s v="60185677"/>
    <s v="60185677"/>
    <m/>
    <m/>
    <n v="22723482"/>
    <m/>
    <m/>
    <m/>
    <s v="SOLFIN"/>
    <s v="SOLFIN"/>
    <s v="CCMS"/>
    <n v="21318767"/>
    <n v="10146.79"/>
    <m/>
    <s v="N"/>
    <n v="83"/>
    <d v="2023-07-03T19:02:02"/>
    <s v="Y"/>
    <s v="Preparation - other"/>
    <s v="Care Remuneration Hourly Rates"/>
    <s v="Profit Cost"/>
    <s v="NC"/>
    <s v="Y"/>
    <n v="94.63"/>
    <n v="18.92"/>
    <x v="3"/>
    <s v="VALIDATED"/>
    <n v="1"/>
    <s v="01.11.80.308.6100.0000"/>
    <n v="94.63"/>
    <s v="11"/>
    <s v="6100"/>
    <n v="5845.23"/>
    <n v="94.63"/>
    <s v="CREDITOR"/>
    <n v="0"/>
    <n v="0"/>
    <n v="0"/>
    <n v="0"/>
    <n v="94.63"/>
  </r>
  <r>
    <n v="60185677"/>
    <s v="N"/>
    <n v="21318767"/>
    <s v="3000014502310013"/>
    <s v="CIVIL"/>
    <d v="2023-06-20T00:00:00"/>
    <d v="2023-07-03T19:01:49"/>
    <m/>
    <d v="2023-07-03T00:00:00"/>
    <n v="1057"/>
    <n v="2647"/>
    <s v="60185677"/>
    <s v="60185677"/>
    <m/>
    <m/>
    <n v="22723482"/>
    <m/>
    <m/>
    <m/>
    <s v="SOLFIN"/>
    <s v="SOLFIN"/>
    <s v="CCMS"/>
    <n v="21318767"/>
    <n v="10146.79"/>
    <m/>
    <s v="N"/>
    <n v="95"/>
    <d v="2023-07-03T19:02:02"/>
    <s v="Y"/>
    <s v="Routine Letter In"/>
    <s v="Care Remuneration Hourly Rates"/>
    <s v="Profit Cost"/>
    <s v="NC"/>
    <s v="Y"/>
    <n v="355.2"/>
    <n v="71.04000000000001"/>
    <x v="3"/>
    <s v="VALIDATED"/>
    <n v="1"/>
    <s v="01.11.80.308.6100.0000"/>
    <n v="355.2"/>
    <s v="11"/>
    <s v="6100"/>
    <n v="5845.23"/>
    <n v="355.2"/>
    <s v="CREDITOR"/>
    <n v="0"/>
    <n v="0"/>
    <n v="0"/>
    <n v="0"/>
    <n v="355.2"/>
  </r>
  <r>
    <n v="60185677"/>
    <s v="N"/>
    <n v="21318767"/>
    <s v="3000014502310013"/>
    <s v="CIVIL"/>
    <d v="2023-06-20T00:00:00"/>
    <d v="2023-07-03T19:01:49"/>
    <m/>
    <d v="2023-07-03T00:00:00"/>
    <n v="1057"/>
    <n v="2647"/>
    <s v="60185677"/>
    <s v="60185677"/>
    <m/>
    <m/>
    <n v="22723482"/>
    <m/>
    <m/>
    <m/>
    <s v="SOLFIN"/>
    <s v="SOLFIN"/>
    <s v="CCMS"/>
    <n v="21318767"/>
    <n v="10146.79"/>
    <m/>
    <s v="N"/>
    <n v="33"/>
    <d v="2023-07-03T19:02:02"/>
    <s v="Y"/>
    <s v="Preparation - other"/>
    <s v="Care Remuneration Hourly Rates"/>
    <s v="Profit Cost"/>
    <s v="RL"/>
    <s v="Y"/>
    <n v="21.03"/>
    <n v="4.21"/>
    <x v="3"/>
    <s v="VALIDATED"/>
    <n v="1"/>
    <s v="01.11.80.308.6100.0000"/>
    <n v="21.03"/>
    <s v="11"/>
    <s v="6100"/>
    <n v="5845.23"/>
    <n v="21.03"/>
    <s v="CREDITOR"/>
    <n v="0"/>
    <n v="0"/>
    <n v="0"/>
    <n v="0"/>
    <n v="21.03"/>
  </r>
  <r>
    <n v="60185677"/>
    <s v="N"/>
    <n v="21318767"/>
    <s v="3000014502310013"/>
    <s v="CIVIL"/>
    <d v="2023-06-20T00:00:00"/>
    <d v="2023-07-03T19:01:49"/>
    <m/>
    <d v="2023-07-03T00:00:00"/>
    <n v="1057"/>
    <n v="2647"/>
    <s v="60185677"/>
    <s v="60185677"/>
    <m/>
    <m/>
    <n v="22723482"/>
    <m/>
    <m/>
    <m/>
    <s v="SOLFIN"/>
    <s v="SOLFIN"/>
    <s v="CCMS"/>
    <n v="21318767"/>
    <n v="10146.79"/>
    <m/>
    <s v="N"/>
    <n v="74"/>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27"/>
    <d v="2023-07-03T19:02:02"/>
    <s v="Y"/>
    <s v="Preparation - drafting statement"/>
    <s v="Care Remuneration Hourly Rates"/>
    <s v="Profit Cost"/>
    <s v="NC"/>
    <s v="Y"/>
    <n v="36.8"/>
    <n v="7.36"/>
    <x v="3"/>
    <s v="VALIDATED"/>
    <n v="1"/>
    <s v="01.11.80.308.6100.0000"/>
    <n v="36.8"/>
    <s v="11"/>
    <s v="6100"/>
    <n v="5845.23"/>
    <n v="36.8"/>
    <s v="CREDITOR"/>
    <n v="0"/>
    <n v="0"/>
    <n v="0"/>
    <n v="0"/>
    <n v="36.8"/>
  </r>
  <r>
    <n v="59981770"/>
    <s v="N"/>
    <n v="21343942"/>
    <s v="3000014327240015"/>
    <s v="CIVIL"/>
    <d v="2023-06-26T00:00:00"/>
    <d v="2023-07-07T19:03:00"/>
    <m/>
    <d v="2023-07-07T00:00:00"/>
    <n v="1057"/>
    <n v="2647"/>
    <s v="59981770"/>
    <s v="59981770"/>
    <m/>
    <m/>
    <n v="22759482"/>
    <m/>
    <m/>
    <m/>
    <s v="SOLFIN"/>
    <s v="SOLFIN"/>
    <s v="CCMS"/>
    <n v="21343942"/>
    <n v="26854.41"/>
    <m/>
    <s v="N"/>
    <n v="6"/>
    <d v="2023-07-07T19:03:18"/>
    <s v="Y"/>
    <s v="Hearing Unit 5.01 - 7.30 Hours"/>
    <s v="Public Law Children"/>
    <s v="Advocacy"/>
    <s v="Kate Roberts"/>
    <s v="Y"/>
    <n v="650.4299999999999"/>
    <n v="130.09"/>
    <x v="9"/>
    <s v="VALIDATED"/>
    <n v="1"/>
    <s v="01.11.80.308.6100.0000"/>
    <n v="650.4299999999999"/>
    <s v="11"/>
    <s v="6100"/>
    <n v="5845.23"/>
    <n v="650.4299999999999"/>
    <s v="CREDITOR"/>
    <n v="0"/>
    <n v="0"/>
    <n v="0"/>
    <n v="0"/>
    <n v="650.4299999999999"/>
  </r>
  <r>
    <n v="60185677"/>
    <s v="N"/>
    <n v="21318767"/>
    <s v="3000014502310013"/>
    <s v="CIVIL"/>
    <d v="2023-06-20T00:00:00"/>
    <d v="2023-07-03T19:01:49"/>
    <m/>
    <d v="2023-07-03T00:00:00"/>
    <n v="1057"/>
    <n v="2647"/>
    <s v="60185677"/>
    <s v="60185677"/>
    <m/>
    <m/>
    <n v="22723482"/>
    <m/>
    <m/>
    <m/>
    <s v="SOLFIN"/>
    <s v="SOLFIN"/>
    <s v="CCMS"/>
    <n v="21318767"/>
    <n v="10146.79"/>
    <m/>
    <s v="N"/>
    <n v="34"/>
    <d v="2023-07-03T19:02:02"/>
    <s v="Y"/>
    <s v="Attendance upon client"/>
    <s v="Care Remuneration Hourly Rates"/>
    <s v="Profit Cost"/>
    <s v="RL"/>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84"/>
    <d v="2023-07-03T19:02:02"/>
    <s v="Y"/>
    <s v="Preparation - other"/>
    <s v="Care Remuneration Hourly Rates"/>
    <s v="Profit Cost"/>
    <s v="NC"/>
    <s v="Y"/>
    <n v="5.26"/>
    <n v="1.05"/>
    <x v="3"/>
    <s v="VALIDATED"/>
    <n v="1"/>
    <s v="01.11.80.308.6100.0000"/>
    <n v="5.26"/>
    <s v="11"/>
    <s v="6100"/>
    <n v="5845.23"/>
    <n v="5.26"/>
    <s v="CREDITOR"/>
    <n v="0"/>
    <n v="0"/>
    <n v="0"/>
    <n v="0"/>
    <n v="5.26"/>
  </r>
  <r>
    <n v="60185677"/>
    <s v="N"/>
    <n v="21318767"/>
    <s v="3000014502310013"/>
    <s v="CIVIL"/>
    <d v="2023-06-20T00:00:00"/>
    <d v="2023-07-03T19:01:49"/>
    <m/>
    <d v="2023-07-03T00:00:00"/>
    <n v="1057"/>
    <n v="2647"/>
    <s v="60185677"/>
    <s v="60185677"/>
    <m/>
    <m/>
    <n v="22723482"/>
    <m/>
    <m/>
    <m/>
    <s v="SOLFIN"/>
    <s v="SOLFIN"/>
    <s v="CCMS"/>
    <n v="21318767"/>
    <n v="10146.79"/>
    <m/>
    <s v="N"/>
    <n v="87"/>
    <d v="2023-07-03T19:02:02"/>
    <s v="Y"/>
    <s v="Preparation - other"/>
    <s v="Care Remuneration Hourly Rates"/>
    <s v="Profit Cost"/>
    <s v="NC"/>
    <s v="Y"/>
    <n v="21.03"/>
    <n v="4.21"/>
    <x v="3"/>
    <s v="VALIDATED"/>
    <n v="1"/>
    <s v="01.11.80.308.6100.0000"/>
    <n v="21.03"/>
    <s v="11"/>
    <s v="6100"/>
    <n v="5845.23"/>
    <n v="21.03"/>
    <s v="CREDITOR"/>
    <n v="0"/>
    <n v="0"/>
    <n v="0"/>
    <n v="0"/>
    <n v="21.03"/>
  </r>
  <r>
    <n v="60185677"/>
    <s v="N"/>
    <n v="21318767"/>
    <s v="3000014502310013"/>
    <s v="CIVIL"/>
    <d v="2023-06-20T00:00:00"/>
    <d v="2023-07-03T19:01:49"/>
    <m/>
    <d v="2023-07-03T00:00:00"/>
    <n v="1057"/>
    <n v="2647"/>
    <s v="60185677"/>
    <s v="60185677"/>
    <m/>
    <m/>
    <n v="22723482"/>
    <m/>
    <m/>
    <m/>
    <s v="SOLFIN"/>
    <s v="SOLFIN"/>
    <s v="CCMS"/>
    <n v="21318767"/>
    <n v="10146.79"/>
    <m/>
    <s v="N"/>
    <n v="94"/>
    <d v="2023-07-03T19:02:02"/>
    <s v="Y"/>
    <s v="Routine Letter Out"/>
    <s v="Care Remuneration Hourly Rates"/>
    <s v="Profit Cost"/>
    <s v="NC"/>
    <s v="Y"/>
    <n v="793.35"/>
    <n v="158.66"/>
    <x v="3"/>
    <s v="VALIDATED"/>
    <n v="1"/>
    <s v="01.11.80.308.6100.0000"/>
    <n v="793.35"/>
    <s v="11"/>
    <s v="6100"/>
    <n v="5845.23"/>
    <n v="793.35"/>
    <s v="CREDITOR"/>
    <n v="0"/>
    <n v="0"/>
    <n v="0"/>
    <n v="0"/>
    <n v="793.35"/>
  </r>
  <r>
    <n v="60185677"/>
    <s v="N"/>
    <n v="21318767"/>
    <s v="3000014502310013"/>
    <s v="CIVIL"/>
    <d v="2023-06-20T00:00:00"/>
    <d v="2023-07-03T19:01:49"/>
    <m/>
    <d v="2023-07-03T00:00:00"/>
    <n v="1057"/>
    <n v="2647"/>
    <s v="60185677"/>
    <s v="60185677"/>
    <m/>
    <m/>
    <n v="22723482"/>
    <m/>
    <m/>
    <m/>
    <s v="SOLFIN"/>
    <s v="SOLFIN"/>
    <s v="CCMS"/>
    <n v="21318767"/>
    <n v="10146.79"/>
    <m/>
    <s v="N"/>
    <n v="55"/>
    <d v="2023-07-03T19:02:02"/>
    <s v="Y"/>
    <s v="Attendance upon client"/>
    <s v="Care Remuneration Hourly Rates"/>
    <s v="Profit Cost"/>
    <s v="NC"/>
    <s v="Y"/>
    <n v="141.94"/>
    <n v="28.39"/>
    <x v="3"/>
    <s v="VALIDATED"/>
    <n v="1"/>
    <s v="01.11.80.308.6100.0000"/>
    <n v="141.94"/>
    <s v="11"/>
    <s v="6100"/>
    <n v="5845.23"/>
    <n v="141.94"/>
    <s v="CREDITOR"/>
    <n v="0"/>
    <n v="0"/>
    <n v="0"/>
    <n v="0"/>
    <n v="141.94"/>
  </r>
  <r>
    <n v="59981770"/>
    <s v="N"/>
    <n v="21346400"/>
    <s v="3000014327240006RC"/>
    <s v="CIVIL"/>
    <d v="2023-06-26T00:00:00"/>
    <d v="2023-07-07T19:34:21"/>
    <m/>
    <d v="2023-07-07T00:00:00"/>
    <n v="1057"/>
    <n v="2647"/>
    <s v="59981770"/>
    <s v="59981770"/>
    <m/>
    <m/>
    <m/>
    <m/>
    <m/>
    <m/>
    <s v="SOLRECOUP"/>
    <s v="SOLRECOUP"/>
    <s v="POARECOUP"/>
    <n v="21346400"/>
    <n v="-561"/>
    <m/>
    <s v="Y"/>
    <n v="1"/>
    <d v="2023-07-07T19:34:23"/>
    <s v="N"/>
    <m/>
    <m/>
    <s v="Expert Disbursement"/>
    <m/>
    <s v="N"/>
    <n v="-467.5"/>
    <n v="0"/>
    <x v="9"/>
    <s v="VALIDATED"/>
    <n v="1"/>
    <s v="01.11.80.308.2013.0000"/>
    <n v="-467.5"/>
    <s v="11"/>
    <s v="2013"/>
    <n v="5845.23"/>
    <n v="-467.5"/>
    <s v="CREDITOR"/>
    <n v="0"/>
    <n v="0"/>
    <n v="-467.5"/>
    <n v="0"/>
    <n v="0"/>
  </r>
  <r>
    <n v="59981770"/>
    <s v="N"/>
    <n v="21346401"/>
    <s v="3000014327240012RC"/>
    <s v="CIVIL"/>
    <d v="2023-06-26T00:00:00"/>
    <d v="2023-07-07T19:34:21"/>
    <m/>
    <d v="2023-07-07T00:00:00"/>
    <n v="1057"/>
    <n v="2647"/>
    <s v="59981770"/>
    <s v="59981770"/>
    <m/>
    <m/>
    <m/>
    <m/>
    <m/>
    <m/>
    <s v="SOLRECOUP"/>
    <s v="SOLRECOUP"/>
    <s v="POARECOUP"/>
    <n v="21346401"/>
    <n v="-717.6"/>
    <m/>
    <s v="Y"/>
    <n v="2"/>
    <d v="2023-07-07T19:34:23"/>
    <s v="N"/>
    <m/>
    <m/>
    <s v="Expert Disbursement"/>
    <m/>
    <s v="N"/>
    <n v="0"/>
    <n v="-119.6"/>
    <x v="9"/>
    <s v="VALIDATED"/>
    <n v="1"/>
    <s v="01.11.80.308.2013.0000"/>
    <n v="-119.6"/>
    <s v="11"/>
    <s v="2013"/>
    <n v="5845.23"/>
    <n v="-119.6"/>
    <s v="CREDITOR"/>
    <n v="0"/>
    <n v="0"/>
    <n v="-119.6"/>
    <n v="0"/>
    <n v="0"/>
  </r>
  <r>
    <n v="59981770"/>
    <s v="N"/>
    <n v="21346401"/>
    <s v="3000014327240012RC"/>
    <s v="CIVIL"/>
    <d v="2023-06-26T00:00:00"/>
    <d v="2023-07-07T19:34:21"/>
    <m/>
    <d v="2023-07-07T00:00:00"/>
    <n v="1057"/>
    <n v="2647"/>
    <s v="59981770"/>
    <s v="59981770"/>
    <m/>
    <m/>
    <m/>
    <m/>
    <m/>
    <m/>
    <s v="SOLRECOUP"/>
    <s v="SOLRECOUP"/>
    <s v="POARECOUP"/>
    <n v="21346401"/>
    <n v="-717.6"/>
    <m/>
    <s v="Y"/>
    <n v="1"/>
    <d v="2023-07-07T19:34:23"/>
    <s v="N"/>
    <m/>
    <m/>
    <s v="Expert Disbursement"/>
    <m/>
    <s v="N"/>
    <n v="-598"/>
    <n v="0"/>
    <x v="9"/>
    <s v="VALIDATED"/>
    <n v="1"/>
    <s v="01.11.80.308.2013.0000"/>
    <n v="-598"/>
    <s v="11"/>
    <s v="2013"/>
    <n v="5845.23"/>
    <n v="-598"/>
    <s v="CREDITOR"/>
    <n v="0"/>
    <n v="0"/>
    <n v="-598"/>
    <n v="0"/>
    <n v="0"/>
  </r>
  <r>
    <n v="59981770"/>
    <s v="N"/>
    <n v="21346402"/>
    <s v="3000014327240008RC"/>
    <s v="CIVIL"/>
    <d v="2023-06-26T00:00:00"/>
    <d v="2023-07-07T19:34:21"/>
    <m/>
    <d v="2023-07-07T00:00:00"/>
    <n v="1057"/>
    <n v="2647"/>
    <s v="59981770"/>
    <s v="59981770"/>
    <m/>
    <m/>
    <m/>
    <m/>
    <m/>
    <m/>
    <s v="SOLRECOUP"/>
    <s v="SOLRECOUP"/>
    <s v="POARECOUP"/>
    <n v="21346402"/>
    <n v="-232"/>
    <m/>
    <s v="Y"/>
    <n v="1"/>
    <d v="2023-07-07T19:34:23"/>
    <s v="N"/>
    <m/>
    <m/>
    <s v="Non Expert Disbursement"/>
    <m/>
    <s v="N"/>
    <n v="-232"/>
    <n v="0"/>
    <x v="9"/>
    <s v="VALIDATED"/>
    <n v="1"/>
    <s v="01.11.80.308.2013.0000"/>
    <n v="-232"/>
    <s v="11"/>
    <s v="2013"/>
    <n v="5845.23"/>
    <n v="-232"/>
    <s v="CREDITOR"/>
    <n v="0"/>
    <n v="0"/>
    <n v="-232"/>
    <n v="0"/>
    <n v="0"/>
  </r>
  <r>
    <n v="59981770"/>
    <s v="N"/>
    <n v="21346402"/>
    <s v="3000014327240008RC"/>
    <s v="CIVIL"/>
    <d v="2023-06-26T00:00:00"/>
    <d v="2023-07-07T19:34:21"/>
    <m/>
    <d v="2023-07-07T00:00:00"/>
    <n v="1057"/>
    <n v="2647"/>
    <s v="59981770"/>
    <s v="59981770"/>
    <m/>
    <m/>
    <m/>
    <m/>
    <m/>
    <m/>
    <s v="SOLRECOUP"/>
    <s v="SOLRECOUP"/>
    <s v="POARECOUP"/>
    <n v="21346402"/>
    <n v="-232"/>
    <m/>
    <s v="Y"/>
    <n v="2"/>
    <d v="2023-07-07T19:34:23"/>
    <s v="N"/>
    <m/>
    <m/>
    <s v="Non Expert Disbursement"/>
    <m/>
    <s v="N"/>
    <n v="0"/>
    <n v="0"/>
    <x v="9"/>
    <s v="VALIDATED"/>
    <n v="1"/>
    <s v="01.11.80.000.0000.0000"/>
    <n v="0"/>
    <s v="11"/>
    <s v="0000"/>
    <n v="5845.23"/>
    <n v="0"/>
    <s v="CREDITOR"/>
    <n v="0"/>
    <n v="0"/>
    <n v="0"/>
    <n v="0"/>
    <n v="0"/>
  </r>
  <r>
    <n v="59981770"/>
    <s v="N"/>
    <n v="21346403"/>
    <s v="3000014327240011RC"/>
    <s v="CIVIL"/>
    <d v="2023-06-26T00:00:00"/>
    <d v="2023-07-07T19:34:21"/>
    <m/>
    <d v="2023-07-07T00:00:00"/>
    <n v="1057"/>
    <n v="2647"/>
    <s v="59981770"/>
    <s v="59981770"/>
    <m/>
    <m/>
    <m/>
    <m/>
    <m/>
    <m/>
    <s v="SOLRECOUP"/>
    <s v="SOLRECOUP"/>
    <s v="POARECOUP"/>
    <n v="21346403"/>
    <n v="-996.98"/>
    <m/>
    <s v="Y"/>
    <n v="1"/>
    <d v="2023-07-07T19:34:23"/>
    <s v="N"/>
    <m/>
    <m/>
    <s v="Expert Disbursement"/>
    <m/>
    <s v="N"/>
    <n v="-996.98"/>
    <n v="0"/>
    <x v="9"/>
    <s v="VALIDATED"/>
    <n v="1"/>
    <s v="01.11.80.308.2013.0000"/>
    <n v="-996.98"/>
    <s v="11"/>
    <s v="2013"/>
    <n v="5845.23"/>
    <n v="-996.98"/>
    <s v="CREDITOR"/>
    <n v="0"/>
    <n v="0"/>
    <n v="-996.98"/>
    <n v="0"/>
    <n v="0"/>
  </r>
  <r>
    <n v="60810005"/>
    <s v="N"/>
    <n v="21328702"/>
    <s v="3000015004970001RC"/>
    <s v="CIVIL"/>
    <d v="2023-06-26T00:00:00"/>
    <d v="2023-07-04T19:38:21"/>
    <m/>
    <d v="2023-07-04T00:00:00"/>
    <n v="1057"/>
    <n v="2647"/>
    <s v="60810005"/>
    <s v="60810005"/>
    <m/>
    <m/>
    <m/>
    <m/>
    <m/>
    <m/>
    <s v="SOLRECOUP"/>
    <s v="SOLRECOUP"/>
    <s v="POARECOUP"/>
    <n v="21328702"/>
    <n v="-232"/>
    <m/>
    <s v="Y"/>
    <n v="1"/>
    <d v="2023-07-04T19:38:22"/>
    <s v="N"/>
    <m/>
    <m/>
    <s v="Non Expert Disbursement"/>
    <m/>
    <s v="N"/>
    <n v="-232"/>
    <n v="0"/>
    <x v="1"/>
    <s v="VALIDATED"/>
    <n v="1"/>
    <s v="01.11.80.307.2013.0000"/>
    <n v="-232"/>
    <s v="11"/>
    <s v="2013"/>
    <n v="5845.23"/>
    <n v="-232"/>
    <s v="CREDITOR"/>
    <n v="0"/>
    <n v="0"/>
    <n v="-232"/>
    <n v="0"/>
    <n v="0"/>
  </r>
  <r>
    <n v="60810005"/>
    <s v="N"/>
    <n v="21328702"/>
    <s v="3000015004970001RC"/>
    <s v="CIVIL"/>
    <d v="2023-06-26T00:00:00"/>
    <d v="2023-07-04T19:38:21"/>
    <m/>
    <d v="2023-07-04T00:00:00"/>
    <n v="1057"/>
    <n v="2647"/>
    <s v="60810005"/>
    <s v="60810005"/>
    <m/>
    <m/>
    <m/>
    <m/>
    <m/>
    <m/>
    <s v="SOLRECOUP"/>
    <s v="SOLRECOUP"/>
    <s v="POARECOUP"/>
    <n v="21328702"/>
    <n v="-232"/>
    <m/>
    <s v="Y"/>
    <n v="2"/>
    <d v="2023-07-04T19:38:22"/>
    <s v="N"/>
    <m/>
    <m/>
    <s v="Non Expert Disbursement"/>
    <m/>
    <s v="N"/>
    <n v="0"/>
    <n v="0"/>
    <x v="1"/>
    <s v="VALIDATED"/>
    <n v="1"/>
    <s v="01.11.80.000.0000.0000"/>
    <n v="0"/>
    <s v="11"/>
    <s v="0000"/>
    <n v="5845.23"/>
    <n v="0"/>
    <s v="CREDITOR"/>
    <n v="0"/>
    <n v="0"/>
    <n v="0"/>
    <n v="0"/>
    <n v="0"/>
  </r>
  <r>
    <n v="60185677"/>
    <s v="N"/>
    <n v="21324461"/>
    <s v="3000014502310006RC"/>
    <s v="CIVIL"/>
    <d v="2023-06-20T00:00:00"/>
    <d v="2023-07-03T19:42:50"/>
    <m/>
    <d v="2023-07-03T00:00:00"/>
    <n v="1057"/>
    <n v="2647"/>
    <s v="60185677"/>
    <s v="60185677"/>
    <m/>
    <m/>
    <m/>
    <m/>
    <m/>
    <m/>
    <s v="SOLRECOUP"/>
    <s v="SOLRECOUP"/>
    <s v="POARECOUP"/>
    <n v="21324461"/>
    <n v="-167"/>
    <m/>
    <s v="Y"/>
    <n v="1"/>
    <d v="2023-07-03T19:42:51"/>
    <s v="N"/>
    <m/>
    <m/>
    <s v="Non Expert Disbursement"/>
    <m/>
    <s v="N"/>
    <n v="-167"/>
    <n v="0"/>
    <x v="3"/>
    <s v="VALIDATED"/>
    <n v="1"/>
    <s v="01.11.80.308.2013.0000"/>
    <n v="-167"/>
    <s v="11"/>
    <s v="2013"/>
    <n v="5845.23"/>
    <n v="-167"/>
    <s v="CREDITOR"/>
    <n v="0"/>
    <n v="0"/>
    <n v="-167"/>
    <n v="0"/>
    <n v="0"/>
  </r>
  <r>
    <n v="60185677"/>
    <s v="N"/>
    <n v="21324461"/>
    <s v="3000014502310006RC"/>
    <s v="CIVIL"/>
    <d v="2023-06-20T00:00:00"/>
    <d v="2023-07-03T19:42:50"/>
    <m/>
    <d v="2023-07-03T00:00:00"/>
    <n v="1057"/>
    <n v="2647"/>
    <s v="60185677"/>
    <s v="60185677"/>
    <m/>
    <m/>
    <m/>
    <m/>
    <m/>
    <m/>
    <s v="SOLRECOUP"/>
    <s v="SOLRECOUP"/>
    <s v="POARECOUP"/>
    <n v="21324461"/>
    <n v="-167"/>
    <m/>
    <s v="Y"/>
    <n v="2"/>
    <d v="2023-07-03T19:42:51"/>
    <s v="N"/>
    <m/>
    <m/>
    <s v="Non Expert Disbursement"/>
    <m/>
    <s v="N"/>
    <n v="0"/>
    <n v="0"/>
    <x v="3"/>
    <s v="VALIDATED"/>
    <n v="1"/>
    <s v="01.11.80.000.0000.0000"/>
    <n v="0"/>
    <s v="11"/>
    <s v="0000"/>
    <n v="5845.23"/>
    <n v="0"/>
    <s v="CREDITOR"/>
    <n v="0"/>
    <n v="0"/>
    <n v="0"/>
    <n v="0"/>
    <n v="0"/>
  </r>
  <r>
    <n v="60185677"/>
    <s v="N"/>
    <n v="21324462"/>
    <s v="3000014502310003RC"/>
    <s v="CIVIL"/>
    <d v="2023-06-20T00:00:00"/>
    <d v="2023-07-03T19:42:50"/>
    <m/>
    <d v="2023-07-03T00:00:00"/>
    <n v="1057"/>
    <n v="2647"/>
    <s v="60185677"/>
    <s v="60185677"/>
    <m/>
    <m/>
    <m/>
    <m/>
    <m/>
    <m/>
    <s v="SOLRECOUP"/>
    <s v="SOLRECOUP"/>
    <s v="POARECOUP"/>
    <n v="21324462"/>
    <n v="-399"/>
    <m/>
    <s v="Y"/>
    <n v="1"/>
    <d v="2023-07-03T19:42:51"/>
    <s v="N"/>
    <m/>
    <m/>
    <s v="Expert Disbursement"/>
    <m/>
    <s v="N"/>
    <n v="-332.5"/>
    <n v="0"/>
    <x v="3"/>
    <s v="VALIDATED"/>
    <n v="1"/>
    <s v="01.11.80.308.2013.0000"/>
    <n v="-332.5"/>
    <s v="11"/>
    <s v="2013"/>
    <n v="5845.23"/>
    <n v="-332.5"/>
    <s v="CREDITOR"/>
    <n v="0"/>
    <n v="0"/>
    <n v="-332.5"/>
    <n v="0"/>
    <n v="0"/>
  </r>
  <r>
    <n v="60185677"/>
    <s v="N"/>
    <n v="21324462"/>
    <s v="3000014502310003RC"/>
    <s v="CIVIL"/>
    <d v="2023-06-20T00:00:00"/>
    <d v="2023-07-03T19:42:50"/>
    <m/>
    <d v="2023-07-03T00:00:00"/>
    <n v="1057"/>
    <n v="2647"/>
    <s v="60185677"/>
    <s v="60185677"/>
    <m/>
    <m/>
    <m/>
    <m/>
    <m/>
    <m/>
    <s v="SOLRECOUP"/>
    <s v="SOLRECOUP"/>
    <s v="POARECOUP"/>
    <n v="21324462"/>
    <n v="-399"/>
    <m/>
    <s v="Y"/>
    <n v="2"/>
    <d v="2023-07-03T19:42:51"/>
    <s v="N"/>
    <m/>
    <m/>
    <s v="Expert Disbursement"/>
    <m/>
    <s v="N"/>
    <n v="0"/>
    <n v="-66.5"/>
    <x v="3"/>
    <s v="VALIDATED"/>
    <n v="1"/>
    <s v="01.11.80.308.2013.0000"/>
    <n v="-66.5"/>
    <s v="11"/>
    <s v="2013"/>
    <n v="5845.23"/>
    <n v="-66.5"/>
    <s v="CREDITOR"/>
    <n v="0"/>
    <n v="0"/>
    <n v="-66.5"/>
    <n v="0"/>
    <n v="0"/>
  </r>
  <r>
    <n v="60185677"/>
    <s v="N"/>
    <n v="21324463"/>
    <s v="3000014502310002RC"/>
    <s v="CIVIL"/>
    <d v="2023-06-20T00:00:00"/>
    <d v="2023-07-03T19:42:50"/>
    <m/>
    <d v="2023-07-03T00:00:00"/>
    <n v="1057"/>
    <n v="2647"/>
    <s v="60185677"/>
    <s v="60185677"/>
    <m/>
    <m/>
    <m/>
    <m/>
    <m/>
    <m/>
    <s v="SOLRECOUP"/>
    <s v="SOLRECOUP"/>
    <s v="POARECOUP"/>
    <n v="21324463"/>
    <n v="-167"/>
    <m/>
    <s v="Y"/>
    <n v="1"/>
    <d v="2023-07-03T19:42:51"/>
    <s v="N"/>
    <m/>
    <m/>
    <s v="Non Expert Disbursement"/>
    <m/>
    <s v="N"/>
    <n v="-167"/>
    <n v="0"/>
    <x v="3"/>
    <s v="VALIDATED"/>
    <n v="1"/>
    <s v="01.11.80.308.2013.0000"/>
    <n v="-167"/>
    <s v="11"/>
    <s v="2013"/>
    <n v="5845.23"/>
    <n v="-167"/>
    <s v="CREDITOR"/>
    <n v="0"/>
    <n v="0"/>
    <n v="-167"/>
    <n v="0"/>
    <n v="0"/>
  </r>
  <r>
    <n v="60185677"/>
    <s v="N"/>
    <n v="21324463"/>
    <s v="3000014502310002RC"/>
    <s v="CIVIL"/>
    <d v="2023-06-20T00:00:00"/>
    <d v="2023-07-03T19:42:50"/>
    <m/>
    <d v="2023-07-03T00:00:00"/>
    <n v="1057"/>
    <n v="2647"/>
    <s v="60185677"/>
    <s v="60185677"/>
    <m/>
    <m/>
    <m/>
    <m/>
    <m/>
    <m/>
    <s v="SOLRECOUP"/>
    <s v="SOLRECOUP"/>
    <s v="POARECOUP"/>
    <n v="21324463"/>
    <n v="-167"/>
    <m/>
    <s v="Y"/>
    <n v="2"/>
    <d v="2023-07-03T19:42:51"/>
    <s v="N"/>
    <m/>
    <m/>
    <s v="Non Expert Disbursement"/>
    <m/>
    <s v="N"/>
    <n v="0"/>
    <n v="0"/>
    <x v="3"/>
    <s v="VALIDATED"/>
    <n v="1"/>
    <s v="01.11.80.000.0000.0000"/>
    <n v="0"/>
    <s v="11"/>
    <s v="0000"/>
    <n v="5845.23"/>
    <n v="0"/>
    <s v="CREDITOR"/>
    <n v="0"/>
    <n v="0"/>
    <n v="0"/>
    <n v="0"/>
    <n v="0"/>
  </r>
  <r>
    <n v="60185677"/>
    <s v="N"/>
    <n v="21324464"/>
    <s v="3000014502310008RC"/>
    <s v="CIVIL"/>
    <d v="2023-06-20T00:00:00"/>
    <d v="2023-07-03T19:42:50"/>
    <m/>
    <d v="2023-07-03T00:00:00"/>
    <n v="1057"/>
    <n v="2647"/>
    <s v="60185677"/>
    <s v="60185677"/>
    <m/>
    <m/>
    <m/>
    <m/>
    <m/>
    <m/>
    <s v="SOLRECOUP"/>
    <s v="SOLRECOUP"/>
    <s v="POARECOUP"/>
    <n v="21324464"/>
    <n v="-48"/>
    <m/>
    <s v="Y"/>
    <n v="1"/>
    <d v="2023-07-03T19:42:51"/>
    <s v="N"/>
    <m/>
    <m/>
    <s v="Expert Disbursement"/>
    <m/>
    <s v="N"/>
    <n v="-40"/>
    <n v="0"/>
    <x v="3"/>
    <s v="VALIDATED"/>
    <n v="1"/>
    <s v="01.11.80.308.2013.0000"/>
    <n v="-40"/>
    <s v="11"/>
    <s v="2013"/>
    <n v="5845.23"/>
    <n v="-40"/>
    <s v="CREDITOR"/>
    <n v="0"/>
    <n v="0"/>
    <n v="-40"/>
    <n v="0"/>
    <n v="0"/>
  </r>
  <r>
    <n v="60185677"/>
    <s v="N"/>
    <n v="21324464"/>
    <s v="3000014502310008RC"/>
    <s v="CIVIL"/>
    <d v="2023-06-20T00:00:00"/>
    <d v="2023-07-03T19:42:50"/>
    <m/>
    <d v="2023-07-03T00:00:00"/>
    <n v="1057"/>
    <n v="2647"/>
    <s v="60185677"/>
    <s v="60185677"/>
    <m/>
    <m/>
    <m/>
    <m/>
    <m/>
    <m/>
    <s v="SOLRECOUP"/>
    <s v="SOLRECOUP"/>
    <s v="POARECOUP"/>
    <n v="21324464"/>
    <n v="-48"/>
    <m/>
    <s v="Y"/>
    <n v="2"/>
    <d v="2023-07-03T19:42:51"/>
    <s v="N"/>
    <m/>
    <m/>
    <s v="Expert Disbursement"/>
    <m/>
    <s v="N"/>
    <n v="0"/>
    <n v="-8"/>
    <x v="3"/>
    <s v="VALIDATED"/>
    <n v="1"/>
    <s v="01.11.80.308.2013.0000"/>
    <n v="-8"/>
    <s v="11"/>
    <s v="2013"/>
    <n v="5845.23"/>
    <n v="-8"/>
    <s v="CREDITOR"/>
    <n v="0"/>
    <n v="0"/>
    <n v="-8"/>
    <n v="0"/>
    <n v="0"/>
  </r>
  <r>
    <n v="60185677"/>
    <s v="N"/>
    <n v="21324465"/>
    <s v="3000014502310007RC"/>
    <s v="CIVIL"/>
    <d v="2023-06-20T00:00:00"/>
    <d v="2023-07-03T19:42:50"/>
    <m/>
    <d v="2023-07-03T00:00:00"/>
    <n v="1057"/>
    <n v="2647"/>
    <s v="60185677"/>
    <s v="60185677"/>
    <m/>
    <m/>
    <m/>
    <m/>
    <m/>
    <m/>
    <s v="SOLRECOUP"/>
    <s v="SOLRECOUP"/>
    <s v="POARECOUP"/>
    <n v="21324465"/>
    <n v="-167"/>
    <m/>
    <s v="Y"/>
    <n v="1"/>
    <d v="2023-07-03T19:42:51"/>
    <s v="N"/>
    <m/>
    <m/>
    <s v="Non Expert Disbursement"/>
    <m/>
    <s v="N"/>
    <n v="-167"/>
    <n v="0"/>
    <x v="3"/>
    <s v="VALIDATED"/>
    <n v="1"/>
    <s v="01.11.80.308.2013.0000"/>
    <n v="-167"/>
    <s v="11"/>
    <s v="2013"/>
    <n v="5845.23"/>
    <n v="-167"/>
    <s v="CREDITOR"/>
    <n v="0"/>
    <n v="0"/>
    <n v="-167"/>
    <n v="0"/>
    <n v="0"/>
  </r>
  <r>
    <n v="60185677"/>
    <s v="N"/>
    <n v="21324465"/>
    <s v="3000014502310007RC"/>
    <s v="CIVIL"/>
    <d v="2023-06-20T00:00:00"/>
    <d v="2023-07-03T19:42:50"/>
    <m/>
    <d v="2023-07-03T00:00:00"/>
    <n v="1057"/>
    <n v="2647"/>
    <s v="60185677"/>
    <s v="60185677"/>
    <m/>
    <m/>
    <m/>
    <m/>
    <m/>
    <m/>
    <s v="SOLRECOUP"/>
    <s v="SOLRECOUP"/>
    <s v="POARECOUP"/>
    <n v="21324465"/>
    <n v="-167"/>
    <m/>
    <s v="Y"/>
    <n v="2"/>
    <d v="2023-07-03T19:42:51"/>
    <s v="N"/>
    <m/>
    <m/>
    <s v="Non Expert Disbursement"/>
    <m/>
    <s v="N"/>
    <n v="0"/>
    <n v="0"/>
    <x v="3"/>
    <s v="VALIDATED"/>
    <n v="1"/>
    <s v="01.11.80.000.0000.0000"/>
    <n v="0"/>
    <s v="11"/>
    <s v="0000"/>
    <n v="5845.23"/>
    <n v="0"/>
    <s v="CREDITOR"/>
    <n v="0"/>
    <n v="0"/>
    <n v="0"/>
    <n v="0"/>
    <n v="0"/>
  </r>
  <r>
    <n v="60185677"/>
    <s v="N"/>
    <n v="21324466"/>
    <s v="3000014502310011RC"/>
    <s v="CIVIL"/>
    <d v="2023-06-20T00:00:00"/>
    <d v="2023-07-03T19:42:50"/>
    <m/>
    <d v="2023-07-03T00:00:00"/>
    <n v="1057"/>
    <n v="2647"/>
    <s v="60185677"/>
    <s v="60185677"/>
    <m/>
    <m/>
    <m/>
    <m/>
    <m/>
    <m/>
    <s v="SOLRECOUP"/>
    <s v="SOLRECOUP"/>
    <s v="POARECOUP"/>
    <n v="21324466"/>
    <n v="-7359.11"/>
    <m/>
    <s v="Y"/>
    <n v="1"/>
    <d v="2023-07-03T19:42:51"/>
    <s v="N"/>
    <m/>
    <m/>
    <s v="Profit Cost"/>
    <m/>
    <s v="N"/>
    <n v="-6132.59"/>
    <n v="0"/>
    <x v="3"/>
    <s v="VALIDATED"/>
    <n v="1"/>
    <s v="01.11.80.308.2013.0000"/>
    <n v="-6132.59"/>
    <s v="11"/>
    <s v="2013"/>
    <n v="5845.23"/>
    <n v="-6132.59"/>
    <s v="CREDITOR"/>
    <n v="0"/>
    <n v="0"/>
    <n v="-6132.59"/>
    <n v="-1533.1475"/>
    <n v="0"/>
  </r>
  <r>
    <n v="60185677"/>
    <s v="N"/>
    <n v="21324466"/>
    <s v="3000014502310011RC"/>
    <s v="CIVIL"/>
    <d v="2023-06-20T00:00:00"/>
    <d v="2023-07-03T19:42:50"/>
    <m/>
    <d v="2023-07-03T00:00:00"/>
    <n v="1057"/>
    <n v="2647"/>
    <s v="60185677"/>
    <s v="60185677"/>
    <m/>
    <m/>
    <m/>
    <m/>
    <m/>
    <m/>
    <s v="SOLRECOUP"/>
    <s v="SOLRECOUP"/>
    <s v="POARECOUP"/>
    <n v="21324466"/>
    <n v="-7359.11"/>
    <m/>
    <s v="Y"/>
    <n v="2"/>
    <d v="2023-07-03T19:42:51"/>
    <s v="N"/>
    <m/>
    <m/>
    <s v="Profit Cost"/>
    <m/>
    <s v="N"/>
    <n v="0"/>
    <n v="-1226.52"/>
    <x v="3"/>
    <s v="VALIDATED"/>
    <n v="1"/>
    <s v="01.11.80.308.2013.0000"/>
    <n v="-1226.52"/>
    <s v="11"/>
    <s v="2013"/>
    <n v="5845.23"/>
    <n v="-1226.52"/>
    <s v="CREDITOR"/>
    <n v="0"/>
    <n v="0"/>
    <n v="-1226.52"/>
    <n v="-306.63"/>
    <n v="0"/>
  </r>
  <r>
    <n v="60185677"/>
    <s v="N"/>
    <n v="21318767"/>
    <s v="3000014502310013"/>
    <s v="CIVIL"/>
    <d v="2023-06-20T00:00:00"/>
    <d v="2023-07-03T19:01:49"/>
    <m/>
    <d v="2023-07-03T00:00:00"/>
    <n v="1057"/>
    <n v="2647"/>
    <s v="60185677"/>
    <s v="60185677"/>
    <m/>
    <m/>
    <n v="22723482"/>
    <m/>
    <m/>
    <m/>
    <s v="SOLFIN"/>
    <s v="SOLFIN"/>
    <s v="CCMS"/>
    <n v="21318767"/>
    <n v="10146.79"/>
    <m/>
    <s v="N"/>
    <n v="85"/>
    <d v="2023-07-03T19:02:02"/>
    <s v="Y"/>
    <s v="Preparation - other"/>
    <s v="Care Remuneration Hourly Rates"/>
    <s v="Profit Cost"/>
    <s v="NC"/>
    <s v="Y"/>
    <n v="26.29"/>
    <n v="5.26"/>
    <x v="3"/>
    <s v="VALIDATED"/>
    <n v="1"/>
    <s v="01.11.80.308.6100.0000"/>
    <n v="26.29"/>
    <s v="11"/>
    <s v="6100"/>
    <n v="5845.23"/>
    <n v="26.29"/>
    <s v="CREDITOR"/>
    <n v="0"/>
    <n v="0"/>
    <n v="0"/>
    <n v="0"/>
    <n v="26.29"/>
  </r>
  <r>
    <n v="60185677"/>
    <s v="N"/>
    <n v="21318767"/>
    <s v="3000014502310013"/>
    <s v="CIVIL"/>
    <d v="2023-06-20T00:00:00"/>
    <d v="2023-07-03T19:01:49"/>
    <m/>
    <d v="2023-07-03T00:00:00"/>
    <n v="1057"/>
    <n v="2647"/>
    <s v="60185677"/>
    <s v="60185677"/>
    <m/>
    <m/>
    <n v="22723482"/>
    <m/>
    <m/>
    <m/>
    <s v="SOLFIN"/>
    <s v="SOLFIN"/>
    <s v="CCMS"/>
    <n v="21318767"/>
    <n v="10146.79"/>
    <m/>
    <s v="N"/>
    <n v="86"/>
    <d v="2023-07-03T19:02:02"/>
    <s v="Y"/>
    <s v="Preparation - other"/>
    <s v="Care Remuneration Hourly Rates"/>
    <s v="Profit Cost"/>
    <s v="LM"/>
    <s v="Y"/>
    <n v="89.37"/>
    <n v="17.87"/>
    <x v="3"/>
    <s v="VALIDATED"/>
    <n v="1"/>
    <s v="01.11.80.308.6100.0000"/>
    <n v="89.37"/>
    <s v="11"/>
    <s v="6100"/>
    <n v="5845.23"/>
    <n v="89.37"/>
    <s v="CREDITOR"/>
    <n v="0"/>
    <n v="0"/>
    <n v="0"/>
    <n v="0"/>
    <n v="89.37"/>
  </r>
  <r>
    <n v="61108480"/>
    <s v="N"/>
    <n v="21349717"/>
    <s v="3000015299220009"/>
    <s v="CIVIL"/>
    <d v="2023-06-30T00:00:00"/>
    <d v="2023-07-10T19:01:40"/>
    <m/>
    <d v="2023-07-10T00:00:00"/>
    <n v="1057"/>
    <n v="2647"/>
    <s v="61108480"/>
    <s v="61108480"/>
    <m/>
    <m/>
    <n v="22794122"/>
    <m/>
    <m/>
    <m/>
    <s v="SOLFIN"/>
    <s v="SOLFIN"/>
    <s v="CCMS"/>
    <n v="21349717"/>
    <n v="21432.99"/>
    <m/>
    <s v="N"/>
    <n v="5"/>
    <d v="2023-07-10T19:01:56"/>
    <s v="Y"/>
    <s v="Advocates Meeting"/>
    <s v="Public Law Children"/>
    <s v="Advocacy"/>
    <s v="Natalie Corten"/>
    <s v="Y"/>
    <n v="140.99"/>
    <n v="28.2"/>
    <x v="2"/>
    <s v="VALIDATED"/>
    <n v="1"/>
    <s v="01.11.80.308.6100.0000"/>
    <n v="140.99"/>
    <s v="11"/>
    <s v="6100"/>
    <n v="5845.23"/>
    <n v="140.99"/>
    <s v="CREDITOR"/>
    <n v="0"/>
    <n v="0"/>
    <n v="0"/>
    <n v="0"/>
    <n v="140.99"/>
  </r>
  <r>
    <n v="60810005"/>
    <s v="N"/>
    <n v="21328241"/>
    <s v="3000015004970004"/>
    <s v="CIVIL"/>
    <d v="2023-06-26T00:00:00"/>
    <d v="2023-07-04T19:00:44"/>
    <m/>
    <d v="2023-07-04T00:00:00"/>
    <n v="1057"/>
    <n v="2647"/>
    <s v="60810005"/>
    <s v="60810005"/>
    <m/>
    <m/>
    <n v="22760470"/>
    <m/>
    <m/>
    <m/>
    <s v="SOLFIN"/>
    <s v="SOLFIN"/>
    <s v="CCMS"/>
    <n v="21328241"/>
    <n v="806.2"/>
    <m/>
    <s v="N"/>
    <n v="1"/>
    <d v="2023-07-04T19:01:09"/>
    <s v="Y"/>
    <s v="Court Fee"/>
    <s v="Private Law Children"/>
    <s v="Non Expert Disbursement"/>
    <s v="Ross Lang"/>
    <s v="Y"/>
    <n v="232"/>
    <n v="0"/>
    <x v="1"/>
    <s v="VALIDATED"/>
    <n v="1"/>
    <s v="01.11.80.307.6300.0000"/>
    <n v="232"/>
    <s v="11"/>
    <s v="6300"/>
    <n v="5845.23"/>
    <n v="232"/>
    <s v="CREDITOR"/>
    <n v="0"/>
    <n v="0"/>
    <n v="0"/>
    <n v="0"/>
    <n v="232"/>
  </r>
  <r>
    <n v="61108480"/>
    <s v="N"/>
    <n v="21349717"/>
    <s v="3000015299220009"/>
    <s v="CIVIL"/>
    <d v="2023-06-30T00:00:00"/>
    <d v="2023-07-10T19:01:40"/>
    <m/>
    <d v="2023-07-10T00:00:00"/>
    <n v="1057"/>
    <n v="2647"/>
    <s v="61108480"/>
    <s v="61108480"/>
    <m/>
    <m/>
    <n v="22794122"/>
    <m/>
    <m/>
    <m/>
    <s v="SOLFIN"/>
    <s v="SOLFIN"/>
    <s v="CCMS"/>
    <n v="21349717"/>
    <n v="21432.99"/>
    <m/>
    <s v="N"/>
    <n v="4"/>
    <d v="2023-07-10T19:01:56"/>
    <s v="Y"/>
    <s v="Disbursements (Summary)"/>
    <s v="Public Law Children"/>
    <s v="Non Expert Disbursement"/>
    <s v="Natalie Corten"/>
    <s v="Y"/>
    <n v="2161.21"/>
    <n v="432.24"/>
    <x v="2"/>
    <s v="VALIDATED"/>
    <n v="1"/>
    <s v="01.11.80.308.6300.0000"/>
    <n v="2161.21"/>
    <s v="11"/>
    <s v="6300"/>
    <n v="5845.23"/>
    <n v="2161.21"/>
    <s v="CREDITOR"/>
    <n v="0"/>
    <n v="0"/>
    <n v="0"/>
    <n v="0"/>
    <n v="2161.21"/>
  </r>
  <r>
    <n v="60185677"/>
    <s v="N"/>
    <n v="21318767"/>
    <s v="3000014502310013"/>
    <s v="CIVIL"/>
    <d v="2023-06-20T00:00:00"/>
    <d v="2023-07-03T19:01:49"/>
    <m/>
    <d v="2023-07-03T00:00:00"/>
    <n v="1057"/>
    <n v="2647"/>
    <s v="60185677"/>
    <s v="60185677"/>
    <m/>
    <m/>
    <n v="22723482"/>
    <m/>
    <m/>
    <m/>
    <s v="SOLFIN"/>
    <s v="SOLFIN"/>
    <s v="CCMS"/>
    <n v="21318767"/>
    <n v="10146.79"/>
    <m/>
    <s v="N"/>
    <n v="2"/>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77"/>
    <d v="2023-07-03T19:02:02"/>
    <s v="Y"/>
    <s v="Preparation - drafting attendance n"/>
    <s v="Care Remuneration Hourly Rates"/>
    <s v="Profit Cost"/>
    <s v="NC"/>
    <s v="Y"/>
    <n v="26.29"/>
    <n v="5.26"/>
    <x v="3"/>
    <s v="VALIDATED"/>
    <n v="1"/>
    <s v="01.11.80.308.6100.0000"/>
    <n v="26.29"/>
    <s v="11"/>
    <s v="6100"/>
    <n v="5845.23"/>
    <n v="26.29"/>
    <s v="CREDITOR"/>
    <n v="0"/>
    <n v="0"/>
    <n v="0"/>
    <n v="0"/>
    <n v="26.29"/>
  </r>
  <r>
    <n v="60185677"/>
    <s v="N"/>
    <n v="21318767"/>
    <s v="3000014502310013"/>
    <s v="CIVIL"/>
    <d v="2023-06-20T00:00:00"/>
    <d v="2023-07-03T19:01:49"/>
    <m/>
    <d v="2023-07-03T00:00:00"/>
    <n v="1057"/>
    <n v="2647"/>
    <s v="60185677"/>
    <s v="60185677"/>
    <m/>
    <m/>
    <n v="22723482"/>
    <m/>
    <m/>
    <m/>
    <s v="SOLFIN"/>
    <s v="SOLFIN"/>
    <s v="CCMS"/>
    <n v="21318767"/>
    <n v="10146.79"/>
    <m/>
    <s v="N"/>
    <n v="64"/>
    <d v="2023-07-03T19:02:02"/>
    <s v="Y"/>
    <s v="Preparation - other"/>
    <s v="Care Remuneration Hourly Rates"/>
    <s v="Profit Cost"/>
    <s v="NC"/>
    <s v="Y"/>
    <n v="10.51"/>
    <n v="2.1"/>
    <x v="3"/>
    <s v="VALIDATED"/>
    <n v="1"/>
    <s v="01.11.80.308.6100.0000"/>
    <n v="10.51"/>
    <s v="11"/>
    <s v="6100"/>
    <n v="5845.23"/>
    <n v="10.51"/>
    <s v="CREDITOR"/>
    <n v="0"/>
    <n v="0"/>
    <n v="0"/>
    <n v="0"/>
    <n v="10.51"/>
  </r>
  <r>
    <n v="60185677"/>
    <s v="N"/>
    <n v="21318767"/>
    <s v="3000014502310013"/>
    <s v="CIVIL"/>
    <d v="2023-06-20T00:00:00"/>
    <d v="2023-07-03T19:01:49"/>
    <m/>
    <d v="2023-07-03T00:00:00"/>
    <n v="1057"/>
    <n v="2647"/>
    <s v="60185677"/>
    <s v="60185677"/>
    <m/>
    <m/>
    <n v="22723482"/>
    <m/>
    <m/>
    <m/>
    <s v="SOLFIN"/>
    <s v="SOLFIN"/>
    <s v="CCMS"/>
    <n v="21318767"/>
    <n v="10146.79"/>
    <m/>
    <s v="N"/>
    <n v="71"/>
    <d v="2023-07-03T19:02:02"/>
    <s v="Y"/>
    <s v="Preparation - drafting instructions"/>
    <s v="Care Remuneration Hourly Rates"/>
    <s v="Profit Cost"/>
    <s v="NC"/>
    <s v="Y"/>
    <n v="31.54"/>
    <n v="6.31"/>
    <x v="3"/>
    <s v="VALIDATED"/>
    <n v="1"/>
    <s v="01.11.80.308.6100.0000"/>
    <n v="31.54"/>
    <s v="11"/>
    <s v="6100"/>
    <n v="5845.23"/>
    <n v="31.54"/>
    <s v="CREDITOR"/>
    <n v="0"/>
    <n v="0"/>
    <n v="0"/>
    <n v="0"/>
    <n v="31.54"/>
  </r>
  <r>
    <n v="61108480"/>
    <s v="N"/>
    <n v="21356526"/>
    <s v="3000015299220001RC"/>
    <s v="CIVIL"/>
    <d v="2023-06-30T00:00:00"/>
    <d v="2023-07-10T19:47:44"/>
    <m/>
    <d v="2023-07-10T00:00:00"/>
    <n v="1057"/>
    <n v="2647"/>
    <s v="61108480"/>
    <s v="61108480"/>
    <m/>
    <m/>
    <m/>
    <m/>
    <m/>
    <m/>
    <s v="SOLRECOUP"/>
    <s v="SOLRECOUP"/>
    <s v="POARECOUP"/>
    <n v="21356526"/>
    <n v="-742.5"/>
    <m/>
    <s v="Y"/>
    <n v="1"/>
    <d v="2023-07-10T19:47:45"/>
    <s v="N"/>
    <m/>
    <m/>
    <s v="Expert Disbursement"/>
    <m/>
    <s v="N"/>
    <n v="-618.75"/>
    <n v="0"/>
    <x v="2"/>
    <s v="VALIDATED"/>
    <n v="1"/>
    <s v="01.11.80.308.2013.0000"/>
    <n v="-618.75"/>
    <s v="11"/>
    <s v="2013"/>
    <n v="5845.23"/>
    <n v="-618.75"/>
    <s v="CREDITOR"/>
    <n v="0"/>
    <n v="0"/>
    <n v="-618.75"/>
    <n v="0"/>
    <n v="0"/>
  </r>
  <r>
    <n v="61108480"/>
    <s v="N"/>
    <n v="21356526"/>
    <s v="3000015299220001RC"/>
    <s v="CIVIL"/>
    <d v="2023-06-30T00:00:00"/>
    <d v="2023-07-10T19:47:44"/>
    <m/>
    <d v="2023-07-10T00:00:00"/>
    <n v="1057"/>
    <n v="2647"/>
    <s v="61108480"/>
    <s v="61108480"/>
    <m/>
    <m/>
    <m/>
    <m/>
    <m/>
    <m/>
    <s v="SOLRECOUP"/>
    <s v="SOLRECOUP"/>
    <s v="POARECOUP"/>
    <n v="21356526"/>
    <n v="-742.5"/>
    <m/>
    <s v="Y"/>
    <n v="2"/>
    <d v="2023-07-10T19:47:45"/>
    <s v="N"/>
    <m/>
    <m/>
    <s v="Expert Disbursement"/>
    <m/>
    <s v="N"/>
    <n v="0"/>
    <n v="-123.75"/>
    <x v="2"/>
    <s v="VALIDATED"/>
    <n v="1"/>
    <s v="01.11.80.308.2013.0000"/>
    <n v="-123.75"/>
    <s v="11"/>
    <s v="2013"/>
    <n v="5845.23"/>
    <n v="-123.75"/>
    <s v="CREDITOR"/>
    <n v="0"/>
    <n v="0"/>
    <n v="-123.75"/>
    <n v="0"/>
    <n v="0"/>
  </r>
  <r>
    <n v="61108480"/>
    <s v="N"/>
    <n v="21356527"/>
    <s v="3000015299220003RC"/>
    <s v="CIVIL"/>
    <d v="2023-06-30T00:00:00"/>
    <d v="2023-07-10T19:47:44"/>
    <m/>
    <d v="2023-07-10T00:00:00"/>
    <n v="1057"/>
    <n v="2647"/>
    <s v="61108480"/>
    <s v="61108480"/>
    <m/>
    <m/>
    <m/>
    <m/>
    <m/>
    <m/>
    <s v="SOLRECOUP"/>
    <s v="SOLRECOUP"/>
    <s v="POARECOUP"/>
    <n v="21356527"/>
    <n v="-1420.27"/>
    <m/>
    <s v="Y"/>
    <n v="1"/>
    <d v="2023-07-10T19:47:45"/>
    <s v="N"/>
    <m/>
    <m/>
    <s v="Profit Cost"/>
    <m/>
    <s v="N"/>
    <n v="-1183.56"/>
    <n v="0"/>
    <x v="2"/>
    <s v="VALIDATED"/>
    <n v="1"/>
    <s v="01.11.80.308.2013.0000"/>
    <n v="-1183.56"/>
    <s v="11"/>
    <s v="2013"/>
    <n v="5845.23"/>
    <n v="-1183.56"/>
    <s v="CREDITOR"/>
    <n v="0"/>
    <n v="0"/>
    <n v="-1183.56"/>
    <n v="-295.89"/>
    <n v="0"/>
  </r>
  <r>
    <n v="61108480"/>
    <s v="N"/>
    <n v="21356527"/>
    <s v="3000015299220003RC"/>
    <s v="CIVIL"/>
    <d v="2023-06-30T00:00:00"/>
    <d v="2023-07-10T19:47:44"/>
    <m/>
    <d v="2023-07-10T00:00:00"/>
    <n v="1057"/>
    <n v="2647"/>
    <s v="61108480"/>
    <s v="61108480"/>
    <m/>
    <m/>
    <m/>
    <m/>
    <m/>
    <m/>
    <s v="SOLRECOUP"/>
    <s v="SOLRECOUP"/>
    <s v="POARECOUP"/>
    <n v="21356527"/>
    <n v="-1420.27"/>
    <m/>
    <s v="Y"/>
    <n v="2"/>
    <d v="2023-07-10T19:47:45"/>
    <s v="N"/>
    <m/>
    <m/>
    <s v="Profit Cost"/>
    <m/>
    <s v="N"/>
    <n v="0"/>
    <n v="-236.71"/>
    <x v="2"/>
    <s v="VALIDATED"/>
    <n v="1"/>
    <s v="01.11.80.308.2013.0000"/>
    <n v="-236.71"/>
    <s v="11"/>
    <s v="2013"/>
    <n v="5845.23"/>
    <n v="-236.71"/>
    <s v="CREDITOR"/>
    <n v="0"/>
    <n v="0"/>
    <n v="-236.71"/>
    <n v="-59.1775"/>
    <n v="0"/>
  </r>
  <r>
    <n v="61108480"/>
    <s v="N"/>
    <n v="21356528"/>
    <s v="3000015299220002RC"/>
    <s v="CIVIL"/>
    <d v="2023-06-30T00:00:00"/>
    <d v="2023-07-10T19:47:44"/>
    <m/>
    <d v="2023-07-10T00:00:00"/>
    <n v="1057"/>
    <n v="2647"/>
    <s v="61108480"/>
    <s v="61108480"/>
    <m/>
    <m/>
    <m/>
    <m/>
    <m/>
    <m/>
    <s v="SOLRECOUP"/>
    <s v="SOLRECOUP"/>
    <s v="POARECOUP"/>
    <n v="21356528"/>
    <n v="-742.5"/>
    <m/>
    <s v="Y"/>
    <n v="1"/>
    <d v="2023-07-10T19:47:45"/>
    <s v="N"/>
    <m/>
    <m/>
    <s v="Expert Disbursement"/>
    <m/>
    <s v="N"/>
    <n v="-618.75"/>
    <n v="0"/>
    <x v="2"/>
    <s v="VALIDATED"/>
    <n v="1"/>
    <s v="01.11.80.308.2013.0000"/>
    <n v="-618.75"/>
    <s v="11"/>
    <s v="2013"/>
    <n v="5845.23"/>
    <n v="-618.75"/>
    <s v="CREDITOR"/>
    <n v="0"/>
    <n v="0"/>
    <n v="-618.75"/>
    <n v="0"/>
    <n v="0"/>
  </r>
  <r>
    <n v="61108480"/>
    <s v="N"/>
    <n v="21356528"/>
    <s v="3000015299220002RC"/>
    <s v="CIVIL"/>
    <d v="2023-06-30T00:00:00"/>
    <d v="2023-07-10T19:47:44"/>
    <m/>
    <d v="2023-07-10T00:00:00"/>
    <n v="1057"/>
    <n v="2647"/>
    <s v="61108480"/>
    <s v="61108480"/>
    <m/>
    <m/>
    <m/>
    <m/>
    <m/>
    <m/>
    <s v="SOLRECOUP"/>
    <s v="SOLRECOUP"/>
    <s v="POARECOUP"/>
    <n v="21356528"/>
    <n v="-742.5"/>
    <m/>
    <s v="Y"/>
    <n v="2"/>
    <d v="2023-07-10T19:47:45"/>
    <s v="N"/>
    <m/>
    <m/>
    <s v="Expert Disbursement"/>
    <m/>
    <s v="N"/>
    <n v="0"/>
    <n v="-123.75"/>
    <x v="2"/>
    <s v="VALIDATED"/>
    <n v="1"/>
    <s v="01.11.80.308.2013.0000"/>
    <n v="-123.75"/>
    <s v="11"/>
    <s v="2013"/>
    <n v="5845.23"/>
    <n v="-123.75"/>
    <s v="CREDITOR"/>
    <n v="0"/>
    <n v="0"/>
    <n v="-123.75"/>
    <n v="0"/>
    <n v="0"/>
  </r>
  <r>
    <n v="61108480"/>
    <s v="N"/>
    <n v="21356529"/>
    <s v="3000015299220006RC"/>
    <s v="CIVIL"/>
    <d v="2023-06-30T00:00:00"/>
    <d v="2023-07-10T19:47:44"/>
    <m/>
    <d v="2023-07-10T00:00:00"/>
    <n v="1057"/>
    <n v="2647"/>
    <s v="61108480"/>
    <s v="61108480"/>
    <m/>
    <m/>
    <m/>
    <m/>
    <m/>
    <m/>
    <s v="SOLRECOUP"/>
    <s v="SOLRECOUP"/>
    <s v="POARECOUP"/>
    <n v="21356529"/>
    <n v="-187.58"/>
    <m/>
    <s v="Y"/>
    <n v="1"/>
    <d v="2023-07-10T19:47:45"/>
    <s v="N"/>
    <m/>
    <m/>
    <s v="Expert Disbursement"/>
    <m/>
    <s v="N"/>
    <n v="-156.32"/>
    <n v="0"/>
    <x v="2"/>
    <s v="VALIDATED"/>
    <n v="1"/>
    <s v="01.11.80.308.2013.0000"/>
    <n v="-156.32"/>
    <s v="11"/>
    <s v="2013"/>
    <n v="5845.23"/>
    <n v="-156.32"/>
    <s v="CREDITOR"/>
    <n v="0"/>
    <n v="0"/>
    <n v="-156.32"/>
    <n v="0"/>
    <n v="0"/>
  </r>
  <r>
    <n v="61108480"/>
    <s v="N"/>
    <n v="21356529"/>
    <s v="3000015299220006RC"/>
    <s v="CIVIL"/>
    <d v="2023-06-30T00:00:00"/>
    <d v="2023-07-10T19:47:44"/>
    <m/>
    <d v="2023-07-10T00:00:00"/>
    <n v="1057"/>
    <n v="2647"/>
    <s v="61108480"/>
    <s v="61108480"/>
    <m/>
    <m/>
    <m/>
    <m/>
    <m/>
    <m/>
    <s v="SOLRECOUP"/>
    <s v="SOLRECOUP"/>
    <s v="POARECOUP"/>
    <n v="21356529"/>
    <n v="-187.58"/>
    <m/>
    <s v="Y"/>
    <n v="2"/>
    <d v="2023-07-10T19:47:45"/>
    <s v="N"/>
    <m/>
    <m/>
    <s v="Expert Disbursement"/>
    <m/>
    <s v="N"/>
    <n v="0"/>
    <n v="-31.26"/>
    <x v="2"/>
    <s v="VALIDATED"/>
    <n v="1"/>
    <s v="01.11.80.308.2013.0000"/>
    <n v="-31.26"/>
    <s v="11"/>
    <s v="2013"/>
    <n v="5845.23"/>
    <n v="-31.26"/>
    <s v="CREDITOR"/>
    <n v="0"/>
    <n v="0"/>
    <n v="-31.26"/>
    <n v="0"/>
    <n v="0"/>
  </r>
  <r>
    <n v="61108480"/>
    <s v="N"/>
    <n v="21356530"/>
    <s v="3000015299220007RC"/>
    <s v="CIVIL"/>
    <d v="2023-06-30T00:00:00"/>
    <d v="2023-07-10T19:47:44"/>
    <m/>
    <d v="2023-07-10T00:00:00"/>
    <n v="1057"/>
    <n v="2647"/>
    <s v="61108480"/>
    <s v="61108480"/>
    <m/>
    <m/>
    <m/>
    <m/>
    <m/>
    <m/>
    <s v="SOLRECOUP"/>
    <s v="SOLRECOUP"/>
    <s v="POARECOUP"/>
    <n v="21356530"/>
    <n v="-274.49"/>
    <m/>
    <s v="Y"/>
    <n v="1"/>
    <d v="2023-07-10T19:47:45"/>
    <s v="N"/>
    <m/>
    <m/>
    <s v="Expert Disbursement"/>
    <m/>
    <s v="N"/>
    <n v="-228.74"/>
    <n v="0"/>
    <x v="2"/>
    <s v="VALIDATED"/>
    <n v="1"/>
    <s v="01.11.80.308.2013.0000"/>
    <n v="-228.74"/>
    <s v="11"/>
    <s v="2013"/>
    <n v="5845.23"/>
    <n v="-228.74"/>
    <s v="CREDITOR"/>
    <n v="0"/>
    <n v="0"/>
    <n v="-228.74"/>
    <n v="0"/>
    <n v="0"/>
  </r>
  <r>
    <n v="61108480"/>
    <s v="N"/>
    <n v="21356530"/>
    <s v="3000015299220007RC"/>
    <s v="CIVIL"/>
    <d v="2023-06-30T00:00:00"/>
    <d v="2023-07-10T19:47:44"/>
    <m/>
    <d v="2023-07-10T00:00:00"/>
    <n v="1057"/>
    <n v="2647"/>
    <s v="61108480"/>
    <s v="61108480"/>
    <m/>
    <m/>
    <m/>
    <m/>
    <m/>
    <m/>
    <s v="SOLRECOUP"/>
    <s v="SOLRECOUP"/>
    <s v="POARECOUP"/>
    <n v="21356530"/>
    <n v="-274.49"/>
    <m/>
    <s v="Y"/>
    <n v="2"/>
    <d v="2023-07-10T19:47:45"/>
    <s v="N"/>
    <m/>
    <m/>
    <s v="Expert Disbursement"/>
    <m/>
    <s v="N"/>
    <n v="0"/>
    <n v="-45.75"/>
    <x v="2"/>
    <s v="VALIDATED"/>
    <n v="1"/>
    <s v="01.11.80.308.2013.0000"/>
    <n v="-45.75"/>
    <s v="11"/>
    <s v="2013"/>
    <n v="5845.23"/>
    <n v="-45.75"/>
    <s v="CREDITOR"/>
    <n v="0"/>
    <n v="0"/>
    <n v="-45.75"/>
    <n v="0"/>
    <n v="0"/>
  </r>
  <r>
    <n v="61108480"/>
    <s v="N"/>
    <n v="21356531"/>
    <s v="3000015299220005RC"/>
    <s v="CIVIL"/>
    <d v="2023-06-30T00:00:00"/>
    <d v="2023-07-10T19:47:44"/>
    <m/>
    <d v="2023-07-10T00:00:00"/>
    <n v="1057"/>
    <n v="2647"/>
    <s v="61108480"/>
    <s v="61108480"/>
    <m/>
    <m/>
    <m/>
    <m/>
    <m/>
    <m/>
    <s v="SOLRECOUP"/>
    <s v="SOLRECOUP"/>
    <s v="POARECOUP"/>
    <n v="21356531"/>
    <n v="-604.8"/>
    <m/>
    <s v="Y"/>
    <n v="1"/>
    <d v="2023-07-10T19:47:45"/>
    <s v="N"/>
    <m/>
    <m/>
    <s v="Expert Disbursement"/>
    <m/>
    <s v="N"/>
    <n v="-504"/>
    <n v="0"/>
    <x v="2"/>
    <s v="VALIDATED"/>
    <n v="1"/>
    <s v="01.11.80.308.2013.0000"/>
    <n v="-504"/>
    <s v="11"/>
    <s v="2013"/>
    <n v="5845.23"/>
    <n v="-504"/>
    <s v="CREDITOR"/>
    <n v="0"/>
    <n v="0"/>
    <n v="-504"/>
    <n v="0"/>
    <n v="0"/>
  </r>
  <r>
    <n v="61108480"/>
    <s v="N"/>
    <n v="21356531"/>
    <s v="3000015299220005RC"/>
    <s v="CIVIL"/>
    <d v="2023-06-30T00:00:00"/>
    <d v="2023-07-10T19:47:44"/>
    <m/>
    <d v="2023-07-10T00:00:00"/>
    <n v="1057"/>
    <n v="2647"/>
    <s v="61108480"/>
    <s v="61108480"/>
    <m/>
    <m/>
    <m/>
    <m/>
    <m/>
    <m/>
    <s v="SOLRECOUP"/>
    <s v="SOLRECOUP"/>
    <s v="POARECOUP"/>
    <n v="21356531"/>
    <n v="-604.8"/>
    <m/>
    <s v="Y"/>
    <n v="2"/>
    <d v="2023-07-10T19:47:45"/>
    <s v="N"/>
    <m/>
    <m/>
    <s v="Expert Disbursement"/>
    <m/>
    <s v="N"/>
    <n v="0"/>
    <n v="-100.8"/>
    <x v="2"/>
    <s v="VALIDATED"/>
    <n v="1"/>
    <s v="01.11.80.308.2013.0000"/>
    <n v="-100.8"/>
    <s v="11"/>
    <s v="2013"/>
    <n v="5845.23"/>
    <n v="-100.8"/>
    <s v="CREDITOR"/>
    <n v="0"/>
    <n v="0"/>
    <n v="-100.8"/>
    <n v="0"/>
    <n v="0"/>
  </r>
  <r>
    <n v="61108480"/>
    <s v="N"/>
    <n v="21356532"/>
    <s v="3000015299220008RC"/>
    <s v="CIVIL"/>
    <d v="2023-06-30T00:00:00"/>
    <d v="2023-07-10T19:47:44"/>
    <m/>
    <d v="2023-07-10T00:00:00"/>
    <n v="1057"/>
    <n v="2647"/>
    <s v="61108480"/>
    <s v="61108480"/>
    <m/>
    <m/>
    <m/>
    <m/>
    <m/>
    <m/>
    <s v="SOLRECOUP"/>
    <s v="SOLRECOUP"/>
    <s v="POARECOUP"/>
    <n v="21356532"/>
    <n v="-11059.73"/>
    <m/>
    <s v="Y"/>
    <n v="1"/>
    <d v="2023-07-10T19:47:45"/>
    <s v="N"/>
    <m/>
    <m/>
    <s v="Profit Cost"/>
    <m/>
    <s v="N"/>
    <n v="-9216.440000000001"/>
    <n v="0"/>
    <x v="2"/>
    <s v="VALIDATED"/>
    <n v="1"/>
    <s v="01.11.80.308.2013.0000"/>
    <n v="-9216.440000000001"/>
    <s v="11"/>
    <s v="2013"/>
    <n v="5845.23"/>
    <n v="-9216.440000000001"/>
    <s v="CREDITOR"/>
    <n v="0"/>
    <n v="0"/>
    <n v="-9216.440000000001"/>
    <n v="-2304.11"/>
    <n v="0"/>
  </r>
  <r>
    <n v="61108480"/>
    <s v="N"/>
    <n v="21356532"/>
    <s v="3000015299220008RC"/>
    <s v="CIVIL"/>
    <d v="2023-06-30T00:00:00"/>
    <d v="2023-07-10T19:47:44"/>
    <m/>
    <d v="2023-07-10T00:00:00"/>
    <n v="1057"/>
    <n v="2647"/>
    <s v="61108480"/>
    <s v="61108480"/>
    <m/>
    <m/>
    <m/>
    <m/>
    <m/>
    <m/>
    <s v="SOLRECOUP"/>
    <s v="SOLRECOUP"/>
    <s v="POARECOUP"/>
    <n v="21356532"/>
    <n v="-11059.73"/>
    <m/>
    <s v="Y"/>
    <n v="2"/>
    <d v="2023-07-10T19:47:45"/>
    <s v="N"/>
    <m/>
    <m/>
    <s v="Profit Cost"/>
    <m/>
    <s v="N"/>
    <n v="0"/>
    <n v="-1843.29"/>
    <x v="2"/>
    <s v="VALIDATED"/>
    <n v="1"/>
    <s v="01.11.80.308.2013.0000"/>
    <n v="-1843.29"/>
    <s v="11"/>
    <s v="2013"/>
    <n v="5845.23"/>
    <n v="-1843.29"/>
    <s v="CREDITOR"/>
    <n v="0"/>
    <n v="0"/>
    <n v="-1843.29"/>
    <n v="-460.8225"/>
    <n v="0"/>
  </r>
  <r>
    <n v="59981770"/>
    <s v="N"/>
    <n v="21346403"/>
    <s v="3000014327240011RC"/>
    <s v="CIVIL"/>
    <d v="2023-06-26T00:00:00"/>
    <d v="2023-07-07T19:34:21"/>
    <m/>
    <d v="2023-07-07T00:00:00"/>
    <n v="1057"/>
    <n v="2647"/>
    <s v="59981770"/>
    <s v="59981770"/>
    <m/>
    <m/>
    <m/>
    <m/>
    <m/>
    <m/>
    <s v="SOLRECOUP"/>
    <s v="SOLRECOUP"/>
    <s v="POARECOUP"/>
    <n v="21346403"/>
    <n v="-996.98"/>
    <m/>
    <s v="Y"/>
    <n v="2"/>
    <d v="2023-07-07T19:34:23"/>
    <s v="N"/>
    <m/>
    <m/>
    <s v="Expert Disbursement"/>
    <m/>
    <s v="N"/>
    <n v="0"/>
    <n v="0"/>
    <x v="9"/>
    <s v="VALIDATED"/>
    <n v="1"/>
    <s v="01.11.80.000.0000.0000"/>
    <n v="0"/>
    <s v="11"/>
    <s v="0000"/>
    <n v="5845.23"/>
    <n v="0"/>
    <s v="CREDITOR"/>
    <n v="0"/>
    <n v="0"/>
    <n v="0"/>
    <n v="0"/>
    <n v="0"/>
  </r>
  <r>
    <n v="59981770"/>
    <s v="N"/>
    <n v="21346404"/>
    <s v="3000014327240009RC"/>
    <s v="CIVIL"/>
    <d v="2023-06-26T00:00:00"/>
    <d v="2023-07-07T19:34:21"/>
    <m/>
    <d v="2023-07-07T00:00:00"/>
    <n v="1057"/>
    <n v="2647"/>
    <s v="59981770"/>
    <s v="59981770"/>
    <m/>
    <m/>
    <m/>
    <m/>
    <m/>
    <m/>
    <s v="SOLRECOUP"/>
    <s v="SOLRECOUP"/>
    <s v="POARECOUP"/>
    <n v="21346404"/>
    <n v="-365"/>
    <m/>
    <s v="Y"/>
    <n v="1"/>
    <d v="2023-07-07T19:34:23"/>
    <s v="N"/>
    <m/>
    <m/>
    <s v="Non Expert Disbursement"/>
    <m/>
    <s v="N"/>
    <n v="-365"/>
    <n v="0"/>
    <x v="9"/>
    <s v="VALIDATED"/>
    <n v="1"/>
    <s v="01.11.80.308.2013.0000"/>
    <n v="-365"/>
    <s v="11"/>
    <s v="2013"/>
    <n v="5845.23"/>
    <n v="-365"/>
    <s v="CREDITOR"/>
    <n v="0"/>
    <n v="0"/>
    <n v="-365"/>
    <n v="0"/>
    <n v="0"/>
  </r>
  <r>
    <n v="59981770"/>
    <s v="N"/>
    <n v="21346404"/>
    <s v="3000014327240009RC"/>
    <s v="CIVIL"/>
    <d v="2023-06-26T00:00:00"/>
    <d v="2023-07-07T19:34:21"/>
    <m/>
    <d v="2023-07-07T00:00:00"/>
    <n v="1057"/>
    <n v="2647"/>
    <s v="59981770"/>
    <s v="59981770"/>
    <m/>
    <m/>
    <m/>
    <m/>
    <m/>
    <m/>
    <s v="SOLRECOUP"/>
    <s v="SOLRECOUP"/>
    <s v="POARECOUP"/>
    <n v="21346404"/>
    <n v="-365"/>
    <m/>
    <s v="Y"/>
    <n v="2"/>
    <d v="2023-07-07T19:34:23"/>
    <s v="N"/>
    <m/>
    <m/>
    <s v="Non Expert Disbursement"/>
    <m/>
    <s v="N"/>
    <n v="0"/>
    <n v="0"/>
    <x v="9"/>
    <s v="VALIDATED"/>
    <n v="1"/>
    <s v="01.11.80.000.0000.0000"/>
    <n v="0"/>
    <s v="11"/>
    <s v="0000"/>
    <n v="5845.23"/>
    <n v="0"/>
    <s v="CREDITOR"/>
    <n v="0"/>
    <n v="0"/>
    <n v="0"/>
    <n v="0"/>
    <n v="0"/>
  </r>
  <r>
    <n v="59981770"/>
    <s v="N"/>
    <n v="21346405"/>
    <s v="3000014327240010RC"/>
    <s v="CIVIL"/>
    <d v="2023-06-26T00:00:00"/>
    <d v="2023-07-07T19:34:21"/>
    <m/>
    <d v="2023-07-07T00:00:00"/>
    <n v="1057"/>
    <n v="2647"/>
    <s v="59981770"/>
    <s v="59981770"/>
    <m/>
    <m/>
    <m/>
    <m/>
    <m/>
    <m/>
    <s v="SOLRECOUP"/>
    <s v="SOLRECOUP"/>
    <s v="POARECOUP"/>
    <n v="21346405"/>
    <n v="-1529.4"/>
    <m/>
    <s v="Y"/>
    <n v="1"/>
    <d v="2023-07-07T19:34:23"/>
    <s v="N"/>
    <m/>
    <m/>
    <s v="Expert Disbursement"/>
    <m/>
    <s v="N"/>
    <n v="-1274.5"/>
    <n v="0"/>
    <x v="9"/>
    <s v="VALIDATED"/>
    <n v="1"/>
    <s v="01.11.80.308.2013.0000"/>
    <n v="-1274.5"/>
    <s v="11"/>
    <s v="2013"/>
    <n v="5845.23"/>
    <n v="-1274.5"/>
    <s v="CREDITOR"/>
    <n v="0"/>
    <n v="0"/>
    <n v="-1274.5"/>
    <n v="0"/>
    <n v="0"/>
  </r>
  <r>
    <n v="59981770"/>
    <s v="N"/>
    <n v="21346405"/>
    <s v="3000014327240010RC"/>
    <s v="CIVIL"/>
    <d v="2023-06-26T00:00:00"/>
    <d v="2023-07-07T19:34:21"/>
    <m/>
    <d v="2023-07-07T00:00:00"/>
    <n v="1057"/>
    <n v="2647"/>
    <s v="59981770"/>
    <s v="59981770"/>
    <m/>
    <m/>
    <m/>
    <m/>
    <m/>
    <m/>
    <s v="SOLRECOUP"/>
    <s v="SOLRECOUP"/>
    <s v="POARECOUP"/>
    <n v="21346405"/>
    <n v="-1529.4"/>
    <m/>
    <s v="Y"/>
    <n v="2"/>
    <d v="2023-07-07T19:34:23"/>
    <s v="N"/>
    <m/>
    <m/>
    <s v="Expert Disbursement"/>
    <m/>
    <s v="N"/>
    <n v="0"/>
    <n v="-254.9"/>
    <x v="9"/>
    <s v="VALIDATED"/>
    <n v="1"/>
    <s v="01.11.80.308.2013.0000"/>
    <n v="-254.9"/>
    <s v="11"/>
    <s v="2013"/>
    <n v="5845.23"/>
    <n v="-254.9"/>
    <s v="CREDITOR"/>
    <n v="0"/>
    <n v="0"/>
    <n v="-254.9"/>
    <n v="0"/>
    <n v="0"/>
  </r>
  <r>
    <n v="59981770"/>
    <s v="N"/>
    <n v="21346406"/>
    <s v="3000014327240014RC"/>
    <s v="CIVIL"/>
    <d v="2023-06-26T00:00:00"/>
    <d v="2023-07-07T19:34:21"/>
    <m/>
    <d v="2023-07-07T00:00:00"/>
    <n v="1057"/>
    <n v="2647"/>
    <s v="59981770"/>
    <s v="59981770"/>
    <m/>
    <m/>
    <m/>
    <m/>
    <m/>
    <m/>
    <s v="SOLRECOUP"/>
    <s v="SOLRECOUP"/>
    <s v="POARECOUP"/>
    <n v="21346406"/>
    <n v="-14179.2"/>
    <m/>
    <s v="Y"/>
    <n v="1"/>
    <d v="2023-07-07T19:34:23"/>
    <s v="N"/>
    <m/>
    <m/>
    <s v="Profit Cost"/>
    <m/>
    <s v="N"/>
    <n v="-11816"/>
    <n v="0"/>
    <x v="9"/>
    <s v="VALIDATED"/>
    <n v="1"/>
    <s v="01.11.80.308.2013.0000"/>
    <n v="-11816"/>
    <s v="11"/>
    <s v="2013"/>
    <n v="5845.23"/>
    <n v="-11816"/>
    <s v="CREDITOR"/>
    <n v="0"/>
    <n v="0"/>
    <n v="-11816"/>
    <n v="-2954"/>
    <n v="0"/>
  </r>
  <r>
    <n v="59981770"/>
    <s v="N"/>
    <n v="21346406"/>
    <s v="3000014327240014RC"/>
    <s v="CIVIL"/>
    <d v="2023-06-26T00:00:00"/>
    <d v="2023-07-07T19:34:21"/>
    <m/>
    <d v="2023-07-07T00:00:00"/>
    <n v="1057"/>
    <n v="2647"/>
    <s v="59981770"/>
    <s v="59981770"/>
    <m/>
    <m/>
    <m/>
    <m/>
    <m/>
    <m/>
    <s v="SOLRECOUP"/>
    <s v="SOLRECOUP"/>
    <s v="POARECOUP"/>
    <n v="21346406"/>
    <n v="-14179.2"/>
    <m/>
    <s v="Y"/>
    <n v="2"/>
    <d v="2023-07-07T19:34:23"/>
    <s v="N"/>
    <m/>
    <m/>
    <s v="Profit Cost"/>
    <m/>
    <s v="N"/>
    <n v="0"/>
    <n v="-2363.2"/>
    <x v="9"/>
    <s v="VALIDATED"/>
    <n v="1"/>
    <s v="01.11.80.308.2013.0000"/>
    <n v="-2363.2"/>
    <s v="11"/>
    <s v="2013"/>
    <n v="5845.23"/>
    <n v="-2363.2"/>
    <s v="CREDITOR"/>
    <n v="0"/>
    <n v="0"/>
    <n v="-2363.2"/>
    <n v="-590.8"/>
    <n v="0"/>
  </r>
  <r>
    <n v="59981770"/>
    <s v="N"/>
    <n v="21346396"/>
    <s v="3000014327240001RC"/>
    <s v="CIVIL"/>
    <d v="2023-06-26T00:00:00"/>
    <d v="2023-07-07T19:34:21"/>
    <m/>
    <d v="2023-07-07T00:00:00"/>
    <n v="1057"/>
    <n v="2647"/>
    <s v="59981770"/>
    <s v="59981770"/>
    <m/>
    <m/>
    <m/>
    <m/>
    <m/>
    <m/>
    <s v="SOLRECOUP"/>
    <s v="SOLRECOUP"/>
    <s v="POARECOUP"/>
    <n v="21346396"/>
    <n v="-654"/>
    <m/>
    <s v="Y"/>
    <n v="2"/>
    <d v="2023-07-07T19:34:23"/>
    <s v="N"/>
    <m/>
    <m/>
    <s v="Expert Disbursement"/>
    <m/>
    <s v="N"/>
    <n v="0"/>
    <n v="-109"/>
    <x v="9"/>
    <s v="VALIDATED"/>
    <n v="1"/>
    <s v="01.11.80.308.2013.0000"/>
    <n v="-109"/>
    <s v="11"/>
    <s v="2013"/>
    <n v="5845.23"/>
    <n v="-109"/>
    <s v="CREDITOR"/>
    <n v="0"/>
    <n v="0"/>
    <n v="-109"/>
    <n v="0"/>
    <n v="0"/>
  </r>
  <r>
    <n v="59981770"/>
    <s v="N"/>
    <n v="21346396"/>
    <s v="3000014327240001RC"/>
    <s v="CIVIL"/>
    <d v="2023-06-26T00:00:00"/>
    <d v="2023-07-07T19:34:21"/>
    <m/>
    <d v="2023-07-07T00:00:00"/>
    <n v="1057"/>
    <n v="2647"/>
    <s v="59981770"/>
    <s v="59981770"/>
    <m/>
    <m/>
    <m/>
    <m/>
    <m/>
    <m/>
    <s v="SOLRECOUP"/>
    <s v="SOLRECOUP"/>
    <s v="POARECOUP"/>
    <n v="21346396"/>
    <n v="-654"/>
    <m/>
    <s v="Y"/>
    <n v="1"/>
    <d v="2023-07-07T19:34:23"/>
    <s v="N"/>
    <m/>
    <m/>
    <s v="Expert Disbursement"/>
    <m/>
    <s v="N"/>
    <n v="-545"/>
    <n v="0"/>
    <x v="9"/>
    <s v="VALIDATED"/>
    <n v="1"/>
    <s v="01.11.80.308.2013.0000"/>
    <n v="-545"/>
    <s v="11"/>
    <s v="2013"/>
    <n v="5845.23"/>
    <n v="-545"/>
    <s v="CREDITOR"/>
    <n v="0"/>
    <n v="0"/>
    <n v="-545"/>
    <n v="0"/>
    <n v="0"/>
  </r>
  <r>
    <n v="59981770"/>
    <s v="N"/>
    <n v="21346397"/>
    <s v="3000014327240002RC"/>
    <s v="CIVIL"/>
    <d v="2023-06-26T00:00:00"/>
    <d v="2023-07-07T19:34:21"/>
    <m/>
    <d v="2023-07-07T00:00:00"/>
    <n v="1057"/>
    <n v="2647"/>
    <s v="59981770"/>
    <s v="59981770"/>
    <m/>
    <m/>
    <m/>
    <m/>
    <m/>
    <m/>
    <s v="SOLRECOUP"/>
    <s v="SOLRECOUP"/>
    <s v="POARECOUP"/>
    <n v="21346397"/>
    <n v="-510"/>
    <m/>
    <s v="Y"/>
    <n v="2"/>
    <d v="2023-07-07T19:34:23"/>
    <s v="N"/>
    <m/>
    <m/>
    <s v="Expert Disbursement"/>
    <m/>
    <s v="N"/>
    <n v="0"/>
    <n v="-85"/>
    <x v="9"/>
    <s v="VALIDATED"/>
    <n v="1"/>
    <s v="01.11.80.308.2013.0000"/>
    <n v="-85"/>
    <s v="11"/>
    <s v="2013"/>
    <n v="5845.23"/>
    <n v="-85"/>
    <s v="CREDITOR"/>
    <n v="0"/>
    <n v="0"/>
    <n v="-85"/>
    <n v="0"/>
    <n v="0"/>
  </r>
  <r>
    <n v="59981770"/>
    <s v="N"/>
    <n v="21346397"/>
    <s v="3000014327240002RC"/>
    <s v="CIVIL"/>
    <d v="2023-06-26T00:00:00"/>
    <d v="2023-07-07T19:34:21"/>
    <m/>
    <d v="2023-07-07T00:00:00"/>
    <n v="1057"/>
    <n v="2647"/>
    <s v="59981770"/>
    <s v="59981770"/>
    <m/>
    <m/>
    <m/>
    <m/>
    <m/>
    <m/>
    <s v="SOLRECOUP"/>
    <s v="SOLRECOUP"/>
    <s v="POARECOUP"/>
    <n v="21346397"/>
    <n v="-510"/>
    <m/>
    <s v="Y"/>
    <n v="1"/>
    <d v="2023-07-07T19:34:23"/>
    <s v="N"/>
    <m/>
    <m/>
    <s v="Expert Disbursement"/>
    <m/>
    <s v="N"/>
    <n v="-425"/>
    <n v="0"/>
    <x v="9"/>
    <s v="VALIDATED"/>
    <n v="1"/>
    <s v="01.11.80.308.2013.0000"/>
    <n v="-425"/>
    <s v="11"/>
    <s v="2013"/>
    <n v="5845.23"/>
    <n v="-425"/>
    <s v="CREDITOR"/>
    <n v="0"/>
    <n v="0"/>
    <n v="-425"/>
    <n v="0"/>
    <n v="0"/>
  </r>
  <r>
    <n v="59981770"/>
    <s v="N"/>
    <n v="21346398"/>
    <s v="3000014327240004RC"/>
    <s v="CIVIL"/>
    <d v="2023-06-26T00:00:00"/>
    <d v="2023-07-07T19:34:21"/>
    <m/>
    <d v="2023-07-07T00:00:00"/>
    <n v="1057"/>
    <n v="2647"/>
    <s v="59981770"/>
    <s v="59981770"/>
    <m/>
    <m/>
    <m/>
    <m/>
    <m/>
    <m/>
    <s v="SOLRECOUP"/>
    <s v="SOLRECOUP"/>
    <s v="POARECOUP"/>
    <n v="21346398"/>
    <n v="-2755.2"/>
    <m/>
    <s v="Y"/>
    <n v="2"/>
    <d v="2023-07-07T19:34:23"/>
    <s v="N"/>
    <m/>
    <m/>
    <s v="Profit Cost"/>
    <m/>
    <s v="N"/>
    <n v="0"/>
    <n v="-459.2"/>
    <x v="9"/>
    <s v="VALIDATED"/>
    <n v="1"/>
    <s v="01.11.80.308.2013.0000"/>
    <n v="-459.2"/>
    <s v="11"/>
    <s v="2013"/>
    <n v="5845.23"/>
    <n v="-459.2"/>
    <s v="CREDITOR"/>
    <n v="0"/>
    <n v="0"/>
    <n v="-459.2"/>
    <n v="-114.8"/>
    <n v="0"/>
  </r>
  <r>
    <n v="59981770"/>
    <s v="N"/>
    <n v="21346398"/>
    <s v="3000014327240004RC"/>
    <s v="CIVIL"/>
    <d v="2023-06-26T00:00:00"/>
    <d v="2023-07-07T19:34:21"/>
    <m/>
    <d v="2023-07-07T00:00:00"/>
    <n v="1057"/>
    <n v="2647"/>
    <s v="59981770"/>
    <s v="59981770"/>
    <m/>
    <m/>
    <m/>
    <m/>
    <m/>
    <m/>
    <s v="SOLRECOUP"/>
    <s v="SOLRECOUP"/>
    <s v="POARECOUP"/>
    <n v="21346398"/>
    <n v="-2755.2"/>
    <m/>
    <s v="Y"/>
    <n v="1"/>
    <d v="2023-07-07T19:34:23"/>
    <s v="N"/>
    <m/>
    <m/>
    <s v="Profit Cost"/>
    <m/>
    <s v="N"/>
    <n v="-2296"/>
    <n v="0"/>
    <x v="9"/>
    <s v="VALIDATED"/>
    <n v="1"/>
    <s v="01.11.80.308.2013.0000"/>
    <n v="-2296"/>
    <s v="11"/>
    <s v="2013"/>
    <n v="5845.23"/>
    <n v="-2296"/>
    <s v="CREDITOR"/>
    <n v="0"/>
    <n v="0"/>
    <n v="-2296"/>
    <n v="-574"/>
    <n v="0"/>
  </r>
  <r>
    <n v="59981770"/>
    <s v="N"/>
    <n v="21346399"/>
    <s v="3000014327240003RC"/>
    <s v="CIVIL"/>
    <d v="2023-06-26T00:00:00"/>
    <d v="2023-07-07T19:34:21"/>
    <m/>
    <d v="2023-07-07T00:00:00"/>
    <n v="1057"/>
    <n v="2647"/>
    <s v="59981770"/>
    <s v="59981770"/>
    <m/>
    <m/>
    <m/>
    <m/>
    <m/>
    <m/>
    <s v="SOLRECOUP"/>
    <s v="SOLRECOUP"/>
    <s v="POARECOUP"/>
    <n v="21346399"/>
    <n v="-118.2"/>
    <m/>
    <s v="Y"/>
    <n v="2"/>
    <d v="2023-07-07T19:34:23"/>
    <s v="N"/>
    <m/>
    <m/>
    <s v="Expert Disbursement"/>
    <m/>
    <s v="N"/>
    <n v="0"/>
    <n v="-19.7"/>
    <x v="9"/>
    <s v="VALIDATED"/>
    <n v="1"/>
    <s v="01.11.80.308.2013.0000"/>
    <n v="-19.7"/>
    <s v="11"/>
    <s v="2013"/>
    <n v="5845.23"/>
    <n v="-19.7"/>
    <s v="CREDITOR"/>
    <n v="0"/>
    <n v="0"/>
    <n v="-19.7"/>
    <n v="0"/>
    <n v="0"/>
  </r>
  <r>
    <n v="59981770"/>
    <s v="N"/>
    <n v="21346399"/>
    <s v="3000014327240003RC"/>
    <s v="CIVIL"/>
    <d v="2023-06-26T00:00:00"/>
    <d v="2023-07-07T19:34:21"/>
    <m/>
    <d v="2023-07-07T00:00:00"/>
    <n v="1057"/>
    <n v="2647"/>
    <s v="59981770"/>
    <s v="59981770"/>
    <m/>
    <m/>
    <m/>
    <m/>
    <m/>
    <m/>
    <s v="SOLRECOUP"/>
    <s v="SOLRECOUP"/>
    <s v="POARECOUP"/>
    <n v="21346399"/>
    <n v="-118.2"/>
    <m/>
    <s v="Y"/>
    <n v="1"/>
    <d v="2023-07-07T19:34:23"/>
    <s v="N"/>
    <m/>
    <m/>
    <s v="Expert Disbursement"/>
    <m/>
    <s v="N"/>
    <n v="-98.5"/>
    <n v="0"/>
    <x v="9"/>
    <s v="VALIDATED"/>
    <n v="1"/>
    <s v="01.11.80.308.2013.0000"/>
    <n v="-98.5"/>
    <s v="11"/>
    <s v="2013"/>
    <n v="5845.23"/>
    <n v="-98.5"/>
    <s v="CREDITOR"/>
    <n v="0"/>
    <n v="0"/>
    <n v="-98.5"/>
    <n v="0"/>
    <n v="0"/>
  </r>
  <r>
    <n v="59981770"/>
    <s v="N"/>
    <n v="21346400"/>
    <s v="3000014327240006RC"/>
    <s v="CIVIL"/>
    <d v="2023-06-26T00:00:00"/>
    <d v="2023-07-07T19:34:21"/>
    <m/>
    <d v="2023-07-07T00:00:00"/>
    <n v="1057"/>
    <n v="2647"/>
    <s v="59981770"/>
    <s v="59981770"/>
    <m/>
    <m/>
    <m/>
    <m/>
    <m/>
    <m/>
    <s v="SOLRECOUP"/>
    <s v="SOLRECOUP"/>
    <s v="POARECOUP"/>
    <n v="21346400"/>
    <n v="-561"/>
    <m/>
    <s v="Y"/>
    <n v="2"/>
    <d v="2023-07-07T19:34:23"/>
    <s v="N"/>
    <m/>
    <m/>
    <s v="Expert Disbursement"/>
    <m/>
    <s v="N"/>
    <n v="0"/>
    <n v="-93.5"/>
    <x v="9"/>
    <s v="VALIDATED"/>
    <n v="1"/>
    <s v="01.11.80.308.2013.0000"/>
    <n v="-93.5"/>
    <s v="11"/>
    <s v="2013"/>
    <n v="5845.23"/>
    <n v="-93.5"/>
    <s v="CREDITOR"/>
    <n v="0"/>
    <n v="0"/>
    <n v="-93.5"/>
    <n v="0"/>
    <n v="0"/>
  </r>
  <r>
    <n v="61823782"/>
    <s v="N"/>
    <n v="21321079"/>
    <s v="3000015893740002"/>
    <s v="CIVIL"/>
    <d v="2023-06-28T00:00:00"/>
    <d v="2023-07-03T19:04:52"/>
    <m/>
    <d v="2023-07-03T00:00:00"/>
    <n v="1060"/>
    <n v="2670"/>
    <s v="61823782"/>
    <s v="61823782"/>
    <m/>
    <m/>
    <n v="22781648"/>
    <m/>
    <m/>
    <m/>
    <s v="SOLPOA"/>
    <s v="SOLPOA"/>
    <s v="CCMS"/>
    <n v="21321079"/>
    <n v="54"/>
    <m/>
    <s v="N"/>
    <n v="1"/>
    <d v="2023-07-03T19:04:57"/>
    <s v="N"/>
    <s v="Non Expert Disbursement"/>
    <s v="Non Expert Disbursement"/>
    <s v="Non Expert Disbursement"/>
    <s v="CATHERINE ROBLIN"/>
    <s v="N"/>
    <n v="45"/>
    <n v="9"/>
    <x v="3"/>
    <s v="VALIDATED"/>
    <n v="1"/>
    <s v="01.11.80.305.2012.0000"/>
    <n v="45"/>
    <s v="11"/>
    <s v="2012"/>
    <n v="1359.86"/>
    <n v="45"/>
    <s v="CREDITOR"/>
    <n v="45"/>
    <n v="0"/>
    <n v="0"/>
    <n v="0"/>
    <n v="0"/>
  </r>
  <r>
    <n v="62403749"/>
    <s v="N"/>
    <n v="21321057"/>
    <s v="3000016377090002"/>
    <s v="CIVIL"/>
    <d v="2023-06-28T00:00:00"/>
    <d v="2023-07-03T19:04:52"/>
    <m/>
    <d v="2023-07-03T00:00:00"/>
    <n v="1060"/>
    <n v="2670"/>
    <s v="62403749"/>
    <s v="62403749"/>
    <m/>
    <m/>
    <n v="22781602"/>
    <m/>
    <m/>
    <m/>
    <s v="SOLPOA"/>
    <s v="SOLPOA"/>
    <s v="CCMS"/>
    <n v="21321057"/>
    <n v="120.96"/>
    <m/>
    <s v="N"/>
    <n v="1"/>
    <d v="2023-07-03T19:04:57"/>
    <s v="N"/>
    <s v="Expert Cost"/>
    <s v="Expert Cost"/>
    <s v="Expert Disbursement"/>
    <s v="CATHERINE ROBLIN"/>
    <s v="N"/>
    <n v="100.8"/>
    <n v="20.16"/>
    <x v="3"/>
    <s v="VALIDATED"/>
    <n v="1"/>
    <s v="01.11.80.308.2012.0000"/>
    <n v="100.8"/>
    <s v="11"/>
    <s v="2012"/>
    <n v="1359.86"/>
    <n v="100.8"/>
    <s v="CREDITOR"/>
    <n v="100.8"/>
    <n v="0"/>
    <n v="0"/>
    <n v="0"/>
    <n v="0"/>
  </r>
  <r>
    <n v="62403749"/>
    <s v="N"/>
    <n v="21321064"/>
    <s v="3000016377090003"/>
    <s v="CIVIL"/>
    <d v="2023-06-28T00:00:00"/>
    <d v="2023-07-03T19:04:52"/>
    <m/>
    <d v="2023-07-03T00:00:00"/>
    <n v="1060"/>
    <n v="2670"/>
    <s v="62403749"/>
    <s v="62403749"/>
    <m/>
    <m/>
    <n v="22781552"/>
    <m/>
    <m/>
    <m/>
    <s v="SOLPOA"/>
    <s v="SOLPOA"/>
    <s v="CCMS"/>
    <n v="21321064"/>
    <n v="169.44"/>
    <m/>
    <s v="N"/>
    <n v="1"/>
    <d v="2023-07-03T19:04:57"/>
    <s v="N"/>
    <s v="Expert Cost"/>
    <s v="Expert Cost"/>
    <s v="Expert Disbursement"/>
    <s v="CATHERINE ROBLIN"/>
    <s v="N"/>
    <n v="141.2"/>
    <n v="28.24"/>
    <x v="3"/>
    <s v="VALIDATED"/>
    <n v="1"/>
    <s v="01.11.80.308.2012.0000"/>
    <n v="141.2"/>
    <s v="11"/>
    <s v="2012"/>
    <n v="1359.86"/>
    <n v="141.2"/>
    <s v="CREDITOR"/>
    <n v="141.2"/>
    <n v="0"/>
    <n v="0"/>
    <n v="0"/>
    <n v="0"/>
  </r>
  <r>
    <n v="61413508"/>
    <s v="N"/>
    <n v="21320927"/>
    <s v="3000015554010008"/>
    <s v="CIVIL"/>
    <d v="2023-06-28T00:00:00"/>
    <d v="2023-07-03T19:04:52"/>
    <m/>
    <d v="2023-07-03T00:00:00"/>
    <n v="1060"/>
    <n v="2670"/>
    <s v="61413508"/>
    <s v="61413508"/>
    <m/>
    <m/>
    <n v="22781504"/>
    <m/>
    <m/>
    <m/>
    <s v="SOLPOA"/>
    <s v="SOLPOA"/>
    <s v="CCMS"/>
    <n v="21320927"/>
    <n v="740.8099999999999"/>
    <m/>
    <s v="N"/>
    <n v="1"/>
    <d v="2023-07-03T19:04:57"/>
    <s v="N"/>
    <s v="Expert Cost"/>
    <s v="Expert Cost"/>
    <s v="Expert Disbursement"/>
    <s v="CATHERINE ROBLIN"/>
    <s v="N"/>
    <n v="617.34"/>
    <n v="123.47"/>
    <x v="3"/>
    <s v="VALIDATED"/>
    <n v="1"/>
    <s v="01.11.80.308.2012.0000"/>
    <n v="617.34"/>
    <s v="11"/>
    <s v="2012"/>
    <n v="1359.86"/>
    <n v="617.34"/>
    <s v="CREDITOR"/>
    <n v="617.34"/>
    <n v="0"/>
    <n v="0"/>
    <n v="0"/>
    <n v="0"/>
  </r>
  <r>
    <n v="61413508"/>
    <s v="N"/>
    <n v="21321104"/>
    <s v="3000015554010009"/>
    <s v="CIVIL"/>
    <d v="2023-06-28T00:00:00"/>
    <d v="2023-07-03T19:04:52"/>
    <m/>
    <d v="2023-07-03T00:00:00"/>
    <n v="1060"/>
    <n v="2670"/>
    <s v="61413508"/>
    <s v="61413508"/>
    <m/>
    <m/>
    <n v="22781468"/>
    <m/>
    <m/>
    <m/>
    <s v="SOLPOA"/>
    <s v="SOLPOA"/>
    <s v="CCMS"/>
    <n v="21321104"/>
    <n v="366.62"/>
    <m/>
    <s v="N"/>
    <n v="1"/>
    <d v="2023-07-03T19:04:57"/>
    <s v="N"/>
    <s v="Expert Cost"/>
    <s v="Expert Cost"/>
    <s v="Expert Disbursement"/>
    <s v="CATHERINE ROBLIN"/>
    <s v="N"/>
    <n v="305.52"/>
    <n v="61.1"/>
    <x v="3"/>
    <s v="VALIDATED"/>
    <n v="1"/>
    <s v="01.11.80.308.2012.0000"/>
    <n v="305.52"/>
    <s v="11"/>
    <s v="2012"/>
    <n v="1359.86"/>
    <n v="305.52"/>
    <s v="CREDITOR"/>
    <n v="305.52"/>
    <n v="0"/>
    <n v="0"/>
    <n v="0"/>
    <n v="0"/>
  </r>
  <r>
    <n v="62101537"/>
    <s v="N"/>
    <n v="21321124"/>
    <s v="3000016128490002"/>
    <s v="CIVIL"/>
    <d v="2023-06-28T00:00:00"/>
    <d v="2023-07-03T19:04:52"/>
    <m/>
    <d v="2023-07-03T00:00:00"/>
    <n v="1060"/>
    <n v="2670"/>
    <s v="62101537"/>
    <s v="62101537"/>
    <m/>
    <m/>
    <n v="22781420"/>
    <m/>
    <m/>
    <m/>
    <s v="SOLPOA"/>
    <s v="SOLPOA"/>
    <s v="CCMS"/>
    <n v="21321124"/>
    <n v="180"/>
    <m/>
    <s v="N"/>
    <n v="1"/>
    <d v="2023-07-03T19:04:58"/>
    <s v="N"/>
    <s v="Expert Cost"/>
    <s v="Expert Cost"/>
    <s v="Expert Disbursement"/>
    <s v="CHARMAINE EARLEY"/>
    <s v="N"/>
    <n v="150"/>
    <n v="30"/>
    <x v="3"/>
    <s v="VALIDATED"/>
    <n v="1"/>
    <s v="01.11.80.308.2012.0000"/>
    <n v="150"/>
    <s v="11"/>
    <s v="2012"/>
    <n v="1359.86"/>
    <n v="150"/>
    <s v="CREDITOR"/>
    <n v="150"/>
    <n v="0"/>
    <n v="0"/>
    <n v="0"/>
    <n v="0"/>
  </r>
  <r>
    <n v="62289525"/>
    <s v="N"/>
    <n v="21320137"/>
    <s v="3000016282020002"/>
    <s v="CIVIL"/>
    <d v="2023-06-27T00:00:00"/>
    <d v="2023-07-03T19:04:24"/>
    <m/>
    <d v="2023-07-03T00:00:00"/>
    <n v="1082"/>
    <n v="18162"/>
    <s v="62289525"/>
    <s v="62289525"/>
    <m/>
    <m/>
    <n v="22775070"/>
    <m/>
    <m/>
    <m/>
    <s v="SOLPOA"/>
    <s v="SOLPOA"/>
    <s v="CCMS"/>
    <n v="21320137"/>
    <n v="50"/>
    <m/>
    <s v="N"/>
    <n v="1"/>
    <d v="2023-07-03T19:04:29"/>
    <s v="N"/>
    <s v="Non Expert Disbursement"/>
    <s v="Non Expert Disbursement"/>
    <s v="Non Expert Disbursement"/>
    <s v="Sallie-Anne O'Byrne"/>
    <s v="N"/>
    <n v="50"/>
    <n v="0"/>
    <x v="3"/>
    <s v="VALIDATED"/>
    <n v="1"/>
    <s v="01.11.80.308.2012.0000"/>
    <n v="50"/>
    <s v="11"/>
    <s v="2012"/>
    <n v="4489.43"/>
    <n v="50"/>
    <s v="CREDITOR"/>
    <n v="50"/>
    <n v="0"/>
    <n v="0"/>
    <n v="0"/>
    <n v="0"/>
  </r>
  <r>
    <n v="55610987"/>
    <s v="N"/>
    <n v="21344054"/>
    <s v="3000013133350006"/>
    <s v="CIVIL"/>
    <d v="2023-06-27T00:00:00"/>
    <d v="2023-07-07T19:03:00"/>
    <m/>
    <d v="2023-07-07T00:00:00"/>
    <n v="1082"/>
    <n v="18162"/>
    <s v="55610987"/>
    <s v="55610987"/>
    <m/>
    <m/>
    <n v="22774880"/>
    <m/>
    <m/>
    <m/>
    <s v="SOLFIN"/>
    <s v="SOLFIN"/>
    <s v="CCMS"/>
    <n v="21344054"/>
    <n v="8464.389999999999"/>
    <m/>
    <s v="N"/>
    <n v="3"/>
    <d v="2023-07-07T19:03:21"/>
    <s v="Y"/>
    <s v="Psychologist"/>
    <s v="Public Law Children"/>
    <s v="Expert Disbursement"/>
    <s v="lh"/>
    <s v="Y"/>
    <n v="178"/>
    <n v="35.6"/>
    <x v="9"/>
    <s v="VALIDATED"/>
    <n v="1"/>
    <s v="01.11.80.308.6300.0000"/>
    <n v="178"/>
    <s v="11"/>
    <s v="6300"/>
    <n v="4489.43"/>
    <n v="178"/>
    <s v="CREDITOR"/>
    <n v="0"/>
    <n v="0"/>
    <n v="0"/>
    <n v="0"/>
    <n v="178"/>
  </r>
  <r>
    <n v="55610987"/>
    <s v="N"/>
    <n v="21344054"/>
    <s v="3000013133350006"/>
    <s v="CIVIL"/>
    <d v="2023-06-27T00:00:00"/>
    <d v="2023-07-07T19:03:00"/>
    <m/>
    <d v="2023-07-07T00:00:00"/>
    <n v="1082"/>
    <n v="18162"/>
    <s v="55610987"/>
    <s v="55610987"/>
    <m/>
    <m/>
    <n v="22774880"/>
    <m/>
    <m/>
    <m/>
    <s v="SOLFIN"/>
    <s v="SOLFIN"/>
    <s v="CCMS"/>
    <n v="21344054"/>
    <n v="8464.389999999999"/>
    <m/>
    <s v="N"/>
    <n v="8"/>
    <d v="2023-07-07T19:03:21"/>
    <s v="Y"/>
    <s v="Final Hearing - 1 Day"/>
    <s v="Public Law Children"/>
    <s v="Advocacy"/>
    <s v="LH"/>
    <s v="Y"/>
    <n v="696.1"/>
    <n v="139.22"/>
    <x v="9"/>
    <s v="VALIDATED"/>
    <n v="1"/>
    <s v="01.11.80.308.6100.0000"/>
    <n v="696.1"/>
    <s v="11"/>
    <s v="6100"/>
    <n v="4489.43"/>
    <n v="696.1"/>
    <s v="CREDITOR"/>
    <n v="0"/>
    <n v="0"/>
    <n v="0"/>
    <n v="0"/>
    <n v="696.1"/>
  </r>
  <r>
    <n v="55610987"/>
    <s v="N"/>
    <n v="21344054"/>
    <s v="3000013133350006"/>
    <s v="CIVIL"/>
    <d v="2023-06-27T00:00:00"/>
    <d v="2023-07-07T19:03:00"/>
    <m/>
    <d v="2023-07-07T00:00:00"/>
    <n v="1082"/>
    <n v="18162"/>
    <s v="55610987"/>
    <s v="55610987"/>
    <m/>
    <m/>
    <n v="22774880"/>
    <m/>
    <m/>
    <m/>
    <s v="SOLFIN"/>
    <s v="SOLFIN"/>
    <s v="CCMS"/>
    <n v="21344054"/>
    <n v="8464.389999999999"/>
    <m/>
    <s v="N"/>
    <n v="2"/>
    <d v="2023-07-07T19:03:21"/>
    <s v="Y"/>
    <s v="Psychologist"/>
    <s v="Public Law Children"/>
    <s v="Expert Disbursement"/>
    <s v="lh"/>
    <s v="Y"/>
    <n v="402.07"/>
    <n v="80.41"/>
    <x v="9"/>
    <s v="VALIDATED"/>
    <n v="1"/>
    <s v="01.11.80.308.6300.0000"/>
    <n v="402.07"/>
    <s v="11"/>
    <s v="6300"/>
    <n v="4489.43"/>
    <n v="402.07"/>
    <s v="CREDITOR"/>
    <n v="0"/>
    <n v="0"/>
    <n v="0"/>
    <n v="0"/>
    <n v="402.07"/>
  </r>
  <r>
    <n v="55610987"/>
    <s v="N"/>
    <n v="21344054"/>
    <s v="3000013133350006"/>
    <s v="CIVIL"/>
    <d v="2023-06-27T00:00:00"/>
    <d v="2023-07-07T19:03:00"/>
    <m/>
    <d v="2023-07-07T00:00:00"/>
    <n v="1082"/>
    <n v="18162"/>
    <s v="55610987"/>
    <s v="55610987"/>
    <m/>
    <m/>
    <n v="22774880"/>
    <m/>
    <m/>
    <m/>
    <s v="SOLFIN"/>
    <s v="SOLFIN"/>
    <s v="CCMS"/>
    <n v="21344054"/>
    <n v="8464.389999999999"/>
    <m/>
    <s v="N"/>
    <n v="1"/>
    <d v="2023-07-07T19:03:21"/>
    <s v="Y"/>
    <s v="Final Hearing Court Bundle/Advocate"/>
    <s v="Public Law Children"/>
    <s v="Advocacy"/>
    <s v="LH"/>
    <s v="Y"/>
    <n v="239.4"/>
    <n v="47.88"/>
    <x v="9"/>
    <s v="VALIDATED"/>
    <n v="1"/>
    <s v="01.11.80.308.6100.0000"/>
    <n v="239.4"/>
    <s v="11"/>
    <s v="6100"/>
    <n v="4489.43"/>
    <n v="239.4"/>
    <s v="CREDITOR"/>
    <n v="0"/>
    <n v="0"/>
    <n v="0"/>
    <n v="0"/>
    <n v="239.4"/>
  </r>
  <r>
    <n v="61100155"/>
    <s v="N"/>
    <n v="21320153"/>
    <s v="3000015291590007"/>
    <s v="CIVIL"/>
    <d v="2023-06-27T00:00:00"/>
    <d v="2023-07-03T19:04:24"/>
    <m/>
    <d v="2023-07-03T00:00:00"/>
    <n v="1082"/>
    <n v="18162"/>
    <s v="61100155"/>
    <s v="61100155"/>
    <m/>
    <m/>
    <n v="22766466"/>
    <m/>
    <m/>
    <m/>
    <s v="SOLPOA"/>
    <s v="SOLPOA"/>
    <s v="CCMS"/>
    <n v="21320153"/>
    <n v="157.19"/>
    <m/>
    <s v="N"/>
    <n v="1"/>
    <d v="2023-07-03T19:04:29"/>
    <s v="N"/>
    <s v="Non Expert Disbursement"/>
    <s v="Non Expert Disbursement"/>
    <s v="Non Expert Disbursement"/>
    <s v="Sallie-Anne O'Byrne"/>
    <s v="N"/>
    <n v="130.99"/>
    <n v="26.2"/>
    <x v="3"/>
    <s v="VALIDATED"/>
    <n v="1"/>
    <s v="01.11.80.308.2012.0000"/>
    <n v="130.99"/>
    <s v="11"/>
    <s v="2012"/>
    <n v="4489.43"/>
    <n v="130.99"/>
    <s v="CREDITOR"/>
    <n v="130.99"/>
    <n v="0"/>
    <n v="0"/>
    <n v="0"/>
    <n v="0"/>
  </r>
  <r>
    <n v="55610987"/>
    <s v="N"/>
    <n v="21344054"/>
    <s v="3000013133350006"/>
    <s v="CIVIL"/>
    <d v="2023-06-27T00:00:00"/>
    <d v="2023-07-07T19:03:00"/>
    <m/>
    <d v="2023-07-07T00:00:00"/>
    <n v="1082"/>
    <n v="18162"/>
    <s v="55610987"/>
    <s v="55610987"/>
    <m/>
    <m/>
    <n v="22774880"/>
    <m/>
    <m/>
    <m/>
    <s v="SOLFIN"/>
    <s v="SOLFIN"/>
    <s v="CCMS"/>
    <n v="21344054"/>
    <n v="8464.389999999999"/>
    <m/>
    <s v="N"/>
    <n v="9"/>
    <d v="2023-07-07T19:03:21"/>
    <s v="Y"/>
    <s v="Advocates Meeting"/>
    <s v="Public Law Children"/>
    <s v="Advocacy"/>
    <s v="LH"/>
    <s v="Y"/>
    <n v="140.99"/>
    <n v="28.2"/>
    <x v="9"/>
    <s v="VALIDATED"/>
    <n v="1"/>
    <s v="01.11.80.308.6100.0000"/>
    <n v="140.99"/>
    <s v="11"/>
    <s v="6100"/>
    <n v="4489.43"/>
    <n v="140.99"/>
    <s v="CREDITOR"/>
    <n v="0"/>
    <n v="0"/>
    <n v="0"/>
    <n v="0"/>
    <n v="140.99"/>
  </r>
  <r>
    <n v="55610987"/>
    <s v="N"/>
    <n v="21344054"/>
    <s v="3000013133350006"/>
    <s v="CIVIL"/>
    <d v="2023-06-27T00:00:00"/>
    <d v="2023-07-07T19:03:00"/>
    <m/>
    <d v="2023-07-07T00:00:00"/>
    <n v="1082"/>
    <n v="18162"/>
    <s v="55610987"/>
    <s v="55610987"/>
    <m/>
    <m/>
    <n v="22774880"/>
    <m/>
    <m/>
    <m/>
    <s v="SOLFIN"/>
    <s v="SOLFIN"/>
    <s v="CCMS"/>
    <n v="21344054"/>
    <n v="8464.389999999999"/>
    <m/>
    <s v="N"/>
    <n v="7"/>
    <d v="2023-07-07T19:03:21"/>
    <s v="Y"/>
    <s v="Hearing Unit 2.31 - 5.00 Hours"/>
    <s v="Public Law Children"/>
    <s v="Advocacy"/>
    <s v="LH"/>
    <s v="Y"/>
    <n v="476.92"/>
    <n v="95.38"/>
    <x v="9"/>
    <s v="VALIDATED"/>
    <n v="1"/>
    <s v="01.11.80.308.6100.0000"/>
    <n v="476.92"/>
    <s v="11"/>
    <s v="6100"/>
    <n v="4489.43"/>
    <n v="476.92"/>
    <s v="CREDITOR"/>
    <n v="0"/>
    <n v="0"/>
    <n v="0"/>
    <n v="0"/>
    <n v="476.92"/>
  </r>
  <r>
    <n v="55610987"/>
    <s v="N"/>
    <n v="21344054"/>
    <s v="3000013133350006"/>
    <s v="CIVIL"/>
    <d v="2023-06-27T00:00:00"/>
    <d v="2023-07-07T19:03:00"/>
    <m/>
    <d v="2023-07-07T00:00:00"/>
    <n v="1082"/>
    <n v="18162"/>
    <s v="55610987"/>
    <s v="55610987"/>
    <m/>
    <m/>
    <n v="22774880"/>
    <m/>
    <m/>
    <m/>
    <s v="SOLFIN"/>
    <s v="SOLFIN"/>
    <s v="CCMS"/>
    <n v="21344054"/>
    <n v="8464.389999999999"/>
    <m/>
    <s v="N"/>
    <n v="10"/>
    <d v="2023-07-07T19:03:21"/>
    <s v="Y"/>
    <s v="Hearing Unit 2.31 - 5.00 Hours"/>
    <s v="Public Law Children"/>
    <s v="Advocacy"/>
    <s v="Sallie Anne O'Byrne"/>
    <s v="Y"/>
    <n v="476.92"/>
    <n v="95.38"/>
    <x v="9"/>
    <s v="VALIDATED"/>
    <n v="1"/>
    <s v="01.11.80.308.6100.0000"/>
    <n v="476.92"/>
    <s v="11"/>
    <s v="6100"/>
    <n v="4489.43"/>
    <n v="476.92"/>
    <s v="CREDITOR"/>
    <n v="0"/>
    <n v="0"/>
    <n v="0"/>
    <n v="0"/>
    <n v="476.92"/>
  </r>
  <r>
    <n v="55610987"/>
    <s v="N"/>
    <n v="21344054"/>
    <s v="3000013133350006"/>
    <s v="CIVIL"/>
    <d v="2023-06-27T00:00:00"/>
    <d v="2023-07-07T19:03:00"/>
    <m/>
    <d v="2023-07-07T00:00:00"/>
    <n v="1082"/>
    <n v="18162"/>
    <s v="55610987"/>
    <s v="55610987"/>
    <m/>
    <m/>
    <n v="22774880"/>
    <m/>
    <m/>
    <m/>
    <s v="SOLFIN"/>
    <s v="SOLFIN"/>
    <s v="CCMS"/>
    <n v="21344054"/>
    <n v="8464.389999999999"/>
    <m/>
    <s v="N"/>
    <n v="11"/>
    <d v="2023-07-07T19:03:21"/>
    <s v="Y"/>
    <s v="Advocates Meeting"/>
    <s v="Public Law Children"/>
    <s v="Advocacy"/>
    <s v="Sallie Anne O'Byrne"/>
    <s v="Y"/>
    <n v="140.99"/>
    <n v="28.2"/>
    <x v="9"/>
    <s v="VALIDATED"/>
    <n v="1"/>
    <s v="01.11.80.308.6100.0000"/>
    <n v="140.99"/>
    <s v="11"/>
    <s v="6100"/>
    <n v="4489.43"/>
    <n v="140.99"/>
    <s v="CREDITOR"/>
    <n v="0"/>
    <n v="0"/>
    <n v="0"/>
    <n v="0"/>
    <n v="140.99"/>
  </r>
  <r>
    <n v="62269361"/>
    <s v="N"/>
    <n v="21319867"/>
    <s v="3000016265460001"/>
    <s v="CIVIL"/>
    <d v="2023-06-27T00:00:00"/>
    <d v="2023-07-03T19:04:24"/>
    <m/>
    <d v="2023-07-03T00:00:00"/>
    <n v="1082"/>
    <n v="18162"/>
    <s v="62269361"/>
    <s v="62269361"/>
    <m/>
    <m/>
    <n v="22767908"/>
    <m/>
    <m/>
    <m/>
    <s v="SOLPOA"/>
    <s v="SOLPOA"/>
    <s v="CCMS"/>
    <n v="21319867"/>
    <n v="409.26"/>
    <m/>
    <s v="N"/>
    <n v="1"/>
    <d v="2023-07-03T19:04:28"/>
    <s v="N"/>
    <s v="Expert Cost"/>
    <s v="Expert Cost"/>
    <s v="Expert Disbursement"/>
    <s v="Lizzie Hughes"/>
    <s v="N"/>
    <n v="341.05"/>
    <n v="68.20999999999999"/>
    <x v="3"/>
    <s v="VALIDATED"/>
    <n v="1"/>
    <s v="01.11.80.308.2012.0000"/>
    <n v="341.05"/>
    <s v="11"/>
    <s v="2012"/>
    <n v="4489.43"/>
    <n v="341.05"/>
    <s v="CREDITOR"/>
    <n v="341.05"/>
    <n v="0"/>
    <n v="0"/>
    <n v="0"/>
    <n v="0"/>
  </r>
  <r>
    <n v="55610987"/>
    <s v="N"/>
    <n v="21344054"/>
    <s v="3000013133350006"/>
    <s v="CIVIL"/>
    <d v="2023-06-27T00:00:00"/>
    <d v="2023-07-07T19:03:00"/>
    <m/>
    <d v="2023-07-07T00:00:00"/>
    <n v="1082"/>
    <n v="18162"/>
    <s v="55610987"/>
    <s v="55610987"/>
    <m/>
    <m/>
    <n v="22774880"/>
    <m/>
    <m/>
    <m/>
    <s v="SOLFIN"/>
    <s v="SOLFIN"/>
    <s v="CCMS"/>
    <n v="21344054"/>
    <n v="8464.389999999999"/>
    <m/>
    <s v="N"/>
    <n v="6"/>
    <d v="2023-07-07T19:03:21"/>
    <s v="Y"/>
    <s v="Hearing Unit 1.01 - 2.30 Hours"/>
    <s v="Public Law Children"/>
    <s v="Advocacy"/>
    <s v="LH"/>
    <s v="Y"/>
    <n v="238.46"/>
    <n v="47.69"/>
    <x v="9"/>
    <s v="VALIDATED"/>
    <n v="1"/>
    <s v="01.11.80.308.6100.0000"/>
    <n v="238.46"/>
    <s v="11"/>
    <s v="6100"/>
    <n v="4489.43"/>
    <n v="238.46"/>
    <s v="CREDITOR"/>
    <n v="0"/>
    <n v="0"/>
    <n v="0"/>
    <n v="0"/>
    <n v="238.46"/>
  </r>
  <r>
    <n v="62097350"/>
    <s v="N"/>
    <n v="21321662"/>
    <s v="3000016124390003"/>
    <s v="CIVIL"/>
    <d v="2023-06-28T00:00:00"/>
    <d v="2023-07-03T19:05:17"/>
    <m/>
    <d v="2023-07-03T00:00:00"/>
    <n v="1082"/>
    <n v="18162"/>
    <s v="62097350"/>
    <s v="62097350"/>
    <m/>
    <m/>
    <n v="22784548"/>
    <m/>
    <m/>
    <m/>
    <s v="SOLPOA"/>
    <s v="SOLPOA"/>
    <s v="CCMS"/>
    <n v="21321662"/>
    <n v="2137.85"/>
    <m/>
    <s v="N"/>
    <n v="1"/>
    <d v="2023-07-03T19:05:20"/>
    <s v="N"/>
    <s v="Solicitors Fixed Fee"/>
    <s v="Public Law Children"/>
    <s v="Profit Cost"/>
    <s v="Bethan Davies"/>
    <s v="N"/>
    <n v="1781.54"/>
    <n v="356.31"/>
    <x v="3"/>
    <s v="VALIDATED"/>
    <n v="1"/>
    <s v="01.11.80.308.2012.0000"/>
    <n v="1781.54"/>
    <s v="11"/>
    <s v="2012"/>
    <n v="4489.43"/>
    <n v="1781.54"/>
    <s v="CREDITOR"/>
    <n v="1781.54"/>
    <n v="445.385"/>
    <n v="0"/>
    <n v="0"/>
    <n v="0"/>
  </r>
  <r>
    <n v="55610987"/>
    <s v="N"/>
    <n v="21344054"/>
    <s v="3000013133350006"/>
    <s v="CIVIL"/>
    <d v="2023-06-27T00:00:00"/>
    <d v="2023-07-07T19:03:00"/>
    <m/>
    <d v="2023-07-07T00:00:00"/>
    <n v="1082"/>
    <n v="18162"/>
    <s v="55610987"/>
    <s v="55610987"/>
    <m/>
    <m/>
    <n v="22774880"/>
    <m/>
    <m/>
    <m/>
    <s v="SOLFIN"/>
    <s v="SOLFIN"/>
    <s v="CCMS"/>
    <n v="21344054"/>
    <n v="8464.389999999999"/>
    <m/>
    <s v="N"/>
    <n v="15"/>
    <d v="2023-07-07T19:03:21"/>
    <s v="Y"/>
    <s v="Solicitors Fixed Fee"/>
    <s v="Public Law Children"/>
    <s v="Profit Cost"/>
    <s v="Lizzie Hughes"/>
    <s v="Y"/>
    <n v="2300"/>
    <n v="460"/>
    <x v="9"/>
    <s v="VALIDATED"/>
    <n v="1"/>
    <s v="01.11.80.308.6100.0000"/>
    <n v="2300"/>
    <s v="11"/>
    <s v="6100"/>
    <n v="4489.43"/>
    <n v="2300"/>
    <s v="CREDITOR"/>
    <n v="0"/>
    <n v="0"/>
    <n v="0"/>
    <n v="0"/>
    <n v="2300"/>
  </r>
  <r>
    <n v="55610987"/>
    <s v="N"/>
    <n v="21344054"/>
    <s v="3000013133350006"/>
    <s v="CIVIL"/>
    <d v="2023-06-27T00:00:00"/>
    <d v="2023-07-07T19:03:00"/>
    <m/>
    <d v="2023-07-07T00:00:00"/>
    <n v="1082"/>
    <n v="18162"/>
    <s v="55610987"/>
    <s v="55610987"/>
    <m/>
    <m/>
    <n v="22774880"/>
    <m/>
    <m/>
    <m/>
    <s v="SOLFIN"/>
    <s v="SOLFIN"/>
    <s v="CCMS"/>
    <n v="21344054"/>
    <n v="8464.389999999999"/>
    <m/>
    <s v="N"/>
    <n v="14"/>
    <d v="2023-07-07T19:03:21"/>
    <s v="Y"/>
    <s v="Hearing Unit 2.31 - 5.00 Hours"/>
    <s v="Public Law Children"/>
    <s v="Advocacy"/>
    <s v="Lizzie Hughes"/>
    <s v="Y"/>
    <n v="476.92"/>
    <n v="95.38"/>
    <x v="9"/>
    <s v="VALIDATED"/>
    <n v="1"/>
    <s v="01.11.80.308.6100.0000"/>
    <n v="476.92"/>
    <s v="11"/>
    <s v="6100"/>
    <n v="4489.43"/>
    <n v="476.92"/>
    <s v="CREDITOR"/>
    <n v="0"/>
    <n v="0"/>
    <n v="0"/>
    <n v="0"/>
    <n v="476.92"/>
  </r>
  <r>
    <n v="55610987"/>
    <s v="N"/>
    <n v="21344054"/>
    <s v="3000013133350006"/>
    <s v="CIVIL"/>
    <d v="2023-06-27T00:00:00"/>
    <d v="2023-07-07T19:03:00"/>
    <m/>
    <d v="2023-07-07T00:00:00"/>
    <n v="1082"/>
    <n v="18162"/>
    <s v="55610987"/>
    <s v="55610987"/>
    <m/>
    <m/>
    <n v="22774880"/>
    <m/>
    <m/>
    <m/>
    <s v="SOLFIN"/>
    <s v="SOLFIN"/>
    <s v="CCMS"/>
    <n v="21344054"/>
    <n v="8464.389999999999"/>
    <m/>
    <s v="N"/>
    <n v="12"/>
    <d v="2023-07-07T19:03:21"/>
    <s v="Y"/>
    <s v="Advocates Meeting"/>
    <s v="Public Law Children"/>
    <s v="Advocacy"/>
    <s v="Lizzie Hughes"/>
    <s v="Y"/>
    <n v="140.99"/>
    <n v="28.2"/>
    <x v="9"/>
    <s v="VALIDATED"/>
    <n v="1"/>
    <s v="01.11.80.308.6100.0000"/>
    <n v="140.99"/>
    <s v="11"/>
    <s v="6100"/>
    <n v="4489.43"/>
    <n v="140.99"/>
    <s v="CREDITOR"/>
    <n v="0"/>
    <n v="0"/>
    <n v="0"/>
    <n v="0"/>
    <n v="140.99"/>
  </r>
  <r>
    <n v="55610987"/>
    <s v="N"/>
    <n v="21344054"/>
    <s v="3000013133350006"/>
    <s v="CIVIL"/>
    <d v="2023-06-27T00:00:00"/>
    <d v="2023-07-07T19:03:00"/>
    <m/>
    <d v="2023-07-07T00:00:00"/>
    <n v="1082"/>
    <n v="18162"/>
    <s v="55610987"/>
    <s v="55610987"/>
    <m/>
    <m/>
    <n v="22774880"/>
    <m/>
    <m/>
    <m/>
    <s v="SOLFIN"/>
    <s v="SOLFIN"/>
    <s v="CCMS"/>
    <n v="21344054"/>
    <n v="8464.389999999999"/>
    <m/>
    <s v="N"/>
    <n v="5"/>
    <d v="2023-07-07T19:03:21"/>
    <s v="Y"/>
    <s v="Independent Social Worker"/>
    <s v="Public Law Children"/>
    <s v="Expert Disbursement"/>
    <s v="lh"/>
    <s v="Y"/>
    <n v="595.79"/>
    <n v="0"/>
    <x v="9"/>
    <s v="VALIDATED"/>
    <n v="1"/>
    <s v="01.11.80.308.6300.0000"/>
    <n v="595.79"/>
    <s v="11"/>
    <s v="6300"/>
    <n v="4489.43"/>
    <n v="595.79"/>
    <s v="CREDITOR"/>
    <n v="0"/>
    <n v="0"/>
    <n v="0"/>
    <n v="0"/>
    <n v="595.79"/>
  </r>
  <r>
    <n v="62268239"/>
    <s v="N"/>
    <n v="21320691"/>
    <s v="3000016264720001"/>
    <s v="CIVIL"/>
    <d v="2023-06-28T00:00:00"/>
    <d v="2023-07-03T19:04:52"/>
    <m/>
    <d v="2023-07-03T00:00:00"/>
    <n v="1082"/>
    <n v="18162"/>
    <s v="62268239"/>
    <s v="62268239"/>
    <m/>
    <m/>
    <n v="22778532"/>
    <m/>
    <m/>
    <m/>
    <s v="SOLPOA"/>
    <s v="SOLPOA"/>
    <s v="CCMS"/>
    <n v="21320691"/>
    <n v="298.5"/>
    <m/>
    <s v="N"/>
    <n v="1"/>
    <d v="2023-07-03T19:04:55"/>
    <s v="N"/>
    <s v="Expert Cost"/>
    <s v="Expert Cost"/>
    <s v="Expert Disbursement"/>
    <s v="Lizzie Hughes"/>
    <s v="N"/>
    <n v="248.75"/>
    <n v="49.75"/>
    <x v="3"/>
    <s v="VALIDATED"/>
    <n v="1"/>
    <s v="01.11.80.308.2012.0000"/>
    <n v="248.75"/>
    <s v="11"/>
    <s v="2012"/>
    <n v="4489.43"/>
    <n v="248.75"/>
    <s v="CREDITOR"/>
    <n v="248.75"/>
    <n v="0"/>
    <n v="0"/>
    <n v="0"/>
    <n v="0"/>
  </r>
  <r>
    <n v="55610987"/>
    <s v="N"/>
    <n v="21344054"/>
    <s v="3000013133350006"/>
    <s v="CIVIL"/>
    <d v="2023-06-27T00:00:00"/>
    <d v="2023-07-07T19:03:00"/>
    <m/>
    <d v="2023-07-07T00:00:00"/>
    <n v="1082"/>
    <n v="18162"/>
    <s v="55610987"/>
    <s v="55610987"/>
    <m/>
    <m/>
    <n v="22774880"/>
    <m/>
    <m/>
    <m/>
    <s v="SOLFIN"/>
    <s v="SOLFIN"/>
    <s v="CCMS"/>
    <n v="21344054"/>
    <n v="8464.389999999999"/>
    <m/>
    <s v="N"/>
    <n v="4"/>
    <d v="2023-07-07T19:03:21"/>
    <s v="Y"/>
    <s v="Toxicologist"/>
    <s v="Public Law Children"/>
    <s v="Expert Disbursement"/>
    <s v="lh"/>
    <s v="Y"/>
    <n v="172.5"/>
    <n v="34.5"/>
    <x v="9"/>
    <s v="VALIDATED"/>
    <n v="1"/>
    <s v="01.11.80.308.6300.0000"/>
    <n v="172.5"/>
    <s v="11"/>
    <s v="6300"/>
    <n v="4489.43"/>
    <n v="172.5"/>
    <s v="CREDITOR"/>
    <n v="0"/>
    <n v="0"/>
    <n v="0"/>
    <n v="0"/>
    <n v="172.5"/>
  </r>
  <r>
    <n v="55610987"/>
    <s v="N"/>
    <n v="21344054"/>
    <s v="3000013133350006"/>
    <s v="CIVIL"/>
    <d v="2023-06-27T00:00:00"/>
    <d v="2023-07-07T19:03:00"/>
    <m/>
    <d v="2023-07-07T00:00:00"/>
    <n v="1082"/>
    <n v="18162"/>
    <s v="55610987"/>
    <s v="55610987"/>
    <m/>
    <m/>
    <n v="22774880"/>
    <m/>
    <m/>
    <m/>
    <s v="SOLFIN"/>
    <s v="SOLFIN"/>
    <s v="CCMS"/>
    <n v="21344054"/>
    <n v="8464.389999999999"/>
    <m/>
    <s v="N"/>
    <n v="13"/>
    <d v="2023-07-07T19:03:21"/>
    <s v="Y"/>
    <s v="Hearing Unit 2.31 - 5.00 Hours"/>
    <s v="Public Law Children"/>
    <s v="Advocacy"/>
    <s v="Sallie Anne O'Byrne"/>
    <s v="Y"/>
    <n v="476.92"/>
    <n v="95.38"/>
    <x v="9"/>
    <s v="VALIDATED"/>
    <n v="1"/>
    <s v="01.11.80.308.6100.0000"/>
    <n v="476.92"/>
    <s v="11"/>
    <s v="6100"/>
    <n v="4489.43"/>
    <n v="476.92"/>
    <s v="CREDITOR"/>
    <n v="0"/>
    <n v="0"/>
    <n v="0"/>
    <n v="0"/>
    <n v="476.92"/>
  </r>
  <r>
    <n v="55610987"/>
    <s v="N"/>
    <n v="21346407"/>
    <s v="3000013133350001RC"/>
    <s v="CIVIL"/>
    <d v="2023-06-27T00:00:00"/>
    <d v="2023-07-07T19:34:21"/>
    <m/>
    <d v="2023-07-07T00:00:00"/>
    <n v="1082"/>
    <n v="18162"/>
    <s v="55610987"/>
    <s v="55610987"/>
    <m/>
    <m/>
    <m/>
    <m/>
    <m/>
    <m/>
    <s v="SOLRECOUP"/>
    <s v="SOLRECOUP"/>
    <s v="POARECOUP"/>
    <n v="21346407"/>
    <n v="-213.6"/>
    <m/>
    <s v="Y"/>
    <n v="1"/>
    <d v="2023-07-07T19:34:23"/>
    <s v="N"/>
    <m/>
    <m/>
    <s v="Expert Disbursement"/>
    <m/>
    <s v="N"/>
    <n v="-178"/>
    <n v="0"/>
    <x v="9"/>
    <s v="VALIDATED"/>
    <n v="1"/>
    <s v="01.11.80.308.2013.0000"/>
    <n v="-178"/>
    <s v="11"/>
    <s v="2013"/>
    <n v="4489.43"/>
    <n v="-178"/>
    <s v="CREDITOR"/>
    <n v="0"/>
    <n v="0"/>
    <n v="-178"/>
    <n v="0"/>
    <n v="0"/>
  </r>
  <r>
    <n v="55610987"/>
    <s v="N"/>
    <n v="21346407"/>
    <s v="3000013133350001RC"/>
    <s v="CIVIL"/>
    <d v="2023-06-27T00:00:00"/>
    <d v="2023-07-07T19:34:21"/>
    <m/>
    <d v="2023-07-07T00:00:00"/>
    <n v="1082"/>
    <n v="18162"/>
    <s v="55610987"/>
    <s v="55610987"/>
    <m/>
    <m/>
    <m/>
    <m/>
    <m/>
    <m/>
    <s v="SOLRECOUP"/>
    <s v="SOLRECOUP"/>
    <s v="POARECOUP"/>
    <n v="21346407"/>
    <n v="-213.6"/>
    <m/>
    <s v="Y"/>
    <n v="2"/>
    <d v="2023-07-07T19:34:23"/>
    <s v="N"/>
    <m/>
    <m/>
    <s v="Expert Disbursement"/>
    <m/>
    <s v="N"/>
    <n v="0"/>
    <n v="-35.6"/>
    <x v="9"/>
    <s v="VALIDATED"/>
    <n v="1"/>
    <s v="01.11.80.308.2013.0000"/>
    <n v="-35.6"/>
    <s v="11"/>
    <s v="2013"/>
    <n v="4489.43"/>
    <n v="-35.6"/>
    <s v="CREDITOR"/>
    <n v="0"/>
    <n v="0"/>
    <n v="-35.6"/>
    <n v="0"/>
    <n v="0"/>
  </r>
  <r>
    <n v="55610987"/>
    <s v="N"/>
    <n v="21346408"/>
    <s v="3000013133350002RC"/>
    <s v="CIVIL"/>
    <d v="2023-06-27T00:00:00"/>
    <d v="2023-07-07T19:34:21"/>
    <m/>
    <d v="2023-07-07T00:00:00"/>
    <n v="1082"/>
    <n v="18162"/>
    <s v="55610987"/>
    <s v="55610987"/>
    <m/>
    <m/>
    <m/>
    <m/>
    <m/>
    <m/>
    <s v="SOLRECOUP"/>
    <s v="SOLRECOUP"/>
    <s v="POARECOUP"/>
    <n v="21346408"/>
    <n v="-3716.88"/>
    <m/>
    <s v="Y"/>
    <n v="1"/>
    <d v="2023-07-07T19:34:23"/>
    <s v="N"/>
    <m/>
    <m/>
    <s v="Profit Cost"/>
    <m/>
    <s v="N"/>
    <n v="-3097.4"/>
    <n v="0"/>
    <x v="9"/>
    <s v="VALIDATED"/>
    <n v="1"/>
    <s v="01.11.80.308.2013.0000"/>
    <n v="-3097.4"/>
    <s v="11"/>
    <s v="2013"/>
    <n v="4489.43"/>
    <n v="-3097.4"/>
    <s v="CREDITOR"/>
    <n v="0"/>
    <n v="0"/>
    <n v="-3097.4"/>
    <n v="-774.35"/>
    <n v="0"/>
  </r>
  <r>
    <n v="55610987"/>
    <s v="N"/>
    <n v="21346408"/>
    <s v="3000013133350002RC"/>
    <s v="CIVIL"/>
    <d v="2023-06-27T00:00:00"/>
    <d v="2023-07-07T19:34:21"/>
    <m/>
    <d v="2023-07-07T00:00:00"/>
    <n v="1082"/>
    <n v="18162"/>
    <s v="55610987"/>
    <s v="55610987"/>
    <m/>
    <m/>
    <m/>
    <m/>
    <m/>
    <m/>
    <s v="SOLRECOUP"/>
    <s v="SOLRECOUP"/>
    <s v="POARECOUP"/>
    <n v="21346408"/>
    <n v="-3716.88"/>
    <m/>
    <s v="Y"/>
    <n v="2"/>
    <d v="2023-07-07T19:34:23"/>
    <s v="N"/>
    <m/>
    <m/>
    <s v="Profit Cost"/>
    <m/>
    <s v="N"/>
    <n v="0"/>
    <n v="-619.48"/>
    <x v="9"/>
    <s v="VALIDATED"/>
    <n v="1"/>
    <s v="01.11.80.308.2013.0000"/>
    <n v="-619.48"/>
    <s v="11"/>
    <s v="2013"/>
    <n v="4489.43"/>
    <n v="-619.48"/>
    <s v="CREDITOR"/>
    <n v="0"/>
    <n v="0"/>
    <n v="-619.48"/>
    <n v="-154.87"/>
    <n v="0"/>
  </r>
  <r>
    <n v="55610987"/>
    <s v="N"/>
    <n v="21346409"/>
    <s v="3000013133350004RC"/>
    <s v="CIVIL"/>
    <d v="2023-06-27T00:00:00"/>
    <d v="2023-07-07T19:34:21"/>
    <m/>
    <d v="2023-07-07T00:00:00"/>
    <n v="1082"/>
    <n v="18162"/>
    <s v="55610987"/>
    <s v="55610987"/>
    <m/>
    <m/>
    <m/>
    <m/>
    <m/>
    <m/>
    <s v="SOLRECOUP"/>
    <s v="SOLRECOUP"/>
    <s v="POARECOUP"/>
    <n v="21346409"/>
    <n v="-595.79"/>
    <m/>
    <s v="Y"/>
    <n v="1"/>
    <d v="2023-07-07T19:34:23"/>
    <s v="N"/>
    <m/>
    <m/>
    <s v="Expert Disbursement"/>
    <m/>
    <s v="N"/>
    <n v="-595.79"/>
    <n v="0"/>
    <x v="9"/>
    <s v="VALIDATED"/>
    <n v="1"/>
    <s v="01.11.80.308.2013.0000"/>
    <n v="-595.79"/>
    <s v="11"/>
    <s v="2013"/>
    <n v="4489.43"/>
    <n v="-595.79"/>
    <s v="CREDITOR"/>
    <n v="0"/>
    <n v="0"/>
    <n v="-595.79"/>
    <n v="0"/>
    <n v="0"/>
  </r>
  <r>
    <n v="55610987"/>
    <s v="N"/>
    <n v="21346409"/>
    <s v="3000013133350004RC"/>
    <s v="CIVIL"/>
    <d v="2023-06-27T00:00:00"/>
    <d v="2023-07-07T19:34:21"/>
    <m/>
    <d v="2023-07-07T00:00:00"/>
    <n v="1082"/>
    <n v="18162"/>
    <s v="55610987"/>
    <s v="55610987"/>
    <m/>
    <m/>
    <m/>
    <m/>
    <m/>
    <m/>
    <s v="SOLRECOUP"/>
    <s v="SOLRECOUP"/>
    <s v="POARECOUP"/>
    <n v="21346409"/>
    <n v="-595.79"/>
    <m/>
    <s v="Y"/>
    <n v="2"/>
    <d v="2023-07-07T19:34:23"/>
    <s v="N"/>
    <m/>
    <m/>
    <s v="Expert Disbursement"/>
    <m/>
    <s v="N"/>
    <n v="0"/>
    <n v="0"/>
    <x v="9"/>
    <s v="VALIDATED"/>
    <n v="1"/>
    <s v="01.11.80.000.0000.0000"/>
    <n v="0"/>
    <s v="11"/>
    <s v="0000"/>
    <n v="4489.43"/>
    <n v="0"/>
    <s v="CREDITOR"/>
    <n v="0"/>
    <n v="0"/>
    <n v="0"/>
    <n v="0"/>
    <n v="0"/>
  </r>
  <r>
    <n v="55610987"/>
    <s v="N"/>
    <n v="21346410"/>
    <s v="3000013133350003RC"/>
    <s v="CIVIL"/>
    <d v="2023-06-27T00:00:00"/>
    <d v="2023-07-07T19:34:21"/>
    <m/>
    <d v="2023-07-07T00:00:00"/>
    <n v="1082"/>
    <n v="18162"/>
    <s v="55610987"/>
    <s v="55610987"/>
    <m/>
    <m/>
    <m/>
    <m/>
    <m/>
    <m/>
    <s v="SOLRECOUP"/>
    <s v="SOLRECOUP"/>
    <s v="POARECOUP"/>
    <n v="21346410"/>
    <n v="-207"/>
    <m/>
    <s v="Y"/>
    <n v="1"/>
    <d v="2023-07-07T19:34:23"/>
    <s v="N"/>
    <m/>
    <m/>
    <s v="Expert Disbursement"/>
    <m/>
    <s v="N"/>
    <n v="-172.5"/>
    <n v="0"/>
    <x v="9"/>
    <s v="VALIDATED"/>
    <n v="1"/>
    <s v="01.11.80.308.2013.0000"/>
    <n v="-172.5"/>
    <s v="11"/>
    <s v="2013"/>
    <n v="4489.43"/>
    <n v="-172.5"/>
    <s v="CREDITOR"/>
    <n v="0"/>
    <n v="0"/>
    <n v="-172.5"/>
    <n v="0"/>
    <n v="0"/>
  </r>
  <r>
    <n v="55610987"/>
    <s v="N"/>
    <n v="21346410"/>
    <s v="3000013133350003RC"/>
    <s v="CIVIL"/>
    <d v="2023-06-27T00:00:00"/>
    <d v="2023-07-07T19:34:21"/>
    <m/>
    <d v="2023-07-07T00:00:00"/>
    <n v="1082"/>
    <n v="18162"/>
    <s v="55610987"/>
    <s v="55610987"/>
    <m/>
    <m/>
    <m/>
    <m/>
    <m/>
    <m/>
    <s v="SOLRECOUP"/>
    <s v="SOLRECOUP"/>
    <s v="POARECOUP"/>
    <n v="21346410"/>
    <n v="-207"/>
    <m/>
    <s v="Y"/>
    <n v="2"/>
    <d v="2023-07-07T19:34:23"/>
    <s v="N"/>
    <m/>
    <m/>
    <s v="Expert Disbursement"/>
    <m/>
    <s v="N"/>
    <n v="0"/>
    <n v="-34.5"/>
    <x v="9"/>
    <s v="VALIDATED"/>
    <n v="1"/>
    <s v="01.11.80.308.2013.0000"/>
    <n v="-34.5"/>
    <s v="11"/>
    <s v="2013"/>
    <n v="4489.43"/>
    <n v="-34.5"/>
    <s v="CREDITOR"/>
    <n v="0"/>
    <n v="0"/>
    <n v="-34.5"/>
    <n v="0"/>
    <n v="0"/>
  </r>
  <r>
    <n v="55610987"/>
    <s v="N"/>
    <n v="21346411"/>
    <s v="3000013133350005RC"/>
    <s v="CIVIL"/>
    <d v="2023-06-27T00:00:00"/>
    <d v="2023-07-07T19:34:21"/>
    <m/>
    <d v="2023-07-07T00:00:00"/>
    <n v="1082"/>
    <n v="18162"/>
    <s v="55610987"/>
    <s v="55610987"/>
    <m/>
    <m/>
    <m/>
    <m/>
    <m/>
    <m/>
    <s v="SOLRECOUP"/>
    <s v="SOLRECOUP"/>
    <s v="POARECOUP"/>
    <n v="21346411"/>
    <n v="-482.6"/>
    <m/>
    <s v="Y"/>
    <n v="1"/>
    <d v="2023-07-07T19:34:23"/>
    <s v="N"/>
    <m/>
    <m/>
    <s v="Expert Disbursement"/>
    <m/>
    <s v="N"/>
    <n v="-402.17"/>
    <n v="0"/>
    <x v="9"/>
    <s v="VALIDATED"/>
    <n v="1"/>
    <s v="01.11.80.308.2013.0000"/>
    <n v="-402.17"/>
    <s v="11"/>
    <s v="2013"/>
    <n v="4489.43"/>
    <n v="-402.17"/>
    <s v="CREDITOR"/>
    <n v="0"/>
    <n v="0"/>
    <n v="-402.17"/>
    <n v="0"/>
    <n v="0"/>
  </r>
  <r>
    <n v="55610987"/>
    <s v="N"/>
    <n v="21346411"/>
    <s v="3000013133350005RC"/>
    <s v="CIVIL"/>
    <d v="2023-06-27T00:00:00"/>
    <d v="2023-07-07T19:34:21"/>
    <m/>
    <d v="2023-07-07T00:00:00"/>
    <n v="1082"/>
    <n v="18162"/>
    <s v="55610987"/>
    <s v="55610987"/>
    <m/>
    <m/>
    <m/>
    <m/>
    <m/>
    <m/>
    <s v="SOLRECOUP"/>
    <s v="SOLRECOUP"/>
    <s v="POARECOUP"/>
    <n v="21346411"/>
    <n v="-482.6"/>
    <m/>
    <s v="Y"/>
    <n v="2"/>
    <d v="2023-07-07T19:34:23"/>
    <s v="N"/>
    <m/>
    <m/>
    <s v="Expert Disbursement"/>
    <m/>
    <s v="N"/>
    <n v="0"/>
    <n v="-80.43000000000001"/>
    <x v="9"/>
    <s v="VALIDATED"/>
    <n v="1"/>
    <s v="01.11.80.308.2013.0000"/>
    <n v="-80.43000000000001"/>
    <s v="11"/>
    <s v="2013"/>
    <n v="4489.43"/>
    <n v="-80.43000000000001"/>
    <s v="CREDITOR"/>
    <n v="0"/>
    <n v="0"/>
    <n v="-80.43000000000001"/>
    <n v="0"/>
    <n v="0"/>
  </r>
  <r>
    <n v="61311748"/>
    <s v="N"/>
    <n v="21322338"/>
    <s v="3000015468320009"/>
    <s v="CIVIL"/>
    <d v="2023-06-29T00:00:00"/>
    <d v="2023-07-03T19:05:36"/>
    <m/>
    <d v="2023-07-03T00:00:00"/>
    <n v="1084"/>
    <n v="14311"/>
    <s v="61311748"/>
    <s v="61311748"/>
    <m/>
    <m/>
    <n v="22791384"/>
    <m/>
    <m/>
    <m/>
    <s v="SOLPOA"/>
    <s v="SOLPOA"/>
    <s v="CCMS"/>
    <n v="21322338"/>
    <n v="394.61"/>
    <m/>
    <s v="N"/>
    <n v="1"/>
    <d v="2023-07-03T19:05:37"/>
    <s v="N"/>
    <s v="Non Expert Disbursement"/>
    <s v="Non Expert Disbursement"/>
    <s v="Non Expert Disbursement"/>
    <s v="Simon Jones"/>
    <s v="N"/>
    <n v="328.84"/>
    <n v="65.77"/>
    <x v="3"/>
    <s v="VALIDATED"/>
    <n v="1"/>
    <s v="01.11.80.308.2012.0000"/>
    <n v="328.84"/>
    <s v="11"/>
    <s v="2012"/>
    <n v="381.84"/>
    <n v="328.84"/>
    <s v="CREDITOR"/>
    <n v="328.84"/>
    <n v="0"/>
    <n v="0"/>
    <n v="0"/>
    <n v="0"/>
  </r>
  <r>
    <n v="61979149"/>
    <s v="N"/>
    <n v="21320059"/>
    <s v="3000016025060005"/>
    <s v="CIVIL"/>
    <d v="2023-06-27T00:00:00"/>
    <d v="2023-07-03T19:04:24"/>
    <m/>
    <d v="2023-07-03T00:00:00"/>
    <n v="1084"/>
    <n v="14311"/>
    <s v="61979149"/>
    <s v="61979149"/>
    <m/>
    <m/>
    <n v="22768820"/>
    <m/>
    <m/>
    <m/>
    <s v="SOLPOA"/>
    <s v="SOLPOA"/>
    <s v="CCMS"/>
    <n v="21320059"/>
    <n v="53"/>
    <m/>
    <s v="N"/>
    <n v="1"/>
    <d v="2023-07-03T19:04:29"/>
    <s v="N"/>
    <s v="Non Expert Disbursement"/>
    <s v="Non Expert Disbursement"/>
    <s v="Non Expert Disbursement"/>
    <s v="SM"/>
    <s v="N"/>
    <n v="53"/>
    <n v="0"/>
    <x v="3"/>
    <s v="VALIDATED"/>
    <n v="1"/>
    <s v="01.11.80.308.2012.0000"/>
    <n v="53"/>
    <s v="11"/>
    <s v="2012"/>
    <n v="381.84"/>
    <n v="53"/>
    <s v="CREDITOR"/>
    <n v="53"/>
    <n v="0"/>
    <n v="0"/>
    <n v="0"/>
    <n v="0"/>
  </r>
  <r>
    <n v="61496855"/>
    <s v="N"/>
    <n v="21322899"/>
    <s v="3000015621110005"/>
    <s v="CIVIL"/>
    <d v="2023-06-29T00:00:00"/>
    <d v="2023-07-03T19:05:36"/>
    <m/>
    <d v="2023-07-03T00:00:00"/>
    <n v="1089"/>
    <n v="18219"/>
    <s v="61496855"/>
    <s v="61496855"/>
    <m/>
    <m/>
    <n v="22791006"/>
    <m/>
    <m/>
    <m/>
    <s v="SOLPOA"/>
    <s v="SOLPOA"/>
    <s v="CCMS"/>
    <n v="21322899"/>
    <n v="631.12"/>
    <m/>
    <s v="N"/>
    <n v="1"/>
    <d v="2023-07-03T19:05:40"/>
    <s v="N"/>
    <s v="Expert Cost"/>
    <s v="Expert Cost"/>
    <s v="Expert Disbursement"/>
    <s v="Lucie Taylor"/>
    <s v="N"/>
    <n v="631.12"/>
    <n v="0"/>
    <x v="3"/>
    <s v="VALIDATED"/>
    <n v="1"/>
    <s v="01.11.80.308.2012.0000"/>
    <n v="631.12"/>
    <s v="11"/>
    <s v="2012"/>
    <n v="2117.66"/>
    <n v="631.12"/>
    <s v="CREDITOR"/>
    <n v="631.12"/>
    <n v="0"/>
    <n v="0"/>
    <n v="0"/>
    <n v="0"/>
  </r>
  <r>
    <n v="61454005"/>
    <s v="N"/>
    <n v="21321368"/>
    <s v="3000015585310011"/>
    <s v="CIVIL"/>
    <d v="2023-06-29T00:00:00"/>
    <d v="2023-07-03T19:05:17"/>
    <m/>
    <d v="2023-07-03T00:00:00"/>
    <n v="1089"/>
    <n v="18219"/>
    <s v="61454005"/>
    <s v="61454005"/>
    <m/>
    <m/>
    <n v="22787428"/>
    <m/>
    <m/>
    <m/>
    <s v="SOLPOA"/>
    <s v="SOLPOA"/>
    <s v="CCMS"/>
    <n v="21321368"/>
    <n v="72.90000000000001"/>
    <m/>
    <s v="N"/>
    <n v="1"/>
    <d v="2023-07-03T19:05:18"/>
    <s v="N"/>
    <s v="Expert Cost"/>
    <s v="Expert Cost"/>
    <s v="Expert Disbursement"/>
    <s v="Lucie Taylor"/>
    <s v="N"/>
    <n v="60.75"/>
    <n v="12.15"/>
    <x v="3"/>
    <s v="VALIDATED"/>
    <n v="1"/>
    <s v="01.11.80.308.2012.0000"/>
    <n v="60.75"/>
    <s v="11"/>
    <s v="2012"/>
    <n v="2117.66"/>
    <n v="60.75"/>
    <s v="CREDITOR"/>
    <n v="60.75"/>
    <n v="0"/>
    <n v="0"/>
    <n v="0"/>
    <n v="0"/>
  </r>
  <r>
    <n v="61609846"/>
    <s v="N"/>
    <n v="21321213"/>
    <s v="3000015716860006"/>
    <s v="CIVIL"/>
    <d v="2023-06-29T00:00:00"/>
    <d v="2023-07-03T19:05:17"/>
    <m/>
    <d v="2023-07-03T00:00:00"/>
    <n v="1089"/>
    <n v="18219"/>
    <s v="61609846"/>
    <s v="61609846"/>
    <m/>
    <m/>
    <n v="22787554"/>
    <m/>
    <m/>
    <m/>
    <s v="SOLPOA"/>
    <s v="SOLPOA"/>
    <s v="CCMS"/>
    <n v="21321213"/>
    <n v="997.61"/>
    <m/>
    <s v="N"/>
    <n v="1"/>
    <d v="2023-07-03T19:05:17"/>
    <s v="N"/>
    <s v="Expert Cost"/>
    <s v="Expert Cost"/>
    <s v="Expert Disbursement"/>
    <s v="Lucie Taylor"/>
    <s v="N"/>
    <n v="831.34"/>
    <n v="166.27"/>
    <x v="3"/>
    <s v="VALIDATED"/>
    <n v="1"/>
    <s v="01.11.80.308.2012.0000"/>
    <n v="831.34"/>
    <s v="11"/>
    <s v="2012"/>
    <n v="2117.66"/>
    <n v="831.34"/>
    <s v="CREDITOR"/>
    <n v="831.34"/>
    <n v="0"/>
    <n v="0"/>
    <n v="0"/>
    <n v="0"/>
  </r>
  <r>
    <n v="61496855"/>
    <s v="N"/>
    <n v="21321471"/>
    <s v="3000015621110003"/>
    <s v="CIVIL"/>
    <d v="2023-06-29T00:00:00"/>
    <d v="2023-07-03T19:05:17"/>
    <m/>
    <d v="2023-07-03T00:00:00"/>
    <n v="1089"/>
    <n v="18219"/>
    <s v="61496855"/>
    <s v="61496855"/>
    <m/>
    <m/>
    <n v="22787474"/>
    <m/>
    <m/>
    <m/>
    <s v="SOLPOA"/>
    <s v="SOLPOA"/>
    <s v="CCMS"/>
    <n v="21321471"/>
    <n v="139.2"/>
    <m/>
    <s v="N"/>
    <n v="1"/>
    <d v="2023-07-03T19:05:19"/>
    <s v="N"/>
    <s v="Expert Cost"/>
    <s v="Expert Cost"/>
    <s v="Expert Disbursement"/>
    <s v="Lucie Taylor"/>
    <s v="N"/>
    <n v="116"/>
    <n v="23.2"/>
    <x v="3"/>
    <s v="VALIDATED"/>
    <n v="1"/>
    <s v="01.11.80.308.2012.0000"/>
    <n v="116"/>
    <s v="11"/>
    <s v="2012"/>
    <n v="2117.66"/>
    <n v="116"/>
    <s v="CREDITOR"/>
    <n v="116"/>
    <n v="0"/>
    <n v="0"/>
    <n v="0"/>
    <n v="0"/>
  </r>
  <r>
    <n v="61496855"/>
    <s v="N"/>
    <n v="21321843"/>
    <s v="3000015621110004"/>
    <s v="CIVIL"/>
    <d v="2023-06-29T00:00:00"/>
    <d v="2023-07-03T19:05:17"/>
    <m/>
    <d v="2023-07-03T00:00:00"/>
    <n v="1089"/>
    <n v="18219"/>
    <s v="61496855"/>
    <s v="61496855"/>
    <m/>
    <m/>
    <n v="22787512"/>
    <m/>
    <m/>
    <m/>
    <s v="SOLPOA"/>
    <s v="SOLPOA"/>
    <s v="CCMS"/>
    <n v="21321843"/>
    <n v="235.2"/>
    <m/>
    <s v="N"/>
    <n v="1"/>
    <d v="2023-07-03T19:05:21"/>
    <s v="N"/>
    <s v="Expert Cost"/>
    <s v="Expert Cost"/>
    <s v="Expert Disbursement"/>
    <s v="Lucie Taylor"/>
    <s v="N"/>
    <n v="196"/>
    <n v="39.2"/>
    <x v="3"/>
    <s v="VALIDATED"/>
    <n v="1"/>
    <s v="01.11.80.308.2012.0000"/>
    <n v="196"/>
    <s v="11"/>
    <s v="2012"/>
    <n v="2117.66"/>
    <n v="196"/>
    <s v="CREDITOR"/>
    <n v="196"/>
    <n v="0"/>
    <n v="0"/>
    <n v="0"/>
    <n v="0"/>
  </r>
  <r>
    <n v="62209683"/>
    <s v="N"/>
    <n v="21321313"/>
    <s v="3000016216120002"/>
    <s v="CIVIL"/>
    <d v="2023-06-29T00:00:00"/>
    <d v="2023-07-03T19:05:17"/>
    <m/>
    <d v="2023-07-03T00:00:00"/>
    <n v="1089"/>
    <n v="18219"/>
    <s v="62209683"/>
    <s v="62209683"/>
    <m/>
    <m/>
    <n v="22787640"/>
    <m/>
    <m/>
    <m/>
    <s v="SOLPOA"/>
    <s v="SOLPOA"/>
    <s v="CCMS"/>
    <n v="21321313"/>
    <n v="210.3"/>
    <m/>
    <s v="N"/>
    <n v="1"/>
    <d v="2023-07-03T19:05:18"/>
    <s v="N"/>
    <s v="Expert Cost"/>
    <s v="Expert Cost"/>
    <s v="Expert Disbursement"/>
    <s v="Lucie Taylor"/>
    <s v="N"/>
    <n v="175.25"/>
    <n v="35.05"/>
    <x v="3"/>
    <s v="VALIDATED"/>
    <n v="1"/>
    <s v="01.11.80.308.2012.0000"/>
    <n v="175.25"/>
    <s v="11"/>
    <s v="2012"/>
    <n v="2117.66"/>
    <n v="175.25"/>
    <s v="CREDITOR"/>
    <n v="175.25"/>
    <n v="0"/>
    <n v="0"/>
    <n v="0"/>
    <n v="0"/>
  </r>
  <r>
    <n v="62176027"/>
    <s v="N"/>
    <n v="21321671"/>
    <s v="3000016188210003"/>
    <s v="CIVIL"/>
    <d v="2023-06-29T00:00:00"/>
    <d v="2023-07-03T19:05:17"/>
    <m/>
    <d v="2023-07-03T00:00:00"/>
    <n v="1089"/>
    <n v="18219"/>
    <s v="62176027"/>
    <s v="62176027"/>
    <m/>
    <m/>
    <n v="22787676"/>
    <m/>
    <m/>
    <m/>
    <s v="SOLPOA"/>
    <s v="SOLPOA"/>
    <s v="CCMS"/>
    <n v="21321671"/>
    <n v="128.64"/>
    <m/>
    <s v="N"/>
    <n v="1"/>
    <d v="2023-07-03T19:05:20"/>
    <s v="N"/>
    <s v="Expert Cost"/>
    <s v="Expert Cost"/>
    <s v="Expert Disbursement"/>
    <s v="Lucie Taylor"/>
    <s v="N"/>
    <n v="107.2"/>
    <n v="21.44"/>
    <x v="3"/>
    <s v="VALIDATED"/>
    <n v="1"/>
    <s v="01.11.80.308.2012.0000"/>
    <n v="107.2"/>
    <s v="11"/>
    <s v="2012"/>
    <n v="2117.66"/>
    <n v="107.2"/>
    <s v="CREDITOR"/>
    <n v="107.2"/>
    <n v="0"/>
    <n v="0"/>
    <n v="0"/>
    <n v="0"/>
  </r>
  <r>
    <n v="62134085"/>
    <s v="N"/>
    <n v="21412808"/>
    <s v="3000016155970001RC"/>
    <s v="CIVIL"/>
    <d v="2023-06-30T00:00:00"/>
    <d v="2023-07-21T19:28:22"/>
    <m/>
    <d v="2023-07-21T00:00:00"/>
    <n v="1099"/>
    <n v="14323"/>
    <s v="62134085"/>
    <s v="62134085"/>
    <m/>
    <m/>
    <m/>
    <m/>
    <m/>
    <m/>
    <s v="SOLRECOUP"/>
    <s v="SOLRECOUP"/>
    <s v="POARECOUP"/>
    <n v="21412808"/>
    <n v="-972.71"/>
    <m/>
    <s v="Y"/>
    <n v="1"/>
    <d v="2023-07-21T19:28:26"/>
    <s v="N"/>
    <m/>
    <m/>
    <s v="Profit Cost"/>
    <m/>
    <s v="N"/>
    <n v="-810.59"/>
    <n v="0"/>
    <x v="12"/>
    <s v="VALIDATED"/>
    <n v="1"/>
    <s v="01.11.80.308.2013.0000"/>
    <n v="-810.59"/>
    <s v="11"/>
    <s v="2013"/>
    <n v="4340.31"/>
    <n v="-810.59"/>
    <s v="CREDITOR"/>
    <n v="0"/>
    <n v="0"/>
    <n v="-810.59"/>
    <n v="-202.6475"/>
    <n v="0"/>
  </r>
  <r>
    <n v="62134085"/>
    <s v="N"/>
    <n v="21412808"/>
    <s v="3000016155970001RC"/>
    <s v="CIVIL"/>
    <d v="2023-06-30T00:00:00"/>
    <d v="2023-07-21T19:28:22"/>
    <m/>
    <d v="2023-07-21T00:00:00"/>
    <n v="1099"/>
    <n v="14323"/>
    <s v="62134085"/>
    <s v="62134085"/>
    <m/>
    <m/>
    <m/>
    <m/>
    <m/>
    <m/>
    <s v="SOLRECOUP"/>
    <s v="SOLRECOUP"/>
    <s v="POARECOUP"/>
    <n v="21412808"/>
    <n v="-972.71"/>
    <m/>
    <s v="Y"/>
    <n v="2"/>
    <d v="2023-07-21T19:28:26"/>
    <s v="N"/>
    <m/>
    <m/>
    <s v="Profit Cost"/>
    <m/>
    <s v="N"/>
    <n v="0"/>
    <n v="-162.12"/>
    <x v="12"/>
    <s v="VALIDATED"/>
    <n v="1"/>
    <s v="01.11.80.308.2013.0000"/>
    <n v="-162.12"/>
    <s v="11"/>
    <s v="2013"/>
    <n v="4340.31"/>
    <n v="-162.12"/>
    <s v="CREDITOR"/>
    <n v="0"/>
    <n v="0"/>
    <n v="-162.12"/>
    <n v="-40.53"/>
    <n v="0"/>
  </r>
  <r>
    <n v="62134085"/>
    <s v="N"/>
    <n v="21412809"/>
    <s v="3000016155970002RC"/>
    <s v="CIVIL"/>
    <d v="2023-06-30T00:00:00"/>
    <d v="2023-07-21T19:28:22"/>
    <m/>
    <d v="2023-07-21T00:00:00"/>
    <n v="1099"/>
    <n v="14323"/>
    <s v="62134085"/>
    <s v="62134085"/>
    <m/>
    <m/>
    <m/>
    <m/>
    <m/>
    <m/>
    <s v="SOLRECOUP"/>
    <s v="SOLRECOUP"/>
    <s v="POARECOUP"/>
    <n v="21412809"/>
    <n v="-770.51"/>
    <m/>
    <s v="Y"/>
    <n v="2"/>
    <d v="2023-07-21T19:28:26"/>
    <s v="N"/>
    <m/>
    <m/>
    <s v="Profit Cost"/>
    <m/>
    <s v="N"/>
    <n v="0"/>
    <n v="-128.42"/>
    <x v="12"/>
    <s v="VALIDATED"/>
    <n v="1"/>
    <s v="01.11.80.308.2013.0000"/>
    <n v="-128.42"/>
    <s v="11"/>
    <s v="2013"/>
    <n v="4340.31"/>
    <n v="-128.42"/>
    <s v="CREDITOR"/>
    <n v="0"/>
    <n v="0"/>
    <n v="-128.42"/>
    <n v="-32.105"/>
    <n v="0"/>
  </r>
  <r>
    <n v="62134085"/>
    <s v="N"/>
    <n v="21412809"/>
    <s v="3000016155970002RC"/>
    <s v="CIVIL"/>
    <d v="2023-06-30T00:00:00"/>
    <d v="2023-07-21T19:28:22"/>
    <m/>
    <d v="2023-07-21T00:00:00"/>
    <n v="1099"/>
    <n v="14323"/>
    <s v="62134085"/>
    <s v="62134085"/>
    <m/>
    <m/>
    <m/>
    <m/>
    <m/>
    <m/>
    <s v="SOLRECOUP"/>
    <s v="SOLRECOUP"/>
    <s v="POARECOUP"/>
    <n v="21412809"/>
    <n v="-770.51"/>
    <m/>
    <s v="Y"/>
    <n v="1"/>
    <d v="2023-07-21T19:28:26"/>
    <s v="N"/>
    <m/>
    <m/>
    <s v="Profit Cost"/>
    <m/>
    <s v="N"/>
    <n v="-642.09"/>
    <n v="0"/>
    <x v="12"/>
    <s v="VALIDATED"/>
    <n v="1"/>
    <s v="01.11.80.308.2013.0000"/>
    <n v="-642.09"/>
    <s v="11"/>
    <s v="2013"/>
    <n v="4340.31"/>
    <n v="-642.09"/>
    <s v="CREDITOR"/>
    <n v="0"/>
    <n v="0"/>
    <n v="-642.09"/>
    <n v="-160.5225"/>
    <n v="0"/>
  </r>
  <r>
    <n v="61687147"/>
    <s v="N"/>
    <n v="21356486"/>
    <s v="3000015781700002RC"/>
    <s v="CIVIL"/>
    <d v="2023-06-30T00:00:00"/>
    <d v="2023-07-10T19:47:44"/>
    <m/>
    <d v="2023-07-10T00:00:00"/>
    <n v="1099"/>
    <n v="14323"/>
    <s v="61687147"/>
    <s v="61687147"/>
    <m/>
    <m/>
    <m/>
    <m/>
    <m/>
    <m/>
    <s v="SOLRECOUP"/>
    <s v="SOLRECOUP"/>
    <s v="POARECOUP"/>
    <n v="21356486"/>
    <n v="-643.58"/>
    <m/>
    <s v="Y"/>
    <n v="1"/>
    <d v="2023-07-10T19:47:45"/>
    <s v="N"/>
    <m/>
    <m/>
    <s v="Non Expert Disbursement"/>
    <m/>
    <s v="N"/>
    <n v="-536.3200000000001"/>
    <n v="0"/>
    <x v="2"/>
    <s v="VALIDATED"/>
    <n v="1"/>
    <s v="01.11.80.305.2013.0000"/>
    <n v="-536.3200000000001"/>
    <s v="11"/>
    <s v="2013"/>
    <n v="4340.31"/>
    <n v="-536.3200000000001"/>
    <s v="CREDITOR"/>
    <n v="0"/>
    <n v="0"/>
    <n v="-536.3200000000001"/>
    <n v="0"/>
    <n v="0"/>
  </r>
  <r>
    <n v="61687147"/>
    <s v="N"/>
    <n v="21356486"/>
    <s v="3000015781700002RC"/>
    <s v="CIVIL"/>
    <d v="2023-06-30T00:00:00"/>
    <d v="2023-07-10T19:47:44"/>
    <m/>
    <d v="2023-07-10T00:00:00"/>
    <n v="1099"/>
    <n v="14323"/>
    <s v="61687147"/>
    <s v="61687147"/>
    <m/>
    <m/>
    <m/>
    <m/>
    <m/>
    <m/>
    <s v="SOLRECOUP"/>
    <s v="SOLRECOUP"/>
    <s v="POARECOUP"/>
    <n v="21356486"/>
    <n v="-643.58"/>
    <m/>
    <s v="Y"/>
    <n v="2"/>
    <d v="2023-07-10T19:47:45"/>
    <s v="N"/>
    <m/>
    <m/>
    <s v="Non Expert Disbursement"/>
    <m/>
    <s v="N"/>
    <n v="0"/>
    <n v="-107.26"/>
    <x v="2"/>
    <s v="VALIDATED"/>
    <n v="1"/>
    <s v="01.11.80.305.2013.0000"/>
    <n v="-107.26"/>
    <s v="11"/>
    <s v="2013"/>
    <n v="4340.31"/>
    <n v="-107.26"/>
    <s v="CREDITOR"/>
    <n v="0"/>
    <n v="0"/>
    <n v="-107.26"/>
    <n v="0"/>
    <n v="0"/>
  </r>
  <r>
    <n v="61687147"/>
    <s v="N"/>
    <n v="21356487"/>
    <s v="3000015781700001RC"/>
    <s v="CIVIL"/>
    <d v="2023-06-30T00:00:00"/>
    <d v="2023-07-10T19:47:44"/>
    <m/>
    <d v="2023-07-10T00:00:00"/>
    <n v="1099"/>
    <n v="14323"/>
    <s v="61687147"/>
    <s v="61687147"/>
    <m/>
    <m/>
    <m/>
    <m/>
    <m/>
    <m/>
    <s v="SOLRECOUP"/>
    <s v="SOLRECOUP"/>
    <s v="POARECOUP"/>
    <n v="21356487"/>
    <n v="-1155.53"/>
    <m/>
    <s v="Y"/>
    <n v="1"/>
    <d v="2023-07-10T19:47:45"/>
    <s v="N"/>
    <m/>
    <m/>
    <s v="Profit Cost"/>
    <m/>
    <s v="N"/>
    <n v="-962.9400000000001"/>
    <n v="0"/>
    <x v="2"/>
    <s v="VALIDATED"/>
    <n v="1"/>
    <s v="01.11.80.305.2013.0000"/>
    <n v="-962.9400000000001"/>
    <s v="11"/>
    <s v="2013"/>
    <n v="4340.31"/>
    <n v="-962.9400000000001"/>
    <s v="CREDITOR"/>
    <n v="0"/>
    <n v="0"/>
    <n v="-962.9400000000001"/>
    <n v="-240.735"/>
    <n v="0"/>
  </r>
  <r>
    <n v="61687147"/>
    <s v="N"/>
    <n v="21356487"/>
    <s v="3000015781700001RC"/>
    <s v="CIVIL"/>
    <d v="2023-06-30T00:00:00"/>
    <d v="2023-07-10T19:47:44"/>
    <m/>
    <d v="2023-07-10T00:00:00"/>
    <n v="1099"/>
    <n v="14323"/>
    <s v="61687147"/>
    <s v="61687147"/>
    <m/>
    <m/>
    <m/>
    <m/>
    <m/>
    <m/>
    <s v="SOLRECOUP"/>
    <s v="SOLRECOUP"/>
    <s v="POARECOUP"/>
    <n v="21356487"/>
    <n v="-1155.53"/>
    <m/>
    <s v="Y"/>
    <n v="2"/>
    <d v="2023-07-10T19:47:45"/>
    <s v="N"/>
    <m/>
    <m/>
    <s v="Profit Cost"/>
    <m/>
    <s v="N"/>
    <n v="0"/>
    <n v="-192.59"/>
    <x v="2"/>
    <s v="VALIDATED"/>
    <n v="1"/>
    <s v="01.11.80.305.2013.0000"/>
    <n v="-192.59"/>
    <s v="11"/>
    <s v="2013"/>
    <n v="4340.31"/>
    <n v="-192.59"/>
    <s v="CREDITOR"/>
    <n v="0"/>
    <n v="0"/>
    <n v="-192.59"/>
    <n v="-48.1475"/>
    <n v="0"/>
  </r>
  <r>
    <n v="61242585"/>
    <s v="N"/>
    <n v="21327858"/>
    <s v="3000015408580006"/>
    <s v="CIVIL"/>
    <d v="2023-05-24T00:00:00"/>
    <d v="2023-07-04T19:00:44"/>
    <m/>
    <d v="2023-07-04T00:00:00"/>
    <n v="1099"/>
    <n v="14323"/>
    <s v="61242585"/>
    <s v="61242585"/>
    <m/>
    <m/>
    <n v="22565288"/>
    <m/>
    <m/>
    <m/>
    <s v="SOLFIN"/>
    <s v="SOLFIN"/>
    <s v="CCMS"/>
    <n v="21327858"/>
    <n v="2761.72"/>
    <m/>
    <s v="N"/>
    <n v="26"/>
    <d v="2023-07-04T19:00:56"/>
    <s v="Y"/>
    <s v="Preparation - other"/>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33"/>
    <d v="2023-07-04T19:00:56"/>
    <s v="Y"/>
    <s v="Preparation - other"/>
    <s v="Prescribed Hourly Rates"/>
    <s v="Profit Cost"/>
    <s v="SAB"/>
    <s v="Y"/>
    <n v="10.98"/>
    <n v="2.2"/>
    <x v="1"/>
    <s v="VALIDATED"/>
    <n v="1"/>
    <s v="01.11.80.307.6100.0000"/>
    <n v="10.98"/>
    <s v="11"/>
    <s v="6100"/>
    <n v="4340.31"/>
    <n v="10.98"/>
    <s v="CREDITOR"/>
    <n v="0"/>
    <n v="0"/>
    <n v="0"/>
    <n v="0"/>
    <n v="10.98"/>
  </r>
  <r>
    <n v="61242585"/>
    <s v="N"/>
    <n v="21327858"/>
    <s v="3000015408580006"/>
    <s v="CIVIL"/>
    <d v="2023-05-24T00:00:00"/>
    <d v="2023-07-04T19:00:44"/>
    <m/>
    <d v="2023-07-04T00:00:00"/>
    <n v="1099"/>
    <n v="14323"/>
    <s v="61242585"/>
    <s v="61242585"/>
    <m/>
    <m/>
    <n v="22565288"/>
    <m/>
    <m/>
    <m/>
    <s v="SOLFIN"/>
    <s v="SOLFIN"/>
    <s v="CCMS"/>
    <n v="21327858"/>
    <n v="2761.72"/>
    <m/>
    <s v="N"/>
    <n v="39"/>
    <d v="2023-07-04T19:00:56"/>
    <s v="Y"/>
    <s v="Preparation - other"/>
    <s v="Prescribed Hourly Rates"/>
    <s v="Profit Cost"/>
    <s v="SAB"/>
    <s v="Y"/>
    <n v="27.45"/>
    <n v="5.49"/>
    <x v="1"/>
    <s v="VALIDATED"/>
    <n v="1"/>
    <s v="01.11.80.307.6100.0000"/>
    <n v="27.45"/>
    <s v="11"/>
    <s v="6100"/>
    <n v="4340.31"/>
    <n v="27.45"/>
    <s v="CREDITOR"/>
    <n v="0"/>
    <n v="0"/>
    <n v="0"/>
    <n v="0"/>
    <n v="27.45"/>
  </r>
  <r>
    <n v="61242585"/>
    <s v="N"/>
    <n v="21327858"/>
    <s v="3000015408580006"/>
    <s v="CIVIL"/>
    <d v="2023-05-24T00:00:00"/>
    <d v="2023-07-04T19:00:44"/>
    <m/>
    <d v="2023-07-04T00:00:00"/>
    <n v="1099"/>
    <n v="14323"/>
    <s v="61242585"/>
    <s v="61242585"/>
    <m/>
    <m/>
    <n v="22565288"/>
    <m/>
    <m/>
    <m/>
    <s v="SOLFIN"/>
    <s v="SOLFIN"/>
    <s v="CCMS"/>
    <n v="21327858"/>
    <n v="2761.72"/>
    <m/>
    <s v="N"/>
    <n v="29"/>
    <d v="2023-07-04T19:00:56"/>
    <s v="Y"/>
    <s v="Preparation - other"/>
    <s v="Prescribed Hourly Rates"/>
    <s v="Profit Cost"/>
    <s v="SAB25"/>
    <s v="Y"/>
    <n v="13.18"/>
    <n v="2.64"/>
    <x v="1"/>
    <s v="VALIDATED"/>
    <n v="1"/>
    <s v="01.11.80.307.6100.0000"/>
    <n v="13.18"/>
    <s v="11"/>
    <s v="6100"/>
    <n v="4340.31"/>
    <n v="13.18"/>
    <s v="CREDITOR"/>
    <n v="0"/>
    <n v="0"/>
    <n v="0"/>
    <n v="0"/>
    <n v="13.18"/>
  </r>
  <r>
    <n v="61687147"/>
    <s v="N"/>
    <n v="21349976"/>
    <s v="3000015781700003"/>
    <s v="CIVIL"/>
    <d v="2023-06-30T00:00:00"/>
    <d v="2023-07-10T19:01:40"/>
    <m/>
    <d v="2023-07-10T00:00:00"/>
    <n v="1099"/>
    <n v="14323"/>
    <s v="61687147"/>
    <s v="61687147"/>
    <m/>
    <m/>
    <n v="22799326"/>
    <m/>
    <m/>
    <m/>
    <s v="SOLFIN"/>
    <s v="SOLFIN"/>
    <s v="CCMS"/>
    <n v="21349976"/>
    <n v="3216.38"/>
    <m/>
    <s v="N"/>
    <n v="35"/>
    <d v="2023-07-10T19:02:06"/>
    <s v="Y"/>
    <s v="Final Hearing - 1 Day"/>
    <s v="Other Public Law Children"/>
    <s v="Advocacy"/>
    <s v="SVS"/>
    <s v="Y"/>
    <n v="510.75"/>
    <n v="102.15"/>
    <x v="2"/>
    <s v="VALIDATED"/>
    <n v="1"/>
    <s v="01.11.80.305.6100.0000"/>
    <n v="510.75"/>
    <s v="11"/>
    <s v="6100"/>
    <n v="4340.31"/>
    <n v="510.75"/>
    <s v="CREDITOR"/>
    <n v="0"/>
    <n v="0"/>
    <n v="0"/>
    <n v="0"/>
    <n v="510.75"/>
  </r>
  <r>
    <n v="61687147"/>
    <s v="N"/>
    <n v="21349976"/>
    <s v="3000015781700003"/>
    <s v="CIVIL"/>
    <d v="2023-06-30T00:00:00"/>
    <d v="2023-07-10T19:01:40"/>
    <m/>
    <d v="2023-07-10T00:00:00"/>
    <n v="1099"/>
    <n v="14323"/>
    <s v="61687147"/>
    <s v="61687147"/>
    <m/>
    <m/>
    <n v="22799326"/>
    <m/>
    <m/>
    <m/>
    <s v="SOLFIN"/>
    <s v="SOLFIN"/>
    <s v="CCMS"/>
    <n v="21349976"/>
    <n v="3216.38"/>
    <m/>
    <s v="N"/>
    <n v="14"/>
    <d v="2023-07-10T19:02:06"/>
    <s v="Y"/>
    <s v="Preparation - other"/>
    <s v="Care Remuneration Hourly Rates"/>
    <s v="Profit Cost"/>
    <s v="SVS15"/>
    <s v="Y"/>
    <n v="362.72"/>
    <n v="72.54000000000001"/>
    <x v="2"/>
    <s v="VALIDATED"/>
    <n v="1"/>
    <s v="01.11.80.305.6100.0000"/>
    <n v="362.72"/>
    <s v="11"/>
    <s v="6100"/>
    <n v="4340.31"/>
    <n v="362.72"/>
    <s v="CREDITOR"/>
    <n v="0"/>
    <n v="0"/>
    <n v="0"/>
    <n v="0"/>
    <n v="362.72"/>
  </r>
  <r>
    <n v="61242585"/>
    <s v="N"/>
    <n v="21327858"/>
    <s v="3000015408580006"/>
    <s v="CIVIL"/>
    <d v="2023-05-24T00:00:00"/>
    <d v="2023-07-04T19:00:44"/>
    <m/>
    <d v="2023-07-04T00:00:00"/>
    <n v="1099"/>
    <n v="14323"/>
    <s v="61242585"/>
    <s v="61242585"/>
    <m/>
    <m/>
    <n v="22565288"/>
    <m/>
    <m/>
    <m/>
    <s v="SOLFIN"/>
    <s v="SOLFIN"/>
    <s v="CCMS"/>
    <n v="21327858"/>
    <n v="2761.72"/>
    <m/>
    <s v="N"/>
    <n v="48"/>
    <d v="2023-07-04T19:00:56"/>
    <s v="Y"/>
    <s v="Preparation - drafting bill/claim f"/>
    <s v="Prescribed Hourly Rates"/>
    <s v="Profit Cost"/>
    <s v="SAB"/>
    <s v="Y"/>
    <n v="16.47"/>
    <n v="3.29"/>
    <x v="1"/>
    <s v="VALIDATED"/>
    <n v="1"/>
    <s v="01.11.80.307.6100.0000"/>
    <n v="16.47"/>
    <s v="11"/>
    <s v="6100"/>
    <n v="4340.31"/>
    <n v="16.47"/>
    <s v="CREDITOR"/>
    <n v="0"/>
    <n v="0"/>
    <n v="0"/>
    <n v="0"/>
    <n v="16.47"/>
  </r>
  <r>
    <n v="60802449"/>
    <s v="N"/>
    <n v="21337696"/>
    <s v="3000015037270008"/>
    <s v="CIVIL"/>
    <d v="2023-06-27T00:00:00"/>
    <d v="2023-07-06T19:21:01"/>
    <m/>
    <d v="2023-07-06T00:00:00"/>
    <n v="1099"/>
    <n v="14323"/>
    <s v="60802449"/>
    <s v="60802449"/>
    <m/>
    <m/>
    <n v="22772662"/>
    <m/>
    <m/>
    <m/>
    <s v="SOLFIN"/>
    <s v="SOLFIN"/>
    <s v="CCMS"/>
    <n v="21337696"/>
    <n v="5758.09"/>
    <m/>
    <s v="N"/>
    <n v="10"/>
    <d v="2023-07-06T19:21:04"/>
    <s v="Y"/>
    <s v="Hearing Unit 1.01 - 2.30 Hours"/>
    <s v="Public Law Children"/>
    <s v="Advocacy"/>
    <s v="SVS"/>
    <s v="Y"/>
    <n v="238.46"/>
    <n v="47.69"/>
    <x v="4"/>
    <s v="VALIDATED"/>
    <n v="1"/>
    <s v="01.11.80.308.6100.0000"/>
    <n v="238.46"/>
    <s v="11"/>
    <s v="6100"/>
    <n v="4340.31"/>
    <n v="238.46"/>
    <s v="CREDITOR"/>
    <n v="0"/>
    <n v="0"/>
    <n v="0"/>
    <n v="0"/>
    <n v="238.46"/>
  </r>
  <r>
    <n v="61242585"/>
    <s v="N"/>
    <n v="21327858"/>
    <s v="3000015408580006"/>
    <s v="CIVIL"/>
    <d v="2023-05-24T00:00:00"/>
    <d v="2023-07-04T19:00:44"/>
    <m/>
    <d v="2023-07-04T00:00:00"/>
    <n v="1099"/>
    <n v="14323"/>
    <s v="61242585"/>
    <s v="61242585"/>
    <m/>
    <m/>
    <n v="22565288"/>
    <m/>
    <m/>
    <m/>
    <s v="SOLFIN"/>
    <s v="SOLFIN"/>
    <s v="CCMS"/>
    <n v="21327858"/>
    <n v="2761.72"/>
    <m/>
    <s v="N"/>
    <n v="28"/>
    <d v="2023-07-04T19:00:56"/>
    <s v="Y"/>
    <s v="Preparation - other"/>
    <s v="Prescribed Hourly Rates"/>
    <s v="Profit Cost"/>
    <s v="SAB25"/>
    <s v="Y"/>
    <n v="6.59"/>
    <n v="1.32"/>
    <x v="1"/>
    <s v="VALIDATED"/>
    <n v="1"/>
    <s v="01.11.80.307.6100.0000"/>
    <n v="6.59"/>
    <s v="11"/>
    <s v="6100"/>
    <n v="4340.31"/>
    <n v="6.59"/>
    <s v="CREDITOR"/>
    <n v="0"/>
    <n v="0"/>
    <n v="0"/>
    <n v="0"/>
    <n v="6.59"/>
  </r>
  <r>
    <n v="60802449"/>
    <s v="N"/>
    <n v="21337696"/>
    <s v="3000015037270008"/>
    <s v="CIVIL"/>
    <d v="2023-06-27T00:00:00"/>
    <d v="2023-07-06T19:21:01"/>
    <m/>
    <d v="2023-07-06T00:00:00"/>
    <n v="1099"/>
    <n v="14323"/>
    <s v="60802449"/>
    <s v="60802449"/>
    <m/>
    <m/>
    <n v="22772662"/>
    <m/>
    <m/>
    <m/>
    <s v="SOLFIN"/>
    <s v="SOLFIN"/>
    <s v="CCMS"/>
    <n v="21337696"/>
    <n v="5758.09"/>
    <m/>
    <s v="N"/>
    <n v="9"/>
    <d v="2023-07-06T19:21:04"/>
    <s v="Y"/>
    <s v="Advocates Meeting"/>
    <s v="Public Law Children"/>
    <s v="Advocacy"/>
    <s v="SVS"/>
    <s v="Y"/>
    <n v="140.99"/>
    <n v="28.2"/>
    <x v="4"/>
    <s v="VALIDATED"/>
    <n v="1"/>
    <s v="01.11.80.308.6100.0000"/>
    <n v="140.99"/>
    <s v="11"/>
    <s v="6100"/>
    <n v="4340.31"/>
    <n v="140.99"/>
    <s v="CREDITOR"/>
    <n v="0"/>
    <n v="0"/>
    <n v="0"/>
    <n v="0"/>
    <n v="140.99"/>
  </r>
  <r>
    <n v="61687147"/>
    <s v="N"/>
    <n v="21349976"/>
    <s v="3000015781700003"/>
    <s v="CIVIL"/>
    <d v="2023-06-30T00:00:00"/>
    <d v="2023-07-10T19:01:40"/>
    <m/>
    <d v="2023-07-10T00:00:00"/>
    <n v="1099"/>
    <n v="14323"/>
    <s v="61687147"/>
    <s v="61687147"/>
    <m/>
    <m/>
    <n v="22799326"/>
    <m/>
    <m/>
    <m/>
    <s v="SOLFIN"/>
    <s v="SOLFIN"/>
    <s v="CCMS"/>
    <n v="21349976"/>
    <n v="3216.38"/>
    <m/>
    <s v="N"/>
    <n v="19"/>
    <d v="2023-07-10T19:02:06"/>
    <s v="Y"/>
    <s v="Preparation - other"/>
    <s v="Care Remuneration Hourly Rates"/>
    <s v="Profit Cost"/>
    <s v="SVS15"/>
    <s v="Y"/>
    <n v="13.43"/>
    <n v="2.69"/>
    <x v="2"/>
    <s v="VALIDATED"/>
    <n v="1"/>
    <s v="01.11.80.305.6100.0000"/>
    <n v="13.43"/>
    <s v="11"/>
    <s v="6100"/>
    <n v="4340.31"/>
    <n v="13.43"/>
    <s v="CREDITOR"/>
    <n v="0"/>
    <n v="0"/>
    <n v="0"/>
    <n v="0"/>
    <n v="13.43"/>
  </r>
  <r>
    <n v="61242585"/>
    <s v="N"/>
    <n v="21327858"/>
    <s v="3000015408580006"/>
    <s v="CIVIL"/>
    <d v="2023-05-24T00:00:00"/>
    <d v="2023-07-04T19:00:44"/>
    <m/>
    <d v="2023-07-04T00:00:00"/>
    <n v="1099"/>
    <n v="14323"/>
    <s v="61242585"/>
    <s v="61242585"/>
    <m/>
    <m/>
    <n v="22565288"/>
    <m/>
    <m/>
    <m/>
    <s v="SOLFIN"/>
    <s v="SOLFIN"/>
    <s v="CCMS"/>
    <n v="21327858"/>
    <n v="2761.72"/>
    <m/>
    <s v="N"/>
    <n v="47"/>
    <d v="2023-07-04T19:00:56"/>
    <s v="Y"/>
    <s v="Preparation - drafting bill/claim f"/>
    <s v="Prescribed Hourly Rates"/>
    <s v="Profit Cost"/>
    <s v="CD"/>
    <s v="Y"/>
    <n v="131.76"/>
    <n v="26.36"/>
    <x v="1"/>
    <s v="VALIDATED"/>
    <n v="1"/>
    <s v="01.11.80.307.6100.0000"/>
    <n v="131.76"/>
    <s v="11"/>
    <s v="6100"/>
    <n v="4340.31"/>
    <n v="131.76"/>
    <s v="CREDITOR"/>
    <n v="0"/>
    <n v="0"/>
    <n v="0"/>
    <n v="0"/>
    <n v="131.76"/>
  </r>
  <r>
    <n v="61242585"/>
    <s v="N"/>
    <n v="21327858"/>
    <s v="3000015408580006"/>
    <s v="CIVIL"/>
    <d v="2023-05-24T00:00:00"/>
    <d v="2023-07-04T19:00:44"/>
    <m/>
    <d v="2023-07-04T00:00:00"/>
    <n v="1099"/>
    <n v="14323"/>
    <s v="61242585"/>
    <s v="61242585"/>
    <m/>
    <m/>
    <n v="22565288"/>
    <m/>
    <m/>
    <m/>
    <s v="SOLFIN"/>
    <s v="SOLFIN"/>
    <s v="CCMS"/>
    <n v="21327858"/>
    <n v="2761.72"/>
    <m/>
    <s v="N"/>
    <n v="20"/>
    <d v="2023-07-04T19:00:56"/>
    <s v="Y"/>
    <s v="Preparation - other"/>
    <s v="Prescribed Hourly Rates"/>
    <s v="Profit Cost"/>
    <s v="SAB"/>
    <s v="Y"/>
    <n v="10.98"/>
    <n v="2.2"/>
    <x v="1"/>
    <s v="VALIDATED"/>
    <n v="1"/>
    <s v="01.11.80.307.6100.0000"/>
    <n v="10.98"/>
    <s v="11"/>
    <s v="6100"/>
    <n v="4340.31"/>
    <n v="10.98"/>
    <s v="CREDITOR"/>
    <n v="0"/>
    <n v="0"/>
    <n v="0"/>
    <n v="0"/>
    <n v="10.98"/>
  </r>
  <r>
    <n v="61687147"/>
    <s v="N"/>
    <n v="21349976"/>
    <s v="3000015781700003"/>
    <s v="CIVIL"/>
    <d v="2023-06-30T00:00:00"/>
    <d v="2023-07-10T19:01:40"/>
    <m/>
    <d v="2023-07-10T00:00:00"/>
    <n v="1099"/>
    <n v="14323"/>
    <s v="61687147"/>
    <s v="61687147"/>
    <m/>
    <m/>
    <n v="22799326"/>
    <m/>
    <m/>
    <m/>
    <s v="SOLFIN"/>
    <s v="SOLFIN"/>
    <s v="CCMS"/>
    <n v="21349976"/>
    <n v="3216.38"/>
    <m/>
    <s v="N"/>
    <n v="36"/>
    <d v="2023-07-10T19:02:06"/>
    <s v="Y"/>
    <s v="Final Hearing Court Bundle/Advocate"/>
    <s v="Other Public Law Children"/>
    <s v="Advocacy"/>
    <s v="SVS"/>
    <s v="Y"/>
    <n v="159.3"/>
    <n v="31.86"/>
    <x v="2"/>
    <s v="VALIDATED"/>
    <n v="1"/>
    <s v="01.11.80.305.6100.0000"/>
    <n v="159.3"/>
    <s v="11"/>
    <s v="6100"/>
    <n v="4340.31"/>
    <n v="159.3"/>
    <s v="CREDITOR"/>
    <n v="0"/>
    <n v="0"/>
    <n v="0"/>
    <n v="0"/>
    <n v="159.3"/>
  </r>
  <r>
    <n v="62293615"/>
    <s v="N"/>
    <n v="21323940"/>
    <s v="3000016285760002"/>
    <s v="CIVIL"/>
    <d v="2023-06-30T00:00:00"/>
    <d v="2023-07-03T19:05:56"/>
    <m/>
    <d v="2023-07-03T00:00:00"/>
    <n v="1099"/>
    <n v="14323"/>
    <s v="62293615"/>
    <s v="62293615"/>
    <m/>
    <m/>
    <n v="22795814"/>
    <m/>
    <m/>
    <m/>
    <s v="SOLPOA"/>
    <s v="SOLPOA"/>
    <s v="CCMS"/>
    <n v="21323940"/>
    <n v="97.2"/>
    <m/>
    <s v="N"/>
    <n v="1"/>
    <d v="2023-07-03T19:05:59"/>
    <s v="N"/>
    <s v="Expert Cost"/>
    <s v="Expert Cost"/>
    <s v="Expert Disbursement"/>
    <s v="Patrick Sheedy"/>
    <s v="N"/>
    <n v="81"/>
    <n v="16.2"/>
    <x v="3"/>
    <s v="VALIDATED"/>
    <n v="1"/>
    <s v="01.11.80.308.2012.0000"/>
    <n v="81"/>
    <s v="11"/>
    <s v="2012"/>
    <n v="4340.31"/>
    <n v="81"/>
    <s v="CREDITOR"/>
    <n v="81"/>
    <n v="0"/>
    <n v="0"/>
    <n v="0"/>
    <n v="0"/>
  </r>
  <r>
    <n v="60802449"/>
    <s v="N"/>
    <n v="21337696"/>
    <s v="3000015037270008"/>
    <s v="CIVIL"/>
    <d v="2023-06-27T00:00:00"/>
    <d v="2023-07-06T19:21:01"/>
    <m/>
    <d v="2023-07-06T00:00:00"/>
    <n v="1099"/>
    <n v="14323"/>
    <s v="60802449"/>
    <s v="60802449"/>
    <m/>
    <m/>
    <n v="22772662"/>
    <m/>
    <m/>
    <m/>
    <s v="SOLFIN"/>
    <s v="SOLFIN"/>
    <s v="CCMS"/>
    <n v="21337696"/>
    <n v="5758.09"/>
    <m/>
    <s v="N"/>
    <n v="1"/>
    <d v="2023-07-06T19:21:04"/>
    <s v="Y"/>
    <s v="Solicitors Fixed Fee"/>
    <s v="Public Law Children"/>
    <s v="Profit Cost"/>
    <s v="SVS"/>
    <s v="Y"/>
    <n v="2300"/>
    <n v="460"/>
    <x v="4"/>
    <s v="VALIDATED"/>
    <n v="1"/>
    <s v="01.11.80.308.6100.0000"/>
    <n v="2300"/>
    <s v="11"/>
    <s v="6100"/>
    <n v="4340.31"/>
    <n v="2300"/>
    <s v="CREDITOR"/>
    <n v="0"/>
    <n v="0"/>
    <n v="0"/>
    <n v="0"/>
    <n v="2300"/>
  </r>
  <r>
    <n v="61591000"/>
    <s v="N"/>
    <n v="21328226"/>
    <s v="3000015697280001"/>
    <s v="CIVIL"/>
    <d v="2023-06-23T00:00:00"/>
    <d v="2023-07-04T19:00:44"/>
    <m/>
    <d v="2023-07-04T00:00:00"/>
    <n v="1099"/>
    <n v="14323"/>
    <s v="61591000"/>
    <s v="61591000"/>
    <m/>
    <m/>
    <n v="22754926"/>
    <m/>
    <m/>
    <m/>
    <s v="SOLFIN"/>
    <s v="SOLFIN"/>
    <s v="CCMS"/>
    <n v="21328226"/>
    <n v="423.6"/>
    <m/>
    <s v="N"/>
    <n v="1"/>
    <d v="2023-07-04T19:01:09"/>
    <s v="Y"/>
    <s v="Level 3 Fixed Fee"/>
    <s v="Private Law Children"/>
    <s v="Profit Cost"/>
    <s v="SAB"/>
    <s v="Y"/>
    <n v="353"/>
    <n v="70.59999999999999"/>
    <x v="1"/>
    <s v="VALIDATED"/>
    <n v="1"/>
    <s v="01.11.80.307.6100.0000"/>
    <n v="353"/>
    <s v="11"/>
    <s v="6100"/>
    <n v="4340.31"/>
    <n v="353"/>
    <s v="CREDITOR"/>
    <n v="0"/>
    <n v="0"/>
    <n v="0"/>
    <n v="0"/>
    <n v="353"/>
  </r>
  <r>
    <n v="61242585"/>
    <s v="N"/>
    <n v="21327858"/>
    <s v="3000015408580006"/>
    <s v="CIVIL"/>
    <d v="2023-05-24T00:00:00"/>
    <d v="2023-07-04T19:00:44"/>
    <m/>
    <d v="2023-07-04T00:00:00"/>
    <n v="1099"/>
    <n v="14323"/>
    <s v="61242585"/>
    <s v="61242585"/>
    <m/>
    <m/>
    <n v="22565288"/>
    <m/>
    <m/>
    <m/>
    <s v="SOLFIN"/>
    <s v="SOLFIN"/>
    <s v="CCMS"/>
    <n v="21327858"/>
    <n v="2761.72"/>
    <m/>
    <s v="N"/>
    <n v="16"/>
    <d v="2023-07-04T19:00:56"/>
    <s v="Y"/>
    <s v="Attendance upon client"/>
    <s v="Prescribed Hourly Rates"/>
    <s v="Profit Cost"/>
    <s v="SAB25"/>
    <s v="Y"/>
    <n v="19.76"/>
    <n v="3.95"/>
    <x v="1"/>
    <s v="VALIDATED"/>
    <n v="1"/>
    <s v="01.11.80.307.6100.0000"/>
    <n v="19.76"/>
    <s v="11"/>
    <s v="6100"/>
    <n v="4340.31"/>
    <n v="19.76"/>
    <s v="CREDITOR"/>
    <n v="0"/>
    <n v="0"/>
    <n v="0"/>
    <n v="0"/>
    <n v="19.76"/>
  </r>
  <r>
    <n v="61687147"/>
    <s v="N"/>
    <n v="21349976"/>
    <s v="3000015781700003"/>
    <s v="CIVIL"/>
    <d v="2023-06-30T00:00:00"/>
    <d v="2023-07-10T19:01:40"/>
    <m/>
    <d v="2023-07-10T00:00:00"/>
    <n v="1099"/>
    <n v="14323"/>
    <s v="61687147"/>
    <s v="61687147"/>
    <m/>
    <m/>
    <n v="22799326"/>
    <m/>
    <m/>
    <m/>
    <s v="SOLFIN"/>
    <s v="SOLFIN"/>
    <s v="CCMS"/>
    <n v="21349976"/>
    <n v="3216.38"/>
    <m/>
    <s v="N"/>
    <n v="31"/>
    <d v="2023-07-10T19:02:06"/>
    <s v="Y"/>
    <s v="Routine Telephone Call"/>
    <s v="Care Remuneration Hourly Rates"/>
    <s v="Profit Cost"/>
    <s v="SVS15"/>
    <s v="Y"/>
    <n v="8.49"/>
    <n v="1.7"/>
    <x v="2"/>
    <s v="VALIDATED"/>
    <n v="1"/>
    <s v="01.11.80.305.6100.0000"/>
    <n v="8.49"/>
    <s v="11"/>
    <s v="6100"/>
    <n v="4340.31"/>
    <n v="8.49"/>
    <s v="CREDITOR"/>
    <n v="0"/>
    <n v="0"/>
    <n v="0"/>
    <n v="0"/>
    <n v="8.49"/>
  </r>
  <r>
    <n v="60802449"/>
    <s v="N"/>
    <n v="21337696"/>
    <s v="3000015037270008"/>
    <s v="CIVIL"/>
    <d v="2023-06-27T00:00:00"/>
    <d v="2023-07-06T19:21:01"/>
    <m/>
    <d v="2023-07-06T00:00:00"/>
    <n v="1099"/>
    <n v="14323"/>
    <s v="60802449"/>
    <s v="60802449"/>
    <m/>
    <m/>
    <n v="22772662"/>
    <m/>
    <m/>
    <m/>
    <s v="SOLFIN"/>
    <s v="SOLFIN"/>
    <s v="CCMS"/>
    <n v="21337696"/>
    <n v="5758.09"/>
    <m/>
    <s v="N"/>
    <n v="5"/>
    <d v="2023-07-06T19:21:04"/>
    <s v="Y"/>
    <s v="GP (records report)"/>
    <s v="Public Law Children"/>
    <s v="Expert Disbursement"/>
    <s v="SVS"/>
    <s v="Y"/>
    <n v="50.4"/>
    <n v="0"/>
    <x v="4"/>
    <s v="VALIDATED"/>
    <n v="1"/>
    <s v="01.11.80.308.6300.0000"/>
    <n v="50.4"/>
    <s v="11"/>
    <s v="6300"/>
    <n v="4340.31"/>
    <n v="50.4"/>
    <s v="CREDITOR"/>
    <n v="0"/>
    <n v="0"/>
    <n v="0"/>
    <n v="0"/>
    <n v="50.4"/>
  </r>
  <r>
    <n v="61242585"/>
    <s v="N"/>
    <n v="21327858"/>
    <s v="3000015408580006"/>
    <s v="CIVIL"/>
    <d v="2023-05-24T00:00:00"/>
    <d v="2023-07-04T19:00:44"/>
    <m/>
    <d v="2023-07-04T00:00:00"/>
    <n v="1099"/>
    <n v="14323"/>
    <s v="61242585"/>
    <s v="61242585"/>
    <m/>
    <m/>
    <n v="22565288"/>
    <m/>
    <m/>
    <m/>
    <s v="SOLFIN"/>
    <s v="SOLFIN"/>
    <s v="CCMS"/>
    <n v="21327858"/>
    <n v="2761.72"/>
    <m/>
    <s v="N"/>
    <n v="18"/>
    <d v="2023-07-04T19:00:56"/>
    <s v="Y"/>
    <s v="Preparation - other"/>
    <s v="Prescribed Hourly Rates"/>
    <s v="Profit Cost"/>
    <s v="SAB25"/>
    <s v="Y"/>
    <n v="13.18"/>
    <n v="2.64"/>
    <x v="1"/>
    <s v="VALIDATED"/>
    <n v="1"/>
    <s v="01.11.80.307.6100.0000"/>
    <n v="13.18"/>
    <s v="11"/>
    <s v="6100"/>
    <n v="4340.31"/>
    <n v="13.18"/>
    <s v="CREDITOR"/>
    <n v="0"/>
    <n v="0"/>
    <n v="0"/>
    <n v="0"/>
    <n v="13.18"/>
  </r>
  <r>
    <n v="61242585"/>
    <s v="N"/>
    <n v="21327858"/>
    <s v="3000015408580006"/>
    <s v="CIVIL"/>
    <d v="2023-05-24T00:00:00"/>
    <d v="2023-07-04T19:00:44"/>
    <m/>
    <d v="2023-07-04T00:00:00"/>
    <n v="1099"/>
    <n v="14323"/>
    <s v="61242585"/>
    <s v="61242585"/>
    <m/>
    <m/>
    <n v="22565288"/>
    <m/>
    <m/>
    <m/>
    <s v="SOLFIN"/>
    <s v="SOLFIN"/>
    <s v="CCMS"/>
    <n v="21327858"/>
    <n v="2761.72"/>
    <m/>
    <s v="N"/>
    <n v="13"/>
    <d v="2023-07-04T19:00:56"/>
    <s v="Y"/>
    <s v="Preparation - drafting attendance n"/>
    <s v="Prescribed Hourly Rates"/>
    <s v="Profit Cost"/>
    <s v="SAB"/>
    <s v="Y"/>
    <n v="5.49"/>
    <n v="1.1"/>
    <x v="1"/>
    <s v="VALIDATED"/>
    <n v="1"/>
    <s v="01.11.80.307.6100.0000"/>
    <n v="5.49"/>
    <s v="11"/>
    <s v="6100"/>
    <n v="4340.31"/>
    <n v="5.49"/>
    <s v="CREDITOR"/>
    <n v="0"/>
    <n v="0"/>
    <n v="0"/>
    <n v="0"/>
    <n v="5.49"/>
  </r>
  <r>
    <n v="61687147"/>
    <s v="N"/>
    <n v="21349976"/>
    <s v="3000015781700003"/>
    <s v="CIVIL"/>
    <d v="2023-06-30T00:00:00"/>
    <d v="2023-07-10T19:01:40"/>
    <m/>
    <d v="2023-07-10T00:00:00"/>
    <n v="1099"/>
    <n v="14323"/>
    <s v="61687147"/>
    <s v="61687147"/>
    <m/>
    <m/>
    <n v="22799326"/>
    <m/>
    <m/>
    <m/>
    <s v="SOLFIN"/>
    <s v="SOLFIN"/>
    <s v="CCMS"/>
    <n v="21349976"/>
    <n v="3216.38"/>
    <m/>
    <s v="N"/>
    <n v="4"/>
    <d v="2023-07-10T19:02:06"/>
    <s v="Y"/>
    <s v="Preparation - other"/>
    <s v="Care Remuneration Hourly Rates"/>
    <s v="Profit Cost"/>
    <s v="SVS15"/>
    <s v="Y"/>
    <n v="33.59"/>
    <n v="6.72"/>
    <x v="2"/>
    <s v="VALIDATED"/>
    <n v="1"/>
    <s v="01.11.80.305.6100.0000"/>
    <n v="33.59"/>
    <s v="11"/>
    <s v="6100"/>
    <n v="4340.31"/>
    <n v="33.59"/>
    <s v="CREDITOR"/>
    <n v="0"/>
    <n v="0"/>
    <n v="0"/>
    <n v="0"/>
    <n v="33.59"/>
  </r>
  <r>
    <n v="61687147"/>
    <s v="N"/>
    <n v="21349976"/>
    <s v="3000015781700003"/>
    <s v="CIVIL"/>
    <d v="2023-06-30T00:00:00"/>
    <d v="2023-07-10T19:01:40"/>
    <m/>
    <d v="2023-07-10T00:00:00"/>
    <n v="1099"/>
    <n v="14323"/>
    <s v="61687147"/>
    <s v="61687147"/>
    <m/>
    <m/>
    <n v="22799326"/>
    <m/>
    <m/>
    <m/>
    <s v="SOLFIN"/>
    <s v="SOLFIN"/>
    <s v="CCMS"/>
    <n v="21349976"/>
    <n v="3216.38"/>
    <m/>
    <s v="N"/>
    <n v="9"/>
    <d v="2023-07-10T19:02:06"/>
    <s v="Y"/>
    <s v="Preparation - other"/>
    <s v="Care Remuneration Hourly Rates"/>
    <s v="Profit Cost"/>
    <s v="SVS15"/>
    <s v="Y"/>
    <n v="20.15"/>
    <n v="4.03"/>
    <x v="2"/>
    <s v="VALIDATED"/>
    <n v="1"/>
    <s v="01.11.80.305.6100.0000"/>
    <n v="20.15"/>
    <s v="11"/>
    <s v="6100"/>
    <n v="4340.31"/>
    <n v="20.15"/>
    <s v="CREDITOR"/>
    <n v="0"/>
    <n v="0"/>
    <n v="0"/>
    <n v="0"/>
    <n v="20.15"/>
  </r>
  <r>
    <n v="61242585"/>
    <s v="N"/>
    <n v="21327858"/>
    <s v="3000015408580006"/>
    <s v="CIVIL"/>
    <d v="2023-05-24T00:00:00"/>
    <d v="2023-07-04T19:00:44"/>
    <m/>
    <d v="2023-07-04T00:00:00"/>
    <n v="1099"/>
    <n v="14323"/>
    <s v="61242585"/>
    <s v="61242585"/>
    <m/>
    <m/>
    <n v="22565288"/>
    <m/>
    <m/>
    <m/>
    <s v="SOLFIN"/>
    <s v="SOLFIN"/>
    <s v="CCMS"/>
    <n v="21327858"/>
    <n v="2761.72"/>
    <m/>
    <s v="N"/>
    <n v="27"/>
    <d v="2023-07-04T19:00:56"/>
    <s v="Y"/>
    <s v="Preparation - drafting instructions"/>
    <s v="Prescribed Hourly Rates"/>
    <s v="Profit Cost"/>
    <s v="SAB25"/>
    <s v="Y"/>
    <n v="46.12"/>
    <n v="9.23"/>
    <x v="1"/>
    <s v="VALIDATED"/>
    <n v="1"/>
    <s v="01.11.80.307.6100.0000"/>
    <n v="46.12"/>
    <s v="11"/>
    <s v="6100"/>
    <n v="4340.31"/>
    <n v="46.12"/>
    <s v="CREDITOR"/>
    <n v="0"/>
    <n v="0"/>
    <n v="0"/>
    <n v="0"/>
    <n v="46.12"/>
  </r>
  <r>
    <n v="60802449"/>
    <s v="N"/>
    <n v="21337696"/>
    <s v="3000015037270008"/>
    <s v="CIVIL"/>
    <d v="2023-06-27T00:00:00"/>
    <d v="2023-07-06T19:21:01"/>
    <m/>
    <d v="2023-07-06T00:00:00"/>
    <n v="1099"/>
    <n v="14323"/>
    <s v="60802449"/>
    <s v="60802449"/>
    <m/>
    <m/>
    <n v="22772662"/>
    <m/>
    <m/>
    <m/>
    <s v="SOLFIN"/>
    <s v="SOLFIN"/>
    <s v="CCMS"/>
    <n v="21337696"/>
    <n v="5758.09"/>
    <m/>
    <s v="N"/>
    <n v="11"/>
    <d v="2023-07-06T19:21:04"/>
    <s v="Y"/>
    <s v="Advocates Meeting"/>
    <s v="Public Law Children"/>
    <s v="Advocacy"/>
    <s v="SVS"/>
    <s v="Y"/>
    <n v="140.99"/>
    <n v="28.2"/>
    <x v="4"/>
    <s v="VALIDATED"/>
    <n v="1"/>
    <s v="01.11.80.308.6100.0000"/>
    <n v="140.99"/>
    <s v="11"/>
    <s v="6100"/>
    <n v="4340.31"/>
    <n v="140.99"/>
    <s v="CREDITOR"/>
    <n v="0"/>
    <n v="0"/>
    <n v="0"/>
    <n v="0"/>
    <n v="140.99"/>
  </r>
  <r>
    <n v="60802449"/>
    <s v="N"/>
    <n v="21337696"/>
    <s v="3000015037270008"/>
    <s v="CIVIL"/>
    <d v="2023-06-27T00:00:00"/>
    <d v="2023-07-06T19:21:01"/>
    <m/>
    <d v="2023-07-06T00:00:00"/>
    <n v="1099"/>
    <n v="14323"/>
    <s v="60802449"/>
    <s v="60802449"/>
    <m/>
    <m/>
    <n v="22772662"/>
    <m/>
    <m/>
    <m/>
    <s v="SOLFIN"/>
    <s v="SOLFIN"/>
    <s v="CCMS"/>
    <n v="21337696"/>
    <n v="5758.09"/>
    <m/>
    <s v="N"/>
    <n v="8"/>
    <d v="2023-07-06T19:21:04"/>
    <s v="Y"/>
    <s v="Hearing Unit 1.01 - 2.30 Hours"/>
    <s v="Public Law Children"/>
    <s v="Advocacy"/>
    <s v="SVS"/>
    <s v="Y"/>
    <n v="238.46"/>
    <n v="47.69"/>
    <x v="4"/>
    <s v="VALIDATED"/>
    <n v="1"/>
    <s v="01.11.80.308.6100.0000"/>
    <n v="238.46"/>
    <s v="11"/>
    <s v="6100"/>
    <n v="4340.31"/>
    <n v="238.46"/>
    <s v="CREDITOR"/>
    <n v="0"/>
    <n v="0"/>
    <n v="0"/>
    <n v="0"/>
    <n v="238.46"/>
  </r>
  <r>
    <n v="61242585"/>
    <s v="N"/>
    <n v="21327858"/>
    <s v="3000015408580006"/>
    <s v="CIVIL"/>
    <d v="2023-05-24T00:00:00"/>
    <d v="2023-07-04T19:00:44"/>
    <m/>
    <d v="2023-07-04T00:00:00"/>
    <n v="1099"/>
    <n v="14323"/>
    <s v="61242585"/>
    <s v="61242585"/>
    <m/>
    <m/>
    <n v="22565288"/>
    <m/>
    <m/>
    <m/>
    <s v="SOLFIN"/>
    <s v="SOLFIN"/>
    <s v="CCMS"/>
    <n v="21327858"/>
    <n v="2761.72"/>
    <m/>
    <s v="N"/>
    <n v="40"/>
    <d v="2023-07-04T19:00:56"/>
    <s v="Y"/>
    <s v="Preparation - drafting instructions"/>
    <s v="Prescribed Hourly Rates"/>
    <s v="Profit Cost"/>
    <s v="SAB25"/>
    <s v="Y"/>
    <n v="32.94"/>
    <n v="6.59"/>
    <x v="1"/>
    <s v="VALIDATED"/>
    <n v="1"/>
    <s v="01.11.80.307.6100.0000"/>
    <n v="32.94"/>
    <s v="11"/>
    <s v="6100"/>
    <n v="4340.31"/>
    <n v="32.94"/>
    <s v="CREDITOR"/>
    <n v="0"/>
    <n v="0"/>
    <n v="0"/>
    <n v="0"/>
    <n v="32.94"/>
  </r>
  <r>
    <n v="61242585"/>
    <s v="N"/>
    <n v="21327858"/>
    <s v="3000015408580006"/>
    <s v="CIVIL"/>
    <d v="2023-05-24T00:00:00"/>
    <d v="2023-07-04T19:00:44"/>
    <m/>
    <d v="2023-07-04T00:00:00"/>
    <n v="1099"/>
    <n v="14323"/>
    <s v="61242585"/>
    <s v="61242585"/>
    <m/>
    <m/>
    <n v="22565288"/>
    <m/>
    <m/>
    <m/>
    <s v="SOLFIN"/>
    <s v="SOLFIN"/>
    <s v="CCMS"/>
    <n v="21327858"/>
    <n v="2761.72"/>
    <m/>
    <s v="N"/>
    <n v="12"/>
    <d v="2023-07-04T19:00:56"/>
    <s v="Y"/>
    <s v="Attendance upon other"/>
    <s v="Prescribed Hourly Rates"/>
    <s v="Profit Cost"/>
    <s v="SAB25"/>
    <s v="Y"/>
    <n v="19.76"/>
    <n v="3.95"/>
    <x v="1"/>
    <s v="VALIDATED"/>
    <n v="1"/>
    <s v="01.11.80.307.6100.0000"/>
    <n v="19.76"/>
    <s v="11"/>
    <s v="6100"/>
    <n v="4340.31"/>
    <n v="19.76"/>
    <s v="CREDITOR"/>
    <n v="0"/>
    <n v="0"/>
    <n v="0"/>
    <n v="0"/>
    <n v="19.76"/>
  </r>
  <r>
    <n v="62015352"/>
    <s v="N"/>
    <n v="21321262"/>
    <s v="3000015940730004"/>
    <s v="CIVIL"/>
    <d v="2023-06-29T00:00:00"/>
    <d v="2023-07-03T19:05:17"/>
    <m/>
    <d v="2023-07-03T00:00:00"/>
    <n v="1099"/>
    <n v="14323"/>
    <s v="62015352"/>
    <s v="62015352"/>
    <m/>
    <m/>
    <n v="22785122"/>
    <m/>
    <m/>
    <m/>
    <s v="SOLPOA"/>
    <s v="SOLPOA"/>
    <s v="CCMS"/>
    <n v="21321262"/>
    <n v="50.4"/>
    <m/>
    <s v="N"/>
    <n v="1"/>
    <d v="2023-07-03T19:05:17"/>
    <s v="N"/>
    <s v="Non Expert Disbursement"/>
    <s v="Non Expert Disbursement"/>
    <s v="Non Expert Disbursement"/>
    <s v="Sapphire Stait"/>
    <s v="N"/>
    <n v="50.4"/>
    <n v="0"/>
    <x v="3"/>
    <s v="VALIDATED"/>
    <n v="1"/>
    <s v="01.11.80.308.2012.0000"/>
    <n v="50.4"/>
    <s v="11"/>
    <s v="2012"/>
    <n v="4340.31"/>
    <n v="50.4"/>
    <s v="CREDITOR"/>
    <n v="50.4"/>
    <n v="0"/>
    <n v="0"/>
    <n v="0"/>
    <n v="0"/>
  </r>
  <r>
    <n v="61687147"/>
    <s v="N"/>
    <n v="21349976"/>
    <s v="3000015781700003"/>
    <s v="CIVIL"/>
    <d v="2023-06-30T00:00:00"/>
    <d v="2023-07-10T19:01:40"/>
    <m/>
    <d v="2023-07-10T00:00:00"/>
    <n v="1099"/>
    <n v="14323"/>
    <s v="61687147"/>
    <s v="61687147"/>
    <m/>
    <m/>
    <n v="22799326"/>
    <m/>
    <m/>
    <m/>
    <s v="SOLFIN"/>
    <s v="SOLFIN"/>
    <s v="CCMS"/>
    <n v="21349976"/>
    <n v="3216.38"/>
    <m/>
    <s v="N"/>
    <n v="3"/>
    <d v="2023-07-10T19:02:06"/>
    <s v="Y"/>
    <s v="Preparation - other"/>
    <s v="Care Remuneration Hourly Rates"/>
    <s v="Profit Cost"/>
    <s v="SVS15"/>
    <s v="Y"/>
    <n v="40.31"/>
    <n v="8.06"/>
    <x v="2"/>
    <s v="VALIDATED"/>
    <n v="1"/>
    <s v="01.11.80.305.6100.0000"/>
    <n v="40.31"/>
    <s v="11"/>
    <s v="6100"/>
    <n v="4340.31"/>
    <n v="40.31"/>
    <s v="CREDITOR"/>
    <n v="0"/>
    <n v="0"/>
    <n v="0"/>
    <n v="0"/>
    <n v="40.31"/>
  </r>
  <r>
    <n v="61242585"/>
    <s v="N"/>
    <n v="21327858"/>
    <s v="3000015408580006"/>
    <s v="CIVIL"/>
    <d v="2023-05-24T00:00:00"/>
    <d v="2023-07-04T19:00:44"/>
    <m/>
    <d v="2023-07-04T00:00:00"/>
    <n v="1099"/>
    <n v="14323"/>
    <s v="61242585"/>
    <s v="61242585"/>
    <m/>
    <m/>
    <n v="22565288"/>
    <m/>
    <m/>
    <m/>
    <s v="SOLFIN"/>
    <s v="SOLFIN"/>
    <s v="CCMS"/>
    <n v="21327858"/>
    <n v="2761.72"/>
    <m/>
    <s v="N"/>
    <n v="9"/>
    <d v="2023-07-04T19:00:56"/>
    <s v="Y"/>
    <s v="Preparation - drafting application"/>
    <s v="Prescribed Hourly Rates"/>
    <s v="Profit Cost"/>
    <s v="SAB25"/>
    <s v="Y"/>
    <n v="13.18"/>
    <n v="2.64"/>
    <x v="1"/>
    <s v="VALIDATED"/>
    <n v="1"/>
    <s v="01.11.80.307.6100.0000"/>
    <n v="13.18"/>
    <s v="11"/>
    <s v="6100"/>
    <n v="4340.31"/>
    <n v="13.18"/>
    <s v="CREDITOR"/>
    <n v="0"/>
    <n v="0"/>
    <n v="0"/>
    <n v="0"/>
    <n v="13.18"/>
  </r>
  <r>
    <n v="61242585"/>
    <s v="N"/>
    <n v="21327858"/>
    <s v="3000015408580006"/>
    <s v="CIVIL"/>
    <d v="2023-05-24T00:00:00"/>
    <d v="2023-07-04T19:00:44"/>
    <m/>
    <d v="2023-07-04T00:00:00"/>
    <n v="1099"/>
    <n v="14323"/>
    <s v="61242585"/>
    <s v="61242585"/>
    <m/>
    <m/>
    <n v="22565288"/>
    <m/>
    <m/>
    <m/>
    <s v="SOLFIN"/>
    <s v="SOLFIN"/>
    <s v="CCMS"/>
    <n v="21327858"/>
    <n v="2761.72"/>
    <m/>
    <s v="N"/>
    <n v="11"/>
    <d v="2023-07-04T19:00:56"/>
    <s v="Y"/>
    <s v="Preparation - drafting attendance n"/>
    <s v="Prescribed Hourly Rates"/>
    <s v="Profit Cost"/>
    <s v="SAB"/>
    <s v="Y"/>
    <n v="5.49"/>
    <n v="1.1"/>
    <x v="1"/>
    <s v="VALIDATED"/>
    <n v="1"/>
    <s v="01.11.80.307.6100.0000"/>
    <n v="5.49"/>
    <s v="11"/>
    <s v="6100"/>
    <n v="4340.31"/>
    <n v="5.49"/>
    <s v="CREDITOR"/>
    <n v="0"/>
    <n v="0"/>
    <n v="0"/>
    <n v="0"/>
    <n v="5.49"/>
  </r>
  <r>
    <n v="61687147"/>
    <s v="N"/>
    <n v="21349976"/>
    <s v="3000015781700003"/>
    <s v="CIVIL"/>
    <d v="2023-06-30T00:00:00"/>
    <d v="2023-07-10T19:01:40"/>
    <m/>
    <d v="2023-07-10T00:00:00"/>
    <n v="1099"/>
    <n v="14323"/>
    <s v="61687147"/>
    <s v="61687147"/>
    <m/>
    <m/>
    <n v="22799326"/>
    <m/>
    <m/>
    <m/>
    <s v="SOLFIN"/>
    <s v="SOLFIN"/>
    <s v="CCMS"/>
    <n v="21349976"/>
    <n v="3216.38"/>
    <m/>
    <s v="N"/>
    <n v="25"/>
    <d v="2023-07-10T19:02:06"/>
    <s v="Y"/>
    <s v="Preparation - other"/>
    <s v="Care Remuneration Hourly Rates"/>
    <s v="Profit Cost"/>
    <s v="SVS15"/>
    <s v="Y"/>
    <n v="6.72"/>
    <n v="1.34"/>
    <x v="2"/>
    <s v="VALIDATED"/>
    <n v="1"/>
    <s v="01.11.80.305.6100.0000"/>
    <n v="6.72"/>
    <s v="11"/>
    <s v="6100"/>
    <n v="4340.31"/>
    <n v="6.72"/>
    <s v="CREDITOR"/>
    <n v="0"/>
    <n v="0"/>
    <n v="0"/>
    <n v="0"/>
    <n v="6.72"/>
  </r>
  <r>
    <n v="61687147"/>
    <s v="N"/>
    <n v="21349976"/>
    <s v="3000015781700003"/>
    <s v="CIVIL"/>
    <d v="2023-06-30T00:00:00"/>
    <d v="2023-07-10T19:01:40"/>
    <m/>
    <d v="2023-07-10T00:00:00"/>
    <n v="1099"/>
    <n v="14323"/>
    <s v="61687147"/>
    <s v="61687147"/>
    <m/>
    <m/>
    <n v="22799326"/>
    <m/>
    <m/>
    <m/>
    <s v="SOLFIN"/>
    <s v="SOLFIN"/>
    <s v="CCMS"/>
    <n v="21349976"/>
    <n v="3216.38"/>
    <m/>
    <s v="N"/>
    <n v="6"/>
    <d v="2023-07-10T19:02:06"/>
    <s v="Y"/>
    <s v="Attendance upon client"/>
    <s v="Care Remuneration Hourly Rates"/>
    <s v="Profit Cost"/>
    <s v="SVS15"/>
    <s v="Y"/>
    <n v="20.15"/>
    <n v="4.03"/>
    <x v="2"/>
    <s v="VALIDATED"/>
    <n v="1"/>
    <s v="01.11.80.305.6100.0000"/>
    <n v="20.15"/>
    <s v="11"/>
    <s v="6100"/>
    <n v="4340.31"/>
    <n v="20.15"/>
    <s v="CREDITOR"/>
    <n v="0"/>
    <n v="0"/>
    <n v="0"/>
    <n v="0"/>
    <n v="20.15"/>
  </r>
  <r>
    <n v="61687147"/>
    <s v="N"/>
    <n v="21349976"/>
    <s v="3000015781700003"/>
    <s v="CIVIL"/>
    <d v="2023-06-30T00:00:00"/>
    <d v="2023-07-10T19:01:40"/>
    <m/>
    <d v="2023-07-10T00:00:00"/>
    <n v="1099"/>
    <n v="14323"/>
    <s v="61687147"/>
    <s v="61687147"/>
    <m/>
    <m/>
    <n v="22799326"/>
    <m/>
    <m/>
    <m/>
    <s v="SOLFIN"/>
    <s v="SOLFIN"/>
    <s v="CCMS"/>
    <n v="21349976"/>
    <n v="3216.38"/>
    <m/>
    <s v="N"/>
    <n v="16"/>
    <d v="2023-07-10T19:02:06"/>
    <s v="Y"/>
    <s v="Preparation - other"/>
    <s v="Care Remuneration Hourly Rates"/>
    <s v="Profit Cost"/>
    <s v="SVS15"/>
    <s v="Y"/>
    <n v="13.43"/>
    <n v="2.69"/>
    <x v="2"/>
    <s v="VALIDATED"/>
    <n v="1"/>
    <s v="01.11.80.305.6100.0000"/>
    <n v="13.43"/>
    <s v="11"/>
    <s v="6100"/>
    <n v="4340.31"/>
    <n v="13.43"/>
    <s v="CREDITOR"/>
    <n v="0"/>
    <n v="0"/>
    <n v="0"/>
    <n v="0"/>
    <n v="13.43"/>
  </r>
  <r>
    <n v="61687147"/>
    <s v="N"/>
    <n v="21349976"/>
    <s v="3000015781700003"/>
    <s v="CIVIL"/>
    <d v="2023-06-30T00:00:00"/>
    <d v="2023-07-10T19:01:40"/>
    <m/>
    <d v="2023-07-10T00:00:00"/>
    <n v="1099"/>
    <n v="14323"/>
    <s v="61687147"/>
    <s v="61687147"/>
    <m/>
    <m/>
    <n v="22799326"/>
    <m/>
    <m/>
    <m/>
    <s v="SOLFIN"/>
    <s v="SOLFIN"/>
    <s v="CCMS"/>
    <n v="21349976"/>
    <n v="3216.38"/>
    <m/>
    <s v="N"/>
    <n v="29"/>
    <d v="2023-07-10T19:02:06"/>
    <s v="Y"/>
    <s v="Preparation - drafting bill/claim f"/>
    <s v="Care Remuneration Hourly Rates"/>
    <s v="Profit Cost"/>
    <s v="CD"/>
    <s v="Y"/>
    <n v="169.39"/>
    <n v="33.88"/>
    <x v="2"/>
    <s v="VALIDATED"/>
    <n v="1"/>
    <s v="01.11.80.305.6100.0000"/>
    <n v="169.39"/>
    <s v="11"/>
    <s v="6100"/>
    <n v="4340.31"/>
    <n v="169.39"/>
    <s v="CREDITOR"/>
    <n v="0"/>
    <n v="0"/>
    <n v="0"/>
    <n v="0"/>
    <n v="169.39"/>
  </r>
  <r>
    <n v="61687147"/>
    <s v="N"/>
    <n v="21349976"/>
    <s v="3000015781700003"/>
    <s v="CIVIL"/>
    <d v="2023-06-30T00:00:00"/>
    <d v="2023-07-10T19:01:40"/>
    <m/>
    <d v="2023-07-10T00:00:00"/>
    <n v="1099"/>
    <n v="14323"/>
    <s v="61687147"/>
    <s v="61687147"/>
    <m/>
    <m/>
    <n v="22799326"/>
    <m/>
    <m/>
    <m/>
    <s v="SOLFIN"/>
    <s v="SOLFIN"/>
    <s v="CCMS"/>
    <n v="21349976"/>
    <n v="3216.38"/>
    <m/>
    <s v="N"/>
    <n v="30"/>
    <d v="2023-07-10T19:02:06"/>
    <s v="Y"/>
    <s v="Preparation - drafting bill/claim f"/>
    <s v="Care Remuneration Hourly Rates"/>
    <s v="Profit Cost"/>
    <s v="SVS15"/>
    <s v="Y"/>
    <n v="20.15"/>
    <n v="4.03"/>
    <x v="2"/>
    <s v="VALIDATED"/>
    <n v="1"/>
    <s v="01.11.80.305.6100.0000"/>
    <n v="20.15"/>
    <s v="11"/>
    <s v="6100"/>
    <n v="4340.31"/>
    <n v="20.15"/>
    <s v="CREDITOR"/>
    <n v="0"/>
    <n v="0"/>
    <n v="0"/>
    <n v="0"/>
    <n v="20.15"/>
  </r>
  <r>
    <n v="60802449"/>
    <s v="N"/>
    <n v="21337696"/>
    <s v="3000015037270008"/>
    <s v="CIVIL"/>
    <d v="2023-06-27T00:00:00"/>
    <d v="2023-07-06T19:21:01"/>
    <m/>
    <d v="2023-07-06T00:00:00"/>
    <n v="1099"/>
    <n v="14323"/>
    <s v="60802449"/>
    <s v="60802449"/>
    <m/>
    <m/>
    <n v="22772662"/>
    <m/>
    <m/>
    <m/>
    <s v="SOLFIN"/>
    <s v="SOLFIN"/>
    <s v="CCMS"/>
    <n v="21337696"/>
    <n v="5758.09"/>
    <m/>
    <s v="N"/>
    <n v="6"/>
    <d v="2023-07-06T19:21:04"/>
    <s v="Y"/>
    <s v="Psychologist"/>
    <s v="Public Law Children"/>
    <s v="Expert Disbursement"/>
    <s v="SVS"/>
    <s v="Y"/>
    <n v="239.66"/>
    <n v="47.93"/>
    <x v="4"/>
    <s v="VALIDATED"/>
    <n v="1"/>
    <s v="01.11.80.308.6300.0000"/>
    <n v="239.66"/>
    <s v="11"/>
    <s v="6300"/>
    <n v="4340.31"/>
    <n v="239.66"/>
    <s v="CREDITOR"/>
    <n v="0"/>
    <n v="0"/>
    <n v="0"/>
    <n v="0"/>
    <n v="239.66"/>
  </r>
  <r>
    <n v="60802449"/>
    <s v="N"/>
    <n v="21339967"/>
    <s v="3000015037270004RC"/>
    <s v="CIVIL"/>
    <d v="2023-06-27T00:00:00"/>
    <d v="2023-07-06T19:54:22"/>
    <m/>
    <d v="2023-07-06T00:00:00"/>
    <n v="1099"/>
    <n v="14323"/>
    <s v="60802449"/>
    <s v="60802449"/>
    <m/>
    <m/>
    <m/>
    <m/>
    <m/>
    <m/>
    <s v="SOLRECOUP"/>
    <s v="SOLRECOUP"/>
    <s v="POARECOUP"/>
    <n v="21339967"/>
    <n v="-287.6"/>
    <m/>
    <s v="Y"/>
    <n v="1"/>
    <d v="2023-07-06T19:54:23"/>
    <s v="N"/>
    <m/>
    <m/>
    <s v="Expert Disbursement"/>
    <m/>
    <s v="N"/>
    <n v="-287.6"/>
    <n v="0"/>
    <x v="4"/>
    <s v="VALIDATED"/>
    <n v="1"/>
    <s v="01.11.80.308.2013.0000"/>
    <n v="-287.6"/>
    <s v="11"/>
    <s v="2013"/>
    <n v="4340.31"/>
    <n v="-287.6"/>
    <s v="CREDITOR"/>
    <n v="0"/>
    <n v="0"/>
    <n v="-287.6"/>
    <n v="0"/>
    <n v="0"/>
  </r>
  <r>
    <n v="60802449"/>
    <s v="N"/>
    <n v="21339967"/>
    <s v="3000015037270004RC"/>
    <s v="CIVIL"/>
    <d v="2023-06-27T00:00:00"/>
    <d v="2023-07-06T19:54:22"/>
    <m/>
    <d v="2023-07-06T00:00:00"/>
    <n v="1099"/>
    <n v="14323"/>
    <s v="60802449"/>
    <s v="60802449"/>
    <m/>
    <m/>
    <m/>
    <m/>
    <m/>
    <m/>
    <s v="SOLRECOUP"/>
    <s v="SOLRECOUP"/>
    <s v="POARECOUP"/>
    <n v="21339967"/>
    <n v="-287.6"/>
    <m/>
    <s v="Y"/>
    <n v="2"/>
    <d v="2023-07-06T19:54:23"/>
    <s v="N"/>
    <m/>
    <m/>
    <s v="Expert Disbursement"/>
    <m/>
    <s v="N"/>
    <n v="0"/>
    <n v="0"/>
    <x v="4"/>
    <s v="VALIDATED"/>
    <n v="1"/>
    <s v="01.11.80.000.0000.0000"/>
    <n v="0"/>
    <s v="11"/>
    <s v="0000"/>
    <n v="4340.31"/>
    <n v="0"/>
    <s v="CREDITOR"/>
    <n v="0"/>
    <n v="0"/>
    <n v="0"/>
    <n v="0"/>
    <n v="0"/>
  </r>
  <r>
    <n v="60802449"/>
    <s v="N"/>
    <n v="21339968"/>
    <s v="3000015037270002RC"/>
    <s v="CIVIL"/>
    <d v="2023-06-27T00:00:00"/>
    <d v="2023-07-06T19:54:22"/>
    <m/>
    <d v="2023-07-06T00:00:00"/>
    <n v="1099"/>
    <n v="14323"/>
    <s v="60802449"/>
    <s v="60802449"/>
    <m/>
    <m/>
    <m/>
    <m/>
    <m/>
    <m/>
    <s v="SOLRECOUP"/>
    <s v="SOLRECOUP"/>
    <s v="POARECOUP"/>
    <n v="21339968"/>
    <n v="-288.81"/>
    <m/>
    <s v="Y"/>
    <n v="1"/>
    <d v="2023-07-06T19:54:23"/>
    <s v="N"/>
    <m/>
    <m/>
    <s v="Expert Disbursement"/>
    <m/>
    <s v="N"/>
    <n v="-288.81"/>
    <n v="0"/>
    <x v="4"/>
    <s v="VALIDATED"/>
    <n v="1"/>
    <s v="01.11.80.308.2013.0000"/>
    <n v="-288.81"/>
    <s v="11"/>
    <s v="2013"/>
    <n v="4340.31"/>
    <n v="-288.81"/>
    <s v="CREDITOR"/>
    <n v="0"/>
    <n v="0"/>
    <n v="-288.81"/>
    <n v="0"/>
    <n v="0"/>
  </r>
  <r>
    <n v="60802449"/>
    <s v="N"/>
    <n v="21339968"/>
    <s v="3000015037270002RC"/>
    <s v="CIVIL"/>
    <d v="2023-06-27T00:00:00"/>
    <d v="2023-07-06T19:54:22"/>
    <m/>
    <d v="2023-07-06T00:00:00"/>
    <n v="1099"/>
    <n v="14323"/>
    <s v="60802449"/>
    <s v="60802449"/>
    <m/>
    <m/>
    <m/>
    <m/>
    <m/>
    <m/>
    <s v="SOLRECOUP"/>
    <s v="SOLRECOUP"/>
    <s v="POARECOUP"/>
    <n v="21339968"/>
    <n v="-288.81"/>
    <m/>
    <s v="Y"/>
    <n v="2"/>
    <d v="2023-07-06T19:54:23"/>
    <s v="N"/>
    <m/>
    <m/>
    <s v="Expert Disbursement"/>
    <m/>
    <s v="N"/>
    <n v="0"/>
    <n v="0"/>
    <x v="4"/>
    <s v="VALIDATED"/>
    <n v="1"/>
    <s v="01.11.80.000.0000.0000"/>
    <n v="0"/>
    <s v="11"/>
    <s v="0000"/>
    <n v="4340.31"/>
    <n v="0"/>
    <s v="CREDITOR"/>
    <n v="0"/>
    <n v="0"/>
    <n v="0"/>
    <n v="0"/>
    <n v="0"/>
  </r>
  <r>
    <n v="60802449"/>
    <s v="N"/>
    <n v="21339969"/>
    <s v="3000015037270001RC"/>
    <s v="CIVIL"/>
    <d v="2023-06-27T00:00:00"/>
    <d v="2023-07-06T19:54:22"/>
    <m/>
    <d v="2023-07-06T00:00:00"/>
    <n v="1099"/>
    <n v="14323"/>
    <s v="60802449"/>
    <s v="60802449"/>
    <m/>
    <m/>
    <m/>
    <m/>
    <m/>
    <m/>
    <s v="SOLRECOUP"/>
    <s v="SOLRECOUP"/>
    <s v="POARECOUP"/>
    <n v="21339969"/>
    <n v="-167"/>
    <m/>
    <s v="Y"/>
    <n v="1"/>
    <d v="2023-07-06T19:54:23"/>
    <s v="N"/>
    <m/>
    <m/>
    <s v="Non Expert Disbursement"/>
    <m/>
    <s v="N"/>
    <n v="-167"/>
    <n v="0"/>
    <x v="4"/>
    <s v="VALIDATED"/>
    <n v="1"/>
    <s v="01.11.80.308.2013.0000"/>
    <n v="-167"/>
    <s v="11"/>
    <s v="2013"/>
    <n v="4340.31"/>
    <n v="-167"/>
    <s v="CREDITOR"/>
    <n v="0"/>
    <n v="0"/>
    <n v="-167"/>
    <n v="0"/>
    <n v="0"/>
  </r>
  <r>
    <n v="60802449"/>
    <s v="N"/>
    <n v="21339969"/>
    <s v="3000015037270001RC"/>
    <s v="CIVIL"/>
    <d v="2023-06-27T00:00:00"/>
    <d v="2023-07-06T19:54:22"/>
    <m/>
    <d v="2023-07-06T00:00:00"/>
    <n v="1099"/>
    <n v="14323"/>
    <s v="60802449"/>
    <s v="60802449"/>
    <m/>
    <m/>
    <m/>
    <m/>
    <m/>
    <m/>
    <s v="SOLRECOUP"/>
    <s v="SOLRECOUP"/>
    <s v="POARECOUP"/>
    <n v="21339969"/>
    <n v="-167"/>
    <m/>
    <s v="Y"/>
    <n v="2"/>
    <d v="2023-07-06T19:54:23"/>
    <s v="N"/>
    <m/>
    <m/>
    <s v="Non Expert Disbursement"/>
    <m/>
    <s v="N"/>
    <n v="0"/>
    <n v="0"/>
    <x v="4"/>
    <s v="VALIDATED"/>
    <n v="1"/>
    <s v="01.11.80.000.0000.0000"/>
    <n v="0"/>
    <s v="11"/>
    <s v="0000"/>
    <n v="4340.31"/>
    <n v="0"/>
    <s v="CREDITOR"/>
    <n v="0"/>
    <n v="0"/>
    <n v="0"/>
    <n v="0"/>
    <n v="0"/>
  </r>
  <r>
    <n v="60802449"/>
    <s v="N"/>
    <n v="21339970"/>
    <s v="3000015037270005RC"/>
    <s v="CIVIL"/>
    <d v="2023-06-27T00:00:00"/>
    <d v="2023-07-06T19:54:22"/>
    <m/>
    <d v="2023-07-06T00:00:00"/>
    <n v="1099"/>
    <n v="14323"/>
    <s v="60802449"/>
    <s v="60802449"/>
    <m/>
    <m/>
    <m/>
    <m/>
    <m/>
    <m/>
    <s v="SOLRECOUP"/>
    <s v="SOLRECOUP"/>
    <s v="POARECOUP"/>
    <n v="21339970"/>
    <n v="-1805.57"/>
    <m/>
    <s v="Y"/>
    <n v="1"/>
    <d v="2023-07-06T19:54:23"/>
    <s v="N"/>
    <m/>
    <m/>
    <s v="Profit Cost"/>
    <m/>
    <s v="N"/>
    <n v="-1504.64"/>
    <n v="0"/>
    <x v="4"/>
    <s v="VALIDATED"/>
    <n v="1"/>
    <s v="01.11.80.308.2013.0000"/>
    <n v="-1504.64"/>
    <s v="11"/>
    <s v="2013"/>
    <n v="4340.31"/>
    <n v="-1504.64"/>
    <s v="CREDITOR"/>
    <n v="0"/>
    <n v="0"/>
    <n v="-1504.64"/>
    <n v="-376.16"/>
    <n v="0"/>
  </r>
  <r>
    <n v="60802449"/>
    <s v="N"/>
    <n v="21339970"/>
    <s v="3000015037270005RC"/>
    <s v="CIVIL"/>
    <d v="2023-06-27T00:00:00"/>
    <d v="2023-07-06T19:54:22"/>
    <m/>
    <d v="2023-07-06T00:00:00"/>
    <n v="1099"/>
    <n v="14323"/>
    <s v="60802449"/>
    <s v="60802449"/>
    <m/>
    <m/>
    <m/>
    <m/>
    <m/>
    <m/>
    <s v="SOLRECOUP"/>
    <s v="SOLRECOUP"/>
    <s v="POARECOUP"/>
    <n v="21339970"/>
    <n v="-1805.57"/>
    <m/>
    <s v="Y"/>
    <n v="2"/>
    <d v="2023-07-06T19:54:23"/>
    <s v="N"/>
    <m/>
    <m/>
    <s v="Profit Cost"/>
    <m/>
    <s v="N"/>
    <n v="0"/>
    <n v="-300.93"/>
    <x v="4"/>
    <s v="VALIDATED"/>
    <n v="1"/>
    <s v="01.11.80.308.2013.0000"/>
    <n v="-300.93"/>
    <s v="11"/>
    <s v="2013"/>
    <n v="4340.31"/>
    <n v="-300.93"/>
    <s v="CREDITOR"/>
    <n v="0"/>
    <n v="0"/>
    <n v="-300.93"/>
    <n v="-75.2325"/>
    <n v="0"/>
  </r>
  <r>
    <n v="60802449"/>
    <s v="N"/>
    <n v="21339971"/>
    <s v="3000015037270006RC"/>
    <s v="CIVIL"/>
    <d v="2023-06-27T00:00:00"/>
    <d v="2023-07-06T19:54:22"/>
    <m/>
    <d v="2023-07-06T00:00:00"/>
    <n v="1099"/>
    <n v="14323"/>
    <s v="60802449"/>
    <s v="60802449"/>
    <m/>
    <m/>
    <m/>
    <m/>
    <m/>
    <m/>
    <s v="SOLRECOUP"/>
    <s v="SOLRECOUP"/>
    <s v="POARECOUP"/>
    <n v="21339971"/>
    <n v="-572.3"/>
    <m/>
    <s v="Y"/>
    <n v="1"/>
    <d v="2023-07-06T19:54:23"/>
    <s v="N"/>
    <m/>
    <m/>
    <s v="Non Expert Disbursement"/>
    <m/>
    <s v="N"/>
    <n v="-476.92"/>
    <n v="0"/>
    <x v="4"/>
    <s v="VALIDATED"/>
    <n v="1"/>
    <s v="01.11.80.308.2013.0000"/>
    <n v="-476.92"/>
    <s v="11"/>
    <s v="2013"/>
    <n v="4340.31"/>
    <n v="-476.92"/>
    <s v="CREDITOR"/>
    <n v="0"/>
    <n v="0"/>
    <n v="-476.92"/>
    <n v="0"/>
    <n v="0"/>
  </r>
  <r>
    <n v="60802449"/>
    <s v="N"/>
    <n v="21339971"/>
    <s v="3000015037270006RC"/>
    <s v="CIVIL"/>
    <d v="2023-06-27T00:00:00"/>
    <d v="2023-07-06T19:54:22"/>
    <m/>
    <d v="2023-07-06T00:00:00"/>
    <n v="1099"/>
    <n v="14323"/>
    <s v="60802449"/>
    <s v="60802449"/>
    <m/>
    <m/>
    <m/>
    <m/>
    <m/>
    <m/>
    <s v="SOLRECOUP"/>
    <s v="SOLRECOUP"/>
    <s v="POARECOUP"/>
    <n v="21339971"/>
    <n v="-572.3"/>
    <m/>
    <s v="Y"/>
    <n v="2"/>
    <d v="2023-07-06T19:54:23"/>
    <s v="N"/>
    <m/>
    <m/>
    <s v="Non Expert Disbursement"/>
    <m/>
    <s v="N"/>
    <n v="0"/>
    <n v="-95.38"/>
    <x v="4"/>
    <s v="VALIDATED"/>
    <n v="1"/>
    <s v="01.11.80.308.2013.0000"/>
    <n v="-95.38"/>
    <s v="11"/>
    <s v="2013"/>
    <n v="4340.31"/>
    <n v="-95.38"/>
    <s v="CREDITOR"/>
    <n v="0"/>
    <n v="0"/>
    <n v="-95.38"/>
    <n v="0"/>
    <n v="0"/>
  </r>
  <r>
    <n v="60802449"/>
    <s v="N"/>
    <n v="21339972"/>
    <s v="3000015037270003RC"/>
    <s v="CIVIL"/>
    <d v="2023-06-27T00:00:00"/>
    <d v="2023-07-06T19:54:22"/>
    <m/>
    <d v="2023-07-06T00:00:00"/>
    <n v="1099"/>
    <n v="14323"/>
    <s v="60802449"/>
    <s v="60802449"/>
    <m/>
    <m/>
    <m/>
    <m/>
    <m/>
    <m/>
    <s v="SOLRECOUP"/>
    <s v="SOLRECOUP"/>
    <s v="POARECOUP"/>
    <n v="21339972"/>
    <n v="-50.4"/>
    <m/>
    <s v="Y"/>
    <n v="1"/>
    <d v="2023-07-06T19:54:23"/>
    <s v="N"/>
    <m/>
    <m/>
    <s v="Expert Disbursement"/>
    <m/>
    <s v="N"/>
    <n v="-50.4"/>
    <n v="0"/>
    <x v="4"/>
    <s v="VALIDATED"/>
    <n v="1"/>
    <s v="01.11.80.308.2013.0000"/>
    <n v="-50.4"/>
    <s v="11"/>
    <s v="2013"/>
    <n v="4340.31"/>
    <n v="-50.4"/>
    <s v="CREDITOR"/>
    <n v="0"/>
    <n v="0"/>
    <n v="-50.4"/>
    <n v="0"/>
    <n v="0"/>
  </r>
  <r>
    <n v="60802449"/>
    <s v="N"/>
    <n v="21339972"/>
    <s v="3000015037270003RC"/>
    <s v="CIVIL"/>
    <d v="2023-06-27T00:00:00"/>
    <d v="2023-07-06T19:54:22"/>
    <m/>
    <d v="2023-07-06T00:00:00"/>
    <n v="1099"/>
    <n v="14323"/>
    <s v="60802449"/>
    <s v="60802449"/>
    <m/>
    <m/>
    <m/>
    <m/>
    <m/>
    <m/>
    <s v="SOLRECOUP"/>
    <s v="SOLRECOUP"/>
    <s v="POARECOUP"/>
    <n v="21339972"/>
    <n v="-50.4"/>
    <m/>
    <s v="Y"/>
    <n v="2"/>
    <d v="2023-07-06T19:54:23"/>
    <s v="N"/>
    <m/>
    <m/>
    <s v="Expert Disbursement"/>
    <m/>
    <s v="N"/>
    <n v="0"/>
    <n v="0"/>
    <x v="4"/>
    <s v="VALIDATED"/>
    <n v="1"/>
    <s v="01.11.80.000.0000.0000"/>
    <n v="0"/>
    <s v="11"/>
    <s v="0000"/>
    <n v="4340.31"/>
    <n v="0"/>
    <s v="CREDITOR"/>
    <n v="0"/>
    <n v="0"/>
    <n v="0"/>
    <n v="0"/>
    <n v="0"/>
  </r>
  <r>
    <n v="60802449"/>
    <s v="N"/>
    <n v="21339973"/>
    <s v="3000015037270007RC"/>
    <s v="CIVIL"/>
    <d v="2023-06-27T00:00:00"/>
    <d v="2023-07-06T19:54:22"/>
    <m/>
    <d v="2023-07-06T00:00:00"/>
    <n v="1099"/>
    <n v="14323"/>
    <s v="60802449"/>
    <s v="60802449"/>
    <m/>
    <m/>
    <m/>
    <m/>
    <m/>
    <m/>
    <s v="SOLRECOUP"/>
    <s v="SOLRECOUP"/>
    <s v="POARECOUP"/>
    <n v="21339973"/>
    <n v="-167"/>
    <m/>
    <s v="Y"/>
    <n v="1"/>
    <d v="2023-07-06T19:54:23"/>
    <s v="N"/>
    <m/>
    <m/>
    <s v="Non Expert Disbursement"/>
    <m/>
    <s v="N"/>
    <n v="-167"/>
    <n v="0"/>
    <x v="4"/>
    <s v="VALIDATED"/>
    <n v="1"/>
    <s v="01.11.80.308.2013.0000"/>
    <n v="-167"/>
    <s v="11"/>
    <s v="2013"/>
    <n v="4340.31"/>
    <n v="-167"/>
    <s v="CREDITOR"/>
    <n v="0"/>
    <n v="0"/>
    <n v="-167"/>
    <n v="0"/>
    <n v="0"/>
  </r>
  <r>
    <n v="60802449"/>
    <s v="N"/>
    <n v="21339973"/>
    <s v="3000015037270007RC"/>
    <s v="CIVIL"/>
    <d v="2023-06-27T00:00:00"/>
    <d v="2023-07-06T19:54:22"/>
    <m/>
    <d v="2023-07-06T00:00:00"/>
    <n v="1099"/>
    <n v="14323"/>
    <s v="60802449"/>
    <s v="60802449"/>
    <m/>
    <m/>
    <m/>
    <m/>
    <m/>
    <m/>
    <s v="SOLRECOUP"/>
    <s v="SOLRECOUP"/>
    <s v="POARECOUP"/>
    <n v="21339973"/>
    <n v="-167"/>
    <m/>
    <s v="Y"/>
    <n v="2"/>
    <d v="2023-07-06T19:54:23"/>
    <s v="N"/>
    <m/>
    <m/>
    <s v="Non Expert Disbursement"/>
    <m/>
    <s v="N"/>
    <n v="0"/>
    <n v="0"/>
    <x v="4"/>
    <s v="VALIDATED"/>
    <n v="1"/>
    <s v="01.11.80.000.0000.0000"/>
    <n v="0"/>
    <s v="11"/>
    <s v="0000"/>
    <n v="4340.31"/>
    <n v="0"/>
    <s v="CREDITOR"/>
    <n v="0"/>
    <n v="0"/>
    <n v="0"/>
    <n v="0"/>
    <n v="0"/>
  </r>
  <r>
    <n v="61242585"/>
    <s v="N"/>
    <n v="21328659"/>
    <s v="3000015408580001RC"/>
    <s v="CIVIL"/>
    <d v="2023-05-24T00:00:00"/>
    <d v="2023-07-04T19:38:21"/>
    <m/>
    <d v="2023-07-04T00:00:00"/>
    <n v="1099"/>
    <n v="14323"/>
    <s v="61242585"/>
    <s v="61242585"/>
    <m/>
    <m/>
    <m/>
    <m/>
    <m/>
    <m/>
    <s v="SOLRECOUP"/>
    <s v="SOLRECOUP"/>
    <s v="POARECOUP"/>
    <n v="21328659"/>
    <n v="-232"/>
    <m/>
    <s v="Y"/>
    <n v="1"/>
    <d v="2023-07-04T19:38:22"/>
    <s v="N"/>
    <m/>
    <m/>
    <s v="Non Expert Disbursement"/>
    <m/>
    <s v="N"/>
    <n v="-232"/>
    <n v="0"/>
    <x v="1"/>
    <s v="VALIDATED"/>
    <n v="1"/>
    <s v="01.11.80.307.2013.0000"/>
    <n v="-232"/>
    <s v="11"/>
    <s v="2013"/>
    <n v="4340.31"/>
    <n v="-232"/>
    <s v="CREDITOR"/>
    <n v="0"/>
    <n v="0"/>
    <n v="-232"/>
    <n v="0"/>
    <n v="0"/>
  </r>
  <r>
    <n v="61242585"/>
    <s v="N"/>
    <n v="21328659"/>
    <s v="3000015408580001RC"/>
    <s v="CIVIL"/>
    <d v="2023-05-24T00:00:00"/>
    <d v="2023-07-04T19:38:21"/>
    <m/>
    <d v="2023-07-04T00:00:00"/>
    <n v="1099"/>
    <n v="14323"/>
    <s v="61242585"/>
    <s v="61242585"/>
    <m/>
    <m/>
    <m/>
    <m/>
    <m/>
    <m/>
    <s v="SOLRECOUP"/>
    <s v="SOLRECOUP"/>
    <s v="POARECOUP"/>
    <n v="21328659"/>
    <n v="-232"/>
    <m/>
    <s v="Y"/>
    <n v="2"/>
    <d v="2023-07-04T19:38:22"/>
    <s v="N"/>
    <m/>
    <m/>
    <s v="Non Expert Disbursement"/>
    <m/>
    <s v="N"/>
    <n v="0"/>
    <n v="0"/>
    <x v="1"/>
    <s v="VALIDATED"/>
    <n v="1"/>
    <s v="01.11.80.000.0000.0000"/>
    <n v="0"/>
    <s v="11"/>
    <s v="0000"/>
    <n v="4340.31"/>
    <n v="0"/>
    <s v="CREDITOR"/>
    <n v="0"/>
    <n v="0"/>
    <n v="0"/>
    <n v="0"/>
    <n v="0"/>
  </r>
  <r>
    <n v="61242585"/>
    <s v="N"/>
    <n v="21328660"/>
    <s v="3000015408580004RC"/>
    <s v="CIVIL"/>
    <d v="2023-05-24T00:00:00"/>
    <d v="2023-07-04T19:38:21"/>
    <m/>
    <d v="2023-07-04T00:00:00"/>
    <n v="1099"/>
    <n v="14323"/>
    <s v="61242585"/>
    <s v="61242585"/>
    <m/>
    <m/>
    <m/>
    <m/>
    <m/>
    <m/>
    <s v="SOLRECOUP"/>
    <s v="SOLRECOUP"/>
    <s v="POARECOUP"/>
    <n v="21328660"/>
    <n v="-1271.21"/>
    <m/>
    <s v="Y"/>
    <n v="1"/>
    <d v="2023-07-04T19:38:22"/>
    <s v="N"/>
    <m/>
    <m/>
    <s v="Profit Cost"/>
    <m/>
    <s v="N"/>
    <n v="-1059.34"/>
    <n v="0"/>
    <x v="1"/>
    <s v="VALIDATED"/>
    <n v="1"/>
    <s v="01.11.80.307.2013.0000"/>
    <n v="-1059.34"/>
    <s v="11"/>
    <s v="2013"/>
    <n v="4340.31"/>
    <n v="-1059.34"/>
    <s v="CREDITOR"/>
    <n v="0"/>
    <n v="0"/>
    <n v="-1059.34"/>
    <n v="-264.835"/>
    <n v="0"/>
  </r>
  <r>
    <n v="61242585"/>
    <s v="N"/>
    <n v="21328660"/>
    <s v="3000015408580004RC"/>
    <s v="CIVIL"/>
    <d v="2023-05-24T00:00:00"/>
    <d v="2023-07-04T19:38:21"/>
    <m/>
    <d v="2023-07-04T00:00:00"/>
    <n v="1099"/>
    <n v="14323"/>
    <s v="61242585"/>
    <s v="61242585"/>
    <m/>
    <m/>
    <m/>
    <m/>
    <m/>
    <m/>
    <s v="SOLRECOUP"/>
    <s v="SOLRECOUP"/>
    <s v="POARECOUP"/>
    <n v="21328660"/>
    <n v="-1271.21"/>
    <m/>
    <s v="Y"/>
    <n v="2"/>
    <d v="2023-07-04T19:38:22"/>
    <s v="N"/>
    <m/>
    <m/>
    <s v="Profit Cost"/>
    <m/>
    <s v="N"/>
    <n v="0"/>
    <n v="-211.87"/>
    <x v="1"/>
    <s v="VALIDATED"/>
    <n v="1"/>
    <s v="01.11.80.307.2013.0000"/>
    <n v="-211.87"/>
    <s v="11"/>
    <s v="2013"/>
    <n v="4340.31"/>
    <n v="-211.87"/>
    <s v="CREDITOR"/>
    <n v="0"/>
    <n v="0"/>
    <n v="-211.87"/>
    <n v="-52.9675"/>
    <n v="0"/>
  </r>
  <r>
    <n v="61687147"/>
    <s v="N"/>
    <n v="21349976"/>
    <s v="3000015781700003"/>
    <s v="CIVIL"/>
    <d v="2023-06-30T00:00:00"/>
    <d v="2023-07-10T19:01:40"/>
    <m/>
    <d v="2023-07-10T00:00:00"/>
    <n v="1099"/>
    <n v="14323"/>
    <s v="61687147"/>
    <s v="61687147"/>
    <m/>
    <m/>
    <n v="22799326"/>
    <m/>
    <m/>
    <m/>
    <s v="SOLFIN"/>
    <s v="SOLFIN"/>
    <s v="CCMS"/>
    <n v="21349976"/>
    <n v="3216.38"/>
    <m/>
    <s v="N"/>
    <n v="28"/>
    <d v="2023-07-10T19:02:06"/>
    <s v="Y"/>
    <s v="Preparation - other"/>
    <s v="Care Remuneration Hourly Rates"/>
    <s v="Profit Cost"/>
    <s v="SVS15"/>
    <s v="Y"/>
    <n v="13.43"/>
    <n v="2.69"/>
    <x v="2"/>
    <s v="VALIDATED"/>
    <n v="1"/>
    <s v="01.11.80.305.6100.0000"/>
    <n v="13.43"/>
    <s v="11"/>
    <s v="6100"/>
    <n v="4340.31"/>
    <n v="13.43"/>
    <s v="CREDITOR"/>
    <n v="0"/>
    <n v="0"/>
    <n v="0"/>
    <n v="0"/>
    <n v="13.43"/>
  </r>
  <r>
    <n v="61242585"/>
    <s v="N"/>
    <n v="21327858"/>
    <s v="3000015408580006"/>
    <s v="CIVIL"/>
    <d v="2023-05-24T00:00:00"/>
    <d v="2023-07-04T19:00:44"/>
    <m/>
    <d v="2023-07-04T00:00:00"/>
    <n v="1099"/>
    <n v="14323"/>
    <s v="61242585"/>
    <s v="61242585"/>
    <m/>
    <m/>
    <n v="22565288"/>
    <m/>
    <m/>
    <m/>
    <s v="SOLFIN"/>
    <s v="SOLFIN"/>
    <s v="CCMS"/>
    <n v="21327858"/>
    <n v="2761.72"/>
    <m/>
    <s v="N"/>
    <n v="8"/>
    <d v="2023-07-04T19:00:56"/>
    <s v="Y"/>
    <s v="Preparation - drafting notice(s)"/>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22"/>
    <d v="2023-07-04T19:00:56"/>
    <s v="Y"/>
    <s v="Preparation - other"/>
    <s v="Prescribed Hourly Rates"/>
    <s v="Profit Cost"/>
    <s v="SAB"/>
    <s v="Y"/>
    <n v="5.49"/>
    <n v="1.1"/>
    <x v="1"/>
    <s v="VALIDATED"/>
    <n v="1"/>
    <s v="01.11.80.307.6100.0000"/>
    <n v="5.49"/>
    <s v="11"/>
    <s v="6100"/>
    <n v="4340.31"/>
    <n v="5.49"/>
    <s v="CREDITOR"/>
    <n v="0"/>
    <n v="0"/>
    <n v="0"/>
    <n v="0"/>
    <n v="5.49"/>
  </r>
  <r>
    <n v="62037673"/>
    <s v="N"/>
    <n v="21320144"/>
    <s v="3000016021890005"/>
    <s v="CIVIL"/>
    <d v="2023-06-27T00:00:00"/>
    <d v="2023-07-03T19:04:24"/>
    <m/>
    <d v="2023-07-03T00:00:00"/>
    <n v="1099"/>
    <n v="14323"/>
    <s v="62037673"/>
    <s v="62037673"/>
    <m/>
    <m/>
    <n v="22771252"/>
    <m/>
    <m/>
    <m/>
    <s v="SOLPOA"/>
    <s v="SOLPOA"/>
    <s v="CCMS"/>
    <n v="21320144"/>
    <n v="50.4"/>
    <m/>
    <s v="N"/>
    <n v="1"/>
    <d v="2023-07-03T19:04:29"/>
    <s v="N"/>
    <s v="Non Expert Disbursement - Private L"/>
    <s v="Non Expert Disbursement - Priv"/>
    <s v="Non Expert Disbursement"/>
    <s v="Sabrina Banga"/>
    <s v="N"/>
    <n v="50.4"/>
    <n v="0"/>
    <x v="3"/>
    <s v="VALIDATED"/>
    <n v="1"/>
    <s v="01.11.80.307.2012.0000"/>
    <n v="50.4"/>
    <s v="11"/>
    <s v="2012"/>
    <n v="4340.31"/>
    <n v="50.4"/>
    <s v="CREDITOR"/>
    <n v="50.4"/>
    <n v="0"/>
    <n v="0"/>
    <n v="0"/>
    <n v="0"/>
  </r>
  <r>
    <n v="61687147"/>
    <s v="N"/>
    <n v="21349976"/>
    <s v="3000015781700003"/>
    <s v="CIVIL"/>
    <d v="2023-06-30T00:00:00"/>
    <d v="2023-07-10T19:01:40"/>
    <m/>
    <d v="2023-07-10T00:00:00"/>
    <n v="1099"/>
    <n v="14323"/>
    <s v="61687147"/>
    <s v="61687147"/>
    <m/>
    <m/>
    <n v="22799326"/>
    <m/>
    <m/>
    <m/>
    <s v="SOLFIN"/>
    <s v="SOLFIN"/>
    <s v="CCMS"/>
    <n v="21349976"/>
    <n v="3216.38"/>
    <m/>
    <s v="N"/>
    <n v="13"/>
    <d v="2023-07-10T19:02:06"/>
    <s v="Y"/>
    <s v="Preparation - other"/>
    <s v="Care Remuneration Hourly Rates"/>
    <s v="Profit Cost"/>
    <s v="SVS15"/>
    <s v="Y"/>
    <n v="13.43"/>
    <n v="2.69"/>
    <x v="2"/>
    <s v="VALIDATED"/>
    <n v="1"/>
    <s v="01.11.80.305.6100.0000"/>
    <n v="13.43"/>
    <s v="11"/>
    <s v="6100"/>
    <n v="4340.31"/>
    <n v="13.43"/>
    <s v="CREDITOR"/>
    <n v="0"/>
    <n v="0"/>
    <n v="0"/>
    <n v="0"/>
    <n v="13.43"/>
  </r>
  <r>
    <n v="61242585"/>
    <s v="N"/>
    <n v="21327858"/>
    <s v="3000015408580006"/>
    <s v="CIVIL"/>
    <d v="2023-05-24T00:00:00"/>
    <d v="2023-07-04T19:00:44"/>
    <m/>
    <d v="2023-07-04T00:00:00"/>
    <n v="1099"/>
    <n v="14323"/>
    <s v="61242585"/>
    <s v="61242585"/>
    <m/>
    <m/>
    <n v="22565288"/>
    <m/>
    <m/>
    <m/>
    <s v="SOLFIN"/>
    <s v="SOLFIN"/>
    <s v="CCMS"/>
    <n v="21327858"/>
    <n v="2761.72"/>
    <m/>
    <s v="N"/>
    <n v="7"/>
    <d v="2023-07-04T19:00:56"/>
    <s v="Y"/>
    <s v="Preparation - other"/>
    <s v="Prescribed Hourly Rates"/>
    <s v="Profit Cost"/>
    <s v="SAB25"/>
    <s v="Y"/>
    <n v="19.76"/>
    <n v="3.95"/>
    <x v="1"/>
    <s v="VALIDATED"/>
    <n v="1"/>
    <s v="01.11.80.307.6100.0000"/>
    <n v="19.76"/>
    <s v="11"/>
    <s v="6100"/>
    <n v="4340.31"/>
    <n v="19.76"/>
    <s v="CREDITOR"/>
    <n v="0"/>
    <n v="0"/>
    <n v="0"/>
    <n v="0"/>
    <n v="19.76"/>
  </r>
  <r>
    <n v="62015352"/>
    <s v="N"/>
    <n v="21322302"/>
    <s v="3000015940730005"/>
    <s v="CIVIL"/>
    <d v="2023-06-29T00:00:00"/>
    <d v="2023-07-03T19:05:36"/>
    <m/>
    <d v="2023-07-03T00:00:00"/>
    <n v="1099"/>
    <n v="14323"/>
    <s v="62015352"/>
    <s v="62015352"/>
    <m/>
    <m/>
    <n v="22788914"/>
    <m/>
    <m/>
    <m/>
    <s v="SOLPOA"/>
    <s v="SOLPOA"/>
    <s v="CCMS"/>
    <n v="21322302"/>
    <n v="282"/>
    <m/>
    <s v="N"/>
    <n v="1"/>
    <d v="2023-07-03T19:05:37"/>
    <s v="N"/>
    <s v="Expert Cost"/>
    <s v="Expert Cost"/>
    <s v="Expert Disbursement"/>
    <s v="Sapphire Stait"/>
    <s v="N"/>
    <n v="235"/>
    <n v="47"/>
    <x v="3"/>
    <s v="VALIDATED"/>
    <n v="1"/>
    <s v="01.11.80.308.2012.0000"/>
    <n v="235"/>
    <s v="11"/>
    <s v="2012"/>
    <n v="4340.31"/>
    <n v="235"/>
    <s v="CREDITOR"/>
    <n v="235"/>
    <n v="0"/>
    <n v="0"/>
    <n v="0"/>
    <n v="0"/>
  </r>
  <r>
    <n v="61242585"/>
    <s v="N"/>
    <n v="21327858"/>
    <s v="3000015408580006"/>
    <s v="CIVIL"/>
    <d v="2023-05-24T00:00:00"/>
    <d v="2023-07-04T19:00:44"/>
    <m/>
    <d v="2023-07-04T00:00:00"/>
    <n v="1099"/>
    <n v="14323"/>
    <s v="61242585"/>
    <s v="61242585"/>
    <m/>
    <m/>
    <n v="22565288"/>
    <m/>
    <m/>
    <m/>
    <s v="SOLFIN"/>
    <s v="SOLFIN"/>
    <s v="CCMS"/>
    <n v="21327858"/>
    <n v="2761.72"/>
    <m/>
    <s v="N"/>
    <n v="4"/>
    <d v="2023-07-04T19:00:56"/>
    <s v="Y"/>
    <s v="Preparation - drafting application"/>
    <s v="Prescribed Hourly Rates"/>
    <s v="Profit Cost"/>
    <s v="SAB25"/>
    <s v="Y"/>
    <n v="72.47"/>
    <n v="14.5"/>
    <x v="1"/>
    <s v="VALIDATED"/>
    <n v="1"/>
    <s v="01.11.80.307.6100.0000"/>
    <n v="72.47"/>
    <s v="11"/>
    <s v="6100"/>
    <n v="4340.31"/>
    <n v="72.47"/>
    <s v="CREDITOR"/>
    <n v="0"/>
    <n v="0"/>
    <n v="0"/>
    <n v="0"/>
    <n v="72.47"/>
  </r>
  <r>
    <n v="61242585"/>
    <s v="N"/>
    <n v="21327858"/>
    <s v="3000015408580006"/>
    <s v="CIVIL"/>
    <d v="2023-05-24T00:00:00"/>
    <d v="2023-07-04T19:00:44"/>
    <m/>
    <d v="2023-07-04T00:00:00"/>
    <n v="1099"/>
    <n v="14323"/>
    <s v="61242585"/>
    <s v="61242585"/>
    <m/>
    <m/>
    <n v="22565288"/>
    <m/>
    <m/>
    <m/>
    <s v="SOLFIN"/>
    <s v="SOLFIN"/>
    <s v="CCMS"/>
    <n v="21327858"/>
    <n v="2761.72"/>
    <m/>
    <s v="N"/>
    <n v="23"/>
    <d v="2023-07-04T19:00:56"/>
    <s v="Y"/>
    <s v="Preparation - other"/>
    <s v="Prescribed Hourly Rates"/>
    <s v="Profit Cost"/>
    <s v="SAB25"/>
    <s v="Y"/>
    <n v="6.59"/>
    <n v="1.32"/>
    <x v="1"/>
    <s v="VALIDATED"/>
    <n v="1"/>
    <s v="01.11.80.307.6100.0000"/>
    <n v="6.59"/>
    <s v="11"/>
    <s v="6100"/>
    <n v="4340.31"/>
    <n v="6.59"/>
    <s v="CREDITOR"/>
    <n v="0"/>
    <n v="0"/>
    <n v="0"/>
    <n v="0"/>
    <n v="6.59"/>
  </r>
  <r>
    <n v="61687147"/>
    <s v="N"/>
    <n v="21349976"/>
    <s v="3000015781700003"/>
    <s v="CIVIL"/>
    <d v="2023-06-30T00:00:00"/>
    <d v="2023-07-10T19:01:40"/>
    <m/>
    <d v="2023-07-10T00:00:00"/>
    <n v="1099"/>
    <n v="14323"/>
    <s v="61687147"/>
    <s v="61687147"/>
    <m/>
    <m/>
    <n v="22799326"/>
    <m/>
    <m/>
    <m/>
    <s v="SOLFIN"/>
    <s v="SOLFIN"/>
    <s v="CCMS"/>
    <n v="21349976"/>
    <n v="3216.38"/>
    <m/>
    <s v="N"/>
    <n v="7"/>
    <d v="2023-07-10T19:02:06"/>
    <s v="Y"/>
    <s v="Preparation - other"/>
    <s v="Care Remuneration Hourly Rates"/>
    <s v="Profit Cost"/>
    <s v="SVS15"/>
    <s v="Y"/>
    <n v="141.06"/>
    <n v="28.21"/>
    <x v="2"/>
    <s v="VALIDATED"/>
    <n v="1"/>
    <s v="01.11.80.305.6100.0000"/>
    <n v="141.06"/>
    <s v="11"/>
    <s v="6100"/>
    <n v="4340.31"/>
    <n v="141.06"/>
    <s v="CREDITOR"/>
    <n v="0"/>
    <n v="0"/>
    <n v="0"/>
    <n v="0"/>
    <n v="141.06"/>
  </r>
  <r>
    <n v="61687147"/>
    <s v="N"/>
    <n v="21349976"/>
    <s v="3000015781700003"/>
    <s v="CIVIL"/>
    <d v="2023-06-30T00:00:00"/>
    <d v="2023-07-10T19:01:40"/>
    <m/>
    <d v="2023-07-10T00:00:00"/>
    <n v="1099"/>
    <n v="14323"/>
    <s v="61687147"/>
    <s v="61687147"/>
    <m/>
    <m/>
    <n v="22799326"/>
    <m/>
    <m/>
    <m/>
    <s v="SOLFIN"/>
    <s v="SOLFIN"/>
    <s v="CCMS"/>
    <n v="21349976"/>
    <n v="3216.38"/>
    <m/>
    <s v="N"/>
    <n v="24"/>
    <d v="2023-07-10T19:02:06"/>
    <s v="Y"/>
    <s v="Preparation - other"/>
    <s v="Care Remuneration Hourly Rates"/>
    <s v="Profit Cost"/>
    <s v="SVS15"/>
    <s v="Y"/>
    <n v="26.86"/>
    <n v="5.37"/>
    <x v="2"/>
    <s v="VALIDATED"/>
    <n v="1"/>
    <s v="01.11.80.305.6100.0000"/>
    <n v="26.86"/>
    <s v="11"/>
    <s v="6100"/>
    <n v="4340.31"/>
    <n v="26.86"/>
    <s v="CREDITOR"/>
    <n v="0"/>
    <n v="0"/>
    <n v="0"/>
    <n v="0"/>
    <n v="26.86"/>
  </r>
  <r>
    <n v="61687147"/>
    <s v="N"/>
    <n v="21349976"/>
    <s v="3000015781700003"/>
    <s v="CIVIL"/>
    <d v="2023-06-30T00:00:00"/>
    <d v="2023-07-10T19:01:40"/>
    <m/>
    <d v="2023-07-10T00:00:00"/>
    <n v="1099"/>
    <n v="14323"/>
    <s v="61687147"/>
    <s v="61687147"/>
    <m/>
    <m/>
    <n v="22799326"/>
    <m/>
    <m/>
    <m/>
    <s v="SOLFIN"/>
    <s v="SOLFIN"/>
    <s v="CCMS"/>
    <n v="21349976"/>
    <n v="3216.38"/>
    <m/>
    <s v="N"/>
    <n v="33"/>
    <d v="2023-07-10T19:02:06"/>
    <s v="Y"/>
    <s v="Routine Letter In"/>
    <s v="Care Remuneration Hourly Rates"/>
    <s v="Profit Cost"/>
    <s v="SVS15"/>
    <s v="Y"/>
    <n v="144.67"/>
    <n v="28.93"/>
    <x v="2"/>
    <s v="VALIDATED"/>
    <n v="1"/>
    <s v="01.11.80.305.6100.0000"/>
    <n v="144.67"/>
    <s v="11"/>
    <s v="6100"/>
    <n v="4340.31"/>
    <n v="144.67"/>
    <s v="CREDITOR"/>
    <n v="0"/>
    <n v="0"/>
    <n v="0"/>
    <n v="0"/>
    <n v="144.67"/>
  </r>
  <r>
    <n v="61242585"/>
    <s v="N"/>
    <n v="21327858"/>
    <s v="3000015408580006"/>
    <s v="CIVIL"/>
    <d v="2023-05-24T00:00:00"/>
    <d v="2023-07-04T19:00:44"/>
    <m/>
    <d v="2023-07-04T00:00:00"/>
    <n v="1099"/>
    <n v="14323"/>
    <s v="61242585"/>
    <s v="61242585"/>
    <m/>
    <m/>
    <n v="22565288"/>
    <m/>
    <m/>
    <m/>
    <s v="SOLFIN"/>
    <s v="SOLFIN"/>
    <s v="CCMS"/>
    <n v="21327858"/>
    <n v="2761.72"/>
    <m/>
    <s v="N"/>
    <n v="35"/>
    <d v="2023-07-04T19:00:56"/>
    <s v="Y"/>
    <s v="Preparation - drafting attendance n"/>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3"/>
    <d v="2023-07-04T19:00:56"/>
    <s v="Y"/>
    <s v="Preparation - other"/>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1"/>
    <d v="2023-07-04T19:00:56"/>
    <s v="Y"/>
    <s v="Court Fee"/>
    <s v="Prescribed Hourly Rates"/>
    <s v="Non Expert Disbursement"/>
    <s v="SAB"/>
    <s v="Y"/>
    <n v="232"/>
    <n v="0"/>
    <x v="1"/>
    <s v="VALIDATED"/>
    <n v="1"/>
    <s v="01.11.80.307.6300.0000"/>
    <n v="232"/>
    <s v="11"/>
    <s v="6300"/>
    <n v="4340.31"/>
    <n v="232"/>
    <s v="CREDITOR"/>
    <n v="0"/>
    <n v="0"/>
    <n v="0"/>
    <n v="0"/>
    <n v="232"/>
  </r>
  <r>
    <n v="62134085"/>
    <s v="N"/>
    <n v="21323232"/>
    <s v="3000016155970002"/>
    <s v="CIVIL"/>
    <d v="2023-06-30T00:00:00"/>
    <d v="2023-07-03T19:05:56"/>
    <m/>
    <d v="2023-07-03T00:00:00"/>
    <n v="1099"/>
    <n v="14323"/>
    <s v="62134085"/>
    <s v="62134085"/>
    <m/>
    <m/>
    <n v="22801318"/>
    <m/>
    <m/>
    <m/>
    <s v="SOLPOA"/>
    <s v="SOLPOA"/>
    <s v="CCMS"/>
    <n v="21323232"/>
    <n v="770.51"/>
    <m/>
    <s v="N"/>
    <n v="1"/>
    <d v="2023-07-03T19:05:56"/>
    <s v="N"/>
    <s v="Solicitors Fixed Fee"/>
    <s v="Public Law Children"/>
    <s v="Profit Cost"/>
    <s v="Luke Boxall"/>
    <s v="N"/>
    <n v="642.09"/>
    <n v="128.42"/>
    <x v="3"/>
    <s v="VALIDATED"/>
    <n v="1"/>
    <s v="01.11.80.308.2012.0000"/>
    <n v="642.09"/>
    <s v="11"/>
    <s v="2012"/>
    <n v="4340.31"/>
    <n v="642.09"/>
    <s v="CREDITOR"/>
    <n v="642.09"/>
    <n v="160.5225"/>
    <n v="0"/>
    <n v="0"/>
    <n v="0"/>
  </r>
  <r>
    <n v="61687147"/>
    <s v="N"/>
    <n v="21349976"/>
    <s v="3000015781700003"/>
    <s v="CIVIL"/>
    <d v="2023-06-30T00:00:00"/>
    <d v="2023-07-10T19:01:40"/>
    <m/>
    <d v="2023-07-10T00:00:00"/>
    <n v="1099"/>
    <n v="14323"/>
    <s v="61687147"/>
    <s v="61687147"/>
    <m/>
    <m/>
    <n v="22799326"/>
    <m/>
    <m/>
    <m/>
    <s v="SOLFIN"/>
    <s v="SOLFIN"/>
    <s v="CCMS"/>
    <n v="21349976"/>
    <n v="3216.38"/>
    <m/>
    <s v="N"/>
    <n v="15"/>
    <d v="2023-07-10T19:02:06"/>
    <s v="Y"/>
    <s v="Preparation - drafting statement"/>
    <s v="Care Remuneration Hourly Rates"/>
    <s v="Profit Cost"/>
    <s v="SVS15"/>
    <s v="Y"/>
    <n v="53.74"/>
    <n v="10.75"/>
    <x v="2"/>
    <s v="VALIDATED"/>
    <n v="1"/>
    <s v="01.11.80.305.6100.0000"/>
    <n v="53.74"/>
    <s v="11"/>
    <s v="6100"/>
    <n v="4340.31"/>
    <n v="53.74"/>
    <s v="CREDITOR"/>
    <n v="0"/>
    <n v="0"/>
    <n v="0"/>
    <n v="0"/>
    <n v="53.74"/>
  </r>
  <r>
    <n v="61687147"/>
    <s v="N"/>
    <n v="21349976"/>
    <s v="3000015781700003"/>
    <s v="CIVIL"/>
    <d v="2023-06-30T00:00:00"/>
    <d v="2023-07-10T19:01:40"/>
    <m/>
    <d v="2023-07-10T00:00:00"/>
    <n v="1099"/>
    <n v="14323"/>
    <s v="61687147"/>
    <s v="61687147"/>
    <m/>
    <m/>
    <n v="22799326"/>
    <m/>
    <m/>
    <m/>
    <s v="SOLFIN"/>
    <s v="SOLFIN"/>
    <s v="CCMS"/>
    <n v="21349976"/>
    <n v="3216.38"/>
    <m/>
    <s v="N"/>
    <n v="21"/>
    <d v="2023-07-10T19:02:06"/>
    <s v="Y"/>
    <s v="Preparation - other"/>
    <s v="Care Remuneration Hourly Rates"/>
    <s v="Profit Cost"/>
    <s v="SVS15"/>
    <s v="Y"/>
    <n v="13.43"/>
    <n v="2.69"/>
    <x v="2"/>
    <s v="VALIDATED"/>
    <n v="1"/>
    <s v="01.11.80.305.6100.0000"/>
    <n v="13.43"/>
    <s v="11"/>
    <s v="6100"/>
    <n v="4340.31"/>
    <n v="13.43"/>
    <s v="CREDITOR"/>
    <n v="0"/>
    <n v="0"/>
    <n v="0"/>
    <n v="0"/>
    <n v="13.43"/>
  </r>
  <r>
    <n v="61170842"/>
    <s v="N"/>
    <n v="21322993"/>
    <s v="3000015351540002"/>
    <s v="CIVIL"/>
    <d v="2023-06-29T00:00:00"/>
    <d v="2023-07-03T19:05:36"/>
    <m/>
    <d v="2023-07-03T00:00:00"/>
    <n v="1099"/>
    <n v="14323"/>
    <s v="61170842"/>
    <s v="61170842"/>
    <m/>
    <m/>
    <n v="22793024"/>
    <m/>
    <m/>
    <m/>
    <s v="SOLPOA"/>
    <s v="SOLPOA"/>
    <s v="CCMS"/>
    <n v="21322993"/>
    <n v="195.98"/>
    <m/>
    <s v="N"/>
    <n v="1"/>
    <d v="2023-07-03T19:05:41"/>
    <s v="N"/>
    <s v="Expert Cost"/>
    <s v="Expert Cost"/>
    <s v="Expert Disbursement"/>
    <s v="Patrick Sheedy"/>
    <s v="N"/>
    <n v="163.32"/>
    <n v="32.66"/>
    <x v="3"/>
    <s v="VALIDATED"/>
    <n v="1"/>
    <s v="01.11.80.305.2012.0000"/>
    <n v="163.32"/>
    <s v="11"/>
    <s v="2012"/>
    <n v="4340.31"/>
    <n v="163.32"/>
    <s v="CREDITOR"/>
    <n v="163.32"/>
    <n v="0"/>
    <n v="0"/>
    <n v="0"/>
    <n v="0"/>
  </r>
  <r>
    <n v="62134085"/>
    <s v="N"/>
    <n v="21323231"/>
    <s v="3000016155970001"/>
    <s v="CIVIL"/>
    <d v="2023-06-30T00:00:00"/>
    <d v="2023-07-03T19:05:56"/>
    <m/>
    <d v="2023-07-03T00:00:00"/>
    <n v="1099"/>
    <n v="14323"/>
    <s v="62134085"/>
    <s v="62134085"/>
    <m/>
    <m/>
    <n v="22801350"/>
    <m/>
    <m/>
    <m/>
    <s v="SOLPOA"/>
    <s v="SOLPOA"/>
    <s v="CCMS"/>
    <n v="21323231"/>
    <n v="972.71"/>
    <m/>
    <s v="N"/>
    <n v="1"/>
    <d v="2023-07-03T19:05:56"/>
    <s v="N"/>
    <s v="Solicitors Fixed Fee"/>
    <s v="Public Law Children"/>
    <s v="Profit Cost"/>
    <s v="Luke Boxall"/>
    <s v="N"/>
    <n v="810.59"/>
    <n v="162.12"/>
    <x v="3"/>
    <s v="VALIDATED"/>
    <n v="1"/>
    <s v="01.11.80.308.2012.0000"/>
    <n v="810.59"/>
    <s v="11"/>
    <s v="2012"/>
    <n v="4340.31"/>
    <n v="810.59"/>
    <s v="CREDITOR"/>
    <n v="810.59"/>
    <n v="202.6475"/>
    <n v="0"/>
    <n v="0"/>
    <n v="0"/>
  </r>
  <r>
    <n v="61687147"/>
    <s v="N"/>
    <n v="21349976"/>
    <s v="3000015781700003"/>
    <s v="CIVIL"/>
    <d v="2023-06-30T00:00:00"/>
    <d v="2023-07-10T19:01:40"/>
    <m/>
    <d v="2023-07-10T00:00:00"/>
    <n v="1099"/>
    <n v="14323"/>
    <s v="61687147"/>
    <s v="61687147"/>
    <m/>
    <m/>
    <n v="22799326"/>
    <m/>
    <m/>
    <m/>
    <s v="SOLFIN"/>
    <s v="SOLFIN"/>
    <s v="CCMS"/>
    <n v="21349976"/>
    <n v="3216.38"/>
    <m/>
    <s v="N"/>
    <n v="22"/>
    <d v="2023-07-10T19:02:06"/>
    <s v="Y"/>
    <s v="Preparation - other"/>
    <s v="Care Remuneration Hourly Rates"/>
    <s v="Profit Cost"/>
    <s v="SVS15"/>
    <s v="Y"/>
    <n v="20.15"/>
    <n v="4.03"/>
    <x v="2"/>
    <s v="VALIDATED"/>
    <n v="1"/>
    <s v="01.11.80.305.6100.0000"/>
    <n v="20.15"/>
    <s v="11"/>
    <s v="6100"/>
    <n v="4340.31"/>
    <n v="20.15"/>
    <s v="CREDITOR"/>
    <n v="0"/>
    <n v="0"/>
    <n v="0"/>
    <n v="0"/>
    <n v="20.15"/>
  </r>
  <r>
    <n v="61687147"/>
    <s v="N"/>
    <n v="21349976"/>
    <s v="3000015781700003"/>
    <s v="CIVIL"/>
    <d v="2023-06-30T00:00:00"/>
    <d v="2023-07-10T19:01:40"/>
    <m/>
    <d v="2023-07-10T00:00:00"/>
    <n v="1099"/>
    <n v="14323"/>
    <s v="61687147"/>
    <s v="61687147"/>
    <m/>
    <m/>
    <n v="22799326"/>
    <m/>
    <m/>
    <m/>
    <s v="SOLFIN"/>
    <s v="SOLFIN"/>
    <s v="CCMS"/>
    <n v="21349976"/>
    <n v="3216.38"/>
    <m/>
    <s v="N"/>
    <n v="20"/>
    <d v="2023-07-10T19:02:06"/>
    <s v="Y"/>
    <s v="Preparation - other"/>
    <s v="Care Remuneration Hourly Rates"/>
    <s v="Profit Cost"/>
    <s v="SVS15"/>
    <s v="Y"/>
    <n v="40.31"/>
    <n v="8.06"/>
    <x v="2"/>
    <s v="VALIDATED"/>
    <n v="1"/>
    <s v="01.11.80.305.6100.0000"/>
    <n v="40.31"/>
    <s v="11"/>
    <s v="6100"/>
    <n v="4340.31"/>
    <n v="40.31"/>
    <s v="CREDITOR"/>
    <n v="0"/>
    <n v="0"/>
    <n v="0"/>
    <n v="0"/>
    <n v="40.31"/>
  </r>
  <r>
    <n v="60802449"/>
    <s v="N"/>
    <n v="21337696"/>
    <s v="3000015037270008"/>
    <s v="CIVIL"/>
    <d v="2023-06-27T00:00:00"/>
    <d v="2023-07-06T19:21:01"/>
    <m/>
    <d v="2023-07-06T00:00:00"/>
    <n v="1099"/>
    <n v="14323"/>
    <s v="60802449"/>
    <s v="60802449"/>
    <m/>
    <m/>
    <n v="22772662"/>
    <m/>
    <m/>
    <m/>
    <s v="SOLFIN"/>
    <s v="SOLFIN"/>
    <s v="CCMS"/>
    <n v="21337696"/>
    <n v="5758.09"/>
    <m/>
    <s v="N"/>
    <n v="12"/>
    <d v="2023-07-06T19:21:04"/>
    <s v="Y"/>
    <s v="Final Hearing - 1 Day"/>
    <s v="Public Law Children"/>
    <s v="Advocacy"/>
    <s v="SAB"/>
    <s v="Y"/>
    <n v="696.1"/>
    <n v="139.22"/>
    <x v="4"/>
    <s v="VALIDATED"/>
    <n v="1"/>
    <s v="01.11.80.308.6100.0000"/>
    <n v="696.1"/>
    <s v="11"/>
    <s v="6100"/>
    <n v="4340.31"/>
    <n v="696.1"/>
    <s v="CREDITOR"/>
    <n v="0"/>
    <n v="0"/>
    <n v="0"/>
    <n v="0"/>
    <n v="696.1"/>
  </r>
  <r>
    <n v="61242585"/>
    <s v="N"/>
    <n v="21327858"/>
    <s v="3000015408580006"/>
    <s v="CIVIL"/>
    <d v="2023-05-24T00:00:00"/>
    <d v="2023-07-04T19:00:44"/>
    <m/>
    <d v="2023-07-04T00:00:00"/>
    <n v="1099"/>
    <n v="14323"/>
    <s v="61242585"/>
    <s v="61242585"/>
    <m/>
    <m/>
    <n v="22565288"/>
    <m/>
    <m/>
    <m/>
    <s v="SOLFIN"/>
    <s v="SOLFIN"/>
    <s v="CCMS"/>
    <n v="21327858"/>
    <n v="2761.72"/>
    <m/>
    <s v="N"/>
    <n v="41"/>
    <d v="2023-07-04T19:00:56"/>
    <s v="Y"/>
    <s v="Preparation - other"/>
    <s v="Prescribed Hourly Rates"/>
    <s v="Profit Cost"/>
    <s v="SAB"/>
    <s v="Y"/>
    <n v="16.47"/>
    <n v="3.29"/>
    <x v="1"/>
    <s v="VALIDATED"/>
    <n v="1"/>
    <s v="01.11.80.307.6100.0000"/>
    <n v="16.47"/>
    <s v="11"/>
    <s v="6100"/>
    <n v="4340.31"/>
    <n v="16.47"/>
    <s v="CREDITOR"/>
    <n v="0"/>
    <n v="0"/>
    <n v="0"/>
    <n v="0"/>
    <n v="16.47"/>
  </r>
  <r>
    <n v="61687147"/>
    <s v="N"/>
    <n v="21349976"/>
    <s v="3000015781700003"/>
    <s v="CIVIL"/>
    <d v="2023-06-30T00:00:00"/>
    <d v="2023-07-10T19:01:40"/>
    <m/>
    <d v="2023-07-10T00:00:00"/>
    <n v="1099"/>
    <n v="14323"/>
    <s v="61687147"/>
    <s v="61687147"/>
    <m/>
    <m/>
    <n v="22799326"/>
    <m/>
    <m/>
    <m/>
    <s v="SOLFIN"/>
    <s v="SOLFIN"/>
    <s v="CCMS"/>
    <n v="21349976"/>
    <n v="3216.38"/>
    <m/>
    <s v="N"/>
    <n v="34"/>
    <d v="2023-07-10T19:02:06"/>
    <s v="Y"/>
    <s v="Hearing Unit 1.01 - 2.30 Hours"/>
    <s v="Other Public Law Children"/>
    <s v="Advocacy"/>
    <s v="SVS"/>
    <s v="Y"/>
    <n v="208.53"/>
    <n v="41.71"/>
    <x v="2"/>
    <s v="VALIDATED"/>
    <n v="1"/>
    <s v="01.11.80.305.6100.0000"/>
    <n v="208.53"/>
    <s v="11"/>
    <s v="6100"/>
    <n v="4340.31"/>
    <n v="208.53"/>
    <s v="CREDITOR"/>
    <n v="0"/>
    <n v="0"/>
    <n v="0"/>
    <n v="0"/>
    <n v="208.53"/>
  </r>
  <r>
    <n v="61242585"/>
    <s v="N"/>
    <n v="21327858"/>
    <s v="3000015408580006"/>
    <s v="CIVIL"/>
    <d v="2023-05-24T00:00:00"/>
    <d v="2023-07-04T19:00:44"/>
    <m/>
    <d v="2023-07-04T00:00:00"/>
    <n v="1099"/>
    <n v="14323"/>
    <s v="61242585"/>
    <s v="61242585"/>
    <m/>
    <m/>
    <n v="22565288"/>
    <m/>
    <m/>
    <m/>
    <s v="SOLFIN"/>
    <s v="SOLFIN"/>
    <s v="CCMS"/>
    <n v="21327858"/>
    <n v="2761.72"/>
    <m/>
    <s v="N"/>
    <n v="37"/>
    <d v="2023-07-04T19:00:56"/>
    <s v="Y"/>
    <s v="Preparation - other"/>
    <s v="Prescribed Hourly Rates"/>
    <s v="Profit Cost"/>
    <s v="SAB25"/>
    <s v="Y"/>
    <n v="13.18"/>
    <n v="2.64"/>
    <x v="1"/>
    <s v="VALIDATED"/>
    <n v="1"/>
    <s v="01.11.80.307.6100.0000"/>
    <n v="13.18"/>
    <s v="11"/>
    <s v="6100"/>
    <n v="4340.31"/>
    <n v="13.18"/>
    <s v="CREDITOR"/>
    <n v="0"/>
    <n v="0"/>
    <n v="0"/>
    <n v="0"/>
    <n v="13.18"/>
  </r>
  <r>
    <n v="61687147"/>
    <s v="N"/>
    <n v="21349976"/>
    <s v="3000015781700003"/>
    <s v="CIVIL"/>
    <d v="2023-06-30T00:00:00"/>
    <d v="2023-07-10T19:01:40"/>
    <m/>
    <d v="2023-07-10T00:00:00"/>
    <n v="1099"/>
    <n v="14323"/>
    <s v="61687147"/>
    <s v="61687147"/>
    <m/>
    <m/>
    <n v="22799326"/>
    <m/>
    <m/>
    <m/>
    <s v="SOLFIN"/>
    <s v="SOLFIN"/>
    <s v="CCMS"/>
    <n v="21349976"/>
    <n v="3216.38"/>
    <m/>
    <s v="N"/>
    <n v="27"/>
    <d v="2023-07-10T19:02:06"/>
    <s v="Y"/>
    <s v="Preparation - other"/>
    <s v="Care Remuneration Hourly Rates"/>
    <s v="Profit Cost"/>
    <s v="SVS15"/>
    <s v="Y"/>
    <n v="40.31"/>
    <n v="8.06"/>
    <x v="2"/>
    <s v="VALIDATED"/>
    <n v="1"/>
    <s v="01.11.80.305.6100.0000"/>
    <n v="40.31"/>
    <s v="11"/>
    <s v="6100"/>
    <n v="4340.31"/>
    <n v="40.31"/>
    <s v="CREDITOR"/>
    <n v="0"/>
    <n v="0"/>
    <n v="0"/>
    <n v="0"/>
    <n v="40.31"/>
  </r>
  <r>
    <n v="60802449"/>
    <s v="N"/>
    <n v="21337696"/>
    <s v="3000015037270008"/>
    <s v="CIVIL"/>
    <d v="2023-06-27T00:00:00"/>
    <d v="2023-07-06T19:21:01"/>
    <m/>
    <d v="2023-07-06T00:00:00"/>
    <n v="1099"/>
    <n v="14323"/>
    <s v="60802449"/>
    <s v="60802449"/>
    <m/>
    <m/>
    <n v="22772662"/>
    <m/>
    <m/>
    <m/>
    <s v="SOLFIN"/>
    <s v="SOLFIN"/>
    <s v="CCMS"/>
    <n v="21337696"/>
    <n v="5758.09"/>
    <m/>
    <s v="N"/>
    <n v="13"/>
    <d v="2023-07-06T19:21:04"/>
    <s v="Y"/>
    <s v="Final Hearing Court Bundle/Advocate"/>
    <s v="Public Law Children"/>
    <s v="Advocacy"/>
    <s v="SAB"/>
    <s v="Y"/>
    <n v="239.4"/>
    <n v="47.88"/>
    <x v="4"/>
    <s v="VALIDATED"/>
    <n v="1"/>
    <s v="01.11.80.308.6100.0000"/>
    <n v="239.4"/>
    <s v="11"/>
    <s v="6100"/>
    <n v="4340.31"/>
    <n v="239.4"/>
    <s v="CREDITOR"/>
    <n v="0"/>
    <n v="0"/>
    <n v="0"/>
    <n v="0"/>
    <n v="239.4"/>
  </r>
  <r>
    <n v="61242585"/>
    <s v="N"/>
    <n v="21327858"/>
    <s v="3000015408580006"/>
    <s v="CIVIL"/>
    <d v="2023-05-24T00:00:00"/>
    <d v="2023-07-04T19:00:44"/>
    <m/>
    <d v="2023-07-04T00:00:00"/>
    <n v="1099"/>
    <n v="14323"/>
    <s v="61242585"/>
    <s v="61242585"/>
    <m/>
    <m/>
    <n v="22565288"/>
    <m/>
    <m/>
    <m/>
    <s v="SOLFIN"/>
    <s v="SOLFIN"/>
    <s v="CCMS"/>
    <n v="21327858"/>
    <n v="2761.72"/>
    <m/>
    <s v="N"/>
    <n v="34"/>
    <d v="2023-07-04T19:00:56"/>
    <s v="Y"/>
    <s v="Attendance upon client"/>
    <s v="Prescribed Hourly Rates"/>
    <s v="Profit Cost"/>
    <s v="SAB25"/>
    <s v="Y"/>
    <n v="19.76"/>
    <n v="3.95"/>
    <x v="1"/>
    <s v="VALIDATED"/>
    <n v="1"/>
    <s v="01.11.80.307.6100.0000"/>
    <n v="19.76"/>
    <s v="11"/>
    <s v="6100"/>
    <n v="4340.31"/>
    <n v="19.76"/>
    <s v="CREDITOR"/>
    <n v="0"/>
    <n v="0"/>
    <n v="0"/>
    <n v="0"/>
    <n v="19.76"/>
  </r>
  <r>
    <n v="60802449"/>
    <s v="N"/>
    <n v="21337696"/>
    <s v="3000015037270008"/>
    <s v="CIVIL"/>
    <d v="2023-06-27T00:00:00"/>
    <d v="2023-07-06T19:21:01"/>
    <m/>
    <d v="2023-07-06T00:00:00"/>
    <n v="1099"/>
    <n v="14323"/>
    <s v="60802449"/>
    <s v="60802449"/>
    <m/>
    <m/>
    <n v="22772662"/>
    <m/>
    <m/>
    <m/>
    <s v="SOLFIN"/>
    <s v="SOLFIN"/>
    <s v="CCMS"/>
    <n v="21337696"/>
    <n v="5758.09"/>
    <m/>
    <s v="N"/>
    <n v="7"/>
    <d v="2023-07-06T19:21:04"/>
    <s v="Y"/>
    <s v="Psychologist"/>
    <s v="Public Law Children"/>
    <s v="Expert Disbursement"/>
    <s v="SVS"/>
    <s v="Y"/>
    <n v="240.68"/>
    <n v="48.14"/>
    <x v="4"/>
    <s v="VALIDATED"/>
    <n v="1"/>
    <s v="01.11.80.308.6300.0000"/>
    <n v="240.68"/>
    <s v="11"/>
    <s v="6300"/>
    <n v="4340.31"/>
    <n v="240.68"/>
    <s v="CREDITOR"/>
    <n v="0"/>
    <n v="0"/>
    <n v="0"/>
    <n v="0"/>
    <n v="240.68"/>
  </r>
  <r>
    <n v="61242585"/>
    <s v="N"/>
    <n v="21327858"/>
    <s v="3000015408580006"/>
    <s v="CIVIL"/>
    <d v="2023-05-24T00:00:00"/>
    <d v="2023-07-04T19:00:44"/>
    <m/>
    <d v="2023-07-04T00:00:00"/>
    <n v="1099"/>
    <n v="14323"/>
    <s v="61242585"/>
    <s v="61242585"/>
    <m/>
    <m/>
    <n v="22565288"/>
    <m/>
    <m/>
    <m/>
    <s v="SOLFIN"/>
    <s v="SOLFIN"/>
    <s v="CCMS"/>
    <n v="21327858"/>
    <n v="2761.72"/>
    <m/>
    <s v="N"/>
    <n v="42"/>
    <d v="2023-07-04T19:00:56"/>
    <s v="Y"/>
    <s v="Attendance upon client"/>
    <s v="Prescribed Hourly Rates"/>
    <s v="Profit Cost"/>
    <s v="SAB25"/>
    <s v="Y"/>
    <n v="13.18"/>
    <n v="2.64"/>
    <x v="1"/>
    <s v="VALIDATED"/>
    <n v="1"/>
    <s v="01.11.80.307.6100.0000"/>
    <n v="13.18"/>
    <s v="11"/>
    <s v="6100"/>
    <n v="4340.31"/>
    <n v="13.18"/>
    <s v="CREDITOR"/>
    <n v="0"/>
    <n v="0"/>
    <n v="0"/>
    <n v="0"/>
    <n v="13.18"/>
  </r>
  <r>
    <n v="61242585"/>
    <s v="N"/>
    <n v="21327858"/>
    <s v="3000015408580006"/>
    <s v="CIVIL"/>
    <d v="2023-05-24T00:00:00"/>
    <d v="2023-07-04T19:00:44"/>
    <m/>
    <d v="2023-07-04T00:00:00"/>
    <n v="1099"/>
    <n v="14323"/>
    <s v="61242585"/>
    <s v="61242585"/>
    <m/>
    <m/>
    <n v="22565288"/>
    <m/>
    <m/>
    <m/>
    <s v="SOLFIN"/>
    <s v="SOLFIN"/>
    <s v="CCMS"/>
    <n v="21327858"/>
    <n v="2761.72"/>
    <m/>
    <s v="N"/>
    <n v="17"/>
    <d v="2023-07-04T19:00:56"/>
    <s v="Y"/>
    <s v="Preparation - drafting attendance n"/>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24"/>
    <d v="2023-07-04T19:00:56"/>
    <s v="Y"/>
    <s v="Preparation - other"/>
    <s v="Prescribed Hourly Rates"/>
    <s v="Profit Cost"/>
    <s v="SAB25"/>
    <s v="Y"/>
    <n v="13.18"/>
    <n v="2.64"/>
    <x v="1"/>
    <s v="VALIDATED"/>
    <n v="1"/>
    <s v="01.11.80.307.6100.0000"/>
    <n v="13.18"/>
    <s v="11"/>
    <s v="6100"/>
    <n v="4340.31"/>
    <n v="13.18"/>
    <s v="CREDITOR"/>
    <n v="0"/>
    <n v="0"/>
    <n v="0"/>
    <n v="0"/>
    <n v="13.18"/>
  </r>
  <r>
    <n v="61242585"/>
    <s v="N"/>
    <n v="21327858"/>
    <s v="3000015408580006"/>
    <s v="CIVIL"/>
    <d v="2023-05-24T00:00:00"/>
    <d v="2023-07-04T19:00:44"/>
    <m/>
    <d v="2023-07-04T00:00:00"/>
    <n v="1099"/>
    <n v="14323"/>
    <s v="61242585"/>
    <s v="61242585"/>
    <m/>
    <m/>
    <n v="22565288"/>
    <m/>
    <m/>
    <m/>
    <s v="SOLFIN"/>
    <s v="SOLFIN"/>
    <s v="CCMS"/>
    <n v="21327858"/>
    <n v="2761.72"/>
    <m/>
    <s v="N"/>
    <n v="30"/>
    <d v="2023-07-04T19:00:56"/>
    <s v="Y"/>
    <s v="Preparation - other"/>
    <s v="Prescribed Hourly Rates"/>
    <s v="Profit Cost"/>
    <s v="SAB25"/>
    <s v="Y"/>
    <n v="26.35"/>
    <n v="5.27"/>
    <x v="1"/>
    <s v="VALIDATED"/>
    <n v="1"/>
    <s v="01.11.80.307.6100.0000"/>
    <n v="26.35"/>
    <s v="11"/>
    <s v="6100"/>
    <n v="4340.31"/>
    <n v="26.35"/>
    <s v="CREDITOR"/>
    <n v="0"/>
    <n v="0"/>
    <n v="0"/>
    <n v="0"/>
    <n v="26.35"/>
  </r>
  <r>
    <n v="61242585"/>
    <s v="N"/>
    <n v="21327858"/>
    <s v="3000015408580006"/>
    <s v="CIVIL"/>
    <d v="2023-05-24T00:00:00"/>
    <d v="2023-07-04T19:00:44"/>
    <m/>
    <d v="2023-07-04T00:00:00"/>
    <n v="1099"/>
    <n v="14323"/>
    <s v="61242585"/>
    <s v="61242585"/>
    <m/>
    <m/>
    <n v="22565288"/>
    <m/>
    <m/>
    <m/>
    <s v="SOLFIN"/>
    <s v="SOLFIN"/>
    <s v="CCMS"/>
    <n v="21327858"/>
    <n v="2761.72"/>
    <m/>
    <s v="N"/>
    <n v="43"/>
    <d v="2023-07-04T19:00:56"/>
    <s v="Y"/>
    <s v="Preparation - drafting attendance n"/>
    <s v="Prescribed Hourly Rates"/>
    <s v="Profit Cost"/>
    <s v="SAB"/>
    <s v="Y"/>
    <n v="5.49"/>
    <n v="1.1"/>
    <x v="1"/>
    <s v="VALIDATED"/>
    <n v="1"/>
    <s v="01.11.80.307.6100.0000"/>
    <n v="5.49"/>
    <s v="11"/>
    <s v="6100"/>
    <n v="4340.31"/>
    <n v="5.49"/>
    <s v="CREDITOR"/>
    <n v="0"/>
    <n v="0"/>
    <n v="0"/>
    <n v="0"/>
    <n v="5.49"/>
  </r>
  <r>
    <n v="61522379"/>
    <s v="N"/>
    <n v="21322914"/>
    <s v="3000015461620002"/>
    <s v="CIVIL"/>
    <d v="2023-06-29T00:00:00"/>
    <d v="2023-07-03T19:05:36"/>
    <m/>
    <d v="2023-07-03T00:00:00"/>
    <n v="1099"/>
    <n v="14323"/>
    <s v="61522379"/>
    <s v="61522379"/>
    <m/>
    <m/>
    <n v="22793242"/>
    <m/>
    <m/>
    <m/>
    <s v="SOLPOA"/>
    <s v="SOLPOA"/>
    <s v="CCMS"/>
    <n v="21322914"/>
    <n v="338.88"/>
    <m/>
    <s v="N"/>
    <n v="1"/>
    <d v="2023-07-03T19:05:40"/>
    <s v="N"/>
    <s v="Level 3 Fixed Fee"/>
    <s v="Private Law Children"/>
    <s v="Profit Cost"/>
    <s v="Sabrina Banga"/>
    <s v="N"/>
    <n v="282.4"/>
    <n v="56.48"/>
    <x v="3"/>
    <s v="VALIDATED"/>
    <n v="1"/>
    <s v="01.11.80.307.2012.0000"/>
    <n v="282.4"/>
    <s v="11"/>
    <s v="2012"/>
    <n v="4340.31"/>
    <n v="282.4"/>
    <s v="CREDITOR"/>
    <n v="282.4"/>
    <n v="70.59999999999999"/>
    <n v="0"/>
    <n v="0"/>
    <n v="0"/>
  </r>
  <r>
    <n v="60802449"/>
    <s v="N"/>
    <n v="21337696"/>
    <s v="3000015037270008"/>
    <s v="CIVIL"/>
    <d v="2023-06-27T00:00:00"/>
    <d v="2023-07-06T19:21:01"/>
    <m/>
    <d v="2023-07-06T00:00:00"/>
    <n v="1099"/>
    <n v="14323"/>
    <s v="60802449"/>
    <s v="60802449"/>
    <m/>
    <m/>
    <n v="22772662"/>
    <m/>
    <m/>
    <m/>
    <s v="SOLFIN"/>
    <s v="SOLFIN"/>
    <s v="CCMS"/>
    <n v="21337696"/>
    <n v="5758.09"/>
    <m/>
    <s v="N"/>
    <n v="2"/>
    <d v="2023-07-06T19:21:04"/>
    <s v="Y"/>
    <s v="Court Fee"/>
    <s v="Public Law Children"/>
    <s v="Non Expert Disbursement"/>
    <s v="SVS"/>
    <s v="Y"/>
    <n v="167"/>
    <n v="0"/>
    <x v="4"/>
    <s v="VALIDATED"/>
    <n v="1"/>
    <s v="01.11.80.308.6300.0000"/>
    <n v="167"/>
    <s v="11"/>
    <s v="6300"/>
    <n v="4340.31"/>
    <n v="167"/>
    <s v="CREDITOR"/>
    <n v="0"/>
    <n v="0"/>
    <n v="0"/>
    <n v="0"/>
    <n v="167"/>
  </r>
  <r>
    <n v="61242585"/>
    <s v="N"/>
    <n v="21327858"/>
    <s v="3000015408580006"/>
    <s v="CIVIL"/>
    <d v="2023-05-24T00:00:00"/>
    <d v="2023-07-04T19:00:44"/>
    <m/>
    <d v="2023-07-04T00:00:00"/>
    <n v="1099"/>
    <n v="14323"/>
    <s v="61242585"/>
    <s v="61242585"/>
    <m/>
    <m/>
    <n v="22565288"/>
    <m/>
    <m/>
    <m/>
    <s v="SOLFIN"/>
    <s v="SOLFIN"/>
    <s v="CCMS"/>
    <n v="21327858"/>
    <n v="2761.72"/>
    <m/>
    <s v="N"/>
    <n v="21"/>
    <d v="2023-07-04T19:00:56"/>
    <s v="Y"/>
    <s v="Preparation - other"/>
    <s v="Prescribed Hourly Rates"/>
    <s v="Profit Cost"/>
    <s v="SAB25"/>
    <s v="Y"/>
    <n v="13.18"/>
    <n v="2.64"/>
    <x v="1"/>
    <s v="VALIDATED"/>
    <n v="1"/>
    <s v="01.11.80.307.6100.0000"/>
    <n v="13.18"/>
    <s v="11"/>
    <s v="6100"/>
    <n v="4340.31"/>
    <n v="13.18"/>
    <s v="CREDITOR"/>
    <n v="0"/>
    <n v="0"/>
    <n v="0"/>
    <n v="0"/>
    <n v="13.18"/>
  </r>
  <r>
    <n v="61242585"/>
    <s v="N"/>
    <n v="21327858"/>
    <s v="3000015408580006"/>
    <s v="CIVIL"/>
    <d v="2023-05-24T00:00:00"/>
    <d v="2023-07-04T19:00:44"/>
    <m/>
    <d v="2023-07-04T00:00:00"/>
    <n v="1099"/>
    <n v="14323"/>
    <s v="61242585"/>
    <s v="61242585"/>
    <m/>
    <m/>
    <n v="22565288"/>
    <m/>
    <m/>
    <m/>
    <s v="SOLFIN"/>
    <s v="SOLFIN"/>
    <s v="CCMS"/>
    <n v="21327858"/>
    <n v="2761.72"/>
    <m/>
    <s v="N"/>
    <n v="51"/>
    <d v="2023-07-04T19:00:56"/>
    <s v="Y"/>
    <s v="Routine Letter In"/>
    <s v="Prescribed Hourly Rates"/>
    <s v="Profit Cost"/>
    <s v="SAB"/>
    <s v="Y"/>
    <n v="321.3"/>
    <n v="64.27"/>
    <x v="1"/>
    <s v="VALIDATED"/>
    <n v="1"/>
    <s v="01.11.80.307.6100.0000"/>
    <n v="321.3"/>
    <s v="11"/>
    <s v="6100"/>
    <n v="4340.31"/>
    <n v="321.3"/>
    <s v="CREDITOR"/>
    <n v="0"/>
    <n v="0"/>
    <n v="0"/>
    <n v="0"/>
    <n v="321.3"/>
  </r>
  <r>
    <n v="61687147"/>
    <s v="N"/>
    <n v="21349976"/>
    <s v="3000015781700003"/>
    <s v="CIVIL"/>
    <d v="2023-06-30T00:00:00"/>
    <d v="2023-07-10T19:01:40"/>
    <m/>
    <d v="2023-07-10T00:00:00"/>
    <n v="1099"/>
    <n v="14323"/>
    <s v="61687147"/>
    <s v="61687147"/>
    <m/>
    <m/>
    <n v="22799326"/>
    <m/>
    <m/>
    <m/>
    <s v="SOLFIN"/>
    <s v="SOLFIN"/>
    <s v="CCMS"/>
    <n v="21349976"/>
    <n v="3216.38"/>
    <m/>
    <s v="N"/>
    <n v="10"/>
    <d v="2023-07-10T19:02:06"/>
    <s v="Y"/>
    <s v="Preparation - other"/>
    <s v="Care Remuneration Hourly Rates"/>
    <s v="Profit Cost"/>
    <s v="SVS15"/>
    <s v="Y"/>
    <n v="13.43"/>
    <n v="2.69"/>
    <x v="2"/>
    <s v="VALIDATED"/>
    <n v="1"/>
    <s v="01.11.80.305.6100.0000"/>
    <n v="13.43"/>
    <s v="11"/>
    <s v="6100"/>
    <n v="4340.31"/>
    <n v="13.43"/>
    <s v="CREDITOR"/>
    <n v="0"/>
    <n v="0"/>
    <n v="0"/>
    <n v="0"/>
    <n v="13.43"/>
  </r>
  <r>
    <n v="61687147"/>
    <s v="N"/>
    <n v="21349976"/>
    <s v="3000015781700003"/>
    <s v="CIVIL"/>
    <d v="2023-06-30T00:00:00"/>
    <d v="2023-07-10T19:01:40"/>
    <m/>
    <d v="2023-07-10T00:00:00"/>
    <n v="1099"/>
    <n v="14323"/>
    <s v="61687147"/>
    <s v="61687147"/>
    <m/>
    <m/>
    <n v="22799326"/>
    <m/>
    <m/>
    <m/>
    <s v="SOLFIN"/>
    <s v="SOLFIN"/>
    <s v="CCMS"/>
    <n v="21349976"/>
    <n v="3216.38"/>
    <m/>
    <s v="N"/>
    <n v="18"/>
    <d v="2023-07-10T19:02:06"/>
    <s v="Y"/>
    <s v="Preparation - other"/>
    <s v="Care Remuneration Hourly Rates"/>
    <s v="Profit Cost"/>
    <s v="SVS15"/>
    <s v="Y"/>
    <n v="47.02"/>
    <n v="9.4"/>
    <x v="2"/>
    <s v="VALIDATED"/>
    <n v="1"/>
    <s v="01.11.80.305.6100.0000"/>
    <n v="47.02"/>
    <s v="11"/>
    <s v="6100"/>
    <n v="4340.31"/>
    <n v="47.02"/>
    <s v="CREDITOR"/>
    <n v="0"/>
    <n v="0"/>
    <n v="0"/>
    <n v="0"/>
    <n v="47.02"/>
  </r>
  <r>
    <n v="61242585"/>
    <s v="N"/>
    <n v="21327858"/>
    <s v="3000015408580006"/>
    <s v="CIVIL"/>
    <d v="2023-05-24T00:00:00"/>
    <d v="2023-07-04T19:00:44"/>
    <m/>
    <d v="2023-07-04T00:00:00"/>
    <n v="1099"/>
    <n v="14323"/>
    <s v="61242585"/>
    <s v="61242585"/>
    <m/>
    <m/>
    <n v="22565288"/>
    <m/>
    <m/>
    <m/>
    <s v="SOLFIN"/>
    <s v="SOLFIN"/>
    <s v="CCMS"/>
    <n v="21327858"/>
    <n v="2761.72"/>
    <m/>
    <s v="N"/>
    <n v="6"/>
    <d v="2023-07-04T19:00:56"/>
    <s v="Y"/>
    <s v="Preparation - drafting attendance n"/>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44"/>
    <d v="2023-07-04T19:00:56"/>
    <s v="Y"/>
    <s v="Preparation - other"/>
    <s v="Prescribed Hourly Rates"/>
    <s v="Profit Cost"/>
    <s v="SAB"/>
    <s v="Y"/>
    <n v="10.98"/>
    <n v="2.2"/>
    <x v="1"/>
    <s v="VALIDATED"/>
    <n v="1"/>
    <s v="01.11.80.307.6100.0000"/>
    <n v="10.98"/>
    <s v="11"/>
    <s v="6100"/>
    <n v="4340.31"/>
    <n v="10.98"/>
    <s v="CREDITOR"/>
    <n v="0"/>
    <n v="0"/>
    <n v="0"/>
    <n v="0"/>
    <n v="10.98"/>
  </r>
  <r>
    <n v="61242585"/>
    <s v="N"/>
    <n v="21327858"/>
    <s v="3000015408580006"/>
    <s v="CIVIL"/>
    <d v="2023-05-24T00:00:00"/>
    <d v="2023-07-04T19:00:44"/>
    <m/>
    <d v="2023-07-04T00:00:00"/>
    <n v="1099"/>
    <n v="14323"/>
    <s v="61242585"/>
    <s v="61242585"/>
    <m/>
    <m/>
    <n v="22565288"/>
    <m/>
    <m/>
    <m/>
    <s v="SOLFIN"/>
    <s v="SOLFIN"/>
    <s v="CCMS"/>
    <n v="21327858"/>
    <n v="2761.72"/>
    <m/>
    <s v="N"/>
    <n v="49"/>
    <d v="2023-07-04T19:00:56"/>
    <s v="Y"/>
    <s v="Routine Telephone Call"/>
    <s v="Prescribed Hourly Rates"/>
    <s v="Profit Cost"/>
    <s v="SAB"/>
    <s v="Y"/>
    <n v="280.8"/>
    <n v="56.17"/>
    <x v="1"/>
    <s v="VALIDATED"/>
    <n v="1"/>
    <s v="01.11.80.307.6100.0000"/>
    <n v="280.8"/>
    <s v="11"/>
    <s v="6100"/>
    <n v="4340.31"/>
    <n v="280.8"/>
    <s v="CREDITOR"/>
    <n v="0"/>
    <n v="0"/>
    <n v="0"/>
    <n v="0"/>
    <n v="280.8"/>
  </r>
  <r>
    <n v="61242585"/>
    <s v="N"/>
    <n v="21327858"/>
    <s v="3000015408580006"/>
    <s v="CIVIL"/>
    <d v="2023-05-24T00:00:00"/>
    <d v="2023-07-04T19:00:44"/>
    <m/>
    <d v="2023-07-04T00:00:00"/>
    <n v="1099"/>
    <n v="14323"/>
    <s v="61242585"/>
    <s v="61242585"/>
    <m/>
    <m/>
    <n v="22565288"/>
    <m/>
    <m/>
    <m/>
    <s v="SOLFIN"/>
    <s v="SOLFIN"/>
    <s v="CCMS"/>
    <n v="21327858"/>
    <n v="2761.72"/>
    <m/>
    <s v="N"/>
    <n v="25"/>
    <d v="2023-07-04T19:00:56"/>
    <s v="Y"/>
    <s v="Preparation - drafting attendance n"/>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36"/>
    <d v="2023-07-04T19:00:56"/>
    <s v="Y"/>
    <s v="Preparation - other"/>
    <s v="Prescribed Hourly Rates"/>
    <s v="Profit Cost"/>
    <s v="SAB"/>
    <s v="Y"/>
    <n v="10.98"/>
    <n v="2.2"/>
    <x v="1"/>
    <s v="VALIDATED"/>
    <n v="1"/>
    <s v="01.11.80.307.6100.0000"/>
    <n v="10.98"/>
    <s v="11"/>
    <s v="6100"/>
    <n v="4340.31"/>
    <n v="10.98"/>
    <s v="CREDITOR"/>
    <n v="0"/>
    <n v="0"/>
    <n v="0"/>
    <n v="0"/>
    <n v="10.98"/>
  </r>
  <r>
    <n v="61687147"/>
    <s v="N"/>
    <n v="21349976"/>
    <s v="3000015781700003"/>
    <s v="CIVIL"/>
    <d v="2023-06-30T00:00:00"/>
    <d v="2023-07-10T19:01:40"/>
    <m/>
    <d v="2023-07-10T00:00:00"/>
    <n v="1099"/>
    <n v="14323"/>
    <s v="61687147"/>
    <s v="61687147"/>
    <m/>
    <m/>
    <n v="22799326"/>
    <m/>
    <m/>
    <m/>
    <s v="SOLFIN"/>
    <s v="SOLFIN"/>
    <s v="CCMS"/>
    <n v="21349976"/>
    <n v="3216.38"/>
    <m/>
    <s v="N"/>
    <n v="2"/>
    <d v="2023-07-10T19:02:06"/>
    <s v="Y"/>
    <s v="Preparation - drafting notice(s)"/>
    <s v="Care Remuneration Hourly Rates"/>
    <s v="Profit Cost"/>
    <s v="SVS15"/>
    <s v="Y"/>
    <n v="6.72"/>
    <n v="1.34"/>
    <x v="2"/>
    <s v="VALIDATED"/>
    <n v="1"/>
    <s v="01.11.80.305.6100.0000"/>
    <n v="6.72"/>
    <s v="11"/>
    <s v="6100"/>
    <n v="4340.31"/>
    <n v="6.72"/>
    <s v="CREDITOR"/>
    <n v="0"/>
    <n v="0"/>
    <n v="0"/>
    <n v="0"/>
    <n v="6.72"/>
  </r>
  <r>
    <n v="60802449"/>
    <s v="N"/>
    <n v="21337696"/>
    <s v="3000015037270008"/>
    <s v="CIVIL"/>
    <d v="2023-06-27T00:00:00"/>
    <d v="2023-07-06T19:21:01"/>
    <m/>
    <d v="2023-07-06T00:00:00"/>
    <n v="1099"/>
    <n v="14323"/>
    <s v="60802449"/>
    <s v="60802449"/>
    <m/>
    <m/>
    <n v="22772662"/>
    <m/>
    <m/>
    <m/>
    <s v="SOLFIN"/>
    <s v="SOLFIN"/>
    <s v="CCMS"/>
    <n v="21337696"/>
    <n v="5758.09"/>
    <m/>
    <s v="N"/>
    <n v="3"/>
    <d v="2023-07-06T19:21:04"/>
    <s v="Y"/>
    <s v="Court Fee"/>
    <s v="Public Law Children"/>
    <s v="Non Expert Disbursement"/>
    <s v="SVS"/>
    <s v="Y"/>
    <n v="167"/>
    <n v="0"/>
    <x v="4"/>
    <s v="VALIDATED"/>
    <n v="1"/>
    <s v="01.11.80.308.6300.0000"/>
    <n v="167"/>
    <s v="11"/>
    <s v="6300"/>
    <n v="4340.31"/>
    <n v="167"/>
    <s v="CREDITOR"/>
    <n v="0"/>
    <n v="0"/>
    <n v="0"/>
    <n v="0"/>
    <n v="167"/>
  </r>
  <r>
    <n v="61242585"/>
    <s v="N"/>
    <n v="21327858"/>
    <s v="3000015408580006"/>
    <s v="CIVIL"/>
    <d v="2023-05-24T00:00:00"/>
    <d v="2023-07-04T19:00:44"/>
    <m/>
    <d v="2023-07-04T00:00:00"/>
    <n v="1099"/>
    <n v="14323"/>
    <s v="61242585"/>
    <s v="61242585"/>
    <m/>
    <m/>
    <n v="22565288"/>
    <m/>
    <m/>
    <m/>
    <s v="SOLFIN"/>
    <s v="SOLFIN"/>
    <s v="CCMS"/>
    <n v="21327858"/>
    <n v="2761.72"/>
    <m/>
    <s v="N"/>
    <n v="45"/>
    <d v="2023-07-04T19:00:56"/>
    <s v="Y"/>
    <s v="Preparation - other"/>
    <s v="Prescribed Hourly Rates"/>
    <s v="Profit Cost"/>
    <s v="SAB25"/>
    <s v="Y"/>
    <n v="13.18"/>
    <n v="2.64"/>
    <x v="1"/>
    <s v="VALIDATED"/>
    <n v="1"/>
    <s v="01.11.80.307.6100.0000"/>
    <n v="13.18"/>
    <s v="11"/>
    <s v="6100"/>
    <n v="4340.31"/>
    <n v="13.18"/>
    <s v="CREDITOR"/>
    <n v="0"/>
    <n v="0"/>
    <n v="0"/>
    <n v="0"/>
    <n v="13.18"/>
  </r>
  <r>
    <n v="61687147"/>
    <s v="N"/>
    <n v="21349976"/>
    <s v="3000015781700003"/>
    <s v="CIVIL"/>
    <d v="2023-06-30T00:00:00"/>
    <d v="2023-07-10T19:01:40"/>
    <m/>
    <d v="2023-07-10T00:00:00"/>
    <n v="1099"/>
    <n v="14323"/>
    <s v="61687147"/>
    <s v="61687147"/>
    <m/>
    <m/>
    <n v="22799326"/>
    <m/>
    <m/>
    <m/>
    <s v="SOLFIN"/>
    <s v="SOLFIN"/>
    <s v="CCMS"/>
    <n v="21349976"/>
    <n v="3216.38"/>
    <m/>
    <s v="N"/>
    <n v="5"/>
    <d v="2023-07-10T19:02:06"/>
    <s v="Y"/>
    <s v="Preparation - other"/>
    <s v="Care Remuneration Hourly Rates"/>
    <s v="Profit Cost"/>
    <s v="SVS15"/>
    <s v="Y"/>
    <n v="20.15"/>
    <n v="4.03"/>
    <x v="2"/>
    <s v="VALIDATED"/>
    <n v="1"/>
    <s v="01.11.80.305.6100.0000"/>
    <n v="20.15"/>
    <s v="11"/>
    <s v="6100"/>
    <n v="4340.31"/>
    <n v="20.15"/>
    <s v="CREDITOR"/>
    <n v="0"/>
    <n v="0"/>
    <n v="0"/>
    <n v="0"/>
    <n v="20.15"/>
  </r>
  <r>
    <n v="61242585"/>
    <s v="N"/>
    <n v="21327858"/>
    <s v="3000015408580006"/>
    <s v="CIVIL"/>
    <d v="2023-05-24T00:00:00"/>
    <d v="2023-07-04T19:00:44"/>
    <m/>
    <d v="2023-07-04T00:00:00"/>
    <n v="1099"/>
    <n v="14323"/>
    <s v="61242585"/>
    <s v="61242585"/>
    <m/>
    <m/>
    <n v="22565288"/>
    <m/>
    <m/>
    <m/>
    <s v="SOLFIN"/>
    <s v="SOLFIN"/>
    <s v="CCMS"/>
    <n v="21327858"/>
    <n v="2761.72"/>
    <m/>
    <s v="N"/>
    <n v="46"/>
    <d v="2023-07-04T19:00:56"/>
    <s v="Y"/>
    <s v="Preparation - other"/>
    <s v="Prescribed Hourly Rates"/>
    <s v="Profit Cost"/>
    <s v="SAB"/>
    <s v="Y"/>
    <n v="5.49"/>
    <n v="1.1"/>
    <x v="1"/>
    <s v="VALIDATED"/>
    <n v="1"/>
    <s v="01.11.80.307.6100.0000"/>
    <n v="5.49"/>
    <s v="11"/>
    <s v="6100"/>
    <n v="4340.31"/>
    <n v="5.49"/>
    <s v="CREDITOR"/>
    <n v="0"/>
    <n v="0"/>
    <n v="0"/>
    <n v="0"/>
    <n v="5.49"/>
  </r>
  <r>
    <n v="61687147"/>
    <s v="N"/>
    <n v="21349976"/>
    <s v="3000015781700003"/>
    <s v="CIVIL"/>
    <d v="2023-06-30T00:00:00"/>
    <d v="2023-07-10T19:01:40"/>
    <m/>
    <d v="2023-07-10T00:00:00"/>
    <n v="1099"/>
    <n v="14323"/>
    <s v="61687147"/>
    <s v="61687147"/>
    <m/>
    <m/>
    <n v="22799326"/>
    <m/>
    <m/>
    <m/>
    <s v="SOLFIN"/>
    <s v="SOLFIN"/>
    <s v="CCMS"/>
    <n v="21349976"/>
    <n v="3216.38"/>
    <m/>
    <s v="N"/>
    <n v="32"/>
    <d v="2023-07-10T19:02:06"/>
    <s v="Y"/>
    <s v="Routine Letter Out"/>
    <s v="Care Remuneration Hourly Rates"/>
    <s v="Profit Cost"/>
    <s v="SVS15"/>
    <s v="Y"/>
    <n v="135.79"/>
    <n v="27.16"/>
    <x v="2"/>
    <s v="VALIDATED"/>
    <n v="1"/>
    <s v="01.11.80.305.6100.0000"/>
    <n v="135.79"/>
    <s v="11"/>
    <s v="6100"/>
    <n v="4340.31"/>
    <n v="135.79"/>
    <s v="CREDITOR"/>
    <n v="0"/>
    <n v="0"/>
    <n v="0"/>
    <n v="0"/>
    <n v="135.79"/>
  </r>
  <r>
    <n v="61242585"/>
    <s v="N"/>
    <n v="21327858"/>
    <s v="3000015408580006"/>
    <s v="CIVIL"/>
    <d v="2023-05-24T00:00:00"/>
    <d v="2023-07-04T19:00:44"/>
    <m/>
    <d v="2023-07-04T00:00:00"/>
    <n v="1099"/>
    <n v="14323"/>
    <s v="61242585"/>
    <s v="61242585"/>
    <m/>
    <m/>
    <n v="22565288"/>
    <m/>
    <m/>
    <m/>
    <s v="SOLFIN"/>
    <s v="SOLFIN"/>
    <s v="CCMS"/>
    <n v="21327858"/>
    <n v="2761.72"/>
    <m/>
    <s v="N"/>
    <n v="10"/>
    <d v="2023-07-04T19:00:56"/>
    <s v="Y"/>
    <s v="Attendance upon court"/>
    <s v="Prescribed Hourly Rates"/>
    <s v="Profit Cost"/>
    <s v="SAB"/>
    <s v="Y"/>
    <n v="10.98"/>
    <n v="2.2"/>
    <x v="1"/>
    <s v="VALIDATED"/>
    <n v="1"/>
    <s v="01.11.80.307.6100.0000"/>
    <n v="10.98"/>
    <s v="11"/>
    <s v="6100"/>
    <n v="4340.31"/>
    <n v="10.98"/>
    <s v="CREDITOR"/>
    <n v="0"/>
    <n v="0"/>
    <n v="0"/>
    <n v="0"/>
    <n v="10.98"/>
  </r>
  <r>
    <n v="61687147"/>
    <s v="N"/>
    <n v="21349976"/>
    <s v="3000015781700003"/>
    <s v="CIVIL"/>
    <d v="2023-06-30T00:00:00"/>
    <d v="2023-07-10T19:01:40"/>
    <m/>
    <d v="2023-07-10T00:00:00"/>
    <n v="1099"/>
    <n v="14323"/>
    <s v="61687147"/>
    <s v="61687147"/>
    <m/>
    <m/>
    <n v="22799326"/>
    <m/>
    <m/>
    <m/>
    <s v="SOLFIN"/>
    <s v="SOLFIN"/>
    <s v="CCMS"/>
    <n v="21349976"/>
    <n v="3216.38"/>
    <m/>
    <s v="N"/>
    <n v="8"/>
    <d v="2023-07-10T19:02:06"/>
    <s v="Y"/>
    <s v="Preparation - other"/>
    <s v="Care Remuneration Hourly Rates"/>
    <s v="Profit Cost"/>
    <s v="SVS15"/>
    <s v="Y"/>
    <n v="20.15"/>
    <n v="4.03"/>
    <x v="2"/>
    <s v="VALIDATED"/>
    <n v="1"/>
    <s v="01.11.80.305.6100.0000"/>
    <n v="20.15"/>
    <s v="11"/>
    <s v="6100"/>
    <n v="4340.31"/>
    <n v="20.15"/>
    <s v="CREDITOR"/>
    <n v="0"/>
    <n v="0"/>
    <n v="0"/>
    <n v="0"/>
    <n v="20.15"/>
  </r>
  <r>
    <n v="61687147"/>
    <s v="N"/>
    <n v="21349976"/>
    <s v="3000015781700003"/>
    <s v="CIVIL"/>
    <d v="2023-06-30T00:00:00"/>
    <d v="2023-07-10T19:01:40"/>
    <m/>
    <d v="2023-07-10T00:00:00"/>
    <n v="1099"/>
    <n v="14323"/>
    <s v="61687147"/>
    <s v="61687147"/>
    <m/>
    <m/>
    <n v="22799326"/>
    <m/>
    <m/>
    <m/>
    <s v="SOLFIN"/>
    <s v="SOLFIN"/>
    <s v="CCMS"/>
    <n v="21349976"/>
    <n v="3216.38"/>
    <m/>
    <s v="N"/>
    <n v="17"/>
    <d v="2023-07-10T19:02:06"/>
    <s v="Y"/>
    <s v="Preparation - other"/>
    <s v="Care Remuneration Hourly Rates"/>
    <s v="Profit Cost"/>
    <s v="SVS15"/>
    <s v="Y"/>
    <n v="26.86"/>
    <n v="5.37"/>
    <x v="2"/>
    <s v="VALIDATED"/>
    <n v="1"/>
    <s v="01.11.80.305.6100.0000"/>
    <n v="26.86"/>
    <s v="11"/>
    <s v="6100"/>
    <n v="4340.31"/>
    <n v="26.86"/>
    <s v="CREDITOR"/>
    <n v="0"/>
    <n v="0"/>
    <n v="0"/>
    <n v="0"/>
    <n v="26.86"/>
  </r>
  <r>
    <n v="61242585"/>
    <s v="N"/>
    <n v="21327858"/>
    <s v="3000015408580006"/>
    <s v="CIVIL"/>
    <d v="2023-05-24T00:00:00"/>
    <d v="2023-07-04T19:00:44"/>
    <m/>
    <d v="2023-07-04T00:00:00"/>
    <n v="1099"/>
    <n v="14323"/>
    <s v="61242585"/>
    <s v="61242585"/>
    <m/>
    <m/>
    <n v="22565288"/>
    <m/>
    <m/>
    <m/>
    <s v="SOLFIN"/>
    <s v="SOLFIN"/>
    <s v="CCMS"/>
    <n v="21327858"/>
    <n v="2761.72"/>
    <m/>
    <s v="N"/>
    <n v="31"/>
    <d v="2023-07-04T19:00:56"/>
    <s v="Y"/>
    <s v="Attendance upon client"/>
    <s v="Prescribed Hourly Rates"/>
    <s v="Profit Cost"/>
    <s v="SAB25"/>
    <s v="Y"/>
    <n v="19.76"/>
    <n v="3.95"/>
    <x v="1"/>
    <s v="VALIDATED"/>
    <n v="1"/>
    <s v="01.11.80.307.6100.0000"/>
    <n v="19.76"/>
    <s v="11"/>
    <s v="6100"/>
    <n v="4340.31"/>
    <n v="19.76"/>
    <s v="CREDITOR"/>
    <n v="0"/>
    <n v="0"/>
    <n v="0"/>
    <n v="0"/>
    <n v="19.76"/>
  </r>
  <r>
    <n v="61242585"/>
    <s v="N"/>
    <n v="21327858"/>
    <s v="3000015408580006"/>
    <s v="CIVIL"/>
    <d v="2023-05-24T00:00:00"/>
    <d v="2023-07-04T19:00:44"/>
    <m/>
    <d v="2023-07-04T00:00:00"/>
    <n v="1099"/>
    <n v="14323"/>
    <s v="61242585"/>
    <s v="61242585"/>
    <m/>
    <m/>
    <n v="22565288"/>
    <m/>
    <m/>
    <m/>
    <s v="SOLFIN"/>
    <s v="SOLFIN"/>
    <s v="CCMS"/>
    <n v="21327858"/>
    <n v="2761.72"/>
    <m/>
    <s v="N"/>
    <n v="38"/>
    <d v="2023-07-04T19:00:56"/>
    <s v="Y"/>
    <s v="Preparation - other"/>
    <s v="Prescribed Hourly Rates"/>
    <s v="Profit Cost"/>
    <s v="SAB"/>
    <s v="Y"/>
    <n v="5.49"/>
    <n v="1.1"/>
    <x v="1"/>
    <s v="VALIDATED"/>
    <n v="1"/>
    <s v="01.11.80.307.6100.0000"/>
    <n v="5.49"/>
    <s v="11"/>
    <s v="6100"/>
    <n v="4340.31"/>
    <n v="5.49"/>
    <s v="CREDITOR"/>
    <n v="0"/>
    <n v="0"/>
    <n v="0"/>
    <n v="0"/>
    <n v="5.49"/>
  </r>
  <r>
    <n v="61687147"/>
    <s v="N"/>
    <n v="21349976"/>
    <s v="3000015781700003"/>
    <s v="CIVIL"/>
    <d v="2023-06-30T00:00:00"/>
    <d v="2023-07-10T19:01:40"/>
    <m/>
    <d v="2023-07-10T00:00:00"/>
    <n v="1099"/>
    <n v="14323"/>
    <s v="61687147"/>
    <s v="61687147"/>
    <m/>
    <m/>
    <n v="22799326"/>
    <m/>
    <m/>
    <m/>
    <s v="SOLFIN"/>
    <s v="SOLFIN"/>
    <s v="CCMS"/>
    <n v="21349976"/>
    <n v="3216.38"/>
    <m/>
    <s v="N"/>
    <n v="12"/>
    <d v="2023-07-10T19:02:06"/>
    <s v="Y"/>
    <s v="Preparation - other"/>
    <s v="Care Remuneration Hourly Rates"/>
    <s v="Profit Cost"/>
    <s v="SVS15"/>
    <s v="Y"/>
    <n v="6.72"/>
    <n v="1.34"/>
    <x v="2"/>
    <s v="VALIDATED"/>
    <n v="1"/>
    <s v="01.11.80.305.6100.0000"/>
    <n v="6.72"/>
    <s v="11"/>
    <s v="6100"/>
    <n v="4340.31"/>
    <n v="6.72"/>
    <s v="CREDITOR"/>
    <n v="0"/>
    <n v="0"/>
    <n v="0"/>
    <n v="0"/>
    <n v="6.72"/>
  </r>
  <r>
    <n v="61242585"/>
    <s v="N"/>
    <n v="21327858"/>
    <s v="3000015408580006"/>
    <s v="CIVIL"/>
    <d v="2023-05-24T00:00:00"/>
    <d v="2023-07-04T19:00:44"/>
    <m/>
    <d v="2023-07-04T00:00:00"/>
    <n v="1099"/>
    <n v="14323"/>
    <s v="61242585"/>
    <s v="61242585"/>
    <m/>
    <m/>
    <n v="22565288"/>
    <m/>
    <m/>
    <m/>
    <s v="SOLFIN"/>
    <s v="SOLFIN"/>
    <s v="CCMS"/>
    <n v="21327858"/>
    <n v="2761.72"/>
    <m/>
    <s v="N"/>
    <n v="15"/>
    <d v="2023-07-04T19:00:56"/>
    <s v="Y"/>
    <s v="Preparation - other"/>
    <s v="Prescribed Hourly Rates"/>
    <s v="Profit Cost"/>
    <s v="SAB25"/>
    <s v="Y"/>
    <n v="13.18"/>
    <n v="2.64"/>
    <x v="1"/>
    <s v="VALIDATED"/>
    <n v="1"/>
    <s v="01.11.80.307.6100.0000"/>
    <n v="13.18"/>
    <s v="11"/>
    <s v="6100"/>
    <n v="4340.31"/>
    <n v="13.18"/>
    <s v="CREDITOR"/>
    <n v="0"/>
    <n v="0"/>
    <n v="0"/>
    <n v="0"/>
    <n v="13.18"/>
  </r>
  <r>
    <n v="62433800"/>
    <s v="N"/>
    <n v="21320319"/>
    <s v="3000016402510001"/>
    <s v="CIVIL"/>
    <d v="2023-06-28T00:00:00"/>
    <d v="2023-07-03T19:04:52"/>
    <m/>
    <d v="2023-07-03T00:00:00"/>
    <n v="1099"/>
    <n v="14323"/>
    <s v="62433800"/>
    <s v="62433800"/>
    <m/>
    <m/>
    <n v="22779884"/>
    <m/>
    <m/>
    <m/>
    <s v="SOLPOA"/>
    <s v="SOLPOA"/>
    <s v="CCMS"/>
    <n v="21320319"/>
    <n v="208.2"/>
    <m/>
    <s v="N"/>
    <n v="1"/>
    <d v="2023-07-03T19:04:53"/>
    <s v="N"/>
    <s v="Expert Cost"/>
    <s v="Expert Cost"/>
    <s v="Expert Disbursement"/>
    <s v="Sapphire Stait"/>
    <s v="N"/>
    <n v="173.5"/>
    <n v="34.7"/>
    <x v="3"/>
    <s v="VALIDATED"/>
    <n v="1"/>
    <s v="01.11.80.308.2012.0000"/>
    <n v="173.5"/>
    <s v="11"/>
    <s v="2012"/>
    <n v="4340.31"/>
    <n v="173.5"/>
    <s v="CREDITOR"/>
    <n v="173.5"/>
    <n v="0"/>
    <n v="0"/>
    <n v="0"/>
    <n v="0"/>
  </r>
  <r>
    <n v="61242585"/>
    <s v="N"/>
    <n v="21327858"/>
    <s v="3000015408580006"/>
    <s v="CIVIL"/>
    <d v="2023-05-24T00:00:00"/>
    <d v="2023-07-04T19:00:44"/>
    <m/>
    <d v="2023-07-04T00:00:00"/>
    <n v="1099"/>
    <n v="14323"/>
    <s v="61242585"/>
    <s v="61242585"/>
    <m/>
    <m/>
    <n v="22565288"/>
    <m/>
    <m/>
    <m/>
    <s v="SOLFIN"/>
    <s v="SOLFIN"/>
    <s v="CCMS"/>
    <n v="21327858"/>
    <n v="2761.72"/>
    <m/>
    <s v="N"/>
    <n v="32"/>
    <d v="2023-07-04T19:00:56"/>
    <s v="Y"/>
    <s v="Preparation - drafting attendance n"/>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14"/>
    <d v="2023-07-04T19:00:56"/>
    <s v="Y"/>
    <s v="Preparation - other"/>
    <s v="Prescribed Hourly Rates"/>
    <s v="Profit Cost"/>
    <s v="SAB"/>
    <s v="Y"/>
    <n v="10.98"/>
    <n v="2.2"/>
    <x v="1"/>
    <s v="VALIDATED"/>
    <n v="1"/>
    <s v="01.11.80.307.6100.0000"/>
    <n v="10.98"/>
    <s v="11"/>
    <s v="6100"/>
    <n v="4340.31"/>
    <n v="10.98"/>
    <s v="CREDITOR"/>
    <n v="0"/>
    <n v="0"/>
    <n v="0"/>
    <n v="0"/>
    <n v="10.98"/>
  </r>
  <r>
    <n v="61687147"/>
    <s v="N"/>
    <n v="21349976"/>
    <s v="3000015781700003"/>
    <s v="CIVIL"/>
    <d v="2023-06-30T00:00:00"/>
    <d v="2023-07-10T19:01:40"/>
    <m/>
    <d v="2023-07-10T00:00:00"/>
    <n v="1099"/>
    <n v="14323"/>
    <s v="61687147"/>
    <s v="61687147"/>
    <m/>
    <m/>
    <n v="22799326"/>
    <m/>
    <m/>
    <m/>
    <s v="SOLFIN"/>
    <s v="SOLFIN"/>
    <s v="CCMS"/>
    <n v="21349976"/>
    <n v="3216.38"/>
    <m/>
    <s v="N"/>
    <n v="11"/>
    <d v="2023-07-10T19:02:06"/>
    <s v="Y"/>
    <s v="Preparation - other"/>
    <s v="Care Remuneration Hourly Rates"/>
    <s v="Profit Cost"/>
    <s v="SVS15"/>
    <s v="Y"/>
    <n v="255.25"/>
    <n v="51.05"/>
    <x v="2"/>
    <s v="VALIDATED"/>
    <n v="1"/>
    <s v="01.11.80.305.6100.0000"/>
    <n v="255.25"/>
    <s v="11"/>
    <s v="6100"/>
    <n v="4340.31"/>
    <n v="255.25"/>
    <s v="CREDITOR"/>
    <n v="0"/>
    <n v="0"/>
    <n v="0"/>
    <n v="0"/>
    <n v="255.25"/>
  </r>
  <r>
    <n v="61687147"/>
    <s v="N"/>
    <n v="21349976"/>
    <s v="3000015781700003"/>
    <s v="CIVIL"/>
    <d v="2023-06-30T00:00:00"/>
    <d v="2023-07-10T19:01:40"/>
    <m/>
    <d v="2023-07-10T00:00:00"/>
    <n v="1099"/>
    <n v="14323"/>
    <s v="61687147"/>
    <s v="61687147"/>
    <m/>
    <m/>
    <n v="22799326"/>
    <m/>
    <m/>
    <m/>
    <s v="SOLFIN"/>
    <s v="SOLFIN"/>
    <s v="CCMS"/>
    <n v="21349976"/>
    <n v="3216.38"/>
    <m/>
    <s v="N"/>
    <n v="1"/>
    <d v="2023-07-10T19:02:06"/>
    <s v="Y"/>
    <s v="Preparation - drafting notice(s)"/>
    <s v="Care Remuneration Hourly Rates"/>
    <s v="Profit Cost"/>
    <s v="SVS15"/>
    <s v="Y"/>
    <n v="6.72"/>
    <n v="1.34"/>
    <x v="2"/>
    <s v="VALIDATED"/>
    <n v="1"/>
    <s v="01.11.80.305.6100.0000"/>
    <n v="6.72"/>
    <s v="11"/>
    <s v="6100"/>
    <n v="4340.31"/>
    <n v="6.72"/>
    <s v="CREDITOR"/>
    <n v="0"/>
    <n v="0"/>
    <n v="0"/>
    <n v="0"/>
    <n v="6.72"/>
  </r>
  <r>
    <n v="61242585"/>
    <s v="N"/>
    <n v="21327858"/>
    <s v="3000015408580006"/>
    <s v="CIVIL"/>
    <d v="2023-05-24T00:00:00"/>
    <d v="2023-07-04T19:00:44"/>
    <m/>
    <d v="2023-07-04T00:00:00"/>
    <n v="1099"/>
    <n v="14323"/>
    <s v="61242585"/>
    <s v="61242585"/>
    <m/>
    <m/>
    <n v="22565288"/>
    <m/>
    <m/>
    <m/>
    <s v="SOLFIN"/>
    <s v="SOLFIN"/>
    <s v="CCMS"/>
    <n v="21327858"/>
    <n v="2761.72"/>
    <m/>
    <s v="N"/>
    <n v="2"/>
    <d v="2023-07-04T19:00:56"/>
    <s v="N"/>
    <s v="Level 3 &amp; Level 4 Fixed Fee"/>
    <s v="Private Law Children"/>
    <s v="Profit Cost"/>
    <s v="SAB"/>
    <s v="N"/>
    <n v="0"/>
    <n v="0"/>
    <x v="1"/>
    <s v="VALIDATED"/>
    <n v="1"/>
    <s v="01.11.80.307.6100.0000"/>
    <n v="0"/>
    <s v="11"/>
    <s v="6100"/>
    <n v="4340.31"/>
    <n v="0"/>
    <s v="CREDITOR"/>
    <n v="0"/>
    <n v="0"/>
    <n v="0"/>
    <n v="0"/>
    <n v="0"/>
  </r>
  <r>
    <n v="61242585"/>
    <s v="N"/>
    <n v="21327858"/>
    <s v="3000015408580006"/>
    <s v="CIVIL"/>
    <d v="2023-05-24T00:00:00"/>
    <d v="2023-07-04T19:00:44"/>
    <m/>
    <d v="2023-07-04T00:00:00"/>
    <n v="1099"/>
    <n v="14323"/>
    <s v="61242585"/>
    <s v="61242585"/>
    <m/>
    <m/>
    <n v="22565288"/>
    <m/>
    <m/>
    <m/>
    <s v="SOLFIN"/>
    <s v="SOLFIN"/>
    <s v="CCMS"/>
    <n v="21327858"/>
    <n v="2761.72"/>
    <m/>
    <s v="N"/>
    <n v="5"/>
    <d v="2023-07-04T19:00:56"/>
    <s v="Y"/>
    <s v="Attendance upon client"/>
    <s v="Prescribed Hourly Rates"/>
    <s v="Profit Cost"/>
    <s v="SAB25"/>
    <s v="Y"/>
    <n v="65.88"/>
    <n v="13.18"/>
    <x v="1"/>
    <s v="VALIDATED"/>
    <n v="1"/>
    <s v="01.11.80.307.6100.0000"/>
    <n v="65.88"/>
    <s v="11"/>
    <s v="6100"/>
    <n v="4340.31"/>
    <n v="65.88"/>
    <s v="CREDITOR"/>
    <n v="0"/>
    <n v="0"/>
    <n v="0"/>
    <n v="0"/>
    <n v="65.88"/>
  </r>
  <r>
    <n v="61687147"/>
    <s v="N"/>
    <n v="21349976"/>
    <s v="3000015781700003"/>
    <s v="CIVIL"/>
    <d v="2023-06-30T00:00:00"/>
    <d v="2023-07-10T19:01:40"/>
    <m/>
    <d v="2023-07-10T00:00:00"/>
    <n v="1099"/>
    <n v="14323"/>
    <s v="61687147"/>
    <s v="61687147"/>
    <m/>
    <m/>
    <n v="22799326"/>
    <m/>
    <m/>
    <m/>
    <s v="SOLFIN"/>
    <s v="SOLFIN"/>
    <s v="CCMS"/>
    <n v="21349976"/>
    <n v="3216.38"/>
    <m/>
    <s v="N"/>
    <n v="26"/>
    <d v="2023-07-10T19:02:06"/>
    <s v="Y"/>
    <s v="Preparation - other"/>
    <s v="Care Remuneration Hourly Rates"/>
    <s v="Profit Cost"/>
    <s v="SVS15"/>
    <s v="Y"/>
    <n v="26.86"/>
    <n v="5.37"/>
    <x v="2"/>
    <s v="VALIDATED"/>
    <n v="1"/>
    <s v="01.11.80.305.6100.0000"/>
    <n v="26.86"/>
    <s v="11"/>
    <s v="6100"/>
    <n v="4340.31"/>
    <n v="26.86"/>
    <s v="CREDITOR"/>
    <n v="0"/>
    <n v="0"/>
    <n v="0"/>
    <n v="0"/>
    <n v="26.86"/>
  </r>
  <r>
    <n v="60802449"/>
    <s v="N"/>
    <n v="21337696"/>
    <s v="3000015037270008"/>
    <s v="CIVIL"/>
    <d v="2023-06-27T00:00:00"/>
    <d v="2023-07-06T19:21:01"/>
    <m/>
    <d v="2023-07-06T00:00:00"/>
    <n v="1099"/>
    <n v="14323"/>
    <s v="60802449"/>
    <s v="60802449"/>
    <m/>
    <m/>
    <n v="22772662"/>
    <m/>
    <m/>
    <m/>
    <s v="SOLFIN"/>
    <s v="SOLFIN"/>
    <s v="CCMS"/>
    <n v="21337696"/>
    <n v="5758.09"/>
    <m/>
    <s v="N"/>
    <n v="4"/>
    <d v="2023-07-06T19:21:04"/>
    <s v="Y"/>
    <s v="Solicitor Travel Expenses"/>
    <s v="Public Law Children"/>
    <s v="Non Expert Disbursement"/>
    <s v="SVS"/>
    <s v="Y"/>
    <n v="3.33"/>
    <n v="0.67"/>
    <x v="4"/>
    <s v="VALIDATED"/>
    <n v="1"/>
    <s v="01.11.80.308.6300.0000"/>
    <n v="3.33"/>
    <s v="11"/>
    <s v="6300"/>
    <n v="4340.31"/>
    <n v="3.33"/>
    <s v="CREDITOR"/>
    <n v="0"/>
    <n v="0"/>
    <n v="0"/>
    <n v="0"/>
    <n v="3.33"/>
  </r>
  <r>
    <n v="61242585"/>
    <s v="N"/>
    <n v="21327858"/>
    <s v="3000015408580006"/>
    <s v="CIVIL"/>
    <d v="2023-05-24T00:00:00"/>
    <d v="2023-07-04T19:00:44"/>
    <m/>
    <d v="2023-07-04T00:00:00"/>
    <n v="1099"/>
    <n v="14323"/>
    <s v="61242585"/>
    <s v="61242585"/>
    <m/>
    <m/>
    <n v="22565288"/>
    <m/>
    <m/>
    <m/>
    <s v="SOLFIN"/>
    <s v="SOLFIN"/>
    <s v="CCMS"/>
    <n v="21327858"/>
    <n v="2761.72"/>
    <m/>
    <s v="N"/>
    <n v="19"/>
    <d v="2023-07-04T19:00:56"/>
    <s v="Y"/>
    <s v="Preparation - drafting attendance n"/>
    <s v="Prescribed Hourly Rates"/>
    <s v="Profit Cost"/>
    <s v="SAB"/>
    <s v="Y"/>
    <n v="5.49"/>
    <n v="1.1"/>
    <x v="1"/>
    <s v="VALIDATED"/>
    <n v="1"/>
    <s v="01.11.80.307.6100.0000"/>
    <n v="5.49"/>
    <s v="11"/>
    <s v="6100"/>
    <n v="4340.31"/>
    <n v="5.49"/>
    <s v="CREDITOR"/>
    <n v="0"/>
    <n v="0"/>
    <n v="0"/>
    <n v="0"/>
    <n v="5.49"/>
  </r>
  <r>
    <n v="61242585"/>
    <s v="N"/>
    <n v="21327858"/>
    <s v="3000015408580006"/>
    <s v="CIVIL"/>
    <d v="2023-05-24T00:00:00"/>
    <d v="2023-07-04T19:00:44"/>
    <m/>
    <d v="2023-07-04T00:00:00"/>
    <n v="1099"/>
    <n v="14323"/>
    <s v="61242585"/>
    <s v="61242585"/>
    <m/>
    <m/>
    <n v="22565288"/>
    <m/>
    <m/>
    <m/>
    <s v="SOLFIN"/>
    <s v="SOLFIN"/>
    <s v="CCMS"/>
    <n v="21327858"/>
    <n v="2761.72"/>
    <m/>
    <s v="N"/>
    <n v="50"/>
    <d v="2023-07-04T19:00:56"/>
    <s v="Y"/>
    <s v="Routine Letter Out"/>
    <s v="Prescribed Hourly Rates"/>
    <s v="Profit Cost"/>
    <s v="SAB"/>
    <s v="Y"/>
    <n v="691.2"/>
    <n v="138.19"/>
    <x v="1"/>
    <s v="VALIDATED"/>
    <n v="1"/>
    <s v="01.11.80.307.6100.0000"/>
    <n v="691.2"/>
    <s v="11"/>
    <s v="6100"/>
    <n v="4340.31"/>
    <n v="691.2"/>
    <s v="CREDITOR"/>
    <n v="0"/>
    <n v="0"/>
    <n v="0"/>
    <n v="0"/>
    <n v="691.2"/>
  </r>
  <r>
    <n v="61687147"/>
    <s v="N"/>
    <n v="21349976"/>
    <s v="3000015781700003"/>
    <s v="CIVIL"/>
    <d v="2023-06-30T00:00:00"/>
    <d v="2023-07-10T19:01:40"/>
    <m/>
    <d v="2023-07-10T00:00:00"/>
    <n v="1099"/>
    <n v="14323"/>
    <s v="61687147"/>
    <s v="61687147"/>
    <m/>
    <m/>
    <n v="22799326"/>
    <m/>
    <m/>
    <m/>
    <s v="SOLFIN"/>
    <s v="SOLFIN"/>
    <s v="CCMS"/>
    <n v="21349976"/>
    <n v="3216.38"/>
    <m/>
    <s v="N"/>
    <n v="23"/>
    <d v="2023-07-10T19:02:06"/>
    <s v="Y"/>
    <s v="Preparation - other"/>
    <s v="Care Remuneration Hourly Rates"/>
    <s v="Profit Cost"/>
    <s v="SVS15"/>
    <s v="Y"/>
    <n v="20.15"/>
    <n v="4.03"/>
    <x v="2"/>
    <s v="VALIDATED"/>
    <n v="1"/>
    <s v="01.11.80.305.6100.0000"/>
    <n v="20.15"/>
    <s v="11"/>
    <s v="6100"/>
    <n v="4340.31"/>
    <n v="20.15"/>
    <s v="CREDITOR"/>
    <n v="0"/>
    <n v="0"/>
    <n v="0"/>
    <n v="0"/>
    <n v="20.15"/>
  </r>
  <r>
    <n v="60330198"/>
    <s v="N"/>
    <n v="21333837"/>
    <s v="3000014627810012RC"/>
    <s v="CIVIL"/>
    <d v="2023-06-19T00:00:00"/>
    <d v="2023-07-05T19:42:28"/>
    <m/>
    <d v="2023-07-05T00:00:00"/>
    <n v="1105"/>
    <n v="18230"/>
    <s v="60330198"/>
    <s v="60330198"/>
    <m/>
    <m/>
    <m/>
    <m/>
    <m/>
    <m/>
    <s v="SOLRECOUP"/>
    <s v="SOLRECOUP"/>
    <s v="POARECOUP"/>
    <n v="21333837"/>
    <n v="-365"/>
    <m/>
    <s v="Y"/>
    <n v="2"/>
    <d v="2023-07-05T19:42:29"/>
    <s v="N"/>
    <m/>
    <m/>
    <s v="Non Expert Disbursement"/>
    <m/>
    <s v="N"/>
    <n v="0"/>
    <n v="0"/>
    <x v="6"/>
    <s v="VALIDATED"/>
    <n v="1"/>
    <s v="01.11.80.000.0000.0000"/>
    <n v="0"/>
    <s v="11"/>
    <s v="0000"/>
    <n v="53101.42"/>
    <n v="0"/>
    <s v="CREDITOR"/>
    <n v="0"/>
    <n v="0"/>
    <n v="0"/>
    <n v="0"/>
    <n v="0"/>
  </r>
  <r>
    <n v="60147697"/>
    <s v="N"/>
    <n v="21328661"/>
    <s v="3000014472360006RC"/>
    <s v="CIVIL"/>
    <d v="2023-06-30T00:00:00"/>
    <d v="2023-07-04T19:38:21"/>
    <m/>
    <d v="2023-07-04T00:00:00"/>
    <n v="1105"/>
    <n v="18230"/>
    <s v="60147697"/>
    <s v="60147697"/>
    <m/>
    <m/>
    <m/>
    <m/>
    <m/>
    <m/>
    <s v="SOLRECOUP"/>
    <s v="SOLRECOUP"/>
    <s v="POARECOUP"/>
    <n v="21328661"/>
    <n v="-167"/>
    <m/>
    <s v="Y"/>
    <n v="1"/>
    <d v="2023-07-04T19:38:22"/>
    <s v="N"/>
    <m/>
    <m/>
    <s v="Non Expert Disbursement"/>
    <m/>
    <s v="N"/>
    <n v="-167"/>
    <n v="0"/>
    <x v="1"/>
    <s v="VALIDATED"/>
    <n v="1"/>
    <s v="01.11.80.308.2013.0000"/>
    <n v="-167"/>
    <s v="11"/>
    <s v="2013"/>
    <n v="53101.42"/>
    <n v="-167"/>
    <s v="CREDITOR"/>
    <n v="0"/>
    <n v="0"/>
    <n v="-167"/>
    <n v="0"/>
    <n v="0"/>
  </r>
  <r>
    <n v="60147697"/>
    <s v="N"/>
    <n v="21328661"/>
    <s v="3000014472360006RC"/>
    <s v="CIVIL"/>
    <d v="2023-06-30T00:00:00"/>
    <d v="2023-07-04T19:38:21"/>
    <m/>
    <d v="2023-07-04T00:00:00"/>
    <n v="1105"/>
    <n v="18230"/>
    <s v="60147697"/>
    <s v="60147697"/>
    <m/>
    <m/>
    <m/>
    <m/>
    <m/>
    <m/>
    <s v="SOLRECOUP"/>
    <s v="SOLRECOUP"/>
    <s v="POARECOUP"/>
    <n v="21328661"/>
    <n v="-167"/>
    <m/>
    <s v="Y"/>
    <n v="2"/>
    <d v="2023-07-04T19:38:22"/>
    <s v="N"/>
    <m/>
    <m/>
    <s v="Non Expert Disbursement"/>
    <m/>
    <s v="N"/>
    <n v="0"/>
    <n v="0"/>
    <x v="1"/>
    <s v="VALIDATED"/>
    <n v="1"/>
    <s v="01.11.80.000.0000.0000"/>
    <n v="0"/>
    <s v="11"/>
    <s v="0000"/>
    <n v="53101.42"/>
    <n v="0"/>
    <s v="CREDITOR"/>
    <n v="0"/>
    <n v="0"/>
    <n v="0"/>
    <n v="0"/>
    <n v="0"/>
  </r>
  <r>
    <n v="60147697"/>
    <s v="N"/>
    <n v="21328662"/>
    <s v="3000014472360017RC"/>
    <s v="CIVIL"/>
    <d v="2023-06-30T00:00:00"/>
    <d v="2023-07-04T19:38:21"/>
    <m/>
    <d v="2023-07-04T00:00:00"/>
    <n v="1105"/>
    <n v="18230"/>
    <s v="60147697"/>
    <s v="60147697"/>
    <m/>
    <m/>
    <m/>
    <m/>
    <m/>
    <m/>
    <s v="SOLRECOUP"/>
    <s v="SOLRECOUP"/>
    <s v="POARECOUP"/>
    <n v="21328662"/>
    <n v="-54.87"/>
    <m/>
    <s v="Y"/>
    <n v="1"/>
    <d v="2023-07-04T19:38:22"/>
    <s v="N"/>
    <m/>
    <m/>
    <s v="Non Expert Disbursement"/>
    <m/>
    <s v="N"/>
    <n v="-54.87"/>
    <n v="0"/>
    <x v="1"/>
    <s v="VALIDATED"/>
    <n v="1"/>
    <s v="01.11.80.308.2013.0000"/>
    <n v="-54.87"/>
    <s v="11"/>
    <s v="2013"/>
    <n v="53101.42"/>
    <n v="-54.87"/>
    <s v="CREDITOR"/>
    <n v="0"/>
    <n v="0"/>
    <n v="-54.87"/>
    <n v="0"/>
    <n v="0"/>
  </r>
  <r>
    <n v="60147697"/>
    <s v="N"/>
    <n v="21328662"/>
    <s v="3000014472360017RC"/>
    <s v="CIVIL"/>
    <d v="2023-06-30T00:00:00"/>
    <d v="2023-07-04T19:38:21"/>
    <m/>
    <d v="2023-07-04T00:00:00"/>
    <n v="1105"/>
    <n v="18230"/>
    <s v="60147697"/>
    <s v="60147697"/>
    <m/>
    <m/>
    <m/>
    <m/>
    <m/>
    <m/>
    <s v="SOLRECOUP"/>
    <s v="SOLRECOUP"/>
    <s v="POARECOUP"/>
    <n v="21328662"/>
    <n v="-54.87"/>
    <m/>
    <s v="Y"/>
    <n v="2"/>
    <d v="2023-07-04T19:38:22"/>
    <s v="N"/>
    <m/>
    <m/>
    <s v="Non Expert Disbursement"/>
    <m/>
    <s v="N"/>
    <n v="0"/>
    <n v="0"/>
    <x v="1"/>
    <s v="VALIDATED"/>
    <n v="1"/>
    <s v="01.11.80.000.0000.0000"/>
    <n v="0"/>
    <s v="11"/>
    <s v="0000"/>
    <n v="53101.42"/>
    <n v="0"/>
    <s v="CREDITOR"/>
    <n v="0"/>
    <n v="0"/>
    <n v="0"/>
    <n v="0"/>
    <n v="0"/>
  </r>
  <r>
    <n v="60147697"/>
    <s v="N"/>
    <n v="21328663"/>
    <s v="3000014472360003RC"/>
    <s v="CIVIL"/>
    <d v="2023-06-30T00:00:00"/>
    <d v="2023-07-04T19:38:21"/>
    <m/>
    <d v="2023-07-04T00:00:00"/>
    <n v="1105"/>
    <n v="18230"/>
    <s v="60147697"/>
    <s v="60147697"/>
    <m/>
    <m/>
    <m/>
    <m/>
    <m/>
    <m/>
    <s v="SOLRECOUP"/>
    <s v="SOLRECOUP"/>
    <s v="POARECOUP"/>
    <n v="21328663"/>
    <n v="-53"/>
    <m/>
    <s v="Y"/>
    <n v="1"/>
    <d v="2023-07-04T19:38:22"/>
    <s v="N"/>
    <m/>
    <m/>
    <s v="Non Expert Disbursement"/>
    <m/>
    <s v="N"/>
    <n v="-53"/>
    <n v="0"/>
    <x v="1"/>
    <s v="VALIDATED"/>
    <n v="1"/>
    <s v="01.11.80.308.2013.0000"/>
    <n v="-53"/>
    <s v="11"/>
    <s v="2013"/>
    <n v="53101.42"/>
    <n v="-53"/>
    <s v="CREDITOR"/>
    <n v="0"/>
    <n v="0"/>
    <n v="-53"/>
    <n v="0"/>
    <n v="0"/>
  </r>
  <r>
    <n v="60147697"/>
    <s v="N"/>
    <n v="21328663"/>
    <s v="3000014472360003RC"/>
    <s v="CIVIL"/>
    <d v="2023-06-30T00:00:00"/>
    <d v="2023-07-04T19:38:21"/>
    <m/>
    <d v="2023-07-04T00:00:00"/>
    <n v="1105"/>
    <n v="18230"/>
    <s v="60147697"/>
    <s v="60147697"/>
    <m/>
    <m/>
    <m/>
    <m/>
    <m/>
    <m/>
    <s v="SOLRECOUP"/>
    <s v="SOLRECOUP"/>
    <s v="POARECOUP"/>
    <n v="21328663"/>
    <n v="-53"/>
    <m/>
    <s v="Y"/>
    <n v="2"/>
    <d v="2023-07-04T19:38:22"/>
    <s v="N"/>
    <m/>
    <m/>
    <s v="Non Expert Disbursement"/>
    <m/>
    <s v="N"/>
    <n v="0"/>
    <n v="0"/>
    <x v="1"/>
    <s v="VALIDATED"/>
    <n v="1"/>
    <s v="01.11.80.000.0000.0000"/>
    <n v="0"/>
    <s v="11"/>
    <s v="0000"/>
    <n v="53101.42"/>
    <n v="0"/>
    <s v="CREDITOR"/>
    <n v="0"/>
    <n v="0"/>
    <n v="0"/>
    <n v="0"/>
    <n v="0"/>
  </r>
  <r>
    <n v="60147697"/>
    <s v="N"/>
    <n v="21328664"/>
    <s v="3000014472360008RC"/>
    <s v="CIVIL"/>
    <d v="2023-06-30T00:00:00"/>
    <d v="2023-07-04T19:38:21"/>
    <m/>
    <d v="2023-07-04T00:00:00"/>
    <n v="1105"/>
    <n v="18230"/>
    <s v="60147697"/>
    <s v="60147697"/>
    <m/>
    <m/>
    <m/>
    <m/>
    <m/>
    <m/>
    <s v="SOLRECOUP"/>
    <s v="SOLRECOUP"/>
    <s v="POARECOUP"/>
    <n v="21328664"/>
    <n v="-167"/>
    <m/>
    <s v="Y"/>
    <n v="1"/>
    <d v="2023-07-04T19:38:22"/>
    <s v="N"/>
    <m/>
    <m/>
    <s v="Non Expert Disbursement"/>
    <m/>
    <s v="N"/>
    <n v="-167"/>
    <n v="0"/>
    <x v="1"/>
    <s v="VALIDATED"/>
    <n v="1"/>
    <s v="01.11.80.308.2013.0000"/>
    <n v="-167"/>
    <s v="11"/>
    <s v="2013"/>
    <n v="53101.42"/>
    <n v="-167"/>
    <s v="CREDITOR"/>
    <n v="0"/>
    <n v="0"/>
    <n v="-167"/>
    <n v="0"/>
    <n v="0"/>
  </r>
  <r>
    <n v="60147697"/>
    <s v="N"/>
    <n v="21328664"/>
    <s v="3000014472360008RC"/>
    <s v="CIVIL"/>
    <d v="2023-06-30T00:00:00"/>
    <d v="2023-07-04T19:38:21"/>
    <m/>
    <d v="2023-07-04T00:00:00"/>
    <n v="1105"/>
    <n v="18230"/>
    <s v="60147697"/>
    <s v="60147697"/>
    <m/>
    <m/>
    <m/>
    <m/>
    <m/>
    <m/>
    <s v="SOLRECOUP"/>
    <s v="SOLRECOUP"/>
    <s v="POARECOUP"/>
    <n v="21328664"/>
    <n v="-167"/>
    <m/>
    <s v="Y"/>
    <n v="2"/>
    <d v="2023-07-04T19:38:22"/>
    <s v="N"/>
    <m/>
    <m/>
    <s v="Non Expert Disbursement"/>
    <m/>
    <s v="N"/>
    <n v="0"/>
    <n v="0"/>
    <x v="1"/>
    <s v="VALIDATED"/>
    <n v="1"/>
    <s v="01.11.80.000.0000.0000"/>
    <n v="0"/>
    <s v="11"/>
    <s v="0000"/>
    <n v="53101.42"/>
    <n v="0"/>
    <s v="CREDITOR"/>
    <n v="0"/>
    <n v="0"/>
    <n v="0"/>
    <n v="0"/>
    <n v="0"/>
  </r>
  <r>
    <n v="60147697"/>
    <s v="N"/>
    <n v="21328665"/>
    <s v="3000014472360020RC"/>
    <s v="CIVIL"/>
    <d v="2023-06-30T00:00:00"/>
    <d v="2023-07-04T19:38:21"/>
    <m/>
    <d v="2023-07-04T00:00:00"/>
    <n v="1105"/>
    <n v="18230"/>
    <s v="60147697"/>
    <s v="60147697"/>
    <m/>
    <m/>
    <m/>
    <m/>
    <m/>
    <m/>
    <s v="SOLRECOUP"/>
    <s v="SOLRECOUP"/>
    <s v="POARECOUP"/>
    <n v="21328665"/>
    <n v="-486"/>
    <m/>
    <s v="Y"/>
    <n v="1"/>
    <d v="2023-07-04T19:38:22"/>
    <s v="N"/>
    <m/>
    <m/>
    <s v="Expert Disbursement"/>
    <m/>
    <s v="N"/>
    <n v="-486"/>
    <n v="0"/>
    <x v="1"/>
    <s v="VALIDATED"/>
    <n v="1"/>
    <s v="01.11.80.308.2013.0000"/>
    <n v="-486"/>
    <s v="11"/>
    <s v="2013"/>
    <n v="53101.42"/>
    <n v="-486"/>
    <s v="CREDITOR"/>
    <n v="0"/>
    <n v="0"/>
    <n v="-486"/>
    <n v="0"/>
    <n v="0"/>
  </r>
  <r>
    <n v="60147697"/>
    <s v="N"/>
    <n v="21328665"/>
    <s v="3000014472360020RC"/>
    <s v="CIVIL"/>
    <d v="2023-06-30T00:00:00"/>
    <d v="2023-07-04T19:38:21"/>
    <m/>
    <d v="2023-07-04T00:00:00"/>
    <n v="1105"/>
    <n v="18230"/>
    <s v="60147697"/>
    <s v="60147697"/>
    <m/>
    <m/>
    <m/>
    <m/>
    <m/>
    <m/>
    <s v="SOLRECOUP"/>
    <s v="SOLRECOUP"/>
    <s v="POARECOUP"/>
    <n v="21328665"/>
    <n v="-486"/>
    <m/>
    <s v="Y"/>
    <n v="2"/>
    <d v="2023-07-04T19:38:22"/>
    <s v="N"/>
    <m/>
    <m/>
    <s v="Expert Disbursement"/>
    <m/>
    <s v="N"/>
    <n v="0"/>
    <n v="0"/>
    <x v="1"/>
    <s v="VALIDATED"/>
    <n v="1"/>
    <s v="01.11.80.000.0000.0000"/>
    <n v="0"/>
    <s v="11"/>
    <s v="0000"/>
    <n v="53101.42"/>
    <n v="0"/>
    <s v="CREDITOR"/>
    <n v="0"/>
    <n v="0"/>
    <n v="0"/>
    <n v="0"/>
    <n v="0"/>
  </r>
  <r>
    <n v="60147697"/>
    <s v="N"/>
    <n v="21328666"/>
    <s v="3000014472360012RC"/>
    <s v="CIVIL"/>
    <d v="2023-06-30T00:00:00"/>
    <d v="2023-07-04T19:38:21"/>
    <m/>
    <d v="2023-07-04T00:00:00"/>
    <n v="1105"/>
    <n v="18230"/>
    <s v="60147697"/>
    <s v="60147697"/>
    <m/>
    <m/>
    <m/>
    <m/>
    <m/>
    <m/>
    <s v="SOLRECOUP"/>
    <s v="SOLRECOUP"/>
    <s v="POARECOUP"/>
    <n v="21328666"/>
    <n v="-291.6"/>
    <m/>
    <s v="Y"/>
    <n v="1"/>
    <d v="2023-07-04T19:38:22"/>
    <s v="N"/>
    <m/>
    <m/>
    <s v="Expert Disbursement"/>
    <m/>
    <s v="N"/>
    <n v="-243"/>
    <n v="0"/>
    <x v="1"/>
    <s v="VALIDATED"/>
    <n v="1"/>
    <s v="01.11.80.308.2013.0000"/>
    <n v="-243"/>
    <s v="11"/>
    <s v="2013"/>
    <n v="53101.42"/>
    <n v="-243"/>
    <s v="CREDITOR"/>
    <n v="0"/>
    <n v="0"/>
    <n v="-243"/>
    <n v="0"/>
    <n v="0"/>
  </r>
  <r>
    <n v="60147697"/>
    <s v="N"/>
    <n v="21328666"/>
    <s v="3000014472360012RC"/>
    <s v="CIVIL"/>
    <d v="2023-06-30T00:00:00"/>
    <d v="2023-07-04T19:38:21"/>
    <m/>
    <d v="2023-07-04T00:00:00"/>
    <n v="1105"/>
    <n v="18230"/>
    <s v="60147697"/>
    <s v="60147697"/>
    <m/>
    <m/>
    <m/>
    <m/>
    <m/>
    <m/>
    <s v="SOLRECOUP"/>
    <s v="SOLRECOUP"/>
    <s v="POARECOUP"/>
    <n v="21328666"/>
    <n v="-291.6"/>
    <m/>
    <s v="Y"/>
    <n v="2"/>
    <d v="2023-07-04T19:38:22"/>
    <s v="N"/>
    <m/>
    <m/>
    <s v="Expert Disbursement"/>
    <m/>
    <s v="N"/>
    <n v="0"/>
    <n v="-48.6"/>
    <x v="1"/>
    <s v="VALIDATED"/>
    <n v="1"/>
    <s v="01.11.80.308.2013.0000"/>
    <n v="-48.6"/>
    <s v="11"/>
    <s v="2013"/>
    <n v="53101.42"/>
    <n v="-48.6"/>
    <s v="CREDITOR"/>
    <n v="0"/>
    <n v="0"/>
    <n v="-48.6"/>
    <n v="0"/>
    <n v="0"/>
  </r>
  <r>
    <n v="60147697"/>
    <s v="N"/>
    <n v="21328667"/>
    <s v="300001447236IK107RC"/>
    <s v="CIVIL"/>
    <d v="2023-06-30T00:00:00"/>
    <d v="2023-07-04T19:38:21"/>
    <m/>
    <d v="2023-07-04T00:00:00"/>
    <n v="1105"/>
    <n v="18230"/>
    <s v="60147697"/>
    <s v="60147697"/>
    <m/>
    <m/>
    <m/>
    <m/>
    <m/>
    <m/>
    <s v="SOLRECOUP"/>
    <s v="SOLRECOUP"/>
    <s v="POARECOUP"/>
    <n v="21328667"/>
    <n v="-648"/>
    <m/>
    <s v="Y"/>
    <n v="1"/>
    <d v="2023-07-04T19:38:22"/>
    <s v="N"/>
    <m/>
    <m/>
    <s v="DISBURSEMENT"/>
    <m/>
    <s v="N"/>
    <n v="-540"/>
    <n v="0"/>
    <x v="1"/>
    <s v="VALIDATED"/>
    <n v="1"/>
    <s v="01.11.80.300.2013.0000"/>
    <n v="-540"/>
    <s v="11"/>
    <s v="2013"/>
    <n v="53101.42"/>
    <n v="-540"/>
    <s v="CREDITOR"/>
    <n v="0"/>
    <n v="0"/>
    <n v="-540"/>
    <n v="0"/>
    <n v="0"/>
  </r>
  <r>
    <n v="60147697"/>
    <s v="N"/>
    <n v="21328667"/>
    <s v="300001447236IK107RC"/>
    <s v="CIVIL"/>
    <d v="2023-06-30T00:00:00"/>
    <d v="2023-07-04T19:38:21"/>
    <m/>
    <d v="2023-07-04T00:00:00"/>
    <n v="1105"/>
    <n v="18230"/>
    <s v="60147697"/>
    <s v="60147697"/>
    <m/>
    <m/>
    <m/>
    <m/>
    <m/>
    <m/>
    <s v="SOLRECOUP"/>
    <s v="SOLRECOUP"/>
    <s v="POARECOUP"/>
    <n v="21328667"/>
    <n v="-648"/>
    <m/>
    <s v="Y"/>
    <n v="2"/>
    <d v="2023-07-04T19:38:22"/>
    <s v="N"/>
    <m/>
    <m/>
    <s v="DISBURSEMENT"/>
    <m/>
    <s v="N"/>
    <n v="0"/>
    <n v="-108"/>
    <x v="1"/>
    <s v="VALIDATED"/>
    <n v="1"/>
    <s v="01.11.80.300.2013.0000"/>
    <n v="-108"/>
    <s v="11"/>
    <s v="2013"/>
    <n v="53101.42"/>
    <n v="-108"/>
    <s v="CREDITOR"/>
    <n v="0"/>
    <n v="0"/>
    <n v="-108"/>
    <n v="0"/>
    <n v="0"/>
  </r>
  <r>
    <n v="60147697"/>
    <s v="N"/>
    <n v="21328668"/>
    <s v="300001447236IK109RC"/>
    <s v="CIVIL"/>
    <d v="2023-06-30T00:00:00"/>
    <d v="2023-07-04T19:38:21"/>
    <m/>
    <d v="2023-07-04T00:00:00"/>
    <n v="1105"/>
    <n v="18230"/>
    <s v="60147697"/>
    <s v="60147697"/>
    <m/>
    <m/>
    <m/>
    <m/>
    <m/>
    <m/>
    <s v="SOLRECOUP"/>
    <s v="SOLRECOUP"/>
    <s v="POARECOUP"/>
    <n v="21328668"/>
    <n v="-2214"/>
    <m/>
    <s v="Y"/>
    <n v="1"/>
    <d v="2023-07-04T19:38:22"/>
    <s v="N"/>
    <m/>
    <m/>
    <s v="DISBURSEMENT"/>
    <m/>
    <s v="N"/>
    <n v="-1845"/>
    <n v="0"/>
    <x v="1"/>
    <s v="VALIDATED"/>
    <n v="1"/>
    <s v="01.11.80.300.2013.0000"/>
    <n v="-1845"/>
    <s v="11"/>
    <s v="2013"/>
    <n v="53101.42"/>
    <n v="-1845"/>
    <s v="CREDITOR"/>
    <n v="0"/>
    <n v="0"/>
    <n v="-1845"/>
    <n v="0"/>
    <n v="0"/>
  </r>
  <r>
    <n v="60147697"/>
    <s v="N"/>
    <n v="21328668"/>
    <s v="300001447236IK109RC"/>
    <s v="CIVIL"/>
    <d v="2023-06-30T00:00:00"/>
    <d v="2023-07-04T19:38:21"/>
    <m/>
    <d v="2023-07-04T00:00:00"/>
    <n v="1105"/>
    <n v="18230"/>
    <s v="60147697"/>
    <s v="60147697"/>
    <m/>
    <m/>
    <m/>
    <m/>
    <m/>
    <m/>
    <s v="SOLRECOUP"/>
    <s v="SOLRECOUP"/>
    <s v="POARECOUP"/>
    <n v="21328668"/>
    <n v="-2214"/>
    <m/>
    <s v="Y"/>
    <n v="2"/>
    <d v="2023-07-04T19:38:22"/>
    <s v="N"/>
    <m/>
    <m/>
    <s v="DISBURSEMENT"/>
    <m/>
    <s v="N"/>
    <n v="0"/>
    <n v="-369"/>
    <x v="1"/>
    <s v="VALIDATED"/>
    <n v="1"/>
    <s v="01.11.80.300.2013.0000"/>
    <n v="-369"/>
    <s v="11"/>
    <s v="2013"/>
    <n v="53101.42"/>
    <n v="-369"/>
    <s v="CREDITOR"/>
    <n v="0"/>
    <n v="0"/>
    <n v="-369"/>
    <n v="0"/>
    <n v="0"/>
  </r>
  <r>
    <n v="60147697"/>
    <s v="N"/>
    <n v="21328669"/>
    <s v="300001447236HMD88RC"/>
    <s v="CIVIL"/>
    <d v="2023-06-30T00:00:00"/>
    <d v="2023-07-04T19:38:21"/>
    <m/>
    <d v="2023-07-04T00:00:00"/>
    <n v="1105"/>
    <n v="18230"/>
    <s v="60147697"/>
    <s v="60147697"/>
    <m/>
    <m/>
    <m/>
    <m/>
    <m/>
    <m/>
    <s v="SOLRECOUP"/>
    <s v="SOLRECOUP"/>
    <s v="POARECOUP"/>
    <n v="21328669"/>
    <n v="-256.2"/>
    <m/>
    <s v="Y"/>
    <n v="1"/>
    <d v="2023-07-04T19:38:22"/>
    <s v="N"/>
    <m/>
    <m/>
    <s v="DISBURSEMENTS"/>
    <m/>
    <s v="N"/>
    <n v="-256.2"/>
    <n v="0"/>
    <x v="1"/>
    <s v="VALIDATED"/>
    <n v="1"/>
    <s v="01.11.80.300.2013.0000"/>
    <n v="-256.2"/>
    <s v="11"/>
    <s v="2013"/>
    <n v="53101.42"/>
    <n v="-256.2"/>
    <s v="CREDITOR"/>
    <n v="0"/>
    <n v="0"/>
    <n v="-256.2"/>
    <n v="0"/>
    <n v="0"/>
  </r>
  <r>
    <n v="60147697"/>
    <s v="N"/>
    <n v="21328669"/>
    <s v="300001447236HMD88RC"/>
    <s v="CIVIL"/>
    <d v="2023-06-30T00:00:00"/>
    <d v="2023-07-04T19:38:21"/>
    <m/>
    <d v="2023-07-04T00:00:00"/>
    <n v="1105"/>
    <n v="18230"/>
    <s v="60147697"/>
    <s v="60147697"/>
    <m/>
    <m/>
    <m/>
    <m/>
    <m/>
    <m/>
    <s v="SOLRECOUP"/>
    <s v="SOLRECOUP"/>
    <s v="POARECOUP"/>
    <n v="21328669"/>
    <n v="-256.2"/>
    <m/>
    <s v="Y"/>
    <n v="2"/>
    <d v="2023-07-04T19:38:22"/>
    <s v="N"/>
    <m/>
    <m/>
    <s v="DISBURSEMENTS"/>
    <m/>
    <s v="N"/>
    <n v="0"/>
    <n v="0"/>
    <x v="1"/>
    <s v="VALIDATED"/>
    <n v="1"/>
    <s v="01.11.80.000.0000.0000"/>
    <n v="0"/>
    <s v="11"/>
    <s v="0000"/>
    <n v="53101.42"/>
    <n v="0"/>
    <s v="CREDITOR"/>
    <n v="0"/>
    <n v="0"/>
    <n v="0"/>
    <n v="0"/>
    <n v="0"/>
  </r>
  <r>
    <n v="60147697"/>
    <s v="N"/>
    <n v="21328670"/>
    <s v="300001447236HMD89RC"/>
    <s v="CIVIL"/>
    <d v="2023-06-30T00:00:00"/>
    <d v="2023-07-04T19:38:21"/>
    <m/>
    <d v="2023-07-04T00:00:00"/>
    <n v="1105"/>
    <n v="18230"/>
    <s v="60147697"/>
    <s v="60147697"/>
    <m/>
    <m/>
    <m/>
    <m/>
    <m/>
    <m/>
    <s v="SOLRECOUP"/>
    <s v="SOLRECOUP"/>
    <s v="POARECOUP"/>
    <n v="21328670"/>
    <n v="-162"/>
    <m/>
    <s v="Y"/>
    <n v="1"/>
    <d v="2023-07-04T19:38:22"/>
    <s v="N"/>
    <m/>
    <m/>
    <s v="DISBURSEMENT"/>
    <m/>
    <s v="N"/>
    <n v="-135"/>
    <n v="0"/>
    <x v="1"/>
    <s v="VALIDATED"/>
    <n v="1"/>
    <s v="01.11.80.300.2013.0000"/>
    <n v="-135"/>
    <s v="11"/>
    <s v="2013"/>
    <n v="53101.42"/>
    <n v="-135"/>
    <s v="CREDITOR"/>
    <n v="0"/>
    <n v="0"/>
    <n v="-135"/>
    <n v="0"/>
    <n v="0"/>
  </r>
  <r>
    <n v="60147697"/>
    <s v="N"/>
    <n v="21328670"/>
    <s v="300001447236HMD89RC"/>
    <s v="CIVIL"/>
    <d v="2023-06-30T00:00:00"/>
    <d v="2023-07-04T19:38:21"/>
    <m/>
    <d v="2023-07-04T00:00:00"/>
    <n v="1105"/>
    <n v="18230"/>
    <s v="60147697"/>
    <s v="60147697"/>
    <m/>
    <m/>
    <m/>
    <m/>
    <m/>
    <m/>
    <s v="SOLRECOUP"/>
    <s v="SOLRECOUP"/>
    <s v="POARECOUP"/>
    <n v="21328670"/>
    <n v="-162"/>
    <m/>
    <s v="Y"/>
    <n v="2"/>
    <d v="2023-07-04T19:38:22"/>
    <s v="N"/>
    <m/>
    <m/>
    <s v="DISBURSEMENT"/>
    <m/>
    <s v="N"/>
    <n v="0"/>
    <n v="-27"/>
    <x v="1"/>
    <s v="VALIDATED"/>
    <n v="1"/>
    <s v="01.11.80.300.2013.0000"/>
    <n v="-27"/>
    <s v="11"/>
    <s v="2013"/>
    <n v="53101.42"/>
    <n v="-27"/>
    <s v="CREDITOR"/>
    <n v="0"/>
    <n v="0"/>
    <n v="-27"/>
    <n v="0"/>
    <n v="0"/>
  </r>
  <r>
    <n v="60147697"/>
    <s v="N"/>
    <n v="21328671"/>
    <s v="3000014472360014RC"/>
    <s v="CIVIL"/>
    <d v="2023-06-30T00:00:00"/>
    <d v="2023-07-04T19:38:21"/>
    <m/>
    <d v="2023-07-04T00:00:00"/>
    <n v="1105"/>
    <n v="18230"/>
    <s v="60147697"/>
    <s v="60147697"/>
    <m/>
    <m/>
    <m/>
    <m/>
    <m/>
    <m/>
    <s v="SOLRECOUP"/>
    <s v="SOLRECOUP"/>
    <s v="POARECOUP"/>
    <n v="21328671"/>
    <n v="-54.2"/>
    <m/>
    <s v="Y"/>
    <n v="1"/>
    <d v="2023-07-04T19:38:22"/>
    <s v="N"/>
    <m/>
    <m/>
    <s v="Non Expert Disbursement"/>
    <m/>
    <s v="N"/>
    <n v="-54.2"/>
    <n v="0"/>
    <x v="1"/>
    <s v="VALIDATED"/>
    <n v="1"/>
    <s v="01.11.80.308.2013.0000"/>
    <n v="-54.2"/>
    <s v="11"/>
    <s v="2013"/>
    <n v="53101.42"/>
    <n v="-54.2"/>
    <s v="CREDITOR"/>
    <n v="0"/>
    <n v="0"/>
    <n v="-54.2"/>
    <n v="0"/>
    <n v="0"/>
  </r>
  <r>
    <n v="61692826"/>
    <s v="N"/>
    <n v="21339975"/>
    <s v="3000015781560011RC"/>
    <s v="CIVIL"/>
    <d v="2023-06-28T00:00:00"/>
    <d v="2023-07-06T19:54:22"/>
    <m/>
    <d v="2023-07-06T00:00:00"/>
    <n v="1105"/>
    <n v="18230"/>
    <s v="61692826"/>
    <s v="61692826"/>
    <m/>
    <m/>
    <m/>
    <m/>
    <m/>
    <m/>
    <s v="SOLRECOUP"/>
    <s v="SOLRECOUP"/>
    <s v="POARECOUP"/>
    <n v="21339975"/>
    <n v="-33.6"/>
    <m/>
    <s v="Y"/>
    <n v="2"/>
    <d v="2023-07-06T19:54:23"/>
    <s v="N"/>
    <m/>
    <m/>
    <s v="Non Expert Disbursement"/>
    <m/>
    <s v="N"/>
    <n v="0"/>
    <n v="-5.6"/>
    <x v="4"/>
    <s v="VALIDATED"/>
    <n v="1"/>
    <s v="01.11.80.307.2013.0000"/>
    <n v="-5.6"/>
    <s v="11"/>
    <s v="2013"/>
    <n v="53101.42"/>
    <n v="-5.6"/>
    <s v="CREDITOR"/>
    <n v="0"/>
    <n v="0"/>
    <n v="-5.6"/>
    <n v="0"/>
    <n v="0"/>
  </r>
  <r>
    <n v="61692826"/>
    <s v="N"/>
    <n v="21339976"/>
    <s v="3000015781560010RC"/>
    <s v="CIVIL"/>
    <d v="2023-06-28T00:00:00"/>
    <d v="2023-07-06T19:54:22"/>
    <m/>
    <d v="2023-07-06T00:00:00"/>
    <n v="1105"/>
    <n v="18230"/>
    <s v="61692826"/>
    <s v="61692826"/>
    <m/>
    <m/>
    <m/>
    <m/>
    <m/>
    <m/>
    <s v="SOLRECOUP"/>
    <s v="SOLRECOUP"/>
    <s v="POARECOUP"/>
    <n v="21339976"/>
    <n v="-33.6"/>
    <m/>
    <s v="Y"/>
    <n v="1"/>
    <d v="2023-07-06T19:54:23"/>
    <s v="N"/>
    <m/>
    <m/>
    <s v="Non Expert Disbursement"/>
    <m/>
    <s v="N"/>
    <n v="-28"/>
    <n v="0"/>
    <x v="4"/>
    <s v="VALIDATED"/>
    <n v="1"/>
    <s v="01.11.80.307.2013.0000"/>
    <n v="-28"/>
    <s v="11"/>
    <s v="2013"/>
    <n v="53101.42"/>
    <n v="-28"/>
    <s v="CREDITOR"/>
    <n v="0"/>
    <n v="0"/>
    <n v="-28"/>
    <n v="0"/>
    <n v="0"/>
  </r>
  <r>
    <n v="61692826"/>
    <s v="N"/>
    <n v="21339976"/>
    <s v="3000015781560010RC"/>
    <s v="CIVIL"/>
    <d v="2023-06-28T00:00:00"/>
    <d v="2023-07-06T19:54:22"/>
    <m/>
    <d v="2023-07-06T00:00:00"/>
    <n v="1105"/>
    <n v="18230"/>
    <s v="61692826"/>
    <s v="61692826"/>
    <m/>
    <m/>
    <m/>
    <m/>
    <m/>
    <m/>
    <s v="SOLRECOUP"/>
    <s v="SOLRECOUP"/>
    <s v="POARECOUP"/>
    <n v="21339976"/>
    <n v="-33.6"/>
    <m/>
    <s v="Y"/>
    <n v="2"/>
    <d v="2023-07-06T19:54:23"/>
    <s v="N"/>
    <m/>
    <m/>
    <s v="Non Expert Disbursement"/>
    <m/>
    <s v="N"/>
    <n v="0"/>
    <n v="-5.6"/>
    <x v="4"/>
    <s v="VALIDATED"/>
    <n v="1"/>
    <s v="01.11.80.307.2013.0000"/>
    <n v="-5.6"/>
    <s v="11"/>
    <s v="2013"/>
    <n v="53101.42"/>
    <n v="-5.6"/>
    <s v="CREDITOR"/>
    <n v="0"/>
    <n v="0"/>
    <n v="-5.6"/>
    <n v="0"/>
    <n v="0"/>
  </r>
  <r>
    <n v="61692826"/>
    <s v="N"/>
    <n v="21339977"/>
    <s v="3000015781560003RC"/>
    <s v="CIVIL"/>
    <d v="2023-06-28T00:00:00"/>
    <d v="2023-07-06T19:54:22"/>
    <m/>
    <d v="2023-07-06T00:00:00"/>
    <n v="1105"/>
    <n v="18230"/>
    <s v="61692826"/>
    <s v="61692826"/>
    <m/>
    <m/>
    <m/>
    <m/>
    <m/>
    <m/>
    <s v="SOLRECOUP"/>
    <s v="SOLRECOUP"/>
    <s v="POARECOUP"/>
    <n v="21339977"/>
    <n v="-67.2"/>
    <m/>
    <s v="Y"/>
    <n v="1"/>
    <d v="2023-07-06T19:54:23"/>
    <s v="N"/>
    <m/>
    <m/>
    <s v="Non Expert Disbursement"/>
    <m/>
    <s v="N"/>
    <n v="-56"/>
    <n v="0"/>
    <x v="4"/>
    <s v="VALIDATED"/>
    <n v="1"/>
    <s v="01.11.80.307.2013.0000"/>
    <n v="-56"/>
    <s v="11"/>
    <s v="2013"/>
    <n v="53101.42"/>
    <n v="-56"/>
    <s v="CREDITOR"/>
    <n v="0"/>
    <n v="0"/>
    <n v="-56"/>
    <n v="0"/>
    <n v="0"/>
  </r>
  <r>
    <n v="61692826"/>
    <s v="N"/>
    <n v="21339977"/>
    <s v="3000015781560003RC"/>
    <s v="CIVIL"/>
    <d v="2023-06-28T00:00:00"/>
    <d v="2023-07-06T19:54:22"/>
    <m/>
    <d v="2023-07-06T00:00:00"/>
    <n v="1105"/>
    <n v="18230"/>
    <s v="61692826"/>
    <s v="61692826"/>
    <m/>
    <m/>
    <m/>
    <m/>
    <m/>
    <m/>
    <s v="SOLRECOUP"/>
    <s v="SOLRECOUP"/>
    <s v="POARECOUP"/>
    <n v="21339977"/>
    <n v="-67.2"/>
    <m/>
    <s v="Y"/>
    <n v="2"/>
    <d v="2023-07-06T19:54:23"/>
    <s v="N"/>
    <m/>
    <m/>
    <s v="Non Expert Disbursement"/>
    <m/>
    <s v="N"/>
    <n v="0"/>
    <n v="-11.2"/>
    <x v="4"/>
    <s v="VALIDATED"/>
    <n v="1"/>
    <s v="01.11.80.307.2013.0000"/>
    <n v="-11.2"/>
    <s v="11"/>
    <s v="2013"/>
    <n v="53101.42"/>
    <n v="-11.2"/>
    <s v="CREDITOR"/>
    <n v="0"/>
    <n v="0"/>
    <n v="-11.2"/>
    <n v="0"/>
    <n v="0"/>
  </r>
  <r>
    <n v="61692826"/>
    <s v="N"/>
    <n v="21339978"/>
    <s v="3000015781560002RC"/>
    <s v="CIVIL"/>
    <d v="2023-06-28T00:00:00"/>
    <d v="2023-07-06T19:54:22"/>
    <m/>
    <d v="2023-07-06T00:00:00"/>
    <n v="1105"/>
    <n v="18230"/>
    <s v="61692826"/>
    <s v="61692826"/>
    <m/>
    <m/>
    <m/>
    <m/>
    <m/>
    <m/>
    <s v="SOLRECOUP"/>
    <s v="SOLRECOUP"/>
    <s v="POARECOUP"/>
    <n v="21339978"/>
    <n v="-232"/>
    <m/>
    <s v="Y"/>
    <n v="1"/>
    <d v="2023-07-06T19:54:23"/>
    <s v="N"/>
    <m/>
    <m/>
    <s v="Non Expert Disbursement"/>
    <m/>
    <s v="N"/>
    <n v="-232"/>
    <n v="0"/>
    <x v="4"/>
    <s v="VALIDATED"/>
    <n v="1"/>
    <s v="01.11.80.307.2013.0000"/>
    <n v="-232"/>
    <s v="11"/>
    <s v="2013"/>
    <n v="53101.42"/>
    <n v="-232"/>
    <s v="CREDITOR"/>
    <n v="0"/>
    <n v="0"/>
    <n v="-232"/>
    <n v="0"/>
    <n v="0"/>
  </r>
  <r>
    <n v="61692826"/>
    <s v="N"/>
    <n v="21339978"/>
    <s v="3000015781560002RC"/>
    <s v="CIVIL"/>
    <d v="2023-06-28T00:00:00"/>
    <d v="2023-07-06T19:54:22"/>
    <m/>
    <d v="2023-07-06T00:00:00"/>
    <n v="1105"/>
    <n v="18230"/>
    <s v="61692826"/>
    <s v="61692826"/>
    <m/>
    <m/>
    <m/>
    <m/>
    <m/>
    <m/>
    <s v="SOLRECOUP"/>
    <s v="SOLRECOUP"/>
    <s v="POARECOUP"/>
    <n v="21339978"/>
    <n v="-232"/>
    <m/>
    <s v="Y"/>
    <n v="2"/>
    <d v="2023-07-06T19:54:23"/>
    <s v="N"/>
    <m/>
    <m/>
    <s v="Non Expert Disbursement"/>
    <m/>
    <s v="N"/>
    <n v="0"/>
    <n v="0"/>
    <x v="4"/>
    <s v="VALIDATED"/>
    <n v="1"/>
    <s v="01.11.80.000.0000.0000"/>
    <n v="0"/>
    <s v="11"/>
    <s v="0000"/>
    <n v="53101.42"/>
    <n v="0"/>
    <s v="CREDITOR"/>
    <n v="0"/>
    <n v="0"/>
    <n v="0"/>
    <n v="0"/>
    <n v="0"/>
  </r>
  <r>
    <n v="61692826"/>
    <s v="N"/>
    <n v="21339979"/>
    <s v="3000015781560004RC"/>
    <s v="CIVIL"/>
    <d v="2023-06-28T00:00:00"/>
    <d v="2023-07-06T19:54:22"/>
    <m/>
    <d v="2023-07-06T00:00:00"/>
    <n v="1105"/>
    <n v="18230"/>
    <s v="61692826"/>
    <s v="61692826"/>
    <m/>
    <m/>
    <m/>
    <m/>
    <m/>
    <m/>
    <s v="SOLRECOUP"/>
    <s v="SOLRECOUP"/>
    <s v="POARECOUP"/>
    <n v="21339979"/>
    <n v="-33.6"/>
    <m/>
    <s v="Y"/>
    <n v="1"/>
    <d v="2023-07-06T19:54:23"/>
    <s v="N"/>
    <m/>
    <m/>
    <s v="Non Expert Disbursement"/>
    <m/>
    <s v="N"/>
    <n v="-28"/>
    <n v="0"/>
    <x v="4"/>
    <s v="VALIDATED"/>
    <n v="1"/>
    <s v="01.11.80.307.2013.0000"/>
    <n v="-28"/>
    <s v="11"/>
    <s v="2013"/>
    <n v="53101.42"/>
    <n v="-28"/>
    <s v="CREDITOR"/>
    <n v="0"/>
    <n v="0"/>
    <n v="-28"/>
    <n v="0"/>
    <n v="0"/>
  </r>
  <r>
    <n v="61692826"/>
    <s v="N"/>
    <n v="21339979"/>
    <s v="3000015781560004RC"/>
    <s v="CIVIL"/>
    <d v="2023-06-28T00:00:00"/>
    <d v="2023-07-06T19:54:22"/>
    <m/>
    <d v="2023-07-06T00:00:00"/>
    <n v="1105"/>
    <n v="18230"/>
    <s v="61692826"/>
    <s v="61692826"/>
    <m/>
    <m/>
    <m/>
    <m/>
    <m/>
    <m/>
    <s v="SOLRECOUP"/>
    <s v="SOLRECOUP"/>
    <s v="POARECOUP"/>
    <n v="21339979"/>
    <n v="-33.6"/>
    <m/>
    <s v="Y"/>
    <n v="2"/>
    <d v="2023-07-06T19:54:23"/>
    <s v="N"/>
    <m/>
    <m/>
    <s v="Non Expert Disbursement"/>
    <m/>
    <s v="N"/>
    <n v="0"/>
    <n v="-5.6"/>
    <x v="4"/>
    <s v="VALIDATED"/>
    <n v="1"/>
    <s v="01.11.80.307.2013.0000"/>
    <n v="-5.6"/>
    <s v="11"/>
    <s v="2013"/>
    <n v="53101.42"/>
    <n v="-5.6"/>
    <s v="CREDITOR"/>
    <n v="0"/>
    <n v="0"/>
    <n v="-5.6"/>
    <n v="0"/>
    <n v="0"/>
  </r>
  <r>
    <n v="61692826"/>
    <s v="N"/>
    <n v="21339980"/>
    <s v="3000015781560005RC"/>
    <s v="CIVIL"/>
    <d v="2023-06-28T00:00:00"/>
    <d v="2023-07-06T19:54:22"/>
    <m/>
    <d v="2023-07-06T00:00:00"/>
    <n v="1105"/>
    <n v="18230"/>
    <s v="61692826"/>
    <s v="61692826"/>
    <m/>
    <m/>
    <m/>
    <m/>
    <m/>
    <m/>
    <s v="SOLRECOUP"/>
    <s v="SOLRECOUP"/>
    <s v="POARECOUP"/>
    <n v="21339980"/>
    <n v="-33.6"/>
    <m/>
    <s v="Y"/>
    <n v="1"/>
    <d v="2023-07-06T19:54:23"/>
    <s v="N"/>
    <m/>
    <m/>
    <s v="Non Expert Disbursement"/>
    <m/>
    <s v="N"/>
    <n v="-28"/>
    <n v="0"/>
    <x v="4"/>
    <s v="VALIDATED"/>
    <n v="1"/>
    <s v="01.11.80.307.2013.0000"/>
    <n v="-28"/>
    <s v="11"/>
    <s v="2013"/>
    <n v="53101.42"/>
    <n v="-28"/>
    <s v="CREDITOR"/>
    <n v="0"/>
    <n v="0"/>
    <n v="-28"/>
    <n v="0"/>
    <n v="0"/>
  </r>
  <r>
    <n v="61692826"/>
    <s v="N"/>
    <n v="21339980"/>
    <s v="3000015781560005RC"/>
    <s v="CIVIL"/>
    <d v="2023-06-28T00:00:00"/>
    <d v="2023-07-06T19:54:22"/>
    <m/>
    <d v="2023-07-06T00:00:00"/>
    <n v="1105"/>
    <n v="18230"/>
    <s v="61692826"/>
    <s v="61692826"/>
    <m/>
    <m/>
    <m/>
    <m/>
    <m/>
    <m/>
    <s v="SOLRECOUP"/>
    <s v="SOLRECOUP"/>
    <s v="POARECOUP"/>
    <n v="21339980"/>
    <n v="-33.6"/>
    <m/>
    <s v="Y"/>
    <n v="2"/>
    <d v="2023-07-06T19:54:23"/>
    <s v="N"/>
    <m/>
    <m/>
    <s v="Non Expert Disbursement"/>
    <m/>
    <s v="N"/>
    <n v="0"/>
    <n v="-5.6"/>
    <x v="4"/>
    <s v="VALIDATED"/>
    <n v="1"/>
    <s v="01.11.80.307.2013.0000"/>
    <n v="-5.6"/>
    <s v="11"/>
    <s v="2013"/>
    <n v="53101.42"/>
    <n v="-5.6"/>
    <s v="CREDITOR"/>
    <n v="0"/>
    <n v="0"/>
    <n v="-5.6"/>
    <n v="0"/>
    <n v="0"/>
  </r>
  <r>
    <n v="61692826"/>
    <s v="N"/>
    <n v="21339981"/>
    <s v="3000015781560006RC"/>
    <s v="CIVIL"/>
    <d v="2023-06-28T00:00:00"/>
    <d v="2023-07-06T19:54:22"/>
    <m/>
    <d v="2023-07-06T00:00:00"/>
    <n v="1105"/>
    <n v="18230"/>
    <s v="61692826"/>
    <s v="61692826"/>
    <m/>
    <m/>
    <m/>
    <m/>
    <m/>
    <m/>
    <s v="SOLRECOUP"/>
    <s v="SOLRECOUP"/>
    <s v="POARECOUP"/>
    <n v="21339981"/>
    <n v="-49.44"/>
    <m/>
    <s v="Y"/>
    <n v="1"/>
    <d v="2023-07-06T19:54:23"/>
    <s v="N"/>
    <m/>
    <m/>
    <s v="Non Expert Disbursement"/>
    <m/>
    <s v="N"/>
    <n v="-49.44"/>
    <n v="0"/>
    <x v="4"/>
    <s v="VALIDATED"/>
    <n v="1"/>
    <s v="01.11.80.307.2013.0000"/>
    <n v="-49.44"/>
    <s v="11"/>
    <s v="2013"/>
    <n v="53101.42"/>
    <n v="-49.44"/>
    <s v="CREDITOR"/>
    <n v="0"/>
    <n v="0"/>
    <n v="-49.44"/>
    <n v="0"/>
    <n v="0"/>
  </r>
  <r>
    <n v="61692826"/>
    <s v="N"/>
    <n v="21339981"/>
    <s v="3000015781560006RC"/>
    <s v="CIVIL"/>
    <d v="2023-06-28T00:00:00"/>
    <d v="2023-07-06T19:54:22"/>
    <m/>
    <d v="2023-07-06T00:00:00"/>
    <n v="1105"/>
    <n v="18230"/>
    <s v="61692826"/>
    <s v="61692826"/>
    <m/>
    <m/>
    <m/>
    <m/>
    <m/>
    <m/>
    <s v="SOLRECOUP"/>
    <s v="SOLRECOUP"/>
    <s v="POARECOUP"/>
    <n v="21339981"/>
    <n v="-49.44"/>
    <m/>
    <s v="Y"/>
    <n v="2"/>
    <d v="2023-07-06T19:54:23"/>
    <s v="N"/>
    <m/>
    <m/>
    <s v="Non Expert Disbursement"/>
    <m/>
    <s v="N"/>
    <n v="0"/>
    <n v="0"/>
    <x v="4"/>
    <s v="VALIDATED"/>
    <n v="1"/>
    <s v="01.11.80.000.0000.0000"/>
    <n v="0"/>
    <s v="11"/>
    <s v="0000"/>
    <n v="53101.42"/>
    <n v="0"/>
    <s v="CREDITOR"/>
    <n v="0"/>
    <n v="0"/>
    <n v="0"/>
    <n v="0"/>
    <n v="0"/>
  </r>
  <r>
    <n v="61692826"/>
    <s v="N"/>
    <n v="21339982"/>
    <s v="3000015781560007RC"/>
    <s v="CIVIL"/>
    <d v="2023-06-28T00:00:00"/>
    <d v="2023-07-06T19:54:22"/>
    <m/>
    <d v="2023-07-06T00:00:00"/>
    <n v="1105"/>
    <n v="18230"/>
    <s v="61692826"/>
    <s v="61692826"/>
    <m/>
    <m/>
    <m/>
    <m/>
    <m/>
    <m/>
    <s v="SOLRECOUP"/>
    <s v="SOLRECOUP"/>
    <s v="POARECOUP"/>
    <n v="21339982"/>
    <n v="-33.6"/>
    <m/>
    <s v="Y"/>
    <n v="1"/>
    <d v="2023-07-06T19:54:23"/>
    <s v="N"/>
    <m/>
    <m/>
    <s v="Non Expert Disbursement"/>
    <m/>
    <s v="N"/>
    <n v="-28"/>
    <n v="0"/>
    <x v="4"/>
    <s v="VALIDATED"/>
    <n v="1"/>
    <s v="01.11.80.307.2013.0000"/>
    <n v="-28"/>
    <s v="11"/>
    <s v="2013"/>
    <n v="53101.42"/>
    <n v="-28"/>
    <s v="CREDITOR"/>
    <n v="0"/>
    <n v="0"/>
    <n v="-28"/>
    <n v="0"/>
    <n v="0"/>
  </r>
  <r>
    <n v="60330198"/>
    <s v="N"/>
    <n v="21333828"/>
    <s v="3000014627810004RC"/>
    <s v="CIVIL"/>
    <d v="2023-06-19T00:00:00"/>
    <d v="2023-07-05T19:42:28"/>
    <m/>
    <d v="2023-07-05T00:00:00"/>
    <n v="1105"/>
    <n v="18230"/>
    <s v="60330198"/>
    <s v="60330198"/>
    <m/>
    <m/>
    <m/>
    <m/>
    <m/>
    <m/>
    <s v="SOLRECOUP"/>
    <s v="SOLRECOUP"/>
    <s v="POARECOUP"/>
    <n v="21333828"/>
    <n v="-167"/>
    <m/>
    <s v="Y"/>
    <n v="1"/>
    <d v="2023-07-05T19:42:29"/>
    <s v="N"/>
    <m/>
    <m/>
    <s v="Non Expert Disbursement"/>
    <m/>
    <s v="N"/>
    <n v="-167"/>
    <n v="0"/>
    <x v="6"/>
    <s v="VALIDATED"/>
    <n v="1"/>
    <s v="01.11.80.308.2013.0000"/>
    <n v="-167"/>
    <s v="11"/>
    <s v="2013"/>
    <n v="53101.42"/>
    <n v="-167"/>
    <s v="CREDITOR"/>
    <n v="0"/>
    <n v="0"/>
    <n v="-167"/>
    <n v="0"/>
    <n v="0"/>
  </r>
  <r>
    <n v="60330198"/>
    <s v="N"/>
    <n v="21333828"/>
    <s v="3000014627810004RC"/>
    <s v="CIVIL"/>
    <d v="2023-06-19T00:00:00"/>
    <d v="2023-07-05T19:42:28"/>
    <m/>
    <d v="2023-07-05T00:00:00"/>
    <n v="1105"/>
    <n v="18230"/>
    <s v="60330198"/>
    <s v="60330198"/>
    <m/>
    <m/>
    <m/>
    <m/>
    <m/>
    <m/>
    <s v="SOLRECOUP"/>
    <s v="SOLRECOUP"/>
    <s v="POARECOUP"/>
    <n v="21333828"/>
    <n v="-167"/>
    <m/>
    <s v="Y"/>
    <n v="2"/>
    <d v="2023-07-05T19:42:29"/>
    <s v="N"/>
    <m/>
    <m/>
    <s v="Non Expert Disbursement"/>
    <m/>
    <s v="N"/>
    <n v="0"/>
    <n v="0"/>
    <x v="6"/>
    <s v="VALIDATED"/>
    <n v="1"/>
    <s v="01.11.80.000.0000.0000"/>
    <n v="0"/>
    <s v="11"/>
    <s v="0000"/>
    <n v="53101.42"/>
    <n v="0"/>
    <s v="CREDITOR"/>
    <n v="0"/>
    <n v="0"/>
    <n v="0"/>
    <n v="0"/>
    <n v="0"/>
  </r>
  <r>
    <n v="60330198"/>
    <s v="N"/>
    <n v="21333829"/>
    <s v="3000014627810002RC"/>
    <s v="CIVIL"/>
    <d v="2023-06-19T00:00:00"/>
    <d v="2023-07-05T19:42:28"/>
    <m/>
    <d v="2023-07-05T00:00:00"/>
    <n v="1105"/>
    <n v="18230"/>
    <s v="60330198"/>
    <s v="60330198"/>
    <m/>
    <m/>
    <m/>
    <m/>
    <m/>
    <m/>
    <s v="SOLRECOUP"/>
    <s v="SOLRECOUP"/>
    <s v="POARECOUP"/>
    <n v="21333829"/>
    <n v="-294.84"/>
    <m/>
    <s v="Y"/>
    <n v="1"/>
    <d v="2023-07-05T19:42:29"/>
    <s v="N"/>
    <m/>
    <m/>
    <s v="Non Expert Disbursement"/>
    <m/>
    <s v="N"/>
    <n v="-245.7"/>
    <n v="0"/>
    <x v="6"/>
    <s v="VALIDATED"/>
    <n v="1"/>
    <s v="01.11.80.308.2013.0000"/>
    <n v="-245.7"/>
    <s v="11"/>
    <s v="2013"/>
    <n v="53101.42"/>
    <n v="-245.7"/>
    <s v="CREDITOR"/>
    <n v="0"/>
    <n v="0"/>
    <n v="-245.7"/>
    <n v="0"/>
    <n v="0"/>
  </r>
  <r>
    <n v="60330198"/>
    <s v="N"/>
    <n v="21333829"/>
    <s v="3000014627810002RC"/>
    <s v="CIVIL"/>
    <d v="2023-06-19T00:00:00"/>
    <d v="2023-07-05T19:42:28"/>
    <m/>
    <d v="2023-07-05T00:00:00"/>
    <n v="1105"/>
    <n v="18230"/>
    <s v="60330198"/>
    <s v="60330198"/>
    <m/>
    <m/>
    <m/>
    <m/>
    <m/>
    <m/>
    <s v="SOLRECOUP"/>
    <s v="SOLRECOUP"/>
    <s v="POARECOUP"/>
    <n v="21333829"/>
    <n v="-294.84"/>
    <m/>
    <s v="Y"/>
    <n v="2"/>
    <d v="2023-07-05T19:42:29"/>
    <s v="N"/>
    <m/>
    <m/>
    <s v="Non Expert Disbursement"/>
    <m/>
    <s v="N"/>
    <n v="0"/>
    <n v="-49.14"/>
    <x v="6"/>
    <s v="VALIDATED"/>
    <n v="1"/>
    <s v="01.11.80.308.2013.0000"/>
    <n v="-49.14"/>
    <s v="11"/>
    <s v="2013"/>
    <n v="53101.42"/>
    <n v="-49.14"/>
    <s v="CREDITOR"/>
    <n v="0"/>
    <n v="0"/>
    <n v="-49.14"/>
    <n v="0"/>
    <n v="0"/>
  </r>
  <r>
    <n v="60330198"/>
    <s v="N"/>
    <n v="21333830"/>
    <s v="3000014627810006RC"/>
    <s v="CIVIL"/>
    <d v="2023-06-19T00:00:00"/>
    <d v="2023-07-05T19:42:28"/>
    <m/>
    <d v="2023-07-05T00:00:00"/>
    <n v="1105"/>
    <n v="18230"/>
    <s v="60330198"/>
    <s v="60330198"/>
    <m/>
    <m/>
    <m/>
    <m/>
    <m/>
    <m/>
    <s v="SOLRECOUP"/>
    <s v="SOLRECOUP"/>
    <s v="POARECOUP"/>
    <n v="21333830"/>
    <n v="-50.4"/>
    <m/>
    <s v="Y"/>
    <n v="1"/>
    <d v="2023-07-05T19:42:29"/>
    <s v="N"/>
    <m/>
    <m/>
    <s v="Non Expert Disbursement"/>
    <m/>
    <s v="N"/>
    <n v="-50.4"/>
    <n v="0"/>
    <x v="6"/>
    <s v="VALIDATED"/>
    <n v="1"/>
    <s v="01.11.80.308.2013.0000"/>
    <n v="-50.4"/>
    <s v="11"/>
    <s v="2013"/>
    <n v="53101.42"/>
    <n v="-50.4"/>
    <s v="CREDITOR"/>
    <n v="0"/>
    <n v="0"/>
    <n v="-50.4"/>
    <n v="0"/>
    <n v="0"/>
  </r>
  <r>
    <n v="60330198"/>
    <s v="N"/>
    <n v="21333830"/>
    <s v="3000014627810006RC"/>
    <s v="CIVIL"/>
    <d v="2023-06-19T00:00:00"/>
    <d v="2023-07-05T19:42:28"/>
    <m/>
    <d v="2023-07-05T00:00:00"/>
    <n v="1105"/>
    <n v="18230"/>
    <s v="60330198"/>
    <s v="60330198"/>
    <m/>
    <m/>
    <m/>
    <m/>
    <m/>
    <m/>
    <s v="SOLRECOUP"/>
    <s v="SOLRECOUP"/>
    <s v="POARECOUP"/>
    <n v="21333830"/>
    <n v="-50.4"/>
    <m/>
    <s v="Y"/>
    <n v="2"/>
    <d v="2023-07-05T19:42:29"/>
    <s v="N"/>
    <m/>
    <m/>
    <s v="Non Expert Disbursement"/>
    <m/>
    <s v="N"/>
    <n v="0"/>
    <n v="0"/>
    <x v="6"/>
    <s v="VALIDATED"/>
    <n v="1"/>
    <s v="01.11.80.000.0000.0000"/>
    <n v="0"/>
    <s v="11"/>
    <s v="0000"/>
    <n v="53101.42"/>
    <n v="0"/>
    <s v="CREDITOR"/>
    <n v="0"/>
    <n v="0"/>
    <n v="0"/>
    <n v="0"/>
    <n v="0"/>
  </r>
  <r>
    <n v="60330198"/>
    <s v="N"/>
    <n v="21333831"/>
    <s v="3000014627810005RC"/>
    <s v="CIVIL"/>
    <d v="2023-06-19T00:00:00"/>
    <d v="2023-07-05T19:42:28"/>
    <m/>
    <d v="2023-07-05T00:00:00"/>
    <n v="1105"/>
    <n v="18230"/>
    <s v="60330198"/>
    <s v="60330198"/>
    <m/>
    <m/>
    <m/>
    <m/>
    <m/>
    <m/>
    <s v="SOLRECOUP"/>
    <s v="SOLRECOUP"/>
    <s v="POARECOUP"/>
    <n v="21333831"/>
    <n v="-142.2"/>
    <m/>
    <s v="Y"/>
    <n v="1"/>
    <d v="2023-07-05T19:42:29"/>
    <s v="N"/>
    <m/>
    <m/>
    <s v="Expert Disbursement"/>
    <m/>
    <s v="N"/>
    <n v="-118.5"/>
    <n v="0"/>
    <x v="6"/>
    <s v="VALIDATED"/>
    <n v="1"/>
    <s v="01.11.80.308.2013.0000"/>
    <n v="-118.5"/>
    <s v="11"/>
    <s v="2013"/>
    <n v="53101.42"/>
    <n v="-118.5"/>
    <s v="CREDITOR"/>
    <n v="0"/>
    <n v="0"/>
    <n v="-118.5"/>
    <n v="0"/>
    <n v="0"/>
  </r>
  <r>
    <n v="60330198"/>
    <s v="N"/>
    <n v="21333831"/>
    <s v="3000014627810005RC"/>
    <s v="CIVIL"/>
    <d v="2023-06-19T00:00:00"/>
    <d v="2023-07-05T19:42:28"/>
    <m/>
    <d v="2023-07-05T00:00:00"/>
    <n v="1105"/>
    <n v="18230"/>
    <s v="60330198"/>
    <s v="60330198"/>
    <m/>
    <m/>
    <m/>
    <m/>
    <m/>
    <m/>
    <s v="SOLRECOUP"/>
    <s v="SOLRECOUP"/>
    <s v="POARECOUP"/>
    <n v="21333831"/>
    <n v="-142.2"/>
    <m/>
    <s v="Y"/>
    <n v="2"/>
    <d v="2023-07-05T19:42:29"/>
    <s v="N"/>
    <m/>
    <m/>
    <s v="Expert Disbursement"/>
    <m/>
    <s v="N"/>
    <n v="0"/>
    <n v="-23.7"/>
    <x v="6"/>
    <s v="VALIDATED"/>
    <n v="1"/>
    <s v="01.11.80.308.2013.0000"/>
    <n v="-23.7"/>
    <s v="11"/>
    <s v="2013"/>
    <n v="53101.42"/>
    <n v="-23.7"/>
    <s v="CREDITOR"/>
    <n v="0"/>
    <n v="0"/>
    <n v="-23.7"/>
    <n v="0"/>
    <n v="0"/>
  </r>
  <r>
    <n v="60330198"/>
    <s v="N"/>
    <n v="21333832"/>
    <s v="3000014627810007RC"/>
    <s v="CIVIL"/>
    <d v="2023-06-19T00:00:00"/>
    <d v="2023-07-05T19:42:28"/>
    <m/>
    <d v="2023-07-05T00:00:00"/>
    <n v="1105"/>
    <n v="18230"/>
    <s v="60330198"/>
    <s v="60330198"/>
    <m/>
    <m/>
    <m/>
    <m/>
    <m/>
    <m/>
    <s v="SOLRECOUP"/>
    <s v="SOLRECOUP"/>
    <s v="POARECOUP"/>
    <n v="21333832"/>
    <n v="-167"/>
    <m/>
    <s v="Y"/>
    <n v="1"/>
    <d v="2023-07-05T19:42:29"/>
    <s v="N"/>
    <m/>
    <m/>
    <s v="Non Expert Disbursement"/>
    <m/>
    <s v="N"/>
    <n v="-167"/>
    <n v="0"/>
    <x v="6"/>
    <s v="VALIDATED"/>
    <n v="1"/>
    <s v="01.11.80.308.2013.0000"/>
    <n v="-167"/>
    <s v="11"/>
    <s v="2013"/>
    <n v="53101.42"/>
    <n v="-167"/>
    <s v="CREDITOR"/>
    <n v="0"/>
    <n v="0"/>
    <n v="-167"/>
    <n v="0"/>
    <n v="0"/>
  </r>
  <r>
    <n v="60330198"/>
    <s v="N"/>
    <n v="21333832"/>
    <s v="3000014627810007RC"/>
    <s v="CIVIL"/>
    <d v="2023-06-19T00:00:00"/>
    <d v="2023-07-05T19:42:28"/>
    <m/>
    <d v="2023-07-05T00:00:00"/>
    <n v="1105"/>
    <n v="18230"/>
    <s v="60330198"/>
    <s v="60330198"/>
    <m/>
    <m/>
    <m/>
    <m/>
    <m/>
    <m/>
    <s v="SOLRECOUP"/>
    <s v="SOLRECOUP"/>
    <s v="POARECOUP"/>
    <n v="21333832"/>
    <n v="-167"/>
    <m/>
    <s v="Y"/>
    <n v="2"/>
    <d v="2023-07-05T19:42:29"/>
    <s v="N"/>
    <m/>
    <m/>
    <s v="Non Expert Disbursement"/>
    <m/>
    <s v="N"/>
    <n v="0"/>
    <n v="0"/>
    <x v="6"/>
    <s v="VALIDATED"/>
    <n v="1"/>
    <s v="01.11.80.000.0000.0000"/>
    <n v="0"/>
    <s v="11"/>
    <s v="0000"/>
    <n v="53101.42"/>
    <n v="0"/>
    <s v="CREDITOR"/>
    <n v="0"/>
    <n v="0"/>
    <n v="0"/>
    <n v="0"/>
    <n v="0"/>
  </r>
  <r>
    <n v="60330198"/>
    <s v="N"/>
    <n v="21333833"/>
    <s v="3000014627810009RC"/>
    <s v="CIVIL"/>
    <d v="2023-06-19T00:00:00"/>
    <d v="2023-07-05T19:42:28"/>
    <m/>
    <d v="2023-07-05T00:00:00"/>
    <n v="1105"/>
    <n v="18230"/>
    <s v="60330198"/>
    <s v="60330198"/>
    <m/>
    <m/>
    <m/>
    <m/>
    <m/>
    <m/>
    <s v="SOLRECOUP"/>
    <s v="SOLRECOUP"/>
    <s v="POARECOUP"/>
    <n v="21333833"/>
    <n v="-50.4"/>
    <m/>
    <s v="Y"/>
    <n v="1"/>
    <d v="2023-07-05T19:42:29"/>
    <s v="N"/>
    <m/>
    <m/>
    <s v="Non Expert Disbursement"/>
    <m/>
    <s v="N"/>
    <n v="-50.4"/>
    <n v="0"/>
    <x v="6"/>
    <s v="VALIDATED"/>
    <n v="1"/>
    <s v="01.11.80.308.2013.0000"/>
    <n v="-50.4"/>
    <s v="11"/>
    <s v="2013"/>
    <n v="53101.42"/>
    <n v="-50.4"/>
    <s v="CREDITOR"/>
    <n v="0"/>
    <n v="0"/>
    <n v="-50.4"/>
    <n v="0"/>
    <n v="0"/>
  </r>
  <r>
    <n v="60330198"/>
    <s v="N"/>
    <n v="21333833"/>
    <s v="3000014627810009RC"/>
    <s v="CIVIL"/>
    <d v="2023-06-19T00:00:00"/>
    <d v="2023-07-05T19:42:28"/>
    <m/>
    <d v="2023-07-05T00:00:00"/>
    <n v="1105"/>
    <n v="18230"/>
    <s v="60330198"/>
    <s v="60330198"/>
    <m/>
    <m/>
    <m/>
    <m/>
    <m/>
    <m/>
    <s v="SOLRECOUP"/>
    <s v="SOLRECOUP"/>
    <s v="POARECOUP"/>
    <n v="21333833"/>
    <n v="-50.4"/>
    <m/>
    <s v="Y"/>
    <n v="2"/>
    <d v="2023-07-05T19:42:29"/>
    <s v="N"/>
    <m/>
    <m/>
    <s v="Non Expert Disbursement"/>
    <m/>
    <s v="N"/>
    <n v="0"/>
    <n v="0"/>
    <x v="6"/>
    <s v="VALIDATED"/>
    <n v="1"/>
    <s v="01.11.80.000.0000.0000"/>
    <n v="0"/>
    <s v="11"/>
    <s v="0000"/>
    <n v="53101.42"/>
    <n v="0"/>
    <s v="CREDITOR"/>
    <n v="0"/>
    <n v="0"/>
    <n v="0"/>
    <n v="0"/>
    <n v="0"/>
  </r>
  <r>
    <n v="60330198"/>
    <s v="N"/>
    <n v="21333834"/>
    <s v="3000014627810010RC"/>
    <s v="CIVIL"/>
    <d v="2023-06-19T00:00:00"/>
    <d v="2023-07-05T19:42:28"/>
    <m/>
    <d v="2023-07-05T00:00:00"/>
    <n v="1105"/>
    <n v="18230"/>
    <s v="60330198"/>
    <s v="60330198"/>
    <m/>
    <m/>
    <m/>
    <m/>
    <m/>
    <m/>
    <s v="SOLRECOUP"/>
    <s v="SOLRECOUP"/>
    <s v="POARECOUP"/>
    <n v="21333834"/>
    <n v="-50.4"/>
    <m/>
    <s v="Y"/>
    <n v="1"/>
    <d v="2023-07-05T19:42:29"/>
    <s v="N"/>
    <m/>
    <m/>
    <s v="Non Expert Disbursement"/>
    <m/>
    <s v="N"/>
    <n v="-50.4"/>
    <n v="0"/>
    <x v="6"/>
    <s v="VALIDATED"/>
    <n v="1"/>
    <s v="01.11.80.308.2013.0000"/>
    <n v="-50.4"/>
    <s v="11"/>
    <s v="2013"/>
    <n v="53101.42"/>
    <n v="-50.4"/>
    <s v="CREDITOR"/>
    <n v="0"/>
    <n v="0"/>
    <n v="-50.4"/>
    <n v="0"/>
    <n v="0"/>
  </r>
  <r>
    <n v="60330198"/>
    <s v="N"/>
    <n v="21333834"/>
    <s v="3000014627810010RC"/>
    <s v="CIVIL"/>
    <d v="2023-06-19T00:00:00"/>
    <d v="2023-07-05T19:42:28"/>
    <m/>
    <d v="2023-07-05T00:00:00"/>
    <n v="1105"/>
    <n v="18230"/>
    <s v="60330198"/>
    <s v="60330198"/>
    <m/>
    <m/>
    <m/>
    <m/>
    <m/>
    <m/>
    <s v="SOLRECOUP"/>
    <s v="SOLRECOUP"/>
    <s v="POARECOUP"/>
    <n v="21333834"/>
    <n v="-50.4"/>
    <m/>
    <s v="Y"/>
    <n v="2"/>
    <d v="2023-07-05T19:42:29"/>
    <s v="N"/>
    <m/>
    <m/>
    <s v="Non Expert Disbursement"/>
    <m/>
    <s v="N"/>
    <n v="0"/>
    <n v="0"/>
    <x v="6"/>
    <s v="VALIDATED"/>
    <n v="1"/>
    <s v="01.11.80.000.0000.0000"/>
    <n v="0"/>
    <s v="11"/>
    <s v="0000"/>
    <n v="53101.42"/>
    <n v="0"/>
    <s v="CREDITOR"/>
    <n v="0"/>
    <n v="0"/>
    <n v="0"/>
    <n v="0"/>
    <n v="0"/>
  </r>
  <r>
    <n v="60330198"/>
    <s v="N"/>
    <n v="21333835"/>
    <s v="3000014627810011RC"/>
    <s v="CIVIL"/>
    <d v="2023-06-19T00:00:00"/>
    <d v="2023-07-05T19:42:28"/>
    <m/>
    <d v="2023-07-05T00:00:00"/>
    <n v="1105"/>
    <n v="18230"/>
    <s v="60330198"/>
    <s v="60330198"/>
    <m/>
    <m/>
    <m/>
    <m/>
    <m/>
    <m/>
    <s v="SOLRECOUP"/>
    <s v="SOLRECOUP"/>
    <s v="POARECOUP"/>
    <n v="21333835"/>
    <n v="-2822.4"/>
    <m/>
    <s v="Y"/>
    <n v="1"/>
    <d v="2023-07-05T19:42:29"/>
    <s v="N"/>
    <m/>
    <m/>
    <s v="Expert Disbursement"/>
    <m/>
    <s v="N"/>
    <n v="-2352"/>
    <n v="0"/>
    <x v="6"/>
    <s v="VALIDATED"/>
    <n v="1"/>
    <s v="01.11.80.308.2013.0000"/>
    <n v="-2352"/>
    <s v="11"/>
    <s v="2013"/>
    <n v="53101.42"/>
    <n v="-2352"/>
    <s v="CREDITOR"/>
    <n v="0"/>
    <n v="0"/>
    <n v="-2352"/>
    <n v="0"/>
    <n v="0"/>
  </r>
  <r>
    <n v="60330198"/>
    <s v="N"/>
    <n v="21333835"/>
    <s v="3000014627810011RC"/>
    <s v="CIVIL"/>
    <d v="2023-06-19T00:00:00"/>
    <d v="2023-07-05T19:42:28"/>
    <m/>
    <d v="2023-07-05T00:00:00"/>
    <n v="1105"/>
    <n v="18230"/>
    <s v="60330198"/>
    <s v="60330198"/>
    <m/>
    <m/>
    <m/>
    <m/>
    <m/>
    <m/>
    <s v="SOLRECOUP"/>
    <s v="SOLRECOUP"/>
    <s v="POARECOUP"/>
    <n v="21333835"/>
    <n v="-2822.4"/>
    <m/>
    <s v="Y"/>
    <n v="2"/>
    <d v="2023-07-05T19:42:29"/>
    <s v="N"/>
    <m/>
    <m/>
    <s v="Expert Disbursement"/>
    <m/>
    <s v="N"/>
    <n v="0"/>
    <n v="-470.4"/>
    <x v="6"/>
    <s v="VALIDATED"/>
    <n v="1"/>
    <s v="01.11.80.308.2013.0000"/>
    <n v="-470.4"/>
    <s v="11"/>
    <s v="2013"/>
    <n v="53101.42"/>
    <n v="-470.4"/>
    <s v="CREDITOR"/>
    <n v="0"/>
    <n v="0"/>
    <n v="-470.4"/>
    <n v="0"/>
    <n v="0"/>
  </r>
  <r>
    <n v="60330198"/>
    <s v="N"/>
    <n v="21333836"/>
    <s v="3000014627810008RC"/>
    <s v="CIVIL"/>
    <d v="2023-06-19T00:00:00"/>
    <d v="2023-07-05T19:42:28"/>
    <m/>
    <d v="2023-07-05T00:00:00"/>
    <n v="1105"/>
    <n v="18230"/>
    <s v="60330198"/>
    <s v="60330198"/>
    <m/>
    <m/>
    <m/>
    <m/>
    <m/>
    <m/>
    <s v="SOLRECOUP"/>
    <s v="SOLRECOUP"/>
    <s v="POARECOUP"/>
    <n v="21333836"/>
    <n v="-122.4"/>
    <m/>
    <s v="Y"/>
    <n v="1"/>
    <d v="2023-07-05T19:42:29"/>
    <s v="N"/>
    <m/>
    <m/>
    <s v="Expert Disbursement"/>
    <m/>
    <s v="N"/>
    <n v="-102"/>
    <n v="0"/>
    <x v="6"/>
    <s v="VALIDATED"/>
    <n v="1"/>
    <s v="01.11.80.308.2013.0000"/>
    <n v="-102"/>
    <s v="11"/>
    <s v="2013"/>
    <n v="53101.42"/>
    <n v="-102"/>
    <s v="CREDITOR"/>
    <n v="0"/>
    <n v="0"/>
    <n v="-102"/>
    <n v="0"/>
    <n v="0"/>
  </r>
  <r>
    <n v="61692826"/>
    <s v="N"/>
    <n v="21339982"/>
    <s v="3000015781560007RC"/>
    <s v="CIVIL"/>
    <d v="2023-06-28T00:00:00"/>
    <d v="2023-07-06T19:54:22"/>
    <m/>
    <d v="2023-07-06T00:00:00"/>
    <n v="1105"/>
    <n v="18230"/>
    <s v="61692826"/>
    <s v="61692826"/>
    <m/>
    <m/>
    <m/>
    <m/>
    <m/>
    <m/>
    <s v="SOLRECOUP"/>
    <s v="SOLRECOUP"/>
    <s v="POARECOUP"/>
    <n v="21339982"/>
    <n v="-33.6"/>
    <m/>
    <s v="Y"/>
    <n v="2"/>
    <d v="2023-07-06T19:54:23"/>
    <s v="N"/>
    <m/>
    <m/>
    <s v="Non Expert Disbursement"/>
    <m/>
    <s v="N"/>
    <n v="0"/>
    <n v="-5.6"/>
    <x v="4"/>
    <s v="VALIDATED"/>
    <n v="1"/>
    <s v="01.11.80.307.2013.0000"/>
    <n v="-5.6"/>
    <s v="11"/>
    <s v="2013"/>
    <n v="53101.42"/>
    <n v="-5.6"/>
    <s v="CREDITOR"/>
    <n v="0"/>
    <n v="0"/>
    <n v="-5.6"/>
    <n v="0"/>
    <n v="0"/>
  </r>
  <r>
    <n v="61986756"/>
    <s v="N"/>
    <n v="21339983"/>
    <s v="3000016029290001RC"/>
    <s v="CIVIL"/>
    <d v="2023-06-28T00:00:00"/>
    <d v="2023-07-06T19:54:22"/>
    <m/>
    <d v="2023-07-06T00:00:00"/>
    <n v="1105"/>
    <n v="18230"/>
    <s v="61986756"/>
    <s v="61986756"/>
    <m/>
    <m/>
    <m/>
    <m/>
    <m/>
    <m/>
    <s v="SOLRECOUP"/>
    <s v="SOLRECOUP"/>
    <s v="POARECOUP"/>
    <n v="21339983"/>
    <n v="-73.93000000000001"/>
    <m/>
    <s v="Y"/>
    <n v="1"/>
    <d v="2023-07-06T19:54:23"/>
    <s v="N"/>
    <m/>
    <m/>
    <s v="Non Expert Disbursement"/>
    <m/>
    <s v="N"/>
    <n v="-73.93000000000001"/>
    <n v="0"/>
    <x v="4"/>
    <s v="VALIDATED"/>
    <n v="1"/>
    <s v="01.11.80.308.2013.0000"/>
    <n v="-73.93000000000001"/>
    <s v="11"/>
    <s v="2013"/>
    <n v="53101.42"/>
    <n v="-73.93000000000001"/>
    <s v="CREDITOR"/>
    <n v="0"/>
    <n v="0"/>
    <n v="-73.93000000000001"/>
    <n v="0"/>
    <n v="0"/>
  </r>
  <r>
    <n v="61986756"/>
    <s v="N"/>
    <n v="21339983"/>
    <s v="3000016029290001RC"/>
    <s v="CIVIL"/>
    <d v="2023-06-28T00:00:00"/>
    <d v="2023-07-06T19:54:22"/>
    <m/>
    <d v="2023-07-06T00:00:00"/>
    <n v="1105"/>
    <n v="18230"/>
    <s v="61986756"/>
    <s v="61986756"/>
    <m/>
    <m/>
    <m/>
    <m/>
    <m/>
    <m/>
    <s v="SOLRECOUP"/>
    <s v="SOLRECOUP"/>
    <s v="POARECOUP"/>
    <n v="21339983"/>
    <n v="-73.93000000000001"/>
    <m/>
    <s v="Y"/>
    <n v="2"/>
    <d v="2023-07-06T19:54:23"/>
    <s v="N"/>
    <m/>
    <m/>
    <s v="Non Expert Disbursement"/>
    <m/>
    <s v="N"/>
    <n v="0"/>
    <n v="0"/>
    <x v="4"/>
    <s v="VALIDATED"/>
    <n v="1"/>
    <s v="01.11.80.000.0000.0000"/>
    <n v="0"/>
    <s v="11"/>
    <s v="0000"/>
    <n v="53101.42"/>
    <n v="0"/>
    <s v="CREDITOR"/>
    <n v="0"/>
    <n v="0"/>
    <n v="0"/>
    <n v="0"/>
    <n v="0"/>
  </r>
  <r>
    <n v="61692826"/>
    <s v="N"/>
    <n v="21339974"/>
    <s v="3000015781560009RC"/>
    <s v="CIVIL"/>
    <d v="2023-06-28T00:00:00"/>
    <d v="2023-07-06T19:54:22"/>
    <m/>
    <d v="2023-07-06T00:00:00"/>
    <n v="1105"/>
    <n v="18230"/>
    <s v="61692826"/>
    <s v="61692826"/>
    <m/>
    <m/>
    <m/>
    <m/>
    <m/>
    <m/>
    <s v="SOLRECOUP"/>
    <s v="SOLRECOUP"/>
    <s v="POARECOUP"/>
    <n v="21339974"/>
    <n v="-42"/>
    <m/>
    <s v="Y"/>
    <n v="1"/>
    <d v="2023-07-06T19:54:23"/>
    <s v="N"/>
    <m/>
    <m/>
    <s v="Non Expert Disbursement"/>
    <m/>
    <s v="N"/>
    <n v="-35"/>
    <n v="0"/>
    <x v="4"/>
    <s v="VALIDATED"/>
    <n v="1"/>
    <s v="01.11.80.307.2013.0000"/>
    <n v="-35"/>
    <s v="11"/>
    <s v="2013"/>
    <n v="53101.42"/>
    <n v="-35"/>
    <s v="CREDITOR"/>
    <n v="0"/>
    <n v="0"/>
    <n v="-35"/>
    <n v="0"/>
    <n v="0"/>
  </r>
  <r>
    <n v="61692826"/>
    <s v="N"/>
    <n v="21339974"/>
    <s v="3000015781560009RC"/>
    <s v="CIVIL"/>
    <d v="2023-06-28T00:00:00"/>
    <d v="2023-07-06T19:54:22"/>
    <m/>
    <d v="2023-07-06T00:00:00"/>
    <n v="1105"/>
    <n v="18230"/>
    <s v="61692826"/>
    <s v="61692826"/>
    <m/>
    <m/>
    <m/>
    <m/>
    <m/>
    <m/>
    <s v="SOLRECOUP"/>
    <s v="SOLRECOUP"/>
    <s v="POARECOUP"/>
    <n v="21339974"/>
    <n v="-42"/>
    <m/>
    <s v="Y"/>
    <n v="2"/>
    <d v="2023-07-06T19:54:23"/>
    <s v="N"/>
    <m/>
    <m/>
    <s v="Non Expert Disbursement"/>
    <m/>
    <s v="N"/>
    <n v="0"/>
    <n v="-7"/>
    <x v="4"/>
    <s v="VALIDATED"/>
    <n v="1"/>
    <s v="01.11.80.307.2013.0000"/>
    <n v="-7"/>
    <s v="11"/>
    <s v="2013"/>
    <n v="53101.42"/>
    <n v="-7"/>
    <s v="CREDITOR"/>
    <n v="0"/>
    <n v="0"/>
    <n v="-7"/>
    <n v="0"/>
    <n v="0"/>
  </r>
  <r>
    <n v="61692826"/>
    <s v="N"/>
    <n v="21339975"/>
    <s v="3000015781560011RC"/>
    <s v="CIVIL"/>
    <d v="2023-06-28T00:00:00"/>
    <d v="2023-07-06T19:54:22"/>
    <m/>
    <d v="2023-07-06T00:00:00"/>
    <n v="1105"/>
    <n v="18230"/>
    <s v="61692826"/>
    <s v="61692826"/>
    <m/>
    <m/>
    <m/>
    <m/>
    <m/>
    <m/>
    <s v="SOLRECOUP"/>
    <s v="SOLRECOUP"/>
    <s v="POARECOUP"/>
    <n v="21339975"/>
    <n v="-33.6"/>
    <m/>
    <s v="Y"/>
    <n v="1"/>
    <d v="2023-07-06T19:54:23"/>
    <s v="N"/>
    <m/>
    <m/>
    <s v="Non Expert Disbursement"/>
    <m/>
    <s v="N"/>
    <n v="-28"/>
    <n v="0"/>
    <x v="4"/>
    <s v="VALIDATED"/>
    <n v="1"/>
    <s v="01.11.80.307.2013.0000"/>
    <n v="-28"/>
    <s v="11"/>
    <s v="2013"/>
    <n v="53101.42"/>
    <n v="-28"/>
    <s v="CREDITOR"/>
    <n v="0"/>
    <n v="0"/>
    <n v="-28"/>
    <n v="0"/>
    <n v="0"/>
  </r>
  <r>
    <n v="60147697"/>
    <s v="N"/>
    <n v="21328215"/>
    <s v="3000014472360032"/>
    <s v="CIVIL"/>
    <d v="2023-06-30T00:00:00"/>
    <d v="2023-07-04T19:00:44"/>
    <m/>
    <d v="2023-07-04T00:00:00"/>
    <n v="1105"/>
    <n v="18230"/>
    <s v="60147697"/>
    <s v="60147697"/>
    <m/>
    <m/>
    <n v="22795380"/>
    <m/>
    <m/>
    <m/>
    <s v="SOLFIN"/>
    <s v="SOLFIN"/>
    <s v="CCMS"/>
    <n v="21328215"/>
    <n v="32839.17"/>
    <m/>
    <s v="N"/>
    <n v="22"/>
    <d v="2023-07-04T19:01:08"/>
    <s v="Y"/>
    <s v="Finding-of-Fact Hearing (Events Mod"/>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47"/>
    <d v="2023-07-06T19:21:27"/>
    <s v="Y"/>
    <s v="Routine Letter Out"/>
    <s v="Prescribed Hourly Rates"/>
    <s v="Profit Cost"/>
    <s v="ES"/>
    <s v="Y"/>
    <n v="712.8"/>
    <n v="142.52"/>
    <x v="4"/>
    <s v="VALIDATED"/>
    <n v="1"/>
    <s v="01.11.80.307.6100.0000"/>
    <n v="712.8"/>
    <s v="11"/>
    <s v="6100"/>
    <n v="53101.42"/>
    <n v="712.8"/>
    <s v="CREDITOR"/>
    <n v="0"/>
    <n v="0"/>
    <n v="0"/>
    <n v="0"/>
    <n v="712.8"/>
  </r>
  <r>
    <n v="61692826"/>
    <s v="N"/>
    <n v="21338513"/>
    <s v="3000015781560013"/>
    <s v="CIVIL"/>
    <d v="2023-06-28T00:00:00"/>
    <d v="2023-07-06T19:21:01"/>
    <m/>
    <d v="2023-07-06T00:00:00"/>
    <n v="1105"/>
    <n v="18230"/>
    <s v="61692826"/>
    <s v="61692826"/>
    <m/>
    <m/>
    <n v="22778096"/>
    <m/>
    <m/>
    <m/>
    <s v="SOLFIN"/>
    <s v="SOLFIN"/>
    <s v="CCMS"/>
    <n v="21338513"/>
    <n v="4218.91"/>
    <m/>
    <s v="N"/>
    <n v="49"/>
    <d v="2023-07-06T19:21:27"/>
    <s v="Y"/>
    <s v="Routine Letter In"/>
    <s v="Prescribed Hourly Rates"/>
    <s v="Profit Cost"/>
    <s v="ES"/>
    <s v="Y"/>
    <n v="440.1"/>
    <n v="88.03"/>
    <x v="4"/>
    <s v="VALIDATED"/>
    <n v="1"/>
    <s v="01.11.80.307.6100.0000"/>
    <n v="440.1"/>
    <s v="11"/>
    <s v="6100"/>
    <n v="53101.42"/>
    <n v="440.1"/>
    <s v="CREDITOR"/>
    <n v="0"/>
    <n v="0"/>
    <n v="0"/>
    <n v="0"/>
    <n v="440.1"/>
  </r>
  <r>
    <n v="60330198"/>
    <s v="N"/>
    <n v="21330923"/>
    <s v="3000014627810013"/>
    <s v="CIVIL"/>
    <d v="2023-06-19T00:00:00"/>
    <d v="2023-07-05T19:01:47"/>
    <m/>
    <d v="2023-07-05T00:00:00"/>
    <n v="1105"/>
    <n v="18230"/>
    <s v="60330198"/>
    <s v="60330198"/>
    <m/>
    <m/>
    <n v="22717396"/>
    <m/>
    <m/>
    <m/>
    <s v="SOLFIN"/>
    <s v="SOLFIN"/>
    <s v="CCMS"/>
    <n v="21330923"/>
    <n v="28516.42"/>
    <m/>
    <s v="N"/>
    <n v="122"/>
    <d v="2023-07-05T19:01:57"/>
    <s v="Y"/>
    <s v="Preparation - drafting instructions"/>
    <s v="Care Remuneration Hourly Rates"/>
    <s v="Profit Cost"/>
    <s v="DS"/>
    <s v="Y"/>
    <n v="63.08"/>
    <n v="12.62"/>
    <x v="6"/>
    <s v="VALIDATED"/>
    <n v="1"/>
    <s v="01.11.80.308.6100.0000"/>
    <n v="63.08"/>
    <s v="11"/>
    <s v="6100"/>
    <n v="53101.42"/>
    <n v="63.08"/>
    <s v="CREDITOR"/>
    <n v="0"/>
    <n v="0"/>
    <n v="0"/>
    <n v="0"/>
    <n v="63.08"/>
  </r>
  <r>
    <n v="60330198"/>
    <s v="N"/>
    <n v="21330923"/>
    <s v="3000014627810013"/>
    <s v="CIVIL"/>
    <d v="2023-06-19T00:00:00"/>
    <d v="2023-07-05T19:01:47"/>
    <m/>
    <d v="2023-07-05T00:00:00"/>
    <n v="1105"/>
    <n v="18230"/>
    <s v="60330198"/>
    <s v="60330198"/>
    <m/>
    <m/>
    <n v="22717396"/>
    <m/>
    <m/>
    <m/>
    <s v="SOLFIN"/>
    <s v="SOLFIN"/>
    <s v="CCMS"/>
    <n v="21330923"/>
    <n v="28516.42"/>
    <m/>
    <s v="N"/>
    <n v="141"/>
    <d v="2023-07-05T19:01:57"/>
    <s v="Y"/>
    <s v="Hearing Unit 2.31 - 5.00 Hours"/>
    <s v="Public Law Children"/>
    <s v="Advocacy"/>
    <s v="BJF"/>
    <s v="Y"/>
    <n v="476.92"/>
    <n v="95.38"/>
    <x v="6"/>
    <s v="VALIDATED"/>
    <n v="1"/>
    <s v="01.11.80.308.6100.0000"/>
    <n v="476.92"/>
    <s v="11"/>
    <s v="6100"/>
    <n v="53101.42"/>
    <n v="476.92"/>
    <s v="CREDITOR"/>
    <n v="0"/>
    <n v="0"/>
    <n v="0"/>
    <n v="0"/>
    <n v="476.92"/>
  </r>
  <r>
    <n v="61692826"/>
    <s v="N"/>
    <n v="21338513"/>
    <s v="3000015781560013"/>
    <s v="CIVIL"/>
    <d v="2023-06-28T00:00:00"/>
    <d v="2023-07-06T19:21:01"/>
    <m/>
    <d v="2023-07-06T00:00:00"/>
    <n v="1105"/>
    <n v="18230"/>
    <s v="61692826"/>
    <s v="61692826"/>
    <m/>
    <m/>
    <n v="22778096"/>
    <m/>
    <m/>
    <m/>
    <s v="SOLFIN"/>
    <s v="SOLFIN"/>
    <s v="CCMS"/>
    <n v="21338513"/>
    <n v="4218.91"/>
    <m/>
    <s v="N"/>
    <n v="63"/>
    <d v="2023-07-06T19:21:27"/>
    <s v="Y"/>
    <s v="Court Fee"/>
    <s v="Private Law Children"/>
    <s v="Non Expert Disbursement"/>
    <s v="ES"/>
    <s v="Y"/>
    <n v="232"/>
    <n v="0"/>
    <x v="4"/>
    <s v="VALIDATED"/>
    <n v="1"/>
    <s v="01.11.80.307.6300.0000"/>
    <n v="232"/>
    <s v="11"/>
    <s v="6300"/>
    <n v="53101.42"/>
    <n v="232"/>
    <s v="CREDITOR"/>
    <n v="0"/>
    <n v="0"/>
    <n v="0"/>
    <n v="0"/>
    <n v="232"/>
  </r>
  <r>
    <n v="60147697"/>
    <s v="N"/>
    <n v="21328215"/>
    <s v="3000014472360032"/>
    <s v="CIVIL"/>
    <d v="2023-06-30T00:00:00"/>
    <d v="2023-07-04T19:00:44"/>
    <m/>
    <d v="2023-07-04T00:00:00"/>
    <n v="1105"/>
    <n v="18230"/>
    <s v="60147697"/>
    <s v="60147697"/>
    <m/>
    <m/>
    <n v="22795380"/>
    <m/>
    <m/>
    <m/>
    <s v="SOLFIN"/>
    <s v="SOLFIN"/>
    <s v="CCMS"/>
    <n v="21328215"/>
    <n v="32839.17"/>
    <m/>
    <s v="N"/>
    <n v="17"/>
    <d v="2023-07-04T19:01:08"/>
    <s v="Y"/>
    <s v="Interim/Directions/Review Hearing ("/>
    <s v="VHCC"/>
    <s v="Profit Cost"/>
    <s v="SB"/>
    <s v="Y"/>
    <n v="900"/>
    <n v="180"/>
    <x v="1"/>
    <s v="VALIDATED"/>
    <n v="1"/>
    <s v="01.11.80.308.6100.0000"/>
    <n v="900"/>
    <s v="11"/>
    <s v="6100"/>
    <n v="53101.42"/>
    <n v="900"/>
    <s v="CREDITOR"/>
    <n v="0"/>
    <n v="0"/>
    <n v="0"/>
    <n v="0"/>
    <n v="900"/>
  </r>
  <r>
    <n v="62006309"/>
    <s v="N"/>
    <n v="21321285"/>
    <s v="3000016047350008"/>
    <s v="CIVIL"/>
    <d v="2023-06-29T00:00:00"/>
    <d v="2023-07-03T19:05:17"/>
    <m/>
    <d v="2023-07-03T00:00:00"/>
    <n v="1105"/>
    <n v="18230"/>
    <s v="62006309"/>
    <s v="62006309"/>
    <m/>
    <m/>
    <n v="22786222"/>
    <m/>
    <m/>
    <m/>
    <s v="SOLPOA"/>
    <s v="SOLPOA"/>
    <s v="CCMS"/>
    <n v="21321285"/>
    <n v="135"/>
    <m/>
    <s v="N"/>
    <n v="1"/>
    <d v="2023-07-03T19:05:18"/>
    <s v="N"/>
    <s v="Expert Cost"/>
    <s v="Expert Cost"/>
    <s v="Expert Disbursement"/>
    <s v="Rebecca Ward"/>
    <s v="N"/>
    <n v="135"/>
    <n v="0"/>
    <x v="3"/>
    <s v="VALIDATED"/>
    <n v="1"/>
    <s v="01.11.80.308.2012.0000"/>
    <n v="135"/>
    <s v="11"/>
    <s v="2012"/>
    <n v="53101.42"/>
    <n v="135"/>
    <s v="CREDITOR"/>
    <n v="135"/>
    <n v="0"/>
    <n v="0"/>
    <n v="0"/>
    <n v="0"/>
  </r>
  <r>
    <n v="61692826"/>
    <s v="N"/>
    <n v="21338513"/>
    <s v="3000015781560013"/>
    <s v="CIVIL"/>
    <d v="2023-06-28T00:00:00"/>
    <d v="2023-07-06T19:21:01"/>
    <m/>
    <d v="2023-07-06T00:00:00"/>
    <n v="1105"/>
    <n v="18230"/>
    <s v="61692826"/>
    <s v="61692826"/>
    <m/>
    <m/>
    <n v="22778096"/>
    <m/>
    <m/>
    <m/>
    <s v="SOLFIN"/>
    <s v="SOLFIN"/>
    <s v="CCMS"/>
    <n v="21338513"/>
    <n v="4218.91"/>
    <m/>
    <s v="N"/>
    <n v="18"/>
    <d v="2023-07-06T19:21:27"/>
    <s v="Y"/>
    <s v="Preparation - other"/>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50"/>
    <d v="2023-07-06T19:21:27"/>
    <s v="Y"/>
    <s v="Preparation - other"/>
    <s v="Prescribed Hourly Rates"/>
    <s v="Profit Cost"/>
    <s v="ES"/>
    <s v="Y"/>
    <n v="10.98"/>
    <n v="2.2"/>
    <x v="4"/>
    <s v="VALIDATED"/>
    <n v="1"/>
    <s v="01.11.80.307.6100.0000"/>
    <n v="10.98"/>
    <s v="11"/>
    <s v="6100"/>
    <n v="53101.42"/>
    <n v="10.98"/>
    <s v="CREDITOR"/>
    <n v="0"/>
    <n v="0"/>
    <n v="0"/>
    <n v="0"/>
    <n v="10.98"/>
  </r>
  <r>
    <n v="60330198"/>
    <s v="N"/>
    <n v="21330923"/>
    <s v="3000014627810013"/>
    <s v="CIVIL"/>
    <d v="2023-06-19T00:00:00"/>
    <d v="2023-07-05T19:01:47"/>
    <m/>
    <d v="2023-07-05T00:00:00"/>
    <n v="1105"/>
    <n v="18230"/>
    <s v="60330198"/>
    <s v="60330198"/>
    <m/>
    <m/>
    <n v="22717396"/>
    <m/>
    <m/>
    <m/>
    <s v="SOLFIN"/>
    <s v="SOLFIN"/>
    <s v="CCMS"/>
    <n v="21330923"/>
    <n v="28516.42"/>
    <m/>
    <s v="N"/>
    <n v="43"/>
    <d v="2023-07-05T19:01:57"/>
    <s v="Y"/>
    <s v="Preparation - other"/>
    <s v="Care Remuneration Hourly Rates"/>
    <s v="Profit Cost"/>
    <s v="DS"/>
    <s v="Y"/>
    <n v="21.03"/>
    <n v="4.21"/>
    <x v="6"/>
    <s v="VALIDATED"/>
    <n v="1"/>
    <s v="01.11.80.308.6100.0000"/>
    <n v="21.03"/>
    <s v="11"/>
    <s v="6100"/>
    <n v="53101.42"/>
    <n v="21.03"/>
    <s v="CREDITOR"/>
    <n v="0"/>
    <n v="0"/>
    <n v="0"/>
    <n v="0"/>
    <n v="21.03"/>
  </r>
  <r>
    <n v="60147697"/>
    <s v="N"/>
    <n v="21328215"/>
    <s v="3000014472360032"/>
    <s v="CIVIL"/>
    <d v="2023-06-30T00:00:00"/>
    <d v="2023-07-04T19:00:44"/>
    <m/>
    <d v="2023-07-04T00:00:00"/>
    <n v="1105"/>
    <n v="18230"/>
    <s v="60147697"/>
    <s v="60147697"/>
    <m/>
    <m/>
    <n v="22795380"/>
    <m/>
    <m/>
    <m/>
    <s v="SOLFIN"/>
    <s v="SOLFIN"/>
    <s v="CCMS"/>
    <n v="21328215"/>
    <n v="32839.17"/>
    <m/>
    <s v="N"/>
    <n v="23"/>
    <d v="2023-07-04T19:01:08"/>
    <s v="Y"/>
    <s v="Interim/Directions/Review Hearing ("/>
    <s v="VHCC"/>
    <s v="Profit Cost"/>
    <s v="SB"/>
    <s v="Y"/>
    <n v="900"/>
    <n v="180"/>
    <x v="1"/>
    <s v="VALIDATED"/>
    <n v="1"/>
    <s v="01.11.80.308.6100.0000"/>
    <n v="900"/>
    <s v="11"/>
    <s v="6100"/>
    <n v="53101.42"/>
    <n v="900"/>
    <s v="CREDITOR"/>
    <n v="0"/>
    <n v="0"/>
    <n v="0"/>
    <n v="0"/>
    <n v="900"/>
  </r>
  <r>
    <n v="60147697"/>
    <s v="N"/>
    <n v="21328215"/>
    <s v="3000014472360032"/>
    <s v="CIVIL"/>
    <d v="2023-06-30T00:00:00"/>
    <d v="2023-07-04T19:00:44"/>
    <m/>
    <d v="2023-07-04T00:00:00"/>
    <n v="1105"/>
    <n v="18230"/>
    <s v="60147697"/>
    <s v="60147697"/>
    <m/>
    <m/>
    <n v="22795380"/>
    <m/>
    <m/>
    <m/>
    <s v="SOLFIN"/>
    <s v="SOLFIN"/>
    <s v="CCMS"/>
    <n v="21328215"/>
    <n v="32839.17"/>
    <m/>
    <s v="N"/>
    <n v="47"/>
    <d v="2023-07-04T19:01:08"/>
    <s v="Y"/>
    <s v="Solicitor Travel Expenses"/>
    <s v="VHCC"/>
    <s v="Non Expert Disbursement"/>
    <s v="SB"/>
    <s v="Y"/>
    <n v="5"/>
    <n v="1"/>
    <x v="1"/>
    <s v="VALIDATED"/>
    <n v="1"/>
    <s v="01.11.80.308.6300.0000"/>
    <n v="5"/>
    <s v="11"/>
    <s v="6300"/>
    <n v="53101.42"/>
    <n v="5"/>
    <s v="CREDITOR"/>
    <n v="0"/>
    <n v="0"/>
    <n v="0"/>
    <n v="0"/>
    <n v="5"/>
  </r>
  <r>
    <n v="60712959"/>
    <s v="N"/>
    <n v="21321865"/>
    <s v="3000014958120022"/>
    <s v="CIVIL"/>
    <d v="2023-06-29T00:00:00"/>
    <d v="2023-07-03T19:05:17"/>
    <m/>
    <d v="2023-07-03T00:00:00"/>
    <n v="1105"/>
    <n v="18230"/>
    <s v="60712959"/>
    <s v="60712959"/>
    <m/>
    <m/>
    <n v="22785832"/>
    <m/>
    <m/>
    <m/>
    <s v="SOLPOA"/>
    <s v="SOLPOA"/>
    <s v="CCMS"/>
    <n v="21321865"/>
    <n v="390"/>
    <m/>
    <s v="N"/>
    <n v="1"/>
    <d v="2023-07-03T19:05:21"/>
    <s v="N"/>
    <s v="Expert Cost"/>
    <s v="Expert Cost"/>
    <s v="Expert Disbursement"/>
    <s v="Sam Gallett"/>
    <s v="N"/>
    <n v="325"/>
    <n v="65"/>
    <x v="3"/>
    <s v="VALIDATED"/>
    <n v="1"/>
    <s v="01.11.80.308.2012.0000"/>
    <n v="325"/>
    <s v="11"/>
    <s v="2012"/>
    <n v="53101.42"/>
    <n v="325"/>
    <s v="CREDITOR"/>
    <n v="325"/>
    <n v="0"/>
    <n v="0"/>
    <n v="0"/>
    <n v="0"/>
  </r>
  <r>
    <n v="61692826"/>
    <s v="N"/>
    <n v="21338513"/>
    <s v="3000015781560013"/>
    <s v="CIVIL"/>
    <d v="2023-06-28T00:00:00"/>
    <d v="2023-07-06T19:21:01"/>
    <m/>
    <d v="2023-07-06T00:00:00"/>
    <n v="1105"/>
    <n v="18230"/>
    <s v="61692826"/>
    <s v="61692826"/>
    <m/>
    <m/>
    <n v="22778096"/>
    <m/>
    <m/>
    <m/>
    <s v="SOLFIN"/>
    <s v="SOLFIN"/>
    <s v="CCMS"/>
    <n v="21338513"/>
    <n v="4218.91"/>
    <m/>
    <s v="N"/>
    <n v="4"/>
    <d v="2023-07-06T19:21:27"/>
    <s v="Y"/>
    <s v="Preparation - drafting attendance n"/>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145"/>
    <d v="2023-07-05T19:01:57"/>
    <s v="Y"/>
    <s v="Advocates Meeting"/>
    <s v="Public Law Children"/>
    <s v="Advocacy"/>
    <s v="DS"/>
    <s v="Y"/>
    <n v="140.99"/>
    <n v="28.2"/>
    <x v="6"/>
    <s v="VALIDATED"/>
    <n v="1"/>
    <s v="01.11.80.308.6100.0000"/>
    <n v="140.99"/>
    <s v="11"/>
    <s v="6100"/>
    <n v="53101.42"/>
    <n v="140.99"/>
    <s v="CREDITOR"/>
    <n v="0"/>
    <n v="0"/>
    <n v="0"/>
    <n v="0"/>
    <n v="140.99"/>
  </r>
  <r>
    <n v="61692826"/>
    <s v="N"/>
    <n v="21338513"/>
    <s v="3000015781560013"/>
    <s v="CIVIL"/>
    <d v="2023-06-28T00:00:00"/>
    <d v="2023-07-06T19:21:01"/>
    <m/>
    <d v="2023-07-06T00:00:00"/>
    <n v="1105"/>
    <n v="18230"/>
    <s v="61692826"/>
    <s v="61692826"/>
    <m/>
    <m/>
    <n v="22778096"/>
    <m/>
    <m/>
    <m/>
    <s v="SOLFIN"/>
    <s v="SOLFIN"/>
    <s v="CCMS"/>
    <n v="21338513"/>
    <n v="4218.91"/>
    <m/>
    <s v="N"/>
    <n v="48"/>
    <d v="2023-07-06T19:21:27"/>
    <s v="Y"/>
    <s v="Preparation - drafting attendance n"/>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57"/>
    <d v="2023-07-06T19:21:27"/>
    <s v="Y"/>
    <s v="Preparation - other"/>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16"/>
    <d v="2023-07-05T19:01:57"/>
    <s v="Y"/>
    <s v="Preparation - other"/>
    <s v="Care Remuneration Hourly Rates"/>
    <s v="Profit Cost"/>
    <s v="DS"/>
    <s v="Y"/>
    <n v="42.06"/>
    <n v="8.41"/>
    <x v="6"/>
    <s v="VALIDATED"/>
    <n v="1"/>
    <s v="01.11.80.308.6100.0000"/>
    <n v="42.06"/>
    <s v="11"/>
    <s v="6100"/>
    <n v="53101.42"/>
    <n v="42.06"/>
    <s v="CREDITOR"/>
    <n v="0"/>
    <n v="0"/>
    <n v="0"/>
    <n v="0"/>
    <n v="42.06"/>
  </r>
  <r>
    <n v="60330198"/>
    <s v="N"/>
    <n v="21330923"/>
    <s v="3000014627810013"/>
    <s v="CIVIL"/>
    <d v="2023-06-19T00:00:00"/>
    <d v="2023-07-05T19:01:47"/>
    <m/>
    <d v="2023-07-05T00:00:00"/>
    <n v="1105"/>
    <n v="18230"/>
    <s v="60330198"/>
    <s v="60330198"/>
    <m/>
    <m/>
    <n v="22717396"/>
    <m/>
    <m/>
    <m/>
    <s v="SOLFIN"/>
    <s v="SOLFIN"/>
    <s v="CCMS"/>
    <n v="21330923"/>
    <n v="28516.42"/>
    <m/>
    <s v="N"/>
    <n v="25"/>
    <d v="2023-07-05T19:01:57"/>
    <s v="Y"/>
    <s v="Attendance upon client"/>
    <s v="Care Remuneration Hourly Rates"/>
    <s v="Profit Cost"/>
    <s v="DS"/>
    <s v="Y"/>
    <n v="10.51"/>
    <n v="2.1"/>
    <x v="6"/>
    <s v="VALIDATED"/>
    <n v="1"/>
    <s v="01.11.80.308.6100.0000"/>
    <n v="10.51"/>
    <s v="11"/>
    <s v="6100"/>
    <n v="53101.42"/>
    <n v="10.51"/>
    <s v="CREDITOR"/>
    <n v="0"/>
    <n v="0"/>
    <n v="0"/>
    <n v="0"/>
    <n v="10.51"/>
  </r>
  <r>
    <n v="62006309"/>
    <s v="N"/>
    <n v="21321714"/>
    <s v="3000016047350009"/>
    <s v="CIVIL"/>
    <d v="2023-06-29T00:00:00"/>
    <d v="2023-07-03T19:05:17"/>
    <m/>
    <d v="2023-07-03T00:00:00"/>
    <n v="1105"/>
    <n v="18230"/>
    <s v="62006309"/>
    <s v="62006309"/>
    <m/>
    <m/>
    <n v="22786174"/>
    <m/>
    <m/>
    <m/>
    <s v="SOLPOA"/>
    <s v="SOLPOA"/>
    <s v="CCMS"/>
    <n v="21321714"/>
    <n v="129.6"/>
    <m/>
    <s v="N"/>
    <n v="1"/>
    <d v="2023-07-03T19:05:20"/>
    <s v="N"/>
    <s v="Expert Cost"/>
    <s v="Expert Cost"/>
    <s v="Expert Disbursement"/>
    <s v="Rebecca Ward"/>
    <s v="N"/>
    <n v="108"/>
    <n v="21.6"/>
    <x v="3"/>
    <s v="VALIDATED"/>
    <n v="1"/>
    <s v="01.11.80.308.2012.0000"/>
    <n v="108"/>
    <s v="11"/>
    <s v="2012"/>
    <n v="53101.42"/>
    <n v="108"/>
    <s v="CREDITOR"/>
    <n v="108"/>
    <n v="0"/>
    <n v="0"/>
    <n v="0"/>
    <n v="0"/>
  </r>
  <r>
    <n v="61737958"/>
    <s v="N"/>
    <n v="21321384"/>
    <s v="3000015820390008"/>
    <s v="CIVIL"/>
    <d v="2023-06-29T00:00:00"/>
    <d v="2023-07-03T19:05:17"/>
    <m/>
    <d v="2023-07-03T00:00:00"/>
    <n v="1105"/>
    <n v="18230"/>
    <s v="61737958"/>
    <s v="61737958"/>
    <m/>
    <m/>
    <n v="22786236"/>
    <m/>
    <m/>
    <m/>
    <s v="SOLPOA"/>
    <s v="SOLPOA"/>
    <s v="CCMS"/>
    <n v="21321384"/>
    <n v="252"/>
    <m/>
    <s v="N"/>
    <n v="1"/>
    <d v="2023-07-03T19:05:18"/>
    <s v="N"/>
    <s v="Expert Cost"/>
    <s v="Expert Cost"/>
    <s v="Expert Disbursement"/>
    <s v="Freya Cox"/>
    <s v="N"/>
    <n v="252"/>
    <n v="0"/>
    <x v="3"/>
    <s v="VALIDATED"/>
    <n v="1"/>
    <s v="01.11.80.308.2012.0000"/>
    <n v="252"/>
    <s v="11"/>
    <s v="2012"/>
    <n v="53101.42"/>
    <n v="252"/>
    <s v="CREDITOR"/>
    <n v="252"/>
    <n v="0"/>
    <n v="0"/>
    <n v="0"/>
    <n v="0"/>
  </r>
  <r>
    <n v="60330198"/>
    <s v="N"/>
    <n v="21330923"/>
    <s v="3000014627810013"/>
    <s v="CIVIL"/>
    <d v="2023-06-19T00:00:00"/>
    <d v="2023-07-05T19:01:47"/>
    <m/>
    <d v="2023-07-05T00:00:00"/>
    <n v="1105"/>
    <n v="18230"/>
    <s v="60330198"/>
    <s v="60330198"/>
    <m/>
    <m/>
    <n v="22717396"/>
    <m/>
    <m/>
    <m/>
    <s v="SOLFIN"/>
    <s v="SOLFIN"/>
    <s v="CCMS"/>
    <n v="21330923"/>
    <n v="28516.42"/>
    <m/>
    <s v="N"/>
    <n v="108"/>
    <d v="2023-07-05T19:01:57"/>
    <s v="Y"/>
    <s v="Attendance upon client"/>
    <s v="Care Remuneration Hourly Rates"/>
    <s v="Profit Cost"/>
    <s v="DS"/>
    <s v="Y"/>
    <n v="147.2"/>
    <n v="29.44"/>
    <x v="6"/>
    <s v="VALIDATED"/>
    <n v="1"/>
    <s v="01.11.80.308.6100.0000"/>
    <n v="147.2"/>
    <s v="11"/>
    <s v="6100"/>
    <n v="53101.42"/>
    <n v="147.2"/>
    <s v="CREDITOR"/>
    <n v="0"/>
    <n v="0"/>
    <n v="0"/>
    <n v="0"/>
    <n v="147.2"/>
  </r>
  <r>
    <n v="60330198"/>
    <s v="N"/>
    <n v="21330923"/>
    <s v="3000014627810013"/>
    <s v="CIVIL"/>
    <d v="2023-06-19T00:00:00"/>
    <d v="2023-07-05T19:01:47"/>
    <m/>
    <d v="2023-07-05T00:00:00"/>
    <n v="1105"/>
    <n v="18230"/>
    <s v="60330198"/>
    <s v="60330198"/>
    <m/>
    <m/>
    <n v="22717396"/>
    <m/>
    <m/>
    <m/>
    <s v="SOLFIN"/>
    <s v="SOLFIN"/>
    <s v="CCMS"/>
    <n v="21330923"/>
    <n v="28516.42"/>
    <m/>
    <s v="N"/>
    <n v="124"/>
    <d v="2023-07-05T19:01:57"/>
    <s v="Y"/>
    <s v="Preparation - other"/>
    <s v="Care Remuneration Hourly Rates"/>
    <s v="Profit Cost"/>
    <s v="DS"/>
    <s v="Y"/>
    <n v="52.57"/>
    <n v="10.51"/>
    <x v="6"/>
    <s v="VALIDATED"/>
    <n v="1"/>
    <s v="01.11.80.308.6100.0000"/>
    <n v="52.57"/>
    <s v="11"/>
    <s v="6100"/>
    <n v="53101.42"/>
    <n v="52.57"/>
    <s v="CREDITOR"/>
    <n v="0"/>
    <n v="0"/>
    <n v="0"/>
    <n v="0"/>
    <n v="52.57"/>
  </r>
  <r>
    <n v="60330198"/>
    <s v="N"/>
    <n v="21330923"/>
    <s v="3000014627810013"/>
    <s v="CIVIL"/>
    <d v="2023-06-19T00:00:00"/>
    <d v="2023-07-05T19:01:47"/>
    <m/>
    <d v="2023-07-05T00:00:00"/>
    <n v="1105"/>
    <n v="18230"/>
    <s v="60330198"/>
    <s v="60330198"/>
    <m/>
    <m/>
    <n v="22717396"/>
    <m/>
    <m/>
    <m/>
    <s v="SOLFIN"/>
    <s v="SOLFIN"/>
    <s v="CCMS"/>
    <n v="21330923"/>
    <n v="28516.42"/>
    <m/>
    <s v="N"/>
    <n v="23"/>
    <d v="2023-07-05T19:01:57"/>
    <s v="Y"/>
    <s v="Preparation - other"/>
    <s v="Care Remuneration Hourly Rates"/>
    <s v="Profit Cost"/>
    <s v="DS"/>
    <s v="Y"/>
    <n v="15.77"/>
    <n v="3.15"/>
    <x v="6"/>
    <s v="VALIDATED"/>
    <n v="1"/>
    <s v="01.11.80.308.6100.0000"/>
    <n v="15.77"/>
    <s v="11"/>
    <s v="6100"/>
    <n v="53101.42"/>
    <n v="15.77"/>
    <s v="CREDITOR"/>
    <n v="0"/>
    <n v="0"/>
    <n v="0"/>
    <n v="0"/>
    <n v="15.77"/>
  </r>
  <r>
    <n v="61692826"/>
    <s v="N"/>
    <n v="21338513"/>
    <s v="3000015781560013"/>
    <s v="CIVIL"/>
    <d v="2023-06-28T00:00:00"/>
    <d v="2023-07-06T19:21:01"/>
    <m/>
    <d v="2023-07-06T00:00:00"/>
    <n v="1105"/>
    <n v="18230"/>
    <s v="61692826"/>
    <s v="61692826"/>
    <m/>
    <m/>
    <n v="22778096"/>
    <m/>
    <m/>
    <m/>
    <s v="SOLFIN"/>
    <s v="SOLFIN"/>
    <s v="CCMS"/>
    <n v="21338513"/>
    <n v="4218.91"/>
    <m/>
    <s v="N"/>
    <n v="33"/>
    <d v="2023-07-06T19:21:27"/>
    <s v="Y"/>
    <s v="Attendance upon client"/>
    <s v="Prescribed Hourly Rates"/>
    <s v="Profit Cost"/>
    <s v="ES"/>
    <s v="Y"/>
    <n v="109.8"/>
    <n v="21.96"/>
    <x v="4"/>
    <s v="VALIDATED"/>
    <n v="1"/>
    <s v="01.11.80.307.6100.0000"/>
    <n v="109.8"/>
    <s v="11"/>
    <s v="6100"/>
    <n v="53101.42"/>
    <n v="109.8"/>
    <s v="CREDITOR"/>
    <n v="0"/>
    <n v="0"/>
    <n v="0"/>
    <n v="0"/>
    <n v="109.8"/>
  </r>
  <r>
    <n v="60147697"/>
    <s v="N"/>
    <n v="21328215"/>
    <s v="3000014472360032"/>
    <s v="CIVIL"/>
    <d v="2023-06-30T00:00:00"/>
    <d v="2023-07-04T19:00:44"/>
    <m/>
    <d v="2023-07-04T00:00:00"/>
    <n v="1105"/>
    <n v="18230"/>
    <s v="60147697"/>
    <s v="60147697"/>
    <m/>
    <m/>
    <n v="22795380"/>
    <m/>
    <m/>
    <m/>
    <s v="SOLFIN"/>
    <s v="SOLFIN"/>
    <s v="CCMS"/>
    <n v="21328215"/>
    <n v="32839.17"/>
    <m/>
    <s v="N"/>
    <n v="4"/>
    <d v="2023-07-04T19:01:08"/>
    <s v="Y"/>
    <s v="Finding-of-Fact Hearing (Events Mod"/>
    <s v="VHCC"/>
    <s v="Profit Cost"/>
    <s v="SB"/>
    <s v="Y"/>
    <n v="900"/>
    <n v="180"/>
    <x v="1"/>
    <s v="VALIDATED"/>
    <n v="1"/>
    <s v="01.11.80.308.6100.0000"/>
    <n v="900"/>
    <s v="11"/>
    <s v="6100"/>
    <n v="53101.42"/>
    <n v="900"/>
    <s v="CREDITOR"/>
    <n v="0"/>
    <n v="0"/>
    <n v="0"/>
    <n v="0"/>
    <n v="900"/>
  </r>
  <r>
    <n v="60330198"/>
    <s v="N"/>
    <n v="21330923"/>
    <s v="3000014627810013"/>
    <s v="CIVIL"/>
    <d v="2023-06-19T00:00:00"/>
    <d v="2023-07-05T19:01:47"/>
    <m/>
    <d v="2023-07-05T00:00:00"/>
    <n v="1105"/>
    <n v="18230"/>
    <s v="60330198"/>
    <s v="60330198"/>
    <m/>
    <m/>
    <n v="22717396"/>
    <m/>
    <m/>
    <m/>
    <s v="SOLFIN"/>
    <s v="SOLFIN"/>
    <s v="CCMS"/>
    <n v="21330923"/>
    <n v="28516.42"/>
    <m/>
    <s v="N"/>
    <n v="121"/>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36"/>
    <d v="2023-07-05T19:01:57"/>
    <s v="Y"/>
    <s v="Preparation - other"/>
    <s v="Care Remuneration Hourly Rates"/>
    <s v="Profit Cost"/>
    <s v="DS"/>
    <s v="Y"/>
    <n v="21.03"/>
    <n v="4.21"/>
    <x v="6"/>
    <s v="VALIDATED"/>
    <n v="1"/>
    <s v="01.11.80.308.6100.0000"/>
    <n v="21.03"/>
    <s v="11"/>
    <s v="6100"/>
    <n v="53101.42"/>
    <n v="21.03"/>
    <s v="CREDITOR"/>
    <n v="0"/>
    <n v="0"/>
    <n v="0"/>
    <n v="0"/>
    <n v="21.03"/>
  </r>
  <r>
    <n v="60330198"/>
    <s v="N"/>
    <n v="21330923"/>
    <s v="3000014627810013"/>
    <s v="CIVIL"/>
    <d v="2023-06-19T00:00:00"/>
    <d v="2023-07-05T19:01:47"/>
    <m/>
    <d v="2023-07-05T00:00:00"/>
    <n v="1105"/>
    <n v="18230"/>
    <s v="60330198"/>
    <s v="60330198"/>
    <m/>
    <m/>
    <n v="22717396"/>
    <m/>
    <m/>
    <m/>
    <s v="SOLFIN"/>
    <s v="SOLFIN"/>
    <s v="CCMS"/>
    <n v="21330923"/>
    <n v="28516.42"/>
    <m/>
    <s v="N"/>
    <n v="11"/>
    <d v="2023-07-05T19:01:57"/>
    <s v="Y"/>
    <s v="Psychologist"/>
    <s v="Public Law Children"/>
    <s v="Expert Disbursement"/>
    <s v="DS"/>
    <s v="Y"/>
    <n v="118.5"/>
    <n v="23.7"/>
    <x v="6"/>
    <s v="VALIDATED"/>
    <n v="1"/>
    <s v="01.11.80.308.6300.0000"/>
    <n v="118.5"/>
    <s v="11"/>
    <s v="6300"/>
    <n v="53101.42"/>
    <n v="118.5"/>
    <s v="CREDITOR"/>
    <n v="0"/>
    <n v="0"/>
    <n v="0"/>
    <n v="0"/>
    <n v="118.5"/>
  </r>
  <r>
    <n v="60330198"/>
    <s v="N"/>
    <n v="21330923"/>
    <s v="3000014627810013"/>
    <s v="CIVIL"/>
    <d v="2023-06-19T00:00:00"/>
    <d v="2023-07-05T19:01:47"/>
    <m/>
    <d v="2023-07-05T00:00:00"/>
    <n v="1105"/>
    <n v="18230"/>
    <s v="60330198"/>
    <s v="60330198"/>
    <m/>
    <m/>
    <n v="22717396"/>
    <m/>
    <m/>
    <m/>
    <s v="SOLFIN"/>
    <s v="SOLFIN"/>
    <s v="CCMS"/>
    <n v="21330923"/>
    <n v="28516.42"/>
    <m/>
    <s v="N"/>
    <n v="26"/>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31"/>
    <d v="2023-07-05T19:01:57"/>
    <s v="Y"/>
    <s v="Preparation - other"/>
    <s v="Care Remuneration Hourly Rates"/>
    <s v="Profit Cost"/>
    <s v="DS"/>
    <s v="Y"/>
    <n v="10.51"/>
    <n v="2.1"/>
    <x v="6"/>
    <s v="VALIDATED"/>
    <n v="1"/>
    <s v="01.11.80.308.6100.0000"/>
    <n v="10.51"/>
    <s v="11"/>
    <s v="6100"/>
    <n v="53101.42"/>
    <n v="10.51"/>
    <s v="CREDITOR"/>
    <n v="0"/>
    <n v="0"/>
    <n v="0"/>
    <n v="0"/>
    <n v="10.51"/>
  </r>
  <r>
    <n v="62445974"/>
    <s v="N"/>
    <n v="21321233"/>
    <s v="3000016412480002"/>
    <s v="CIVIL"/>
    <d v="2023-06-29T00:00:00"/>
    <d v="2023-07-03T19:05:17"/>
    <m/>
    <d v="2023-07-03T00:00:00"/>
    <n v="1105"/>
    <n v="18230"/>
    <s v="62445974"/>
    <s v="62445974"/>
    <m/>
    <m/>
    <n v="22786452"/>
    <m/>
    <m/>
    <m/>
    <s v="SOLPOA"/>
    <s v="SOLPOA"/>
    <s v="CCMS"/>
    <n v="21321233"/>
    <n v="135.67"/>
    <m/>
    <s v="N"/>
    <n v="1"/>
    <d v="2023-07-03T19:05:17"/>
    <s v="N"/>
    <s v="Non Expert Disbursement"/>
    <s v="Non Expert Disbursement"/>
    <s v="Non Expert Disbursement"/>
    <s v="Hannah Street"/>
    <s v="N"/>
    <n v="113.06"/>
    <n v="22.61"/>
    <x v="3"/>
    <s v="VALIDATED"/>
    <n v="1"/>
    <s v="01.11.80.308.2012.0000"/>
    <n v="113.06"/>
    <s v="11"/>
    <s v="2012"/>
    <n v="53101.42"/>
    <n v="113.06"/>
    <s v="CREDITOR"/>
    <n v="113.06"/>
    <n v="0"/>
    <n v="0"/>
    <n v="0"/>
    <n v="0"/>
  </r>
  <r>
    <n v="61692826"/>
    <s v="N"/>
    <n v="21338513"/>
    <s v="3000015781560013"/>
    <s v="CIVIL"/>
    <d v="2023-06-28T00:00:00"/>
    <d v="2023-07-06T19:21:01"/>
    <m/>
    <d v="2023-07-06T00:00:00"/>
    <n v="1105"/>
    <n v="18230"/>
    <s v="61692826"/>
    <s v="61692826"/>
    <m/>
    <m/>
    <n v="22778096"/>
    <m/>
    <m/>
    <m/>
    <s v="SOLFIN"/>
    <s v="SOLFIN"/>
    <s v="CCMS"/>
    <n v="21338513"/>
    <n v="4218.91"/>
    <m/>
    <s v="N"/>
    <n v="55"/>
    <d v="2023-07-06T19:21:27"/>
    <s v="Y"/>
    <s v="Preparation - other"/>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69"/>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34"/>
    <d v="2023-07-05T19:01:57"/>
    <s v="Y"/>
    <s v="Preparation - other"/>
    <s v="Care Remuneration Hourly Rates"/>
    <s v="Profit Cost"/>
    <s v="DS"/>
    <s v="Y"/>
    <n v="42.06"/>
    <n v="8.41"/>
    <x v="6"/>
    <s v="VALIDATED"/>
    <n v="1"/>
    <s v="01.11.80.308.6100.0000"/>
    <n v="42.06"/>
    <s v="11"/>
    <s v="6100"/>
    <n v="53101.42"/>
    <n v="42.06"/>
    <s v="CREDITOR"/>
    <n v="0"/>
    <n v="0"/>
    <n v="0"/>
    <n v="0"/>
    <n v="42.06"/>
  </r>
  <r>
    <n v="60330198"/>
    <s v="N"/>
    <n v="21330923"/>
    <s v="3000014627810013"/>
    <s v="CIVIL"/>
    <d v="2023-06-19T00:00:00"/>
    <d v="2023-07-05T19:01:47"/>
    <m/>
    <d v="2023-07-05T00:00:00"/>
    <n v="1105"/>
    <n v="18230"/>
    <s v="60330198"/>
    <s v="60330198"/>
    <m/>
    <m/>
    <n v="22717396"/>
    <m/>
    <m/>
    <m/>
    <s v="SOLFIN"/>
    <s v="SOLFIN"/>
    <s v="CCMS"/>
    <n v="21330923"/>
    <n v="28516.42"/>
    <m/>
    <s v="N"/>
    <n v="86"/>
    <d v="2023-07-05T19:01:57"/>
    <s v="Y"/>
    <s v="Preparation - drafting attendance n"/>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7"/>
    <d v="2023-07-05T19:01:57"/>
    <s v="Y"/>
    <s v="Routine Telephone Call"/>
    <s v="Care Remuneration Hourly Rates"/>
    <s v="Profit Cost"/>
    <s v="DS"/>
    <s v="Y"/>
    <n v="18.45"/>
    <n v="3.69"/>
    <x v="6"/>
    <s v="VALIDATED"/>
    <n v="1"/>
    <s v="01.11.80.308.6100.0000"/>
    <n v="18.45"/>
    <s v="11"/>
    <s v="6100"/>
    <n v="53101.42"/>
    <n v="18.45"/>
    <s v="CREDITOR"/>
    <n v="0"/>
    <n v="0"/>
    <n v="0"/>
    <n v="0"/>
    <n v="18.45"/>
  </r>
  <r>
    <n v="60330198"/>
    <s v="N"/>
    <n v="21330923"/>
    <s v="3000014627810013"/>
    <s v="CIVIL"/>
    <d v="2023-06-19T00:00:00"/>
    <d v="2023-07-05T19:01:47"/>
    <m/>
    <d v="2023-07-05T00:00:00"/>
    <n v="1105"/>
    <n v="18230"/>
    <s v="60330198"/>
    <s v="60330198"/>
    <m/>
    <m/>
    <n v="22717396"/>
    <m/>
    <m/>
    <m/>
    <s v="SOLFIN"/>
    <s v="SOLFIN"/>
    <s v="CCMS"/>
    <n v="21330923"/>
    <n v="28516.42"/>
    <m/>
    <s v="N"/>
    <n v="47"/>
    <d v="2023-07-05T19:01:57"/>
    <s v="Y"/>
    <s v="Preparation - other"/>
    <s v="Care Remuneration Hourly Rates"/>
    <s v="Profit Cost"/>
    <s v="DS"/>
    <s v="Y"/>
    <n v="21.03"/>
    <n v="4.21"/>
    <x v="6"/>
    <s v="VALIDATED"/>
    <n v="1"/>
    <s v="01.11.80.308.6100.0000"/>
    <n v="21.03"/>
    <s v="11"/>
    <s v="6100"/>
    <n v="53101.42"/>
    <n v="21.03"/>
    <s v="CREDITOR"/>
    <n v="0"/>
    <n v="0"/>
    <n v="0"/>
    <n v="0"/>
    <n v="21.03"/>
  </r>
  <r>
    <n v="60330198"/>
    <s v="N"/>
    <n v="21330923"/>
    <s v="3000014627810013"/>
    <s v="CIVIL"/>
    <d v="2023-06-19T00:00:00"/>
    <d v="2023-07-05T19:01:47"/>
    <m/>
    <d v="2023-07-05T00:00:00"/>
    <n v="1105"/>
    <n v="18230"/>
    <s v="60330198"/>
    <s v="60330198"/>
    <m/>
    <m/>
    <n v="22717396"/>
    <m/>
    <m/>
    <m/>
    <s v="SOLFIN"/>
    <s v="SOLFIN"/>
    <s v="CCMS"/>
    <n v="21330923"/>
    <n v="28516.42"/>
    <m/>
    <s v="N"/>
    <n v="120"/>
    <d v="2023-07-05T19:01:57"/>
    <s v="Y"/>
    <s v="Preparation - other"/>
    <s v="Care Remuneration Hourly Rates"/>
    <s v="Profit Cost"/>
    <s v="DS"/>
    <s v="Y"/>
    <n v="26.29"/>
    <n v="5.26"/>
    <x v="6"/>
    <s v="VALIDATED"/>
    <n v="1"/>
    <s v="01.11.80.308.6100.0000"/>
    <n v="26.29"/>
    <s v="11"/>
    <s v="6100"/>
    <n v="53101.42"/>
    <n v="26.29"/>
    <s v="CREDITOR"/>
    <n v="0"/>
    <n v="0"/>
    <n v="0"/>
    <n v="0"/>
    <n v="26.29"/>
  </r>
  <r>
    <n v="60147697"/>
    <s v="N"/>
    <n v="21328215"/>
    <s v="3000014472360032"/>
    <s v="CIVIL"/>
    <d v="2023-06-30T00:00:00"/>
    <d v="2023-07-04T19:00:44"/>
    <m/>
    <d v="2023-07-04T00:00:00"/>
    <n v="1105"/>
    <n v="18230"/>
    <s v="60147697"/>
    <s v="60147697"/>
    <m/>
    <m/>
    <n v="22795380"/>
    <m/>
    <m/>
    <m/>
    <s v="SOLFIN"/>
    <s v="SOLFIN"/>
    <s v="CCMS"/>
    <n v="21328215"/>
    <n v="32839.17"/>
    <m/>
    <s v="N"/>
    <n v="44"/>
    <d v="2023-07-04T19:01:08"/>
    <s v="Y"/>
    <s v="Geneticist"/>
    <s v="VHCC"/>
    <s v="Expert Disbursement"/>
    <s v="SB"/>
    <s v="Y"/>
    <n v="342"/>
    <n v="68.40000000000001"/>
    <x v="1"/>
    <s v="VALIDATED"/>
    <n v="1"/>
    <s v="01.11.80.308.6300.0000"/>
    <n v="342"/>
    <s v="11"/>
    <s v="6300"/>
    <n v="53101.42"/>
    <n v="342"/>
    <s v="CREDITOR"/>
    <n v="0"/>
    <n v="0"/>
    <n v="0"/>
    <n v="0"/>
    <n v="342"/>
  </r>
  <r>
    <n v="60147697"/>
    <s v="N"/>
    <n v="21328215"/>
    <s v="3000014472360032"/>
    <s v="CIVIL"/>
    <d v="2023-06-30T00:00:00"/>
    <d v="2023-07-04T19:00:44"/>
    <m/>
    <d v="2023-07-04T00:00:00"/>
    <n v="1105"/>
    <n v="18230"/>
    <s v="60147697"/>
    <s v="60147697"/>
    <m/>
    <m/>
    <n v="22795380"/>
    <m/>
    <m/>
    <m/>
    <s v="SOLFIN"/>
    <s v="SOLFIN"/>
    <s v="CCMS"/>
    <n v="21328215"/>
    <n v="32839.17"/>
    <m/>
    <s v="N"/>
    <n v="6"/>
    <d v="2023-07-04T19:01:08"/>
    <s v="Y"/>
    <s v="Geneticist"/>
    <s v="VHCC"/>
    <s v="Expert Disbursement"/>
    <s v="SB"/>
    <s v="Y"/>
    <n v="213.75"/>
    <n v="42.75"/>
    <x v="1"/>
    <s v="VALIDATED"/>
    <n v="1"/>
    <s v="01.11.80.308.6300.0000"/>
    <n v="213.75"/>
    <s v="11"/>
    <s v="6300"/>
    <n v="53101.42"/>
    <n v="213.75"/>
    <s v="CREDITOR"/>
    <n v="0"/>
    <n v="0"/>
    <n v="0"/>
    <n v="0"/>
    <n v="213.75"/>
  </r>
  <r>
    <n v="62081039"/>
    <s v="N"/>
    <n v="21321627"/>
    <s v="3000016110750009"/>
    <s v="CIVIL"/>
    <d v="2023-06-29T00:00:00"/>
    <d v="2023-07-03T19:05:17"/>
    <m/>
    <d v="2023-07-03T00:00:00"/>
    <n v="1105"/>
    <n v="18230"/>
    <s v="62081039"/>
    <s v="62081039"/>
    <m/>
    <m/>
    <n v="22785184"/>
    <m/>
    <m/>
    <m/>
    <s v="SOLPOA"/>
    <s v="SOLPOA"/>
    <s v="CCMS"/>
    <n v="21321627"/>
    <n v="53"/>
    <m/>
    <s v="N"/>
    <n v="1"/>
    <d v="2023-07-03T19:05:20"/>
    <s v="N"/>
    <s v="Non Expert Disbursement"/>
    <s v="Non Expert Disbursement"/>
    <s v="Non Expert Disbursement"/>
    <s v="Indiya Kainth"/>
    <s v="N"/>
    <n v="53"/>
    <n v="0"/>
    <x v="3"/>
    <s v="VALIDATED"/>
    <n v="1"/>
    <s v="01.11.80.308.2012.0000"/>
    <n v="53"/>
    <s v="11"/>
    <s v="2012"/>
    <n v="53101.42"/>
    <n v="53"/>
    <s v="CREDITOR"/>
    <n v="53"/>
    <n v="0"/>
    <n v="0"/>
    <n v="0"/>
    <n v="0"/>
  </r>
  <r>
    <n v="61692826"/>
    <s v="N"/>
    <n v="21338513"/>
    <s v="3000015781560013"/>
    <s v="CIVIL"/>
    <d v="2023-06-28T00:00:00"/>
    <d v="2023-07-06T19:21:01"/>
    <m/>
    <d v="2023-07-06T00:00:00"/>
    <n v="1105"/>
    <n v="18230"/>
    <s v="61692826"/>
    <s v="61692826"/>
    <m/>
    <m/>
    <n v="22778096"/>
    <m/>
    <m/>
    <m/>
    <s v="SOLFIN"/>
    <s v="SOLFIN"/>
    <s v="CCMS"/>
    <n v="21338513"/>
    <n v="4218.91"/>
    <m/>
    <s v="N"/>
    <n v="20"/>
    <d v="2023-07-06T19:21:27"/>
    <s v="Y"/>
    <s v="Preparation - other"/>
    <s v="Prescribed Hourly Rates"/>
    <s v="Profit Cost"/>
    <s v="FC"/>
    <s v="Y"/>
    <n v="38.43"/>
    <n v="7.69"/>
    <x v="4"/>
    <s v="VALIDATED"/>
    <n v="1"/>
    <s v="01.11.80.307.6100.0000"/>
    <n v="38.43"/>
    <s v="11"/>
    <s v="6100"/>
    <n v="53101.42"/>
    <n v="38.43"/>
    <s v="CREDITOR"/>
    <n v="0"/>
    <n v="0"/>
    <n v="0"/>
    <n v="0"/>
    <n v="38.43"/>
  </r>
  <r>
    <n v="61692826"/>
    <s v="N"/>
    <n v="21338513"/>
    <s v="3000015781560013"/>
    <s v="CIVIL"/>
    <d v="2023-06-28T00:00:00"/>
    <d v="2023-07-06T19:21:01"/>
    <m/>
    <d v="2023-07-06T00:00:00"/>
    <n v="1105"/>
    <n v="18230"/>
    <s v="61692826"/>
    <s v="61692826"/>
    <m/>
    <m/>
    <n v="22778096"/>
    <m/>
    <m/>
    <m/>
    <s v="SOLFIN"/>
    <s v="SOLFIN"/>
    <s v="CCMS"/>
    <n v="21338513"/>
    <n v="4218.91"/>
    <m/>
    <s v="N"/>
    <n v="59"/>
    <d v="2023-07-06T19:21:27"/>
    <s v="Y"/>
    <s v="Interpreter"/>
    <s v="Private Law Children"/>
    <s v="Expert Disbursement"/>
    <s v="ES"/>
    <s v="Y"/>
    <n v="28"/>
    <n v="5.6"/>
    <x v="4"/>
    <s v="VALIDATED"/>
    <n v="1"/>
    <s v="01.11.80.307.6300.0000"/>
    <n v="28"/>
    <s v="11"/>
    <s v="6300"/>
    <n v="53101.42"/>
    <n v="28"/>
    <s v="CREDITOR"/>
    <n v="0"/>
    <n v="0"/>
    <n v="0"/>
    <n v="0"/>
    <n v="28"/>
  </r>
  <r>
    <n v="60330198"/>
    <s v="N"/>
    <n v="21330923"/>
    <s v="3000014627810013"/>
    <s v="CIVIL"/>
    <d v="2023-06-19T00:00:00"/>
    <d v="2023-07-05T19:01:47"/>
    <m/>
    <d v="2023-07-05T00:00:00"/>
    <n v="1105"/>
    <n v="18230"/>
    <s v="60330198"/>
    <s v="60330198"/>
    <m/>
    <m/>
    <n v="22717396"/>
    <m/>
    <m/>
    <m/>
    <s v="SOLFIN"/>
    <s v="SOLFIN"/>
    <s v="CCMS"/>
    <n v="21330923"/>
    <n v="28516.42"/>
    <m/>
    <s v="N"/>
    <n v="3"/>
    <d v="2023-07-05T19:01:57"/>
    <s v="N"/>
    <s v="Court Fee"/>
    <s v="Public Law Children"/>
    <s v="Non Expert Disbursement"/>
    <s v="DS"/>
    <s v="N"/>
    <n v="167"/>
    <n v="0"/>
    <x v="6"/>
    <s v="VALIDATED"/>
    <n v="1"/>
    <s v="01.11.80.308.6300.0000"/>
    <n v="167"/>
    <s v="11"/>
    <s v="6300"/>
    <n v="53101.42"/>
    <n v="167"/>
    <s v="CREDITOR"/>
    <n v="0"/>
    <n v="0"/>
    <n v="0"/>
    <n v="0"/>
    <n v="167"/>
  </r>
  <r>
    <n v="61692826"/>
    <s v="N"/>
    <n v="21338513"/>
    <s v="3000015781560013"/>
    <s v="CIVIL"/>
    <d v="2023-06-28T00:00:00"/>
    <d v="2023-07-06T19:21:01"/>
    <m/>
    <d v="2023-07-06T00:00:00"/>
    <n v="1105"/>
    <n v="18230"/>
    <s v="61692826"/>
    <s v="61692826"/>
    <m/>
    <m/>
    <n v="22778096"/>
    <m/>
    <m/>
    <m/>
    <s v="SOLFIN"/>
    <s v="SOLFIN"/>
    <s v="CCMS"/>
    <n v="21338513"/>
    <n v="4218.91"/>
    <m/>
    <s v="N"/>
    <n v="22"/>
    <d v="2023-07-06T19:21:27"/>
    <s v="Y"/>
    <s v="Preparation - other"/>
    <s v="Prescribed Hourly Rates"/>
    <s v="Profit Cost"/>
    <s v="ES"/>
    <s v="Y"/>
    <n v="16.47"/>
    <n v="3.29"/>
    <x v="4"/>
    <s v="VALIDATED"/>
    <n v="1"/>
    <s v="01.11.80.307.6100.0000"/>
    <n v="16.47"/>
    <s v="11"/>
    <s v="6100"/>
    <n v="53101.42"/>
    <n v="16.47"/>
    <s v="CREDITOR"/>
    <n v="0"/>
    <n v="0"/>
    <n v="0"/>
    <n v="0"/>
    <n v="16.47"/>
  </r>
  <r>
    <n v="60330198"/>
    <s v="N"/>
    <n v="21330923"/>
    <s v="3000014627810013"/>
    <s v="CIVIL"/>
    <d v="2023-06-19T00:00:00"/>
    <d v="2023-07-05T19:01:47"/>
    <m/>
    <d v="2023-07-05T00:00:00"/>
    <n v="1105"/>
    <n v="18230"/>
    <s v="60330198"/>
    <s v="60330198"/>
    <m/>
    <m/>
    <n v="22717396"/>
    <m/>
    <m/>
    <m/>
    <s v="SOLFIN"/>
    <s v="SOLFIN"/>
    <s v="CCMS"/>
    <n v="21330923"/>
    <n v="28516.42"/>
    <m/>
    <s v="N"/>
    <n v="64"/>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46"/>
    <d v="2023-07-05T19:01:57"/>
    <s v="Y"/>
    <s v="Hearing Unit 2.31 - 5.00 Hours"/>
    <s v="Public Law Children"/>
    <s v="Advocacy"/>
    <s v="BJF"/>
    <s v="Y"/>
    <n v="476.92"/>
    <n v="95.38"/>
    <x v="6"/>
    <s v="VALIDATED"/>
    <n v="1"/>
    <s v="01.11.80.308.6100.0000"/>
    <n v="476.92"/>
    <s v="11"/>
    <s v="6100"/>
    <n v="53101.42"/>
    <n v="476.92"/>
    <s v="CREDITOR"/>
    <n v="0"/>
    <n v="0"/>
    <n v="0"/>
    <n v="0"/>
    <n v="476.92"/>
  </r>
  <r>
    <n v="60330198"/>
    <s v="N"/>
    <n v="21330923"/>
    <s v="3000014627810013"/>
    <s v="CIVIL"/>
    <d v="2023-06-19T00:00:00"/>
    <d v="2023-07-05T19:01:47"/>
    <m/>
    <d v="2023-07-05T00:00:00"/>
    <n v="1105"/>
    <n v="18230"/>
    <s v="60330198"/>
    <s v="60330198"/>
    <m/>
    <m/>
    <n v="22717396"/>
    <m/>
    <m/>
    <m/>
    <s v="SOLFIN"/>
    <s v="SOLFIN"/>
    <s v="CCMS"/>
    <n v="21330923"/>
    <n v="28516.42"/>
    <m/>
    <s v="N"/>
    <n v="41"/>
    <d v="2023-07-05T19:01:57"/>
    <s v="Y"/>
    <s v="Preparation - other"/>
    <s v="Care Remuneration Hourly Rates"/>
    <s v="Profit Cost"/>
    <s v="DS"/>
    <s v="Y"/>
    <n v="36.8"/>
    <n v="7.36"/>
    <x v="6"/>
    <s v="VALIDATED"/>
    <n v="1"/>
    <s v="01.11.80.308.6100.0000"/>
    <n v="36.8"/>
    <s v="11"/>
    <s v="6100"/>
    <n v="53101.42"/>
    <n v="36.8"/>
    <s v="CREDITOR"/>
    <n v="0"/>
    <n v="0"/>
    <n v="0"/>
    <n v="0"/>
    <n v="36.8"/>
  </r>
  <r>
    <n v="60330198"/>
    <s v="N"/>
    <n v="21330923"/>
    <s v="3000014627810013"/>
    <s v="CIVIL"/>
    <d v="2023-06-19T00:00:00"/>
    <d v="2023-07-05T19:01:47"/>
    <m/>
    <d v="2023-07-05T00:00:00"/>
    <n v="1105"/>
    <n v="18230"/>
    <s v="60330198"/>
    <s v="60330198"/>
    <m/>
    <m/>
    <n v="22717396"/>
    <m/>
    <m/>
    <m/>
    <s v="SOLFIN"/>
    <s v="SOLFIN"/>
    <s v="CCMS"/>
    <n v="21330923"/>
    <n v="28516.42"/>
    <m/>
    <s v="N"/>
    <n v="104"/>
    <d v="2023-07-05T19:01:57"/>
    <s v="Y"/>
    <s v="Preparation - other"/>
    <s v="Care Remuneration Hourly Rates"/>
    <s v="Profit Cost"/>
    <s v="DS"/>
    <s v="Y"/>
    <n v="52.57"/>
    <n v="10.51"/>
    <x v="6"/>
    <s v="VALIDATED"/>
    <n v="1"/>
    <s v="01.11.80.308.6100.0000"/>
    <n v="52.57"/>
    <s v="11"/>
    <s v="6100"/>
    <n v="53101.42"/>
    <n v="52.57"/>
    <s v="CREDITOR"/>
    <n v="0"/>
    <n v="0"/>
    <n v="0"/>
    <n v="0"/>
    <n v="52.57"/>
  </r>
  <r>
    <n v="60147697"/>
    <s v="N"/>
    <n v="21328671"/>
    <s v="3000014472360014RC"/>
    <s v="CIVIL"/>
    <d v="2023-06-30T00:00:00"/>
    <d v="2023-07-04T19:38:21"/>
    <m/>
    <d v="2023-07-04T00:00:00"/>
    <n v="1105"/>
    <n v="18230"/>
    <s v="60147697"/>
    <s v="60147697"/>
    <m/>
    <m/>
    <m/>
    <m/>
    <m/>
    <m/>
    <s v="SOLRECOUP"/>
    <s v="SOLRECOUP"/>
    <s v="POARECOUP"/>
    <n v="21328671"/>
    <n v="-54.2"/>
    <m/>
    <s v="Y"/>
    <n v="2"/>
    <d v="2023-07-04T19:38:22"/>
    <s v="N"/>
    <m/>
    <m/>
    <s v="Non Expert Disbursement"/>
    <m/>
    <s v="N"/>
    <n v="0"/>
    <n v="0"/>
    <x v="1"/>
    <s v="VALIDATED"/>
    <n v="1"/>
    <s v="01.11.80.000.0000.0000"/>
    <n v="0"/>
    <s v="11"/>
    <s v="0000"/>
    <n v="53101.42"/>
    <n v="0"/>
    <s v="CREDITOR"/>
    <n v="0"/>
    <n v="0"/>
    <n v="0"/>
    <n v="0"/>
    <n v="0"/>
  </r>
  <r>
    <n v="60147697"/>
    <s v="N"/>
    <n v="21328672"/>
    <s v="3000014472360018RC"/>
    <s v="CIVIL"/>
    <d v="2023-06-30T00:00:00"/>
    <d v="2023-07-04T19:38:21"/>
    <m/>
    <d v="2023-07-04T00:00:00"/>
    <n v="1105"/>
    <n v="18230"/>
    <s v="60147697"/>
    <s v="60147697"/>
    <m/>
    <m/>
    <m/>
    <m/>
    <m/>
    <m/>
    <s v="SOLRECOUP"/>
    <s v="SOLRECOUP"/>
    <s v="POARECOUP"/>
    <n v="21328672"/>
    <n v="-615.6"/>
    <m/>
    <s v="Y"/>
    <n v="1"/>
    <d v="2023-07-04T19:38:22"/>
    <s v="N"/>
    <m/>
    <m/>
    <s v="Expert Disbursement"/>
    <m/>
    <s v="N"/>
    <n v="-513"/>
    <n v="0"/>
    <x v="1"/>
    <s v="VALIDATED"/>
    <n v="1"/>
    <s v="01.11.80.308.2013.0000"/>
    <n v="-513"/>
    <s v="11"/>
    <s v="2013"/>
    <n v="53101.42"/>
    <n v="-513"/>
    <s v="CREDITOR"/>
    <n v="0"/>
    <n v="0"/>
    <n v="-513"/>
    <n v="0"/>
    <n v="0"/>
  </r>
  <r>
    <n v="60147697"/>
    <s v="N"/>
    <n v="21328672"/>
    <s v="3000014472360018RC"/>
    <s v="CIVIL"/>
    <d v="2023-06-30T00:00:00"/>
    <d v="2023-07-04T19:38:21"/>
    <m/>
    <d v="2023-07-04T00:00:00"/>
    <n v="1105"/>
    <n v="18230"/>
    <s v="60147697"/>
    <s v="60147697"/>
    <m/>
    <m/>
    <m/>
    <m/>
    <m/>
    <m/>
    <s v="SOLRECOUP"/>
    <s v="SOLRECOUP"/>
    <s v="POARECOUP"/>
    <n v="21328672"/>
    <n v="-615.6"/>
    <m/>
    <s v="Y"/>
    <n v="2"/>
    <d v="2023-07-04T19:38:22"/>
    <s v="N"/>
    <m/>
    <m/>
    <s v="Expert Disbursement"/>
    <m/>
    <s v="N"/>
    <n v="0"/>
    <n v="-102.6"/>
    <x v="1"/>
    <s v="VALIDATED"/>
    <n v="1"/>
    <s v="01.11.80.308.2013.0000"/>
    <n v="-102.6"/>
    <s v="11"/>
    <s v="2013"/>
    <n v="53101.42"/>
    <n v="-102.6"/>
    <s v="CREDITOR"/>
    <n v="0"/>
    <n v="0"/>
    <n v="-102.6"/>
    <n v="0"/>
    <n v="0"/>
  </r>
  <r>
    <n v="60147697"/>
    <s v="N"/>
    <n v="21328673"/>
    <s v="3000014472360019RC"/>
    <s v="CIVIL"/>
    <d v="2023-06-30T00:00:00"/>
    <d v="2023-07-04T19:38:21"/>
    <m/>
    <d v="2023-07-04T00:00:00"/>
    <n v="1105"/>
    <n v="18230"/>
    <s v="60147697"/>
    <s v="60147697"/>
    <m/>
    <m/>
    <m/>
    <m/>
    <m/>
    <m/>
    <s v="SOLRECOUP"/>
    <s v="SOLRECOUP"/>
    <s v="POARECOUP"/>
    <n v="21328673"/>
    <n v="-129.6"/>
    <m/>
    <s v="Y"/>
    <n v="1"/>
    <d v="2023-07-04T19:38:22"/>
    <s v="N"/>
    <m/>
    <m/>
    <s v="Expert Disbursement"/>
    <m/>
    <s v="N"/>
    <n v="-108"/>
    <n v="0"/>
    <x v="1"/>
    <s v="VALIDATED"/>
    <n v="1"/>
    <s v="01.11.80.308.2013.0000"/>
    <n v="-108"/>
    <s v="11"/>
    <s v="2013"/>
    <n v="53101.42"/>
    <n v="-108"/>
    <s v="CREDITOR"/>
    <n v="0"/>
    <n v="0"/>
    <n v="-108"/>
    <n v="0"/>
    <n v="0"/>
  </r>
  <r>
    <n v="60147697"/>
    <s v="N"/>
    <n v="21328673"/>
    <s v="3000014472360019RC"/>
    <s v="CIVIL"/>
    <d v="2023-06-30T00:00:00"/>
    <d v="2023-07-04T19:38:21"/>
    <m/>
    <d v="2023-07-04T00:00:00"/>
    <n v="1105"/>
    <n v="18230"/>
    <s v="60147697"/>
    <s v="60147697"/>
    <m/>
    <m/>
    <m/>
    <m/>
    <m/>
    <m/>
    <s v="SOLRECOUP"/>
    <s v="SOLRECOUP"/>
    <s v="POARECOUP"/>
    <n v="21328673"/>
    <n v="-129.6"/>
    <m/>
    <s v="Y"/>
    <n v="2"/>
    <d v="2023-07-04T19:38:22"/>
    <s v="N"/>
    <m/>
    <m/>
    <s v="Expert Disbursement"/>
    <m/>
    <s v="N"/>
    <n v="0"/>
    <n v="-21.6"/>
    <x v="1"/>
    <s v="VALIDATED"/>
    <n v="1"/>
    <s v="01.11.80.308.2013.0000"/>
    <n v="-21.6"/>
    <s v="11"/>
    <s v="2013"/>
    <n v="53101.42"/>
    <n v="-21.6"/>
    <s v="CREDITOR"/>
    <n v="0"/>
    <n v="0"/>
    <n v="-21.6"/>
    <n v="0"/>
    <n v="0"/>
  </r>
  <r>
    <n v="60147697"/>
    <s v="N"/>
    <n v="21328674"/>
    <s v="3000014472360013RC"/>
    <s v="CIVIL"/>
    <d v="2023-06-30T00:00:00"/>
    <d v="2023-07-04T19:38:21"/>
    <m/>
    <d v="2023-07-04T00:00:00"/>
    <n v="1105"/>
    <n v="18230"/>
    <s v="60147697"/>
    <s v="60147697"/>
    <m/>
    <m/>
    <m/>
    <m/>
    <m/>
    <m/>
    <s v="SOLRECOUP"/>
    <s v="SOLRECOUP"/>
    <s v="POARECOUP"/>
    <n v="21328674"/>
    <n v="-114.4"/>
    <m/>
    <s v="Y"/>
    <n v="1"/>
    <d v="2023-07-04T19:38:22"/>
    <s v="N"/>
    <m/>
    <m/>
    <s v="Non Expert Disbursement"/>
    <m/>
    <s v="N"/>
    <n v="-114.4"/>
    <n v="0"/>
    <x v="1"/>
    <s v="VALIDATED"/>
    <n v="1"/>
    <s v="01.11.80.308.2013.0000"/>
    <n v="-114.4"/>
    <s v="11"/>
    <s v="2013"/>
    <n v="53101.42"/>
    <n v="-114.4"/>
    <s v="CREDITOR"/>
    <n v="0"/>
    <n v="0"/>
    <n v="-114.4"/>
    <n v="0"/>
    <n v="0"/>
  </r>
  <r>
    <n v="60147697"/>
    <s v="N"/>
    <n v="21328674"/>
    <s v="3000014472360013RC"/>
    <s v="CIVIL"/>
    <d v="2023-06-30T00:00:00"/>
    <d v="2023-07-04T19:38:21"/>
    <m/>
    <d v="2023-07-04T00:00:00"/>
    <n v="1105"/>
    <n v="18230"/>
    <s v="60147697"/>
    <s v="60147697"/>
    <m/>
    <m/>
    <m/>
    <m/>
    <m/>
    <m/>
    <s v="SOLRECOUP"/>
    <s v="SOLRECOUP"/>
    <s v="POARECOUP"/>
    <n v="21328674"/>
    <n v="-114.4"/>
    <m/>
    <s v="Y"/>
    <n v="2"/>
    <d v="2023-07-04T19:38:22"/>
    <s v="N"/>
    <m/>
    <m/>
    <s v="Non Expert Disbursement"/>
    <m/>
    <s v="N"/>
    <n v="0"/>
    <n v="0"/>
    <x v="1"/>
    <s v="VALIDATED"/>
    <n v="1"/>
    <s v="01.11.80.000.0000.0000"/>
    <n v="0"/>
    <s v="11"/>
    <s v="0000"/>
    <n v="53101.42"/>
    <n v="0"/>
    <s v="CREDITOR"/>
    <n v="0"/>
    <n v="0"/>
    <n v="0"/>
    <n v="0"/>
    <n v="0"/>
  </r>
  <r>
    <n v="60147697"/>
    <s v="N"/>
    <n v="21328675"/>
    <s v="3000014472360015RC"/>
    <s v="CIVIL"/>
    <d v="2023-06-30T00:00:00"/>
    <d v="2023-07-04T19:38:21"/>
    <m/>
    <d v="2023-07-04T00:00:00"/>
    <n v="1105"/>
    <n v="18230"/>
    <s v="60147697"/>
    <s v="60147697"/>
    <m/>
    <m/>
    <m/>
    <m/>
    <m/>
    <m/>
    <s v="SOLRECOUP"/>
    <s v="SOLRECOUP"/>
    <s v="POARECOUP"/>
    <n v="21328675"/>
    <n v="-256.5"/>
    <m/>
    <s v="Y"/>
    <n v="1"/>
    <d v="2023-07-04T19:38:22"/>
    <s v="N"/>
    <m/>
    <m/>
    <s v="Expert Disbursement"/>
    <m/>
    <s v="N"/>
    <n v="-213.75"/>
    <n v="0"/>
    <x v="1"/>
    <s v="VALIDATED"/>
    <n v="1"/>
    <s v="01.11.80.308.2013.0000"/>
    <n v="-213.75"/>
    <s v="11"/>
    <s v="2013"/>
    <n v="53101.42"/>
    <n v="-213.75"/>
    <s v="CREDITOR"/>
    <n v="0"/>
    <n v="0"/>
    <n v="-213.75"/>
    <n v="0"/>
    <n v="0"/>
  </r>
  <r>
    <n v="60147697"/>
    <s v="N"/>
    <n v="21328675"/>
    <s v="3000014472360015RC"/>
    <s v="CIVIL"/>
    <d v="2023-06-30T00:00:00"/>
    <d v="2023-07-04T19:38:21"/>
    <m/>
    <d v="2023-07-04T00:00:00"/>
    <n v="1105"/>
    <n v="18230"/>
    <s v="60147697"/>
    <s v="60147697"/>
    <m/>
    <m/>
    <m/>
    <m/>
    <m/>
    <m/>
    <s v="SOLRECOUP"/>
    <s v="SOLRECOUP"/>
    <s v="POARECOUP"/>
    <n v="21328675"/>
    <n v="-256.5"/>
    <m/>
    <s v="Y"/>
    <n v="2"/>
    <d v="2023-07-04T19:38:22"/>
    <s v="N"/>
    <m/>
    <m/>
    <s v="Expert Disbursement"/>
    <m/>
    <s v="N"/>
    <n v="0"/>
    <n v="-42.75"/>
    <x v="1"/>
    <s v="VALIDATED"/>
    <n v="1"/>
    <s v="01.11.80.308.2013.0000"/>
    <n v="-42.75"/>
    <s v="11"/>
    <s v="2013"/>
    <n v="53101.42"/>
    <n v="-42.75"/>
    <s v="CREDITOR"/>
    <n v="0"/>
    <n v="0"/>
    <n v="-42.75"/>
    <n v="0"/>
    <n v="0"/>
  </r>
  <r>
    <n v="60147697"/>
    <s v="N"/>
    <n v="21328676"/>
    <s v="3000014472360016RC"/>
    <s v="CIVIL"/>
    <d v="2023-06-30T00:00:00"/>
    <d v="2023-07-04T19:38:21"/>
    <m/>
    <d v="2023-07-04T00:00:00"/>
    <n v="1105"/>
    <n v="18230"/>
    <s v="60147697"/>
    <s v="60147697"/>
    <m/>
    <m/>
    <m/>
    <m/>
    <m/>
    <m/>
    <s v="SOLRECOUP"/>
    <s v="SOLRECOUP"/>
    <s v="POARECOUP"/>
    <n v="21328676"/>
    <n v="-205.2"/>
    <m/>
    <s v="Y"/>
    <n v="1"/>
    <d v="2023-07-04T19:38:22"/>
    <s v="N"/>
    <m/>
    <m/>
    <s v="Expert Disbursement"/>
    <m/>
    <s v="N"/>
    <n v="-171"/>
    <n v="0"/>
    <x v="1"/>
    <s v="VALIDATED"/>
    <n v="1"/>
    <s v="01.11.80.308.2013.0000"/>
    <n v="-171"/>
    <s v="11"/>
    <s v="2013"/>
    <n v="53101.42"/>
    <n v="-171"/>
    <s v="CREDITOR"/>
    <n v="0"/>
    <n v="0"/>
    <n v="-171"/>
    <n v="0"/>
    <n v="0"/>
  </r>
  <r>
    <n v="60147697"/>
    <s v="N"/>
    <n v="21328676"/>
    <s v="3000014472360016RC"/>
    <s v="CIVIL"/>
    <d v="2023-06-30T00:00:00"/>
    <d v="2023-07-04T19:38:21"/>
    <m/>
    <d v="2023-07-04T00:00:00"/>
    <n v="1105"/>
    <n v="18230"/>
    <s v="60147697"/>
    <s v="60147697"/>
    <m/>
    <m/>
    <m/>
    <m/>
    <m/>
    <m/>
    <s v="SOLRECOUP"/>
    <s v="SOLRECOUP"/>
    <s v="POARECOUP"/>
    <n v="21328676"/>
    <n v="-205.2"/>
    <m/>
    <s v="Y"/>
    <n v="2"/>
    <d v="2023-07-04T19:38:22"/>
    <s v="N"/>
    <m/>
    <m/>
    <s v="Expert Disbursement"/>
    <m/>
    <s v="N"/>
    <n v="0"/>
    <n v="-34.2"/>
    <x v="1"/>
    <s v="VALIDATED"/>
    <n v="1"/>
    <s v="01.11.80.308.2013.0000"/>
    <n v="-34.2"/>
    <s v="11"/>
    <s v="2013"/>
    <n v="53101.42"/>
    <n v="-34.2"/>
    <s v="CREDITOR"/>
    <n v="0"/>
    <n v="0"/>
    <n v="-34.2"/>
    <n v="0"/>
    <n v="0"/>
  </r>
  <r>
    <n v="60330198"/>
    <s v="N"/>
    <n v="21333836"/>
    <s v="3000014627810008RC"/>
    <s v="CIVIL"/>
    <d v="2023-06-19T00:00:00"/>
    <d v="2023-07-05T19:42:28"/>
    <m/>
    <d v="2023-07-05T00:00:00"/>
    <n v="1105"/>
    <n v="18230"/>
    <s v="60330198"/>
    <s v="60330198"/>
    <m/>
    <m/>
    <m/>
    <m/>
    <m/>
    <m/>
    <s v="SOLRECOUP"/>
    <s v="SOLRECOUP"/>
    <s v="POARECOUP"/>
    <n v="21333836"/>
    <n v="-122.4"/>
    <m/>
    <s v="Y"/>
    <n v="2"/>
    <d v="2023-07-05T19:42:29"/>
    <s v="N"/>
    <m/>
    <m/>
    <s v="Expert Disbursement"/>
    <m/>
    <s v="N"/>
    <n v="0"/>
    <n v="-20.4"/>
    <x v="6"/>
    <s v="VALIDATED"/>
    <n v="1"/>
    <s v="01.11.80.308.2013.0000"/>
    <n v="-20.4"/>
    <s v="11"/>
    <s v="2013"/>
    <n v="53101.42"/>
    <n v="-20.4"/>
    <s v="CREDITOR"/>
    <n v="0"/>
    <n v="0"/>
    <n v="-20.4"/>
    <n v="0"/>
    <n v="0"/>
  </r>
  <r>
    <n v="60330198"/>
    <s v="N"/>
    <n v="21333837"/>
    <s v="3000014627810012RC"/>
    <s v="CIVIL"/>
    <d v="2023-06-19T00:00:00"/>
    <d v="2023-07-05T19:42:28"/>
    <m/>
    <d v="2023-07-05T00:00:00"/>
    <n v="1105"/>
    <n v="18230"/>
    <s v="60330198"/>
    <s v="60330198"/>
    <m/>
    <m/>
    <m/>
    <m/>
    <m/>
    <m/>
    <s v="SOLRECOUP"/>
    <s v="SOLRECOUP"/>
    <s v="POARECOUP"/>
    <n v="21333837"/>
    <n v="-365"/>
    <m/>
    <s v="Y"/>
    <n v="1"/>
    <d v="2023-07-05T19:42:29"/>
    <s v="N"/>
    <m/>
    <m/>
    <s v="Non Expert Disbursement"/>
    <m/>
    <s v="N"/>
    <n v="-365"/>
    <n v="0"/>
    <x v="6"/>
    <s v="VALIDATED"/>
    <n v="1"/>
    <s v="01.11.80.308.2013.0000"/>
    <n v="-365"/>
    <s v="11"/>
    <s v="2013"/>
    <n v="53101.42"/>
    <n v="-365"/>
    <s v="CREDITOR"/>
    <n v="0"/>
    <n v="0"/>
    <n v="-365"/>
    <n v="0"/>
    <n v="0"/>
  </r>
  <r>
    <n v="60330198"/>
    <s v="N"/>
    <n v="21330923"/>
    <s v="3000014627810013"/>
    <s v="CIVIL"/>
    <d v="2023-06-19T00:00:00"/>
    <d v="2023-07-05T19:01:47"/>
    <m/>
    <d v="2023-07-05T00:00:00"/>
    <n v="1105"/>
    <n v="18230"/>
    <s v="60330198"/>
    <s v="60330198"/>
    <m/>
    <m/>
    <n v="22717396"/>
    <m/>
    <m/>
    <m/>
    <s v="SOLFIN"/>
    <s v="SOLFIN"/>
    <s v="CCMS"/>
    <n v="21330923"/>
    <n v="28516.42"/>
    <m/>
    <s v="N"/>
    <n v="5"/>
    <d v="2023-07-05T19:01:57"/>
    <s v="N"/>
    <s v="GP (records report)"/>
    <s v="Public Law Children"/>
    <s v="Expert Disbursement"/>
    <s v="DS"/>
    <s v="N"/>
    <n v="50.4"/>
    <n v="0"/>
    <x v="6"/>
    <s v="VALIDATED"/>
    <n v="1"/>
    <s v="01.11.80.308.6300.0000"/>
    <n v="50.4"/>
    <s v="11"/>
    <s v="6300"/>
    <n v="53101.42"/>
    <n v="50.4"/>
    <s v="CREDITOR"/>
    <n v="0"/>
    <n v="0"/>
    <n v="0"/>
    <n v="0"/>
    <n v="50.4"/>
  </r>
  <r>
    <n v="60330198"/>
    <s v="N"/>
    <n v="21330923"/>
    <s v="3000014627810013"/>
    <s v="CIVIL"/>
    <d v="2023-06-19T00:00:00"/>
    <d v="2023-07-05T19:01:47"/>
    <m/>
    <d v="2023-07-05T00:00:00"/>
    <n v="1105"/>
    <n v="18230"/>
    <s v="60330198"/>
    <s v="60330198"/>
    <m/>
    <m/>
    <n v="22717396"/>
    <m/>
    <m/>
    <m/>
    <s v="SOLFIN"/>
    <s v="SOLFIN"/>
    <s v="CCMS"/>
    <n v="21330923"/>
    <n v="28516.42"/>
    <m/>
    <s v="N"/>
    <n v="133"/>
    <d v="2023-07-05T19:01:57"/>
    <s v="Y"/>
    <s v="Preparation - drafting attendance n"/>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23"/>
    <d v="2023-07-05T19:01:57"/>
    <s v="Y"/>
    <s v="Preparation - other"/>
    <s v="Care Remuneration Hourly Rates"/>
    <s v="Profit Cost"/>
    <s v="DS"/>
    <s v="Y"/>
    <n v="31.54"/>
    <n v="6.31"/>
    <x v="6"/>
    <s v="VALIDATED"/>
    <n v="1"/>
    <s v="01.11.80.308.6100.0000"/>
    <n v="31.54"/>
    <s v="11"/>
    <s v="6100"/>
    <n v="53101.42"/>
    <n v="31.54"/>
    <s v="CREDITOR"/>
    <n v="0"/>
    <n v="0"/>
    <n v="0"/>
    <n v="0"/>
    <n v="31.54"/>
  </r>
  <r>
    <n v="61692826"/>
    <s v="N"/>
    <n v="21338513"/>
    <s v="3000015781560013"/>
    <s v="CIVIL"/>
    <d v="2023-06-28T00:00:00"/>
    <d v="2023-07-06T19:21:01"/>
    <m/>
    <d v="2023-07-06T00:00:00"/>
    <n v="1105"/>
    <n v="18230"/>
    <s v="61692826"/>
    <s v="61692826"/>
    <m/>
    <m/>
    <n v="22778096"/>
    <m/>
    <m/>
    <m/>
    <s v="SOLFIN"/>
    <s v="SOLFIN"/>
    <s v="CCMS"/>
    <n v="21338513"/>
    <n v="4218.91"/>
    <m/>
    <s v="N"/>
    <n v="25"/>
    <d v="2023-07-06T19:21:27"/>
    <s v="Y"/>
    <s v="Preparation - other"/>
    <s v="Prescribed Hourly Rates"/>
    <s v="Profit Cost"/>
    <s v="ES"/>
    <s v="Y"/>
    <n v="10.98"/>
    <n v="2.2"/>
    <x v="4"/>
    <s v="VALIDATED"/>
    <n v="1"/>
    <s v="01.11.80.307.6100.0000"/>
    <n v="10.98"/>
    <s v="11"/>
    <s v="6100"/>
    <n v="53101.42"/>
    <n v="10.98"/>
    <s v="CREDITOR"/>
    <n v="0"/>
    <n v="0"/>
    <n v="0"/>
    <n v="0"/>
    <n v="10.98"/>
  </r>
  <r>
    <n v="60330198"/>
    <s v="N"/>
    <n v="21330923"/>
    <s v="3000014627810013"/>
    <s v="CIVIL"/>
    <d v="2023-06-19T00:00:00"/>
    <d v="2023-07-05T19:01:47"/>
    <m/>
    <d v="2023-07-05T00:00:00"/>
    <n v="1105"/>
    <n v="18230"/>
    <s v="60330198"/>
    <s v="60330198"/>
    <m/>
    <m/>
    <n v="22717396"/>
    <m/>
    <m/>
    <m/>
    <s v="SOLFIN"/>
    <s v="SOLFIN"/>
    <s v="CCMS"/>
    <n v="21330923"/>
    <n v="28516.42"/>
    <m/>
    <s v="N"/>
    <n v="70"/>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98"/>
    <d v="2023-07-05T19:01:57"/>
    <s v="Y"/>
    <s v="Preparation - other"/>
    <s v="Care Remuneration Hourly Rates"/>
    <s v="Profit Cost"/>
    <s v="DS"/>
    <s v="Y"/>
    <n v="10.51"/>
    <n v="2.1"/>
    <x v="6"/>
    <s v="VALIDATED"/>
    <n v="1"/>
    <s v="01.11.80.308.6100.0000"/>
    <n v="10.51"/>
    <s v="11"/>
    <s v="6100"/>
    <n v="53101.42"/>
    <n v="10.51"/>
    <s v="CREDITOR"/>
    <n v="0"/>
    <n v="0"/>
    <n v="0"/>
    <n v="0"/>
    <n v="10.51"/>
  </r>
  <r>
    <n v="60147697"/>
    <s v="N"/>
    <n v="21328215"/>
    <s v="3000014472360032"/>
    <s v="CIVIL"/>
    <d v="2023-06-30T00:00:00"/>
    <d v="2023-07-04T19:00:44"/>
    <m/>
    <d v="2023-07-04T00:00:00"/>
    <n v="1105"/>
    <n v="18230"/>
    <s v="60147697"/>
    <s v="60147697"/>
    <m/>
    <m/>
    <n v="22795380"/>
    <m/>
    <m/>
    <m/>
    <s v="SOLFIN"/>
    <s v="SOLFIN"/>
    <s v="CCMS"/>
    <n v="21328215"/>
    <n v="32839.17"/>
    <m/>
    <s v="N"/>
    <n v="19"/>
    <d v="2023-07-04T19:01:08"/>
    <s v="Y"/>
    <s v="Finding-of-Fact Hearing (Events Mod"/>
    <s v="VHCC"/>
    <s v="Profit Cost"/>
    <s v="SB"/>
    <s v="Y"/>
    <n v="900"/>
    <n v="180"/>
    <x v="1"/>
    <s v="VALIDATED"/>
    <n v="1"/>
    <s v="01.11.80.308.6100.0000"/>
    <n v="900"/>
    <s v="11"/>
    <s v="6100"/>
    <n v="53101.42"/>
    <n v="900"/>
    <s v="CREDITOR"/>
    <n v="0"/>
    <n v="0"/>
    <n v="0"/>
    <n v="0"/>
    <n v="900"/>
  </r>
  <r>
    <n v="61224631"/>
    <s v="N"/>
    <n v="21321581"/>
    <s v="3000015395640011"/>
    <s v="CIVIL"/>
    <d v="2023-06-29T00:00:00"/>
    <d v="2023-07-03T19:05:17"/>
    <m/>
    <d v="2023-07-03T00:00:00"/>
    <n v="1105"/>
    <n v="18230"/>
    <s v="61224631"/>
    <s v="61224631"/>
    <m/>
    <m/>
    <n v="22786342"/>
    <m/>
    <m/>
    <m/>
    <s v="SOLPOA"/>
    <s v="SOLPOA"/>
    <s v="CCMS"/>
    <n v="21321581"/>
    <n v="191.6"/>
    <m/>
    <s v="N"/>
    <n v="1"/>
    <d v="2023-07-03T19:05:19"/>
    <s v="N"/>
    <s v="Non Expert Disbursement"/>
    <s v="Non Expert Disbursement"/>
    <s v="Non Expert Disbursement"/>
    <s v="Ellie Satterthwaite"/>
    <s v="N"/>
    <n v="159.67"/>
    <n v="31.93"/>
    <x v="3"/>
    <s v="VALIDATED"/>
    <n v="1"/>
    <s v="01.11.80.308.2012.0000"/>
    <n v="159.67"/>
    <s v="11"/>
    <s v="2012"/>
    <n v="53101.42"/>
    <n v="159.67"/>
    <s v="CREDITOR"/>
    <n v="159.67"/>
    <n v="0"/>
    <n v="0"/>
    <n v="0"/>
    <n v="0"/>
  </r>
  <r>
    <n v="62193958"/>
    <s v="N"/>
    <n v="21321772"/>
    <s v="3000016194760001"/>
    <s v="CIVIL"/>
    <d v="2023-06-29T00:00:00"/>
    <d v="2023-07-03T19:05:17"/>
    <m/>
    <d v="2023-07-03T00:00:00"/>
    <n v="1105"/>
    <n v="18230"/>
    <s v="62193958"/>
    <s v="62193958"/>
    <m/>
    <m/>
    <n v="22785176"/>
    <m/>
    <m/>
    <m/>
    <s v="SOLPOA"/>
    <s v="SOLPOA"/>
    <s v="CCMS"/>
    <n v="21321772"/>
    <n v="167"/>
    <m/>
    <s v="N"/>
    <n v="1"/>
    <d v="2023-07-03T19:05:20"/>
    <s v="N"/>
    <s v="Non Expert Disbursement"/>
    <s v="Non Expert Disbursement"/>
    <s v="Non Expert Disbursement"/>
    <s v="Indiya Kainth"/>
    <s v="N"/>
    <n v="167"/>
    <n v="0"/>
    <x v="3"/>
    <s v="VALIDATED"/>
    <n v="1"/>
    <s v="01.11.80.305.2012.0000"/>
    <n v="167"/>
    <s v="11"/>
    <s v="2012"/>
    <n v="53101.42"/>
    <n v="167"/>
    <s v="CREDITOR"/>
    <n v="167"/>
    <n v="0"/>
    <n v="0"/>
    <n v="0"/>
    <n v="0"/>
  </r>
  <r>
    <n v="60330198"/>
    <s v="N"/>
    <n v="21330923"/>
    <s v="3000014627810013"/>
    <s v="CIVIL"/>
    <d v="2023-06-19T00:00:00"/>
    <d v="2023-07-05T19:01:47"/>
    <m/>
    <d v="2023-07-05T00:00:00"/>
    <n v="1105"/>
    <n v="18230"/>
    <s v="60330198"/>
    <s v="60330198"/>
    <m/>
    <m/>
    <n v="22717396"/>
    <m/>
    <m/>
    <m/>
    <s v="SOLFIN"/>
    <s v="SOLFIN"/>
    <s v="CCMS"/>
    <n v="21330923"/>
    <n v="28516.42"/>
    <m/>
    <s v="N"/>
    <n v="33"/>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54"/>
    <d v="2023-07-05T19:01:57"/>
    <s v="Y"/>
    <s v="Advocates Meeting"/>
    <s v="Public Law Children"/>
    <s v="Advocacy"/>
    <s v="BJF"/>
    <s v="Y"/>
    <n v="140.99"/>
    <n v="28.2"/>
    <x v="6"/>
    <s v="VALIDATED"/>
    <n v="1"/>
    <s v="01.11.80.308.6100.0000"/>
    <n v="140.99"/>
    <s v="11"/>
    <s v="6100"/>
    <n v="53101.42"/>
    <n v="140.99"/>
    <s v="CREDITOR"/>
    <n v="0"/>
    <n v="0"/>
    <n v="0"/>
    <n v="0"/>
    <n v="140.99"/>
  </r>
  <r>
    <n v="60330198"/>
    <s v="N"/>
    <n v="21330923"/>
    <s v="3000014627810013"/>
    <s v="CIVIL"/>
    <d v="2023-06-19T00:00:00"/>
    <d v="2023-07-05T19:01:47"/>
    <m/>
    <d v="2023-07-05T00:00:00"/>
    <n v="1105"/>
    <n v="18230"/>
    <s v="60330198"/>
    <s v="60330198"/>
    <m/>
    <m/>
    <n v="22717396"/>
    <m/>
    <m/>
    <m/>
    <s v="SOLFIN"/>
    <s v="SOLFIN"/>
    <s v="CCMS"/>
    <n v="21330923"/>
    <n v="28516.42"/>
    <m/>
    <s v="N"/>
    <n v="139"/>
    <d v="2023-07-05T19:01:57"/>
    <s v="Y"/>
    <s v="Preparation - other"/>
    <s v="Care Remuneration Hourly Rates"/>
    <s v="Profit Cost"/>
    <s v="DS"/>
    <s v="Y"/>
    <n v="15.77"/>
    <n v="3.15"/>
    <x v="6"/>
    <s v="VALIDATED"/>
    <n v="1"/>
    <s v="01.11.80.308.6100.0000"/>
    <n v="15.77"/>
    <s v="11"/>
    <s v="6100"/>
    <n v="53101.42"/>
    <n v="15.77"/>
    <s v="CREDITOR"/>
    <n v="0"/>
    <n v="0"/>
    <n v="0"/>
    <n v="0"/>
    <n v="15.77"/>
  </r>
  <r>
    <n v="60147697"/>
    <s v="N"/>
    <n v="21328215"/>
    <s v="3000014472360032"/>
    <s v="CIVIL"/>
    <d v="2023-06-30T00:00:00"/>
    <d v="2023-07-04T19:00:44"/>
    <m/>
    <d v="2023-07-04T00:00:00"/>
    <n v="1105"/>
    <n v="18230"/>
    <s v="60147697"/>
    <s v="60147697"/>
    <m/>
    <m/>
    <n v="22795380"/>
    <m/>
    <m/>
    <m/>
    <s v="SOLFIN"/>
    <s v="SOLFIN"/>
    <s v="CCMS"/>
    <n v="21328215"/>
    <n v="32839.17"/>
    <m/>
    <s v="N"/>
    <n v="8"/>
    <d v="2023-07-04T19:01:08"/>
    <s v="Y"/>
    <s v="Obstetrician"/>
    <s v="VHCC"/>
    <s v="Expert Disbursement"/>
    <s v="SB"/>
    <s v="Y"/>
    <n v="108"/>
    <n v="21.6"/>
    <x v="1"/>
    <s v="VALIDATED"/>
    <n v="1"/>
    <s v="01.11.80.308.6300.0000"/>
    <n v="108"/>
    <s v="11"/>
    <s v="6300"/>
    <n v="53101.42"/>
    <n v="108"/>
    <s v="CREDITOR"/>
    <n v="0"/>
    <n v="0"/>
    <n v="0"/>
    <n v="0"/>
    <n v="108"/>
  </r>
  <r>
    <n v="61692826"/>
    <s v="N"/>
    <n v="21338513"/>
    <s v="3000015781560013"/>
    <s v="CIVIL"/>
    <d v="2023-06-28T00:00:00"/>
    <d v="2023-07-06T19:21:01"/>
    <m/>
    <d v="2023-07-06T00:00:00"/>
    <n v="1105"/>
    <n v="18230"/>
    <s v="61692826"/>
    <s v="61692826"/>
    <m/>
    <m/>
    <n v="22778096"/>
    <m/>
    <m/>
    <m/>
    <s v="SOLFIN"/>
    <s v="SOLFIN"/>
    <s v="CCMS"/>
    <n v="21338513"/>
    <n v="4218.91"/>
    <m/>
    <s v="N"/>
    <n v="2"/>
    <d v="2023-07-06T19:21:27"/>
    <s v="Y"/>
    <s v="Preparation - other"/>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64"/>
    <d v="2023-07-06T19:21:27"/>
    <s v="Y"/>
    <s v="Interpreter"/>
    <s v="Private Law Children"/>
    <s v="Expert Disbursement"/>
    <s v="ES"/>
    <s v="Y"/>
    <n v="56"/>
    <n v="11.2"/>
    <x v="4"/>
    <s v="VALIDATED"/>
    <n v="1"/>
    <s v="01.11.80.307.6300.0000"/>
    <n v="56"/>
    <s v="11"/>
    <s v="6300"/>
    <n v="53101.42"/>
    <n v="56"/>
    <s v="CREDITOR"/>
    <n v="0"/>
    <n v="0"/>
    <n v="0"/>
    <n v="0"/>
    <n v="56"/>
  </r>
  <r>
    <n v="60330198"/>
    <s v="N"/>
    <n v="21330923"/>
    <s v="3000014627810013"/>
    <s v="CIVIL"/>
    <d v="2023-06-19T00:00:00"/>
    <d v="2023-07-05T19:01:47"/>
    <m/>
    <d v="2023-07-05T00:00:00"/>
    <n v="1105"/>
    <n v="18230"/>
    <s v="60330198"/>
    <s v="60330198"/>
    <m/>
    <m/>
    <n v="22717396"/>
    <m/>
    <m/>
    <m/>
    <s v="SOLFIN"/>
    <s v="SOLFIN"/>
    <s v="CCMS"/>
    <n v="21330923"/>
    <n v="28516.42"/>
    <m/>
    <s v="N"/>
    <n v="62"/>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02"/>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37"/>
    <d v="2023-07-05T19:01:57"/>
    <s v="Y"/>
    <s v="Preparation - other"/>
    <s v="Care Remuneration Hourly Rates"/>
    <s v="Profit Cost"/>
    <s v="DS"/>
    <s v="Y"/>
    <n v="21.03"/>
    <n v="4.21"/>
    <x v="6"/>
    <s v="VALIDATED"/>
    <n v="1"/>
    <s v="01.11.80.308.6100.0000"/>
    <n v="21.03"/>
    <s v="11"/>
    <s v="6100"/>
    <n v="53101.42"/>
    <n v="21.03"/>
    <s v="CREDITOR"/>
    <n v="0"/>
    <n v="0"/>
    <n v="0"/>
    <n v="0"/>
    <n v="21.03"/>
  </r>
  <r>
    <n v="61680485"/>
    <s v="N"/>
    <n v="21321205"/>
    <s v="3000015733280009"/>
    <s v="CIVIL"/>
    <d v="2023-06-29T00:00:00"/>
    <d v="2023-07-03T19:05:17"/>
    <m/>
    <d v="2023-07-03T00:00:00"/>
    <n v="1105"/>
    <n v="18230"/>
    <s v="61680485"/>
    <s v="61680485"/>
    <m/>
    <m/>
    <n v="22785240"/>
    <m/>
    <m/>
    <m/>
    <s v="SOLPOA"/>
    <s v="SOLPOA"/>
    <s v="CCMS"/>
    <n v="21321205"/>
    <n v="37.52"/>
    <m/>
    <s v="N"/>
    <n v="1"/>
    <d v="2023-07-03T19:05:17"/>
    <s v="N"/>
    <s v="Non Expert Disbursement"/>
    <s v="Non Expert Disbursement"/>
    <s v="Non Expert Disbursement"/>
    <s v="Sam Gallett"/>
    <s v="N"/>
    <n v="37.52"/>
    <n v="0"/>
    <x v="3"/>
    <s v="VALIDATED"/>
    <n v="1"/>
    <s v="01.11.80.305.2012.0000"/>
    <n v="37.52"/>
    <s v="11"/>
    <s v="2012"/>
    <n v="53101.42"/>
    <n v="37.52"/>
    <s v="CREDITOR"/>
    <n v="37.52"/>
    <n v="0"/>
    <n v="0"/>
    <n v="0"/>
    <n v="0"/>
  </r>
  <r>
    <n v="61692826"/>
    <s v="N"/>
    <n v="21338513"/>
    <s v="3000015781560013"/>
    <s v="CIVIL"/>
    <d v="2023-06-28T00:00:00"/>
    <d v="2023-07-06T19:21:01"/>
    <m/>
    <d v="2023-07-06T00:00:00"/>
    <n v="1105"/>
    <n v="18230"/>
    <s v="61692826"/>
    <s v="61692826"/>
    <m/>
    <m/>
    <n v="22778096"/>
    <m/>
    <m/>
    <m/>
    <s v="SOLFIN"/>
    <s v="SOLFIN"/>
    <s v="CCMS"/>
    <n v="21338513"/>
    <n v="4218.91"/>
    <m/>
    <s v="N"/>
    <n v="36"/>
    <d v="2023-07-06T19:21:27"/>
    <s v="Y"/>
    <s v="Preparation - drafting application"/>
    <s v="Prescribed Hourly Rates"/>
    <s v="Profit Cost"/>
    <s v="SG"/>
    <s v="Y"/>
    <n v="126.27"/>
    <n v="25.26"/>
    <x v="4"/>
    <s v="VALIDATED"/>
    <n v="1"/>
    <s v="01.11.80.307.6100.0000"/>
    <n v="126.27"/>
    <s v="11"/>
    <s v="6100"/>
    <n v="53101.42"/>
    <n v="126.27"/>
    <s v="CREDITOR"/>
    <n v="0"/>
    <n v="0"/>
    <n v="0"/>
    <n v="0"/>
    <n v="126.27"/>
  </r>
  <r>
    <n v="60330198"/>
    <s v="N"/>
    <n v="21330923"/>
    <s v="3000014627810013"/>
    <s v="CIVIL"/>
    <d v="2023-06-19T00:00:00"/>
    <d v="2023-07-05T19:01:47"/>
    <m/>
    <d v="2023-07-05T00:00:00"/>
    <n v="1105"/>
    <n v="18230"/>
    <s v="60330198"/>
    <s v="60330198"/>
    <m/>
    <m/>
    <n v="22717396"/>
    <m/>
    <m/>
    <m/>
    <s v="SOLFIN"/>
    <s v="SOLFIN"/>
    <s v="CCMS"/>
    <n v="21330923"/>
    <n v="28516.42"/>
    <m/>
    <s v="N"/>
    <n v="66"/>
    <d v="2023-07-05T19:01:57"/>
    <s v="Y"/>
    <s v="Preparation - other"/>
    <s v="Care Remuneration Hourly Rates"/>
    <s v="Profit Cost"/>
    <s v="DS"/>
    <s v="Y"/>
    <n v="31.54"/>
    <n v="6.31"/>
    <x v="6"/>
    <s v="VALIDATED"/>
    <n v="1"/>
    <s v="01.11.80.308.6100.0000"/>
    <n v="31.54"/>
    <s v="11"/>
    <s v="6100"/>
    <n v="53101.42"/>
    <n v="31.54"/>
    <s v="CREDITOR"/>
    <n v="0"/>
    <n v="0"/>
    <n v="0"/>
    <n v="0"/>
    <n v="31.54"/>
  </r>
  <r>
    <n v="60330198"/>
    <s v="N"/>
    <n v="21330923"/>
    <s v="3000014627810013"/>
    <s v="CIVIL"/>
    <d v="2023-06-19T00:00:00"/>
    <d v="2023-07-05T19:01:47"/>
    <m/>
    <d v="2023-07-05T00:00:00"/>
    <n v="1105"/>
    <n v="18230"/>
    <s v="60330198"/>
    <s v="60330198"/>
    <m/>
    <m/>
    <n v="22717396"/>
    <m/>
    <m/>
    <m/>
    <s v="SOLFIN"/>
    <s v="SOLFIN"/>
    <s v="CCMS"/>
    <n v="21330923"/>
    <n v="28516.42"/>
    <m/>
    <s v="N"/>
    <n v="153"/>
    <d v="2023-07-05T19:01:57"/>
    <s v="Y"/>
    <s v="Hearing Unit 2.31 - 5.00 Hours"/>
    <s v="Public Law Children"/>
    <s v="Advocacy"/>
    <s v="BJF"/>
    <s v="Y"/>
    <n v="476.92"/>
    <n v="95.38"/>
    <x v="6"/>
    <s v="VALIDATED"/>
    <n v="1"/>
    <s v="01.11.80.308.6100.0000"/>
    <n v="476.92"/>
    <s v="11"/>
    <s v="6100"/>
    <n v="53101.42"/>
    <n v="476.92"/>
    <s v="CREDITOR"/>
    <n v="0"/>
    <n v="0"/>
    <n v="0"/>
    <n v="0"/>
    <n v="476.92"/>
  </r>
  <r>
    <n v="60330198"/>
    <s v="N"/>
    <n v="21330923"/>
    <s v="3000014627810013"/>
    <s v="CIVIL"/>
    <d v="2023-06-19T00:00:00"/>
    <d v="2023-07-05T19:01:47"/>
    <m/>
    <d v="2023-07-05T00:00:00"/>
    <n v="1105"/>
    <n v="18230"/>
    <s v="60330198"/>
    <s v="60330198"/>
    <m/>
    <m/>
    <n v="22717396"/>
    <m/>
    <m/>
    <m/>
    <s v="SOLFIN"/>
    <s v="SOLFIN"/>
    <s v="CCMS"/>
    <n v="21330923"/>
    <n v="28516.42"/>
    <m/>
    <s v="N"/>
    <n v="39"/>
    <d v="2023-07-05T19:01:57"/>
    <s v="Y"/>
    <s v="Preparation - other"/>
    <s v="Care Remuneration Hourly Rates"/>
    <s v="Profit Cost"/>
    <s v="DS"/>
    <s v="Y"/>
    <n v="5.26"/>
    <n v="1.05"/>
    <x v="6"/>
    <s v="VALIDATED"/>
    <n v="1"/>
    <s v="01.11.80.308.6100.0000"/>
    <n v="5.26"/>
    <s v="11"/>
    <s v="6100"/>
    <n v="53101.42"/>
    <n v="5.26"/>
    <s v="CREDITOR"/>
    <n v="0"/>
    <n v="0"/>
    <n v="0"/>
    <n v="0"/>
    <n v="5.26"/>
  </r>
  <r>
    <n v="60147697"/>
    <s v="N"/>
    <n v="21328215"/>
    <s v="3000014472360032"/>
    <s v="CIVIL"/>
    <d v="2023-06-30T00:00:00"/>
    <d v="2023-07-04T19:00:44"/>
    <m/>
    <d v="2023-07-04T00:00:00"/>
    <n v="1105"/>
    <n v="18230"/>
    <s v="60147697"/>
    <s v="60147697"/>
    <m/>
    <m/>
    <n v="22795380"/>
    <m/>
    <m/>
    <m/>
    <s v="SOLFIN"/>
    <s v="SOLFIN"/>
    <s v="CCMS"/>
    <n v="21328215"/>
    <n v="32839.17"/>
    <m/>
    <s v="N"/>
    <n v="9"/>
    <d v="2023-07-04T19:01:08"/>
    <s v="Y"/>
    <s v="Obstetrician"/>
    <s v="VHCC"/>
    <s v="Expert Disbursement"/>
    <s v="SB"/>
    <s v="Y"/>
    <n v="243"/>
    <n v="48.6"/>
    <x v="1"/>
    <s v="VALIDATED"/>
    <n v="1"/>
    <s v="01.11.80.308.6300.0000"/>
    <n v="243"/>
    <s v="11"/>
    <s v="6300"/>
    <n v="53101.42"/>
    <n v="243"/>
    <s v="CREDITOR"/>
    <n v="0"/>
    <n v="0"/>
    <n v="0"/>
    <n v="0"/>
    <n v="243"/>
  </r>
  <r>
    <n v="60330198"/>
    <s v="N"/>
    <n v="21330923"/>
    <s v="3000014627810013"/>
    <s v="CIVIL"/>
    <d v="2023-06-19T00:00:00"/>
    <d v="2023-07-05T19:01:47"/>
    <m/>
    <d v="2023-07-05T00:00:00"/>
    <n v="1105"/>
    <n v="18230"/>
    <s v="60330198"/>
    <s v="60330198"/>
    <m/>
    <m/>
    <n v="22717396"/>
    <m/>
    <m/>
    <m/>
    <s v="SOLFIN"/>
    <s v="SOLFIN"/>
    <s v="CCMS"/>
    <n v="21330923"/>
    <n v="28516.42"/>
    <m/>
    <s v="N"/>
    <n v="65"/>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96"/>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56"/>
    <d v="2023-07-05T19:01:57"/>
    <s v="Y"/>
    <s v="Hearing Unit 2.31 - 5.00 Hours"/>
    <s v="Public Law Children"/>
    <s v="Advocacy"/>
    <s v="BJF"/>
    <s v="Y"/>
    <n v="476.92"/>
    <n v="95.38"/>
    <x v="6"/>
    <s v="VALIDATED"/>
    <n v="1"/>
    <s v="01.11.80.308.6100.0000"/>
    <n v="476.92"/>
    <s v="11"/>
    <s v="6100"/>
    <n v="53101.42"/>
    <n v="476.92"/>
    <s v="CREDITOR"/>
    <n v="0"/>
    <n v="0"/>
    <n v="0"/>
    <n v="0"/>
    <n v="476.92"/>
  </r>
  <r>
    <n v="60330198"/>
    <s v="N"/>
    <n v="21330923"/>
    <s v="3000014627810013"/>
    <s v="CIVIL"/>
    <d v="2023-06-19T00:00:00"/>
    <d v="2023-07-05T19:01:47"/>
    <m/>
    <d v="2023-07-05T00:00:00"/>
    <n v="1105"/>
    <n v="18230"/>
    <s v="60330198"/>
    <s v="60330198"/>
    <m/>
    <m/>
    <n v="22717396"/>
    <m/>
    <m/>
    <m/>
    <s v="SOLFIN"/>
    <s v="SOLFIN"/>
    <s v="CCMS"/>
    <n v="21330923"/>
    <n v="28516.42"/>
    <m/>
    <s v="N"/>
    <n v="91"/>
    <d v="2023-07-05T19:01:57"/>
    <s v="Y"/>
    <s v="Preparation - drafting attendance n"/>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00"/>
    <d v="2023-07-05T19:01:57"/>
    <s v="Y"/>
    <s v="Preparation - other"/>
    <s v="Care Remuneration Hourly Rates"/>
    <s v="Profit Cost"/>
    <s v="DS"/>
    <s v="Y"/>
    <n v="15.77"/>
    <n v="3.15"/>
    <x v="6"/>
    <s v="VALIDATED"/>
    <n v="1"/>
    <s v="01.11.80.308.6100.0000"/>
    <n v="15.77"/>
    <s v="11"/>
    <s v="6100"/>
    <n v="53101.42"/>
    <n v="15.77"/>
    <s v="CREDITOR"/>
    <n v="0"/>
    <n v="0"/>
    <n v="0"/>
    <n v="0"/>
    <n v="15.77"/>
  </r>
  <r>
    <n v="61680485"/>
    <s v="N"/>
    <n v="21321533"/>
    <s v="3000015733280010"/>
    <s v="CIVIL"/>
    <d v="2023-06-29T00:00:00"/>
    <d v="2023-07-03T19:05:17"/>
    <m/>
    <d v="2023-07-03T00:00:00"/>
    <n v="1105"/>
    <n v="18230"/>
    <s v="61680485"/>
    <s v="61680485"/>
    <m/>
    <m/>
    <n v="22785258"/>
    <m/>
    <m/>
    <m/>
    <s v="SOLPOA"/>
    <s v="SOLPOA"/>
    <s v="CCMS"/>
    <n v="21321533"/>
    <n v="332"/>
    <m/>
    <s v="N"/>
    <n v="1"/>
    <d v="2023-07-03T19:05:19"/>
    <s v="N"/>
    <s v="Non Expert Disbursement"/>
    <s v="Non Expert Disbursement"/>
    <s v="Non Expert Disbursement"/>
    <s v="Sam Gallett"/>
    <s v="N"/>
    <n v="332"/>
    <n v="0"/>
    <x v="3"/>
    <s v="VALIDATED"/>
    <n v="1"/>
    <s v="01.11.80.305.2012.0000"/>
    <n v="332"/>
    <s v="11"/>
    <s v="2012"/>
    <n v="53101.42"/>
    <n v="332"/>
    <s v="CREDITOR"/>
    <n v="332"/>
    <n v="0"/>
    <n v="0"/>
    <n v="0"/>
    <n v="0"/>
  </r>
  <r>
    <n v="60330198"/>
    <s v="N"/>
    <n v="21330923"/>
    <s v="3000014627810013"/>
    <s v="CIVIL"/>
    <d v="2023-06-19T00:00:00"/>
    <d v="2023-07-05T19:01:47"/>
    <m/>
    <d v="2023-07-05T00:00:00"/>
    <n v="1105"/>
    <n v="18230"/>
    <s v="60330198"/>
    <s v="60330198"/>
    <m/>
    <m/>
    <n v="22717396"/>
    <m/>
    <m/>
    <m/>
    <s v="SOLFIN"/>
    <s v="SOLFIN"/>
    <s v="CCMS"/>
    <n v="21330923"/>
    <n v="28516.42"/>
    <m/>
    <s v="N"/>
    <n v="105"/>
    <d v="2023-07-05T19:01:57"/>
    <s v="Y"/>
    <s v="Preparation - drafting attendance n"/>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99"/>
    <d v="2023-07-05T19:01:57"/>
    <s v="Y"/>
    <s v="Preparation - drafting attendance n"/>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
    <d v="2023-07-05T19:01:57"/>
    <s v="N"/>
    <s v="Final Hearing Court Bundle/Advocate"/>
    <s v="Public Law Children"/>
    <s v="Advocacy"/>
    <s v="BJF"/>
    <s v="N"/>
    <n v="318.6"/>
    <n v="63.72"/>
    <x v="6"/>
    <s v="VALIDATED"/>
    <n v="1"/>
    <s v="01.11.80.308.6100.0000"/>
    <n v="318.6"/>
    <s v="11"/>
    <s v="6100"/>
    <n v="53101.42"/>
    <n v="318.6"/>
    <s v="CREDITOR"/>
    <n v="0"/>
    <n v="0"/>
    <n v="0"/>
    <n v="0"/>
    <n v="318.6"/>
  </r>
  <r>
    <n v="60330198"/>
    <s v="N"/>
    <n v="21330923"/>
    <s v="3000014627810013"/>
    <s v="CIVIL"/>
    <d v="2023-06-19T00:00:00"/>
    <d v="2023-07-05T19:01:47"/>
    <m/>
    <d v="2023-07-05T00:00:00"/>
    <n v="1105"/>
    <n v="18230"/>
    <s v="60330198"/>
    <s v="60330198"/>
    <m/>
    <m/>
    <n v="22717396"/>
    <m/>
    <m/>
    <m/>
    <s v="SOLFIN"/>
    <s v="SOLFIN"/>
    <s v="CCMS"/>
    <n v="21330923"/>
    <n v="28516.42"/>
    <m/>
    <s v="N"/>
    <n v="52"/>
    <d v="2023-07-05T19:01:57"/>
    <s v="Y"/>
    <s v="Preparation - other"/>
    <s v="Care Remuneration Hourly Rates"/>
    <s v="Profit Cost"/>
    <s v="DS"/>
    <s v="Y"/>
    <n v="36.8"/>
    <n v="7.36"/>
    <x v="6"/>
    <s v="VALIDATED"/>
    <n v="1"/>
    <s v="01.11.80.308.6100.0000"/>
    <n v="36.8"/>
    <s v="11"/>
    <s v="6100"/>
    <n v="53101.42"/>
    <n v="36.8"/>
    <s v="CREDITOR"/>
    <n v="0"/>
    <n v="0"/>
    <n v="0"/>
    <n v="0"/>
    <n v="36.8"/>
  </r>
  <r>
    <n v="62075827"/>
    <s v="N"/>
    <n v="21321729"/>
    <s v="3000016105700005"/>
    <s v="CIVIL"/>
    <d v="2023-06-29T00:00:00"/>
    <d v="2023-07-03T19:05:17"/>
    <m/>
    <d v="2023-07-03T00:00:00"/>
    <n v="1105"/>
    <n v="18230"/>
    <s v="62075827"/>
    <s v="62075827"/>
    <m/>
    <m/>
    <n v="22785222"/>
    <m/>
    <m/>
    <m/>
    <s v="SOLPOA"/>
    <s v="SOLPOA"/>
    <s v="CCMS"/>
    <n v="21321729"/>
    <n v="167"/>
    <m/>
    <s v="N"/>
    <n v="1"/>
    <d v="2023-07-03T19:05:20"/>
    <s v="N"/>
    <s v="Non Expert Disbursement"/>
    <s v="Non Expert Disbursement"/>
    <s v="Non Expert Disbursement"/>
    <s v="Kerys Smith"/>
    <s v="N"/>
    <n v="167"/>
    <n v="0"/>
    <x v="3"/>
    <s v="VALIDATED"/>
    <n v="1"/>
    <s v="01.11.80.308.2012.0000"/>
    <n v="167"/>
    <s v="11"/>
    <s v="2012"/>
    <n v="53101.42"/>
    <n v="167"/>
    <s v="CREDITOR"/>
    <n v="167"/>
    <n v="0"/>
    <n v="0"/>
    <n v="0"/>
    <n v="0"/>
  </r>
  <r>
    <n v="61692826"/>
    <s v="N"/>
    <n v="21338513"/>
    <s v="3000015781560013"/>
    <s v="CIVIL"/>
    <d v="2023-06-28T00:00:00"/>
    <d v="2023-07-06T19:21:01"/>
    <m/>
    <d v="2023-07-06T00:00:00"/>
    <n v="1105"/>
    <n v="18230"/>
    <s v="61692826"/>
    <s v="61692826"/>
    <m/>
    <m/>
    <n v="22778096"/>
    <m/>
    <m/>
    <m/>
    <s v="SOLFIN"/>
    <s v="SOLFIN"/>
    <s v="CCMS"/>
    <n v="21338513"/>
    <n v="4218.91"/>
    <m/>
    <s v="N"/>
    <n v="39"/>
    <d v="2023-07-06T19:21:27"/>
    <s v="Y"/>
    <s v="Preparation - drafting attendance n"/>
    <s v="Prescribed Hourly Rates"/>
    <s v="Profit Cost"/>
    <s v="ES"/>
    <s v="Y"/>
    <n v="32.94"/>
    <n v="6.59"/>
    <x v="4"/>
    <s v="VALIDATED"/>
    <n v="1"/>
    <s v="01.11.80.307.6100.0000"/>
    <n v="32.94"/>
    <s v="11"/>
    <s v="6100"/>
    <n v="53101.42"/>
    <n v="32.94"/>
    <s v="CREDITOR"/>
    <n v="0"/>
    <n v="0"/>
    <n v="0"/>
    <n v="0"/>
    <n v="32.94"/>
  </r>
  <r>
    <n v="60330198"/>
    <s v="N"/>
    <n v="21330923"/>
    <s v="3000014627810013"/>
    <s v="CIVIL"/>
    <d v="2023-06-19T00:00:00"/>
    <d v="2023-07-05T19:01:47"/>
    <m/>
    <d v="2023-07-05T00:00:00"/>
    <n v="1105"/>
    <n v="18230"/>
    <s v="60330198"/>
    <s v="60330198"/>
    <m/>
    <m/>
    <n v="22717396"/>
    <m/>
    <m/>
    <m/>
    <s v="SOLFIN"/>
    <s v="SOLFIN"/>
    <s v="CCMS"/>
    <n v="21330923"/>
    <n v="28516.42"/>
    <m/>
    <s v="N"/>
    <n v="101"/>
    <d v="2023-07-05T19:01:57"/>
    <s v="Y"/>
    <s v="Preparation - other"/>
    <s v="Care Remuneration Hourly Rates"/>
    <s v="Profit Cost"/>
    <s v="DS"/>
    <s v="Y"/>
    <n v="31.54"/>
    <n v="6.31"/>
    <x v="6"/>
    <s v="VALIDATED"/>
    <n v="1"/>
    <s v="01.11.80.308.6100.0000"/>
    <n v="31.54"/>
    <s v="11"/>
    <s v="6100"/>
    <n v="53101.42"/>
    <n v="31.54"/>
    <s v="CREDITOR"/>
    <n v="0"/>
    <n v="0"/>
    <n v="0"/>
    <n v="0"/>
    <n v="31.54"/>
  </r>
  <r>
    <n v="60330198"/>
    <s v="N"/>
    <n v="21330923"/>
    <s v="3000014627810013"/>
    <s v="CIVIL"/>
    <d v="2023-06-19T00:00:00"/>
    <d v="2023-07-05T19:01:47"/>
    <m/>
    <d v="2023-07-05T00:00:00"/>
    <n v="1105"/>
    <n v="18230"/>
    <s v="60330198"/>
    <s v="60330198"/>
    <m/>
    <m/>
    <n v="22717396"/>
    <m/>
    <m/>
    <m/>
    <s v="SOLFIN"/>
    <s v="SOLFIN"/>
    <s v="CCMS"/>
    <n v="21330923"/>
    <n v="28516.42"/>
    <m/>
    <s v="N"/>
    <n v="149"/>
    <d v="2023-07-05T19:01:57"/>
    <s v="Y"/>
    <s v="Hearing Unit 2.31 - 5.00 Hours"/>
    <s v="Public Law Children"/>
    <s v="Advocacy"/>
    <s v="BJF"/>
    <s v="Y"/>
    <n v="476.92"/>
    <n v="95.38"/>
    <x v="6"/>
    <s v="VALIDATED"/>
    <n v="1"/>
    <s v="01.11.80.308.6100.0000"/>
    <n v="476.92"/>
    <s v="11"/>
    <s v="6100"/>
    <n v="53101.42"/>
    <n v="476.92"/>
    <s v="CREDITOR"/>
    <n v="0"/>
    <n v="0"/>
    <n v="0"/>
    <n v="0"/>
    <n v="476.92"/>
  </r>
  <r>
    <n v="60330198"/>
    <s v="N"/>
    <n v="21330923"/>
    <s v="3000014627810013"/>
    <s v="CIVIL"/>
    <d v="2023-06-19T00:00:00"/>
    <d v="2023-07-05T19:01:47"/>
    <m/>
    <d v="2023-07-05T00:00:00"/>
    <n v="1105"/>
    <n v="18230"/>
    <s v="60330198"/>
    <s v="60330198"/>
    <m/>
    <m/>
    <n v="22717396"/>
    <m/>
    <m/>
    <m/>
    <s v="SOLFIN"/>
    <s v="SOLFIN"/>
    <s v="CCMS"/>
    <n v="21330923"/>
    <n v="28516.42"/>
    <m/>
    <s v="N"/>
    <n v="42"/>
    <d v="2023-07-05T19:01:57"/>
    <s v="Y"/>
    <s v="Preparation - drafting attendance n"/>
    <s v="Care Remuneration Hourly Rates"/>
    <s v="Profit Cost"/>
    <s v="DS"/>
    <s v="Y"/>
    <n v="15.77"/>
    <n v="3.15"/>
    <x v="6"/>
    <s v="VALIDATED"/>
    <n v="1"/>
    <s v="01.11.80.308.6100.0000"/>
    <n v="15.77"/>
    <s v="11"/>
    <s v="6100"/>
    <n v="53101.42"/>
    <n v="15.77"/>
    <s v="CREDITOR"/>
    <n v="0"/>
    <n v="0"/>
    <n v="0"/>
    <n v="0"/>
    <n v="15.77"/>
  </r>
  <r>
    <n v="61692826"/>
    <s v="N"/>
    <n v="21338513"/>
    <s v="3000015781560013"/>
    <s v="CIVIL"/>
    <d v="2023-06-28T00:00:00"/>
    <d v="2023-07-06T19:21:01"/>
    <m/>
    <d v="2023-07-06T00:00:00"/>
    <n v="1105"/>
    <n v="18230"/>
    <s v="61692826"/>
    <s v="61692826"/>
    <m/>
    <m/>
    <n v="22778096"/>
    <m/>
    <m/>
    <m/>
    <s v="SOLFIN"/>
    <s v="SOLFIN"/>
    <s v="CCMS"/>
    <n v="21338513"/>
    <n v="4218.91"/>
    <m/>
    <s v="N"/>
    <n v="24"/>
    <d v="2023-07-06T19:21:27"/>
    <s v="Y"/>
    <s v="Preparation - other"/>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31"/>
    <d v="2023-07-06T19:21:27"/>
    <s v="Y"/>
    <s v="Preparation - drafting instructions"/>
    <s v="Prescribed Hourly Rates"/>
    <s v="Profit Cost"/>
    <s v="ES"/>
    <s v="Y"/>
    <n v="87.84"/>
    <n v="17.57"/>
    <x v="4"/>
    <s v="VALIDATED"/>
    <n v="1"/>
    <s v="01.11.80.307.6100.0000"/>
    <n v="87.84"/>
    <s v="11"/>
    <s v="6100"/>
    <n v="53101.42"/>
    <n v="87.84"/>
    <s v="CREDITOR"/>
    <n v="0"/>
    <n v="0"/>
    <n v="0"/>
    <n v="0"/>
    <n v="87.84"/>
  </r>
  <r>
    <n v="60147697"/>
    <s v="N"/>
    <n v="21328215"/>
    <s v="3000014472360032"/>
    <s v="CIVIL"/>
    <d v="2023-06-30T00:00:00"/>
    <d v="2023-07-04T19:00:44"/>
    <m/>
    <d v="2023-07-04T00:00:00"/>
    <n v="1105"/>
    <n v="18230"/>
    <s v="60147697"/>
    <s v="60147697"/>
    <m/>
    <m/>
    <n v="22795380"/>
    <m/>
    <m/>
    <m/>
    <s v="SOLFIN"/>
    <s v="SOLFIN"/>
    <s v="CCMS"/>
    <n v="21328215"/>
    <n v="32839.17"/>
    <m/>
    <s v="N"/>
    <n v="7"/>
    <d v="2023-07-04T19:01:08"/>
    <s v="Y"/>
    <s v="Geneticist"/>
    <s v="VHCC"/>
    <s v="Expert Disbursement"/>
    <s v="SB"/>
    <s v="Y"/>
    <n v="1845"/>
    <n v="369"/>
    <x v="1"/>
    <s v="VALIDATED"/>
    <n v="1"/>
    <s v="01.11.80.308.6300.0000"/>
    <n v="1845"/>
    <s v="11"/>
    <s v="6300"/>
    <n v="53101.42"/>
    <n v="1845"/>
    <s v="CREDITOR"/>
    <n v="0"/>
    <n v="0"/>
    <n v="0"/>
    <n v="0"/>
    <n v="1845"/>
  </r>
  <r>
    <n v="61692826"/>
    <s v="N"/>
    <n v="21338513"/>
    <s v="3000015781560013"/>
    <s v="CIVIL"/>
    <d v="2023-06-28T00:00:00"/>
    <d v="2023-07-06T19:21:01"/>
    <m/>
    <d v="2023-07-06T00:00:00"/>
    <n v="1105"/>
    <n v="18230"/>
    <s v="61692826"/>
    <s v="61692826"/>
    <m/>
    <m/>
    <n v="22778096"/>
    <m/>
    <m/>
    <m/>
    <s v="SOLFIN"/>
    <s v="SOLFIN"/>
    <s v="CCMS"/>
    <n v="21338513"/>
    <n v="4218.91"/>
    <m/>
    <s v="N"/>
    <n v="60"/>
    <d v="2023-07-06T19:21:27"/>
    <s v="Y"/>
    <s v="Interpreter"/>
    <s v="Private Law Children"/>
    <s v="Expert Disbursement"/>
    <s v="ES"/>
    <s v="Y"/>
    <n v="35"/>
    <n v="7"/>
    <x v="4"/>
    <s v="VALIDATED"/>
    <n v="1"/>
    <s v="01.11.80.307.6300.0000"/>
    <n v="35"/>
    <s v="11"/>
    <s v="6300"/>
    <n v="53101.42"/>
    <n v="35"/>
    <s v="CREDITOR"/>
    <n v="0"/>
    <n v="0"/>
    <n v="0"/>
    <n v="0"/>
    <n v="35"/>
  </r>
  <r>
    <n v="60330198"/>
    <s v="N"/>
    <n v="21330923"/>
    <s v="3000014627810013"/>
    <s v="CIVIL"/>
    <d v="2023-06-19T00:00:00"/>
    <d v="2023-07-05T19:01:47"/>
    <m/>
    <d v="2023-07-05T00:00:00"/>
    <n v="1105"/>
    <n v="18230"/>
    <s v="60330198"/>
    <s v="60330198"/>
    <m/>
    <m/>
    <n v="22717396"/>
    <m/>
    <m/>
    <m/>
    <s v="SOLFIN"/>
    <s v="SOLFIN"/>
    <s v="CCMS"/>
    <n v="21330923"/>
    <n v="28516.42"/>
    <m/>
    <s v="N"/>
    <n v="111"/>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68"/>
    <d v="2023-07-05T19:01:57"/>
    <s v="Y"/>
    <s v="Preparation - drafting attendance n"/>
    <s v="Care Remuneration Hourly Rates"/>
    <s v="Profit Cost"/>
    <s v="DS"/>
    <s v="Y"/>
    <n v="42.06"/>
    <n v="8.41"/>
    <x v="6"/>
    <s v="VALIDATED"/>
    <n v="1"/>
    <s v="01.11.80.308.6100.0000"/>
    <n v="42.06"/>
    <s v="11"/>
    <s v="6100"/>
    <n v="53101.42"/>
    <n v="42.06"/>
    <s v="CREDITOR"/>
    <n v="0"/>
    <n v="0"/>
    <n v="0"/>
    <n v="0"/>
    <n v="42.06"/>
  </r>
  <r>
    <n v="60330198"/>
    <s v="N"/>
    <n v="21330923"/>
    <s v="3000014627810013"/>
    <s v="CIVIL"/>
    <d v="2023-06-19T00:00:00"/>
    <d v="2023-07-05T19:01:47"/>
    <m/>
    <d v="2023-07-05T00:00:00"/>
    <n v="1105"/>
    <n v="18230"/>
    <s v="60330198"/>
    <s v="60330198"/>
    <m/>
    <m/>
    <n v="22717396"/>
    <m/>
    <m/>
    <m/>
    <s v="SOLFIN"/>
    <s v="SOLFIN"/>
    <s v="CCMS"/>
    <n v="21330923"/>
    <n v="28516.42"/>
    <m/>
    <s v="N"/>
    <n v="158"/>
    <d v="2023-07-05T19:01:57"/>
    <s v="N"/>
    <m/>
    <m/>
    <s v="Overall Adjustment"/>
    <m/>
    <s v="N"/>
    <n v="-931.7"/>
    <n v="-186.33"/>
    <x v="6"/>
    <s v="VALIDATED"/>
    <n v="1"/>
    <s v="01.11.80.308.6100.0000"/>
    <n v="-931.7"/>
    <s v="11"/>
    <s v="6100"/>
    <n v="53101.42"/>
    <n v="-931.7"/>
    <s v="CREDITOR"/>
    <n v="0"/>
    <n v="0"/>
    <n v="0"/>
    <n v="0"/>
    <n v="-931.7"/>
  </r>
  <r>
    <n v="60330198"/>
    <s v="N"/>
    <n v="21330923"/>
    <s v="3000014627810013"/>
    <s v="CIVIL"/>
    <d v="2023-06-19T00:00:00"/>
    <d v="2023-07-05T19:01:47"/>
    <m/>
    <d v="2023-07-05T00:00:00"/>
    <n v="1105"/>
    <n v="18230"/>
    <s v="60330198"/>
    <s v="60330198"/>
    <m/>
    <m/>
    <n v="22717396"/>
    <m/>
    <m/>
    <m/>
    <s v="SOLFIN"/>
    <s v="SOLFIN"/>
    <s v="CCMS"/>
    <n v="21330923"/>
    <n v="28516.42"/>
    <m/>
    <s v="N"/>
    <n v="45"/>
    <d v="2023-07-05T19:01:57"/>
    <s v="Y"/>
    <s v="Preparation - other"/>
    <s v="Care Remuneration Hourly Rates"/>
    <s v="Profit Cost"/>
    <s v="DS"/>
    <s v="Y"/>
    <n v="10.51"/>
    <n v="2.1"/>
    <x v="6"/>
    <s v="VALIDATED"/>
    <n v="1"/>
    <s v="01.11.80.308.6100.0000"/>
    <n v="10.51"/>
    <s v="11"/>
    <s v="6100"/>
    <n v="53101.42"/>
    <n v="10.51"/>
    <s v="CREDITOR"/>
    <n v="0"/>
    <n v="0"/>
    <n v="0"/>
    <n v="0"/>
    <n v="10.51"/>
  </r>
  <r>
    <n v="60147697"/>
    <s v="N"/>
    <n v="21328215"/>
    <s v="3000014472360032"/>
    <s v="CIVIL"/>
    <d v="2023-06-30T00:00:00"/>
    <d v="2023-07-04T19:00:44"/>
    <m/>
    <d v="2023-07-04T00:00:00"/>
    <n v="1105"/>
    <n v="18230"/>
    <s v="60147697"/>
    <s v="60147697"/>
    <m/>
    <m/>
    <n v="22795380"/>
    <m/>
    <m/>
    <m/>
    <s v="SOLFIN"/>
    <s v="SOLFIN"/>
    <s v="CCMS"/>
    <n v="21328215"/>
    <n v="32839.17"/>
    <m/>
    <s v="N"/>
    <n v="35"/>
    <d v="2023-07-04T19:01:08"/>
    <s v="Y"/>
    <s v="Solicitor Travel Mileage"/>
    <s v="VHCC"/>
    <s v="Non Expert Disbursement"/>
    <s v="SB"/>
    <s v="Y"/>
    <n v="49.5"/>
    <n v="9.9"/>
    <x v="1"/>
    <s v="VALIDATED"/>
    <n v="1"/>
    <s v="01.11.80.308.6300.0000"/>
    <n v="49.5"/>
    <s v="11"/>
    <s v="6300"/>
    <n v="53101.42"/>
    <n v="49.5"/>
    <s v="CREDITOR"/>
    <n v="0"/>
    <n v="0"/>
    <n v="0"/>
    <n v="0"/>
    <n v="49.5"/>
  </r>
  <r>
    <n v="60147697"/>
    <s v="N"/>
    <n v="21328215"/>
    <s v="3000014472360032"/>
    <s v="CIVIL"/>
    <d v="2023-06-30T00:00:00"/>
    <d v="2023-07-04T19:00:44"/>
    <m/>
    <d v="2023-07-04T00:00:00"/>
    <n v="1105"/>
    <n v="18230"/>
    <s v="60147697"/>
    <s v="60147697"/>
    <m/>
    <m/>
    <n v="22795380"/>
    <m/>
    <m/>
    <m/>
    <s v="SOLFIN"/>
    <s v="SOLFIN"/>
    <s v="CCMS"/>
    <n v="21328215"/>
    <n v="32839.17"/>
    <m/>
    <s v="N"/>
    <n v="38"/>
    <d v="2023-07-04T19:01:08"/>
    <s v="Y"/>
    <s v="Court Fee"/>
    <s v="VHCC"/>
    <s v="Non Expert Disbursement"/>
    <s v="SB"/>
    <s v="Y"/>
    <n v="167"/>
    <n v="0"/>
    <x v="1"/>
    <s v="VALIDATED"/>
    <n v="1"/>
    <s v="01.11.80.308.6300.0000"/>
    <n v="167"/>
    <s v="11"/>
    <s v="6300"/>
    <n v="53101.42"/>
    <n v="167"/>
    <s v="CREDITOR"/>
    <n v="0"/>
    <n v="0"/>
    <n v="0"/>
    <n v="0"/>
    <n v="167"/>
  </r>
  <r>
    <n v="61692826"/>
    <s v="N"/>
    <n v="21338513"/>
    <s v="3000015781560013"/>
    <s v="CIVIL"/>
    <d v="2023-06-28T00:00:00"/>
    <d v="2023-07-06T19:21:01"/>
    <m/>
    <d v="2023-07-06T00:00:00"/>
    <n v="1105"/>
    <n v="18230"/>
    <s v="61692826"/>
    <s v="61692826"/>
    <m/>
    <m/>
    <n v="22778096"/>
    <m/>
    <m/>
    <m/>
    <s v="SOLFIN"/>
    <s v="SOLFIN"/>
    <s v="CCMS"/>
    <n v="21338513"/>
    <n v="4218.91"/>
    <m/>
    <s v="N"/>
    <n v="46"/>
    <d v="2023-07-06T19:21:27"/>
    <s v="Y"/>
    <s v="Preparation - other"/>
    <s v="Prescribed Hourly Rates"/>
    <s v="Profit Cost"/>
    <s v="ES"/>
    <s v="Y"/>
    <n v="16.47"/>
    <n v="3.29"/>
    <x v="4"/>
    <s v="VALIDATED"/>
    <n v="1"/>
    <s v="01.11.80.307.6100.0000"/>
    <n v="16.47"/>
    <s v="11"/>
    <s v="6100"/>
    <n v="53101.42"/>
    <n v="16.47"/>
    <s v="CREDITOR"/>
    <n v="0"/>
    <n v="0"/>
    <n v="0"/>
    <n v="0"/>
    <n v="16.47"/>
  </r>
  <r>
    <n v="61353035"/>
    <s v="N"/>
    <n v="21338037"/>
    <s v="3000015502230029"/>
    <s v="CIVIL"/>
    <d v="2023-06-30T00:00:00"/>
    <d v="2023-07-06T19:21:01"/>
    <m/>
    <d v="2023-07-06T00:00:00"/>
    <n v="1105"/>
    <n v="18230"/>
    <s v="61353035"/>
    <s v="61353035"/>
    <m/>
    <m/>
    <n v="22794766"/>
    <m/>
    <m/>
    <m/>
    <s v="SOLPOA"/>
    <s v="SOLPOA"/>
    <s v="CCMS"/>
    <n v="21338037"/>
    <n v="56"/>
    <m/>
    <s v="N"/>
    <n v="1"/>
    <d v="2023-07-06T19:21:11"/>
    <s v="N"/>
    <s v="Non Expert Disbursement"/>
    <s v="Non Expert Disbursement"/>
    <s v="Non Expert Disbursement"/>
    <s v="Sam Gallett"/>
    <s v="N"/>
    <n v="56"/>
    <n v="0"/>
    <x v="4"/>
    <s v="VALIDATED"/>
    <n v="1"/>
    <s v="01.11.80.308.2012.0000"/>
    <n v="56"/>
    <s v="11"/>
    <s v="2012"/>
    <n v="53101.42"/>
    <n v="56"/>
    <s v="CREDITOR"/>
    <n v="56"/>
    <n v="0"/>
    <n v="0"/>
    <n v="0"/>
    <n v="0"/>
  </r>
  <r>
    <n v="60330198"/>
    <s v="N"/>
    <n v="21330923"/>
    <s v="3000014627810013"/>
    <s v="CIVIL"/>
    <d v="2023-06-19T00:00:00"/>
    <d v="2023-07-05T19:01:47"/>
    <m/>
    <d v="2023-07-05T00:00:00"/>
    <n v="1105"/>
    <n v="18230"/>
    <s v="60330198"/>
    <s v="60330198"/>
    <m/>
    <m/>
    <n v="22717396"/>
    <m/>
    <m/>
    <m/>
    <s v="SOLFIN"/>
    <s v="SOLFIN"/>
    <s v="CCMS"/>
    <n v="21330923"/>
    <n v="28516.42"/>
    <m/>
    <s v="N"/>
    <n v="6"/>
    <d v="2023-07-05T19:01:57"/>
    <s v="Y"/>
    <s v="Court Fee"/>
    <s v="Public Law Children"/>
    <s v="Non Expert Disbursement"/>
    <s v="DS"/>
    <s v="Y"/>
    <n v="121.7"/>
    <n v="0"/>
    <x v="6"/>
    <s v="VALIDATED"/>
    <n v="1"/>
    <s v="01.11.80.308.6300.0000"/>
    <n v="121.7"/>
    <s v="11"/>
    <s v="6300"/>
    <n v="53101.42"/>
    <n v="121.7"/>
    <s v="CREDITOR"/>
    <n v="0"/>
    <n v="0"/>
    <n v="0"/>
    <n v="0"/>
    <n v="121.7"/>
  </r>
  <r>
    <n v="60330198"/>
    <s v="N"/>
    <n v="21330923"/>
    <s v="3000014627810013"/>
    <s v="CIVIL"/>
    <d v="2023-06-19T00:00:00"/>
    <d v="2023-07-05T19:01:47"/>
    <m/>
    <d v="2023-07-05T00:00:00"/>
    <n v="1105"/>
    <n v="18230"/>
    <s v="60330198"/>
    <s v="60330198"/>
    <m/>
    <m/>
    <n v="22717396"/>
    <m/>
    <m/>
    <m/>
    <s v="SOLFIN"/>
    <s v="SOLFIN"/>
    <s v="CCMS"/>
    <n v="21330923"/>
    <n v="28516.42"/>
    <m/>
    <s v="N"/>
    <n v="143"/>
    <d v="2023-07-05T19:01:57"/>
    <s v="Y"/>
    <s v="Hearing Unit 2.31 - 5.00 Hours"/>
    <s v="Public Law Children"/>
    <s v="Advocacy"/>
    <s v="BJF"/>
    <s v="Y"/>
    <n v="476.92"/>
    <n v="95.38"/>
    <x v="6"/>
    <s v="VALIDATED"/>
    <n v="1"/>
    <s v="01.11.80.308.6100.0000"/>
    <n v="476.92"/>
    <s v="11"/>
    <s v="6100"/>
    <n v="53101.42"/>
    <n v="476.92"/>
    <s v="CREDITOR"/>
    <n v="0"/>
    <n v="0"/>
    <n v="0"/>
    <n v="0"/>
    <n v="476.92"/>
  </r>
  <r>
    <n v="60330198"/>
    <s v="N"/>
    <n v="21330923"/>
    <s v="3000014627810013"/>
    <s v="CIVIL"/>
    <d v="2023-06-19T00:00:00"/>
    <d v="2023-07-05T19:01:47"/>
    <m/>
    <d v="2023-07-05T00:00:00"/>
    <n v="1105"/>
    <n v="18230"/>
    <s v="60330198"/>
    <s v="60330198"/>
    <m/>
    <m/>
    <n v="22717396"/>
    <m/>
    <m/>
    <m/>
    <s v="SOLFIN"/>
    <s v="SOLFIN"/>
    <s v="CCMS"/>
    <n v="21330923"/>
    <n v="28516.42"/>
    <m/>
    <s v="N"/>
    <n v="21"/>
    <d v="2023-07-05T19:01:57"/>
    <s v="Y"/>
    <s v="Preparation - drafting attendance n"/>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28"/>
    <d v="2023-07-05T19:01:57"/>
    <s v="Y"/>
    <s v="Attendance upon client"/>
    <s v="Care Remuneration Hourly Rates"/>
    <s v="Profit Cost"/>
    <s v="DS"/>
    <s v="Y"/>
    <n v="31.54"/>
    <n v="6.31"/>
    <x v="6"/>
    <s v="VALIDATED"/>
    <n v="1"/>
    <s v="01.11.80.308.6100.0000"/>
    <n v="31.54"/>
    <s v="11"/>
    <s v="6100"/>
    <n v="53101.42"/>
    <n v="31.54"/>
    <s v="CREDITOR"/>
    <n v="0"/>
    <n v="0"/>
    <n v="0"/>
    <n v="0"/>
    <n v="31.54"/>
  </r>
  <r>
    <n v="60330198"/>
    <s v="N"/>
    <n v="21330923"/>
    <s v="3000014627810013"/>
    <s v="CIVIL"/>
    <d v="2023-06-19T00:00:00"/>
    <d v="2023-07-05T19:01:47"/>
    <m/>
    <d v="2023-07-05T00:00:00"/>
    <n v="1105"/>
    <n v="18230"/>
    <s v="60330198"/>
    <s v="60330198"/>
    <m/>
    <m/>
    <n v="22717396"/>
    <m/>
    <m/>
    <m/>
    <s v="SOLFIN"/>
    <s v="SOLFIN"/>
    <s v="CCMS"/>
    <n v="21330923"/>
    <n v="28516.42"/>
    <m/>
    <s v="N"/>
    <n v="54"/>
    <d v="2023-07-05T19:01:57"/>
    <s v="Y"/>
    <s v="Preparation - other"/>
    <s v="Care Remuneration Hourly Rates"/>
    <s v="Profit Cost"/>
    <s v="DS"/>
    <s v="Y"/>
    <n v="21.03"/>
    <n v="4.21"/>
    <x v="6"/>
    <s v="VALIDATED"/>
    <n v="1"/>
    <s v="01.11.80.308.6100.0000"/>
    <n v="21.03"/>
    <s v="11"/>
    <s v="6100"/>
    <n v="53101.42"/>
    <n v="21.03"/>
    <s v="CREDITOR"/>
    <n v="0"/>
    <n v="0"/>
    <n v="0"/>
    <n v="0"/>
    <n v="21.03"/>
  </r>
  <r>
    <n v="60147697"/>
    <s v="N"/>
    <n v="21328215"/>
    <s v="3000014472360032"/>
    <s v="CIVIL"/>
    <d v="2023-06-30T00:00:00"/>
    <d v="2023-07-04T19:00:44"/>
    <m/>
    <d v="2023-07-04T00:00:00"/>
    <n v="1105"/>
    <n v="18230"/>
    <s v="60147697"/>
    <s v="60147697"/>
    <m/>
    <m/>
    <n v="22795380"/>
    <m/>
    <m/>
    <m/>
    <s v="SOLFIN"/>
    <s v="SOLFIN"/>
    <s v="CCMS"/>
    <n v="21328215"/>
    <n v="32839.17"/>
    <m/>
    <s v="N"/>
    <n v="34"/>
    <d v="2023-07-04T19:01:08"/>
    <s v="Y"/>
    <s v="Solicitor Travel Expenses"/>
    <s v="VHCC"/>
    <s v="Non Expert Disbursement"/>
    <s v="SB"/>
    <s v="Y"/>
    <n v="6.25"/>
    <n v="1.25"/>
    <x v="1"/>
    <s v="VALIDATED"/>
    <n v="1"/>
    <s v="01.11.80.308.6300.0000"/>
    <n v="6.25"/>
    <s v="11"/>
    <s v="6300"/>
    <n v="53101.42"/>
    <n v="6.25"/>
    <s v="CREDITOR"/>
    <n v="0"/>
    <n v="0"/>
    <n v="0"/>
    <n v="0"/>
    <n v="6.25"/>
  </r>
  <r>
    <n v="60147697"/>
    <s v="N"/>
    <n v="21328215"/>
    <s v="3000014472360032"/>
    <s v="CIVIL"/>
    <d v="2023-06-30T00:00:00"/>
    <d v="2023-07-04T19:00:44"/>
    <m/>
    <d v="2023-07-04T00:00:00"/>
    <n v="1105"/>
    <n v="18230"/>
    <s v="60147697"/>
    <s v="60147697"/>
    <m/>
    <m/>
    <n v="22795380"/>
    <m/>
    <m/>
    <m/>
    <s v="SOLFIN"/>
    <s v="SOLFIN"/>
    <s v="CCMS"/>
    <n v="21328215"/>
    <n v="32839.17"/>
    <m/>
    <s v="N"/>
    <n v="39"/>
    <d v="2023-07-04T19:01:08"/>
    <s v="Y"/>
    <s v="Court Fee"/>
    <s v="VHCC"/>
    <s v="Non Expert Disbursement"/>
    <s v="SB"/>
    <s v="Y"/>
    <n v="53"/>
    <n v="0"/>
    <x v="1"/>
    <s v="VALIDATED"/>
    <n v="1"/>
    <s v="01.11.80.308.6300.0000"/>
    <n v="53"/>
    <s v="11"/>
    <s v="6300"/>
    <n v="53101.42"/>
    <n v="53"/>
    <s v="CREDITOR"/>
    <n v="0"/>
    <n v="0"/>
    <n v="0"/>
    <n v="0"/>
    <n v="53"/>
  </r>
  <r>
    <n v="60147697"/>
    <s v="N"/>
    <n v="21328215"/>
    <s v="3000014472360032"/>
    <s v="CIVIL"/>
    <d v="2023-06-30T00:00:00"/>
    <d v="2023-07-04T19:00:44"/>
    <m/>
    <d v="2023-07-04T00:00:00"/>
    <n v="1105"/>
    <n v="18230"/>
    <s v="60147697"/>
    <s v="60147697"/>
    <m/>
    <m/>
    <n v="22795380"/>
    <m/>
    <m/>
    <m/>
    <s v="SOLFIN"/>
    <s v="SOLFIN"/>
    <s v="CCMS"/>
    <n v="21328215"/>
    <n v="32839.17"/>
    <m/>
    <s v="N"/>
    <n v="48"/>
    <d v="2023-07-04T19:01:08"/>
    <s v="Y"/>
    <s v="Solicitor Travel Mileage"/>
    <s v="VHCC"/>
    <s v="Non Expert Disbursement"/>
    <s v="SB"/>
    <s v="Y"/>
    <n v="49.5"/>
    <n v="9.9"/>
    <x v="1"/>
    <s v="VALIDATED"/>
    <n v="1"/>
    <s v="01.11.80.308.6300.0000"/>
    <n v="49.5"/>
    <s v="11"/>
    <s v="6300"/>
    <n v="53101.42"/>
    <n v="49.5"/>
    <s v="CREDITOR"/>
    <n v="0"/>
    <n v="0"/>
    <n v="0"/>
    <n v="0"/>
    <n v="49.5"/>
  </r>
  <r>
    <n v="61692826"/>
    <s v="N"/>
    <n v="21338513"/>
    <s v="3000015781560013"/>
    <s v="CIVIL"/>
    <d v="2023-06-28T00:00:00"/>
    <d v="2023-07-06T19:21:01"/>
    <m/>
    <d v="2023-07-06T00:00:00"/>
    <n v="1105"/>
    <n v="18230"/>
    <s v="61692826"/>
    <s v="61692826"/>
    <m/>
    <m/>
    <n v="22778096"/>
    <m/>
    <m/>
    <m/>
    <s v="SOLFIN"/>
    <s v="SOLFIN"/>
    <s v="CCMS"/>
    <n v="21338513"/>
    <n v="4218.91"/>
    <m/>
    <s v="N"/>
    <n v="67"/>
    <d v="2023-07-06T19:21:27"/>
    <s v="N"/>
    <s v="Level 3 Fixed Fee"/>
    <s v="Private Law Children"/>
    <s v="Profit Cost"/>
    <s v="ES"/>
    <s v="N"/>
    <n v="0"/>
    <n v="0"/>
    <x v="4"/>
    <s v="VALIDATED"/>
    <n v="1"/>
    <s v="01.11.80.307.6100.0000"/>
    <n v="0"/>
    <s v="11"/>
    <s v="6100"/>
    <n v="53101.42"/>
    <n v="0"/>
    <s v="CREDITOR"/>
    <n v="0"/>
    <n v="0"/>
    <n v="0"/>
    <n v="0"/>
    <n v="0"/>
  </r>
  <r>
    <n v="60330198"/>
    <s v="N"/>
    <n v="21330923"/>
    <s v="3000014627810013"/>
    <s v="CIVIL"/>
    <d v="2023-06-19T00:00:00"/>
    <d v="2023-07-05T19:01:47"/>
    <m/>
    <d v="2023-07-05T00:00:00"/>
    <n v="1105"/>
    <n v="18230"/>
    <s v="60330198"/>
    <s v="60330198"/>
    <m/>
    <m/>
    <n v="22717396"/>
    <m/>
    <m/>
    <m/>
    <s v="SOLFIN"/>
    <s v="SOLFIN"/>
    <s v="CCMS"/>
    <n v="21330923"/>
    <n v="28516.42"/>
    <m/>
    <s v="N"/>
    <n v="63"/>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67"/>
    <d v="2023-07-05T19:01:57"/>
    <s v="Y"/>
    <s v="Report - other expert's report"/>
    <s v="Care Remuneration Hourly Rates"/>
    <s v="Profit Cost"/>
    <s v="DS"/>
    <s v="Y"/>
    <n v="220.79"/>
    <n v="44.16"/>
    <x v="6"/>
    <s v="VALIDATED"/>
    <n v="1"/>
    <s v="01.11.80.308.6100.0000"/>
    <n v="220.79"/>
    <s v="11"/>
    <s v="6100"/>
    <n v="53101.42"/>
    <n v="220.79"/>
    <s v="CREDITOR"/>
    <n v="0"/>
    <n v="0"/>
    <n v="0"/>
    <n v="0"/>
    <n v="220.79"/>
  </r>
  <r>
    <n v="60330198"/>
    <s v="N"/>
    <n v="21330923"/>
    <s v="3000014627810013"/>
    <s v="CIVIL"/>
    <d v="2023-06-19T00:00:00"/>
    <d v="2023-07-05T19:01:47"/>
    <m/>
    <d v="2023-07-05T00:00:00"/>
    <n v="1105"/>
    <n v="18230"/>
    <s v="60330198"/>
    <s v="60330198"/>
    <m/>
    <m/>
    <n v="22717396"/>
    <m/>
    <m/>
    <m/>
    <s v="SOLFIN"/>
    <s v="SOLFIN"/>
    <s v="CCMS"/>
    <n v="21330923"/>
    <n v="28516.42"/>
    <m/>
    <s v="N"/>
    <n v="85"/>
    <d v="2023-07-05T19:01:57"/>
    <s v="Y"/>
    <s v="Preparation - other"/>
    <s v="Care Remuneration Hourly Rates"/>
    <s v="Profit Cost"/>
    <s v="DS"/>
    <s v="Y"/>
    <n v="21.03"/>
    <n v="4.21"/>
    <x v="6"/>
    <s v="VALIDATED"/>
    <n v="1"/>
    <s v="01.11.80.308.6100.0000"/>
    <n v="21.03"/>
    <s v="11"/>
    <s v="6100"/>
    <n v="53101.42"/>
    <n v="21.03"/>
    <s v="CREDITOR"/>
    <n v="0"/>
    <n v="0"/>
    <n v="0"/>
    <n v="0"/>
    <n v="21.03"/>
  </r>
  <r>
    <n v="60330198"/>
    <s v="N"/>
    <n v="21330923"/>
    <s v="3000014627810013"/>
    <s v="CIVIL"/>
    <d v="2023-06-19T00:00:00"/>
    <d v="2023-07-05T19:01:47"/>
    <m/>
    <d v="2023-07-05T00:00:00"/>
    <n v="1105"/>
    <n v="18230"/>
    <s v="60330198"/>
    <s v="60330198"/>
    <m/>
    <m/>
    <n v="22717396"/>
    <m/>
    <m/>
    <m/>
    <s v="SOLFIN"/>
    <s v="SOLFIN"/>
    <s v="CCMS"/>
    <n v="21330923"/>
    <n v="28516.42"/>
    <m/>
    <s v="N"/>
    <n v="13"/>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88"/>
    <d v="2023-07-05T19:01:57"/>
    <s v="Y"/>
    <s v="Preparation - other"/>
    <s v="Care Remuneration Hourly Rates"/>
    <s v="Profit Cost"/>
    <s v="DS"/>
    <s v="Y"/>
    <n v="5.26"/>
    <n v="1.05"/>
    <x v="6"/>
    <s v="VALIDATED"/>
    <n v="1"/>
    <s v="01.11.80.308.6100.0000"/>
    <n v="5.26"/>
    <s v="11"/>
    <s v="6100"/>
    <n v="53101.42"/>
    <n v="5.26"/>
    <s v="CREDITOR"/>
    <n v="0"/>
    <n v="0"/>
    <n v="0"/>
    <n v="0"/>
    <n v="5.26"/>
  </r>
  <r>
    <n v="60147697"/>
    <s v="N"/>
    <n v="21328215"/>
    <s v="3000014472360032"/>
    <s v="CIVIL"/>
    <d v="2023-06-30T00:00:00"/>
    <d v="2023-07-04T19:00:44"/>
    <m/>
    <d v="2023-07-04T00:00:00"/>
    <n v="1105"/>
    <n v="18230"/>
    <s v="60147697"/>
    <s v="60147697"/>
    <m/>
    <m/>
    <n v="22795380"/>
    <m/>
    <m/>
    <m/>
    <s v="SOLFIN"/>
    <s v="SOLFIN"/>
    <s v="CCMS"/>
    <n v="21328215"/>
    <n v="32839.17"/>
    <m/>
    <s v="N"/>
    <n v="27"/>
    <d v="2023-07-04T19:01:08"/>
    <s v="Y"/>
    <s v="Interim/Directions/Review Hearing ("/>
    <s v="VHCC"/>
    <s v="Profit Cost"/>
    <s v="SB"/>
    <s v="Y"/>
    <n v="900"/>
    <n v="180"/>
    <x v="1"/>
    <s v="VALIDATED"/>
    <n v="1"/>
    <s v="01.11.80.308.6100.0000"/>
    <n v="900"/>
    <s v="11"/>
    <s v="6100"/>
    <n v="53101.42"/>
    <n v="900"/>
    <s v="CREDITOR"/>
    <n v="0"/>
    <n v="0"/>
    <n v="0"/>
    <n v="0"/>
    <n v="900"/>
  </r>
  <r>
    <n v="61671825"/>
    <s v="N"/>
    <n v="21321264"/>
    <s v="3000015727460006"/>
    <s v="CIVIL"/>
    <d v="2023-06-29T00:00:00"/>
    <d v="2023-07-03T19:05:17"/>
    <m/>
    <d v="2023-07-03T00:00:00"/>
    <n v="1105"/>
    <n v="18230"/>
    <s v="61671825"/>
    <s v="61671825"/>
    <m/>
    <m/>
    <n v="22786086"/>
    <m/>
    <m/>
    <m/>
    <s v="SOLPOA"/>
    <s v="SOLPOA"/>
    <s v="CCMS"/>
    <n v="21321264"/>
    <n v="1026"/>
    <m/>
    <s v="N"/>
    <n v="1"/>
    <d v="2023-07-03T19:05:17"/>
    <s v="N"/>
    <s v="Expert Cost"/>
    <s v="Expert Cost"/>
    <s v="Expert Disbursement"/>
    <s v="Rebecca Ward"/>
    <s v="N"/>
    <n v="855"/>
    <n v="171"/>
    <x v="3"/>
    <s v="VALIDATED"/>
    <n v="1"/>
    <s v="01.11.80.308.2012.0000"/>
    <n v="855"/>
    <s v="11"/>
    <s v="2012"/>
    <n v="53101.42"/>
    <n v="855"/>
    <s v="CREDITOR"/>
    <n v="855"/>
    <n v="0"/>
    <n v="0"/>
    <n v="0"/>
    <n v="0"/>
  </r>
  <r>
    <n v="60330198"/>
    <s v="N"/>
    <n v="21330923"/>
    <s v="3000014627810013"/>
    <s v="CIVIL"/>
    <d v="2023-06-19T00:00:00"/>
    <d v="2023-07-05T19:01:47"/>
    <m/>
    <d v="2023-07-05T00:00:00"/>
    <n v="1105"/>
    <n v="18230"/>
    <s v="60330198"/>
    <s v="60330198"/>
    <m/>
    <m/>
    <n v="22717396"/>
    <m/>
    <m/>
    <m/>
    <s v="SOLFIN"/>
    <s v="SOLFIN"/>
    <s v="CCMS"/>
    <n v="21330923"/>
    <n v="28516.42"/>
    <m/>
    <s v="N"/>
    <n v="81"/>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84"/>
    <d v="2023-07-05T19:01:57"/>
    <s v="Y"/>
    <s v="Preparation - drafting instructions"/>
    <s v="Care Remuneration Hourly Rates"/>
    <s v="Profit Cost"/>
    <s v="DS"/>
    <s v="Y"/>
    <n v="26.29"/>
    <n v="5.26"/>
    <x v="6"/>
    <s v="VALIDATED"/>
    <n v="1"/>
    <s v="01.11.80.308.6100.0000"/>
    <n v="26.29"/>
    <s v="11"/>
    <s v="6100"/>
    <n v="53101.42"/>
    <n v="26.29"/>
    <s v="CREDITOR"/>
    <n v="0"/>
    <n v="0"/>
    <n v="0"/>
    <n v="0"/>
    <n v="26.29"/>
  </r>
  <r>
    <n v="60330198"/>
    <s v="N"/>
    <n v="21330923"/>
    <s v="3000014627810013"/>
    <s v="CIVIL"/>
    <d v="2023-06-19T00:00:00"/>
    <d v="2023-07-05T19:01:47"/>
    <m/>
    <d v="2023-07-05T00:00:00"/>
    <n v="1105"/>
    <n v="18230"/>
    <s v="60330198"/>
    <s v="60330198"/>
    <m/>
    <m/>
    <n v="22717396"/>
    <m/>
    <m/>
    <m/>
    <s v="SOLFIN"/>
    <s v="SOLFIN"/>
    <s v="CCMS"/>
    <n v="21330923"/>
    <n v="28516.42"/>
    <m/>
    <s v="N"/>
    <n v="132"/>
    <d v="2023-07-05T19:01:57"/>
    <s v="Y"/>
    <s v="Preparation - other"/>
    <s v="Care Remuneration Hourly Rates"/>
    <s v="Profit Cost"/>
    <s v="DS"/>
    <s v="Y"/>
    <n v="21.03"/>
    <n v="4.21"/>
    <x v="6"/>
    <s v="VALIDATED"/>
    <n v="1"/>
    <s v="01.11.80.308.6100.0000"/>
    <n v="21.03"/>
    <s v="11"/>
    <s v="6100"/>
    <n v="53101.42"/>
    <n v="21.03"/>
    <s v="CREDITOR"/>
    <n v="0"/>
    <n v="0"/>
    <n v="0"/>
    <n v="0"/>
    <n v="21.03"/>
  </r>
  <r>
    <n v="61692826"/>
    <s v="N"/>
    <n v="21338513"/>
    <s v="3000015781560013"/>
    <s v="CIVIL"/>
    <d v="2023-06-28T00:00:00"/>
    <d v="2023-07-06T19:21:01"/>
    <m/>
    <d v="2023-07-06T00:00:00"/>
    <n v="1105"/>
    <n v="18230"/>
    <s v="61692826"/>
    <s v="61692826"/>
    <m/>
    <m/>
    <n v="22778096"/>
    <m/>
    <m/>
    <m/>
    <s v="SOLFIN"/>
    <s v="SOLFIN"/>
    <s v="CCMS"/>
    <n v="21338513"/>
    <n v="4218.91"/>
    <m/>
    <s v="N"/>
    <n v="3"/>
    <d v="2023-07-06T19:21:27"/>
    <s v="Y"/>
    <s v="Preparation - other"/>
    <s v="Prescribed Hourly Rates"/>
    <s v="Profit Cost"/>
    <s v="ES"/>
    <s v="Y"/>
    <n v="16.47"/>
    <n v="3.29"/>
    <x v="4"/>
    <s v="VALIDATED"/>
    <n v="1"/>
    <s v="01.11.80.307.6100.0000"/>
    <n v="16.47"/>
    <s v="11"/>
    <s v="6100"/>
    <n v="53101.42"/>
    <n v="16.47"/>
    <s v="CREDITOR"/>
    <n v="0"/>
    <n v="0"/>
    <n v="0"/>
    <n v="0"/>
    <n v="16.47"/>
  </r>
  <r>
    <n v="61692826"/>
    <s v="N"/>
    <n v="21338513"/>
    <s v="3000015781560013"/>
    <s v="CIVIL"/>
    <d v="2023-06-28T00:00:00"/>
    <d v="2023-07-06T19:21:01"/>
    <m/>
    <d v="2023-07-06T00:00:00"/>
    <n v="1105"/>
    <n v="18230"/>
    <s v="61692826"/>
    <s v="61692826"/>
    <m/>
    <m/>
    <n v="22778096"/>
    <m/>
    <m/>
    <m/>
    <s v="SOLFIN"/>
    <s v="SOLFIN"/>
    <s v="CCMS"/>
    <n v="21338513"/>
    <n v="4218.91"/>
    <m/>
    <s v="N"/>
    <n v="6"/>
    <d v="2023-07-06T19:21:27"/>
    <s v="Y"/>
    <s v="Preparation - drafting attendance n"/>
    <s v="Prescribed Hourly Rates"/>
    <s v="Profit Cost"/>
    <s v="ES"/>
    <s v="Y"/>
    <n v="10.98"/>
    <n v="2.2"/>
    <x v="4"/>
    <s v="VALIDATED"/>
    <n v="1"/>
    <s v="01.11.80.307.6100.0000"/>
    <n v="10.98"/>
    <s v="11"/>
    <s v="6100"/>
    <n v="53101.42"/>
    <n v="10.98"/>
    <s v="CREDITOR"/>
    <n v="0"/>
    <n v="0"/>
    <n v="0"/>
    <n v="0"/>
    <n v="10.98"/>
  </r>
  <r>
    <n v="60330198"/>
    <s v="N"/>
    <n v="21330923"/>
    <s v="3000014627810013"/>
    <s v="CIVIL"/>
    <d v="2023-06-19T00:00:00"/>
    <d v="2023-07-05T19:01:47"/>
    <m/>
    <d v="2023-07-05T00:00:00"/>
    <n v="1105"/>
    <n v="18230"/>
    <s v="60330198"/>
    <s v="60330198"/>
    <m/>
    <m/>
    <n v="22717396"/>
    <m/>
    <m/>
    <m/>
    <s v="SOLFIN"/>
    <s v="SOLFIN"/>
    <s v="CCMS"/>
    <n v="21330923"/>
    <n v="28516.42"/>
    <m/>
    <s v="N"/>
    <n v="57"/>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13"/>
    <d v="2023-07-05T19:01:57"/>
    <s v="Y"/>
    <s v="Preparation - other"/>
    <s v="Care Remuneration Hourly Rates"/>
    <s v="Profit Cost"/>
    <s v="DS"/>
    <s v="Y"/>
    <n v="10.51"/>
    <n v="2.1"/>
    <x v="6"/>
    <s v="VALIDATED"/>
    <n v="1"/>
    <s v="01.11.80.308.6100.0000"/>
    <n v="10.51"/>
    <s v="11"/>
    <s v="6100"/>
    <n v="53101.42"/>
    <n v="10.51"/>
    <s v="CREDITOR"/>
    <n v="0"/>
    <n v="0"/>
    <n v="0"/>
    <n v="0"/>
    <n v="10.51"/>
  </r>
  <r>
    <n v="60147697"/>
    <s v="N"/>
    <n v="21328215"/>
    <s v="3000014472360032"/>
    <s v="CIVIL"/>
    <d v="2023-06-30T00:00:00"/>
    <d v="2023-07-04T19:00:44"/>
    <m/>
    <d v="2023-07-04T00:00:00"/>
    <n v="1105"/>
    <n v="18230"/>
    <s v="60147697"/>
    <s v="60147697"/>
    <m/>
    <m/>
    <n v="22795380"/>
    <m/>
    <m/>
    <m/>
    <s v="SOLFIN"/>
    <s v="SOLFIN"/>
    <s v="CCMS"/>
    <n v="21328215"/>
    <n v="32839.17"/>
    <m/>
    <s v="N"/>
    <n v="16"/>
    <d v="2023-07-04T19:01:08"/>
    <s v="Y"/>
    <s v="Case Management Conference (Events "/>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66"/>
    <d v="2023-07-06T19:21:27"/>
    <s v="Y"/>
    <s v="Interpreter"/>
    <s v="Private Law Children"/>
    <s v="Expert Disbursement"/>
    <s v="ES"/>
    <s v="Y"/>
    <n v="28"/>
    <n v="5.6"/>
    <x v="4"/>
    <s v="VALIDATED"/>
    <n v="1"/>
    <s v="01.11.80.307.6300.0000"/>
    <n v="28"/>
    <s v="11"/>
    <s v="6300"/>
    <n v="53101.42"/>
    <n v="28"/>
    <s v="CREDITOR"/>
    <n v="0"/>
    <n v="0"/>
    <n v="0"/>
    <n v="0"/>
    <n v="28"/>
  </r>
  <r>
    <n v="60330198"/>
    <s v="N"/>
    <n v="21330923"/>
    <s v="3000014627810013"/>
    <s v="CIVIL"/>
    <d v="2023-06-19T00:00:00"/>
    <d v="2023-07-05T19:01:47"/>
    <m/>
    <d v="2023-07-05T00:00:00"/>
    <n v="1105"/>
    <n v="18230"/>
    <s v="60330198"/>
    <s v="60330198"/>
    <m/>
    <m/>
    <n v="22717396"/>
    <m/>
    <m/>
    <m/>
    <s v="SOLFIN"/>
    <s v="SOLFIN"/>
    <s v="CCMS"/>
    <n v="21330923"/>
    <n v="28516.42"/>
    <m/>
    <s v="N"/>
    <n v="40"/>
    <d v="2023-07-05T19:01:57"/>
    <s v="Y"/>
    <s v="Preparation - other"/>
    <s v="Care Remuneration Hourly Rates"/>
    <s v="Profit Cost"/>
    <s v="DS"/>
    <s v="Y"/>
    <n v="21.03"/>
    <n v="4.21"/>
    <x v="6"/>
    <s v="VALIDATED"/>
    <n v="1"/>
    <s v="01.11.80.308.6100.0000"/>
    <n v="21.03"/>
    <s v="11"/>
    <s v="6100"/>
    <n v="53101.42"/>
    <n v="21.03"/>
    <s v="CREDITOR"/>
    <n v="0"/>
    <n v="0"/>
    <n v="0"/>
    <n v="0"/>
    <n v="21.03"/>
  </r>
  <r>
    <n v="60147697"/>
    <s v="N"/>
    <n v="21328215"/>
    <s v="3000014472360032"/>
    <s v="CIVIL"/>
    <d v="2023-06-30T00:00:00"/>
    <d v="2023-07-04T19:00:44"/>
    <m/>
    <d v="2023-07-04T00:00:00"/>
    <n v="1105"/>
    <n v="18230"/>
    <s v="60147697"/>
    <s v="60147697"/>
    <m/>
    <m/>
    <n v="22795380"/>
    <m/>
    <m/>
    <m/>
    <s v="SOLFIN"/>
    <s v="SOLFIN"/>
    <s v="CCMS"/>
    <n v="21328215"/>
    <n v="32839.17"/>
    <m/>
    <s v="N"/>
    <n v="24"/>
    <d v="2023-07-04T19:01:08"/>
    <s v="Y"/>
    <s v="Finding-of-Fact Hearing (Events Mod"/>
    <s v="VHCC"/>
    <s v="Profit Cost"/>
    <s v="SB"/>
    <s v="Y"/>
    <n v="1107"/>
    <n v="221.4"/>
    <x v="1"/>
    <s v="VALIDATED"/>
    <n v="1"/>
    <s v="01.11.80.308.6100.0000"/>
    <n v="1107"/>
    <s v="11"/>
    <s v="6100"/>
    <n v="53101.42"/>
    <n v="1107"/>
    <s v="CREDITOR"/>
    <n v="0"/>
    <n v="0"/>
    <n v="0"/>
    <n v="0"/>
    <n v="1107"/>
  </r>
  <r>
    <n v="60147697"/>
    <s v="N"/>
    <n v="21328215"/>
    <s v="3000014472360032"/>
    <s v="CIVIL"/>
    <d v="2023-06-30T00:00:00"/>
    <d v="2023-07-04T19:00:44"/>
    <m/>
    <d v="2023-07-04T00:00:00"/>
    <n v="1105"/>
    <n v="18230"/>
    <s v="60147697"/>
    <s v="60147697"/>
    <m/>
    <m/>
    <n v="22795380"/>
    <m/>
    <m/>
    <m/>
    <s v="SOLFIN"/>
    <s v="SOLFIN"/>
    <s v="CCMS"/>
    <n v="21328215"/>
    <n v="32839.17"/>
    <m/>
    <s v="N"/>
    <n v="37"/>
    <d v="2023-07-04T19:01:08"/>
    <s v="Y"/>
    <s v="Court Fee"/>
    <s v="VHCC"/>
    <s v="Non Expert Disbursement"/>
    <s v="SB"/>
    <s v="Y"/>
    <n v="167"/>
    <n v="0"/>
    <x v="1"/>
    <s v="VALIDATED"/>
    <n v="1"/>
    <s v="01.11.80.308.6300.0000"/>
    <n v="167"/>
    <s v="11"/>
    <s v="6300"/>
    <n v="53101.42"/>
    <n v="167"/>
    <s v="CREDITOR"/>
    <n v="0"/>
    <n v="0"/>
    <n v="0"/>
    <n v="0"/>
    <n v="167"/>
  </r>
  <r>
    <n v="62260705"/>
    <s v="N"/>
    <n v="21321973"/>
    <s v="3000016258450004"/>
    <s v="CIVIL"/>
    <d v="2023-06-29T00:00:00"/>
    <d v="2023-07-03T19:05:17"/>
    <m/>
    <d v="2023-07-03T00:00:00"/>
    <n v="1105"/>
    <n v="18230"/>
    <s v="62260705"/>
    <s v="62260705"/>
    <m/>
    <m/>
    <n v="22786004"/>
    <m/>
    <m/>
    <m/>
    <s v="SOLPOA"/>
    <s v="SOLPOA"/>
    <s v="CCMS"/>
    <n v="21321973"/>
    <n v="304.98"/>
    <m/>
    <s v="N"/>
    <n v="1"/>
    <d v="2023-07-03T19:05:21"/>
    <s v="N"/>
    <s v="Expert Cost"/>
    <s v="Expert Cost"/>
    <s v="Expert Disbursement"/>
    <s v="Sam Gallett"/>
    <s v="N"/>
    <n v="254.15"/>
    <n v="50.83"/>
    <x v="3"/>
    <s v="VALIDATED"/>
    <n v="1"/>
    <s v="01.11.80.308.2012.0000"/>
    <n v="254.15"/>
    <s v="11"/>
    <s v="2012"/>
    <n v="53101.42"/>
    <n v="254.15"/>
    <s v="CREDITOR"/>
    <n v="254.15"/>
    <n v="0"/>
    <n v="0"/>
    <n v="0"/>
    <n v="0"/>
  </r>
  <r>
    <n v="60330198"/>
    <s v="N"/>
    <n v="21330923"/>
    <s v="3000014627810013"/>
    <s v="CIVIL"/>
    <d v="2023-06-19T00:00:00"/>
    <d v="2023-07-05T19:01:47"/>
    <m/>
    <d v="2023-07-05T00:00:00"/>
    <n v="1105"/>
    <n v="18230"/>
    <s v="60330198"/>
    <s v="60330198"/>
    <m/>
    <m/>
    <n v="22717396"/>
    <m/>
    <m/>
    <m/>
    <s v="SOLFIN"/>
    <s v="SOLFIN"/>
    <s v="CCMS"/>
    <n v="21330923"/>
    <n v="28516.42"/>
    <m/>
    <s v="N"/>
    <n v="48"/>
    <d v="2023-07-05T19:01:57"/>
    <s v="Y"/>
    <s v="Preparation - other"/>
    <s v="Care Remuneration Hourly Rates"/>
    <s v="Profit Cost"/>
    <s v="DS"/>
    <s v="Y"/>
    <n v="84.11"/>
    <n v="16.82"/>
    <x v="6"/>
    <s v="VALIDATED"/>
    <n v="1"/>
    <s v="01.11.80.308.6100.0000"/>
    <n v="84.11"/>
    <s v="11"/>
    <s v="6100"/>
    <n v="53101.42"/>
    <n v="84.11"/>
    <s v="CREDITOR"/>
    <n v="0"/>
    <n v="0"/>
    <n v="0"/>
    <n v="0"/>
    <n v="84.11"/>
  </r>
  <r>
    <n v="60330198"/>
    <s v="N"/>
    <n v="21330923"/>
    <s v="3000014627810013"/>
    <s v="CIVIL"/>
    <d v="2023-06-19T00:00:00"/>
    <d v="2023-07-05T19:01:47"/>
    <m/>
    <d v="2023-07-05T00:00:00"/>
    <n v="1105"/>
    <n v="18230"/>
    <s v="60330198"/>
    <s v="60330198"/>
    <m/>
    <m/>
    <n v="22717396"/>
    <m/>
    <m/>
    <m/>
    <s v="SOLFIN"/>
    <s v="SOLFIN"/>
    <s v="CCMS"/>
    <n v="21330923"/>
    <n v="28516.42"/>
    <m/>
    <s v="N"/>
    <n v="59"/>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80"/>
    <d v="2023-07-05T19:01:57"/>
    <s v="Y"/>
    <s v="Preparation - drafting attendance n"/>
    <s v="Care Remuneration Hourly Rates"/>
    <s v="Profit Cost"/>
    <s v="DS"/>
    <s v="Y"/>
    <n v="26.29"/>
    <n v="5.26"/>
    <x v="6"/>
    <s v="VALIDATED"/>
    <n v="1"/>
    <s v="01.11.80.308.6100.0000"/>
    <n v="26.29"/>
    <s v="11"/>
    <s v="6100"/>
    <n v="53101.42"/>
    <n v="26.29"/>
    <s v="CREDITOR"/>
    <n v="0"/>
    <n v="0"/>
    <n v="0"/>
    <n v="0"/>
    <n v="26.29"/>
  </r>
  <r>
    <n v="60330198"/>
    <s v="N"/>
    <n v="21330923"/>
    <s v="3000014627810013"/>
    <s v="CIVIL"/>
    <d v="2023-06-19T00:00:00"/>
    <d v="2023-07-05T19:01:47"/>
    <m/>
    <d v="2023-07-05T00:00:00"/>
    <n v="1105"/>
    <n v="18230"/>
    <s v="60330198"/>
    <s v="60330198"/>
    <m/>
    <m/>
    <n v="22717396"/>
    <m/>
    <m/>
    <m/>
    <s v="SOLFIN"/>
    <s v="SOLFIN"/>
    <s v="CCMS"/>
    <n v="21330923"/>
    <n v="28516.42"/>
    <m/>
    <s v="N"/>
    <n v="155"/>
    <d v="2023-07-05T19:01:57"/>
    <s v="Y"/>
    <s v="Hearing Unit 2.31 - 5.00 Hours"/>
    <s v="Public Law Children"/>
    <s v="Advocacy"/>
    <s v="BJF"/>
    <s v="Y"/>
    <n v="476.92"/>
    <n v="95.38"/>
    <x v="6"/>
    <s v="VALIDATED"/>
    <n v="1"/>
    <s v="01.11.80.308.6100.0000"/>
    <n v="476.92"/>
    <s v="11"/>
    <s v="6100"/>
    <n v="53101.42"/>
    <n v="476.92"/>
    <s v="CREDITOR"/>
    <n v="0"/>
    <n v="0"/>
    <n v="0"/>
    <n v="0"/>
    <n v="476.92"/>
  </r>
  <r>
    <n v="60330198"/>
    <s v="N"/>
    <n v="21330923"/>
    <s v="3000014627810013"/>
    <s v="CIVIL"/>
    <d v="2023-06-19T00:00:00"/>
    <d v="2023-07-05T19:01:47"/>
    <m/>
    <d v="2023-07-05T00:00:00"/>
    <n v="1105"/>
    <n v="18230"/>
    <s v="60330198"/>
    <s v="60330198"/>
    <m/>
    <m/>
    <n v="22717396"/>
    <m/>
    <m/>
    <m/>
    <s v="SOLFIN"/>
    <s v="SOLFIN"/>
    <s v="CCMS"/>
    <n v="21330923"/>
    <n v="28516.42"/>
    <m/>
    <s v="N"/>
    <n v="10"/>
    <d v="2023-07-05T19:01:57"/>
    <s v="Y"/>
    <s v="Psychologist"/>
    <s v="Public Law Children"/>
    <s v="Expert Disbursement"/>
    <s v="DS"/>
    <s v="Y"/>
    <n v="2352"/>
    <n v="470.38"/>
    <x v="6"/>
    <s v="VALIDATED"/>
    <n v="1"/>
    <s v="01.11.80.308.6300.0000"/>
    <n v="2352"/>
    <s v="11"/>
    <s v="6300"/>
    <n v="53101.42"/>
    <n v="2352"/>
    <s v="CREDITOR"/>
    <n v="0"/>
    <n v="0"/>
    <n v="0"/>
    <n v="0"/>
    <n v="2352"/>
  </r>
  <r>
    <n v="60330198"/>
    <s v="N"/>
    <n v="21330923"/>
    <s v="3000014627810013"/>
    <s v="CIVIL"/>
    <d v="2023-06-19T00:00:00"/>
    <d v="2023-07-05T19:01:47"/>
    <m/>
    <d v="2023-07-05T00:00:00"/>
    <n v="1105"/>
    <n v="18230"/>
    <s v="60330198"/>
    <s v="60330198"/>
    <m/>
    <m/>
    <n v="22717396"/>
    <m/>
    <m/>
    <m/>
    <s v="SOLFIN"/>
    <s v="SOLFIN"/>
    <s v="CCMS"/>
    <n v="21330923"/>
    <n v="28516.42"/>
    <m/>
    <s v="N"/>
    <n v="126"/>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95"/>
    <d v="2023-07-05T19:01:57"/>
    <s v="Y"/>
    <s v="Preparation - drafting attendance n"/>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53"/>
    <d v="2023-07-05T19:01:57"/>
    <s v="Y"/>
    <s v="Preparation - drafting attendance n"/>
    <s v="Care Remuneration Hourly Rates"/>
    <s v="Profit Cost"/>
    <s v="DS"/>
    <s v="Y"/>
    <n v="5.26"/>
    <n v="1.05"/>
    <x v="6"/>
    <s v="VALIDATED"/>
    <n v="1"/>
    <s v="01.11.80.308.6100.0000"/>
    <n v="5.26"/>
    <s v="11"/>
    <s v="6100"/>
    <n v="53101.42"/>
    <n v="5.26"/>
    <s v="CREDITOR"/>
    <n v="0"/>
    <n v="0"/>
    <n v="0"/>
    <n v="0"/>
    <n v="5.26"/>
  </r>
  <r>
    <n v="61811168"/>
    <s v="N"/>
    <n v="21321518"/>
    <s v="3000015881050009"/>
    <s v="CIVIL"/>
    <d v="2023-06-29T00:00:00"/>
    <d v="2023-07-03T19:05:17"/>
    <m/>
    <d v="2023-07-03T00:00:00"/>
    <n v="1105"/>
    <n v="18230"/>
    <s v="61811168"/>
    <s v="61811168"/>
    <m/>
    <m/>
    <n v="22785214"/>
    <m/>
    <m/>
    <m/>
    <s v="SOLPOA"/>
    <s v="SOLPOA"/>
    <s v="CCMS"/>
    <n v="21321518"/>
    <n v="167"/>
    <m/>
    <s v="N"/>
    <n v="1"/>
    <d v="2023-07-03T19:05:19"/>
    <s v="N"/>
    <s v="Non Expert Disbursement"/>
    <s v="Non Expert Disbursement"/>
    <s v="Non Expert Disbursement"/>
    <s v="Hannah Street"/>
    <s v="N"/>
    <n v="167"/>
    <n v="0"/>
    <x v="3"/>
    <s v="VALIDATED"/>
    <n v="1"/>
    <s v="01.11.80.308.2012.0000"/>
    <n v="167"/>
    <s v="11"/>
    <s v="2012"/>
    <n v="53101.42"/>
    <n v="167"/>
    <s v="CREDITOR"/>
    <n v="167"/>
    <n v="0"/>
    <n v="0"/>
    <n v="0"/>
    <n v="0"/>
  </r>
  <r>
    <n v="60147697"/>
    <s v="N"/>
    <n v="21328215"/>
    <s v="3000014472360032"/>
    <s v="CIVIL"/>
    <d v="2023-06-30T00:00:00"/>
    <d v="2023-07-04T19:00:44"/>
    <m/>
    <d v="2023-07-04T00:00:00"/>
    <n v="1105"/>
    <n v="18230"/>
    <s v="60147697"/>
    <s v="60147697"/>
    <m/>
    <m/>
    <n v="22795380"/>
    <m/>
    <m/>
    <m/>
    <s v="SOLFIN"/>
    <s v="SOLFIN"/>
    <s v="CCMS"/>
    <n v="21328215"/>
    <n v="32839.17"/>
    <m/>
    <s v="N"/>
    <n v="31"/>
    <d v="2023-07-04T19:01:08"/>
    <s v="Y"/>
    <s v="Solicitor Travel Mileage"/>
    <s v="VHCC"/>
    <s v="Non Expert Disbursement"/>
    <s v="SB"/>
    <s v="Y"/>
    <n v="49.5"/>
    <n v="9.9"/>
    <x v="1"/>
    <s v="VALIDATED"/>
    <n v="1"/>
    <s v="01.11.80.308.6300.0000"/>
    <n v="49.5"/>
    <s v="11"/>
    <s v="6300"/>
    <n v="53101.42"/>
    <n v="49.5"/>
    <s v="CREDITOR"/>
    <n v="0"/>
    <n v="0"/>
    <n v="0"/>
    <n v="0"/>
    <n v="49.5"/>
  </r>
  <r>
    <n v="61758055"/>
    <s v="N"/>
    <n v="21321853"/>
    <s v="3000015837240009"/>
    <s v="CIVIL"/>
    <d v="2023-06-29T00:00:00"/>
    <d v="2023-07-03T19:05:17"/>
    <m/>
    <d v="2023-07-03T00:00:00"/>
    <n v="1105"/>
    <n v="18230"/>
    <s v="61758055"/>
    <s v="61758055"/>
    <m/>
    <m/>
    <n v="22785954"/>
    <m/>
    <m/>
    <m/>
    <s v="SOLPOA"/>
    <s v="SOLPOA"/>
    <s v="CCMS"/>
    <n v="21321853"/>
    <n v="549.1799999999999"/>
    <m/>
    <s v="N"/>
    <n v="1"/>
    <d v="2023-07-03T19:05:21"/>
    <s v="N"/>
    <s v="Non Expert Disbursement"/>
    <s v="Non Expert Disbursement"/>
    <s v="Non Expert Disbursement"/>
    <s v="Sam Gallett"/>
    <s v="N"/>
    <n v="457.65"/>
    <n v="91.53"/>
    <x v="3"/>
    <s v="VALIDATED"/>
    <n v="1"/>
    <s v="01.11.80.308.2012.0000"/>
    <n v="457.65"/>
    <s v="11"/>
    <s v="2012"/>
    <n v="53101.42"/>
    <n v="457.65"/>
    <s v="CREDITOR"/>
    <n v="457.65"/>
    <n v="0"/>
    <n v="0"/>
    <n v="0"/>
    <n v="0"/>
  </r>
  <r>
    <n v="60330198"/>
    <s v="N"/>
    <n v="21330923"/>
    <s v="3000014627810013"/>
    <s v="CIVIL"/>
    <d v="2023-06-19T00:00:00"/>
    <d v="2023-07-05T19:01:47"/>
    <m/>
    <d v="2023-07-05T00:00:00"/>
    <n v="1105"/>
    <n v="18230"/>
    <s v="60330198"/>
    <s v="60330198"/>
    <m/>
    <m/>
    <n v="22717396"/>
    <m/>
    <m/>
    <m/>
    <s v="SOLFIN"/>
    <s v="SOLFIN"/>
    <s v="CCMS"/>
    <n v="21330923"/>
    <n v="28516.42"/>
    <m/>
    <s v="N"/>
    <n v="115"/>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47"/>
    <d v="2023-07-05T19:01:57"/>
    <s v="Y"/>
    <s v="Hearing Unit 5.01 - 7.30 Hours"/>
    <s v="Public Law Children"/>
    <s v="Advocacy"/>
    <s v="BJF"/>
    <s v="Y"/>
    <n v="715.38"/>
    <n v="143.07"/>
    <x v="6"/>
    <s v="VALIDATED"/>
    <n v="1"/>
    <s v="01.11.80.308.6100.0000"/>
    <n v="715.38"/>
    <s v="11"/>
    <s v="6100"/>
    <n v="53101.42"/>
    <n v="715.38"/>
    <s v="CREDITOR"/>
    <n v="0"/>
    <n v="0"/>
    <n v="0"/>
    <n v="0"/>
    <n v="715.38"/>
  </r>
  <r>
    <n v="60330198"/>
    <s v="N"/>
    <n v="21330923"/>
    <s v="3000014627810013"/>
    <s v="CIVIL"/>
    <d v="2023-06-19T00:00:00"/>
    <d v="2023-07-05T19:01:47"/>
    <m/>
    <d v="2023-07-05T00:00:00"/>
    <n v="1105"/>
    <n v="18230"/>
    <s v="60330198"/>
    <s v="60330198"/>
    <m/>
    <m/>
    <n v="22717396"/>
    <m/>
    <m/>
    <m/>
    <s v="SOLFIN"/>
    <s v="SOLFIN"/>
    <s v="CCMS"/>
    <n v="21330923"/>
    <n v="28516.42"/>
    <m/>
    <s v="N"/>
    <n v="134"/>
    <d v="2023-07-05T19:01:57"/>
    <s v="Y"/>
    <s v="Preparation - other"/>
    <s v="Care Remuneration Hourly Rates"/>
    <s v="Profit Cost"/>
    <s v="DS"/>
    <s v="Y"/>
    <n v="5.26"/>
    <n v="1.05"/>
    <x v="6"/>
    <s v="VALIDATED"/>
    <n v="1"/>
    <s v="01.11.80.308.6100.0000"/>
    <n v="5.26"/>
    <s v="11"/>
    <s v="6100"/>
    <n v="53101.42"/>
    <n v="5.26"/>
    <s v="CREDITOR"/>
    <n v="0"/>
    <n v="0"/>
    <n v="0"/>
    <n v="0"/>
    <n v="5.26"/>
  </r>
  <r>
    <n v="61692826"/>
    <s v="N"/>
    <n v="21338513"/>
    <s v="3000015781560013"/>
    <s v="CIVIL"/>
    <d v="2023-06-28T00:00:00"/>
    <d v="2023-07-06T19:21:01"/>
    <m/>
    <d v="2023-07-06T00:00:00"/>
    <n v="1105"/>
    <n v="18230"/>
    <s v="61692826"/>
    <s v="61692826"/>
    <m/>
    <m/>
    <n v="22778096"/>
    <m/>
    <m/>
    <m/>
    <s v="SOLFIN"/>
    <s v="SOLFIN"/>
    <s v="CCMS"/>
    <n v="21338513"/>
    <n v="4218.91"/>
    <m/>
    <s v="N"/>
    <n v="41"/>
    <d v="2023-07-06T19:21:27"/>
    <s v="Y"/>
    <s v="Preparation - drafting attendance n"/>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50"/>
    <d v="2023-07-05T19:01:57"/>
    <s v="Y"/>
    <s v="Preparation - other"/>
    <s v="Care Remuneration Hourly Rates"/>
    <s v="Profit Cost"/>
    <s v="DS"/>
    <s v="Y"/>
    <n v="26.29"/>
    <n v="5.26"/>
    <x v="6"/>
    <s v="VALIDATED"/>
    <n v="1"/>
    <s v="01.11.80.308.6100.0000"/>
    <n v="26.29"/>
    <s v="11"/>
    <s v="6100"/>
    <n v="53101.42"/>
    <n v="26.29"/>
    <s v="CREDITOR"/>
    <n v="0"/>
    <n v="0"/>
    <n v="0"/>
    <n v="0"/>
    <n v="26.29"/>
  </r>
  <r>
    <n v="60330198"/>
    <s v="N"/>
    <n v="21330923"/>
    <s v="3000014627810013"/>
    <s v="CIVIL"/>
    <d v="2023-06-19T00:00:00"/>
    <d v="2023-07-05T19:01:47"/>
    <m/>
    <d v="2023-07-05T00:00:00"/>
    <n v="1105"/>
    <n v="18230"/>
    <s v="60330198"/>
    <s v="60330198"/>
    <m/>
    <m/>
    <n v="22717396"/>
    <m/>
    <m/>
    <m/>
    <s v="SOLFIN"/>
    <s v="SOLFIN"/>
    <s v="CCMS"/>
    <n v="21330923"/>
    <n v="28516.42"/>
    <m/>
    <s v="N"/>
    <n v="73"/>
    <d v="2023-07-05T19:01:57"/>
    <s v="Y"/>
    <s v="Preparation - other"/>
    <s v="Care Remuneration Hourly Rates"/>
    <s v="Profit Cost"/>
    <s v="DS"/>
    <s v="Y"/>
    <n v="21.03"/>
    <n v="4.21"/>
    <x v="6"/>
    <s v="VALIDATED"/>
    <n v="1"/>
    <s v="01.11.80.308.6100.0000"/>
    <n v="21.03"/>
    <s v="11"/>
    <s v="6100"/>
    <n v="53101.42"/>
    <n v="21.03"/>
    <s v="CREDITOR"/>
    <n v="0"/>
    <n v="0"/>
    <n v="0"/>
    <n v="0"/>
    <n v="21.03"/>
  </r>
  <r>
    <n v="61055520"/>
    <s v="N"/>
    <n v="21321607"/>
    <s v="3000015251150027"/>
    <s v="CIVIL"/>
    <d v="2023-06-29T00:00:00"/>
    <d v="2023-07-03T19:05:17"/>
    <m/>
    <d v="2023-07-03T00:00:00"/>
    <n v="1105"/>
    <n v="18230"/>
    <s v="61055520"/>
    <s v="61055520"/>
    <m/>
    <m/>
    <n v="22786320"/>
    <m/>
    <m/>
    <m/>
    <s v="SOLPOA"/>
    <s v="SOLPOA"/>
    <s v="CCMS"/>
    <n v="21321607"/>
    <n v="107.04"/>
    <m/>
    <s v="N"/>
    <n v="1"/>
    <d v="2023-07-03T19:05:19"/>
    <s v="N"/>
    <s v="Non Expert Disbursement"/>
    <s v="Non Expert Disbursement"/>
    <s v="Non Expert Disbursement"/>
    <s v="Varun Lal"/>
    <s v="N"/>
    <n v="89.2"/>
    <n v="17.84"/>
    <x v="3"/>
    <s v="VALIDATED"/>
    <n v="1"/>
    <s v="01.11.80.308.2012.0000"/>
    <n v="89.2"/>
    <s v="11"/>
    <s v="2012"/>
    <n v="53101.42"/>
    <n v="89.2"/>
    <s v="CREDITOR"/>
    <n v="89.2"/>
    <n v="0"/>
    <n v="0"/>
    <n v="0"/>
    <n v="0"/>
  </r>
  <r>
    <n v="61692826"/>
    <s v="N"/>
    <n v="21338513"/>
    <s v="3000015781560013"/>
    <s v="CIVIL"/>
    <d v="2023-06-28T00:00:00"/>
    <d v="2023-07-06T19:21:01"/>
    <m/>
    <d v="2023-07-06T00:00:00"/>
    <n v="1105"/>
    <n v="18230"/>
    <s v="61692826"/>
    <s v="61692826"/>
    <m/>
    <m/>
    <n v="22778096"/>
    <m/>
    <m/>
    <m/>
    <s v="SOLFIN"/>
    <s v="SOLFIN"/>
    <s v="CCMS"/>
    <n v="21338513"/>
    <n v="4218.91"/>
    <m/>
    <s v="N"/>
    <n v="42"/>
    <d v="2023-07-06T19:21:27"/>
    <s v="Y"/>
    <s v="Preparation - other"/>
    <s v="Prescribed Hourly Rates"/>
    <s v="Profit Cost"/>
    <s v="ES"/>
    <s v="Y"/>
    <n v="10.98"/>
    <n v="2.2"/>
    <x v="4"/>
    <s v="VALIDATED"/>
    <n v="1"/>
    <s v="01.11.80.307.6100.0000"/>
    <n v="10.98"/>
    <s v="11"/>
    <s v="6100"/>
    <n v="53101.42"/>
    <n v="10.98"/>
    <s v="CREDITOR"/>
    <n v="0"/>
    <n v="0"/>
    <n v="0"/>
    <n v="0"/>
    <n v="10.98"/>
  </r>
  <r>
    <n v="60330198"/>
    <s v="N"/>
    <n v="21330923"/>
    <s v="3000014627810013"/>
    <s v="CIVIL"/>
    <d v="2023-06-19T00:00:00"/>
    <d v="2023-07-05T19:01:47"/>
    <m/>
    <d v="2023-07-05T00:00:00"/>
    <n v="1105"/>
    <n v="18230"/>
    <s v="60330198"/>
    <s v="60330198"/>
    <m/>
    <m/>
    <n v="22717396"/>
    <m/>
    <m/>
    <m/>
    <s v="SOLFIN"/>
    <s v="SOLFIN"/>
    <s v="CCMS"/>
    <n v="21330923"/>
    <n v="28516.42"/>
    <m/>
    <s v="N"/>
    <n v="24"/>
    <d v="2023-07-05T19:01:57"/>
    <s v="Y"/>
    <s v="Preparation - drafting attendance n"/>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17"/>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32"/>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72"/>
    <d v="2023-07-05T19:01:57"/>
    <s v="Y"/>
    <s v="Preparation - other"/>
    <s v="Care Remuneration Hourly Rates"/>
    <s v="Profit Cost"/>
    <s v="DS"/>
    <s v="Y"/>
    <n v="26.29"/>
    <n v="5.26"/>
    <x v="6"/>
    <s v="VALIDATED"/>
    <n v="1"/>
    <s v="01.11.80.308.6100.0000"/>
    <n v="26.29"/>
    <s v="11"/>
    <s v="6100"/>
    <n v="53101.42"/>
    <n v="26.29"/>
    <s v="CREDITOR"/>
    <n v="0"/>
    <n v="0"/>
    <n v="0"/>
    <n v="0"/>
    <n v="26.29"/>
  </r>
  <r>
    <n v="60330198"/>
    <s v="N"/>
    <n v="21330923"/>
    <s v="3000014627810013"/>
    <s v="CIVIL"/>
    <d v="2023-06-19T00:00:00"/>
    <d v="2023-07-05T19:01:47"/>
    <m/>
    <d v="2023-07-05T00:00:00"/>
    <n v="1105"/>
    <n v="18230"/>
    <s v="60330198"/>
    <s v="60330198"/>
    <m/>
    <m/>
    <n v="22717396"/>
    <m/>
    <m/>
    <m/>
    <s v="SOLFIN"/>
    <s v="SOLFIN"/>
    <s v="CCMS"/>
    <n v="21330923"/>
    <n v="28516.42"/>
    <m/>
    <s v="N"/>
    <n v="93"/>
    <d v="2023-07-05T19:01:57"/>
    <s v="Y"/>
    <s v="Preparation - other"/>
    <s v="Care Remuneration Hourly Rates"/>
    <s v="Profit Cost"/>
    <s v="DS"/>
    <s v="Y"/>
    <n v="15.77"/>
    <n v="3.15"/>
    <x v="6"/>
    <s v="VALIDATED"/>
    <n v="1"/>
    <s v="01.11.80.308.6100.0000"/>
    <n v="15.77"/>
    <s v="11"/>
    <s v="6100"/>
    <n v="53101.42"/>
    <n v="15.77"/>
    <s v="CREDITOR"/>
    <n v="0"/>
    <n v="0"/>
    <n v="0"/>
    <n v="0"/>
    <n v="15.77"/>
  </r>
  <r>
    <n v="60147697"/>
    <s v="N"/>
    <n v="21328215"/>
    <s v="3000014472360032"/>
    <s v="CIVIL"/>
    <d v="2023-06-30T00:00:00"/>
    <d v="2023-07-04T19:00:44"/>
    <m/>
    <d v="2023-07-04T00:00:00"/>
    <n v="1105"/>
    <n v="18230"/>
    <s v="60147697"/>
    <s v="60147697"/>
    <m/>
    <m/>
    <n v="22795380"/>
    <m/>
    <m/>
    <m/>
    <s v="SOLFIN"/>
    <s v="SOLFIN"/>
    <s v="CCMS"/>
    <n v="21328215"/>
    <n v="32839.17"/>
    <m/>
    <s v="N"/>
    <n v="36"/>
    <d v="2023-07-04T19:01:08"/>
    <s v="Y"/>
    <s v="Court Fee"/>
    <s v="VHCC"/>
    <s v="Non Expert Disbursement"/>
    <s v="SB"/>
    <s v="Y"/>
    <n v="167"/>
    <n v="0"/>
    <x v="1"/>
    <s v="VALIDATED"/>
    <n v="1"/>
    <s v="01.11.80.308.6300.0000"/>
    <n v="167"/>
    <s v="11"/>
    <s v="6300"/>
    <n v="53101.42"/>
    <n v="167"/>
    <s v="CREDITOR"/>
    <n v="0"/>
    <n v="0"/>
    <n v="0"/>
    <n v="0"/>
    <n v="167"/>
  </r>
  <r>
    <n v="60147697"/>
    <s v="N"/>
    <n v="21328215"/>
    <s v="3000014472360032"/>
    <s v="CIVIL"/>
    <d v="2023-06-30T00:00:00"/>
    <d v="2023-07-04T19:00:44"/>
    <m/>
    <d v="2023-07-04T00:00:00"/>
    <n v="1105"/>
    <n v="18230"/>
    <s v="60147697"/>
    <s v="60147697"/>
    <m/>
    <m/>
    <n v="22795380"/>
    <m/>
    <m/>
    <m/>
    <s v="SOLFIN"/>
    <s v="SOLFIN"/>
    <s v="CCMS"/>
    <n v="21328215"/>
    <n v="32839.17"/>
    <m/>
    <s v="N"/>
    <n v="45"/>
    <d v="2023-07-04T19:01:08"/>
    <s v="Y"/>
    <s v="Solicitor Travel Expenses"/>
    <s v="VHCC"/>
    <s v="Non Expert Disbursement"/>
    <s v="SB"/>
    <s v="Y"/>
    <n v="6"/>
    <n v="1.2"/>
    <x v="1"/>
    <s v="VALIDATED"/>
    <n v="1"/>
    <s v="01.11.80.308.6300.0000"/>
    <n v="6"/>
    <s v="11"/>
    <s v="6300"/>
    <n v="53101.42"/>
    <n v="6"/>
    <s v="CREDITOR"/>
    <n v="0"/>
    <n v="0"/>
    <n v="0"/>
    <n v="0"/>
    <n v="6"/>
  </r>
  <r>
    <n v="62298982"/>
    <s v="N"/>
    <n v="21322041"/>
    <s v="3000016280180004"/>
    <s v="CIVIL"/>
    <d v="2023-06-29T00:00:00"/>
    <d v="2023-07-03T19:05:17"/>
    <m/>
    <d v="2023-07-03T00:00:00"/>
    <n v="1105"/>
    <n v="18230"/>
    <s v="62298982"/>
    <s v="62298982"/>
    <m/>
    <m/>
    <n v="22786016"/>
    <m/>
    <m/>
    <m/>
    <s v="SOLPOA"/>
    <s v="SOLPOA"/>
    <s v="CCMS"/>
    <n v="21322041"/>
    <n v="184.25"/>
    <m/>
    <s v="N"/>
    <n v="1"/>
    <d v="2023-07-03T19:05:22"/>
    <s v="N"/>
    <s v="Expert Cost"/>
    <s v="Expert Cost"/>
    <s v="Expert Disbursement"/>
    <s v="Dawn Sweeney"/>
    <s v="N"/>
    <n v="184.25"/>
    <n v="0"/>
    <x v="3"/>
    <s v="VALIDATED"/>
    <n v="1"/>
    <s v="01.11.80.308.2012.0000"/>
    <n v="184.25"/>
    <s v="11"/>
    <s v="2012"/>
    <n v="53101.42"/>
    <n v="184.25"/>
    <s v="CREDITOR"/>
    <n v="184.25"/>
    <n v="0"/>
    <n v="0"/>
    <n v="0"/>
    <n v="0"/>
  </r>
  <r>
    <n v="61692826"/>
    <s v="N"/>
    <n v="21338513"/>
    <s v="3000015781560013"/>
    <s v="CIVIL"/>
    <d v="2023-06-28T00:00:00"/>
    <d v="2023-07-06T19:21:01"/>
    <m/>
    <d v="2023-07-06T00:00:00"/>
    <n v="1105"/>
    <n v="18230"/>
    <s v="61692826"/>
    <s v="61692826"/>
    <m/>
    <m/>
    <n v="22778096"/>
    <m/>
    <m/>
    <m/>
    <s v="SOLFIN"/>
    <s v="SOLFIN"/>
    <s v="CCMS"/>
    <n v="21338513"/>
    <n v="4218.91"/>
    <m/>
    <s v="N"/>
    <n v="11"/>
    <d v="2023-07-06T19:21:27"/>
    <s v="Y"/>
    <s v="Preparation - other"/>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28"/>
    <d v="2023-07-06T19:21:27"/>
    <s v="Y"/>
    <s v="Preparation - drafting attendance n"/>
    <s v="Prescribed Hourly Rates"/>
    <s v="Profit Cost"/>
    <s v="ES"/>
    <s v="Y"/>
    <n v="10.98"/>
    <n v="2.2"/>
    <x v="4"/>
    <s v="VALIDATED"/>
    <n v="1"/>
    <s v="01.11.80.307.6100.0000"/>
    <n v="10.98"/>
    <s v="11"/>
    <s v="6100"/>
    <n v="53101.42"/>
    <n v="10.98"/>
    <s v="CREDITOR"/>
    <n v="0"/>
    <n v="0"/>
    <n v="0"/>
    <n v="0"/>
    <n v="10.98"/>
  </r>
  <r>
    <n v="60330198"/>
    <s v="N"/>
    <n v="21330923"/>
    <s v="3000014627810013"/>
    <s v="CIVIL"/>
    <d v="2023-06-19T00:00:00"/>
    <d v="2023-07-05T19:01:47"/>
    <m/>
    <d v="2023-07-05T00:00:00"/>
    <n v="1105"/>
    <n v="18230"/>
    <s v="60330198"/>
    <s v="60330198"/>
    <m/>
    <m/>
    <n v="22717396"/>
    <m/>
    <m/>
    <m/>
    <s v="SOLFIN"/>
    <s v="SOLFIN"/>
    <s v="CCMS"/>
    <n v="21330923"/>
    <n v="28516.42"/>
    <m/>
    <s v="N"/>
    <n v="49"/>
    <d v="2023-07-05T19:01:57"/>
    <s v="Y"/>
    <s v="Preparation - other"/>
    <s v="Care Remuneration Hourly Rates"/>
    <s v="Profit Cost"/>
    <s v="DS"/>
    <s v="Y"/>
    <n v="26.29"/>
    <n v="5.26"/>
    <x v="6"/>
    <s v="VALIDATED"/>
    <n v="1"/>
    <s v="01.11.80.308.6100.0000"/>
    <n v="26.29"/>
    <s v="11"/>
    <s v="6100"/>
    <n v="53101.42"/>
    <n v="26.29"/>
    <s v="CREDITOR"/>
    <n v="0"/>
    <n v="0"/>
    <n v="0"/>
    <n v="0"/>
    <n v="26.29"/>
  </r>
  <r>
    <n v="60147697"/>
    <s v="N"/>
    <n v="21328215"/>
    <s v="3000014472360032"/>
    <s v="CIVIL"/>
    <d v="2023-06-30T00:00:00"/>
    <d v="2023-07-04T19:00:44"/>
    <m/>
    <d v="2023-07-04T00:00:00"/>
    <n v="1105"/>
    <n v="18230"/>
    <s v="60147697"/>
    <s v="60147697"/>
    <m/>
    <m/>
    <n v="22795380"/>
    <m/>
    <m/>
    <m/>
    <s v="SOLFIN"/>
    <s v="SOLFIN"/>
    <s v="CCMS"/>
    <n v="21328215"/>
    <n v="32839.17"/>
    <m/>
    <s v="N"/>
    <n v="5"/>
    <d v="2023-07-04T19:01:08"/>
    <s v="Y"/>
    <s v="Geneticist"/>
    <s v="VHCC"/>
    <s v="Expert Disbursement"/>
    <s v="SB"/>
    <s v="Y"/>
    <n v="171"/>
    <n v="34.2"/>
    <x v="1"/>
    <s v="VALIDATED"/>
    <n v="1"/>
    <s v="01.11.80.308.6300.0000"/>
    <n v="171"/>
    <s v="11"/>
    <s v="6300"/>
    <n v="53101.42"/>
    <n v="171"/>
    <s v="CREDITOR"/>
    <n v="0"/>
    <n v="0"/>
    <n v="0"/>
    <n v="0"/>
    <n v="171"/>
  </r>
  <r>
    <n v="60147697"/>
    <s v="N"/>
    <n v="21328215"/>
    <s v="3000014472360032"/>
    <s v="CIVIL"/>
    <d v="2023-06-30T00:00:00"/>
    <d v="2023-07-04T19:00:44"/>
    <m/>
    <d v="2023-07-04T00:00:00"/>
    <n v="1105"/>
    <n v="18230"/>
    <s v="60147697"/>
    <s v="60147697"/>
    <m/>
    <m/>
    <n v="22795380"/>
    <m/>
    <m/>
    <m/>
    <s v="SOLFIN"/>
    <s v="SOLFIN"/>
    <s v="CCMS"/>
    <n v="21328215"/>
    <n v="32839.17"/>
    <m/>
    <s v="N"/>
    <n v="11"/>
    <d v="2023-07-04T19:01:08"/>
    <s v="Y"/>
    <s v="Finding-of-Fact Hearing (Events Mod"/>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16"/>
    <d v="2023-07-06T19:21:27"/>
    <s v="Y"/>
    <s v="Preparation - other"/>
    <s v="Prescribed Hourly Rates"/>
    <s v="Profit Cost"/>
    <s v="ES"/>
    <s v="Y"/>
    <n v="43.92"/>
    <n v="8.779999999999999"/>
    <x v="4"/>
    <s v="VALIDATED"/>
    <n v="1"/>
    <s v="01.11.80.307.6100.0000"/>
    <n v="43.92"/>
    <s v="11"/>
    <s v="6100"/>
    <n v="53101.42"/>
    <n v="43.92"/>
    <s v="CREDITOR"/>
    <n v="0"/>
    <n v="0"/>
    <n v="0"/>
    <n v="0"/>
    <n v="43.92"/>
  </r>
  <r>
    <n v="61692826"/>
    <s v="N"/>
    <n v="21338513"/>
    <s v="3000015781560013"/>
    <s v="CIVIL"/>
    <d v="2023-06-28T00:00:00"/>
    <d v="2023-07-06T19:21:01"/>
    <m/>
    <d v="2023-07-06T00:00:00"/>
    <n v="1105"/>
    <n v="18230"/>
    <s v="61692826"/>
    <s v="61692826"/>
    <m/>
    <m/>
    <n v="22778096"/>
    <m/>
    <m/>
    <m/>
    <s v="SOLFIN"/>
    <s v="SOLFIN"/>
    <s v="CCMS"/>
    <n v="21338513"/>
    <n v="4218.91"/>
    <m/>
    <s v="N"/>
    <n v="10"/>
    <d v="2023-07-06T19:21:27"/>
    <s v="Y"/>
    <s v="Preparation - drafting attendance n"/>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45"/>
    <d v="2023-07-06T19:21:27"/>
    <s v="Y"/>
    <s v="Preparation - drafting bill/claim f"/>
    <s v="Prescribed Hourly Rates"/>
    <s v="Profit Cost"/>
    <s v="SJB"/>
    <s v="Y"/>
    <n v="181.17"/>
    <n v="36.24"/>
    <x v="4"/>
    <s v="VALIDATED"/>
    <n v="1"/>
    <s v="01.11.80.307.6100.0000"/>
    <n v="181.17"/>
    <s v="11"/>
    <s v="6100"/>
    <n v="53101.42"/>
    <n v="181.17"/>
    <s v="CREDITOR"/>
    <n v="0"/>
    <n v="0"/>
    <n v="0"/>
    <n v="0"/>
    <n v="181.17"/>
  </r>
  <r>
    <n v="60330198"/>
    <s v="N"/>
    <n v="21330923"/>
    <s v="3000014627810013"/>
    <s v="CIVIL"/>
    <d v="2023-06-19T00:00:00"/>
    <d v="2023-07-05T19:01:47"/>
    <m/>
    <d v="2023-07-05T00:00:00"/>
    <n v="1105"/>
    <n v="18230"/>
    <s v="60330198"/>
    <s v="60330198"/>
    <m/>
    <m/>
    <n v="22717396"/>
    <m/>
    <m/>
    <m/>
    <s v="SOLFIN"/>
    <s v="SOLFIN"/>
    <s v="CCMS"/>
    <n v="21330923"/>
    <n v="28516.42"/>
    <m/>
    <s v="N"/>
    <n v="97"/>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8"/>
    <d v="2023-07-05T19:01:57"/>
    <s v="Y"/>
    <s v="Enquiry Agent"/>
    <s v="Public Law Children"/>
    <s v="Expert Disbursement"/>
    <s v="DS"/>
    <s v="Y"/>
    <n v="245.7"/>
    <n v="49.14"/>
    <x v="6"/>
    <s v="VALIDATED"/>
    <n v="1"/>
    <s v="01.11.80.308.6300.0000"/>
    <n v="245.7"/>
    <s v="11"/>
    <s v="6300"/>
    <n v="53101.42"/>
    <n v="245.7"/>
    <s v="CREDITOR"/>
    <n v="0"/>
    <n v="0"/>
    <n v="0"/>
    <n v="0"/>
    <n v="245.7"/>
  </r>
  <r>
    <n v="60147697"/>
    <s v="N"/>
    <n v="21328215"/>
    <s v="3000014472360032"/>
    <s v="CIVIL"/>
    <d v="2023-06-30T00:00:00"/>
    <d v="2023-07-04T19:00:44"/>
    <m/>
    <d v="2023-07-04T00:00:00"/>
    <n v="1105"/>
    <n v="18230"/>
    <s v="60147697"/>
    <s v="60147697"/>
    <m/>
    <m/>
    <n v="22795380"/>
    <m/>
    <m/>
    <m/>
    <s v="SOLFIN"/>
    <s v="SOLFIN"/>
    <s v="CCMS"/>
    <n v="21328215"/>
    <n v="32839.17"/>
    <m/>
    <s v="N"/>
    <n v="15"/>
    <d v="2023-07-04T19:01:08"/>
    <s v="Y"/>
    <s v="Advocates Meeting (Events Model)"/>
    <s v="VHCC"/>
    <s v="Profit Cost"/>
    <s v="SB"/>
    <s v="Y"/>
    <n v="1107"/>
    <n v="221.4"/>
    <x v="1"/>
    <s v="VALIDATED"/>
    <n v="1"/>
    <s v="01.11.80.308.6100.0000"/>
    <n v="1107"/>
    <s v="11"/>
    <s v="6100"/>
    <n v="53101.42"/>
    <n v="1107"/>
    <s v="CREDITOR"/>
    <n v="0"/>
    <n v="0"/>
    <n v="0"/>
    <n v="0"/>
    <n v="1107"/>
  </r>
  <r>
    <n v="62424606"/>
    <s v="N"/>
    <n v="21321657"/>
    <s v="3000016394300002"/>
    <s v="CIVIL"/>
    <d v="2023-06-29T00:00:00"/>
    <d v="2023-07-03T19:05:17"/>
    <m/>
    <d v="2023-07-03T00:00:00"/>
    <n v="1105"/>
    <n v="18230"/>
    <s v="62424606"/>
    <s v="62424606"/>
    <m/>
    <m/>
    <n v="22785282"/>
    <m/>
    <m/>
    <m/>
    <s v="SOLPOA"/>
    <s v="SOLPOA"/>
    <s v="CCMS"/>
    <n v="21321657"/>
    <n v="50.4"/>
    <m/>
    <s v="N"/>
    <n v="1"/>
    <d v="2023-07-03T19:05:20"/>
    <s v="N"/>
    <s v="Non Expert Disbursement"/>
    <s v="Non Expert Disbursement"/>
    <s v="Non Expert Disbursement"/>
    <s v="Natasha Satterthwaite"/>
    <s v="N"/>
    <n v="50.4"/>
    <n v="0"/>
    <x v="3"/>
    <s v="VALIDATED"/>
    <n v="1"/>
    <s v="01.11.80.308.2012.0000"/>
    <n v="50.4"/>
    <s v="11"/>
    <s v="2012"/>
    <n v="53101.42"/>
    <n v="50.4"/>
    <s v="CREDITOR"/>
    <n v="50.4"/>
    <n v="0"/>
    <n v="0"/>
    <n v="0"/>
    <n v="0"/>
  </r>
  <r>
    <n v="61692826"/>
    <s v="N"/>
    <n v="21338513"/>
    <s v="3000015781560013"/>
    <s v="CIVIL"/>
    <d v="2023-06-28T00:00:00"/>
    <d v="2023-07-06T19:21:01"/>
    <m/>
    <d v="2023-07-06T00:00:00"/>
    <n v="1105"/>
    <n v="18230"/>
    <s v="61692826"/>
    <s v="61692826"/>
    <m/>
    <m/>
    <n v="22778096"/>
    <m/>
    <m/>
    <m/>
    <s v="SOLFIN"/>
    <s v="SOLFIN"/>
    <s v="CCMS"/>
    <n v="21338513"/>
    <n v="4218.91"/>
    <m/>
    <s v="N"/>
    <n v="27"/>
    <d v="2023-07-06T19:21:27"/>
    <s v="Y"/>
    <s v="Preparation - other"/>
    <s v="Prescribed Hourly Rates"/>
    <s v="Profit Cost"/>
    <s v="ES"/>
    <s v="Y"/>
    <n v="10.98"/>
    <n v="2.2"/>
    <x v="4"/>
    <s v="VALIDATED"/>
    <n v="1"/>
    <s v="01.11.80.307.6100.0000"/>
    <n v="10.98"/>
    <s v="11"/>
    <s v="6100"/>
    <n v="53101.42"/>
    <n v="10.98"/>
    <s v="CREDITOR"/>
    <n v="0"/>
    <n v="0"/>
    <n v="0"/>
    <n v="0"/>
    <n v="10.98"/>
  </r>
  <r>
    <n v="61692826"/>
    <s v="N"/>
    <n v="21338513"/>
    <s v="3000015781560013"/>
    <s v="CIVIL"/>
    <d v="2023-06-28T00:00:00"/>
    <d v="2023-07-06T19:21:01"/>
    <m/>
    <d v="2023-07-06T00:00:00"/>
    <n v="1105"/>
    <n v="18230"/>
    <s v="61692826"/>
    <s v="61692826"/>
    <m/>
    <m/>
    <n v="22778096"/>
    <m/>
    <m/>
    <m/>
    <s v="SOLFIN"/>
    <s v="SOLFIN"/>
    <s v="CCMS"/>
    <n v="21338513"/>
    <n v="4218.91"/>
    <m/>
    <s v="N"/>
    <n v="13"/>
    <d v="2023-07-06T19:21:27"/>
    <s v="Y"/>
    <s v="Preparation - drafting attendance n"/>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17"/>
    <d v="2023-07-06T19:21:27"/>
    <s v="Y"/>
    <s v="Preparation - other"/>
    <s v="Prescribed Hourly Rates"/>
    <s v="Profit Cost"/>
    <s v="ES"/>
    <s v="Y"/>
    <n v="10.98"/>
    <n v="2.2"/>
    <x v="4"/>
    <s v="VALIDATED"/>
    <n v="1"/>
    <s v="01.11.80.307.6100.0000"/>
    <n v="10.98"/>
    <s v="11"/>
    <s v="6100"/>
    <n v="53101.42"/>
    <n v="10.98"/>
    <s v="CREDITOR"/>
    <n v="0"/>
    <n v="0"/>
    <n v="0"/>
    <n v="0"/>
    <n v="10.98"/>
  </r>
  <r>
    <n v="60330198"/>
    <s v="N"/>
    <n v="21330923"/>
    <s v="3000014627810013"/>
    <s v="CIVIL"/>
    <d v="2023-06-19T00:00:00"/>
    <d v="2023-07-05T19:01:47"/>
    <m/>
    <d v="2023-07-05T00:00:00"/>
    <n v="1105"/>
    <n v="18230"/>
    <s v="60330198"/>
    <s v="60330198"/>
    <m/>
    <m/>
    <n v="22717396"/>
    <m/>
    <m/>
    <m/>
    <s v="SOLFIN"/>
    <s v="SOLFIN"/>
    <s v="CCMS"/>
    <n v="21330923"/>
    <n v="28516.42"/>
    <m/>
    <s v="N"/>
    <n v="118"/>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83"/>
    <d v="2023-07-05T19:01:57"/>
    <s v="Y"/>
    <s v="Preparation - drafting attendance n"/>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18"/>
    <d v="2023-07-05T19:01:57"/>
    <s v="Y"/>
    <s v="Routine Letter In"/>
    <s v="Care Remuneration Hourly Rates"/>
    <s v="Profit Cost"/>
    <s v="DS"/>
    <s v="Y"/>
    <n v="2841.6"/>
    <n v="568.3"/>
    <x v="6"/>
    <s v="VALIDATED"/>
    <n v="1"/>
    <s v="01.11.80.308.6100.0000"/>
    <n v="2841.6"/>
    <s v="11"/>
    <s v="6100"/>
    <n v="53101.42"/>
    <n v="2841.6"/>
    <s v="CREDITOR"/>
    <n v="0"/>
    <n v="0"/>
    <n v="0"/>
    <n v="0"/>
    <n v="2841.6"/>
  </r>
  <r>
    <n v="60147697"/>
    <s v="N"/>
    <n v="21328215"/>
    <s v="3000014472360032"/>
    <s v="CIVIL"/>
    <d v="2023-06-30T00:00:00"/>
    <d v="2023-07-04T19:00:44"/>
    <m/>
    <d v="2023-07-04T00:00:00"/>
    <n v="1105"/>
    <n v="18230"/>
    <s v="60147697"/>
    <s v="60147697"/>
    <m/>
    <m/>
    <n v="22795380"/>
    <m/>
    <m/>
    <m/>
    <s v="SOLFIN"/>
    <s v="SOLFIN"/>
    <s v="CCMS"/>
    <n v="21328215"/>
    <n v="32839.17"/>
    <m/>
    <s v="N"/>
    <n v="42"/>
    <d v="2023-07-04T19:01:08"/>
    <s v="Y"/>
    <s v="Paediatrician"/>
    <s v="VHCC"/>
    <s v="Expert Disbursement"/>
    <s v="SB"/>
    <s v="Y"/>
    <n v="486"/>
    <n v="0"/>
    <x v="1"/>
    <s v="VALIDATED"/>
    <n v="1"/>
    <s v="01.11.80.308.6300.0000"/>
    <n v="486"/>
    <s v="11"/>
    <s v="6300"/>
    <n v="53101.42"/>
    <n v="486"/>
    <s v="CREDITOR"/>
    <n v="0"/>
    <n v="0"/>
    <n v="0"/>
    <n v="0"/>
    <n v="486"/>
  </r>
  <r>
    <n v="60147697"/>
    <s v="N"/>
    <n v="21328215"/>
    <s v="3000014472360032"/>
    <s v="CIVIL"/>
    <d v="2023-06-30T00:00:00"/>
    <d v="2023-07-04T19:00:44"/>
    <m/>
    <d v="2023-07-04T00:00:00"/>
    <n v="1105"/>
    <n v="18230"/>
    <s v="60147697"/>
    <s v="60147697"/>
    <m/>
    <m/>
    <n v="22795380"/>
    <m/>
    <m/>
    <m/>
    <s v="SOLFIN"/>
    <s v="SOLFIN"/>
    <s v="CCMS"/>
    <n v="21328215"/>
    <n v="32839.17"/>
    <m/>
    <s v="N"/>
    <n v="2"/>
    <d v="2023-07-04T19:01:08"/>
    <s v="Y"/>
    <s v="Advocates Meeting (Events Model)"/>
    <s v="VHCC"/>
    <s v="Profit Cost"/>
    <s v="SB"/>
    <s v="Y"/>
    <n v="1107"/>
    <n v="221.4"/>
    <x v="1"/>
    <s v="VALIDATED"/>
    <n v="1"/>
    <s v="01.11.80.308.6100.0000"/>
    <n v="1107"/>
    <s v="11"/>
    <s v="6100"/>
    <n v="53101.42"/>
    <n v="1107"/>
    <s v="CREDITOR"/>
    <n v="0"/>
    <n v="0"/>
    <n v="0"/>
    <n v="0"/>
    <n v="1107"/>
  </r>
  <r>
    <n v="62298982"/>
    <s v="N"/>
    <n v="21321813"/>
    <s v="3000016280180003"/>
    <s v="CIVIL"/>
    <d v="2023-06-29T00:00:00"/>
    <d v="2023-07-03T19:05:17"/>
    <m/>
    <d v="2023-07-03T00:00:00"/>
    <n v="1105"/>
    <n v="18230"/>
    <s v="62298982"/>
    <s v="62298982"/>
    <m/>
    <m/>
    <n v="22786486"/>
    <m/>
    <m/>
    <m/>
    <s v="SOLPOA"/>
    <s v="SOLPOA"/>
    <s v="CCMS"/>
    <n v="21321813"/>
    <n v="126.96"/>
    <m/>
    <s v="N"/>
    <n v="1"/>
    <d v="2023-07-03T19:05:21"/>
    <s v="N"/>
    <s v="Non Expert Disbursement"/>
    <s v="Non Expert Disbursement"/>
    <s v="Non Expert Disbursement"/>
    <s v="Dawn Sweeney"/>
    <s v="N"/>
    <n v="105.8"/>
    <n v="21.16"/>
    <x v="3"/>
    <s v="VALIDATED"/>
    <n v="1"/>
    <s v="01.11.80.308.2012.0000"/>
    <n v="105.8"/>
    <s v="11"/>
    <s v="2012"/>
    <n v="53101.42"/>
    <n v="105.8"/>
    <s v="CREDITOR"/>
    <n v="105.8"/>
    <n v="0"/>
    <n v="0"/>
    <n v="0"/>
    <n v="0"/>
  </r>
  <r>
    <n v="60330198"/>
    <s v="N"/>
    <n v="21330923"/>
    <s v="3000014627810013"/>
    <s v="CIVIL"/>
    <d v="2023-06-19T00:00:00"/>
    <d v="2023-07-05T19:01:47"/>
    <m/>
    <d v="2023-07-05T00:00:00"/>
    <n v="1105"/>
    <n v="18230"/>
    <s v="60330198"/>
    <s v="60330198"/>
    <m/>
    <m/>
    <n v="22717396"/>
    <m/>
    <m/>
    <m/>
    <s v="SOLFIN"/>
    <s v="SOLFIN"/>
    <s v="CCMS"/>
    <n v="21330923"/>
    <n v="28516.42"/>
    <m/>
    <s v="N"/>
    <n v="103"/>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19"/>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35"/>
    <d v="2023-07-05T19:01:57"/>
    <s v="Y"/>
    <s v="Preparation - drafting attendance n"/>
    <s v="Care Remuneration Hourly Rates"/>
    <s v="Profit Cost"/>
    <s v="DS"/>
    <s v="Y"/>
    <n v="5.26"/>
    <n v="1.05"/>
    <x v="6"/>
    <s v="VALIDATED"/>
    <n v="1"/>
    <s v="01.11.80.308.6100.0000"/>
    <n v="5.26"/>
    <s v="11"/>
    <s v="6100"/>
    <n v="53101.42"/>
    <n v="5.26"/>
    <s v="CREDITOR"/>
    <n v="0"/>
    <n v="0"/>
    <n v="0"/>
    <n v="0"/>
    <n v="5.26"/>
  </r>
  <r>
    <n v="60147697"/>
    <s v="N"/>
    <n v="21328215"/>
    <s v="3000014472360032"/>
    <s v="CIVIL"/>
    <d v="2023-06-30T00:00:00"/>
    <d v="2023-07-04T19:00:44"/>
    <m/>
    <d v="2023-07-04T00:00:00"/>
    <n v="1105"/>
    <n v="18230"/>
    <s v="60147697"/>
    <s v="60147697"/>
    <m/>
    <m/>
    <n v="22795380"/>
    <m/>
    <m/>
    <m/>
    <s v="SOLFIN"/>
    <s v="SOLFIN"/>
    <s v="CCMS"/>
    <n v="21328215"/>
    <n v="32839.17"/>
    <m/>
    <s v="N"/>
    <n v="25"/>
    <d v="2023-07-04T19:01:08"/>
    <s v="Y"/>
    <s v="Interim/Directions/Review Hearing ("/>
    <s v="VHCC"/>
    <s v="Profit Cost"/>
    <s v="SB"/>
    <s v="Y"/>
    <n v="900"/>
    <n v="180"/>
    <x v="1"/>
    <s v="VALIDATED"/>
    <n v="1"/>
    <s v="01.11.80.308.6100.0000"/>
    <n v="900"/>
    <s v="11"/>
    <s v="6100"/>
    <n v="53101.42"/>
    <n v="900"/>
    <s v="CREDITOR"/>
    <n v="0"/>
    <n v="0"/>
    <n v="0"/>
    <n v="0"/>
    <n v="900"/>
  </r>
  <r>
    <n v="60147697"/>
    <s v="N"/>
    <n v="21328215"/>
    <s v="3000014472360032"/>
    <s v="CIVIL"/>
    <d v="2023-06-30T00:00:00"/>
    <d v="2023-07-04T19:00:44"/>
    <m/>
    <d v="2023-07-04T00:00:00"/>
    <n v="1105"/>
    <n v="18230"/>
    <s v="60147697"/>
    <s v="60147697"/>
    <m/>
    <m/>
    <n v="22795380"/>
    <m/>
    <m/>
    <m/>
    <s v="SOLFIN"/>
    <s v="SOLFIN"/>
    <s v="CCMS"/>
    <n v="21328215"/>
    <n v="32839.17"/>
    <m/>
    <s v="N"/>
    <n v="40"/>
    <d v="2023-07-04T19:01:08"/>
    <s v="Y"/>
    <s v="Solicitor Travel Expenses"/>
    <s v="VHCC"/>
    <s v="Non Expert Disbursement"/>
    <s v="SB"/>
    <s v="Y"/>
    <n v="6.25"/>
    <n v="1.25"/>
    <x v="1"/>
    <s v="VALIDATED"/>
    <n v="1"/>
    <s v="01.11.80.308.6300.0000"/>
    <n v="6.25"/>
    <s v="11"/>
    <s v="6300"/>
    <n v="53101.42"/>
    <n v="6.25"/>
    <s v="CREDITOR"/>
    <n v="0"/>
    <n v="0"/>
    <n v="0"/>
    <n v="0"/>
    <n v="6.25"/>
  </r>
  <r>
    <n v="60330198"/>
    <s v="N"/>
    <n v="21330923"/>
    <s v="3000014627810013"/>
    <s v="CIVIL"/>
    <d v="2023-06-19T00:00:00"/>
    <d v="2023-07-05T19:01:47"/>
    <m/>
    <d v="2023-07-05T00:00:00"/>
    <n v="1105"/>
    <n v="18230"/>
    <s v="60330198"/>
    <s v="60330198"/>
    <m/>
    <m/>
    <n v="22717396"/>
    <m/>
    <m/>
    <m/>
    <s v="SOLFIN"/>
    <s v="SOLFIN"/>
    <s v="CCMS"/>
    <n v="21330923"/>
    <n v="28516.42"/>
    <m/>
    <s v="N"/>
    <n v="157"/>
    <d v="2023-07-05T19:01:57"/>
    <s v="N"/>
    <s v="Solicitors Fixed Fee"/>
    <s v="Public Law Children"/>
    <s v="Profit Cost"/>
    <s v="DS"/>
    <s v="N"/>
    <n v="0"/>
    <n v="0"/>
    <x v="6"/>
    <s v="VALIDATED"/>
    <n v="1"/>
    <s v="01.11.80.308.6100.0000"/>
    <n v="0"/>
    <s v="11"/>
    <s v="6100"/>
    <n v="53101.42"/>
    <n v="0"/>
    <s v="CREDITOR"/>
    <n v="0"/>
    <n v="0"/>
    <n v="0"/>
    <n v="0"/>
    <n v="0"/>
  </r>
  <r>
    <n v="60330198"/>
    <s v="N"/>
    <n v="21330923"/>
    <s v="3000014627810013"/>
    <s v="CIVIL"/>
    <d v="2023-06-19T00:00:00"/>
    <d v="2023-07-05T19:01:47"/>
    <m/>
    <d v="2023-07-05T00:00:00"/>
    <n v="1105"/>
    <n v="18230"/>
    <s v="60330198"/>
    <s v="60330198"/>
    <m/>
    <m/>
    <n v="22717396"/>
    <m/>
    <m/>
    <m/>
    <s v="SOLFIN"/>
    <s v="SOLFIN"/>
    <s v="CCMS"/>
    <n v="21330923"/>
    <n v="28516.42"/>
    <m/>
    <s v="N"/>
    <n v="44"/>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28"/>
    <d v="2023-07-05T19:01:57"/>
    <s v="Y"/>
    <s v="Preparation - drafting attendance n"/>
    <s v="Care Remuneration Hourly Rates"/>
    <s v="Profit Cost"/>
    <s v="DS"/>
    <s v="Y"/>
    <n v="5.26"/>
    <n v="1.05"/>
    <x v="6"/>
    <s v="VALIDATED"/>
    <n v="1"/>
    <s v="01.11.80.308.6100.0000"/>
    <n v="5.26"/>
    <s v="11"/>
    <s v="6100"/>
    <n v="53101.42"/>
    <n v="5.26"/>
    <s v="CREDITOR"/>
    <n v="0"/>
    <n v="0"/>
    <n v="0"/>
    <n v="0"/>
    <n v="5.26"/>
  </r>
  <r>
    <n v="61758055"/>
    <s v="N"/>
    <n v="21322006"/>
    <s v="3000015837240011"/>
    <s v="CIVIL"/>
    <d v="2023-06-29T00:00:00"/>
    <d v="2023-07-03T19:05:17"/>
    <m/>
    <d v="2023-07-03T00:00:00"/>
    <n v="1105"/>
    <n v="18230"/>
    <s v="61758055"/>
    <s v="61758055"/>
    <m/>
    <m/>
    <n v="22785848"/>
    <m/>
    <m/>
    <m/>
    <s v="SOLPOA"/>
    <s v="SOLPOA"/>
    <s v="CCMS"/>
    <n v="21322006"/>
    <n v="162"/>
    <m/>
    <s v="N"/>
    <n v="1"/>
    <d v="2023-07-03T19:05:22"/>
    <s v="N"/>
    <s v="Expert Cost"/>
    <s v="Expert Cost"/>
    <s v="Expert Disbursement"/>
    <s v="Sam Gallett"/>
    <s v="N"/>
    <n v="135"/>
    <n v="27"/>
    <x v="3"/>
    <s v="VALIDATED"/>
    <n v="1"/>
    <s v="01.11.80.308.2012.0000"/>
    <n v="135"/>
    <s v="11"/>
    <s v="2012"/>
    <n v="53101.42"/>
    <n v="135"/>
    <s v="CREDITOR"/>
    <n v="135"/>
    <n v="0"/>
    <n v="0"/>
    <n v="0"/>
    <n v="0"/>
  </r>
  <r>
    <n v="60147697"/>
    <s v="N"/>
    <n v="21328215"/>
    <s v="3000014472360032"/>
    <s v="CIVIL"/>
    <d v="2023-06-30T00:00:00"/>
    <d v="2023-07-04T19:00:44"/>
    <m/>
    <d v="2023-07-04T00:00:00"/>
    <n v="1105"/>
    <n v="18230"/>
    <s v="60147697"/>
    <s v="60147697"/>
    <m/>
    <m/>
    <n v="22795380"/>
    <m/>
    <m/>
    <m/>
    <s v="SOLFIN"/>
    <s v="SOLFIN"/>
    <s v="CCMS"/>
    <n v="21328215"/>
    <n v="32839.17"/>
    <m/>
    <s v="N"/>
    <n v="28"/>
    <d v="2023-07-04T19:01:08"/>
    <s v="Y"/>
    <s v="Finding-of-Fact Hearing (Events Mod"/>
    <s v="VHCC"/>
    <s v="Profit Cost"/>
    <s v="SB"/>
    <s v="Y"/>
    <n v="1107"/>
    <n v="221.4"/>
    <x v="1"/>
    <s v="VALIDATED"/>
    <n v="1"/>
    <s v="01.11.80.308.6100.0000"/>
    <n v="1107"/>
    <s v="11"/>
    <s v="6100"/>
    <n v="53101.42"/>
    <n v="1107"/>
    <s v="CREDITOR"/>
    <n v="0"/>
    <n v="0"/>
    <n v="0"/>
    <n v="0"/>
    <n v="1107"/>
  </r>
  <r>
    <n v="60330198"/>
    <s v="N"/>
    <n v="21330923"/>
    <s v="3000014627810013"/>
    <s v="CIVIL"/>
    <d v="2023-06-19T00:00:00"/>
    <d v="2023-07-05T19:01:47"/>
    <m/>
    <d v="2023-07-05T00:00:00"/>
    <n v="1105"/>
    <n v="18230"/>
    <s v="60330198"/>
    <s v="60330198"/>
    <m/>
    <m/>
    <n v="22717396"/>
    <m/>
    <m/>
    <m/>
    <s v="SOLFIN"/>
    <s v="SOLFIN"/>
    <s v="CCMS"/>
    <n v="21330923"/>
    <n v="28516.42"/>
    <m/>
    <s v="N"/>
    <n v="125"/>
    <d v="2023-07-05T19:01:57"/>
    <s v="Y"/>
    <s v="Preparation - drafting attendance n"/>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76"/>
    <d v="2023-07-05T19:01:57"/>
    <s v="Y"/>
    <s v="Preparation - other"/>
    <s v="Care Remuneration Hourly Rates"/>
    <s v="Profit Cost"/>
    <s v="DS"/>
    <s v="Y"/>
    <n v="42.06"/>
    <n v="8.41"/>
    <x v="6"/>
    <s v="VALIDATED"/>
    <n v="1"/>
    <s v="01.11.80.308.6100.0000"/>
    <n v="42.06"/>
    <s v="11"/>
    <s v="6100"/>
    <n v="53101.42"/>
    <n v="42.06"/>
    <s v="CREDITOR"/>
    <n v="0"/>
    <n v="0"/>
    <n v="0"/>
    <n v="0"/>
    <n v="42.06"/>
  </r>
  <r>
    <n v="60330198"/>
    <s v="N"/>
    <n v="21330923"/>
    <s v="3000014627810013"/>
    <s v="CIVIL"/>
    <d v="2023-06-19T00:00:00"/>
    <d v="2023-07-05T19:01:47"/>
    <m/>
    <d v="2023-07-05T00:00:00"/>
    <n v="1105"/>
    <n v="18230"/>
    <s v="60330198"/>
    <s v="60330198"/>
    <m/>
    <m/>
    <n v="22717396"/>
    <m/>
    <m/>
    <m/>
    <s v="SOLFIN"/>
    <s v="SOLFIN"/>
    <s v="CCMS"/>
    <n v="21330923"/>
    <n v="28516.42"/>
    <m/>
    <s v="N"/>
    <n v="114"/>
    <d v="2023-07-05T19:01:57"/>
    <s v="Y"/>
    <s v="Preparation - other"/>
    <s v="Care Remuneration Hourly Rates"/>
    <s v="Profit Cost"/>
    <s v="DS"/>
    <s v="Y"/>
    <n v="15.77"/>
    <n v="3.15"/>
    <x v="6"/>
    <s v="VALIDATED"/>
    <n v="1"/>
    <s v="01.11.80.308.6100.0000"/>
    <n v="15.77"/>
    <s v="11"/>
    <s v="6100"/>
    <n v="53101.42"/>
    <n v="15.77"/>
    <s v="CREDITOR"/>
    <n v="0"/>
    <n v="0"/>
    <n v="0"/>
    <n v="0"/>
    <n v="15.77"/>
  </r>
  <r>
    <n v="60147697"/>
    <s v="N"/>
    <n v="21328215"/>
    <s v="3000014472360032"/>
    <s v="CIVIL"/>
    <d v="2023-06-30T00:00:00"/>
    <d v="2023-07-04T19:00:44"/>
    <m/>
    <d v="2023-07-04T00:00:00"/>
    <n v="1105"/>
    <n v="18230"/>
    <s v="60147697"/>
    <s v="60147697"/>
    <m/>
    <m/>
    <n v="22795380"/>
    <m/>
    <m/>
    <m/>
    <s v="SOLFIN"/>
    <s v="SOLFIN"/>
    <s v="CCMS"/>
    <n v="21328215"/>
    <n v="32839.17"/>
    <m/>
    <s v="N"/>
    <n v="21"/>
    <d v="2023-07-04T19:01:08"/>
    <s v="Y"/>
    <s v="Finding-of-Fact Hearing (Events Mod"/>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65"/>
    <d v="2023-07-06T19:21:27"/>
    <s v="Y"/>
    <s v="Interpreter"/>
    <s v="Private Law Children"/>
    <s v="Expert Disbursement"/>
    <s v="ES"/>
    <s v="Y"/>
    <n v="28"/>
    <n v="5.6"/>
    <x v="4"/>
    <s v="VALIDATED"/>
    <n v="1"/>
    <s v="01.11.80.307.6300.0000"/>
    <n v="28"/>
    <s v="11"/>
    <s v="6300"/>
    <n v="53101.42"/>
    <n v="28"/>
    <s v="CREDITOR"/>
    <n v="0"/>
    <n v="0"/>
    <n v="0"/>
    <n v="0"/>
    <n v="28"/>
  </r>
  <r>
    <n v="60330198"/>
    <s v="N"/>
    <n v="21330923"/>
    <s v="3000014627810013"/>
    <s v="CIVIL"/>
    <d v="2023-06-19T00:00:00"/>
    <d v="2023-07-05T19:01:47"/>
    <m/>
    <d v="2023-07-05T00:00:00"/>
    <n v="1105"/>
    <n v="18230"/>
    <s v="60330198"/>
    <s v="60330198"/>
    <m/>
    <m/>
    <n v="22717396"/>
    <m/>
    <m/>
    <m/>
    <s v="SOLFIN"/>
    <s v="SOLFIN"/>
    <s v="CCMS"/>
    <n v="21330923"/>
    <n v="28516.42"/>
    <m/>
    <s v="N"/>
    <n v="61"/>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77"/>
    <d v="2023-07-05T19:01:57"/>
    <s v="Y"/>
    <s v="Preparation - drafting attendance n"/>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151"/>
    <d v="2023-07-05T19:01:57"/>
    <s v="Y"/>
    <s v="Advocates Meeting"/>
    <s v="Public Law Children"/>
    <s v="Advocacy"/>
    <s v="DS"/>
    <s v="Y"/>
    <n v="140.99"/>
    <n v="28.2"/>
    <x v="6"/>
    <s v="VALIDATED"/>
    <n v="1"/>
    <s v="01.11.80.308.6100.0000"/>
    <n v="140.99"/>
    <s v="11"/>
    <s v="6100"/>
    <n v="53101.42"/>
    <n v="140.99"/>
    <s v="CREDITOR"/>
    <n v="0"/>
    <n v="0"/>
    <n v="0"/>
    <n v="0"/>
    <n v="140.99"/>
  </r>
  <r>
    <n v="60330198"/>
    <s v="N"/>
    <n v="21330923"/>
    <s v="3000014627810013"/>
    <s v="CIVIL"/>
    <d v="2023-06-19T00:00:00"/>
    <d v="2023-07-05T19:01:47"/>
    <m/>
    <d v="2023-07-05T00:00:00"/>
    <n v="1105"/>
    <n v="18230"/>
    <s v="60330198"/>
    <s v="60330198"/>
    <m/>
    <m/>
    <n v="22717396"/>
    <m/>
    <m/>
    <m/>
    <s v="SOLFIN"/>
    <s v="SOLFIN"/>
    <s v="CCMS"/>
    <n v="21330923"/>
    <n v="28516.42"/>
    <m/>
    <s v="N"/>
    <n v="4"/>
    <d v="2023-07-05T19:01:57"/>
    <s v="N"/>
    <s v="Psychologist"/>
    <s v="Public Law Children"/>
    <s v="Expert Disbursement"/>
    <s v="DS"/>
    <s v="N"/>
    <n v="102"/>
    <n v="20.4"/>
    <x v="6"/>
    <s v="VALIDATED"/>
    <n v="1"/>
    <s v="01.11.80.308.6300.0000"/>
    <n v="102"/>
    <s v="11"/>
    <s v="6300"/>
    <n v="53101.42"/>
    <n v="102"/>
    <s v="CREDITOR"/>
    <n v="0"/>
    <n v="0"/>
    <n v="0"/>
    <n v="0"/>
    <n v="102"/>
  </r>
  <r>
    <n v="61692826"/>
    <s v="N"/>
    <n v="21338513"/>
    <s v="3000015781560013"/>
    <s v="CIVIL"/>
    <d v="2023-06-28T00:00:00"/>
    <d v="2023-07-06T19:21:01"/>
    <m/>
    <d v="2023-07-06T00:00:00"/>
    <n v="1105"/>
    <n v="18230"/>
    <s v="61692826"/>
    <s v="61692826"/>
    <m/>
    <m/>
    <n v="22778096"/>
    <m/>
    <m/>
    <m/>
    <s v="SOLFIN"/>
    <s v="SOLFIN"/>
    <s v="CCMS"/>
    <n v="21338513"/>
    <n v="4218.91"/>
    <m/>
    <s v="N"/>
    <n v="40"/>
    <d v="2023-07-06T19:21:27"/>
    <s v="Y"/>
    <s v="Preparation - other"/>
    <s v="Prescribed Hourly Rates"/>
    <s v="Profit Cost"/>
    <s v="ES"/>
    <s v="Y"/>
    <n v="120.78"/>
    <n v="24.16"/>
    <x v="4"/>
    <s v="VALIDATED"/>
    <n v="1"/>
    <s v="01.11.80.307.6100.0000"/>
    <n v="120.78"/>
    <s v="11"/>
    <s v="6100"/>
    <n v="53101.42"/>
    <n v="120.78"/>
    <s v="CREDITOR"/>
    <n v="0"/>
    <n v="0"/>
    <n v="0"/>
    <n v="0"/>
    <n v="120.78"/>
  </r>
  <r>
    <n v="60330198"/>
    <s v="N"/>
    <n v="21330923"/>
    <s v="3000014627810013"/>
    <s v="CIVIL"/>
    <d v="2023-06-19T00:00:00"/>
    <d v="2023-07-05T19:01:47"/>
    <m/>
    <d v="2023-07-05T00:00:00"/>
    <n v="1105"/>
    <n v="18230"/>
    <s v="60330198"/>
    <s v="60330198"/>
    <m/>
    <m/>
    <n v="22717396"/>
    <m/>
    <m/>
    <m/>
    <s v="SOLFIN"/>
    <s v="SOLFIN"/>
    <s v="CCMS"/>
    <n v="21330923"/>
    <n v="28516.42"/>
    <m/>
    <s v="N"/>
    <n v="92"/>
    <d v="2023-07-05T19:01:57"/>
    <s v="Y"/>
    <s v="Report - other expert's report"/>
    <s v="Care Remuneration Hourly Rates"/>
    <s v="Profit Cost"/>
    <s v="DS"/>
    <s v="Y"/>
    <n v="21.03"/>
    <n v="4.21"/>
    <x v="6"/>
    <s v="VALIDATED"/>
    <n v="1"/>
    <s v="01.11.80.308.6100.0000"/>
    <n v="21.03"/>
    <s v="11"/>
    <s v="6100"/>
    <n v="53101.42"/>
    <n v="21.03"/>
    <s v="CREDITOR"/>
    <n v="0"/>
    <n v="0"/>
    <n v="0"/>
    <n v="0"/>
    <n v="21.03"/>
  </r>
  <r>
    <n v="60330198"/>
    <s v="N"/>
    <n v="21330923"/>
    <s v="3000014627810013"/>
    <s v="CIVIL"/>
    <d v="2023-06-19T00:00:00"/>
    <d v="2023-07-05T19:01:47"/>
    <m/>
    <d v="2023-07-05T00:00:00"/>
    <n v="1105"/>
    <n v="18230"/>
    <s v="60330198"/>
    <s v="60330198"/>
    <m/>
    <m/>
    <n v="22717396"/>
    <m/>
    <m/>
    <m/>
    <s v="SOLFIN"/>
    <s v="SOLFIN"/>
    <s v="CCMS"/>
    <n v="21330923"/>
    <n v="28516.42"/>
    <m/>
    <s v="N"/>
    <n v="14"/>
    <d v="2023-07-05T19:01:57"/>
    <s v="Y"/>
    <s v="Preparation - other"/>
    <s v="Care Remuneration Hourly Rates"/>
    <s v="Profit Cost"/>
    <s v="DS"/>
    <s v="Y"/>
    <n v="15.77"/>
    <n v="3.15"/>
    <x v="6"/>
    <s v="VALIDATED"/>
    <n v="1"/>
    <s v="01.11.80.308.6100.0000"/>
    <n v="15.77"/>
    <s v="11"/>
    <s v="6100"/>
    <n v="53101.42"/>
    <n v="15.77"/>
    <s v="CREDITOR"/>
    <n v="0"/>
    <n v="0"/>
    <n v="0"/>
    <n v="0"/>
    <n v="15.77"/>
  </r>
  <r>
    <n v="60712959"/>
    <s v="N"/>
    <n v="21337993"/>
    <s v="3000014958120023"/>
    <s v="CIVIL"/>
    <d v="2023-06-30T00:00:00"/>
    <d v="2023-07-06T19:21:01"/>
    <m/>
    <d v="2023-07-06T00:00:00"/>
    <n v="1105"/>
    <n v="18230"/>
    <s v="60712959"/>
    <s v="60712959"/>
    <m/>
    <m/>
    <n v="22794802"/>
    <m/>
    <m/>
    <m/>
    <s v="SOLPOA"/>
    <s v="SOLPOA"/>
    <s v="CCMS"/>
    <n v="21337993"/>
    <n v="243"/>
    <m/>
    <s v="N"/>
    <n v="1"/>
    <d v="2023-07-06T19:21:11"/>
    <s v="N"/>
    <s v="Expert Cost"/>
    <s v="Expert Cost"/>
    <s v="Expert Disbursement"/>
    <s v="Sam Gallett"/>
    <s v="N"/>
    <n v="202.5"/>
    <n v="40.5"/>
    <x v="4"/>
    <s v="VALIDATED"/>
    <n v="1"/>
    <s v="01.11.80.308.2012.0000"/>
    <n v="202.5"/>
    <s v="11"/>
    <s v="2012"/>
    <n v="53101.42"/>
    <n v="202.5"/>
    <s v="CREDITOR"/>
    <n v="202.5"/>
    <n v="0"/>
    <n v="0"/>
    <n v="0"/>
    <n v="0"/>
  </r>
  <r>
    <n v="61737958"/>
    <s v="N"/>
    <n v="21321467"/>
    <s v="3000015820390009"/>
    <s v="CIVIL"/>
    <d v="2023-06-29T00:00:00"/>
    <d v="2023-07-03T19:05:17"/>
    <m/>
    <d v="2023-07-03T00:00:00"/>
    <n v="1105"/>
    <n v="18230"/>
    <s v="61737958"/>
    <s v="61737958"/>
    <m/>
    <m/>
    <n v="22786266"/>
    <m/>
    <m/>
    <m/>
    <s v="SOLPOA"/>
    <s v="SOLPOA"/>
    <s v="CCMS"/>
    <n v="21321467"/>
    <n v="252"/>
    <m/>
    <s v="N"/>
    <n v="1"/>
    <d v="2023-07-03T19:05:19"/>
    <s v="N"/>
    <s v="Expert Cost"/>
    <s v="Expert Cost"/>
    <s v="Expert Disbursement"/>
    <s v="Freya Cox"/>
    <s v="N"/>
    <n v="252"/>
    <n v="0"/>
    <x v="3"/>
    <s v="VALIDATED"/>
    <n v="1"/>
    <s v="01.11.80.308.2012.0000"/>
    <n v="252"/>
    <s v="11"/>
    <s v="2012"/>
    <n v="53101.42"/>
    <n v="252"/>
    <s v="CREDITOR"/>
    <n v="252"/>
    <n v="0"/>
    <n v="0"/>
    <n v="0"/>
    <n v="0"/>
  </r>
  <r>
    <n v="60147697"/>
    <s v="N"/>
    <n v="21328215"/>
    <s v="3000014472360032"/>
    <s v="CIVIL"/>
    <d v="2023-06-30T00:00:00"/>
    <d v="2023-07-04T19:00:44"/>
    <m/>
    <d v="2023-07-04T00:00:00"/>
    <n v="1105"/>
    <n v="18230"/>
    <s v="60147697"/>
    <s v="60147697"/>
    <m/>
    <m/>
    <n v="22795380"/>
    <m/>
    <m/>
    <m/>
    <s v="SOLFIN"/>
    <s v="SOLFIN"/>
    <s v="CCMS"/>
    <n v="21328215"/>
    <n v="32839.17"/>
    <m/>
    <s v="N"/>
    <n v="10"/>
    <d v="2023-07-04T19:01:08"/>
    <s v="Y"/>
    <s v="Obstetrician"/>
    <s v="VHCC"/>
    <s v="Expert Disbursement"/>
    <s v="SB"/>
    <s v="Y"/>
    <n v="135"/>
    <n v="27"/>
    <x v="1"/>
    <s v="VALIDATED"/>
    <n v="1"/>
    <s v="01.11.80.308.6300.0000"/>
    <n v="135"/>
    <s v="11"/>
    <s v="6300"/>
    <n v="53101.42"/>
    <n v="135"/>
    <s v="CREDITOR"/>
    <n v="0"/>
    <n v="0"/>
    <n v="0"/>
    <n v="0"/>
    <n v="135"/>
  </r>
  <r>
    <n v="61692826"/>
    <s v="N"/>
    <n v="21338513"/>
    <s v="3000015781560013"/>
    <s v="CIVIL"/>
    <d v="2023-06-28T00:00:00"/>
    <d v="2023-07-06T19:21:01"/>
    <m/>
    <d v="2023-07-06T00:00:00"/>
    <n v="1105"/>
    <n v="18230"/>
    <s v="61692826"/>
    <s v="61692826"/>
    <m/>
    <m/>
    <n v="22778096"/>
    <m/>
    <m/>
    <m/>
    <s v="SOLFIN"/>
    <s v="SOLFIN"/>
    <s v="CCMS"/>
    <n v="21338513"/>
    <n v="4218.91"/>
    <m/>
    <s v="N"/>
    <n v="21"/>
    <d v="2023-07-06T19:21:27"/>
    <s v="Y"/>
    <s v="Attendance upon client"/>
    <s v="Prescribed Hourly Rates"/>
    <s v="Profit Cost"/>
    <s v="KL"/>
    <s v="Y"/>
    <n v="82.34999999999999"/>
    <n v="16.47"/>
    <x v="4"/>
    <s v="VALIDATED"/>
    <n v="1"/>
    <s v="01.11.80.307.6100.0000"/>
    <n v="82.34999999999999"/>
    <s v="11"/>
    <s v="6100"/>
    <n v="53101.42"/>
    <n v="82.34999999999999"/>
    <s v="CREDITOR"/>
    <n v="0"/>
    <n v="0"/>
    <n v="0"/>
    <n v="0"/>
    <n v="82.34999999999999"/>
  </r>
  <r>
    <n v="61692826"/>
    <s v="N"/>
    <n v="21338513"/>
    <s v="3000015781560013"/>
    <s v="CIVIL"/>
    <d v="2023-06-28T00:00:00"/>
    <d v="2023-07-06T19:21:01"/>
    <m/>
    <d v="2023-07-06T00:00:00"/>
    <n v="1105"/>
    <n v="18230"/>
    <s v="61692826"/>
    <s v="61692826"/>
    <m/>
    <m/>
    <n v="22778096"/>
    <m/>
    <m/>
    <m/>
    <s v="SOLFIN"/>
    <s v="SOLFIN"/>
    <s v="CCMS"/>
    <n v="21338513"/>
    <n v="4218.91"/>
    <m/>
    <s v="N"/>
    <n v="14"/>
    <d v="2023-07-06T19:21:27"/>
    <s v="Y"/>
    <s v="Preparation - other"/>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52"/>
    <d v="2023-07-06T19:21:27"/>
    <s v="Y"/>
    <s v="Preparation - other"/>
    <s v="Prescribed Hourly Rates"/>
    <s v="Profit Cost"/>
    <s v="ES"/>
    <s v="Y"/>
    <n v="65.88"/>
    <n v="13.18"/>
    <x v="4"/>
    <s v="VALIDATED"/>
    <n v="1"/>
    <s v="01.11.80.307.6100.0000"/>
    <n v="65.88"/>
    <s v="11"/>
    <s v="6100"/>
    <n v="53101.42"/>
    <n v="65.88"/>
    <s v="CREDITOR"/>
    <n v="0"/>
    <n v="0"/>
    <n v="0"/>
    <n v="0"/>
    <n v="65.88"/>
  </r>
  <r>
    <n v="60330198"/>
    <s v="N"/>
    <n v="21330923"/>
    <s v="3000014627810013"/>
    <s v="CIVIL"/>
    <d v="2023-06-19T00:00:00"/>
    <d v="2023-07-05T19:01:47"/>
    <m/>
    <d v="2023-07-05T00:00:00"/>
    <n v="1105"/>
    <n v="18230"/>
    <s v="60330198"/>
    <s v="60330198"/>
    <m/>
    <m/>
    <n v="22717396"/>
    <m/>
    <m/>
    <m/>
    <s v="SOLFIN"/>
    <s v="SOLFIN"/>
    <s v="CCMS"/>
    <n v="21330923"/>
    <n v="28516.42"/>
    <m/>
    <s v="N"/>
    <n v="144"/>
    <d v="2023-07-05T19:01:57"/>
    <s v="Y"/>
    <s v="Advocates Meeting"/>
    <s v="Public Law Children"/>
    <s v="Advocacy"/>
    <s v="BJF"/>
    <s v="Y"/>
    <n v="140.99"/>
    <n v="28.2"/>
    <x v="6"/>
    <s v="VALIDATED"/>
    <n v="1"/>
    <s v="01.11.80.308.6100.0000"/>
    <n v="140.99"/>
    <s v="11"/>
    <s v="6100"/>
    <n v="53101.42"/>
    <n v="140.99"/>
    <s v="CREDITOR"/>
    <n v="0"/>
    <n v="0"/>
    <n v="0"/>
    <n v="0"/>
    <n v="140.99"/>
  </r>
  <r>
    <n v="60147697"/>
    <s v="N"/>
    <n v="21328215"/>
    <s v="3000014472360032"/>
    <s v="CIVIL"/>
    <d v="2023-06-30T00:00:00"/>
    <d v="2023-07-04T19:00:44"/>
    <m/>
    <d v="2023-07-04T00:00:00"/>
    <n v="1105"/>
    <n v="18230"/>
    <s v="60147697"/>
    <s v="60147697"/>
    <m/>
    <m/>
    <n v="22795380"/>
    <m/>
    <m/>
    <m/>
    <s v="SOLFIN"/>
    <s v="SOLFIN"/>
    <s v="CCMS"/>
    <n v="21328215"/>
    <n v="32839.17"/>
    <m/>
    <s v="N"/>
    <n v="49"/>
    <d v="2023-07-04T19:01:08"/>
    <s v="Y"/>
    <s v="Solicitor Travel Expenses"/>
    <s v="VHCC"/>
    <s v="Non Expert Disbursement"/>
    <s v="SB"/>
    <s v="Y"/>
    <n v="24.7"/>
    <n v="4.94"/>
    <x v="1"/>
    <s v="VALIDATED"/>
    <n v="1"/>
    <s v="01.11.80.308.6300.0000"/>
    <n v="24.7"/>
    <s v="11"/>
    <s v="6300"/>
    <n v="53101.42"/>
    <n v="24.7"/>
    <s v="CREDITOR"/>
    <n v="0"/>
    <n v="0"/>
    <n v="0"/>
    <n v="0"/>
    <n v="24.7"/>
  </r>
  <r>
    <n v="62019532"/>
    <s v="N"/>
    <n v="21322026"/>
    <s v="3000016059460008"/>
    <s v="CIVIL"/>
    <d v="2023-06-29T00:00:00"/>
    <d v="2023-07-03T19:05:17"/>
    <m/>
    <d v="2023-07-03T00:00:00"/>
    <n v="1105"/>
    <n v="18230"/>
    <s v="62019532"/>
    <s v="62019532"/>
    <m/>
    <m/>
    <n v="22785978"/>
    <m/>
    <m/>
    <m/>
    <s v="SOLPOA"/>
    <s v="SOLPOA"/>
    <s v="CCMS"/>
    <n v="21322026"/>
    <n v="486"/>
    <m/>
    <s v="N"/>
    <n v="1"/>
    <d v="2023-07-03T19:05:22"/>
    <s v="N"/>
    <s v="Expert Cost"/>
    <s v="Expert Cost"/>
    <s v="Expert Disbursement"/>
    <s v="Sam Gallett"/>
    <s v="N"/>
    <n v="405"/>
    <n v="81"/>
    <x v="3"/>
    <s v="VALIDATED"/>
    <n v="1"/>
    <s v="01.11.80.308.2012.0000"/>
    <n v="405"/>
    <s v="11"/>
    <s v="2012"/>
    <n v="53101.42"/>
    <n v="405"/>
    <s v="CREDITOR"/>
    <n v="405"/>
    <n v="0"/>
    <n v="0"/>
    <n v="0"/>
    <n v="0"/>
  </r>
  <r>
    <n v="61113117"/>
    <s v="N"/>
    <n v="21321891"/>
    <s v="3000015300070020"/>
    <s v="CIVIL"/>
    <d v="2023-06-29T00:00:00"/>
    <d v="2023-07-03T19:05:17"/>
    <m/>
    <d v="2023-07-03T00:00:00"/>
    <n v="1105"/>
    <n v="18230"/>
    <s v="61113117"/>
    <s v="61113117"/>
    <m/>
    <m/>
    <n v="22786048"/>
    <m/>
    <m/>
    <m/>
    <s v="SOLPOA"/>
    <s v="SOLPOA"/>
    <s v="CCMS"/>
    <n v="21321891"/>
    <n v="263.87"/>
    <m/>
    <s v="N"/>
    <n v="1"/>
    <d v="2023-07-03T19:05:21"/>
    <s v="N"/>
    <s v="Non Expert Disbursement"/>
    <s v="Non Expert Disbursement"/>
    <s v="Non Expert Disbursement"/>
    <s v="Dawn Sweeney"/>
    <s v="N"/>
    <n v="263.87"/>
    <n v="0"/>
    <x v="3"/>
    <s v="VALIDATED"/>
    <n v="1"/>
    <s v="01.11.80.308.2012.0000"/>
    <n v="263.87"/>
    <s v="11"/>
    <s v="2012"/>
    <n v="53101.42"/>
    <n v="263.87"/>
    <s v="CREDITOR"/>
    <n v="263.87"/>
    <n v="0"/>
    <n v="0"/>
    <n v="0"/>
    <n v="0"/>
  </r>
  <r>
    <n v="60330198"/>
    <s v="N"/>
    <n v="21330923"/>
    <s v="3000014627810013"/>
    <s v="CIVIL"/>
    <d v="2023-06-19T00:00:00"/>
    <d v="2023-07-05T19:01:47"/>
    <m/>
    <d v="2023-07-05T00:00:00"/>
    <n v="1105"/>
    <n v="18230"/>
    <s v="60330198"/>
    <s v="60330198"/>
    <m/>
    <m/>
    <n v="22717396"/>
    <m/>
    <m/>
    <m/>
    <s v="SOLFIN"/>
    <s v="SOLFIN"/>
    <s v="CCMS"/>
    <n v="21330923"/>
    <n v="28516.42"/>
    <m/>
    <s v="N"/>
    <n v="71"/>
    <d v="2023-07-05T19:01:57"/>
    <s v="Y"/>
    <s v="Preparation - drafting application"/>
    <s v="Care Remuneration Hourly Rates"/>
    <s v="Profit Cost"/>
    <s v="DS"/>
    <s v="Y"/>
    <n v="63.08"/>
    <n v="12.62"/>
    <x v="6"/>
    <s v="VALIDATED"/>
    <n v="1"/>
    <s v="01.11.80.308.6100.0000"/>
    <n v="63.08"/>
    <s v="11"/>
    <s v="6100"/>
    <n v="53101.42"/>
    <n v="63.08"/>
    <s v="CREDITOR"/>
    <n v="0"/>
    <n v="0"/>
    <n v="0"/>
    <n v="0"/>
    <n v="63.08"/>
  </r>
  <r>
    <n v="60330198"/>
    <s v="N"/>
    <n v="21330923"/>
    <s v="3000014627810013"/>
    <s v="CIVIL"/>
    <d v="2023-06-19T00:00:00"/>
    <d v="2023-07-05T19:01:47"/>
    <m/>
    <d v="2023-07-05T00:00:00"/>
    <n v="1105"/>
    <n v="18230"/>
    <s v="60330198"/>
    <s v="60330198"/>
    <m/>
    <m/>
    <n v="22717396"/>
    <m/>
    <m/>
    <m/>
    <s v="SOLFIN"/>
    <s v="SOLFIN"/>
    <s v="CCMS"/>
    <n v="21330923"/>
    <n v="28516.42"/>
    <m/>
    <s v="N"/>
    <n v="94"/>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135"/>
    <d v="2023-07-05T19:01:57"/>
    <s v="Y"/>
    <s v="Preparation - other"/>
    <s v="Care Remuneration Hourly Rates"/>
    <s v="Profit Cost"/>
    <s v="DS"/>
    <s v="Y"/>
    <n v="15.77"/>
    <n v="3.15"/>
    <x v="6"/>
    <s v="VALIDATED"/>
    <n v="1"/>
    <s v="01.11.80.308.6100.0000"/>
    <n v="15.77"/>
    <s v="11"/>
    <s v="6100"/>
    <n v="53101.42"/>
    <n v="15.77"/>
    <s v="CREDITOR"/>
    <n v="0"/>
    <n v="0"/>
    <n v="0"/>
    <n v="0"/>
    <n v="15.77"/>
  </r>
  <r>
    <n v="60147697"/>
    <s v="N"/>
    <n v="21328215"/>
    <s v="3000014472360032"/>
    <s v="CIVIL"/>
    <d v="2023-06-30T00:00:00"/>
    <d v="2023-07-04T19:00:44"/>
    <m/>
    <d v="2023-07-04T00:00:00"/>
    <n v="1105"/>
    <n v="18230"/>
    <s v="60147697"/>
    <s v="60147697"/>
    <m/>
    <m/>
    <n v="22795380"/>
    <m/>
    <m/>
    <m/>
    <s v="SOLFIN"/>
    <s v="SOLFIN"/>
    <s v="CCMS"/>
    <n v="21328215"/>
    <n v="32839.17"/>
    <m/>
    <s v="N"/>
    <n v="41"/>
    <d v="2023-07-04T19:01:08"/>
    <s v="Y"/>
    <s v="Solicitor Travel Mileage"/>
    <s v="VHCC"/>
    <s v="Non Expert Disbursement"/>
    <s v="SB"/>
    <s v="Y"/>
    <n v="49.5"/>
    <n v="9.9"/>
    <x v="1"/>
    <s v="VALIDATED"/>
    <n v="1"/>
    <s v="01.11.80.308.6300.0000"/>
    <n v="49.5"/>
    <s v="11"/>
    <s v="6300"/>
    <n v="53101.42"/>
    <n v="49.5"/>
    <s v="CREDITOR"/>
    <n v="0"/>
    <n v="0"/>
    <n v="0"/>
    <n v="0"/>
    <n v="49.5"/>
  </r>
  <r>
    <n v="61692826"/>
    <s v="N"/>
    <n v="21338513"/>
    <s v="3000015781560013"/>
    <s v="CIVIL"/>
    <d v="2023-06-28T00:00:00"/>
    <d v="2023-07-06T19:21:01"/>
    <m/>
    <d v="2023-07-06T00:00:00"/>
    <n v="1105"/>
    <n v="18230"/>
    <s v="61692826"/>
    <s v="61692826"/>
    <m/>
    <m/>
    <n v="22778096"/>
    <m/>
    <m/>
    <m/>
    <s v="SOLFIN"/>
    <s v="SOLFIN"/>
    <s v="CCMS"/>
    <n v="21338513"/>
    <n v="4218.91"/>
    <m/>
    <s v="N"/>
    <n v="8"/>
    <d v="2023-07-06T19:21:27"/>
    <s v="Y"/>
    <s v="Preparation - drafting attendance n"/>
    <s v="Prescribed Hourly Rates"/>
    <s v="Profit Cost"/>
    <s v="ES"/>
    <s v="Y"/>
    <n v="16.47"/>
    <n v="3.29"/>
    <x v="4"/>
    <s v="VALIDATED"/>
    <n v="1"/>
    <s v="01.11.80.307.6100.0000"/>
    <n v="16.47"/>
    <s v="11"/>
    <s v="6100"/>
    <n v="53101.42"/>
    <n v="16.47"/>
    <s v="CREDITOR"/>
    <n v="0"/>
    <n v="0"/>
    <n v="0"/>
    <n v="0"/>
    <n v="16.47"/>
  </r>
  <r>
    <n v="61692826"/>
    <s v="N"/>
    <n v="21338513"/>
    <s v="3000015781560013"/>
    <s v="CIVIL"/>
    <d v="2023-06-28T00:00:00"/>
    <d v="2023-07-06T19:21:01"/>
    <m/>
    <d v="2023-07-06T00:00:00"/>
    <n v="1105"/>
    <n v="18230"/>
    <s v="61692826"/>
    <s v="61692826"/>
    <m/>
    <m/>
    <n v="22778096"/>
    <m/>
    <m/>
    <m/>
    <s v="SOLFIN"/>
    <s v="SOLFIN"/>
    <s v="CCMS"/>
    <n v="21338513"/>
    <n v="4218.91"/>
    <m/>
    <s v="N"/>
    <n v="15"/>
    <d v="2023-07-06T19:21:27"/>
    <s v="Y"/>
    <s v="Preparation - drafting instructions"/>
    <s v="Prescribed Hourly Rates"/>
    <s v="Profit Cost"/>
    <s v="ES"/>
    <s v="Y"/>
    <n v="32.94"/>
    <n v="6.59"/>
    <x v="4"/>
    <s v="VALIDATED"/>
    <n v="1"/>
    <s v="01.11.80.307.6100.0000"/>
    <n v="32.94"/>
    <s v="11"/>
    <s v="6100"/>
    <n v="53101.42"/>
    <n v="32.94"/>
    <s v="CREDITOR"/>
    <n v="0"/>
    <n v="0"/>
    <n v="0"/>
    <n v="0"/>
    <n v="32.94"/>
  </r>
  <r>
    <n v="61692826"/>
    <s v="N"/>
    <n v="21338513"/>
    <s v="3000015781560013"/>
    <s v="CIVIL"/>
    <d v="2023-06-28T00:00:00"/>
    <d v="2023-07-06T19:21:01"/>
    <m/>
    <d v="2023-07-06T00:00:00"/>
    <n v="1105"/>
    <n v="18230"/>
    <s v="61692826"/>
    <s v="61692826"/>
    <m/>
    <m/>
    <n v="22778096"/>
    <m/>
    <m/>
    <m/>
    <s v="SOLFIN"/>
    <s v="SOLFIN"/>
    <s v="CCMS"/>
    <n v="21338513"/>
    <n v="4218.91"/>
    <m/>
    <s v="N"/>
    <n v="34"/>
    <d v="2023-07-06T19:21:27"/>
    <s v="Y"/>
    <s v="Preparation - other"/>
    <s v="Prescribed Hourly Rates"/>
    <s v="Profit Cost"/>
    <s v="SG"/>
    <s v="Y"/>
    <n v="31.57"/>
    <n v="6.31"/>
    <x v="4"/>
    <s v="VALIDATED"/>
    <n v="1"/>
    <s v="01.11.80.307.6100.0000"/>
    <n v="31.57"/>
    <s v="11"/>
    <s v="6100"/>
    <n v="53101.42"/>
    <n v="31.57"/>
    <s v="CREDITOR"/>
    <n v="0"/>
    <n v="0"/>
    <n v="0"/>
    <n v="0"/>
    <n v="31.57"/>
  </r>
  <r>
    <n v="61692826"/>
    <s v="N"/>
    <n v="21338513"/>
    <s v="3000015781560013"/>
    <s v="CIVIL"/>
    <d v="2023-06-28T00:00:00"/>
    <d v="2023-07-06T19:21:01"/>
    <m/>
    <d v="2023-07-06T00:00:00"/>
    <n v="1105"/>
    <n v="18230"/>
    <s v="61692826"/>
    <s v="61692826"/>
    <m/>
    <m/>
    <n v="22778096"/>
    <m/>
    <m/>
    <m/>
    <s v="SOLFIN"/>
    <s v="SOLFIN"/>
    <s v="CCMS"/>
    <n v="21338513"/>
    <n v="4218.91"/>
    <m/>
    <s v="N"/>
    <n v="43"/>
    <d v="2023-07-06T19:21:27"/>
    <s v="Y"/>
    <s v="Preparation - other"/>
    <s v="Prescribed Hourly Rates"/>
    <s v="Profit Cost"/>
    <s v="ES"/>
    <s v="Y"/>
    <n v="10.98"/>
    <n v="2.2"/>
    <x v="4"/>
    <s v="VALIDATED"/>
    <n v="1"/>
    <s v="01.11.80.307.6100.0000"/>
    <n v="10.98"/>
    <s v="11"/>
    <s v="6100"/>
    <n v="53101.42"/>
    <n v="10.98"/>
    <s v="CREDITOR"/>
    <n v="0"/>
    <n v="0"/>
    <n v="0"/>
    <n v="0"/>
    <n v="10.98"/>
  </r>
  <r>
    <n v="61986756"/>
    <s v="N"/>
    <n v="21338506"/>
    <s v="3000016029290004"/>
    <s v="CIVIL"/>
    <d v="2023-06-28T00:00:00"/>
    <d v="2023-07-06T19:21:01"/>
    <m/>
    <d v="2023-07-06T00:00:00"/>
    <n v="1105"/>
    <n v="18230"/>
    <s v="61986756"/>
    <s v="61986756"/>
    <m/>
    <m/>
    <n v="22781816"/>
    <m/>
    <m/>
    <m/>
    <s v="SOLFIN"/>
    <s v="SOLFIN"/>
    <s v="CCMS"/>
    <n v="21338506"/>
    <n v="2845.32"/>
    <m/>
    <s v="N"/>
    <n v="2"/>
    <d v="2023-07-06T19:21:27"/>
    <s v="Y"/>
    <s v="Solicitors Fixed Fee"/>
    <s v="Public Law Children"/>
    <s v="Profit Cost"/>
    <s v="IK"/>
    <s v="Y"/>
    <n v="2300"/>
    <n v="460"/>
    <x v="4"/>
    <s v="VALIDATED"/>
    <n v="1"/>
    <s v="01.11.80.308.6100.0000"/>
    <n v="2300"/>
    <s v="11"/>
    <s v="6100"/>
    <n v="53101.42"/>
    <n v="2300"/>
    <s v="CREDITOR"/>
    <n v="0"/>
    <n v="0"/>
    <n v="0"/>
    <n v="0"/>
    <n v="2300"/>
  </r>
  <r>
    <n v="60330198"/>
    <s v="N"/>
    <n v="21330923"/>
    <s v="3000014627810013"/>
    <s v="CIVIL"/>
    <d v="2023-06-19T00:00:00"/>
    <d v="2023-07-05T19:01:47"/>
    <m/>
    <d v="2023-07-05T00:00:00"/>
    <n v="1105"/>
    <n v="18230"/>
    <s v="60330198"/>
    <s v="60330198"/>
    <m/>
    <m/>
    <n v="22717396"/>
    <m/>
    <m/>
    <m/>
    <s v="SOLFIN"/>
    <s v="SOLFIN"/>
    <s v="CCMS"/>
    <n v="21330923"/>
    <n v="28516.42"/>
    <m/>
    <s v="N"/>
    <n v="131"/>
    <d v="2023-07-05T19:01:57"/>
    <s v="Y"/>
    <s v="Preparation - drafting attendance n"/>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38"/>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29"/>
    <d v="2023-07-05T19:01:57"/>
    <s v="Y"/>
    <s v="Preparation - other"/>
    <s v="Care Remuneration Hourly Rates"/>
    <s v="Profit Cost"/>
    <s v="DS"/>
    <s v="Y"/>
    <n v="5.26"/>
    <n v="1.05"/>
    <x v="6"/>
    <s v="VALIDATED"/>
    <n v="1"/>
    <s v="01.11.80.308.6100.0000"/>
    <n v="5.26"/>
    <s v="11"/>
    <s v="6100"/>
    <n v="53101.42"/>
    <n v="5.26"/>
    <s v="CREDITOR"/>
    <n v="0"/>
    <n v="0"/>
    <n v="0"/>
    <n v="0"/>
    <n v="5.26"/>
  </r>
  <r>
    <n v="61692826"/>
    <s v="N"/>
    <n v="21338513"/>
    <s v="3000015781560013"/>
    <s v="CIVIL"/>
    <d v="2023-06-28T00:00:00"/>
    <d v="2023-07-06T19:21:01"/>
    <m/>
    <d v="2023-07-06T00:00:00"/>
    <n v="1105"/>
    <n v="18230"/>
    <s v="61692826"/>
    <s v="61692826"/>
    <m/>
    <m/>
    <n v="22778096"/>
    <m/>
    <m/>
    <m/>
    <s v="SOLFIN"/>
    <s v="SOLFIN"/>
    <s v="CCMS"/>
    <n v="21338513"/>
    <n v="4218.91"/>
    <m/>
    <s v="N"/>
    <n v="38"/>
    <d v="2023-07-06T19:21:27"/>
    <s v="Y"/>
    <s v="Preparation - drafting attendance n"/>
    <s v="Prescribed Hourly Rates"/>
    <s v="Profit Cost"/>
    <s v="KL"/>
    <s v="Y"/>
    <n v="10.98"/>
    <n v="2.2"/>
    <x v="4"/>
    <s v="VALIDATED"/>
    <n v="1"/>
    <s v="01.11.80.307.6100.0000"/>
    <n v="10.98"/>
    <s v="11"/>
    <s v="6100"/>
    <n v="53101.42"/>
    <n v="10.98"/>
    <s v="CREDITOR"/>
    <n v="0"/>
    <n v="0"/>
    <n v="0"/>
    <n v="0"/>
    <n v="10.98"/>
  </r>
  <r>
    <n v="60330198"/>
    <s v="N"/>
    <n v="21330923"/>
    <s v="3000014627810013"/>
    <s v="CIVIL"/>
    <d v="2023-06-19T00:00:00"/>
    <d v="2023-07-05T19:01:47"/>
    <m/>
    <d v="2023-07-05T00:00:00"/>
    <n v="1105"/>
    <n v="18230"/>
    <s v="60330198"/>
    <s v="60330198"/>
    <m/>
    <m/>
    <n v="22717396"/>
    <m/>
    <m/>
    <m/>
    <s v="SOLFIN"/>
    <s v="SOLFIN"/>
    <s v="CCMS"/>
    <n v="21330923"/>
    <n v="28516.42"/>
    <m/>
    <s v="N"/>
    <n v="107"/>
    <d v="2023-07-05T19:01:57"/>
    <s v="Y"/>
    <s v="Preparation - other"/>
    <s v="Care Remuneration Hourly Rates"/>
    <s v="Profit Cost"/>
    <s v="DS"/>
    <s v="Y"/>
    <n v="26.29"/>
    <n v="4.6"/>
    <x v="6"/>
    <s v="VALIDATED"/>
    <n v="1"/>
    <s v="01.11.80.308.6100.0000"/>
    <n v="26.29"/>
    <s v="11"/>
    <s v="6100"/>
    <n v="53101.42"/>
    <n v="26.29"/>
    <s v="CREDITOR"/>
    <n v="0"/>
    <n v="0"/>
    <n v="0"/>
    <n v="0"/>
    <n v="26.29"/>
  </r>
  <r>
    <n v="60330198"/>
    <s v="N"/>
    <n v="21330923"/>
    <s v="3000014627810013"/>
    <s v="CIVIL"/>
    <d v="2023-06-19T00:00:00"/>
    <d v="2023-07-05T19:01:47"/>
    <m/>
    <d v="2023-07-05T00:00:00"/>
    <n v="1105"/>
    <n v="18230"/>
    <s v="60330198"/>
    <s v="60330198"/>
    <m/>
    <m/>
    <n v="22717396"/>
    <m/>
    <m/>
    <m/>
    <s v="SOLFIN"/>
    <s v="SOLFIN"/>
    <s v="CCMS"/>
    <n v="21330923"/>
    <n v="28516.42"/>
    <m/>
    <s v="N"/>
    <n v="130"/>
    <d v="2023-07-05T19:01:57"/>
    <s v="Y"/>
    <s v="Preparation - other"/>
    <s v="Care Remuneration Hourly Rates"/>
    <s v="Profit Cost"/>
    <s v="DS"/>
    <s v="Y"/>
    <n v="57.83"/>
    <n v="11.57"/>
    <x v="6"/>
    <s v="VALIDATED"/>
    <n v="1"/>
    <s v="01.11.80.308.6100.0000"/>
    <n v="57.83"/>
    <s v="11"/>
    <s v="6100"/>
    <n v="53101.42"/>
    <n v="57.83"/>
    <s v="CREDITOR"/>
    <n v="0"/>
    <n v="0"/>
    <n v="0"/>
    <n v="0"/>
    <n v="57.83"/>
  </r>
  <r>
    <n v="60330198"/>
    <s v="N"/>
    <n v="21330923"/>
    <s v="3000014627810013"/>
    <s v="CIVIL"/>
    <d v="2023-06-19T00:00:00"/>
    <d v="2023-07-05T19:01:47"/>
    <m/>
    <d v="2023-07-05T00:00:00"/>
    <n v="1105"/>
    <n v="18230"/>
    <s v="60330198"/>
    <s v="60330198"/>
    <m/>
    <m/>
    <n v="22717396"/>
    <m/>
    <m/>
    <m/>
    <s v="SOLFIN"/>
    <s v="SOLFIN"/>
    <s v="CCMS"/>
    <n v="21330923"/>
    <n v="28516.42"/>
    <m/>
    <s v="N"/>
    <n v="136"/>
    <d v="2023-07-05T19:01:57"/>
    <s v="Y"/>
    <s v="Preparation - other"/>
    <s v="Care Remuneration Hourly Rates"/>
    <s v="Profit Cost"/>
    <s v="DS"/>
    <s v="Y"/>
    <n v="42.06"/>
    <n v="8.41"/>
    <x v="6"/>
    <s v="VALIDATED"/>
    <n v="1"/>
    <s v="01.11.80.308.6100.0000"/>
    <n v="42.06"/>
    <s v="11"/>
    <s v="6100"/>
    <n v="53101.42"/>
    <n v="42.06"/>
    <s v="CREDITOR"/>
    <n v="0"/>
    <n v="0"/>
    <n v="0"/>
    <n v="0"/>
    <n v="42.06"/>
  </r>
  <r>
    <n v="60147697"/>
    <s v="N"/>
    <n v="21328215"/>
    <s v="3000014472360032"/>
    <s v="CIVIL"/>
    <d v="2023-06-30T00:00:00"/>
    <d v="2023-07-04T19:00:44"/>
    <m/>
    <d v="2023-07-04T00:00:00"/>
    <n v="1105"/>
    <n v="18230"/>
    <s v="60147697"/>
    <s v="60147697"/>
    <m/>
    <m/>
    <n v="22795380"/>
    <m/>
    <m/>
    <m/>
    <s v="SOLFIN"/>
    <s v="SOLFIN"/>
    <s v="CCMS"/>
    <n v="21328215"/>
    <n v="32839.17"/>
    <m/>
    <s v="N"/>
    <n v="13"/>
    <d v="2023-07-04T19:01:08"/>
    <s v="Y"/>
    <s v="Finding-of-Fact Hearing (Events Mod"/>
    <s v="VHCC"/>
    <s v="Profit Cost"/>
    <s v="SB"/>
    <s v="Y"/>
    <n v="1107"/>
    <n v="221.4"/>
    <x v="1"/>
    <s v="VALIDATED"/>
    <n v="1"/>
    <s v="01.11.80.308.6100.0000"/>
    <n v="1107"/>
    <s v="11"/>
    <s v="6100"/>
    <n v="53101.42"/>
    <n v="1107"/>
    <s v="CREDITOR"/>
    <n v="0"/>
    <n v="0"/>
    <n v="0"/>
    <n v="0"/>
    <n v="1107"/>
  </r>
  <r>
    <n v="62260705"/>
    <s v="N"/>
    <n v="21321764"/>
    <s v="3000016258450003"/>
    <s v="CIVIL"/>
    <d v="2023-06-29T00:00:00"/>
    <d v="2023-07-03T19:05:17"/>
    <m/>
    <d v="2023-07-03T00:00:00"/>
    <n v="1105"/>
    <n v="18230"/>
    <s v="62260705"/>
    <s v="62260705"/>
    <m/>
    <m/>
    <n v="22785200"/>
    <m/>
    <m/>
    <m/>
    <s v="SOLPOA"/>
    <s v="SOLPOA"/>
    <s v="CCMS"/>
    <n v="21321764"/>
    <n v="167"/>
    <m/>
    <s v="N"/>
    <n v="1"/>
    <d v="2023-07-03T19:05:20"/>
    <s v="N"/>
    <s v="Non Expert Disbursement"/>
    <s v="Non Expert Disbursement"/>
    <s v="Non Expert Disbursement"/>
    <s v="Sam Gallett"/>
    <s v="N"/>
    <n v="167"/>
    <n v="0"/>
    <x v="3"/>
    <s v="VALIDATED"/>
    <n v="1"/>
    <s v="01.11.80.308.2012.0000"/>
    <n v="167"/>
    <s v="11"/>
    <s v="2012"/>
    <n v="53101.42"/>
    <n v="167"/>
    <s v="CREDITOR"/>
    <n v="167"/>
    <n v="0"/>
    <n v="0"/>
    <n v="0"/>
    <n v="0"/>
  </r>
  <r>
    <n v="60330198"/>
    <s v="N"/>
    <n v="21330923"/>
    <s v="3000014627810013"/>
    <s v="CIVIL"/>
    <d v="2023-06-19T00:00:00"/>
    <d v="2023-07-05T19:01:47"/>
    <m/>
    <d v="2023-07-05T00:00:00"/>
    <n v="1105"/>
    <n v="18230"/>
    <s v="60330198"/>
    <s v="60330198"/>
    <m/>
    <m/>
    <n v="22717396"/>
    <m/>
    <m/>
    <m/>
    <s v="SOLFIN"/>
    <s v="SOLFIN"/>
    <s v="CCMS"/>
    <n v="21330923"/>
    <n v="28516.42"/>
    <m/>
    <s v="N"/>
    <n v="116"/>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87"/>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150"/>
    <d v="2023-07-05T19:01:57"/>
    <s v="Y"/>
    <s v="Final Hearing - 3 Days"/>
    <s v="Public Law Children"/>
    <s v="Advocacy"/>
    <s v="BJF"/>
    <s v="Y"/>
    <n v="2088.3"/>
    <n v="417.65"/>
    <x v="6"/>
    <s v="VALIDATED"/>
    <n v="1"/>
    <s v="01.11.80.308.6100.0000"/>
    <n v="2088.3"/>
    <s v="11"/>
    <s v="6100"/>
    <n v="53101.42"/>
    <n v="2088.3"/>
    <s v="CREDITOR"/>
    <n v="0"/>
    <n v="0"/>
    <n v="0"/>
    <n v="0"/>
    <n v="2088.3"/>
  </r>
  <r>
    <n v="60330198"/>
    <s v="N"/>
    <n v="21330923"/>
    <s v="3000014627810013"/>
    <s v="CIVIL"/>
    <d v="2023-06-19T00:00:00"/>
    <d v="2023-07-05T19:01:47"/>
    <m/>
    <d v="2023-07-05T00:00:00"/>
    <n v="1105"/>
    <n v="18230"/>
    <s v="60330198"/>
    <s v="60330198"/>
    <m/>
    <m/>
    <n v="22717396"/>
    <m/>
    <m/>
    <m/>
    <s v="SOLFIN"/>
    <s v="SOLFIN"/>
    <s v="CCMS"/>
    <n v="21330923"/>
    <n v="28516.42"/>
    <m/>
    <s v="N"/>
    <n v="129"/>
    <d v="2023-07-05T19:01:57"/>
    <s v="Y"/>
    <s v="Preparation - other"/>
    <s v="Care Remuneration Hourly Rates"/>
    <s v="Profit Cost"/>
    <s v="DS"/>
    <s v="Y"/>
    <n v="15.77"/>
    <n v="3.15"/>
    <x v="6"/>
    <s v="VALIDATED"/>
    <n v="1"/>
    <s v="01.11.80.308.6100.0000"/>
    <n v="15.77"/>
    <s v="11"/>
    <s v="6100"/>
    <n v="53101.42"/>
    <n v="15.77"/>
    <s v="CREDITOR"/>
    <n v="0"/>
    <n v="0"/>
    <n v="0"/>
    <n v="0"/>
    <n v="15.77"/>
  </r>
  <r>
    <n v="60330198"/>
    <s v="N"/>
    <n v="21330923"/>
    <s v="3000014627810013"/>
    <s v="CIVIL"/>
    <d v="2023-06-19T00:00:00"/>
    <d v="2023-07-05T19:01:47"/>
    <m/>
    <d v="2023-07-05T00:00:00"/>
    <n v="1105"/>
    <n v="18230"/>
    <s v="60330198"/>
    <s v="60330198"/>
    <m/>
    <m/>
    <n v="22717396"/>
    <m/>
    <m/>
    <m/>
    <s v="SOLFIN"/>
    <s v="SOLFIN"/>
    <s v="CCMS"/>
    <n v="21330923"/>
    <n v="28516.42"/>
    <m/>
    <s v="N"/>
    <n v="55"/>
    <d v="2023-07-05T19:01:57"/>
    <s v="Y"/>
    <s v="Preparation - drafting attendance n"/>
    <s v="Care Remuneration Hourly Rates"/>
    <s v="Profit Cost"/>
    <s v="DS"/>
    <s v="Y"/>
    <n v="10.51"/>
    <n v="2.1"/>
    <x v="6"/>
    <s v="VALIDATED"/>
    <n v="1"/>
    <s v="01.11.80.308.6100.0000"/>
    <n v="10.51"/>
    <s v="11"/>
    <s v="6100"/>
    <n v="53101.42"/>
    <n v="10.51"/>
    <s v="CREDITOR"/>
    <n v="0"/>
    <n v="0"/>
    <n v="0"/>
    <n v="0"/>
    <n v="10.51"/>
  </r>
  <r>
    <n v="60147697"/>
    <s v="N"/>
    <n v="21328215"/>
    <s v="3000014472360032"/>
    <s v="CIVIL"/>
    <d v="2023-06-30T00:00:00"/>
    <d v="2023-07-04T19:00:44"/>
    <m/>
    <d v="2023-07-04T00:00:00"/>
    <n v="1105"/>
    <n v="18230"/>
    <s v="60147697"/>
    <s v="60147697"/>
    <m/>
    <m/>
    <n v="22795380"/>
    <m/>
    <m/>
    <m/>
    <s v="SOLFIN"/>
    <s v="SOLFIN"/>
    <s v="CCMS"/>
    <n v="21328215"/>
    <n v="32839.17"/>
    <m/>
    <s v="N"/>
    <n v="43"/>
    <d v="2023-07-04T19:01:08"/>
    <s v="Y"/>
    <s v="Expert - Other"/>
    <s v="VHCC"/>
    <s v="Expert Disbursement"/>
    <s v="SB"/>
    <s v="Y"/>
    <n v="55.99"/>
    <n v="11.2"/>
    <x v="1"/>
    <s v="VALIDATED"/>
    <n v="1"/>
    <s v="01.11.80.308.6300.0000"/>
    <n v="55.99"/>
    <s v="11"/>
    <s v="6300"/>
    <n v="53101.42"/>
    <n v="55.99"/>
    <s v="CREDITOR"/>
    <n v="0"/>
    <n v="0"/>
    <n v="0"/>
    <n v="0"/>
    <n v="55.99"/>
  </r>
  <r>
    <n v="61055520"/>
    <s v="N"/>
    <n v="21321694"/>
    <s v="3000015251150028"/>
    <s v="CIVIL"/>
    <d v="2023-06-29T00:00:00"/>
    <d v="2023-07-03T19:05:17"/>
    <m/>
    <d v="2023-07-03T00:00:00"/>
    <n v="1105"/>
    <n v="18230"/>
    <s v="61055520"/>
    <s v="61055520"/>
    <m/>
    <m/>
    <n v="22786290"/>
    <m/>
    <m/>
    <m/>
    <s v="SOLPOA"/>
    <s v="SOLPOA"/>
    <s v="CCMS"/>
    <n v="21321694"/>
    <n v="104.16"/>
    <m/>
    <s v="N"/>
    <n v="1"/>
    <d v="2023-07-03T19:05:20"/>
    <s v="N"/>
    <s v="Non Expert Disbursement"/>
    <s v="Non Expert Disbursement"/>
    <s v="Non Expert Disbursement"/>
    <s v="Varun Lal"/>
    <s v="N"/>
    <n v="86.8"/>
    <n v="17.36"/>
    <x v="3"/>
    <s v="VALIDATED"/>
    <n v="1"/>
    <s v="01.11.80.308.2012.0000"/>
    <n v="86.8"/>
    <s v="11"/>
    <s v="2012"/>
    <n v="53101.42"/>
    <n v="86.8"/>
    <s v="CREDITOR"/>
    <n v="86.8"/>
    <n v="0"/>
    <n v="0"/>
    <n v="0"/>
    <n v="0"/>
  </r>
  <r>
    <n v="60147697"/>
    <s v="N"/>
    <n v="21328215"/>
    <s v="3000014472360032"/>
    <s v="CIVIL"/>
    <d v="2023-06-30T00:00:00"/>
    <d v="2023-07-04T19:00:44"/>
    <m/>
    <d v="2023-07-04T00:00:00"/>
    <n v="1105"/>
    <n v="18230"/>
    <s v="60147697"/>
    <s v="60147697"/>
    <m/>
    <m/>
    <n v="22795380"/>
    <m/>
    <m/>
    <m/>
    <s v="SOLFIN"/>
    <s v="SOLFIN"/>
    <s v="CCMS"/>
    <n v="21328215"/>
    <n v="32839.17"/>
    <m/>
    <s v="N"/>
    <n v="12"/>
    <d v="2023-07-04T19:01:08"/>
    <s v="Y"/>
    <s v="Finding-of-Fact Hearing (Events Mod"/>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35"/>
    <d v="2023-07-06T19:21:27"/>
    <s v="Y"/>
    <s v="Preparation - other"/>
    <s v="Prescribed Hourly Rates"/>
    <s v="Profit Cost"/>
    <s v="SG"/>
    <s v="Y"/>
    <n v="6.31"/>
    <n v="1.26"/>
    <x v="4"/>
    <s v="VALIDATED"/>
    <n v="1"/>
    <s v="01.11.80.307.6100.0000"/>
    <n v="6.31"/>
    <s v="11"/>
    <s v="6100"/>
    <n v="53101.42"/>
    <n v="6.31"/>
    <s v="CREDITOR"/>
    <n v="0"/>
    <n v="0"/>
    <n v="0"/>
    <n v="0"/>
    <n v="6.31"/>
  </r>
  <r>
    <n v="61692826"/>
    <s v="N"/>
    <n v="21338513"/>
    <s v="3000015781560013"/>
    <s v="CIVIL"/>
    <d v="2023-06-28T00:00:00"/>
    <d v="2023-07-06T19:21:01"/>
    <m/>
    <d v="2023-07-06T00:00:00"/>
    <n v="1105"/>
    <n v="18230"/>
    <s v="61692826"/>
    <s v="61692826"/>
    <m/>
    <m/>
    <n v="22778096"/>
    <m/>
    <m/>
    <m/>
    <s v="SOLFIN"/>
    <s v="SOLFIN"/>
    <s v="CCMS"/>
    <n v="21338513"/>
    <n v="4218.91"/>
    <m/>
    <s v="N"/>
    <n v="51"/>
    <d v="2023-07-06T19:21:27"/>
    <s v="Y"/>
    <s v="Routine Telephone Call"/>
    <s v="Prescribed Hourly Rates"/>
    <s v="Profit Cost"/>
    <s v="ES"/>
    <s v="Y"/>
    <n v="367.2"/>
    <n v="73.45"/>
    <x v="4"/>
    <s v="VALIDATED"/>
    <n v="1"/>
    <s v="01.11.80.307.6100.0000"/>
    <n v="367.2"/>
    <s v="11"/>
    <s v="6100"/>
    <n v="53101.42"/>
    <n v="367.2"/>
    <s v="CREDITOR"/>
    <n v="0"/>
    <n v="0"/>
    <n v="0"/>
    <n v="0"/>
    <n v="367.2"/>
  </r>
  <r>
    <n v="60330198"/>
    <s v="N"/>
    <n v="21330923"/>
    <s v="3000014627810013"/>
    <s v="CIVIL"/>
    <d v="2023-06-19T00:00:00"/>
    <d v="2023-07-05T19:01:47"/>
    <m/>
    <d v="2023-07-05T00:00:00"/>
    <n v="1105"/>
    <n v="18230"/>
    <s v="60330198"/>
    <s v="60330198"/>
    <m/>
    <m/>
    <n v="22717396"/>
    <m/>
    <m/>
    <m/>
    <s v="SOLFIN"/>
    <s v="SOLFIN"/>
    <s v="CCMS"/>
    <n v="21330923"/>
    <n v="28516.42"/>
    <m/>
    <s v="N"/>
    <n v="127"/>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27"/>
    <d v="2023-07-05T19:01:57"/>
    <s v="Y"/>
    <s v="Preparation - other"/>
    <s v="Care Remuneration Hourly Rates"/>
    <s v="Profit Cost"/>
    <s v="DS"/>
    <s v="Y"/>
    <n v="78.86"/>
    <n v="15.77"/>
    <x v="6"/>
    <s v="VALIDATED"/>
    <n v="1"/>
    <s v="01.11.80.308.6100.0000"/>
    <n v="78.86"/>
    <s v="11"/>
    <s v="6100"/>
    <n v="53101.42"/>
    <n v="78.86"/>
    <s v="CREDITOR"/>
    <n v="0"/>
    <n v="0"/>
    <n v="0"/>
    <n v="0"/>
    <n v="78.86"/>
  </r>
  <r>
    <n v="60330198"/>
    <s v="N"/>
    <n v="21330923"/>
    <s v="3000014627810013"/>
    <s v="CIVIL"/>
    <d v="2023-06-19T00:00:00"/>
    <d v="2023-07-05T19:01:47"/>
    <m/>
    <d v="2023-07-05T00:00:00"/>
    <n v="1105"/>
    <n v="18230"/>
    <s v="60330198"/>
    <s v="60330198"/>
    <m/>
    <m/>
    <n v="22717396"/>
    <m/>
    <m/>
    <m/>
    <s v="SOLFIN"/>
    <s v="SOLFIN"/>
    <s v="CCMS"/>
    <n v="21330923"/>
    <n v="28516.42"/>
    <m/>
    <s v="N"/>
    <n v="30"/>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56"/>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37"/>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90"/>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51"/>
    <d v="2023-07-05T19:01:57"/>
    <s v="Y"/>
    <s v="Preparation - other"/>
    <s v="Care Remuneration Hourly Rates"/>
    <s v="Profit Cost"/>
    <s v="DS"/>
    <s v="Y"/>
    <n v="15.77"/>
    <n v="3.15"/>
    <x v="6"/>
    <s v="VALIDATED"/>
    <n v="1"/>
    <s v="01.11.80.308.6100.0000"/>
    <n v="15.77"/>
    <s v="11"/>
    <s v="6100"/>
    <n v="53101.42"/>
    <n v="15.77"/>
    <s v="CREDITOR"/>
    <n v="0"/>
    <n v="0"/>
    <n v="0"/>
    <n v="0"/>
    <n v="15.77"/>
  </r>
  <r>
    <n v="61692826"/>
    <s v="N"/>
    <n v="21338513"/>
    <s v="3000015781560013"/>
    <s v="CIVIL"/>
    <d v="2023-06-28T00:00:00"/>
    <d v="2023-07-06T19:21:01"/>
    <m/>
    <d v="2023-07-06T00:00:00"/>
    <n v="1105"/>
    <n v="18230"/>
    <s v="61692826"/>
    <s v="61692826"/>
    <m/>
    <m/>
    <n v="22778096"/>
    <m/>
    <m/>
    <m/>
    <s v="SOLFIN"/>
    <s v="SOLFIN"/>
    <s v="CCMS"/>
    <n v="21338513"/>
    <n v="4218.91"/>
    <m/>
    <s v="N"/>
    <n v="23"/>
    <d v="2023-07-06T19:21:27"/>
    <s v="Y"/>
    <s v="Preparation - drafting attendance n"/>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106"/>
    <d v="2023-07-05T19:01:57"/>
    <s v="Y"/>
    <s v="Preparation - drafting statement"/>
    <s v="Care Remuneration Hourly Rates"/>
    <s v="Profit Cost"/>
    <s v="DS"/>
    <s v="Y"/>
    <n v="105.14"/>
    <n v="21.03"/>
    <x v="6"/>
    <s v="VALIDATED"/>
    <n v="1"/>
    <s v="01.11.80.308.6100.0000"/>
    <n v="105.14"/>
    <s v="11"/>
    <s v="6100"/>
    <n v="53101.42"/>
    <n v="105.14"/>
    <s v="CREDITOR"/>
    <n v="0"/>
    <n v="0"/>
    <n v="0"/>
    <n v="0"/>
    <n v="105.14"/>
  </r>
  <r>
    <n v="60330198"/>
    <s v="N"/>
    <n v="21330923"/>
    <s v="3000014627810013"/>
    <s v="CIVIL"/>
    <d v="2023-06-19T00:00:00"/>
    <d v="2023-07-05T19:01:47"/>
    <m/>
    <d v="2023-07-05T00:00:00"/>
    <n v="1105"/>
    <n v="18230"/>
    <s v="60330198"/>
    <s v="60330198"/>
    <m/>
    <m/>
    <n v="22717396"/>
    <m/>
    <m/>
    <m/>
    <s v="SOLFIN"/>
    <s v="SOLFIN"/>
    <s v="CCMS"/>
    <n v="21330923"/>
    <n v="28516.42"/>
    <m/>
    <s v="N"/>
    <n v="75"/>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89"/>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140"/>
    <d v="2023-07-05T19:01:57"/>
    <s v="Y"/>
    <s v="Final Hearing - 7 Days"/>
    <s v="Public Law Children"/>
    <s v="Advocacy"/>
    <s v="BJF"/>
    <s v="Y"/>
    <n v="4872.7"/>
    <n v="974.61"/>
    <x v="6"/>
    <s v="VALIDATED"/>
    <n v="1"/>
    <s v="01.11.80.308.6100.0000"/>
    <n v="4872.7"/>
    <s v="11"/>
    <s v="6100"/>
    <n v="53101.42"/>
    <n v="4872.7"/>
    <s v="CREDITOR"/>
    <n v="0"/>
    <n v="0"/>
    <n v="0"/>
    <n v="0"/>
    <n v="4872.7"/>
  </r>
  <r>
    <n v="60147697"/>
    <s v="N"/>
    <n v="21328215"/>
    <s v="3000014472360032"/>
    <s v="CIVIL"/>
    <d v="2023-06-30T00:00:00"/>
    <d v="2023-07-04T19:00:44"/>
    <m/>
    <d v="2023-07-04T00:00:00"/>
    <n v="1105"/>
    <n v="18230"/>
    <s v="60147697"/>
    <s v="60147697"/>
    <m/>
    <m/>
    <n v="22795380"/>
    <m/>
    <m/>
    <m/>
    <s v="SOLFIN"/>
    <s v="SOLFIN"/>
    <s v="CCMS"/>
    <n v="21328215"/>
    <n v="32839.17"/>
    <m/>
    <s v="N"/>
    <n v="26"/>
    <d v="2023-07-04T19:01:08"/>
    <s v="Y"/>
    <s v="Pre-Hearing Review (Events Model)"/>
    <s v="VHCC"/>
    <s v="Profit Cost"/>
    <s v="SB"/>
    <s v="Y"/>
    <n v="900"/>
    <n v="180"/>
    <x v="1"/>
    <s v="VALIDATED"/>
    <n v="1"/>
    <s v="01.11.80.308.6100.0000"/>
    <n v="900"/>
    <s v="11"/>
    <s v="6100"/>
    <n v="53101.42"/>
    <n v="900"/>
    <s v="CREDITOR"/>
    <n v="0"/>
    <n v="0"/>
    <n v="0"/>
    <n v="0"/>
    <n v="900"/>
  </r>
  <r>
    <n v="62194848"/>
    <s v="N"/>
    <n v="21321677"/>
    <s v="3000016204310004"/>
    <s v="CIVIL"/>
    <d v="2023-06-29T00:00:00"/>
    <d v="2023-07-03T19:05:17"/>
    <m/>
    <d v="2023-07-03T00:00:00"/>
    <n v="1105"/>
    <n v="18230"/>
    <s v="62194848"/>
    <s v="62194848"/>
    <m/>
    <m/>
    <n v="22786130"/>
    <m/>
    <m/>
    <m/>
    <s v="SOLPOA"/>
    <s v="SOLPOA"/>
    <s v="CCMS"/>
    <n v="21321677"/>
    <n v="166.56"/>
    <m/>
    <s v="N"/>
    <n v="1"/>
    <d v="2023-07-03T19:05:20"/>
    <s v="N"/>
    <s v="Non Expert Disbursement"/>
    <s v="Non Expert Disbursement"/>
    <s v="Non Expert Disbursement"/>
    <s v="Sam Gallett"/>
    <s v="N"/>
    <n v="138.8"/>
    <n v="27.76"/>
    <x v="3"/>
    <s v="VALIDATED"/>
    <n v="1"/>
    <s v="01.11.80.308.2012.0000"/>
    <n v="138.8"/>
    <s v="11"/>
    <s v="2012"/>
    <n v="53101.42"/>
    <n v="138.8"/>
    <s v="CREDITOR"/>
    <n v="138.8"/>
    <n v="0"/>
    <n v="0"/>
    <n v="0"/>
    <n v="0"/>
  </r>
  <r>
    <n v="61692826"/>
    <s v="N"/>
    <n v="21338513"/>
    <s v="3000015781560013"/>
    <s v="CIVIL"/>
    <d v="2023-06-28T00:00:00"/>
    <d v="2023-07-06T19:21:01"/>
    <m/>
    <d v="2023-07-06T00:00:00"/>
    <n v="1105"/>
    <n v="18230"/>
    <s v="61692826"/>
    <s v="61692826"/>
    <m/>
    <m/>
    <n v="22778096"/>
    <m/>
    <m/>
    <m/>
    <s v="SOLFIN"/>
    <s v="SOLFIN"/>
    <s v="CCMS"/>
    <n v="21338513"/>
    <n v="4218.91"/>
    <m/>
    <s v="N"/>
    <n v="7"/>
    <d v="2023-07-06T19:21:27"/>
    <s v="Y"/>
    <s v="Attendance upon other side"/>
    <s v="Prescribed Hourly Rates"/>
    <s v="Profit Cost"/>
    <s v="ES"/>
    <s v="Y"/>
    <n v="27.45"/>
    <n v="5.49"/>
    <x v="4"/>
    <s v="VALIDATED"/>
    <n v="1"/>
    <s v="01.11.80.307.6100.0000"/>
    <n v="27.45"/>
    <s v="11"/>
    <s v="6100"/>
    <n v="53101.42"/>
    <n v="27.45"/>
    <s v="CREDITOR"/>
    <n v="0"/>
    <n v="0"/>
    <n v="0"/>
    <n v="0"/>
    <n v="27.45"/>
  </r>
  <r>
    <n v="60330198"/>
    <s v="N"/>
    <n v="21330923"/>
    <s v="3000014627810013"/>
    <s v="CIVIL"/>
    <d v="2023-06-19T00:00:00"/>
    <d v="2023-07-05T19:01:47"/>
    <m/>
    <d v="2023-07-05T00:00:00"/>
    <n v="1105"/>
    <n v="18230"/>
    <s v="60330198"/>
    <s v="60330198"/>
    <m/>
    <m/>
    <n v="22717396"/>
    <m/>
    <m/>
    <m/>
    <s v="SOLFIN"/>
    <s v="SOLFIN"/>
    <s v="CCMS"/>
    <n v="21330923"/>
    <n v="28516.42"/>
    <m/>
    <s v="N"/>
    <n v="38"/>
    <d v="2023-07-05T19:01:57"/>
    <s v="Y"/>
    <s v="Preparation - drafting bill/claim f"/>
    <s v="Care Remuneration Hourly Rates"/>
    <s v="Profit Cost"/>
    <s v="SJB"/>
    <s v="Y"/>
    <n v="226.05"/>
    <n v="45.21"/>
    <x v="6"/>
    <s v="VALIDATED"/>
    <n v="1"/>
    <s v="01.11.80.308.6100.0000"/>
    <n v="226.05"/>
    <s v="11"/>
    <s v="6100"/>
    <n v="53101.42"/>
    <n v="226.05"/>
    <s v="CREDITOR"/>
    <n v="0"/>
    <n v="0"/>
    <n v="0"/>
    <n v="0"/>
    <n v="226.05"/>
  </r>
  <r>
    <n v="60330198"/>
    <s v="N"/>
    <n v="21330923"/>
    <s v="3000014627810013"/>
    <s v="CIVIL"/>
    <d v="2023-06-19T00:00:00"/>
    <d v="2023-07-05T19:01:47"/>
    <m/>
    <d v="2023-07-05T00:00:00"/>
    <n v="1105"/>
    <n v="18230"/>
    <s v="60330198"/>
    <s v="60330198"/>
    <m/>
    <m/>
    <n v="22717396"/>
    <m/>
    <m/>
    <m/>
    <s v="SOLFIN"/>
    <s v="SOLFIN"/>
    <s v="CCMS"/>
    <n v="21330923"/>
    <n v="28516.42"/>
    <m/>
    <s v="N"/>
    <n v="78"/>
    <d v="2023-07-05T19:01:57"/>
    <s v="Y"/>
    <s v="Attendance upon client"/>
    <s v="Care Remuneration Hourly Rates"/>
    <s v="Profit Cost"/>
    <s v="DS"/>
    <s v="Y"/>
    <n v="78.86"/>
    <n v="15.77"/>
    <x v="6"/>
    <s v="VALIDATED"/>
    <n v="1"/>
    <s v="01.11.80.308.6100.0000"/>
    <n v="78.86"/>
    <s v="11"/>
    <s v="6100"/>
    <n v="53101.42"/>
    <n v="78.86"/>
    <s v="CREDITOR"/>
    <n v="0"/>
    <n v="0"/>
    <n v="0"/>
    <n v="0"/>
    <n v="78.86"/>
  </r>
  <r>
    <n v="60147697"/>
    <s v="N"/>
    <n v="21328215"/>
    <s v="3000014472360032"/>
    <s v="CIVIL"/>
    <d v="2023-06-30T00:00:00"/>
    <d v="2023-07-04T19:00:44"/>
    <m/>
    <d v="2023-07-04T00:00:00"/>
    <n v="1105"/>
    <n v="18230"/>
    <s v="60147697"/>
    <s v="60147697"/>
    <m/>
    <m/>
    <n v="22795380"/>
    <m/>
    <m/>
    <m/>
    <s v="SOLFIN"/>
    <s v="SOLFIN"/>
    <s v="CCMS"/>
    <n v="21328215"/>
    <n v="32839.17"/>
    <m/>
    <s v="N"/>
    <n v="14"/>
    <d v="2023-07-04T19:01:08"/>
    <s v="Y"/>
    <s v="Pre-Hearing Review (Events Model)"/>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30"/>
    <d v="2023-07-06T19:21:27"/>
    <s v="Y"/>
    <s v="Attendance upon client"/>
    <s v="Prescribed Hourly Rates"/>
    <s v="Profit Cost"/>
    <s v="SG"/>
    <s v="Y"/>
    <n v="63.14"/>
    <n v="12.63"/>
    <x v="4"/>
    <s v="VALIDATED"/>
    <n v="1"/>
    <s v="01.11.80.307.6100.0000"/>
    <n v="63.14"/>
    <s v="11"/>
    <s v="6100"/>
    <n v="53101.42"/>
    <n v="63.14"/>
    <s v="CREDITOR"/>
    <n v="0"/>
    <n v="0"/>
    <n v="0"/>
    <n v="0"/>
    <n v="63.14"/>
  </r>
  <r>
    <n v="60330198"/>
    <s v="N"/>
    <n v="21330923"/>
    <s v="3000014627810013"/>
    <s v="CIVIL"/>
    <d v="2023-06-19T00:00:00"/>
    <d v="2023-07-05T19:01:47"/>
    <m/>
    <d v="2023-07-05T00:00:00"/>
    <n v="1105"/>
    <n v="18230"/>
    <s v="60330198"/>
    <s v="60330198"/>
    <m/>
    <m/>
    <n v="22717396"/>
    <m/>
    <m/>
    <m/>
    <s v="SOLFIN"/>
    <s v="SOLFIN"/>
    <s v="CCMS"/>
    <n v="21330923"/>
    <n v="28516.42"/>
    <m/>
    <s v="N"/>
    <n v="9"/>
    <d v="2023-07-05T19:01:57"/>
    <s v="Y"/>
    <s v="Court Fee"/>
    <s v="Public Law Children"/>
    <s v="Non Expert Disbursement"/>
    <s v="DS"/>
    <s v="Y"/>
    <n v="167"/>
    <n v="0"/>
    <x v="6"/>
    <s v="VALIDATED"/>
    <n v="1"/>
    <s v="01.11.80.308.6300.0000"/>
    <n v="167"/>
    <s v="11"/>
    <s v="6300"/>
    <n v="53101.42"/>
    <n v="167"/>
    <s v="CREDITOR"/>
    <n v="0"/>
    <n v="0"/>
    <n v="0"/>
    <n v="0"/>
    <n v="167"/>
  </r>
  <r>
    <n v="61692826"/>
    <s v="N"/>
    <n v="21338513"/>
    <s v="3000015781560013"/>
    <s v="CIVIL"/>
    <d v="2023-06-28T00:00:00"/>
    <d v="2023-07-06T19:21:01"/>
    <m/>
    <d v="2023-07-06T00:00:00"/>
    <n v="1105"/>
    <n v="18230"/>
    <s v="61692826"/>
    <s v="61692826"/>
    <m/>
    <m/>
    <n v="22778096"/>
    <m/>
    <m/>
    <m/>
    <s v="SOLFIN"/>
    <s v="SOLFIN"/>
    <s v="CCMS"/>
    <n v="21338513"/>
    <n v="4218.91"/>
    <m/>
    <s v="N"/>
    <n v="54"/>
    <d v="2023-07-06T19:21:27"/>
    <s v="Y"/>
    <s v="Preparation - other"/>
    <s v="Prescribed Hourly Rates"/>
    <s v="Profit Cost"/>
    <s v="ES"/>
    <s v="Y"/>
    <n v="10.98"/>
    <n v="2.2"/>
    <x v="4"/>
    <s v="VALIDATED"/>
    <n v="1"/>
    <s v="01.11.80.307.6100.0000"/>
    <n v="10.98"/>
    <s v="11"/>
    <s v="6100"/>
    <n v="53101.42"/>
    <n v="10.98"/>
    <s v="CREDITOR"/>
    <n v="0"/>
    <n v="0"/>
    <n v="0"/>
    <n v="0"/>
    <n v="10.98"/>
  </r>
  <r>
    <n v="61692826"/>
    <s v="N"/>
    <n v="21338513"/>
    <s v="3000015781560013"/>
    <s v="CIVIL"/>
    <d v="2023-06-28T00:00:00"/>
    <d v="2023-07-06T19:21:01"/>
    <m/>
    <d v="2023-07-06T00:00:00"/>
    <n v="1105"/>
    <n v="18230"/>
    <s v="61692826"/>
    <s v="61692826"/>
    <m/>
    <m/>
    <n v="22778096"/>
    <m/>
    <m/>
    <m/>
    <s v="SOLFIN"/>
    <s v="SOLFIN"/>
    <s v="CCMS"/>
    <n v="21338513"/>
    <n v="4218.91"/>
    <m/>
    <s v="N"/>
    <n v="19"/>
    <d v="2023-07-06T19:21:27"/>
    <s v="Y"/>
    <s v="Preparation - drafting attendance n"/>
    <s v="Prescribed Hourly Rates"/>
    <s v="Profit Cost"/>
    <s v="FC"/>
    <s v="Y"/>
    <n v="32.94"/>
    <n v="6.59"/>
    <x v="4"/>
    <s v="VALIDATED"/>
    <n v="1"/>
    <s v="01.11.80.307.6100.0000"/>
    <n v="32.94"/>
    <s v="11"/>
    <s v="6100"/>
    <n v="53101.42"/>
    <n v="32.94"/>
    <s v="CREDITOR"/>
    <n v="0"/>
    <n v="0"/>
    <n v="0"/>
    <n v="0"/>
    <n v="32.94"/>
  </r>
  <r>
    <n v="61692826"/>
    <s v="N"/>
    <n v="21338513"/>
    <s v="3000015781560013"/>
    <s v="CIVIL"/>
    <d v="2023-06-28T00:00:00"/>
    <d v="2023-07-06T19:21:01"/>
    <m/>
    <d v="2023-07-06T00:00:00"/>
    <n v="1105"/>
    <n v="18230"/>
    <s v="61692826"/>
    <s v="61692826"/>
    <m/>
    <m/>
    <n v="22778096"/>
    <m/>
    <m/>
    <m/>
    <s v="SOLFIN"/>
    <s v="SOLFIN"/>
    <s v="CCMS"/>
    <n v="21338513"/>
    <n v="4218.91"/>
    <m/>
    <s v="N"/>
    <n v="26"/>
    <d v="2023-07-06T19:21:27"/>
    <s v="Y"/>
    <s v="Preparation - drafting attendance n"/>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112"/>
    <d v="2023-07-05T19:01:57"/>
    <s v="Y"/>
    <s v="Preparation - other"/>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82"/>
    <d v="2023-07-05T19:01:57"/>
    <s v="Y"/>
    <s v="Attendance upon client"/>
    <s v="Care Remuneration Hourly Rates"/>
    <s v="Profit Cost"/>
    <s v="DS"/>
    <s v="Y"/>
    <n v="31.54"/>
    <n v="6.31"/>
    <x v="6"/>
    <s v="VALIDATED"/>
    <n v="1"/>
    <s v="01.11.80.308.6100.0000"/>
    <n v="31.54"/>
    <s v="11"/>
    <s v="6100"/>
    <n v="53101.42"/>
    <n v="31.54"/>
    <s v="CREDITOR"/>
    <n v="0"/>
    <n v="0"/>
    <n v="0"/>
    <n v="0"/>
    <n v="31.54"/>
  </r>
  <r>
    <n v="60330198"/>
    <s v="N"/>
    <n v="21330923"/>
    <s v="3000014627810013"/>
    <s v="CIVIL"/>
    <d v="2023-06-19T00:00:00"/>
    <d v="2023-07-05T19:01:47"/>
    <m/>
    <d v="2023-07-05T00:00:00"/>
    <n v="1105"/>
    <n v="18230"/>
    <s v="60330198"/>
    <s v="60330198"/>
    <m/>
    <m/>
    <n v="22717396"/>
    <m/>
    <m/>
    <m/>
    <s v="SOLFIN"/>
    <s v="SOLFIN"/>
    <s v="CCMS"/>
    <n v="21330923"/>
    <n v="28516.42"/>
    <m/>
    <s v="N"/>
    <n v="148"/>
    <d v="2023-07-05T19:01:57"/>
    <s v="Y"/>
    <s v="Hearing Unit 5.01 - 7.30 Hours"/>
    <s v="Public Law Children"/>
    <s v="Advocacy"/>
    <s v="DS"/>
    <s v="Y"/>
    <n v="715.38"/>
    <n v="143.07"/>
    <x v="6"/>
    <s v="VALIDATED"/>
    <n v="1"/>
    <s v="01.11.80.308.6100.0000"/>
    <n v="715.38"/>
    <s v="11"/>
    <s v="6100"/>
    <n v="53101.42"/>
    <n v="715.38"/>
    <s v="CREDITOR"/>
    <n v="0"/>
    <n v="0"/>
    <n v="0"/>
    <n v="0"/>
    <n v="715.38"/>
  </r>
  <r>
    <n v="60330198"/>
    <s v="N"/>
    <n v="21330923"/>
    <s v="3000014627810013"/>
    <s v="CIVIL"/>
    <d v="2023-06-19T00:00:00"/>
    <d v="2023-07-05T19:01:47"/>
    <m/>
    <d v="2023-07-05T00:00:00"/>
    <n v="1105"/>
    <n v="18230"/>
    <s v="60330198"/>
    <s v="60330198"/>
    <m/>
    <m/>
    <n v="22717396"/>
    <m/>
    <m/>
    <m/>
    <s v="SOLFIN"/>
    <s v="SOLFIN"/>
    <s v="CCMS"/>
    <n v="21330923"/>
    <n v="28516.42"/>
    <m/>
    <s v="N"/>
    <n v="152"/>
    <d v="2023-07-05T19:01:57"/>
    <s v="Y"/>
    <s v="Advocates Meeting"/>
    <s v="Public Law Children"/>
    <s v="Advocacy"/>
    <s v="DS"/>
    <s v="Y"/>
    <n v="140.99"/>
    <n v="28.2"/>
    <x v="6"/>
    <s v="VALIDATED"/>
    <n v="1"/>
    <s v="01.11.80.308.6100.0000"/>
    <n v="140.99"/>
    <s v="11"/>
    <s v="6100"/>
    <n v="53101.42"/>
    <n v="140.99"/>
    <s v="CREDITOR"/>
    <n v="0"/>
    <n v="0"/>
    <n v="0"/>
    <n v="0"/>
    <n v="140.99"/>
  </r>
  <r>
    <n v="61224631"/>
    <s v="N"/>
    <n v="21321621"/>
    <s v="3000015395640012"/>
    <s v="CIVIL"/>
    <d v="2023-06-29T00:00:00"/>
    <d v="2023-07-03T19:05:17"/>
    <m/>
    <d v="2023-07-03T00:00:00"/>
    <n v="1105"/>
    <n v="18230"/>
    <s v="61224631"/>
    <s v="61224631"/>
    <m/>
    <m/>
    <n v="22785292"/>
    <m/>
    <m/>
    <m/>
    <s v="SOLPOA"/>
    <s v="SOLPOA"/>
    <s v="CCMS"/>
    <n v="21321621"/>
    <n v="79"/>
    <m/>
    <s v="N"/>
    <n v="1"/>
    <d v="2023-07-03T19:05:19"/>
    <s v="N"/>
    <s v="Non Expert Disbursement"/>
    <s v="Non Expert Disbursement"/>
    <s v="Non Expert Disbursement"/>
    <s v="Ellie Satterthwaite"/>
    <s v="N"/>
    <n v="79"/>
    <n v="0"/>
    <x v="3"/>
    <s v="VALIDATED"/>
    <n v="1"/>
    <s v="01.11.80.308.2012.0000"/>
    <n v="79"/>
    <s v="11"/>
    <s v="2012"/>
    <n v="53101.42"/>
    <n v="79"/>
    <s v="CREDITOR"/>
    <n v="79"/>
    <n v="0"/>
    <n v="0"/>
    <n v="0"/>
    <n v="0"/>
  </r>
  <r>
    <n v="60330198"/>
    <s v="N"/>
    <n v="21330923"/>
    <s v="3000014627810013"/>
    <s v="CIVIL"/>
    <d v="2023-06-19T00:00:00"/>
    <d v="2023-07-05T19:01:47"/>
    <m/>
    <d v="2023-07-05T00:00:00"/>
    <n v="1105"/>
    <n v="18230"/>
    <s v="60330198"/>
    <s v="60330198"/>
    <m/>
    <m/>
    <n v="22717396"/>
    <m/>
    <m/>
    <m/>
    <s v="SOLFIN"/>
    <s v="SOLFIN"/>
    <s v="CCMS"/>
    <n v="21330923"/>
    <n v="28516.42"/>
    <m/>
    <s v="N"/>
    <n v="19"/>
    <d v="2023-07-05T19:01:57"/>
    <s v="Y"/>
    <s v="Routine Letter Out"/>
    <s v="Care Remuneration Hourly Rates"/>
    <s v="Profit Cost"/>
    <s v="DS"/>
    <s v="Y"/>
    <n v="2029.5"/>
    <n v="405.89"/>
    <x v="6"/>
    <s v="VALIDATED"/>
    <n v="1"/>
    <s v="01.11.80.308.6100.0000"/>
    <n v="2029.5"/>
    <s v="11"/>
    <s v="6100"/>
    <n v="53101.42"/>
    <n v="2029.5"/>
    <s v="CREDITOR"/>
    <n v="0"/>
    <n v="0"/>
    <n v="0"/>
    <n v="0"/>
    <n v="2029.5"/>
  </r>
  <r>
    <n v="61692826"/>
    <s v="N"/>
    <n v="21338513"/>
    <s v="3000015781560013"/>
    <s v="CIVIL"/>
    <d v="2023-06-28T00:00:00"/>
    <d v="2023-07-06T19:21:01"/>
    <m/>
    <d v="2023-07-06T00:00:00"/>
    <n v="1105"/>
    <n v="18230"/>
    <s v="61692826"/>
    <s v="61692826"/>
    <m/>
    <m/>
    <n v="22778096"/>
    <m/>
    <m/>
    <m/>
    <s v="SOLFIN"/>
    <s v="SOLFIN"/>
    <s v="CCMS"/>
    <n v="21338513"/>
    <n v="4218.91"/>
    <m/>
    <s v="N"/>
    <n v="58"/>
    <d v="2023-07-06T19:21:27"/>
    <s v="Y"/>
    <s v="Enquiry Agent"/>
    <s v="Private Law Children"/>
    <s v="Expert Disbursement"/>
    <s v="ES"/>
    <s v="Y"/>
    <n v="49.44"/>
    <n v="0"/>
    <x v="4"/>
    <s v="VALIDATED"/>
    <n v="1"/>
    <s v="01.11.80.307.6300.0000"/>
    <n v="49.44"/>
    <s v="11"/>
    <s v="6300"/>
    <n v="53101.42"/>
    <n v="49.44"/>
    <s v="CREDITOR"/>
    <n v="0"/>
    <n v="0"/>
    <n v="0"/>
    <n v="0"/>
    <n v="49.44"/>
  </r>
  <r>
    <n v="60330198"/>
    <s v="N"/>
    <n v="21330923"/>
    <s v="3000014627810013"/>
    <s v="CIVIL"/>
    <d v="2023-06-19T00:00:00"/>
    <d v="2023-07-05T19:01:47"/>
    <m/>
    <d v="2023-07-05T00:00:00"/>
    <n v="1105"/>
    <n v="18230"/>
    <s v="60330198"/>
    <s v="60330198"/>
    <m/>
    <m/>
    <n v="22717396"/>
    <m/>
    <m/>
    <m/>
    <s v="SOLFIN"/>
    <s v="SOLFIN"/>
    <s v="CCMS"/>
    <n v="21330923"/>
    <n v="28516.42"/>
    <m/>
    <s v="N"/>
    <n v="7"/>
    <d v="2023-07-05T19:01:57"/>
    <s v="N"/>
    <s v="Court Fee"/>
    <s v="Public Law Children"/>
    <s v="Non Expert Disbursement"/>
    <s v="DS"/>
    <s v="N"/>
    <n v="243.3"/>
    <n v="0"/>
    <x v="6"/>
    <s v="VALIDATED"/>
    <n v="1"/>
    <s v="01.11.80.308.6300.0000"/>
    <n v="243.3"/>
    <s v="11"/>
    <s v="6300"/>
    <n v="53101.42"/>
    <n v="243.3"/>
    <s v="CREDITOR"/>
    <n v="0"/>
    <n v="0"/>
    <n v="0"/>
    <n v="0"/>
    <n v="243.3"/>
  </r>
  <r>
    <n v="60147697"/>
    <s v="N"/>
    <n v="21328215"/>
    <s v="3000014472360032"/>
    <s v="CIVIL"/>
    <d v="2023-06-30T00:00:00"/>
    <d v="2023-07-04T19:00:44"/>
    <m/>
    <d v="2023-07-04T00:00:00"/>
    <n v="1105"/>
    <n v="18230"/>
    <s v="60147697"/>
    <s v="60147697"/>
    <m/>
    <m/>
    <n v="22795380"/>
    <m/>
    <m/>
    <m/>
    <s v="SOLFIN"/>
    <s v="SOLFIN"/>
    <s v="CCMS"/>
    <n v="21328215"/>
    <n v="32839.17"/>
    <m/>
    <s v="N"/>
    <n v="30"/>
    <d v="2023-07-04T19:01:08"/>
    <s v="Y"/>
    <s v="Solicitor Travel Expenses"/>
    <s v="VHCC"/>
    <s v="Non Expert Disbursement"/>
    <s v="SB"/>
    <s v="Y"/>
    <n v="3.75"/>
    <n v="0.75"/>
    <x v="1"/>
    <s v="VALIDATED"/>
    <n v="1"/>
    <s v="01.11.80.308.6300.0000"/>
    <n v="3.75"/>
    <s v="11"/>
    <s v="6300"/>
    <n v="53101.42"/>
    <n v="3.75"/>
    <s v="CREDITOR"/>
    <n v="0"/>
    <n v="0"/>
    <n v="0"/>
    <n v="0"/>
    <n v="3.75"/>
  </r>
  <r>
    <n v="60147697"/>
    <s v="N"/>
    <n v="21328215"/>
    <s v="3000014472360032"/>
    <s v="CIVIL"/>
    <d v="2023-06-30T00:00:00"/>
    <d v="2023-07-04T19:00:44"/>
    <m/>
    <d v="2023-07-04T00:00:00"/>
    <n v="1105"/>
    <n v="18230"/>
    <s v="60147697"/>
    <s v="60147697"/>
    <m/>
    <m/>
    <n v="22795380"/>
    <m/>
    <m/>
    <m/>
    <s v="SOLFIN"/>
    <s v="SOLFIN"/>
    <s v="CCMS"/>
    <n v="21328215"/>
    <n v="32839.17"/>
    <m/>
    <s v="N"/>
    <n v="3"/>
    <d v="2023-07-04T19:01:08"/>
    <s v="Y"/>
    <s v="Finding-of-Fact Hearing (Events Mod"/>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62"/>
    <d v="2023-07-06T19:21:27"/>
    <s v="Y"/>
    <s v="Interpreter"/>
    <s v="Private Law Children"/>
    <s v="Expert Disbursement"/>
    <s v="ES"/>
    <s v="Y"/>
    <n v="28"/>
    <n v="5.6"/>
    <x v="4"/>
    <s v="VALIDATED"/>
    <n v="1"/>
    <s v="01.11.80.307.6300.0000"/>
    <n v="28"/>
    <s v="11"/>
    <s v="6300"/>
    <n v="53101.42"/>
    <n v="28"/>
    <s v="CREDITOR"/>
    <n v="0"/>
    <n v="0"/>
    <n v="0"/>
    <n v="0"/>
    <n v="28"/>
  </r>
  <r>
    <n v="60330198"/>
    <s v="N"/>
    <n v="21330923"/>
    <s v="3000014627810013"/>
    <s v="CIVIL"/>
    <d v="2023-06-19T00:00:00"/>
    <d v="2023-07-05T19:01:47"/>
    <m/>
    <d v="2023-07-05T00:00:00"/>
    <n v="1105"/>
    <n v="18230"/>
    <s v="60330198"/>
    <s v="60330198"/>
    <m/>
    <m/>
    <n v="22717396"/>
    <m/>
    <m/>
    <m/>
    <s v="SOLFIN"/>
    <s v="SOLFIN"/>
    <s v="CCMS"/>
    <n v="21330923"/>
    <n v="28516.42"/>
    <m/>
    <s v="N"/>
    <n v="58"/>
    <d v="2023-07-05T19:01:57"/>
    <s v="Y"/>
    <s v="Preparation - other"/>
    <s v="Care Remuneration Hourly Rates"/>
    <s v="Profit Cost"/>
    <s v="DS"/>
    <s v="Y"/>
    <n v="21.03"/>
    <n v="4.21"/>
    <x v="6"/>
    <s v="VALIDATED"/>
    <n v="1"/>
    <s v="01.11.80.308.6100.0000"/>
    <n v="21.03"/>
    <s v="11"/>
    <s v="6100"/>
    <n v="53101.42"/>
    <n v="21.03"/>
    <s v="CREDITOR"/>
    <n v="0"/>
    <n v="0"/>
    <n v="0"/>
    <n v="0"/>
    <n v="21.03"/>
  </r>
  <r>
    <n v="60330198"/>
    <s v="N"/>
    <n v="21330923"/>
    <s v="3000014627810013"/>
    <s v="CIVIL"/>
    <d v="2023-06-19T00:00:00"/>
    <d v="2023-07-05T19:01:47"/>
    <m/>
    <d v="2023-07-05T00:00:00"/>
    <n v="1105"/>
    <n v="18230"/>
    <s v="60330198"/>
    <s v="60330198"/>
    <m/>
    <m/>
    <n v="22717396"/>
    <m/>
    <m/>
    <m/>
    <s v="SOLFIN"/>
    <s v="SOLFIN"/>
    <s v="CCMS"/>
    <n v="21330923"/>
    <n v="28516.42"/>
    <m/>
    <s v="N"/>
    <n v="109"/>
    <d v="2023-07-05T19:01:57"/>
    <s v="Y"/>
    <s v="Preparation - other"/>
    <s v="Care Remuneration Hourly Rates"/>
    <s v="Profit Cost"/>
    <s v="DS"/>
    <s v="Y"/>
    <n v="63.08"/>
    <n v="12.62"/>
    <x v="6"/>
    <s v="VALIDATED"/>
    <n v="1"/>
    <s v="01.11.80.308.6100.0000"/>
    <n v="63.08"/>
    <s v="11"/>
    <s v="6100"/>
    <n v="53101.42"/>
    <n v="63.08"/>
    <s v="CREDITOR"/>
    <n v="0"/>
    <n v="0"/>
    <n v="0"/>
    <n v="0"/>
    <n v="63.08"/>
  </r>
  <r>
    <n v="60330198"/>
    <s v="N"/>
    <n v="21330923"/>
    <s v="3000014627810013"/>
    <s v="CIVIL"/>
    <d v="2023-06-19T00:00:00"/>
    <d v="2023-07-05T19:01:47"/>
    <m/>
    <d v="2023-07-05T00:00:00"/>
    <n v="1105"/>
    <n v="18230"/>
    <s v="60330198"/>
    <s v="60330198"/>
    <m/>
    <m/>
    <n v="22717396"/>
    <m/>
    <m/>
    <m/>
    <s v="SOLFIN"/>
    <s v="SOLFIN"/>
    <s v="CCMS"/>
    <n v="21330923"/>
    <n v="28516.42"/>
    <m/>
    <s v="N"/>
    <n v="142"/>
    <d v="2023-07-05T19:01:57"/>
    <s v="Y"/>
    <s v="Hearing Unit 2.31 - 5.00 Hours"/>
    <s v="Public Law Children"/>
    <s v="Advocacy"/>
    <s v="BJF"/>
    <s v="Y"/>
    <n v="476.92"/>
    <n v="95.38"/>
    <x v="6"/>
    <s v="VALIDATED"/>
    <n v="1"/>
    <s v="01.11.80.308.6100.0000"/>
    <n v="476.92"/>
    <s v="11"/>
    <s v="6100"/>
    <n v="53101.42"/>
    <n v="476.92"/>
    <s v="CREDITOR"/>
    <n v="0"/>
    <n v="0"/>
    <n v="0"/>
    <n v="0"/>
    <n v="476.92"/>
  </r>
  <r>
    <n v="61692826"/>
    <s v="N"/>
    <n v="21338513"/>
    <s v="3000015781560013"/>
    <s v="CIVIL"/>
    <d v="2023-06-28T00:00:00"/>
    <d v="2023-07-06T19:21:01"/>
    <m/>
    <d v="2023-07-06T00:00:00"/>
    <n v="1105"/>
    <n v="18230"/>
    <s v="61692826"/>
    <s v="61692826"/>
    <m/>
    <m/>
    <n v="22778096"/>
    <m/>
    <m/>
    <m/>
    <s v="SOLFIN"/>
    <s v="SOLFIN"/>
    <s v="CCMS"/>
    <n v="21338513"/>
    <n v="4218.91"/>
    <m/>
    <s v="N"/>
    <n v="9"/>
    <d v="2023-07-06T19:21:27"/>
    <s v="Y"/>
    <s v="Attendance upon client"/>
    <s v="Prescribed Hourly Rates"/>
    <s v="Profit Cost"/>
    <s v="ES"/>
    <s v="Y"/>
    <n v="43.92"/>
    <n v="8.779999999999999"/>
    <x v="4"/>
    <s v="VALIDATED"/>
    <n v="1"/>
    <s v="01.11.80.307.6100.0000"/>
    <n v="43.92"/>
    <s v="11"/>
    <s v="6100"/>
    <n v="53101.42"/>
    <n v="43.92"/>
    <s v="CREDITOR"/>
    <n v="0"/>
    <n v="0"/>
    <n v="0"/>
    <n v="0"/>
    <n v="43.92"/>
  </r>
  <r>
    <n v="61692826"/>
    <s v="N"/>
    <n v="21338513"/>
    <s v="3000015781560013"/>
    <s v="CIVIL"/>
    <d v="2023-06-28T00:00:00"/>
    <d v="2023-07-06T19:21:01"/>
    <m/>
    <d v="2023-07-06T00:00:00"/>
    <n v="1105"/>
    <n v="18230"/>
    <s v="61692826"/>
    <s v="61692826"/>
    <m/>
    <m/>
    <n v="22778096"/>
    <m/>
    <m/>
    <m/>
    <s v="SOLFIN"/>
    <s v="SOLFIN"/>
    <s v="CCMS"/>
    <n v="21338513"/>
    <n v="4218.91"/>
    <m/>
    <s v="N"/>
    <n v="12"/>
    <d v="2023-07-06T19:21:27"/>
    <s v="Y"/>
    <s v="Preparation - drafting statement"/>
    <s v="Prescribed Hourly Rates"/>
    <s v="Profit Cost"/>
    <s v="ES"/>
    <s v="Y"/>
    <n v="32.94"/>
    <n v="6.59"/>
    <x v="4"/>
    <s v="VALIDATED"/>
    <n v="1"/>
    <s v="01.11.80.307.6100.0000"/>
    <n v="32.94"/>
    <s v="11"/>
    <s v="6100"/>
    <n v="53101.42"/>
    <n v="32.94"/>
    <s v="CREDITOR"/>
    <n v="0"/>
    <n v="0"/>
    <n v="0"/>
    <n v="0"/>
    <n v="32.94"/>
  </r>
  <r>
    <n v="61692826"/>
    <s v="N"/>
    <n v="21338513"/>
    <s v="3000015781560013"/>
    <s v="CIVIL"/>
    <d v="2023-06-28T00:00:00"/>
    <d v="2023-07-06T19:21:01"/>
    <m/>
    <d v="2023-07-06T00:00:00"/>
    <n v="1105"/>
    <n v="18230"/>
    <s v="61692826"/>
    <s v="61692826"/>
    <m/>
    <m/>
    <n v="22778096"/>
    <m/>
    <m/>
    <m/>
    <s v="SOLFIN"/>
    <s v="SOLFIN"/>
    <s v="CCMS"/>
    <n v="21338513"/>
    <n v="4218.91"/>
    <m/>
    <s v="N"/>
    <n v="29"/>
    <d v="2023-07-06T19:21:27"/>
    <s v="Y"/>
    <s v="Attendance upon other side"/>
    <s v="Prescribed Hourly Rates"/>
    <s v="Profit Cost"/>
    <s v="ES"/>
    <s v="Y"/>
    <n v="16.47"/>
    <n v="3.29"/>
    <x v="4"/>
    <s v="VALIDATED"/>
    <n v="1"/>
    <s v="01.11.80.307.6100.0000"/>
    <n v="16.47"/>
    <s v="11"/>
    <s v="6100"/>
    <n v="53101.42"/>
    <n v="16.47"/>
    <s v="CREDITOR"/>
    <n v="0"/>
    <n v="0"/>
    <n v="0"/>
    <n v="0"/>
    <n v="16.47"/>
  </r>
  <r>
    <n v="61986756"/>
    <s v="N"/>
    <n v="21338506"/>
    <s v="3000016029290004"/>
    <s v="CIVIL"/>
    <d v="2023-06-28T00:00:00"/>
    <d v="2023-07-06T19:21:01"/>
    <m/>
    <d v="2023-07-06T00:00:00"/>
    <n v="1105"/>
    <n v="18230"/>
    <s v="61986756"/>
    <s v="61986756"/>
    <m/>
    <m/>
    <n v="22781816"/>
    <m/>
    <m/>
    <m/>
    <s v="SOLFIN"/>
    <s v="SOLFIN"/>
    <s v="CCMS"/>
    <n v="21338506"/>
    <n v="2845.32"/>
    <m/>
    <s v="N"/>
    <n v="1"/>
    <d v="2023-07-06T19:21:27"/>
    <s v="Y"/>
    <s v="Solicitor Travel Expenses"/>
    <s v="Public Law Children"/>
    <s v="Non Expert Disbursement"/>
    <s v="IK"/>
    <s v="Y"/>
    <n v="71.09999999999999"/>
    <n v="14.22"/>
    <x v="4"/>
    <s v="VALIDATED"/>
    <n v="1"/>
    <s v="01.11.80.308.6300.0000"/>
    <n v="71.09999999999999"/>
    <s v="11"/>
    <s v="6300"/>
    <n v="53101.42"/>
    <n v="71.09999999999999"/>
    <s v="CREDITOR"/>
    <n v="0"/>
    <n v="0"/>
    <n v="0"/>
    <n v="0"/>
    <n v="71.09999999999999"/>
  </r>
  <r>
    <n v="60330198"/>
    <s v="N"/>
    <n v="21330923"/>
    <s v="3000014627810013"/>
    <s v="CIVIL"/>
    <d v="2023-06-19T00:00:00"/>
    <d v="2023-07-05T19:01:47"/>
    <m/>
    <d v="2023-07-05T00:00:00"/>
    <n v="1105"/>
    <n v="18230"/>
    <s v="60330198"/>
    <s v="60330198"/>
    <m/>
    <m/>
    <n v="22717396"/>
    <m/>
    <m/>
    <m/>
    <s v="SOLFIN"/>
    <s v="SOLFIN"/>
    <s v="CCMS"/>
    <n v="21330923"/>
    <n v="28516.42"/>
    <m/>
    <s v="N"/>
    <n v="60"/>
    <d v="2023-07-05T19:01:57"/>
    <s v="Y"/>
    <s v="Preparation - other"/>
    <s v="Care Remuneration Hourly Rates"/>
    <s v="Profit Cost"/>
    <s v="DS"/>
    <s v="Y"/>
    <n v="5.26"/>
    <n v="1.05"/>
    <x v="6"/>
    <s v="VALIDATED"/>
    <n v="1"/>
    <s v="01.11.80.308.6100.0000"/>
    <n v="5.26"/>
    <s v="11"/>
    <s v="6100"/>
    <n v="53101.42"/>
    <n v="5.26"/>
    <s v="CREDITOR"/>
    <n v="0"/>
    <n v="0"/>
    <n v="0"/>
    <n v="0"/>
    <n v="5.26"/>
  </r>
  <r>
    <n v="61692826"/>
    <s v="N"/>
    <n v="21338513"/>
    <s v="3000015781560013"/>
    <s v="CIVIL"/>
    <d v="2023-06-28T00:00:00"/>
    <d v="2023-07-06T19:21:01"/>
    <m/>
    <d v="2023-07-06T00:00:00"/>
    <n v="1105"/>
    <n v="18230"/>
    <s v="61692826"/>
    <s v="61692826"/>
    <m/>
    <m/>
    <n v="22778096"/>
    <m/>
    <m/>
    <m/>
    <s v="SOLFIN"/>
    <s v="SOLFIN"/>
    <s v="CCMS"/>
    <n v="21338513"/>
    <n v="4218.91"/>
    <m/>
    <s v="N"/>
    <n v="53"/>
    <d v="2023-07-06T19:21:27"/>
    <s v="Y"/>
    <s v="Preparation - drafting instructions"/>
    <s v="Prescribed Hourly Rates"/>
    <s v="Profit Cost"/>
    <s v="ES"/>
    <s v="Y"/>
    <n v="32.94"/>
    <n v="6.59"/>
    <x v="4"/>
    <s v="VALIDATED"/>
    <n v="1"/>
    <s v="01.11.80.307.6100.0000"/>
    <n v="32.94"/>
    <s v="11"/>
    <s v="6100"/>
    <n v="53101.42"/>
    <n v="32.94"/>
    <s v="CREDITOR"/>
    <n v="0"/>
    <n v="0"/>
    <n v="0"/>
    <n v="0"/>
    <n v="32.94"/>
  </r>
  <r>
    <n v="60330198"/>
    <s v="N"/>
    <n v="21330923"/>
    <s v="3000014627810013"/>
    <s v="CIVIL"/>
    <d v="2023-06-19T00:00:00"/>
    <d v="2023-07-05T19:01:47"/>
    <m/>
    <d v="2023-07-05T00:00:00"/>
    <n v="1105"/>
    <n v="18230"/>
    <s v="60330198"/>
    <s v="60330198"/>
    <m/>
    <m/>
    <n v="22717396"/>
    <m/>
    <m/>
    <m/>
    <s v="SOLFIN"/>
    <s v="SOLFIN"/>
    <s v="CCMS"/>
    <n v="21330923"/>
    <n v="28516.42"/>
    <m/>
    <s v="N"/>
    <n v="110"/>
    <d v="2023-07-05T19:01:57"/>
    <s v="Y"/>
    <s v="Preparation - other"/>
    <s v="Care Remuneration Hourly Rates"/>
    <s v="Profit Cost"/>
    <s v="DS"/>
    <s v="Y"/>
    <n v="78.86"/>
    <n v="15.77"/>
    <x v="6"/>
    <s v="VALIDATED"/>
    <n v="1"/>
    <s v="01.11.80.308.6100.0000"/>
    <n v="78.86"/>
    <s v="11"/>
    <s v="6100"/>
    <n v="53101.42"/>
    <n v="78.86"/>
    <s v="CREDITOR"/>
    <n v="0"/>
    <n v="0"/>
    <n v="0"/>
    <n v="0"/>
    <n v="78.86"/>
  </r>
  <r>
    <n v="60330198"/>
    <s v="N"/>
    <n v="21330923"/>
    <s v="3000014627810013"/>
    <s v="CIVIL"/>
    <d v="2023-06-19T00:00:00"/>
    <d v="2023-07-05T19:01:47"/>
    <m/>
    <d v="2023-07-05T00:00:00"/>
    <n v="1105"/>
    <n v="18230"/>
    <s v="60330198"/>
    <s v="60330198"/>
    <m/>
    <m/>
    <n v="22717396"/>
    <m/>
    <m/>
    <m/>
    <s v="SOLFIN"/>
    <s v="SOLFIN"/>
    <s v="CCMS"/>
    <n v="21330923"/>
    <n v="28516.42"/>
    <m/>
    <s v="N"/>
    <n v="74"/>
    <d v="2023-07-05T19:01:57"/>
    <s v="Y"/>
    <s v="Preparation - other"/>
    <s v="Care Remuneration Hourly Rates"/>
    <s v="Profit Cost"/>
    <s v="DS"/>
    <s v="Y"/>
    <n v="15.77"/>
    <n v="3.15"/>
    <x v="6"/>
    <s v="VALIDATED"/>
    <n v="1"/>
    <s v="01.11.80.308.6100.0000"/>
    <n v="15.77"/>
    <s v="11"/>
    <s v="6100"/>
    <n v="53101.42"/>
    <n v="15.77"/>
    <s v="CREDITOR"/>
    <n v="0"/>
    <n v="0"/>
    <n v="0"/>
    <n v="0"/>
    <n v="15.77"/>
  </r>
  <r>
    <n v="61692826"/>
    <s v="N"/>
    <n v="21338513"/>
    <s v="3000015781560013"/>
    <s v="CIVIL"/>
    <d v="2023-06-28T00:00:00"/>
    <d v="2023-07-06T19:21:01"/>
    <m/>
    <d v="2023-07-06T00:00:00"/>
    <n v="1105"/>
    <n v="18230"/>
    <s v="61692826"/>
    <s v="61692826"/>
    <m/>
    <m/>
    <n v="22778096"/>
    <m/>
    <m/>
    <m/>
    <s v="SOLFIN"/>
    <s v="SOLFIN"/>
    <s v="CCMS"/>
    <n v="21338513"/>
    <n v="4218.91"/>
    <m/>
    <s v="N"/>
    <n v="37"/>
    <d v="2023-07-06T19:21:27"/>
    <s v="Y"/>
    <s v="Preparation - drafting attendance n"/>
    <s v="Prescribed Hourly Rates"/>
    <s v="Profit Cost"/>
    <s v="SG"/>
    <s v="Y"/>
    <n v="12.63"/>
    <n v="2.53"/>
    <x v="4"/>
    <s v="VALIDATED"/>
    <n v="1"/>
    <s v="01.11.80.307.6100.0000"/>
    <n v="12.63"/>
    <s v="11"/>
    <s v="6100"/>
    <n v="53101.42"/>
    <n v="12.63"/>
    <s v="CREDITOR"/>
    <n v="0"/>
    <n v="0"/>
    <n v="0"/>
    <n v="0"/>
    <n v="12.63"/>
  </r>
  <r>
    <n v="61758055"/>
    <s v="N"/>
    <n v="21321999"/>
    <s v="3000015837240010"/>
    <s v="CIVIL"/>
    <d v="2023-06-29T00:00:00"/>
    <d v="2023-07-03T19:05:17"/>
    <m/>
    <d v="2023-07-03T00:00:00"/>
    <n v="1105"/>
    <n v="18230"/>
    <s v="61758055"/>
    <s v="61758055"/>
    <m/>
    <m/>
    <n v="22785944"/>
    <m/>
    <m/>
    <m/>
    <s v="SOLPOA"/>
    <s v="SOLPOA"/>
    <s v="CCMS"/>
    <n v="21321999"/>
    <n v="482.22"/>
    <m/>
    <s v="N"/>
    <n v="1"/>
    <d v="2023-07-03T19:05:21"/>
    <s v="N"/>
    <s v="Non Expert Disbursement"/>
    <s v="Non Expert Disbursement"/>
    <s v="Non Expert Disbursement"/>
    <s v="Sam Gallett"/>
    <s v="N"/>
    <n v="401.85"/>
    <n v="80.37"/>
    <x v="3"/>
    <s v="VALIDATED"/>
    <n v="1"/>
    <s v="01.11.80.308.2012.0000"/>
    <n v="401.85"/>
    <s v="11"/>
    <s v="2012"/>
    <n v="53101.42"/>
    <n v="401.85"/>
    <s v="CREDITOR"/>
    <n v="401.85"/>
    <n v="0"/>
    <n v="0"/>
    <n v="0"/>
    <n v="0"/>
  </r>
  <r>
    <n v="60147697"/>
    <s v="N"/>
    <n v="21328215"/>
    <s v="3000014472360032"/>
    <s v="CIVIL"/>
    <d v="2023-06-30T00:00:00"/>
    <d v="2023-07-04T19:00:44"/>
    <m/>
    <d v="2023-07-04T00:00:00"/>
    <n v="1105"/>
    <n v="18230"/>
    <s v="60147697"/>
    <s v="60147697"/>
    <m/>
    <m/>
    <n v="22795380"/>
    <m/>
    <m/>
    <m/>
    <s v="SOLFIN"/>
    <s v="SOLFIN"/>
    <s v="CCMS"/>
    <n v="21328215"/>
    <n v="32839.17"/>
    <m/>
    <s v="N"/>
    <n v="33"/>
    <d v="2023-07-04T19:01:08"/>
    <s v="Y"/>
    <s v="Solicitor Travel Mileage"/>
    <s v="VHCC"/>
    <s v="Non Expert Disbursement"/>
    <s v="SB"/>
    <s v="Y"/>
    <n v="49.5"/>
    <n v="9.9"/>
    <x v="1"/>
    <s v="VALIDATED"/>
    <n v="1"/>
    <s v="01.11.80.308.6300.0000"/>
    <n v="49.5"/>
    <s v="11"/>
    <s v="6300"/>
    <n v="53101.42"/>
    <n v="49.5"/>
    <s v="CREDITOR"/>
    <n v="0"/>
    <n v="0"/>
    <n v="0"/>
    <n v="0"/>
    <n v="49.5"/>
  </r>
  <r>
    <n v="60147697"/>
    <s v="N"/>
    <n v="21328215"/>
    <s v="3000014472360032"/>
    <s v="CIVIL"/>
    <d v="2023-06-30T00:00:00"/>
    <d v="2023-07-04T19:00:44"/>
    <m/>
    <d v="2023-07-04T00:00:00"/>
    <n v="1105"/>
    <n v="18230"/>
    <s v="60147697"/>
    <s v="60147697"/>
    <m/>
    <m/>
    <n v="22795380"/>
    <m/>
    <m/>
    <m/>
    <s v="SOLFIN"/>
    <s v="SOLFIN"/>
    <s v="CCMS"/>
    <n v="21328215"/>
    <n v="32839.17"/>
    <m/>
    <s v="N"/>
    <n v="1"/>
    <d v="2023-07-04T19:01:08"/>
    <s v="Y"/>
    <s v="Obstetrician"/>
    <s v="VHCC"/>
    <s v="Expert Disbursement"/>
    <s v="SB"/>
    <s v="Y"/>
    <n v="540"/>
    <n v="108"/>
    <x v="1"/>
    <s v="VALIDATED"/>
    <n v="1"/>
    <s v="01.11.80.308.6300.0000"/>
    <n v="540"/>
    <s v="11"/>
    <s v="6300"/>
    <n v="53101.42"/>
    <n v="540"/>
    <s v="CREDITOR"/>
    <n v="0"/>
    <n v="0"/>
    <n v="0"/>
    <n v="0"/>
    <n v="540"/>
  </r>
  <r>
    <n v="61692826"/>
    <s v="N"/>
    <n v="21338513"/>
    <s v="3000015781560013"/>
    <s v="CIVIL"/>
    <d v="2023-06-28T00:00:00"/>
    <d v="2023-07-06T19:21:01"/>
    <m/>
    <d v="2023-07-06T00:00:00"/>
    <n v="1105"/>
    <n v="18230"/>
    <s v="61692826"/>
    <s v="61692826"/>
    <m/>
    <m/>
    <n v="22778096"/>
    <m/>
    <m/>
    <m/>
    <s v="SOLFIN"/>
    <s v="SOLFIN"/>
    <s v="CCMS"/>
    <n v="21338513"/>
    <n v="4218.91"/>
    <m/>
    <s v="N"/>
    <n v="61"/>
    <d v="2023-07-06T19:21:27"/>
    <s v="Y"/>
    <s v="Interpreter"/>
    <s v="Private Law Children"/>
    <s v="Expert Disbursement"/>
    <s v="ES"/>
    <s v="Y"/>
    <n v="28"/>
    <n v="5.6"/>
    <x v="4"/>
    <s v="VALIDATED"/>
    <n v="1"/>
    <s v="01.11.80.307.6300.0000"/>
    <n v="28"/>
    <s v="11"/>
    <s v="6300"/>
    <n v="53101.42"/>
    <n v="28"/>
    <s v="CREDITOR"/>
    <n v="0"/>
    <n v="0"/>
    <n v="0"/>
    <n v="0"/>
    <n v="28"/>
  </r>
  <r>
    <n v="60330198"/>
    <s v="N"/>
    <n v="21330923"/>
    <s v="3000014627810013"/>
    <s v="CIVIL"/>
    <d v="2023-06-19T00:00:00"/>
    <d v="2023-07-05T19:01:47"/>
    <m/>
    <d v="2023-07-05T00:00:00"/>
    <n v="1105"/>
    <n v="18230"/>
    <s v="60330198"/>
    <s v="60330198"/>
    <m/>
    <m/>
    <n v="22717396"/>
    <m/>
    <m/>
    <m/>
    <s v="SOLFIN"/>
    <s v="SOLFIN"/>
    <s v="CCMS"/>
    <n v="21330923"/>
    <n v="28516.42"/>
    <m/>
    <s v="N"/>
    <n v="15"/>
    <d v="2023-07-05T19:01:57"/>
    <s v="Y"/>
    <s v="Preparation - other"/>
    <s v="Care Remuneration Hourly Rates"/>
    <s v="Profit Cost"/>
    <s v="DS"/>
    <s v="Y"/>
    <n v="26.29"/>
    <n v="5.26"/>
    <x v="6"/>
    <s v="VALIDATED"/>
    <n v="1"/>
    <s v="01.11.80.308.6100.0000"/>
    <n v="26.29"/>
    <s v="11"/>
    <s v="6100"/>
    <n v="53101.42"/>
    <n v="26.29"/>
    <s v="CREDITOR"/>
    <n v="0"/>
    <n v="0"/>
    <n v="0"/>
    <n v="0"/>
    <n v="26.29"/>
  </r>
  <r>
    <n v="60147697"/>
    <s v="N"/>
    <n v="21328215"/>
    <s v="3000014472360032"/>
    <s v="CIVIL"/>
    <d v="2023-06-30T00:00:00"/>
    <d v="2023-07-04T19:00:44"/>
    <m/>
    <d v="2023-07-04T00:00:00"/>
    <n v="1105"/>
    <n v="18230"/>
    <s v="60147697"/>
    <s v="60147697"/>
    <m/>
    <m/>
    <n v="22795380"/>
    <m/>
    <m/>
    <m/>
    <s v="SOLFIN"/>
    <s v="SOLFIN"/>
    <s v="CCMS"/>
    <n v="21328215"/>
    <n v="32839.17"/>
    <m/>
    <s v="N"/>
    <n v="18"/>
    <d v="2023-07-04T19:01:08"/>
    <s v="Y"/>
    <s v="Interim/Directions/Review Hearing ("/>
    <s v="VHCC"/>
    <s v="Profit Cost"/>
    <s v="SB"/>
    <s v="Y"/>
    <n v="900"/>
    <n v="180"/>
    <x v="1"/>
    <s v="VALIDATED"/>
    <n v="1"/>
    <s v="01.11.80.308.6100.0000"/>
    <n v="900"/>
    <s v="11"/>
    <s v="6100"/>
    <n v="53101.42"/>
    <n v="900"/>
    <s v="CREDITOR"/>
    <n v="0"/>
    <n v="0"/>
    <n v="0"/>
    <n v="0"/>
    <n v="900"/>
  </r>
  <r>
    <n v="60147697"/>
    <s v="N"/>
    <n v="21328215"/>
    <s v="3000014472360032"/>
    <s v="CIVIL"/>
    <d v="2023-06-30T00:00:00"/>
    <d v="2023-07-04T19:00:44"/>
    <m/>
    <d v="2023-07-04T00:00:00"/>
    <n v="1105"/>
    <n v="18230"/>
    <s v="60147697"/>
    <s v="60147697"/>
    <m/>
    <m/>
    <n v="22795380"/>
    <m/>
    <m/>
    <m/>
    <s v="SOLFIN"/>
    <s v="SOLFIN"/>
    <s v="CCMS"/>
    <n v="21328215"/>
    <n v="32839.17"/>
    <m/>
    <s v="N"/>
    <n v="29"/>
    <d v="2023-07-04T19:01:08"/>
    <s v="Y"/>
    <s v="Case Management Conference (Events "/>
    <s v="VHCC"/>
    <s v="Profit Cost"/>
    <s v="SB"/>
    <s v="Y"/>
    <n v="900"/>
    <n v="180"/>
    <x v="1"/>
    <s v="VALIDATED"/>
    <n v="1"/>
    <s v="01.11.80.308.6100.0000"/>
    <n v="900"/>
    <s v="11"/>
    <s v="6100"/>
    <n v="53101.42"/>
    <n v="900"/>
    <s v="CREDITOR"/>
    <n v="0"/>
    <n v="0"/>
    <n v="0"/>
    <n v="0"/>
    <n v="900"/>
  </r>
  <r>
    <n v="60147697"/>
    <s v="N"/>
    <n v="21328215"/>
    <s v="3000014472360032"/>
    <s v="CIVIL"/>
    <d v="2023-06-30T00:00:00"/>
    <d v="2023-07-04T19:00:44"/>
    <m/>
    <d v="2023-07-04T00:00:00"/>
    <n v="1105"/>
    <n v="18230"/>
    <s v="60147697"/>
    <s v="60147697"/>
    <m/>
    <m/>
    <n v="22795380"/>
    <m/>
    <m/>
    <m/>
    <s v="SOLFIN"/>
    <s v="SOLFIN"/>
    <s v="CCMS"/>
    <n v="21328215"/>
    <n v="32839.17"/>
    <m/>
    <s v="N"/>
    <n v="32"/>
    <d v="2023-07-04T19:01:08"/>
    <s v="Y"/>
    <s v="Solicitor Travel Expenses"/>
    <s v="VHCC"/>
    <s v="Non Expert Disbursement"/>
    <s v="SB"/>
    <s v="Y"/>
    <n v="6.25"/>
    <n v="1.25"/>
    <x v="1"/>
    <s v="VALIDATED"/>
    <n v="1"/>
    <s v="01.11.80.308.6300.0000"/>
    <n v="6.25"/>
    <s v="11"/>
    <s v="6300"/>
    <n v="53101.42"/>
    <n v="6.25"/>
    <s v="CREDITOR"/>
    <n v="0"/>
    <n v="0"/>
    <n v="0"/>
    <n v="0"/>
    <n v="6.25"/>
  </r>
  <r>
    <n v="62006309"/>
    <s v="N"/>
    <n v="21321799"/>
    <s v="3000016047350010"/>
    <s v="CIVIL"/>
    <d v="2023-06-29T00:00:00"/>
    <d v="2023-07-03T19:05:17"/>
    <m/>
    <d v="2023-07-03T00:00:00"/>
    <n v="1105"/>
    <n v="18230"/>
    <s v="62006309"/>
    <s v="62006309"/>
    <m/>
    <m/>
    <n v="22786190"/>
    <m/>
    <m/>
    <m/>
    <s v="SOLPOA"/>
    <s v="SOLPOA"/>
    <s v="CCMS"/>
    <n v="21321799"/>
    <n v="270"/>
    <m/>
    <s v="N"/>
    <n v="1"/>
    <d v="2023-07-03T19:05:21"/>
    <s v="N"/>
    <s v="Expert Cost"/>
    <s v="Expert Cost"/>
    <s v="Expert Disbursement"/>
    <s v="Rebecca Ward"/>
    <s v="N"/>
    <n v="270"/>
    <n v="0"/>
    <x v="3"/>
    <s v="VALIDATED"/>
    <n v="1"/>
    <s v="01.11.80.308.2012.0000"/>
    <n v="270"/>
    <s v="11"/>
    <s v="2012"/>
    <n v="53101.42"/>
    <n v="270"/>
    <s v="CREDITOR"/>
    <n v="270"/>
    <n v="0"/>
    <n v="0"/>
    <n v="0"/>
    <n v="0"/>
  </r>
  <r>
    <n v="61692826"/>
    <s v="N"/>
    <n v="21338513"/>
    <s v="3000015781560013"/>
    <s v="CIVIL"/>
    <d v="2023-06-28T00:00:00"/>
    <d v="2023-07-06T19:21:01"/>
    <m/>
    <d v="2023-07-06T00:00:00"/>
    <n v="1105"/>
    <n v="18230"/>
    <s v="61692826"/>
    <s v="61692826"/>
    <m/>
    <m/>
    <n v="22778096"/>
    <m/>
    <m/>
    <m/>
    <s v="SOLFIN"/>
    <s v="SOLFIN"/>
    <s v="CCMS"/>
    <n v="21338513"/>
    <n v="4218.91"/>
    <m/>
    <s v="N"/>
    <n v="5"/>
    <d v="2023-07-06T19:21:27"/>
    <s v="Y"/>
    <s v="Preparation - other"/>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44"/>
    <d v="2023-07-06T19:21:27"/>
    <s v="Y"/>
    <s v="Preparation - other"/>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79"/>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2"/>
    <d v="2023-07-05T19:01:57"/>
    <s v="N"/>
    <s v="GP (records report)"/>
    <s v="Public Law Children"/>
    <s v="Expert Disbursement"/>
    <s v="DS"/>
    <s v="N"/>
    <n v="50.4"/>
    <n v="0"/>
    <x v="6"/>
    <s v="VALIDATED"/>
    <n v="1"/>
    <s v="01.11.80.308.6300.0000"/>
    <n v="50.4"/>
    <s v="11"/>
    <s v="6300"/>
    <n v="53101.42"/>
    <n v="50.4"/>
    <s v="CREDITOR"/>
    <n v="0"/>
    <n v="0"/>
    <n v="0"/>
    <n v="0"/>
    <n v="50.4"/>
  </r>
  <r>
    <n v="60330198"/>
    <s v="N"/>
    <n v="21330923"/>
    <s v="3000014627810013"/>
    <s v="CIVIL"/>
    <d v="2023-06-19T00:00:00"/>
    <d v="2023-07-05T19:01:47"/>
    <m/>
    <d v="2023-07-05T00:00:00"/>
    <n v="1105"/>
    <n v="18230"/>
    <s v="60330198"/>
    <s v="60330198"/>
    <m/>
    <m/>
    <n v="22717396"/>
    <m/>
    <m/>
    <m/>
    <s v="SOLFIN"/>
    <s v="SOLFIN"/>
    <s v="CCMS"/>
    <n v="21330923"/>
    <n v="28516.42"/>
    <m/>
    <s v="N"/>
    <n v="22"/>
    <d v="2023-07-05T19:01:57"/>
    <s v="Y"/>
    <s v="Preparation - other"/>
    <s v="Care Remuneration Hourly Rates"/>
    <s v="Profit Cost"/>
    <s v="DS"/>
    <s v="Y"/>
    <n v="10.51"/>
    <n v="2.1"/>
    <x v="6"/>
    <s v="VALIDATED"/>
    <n v="1"/>
    <s v="01.11.80.308.6100.0000"/>
    <n v="10.51"/>
    <s v="11"/>
    <s v="6100"/>
    <n v="53101.42"/>
    <n v="10.51"/>
    <s v="CREDITOR"/>
    <n v="0"/>
    <n v="0"/>
    <n v="0"/>
    <n v="0"/>
    <n v="10.51"/>
  </r>
  <r>
    <n v="60330198"/>
    <s v="N"/>
    <n v="21330923"/>
    <s v="3000014627810013"/>
    <s v="CIVIL"/>
    <d v="2023-06-19T00:00:00"/>
    <d v="2023-07-05T19:01:47"/>
    <m/>
    <d v="2023-07-05T00:00:00"/>
    <n v="1105"/>
    <n v="18230"/>
    <s v="60330198"/>
    <s v="60330198"/>
    <m/>
    <m/>
    <n v="22717396"/>
    <m/>
    <m/>
    <m/>
    <s v="SOLFIN"/>
    <s v="SOLFIN"/>
    <s v="CCMS"/>
    <n v="21330923"/>
    <n v="28516.42"/>
    <m/>
    <s v="N"/>
    <n v="46"/>
    <d v="2023-07-05T19:01:57"/>
    <s v="Y"/>
    <s v="Preparation - other"/>
    <s v="Care Remuneration Hourly Rates"/>
    <s v="Profit Cost"/>
    <s v="DS"/>
    <s v="Y"/>
    <n v="10.51"/>
    <n v="2.1"/>
    <x v="6"/>
    <s v="VALIDATED"/>
    <n v="1"/>
    <s v="01.11.80.308.6100.0000"/>
    <n v="10.51"/>
    <s v="11"/>
    <s v="6100"/>
    <n v="53101.42"/>
    <n v="10.51"/>
    <s v="CREDITOR"/>
    <n v="0"/>
    <n v="0"/>
    <n v="0"/>
    <n v="0"/>
    <n v="10.51"/>
  </r>
  <r>
    <n v="60147697"/>
    <s v="N"/>
    <n v="21328215"/>
    <s v="3000014472360032"/>
    <s v="CIVIL"/>
    <d v="2023-06-30T00:00:00"/>
    <d v="2023-07-04T19:00:44"/>
    <m/>
    <d v="2023-07-04T00:00:00"/>
    <n v="1105"/>
    <n v="18230"/>
    <s v="60147697"/>
    <s v="60147697"/>
    <m/>
    <m/>
    <n v="22795380"/>
    <m/>
    <m/>
    <m/>
    <s v="SOLFIN"/>
    <s v="SOLFIN"/>
    <s v="CCMS"/>
    <n v="21328215"/>
    <n v="32839.17"/>
    <m/>
    <s v="N"/>
    <n v="20"/>
    <d v="2023-07-04T19:01:08"/>
    <s v="Y"/>
    <s v="Finding-of-Fact Hearing (Events Mod"/>
    <s v="VHCC"/>
    <s v="Profit Cost"/>
    <s v="SB"/>
    <s v="Y"/>
    <n v="1107"/>
    <n v="221.4"/>
    <x v="1"/>
    <s v="VALIDATED"/>
    <n v="1"/>
    <s v="01.11.80.308.6100.0000"/>
    <n v="1107"/>
    <s v="11"/>
    <s v="6100"/>
    <n v="53101.42"/>
    <n v="1107"/>
    <s v="CREDITOR"/>
    <n v="0"/>
    <n v="0"/>
    <n v="0"/>
    <n v="0"/>
    <n v="1107"/>
  </r>
  <r>
    <n v="61692826"/>
    <s v="N"/>
    <n v="21338513"/>
    <s v="3000015781560013"/>
    <s v="CIVIL"/>
    <d v="2023-06-28T00:00:00"/>
    <d v="2023-07-06T19:21:01"/>
    <m/>
    <d v="2023-07-06T00:00:00"/>
    <n v="1105"/>
    <n v="18230"/>
    <s v="61692826"/>
    <s v="61692826"/>
    <m/>
    <m/>
    <n v="22778096"/>
    <m/>
    <m/>
    <m/>
    <s v="SOLFIN"/>
    <s v="SOLFIN"/>
    <s v="CCMS"/>
    <n v="21338513"/>
    <n v="4218.91"/>
    <m/>
    <s v="N"/>
    <n v="56"/>
    <d v="2023-07-06T19:21:27"/>
    <s v="Y"/>
    <s v="Preparation - drafting attendance n"/>
    <s v="Prescribed Hourly Rates"/>
    <s v="Profit Cost"/>
    <s v="ES"/>
    <s v="Y"/>
    <n v="5.49"/>
    <n v="1.1"/>
    <x v="4"/>
    <s v="VALIDATED"/>
    <n v="1"/>
    <s v="01.11.80.307.6100.0000"/>
    <n v="5.49"/>
    <s v="11"/>
    <s v="6100"/>
    <n v="53101.42"/>
    <n v="5.49"/>
    <s v="CREDITOR"/>
    <n v="0"/>
    <n v="0"/>
    <n v="0"/>
    <n v="0"/>
    <n v="5.49"/>
  </r>
  <r>
    <n v="60330198"/>
    <s v="N"/>
    <n v="21330923"/>
    <s v="3000014627810013"/>
    <s v="CIVIL"/>
    <d v="2023-06-19T00:00:00"/>
    <d v="2023-07-05T19:01:47"/>
    <m/>
    <d v="2023-07-05T00:00:00"/>
    <n v="1105"/>
    <n v="18230"/>
    <s v="60330198"/>
    <s v="60330198"/>
    <m/>
    <m/>
    <n v="22717396"/>
    <m/>
    <m/>
    <m/>
    <s v="SOLFIN"/>
    <s v="SOLFIN"/>
    <s v="CCMS"/>
    <n v="21330923"/>
    <n v="28516.42"/>
    <m/>
    <s v="N"/>
    <n v="12"/>
    <d v="2023-07-05T19:01:57"/>
    <s v="Y"/>
    <s v="Preparation - drafting attendance n"/>
    <s v="Care Remuneration Hourly Rates"/>
    <s v="Profit Cost"/>
    <s v="DS"/>
    <s v="Y"/>
    <n v="5.26"/>
    <n v="1.05"/>
    <x v="6"/>
    <s v="VALIDATED"/>
    <n v="1"/>
    <s v="01.11.80.308.6100.0000"/>
    <n v="5.26"/>
    <s v="11"/>
    <s v="6100"/>
    <n v="53101.42"/>
    <n v="5.26"/>
    <s v="CREDITOR"/>
    <n v="0"/>
    <n v="0"/>
    <n v="0"/>
    <n v="0"/>
    <n v="5.26"/>
  </r>
  <r>
    <n v="60330198"/>
    <s v="N"/>
    <n v="21330923"/>
    <s v="3000014627810013"/>
    <s v="CIVIL"/>
    <d v="2023-06-19T00:00:00"/>
    <d v="2023-07-05T19:01:47"/>
    <m/>
    <d v="2023-07-05T00:00:00"/>
    <n v="1105"/>
    <n v="18230"/>
    <s v="60330198"/>
    <s v="60330198"/>
    <m/>
    <m/>
    <n v="22717396"/>
    <m/>
    <m/>
    <m/>
    <s v="SOLFIN"/>
    <s v="SOLFIN"/>
    <s v="CCMS"/>
    <n v="21330923"/>
    <n v="28516.42"/>
    <m/>
    <s v="N"/>
    <n v="20"/>
    <d v="2023-07-05T19:01:57"/>
    <s v="Y"/>
    <s v="Preparation - other"/>
    <s v="Care Remuneration Hourly Rates"/>
    <s v="Profit Cost"/>
    <s v="DS"/>
    <s v="Y"/>
    <n v="36.8"/>
    <n v="7.36"/>
    <x v="6"/>
    <s v="VALIDATED"/>
    <n v="1"/>
    <s v="01.11.80.308.6100.0000"/>
    <n v="36.8"/>
    <s v="11"/>
    <s v="6100"/>
    <n v="53101.42"/>
    <n v="36.8"/>
    <s v="CREDITOR"/>
    <n v="0"/>
    <n v="0"/>
    <n v="0"/>
    <n v="0"/>
    <n v="36.8"/>
  </r>
  <r>
    <n v="60147697"/>
    <s v="N"/>
    <n v="21328215"/>
    <s v="3000014472360032"/>
    <s v="CIVIL"/>
    <d v="2023-06-30T00:00:00"/>
    <d v="2023-07-04T19:00:44"/>
    <m/>
    <d v="2023-07-04T00:00:00"/>
    <n v="1105"/>
    <n v="18230"/>
    <s v="60147697"/>
    <s v="60147697"/>
    <m/>
    <m/>
    <n v="22795380"/>
    <m/>
    <m/>
    <m/>
    <s v="SOLFIN"/>
    <s v="SOLFIN"/>
    <s v="CCMS"/>
    <n v="21328215"/>
    <n v="32839.17"/>
    <m/>
    <s v="N"/>
    <n v="46"/>
    <d v="2023-07-04T19:01:08"/>
    <s v="Y"/>
    <s v="Solicitor Travel Mileage"/>
    <s v="VHCC"/>
    <s v="Non Expert Disbursement"/>
    <s v="SB"/>
    <s v="Y"/>
    <n v="48.87"/>
    <n v="9.77"/>
    <x v="1"/>
    <s v="VALIDATED"/>
    <n v="1"/>
    <s v="01.11.80.308.6300.0000"/>
    <n v="48.87"/>
    <s v="11"/>
    <s v="6300"/>
    <n v="53101.42"/>
    <n v="48.87"/>
    <s v="CREDITOR"/>
    <n v="0"/>
    <n v="0"/>
    <n v="0"/>
    <n v="0"/>
    <n v="48.87"/>
  </r>
  <r>
    <n v="61692826"/>
    <s v="N"/>
    <n v="21338513"/>
    <s v="3000015781560013"/>
    <s v="CIVIL"/>
    <d v="2023-06-28T00:00:00"/>
    <d v="2023-07-06T19:21:01"/>
    <m/>
    <d v="2023-07-06T00:00:00"/>
    <n v="1105"/>
    <n v="18230"/>
    <s v="61692826"/>
    <s v="61692826"/>
    <m/>
    <m/>
    <n v="22778096"/>
    <m/>
    <m/>
    <m/>
    <s v="SOLFIN"/>
    <s v="SOLFIN"/>
    <s v="CCMS"/>
    <n v="21338513"/>
    <n v="4218.91"/>
    <m/>
    <s v="N"/>
    <n v="1"/>
    <d v="2023-07-06T19:21:27"/>
    <s v="Y"/>
    <s v="Preparation - drafting attendance n"/>
    <s v="Prescribed Hourly Rates"/>
    <s v="Profit Cost"/>
    <s v="ES"/>
    <s v="Y"/>
    <n v="5.49"/>
    <n v="1.1"/>
    <x v="4"/>
    <s v="VALIDATED"/>
    <n v="1"/>
    <s v="01.11.80.307.6100.0000"/>
    <n v="5.49"/>
    <s v="11"/>
    <s v="6100"/>
    <n v="53101.42"/>
    <n v="5.49"/>
    <s v="CREDITOR"/>
    <n v="0"/>
    <n v="0"/>
    <n v="0"/>
    <n v="0"/>
    <n v="5.49"/>
  </r>
  <r>
    <n v="61692826"/>
    <s v="N"/>
    <n v="21338513"/>
    <s v="3000015781560013"/>
    <s v="CIVIL"/>
    <d v="2023-06-28T00:00:00"/>
    <d v="2023-07-06T19:21:01"/>
    <m/>
    <d v="2023-07-06T00:00:00"/>
    <n v="1105"/>
    <n v="18230"/>
    <s v="61692826"/>
    <s v="61692826"/>
    <m/>
    <m/>
    <n v="22778096"/>
    <m/>
    <m/>
    <m/>
    <s v="SOLFIN"/>
    <s v="SOLFIN"/>
    <s v="CCMS"/>
    <n v="21338513"/>
    <n v="4218.91"/>
    <m/>
    <s v="N"/>
    <n v="32"/>
    <d v="2023-07-06T19:21:27"/>
    <s v="Y"/>
    <s v="Preparation - drafting attendance n"/>
    <s v="Prescribed Hourly Rates"/>
    <s v="Profit Cost"/>
    <s v="ES"/>
    <s v="Y"/>
    <n v="32.94"/>
    <n v="6.59"/>
    <x v="4"/>
    <s v="VALIDATED"/>
    <n v="1"/>
    <s v="01.11.80.307.6100.0000"/>
    <n v="32.94"/>
    <s v="11"/>
    <s v="6100"/>
    <n v="53101.42"/>
    <n v="32.94"/>
    <s v="CREDITOR"/>
    <n v="0"/>
    <n v="0"/>
    <n v="0"/>
    <n v="0"/>
    <n v="32.94"/>
  </r>
  <r>
    <n v="40209498"/>
    <s v="N"/>
    <n v="21324435"/>
    <s v="3000010822460013RC"/>
    <s v="CIVIL"/>
    <d v="2023-06-20T00:00:00"/>
    <d v="2023-07-03T19:42:50"/>
    <m/>
    <d v="2023-07-03T00:00:00"/>
    <n v="1107"/>
    <n v="18252"/>
    <s v="40209498"/>
    <s v="40209498"/>
    <m/>
    <m/>
    <m/>
    <m/>
    <m/>
    <m/>
    <s v="SOLRECOUP"/>
    <s v="SOLRECOUP"/>
    <s v="POARECOUP"/>
    <n v="21324435"/>
    <n v="-396"/>
    <m/>
    <s v="Y"/>
    <n v="1"/>
    <d v="2023-07-03T19:42:51"/>
    <s v="N"/>
    <m/>
    <m/>
    <s v="Expert Disbursement"/>
    <m/>
    <s v="N"/>
    <n v="-330"/>
    <n v="0"/>
    <x v="3"/>
    <s v="VALIDATED"/>
    <n v="1"/>
    <s v="01.11.80.308.2013.0000"/>
    <n v="-330"/>
    <s v="11"/>
    <s v="2013"/>
    <n v="1876.46"/>
    <n v="-330"/>
    <s v="CREDITOR"/>
    <n v="0"/>
    <n v="0"/>
    <n v="-330"/>
    <n v="0"/>
    <n v="0"/>
  </r>
  <r>
    <n v="40209498"/>
    <s v="N"/>
    <n v="21324435"/>
    <s v="3000010822460013RC"/>
    <s v="CIVIL"/>
    <d v="2023-06-20T00:00:00"/>
    <d v="2023-07-03T19:42:50"/>
    <m/>
    <d v="2023-07-03T00:00:00"/>
    <n v="1107"/>
    <n v="18252"/>
    <s v="40209498"/>
    <s v="40209498"/>
    <m/>
    <m/>
    <m/>
    <m/>
    <m/>
    <m/>
    <s v="SOLRECOUP"/>
    <s v="SOLRECOUP"/>
    <s v="POARECOUP"/>
    <n v="21324435"/>
    <n v="-396"/>
    <m/>
    <s v="Y"/>
    <n v="2"/>
    <d v="2023-07-03T19:42:51"/>
    <s v="N"/>
    <m/>
    <m/>
    <s v="Expert Disbursement"/>
    <m/>
    <s v="N"/>
    <n v="0"/>
    <n v="-66"/>
    <x v="3"/>
    <s v="VALIDATED"/>
    <n v="1"/>
    <s v="01.11.80.308.2013.0000"/>
    <n v="-66"/>
    <s v="11"/>
    <s v="2013"/>
    <n v="1876.46"/>
    <n v="-66"/>
    <s v="CREDITOR"/>
    <n v="0"/>
    <n v="0"/>
    <n v="-66"/>
    <n v="0"/>
    <n v="0"/>
  </r>
  <r>
    <n v="40209498"/>
    <s v="N"/>
    <n v="21324436"/>
    <s v="3000010822460015RC"/>
    <s v="CIVIL"/>
    <d v="2023-06-20T00:00:00"/>
    <d v="2023-07-03T19:42:50"/>
    <m/>
    <d v="2023-07-03T00:00:00"/>
    <n v="1107"/>
    <n v="18252"/>
    <s v="40209498"/>
    <s v="40209498"/>
    <m/>
    <m/>
    <m/>
    <m/>
    <m/>
    <m/>
    <s v="SOLRECOUP"/>
    <s v="SOLRECOUP"/>
    <s v="POARECOUP"/>
    <n v="21324436"/>
    <n v="-127.2"/>
    <m/>
    <s v="Y"/>
    <n v="1"/>
    <d v="2023-07-03T19:42:51"/>
    <s v="N"/>
    <m/>
    <m/>
    <s v="Expert Disbursement"/>
    <m/>
    <s v="N"/>
    <n v="-106"/>
    <n v="0"/>
    <x v="3"/>
    <s v="VALIDATED"/>
    <n v="1"/>
    <s v="01.11.80.308.2013.0000"/>
    <n v="-106"/>
    <s v="11"/>
    <s v="2013"/>
    <n v="1876.46"/>
    <n v="-106"/>
    <s v="CREDITOR"/>
    <n v="0"/>
    <n v="0"/>
    <n v="-106"/>
    <n v="0"/>
    <n v="0"/>
  </r>
  <r>
    <n v="40209498"/>
    <s v="N"/>
    <n v="21324436"/>
    <s v="3000010822460015RC"/>
    <s v="CIVIL"/>
    <d v="2023-06-20T00:00:00"/>
    <d v="2023-07-03T19:42:50"/>
    <m/>
    <d v="2023-07-03T00:00:00"/>
    <n v="1107"/>
    <n v="18252"/>
    <s v="40209498"/>
    <s v="40209498"/>
    <m/>
    <m/>
    <m/>
    <m/>
    <m/>
    <m/>
    <s v="SOLRECOUP"/>
    <s v="SOLRECOUP"/>
    <s v="POARECOUP"/>
    <n v="21324436"/>
    <n v="-127.2"/>
    <m/>
    <s v="Y"/>
    <n v="2"/>
    <d v="2023-07-03T19:42:51"/>
    <s v="N"/>
    <m/>
    <m/>
    <s v="Expert Disbursement"/>
    <m/>
    <s v="N"/>
    <n v="0"/>
    <n v="-21.2"/>
    <x v="3"/>
    <s v="VALIDATED"/>
    <n v="1"/>
    <s v="01.11.80.308.2013.0000"/>
    <n v="-21.2"/>
    <s v="11"/>
    <s v="2013"/>
    <n v="1876.46"/>
    <n v="-21.2"/>
    <s v="CREDITOR"/>
    <n v="0"/>
    <n v="0"/>
    <n v="-21.2"/>
    <n v="0"/>
    <n v="0"/>
  </r>
  <r>
    <n v="40209498"/>
    <s v="N"/>
    <n v="21324437"/>
    <s v="3000010822460019RC"/>
    <s v="CIVIL"/>
    <d v="2023-06-20T00:00:00"/>
    <d v="2023-07-03T19:42:50"/>
    <m/>
    <d v="2023-07-03T00:00:00"/>
    <n v="1107"/>
    <n v="18252"/>
    <s v="40209498"/>
    <s v="40209498"/>
    <m/>
    <m/>
    <m/>
    <m/>
    <m/>
    <m/>
    <s v="SOLRECOUP"/>
    <s v="SOLRECOUP"/>
    <s v="POARECOUP"/>
    <n v="21324437"/>
    <n v="-53"/>
    <m/>
    <s v="Y"/>
    <n v="1"/>
    <d v="2023-07-03T19:42:51"/>
    <s v="N"/>
    <m/>
    <m/>
    <s v="Non Expert Disbursement"/>
    <m/>
    <s v="N"/>
    <n v="-53"/>
    <n v="0"/>
    <x v="3"/>
    <s v="VALIDATED"/>
    <n v="1"/>
    <s v="01.11.80.308.2013.0000"/>
    <n v="-53"/>
    <s v="11"/>
    <s v="2013"/>
    <n v="1876.46"/>
    <n v="-53"/>
    <s v="CREDITOR"/>
    <n v="0"/>
    <n v="0"/>
    <n v="-53"/>
    <n v="0"/>
    <n v="0"/>
  </r>
  <r>
    <n v="40209498"/>
    <s v="N"/>
    <n v="21324437"/>
    <s v="3000010822460019RC"/>
    <s v="CIVIL"/>
    <d v="2023-06-20T00:00:00"/>
    <d v="2023-07-03T19:42:50"/>
    <m/>
    <d v="2023-07-03T00:00:00"/>
    <n v="1107"/>
    <n v="18252"/>
    <s v="40209498"/>
    <s v="40209498"/>
    <m/>
    <m/>
    <m/>
    <m/>
    <m/>
    <m/>
    <s v="SOLRECOUP"/>
    <s v="SOLRECOUP"/>
    <s v="POARECOUP"/>
    <n v="21324437"/>
    <n v="-53"/>
    <m/>
    <s v="Y"/>
    <n v="2"/>
    <d v="2023-07-03T19:42:51"/>
    <s v="N"/>
    <m/>
    <m/>
    <s v="Non Expert Disbursement"/>
    <m/>
    <s v="N"/>
    <n v="0"/>
    <n v="0"/>
    <x v="3"/>
    <s v="VALIDATED"/>
    <n v="1"/>
    <s v="01.11.80.000.0000.0000"/>
    <n v="0"/>
    <s v="11"/>
    <s v="0000"/>
    <n v="1876.46"/>
    <n v="0"/>
    <s v="CREDITOR"/>
    <n v="0"/>
    <n v="0"/>
    <n v="0"/>
    <n v="0"/>
    <n v="0"/>
  </r>
  <r>
    <n v="40209498"/>
    <s v="N"/>
    <n v="21324438"/>
    <s v="3000010822460020RC"/>
    <s v="CIVIL"/>
    <d v="2023-06-20T00:00:00"/>
    <d v="2023-07-03T19:42:50"/>
    <m/>
    <d v="2023-07-03T00:00:00"/>
    <n v="1107"/>
    <n v="18252"/>
    <s v="40209498"/>
    <s v="40209498"/>
    <m/>
    <m/>
    <m/>
    <m/>
    <m/>
    <m/>
    <s v="SOLRECOUP"/>
    <s v="SOLRECOUP"/>
    <s v="POARECOUP"/>
    <n v="21324438"/>
    <n v="-1699.44"/>
    <m/>
    <s v="Y"/>
    <n v="1"/>
    <d v="2023-07-03T19:42:51"/>
    <s v="N"/>
    <m/>
    <m/>
    <s v="Profit Cost"/>
    <m/>
    <s v="N"/>
    <n v="-1416.2"/>
    <n v="0"/>
    <x v="3"/>
    <s v="VALIDATED"/>
    <n v="1"/>
    <s v="01.11.80.308.2013.0000"/>
    <n v="-1416.2"/>
    <s v="11"/>
    <s v="2013"/>
    <n v="1876.46"/>
    <n v="-1416.2"/>
    <s v="CREDITOR"/>
    <n v="0"/>
    <n v="0"/>
    <n v="-1416.2"/>
    <n v="-354.05"/>
    <n v="0"/>
  </r>
  <r>
    <n v="40209498"/>
    <s v="N"/>
    <n v="21324438"/>
    <s v="3000010822460020RC"/>
    <s v="CIVIL"/>
    <d v="2023-06-20T00:00:00"/>
    <d v="2023-07-03T19:42:50"/>
    <m/>
    <d v="2023-07-03T00:00:00"/>
    <n v="1107"/>
    <n v="18252"/>
    <s v="40209498"/>
    <s v="40209498"/>
    <m/>
    <m/>
    <m/>
    <m/>
    <m/>
    <m/>
    <s v="SOLRECOUP"/>
    <s v="SOLRECOUP"/>
    <s v="POARECOUP"/>
    <n v="21324438"/>
    <n v="-1699.44"/>
    <m/>
    <s v="Y"/>
    <n v="2"/>
    <d v="2023-07-03T19:42:51"/>
    <s v="N"/>
    <m/>
    <m/>
    <s v="Profit Cost"/>
    <m/>
    <s v="N"/>
    <n v="0"/>
    <n v="-283.24"/>
    <x v="3"/>
    <s v="VALIDATED"/>
    <n v="1"/>
    <s v="01.11.80.308.2013.0000"/>
    <n v="-283.24"/>
    <s v="11"/>
    <s v="2013"/>
    <n v="1876.46"/>
    <n v="-283.24"/>
    <s v="CREDITOR"/>
    <n v="0"/>
    <n v="0"/>
    <n v="-283.24"/>
    <n v="-70.81"/>
    <n v="0"/>
  </r>
  <r>
    <n v="40209498"/>
    <s v="N"/>
    <n v="21324439"/>
    <s v="3000010822460022RC"/>
    <s v="CIVIL"/>
    <d v="2023-06-20T00:00:00"/>
    <d v="2023-07-03T19:42:50"/>
    <m/>
    <d v="2023-07-03T00:00:00"/>
    <n v="1107"/>
    <n v="18252"/>
    <s v="40209498"/>
    <s v="40209498"/>
    <m/>
    <m/>
    <m/>
    <m/>
    <m/>
    <m/>
    <s v="SOLRECOUP"/>
    <s v="SOLRECOUP"/>
    <s v="POARECOUP"/>
    <n v="21324439"/>
    <n v="-2148.91"/>
    <m/>
    <s v="Y"/>
    <n v="1"/>
    <d v="2023-07-03T19:42:51"/>
    <s v="N"/>
    <m/>
    <m/>
    <s v="Profit Cost"/>
    <m/>
    <s v="N"/>
    <n v="-1790.76"/>
    <n v="0"/>
    <x v="3"/>
    <s v="VALIDATED"/>
    <n v="1"/>
    <s v="01.11.80.308.2013.0000"/>
    <n v="-1790.76"/>
    <s v="11"/>
    <s v="2013"/>
    <n v="1876.46"/>
    <n v="-1790.76"/>
    <s v="CREDITOR"/>
    <n v="0"/>
    <n v="0"/>
    <n v="-1790.76"/>
    <n v="-447.69"/>
    <n v="0"/>
  </r>
  <r>
    <n v="40209498"/>
    <s v="N"/>
    <n v="21324439"/>
    <s v="3000010822460022RC"/>
    <s v="CIVIL"/>
    <d v="2023-06-20T00:00:00"/>
    <d v="2023-07-03T19:42:50"/>
    <m/>
    <d v="2023-07-03T00:00:00"/>
    <n v="1107"/>
    <n v="18252"/>
    <s v="40209498"/>
    <s v="40209498"/>
    <m/>
    <m/>
    <m/>
    <m/>
    <m/>
    <m/>
    <s v="SOLRECOUP"/>
    <s v="SOLRECOUP"/>
    <s v="POARECOUP"/>
    <n v="21324439"/>
    <n v="-2148.91"/>
    <m/>
    <s v="Y"/>
    <n v="2"/>
    <d v="2023-07-03T19:42:51"/>
    <s v="N"/>
    <m/>
    <m/>
    <s v="Profit Cost"/>
    <m/>
    <s v="N"/>
    <n v="0"/>
    <n v="-358.15"/>
    <x v="3"/>
    <s v="VALIDATED"/>
    <n v="1"/>
    <s v="01.11.80.308.2013.0000"/>
    <n v="-358.15"/>
    <s v="11"/>
    <s v="2013"/>
    <n v="1876.46"/>
    <n v="-358.15"/>
    <s v="CREDITOR"/>
    <n v="0"/>
    <n v="0"/>
    <n v="-358.15"/>
    <n v="-89.53749999999999"/>
    <n v="0"/>
  </r>
  <r>
    <n v="40209498"/>
    <s v="N"/>
    <n v="21319017"/>
    <s v="3000010822460023"/>
    <s v="CIVIL"/>
    <d v="2023-06-20T00:00:00"/>
    <d v="2023-07-03T19:01:49"/>
    <m/>
    <d v="2023-07-03T00:00:00"/>
    <n v="1107"/>
    <n v="18252"/>
    <s v="40209498"/>
    <s v="40209498"/>
    <m/>
    <m/>
    <n v="22729560"/>
    <m/>
    <m/>
    <m/>
    <s v="SOLFIN"/>
    <s v="SOLFIN"/>
    <s v="CCMS"/>
    <n v="21319017"/>
    <n v="20154.6"/>
    <m/>
    <s v="N"/>
    <n v="32"/>
    <d v="2023-07-03T19:02:07"/>
    <s v="Y"/>
    <s v="Hearing Unit 1.01 - 2.30 Hours"/>
    <s v="Public Law Children"/>
    <s v="Advocacy"/>
    <s v="JMA"/>
    <s v="Y"/>
    <n v="238.46"/>
    <n v="47.69"/>
    <x v="3"/>
    <s v="VALIDATED"/>
    <n v="1"/>
    <s v="01.11.80.308.6100.0000"/>
    <n v="238.46"/>
    <s v="11"/>
    <s v="6100"/>
    <n v="1876.46"/>
    <n v="238.46"/>
    <s v="CREDITOR"/>
    <n v="0"/>
    <n v="0"/>
    <n v="0"/>
    <n v="0"/>
    <n v="238.46"/>
  </r>
  <r>
    <n v="40209498"/>
    <s v="N"/>
    <n v="21319017"/>
    <s v="3000010822460023"/>
    <s v="CIVIL"/>
    <d v="2023-06-20T00:00:00"/>
    <d v="2023-07-03T19:01:49"/>
    <m/>
    <d v="2023-07-03T00:00:00"/>
    <n v="1107"/>
    <n v="18252"/>
    <s v="40209498"/>
    <s v="40209498"/>
    <m/>
    <m/>
    <n v="22729560"/>
    <m/>
    <m/>
    <m/>
    <s v="SOLFIN"/>
    <s v="SOLFIN"/>
    <s v="CCMS"/>
    <n v="21319017"/>
    <n v="20154.6"/>
    <m/>
    <s v="N"/>
    <n v="22"/>
    <d v="2023-07-03T19:02:07"/>
    <s v="Y"/>
    <s v="Hearing Unit 1.01 - 2.30 Hours"/>
    <s v="Public Law Children"/>
    <s v="Advocacy"/>
    <s v="JMA"/>
    <s v="Y"/>
    <n v="238.46"/>
    <n v="47.69"/>
    <x v="3"/>
    <s v="VALIDATED"/>
    <n v="1"/>
    <s v="01.11.80.308.6100.0000"/>
    <n v="238.46"/>
    <s v="11"/>
    <s v="6100"/>
    <n v="1876.46"/>
    <n v="238.46"/>
    <s v="CREDITOR"/>
    <n v="0"/>
    <n v="0"/>
    <n v="0"/>
    <n v="0"/>
    <n v="238.46"/>
  </r>
  <r>
    <n v="40209498"/>
    <s v="N"/>
    <n v="21319017"/>
    <s v="3000010822460023"/>
    <s v="CIVIL"/>
    <d v="2023-06-20T00:00:00"/>
    <d v="2023-07-03T19:01:49"/>
    <m/>
    <d v="2023-07-03T00:00:00"/>
    <n v="1107"/>
    <n v="18252"/>
    <s v="40209498"/>
    <s v="40209498"/>
    <m/>
    <m/>
    <n v="22729560"/>
    <m/>
    <m/>
    <m/>
    <s v="SOLFIN"/>
    <s v="SOLFIN"/>
    <s v="CCMS"/>
    <n v="21319017"/>
    <n v="20154.6"/>
    <m/>
    <s v="N"/>
    <n v="5"/>
    <d v="2023-07-03T19:02:07"/>
    <s v="Y"/>
    <s v="DNA - preparation of report"/>
    <s v="Public Law Children"/>
    <s v="Expert Disbursement"/>
    <s v="JMA"/>
    <s v="Y"/>
    <n v="106"/>
    <n v="21.2"/>
    <x v="3"/>
    <s v="VALIDATED"/>
    <n v="1"/>
    <s v="01.11.80.308.6300.0000"/>
    <n v="106"/>
    <s v="11"/>
    <s v="6300"/>
    <n v="1876.46"/>
    <n v="106"/>
    <s v="CREDITOR"/>
    <n v="0"/>
    <n v="0"/>
    <n v="0"/>
    <n v="0"/>
    <n v="106"/>
  </r>
  <r>
    <n v="40209498"/>
    <s v="N"/>
    <n v="21319017"/>
    <s v="3000010822460023"/>
    <s v="CIVIL"/>
    <d v="2023-06-20T00:00:00"/>
    <d v="2023-07-03T19:01:49"/>
    <m/>
    <d v="2023-07-03T00:00:00"/>
    <n v="1107"/>
    <n v="18252"/>
    <s v="40209498"/>
    <s v="40209498"/>
    <m/>
    <m/>
    <n v="22729560"/>
    <m/>
    <m/>
    <m/>
    <s v="SOLFIN"/>
    <s v="SOLFIN"/>
    <s v="CCMS"/>
    <n v="21319017"/>
    <n v="20154.6"/>
    <m/>
    <s v="N"/>
    <n v="11"/>
    <d v="2023-07-03T19:02:07"/>
    <s v="Y"/>
    <s v="Court Fee"/>
    <s v="Public Law Children"/>
    <s v="Non Expert Disbursement"/>
    <s v="JMA"/>
    <s v="Y"/>
    <n v="50"/>
    <n v="0"/>
    <x v="3"/>
    <s v="VALIDATED"/>
    <n v="1"/>
    <s v="01.11.80.308.6300.0000"/>
    <n v="50"/>
    <s v="11"/>
    <s v="6300"/>
    <n v="1876.46"/>
    <n v="50"/>
    <s v="CREDITOR"/>
    <n v="0"/>
    <n v="0"/>
    <n v="0"/>
    <n v="0"/>
    <n v="50"/>
  </r>
  <r>
    <n v="40209498"/>
    <s v="N"/>
    <n v="21319017"/>
    <s v="3000010822460023"/>
    <s v="CIVIL"/>
    <d v="2023-06-20T00:00:00"/>
    <d v="2023-07-03T19:01:49"/>
    <m/>
    <d v="2023-07-03T00:00:00"/>
    <n v="1107"/>
    <n v="18252"/>
    <s v="40209498"/>
    <s v="40209498"/>
    <m/>
    <m/>
    <n v="22729560"/>
    <m/>
    <m/>
    <m/>
    <s v="SOLFIN"/>
    <s v="SOLFIN"/>
    <s v="CCMS"/>
    <n v="21319017"/>
    <n v="20154.6"/>
    <m/>
    <s v="N"/>
    <n v="20"/>
    <d v="2023-07-03T19:02:07"/>
    <s v="Y"/>
    <s v="Final Hearing - 1 Day"/>
    <s v="Public Law Children"/>
    <s v="Advocacy"/>
    <s v="JMA"/>
    <s v="Y"/>
    <n v="556.88"/>
    <n v="111.38"/>
    <x v="3"/>
    <s v="VALIDATED"/>
    <n v="1"/>
    <s v="01.11.80.308.6100.0000"/>
    <n v="556.88"/>
    <s v="11"/>
    <s v="6100"/>
    <n v="1876.46"/>
    <n v="556.88"/>
    <s v="CREDITOR"/>
    <n v="0"/>
    <n v="0"/>
    <n v="0"/>
    <n v="0"/>
    <n v="556.88"/>
  </r>
  <r>
    <n v="40209498"/>
    <s v="N"/>
    <n v="21319017"/>
    <s v="3000010822460023"/>
    <s v="CIVIL"/>
    <d v="2023-06-20T00:00:00"/>
    <d v="2023-07-03T19:01:49"/>
    <m/>
    <d v="2023-07-03T00:00:00"/>
    <n v="1107"/>
    <n v="18252"/>
    <s v="40209498"/>
    <s v="40209498"/>
    <m/>
    <m/>
    <n v="22729560"/>
    <m/>
    <m/>
    <m/>
    <s v="SOLFIN"/>
    <s v="SOLFIN"/>
    <s v="CCMS"/>
    <n v="21319017"/>
    <n v="20154.6"/>
    <m/>
    <s v="N"/>
    <n v="15"/>
    <d v="2023-07-03T19:02:07"/>
    <s v="Y"/>
    <s v="Court Fee"/>
    <s v="Public Law Children"/>
    <s v="Non Expert Disbursement"/>
    <s v="JMA"/>
    <s v="Y"/>
    <n v="167"/>
    <n v="0"/>
    <x v="3"/>
    <s v="VALIDATED"/>
    <n v="1"/>
    <s v="01.11.80.308.6300.0000"/>
    <n v="167"/>
    <s v="11"/>
    <s v="6300"/>
    <n v="1876.46"/>
    <n v="167"/>
    <s v="CREDITOR"/>
    <n v="0"/>
    <n v="0"/>
    <n v="0"/>
    <n v="0"/>
    <n v="167"/>
  </r>
  <r>
    <n v="40209498"/>
    <s v="N"/>
    <n v="21319017"/>
    <s v="3000010822460023"/>
    <s v="CIVIL"/>
    <d v="2023-06-20T00:00:00"/>
    <d v="2023-07-03T19:01:49"/>
    <m/>
    <d v="2023-07-03T00:00:00"/>
    <n v="1107"/>
    <n v="18252"/>
    <s v="40209498"/>
    <s v="40209498"/>
    <m/>
    <m/>
    <n v="22729560"/>
    <m/>
    <m/>
    <m/>
    <s v="SOLFIN"/>
    <s v="SOLFIN"/>
    <s v="CCMS"/>
    <n v="21319017"/>
    <n v="20154.6"/>
    <m/>
    <s v="N"/>
    <n v="25"/>
    <d v="2023-07-03T19:02:07"/>
    <s v="Y"/>
    <s v="Hearing Unit 2.31 - 5.00 Hours"/>
    <s v="Public Law Children"/>
    <s v="Advocacy"/>
    <s v="SW"/>
    <s v="Y"/>
    <n v="476.92"/>
    <n v="95.38"/>
    <x v="3"/>
    <s v="VALIDATED"/>
    <n v="1"/>
    <s v="01.11.80.308.6100.0000"/>
    <n v="476.92"/>
    <s v="11"/>
    <s v="6100"/>
    <n v="1876.46"/>
    <n v="476.92"/>
    <s v="CREDITOR"/>
    <n v="0"/>
    <n v="0"/>
    <n v="0"/>
    <n v="0"/>
    <n v="476.92"/>
  </r>
  <r>
    <n v="40209498"/>
    <s v="N"/>
    <n v="21319017"/>
    <s v="3000010822460023"/>
    <s v="CIVIL"/>
    <d v="2023-06-20T00:00:00"/>
    <d v="2023-07-03T19:01:49"/>
    <m/>
    <d v="2023-07-03T00:00:00"/>
    <n v="1107"/>
    <n v="18252"/>
    <s v="40209498"/>
    <s v="40209498"/>
    <m/>
    <m/>
    <n v="22729560"/>
    <m/>
    <m/>
    <m/>
    <s v="SOLFIN"/>
    <s v="SOLFIN"/>
    <s v="CCMS"/>
    <n v="21319017"/>
    <n v="20154.6"/>
    <m/>
    <s v="N"/>
    <n v="23"/>
    <d v="2023-07-03T19:02:07"/>
    <s v="Y"/>
    <s v="Advocates Meeting"/>
    <s v="Public Law Children"/>
    <s v="Advocacy"/>
    <s v="JMA"/>
    <s v="Y"/>
    <n v="140.99"/>
    <n v="28.2"/>
    <x v="3"/>
    <s v="VALIDATED"/>
    <n v="1"/>
    <s v="01.11.80.308.6100.0000"/>
    <n v="140.99"/>
    <s v="11"/>
    <s v="6100"/>
    <n v="1876.46"/>
    <n v="140.99"/>
    <s v="CREDITOR"/>
    <n v="0"/>
    <n v="0"/>
    <n v="0"/>
    <n v="0"/>
    <n v="140.99"/>
  </r>
  <r>
    <n v="40209498"/>
    <s v="N"/>
    <n v="21319017"/>
    <s v="3000010822460023"/>
    <s v="CIVIL"/>
    <d v="2023-06-20T00:00:00"/>
    <d v="2023-07-03T19:01:49"/>
    <m/>
    <d v="2023-07-03T00:00:00"/>
    <n v="1107"/>
    <n v="18252"/>
    <s v="40209498"/>
    <s v="40209498"/>
    <m/>
    <m/>
    <n v="22729560"/>
    <m/>
    <m/>
    <m/>
    <s v="SOLFIN"/>
    <s v="SOLFIN"/>
    <s v="CCMS"/>
    <n v="21319017"/>
    <n v="20154.6"/>
    <m/>
    <s v="N"/>
    <n v="9"/>
    <d v="2023-07-03T19:02:07"/>
    <s v="Y"/>
    <s v="Profit Costs (Summary)"/>
    <s v="Public Law Children"/>
    <s v="Profit Cost"/>
    <s v="JMA"/>
    <s v="Y"/>
    <n v="9160.030000000001"/>
    <n v="1832.01"/>
    <x v="3"/>
    <s v="VALIDATED"/>
    <n v="1"/>
    <s v="01.11.80.308.6100.0000"/>
    <n v="9160.030000000001"/>
    <s v="11"/>
    <s v="6100"/>
    <n v="1876.46"/>
    <n v="9160.030000000001"/>
    <s v="CREDITOR"/>
    <n v="0"/>
    <n v="0"/>
    <n v="0"/>
    <n v="0"/>
    <n v="9160.030000000001"/>
  </r>
  <r>
    <n v="40209498"/>
    <s v="N"/>
    <n v="21319017"/>
    <s v="3000010822460023"/>
    <s v="CIVIL"/>
    <d v="2023-06-20T00:00:00"/>
    <d v="2023-07-03T19:01:49"/>
    <m/>
    <d v="2023-07-03T00:00:00"/>
    <n v="1107"/>
    <n v="18252"/>
    <s v="40209498"/>
    <s v="40209498"/>
    <m/>
    <m/>
    <n v="22729560"/>
    <m/>
    <m/>
    <m/>
    <s v="SOLFIN"/>
    <s v="SOLFIN"/>
    <s v="CCMS"/>
    <n v="21319017"/>
    <n v="20154.6"/>
    <m/>
    <s v="N"/>
    <n v="35"/>
    <d v="2023-07-03T19:02:07"/>
    <s v="Y"/>
    <s v="Hearing Unit 1.01 - 2.30 Hours"/>
    <s v="Public Law Children"/>
    <s v="Advocacy"/>
    <s v="JMA"/>
    <s v="Y"/>
    <n v="238.46"/>
    <n v="47.69"/>
    <x v="3"/>
    <s v="VALIDATED"/>
    <n v="1"/>
    <s v="01.11.80.308.6100.0000"/>
    <n v="238.46"/>
    <s v="11"/>
    <s v="6100"/>
    <n v="1876.46"/>
    <n v="238.46"/>
    <s v="CREDITOR"/>
    <n v="0"/>
    <n v="0"/>
    <n v="0"/>
    <n v="0"/>
    <n v="238.46"/>
  </r>
  <r>
    <n v="40209498"/>
    <s v="N"/>
    <n v="21319017"/>
    <s v="3000010822460023"/>
    <s v="CIVIL"/>
    <d v="2023-06-20T00:00:00"/>
    <d v="2023-07-03T19:01:49"/>
    <m/>
    <d v="2023-07-03T00:00:00"/>
    <n v="1107"/>
    <n v="18252"/>
    <s v="40209498"/>
    <s v="40209498"/>
    <m/>
    <m/>
    <n v="22729560"/>
    <m/>
    <m/>
    <m/>
    <s v="SOLFIN"/>
    <s v="SOLFIN"/>
    <s v="CCMS"/>
    <n v="21319017"/>
    <n v="20154.6"/>
    <m/>
    <s v="N"/>
    <n v="30"/>
    <d v="2023-07-03T19:02:07"/>
    <s v="Y"/>
    <s v="Hearing Unit 2.31 - 5.00 Hours"/>
    <s v="Public Law Children"/>
    <s v="Advocacy"/>
    <s v="YW"/>
    <s v="Y"/>
    <n v="476.92"/>
    <n v="95.38"/>
    <x v="3"/>
    <s v="VALIDATED"/>
    <n v="1"/>
    <s v="01.11.80.308.6100.0000"/>
    <n v="476.92"/>
    <s v="11"/>
    <s v="6100"/>
    <n v="1876.46"/>
    <n v="476.92"/>
    <s v="CREDITOR"/>
    <n v="0"/>
    <n v="0"/>
    <n v="0"/>
    <n v="0"/>
    <n v="476.92"/>
  </r>
  <r>
    <n v="40209498"/>
    <s v="N"/>
    <n v="21319017"/>
    <s v="3000010822460023"/>
    <s v="CIVIL"/>
    <d v="2023-06-20T00:00:00"/>
    <d v="2023-07-03T19:01:49"/>
    <m/>
    <d v="2023-07-03T00:00:00"/>
    <n v="1107"/>
    <n v="18252"/>
    <s v="40209498"/>
    <s v="40209498"/>
    <m/>
    <m/>
    <n v="22729560"/>
    <m/>
    <m/>
    <m/>
    <s v="SOLFIN"/>
    <s v="SOLFIN"/>
    <s v="CCMS"/>
    <n v="21319017"/>
    <n v="20154.6"/>
    <m/>
    <s v="N"/>
    <n v="34"/>
    <d v="2023-07-03T19:02:07"/>
    <s v="Y"/>
    <s v="Advocates Meeting"/>
    <s v="Public Law Children"/>
    <s v="Advocacy"/>
    <s v="JMA"/>
    <s v="Y"/>
    <n v="140.99"/>
    <n v="28.2"/>
    <x v="3"/>
    <s v="VALIDATED"/>
    <n v="1"/>
    <s v="01.11.80.308.6100.0000"/>
    <n v="140.99"/>
    <s v="11"/>
    <s v="6100"/>
    <n v="1876.46"/>
    <n v="140.99"/>
    <s v="CREDITOR"/>
    <n v="0"/>
    <n v="0"/>
    <n v="0"/>
    <n v="0"/>
    <n v="140.99"/>
  </r>
  <r>
    <n v="40209498"/>
    <s v="N"/>
    <n v="21319017"/>
    <s v="3000010822460023"/>
    <s v="CIVIL"/>
    <d v="2023-06-20T00:00:00"/>
    <d v="2023-07-03T19:01:49"/>
    <m/>
    <d v="2023-07-03T00:00:00"/>
    <n v="1107"/>
    <n v="18252"/>
    <s v="40209498"/>
    <s v="40209498"/>
    <m/>
    <m/>
    <n v="22729560"/>
    <m/>
    <m/>
    <m/>
    <s v="SOLFIN"/>
    <s v="SOLFIN"/>
    <s v="CCMS"/>
    <n v="21319017"/>
    <n v="20154.6"/>
    <m/>
    <s v="N"/>
    <n v="8"/>
    <d v="2023-07-03T19:02:07"/>
    <s v="Y"/>
    <s v="Court Fee"/>
    <s v="Public Law Children"/>
    <s v="Non Expert Disbursement"/>
    <s v="JMA"/>
    <s v="Y"/>
    <n v="53"/>
    <n v="0"/>
    <x v="3"/>
    <s v="VALIDATED"/>
    <n v="1"/>
    <s v="01.11.80.308.6300.0000"/>
    <n v="53"/>
    <s v="11"/>
    <s v="6300"/>
    <n v="1876.46"/>
    <n v="53"/>
    <s v="CREDITOR"/>
    <n v="0"/>
    <n v="0"/>
    <n v="0"/>
    <n v="0"/>
    <n v="53"/>
  </r>
  <r>
    <n v="40209498"/>
    <s v="N"/>
    <n v="21319017"/>
    <s v="3000010822460023"/>
    <s v="CIVIL"/>
    <d v="2023-06-20T00:00:00"/>
    <d v="2023-07-03T19:01:49"/>
    <m/>
    <d v="2023-07-03T00:00:00"/>
    <n v="1107"/>
    <n v="18252"/>
    <s v="40209498"/>
    <s v="40209498"/>
    <m/>
    <m/>
    <n v="22729560"/>
    <m/>
    <m/>
    <m/>
    <s v="SOLFIN"/>
    <s v="SOLFIN"/>
    <s v="CCMS"/>
    <n v="21319017"/>
    <n v="20154.6"/>
    <m/>
    <s v="N"/>
    <n v="33"/>
    <d v="2023-07-03T19:02:07"/>
    <s v="Y"/>
    <s v="Advocates Meeting"/>
    <s v="Public Law Children"/>
    <s v="Advocacy"/>
    <s v="JMA"/>
    <s v="Y"/>
    <n v="140.99"/>
    <n v="28.2"/>
    <x v="3"/>
    <s v="VALIDATED"/>
    <n v="1"/>
    <s v="01.11.80.308.6100.0000"/>
    <n v="140.99"/>
    <s v="11"/>
    <s v="6100"/>
    <n v="1876.46"/>
    <n v="140.99"/>
    <s v="CREDITOR"/>
    <n v="0"/>
    <n v="0"/>
    <n v="0"/>
    <n v="0"/>
    <n v="140.99"/>
  </r>
  <r>
    <n v="40209498"/>
    <s v="N"/>
    <n v="21319017"/>
    <s v="3000010822460023"/>
    <s v="CIVIL"/>
    <d v="2023-06-20T00:00:00"/>
    <d v="2023-07-03T19:01:49"/>
    <m/>
    <d v="2023-07-03T00:00:00"/>
    <n v="1107"/>
    <n v="18252"/>
    <s v="40209498"/>
    <s v="40209498"/>
    <m/>
    <m/>
    <n v="22729560"/>
    <m/>
    <m/>
    <m/>
    <s v="SOLFIN"/>
    <s v="SOLFIN"/>
    <s v="CCMS"/>
    <n v="21319017"/>
    <n v="20154.6"/>
    <m/>
    <s v="N"/>
    <n v="28"/>
    <d v="2023-07-03T19:02:07"/>
    <s v="Y"/>
    <s v="Hearing Unit 2.31 - 5.00 Hours"/>
    <s v="Public Law Children"/>
    <s v="Advocacy"/>
    <s v="JMA"/>
    <s v="Y"/>
    <n v="476.92"/>
    <n v="95.38"/>
    <x v="3"/>
    <s v="VALIDATED"/>
    <n v="1"/>
    <s v="01.11.80.308.6100.0000"/>
    <n v="476.92"/>
    <s v="11"/>
    <s v="6100"/>
    <n v="1876.46"/>
    <n v="476.92"/>
    <s v="CREDITOR"/>
    <n v="0"/>
    <n v="0"/>
    <n v="0"/>
    <n v="0"/>
    <n v="476.92"/>
  </r>
  <r>
    <n v="40209498"/>
    <s v="N"/>
    <n v="21319017"/>
    <s v="3000010822460023"/>
    <s v="CIVIL"/>
    <d v="2023-06-20T00:00:00"/>
    <d v="2023-07-03T19:01:49"/>
    <m/>
    <d v="2023-07-03T00:00:00"/>
    <n v="1107"/>
    <n v="18252"/>
    <s v="40209498"/>
    <s v="40209498"/>
    <m/>
    <m/>
    <n v="22729560"/>
    <m/>
    <m/>
    <m/>
    <s v="SOLFIN"/>
    <s v="SOLFIN"/>
    <s v="CCMS"/>
    <n v="21319017"/>
    <n v="20154.6"/>
    <m/>
    <s v="N"/>
    <n v="4"/>
    <d v="2023-07-03T19:02:07"/>
    <s v="Y"/>
    <s v="Psychologist"/>
    <s v="Public Law Children"/>
    <s v="Expert Disbursement"/>
    <s v="JMA"/>
    <s v="Y"/>
    <n v="140.4"/>
    <n v="28.08"/>
    <x v="3"/>
    <s v="VALIDATED"/>
    <n v="1"/>
    <s v="01.11.80.308.6300.0000"/>
    <n v="140.4"/>
    <s v="11"/>
    <s v="6300"/>
    <n v="1876.46"/>
    <n v="140.4"/>
    <s v="CREDITOR"/>
    <n v="0"/>
    <n v="0"/>
    <n v="0"/>
    <n v="0"/>
    <n v="140.4"/>
  </r>
  <r>
    <n v="40209498"/>
    <s v="N"/>
    <n v="21319017"/>
    <s v="3000010822460023"/>
    <s v="CIVIL"/>
    <d v="2023-06-20T00:00:00"/>
    <d v="2023-07-03T19:01:49"/>
    <m/>
    <d v="2023-07-03T00:00:00"/>
    <n v="1107"/>
    <n v="18252"/>
    <s v="40209498"/>
    <s v="40209498"/>
    <m/>
    <m/>
    <n v="22729560"/>
    <m/>
    <m/>
    <m/>
    <s v="SOLFIN"/>
    <s v="SOLFIN"/>
    <s v="CCMS"/>
    <n v="21319017"/>
    <n v="20154.6"/>
    <m/>
    <s v="N"/>
    <n v="7"/>
    <d v="2023-07-03T19:02:07"/>
    <s v="Y"/>
    <s v="Court Fee"/>
    <s v="Public Law Children"/>
    <s v="Non Expert Disbursement"/>
    <s v="JMA"/>
    <s v="Y"/>
    <n v="167"/>
    <n v="0"/>
    <x v="3"/>
    <s v="VALIDATED"/>
    <n v="1"/>
    <s v="01.11.80.308.6300.0000"/>
    <n v="167"/>
    <s v="11"/>
    <s v="6300"/>
    <n v="1876.46"/>
    <n v="167"/>
    <s v="CREDITOR"/>
    <n v="0"/>
    <n v="0"/>
    <n v="0"/>
    <n v="0"/>
    <n v="167"/>
  </r>
  <r>
    <n v="40209498"/>
    <s v="N"/>
    <n v="21319017"/>
    <s v="3000010822460023"/>
    <s v="CIVIL"/>
    <d v="2023-06-20T00:00:00"/>
    <d v="2023-07-03T19:01:49"/>
    <m/>
    <d v="2023-07-03T00:00:00"/>
    <n v="1107"/>
    <n v="18252"/>
    <s v="40209498"/>
    <s v="40209498"/>
    <m/>
    <m/>
    <n v="22729560"/>
    <m/>
    <m/>
    <m/>
    <s v="SOLFIN"/>
    <s v="SOLFIN"/>
    <s v="CCMS"/>
    <n v="21319017"/>
    <n v="20154.6"/>
    <m/>
    <s v="N"/>
    <n v="31"/>
    <d v="2023-07-03T19:02:07"/>
    <s v="Y"/>
    <s v="Hearing Unit 1.01 - 2.30 Hours"/>
    <s v="Public Law Children"/>
    <s v="Advocacy"/>
    <s v="JMA"/>
    <s v="Y"/>
    <n v="238.46"/>
    <n v="47.69"/>
    <x v="3"/>
    <s v="VALIDATED"/>
    <n v="1"/>
    <s v="01.11.80.308.6100.0000"/>
    <n v="238.46"/>
    <s v="11"/>
    <s v="6100"/>
    <n v="1876.46"/>
    <n v="238.46"/>
    <s v="CREDITOR"/>
    <n v="0"/>
    <n v="0"/>
    <n v="0"/>
    <n v="0"/>
    <n v="238.46"/>
  </r>
  <r>
    <n v="62339875"/>
    <s v="N"/>
    <n v="21319901"/>
    <s v="3000016325390001"/>
    <s v="CIVIL"/>
    <d v="2023-06-28T00:00:00"/>
    <d v="2023-07-03T19:04:24"/>
    <m/>
    <d v="2023-07-03T00:00:00"/>
    <n v="1107"/>
    <n v="18252"/>
    <s v="62339875"/>
    <s v="62339875"/>
    <m/>
    <m/>
    <n v="22777424"/>
    <m/>
    <m/>
    <m/>
    <s v="SOLPOA"/>
    <s v="SOLPOA"/>
    <s v="CCMS"/>
    <n v="21319901"/>
    <n v="313.2"/>
    <m/>
    <s v="N"/>
    <n v="1"/>
    <d v="2023-07-03T19:04:28"/>
    <s v="N"/>
    <s v="Expert Cost"/>
    <s v="Expert Cost"/>
    <s v="Expert Disbursement"/>
    <s v="Yvette Wadeley"/>
    <s v="N"/>
    <n v="261"/>
    <n v="52.2"/>
    <x v="3"/>
    <s v="VALIDATED"/>
    <n v="1"/>
    <s v="01.11.80.308.2012.0000"/>
    <n v="261"/>
    <s v="11"/>
    <s v="2012"/>
    <n v="1876.46"/>
    <n v="261"/>
    <s v="CREDITOR"/>
    <n v="261"/>
    <n v="0"/>
    <n v="0"/>
    <n v="0"/>
    <n v="0"/>
  </r>
  <r>
    <n v="40209498"/>
    <s v="N"/>
    <n v="21319017"/>
    <s v="3000010822460023"/>
    <s v="CIVIL"/>
    <d v="2023-06-20T00:00:00"/>
    <d v="2023-07-03T19:01:49"/>
    <m/>
    <d v="2023-07-03T00:00:00"/>
    <n v="1107"/>
    <n v="18252"/>
    <s v="40209498"/>
    <s v="40209498"/>
    <m/>
    <m/>
    <n v="22729560"/>
    <m/>
    <m/>
    <m/>
    <s v="SOLFIN"/>
    <s v="SOLFIN"/>
    <s v="CCMS"/>
    <n v="21319017"/>
    <n v="20154.6"/>
    <m/>
    <s v="N"/>
    <n v="1"/>
    <d v="2023-07-03T19:02:07"/>
    <s v="Y"/>
    <s v="Final Hearing Court Bundle/Advocate"/>
    <s v="Public Law Children"/>
    <s v="Advocacy"/>
    <s v="JMA"/>
    <s v="Y"/>
    <n v="318.6"/>
    <n v="63.72"/>
    <x v="3"/>
    <s v="VALIDATED"/>
    <n v="1"/>
    <s v="01.11.80.308.6100.0000"/>
    <n v="318.6"/>
    <s v="11"/>
    <s v="6100"/>
    <n v="1876.46"/>
    <n v="318.6"/>
    <s v="CREDITOR"/>
    <n v="0"/>
    <n v="0"/>
    <n v="0"/>
    <n v="0"/>
    <n v="318.6"/>
  </r>
  <r>
    <n v="40209498"/>
    <s v="N"/>
    <n v="21319017"/>
    <s v="3000010822460023"/>
    <s v="CIVIL"/>
    <d v="2023-06-20T00:00:00"/>
    <d v="2023-07-03T19:01:49"/>
    <m/>
    <d v="2023-07-03T00:00:00"/>
    <n v="1107"/>
    <n v="18252"/>
    <s v="40209498"/>
    <s v="40209498"/>
    <m/>
    <m/>
    <n v="22729560"/>
    <m/>
    <m/>
    <m/>
    <s v="SOLFIN"/>
    <s v="SOLFIN"/>
    <s v="CCMS"/>
    <n v="21319017"/>
    <n v="20154.6"/>
    <m/>
    <s v="N"/>
    <n v="24"/>
    <d v="2023-07-03T19:02:07"/>
    <s v="Y"/>
    <s v="Hearing Unit 1.01 - 2.30 Hours"/>
    <s v="Public Law Children"/>
    <s v="Advocacy"/>
    <s v="JMA"/>
    <s v="Y"/>
    <n v="238.46"/>
    <n v="47.69"/>
    <x v="3"/>
    <s v="VALIDATED"/>
    <n v="1"/>
    <s v="01.11.80.308.6100.0000"/>
    <n v="238.46"/>
    <s v="11"/>
    <s v="6100"/>
    <n v="1876.46"/>
    <n v="238.46"/>
    <s v="CREDITOR"/>
    <n v="0"/>
    <n v="0"/>
    <n v="0"/>
    <n v="0"/>
    <n v="238.46"/>
  </r>
  <r>
    <n v="40209498"/>
    <s v="N"/>
    <n v="21319017"/>
    <s v="3000010822460023"/>
    <s v="CIVIL"/>
    <d v="2023-06-20T00:00:00"/>
    <d v="2023-07-03T19:01:49"/>
    <m/>
    <d v="2023-07-03T00:00:00"/>
    <n v="1107"/>
    <n v="18252"/>
    <s v="40209498"/>
    <s v="40209498"/>
    <m/>
    <m/>
    <n v="22729560"/>
    <m/>
    <m/>
    <m/>
    <s v="SOLFIN"/>
    <s v="SOLFIN"/>
    <s v="CCMS"/>
    <n v="21319017"/>
    <n v="20154.6"/>
    <m/>
    <s v="N"/>
    <n v="29"/>
    <d v="2023-07-03T19:02:07"/>
    <s v="Y"/>
    <s v="Hearing Unit 1.01 - 2.30 Hours"/>
    <s v="Public Law Children"/>
    <s v="Advocacy"/>
    <s v="JMA"/>
    <s v="Y"/>
    <n v="238.46"/>
    <n v="47.69"/>
    <x v="3"/>
    <s v="VALIDATED"/>
    <n v="1"/>
    <s v="01.11.80.308.6100.0000"/>
    <n v="238.46"/>
    <s v="11"/>
    <s v="6100"/>
    <n v="1876.46"/>
    <n v="238.46"/>
    <s v="CREDITOR"/>
    <n v="0"/>
    <n v="0"/>
    <n v="0"/>
    <n v="0"/>
    <n v="238.46"/>
  </r>
  <r>
    <n v="62356915"/>
    <s v="N"/>
    <n v="21320668"/>
    <s v="3000016339890001"/>
    <s v="CIVIL"/>
    <d v="2023-06-28T00:00:00"/>
    <d v="2023-07-03T19:04:52"/>
    <m/>
    <d v="2023-07-03T00:00:00"/>
    <n v="1107"/>
    <n v="18252"/>
    <s v="62356915"/>
    <s v="62356915"/>
    <m/>
    <m/>
    <n v="22782722"/>
    <m/>
    <m/>
    <m/>
    <s v="SOLPOA"/>
    <s v="SOLPOA"/>
    <s v="CCMS"/>
    <n v="21320668"/>
    <n v="470.75"/>
    <m/>
    <s v="N"/>
    <n v="1"/>
    <d v="2023-07-03T19:04:55"/>
    <s v="N"/>
    <s v="Expert Cost"/>
    <s v="Expert Cost"/>
    <s v="Expert Disbursement"/>
    <s v="Julia Allely"/>
    <s v="N"/>
    <n v="392.29"/>
    <n v="78.45999999999999"/>
    <x v="3"/>
    <s v="VALIDATED"/>
    <n v="1"/>
    <s v="01.11.80.308.2012.0000"/>
    <n v="392.29"/>
    <s v="11"/>
    <s v="2012"/>
    <n v="1876.46"/>
    <n v="392.29"/>
    <s v="CREDITOR"/>
    <n v="392.29"/>
    <n v="0"/>
    <n v="0"/>
    <n v="0"/>
    <n v="0"/>
  </r>
  <r>
    <n v="44050067"/>
    <s v="N"/>
    <n v="21320068"/>
    <s v="3000011561520018"/>
    <s v="CIVIL"/>
    <d v="2023-06-27T00:00:00"/>
    <d v="2023-07-03T19:04:24"/>
    <m/>
    <d v="2023-07-03T00:00:00"/>
    <n v="1107"/>
    <n v="18252"/>
    <s v="44050067"/>
    <s v="44050067"/>
    <m/>
    <m/>
    <n v="22775268"/>
    <m/>
    <m/>
    <m/>
    <s v="SOLPOA"/>
    <s v="SOLPOA"/>
    <s v="CCMS"/>
    <n v="21320068"/>
    <n v="167"/>
    <m/>
    <s v="N"/>
    <n v="1"/>
    <d v="2023-07-03T19:04:29"/>
    <s v="N"/>
    <s v="Non Expert Disbursement - Private L"/>
    <s v="Non Expert Disbursement - Priv"/>
    <s v="Non Expert Disbursement"/>
    <s v="pj"/>
    <s v="N"/>
    <n v="167"/>
    <n v="0"/>
    <x v="3"/>
    <s v="VALIDATED"/>
    <n v="1"/>
    <s v="01.11.80.307.2012.0000"/>
    <n v="167"/>
    <s v="11"/>
    <s v="2012"/>
    <n v="1876.46"/>
    <n v="167"/>
    <s v="CREDITOR"/>
    <n v="167"/>
    <n v="0"/>
    <n v="0"/>
    <n v="0"/>
    <n v="0"/>
  </r>
  <r>
    <n v="40209498"/>
    <s v="N"/>
    <n v="21319017"/>
    <s v="3000010822460023"/>
    <s v="CIVIL"/>
    <d v="2023-06-20T00:00:00"/>
    <d v="2023-07-03T19:01:49"/>
    <m/>
    <d v="2023-07-03T00:00:00"/>
    <n v="1107"/>
    <n v="18252"/>
    <s v="40209498"/>
    <s v="40209498"/>
    <m/>
    <m/>
    <n v="22729560"/>
    <m/>
    <m/>
    <m/>
    <s v="SOLFIN"/>
    <s v="SOLFIN"/>
    <s v="CCMS"/>
    <n v="21319017"/>
    <n v="20154.6"/>
    <m/>
    <s v="N"/>
    <n v="6"/>
    <d v="2023-07-03T19:02:07"/>
    <s v="Y"/>
    <s v="Court Fee"/>
    <s v="Public Law Children"/>
    <s v="Non Expert Disbursement"/>
    <s v="JMA"/>
    <s v="Y"/>
    <n v="155"/>
    <n v="0"/>
    <x v="3"/>
    <s v="VALIDATED"/>
    <n v="1"/>
    <s v="01.11.80.308.6300.0000"/>
    <n v="155"/>
    <s v="11"/>
    <s v="6300"/>
    <n v="1876.46"/>
    <n v="155"/>
    <s v="CREDITOR"/>
    <n v="0"/>
    <n v="0"/>
    <n v="0"/>
    <n v="0"/>
    <n v="155"/>
  </r>
  <r>
    <n v="40209498"/>
    <s v="N"/>
    <n v="21319017"/>
    <s v="3000010822460023"/>
    <s v="CIVIL"/>
    <d v="2023-06-20T00:00:00"/>
    <d v="2023-07-03T19:01:49"/>
    <m/>
    <d v="2023-07-03T00:00:00"/>
    <n v="1107"/>
    <n v="18252"/>
    <s v="40209498"/>
    <s v="40209498"/>
    <m/>
    <m/>
    <n v="22729560"/>
    <m/>
    <m/>
    <m/>
    <s v="SOLFIN"/>
    <s v="SOLFIN"/>
    <s v="CCMS"/>
    <n v="21319017"/>
    <n v="20154.6"/>
    <m/>
    <s v="N"/>
    <n v="10"/>
    <d v="2023-07-03T19:02:07"/>
    <s v="Y"/>
    <s v="Psychologist"/>
    <s v="Public Law Children"/>
    <s v="Expert Disbursement"/>
    <s v="JMA"/>
    <s v="Y"/>
    <n v="819"/>
    <n v="163.8"/>
    <x v="3"/>
    <s v="VALIDATED"/>
    <n v="1"/>
    <s v="01.11.80.308.6300.0000"/>
    <n v="819"/>
    <s v="11"/>
    <s v="6300"/>
    <n v="1876.46"/>
    <n v="819"/>
    <s v="CREDITOR"/>
    <n v="0"/>
    <n v="0"/>
    <n v="0"/>
    <n v="0"/>
    <n v="819"/>
  </r>
  <r>
    <n v="40209498"/>
    <s v="N"/>
    <n v="21319017"/>
    <s v="3000010822460023"/>
    <s v="CIVIL"/>
    <d v="2023-06-20T00:00:00"/>
    <d v="2023-07-03T19:01:49"/>
    <m/>
    <d v="2023-07-03T00:00:00"/>
    <n v="1107"/>
    <n v="18252"/>
    <s v="40209498"/>
    <s v="40209498"/>
    <m/>
    <m/>
    <n v="22729560"/>
    <m/>
    <m/>
    <m/>
    <s v="SOLFIN"/>
    <s v="SOLFIN"/>
    <s v="CCMS"/>
    <n v="21319017"/>
    <n v="20154.6"/>
    <m/>
    <s v="N"/>
    <n v="3"/>
    <d v="2023-07-03T19:02:07"/>
    <s v="Y"/>
    <s v="Psychologist"/>
    <s v="Public Law Children"/>
    <s v="Expert Disbursement"/>
    <s v="JMA"/>
    <s v="Y"/>
    <n v="330"/>
    <n v="66"/>
    <x v="3"/>
    <s v="VALIDATED"/>
    <n v="1"/>
    <s v="01.11.80.308.6300.0000"/>
    <n v="330"/>
    <s v="11"/>
    <s v="6300"/>
    <n v="1876.46"/>
    <n v="330"/>
    <s v="CREDITOR"/>
    <n v="0"/>
    <n v="0"/>
    <n v="0"/>
    <n v="0"/>
    <n v="330"/>
  </r>
  <r>
    <n v="40209498"/>
    <s v="N"/>
    <n v="21319017"/>
    <s v="3000010822460023"/>
    <s v="CIVIL"/>
    <d v="2023-06-20T00:00:00"/>
    <d v="2023-07-03T19:01:49"/>
    <m/>
    <d v="2023-07-03T00:00:00"/>
    <n v="1107"/>
    <n v="18252"/>
    <s v="40209498"/>
    <s v="40209498"/>
    <m/>
    <m/>
    <n v="22729560"/>
    <m/>
    <m/>
    <m/>
    <s v="SOLFIN"/>
    <s v="SOLFIN"/>
    <s v="CCMS"/>
    <n v="21319017"/>
    <n v="20154.6"/>
    <m/>
    <s v="N"/>
    <n v="14"/>
    <d v="2023-07-03T19:02:07"/>
    <s v="Y"/>
    <s v="Court Fee"/>
    <s v="Public Law Children"/>
    <s v="Non Expert Disbursement"/>
    <s v="JMA"/>
    <s v="Y"/>
    <n v="53"/>
    <n v="0"/>
    <x v="3"/>
    <s v="VALIDATED"/>
    <n v="1"/>
    <s v="01.11.80.308.6300.0000"/>
    <n v="53"/>
    <s v="11"/>
    <s v="6300"/>
    <n v="1876.46"/>
    <n v="53"/>
    <s v="CREDITOR"/>
    <n v="0"/>
    <n v="0"/>
    <n v="0"/>
    <n v="0"/>
    <n v="53"/>
  </r>
  <r>
    <n v="40209498"/>
    <s v="N"/>
    <n v="21319017"/>
    <s v="3000010822460023"/>
    <s v="CIVIL"/>
    <d v="2023-06-20T00:00:00"/>
    <d v="2023-07-03T19:01:49"/>
    <m/>
    <d v="2023-07-03T00:00:00"/>
    <n v="1107"/>
    <n v="18252"/>
    <s v="40209498"/>
    <s v="40209498"/>
    <m/>
    <m/>
    <n v="22729560"/>
    <m/>
    <m/>
    <m/>
    <s v="SOLFIN"/>
    <s v="SOLFIN"/>
    <s v="CCMS"/>
    <n v="21319017"/>
    <n v="20154.6"/>
    <m/>
    <s v="N"/>
    <n v="12"/>
    <d v="2023-07-03T19:02:07"/>
    <s v="Y"/>
    <s v="Solicitor Travel Expenses"/>
    <s v="Public Law Children"/>
    <s v="Non Expert Disbursement"/>
    <s v="JMA"/>
    <s v="Y"/>
    <n v="6.95"/>
    <n v="1.39"/>
    <x v="3"/>
    <s v="VALIDATED"/>
    <n v="1"/>
    <s v="01.11.80.308.6300.0000"/>
    <n v="6.95"/>
    <s v="11"/>
    <s v="6300"/>
    <n v="1876.46"/>
    <n v="6.95"/>
    <s v="CREDITOR"/>
    <n v="0"/>
    <n v="0"/>
    <n v="0"/>
    <n v="0"/>
    <n v="6.95"/>
  </r>
  <r>
    <n v="44050067"/>
    <s v="N"/>
    <n v="21320117"/>
    <s v="3000011561520019"/>
    <s v="CIVIL"/>
    <d v="2023-06-27T00:00:00"/>
    <d v="2023-07-03T19:04:24"/>
    <m/>
    <d v="2023-07-03T00:00:00"/>
    <n v="1107"/>
    <n v="18252"/>
    <s v="44050067"/>
    <s v="44050067"/>
    <m/>
    <m/>
    <n v="22775264"/>
    <m/>
    <m/>
    <m/>
    <s v="SOLPOA"/>
    <s v="SOLPOA"/>
    <s v="CCMS"/>
    <n v="21320117"/>
    <n v="167"/>
    <m/>
    <s v="N"/>
    <n v="1"/>
    <d v="2023-07-03T19:04:29"/>
    <s v="N"/>
    <s v="Non Expert Disbursement - Private L"/>
    <s v="Non Expert Disbursement - Priv"/>
    <s v="Non Expert Disbursement"/>
    <s v="pj"/>
    <s v="N"/>
    <n v="167"/>
    <n v="0"/>
    <x v="3"/>
    <s v="VALIDATED"/>
    <n v="1"/>
    <s v="01.11.80.307.2012.0000"/>
    <n v="167"/>
    <s v="11"/>
    <s v="2012"/>
    <n v="1876.46"/>
    <n v="167"/>
    <s v="CREDITOR"/>
    <n v="167"/>
    <n v="0"/>
    <n v="0"/>
    <n v="0"/>
    <n v="0"/>
  </r>
  <r>
    <n v="40209498"/>
    <s v="N"/>
    <n v="21319017"/>
    <s v="3000010822460023"/>
    <s v="CIVIL"/>
    <d v="2023-06-20T00:00:00"/>
    <d v="2023-07-03T19:01:49"/>
    <m/>
    <d v="2023-07-03T00:00:00"/>
    <n v="1107"/>
    <n v="18252"/>
    <s v="40209498"/>
    <s v="40209498"/>
    <m/>
    <m/>
    <n v="22729560"/>
    <m/>
    <m/>
    <m/>
    <s v="SOLFIN"/>
    <s v="SOLFIN"/>
    <s v="CCMS"/>
    <n v="21319017"/>
    <n v="20154.6"/>
    <m/>
    <s v="N"/>
    <n v="27"/>
    <d v="2023-07-03T19:02:07"/>
    <s v="Y"/>
    <s v="Advocates Meeting"/>
    <s v="Public Law Children"/>
    <s v="Advocacy"/>
    <s v="JMA"/>
    <s v="Y"/>
    <n v="140.99"/>
    <n v="28.2"/>
    <x v="3"/>
    <s v="VALIDATED"/>
    <n v="1"/>
    <s v="01.11.80.308.6100.0000"/>
    <n v="140.99"/>
    <s v="11"/>
    <s v="6100"/>
    <n v="1876.46"/>
    <n v="140.99"/>
    <s v="CREDITOR"/>
    <n v="0"/>
    <n v="0"/>
    <n v="0"/>
    <n v="0"/>
    <n v="140.99"/>
  </r>
  <r>
    <n v="40209498"/>
    <s v="N"/>
    <n v="21319017"/>
    <s v="3000010822460023"/>
    <s v="CIVIL"/>
    <d v="2023-06-20T00:00:00"/>
    <d v="2023-07-03T19:01:49"/>
    <m/>
    <d v="2023-07-03T00:00:00"/>
    <n v="1107"/>
    <n v="18252"/>
    <s v="40209498"/>
    <s v="40209498"/>
    <m/>
    <m/>
    <n v="22729560"/>
    <m/>
    <m/>
    <m/>
    <s v="SOLFIN"/>
    <s v="SOLFIN"/>
    <s v="CCMS"/>
    <n v="21319017"/>
    <n v="20154.6"/>
    <m/>
    <s v="N"/>
    <n v="26"/>
    <d v="2023-07-03T19:02:07"/>
    <s v="Y"/>
    <s v="Hearing Unit 1.01 - 2.30 Hours"/>
    <s v="Public Law Children"/>
    <s v="Advocacy"/>
    <s v="JMA"/>
    <s v="Y"/>
    <n v="238.46"/>
    <n v="47.69"/>
    <x v="3"/>
    <s v="VALIDATED"/>
    <n v="1"/>
    <s v="01.11.80.308.6100.0000"/>
    <n v="238.46"/>
    <s v="11"/>
    <s v="6100"/>
    <n v="1876.46"/>
    <n v="238.46"/>
    <s v="CREDITOR"/>
    <n v="0"/>
    <n v="0"/>
    <n v="0"/>
    <n v="0"/>
    <n v="238.46"/>
  </r>
  <r>
    <n v="40209498"/>
    <s v="N"/>
    <n v="21319017"/>
    <s v="3000010822460023"/>
    <s v="CIVIL"/>
    <d v="2023-06-20T00:00:00"/>
    <d v="2023-07-03T19:01:49"/>
    <m/>
    <d v="2023-07-03T00:00:00"/>
    <n v="1107"/>
    <n v="18252"/>
    <s v="40209498"/>
    <s v="40209498"/>
    <m/>
    <m/>
    <n v="22729560"/>
    <m/>
    <m/>
    <m/>
    <s v="SOLFIN"/>
    <s v="SOLFIN"/>
    <s v="CCMS"/>
    <n v="21319017"/>
    <n v="20154.6"/>
    <m/>
    <s v="N"/>
    <n v="21"/>
    <d v="2023-07-03T19:02:07"/>
    <s v="Y"/>
    <s v="Advocates Meeting"/>
    <s v="Public Law Children"/>
    <s v="Advocacy"/>
    <s v="JMA"/>
    <s v="Y"/>
    <n v="140.99"/>
    <n v="28.2"/>
    <x v="3"/>
    <s v="VALIDATED"/>
    <n v="1"/>
    <s v="01.11.80.308.6100.0000"/>
    <n v="140.99"/>
    <s v="11"/>
    <s v="6100"/>
    <n v="1876.46"/>
    <n v="140.99"/>
    <s v="CREDITOR"/>
    <n v="0"/>
    <n v="0"/>
    <n v="0"/>
    <n v="0"/>
    <n v="140.99"/>
  </r>
  <r>
    <n v="40209498"/>
    <s v="N"/>
    <n v="21319017"/>
    <s v="3000010822460023"/>
    <s v="CIVIL"/>
    <d v="2023-06-20T00:00:00"/>
    <d v="2023-07-03T19:01:49"/>
    <m/>
    <d v="2023-07-03T00:00:00"/>
    <n v="1107"/>
    <n v="18252"/>
    <s v="40209498"/>
    <s v="40209498"/>
    <m/>
    <m/>
    <n v="22729560"/>
    <m/>
    <m/>
    <m/>
    <s v="SOLFIN"/>
    <s v="SOLFIN"/>
    <s v="CCMS"/>
    <n v="21319017"/>
    <n v="20154.6"/>
    <m/>
    <s v="N"/>
    <n v="17"/>
    <d v="2023-07-03T19:02:07"/>
    <s v="Y"/>
    <s v="Court Fee"/>
    <s v="Public Law Children"/>
    <s v="Non Expert Disbursement"/>
    <s v="JMA"/>
    <s v="Y"/>
    <n v="167"/>
    <n v="0"/>
    <x v="3"/>
    <s v="VALIDATED"/>
    <n v="1"/>
    <s v="01.11.80.308.6300.0000"/>
    <n v="167"/>
    <s v="11"/>
    <s v="6300"/>
    <n v="1876.46"/>
    <n v="167"/>
    <s v="CREDITOR"/>
    <n v="0"/>
    <n v="0"/>
    <n v="0"/>
    <n v="0"/>
    <n v="167"/>
  </r>
  <r>
    <n v="40209498"/>
    <s v="N"/>
    <n v="21319017"/>
    <s v="3000010822460023"/>
    <s v="CIVIL"/>
    <d v="2023-06-20T00:00:00"/>
    <d v="2023-07-03T19:01:49"/>
    <m/>
    <d v="2023-07-03T00:00:00"/>
    <n v="1107"/>
    <n v="18252"/>
    <s v="40209498"/>
    <s v="40209498"/>
    <m/>
    <m/>
    <n v="22729560"/>
    <m/>
    <m/>
    <m/>
    <s v="SOLFIN"/>
    <s v="SOLFIN"/>
    <s v="CCMS"/>
    <n v="21319017"/>
    <n v="20154.6"/>
    <m/>
    <s v="N"/>
    <n v="2"/>
    <d v="2023-07-03T19:02:07"/>
    <s v="Y"/>
    <s v="Interim Hearing Court Bundle/Advoca"/>
    <s v="Public Law Children"/>
    <s v="Advocacy"/>
    <s v="JMA"/>
    <s v="Y"/>
    <n v="89.09999999999999"/>
    <n v="17.82"/>
    <x v="3"/>
    <s v="VALIDATED"/>
    <n v="1"/>
    <s v="01.11.80.308.6100.0000"/>
    <n v="89.09999999999999"/>
    <s v="11"/>
    <s v="6100"/>
    <n v="1876.46"/>
    <n v="89.09999999999999"/>
    <s v="CREDITOR"/>
    <n v="0"/>
    <n v="0"/>
    <n v="0"/>
    <n v="0"/>
    <n v="89.09999999999999"/>
  </r>
  <r>
    <n v="40209498"/>
    <s v="N"/>
    <n v="21319017"/>
    <s v="3000010822460023"/>
    <s v="CIVIL"/>
    <d v="2023-06-20T00:00:00"/>
    <d v="2023-07-03T19:01:49"/>
    <m/>
    <d v="2023-07-03T00:00:00"/>
    <n v="1107"/>
    <n v="18252"/>
    <s v="40209498"/>
    <s v="40209498"/>
    <m/>
    <m/>
    <n v="22729560"/>
    <m/>
    <m/>
    <m/>
    <s v="SOLFIN"/>
    <s v="SOLFIN"/>
    <s v="CCMS"/>
    <n v="21319017"/>
    <n v="20154.6"/>
    <m/>
    <s v="N"/>
    <n v="18"/>
    <d v="2023-07-03T19:02:07"/>
    <s v="Y"/>
    <s v="Court Fee"/>
    <s v="Public Law Children"/>
    <s v="Non Expert Disbursement"/>
    <s v="JMA"/>
    <s v="Y"/>
    <n v="167"/>
    <n v="0"/>
    <x v="3"/>
    <s v="VALIDATED"/>
    <n v="1"/>
    <s v="01.11.80.308.6300.0000"/>
    <n v="167"/>
    <s v="11"/>
    <s v="6300"/>
    <n v="1876.46"/>
    <n v="167"/>
    <s v="CREDITOR"/>
    <n v="0"/>
    <n v="0"/>
    <n v="0"/>
    <n v="0"/>
    <n v="167"/>
  </r>
  <r>
    <n v="40209498"/>
    <s v="N"/>
    <n v="21319017"/>
    <s v="3000010822460023"/>
    <s v="CIVIL"/>
    <d v="2023-06-20T00:00:00"/>
    <d v="2023-07-03T19:01:49"/>
    <m/>
    <d v="2023-07-03T00:00:00"/>
    <n v="1107"/>
    <n v="18252"/>
    <s v="40209498"/>
    <s v="40209498"/>
    <m/>
    <m/>
    <n v="22729560"/>
    <m/>
    <m/>
    <m/>
    <s v="SOLFIN"/>
    <s v="SOLFIN"/>
    <s v="CCMS"/>
    <n v="21319017"/>
    <n v="20154.6"/>
    <m/>
    <s v="N"/>
    <n v="16"/>
    <d v="2023-07-03T19:02:07"/>
    <s v="Y"/>
    <s v="Court Fee"/>
    <s v="Public Law Children"/>
    <s v="Non Expert Disbursement"/>
    <s v="JMA"/>
    <s v="Y"/>
    <n v="167"/>
    <n v="0"/>
    <x v="3"/>
    <s v="VALIDATED"/>
    <n v="1"/>
    <s v="01.11.80.308.6300.0000"/>
    <n v="167"/>
    <s v="11"/>
    <s v="6300"/>
    <n v="1876.46"/>
    <n v="167"/>
    <s v="CREDITOR"/>
    <n v="0"/>
    <n v="0"/>
    <n v="0"/>
    <n v="0"/>
    <n v="167"/>
  </r>
  <r>
    <n v="40209498"/>
    <s v="N"/>
    <n v="21319017"/>
    <s v="3000010822460023"/>
    <s v="CIVIL"/>
    <d v="2023-06-20T00:00:00"/>
    <d v="2023-07-03T19:01:49"/>
    <m/>
    <d v="2023-07-03T00:00:00"/>
    <n v="1107"/>
    <n v="18252"/>
    <s v="40209498"/>
    <s v="40209498"/>
    <m/>
    <m/>
    <n v="22729560"/>
    <m/>
    <m/>
    <m/>
    <s v="SOLFIN"/>
    <s v="SOLFIN"/>
    <s v="CCMS"/>
    <n v="21319017"/>
    <n v="20154.6"/>
    <m/>
    <s v="N"/>
    <n v="19"/>
    <d v="2023-07-03T19:02:07"/>
    <s v="Y"/>
    <s v="Advocates Meeting"/>
    <s v="Public Law Children"/>
    <s v="Advocacy"/>
    <s v="JMA"/>
    <s v="Y"/>
    <n v="140.99"/>
    <n v="28.2"/>
    <x v="3"/>
    <s v="VALIDATED"/>
    <n v="1"/>
    <s v="01.11.80.308.6100.0000"/>
    <n v="140.99"/>
    <s v="11"/>
    <s v="6100"/>
    <n v="1876.46"/>
    <n v="140.99"/>
    <s v="CREDITOR"/>
    <n v="0"/>
    <n v="0"/>
    <n v="0"/>
    <n v="0"/>
    <n v="140.99"/>
  </r>
  <r>
    <n v="40209498"/>
    <s v="N"/>
    <n v="21319017"/>
    <s v="3000010822460023"/>
    <s v="CIVIL"/>
    <d v="2023-06-20T00:00:00"/>
    <d v="2023-07-03T19:01:49"/>
    <m/>
    <d v="2023-07-03T00:00:00"/>
    <n v="1107"/>
    <n v="18252"/>
    <s v="40209498"/>
    <s v="40209498"/>
    <m/>
    <m/>
    <n v="22729560"/>
    <m/>
    <m/>
    <m/>
    <s v="SOLFIN"/>
    <s v="SOLFIN"/>
    <s v="CCMS"/>
    <n v="21319017"/>
    <n v="20154.6"/>
    <m/>
    <s v="N"/>
    <n v="13"/>
    <d v="2023-07-03T19:02:07"/>
    <s v="Y"/>
    <s v="Court Fee"/>
    <s v="Public Law Children"/>
    <s v="Non Expert Disbursement"/>
    <s v="JMA"/>
    <s v="Y"/>
    <n v="155"/>
    <n v="0"/>
    <x v="3"/>
    <s v="VALIDATED"/>
    <n v="1"/>
    <s v="01.11.80.308.6300.0000"/>
    <n v="155"/>
    <s v="11"/>
    <s v="6300"/>
    <n v="1876.46"/>
    <n v="155"/>
    <s v="CREDITOR"/>
    <n v="0"/>
    <n v="0"/>
    <n v="0"/>
    <n v="0"/>
    <n v="155"/>
  </r>
  <r>
    <n v="40209498"/>
    <s v="N"/>
    <n v="21319017"/>
    <s v="3000010822460023"/>
    <s v="CIVIL"/>
    <d v="2023-06-20T00:00:00"/>
    <d v="2023-07-03T19:01:49"/>
    <m/>
    <d v="2023-07-03T00:00:00"/>
    <n v="1107"/>
    <n v="18252"/>
    <s v="40209498"/>
    <s v="40209498"/>
    <m/>
    <m/>
    <n v="22729560"/>
    <m/>
    <m/>
    <m/>
    <s v="SOLFIN"/>
    <s v="SOLFIN"/>
    <s v="CCMS"/>
    <n v="21319017"/>
    <n v="20154.6"/>
    <m/>
    <s v="N"/>
    <n v="36"/>
    <d v="2023-07-03T19:02:07"/>
    <s v="Y"/>
    <s v="Hearing Unit 1.01 - 2.30 Hours"/>
    <s v="Public Law Children"/>
    <s v="Advocacy"/>
    <s v="JMA"/>
    <s v="Y"/>
    <n v="238.46"/>
    <n v="47.69"/>
    <x v="3"/>
    <s v="VALIDATED"/>
    <n v="1"/>
    <s v="01.11.80.308.6100.0000"/>
    <n v="238.46"/>
    <s v="11"/>
    <s v="6100"/>
    <n v="1876.46"/>
    <n v="238.46"/>
    <s v="CREDITOR"/>
    <n v="0"/>
    <n v="0"/>
    <n v="0"/>
    <n v="0"/>
    <n v="238.46"/>
  </r>
  <r>
    <n v="40209498"/>
    <s v="N"/>
    <n v="21324423"/>
    <s v="3000010822460003RC"/>
    <s v="CIVIL"/>
    <d v="2023-06-20T00:00:00"/>
    <d v="2023-07-03T19:42:50"/>
    <m/>
    <d v="2023-07-03T00:00:00"/>
    <n v="1107"/>
    <n v="18252"/>
    <s v="40209498"/>
    <s v="40209498"/>
    <m/>
    <m/>
    <m/>
    <m/>
    <m/>
    <m/>
    <s v="SOLRECOUP"/>
    <s v="SOLRECOUP"/>
    <s v="POARECOUP"/>
    <n v="21324423"/>
    <n v="-155"/>
    <m/>
    <s v="Y"/>
    <n v="1"/>
    <d v="2023-07-03T19:42:51"/>
    <s v="N"/>
    <m/>
    <m/>
    <s v="Non Expert Disbursement"/>
    <m/>
    <s v="N"/>
    <n v="-155"/>
    <n v="0"/>
    <x v="3"/>
    <s v="VALIDATED"/>
    <n v="1"/>
    <s v="01.11.80.308.2013.0000"/>
    <n v="-155"/>
    <s v="11"/>
    <s v="2013"/>
    <n v="1876.46"/>
    <n v="-155"/>
    <s v="CREDITOR"/>
    <n v="0"/>
    <n v="0"/>
    <n v="-155"/>
    <n v="0"/>
    <n v="0"/>
  </r>
  <r>
    <n v="40209498"/>
    <s v="N"/>
    <n v="21324423"/>
    <s v="3000010822460003RC"/>
    <s v="CIVIL"/>
    <d v="2023-06-20T00:00:00"/>
    <d v="2023-07-03T19:42:50"/>
    <m/>
    <d v="2023-07-03T00:00:00"/>
    <n v="1107"/>
    <n v="18252"/>
    <s v="40209498"/>
    <s v="40209498"/>
    <m/>
    <m/>
    <m/>
    <m/>
    <m/>
    <m/>
    <s v="SOLRECOUP"/>
    <s v="SOLRECOUP"/>
    <s v="POARECOUP"/>
    <n v="21324423"/>
    <n v="-155"/>
    <m/>
    <s v="Y"/>
    <n v="2"/>
    <d v="2023-07-03T19:42:51"/>
    <s v="N"/>
    <m/>
    <m/>
    <s v="Non Expert Disbursement"/>
    <m/>
    <s v="N"/>
    <n v="0"/>
    <n v="0"/>
    <x v="3"/>
    <s v="VALIDATED"/>
    <n v="1"/>
    <s v="01.11.80.000.0000.0000"/>
    <n v="0"/>
    <s v="11"/>
    <s v="0000"/>
    <n v="1876.46"/>
    <n v="0"/>
    <s v="CREDITOR"/>
    <n v="0"/>
    <n v="0"/>
    <n v="0"/>
    <n v="0"/>
    <n v="0"/>
  </r>
  <r>
    <n v="40209498"/>
    <s v="N"/>
    <n v="21324424"/>
    <s v="3000010822460004RC"/>
    <s v="CIVIL"/>
    <d v="2023-06-20T00:00:00"/>
    <d v="2023-07-03T19:42:50"/>
    <m/>
    <d v="2023-07-03T00:00:00"/>
    <n v="1107"/>
    <n v="18252"/>
    <s v="40209498"/>
    <s v="40209498"/>
    <m/>
    <m/>
    <m/>
    <m/>
    <m/>
    <m/>
    <s v="SOLRECOUP"/>
    <s v="SOLRECOUP"/>
    <s v="POARECOUP"/>
    <n v="21324424"/>
    <n v="-3092.1"/>
    <m/>
    <s v="Y"/>
    <n v="1"/>
    <d v="2023-07-03T19:42:51"/>
    <s v="N"/>
    <m/>
    <m/>
    <s v="Profit Cost"/>
    <m/>
    <s v="N"/>
    <n v="-2576.75"/>
    <n v="0"/>
    <x v="3"/>
    <s v="VALIDATED"/>
    <n v="1"/>
    <s v="01.11.80.308.2013.0000"/>
    <n v="-2576.75"/>
    <s v="11"/>
    <s v="2013"/>
    <n v="1876.46"/>
    <n v="-2576.75"/>
    <s v="CREDITOR"/>
    <n v="0"/>
    <n v="0"/>
    <n v="-2576.75"/>
    <n v="-644.1875"/>
    <n v="0"/>
  </r>
  <r>
    <n v="40209498"/>
    <s v="N"/>
    <n v="21324424"/>
    <s v="3000010822460004RC"/>
    <s v="CIVIL"/>
    <d v="2023-06-20T00:00:00"/>
    <d v="2023-07-03T19:42:50"/>
    <m/>
    <d v="2023-07-03T00:00:00"/>
    <n v="1107"/>
    <n v="18252"/>
    <s v="40209498"/>
    <s v="40209498"/>
    <m/>
    <m/>
    <m/>
    <m/>
    <m/>
    <m/>
    <s v="SOLRECOUP"/>
    <s v="SOLRECOUP"/>
    <s v="POARECOUP"/>
    <n v="21324424"/>
    <n v="-3092.1"/>
    <m/>
    <s v="Y"/>
    <n v="2"/>
    <d v="2023-07-03T19:42:51"/>
    <s v="N"/>
    <m/>
    <m/>
    <s v="Profit Cost"/>
    <m/>
    <s v="N"/>
    <n v="0"/>
    <n v="-515.35"/>
    <x v="3"/>
    <s v="VALIDATED"/>
    <n v="1"/>
    <s v="01.11.80.308.2013.0000"/>
    <n v="-515.35"/>
    <s v="11"/>
    <s v="2013"/>
    <n v="1876.46"/>
    <n v="-515.35"/>
    <s v="CREDITOR"/>
    <n v="0"/>
    <n v="0"/>
    <n v="-515.35"/>
    <n v="-128.8375"/>
    <n v="0"/>
  </r>
  <r>
    <n v="40209498"/>
    <s v="N"/>
    <n v="21324425"/>
    <s v="3000010822460005RC"/>
    <s v="CIVIL"/>
    <d v="2023-06-20T00:00:00"/>
    <d v="2023-07-03T19:42:50"/>
    <m/>
    <d v="2023-07-03T00:00:00"/>
    <n v="1107"/>
    <n v="18252"/>
    <s v="40209498"/>
    <s v="40209498"/>
    <m/>
    <m/>
    <m/>
    <m/>
    <m/>
    <m/>
    <s v="SOLRECOUP"/>
    <s v="SOLRECOUP"/>
    <s v="POARECOUP"/>
    <n v="21324425"/>
    <n v="-50"/>
    <m/>
    <s v="Y"/>
    <n v="1"/>
    <d v="2023-07-03T19:42:51"/>
    <s v="N"/>
    <m/>
    <m/>
    <s v="Non Expert Disbursement"/>
    <m/>
    <s v="N"/>
    <n v="-50"/>
    <n v="0"/>
    <x v="3"/>
    <s v="VALIDATED"/>
    <n v="1"/>
    <s v="01.11.80.308.2013.0000"/>
    <n v="-50"/>
    <s v="11"/>
    <s v="2013"/>
    <n v="1876.46"/>
    <n v="-50"/>
    <s v="CREDITOR"/>
    <n v="0"/>
    <n v="0"/>
    <n v="-50"/>
    <n v="0"/>
    <n v="0"/>
  </r>
  <r>
    <n v="40209498"/>
    <s v="N"/>
    <n v="21324425"/>
    <s v="3000010822460005RC"/>
    <s v="CIVIL"/>
    <d v="2023-06-20T00:00:00"/>
    <d v="2023-07-03T19:42:50"/>
    <m/>
    <d v="2023-07-03T00:00:00"/>
    <n v="1107"/>
    <n v="18252"/>
    <s v="40209498"/>
    <s v="40209498"/>
    <m/>
    <m/>
    <m/>
    <m/>
    <m/>
    <m/>
    <s v="SOLRECOUP"/>
    <s v="SOLRECOUP"/>
    <s v="POARECOUP"/>
    <n v="21324425"/>
    <n v="-50"/>
    <m/>
    <s v="Y"/>
    <n v="2"/>
    <d v="2023-07-03T19:42:51"/>
    <s v="N"/>
    <m/>
    <m/>
    <s v="Non Expert Disbursement"/>
    <m/>
    <s v="N"/>
    <n v="0"/>
    <n v="0"/>
    <x v="3"/>
    <s v="VALIDATED"/>
    <n v="1"/>
    <s v="01.11.80.000.0000.0000"/>
    <n v="0"/>
    <s v="11"/>
    <s v="0000"/>
    <n v="1876.46"/>
    <n v="0"/>
    <s v="CREDITOR"/>
    <n v="0"/>
    <n v="0"/>
    <n v="0"/>
    <n v="0"/>
    <n v="0"/>
  </r>
  <r>
    <n v="40209498"/>
    <s v="N"/>
    <n v="21324426"/>
    <s v="3000010822460007RC"/>
    <s v="CIVIL"/>
    <d v="2023-06-20T00:00:00"/>
    <d v="2023-07-03T19:42:50"/>
    <m/>
    <d v="2023-07-03T00:00:00"/>
    <n v="1107"/>
    <n v="18252"/>
    <s v="40209498"/>
    <s v="40209498"/>
    <m/>
    <m/>
    <m/>
    <m/>
    <m/>
    <m/>
    <s v="SOLRECOUP"/>
    <s v="SOLRECOUP"/>
    <s v="POARECOUP"/>
    <n v="21324426"/>
    <n v="-982.8"/>
    <m/>
    <s v="Y"/>
    <n v="1"/>
    <d v="2023-07-03T19:42:51"/>
    <s v="N"/>
    <m/>
    <m/>
    <s v="Expert Disbursement"/>
    <m/>
    <s v="N"/>
    <n v="-819"/>
    <n v="0"/>
    <x v="3"/>
    <s v="VALIDATED"/>
    <n v="1"/>
    <s v="01.11.80.308.2013.0000"/>
    <n v="-819"/>
    <s v="11"/>
    <s v="2013"/>
    <n v="1876.46"/>
    <n v="-819"/>
    <s v="CREDITOR"/>
    <n v="0"/>
    <n v="0"/>
    <n v="-819"/>
    <n v="0"/>
    <n v="0"/>
  </r>
  <r>
    <n v="40209498"/>
    <s v="N"/>
    <n v="21324426"/>
    <s v="3000010822460007RC"/>
    <s v="CIVIL"/>
    <d v="2023-06-20T00:00:00"/>
    <d v="2023-07-03T19:42:50"/>
    <m/>
    <d v="2023-07-03T00:00:00"/>
    <n v="1107"/>
    <n v="18252"/>
    <s v="40209498"/>
    <s v="40209498"/>
    <m/>
    <m/>
    <m/>
    <m/>
    <m/>
    <m/>
    <s v="SOLRECOUP"/>
    <s v="SOLRECOUP"/>
    <s v="POARECOUP"/>
    <n v="21324426"/>
    <n v="-982.8"/>
    <m/>
    <s v="Y"/>
    <n v="2"/>
    <d v="2023-07-03T19:42:51"/>
    <s v="N"/>
    <m/>
    <m/>
    <s v="Expert Disbursement"/>
    <m/>
    <s v="N"/>
    <n v="0"/>
    <n v="-163.8"/>
    <x v="3"/>
    <s v="VALIDATED"/>
    <n v="1"/>
    <s v="01.11.80.308.2013.0000"/>
    <n v="-163.8"/>
    <s v="11"/>
    <s v="2013"/>
    <n v="1876.46"/>
    <n v="-163.8"/>
    <s v="CREDITOR"/>
    <n v="0"/>
    <n v="0"/>
    <n v="-163.8"/>
    <n v="0"/>
    <n v="0"/>
  </r>
  <r>
    <n v="40209498"/>
    <s v="N"/>
    <n v="21324427"/>
    <s v="3000010822460008RC"/>
    <s v="CIVIL"/>
    <d v="2023-06-20T00:00:00"/>
    <d v="2023-07-03T19:42:50"/>
    <m/>
    <d v="2023-07-03T00:00:00"/>
    <n v="1107"/>
    <n v="18252"/>
    <s v="40209498"/>
    <s v="40209498"/>
    <m/>
    <m/>
    <m/>
    <m/>
    <m/>
    <m/>
    <s v="SOLRECOUP"/>
    <s v="SOLRECOUP"/>
    <s v="POARECOUP"/>
    <n v="21324427"/>
    <n v="-168.48"/>
    <m/>
    <s v="Y"/>
    <n v="2"/>
    <d v="2023-07-03T19:42:51"/>
    <s v="N"/>
    <m/>
    <m/>
    <s v="Expert Disbursement"/>
    <m/>
    <s v="N"/>
    <n v="0"/>
    <n v="-28.08"/>
    <x v="3"/>
    <s v="VALIDATED"/>
    <n v="1"/>
    <s v="01.11.80.308.2013.0000"/>
    <n v="-28.08"/>
    <s v="11"/>
    <s v="2013"/>
    <n v="1876.46"/>
    <n v="-28.08"/>
    <s v="CREDITOR"/>
    <n v="0"/>
    <n v="0"/>
    <n v="-28.08"/>
    <n v="0"/>
    <n v="0"/>
  </r>
  <r>
    <n v="40209498"/>
    <s v="N"/>
    <n v="21324427"/>
    <s v="3000010822460008RC"/>
    <s v="CIVIL"/>
    <d v="2023-06-20T00:00:00"/>
    <d v="2023-07-03T19:42:50"/>
    <m/>
    <d v="2023-07-03T00:00:00"/>
    <n v="1107"/>
    <n v="18252"/>
    <s v="40209498"/>
    <s v="40209498"/>
    <m/>
    <m/>
    <m/>
    <m/>
    <m/>
    <m/>
    <s v="SOLRECOUP"/>
    <s v="SOLRECOUP"/>
    <s v="POARECOUP"/>
    <n v="21324427"/>
    <n v="-168.48"/>
    <m/>
    <s v="Y"/>
    <n v="1"/>
    <d v="2023-07-03T19:42:51"/>
    <s v="N"/>
    <m/>
    <m/>
    <s v="Expert Disbursement"/>
    <m/>
    <s v="N"/>
    <n v="-140.4"/>
    <n v="0"/>
    <x v="3"/>
    <s v="VALIDATED"/>
    <n v="1"/>
    <s v="01.11.80.308.2013.0000"/>
    <n v="-140.4"/>
    <s v="11"/>
    <s v="2013"/>
    <n v="1876.46"/>
    <n v="-140.4"/>
    <s v="CREDITOR"/>
    <n v="0"/>
    <n v="0"/>
    <n v="-140.4"/>
    <n v="0"/>
    <n v="0"/>
  </r>
  <r>
    <n v="40209498"/>
    <s v="N"/>
    <n v="21324428"/>
    <s v="3000010822460006RC"/>
    <s v="CIVIL"/>
    <d v="2023-06-20T00:00:00"/>
    <d v="2023-07-03T19:42:50"/>
    <m/>
    <d v="2023-07-03T00:00:00"/>
    <n v="1107"/>
    <n v="18252"/>
    <s v="40209498"/>
    <s v="40209498"/>
    <m/>
    <m/>
    <m/>
    <m/>
    <m/>
    <m/>
    <s v="SOLRECOUP"/>
    <s v="SOLRECOUP"/>
    <s v="POARECOUP"/>
    <n v="21324428"/>
    <n v="-155"/>
    <m/>
    <s v="Y"/>
    <n v="1"/>
    <d v="2023-07-03T19:42:51"/>
    <s v="N"/>
    <m/>
    <m/>
    <s v="Non Expert Disbursement"/>
    <m/>
    <s v="N"/>
    <n v="-155"/>
    <n v="0"/>
    <x v="3"/>
    <s v="VALIDATED"/>
    <n v="1"/>
    <s v="01.11.80.308.2013.0000"/>
    <n v="-155"/>
    <s v="11"/>
    <s v="2013"/>
    <n v="1876.46"/>
    <n v="-155"/>
    <s v="CREDITOR"/>
    <n v="0"/>
    <n v="0"/>
    <n v="-155"/>
    <n v="0"/>
    <n v="0"/>
  </r>
  <r>
    <n v="40209498"/>
    <s v="N"/>
    <n v="21324428"/>
    <s v="3000010822460006RC"/>
    <s v="CIVIL"/>
    <d v="2023-06-20T00:00:00"/>
    <d v="2023-07-03T19:42:50"/>
    <m/>
    <d v="2023-07-03T00:00:00"/>
    <n v="1107"/>
    <n v="18252"/>
    <s v="40209498"/>
    <s v="40209498"/>
    <m/>
    <m/>
    <m/>
    <m/>
    <m/>
    <m/>
    <s v="SOLRECOUP"/>
    <s v="SOLRECOUP"/>
    <s v="POARECOUP"/>
    <n v="21324428"/>
    <n v="-155"/>
    <m/>
    <s v="Y"/>
    <n v="2"/>
    <d v="2023-07-03T19:42:51"/>
    <s v="N"/>
    <m/>
    <m/>
    <s v="Non Expert Disbursement"/>
    <m/>
    <s v="N"/>
    <n v="0"/>
    <n v="0"/>
    <x v="3"/>
    <s v="VALIDATED"/>
    <n v="1"/>
    <s v="01.11.80.000.0000.0000"/>
    <n v="0"/>
    <s v="11"/>
    <s v="0000"/>
    <n v="1876.46"/>
    <n v="0"/>
    <s v="CREDITOR"/>
    <n v="0"/>
    <n v="0"/>
    <n v="0"/>
    <n v="0"/>
    <n v="0"/>
  </r>
  <r>
    <n v="40209498"/>
    <s v="N"/>
    <n v="21324429"/>
    <s v="3000010822460014RC"/>
    <s v="CIVIL"/>
    <d v="2023-06-20T00:00:00"/>
    <d v="2023-07-03T19:42:50"/>
    <m/>
    <d v="2023-07-03T00:00:00"/>
    <n v="1107"/>
    <n v="18252"/>
    <s v="40209498"/>
    <s v="40209498"/>
    <m/>
    <m/>
    <m/>
    <m/>
    <m/>
    <m/>
    <s v="SOLRECOUP"/>
    <s v="SOLRECOUP"/>
    <s v="POARECOUP"/>
    <n v="21324429"/>
    <n v="-167"/>
    <m/>
    <s v="Y"/>
    <n v="1"/>
    <d v="2023-07-03T19:42:51"/>
    <s v="N"/>
    <m/>
    <m/>
    <s v="Non Expert Disbursement"/>
    <m/>
    <s v="N"/>
    <n v="-167"/>
    <n v="0"/>
    <x v="3"/>
    <s v="VALIDATED"/>
    <n v="1"/>
    <s v="01.11.80.308.2013.0000"/>
    <n v="-167"/>
    <s v="11"/>
    <s v="2013"/>
    <n v="1876.46"/>
    <n v="-167"/>
    <s v="CREDITOR"/>
    <n v="0"/>
    <n v="0"/>
    <n v="-167"/>
    <n v="0"/>
    <n v="0"/>
  </r>
  <r>
    <n v="40209498"/>
    <s v="N"/>
    <n v="21324429"/>
    <s v="3000010822460014RC"/>
    <s v="CIVIL"/>
    <d v="2023-06-20T00:00:00"/>
    <d v="2023-07-03T19:42:50"/>
    <m/>
    <d v="2023-07-03T00:00:00"/>
    <n v="1107"/>
    <n v="18252"/>
    <s v="40209498"/>
    <s v="40209498"/>
    <m/>
    <m/>
    <m/>
    <m/>
    <m/>
    <m/>
    <s v="SOLRECOUP"/>
    <s v="SOLRECOUP"/>
    <s v="POARECOUP"/>
    <n v="21324429"/>
    <n v="-167"/>
    <m/>
    <s v="Y"/>
    <n v="2"/>
    <d v="2023-07-03T19:42:51"/>
    <s v="N"/>
    <m/>
    <m/>
    <s v="Non Expert Disbursement"/>
    <m/>
    <s v="N"/>
    <n v="0"/>
    <n v="0"/>
    <x v="3"/>
    <s v="VALIDATED"/>
    <n v="1"/>
    <s v="01.11.80.000.0000.0000"/>
    <n v="0"/>
    <s v="11"/>
    <s v="0000"/>
    <n v="1876.46"/>
    <n v="0"/>
    <s v="CREDITOR"/>
    <n v="0"/>
    <n v="0"/>
    <n v="0"/>
    <n v="0"/>
    <n v="0"/>
  </r>
  <r>
    <n v="40209498"/>
    <s v="N"/>
    <n v="21324430"/>
    <s v="3000010822460017RC"/>
    <s v="CIVIL"/>
    <d v="2023-06-20T00:00:00"/>
    <d v="2023-07-03T19:42:50"/>
    <m/>
    <d v="2023-07-03T00:00:00"/>
    <n v="1107"/>
    <n v="18252"/>
    <s v="40209498"/>
    <s v="40209498"/>
    <m/>
    <m/>
    <m/>
    <m/>
    <m/>
    <m/>
    <s v="SOLRECOUP"/>
    <s v="SOLRECOUP"/>
    <s v="POARECOUP"/>
    <n v="21324430"/>
    <n v="-167"/>
    <m/>
    <s v="Y"/>
    <n v="1"/>
    <d v="2023-07-03T19:42:51"/>
    <s v="N"/>
    <m/>
    <m/>
    <s v="Non Expert Disbursement"/>
    <m/>
    <s v="N"/>
    <n v="-167"/>
    <n v="0"/>
    <x v="3"/>
    <s v="VALIDATED"/>
    <n v="1"/>
    <s v="01.11.80.308.2013.0000"/>
    <n v="-167"/>
    <s v="11"/>
    <s v="2013"/>
    <n v="1876.46"/>
    <n v="-167"/>
    <s v="CREDITOR"/>
    <n v="0"/>
    <n v="0"/>
    <n v="-167"/>
    <n v="0"/>
    <n v="0"/>
  </r>
  <r>
    <n v="40209498"/>
    <s v="N"/>
    <n v="21324430"/>
    <s v="3000010822460017RC"/>
    <s v="CIVIL"/>
    <d v="2023-06-20T00:00:00"/>
    <d v="2023-07-03T19:42:50"/>
    <m/>
    <d v="2023-07-03T00:00:00"/>
    <n v="1107"/>
    <n v="18252"/>
    <s v="40209498"/>
    <s v="40209498"/>
    <m/>
    <m/>
    <m/>
    <m/>
    <m/>
    <m/>
    <s v="SOLRECOUP"/>
    <s v="SOLRECOUP"/>
    <s v="POARECOUP"/>
    <n v="21324430"/>
    <n v="-167"/>
    <m/>
    <s v="Y"/>
    <n v="2"/>
    <d v="2023-07-03T19:42:51"/>
    <s v="N"/>
    <m/>
    <m/>
    <s v="Non Expert Disbursement"/>
    <m/>
    <s v="N"/>
    <n v="0"/>
    <n v="0"/>
    <x v="3"/>
    <s v="VALIDATED"/>
    <n v="1"/>
    <s v="01.11.80.000.0000.0000"/>
    <n v="0"/>
    <s v="11"/>
    <s v="0000"/>
    <n v="1876.46"/>
    <n v="0"/>
    <s v="CREDITOR"/>
    <n v="0"/>
    <n v="0"/>
    <n v="0"/>
    <n v="0"/>
    <n v="0"/>
  </r>
  <r>
    <n v="40209498"/>
    <s v="N"/>
    <n v="21324431"/>
    <s v="3000010822460010RC"/>
    <s v="CIVIL"/>
    <d v="2023-06-20T00:00:00"/>
    <d v="2023-07-03T19:42:50"/>
    <m/>
    <d v="2023-07-03T00:00:00"/>
    <n v="1107"/>
    <n v="18252"/>
    <s v="40209498"/>
    <s v="40209498"/>
    <m/>
    <m/>
    <m/>
    <m/>
    <m/>
    <m/>
    <s v="SOLRECOUP"/>
    <s v="SOLRECOUP"/>
    <s v="POARECOUP"/>
    <n v="21324431"/>
    <n v="-53"/>
    <m/>
    <s v="Y"/>
    <n v="1"/>
    <d v="2023-07-03T19:42:51"/>
    <s v="N"/>
    <m/>
    <m/>
    <s v="Non Expert Disbursement"/>
    <m/>
    <s v="N"/>
    <n v="-53"/>
    <n v="0"/>
    <x v="3"/>
    <s v="VALIDATED"/>
    <n v="1"/>
    <s v="01.11.80.308.2013.0000"/>
    <n v="-53"/>
    <s v="11"/>
    <s v="2013"/>
    <n v="1876.46"/>
    <n v="-53"/>
    <s v="CREDITOR"/>
    <n v="0"/>
    <n v="0"/>
    <n v="-53"/>
    <n v="0"/>
    <n v="0"/>
  </r>
  <r>
    <n v="40209498"/>
    <s v="N"/>
    <n v="21324431"/>
    <s v="3000010822460010RC"/>
    <s v="CIVIL"/>
    <d v="2023-06-20T00:00:00"/>
    <d v="2023-07-03T19:42:50"/>
    <m/>
    <d v="2023-07-03T00:00:00"/>
    <n v="1107"/>
    <n v="18252"/>
    <s v="40209498"/>
    <s v="40209498"/>
    <m/>
    <m/>
    <m/>
    <m/>
    <m/>
    <m/>
    <s v="SOLRECOUP"/>
    <s v="SOLRECOUP"/>
    <s v="POARECOUP"/>
    <n v="21324431"/>
    <n v="-53"/>
    <m/>
    <s v="Y"/>
    <n v="2"/>
    <d v="2023-07-03T19:42:51"/>
    <s v="N"/>
    <m/>
    <m/>
    <s v="Non Expert Disbursement"/>
    <m/>
    <s v="N"/>
    <n v="0"/>
    <n v="0"/>
    <x v="3"/>
    <s v="VALIDATED"/>
    <n v="1"/>
    <s v="01.11.80.000.0000.0000"/>
    <n v="0"/>
    <s v="11"/>
    <s v="0000"/>
    <n v="1876.46"/>
    <n v="0"/>
    <s v="CREDITOR"/>
    <n v="0"/>
    <n v="0"/>
    <n v="0"/>
    <n v="0"/>
    <n v="0"/>
  </r>
  <r>
    <n v="40209498"/>
    <s v="N"/>
    <n v="21324432"/>
    <s v="3000010822460009RC"/>
    <s v="CIVIL"/>
    <d v="2023-06-20T00:00:00"/>
    <d v="2023-07-03T19:42:50"/>
    <m/>
    <d v="2023-07-03T00:00:00"/>
    <n v="1107"/>
    <n v="18252"/>
    <s v="40209498"/>
    <s v="40209498"/>
    <m/>
    <m/>
    <m/>
    <m/>
    <m/>
    <m/>
    <s v="SOLRECOUP"/>
    <s v="SOLRECOUP"/>
    <s v="POARECOUP"/>
    <n v="21324432"/>
    <n v="-4404.04"/>
    <m/>
    <s v="Y"/>
    <n v="1"/>
    <d v="2023-07-03T19:42:51"/>
    <s v="N"/>
    <m/>
    <m/>
    <s v="Profit Cost"/>
    <m/>
    <s v="N"/>
    <n v="-3670.03"/>
    <n v="0"/>
    <x v="3"/>
    <s v="VALIDATED"/>
    <n v="1"/>
    <s v="01.11.80.308.2013.0000"/>
    <n v="-3670.03"/>
    <s v="11"/>
    <s v="2013"/>
    <n v="1876.46"/>
    <n v="-3670.03"/>
    <s v="CREDITOR"/>
    <n v="0"/>
    <n v="0"/>
    <n v="-3670.03"/>
    <n v="-917.5075000000001"/>
    <n v="0"/>
  </r>
  <r>
    <n v="40209498"/>
    <s v="N"/>
    <n v="21324432"/>
    <s v="3000010822460009RC"/>
    <s v="CIVIL"/>
    <d v="2023-06-20T00:00:00"/>
    <d v="2023-07-03T19:42:50"/>
    <m/>
    <d v="2023-07-03T00:00:00"/>
    <n v="1107"/>
    <n v="18252"/>
    <s v="40209498"/>
    <s v="40209498"/>
    <m/>
    <m/>
    <m/>
    <m/>
    <m/>
    <m/>
    <s v="SOLRECOUP"/>
    <s v="SOLRECOUP"/>
    <s v="POARECOUP"/>
    <n v="21324432"/>
    <n v="-4404.04"/>
    <m/>
    <s v="Y"/>
    <n v="2"/>
    <d v="2023-07-03T19:42:51"/>
    <s v="N"/>
    <m/>
    <m/>
    <s v="Profit Cost"/>
    <m/>
    <s v="N"/>
    <n v="0"/>
    <n v="-734.01"/>
    <x v="3"/>
    <s v="VALIDATED"/>
    <n v="1"/>
    <s v="01.11.80.308.2013.0000"/>
    <n v="-734.01"/>
    <s v="11"/>
    <s v="2013"/>
    <n v="1876.46"/>
    <n v="-734.01"/>
    <s v="CREDITOR"/>
    <n v="0"/>
    <n v="0"/>
    <n v="-734.01"/>
    <n v="-183.5025"/>
    <n v="0"/>
  </r>
  <r>
    <n v="40209498"/>
    <s v="N"/>
    <n v="21324433"/>
    <s v="3000010822460011RC"/>
    <s v="CIVIL"/>
    <d v="2023-06-20T00:00:00"/>
    <d v="2023-07-03T19:42:50"/>
    <m/>
    <d v="2023-07-03T00:00:00"/>
    <n v="1107"/>
    <n v="18252"/>
    <s v="40209498"/>
    <s v="40209498"/>
    <m/>
    <m/>
    <m/>
    <m/>
    <m/>
    <m/>
    <s v="SOLRECOUP"/>
    <s v="SOLRECOUP"/>
    <s v="POARECOUP"/>
    <n v="21324433"/>
    <n v="-167"/>
    <m/>
    <s v="Y"/>
    <n v="1"/>
    <d v="2023-07-03T19:42:51"/>
    <s v="N"/>
    <m/>
    <m/>
    <s v="Non Expert Disbursement"/>
    <m/>
    <s v="N"/>
    <n v="-167"/>
    <n v="0"/>
    <x v="3"/>
    <s v="VALIDATED"/>
    <n v="1"/>
    <s v="01.11.80.308.2013.0000"/>
    <n v="-167"/>
    <s v="11"/>
    <s v="2013"/>
    <n v="1876.46"/>
    <n v="-167"/>
    <s v="CREDITOR"/>
    <n v="0"/>
    <n v="0"/>
    <n v="-167"/>
    <n v="0"/>
    <n v="0"/>
  </r>
  <r>
    <n v="40209498"/>
    <s v="N"/>
    <n v="21324433"/>
    <s v="3000010822460011RC"/>
    <s v="CIVIL"/>
    <d v="2023-06-20T00:00:00"/>
    <d v="2023-07-03T19:42:50"/>
    <m/>
    <d v="2023-07-03T00:00:00"/>
    <n v="1107"/>
    <n v="18252"/>
    <s v="40209498"/>
    <s v="40209498"/>
    <m/>
    <m/>
    <m/>
    <m/>
    <m/>
    <m/>
    <s v="SOLRECOUP"/>
    <s v="SOLRECOUP"/>
    <s v="POARECOUP"/>
    <n v="21324433"/>
    <n v="-167"/>
    <m/>
    <s v="Y"/>
    <n v="2"/>
    <d v="2023-07-03T19:42:51"/>
    <s v="N"/>
    <m/>
    <m/>
    <s v="Non Expert Disbursement"/>
    <m/>
    <s v="N"/>
    <n v="0"/>
    <n v="0"/>
    <x v="3"/>
    <s v="VALIDATED"/>
    <n v="1"/>
    <s v="01.11.80.000.0000.0000"/>
    <n v="0"/>
    <s v="11"/>
    <s v="0000"/>
    <n v="1876.46"/>
    <n v="0"/>
    <s v="CREDITOR"/>
    <n v="0"/>
    <n v="0"/>
    <n v="0"/>
    <n v="0"/>
    <n v="0"/>
  </r>
  <r>
    <n v="40209498"/>
    <s v="N"/>
    <n v="21324434"/>
    <s v="3000010822460012RC"/>
    <s v="CIVIL"/>
    <d v="2023-06-20T00:00:00"/>
    <d v="2023-07-03T19:42:50"/>
    <m/>
    <d v="2023-07-03T00:00:00"/>
    <n v="1107"/>
    <n v="18252"/>
    <s v="40209498"/>
    <s v="40209498"/>
    <m/>
    <m/>
    <m/>
    <m/>
    <m/>
    <m/>
    <s v="SOLRECOUP"/>
    <s v="SOLRECOUP"/>
    <s v="POARECOUP"/>
    <n v="21324434"/>
    <n v="-2137.2"/>
    <m/>
    <s v="Y"/>
    <n v="1"/>
    <d v="2023-07-03T19:42:51"/>
    <s v="N"/>
    <m/>
    <m/>
    <s v="Profit Cost"/>
    <m/>
    <s v="N"/>
    <n v="-1781"/>
    <n v="0"/>
    <x v="3"/>
    <s v="VALIDATED"/>
    <n v="1"/>
    <s v="01.11.80.308.2013.0000"/>
    <n v="-1781"/>
    <s v="11"/>
    <s v="2013"/>
    <n v="1876.46"/>
    <n v="-1781"/>
    <s v="CREDITOR"/>
    <n v="0"/>
    <n v="0"/>
    <n v="-1781"/>
    <n v="-445.25"/>
    <n v="0"/>
  </r>
  <r>
    <n v="40209498"/>
    <s v="N"/>
    <n v="21324434"/>
    <s v="3000010822460012RC"/>
    <s v="CIVIL"/>
    <d v="2023-06-20T00:00:00"/>
    <d v="2023-07-03T19:42:50"/>
    <m/>
    <d v="2023-07-03T00:00:00"/>
    <n v="1107"/>
    <n v="18252"/>
    <s v="40209498"/>
    <s v="40209498"/>
    <m/>
    <m/>
    <m/>
    <m/>
    <m/>
    <m/>
    <s v="SOLRECOUP"/>
    <s v="SOLRECOUP"/>
    <s v="POARECOUP"/>
    <n v="21324434"/>
    <n v="-2137.2"/>
    <m/>
    <s v="Y"/>
    <n v="2"/>
    <d v="2023-07-03T19:42:51"/>
    <s v="N"/>
    <m/>
    <m/>
    <s v="Profit Cost"/>
    <m/>
    <s v="N"/>
    <n v="0"/>
    <n v="-356.2"/>
    <x v="3"/>
    <s v="VALIDATED"/>
    <n v="1"/>
    <s v="01.11.80.308.2013.0000"/>
    <n v="-356.2"/>
    <s v="11"/>
    <s v="2013"/>
    <n v="1876.46"/>
    <n v="-356.2"/>
    <s v="CREDITOR"/>
    <n v="0"/>
    <n v="0"/>
    <n v="-356.2"/>
    <n v="-89.05"/>
    <n v="0"/>
  </r>
  <r>
    <n v="5643244"/>
    <s v="N"/>
    <n v="21370445"/>
    <s v="3000002362400008"/>
    <s v="CIVIL"/>
    <d v="2023-06-08T00:00:00"/>
    <d v="2023-07-13T19:21:05"/>
    <m/>
    <d v="2023-07-13T00:00:00"/>
    <n v="1116"/>
    <n v="18296"/>
    <s v="5643244"/>
    <s v="5643244"/>
    <m/>
    <m/>
    <n v="22648854"/>
    <m/>
    <m/>
    <m/>
    <s v="SOLFIN"/>
    <s v="SOLFIN"/>
    <s v="CCMS"/>
    <n v="21370445"/>
    <n v="7842.02"/>
    <m/>
    <s v="N"/>
    <n v="121"/>
    <d v="2023-07-13T19:21:26"/>
    <s v="Y"/>
    <s v="Preparation - other"/>
    <s v="Prescribed Hourly Rates"/>
    <s v="Profit Cost"/>
    <s v="SR"/>
    <s v="Y"/>
    <n v="37.88"/>
    <n v="7.58"/>
    <x v="11"/>
    <s v="VALIDATED"/>
    <n v="1"/>
    <s v="01.11.80.302.6100.0000"/>
    <n v="37.88"/>
    <s v="11"/>
    <s v="6100"/>
    <n v="-218.69"/>
    <n v="37.88"/>
    <s v="DEBTOR"/>
    <n v="0"/>
    <n v="0"/>
    <n v="0"/>
    <n v="0"/>
    <n v="0"/>
  </r>
  <r>
    <n v="5643244"/>
    <s v="N"/>
    <n v="21370445"/>
    <s v="3000002362400008"/>
    <s v="CIVIL"/>
    <d v="2023-06-08T00:00:00"/>
    <d v="2023-07-13T19:21:05"/>
    <m/>
    <d v="2023-07-13T00:00:00"/>
    <n v="1116"/>
    <n v="18296"/>
    <s v="5643244"/>
    <s v="5643244"/>
    <m/>
    <m/>
    <n v="22648854"/>
    <m/>
    <m/>
    <m/>
    <s v="SOLFIN"/>
    <s v="SOLFIN"/>
    <s v="CCMS"/>
    <n v="21370445"/>
    <n v="7842.02"/>
    <m/>
    <s v="N"/>
    <n v="145"/>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81"/>
    <d v="2023-07-13T19:21:26"/>
    <s v="Y"/>
    <s v="Preparation - other"/>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6"/>
    <d v="2023-07-13T19:21:26"/>
    <s v="N"/>
    <s v="Level 3 Fixed Fee"/>
    <s v="Finance"/>
    <s v="Profit Cost"/>
    <s v="SR"/>
    <s v="N"/>
    <n v="0"/>
    <n v="0"/>
    <x v="11"/>
    <s v="VALIDATED"/>
    <n v="1"/>
    <s v="01.11.80.302.6100.0000"/>
    <n v="0"/>
    <s v="11"/>
    <s v="6100"/>
    <n v="-218.69"/>
    <n v="0"/>
    <s v="DEBTOR"/>
    <n v="0"/>
    <n v="0"/>
    <n v="0"/>
    <n v="0"/>
    <n v="0"/>
  </r>
  <r>
    <n v="5643244"/>
    <s v="N"/>
    <n v="21370445"/>
    <s v="3000002362400008"/>
    <s v="CIVIL"/>
    <d v="2023-06-08T00:00:00"/>
    <d v="2023-07-13T19:21:05"/>
    <m/>
    <d v="2023-07-13T00:00:00"/>
    <n v="1116"/>
    <n v="18296"/>
    <s v="5643244"/>
    <s v="5643244"/>
    <m/>
    <m/>
    <n v="22648854"/>
    <m/>
    <m/>
    <m/>
    <s v="SOLFIN"/>
    <s v="SOLFIN"/>
    <s v="CCMS"/>
    <n v="21370445"/>
    <n v="7842.02"/>
    <m/>
    <s v="N"/>
    <n v="47"/>
    <d v="2023-07-13T19:21:26"/>
    <s v="N"/>
    <s v="Routine Telephone Call"/>
    <s v="Prescribed Hourly Rates"/>
    <s v="Profit Cost"/>
    <s v="SR"/>
    <s v="N"/>
    <n v="43.47"/>
    <n v="8.699999999999999"/>
    <x v="11"/>
    <s v="VALIDATED"/>
    <n v="1"/>
    <s v="01.11.80.302.6100.0000"/>
    <n v="43.47"/>
    <s v="11"/>
    <s v="6100"/>
    <n v="-218.69"/>
    <n v="43.47"/>
    <s v="DEBTOR"/>
    <n v="0"/>
    <n v="0"/>
    <n v="0"/>
    <n v="0"/>
    <n v="0"/>
  </r>
  <r>
    <n v="5643244"/>
    <s v="N"/>
    <n v="21370445"/>
    <s v="3000002362400008"/>
    <s v="CIVIL"/>
    <d v="2023-06-08T00:00:00"/>
    <d v="2023-07-13T19:21:05"/>
    <m/>
    <d v="2023-07-13T00:00:00"/>
    <n v="1116"/>
    <n v="18296"/>
    <s v="5643244"/>
    <s v="5643244"/>
    <m/>
    <m/>
    <n v="22648854"/>
    <m/>
    <m/>
    <m/>
    <s v="SOLFIN"/>
    <s v="SOLFIN"/>
    <s v="CCMS"/>
    <n v="21370445"/>
    <n v="7842.02"/>
    <m/>
    <s v="N"/>
    <n v="65"/>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2"/>
    <d v="2023-07-13T19:21:26"/>
    <s v="N"/>
    <s v="Other"/>
    <s v="Prescribed Hourly Rates"/>
    <s v="Non Expert Disbursement"/>
    <s v="SR"/>
    <s v="N"/>
    <n v="40"/>
    <n v="8"/>
    <x v="11"/>
    <s v="VALIDATED"/>
    <n v="1"/>
    <s v="01.11.80.302.6300.0000"/>
    <n v="40"/>
    <s v="11"/>
    <s v="6300"/>
    <n v="-218.69"/>
    <n v="40"/>
    <s v="DEBTOR"/>
    <n v="0"/>
    <n v="0"/>
    <n v="0"/>
    <n v="0"/>
    <n v="0"/>
  </r>
  <r>
    <n v="5643244"/>
    <s v="N"/>
    <n v="21370445"/>
    <s v="3000002362400008"/>
    <s v="CIVIL"/>
    <d v="2023-06-08T00:00:00"/>
    <d v="2023-07-13T19:21:05"/>
    <m/>
    <d v="2023-07-13T00:00:00"/>
    <n v="1116"/>
    <n v="18296"/>
    <s v="5643244"/>
    <s v="5643244"/>
    <m/>
    <m/>
    <n v="22648854"/>
    <m/>
    <m/>
    <m/>
    <s v="SOLFIN"/>
    <s v="SOLFIN"/>
    <s v="CCMS"/>
    <n v="21370445"/>
    <n v="7842.02"/>
    <m/>
    <s v="N"/>
    <n v="180"/>
    <d v="2023-07-13T19:21:26"/>
    <s v="Y"/>
    <s v="Routine Letter Out"/>
    <s v="Prescribed Hourly Rates"/>
    <s v="Profit Cost"/>
    <s v="SR"/>
    <s v="Y"/>
    <n v="1422.09"/>
    <n v="284.46"/>
    <x v="11"/>
    <s v="VALIDATED"/>
    <n v="1"/>
    <s v="01.11.80.302.6100.0000"/>
    <n v="1422.09"/>
    <s v="11"/>
    <s v="6100"/>
    <n v="-218.69"/>
    <n v="142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40"/>
    <d v="2023-07-13T19:21:26"/>
    <s v="N"/>
    <s v="Preparation - other"/>
    <s v="Prescribed Hourly Rates"/>
    <s v="Profit Cost"/>
    <s v="SR"/>
    <s v="N"/>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25"/>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21"/>
    <d v="2023-07-13T19:21:26"/>
    <s v="N"/>
    <s v="Preparation - other"/>
    <s v="Prescribed Hourly Rates"/>
    <s v="Profit Cost"/>
    <s v="SR"/>
    <s v="N"/>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74"/>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33"/>
    <d v="2023-07-13T19:21:26"/>
    <s v="N"/>
    <s v="Preparation - other"/>
    <s v="Prescribed Hourly Rates"/>
    <s v="Profit Cost"/>
    <s v="SR"/>
    <s v="N"/>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66"/>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61"/>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65"/>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57"/>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44"/>
    <d v="2023-07-13T19:21:26"/>
    <s v="N"/>
    <s v="Preparation - other"/>
    <s v="Prescribed Hourly Rates"/>
    <s v="Profit Cost"/>
    <s v="SR"/>
    <s v="N"/>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8"/>
    <d v="2023-07-13T19:21:26"/>
    <s v="N"/>
    <s v="Preparation - other"/>
    <s v="Prescribed Hourly Rates"/>
    <s v="Profit Cost"/>
    <s v="SR"/>
    <s v="N"/>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20"/>
    <d v="2023-07-13T19:21:26"/>
    <s v="N"/>
    <s v="Preparation - other"/>
    <s v="Prescribed Hourly Rates"/>
    <s v="Profit Cost"/>
    <s v="SR"/>
    <s v="N"/>
    <n v="25.25"/>
    <n v="5.05"/>
    <x v="11"/>
    <s v="VALIDATED"/>
    <n v="1"/>
    <s v="01.11.80.302.6100.0000"/>
    <n v="25.25"/>
    <s v="11"/>
    <s v="6100"/>
    <n v="-218.69"/>
    <n v="25.25"/>
    <s v="DEBTOR"/>
    <n v="0"/>
    <n v="0"/>
    <n v="0"/>
    <n v="0"/>
    <n v="0"/>
  </r>
  <r>
    <n v="5643244"/>
    <s v="N"/>
    <n v="21370445"/>
    <s v="3000002362400008"/>
    <s v="CIVIL"/>
    <d v="2023-06-08T00:00:00"/>
    <d v="2023-07-13T19:21:05"/>
    <m/>
    <d v="2023-07-13T00:00:00"/>
    <n v="1116"/>
    <n v="18296"/>
    <s v="5643244"/>
    <s v="5643244"/>
    <m/>
    <m/>
    <n v="22648854"/>
    <m/>
    <m/>
    <m/>
    <s v="SOLFIN"/>
    <s v="SOLFIN"/>
    <s v="CCMS"/>
    <n v="21370445"/>
    <n v="7842.02"/>
    <m/>
    <s v="N"/>
    <n v="77"/>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43"/>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60"/>
    <d v="2023-07-13T19:21:26"/>
    <s v="Y"/>
    <s v="Preparation - other"/>
    <s v="Prescribed Hourly Rates"/>
    <s v="Profit Cost"/>
    <s v="SR"/>
    <s v="Y"/>
    <n v="21.05"/>
    <n v="4.21"/>
    <x v="11"/>
    <s v="VALIDATED"/>
    <n v="1"/>
    <s v="01.11.80.302.6100.0000"/>
    <n v="21.05"/>
    <s v="11"/>
    <s v="6100"/>
    <n v="-218.69"/>
    <n v="21.05"/>
    <s v="DEBTOR"/>
    <n v="0"/>
    <n v="0"/>
    <n v="0"/>
    <n v="0"/>
    <n v="0"/>
  </r>
  <r>
    <n v="5643244"/>
    <s v="N"/>
    <n v="21370445"/>
    <s v="3000002362400008"/>
    <s v="CIVIL"/>
    <d v="2023-06-08T00:00:00"/>
    <d v="2023-07-13T19:21:05"/>
    <m/>
    <d v="2023-07-13T00:00:00"/>
    <n v="1116"/>
    <n v="18296"/>
    <s v="5643244"/>
    <s v="5643244"/>
    <m/>
    <m/>
    <n v="22648854"/>
    <m/>
    <m/>
    <m/>
    <s v="SOLFIN"/>
    <s v="SOLFIN"/>
    <s v="CCMS"/>
    <n v="21370445"/>
    <n v="7842.02"/>
    <m/>
    <s v="N"/>
    <n v="80"/>
    <d v="2023-07-13T19:21:26"/>
    <s v="Y"/>
    <s v="Preparation - drafting instructions"/>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128"/>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51"/>
    <d v="2023-07-13T19:21:26"/>
    <s v="Y"/>
    <s v="Routine Letter Out"/>
    <s v="Prescribed Hourly Rates"/>
    <s v="Profit Cost"/>
    <s v="EW"/>
    <s v="Y"/>
    <n v="37.8"/>
    <n v="7.56"/>
    <x v="11"/>
    <s v="VALIDATED"/>
    <n v="1"/>
    <s v="01.11.80.302.6100.0000"/>
    <n v="37.8"/>
    <s v="11"/>
    <s v="6100"/>
    <n v="-218.69"/>
    <n v="37.8"/>
    <s v="DEBTOR"/>
    <n v="0"/>
    <n v="0"/>
    <n v="0"/>
    <n v="0"/>
    <n v="0"/>
  </r>
  <r>
    <n v="5643244"/>
    <s v="N"/>
    <n v="21370445"/>
    <s v="3000002362400008"/>
    <s v="CIVIL"/>
    <d v="2023-06-08T00:00:00"/>
    <d v="2023-07-13T19:21:05"/>
    <m/>
    <d v="2023-07-13T00:00:00"/>
    <n v="1116"/>
    <n v="18296"/>
    <s v="5643244"/>
    <s v="5643244"/>
    <m/>
    <m/>
    <n v="22648854"/>
    <m/>
    <m/>
    <m/>
    <s v="SOLFIN"/>
    <s v="SOLFIN"/>
    <s v="CCMS"/>
    <n v="21370445"/>
    <n v="7842.02"/>
    <m/>
    <s v="N"/>
    <n v="52"/>
    <d v="2023-07-13T19:21:26"/>
    <s v="Y"/>
    <s v="Routine Letter In"/>
    <s v="Prescribed Hourly Rates"/>
    <s v="Profit Cost"/>
    <s v="SR"/>
    <s v="Y"/>
    <n v="208.04"/>
    <n v="41.61"/>
    <x v="11"/>
    <s v="VALIDATED"/>
    <n v="1"/>
    <s v="01.11.80.302.6100.0000"/>
    <n v="208.04"/>
    <s v="11"/>
    <s v="6100"/>
    <n v="-218.69"/>
    <n v="208.04"/>
    <s v="DEBTOR"/>
    <n v="0"/>
    <n v="0"/>
    <n v="0"/>
    <n v="0"/>
    <n v="0"/>
  </r>
  <r>
    <n v="5643244"/>
    <s v="N"/>
    <n v="21370445"/>
    <s v="3000002362400008"/>
    <s v="CIVIL"/>
    <d v="2023-06-08T00:00:00"/>
    <d v="2023-07-13T19:21:05"/>
    <m/>
    <d v="2023-07-13T00:00:00"/>
    <n v="1116"/>
    <n v="18296"/>
    <s v="5643244"/>
    <s v="5643244"/>
    <m/>
    <m/>
    <n v="22648854"/>
    <m/>
    <m/>
    <m/>
    <s v="SOLFIN"/>
    <s v="SOLFIN"/>
    <s v="CCMS"/>
    <n v="21370445"/>
    <n v="7842.02"/>
    <m/>
    <s v="N"/>
    <n v="58"/>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73"/>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32"/>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68"/>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54"/>
    <d v="2023-07-13T19:21:26"/>
    <s v="Y"/>
    <s v="Preparation - other"/>
    <s v="Prescribed Hourly Rates"/>
    <s v="Profit Cost"/>
    <s v="SR"/>
    <s v="Y"/>
    <n v="25.25"/>
    <n v="5.05"/>
    <x v="11"/>
    <s v="VALIDATED"/>
    <n v="1"/>
    <s v="01.11.80.302.6100.0000"/>
    <n v="25.25"/>
    <s v="11"/>
    <s v="6100"/>
    <n v="-218.69"/>
    <n v="25.25"/>
    <s v="DEBTOR"/>
    <n v="0"/>
    <n v="0"/>
    <n v="0"/>
    <n v="0"/>
    <n v="0"/>
  </r>
  <r>
    <n v="5643244"/>
    <s v="N"/>
    <n v="21370445"/>
    <s v="3000002362400008"/>
    <s v="CIVIL"/>
    <d v="2023-06-08T00:00:00"/>
    <d v="2023-07-13T19:21:05"/>
    <m/>
    <d v="2023-07-13T00:00:00"/>
    <n v="1116"/>
    <n v="18296"/>
    <s v="5643244"/>
    <s v="5643244"/>
    <m/>
    <m/>
    <n v="22648854"/>
    <m/>
    <m/>
    <m/>
    <s v="SOLFIN"/>
    <s v="SOLFIN"/>
    <s v="CCMS"/>
    <n v="21370445"/>
    <n v="7842.02"/>
    <m/>
    <s v="N"/>
    <n v="101"/>
    <d v="2023-07-13T19:21:26"/>
    <s v="Y"/>
    <s v="Attendance upon client"/>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25"/>
    <d v="2023-07-13T19:21:26"/>
    <s v="N"/>
    <s v="Preparation - other"/>
    <s v="Prescribed Hourly Rates"/>
    <s v="Profit Cost"/>
    <s v="SR"/>
    <s v="N"/>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86"/>
    <d v="2023-07-13T19:21:26"/>
    <s v="Y"/>
    <s v="Preparation - other"/>
    <s v="Prescribed Hourly Rates"/>
    <s v="Profit Cost"/>
    <s v="SR"/>
    <s v="Y"/>
    <n v="105.23"/>
    <n v="21.05"/>
    <x v="11"/>
    <s v="VALIDATED"/>
    <n v="1"/>
    <s v="01.11.80.302.6100.0000"/>
    <n v="105.23"/>
    <s v="11"/>
    <s v="6100"/>
    <n v="-218.69"/>
    <n v="105.23"/>
    <s v="DEBTOR"/>
    <n v="0"/>
    <n v="0"/>
    <n v="0"/>
    <n v="0"/>
    <n v="0"/>
  </r>
  <r>
    <n v="5643244"/>
    <s v="N"/>
    <n v="21370445"/>
    <s v="3000002362400008"/>
    <s v="CIVIL"/>
    <d v="2023-06-08T00:00:00"/>
    <d v="2023-07-13T19:21:05"/>
    <m/>
    <d v="2023-07-13T00:00:00"/>
    <n v="1116"/>
    <n v="18296"/>
    <s v="5643244"/>
    <s v="5643244"/>
    <m/>
    <m/>
    <n v="22648854"/>
    <m/>
    <m/>
    <m/>
    <s v="SOLFIN"/>
    <s v="SOLFIN"/>
    <s v="CCMS"/>
    <n v="21370445"/>
    <n v="7842.02"/>
    <m/>
    <s v="N"/>
    <n v="142"/>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5"/>
    <d v="2023-07-13T19:21:26"/>
    <s v="N"/>
    <s v="Preparation - other"/>
    <s v="Prescribed Hourly Rates"/>
    <s v="Profit Cost"/>
    <s v="SR"/>
    <s v="N"/>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42"/>
    <d v="2023-07-13T19:21:26"/>
    <s v="N"/>
    <s v="Attendance upon client"/>
    <s v="Prescribed Hourly Rates"/>
    <s v="Profit Cost"/>
    <s v="SR"/>
    <s v="N"/>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34"/>
    <d v="2023-07-13T19:21:26"/>
    <s v="N"/>
    <s v="Preparation - other"/>
    <s v="Prescribed Hourly Rates"/>
    <s v="Profit Cost"/>
    <s v="SR"/>
    <s v="N"/>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39"/>
    <d v="2023-07-13T19:21:26"/>
    <s v="N"/>
    <s v="Preparation - other"/>
    <s v="Prescribed Hourly Rates"/>
    <s v="Profit Cost"/>
    <s v="SR"/>
    <s v="N"/>
    <n v="94.7"/>
    <n v="18.94"/>
    <x v="11"/>
    <s v="VALIDATED"/>
    <n v="1"/>
    <s v="01.11.80.302.6100.0000"/>
    <n v="94.7"/>
    <s v="11"/>
    <s v="6100"/>
    <n v="-218.69"/>
    <n v="94.7"/>
    <s v="DEBTOR"/>
    <n v="0"/>
    <n v="0"/>
    <n v="0"/>
    <n v="0"/>
    <n v="0"/>
  </r>
  <r>
    <n v="5643244"/>
    <s v="N"/>
    <n v="21370445"/>
    <s v="3000002362400008"/>
    <s v="CIVIL"/>
    <d v="2023-06-08T00:00:00"/>
    <d v="2023-07-13T19:21:05"/>
    <m/>
    <d v="2023-07-13T00:00:00"/>
    <n v="1116"/>
    <n v="18296"/>
    <s v="5643244"/>
    <s v="5643244"/>
    <m/>
    <m/>
    <n v="22648854"/>
    <m/>
    <m/>
    <m/>
    <s v="SOLFIN"/>
    <s v="SOLFIN"/>
    <s v="CCMS"/>
    <n v="21370445"/>
    <n v="7842.02"/>
    <m/>
    <s v="N"/>
    <n v="102"/>
    <d v="2023-07-13T19:21:26"/>
    <s v="Y"/>
    <s v="Preparation - other"/>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27"/>
    <d v="2023-07-13T19:21:26"/>
    <s v="N"/>
    <s v="Preparation - other"/>
    <s v="Prescribed Hourly Rates"/>
    <s v="Profit Cost"/>
    <s v="SR"/>
    <s v="N"/>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31"/>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35"/>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3"/>
    <d v="2023-07-13T19:21:26"/>
    <s v="N"/>
    <s v="Preparation - drafting attendance n"/>
    <s v="Prescribed Hourly Rates"/>
    <s v="Profit Cost"/>
    <s v="SR"/>
    <s v="N"/>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91"/>
    <d v="2023-07-13T19:21:26"/>
    <s v="Y"/>
    <s v="Attendance upon client"/>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1"/>
    <d v="2023-07-13T19:21:26"/>
    <s v="N"/>
    <s v="Preparation - other"/>
    <s v="Prescribed Hourly Rates"/>
    <s v="Profit Cost"/>
    <s v="SR"/>
    <s v="N"/>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72"/>
    <d v="2023-07-13T19:21:26"/>
    <s v="Y"/>
    <s v="Preparation - other"/>
    <s v="Prescribed Hourly Rates"/>
    <s v="Profit Cost"/>
    <s v="SR"/>
    <s v="Y"/>
    <n v="25.25"/>
    <n v="5.05"/>
    <x v="11"/>
    <s v="VALIDATED"/>
    <n v="1"/>
    <s v="01.11.80.302.6100.0000"/>
    <n v="25.25"/>
    <s v="11"/>
    <s v="6100"/>
    <n v="-218.69"/>
    <n v="25.25"/>
    <s v="DEBTOR"/>
    <n v="0"/>
    <n v="0"/>
    <n v="0"/>
    <n v="0"/>
    <n v="0"/>
  </r>
  <r>
    <n v="5643244"/>
    <s v="N"/>
    <n v="21370445"/>
    <s v="3000002362400008"/>
    <s v="CIVIL"/>
    <d v="2023-06-08T00:00:00"/>
    <d v="2023-07-13T19:21:05"/>
    <m/>
    <d v="2023-07-13T00:00:00"/>
    <n v="1116"/>
    <n v="18296"/>
    <s v="5643244"/>
    <s v="5643244"/>
    <m/>
    <m/>
    <n v="22648854"/>
    <m/>
    <m/>
    <m/>
    <s v="SOLFIN"/>
    <s v="SOLFIN"/>
    <s v="CCMS"/>
    <n v="21370445"/>
    <n v="7842.02"/>
    <m/>
    <s v="N"/>
    <n v="108"/>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4"/>
    <d v="2023-07-13T19:21:26"/>
    <s v="N"/>
    <s v="Preparation - other"/>
    <s v="Prescribed Hourly Rates"/>
    <s v="Profit Cost"/>
    <s v="SR"/>
    <s v="N"/>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169"/>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96"/>
    <d v="2023-07-13T19:21:26"/>
    <s v="Y"/>
    <s v="Attendance upon client"/>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126"/>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84"/>
    <d v="2023-07-13T19:21:26"/>
    <s v="N"/>
    <m/>
    <m/>
    <s v="Overall Adjustment"/>
    <m/>
    <s v="N"/>
    <n v="-2129.15"/>
    <n v="-426.15"/>
    <x v="11"/>
    <s v="VALIDATED"/>
    <n v="1"/>
    <s v="01.11.80.302.6100.0000"/>
    <n v="-2129.15"/>
    <s v="11"/>
    <s v="6100"/>
    <n v="-218.69"/>
    <n v="-2129.15"/>
    <s v="DEBTOR"/>
    <n v="0"/>
    <n v="0"/>
    <n v="0"/>
    <n v="0"/>
    <n v="0"/>
  </r>
  <r>
    <n v="5643244"/>
    <s v="N"/>
    <n v="21370445"/>
    <s v="3000002362400008"/>
    <s v="CIVIL"/>
    <d v="2023-06-08T00:00:00"/>
    <d v="2023-07-13T19:21:05"/>
    <m/>
    <d v="2023-07-13T00:00:00"/>
    <n v="1116"/>
    <n v="18296"/>
    <s v="5643244"/>
    <s v="5643244"/>
    <m/>
    <m/>
    <n v="22648854"/>
    <m/>
    <m/>
    <m/>
    <s v="SOLFIN"/>
    <s v="SOLFIN"/>
    <s v="CCMS"/>
    <n v="21370445"/>
    <n v="7842.02"/>
    <m/>
    <s v="N"/>
    <n v="45"/>
    <d v="2023-07-13T19:21:26"/>
    <s v="N"/>
    <s v="Preparation - drafting bill/claim f"/>
    <s v="Prescribed Hourly Rates"/>
    <s v="Profit Cost"/>
    <s v="CD"/>
    <s v="N"/>
    <n v="109.8"/>
    <n v="21.96"/>
    <x v="11"/>
    <s v="VALIDATED"/>
    <n v="1"/>
    <s v="01.11.80.302.6100.0000"/>
    <n v="109.8"/>
    <s v="11"/>
    <s v="6100"/>
    <n v="-218.69"/>
    <n v="109.8"/>
    <s v="DEBTOR"/>
    <n v="0"/>
    <n v="0"/>
    <n v="0"/>
    <n v="0"/>
    <n v="0"/>
  </r>
  <r>
    <n v="5643244"/>
    <s v="N"/>
    <n v="21370445"/>
    <s v="3000002362400008"/>
    <s v="CIVIL"/>
    <d v="2023-06-08T00:00:00"/>
    <d v="2023-07-13T19:21:05"/>
    <m/>
    <d v="2023-07-13T00:00:00"/>
    <n v="1116"/>
    <n v="18296"/>
    <s v="5643244"/>
    <s v="5643244"/>
    <m/>
    <m/>
    <n v="22648854"/>
    <m/>
    <m/>
    <m/>
    <s v="SOLFIN"/>
    <s v="SOLFIN"/>
    <s v="CCMS"/>
    <n v="21370445"/>
    <n v="7842.02"/>
    <m/>
    <s v="N"/>
    <n v="23"/>
    <d v="2023-07-13T19:21:26"/>
    <s v="N"/>
    <s v="Preparation - other"/>
    <s v="Prescribed Hourly Rates"/>
    <s v="Profit Cost"/>
    <s v="SR"/>
    <s v="N"/>
    <n v="12.63"/>
    <n v="2.53"/>
    <x v="11"/>
    <s v="VALIDATED"/>
    <n v="1"/>
    <s v="01.11.80.302.6100.0000"/>
    <n v="12.63"/>
    <s v="11"/>
    <s v="6100"/>
    <n v="-218.69"/>
    <n v="12.63"/>
    <s v="DEBTOR"/>
    <n v="0"/>
    <n v="0"/>
    <n v="0"/>
    <n v="0"/>
    <n v="0"/>
  </r>
  <r>
    <n v="5643244"/>
    <s v="N"/>
    <n v="21371652"/>
    <s v="3000002362400006RC"/>
    <s v="CIVIL"/>
    <d v="2023-06-08T00:00:00"/>
    <d v="2023-07-13T19:53:16"/>
    <m/>
    <d v="2023-07-13T00:00:00"/>
    <n v="1116"/>
    <n v="18296"/>
    <s v="5643244"/>
    <s v="5643244"/>
    <m/>
    <m/>
    <m/>
    <m/>
    <m/>
    <m/>
    <s v="SOLRECOUP"/>
    <s v="SOLRECOUP"/>
    <s v="POARECOUP"/>
    <n v="21371652"/>
    <n v="-4787.9"/>
    <m/>
    <s v="Y"/>
    <n v="1"/>
    <d v="2023-07-13T19:53:17"/>
    <s v="N"/>
    <m/>
    <m/>
    <s v="Profit Cost"/>
    <m/>
    <s v="N"/>
    <n v="-3989.92"/>
    <n v="0"/>
    <x v="11"/>
    <s v="VALIDATED"/>
    <n v="1"/>
    <s v="01.11.80.302.2013.0000"/>
    <n v="-3989.92"/>
    <s v="11"/>
    <s v="2013"/>
    <n v="-218.69"/>
    <n v="-3989.92"/>
    <s v="DEBTOR"/>
    <n v="0"/>
    <n v="0"/>
    <n v="0"/>
    <n v="0"/>
    <n v="0"/>
  </r>
  <r>
    <n v="5643244"/>
    <s v="N"/>
    <n v="21371652"/>
    <s v="3000002362400006RC"/>
    <s v="CIVIL"/>
    <d v="2023-06-08T00:00:00"/>
    <d v="2023-07-13T19:53:16"/>
    <m/>
    <d v="2023-07-13T00:00:00"/>
    <n v="1116"/>
    <n v="18296"/>
    <s v="5643244"/>
    <s v="5643244"/>
    <m/>
    <m/>
    <m/>
    <m/>
    <m/>
    <m/>
    <s v="SOLRECOUP"/>
    <s v="SOLRECOUP"/>
    <s v="POARECOUP"/>
    <n v="21371652"/>
    <n v="-4787.9"/>
    <m/>
    <s v="Y"/>
    <n v="2"/>
    <d v="2023-07-13T19:53:17"/>
    <s v="N"/>
    <m/>
    <m/>
    <s v="Profit Cost"/>
    <m/>
    <s v="N"/>
    <n v="0"/>
    <n v="-797.98"/>
    <x v="11"/>
    <s v="VALIDATED"/>
    <n v="1"/>
    <s v="01.11.80.302.2013.0000"/>
    <n v="-797.98"/>
    <s v="11"/>
    <s v="2013"/>
    <n v="-218.69"/>
    <n v="-797.98"/>
    <s v="DEBTOR"/>
    <n v="0"/>
    <n v="0"/>
    <n v="0"/>
    <n v="0"/>
    <n v="0"/>
  </r>
  <r>
    <n v="5643244"/>
    <s v="N"/>
    <n v="21371653"/>
    <s v="3000002362400005RC"/>
    <s v="CIVIL"/>
    <d v="2023-06-08T00:00:00"/>
    <d v="2023-07-13T19:53:16"/>
    <m/>
    <d v="2023-07-13T00:00:00"/>
    <n v="1116"/>
    <n v="18296"/>
    <s v="5643244"/>
    <s v="5643244"/>
    <m/>
    <m/>
    <m/>
    <m/>
    <m/>
    <m/>
    <s v="SOLRECOUP"/>
    <s v="SOLRECOUP"/>
    <s v="POARECOUP"/>
    <n v="21371653"/>
    <n v="-1513.22"/>
    <m/>
    <s v="Y"/>
    <n v="2"/>
    <d v="2023-07-13T19:53:17"/>
    <s v="N"/>
    <m/>
    <m/>
    <s v="Profit Cost"/>
    <m/>
    <s v="N"/>
    <n v="0"/>
    <n v="-252.2"/>
    <x v="11"/>
    <s v="VALIDATED"/>
    <n v="1"/>
    <s v="01.11.80.302.2013.0000"/>
    <n v="-252.2"/>
    <s v="11"/>
    <s v="2013"/>
    <n v="-218.69"/>
    <n v="-252.2"/>
    <s v="DEBTOR"/>
    <n v="0"/>
    <n v="0"/>
    <n v="0"/>
    <n v="0"/>
    <n v="0"/>
  </r>
  <r>
    <n v="5643244"/>
    <s v="N"/>
    <n v="21371653"/>
    <s v="3000002362400005RC"/>
    <s v="CIVIL"/>
    <d v="2023-06-08T00:00:00"/>
    <d v="2023-07-13T19:53:16"/>
    <m/>
    <d v="2023-07-13T00:00:00"/>
    <n v="1116"/>
    <n v="18296"/>
    <s v="5643244"/>
    <s v="5643244"/>
    <m/>
    <m/>
    <m/>
    <m/>
    <m/>
    <m/>
    <s v="SOLRECOUP"/>
    <s v="SOLRECOUP"/>
    <s v="POARECOUP"/>
    <n v="21371653"/>
    <n v="-1513.22"/>
    <m/>
    <s v="Y"/>
    <n v="1"/>
    <d v="2023-07-13T19:53:17"/>
    <s v="N"/>
    <m/>
    <m/>
    <s v="Profit Cost"/>
    <m/>
    <s v="N"/>
    <n v="-1261.02"/>
    <n v="0"/>
    <x v="11"/>
    <s v="VALIDATED"/>
    <n v="1"/>
    <s v="01.11.80.302.2013.0000"/>
    <n v="-1261.02"/>
    <s v="11"/>
    <s v="2013"/>
    <n v="-218.69"/>
    <n v="-1261.02"/>
    <s v="DEBTOR"/>
    <n v="0"/>
    <n v="0"/>
    <n v="0"/>
    <n v="0"/>
    <n v="0"/>
  </r>
  <r>
    <n v="5643244"/>
    <s v="N"/>
    <n v="21371654"/>
    <s v="3000002362400004RC"/>
    <s v="CIVIL"/>
    <d v="2023-06-08T00:00:00"/>
    <d v="2023-07-13T19:53:16"/>
    <m/>
    <d v="2023-07-13T00:00:00"/>
    <n v="1116"/>
    <n v="18296"/>
    <s v="5643244"/>
    <s v="5643244"/>
    <m/>
    <m/>
    <m/>
    <m/>
    <m/>
    <m/>
    <s v="SOLRECOUP"/>
    <s v="SOLRECOUP"/>
    <s v="POARECOUP"/>
    <n v="21371654"/>
    <n v="-452.41"/>
    <m/>
    <s v="Y"/>
    <n v="1"/>
    <d v="2023-07-13T19:53:17"/>
    <s v="N"/>
    <m/>
    <m/>
    <s v="Profit Cost"/>
    <m/>
    <s v="N"/>
    <n v="-377.01"/>
    <n v="0"/>
    <x v="11"/>
    <s v="VALIDATED"/>
    <n v="1"/>
    <s v="01.11.80.302.2013.0000"/>
    <n v="-377.01"/>
    <s v="11"/>
    <s v="2013"/>
    <n v="-218.69"/>
    <n v="-377.01"/>
    <s v="DEBTOR"/>
    <n v="0"/>
    <n v="0"/>
    <n v="0"/>
    <n v="0"/>
    <n v="0"/>
  </r>
  <r>
    <n v="5643244"/>
    <s v="N"/>
    <n v="21371654"/>
    <s v="3000002362400004RC"/>
    <s v="CIVIL"/>
    <d v="2023-06-08T00:00:00"/>
    <d v="2023-07-13T19:53:16"/>
    <m/>
    <d v="2023-07-13T00:00:00"/>
    <n v="1116"/>
    <n v="18296"/>
    <s v="5643244"/>
    <s v="5643244"/>
    <m/>
    <m/>
    <m/>
    <m/>
    <m/>
    <m/>
    <s v="SOLRECOUP"/>
    <s v="SOLRECOUP"/>
    <s v="POARECOUP"/>
    <n v="21371654"/>
    <n v="-452.41"/>
    <m/>
    <s v="Y"/>
    <n v="2"/>
    <d v="2023-07-13T19:53:17"/>
    <s v="N"/>
    <m/>
    <m/>
    <s v="Profit Cost"/>
    <m/>
    <s v="N"/>
    <n v="0"/>
    <n v="-75.40000000000001"/>
    <x v="11"/>
    <s v="VALIDATED"/>
    <n v="1"/>
    <s v="01.11.80.302.2013.0000"/>
    <n v="-75.40000000000001"/>
    <s v="11"/>
    <s v="2013"/>
    <n v="-218.69"/>
    <n v="-75.40000000000001"/>
    <s v="DEBTOR"/>
    <n v="0"/>
    <n v="0"/>
    <n v="0"/>
    <n v="0"/>
    <n v="0"/>
  </r>
  <r>
    <n v="5643244"/>
    <s v="N"/>
    <n v="21370445"/>
    <s v="3000002362400008"/>
    <s v="CIVIL"/>
    <d v="2023-06-08T00:00:00"/>
    <d v="2023-07-13T19:21:05"/>
    <m/>
    <d v="2023-07-13T00:00:00"/>
    <n v="1116"/>
    <n v="18296"/>
    <s v="5643244"/>
    <s v="5643244"/>
    <m/>
    <m/>
    <n v="22648854"/>
    <m/>
    <m/>
    <m/>
    <s v="SOLFIN"/>
    <s v="SOLFIN"/>
    <s v="CCMS"/>
    <n v="21370445"/>
    <n v="7842.02"/>
    <m/>
    <s v="N"/>
    <n v="118"/>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28"/>
    <d v="2023-07-13T19:21:26"/>
    <s v="N"/>
    <s v="Preparation - other"/>
    <s v="Prescribed Hourly Rates"/>
    <s v="Profit Cost"/>
    <s v="SR"/>
    <s v="N"/>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2"/>
    <d v="2023-07-13T19:21:26"/>
    <s v="N"/>
    <s v="Attendance upon client"/>
    <s v="Prescribed Hourly Rates"/>
    <s v="Profit Cost"/>
    <s v="SR"/>
    <s v="N"/>
    <n v="21.05"/>
    <n v="4.21"/>
    <x v="11"/>
    <s v="VALIDATED"/>
    <n v="1"/>
    <s v="01.11.80.302.6100.0000"/>
    <n v="21.05"/>
    <s v="11"/>
    <s v="6100"/>
    <n v="-218.69"/>
    <n v="21.05"/>
    <s v="DEBTOR"/>
    <n v="0"/>
    <n v="0"/>
    <n v="0"/>
    <n v="0"/>
    <n v="0"/>
  </r>
  <r>
    <n v="5643244"/>
    <s v="N"/>
    <n v="21370445"/>
    <s v="3000002362400008"/>
    <s v="CIVIL"/>
    <d v="2023-06-08T00:00:00"/>
    <d v="2023-07-13T19:21:05"/>
    <m/>
    <d v="2023-07-13T00:00:00"/>
    <n v="1116"/>
    <n v="18296"/>
    <s v="5643244"/>
    <s v="5643244"/>
    <m/>
    <m/>
    <n v="22648854"/>
    <m/>
    <m/>
    <m/>
    <s v="SOLFIN"/>
    <s v="SOLFIN"/>
    <s v="CCMS"/>
    <n v="21370445"/>
    <n v="7842.02"/>
    <m/>
    <s v="N"/>
    <n v="144"/>
    <d v="2023-07-13T19:21:26"/>
    <s v="Y"/>
    <s v="Preparation - drafting instructions"/>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162"/>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51"/>
    <d v="2023-07-13T19:21:26"/>
    <s v="Y"/>
    <s v="Preparation - other"/>
    <s v="Prescribed Hourly Rates"/>
    <s v="Profit Cost"/>
    <s v="SR"/>
    <s v="Y"/>
    <n v="25.25"/>
    <n v="5.05"/>
    <x v="11"/>
    <s v="VALIDATED"/>
    <n v="1"/>
    <s v="01.11.80.302.6100.0000"/>
    <n v="25.25"/>
    <s v="11"/>
    <s v="6100"/>
    <n v="-218.69"/>
    <n v="25.25"/>
    <s v="DEBTOR"/>
    <n v="0"/>
    <n v="0"/>
    <n v="0"/>
    <n v="0"/>
    <n v="0"/>
  </r>
  <r>
    <n v="5643244"/>
    <s v="N"/>
    <n v="21370445"/>
    <s v="3000002362400008"/>
    <s v="CIVIL"/>
    <d v="2023-06-08T00:00:00"/>
    <d v="2023-07-13T19:21:05"/>
    <m/>
    <d v="2023-07-13T00:00:00"/>
    <n v="1116"/>
    <n v="18296"/>
    <s v="5643244"/>
    <s v="5643244"/>
    <m/>
    <m/>
    <n v="22648854"/>
    <m/>
    <m/>
    <m/>
    <s v="SOLFIN"/>
    <s v="SOLFIN"/>
    <s v="CCMS"/>
    <n v="21370445"/>
    <n v="7842.02"/>
    <m/>
    <s v="N"/>
    <n v="88"/>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27"/>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73"/>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75"/>
    <d v="2023-07-13T19:21:26"/>
    <s v="Y"/>
    <s v="Attendance upon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83"/>
    <d v="2023-07-13T19:21:26"/>
    <s v="Y"/>
    <s v="Routine Letter In"/>
    <s v="Prescribed Hourly Rates"/>
    <s v="Profit Cost"/>
    <s v="EW"/>
    <s v="Y"/>
    <n v="43.2"/>
    <n v="8.640000000000001"/>
    <x v="11"/>
    <s v="VALIDATED"/>
    <n v="1"/>
    <s v="01.11.80.302.6100.0000"/>
    <n v="43.2"/>
    <s v="11"/>
    <s v="6100"/>
    <n v="-218.69"/>
    <n v="43.2"/>
    <s v="DEBTOR"/>
    <n v="0"/>
    <n v="0"/>
    <n v="0"/>
    <n v="0"/>
    <n v="0"/>
  </r>
  <r>
    <n v="5643244"/>
    <s v="N"/>
    <n v="21370445"/>
    <s v="3000002362400008"/>
    <s v="CIVIL"/>
    <d v="2023-06-08T00:00:00"/>
    <d v="2023-07-13T19:21:05"/>
    <m/>
    <d v="2023-07-13T00:00:00"/>
    <n v="1116"/>
    <n v="18296"/>
    <s v="5643244"/>
    <s v="5643244"/>
    <m/>
    <m/>
    <n v="22648854"/>
    <m/>
    <m/>
    <m/>
    <s v="SOLFIN"/>
    <s v="SOLFIN"/>
    <s v="CCMS"/>
    <n v="21370445"/>
    <n v="7842.02"/>
    <m/>
    <s v="N"/>
    <n v="56"/>
    <d v="2023-07-13T19:21:26"/>
    <s v="Y"/>
    <s v="Preparation - drafting instructions"/>
    <s v="Prescribed Hourly Rates"/>
    <s v="Profit Cost"/>
    <s v="SR"/>
    <s v="Y"/>
    <n v="94.7"/>
    <n v="18.94"/>
    <x v="11"/>
    <s v="VALIDATED"/>
    <n v="1"/>
    <s v="01.11.80.302.6100.0000"/>
    <n v="94.7"/>
    <s v="11"/>
    <s v="6100"/>
    <n v="-218.69"/>
    <n v="94.7"/>
    <s v="DEBTOR"/>
    <n v="0"/>
    <n v="0"/>
    <n v="0"/>
    <n v="0"/>
    <n v="0"/>
  </r>
  <r>
    <n v="5643244"/>
    <s v="N"/>
    <n v="21370445"/>
    <s v="3000002362400008"/>
    <s v="CIVIL"/>
    <d v="2023-06-08T00:00:00"/>
    <d v="2023-07-13T19:21:05"/>
    <m/>
    <d v="2023-07-13T00:00:00"/>
    <n v="1116"/>
    <n v="18296"/>
    <s v="5643244"/>
    <s v="5643244"/>
    <m/>
    <m/>
    <n v="22648854"/>
    <m/>
    <m/>
    <m/>
    <s v="SOLFIN"/>
    <s v="SOLFIN"/>
    <s v="CCMS"/>
    <n v="21370445"/>
    <n v="7842.02"/>
    <m/>
    <s v="N"/>
    <n v="110"/>
    <d v="2023-07-13T19:21:26"/>
    <s v="Y"/>
    <s v="Preparation - other"/>
    <s v="Prescribed Hourly Rates"/>
    <s v="Profit Cost"/>
    <s v="SR"/>
    <s v="Y"/>
    <n v="21.05"/>
    <n v="4.21"/>
    <x v="11"/>
    <s v="VALIDATED"/>
    <n v="1"/>
    <s v="01.11.80.302.6100.0000"/>
    <n v="21.05"/>
    <s v="11"/>
    <s v="6100"/>
    <n v="-218.69"/>
    <n v="21.05"/>
    <s v="DEBTOR"/>
    <n v="0"/>
    <n v="0"/>
    <n v="0"/>
    <n v="0"/>
    <n v="0"/>
  </r>
  <r>
    <n v="5643244"/>
    <s v="N"/>
    <n v="21370445"/>
    <s v="3000002362400008"/>
    <s v="CIVIL"/>
    <d v="2023-06-08T00:00:00"/>
    <d v="2023-07-13T19:21:05"/>
    <m/>
    <d v="2023-07-13T00:00:00"/>
    <n v="1116"/>
    <n v="18296"/>
    <s v="5643244"/>
    <s v="5643244"/>
    <m/>
    <m/>
    <n v="22648854"/>
    <m/>
    <m/>
    <m/>
    <s v="SOLFIN"/>
    <s v="SOLFIN"/>
    <s v="CCMS"/>
    <n v="21370445"/>
    <n v="7842.02"/>
    <m/>
    <s v="N"/>
    <n v="48"/>
    <d v="2023-07-13T19:21:26"/>
    <s v="N"/>
    <s v="Routine Telephone Call"/>
    <s v="Prescribed Hourly Rates"/>
    <s v="Profit Cost"/>
    <s v="EW"/>
    <s v="N"/>
    <n v="32.4"/>
    <n v="6.48"/>
    <x v="11"/>
    <s v="VALIDATED"/>
    <n v="1"/>
    <s v="01.11.80.302.6100.0000"/>
    <n v="32.4"/>
    <s v="11"/>
    <s v="6100"/>
    <n v="-218.69"/>
    <n v="32.4"/>
    <s v="DEBTOR"/>
    <n v="0"/>
    <n v="0"/>
    <n v="0"/>
    <n v="0"/>
    <n v="0"/>
  </r>
  <r>
    <n v="5643244"/>
    <s v="N"/>
    <n v="21370445"/>
    <s v="3000002362400008"/>
    <s v="CIVIL"/>
    <d v="2023-06-08T00:00:00"/>
    <d v="2023-07-13T19:21:05"/>
    <m/>
    <d v="2023-07-13T00:00:00"/>
    <n v="1116"/>
    <n v="18296"/>
    <s v="5643244"/>
    <s v="5643244"/>
    <m/>
    <m/>
    <n v="22648854"/>
    <m/>
    <m/>
    <m/>
    <s v="SOLFIN"/>
    <s v="SOLFIN"/>
    <s v="CCMS"/>
    <n v="21370445"/>
    <n v="7842.02"/>
    <m/>
    <s v="N"/>
    <n v="113"/>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14"/>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89"/>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53"/>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49"/>
    <d v="2023-07-13T19:21:26"/>
    <s v="Y"/>
    <s v="Routine Letter Out"/>
    <s v="Prescribed Hourly Rates"/>
    <s v="Profit Cost"/>
    <s v="SR"/>
    <s v="Y"/>
    <n v="271.18"/>
    <n v="54.24"/>
    <x v="11"/>
    <s v="VALIDATED"/>
    <n v="1"/>
    <s v="01.11.80.302.6100.0000"/>
    <n v="271.18"/>
    <s v="11"/>
    <s v="6100"/>
    <n v="-218.69"/>
    <n v="271.18"/>
    <s v="DEBTOR"/>
    <n v="0"/>
    <n v="0"/>
    <n v="0"/>
    <n v="0"/>
    <n v="0"/>
  </r>
  <r>
    <n v="5643244"/>
    <s v="N"/>
    <n v="21370445"/>
    <s v="3000002362400008"/>
    <s v="CIVIL"/>
    <d v="2023-06-08T00:00:00"/>
    <d v="2023-07-13T19:21:05"/>
    <m/>
    <d v="2023-07-13T00:00:00"/>
    <n v="1116"/>
    <n v="18296"/>
    <s v="5643244"/>
    <s v="5643244"/>
    <m/>
    <m/>
    <n v="22648854"/>
    <m/>
    <m/>
    <m/>
    <s v="SOLFIN"/>
    <s v="SOLFIN"/>
    <s v="CCMS"/>
    <n v="21370445"/>
    <n v="7842.02"/>
    <m/>
    <s v="N"/>
    <n v="62"/>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20"/>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34"/>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77"/>
    <d v="2023-07-13T19:21:26"/>
    <s v="Y"/>
    <s v="Preparation - drafting bill/claim f"/>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38"/>
    <d v="2023-07-13T19:21:26"/>
    <s v="N"/>
    <s v="Preparation - other"/>
    <s v="Prescribed Hourly Rates"/>
    <s v="Profit Cost"/>
    <s v="SR"/>
    <s v="N"/>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60"/>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75"/>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11"/>
    <d v="2023-07-13T19:21:26"/>
    <s v="Y"/>
    <s v="Preparation - drafting attendance n"/>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8"/>
    <d v="2023-07-13T19:21:26"/>
    <s v="N"/>
    <s v="Level 3 &amp; Level 4 Fixed Fee"/>
    <s v="Private Law Children"/>
    <s v="Profit Cost"/>
    <s v="SR"/>
    <s v="N"/>
    <n v="0"/>
    <n v="0"/>
    <x v="11"/>
    <s v="VALIDATED"/>
    <n v="1"/>
    <s v="01.11.80.302.6100.0000"/>
    <n v="0"/>
    <s v="11"/>
    <s v="6100"/>
    <n v="-218.69"/>
    <n v="0"/>
    <s v="DEBTOR"/>
    <n v="0"/>
    <n v="0"/>
    <n v="0"/>
    <n v="0"/>
    <n v="0"/>
  </r>
  <r>
    <n v="5643244"/>
    <s v="N"/>
    <n v="21370445"/>
    <s v="3000002362400008"/>
    <s v="CIVIL"/>
    <d v="2023-06-08T00:00:00"/>
    <d v="2023-07-13T19:21:05"/>
    <m/>
    <d v="2023-07-13T00:00:00"/>
    <n v="1116"/>
    <n v="18296"/>
    <s v="5643244"/>
    <s v="5643244"/>
    <m/>
    <m/>
    <n v="22648854"/>
    <m/>
    <m/>
    <m/>
    <s v="SOLFIN"/>
    <s v="SOLFIN"/>
    <s v="CCMS"/>
    <n v="21370445"/>
    <n v="7842.02"/>
    <m/>
    <s v="N"/>
    <n v="146"/>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9"/>
    <d v="2023-07-13T19:21:26"/>
    <s v="N"/>
    <s v="Preparation - other"/>
    <s v="Prescribed Hourly Rates"/>
    <s v="Profit Cost"/>
    <s v="SR"/>
    <s v="N"/>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147"/>
    <d v="2023-07-13T19:21:26"/>
    <s v="Y"/>
    <s v="Preparation - other"/>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99"/>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46"/>
    <d v="2023-07-13T19:21:26"/>
    <s v="N"/>
    <s v="Preparation - drafting bill/claim f"/>
    <s v="Prescribed Hourly Rates"/>
    <s v="Profit Cost"/>
    <s v="SR"/>
    <s v="N"/>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79"/>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94"/>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83"/>
    <d v="2023-07-13T19:21:26"/>
    <s v="Y"/>
    <s v="Attendance upon client"/>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54"/>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19"/>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22"/>
    <d v="2023-07-13T19:21:26"/>
    <s v="Y"/>
    <s v="Preparation - drafting instructions"/>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68"/>
    <d v="2023-07-13T19:21:26"/>
    <s v="Y"/>
    <s v="Preparation - drafting attendance n"/>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39"/>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58"/>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7"/>
    <d v="2023-07-13T19:21:26"/>
    <s v="N"/>
    <s v="Preparation - other"/>
    <s v="Prescribed Hourly Rates"/>
    <s v="Profit Cost"/>
    <s v="SR"/>
    <s v="N"/>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66"/>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70"/>
    <d v="2023-07-13T19:21:26"/>
    <s v="Y"/>
    <s v="Preparation - drafting instructions"/>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97"/>
    <d v="2023-07-13T19:21:26"/>
    <s v="Y"/>
    <s v="Preparation - drafting attendance n"/>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00"/>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24"/>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48"/>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35"/>
    <d v="2023-07-13T19:21:26"/>
    <s v="N"/>
    <s v="Preparation - other"/>
    <s v="Prescribed Hourly Rates"/>
    <s v="Profit Cost"/>
    <s v="SR"/>
    <s v="N"/>
    <n v="25.25"/>
    <n v="5.05"/>
    <x v="11"/>
    <s v="VALIDATED"/>
    <n v="1"/>
    <s v="01.11.80.302.6100.0000"/>
    <n v="25.25"/>
    <s v="11"/>
    <s v="6100"/>
    <n v="-218.69"/>
    <n v="25.25"/>
    <s v="DEBTOR"/>
    <n v="0"/>
    <n v="0"/>
    <n v="0"/>
    <n v="0"/>
    <n v="0"/>
  </r>
  <r>
    <n v="5643244"/>
    <s v="N"/>
    <n v="21370445"/>
    <s v="3000002362400008"/>
    <s v="CIVIL"/>
    <d v="2023-06-08T00:00:00"/>
    <d v="2023-07-13T19:21:05"/>
    <m/>
    <d v="2023-07-13T00:00:00"/>
    <n v="1116"/>
    <n v="18296"/>
    <s v="5643244"/>
    <s v="5643244"/>
    <m/>
    <m/>
    <n v="22648854"/>
    <m/>
    <m/>
    <m/>
    <s v="SOLFIN"/>
    <s v="SOLFIN"/>
    <s v="CCMS"/>
    <n v="21370445"/>
    <n v="7842.02"/>
    <m/>
    <s v="N"/>
    <n v="95"/>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84"/>
    <d v="2023-07-13T19:21:26"/>
    <s v="Y"/>
    <s v="Preparation - drafting attendance n"/>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67"/>
    <d v="2023-07-13T19:21:26"/>
    <s v="Y"/>
    <s v="Preparation - other"/>
    <s v="Prescribed Hourly Rates"/>
    <s v="Profit Cost"/>
    <s v="SR"/>
    <s v="Y"/>
    <n v="21.05"/>
    <n v="4.21"/>
    <x v="11"/>
    <s v="VALIDATED"/>
    <n v="1"/>
    <s v="01.11.80.302.6100.0000"/>
    <n v="21.05"/>
    <s v="11"/>
    <s v="6100"/>
    <n v="-218.69"/>
    <n v="21.05"/>
    <s v="DEBTOR"/>
    <n v="0"/>
    <n v="0"/>
    <n v="0"/>
    <n v="0"/>
    <n v="0"/>
  </r>
  <r>
    <n v="5643244"/>
    <s v="N"/>
    <n v="21370445"/>
    <s v="3000002362400008"/>
    <s v="CIVIL"/>
    <d v="2023-06-08T00:00:00"/>
    <d v="2023-07-13T19:21:05"/>
    <m/>
    <d v="2023-07-13T00:00:00"/>
    <n v="1116"/>
    <n v="18296"/>
    <s v="5643244"/>
    <s v="5643244"/>
    <m/>
    <m/>
    <n v="22648854"/>
    <m/>
    <m/>
    <m/>
    <s v="SOLFIN"/>
    <s v="SOLFIN"/>
    <s v="CCMS"/>
    <n v="21370445"/>
    <n v="7842.02"/>
    <m/>
    <s v="N"/>
    <n v="178"/>
    <d v="2023-07-13T19:21:26"/>
    <s v="Y"/>
    <s v="Routine Telephone Call"/>
    <s v="Prescribed Hourly Rates"/>
    <s v="Profit Cost"/>
    <s v="SR"/>
    <s v="Y"/>
    <n v="86.94"/>
    <n v="17.39"/>
    <x v="11"/>
    <s v="VALIDATED"/>
    <n v="1"/>
    <s v="01.11.80.302.6100.0000"/>
    <n v="86.94"/>
    <s v="11"/>
    <s v="6100"/>
    <n v="-218.69"/>
    <n v="86.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6"/>
    <d v="2023-07-13T19:21:26"/>
    <s v="N"/>
    <s v="Preparation - other"/>
    <s v="Prescribed Hourly Rates"/>
    <s v="Profit Cost"/>
    <s v="SR"/>
    <s v="N"/>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71"/>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55"/>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23"/>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29"/>
    <d v="2023-07-13T19:21:26"/>
    <s v="N"/>
    <s v="Preparation - other"/>
    <s v="Prescribed Hourly Rates"/>
    <s v="Profit Cost"/>
    <s v="SR"/>
    <s v="N"/>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36"/>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1"/>
    <d v="2023-07-13T19:21:26"/>
    <s v="N"/>
    <s v="Process server"/>
    <s v="Domestic Abuse"/>
    <s v="Expert Disbursement"/>
    <s v="SR"/>
    <s v="N"/>
    <n v="97.5"/>
    <n v="19.5"/>
    <x v="11"/>
    <s v="VALIDATED"/>
    <n v="1"/>
    <s v="01.11.80.302.6300.0000"/>
    <n v="97.5"/>
    <s v="11"/>
    <s v="6300"/>
    <n v="-218.69"/>
    <n v="97.5"/>
    <s v="DEBTOR"/>
    <n v="0"/>
    <n v="0"/>
    <n v="0"/>
    <n v="0"/>
    <n v="0"/>
  </r>
  <r>
    <n v="5643244"/>
    <s v="N"/>
    <n v="21370445"/>
    <s v="3000002362400008"/>
    <s v="CIVIL"/>
    <d v="2023-06-08T00:00:00"/>
    <d v="2023-07-13T19:21:05"/>
    <m/>
    <d v="2023-07-13T00:00:00"/>
    <n v="1116"/>
    <n v="18296"/>
    <s v="5643244"/>
    <s v="5643244"/>
    <m/>
    <m/>
    <n v="22648854"/>
    <m/>
    <m/>
    <m/>
    <s v="SOLFIN"/>
    <s v="SOLFIN"/>
    <s v="CCMS"/>
    <n v="21370445"/>
    <n v="7842.02"/>
    <m/>
    <s v="N"/>
    <n v="150"/>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98"/>
    <d v="2023-07-13T19:21:26"/>
    <s v="Y"/>
    <s v="Preparation - drafting statement"/>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31"/>
    <d v="2023-07-13T19:21:26"/>
    <s v="N"/>
    <s v="Preparation - other"/>
    <s v="Prescribed Hourly Rates"/>
    <s v="Profit Cost"/>
    <s v="SR"/>
    <s v="N"/>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157"/>
    <d v="2023-07-13T19:21:26"/>
    <s v="Y"/>
    <s v="Preparation - other"/>
    <s v="Prescribed Hourly Rates"/>
    <s v="Profit Cost"/>
    <s v="SR"/>
    <s v="Y"/>
    <n v="21.05"/>
    <n v="4.21"/>
    <x v="11"/>
    <s v="VALIDATED"/>
    <n v="1"/>
    <s v="01.11.80.302.6100.0000"/>
    <n v="21.05"/>
    <s v="11"/>
    <s v="6100"/>
    <n v="-218.69"/>
    <n v="21.05"/>
    <s v="DEBTOR"/>
    <n v="0"/>
    <n v="0"/>
    <n v="0"/>
    <n v="0"/>
    <n v="0"/>
  </r>
  <r>
    <n v="5643244"/>
    <s v="N"/>
    <n v="21370445"/>
    <s v="3000002362400008"/>
    <s v="CIVIL"/>
    <d v="2023-06-08T00:00:00"/>
    <d v="2023-07-13T19:21:05"/>
    <m/>
    <d v="2023-07-13T00:00:00"/>
    <n v="1116"/>
    <n v="18296"/>
    <s v="5643244"/>
    <s v="5643244"/>
    <m/>
    <m/>
    <n v="22648854"/>
    <m/>
    <m/>
    <m/>
    <s v="SOLFIN"/>
    <s v="SOLFIN"/>
    <s v="CCMS"/>
    <n v="21370445"/>
    <n v="7842.02"/>
    <m/>
    <s v="N"/>
    <n v="182"/>
    <d v="2023-07-13T19:21:26"/>
    <s v="Y"/>
    <s v="Routine Letter In"/>
    <s v="Prescribed Hourly Rates"/>
    <s v="Profit Cost"/>
    <s v="SR"/>
    <s v="Y"/>
    <n v="888.03"/>
    <n v="177.63"/>
    <x v="11"/>
    <s v="VALIDATED"/>
    <n v="1"/>
    <s v="01.11.80.302.6100.0000"/>
    <n v="888.03"/>
    <s v="11"/>
    <s v="6100"/>
    <n v="-218.69"/>
    <n v="888.03"/>
    <s v="DEBTOR"/>
    <n v="0"/>
    <n v="0"/>
    <n v="0"/>
    <n v="0"/>
    <n v="0"/>
  </r>
  <r>
    <n v="5643244"/>
    <s v="N"/>
    <n v="21370445"/>
    <s v="3000002362400008"/>
    <s v="CIVIL"/>
    <d v="2023-06-08T00:00:00"/>
    <d v="2023-07-13T19:21:05"/>
    <m/>
    <d v="2023-07-13T00:00:00"/>
    <n v="1116"/>
    <n v="18296"/>
    <s v="5643244"/>
    <s v="5643244"/>
    <m/>
    <m/>
    <n v="22648854"/>
    <m/>
    <m/>
    <m/>
    <s v="SOLFIN"/>
    <s v="SOLFIN"/>
    <s v="CCMS"/>
    <n v="21370445"/>
    <n v="7842.02"/>
    <m/>
    <s v="N"/>
    <n v="43"/>
    <d v="2023-07-13T19:21:26"/>
    <s v="N"/>
    <s v="Attendance upon client"/>
    <s v="Prescribed Hourly Rates"/>
    <s v="Profit Cost"/>
    <s v="SR"/>
    <s v="N"/>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69"/>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93"/>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64"/>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59"/>
    <d v="2023-07-13T19:21:26"/>
    <s v="Y"/>
    <s v="Preparation - other"/>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37"/>
    <d v="2023-07-13T19:21:26"/>
    <s v="N"/>
    <s v="Preparation - drafting attendance n"/>
    <s v="Prescribed Hourly Rates"/>
    <s v="Profit Cost"/>
    <s v="SR"/>
    <s v="N"/>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15"/>
    <d v="2023-07-13T19:21:26"/>
    <s v="Y"/>
    <s v="Preparation - drafting instructions"/>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07"/>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5"/>
    <d v="2023-07-13T19:21:26"/>
    <s v="N"/>
    <s v="Early Resolution Fee"/>
    <s v="Private Law Finance"/>
    <s v="Advocacy"/>
    <s v="SR"/>
    <s v="N"/>
    <n v="126.36"/>
    <n v="25.28"/>
    <x v="11"/>
    <s v="VALIDATED"/>
    <n v="1"/>
    <s v="01.11.80.302.6100.0000"/>
    <n v="126.36"/>
    <s v="11"/>
    <s v="6100"/>
    <n v="-218.69"/>
    <n v="126.36"/>
    <s v="DEBTOR"/>
    <n v="0"/>
    <n v="0"/>
    <n v="0"/>
    <n v="0"/>
    <n v="0"/>
  </r>
  <r>
    <n v="5643244"/>
    <s v="N"/>
    <n v="21370445"/>
    <s v="3000002362400008"/>
    <s v="CIVIL"/>
    <d v="2023-06-08T00:00:00"/>
    <d v="2023-07-13T19:21:05"/>
    <m/>
    <d v="2023-07-13T00:00:00"/>
    <n v="1116"/>
    <n v="18296"/>
    <s v="5643244"/>
    <s v="5643244"/>
    <m/>
    <m/>
    <n v="22648854"/>
    <m/>
    <m/>
    <m/>
    <s v="SOLFIN"/>
    <s v="SOLFIN"/>
    <s v="CCMS"/>
    <n v="21370445"/>
    <n v="7842.02"/>
    <m/>
    <s v="N"/>
    <n v="152"/>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30"/>
    <d v="2023-07-13T19:21:26"/>
    <s v="N"/>
    <s v="Preparation - drafting instructions"/>
    <s v="Prescribed Hourly Rates"/>
    <s v="Profit Cost"/>
    <s v="SR"/>
    <s v="N"/>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50"/>
    <d v="2023-07-13T19:21:26"/>
    <s v="N"/>
    <s v="Routine Letter Out"/>
    <s v="Prescribed Hourly Rates"/>
    <s v="Profit Cost"/>
    <s v="SR"/>
    <s v="N"/>
    <n v="107.63"/>
    <n v="21.53"/>
    <x v="11"/>
    <s v="VALIDATED"/>
    <n v="1"/>
    <s v="01.11.80.302.6100.0000"/>
    <n v="107.63"/>
    <s v="11"/>
    <s v="6100"/>
    <n v="-218.69"/>
    <n v="107.63"/>
    <s v="DEBTOR"/>
    <n v="0"/>
    <n v="0"/>
    <n v="0"/>
    <n v="0"/>
    <n v="0"/>
  </r>
  <r>
    <n v="5643244"/>
    <s v="N"/>
    <n v="21370445"/>
    <s v="3000002362400008"/>
    <s v="CIVIL"/>
    <d v="2023-06-08T00:00:00"/>
    <d v="2023-07-13T19:21:05"/>
    <m/>
    <d v="2023-07-13T00:00:00"/>
    <n v="1116"/>
    <n v="18296"/>
    <s v="5643244"/>
    <s v="5643244"/>
    <m/>
    <m/>
    <n v="22648854"/>
    <m/>
    <m/>
    <m/>
    <s v="SOLFIN"/>
    <s v="SOLFIN"/>
    <s v="CCMS"/>
    <n v="21370445"/>
    <n v="7842.02"/>
    <m/>
    <s v="N"/>
    <n v="90"/>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40"/>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74"/>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05"/>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87"/>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53"/>
    <d v="2023-07-13T19:21:26"/>
    <s v="Y"/>
    <s v="Routine Letter In"/>
    <s v="Prescribed Hourly Rates"/>
    <s v="Profit Cost"/>
    <s v="EW"/>
    <s v="Y"/>
    <n v="10.8"/>
    <n v="2.16"/>
    <x v="11"/>
    <s v="VALIDATED"/>
    <n v="1"/>
    <s v="01.11.80.302.6100.0000"/>
    <n v="10.8"/>
    <s v="11"/>
    <s v="6100"/>
    <n v="-218.69"/>
    <n v="10.8"/>
    <s v="DEBTOR"/>
    <n v="0"/>
    <n v="0"/>
    <n v="0"/>
    <n v="0"/>
    <n v="0"/>
  </r>
  <r>
    <n v="5643244"/>
    <s v="N"/>
    <n v="21370445"/>
    <s v="3000002362400008"/>
    <s v="CIVIL"/>
    <d v="2023-06-08T00:00:00"/>
    <d v="2023-07-13T19:21:05"/>
    <m/>
    <d v="2023-07-13T00:00:00"/>
    <n v="1116"/>
    <n v="18296"/>
    <s v="5643244"/>
    <s v="5643244"/>
    <m/>
    <m/>
    <n v="22648854"/>
    <m/>
    <m/>
    <m/>
    <s v="SOLFIN"/>
    <s v="SOLFIN"/>
    <s v="CCMS"/>
    <n v="21370445"/>
    <n v="7842.02"/>
    <m/>
    <s v="N"/>
    <n v="92"/>
    <d v="2023-07-13T19:21:26"/>
    <s v="Y"/>
    <s v="Preparation - drafting attendance n"/>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70"/>
    <d v="2023-07-13T19:21:26"/>
    <s v="Y"/>
    <s v="Preparation - other"/>
    <s v="Prescribed Hourly Rates"/>
    <s v="Profit Cost"/>
    <s v="SR"/>
    <s v="Y"/>
    <n v="25.25"/>
    <n v="5.05"/>
    <x v="11"/>
    <s v="VALIDATED"/>
    <n v="1"/>
    <s v="01.11.80.302.6100.0000"/>
    <n v="25.25"/>
    <s v="11"/>
    <s v="6100"/>
    <n v="-218.69"/>
    <n v="25.25"/>
    <s v="DEBTOR"/>
    <n v="0"/>
    <n v="0"/>
    <n v="0"/>
    <n v="0"/>
    <n v="0"/>
  </r>
  <r>
    <n v="5643244"/>
    <s v="N"/>
    <n v="21370445"/>
    <s v="3000002362400008"/>
    <s v="CIVIL"/>
    <d v="2023-06-08T00:00:00"/>
    <d v="2023-07-13T19:21:05"/>
    <m/>
    <d v="2023-07-13T00:00:00"/>
    <n v="1116"/>
    <n v="18296"/>
    <s v="5643244"/>
    <s v="5643244"/>
    <m/>
    <m/>
    <n v="22648854"/>
    <m/>
    <m/>
    <m/>
    <s v="SOLFIN"/>
    <s v="SOLFIN"/>
    <s v="CCMS"/>
    <n v="21370445"/>
    <n v="7842.02"/>
    <m/>
    <s v="N"/>
    <n v="129"/>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79"/>
    <d v="2023-07-13T19:21:26"/>
    <s v="Y"/>
    <s v="Routine Telephone Call"/>
    <s v="Prescribed Hourly Rates"/>
    <s v="Profit Cost"/>
    <s v="EW"/>
    <s v="Y"/>
    <n v="37.8"/>
    <n v="7.56"/>
    <x v="11"/>
    <s v="VALIDATED"/>
    <n v="1"/>
    <s v="01.11.80.302.6100.0000"/>
    <n v="37.8"/>
    <s v="11"/>
    <s v="6100"/>
    <n v="-218.69"/>
    <n v="37.8"/>
    <s v="DEBTOR"/>
    <n v="0"/>
    <n v="0"/>
    <n v="0"/>
    <n v="0"/>
    <n v="0"/>
  </r>
  <r>
    <n v="5643244"/>
    <s v="N"/>
    <n v="21370445"/>
    <s v="3000002362400008"/>
    <s v="CIVIL"/>
    <d v="2023-06-08T00:00:00"/>
    <d v="2023-07-13T19:21:05"/>
    <m/>
    <d v="2023-07-13T00:00:00"/>
    <n v="1116"/>
    <n v="18296"/>
    <s v="5643244"/>
    <s v="5643244"/>
    <m/>
    <m/>
    <n v="22648854"/>
    <m/>
    <m/>
    <m/>
    <s v="SOLFIN"/>
    <s v="SOLFIN"/>
    <s v="CCMS"/>
    <n v="21370445"/>
    <n v="7842.02"/>
    <m/>
    <s v="N"/>
    <n v="116"/>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30"/>
    <d v="2023-07-13T19:21:26"/>
    <s v="Y"/>
    <s v="Attendance upon client"/>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10"/>
    <d v="2023-07-13T19:21:26"/>
    <s v="N"/>
    <s v="Preparation - other"/>
    <s v="Prescribed Hourly Rates"/>
    <s v="Profit Cost"/>
    <s v="SR"/>
    <s v="N"/>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61"/>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9"/>
    <d v="2023-07-13T19:21:26"/>
    <s v="N"/>
    <s v="Preparation - other"/>
    <s v="Prescribed Hourly Rates"/>
    <s v="Profit Cost"/>
    <s v="SR"/>
    <s v="N"/>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72"/>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56"/>
    <d v="2023-07-13T19:21:26"/>
    <s v="Y"/>
    <s v="Preparation - other"/>
    <s v="Prescribed Hourly Rates"/>
    <s v="Profit Cost"/>
    <s v="SR"/>
    <s v="Y"/>
    <n v="13.69"/>
    <n v="2.74"/>
    <x v="11"/>
    <s v="VALIDATED"/>
    <n v="1"/>
    <s v="01.11.80.302.6100.0000"/>
    <n v="13.69"/>
    <s v="11"/>
    <s v="6100"/>
    <n v="-218.69"/>
    <n v="13.69"/>
    <s v="DEBTOR"/>
    <n v="0"/>
    <n v="0"/>
    <n v="0"/>
    <n v="0"/>
    <n v="0"/>
  </r>
  <r>
    <n v="5643244"/>
    <s v="N"/>
    <n v="21370445"/>
    <s v="3000002362400008"/>
    <s v="CIVIL"/>
    <d v="2023-06-08T00:00:00"/>
    <d v="2023-07-13T19:21:05"/>
    <m/>
    <d v="2023-07-13T00:00:00"/>
    <n v="1116"/>
    <n v="18296"/>
    <s v="5643244"/>
    <s v="5643244"/>
    <m/>
    <m/>
    <n v="22648854"/>
    <m/>
    <m/>
    <m/>
    <s v="SOLFIN"/>
    <s v="SOLFIN"/>
    <s v="CCMS"/>
    <n v="21370445"/>
    <n v="7842.02"/>
    <m/>
    <s v="N"/>
    <n v="67"/>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04"/>
    <d v="2023-07-13T19:21:26"/>
    <s v="Y"/>
    <s v="Preparation - drafting attendance n"/>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63"/>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78"/>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82"/>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17"/>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7"/>
    <d v="2023-07-13T19:21:26"/>
    <s v="N"/>
    <s v="Level 4 Fixed Fee"/>
    <s v="Domestic Abuse"/>
    <s v="Profit Cost"/>
    <s v="SR"/>
    <s v="N"/>
    <n v="507"/>
    <n v="101.42"/>
    <x v="11"/>
    <s v="VALIDATED"/>
    <n v="1"/>
    <s v="01.11.80.302.6100.0000"/>
    <n v="507"/>
    <s v="11"/>
    <s v="6100"/>
    <n v="-218.69"/>
    <n v="507"/>
    <s v="DEBTOR"/>
    <n v="0"/>
    <n v="0"/>
    <n v="0"/>
    <n v="0"/>
    <n v="0"/>
  </r>
  <r>
    <n v="5643244"/>
    <s v="N"/>
    <n v="21370445"/>
    <s v="3000002362400008"/>
    <s v="CIVIL"/>
    <d v="2023-06-08T00:00:00"/>
    <d v="2023-07-13T19:21:05"/>
    <m/>
    <d v="2023-07-13T00:00:00"/>
    <n v="1116"/>
    <n v="18296"/>
    <s v="5643244"/>
    <s v="5643244"/>
    <m/>
    <m/>
    <n v="22648854"/>
    <m/>
    <m/>
    <m/>
    <s v="SOLFIN"/>
    <s v="SOLFIN"/>
    <s v="CCMS"/>
    <n v="21370445"/>
    <n v="7842.02"/>
    <m/>
    <s v="N"/>
    <n v="133"/>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138"/>
    <d v="2023-07-13T19:21:26"/>
    <s v="Y"/>
    <s v="Preparation - other"/>
    <s v="Prescribed Hourly Rates"/>
    <s v="Profit Cost"/>
    <s v="SR"/>
    <s v="Y"/>
    <n v="6.31"/>
    <n v="1.26"/>
    <x v="11"/>
    <s v="VALIDATED"/>
    <n v="1"/>
    <s v="01.11.80.302.6100.0000"/>
    <n v="6.31"/>
    <s v="11"/>
    <s v="6100"/>
    <n v="-218.69"/>
    <n v="6.31"/>
    <s v="DEBTOR"/>
    <n v="0"/>
    <n v="0"/>
    <n v="0"/>
    <n v="0"/>
    <n v="0"/>
  </r>
  <r>
    <n v="5643244"/>
    <s v="N"/>
    <n v="21370445"/>
    <s v="3000002362400008"/>
    <s v="CIVIL"/>
    <d v="2023-06-08T00:00:00"/>
    <d v="2023-07-13T19:21:05"/>
    <m/>
    <d v="2023-07-13T00:00:00"/>
    <n v="1116"/>
    <n v="18296"/>
    <s v="5643244"/>
    <s v="5643244"/>
    <m/>
    <m/>
    <n v="22648854"/>
    <m/>
    <m/>
    <m/>
    <s v="SOLFIN"/>
    <s v="SOLFIN"/>
    <s v="CCMS"/>
    <n v="21370445"/>
    <n v="7842.02"/>
    <m/>
    <s v="N"/>
    <n v="176"/>
    <d v="2023-07-13T19:21:26"/>
    <s v="Y"/>
    <s v="Preparation - drafting bill/claim f"/>
    <s v="Prescribed Hourly Rates"/>
    <s v="Profit Cost"/>
    <s v="CD"/>
    <s v="Y"/>
    <n v="367.83"/>
    <n v="73.58"/>
    <x v="11"/>
    <s v="VALIDATED"/>
    <n v="1"/>
    <s v="01.11.80.302.6100.0000"/>
    <n v="367.83"/>
    <s v="11"/>
    <s v="6100"/>
    <n v="-218.69"/>
    <n v="367.83"/>
    <s v="DEBTOR"/>
    <n v="0"/>
    <n v="0"/>
    <n v="0"/>
    <n v="0"/>
    <n v="0"/>
  </r>
  <r>
    <n v="5643244"/>
    <s v="N"/>
    <n v="21370445"/>
    <s v="3000002362400008"/>
    <s v="CIVIL"/>
    <d v="2023-06-08T00:00:00"/>
    <d v="2023-07-13T19:21:05"/>
    <m/>
    <d v="2023-07-13T00:00:00"/>
    <n v="1116"/>
    <n v="18296"/>
    <s v="5643244"/>
    <s v="5643244"/>
    <m/>
    <m/>
    <n v="22648854"/>
    <m/>
    <m/>
    <m/>
    <s v="SOLFIN"/>
    <s v="SOLFIN"/>
    <s v="CCMS"/>
    <n v="21370445"/>
    <n v="7842.02"/>
    <m/>
    <s v="N"/>
    <n v="181"/>
    <d v="2023-07-13T19:21:26"/>
    <s v="Y"/>
    <s v="Routine Letter Out"/>
    <s v="Prescribed Hourly Rates"/>
    <s v="Profit Cost"/>
    <s v="EW"/>
    <s v="Y"/>
    <n v="81"/>
    <n v="16.2"/>
    <x v="11"/>
    <s v="VALIDATED"/>
    <n v="1"/>
    <s v="01.11.80.302.6100.0000"/>
    <n v="81"/>
    <s v="11"/>
    <s v="6100"/>
    <n v="-218.69"/>
    <n v="81"/>
    <s v="DEBTOR"/>
    <n v="0"/>
    <n v="0"/>
    <n v="0"/>
    <n v="0"/>
    <n v="0"/>
  </r>
  <r>
    <n v="5643244"/>
    <s v="N"/>
    <n v="21370445"/>
    <s v="3000002362400008"/>
    <s v="CIVIL"/>
    <d v="2023-06-08T00:00:00"/>
    <d v="2023-07-13T19:21:05"/>
    <m/>
    <d v="2023-07-13T00:00:00"/>
    <n v="1116"/>
    <n v="18296"/>
    <s v="5643244"/>
    <s v="5643244"/>
    <m/>
    <m/>
    <n v="22648854"/>
    <m/>
    <m/>
    <m/>
    <s v="SOLFIN"/>
    <s v="SOLFIN"/>
    <s v="CCMS"/>
    <n v="21370445"/>
    <n v="7842.02"/>
    <m/>
    <s v="N"/>
    <n v="103"/>
    <d v="2023-07-13T19:21:26"/>
    <s v="Y"/>
    <s v="Preparation - drafting instructions"/>
    <s v="Prescribed Hourly Rates"/>
    <s v="Profit Cost"/>
    <s v="SR"/>
    <s v="Y"/>
    <n v="63.14"/>
    <n v="12.63"/>
    <x v="11"/>
    <s v="VALIDATED"/>
    <n v="1"/>
    <s v="01.11.80.302.6100.0000"/>
    <n v="63.14"/>
    <s v="11"/>
    <s v="6100"/>
    <n v="-218.69"/>
    <n v="63.14"/>
    <s v="DEBTOR"/>
    <n v="0"/>
    <n v="0"/>
    <n v="0"/>
    <n v="0"/>
    <n v="0"/>
  </r>
  <r>
    <n v="5643244"/>
    <s v="N"/>
    <n v="21370445"/>
    <s v="3000002362400008"/>
    <s v="CIVIL"/>
    <d v="2023-06-08T00:00:00"/>
    <d v="2023-07-13T19:21:05"/>
    <m/>
    <d v="2023-07-13T00:00:00"/>
    <n v="1116"/>
    <n v="18296"/>
    <s v="5643244"/>
    <s v="5643244"/>
    <m/>
    <m/>
    <n v="22648854"/>
    <m/>
    <m/>
    <m/>
    <s v="SOLFIN"/>
    <s v="SOLFIN"/>
    <s v="CCMS"/>
    <n v="21370445"/>
    <n v="7842.02"/>
    <m/>
    <s v="N"/>
    <n v="76"/>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59"/>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36"/>
    <d v="2023-07-13T19:21:26"/>
    <s v="N"/>
    <s v="Attendance upon client"/>
    <s v="Prescribed Hourly Rates"/>
    <s v="Profit Cost"/>
    <s v="SR"/>
    <s v="N"/>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4"/>
    <d v="2023-07-13T19:21:26"/>
    <s v="N"/>
    <s v="Hearing Unit 0.00 - 1.00 Hours"/>
    <s v="Private Law Finance"/>
    <s v="Advocacy"/>
    <s v="SR"/>
    <s v="N"/>
    <n v="63.18"/>
    <n v="12.64"/>
    <x v="11"/>
    <s v="VALIDATED"/>
    <n v="1"/>
    <s v="01.11.80.302.6100.0000"/>
    <n v="63.18"/>
    <s v="11"/>
    <s v="6100"/>
    <n v="-218.69"/>
    <n v="63.18"/>
    <s v="DEBTOR"/>
    <n v="0"/>
    <n v="0"/>
    <n v="0"/>
    <n v="0"/>
    <n v="0"/>
  </r>
  <r>
    <n v="5643244"/>
    <s v="N"/>
    <n v="21370445"/>
    <s v="3000002362400008"/>
    <s v="CIVIL"/>
    <d v="2023-06-08T00:00:00"/>
    <d v="2023-07-13T19:21:05"/>
    <m/>
    <d v="2023-07-13T00:00:00"/>
    <n v="1116"/>
    <n v="18296"/>
    <s v="5643244"/>
    <s v="5643244"/>
    <m/>
    <m/>
    <n v="22648854"/>
    <m/>
    <m/>
    <m/>
    <s v="SOLFIN"/>
    <s v="SOLFIN"/>
    <s v="CCMS"/>
    <n v="21370445"/>
    <n v="7842.02"/>
    <m/>
    <s v="N"/>
    <n v="171"/>
    <d v="2023-07-13T19:21:26"/>
    <s v="Y"/>
    <s v="Preparation - other"/>
    <s v="Prescribed Hourly Rates"/>
    <s v="Profit Cost"/>
    <s v="SR"/>
    <s v="Y"/>
    <n v="18.94"/>
    <n v="3.79"/>
    <x v="11"/>
    <s v="VALIDATED"/>
    <n v="1"/>
    <s v="01.11.80.302.6100.0000"/>
    <n v="18.94"/>
    <s v="11"/>
    <s v="6100"/>
    <n v="-218.69"/>
    <n v="18.94"/>
    <s v="DEBTOR"/>
    <n v="0"/>
    <n v="0"/>
    <n v="0"/>
    <n v="0"/>
    <n v="0"/>
  </r>
  <r>
    <n v="5643244"/>
    <s v="N"/>
    <n v="21370445"/>
    <s v="3000002362400008"/>
    <s v="CIVIL"/>
    <d v="2023-06-08T00:00:00"/>
    <d v="2023-07-13T19:21:05"/>
    <m/>
    <d v="2023-07-13T00:00:00"/>
    <n v="1116"/>
    <n v="18296"/>
    <s v="5643244"/>
    <s v="5643244"/>
    <m/>
    <m/>
    <n v="22648854"/>
    <m/>
    <m/>
    <m/>
    <s v="SOLFIN"/>
    <s v="SOLFIN"/>
    <s v="CCMS"/>
    <n v="21370445"/>
    <n v="7842.02"/>
    <m/>
    <s v="N"/>
    <n v="24"/>
    <d v="2023-07-13T19:21:26"/>
    <s v="N"/>
    <s v="Preparation - other"/>
    <s v="Prescribed Hourly Rates"/>
    <s v="Profit Cost"/>
    <s v="SR"/>
    <s v="N"/>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26"/>
    <d v="2023-07-13T19:21:26"/>
    <s v="N"/>
    <s v="Preparation - other"/>
    <s v="Prescribed Hourly Rates"/>
    <s v="Profit Cost"/>
    <s v="SR"/>
    <s v="N"/>
    <n v="21.05"/>
    <n v="4.21"/>
    <x v="11"/>
    <s v="VALIDATED"/>
    <n v="1"/>
    <s v="01.11.80.302.6100.0000"/>
    <n v="21.05"/>
    <s v="11"/>
    <s v="6100"/>
    <n v="-218.69"/>
    <n v="21.05"/>
    <s v="DEBTOR"/>
    <n v="0"/>
    <n v="0"/>
    <n v="0"/>
    <n v="0"/>
    <n v="0"/>
  </r>
  <r>
    <n v="5643244"/>
    <s v="N"/>
    <n v="21370445"/>
    <s v="3000002362400008"/>
    <s v="CIVIL"/>
    <d v="2023-06-08T00:00:00"/>
    <d v="2023-07-13T19:21:05"/>
    <m/>
    <d v="2023-07-13T00:00:00"/>
    <n v="1116"/>
    <n v="18296"/>
    <s v="5643244"/>
    <s v="5643244"/>
    <m/>
    <m/>
    <n v="22648854"/>
    <m/>
    <m/>
    <m/>
    <s v="SOLFIN"/>
    <s v="SOLFIN"/>
    <s v="CCMS"/>
    <n v="21370445"/>
    <n v="7842.02"/>
    <m/>
    <s v="N"/>
    <n v="85"/>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63"/>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12"/>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22"/>
    <d v="2023-07-13T19:21:26"/>
    <s v="N"/>
    <s v="Attendance upon client"/>
    <s v="Prescribed Hourly Rates"/>
    <s v="Profit Cost"/>
    <s v="SR"/>
    <s v="N"/>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49"/>
    <d v="2023-07-13T19:21:26"/>
    <s v="Y"/>
    <s v="Preparation - other"/>
    <s v="Prescribed Hourly Rates"/>
    <s v="Profit Cost"/>
    <s v="SR"/>
    <s v="Y"/>
    <n v="25.25"/>
    <n v="5.05"/>
    <x v="11"/>
    <s v="VALIDATED"/>
    <n v="1"/>
    <s v="01.11.80.302.6100.0000"/>
    <n v="25.25"/>
    <s v="11"/>
    <s v="6100"/>
    <n v="-218.69"/>
    <n v="25.25"/>
    <s v="DEBTOR"/>
    <n v="0"/>
    <n v="0"/>
    <n v="0"/>
    <n v="0"/>
    <n v="0"/>
  </r>
  <r>
    <n v="5643244"/>
    <s v="N"/>
    <n v="21370445"/>
    <s v="3000002362400008"/>
    <s v="CIVIL"/>
    <d v="2023-06-08T00:00:00"/>
    <d v="2023-07-13T19:21:05"/>
    <m/>
    <d v="2023-07-13T00:00:00"/>
    <n v="1116"/>
    <n v="18296"/>
    <s v="5643244"/>
    <s v="5643244"/>
    <m/>
    <m/>
    <n v="22648854"/>
    <m/>
    <m/>
    <m/>
    <s v="SOLFIN"/>
    <s v="SOLFIN"/>
    <s v="CCMS"/>
    <n v="21370445"/>
    <n v="7842.02"/>
    <m/>
    <s v="N"/>
    <n v="32"/>
    <d v="2023-07-13T19:21:26"/>
    <s v="N"/>
    <s v="Preparation - other"/>
    <s v="Prescribed Hourly Rates"/>
    <s v="Profit Cost"/>
    <s v="SR"/>
    <s v="N"/>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64"/>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3"/>
    <d v="2023-07-13T19:21:26"/>
    <s v="N"/>
    <s v="Hearing Unit 0.00 - 1.00 Hours"/>
    <s v="Private Law Finance"/>
    <s v="Advocacy"/>
    <s v="AP"/>
    <s v="N"/>
    <n v="63.18"/>
    <n v="12.64"/>
    <x v="11"/>
    <s v="VALIDATED"/>
    <n v="1"/>
    <s v="01.11.80.302.6100.0000"/>
    <n v="63.18"/>
    <s v="11"/>
    <s v="6100"/>
    <n v="-218.69"/>
    <n v="63.18"/>
    <s v="DEBTOR"/>
    <n v="0"/>
    <n v="0"/>
    <n v="0"/>
    <n v="0"/>
    <n v="0"/>
  </r>
  <r>
    <n v="5643244"/>
    <s v="N"/>
    <n v="21370445"/>
    <s v="3000002362400008"/>
    <s v="CIVIL"/>
    <d v="2023-06-08T00:00:00"/>
    <d v="2023-07-13T19:21:05"/>
    <m/>
    <d v="2023-07-13T00:00:00"/>
    <n v="1116"/>
    <n v="18296"/>
    <s v="5643244"/>
    <s v="5643244"/>
    <m/>
    <m/>
    <n v="22648854"/>
    <m/>
    <m/>
    <m/>
    <s v="SOLFIN"/>
    <s v="SOLFIN"/>
    <s v="CCMS"/>
    <n v="21370445"/>
    <n v="7842.02"/>
    <m/>
    <s v="N"/>
    <n v="109"/>
    <d v="2023-07-13T19:21:26"/>
    <s v="Y"/>
    <s v="Attendance upon client"/>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37"/>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55"/>
    <d v="2023-07-13T19:21:26"/>
    <s v="Y"/>
    <s v="Preparation - other"/>
    <s v="Prescribed Hourly Rates"/>
    <s v="Profit Cost"/>
    <s v="SR"/>
    <s v="Y"/>
    <n v="31.57"/>
    <n v="6.32"/>
    <x v="11"/>
    <s v="VALIDATED"/>
    <n v="1"/>
    <s v="01.11.80.302.6100.0000"/>
    <n v="31.57"/>
    <s v="11"/>
    <s v="6100"/>
    <n v="-218.69"/>
    <n v="31.57"/>
    <s v="DEBTOR"/>
    <n v="0"/>
    <n v="0"/>
    <n v="0"/>
    <n v="0"/>
    <n v="0"/>
  </r>
  <r>
    <n v="5643244"/>
    <s v="N"/>
    <n v="21370445"/>
    <s v="3000002362400008"/>
    <s v="CIVIL"/>
    <d v="2023-06-08T00:00:00"/>
    <d v="2023-07-13T19:21:05"/>
    <m/>
    <d v="2023-07-13T00:00:00"/>
    <n v="1116"/>
    <n v="18296"/>
    <s v="5643244"/>
    <s v="5643244"/>
    <m/>
    <m/>
    <n v="22648854"/>
    <m/>
    <m/>
    <m/>
    <s v="SOLFIN"/>
    <s v="SOLFIN"/>
    <s v="CCMS"/>
    <n v="21370445"/>
    <n v="7842.02"/>
    <m/>
    <s v="N"/>
    <n v="141"/>
    <d v="2023-07-13T19:21:26"/>
    <s v="Y"/>
    <s v="Preparation - other"/>
    <s v="Prescribed Hourly Rates"/>
    <s v="Profit Cost"/>
    <s v="SR"/>
    <s v="Y"/>
    <n v="12.63"/>
    <n v="2.53"/>
    <x v="11"/>
    <s v="VALIDATED"/>
    <n v="1"/>
    <s v="01.11.80.302.6100.0000"/>
    <n v="12.63"/>
    <s v="11"/>
    <s v="6100"/>
    <n v="-218.69"/>
    <n v="12.63"/>
    <s v="DEBTOR"/>
    <n v="0"/>
    <n v="0"/>
    <n v="0"/>
    <n v="0"/>
    <n v="0"/>
  </r>
  <r>
    <n v="5643244"/>
    <s v="N"/>
    <n v="21370445"/>
    <s v="3000002362400008"/>
    <s v="CIVIL"/>
    <d v="2023-06-08T00:00:00"/>
    <d v="2023-07-13T19:21:05"/>
    <m/>
    <d v="2023-07-13T00:00:00"/>
    <n v="1116"/>
    <n v="18296"/>
    <s v="5643244"/>
    <s v="5643244"/>
    <m/>
    <m/>
    <n v="22648854"/>
    <m/>
    <m/>
    <m/>
    <s v="SOLFIN"/>
    <s v="SOLFIN"/>
    <s v="CCMS"/>
    <n v="21370445"/>
    <n v="7842.02"/>
    <m/>
    <s v="N"/>
    <n v="106"/>
    <d v="2023-07-13T19:21:26"/>
    <s v="Y"/>
    <s v="Preparation - other"/>
    <s v="Prescribed Hourly Rates"/>
    <s v="Profit Cost"/>
    <s v="SR"/>
    <s v="Y"/>
    <n v="42.09"/>
    <n v="8.42"/>
    <x v="11"/>
    <s v="VALIDATED"/>
    <n v="1"/>
    <s v="01.11.80.302.6100.0000"/>
    <n v="42.09"/>
    <s v="11"/>
    <s v="6100"/>
    <n v="-218.69"/>
    <n v="42.09"/>
    <s v="DEBTOR"/>
    <n v="0"/>
    <n v="0"/>
    <n v="0"/>
    <n v="0"/>
    <n v="0"/>
  </r>
  <r>
    <n v="5643244"/>
    <s v="N"/>
    <n v="21370445"/>
    <s v="3000002362400008"/>
    <s v="CIVIL"/>
    <d v="2023-06-08T00:00:00"/>
    <d v="2023-07-13T19:21:05"/>
    <m/>
    <d v="2023-07-13T00:00:00"/>
    <n v="1116"/>
    <n v="18296"/>
    <s v="5643244"/>
    <s v="5643244"/>
    <m/>
    <m/>
    <n v="22648854"/>
    <m/>
    <m/>
    <m/>
    <s v="SOLFIN"/>
    <s v="SOLFIN"/>
    <s v="CCMS"/>
    <n v="21370445"/>
    <n v="7842.02"/>
    <m/>
    <s v="N"/>
    <n v="41"/>
    <d v="2023-07-13T19:21:26"/>
    <s v="N"/>
    <s v="Preparation - other"/>
    <s v="Prescribed Hourly Rates"/>
    <s v="Profit Cost"/>
    <s v="SR"/>
    <s v="N"/>
    <n v="18.94"/>
    <n v="3.79"/>
    <x v="11"/>
    <s v="VALIDATED"/>
    <n v="1"/>
    <s v="01.11.80.302.6100.0000"/>
    <n v="18.94"/>
    <s v="11"/>
    <s v="6100"/>
    <n v="-218.69"/>
    <n v="18.94"/>
    <s v="DEBTOR"/>
    <n v="0"/>
    <n v="0"/>
    <n v="0"/>
    <n v="0"/>
    <n v="0"/>
  </r>
  <r>
    <n v="8073469"/>
    <s v="N"/>
    <n v="21349522"/>
    <s v="3000004086260001"/>
    <s v="CIVIL"/>
    <d v="2023-06-28T00:00:00"/>
    <d v="2023-07-10T19:01:40"/>
    <m/>
    <d v="2023-07-10T00:00:00"/>
    <n v="1119"/>
    <n v="2758"/>
    <s v="8073469"/>
    <s v="8073469"/>
    <m/>
    <m/>
    <n v="22776862"/>
    <m/>
    <m/>
    <m/>
    <s v="SOLFIN"/>
    <s v="SOLFIN"/>
    <s v="CCMS"/>
    <n v="21349522"/>
    <n v="0"/>
    <m/>
    <s v="N"/>
    <n v="1"/>
    <d v="2023-07-10T19:01:52"/>
    <s v="N"/>
    <s v="NIL BILL"/>
    <s v="VHCC"/>
    <s v="Profit Cost"/>
    <s v="Christopher Stott"/>
    <s v="N"/>
    <n v="0"/>
    <n v="0"/>
    <x v="2"/>
    <s v="VALIDATED"/>
    <n v="1"/>
    <s v="01.11.80.202.6100.0000"/>
    <n v="0"/>
    <s v="11"/>
    <s v="6100"/>
    <n v="0"/>
    <n v="0"/>
    <s v="ZERO"/>
    <n v="0"/>
    <n v="0"/>
    <n v="0"/>
    <n v="0"/>
    <n v="0"/>
  </r>
  <r>
    <n v="60421872"/>
    <s v="N"/>
    <n v="21349987"/>
    <s v="3000014708000008"/>
    <s v="CIVIL"/>
    <d v="2023-06-17T00:00:00"/>
    <d v="2023-07-10T19:01:40"/>
    <m/>
    <d v="2023-07-10T00:00:00"/>
    <n v="1122"/>
    <n v="14376"/>
    <s v="60421872"/>
    <s v="60421872"/>
    <m/>
    <m/>
    <n v="22710748"/>
    <m/>
    <m/>
    <m/>
    <s v="SOLFIN"/>
    <s v="SOLFIN"/>
    <s v="CCMS"/>
    <n v="21349987"/>
    <n v="21374.31"/>
    <m/>
    <s v="N"/>
    <n v="656"/>
    <d v="2023-07-10T19:02:06"/>
    <s v="Y"/>
    <s v="Report - other report"/>
    <s v="Care Remuneration Hourly Rates"/>
    <s v="Profit Cost"/>
    <s v="Mark Pearson"/>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128"/>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67"/>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301"/>
    <d v="2023-07-10T19:02:06"/>
    <s v="Y"/>
    <s v="Routine Letter Out"/>
    <s v="Care Remuneration Hourly Rates"/>
    <s v="Profit Cost"/>
    <s v="MP"/>
    <s v="Y"/>
    <n v="29.7"/>
    <n v="0"/>
    <x v="2"/>
    <s v="VALIDATED"/>
    <n v="1"/>
    <s v="01.11.80.308.6100.0000"/>
    <n v="29.7"/>
    <s v="11"/>
    <s v="6100"/>
    <n v="7799.21"/>
    <n v="29.7"/>
    <s v="CREDITOR"/>
    <n v="0"/>
    <n v="0"/>
    <n v="0"/>
    <n v="0"/>
    <n v="29.7"/>
  </r>
  <r>
    <n v="60421872"/>
    <s v="N"/>
    <n v="21349987"/>
    <s v="3000014708000008"/>
    <s v="CIVIL"/>
    <d v="2023-06-17T00:00:00"/>
    <d v="2023-07-10T19:01:40"/>
    <m/>
    <d v="2023-07-10T00:00:00"/>
    <n v="1122"/>
    <n v="14376"/>
    <s v="60421872"/>
    <s v="60421872"/>
    <m/>
    <m/>
    <n v="22710748"/>
    <m/>
    <m/>
    <m/>
    <s v="SOLFIN"/>
    <s v="SOLFIN"/>
    <s v="CCMS"/>
    <n v="21349987"/>
    <n v="21374.31"/>
    <m/>
    <s v="N"/>
    <n v="46"/>
    <d v="2023-07-10T19:02:06"/>
    <s v="Y"/>
    <s v="Report - other report"/>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706"/>
    <d v="2023-07-10T19:02:06"/>
    <s v="Y"/>
    <s v="Hearing Unit 2.31 - 5.00 Hours"/>
    <s v="Public Law Children"/>
    <s v="Advocacy"/>
    <s v="MP"/>
    <s v="Y"/>
    <n v="476.92"/>
    <n v="0"/>
    <x v="2"/>
    <s v="VALIDATED"/>
    <n v="1"/>
    <s v="01.11.80.308.6100.0000"/>
    <n v="476.92"/>
    <s v="11"/>
    <s v="6100"/>
    <n v="7799.21"/>
    <n v="476.92"/>
    <s v="CREDITOR"/>
    <n v="0"/>
    <n v="0"/>
    <n v="0"/>
    <n v="0"/>
    <n v="476.92"/>
  </r>
  <r>
    <n v="60421872"/>
    <s v="N"/>
    <n v="21356517"/>
    <s v="3000014708000006RC"/>
    <s v="CIVIL"/>
    <d v="2023-06-17T00:00:00"/>
    <d v="2023-07-10T19:47:44"/>
    <m/>
    <d v="2023-07-10T00:00:00"/>
    <n v="1122"/>
    <n v="14376"/>
    <s v="60421872"/>
    <s v="60421872"/>
    <m/>
    <m/>
    <m/>
    <m/>
    <m/>
    <m/>
    <s v="SOLRECOUP"/>
    <s v="SOLRECOUP"/>
    <s v="POARECOUP"/>
    <n v="21356517"/>
    <n v="-12683.56"/>
    <m/>
    <s v="Y"/>
    <n v="2"/>
    <d v="2023-07-10T19:47:45"/>
    <s v="N"/>
    <m/>
    <m/>
    <s v="Profit Cost"/>
    <m/>
    <s v="N"/>
    <n v="0"/>
    <n v="0"/>
    <x v="2"/>
    <s v="VALIDATED"/>
    <n v="1"/>
    <s v="01.11.80.000.0000.0000"/>
    <n v="0"/>
    <s v="11"/>
    <s v="0000"/>
    <n v="7799.21"/>
    <n v="0"/>
    <s v="CREDITOR"/>
    <n v="0"/>
    <n v="0"/>
    <n v="0"/>
    <n v="0"/>
    <n v="0"/>
  </r>
  <r>
    <n v="60421872"/>
    <s v="N"/>
    <n v="21356517"/>
    <s v="3000014708000006RC"/>
    <s v="CIVIL"/>
    <d v="2023-06-17T00:00:00"/>
    <d v="2023-07-10T19:47:44"/>
    <m/>
    <d v="2023-07-10T00:00:00"/>
    <n v="1122"/>
    <n v="14376"/>
    <s v="60421872"/>
    <s v="60421872"/>
    <m/>
    <m/>
    <m/>
    <m/>
    <m/>
    <m/>
    <s v="SOLRECOUP"/>
    <s v="SOLRECOUP"/>
    <s v="POARECOUP"/>
    <n v="21356517"/>
    <n v="-12683.56"/>
    <m/>
    <s v="Y"/>
    <n v="1"/>
    <d v="2023-07-10T19:47:45"/>
    <s v="N"/>
    <m/>
    <m/>
    <s v="Profit Cost"/>
    <m/>
    <s v="N"/>
    <n v="-12683.56"/>
    <n v="0"/>
    <x v="2"/>
    <s v="VALIDATED"/>
    <n v="1"/>
    <s v="01.11.80.308.2013.0000"/>
    <n v="-12683.56"/>
    <s v="11"/>
    <s v="2013"/>
    <n v="7799.21"/>
    <n v="-12683.56"/>
    <s v="CREDITOR"/>
    <n v="0"/>
    <n v="0"/>
    <n v="-12683.56"/>
    <n v="-3170.89"/>
    <n v="0"/>
  </r>
  <r>
    <n v="60421872"/>
    <s v="N"/>
    <n v="21349987"/>
    <s v="3000014708000008"/>
    <s v="CIVIL"/>
    <d v="2023-06-17T00:00:00"/>
    <d v="2023-07-10T19:01:40"/>
    <m/>
    <d v="2023-07-10T00:00:00"/>
    <n v="1122"/>
    <n v="14376"/>
    <s v="60421872"/>
    <s v="60421872"/>
    <m/>
    <m/>
    <n v="22710748"/>
    <m/>
    <m/>
    <m/>
    <s v="SOLFIN"/>
    <s v="SOLFIN"/>
    <s v="CCMS"/>
    <n v="21349987"/>
    <n v="21374.31"/>
    <m/>
    <s v="N"/>
    <n v="299"/>
    <d v="2023-07-10T19:02:06"/>
    <s v="Y"/>
    <s v="Routine Letter In"/>
    <s v="Care Remuneration Hourly Rates"/>
    <s v="Profit Cost"/>
    <s v="MP"/>
    <s v="Y"/>
    <n v="31.91"/>
    <n v="0"/>
    <x v="2"/>
    <s v="VALIDATED"/>
    <n v="1"/>
    <s v="01.11.80.308.6100.0000"/>
    <n v="31.91"/>
    <s v="11"/>
    <s v="6100"/>
    <n v="7799.21"/>
    <n v="31.91"/>
    <s v="CREDITOR"/>
    <n v="0"/>
    <n v="0"/>
    <n v="0"/>
    <n v="0"/>
    <n v="31.91"/>
  </r>
  <r>
    <n v="60421872"/>
    <s v="N"/>
    <n v="21349987"/>
    <s v="3000014708000008"/>
    <s v="CIVIL"/>
    <d v="2023-06-17T00:00:00"/>
    <d v="2023-07-10T19:01:40"/>
    <m/>
    <d v="2023-07-10T00:00:00"/>
    <n v="1122"/>
    <n v="14376"/>
    <s v="60421872"/>
    <s v="60421872"/>
    <m/>
    <m/>
    <n v="22710748"/>
    <m/>
    <m/>
    <m/>
    <s v="SOLFIN"/>
    <s v="SOLFIN"/>
    <s v="CCMS"/>
    <n v="21349987"/>
    <n v="21374.31"/>
    <m/>
    <s v="N"/>
    <n v="337"/>
    <d v="2023-07-10T19:02:06"/>
    <s v="Y"/>
    <s v="Preparation - other"/>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89"/>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23"/>
    <d v="2023-07-10T19:02:06"/>
    <s v="Y"/>
    <s v="Preparation - other"/>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89"/>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116"/>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519"/>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291"/>
    <d v="2023-07-10T19:02:06"/>
    <s v="Y"/>
    <s v="Routine Letter Out"/>
    <s v="Care Remuneration Hourly Rates"/>
    <s v="Profit Cost"/>
    <s v="MP"/>
    <s v="Y"/>
    <n v="25.46"/>
    <n v="0"/>
    <x v="2"/>
    <s v="VALIDATED"/>
    <n v="1"/>
    <s v="01.11.80.308.6100.0000"/>
    <n v="25.46"/>
    <s v="11"/>
    <s v="6100"/>
    <n v="7799.21"/>
    <n v="25.46"/>
    <s v="CREDITOR"/>
    <n v="0"/>
    <n v="0"/>
    <n v="0"/>
    <n v="0"/>
    <n v="25.46"/>
  </r>
  <r>
    <n v="60421872"/>
    <s v="N"/>
    <n v="21349987"/>
    <s v="3000014708000008"/>
    <s v="CIVIL"/>
    <d v="2023-06-17T00:00:00"/>
    <d v="2023-07-10T19:01:40"/>
    <m/>
    <d v="2023-07-10T00:00:00"/>
    <n v="1122"/>
    <n v="14376"/>
    <s v="60421872"/>
    <s v="60421872"/>
    <m/>
    <m/>
    <n v="22710748"/>
    <m/>
    <m/>
    <m/>
    <s v="SOLFIN"/>
    <s v="SOLFIN"/>
    <s v="CCMS"/>
    <n v="21349987"/>
    <n v="21374.31"/>
    <m/>
    <s v="N"/>
    <n v="562"/>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693"/>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300"/>
    <d v="2023-07-10T19:02:06"/>
    <s v="Y"/>
    <s v="Attendance upon clien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170"/>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74"/>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443"/>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452"/>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90"/>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34"/>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2"/>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35"/>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175"/>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1"/>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70"/>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72"/>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1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47"/>
    <d v="2023-07-10T19:02:06"/>
    <s v="Y"/>
    <s v="Routine Letter In"/>
    <s v="Care Remuneration Hourly Rates"/>
    <s v="Profit Cost"/>
    <s v="MP"/>
    <s v="Y"/>
    <n v="63.83"/>
    <n v="0"/>
    <x v="2"/>
    <s v="VALIDATED"/>
    <n v="1"/>
    <s v="01.11.80.308.6100.0000"/>
    <n v="63.83"/>
    <s v="11"/>
    <s v="6100"/>
    <n v="7799.21"/>
    <n v="63.83"/>
    <s v="CREDITOR"/>
    <n v="0"/>
    <n v="0"/>
    <n v="0"/>
    <n v="0"/>
    <n v="63.83"/>
  </r>
  <r>
    <n v="60421872"/>
    <s v="N"/>
    <n v="21349987"/>
    <s v="3000014708000008"/>
    <s v="CIVIL"/>
    <d v="2023-06-17T00:00:00"/>
    <d v="2023-07-10T19:01:40"/>
    <m/>
    <d v="2023-07-10T00:00:00"/>
    <n v="1122"/>
    <n v="14376"/>
    <s v="60421872"/>
    <s v="60421872"/>
    <m/>
    <m/>
    <n v="22710748"/>
    <m/>
    <m/>
    <m/>
    <s v="SOLFIN"/>
    <s v="SOLFIN"/>
    <s v="CCMS"/>
    <n v="21349987"/>
    <n v="21374.31"/>
    <m/>
    <s v="N"/>
    <n v="243"/>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83"/>
    <d v="2023-07-10T19:02:06"/>
    <s v="Y"/>
    <s v="Routine Letter In"/>
    <s v="Care Remuneration Hourly Rates"/>
    <s v="Profit Cost"/>
    <s v="Mark Pearson"/>
    <s v="Y"/>
    <n v="40.42"/>
    <n v="0"/>
    <x v="2"/>
    <s v="VALIDATED"/>
    <n v="1"/>
    <s v="01.11.80.308.6100.0000"/>
    <n v="40.42"/>
    <s v="11"/>
    <s v="6100"/>
    <n v="7799.21"/>
    <n v="40.42"/>
    <s v="CREDITOR"/>
    <n v="0"/>
    <n v="0"/>
    <n v="0"/>
    <n v="0"/>
    <n v="40.42"/>
  </r>
  <r>
    <n v="60421872"/>
    <s v="N"/>
    <n v="21349987"/>
    <s v="3000014708000008"/>
    <s v="CIVIL"/>
    <d v="2023-06-17T00:00:00"/>
    <d v="2023-07-10T19:01:40"/>
    <m/>
    <d v="2023-07-10T00:00:00"/>
    <n v="1122"/>
    <n v="14376"/>
    <s v="60421872"/>
    <s v="60421872"/>
    <m/>
    <m/>
    <n v="22710748"/>
    <m/>
    <m/>
    <m/>
    <s v="SOLFIN"/>
    <s v="SOLFIN"/>
    <s v="CCMS"/>
    <n v="21349987"/>
    <n v="21374.31"/>
    <m/>
    <s v="N"/>
    <n v="275"/>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26"/>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5"/>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34"/>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536"/>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55"/>
    <d v="2023-07-10T19:02:06"/>
    <s v="Y"/>
    <s v="Preparation - other"/>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427"/>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66"/>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343"/>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11"/>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486"/>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7"/>
    <d v="2023-07-10T19:02:06"/>
    <s v="Y"/>
    <s v="Toxicologist"/>
    <s v="Public Law Children"/>
    <s v="Expert Disbursement"/>
    <s v="Lextox"/>
    <s v="Y"/>
    <n v="608.6"/>
    <n v="121.72"/>
    <x v="2"/>
    <s v="VALIDATED"/>
    <n v="1"/>
    <s v="01.11.80.308.6300.0000"/>
    <n v="608.6"/>
    <s v="11"/>
    <s v="6300"/>
    <n v="7799.21"/>
    <n v="608.6"/>
    <s v="CREDITOR"/>
    <n v="0"/>
    <n v="0"/>
    <n v="0"/>
    <n v="0"/>
    <n v="608.6"/>
  </r>
  <r>
    <n v="60421872"/>
    <s v="N"/>
    <n v="21349987"/>
    <s v="3000014708000008"/>
    <s v="CIVIL"/>
    <d v="2023-06-17T00:00:00"/>
    <d v="2023-07-10T19:01:40"/>
    <m/>
    <d v="2023-07-10T00:00:00"/>
    <n v="1122"/>
    <n v="14376"/>
    <s v="60421872"/>
    <s v="60421872"/>
    <m/>
    <m/>
    <n v="22710748"/>
    <m/>
    <m/>
    <m/>
    <s v="SOLFIN"/>
    <s v="SOLFIN"/>
    <s v="CCMS"/>
    <n v="21349987"/>
    <n v="21374.31"/>
    <m/>
    <s v="N"/>
    <n v="662"/>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77"/>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252"/>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700"/>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58"/>
    <d v="2023-07-10T19:02:06"/>
    <s v="Y"/>
    <s v="Report - other report"/>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705"/>
    <d v="2023-07-10T19:02:06"/>
    <s v="Y"/>
    <s v="Hearing Unit 2.31 - 5.00 Hours"/>
    <s v="Public Law Children"/>
    <s v="Advocacy"/>
    <s v="MP"/>
    <s v="Y"/>
    <n v="476.92"/>
    <n v="0"/>
    <x v="2"/>
    <s v="VALIDATED"/>
    <n v="1"/>
    <s v="01.11.80.308.6100.0000"/>
    <n v="476.92"/>
    <s v="11"/>
    <s v="6100"/>
    <n v="7799.21"/>
    <n v="476.92"/>
    <s v="CREDITOR"/>
    <n v="0"/>
    <n v="0"/>
    <n v="0"/>
    <n v="0"/>
    <n v="476.92"/>
  </r>
  <r>
    <n v="60421872"/>
    <s v="N"/>
    <n v="21349987"/>
    <s v="3000014708000008"/>
    <s v="CIVIL"/>
    <d v="2023-06-17T00:00:00"/>
    <d v="2023-07-10T19:01:40"/>
    <m/>
    <d v="2023-07-10T00:00:00"/>
    <n v="1122"/>
    <n v="14376"/>
    <s v="60421872"/>
    <s v="60421872"/>
    <m/>
    <m/>
    <n v="22710748"/>
    <m/>
    <m/>
    <m/>
    <s v="SOLFIN"/>
    <s v="SOLFIN"/>
    <s v="CCMS"/>
    <n v="21349987"/>
    <n v="21374.31"/>
    <m/>
    <s v="N"/>
    <n v="322"/>
    <d v="2023-07-10T19:02:06"/>
    <s v="Y"/>
    <s v="Preparation - other"/>
    <s v="Care Remuneration Hourly Rates"/>
    <s v="Profit Cost"/>
    <s v="Mark Pearson"/>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18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91"/>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52"/>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05"/>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55"/>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57"/>
    <d v="2023-07-10T19:02:06"/>
    <s v="Y"/>
    <s v="Routine Telephone Call"/>
    <s v="Care Remuneration Hourly Rates"/>
    <s v="Profit Cost"/>
    <s v="Mark Pearson"/>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526"/>
    <d v="2023-07-10T19:02:06"/>
    <s v="Y"/>
    <s v="Attendance upon client"/>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260"/>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398"/>
    <d v="2023-07-10T19:02:06"/>
    <s v="Y"/>
    <s v="Preparation - other"/>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01"/>
    <d v="2023-07-10T19:02:06"/>
    <s v="Y"/>
    <s v="Preparation - drafting pleadings"/>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40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33"/>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284"/>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286"/>
    <d v="2023-07-10T19:02:06"/>
    <s v="Y"/>
    <s v="Routine Letter In"/>
    <s v="Care Remuneration Hourly Rates"/>
    <s v="Profit Cost"/>
    <s v="15"/>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38"/>
    <d v="2023-07-10T19:02:06"/>
    <s v="Y"/>
    <s v="Routine Letter In"/>
    <s v="Care Remuneration Hourly Rates"/>
    <s v="Profit Cost"/>
    <s v="MP"/>
    <s v="Y"/>
    <n v="21.28"/>
    <n v="0"/>
    <x v="2"/>
    <s v="VALIDATED"/>
    <n v="1"/>
    <s v="01.11.80.308.6100.0000"/>
    <n v="21.28"/>
    <s v="11"/>
    <s v="6100"/>
    <n v="7799.21"/>
    <n v="21.28"/>
    <s v="CREDITOR"/>
    <n v="0"/>
    <n v="0"/>
    <n v="0"/>
    <n v="0"/>
    <n v="21.28"/>
  </r>
  <r>
    <n v="60421872"/>
    <s v="N"/>
    <n v="21349987"/>
    <s v="3000014708000008"/>
    <s v="CIVIL"/>
    <d v="2023-06-17T00:00:00"/>
    <d v="2023-07-10T19:01:40"/>
    <m/>
    <d v="2023-07-10T00:00:00"/>
    <n v="1122"/>
    <n v="14376"/>
    <s v="60421872"/>
    <s v="60421872"/>
    <m/>
    <m/>
    <n v="22710748"/>
    <m/>
    <m/>
    <m/>
    <s v="SOLFIN"/>
    <s v="SOLFIN"/>
    <s v="CCMS"/>
    <n v="21349987"/>
    <n v="21374.31"/>
    <m/>
    <s v="N"/>
    <n v="179"/>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1"/>
    <d v="2023-07-10T19:02:06"/>
    <s v="N"/>
    <s v="Toxicologist"/>
    <s v="Public Law Children"/>
    <s v="Expert Disbursement"/>
    <s v="Lextox"/>
    <s v="N"/>
    <n v="277.8"/>
    <n v="55.56"/>
    <x v="2"/>
    <s v="VALIDATED"/>
    <n v="1"/>
    <s v="01.11.80.308.6300.0000"/>
    <n v="277.8"/>
    <s v="11"/>
    <s v="6300"/>
    <n v="7799.21"/>
    <n v="277.8"/>
    <s v="CREDITOR"/>
    <n v="0"/>
    <n v="0"/>
    <n v="0"/>
    <n v="0"/>
    <n v="277.8"/>
  </r>
  <r>
    <n v="60421872"/>
    <s v="N"/>
    <n v="21349987"/>
    <s v="3000014708000008"/>
    <s v="CIVIL"/>
    <d v="2023-06-17T00:00:00"/>
    <d v="2023-07-10T19:01:40"/>
    <m/>
    <d v="2023-07-10T00:00:00"/>
    <n v="1122"/>
    <n v="14376"/>
    <s v="60421872"/>
    <s v="60421872"/>
    <m/>
    <m/>
    <n v="22710748"/>
    <m/>
    <m/>
    <m/>
    <s v="SOLFIN"/>
    <s v="SOLFIN"/>
    <s v="CCMS"/>
    <n v="21349987"/>
    <n v="21374.31"/>
    <m/>
    <s v="N"/>
    <n v="245"/>
    <d v="2023-07-10T19:02:06"/>
    <s v="Y"/>
    <s v="Attendance upon clien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272"/>
    <d v="2023-07-10T19:02:06"/>
    <s v="Y"/>
    <s v="Report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99"/>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48"/>
    <d v="2023-07-10T19:02:06"/>
    <s v="Y"/>
    <s v="Attendance upon client"/>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42"/>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409"/>
    <d v="2023-07-10T19:02:06"/>
    <s v="Y"/>
    <s v="Preparation - drafting statement"/>
    <s v="Care Remuneration Hourly Rates"/>
    <s v="Profit Cost"/>
    <s v="MP"/>
    <s v="Y"/>
    <n v="201.17"/>
    <n v="0"/>
    <x v="2"/>
    <s v="VALIDATED"/>
    <n v="1"/>
    <s v="01.11.80.308.6100.0000"/>
    <n v="201.17"/>
    <s v="11"/>
    <s v="6100"/>
    <n v="7799.21"/>
    <n v="201.17"/>
    <s v="CREDITOR"/>
    <n v="0"/>
    <n v="0"/>
    <n v="0"/>
    <n v="0"/>
    <n v="201.17"/>
  </r>
  <r>
    <n v="60421872"/>
    <s v="N"/>
    <n v="21349987"/>
    <s v="3000014708000008"/>
    <s v="CIVIL"/>
    <d v="2023-06-17T00:00:00"/>
    <d v="2023-07-10T19:01:40"/>
    <m/>
    <d v="2023-07-10T00:00:00"/>
    <n v="1122"/>
    <n v="14376"/>
    <s v="60421872"/>
    <s v="60421872"/>
    <m/>
    <m/>
    <n v="22710748"/>
    <m/>
    <m/>
    <m/>
    <s v="SOLFIN"/>
    <s v="SOLFIN"/>
    <s v="CCMS"/>
    <n v="21349987"/>
    <n v="21374.31"/>
    <m/>
    <s v="N"/>
    <n v="271"/>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16"/>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142"/>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95"/>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309"/>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05"/>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613"/>
    <d v="2023-07-10T19:02:06"/>
    <s v="Y"/>
    <s v="Report - other report"/>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18"/>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67"/>
    <d v="2023-07-10T19:02:06"/>
    <s v="Y"/>
    <s v="Preparation - other"/>
    <s v="Care Remuneration Hourly Rates"/>
    <s v="Profit Cost"/>
    <s v="MP"/>
    <s v="Y"/>
    <n v="121.76"/>
    <n v="0"/>
    <x v="2"/>
    <s v="VALIDATED"/>
    <n v="1"/>
    <s v="01.11.80.308.6100.0000"/>
    <n v="121.76"/>
    <s v="11"/>
    <s v="6100"/>
    <n v="7799.21"/>
    <n v="121.76"/>
    <s v="CREDITOR"/>
    <n v="0"/>
    <n v="0"/>
    <n v="0"/>
    <n v="0"/>
    <n v="121.76"/>
  </r>
  <r>
    <n v="60421872"/>
    <s v="N"/>
    <n v="21349987"/>
    <s v="3000014708000008"/>
    <s v="CIVIL"/>
    <d v="2023-06-17T00:00:00"/>
    <d v="2023-07-10T19:01:40"/>
    <m/>
    <d v="2023-07-10T00:00:00"/>
    <n v="1122"/>
    <n v="14376"/>
    <s v="60421872"/>
    <s v="60421872"/>
    <m/>
    <m/>
    <n v="22710748"/>
    <m/>
    <m/>
    <m/>
    <s v="SOLFIN"/>
    <s v="SOLFIN"/>
    <s v="CCMS"/>
    <n v="21349987"/>
    <n v="21374.31"/>
    <m/>
    <s v="N"/>
    <n v="10"/>
    <d v="2023-07-10T19:02:06"/>
    <s v="Y"/>
    <s v="Psychologist"/>
    <s v="Care Remuneration Hourly Rates"/>
    <s v="Expert Disbursement"/>
    <s v="Dr Emily Phibbs"/>
    <s v="Y"/>
    <n v="1078.77"/>
    <n v="215.75"/>
    <x v="2"/>
    <s v="VALIDATED"/>
    <n v="1"/>
    <s v="01.11.80.308.6300.0000"/>
    <n v="1078.77"/>
    <s v="11"/>
    <s v="6300"/>
    <n v="7799.21"/>
    <n v="1078.77"/>
    <s v="CREDITOR"/>
    <n v="0"/>
    <n v="0"/>
    <n v="0"/>
    <n v="0"/>
    <n v="1078.77"/>
  </r>
  <r>
    <n v="60421872"/>
    <s v="N"/>
    <n v="21349987"/>
    <s v="3000014708000008"/>
    <s v="CIVIL"/>
    <d v="2023-06-17T00:00:00"/>
    <d v="2023-07-10T19:01:40"/>
    <m/>
    <d v="2023-07-10T00:00:00"/>
    <n v="1122"/>
    <n v="14376"/>
    <s v="60421872"/>
    <s v="60421872"/>
    <m/>
    <m/>
    <n v="22710748"/>
    <m/>
    <m/>
    <m/>
    <s v="SOLFIN"/>
    <s v="SOLFIN"/>
    <s v="CCMS"/>
    <n v="21349987"/>
    <n v="21374.31"/>
    <m/>
    <s v="N"/>
    <n v="667"/>
    <d v="2023-07-10T19:02:06"/>
    <s v="Y"/>
    <s v="Routine Letter In"/>
    <s v="Care Remuneration Hourly Rates"/>
    <s v="Profit Cost"/>
    <s v="Mark Pearson"/>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668"/>
    <d v="2023-07-10T19:02:06"/>
    <s v="Y"/>
    <s v="Attendance upon client"/>
    <s v="Care Remuneration Hourly Rates"/>
    <s v="Profit Cost"/>
    <s v="Mark Pearson"/>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259"/>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410"/>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281"/>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181"/>
    <d v="2023-07-10T19:02:06"/>
    <s v="Y"/>
    <s v="Preparation - Periodic file review"/>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608"/>
    <d v="2023-07-10T19:02:06"/>
    <s v="Y"/>
    <s v="Preparation - other"/>
    <s v="Care Remuneration Hourly Rates"/>
    <s v="Profit Cost"/>
    <s v="MP"/>
    <s v="Y"/>
    <n v="10.13"/>
    <n v="0"/>
    <x v="2"/>
    <s v="VALIDATED"/>
    <n v="1"/>
    <s v="01.11.80.308.6100.0000"/>
    <n v="10.13"/>
    <s v="11"/>
    <s v="6100"/>
    <n v="7799.21"/>
    <n v="10.13"/>
    <s v="CREDITOR"/>
    <n v="0"/>
    <n v="0"/>
    <n v="0"/>
    <n v="0"/>
    <n v="10.13"/>
  </r>
  <r>
    <n v="60421872"/>
    <s v="N"/>
    <n v="21349987"/>
    <s v="3000014708000008"/>
    <s v="CIVIL"/>
    <d v="2023-06-17T00:00:00"/>
    <d v="2023-07-10T19:01:40"/>
    <m/>
    <d v="2023-07-10T00:00:00"/>
    <n v="1122"/>
    <n v="14376"/>
    <s v="60421872"/>
    <s v="60421872"/>
    <m/>
    <m/>
    <n v="22710748"/>
    <m/>
    <m/>
    <m/>
    <s v="SOLFIN"/>
    <s v="SOLFIN"/>
    <s v="CCMS"/>
    <n v="21349987"/>
    <n v="21374.31"/>
    <m/>
    <s v="N"/>
    <n v="191"/>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481"/>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05"/>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229"/>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31"/>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00"/>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664"/>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689"/>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162"/>
    <d v="2023-07-10T19:02:06"/>
    <s v="Y"/>
    <s v="Report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6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12"/>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53"/>
    <d v="2023-07-10T19:02:06"/>
    <s v="Y"/>
    <s v="Preparation - drafting instructions"/>
    <s v="Care Remuneration Hourly Rates"/>
    <s v="Profit Cost"/>
    <s v="MP"/>
    <s v="Y"/>
    <n v="74.12"/>
    <n v="0"/>
    <x v="2"/>
    <s v="VALIDATED"/>
    <n v="1"/>
    <s v="01.11.80.308.6100.0000"/>
    <n v="74.12"/>
    <s v="11"/>
    <s v="6100"/>
    <n v="7799.21"/>
    <n v="74.12"/>
    <s v="CREDITOR"/>
    <n v="0"/>
    <n v="0"/>
    <n v="0"/>
    <n v="0"/>
    <n v="74.12"/>
  </r>
  <r>
    <n v="60421872"/>
    <s v="N"/>
    <n v="21349987"/>
    <s v="3000014708000008"/>
    <s v="CIVIL"/>
    <d v="2023-06-17T00:00:00"/>
    <d v="2023-07-10T19:01:40"/>
    <m/>
    <d v="2023-07-10T00:00:00"/>
    <n v="1122"/>
    <n v="14376"/>
    <s v="60421872"/>
    <s v="60421872"/>
    <m/>
    <m/>
    <n v="22710748"/>
    <m/>
    <m/>
    <m/>
    <s v="SOLFIN"/>
    <s v="SOLFIN"/>
    <s v="CCMS"/>
    <n v="21349987"/>
    <n v="21374.31"/>
    <m/>
    <s v="N"/>
    <n v="471"/>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91"/>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106"/>
    <d v="2023-07-10T19:02:06"/>
    <s v="Y"/>
    <s v="Preparation - drafting attendance n"/>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86"/>
    <d v="2023-07-10T19:02:06"/>
    <s v="Y"/>
    <s v="Report - Medical report"/>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325"/>
    <d v="2023-07-10T19:02:06"/>
    <s v="Y"/>
    <s v="Attendance upon client"/>
    <s v="Care Remuneration Hourly Rates"/>
    <s v="Profit Cost"/>
    <s v="Mark Pearson"/>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196"/>
    <d v="2023-07-10T19:02:06"/>
    <s v="Y"/>
    <s v="Attendance upon client"/>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621"/>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523"/>
    <d v="2023-07-10T19:02:06"/>
    <s v="Y"/>
    <s v="Report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4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7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9"/>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92"/>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02"/>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72"/>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1"/>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422"/>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20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06"/>
    <d v="2023-07-10T19:02:06"/>
    <s v="Y"/>
    <s v="Routine Telephone Call"/>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24"/>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63"/>
    <d v="2023-07-10T19:02:06"/>
    <s v="Y"/>
    <s v="Routine Letter In"/>
    <s v="Care Remuneration Hourly Rates"/>
    <s v="Profit Cost"/>
    <s v="Mark Pearson"/>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353"/>
    <d v="2023-07-10T19:02:06"/>
    <s v="Y"/>
    <s v="Preparation - other"/>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45"/>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262"/>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125"/>
    <d v="2023-07-10T19:02:06"/>
    <s v="Y"/>
    <s v="Routine Letter Out"/>
    <s v="Care Remuneration Hourly Rates"/>
    <s v="Profit Cost"/>
    <s v="MP"/>
    <s v="Y"/>
    <n v="55.17"/>
    <n v="0"/>
    <x v="2"/>
    <s v="VALIDATED"/>
    <n v="1"/>
    <s v="01.11.80.308.6100.0000"/>
    <n v="55.17"/>
    <s v="11"/>
    <s v="6100"/>
    <n v="7799.21"/>
    <n v="55.17"/>
    <s v="CREDITOR"/>
    <n v="0"/>
    <n v="0"/>
    <n v="0"/>
    <n v="0"/>
    <n v="55.17"/>
  </r>
  <r>
    <n v="60421872"/>
    <s v="N"/>
    <n v="21349987"/>
    <s v="3000014708000008"/>
    <s v="CIVIL"/>
    <d v="2023-06-17T00:00:00"/>
    <d v="2023-07-10T19:01:40"/>
    <m/>
    <d v="2023-07-10T00:00:00"/>
    <n v="1122"/>
    <n v="14376"/>
    <s v="60421872"/>
    <s v="60421872"/>
    <m/>
    <m/>
    <n v="22710748"/>
    <m/>
    <m/>
    <m/>
    <s v="SOLFIN"/>
    <s v="SOLFIN"/>
    <s v="CCMS"/>
    <n v="21349987"/>
    <n v="21374.31"/>
    <m/>
    <s v="N"/>
    <n v="140"/>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
    <d v="2023-07-10T19:02:06"/>
    <s v="Y"/>
    <s v="Psychiatrist"/>
    <s v="Care Remuneration Hourly Rates"/>
    <s v="Expert Disbursement"/>
    <s v="Professor Fox"/>
    <s v="Y"/>
    <n v="691.2"/>
    <n v="138.24"/>
    <x v="2"/>
    <s v="VALIDATED"/>
    <n v="1"/>
    <s v="01.11.80.308.6300.0000"/>
    <n v="691.2"/>
    <s v="11"/>
    <s v="6300"/>
    <n v="7799.21"/>
    <n v="691.2"/>
    <s v="CREDITOR"/>
    <n v="0"/>
    <n v="0"/>
    <n v="0"/>
    <n v="0"/>
    <n v="691.2"/>
  </r>
  <r>
    <n v="60421872"/>
    <s v="N"/>
    <n v="21349987"/>
    <s v="3000014708000008"/>
    <s v="CIVIL"/>
    <d v="2023-06-17T00:00:00"/>
    <d v="2023-07-10T19:01:40"/>
    <m/>
    <d v="2023-07-10T00:00:00"/>
    <n v="1122"/>
    <n v="14376"/>
    <s v="60421872"/>
    <s v="60421872"/>
    <m/>
    <m/>
    <n v="22710748"/>
    <m/>
    <m/>
    <m/>
    <s v="SOLFIN"/>
    <s v="SOLFIN"/>
    <s v="CCMS"/>
    <n v="21349987"/>
    <n v="21374.31"/>
    <m/>
    <s v="N"/>
    <n v="12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58"/>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47"/>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58"/>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59"/>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327"/>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331"/>
    <d v="2023-07-10T19:02:06"/>
    <s v="Y"/>
    <s v="Preparation - drafting statement"/>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351"/>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88"/>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88"/>
    <d v="2023-07-10T19:02:06"/>
    <s v="Y"/>
    <s v="Routine Letter In"/>
    <s v="Care Remuneration Hourly Rates"/>
    <s v="Profit Cost"/>
    <s v="Mark Pearson"/>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682"/>
    <d v="2023-07-10T19:02:06"/>
    <s v="Y"/>
    <s v="Routine Letter In"/>
    <s v="Care Remuneration Hourly Rates"/>
    <s v="Profit Cost"/>
    <s v="Mark Pearson"/>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408"/>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445"/>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589"/>
    <d v="2023-07-10T19:02:06"/>
    <s v="Y"/>
    <s v="Preparation - drafting instructions"/>
    <s v="Care Remuneration Hourly Rates"/>
    <s v="Profit Cost"/>
    <s v="MP"/>
    <s v="Y"/>
    <n v="174.7"/>
    <n v="0"/>
    <x v="2"/>
    <s v="VALIDATED"/>
    <n v="1"/>
    <s v="01.11.80.308.6100.0000"/>
    <n v="174.7"/>
    <s v="11"/>
    <s v="6100"/>
    <n v="7799.21"/>
    <n v="174.7"/>
    <s v="CREDITOR"/>
    <n v="0"/>
    <n v="0"/>
    <n v="0"/>
    <n v="0"/>
    <n v="174.7"/>
  </r>
  <r>
    <n v="60421872"/>
    <s v="N"/>
    <n v="21349987"/>
    <s v="3000014708000008"/>
    <s v="CIVIL"/>
    <d v="2023-06-17T00:00:00"/>
    <d v="2023-07-10T19:01:40"/>
    <m/>
    <d v="2023-07-10T00:00:00"/>
    <n v="1122"/>
    <n v="14376"/>
    <s v="60421872"/>
    <s v="60421872"/>
    <m/>
    <m/>
    <n v="22710748"/>
    <m/>
    <m/>
    <m/>
    <s v="SOLFIN"/>
    <s v="SOLFIN"/>
    <s v="CCMS"/>
    <n v="21349987"/>
    <n v="21374.31"/>
    <m/>
    <s v="N"/>
    <n v="85"/>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15"/>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208"/>
    <d v="2023-07-10T19:02:06"/>
    <s v="Y"/>
    <s v="Routine Letter In"/>
    <s v="Care Remuneration Hourly Rates"/>
    <s v="Profit Cost"/>
    <s v="MP"/>
    <s v="Y"/>
    <n v="29.79"/>
    <n v="0"/>
    <x v="2"/>
    <s v="VALIDATED"/>
    <n v="1"/>
    <s v="01.11.80.308.6100.0000"/>
    <n v="29.79"/>
    <s v="11"/>
    <s v="6100"/>
    <n v="7799.21"/>
    <n v="29.79"/>
    <s v="CREDITOR"/>
    <n v="0"/>
    <n v="0"/>
    <n v="0"/>
    <n v="0"/>
    <n v="29.79"/>
  </r>
  <r>
    <n v="60421872"/>
    <s v="N"/>
    <n v="21349987"/>
    <s v="3000014708000008"/>
    <s v="CIVIL"/>
    <d v="2023-06-17T00:00:00"/>
    <d v="2023-07-10T19:01:40"/>
    <m/>
    <d v="2023-07-10T00:00:00"/>
    <n v="1122"/>
    <n v="14376"/>
    <s v="60421872"/>
    <s v="60421872"/>
    <m/>
    <m/>
    <n v="22710748"/>
    <m/>
    <m/>
    <m/>
    <s v="SOLFIN"/>
    <s v="SOLFIN"/>
    <s v="CCMS"/>
    <n v="21349987"/>
    <n v="21374.31"/>
    <m/>
    <s v="N"/>
    <n v="358"/>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365"/>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9"/>
    <d v="2023-07-10T19:02:06"/>
    <s v="Y"/>
    <s v="Toxicologist"/>
    <s v="Public Law Children"/>
    <s v="Expert Disbursement"/>
    <s v="Lextox"/>
    <s v="Y"/>
    <n v="230.6"/>
    <n v="46.12"/>
    <x v="2"/>
    <s v="VALIDATED"/>
    <n v="1"/>
    <s v="01.11.80.308.6300.0000"/>
    <n v="230.6"/>
    <s v="11"/>
    <s v="6300"/>
    <n v="7799.21"/>
    <n v="230.6"/>
    <s v="CREDITOR"/>
    <n v="0"/>
    <n v="0"/>
    <n v="0"/>
    <n v="0"/>
    <n v="230.6"/>
  </r>
  <r>
    <n v="60421872"/>
    <s v="N"/>
    <n v="21349987"/>
    <s v="3000014708000008"/>
    <s v="CIVIL"/>
    <d v="2023-06-17T00:00:00"/>
    <d v="2023-07-10T19:01:40"/>
    <m/>
    <d v="2023-07-10T00:00:00"/>
    <n v="1122"/>
    <n v="14376"/>
    <s v="60421872"/>
    <s v="60421872"/>
    <m/>
    <m/>
    <n v="22710748"/>
    <m/>
    <m/>
    <m/>
    <s v="SOLFIN"/>
    <s v="SOLFIN"/>
    <s v="CCMS"/>
    <n v="21349987"/>
    <n v="21374.31"/>
    <m/>
    <s v="N"/>
    <n v="51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16"/>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530"/>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396"/>
    <d v="2023-07-10T19:02:06"/>
    <s v="Y"/>
    <s v="Preparation - other"/>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61"/>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86"/>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134"/>
    <d v="2023-07-10T19:02:06"/>
    <s v="Y"/>
    <s v="Report - Welfare report"/>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282"/>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150"/>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160"/>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168"/>
    <d v="2023-07-10T19:02:06"/>
    <s v="Y"/>
    <s v="Preparation - drafting instructions"/>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28"/>
    <d v="2023-07-10T19:02:06"/>
    <s v="Y"/>
    <s v="Routine Letter In"/>
    <s v="Care Remuneration Hourly Rates"/>
    <s v="Profit Cost"/>
    <s v="MP"/>
    <s v="Y"/>
    <n v="34.04"/>
    <n v="0"/>
    <x v="2"/>
    <s v="VALIDATED"/>
    <n v="1"/>
    <s v="01.11.80.308.6100.0000"/>
    <n v="34.04"/>
    <s v="11"/>
    <s v="6100"/>
    <n v="7799.21"/>
    <n v="34.04"/>
    <s v="CREDITOR"/>
    <n v="0"/>
    <n v="0"/>
    <n v="0"/>
    <n v="0"/>
    <n v="34.04"/>
  </r>
  <r>
    <n v="60421872"/>
    <s v="N"/>
    <n v="21349987"/>
    <s v="3000014708000008"/>
    <s v="CIVIL"/>
    <d v="2023-06-17T00:00:00"/>
    <d v="2023-07-10T19:01:40"/>
    <m/>
    <d v="2023-07-10T00:00:00"/>
    <n v="1122"/>
    <n v="14376"/>
    <s v="60421872"/>
    <s v="60421872"/>
    <m/>
    <m/>
    <n v="22710748"/>
    <m/>
    <m/>
    <m/>
    <s v="SOLFIN"/>
    <s v="SOLFIN"/>
    <s v="CCMS"/>
    <n v="21349987"/>
    <n v="21374.31"/>
    <m/>
    <s v="N"/>
    <n v="590"/>
    <d v="2023-07-10T19:02:06"/>
    <s v="Y"/>
    <s v="Report - other report"/>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482"/>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228"/>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111"/>
    <d v="2023-07-10T19:02:06"/>
    <s v="Y"/>
    <s v="Routine Telephone Call"/>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25"/>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671"/>
    <d v="2023-07-10T19:02:06"/>
    <s v="Y"/>
    <s v="Preparation - drafting pleadings"/>
    <s v="Care Remuneration Hourly Rates"/>
    <s v="Profit Cost"/>
    <s v="Mark Pearson"/>
    <s v="Y"/>
    <n v="79.41"/>
    <n v="0"/>
    <x v="2"/>
    <s v="VALIDATED"/>
    <n v="1"/>
    <s v="01.11.80.308.6100.0000"/>
    <n v="79.41"/>
    <s v="11"/>
    <s v="6100"/>
    <n v="7799.21"/>
    <n v="79.41"/>
    <s v="CREDITOR"/>
    <n v="0"/>
    <n v="0"/>
    <n v="0"/>
    <n v="0"/>
    <n v="79.41"/>
  </r>
  <r>
    <n v="60421872"/>
    <s v="N"/>
    <n v="21349987"/>
    <s v="3000014708000008"/>
    <s v="CIVIL"/>
    <d v="2023-06-17T00:00:00"/>
    <d v="2023-07-10T19:01:40"/>
    <m/>
    <d v="2023-07-10T00:00:00"/>
    <n v="1122"/>
    <n v="14376"/>
    <s v="60421872"/>
    <s v="60421872"/>
    <m/>
    <m/>
    <n v="22710748"/>
    <m/>
    <m/>
    <m/>
    <s v="SOLFIN"/>
    <s v="SOLFIN"/>
    <s v="CCMS"/>
    <n v="21349987"/>
    <n v="21374.31"/>
    <m/>
    <s v="N"/>
    <n v="384"/>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426"/>
    <d v="2023-07-10T19:02:06"/>
    <s v="Y"/>
    <s v="Preparation - other"/>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561"/>
    <d v="2023-07-10T19:02:06"/>
    <s v="Y"/>
    <s v="Routine Letter In"/>
    <s v="Care Remuneration Hourly Rates"/>
    <s v="Profit Cost"/>
    <s v="MP"/>
    <s v="Y"/>
    <n v="31.91"/>
    <n v="0"/>
    <x v="2"/>
    <s v="VALIDATED"/>
    <n v="1"/>
    <s v="01.11.80.308.6100.0000"/>
    <n v="31.91"/>
    <s v="11"/>
    <s v="6100"/>
    <n v="7799.21"/>
    <n v="31.91"/>
    <s v="CREDITOR"/>
    <n v="0"/>
    <n v="0"/>
    <n v="0"/>
    <n v="0"/>
    <n v="31.91"/>
  </r>
  <r>
    <n v="60421872"/>
    <s v="N"/>
    <n v="21349987"/>
    <s v="3000014708000008"/>
    <s v="CIVIL"/>
    <d v="2023-06-17T00:00:00"/>
    <d v="2023-07-10T19:01:40"/>
    <m/>
    <d v="2023-07-10T00:00:00"/>
    <n v="1122"/>
    <n v="14376"/>
    <s v="60421872"/>
    <s v="60421872"/>
    <m/>
    <m/>
    <n v="22710748"/>
    <m/>
    <m/>
    <m/>
    <s v="SOLFIN"/>
    <s v="SOLFIN"/>
    <s v="CCMS"/>
    <n v="21349987"/>
    <n v="21374.31"/>
    <m/>
    <s v="N"/>
    <n v="457"/>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616"/>
    <d v="2023-07-10T19:02:06"/>
    <s v="Y"/>
    <s v="Preparation - drafting statemen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68"/>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334"/>
    <d v="2023-07-10T19:02:06"/>
    <s v="Y"/>
    <s v="Attendance upon/with Counsel at Con"/>
    <s v="Care Remuneration Hourly Rates"/>
    <s v="Profit Cost"/>
    <s v="MP"/>
    <s v="Y"/>
    <n v="5.64"/>
    <n v="0"/>
    <x v="2"/>
    <s v="VALIDATED"/>
    <n v="1"/>
    <s v="01.11.80.308.6100.0000"/>
    <n v="5.64"/>
    <s v="11"/>
    <s v="6100"/>
    <n v="7799.21"/>
    <n v="5.64"/>
    <s v="CREDITOR"/>
    <n v="0"/>
    <n v="0"/>
    <n v="0"/>
    <n v="0"/>
    <n v="5.64"/>
  </r>
  <r>
    <n v="60421872"/>
    <s v="N"/>
    <n v="21349987"/>
    <s v="3000014708000008"/>
    <s v="CIVIL"/>
    <d v="2023-06-17T00:00:00"/>
    <d v="2023-07-10T19:01:40"/>
    <m/>
    <d v="2023-07-10T00:00:00"/>
    <n v="1122"/>
    <n v="14376"/>
    <s v="60421872"/>
    <s v="60421872"/>
    <m/>
    <m/>
    <n v="22710748"/>
    <m/>
    <m/>
    <m/>
    <s v="SOLFIN"/>
    <s v="SOLFIN"/>
    <s v="CCMS"/>
    <n v="21349987"/>
    <n v="21374.31"/>
    <m/>
    <s v="N"/>
    <n v="480"/>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357"/>
    <d v="2023-07-10T19:02:06"/>
    <s v="Y"/>
    <s v="Routine Letter Out"/>
    <s v="Care Remuneration Hourly Rates"/>
    <s v="Profit Cost"/>
    <s v="Mark Pearson"/>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24"/>
    <d v="2023-07-10T19:02:06"/>
    <s v="Y"/>
    <s v="Preparation - other"/>
    <s v="Care Remuneration Hourly Rates"/>
    <s v="Profit Cost"/>
    <s v="MP"/>
    <s v="Y"/>
    <n v="142.93"/>
    <n v="0"/>
    <x v="2"/>
    <s v="VALIDATED"/>
    <n v="1"/>
    <s v="01.11.80.308.6100.0000"/>
    <n v="142.93"/>
    <s v="11"/>
    <s v="6100"/>
    <n v="7799.21"/>
    <n v="142.93"/>
    <s v="CREDITOR"/>
    <n v="0"/>
    <n v="0"/>
    <n v="0"/>
    <n v="0"/>
    <n v="142.93"/>
  </r>
  <r>
    <n v="60421872"/>
    <s v="N"/>
    <n v="21349987"/>
    <s v="3000014708000008"/>
    <s v="CIVIL"/>
    <d v="2023-06-17T00:00:00"/>
    <d v="2023-07-10T19:01:40"/>
    <m/>
    <d v="2023-07-10T00:00:00"/>
    <n v="1122"/>
    <n v="14376"/>
    <s v="60421872"/>
    <s v="60421872"/>
    <m/>
    <m/>
    <n v="22710748"/>
    <m/>
    <m/>
    <m/>
    <s v="SOLFIN"/>
    <s v="SOLFIN"/>
    <s v="CCMS"/>
    <n v="21349987"/>
    <n v="21374.31"/>
    <m/>
    <s v="N"/>
    <n v="629"/>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9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36"/>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11"/>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51"/>
    <d v="2023-07-10T19:02:06"/>
    <s v="Y"/>
    <s v="Preparation - other"/>
    <s v="Care Remuneration Hourly Rates"/>
    <s v="Profit Cost"/>
    <s v="Mark Pearson"/>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653"/>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537"/>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68"/>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51"/>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13"/>
    <d v="2023-07-10T19:02:06"/>
    <s v="Y"/>
    <s v="Routine Letter In"/>
    <s v="Care Remuneration Hourly Rates"/>
    <s v="Profit Cost"/>
    <s v="Mark Pearson"/>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167"/>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578"/>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48"/>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82"/>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213"/>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490"/>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9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74"/>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48"/>
    <d v="2023-07-10T19:02:06"/>
    <s v="Y"/>
    <s v="Preparation - drafting attendance n"/>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77"/>
    <d v="2023-07-10T19:02:06"/>
    <s v="Y"/>
    <s v="Attendance upon client"/>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95"/>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4"/>
    <d v="2023-07-10T19:02:06"/>
    <s v="N"/>
    <s v="Toxicologist"/>
    <s v="Public Law Children"/>
    <s v="Expert Disbursement"/>
    <s v="Lextox"/>
    <s v="N"/>
    <n v="13"/>
    <n v="2.6"/>
    <x v="2"/>
    <s v="VALIDATED"/>
    <n v="1"/>
    <s v="01.11.80.308.6300.0000"/>
    <n v="13"/>
    <s v="11"/>
    <s v="6300"/>
    <n v="7799.21"/>
    <n v="13"/>
    <s v="CREDITOR"/>
    <n v="0"/>
    <n v="0"/>
    <n v="0"/>
    <n v="0"/>
    <n v="13"/>
  </r>
  <r>
    <n v="60421872"/>
    <s v="N"/>
    <n v="21349987"/>
    <s v="3000014708000008"/>
    <s v="CIVIL"/>
    <d v="2023-06-17T00:00:00"/>
    <d v="2023-07-10T19:01:40"/>
    <m/>
    <d v="2023-07-10T00:00:00"/>
    <n v="1122"/>
    <n v="14376"/>
    <s v="60421872"/>
    <s v="60421872"/>
    <m/>
    <m/>
    <n v="22710748"/>
    <m/>
    <m/>
    <m/>
    <s v="SOLFIN"/>
    <s v="SOLFIN"/>
    <s v="CCMS"/>
    <n v="21349987"/>
    <n v="21374.31"/>
    <m/>
    <s v="N"/>
    <n v="633"/>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647"/>
    <d v="2023-07-10T19:02:06"/>
    <s v="Y"/>
    <s v="Routine Letter In"/>
    <s v="Care Remuneration Hourly Rates"/>
    <s v="Profit Cost"/>
    <s v="Mark Pearson"/>
    <s v="Y"/>
    <n v="34.04"/>
    <n v="0"/>
    <x v="2"/>
    <s v="VALIDATED"/>
    <n v="1"/>
    <s v="01.11.80.308.6100.0000"/>
    <n v="34.04"/>
    <s v="11"/>
    <s v="6100"/>
    <n v="7799.21"/>
    <n v="34.04"/>
    <s v="CREDITOR"/>
    <n v="0"/>
    <n v="0"/>
    <n v="0"/>
    <n v="0"/>
    <n v="34.04"/>
  </r>
  <r>
    <n v="60421872"/>
    <s v="N"/>
    <n v="21349987"/>
    <s v="3000014708000008"/>
    <s v="CIVIL"/>
    <d v="2023-06-17T00:00:00"/>
    <d v="2023-07-10T19:01:40"/>
    <m/>
    <d v="2023-07-10T00:00:00"/>
    <n v="1122"/>
    <n v="14376"/>
    <s v="60421872"/>
    <s v="60421872"/>
    <m/>
    <m/>
    <n v="22710748"/>
    <m/>
    <m/>
    <m/>
    <s v="SOLFIN"/>
    <s v="SOLFIN"/>
    <s v="CCMS"/>
    <n v="21349987"/>
    <n v="21374.31"/>
    <m/>
    <s v="N"/>
    <n v="265"/>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72"/>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50"/>
    <d v="2023-07-10T19:02:06"/>
    <s v="Y"/>
    <s v="Preparation - drafting statement"/>
    <s v="Care Remuneration Hourly Rates"/>
    <s v="Profit Cost"/>
    <s v="MP"/>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8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50"/>
    <d v="2023-07-10T19:02:06"/>
    <s v="Y"/>
    <s v="Routine Letter Out"/>
    <s v="Care Remuneration Hourly Rates"/>
    <s v="Profit Cost"/>
    <s v="MP"/>
    <s v="Y"/>
    <n v="25.46"/>
    <n v="0"/>
    <x v="2"/>
    <s v="VALIDATED"/>
    <n v="1"/>
    <s v="01.11.80.308.6100.0000"/>
    <n v="25.46"/>
    <s v="11"/>
    <s v="6100"/>
    <n v="7799.21"/>
    <n v="25.46"/>
    <s v="CREDITOR"/>
    <n v="0"/>
    <n v="0"/>
    <n v="0"/>
    <n v="0"/>
    <n v="25.46"/>
  </r>
  <r>
    <n v="60421872"/>
    <s v="N"/>
    <n v="21349987"/>
    <s v="3000014708000008"/>
    <s v="CIVIL"/>
    <d v="2023-06-17T00:00:00"/>
    <d v="2023-07-10T19:01:40"/>
    <m/>
    <d v="2023-07-10T00:00:00"/>
    <n v="1122"/>
    <n v="14376"/>
    <s v="60421872"/>
    <s v="60421872"/>
    <m/>
    <m/>
    <n v="22710748"/>
    <m/>
    <m/>
    <m/>
    <s v="SOLFIN"/>
    <s v="SOLFIN"/>
    <s v="CCMS"/>
    <n v="21349987"/>
    <n v="21374.31"/>
    <m/>
    <s v="N"/>
    <n v="495"/>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506"/>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18"/>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538"/>
    <d v="2023-07-10T19:02:06"/>
    <s v="Y"/>
    <s v="Routine Letter In"/>
    <s v="Care Remuneration Hourly Rates"/>
    <s v="Profit Cost"/>
    <s v="MP"/>
    <s v="Y"/>
    <n v="29.79"/>
    <n v="0"/>
    <x v="2"/>
    <s v="VALIDATED"/>
    <n v="1"/>
    <s v="01.11.80.308.6100.0000"/>
    <n v="29.79"/>
    <s v="11"/>
    <s v="6100"/>
    <n v="7799.21"/>
    <n v="29.79"/>
    <s v="CREDITOR"/>
    <n v="0"/>
    <n v="0"/>
    <n v="0"/>
    <n v="0"/>
    <n v="29.79"/>
  </r>
  <r>
    <n v="60421872"/>
    <s v="N"/>
    <n v="21349987"/>
    <s v="3000014708000008"/>
    <s v="CIVIL"/>
    <d v="2023-06-17T00:00:00"/>
    <d v="2023-07-10T19:01:40"/>
    <m/>
    <d v="2023-07-10T00:00:00"/>
    <n v="1122"/>
    <n v="14376"/>
    <s v="60421872"/>
    <s v="60421872"/>
    <m/>
    <m/>
    <n v="22710748"/>
    <m/>
    <m/>
    <m/>
    <s v="SOLFIN"/>
    <s v="SOLFIN"/>
    <s v="CCMS"/>
    <n v="21349987"/>
    <n v="21374.31"/>
    <m/>
    <s v="N"/>
    <n v="560"/>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156"/>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329"/>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194"/>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197"/>
    <d v="2023-07-10T19:02:06"/>
    <s v="Y"/>
    <s v="Preparation - drafting instructions"/>
    <s v="Care Remuneration Hourly Rates"/>
    <s v="Profit Cost"/>
    <s v="MP"/>
    <s v="Y"/>
    <n v="74.12"/>
    <n v="0"/>
    <x v="2"/>
    <s v="VALIDATED"/>
    <n v="1"/>
    <s v="01.11.80.308.6100.0000"/>
    <n v="74.12"/>
    <s v="11"/>
    <s v="6100"/>
    <n v="7799.21"/>
    <n v="74.12"/>
    <s v="CREDITOR"/>
    <n v="0"/>
    <n v="0"/>
    <n v="0"/>
    <n v="0"/>
    <n v="74.12"/>
  </r>
  <r>
    <n v="60421872"/>
    <s v="N"/>
    <n v="21349987"/>
    <s v="3000014708000008"/>
    <s v="CIVIL"/>
    <d v="2023-06-17T00:00:00"/>
    <d v="2023-07-10T19:01:40"/>
    <m/>
    <d v="2023-07-10T00:00:00"/>
    <n v="1122"/>
    <n v="14376"/>
    <s v="60421872"/>
    <s v="60421872"/>
    <m/>
    <m/>
    <n v="22710748"/>
    <m/>
    <m/>
    <m/>
    <s v="SOLFIN"/>
    <s v="SOLFIN"/>
    <s v="CCMS"/>
    <n v="21349987"/>
    <n v="21374.31"/>
    <m/>
    <s v="N"/>
    <n v="76"/>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95"/>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635"/>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66"/>
    <d v="2023-07-10T19:02:06"/>
    <s v="Y"/>
    <s v="Routine Letter Out"/>
    <s v="Care Remuneration Hourly Rates"/>
    <s v="Profit Cost"/>
    <s v="Mark Pearson"/>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520"/>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292"/>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72"/>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4"/>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7"/>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36"/>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568"/>
    <d v="2023-07-10T19:02:06"/>
    <s v="Y"/>
    <s v="Report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77"/>
    <d v="2023-07-10T19:02:06"/>
    <s v="Y"/>
    <s v="Report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77"/>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450"/>
    <d v="2023-07-10T19:02:06"/>
    <s v="Y"/>
    <s v="Attendance upon clien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98"/>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628"/>
    <d v="2023-07-10T19:02:06"/>
    <s v="Y"/>
    <s v="Routine Letter Out"/>
    <s v="Care Remuneration Hourly Rates"/>
    <s v="Profit Cost"/>
    <s v="MP"/>
    <s v="Y"/>
    <n v="55.17"/>
    <n v="0"/>
    <x v="2"/>
    <s v="VALIDATED"/>
    <n v="1"/>
    <s v="01.11.80.308.6100.0000"/>
    <n v="55.17"/>
    <s v="11"/>
    <s v="6100"/>
    <n v="7799.21"/>
    <n v="55.17"/>
    <s v="CREDITOR"/>
    <n v="0"/>
    <n v="0"/>
    <n v="0"/>
    <n v="0"/>
    <n v="55.17"/>
  </r>
  <r>
    <n v="60421872"/>
    <s v="N"/>
    <n v="21349987"/>
    <s v="3000014708000008"/>
    <s v="CIVIL"/>
    <d v="2023-06-17T00:00:00"/>
    <d v="2023-07-10T19:01:40"/>
    <m/>
    <d v="2023-07-10T00:00:00"/>
    <n v="1122"/>
    <n v="14376"/>
    <s v="60421872"/>
    <s v="60421872"/>
    <m/>
    <m/>
    <n v="22710748"/>
    <m/>
    <m/>
    <m/>
    <s v="SOLFIN"/>
    <s v="SOLFIN"/>
    <s v="CCMS"/>
    <n v="21349987"/>
    <n v="21374.31"/>
    <m/>
    <s v="N"/>
    <n v="237"/>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109"/>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11"/>
    <d v="2023-07-10T19:02:06"/>
    <s v="Y"/>
    <s v="Toxicologist"/>
    <s v="Public Law Children"/>
    <s v="Expert Disbursement"/>
    <s v="Lextox"/>
    <s v="Y"/>
    <n v="608.6"/>
    <n v="121.72"/>
    <x v="2"/>
    <s v="VALIDATED"/>
    <n v="1"/>
    <s v="01.11.80.308.6300.0000"/>
    <n v="608.6"/>
    <s v="11"/>
    <s v="6300"/>
    <n v="7799.21"/>
    <n v="608.6"/>
    <s v="CREDITOR"/>
    <n v="0"/>
    <n v="0"/>
    <n v="0"/>
    <n v="0"/>
    <n v="608.6"/>
  </r>
  <r>
    <n v="60421872"/>
    <s v="N"/>
    <n v="21349987"/>
    <s v="3000014708000008"/>
    <s v="CIVIL"/>
    <d v="2023-06-17T00:00:00"/>
    <d v="2023-07-10T19:01:40"/>
    <m/>
    <d v="2023-07-10T00:00:00"/>
    <n v="1122"/>
    <n v="14376"/>
    <s v="60421872"/>
    <s v="60421872"/>
    <m/>
    <m/>
    <n v="22710748"/>
    <m/>
    <m/>
    <m/>
    <s v="SOLFIN"/>
    <s v="SOLFIN"/>
    <s v="CCMS"/>
    <n v="21349987"/>
    <n v="21374.31"/>
    <m/>
    <s v="N"/>
    <n v="254"/>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119"/>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33"/>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59"/>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157"/>
    <d v="2023-07-10T19:02:06"/>
    <s v="Y"/>
    <s v="Routine Letter Out"/>
    <s v="Care Remuneration Hourly Rates"/>
    <s v="Profit Cost"/>
    <s v="MP"/>
    <s v="Y"/>
    <n v="84.87"/>
    <n v="0"/>
    <x v="2"/>
    <s v="VALIDATED"/>
    <n v="1"/>
    <s v="01.11.80.308.6100.0000"/>
    <n v="84.87"/>
    <s v="11"/>
    <s v="6100"/>
    <n v="7799.21"/>
    <n v="84.87"/>
    <s v="CREDITOR"/>
    <n v="0"/>
    <n v="0"/>
    <n v="0"/>
    <n v="0"/>
    <n v="84.87"/>
  </r>
  <r>
    <n v="60421872"/>
    <s v="N"/>
    <n v="21349987"/>
    <s v="3000014708000008"/>
    <s v="CIVIL"/>
    <d v="2023-06-17T00:00:00"/>
    <d v="2023-07-10T19:01:40"/>
    <m/>
    <d v="2023-07-10T00:00:00"/>
    <n v="1122"/>
    <n v="14376"/>
    <s v="60421872"/>
    <s v="60421872"/>
    <m/>
    <m/>
    <n v="22710748"/>
    <m/>
    <m/>
    <m/>
    <s v="SOLFIN"/>
    <s v="SOLFIN"/>
    <s v="CCMS"/>
    <n v="21349987"/>
    <n v="21374.31"/>
    <m/>
    <s v="N"/>
    <n v="69"/>
    <d v="2023-07-10T19:02:06"/>
    <s v="Y"/>
    <s v="Routine Letter In"/>
    <s v="Care Remuneration Hourly Rates"/>
    <s v="Profit Cost"/>
    <s v="MP"/>
    <s v="Y"/>
    <n v="127.65"/>
    <n v="0"/>
    <x v="2"/>
    <s v="VALIDATED"/>
    <n v="1"/>
    <s v="01.11.80.308.6100.0000"/>
    <n v="127.65"/>
    <s v="11"/>
    <s v="6100"/>
    <n v="7799.21"/>
    <n v="127.65"/>
    <s v="CREDITOR"/>
    <n v="0"/>
    <n v="0"/>
    <n v="0"/>
    <n v="0"/>
    <n v="127.65"/>
  </r>
  <r>
    <n v="60421872"/>
    <s v="N"/>
    <n v="21349987"/>
    <s v="3000014708000008"/>
    <s v="CIVIL"/>
    <d v="2023-06-17T00:00:00"/>
    <d v="2023-07-10T19:01:40"/>
    <m/>
    <d v="2023-07-10T00:00:00"/>
    <n v="1122"/>
    <n v="14376"/>
    <s v="60421872"/>
    <s v="60421872"/>
    <m/>
    <m/>
    <n v="22710748"/>
    <m/>
    <m/>
    <m/>
    <s v="SOLFIN"/>
    <s v="SOLFIN"/>
    <s v="CCMS"/>
    <n v="21349987"/>
    <n v="21374.31"/>
    <m/>
    <s v="N"/>
    <n v="190"/>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32"/>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199"/>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87"/>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103"/>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37"/>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108"/>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63"/>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14"/>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287"/>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354"/>
    <d v="2023-07-10T19:02:06"/>
    <s v="Y"/>
    <s v="Preparation - drafting pleadings"/>
    <s v="Care Remuneration Hourly Rates"/>
    <s v="Profit Cost"/>
    <s v="Mark Pearson"/>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219"/>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25"/>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102"/>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638"/>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246"/>
    <d v="2023-07-10T19:02:06"/>
    <s v="Y"/>
    <s v="Routine Letter In"/>
    <s v="Care Remuneration Hourly Rates"/>
    <s v="Profit Cost"/>
    <s v="MP"/>
    <s v="Y"/>
    <n v="31.91"/>
    <n v="0"/>
    <x v="2"/>
    <s v="VALIDATED"/>
    <n v="1"/>
    <s v="01.11.80.308.6100.0000"/>
    <n v="31.91"/>
    <s v="11"/>
    <s v="6100"/>
    <n v="7799.21"/>
    <n v="31.91"/>
    <s v="CREDITOR"/>
    <n v="0"/>
    <n v="0"/>
    <n v="0"/>
    <n v="0"/>
    <n v="31.91"/>
  </r>
  <r>
    <n v="60421872"/>
    <s v="N"/>
    <n v="21349987"/>
    <s v="3000014708000008"/>
    <s v="CIVIL"/>
    <d v="2023-06-17T00:00:00"/>
    <d v="2023-07-10T19:01:40"/>
    <m/>
    <d v="2023-07-10T00:00:00"/>
    <n v="1122"/>
    <n v="14376"/>
    <s v="60421872"/>
    <s v="60421872"/>
    <m/>
    <m/>
    <n v="22710748"/>
    <m/>
    <m/>
    <m/>
    <s v="SOLFIN"/>
    <s v="SOLFIN"/>
    <s v="CCMS"/>
    <n v="21349987"/>
    <n v="21374.31"/>
    <m/>
    <s v="N"/>
    <n v="525"/>
    <d v="2023-07-10T19:02:06"/>
    <s v="Y"/>
    <s v="Routine Letter In"/>
    <s v="Care Remuneration Hourly Rates"/>
    <s v="Profit Cost"/>
    <s v="MP"/>
    <s v="Y"/>
    <n v="21.28"/>
    <n v="0"/>
    <x v="2"/>
    <s v="VALIDATED"/>
    <n v="1"/>
    <s v="01.11.80.308.6100.0000"/>
    <n v="21.28"/>
    <s v="11"/>
    <s v="6100"/>
    <n v="7799.21"/>
    <n v="21.28"/>
    <s v="CREDITOR"/>
    <n v="0"/>
    <n v="0"/>
    <n v="0"/>
    <n v="0"/>
    <n v="21.28"/>
  </r>
  <r>
    <n v="60421872"/>
    <s v="N"/>
    <n v="21349987"/>
    <s v="3000014708000008"/>
    <s v="CIVIL"/>
    <d v="2023-06-17T00:00:00"/>
    <d v="2023-07-10T19:01:40"/>
    <m/>
    <d v="2023-07-10T00:00:00"/>
    <n v="1122"/>
    <n v="14376"/>
    <s v="60421872"/>
    <s v="60421872"/>
    <m/>
    <m/>
    <n v="22710748"/>
    <m/>
    <m/>
    <m/>
    <s v="SOLFIN"/>
    <s v="SOLFIN"/>
    <s v="CCMS"/>
    <n v="21349987"/>
    <n v="21374.31"/>
    <m/>
    <s v="N"/>
    <n v="532"/>
    <d v="2023-07-10T19:02:06"/>
    <s v="Y"/>
    <s v="Preparation - drafting attendance n"/>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88"/>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56"/>
    <d v="2023-07-10T19:02:06"/>
    <s v="Y"/>
    <s v="Preparation - other"/>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433"/>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96"/>
    <d v="2023-07-10T19:02:06"/>
    <s v="Y"/>
    <s v="Attendance upon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99"/>
    <d v="2023-07-10T19:02:06"/>
    <s v="Y"/>
    <s v="Routine Letter In"/>
    <s v="Care Remuneration Hourly Rates"/>
    <s v="Profit Cost"/>
    <s v="MP"/>
    <s v="Y"/>
    <n v="25.53"/>
    <n v="0"/>
    <x v="2"/>
    <s v="VALIDATED"/>
    <n v="1"/>
    <s v="01.11.80.308.6100.0000"/>
    <n v="25.53"/>
    <s v="11"/>
    <s v="6100"/>
    <n v="7799.21"/>
    <n v="25.53"/>
    <s v="CREDITOR"/>
    <n v="0"/>
    <n v="0"/>
    <n v="0"/>
    <n v="0"/>
    <n v="25.53"/>
  </r>
  <r>
    <n v="60421872"/>
    <s v="N"/>
    <n v="21349987"/>
    <s v="3000014708000008"/>
    <s v="CIVIL"/>
    <d v="2023-06-17T00:00:00"/>
    <d v="2023-07-10T19:01:40"/>
    <m/>
    <d v="2023-07-10T00:00:00"/>
    <n v="1122"/>
    <n v="14376"/>
    <s v="60421872"/>
    <s v="60421872"/>
    <m/>
    <m/>
    <n v="22710748"/>
    <m/>
    <m/>
    <m/>
    <s v="SOLFIN"/>
    <s v="SOLFIN"/>
    <s v="CCMS"/>
    <n v="21349987"/>
    <n v="21374.31"/>
    <m/>
    <s v="N"/>
    <n v="579"/>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82"/>
    <d v="2023-07-10T19:02:06"/>
    <s v="Y"/>
    <s v="Attendance upon clien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18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60"/>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360"/>
    <d v="2023-07-10T19:02:06"/>
    <s v="Y"/>
    <s v="Routine Letter In"/>
    <s v="Care Remuneration Hourly Rates"/>
    <s v="Profit Cost"/>
    <s v="MP"/>
    <s v="Y"/>
    <n v="21.28"/>
    <n v="0"/>
    <x v="2"/>
    <s v="VALIDATED"/>
    <n v="1"/>
    <s v="01.11.80.308.6100.0000"/>
    <n v="21.28"/>
    <s v="11"/>
    <s v="6100"/>
    <n v="7799.21"/>
    <n v="21.28"/>
    <s v="CREDITOR"/>
    <n v="0"/>
    <n v="0"/>
    <n v="0"/>
    <n v="0"/>
    <n v="21.28"/>
  </r>
  <r>
    <n v="60421872"/>
    <s v="N"/>
    <n v="21349987"/>
    <s v="3000014708000008"/>
    <s v="CIVIL"/>
    <d v="2023-06-17T00:00:00"/>
    <d v="2023-07-10T19:01:40"/>
    <m/>
    <d v="2023-07-10T00:00:00"/>
    <n v="1122"/>
    <n v="14376"/>
    <s v="60421872"/>
    <s v="60421872"/>
    <m/>
    <m/>
    <n v="22710748"/>
    <m/>
    <m/>
    <m/>
    <s v="SOLFIN"/>
    <s v="SOLFIN"/>
    <s v="CCMS"/>
    <n v="21349987"/>
    <n v="21374.31"/>
    <m/>
    <s v="N"/>
    <n v="230"/>
    <d v="2023-07-10T19:02:06"/>
    <s v="Y"/>
    <s v="Report - other report"/>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42"/>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411"/>
    <d v="2023-07-10T19:02:06"/>
    <s v="Y"/>
    <s v="Preparation - other"/>
    <s v="Care Remuneration Hourly Rates"/>
    <s v="Profit Cost"/>
    <s v="Mark Pearson (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4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57"/>
    <d v="2023-07-10T19:02:06"/>
    <s v="Y"/>
    <s v="Preparation - drafting statemen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703"/>
    <d v="2023-07-10T19:02:06"/>
    <s v="Y"/>
    <s v="Attendance upon clien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87"/>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451"/>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39"/>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10"/>
    <d v="2023-07-10T19:02:06"/>
    <s v="Y"/>
    <s v="Report - other expert's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40"/>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17"/>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385"/>
    <d v="2023-07-10T19:02:06"/>
    <s v="Y"/>
    <s v="Preparation - drafting attendance n"/>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56"/>
    <d v="2023-07-10T19:02:06"/>
    <s v="Y"/>
    <s v="Preparation - drafting statement"/>
    <s v="Care Remuneration Hourly Rates"/>
    <s v="Profit Cost"/>
    <s v="MP"/>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120"/>
    <d v="2023-07-10T19:02:06"/>
    <s v="Y"/>
    <s v="Routine Letter In"/>
    <s v="Care Remuneration Hourly Rates"/>
    <s v="Profit Cost"/>
    <s v="MP"/>
    <s v="Y"/>
    <n v="74.45999999999999"/>
    <n v="0"/>
    <x v="2"/>
    <s v="VALIDATED"/>
    <n v="1"/>
    <s v="01.11.80.308.6100.0000"/>
    <n v="74.45999999999999"/>
    <s v="11"/>
    <s v="6100"/>
    <n v="7799.21"/>
    <n v="74.45999999999999"/>
    <s v="CREDITOR"/>
    <n v="0"/>
    <n v="0"/>
    <n v="0"/>
    <n v="0"/>
    <n v="74.45999999999999"/>
  </r>
  <r>
    <n v="60421872"/>
    <s v="N"/>
    <n v="21349987"/>
    <s v="3000014708000008"/>
    <s v="CIVIL"/>
    <d v="2023-06-17T00:00:00"/>
    <d v="2023-07-10T19:01:40"/>
    <m/>
    <d v="2023-07-10T00:00:00"/>
    <n v="1122"/>
    <n v="14376"/>
    <s v="60421872"/>
    <s v="60421872"/>
    <m/>
    <m/>
    <n v="22710748"/>
    <m/>
    <m/>
    <m/>
    <s v="SOLFIN"/>
    <s v="SOLFIN"/>
    <s v="CCMS"/>
    <n v="21349987"/>
    <n v="21374.31"/>
    <m/>
    <s v="N"/>
    <n v="129"/>
    <d v="2023-07-10T19:02:06"/>
    <s v="Y"/>
    <s v="Routine Letter In"/>
    <s v="Care Remuneration Hourly Rates"/>
    <s v="Profit Cost"/>
    <s v="MP"/>
    <s v="Y"/>
    <n v="21.28"/>
    <n v="0"/>
    <x v="2"/>
    <s v="VALIDATED"/>
    <n v="1"/>
    <s v="01.11.80.308.6100.0000"/>
    <n v="21.28"/>
    <s v="11"/>
    <s v="6100"/>
    <n v="7799.21"/>
    <n v="21.28"/>
    <s v="CREDITOR"/>
    <n v="0"/>
    <n v="0"/>
    <n v="0"/>
    <n v="0"/>
    <n v="21.28"/>
  </r>
  <r>
    <n v="60421872"/>
    <s v="N"/>
    <n v="21349987"/>
    <s v="3000014708000008"/>
    <s v="CIVIL"/>
    <d v="2023-06-17T00:00:00"/>
    <d v="2023-07-10T19:01:40"/>
    <m/>
    <d v="2023-07-10T00:00:00"/>
    <n v="1122"/>
    <n v="14376"/>
    <s v="60421872"/>
    <s v="60421872"/>
    <m/>
    <m/>
    <n v="22710748"/>
    <m/>
    <m/>
    <m/>
    <s v="SOLFIN"/>
    <s v="SOLFIN"/>
    <s v="CCMS"/>
    <n v="21349987"/>
    <n v="21374.31"/>
    <m/>
    <s v="N"/>
    <n v="130"/>
    <d v="2023-07-10T19:02:06"/>
    <s v="Y"/>
    <s v="Preparation - drafting statement"/>
    <s v="Care Remuneration Hourly Rates"/>
    <s v="Profit Cost"/>
    <s v="MP"/>
    <s v="Y"/>
    <n v="222.34"/>
    <n v="0"/>
    <x v="2"/>
    <s v="VALIDATED"/>
    <n v="1"/>
    <s v="01.11.80.308.6100.0000"/>
    <n v="222.34"/>
    <s v="11"/>
    <s v="6100"/>
    <n v="7799.21"/>
    <n v="222.34"/>
    <s v="CREDITOR"/>
    <n v="0"/>
    <n v="0"/>
    <n v="0"/>
    <n v="0"/>
    <n v="222.34"/>
  </r>
  <r>
    <n v="60421872"/>
    <s v="N"/>
    <n v="21349987"/>
    <s v="3000014708000008"/>
    <s v="CIVIL"/>
    <d v="2023-06-17T00:00:00"/>
    <d v="2023-07-10T19:01:40"/>
    <m/>
    <d v="2023-07-10T00:00:00"/>
    <n v="1122"/>
    <n v="14376"/>
    <s v="60421872"/>
    <s v="60421872"/>
    <m/>
    <m/>
    <n v="22710748"/>
    <m/>
    <m/>
    <m/>
    <s v="SOLFIN"/>
    <s v="SOLFIN"/>
    <s v="CCMS"/>
    <n v="21349987"/>
    <n v="21374.31"/>
    <m/>
    <s v="N"/>
    <n v="399"/>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442"/>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3"/>
    <d v="2023-07-10T19:02:06"/>
    <s v="Y"/>
    <s v="Routine Letter Out"/>
    <s v="Care Remuneration Hourly Rates"/>
    <s v="Profit Cost"/>
    <s v="MP"/>
    <s v="Y"/>
    <n v="77.48999999999999"/>
    <n v="0"/>
    <x v="2"/>
    <s v="VALIDATED"/>
    <n v="1"/>
    <s v="01.11.80.308.6100.0000"/>
    <n v="77.48999999999999"/>
    <s v="11"/>
    <s v="6100"/>
    <n v="7799.21"/>
    <n v="77.48999999999999"/>
    <s v="CREDITOR"/>
    <n v="0"/>
    <n v="0"/>
    <n v="0"/>
    <n v="0"/>
    <n v="77.48999999999999"/>
  </r>
  <r>
    <n v="60421872"/>
    <s v="N"/>
    <n v="21349987"/>
    <s v="3000014708000008"/>
    <s v="CIVIL"/>
    <d v="2023-06-17T00:00:00"/>
    <d v="2023-07-10T19:01:40"/>
    <m/>
    <d v="2023-07-10T00:00:00"/>
    <n v="1122"/>
    <n v="14376"/>
    <s v="60421872"/>
    <s v="60421872"/>
    <m/>
    <m/>
    <n v="22710748"/>
    <m/>
    <m/>
    <m/>
    <s v="SOLFIN"/>
    <s v="SOLFIN"/>
    <s v="CCMS"/>
    <n v="21349987"/>
    <n v="21374.31"/>
    <m/>
    <s v="N"/>
    <n v="581"/>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83"/>
    <d v="2023-07-10T19:02:06"/>
    <s v="Y"/>
    <s v="Report - other"/>
    <s v="Care Remuneration Hourly Rates"/>
    <s v="Profit Cost"/>
    <s v="MP"/>
    <s v="Y"/>
    <n v="63.53"/>
    <n v="0"/>
    <x v="2"/>
    <s v="VALIDATED"/>
    <n v="1"/>
    <s v="01.11.80.308.6100.0000"/>
    <n v="63.53"/>
    <s v="11"/>
    <s v="6100"/>
    <n v="7799.21"/>
    <n v="63.53"/>
    <s v="CREDITOR"/>
    <n v="0"/>
    <n v="0"/>
    <n v="0"/>
    <n v="0"/>
    <n v="63.53"/>
  </r>
  <r>
    <n v="60421872"/>
    <s v="N"/>
    <n v="21349987"/>
    <s v="3000014708000008"/>
    <s v="CIVIL"/>
    <d v="2023-06-17T00:00:00"/>
    <d v="2023-07-10T19:01:40"/>
    <m/>
    <d v="2023-07-10T00:00:00"/>
    <n v="1122"/>
    <n v="14376"/>
    <s v="60421872"/>
    <s v="60421872"/>
    <m/>
    <m/>
    <n v="22710748"/>
    <m/>
    <m/>
    <m/>
    <s v="SOLFIN"/>
    <s v="SOLFIN"/>
    <s v="CCMS"/>
    <n v="21349987"/>
    <n v="21374.31"/>
    <m/>
    <s v="N"/>
    <n v="456"/>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464"/>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201"/>
    <d v="2023-07-10T19:02:06"/>
    <s v="Y"/>
    <s v="Report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83"/>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485"/>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105"/>
    <d v="2023-07-10T19:02:06"/>
    <s v="Y"/>
    <s v="Preparation - other"/>
    <s v="Care Remuneration Hourly Rates"/>
    <s v="Profit Cost"/>
    <s v="MP"/>
    <s v="Y"/>
    <n v="127.05"/>
    <n v="0"/>
    <x v="2"/>
    <s v="VALIDATED"/>
    <n v="1"/>
    <s v="01.11.80.308.6100.0000"/>
    <n v="127.05"/>
    <s v="11"/>
    <s v="6100"/>
    <n v="7799.21"/>
    <n v="127.05"/>
    <s v="CREDITOR"/>
    <n v="0"/>
    <n v="0"/>
    <n v="0"/>
    <n v="0"/>
    <n v="127.05"/>
  </r>
  <r>
    <n v="60421872"/>
    <s v="N"/>
    <n v="21349987"/>
    <s v="3000014708000008"/>
    <s v="CIVIL"/>
    <d v="2023-06-17T00:00:00"/>
    <d v="2023-07-10T19:01:40"/>
    <m/>
    <d v="2023-07-10T00:00:00"/>
    <n v="1122"/>
    <n v="14376"/>
    <s v="60421872"/>
    <s v="60421872"/>
    <m/>
    <m/>
    <n v="22710748"/>
    <m/>
    <m/>
    <m/>
    <s v="SOLFIN"/>
    <s v="SOLFIN"/>
    <s v="CCMS"/>
    <n v="21349987"/>
    <n v="21374.31"/>
    <m/>
    <s v="N"/>
    <n v="659"/>
    <d v="2023-07-10T19:02:06"/>
    <s v="Y"/>
    <s v="Preparation - drafting bill/claim f"/>
    <s v="Care Remuneration Hourly Rates"/>
    <s v="Profit Cost"/>
    <s v="MP"/>
    <s v="Y"/>
    <n v="13.81"/>
    <n v="0"/>
    <x v="2"/>
    <s v="VALIDATED"/>
    <n v="1"/>
    <s v="01.11.80.308.6100.0000"/>
    <n v="13.81"/>
    <s v="11"/>
    <s v="6100"/>
    <n v="7799.21"/>
    <n v="13.81"/>
    <s v="CREDITOR"/>
    <n v="0"/>
    <n v="0"/>
    <n v="0"/>
    <n v="0"/>
    <n v="13.81"/>
  </r>
  <r>
    <n v="60421872"/>
    <s v="N"/>
    <n v="21349987"/>
    <s v="3000014708000008"/>
    <s v="CIVIL"/>
    <d v="2023-06-17T00:00:00"/>
    <d v="2023-07-10T19:01:40"/>
    <m/>
    <d v="2023-07-10T00:00:00"/>
    <n v="1122"/>
    <n v="14376"/>
    <s v="60421872"/>
    <s v="60421872"/>
    <m/>
    <m/>
    <n v="22710748"/>
    <m/>
    <m/>
    <m/>
    <s v="SOLFIN"/>
    <s v="SOLFIN"/>
    <s v="CCMS"/>
    <n v="21349987"/>
    <n v="21374.31"/>
    <m/>
    <s v="N"/>
    <n v="407"/>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139"/>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545"/>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40"/>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61"/>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84"/>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14"/>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226"/>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512"/>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63"/>
    <d v="2023-07-10T19:02:06"/>
    <s v="Y"/>
    <s v="Routine Letter Out"/>
    <s v="Care Remuneration Hourly Rates"/>
    <s v="Profit Cost"/>
    <s v="MP"/>
    <s v="Y"/>
    <n v="29.7"/>
    <n v="0"/>
    <x v="2"/>
    <s v="VALIDATED"/>
    <n v="1"/>
    <s v="01.11.80.308.6100.0000"/>
    <n v="29.7"/>
    <s v="11"/>
    <s v="6100"/>
    <n v="7799.21"/>
    <n v="29.7"/>
    <s v="CREDITOR"/>
    <n v="0"/>
    <n v="0"/>
    <n v="0"/>
    <n v="0"/>
    <n v="29.7"/>
  </r>
  <r>
    <n v="60421872"/>
    <s v="N"/>
    <n v="21349987"/>
    <s v="3000014708000008"/>
    <s v="CIVIL"/>
    <d v="2023-06-17T00:00:00"/>
    <d v="2023-07-10T19:01:40"/>
    <m/>
    <d v="2023-07-10T00:00:00"/>
    <n v="1122"/>
    <n v="14376"/>
    <s v="60421872"/>
    <s v="60421872"/>
    <m/>
    <m/>
    <n v="22710748"/>
    <m/>
    <m/>
    <m/>
    <s v="SOLFIN"/>
    <s v="SOLFIN"/>
    <s v="CCMS"/>
    <n v="21349987"/>
    <n v="21374.31"/>
    <m/>
    <s v="N"/>
    <n v="546"/>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29"/>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161"/>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708"/>
    <d v="2023-07-10T19:02:06"/>
    <s v="Y"/>
    <s v="Advocates Meeting"/>
    <s v="Public Law Children"/>
    <s v="Advocacy"/>
    <s v="MP"/>
    <s v="Y"/>
    <n v="140.99"/>
    <n v="0"/>
    <x v="2"/>
    <s v="VALIDATED"/>
    <n v="1"/>
    <s v="01.11.80.308.6100.0000"/>
    <n v="140.99"/>
    <s v="11"/>
    <s v="6100"/>
    <n v="7799.21"/>
    <n v="140.99"/>
    <s v="CREDITOR"/>
    <n v="0"/>
    <n v="0"/>
    <n v="0"/>
    <n v="0"/>
    <n v="140.99"/>
  </r>
  <r>
    <n v="60421872"/>
    <s v="N"/>
    <n v="21349987"/>
    <s v="3000014708000008"/>
    <s v="CIVIL"/>
    <d v="2023-06-17T00:00:00"/>
    <d v="2023-07-10T19:01:40"/>
    <m/>
    <d v="2023-07-10T00:00:00"/>
    <n v="1122"/>
    <n v="14376"/>
    <s v="60421872"/>
    <s v="60421872"/>
    <m/>
    <m/>
    <n v="22710748"/>
    <m/>
    <m/>
    <m/>
    <s v="SOLFIN"/>
    <s v="SOLFIN"/>
    <s v="CCMS"/>
    <n v="21349987"/>
    <n v="21374.31"/>
    <m/>
    <s v="N"/>
    <n v="710"/>
    <d v="2023-07-10T19:02:06"/>
    <s v="N"/>
    <m/>
    <m/>
    <s v="Overall Adjustment"/>
    <m/>
    <s v="N"/>
    <n v="-544.4"/>
    <n v="0"/>
    <x v="2"/>
    <s v="VALIDATED"/>
    <n v="1"/>
    <s v="01.11.80.308.6100.0000"/>
    <n v="-544.4"/>
    <s v="11"/>
    <s v="6100"/>
    <n v="7799.21"/>
    <n v="-544.4"/>
    <s v="CREDITOR"/>
    <n v="0"/>
    <n v="0"/>
    <n v="0"/>
    <n v="0"/>
    <n v="-544.4"/>
  </r>
  <r>
    <n v="60421872"/>
    <s v="N"/>
    <n v="21349987"/>
    <s v="3000014708000008"/>
    <s v="CIVIL"/>
    <d v="2023-06-17T00:00:00"/>
    <d v="2023-07-10T19:01:40"/>
    <m/>
    <d v="2023-07-10T00:00:00"/>
    <n v="1122"/>
    <n v="14376"/>
    <s v="60421872"/>
    <s v="60421872"/>
    <m/>
    <m/>
    <n v="22710748"/>
    <m/>
    <m/>
    <m/>
    <s v="SOLFIN"/>
    <s v="SOLFIN"/>
    <s v="CCMS"/>
    <n v="21349987"/>
    <n v="21374.31"/>
    <m/>
    <s v="N"/>
    <n v="289"/>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600"/>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35"/>
    <d v="2023-07-10T19:02:06"/>
    <s v="Y"/>
    <s v="Report - other report"/>
    <s v="Care Remuneration Hourly Rates"/>
    <s v="Profit Cost"/>
    <s v="Mark Pearson"/>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20"/>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91"/>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
    <d v="2023-07-10T19:02:06"/>
    <s v="Y"/>
    <s v="Psychiatrist"/>
    <s v="Care Remuneration Hourly Rates"/>
    <s v="Expert Disbursement"/>
    <s v="Professor Fox"/>
    <s v="Y"/>
    <n v="108"/>
    <n v="21.6"/>
    <x v="2"/>
    <s v="VALIDATED"/>
    <n v="1"/>
    <s v="01.11.80.308.6300.0000"/>
    <n v="108"/>
    <s v="11"/>
    <s v="6300"/>
    <n v="7799.21"/>
    <n v="108"/>
    <s v="CREDITOR"/>
    <n v="0"/>
    <n v="0"/>
    <n v="0"/>
    <n v="0"/>
    <n v="108"/>
  </r>
  <r>
    <n v="60421872"/>
    <s v="N"/>
    <n v="21349987"/>
    <s v="3000014708000008"/>
    <s v="CIVIL"/>
    <d v="2023-06-17T00:00:00"/>
    <d v="2023-07-10T19:01:40"/>
    <m/>
    <d v="2023-07-10T00:00:00"/>
    <n v="1122"/>
    <n v="14376"/>
    <s v="60421872"/>
    <s v="60421872"/>
    <m/>
    <m/>
    <n v="22710748"/>
    <m/>
    <m/>
    <m/>
    <s v="SOLFIN"/>
    <s v="SOLFIN"/>
    <s v="CCMS"/>
    <n v="21349987"/>
    <n v="21374.31"/>
    <m/>
    <s v="N"/>
    <n v="501"/>
    <d v="2023-07-10T19:02:06"/>
    <s v="Y"/>
    <s v="Preparation - drafting bill/claim f"/>
    <s v="Care Remuneration Hourly Rates"/>
    <s v="Profit Cost"/>
    <s v="MP"/>
    <s v="Y"/>
    <n v="552.4"/>
    <n v="0"/>
    <x v="2"/>
    <s v="VALIDATED"/>
    <n v="1"/>
    <s v="01.11.80.308.6100.0000"/>
    <n v="552.4"/>
    <s v="11"/>
    <s v="6100"/>
    <n v="7799.21"/>
    <n v="552.4"/>
    <s v="CREDITOR"/>
    <n v="0"/>
    <n v="0"/>
    <n v="0"/>
    <n v="0"/>
    <n v="552.4"/>
  </r>
  <r>
    <n v="60421872"/>
    <s v="N"/>
    <n v="21349987"/>
    <s v="3000014708000008"/>
    <s v="CIVIL"/>
    <d v="2023-06-17T00:00:00"/>
    <d v="2023-07-10T19:01:40"/>
    <m/>
    <d v="2023-07-10T00:00:00"/>
    <n v="1122"/>
    <n v="14376"/>
    <s v="60421872"/>
    <s v="60421872"/>
    <m/>
    <m/>
    <n v="22710748"/>
    <m/>
    <m/>
    <m/>
    <s v="SOLFIN"/>
    <s v="SOLFIN"/>
    <s v="CCMS"/>
    <n v="21349987"/>
    <n v="21374.31"/>
    <m/>
    <s v="N"/>
    <n v="382"/>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270"/>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136"/>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420"/>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145"/>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0"/>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202"/>
    <d v="2023-07-10T19:02:06"/>
    <s v="Y"/>
    <s v="Routine Letter In"/>
    <s v="Care Remuneration Hourly Rates"/>
    <s v="Profit Cost"/>
    <s v="MP"/>
    <s v="Y"/>
    <n v="21.28"/>
    <n v="0"/>
    <x v="2"/>
    <s v="VALIDATED"/>
    <n v="1"/>
    <s v="01.11.80.308.6100.0000"/>
    <n v="21.28"/>
    <s v="11"/>
    <s v="6100"/>
    <n v="7799.21"/>
    <n v="21.28"/>
    <s v="CREDITOR"/>
    <n v="0"/>
    <n v="0"/>
    <n v="0"/>
    <n v="0"/>
    <n v="21.28"/>
  </r>
  <r>
    <n v="60421872"/>
    <s v="N"/>
    <n v="21349987"/>
    <s v="3000014708000008"/>
    <s v="CIVIL"/>
    <d v="2023-06-17T00:00:00"/>
    <d v="2023-07-10T19:01:40"/>
    <m/>
    <d v="2023-07-10T00:00:00"/>
    <n v="1122"/>
    <n v="14376"/>
    <s v="60421872"/>
    <s v="60421872"/>
    <m/>
    <m/>
    <n v="22710748"/>
    <m/>
    <m/>
    <m/>
    <s v="SOLFIN"/>
    <s v="SOLFIN"/>
    <s v="CCMS"/>
    <n v="21349987"/>
    <n v="21374.31"/>
    <m/>
    <s v="N"/>
    <n v="498"/>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30"/>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44"/>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118"/>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702"/>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55"/>
    <d v="2023-07-10T19:02:06"/>
    <s v="Y"/>
    <s v="Preparation - drafting attendance n"/>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16"/>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227"/>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21"/>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631"/>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242"/>
    <d v="2023-07-10T19:02:06"/>
    <s v="Y"/>
    <s v="Preparation - drafting attendance n"/>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47"/>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650"/>
    <d v="2023-07-10T19:02:06"/>
    <s v="Y"/>
    <s v="Preparation - research"/>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24"/>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138"/>
    <d v="2023-07-10T19:02:06"/>
    <s v="Y"/>
    <s v="Routine Letter In"/>
    <s v="Care Remuneration Hourly Rates"/>
    <s v="Profit Cost"/>
    <s v="MP"/>
    <s v="Y"/>
    <n v="29.79"/>
    <n v="0"/>
    <x v="2"/>
    <s v="VALIDATED"/>
    <n v="1"/>
    <s v="01.11.80.308.6100.0000"/>
    <n v="29.79"/>
    <s v="11"/>
    <s v="6100"/>
    <n v="7799.21"/>
    <n v="29.79"/>
    <s v="CREDITOR"/>
    <n v="0"/>
    <n v="0"/>
    <n v="0"/>
    <n v="0"/>
    <n v="29.79"/>
  </r>
  <r>
    <n v="60421872"/>
    <s v="N"/>
    <n v="21349987"/>
    <s v="3000014708000008"/>
    <s v="CIVIL"/>
    <d v="2023-06-17T00:00:00"/>
    <d v="2023-07-10T19:01:40"/>
    <m/>
    <d v="2023-07-10T00:00:00"/>
    <n v="1122"/>
    <n v="14376"/>
    <s v="60421872"/>
    <s v="60421872"/>
    <m/>
    <m/>
    <n v="22710748"/>
    <m/>
    <m/>
    <m/>
    <s v="SOLFIN"/>
    <s v="SOLFIN"/>
    <s v="CCMS"/>
    <n v="21349987"/>
    <n v="21374.31"/>
    <m/>
    <s v="N"/>
    <n v="681"/>
    <d v="2023-07-10T19:02:06"/>
    <s v="Y"/>
    <s v="Routine Letter Out"/>
    <s v="Care Remuneration Hourly Rates"/>
    <s v="Profit Cost"/>
    <s v="Mark Pearson"/>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540"/>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152"/>
    <d v="2023-07-10T19:02:06"/>
    <s v="Y"/>
    <s v="Routine Letter In"/>
    <s v="Care Remuneration Hourly Rates"/>
    <s v="Profit Cost"/>
    <s v="MP"/>
    <s v="Y"/>
    <n v="53.19"/>
    <n v="0"/>
    <x v="2"/>
    <s v="VALIDATED"/>
    <n v="1"/>
    <s v="01.11.80.308.6100.0000"/>
    <n v="53.19"/>
    <s v="11"/>
    <s v="6100"/>
    <n v="7799.21"/>
    <n v="53.19"/>
    <s v="CREDITOR"/>
    <n v="0"/>
    <n v="0"/>
    <n v="0"/>
    <n v="0"/>
    <n v="53.19"/>
  </r>
  <r>
    <n v="60421872"/>
    <s v="N"/>
    <n v="21349987"/>
    <s v="3000014708000008"/>
    <s v="CIVIL"/>
    <d v="2023-06-17T00:00:00"/>
    <d v="2023-07-10T19:01:40"/>
    <m/>
    <d v="2023-07-10T00:00:00"/>
    <n v="1122"/>
    <n v="14376"/>
    <s v="60421872"/>
    <s v="60421872"/>
    <m/>
    <m/>
    <n v="22710748"/>
    <m/>
    <m/>
    <m/>
    <s v="SOLFIN"/>
    <s v="SOLFIN"/>
    <s v="CCMS"/>
    <n v="21349987"/>
    <n v="21374.31"/>
    <m/>
    <s v="N"/>
    <n v="148"/>
    <d v="2023-07-10T19:02:06"/>
    <s v="Y"/>
    <s v="Routine Letter Out"/>
    <s v="Care Remuneration Hourly Rates"/>
    <s v="Profit Cost"/>
    <s v="MP"/>
    <s v="Y"/>
    <n v="97.59999999999999"/>
    <n v="0"/>
    <x v="2"/>
    <s v="VALIDATED"/>
    <n v="1"/>
    <s v="01.11.80.308.6100.0000"/>
    <n v="97.59999999999999"/>
    <s v="11"/>
    <s v="6100"/>
    <n v="7799.21"/>
    <n v="97.59999999999999"/>
    <s v="CREDITOR"/>
    <n v="0"/>
    <n v="0"/>
    <n v="0"/>
    <n v="0"/>
    <n v="97.59999999999999"/>
  </r>
  <r>
    <n v="60421872"/>
    <s v="N"/>
    <n v="21349987"/>
    <s v="3000014708000008"/>
    <s v="CIVIL"/>
    <d v="2023-06-17T00:00:00"/>
    <d v="2023-07-10T19:01:40"/>
    <m/>
    <d v="2023-07-10T00:00:00"/>
    <n v="1122"/>
    <n v="14376"/>
    <s v="60421872"/>
    <s v="60421872"/>
    <m/>
    <m/>
    <n v="22710748"/>
    <m/>
    <m/>
    <m/>
    <s v="SOLFIN"/>
    <s v="SOLFIN"/>
    <s v="CCMS"/>
    <n v="21349987"/>
    <n v="21374.31"/>
    <m/>
    <s v="N"/>
    <n v="424"/>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296"/>
    <d v="2023-07-10T19:02:06"/>
    <s v="Y"/>
    <s v="Report - Medical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5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3"/>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692"/>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98"/>
    <d v="2023-07-10T19:02:06"/>
    <s v="Y"/>
    <s v="Routine Telephone Call"/>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437"/>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709"/>
    <d v="2023-07-10T19:02:06"/>
    <s v="N"/>
    <s v="Solicitors Fixed Fee"/>
    <s v="Public Law Children"/>
    <s v="Profit Cost"/>
    <s v="Mark Pearson"/>
    <s v="N"/>
    <n v="0"/>
    <n v="0"/>
    <x v="2"/>
    <s v="VALIDATED"/>
    <n v="1"/>
    <s v="01.11.80.308.6100.0000"/>
    <n v="0"/>
    <s v="11"/>
    <s v="6100"/>
    <n v="7799.21"/>
    <n v="0"/>
    <s v="CREDITOR"/>
    <n v="0"/>
    <n v="0"/>
    <n v="0"/>
    <n v="0"/>
    <n v="0"/>
  </r>
  <r>
    <n v="60421872"/>
    <s v="N"/>
    <n v="21349987"/>
    <s v="3000014708000008"/>
    <s v="CIVIL"/>
    <d v="2023-06-17T00:00:00"/>
    <d v="2023-07-10T19:01:40"/>
    <m/>
    <d v="2023-07-10T00:00:00"/>
    <n v="1122"/>
    <n v="14376"/>
    <s v="60421872"/>
    <s v="60421872"/>
    <m/>
    <m/>
    <n v="22710748"/>
    <m/>
    <m/>
    <m/>
    <s v="SOLFIN"/>
    <s v="SOLFIN"/>
    <s v="CCMS"/>
    <n v="21349987"/>
    <n v="21374.31"/>
    <m/>
    <s v="N"/>
    <n v="617"/>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36"/>
    <d v="2023-07-10T19:02:06"/>
    <s v="Y"/>
    <s v="Routine Letter Out"/>
    <s v="Care Remuneration Hourly Rates"/>
    <s v="Profit Cost"/>
    <s v="MP"/>
    <s v="Y"/>
    <n v="33.95"/>
    <n v="0"/>
    <x v="2"/>
    <s v="VALIDATED"/>
    <n v="1"/>
    <s v="01.11.80.308.6100.0000"/>
    <n v="33.95"/>
    <s v="11"/>
    <s v="6100"/>
    <n v="7799.21"/>
    <n v="33.95"/>
    <s v="CREDITOR"/>
    <n v="0"/>
    <n v="0"/>
    <n v="0"/>
    <n v="0"/>
    <n v="33.95"/>
  </r>
  <r>
    <n v="60421872"/>
    <s v="N"/>
    <n v="21349987"/>
    <s v="3000014708000008"/>
    <s v="CIVIL"/>
    <d v="2023-06-17T00:00:00"/>
    <d v="2023-07-10T19:01:40"/>
    <m/>
    <d v="2023-07-10T00:00:00"/>
    <n v="1122"/>
    <n v="14376"/>
    <s v="60421872"/>
    <s v="60421872"/>
    <m/>
    <m/>
    <n v="22710748"/>
    <m/>
    <m/>
    <m/>
    <s v="SOLFIN"/>
    <s v="SOLFIN"/>
    <s v="CCMS"/>
    <n v="21349987"/>
    <n v="21374.31"/>
    <m/>
    <s v="N"/>
    <n v="209"/>
    <d v="2023-07-10T19:02:06"/>
    <s v="Y"/>
    <s v="Routine Letter In"/>
    <s v="Care Remuneration Hourly Rates"/>
    <s v="Profit Cost"/>
    <s v="MP"/>
    <s v="Y"/>
    <n v="36.17"/>
    <n v="0"/>
    <x v="2"/>
    <s v="VALIDATED"/>
    <n v="1"/>
    <s v="01.11.80.308.6100.0000"/>
    <n v="36.17"/>
    <s v="11"/>
    <s v="6100"/>
    <n v="7799.21"/>
    <n v="36.17"/>
    <s v="CREDITOR"/>
    <n v="0"/>
    <n v="0"/>
    <n v="0"/>
    <n v="0"/>
    <n v="36.17"/>
  </r>
  <r>
    <n v="60421872"/>
    <s v="N"/>
    <n v="21349987"/>
    <s v="3000014708000008"/>
    <s v="CIVIL"/>
    <d v="2023-06-17T00:00:00"/>
    <d v="2023-07-10T19:01:40"/>
    <m/>
    <d v="2023-07-10T00:00:00"/>
    <n v="1122"/>
    <n v="14376"/>
    <s v="60421872"/>
    <s v="60421872"/>
    <m/>
    <m/>
    <n v="22710748"/>
    <m/>
    <m/>
    <m/>
    <s v="SOLFIN"/>
    <s v="SOLFIN"/>
    <s v="CCMS"/>
    <n v="21349987"/>
    <n v="21374.31"/>
    <m/>
    <s v="N"/>
    <n v="497"/>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112"/>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510"/>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122"/>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476"/>
    <d v="2023-07-10T19:02:06"/>
    <s v="Y"/>
    <s v="Attendance upon clien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346"/>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92"/>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626"/>
    <d v="2023-07-10T19:02:06"/>
    <s v="Y"/>
    <s v="Routine Letter Out"/>
    <s v="Care Remuneration Hourly Rates"/>
    <s v="Profit Cost"/>
    <s v="MP"/>
    <s v="Y"/>
    <n v="3.69"/>
    <n v="0"/>
    <x v="2"/>
    <s v="VALIDATED"/>
    <n v="1"/>
    <s v="01.11.80.308.6100.0000"/>
    <n v="3.69"/>
    <s v="11"/>
    <s v="6100"/>
    <n v="7799.21"/>
    <n v="3.69"/>
    <s v="CREDITOR"/>
    <n v="0"/>
    <n v="0"/>
    <n v="0"/>
    <n v="0"/>
    <n v="3.69"/>
  </r>
  <r>
    <n v="60421872"/>
    <s v="N"/>
    <n v="21349987"/>
    <s v="3000014708000008"/>
    <s v="CIVIL"/>
    <d v="2023-06-17T00:00:00"/>
    <d v="2023-07-10T19:01:40"/>
    <m/>
    <d v="2023-07-10T00:00:00"/>
    <n v="1122"/>
    <n v="14376"/>
    <s v="60421872"/>
    <s v="60421872"/>
    <m/>
    <m/>
    <n v="22710748"/>
    <m/>
    <m/>
    <m/>
    <s v="SOLFIN"/>
    <s v="SOLFIN"/>
    <s v="CCMS"/>
    <n v="21349987"/>
    <n v="21374.31"/>
    <m/>
    <s v="N"/>
    <n v="376"/>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61"/>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528"/>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687"/>
    <d v="2023-07-10T19:02:06"/>
    <s v="Y"/>
    <s v="Routine Letter In"/>
    <s v="Care Remuneration Hourly Rates"/>
    <s v="Profit Cost"/>
    <s v="MP"/>
    <s v="Y"/>
    <n v="25.53"/>
    <n v="0"/>
    <x v="2"/>
    <s v="VALIDATED"/>
    <n v="1"/>
    <s v="01.11.80.308.6100.0000"/>
    <n v="25.53"/>
    <s v="11"/>
    <s v="6100"/>
    <n v="7799.21"/>
    <n v="25.53"/>
    <s v="CREDITOR"/>
    <n v="0"/>
    <n v="0"/>
    <n v="0"/>
    <n v="0"/>
    <n v="25.53"/>
  </r>
  <r>
    <n v="60421872"/>
    <s v="N"/>
    <n v="21349987"/>
    <s v="3000014708000008"/>
    <s v="CIVIL"/>
    <d v="2023-06-17T00:00:00"/>
    <d v="2023-07-10T19:01:40"/>
    <m/>
    <d v="2023-07-10T00:00:00"/>
    <n v="1122"/>
    <n v="14376"/>
    <s v="60421872"/>
    <s v="60421872"/>
    <m/>
    <m/>
    <n v="22710748"/>
    <m/>
    <m/>
    <m/>
    <s v="SOLFIN"/>
    <s v="SOLFIN"/>
    <s v="CCMS"/>
    <n v="21349987"/>
    <n v="21374.31"/>
    <m/>
    <s v="N"/>
    <n v="565"/>
    <d v="2023-07-10T19:02:06"/>
    <s v="Y"/>
    <s v="Routine Letter Out"/>
    <s v="Care Remuneration Hourly Rates"/>
    <s v="Profit Cost"/>
    <s v="MP"/>
    <s v="Y"/>
    <n v="40.59"/>
    <n v="0"/>
    <x v="2"/>
    <s v="VALIDATED"/>
    <n v="1"/>
    <s v="01.11.80.308.6100.0000"/>
    <n v="40.59"/>
    <s v="11"/>
    <s v="6100"/>
    <n v="7799.21"/>
    <n v="40.59"/>
    <s v="CREDITOR"/>
    <n v="0"/>
    <n v="0"/>
    <n v="0"/>
    <n v="0"/>
    <n v="40.59"/>
  </r>
  <r>
    <n v="60421872"/>
    <s v="N"/>
    <n v="21349987"/>
    <s v="3000014708000008"/>
    <s v="CIVIL"/>
    <d v="2023-06-17T00:00:00"/>
    <d v="2023-07-10T19:01:40"/>
    <m/>
    <d v="2023-07-10T00:00:00"/>
    <n v="1122"/>
    <n v="14376"/>
    <s v="60421872"/>
    <s v="60421872"/>
    <m/>
    <m/>
    <n v="22710748"/>
    <m/>
    <m/>
    <m/>
    <s v="SOLFIN"/>
    <s v="SOLFIN"/>
    <s v="CCMS"/>
    <n v="21349987"/>
    <n v="21374.31"/>
    <m/>
    <s v="N"/>
    <n v="166"/>
    <d v="2023-07-10T19:02:06"/>
    <s v="Y"/>
    <s v="Preparation - other"/>
    <s v="Care Remuneration Hourly Rates"/>
    <s v="Profit Cost"/>
    <s v="MP"/>
    <s v="Y"/>
    <n v="58.24"/>
    <n v="0"/>
    <x v="2"/>
    <s v="VALIDATED"/>
    <n v="1"/>
    <s v="01.11.80.308.6100.0000"/>
    <n v="58.24"/>
    <s v="11"/>
    <s v="6100"/>
    <n v="7799.21"/>
    <n v="58.24"/>
    <s v="CREDITOR"/>
    <n v="0"/>
    <n v="0"/>
    <n v="0"/>
    <n v="0"/>
    <n v="58.24"/>
  </r>
  <r>
    <n v="60421872"/>
    <s v="N"/>
    <n v="21349987"/>
    <s v="3000014708000008"/>
    <s v="CIVIL"/>
    <d v="2023-06-17T00:00:00"/>
    <d v="2023-07-10T19:01:40"/>
    <m/>
    <d v="2023-07-10T00:00:00"/>
    <n v="1122"/>
    <n v="14376"/>
    <s v="60421872"/>
    <s v="60421872"/>
    <m/>
    <m/>
    <n v="22710748"/>
    <m/>
    <m/>
    <m/>
    <s v="SOLFIN"/>
    <s v="SOLFIN"/>
    <s v="CCMS"/>
    <n v="21349987"/>
    <n v="21374.31"/>
    <m/>
    <s v="N"/>
    <n v="67"/>
    <d v="2023-07-10T19:02:06"/>
    <s v="Y"/>
    <s v="Preparation - other"/>
    <s v="Care Remuneration Hourly Rates"/>
    <s v="Profit Cost"/>
    <s v="MP"/>
    <s v="Y"/>
    <n v="63.53"/>
    <n v="0"/>
    <x v="2"/>
    <s v="VALIDATED"/>
    <n v="1"/>
    <s v="01.11.80.308.6100.0000"/>
    <n v="63.53"/>
    <s v="11"/>
    <s v="6100"/>
    <n v="7799.21"/>
    <n v="63.53"/>
    <s v="CREDITOR"/>
    <n v="0"/>
    <n v="0"/>
    <n v="0"/>
    <n v="0"/>
    <n v="63.53"/>
  </r>
  <r>
    <n v="60421872"/>
    <s v="N"/>
    <n v="21349987"/>
    <s v="3000014708000008"/>
    <s v="CIVIL"/>
    <d v="2023-06-17T00:00:00"/>
    <d v="2023-07-10T19:01:40"/>
    <m/>
    <d v="2023-07-10T00:00:00"/>
    <n v="1122"/>
    <n v="14376"/>
    <s v="60421872"/>
    <s v="60421872"/>
    <m/>
    <m/>
    <n v="22710748"/>
    <m/>
    <m/>
    <m/>
    <s v="SOLFIN"/>
    <s v="SOLFIN"/>
    <s v="CCMS"/>
    <n v="21349987"/>
    <n v="21374.31"/>
    <m/>
    <s v="N"/>
    <n v="604"/>
    <d v="2023-07-10T19:02:06"/>
    <s v="Y"/>
    <s v="Report - other"/>
    <s v="Care Remuneration Hourly Rates"/>
    <s v="Profit Cost"/>
    <s v="MP"/>
    <s v="Y"/>
    <n v="90"/>
    <n v="0"/>
    <x v="2"/>
    <s v="VALIDATED"/>
    <n v="1"/>
    <s v="01.11.80.308.6100.0000"/>
    <n v="90"/>
    <s v="11"/>
    <s v="6100"/>
    <n v="7799.21"/>
    <n v="90"/>
    <s v="CREDITOR"/>
    <n v="0"/>
    <n v="0"/>
    <n v="0"/>
    <n v="0"/>
    <n v="90"/>
  </r>
  <r>
    <n v="60421872"/>
    <s v="N"/>
    <n v="21349987"/>
    <s v="3000014708000008"/>
    <s v="CIVIL"/>
    <d v="2023-06-17T00:00:00"/>
    <d v="2023-07-10T19:01:40"/>
    <m/>
    <d v="2023-07-10T00:00:00"/>
    <n v="1122"/>
    <n v="14376"/>
    <s v="60421872"/>
    <s v="60421872"/>
    <m/>
    <m/>
    <n v="22710748"/>
    <m/>
    <m/>
    <m/>
    <s v="SOLFIN"/>
    <s v="SOLFIN"/>
    <s v="CCMS"/>
    <n v="21349987"/>
    <n v="21374.31"/>
    <m/>
    <s v="N"/>
    <n v="198"/>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44"/>
    <d v="2023-07-10T19:02:06"/>
    <s v="Y"/>
    <s v="Report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55"/>
    <d v="2023-07-10T19:02:06"/>
    <s v="Y"/>
    <s v="Attendance upon client"/>
    <s v="Care Remuneration Hourly Rates"/>
    <s v="Profit Cost"/>
    <s v="Mark Pearson"/>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380"/>
    <d v="2023-07-10T19:02:06"/>
    <s v="Y"/>
    <s v="Attendance upon client"/>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15"/>
    <d v="2023-07-10T19:02:06"/>
    <s v="Y"/>
    <s v="Routine Letter Out"/>
    <s v="Care Remuneration Hourly Rates"/>
    <s v="Profit Cost"/>
    <s v="MP"/>
    <s v="Y"/>
    <n v="7.38"/>
    <n v="0"/>
    <x v="2"/>
    <s v="VALIDATED"/>
    <n v="1"/>
    <s v="01.11.80.308.6100.0000"/>
    <n v="7.38"/>
    <s v="11"/>
    <s v="6100"/>
    <n v="7799.21"/>
    <n v="7.38"/>
    <s v="CREDITOR"/>
    <n v="0"/>
    <n v="0"/>
    <n v="0"/>
    <n v="0"/>
    <n v="7.38"/>
  </r>
  <r>
    <n v="60421872"/>
    <s v="N"/>
    <n v="21349987"/>
    <s v="3000014708000008"/>
    <s v="CIVIL"/>
    <d v="2023-06-17T00:00:00"/>
    <d v="2023-07-10T19:01:40"/>
    <m/>
    <d v="2023-07-10T00:00:00"/>
    <n v="1122"/>
    <n v="14376"/>
    <s v="60421872"/>
    <s v="60421872"/>
    <m/>
    <m/>
    <n v="22710748"/>
    <m/>
    <m/>
    <m/>
    <s v="SOLFIN"/>
    <s v="SOLFIN"/>
    <s v="CCMS"/>
    <n v="21349987"/>
    <n v="21374.31"/>
    <m/>
    <s v="N"/>
    <n v="570"/>
    <d v="2023-07-10T19:02:06"/>
    <s v="Y"/>
    <s v="Preparation - Periodic file review"/>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174"/>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49"/>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86"/>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610"/>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84"/>
    <d v="2023-07-10T19:02:06"/>
    <s v="Y"/>
    <s v="Routine Letter Out"/>
    <s v="Care Remuneration Hourly Rates"/>
    <s v="Profit Cost"/>
    <s v="MP"/>
    <s v="Y"/>
    <n v="12.51"/>
    <n v="0"/>
    <x v="2"/>
    <s v="VALIDATED"/>
    <n v="1"/>
    <s v="01.11.80.308.6100.0000"/>
    <n v="12.51"/>
    <s v="11"/>
    <s v="6100"/>
    <n v="7799.21"/>
    <n v="12.51"/>
    <s v="CREDITOR"/>
    <n v="0"/>
    <n v="0"/>
    <n v="0"/>
    <n v="0"/>
    <n v="12.51"/>
  </r>
  <r>
    <n v="60421872"/>
    <s v="N"/>
    <n v="21349987"/>
    <s v="3000014708000008"/>
    <s v="CIVIL"/>
    <d v="2023-06-17T00:00:00"/>
    <d v="2023-07-10T19:01:40"/>
    <m/>
    <d v="2023-07-10T00:00:00"/>
    <n v="1122"/>
    <n v="14376"/>
    <s v="60421872"/>
    <s v="60421872"/>
    <m/>
    <m/>
    <n v="22710748"/>
    <m/>
    <m/>
    <m/>
    <s v="SOLFIN"/>
    <s v="SOLFIN"/>
    <s v="CCMS"/>
    <n v="21349987"/>
    <n v="21374.31"/>
    <m/>
    <s v="N"/>
    <n v="210"/>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8"/>
    <d v="2023-07-10T19:02:06"/>
    <s v="Y"/>
    <s v="Psychologist"/>
    <s v="Care Remuneration Hourly Rates"/>
    <s v="Expert Disbursement"/>
    <s v="Dr Emily Fox"/>
    <s v="Y"/>
    <n v="100.8"/>
    <n v="20.16"/>
    <x v="2"/>
    <s v="VALIDATED"/>
    <n v="1"/>
    <s v="01.11.80.308.6300.0000"/>
    <n v="100.8"/>
    <s v="11"/>
    <s v="6300"/>
    <n v="7799.21"/>
    <n v="100.8"/>
    <s v="CREDITOR"/>
    <n v="0"/>
    <n v="0"/>
    <n v="0"/>
    <n v="0"/>
    <n v="100.8"/>
  </r>
  <r>
    <n v="60421872"/>
    <s v="N"/>
    <n v="21349987"/>
    <s v="3000014708000008"/>
    <s v="CIVIL"/>
    <d v="2023-06-17T00:00:00"/>
    <d v="2023-07-10T19:01:40"/>
    <m/>
    <d v="2023-07-10T00:00:00"/>
    <n v="1122"/>
    <n v="14376"/>
    <s v="60421872"/>
    <s v="60421872"/>
    <m/>
    <m/>
    <n v="22710748"/>
    <m/>
    <m/>
    <m/>
    <s v="SOLFIN"/>
    <s v="SOLFIN"/>
    <s v="CCMS"/>
    <n v="21349987"/>
    <n v="21374.31"/>
    <m/>
    <s v="N"/>
    <n v="121"/>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391"/>
    <d v="2023-07-10T19:02:06"/>
    <s v="Y"/>
    <s v="Routine Letter Out"/>
    <s v="Care Remuneration Hourly Rates"/>
    <s v="Profit Cost"/>
    <s v="Mark Pearson"/>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135"/>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22"/>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356"/>
    <d v="2023-07-10T19:02:06"/>
    <s v="Y"/>
    <s v="Routine Letter In"/>
    <s v="Care Remuneration Hourly Rates"/>
    <s v="Profit Cost"/>
    <s v="Mark Pearson"/>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362"/>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383"/>
    <d v="2023-07-10T19:02:06"/>
    <s v="Y"/>
    <s v="Attendance upon clien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76"/>
    <d v="2023-07-10T19:02:06"/>
    <s v="Y"/>
    <s v="Preparation - other"/>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17"/>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41"/>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155"/>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465"/>
    <d v="2023-07-10T19:02:06"/>
    <s v="Y"/>
    <s v="Routine Telephone Call"/>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503"/>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65"/>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51"/>
    <d v="2023-07-10T19:02:06"/>
    <s v="Y"/>
    <s v="Routine Letter In"/>
    <s v="Care Remuneration Hourly Rates"/>
    <s v="Profit Cost"/>
    <s v="MP"/>
    <s v="Y"/>
    <n v="44.68"/>
    <n v="0"/>
    <x v="2"/>
    <s v="VALIDATED"/>
    <n v="1"/>
    <s v="01.11.80.308.6100.0000"/>
    <n v="44.68"/>
    <s v="11"/>
    <s v="6100"/>
    <n v="7799.21"/>
    <n v="44.68"/>
    <s v="CREDITOR"/>
    <n v="0"/>
    <n v="0"/>
    <n v="0"/>
    <n v="0"/>
    <n v="44.68"/>
  </r>
  <r>
    <n v="60421872"/>
    <s v="N"/>
    <n v="21349987"/>
    <s v="3000014708000008"/>
    <s v="CIVIL"/>
    <d v="2023-06-17T00:00:00"/>
    <d v="2023-07-10T19:01:40"/>
    <m/>
    <d v="2023-07-10T00:00:00"/>
    <n v="1122"/>
    <n v="14376"/>
    <s v="60421872"/>
    <s v="60421872"/>
    <m/>
    <m/>
    <n v="22710748"/>
    <m/>
    <m/>
    <m/>
    <s v="SOLFIN"/>
    <s v="SOLFIN"/>
    <s v="CCMS"/>
    <n v="21349987"/>
    <n v="21374.31"/>
    <m/>
    <s v="N"/>
    <n v="273"/>
    <d v="2023-07-10T19:02:06"/>
    <s v="Y"/>
    <s v="Preparation - drafting attendance n"/>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25"/>
    <d v="2023-07-10T19:02:06"/>
    <s v="Y"/>
    <s v="Routine Telephone Call"/>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573"/>
    <d v="2023-07-10T19:02:06"/>
    <s v="Y"/>
    <s v="Routine Letter In"/>
    <s v="Care Remuneration Hourly Rates"/>
    <s v="Profit Cost"/>
    <s v="MP"/>
    <s v="Y"/>
    <n v="65.95"/>
    <n v="0"/>
    <x v="2"/>
    <s v="VALIDATED"/>
    <n v="1"/>
    <s v="01.11.80.308.6100.0000"/>
    <n v="65.95"/>
    <s v="11"/>
    <s v="6100"/>
    <n v="7799.21"/>
    <n v="65.95"/>
    <s v="CREDITOR"/>
    <n v="0"/>
    <n v="0"/>
    <n v="0"/>
    <n v="0"/>
    <n v="65.95"/>
  </r>
  <r>
    <n v="60421872"/>
    <s v="N"/>
    <n v="21349987"/>
    <s v="3000014708000008"/>
    <s v="CIVIL"/>
    <d v="2023-06-17T00:00:00"/>
    <d v="2023-07-10T19:01:40"/>
    <m/>
    <d v="2023-07-10T00:00:00"/>
    <n v="1122"/>
    <n v="14376"/>
    <s v="60421872"/>
    <s v="60421872"/>
    <m/>
    <m/>
    <n v="22710748"/>
    <m/>
    <m/>
    <m/>
    <s v="SOLFIN"/>
    <s v="SOLFIN"/>
    <s v="CCMS"/>
    <n v="21349987"/>
    <n v="21374.31"/>
    <m/>
    <s v="N"/>
    <n v="173"/>
    <d v="2023-07-10T19:02:06"/>
    <s v="Y"/>
    <s v="Preparation - other"/>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310"/>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564"/>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70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80"/>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4"/>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319"/>
    <d v="2023-07-10T19:02:06"/>
    <s v="Y"/>
    <s v="Preparation - other"/>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342"/>
    <d v="2023-07-10T19:02:06"/>
    <s v="Y"/>
    <s v="Routine Letter In"/>
    <s v="Care Remuneration Hourly Rates"/>
    <s v="Profit Cost"/>
    <s v="MP"/>
    <s v="Y"/>
    <n v="31.91"/>
    <n v="0"/>
    <x v="2"/>
    <s v="VALIDATED"/>
    <n v="1"/>
    <s v="01.11.80.308.6100.0000"/>
    <n v="31.91"/>
    <s v="11"/>
    <s v="6100"/>
    <n v="7799.21"/>
    <n v="31.91"/>
    <s v="CREDITOR"/>
    <n v="0"/>
    <n v="0"/>
    <n v="0"/>
    <n v="0"/>
    <n v="31.91"/>
  </r>
  <r>
    <n v="60421872"/>
    <s v="N"/>
    <n v="21349987"/>
    <s v="3000014708000008"/>
    <s v="CIVIL"/>
    <d v="2023-06-17T00:00:00"/>
    <d v="2023-07-10T19:01:40"/>
    <m/>
    <d v="2023-07-10T00:00:00"/>
    <n v="1122"/>
    <n v="14376"/>
    <s v="60421872"/>
    <s v="60421872"/>
    <m/>
    <m/>
    <n v="22710748"/>
    <m/>
    <m/>
    <m/>
    <s v="SOLFIN"/>
    <s v="SOLFIN"/>
    <s v="CCMS"/>
    <n v="21349987"/>
    <n v="21374.31"/>
    <m/>
    <s v="N"/>
    <n v="239"/>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49"/>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69"/>
    <d v="2023-07-10T19:02:06"/>
    <s v="Y"/>
    <s v="Preparation - drafting attendance n"/>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386"/>
    <d v="2023-07-10T19:02:06"/>
    <s v="Y"/>
    <s v="Attendance upon client"/>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304"/>
    <d v="2023-07-10T19:02:06"/>
    <s v="Y"/>
    <s v="Preparation - drafting statement"/>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707"/>
    <d v="2023-07-10T19:02:06"/>
    <s v="Y"/>
    <s v="Hearing Unit 1.01 - 2.30 Hours"/>
    <s v="Public Law Children"/>
    <s v="Advocacy"/>
    <s v="MP"/>
    <s v="Y"/>
    <n v="238.46"/>
    <n v="0"/>
    <x v="2"/>
    <s v="VALIDATED"/>
    <n v="1"/>
    <s v="01.11.80.308.6100.0000"/>
    <n v="238.46"/>
    <s v="11"/>
    <s v="6100"/>
    <n v="7799.21"/>
    <n v="238.46"/>
    <s v="CREDITOR"/>
    <n v="0"/>
    <n v="0"/>
    <n v="0"/>
    <n v="0"/>
    <n v="238.46"/>
  </r>
  <r>
    <n v="60421872"/>
    <s v="N"/>
    <n v="21349987"/>
    <s v="3000014708000008"/>
    <s v="CIVIL"/>
    <d v="2023-06-17T00:00:00"/>
    <d v="2023-07-10T19:01:40"/>
    <m/>
    <d v="2023-07-10T00:00:00"/>
    <n v="1122"/>
    <n v="14376"/>
    <s v="60421872"/>
    <s v="60421872"/>
    <m/>
    <m/>
    <n v="22710748"/>
    <m/>
    <m/>
    <m/>
    <s v="SOLFIN"/>
    <s v="SOLFIN"/>
    <s v="CCMS"/>
    <n v="21349987"/>
    <n v="21374.31"/>
    <m/>
    <s v="N"/>
    <n v="593"/>
    <d v="2023-07-10T19:02:06"/>
    <s v="Y"/>
    <s v="Routine Letter In"/>
    <s v="Care Remuneration Hourly Rates"/>
    <s v="Profit Cost"/>
    <s v="MP"/>
    <s v="Y"/>
    <n v="42.55"/>
    <n v="0"/>
    <x v="2"/>
    <s v="VALIDATED"/>
    <n v="1"/>
    <s v="01.11.80.308.6100.0000"/>
    <n v="42.55"/>
    <s v="11"/>
    <s v="6100"/>
    <n v="7799.21"/>
    <n v="42.55"/>
    <s v="CREDITOR"/>
    <n v="0"/>
    <n v="0"/>
    <n v="0"/>
    <n v="0"/>
    <n v="42.55"/>
  </r>
  <r>
    <n v="60421872"/>
    <s v="N"/>
    <n v="21349987"/>
    <s v="3000014708000008"/>
    <s v="CIVIL"/>
    <d v="2023-06-17T00:00:00"/>
    <d v="2023-07-10T19:01:40"/>
    <m/>
    <d v="2023-07-10T00:00:00"/>
    <n v="1122"/>
    <n v="14376"/>
    <s v="60421872"/>
    <s v="60421872"/>
    <m/>
    <m/>
    <n v="22710748"/>
    <m/>
    <m/>
    <m/>
    <s v="SOLFIN"/>
    <s v="SOLFIN"/>
    <s v="CCMS"/>
    <n v="21349987"/>
    <n v="21374.31"/>
    <m/>
    <s v="N"/>
    <n v="339"/>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93"/>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368"/>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373"/>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79"/>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20"/>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253"/>
    <d v="2023-07-10T19:02:06"/>
    <s v="Y"/>
    <s v="Report - other report"/>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79"/>
    <d v="2023-07-10T19:02:06"/>
    <s v="Y"/>
    <s v="Preparation - other"/>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20"/>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622"/>
    <d v="2023-07-10T19:02:06"/>
    <s v="Y"/>
    <s v="Preparation - Periodic file review"/>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14"/>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390"/>
    <d v="2023-07-10T19:02:06"/>
    <s v="Y"/>
    <s v="Routine Letter In"/>
    <s v="Care Remuneration Hourly Rates"/>
    <s v="Profit Cost"/>
    <s v="Mark Pearson"/>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674"/>
    <d v="2023-07-10T19:02:06"/>
    <s v="Y"/>
    <s v="Preparation - other"/>
    <s v="Care Remuneration Hourly Rates"/>
    <s v="Profit Cost"/>
    <s v="Mark Pearson"/>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393"/>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441"/>
    <d v="2023-07-10T19:02:06"/>
    <s v="Y"/>
    <s v="Report - Medical report"/>
    <s v="Care Remuneration Hourly Rates"/>
    <s v="Profit Cost"/>
    <s v="MP"/>
    <s v="Y"/>
    <n v="79.41"/>
    <n v="0"/>
    <x v="2"/>
    <s v="VALIDATED"/>
    <n v="1"/>
    <s v="01.11.80.308.6100.0000"/>
    <n v="79.41"/>
    <s v="11"/>
    <s v="6100"/>
    <n v="7799.21"/>
    <n v="79.41"/>
    <s v="CREDITOR"/>
    <n v="0"/>
    <n v="0"/>
    <n v="0"/>
    <n v="0"/>
    <n v="79.41"/>
  </r>
  <r>
    <n v="60421872"/>
    <s v="N"/>
    <n v="21349987"/>
    <s v="3000014708000008"/>
    <s v="CIVIL"/>
    <d v="2023-06-17T00:00:00"/>
    <d v="2023-07-10T19:01:40"/>
    <m/>
    <d v="2023-07-10T00:00:00"/>
    <n v="1122"/>
    <n v="14376"/>
    <s v="60421872"/>
    <s v="60421872"/>
    <m/>
    <m/>
    <n v="22710748"/>
    <m/>
    <m/>
    <m/>
    <s v="SOLFIN"/>
    <s v="SOLFIN"/>
    <s v="CCMS"/>
    <n v="21349987"/>
    <n v="21374.31"/>
    <m/>
    <s v="N"/>
    <n v="45"/>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499"/>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96"/>
    <d v="2023-07-10T19:02:06"/>
    <s v="Y"/>
    <s v="Routine Letter In"/>
    <s v="Care Remuneration Hourly Rates"/>
    <s v="Profit Cost"/>
    <s v="MP"/>
    <s v="Y"/>
    <n v="48.93"/>
    <n v="0"/>
    <x v="2"/>
    <s v="VALIDATED"/>
    <n v="1"/>
    <s v="01.11.80.308.6100.0000"/>
    <n v="48.93"/>
    <s v="11"/>
    <s v="6100"/>
    <n v="7799.21"/>
    <n v="48.93"/>
    <s v="CREDITOR"/>
    <n v="0"/>
    <n v="0"/>
    <n v="0"/>
    <n v="0"/>
    <n v="48.93"/>
  </r>
  <r>
    <n v="60421872"/>
    <s v="N"/>
    <n v="21349987"/>
    <s v="3000014708000008"/>
    <s v="CIVIL"/>
    <d v="2023-06-17T00:00:00"/>
    <d v="2023-07-10T19:01:40"/>
    <m/>
    <d v="2023-07-10T00:00:00"/>
    <n v="1122"/>
    <n v="14376"/>
    <s v="60421872"/>
    <s v="60421872"/>
    <m/>
    <m/>
    <n v="22710748"/>
    <m/>
    <m/>
    <m/>
    <s v="SOLFIN"/>
    <s v="SOLFIN"/>
    <s v="CCMS"/>
    <n v="21349987"/>
    <n v="21374.31"/>
    <m/>
    <s v="N"/>
    <n v="395"/>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685"/>
    <d v="2023-07-10T19:02:06"/>
    <s v="Y"/>
    <s v="Preparation - drafting application"/>
    <s v="Care Remuneration Hourly Rates"/>
    <s v="Profit Cost"/>
    <s v="Mark Pearson"/>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558"/>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39"/>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32"/>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8"/>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45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61"/>
    <d v="2023-07-10T19:02:06"/>
    <s v="Y"/>
    <s v="Routine Letter Out"/>
    <s v="Care Remuneration Hourly Rates"/>
    <s v="Profit Cost"/>
    <s v="MP"/>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2"/>
    <d v="2023-07-10T19:02:06"/>
    <s v="N"/>
    <s v="Toxicologist"/>
    <s v="Public Law Children"/>
    <s v="Expert Disbursement"/>
    <s v="Lextox"/>
    <s v="N"/>
    <n v="253.6"/>
    <n v="50.72"/>
    <x v="2"/>
    <s v="VALIDATED"/>
    <n v="1"/>
    <s v="01.11.80.308.6300.0000"/>
    <n v="253.6"/>
    <s v="11"/>
    <s v="6300"/>
    <n v="7799.21"/>
    <n v="253.6"/>
    <s v="CREDITOR"/>
    <n v="0"/>
    <n v="0"/>
    <n v="0"/>
    <n v="0"/>
    <n v="253.6"/>
  </r>
  <r>
    <n v="60421872"/>
    <s v="N"/>
    <n v="21349987"/>
    <s v="3000014708000008"/>
    <s v="CIVIL"/>
    <d v="2023-06-17T00:00:00"/>
    <d v="2023-07-10T19:01:40"/>
    <m/>
    <d v="2023-07-10T00:00:00"/>
    <n v="1122"/>
    <n v="14376"/>
    <s v="60421872"/>
    <s v="60421872"/>
    <m/>
    <m/>
    <n v="22710748"/>
    <m/>
    <m/>
    <m/>
    <s v="SOLFIN"/>
    <s v="SOLFIN"/>
    <s v="CCMS"/>
    <n v="21349987"/>
    <n v="21374.31"/>
    <m/>
    <s v="N"/>
    <n v="477"/>
    <d v="2023-07-10T19:02:06"/>
    <s v="Y"/>
    <s v="Routine Letter Out"/>
    <s v="Care Remuneration Hourly Rates"/>
    <s v="Profit Cost"/>
    <s v="MP"/>
    <s v="Y"/>
    <n v="25.46"/>
    <n v="0"/>
    <x v="2"/>
    <s v="VALIDATED"/>
    <n v="1"/>
    <s v="01.11.80.308.6100.0000"/>
    <n v="25.46"/>
    <s v="11"/>
    <s v="6100"/>
    <n v="7799.21"/>
    <n v="25.46"/>
    <s v="CREDITOR"/>
    <n v="0"/>
    <n v="0"/>
    <n v="0"/>
    <n v="0"/>
    <n v="25.46"/>
  </r>
  <r>
    <n v="60421872"/>
    <s v="N"/>
    <n v="21349987"/>
    <s v="3000014708000008"/>
    <s v="CIVIL"/>
    <d v="2023-06-17T00:00:00"/>
    <d v="2023-07-10T19:01:40"/>
    <m/>
    <d v="2023-07-10T00:00:00"/>
    <n v="1122"/>
    <n v="14376"/>
    <s v="60421872"/>
    <s v="60421872"/>
    <m/>
    <m/>
    <n v="22710748"/>
    <m/>
    <m/>
    <m/>
    <s v="SOLFIN"/>
    <s v="SOLFIN"/>
    <s v="CCMS"/>
    <n v="21349987"/>
    <n v="21374.31"/>
    <m/>
    <s v="N"/>
    <n v="387"/>
    <d v="2023-07-10T19:02:06"/>
    <s v="Y"/>
    <s v="Routine Letter Out"/>
    <s v="Care Remuneration Hourly Rates"/>
    <s v="Profit Cost"/>
    <s v="Mark Pearson"/>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527"/>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402"/>
    <d v="2023-07-10T19:02:06"/>
    <s v="Y"/>
    <s v="Preparation - drafting statement"/>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404"/>
    <d v="2023-07-10T19:02:06"/>
    <s v="Y"/>
    <s v="Routine Letter In"/>
    <s v="Care Remuneration Hourly Rates"/>
    <s v="Profit Cost"/>
    <s v="MP"/>
    <s v="Y"/>
    <n v="19.15"/>
    <n v="0"/>
    <x v="2"/>
    <s v="VALIDATED"/>
    <n v="1"/>
    <s v="01.11.80.308.6100.0000"/>
    <n v="19.15"/>
    <s v="11"/>
    <s v="6100"/>
    <n v="7799.21"/>
    <n v="19.15"/>
    <s v="CREDITOR"/>
    <n v="0"/>
    <n v="0"/>
    <n v="0"/>
    <n v="0"/>
    <n v="19.15"/>
  </r>
  <r>
    <n v="60421872"/>
    <s v="N"/>
    <n v="21349987"/>
    <s v="3000014708000008"/>
    <s v="CIVIL"/>
    <d v="2023-06-17T00:00:00"/>
    <d v="2023-07-10T19:01:40"/>
    <m/>
    <d v="2023-07-10T00:00:00"/>
    <n v="1122"/>
    <n v="14376"/>
    <s v="60421872"/>
    <s v="60421872"/>
    <m/>
    <m/>
    <n v="22710748"/>
    <m/>
    <m/>
    <m/>
    <s v="SOLFIN"/>
    <s v="SOLFIN"/>
    <s v="CCMS"/>
    <n v="21349987"/>
    <n v="21374.31"/>
    <m/>
    <s v="N"/>
    <n v="431"/>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2"/>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316"/>
    <d v="2023-07-10T19:02:06"/>
    <s v="Y"/>
    <s v="Preparation - other"/>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71"/>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37"/>
    <d v="2023-07-10T19:02:06"/>
    <s v="Y"/>
    <s v="Routine Letter In"/>
    <s v="Care Remuneration Hourly Rates"/>
    <s v="Profit Cost"/>
    <s v="MP"/>
    <s v="Y"/>
    <n v="63.83"/>
    <n v="0"/>
    <x v="2"/>
    <s v="VALIDATED"/>
    <n v="1"/>
    <s v="01.11.80.308.6100.0000"/>
    <n v="63.83"/>
    <s v="11"/>
    <s v="6100"/>
    <n v="7799.21"/>
    <n v="63.83"/>
    <s v="CREDITOR"/>
    <n v="0"/>
    <n v="0"/>
    <n v="0"/>
    <n v="0"/>
    <n v="63.83"/>
  </r>
  <r>
    <n v="60421872"/>
    <s v="N"/>
    <n v="21349987"/>
    <s v="3000014708000008"/>
    <s v="CIVIL"/>
    <d v="2023-06-17T00:00:00"/>
    <d v="2023-07-10T19:01:40"/>
    <m/>
    <d v="2023-07-10T00:00:00"/>
    <n v="1122"/>
    <n v="14376"/>
    <s v="60421872"/>
    <s v="60421872"/>
    <m/>
    <m/>
    <n v="22710748"/>
    <m/>
    <m/>
    <m/>
    <s v="SOLFIN"/>
    <s v="SOLFIN"/>
    <s v="CCMS"/>
    <n v="21349987"/>
    <n v="21374.31"/>
    <m/>
    <s v="N"/>
    <n v="569"/>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76"/>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588"/>
    <d v="2023-07-10T19:02:06"/>
    <s v="Y"/>
    <s v="Routine Letter In"/>
    <s v="Care Remuneration Hourly Rates"/>
    <s v="Profit Cost"/>
    <s v="MP"/>
    <s v="Y"/>
    <n v="8.51"/>
    <n v="0"/>
    <x v="2"/>
    <s v="VALIDATED"/>
    <n v="1"/>
    <s v="01.11.80.308.6100.0000"/>
    <n v="8.51"/>
    <s v="11"/>
    <s v="6100"/>
    <n v="7799.21"/>
    <n v="8.51"/>
    <s v="CREDITOR"/>
    <n v="0"/>
    <n v="0"/>
    <n v="0"/>
    <n v="0"/>
    <n v="8.51"/>
  </r>
  <r>
    <n v="60421872"/>
    <s v="N"/>
    <n v="21349987"/>
    <s v="3000014708000008"/>
    <s v="CIVIL"/>
    <d v="2023-06-17T00:00:00"/>
    <d v="2023-07-10T19:01:40"/>
    <m/>
    <d v="2023-07-10T00:00:00"/>
    <n v="1122"/>
    <n v="14376"/>
    <s v="60421872"/>
    <s v="60421872"/>
    <m/>
    <m/>
    <n v="22710748"/>
    <m/>
    <m/>
    <m/>
    <s v="SOLFIN"/>
    <s v="SOLFIN"/>
    <s v="CCMS"/>
    <n v="21349987"/>
    <n v="21374.31"/>
    <m/>
    <s v="N"/>
    <n v="615"/>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463"/>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83"/>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185"/>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612"/>
    <d v="2023-07-10T19:02:06"/>
    <s v="Y"/>
    <s v="Preparation - drafting instructions"/>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58"/>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488"/>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86"/>
    <d v="2023-07-10T19:02:06"/>
    <s v="Y"/>
    <s v="Preparation - other"/>
    <s v="Care Remuneration Hourly Rates"/>
    <s v="Profit Cost"/>
    <s v="MP"/>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366"/>
    <d v="2023-07-10T19:02:06"/>
    <s v="Y"/>
    <s v="Preparation - drafting attendance n"/>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04"/>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535"/>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69"/>
    <d v="2023-07-10T19:02:06"/>
    <s v="Y"/>
    <s v="Attendance upon clien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306"/>
    <d v="2023-07-10T19:02:06"/>
    <s v="Y"/>
    <s v="Routine Letter In"/>
    <s v="Care Remuneration Hourly Rates"/>
    <s v="Profit Cost"/>
    <s v="MP"/>
    <s v="Y"/>
    <n v="31.91"/>
    <n v="0"/>
    <x v="2"/>
    <s v="VALIDATED"/>
    <n v="1"/>
    <s v="01.11.80.308.6100.0000"/>
    <n v="31.91"/>
    <s v="11"/>
    <s v="6100"/>
    <n v="7799.21"/>
    <n v="31.91"/>
    <s v="CREDITOR"/>
    <n v="0"/>
    <n v="0"/>
    <n v="0"/>
    <n v="0"/>
    <n v="31.91"/>
  </r>
  <r>
    <n v="60421872"/>
    <s v="N"/>
    <n v="21349987"/>
    <s v="3000014708000008"/>
    <s v="CIVIL"/>
    <d v="2023-06-17T00:00:00"/>
    <d v="2023-07-10T19:01:40"/>
    <m/>
    <d v="2023-07-10T00:00:00"/>
    <n v="1122"/>
    <n v="14376"/>
    <s v="60421872"/>
    <s v="60421872"/>
    <m/>
    <m/>
    <n v="22710748"/>
    <m/>
    <m/>
    <m/>
    <s v="SOLFIN"/>
    <s v="SOLFIN"/>
    <s v="CCMS"/>
    <n v="21349987"/>
    <n v="21374.31"/>
    <m/>
    <s v="N"/>
    <n v="28"/>
    <d v="2023-07-10T19:02:06"/>
    <s v="Y"/>
    <s v="Preparation - other"/>
    <s v="Care Remuneration Hourly Rates"/>
    <s v="Profit Cost"/>
    <s v="MP"/>
    <s v="Y"/>
    <n v="63.53"/>
    <n v="0"/>
    <x v="2"/>
    <s v="VALIDATED"/>
    <n v="1"/>
    <s v="01.11.80.308.6100.0000"/>
    <n v="63.53"/>
    <s v="11"/>
    <s v="6100"/>
    <n v="7799.21"/>
    <n v="63.53"/>
    <s v="CREDITOR"/>
    <n v="0"/>
    <n v="0"/>
    <n v="0"/>
    <n v="0"/>
    <n v="63.53"/>
  </r>
  <r>
    <n v="60421872"/>
    <s v="N"/>
    <n v="21349987"/>
    <s v="3000014708000008"/>
    <s v="CIVIL"/>
    <d v="2023-06-17T00:00:00"/>
    <d v="2023-07-10T19:01:40"/>
    <m/>
    <d v="2023-07-10T00:00:00"/>
    <n v="1122"/>
    <n v="14376"/>
    <s v="60421872"/>
    <s v="60421872"/>
    <m/>
    <m/>
    <n v="22710748"/>
    <m/>
    <m/>
    <m/>
    <s v="SOLFIN"/>
    <s v="SOLFIN"/>
    <s v="CCMS"/>
    <n v="21349987"/>
    <n v="21374.31"/>
    <m/>
    <s v="N"/>
    <n v="598"/>
    <d v="2023-07-10T19:02:06"/>
    <s v="Y"/>
    <s v="Report - other report"/>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11"/>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619"/>
    <d v="2023-07-10T19:02:06"/>
    <s v="Y"/>
    <s v="Report - other report"/>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212"/>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49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08"/>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46"/>
    <d v="2023-07-10T19:02:06"/>
    <s v="Y"/>
    <s v="Routine Letter Out"/>
    <s v="Care Remuneration Hourly Rates"/>
    <s v="Profit Cost"/>
    <s v="Mark Pearson"/>
    <s v="Y"/>
    <n v="21.22"/>
    <n v="0"/>
    <x v="2"/>
    <s v="VALIDATED"/>
    <n v="1"/>
    <s v="01.11.80.308.6100.0000"/>
    <n v="21.22"/>
    <s v="11"/>
    <s v="6100"/>
    <n v="7799.21"/>
    <n v="21.22"/>
    <s v="CREDITOR"/>
    <n v="0"/>
    <n v="0"/>
    <n v="0"/>
    <n v="0"/>
    <n v="21.22"/>
  </r>
  <r>
    <n v="60421872"/>
    <s v="N"/>
    <n v="21349987"/>
    <s v="3000014708000008"/>
    <s v="CIVIL"/>
    <d v="2023-06-17T00:00:00"/>
    <d v="2023-07-10T19:01:40"/>
    <m/>
    <d v="2023-07-10T00:00:00"/>
    <n v="1122"/>
    <n v="14376"/>
    <s v="60421872"/>
    <s v="60421872"/>
    <m/>
    <m/>
    <n v="22710748"/>
    <m/>
    <m/>
    <m/>
    <s v="SOLFIN"/>
    <s v="SOLFIN"/>
    <s v="CCMS"/>
    <n v="21349987"/>
    <n v="21374.31"/>
    <m/>
    <s v="N"/>
    <n v="515"/>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52"/>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57"/>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235"/>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675"/>
    <d v="2023-07-10T19:02:06"/>
    <s v="Y"/>
    <s v="Preparation - other"/>
    <s v="Care Remuneration Hourly Rates"/>
    <s v="Profit Cost"/>
    <s v="Mark Pearson"/>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126"/>
    <d v="2023-07-10T19:02:06"/>
    <s v="Y"/>
    <s v="Attendance upon client"/>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70"/>
    <d v="2023-07-10T19:02:06"/>
    <s v="Y"/>
    <s v="Preparation - other"/>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57"/>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29"/>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94"/>
    <d v="2023-07-10T19:02:06"/>
    <s v="Y"/>
    <s v="Routine Letter Out"/>
    <s v="Care Remuneration Hourly Rates"/>
    <s v="Profit Cost"/>
    <s v="Mark Pearson"/>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297"/>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169"/>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5"/>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89"/>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71"/>
    <d v="2023-07-10T19:02:06"/>
    <s v="Y"/>
    <s v="Report - other repor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328"/>
    <d v="2023-07-10T19:02:06"/>
    <s v="Y"/>
    <s v="Report - other"/>
    <s v="Care Remuneration Hourly Rates"/>
    <s v="Profit Cost"/>
    <s v="Mark Pearson"/>
    <s v="Y"/>
    <n v="42.35"/>
    <n v="0"/>
    <x v="2"/>
    <s v="VALIDATED"/>
    <n v="1"/>
    <s v="01.11.80.308.6100.0000"/>
    <n v="42.35"/>
    <s v="11"/>
    <s v="6100"/>
    <n v="7799.21"/>
    <n v="42.35"/>
    <s v="CREDITOR"/>
    <n v="0"/>
    <n v="0"/>
    <n v="0"/>
    <n v="0"/>
    <n v="42.35"/>
  </r>
  <r>
    <n v="60421872"/>
    <s v="N"/>
    <n v="21349987"/>
    <s v="3000014708000008"/>
    <s v="CIVIL"/>
    <d v="2023-06-17T00:00:00"/>
    <d v="2023-07-10T19:01:40"/>
    <m/>
    <d v="2023-07-10T00:00:00"/>
    <n v="1122"/>
    <n v="14376"/>
    <s v="60421872"/>
    <s v="60421872"/>
    <m/>
    <m/>
    <n v="22710748"/>
    <m/>
    <m/>
    <m/>
    <s v="SOLFIN"/>
    <s v="SOLFIN"/>
    <s v="CCMS"/>
    <n v="21349987"/>
    <n v="21374.31"/>
    <m/>
    <s v="N"/>
    <n v="3"/>
    <d v="2023-07-10T19:02:06"/>
    <s v="Y"/>
    <s v="Toxicologist"/>
    <s v="Public Law Children"/>
    <s v="Expert Disbursement"/>
    <s v="Lextox"/>
    <s v="Y"/>
    <n v="200.75"/>
    <n v="40.15"/>
    <x v="2"/>
    <s v="VALIDATED"/>
    <n v="1"/>
    <s v="01.11.80.308.6300.0000"/>
    <n v="200.75"/>
    <s v="11"/>
    <s v="6300"/>
    <n v="7799.21"/>
    <n v="200.75"/>
    <s v="CREDITOR"/>
    <n v="0"/>
    <n v="0"/>
    <n v="0"/>
    <n v="0"/>
    <n v="200.75"/>
  </r>
  <r>
    <n v="60421872"/>
    <s v="N"/>
    <n v="21349987"/>
    <s v="3000014708000008"/>
    <s v="CIVIL"/>
    <d v="2023-06-17T00:00:00"/>
    <d v="2023-07-10T19:01:40"/>
    <m/>
    <d v="2023-07-10T00:00:00"/>
    <n v="1122"/>
    <n v="14376"/>
    <s v="60421872"/>
    <s v="60421872"/>
    <m/>
    <m/>
    <n v="22710748"/>
    <m/>
    <m/>
    <m/>
    <s v="SOLFIN"/>
    <s v="SOLFIN"/>
    <s v="CCMS"/>
    <n v="21349987"/>
    <n v="21374.31"/>
    <m/>
    <s v="N"/>
    <n v="340"/>
    <d v="2023-07-10T19:02:06"/>
    <s v="Y"/>
    <s v="Report - Medical report"/>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236"/>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01"/>
    <d v="2023-07-10T19:02:06"/>
    <s v="Y"/>
    <s v="Attendance upon clien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9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23"/>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474"/>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333"/>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341"/>
    <d v="2023-07-10T19:02:06"/>
    <s v="Y"/>
    <s v="Preparation - other"/>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521"/>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531"/>
    <d v="2023-07-10T19:02:06"/>
    <s v="Y"/>
    <s v="Routine Letter In"/>
    <s v="Care Remuneration Hourly Rates"/>
    <s v="Profit Cost"/>
    <s v="MP"/>
    <s v="Y"/>
    <n v="36.17"/>
    <n v="0"/>
    <x v="2"/>
    <s v="VALIDATED"/>
    <n v="1"/>
    <s v="01.11.80.308.6100.0000"/>
    <n v="36.17"/>
    <s v="11"/>
    <s v="6100"/>
    <n v="7799.21"/>
    <n v="36.17"/>
    <s v="CREDITOR"/>
    <n v="0"/>
    <n v="0"/>
    <n v="0"/>
    <n v="0"/>
    <n v="36.17"/>
  </r>
  <r>
    <n v="60421872"/>
    <s v="N"/>
    <n v="21349987"/>
    <s v="3000014708000008"/>
    <s v="CIVIL"/>
    <d v="2023-06-17T00:00:00"/>
    <d v="2023-07-10T19:01:40"/>
    <m/>
    <d v="2023-07-10T00:00:00"/>
    <n v="1122"/>
    <n v="14376"/>
    <s v="60421872"/>
    <s v="60421872"/>
    <m/>
    <m/>
    <n v="22710748"/>
    <m/>
    <m/>
    <m/>
    <s v="SOLFIN"/>
    <s v="SOLFIN"/>
    <s v="CCMS"/>
    <n v="21349987"/>
    <n v="21374.31"/>
    <m/>
    <s v="N"/>
    <n v="149"/>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25"/>
    <d v="2023-07-10T19:02:06"/>
    <s v="Y"/>
    <s v="Routine Letter Out"/>
    <s v="Care Remuneration Hourly Rates"/>
    <s v="Profit Cost"/>
    <s v="MP"/>
    <s v="Y"/>
    <n v="38.19"/>
    <n v="0"/>
    <x v="2"/>
    <s v="VALIDATED"/>
    <n v="1"/>
    <s v="01.11.80.308.6100.0000"/>
    <n v="38.19"/>
    <s v="11"/>
    <s v="6100"/>
    <n v="7799.21"/>
    <n v="38.19"/>
    <s v="CREDITOR"/>
    <n v="0"/>
    <n v="0"/>
    <n v="0"/>
    <n v="0"/>
    <n v="38.19"/>
  </r>
  <r>
    <n v="60421872"/>
    <s v="N"/>
    <n v="21349987"/>
    <s v="3000014708000008"/>
    <s v="CIVIL"/>
    <d v="2023-06-17T00:00:00"/>
    <d v="2023-07-10T19:01:40"/>
    <m/>
    <d v="2023-07-10T00:00:00"/>
    <n v="1122"/>
    <n v="14376"/>
    <s v="60421872"/>
    <s v="60421872"/>
    <m/>
    <m/>
    <n v="22710748"/>
    <m/>
    <m/>
    <m/>
    <s v="SOLFIN"/>
    <s v="SOLFIN"/>
    <s v="CCMS"/>
    <n v="21349987"/>
    <n v="21374.31"/>
    <m/>
    <s v="N"/>
    <n v="602"/>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607"/>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305"/>
    <d v="2023-07-10T19:02:06"/>
    <s v="Y"/>
    <s v="Routine Letter In"/>
    <s v="Care Remuneration Hourly Rates"/>
    <s v="Profit Cost"/>
    <s v="MP"/>
    <s v="Y"/>
    <n v="31.91"/>
    <n v="0"/>
    <x v="2"/>
    <s v="VALIDATED"/>
    <n v="1"/>
    <s v="01.11.80.308.6100.0000"/>
    <n v="31.91"/>
    <s v="11"/>
    <s v="6100"/>
    <n v="7799.21"/>
    <n v="31.91"/>
    <s v="CREDITOR"/>
    <n v="0"/>
    <n v="0"/>
    <n v="0"/>
    <n v="0"/>
    <n v="31.91"/>
  </r>
  <r>
    <n v="60421872"/>
    <s v="N"/>
    <n v="21349987"/>
    <s v="3000014708000008"/>
    <s v="CIVIL"/>
    <d v="2023-06-17T00:00:00"/>
    <d v="2023-07-10T19:01:40"/>
    <m/>
    <d v="2023-07-10T00:00:00"/>
    <n v="1122"/>
    <n v="14376"/>
    <s v="60421872"/>
    <s v="60421872"/>
    <m/>
    <m/>
    <n v="22710748"/>
    <m/>
    <m/>
    <m/>
    <s v="SOLFIN"/>
    <s v="SOLFIN"/>
    <s v="CCMS"/>
    <n v="21349987"/>
    <n v="21374.31"/>
    <m/>
    <s v="N"/>
    <n v="31"/>
    <d v="2023-07-10T19:02:06"/>
    <s v="Y"/>
    <s v="Preparation - drafting attendance n"/>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18"/>
    <d v="2023-07-10T19:02:06"/>
    <s v="Y"/>
    <s v="Preparation - drafting pleadings"/>
    <s v="Care Remuneration Hourly Rates"/>
    <s v="Profit Cost"/>
    <s v="Mark Pearson"/>
    <s v="Y"/>
    <n v="84.7"/>
    <n v="0"/>
    <x v="2"/>
    <s v="VALIDATED"/>
    <n v="1"/>
    <s v="01.11.80.308.6100.0000"/>
    <n v="84.7"/>
    <s v="11"/>
    <s v="6100"/>
    <n v="7799.21"/>
    <n v="84.7"/>
    <s v="CREDITOR"/>
    <n v="0"/>
    <n v="0"/>
    <n v="0"/>
    <n v="0"/>
    <n v="84.7"/>
  </r>
  <r>
    <n v="60421872"/>
    <s v="N"/>
    <n v="21349987"/>
    <s v="3000014708000008"/>
    <s v="CIVIL"/>
    <d v="2023-06-17T00:00:00"/>
    <d v="2023-07-10T19:01:40"/>
    <m/>
    <d v="2023-07-10T00:00:00"/>
    <n v="1122"/>
    <n v="14376"/>
    <s v="60421872"/>
    <s v="60421872"/>
    <m/>
    <m/>
    <n v="22710748"/>
    <m/>
    <m/>
    <m/>
    <s v="SOLFIN"/>
    <s v="SOLFIN"/>
    <s v="CCMS"/>
    <n v="21349987"/>
    <n v="21374.31"/>
    <m/>
    <s v="N"/>
    <n v="596"/>
    <d v="2023-07-10T19:02:06"/>
    <s v="Y"/>
    <s v="Preparation - other"/>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195"/>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77"/>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80"/>
    <d v="2023-07-10T19:02:06"/>
    <s v="Y"/>
    <s v="Routine Letter In"/>
    <s v="Care Remuneration Hourly Rates"/>
    <s v="Profit Cost"/>
    <s v="MP"/>
    <s v="Y"/>
    <n v="34.04"/>
    <n v="0"/>
    <x v="2"/>
    <s v="VALIDATED"/>
    <n v="1"/>
    <s v="01.11.80.308.6100.0000"/>
    <n v="34.04"/>
    <s v="11"/>
    <s v="6100"/>
    <n v="7799.21"/>
    <n v="34.04"/>
    <s v="CREDITOR"/>
    <n v="0"/>
    <n v="0"/>
    <n v="0"/>
    <n v="0"/>
    <n v="34.04"/>
  </r>
  <r>
    <n v="60421872"/>
    <s v="N"/>
    <n v="21349987"/>
    <s v="3000014708000008"/>
    <s v="CIVIL"/>
    <d v="2023-06-17T00:00:00"/>
    <d v="2023-07-10T19:01:40"/>
    <m/>
    <d v="2023-07-10T00:00:00"/>
    <n v="1122"/>
    <n v="14376"/>
    <s v="60421872"/>
    <s v="60421872"/>
    <m/>
    <m/>
    <n v="22710748"/>
    <m/>
    <m/>
    <m/>
    <s v="SOLFIN"/>
    <s v="SOLFIN"/>
    <s v="CCMS"/>
    <n v="21349987"/>
    <n v="21374.31"/>
    <m/>
    <s v="N"/>
    <n v="178"/>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0"/>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62"/>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691"/>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0"/>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697"/>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38"/>
    <d v="2023-07-10T19:02:06"/>
    <s v="Y"/>
    <s v="Report - other report"/>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323"/>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479"/>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50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97"/>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466"/>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24"/>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13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79"/>
    <d v="2023-07-10T19:02:06"/>
    <s v="Y"/>
    <s v="Routine Letter In"/>
    <s v="Care Remuneration Hourly Rates"/>
    <s v="Profit Cost"/>
    <s v="MP"/>
    <s v="Y"/>
    <n v="12.77"/>
    <n v="0"/>
    <x v="2"/>
    <s v="VALIDATED"/>
    <n v="1"/>
    <s v="01.11.80.308.6100.0000"/>
    <n v="12.77"/>
    <s v="11"/>
    <s v="6100"/>
    <n v="7799.21"/>
    <n v="12.77"/>
    <s v="CREDITOR"/>
    <n v="0"/>
    <n v="0"/>
    <n v="0"/>
    <n v="0"/>
    <n v="12.77"/>
  </r>
  <r>
    <n v="60421872"/>
    <s v="N"/>
    <n v="21349987"/>
    <s v="3000014708000008"/>
    <s v="CIVIL"/>
    <d v="2023-06-17T00:00:00"/>
    <d v="2023-07-10T19:01:40"/>
    <m/>
    <d v="2023-07-10T00:00:00"/>
    <n v="1122"/>
    <n v="14376"/>
    <s v="60421872"/>
    <s v="60421872"/>
    <m/>
    <m/>
    <n v="22710748"/>
    <m/>
    <m/>
    <m/>
    <s v="SOLFIN"/>
    <s v="SOLFIN"/>
    <s v="CCMS"/>
    <n v="21349987"/>
    <n v="21374.31"/>
    <m/>
    <s v="N"/>
    <n v="143"/>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430"/>
    <d v="2023-07-10T19:02:06"/>
    <s v="Y"/>
    <s v="Report - other expert's report"/>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434"/>
    <d v="2023-07-10T19:02:06"/>
    <s v="Y"/>
    <s v="Preparation - drafting instructions"/>
    <s v="Care Remuneration Hourly Rates"/>
    <s v="Profit Cost"/>
    <s v="MP"/>
    <s v="Y"/>
    <n v="169.41"/>
    <n v="0"/>
    <x v="2"/>
    <s v="VALIDATED"/>
    <n v="1"/>
    <s v="01.11.80.308.6100.0000"/>
    <n v="169.41"/>
    <s v="11"/>
    <s v="6100"/>
    <n v="7799.21"/>
    <n v="169.41"/>
    <s v="CREDITOR"/>
    <n v="0"/>
    <n v="0"/>
    <n v="0"/>
    <n v="0"/>
    <n v="169.41"/>
  </r>
  <r>
    <n v="60421872"/>
    <s v="N"/>
    <n v="21349987"/>
    <s v="3000014708000008"/>
    <s v="CIVIL"/>
    <d v="2023-06-17T00:00:00"/>
    <d v="2023-07-10T19:01:40"/>
    <m/>
    <d v="2023-07-10T00:00:00"/>
    <n v="1122"/>
    <n v="14376"/>
    <s v="60421872"/>
    <s v="60421872"/>
    <m/>
    <m/>
    <n v="22710748"/>
    <m/>
    <m/>
    <m/>
    <s v="SOLFIN"/>
    <s v="SOLFIN"/>
    <s v="CCMS"/>
    <n v="21349987"/>
    <n v="21374.31"/>
    <m/>
    <s v="N"/>
    <n v="603"/>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454"/>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188"/>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20"/>
    <d v="2023-07-10T19:02:06"/>
    <s v="Y"/>
    <s v="Preparation - other"/>
    <s v="Care Remuneration Hourly Rates"/>
    <s v="Profit Cost"/>
    <s v="MP"/>
    <s v="Y"/>
    <n v="79.41"/>
    <n v="0"/>
    <x v="2"/>
    <s v="VALIDATED"/>
    <n v="1"/>
    <s v="01.11.80.308.6100.0000"/>
    <n v="79.41"/>
    <s v="11"/>
    <s v="6100"/>
    <n v="7799.21"/>
    <n v="79.41"/>
    <s v="CREDITOR"/>
    <n v="0"/>
    <n v="0"/>
    <n v="0"/>
    <n v="0"/>
    <n v="79.41"/>
  </r>
  <r>
    <n v="60421872"/>
    <s v="N"/>
    <n v="21349987"/>
    <s v="3000014708000008"/>
    <s v="CIVIL"/>
    <d v="2023-06-17T00:00:00"/>
    <d v="2023-07-10T19:01:40"/>
    <m/>
    <d v="2023-07-10T00:00:00"/>
    <n v="1122"/>
    <n v="14376"/>
    <s v="60421872"/>
    <s v="60421872"/>
    <m/>
    <m/>
    <n v="22710748"/>
    <m/>
    <m/>
    <m/>
    <s v="SOLFIN"/>
    <s v="SOLFIN"/>
    <s v="CCMS"/>
    <n v="21349987"/>
    <n v="21374.31"/>
    <m/>
    <s v="N"/>
    <n v="338"/>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496"/>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32"/>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90"/>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632"/>
    <d v="2023-07-10T19:02:06"/>
    <s v="Y"/>
    <s v="Report - other report"/>
    <s v="Care Remuneration Hourly Rates"/>
    <s v="Profit Cost"/>
    <s v="MP"/>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233"/>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234"/>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240"/>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381"/>
    <d v="2023-07-10T19:02:06"/>
    <s v="Y"/>
    <s v="Preparation - drafting statemen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17"/>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597"/>
    <d v="2023-07-10T19:02:06"/>
    <s v="Y"/>
    <s v="Routine Letter Out"/>
    <s v="Care Remuneration Hourly Rates"/>
    <s v="Profit Cost"/>
    <s v="MP"/>
    <s v="Y"/>
    <n v="42.44"/>
    <n v="0"/>
    <x v="2"/>
    <s v="VALIDATED"/>
    <n v="1"/>
    <s v="01.11.80.308.6100.0000"/>
    <n v="42.44"/>
    <s v="11"/>
    <s v="6100"/>
    <n v="7799.21"/>
    <n v="42.44"/>
    <s v="CREDITOR"/>
    <n v="0"/>
    <n v="0"/>
    <n v="0"/>
    <n v="0"/>
    <n v="42.44"/>
  </r>
  <r>
    <n v="60421872"/>
    <s v="N"/>
    <n v="21349987"/>
    <s v="3000014708000008"/>
    <s v="CIVIL"/>
    <d v="2023-06-17T00:00:00"/>
    <d v="2023-07-10T19:01:40"/>
    <m/>
    <d v="2023-07-10T00:00:00"/>
    <n v="1122"/>
    <n v="14376"/>
    <s v="60421872"/>
    <s v="60421872"/>
    <m/>
    <m/>
    <n v="22710748"/>
    <m/>
    <m/>
    <m/>
    <s v="SOLFIN"/>
    <s v="SOLFIN"/>
    <s v="CCMS"/>
    <n v="21349987"/>
    <n v="21374.31"/>
    <m/>
    <s v="N"/>
    <n v="478"/>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522"/>
    <d v="2023-07-10T19:02:06"/>
    <s v="Y"/>
    <s v="Routine Telephone Call"/>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543"/>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439"/>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314"/>
    <d v="2023-07-10T19:02:06"/>
    <s v="Y"/>
    <s v="Routine Letter In"/>
    <s v="Care Remuneration Hourly Rates"/>
    <s v="Profit Cost"/>
    <s v="MP"/>
    <s v="Y"/>
    <n v="38.3"/>
    <n v="0"/>
    <x v="2"/>
    <s v="VALIDATED"/>
    <n v="1"/>
    <s v="01.11.80.308.6100.0000"/>
    <n v="38.3"/>
    <s v="11"/>
    <s v="6100"/>
    <n v="7799.21"/>
    <n v="38.3"/>
    <s v="CREDITOR"/>
    <n v="0"/>
    <n v="0"/>
    <n v="0"/>
    <n v="0"/>
    <n v="38.3"/>
  </r>
  <r>
    <n v="60421872"/>
    <s v="N"/>
    <n v="21349987"/>
    <s v="3000014708000008"/>
    <s v="CIVIL"/>
    <d v="2023-06-17T00:00:00"/>
    <d v="2023-07-10T19:01:40"/>
    <m/>
    <d v="2023-07-10T00:00:00"/>
    <n v="1122"/>
    <n v="14376"/>
    <s v="60421872"/>
    <s v="60421872"/>
    <m/>
    <m/>
    <n v="22710748"/>
    <m/>
    <m/>
    <m/>
    <s v="SOLFIN"/>
    <s v="SOLFIN"/>
    <s v="CCMS"/>
    <n v="21349987"/>
    <n v="21374.31"/>
    <m/>
    <s v="N"/>
    <n v="192"/>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79"/>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349"/>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69"/>
    <d v="2023-07-10T19:02:06"/>
    <s v="Y"/>
    <s v="Report - Medical report"/>
    <s v="Care Remuneration Hourly Rates"/>
    <s v="Profit Cost"/>
    <s v="MP"/>
    <s v="Y"/>
    <n v="206.46"/>
    <n v="0"/>
    <x v="2"/>
    <s v="VALIDATED"/>
    <n v="1"/>
    <s v="01.11.80.308.6100.0000"/>
    <n v="206.46"/>
    <s v="11"/>
    <s v="6100"/>
    <n v="7799.21"/>
    <n v="206.46"/>
    <s v="CREDITOR"/>
    <n v="0"/>
    <n v="0"/>
    <n v="0"/>
    <n v="0"/>
    <n v="206.46"/>
  </r>
  <r>
    <n v="60421872"/>
    <s v="N"/>
    <n v="21349987"/>
    <s v="3000014708000008"/>
    <s v="CIVIL"/>
    <d v="2023-06-17T00:00:00"/>
    <d v="2023-07-10T19:01:40"/>
    <m/>
    <d v="2023-07-10T00:00:00"/>
    <n v="1122"/>
    <n v="14376"/>
    <s v="60421872"/>
    <s v="60421872"/>
    <m/>
    <m/>
    <n v="22710748"/>
    <m/>
    <m/>
    <m/>
    <s v="SOLFIN"/>
    <s v="SOLFIN"/>
    <s v="CCMS"/>
    <n v="21349987"/>
    <n v="21374.31"/>
    <m/>
    <s v="N"/>
    <n v="643"/>
    <d v="2023-07-10T19:02:06"/>
    <s v="Y"/>
    <s v="Preparation - other"/>
    <s v="Care Remuneration Hourly Rates"/>
    <s v="Profit Cost"/>
    <s v="MP"/>
    <s v="Y"/>
    <n v="74.12"/>
    <n v="0"/>
    <x v="2"/>
    <s v="VALIDATED"/>
    <n v="1"/>
    <s v="01.11.80.308.6100.0000"/>
    <n v="74.12"/>
    <s v="11"/>
    <s v="6100"/>
    <n v="7799.21"/>
    <n v="74.12"/>
    <s v="CREDITOR"/>
    <n v="0"/>
    <n v="0"/>
    <n v="0"/>
    <n v="0"/>
    <n v="74.12"/>
  </r>
  <r>
    <n v="60421872"/>
    <s v="N"/>
    <n v="21349987"/>
    <s v="3000014708000008"/>
    <s v="CIVIL"/>
    <d v="2023-06-17T00:00:00"/>
    <d v="2023-07-10T19:01:40"/>
    <m/>
    <d v="2023-07-10T00:00:00"/>
    <n v="1122"/>
    <n v="14376"/>
    <s v="60421872"/>
    <s v="60421872"/>
    <m/>
    <m/>
    <n v="22710748"/>
    <m/>
    <m/>
    <m/>
    <s v="SOLFIN"/>
    <s v="SOLFIN"/>
    <s v="CCMS"/>
    <n v="21349987"/>
    <n v="21374.31"/>
    <m/>
    <s v="N"/>
    <n v="288"/>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7"/>
    <d v="2023-07-10T19:02:06"/>
    <s v="Y"/>
    <s v="Report - other report"/>
    <s v="Care Remuneration Hourly Rates"/>
    <s v="Profit Cost"/>
    <s v="MP"/>
    <s v="Y"/>
    <n v="42.35"/>
    <n v="0"/>
    <x v="2"/>
    <s v="VALIDATED"/>
    <n v="1"/>
    <s v="01.11.80.308.6100.0000"/>
    <n v="42.35"/>
    <s v="11"/>
    <s v="6100"/>
    <n v="7799.21"/>
    <n v="42.35"/>
    <s v="CREDITOR"/>
    <n v="0"/>
    <n v="0"/>
    <n v="0"/>
    <n v="0"/>
    <n v="42.35"/>
  </r>
  <r>
    <n v="60421872"/>
    <s v="N"/>
    <n v="21349987"/>
    <s v="3000014708000008"/>
    <s v="CIVIL"/>
    <d v="2023-06-17T00:00:00"/>
    <d v="2023-07-10T19:01:40"/>
    <m/>
    <d v="2023-07-10T00:00:00"/>
    <n v="1122"/>
    <n v="14376"/>
    <s v="60421872"/>
    <s v="60421872"/>
    <m/>
    <m/>
    <n v="22710748"/>
    <m/>
    <m/>
    <m/>
    <s v="SOLFIN"/>
    <s v="SOLFIN"/>
    <s v="CCMS"/>
    <n v="21349987"/>
    <n v="21374.31"/>
    <m/>
    <s v="N"/>
    <n v="436"/>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5"/>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6"/>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44"/>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13"/>
    <d v="2023-07-10T19:02:06"/>
    <s v="Y"/>
    <s v="Preparation - other"/>
    <s v="Care Remuneration Hourly Rates"/>
    <s v="Profit Cost"/>
    <s v="MP"/>
    <s v="Y"/>
    <n v="195.87"/>
    <n v="0"/>
    <x v="2"/>
    <s v="VALIDATED"/>
    <n v="1"/>
    <s v="01.11.80.308.6100.0000"/>
    <n v="195.87"/>
    <s v="11"/>
    <s v="6100"/>
    <n v="7799.21"/>
    <n v="195.87"/>
    <s v="CREDITOR"/>
    <n v="0"/>
    <n v="0"/>
    <n v="0"/>
    <n v="0"/>
    <n v="195.87"/>
  </r>
  <r>
    <n v="60421872"/>
    <s v="N"/>
    <n v="21349987"/>
    <s v="3000014708000008"/>
    <s v="CIVIL"/>
    <d v="2023-06-17T00:00:00"/>
    <d v="2023-07-10T19:01:40"/>
    <m/>
    <d v="2023-07-10T00:00:00"/>
    <n v="1122"/>
    <n v="14376"/>
    <s v="60421872"/>
    <s v="60421872"/>
    <m/>
    <m/>
    <n v="22710748"/>
    <m/>
    <m/>
    <m/>
    <s v="SOLFIN"/>
    <s v="SOLFIN"/>
    <s v="CCMS"/>
    <n v="21349987"/>
    <n v="21374.31"/>
    <m/>
    <s v="N"/>
    <n v="592"/>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0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548"/>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412"/>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285"/>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4"/>
    <d v="2023-07-10T19:02:06"/>
    <s v="Y"/>
    <s v="Preparation - research"/>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33"/>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311"/>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49"/>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684"/>
    <d v="2023-07-10T19:02:06"/>
    <s v="Y"/>
    <s v="Preparation - drafting pleadings"/>
    <s v="Care Remuneration Hourly Rates"/>
    <s v="Profit Cost"/>
    <s v="Mark Pearson"/>
    <s v="Y"/>
    <n v="79.41"/>
    <n v="0"/>
    <x v="2"/>
    <s v="VALIDATED"/>
    <n v="1"/>
    <s v="01.11.80.308.6100.0000"/>
    <n v="79.41"/>
    <s v="11"/>
    <s v="6100"/>
    <n v="7799.21"/>
    <n v="79.41"/>
    <s v="CREDITOR"/>
    <n v="0"/>
    <n v="0"/>
    <n v="0"/>
    <n v="0"/>
    <n v="79.41"/>
  </r>
  <r>
    <n v="60421872"/>
    <s v="N"/>
    <n v="21349987"/>
    <s v="3000014708000008"/>
    <s v="CIVIL"/>
    <d v="2023-06-17T00:00:00"/>
    <d v="2023-07-10T19:01:40"/>
    <m/>
    <d v="2023-07-10T00:00:00"/>
    <n v="1122"/>
    <n v="14376"/>
    <s v="60421872"/>
    <s v="60421872"/>
    <m/>
    <m/>
    <n v="22710748"/>
    <m/>
    <m/>
    <m/>
    <s v="SOLFIN"/>
    <s v="SOLFIN"/>
    <s v="CCMS"/>
    <n v="21349987"/>
    <n v="21374.31"/>
    <m/>
    <s v="N"/>
    <n v="421"/>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423"/>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283"/>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63"/>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78"/>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475"/>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207"/>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371"/>
    <d v="2023-07-10T19:02:06"/>
    <s v="Y"/>
    <s v="Routine Telephone Call"/>
    <s v="Care Remuneration Hourly Rates"/>
    <s v="Profit Cost"/>
    <s v="Mark Pearson"/>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258"/>
    <d v="2023-07-10T19:02:06"/>
    <s v="Y"/>
    <s v="Routine Letter In"/>
    <s v="Care Remuneration Hourly Rates"/>
    <s v="Profit Cost"/>
    <s v="MP"/>
    <s v="Y"/>
    <n v="6.38"/>
    <n v="0"/>
    <x v="2"/>
    <s v="VALIDATED"/>
    <n v="1"/>
    <s v="01.11.80.308.6100.0000"/>
    <n v="6.38"/>
    <s v="11"/>
    <s v="6100"/>
    <n v="7799.21"/>
    <n v="6.38"/>
    <s v="CREDITOR"/>
    <n v="0"/>
    <n v="0"/>
    <n v="0"/>
    <n v="0"/>
    <n v="6.38"/>
  </r>
  <r>
    <n v="60421872"/>
    <s v="N"/>
    <n v="21349987"/>
    <s v="3000014708000008"/>
    <s v="CIVIL"/>
    <d v="2023-06-17T00:00:00"/>
    <d v="2023-07-10T19:01:40"/>
    <m/>
    <d v="2023-07-10T00:00:00"/>
    <n v="1122"/>
    <n v="14376"/>
    <s v="60421872"/>
    <s v="60421872"/>
    <m/>
    <m/>
    <n v="22710748"/>
    <m/>
    <m/>
    <m/>
    <s v="SOLFIN"/>
    <s v="SOLFIN"/>
    <s v="CCMS"/>
    <n v="21349987"/>
    <n v="21374.31"/>
    <m/>
    <s v="N"/>
    <n v="690"/>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59"/>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165"/>
    <d v="2023-07-10T19:02:06"/>
    <s v="Y"/>
    <s v="Preparation - other"/>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584"/>
    <d v="2023-07-10T19:02:06"/>
    <s v="Y"/>
    <s v="Routine Letter In"/>
    <s v="Care Remuneration Hourly Rates"/>
    <s v="Profit Cost"/>
    <s v="MP"/>
    <s v="Y"/>
    <n v="34.04"/>
    <n v="0"/>
    <x v="2"/>
    <s v="VALIDATED"/>
    <n v="1"/>
    <s v="01.11.80.308.6100.0000"/>
    <n v="34.04"/>
    <s v="11"/>
    <s v="6100"/>
    <n v="7799.21"/>
    <n v="34.04"/>
    <s v="CREDITOR"/>
    <n v="0"/>
    <n v="0"/>
    <n v="0"/>
    <n v="0"/>
    <n v="34.04"/>
  </r>
  <r>
    <n v="60421872"/>
    <s v="N"/>
    <n v="21349987"/>
    <s v="3000014708000008"/>
    <s v="CIVIL"/>
    <d v="2023-06-17T00:00:00"/>
    <d v="2023-07-10T19:01:40"/>
    <m/>
    <d v="2023-07-10T00:00:00"/>
    <n v="1122"/>
    <n v="14376"/>
    <s v="60421872"/>
    <s v="60421872"/>
    <m/>
    <m/>
    <n v="22710748"/>
    <m/>
    <m/>
    <m/>
    <s v="SOLFIN"/>
    <s v="SOLFIN"/>
    <s v="CCMS"/>
    <n v="21349987"/>
    <n v="21374.31"/>
    <m/>
    <s v="N"/>
    <n v="193"/>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70"/>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222"/>
    <d v="2023-07-10T19:02:06"/>
    <s v="Y"/>
    <s v="Preparation - other"/>
    <s v="Care Remuneration Hourly Rates"/>
    <s v="Profit Cost"/>
    <s v="MP"/>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1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405"/>
    <d v="2023-07-10T19:02:06"/>
    <s v="Y"/>
    <s v="Preparation - drafting statement"/>
    <s v="Care Remuneration Hourly Rates"/>
    <s v="Profit Cost"/>
    <s v="MP"/>
    <s v="Y"/>
    <n v="142.93"/>
    <n v="0"/>
    <x v="2"/>
    <s v="VALIDATED"/>
    <n v="1"/>
    <s v="01.11.80.308.6100.0000"/>
    <n v="142.93"/>
    <s v="11"/>
    <s v="6100"/>
    <n v="7799.21"/>
    <n v="142.93"/>
    <s v="CREDITOR"/>
    <n v="0"/>
    <n v="0"/>
    <n v="0"/>
    <n v="0"/>
    <n v="142.93"/>
  </r>
  <r>
    <n v="60421872"/>
    <s v="N"/>
    <n v="21349987"/>
    <s v="3000014708000008"/>
    <s v="CIVIL"/>
    <d v="2023-06-17T00:00:00"/>
    <d v="2023-07-10T19:01:40"/>
    <m/>
    <d v="2023-07-10T00:00:00"/>
    <n v="1122"/>
    <n v="14376"/>
    <s v="60421872"/>
    <s v="60421872"/>
    <m/>
    <m/>
    <n v="22710748"/>
    <m/>
    <m/>
    <m/>
    <s v="SOLFIN"/>
    <s v="SOLFIN"/>
    <s v="CCMS"/>
    <n v="21349987"/>
    <n v="21374.31"/>
    <m/>
    <s v="N"/>
    <n v="266"/>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51"/>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307"/>
    <d v="2023-07-10T19:02:06"/>
    <s v="Y"/>
    <s v="Routine Letter In"/>
    <s v="Care Remuneration Hourly Rates"/>
    <s v="Profit Cost"/>
    <s v="MP"/>
    <s v="Y"/>
    <n v="70.20999999999999"/>
    <n v="0"/>
    <x v="2"/>
    <s v="VALIDATED"/>
    <n v="1"/>
    <s v="01.11.80.308.6100.0000"/>
    <n v="70.20999999999999"/>
    <s v="11"/>
    <s v="6100"/>
    <n v="7799.21"/>
    <n v="70.20999999999999"/>
    <s v="CREDITOR"/>
    <n v="0"/>
    <n v="0"/>
    <n v="0"/>
    <n v="0"/>
    <n v="70.20999999999999"/>
  </r>
  <r>
    <n v="60421872"/>
    <s v="N"/>
    <n v="21349987"/>
    <s v="3000014708000008"/>
    <s v="CIVIL"/>
    <d v="2023-06-17T00:00:00"/>
    <d v="2023-07-10T19:01:40"/>
    <m/>
    <d v="2023-07-10T00:00:00"/>
    <n v="1122"/>
    <n v="14376"/>
    <s v="60421872"/>
    <s v="60421872"/>
    <m/>
    <m/>
    <n v="22710748"/>
    <m/>
    <m/>
    <m/>
    <s v="SOLFIN"/>
    <s v="SOLFIN"/>
    <s v="CCMS"/>
    <n v="21349987"/>
    <n v="21374.31"/>
    <m/>
    <s v="N"/>
    <n v="576"/>
    <d v="2023-07-10T19:02:06"/>
    <s v="Y"/>
    <s v="Routine Letter Out"/>
    <s v="Care Remuneration Hourly Rates"/>
    <s v="Profit Cost"/>
    <s v="MP"/>
    <s v="Y"/>
    <n v="29.7"/>
    <n v="0"/>
    <x v="2"/>
    <s v="VALIDATED"/>
    <n v="1"/>
    <s v="01.11.80.308.6100.0000"/>
    <n v="29.7"/>
    <s v="11"/>
    <s v="6100"/>
    <n v="7799.21"/>
    <n v="29.7"/>
    <s v="CREDITOR"/>
    <n v="0"/>
    <n v="0"/>
    <n v="0"/>
    <n v="0"/>
    <n v="29.7"/>
  </r>
  <r>
    <n v="60421872"/>
    <s v="N"/>
    <n v="21349987"/>
    <s v="3000014708000008"/>
    <s v="CIVIL"/>
    <d v="2023-06-17T00:00:00"/>
    <d v="2023-07-10T19:01:40"/>
    <m/>
    <d v="2023-07-10T00:00:00"/>
    <n v="1122"/>
    <n v="14376"/>
    <s v="60421872"/>
    <s v="60421872"/>
    <m/>
    <m/>
    <n v="22710748"/>
    <m/>
    <m/>
    <m/>
    <s v="SOLFIN"/>
    <s v="SOLFIN"/>
    <s v="CCMS"/>
    <n v="21349987"/>
    <n v="21374.31"/>
    <m/>
    <s v="N"/>
    <n v="618"/>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359"/>
    <d v="2023-07-10T19:02:06"/>
    <s v="Y"/>
    <s v="Routine Letter Out"/>
    <s v="Care Remuneration Hourly Rates"/>
    <s v="Profit Cost"/>
    <s v="Mark Pearson"/>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13"/>
    <d v="2023-07-10T19:02:06"/>
    <s v="Y"/>
    <s v="Toxicologist"/>
    <s v="Public Law Children"/>
    <s v="Expert Disbursement"/>
    <s v="DNA Legal"/>
    <s v="Y"/>
    <n v="286"/>
    <n v="57.2"/>
    <x v="2"/>
    <s v="VALIDATED"/>
    <n v="1"/>
    <s v="01.11.80.308.6300.0000"/>
    <n v="286"/>
    <s v="11"/>
    <s v="6300"/>
    <n v="7799.21"/>
    <n v="286"/>
    <s v="CREDITOR"/>
    <n v="0"/>
    <n v="0"/>
    <n v="0"/>
    <n v="0"/>
    <n v="286"/>
  </r>
  <r>
    <n v="60421872"/>
    <s v="N"/>
    <n v="21349987"/>
    <s v="3000014708000008"/>
    <s v="CIVIL"/>
    <d v="2023-06-17T00:00:00"/>
    <d v="2023-07-10T19:01:40"/>
    <m/>
    <d v="2023-07-10T00:00:00"/>
    <n v="1122"/>
    <n v="14376"/>
    <s v="60421872"/>
    <s v="60421872"/>
    <m/>
    <m/>
    <n v="22710748"/>
    <m/>
    <m/>
    <m/>
    <s v="SOLFIN"/>
    <s v="SOLFIN"/>
    <s v="CCMS"/>
    <n v="21349987"/>
    <n v="21374.31"/>
    <m/>
    <s v="N"/>
    <n v="509"/>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73"/>
    <d v="2023-07-10T19:02:06"/>
    <s v="Y"/>
    <s v="Preparation - other"/>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52"/>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654"/>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49"/>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432"/>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599"/>
    <d v="2023-07-10T19:02:06"/>
    <s v="Y"/>
    <s v="Preparation - drafting statement"/>
    <s v="Care Remuneration Hourly Rates"/>
    <s v="Profit Cost"/>
    <s v="MP"/>
    <s v="Y"/>
    <n v="26.47"/>
    <n v="0"/>
    <x v="2"/>
    <s v="VALIDATED"/>
    <n v="1"/>
    <s v="01.11.80.308.6100.0000"/>
    <n v="26.47"/>
    <s v="11"/>
    <s v="6100"/>
    <n v="7799.21"/>
    <n v="26.47"/>
    <s v="CREDITOR"/>
    <n v="0"/>
    <n v="0"/>
    <n v="0"/>
    <n v="0"/>
    <n v="26.47"/>
  </r>
  <r>
    <n v="60421872"/>
    <s v="N"/>
    <n v="21349987"/>
    <s v="3000014708000008"/>
    <s v="CIVIL"/>
    <d v="2023-06-17T00:00:00"/>
    <d v="2023-07-10T19:01:40"/>
    <m/>
    <d v="2023-07-10T00:00:00"/>
    <n v="1122"/>
    <n v="14376"/>
    <s v="60421872"/>
    <s v="60421872"/>
    <m/>
    <m/>
    <n v="22710748"/>
    <m/>
    <m/>
    <m/>
    <s v="SOLFIN"/>
    <s v="SOLFIN"/>
    <s v="CCMS"/>
    <n v="21349987"/>
    <n v="21374.31"/>
    <m/>
    <s v="N"/>
    <n v="73"/>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326"/>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361"/>
    <d v="2023-07-10T19:02:06"/>
    <s v="Y"/>
    <s v="Routine Letter Out"/>
    <s v="Care Remuneration Hourly Rates"/>
    <s v="Profit Cost"/>
    <s v="MP"/>
    <s v="Y"/>
    <n v="29.7"/>
    <n v="0"/>
    <x v="2"/>
    <s v="VALIDATED"/>
    <n v="1"/>
    <s v="01.11.80.308.6100.0000"/>
    <n v="29.7"/>
    <s v="11"/>
    <s v="6100"/>
    <n v="7799.21"/>
    <n v="29.7"/>
    <s v="CREDITOR"/>
    <n v="0"/>
    <n v="0"/>
    <n v="0"/>
    <n v="0"/>
    <n v="29.7"/>
  </r>
  <r>
    <n v="60421872"/>
    <s v="N"/>
    <n v="21349987"/>
    <s v="3000014708000008"/>
    <s v="CIVIL"/>
    <d v="2023-06-17T00:00:00"/>
    <d v="2023-07-10T19:01:40"/>
    <m/>
    <d v="2023-07-10T00:00:00"/>
    <n v="1122"/>
    <n v="14376"/>
    <s v="60421872"/>
    <s v="60421872"/>
    <m/>
    <m/>
    <n v="22710748"/>
    <m/>
    <m/>
    <m/>
    <s v="SOLFIN"/>
    <s v="SOLFIN"/>
    <s v="CCMS"/>
    <n v="21349987"/>
    <n v="21374.31"/>
    <m/>
    <s v="N"/>
    <n v="364"/>
    <d v="2023-07-10T19:02:06"/>
    <s v="Y"/>
    <s v="Routine Letter Out"/>
    <s v="Care Remuneration Hourly Rates"/>
    <s v="Profit Cost"/>
    <s v="MP"/>
    <s v="Y"/>
    <n v="16.97"/>
    <n v="0"/>
    <x v="2"/>
    <s v="VALIDATED"/>
    <n v="1"/>
    <s v="01.11.80.308.6100.0000"/>
    <n v="16.97"/>
    <s v="11"/>
    <s v="6100"/>
    <n v="7799.21"/>
    <n v="16.97"/>
    <s v="CREDITOR"/>
    <n v="0"/>
    <n v="0"/>
    <n v="0"/>
    <n v="0"/>
    <n v="16.97"/>
  </r>
  <r>
    <n v="60421872"/>
    <s v="N"/>
    <n v="21349987"/>
    <s v="3000014708000008"/>
    <s v="CIVIL"/>
    <d v="2023-06-17T00:00:00"/>
    <d v="2023-07-10T19:01:40"/>
    <m/>
    <d v="2023-07-10T00:00:00"/>
    <n v="1122"/>
    <n v="14376"/>
    <s v="60421872"/>
    <s v="60421872"/>
    <m/>
    <m/>
    <n v="22710748"/>
    <m/>
    <m/>
    <m/>
    <s v="SOLFIN"/>
    <s v="SOLFIN"/>
    <s v="CCMS"/>
    <n v="21349987"/>
    <n v="21374.31"/>
    <m/>
    <s v="N"/>
    <n v="8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6"/>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678"/>
    <d v="2023-07-10T19:02:06"/>
    <s v="Y"/>
    <s v="Report - other report"/>
    <s v="Care Remuneration Hourly Rates"/>
    <s v="Profit Cost"/>
    <s v="Mark Pearson"/>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18"/>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44"/>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146"/>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15"/>
    <d v="2023-07-10T19:02:06"/>
    <s v="Y"/>
    <s v="Preparation - other"/>
    <s v="Care Remuneration Hourly Rates"/>
    <s v="Profit Cost"/>
    <s v="Mark Pearson"/>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601"/>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447"/>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80"/>
    <d v="2023-07-10T19:02:06"/>
    <s v="Y"/>
    <s v="Routine Letter In"/>
    <s v="Care Remuneration Hourly Rates"/>
    <s v="Profit Cost"/>
    <s v="MP"/>
    <s v="Y"/>
    <n v="51.06"/>
    <n v="0"/>
    <x v="2"/>
    <s v="VALIDATED"/>
    <n v="1"/>
    <s v="01.11.80.308.6100.0000"/>
    <n v="51.06"/>
    <s v="11"/>
    <s v="6100"/>
    <n v="7799.21"/>
    <n v="51.06"/>
    <s v="CREDITOR"/>
    <n v="0"/>
    <n v="0"/>
    <n v="0"/>
    <n v="0"/>
    <n v="51.06"/>
  </r>
  <r>
    <n v="60421872"/>
    <s v="N"/>
    <n v="21349987"/>
    <s v="3000014708000008"/>
    <s v="CIVIL"/>
    <d v="2023-06-17T00:00:00"/>
    <d v="2023-07-10T19:01:40"/>
    <m/>
    <d v="2023-07-10T00:00:00"/>
    <n v="1122"/>
    <n v="14376"/>
    <s v="60421872"/>
    <s v="60421872"/>
    <m/>
    <m/>
    <n v="22710748"/>
    <m/>
    <m/>
    <m/>
    <s v="SOLFIN"/>
    <s v="SOLFIN"/>
    <s v="CCMS"/>
    <n v="21349987"/>
    <n v="21374.31"/>
    <m/>
    <s v="N"/>
    <n v="585"/>
    <d v="2023-07-10T19:02:06"/>
    <s v="Y"/>
    <s v="Routine Letter Out"/>
    <s v="Care Remuneration Hourly Rates"/>
    <s v="Profit Cost"/>
    <s v="MP"/>
    <s v="Y"/>
    <n v="50.92"/>
    <n v="0"/>
    <x v="2"/>
    <s v="VALIDATED"/>
    <n v="1"/>
    <s v="01.11.80.308.6100.0000"/>
    <n v="50.92"/>
    <s v="11"/>
    <s v="6100"/>
    <n v="7799.21"/>
    <n v="50.92"/>
    <s v="CREDITOR"/>
    <n v="0"/>
    <n v="0"/>
    <n v="0"/>
    <n v="0"/>
    <n v="50.92"/>
  </r>
  <r>
    <n v="60421872"/>
    <s v="N"/>
    <n v="21349987"/>
    <s v="3000014708000008"/>
    <s v="CIVIL"/>
    <d v="2023-06-17T00:00:00"/>
    <d v="2023-07-10T19:01:40"/>
    <m/>
    <d v="2023-07-10T00:00:00"/>
    <n v="1122"/>
    <n v="14376"/>
    <s v="60421872"/>
    <s v="60421872"/>
    <m/>
    <m/>
    <n v="22710748"/>
    <m/>
    <m/>
    <m/>
    <s v="SOLFIN"/>
    <s v="SOLFIN"/>
    <s v="CCMS"/>
    <n v="21349987"/>
    <n v="21374.31"/>
    <m/>
    <s v="N"/>
    <n v="321"/>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68"/>
    <d v="2023-07-10T19:02:06"/>
    <s v="Y"/>
    <s v="Report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74"/>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75"/>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473"/>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467"/>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45"/>
    <d v="2023-07-10T19:02:06"/>
    <s v="Y"/>
    <s v="Routine Letter Out"/>
    <s v="Care Remuneration Hourly Rates"/>
    <s v="Profit Cost"/>
    <s v="MP"/>
    <s v="Y"/>
    <n v="67.90000000000001"/>
    <n v="0"/>
    <x v="2"/>
    <s v="VALIDATED"/>
    <n v="1"/>
    <s v="01.11.80.308.6100.0000"/>
    <n v="67.90000000000001"/>
    <s v="11"/>
    <s v="6100"/>
    <n v="7799.21"/>
    <n v="67.90000000000001"/>
    <s v="CREDITOR"/>
    <n v="0"/>
    <n v="0"/>
    <n v="0"/>
    <n v="0"/>
    <n v="67.90000000000001"/>
  </r>
  <r>
    <n v="60421872"/>
    <s v="N"/>
    <n v="21349987"/>
    <s v="3000014708000008"/>
    <s v="CIVIL"/>
    <d v="2023-06-17T00:00:00"/>
    <d v="2023-07-10T19:01:40"/>
    <m/>
    <d v="2023-07-10T00:00:00"/>
    <n v="1122"/>
    <n v="14376"/>
    <s v="60421872"/>
    <s v="60421872"/>
    <m/>
    <m/>
    <n v="22710748"/>
    <m/>
    <m/>
    <m/>
    <s v="SOLFIN"/>
    <s v="SOLFIN"/>
    <s v="CCMS"/>
    <n v="21349987"/>
    <n v="21374.31"/>
    <m/>
    <s v="N"/>
    <n v="100"/>
    <d v="2023-07-10T19:02:06"/>
    <s v="Y"/>
    <s v="Routine Letter In"/>
    <s v="Care Remuneration Hourly Rates"/>
    <s v="Profit Cost"/>
    <s v="MP"/>
    <s v="Y"/>
    <n v="23.4"/>
    <n v="0"/>
    <x v="2"/>
    <s v="VALIDATED"/>
    <n v="1"/>
    <s v="01.11.80.308.6100.0000"/>
    <n v="23.4"/>
    <s v="11"/>
    <s v="6100"/>
    <n v="7799.21"/>
    <n v="23.4"/>
    <s v="CREDITOR"/>
    <n v="0"/>
    <n v="0"/>
    <n v="0"/>
    <n v="0"/>
    <n v="23.4"/>
  </r>
  <r>
    <n v="60421872"/>
    <s v="N"/>
    <n v="21349987"/>
    <s v="3000014708000008"/>
    <s v="CIVIL"/>
    <d v="2023-06-17T00:00:00"/>
    <d v="2023-07-10T19:01:40"/>
    <m/>
    <d v="2023-07-10T00:00:00"/>
    <n v="1122"/>
    <n v="14376"/>
    <s v="60421872"/>
    <s v="60421872"/>
    <m/>
    <m/>
    <n v="22710748"/>
    <m/>
    <m/>
    <m/>
    <s v="SOLFIN"/>
    <s v="SOLFIN"/>
    <s v="CCMS"/>
    <n v="21349987"/>
    <n v="21374.31"/>
    <m/>
    <s v="N"/>
    <n v="241"/>
    <d v="2023-07-10T19:02:06"/>
    <s v="Y"/>
    <s v="Routine Letter In"/>
    <s v="Care Remuneration Hourly Rates"/>
    <s v="Profit Cost"/>
    <s v="MP"/>
    <s v="Y"/>
    <n v="21.28"/>
    <n v="0"/>
    <x v="2"/>
    <s v="VALIDATED"/>
    <n v="1"/>
    <s v="01.11.80.308.6100.0000"/>
    <n v="21.28"/>
    <s v="11"/>
    <s v="6100"/>
    <n v="7799.21"/>
    <n v="21.28"/>
    <s v="CREDITOR"/>
    <n v="0"/>
    <n v="0"/>
    <n v="0"/>
    <n v="0"/>
    <n v="21.28"/>
  </r>
  <r>
    <n v="60421872"/>
    <s v="N"/>
    <n v="21349987"/>
    <s v="3000014708000008"/>
    <s v="CIVIL"/>
    <d v="2023-06-17T00:00:00"/>
    <d v="2023-07-10T19:01:40"/>
    <m/>
    <d v="2023-07-10T00:00:00"/>
    <n v="1122"/>
    <n v="14376"/>
    <s v="60421872"/>
    <s v="60421872"/>
    <m/>
    <m/>
    <n v="22710748"/>
    <m/>
    <m/>
    <m/>
    <s v="SOLFIN"/>
    <s v="SOLFIN"/>
    <s v="CCMS"/>
    <n v="21349987"/>
    <n v="21374.31"/>
    <m/>
    <s v="N"/>
    <n v="107"/>
    <d v="2023-07-10T19:02:06"/>
    <s v="Y"/>
    <s v="Routine Letter In"/>
    <s v="Care Remuneration Hourly Rates"/>
    <s v="Profit Cost"/>
    <s v="MP"/>
    <s v="Y"/>
    <n v="42.55"/>
    <n v="0"/>
    <x v="2"/>
    <s v="VALIDATED"/>
    <n v="1"/>
    <s v="01.11.80.308.6100.0000"/>
    <n v="42.55"/>
    <s v="11"/>
    <s v="6100"/>
    <n v="7799.21"/>
    <n v="42.55"/>
    <s v="CREDITOR"/>
    <n v="0"/>
    <n v="0"/>
    <n v="0"/>
    <n v="0"/>
    <n v="42.55"/>
  </r>
  <r>
    <n v="60421872"/>
    <s v="N"/>
    <n v="21349987"/>
    <s v="3000014708000008"/>
    <s v="CIVIL"/>
    <d v="2023-06-17T00:00:00"/>
    <d v="2023-07-10T19:01:40"/>
    <m/>
    <d v="2023-07-10T00:00:00"/>
    <n v="1122"/>
    <n v="14376"/>
    <s v="60421872"/>
    <s v="60421872"/>
    <m/>
    <m/>
    <n v="22710748"/>
    <m/>
    <m/>
    <m/>
    <s v="SOLFIN"/>
    <s v="SOLFIN"/>
    <s v="CCMS"/>
    <n v="21349987"/>
    <n v="21374.31"/>
    <m/>
    <s v="N"/>
    <n v="113"/>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649"/>
    <d v="2023-07-10T19:02:06"/>
    <s v="Y"/>
    <s v="Preparation - drafting attendance n"/>
    <s v="Care Remuneration Hourly Rates"/>
    <s v="Profit Cost"/>
    <s v="Mark Pearson"/>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389"/>
    <d v="2023-07-10T19:02:06"/>
    <s v="Y"/>
    <s v="Report - other"/>
    <s v="Care Remuneration Hourly Rates"/>
    <s v="Profit Cost"/>
    <s v="Mark Pearson"/>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27"/>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419"/>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53"/>
    <d v="2023-07-10T19:02:06"/>
    <s v="Y"/>
    <s v="Attendance upon client"/>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694"/>
    <d v="2023-07-10T19:02:06"/>
    <s v="Y"/>
    <s v="Preparation - other"/>
    <s v="Care Remuneration Hourly Rates"/>
    <s v="Profit Cost"/>
    <s v="MP"/>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264"/>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267"/>
    <d v="2023-07-10T19:02:06"/>
    <s v="Y"/>
    <s v="Routine Letter In"/>
    <s v="Care Remuneration Hourly Rates"/>
    <s v="Profit Cost"/>
    <s v="MP"/>
    <s v="Y"/>
    <n v="38.3"/>
    <n v="0"/>
    <x v="2"/>
    <s v="VALIDATED"/>
    <n v="1"/>
    <s v="01.11.80.308.6100.0000"/>
    <n v="38.3"/>
    <s v="11"/>
    <s v="6100"/>
    <n v="7799.21"/>
    <n v="38.3"/>
    <s v="CREDITOR"/>
    <n v="0"/>
    <n v="0"/>
    <n v="0"/>
    <n v="0"/>
    <n v="38.3"/>
  </r>
  <r>
    <n v="60421872"/>
    <s v="N"/>
    <n v="21349987"/>
    <s v="3000014708000008"/>
    <s v="CIVIL"/>
    <d v="2023-06-17T00:00:00"/>
    <d v="2023-07-10T19:01:40"/>
    <m/>
    <d v="2023-07-10T00:00:00"/>
    <n v="1122"/>
    <n v="14376"/>
    <s v="60421872"/>
    <s v="60421872"/>
    <m/>
    <m/>
    <n v="22710748"/>
    <m/>
    <m/>
    <m/>
    <s v="SOLFIN"/>
    <s v="SOLFIN"/>
    <s v="CCMS"/>
    <n v="21349987"/>
    <n v="21374.31"/>
    <m/>
    <s v="N"/>
    <n v="554"/>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566"/>
    <d v="2023-07-10T19:02:06"/>
    <s v="Y"/>
    <s v="Preparation - other"/>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278"/>
    <d v="2023-07-10T19:02:06"/>
    <s v="Y"/>
    <s v="Routine Letter In"/>
    <s v="Care Remuneration Hourly Rates"/>
    <s v="Profit Cost"/>
    <s v="MP"/>
    <s v="Y"/>
    <n v="21.28"/>
    <n v="0"/>
    <x v="2"/>
    <s v="VALIDATED"/>
    <n v="1"/>
    <s v="01.11.80.308.6100.0000"/>
    <n v="21.28"/>
    <s v="11"/>
    <s v="6100"/>
    <n v="7799.21"/>
    <n v="21.28"/>
    <s v="CREDITOR"/>
    <n v="0"/>
    <n v="0"/>
    <n v="0"/>
    <n v="0"/>
    <n v="21.28"/>
  </r>
  <r>
    <n v="60421872"/>
    <s v="N"/>
    <n v="21349987"/>
    <s v="3000014708000008"/>
    <s v="CIVIL"/>
    <d v="2023-06-17T00:00:00"/>
    <d v="2023-07-10T19:01:40"/>
    <m/>
    <d v="2023-07-10T00:00:00"/>
    <n v="1122"/>
    <n v="14376"/>
    <s v="60421872"/>
    <s v="60421872"/>
    <m/>
    <m/>
    <n v="22710748"/>
    <m/>
    <m/>
    <m/>
    <s v="SOLFIN"/>
    <s v="SOLFIN"/>
    <s v="CCMS"/>
    <n v="21349987"/>
    <n v="21374.31"/>
    <m/>
    <s v="N"/>
    <n v="294"/>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446"/>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308"/>
    <d v="2023-07-10T19:02:06"/>
    <s v="Y"/>
    <s v="Routine Letter Out"/>
    <s v="Care Remuneration Hourly Rates"/>
    <s v="Profit Cost"/>
    <s v="MP"/>
    <s v="Y"/>
    <n v="55.17"/>
    <n v="0"/>
    <x v="2"/>
    <s v="VALIDATED"/>
    <n v="1"/>
    <s v="01.11.80.308.6100.0000"/>
    <n v="55.17"/>
    <s v="11"/>
    <s v="6100"/>
    <n v="7799.21"/>
    <n v="55.17"/>
    <s v="CREDITOR"/>
    <n v="0"/>
    <n v="0"/>
    <n v="0"/>
    <n v="0"/>
    <n v="55.17"/>
  </r>
  <r>
    <n v="60421872"/>
    <s v="N"/>
    <n v="21349987"/>
    <s v="3000014708000008"/>
    <s v="CIVIL"/>
    <d v="2023-06-17T00:00:00"/>
    <d v="2023-07-10T19:01:40"/>
    <m/>
    <d v="2023-07-10T00:00:00"/>
    <n v="1122"/>
    <n v="14376"/>
    <s v="60421872"/>
    <s v="60421872"/>
    <m/>
    <m/>
    <n v="22710748"/>
    <m/>
    <m/>
    <m/>
    <s v="SOLFIN"/>
    <s v="SOLFIN"/>
    <s v="CCMS"/>
    <n v="21349987"/>
    <n v="21374.31"/>
    <m/>
    <s v="N"/>
    <n v="609"/>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24"/>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330"/>
    <d v="2023-07-10T19:02:06"/>
    <s v="Y"/>
    <s v="Routine Letter In"/>
    <s v="Care Remuneration Hourly Rates"/>
    <s v="Profit Cost"/>
    <s v="MP"/>
    <s v="Y"/>
    <n v="4.26"/>
    <n v="0"/>
    <x v="2"/>
    <s v="VALIDATED"/>
    <n v="1"/>
    <s v="01.11.80.308.6100.0000"/>
    <n v="4.26"/>
    <s v="11"/>
    <s v="6100"/>
    <n v="7799.21"/>
    <n v="4.26"/>
    <s v="CREDITOR"/>
    <n v="0"/>
    <n v="0"/>
    <n v="0"/>
    <n v="0"/>
    <n v="4.26"/>
  </r>
  <r>
    <n v="60421872"/>
    <s v="N"/>
    <n v="21349987"/>
    <s v="3000014708000008"/>
    <s v="CIVIL"/>
    <d v="2023-06-17T00:00:00"/>
    <d v="2023-07-10T19:01:40"/>
    <m/>
    <d v="2023-07-10T00:00:00"/>
    <n v="1122"/>
    <n v="14376"/>
    <s v="60421872"/>
    <s v="60421872"/>
    <m/>
    <m/>
    <n v="22710748"/>
    <m/>
    <m/>
    <m/>
    <s v="SOLFIN"/>
    <s v="SOLFIN"/>
    <s v="CCMS"/>
    <n v="21349987"/>
    <n v="21374.31"/>
    <m/>
    <s v="N"/>
    <n v="238"/>
    <d v="2023-07-10T19:02:06"/>
    <s v="Y"/>
    <s v="Preparation - other"/>
    <s v="Care Remuneration Hourly Rates"/>
    <s v="Profit Cost"/>
    <s v="MP"/>
    <s v="Y"/>
    <n v="37.05"/>
    <n v="0"/>
    <x v="2"/>
    <s v="VALIDATED"/>
    <n v="1"/>
    <s v="01.11.80.308.6100.0000"/>
    <n v="37.05"/>
    <s v="11"/>
    <s v="6100"/>
    <n v="7799.21"/>
    <n v="37.05"/>
    <s v="CREDITOR"/>
    <n v="0"/>
    <n v="0"/>
    <n v="0"/>
    <n v="0"/>
    <n v="37.05"/>
  </r>
  <r>
    <n v="60421872"/>
    <s v="N"/>
    <n v="21349987"/>
    <s v="3000014708000008"/>
    <s v="CIVIL"/>
    <d v="2023-06-17T00:00:00"/>
    <d v="2023-07-10T19:01:40"/>
    <m/>
    <d v="2023-07-10T00:00:00"/>
    <n v="1122"/>
    <n v="14376"/>
    <s v="60421872"/>
    <s v="60421872"/>
    <m/>
    <m/>
    <n v="22710748"/>
    <m/>
    <m/>
    <m/>
    <s v="SOLFIN"/>
    <s v="SOLFIN"/>
    <s v="CCMS"/>
    <n v="21349987"/>
    <n v="21374.31"/>
    <m/>
    <s v="N"/>
    <n v="641"/>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250"/>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534"/>
    <d v="2023-07-10T19:02:06"/>
    <s v="Y"/>
    <s v="Preparation - other"/>
    <s v="Care Remuneration Hourly Rates"/>
    <s v="Profit Cost"/>
    <s v="MP"/>
    <s v="Y"/>
    <n v="31.76"/>
    <n v="0"/>
    <x v="2"/>
    <s v="VALIDATED"/>
    <n v="1"/>
    <s v="01.11.80.308.6100.0000"/>
    <n v="31.76"/>
    <s v="11"/>
    <s v="6100"/>
    <n v="7799.21"/>
    <n v="31.76"/>
    <s v="CREDITOR"/>
    <n v="0"/>
    <n v="0"/>
    <n v="0"/>
    <n v="0"/>
    <n v="31.76"/>
  </r>
  <r>
    <n v="60421872"/>
    <s v="N"/>
    <n v="21349987"/>
    <s v="3000014708000008"/>
    <s v="CIVIL"/>
    <d v="2023-06-17T00:00:00"/>
    <d v="2023-07-10T19:01:40"/>
    <m/>
    <d v="2023-07-10T00:00:00"/>
    <n v="1122"/>
    <n v="14376"/>
    <s v="60421872"/>
    <s v="60421872"/>
    <m/>
    <m/>
    <n v="22710748"/>
    <m/>
    <m/>
    <m/>
    <s v="SOLFIN"/>
    <s v="SOLFIN"/>
    <s v="CCMS"/>
    <n v="21349987"/>
    <n v="21374.31"/>
    <m/>
    <s v="N"/>
    <n v="131"/>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32"/>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69"/>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518"/>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660"/>
    <d v="2023-07-10T19:02:06"/>
    <s v="Y"/>
    <s v="Preparation - other"/>
    <s v="Care Remuneration Hourly Rates"/>
    <s v="Profit Cost"/>
    <s v="MP"/>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539"/>
    <d v="2023-07-10T19:02:06"/>
    <s v="Y"/>
    <s v="Report - Medical report"/>
    <s v="Care Remuneration Hourly Rates"/>
    <s v="Profit Cost"/>
    <s v="MP"/>
    <s v="Y"/>
    <n v="84.7"/>
    <n v="0"/>
    <x v="2"/>
    <s v="VALIDATED"/>
    <n v="1"/>
    <s v="01.11.80.308.6100.0000"/>
    <n v="84.7"/>
    <s v="11"/>
    <s v="6100"/>
    <n v="7799.21"/>
    <n v="84.7"/>
    <s v="CREDITOR"/>
    <n v="0"/>
    <n v="0"/>
    <n v="0"/>
    <n v="0"/>
    <n v="84.7"/>
  </r>
  <r>
    <n v="60421872"/>
    <s v="N"/>
    <n v="21349987"/>
    <s v="3000014708000008"/>
    <s v="CIVIL"/>
    <d v="2023-06-17T00:00:00"/>
    <d v="2023-07-10T19:01:40"/>
    <m/>
    <d v="2023-07-10T00:00:00"/>
    <n v="1122"/>
    <n v="14376"/>
    <s v="60421872"/>
    <s v="60421872"/>
    <m/>
    <m/>
    <n v="22710748"/>
    <m/>
    <m/>
    <m/>
    <s v="SOLFIN"/>
    <s v="SOLFIN"/>
    <s v="CCMS"/>
    <n v="21349987"/>
    <n v="21374.31"/>
    <m/>
    <s v="N"/>
    <n v="276"/>
    <d v="2023-07-10T19:02:06"/>
    <s v="Y"/>
    <s v="Routine Telephone Call"/>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277"/>
    <d v="2023-07-10T19:02:06"/>
    <s v="Y"/>
    <s v="Routine Letter In"/>
    <s v="Care Remuneration Hourly Rates"/>
    <s v="Profit Cost"/>
    <s v="MP"/>
    <s v="Y"/>
    <n v="27.66"/>
    <n v="0"/>
    <x v="2"/>
    <s v="VALIDATED"/>
    <n v="1"/>
    <s v="01.11.80.308.6100.0000"/>
    <n v="27.66"/>
    <s v="11"/>
    <s v="6100"/>
    <n v="7799.21"/>
    <n v="27.66"/>
    <s v="CREDITOR"/>
    <n v="0"/>
    <n v="0"/>
    <n v="0"/>
    <n v="0"/>
    <n v="27.66"/>
  </r>
  <r>
    <n v="60421872"/>
    <s v="N"/>
    <n v="21349987"/>
    <s v="3000014708000008"/>
    <s v="CIVIL"/>
    <d v="2023-06-17T00:00:00"/>
    <d v="2023-07-10T19:01:40"/>
    <m/>
    <d v="2023-07-10T00:00:00"/>
    <n v="1122"/>
    <n v="14376"/>
    <s v="60421872"/>
    <s v="60421872"/>
    <m/>
    <m/>
    <n v="22710748"/>
    <m/>
    <m/>
    <m/>
    <s v="SOLFIN"/>
    <s v="SOLFIN"/>
    <s v="CCMS"/>
    <n v="21349987"/>
    <n v="21374.31"/>
    <m/>
    <s v="N"/>
    <n v="298"/>
    <d v="2023-07-10T19:02:06"/>
    <s v="Y"/>
    <s v="Routine Letter In"/>
    <s v="Care Remuneration Hourly Rates"/>
    <s v="Profit Cost"/>
    <s v="MP"/>
    <s v="Y"/>
    <n v="48.93"/>
    <n v="0"/>
    <x v="2"/>
    <s v="VALIDATED"/>
    <n v="1"/>
    <s v="01.11.80.308.6100.0000"/>
    <n v="48.93"/>
    <s v="11"/>
    <s v="6100"/>
    <n v="7799.21"/>
    <n v="48.93"/>
    <s v="CREDITOR"/>
    <n v="0"/>
    <n v="0"/>
    <n v="0"/>
    <n v="0"/>
    <n v="48.93"/>
  </r>
  <r>
    <n v="60421872"/>
    <s v="N"/>
    <n v="21349987"/>
    <s v="3000014708000008"/>
    <s v="CIVIL"/>
    <d v="2023-06-17T00:00:00"/>
    <d v="2023-07-10T19:01:40"/>
    <m/>
    <d v="2023-07-10T00:00:00"/>
    <n v="1122"/>
    <n v="14376"/>
    <s v="60421872"/>
    <s v="60421872"/>
    <m/>
    <m/>
    <n v="22710748"/>
    <m/>
    <m/>
    <m/>
    <s v="SOLFIN"/>
    <s v="SOLFIN"/>
    <s v="CCMS"/>
    <n v="21349987"/>
    <n v="21374.31"/>
    <m/>
    <s v="N"/>
    <n v="571"/>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63"/>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606"/>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462"/>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81"/>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94"/>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541"/>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406"/>
    <d v="2023-07-10T19:02:06"/>
    <s v="Y"/>
    <s v="Routine Letter Out"/>
    <s v="Care Remuneration Hourly Rates"/>
    <s v="Profit Cost"/>
    <s v="MP"/>
    <s v="Y"/>
    <n v="29.7"/>
    <n v="0"/>
    <x v="2"/>
    <s v="VALIDATED"/>
    <n v="1"/>
    <s v="01.11.80.308.6100.0000"/>
    <n v="29.7"/>
    <s v="11"/>
    <s v="6100"/>
    <n v="7799.21"/>
    <n v="29.7"/>
    <s v="CREDITOR"/>
    <n v="0"/>
    <n v="0"/>
    <n v="0"/>
    <n v="0"/>
    <n v="29.7"/>
  </r>
  <r>
    <n v="60421872"/>
    <s v="N"/>
    <n v="21349987"/>
    <s v="3000014708000008"/>
    <s v="CIVIL"/>
    <d v="2023-06-17T00:00:00"/>
    <d v="2023-07-10T19:01:40"/>
    <m/>
    <d v="2023-07-10T00:00:00"/>
    <n v="1122"/>
    <n v="14376"/>
    <s v="60421872"/>
    <s v="60421872"/>
    <m/>
    <m/>
    <n v="22710748"/>
    <m/>
    <m/>
    <m/>
    <s v="SOLFIN"/>
    <s v="SOLFIN"/>
    <s v="CCMS"/>
    <n v="21349987"/>
    <n v="21374.31"/>
    <m/>
    <s v="N"/>
    <n v="550"/>
    <d v="2023-07-10T19:02:06"/>
    <s v="Y"/>
    <s v="Routine Letter In"/>
    <s v="Care Remuneration Hourly Rates"/>
    <s v="Profit Cost"/>
    <s v="MP"/>
    <s v="Y"/>
    <n v="63.83"/>
    <n v="0"/>
    <x v="2"/>
    <s v="VALIDATED"/>
    <n v="1"/>
    <s v="01.11.80.308.6100.0000"/>
    <n v="63.83"/>
    <s v="11"/>
    <s v="6100"/>
    <n v="7799.21"/>
    <n v="63.83"/>
    <s v="CREDITOR"/>
    <n v="0"/>
    <n v="0"/>
    <n v="0"/>
    <n v="0"/>
    <n v="63.83"/>
  </r>
  <r>
    <n v="60421872"/>
    <s v="N"/>
    <n v="21349987"/>
    <s v="3000014708000008"/>
    <s v="CIVIL"/>
    <d v="2023-06-17T00:00:00"/>
    <d v="2023-07-10T19:01:40"/>
    <m/>
    <d v="2023-07-10T00:00:00"/>
    <n v="1122"/>
    <n v="14376"/>
    <s v="60421872"/>
    <s v="60421872"/>
    <m/>
    <m/>
    <n v="22710748"/>
    <m/>
    <m/>
    <m/>
    <s v="SOLFIN"/>
    <s v="SOLFIN"/>
    <s v="CCMS"/>
    <n v="21349987"/>
    <n v="21374.31"/>
    <m/>
    <s v="N"/>
    <n v="303"/>
    <d v="2023-07-10T19:02:06"/>
    <s v="Y"/>
    <s v="Preparation - other"/>
    <s v="Care Remuneration Hourly Rates"/>
    <s v="Profit Cost"/>
    <s v="MP"/>
    <s v="Y"/>
    <n v="63.53"/>
    <n v="0"/>
    <x v="2"/>
    <s v="VALIDATED"/>
    <n v="1"/>
    <s v="01.11.80.308.6100.0000"/>
    <n v="63.53"/>
    <s v="11"/>
    <s v="6100"/>
    <n v="7799.21"/>
    <n v="63.53"/>
    <s v="CREDITOR"/>
    <n v="0"/>
    <n v="0"/>
    <n v="0"/>
    <n v="0"/>
    <n v="63.53"/>
  </r>
  <r>
    <n v="60421872"/>
    <s v="N"/>
    <n v="21349987"/>
    <s v="3000014708000008"/>
    <s v="CIVIL"/>
    <d v="2023-06-17T00:00:00"/>
    <d v="2023-07-10T19:01:40"/>
    <m/>
    <d v="2023-07-10T00:00:00"/>
    <n v="1122"/>
    <n v="14376"/>
    <s v="60421872"/>
    <s v="60421872"/>
    <m/>
    <m/>
    <n v="22710748"/>
    <m/>
    <m/>
    <m/>
    <s v="SOLFIN"/>
    <s v="SOLFIN"/>
    <s v="CCMS"/>
    <n v="21349987"/>
    <n v="21374.31"/>
    <m/>
    <s v="N"/>
    <n v="701"/>
    <d v="2023-07-10T19:02:06"/>
    <s v="Y"/>
    <s v="Preparation - drafting instructions"/>
    <s v="Care Remuneration Hourly Rates"/>
    <s v="Profit Cost"/>
    <s v="MP"/>
    <s v="Y"/>
    <n v="63.53"/>
    <n v="0"/>
    <x v="2"/>
    <s v="VALIDATED"/>
    <n v="1"/>
    <s v="01.11.80.308.6100.0000"/>
    <n v="63.53"/>
    <s v="11"/>
    <s v="6100"/>
    <n v="7799.21"/>
    <n v="63.53"/>
    <s v="CREDITOR"/>
    <n v="0"/>
    <n v="0"/>
    <n v="0"/>
    <n v="0"/>
    <n v="63.53"/>
  </r>
  <r>
    <n v="60421872"/>
    <s v="N"/>
    <n v="21349987"/>
    <s v="3000014708000008"/>
    <s v="CIVIL"/>
    <d v="2023-06-17T00:00:00"/>
    <d v="2023-07-10T19:01:40"/>
    <m/>
    <d v="2023-07-10T00:00:00"/>
    <n v="1122"/>
    <n v="14376"/>
    <s v="60421872"/>
    <s v="60421872"/>
    <m/>
    <m/>
    <n v="22710748"/>
    <m/>
    <m/>
    <m/>
    <s v="SOLFIN"/>
    <s v="SOLFIN"/>
    <s v="CCMS"/>
    <n v="21349987"/>
    <n v="21374.31"/>
    <m/>
    <s v="N"/>
    <n v="348"/>
    <d v="2023-07-10T19:02:06"/>
    <s v="Y"/>
    <s v="Preparation - drafting instructions"/>
    <s v="Care Remuneration Hourly Rates"/>
    <s v="Profit Cost"/>
    <s v="MP"/>
    <s v="Y"/>
    <n v="63.53"/>
    <n v="0"/>
    <x v="2"/>
    <s v="VALIDATED"/>
    <n v="1"/>
    <s v="01.11.80.308.6100.0000"/>
    <n v="63.53"/>
    <s v="11"/>
    <s v="6100"/>
    <n v="7799.21"/>
    <n v="63.53"/>
    <s v="CREDITOR"/>
    <n v="0"/>
    <n v="0"/>
    <n v="0"/>
    <n v="0"/>
    <n v="63.53"/>
  </r>
  <r>
    <n v="60421872"/>
    <s v="N"/>
    <n v="21349987"/>
    <s v="3000014708000008"/>
    <s v="CIVIL"/>
    <d v="2023-06-17T00:00:00"/>
    <d v="2023-07-10T19:01:40"/>
    <m/>
    <d v="2023-07-10T00:00:00"/>
    <n v="1122"/>
    <n v="14376"/>
    <s v="60421872"/>
    <s v="60421872"/>
    <m/>
    <m/>
    <n v="22710748"/>
    <m/>
    <m/>
    <m/>
    <s v="SOLFIN"/>
    <s v="SOLFIN"/>
    <s v="CCMS"/>
    <n v="21349987"/>
    <n v="21374.31"/>
    <m/>
    <s v="N"/>
    <n v="214"/>
    <d v="2023-07-10T19:02:06"/>
    <s v="Y"/>
    <s v="Report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2"/>
    <d v="2023-07-10T19:02:06"/>
    <s v="Y"/>
    <s v="Child psychiatrist"/>
    <s v="Care Remuneration Hourly Rates"/>
    <s v="Expert Disbursement"/>
    <s v="Dr James"/>
    <s v="Y"/>
    <n v="515.4400000000001"/>
    <n v="0"/>
    <x v="2"/>
    <s v="VALIDATED"/>
    <n v="1"/>
    <s v="01.11.80.308.6300.0000"/>
    <n v="515.4400000000001"/>
    <s v="11"/>
    <s v="6300"/>
    <n v="7799.21"/>
    <n v="515.4400000000001"/>
    <s v="CREDITOR"/>
    <n v="0"/>
    <n v="0"/>
    <n v="0"/>
    <n v="0"/>
    <n v="515.4400000000001"/>
  </r>
  <r>
    <n v="60421872"/>
    <s v="N"/>
    <n v="21349987"/>
    <s v="3000014708000008"/>
    <s v="CIVIL"/>
    <d v="2023-06-17T00:00:00"/>
    <d v="2023-07-10T19:01:40"/>
    <m/>
    <d v="2023-07-10T00:00:00"/>
    <n v="1122"/>
    <n v="14376"/>
    <s v="60421872"/>
    <s v="60421872"/>
    <m/>
    <m/>
    <n v="22710748"/>
    <m/>
    <m/>
    <m/>
    <s v="SOLFIN"/>
    <s v="SOLFIN"/>
    <s v="CCMS"/>
    <n v="21349987"/>
    <n v="21374.31"/>
    <m/>
    <s v="N"/>
    <n v="644"/>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514"/>
    <d v="2023-07-10T19:02:06"/>
    <s v="Y"/>
    <s v="Routine Letter In"/>
    <s v="Care Remuneration Hourly Rates"/>
    <s v="Profit Cost"/>
    <s v="MP"/>
    <s v="Y"/>
    <n v="2.13"/>
    <n v="0"/>
    <x v="2"/>
    <s v="VALIDATED"/>
    <n v="1"/>
    <s v="01.11.80.308.6100.0000"/>
    <n v="2.13"/>
    <s v="11"/>
    <s v="6100"/>
    <n v="7799.21"/>
    <n v="2.13"/>
    <s v="CREDITOR"/>
    <n v="0"/>
    <n v="0"/>
    <n v="0"/>
    <n v="0"/>
    <n v="2.13"/>
  </r>
  <r>
    <n v="60421872"/>
    <s v="N"/>
    <n v="21349987"/>
    <s v="3000014708000008"/>
    <s v="CIVIL"/>
    <d v="2023-06-17T00:00:00"/>
    <d v="2023-07-10T19:01:40"/>
    <m/>
    <d v="2023-07-10T00:00:00"/>
    <n v="1122"/>
    <n v="14376"/>
    <s v="60421872"/>
    <s v="60421872"/>
    <m/>
    <m/>
    <n v="22710748"/>
    <m/>
    <m/>
    <m/>
    <s v="SOLFIN"/>
    <s v="SOLFIN"/>
    <s v="CCMS"/>
    <n v="21349987"/>
    <n v="21374.31"/>
    <m/>
    <s v="N"/>
    <n v="19"/>
    <d v="2023-07-10T19:02:06"/>
    <s v="Y"/>
    <s v="Routine Letter In"/>
    <s v="Care Remuneration Hourly Rates"/>
    <s v="Profit Cost"/>
    <s v="MP"/>
    <s v="Y"/>
    <n v="14.89"/>
    <n v="0"/>
    <x v="2"/>
    <s v="VALIDATED"/>
    <n v="1"/>
    <s v="01.11.80.308.6100.0000"/>
    <n v="14.89"/>
    <s v="11"/>
    <s v="6100"/>
    <n v="7799.21"/>
    <n v="14.89"/>
    <s v="CREDITOR"/>
    <n v="0"/>
    <n v="0"/>
    <n v="0"/>
    <n v="0"/>
    <n v="14.89"/>
  </r>
  <r>
    <n v="60421872"/>
    <s v="N"/>
    <n v="21349987"/>
    <s v="3000014708000008"/>
    <s v="CIVIL"/>
    <d v="2023-06-17T00:00:00"/>
    <d v="2023-07-10T19:01:40"/>
    <m/>
    <d v="2023-07-10T00:00:00"/>
    <n v="1122"/>
    <n v="14376"/>
    <s v="60421872"/>
    <s v="60421872"/>
    <m/>
    <m/>
    <n v="22710748"/>
    <m/>
    <m/>
    <m/>
    <s v="SOLFIN"/>
    <s v="SOLFIN"/>
    <s v="CCMS"/>
    <n v="21349987"/>
    <n v="21374.31"/>
    <m/>
    <s v="N"/>
    <n v="655"/>
    <d v="2023-07-10T19:02:06"/>
    <s v="Y"/>
    <s v="Preparation - drafting application"/>
    <s v="Care Remuneration Hourly Rates"/>
    <s v="Profit Cost"/>
    <s v="Mark Pearson"/>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680"/>
    <d v="2023-07-10T19:02:06"/>
    <s v="Y"/>
    <s v="Preparation - other"/>
    <s v="Care Remuneration Hourly Rates"/>
    <s v="Profit Cost"/>
    <s v="Mark Pearson"/>
    <s v="Y"/>
    <n v="63.53"/>
    <n v="0"/>
    <x v="2"/>
    <s v="VALIDATED"/>
    <n v="1"/>
    <s v="01.11.80.308.6100.0000"/>
    <n v="63.53"/>
    <s v="11"/>
    <s v="6100"/>
    <n v="7799.21"/>
    <n v="63.53"/>
    <s v="CREDITOR"/>
    <n v="0"/>
    <n v="0"/>
    <n v="0"/>
    <n v="0"/>
    <n v="63.53"/>
  </r>
  <r>
    <n v="60421872"/>
    <s v="N"/>
    <n v="21349987"/>
    <s v="3000014708000008"/>
    <s v="CIVIL"/>
    <d v="2023-06-17T00:00:00"/>
    <d v="2023-07-10T19:01:40"/>
    <m/>
    <d v="2023-07-10T00:00:00"/>
    <n v="1122"/>
    <n v="14376"/>
    <s v="60421872"/>
    <s v="60421872"/>
    <m/>
    <m/>
    <n v="22710748"/>
    <m/>
    <m/>
    <m/>
    <s v="SOLFIN"/>
    <s v="SOLFIN"/>
    <s v="CCMS"/>
    <n v="21349987"/>
    <n v="21374.31"/>
    <m/>
    <s v="N"/>
    <n v="392"/>
    <d v="2023-07-10T19:02:06"/>
    <s v="Y"/>
    <s v="Report - Medical report"/>
    <s v="Care Remuneration Hourly Rates"/>
    <s v="Profit Cost"/>
    <s v="Mark Pearson"/>
    <s v="Y"/>
    <n v="21.17"/>
    <n v="0"/>
    <x v="2"/>
    <s v="VALIDATED"/>
    <n v="1"/>
    <s v="01.11.80.308.6100.0000"/>
    <n v="21.17"/>
    <s v="11"/>
    <s v="6100"/>
    <n v="7799.21"/>
    <n v="21.17"/>
    <s v="CREDITOR"/>
    <n v="0"/>
    <n v="0"/>
    <n v="0"/>
    <n v="0"/>
    <n v="21.17"/>
  </r>
  <r>
    <n v="60421872"/>
    <s v="N"/>
    <n v="21349987"/>
    <s v="3000014708000008"/>
    <s v="CIVIL"/>
    <d v="2023-06-17T00:00:00"/>
    <d v="2023-07-10T19:01:40"/>
    <m/>
    <d v="2023-07-10T00:00:00"/>
    <n v="1122"/>
    <n v="14376"/>
    <s v="60421872"/>
    <s v="60421872"/>
    <m/>
    <m/>
    <n v="22710748"/>
    <m/>
    <m/>
    <m/>
    <s v="SOLFIN"/>
    <s v="SOLFIN"/>
    <s v="CCMS"/>
    <n v="21349987"/>
    <n v="21374.31"/>
    <m/>
    <s v="N"/>
    <n v="293"/>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72"/>
    <d v="2023-07-10T19:02:06"/>
    <s v="Y"/>
    <s v="Routine Letter In"/>
    <s v="Care Remuneration Hourly Rates"/>
    <s v="Profit Cost"/>
    <s v="MP"/>
    <s v="Y"/>
    <n v="61.7"/>
    <n v="0"/>
    <x v="2"/>
    <s v="VALIDATED"/>
    <n v="1"/>
    <s v="01.11.80.308.6100.0000"/>
    <n v="61.7"/>
    <s v="11"/>
    <s v="6100"/>
    <n v="7799.21"/>
    <n v="61.7"/>
    <s v="CREDITOR"/>
    <n v="0"/>
    <n v="0"/>
    <n v="0"/>
    <n v="0"/>
    <n v="61.7"/>
  </r>
  <r>
    <n v="60421872"/>
    <s v="N"/>
    <n v="21349987"/>
    <s v="3000014708000008"/>
    <s v="CIVIL"/>
    <d v="2023-06-17T00:00:00"/>
    <d v="2023-07-10T19:01:40"/>
    <m/>
    <d v="2023-07-10T00:00:00"/>
    <n v="1122"/>
    <n v="14376"/>
    <s v="60421872"/>
    <s v="60421872"/>
    <m/>
    <m/>
    <n v="22710748"/>
    <m/>
    <m/>
    <m/>
    <s v="SOLFIN"/>
    <s v="SOLFIN"/>
    <s v="CCMS"/>
    <n v="21349987"/>
    <n v="21374.31"/>
    <m/>
    <s v="N"/>
    <n v="203"/>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627"/>
    <d v="2023-07-10T19:02:06"/>
    <s v="Y"/>
    <s v="Report - other report"/>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5"/>
    <d v="2023-07-10T19:02:06"/>
    <s v="Y"/>
    <s v="Routine Telephone Call"/>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375"/>
    <d v="2023-07-10T19:02:06"/>
    <s v="Y"/>
    <s v="Preparation - drafting instructions"/>
    <s v="Care Remuneration Hourly Rates"/>
    <s v="Profit Cost"/>
    <s v="MP"/>
    <s v="Y"/>
    <n v="190.58"/>
    <n v="0"/>
    <x v="2"/>
    <s v="VALIDATED"/>
    <n v="1"/>
    <s v="01.11.80.308.6100.0000"/>
    <n v="190.58"/>
    <s v="11"/>
    <s v="6100"/>
    <n v="7799.21"/>
    <n v="190.58"/>
    <s v="CREDITOR"/>
    <n v="0"/>
    <n v="0"/>
    <n v="0"/>
    <n v="0"/>
    <n v="190.58"/>
  </r>
  <r>
    <n v="60421872"/>
    <s v="N"/>
    <n v="21349987"/>
    <s v="3000014708000008"/>
    <s v="CIVIL"/>
    <d v="2023-06-17T00:00:00"/>
    <d v="2023-07-10T19:01:40"/>
    <m/>
    <d v="2023-07-10T00:00:00"/>
    <n v="1122"/>
    <n v="14376"/>
    <s v="60421872"/>
    <s v="60421872"/>
    <m/>
    <m/>
    <n v="22710748"/>
    <m/>
    <m/>
    <m/>
    <s v="SOLFIN"/>
    <s v="SOLFIN"/>
    <s v="CCMS"/>
    <n v="21349987"/>
    <n v="21374.31"/>
    <m/>
    <s v="N"/>
    <n v="115"/>
    <d v="2023-07-10T19:02:06"/>
    <s v="Y"/>
    <s v="Preparation - other"/>
    <s v="Care Remuneration Hourly Rates"/>
    <s v="Profit Cost"/>
    <s v="MP"/>
    <s v="Y"/>
    <n v="10.59"/>
    <n v="0"/>
    <x v="2"/>
    <s v="VALIDATED"/>
    <n v="1"/>
    <s v="01.11.80.308.6100.0000"/>
    <n v="10.59"/>
    <s v="11"/>
    <s v="6100"/>
    <n v="7799.21"/>
    <n v="10.59"/>
    <s v="CREDITOR"/>
    <n v="0"/>
    <n v="0"/>
    <n v="0"/>
    <n v="0"/>
    <n v="10.59"/>
  </r>
  <r>
    <n v="60421872"/>
    <s v="N"/>
    <n v="21349987"/>
    <s v="3000014708000008"/>
    <s v="CIVIL"/>
    <d v="2023-06-17T00:00:00"/>
    <d v="2023-07-10T19:01:40"/>
    <m/>
    <d v="2023-07-10T00:00:00"/>
    <n v="1122"/>
    <n v="14376"/>
    <s v="60421872"/>
    <s v="60421872"/>
    <m/>
    <m/>
    <n v="22710748"/>
    <m/>
    <m/>
    <m/>
    <s v="SOLFIN"/>
    <s v="SOLFIN"/>
    <s v="CCMS"/>
    <n v="21349987"/>
    <n v="21374.31"/>
    <m/>
    <s v="N"/>
    <n v="400"/>
    <d v="2023-07-10T19:02:06"/>
    <s v="Y"/>
    <s v="Routine Letter Out"/>
    <s v="Care Remuneration Hourly Rates"/>
    <s v="Profit Cost"/>
    <s v="MP"/>
    <s v="Y"/>
    <n v="4.24"/>
    <n v="0"/>
    <x v="2"/>
    <s v="VALIDATED"/>
    <n v="1"/>
    <s v="01.11.80.308.6100.0000"/>
    <n v="4.24"/>
    <s v="11"/>
    <s v="6100"/>
    <n v="7799.21"/>
    <n v="4.24"/>
    <s v="CREDITOR"/>
    <n v="0"/>
    <n v="0"/>
    <n v="0"/>
    <n v="0"/>
    <n v="4.24"/>
  </r>
  <r>
    <n v="60421872"/>
    <s v="N"/>
    <n v="21349987"/>
    <s v="3000014708000008"/>
    <s v="CIVIL"/>
    <d v="2023-06-17T00:00:00"/>
    <d v="2023-07-10T19:01:40"/>
    <m/>
    <d v="2023-07-10T00:00:00"/>
    <n v="1122"/>
    <n v="14376"/>
    <s v="60421872"/>
    <s v="60421872"/>
    <m/>
    <m/>
    <n v="22710748"/>
    <m/>
    <m/>
    <m/>
    <s v="SOLFIN"/>
    <s v="SOLFIN"/>
    <s v="CCMS"/>
    <n v="21349987"/>
    <n v="21374.31"/>
    <m/>
    <s v="N"/>
    <n v="295"/>
    <d v="2023-07-10T19:02:06"/>
    <s v="Y"/>
    <s v="Preparation - other"/>
    <s v="Care Remuneration Hourly Rates"/>
    <s v="Profit Cost"/>
    <s v="MP"/>
    <s v="Y"/>
    <n v="15.88"/>
    <n v="0"/>
    <x v="2"/>
    <s v="VALIDATED"/>
    <n v="1"/>
    <s v="01.11.80.308.6100.0000"/>
    <n v="15.88"/>
    <s v="11"/>
    <s v="6100"/>
    <n v="7799.21"/>
    <n v="15.88"/>
    <s v="CREDITOR"/>
    <n v="0"/>
    <n v="0"/>
    <n v="0"/>
    <n v="0"/>
    <n v="15.88"/>
  </r>
  <r>
    <n v="60421872"/>
    <s v="N"/>
    <n v="21349987"/>
    <s v="3000014708000008"/>
    <s v="CIVIL"/>
    <d v="2023-06-17T00:00:00"/>
    <d v="2023-07-10T19:01:40"/>
    <m/>
    <d v="2023-07-10T00:00:00"/>
    <n v="1122"/>
    <n v="14376"/>
    <s v="60421872"/>
    <s v="60421872"/>
    <m/>
    <m/>
    <n v="22710748"/>
    <m/>
    <m/>
    <m/>
    <s v="SOLFIN"/>
    <s v="SOLFIN"/>
    <s v="CCMS"/>
    <n v="21349987"/>
    <n v="21374.31"/>
    <m/>
    <s v="N"/>
    <n v="153"/>
    <d v="2023-07-10T19:02:06"/>
    <s v="Y"/>
    <s v="Preparation - drafting statement"/>
    <s v="Care Remuneration Hourly Rates"/>
    <s v="Profit Cost"/>
    <s v="MP"/>
    <s v="Y"/>
    <n v="52.93"/>
    <n v="0"/>
    <x v="2"/>
    <s v="VALIDATED"/>
    <n v="1"/>
    <s v="01.11.80.308.6100.0000"/>
    <n v="52.93"/>
    <s v="11"/>
    <s v="6100"/>
    <n v="7799.21"/>
    <n v="52.93"/>
    <s v="CREDITOR"/>
    <n v="0"/>
    <n v="0"/>
    <n v="0"/>
    <n v="0"/>
    <n v="52.93"/>
  </r>
  <r>
    <n v="60421872"/>
    <s v="N"/>
    <n v="21349987"/>
    <s v="3000014708000008"/>
    <s v="CIVIL"/>
    <d v="2023-06-17T00:00:00"/>
    <d v="2023-07-10T19:01:40"/>
    <m/>
    <d v="2023-07-10T00:00:00"/>
    <n v="1122"/>
    <n v="14376"/>
    <s v="60421872"/>
    <s v="60421872"/>
    <m/>
    <m/>
    <n v="22710748"/>
    <m/>
    <m/>
    <m/>
    <s v="SOLFIN"/>
    <s v="SOLFIN"/>
    <s v="CCMS"/>
    <n v="21349987"/>
    <n v="21374.31"/>
    <m/>
    <s v="N"/>
    <n v="54"/>
    <d v="2023-07-10T19:02:06"/>
    <s v="Y"/>
    <s v="Routine Letter Out"/>
    <s v="Care Remuneration Hourly Rates"/>
    <s v="Profit Cost"/>
    <s v="MP"/>
    <s v="Y"/>
    <n v="29.7"/>
    <n v="0"/>
    <x v="2"/>
    <s v="VALIDATED"/>
    <n v="1"/>
    <s v="01.11.80.308.6100.0000"/>
    <n v="29.7"/>
    <s v="11"/>
    <s v="6100"/>
    <n v="7799.21"/>
    <n v="29.7"/>
    <s v="CREDITOR"/>
    <n v="0"/>
    <n v="0"/>
    <n v="0"/>
    <n v="0"/>
    <n v="29.7"/>
  </r>
  <r>
    <n v="60421872"/>
    <s v="N"/>
    <n v="21349987"/>
    <s v="3000014708000008"/>
    <s v="CIVIL"/>
    <d v="2023-06-17T00:00:00"/>
    <d v="2023-07-10T19:01:40"/>
    <m/>
    <d v="2023-07-10T00:00:00"/>
    <n v="1122"/>
    <n v="14376"/>
    <s v="60421872"/>
    <s v="60421872"/>
    <m/>
    <m/>
    <n v="22710748"/>
    <m/>
    <m/>
    <m/>
    <s v="SOLFIN"/>
    <s v="SOLFIN"/>
    <s v="CCMS"/>
    <n v="21349987"/>
    <n v="21374.31"/>
    <m/>
    <s v="N"/>
    <n v="317"/>
    <d v="2023-07-10T19:02:06"/>
    <s v="Y"/>
    <s v="Routine Letter Out"/>
    <s v="Care Remuneration Hourly Rates"/>
    <s v="Profit Cost"/>
    <s v="Mark Pearson"/>
    <s v="Y"/>
    <n v="38.19"/>
    <n v="0"/>
    <x v="2"/>
    <s v="VALIDATED"/>
    <n v="1"/>
    <s v="01.11.80.308.6100.0000"/>
    <n v="38.19"/>
    <s v="11"/>
    <s v="6100"/>
    <n v="7799.21"/>
    <n v="38.19"/>
    <s v="CREDITOR"/>
    <n v="0"/>
    <n v="0"/>
    <n v="0"/>
    <n v="0"/>
    <n v="38.19"/>
  </r>
  <r>
    <n v="60421872"/>
    <s v="N"/>
    <n v="21349987"/>
    <s v="3000014708000008"/>
    <s v="CIVIL"/>
    <d v="2023-06-17T00:00:00"/>
    <d v="2023-07-10T19:01:40"/>
    <m/>
    <d v="2023-07-10T00:00:00"/>
    <n v="1122"/>
    <n v="14376"/>
    <s v="60421872"/>
    <s v="60421872"/>
    <m/>
    <m/>
    <n v="22710748"/>
    <m/>
    <m/>
    <m/>
    <s v="SOLFIN"/>
    <s v="SOLFIN"/>
    <s v="CCMS"/>
    <n v="21349987"/>
    <n v="21374.31"/>
    <m/>
    <s v="N"/>
    <n v="280"/>
    <d v="2023-07-10T19:02:06"/>
    <s v="Y"/>
    <s v="Preparation - other"/>
    <s v="Care Remuneration Hourly Rates"/>
    <s v="Profit Cost"/>
    <s v="MP"/>
    <s v="Y"/>
    <n v="5.29"/>
    <n v="0"/>
    <x v="2"/>
    <s v="VALIDATED"/>
    <n v="1"/>
    <s v="01.11.80.308.6100.0000"/>
    <n v="5.29"/>
    <s v="11"/>
    <s v="6100"/>
    <n v="7799.21"/>
    <n v="5.29"/>
    <s v="CREDITOR"/>
    <n v="0"/>
    <n v="0"/>
    <n v="0"/>
    <n v="0"/>
    <n v="5.29"/>
  </r>
  <r>
    <n v="60421872"/>
    <s v="N"/>
    <n v="21349987"/>
    <s v="3000014708000008"/>
    <s v="CIVIL"/>
    <d v="2023-06-17T00:00:00"/>
    <d v="2023-07-10T19:01:40"/>
    <m/>
    <d v="2023-07-10T00:00:00"/>
    <n v="1122"/>
    <n v="14376"/>
    <s v="60421872"/>
    <s v="60421872"/>
    <m/>
    <m/>
    <n v="22710748"/>
    <m/>
    <m/>
    <m/>
    <s v="SOLFIN"/>
    <s v="SOLFIN"/>
    <s v="CCMS"/>
    <n v="21349987"/>
    <n v="21374.31"/>
    <m/>
    <s v="N"/>
    <n v="151"/>
    <d v="2023-07-10T19:02:06"/>
    <s v="Y"/>
    <s v="Routine Letter Out"/>
    <s v="Care Remuneration Hourly Rates"/>
    <s v="Profit Cost"/>
    <s v="MP"/>
    <s v="Y"/>
    <n v="12.73"/>
    <n v="0"/>
    <x v="2"/>
    <s v="VALIDATED"/>
    <n v="1"/>
    <s v="01.11.80.308.6100.0000"/>
    <n v="12.73"/>
    <s v="11"/>
    <s v="6100"/>
    <n v="7799.21"/>
    <n v="12.73"/>
    <s v="CREDITOR"/>
    <n v="0"/>
    <n v="0"/>
    <n v="0"/>
    <n v="0"/>
    <n v="12.73"/>
  </r>
  <r>
    <n v="60421872"/>
    <s v="N"/>
    <n v="21349987"/>
    <s v="3000014708000008"/>
    <s v="CIVIL"/>
    <d v="2023-06-17T00:00:00"/>
    <d v="2023-07-10T19:01:40"/>
    <m/>
    <d v="2023-07-10T00:00:00"/>
    <n v="1122"/>
    <n v="14376"/>
    <s v="60421872"/>
    <s v="60421872"/>
    <m/>
    <m/>
    <n v="22710748"/>
    <m/>
    <m/>
    <m/>
    <s v="SOLFIN"/>
    <s v="SOLFIN"/>
    <s v="CCMS"/>
    <n v="21349987"/>
    <n v="21374.31"/>
    <m/>
    <s v="N"/>
    <n v="302"/>
    <d v="2023-07-10T19:02:06"/>
    <s v="Y"/>
    <s v="Routine Letter Out"/>
    <s v="Care Remuneration Hourly Rates"/>
    <s v="Profit Cost"/>
    <s v="MP"/>
    <s v="Y"/>
    <n v="33.95"/>
    <n v="0"/>
    <x v="2"/>
    <s v="VALIDATED"/>
    <n v="1"/>
    <s v="01.11.80.308.6100.0000"/>
    <n v="33.95"/>
    <s v="11"/>
    <s v="6100"/>
    <n v="7799.21"/>
    <n v="33.95"/>
    <s v="CREDITOR"/>
    <n v="0"/>
    <n v="0"/>
    <n v="0"/>
    <n v="0"/>
    <n v="33.95"/>
  </r>
  <r>
    <n v="60421872"/>
    <s v="N"/>
    <n v="21349987"/>
    <s v="3000014708000008"/>
    <s v="CIVIL"/>
    <d v="2023-06-17T00:00:00"/>
    <d v="2023-07-10T19:01:40"/>
    <m/>
    <d v="2023-07-10T00:00:00"/>
    <n v="1122"/>
    <n v="14376"/>
    <s v="60421872"/>
    <s v="60421872"/>
    <m/>
    <m/>
    <n v="22710748"/>
    <m/>
    <m/>
    <m/>
    <s v="SOLFIN"/>
    <s v="SOLFIN"/>
    <s v="CCMS"/>
    <n v="21349987"/>
    <n v="21374.31"/>
    <m/>
    <s v="N"/>
    <n v="164"/>
    <d v="2023-07-10T19:02:06"/>
    <s v="Y"/>
    <s v="Routine Letter Out"/>
    <s v="Care Remuneration Hourly Rates"/>
    <s v="Profit Cost"/>
    <s v="MP"/>
    <s v="Y"/>
    <n v="8.49"/>
    <n v="0"/>
    <x v="2"/>
    <s v="VALIDATED"/>
    <n v="1"/>
    <s v="01.11.80.308.6100.0000"/>
    <n v="8.49"/>
    <s v="11"/>
    <s v="6100"/>
    <n v="7799.21"/>
    <n v="8.49"/>
    <s v="CREDITOR"/>
    <n v="0"/>
    <n v="0"/>
    <n v="0"/>
    <n v="0"/>
    <n v="8.49"/>
  </r>
  <r>
    <n v="60421872"/>
    <s v="N"/>
    <n v="21349987"/>
    <s v="3000014708000008"/>
    <s v="CIVIL"/>
    <d v="2023-06-17T00:00:00"/>
    <d v="2023-07-10T19:01:40"/>
    <m/>
    <d v="2023-07-10T00:00:00"/>
    <n v="1122"/>
    <n v="14376"/>
    <s v="60421872"/>
    <s v="60421872"/>
    <m/>
    <m/>
    <n v="22710748"/>
    <m/>
    <m/>
    <m/>
    <s v="SOLFIN"/>
    <s v="SOLFIN"/>
    <s v="CCMS"/>
    <n v="21349987"/>
    <n v="21374.31"/>
    <m/>
    <s v="N"/>
    <n v="575"/>
    <d v="2023-07-10T19:02:06"/>
    <s v="Y"/>
    <s v="Routine Letter In"/>
    <s v="Care Remuneration Hourly Rates"/>
    <s v="Profit Cost"/>
    <s v="MP"/>
    <s v="Y"/>
    <n v="10.64"/>
    <n v="0"/>
    <x v="2"/>
    <s v="VALIDATED"/>
    <n v="1"/>
    <s v="01.11.80.308.6100.0000"/>
    <n v="10.64"/>
    <s v="11"/>
    <s v="6100"/>
    <n v="7799.21"/>
    <n v="10.64"/>
    <s v="CREDITOR"/>
    <n v="0"/>
    <n v="0"/>
    <n v="0"/>
    <n v="0"/>
    <n v="10.64"/>
  </r>
  <r>
    <n v="60421872"/>
    <s v="N"/>
    <n v="21349987"/>
    <s v="3000014708000008"/>
    <s v="CIVIL"/>
    <d v="2023-06-17T00:00:00"/>
    <d v="2023-07-10T19:01:40"/>
    <m/>
    <d v="2023-07-10T00:00:00"/>
    <n v="1122"/>
    <n v="14376"/>
    <s v="60421872"/>
    <s v="60421872"/>
    <m/>
    <m/>
    <n v="22710748"/>
    <m/>
    <m/>
    <m/>
    <s v="SOLFIN"/>
    <s v="SOLFIN"/>
    <s v="CCMS"/>
    <n v="21349987"/>
    <n v="21374.31"/>
    <m/>
    <s v="N"/>
    <n v="59"/>
    <d v="2023-07-10T19:02:06"/>
    <s v="Y"/>
    <s v="Routine Letter In"/>
    <s v="Care Remuneration Hourly Rates"/>
    <s v="Profit Cost"/>
    <s v="MP"/>
    <s v="Y"/>
    <n v="27.66"/>
    <n v="0"/>
    <x v="2"/>
    <s v="VALIDATED"/>
    <n v="1"/>
    <s v="01.11.80.308.6100.0000"/>
    <n v="27.66"/>
    <s v="11"/>
    <s v="6100"/>
    <n v="7799.21"/>
    <n v="27.66"/>
    <s v="CREDITOR"/>
    <n v="0"/>
    <n v="0"/>
    <n v="0"/>
    <n v="0"/>
    <n v="27.66"/>
  </r>
  <r>
    <n v="60421872"/>
    <s v="N"/>
    <n v="21349987"/>
    <s v="3000014708000008"/>
    <s v="CIVIL"/>
    <d v="2023-06-17T00:00:00"/>
    <d v="2023-07-10T19:01:40"/>
    <m/>
    <d v="2023-07-10T00:00:00"/>
    <n v="1122"/>
    <n v="14376"/>
    <s v="60421872"/>
    <s v="60421872"/>
    <m/>
    <m/>
    <n v="22710748"/>
    <m/>
    <m/>
    <m/>
    <s v="SOLFIN"/>
    <s v="SOLFIN"/>
    <s v="CCMS"/>
    <n v="21349987"/>
    <n v="21374.31"/>
    <m/>
    <s v="N"/>
    <n v="582"/>
    <d v="2023-07-10T19:02:06"/>
    <s v="Y"/>
    <s v="Preparation - other"/>
    <s v="Care Remuneration Hourly Rates"/>
    <s v="Profit Cost"/>
    <s v="MP"/>
    <s v="Y"/>
    <n v="42.35"/>
    <n v="0"/>
    <x v="2"/>
    <s v="VALIDATED"/>
    <n v="1"/>
    <s v="01.11.80.308.6100.0000"/>
    <n v="42.35"/>
    <s v="11"/>
    <s v="6100"/>
    <n v="7799.21"/>
    <n v="42.35"/>
    <s v="CREDITOR"/>
    <n v="0"/>
    <n v="0"/>
    <n v="0"/>
    <n v="0"/>
    <n v="42.35"/>
  </r>
  <r>
    <n v="60421872"/>
    <s v="N"/>
    <n v="21349987"/>
    <s v="3000014708000008"/>
    <s v="CIVIL"/>
    <d v="2023-06-17T00:00:00"/>
    <d v="2023-07-10T19:01:40"/>
    <m/>
    <d v="2023-07-10T00:00:00"/>
    <n v="1122"/>
    <n v="14376"/>
    <s v="60421872"/>
    <s v="60421872"/>
    <m/>
    <m/>
    <n v="22710748"/>
    <m/>
    <m/>
    <m/>
    <s v="SOLFIN"/>
    <s v="SOLFIN"/>
    <s v="CCMS"/>
    <n v="21349987"/>
    <n v="21374.31"/>
    <m/>
    <s v="N"/>
    <n v="200"/>
    <d v="2023-07-10T19:02:06"/>
    <s v="Y"/>
    <s v="Routine Letter In"/>
    <s v="Care Remuneration Hourly Rates"/>
    <s v="Profit Cost"/>
    <s v="MP"/>
    <s v="Y"/>
    <n v="78.72"/>
    <n v="0"/>
    <x v="2"/>
    <s v="VALIDATED"/>
    <n v="1"/>
    <s v="01.11.80.308.6100.0000"/>
    <n v="78.72"/>
    <s v="11"/>
    <s v="6100"/>
    <n v="7799.21"/>
    <n v="78.72"/>
    <s v="CREDITOR"/>
    <n v="0"/>
    <n v="0"/>
    <n v="0"/>
    <n v="0"/>
    <n v="78.72"/>
  </r>
  <r>
    <n v="60421872"/>
    <s v="N"/>
    <n v="21349987"/>
    <s v="3000014708000008"/>
    <s v="CIVIL"/>
    <d v="2023-06-17T00:00:00"/>
    <d v="2023-07-10T19:01:40"/>
    <m/>
    <d v="2023-07-10T00:00:00"/>
    <n v="1122"/>
    <n v="14376"/>
    <s v="60421872"/>
    <s v="60421872"/>
    <m/>
    <m/>
    <n v="22710748"/>
    <m/>
    <m/>
    <m/>
    <s v="SOLFIN"/>
    <s v="SOLFIN"/>
    <s v="CCMS"/>
    <n v="21349987"/>
    <n v="21374.31"/>
    <m/>
    <s v="N"/>
    <n v="370"/>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14"/>
    <d v="2023-07-10T19:02:06"/>
    <s v="Y"/>
    <s v="Preparation - other"/>
    <s v="Care Remuneration Hourly Rates"/>
    <s v="Profit Cost"/>
    <s v="MP"/>
    <s v="Y"/>
    <n v="47.64"/>
    <n v="0"/>
    <x v="2"/>
    <s v="VALIDATED"/>
    <n v="1"/>
    <s v="01.11.80.308.6100.0000"/>
    <n v="47.64"/>
    <s v="11"/>
    <s v="6100"/>
    <n v="7799.21"/>
    <n v="47.64"/>
    <s v="CREDITOR"/>
    <n v="0"/>
    <n v="0"/>
    <n v="0"/>
    <n v="0"/>
    <n v="47.64"/>
  </r>
  <r>
    <n v="60421872"/>
    <s v="N"/>
    <n v="21349987"/>
    <s v="3000014708000008"/>
    <s v="CIVIL"/>
    <d v="2023-06-17T00:00:00"/>
    <d v="2023-07-10T19:01:40"/>
    <m/>
    <d v="2023-07-10T00:00:00"/>
    <n v="1122"/>
    <n v="14376"/>
    <s v="60421872"/>
    <s v="60421872"/>
    <m/>
    <m/>
    <n v="22710748"/>
    <m/>
    <m/>
    <m/>
    <s v="SOLFIN"/>
    <s v="SOLFIN"/>
    <s v="CCMS"/>
    <n v="21349987"/>
    <n v="21374.31"/>
    <m/>
    <s v="N"/>
    <n v="378"/>
    <d v="2023-07-10T19:02:06"/>
    <s v="Y"/>
    <s v="Routine Letter In"/>
    <s v="Care Remuneration Hourly Rates"/>
    <s v="Profit Cost"/>
    <s v="MP"/>
    <s v="Y"/>
    <n v="17.02"/>
    <n v="0"/>
    <x v="2"/>
    <s v="VALIDATED"/>
    <n v="1"/>
    <s v="01.11.80.308.6100.0000"/>
    <n v="17.02"/>
    <s v="11"/>
    <s v="6100"/>
    <n v="7799.21"/>
    <n v="17.02"/>
    <s v="CREDITOR"/>
    <n v="0"/>
    <n v="0"/>
    <n v="0"/>
    <n v="0"/>
    <n v="17.02"/>
  </r>
  <r>
    <n v="60421872"/>
    <s v="N"/>
    <n v="21349987"/>
    <s v="3000014708000008"/>
    <s v="CIVIL"/>
    <d v="2023-06-17T00:00:00"/>
    <d v="2023-07-10T19:01:40"/>
    <m/>
    <d v="2023-07-10T00:00:00"/>
    <n v="1122"/>
    <n v="14376"/>
    <s v="60421872"/>
    <s v="60421872"/>
    <m/>
    <m/>
    <n v="22710748"/>
    <m/>
    <m/>
    <m/>
    <s v="SOLFIN"/>
    <s v="SOLFIN"/>
    <s v="CCMS"/>
    <n v="21349987"/>
    <n v="21374.31"/>
    <m/>
    <s v="N"/>
    <n v="672"/>
    <d v="2023-07-10T19:02:06"/>
    <s v="Y"/>
    <s v="Preparation - other"/>
    <s v="Care Remuneration Hourly Rates"/>
    <s v="Profit Cost"/>
    <s v="Mark Pearson"/>
    <s v="Y"/>
    <n v="10.59"/>
    <n v="0"/>
    <x v="2"/>
    <s v="VALIDATED"/>
    <n v="1"/>
    <s v="01.11.80.308.6100.0000"/>
    <n v="10.59"/>
    <s v="11"/>
    <s v="6100"/>
    <n v="7799.21"/>
    <n v="10.59"/>
    <s v="CREDITOR"/>
    <n v="0"/>
    <n v="0"/>
    <n v="0"/>
    <n v="0"/>
    <n v="10.59"/>
  </r>
  <r>
    <n v="54266914"/>
    <s v="N"/>
    <n v="21338333"/>
    <s v="3000012940890006"/>
    <s v="CIVIL"/>
    <d v="2023-06-28T00:00:00"/>
    <d v="2023-07-06T19:21:01"/>
    <m/>
    <d v="2023-07-06T00:00:00"/>
    <n v="1132"/>
    <n v="2858"/>
    <s v="54266914"/>
    <s v="54266914"/>
    <m/>
    <m/>
    <n v="22779636"/>
    <m/>
    <m/>
    <m/>
    <s v="SOLFIN"/>
    <s v="SOLFIN"/>
    <s v="CCMS"/>
    <n v="21338333"/>
    <n v="7238.01"/>
    <m/>
    <s v="N"/>
    <n v="57"/>
    <d v="2023-07-06T19:21:20"/>
    <s v="Y"/>
    <s v="Preparation - other"/>
    <s v="Prescribed Hourly Rates"/>
    <s v="Profit Cost"/>
    <s v="VJ"/>
    <s v="Y"/>
    <n v="12.63"/>
    <n v="2.53"/>
    <x v="4"/>
    <s v="VALIDATED"/>
    <n v="1"/>
    <s v="01.11.80.307.6100.0000"/>
    <n v="12.63"/>
    <s v="11"/>
    <s v="6100"/>
    <n v="10392.41"/>
    <n v="12.63"/>
    <s v="CREDITOR"/>
    <n v="0"/>
    <n v="0"/>
    <n v="0"/>
    <n v="0"/>
    <n v="12.63"/>
  </r>
  <r>
    <n v="9303946"/>
    <s v="N"/>
    <n v="21330930"/>
    <s v="3000005275240004"/>
    <s v="CIVIL"/>
    <d v="2023-06-27T00:00:00"/>
    <d v="2023-07-05T19:01:47"/>
    <m/>
    <d v="2023-07-05T00:00:00"/>
    <n v="1132"/>
    <n v="2858"/>
    <s v="9303946"/>
    <s v="9303946"/>
    <m/>
    <m/>
    <n v="22774034"/>
    <m/>
    <m/>
    <m/>
    <s v="SOLFIN"/>
    <s v="SOLFIN"/>
    <s v="CCMS"/>
    <n v="21330930"/>
    <n v="1806.47"/>
    <m/>
    <s v="N"/>
    <n v="26"/>
    <d v="2023-07-05T19:01:57"/>
    <s v="Y"/>
    <s v="Preparation - drafting bill/claim f"/>
    <s v="Prescribed Hourly Rates"/>
    <s v="Profit Cost"/>
    <s v="JF"/>
    <s v="Y"/>
    <n v="18.94"/>
    <n v="3.79"/>
    <x v="6"/>
    <s v="VALIDATED"/>
    <n v="1"/>
    <s v="01.11.80.307.6100.0000"/>
    <n v="18.94"/>
    <s v="11"/>
    <s v="6100"/>
    <n v="10392.41"/>
    <n v="18.94"/>
    <s v="CREDITOR"/>
    <n v="0"/>
    <n v="0"/>
    <n v="0"/>
    <n v="0"/>
    <n v="18.94"/>
  </r>
  <r>
    <n v="9303946"/>
    <s v="N"/>
    <n v="21330930"/>
    <s v="3000005275240004"/>
    <s v="CIVIL"/>
    <d v="2023-06-27T00:00:00"/>
    <d v="2023-07-05T19:01:47"/>
    <m/>
    <d v="2023-07-05T00:00:00"/>
    <n v="1132"/>
    <n v="2858"/>
    <s v="9303946"/>
    <s v="9303946"/>
    <m/>
    <m/>
    <n v="22774034"/>
    <m/>
    <m/>
    <m/>
    <s v="SOLFIN"/>
    <s v="SOLFIN"/>
    <s v="CCMS"/>
    <n v="21330930"/>
    <n v="1806.47"/>
    <m/>
    <s v="N"/>
    <n v="30"/>
    <d v="2023-07-05T19:01:57"/>
    <s v="Y"/>
    <s v="Routine Letter Out"/>
    <s v="Prescribed Hourly Rates"/>
    <s v="Profit Cost"/>
    <s v="SH"/>
    <s v="Y"/>
    <n v="10.8"/>
    <n v="2.16"/>
    <x v="6"/>
    <s v="VALIDATED"/>
    <n v="1"/>
    <s v="01.11.80.307.6100.0000"/>
    <n v="10.8"/>
    <s v="11"/>
    <s v="6100"/>
    <n v="10392.41"/>
    <n v="10.8"/>
    <s v="CREDITOR"/>
    <n v="0"/>
    <n v="0"/>
    <n v="0"/>
    <n v="0"/>
    <n v="10.8"/>
  </r>
  <r>
    <n v="61333450"/>
    <s v="N"/>
    <n v="21320792"/>
    <s v="3000015442320002"/>
    <s v="CIVIL"/>
    <d v="2023-06-28T00:00:00"/>
    <d v="2023-07-03T19:04:52"/>
    <m/>
    <d v="2023-07-03T00:00:00"/>
    <n v="1132"/>
    <n v="2858"/>
    <s v="61333450"/>
    <s v="61333450"/>
    <m/>
    <m/>
    <n v="22780364"/>
    <m/>
    <m/>
    <m/>
    <s v="SOLPOA"/>
    <s v="SOLPOA"/>
    <s v="CCMS"/>
    <n v="21320792"/>
    <n v="167"/>
    <m/>
    <s v="N"/>
    <n v="1"/>
    <d v="2023-07-03T19:04:56"/>
    <s v="N"/>
    <s v="Non Expert Disbursement - Private L"/>
    <s v="Non Expert Disbursement - Priv"/>
    <s v="Non Expert Disbursement"/>
    <s v="Tracey Murphy"/>
    <s v="N"/>
    <n v="167"/>
    <n v="0"/>
    <x v="3"/>
    <s v="VALIDATED"/>
    <n v="1"/>
    <s v="01.11.80.307.2012.0000"/>
    <n v="167"/>
    <s v="11"/>
    <s v="2012"/>
    <n v="10392.41"/>
    <n v="167"/>
    <s v="CREDITOR"/>
    <n v="167"/>
    <n v="0"/>
    <n v="0"/>
    <n v="0"/>
    <n v="0"/>
  </r>
  <r>
    <n v="54266914"/>
    <s v="N"/>
    <n v="21338333"/>
    <s v="3000012940890006"/>
    <s v="CIVIL"/>
    <d v="2023-06-28T00:00:00"/>
    <d v="2023-07-06T19:21:01"/>
    <m/>
    <d v="2023-07-06T00:00:00"/>
    <n v="1132"/>
    <n v="2858"/>
    <s v="54266914"/>
    <s v="54266914"/>
    <m/>
    <m/>
    <n v="22779636"/>
    <m/>
    <m/>
    <m/>
    <s v="SOLFIN"/>
    <s v="SOLFIN"/>
    <s v="CCMS"/>
    <n v="21338333"/>
    <n v="7238.01"/>
    <m/>
    <s v="N"/>
    <n v="51"/>
    <d v="2023-07-06T19:21:20"/>
    <s v="Y"/>
    <s v="Preparation - drafting statement"/>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27"/>
    <d v="2023-07-06T19:21:20"/>
    <s v="Y"/>
    <s v="Preparation - other"/>
    <s v="Prescribed Hourly Rates"/>
    <s v="Profit Cost"/>
    <s v="VJ"/>
    <s v="Y"/>
    <n v="44.19"/>
    <n v="8.84"/>
    <x v="4"/>
    <s v="VALIDATED"/>
    <n v="1"/>
    <s v="01.11.80.307.6100.0000"/>
    <n v="44.19"/>
    <s v="11"/>
    <s v="6100"/>
    <n v="10392.41"/>
    <n v="44.19"/>
    <s v="CREDITOR"/>
    <n v="0"/>
    <n v="0"/>
    <n v="0"/>
    <n v="0"/>
    <n v="44.19"/>
  </r>
  <r>
    <n v="9303946"/>
    <s v="N"/>
    <n v="21330930"/>
    <s v="3000005275240004"/>
    <s v="CIVIL"/>
    <d v="2023-06-27T00:00:00"/>
    <d v="2023-07-05T19:01:47"/>
    <m/>
    <d v="2023-07-05T00:00:00"/>
    <n v="1132"/>
    <n v="2858"/>
    <s v="9303946"/>
    <s v="9303946"/>
    <m/>
    <m/>
    <n v="22774034"/>
    <m/>
    <m/>
    <m/>
    <s v="SOLFIN"/>
    <s v="SOLFIN"/>
    <s v="CCMS"/>
    <n v="21330930"/>
    <n v="1806.47"/>
    <m/>
    <s v="N"/>
    <n v="10"/>
    <d v="2023-07-05T19:01:57"/>
    <s v="Y"/>
    <s v="Preparation - other"/>
    <s v="Prescribed Hourly Rates"/>
    <s v="Profit Cost"/>
    <s v="JF"/>
    <s v="Y"/>
    <n v="12.63"/>
    <n v="2.53"/>
    <x v="6"/>
    <s v="VALIDATED"/>
    <n v="1"/>
    <s v="01.11.80.307.6100.0000"/>
    <n v="12.63"/>
    <s v="11"/>
    <s v="6100"/>
    <n v="10392.41"/>
    <n v="12.63"/>
    <s v="CREDITOR"/>
    <n v="0"/>
    <n v="0"/>
    <n v="0"/>
    <n v="0"/>
    <n v="12.63"/>
  </r>
  <r>
    <n v="62434495"/>
    <s v="N"/>
    <n v="21343488"/>
    <s v="3000016402060002"/>
    <s v="CIVIL"/>
    <d v="2023-06-29T00:00:00"/>
    <d v="2023-07-07T19:03:00"/>
    <m/>
    <d v="2023-07-07T00:00:00"/>
    <n v="1132"/>
    <n v="2858"/>
    <s v="62434495"/>
    <s v="62434495"/>
    <m/>
    <m/>
    <n v="22787218"/>
    <m/>
    <m/>
    <m/>
    <s v="SOLPOA"/>
    <s v="SOLPOA"/>
    <s v="CCMS"/>
    <n v="21343488"/>
    <n v="232"/>
    <m/>
    <s v="N"/>
    <n v="1"/>
    <d v="2023-07-07T19:03:10"/>
    <s v="N"/>
    <s v="Non Expert Disbursement"/>
    <s v="Non Expert Disbursement"/>
    <s v="Non Expert Disbursement"/>
    <s v="Victoria Jones"/>
    <s v="N"/>
    <n v="232"/>
    <n v="0"/>
    <x v="9"/>
    <s v="VALIDATED"/>
    <n v="1"/>
    <s v="01.11.80.305.2012.0000"/>
    <n v="232"/>
    <s v="11"/>
    <s v="2012"/>
    <n v="10392.41"/>
    <n v="232"/>
    <s v="CREDITOR"/>
    <n v="232"/>
    <n v="0"/>
    <n v="0"/>
    <n v="0"/>
    <n v="0"/>
  </r>
  <r>
    <n v="54266914"/>
    <s v="N"/>
    <n v="21338333"/>
    <s v="3000012940890006"/>
    <s v="CIVIL"/>
    <d v="2023-06-28T00:00:00"/>
    <d v="2023-07-06T19:21:01"/>
    <m/>
    <d v="2023-07-06T00:00:00"/>
    <n v="1132"/>
    <n v="2858"/>
    <s v="54266914"/>
    <s v="54266914"/>
    <m/>
    <m/>
    <n v="22779636"/>
    <m/>
    <m/>
    <m/>
    <s v="SOLFIN"/>
    <s v="SOLFIN"/>
    <s v="CCMS"/>
    <n v="21338333"/>
    <n v="7238.01"/>
    <m/>
    <s v="N"/>
    <n v="35"/>
    <d v="2023-07-06T19:21:20"/>
    <s v="Y"/>
    <s v="Preparation - other"/>
    <s v="Prescribed Hourly Rates"/>
    <s v="Profit Cost"/>
    <s v="VJ"/>
    <s v="Y"/>
    <n v="37.88"/>
    <n v="7.58"/>
    <x v="4"/>
    <s v="VALIDATED"/>
    <n v="1"/>
    <s v="01.11.80.307.6100.0000"/>
    <n v="37.88"/>
    <s v="11"/>
    <s v="6100"/>
    <n v="10392.41"/>
    <n v="37.88"/>
    <s v="CREDITOR"/>
    <n v="0"/>
    <n v="0"/>
    <n v="0"/>
    <n v="0"/>
    <n v="37.88"/>
  </r>
  <r>
    <n v="54266914"/>
    <s v="N"/>
    <n v="21338333"/>
    <s v="3000012940890006"/>
    <s v="CIVIL"/>
    <d v="2023-06-28T00:00:00"/>
    <d v="2023-07-06T19:21:01"/>
    <m/>
    <d v="2023-07-06T00:00:00"/>
    <n v="1132"/>
    <n v="2858"/>
    <s v="54266914"/>
    <s v="54266914"/>
    <m/>
    <m/>
    <n v="22779636"/>
    <m/>
    <m/>
    <m/>
    <s v="SOLFIN"/>
    <s v="SOLFIN"/>
    <s v="CCMS"/>
    <n v="21338333"/>
    <n v="7238.01"/>
    <m/>
    <s v="N"/>
    <n v="17"/>
    <d v="2023-07-06T19:21:20"/>
    <s v="Y"/>
    <s v="Preparation - drafting instructions"/>
    <s v="Prescribed Hourly Rates"/>
    <s v="Profit Cost"/>
    <s v="VJ"/>
    <s v="Y"/>
    <n v="25.25"/>
    <n v="5.05"/>
    <x v="4"/>
    <s v="VALIDATED"/>
    <n v="1"/>
    <s v="01.11.80.307.6100.0000"/>
    <n v="25.25"/>
    <s v="11"/>
    <s v="6100"/>
    <n v="10392.41"/>
    <n v="25.25"/>
    <s v="CREDITOR"/>
    <n v="0"/>
    <n v="0"/>
    <n v="0"/>
    <n v="0"/>
    <n v="25.25"/>
  </r>
  <r>
    <n v="61151924"/>
    <s v="N"/>
    <n v="21319586"/>
    <s v="3000015214930007"/>
    <s v="CIVIL"/>
    <d v="2023-06-27T00:00:00"/>
    <d v="2023-07-03T19:04:24"/>
    <m/>
    <d v="2023-07-03T00:00:00"/>
    <n v="1132"/>
    <n v="2858"/>
    <s v="61151924"/>
    <s v="61151924"/>
    <m/>
    <m/>
    <n v="22771666"/>
    <m/>
    <m/>
    <m/>
    <s v="SOLPOA"/>
    <s v="SOLPOA"/>
    <s v="CCMS"/>
    <n v="21319586"/>
    <n v="167"/>
    <m/>
    <s v="N"/>
    <n v="1"/>
    <d v="2023-07-03T19:04:26"/>
    <s v="N"/>
    <s v="Non Expert Disbursement - Private L"/>
    <s v="Non Expert Disbursement - Priv"/>
    <s v="Non Expert Disbursement"/>
    <s v="Victoria Jones"/>
    <s v="N"/>
    <n v="167"/>
    <n v="0"/>
    <x v="3"/>
    <s v="VALIDATED"/>
    <n v="1"/>
    <s v="01.11.80.307.2012.0000"/>
    <n v="167"/>
    <s v="11"/>
    <s v="2012"/>
    <n v="10392.41"/>
    <n v="167"/>
    <s v="CREDITOR"/>
    <n v="167"/>
    <n v="0"/>
    <n v="0"/>
    <n v="0"/>
    <n v="0"/>
  </r>
  <r>
    <n v="54266914"/>
    <s v="N"/>
    <n v="21338333"/>
    <s v="3000012940890006"/>
    <s v="CIVIL"/>
    <d v="2023-06-28T00:00:00"/>
    <d v="2023-07-06T19:21:01"/>
    <m/>
    <d v="2023-07-06T00:00:00"/>
    <n v="1132"/>
    <n v="2858"/>
    <s v="54266914"/>
    <s v="54266914"/>
    <m/>
    <m/>
    <n v="22779636"/>
    <m/>
    <m/>
    <m/>
    <s v="SOLFIN"/>
    <s v="SOLFIN"/>
    <s v="CCMS"/>
    <n v="21338333"/>
    <n v="7238.01"/>
    <m/>
    <s v="N"/>
    <n v="44"/>
    <d v="2023-07-06T19:21:20"/>
    <s v="Y"/>
    <s v="Preparation - other"/>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59"/>
    <d v="2023-07-06T19:21:20"/>
    <s v="Y"/>
    <s v="Preparation - drafting bill/claim f"/>
    <s v="Prescribed Hourly Rates"/>
    <s v="Profit Cost"/>
    <s v="TC"/>
    <s v="Y"/>
    <n v="197.64"/>
    <n v="39.53"/>
    <x v="4"/>
    <s v="VALIDATED"/>
    <n v="1"/>
    <s v="01.11.80.307.6100.0000"/>
    <n v="197.64"/>
    <s v="11"/>
    <s v="6100"/>
    <n v="10392.41"/>
    <n v="197.64"/>
    <s v="CREDITOR"/>
    <n v="0"/>
    <n v="0"/>
    <n v="0"/>
    <n v="0"/>
    <n v="197.64"/>
  </r>
  <r>
    <n v="54266914"/>
    <s v="N"/>
    <n v="21338333"/>
    <s v="3000012940890006"/>
    <s v="CIVIL"/>
    <d v="2023-06-28T00:00:00"/>
    <d v="2023-07-06T19:21:01"/>
    <m/>
    <d v="2023-07-06T00:00:00"/>
    <n v="1132"/>
    <n v="2858"/>
    <s v="54266914"/>
    <s v="54266914"/>
    <m/>
    <m/>
    <n v="22779636"/>
    <m/>
    <m/>
    <m/>
    <s v="SOLFIN"/>
    <s v="SOLFIN"/>
    <s v="CCMS"/>
    <n v="21338333"/>
    <n v="7238.01"/>
    <m/>
    <s v="N"/>
    <n v="63"/>
    <d v="2023-07-06T19:21:20"/>
    <s v="Y"/>
    <s v="Preparation - drafting attendance n"/>
    <s v="Prescribed Hourly Rates"/>
    <s v="Profit Cost"/>
    <s v="VJ"/>
    <s v="Y"/>
    <n v="18.94"/>
    <n v="3.79"/>
    <x v="4"/>
    <s v="VALIDATED"/>
    <n v="1"/>
    <s v="01.11.80.307.6100.0000"/>
    <n v="18.94"/>
    <s v="11"/>
    <s v="6100"/>
    <n v="10392.41"/>
    <n v="18.94"/>
    <s v="CREDITOR"/>
    <n v="0"/>
    <n v="0"/>
    <n v="0"/>
    <n v="0"/>
    <n v="18.94"/>
  </r>
  <r>
    <n v="9303946"/>
    <s v="N"/>
    <n v="21330930"/>
    <s v="3000005275240004"/>
    <s v="CIVIL"/>
    <d v="2023-06-27T00:00:00"/>
    <d v="2023-07-05T19:01:47"/>
    <m/>
    <d v="2023-07-05T00:00:00"/>
    <n v="1132"/>
    <n v="2858"/>
    <s v="9303946"/>
    <s v="9303946"/>
    <m/>
    <m/>
    <n v="22774034"/>
    <m/>
    <m/>
    <m/>
    <s v="SOLFIN"/>
    <s v="SOLFIN"/>
    <s v="CCMS"/>
    <n v="21330930"/>
    <n v="1806.47"/>
    <m/>
    <s v="N"/>
    <n v="18"/>
    <d v="2023-07-05T19:01:57"/>
    <s v="Y"/>
    <s v="Preparation - other"/>
    <s v="Prescribed Hourly Rates"/>
    <s v="Profit Cost"/>
    <s v="JF"/>
    <s v="Y"/>
    <n v="12.63"/>
    <n v="2.53"/>
    <x v="6"/>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55"/>
    <d v="2023-07-06T19:21:20"/>
    <s v="Y"/>
    <s v="Preparation - other"/>
    <s v="Prescribed Hourly Rates"/>
    <s v="Profit Cost"/>
    <s v="VJ"/>
    <s v="Y"/>
    <n v="12.63"/>
    <n v="2.53"/>
    <x v="4"/>
    <s v="VALIDATED"/>
    <n v="1"/>
    <s v="01.11.80.307.6100.0000"/>
    <n v="12.63"/>
    <s v="11"/>
    <s v="6100"/>
    <n v="10392.41"/>
    <n v="12.63"/>
    <s v="CREDITOR"/>
    <n v="0"/>
    <n v="0"/>
    <n v="0"/>
    <n v="0"/>
    <n v="12.63"/>
  </r>
  <r>
    <n v="9303946"/>
    <s v="N"/>
    <n v="21330930"/>
    <s v="3000005275240004"/>
    <s v="CIVIL"/>
    <d v="2023-06-27T00:00:00"/>
    <d v="2023-07-05T19:01:47"/>
    <m/>
    <d v="2023-07-05T00:00:00"/>
    <n v="1132"/>
    <n v="2858"/>
    <s v="9303946"/>
    <s v="9303946"/>
    <m/>
    <m/>
    <n v="22774034"/>
    <m/>
    <m/>
    <m/>
    <s v="SOLFIN"/>
    <s v="SOLFIN"/>
    <s v="CCMS"/>
    <n v="21330930"/>
    <n v="1806.47"/>
    <m/>
    <s v="N"/>
    <n v="29"/>
    <d v="2023-07-05T19:01:57"/>
    <s v="Y"/>
    <s v="Routine Letter Out"/>
    <s v="Prescribed Hourly Rates"/>
    <s v="Profit Cost"/>
    <s v="JF"/>
    <s v="Y"/>
    <n v="285.66"/>
    <n v="57.14"/>
    <x v="6"/>
    <s v="VALIDATED"/>
    <n v="1"/>
    <s v="01.11.80.307.6100.0000"/>
    <n v="285.66"/>
    <s v="11"/>
    <s v="6100"/>
    <n v="10392.41"/>
    <n v="285.66"/>
    <s v="CREDITOR"/>
    <n v="0"/>
    <n v="0"/>
    <n v="0"/>
    <n v="0"/>
    <n v="285.66"/>
  </r>
  <r>
    <n v="54266914"/>
    <s v="N"/>
    <n v="21338333"/>
    <s v="3000012940890006"/>
    <s v="CIVIL"/>
    <d v="2023-06-28T00:00:00"/>
    <d v="2023-07-06T19:21:01"/>
    <m/>
    <d v="2023-07-06T00:00:00"/>
    <n v="1132"/>
    <n v="2858"/>
    <s v="54266914"/>
    <s v="54266914"/>
    <m/>
    <m/>
    <n v="22779636"/>
    <m/>
    <m/>
    <m/>
    <s v="SOLFIN"/>
    <s v="SOLFIN"/>
    <s v="CCMS"/>
    <n v="21338333"/>
    <n v="7238.01"/>
    <m/>
    <s v="N"/>
    <n v="58"/>
    <d v="2023-07-06T19:21:20"/>
    <s v="Y"/>
    <s v="Preparation - other"/>
    <s v="Prescribed Hourly Rates"/>
    <s v="Profit Cost"/>
    <s v="VJ"/>
    <s v="Y"/>
    <n v="6.31"/>
    <n v="1.26"/>
    <x v="4"/>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65"/>
    <d v="2023-07-06T19:21:20"/>
    <s v="Y"/>
    <s v="Routine Letter Out"/>
    <s v="Prescribed Hourly Rates"/>
    <s v="Profit Cost"/>
    <s v="VJ"/>
    <s v="Y"/>
    <n v="974.97"/>
    <n v="195"/>
    <x v="4"/>
    <s v="VALIDATED"/>
    <n v="1"/>
    <s v="01.11.80.307.6100.0000"/>
    <n v="974.97"/>
    <s v="11"/>
    <s v="6100"/>
    <n v="10392.41"/>
    <n v="974.97"/>
    <s v="CREDITOR"/>
    <n v="0"/>
    <n v="0"/>
    <n v="0"/>
    <n v="0"/>
    <n v="974.97"/>
  </r>
  <r>
    <n v="61704548"/>
    <s v="N"/>
    <n v="21319864"/>
    <s v="3000015768370011"/>
    <s v="CIVIL"/>
    <d v="2023-06-27T00:00:00"/>
    <d v="2023-07-03T19:04:24"/>
    <m/>
    <d v="2023-07-03T00:00:00"/>
    <n v="1132"/>
    <n v="2858"/>
    <s v="61704548"/>
    <s v="61704548"/>
    <m/>
    <m/>
    <n v="22771748"/>
    <m/>
    <m/>
    <m/>
    <s v="SOLPOA"/>
    <s v="SOLPOA"/>
    <s v="CCMS"/>
    <n v="21319864"/>
    <n v="167"/>
    <m/>
    <s v="N"/>
    <n v="1"/>
    <d v="2023-07-03T19:04:28"/>
    <s v="N"/>
    <s v="Non Expert Disbursement"/>
    <s v="Non Expert Disbursement"/>
    <s v="Non Expert Disbursement"/>
    <s v="Victoria Jones"/>
    <s v="N"/>
    <n v="167"/>
    <n v="0"/>
    <x v="3"/>
    <s v="VALIDATED"/>
    <n v="1"/>
    <s v="01.11.80.307.2012.0000"/>
    <n v="167"/>
    <s v="11"/>
    <s v="2012"/>
    <n v="10392.41"/>
    <n v="167"/>
    <s v="CREDITOR"/>
    <n v="167"/>
    <n v="0"/>
    <n v="0"/>
    <n v="0"/>
    <n v="0"/>
  </r>
  <r>
    <n v="54266914"/>
    <s v="N"/>
    <n v="21338333"/>
    <s v="3000012940890006"/>
    <s v="CIVIL"/>
    <d v="2023-06-28T00:00:00"/>
    <d v="2023-07-06T19:21:01"/>
    <m/>
    <d v="2023-07-06T00:00:00"/>
    <n v="1132"/>
    <n v="2858"/>
    <s v="54266914"/>
    <s v="54266914"/>
    <m/>
    <m/>
    <n v="22779636"/>
    <m/>
    <m/>
    <m/>
    <s v="SOLFIN"/>
    <s v="SOLFIN"/>
    <s v="CCMS"/>
    <n v="21338333"/>
    <n v="7238.01"/>
    <m/>
    <s v="N"/>
    <n v="11"/>
    <d v="2023-07-06T19:21:20"/>
    <s v="Y"/>
    <s v="Exceptional Travel"/>
    <s v="Private Law Children"/>
    <s v="Advocacy"/>
    <s v="VJ"/>
    <s v="Y"/>
    <n v="32.04"/>
    <n v="6.41"/>
    <x v="4"/>
    <s v="VALIDATED"/>
    <n v="1"/>
    <s v="01.11.80.307.6100.0000"/>
    <n v="32.04"/>
    <s v="11"/>
    <s v="6100"/>
    <n v="10392.41"/>
    <n v="32.04"/>
    <s v="CREDITOR"/>
    <n v="0"/>
    <n v="0"/>
    <n v="0"/>
    <n v="0"/>
    <n v="32.04"/>
  </r>
  <r>
    <n v="54266914"/>
    <s v="N"/>
    <n v="21338333"/>
    <s v="3000012940890006"/>
    <s v="CIVIL"/>
    <d v="2023-06-28T00:00:00"/>
    <d v="2023-07-06T19:21:01"/>
    <m/>
    <d v="2023-07-06T00:00:00"/>
    <n v="1132"/>
    <n v="2858"/>
    <s v="54266914"/>
    <s v="54266914"/>
    <m/>
    <m/>
    <n v="22779636"/>
    <m/>
    <m/>
    <m/>
    <s v="SOLFIN"/>
    <s v="SOLFIN"/>
    <s v="CCMS"/>
    <n v="21338333"/>
    <n v="7238.01"/>
    <m/>
    <s v="N"/>
    <n v="39"/>
    <d v="2023-07-06T19:21:20"/>
    <s v="Y"/>
    <s v="Preparation - other"/>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49"/>
    <d v="2023-07-06T19:21:20"/>
    <s v="Y"/>
    <s v="Preparation - drafting application"/>
    <s v="Prescribed Hourly Rates"/>
    <s v="Profit Cost"/>
    <s v="VJ"/>
    <s v="Y"/>
    <n v="18.94"/>
    <n v="3.79"/>
    <x v="4"/>
    <s v="VALIDATED"/>
    <n v="1"/>
    <s v="01.11.80.307.6100.0000"/>
    <n v="18.94"/>
    <s v="11"/>
    <s v="6100"/>
    <n v="10392.41"/>
    <n v="18.94"/>
    <s v="CREDITOR"/>
    <n v="0"/>
    <n v="0"/>
    <n v="0"/>
    <n v="0"/>
    <n v="18.94"/>
  </r>
  <r>
    <n v="54266914"/>
    <s v="N"/>
    <n v="21338333"/>
    <s v="3000012940890006"/>
    <s v="CIVIL"/>
    <d v="2023-06-28T00:00:00"/>
    <d v="2023-07-06T19:21:01"/>
    <m/>
    <d v="2023-07-06T00:00:00"/>
    <n v="1132"/>
    <n v="2858"/>
    <s v="54266914"/>
    <s v="54266914"/>
    <m/>
    <m/>
    <n v="22779636"/>
    <m/>
    <m/>
    <m/>
    <s v="SOLFIN"/>
    <s v="SOLFIN"/>
    <s v="CCMS"/>
    <n v="21338333"/>
    <n v="7238.01"/>
    <m/>
    <s v="N"/>
    <n v="1"/>
    <d v="2023-07-06T19:21:20"/>
    <s v="Y"/>
    <s v="Court Fee"/>
    <s v="Prescribed Hourly Rates"/>
    <s v="Non Expert Disbursement"/>
    <s v="XXX"/>
    <s v="Y"/>
    <n v="155"/>
    <n v="0"/>
    <x v="4"/>
    <s v="VALIDATED"/>
    <n v="1"/>
    <s v="01.11.80.307.6300.0000"/>
    <n v="155"/>
    <s v="11"/>
    <s v="6300"/>
    <n v="10392.41"/>
    <n v="155"/>
    <s v="CREDITOR"/>
    <n v="0"/>
    <n v="0"/>
    <n v="0"/>
    <n v="0"/>
    <n v="155"/>
  </r>
  <r>
    <n v="54266914"/>
    <s v="N"/>
    <n v="21338333"/>
    <s v="3000012940890006"/>
    <s v="CIVIL"/>
    <d v="2023-06-28T00:00:00"/>
    <d v="2023-07-06T19:21:01"/>
    <m/>
    <d v="2023-07-06T00:00:00"/>
    <n v="1132"/>
    <n v="2858"/>
    <s v="54266914"/>
    <s v="54266914"/>
    <m/>
    <m/>
    <n v="22779636"/>
    <m/>
    <m/>
    <m/>
    <s v="SOLFIN"/>
    <s v="SOLFIN"/>
    <s v="CCMS"/>
    <n v="21338333"/>
    <n v="7238.01"/>
    <m/>
    <s v="N"/>
    <n v="25"/>
    <d v="2023-07-06T19:21:20"/>
    <s v="Y"/>
    <s v="Preparation - other"/>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50"/>
    <d v="2023-07-06T19:21:20"/>
    <s v="Y"/>
    <s v="Preparation - other"/>
    <s v="Prescribed Hourly Rates"/>
    <s v="Profit Cost"/>
    <s v="VJ"/>
    <s v="Y"/>
    <n v="37.88"/>
    <n v="7.58"/>
    <x v="4"/>
    <s v="VALIDATED"/>
    <n v="1"/>
    <s v="01.11.80.307.6100.0000"/>
    <n v="37.88"/>
    <s v="11"/>
    <s v="6100"/>
    <n v="10392.41"/>
    <n v="37.88"/>
    <s v="CREDITOR"/>
    <n v="0"/>
    <n v="0"/>
    <n v="0"/>
    <n v="0"/>
    <n v="37.88"/>
  </r>
  <r>
    <n v="54266914"/>
    <s v="N"/>
    <n v="21338333"/>
    <s v="3000012940890006"/>
    <s v="CIVIL"/>
    <d v="2023-06-28T00:00:00"/>
    <d v="2023-07-06T19:21:01"/>
    <m/>
    <d v="2023-07-06T00:00:00"/>
    <n v="1132"/>
    <n v="2858"/>
    <s v="54266914"/>
    <s v="54266914"/>
    <m/>
    <m/>
    <n v="22779636"/>
    <m/>
    <m/>
    <m/>
    <s v="SOLFIN"/>
    <s v="SOLFIN"/>
    <s v="CCMS"/>
    <n v="21338333"/>
    <n v="7238.01"/>
    <m/>
    <s v="N"/>
    <n v="5"/>
    <d v="2023-07-06T19:21:20"/>
    <s v="Y"/>
    <s v="Toxicologist"/>
    <s v="Prescribed Hourly Rates"/>
    <s v="Expert Disbursement"/>
    <s v="XXX"/>
    <s v="Y"/>
    <n v="1516"/>
    <n v="303.19"/>
    <x v="4"/>
    <s v="VALIDATED"/>
    <n v="1"/>
    <s v="01.11.80.307.6300.0000"/>
    <n v="1516"/>
    <s v="11"/>
    <s v="6300"/>
    <n v="10392.41"/>
    <n v="1516"/>
    <s v="CREDITOR"/>
    <n v="0"/>
    <n v="0"/>
    <n v="0"/>
    <n v="0"/>
    <n v="1516"/>
  </r>
  <r>
    <n v="54266914"/>
    <s v="N"/>
    <n v="21338333"/>
    <s v="3000012940890006"/>
    <s v="CIVIL"/>
    <d v="2023-06-28T00:00:00"/>
    <d v="2023-07-06T19:21:01"/>
    <m/>
    <d v="2023-07-06T00:00:00"/>
    <n v="1132"/>
    <n v="2858"/>
    <s v="54266914"/>
    <s v="54266914"/>
    <m/>
    <m/>
    <n v="22779636"/>
    <m/>
    <m/>
    <m/>
    <s v="SOLFIN"/>
    <s v="SOLFIN"/>
    <s v="CCMS"/>
    <n v="21338333"/>
    <n v="7238.01"/>
    <m/>
    <s v="N"/>
    <n v="4"/>
    <d v="2023-07-06T19:21:20"/>
    <s v="Y"/>
    <s v="DNA - test of sample"/>
    <s v="Prescribed Hourly Rates"/>
    <s v="Expert Disbursement"/>
    <s v="XXX"/>
    <s v="Y"/>
    <n v="237"/>
    <n v="47.4"/>
    <x v="4"/>
    <s v="VALIDATED"/>
    <n v="1"/>
    <s v="01.11.80.307.6300.0000"/>
    <n v="237"/>
    <s v="11"/>
    <s v="6300"/>
    <n v="10392.41"/>
    <n v="237"/>
    <s v="CREDITOR"/>
    <n v="0"/>
    <n v="0"/>
    <n v="0"/>
    <n v="0"/>
    <n v="237"/>
  </r>
  <r>
    <n v="54266914"/>
    <s v="N"/>
    <n v="21338333"/>
    <s v="3000012940890006"/>
    <s v="CIVIL"/>
    <d v="2023-06-28T00:00:00"/>
    <d v="2023-07-06T19:21:01"/>
    <m/>
    <d v="2023-07-06T00:00:00"/>
    <n v="1132"/>
    <n v="2858"/>
    <s v="54266914"/>
    <s v="54266914"/>
    <m/>
    <m/>
    <n v="22779636"/>
    <m/>
    <m/>
    <m/>
    <s v="SOLFIN"/>
    <s v="SOLFIN"/>
    <s v="CCMS"/>
    <n v="21338333"/>
    <n v="7238.01"/>
    <m/>
    <s v="N"/>
    <n v="18"/>
    <d v="2023-07-06T19:21:20"/>
    <s v="Y"/>
    <s v="Preparation - other"/>
    <s v="Prescribed Hourly Rates"/>
    <s v="Profit Cost"/>
    <s v="VJ"/>
    <s v="Y"/>
    <n v="6.31"/>
    <n v="1.26"/>
    <x v="4"/>
    <s v="VALIDATED"/>
    <n v="1"/>
    <s v="01.11.80.307.6100.0000"/>
    <n v="6.31"/>
    <s v="11"/>
    <s v="6100"/>
    <n v="10392.41"/>
    <n v="6.31"/>
    <s v="CREDITOR"/>
    <n v="0"/>
    <n v="0"/>
    <n v="0"/>
    <n v="0"/>
    <n v="6.31"/>
  </r>
  <r>
    <n v="9303946"/>
    <s v="N"/>
    <n v="21330930"/>
    <s v="3000005275240004"/>
    <s v="CIVIL"/>
    <d v="2023-06-27T00:00:00"/>
    <d v="2023-07-05T19:01:47"/>
    <m/>
    <d v="2023-07-05T00:00:00"/>
    <n v="1132"/>
    <n v="2858"/>
    <s v="9303946"/>
    <s v="9303946"/>
    <m/>
    <m/>
    <n v="22774034"/>
    <m/>
    <m/>
    <m/>
    <s v="SOLFIN"/>
    <s v="SOLFIN"/>
    <s v="CCMS"/>
    <n v="21330930"/>
    <n v="1806.47"/>
    <m/>
    <s v="N"/>
    <n v="25"/>
    <d v="2023-07-05T19:01:57"/>
    <s v="Y"/>
    <s v="Preparation - drafting bill/claim f"/>
    <s v="Prescribed Hourly Rates"/>
    <s v="Profit Cost"/>
    <s v="CD"/>
    <s v="Y"/>
    <n v="87.84"/>
    <n v="17.57"/>
    <x v="6"/>
    <s v="VALIDATED"/>
    <n v="1"/>
    <s v="01.11.80.307.6100.0000"/>
    <n v="87.84"/>
    <s v="11"/>
    <s v="6100"/>
    <n v="10392.41"/>
    <n v="87.84"/>
    <s v="CREDITOR"/>
    <n v="0"/>
    <n v="0"/>
    <n v="0"/>
    <n v="0"/>
    <n v="87.84"/>
  </r>
  <r>
    <n v="54266914"/>
    <s v="N"/>
    <n v="21338333"/>
    <s v="3000012940890006"/>
    <s v="CIVIL"/>
    <d v="2023-06-28T00:00:00"/>
    <d v="2023-07-06T19:21:01"/>
    <m/>
    <d v="2023-07-06T00:00:00"/>
    <n v="1132"/>
    <n v="2858"/>
    <s v="54266914"/>
    <s v="54266914"/>
    <m/>
    <m/>
    <n v="22779636"/>
    <m/>
    <m/>
    <m/>
    <s v="SOLFIN"/>
    <s v="SOLFIN"/>
    <s v="CCMS"/>
    <n v="21338333"/>
    <n v="7238.01"/>
    <m/>
    <s v="N"/>
    <n v="13"/>
    <d v="2023-07-06T19:21:20"/>
    <s v="N"/>
    <s v="Preparation - other"/>
    <s v="Prescribed Hourly Rates"/>
    <s v="Profit Cost"/>
    <s v="VJ"/>
    <s v="N"/>
    <n v="0"/>
    <n v="0"/>
    <x v="4"/>
    <s v="VALIDATED"/>
    <n v="1"/>
    <s v="01.11.80.307.6100.0000"/>
    <n v="0"/>
    <s v="11"/>
    <s v="6100"/>
    <n v="10392.41"/>
    <n v="0"/>
    <s v="CREDITOR"/>
    <n v="0"/>
    <n v="0"/>
    <n v="0"/>
    <n v="0"/>
    <n v="0"/>
  </r>
  <r>
    <n v="9303946"/>
    <s v="N"/>
    <n v="21330930"/>
    <s v="3000005275240004"/>
    <s v="CIVIL"/>
    <d v="2023-06-27T00:00:00"/>
    <d v="2023-07-05T19:01:47"/>
    <m/>
    <d v="2023-07-05T00:00:00"/>
    <n v="1132"/>
    <n v="2858"/>
    <s v="9303946"/>
    <s v="9303946"/>
    <m/>
    <m/>
    <n v="22774034"/>
    <m/>
    <m/>
    <m/>
    <s v="SOLFIN"/>
    <s v="SOLFIN"/>
    <s v="CCMS"/>
    <n v="21330930"/>
    <n v="1806.47"/>
    <m/>
    <s v="N"/>
    <n v="12"/>
    <d v="2023-07-05T19:01:57"/>
    <s v="Y"/>
    <s v="Attendance upon client"/>
    <s v="Prescribed Hourly Rates"/>
    <s v="Profit Cost"/>
    <s v="JF"/>
    <s v="Y"/>
    <n v="12.63"/>
    <n v="2.53"/>
    <x v="6"/>
    <s v="VALIDATED"/>
    <n v="1"/>
    <s v="01.11.80.307.6100.0000"/>
    <n v="12.63"/>
    <s v="11"/>
    <s v="6100"/>
    <n v="10392.41"/>
    <n v="12.63"/>
    <s v="CREDITOR"/>
    <n v="0"/>
    <n v="0"/>
    <n v="0"/>
    <n v="0"/>
    <n v="12.63"/>
  </r>
  <r>
    <n v="62136171"/>
    <s v="N"/>
    <n v="21322526"/>
    <s v="3000016157940001"/>
    <s v="CIVIL"/>
    <d v="2023-06-29T00:00:00"/>
    <d v="2023-07-03T19:05:36"/>
    <m/>
    <d v="2023-07-03T00:00:00"/>
    <n v="1132"/>
    <n v="2858"/>
    <s v="62136171"/>
    <s v="62136171"/>
    <m/>
    <m/>
    <n v="22792252"/>
    <m/>
    <m/>
    <m/>
    <s v="SOLPOA"/>
    <s v="SOLPOA"/>
    <s v="CCMS"/>
    <n v="21322526"/>
    <n v="2275.2"/>
    <m/>
    <s v="N"/>
    <n v="1"/>
    <d v="2023-07-03T19:05:38"/>
    <s v="N"/>
    <s v="Solicitors Fixed Fee"/>
    <s v="Public Law Children"/>
    <s v="Profit Cost"/>
    <s v="vfj"/>
    <s v="N"/>
    <n v="1896"/>
    <n v="379.2"/>
    <x v="3"/>
    <s v="VALIDATED"/>
    <n v="1"/>
    <s v="01.11.80.308.2012.0000"/>
    <n v="1896"/>
    <s v="11"/>
    <s v="2012"/>
    <n v="10392.41"/>
    <n v="1896"/>
    <s v="CREDITOR"/>
    <n v="1896"/>
    <n v="474"/>
    <n v="0"/>
    <n v="0"/>
    <n v="0"/>
  </r>
  <r>
    <n v="54266914"/>
    <s v="N"/>
    <n v="21338333"/>
    <s v="3000012940890006"/>
    <s v="CIVIL"/>
    <d v="2023-06-28T00:00:00"/>
    <d v="2023-07-06T19:21:01"/>
    <m/>
    <d v="2023-07-06T00:00:00"/>
    <n v="1132"/>
    <n v="2858"/>
    <s v="54266914"/>
    <s v="54266914"/>
    <m/>
    <m/>
    <n v="22779636"/>
    <m/>
    <m/>
    <m/>
    <s v="SOLFIN"/>
    <s v="SOLFIN"/>
    <s v="CCMS"/>
    <n v="21338333"/>
    <n v="7238.01"/>
    <m/>
    <s v="N"/>
    <n v="41"/>
    <d v="2023-07-06T19:21:20"/>
    <s v="Y"/>
    <s v="Attendance upon other"/>
    <s v="Prescribed Hourly Rates"/>
    <s v="Profit Cost"/>
    <s v="VJ"/>
    <s v="Y"/>
    <n v="31.57"/>
    <n v="6.31"/>
    <x v="4"/>
    <s v="VALIDATED"/>
    <n v="1"/>
    <s v="01.11.80.307.6100.0000"/>
    <n v="31.57"/>
    <s v="11"/>
    <s v="6100"/>
    <n v="10392.41"/>
    <n v="31.57"/>
    <s v="CREDITOR"/>
    <n v="0"/>
    <n v="0"/>
    <n v="0"/>
    <n v="0"/>
    <n v="31.57"/>
  </r>
  <r>
    <n v="54266914"/>
    <s v="N"/>
    <n v="21338333"/>
    <s v="3000012940890006"/>
    <s v="CIVIL"/>
    <d v="2023-06-28T00:00:00"/>
    <d v="2023-07-06T19:21:01"/>
    <m/>
    <d v="2023-07-06T00:00:00"/>
    <n v="1132"/>
    <n v="2858"/>
    <s v="54266914"/>
    <s v="54266914"/>
    <m/>
    <m/>
    <n v="22779636"/>
    <m/>
    <m/>
    <m/>
    <s v="SOLFIN"/>
    <s v="SOLFIN"/>
    <s v="CCMS"/>
    <n v="21338333"/>
    <n v="7238.01"/>
    <m/>
    <s v="N"/>
    <n v="60"/>
    <d v="2023-07-06T19:21:20"/>
    <s v="Y"/>
    <s v="Preparation - drafting bill/claim f"/>
    <s v="Prescribed Hourly Rates"/>
    <s v="Profit Cost"/>
    <s v="VJ"/>
    <s v="Y"/>
    <n v="31.57"/>
    <n v="6.31"/>
    <x v="4"/>
    <s v="VALIDATED"/>
    <n v="1"/>
    <s v="01.11.80.307.6100.0000"/>
    <n v="31.57"/>
    <s v="11"/>
    <s v="6100"/>
    <n v="10392.41"/>
    <n v="31.57"/>
    <s v="CREDITOR"/>
    <n v="0"/>
    <n v="0"/>
    <n v="0"/>
    <n v="0"/>
    <n v="31.57"/>
  </r>
  <r>
    <n v="9303946"/>
    <s v="N"/>
    <n v="21330930"/>
    <s v="3000005275240004"/>
    <s v="CIVIL"/>
    <d v="2023-06-27T00:00:00"/>
    <d v="2023-07-05T19:01:47"/>
    <m/>
    <d v="2023-07-05T00:00:00"/>
    <n v="1132"/>
    <n v="2858"/>
    <s v="9303946"/>
    <s v="9303946"/>
    <m/>
    <m/>
    <n v="22774034"/>
    <m/>
    <m/>
    <m/>
    <s v="SOLFIN"/>
    <s v="SOLFIN"/>
    <s v="CCMS"/>
    <n v="21330930"/>
    <n v="1806.47"/>
    <m/>
    <s v="N"/>
    <n v="19"/>
    <d v="2023-07-05T19:01:57"/>
    <s v="Y"/>
    <s v="Preparation - other"/>
    <s v="Prescribed Hourly Rates"/>
    <s v="Profit Cost"/>
    <s v="JF"/>
    <s v="Y"/>
    <n v="12.63"/>
    <n v="2.53"/>
    <x v="6"/>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12"/>
    <d v="2023-07-06T19:21:20"/>
    <s v="N"/>
    <s v="Level 3 &amp; Level 4 Fixed Fee"/>
    <s v="Private Law Children"/>
    <s v="Profit Cost"/>
    <s v="XXX"/>
    <s v="N"/>
    <n v="0"/>
    <n v="0"/>
    <x v="4"/>
    <s v="VALIDATED"/>
    <n v="1"/>
    <s v="01.11.80.307.6100.0000"/>
    <n v="0"/>
    <s v="11"/>
    <s v="6100"/>
    <n v="10392.41"/>
    <n v="0"/>
    <s v="CREDITOR"/>
    <n v="0"/>
    <n v="0"/>
    <n v="0"/>
    <n v="0"/>
    <n v="0"/>
  </r>
  <r>
    <n v="9303946"/>
    <s v="N"/>
    <n v="21330930"/>
    <s v="3000005275240004"/>
    <s v="CIVIL"/>
    <d v="2023-06-27T00:00:00"/>
    <d v="2023-07-05T19:01:47"/>
    <m/>
    <d v="2023-07-05T00:00:00"/>
    <n v="1132"/>
    <n v="2858"/>
    <s v="9303946"/>
    <s v="9303946"/>
    <m/>
    <m/>
    <n v="22774034"/>
    <m/>
    <m/>
    <m/>
    <s v="SOLFIN"/>
    <s v="SOLFIN"/>
    <s v="CCMS"/>
    <n v="21330930"/>
    <n v="1806.47"/>
    <m/>
    <s v="N"/>
    <n v="13"/>
    <d v="2023-07-05T19:01:57"/>
    <s v="Y"/>
    <s v="Preparation - other"/>
    <s v="Prescribed Hourly Rates"/>
    <s v="Profit Cost"/>
    <s v="JF"/>
    <s v="Y"/>
    <n v="25.25"/>
    <n v="5.05"/>
    <x v="6"/>
    <s v="VALIDATED"/>
    <n v="1"/>
    <s v="01.11.80.307.6100.0000"/>
    <n v="25.25"/>
    <s v="11"/>
    <s v="6100"/>
    <n v="10392.41"/>
    <n v="25.25"/>
    <s v="CREDITOR"/>
    <n v="0"/>
    <n v="0"/>
    <n v="0"/>
    <n v="0"/>
    <n v="25.25"/>
  </r>
  <r>
    <n v="54266914"/>
    <s v="N"/>
    <n v="21338333"/>
    <s v="3000012940890006"/>
    <s v="CIVIL"/>
    <d v="2023-06-28T00:00:00"/>
    <d v="2023-07-06T19:21:01"/>
    <m/>
    <d v="2023-07-06T00:00:00"/>
    <n v="1132"/>
    <n v="2858"/>
    <s v="54266914"/>
    <s v="54266914"/>
    <m/>
    <m/>
    <n v="22779636"/>
    <m/>
    <m/>
    <m/>
    <s v="SOLFIN"/>
    <s v="SOLFIN"/>
    <s v="CCMS"/>
    <n v="21338333"/>
    <n v="7238.01"/>
    <m/>
    <s v="N"/>
    <n v="52"/>
    <d v="2023-07-06T19:21:20"/>
    <s v="Y"/>
    <s v="Preparation - other"/>
    <s v="Prescribed Hourly Rates"/>
    <s v="Profit Cost"/>
    <s v="VJ"/>
    <s v="Y"/>
    <n v="6.31"/>
    <n v="1.26"/>
    <x v="4"/>
    <s v="VALIDATED"/>
    <n v="1"/>
    <s v="01.11.80.307.6100.0000"/>
    <n v="6.31"/>
    <s v="11"/>
    <s v="6100"/>
    <n v="10392.41"/>
    <n v="6.31"/>
    <s v="CREDITOR"/>
    <n v="0"/>
    <n v="0"/>
    <n v="0"/>
    <n v="0"/>
    <n v="6.31"/>
  </r>
  <r>
    <n v="9303946"/>
    <s v="N"/>
    <n v="21330930"/>
    <s v="3000005275240004"/>
    <s v="CIVIL"/>
    <d v="2023-06-27T00:00:00"/>
    <d v="2023-07-05T19:01:47"/>
    <m/>
    <d v="2023-07-05T00:00:00"/>
    <n v="1132"/>
    <n v="2858"/>
    <s v="9303946"/>
    <s v="9303946"/>
    <m/>
    <m/>
    <n v="22774034"/>
    <m/>
    <m/>
    <m/>
    <s v="SOLFIN"/>
    <s v="SOLFIN"/>
    <s v="CCMS"/>
    <n v="21330930"/>
    <n v="1806.47"/>
    <m/>
    <s v="N"/>
    <n v="20"/>
    <d v="2023-07-05T19:01:57"/>
    <s v="Y"/>
    <s v="Attendance upon client"/>
    <s v="Prescribed Hourly Rates"/>
    <s v="Profit Cost"/>
    <s v="JF"/>
    <s v="Y"/>
    <n v="12.63"/>
    <n v="2.53"/>
    <x v="6"/>
    <s v="VALIDATED"/>
    <n v="1"/>
    <s v="01.11.80.307.6100.0000"/>
    <n v="12.63"/>
    <s v="11"/>
    <s v="6100"/>
    <n v="10392.41"/>
    <n v="12.63"/>
    <s v="CREDITOR"/>
    <n v="0"/>
    <n v="0"/>
    <n v="0"/>
    <n v="0"/>
    <n v="12.63"/>
  </r>
  <r>
    <n v="9303946"/>
    <s v="N"/>
    <n v="21330930"/>
    <s v="3000005275240004"/>
    <s v="CIVIL"/>
    <d v="2023-06-27T00:00:00"/>
    <d v="2023-07-05T19:01:47"/>
    <m/>
    <d v="2023-07-05T00:00:00"/>
    <n v="1132"/>
    <n v="2858"/>
    <s v="9303946"/>
    <s v="9303946"/>
    <m/>
    <m/>
    <n v="22774034"/>
    <m/>
    <m/>
    <m/>
    <s v="SOLFIN"/>
    <s v="SOLFIN"/>
    <s v="CCMS"/>
    <n v="21330930"/>
    <n v="1806.47"/>
    <m/>
    <s v="N"/>
    <n v="21"/>
    <d v="2023-07-05T19:01:57"/>
    <s v="Y"/>
    <s v="Preparation - other"/>
    <s v="Prescribed Hourly Rates"/>
    <s v="Profit Cost"/>
    <s v="JF"/>
    <s v="Y"/>
    <n v="6.31"/>
    <n v="1.26"/>
    <x v="6"/>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53"/>
    <d v="2023-07-06T19:21:20"/>
    <s v="Y"/>
    <s v="Preparation - other"/>
    <s v="Prescribed Hourly Rates"/>
    <s v="Profit Cost"/>
    <s v="VJ"/>
    <s v="Y"/>
    <n v="6.31"/>
    <n v="1.26"/>
    <x v="4"/>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8"/>
    <d v="2023-07-06T19:21:20"/>
    <s v="Y"/>
    <s v="Hearing Unit 2.31 - 5.00 Hours"/>
    <s v="Private Law Children"/>
    <s v="Advocacy"/>
    <s v="EW"/>
    <s v="Y"/>
    <n v="344.8"/>
    <n v="68.95999999999999"/>
    <x v="4"/>
    <s v="VALIDATED"/>
    <n v="1"/>
    <s v="01.11.80.307.6100.0000"/>
    <n v="344.8"/>
    <s v="11"/>
    <s v="6100"/>
    <n v="10392.41"/>
    <n v="344.8"/>
    <s v="CREDITOR"/>
    <n v="0"/>
    <n v="0"/>
    <n v="0"/>
    <n v="0"/>
    <n v="344.8"/>
  </r>
  <r>
    <n v="9303946"/>
    <s v="N"/>
    <n v="21333841"/>
    <s v="3000005275240002RC"/>
    <s v="CIVIL"/>
    <d v="2023-06-27T00:00:00"/>
    <d v="2023-07-05T19:42:28"/>
    <m/>
    <d v="2023-07-05T00:00:00"/>
    <n v="1132"/>
    <n v="2858"/>
    <s v="9303946"/>
    <s v="9303946"/>
    <m/>
    <m/>
    <m/>
    <m/>
    <m/>
    <m/>
    <s v="SOLRECOUP"/>
    <s v="SOLRECOUP"/>
    <s v="POARECOUP"/>
    <n v="21333841"/>
    <n v="-1056.35"/>
    <m/>
    <s v="Y"/>
    <n v="1"/>
    <d v="2023-07-05T19:42:29"/>
    <s v="N"/>
    <m/>
    <m/>
    <s v="Profit Cost"/>
    <m/>
    <s v="N"/>
    <n v="-1056.35"/>
    <n v="0"/>
    <x v="6"/>
    <s v="VALIDATED"/>
    <n v="1"/>
    <s v="01.11.80.307.2013.0000"/>
    <n v="-1056.35"/>
    <s v="11"/>
    <s v="2013"/>
    <n v="10392.41"/>
    <n v="-1056.35"/>
    <s v="CREDITOR"/>
    <n v="0"/>
    <n v="0"/>
    <n v="-1056.35"/>
    <n v="-264.0875"/>
    <n v="0"/>
  </r>
  <r>
    <n v="9303946"/>
    <s v="N"/>
    <n v="21333841"/>
    <s v="3000005275240002RC"/>
    <s v="CIVIL"/>
    <d v="2023-06-27T00:00:00"/>
    <d v="2023-07-05T19:42:28"/>
    <m/>
    <d v="2023-07-05T00:00:00"/>
    <n v="1132"/>
    <n v="2858"/>
    <s v="9303946"/>
    <s v="9303946"/>
    <m/>
    <m/>
    <m/>
    <m/>
    <m/>
    <m/>
    <s v="SOLRECOUP"/>
    <s v="SOLRECOUP"/>
    <s v="POARECOUP"/>
    <n v="21333841"/>
    <n v="-1056.35"/>
    <m/>
    <s v="Y"/>
    <n v="2"/>
    <d v="2023-07-05T19:42:29"/>
    <s v="N"/>
    <m/>
    <m/>
    <s v="Profit Cost"/>
    <m/>
    <s v="N"/>
    <n v="0"/>
    <n v="0"/>
    <x v="6"/>
    <s v="VALIDATED"/>
    <n v="1"/>
    <s v="01.11.80.000.0000.0000"/>
    <n v="0"/>
    <s v="11"/>
    <s v="0000"/>
    <n v="10392.41"/>
    <n v="0"/>
    <s v="CREDITOR"/>
    <n v="0"/>
    <n v="0"/>
    <n v="0"/>
    <n v="0"/>
    <n v="0"/>
  </r>
  <r>
    <n v="54266914"/>
    <s v="N"/>
    <n v="21339985"/>
    <s v="3000012940890001RC"/>
    <s v="CIVIL"/>
    <d v="2023-06-28T00:00:00"/>
    <d v="2023-07-06T19:54:22"/>
    <m/>
    <d v="2023-07-06T00:00:00"/>
    <n v="1132"/>
    <n v="2858"/>
    <s v="54266914"/>
    <s v="54266914"/>
    <m/>
    <m/>
    <m/>
    <m/>
    <m/>
    <m/>
    <s v="SOLRECOUP"/>
    <s v="SOLRECOUP"/>
    <s v="POARECOUP"/>
    <n v="21339985"/>
    <n v="-338.88"/>
    <m/>
    <s v="Y"/>
    <n v="1"/>
    <d v="2023-07-06T19:54:23"/>
    <s v="N"/>
    <m/>
    <m/>
    <s v="Profit Cost"/>
    <m/>
    <s v="N"/>
    <n v="-282.4"/>
    <n v="0"/>
    <x v="4"/>
    <s v="VALIDATED"/>
    <n v="1"/>
    <s v="01.11.80.307.2013.0000"/>
    <n v="-282.4"/>
    <s v="11"/>
    <s v="2013"/>
    <n v="10392.41"/>
    <n v="-282.4"/>
    <s v="CREDITOR"/>
    <n v="0"/>
    <n v="0"/>
    <n v="-282.4"/>
    <n v="-70.59999999999999"/>
    <n v="0"/>
  </r>
  <r>
    <n v="54266914"/>
    <s v="N"/>
    <n v="21339985"/>
    <s v="3000012940890001RC"/>
    <s v="CIVIL"/>
    <d v="2023-06-28T00:00:00"/>
    <d v="2023-07-06T19:54:22"/>
    <m/>
    <d v="2023-07-06T00:00:00"/>
    <n v="1132"/>
    <n v="2858"/>
    <s v="54266914"/>
    <s v="54266914"/>
    <m/>
    <m/>
    <m/>
    <m/>
    <m/>
    <m/>
    <s v="SOLRECOUP"/>
    <s v="SOLRECOUP"/>
    <s v="POARECOUP"/>
    <n v="21339985"/>
    <n v="-338.88"/>
    <m/>
    <s v="Y"/>
    <n v="2"/>
    <d v="2023-07-06T19:54:23"/>
    <s v="N"/>
    <m/>
    <m/>
    <s v="Profit Cost"/>
    <m/>
    <s v="N"/>
    <n v="0"/>
    <n v="-56.48"/>
    <x v="4"/>
    <s v="VALIDATED"/>
    <n v="1"/>
    <s v="01.11.80.307.2013.0000"/>
    <n v="-56.48"/>
    <s v="11"/>
    <s v="2013"/>
    <n v="10392.41"/>
    <n v="-56.48"/>
    <s v="CREDITOR"/>
    <n v="0"/>
    <n v="0"/>
    <n v="-56.48"/>
    <n v="-14.12"/>
    <n v="0"/>
  </r>
  <r>
    <n v="54266914"/>
    <s v="N"/>
    <n v="21339986"/>
    <s v="3000012940890003RC"/>
    <s v="CIVIL"/>
    <d v="2023-06-28T00:00:00"/>
    <d v="2023-07-06T19:54:22"/>
    <m/>
    <d v="2023-07-06T00:00:00"/>
    <n v="1132"/>
    <n v="2858"/>
    <s v="54266914"/>
    <s v="54266914"/>
    <m/>
    <m/>
    <m/>
    <m/>
    <m/>
    <m/>
    <s v="SOLRECOUP"/>
    <s v="SOLRECOUP"/>
    <s v="POARECOUP"/>
    <n v="21339986"/>
    <n v="-284.4"/>
    <m/>
    <s v="Y"/>
    <n v="1"/>
    <d v="2023-07-06T19:54:23"/>
    <s v="N"/>
    <m/>
    <m/>
    <s v="Expert Disbursement"/>
    <m/>
    <s v="N"/>
    <n v="-284.4"/>
    <n v="0"/>
    <x v="4"/>
    <s v="VALIDATED"/>
    <n v="1"/>
    <s v="01.11.80.307.2013.0000"/>
    <n v="-284.4"/>
    <s v="11"/>
    <s v="2013"/>
    <n v="10392.41"/>
    <n v="-284.4"/>
    <s v="CREDITOR"/>
    <n v="0"/>
    <n v="0"/>
    <n v="-284.4"/>
    <n v="0"/>
    <n v="0"/>
  </r>
  <r>
    <n v="54266914"/>
    <s v="N"/>
    <n v="21339986"/>
    <s v="3000012940890003RC"/>
    <s v="CIVIL"/>
    <d v="2023-06-28T00:00:00"/>
    <d v="2023-07-06T19:54:22"/>
    <m/>
    <d v="2023-07-06T00:00:00"/>
    <n v="1132"/>
    <n v="2858"/>
    <s v="54266914"/>
    <s v="54266914"/>
    <m/>
    <m/>
    <m/>
    <m/>
    <m/>
    <m/>
    <s v="SOLRECOUP"/>
    <s v="SOLRECOUP"/>
    <s v="POARECOUP"/>
    <n v="21339986"/>
    <n v="-284.4"/>
    <m/>
    <s v="Y"/>
    <n v="2"/>
    <d v="2023-07-06T19:54:23"/>
    <s v="N"/>
    <m/>
    <m/>
    <s v="Expert Disbursement"/>
    <m/>
    <s v="N"/>
    <n v="0"/>
    <n v="0"/>
    <x v="4"/>
    <s v="VALIDATED"/>
    <n v="1"/>
    <s v="01.11.80.000.0000.0000"/>
    <n v="0"/>
    <s v="11"/>
    <s v="0000"/>
    <n v="10392.41"/>
    <n v="0"/>
    <s v="CREDITOR"/>
    <n v="0"/>
    <n v="0"/>
    <n v="0"/>
    <n v="0"/>
    <n v="0"/>
  </r>
  <r>
    <n v="54266914"/>
    <s v="N"/>
    <n v="21339987"/>
    <s v="3000012940890004RC"/>
    <s v="CIVIL"/>
    <d v="2023-06-28T00:00:00"/>
    <d v="2023-07-06T19:54:22"/>
    <m/>
    <d v="2023-07-06T00:00:00"/>
    <n v="1132"/>
    <n v="2858"/>
    <s v="54266914"/>
    <s v="54266914"/>
    <m/>
    <m/>
    <m/>
    <m/>
    <m/>
    <m/>
    <s v="SOLRECOUP"/>
    <s v="SOLRECOUP"/>
    <s v="POARECOUP"/>
    <n v="21339987"/>
    <n v="-1819.2"/>
    <m/>
    <s v="Y"/>
    <n v="1"/>
    <d v="2023-07-06T19:54:23"/>
    <s v="N"/>
    <m/>
    <m/>
    <s v="Expert Disbursement"/>
    <m/>
    <s v="N"/>
    <n v="-1819.2"/>
    <n v="0"/>
    <x v="4"/>
    <s v="VALIDATED"/>
    <n v="1"/>
    <s v="01.11.80.307.2013.0000"/>
    <n v="-1819.2"/>
    <s v="11"/>
    <s v="2013"/>
    <n v="10392.41"/>
    <n v="-1819.2"/>
    <s v="CREDITOR"/>
    <n v="0"/>
    <n v="0"/>
    <n v="-1819.2"/>
    <n v="0"/>
    <n v="0"/>
  </r>
  <r>
    <n v="54266914"/>
    <s v="N"/>
    <n v="21339987"/>
    <s v="3000012940890004RC"/>
    <s v="CIVIL"/>
    <d v="2023-06-28T00:00:00"/>
    <d v="2023-07-06T19:54:22"/>
    <m/>
    <d v="2023-07-06T00:00:00"/>
    <n v="1132"/>
    <n v="2858"/>
    <s v="54266914"/>
    <s v="54266914"/>
    <m/>
    <m/>
    <m/>
    <m/>
    <m/>
    <m/>
    <s v="SOLRECOUP"/>
    <s v="SOLRECOUP"/>
    <s v="POARECOUP"/>
    <n v="21339987"/>
    <n v="-1819.2"/>
    <m/>
    <s v="Y"/>
    <n v="2"/>
    <d v="2023-07-06T19:54:23"/>
    <s v="N"/>
    <m/>
    <m/>
    <s v="Expert Disbursement"/>
    <m/>
    <s v="N"/>
    <n v="0"/>
    <n v="0"/>
    <x v="4"/>
    <s v="VALIDATED"/>
    <n v="1"/>
    <s v="01.11.80.000.0000.0000"/>
    <n v="0"/>
    <s v="11"/>
    <s v="0000"/>
    <n v="10392.41"/>
    <n v="0"/>
    <s v="CREDITOR"/>
    <n v="0"/>
    <n v="0"/>
    <n v="0"/>
    <n v="0"/>
    <n v="0"/>
  </r>
  <r>
    <n v="54266914"/>
    <s v="N"/>
    <n v="21339988"/>
    <s v="3000012940890005RC"/>
    <s v="CIVIL"/>
    <d v="2023-06-28T00:00:00"/>
    <d v="2023-07-06T19:54:22"/>
    <m/>
    <d v="2023-07-06T00:00:00"/>
    <n v="1132"/>
    <n v="2858"/>
    <s v="54266914"/>
    <s v="54266914"/>
    <m/>
    <m/>
    <m/>
    <m/>
    <m/>
    <m/>
    <s v="SOLRECOUP"/>
    <s v="SOLRECOUP"/>
    <s v="POARECOUP"/>
    <n v="21339988"/>
    <n v="-29.16"/>
    <m/>
    <s v="Y"/>
    <n v="1"/>
    <d v="2023-07-06T19:54:23"/>
    <s v="N"/>
    <m/>
    <m/>
    <s v="Non Expert Disbursement"/>
    <m/>
    <s v="N"/>
    <n v="-29.16"/>
    <n v="0"/>
    <x v="4"/>
    <s v="VALIDATED"/>
    <n v="1"/>
    <s v="01.11.80.307.2013.0000"/>
    <n v="-29.16"/>
    <s v="11"/>
    <s v="2013"/>
    <n v="10392.41"/>
    <n v="-29.16"/>
    <s v="CREDITOR"/>
    <n v="0"/>
    <n v="0"/>
    <n v="-29.16"/>
    <n v="0"/>
    <n v="0"/>
  </r>
  <r>
    <n v="54266914"/>
    <s v="N"/>
    <n v="21339988"/>
    <s v="3000012940890005RC"/>
    <s v="CIVIL"/>
    <d v="2023-06-28T00:00:00"/>
    <d v="2023-07-06T19:54:22"/>
    <m/>
    <d v="2023-07-06T00:00:00"/>
    <n v="1132"/>
    <n v="2858"/>
    <s v="54266914"/>
    <s v="54266914"/>
    <m/>
    <m/>
    <m/>
    <m/>
    <m/>
    <m/>
    <s v="SOLRECOUP"/>
    <s v="SOLRECOUP"/>
    <s v="POARECOUP"/>
    <n v="21339988"/>
    <n v="-29.16"/>
    <m/>
    <s v="Y"/>
    <n v="2"/>
    <d v="2023-07-06T19:54:23"/>
    <s v="N"/>
    <m/>
    <m/>
    <s v="Non Expert Disbursement"/>
    <m/>
    <s v="N"/>
    <n v="0"/>
    <n v="0"/>
    <x v="4"/>
    <s v="VALIDATED"/>
    <n v="1"/>
    <s v="01.11.80.000.0000.0000"/>
    <n v="0"/>
    <s v="11"/>
    <s v="0000"/>
    <n v="10392.41"/>
    <n v="0"/>
    <s v="CREDITOR"/>
    <n v="0"/>
    <n v="0"/>
    <n v="0"/>
    <n v="0"/>
    <n v="0"/>
  </r>
  <r>
    <n v="61985265"/>
    <s v="N"/>
    <n v="21323198"/>
    <s v="3000016029350001"/>
    <s v="CIVIL"/>
    <d v="2023-06-30T00:00:00"/>
    <d v="2023-07-03T19:05:56"/>
    <m/>
    <d v="2023-07-03T00:00:00"/>
    <n v="1132"/>
    <n v="2858"/>
    <s v="61985265"/>
    <s v="61985265"/>
    <m/>
    <m/>
    <n v="22797768"/>
    <m/>
    <m/>
    <m/>
    <s v="SOLPOA"/>
    <s v="SOLPOA"/>
    <s v="CCMS"/>
    <n v="21323198"/>
    <n v="2275.2"/>
    <m/>
    <s v="N"/>
    <n v="1"/>
    <d v="2023-07-03T19:05:56"/>
    <s v="N"/>
    <s v="Solicitors Fixed Fee"/>
    <s v="Public Law Children"/>
    <s v="Profit Cost"/>
    <s v="vfj"/>
    <s v="N"/>
    <n v="1896"/>
    <n v="379.2"/>
    <x v="3"/>
    <s v="VALIDATED"/>
    <n v="1"/>
    <s v="01.11.80.308.2012.0000"/>
    <n v="1896"/>
    <s v="11"/>
    <s v="2012"/>
    <n v="10392.41"/>
    <n v="1896"/>
    <s v="CREDITOR"/>
    <n v="1896"/>
    <n v="474"/>
    <n v="0"/>
    <n v="0"/>
    <n v="0"/>
  </r>
  <r>
    <n v="54266914"/>
    <s v="N"/>
    <n v="21338333"/>
    <s v="3000012940890006"/>
    <s v="CIVIL"/>
    <d v="2023-06-28T00:00:00"/>
    <d v="2023-07-06T19:21:01"/>
    <m/>
    <d v="2023-07-06T00:00:00"/>
    <n v="1132"/>
    <n v="2858"/>
    <s v="54266914"/>
    <s v="54266914"/>
    <m/>
    <m/>
    <n v="22779636"/>
    <m/>
    <m/>
    <m/>
    <s v="SOLFIN"/>
    <s v="SOLFIN"/>
    <s v="CCMS"/>
    <n v="21338333"/>
    <n v="7238.01"/>
    <m/>
    <s v="N"/>
    <n v="21"/>
    <d v="2023-07-06T19:21:20"/>
    <s v="Y"/>
    <s v="Preparation - drafting application"/>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47"/>
    <d v="2023-07-06T19:21:20"/>
    <s v="Y"/>
    <s v="Attendance upon client"/>
    <s v="Prescribed Hourly Rates"/>
    <s v="Profit Cost"/>
    <s v="VJ"/>
    <s v="Y"/>
    <n v="18.94"/>
    <n v="3.79"/>
    <x v="4"/>
    <s v="VALIDATED"/>
    <n v="1"/>
    <s v="01.11.80.307.6100.0000"/>
    <n v="18.94"/>
    <s v="11"/>
    <s v="6100"/>
    <n v="10392.41"/>
    <n v="18.94"/>
    <s v="CREDITOR"/>
    <n v="0"/>
    <n v="0"/>
    <n v="0"/>
    <n v="0"/>
    <n v="18.94"/>
  </r>
  <r>
    <n v="9303946"/>
    <s v="N"/>
    <n v="21330930"/>
    <s v="3000005275240004"/>
    <s v="CIVIL"/>
    <d v="2023-06-27T00:00:00"/>
    <d v="2023-07-05T19:01:47"/>
    <m/>
    <d v="2023-07-05T00:00:00"/>
    <n v="1132"/>
    <n v="2858"/>
    <s v="9303946"/>
    <s v="9303946"/>
    <m/>
    <m/>
    <n v="22774034"/>
    <m/>
    <m/>
    <m/>
    <s v="SOLFIN"/>
    <s v="SOLFIN"/>
    <s v="CCMS"/>
    <n v="21330930"/>
    <n v="1806.47"/>
    <m/>
    <s v="N"/>
    <n v="27"/>
    <d v="2023-07-05T19:01:57"/>
    <s v="Y"/>
    <s v="Routine Telephone Call"/>
    <s v="Prescribed Hourly Rates"/>
    <s v="Profit Cost"/>
    <s v="JF"/>
    <s v="Y"/>
    <n v="161.46"/>
    <n v="32.3"/>
    <x v="6"/>
    <s v="VALIDATED"/>
    <n v="1"/>
    <s v="01.11.80.307.6100.0000"/>
    <n v="161.46"/>
    <s v="11"/>
    <s v="6100"/>
    <n v="10392.41"/>
    <n v="161.46"/>
    <s v="CREDITOR"/>
    <n v="0"/>
    <n v="0"/>
    <n v="0"/>
    <n v="0"/>
    <n v="161.46"/>
  </r>
  <r>
    <n v="9303946"/>
    <s v="N"/>
    <n v="21330930"/>
    <s v="3000005275240004"/>
    <s v="CIVIL"/>
    <d v="2023-06-27T00:00:00"/>
    <d v="2023-07-05T19:01:47"/>
    <m/>
    <d v="2023-07-05T00:00:00"/>
    <n v="1132"/>
    <n v="2858"/>
    <s v="9303946"/>
    <s v="9303946"/>
    <m/>
    <m/>
    <n v="22774034"/>
    <m/>
    <m/>
    <m/>
    <s v="SOLFIN"/>
    <s v="SOLFIN"/>
    <s v="CCMS"/>
    <n v="21330930"/>
    <n v="1806.47"/>
    <m/>
    <s v="N"/>
    <n v="16"/>
    <d v="2023-07-05T19:01:57"/>
    <s v="Y"/>
    <s v="Preparation - other"/>
    <s v="Prescribed Hourly Rates"/>
    <s v="Profit Cost"/>
    <s v="JF"/>
    <s v="Y"/>
    <n v="25.25"/>
    <n v="5.05"/>
    <x v="6"/>
    <s v="VALIDATED"/>
    <n v="1"/>
    <s v="01.11.80.307.6100.0000"/>
    <n v="25.25"/>
    <s v="11"/>
    <s v="6100"/>
    <n v="10392.41"/>
    <n v="25.25"/>
    <s v="CREDITOR"/>
    <n v="0"/>
    <n v="0"/>
    <n v="0"/>
    <n v="0"/>
    <n v="25.25"/>
  </r>
  <r>
    <n v="9303946"/>
    <s v="N"/>
    <n v="21330930"/>
    <s v="3000005275240004"/>
    <s v="CIVIL"/>
    <d v="2023-06-27T00:00:00"/>
    <d v="2023-07-05T19:01:47"/>
    <m/>
    <d v="2023-07-05T00:00:00"/>
    <n v="1132"/>
    <n v="2858"/>
    <s v="9303946"/>
    <s v="9303946"/>
    <m/>
    <m/>
    <n v="22774034"/>
    <m/>
    <m/>
    <m/>
    <s v="SOLFIN"/>
    <s v="SOLFIN"/>
    <s v="CCMS"/>
    <n v="21330930"/>
    <n v="1806.47"/>
    <m/>
    <s v="N"/>
    <n v="17"/>
    <d v="2023-07-05T19:01:57"/>
    <s v="Y"/>
    <s v="Preparation - drafting instructions"/>
    <s v="Prescribed Hourly Rates"/>
    <s v="Profit Cost"/>
    <s v="JF"/>
    <s v="Y"/>
    <n v="50.51"/>
    <n v="10.1"/>
    <x v="6"/>
    <s v="VALIDATED"/>
    <n v="1"/>
    <s v="01.11.80.307.6100.0000"/>
    <n v="50.51"/>
    <s v="11"/>
    <s v="6100"/>
    <n v="10392.41"/>
    <n v="50.51"/>
    <s v="CREDITOR"/>
    <n v="0"/>
    <n v="0"/>
    <n v="0"/>
    <n v="0"/>
    <n v="50.51"/>
  </r>
  <r>
    <n v="9303946"/>
    <s v="N"/>
    <n v="21330930"/>
    <s v="3000005275240004"/>
    <s v="CIVIL"/>
    <d v="2023-06-27T00:00:00"/>
    <d v="2023-07-05T19:01:47"/>
    <m/>
    <d v="2023-07-05T00:00:00"/>
    <n v="1132"/>
    <n v="2858"/>
    <s v="9303946"/>
    <s v="9303946"/>
    <m/>
    <m/>
    <n v="22774034"/>
    <m/>
    <m/>
    <m/>
    <s v="SOLFIN"/>
    <s v="SOLFIN"/>
    <s v="CCMS"/>
    <n v="21330930"/>
    <n v="1806.47"/>
    <m/>
    <s v="N"/>
    <n v="24"/>
    <d v="2023-07-05T19:01:57"/>
    <s v="Y"/>
    <s v="Preparation - other"/>
    <s v="Prescribed Hourly Rates"/>
    <s v="Profit Cost"/>
    <s v="JF"/>
    <s v="Y"/>
    <n v="12.63"/>
    <n v="2.53"/>
    <x v="6"/>
    <s v="VALIDATED"/>
    <n v="1"/>
    <s v="01.11.80.307.6100.0000"/>
    <n v="12.63"/>
    <s v="11"/>
    <s v="6100"/>
    <n v="10392.41"/>
    <n v="12.63"/>
    <s v="CREDITOR"/>
    <n v="0"/>
    <n v="0"/>
    <n v="0"/>
    <n v="0"/>
    <n v="12.63"/>
  </r>
  <r>
    <n v="9303946"/>
    <s v="N"/>
    <n v="21330930"/>
    <s v="3000005275240004"/>
    <s v="CIVIL"/>
    <d v="2023-06-27T00:00:00"/>
    <d v="2023-07-05T19:01:47"/>
    <m/>
    <d v="2023-07-05T00:00:00"/>
    <n v="1132"/>
    <n v="2858"/>
    <s v="9303946"/>
    <s v="9303946"/>
    <m/>
    <m/>
    <n v="22774034"/>
    <m/>
    <m/>
    <m/>
    <s v="SOLFIN"/>
    <s v="SOLFIN"/>
    <s v="CCMS"/>
    <n v="21330930"/>
    <n v="1806.47"/>
    <m/>
    <s v="N"/>
    <n v="4"/>
    <d v="2023-07-05T19:01:57"/>
    <s v="Y"/>
    <s v="Preparation - other"/>
    <s v="Prescribed Hourly Rates"/>
    <s v="Profit Cost"/>
    <s v="JF"/>
    <s v="Y"/>
    <n v="12.63"/>
    <n v="2.53"/>
    <x v="6"/>
    <s v="VALIDATED"/>
    <n v="1"/>
    <s v="01.11.80.307.6100.0000"/>
    <n v="12.63"/>
    <s v="11"/>
    <s v="6100"/>
    <n v="10392.41"/>
    <n v="12.63"/>
    <s v="CREDITOR"/>
    <n v="0"/>
    <n v="0"/>
    <n v="0"/>
    <n v="0"/>
    <n v="12.63"/>
  </r>
  <r>
    <n v="62056199"/>
    <s v="N"/>
    <n v="21331233"/>
    <s v="3000016090130003"/>
    <s v="CIVIL"/>
    <d v="2023-06-19T00:00:00"/>
    <d v="2023-07-05T19:01:47"/>
    <m/>
    <d v="2023-07-05T00:00:00"/>
    <n v="1132"/>
    <n v="2858"/>
    <s v="62056199"/>
    <s v="62056199"/>
    <m/>
    <m/>
    <n v="22717794"/>
    <m/>
    <m/>
    <m/>
    <s v="SOLFIN"/>
    <s v="SOLFIN"/>
    <s v="CCMS"/>
    <n v="21331233"/>
    <n v="423.6"/>
    <m/>
    <s v="N"/>
    <n v="1"/>
    <d v="2023-07-05T19:02:11"/>
    <s v="Y"/>
    <s v="Level 3 Fixed Fee"/>
    <s v="Private Law Children"/>
    <s v="Profit Cost"/>
    <s v="VFJ"/>
    <s v="Y"/>
    <n v="353"/>
    <n v="70.59999999999999"/>
    <x v="6"/>
    <s v="VALIDATED"/>
    <n v="1"/>
    <s v="01.11.80.307.6100.0000"/>
    <n v="353"/>
    <s v="11"/>
    <s v="6100"/>
    <n v="10392.41"/>
    <n v="353"/>
    <s v="CREDITOR"/>
    <n v="0"/>
    <n v="0"/>
    <n v="0"/>
    <n v="0"/>
    <n v="353"/>
  </r>
  <r>
    <n v="54266914"/>
    <s v="N"/>
    <n v="21338333"/>
    <s v="3000012940890006"/>
    <s v="CIVIL"/>
    <d v="2023-06-28T00:00:00"/>
    <d v="2023-07-06T19:21:01"/>
    <m/>
    <d v="2023-07-06T00:00:00"/>
    <n v="1132"/>
    <n v="2858"/>
    <s v="54266914"/>
    <s v="54266914"/>
    <m/>
    <m/>
    <n v="22779636"/>
    <m/>
    <m/>
    <m/>
    <s v="SOLFIN"/>
    <s v="SOLFIN"/>
    <s v="CCMS"/>
    <n v="21338333"/>
    <n v="7238.01"/>
    <m/>
    <s v="N"/>
    <n v="42"/>
    <d v="2023-07-06T19:21:20"/>
    <s v="Y"/>
    <s v="Preparation - other"/>
    <s v="Prescribed Hourly Rates"/>
    <s v="Profit Cost"/>
    <s v="VJ"/>
    <s v="Y"/>
    <n v="6.31"/>
    <n v="1.26"/>
    <x v="4"/>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46"/>
    <d v="2023-07-06T19:21:20"/>
    <s v="Y"/>
    <s v="Preparation - other"/>
    <s v="Prescribed Hourly Rates"/>
    <s v="Profit Cost"/>
    <s v="VJ"/>
    <s v="Y"/>
    <n v="50.51"/>
    <n v="10.1"/>
    <x v="4"/>
    <s v="VALIDATED"/>
    <n v="1"/>
    <s v="01.11.80.307.6100.0000"/>
    <n v="50.51"/>
    <s v="11"/>
    <s v="6100"/>
    <n v="10392.41"/>
    <n v="50.51"/>
    <s v="CREDITOR"/>
    <n v="0"/>
    <n v="0"/>
    <n v="0"/>
    <n v="0"/>
    <n v="50.51"/>
  </r>
  <r>
    <n v="54266914"/>
    <s v="N"/>
    <n v="21338333"/>
    <s v="3000012940890006"/>
    <s v="CIVIL"/>
    <d v="2023-06-28T00:00:00"/>
    <d v="2023-07-06T19:21:01"/>
    <m/>
    <d v="2023-07-06T00:00:00"/>
    <n v="1132"/>
    <n v="2858"/>
    <s v="54266914"/>
    <s v="54266914"/>
    <m/>
    <m/>
    <n v="22779636"/>
    <m/>
    <m/>
    <m/>
    <s v="SOLFIN"/>
    <s v="SOLFIN"/>
    <s v="CCMS"/>
    <n v="21338333"/>
    <n v="7238.01"/>
    <m/>
    <s v="N"/>
    <n v="20"/>
    <d v="2023-07-06T19:21:20"/>
    <s v="Y"/>
    <s v="Preparation - drafting application"/>
    <s v="Prescribed Hourly Rates"/>
    <s v="Profit Cost"/>
    <s v="VJ"/>
    <s v="Y"/>
    <n v="25.25"/>
    <n v="5.05"/>
    <x v="4"/>
    <s v="VALIDATED"/>
    <n v="1"/>
    <s v="01.11.80.307.6100.0000"/>
    <n v="25.25"/>
    <s v="11"/>
    <s v="6100"/>
    <n v="10392.41"/>
    <n v="25.25"/>
    <s v="CREDITOR"/>
    <n v="0"/>
    <n v="0"/>
    <n v="0"/>
    <n v="0"/>
    <n v="25.25"/>
  </r>
  <r>
    <n v="9303946"/>
    <s v="N"/>
    <n v="21330930"/>
    <s v="3000005275240004"/>
    <s v="CIVIL"/>
    <d v="2023-06-27T00:00:00"/>
    <d v="2023-07-05T19:01:47"/>
    <m/>
    <d v="2023-07-05T00:00:00"/>
    <n v="1132"/>
    <n v="2858"/>
    <s v="9303946"/>
    <s v="9303946"/>
    <m/>
    <m/>
    <n v="22774034"/>
    <m/>
    <m/>
    <m/>
    <s v="SOLFIN"/>
    <s v="SOLFIN"/>
    <s v="CCMS"/>
    <n v="21330930"/>
    <n v="1806.47"/>
    <m/>
    <s v="N"/>
    <n v="1"/>
    <d v="2023-07-05T19:01:57"/>
    <s v="Y"/>
    <s v="Courier"/>
    <s v="Prescribed Hourly Rates"/>
    <s v="Non Expert Disbursement"/>
    <s v="JF"/>
    <s v="Y"/>
    <n v="24.89"/>
    <n v="4.98"/>
    <x v="6"/>
    <s v="VALIDATED"/>
    <n v="1"/>
    <s v="01.11.80.307.6300.0000"/>
    <n v="24.89"/>
    <s v="11"/>
    <s v="6300"/>
    <n v="10392.41"/>
    <n v="24.89"/>
    <s v="CREDITOR"/>
    <n v="0"/>
    <n v="0"/>
    <n v="0"/>
    <n v="0"/>
    <n v="24.89"/>
  </r>
  <r>
    <n v="54266914"/>
    <s v="N"/>
    <n v="21338333"/>
    <s v="3000012940890006"/>
    <s v="CIVIL"/>
    <d v="2023-06-28T00:00:00"/>
    <d v="2023-07-06T19:21:01"/>
    <m/>
    <d v="2023-07-06T00:00:00"/>
    <n v="1132"/>
    <n v="2858"/>
    <s v="54266914"/>
    <s v="54266914"/>
    <m/>
    <m/>
    <n v="22779636"/>
    <m/>
    <m/>
    <m/>
    <s v="SOLFIN"/>
    <s v="SOLFIN"/>
    <s v="CCMS"/>
    <n v="21338333"/>
    <n v="7238.01"/>
    <m/>
    <s v="N"/>
    <n v="14"/>
    <d v="2023-07-06T19:21:20"/>
    <s v="Y"/>
    <s v="Attendance upon client"/>
    <s v="Prescribed Hourly Rates"/>
    <s v="Profit Cost"/>
    <s v="VJ"/>
    <s v="Y"/>
    <n v="50.51"/>
    <n v="10.1"/>
    <x v="4"/>
    <s v="VALIDATED"/>
    <n v="1"/>
    <s v="01.11.80.307.6100.0000"/>
    <n v="50.51"/>
    <s v="11"/>
    <s v="6100"/>
    <n v="10392.41"/>
    <n v="50.51"/>
    <s v="CREDITOR"/>
    <n v="0"/>
    <n v="0"/>
    <n v="0"/>
    <n v="0"/>
    <n v="50.51"/>
  </r>
  <r>
    <n v="54266914"/>
    <s v="N"/>
    <n v="21338333"/>
    <s v="3000012940890006"/>
    <s v="CIVIL"/>
    <d v="2023-06-28T00:00:00"/>
    <d v="2023-07-06T19:21:01"/>
    <m/>
    <d v="2023-07-06T00:00:00"/>
    <n v="1132"/>
    <n v="2858"/>
    <s v="54266914"/>
    <s v="54266914"/>
    <m/>
    <m/>
    <n v="22779636"/>
    <m/>
    <m/>
    <m/>
    <s v="SOLFIN"/>
    <s v="SOLFIN"/>
    <s v="CCMS"/>
    <n v="21338333"/>
    <n v="7238.01"/>
    <m/>
    <s v="N"/>
    <n v="24"/>
    <d v="2023-07-06T19:21:20"/>
    <s v="Y"/>
    <s v="Preparation - drafting application"/>
    <s v="Prescribed Hourly Rates"/>
    <s v="Profit Cost"/>
    <s v="VJ"/>
    <s v="Y"/>
    <n v="18.94"/>
    <n v="3.79"/>
    <x v="4"/>
    <s v="VALIDATED"/>
    <n v="1"/>
    <s v="01.11.80.307.6100.0000"/>
    <n v="18.94"/>
    <s v="11"/>
    <s v="6100"/>
    <n v="10392.41"/>
    <n v="18.94"/>
    <s v="CREDITOR"/>
    <n v="0"/>
    <n v="0"/>
    <n v="0"/>
    <n v="0"/>
    <n v="18.94"/>
  </r>
  <r>
    <n v="54266914"/>
    <s v="N"/>
    <n v="21338333"/>
    <s v="3000012940890006"/>
    <s v="CIVIL"/>
    <d v="2023-06-28T00:00:00"/>
    <d v="2023-07-06T19:21:01"/>
    <m/>
    <d v="2023-07-06T00:00:00"/>
    <n v="1132"/>
    <n v="2858"/>
    <s v="54266914"/>
    <s v="54266914"/>
    <m/>
    <m/>
    <n v="22779636"/>
    <m/>
    <m/>
    <m/>
    <s v="SOLFIN"/>
    <s v="SOLFIN"/>
    <s v="CCMS"/>
    <n v="21338333"/>
    <n v="7238.01"/>
    <m/>
    <s v="N"/>
    <n v="40"/>
    <d v="2023-07-06T19:21:20"/>
    <s v="Y"/>
    <s v="Preparation - other"/>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61"/>
    <d v="2023-07-06T19:21:20"/>
    <s v="Y"/>
    <s v="Preparation - drafting bill/claim f"/>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28"/>
    <d v="2023-07-06T19:21:20"/>
    <s v="Y"/>
    <s v="Preparation - other"/>
    <s v="Prescribed Hourly Rates"/>
    <s v="Profit Cost"/>
    <s v="VJ"/>
    <s v="Y"/>
    <n v="18.94"/>
    <n v="3.79"/>
    <x v="4"/>
    <s v="VALIDATED"/>
    <n v="1"/>
    <s v="01.11.80.307.6100.0000"/>
    <n v="18.94"/>
    <s v="11"/>
    <s v="6100"/>
    <n v="10392.41"/>
    <n v="18.94"/>
    <s v="CREDITOR"/>
    <n v="0"/>
    <n v="0"/>
    <n v="0"/>
    <n v="0"/>
    <n v="18.94"/>
  </r>
  <r>
    <n v="9303946"/>
    <s v="N"/>
    <n v="21330930"/>
    <s v="3000005275240004"/>
    <s v="CIVIL"/>
    <d v="2023-06-27T00:00:00"/>
    <d v="2023-07-05T19:01:47"/>
    <m/>
    <d v="2023-07-05T00:00:00"/>
    <n v="1132"/>
    <n v="2858"/>
    <s v="9303946"/>
    <s v="9303946"/>
    <m/>
    <m/>
    <n v="22774034"/>
    <m/>
    <m/>
    <m/>
    <s v="SOLFIN"/>
    <s v="SOLFIN"/>
    <s v="CCMS"/>
    <n v="21330930"/>
    <n v="1806.47"/>
    <m/>
    <s v="N"/>
    <n v="7"/>
    <d v="2023-07-05T19:01:57"/>
    <s v="Y"/>
    <s v="Preparation - other"/>
    <s v="Prescribed Hourly Rates"/>
    <s v="Profit Cost"/>
    <s v="JF"/>
    <s v="Y"/>
    <n v="6.31"/>
    <n v="1.26"/>
    <x v="6"/>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43"/>
    <d v="2023-07-06T19:21:20"/>
    <s v="Y"/>
    <s v="Preparation - other"/>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48"/>
    <d v="2023-07-06T19:21:20"/>
    <s v="Y"/>
    <s v="Preparation - other"/>
    <s v="Prescribed Hourly Rates"/>
    <s v="Profit Cost"/>
    <s v="VJ"/>
    <s v="Y"/>
    <n v="6.31"/>
    <n v="1.26"/>
    <x v="4"/>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62"/>
    <d v="2023-07-06T19:21:20"/>
    <s v="Y"/>
    <s v="Preparation - drafting bill/claim f"/>
    <s v="Prescribed Hourly Rates"/>
    <s v="Profit Cost"/>
    <s v="VJ"/>
    <s v="Y"/>
    <n v="25.25"/>
    <n v="5.05"/>
    <x v="4"/>
    <s v="VALIDATED"/>
    <n v="1"/>
    <s v="01.11.80.307.6100.0000"/>
    <n v="25.25"/>
    <s v="11"/>
    <s v="6100"/>
    <n v="10392.41"/>
    <n v="25.25"/>
    <s v="CREDITOR"/>
    <n v="0"/>
    <n v="0"/>
    <n v="0"/>
    <n v="0"/>
    <n v="25.25"/>
  </r>
  <r>
    <n v="9303946"/>
    <s v="N"/>
    <n v="21330930"/>
    <s v="3000005275240004"/>
    <s v="CIVIL"/>
    <d v="2023-06-27T00:00:00"/>
    <d v="2023-07-05T19:01:47"/>
    <m/>
    <d v="2023-07-05T00:00:00"/>
    <n v="1132"/>
    <n v="2858"/>
    <s v="9303946"/>
    <s v="9303946"/>
    <m/>
    <m/>
    <n v="22774034"/>
    <m/>
    <m/>
    <m/>
    <s v="SOLFIN"/>
    <s v="SOLFIN"/>
    <s v="CCMS"/>
    <n v="21330930"/>
    <n v="1806.47"/>
    <m/>
    <s v="N"/>
    <n v="9"/>
    <d v="2023-07-05T19:01:57"/>
    <s v="Y"/>
    <s v="Report - Medical report"/>
    <s v="Prescribed Hourly Rates"/>
    <s v="Profit Cost"/>
    <s v="JF"/>
    <s v="Y"/>
    <n v="315.68"/>
    <n v="63.12"/>
    <x v="6"/>
    <s v="VALIDATED"/>
    <n v="1"/>
    <s v="01.11.80.307.6100.0000"/>
    <n v="315.68"/>
    <s v="11"/>
    <s v="6100"/>
    <n v="10392.41"/>
    <n v="315.68"/>
    <s v="CREDITOR"/>
    <n v="0"/>
    <n v="0"/>
    <n v="0"/>
    <n v="0"/>
    <n v="315.68"/>
  </r>
  <r>
    <n v="54266914"/>
    <s v="N"/>
    <n v="21338333"/>
    <s v="3000012940890006"/>
    <s v="CIVIL"/>
    <d v="2023-06-28T00:00:00"/>
    <d v="2023-07-06T19:21:01"/>
    <m/>
    <d v="2023-07-06T00:00:00"/>
    <n v="1132"/>
    <n v="2858"/>
    <s v="54266914"/>
    <s v="54266914"/>
    <m/>
    <m/>
    <n v="22779636"/>
    <m/>
    <m/>
    <m/>
    <s v="SOLFIN"/>
    <s v="SOLFIN"/>
    <s v="CCMS"/>
    <n v="21338333"/>
    <n v="7238.01"/>
    <m/>
    <s v="N"/>
    <n v="36"/>
    <d v="2023-07-06T19:21:20"/>
    <s v="Y"/>
    <s v="Preparation - other"/>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54"/>
    <d v="2023-07-06T19:21:20"/>
    <s v="Y"/>
    <s v="Preparation - other"/>
    <s v="Prescribed Hourly Rates"/>
    <s v="Profit Cost"/>
    <s v="VJ"/>
    <s v="Y"/>
    <n v="18.94"/>
    <n v="3.79"/>
    <x v="4"/>
    <s v="VALIDATED"/>
    <n v="1"/>
    <s v="01.11.80.307.6100.0000"/>
    <n v="18.94"/>
    <s v="11"/>
    <s v="6100"/>
    <n v="10392.41"/>
    <n v="18.94"/>
    <s v="CREDITOR"/>
    <n v="0"/>
    <n v="0"/>
    <n v="0"/>
    <n v="0"/>
    <n v="18.94"/>
  </r>
  <r>
    <n v="9303946"/>
    <s v="N"/>
    <n v="21330930"/>
    <s v="3000005275240004"/>
    <s v="CIVIL"/>
    <d v="2023-06-27T00:00:00"/>
    <d v="2023-07-05T19:01:47"/>
    <m/>
    <d v="2023-07-05T00:00:00"/>
    <n v="1132"/>
    <n v="2858"/>
    <s v="9303946"/>
    <s v="9303946"/>
    <m/>
    <m/>
    <n v="22774034"/>
    <m/>
    <m/>
    <m/>
    <s v="SOLFIN"/>
    <s v="SOLFIN"/>
    <s v="CCMS"/>
    <n v="21330930"/>
    <n v="1806.47"/>
    <m/>
    <s v="N"/>
    <n v="31"/>
    <d v="2023-07-05T19:01:57"/>
    <s v="Y"/>
    <s v="Routine Letter In"/>
    <s v="Prescribed Hourly Rates"/>
    <s v="Profit Cost"/>
    <s v="JF"/>
    <s v="Y"/>
    <n v="183.2"/>
    <n v="36.64"/>
    <x v="6"/>
    <s v="VALIDATED"/>
    <n v="1"/>
    <s v="01.11.80.307.6100.0000"/>
    <n v="183.2"/>
    <s v="11"/>
    <s v="6100"/>
    <n v="10392.41"/>
    <n v="183.2"/>
    <s v="CREDITOR"/>
    <n v="0"/>
    <n v="0"/>
    <n v="0"/>
    <n v="0"/>
    <n v="183.2"/>
  </r>
  <r>
    <n v="54266914"/>
    <s v="N"/>
    <n v="21338333"/>
    <s v="3000012940890006"/>
    <s v="CIVIL"/>
    <d v="2023-06-28T00:00:00"/>
    <d v="2023-07-06T19:21:01"/>
    <m/>
    <d v="2023-07-06T00:00:00"/>
    <n v="1132"/>
    <n v="2858"/>
    <s v="54266914"/>
    <s v="54266914"/>
    <m/>
    <m/>
    <n v="22779636"/>
    <m/>
    <m/>
    <m/>
    <s v="SOLFIN"/>
    <s v="SOLFIN"/>
    <s v="CCMS"/>
    <n v="21338333"/>
    <n v="7238.01"/>
    <m/>
    <s v="N"/>
    <n v="64"/>
    <d v="2023-07-06T19:21:20"/>
    <s v="Y"/>
    <s v="Routine Telephone Call"/>
    <s v="Prescribed Hourly Rates"/>
    <s v="Profit Cost"/>
    <s v="VJ"/>
    <s v="Y"/>
    <n v="12.42"/>
    <n v="2.48"/>
    <x v="4"/>
    <s v="VALIDATED"/>
    <n v="1"/>
    <s v="01.11.80.307.6100.0000"/>
    <n v="12.42"/>
    <s v="11"/>
    <s v="6100"/>
    <n v="10392.41"/>
    <n v="12.42"/>
    <s v="CREDITOR"/>
    <n v="0"/>
    <n v="0"/>
    <n v="0"/>
    <n v="0"/>
    <n v="12.42"/>
  </r>
  <r>
    <n v="54266914"/>
    <s v="N"/>
    <n v="21338333"/>
    <s v="3000012940890006"/>
    <s v="CIVIL"/>
    <d v="2023-06-28T00:00:00"/>
    <d v="2023-07-06T19:21:01"/>
    <m/>
    <d v="2023-07-06T00:00:00"/>
    <n v="1132"/>
    <n v="2858"/>
    <s v="54266914"/>
    <s v="54266914"/>
    <m/>
    <m/>
    <n v="22779636"/>
    <m/>
    <m/>
    <m/>
    <s v="SOLFIN"/>
    <s v="SOLFIN"/>
    <s v="CCMS"/>
    <n v="21338333"/>
    <n v="7238.01"/>
    <m/>
    <s v="N"/>
    <n v="22"/>
    <d v="2023-07-06T19:21:20"/>
    <s v="Y"/>
    <s v="Attendance upon client"/>
    <s v="Prescribed Hourly Rates"/>
    <s v="Profit Cost"/>
    <s v="VJ"/>
    <s v="Y"/>
    <n v="31.57"/>
    <n v="6.31"/>
    <x v="4"/>
    <s v="VALIDATED"/>
    <n v="1"/>
    <s v="01.11.80.307.6100.0000"/>
    <n v="31.57"/>
    <s v="11"/>
    <s v="6100"/>
    <n v="10392.41"/>
    <n v="31.57"/>
    <s v="CREDITOR"/>
    <n v="0"/>
    <n v="0"/>
    <n v="0"/>
    <n v="0"/>
    <n v="31.57"/>
  </r>
  <r>
    <n v="9303946"/>
    <s v="N"/>
    <n v="21330930"/>
    <s v="3000005275240004"/>
    <s v="CIVIL"/>
    <d v="2023-06-27T00:00:00"/>
    <d v="2023-07-05T19:01:47"/>
    <m/>
    <d v="2023-07-05T00:00:00"/>
    <n v="1132"/>
    <n v="2858"/>
    <s v="9303946"/>
    <s v="9303946"/>
    <m/>
    <m/>
    <n v="22774034"/>
    <m/>
    <m/>
    <m/>
    <s v="SOLFIN"/>
    <s v="SOLFIN"/>
    <s v="CCMS"/>
    <n v="21330930"/>
    <n v="1806.47"/>
    <m/>
    <s v="N"/>
    <n v="15"/>
    <d v="2023-07-05T19:01:57"/>
    <s v="Y"/>
    <s v="Preparation - other"/>
    <s v="Prescribed Hourly Rates"/>
    <s v="Profit Cost"/>
    <s v="JF"/>
    <s v="Y"/>
    <n v="37.88"/>
    <n v="7.58"/>
    <x v="6"/>
    <s v="VALIDATED"/>
    <n v="1"/>
    <s v="01.11.80.307.6100.0000"/>
    <n v="37.88"/>
    <s v="11"/>
    <s v="6100"/>
    <n v="10392.41"/>
    <n v="37.88"/>
    <s v="CREDITOR"/>
    <n v="0"/>
    <n v="0"/>
    <n v="0"/>
    <n v="0"/>
    <n v="37.88"/>
  </r>
  <r>
    <n v="54266914"/>
    <s v="N"/>
    <n v="21338333"/>
    <s v="3000012940890006"/>
    <s v="CIVIL"/>
    <d v="2023-06-28T00:00:00"/>
    <d v="2023-07-06T19:21:01"/>
    <m/>
    <d v="2023-07-06T00:00:00"/>
    <n v="1132"/>
    <n v="2858"/>
    <s v="54266914"/>
    <s v="54266914"/>
    <m/>
    <m/>
    <n v="22779636"/>
    <m/>
    <m/>
    <m/>
    <s v="SOLFIN"/>
    <s v="SOLFIN"/>
    <s v="CCMS"/>
    <n v="21338333"/>
    <n v="7238.01"/>
    <m/>
    <s v="N"/>
    <n v="10"/>
    <d v="2023-07-06T19:21:20"/>
    <s v="Y"/>
    <s v="Final Hearing Court Bundle/Advocate"/>
    <s v="Private Law Children"/>
    <s v="Advocacy"/>
    <s v="VJ"/>
    <s v="Y"/>
    <n v="159.3"/>
    <n v="31.86"/>
    <x v="4"/>
    <s v="VALIDATED"/>
    <n v="1"/>
    <s v="01.11.80.307.6100.0000"/>
    <n v="159.3"/>
    <s v="11"/>
    <s v="6100"/>
    <n v="10392.41"/>
    <n v="159.3"/>
    <s v="CREDITOR"/>
    <n v="0"/>
    <n v="0"/>
    <n v="0"/>
    <n v="0"/>
    <n v="159.3"/>
  </r>
  <r>
    <n v="54266914"/>
    <s v="N"/>
    <n v="21338333"/>
    <s v="3000012940890006"/>
    <s v="CIVIL"/>
    <d v="2023-06-28T00:00:00"/>
    <d v="2023-07-06T19:21:01"/>
    <m/>
    <d v="2023-07-06T00:00:00"/>
    <n v="1132"/>
    <n v="2858"/>
    <s v="54266914"/>
    <s v="54266914"/>
    <m/>
    <m/>
    <n v="22779636"/>
    <m/>
    <m/>
    <m/>
    <s v="SOLFIN"/>
    <s v="SOLFIN"/>
    <s v="CCMS"/>
    <n v="21338333"/>
    <n v="7238.01"/>
    <m/>
    <s v="N"/>
    <n v="26"/>
    <d v="2023-07-06T19:21:20"/>
    <s v="Y"/>
    <s v="Preparation - other"/>
    <s v="Prescribed Hourly Rates"/>
    <s v="Profit Cost"/>
    <s v="VJ"/>
    <s v="Y"/>
    <n v="6.31"/>
    <n v="1.26"/>
    <x v="4"/>
    <s v="VALIDATED"/>
    <n v="1"/>
    <s v="01.11.80.307.6100.0000"/>
    <n v="6.31"/>
    <s v="11"/>
    <s v="6100"/>
    <n v="10392.41"/>
    <n v="6.31"/>
    <s v="CREDITOR"/>
    <n v="0"/>
    <n v="0"/>
    <n v="0"/>
    <n v="0"/>
    <n v="6.31"/>
  </r>
  <r>
    <n v="9303946"/>
    <s v="N"/>
    <n v="21330930"/>
    <s v="3000005275240004"/>
    <s v="CIVIL"/>
    <d v="2023-06-27T00:00:00"/>
    <d v="2023-07-05T19:01:47"/>
    <m/>
    <d v="2023-07-05T00:00:00"/>
    <n v="1132"/>
    <n v="2858"/>
    <s v="9303946"/>
    <s v="9303946"/>
    <m/>
    <m/>
    <n v="22774034"/>
    <m/>
    <m/>
    <m/>
    <s v="SOLFIN"/>
    <s v="SOLFIN"/>
    <s v="CCMS"/>
    <n v="21330930"/>
    <n v="1806.47"/>
    <m/>
    <s v="N"/>
    <n v="5"/>
    <d v="2023-07-05T19:01:57"/>
    <s v="Y"/>
    <s v="Preparation - other"/>
    <s v="Prescribed Hourly Rates"/>
    <s v="Profit Cost"/>
    <s v="JF"/>
    <s v="Y"/>
    <n v="18.94"/>
    <n v="3.79"/>
    <x v="6"/>
    <s v="VALIDATED"/>
    <n v="1"/>
    <s v="01.11.80.307.6100.0000"/>
    <n v="18.94"/>
    <s v="11"/>
    <s v="6100"/>
    <n v="10392.41"/>
    <n v="18.94"/>
    <s v="CREDITOR"/>
    <n v="0"/>
    <n v="0"/>
    <n v="0"/>
    <n v="0"/>
    <n v="18.94"/>
  </r>
  <r>
    <n v="9303946"/>
    <s v="N"/>
    <n v="21330930"/>
    <s v="3000005275240004"/>
    <s v="CIVIL"/>
    <d v="2023-06-27T00:00:00"/>
    <d v="2023-07-05T19:01:47"/>
    <m/>
    <d v="2023-07-05T00:00:00"/>
    <n v="1132"/>
    <n v="2858"/>
    <s v="9303946"/>
    <s v="9303946"/>
    <m/>
    <m/>
    <n v="22774034"/>
    <m/>
    <m/>
    <m/>
    <s v="SOLFIN"/>
    <s v="SOLFIN"/>
    <s v="CCMS"/>
    <n v="21330930"/>
    <n v="1806.47"/>
    <m/>
    <s v="N"/>
    <n v="11"/>
    <d v="2023-07-05T19:01:57"/>
    <s v="Y"/>
    <s v="Preparation - other"/>
    <s v="Prescribed Hourly Rates"/>
    <s v="Profit Cost"/>
    <s v="JF"/>
    <s v="Y"/>
    <n v="6.31"/>
    <n v="1.26"/>
    <x v="6"/>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33"/>
    <d v="2023-07-06T19:21:20"/>
    <s v="Y"/>
    <s v="Preparation - other"/>
    <s v="Prescribed Hourly Rates"/>
    <s v="Profit Cost"/>
    <s v="VJ"/>
    <s v="Y"/>
    <n v="6.31"/>
    <n v="1.26"/>
    <x v="4"/>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37"/>
    <d v="2023-07-06T19:21:20"/>
    <s v="Y"/>
    <s v="Preparation - other"/>
    <s v="Prescribed Hourly Rates"/>
    <s v="Profit Cost"/>
    <s v="VJ"/>
    <s v="Y"/>
    <n v="6.31"/>
    <n v="1.26"/>
    <x v="4"/>
    <s v="VALIDATED"/>
    <n v="1"/>
    <s v="01.11.80.307.6100.0000"/>
    <n v="6.31"/>
    <s v="11"/>
    <s v="6100"/>
    <n v="10392.41"/>
    <n v="6.31"/>
    <s v="CREDITOR"/>
    <n v="0"/>
    <n v="0"/>
    <n v="0"/>
    <n v="0"/>
    <n v="6.31"/>
  </r>
  <r>
    <n v="9303946"/>
    <s v="N"/>
    <n v="21330930"/>
    <s v="3000005275240004"/>
    <s v="CIVIL"/>
    <d v="2023-06-27T00:00:00"/>
    <d v="2023-07-05T19:01:47"/>
    <m/>
    <d v="2023-07-05T00:00:00"/>
    <n v="1132"/>
    <n v="2858"/>
    <s v="9303946"/>
    <s v="9303946"/>
    <m/>
    <m/>
    <n v="22774034"/>
    <m/>
    <m/>
    <m/>
    <s v="SOLFIN"/>
    <s v="SOLFIN"/>
    <s v="CCMS"/>
    <n v="21330930"/>
    <n v="1806.47"/>
    <m/>
    <s v="N"/>
    <n v="28"/>
    <d v="2023-07-05T19:01:57"/>
    <s v="Y"/>
    <s v="Routine Telephone Call"/>
    <s v="Prescribed Hourly Rates"/>
    <s v="Profit Cost"/>
    <s v="SH"/>
    <s v="Y"/>
    <n v="16.2"/>
    <n v="3.24"/>
    <x v="6"/>
    <s v="VALIDATED"/>
    <n v="1"/>
    <s v="01.11.80.307.6100.0000"/>
    <n v="16.2"/>
    <s v="11"/>
    <s v="6100"/>
    <n v="10392.41"/>
    <n v="16.2"/>
    <s v="CREDITOR"/>
    <n v="0"/>
    <n v="0"/>
    <n v="0"/>
    <n v="0"/>
    <n v="16.2"/>
  </r>
  <r>
    <n v="54266914"/>
    <s v="N"/>
    <n v="21338333"/>
    <s v="3000012940890006"/>
    <s v="CIVIL"/>
    <d v="2023-06-28T00:00:00"/>
    <d v="2023-07-06T19:21:01"/>
    <m/>
    <d v="2023-07-06T00:00:00"/>
    <n v="1132"/>
    <n v="2858"/>
    <s v="54266914"/>
    <s v="54266914"/>
    <m/>
    <m/>
    <n v="22779636"/>
    <m/>
    <m/>
    <m/>
    <s v="SOLFIN"/>
    <s v="SOLFIN"/>
    <s v="CCMS"/>
    <n v="21338333"/>
    <n v="7238.01"/>
    <m/>
    <s v="N"/>
    <n v="66"/>
    <d v="2023-07-06T19:21:20"/>
    <s v="Y"/>
    <s v="Routine Letter In"/>
    <s v="Prescribed Hourly Rates"/>
    <s v="Profit Cost"/>
    <s v="VJ"/>
    <s v="Y"/>
    <n v="276.35"/>
    <n v="55.27"/>
    <x v="4"/>
    <s v="VALIDATED"/>
    <n v="1"/>
    <s v="01.11.80.307.6100.0000"/>
    <n v="276.35"/>
    <s v="11"/>
    <s v="6100"/>
    <n v="10392.41"/>
    <n v="276.35"/>
    <s v="CREDITOR"/>
    <n v="0"/>
    <n v="0"/>
    <n v="0"/>
    <n v="0"/>
    <n v="276.35"/>
  </r>
  <r>
    <n v="54266914"/>
    <s v="N"/>
    <n v="21338333"/>
    <s v="3000012940890006"/>
    <s v="CIVIL"/>
    <d v="2023-06-28T00:00:00"/>
    <d v="2023-07-06T19:21:01"/>
    <m/>
    <d v="2023-07-06T00:00:00"/>
    <n v="1132"/>
    <n v="2858"/>
    <s v="54266914"/>
    <s v="54266914"/>
    <m/>
    <m/>
    <n v="22779636"/>
    <m/>
    <m/>
    <m/>
    <s v="SOLFIN"/>
    <s v="SOLFIN"/>
    <s v="CCMS"/>
    <n v="21338333"/>
    <n v="7238.01"/>
    <m/>
    <s v="N"/>
    <n v="2"/>
    <d v="2023-07-06T19:21:20"/>
    <s v="Y"/>
    <s v="Court Fee"/>
    <s v="Prescribed Hourly Rates"/>
    <s v="Non Expert Disbursement"/>
    <s v="XXX"/>
    <s v="Y"/>
    <n v="50"/>
    <n v="0"/>
    <x v="4"/>
    <s v="VALIDATED"/>
    <n v="1"/>
    <s v="01.11.80.307.6300.0000"/>
    <n v="50"/>
    <s v="11"/>
    <s v="6300"/>
    <n v="10392.41"/>
    <n v="50"/>
    <s v="CREDITOR"/>
    <n v="0"/>
    <n v="0"/>
    <n v="0"/>
    <n v="0"/>
    <n v="50"/>
  </r>
  <r>
    <n v="54266914"/>
    <s v="N"/>
    <n v="21338333"/>
    <s v="3000012940890006"/>
    <s v="CIVIL"/>
    <d v="2023-06-28T00:00:00"/>
    <d v="2023-07-06T19:21:01"/>
    <m/>
    <d v="2023-07-06T00:00:00"/>
    <n v="1132"/>
    <n v="2858"/>
    <s v="54266914"/>
    <s v="54266914"/>
    <m/>
    <m/>
    <n v="22779636"/>
    <m/>
    <m/>
    <m/>
    <s v="SOLFIN"/>
    <s v="SOLFIN"/>
    <s v="CCMS"/>
    <n v="21338333"/>
    <n v="7238.01"/>
    <m/>
    <s v="N"/>
    <n v="23"/>
    <d v="2023-07-06T19:21:20"/>
    <s v="Y"/>
    <s v="Preparation - drafting attendance n"/>
    <s v="Prescribed Hourly Rates"/>
    <s v="Profit Cost"/>
    <s v="VJ"/>
    <s v="Y"/>
    <n v="6.31"/>
    <n v="1.26"/>
    <x v="4"/>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32"/>
    <d v="2023-07-06T19:21:20"/>
    <s v="Y"/>
    <s v="Preparation - other"/>
    <s v="Prescribed Hourly Rates"/>
    <s v="Profit Cost"/>
    <s v="VJ"/>
    <s v="Y"/>
    <n v="37.88"/>
    <n v="7.58"/>
    <x v="4"/>
    <s v="VALIDATED"/>
    <n v="1"/>
    <s v="01.11.80.307.6100.0000"/>
    <n v="37.88"/>
    <s v="11"/>
    <s v="6100"/>
    <n v="10392.41"/>
    <n v="37.88"/>
    <s v="CREDITOR"/>
    <n v="0"/>
    <n v="0"/>
    <n v="0"/>
    <n v="0"/>
    <n v="37.88"/>
  </r>
  <r>
    <n v="9303946"/>
    <s v="N"/>
    <n v="21330930"/>
    <s v="3000005275240004"/>
    <s v="CIVIL"/>
    <d v="2023-06-27T00:00:00"/>
    <d v="2023-07-05T19:01:47"/>
    <m/>
    <d v="2023-07-05T00:00:00"/>
    <n v="1132"/>
    <n v="2858"/>
    <s v="9303946"/>
    <s v="9303946"/>
    <m/>
    <m/>
    <n v="22774034"/>
    <m/>
    <m/>
    <m/>
    <s v="SOLFIN"/>
    <s v="SOLFIN"/>
    <s v="CCMS"/>
    <n v="21330930"/>
    <n v="1806.47"/>
    <m/>
    <s v="N"/>
    <n v="2"/>
    <d v="2023-07-05T19:01:57"/>
    <s v="N"/>
    <s v="Level 3 Fixed Fee"/>
    <s v="Private Law Children"/>
    <s v="Profit Cost"/>
    <s v="JF"/>
    <s v="N"/>
    <n v="0"/>
    <n v="0"/>
    <x v="6"/>
    <s v="VALIDATED"/>
    <n v="1"/>
    <s v="01.11.80.307.6100.0000"/>
    <n v="0"/>
    <s v="11"/>
    <s v="6100"/>
    <n v="10392.41"/>
    <n v="0"/>
    <s v="CREDITOR"/>
    <n v="0"/>
    <n v="0"/>
    <n v="0"/>
    <n v="0"/>
    <n v="0"/>
  </r>
  <r>
    <n v="54266914"/>
    <s v="N"/>
    <n v="21338333"/>
    <s v="3000012940890006"/>
    <s v="CIVIL"/>
    <d v="2023-06-28T00:00:00"/>
    <d v="2023-07-06T19:21:01"/>
    <m/>
    <d v="2023-07-06T00:00:00"/>
    <n v="1132"/>
    <n v="2858"/>
    <s v="54266914"/>
    <s v="54266914"/>
    <m/>
    <m/>
    <n v="22779636"/>
    <m/>
    <m/>
    <m/>
    <s v="SOLFIN"/>
    <s v="SOLFIN"/>
    <s v="CCMS"/>
    <n v="21338333"/>
    <n v="7238.01"/>
    <m/>
    <s v="N"/>
    <n v="38"/>
    <d v="2023-07-06T19:21:20"/>
    <s v="Y"/>
    <s v="Preparation - drafting statement"/>
    <s v="Prescribed Hourly Rates"/>
    <s v="Profit Cost"/>
    <s v="VJ"/>
    <s v="Y"/>
    <n v="12.63"/>
    <n v="2.53"/>
    <x v="4"/>
    <s v="VALIDATED"/>
    <n v="1"/>
    <s v="01.11.80.307.6100.0000"/>
    <n v="12.63"/>
    <s v="11"/>
    <s v="6100"/>
    <n v="10392.41"/>
    <n v="12.63"/>
    <s v="CREDITOR"/>
    <n v="0"/>
    <n v="0"/>
    <n v="0"/>
    <n v="0"/>
    <n v="12.63"/>
  </r>
  <r>
    <n v="9303946"/>
    <s v="N"/>
    <n v="21330930"/>
    <s v="3000005275240004"/>
    <s v="CIVIL"/>
    <d v="2023-06-27T00:00:00"/>
    <d v="2023-07-05T19:01:47"/>
    <m/>
    <d v="2023-07-05T00:00:00"/>
    <n v="1132"/>
    <n v="2858"/>
    <s v="9303946"/>
    <s v="9303946"/>
    <m/>
    <m/>
    <n v="22774034"/>
    <m/>
    <m/>
    <m/>
    <s v="SOLFIN"/>
    <s v="SOLFIN"/>
    <s v="CCMS"/>
    <n v="21330930"/>
    <n v="1806.47"/>
    <m/>
    <s v="N"/>
    <n v="32"/>
    <d v="2023-07-05T19:01:57"/>
    <s v="Y"/>
    <s v="Routine Letter In"/>
    <s v="Prescribed Hourly Rates"/>
    <s v="Profit Cost"/>
    <s v="SH"/>
    <s v="Y"/>
    <n v="5.4"/>
    <n v="1.08"/>
    <x v="6"/>
    <s v="VALIDATED"/>
    <n v="1"/>
    <s v="01.11.80.307.6100.0000"/>
    <n v="5.4"/>
    <s v="11"/>
    <s v="6100"/>
    <n v="10392.41"/>
    <n v="5.4"/>
    <s v="CREDITOR"/>
    <n v="0"/>
    <n v="0"/>
    <n v="0"/>
    <n v="0"/>
    <n v="5.4"/>
  </r>
  <r>
    <n v="9303946"/>
    <s v="N"/>
    <n v="21330930"/>
    <s v="3000005275240004"/>
    <s v="CIVIL"/>
    <d v="2023-06-27T00:00:00"/>
    <d v="2023-07-05T19:01:47"/>
    <m/>
    <d v="2023-07-05T00:00:00"/>
    <n v="1132"/>
    <n v="2858"/>
    <s v="9303946"/>
    <s v="9303946"/>
    <m/>
    <m/>
    <n v="22774034"/>
    <m/>
    <m/>
    <m/>
    <s v="SOLFIN"/>
    <s v="SOLFIN"/>
    <s v="CCMS"/>
    <n v="21330930"/>
    <n v="1806.47"/>
    <m/>
    <s v="N"/>
    <n v="6"/>
    <d v="2023-07-05T19:01:57"/>
    <s v="Y"/>
    <s v="Preparation - other"/>
    <s v="Prescribed Hourly Rates"/>
    <s v="Profit Cost"/>
    <s v="JF"/>
    <s v="Y"/>
    <n v="12.63"/>
    <n v="2.53"/>
    <x v="6"/>
    <s v="VALIDATED"/>
    <n v="1"/>
    <s v="01.11.80.307.6100.0000"/>
    <n v="12.63"/>
    <s v="11"/>
    <s v="6100"/>
    <n v="10392.41"/>
    <n v="12.63"/>
    <s v="CREDITOR"/>
    <n v="0"/>
    <n v="0"/>
    <n v="0"/>
    <n v="0"/>
    <n v="12.63"/>
  </r>
  <r>
    <n v="9303946"/>
    <s v="N"/>
    <n v="21330930"/>
    <s v="3000005275240004"/>
    <s v="CIVIL"/>
    <d v="2023-06-27T00:00:00"/>
    <d v="2023-07-05T19:01:47"/>
    <m/>
    <d v="2023-07-05T00:00:00"/>
    <n v="1132"/>
    <n v="2858"/>
    <s v="9303946"/>
    <s v="9303946"/>
    <m/>
    <m/>
    <n v="22774034"/>
    <m/>
    <m/>
    <m/>
    <s v="SOLFIN"/>
    <s v="SOLFIN"/>
    <s v="CCMS"/>
    <n v="21330930"/>
    <n v="1806.47"/>
    <m/>
    <s v="N"/>
    <n v="8"/>
    <d v="2023-07-05T19:01:57"/>
    <s v="Y"/>
    <s v="Attendance upon client"/>
    <s v="Prescribed Hourly Rates"/>
    <s v="Profit Cost"/>
    <s v="JF"/>
    <s v="Y"/>
    <n v="18.94"/>
    <n v="3.79"/>
    <x v="6"/>
    <s v="VALIDATED"/>
    <n v="1"/>
    <s v="01.11.80.307.6100.0000"/>
    <n v="18.94"/>
    <s v="11"/>
    <s v="6100"/>
    <n v="10392.41"/>
    <n v="18.94"/>
    <s v="CREDITOR"/>
    <n v="0"/>
    <n v="0"/>
    <n v="0"/>
    <n v="0"/>
    <n v="18.94"/>
  </r>
  <r>
    <n v="54266914"/>
    <s v="N"/>
    <n v="21338333"/>
    <s v="3000012940890006"/>
    <s v="CIVIL"/>
    <d v="2023-06-28T00:00:00"/>
    <d v="2023-07-06T19:21:01"/>
    <m/>
    <d v="2023-07-06T00:00:00"/>
    <n v="1132"/>
    <n v="2858"/>
    <s v="54266914"/>
    <s v="54266914"/>
    <m/>
    <m/>
    <n v="22779636"/>
    <m/>
    <m/>
    <m/>
    <s v="SOLFIN"/>
    <s v="SOLFIN"/>
    <s v="CCMS"/>
    <n v="21338333"/>
    <n v="7238.01"/>
    <m/>
    <s v="N"/>
    <n v="29"/>
    <d v="2023-07-06T19:21:20"/>
    <s v="Y"/>
    <s v="Attendance upon client"/>
    <s v="Prescribed Hourly Rates"/>
    <s v="Profit Cost"/>
    <s v="VJ"/>
    <s v="Y"/>
    <n v="63.14"/>
    <n v="12.63"/>
    <x v="4"/>
    <s v="VALIDATED"/>
    <n v="1"/>
    <s v="01.11.80.307.6100.0000"/>
    <n v="63.14"/>
    <s v="11"/>
    <s v="6100"/>
    <n v="10392.41"/>
    <n v="63.14"/>
    <s v="CREDITOR"/>
    <n v="0"/>
    <n v="0"/>
    <n v="0"/>
    <n v="0"/>
    <n v="63.14"/>
  </r>
  <r>
    <n v="54266914"/>
    <s v="N"/>
    <n v="21338333"/>
    <s v="3000012940890006"/>
    <s v="CIVIL"/>
    <d v="2023-06-28T00:00:00"/>
    <d v="2023-07-06T19:21:01"/>
    <m/>
    <d v="2023-07-06T00:00:00"/>
    <n v="1132"/>
    <n v="2858"/>
    <s v="54266914"/>
    <s v="54266914"/>
    <m/>
    <m/>
    <n v="22779636"/>
    <m/>
    <m/>
    <m/>
    <s v="SOLFIN"/>
    <s v="SOLFIN"/>
    <s v="CCMS"/>
    <n v="21338333"/>
    <n v="7238.01"/>
    <m/>
    <s v="N"/>
    <n v="6"/>
    <d v="2023-07-06T19:21:20"/>
    <s v="Y"/>
    <s v="Hearing Unit 2.31 - 5.00 Hours"/>
    <s v="Private Law Children"/>
    <s v="Advocacy"/>
    <s v="VJ"/>
    <s v="Y"/>
    <n v="344.8"/>
    <n v="68.95999999999999"/>
    <x v="4"/>
    <s v="VALIDATED"/>
    <n v="1"/>
    <s v="01.11.80.307.6100.0000"/>
    <n v="344.8"/>
    <s v="11"/>
    <s v="6100"/>
    <n v="10392.41"/>
    <n v="344.8"/>
    <s v="CREDITOR"/>
    <n v="0"/>
    <n v="0"/>
    <n v="0"/>
    <n v="0"/>
    <n v="344.8"/>
  </r>
  <r>
    <n v="54266914"/>
    <s v="N"/>
    <n v="21338333"/>
    <s v="3000012940890006"/>
    <s v="CIVIL"/>
    <d v="2023-06-28T00:00:00"/>
    <d v="2023-07-06T19:21:01"/>
    <m/>
    <d v="2023-07-06T00:00:00"/>
    <n v="1132"/>
    <n v="2858"/>
    <s v="54266914"/>
    <s v="54266914"/>
    <m/>
    <m/>
    <n v="22779636"/>
    <m/>
    <m/>
    <m/>
    <s v="SOLFIN"/>
    <s v="SOLFIN"/>
    <s v="CCMS"/>
    <n v="21338333"/>
    <n v="7238.01"/>
    <m/>
    <s v="N"/>
    <n v="45"/>
    <d v="2023-07-06T19:21:20"/>
    <s v="Y"/>
    <s v="Preparation - other"/>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19"/>
    <d v="2023-07-06T19:21:20"/>
    <s v="Y"/>
    <s v="Preparation - other"/>
    <s v="Prescribed Hourly Rates"/>
    <s v="Profit Cost"/>
    <s v="VJ"/>
    <s v="Y"/>
    <n v="6.31"/>
    <n v="1.26"/>
    <x v="4"/>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56"/>
    <d v="2023-07-06T19:21:20"/>
    <s v="Y"/>
    <s v="Preparation - drafting application"/>
    <s v="Prescribed Hourly Rates"/>
    <s v="Profit Cost"/>
    <s v="VJ"/>
    <s v="Y"/>
    <n v="69.45"/>
    <n v="13.89"/>
    <x v="4"/>
    <s v="VALIDATED"/>
    <n v="1"/>
    <s v="01.11.80.307.6100.0000"/>
    <n v="69.45"/>
    <s v="11"/>
    <s v="6100"/>
    <n v="10392.41"/>
    <n v="69.45"/>
    <s v="CREDITOR"/>
    <n v="0"/>
    <n v="0"/>
    <n v="0"/>
    <n v="0"/>
    <n v="69.45"/>
  </r>
  <r>
    <n v="9303946"/>
    <s v="N"/>
    <n v="21330930"/>
    <s v="3000005275240004"/>
    <s v="CIVIL"/>
    <d v="2023-06-27T00:00:00"/>
    <d v="2023-07-05T19:01:47"/>
    <m/>
    <d v="2023-07-05T00:00:00"/>
    <n v="1132"/>
    <n v="2858"/>
    <s v="9303946"/>
    <s v="9303946"/>
    <m/>
    <m/>
    <n v="22774034"/>
    <m/>
    <m/>
    <m/>
    <s v="SOLFIN"/>
    <s v="SOLFIN"/>
    <s v="CCMS"/>
    <n v="21330930"/>
    <n v="1806.47"/>
    <m/>
    <s v="N"/>
    <n v="14"/>
    <d v="2023-07-05T19:01:57"/>
    <s v="Y"/>
    <s v="Preparation - other"/>
    <s v="Prescribed Hourly Rates"/>
    <s v="Profit Cost"/>
    <s v="SH"/>
    <s v="Y"/>
    <n v="16.47"/>
    <n v="3.29"/>
    <x v="6"/>
    <s v="VALIDATED"/>
    <n v="1"/>
    <s v="01.11.80.307.6100.0000"/>
    <n v="16.47"/>
    <s v="11"/>
    <s v="6100"/>
    <n v="10392.41"/>
    <n v="16.47"/>
    <s v="CREDITOR"/>
    <n v="0"/>
    <n v="0"/>
    <n v="0"/>
    <n v="0"/>
    <n v="16.47"/>
  </r>
  <r>
    <n v="61889104"/>
    <s v="N"/>
    <n v="21322422"/>
    <s v="3000015946750006"/>
    <s v="CIVIL"/>
    <d v="2023-06-29T00:00:00"/>
    <d v="2023-07-03T19:05:36"/>
    <m/>
    <d v="2023-07-03T00:00:00"/>
    <n v="1132"/>
    <n v="2858"/>
    <s v="61889104"/>
    <s v="61889104"/>
    <m/>
    <m/>
    <n v="22792142"/>
    <m/>
    <m/>
    <m/>
    <s v="SOLPOA"/>
    <s v="SOLPOA"/>
    <s v="CCMS"/>
    <n v="21322422"/>
    <n v="1701.89"/>
    <m/>
    <s v="N"/>
    <n v="1"/>
    <d v="2023-07-03T19:05:38"/>
    <s v="N"/>
    <s v="Level 3 Fixed Fee"/>
    <s v="Private Law Children"/>
    <s v="Profit Cost"/>
    <s v="vfj"/>
    <s v="N"/>
    <n v="1418.24"/>
    <n v="283.65"/>
    <x v="3"/>
    <s v="VALIDATED"/>
    <n v="1"/>
    <s v="01.11.80.307.2012.0000"/>
    <n v="1418.24"/>
    <s v="11"/>
    <s v="2012"/>
    <n v="10392.41"/>
    <n v="1418.24"/>
    <s v="CREDITOR"/>
    <n v="1418.24"/>
    <n v="354.56"/>
    <n v="0"/>
    <n v="0"/>
    <n v="0"/>
  </r>
  <r>
    <n v="54266914"/>
    <s v="N"/>
    <n v="21338333"/>
    <s v="3000012940890006"/>
    <s v="CIVIL"/>
    <d v="2023-06-28T00:00:00"/>
    <d v="2023-07-06T19:21:01"/>
    <m/>
    <d v="2023-07-06T00:00:00"/>
    <n v="1132"/>
    <n v="2858"/>
    <s v="54266914"/>
    <s v="54266914"/>
    <m/>
    <m/>
    <n v="22779636"/>
    <m/>
    <m/>
    <m/>
    <s v="SOLFIN"/>
    <s v="SOLFIN"/>
    <s v="CCMS"/>
    <n v="21338333"/>
    <n v="7238.01"/>
    <m/>
    <s v="N"/>
    <n v="3"/>
    <d v="2023-07-06T19:21:20"/>
    <s v="Y"/>
    <s v="Solicitor Travel Mileage"/>
    <s v="Prescribed Hourly Rates"/>
    <s v="Non Expert Disbursement"/>
    <s v="VJ"/>
    <s v="Y"/>
    <n v="24.3"/>
    <n v="4.86"/>
    <x v="4"/>
    <s v="VALIDATED"/>
    <n v="1"/>
    <s v="01.11.80.307.6300.0000"/>
    <n v="24.3"/>
    <s v="11"/>
    <s v="6300"/>
    <n v="10392.41"/>
    <n v="24.3"/>
    <s v="CREDITOR"/>
    <n v="0"/>
    <n v="0"/>
    <n v="0"/>
    <n v="0"/>
    <n v="24.3"/>
  </r>
  <r>
    <n v="54266914"/>
    <s v="N"/>
    <n v="21338333"/>
    <s v="3000012940890006"/>
    <s v="CIVIL"/>
    <d v="2023-06-28T00:00:00"/>
    <d v="2023-07-06T19:21:01"/>
    <m/>
    <d v="2023-07-06T00:00:00"/>
    <n v="1132"/>
    <n v="2858"/>
    <s v="54266914"/>
    <s v="54266914"/>
    <m/>
    <m/>
    <n v="22779636"/>
    <m/>
    <m/>
    <m/>
    <s v="SOLFIN"/>
    <s v="SOLFIN"/>
    <s v="CCMS"/>
    <n v="21338333"/>
    <n v="7238.01"/>
    <m/>
    <s v="N"/>
    <n v="15"/>
    <d v="2023-07-06T19:21:20"/>
    <s v="Y"/>
    <s v="Preparation - drafting notice(s)"/>
    <s v="Prescribed Hourly Rates"/>
    <s v="Profit Cost"/>
    <s v="VJ"/>
    <s v="Y"/>
    <n v="6.31"/>
    <n v="1.26"/>
    <x v="4"/>
    <s v="VALIDATED"/>
    <n v="1"/>
    <s v="01.11.80.307.6100.0000"/>
    <n v="6.31"/>
    <s v="11"/>
    <s v="6100"/>
    <n v="10392.41"/>
    <n v="6.31"/>
    <s v="CREDITOR"/>
    <n v="0"/>
    <n v="0"/>
    <n v="0"/>
    <n v="0"/>
    <n v="6.31"/>
  </r>
  <r>
    <n v="9303946"/>
    <s v="N"/>
    <n v="21330930"/>
    <s v="3000005275240004"/>
    <s v="CIVIL"/>
    <d v="2023-06-27T00:00:00"/>
    <d v="2023-07-05T19:01:47"/>
    <m/>
    <d v="2023-07-05T00:00:00"/>
    <n v="1132"/>
    <n v="2858"/>
    <s v="9303946"/>
    <s v="9303946"/>
    <m/>
    <m/>
    <n v="22774034"/>
    <m/>
    <m/>
    <m/>
    <s v="SOLFIN"/>
    <s v="SOLFIN"/>
    <s v="CCMS"/>
    <n v="21330930"/>
    <n v="1806.47"/>
    <m/>
    <s v="N"/>
    <n v="23"/>
    <d v="2023-07-05T19:01:57"/>
    <s v="Y"/>
    <s v="Preparation - drafting notice(s)"/>
    <s v="Prescribed Hourly Rates"/>
    <s v="Profit Cost"/>
    <s v="JF"/>
    <s v="Y"/>
    <n v="6.31"/>
    <n v="1.26"/>
    <x v="6"/>
    <s v="VALIDATED"/>
    <n v="1"/>
    <s v="01.11.80.307.6100.0000"/>
    <n v="6.31"/>
    <s v="11"/>
    <s v="6100"/>
    <n v="10392.41"/>
    <n v="6.31"/>
    <s v="CREDITOR"/>
    <n v="0"/>
    <n v="0"/>
    <n v="0"/>
    <n v="0"/>
    <n v="6.31"/>
  </r>
  <r>
    <n v="54266914"/>
    <s v="N"/>
    <n v="21338333"/>
    <s v="3000012940890006"/>
    <s v="CIVIL"/>
    <d v="2023-06-28T00:00:00"/>
    <d v="2023-07-06T19:21:01"/>
    <m/>
    <d v="2023-07-06T00:00:00"/>
    <n v="1132"/>
    <n v="2858"/>
    <s v="54266914"/>
    <s v="54266914"/>
    <m/>
    <m/>
    <n v="22779636"/>
    <m/>
    <m/>
    <m/>
    <s v="SOLFIN"/>
    <s v="SOLFIN"/>
    <s v="CCMS"/>
    <n v="21338333"/>
    <n v="7238.01"/>
    <m/>
    <s v="N"/>
    <n v="34"/>
    <d v="2023-07-06T19:21:20"/>
    <s v="Y"/>
    <s v="Preparation - other"/>
    <s v="Prescribed Hourly Rates"/>
    <s v="Profit Cost"/>
    <s v="VJ"/>
    <s v="Y"/>
    <n v="12.63"/>
    <n v="2.53"/>
    <x v="4"/>
    <s v="VALIDATED"/>
    <n v="1"/>
    <s v="01.11.80.307.6100.0000"/>
    <n v="12.63"/>
    <s v="11"/>
    <s v="6100"/>
    <n v="10392.41"/>
    <n v="12.63"/>
    <s v="CREDITOR"/>
    <n v="0"/>
    <n v="0"/>
    <n v="0"/>
    <n v="0"/>
    <n v="12.63"/>
  </r>
  <r>
    <n v="9303946"/>
    <s v="N"/>
    <n v="21330930"/>
    <s v="3000005275240004"/>
    <s v="CIVIL"/>
    <d v="2023-06-27T00:00:00"/>
    <d v="2023-07-05T19:01:47"/>
    <m/>
    <d v="2023-07-05T00:00:00"/>
    <n v="1132"/>
    <n v="2858"/>
    <s v="9303946"/>
    <s v="9303946"/>
    <m/>
    <m/>
    <n v="22774034"/>
    <m/>
    <m/>
    <m/>
    <s v="SOLFIN"/>
    <s v="SOLFIN"/>
    <s v="CCMS"/>
    <n v="21330930"/>
    <n v="1806.47"/>
    <m/>
    <s v="N"/>
    <n v="22"/>
    <d v="2023-07-05T19:01:57"/>
    <s v="Y"/>
    <s v="Preparation - other"/>
    <s v="Prescribed Hourly Rates"/>
    <s v="Profit Cost"/>
    <s v="JF"/>
    <s v="Y"/>
    <n v="12.63"/>
    <n v="2.53"/>
    <x v="6"/>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7"/>
    <d v="2023-07-06T19:21:20"/>
    <s v="Y"/>
    <s v="Hearing Unit 2.31 - 5.00 Hours"/>
    <s v="Private Law Children"/>
    <s v="Advocacy"/>
    <s v="VJ"/>
    <s v="Y"/>
    <n v="344.8"/>
    <n v="68.95999999999999"/>
    <x v="4"/>
    <s v="VALIDATED"/>
    <n v="1"/>
    <s v="01.11.80.307.6100.0000"/>
    <n v="344.8"/>
    <s v="11"/>
    <s v="6100"/>
    <n v="10392.41"/>
    <n v="344.8"/>
    <s v="CREDITOR"/>
    <n v="0"/>
    <n v="0"/>
    <n v="0"/>
    <n v="0"/>
    <n v="344.8"/>
  </r>
  <r>
    <n v="54266914"/>
    <s v="N"/>
    <n v="21338333"/>
    <s v="3000012940890006"/>
    <s v="CIVIL"/>
    <d v="2023-06-28T00:00:00"/>
    <d v="2023-07-06T19:21:01"/>
    <m/>
    <d v="2023-07-06T00:00:00"/>
    <n v="1132"/>
    <n v="2858"/>
    <s v="54266914"/>
    <s v="54266914"/>
    <m/>
    <m/>
    <n v="22779636"/>
    <m/>
    <m/>
    <m/>
    <s v="SOLFIN"/>
    <s v="SOLFIN"/>
    <s v="CCMS"/>
    <n v="21338333"/>
    <n v="7238.01"/>
    <m/>
    <s v="N"/>
    <n v="16"/>
    <d v="2023-07-06T19:21:20"/>
    <s v="Y"/>
    <s v="Preparation - drafting notice(s)"/>
    <s v="Prescribed Hourly Rates"/>
    <s v="Profit Cost"/>
    <s v="VJ"/>
    <s v="Y"/>
    <n v="6.31"/>
    <n v="1.26"/>
    <x v="4"/>
    <s v="VALIDATED"/>
    <n v="1"/>
    <s v="01.11.80.307.6100.0000"/>
    <n v="6.31"/>
    <s v="11"/>
    <s v="6100"/>
    <n v="10392.41"/>
    <n v="6.31"/>
    <s v="CREDITOR"/>
    <n v="0"/>
    <n v="0"/>
    <n v="0"/>
    <n v="0"/>
    <n v="6.31"/>
  </r>
  <r>
    <n v="61831130"/>
    <s v="N"/>
    <n v="21319313"/>
    <s v="3000015813230009"/>
    <s v="CIVIL"/>
    <d v="2023-06-27T00:00:00"/>
    <d v="2023-07-03T19:04:24"/>
    <m/>
    <d v="2023-07-03T00:00:00"/>
    <n v="1132"/>
    <n v="2858"/>
    <s v="61831130"/>
    <s v="61831130"/>
    <m/>
    <m/>
    <n v="22771378"/>
    <m/>
    <m/>
    <m/>
    <s v="SOLPOA"/>
    <s v="SOLPOA"/>
    <s v="CCMS"/>
    <n v="21319313"/>
    <n v="53"/>
    <m/>
    <s v="N"/>
    <n v="1"/>
    <d v="2023-07-03T19:04:25"/>
    <s v="N"/>
    <s v="Non Expert Disbursement - Private L"/>
    <s v="Non Expert Disbursement - Priv"/>
    <s v="Non Expert Disbursement"/>
    <s v="Victoria Jones"/>
    <s v="N"/>
    <n v="53"/>
    <n v="0"/>
    <x v="3"/>
    <s v="VALIDATED"/>
    <n v="1"/>
    <s v="01.11.80.307.2012.0000"/>
    <n v="53"/>
    <s v="11"/>
    <s v="2012"/>
    <n v="10392.41"/>
    <n v="53"/>
    <s v="CREDITOR"/>
    <n v="53"/>
    <n v="0"/>
    <n v="0"/>
    <n v="0"/>
    <n v="0"/>
  </r>
  <r>
    <n v="54266914"/>
    <s v="N"/>
    <n v="21338333"/>
    <s v="3000012940890006"/>
    <s v="CIVIL"/>
    <d v="2023-06-28T00:00:00"/>
    <d v="2023-07-06T19:21:01"/>
    <m/>
    <d v="2023-07-06T00:00:00"/>
    <n v="1132"/>
    <n v="2858"/>
    <s v="54266914"/>
    <s v="54266914"/>
    <m/>
    <m/>
    <n v="22779636"/>
    <m/>
    <m/>
    <m/>
    <s v="SOLFIN"/>
    <s v="SOLFIN"/>
    <s v="CCMS"/>
    <n v="21338333"/>
    <n v="7238.01"/>
    <m/>
    <s v="N"/>
    <n v="9"/>
    <d v="2023-07-06T19:21:20"/>
    <s v="Y"/>
    <s v="Final Hearing - 1 Day"/>
    <s v="Private Law Children"/>
    <s v="Advocacy"/>
    <s v="VJ"/>
    <s v="Y"/>
    <n v="436.73"/>
    <n v="87.34999999999999"/>
    <x v="4"/>
    <s v="VALIDATED"/>
    <n v="1"/>
    <s v="01.11.80.307.6100.0000"/>
    <n v="436.73"/>
    <s v="11"/>
    <s v="6100"/>
    <n v="10392.41"/>
    <n v="436.73"/>
    <s v="CREDITOR"/>
    <n v="0"/>
    <n v="0"/>
    <n v="0"/>
    <n v="0"/>
    <n v="436.73"/>
  </r>
  <r>
    <n v="9303946"/>
    <s v="N"/>
    <n v="21330930"/>
    <s v="3000005275240004"/>
    <s v="CIVIL"/>
    <d v="2023-06-27T00:00:00"/>
    <d v="2023-07-05T19:01:47"/>
    <m/>
    <d v="2023-07-05T00:00:00"/>
    <n v="1132"/>
    <n v="2858"/>
    <s v="9303946"/>
    <s v="9303946"/>
    <m/>
    <m/>
    <n v="22774034"/>
    <m/>
    <m/>
    <m/>
    <s v="SOLFIN"/>
    <s v="SOLFIN"/>
    <s v="CCMS"/>
    <n v="21330930"/>
    <n v="1806.47"/>
    <m/>
    <s v="N"/>
    <n v="3"/>
    <d v="2023-07-05T19:01:57"/>
    <s v="Y"/>
    <s v="Preparation - drafting instructions"/>
    <s v="Prescribed Hourly Rates"/>
    <s v="Profit Cost"/>
    <s v="JF"/>
    <s v="Y"/>
    <n v="63.14"/>
    <n v="12.63"/>
    <x v="6"/>
    <s v="VALIDATED"/>
    <n v="1"/>
    <s v="01.11.80.307.6100.0000"/>
    <n v="63.14"/>
    <s v="11"/>
    <s v="6100"/>
    <n v="10392.41"/>
    <n v="63.14"/>
    <s v="CREDITOR"/>
    <n v="0"/>
    <n v="0"/>
    <n v="0"/>
    <n v="0"/>
    <n v="63.14"/>
  </r>
  <r>
    <n v="54266914"/>
    <s v="N"/>
    <n v="21338333"/>
    <s v="3000012940890006"/>
    <s v="CIVIL"/>
    <d v="2023-06-28T00:00:00"/>
    <d v="2023-07-06T19:21:01"/>
    <m/>
    <d v="2023-07-06T00:00:00"/>
    <n v="1132"/>
    <n v="2858"/>
    <s v="54266914"/>
    <s v="54266914"/>
    <m/>
    <m/>
    <n v="22779636"/>
    <m/>
    <m/>
    <m/>
    <s v="SOLFIN"/>
    <s v="SOLFIN"/>
    <s v="CCMS"/>
    <n v="21338333"/>
    <n v="7238.01"/>
    <m/>
    <s v="N"/>
    <n v="30"/>
    <d v="2023-07-06T19:21:20"/>
    <s v="Y"/>
    <s v="Preparation - drafting attendance n"/>
    <s v="Prescribed Hourly Rates"/>
    <s v="Profit Cost"/>
    <s v="VJ"/>
    <s v="Y"/>
    <n v="12.63"/>
    <n v="2.53"/>
    <x v="4"/>
    <s v="VALIDATED"/>
    <n v="1"/>
    <s v="01.11.80.307.6100.0000"/>
    <n v="12.63"/>
    <s v="11"/>
    <s v="6100"/>
    <n v="10392.41"/>
    <n v="12.63"/>
    <s v="CREDITOR"/>
    <n v="0"/>
    <n v="0"/>
    <n v="0"/>
    <n v="0"/>
    <n v="12.63"/>
  </r>
  <r>
    <n v="54266914"/>
    <s v="N"/>
    <n v="21338333"/>
    <s v="3000012940890006"/>
    <s v="CIVIL"/>
    <d v="2023-06-28T00:00:00"/>
    <d v="2023-07-06T19:21:01"/>
    <m/>
    <d v="2023-07-06T00:00:00"/>
    <n v="1132"/>
    <n v="2858"/>
    <s v="54266914"/>
    <s v="54266914"/>
    <m/>
    <m/>
    <n v="22779636"/>
    <m/>
    <m/>
    <m/>
    <s v="SOLFIN"/>
    <s v="SOLFIN"/>
    <s v="CCMS"/>
    <n v="21338333"/>
    <n v="7238.01"/>
    <m/>
    <s v="N"/>
    <n v="31"/>
    <d v="2023-07-06T19:21:20"/>
    <s v="Y"/>
    <s v="Preparation - other"/>
    <s v="Prescribed Hourly Rates"/>
    <s v="Profit Cost"/>
    <s v="VJ"/>
    <s v="Y"/>
    <n v="12.63"/>
    <n v="2.53"/>
    <x v="4"/>
    <s v="VALIDATED"/>
    <n v="1"/>
    <s v="01.11.80.307.6100.0000"/>
    <n v="12.63"/>
    <s v="11"/>
    <s v="6100"/>
    <n v="10392.41"/>
    <n v="12.63"/>
    <s v="CREDITOR"/>
    <n v="0"/>
    <n v="0"/>
    <n v="0"/>
    <n v="0"/>
    <n v="12.63"/>
  </r>
  <r>
    <n v="61075274"/>
    <s v="N"/>
    <n v="21338249"/>
    <s v="3000015268050007"/>
    <s v="CIVIL"/>
    <d v="2023-06-19T00:00:00"/>
    <d v="2023-07-06T19:21:01"/>
    <m/>
    <d v="2023-07-06T00:00:00"/>
    <n v="1135"/>
    <n v="2858"/>
    <s v="61075274"/>
    <s v="61075274"/>
    <m/>
    <m/>
    <n v="22717836"/>
    <m/>
    <m/>
    <m/>
    <s v="SOLFIN"/>
    <s v="SOLFIN"/>
    <s v="CCMS"/>
    <n v="21338249"/>
    <n v="2253.09"/>
    <m/>
    <s v="N"/>
    <n v="3"/>
    <d v="2023-07-06T19:21:14"/>
    <s v="Y"/>
    <s v="Toxicologist"/>
    <s v="Private Law Children"/>
    <s v="Expert Disbursement"/>
    <s v="VFJ"/>
    <s v="Y"/>
    <n v="312.5"/>
    <n v="62.5"/>
    <x v="4"/>
    <s v="VALIDATED"/>
    <n v="1"/>
    <s v="01.11.80.307.6300.0000"/>
    <n v="312.5"/>
    <s v="11"/>
    <s v="6300"/>
    <n v="0.59"/>
    <n v="312.5"/>
    <s v="CREDITOR"/>
    <n v="0"/>
    <n v="0"/>
    <n v="0"/>
    <n v="0"/>
    <n v="312.5"/>
  </r>
  <r>
    <n v="61041956"/>
    <s v="N"/>
    <n v="21343745"/>
    <s v="3000015240200013"/>
    <s v="CIVIL"/>
    <d v="2023-06-29T00:00:00"/>
    <d v="2023-07-07T19:03:00"/>
    <m/>
    <d v="2023-07-07T00:00:00"/>
    <n v="1135"/>
    <n v="2858"/>
    <s v="61041956"/>
    <s v="61041956"/>
    <m/>
    <m/>
    <n v="22788376"/>
    <m/>
    <m/>
    <m/>
    <s v="SOLPOA"/>
    <s v="SOLPOA"/>
    <s v="CCMS"/>
    <n v="21343745"/>
    <n v="215"/>
    <m/>
    <s v="N"/>
    <n v="1"/>
    <d v="2023-07-07T19:03:13"/>
    <s v="N"/>
    <s v="Non Expert Disbursement - Private L"/>
    <s v="Non Expert Disbursement - Priv"/>
    <s v="Non Expert Disbursement"/>
    <s v="Victoria Jones"/>
    <s v="N"/>
    <n v="215"/>
    <n v="0"/>
    <x v="9"/>
    <s v="VALIDATED"/>
    <n v="1"/>
    <s v="01.11.80.307.2012.0000"/>
    <n v="215"/>
    <s v="11"/>
    <s v="2012"/>
    <n v="0.59"/>
    <n v="215"/>
    <s v="CREDITOR"/>
    <n v="215"/>
    <n v="0"/>
    <n v="0"/>
    <n v="0"/>
    <n v="0"/>
  </r>
  <r>
    <n v="61075274"/>
    <s v="N"/>
    <n v="21338249"/>
    <s v="3000015268050007"/>
    <s v="CIVIL"/>
    <d v="2023-06-19T00:00:00"/>
    <d v="2023-07-06T19:21:01"/>
    <m/>
    <d v="2023-07-06T00:00:00"/>
    <n v="1135"/>
    <n v="2858"/>
    <s v="61075274"/>
    <s v="61075274"/>
    <m/>
    <m/>
    <n v="22717836"/>
    <m/>
    <m/>
    <m/>
    <s v="SOLFIN"/>
    <s v="SOLFIN"/>
    <s v="CCMS"/>
    <n v="21338249"/>
    <n v="2253.09"/>
    <m/>
    <s v="N"/>
    <n v="1"/>
    <d v="2023-07-06T19:21:14"/>
    <s v="Y"/>
    <s v="Court Fee"/>
    <s v="Private Law Children"/>
    <s v="Non Expert Disbursement"/>
    <s v="VFJ"/>
    <s v="Y"/>
    <n v="232"/>
    <n v="0"/>
    <x v="4"/>
    <s v="VALIDATED"/>
    <n v="1"/>
    <s v="01.11.80.307.6300.0000"/>
    <n v="232"/>
    <s v="11"/>
    <s v="6300"/>
    <n v="0.59"/>
    <n v="232"/>
    <s v="CREDITOR"/>
    <n v="0"/>
    <n v="0"/>
    <n v="0"/>
    <n v="0"/>
    <n v="232"/>
  </r>
  <r>
    <n v="61075274"/>
    <s v="N"/>
    <n v="21338249"/>
    <s v="3000015268050007"/>
    <s v="CIVIL"/>
    <d v="2023-06-19T00:00:00"/>
    <d v="2023-07-06T19:21:01"/>
    <m/>
    <d v="2023-07-06T00:00:00"/>
    <n v="1135"/>
    <n v="2858"/>
    <s v="61075274"/>
    <s v="61075274"/>
    <m/>
    <m/>
    <n v="22717836"/>
    <m/>
    <m/>
    <m/>
    <s v="SOLFIN"/>
    <s v="SOLFIN"/>
    <s v="CCMS"/>
    <n v="21338249"/>
    <n v="2253.09"/>
    <m/>
    <s v="N"/>
    <n v="4"/>
    <d v="2023-07-06T19:21:14"/>
    <s v="Y"/>
    <s v="Hearing Unit 1.01 - 2.30 Hours"/>
    <s v="Private Law Children"/>
    <s v="Advocacy"/>
    <s v="VFJ"/>
    <s v="Y"/>
    <n v="156.74"/>
    <n v="31.35"/>
    <x v="4"/>
    <s v="VALIDATED"/>
    <n v="1"/>
    <s v="01.11.80.307.6100.0000"/>
    <n v="156.74"/>
    <s v="11"/>
    <s v="6100"/>
    <n v="0.59"/>
    <n v="156.74"/>
    <s v="CREDITOR"/>
    <n v="0"/>
    <n v="0"/>
    <n v="0"/>
    <n v="0"/>
    <n v="156.74"/>
  </r>
  <r>
    <n v="61075274"/>
    <s v="N"/>
    <n v="21338249"/>
    <s v="3000015268050007"/>
    <s v="CIVIL"/>
    <d v="2023-06-19T00:00:00"/>
    <d v="2023-07-06T19:21:01"/>
    <m/>
    <d v="2023-07-06T00:00:00"/>
    <n v="1135"/>
    <n v="2858"/>
    <s v="61075274"/>
    <s v="61075274"/>
    <m/>
    <m/>
    <n v="22717836"/>
    <m/>
    <m/>
    <m/>
    <s v="SOLFIN"/>
    <s v="SOLFIN"/>
    <s v="CCMS"/>
    <n v="21338249"/>
    <n v="2253.09"/>
    <m/>
    <s v="N"/>
    <n v="2"/>
    <d v="2023-07-06T19:21:14"/>
    <s v="Y"/>
    <s v="Toxicologist"/>
    <s v="Private Law Children"/>
    <s v="Expert Disbursement"/>
    <s v="vfj"/>
    <s v="Y"/>
    <n v="862"/>
    <n v="172.4"/>
    <x v="4"/>
    <s v="VALIDATED"/>
    <n v="1"/>
    <s v="01.11.80.307.6300.0000"/>
    <n v="862"/>
    <s v="11"/>
    <s v="6300"/>
    <n v="0.59"/>
    <n v="862"/>
    <s v="CREDITOR"/>
    <n v="0"/>
    <n v="0"/>
    <n v="0"/>
    <n v="0"/>
    <n v="862"/>
  </r>
  <r>
    <n v="61075274"/>
    <s v="N"/>
    <n v="21338249"/>
    <s v="3000015268050007"/>
    <s v="CIVIL"/>
    <d v="2023-06-19T00:00:00"/>
    <d v="2023-07-06T19:21:01"/>
    <m/>
    <d v="2023-07-06T00:00:00"/>
    <n v="1135"/>
    <n v="2858"/>
    <s v="61075274"/>
    <s v="61075274"/>
    <m/>
    <m/>
    <n v="22717836"/>
    <m/>
    <m/>
    <m/>
    <s v="SOLFIN"/>
    <s v="SOLFIN"/>
    <s v="CCMS"/>
    <n v="21338249"/>
    <n v="2253.09"/>
    <m/>
    <s v="N"/>
    <n v="5"/>
    <d v="2023-07-06T19:21:14"/>
    <s v="Y"/>
    <s v="Level 3 Fixed Fee"/>
    <s v="Private Law Children"/>
    <s v="Profit Cost"/>
    <s v="VFJ"/>
    <s v="Y"/>
    <n v="353"/>
    <n v="70.59999999999999"/>
    <x v="4"/>
    <s v="VALIDATED"/>
    <n v="1"/>
    <s v="01.11.80.307.6100.0000"/>
    <n v="353"/>
    <s v="11"/>
    <s v="6100"/>
    <n v="0.59"/>
    <n v="353"/>
    <s v="CREDITOR"/>
    <n v="0"/>
    <n v="0"/>
    <n v="0"/>
    <n v="0"/>
    <n v="353"/>
  </r>
  <r>
    <n v="61075274"/>
    <s v="N"/>
    <n v="21319622"/>
    <s v="3000015268050006"/>
    <s v="CIVIL"/>
    <d v="2023-06-27T00:00:00"/>
    <d v="2023-07-03T19:04:24"/>
    <m/>
    <d v="2023-07-03T00:00:00"/>
    <n v="1135"/>
    <n v="2858"/>
    <s v="61075274"/>
    <s v="61075274"/>
    <m/>
    <m/>
    <n v="22771592"/>
    <m/>
    <m/>
    <m/>
    <s v="SOLPOA"/>
    <s v="SOLPOA"/>
    <s v="CCMS"/>
    <n v="21319622"/>
    <n v="53"/>
    <m/>
    <s v="N"/>
    <n v="1"/>
    <d v="2023-07-03T19:04:26"/>
    <s v="N"/>
    <s v="Non Expert Disbursement - Private L"/>
    <s v="Non Expert Disbursement - Priv"/>
    <s v="Non Expert Disbursement"/>
    <s v="Victoria Jones"/>
    <s v="N"/>
    <n v="53"/>
    <n v="0"/>
    <x v="3"/>
    <s v="VALIDATED"/>
    <n v="1"/>
    <s v="01.11.80.307.2012.0000"/>
    <n v="53"/>
    <s v="11"/>
    <s v="2012"/>
    <n v="0.59"/>
    <n v="53"/>
    <s v="CREDITOR"/>
    <n v="53"/>
    <n v="0"/>
    <n v="0"/>
    <n v="0"/>
    <n v="0"/>
  </r>
  <r>
    <n v="61075274"/>
    <s v="N"/>
    <n v="21339989"/>
    <s v="3000015268050003RC"/>
    <s v="CIVIL"/>
    <d v="2023-06-19T00:00:00"/>
    <d v="2023-07-06T19:54:22"/>
    <m/>
    <d v="2023-07-06T00:00:00"/>
    <n v="1135"/>
    <n v="2858"/>
    <s v="61075274"/>
    <s v="61075274"/>
    <m/>
    <m/>
    <m/>
    <m/>
    <m/>
    <m/>
    <s v="SOLRECOUP"/>
    <s v="SOLRECOUP"/>
    <s v="POARECOUP"/>
    <n v="21339989"/>
    <n v="-375"/>
    <m/>
    <s v="Y"/>
    <n v="1"/>
    <d v="2023-07-06T19:54:23"/>
    <s v="N"/>
    <m/>
    <m/>
    <s v="Expert Disbursement"/>
    <m/>
    <s v="N"/>
    <n v="-375"/>
    <n v="0"/>
    <x v="4"/>
    <s v="VALIDATED"/>
    <n v="1"/>
    <s v="01.11.80.307.2013.0000"/>
    <n v="-375"/>
    <s v="11"/>
    <s v="2013"/>
    <n v="0.59"/>
    <n v="-375"/>
    <s v="CREDITOR"/>
    <n v="0"/>
    <n v="0"/>
    <n v="-375"/>
    <n v="0"/>
    <n v="0"/>
  </r>
  <r>
    <n v="61075274"/>
    <s v="N"/>
    <n v="21339989"/>
    <s v="3000015268050003RC"/>
    <s v="CIVIL"/>
    <d v="2023-06-19T00:00:00"/>
    <d v="2023-07-06T19:54:22"/>
    <m/>
    <d v="2023-07-06T00:00:00"/>
    <n v="1135"/>
    <n v="2858"/>
    <s v="61075274"/>
    <s v="61075274"/>
    <m/>
    <m/>
    <m/>
    <m/>
    <m/>
    <m/>
    <s v="SOLRECOUP"/>
    <s v="SOLRECOUP"/>
    <s v="POARECOUP"/>
    <n v="21339989"/>
    <n v="-375"/>
    <m/>
    <s v="Y"/>
    <n v="2"/>
    <d v="2023-07-06T19:54:23"/>
    <s v="N"/>
    <m/>
    <m/>
    <s v="Expert Disbursement"/>
    <m/>
    <s v="N"/>
    <n v="0"/>
    <n v="0"/>
    <x v="4"/>
    <s v="VALIDATED"/>
    <n v="1"/>
    <s v="01.11.80.000.0000.0000"/>
    <n v="0"/>
    <s v="11"/>
    <s v="0000"/>
    <n v="0.59"/>
    <n v="0"/>
    <s v="CREDITOR"/>
    <n v="0"/>
    <n v="0"/>
    <n v="0"/>
    <n v="0"/>
    <n v="0"/>
  </r>
  <r>
    <n v="61075274"/>
    <s v="N"/>
    <n v="21339990"/>
    <s v="3000015268050002RC"/>
    <s v="CIVIL"/>
    <d v="2023-06-19T00:00:00"/>
    <d v="2023-07-06T19:54:22"/>
    <m/>
    <d v="2023-07-06T00:00:00"/>
    <n v="1135"/>
    <n v="2858"/>
    <s v="61075274"/>
    <s v="61075274"/>
    <m/>
    <m/>
    <m/>
    <m/>
    <m/>
    <m/>
    <s v="SOLRECOUP"/>
    <s v="SOLRECOUP"/>
    <s v="POARECOUP"/>
    <n v="21339990"/>
    <n v="-1034.4"/>
    <m/>
    <s v="Y"/>
    <n v="1"/>
    <d v="2023-07-06T19:54:23"/>
    <s v="N"/>
    <m/>
    <m/>
    <s v="Expert Disbursement"/>
    <m/>
    <s v="N"/>
    <n v="-1034.4"/>
    <n v="0"/>
    <x v="4"/>
    <s v="VALIDATED"/>
    <n v="1"/>
    <s v="01.11.80.307.2013.0000"/>
    <n v="-1034.4"/>
    <s v="11"/>
    <s v="2013"/>
    <n v="0.59"/>
    <n v="-1034.4"/>
    <s v="CREDITOR"/>
    <n v="0"/>
    <n v="0"/>
    <n v="-1034.4"/>
    <n v="0"/>
    <n v="0"/>
  </r>
  <r>
    <n v="61075274"/>
    <s v="N"/>
    <n v="21339990"/>
    <s v="3000015268050002RC"/>
    <s v="CIVIL"/>
    <d v="2023-06-19T00:00:00"/>
    <d v="2023-07-06T19:54:22"/>
    <m/>
    <d v="2023-07-06T00:00:00"/>
    <n v="1135"/>
    <n v="2858"/>
    <s v="61075274"/>
    <s v="61075274"/>
    <m/>
    <m/>
    <m/>
    <m/>
    <m/>
    <m/>
    <s v="SOLRECOUP"/>
    <s v="SOLRECOUP"/>
    <s v="POARECOUP"/>
    <n v="21339990"/>
    <n v="-1034.4"/>
    <m/>
    <s v="Y"/>
    <n v="2"/>
    <d v="2023-07-06T19:54:23"/>
    <s v="N"/>
    <m/>
    <m/>
    <s v="Expert Disbursement"/>
    <m/>
    <s v="N"/>
    <n v="0"/>
    <n v="0"/>
    <x v="4"/>
    <s v="VALIDATED"/>
    <n v="1"/>
    <s v="01.11.80.000.0000.0000"/>
    <n v="0"/>
    <s v="11"/>
    <s v="0000"/>
    <n v="0.59"/>
    <n v="0"/>
    <s v="CREDITOR"/>
    <n v="0"/>
    <n v="0"/>
    <n v="0"/>
    <n v="0"/>
    <n v="0"/>
  </r>
  <r>
    <n v="61075274"/>
    <s v="N"/>
    <n v="21339991"/>
    <s v="3000015268050006RC"/>
    <s v="CIVIL"/>
    <d v="2023-06-19T00:00:00"/>
    <d v="2023-07-06T19:54:22"/>
    <m/>
    <d v="2023-07-06T00:00:00"/>
    <n v="1135"/>
    <n v="2858"/>
    <s v="61075274"/>
    <s v="61075274"/>
    <m/>
    <m/>
    <m/>
    <m/>
    <m/>
    <m/>
    <s v="SOLRECOUP"/>
    <s v="SOLRECOUP"/>
    <s v="POARECOUP"/>
    <n v="21339991"/>
    <n v="-53"/>
    <m/>
    <s v="Y"/>
    <n v="1"/>
    <d v="2023-07-06T19:54:23"/>
    <s v="N"/>
    <m/>
    <m/>
    <s v="Non Expert Disbursement"/>
    <m/>
    <s v="N"/>
    <n v="-53"/>
    <n v="0"/>
    <x v="4"/>
    <s v="VALIDATED"/>
    <n v="1"/>
    <s v="01.11.80.307.2013.0000"/>
    <n v="-53"/>
    <s v="11"/>
    <s v="2013"/>
    <n v="0.59"/>
    <n v="-53"/>
    <s v="CREDITOR"/>
    <n v="0"/>
    <n v="0"/>
    <n v="-53"/>
    <n v="0"/>
    <n v="0"/>
  </r>
  <r>
    <n v="61075274"/>
    <s v="N"/>
    <n v="21339991"/>
    <s v="3000015268050006RC"/>
    <s v="CIVIL"/>
    <d v="2023-06-19T00:00:00"/>
    <d v="2023-07-06T19:54:22"/>
    <m/>
    <d v="2023-07-06T00:00:00"/>
    <n v="1135"/>
    <n v="2858"/>
    <s v="61075274"/>
    <s v="61075274"/>
    <m/>
    <m/>
    <m/>
    <m/>
    <m/>
    <m/>
    <s v="SOLRECOUP"/>
    <s v="SOLRECOUP"/>
    <s v="POARECOUP"/>
    <n v="21339991"/>
    <n v="-53"/>
    <m/>
    <s v="Y"/>
    <n v="2"/>
    <d v="2023-07-06T19:54:23"/>
    <s v="N"/>
    <m/>
    <m/>
    <s v="Non Expert Disbursement"/>
    <m/>
    <s v="N"/>
    <n v="0"/>
    <n v="0"/>
    <x v="4"/>
    <s v="VALIDATED"/>
    <n v="1"/>
    <s v="01.11.80.000.0000.0000"/>
    <n v="0"/>
    <s v="11"/>
    <s v="0000"/>
    <n v="0.59"/>
    <n v="0"/>
    <s v="CREDITOR"/>
    <n v="0"/>
    <n v="0"/>
    <n v="0"/>
    <n v="0"/>
    <n v="0"/>
  </r>
  <r>
    <n v="61075274"/>
    <s v="N"/>
    <n v="21339992"/>
    <s v="3000015268050004RC"/>
    <s v="CIVIL"/>
    <d v="2023-06-19T00:00:00"/>
    <d v="2023-07-06T19:54:22"/>
    <m/>
    <d v="2023-07-06T00:00:00"/>
    <n v="1135"/>
    <n v="2858"/>
    <s v="61075274"/>
    <s v="61075274"/>
    <m/>
    <m/>
    <m/>
    <m/>
    <m/>
    <m/>
    <s v="SOLRECOUP"/>
    <s v="SOLRECOUP"/>
    <s v="POARECOUP"/>
    <n v="21339992"/>
    <n v="-232"/>
    <m/>
    <s v="Y"/>
    <n v="1"/>
    <d v="2023-07-06T19:54:23"/>
    <s v="N"/>
    <m/>
    <m/>
    <s v="Non Expert Disbursement"/>
    <m/>
    <s v="N"/>
    <n v="-232"/>
    <n v="0"/>
    <x v="4"/>
    <s v="VALIDATED"/>
    <n v="1"/>
    <s v="01.11.80.307.2013.0000"/>
    <n v="-232"/>
    <s v="11"/>
    <s v="2013"/>
    <n v="0.59"/>
    <n v="-232"/>
    <s v="CREDITOR"/>
    <n v="0"/>
    <n v="0"/>
    <n v="-232"/>
    <n v="0"/>
    <n v="0"/>
  </r>
  <r>
    <n v="61075274"/>
    <s v="N"/>
    <n v="21339992"/>
    <s v="3000015268050004RC"/>
    <s v="CIVIL"/>
    <d v="2023-06-19T00:00:00"/>
    <d v="2023-07-06T19:54:22"/>
    <m/>
    <d v="2023-07-06T00:00:00"/>
    <n v="1135"/>
    <n v="2858"/>
    <s v="61075274"/>
    <s v="61075274"/>
    <m/>
    <m/>
    <m/>
    <m/>
    <m/>
    <m/>
    <s v="SOLRECOUP"/>
    <s v="SOLRECOUP"/>
    <s v="POARECOUP"/>
    <n v="21339992"/>
    <n v="-232"/>
    <m/>
    <s v="Y"/>
    <n v="2"/>
    <d v="2023-07-06T19:54:23"/>
    <s v="N"/>
    <m/>
    <m/>
    <s v="Non Expert Disbursement"/>
    <m/>
    <s v="N"/>
    <n v="0"/>
    <n v="0"/>
    <x v="4"/>
    <s v="VALIDATED"/>
    <n v="1"/>
    <s v="01.11.80.000.0000.0000"/>
    <n v="0"/>
    <s v="11"/>
    <s v="0000"/>
    <n v="0.59"/>
    <n v="0"/>
    <s v="CREDITOR"/>
    <n v="0"/>
    <n v="0"/>
    <n v="0"/>
    <n v="0"/>
    <n v="0"/>
  </r>
  <r>
    <n v="61075274"/>
    <s v="N"/>
    <n v="21339993"/>
    <s v="3000015268050001RC"/>
    <s v="CIVIL"/>
    <d v="2023-06-19T00:00:00"/>
    <d v="2023-07-06T19:54:22"/>
    <m/>
    <d v="2023-07-06T00:00:00"/>
    <n v="1135"/>
    <n v="2858"/>
    <s v="61075274"/>
    <s v="61075274"/>
    <m/>
    <m/>
    <m/>
    <m/>
    <m/>
    <m/>
    <s v="SOLRECOUP"/>
    <s v="SOLRECOUP"/>
    <s v="POARECOUP"/>
    <n v="21339993"/>
    <n v="-489.25"/>
    <m/>
    <s v="Y"/>
    <n v="1"/>
    <d v="2023-07-06T19:54:23"/>
    <s v="N"/>
    <m/>
    <m/>
    <s v="Profit Cost"/>
    <m/>
    <s v="N"/>
    <n v="-407.71"/>
    <n v="0"/>
    <x v="4"/>
    <s v="VALIDATED"/>
    <n v="1"/>
    <s v="01.11.80.307.2013.0000"/>
    <n v="-407.71"/>
    <s v="11"/>
    <s v="2013"/>
    <n v="0.59"/>
    <n v="-407.71"/>
    <s v="CREDITOR"/>
    <n v="0"/>
    <n v="0"/>
    <n v="-407.71"/>
    <n v="-101.9275"/>
    <n v="0"/>
  </r>
  <r>
    <n v="61075274"/>
    <s v="N"/>
    <n v="21339993"/>
    <s v="3000015268050001RC"/>
    <s v="CIVIL"/>
    <d v="2023-06-19T00:00:00"/>
    <d v="2023-07-06T19:54:22"/>
    <m/>
    <d v="2023-07-06T00:00:00"/>
    <n v="1135"/>
    <n v="2858"/>
    <s v="61075274"/>
    <s v="61075274"/>
    <m/>
    <m/>
    <m/>
    <m/>
    <m/>
    <m/>
    <s v="SOLRECOUP"/>
    <s v="SOLRECOUP"/>
    <s v="POARECOUP"/>
    <n v="21339993"/>
    <n v="-489.25"/>
    <m/>
    <s v="Y"/>
    <n v="2"/>
    <d v="2023-07-06T19:54:23"/>
    <s v="N"/>
    <m/>
    <m/>
    <s v="Profit Cost"/>
    <m/>
    <s v="N"/>
    <n v="0"/>
    <n v="-81.54000000000001"/>
    <x v="4"/>
    <s v="VALIDATED"/>
    <n v="1"/>
    <s v="01.11.80.307.2013.0000"/>
    <n v="-81.54000000000001"/>
    <s v="11"/>
    <s v="2013"/>
    <n v="0.59"/>
    <n v="-81.54000000000001"/>
    <s v="CREDITOR"/>
    <n v="0"/>
    <n v="0"/>
    <n v="-81.54000000000001"/>
    <n v="-20.385"/>
    <n v="0"/>
  </r>
  <r>
    <n v="61263761"/>
    <s v="N"/>
    <n v="21324453"/>
    <s v="3000015400520001RC"/>
    <s v="CIVIL"/>
    <d v="2023-06-23T00:00:00"/>
    <d v="2023-07-03T19:42:50"/>
    <m/>
    <d v="2023-07-03T00:00:00"/>
    <n v="1138"/>
    <n v="2880"/>
    <s v="61263761"/>
    <s v="61263761"/>
    <m/>
    <m/>
    <m/>
    <m/>
    <m/>
    <m/>
    <s v="SOLRECOUP"/>
    <s v="SOLRECOUP"/>
    <s v="POARECOUP"/>
    <n v="21324453"/>
    <n v="-446.64"/>
    <m/>
    <s v="Y"/>
    <n v="1"/>
    <d v="2023-07-03T19:42:51"/>
    <s v="N"/>
    <m/>
    <m/>
    <s v="Non Expert Disbursement"/>
    <m/>
    <s v="N"/>
    <n v="-372.2"/>
    <n v="0"/>
    <x v="3"/>
    <s v="VALIDATED"/>
    <n v="1"/>
    <s v="01.11.80.305.2013.0000"/>
    <n v="-372.2"/>
    <s v="11"/>
    <s v="2013"/>
    <n v="-8303.01"/>
    <n v="-372.2"/>
    <s v="DEBTOR"/>
    <n v="0"/>
    <n v="0"/>
    <n v="0"/>
    <n v="0"/>
    <n v="0"/>
  </r>
  <r>
    <n v="61138595"/>
    <s v="N"/>
    <n v="21346394"/>
    <s v="3000015324210003RC"/>
    <s v="CIVIL"/>
    <d v="2023-06-23T00:00:00"/>
    <d v="2023-07-07T19:34:21"/>
    <m/>
    <d v="2023-07-07T00:00:00"/>
    <n v="1138"/>
    <n v="2880"/>
    <s v="61138595"/>
    <s v="61138595"/>
    <m/>
    <m/>
    <m/>
    <m/>
    <m/>
    <m/>
    <s v="SOLRECOUP"/>
    <s v="SOLRECOUP"/>
    <s v="POARECOUP"/>
    <n v="21346394"/>
    <n v="-579.84"/>
    <m/>
    <s v="Y"/>
    <n v="1"/>
    <d v="2023-07-07T19:34:23"/>
    <s v="N"/>
    <m/>
    <m/>
    <s v="Profit Cost"/>
    <m/>
    <s v="N"/>
    <n v="-483.2"/>
    <n v="0"/>
    <x v="9"/>
    <s v="VALIDATED"/>
    <n v="1"/>
    <s v="01.11.80.307.2013.0000"/>
    <n v="-483.2"/>
    <s v="11"/>
    <s v="2013"/>
    <n v="-8303.01"/>
    <n v="-483.2"/>
    <s v="DEBTOR"/>
    <n v="0"/>
    <n v="0"/>
    <n v="0"/>
    <n v="0"/>
    <n v="0"/>
  </r>
  <r>
    <n v="61138595"/>
    <s v="N"/>
    <n v="21346394"/>
    <s v="3000015324210003RC"/>
    <s v="CIVIL"/>
    <d v="2023-06-23T00:00:00"/>
    <d v="2023-07-07T19:34:21"/>
    <m/>
    <d v="2023-07-07T00:00:00"/>
    <n v="1138"/>
    <n v="2880"/>
    <s v="61138595"/>
    <s v="61138595"/>
    <m/>
    <m/>
    <m/>
    <m/>
    <m/>
    <m/>
    <s v="SOLRECOUP"/>
    <s v="SOLRECOUP"/>
    <s v="POARECOUP"/>
    <n v="21346394"/>
    <n v="-579.84"/>
    <m/>
    <s v="Y"/>
    <n v="2"/>
    <d v="2023-07-07T19:34:23"/>
    <s v="N"/>
    <m/>
    <m/>
    <s v="Profit Cost"/>
    <m/>
    <s v="N"/>
    <n v="0"/>
    <n v="-96.64"/>
    <x v="9"/>
    <s v="VALIDATED"/>
    <n v="1"/>
    <s v="01.11.80.307.2013.0000"/>
    <n v="-96.64"/>
    <s v="11"/>
    <s v="2013"/>
    <n v="-8303.01"/>
    <n v="-96.64"/>
    <s v="DEBTOR"/>
    <n v="0"/>
    <n v="0"/>
    <n v="0"/>
    <n v="0"/>
    <n v="0"/>
  </r>
  <r>
    <n v="60320721"/>
    <s v="N"/>
    <n v="21399266"/>
    <s v="3000014622640012RC"/>
    <s v="CIVIL"/>
    <d v="2023-06-28T00:00:00"/>
    <d v="2023-07-19T19:43:58"/>
    <m/>
    <d v="2023-07-19T00:00:00"/>
    <n v="1138"/>
    <n v="2880"/>
    <s v="60320721"/>
    <s v="60320721"/>
    <m/>
    <m/>
    <m/>
    <m/>
    <m/>
    <m/>
    <s v="SOLRECOUP"/>
    <s v="SOLRECOUP"/>
    <s v="POARECOUP"/>
    <n v="21399266"/>
    <n v="-226.8"/>
    <m/>
    <s v="Y"/>
    <n v="2"/>
    <d v="2023-07-19T19:44:02"/>
    <s v="N"/>
    <m/>
    <m/>
    <s v="Non Expert Disbursement"/>
    <m/>
    <s v="N"/>
    <n v="0"/>
    <n v="-37.8"/>
    <x v="5"/>
    <s v="VALIDATED"/>
    <n v="1"/>
    <s v="01.11.80.308.2013.0000"/>
    <n v="-37.8"/>
    <s v="11"/>
    <s v="2013"/>
    <n v="-8303.01"/>
    <n v="-37.8"/>
    <s v="DEBTOR"/>
    <n v="0"/>
    <n v="0"/>
    <n v="0"/>
    <n v="0"/>
    <n v="0"/>
  </r>
  <r>
    <n v="60320721"/>
    <s v="N"/>
    <n v="21399266"/>
    <s v="3000014622640012RC"/>
    <s v="CIVIL"/>
    <d v="2023-06-28T00:00:00"/>
    <d v="2023-07-19T19:43:58"/>
    <m/>
    <d v="2023-07-19T00:00:00"/>
    <n v="1138"/>
    <n v="2880"/>
    <s v="60320721"/>
    <s v="60320721"/>
    <m/>
    <m/>
    <m/>
    <m/>
    <m/>
    <m/>
    <s v="SOLRECOUP"/>
    <s v="SOLRECOUP"/>
    <s v="POARECOUP"/>
    <n v="21399266"/>
    <n v="-226.8"/>
    <m/>
    <s v="Y"/>
    <n v="1"/>
    <d v="2023-07-19T19:44:02"/>
    <s v="N"/>
    <m/>
    <m/>
    <s v="Non Expert Disbursement"/>
    <m/>
    <s v="N"/>
    <n v="-189"/>
    <n v="0"/>
    <x v="5"/>
    <s v="VALIDATED"/>
    <n v="1"/>
    <s v="01.11.80.308.2013.0000"/>
    <n v="-189"/>
    <s v="11"/>
    <s v="2013"/>
    <n v="-8303.01"/>
    <n v="-189"/>
    <s v="DEBTOR"/>
    <n v="0"/>
    <n v="0"/>
    <n v="0"/>
    <n v="0"/>
    <n v="0"/>
  </r>
  <r>
    <n v="60320721"/>
    <s v="N"/>
    <n v="21399433"/>
    <s v="3000014622640003RC"/>
    <s v="CIVIL"/>
    <d v="2023-06-28T00:00:00"/>
    <d v="2023-07-19T19:44:15"/>
    <m/>
    <d v="2023-07-19T00:00:00"/>
    <n v="1138"/>
    <n v="2880"/>
    <s v="60320721"/>
    <s v="60320721"/>
    <m/>
    <m/>
    <m/>
    <m/>
    <m/>
    <m/>
    <s v="SOLRECOUP"/>
    <s v="SOLRECOUP"/>
    <s v="POARECOUP"/>
    <n v="21399433"/>
    <n v="-2620.8"/>
    <m/>
    <s v="Y"/>
    <n v="2"/>
    <d v="2023-07-19T19:44:15"/>
    <s v="N"/>
    <m/>
    <m/>
    <s v="Profit Cost"/>
    <m/>
    <s v="N"/>
    <n v="0"/>
    <n v="-436.8"/>
    <x v="5"/>
    <s v="VALIDATED"/>
    <n v="1"/>
    <s v="01.11.80.308.2013.0000"/>
    <n v="-436.8"/>
    <s v="11"/>
    <s v="2013"/>
    <n v="-8303.01"/>
    <n v="-436.8"/>
    <s v="DEBTOR"/>
    <n v="0"/>
    <n v="0"/>
    <n v="0"/>
    <n v="0"/>
    <n v="0"/>
  </r>
  <r>
    <n v="60320721"/>
    <s v="N"/>
    <n v="21399433"/>
    <s v="3000014622640003RC"/>
    <s v="CIVIL"/>
    <d v="2023-06-28T00:00:00"/>
    <d v="2023-07-19T19:44:15"/>
    <m/>
    <d v="2023-07-19T00:00:00"/>
    <n v="1138"/>
    <n v="2880"/>
    <s v="60320721"/>
    <s v="60320721"/>
    <m/>
    <m/>
    <m/>
    <m/>
    <m/>
    <m/>
    <s v="SOLRECOUP"/>
    <s v="SOLRECOUP"/>
    <s v="POARECOUP"/>
    <n v="21399433"/>
    <n v="-2620.8"/>
    <m/>
    <s v="Y"/>
    <n v="1"/>
    <d v="2023-07-19T19:44:15"/>
    <s v="N"/>
    <m/>
    <m/>
    <s v="Profit Cost"/>
    <m/>
    <s v="N"/>
    <n v="-2184"/>
    <n v="0"/>
    <x v="5"/>
    <s v="VALIDATED"/>
    <n v="1"/>
    <s v="01.11.80.308.2013.0000"/>
    <n v="-2184"/>
    <s v="11"/>
    <s v="2013"/>
    <n v="-8303.01"/>
    <n v="-2184"/>
    <s v="DEBTOR"/>
    <n v="0"/>
    <n v="0"/>
    <n v="0"/>
    <n v="0"/>
    <n v="0"/>
  </r>
  <r>
    <n v="60320721"/>
    <s v="N"/>
    <n v="21399530"/>
    <s v="3000014622640009RC"/>
    <s v="CIVIL"/>
    <d v="2023-06-28T00:00:00"/>
    <d v="2023-07-19T19:44:15"/>
    <m/>
    <d v="2023-07-19T00:00:00"/>
    <n v="1138"/>
    <n v="2880"/>
    <s v="60320721"/>
    <s v="60320721"/>
    <m/>
    <m/>
    <m/>
    <m/>
    <m/>
    <m/>
    <s v="SOLRECOUP"/>
    <s v="SOLRECOUP"/>
    <s v="POARECOUP"/>
    <n v="21399530"/>
    <n v="-162"/>
    <m/>
    <s v="Y"/>
    <n v="2"/>
    <d v="2023-07-19T19:44:15"/>
    <s v="N"/>
    <m/>
    <m/>
    <s v="Non Expert Disbursement"/>
    <m/>
    <s v="N"/>
    <n v="0"/>
    <n v="-27"/>
    <x v="5"/>
    <s v="VALIDATED"/>
    <n v="1"/>
    <s v="01.11.80.308.2013.0000"/>
    <n v="-27"/>
    <s v="11"/>
    <s v="2013"/>
    <n v="-8303.01"/>
    <n v="-27"/>
    <s v="DEBTOR"/>
    <n v="0"/>
    <n v="0"/>
    <n v="0"/>
    <n v="0"/>
    <n v="0"/>
  </r>
  <r>
    <n v="60320721"/>
    <s v="N"/>
    <n v="21399530"/>
    <s v="3000014622640009RC"/>
    <s v="CIVIL"/>
    <d v="2023-06-28T00:00:00"/>
    <d v="2023-07-19T19:44:15"/>
    <m/>
    <d v="2023-07-19T00:00:00"/>
    <n v="1138"/>
    <n v="2880"/>
    <s v="60320721"/>
    <s v="60320721"/>
    <m/>
    <m/>
    <m/>
    <m/>
    <m/>
    <m/>
    <s v="SOLRECOUP"/>
    <s v="SOLRECOUP"/>
    <s v="POARECOUP"/>
    <n v="21399530"/>
    <n v="-162"/>
    <m/>
    <s v="Y"/>
    <n v="1"/>
    <d v="2023-07-19T19:44:15"/>
    <s v="N"/>
    <m/>
    <m/>
    <s v="Non Expert Disbursement"/>
    <m/>
    <s v="N"/>
    <n v="-135"/>
    <n v="0"/>
    <x v="5"/>
    <s v="VALIDATED"/>
    <n v="1"/>
    <s v="01.11.80.308.2013.0000"/>
    <n v="-135"/>
    <s v="11"/>
    <s v="2013"/>
    <n v="-8303.01"/>
    <n v="-135"/>
    <s v="DEBTOR"/>
    <n v="0"/>
    <n v="0"/>
    <n v="0"/>
    <n v="0"/>
    <n v="0"/>
  </r>
  <r>
    <n v="60320721"/>
    <s v="N"/>
    <n v="21399759"/>
    <s v="3000014622640013RC"/>
    <s v="CIVIL"/>
    <d v="2023-06-28T00:00:00"/>
    <d v="2023-07-19T19:44:15"/>
    <m/>
    <d v="2023-07-19T00:00:00"/>
    <n v="1138"/>
    <n v="2880"/>
    <s v="60320721"/>
    <s v="60320721"/>
    <m/>
    <m/>
    <m/>
    <m/>
    <m/>
    <m/>
    <s v="SOLRECOUP"/>
    <s v="SOLRECOUP"/>
    <s v="POARECOUP"/>
    <n v="21399759"/>
    <n v="-183.6"/>
    <m/>
    <s v="Y"/>
    <n v="1"/>
    <d v="2023-07-19T19:44:16"/>
    <s v="N"/>
    <m/>
    <m/>
    <s v="Non Expert Disbursement"/>
    <m/>
    <s v="N"/>
    <n v="-153"/>
    <n v="0"/>
    <x v="5"/>
    <s v="VALIDATED"/>
    <n v="1"/>
    <s v="01.11.80.308.2013.0000"/>
    <n v="-153"/>
    <s v="11"/>
    <s v="2013"/>
    <n v="-8303.01"/>
    <n v="-153"/>
    <s v="DEBTOR"/>
    <n v="0"/>
    <n v="0"/>
    <n v="0"/>
    <n v="0"/>
    <n v="0"/>
  </r>
  <r>
    <n v="60320721"/>
    <s v="N"/>
    <n v="21399759"/>
    <s v="3000014622640013RC"/>
    <s v="CIVIL"/>
    <d v="2023-06-28T00:00:00"/>
    <d v="2023-07-19T19:44:15"/>
    <m/>
    <d v="2023-07-19T00:00:00"/>
    <n v="1138"/>
    <n v="2880"/>
    <s v="60320721"/>
    <s v="60320721"/>
    <m/>
    <m/>
    <m/>
    <m/>
    <m/>
    <m/>
    <s v="SOLRECOUP"/>
    <s v="SOLRECOUP"/>
    <s v="POARECOUP"/>
    <n v="21399759"/>
    <n v="-183.6"/>
    <m/>
    <s v="Y"/>
    <n v="2"/>
    <d v="2023-07-19T19:44:16"/>
    <s v="N"/>
    <m/>
    <m/>
    <s v="Non Expert Disbursement"/>
    <m/>
    <s v="N"/>
    <n v="0"/>
    <n v="-30.6"/>
    <x v="5"/>
    <s v="VALIDATED"/>
    <n v="1"/>
    <s v="01.11.80.308.2013.0000"/>
    <n v="-30.6"/>
    <s v="11"/>
    <s v="2013"/>
    <n v="-8303.01"/>
    <n v="-30.6"/>
    <s v="DEBTOR"/>
    <n v="0"/>
    <n v="0"/>
    <n v="0"/>
    <n v="0"/>
    <n v="0"/>
  </r>
  <r>
    <n v="60320721"/>
    <s v="N"/>
    <n v="21399904"/>
    <s v="3000014622640014RC"/>
    <s v="CIVIL"/>
    <d v="2023-06-28T00:00:00"/>
    <d v="2023-07-19T19:44:15"/>
    <m/>
    <d v="2023-07-19T00:00:00"/>
    <n v="1138"/>
    <n v="2880"/>
    <s v="60320721"/>
    <s v="60320721"/>
    <m/>
    <m/>
    <m/>
    <m/>
    <m/>
    <m/>
    <s v="SOLRECOUP"/>
    <s v="SOLRECOUP"/>
    <s v="POARECOUP"/>
    <n v="21399904"/>
    <n v="-220.32"/>
    <m/>
    <s v="Y"/>
    <n v="2"/>
    <d v="2023-07-19T19:44:17"/>
    <s v="N"/>
    <m/>
    <m/>
    <s v="Non Expert Disbursement"/>
    <m/>
    <s v="N"/>
    <n v="0"/>
    <n v="-36.72"/>
    <x v="5"/>
    <s v="VALIDATED"/>
    <n v="1"/>
    <s v="01.11.80.308.2013.0000"/>
    <n v="-36.72"/>
    <s v="11"/>
    <s v="2013"/>
    <n v="-8303.01"/>
    <n v="-36.72"/>
    <s v="DEBTOR"/>
    <n v="0"/>
    <n v="0"/>
    <n v="0"/>
    <n v="0"/>
    <n v="0"/>
  </r>
  <r>
    <n v="60320721"/>
    <s v="N"/>
    <n v="21399904"/>
    <s v="3000014622640014RC"/>
    <s v="CIVIL"/>
    <d v="2023-06-28T00:00:00"/>
    <d v="2023-07-19T19:44:15"/>
    <m/>
    <d v="2023-07-19T00:00:00"/>
    <n v="1138"/>
    <n v="2880"/>
    <s v="60320721"/>
    <s v="60320721"/>
    <m/>
    <m/>
    <m/>
    <m/>
    <m/>
    <m/>
    <s v="SOLRECOUP"/>
    <s v="SOLRECOUP"/>
    <s v="POARECOUP"/>
    <n v="21399904"/>
    <n v="-220.32"/>
    <m/>
    <s v="Y"/>
    <n v="1"/>
    <d v="2023-07-19T19:44:17"/>
    <s v="N"/>
    <m/>
    <m/>
    <s v="Non Expert Disbursement"/>
    <m/>
    <s v="N"/>
    <n v="-183.6"/>
    <n v="0"/>
    <x v="5"/>
    <s v="VALIDATED"/>
    <n v="1"/>
    <s v="01.11.80.308.2013.0000"/>
    <n v="-183.6"/>
    <s v="11"/>
    <s v="2013"/>
    <n v="-8303.01"/>
    <n v="-183.6"/>
    <s v="DEBTOR"/>
    <n v="0"/>
    <n v="0"/>
    <n v="0"/>
    <n v="0"/>
    <n v="0"/>
  </r>
  <r>
    <n v="60320721"/>
    <s v="N"/>
    <n v="21398918"/>
    <s v="3000014622640002RC"/>
    <s v="CIVIL"/>
    <d v="2023-06-28T00:00:00"/>
    <d v="2023-07-19T19:43:58"/>
    <m/>
    <d v="2023-07-19T00:00:00"/>
    <n v="1138"/>
    <n v="2880"/>
    <s v="60320721"/>
    <s v="60320721"/>
    <m/>
    <m/>
    <m/>
    <m/>
    <m/>
    <m/>
    <s v="SOLRECOUP"/>
    <s v="SOLRECOUP"/>
    <s v="POARECOUP"/>
    <n v="21398918"/>
    <n v="-2275.2"/>
    <m/>
    <s v="Y"/>
    <n v="1"/>
    <d v="2023-07-19T19:44:00"/>
    <s v="N"/>
    <m/>
    <m/>
    <s v="Profit Cost"/>
    <m/>
    <s v="N"/>
    <n v="-1896"/>
    <n v="0"/>
    <x v="5"/>
    <s v="VALIDATED"/>
    <n v="1"/>
    <s v="01.11.80.308.2013.0000"/>
    <n v="-1896"/>
    <s v="11"/>
    <s v="2013"/>
    <n v="-8303.01"/>
    <n v="-1896"/>
    <s v="DEBTOR"/>
    <n v="0"/>
    <n v="0"/>
    <n v="0"/>
    <n v="0"/>
    <n v="0"/>
  </r>
  <r>
    <n v="60320721"/>
    <s v="N"/>
    <n v="21398918"/>
    <s v="3000014622640002RC"/>
    <s v="CIVIL"/>
    <d v="2023-06-28T00:00:00"/>
    <d v="2023-07-19T19:43:58"/>
    <m/>
    <d v="2023-07-19T00:00:00"/>
    <n v="1138"/>
    <n v="2880"/>
    <s v="60320721"/>
    <s v="60320721"/>
    <m/>
    <m/>
    <m/>
    <m/>
    <m/>
    <m/>
    <s v="SOLRECOUP"/>
    <s v="SOLRECOUP"/>
    <s v="POARECOUP"/>
    <n v="21398918"/>
    <n v="-2275.2"/>
    <m/>
    <s v="Y"/>
    <n v="2"/>
    <d v="2023-07-19T19:44:00"/>
    <s v="N"/>
    <m/>
    <m/>
    <s v="Profit Cost"/>
    <m/>
    <s v="N"/>
    <n v="0"/>
    <n v="-379.2"/>
    <x v="5"/>
    <s v="VALIDATED"/>
    <n v="1"/>
    <s v="01.11.80.308.2013.0000"/>
    <n v="-379.2"/>
    <s v="11"/>
    <s v="2013"/>
    <n v="-8303.01"/>
    <n v="-379.2"/>
    <s v="DEBTOR"/>
    <n v="0"/>
    <n v="0"/>
    <n v="0"/>
    <n v="0"/>
    <n v="0"/>
  </r>
  <r>
    <n v="60320721"/>
    <s v="N"/>
    <n v="21398987"/>
    <s v="3000014622640004RC"/>
    <s v="CIVIL"/>
    <d v="2023-06-28T00:00:00"/>
    <d v="2023-07-19T19:43:58"/>
    <m/>
    <d v="2023-07-19T00:00:00"/>
    <n v="1138"/>
    <n v="2880"/>
    <s v="60320721"/>
    <s v="60320721"/>
    <m/>
    <m/>
    <m/>
    <m/>
    <m/>
    <m/>
    <s v="SOLRECOUP"/>
    <s v="SOLRECOUP"/>
    <s v="POARECOUP"/>
    <n v="21398987"/>
    <n v="-486"/>
    <m/>
    <s v="Y"/>
    <n v="1"/>
    <d v="2023-07-19T19:44:01"/>
    <s v="N"/>
    <m/>
    <m/>
    <s v="Non Expert Disbursement"/>
    <m/>
    <s v="N"/>
    <n v="-405"/>
    <n v="0"/>
    <x v="5"/>
    <s v="VALIDATED"/>
    <n v="1"/>
    <s v="01.11.80.308.2013.0000"/>
    <n v="-405"/>
    <s v="11"/>
    <s v="2013"/>
    <n v="-8303.01"/>
    <n v="-405"/>
    <s v="DEBTOR"/>
    <n v="0"/>
    <n v="0"/>
    <n v="0"/>
    <n v="0"/>
    <n v="0"/>
  </r>
  <r>
    <n v="60320721"/>
    <s v="N"/>
    <n v="21398987"/>
    <s v="3000014622640004RC"/>
    <s v="CIVIL"/>
    <d v="2023-06-28T00:00:00"/>
    <d v="2023-07-19T19:43:58"/>
    <m/>
    <d v="2023-07-19T00:00:00"/>
    <n v="1138"/>
    <n v="2880"/>
    <s v="60320721"/>
    <s v="60320721"/>
    <m/>
    <m/>
    <m/>
    <m/>
    <m/>
    <m/>
    <s v="SOLRECOUP"/>
    <s v="SOLRECOUP"/>
    <s v="POARECOUP"/>
    <n v="21398987"/>
    <n v="-486"/>
    <m/>
    <s v="Y"/>
    <n v="2"/>
    <d v="2023-07-19T19:44:01"/>
    <s v="N"/>
    <m/>
    <m/>
    <s v="Non Expert Disbursement"/>
    <m/>
    <s v="N"/>
    <n v="0"/>
    <n v="-81"/>
    <x v="5"/>
    <s v="VALIDATED"/>
    <n v="1"/>
    <s v="01.11.80.308.2013.0000"/>
    <n v="-81"/>
    <s v="11"/>
    <s v="2013"/>
    <n v="-8303.01"/>
    <n v="-81"/>
    <s v="DEBTOR"/>
    <n v="0"/>
    <n v="0"/>
    <n v="0"/>
    <n v="0"/>
    <n v="0"/>
  </r>
  <r>
    <n v="60320721"/>
    <s v="N"/>
    <n v="21399031"/>
    <s v="3000014622640007RC"/>
    <s v="CIVIL"/>
    <d v="2023-06-28T00:00:00"/>
    <d v="2023-07-19T19:43:58"/>
    <m/>
    <d v="2023-07-19T00:00:00"/>
    <n v="1138"/>
    <n v="2880"/>
    <s v="60320721"/>
    <s v="60320721"/>
    <m/>
    <m/>
    <m/>
    <m/>
    <m/>
    <m/>
    <s v="SOLRECOUP"/>
    <s v="SOLRECOUP"/>
    <s v="POARECOUP"/>
    <n v="21399031"/>
    <n v="-1350"/>
    <m/>
    <s v="Y"/>
    <n v="1"/>
    <d v="2023-07-19T19:44:01"/>
    <s v="N"/>
    <m/>
    <m/>
    <s v="Non Expert Disbursement"/>
    <m/>
    <s v="N"/>
    <n v="-1125"/>
    <n v="0"/>
    <x v="5"/>
    <s v="VALIDATED"/>
    <n v="1"/>
    <s v="01.11.80.308.2013.0000"/>
    <n v="-1125"/>
    <s v="11"/>
    <s v="2013"/>
    <n v="-8303.01"/>
    <n v="-1125"/>
    <s v="DEBTOR"/>
    <n v="0"/>
    <n v="0"/>
    <n v="0"/>
    <n v="0"/>
    <n v="0"/>
  </r>
  <r>
    <n v="60320721"/>
    <s v="N"/>
    <n v="21399031"/>
    <s v="3000014622640007RC"/>
    <s v="CIVIL"/>
    <d v="2023-06-28T00:00:00"/>
    <d v="2023-07-19T19:43:58"/>
    <m/>
    <d v="2023-07-19T00:00:00"/>
    <n v="1138"/>
    <n v="2880"/>
    <s v="60320721"/>
    <s v="60320721"/>
    <m/>
    <m/>
    <m/>
    <m/>
    <m/>
    <m/>
    <s v="SOLRECOUP"/>
    <s v="SOLRECOUP"/>
    <s v="POARECOUP"/>
    <n v="21399031"/>
    <n v="-1350"/>
    <m/>
    <s v="Y"/>
    <n v="2"/>
    <d v="2023-07-19T19:44:01"/>
    <s v="N"/>
    <m/>
    <m/>
    <s v="Non Expert Disbursement"/>
    <m/>
    <s v="N"/>
    <n v="0"/>
    <n v="-225"/>
    <x v="5"/>
    <s v="VALIDATED"/>
    <n v="1"/>
    <s v="01.11.80.308.2013.0000"/>
    <n v="-225"/>
    <s v="11"/>
    <s v="2013"/>
    <n v="-8303.01"/>
    <n v="-225"/>
    <s v="DEBTOR"/>
    <n v="0"/>
    <n v="0"/>
    <n v="0"/>
    <n v="0"/>
    <n v="0"/>
  </r>
  <r>
    <n v="60320721"/>
    <s v="N"/>
    <n v="21399120"/>
    <s v="3000014622640010RC"/>
    <s v="CIVIL"/>
    <d v="2023-06-28T00:00:00"/>
    <d v="2023-07-19T19:43:58"/>
    <m/>
    <d v="2023-07-19T00:00:00"/>
    <n v="1138"/>
    <n v="2880"/>
    <s v="60320721"/>
    <s v="60320721"/>
    <m/>
    <m/>
    <m/>
    <m/>
    <m/>
    <m/>
    <s v="SOLRECOUP"/>
    <s v="SOLRECOUP"/>
    <s v="POARECOUP"/>
    <n v="21399120"/>
    <n v="-3360"/>
    <m/>
    <s v="Y"/>
    <n v="1"/>
    <d v="2023-07-19T19:44:01"/>
    <s v="N"/>
    <m/>
    <m/>
    <s v="Profit Cost"/>
    <m/>
    <s v="N"/>
    <n v="-2800"/>
    <n v="0"/>
    <x v="5"/>
    <s v="VALIDATED"/>
    <n v="1"/>
    <s v="01.11.80.308.2013.0000"/>
    <n v="-2800"/>
    <s v="11"/>
    <s v="2013"/>
    <n v="-8303.01"/>
    <n v="-2800"/>
    <s v="DEBTOR"/>
    <n v="0"/>
    <n v="0"/>
    <n v="0"/>
    <n v="0"/>
    <n v="0"/>
  </r>
  <r>
    <n v="60320721"/>
    <s v="N"/>
    <n v="21399120"/>
    <s v="3000014622640010RC"/>
    <s v="CIVIL"/>
    <d v="2023-06-28T00:00:00"/>
    <d v="2023-07-19T19:43:58"/>
    <m/>
    <d v="2023-07-19T00:00:00"/>
    <n v="1138"/>
    <n v="2880"/>
    <s v="60320721"/>
    <s v="60320721"/>
    <m/>
    <m/>
    <m/>
    <m/>
    <m/>
    <m/>
    <s v="SOLRECOUP"/>
    <s v="SOLRECOUP"/>
    <s v="POARECOUP"/>
    <n v="21399120"/>
    <n v="-3360"/>
    <m/>
    <s v="Y"/>
    <n v="2"/>
    <d v="2023-07-19T19:44:01"/>
    <s v="N"/>
    <m/>
    <m/>
    <s v="Profit Cost"/>
    <m/>
    <s v="N"/>
    <n v="0"/>
    <n v="-560"/>
    <x v="5"/>
    <s v="VALIDATED"/>
    <n v="1"/>
    <s v="01.11.80.308.2013.0000"/>
    <n v="-560"/>
    <s v="11"/>
    <s v="2013"/>
    <n v="-8303.01"/>
    <n v="-560"/>
    <s v="DEBTOR"/>
    <n v="0"/>
    <n v="0"/>
    <n v="0"/>
    <n v="0"/>
    <n v="0"/>
  </r>
  <r>
    <n v="60320721"/>
    <s v="N"/>
    <n v="21399216"/>
    <s v="3000014622640011RC"/>
    <s v="CIVIL"/>
    <d v="2023-06-28T00:00:00"/>
    <d v="2023-07-19T19:43:58"/>
    <m/>
    <d v="2023-07-19T00:00:00"/>
    <n v="1138"/>
    <n v="2880"/>
    <s v="60320721"/>
    <s v="60320721"/>
    <m/>
    <m/>
    <m/>
    <m/>
    <m/>
    <m/>
    <s v="SOLRECOUP"/>
    <s v="SOLRECOUP"/>
    <s v="POARECOUP"/>
    <n v="21399216"/>
    <n v="-576"/>
    <m/>
    <s v="Y"/>
    <n v="1"/>
    <d v="2023-07-19T19:44:02"/>
    <s v="N"/>
    <m/>
    <m/>
    <s v="Profit Cost"/>
    <m/>
    <s v="N"/>
    <n v="-480"/>
    <n v="0"/>
    <x v="5"/>
    <s v="VALIDATED"/>
    <n v="1"/>
    <s v="01.11.80.308.2013.0000"/>
    <n v="-480"/>
    <s v="11"/>
    <s v="2013"/>
    <n v="-8303.01"/>
    <n v="-480"/>
    <s v="DEBTOR"/>
    <n v="0"/>
    <n v="0"/>
    <n v="0"/>
    <n v="0"/>
    <n v="0"/>
  </r>
  <r>
    <n v="60320721"/>
    <s v="N"/>
    <n v="21399216"/>
    <s v="3000014622640011RC"/>
    <s v="CIVIL"/>
    <d v="2023-06-28T00:00:00"/>
    <d v="2023-07-19T19:43:58"/>
    <m/>
    <d v="2023-07-19T00:00:00"/>
    <n v="1138"/>
    <n v="2880"/>
    <s v="60320721"/>
    <s v="60320721"/>
    <m/>
    <m/>
    <m/>
    <m/>
    <m/>
    <m/>
    <s v="SOLRECOUP"/>
    <s v="SOLRECOUP"/>
    <s v="POARECOUP"/>
    <n v="21399216"/>
    <n v="-576"/>
    <m/>
    <s v="Y"/>
    <n v="2"/>
    <d v="2023-07-19T19:44:02"/>
    <s v="N"/>
    <m/>
    <m/>
    <s v="Profit Cost"/>
    <m/>
    <s v="N"/>
    <n v="0"/>
    <n v="-96"/>
    <x v="5"/>
    <s v="VALIDATED"/>
    <n v="1"/>
    <s v="01.11.80.308.2013.0000"/>
    <n v="-96"/>
    <s v="11"/>
    <s v="2013"/>
    <n v="-8303.01"/>
    <n v="-96"/>
    <s v="DEBTOR"/>
    <n v="0"/>
    <n v="0"/>
    <n v="0"/>
    <n v="0"/>
    <n v="0"/>
  </r>
  <r>
    <n v="61263761"/>
    <s v="N"/>
    <n v="21318535"/>
    <s v="3000015400520011"/>
    <s v="CIVIL"/>
    <d v="2023-06-23T00:00:00"/>
    <d v="2023-07-03T19:01:49"/>
    <m/>
    <d v="2023-07-03T00:00:00"/>
    <n v="1138"/>
    <n v="2880"/>
    <s v="61263761"/>
    <s v="61263761"/>
    <m/>
    <m/>
    <n v="22754678"/>
    <m/>
    <m/>
    <m/>
    <s v="SOLFIN"/>
    <s v="SOLFIN"/>
    <s v="CCMS"/>
    <n v="21318535"/>
    <n v="10189.7"/>
    <m/>
    <s v="N"/>
    <n v="9"/>
    <d v="2023-07-03T19:01:58"/>
    <s v="Y"/>
    <s v="Attendance upon client"/>
    <s v="Care Remuneration Hourly Rates"/>
    <s v="Profit Cost"/>
    <s v="BR"/>
    <s v="Y"/>
    <n v="21.03"/>
    <n v="4.21"/>
    <x v="3"/>
    <s v="VALIDATED"/>
    <n v="1"/>
    <s v="01.11.80.305.6100.0000"/>
    <n v="21.03"/>
    <s v="11"/>
    <s v="6100"/>
    <n v="-8303.01"/>
    <n v="21.03"/>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
    <d v="2023-07-03T19:01:58"/>
    <s v="Y"/>
    <s v="Preparation - drafting application"/>
    <s v="Care Remuneration Hourly Rates"/>
    <s v="Profit Cost"/>
    <s v="BR"/>
    <s v="Y"/>
    <n v="15.77"/>
    <n v="3.15"/>
    <x v="3"/>
    <s v="VALIDATED"/>
    <n v="1"/>
    <s v="01.11.80.305.6100.0000"/>
    <n v="15.77"/>
    <s v="11"/>
    <s v="6100"/>
    <n v="-8303.01"/>
    <n v="15.77"/>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1"/>
    <d v="2023-07-03T19:01:58"/>
    <s v="Y"/>
    <s v="Preparation - other"/>
    <s v="Care Remuneration Hourly Rates"/>
    <s v="Profit Cost"/>
    <s v="BR"/>
    <s v="Y"/>
    <n v="5.26"/>
    <n v="1.05"/>
    <x v="3"/>
    <s v="VALIDATED"/>
    <n v="1"/>
    <s v="01.11.80.305.6100.0000"/>
    <n v="5.26"/>
    <s v="11"/>
    <s v="6100"/>
    <n v="-8303.01"/>
    <n v="5.26"/>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2"/>
    <d v="2023-07-03T19:01:58"/>
    <s v="Y"/>
    <s v="Routine Letter In"/>
    <s v="Care Remuneration Hourly Rates"/>
    <s v="Profit Cost"/>
    <s v="BR"/>
    <s v="Y"/>
    <n v="477.3"/>
    <n v="95.45999999999999"/>
    <x v="3"/>
    <s v="VALIDATED"/>
    <n v="1"/>
    <s v="01.11.80.305.6100.0000"/>
    <n v="477.3"/>
    <s v="11"/>
    <s v="6100"/>
    <n v="-8303.01"/>
    <n v="477.3"/>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9"/>
    <d v="2023-07-03T19:01:58"/>
    <s v="Y"/>
    <s v="Toxicologist"/>
    <s v="Care Remuneration Hourly Rates"/>
    <s v="Expert Disbursement"/>
    <s v="XXX"/>
    <s v="Y"/>
    <n v="372.2"/>
    <n v="74.44"/>
    <x v="3"/>
    <s v="VALIDATED"/>
    <n v="1"/>
    <s v="01.11.80.305.6300.0000"/>
    <n v="372.2"/>
    <s v="11"/>
    <s v="6300"/>
    <n v="-8303.01"/>
    <n v="372.2"/>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5"/>
    <d v="2023-07-03T19:01:58"/>
    <s v="Y"/>
    <s v="Toxicologist"/>
    <s v="Care Remuneration Hourly Rates"/>
    <s v="Expert Disbursement"/>
    <s v="XXX"/>
    <s v="Y"/>
    <n v="372.2"/>
    <n v="74.44"/>
    <x v="3"/>
    <s v="VALIDATED"/>
    <n v="1"/>
    <s v="01.11.80.305.6300.0000"/>
    <n v="372.2"/>
    <s v="11"/>
    <s v="6300"/>
    <n v="-8303.01"/>
    <n v="372.2"/>
    <s v="DEBTOR"/>
    <n v="0"/>
    <n v="0"/>
    <n v="0"/>
    <n v="0"/>
    <n v="0"/>
  </r>
  <r>
    <n v="61263761"/>
    <s v="N"/>
    <n v="21318535"/>
    <s v="3000015400520011"/>
    <s v="CIVIL"/>
    <d v="2023-06-23T00:00:00"/>
    <d v="2023-07-03T19:01:49"/>
    <m/>
    <d v="2023-07-03T00:00:00"/>
    <n v="1138"/>
    <n v="2880"/>
    <s v="61263761"/>
    <s v="61263761"/>
    <m/>
    <m/>
    <n v="22754678"/>
    <m/>
    <m/>
    <m/>
    <s v="SOLFIN"/>
    <s v="SOLFIN"/>
    <s v="CCMS"/>
    <n v="21318535"/>
    <n v="10189.7"/>
    <m/>
    <s v="N"/>
    <n v="7"/>
    <d v="2023-07-03T19:01:58"/>
    <s v="Y"/>
    <s v="Preparation - drafting statement"/>
    <s v="Care Remuneration Hourly Rates"/>
    <s v="Profit Cost"/>
    <s v="BR"/>
    <s v="Y"/>
    <n v="36.8"/>
    <n v="7.36"/>
    <x v="3"/>
    <s v="VALIDATED"/>
    <n v="1"/>
    <s v="01.11.80.305.6100.0000"/>
    <n v="36.8"/>
    <s v="11"/>
    <s v="6100"/>
    <n v="-8303.01"/>
    <n v="36.8"/>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5"/>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6"/>
    <d v="2023-07-03T19:01:58"/>
    <s v="Y"/>
    <s v="Preparation - other"/>
    <s v="Care Remuneration Hourly Rates"/>
    <s v="Profit Cost"/>
    <s v="BR"/>
    <s v="Y"/>
    <n v="10.51"/>
    <n v="2.1"/>
    <x v="3"/>
    <s v="VALIDATED"/>
    <n v="1"/>
    <s v="01.11.80.305.6100.0000"/>
    <n v="10.51"/>
    <s v="11"/>
    <s v="6100"/>
    <n v="-8303.01"/>
    <n v="10.5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7"/>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5"/>
    <d v="2023-07-03T19:01:58"/>
    <s v="Y"/>
    <s v="Attendance upon client"/>
    <s v="Care Remuneration Hourly Rates"/>
    <s v="Profit Cost"/>
    <s v="BR"/>
    <s v="Y"/>
    <n v="26.29"/>
    <n v="5.26"/>
    <x v="3"/>
    <s v="VALIDATED"/>
    <n v="1"/>
    <s v="01.11.80.305.6100.0000"/>
    <n v="26.29"/>
    <s v="11"/>
    <s v="6100"/>
    <n v="-8303.01"/>
    <n v="26.29"/>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7"/>
    <d v="2023-07-03T19:01:58"/>
    <s v="Y"/>
    <s v="Toxicologist"/>
    <s v="Care Remuneration Hourly Rates"/>
    <s v="Expert Disbursement"/>
    <s v="XXX"/>
    <s v="Y"/>
    <n v="372.2"/>
    <n v="74.44"/>
    <x v="3"/>
    <s v="VALIDATED"/>
    <n v="1"/>
    <s v="01.11.80.305.6300.0000"/>
    <n v="372.2"/>
    <s v="11"/>
    <s v="6300"/>
    <n v="-8303.01"/>
    <n v="372.2"/>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1"/>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6"/>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8"/>
    <d v="2023-07-03T19:01:58"/>
    <s v="Y"/>
    <s v="Toxicologist"/>
    <s v="Care Remuneration Hourly Rates"/>
    <s v="Expert Disbursement"/>
    <s v="XXX"/>
    <s v="Y"/>
    <n v="346.8"/>
    <n v="69.36"/>
    <x v="3"/>
    <s v="VALIDATED"/>
    <n v="1"/>
    <s v="01.11.80.305.6300.0000"/>
    <n v="346.8"/>
    <s v="11"/>
    <s v="6300"/>
    <n v="-8303.01"/>
    <n v="346.8"/>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4"/>
    <d v="2023-07-03T19:01:58"/>
    <s v="Y"/>
    <s v="Preparation - other"/>
    <s v="Care Remuneration Hourly Rates"/>
    <s v="Profit Cost"/>
    <s v="BR"/>
    <s v="Y"/>
    <n v="452.1"/>
    <n v="90.42"/>
    <x v="3"/>
    <s v="VALIDATED"/>
    <n v="1"/>
    <s v="01.11.80.305.6100.0000"/>
    <n v="452.1"/>
    <s v="11"/>
    <s v="6100"/>
    <n v="-8303.01"/>
    <n v="452.1"/>
    <s v="DEBTOR"/>
    <n v="0"/>
    <n v="0"/>
    <n v="0"/>
    <n v="0"/>
    <n v="0"/>
  </r>
  <r>
    <n v="61865999"/>
    <s v="N"/>
    <n v="21320938"/>
    <s v="3000015929110005"/>
    <s v="CIVIL"/>
    <d v="2023-06-28T00:00:00"/>
    <d v="2023-07-03T19:04:52"/>
    <m/>
    <d v="2023-07-03T00:00:00"/>
    <n v="1138"/>
    <n v="2880"/>
    <s v="61865999"/>
    <s v="61865999"/>
    <m/>
    <m/>
    <n v="22781958"/>
    <m/>
    <m/>
    <m/>
    <s v="SOLPOA"/>
    <s v="SOLPOA"/>
    <s v="CCMS"/>
    <n v="21320938"/>
    <n v="3868.8"/>
    <m/>
    <s v="N"/>
    <n v="1"/>
    <d v="2023-07-03T19:04:57"/>
    <s v="N"/>
    <s v="Solicitors Fixed Fee"/>
    <s v="Public Law Children"/>
    <s v="Profit Cost"/>
    <s v="Alicia Martin"/>
    <s v="N"/>
    <n v="3224"/>
    <n v="644.8"/>
    <x v="3"/>
    <s v="VALIDATED"/>
    <n v="1"/>
    <s v="01.11.80.308.2012.0000"/>
    <n v="3224"/>
    <s v="11"/>
    <s v="2012"/>
    <n v="-8303.01"/>
    <n v="3224"/>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0"/>
    <d v="2023-07-03T19:01:58"/>
    <s v="Y"/>
    <s v="Preparation - other"/>
    <s v="Care Remuneration Hourly Rates"/>
    <s v="Profit Cost"/>
    <s v="BR"/>
    <s v="Y"/>
    <n v="36.8"/>
    <n v="7.36"/>
    <x v="3"/>
    <s v="VALIDATED"/>
    <n v="1"/>
    <s v="01.11.80.305.6100.0000"/>
    <n v="36.8"/>
    <s v="11"/>
    <s v="6100"/>
    <n v="-8303.01"/>
    <n v="36.8"/>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
    <d v="2023-07-03T19:01:58"/>
    <s v="Y"/>
    <s v="Preparation - other"/>
    <s v="Care Remuneration Hourly Rates"/>
    <s v="Profit Cost"/>
    <s v="BR"/>
    <s v="Y"/>
    <n v="5.26"/>
    <n v="1.05"/>
    <x v="3"/>
    <s v="VALIDATED"/>
    <n v="1"/>
    <s v="01.11.80.305.6100.0000"/>
    <n v="5.26"/>
    <s v="11"/>
    <s v="6100"/>
    <n v="-8303.01"/>
    <n v="5.26"/>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5"/>
    <d v="2023-07-03T19:01:58"/>
    <s v="Y"/>
    <s v="Preparation - other"/>
    <s v="Care Remuneration Hourly Rates"/>
    <s v="Profit Cost"/>
    <s v="BR"/>
    <s v="Y"/>
    <n v="105.14"/>
    <n v="21.03"/>
    <x v="3"/>
    <s v="VALIDATED"/>
    <n v="1"/>
    <s v="01.11.80.305.6100.0000"/>
    <n v="105.14"/>
    <s v="11"/>
    <s v="6100"/>
    <n v="-8303.01"/>
    <n v="105.14"/>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8"/>
    <d v="2023-07-03T19:01:58"/>
    <s v="Y"/>
    <s v="Preparation - drafting bill/claim f"/>
    <s v="Care Remuneration Hourly Rates"/>
    <s v="Profit Cost"/>
    <s v="TRS"/>
    <s v="Y"/>
    <n v="89.37"/>
    <n v="17.87"/>
    <x v="3"/>
    <s v="VALIDATED"/>
    <n v="1"/>
    <s v="01.11.80.305.6100.0000"/>
    <n v="89.37"/>
    <s v="11"/>
    <s v="6100"/>
    <n v="-8303.01"/>
    <n v="89.37"/>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
    <d v="2023-07-03T19:01:58"/>
    <s v="Y"/>
    <s v="Preparation - other"/>
    <s v="Care Remuneration Hourly Rates"/>
    <s v="Profit Cost"/>
    <s v="JB"/>
    <s v="Y"/>
    <n v="10.51"/>
    <n v="2.1"/>
    <x v="3"/>
    <s v="VALIDATED"/>
    <n v="1"/>
    <s v="01.11.80.305.6100.0000"/>
    <n v="10.51"/>
    <s v="11"/>
    <s v="6100"/>
    <n v="-8303.01"/>
    <n v="10.5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7"/>
    <d v="2023-07-03T19:01:58"/>
    <s v="Y"/>
    <s v="Preparation - other"/>
    <s v="Care Remuneration Hourly Rates"/>
    <s v="Profit Cost"/>
    <s v="BR"/>
    <s v="Y"/>
    <n v="63.08"/>
    <n v="12.62"/>
    <x v="3"/>
    <s v="VALIDATED"/>
    <n v="1"/>
    <s v="01.11.80.305.6100.0000"/>
    <n v="63.08"/>
    <s v="11"/>
    <s v="6100"/>
    <n v="-8303.01"/>
    <n v="63.08"/>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2"/>
    <d v="2023-07-03T19:01:58"/>
    <s v="Y"/>
    <s v="Preparation - other"/>
    <s v="Care Remuneration Hourly Rates"/>
    <s v="Profit Cost"/>
    <s v="BR"/>
    <s v="Y"/>
    <n v="105.14"/>
    <n v="21.03"/>
    <x v="3"/>
    <s v="VALIDATED"/>
    <n v="1"/>
    <s v="01.11.80.305.6100.0000"/>
    <n v="105.14"/>
    <s v="11"/>
    <s v="6100"/>
    <n v="-8303.01"/>
    <n v="105.14"/>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2"/>
    <d v="2023-07-03T19:01:58"/>
    <s v="Y"/>
    <s v="Preparation - other"/>
    <s v="Care Remuneration Hourly Rates"/>
    <s v="Profit Cost"/>
    <s v="BR"/>
    <s v="Y"/>
    <n v="36.8"/>
    <n v="7.36"/>
    <x v="3"/>
    <s v="VALIDATED"/>
    <n v="1"/>
    <s v="01.11.80.305.6100.0000"/>
    <n v="36.8"/>
    <s v="11"/>
    <s v="6100"/>
    <n v="-8303.01"/>
    <n v="36.8"/>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4"/>
    <d v="2023-07-03T19:01:58"/>
    <s v="Y"/>
    <s v="Attendance upon client"/>
    <s v="Care Remuneration Hourly Rates"/>
    <s v="Profit Cost"/>
    <s v="BR"/>
    <s v="Y"/>
    <n v="26.29"/>
    <n v="5.26"/>
    <x v="3"/>
    <s v="VALIDATED"/>
    <n v="1"/>
    <s v="01.11.80.305.6100.0000"/>
    <n v="26.29"/>
    <s v="11"/>
    <s v="6100"/>
    <n v="-8303.01"/>
    <n v="26.29"/>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1"/>
    <d v="2023-07-03T19:01:58"/>
    <s v="Y"/>
    <s v="Routine Letter Out"/>
    <s v="Care Remuneration Hourly Rates"/>
    <s v="Profit Cost"/>
    <s v="BR"/>
    <s v="Y"/>
    <n v="402.21"/>
    <n v="80.44"/>
    <x v="3"/>
    <s v="VALIDATED"/>
    <n v="1"/>
    <s v="01.11.80.305.6100.0000"/>
    <n v="402.21"/>
    <s v="11"/>
    <s v="6100"/>
    <n v="-8303.01"/>
    <n v="402.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3"/>
    <d v="2023-07-03T19:01:58"/>
    <s v="Y"/>
    <s v="Preparation - drafting instructions"/>
    <s v="Care Remuneration Hourly Rates"/>
    <s v="Profit Cost"/>
    <s v="BR"/>
    <s v="Y"/>
    <n v="52.57"/>
    <n v="10.51"/>
    <x v="3"/>
    <s v="VALIDATED"/>
    <n v="1"/>
    <s v="01.11.80.305.6100.0000"/>
    <n v="52.57"/>
    <s v="11"/>
    <s v="6100"/>
    <n v="-8303.01"/>
    <n v="52.57"/>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4"/>
    <d v="2023-07-03T19:01:58"/>
    <s v="Y"/>
    <s v="Court Fee"/>
    <s v="Care Remuneration Hourly Rates"/>
    <s v="Non Expert Disbursement"/>
    <s v="XXX"/>
    <s v="Y"/>
    <n v="167"/>
    <n v="0"/>
    <x v="3"/>
    <s v="VALIDATED"/>
    <n v="1"/>
    <s v="01.11.80.305.6300.0000"/>
    <n v="167"/>
    <s v="11"/>
    <s v="6300"/>
    <n v="-8303.01"/>
    <n v="167"/>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
    <d v="2023-07-03T19:01:58"/>
    <s v="Y"/>
    <s v="Preparation - drafting instructions"/>
    <s v="Care Remuneration Hourly Rates"/>
    <s v="Profit Cost"/>
    <s v="BR"/>
    <s v="Y"/>
    <n v="26.29"/>
    <n v="5.26"/>
    <x v="3"/>
    <s v="VALIDATED"/>
    <n v="1"/>
    <s v="01.11.80.305.6100.0000"/>
    <n v="26.29"/>
    <s v="11"/>
    <s v="6100"/>
    <n v="-8303.01"/>
    <n v="26.29"/>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9"/>
    <d v="2023-07-03T19:01:58"/>
    <s v="Y"/>
    <s v="Preparation - drafting bill/claim f"/>
    <s v="Care Remuneration Hourly Rates"/>
    <s v="Profit Cost"/>
    <s v="BR"/>
    <s v="Y"/>
    <n v="10.51"/>
    <n v="2.1"/>
    <x v="3"/>
    <s v="VALIDATED"/>
    <n v="1"/>
    <s v="01.11.80.305.6100.0000"/>
    <n v="10.51"/>
    <s v="11"/>
    <s v="6100"/>
    <n v="-8303.01"/>
    <n v="10.5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2"/>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6"/>
    <d v="2023-07-03T19:01:58"/>
    <s v="Y"/>
    <s v="Toxicologist"/>
    <s v="Care Remuneration Hourly Rates"/>
    <s v="Expert Disbursement"/>
    <s v="XXX"/>
    <s v="Y"/>
    <n v="372.2"/>
    <n v="74.44"/>
    <x v="3"/>
    <s v="VALIDATED"/>
    <n v="1"/>
    <s v="01.11.80.305.6300.0000"/>
    <n v="372.2"/>
    <s v="11"/>
    <s v="6300"/>
    <n v="-8303.01"/>
    <n v="372.2"/>
    <s v="DEBTOR"/>
    <n v="0"/>
    <n v="0"/>
    <n v="0"/>
    <n v="0"/>
    <n v="0"/>
  </r>
  <r>
    <n v="61263761"/>
    <s v="N"/>
    <n v="21318535"/>
    <s v="3000015400520011"/>
    <s v="CIVIL"/>
    <d v="2023-06-23T00:00:00"/>
    <d v="2023-07-03T19:01:49"/>
    <m/>
    <d v="2023-07-03T00:00:00"/>
    <n v="1138"/>
    <n v="2880"/>
    <s v="61263761"/>
    <s v="61263761"/>
    <m/>
    <m/>
    <n v="22754678"/>
    <m/>
    <m/>
    <m/>
    <s v="SOLFIN"/>
    <s v="SOLFIN"/>
    <s v="CCMS"/>
    <n v="21318535"/>
    <n v="10189.7"/>
    <m/>
    <s v="N"/>
    <n v="8"/>
    <d v="2023-07-03T19:01:58"/>
    <s v="Y"/>
    <s v="Preparation - drafting statement"/>
    <s v="Care Remuneration Hourly Rates"/>
    <s v="Profit Cost"/>
    <s v="BR"/>
    <s v="Y"/>
    <n v="5.26"/>
    <n v="1.05"/>
    <x v="3"/>
    <s v="VALIDATED"/>
    <n v="1"/>
    <s v="01.11.80.305.6100.0000"/>
    <n v="5.26"/>
    <s v="11"/>
    <s v="6100"/>
    <n v="-8303.01"/>
    <n v="5.26"/>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5"/>
    <d v="2023-07-03T19:01:58"/>
    <s v="Y"/>
    <s v="Preparation - other"/>
    <s v="Care Remuneration Hourly Rates"/>
    <s v="Profit Cost"/>
    <s v="BR"/>
    <s v="Y"/>
    <n v="157.71"/>
    <n v="31.54"/>
    <x v="3"/>
    <s v="VALIDATED"/>
    <n v="1"/>
    <s v="01.11.80.305.6100.0000"/>
    <n v="157.71"/>
    <s v="11"/>
    <s v="6100"/>
    <n v="-8303.01"/>
    <n v="157.7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9"/>
    <d v="2023-07-03T19:01:58"/>
    <s v="Y"/>
    <s v="Preparation - drafting consent orde"/>
    <s v="Care Remuneration Hourly Rates"/>
    <s v="Profit Cost"/>
    <s v="JB"/>
    <s v="Y"/>
    <n v="10.51"/>
    <n v="2.1"/>
    <x v="3"/>
    <s v="VALIDATED"/>
    <n v="1"/>
    <s v="01.11.80.305.6100.0000"/>
    <n v="10.51"/>
    <s v="11"/>
    <s v="6100"/>
    <n v="-8303.01"/>
    <n v="10.5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3"/>
    <d v="2023-07-03T19:01:58"/>
    <s v="Y"/>
    <s v="Attendance upon client"/>
    <s v="Care Remuneration Hourly Rates"/>
    <s v="Profit Cost"/>
    <s v="BR"/>
    <s v="Y"/>
    <n v="31.54"/>
    <n v="6.31"/>
    <x v="3"/>
    <s v="VALIDATED"/>
    <n v="1"/>
    <s v="01.11.80.305.6100.0000"/>
    <n v="31.54"/>
    <s v="11"/>
    <s v="6100"/>
    <n v="-8303.01"/>
    <n v="31.54"/>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0"/>
    <d v="2023-07-03T19:01:58"/>
    <s v="Y"/>
    <s v="Preparation - other"/>
    <s v="Care Remuneration Hourly Rates"/>
    <s v="Profit Cost"/>
    <s v="BR"/>
    <s v="Y"/>
    <n v="36.8"/>
    <n v="7.36"/>
    <x v="3"/>
    <s v="VALIDATED"/>
    <n v="1"/>
    <s v="01.11.80.305.6100.0000"/>
    <n v="36.8"/>
    <s v="11"/>
    <s v="6100"/>
    <n v="-8303.01"/>
    <n v="36.8"/>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0"/>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6"/>
    <d v="2023-07-03T19:01:58"/>
    <s v="Y"/>
    <s v="Preparation - drafting instructions"/>
    <s v="Care Remuneration Hourly Rates"/>
    <s v="Profit Cost"/>
    <s v="BR"/>
    <s v="Y"/>
    <n v="31.54"/>
    <n v="6.31"/>
    <x v="3"/>
    <s v="VALIDATED"/>
    <n v="1"/>
    <s v="01.11.80.305.6100.0000"/>
    <n v="31.54"/>
    <s v="11"/>
    <s v="6100"/>
    <n v="-8303.01"/>
    <n v="31.54"/>
    <s v="DEBTOR"/>
    <n v="0"/>
    <n v="0"/>
    <n v="0"/>
    <n v="0"/>
    <n v="0"/>
  </r>
  <r>
    <n v="61138595"/>
    <s v="N"/>
    <n v="21343841"/>
    <s v="3000015324210004"/>
    <s v="CIVIL"/>
    <d v="2023-06-23T00:00:00"/>
    <d v="2023-07-07T19:03:00"/>
    <m/>
    <d v="2023-07-07T00:00:00"/>
    <n v="1138"/>
    <n v="2880"/>
    <s v="61138595"/>
    <s v="61138595"/>
    <m/>
    <m/>
    <n v="22756028"/>
    <m/>
    <m/>
    <m/>
    <s v="SOLFIN"/>
    <s v="SOLFIN"/>
    <s v="CCMS"/>
    <n v="21343841"/>
    <n v="724.8"/>
    <m/>
    <s v="N"/>
    <n v="1"/>
    <d v="2023-07-07T19:03:14"/>
    <s v="Y"/>
    <s v="Level 3 &amp; Level 4 Fixed Fee"/>
    <s v="Private Law Children"/>
    <s v="Profit Cost"/>
    <s v="XXX"/>
    <s v="Y"/>
    <n v="604"/>
    <n v="120.8"/>
    <x v="9"/>
    <s v="VALIDATED"/>
    <n v="1"/>
    <s v="01.11.80.307.6100.0000"/>
    <n v="604"/>
    <s v="11"/>
    <s v="6100"/>
    <n v="-8303.01"/>
    <n v="604"/>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3"/>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4"/>
    <d v="2023-07-03T19:01:58"/>
    <s v="Y"/>
    <s v="Attendance upon client"/>
    <s v="Care Remuneration Hourly Rates"/>
    <s v="Profit Cost"/>
    <s v="BR"/>
    <s v="Y"/>
    <n v="15.77"/>
    <n v="3.15"/>
    <x v="3"/>
    <s v="VALIDATED"/>
    <n v="1"/>
    <s v="01.11.80.305.6100.0000"/>
    <n v="15.77"/>
    <s v="11"/>
    <s v="6100"/>
    <n v="-8303.01"/>
    <n v="15.77"/>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8"/>
    <d v="2023-07-03T19:01:58"/>
    <s v="Y"/>
    <s v="Preparation - other"/>
    <s v="Care Remuneration Hourly Rates"/>
    <s v="Profit Cost"/>
    <s v="BR"/>
    <s v="Y"/>
    <n v="5.26"/>
    <n v="1.05"/>
    <x v="3"/>
    <s v="VALIDATED"/>
    <n v="1"/>
    <s v="01.11.80.305.6100.0000"/>
    <n v="5.26"/>
    <s v="11"/>
    <s v="6100"/>
    <n v="-8303.01"/>
    <n v="5.26"/>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0"/>
    <d v="2023-07-03T19:01:58"/>
    <s v="Y"/>
    <s v="Routine Telephone Call"/>
    <s v="Care Remuneration Hourly Rates"/>
    <s v="Profit Cost"/>
    <s v="BR"/>
    <s v="Y"/>
    <n v="33.21"/>
    <n v="6.64"/>
    <x v="3"/>
    <s v="VALIDATED"/>
    <n v="1"/>
    <s v="01.11.80.305.6100.0000"/>
    <n v="33.21"/>
    <s v="11"/>
    <s v="6100"/>
    <n v="-8303.01"/>
    <n v="33.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6"/>
    <d v="2023-07-03T19:01:58"/>
    <s v="Y"/>
    <s v="Preparation - drafting consent orde"/>
    <s v="Care Remuneration Hourly Rates"/>
    <s v="Profit Cost"/>
    <s v="BR"/>
    <s v="Y"/>
    <n v="10.51"/>
    <n v="2.1"/>
    <x v="3"/>
    <s v="VALIDATED"/>
    <n v="1"/>
    <s v="01.11.80.305.6100.0000"/>
    <n v="10.51"/>
    <s v="11"/>
    <s v="6100"/>
    <n v="-8303.01"/>
    <n v="10.5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27"/>
    <d v="2023-07-03T19:01:58"/>
    <s v="Y"/>
    <s v="Attendance upon client"/>
    <s v="Care Remuneration Hourly Rates"/>
    <s v="Profit Cost"/>
    <s v="BR"/>
    <s v="Y"/>
    <n v="78.86"/>
    <n v="15.77"/>
    <x v="3"/>
    <s v="VALIDATED"/>
    <n v="1"/>
    <s v="01.11.80.305.6100.0000"/>
    <n v="78.86"/>
    <s v="11"/>
    <s v="6100"/>
    <n v="-8303.01"/>
    <n v="78.86"/>
    <s v="DEBTOR"/>
    <n v="0"/>
    <n v="0"/>
    <n v="0"/>
    <n v="0"/>
    <n v="0"/>
  </r>
  <r>
    <n v="61263761"/>
    <s v="N"/>
    <n v="21318535"/>
    <s v="3000015400520011"/>
    <s v="CIVIL"/>
    <d v="2023-06-23T00:00:00"/>
    <d v="2023-07-03T19:01:49"/>
    <m/>
    <d v="2023-07-03T00:00:00"/>
    <n v="1138"/>
    <n v="2880"/>
    <s v="61263761"/>
    <s v="61263761"/>
    <m/>
    <m/>
    <n v="22754678"/>
    <m/>
    <m/>
    <m/>
    <s v="SOLFIN"/>
    <s v="SOLFIN"/>
    <s v="CCMS"/>
    <n v="21318535"/>
    <n v="10189.7"/>
    <m/>
    <s v="N"/>
    <n v="31"/>
    <d v="2023-07-03T19:01:58"/>
    <s v="Y"/>
    <s v="Preparation - other"/>
    <s v="Care Remuneration Hourly Rates"/>
    <s v="Profit Cost"/>
    <s v="BR"/>
    <s v="Y"/>
    <n v="15.77"/>
    <n v="3.15"/>
    <x v="3"/>
    <s v="VALIDATED"/>
    <n v="1"/>
    <s v="01.11.80.305.6100.0000"/>
    <n v="15.77"/>
    <s v="11"/>
    <s v="6100"/>
    <n v="-8303.01"/>
    <n v="15.77"/>
    <s v="DEBTOR"/>
    <n v="0"/>
    <n v="0"/>
    <n v="0"/>
    <n v="0"/>
    <n v="0"/>
  </r>
  <r>
    <n v="61263761"/>
    <s v="N"/>
    <n v="21318535"/>
    <s v="3000015400520011"/>
    <s v="CIVIL"/>
    <d v="2023-06-23T00:00:00"/>
    <d v="2023-07-03T19:01:49"/>
    <m/>
    <d v="2023-07-03T00:00:00"/>
    <n v="1138"/>
    <n v="2880"/>
    <s v="61263761"/>
    <s v="61263761"/>
    <m/>
    <m/>
    <n v="22754678"/>
    <m/>
    <m/>
    <m/>
    <s v="SOLFIN"/>
    <s v="SOLFIN"/>
    <s v="CCMS"/>
    <n v="21318535"/>
    <n v="10189.7"/>
    <m/>
    <s v="N"/>
    <n v="43"/>
    <d v="2023-07-03T19:01:58"/>
    <s v="N"/>
    <s v="Solicitors Fixed Fee"/>
    <s v="Public Law Children"/>
    <s v="Profit Cost"/>
    <s v="XXX"/>
    <s v="N"/>
    <n v="0"/>
    <n v="0"/>
    <x v="3"/>
    <s v="VALIDATED"/>
    <n v="1"/>
    <s v="01.11.80.305.6100.0000"/>
    <n v="0"/>
    <s v="11"/>
    <s v="6100"/>
    <n v="-8303.01"/>
    <n v="0"/>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9"/>
    <d v="2023-07-03T19:01:58"/>
    <s v="Y"/>
    <s v="Preparation - other"/>
    <s v="Care Remuneration Hourly Rates"/>
    <s v="Profit Cost"/>
    <s v="BR"/>
    <s v="Y"/>
    <n v="452.1"/>
    <n v="90.42"/>
    <x v="3"/>
    <s v="VALIDATED"/>
    <n v="1"/>
    <s v="01.11.80.305.6100.0000"/>
    <n v="452.1"/>
    <s v="11"/>
    <s v="6100"/>
    <n v="-8303.01"/>
    <n v="452.1"/>
    <s v="DEBTOR"/>
    <n v="0"/>
    <n v="0"/>
    <n v="0"/>
    <n v="0"/>
    <n v="0"/>
  </r>
  <r>
    <n v="61263761"/>
    <s v="N"/>
    <n v="21318535"/>
    <s v="3000015400520011"/>
    <s v="CIVIL"/>
    <d v="2023-06-23T00:00:00"/>
    <d v="2023-07-03T19:01:49"/>
    <m/>
    <d v="2023-07-03T00:00:00"/>
    <n v="1138"/>
    <n v="2880"/>
    <s v="61263761"/>
    <s v="61263761"/>
    <m/>
    <m/>
    <n v="22754678"/>
    <m/>
    <m/>
    <m/>
    <s v="SOLFIN"/>
    <s v="SOLFIN"/>
    <s v="CCMS"/>
    <n v="21318535"/>
    <n v="10189.7"/>
    <m/>
    <s v="N"/>
    <n v="18"/>
    <d v="2023-07-03T19:01:58"/>
    <s v="Y"/>
    <s v="Preparation - other"/>
    <s v="Care Remuneration Hourly Rates"/>
    <s v="Profit Cost"/>
    <s v="BR"/>
    <s v="Y"/>
    <n v="452.1"/>
    <n v="90.42"/>
    <x v="3"/>
    <s v="VALIDATED"/>
    <n v="1"/>
    <s v="01.11.80.305.6100.0000"/>
    <n v="452.1"/>
    <s v="11"/>
    <s v="6100"/>
    <n v="-8303.01"/>
    <n v="452.1"/>
    <s v="DEBTOR"/>
    <n v="0"/>
    <n v="0"/>
    <n v="0"/>
    <n v="0"/>
    <n v="0"/>
  </r>
  <r>
    <n v="61263761"/>
    <s v="N"/>
    <n v="21324453"/>
    <s v="3000015400520001RC"/>
    <s v="CIVIL"/>
    <d v="2023-06-23T00:00:00"/>
    <d v="2023-07-03T19:42:50"/>
    <m/>
    <d v="2023-07-03T00:00:00"/>
    <n v="1138"/>
    <n v="2880"/>
    <s v="61263761"/>
    <s v="61263761"/>
    <m/>
    <m/>
    <m/>
    <m/>
    <m/>
    <m/>
    <s v="SOLRECOUP"/>
    <s v="SOLRECOUP"/>
    <s v="POARECOUP"/>
    <n v="21324453"/>
    <n v="-446.64"/>
    <m/>
    <s v="Y"/>
    <n v="2"/>
    <d v="2023-07-03T19:42:51"/>
    <s v="N"/>
    <m/>
    <m/>
    <s v="Non Expert Disbursement"/>
    <m/>
    <s v="N"/>
    <n v="0"/>
    <n v="-74.44"/>
    <x v="3"/>
    <s v="VALIDATED"/>
    <n v="1"/>
    <s v="01.11.80.305.2013.0000"/>
    <n v="-74.44"/>
    <s v="11"/>
    <s v="2013"/>
    <n v="-8303.01"/>
    <n v="-74.44"/>
    <s v="DEBTOR"/>
    <n v="0"/>
    <n v="0"/>
    <n v="0"/>
    <n v="0"/>
    <n v="0"/>
  </r>
  <r>
    <n v="61263761"/>
    <s v="N"/>
    <n v="21324454"/>
    <s v="3000015400520006RC"/>
    <s v="CIVIL"/>
    <d v="2023-06-23T00:00:00"/>
    <d v="2023-07-03T19:42:50"/>
    <m/>
    <d v="2023-07-03T00:00:00"/>
    <n v="1138"/>
    <n v="2880"/>
    <s v="61263761"/>
    <s v="61263761"/>
    <m/>
    <m/>
    <m/>
    <m/>
    <m/>
    <m/>
    <s v="SOLRECOUP"/>
    <s v="SOLRECOUP"/>
    <s v="POARECOUP"/>
    <n v="21324454"/>
    <n v="-167"/>
    <m/>
    <s v="Y"/>
    <n v="1"/>
    <d v="2023-07-03T19:42:51"/>
    <s v="N"/>
    <m/>
    <m/>
    <s v="Non Expert Disbursement"/>
    <m/>
    <s v="N"/>
    <n v="-167"/>
    <n v="0"/>
    <x v="3"/>
    <s v="VALIDATED"/>
    <n v="1"/>
    <s v="01.11.80.305.2013.0000"/>
    <n v="-167"/>
    <s v="11"/>
    <s v="2013"/>
    <n v="-8303.01"/>
    <n v="-167"/>
    <s v="DEBTOR"/>
    <n v="0"/>
    <n v="0"/>
    <n v="0"/>
    <n v="0"/>
    <n v="0"/>
  </r>
  <r>
    <n v="61263761"/>
    <s v="N"/>
    <n v="21324454"/>
    <s v="3000015400520006RC"/>
    <s v="CIVIL"/>
    <d v="2023-06-23T00:00:00"/>
    <d v="2023-07-03T19:42:50"/>
    <m/>
    <d v="2023-07-03T00:00:00"/>
    <n v="1138"/>
    <n v="2880"/>
    <s v="61263761"/>
    <s v="61263761"/>
    <m/>
    <m/>
    <m/>
    <m/>
    <m/>
    <m/>
    <s v="SOLRECOUP"/>
    <s v="SOLRECOUP"/>
    <s v="POARECOUP"/>
    <n v="21324454"/>
    <n v="-167"/>
    <m/>
    <s v="Y"/>
    <n v="2"/>
    <d v="2023-07-03T19:42:51"/>
    <s v="N"/>
    <m/>
    <m/>
    <s v="Non Expert Disbursement"/>
    <m/>
    <s v="N"/>
    <n v="0"/>
    <n v="0"/>
    <x v="3"/>
    <s v="VALIDATED"/>
    <n v="1"/>
    <s v="01.11.80.000.0000.0000"/>
    <n v="0"/>
    <s v="11"/>
    <s v="0000"/>
    <n v="-8303.01"/>
    <n v="0"/>
    <s v="DEBTOR"/>
    <n v="0"/>
    <n v="0"/>
    <n v="0"/>
    <n v="0"/>
    <n v="0"/>
  </r>
  <r>
    <n v="61263761"/>
    <s v="N"/>
    <n v="21324455"/>
    <s v="3000015400520004RC"/>
    <s v="CIVIL"/>
    <d v="2023-06-23T00:00:00"/>
    <d v="2023-07-03T19:42:50"/>
    <m/>
    <d v="2023-07-03T00:00:00"/>
    <n v="1138"/>
    <n v="2880"/>
    <s v="61263761"/>
    <s v="61263761"/>
    <m/>
    <m/>
    <m/>
    <m/>
    <m/>
    <m/>
    <s v="SOLRECOUP"/>
    <s v="SOLRECOUP"/>
    <s v="POARECOUP"/>
    <n v="21324455"/>
    <n v="-446.64"/>
    <m/>
    <s v="Y"/>
    <n v="1"/>
    <d v="2023-07-03T19:42:51"/>
    <s v="N"/>
    <m/>
    <m/>
    <s v="Non Expert Disbursement"/>
    <m/>
    <s v="N"/>
    <n v="-372.2"/>
    <n v="0"/>
    <x v="3"/>
    <s v="VALIDATED"/>
    <n v="1"/>
    <s v="01.11.80.305.2013.0000"/>
    <n v="-372.2"/>
    <s v="11"/>
    <s v="2013"/>
    <n v="-8303.01"/>
    <n v="-372.2"/>
    <s v="DEBTOR"/>
    <n v="0"/>
    <n v="0"/>
    <n v="0"/>
    <n v="0"/>
    <n v="0"/>
  </r>
  <r>
    <n v="61263761"/>
    <s v="N"/>
    <n v="21324455"/>
    <s v="3000015400520004RC"/>
    <s v="CIVIL"/>
    <d v="2023-06-23T00:00:00"/>
    <d v="2023-07-03T19:42:50"/>
    <m/>
    <d v="2023-07-03T00:00:00"/>
    <n v="1138"/>
    <n v="2880"/>
    <s v="61263761"/>
    <s v="61263761"/>
    <m/>
    <m/>
    <m/>
    <m/>
    <m/>
    <m/>
    <s v="SOLRECOUP"/>
    <s v="SOLRECOUP"/>
    <s v="POARECOUP"/>
    <n v="21324455"/>
    <n v="-446.64"/>
    <m/>
    <s v="Y"/>
    <n v="2"/>
    <d v="2023-07-03T19:42:51"/>
    <s v="N"/>
    <m/>
    <m/>
    <s v="Non Expert Disbursement"/>
    <m/>
    <s v="N"/>
    <n v="0"/>
    <n v="-74.44"/>
    <x v="3"/>
    <s v="VALIDATED"/>
    <n v="1"/>
    <s v="01.11.80.305.2013.0000"/>
    <n v="-74.44"/>
    <s v="11"/>
    <s v="2013"/>
    <n v="-8303.01"/>
    <n v="-74.44"/>
    <s v="DEBTOR"/>
    <n v="0"/>
    <n v="0"/>
    <n v="0"/>
    <n v="0"/>
    <n v="0"/>
  </r>
  <r>
    <n v="61263761"/>
    <s v="N"/>
    <n v="21324456"/>
    <s v="3000015400520003RC"/>
    <s v="CIVIL"/>
    <d v="2023-06-23T00:00:00"/>
    <d v="2023-07-03T19:42:50"/>
    <m/>
    <d v="2023-07-03T00:00:00"/>
    <n v="1138"/>
    <n v="2880"/>
    <s v="61263761"/>
    <s v="61263761"/>
    <m/>
    <m/>
    <m/>
    <m/>
    <m/>
    <m/>
    <s v="SOLRECOUP"/>
    <s v="SOLRECOUP"/>
    <s v="POARECOUP"/>
    <n v="21324456"/>
    <n v="-446.64"/>
    <m/>
    <s v="Y"/>
    <n v="1"/>
    <d v="2023-07-03T19:42:51"/>
    <s v="N"/>
    <m/>
    <m/>
    <s v="Non Expert Disbursement"/>
    <m/>
    <s v="N"/>
    <n v="-372.2"/>
    <n v="0"/>
    <x v="3"/>
    <s v="VALIDATED"/>
    <n v="1"/>
    <s v="01.11.80.305.2013.0000"/>
    <n v="-372.2"/>
    <s v="11"/>
    <s v="2013"/>
    <n v="-8303.01"/>
    <n v="-372.2"/>
    <s v="DEBTOR"/>
    <n v="0"/>
    <n v="0"/>
    <n v="0"/>
    <n v="0"/>
    <n v="0"/>
  </r>
  <r>
    <n v="61263761"/>
    <s v="N"/>
    <n v="21324456"/>
    <s v="3000015400520003RC"/>
    <s v="CIVIL"/>
    <d v="2023-06-23T00:00:00"/>
    <d v="2023-07-03T19:42:50"/>
    <m/>
    <d v="2023-07-03T00:00:00"/>
    <n v="1138"/>
    <n v="2880"/>
    <s v="61263761"/>
    <s v="61263761"/>
    <m/>
    <m/>
    <m/>
    <m/>
    <m/>
    <m/>
    <s v="SOLRECOUP"/>
    <s v="SOLRECOUP"/>
    <s v="POARECOUP"/>
    <n v="21324456"/>
    <n v="-446.64"/>
    <m/>
    <s v="Y"/>
    <n v="2"/>
    <d v="2023-07-03T19:42:51"/>
    <s v="N"/>
    <m/>
    <m/>
    <s v="Non Expert Disbursement"/>
    <m/>
    <s v="N"/>
    <n v="0"/>
    <n v="-74.44"/>
    <x v="3"/>
    <s v="VALIDATED"/>
    <n v="1"/>
    <s v="01.11.80.305.2013.0000"/>
    <n v="-74.44"/>
    <s v="11"/>
    <s v="2013"/>
    <n v="-8303.01"/>
    <n v="-74.44"/>
    <s v="DEBTOR"/>
    <n v="0"/>
    <n v="0"/>
    <n v="0"/>
    <n v="0"/>
    <n v="0"/>
  </r>
  <r>
    <n v="61263761"/>
    <s v="N"/>
    <n v="21324457"/>
    <s v="3000015400520005RC"/>
    <s v="CIVIL"/>
    <d v="2023-06-23T00:00:00"/>
    <d v="2023-07-03T19:42:50"/>
    <m/>
    <d v="2023-07-03T00:00:00"/>
    <n v="1138"/>
    <n v="2880"/>
    <s v="61263761"/>
    <s v="61263761"/>
    <m/>
    <m/>
    <m/>
    <m/>
    <m/>
    <m/>
    <s v="SOLRECOUP"/>
    <s v="SOLRECOUP"/>
    <s v="POARECOUP"/>
    <n v="21324457"/>
    <n v="-6240"/>
    <m/>
    <s v="Y"/>
    <n v="1"/>
    <d v="2023-07-03T19:42:51"/>
    <s v="N"/>
    <m/>
    <m/>
    <s v="Profit Cost"/>
    <m/>
    <s v="N"/>
    <n v="-5200"/>
    <n v="0"/>
    <x v="3"/>
    <s v="VALIDATED"/>
    <n v="1"/>
    <s v="01.11.80.305.2013.0000"/>
    <n v="-5200"/>
    <s v="11"/>
    <s v="2013"/>
    <n v="-8303.01"/>
    <n v="-5200"/>
    <s v="DEBTOR"/>
    <n v="0"/>
    <n v="0"/>
    <n v="0"/>
    <n v="0"/>
    <n v="0"/>
  </r>
  <r>
    <n v="61263761"/>
    <s v="N"/>
    <n v="21324457"/>
    <s v="3000015400520005RC"/>
    <s v="CIVIL"/>
    <d v="2023-06-23T00:00:00"/>
    <d v="2023-07-03T19:42:50"/>
    <m/>
    <d v="2023-07-03T00:00:00"/>
    <n v="1138"/>
    <n v="2880"/>
    <s v="61263761"/>
    <s v="61263761"/>
    <m/>
    <m/>
    <m/>
    <m/>
    <m/>
    <m/>
    <s v="SOLRECOUP"/>
    <s v="SOLRECOUP"/>
    <s v="POARECOUP"/>
    <n v="21324457"/>
    <n v="-6240"/>
    <m/>
    <s v="Y"/>
    <n v="2"/>
    <d v="2023-07-03T19:42:51"/>
    <s v="N"/>
    <m/>
    <m/>
    <s v="Profit Cost"/>
    <m/>
    <s v="N"/>
    <n v="0"/>
    <n v="-1040"/>
    <x v="3"/>
    <s v="VALIDATED"/>
    <n v="1"/>
    <s v="01.11.80.305.2013.0000"/>
    <n v="-1040"/>
    <s v="11"/>
    <s v="2013"/>
    <n v="-8303.01"/>
    <n v="-1040"/>
    <s v="DEBTOR"/>
    <n v="0"/>
    <n v="0"/>
    <n v="0"/>
    <n v="0"/>
    <n v="0"/>
  </r>
  <r>
    <n v="61263761"/>
    <s v="N"/>
    <n v="21324458"/>
    <s v="3000015400520007RC"/>
    <s v="CIVIL"/>
    <d v="2023-06-23T00:00:00"/>
    <d v="2023-07-03T19:42:50"/>
    <m/>
    <d v="2023-07-03T00:00:00"/>
    <n v="1138"/>
    <n v="2880"/>
    <s v="61263761"/>
    <s v="61263761"/>
    <m/>
    <m/>
    <m/>
    <m/>
    <m/>
    <m/>
    <s v="SOLRECOUP"/>
    <s v="SOLRECOUP"/>
    <s v="POARECOUP"/>
    <n v="21324458"/>
    <n v="-416.16"/>
    <m/>
    <s v="Y"/>
    <n v="1"/>
    <d v="2023-07-03T19:42:51"/>
    <s v="N"/>
    <m/>
    <m/>
    <s v="Non Expert Disbursement"/>
    <m/>
    <s v="N"/>
    <n v="-346.8"/>
    <n v="0"/>
    <x v="3"/>
    <s v="VALIDATED"/>
    <n v="1"/>
    <s v="01.11.80.305.2013.0000"/>
    <n v="-346.8"/>
    <s v="11"/>
    <s v="2013"/>
    <n v="-8303.01"/>
    <n v="-346.8"/>
    <s v="DEBTOR"/>
    <n v="0"/>
    <n v="0"/>
    <n v="0"/>
    <n v="0"/>
    <n v="0"/>
  </r>
  <r>
    <n v="61263761"/>
    <s v="N"/>
    <n v="21324458"/>
    <s v="3000015400520007RC"/>
    <s v="CIVIL"/>
    <d v="2023-06-23T00:00:00"/>
    <d v="2023-07-03T19:42:50"/>
    <m/>
    <d v="2023-07-03T00:00:00"/>
    <n v="1138"/>
    <n v="2880"/>
    <s v="61263761"/>
    <s v="61263761"/>
    <m/>
    <m/>
    <m/>
    <m/>
    <m/>
    <m/>
    <s v="SOLRECOUP"/>
    <s v="SOLRECOUP"/>
    <s v="POARECOUP"/>
    <n v="21324458"/>
    <n v="-416.16"/>
    <m/>
    <s v="Y"/>
    <n v="2"/>
    <d v="2023-07-03T19:42:51"/>
    <s v="N"/>
    <m/>
    <m/>
    <s v="Non Expert Disbursement"/>
    <m/>
    <s v="N"/>
    <n v="0"/>
    <n v="-69.36"/>
    <x v="3"/>
    <s v="VALIDATED"/>
    <n v="1"/>
    <s v="01.11.80.305.2013.0000"/>
    <n v="-69.36"/>
    <s v="11"/>
    <s v="2013"/>
    <n v="-8303.01"/>
    <n v="-69.36"/>
    <s v="DEBTOR"/>
    <n v="0"/>
    <n v="0"/>
    <n v="0"/>
    <n v="0"/>
    <n v="0"/>
  </r>
  <r>
    <n v="61263761"/>
    <s v="N"/>
    <n v="21324452"/>
    <s v="3000015400520008RC"/>
    <s v="CIVIL"/>
    <d v="2023-06-23T00:00:00"/>
    <d v="2023-07-03T19:42:50"/>
    <m/>
    <d v="2023-07-03T00:00:00"/>
    <n v="1138"/>
    <n v="2880"/>
    <s v="61263761"/>
    <s v="61263761"/>
    <m/>
    <m/>
    <m/>
    <m/>
    <m/>
    <m/>
    <s v="SOLRECOUP"/>
    <s v="SOLRECOUP"/>
    <s v="POARECOUP"/>
    <n v="21324452"/>
    <n v="-446.64"/>
    <m/>
    <s v="Y"/>
    <n v="1"/>
    <d v="2023-07-03T19:42:51"/>
    <s v="N"/>
    <m/>
    <m/>
    <s v="Non Expert Disbursement"/>
    <m/>
    <s v="N"/>
    <n v="-372.2"/>
    <n v="0"/>
    <x v="3"/>
    <s v="VALIDATED"/>
    <n v="1"/>
    <s v="01.11.80.305.2013.0000"/>
    <n v="-372.2"/>
    <s v="11"/>
    <s v="2013"/>
    <n v="-8303.01"/>
    <n v="-372.2"/>
    <s v="DEBTOR"/>
    <n v="0"/>
    <n v="0"/>
    <n v="0"/>
    <n v="0"/>
    <n v="0"/>
  </r>
  <r>
    <n v="61263761"/>
    <s v="N"/>
    <n v="21324452"/>
    <s v="3000015400520008RC"/>
    <s v="CIVIL"/>
    <d v="2023-06-23T00:00:00"/>
    <d v="2023-07-03T19:42:50"/>
    <m/>
    <d v="2023-07-03T00:00:00"/>
    <n v="1138"/>
    <n v="2880"/>
    <s v="61263761"/>
    <s v="61263761"/>
    <m/>
    <m/>
    <m/>
    <m/>
    <m/>
    <m/>
    <s v="SOLRECOUP"/>
    <s v="SOLRECOUP"/>
    <s v="POARECOUP"/>
    <n v="21324452"/>
    <n v="-446.64"/>
    <m/>
    <s v="Y"/>
    <n v="2"/>
    <d v="2023-07-03T19:42:51"/>
    <s v="N"/>
    <m/>
    <m/>
    <s v="Non Expert Disbursement"/>
    <m/>
    <s v="N"/>
    <n v="0"/>
    <n v="-74.44"/>
    <x v="3"/>
    <s v="VALIDATED"/>
    <n v="1"/>
    <s v="01.11.80.305.2013.0000"/>
    <n v="-74.44"/>
    <s v="11"/>
    <s v="2013"/>
    <n v="-8303.01"/>
    <n v="-74.44"/>
    <s v="DEBTOR"/>
    <n v="0"/>
    <n v="0"/>
    <n v="0"/>
    <n v="0"/>
    <n v="0"/>
  </r>
  <r>
    <n v="61763585"/>
    <s v="N"/>
    <n v="21343833"/>
    <s v="3000015841530005"/>
    <s v="CIVIL"/>
    <d v="2023-06-30T00:00:00"/>
    <d v="2023-07-07T19:03:00"/>
    <m/>
    <d v="2023-07-07T00:00:00"/>
    <n v="1142"/>
    <n v="2903"/>
    <s v="61763585"/>
    <s v="61763585"/>
    <m/>
    <m/>
    <n v="22799612"/>
    <m/>
    <m/>
    <m/>
    <s v="SOLPOA"/>
    <s v="SOLPOA"/>
    <s v="CCMS"/>
    <n v="21343833"/>
    <n v="252.72"/>
    <m/>
    <s v="N"/>
    <n v="1"/>
    <d v="2023-07-07T19:03:13"/>
    <s v="N"/>
    <s v="Expert Cost"/>
    <s v="Expert Cost"/>
    <s v="Expert Disbursement"/>
    <s v="Jayne Hunt"/>
    <s v="N"/>
    <n v="252.72"/>
    <n v="0"/>
    <x v="9"/>
    <s v="VALIDATED"/>
    <n v="1"/>
    <s v="01.11.80.308.2012.0000"/>
    <n v="252.72"/>
    <s v="11"/>
    <s v="2012"/>
    <n v="10655.85"/>
    <n v="252.72"/>
    <s v="CREDITOR"/>
    <n v="252.72"/>
    <n v="0"/>
    <n v="0"/>
    <n v="0"/>
    <n v="0"/>
  </r>
  <r>
    <n v="61144341"/>
    <s v="N"/>
    <n v="21331249"/>
    <s v="3000015329240007"/>
    <s v="CIVIL"/>
    <d v="2023-06-26T00:00:00"/>
    <d v="2023-07-05T19:01:47"/>
    <m/>
    <d v="2023-07-05T00:00:00"/>
    <n v="1142"/>
    <n v="2903"/>
    <s v="61144341"/>
    <s v="61144341"/>
    <m/>
    <m/>
    <n v="22759968"/>
    <m/>
    <m/>
    <m/>
    <s v="SOLFIN"/>
    <s v="SOLFIN"/>
    <s v="CCMS"/>
    <n v="21331249"/>
    <n v="3991.69"/>
    <m/>
    <s v="N"/>
    <n v="2"/>
    <d v="2023-07-05T19:02:11"/>
    <s v="Y"/>
    <s v="Toxicologist"/>
    <s v="Public Law Children"/>
    <s v="Expert Disbursement"/>
    <s v="JH"/>
    <s v="Y"/>
    <n v="287.25"/>
    <n v="57.45"/>
    <x v="6"/>
    <s v="VALIDATED"/>
    <n v="1"/>
    <s v="01.11.80.308.6300.0000"/>
    <n v="287.25"/>
    <s v="11"/>
    <s v="6300"/>
    <n v="10655.85"/>
    <n v="287.25"/>
    <s v="CREDITOR"/>
    <n v="0"/>
    <n v="0"/>
    <n v="0"/>
    <n v="0"/>
    <n v="287.25"/>
  </r>
  <r>
    <n v="61144341"/>
    <s v="N"/>
    <n v="21331249"/>
    <s v="3000015329240007"/>
    <s v="CIVIL"/>
    <d v="2023-06-26T00:00:00"/>
    <d v="2023-07-05T19:01:47"/>
    <m/>
    <d v="2023-07-05T00:00:00"/>
    <n v="1142"/>
    <n v="2903"/>
    <s v="61144341"/>
    <s v="61144341"/>
    <m/>
    <m/>
    <n v="22759968"/>
    <m/>
    <m/>
    <m/>
    <s v="SOLFIN"/>
    <s v="SOLFIN"/>
    <s v="CCMS"/>
    <n v="21331249"/>
    <n v="3991.69"/>
    <m/>
    <s v="N"/>
    <n v="5"/>
    <d v="2023-07-05T19:02:11"/>
    <s v="Y"/>
    <s v="Solicitors Fixed Fee"/>
    <s v="Public Law Children"/>
    <s v="Profit Cost"/>
    <s v="JH"/>
    <s v="Y"/>
    <n v="2370"/>
    <n v="474"/>
    <x v="6"/>
    <s v="VALIDATED"/>
    <n v="1"/>
    <s v="01.11.80.308.6100.0000"/>
    <n v="2370"/>
    <s v="11"/>
    <s v="6100"/>
    <n v="10655.85"/>
    <n v="2370"/>
    <s v="CREDITOR"/>
    <n v="0"/>
    <n v="0"/>
    <n v="0"/>
    <n v="0"/>
    <n v="2370"/>
  </r>
  <r>
    <n v="61144341"/>
    <s v="N"/>
    <n v="21331249"/>
    <s v="3000015329240007"/>
    <s v="CIVIL"/>
    <d v="2023-06-26T00:00:00"/>
    <d v="2023-07-05T19:01:47"/>
    <m/>
    <d v="2023-07-05T00:00:00"/>
    <n v="1142"/>
    <n v="2903"/>
    <s v="61144341"/>
    <s v="61144341"/>
    <m/>
    <m/>
    <n v="22759968"/>
    <m/>
    <m/>
    <m/>
    <s v="SOLFIN"/>
    <s v="SOLFIN"/>
    <s v="CCMS"/>
    <n v="21331249"/>
    <n v="3991.69"/>
    <m/>
    <s v="N"/>
    <n v="1"/>
    <d v="2023-07-05T19:02:11"/>
    <s v="Y"/>
    <s v="DNA - preparation of report"/>
    <s v="Public Law Children"/>
    <s v="Expert Disbursement"/>
    <s v="JH"/>
    <s v="Y"/>
    <n v="51.25"/>
    <n v="10.25"/>
    <x v="6"/>
    <s v="VALIDATED"/>
    <n v="1"/>
    <s v="01.11.80.308.6300.0000"/>
    <n v="51.25"/>
    <s v="11"/>
    <s v="6300"/>
    <n v="10655.85"/>
    <n v="51.25"/>
    <s v="CREDITOR"/>
    <n v="0"/>
    <n v="0"/>
    <n v="0"/>
    <n v="0"/>
    <n v="51.25"/>
  </r>
  <r>
    <n v="60651015"/>
    <s v="N"/>
    <n v="21343510"/>
    <s v="3000014905340012"/>
    <s v="CIVIL"/>
    <d v="2023-06-30T00:00:00"/>
    <d v="2023-07-07T19:03:00"/>
    <m/>
    <d v="2023-07-07T00:00:00"/>
    <n v="1142"/>
    <n v="2903"/>
    <s v="60651015"/>
    <s v="60651015"/>
    <m/>
    <m/>
    <n v="22799810"/>
    <m/>
    <m/>
    <m/>
    <s v="SOLPOA"/>
    <s v="SOLPOA"/>
    <s v="CCMS"/>
    <n v="21343510"/>
    <n v="168.48"/>
    <m/>
    <s v="N"/>
    <n v="1"/>
    <d v="2023-07-07T19:03:10"/>
    <s v="N"/>
    <s v="Expert Cost"/>
    <s v="Expert Cost"/>
    <s v="Expert Disbursement"/>
    <s v="Jayne Hunt"/>
    <s v="N"/>
    <n v="168.48"/>
    <n v="0"/>
    <x v="9"/>
    <s v="VALIDATED"/>
    <n v="1"/>
    <s v="01.11.80.308.2012.0000"/>
    <n v="168.48"/>
    <s v="11"/>
    <s v="2012"/>
    <n v="10655.85"/>
    <n v="168.48"/>
    <s v="CREDITOR"/>
    <n v="168.48"/>
    <n v="0"/>
    <n v="0"/>
    <n v="0"/>
    <n v="0"/>
  </r>
  <r>
    <n v="60993151"/>
    <s v="N"/>
    <n v="21331240"/>
    <s v="3000015200760006"/>
    <s v="CIVIL"/>
    <d v="2023-06-26T00:00:00"/>
    <d v="2023-07-05T19:01:47"/>
    <m/>
    <d v="2023-07-05T00:00:00"/>
    <n v="1142"/>
    <n v="2903"/>
    <s v="60993151"/>
    <s v="60993151"/>
    <m/>
    <m/>
    <n v="22760066"/>
    <m/>
    <m/>
    <m/>
    <s v="SOLFIN"/>
    <s v="SOLFIN"/>
    <s v="CCMS"/>
    <n v="21331240"/>
    <n v="5742.5"/>
    <m/>
    <s v="N"/>
    <n v="1"/>
    <d v="2023-07-05T19:02:11"/>
    <s v="Y"/>
    <s v="Toxicologist"/>
    <s v="Public Law Children"/>
    <s v="Expert Disbursement"/>
    <s v="JH"/>
    <s v="Y"/>
    <n v="1844"/>
    <n v="368.8"/>
    <x v="6"/>
    <s v="VALIDATED"/>
    <n v="1"/>
    <s v="01.11.80.308.6300.0000"/>
    <n v="1844"/>
    <s v="11"/>
    <s v="6300"/>
    <n v="10655.85"/>
    <n v="1844"/>
    <s v="CREDITOR"/>
    <n v="0"/>
    <n v="0"/>
    <n v="0"/>
    <n v="0"/>
    <n v="1844"/>
  </r>
  <r>
    <n v="60291915"/>
    <s v="N"/>
    <n v="21331343"/>
    <s v="3000014575390006"/>
    <s v="CIVIL"/>
    <d v="2023-06-26T00:00:00"/>
    <d v="2023-07-05T19:01:47"/>
    <m/>
    <d v="2023-07-05T00:00:00"/>
    <n v="1142"/>
    <n v="2903"/>
    <s v="60291915"/>
    <s v="60291915"/>
    <m/>
    <m/>
    <n v="22759282"/>
    <m/>
    <m/>
    <m/>
    <s v="SOLFIN"/>
    <s v="SOLFIN"/>
    <s v="CCMS"/>
    <n v="21331343"/>
    <n v="3477.19"/>
    <m/>
    <s v="N"/>
    <n v="3"/>
    <d v="2023-07-05T19:02:15"/>
    <s v="Y"/>
    <s v="Advocates Meeting"/>
    <s v="Public Law Children"/>
    <s v="Advocacy"/>
    <s v="JH"/>
    <s v="Y"/>
    <n v="140.99"/>
    <n v="28.2"/>
    <x v="6"/>
    <s v="VALIDATED"/>
    <n v="1"/>
    <s v="01.11.80.308.6100.0000"/>
    <n v="140.99"/>
    <s v="11"/>
    <s v="6100"/>
    <n v="10655.85"/>
    <n v="140.99"/>
    <s v="CREDITOR"/>
    <n v="0"/>
    <n v="0"/>
    <n v="0"/>
    <n v="0"/>
    <n v="140.99"/>
  </r>
  <r>
    <n v="61144341"/>
    <s v="N"/>
    <n v="21331249"/>
    <s v="3000015329240007"/>
    <s v="CIVIL"/>
    <d v="2023-06-26T00:00:00"/>
    <d v="2023-07-05T19:01:47"/>
    <m/>
    <d v="2023-07-05T00:00:00"/>
    <n v="1142"/>
    <n v="2903"/>
    <s v="61144341"/>
    <s v="61144341"/>
    <m/>
    <m/>
    <n v="22759968"/>
    <m/>
    <m/>
    <m/>
    <s v="SOLFIN"/>
    <s v="SOLFIN"/>
    <s v="CCMS"/>
    <n v="21331249"/>
    <n v="3991.69"/>
    <m/>
    <s v="N"/>
    <n v="3"/>
    <d v="2023-07-05T19:02:11"/>
    <s v="Y"/>
    <s v="Advocates Meeting"/>
    <s v="Public Law Children"/>
    <s v="Advocacy"/>
    <s v="JH"/>
    <s v="Y"/>
    <n v="140.99"/>
    <n v="28.2"/>
    <x v="6"/>
    <s v="VALIDATED"/>
    <n v="1"/>
    <s v="01.11.80.308.6100.0000"/>
    <n v="140.99"/>
    <s v="11"/>
    <s v="6100"/>
    <n v="10655.85"/>
    <n v="140.99"/>
    <s v="CREDITOR"/>
    <n v="0"/>
    <n v="0"/>
    <n v="0"/>
    <n v="0"/>
    <n v="140.99"/>
  </r>
  <r>
    <n v="60993151"/>
    <s v="N"/>
    <n v="21331240"/>
    <s v="3000015200760006"/>
    <s v="CIVIL"/>
    <d v="2023-06-26T00:00:00"/>
    <d v="2023-07-05T19:01:47"/>
    <m/>
    <d v="2023-07-05T00:00:00"/>
    <n v="1142"/>
    <n v="2903"/>
    <s v="60993151"/>
    <s v="60993151"/>
    <m/>
    <m/>
    <n v="22760066"/>
    <m/>
    <m/>
    <m/>
    <s v="SOLFIN"/>
    <s v="SOLFIN"/>
    <s v="CCMS"/>
    <n v="21331240"/>
    <n v="5742.5"/>
    <m/>
    <s v="N"/>
    <n v="4"/>
    <d v="2023-07-05T19:02:11"/>
    <s v="Y"/>
    <s v="Solicitors Fixed Fee"/>
    <s v="Public Law Children"/>
    <s v="Profit Cost"/>
    <s v="JH"/>
    <s v="Y"/>
    <n v="2370"/>
    <n v="474"/>
    <x v="6"/>
    <s v="VALIDATED"/>
    <n v="1"/>
    <s v="01.11.80.308.6100.0000"/>
    <n v="2370"/>
    <s v="11"/>
    <s v="6100"/>
    <n v="10655.85"/>
    <n v="2370"/>
    <s v="CREDITOR"/>
    <n v="0"/>
    <n v="0"/>
    <n v="0"/>
    <n v="0"/>
    <n v="2370"/>
  </r>
  <r>
    <n v="60291915"/>
    <s v="N"/>
    <n v="21331343"/>
    <s v="3000014575390006"/>
    <s v="CIVIL"/>
    <d v="2023-06-26T00:00:00"/>
    <d v="2023-07-05T19:01:47"/>
    <m/>
    <d v="2023-07-05T00:00:00"/>
    <n v="1142"/>
    <n v="2903"/>
    <s v="60291915"/>
    <s v="60291915"/>
    <m/>
    <m/>
    <n v="22759282"/>
    <m/>
    <m/>
    <m/>
    <s v="SOLFIN"/>
    <s v="SOLFIN"/>
    <s v="CCMS"/>
    <n v="21331343"/>
    <n v="3477.19"/>
    <m/>
    <s v="N"/>
    <n v="2"/>
    <d v="2023-07-05T19:02:15"/>
    <s v="Y"/>
    <s v="Court Fee"/>
    <s v="Public Law Children"/>
    <s v="Non Expert Disbursement"/>
    <s v="JH"/>
    <s v="Y"/>
    <n v="232"/>
    <n v="0"/>
    <x v="6"/>
    <s v="VALIDATED"/>
    <n v="1"/>
    <s v="01.11.80.308.6300.0000"/>
    <n v="232"/>
    <s v="11"/>
    <s v="6300"/>
    <n v="10655.85"/>
    <n v="232"/>
    <s v="CREDITOR"/>
    <n v="0"/>
    <n v="0"/>
    <n v="0"/>
    <n v="0"/>
    <n v="232"/>
  </r>
  <r>
    <n v="61144341"/>
    <s v="N"/>
    <n v="21331249"/>
    <s v="3000015329240007"/>
    <s v="CIVIL"/>
    <d v="2023-06-26T00:00:00"/>
    <d v="2023-07-05T19:01:47"/>
    <m/>
    <d v="2023-07-05T00:00:00"/>
    <n v="1142"/>
    <n v="2903"/>
    <s v="61144341"/>
    <s v="61144341"/>
    <m/>
    <m/>
    <n v="22759968"/>
    <m/>
    <m/>
    <m/>
    <s v="SOLFIN"/>
    <s v="SOLFIN"/>
    <s v="CCMS"/>
    <n v="21331249"/>
    <n v="3991.69"/>
    <m/>
    <s v="N"/>
    <n v="4"/>
    <d v="2023-07-05T19:02:11"/>
    <s v="Y"/>
    <s v="Hearing Unit 2.31 - 5.00 Hours"/>
    <s v="Public Law Children"/>
    <s v="Advocacy"/>
    <s v="JH"/>
    <s v="Y"/>
    <n v="476.92"/>
    <n v="95.38"/>
    <x v="6"/>
    <s v="VALIDATED"/>
    <n v="1"/>
    <s v="01.11.80.308.6100.0000"/>
    <n v="476.92"/>
    <s v="11"/>
    <s v="6100"/>
    <n v="10655.85"/>
    <n v="476.92"/>
    <s v="CREDITOR"/>
    <n v="0"/>
    <n v="0"/>
    <n v="0"/>
    <n v="0"/>
    <n v="476.92"/>
  </r>
  <r>
    <n v="60291915"/>
    <s v="N"/>
    <n v="21331343"/>
    <s v="3000014575390006"/>
    <s v="CIVIL"/>
    <d v="2023-06-26T00:00:00"/>
    <d v="2023-07-05T19:01:47"/>
    <m/>
    <d v="2023-07-05T00:00:00"/>
    <n v="1142"/>
    <n v="2903"/>
    <s v="60291915"/>
    <s v="60291915"/>
    <m/>
    <m/>
    <n v="22759282"/>
    <m/>
    <m/>
    <m/>
    <s v="SOLFIN"/>
    <s v="SOLFIN"/>
    <s v="CCMS"/>
    <n v="21331343"/>
    <n v="3477.19"/>
    <m/>
    <s v="N"/>
    <n v="1"/>
    <d v="2023-07-05T19:02:15"/>
    <s v="Y"/>
    <s v="Court Fee"/>
    <s v="Public Law Children"/>
    <s v="Non Expert Disbursement"/>
    <s v="JH"/>
    <s v="Y"/>
    <n v="232"/>
    <n v="0"/>
    <x v="6"/>
    <s v="VALIDATED"/>
    <n v="1"/>
    <s v="01.11.80.308.6300.0000"/>
    <n v="232"/>
    <s v="11"/>
    <s v="6300"/>
    <n v="10655.85"/>
    <n v="232"/>
    <s v="CREDITOR"/>
    <n v="0"/>
    <n v="0"/>
    <n v="0"/>
    <n v="0"/>
    <n v="232"/>
  </r>
  <r>
    <n v="60993151"/>
    <s v="N"/>
    <n v="21331240"/>
    <s v="3000015200760006"/>
    <s v="CIVIL"/>
    <d v="2023-06-26T00:00:00"/>
    <d v="2023-07-05T19:01:47"/>
    <m/>
    <d v="2023-07-05T00:00:00"/>
    <n v="1142"/>
    <n v="2903"/>
    <s v="60993151"/>
    <s v="60993151"/>
    <m/>
    <m/>
    <n v="22760066"/>
    <m/>
    <m/>
    <m/>
    <s v="SOLFIN"/>
    <s v="SOLFIN"/>
    <s v="CCMS"/>
    <n v="21331240"/>
    <n v="5742.5"/>
    <m/>
    <s v="N"/>
    <n v="2"/>
    <d v="2023-07-05T19:02:11"/>
    <s v="Y"/>
    <s v="Court Fee"/>
    <s v="Public Law Children"/>
    <s v="Non Expert Disbursement"/>
    <s v="JH"/>
    <s v="Y"/>
    <n v="167"/>
    <n v="0"/>
    <x v="6"/>
    <s v="VALIDATED"/>
    <n v="1"/>
    <s v="01.11.80.308.6300.0000"/>
    <n v="167"/>
    <s v="11"/>
    <s v="6300"/>
    <n v="10655.85"/>
    <n v="167"/>
    <s v="CREDITOR"/>
    <n v="0"/>
    <n v="0"/>
    <n v="0"/>
    <n v="0"/>
    <n v="167"/>
  </r>
  <r>
    <n v="60291915"/>
    <s v="N"/>
    <n v="21331343"/>
    <s v="3000014575390006"/>
    <s v="CIVIL"/>
    <d v="2023-06-26T00:00:00"/>
    <d v="2023-07-05T19:01:47"/>
    <m/>
    <d v="2023-07-05T00:00:00"/>
    <n v="1142"/>
    <n v="2903"/>
    <s v="60291915"/>
    <s v="60291915"/>
    <m/>
    <m/>
    <n v="22759282"/>
    <m/>
    <m/>
    <m/>
    <s v="SOLFIN"/>
    <s v="SOLFIN"/>
    <s v="CCMS"/>
    <n v="21331343"/>
    <n v="3477.19"/>
    <m/>
    <s v="N"/>
    <n v="4"/>
    <d v="2023-07-05T19:02:15"/>
    <s v="Y"/>
    <s v="Solicitors Fixed Fee"/>
    <s v="Public Law Children"/>
    <s v="Profit Cost"/>
    <s v="JH"/>
    <s v="Y"/>
    <n v="2370"/>
    <n v="474"/>
    <x v="6"/>
    <s v="VALIDATED"/>
    <n v="1"/>
    <s v="01.11.80.308.6100.0000"/>
    <n v="2370"/>
    <s v="11"/>
    <s v="6100"/>
    <n v="10655.85"/>
    <n v="2370"/>
    <s v="CREDITOR"/>
    <n v="0"/>
    <n v="0"/>
    <n v="0"/>
    <n v="0"/>
    <n v="2370"/>
  </r>
  <r>
    <n v="60822376"/>
    <s v="N"/>
    <n v="21328224"/>
    <s v="3000015054620005"/>
    <s v="CIVIL"/>
    <d v="2023-06-26T00:00:00"/>
    <d v="2023-07-04T19:00:44"/>
    <m/>
    <d v="2023-07-04T00:00:00"/>
    <n v="1142"/>
    <n v="2903"/>
    <s v="60822376"/>
    <s v="60822376"/>
    <m/>
    <m/>
    <n v="22759900"/>
    <m/>
    <m/>
    <m/>
    <s v="SOLFIN"/>
    <s v="SOLFIN"/>
    <s v="CCMS"/>
    <n v="21328224"/>
    <n v="2844"/>
    <m/>
    <s v="N"/>
    <n v="1"/>
    <d v="2023-07-04T19:01:08"/>
    <s v="Y"/>
    <s v="Solicitors Fixed Fee"/>
    <s v="Public Law Children"/>
    <s v="Profit Cost"/>
    <s v="JH"/>
    <s v="Y"/>
    <n v="2370"/>
    <n v="474"/>
    <x v="1"/>
    <s v="VALIDATED"/>
    <n v="1"/>
    <s v="01.11.80.308.6100.0000"/>
    <n v="2370"/>
    <s v="11"/>
    <s v="6100"/>
    <n v="10655.85"/>
    <n v="2370"/>
    <s v="CREDITOR"/>
    <n v="0"/>
    <n v="0"/>
    <n v="0"/>
    <n v="0"/>
    <n v="2370"/>
  </r>
  <r>
    <n v="60993151"/>
    <s v="N"/>
    <n v="21331240"/>
    <s v="3000015200760006"/>
    <s v="CIVIL"/>
    <d v="2023-06-26T00:00:00"/>
    <d v="2023-07-05T19:01:47"/>
    <m/>
    <d v="2023-07-05T00:00:00"/>
    <n v="1142"/>
    <n v="2903"/>
    <s v="60993151"/>
    <s v="60993151"/>
    <m/>
    <m/>
    <n v="22760066"/>
    <m/>
    <m/>
    <m/>
    <s v="SOLFIN"/>
    <s v="SOLFIN"/>
    <s v="CCMS"/>
    <n v="21331240"/>
    <n v="5742.5"/>
    <m/>
    <s v="N"/>
    <n v="3"/>
    <d v="2023-07-05T19:02:11"/>
    <s v="Y"/>
    <s v="Toxicologist"/>
    <s v="Public Law Children"/>
    <s v="Expert Disbursement"/>
    <s v="JH"/>
    <s v="Y"/>
    <n v="432.25"/>
    <n v="86.45"/>
    <x v="6"/>
    <s v="VALIDATED"/>
    <n v="1"/>
    <s v="01.11.80.308.6300.0000"/>
    <n v="432.25"/>
    <s v="11"/>
    <s v="6300"/>
    <n v="10655.85"/>
    <n v="432.25"/>
    <s v="CREDITOR"/>
    <n v="0"/>
    <n v="0"/>
    <n v="0"/>
    <n v="0"/>
    <n v="432.25"/>
  </r>
  <r>
    <n v="60993151"/>
    <s v="N"/>
    <n v="21333842"/>
    <s v="3000015200760002RC"/>
    <s v="CIVIL"/>
    <d v="2023-06-26T00:00:00"/>
    <d v="2023-07-05T19:42:28"/>
    <m/>
    <d v="2023-07-05T00:00:00"/>
    <n v="1142"/>
    <n v="2903"/>
    <s v="60993151"/>
    <s v="60993151"/>
    <m/>
    <m/>
    <m/>
    <m/>
    <m/>
    <m/>
    <s v="SOLRECOUP"/>
    <s v="SOLRECOUP"/>
    <s v="POARECOUP"/>
    <n v="21333842"/>
    <n v="-2212.8"/>
    <m/>
    <s v="Y"/>
    <n v="1"/>
    <d v="2023-07-05T19:42:29"/>
    <s v="N"/>
    <m/>
    <m/>
    <s v="Expert Disbursement"/>
    <m/>
    <s v="N"/>
    <n v="-1844"/>
    <n v="0"/>
    <x v="6"/>
    <s v="VALIDATED"/>
    <n v="1"/>
    <s v="01.11.80.308.2013.0000"/>
    <n v="-1844"/>
    <s v="11"/>
    <s v="2013"/>
    <n v="10655.85"/>
    <n v="-1844"/>
    <s v="CREDITOR"/>
    <n v="0"/>
    <n v="0"/>
    <n v="-1844"/>
    <n v="0"/>
    <n v="0"/>
  </r>
  <r>
    <n v="60993151"/>
    <s v="N"/>
    <n v="21333842"/>
    <s v="3000015200760002RC"/>
    <s v="CIVIL"/>
    <d v="2023-06-26T00:00:00"/>
    <d v="2023-07-05T19:42:28"/>
    <m/>
    <d v="2023-07-05T00:00:00"/>
    <n v="1142"/>
    <n v="2903"/>
    <s v="60993151"/>
    <s v="60993151"/>
    <m/>
    <m/>
    <m/>
    <m/>
    <m/>
    <m/>
    <s v="SOLRECOUP"/>
    <s v="SOLRECOUP"/>
    <s v="POARECOUP"/>
    <n v="21333842"/>
    <n v="-2212.8"/>
    <m/>
    <s v="Y"/>
    <n v="2"/>
    <d v="2023-07-05T19:42:29"/>
    <s v="N"/>
    <m/>
    <m/>
    <s v="Expert Disbursement"/>
    <m/>
    <s v="N"/>
    <n v="0"/>
    <n v="-368.8"/>
    <x v="6"/>
    <s v="VALIDATED"/>
    <n v="1"/>
    <s v="01.11.80.308.2013.0000"/>
    <n v="-368.8"/>
    <s v="11"/>
    <s v="2013"/>
    <n v="10655.85"/>
    <n v="-368.8"/>
    <s v="CREDITOR"/>
    <n v="0"/>
    <n v="0"/>
    <n v="-368.8"/>
    <n v="0"/>
    <n v="0"/>
  </r>
  <r>
    <n v="60993151"/>
    <s v="N"/>
    <n v="21333843"/>
    <s v="3000015200760003RC"/>
    <s v="CIVIL"/>
    <d v="2023-06-26T00:00:00"/>
    <d v="2023-07-05T19:42:28"/>
    <m/>
    <d v="2023-07-05T00:00:00"/>
    <n v="1142"/>
    <n v="2903"/>
    <s v="60993151"/>
    <s v="60993151"/>
    <m/>
    <m/>
    <m/>
    <m/>
    <m/>
    <m/>
    <s v="SOLRECOUP"/>
    <s v="SOLRECOUP"/>
    <s v="POARECOUP"/>
    <n v="21333843"/>
    <n v="-167"/>
    <m/>
    <s v="Y"/>
    <n v="1"/>
    <d v="2023-07-05T19:42:29"/>
    <s v="N"/>
    <m/>
    <m/>
    <s v="Non Expert Disbursement"/>
    <m/>
    <s v="N"/>
    <n v="-167"/>
    <n v="0"/>
    <x v="6"/>
    <s v="VALIDATED"/>
    <n v="1"/>
    <s v="01.11.80.308.2013.0000"/>
    <n v="-167"/>
    <s v="11"/>
    <s v="2013"/>
    <n v="10655.85"/>
    <n v="-167"/>
    <s v="CREDITOR"/>
    <n v="0"/>
    <n v="0"/>
    <n v="-167"/>
    <n v="0"/>
    <n v="0"/>
  </r>
  <r>
    <n v="60993151"/>
    <s v="N"/>
    <n v="21333843"/>
    <s v="3000015200760003RC"/>
    <s v="CIVIL"/>
    <d v="2023-06-26T00:00:00"/>
    <d v="2023-07-05T19:42:28"/>
    <m/>
    <d v="2023-07-05T00:00:00"/>
    <n v="1142"/>
    <n v="2903"/>
    <s v="60993151"/>
    <s v="60993151"/>
    <m/>
    <m/>
    <m/>
    <m/>
    <m/>
    <m/>
    <s v="SOLRECOUP"/>
    <s v="SOLRECOUP"/>
    <s v="POARECOUP"/>
    <n v="21333843"/>
    <n v="-167"/>
    <m/>
    <s v="Y"/>
    <n v="2"/>
    <d v="2023-07-05T19:42:29"/>
    <s v="N"/>
    <m/>
    <m/>
    <s v="Non Expert Disbursement"/>
    <m/>
    <s v="N"/>
    <n v="0"/>
    <n v="0"/>
    <x v="6"/>
    <s v="VALIDATED"/>
    <n v="1"/>
    <s v="01.11.80.000.0000.0000"/>
    <n v="0"/>
    <s v="11"/>
    <s v="0000"/>
    <n v="10655.85"/>
    <n v="0"/>
    <s v="CREDITOR"/>
    <n v="0"/>
    <n v="0"/>
    <n v="0"/>
    <n v="0"/>
    <n v="0"/>
  </r>
  <r>
    <n v="60291915"/>
    <s v="N"/>
    <n v="21333844"/>
    <s v="3000014575390004RC"/>
    <s v="CIVIL"/>
    <d v="2023-06-26T00:00:00"/>
    <d v="2023-07-05T19:42:28"/>
    <m/>
    <d v="2023-07-05T00:00:00"/>
    <n v="1142"/>
    <n v="2903"/>
    <s v="60291915"/>
    <s v="60291915"/>
    <m/>
    <m/>
    <m/>
    <m/>
    <m/>
    <m/>
    <s v="SOLRECOUP"/>
    <s v="SOLRECOUP"/>
    <s v="POARECOUP"/>
    <n v="21333844"/>
    <n v="-232"/>
    <m/>
    <s v="Y"/>
    <n v="1"/>
    <d v="2023-07-05T19:42:29"/>
    <s v="N"/>
    <m/>
    <m/>
    <s v="Non Expert Disbursement"/>
    <m/>
    <s v="N"/>
    <n v="-232"/>
    <n v="0"/>
    <x v="6"/>
    <s v="VALIDATED"/>
    <n v="1"/>
    <s v="01.11.80.308.2013.0000"/>
    <n v="-232"/>
    <s v="11"/>
    <s v="2013"/>
    <n v="10655.85"/>
    <n v="-232"/>
    <s v="CREDITOR"/>
    <n v="0"/>
    <n v="0"/>
    <n v="-232"/>
    <n v="0"/>
    <n v="0"/>
  </r>
  <r>
    <n v="60291915"/>
    <s v="N"/>
    <n v="21333844"/>
    <s v="3000014575390004RC"/>
    <s v="CIVIL"/>
    <d v="2023-06-26T00:00:00"/>
    <d v="2023-07-05T19:42:28"/>
    <m/>
    <d v="2023-07-05T00:00:00"/>
    <n v="1142"/>
    <n v="2903"/>
    <s v="60291915"/>
    <s v="60291915"/>
    <m/>
    <m/>
    <m/>
    <m/>
    <m/>
    <m/>
    <s v="SOLRECOUP"/>
    <s v="SOLRECOUP"/>
    <s v="POARECOUP"/>
    <n v="21333844"/>
    <n v="-232"/>
    <m/>
    <s v="Y"/>
    <n v="2"/>
    <d v="2023-07-05T19:42:29"/>
    <s v="N"/>
    <m/>
    <m/>
    <s v="Non Expert Disbursement"/>
    <m/>
    <s v="N"/>
    <n v="0"/>
    <n v="0"/>
    <x v="6"/>
    <s v="VALIDATED"/>
    <n v="1"/>
    <s v="01.11.80.000.0000.0000"/>
    <n v="0"/>
    <s v="11"/>
    <s v="0000"/>
    <n v="10655.85"/>
    <n v="0"/>
    <s v="CREDITOR"/>
    <n v="0"/>
    <n v="0"/>
    <n v="0"/>
    <n v="0"/>
    <n v="0"/>
  </r>
  <r>
    <n v="61144341"/>
    <s v="N"/>
    <n v="21333845"/>
    <s v="3000015329240002RC"/>
    <s v="CIVIL"/>
    <d v="2023-06-26T00:00:00"/>
    <d v="2023-07-05T19:42:28"/>
    <m/>
    <d v="2023-07-05T00:00:00"/>
    <n v="1142"/>
    <n v="2903"/>
    <s v="61144341"/>
    <s v="61144341"/>
    <m/>
    <m/>
    <m/>
    <m/>
    <m/>
    <m/>
    <s v="SOLRECOUP"/>
    <s v="SOLRECOUP"/>
    <s v="POARECOUP"/>
    <n v="21333845"/>
    <n v="-344.7"/>
    <m/>
    <s v="Y"/>
    <n v="1"/>
    <d v="2023-07-05T19:42:29"/>
    <s v="N"/>
    <m/>
    <m/>
    <s v="Expert Disbursement"/>
    <m/>
    <s v="N"/>
    <n v="-287.25"/>
    <n v="0"/>
    <x v="6"/>
    <s v="VALIDATED"/>
    <n v="1"/>
    <s v="01.11.80.308.2013.0000"/>
    <n v="-287.25"/>
    <s v="11"/>
    <s v="2013"/>
    <n v="10655.85"/>
    <n v="-287.25"/>
    <s v="CREDITOR"/>
    <n v="0"/>
    <n v="0"/>
    <n v="-287.25"/>
    <n v="0"/>
    <n v="0"/>
  </r>
  <r>
    <n v="61144341"/>
    <s v="N"/>
    <n v="21333845"/>
    <s v="3000015329240002RC"/>
    <s v="CIVIL"/>
    <d v="2023-06-26T00:00:00"/>
    <d v="2023-07-05T19:42:28"/>
    <m/>
    <d v="2023-07-05T00:00:00"/>
    <n v="1142"/>
    <n v="2903"/>
    <s v="61144341"/>
    <s v="61144341"/>
    <m/>
    <m/>
    <m/>
    <m/>
    <m/>
    <m/>
    <s v="SOLRECOUP"/>
    <s v="SOLRECOUP"/>
    <s v="POARECOUP"/>
    <n v="21333845"/>
    <n v="-344.7"/>
    <m/>
    <s v="Y"/>
    <n v="2"/>
    <d v="2023-07-05T19:42:29"/>
    <s v="N"/>
    <m/>
    <m/>
    <s v="Expert Disbursement"/>
    <m/>
    <s v="N"/>
    <n v="0"/>
    <n v="-57.45"/>
    <x v="6"/>
    <s v="VALIDATED"/>
    <n v="1"/>
    <s v="01.11.80.308.2013.0000"/>
    <n v="-57.45"/>
    <s v="11"/>
    <s v="2013"/>
    <n v="10655.85"/>
    <n v="-57.45"/>
    <s v="CREDITOR"/>
    <n v="0"/>
    <n v="0"/>
    <n v="-57.45"/>
    <n v="0"/>
    <n v="0"/>
  </r>
  <r>
    <n v="60291915"/>
    <s v="N"/>
    <n v="21333846"/>
    <s v="3000014575390003RC"/>
    <s v="CIVIL"/>
    <d v="2023-06-26T00:00:00"/>
    <d v="2023-07-05T19:42:28"/>
    <m/>
    <d v="2023-07-05T00:00:00"/>
    <n v="1142"/>
    <n v="2903"/>
    <s v="60291915"/>
    <s v="60291915"/>
    <m/>
    <m/>
    <m/>
    <m/>
    <m/>
    <m/>
    <s v="SOLRECOUP"/>
    <s v="SOLRECOUP"/>
    <s v="POARECOUP"/>
    <n v="21333846"/>
    <n v="-232"/>
    <m/>
    <s v="Y"/>
    <n v="1"/>
    <d v="2023-07-05T19:42:29"/>
    <s v="N"/>
    <m/>
    <m/>
    <s v="Non Expert Disbursement"/>
    <m/>
    <s v="N"/>
    <n v="-232"/>
    <n v="0"/>
    <x v="6"/>
    <s v="VALIDATED"/>
    <n v="1"/>
    <s v="01.11.80.308.2013.0000"/>
    <n v="-232"/>
    <s v="11"/>
    <s v="2013"/>
    <n v="10655.85"/>
    <n v="-232"/>
    <s v="CREDITOR"/>
    <n v="0"/>
    <n v="0"/>
    <n v="-232"/>
    <n v="0"/>
    <n v="0"/>
  </r>
  <r>
    <n v="60291915"/>
    <s v="N"/>
    <n v="21333846"/>
    <s v="3000014575390003RC"/>
    <s v="CIVIL"/>
    <d v="2023-06-26T00:00:00"/>
    <d v="2023-07-05T19:42:28"/>
    <m/>
    <d v="2023-07-05T00:00:00"/>
    <n v="1142"/>
    <n v="2903"/>
    <s v="60291915"/>
    <s v="60291915"/>
    <m/>
    <m/>
    <m/>
    <m/>
    <m/>
    <m/>
    <s v="SOLRECOUP"/>
    <s v="SOLRECOUP"/>
    <s v="POARECOUP"/>
    <n v="21333846"/>
    <n v="-232"/>
    <m/>
    <s v="Y"/>
    <n v="2"/>
    <d v="2023-07-05T19:42:29"/>
    <s v="N"/>
    <m/>
    <m/>
    <s v="Non Expert Disbursement"/>
    <m/>
    <s v="N"/>
    <n v="0"/>
    <n v="0"/>
    <x v="6"/>
    <s v="VALIDATED"/>
    <n v="1"/>
    <s v="01.11.80.000.0000.0000"/>
    <n v="0"/>
    <s v="11"/>
    <s v="0000"/>
    <n v="10655.85"/>
    <n v="0"/>
    <s v="CREDITOR"/>
    <n v="0"/>
    <n v="0"/>
    <n v="0"/>
    <n v="0"/>
    <n v="0"/>
  </r>
  <r>
    <n v="61144341"/>
    <s v="N"/>
    <n v="21333847"/>
    <s v="3000015329240004RC"/>
    <s v="CIVIL"/>
    <d v="2023-06-26T00:00:00"/>
    <d v="2023-07-05T19:42:28"/>
    <m/>
    <d v="2023-07-05T00:00:00"/>
    <n v="1142"/>
    <n v="2903"/>
    <s v="61144341"/>
    <s v="61144341"/>
    <m/>
    <m/>
    <m/>
    <m/>
    <m/>
    <m/>
    <s v="SOLRECOUP"/>
    <s v="SOLRECOUP"/>
    <s v="POARECOUP"/>
    <n v="21333847"/>
    <n v="-61.5"/>
    <m/>
    <s v="Y"/>
    <n v="1"/>
    <d v="2023-07-05T19:42:29"/>
    <s v="N"/>
    <m/>
    <m/>
    <s v="Expert Disbursement"/>
    <m/>
    <s v="N"/>
    <n v="-51.25"/>
    <n v="0"/>
    <x v="6"/>
    <s v="VALIDATED"/>
    <n v="1"/>
    <s v="01.11.80.308.2013.0000"/>
    <n v="-51.25"/>
    <s v="11"/>
    <s v="2013"/>
    <n v="10655.85"/>
    <n v="-51.25"/>
    <s v="CREDITOR"/>
    <n v="0"/>
    <n v="0"/>
    <n v="-51.25"/>
    <n v="0"/>
    <n v="0"/>
  </r>
  <r>
    <n v="61144341"/>
    <s v="N"/>
    <n v="21333847"/>
    <s v="3000015329240004RC"/>
    <s v="CIVIL"/>
    <d v="2023-06-26T00:00:00"/>
    <d v="2023-07-05T19:42:28"/>
    <m/>
    <d v="2023-07-05T00:00:00"/>
    <n v="1142"/>
    <n v="2903"/>
    <s v="61144341"/>
    <s v="61144341"/>
    <m/>
    <m/>
    <m/>
    <m/>
    <m/>
    <m/>
    <s v="SOLRECOUP"/>
    <s v="SOLRECOUP"/>
    <s v="POARECOUP"/>
    <n v="21333847"/>
    <n v="-61.5"/>
    <m/>
    <s v="Y"/>
    <n v="2"/>
    <d v="2023-07-05T19:42:29"/>
    <s v="N"/>
    <m/>
    <m/>
    <s v="Expert Disbursement"/>
    <m/>
    <s v="N"/>
    <n v="0"/>
    <n v="-10.25"/>
    <x v="6"/>
    <s v="VALIDATED"/>
    <n v="1"/>
    <s v="01.11.80.308.2013.0000"/>
    <n v="-10.25"/>
    <s v="11"/>
    <s v="2013"/>
    <n v="10655.85"/>
    <n v="-10.25"/>
    <s v="CREDITOR"/>
    <n v="0"/>
    <n v="0"/>
    <n v="-10.25"/>
    <n v="0"/>
    <n v="0"/>
  </r>
  <r>
    <n v="61536655"/>
    <s v="N"/>
    <n v="21360261"/>
    <s v="3000015655560003"/>
    <s v="CIVIL"/>
    <d v="2023-06-20T00:00:00"/>
    <d v="2023-07-11T11:50:54"/>
    <m/>
    <d v="2023-07-11T00:00:00"/>
    <n v="1148"/>
    <n v="2947"/>
    <s v="61536655"/>
    <s v="61536655"/>
    <m/>
    <m/>
    <n v="22724376"/>
    <m/>
    <m/>
    <m/>
    <s v="SOLFIN"/>
    <s v="SOLFIN"/>
    <s v="CCMS"/>
    <n v="21360261"/>
    <n v="11843.93"/>
    <m/>
    <s v="N"/>
    <n v="90"/>
    <d v="2023-07-11T11:50:59"/>
    <s v="Y"/>
    <s v="Preparation - drafting attendance n"/>
    <s v="Care Remuneration Hourly Rates"/>
    <s v="Profit Cost"/>
    <s v="KS"/>
    <s v="Y"/>
    <n v="18.14"/>
    <n v="3.63"/>
    <x v="7"/>
    <s v="VALIDATED"/>
    <n v="1"/>
    <s v="01.11.80.308.6100.0000"/>
    <n v="18.14"/>
    <s v="11"/>
    <s v="6100"/>
    <n v="23532.18"/>
    <n v="18.14"/>
    <s v="CREDITOR"/>
    <n v="0"/>
    <n v="0"/>
    <n v="0"/>
    <n v="0"/>
    <n v="18.14"/>
  </r>
  <r>
    <n v="61536655"/>
    <s v="N"/>
    <n v="21360261"/>
    <s v="3000015655560003"/>
    <s v="CIVIL"/>
    <d v="2023-06-20T00:00:00"/>
    <d v="2023-07-11T11:50:54"/>
    <m/>
    <d v="2023-07-11T00:00:00"/>
    <n v="1148"/>
    <n v="2947"/>
    <s v="61536655"/>
    <s v="61536655"/>
    <m/>
    <m/>
    <n v="22724376"/>
    <m/>
    <m/>
    <m/>
    <s v="SOLFIN"/>
    <s v="SOLFIN"/>
    <s v="CCMS"/>
    <n v="21360261"/>
    <n v="11843.93"/>
    <m/>
    <s v="N"/>
    <n v="5"/>
    <d v="2023-07-11T11:50:59"/>
    <s v="Y"/>
    <s v="Preparation - other"/>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93"/>
    <d v="2023-07-11T11:50:59"/>
    <s v="Y"/>
    <s v="Preparation - drafting statement"/>
    <s v="Care Remuneration Hourly Rates"/>
    <s v="Profit Cost"/>
    <s v="KS"/>
    <s v="Y"/>
    <n v="35.49"/>
    <n v="7.1"/>
    <x v="7"/>
    <s v="VALIDATED"/>
    <n v="1"/>
    <s v="01.11.80.308.6100.0000"/>
    <n v="35.49"/>
    <s v="11"/>
    <s v="6100"/>
    <n v="23532.18"/>
    <n v="35.49"/>
    <s v="CREDITOR"/>
    <n v="0"/>
    <n v="0"/>
    <n v="0"/>
    <n v="0"/>
    <n v="35.49"/>
  </r>
  <r>
    <n v="61107388"/>
    <s v="N"/>
    <n v="21328141"/>
    <s v="3000015298310006"/>
    <s v="CIVIL"/>
    <d v="2023-06-21T00:00:00"/>
    <d v="2023-07-04T19:00:44"/>
    <m/>
    <d v="2023-07-04T00:00:00"/>
    <n v="1148"/>
    <n v="2947"/>
    <s v="61107388"/>
    <s v="61107388"/>
    <m/>
    <m/>
    <n v="22737020"/>
    <m/>
    <m/>
    <m/>
    <s v="SOLFIN"/>
    <s v="SOLFIN"/>
    <s v="CCMS"/>
    <n v="21328141"/>
    <n v="29945.48"/>
    <m/>
    <s v="N"/>
    <n v="3"/>
    <d v="2023-07-04T19:01:06"/>
    <s v="Y"/>
    <s v="Exceptional Travel"/>
    <s v="Public Law Children"/>
    <s v="Advocacy"/>
    <s v="Bethan Griffin"/>
    <s v="Y"/>
    <n v="32.04"/>
    <n v="6.41"/>
    <x v="1"/>
    <s v="VALIDATED"/>
    <n v="1"/>
    <s v="01.11.80.308.6100.0000"/>
    <n v="32.04"/>
    <s v="11"/>
    <s v="6100"/>
    <n v="23532.18"/>
    <n v="32.04"/>
    <s v="CREDITOR"/>
    <n v="0"/>
    <n v="0"/>
    <n v="0"/>
    <n v="0"/>
    <n v="32.04"/>
  </r>
  <r>
    <n v="61536655"/>
    <s v="N"/>
    <n v="21360261"/>
    <s v="3000015655560003"/>
    <s v="CIVIL"/>
    <d v="2023-06-20T00:00:00"/>
    <d v="2023-07-11T11:50:54"/>
    <m/>
    <d v="2023-07-11T00:00:00"/>
    <n v="1148"/>
    <n v="2947"/>
    <s v="61536655"/>
    <s v="61536655"/>
    <m/>
    <m/>
    <n v="22724376"/>
    <m/>
    <m/>
    <m/>
    <s v="SOLFIN"/>
    <s v="SOLFIN"/>
    <s v="CCMS"/>
    <n v="21360261"/>
    <n v="11843.93"/>
    <m/>
    <s v="N"/>
    <n v="75"/>
    <d v="2023-07-11T11:50:59"/>
    <s v="Y"/>
    <s v="Preparation - other"/>
    <s v="Care Remuneration Hourly Rates"/>
    <s v="Profit Cost"/>
    <s v="KS"/>
    <s v="Y"/>
    <n v="35.49"/>
    <n v="7.1"/>
    <x v="7"/>
    <s v="VALIDATED"/>
    <n v="1"/>
    <s v="01.11.80.308.6100.0000"/>
    <n v="35.49"/>
    <s v="11"/>
    <s v="6100"/>
    <n v="23532.18"/>
    <n v="35.49"/>
    <s v="CREDITOR"/>
    <n v="0"/>
    <n v="0"/>
    <n v="0"/>
    <n v="0"/>
    <n v="35.49"/>
  </r>
  <r>
    <n v="61536655"/>
    <s v="N"/>
    <n v="21360261"/>
    <s v="3000015655560003"/>
    <s v="CIVIL"/>
    <d v="2023-06-20T00:00:00"/>
    <d v="2023-07-11T11:50:54"/>
    <m/>
    <d v="2023-07-11T00:00:00"/>
    <n v="1148"/>
    <n v="2947"/>
    <s v="61536655"/>
    <s v="61536655"/>
    <m/>
    <m/>
    <n v="22724376"/>
    <m/>
    <m/>
    <m/>
    <s v="SOLFIN"/>
    <s v="SOLFIN"/>
    <s v="CCMS"/>
    <n v="21360261"/>
    <n v="11843.93"/>
    <m/>
    <s v="N"/>
    <n v="52"/>
    <d v="2023-07-11T11:50:59"/>
    <s v="Y"/>
    <s v="Preparation - other"/>
    <s v="Care Remuneration Hourly Rates"/>
    <s v="Profit Cost"/>
    <s v="KS"/>
    <s v="Y"/>
    <n v="42.58"/>
    <n v="8.52"/>
    <x v="7"/>
    <s v="VALIDATED"/>
    <n v="1"/>
    <s v="01.11.80.308.6100.0000"/>
    <n v="42.58"/>
    <s v="11"/>
    <s v="6100"/>
    <n v="23532.18"/>
    <n v="42.58"/>
    <s v="CREDITOR"/>
    <n v="0"/>
    <n v="0"/>
    <n v="0"/>
    <n v="0"/>
    <n v="42.58"/>
  </r>
  <r>
    <n v="61107388"/>
    <s v="N"/>
    <n v="21328697"/>
    <s v="3000015298310005RC"/>
    <s v="CIVIL"/>
    <d v="2023-06-21T00:00:00"/>
    <d v="2023-07-04T19:38:21"/>
    <m/>
    <d v="2023-07-04T00:00:00"/>
    <n v="1148"/>
    <n v="2947"/>
    <s v="61107388"/>
    <s v="61107388"/>
    <m/>
    <m/>
    <m/>
    <m/>
    <m/>
    <m/>
    <s v="SOLRECOUP"/>
    <s v="SOLRECOUP"/>
    <s v="POARECOUP"/>
    <n v="21328697"/>
    <n v="-260.38"/>
    <m/>
    <s v="Y"/>
    <n v="1"/>
    <d v="2023-07-04T19:38:22"/>
    <s v="N"/>
    <m/>
    <m/>
    <s v="Expert Disbursement"/>
    <m/>
    <s v="N"/>
    <n v="-260.38"/>
    <n v="0"/>
    <x v="1"/>
    <s v="VALIDATED"/>
    <n v="1"/>
    <s v="01.11.80.308.2013.0000"/>
    <n v="-260.38"/>
    <s v="11"/>
    <s v="2013"/>
    <n v="23532.18"/>
    <n v="-260.38"/>
    <s v="CREDITOR"/>
    <n v="0"/>
    <n v="0"/>
    <n v="-260.38"/>
    <n v="0"/>
    <n v="0"/>
  </r>
  <r>
    <n v="61107388"/>
    <s v="N"/>
    <n v="21328697"/>
    <s v="3000015298310005RC"/>
    <s v="CIVIL"/>
    <d v="2023-06-21T00:00:00"/>
    <d v="2023-07-04T19:38:21"/>
    <m/>
    <d v="2023-07-04T00:00:00"/>
    <n v="1148"/>
    <n v="2947"/>
    <s v="61107388"/>
    <s v="61107388"/>
    <m/>
    <m/>
    <m/>
    <m/>
    <m/>
    <m/>
    <s v="SOLRECOUP"/>
    <s v="SOLRECOUP"/>
    <s v="POARECOUP"/>
    <n v="21328697"/>
    <n v="-260.38"/>
    <m/>
    <s v="Y"/>
    <n v="2"/>
    <d v="2023-07-04T19:38:22"/>
    <s v="N"/>
    <m/>
    <m/>
    <s v="Expert Disbursement"/>
    <m/>
    <s v="N"/>
    <n v="0"/>
    <n v="0"/>
    <x v="1"/>
    <s v="VALIDATED"/>
    <n v="1"/>
    <s v="01.11.80.000.0000.0000"/>
    <n v="0"/>
    <s v="11"/>
    <s v="0000"/>
    <n v="23532.18"/>
    <n v="0"/>
    <s v="CREDITOR"/>
    <n v="0"/>
    <n v="0"/>
    <n v="0"/>
    <n v="0"/>
    <n v="0"/>
  </r>
  <r>
    <n v="61107388"/>
    <s v="N"/>
    <n v="21328698"/>
    <s v="3000015298310002RC"/>
    <s v="CIVIL"/>
    <d v="2023-06-21T00:00:00"/>
    <d v="2023-07-04T19:38:21"/>
    <m/>
    <d v="2023-07-04T00:00:00"/>
    <n v="1148"/>
    <n v="2947"/>
    <s v="61107388"/>
    <s v="61107388"/>
    <m/>
    <m/>
    <m/>
    <m/>
    <m/>
    <m/>
    <s v="SOLRECOUP"/>
    <s v="SOLRECOUP"/>
    <s v="POARECOUP"/>
    <n v="21328698"/>
    <n v="-11289.6"/>
    <m/>
    <s v="Y"/>
    <n v="1"/>
    <d v="2023-07-04T19:38:22"/>
    <s v="N"/>
    <m/>
    <m/>
    <s v="Profit Cost"/>
    <m/>
    <s v="N"/>
    <n v="-9408"/>
    <n v="0"/>
    <x v="1"/>
    <s v="VALIDATED"/>
    <n v="1"/>
    <s v="01.11.80.308.2013.0000"/>
    <n v="-9408"/>
    <s v="11"/>
    <s v="2013"/>
    <n v="23532.18"/>
    <n v="-9408"/>
    <s v="CREDITOR"/>
    <n v="0"/>
    <n v="0"/>
    <n v="-9408"/>
    <n v="-2352"/>
    <n v="0"/>
  </r>
  <r>
    <n v="61107388"/>
    <s v="N"/>
    <n v="21328698"/>
    <s v="3000015298310002RC"/>
    <s v="CIVIL"/>
    <d v="2023-06-21T00:00:00"/>
    <d v="2023-07-04T19:38:21"/>
    <m/>
    <d v="2023-07-04T00:00:00"/>
    <n v="1148"/>
    <n v="2947"/>
    <s v="61107388"/>
    <s v="61107388"/>
    <m/>
    <m/>
    <m/>
    <m/>
    <m/>
    <m/>
    <s v="SOLRECOUP"/>
    <s v="SOLRECOUP"/>
    <s v="POARECOUP"/>
    <n v="21328698"/>
    <n v="-11289.6"/>
    <m/>
    <s v="Y"/>
    <n v="2"/>
    <d v="2023-07-04T19:38:22"/>
    <s v="N"/>
    <m/>
    <m/>
    <s v="Profit Cost"/>
    <m/>
    <s v="N"/>
    <n v="0"/>
    <n v="-1881.6"/>
    <x v="1"/>
    <s v="VALIDATED"/>
    <n v="1"/>
    <s v="01.11.80.308.2013.0000"/>
    <n v="-1881.6"/>
    <s v="11"/>
    <s v="2013"/>
    <n v="23532.18"/>
    <n v="-1881.6"/>
    <s v="CREDITOR"/>
    <n v="0"/>
    <n v="0"/>
    <n v="-1881.6"/>
    <n v="-470.4"/>
    <n v="0"/>
  </r>
  <r>
    <n v="61107388"/>
    <s v="N"/>
    <n v="21328699"/>
    <s v="3000015298310001RC"/>
    <s v="CIVIL"/>
    <d v="2023-06-21T00:00:00"/>
    <d v="2023-07-04T19:38:21"/>
    <m/>
    <d v="2023-07-04T00:00:00"/>
    <n v="1148"/>
    <n v="2947"/>
    <s v="61107388"/>
    <s v="61107388"/>
    <m/>
    <m/>
    <m/>
    <m/>
    <m/>
    <m/>
    <s v="SOLRECOUP"/>
    <s v="SOLRECOUP"/>
    <s v="POARECOUP"/>
    <n v="21328699"/>
    <n v="-474.3"/>
    <m/>
    <s v="Y"/>
    <n v="1"/>
    <d v="2023-07-04T19:38:22"/>
    <s v="N"/>
    <m/>
    <m/>
    <s v="Expert Disbursement"/>
    <m/>
    <s v="N"/>
    <n v="-395.25"/>
    <n v="0"/>
    <x v="1"/>
    <s v="VALIDATED"/>
    <n v="1"/>
    <s v="01.11.80.308.2013.0000"/>
    <n v="-395.25"/>
    <s v="11"/>
    <s v="2013"/>
    <n v="23532.18"/>
    <n v="-395.25"/>
    <s v="CREDITOR"/>
    <n v="0"/>
    <n v="0"/>
    <n v="-395.25"/>
    <n v="0"/>
    <n v="0"/>
  </r>
  <r>
    <n v="61107388"/>
    <s v="N"/>
    <n v="21328699"/>
    <s v="3000015298310001RC"/>
    <s v="CIVIL"/>
    <d v="2023-06-21T00:00:00"/>
    <d v="2023-07-04T19:38:21"/>
    <m/>
    <d v="2023-07-04T00:00:00"/>
    <n v="1148"/>
    <n v="2947"/>
    <s v="61107388"/>
    <s v="61107388"/>
    <m/>
    <m/>
    <m/>
    <m/>
    <m/>
    <m/>
    <s v="SOLRECOUP"/>
    <s v="SOLRECOUP"/>
    <s v="POARECOUP"/>
    <n v="21328699"/>
    <n v="-474.3"/>
    <m/>
    <s v="Y"/>
    <n v="2"/>
    <d v="2023-07-04T19:38:22"/>
    <s v="N"/>
    <m/>
    <m/>
    <s v="Expert Disbursement"/>
    <m/>
    <s v="N"/>
    <n v="0"/>
    <n v="-79.05"/>
    <x v="1"/>
    <s v="VALIDATED"/>
    <n v="1"/>
    <s v="01.11.80.308.2013.0000"/>
    <n v="-79.05"/>
    <s v="11"/>
    <s v="2013"/>
    <n v="23532.18"/>
    <n v="-79.05"/>
    <s v="CREDITOR"/>
    <n v="0"/>
    <n v="0"/>
    <n v="-79.05"/>
    <n v="0"/>
    <n v="0"/>
  </r>
  <r>
    <n v="61107388"/>
    <s v="N"/>
    <n v="21328700"/>
    <s v="3000015298310003RC"/>
    <s v="CIVIL"/>
    <d v="2023-06-21T00:00:00"/>
    <d v="2023-07-04T19:38:21"/>
    <m/>
    <d v="2023-07-04T00:00:00"/>
    <n v="1148"/>
    <n v="2947"/>
    <s v="61107388"/>
    <s v="61107388"/>
    <m/>
    <m/>
    <m/>
    <m/>
    <m/>
    <m/>
    <s v="SOLRECOUP"/>
    <s v="SOLRECOUP"/>
    <s v="POARECOUP"/>
    <n v="21328700"/>
    <n v="-555.64"/>
    <m/>
    <s v="Y"/>
    <n v="1"/>
    <d v="2023-07-04T19:38:22"/>
    <s v="N"/>
    <m/>
    <m/>
    <s v="Expert Disbursement"/>
    <m/>
    <s v="N"/>
    <n v="-463.03"/>
    <n v="0"/>
    <x v="1"/>
    <s v="VALIDATED"/>
    <n v="1"/>
    <s v="01.11.80.308.2013.0000"/>
    <n v="-463.03"/>
    <s v="11"/>
    <s v="2013"/>
    <n v="23532.18"/>
    <n v="-463.03"/>
    <s v="CREDITOR"/>
    <n v="0"/>
    <n v="0"/>
    <n v="-463.03"/>
    <n v="0"/>
    <n v="0"/>
  </r>
  <r>
    <n v="61107388"/>
    <s v="N"/>
    <n v="21328700"/>
    <s v="3000015298310003RC"/>
    <s v="CIVIL"/>
    <d v="2023-06-21T00:00:00"/>
    <d v="2023-07-04T19:38:21"/>
    <m/>
    <d v="2023-07-04T00:00:00"/>
    <n v="1148"/>
    <n v="2947"/>
    <s v="61107388"/>
    <s v="61107388"/>
    <m/>
    <m/>
    <m/>
    <m/>
    <m/>
    <m/>
    <s v="SOLRECOUP"/>
    <s v="SOLRECOUP"/>
    <s v="POARECOUP"/>
    <n v="21328700"/>
    <n v="-555.64"/>
    <m/>
    <s v="Y"/>
    <n v="2"/>
    <d v="2023-07-04T19:38:22"/>
    <s v="N"/>
    <m/>
    <m/>
    <s v="Expert Disbursement"/>
    <m/>
    <s v="N"/>
    <n v="0"/>
    <n v="-92.61"/>
    <x v="1"/>
    <s v="VALIDATED"/>
    <n v="1"/>
    <s v="01.11.80.308.2013.0000"/>
    <n v="-92.61"/>
    <s v="11"/>
    <s v="2013"/>
    <n v="23532.18"/>
    <n v="-92.61"/>
    <s v="CREDITOR"/>
    <n v="0"/>
    <n v="0"/>
    <n v="-92.61"/>
    <n v="0"/>
    <n v="0"/>
  </r>
  <r>
    <n v="61107388"/>
    <s v="N"/>
    <n v="21328701"/>
    <s v="3000015298310004RC"/>
    <s v="CIVIL"/>
    <d v="2023-06-21T00:00:00"/>
    <d v="2023-07-04T19:38:21"/>
    <m/>
    <d v="2023-07-04T00:00:00"/>
    <n v="1148"/>
    <n v="2947"/>
    <s v="61107388"/>
    <s v="61107388"/>
    <m/>
    <m/>
    <m/>
    <m/>
    <m/>
    <m/>
    <s v="SOLRECOUP"/>
    <s v="SOLRECOUP"/>
    <s v="POARECOUP"/>
    <n v="21328701"/>
    <n v="-332.1"/>
    <m/>
    <s v="Y"/>
    <n v="1"/>
    <d v="2023-07-04T19:38:22"/>
    <s v="N"/>
    <m/>
    <m/>
    <s v="Expert Disbursement"/>
    <m/>
    <s v="N"/>
    <n v="-276.75"/>
    <n v="0"/>
    <x v="1"/>
    <s v="VALIDATED"/>
    <n v="1"/>
    <s v="01.11.80.308.2013.0000"/>
    <n v="-276.75"/>
    <s v="11"/>
    <s v="2013"/>
    <n v="23532.18"/>
    <n v="-276.75"/>
    <s v="CREDITOR"/>
    <n v="0"/>
    <n v="0"/>
    <n v="-276.75"/>
    <n v="0"/>
    <n v="0"/>
  </r>
  <r>
    <n v="61107388"/>
    <s v="N"/>
    <n v="21328701"/>
    <s v="3000015298310004RC"/>
    <s v="CIVIL"/>
    <d v="2023-06-21T00:00:00"/>
    <d v="2023-07-04T19:38:21"/>
    <m/>
    <d v="2023-07-04T00:00:00"/>
    <n v="1148"/>
    <n v="2947"/>
    <s v="61107388"/>
    <s v="61107388"/>
    <m/>
    <m/>
    <m/>
    <m/>
    <m/>
    <m/>
    <s v="SOLRECOUP"/>
    <s v="SOLRECOUP"/>
    <s v="POARECOUP"/>
    <n v="21328701"/>
    <n v="-332.1"/>
    <m/>
    <s v="Y"/>
    <n v="2"/>
    <d v="2023-07-04T19:38:22"/>
    <s v="N"/>
    <m/>
    <m/>
    <s v="Expert Disbursement"/>
    <m/>
    <s v="N"/>
    <n v="0"/>
    <n v="-55.35"/>
    <x v="1"/>
    <s v="VALIDATED"/>
    <n v="1"/>
    <s v="01.11.80.308.2013.0000"/>
    <n v="-55.35"/>
    <s v="11"/>
    <s v="2013"/>
    <n v="23532.18"/>
    <n v="-55.35"/>
    <s v="CREDITOR"/>
    <n v="0"/>
    <n v="0"/>
    <n v="-55.35"/>
    <n v="0"/>
    <n v="0"/>
  </r>
  <r>
    <n v="61841063"/>
    <s v="N"/>
    <n v="21346395"/>
    <s v="3000015908160001RC"/>
    <s v="CIVIL"/>
    <d v="2023-06-20T00:00:00"/>
    <d v="2023-07-07T19:34:21"/>
    <m/>
    <d v="2023-07-07T00:00:00"/>
    <n v="1148"/>
    <n v="2947"/>
    <s v="61841063"/>
    <s v="61841063"/>
    <m/>
    <m/>
    <m/>
    <m/>
    <m/>
    <m/>
    <s v="SOLRECOUP"/>
    <s v="SOLRECOUP"/>
    <s v="POARECOUP"/>
    <n v="21346395"/>
    <n v="-2467.2"/>
    <m/>
    <s v="Y"/>
    <n v="1"/>
    <d v="2023-07-07T19:34:23"/>
    <s v="N"/>
    <m/>
    <m/>
    <s v="Profit Cost"/>
    <m/>
    <s v="N"/>
    <n v="-2056"/>
    <n v="0"/>
    <x v="9"/>
    <s v="VALIDATED"/>
    <n v="1"/>
    <s v="01.11.80.308.2013.0000"/>
    <n v="-2056"/>
    <s v="11"/>
    <s v="2013"/>
    <n v="23532.18"/>
    <n v="-2056"/>
    <s v="CREDITOR"/>
    <n v="0"/>
    <n v="0"/>
    <n v="-2056"/>
    <n v="-514"/>
    <n v="0"/>
  </r>
  <r>
    <n v="61841063"/>
    <s v="N"/>
    <n v="21346395"/>
    <s v="3000015908160001RC"/>
    <s v="CIVIL"/>
    <d v="2023-06-20T00:00:00"/>
    <d v="2023-07-07T19:34:21"/>
    <m/>
    <d v="2023-07-07T00:00:00"/>
    <n v="1148"/>
    <n v="2947"/>
    <s v="61841063"/>
    <s v="61841063"/>
    <m/>
    <m/>
    <m/>
    <m/>
    <m/>
    <m/>
    <s v="SOLRECOUP"/>
    <s v="SOLRECOUP"/>
    <s v="POARECOUP"/>
    <n v="21346395"/>
    <n v="-2467.2"/>
    <m/>
    <s v="Y"/>
    <n v="2"/>
    <d v="2023-07-07T19:34:23"/>
    <s v="N"/>
    <m/>
    <m/>
    <s v="Profit Cost"/>
    <m/>
    <s v="N"/>
    <n v="0"/>
    <n v="-411.2"/>
    <x v="9"/>
    <s v="VALIDATED"/>
    <n v="1"/>
    <s v="01.11.80.308.2013.0000"/>
    <n v="-411.2"/>
    <s v="11"/>
    <s v="2013"/>
    <n v="23532.18"/>
    <n v="-411.2"/>
    <s v="CREDITOR"/>
    <n v="0"/>
    <n v="0"/>
    <n v="-411.2"/>
    <n v="-102.8"/>
    <n v="0"/>
  </r>
  <r>
    <n v="61536655"/>
    <s v="N"/>
    <n v="21361466"/>
    <s v="3000015655560001RC"/>
    <s v="CIVIL"/>
    <d v="2023-06-20T00:00:00"/>
    <d v="2023-07-11T19:38:00"/>
    <m/>
    <d v="2023-07-11T00:00:00"/>
    <n v="1148"/>
    <n v="2947"/>
    <s v="61536655"/>
    <s v="61536655"/>
    <m/>
    <m/>
    <m/>
    <m/>
    <m/>
    <m/>
    <s v="SOLRECOUP"/>
    <s v="SOLRECOUP"/>
    <s v="POARECOUP"/>
    <n v="21361466"/>
    <n v="-2467.2"/>
    <m/>
    <s v="Y"/>
    <n v="2"/>
    <d v="2023-07-11T19:38:01"/>
    <s v="N"/>
    <m/>
    <m/>
    <s v="Profit Cost"/>
    <m/>
    <s v="N"/>
    <n v="0"/>
    <n v="-411.2"/>
    <x v="7"/>
    <s v="VALIDATED"/>
    <n v="1"/>
    <s v="01.11.80.308.2013.0000"/>
    <n v="-411.2"/>
    <s v="11"/>
    <s v="2013"/>
    <n v="23532.18"/>
    <n v="-411.2"/>
    <s v="CREDITOR"/>
    <n v="0"/>
    <n v="0"/>
    <n v="-411.2"/>
    <n v="-102.8"/>
    <n v="0"/>
  </r>
  <r>
    <n v="61536655"/>
    <s v="N"/>
    <n v="21361466"/>
    <s v="3000015655560001RC"/>
    <s v="CIVIL"/>
    <d v="2023-06-20T00:00:00"/>
    <d v="2023-07-11T19:38:00"/>
    <m/>
    <d v="2023-07-11T00:00:00"/>
    <n v="1148"/>
    <n v="2947"/>
    <s v="61536655"/>
    <s v="61536655"/>
    <m/>
    <m/>
    <m/>
    <m/>
    <m/>
    <m/>
    <s v="SOLRECOUP"/>
    <s v="SOLRECOUP"/>
    <s v="POARECOUP"/>
    <n v="21361466"/>
    <n v="-2467.2"/>
    <m/>
    <s v="Y"/>
    <n v="1"/>
    <d v="2023-07-11T19:38:01"/>
    <s v="N"/>
    <m/>
    <m/>
    <s v="Profit Cost"/>
    <m/>
    <s v="N"/>
    <n v="-2056"/>
    <n v="0"/>
    <x v="7"/>
    <s v="VALIDATED"/>
    <n v="1"/>
    <s v="01.11.80.308.2013.0000"/>
    <n v="-2056"/>
    <s v="11"/>
    <s v="2013"/>
    <n v="23532.18"/>
    <n v="-2056"/>
    <s v="CREDITOR"/>
    <n v="0"/>
    <n v="0"/>
    <n v="-2056"/>
    <n v="-514"/>
    <n v="0"/>
  </r>
  <r>
    <n v="61536655"/>
    <s v="N"/>
    <n v="21361467"/>
    <s v="3000015655560002RC"/>
    <s v="CIVIL"/>
    <d v="2023-06-20T00:00:00"/>
    <d v="2023-07-11T19:38:00"/>
    <m/>
    <d v="2023-07-11T00:00:00"/>
    <n v="1148"/>
    <n v="2947"/>
    <s v="61536655"/>
    <s v="61536655"/>
    <m/>
    <m/>
    <m/>
    <m/>
    <m/>
    <m/>
    <s v="SOLRECOUP"/>
    <s v="SOLRECOUP"/>
    <s v="POARECOUP"/>
    <n v="21361467"/>
    <n v="-1290.62"/>
    <m/>
    <s v="Y"/>
    <n v="2"/>
    <d v="2023-07-11T19:38:01"/>
    <s v="N"/>
    <m/>
    <m/>
    <s v="Expert Disbursement"/>
    <m/>
    <s v="N"/>
    <n v="0"/>
    <n v="-215.1"/>
    <x v="7"/>
    <s v="VALIDATED"/>
    <n v="1"/>
    <s v="01.11.80.308.2013.0000"/>
    <n v="-215.1"/>
    <s v="11"/>
    <s v="2013"/>
    <n v="23532.18"/>
    <n v="-215.1"/>
    <s v="CREDITOR"/>
    <n v="0"/>
    <n v="0"/>
    <n v="-215.1"/>
    <n v="0"/>
    <n v="0"/>
  </r>
  <r>
    <n v="61536655"/>
    <s v="N"/>
    <n v="21361467"/>
    <s v="3000015655560002RC"/>
    <s v="CIVIL"/>
    <d v="2023-06-20T00:00:00"/>
    <d v="2023-07-11T19:38:00"/>
    <m/>
    <d v="2023-07-11T00:00:00"/>
    <n v="1148"/>
    <n v="2947"/>
    <s v="61536655"/>
    <s v="61536655"/>
    <m/>
    <m/>
    <m/>
    <m/>
    <m/>
    <m/>
    <s v="SOLRECOUP"/>
    <s v="SOLRECOUP"/>
    <s v="POARECOUP"/>
    <n v="21361467"/>
    <n v="-1290.62"/>
    <m/>
    <s v="Y"/>
    <n v="1"/>
    <d v="2023-07-11T19:38:01"/>
    <s v="N"/>
    <m/>
    <m/>
    <s v="Expert Disbursement"/>
    <m/>
    <s v="N"/>
    <n v="-1075.52"/>
    <n v="0"/>
    <x v="7"/>
    <s v="VALIDATED"/>
    <n v="1"/>
    <s v="01.11.80.308.2013.0000"/>
    <n v="-1075.52"/>
    <s v="11"/>
    <s v="2013"/>
    <n v="23532.18"/>
    <n v="-1075.52"/>
    <s v="CREDITOR"/>
    <n v="0"/>
    <n v="0"/>
    <n v="-1075.52"/>
    <n v="0"/>
    <n v="0"/>
  </r>
  <r>
    <n v="61687723"/>
    <s v="N"/>
    <n v="21371662"/>
    <s v="3000015782260001RC"/>
    <s v="CIVIL"/>
    <d v="2023-06-30T00:00:00"/>
    <d v="2023-07-13T19:53:16"/>
    <m/>
    <d v="2023-07-13T00:00:00"/>
    <n v="1148"/>
    <n v="2947"/>
    <s v="61687723"/>
    <s v="61687723"/>
    <m/>
    <m/>
    <m/>
    <m/>
    <m/>
    <m/>
    <s v="SOLRECOUP"/>
    <s v="SOLRECOUP"/>
    <s v="POARECOUP"/>
    <n v="21371662"/>
    <n v="-1124.16"/>
    <m/>
    <s v="Y"/>
    <n v="1"/>
    <d v="2023-07-13T19:53:17"/>
    <s v="N"/>
    <m/>
    <m/>
    <s v="Profit Cost"/>
    <m/>
    <s v="N"/>
    <n v="-936.8"/>
    <n v="0"/>
    <x v="11"/>
    <s v="VALIDATED"/>
    <n v="1"/>
    <s v="01.11.80.308.2013.0000"/>
    <n v="-936.8"/>
    <s v="11"/>
    <s v="2013"/>
    <n v="23532.18"/>
    <n v="-936.8"/>
    <s v="CREDITOR"/>
    <n v="0"/>
    <n v="0"/>
    <n v="-936.8"/>
    <n v="-234.2"/>
    <n v="0"/>
  </r>
  <r>
    <n v="61687723"/>
    <s v="N"/>
    <n v="21371662"/>
    <s v="3000015782260001RC"/>
    <s v="CIVIL"/>
    <d v="2023-06-30T00:00:00"/>
    <d v="2023-07-13T19:53:16"/>
    <m/>
    <d v="2023-07-13T00:00:00"/>
    <n v="1148"/>
    <n v="2947"/>
    <s v="61687723"/>
    <s v="61687723"/>
    <m/>
    <m/>
    <m/>
    <m/>
    <m/>
    <m/>
    <s v="SOLRECOUP"/>
    <s v="SOLRECOUP"/>
    <s v="POARECOUP"/>
    <n v="21371662"/>
    <n v="-1124.16"/>
    <m/>
    <s v="Y"/>
    <n v="2"/>
    <d v="2023-07-13T19:53:17"/>
    <s v="N"/>
    <m/>
    <m/>
    <s v="Profit Cost"/>
    <m/>
    <s v="N"/>
    <n v="0"/>
    <n v="-187.36"/>
    <x v="11"/>
    <s v="VALIDATED"/>
    <n v="1"/>
    <s v="01.11.80.308.2013.0000"/>
    <n v="-187.36"/>
    <s v="11"/>
    <s v="2013"/>
    <n v="23532.18"/>
    <n v="-187.36"/>
    <s v="CREDITOR"/>
    <n v="0"/>
    <n v="0"/>
    <n v="-187.36"/>
    <n v="-46.84"/>
    <n v="0"/>
  </r>
  <r>
    <n v="61536655"/>
    <s v="N"/>
    <n v="21360261"/>
    <s v="3000015655560003"/>
    <s v="CIVIL"/>
    <d v="2023-06-20T00:00:00"/>
    <d v="2023-07-11T11:50:54"/>
    <m/>
    <d v="2023-07-11T00:00:00"/>
    <n v="1148"/>
    <n v="2947"/>
    <s v="61536655"/>
    <s v="61536655"/>
    <m/>
    <m/>
    <n v="22724376"/>
    <m/>
    <m/>
    <m/>
    <s v="SOLFIN"/>
    <s v="SOLFIN"/>
    <s v="CCMS"/>
    <n v="21360261"/>
    <n v="11843.93"/>
    <m/>
    <s v="N"/>
    <n v="8"/>
    <d v="2023-07-11T11:50:59"/>
    <s v="Y"/>
    <s v="Preparation - drafting attendance n"/>
    <s v="Care Remuneration Hourly Rates"/>
    <s v="Profit Cost"/>
    <s v="KS"/>
    <s v="Y"/>
    <n v="12.09"/>
    <n v="2.42"/>
    <x v="7"/>
    <s v="VALIDATED"/>
    <n v="1"/>
    <s v="01.11.80.308.6100.0000"/>
    <n v="12.09"/>
    <s v="11"/>
    <s v="6100"/>
    <n v="23532.18"/>
    <n v="12.09"/>
    <s v="CREDITOR"/>
    <n v="0"/>
    <n v="0"/>
    <n v="0"/>
    <n v="0"/>
    <n v="12.09"/>
  </r>
  <r>
    <n v="61536655"/>
    <s v="N"/>
    <n v="21360261"/>
    <s v="3000015655560003"/>
    <s v="CIVIL"/>
    <d v="2023-06-20T00:00:00"/>
    <d v="2023-07-11T11:50:54"/>
    <m/>
    <d v="2023-07-11T00:00:00"/>
    <n v="1148"/>
    <n v="2947"/>
    <s v="61536655"/>
    <s v="61536655"/>
    <m/>
    <m/>
    <n v="22724376"/>
    <m/>
    <m/>
    <m/>
    <s v="SOLFIN"/>
    <s v="SOLFIN"/>
    <s v="CCMS"/>
    <n v="21360261"/>
    <n v="11843.93"/>
    <m/>
    <s v="N"/>
    <n v="17"/>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72"/>
    <d v="2023-07-11T11:50:59"/>
    <s v="Y"/>
    <s v="Preparation - other"/>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98"/>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2"/>
    <d v="2023-07-11T11:50:59"/>
    <s v="Y"/>
    <s v="Toxicologist"/>
    <s v="Care Remuneration Hourly Rates"/>
    <s v="Expert Disbursement"/>
    <s v="KS"/>
    <s v="Y"/>
    <n v="1075.52"/>
    <n v="215.08"/>
    <x v="7"/>
    <s v="VALIDATED"/>
    <n v="1"/>
    <s v="01.11.80.308.6300.0000"/>
    <n v="1075.52"/>
    <s v="11"/>
    <s v="6300"/>
    <n v="23532.18"/>
    <n v="1075.52"/>
    <s v="CREDITOR"/>
    <n v="0"/>
    <n v="0"/>
    <n v="0"/>
    <n v="0"/>
    <n v="1075.52"/>
  </r>
  <r>
    <n v="61536655"/>
    <s v="N"/>
    <n v="21360261"/>
    <s v="3000015655560003"/>
    <s v="CIVIL"/>
    <d v="2023-06-20T00:00:00"/>
    <d v="2023-07-11T11:50:54"/>
    <m/>
    <d v="2023-07-11T00:00:00"/>
    <n v="1148"/>
    <n v="2947"/>
    <s v="61536655"/>
    <s v="61536655"/>
    <m/>
    <m/>
    <n v="22724376"/>
    <m/>
    <m/>
    <m/>
    <s v="SOLFIN"/>
    <s v="SOLFIN"/>
    <s v="CCMS"/>
    <n v="21360261"/>
    <n v="11843.93"/>
    <m/>
    <s v="N"/>
    <n v="89"/>
    <d v="2023-07-11T11:50:59"/>
    <s v="Y"/>
    <s v="Attendance upon client"/>
    <s v="Care Remuneration Hourly Rates"/>
    <s v="Profit Cost"/>
    <s v="KS"/>
    <s v="Y"/>
    <n v="70.97"/>
    <n v="14.19"/>
    <x v="7"/>
    <s v="VALIDATED"/>
    <n v="1"/>
    <s v="01.11.80.308.6100.0000"/>
    <n v="70.97"/>
    <s v="11"/>
    <s v="6100"/>
    <n v="23532.18"/>
    <n v="70.97"/>
    <s v="CREDITOR"/>
    <n v="0"/>
    <n v="0"/>
    <n v="0"/>
    <n v="0"/>
    <n v="70.97"/>
  </r>
  <r>
    <n v="61841063"/>
    <s v="N"/>
    <n v="21344120"/>
    <s v="3000015908160002"/>
    <s v="CIVIL"/>
    <d v="2023-06-20T00:00:00"/>
    <d v="2023-07-07T19:03:00"/>
    <m/>
    <d v="2023-07-07T00:00:00"/>
    <n v="1148"/>
    <n v="2947"/>
    <s v="61841063"/>
    <s v="61841063"/>
    <m/>
    <m/>
    <n v="22724410"/>
    <m/>
    <m/>
    <m/>
    <s v="SOLFIN"/>
    <s v="SOLFIN"/>
    <s v="CCMS"/>
    <n v="21344120"/>
    <n v="4685.38"/>
    <m/>
    <s v="N"/>
    <n v="5"/>
    <d v="2023-07-07T19:03:24"/>
    <s v="Y"/>
    <s v="Final Hearing - 1 Day"/>
    <s v="Public Law Children"/>
    <s v="Advocacy"/>
    <s v="KS"/>
    <s v="Y"/>
    <n v="556.88"/>
    <n v="111.38"/>
    <x v="9"/>
    <s v="VALIDATED"/>
    <n v="1"/>
    <s v="01.11.80.308.6100.0000"/>
    <n v="556.88"/>
    <s v="11"/>
    <s v="6100"/>
    <n v="23532.18"/>
    <n v="556.88"/>
    <s v="CREDITOR"/>
    <n v="0"/>
    <n v="0"/>
    <n v="0"/>
    <n v="0"/>
    <n v="556.88"/>
  </r>
  <r>
    <n v="61536655"/>
    <s v="N"/>
    <n v="21360261"/>
    <s v="3000015655560003"/>
    <s v="CIVIL"/>
    <d v="2023-06-20T00:00:00"/>
    <d v="2023-07-11T11:50:54"/>
    <m/>
    <d v="2023-07-11T00:00:00"/>
    <n v="1148"/>
    <n v="2947"/>
    <s v="61536655"/>
    <s v="61536655"/>
    <m/>
    <m/>
    <n v="22724376"/>
    <m/>
    <m/>
    <m/>
    <s v="SOLFIN"/>
    <s v="SOLFIN"/>
    <s v="CCMS"/>
    <n v="21360261"/>
    <n v="11843.93"/>
    <m/>
    <s v="N"/>
    <n v="82"/>
    <d v="2023-07-11T11:50:59"/>
    <s v="Y"/>
    <s v="Preparation - drafting bill/claim f"/>
    <s v="Care Remuneration Hourly Rates"/>
    <s v="Profit Cost"/>
    <s v="KS"/>
    <s v="Y"/>
    <n v="24.18"/>
    <n v="4.84"/>
    <x v="7"/>
    <s v="VALIDATED"/>
    <n v="1"/>
    <s v="01.11.80.308.6100.0000"/>
    <n v="24.18"/>
    <s v="11"/>
    <s v="6100"/>
    <n v="23532.18"/>
    <n v="24.18"/>
    <s v="CREDITOR"/>
    <n v="0"/>
    <n v="0"/>
    <n v="0"/>
    <n v="0"/>
    <n v="24.18"/>
  </r>
  <r>
    <n v="61841063"/>
    <s v="N"/>
    <n v="21344120"/>
    <s v="3000015908160002"/>
    <s v="CIVIL"/>
    <d v="2023-06-20T00:00:00"/>
    <d v="2023-07-07T19:03:00"/>
    <m/>
    <d v="2023-07-07T00:00:00"/>
    <n v="1148"/>
    <n v="2947"/>
    <s v="61841063"/>
    <s v="61841063"/>
    <m/>
    <m/>
    <n v="22724410"/>
    <m/>
    <m/>
    <m/>
    <s v="SOLFIN"/>
    <s v="SOLFIN"/>
    <s v="CCMS"/>
    <n v="21344120"/>
    <n v="4685.38"/>
    <m/>
    <s v="N"/>
    <n v="4"/>
    <d v="2023-07-07T19:03:24"/>
    <s v="Y"/>
    <s v="Hearing Unit 2.31 - 5.00 Hours"/>
    <s v="Public Law Children"/>
    <s v="Advocacy"/>
    <s v="KS"/>
    <s v="Y"/>
    <n v="476.92"/>
    <n v="95.38"/>
    <x v="9"/>
    <s v="VALIDATED"/>
    <n v="1"/>
    <s v="01.11.80.308.6100.0000"/>
    <n v="476.92"/>
    <s v="11"/>
    <s v="6100"/>
    <n v="23532.18"/>
    <n v="476.92"/>
    <s v="CREDITOR"/>
    <n v="0"/>
    <n v="0"/>
    <n v="0"/>
    <n v="0"/>
    <n v="476.92"/>
  </r>
  <r>
    <n v="61536655"/>
    <s v="N"/>
    <n v="21360261"/>
    <s v="3000015655560003"/>
    <s v="CIVIL"/>
    <d v="2023-06-20T00:00:00"/>
    <d v="2023-07-11T11:50:54"/>
    <m/>
    <d v="2023-07-11T00:00:00"/>
    <n v="1148"/>
    <n v="2947"/>
    <s v="61536655"/>
    <s v="61536655"/>
    <m/>
    <m/>
    <n v="22724376"/>
    <m/>
    <m/>
    <m/>
    <s v="SOLFIN"/>
    <s v="SOLFIN"/>
    <s v="CCMS"/>
    <n v="21360261"/>
    <n v="11843.93"/>
    <m/>
    <s v="N"/>
    <n v="35"/>
    <d v="2023-07-11T11:50:59"/>
    <s v="Y"/>
    <s v="Attendance upon client"/>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39"/>
    <d v="2023-07-11T11:50:59"/>
    <s v="Y"/>
    <s v="Preparation - drafting attendance n"/>
    <s v="Care Remuneration Hourly Rates"/>
    <s v="Profit Cost"/>
    <s v="KS"/>
    <s v="Y"/>
    <n v="18.14"/>
    <n v="3.63"/>
    <x v="7"/>
    <s v="VALIDATED"/>
    <n v="1"/>
    <s v="01.11.80.308.6100.0000"/>
    <n v="18.14"/>
    <s v="11"/>
    <s v="6100"/>
    <n v="23532.18"/>
    <n v="18.14"/>
    <s v="CREDITOR"/>
    <n v="0"/>
    <n v="0"/>
    <n v="0"/>
    <n v="0"/>
    <n v="18.14"/>
  </r>
  <r>
    <n v="61536655"/>
    <s v="N"/>
    <n v="21360261"/>
    <s v="3000015655560003"/>
    <s v="CIVIL"/>
    <d v="2023-06-20T00:00:00"/>
    <d v="2023-07-11T11:50:54"/>
    <m/>
    <d v="2023-07-11T00:00:00"/>
    <n v="1148"/>
    <n v="2947"/>
    <s v="61536655"/>
    <s v="61536655"/>
    <m/>
    <m/>
    <n v="22724376"/>
    <m/>
    <m/>
    <m/>
    <s v="SOLFIN"/>
    <s v="SOLFIN"/>
    <s v="CCMS"/>
    <n v="21360261"/>
    <n v="11843.93"/>
    <m/>
    <s v="N"/>
    <n v="43"/>
    <d v="2023-07-11T11:50:59"/>
    <s v="Y"/>
    <s v="Routine Letter Out"/>
    <s v="Care Remuneration Hourly Rates"/>
    <s v="Profit Cost"/>
    <s v="KS"/>
    <s v="Y"/>
    <n v="759.59"/>
    <n v="151.92"/>
    <x v="7"/>
    <s v="VALIDATED"/>
    <n v="1"/>
    <s v="01.11.80.308.6100.0000"/>
    <n v="759.59"/>
    <s v="11"/>
    <s v="6100"/>
    <n v="23532.18"/>
    <n v="759.59"/>
    <s v="CREDITOR"/>
    <n v="0"/>
    <n v="0"/>
    <n v="0"/>
    <n v="0"/>
    <n v="759.59"/>
  </r>
  <r>
    <n v="61536655"/>
    <s v="N"/>
    <n v="21360261"/>
    <s v="3000015655560003"/>
    <s v="CIVIL"/>
    <d v="2023-06-20T00:00:00"/>
    <d v="2023-07-11T11:50:54"/>
    <m/>
    <d v="2023-07-11T00:00:00"/>
    <n v="1148"/>
    <n v="2947"/>
    <s v="61536655"/>
    <s v="61536655"/>
    <m/>
    <m/>
    <n v="22724376"/>
    <m/>
    <m/>
    <m/>
    <s v="SOLFIN"/>
    <s v="SOLFIN"/>
    <s v="CCMS"/>
    <n v="21360261"/>
    <n v="11843.93"/>
    <m/>
    <s v="N"/>
    <n v="66"/>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101"/>
    <d v="2023-07-11T11:50:59"/>
    <s v="Y"/>
    <s v="Final Hearing - 1 Day"/>
    <s v="Public Law Children"/>
    <s v="Advocacy"/>
    <s v="KS"/>
    <s v="Y"/>
    <n v="556.88"/>
    <n v="111.38"/>
    <x v="7"/>
    <s v="VALIDATED"/>
    <n v="1"/>
    <s v="01.11.80.308.6100.0000"/>
    <n v="556.88"/>
    <s v="11"/>
    <s v="6100"/>
    <n v="23532.18"/>
    <n v="556.88"/>
    <s v="CREDITOR"/>
    <n v="0"/>
    <n v="0"/>
    <n v="0"/>
    <n v="0"/>
    <n v="556.88"/>
  </r>
  <r>
    <n v="61107388"/>
    <s v="N"/>
    <n v="21328141"/>
    <s v="3000015298310006"/>
    <s v="CIVIL"/>
    <d v="2023-06-21T00:00:00"/>
    <d v="2023-07-04T19:00:44"/>
    <m/>
    <d v="2023-07-04T00:00:00"/>
    <n v="1148"/>
    <n v="2947"/>
    <s v="61107388"/>
    <s v="61107388"/>
    <m/>
    <m/>
    <n v="22737020"/>
    <m/>
    <m/>
    <m/>
    <s v="SOLFIN"/>
    <s v="SOLFIN"/>
    <s v="CCMS"/>
    <n v="21328141"/>
    <n v="29945.48"/>
    <m/>
    <s v="N"/>
    <n v="7"/>
    <d v="2023-07-04T19:01:06"/>
    <s v="Y"/>
    <s v="Disbursements (Summary)"/>
    <s v="Public Law Children"/>
    <s v="Non Expert Disbursement"/>
    <s v="Matthew Body"/>
    <s v="Y"/>
    <n v="1168.53"/>
    <n v="233.71"/>
    <x v="1"/>
    <s v="VALIDATED"/>
    <n v="1"/>
    <s v="01.11.80.308.6300.0000"/>
    <n v="1168.53"/>
    <s v="11"/>
    <s v="6300"/>
    <n v="23532.18"/>
    <n v="1168.53"/>
    <s v="CREDITOR"/>
    <n v="0"/>
    <n v="0"/>
    <n v="0"/>
    <n v="0"/>
    <n v="1168.53"/>
  </r>
  <r>
    <n v="61687723"/>
    <s v="N"/>
    <n v="21369665"/>
    <s v="3000015782260002"/>
    <s v="CIVIL"/>
    <d v="2023-06-30T00:00:00"/>
    <d v="2023-07-13T19:21:05"/>
    <m/>
    <d v="2023-07-13T00:00:00"/>
    <n v="1148"/>
    <n v="2947"/>
    <s v="61687723"/>
    <s v="61687723"/>
    <m/>
    <m/>
    <n v="22801010"/>
    <m/>
    <m/>
    <m/>
    <s v="SOLFIN"/>
    <s v="SOLFIN"/>
    <s v="CCMS"/>
    <n v="21369665"/>
    <n v="3872.61"/>
    <m/>
    <s v="N"/>
    <n v="2"/>
    <d v="2023-07-13T19:21:10"/>
    <s v="Y"/>
    <s v="Final Hearing - 1 Day"/>
    <s v="Public Law Children"/>
    <s v="Advocacy"/>
    <s v="KS"/>
    <s v="Y"/>
    <n v="556.88"/>
    <n v="111.38"/>
    <x v="11"/>
    <s v="VALIDATED"/>
    <n v="1"/>
    <s v="01.11.80.308.6100.0000"/>
    <n v="556.88"/>
    <s v="11"/>
    <s v="6100"/>
    <n v="23532.18"/>
    <n v="556.88"/>
    <s v="CREDITOR"/>
    <n v="0"/>
    <n v="0"/>
    <n v="0"/>
    <n v="0"/>
    <n v="556.88"/>
  </r>
  <r>
    <n v="61536655"/>
    <s v="N"/>
    <n v="21360261"/>
    <s v="3000015655560003"/>
    <s v="CIVIL"/>
    <d v="2023-06-20T00:00:00"/>
    <d v="2023-07-11T11:50:54"/>
    <m/>
    <d v="2023-07-11T00:00:00"/>
    <n v="1148"/>
    <n v="2947"/>
    <s v="61536655"/>
    <s v="61536655"/>
    <m/>
    <m/>
    <n v="22724376"/>
    <m/>
    <m/>
    <m/>
    <s v="SOLFIN"/>
    <s v="SOLFIN"/>
    <s v="CCMS"/>
    <n v="21360261"/>
    <n v="11843.93"/>
    <m/>
    <s v="N"/>
    <n v="42"/>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79"/>
    <d v="2023-07-11T11:50:59"/>
    <s v="Y"/>
    <s v="Preparation - drafting bill/claim f"/>
    <s v="Care Remuneration Hourly Rates"/>
    <s v="Profit Cost"/>
    <s v="Costs Draftsman"/>
    <s v="Y"/>
    <n v="515.1900000000001"/>
    <n v="103.04"/>
    <x v="7"/>
    <s v="VALIDATED"/>
    <n v="1"/>
    <s v="01.11.80.308.6100.0000"/>
    <n v="515.1900000000001"/>
    <s v="11"/>
    <s v="6100"/>
    <n v="23532.18"/>
    <n v="515.1900000000001"/>
    <s v="CREDITOR"/>
    <n v="0"/>
    <n v="0"/>
    <n v="0"/>
    <n v="0"/>
    <n v="515.1900000000001"/>
  </r>
  <r>
    <n v="61536655"/>
    <s v="N"/>
    <n v="21360261"/>
    <s v="3000015655560003"/>
    <s v="CIVIL"/>
    <d v="2023-06-20T00:00:00"/>
    <d v="2023-07-11T11:50:54"/>
    <m/>
    <d v="2023-07-11T00:00:00"/>
    <n v="1148"/>
    <n v="2947"/>
    <s v="61536655"/>
    <s v="61536655"/>
    <m/>
    <m/>
    <n v="22724376"/>
    <m/>
    <m/>
    <m/>
    <s v="SOLFIN"/>
    <s v="SOLFIN"/>
    <s v="CCMS"/>
    <n v="21360261"/>
    <n v="11843.93"/>
    <m/>
    <s v="N"/>
    <n v="4"/>
    <d v="2023-07-11T11:50:59"/>
    <s v="Y"/>
    <s v="Preparation - other"/>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32"/>
    <d v="2023-07-11T11:50:59"/>
    <s v="Y"/>
    <s v="Preparation - drafting attendance n"/>
    <s v="Care Remuneration Hourly Rates"/>
    <s v="Profit Cost"/>
    <s v="KS"/>
    <s v="Y"/>
    <n v="6.05"/>
    <n v="1.21"/>
    <x v="7"/>
    <s v="VALIDATED"/>
    <n v="1"/>
    <s v="01.11.80.308.6100.0000"/>
    <n v="6.05"/>
    <s v="11"/>
    <s v="6100"/>
    <n v="23532.18"/>
    <n v="6.05"/>
    <s v="CREDITOR"/>
    <n v="0"/>
    <n v="0"/>
    <n v="0"/>
    <n v="0"/>
    <n v="6.05"/>
  </r>
  <r>
    <n v="61107388"/>
    <s v="N"/>
    <n v="21328141"/>
    <s v="3000015298310006"/>
    <s v="CIVIL"/>
    <d v="2023-06-21T00:00:00"/>
    <d v="2023-07-04T19:00:44"/>
    <m/>
    <d v="2023-07-04T00:00:00"/>
    <n v="1148"/>
    <n v="2947"/>
    <s v="61107388"/>
    <s v="61107388"/>
    <m/>
    <m/>
    <n v="22737020"/>
    <m/>
    <m/>
    <m/>
    <s v="SOLFIN"/>
    <s v="SOLFIN"/>
    <s v="CCMS"/>
    <n v="21328141"/>
    <n v="29945.48"/>
    <m/>
    <s v="N"/>
    <n v="8"/>
    <d v="2023-07-04T19:01:06"/>
    <s v="Y"/>
    <s v="Final Hearing - 1 Day"/>
    <s v="Public Law Children"/>
    <s v="Advocacy"/>
    <s v="Bethan Griffin"/>
    <s v="Y"/>
    <n v="556.88"/>
    <n v="111.38"/>
    <x v="1"/>
    <s v="VALIDATED"/>
    <n v="1"/>
    <s v="01.11.80.308.6100.0000"/>
    <n v="556.88"/>
    <s v="11"/>
    <s v="6100"/>
    <n v="23532.18"/>
    <n v="556.88"/>
    <s v="CREDITOR"/>
    <n v="0"/>
    <n v="0"/>
    <n v="0"/>
    <n v="0"/>
    <n v="556.88"/>
  </r>
  <r>
    <n v="61536655"/>
    <s v="N"/>
    <n v="21360261"/>
    <s v="3000015655560003"/>
    <s v="CIVIL"/>
    <d v="2023-06-20T00:00:00"/>
    <d v="2023-07-11T11:50:54"/>
    <m/>
    <d v="2023-07-11T00:00:00"/>
    <n v="1148"/>
    <n v="2947"/>
    <s v="61536655"/>
    <s v="61536655"/>
    <m/>
    <m/>
    <n v="22724376"/>
    <m/>
    <m/>
    <m/>
    <s v="SOLFIN"/>
    <s v="SOLFIN"/>
    <s v="CCMS"/>
    <n v="21360261"/>
    <n v="11843.93"/>
    <m/>
    <s v="N"/>
    <n v="33"/>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81"/>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18"/>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22"/>
    <d v="2023-07-11T11:50:59"/>
    <s v="Y"/>
    <s v="Preparation - drafting attendance n"/>
    <s v="Care Remuneration Hourly Rates"/>
    <s v="Profit Cost"/>
    <s v="KS"/>
    <s v="Y"/>
    <n v="12.09"/>
    <n v="2.42"/>
    <x v="7"/>
    <s v="VALIDATED"/>
    <n v="1"/>
    <s v="01.11.80.308.6100.0000"/>
    <n v="12.09"/>
    <s v="11"/>
    <s v="6100"/>
    <n v="23532.18"/>
    <n v="12.09"/>
    <s v="CREDITOR"/>
    <n v="0"/>
    <n v="0"/>
    <n v="0"/>
    <n v="0"/>
    <n v="12.09"/>
  </r>
  <r>
    <n v="61536655"/>
    <s v="N"/>
    <n v="21360261"/>
    <s v="3000015655560003"/>
    <s v="CIVIL"/>
    <d v="2023-06-20T00:00:00"/>
    <d v="2023-07-11T11:50:54"/>
    <m/>
    <d v="2023-07-11T00:00:00"/>
    <n v="1148"/>
    <n v="2947"/>
    <s v="61536655"/>
    <s v="61536655"/>
    <m/>
    <m/>
    <n v="22724376"/>
    <m/>
    <m/>
    <m/>
    <s v="SOLFIN"/>
    <s v="SOLFIN"/>
    <s v="CCMS"/>
    <n v="21360261"/>
    <n v="11843.93"/>
    <m/>
    <s v="N"/>
    <n v="31"/>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48"/>
    <d v="2023-07-11T11:50:59"/>
    <s v="Y"/>
    <s v="Preparation - other"/>
    <s v="Care Remuneration Hourly Rates"/>
    <s v="Profit Cost"/>
    <s v="KS"/>
    <s v="Y"/>
    <n v="28.39"/>
    <n v="5.68"/>
    <x v="7"/>
    <s v="VALIDATED"/>
    <n v="1"/>
    <s v="01.11.80.308.6100.0000"/>
    <n v="28.39"/>
    <s v="11"/>
    <s v="6100"/>
    <n v="23532.18"/>
    <n v="28.39"/>
    <s v="CREDITOR"/>
    <n v="0"/>
    <n v="0"/>
    <n v="0"/>
    <n v="0"/>
    <n v="28.39"/>
  </r>
  <r>
    <n v="61536655"/>
    <s v="N"/>
    <n v="21360261"/>
    <s v="3000015655560003"/>
    <s v="CIVIL"/>
    <d v="2023-06-20T00:00:00"/>
    <d v="2023-07-11T11:50:54"/>
    <m/>
    <d v="2023-07-11T00:00:00"/>
    <n v="1148"/>
    <n v="2947"/>
    <s v="61536655"/>
    <s v="61536655"/>
    <m/>
    <m/>
    <n v="22724376"/>
    <m/>
    <m/>
    <m/>
    <s v="SOLFIN"/>
    <s v="SOLFIN"/>
    <s v="CCMS"/>
    <n v="21360261"/>
    <n v="11843.93"/>
    <m/>
    <s v="N"/>
    <n v="41"/>
    <d v="2023-07-11T11:50:59"/>
    <s v="Y"/>
    <s v="Preparation - other"/>
    <s v="Care Remuneration Hourly Rates"/>
    <s v="Profit Cost"/>
    <s v="KS"/>
    <s v="Y"/>
    <n v="532.28"/>
    <n v="106.46"/>
    <x v="7"/>
    <s v="VALIDATED"/>
    <n v="1"/>
    <s v="01.11.80.308.6100.0000"/>
    <n v="532.28"/>
    <s v="11"/>
    <s v="6100"/>
    <n v="23532.18"/>
    <n v="532.28"/>
    <s v="CREDITOR"/>
    <n v="0"/>
    <n v="0"/>
    <n v="0"/>
    <n v="0"/>
    <n v="532.28"/>
  </r>
  <r>
    <n v="61536655"/>
    <s v="N"/>
    <n v="21360261"/>
    <s v="3000015655560003"/>
    <s v="CIVIL"/>
    <d v="2023-06-20T00:00:00"/>
    <d v="2023-07-11T11:50:54"/>
    <m/>
    <d v="2023-07-11T00:00:00"/>
    <n v="1148"/>
    <n v="2947"/>
    <s v="61536655"/>
    <s v="61536655"/>
    <m/>
    <m/>
    <n v="22724376"/>
    <m/>
    <m/>
    <m/>
    <s v="SOLFIN"/>
    <s v="SOLFIN"/>
    <s v="CCMS"/>
    <n v="21360261"/>
    <n v="11843.93"/>
    <m/>
    <s v="N"/>
    <n v="55"/>
    <d v="2023-07-11T11:50:59"/>
    <s v="Y"/>
    <s v="Preparation - other"/>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9"/>
    <d v="2023-07-11T11:50:59"/>
    <s v="Y"/>
    <s v="Attendance upon client"/>
    <s v="Care Remuneration Hourly Rates"/>
    <s v="Profit Cost"/>
    <s v="KS"/>
    <s v="Y"/>
    <n v="28.39"/>
    <n v="5.68"/>
    <x v="7"/>
    <s v="VALIDATED"/>
    <n v="1"/>
    <s v="01.11.80.308.6100.0000"/>
    <n v="28.39"/>
    <s v="11"/>
    <s v="6100"/>
    <n v="23532.18"/>
    <n v="28.39"/>
    <s v="CREDITOR"/>
    <n v="0"/>
    <n v="0"/>
    <n v="0"/>
    <n v="0"/>
    <n v="28.39"/>
  </r>
  <r>
    <n v="61536655"/>
    <s v="N"/>
    <n v="21360261"/>
    <s v="3000015655560003"/>
    <s v="CIVIL"/>
    <d v="2023-06-20T00:00:00"/>
    <d v="2023-07-11T11:50:54"/>
    <m/>
    <d v="2023-07-11T00:00:00"/>
    <n v="1148"/>
    <n v="2947"/>
    <s v="61536655"/>
    <s v="61536655"/>
    <m/>
    <m/>
    <n v="22724376"/>
    <m/>
    <m/>
    <m/>
    <s v="SOLFIN"/>
    <s v="SOLFIN"/>
    <s v="CCMS"/>
    <n v="21360261"/>
    <n v="11843.93"/>
    <m/>
    <s v="N"/>
    <n v="23"/>
    <d v="2023-07-11T11:50:59"/>
    <s v="Y"/>
    <s v="Attendance upon client"/>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54"/>
    <d v="2023-07-11T11:50:59"/>
    <s v="Y"/>
    <s v="Report - other expert's report"/>
    <s v="Care Remuneration Hourly Rates"/>
    <s v="Profit Cost"/>
    <s v="KS"/>
    <s v="Y"/>
    <n v="35.49"/>
    <n v="7.1"/>
    <x v="7"/>
    <s v="VALIDATED"/>
    <n v="1"/>
    <s v="01.11.80.308.6100.0000"/>
    <n v="35.49"/>
    <s v="11"/>
    <s v="6100"/>
    <n v="23532.18"/>
    <n v="35.49"/>
    <s v="CREDITOR"/>
    <n v="0"/>
    <n v="0"/>
    <n v="0"/>
    <n v="0"/>
    <n v="35.49"/>
  </r>
  <r>
    <n v="61841063"/>
    <s v="N"/>
    <n v="21344120"/>
    <s v="3000015908160002"/>
    <s v="CIVIL"/>
    <d v="2023-06-20T00:00:00"/>
    <d v="2023-07-07T19:03:00"/>
    <m/>
    <d v="2023-07-07T00:00:00"/>
    <n v="1148"/>
    <n v="2947"/>
    <s v="61841063"/>
    <s v="61841063"/>
    <m/>
    <m/>
    <n v="22724410"/>
    <m/>
    <m/>
    <m/>
    <s v="SOLFIN"/>
    <s v="SOLFIN"/>
    <s v="CCMS"/>
    <n v="21344120"/>
    <n v="4685.38"/>
    <m/>
    <s v="N"/>
    <n v="2"/>
    <d v="2023-07-07T19:03:24"/>
    <s v="Y"/>
    <s v="Interim Hearing Court Bundle/Advoca"/>
    <s v="Public Law Children"/>
    <s v="Advocacy"/>
    <s v="KS"/>
    <s v="Y"/>
    <n v="59.4"/>
    <n v="11.88"/>
    <x v="9"/>
    <s v="VALIDATED"/>
    <n v="1"/>
    <s v="01.11.80.308.6100.0000"/>
    <n v="59.4"/>
    <s v="11"/>
    <s v="6100"/>
    <n v="23532.18"/>
    <n v="59.4"/>
    <s v="CREDITOR"/>
    <n v="0"/>
    <n v="0"/>
    <n v="0"/>
    <n v="0"/>
    <n v="59.4"/>
  </r>
  <r>
    <n v="61536655"/>
    <s v="N"/>
    <n v="21360261"/>
    <s v="3000015655560003"/>
    <s v="CIVIL"/>
    <d v="2023-06-20T00:00:00"/>
    <d v="2023-07-11T11:50:54"/>
    <m/>
    <d v="2023-07-11T00:00:00"/>
    <n v="1148"/>
    <n v="2947"/>
    <s v="61536655"/>
    <s v="61536655"/>
    <m/>
    <m/>
    <n v="22724376"/>
    <m/>
    <m/>
    <m/>
    <s v="SOLFIN"/>
    <s v="SOLFIN"/>
    <s v="CCMS"/>
    <n v="21360261"/>
    <n v="11843.93"/>
    <m/>
    <s v="N"/>
    <n v="104"/>
    <d v="2023-07-11T11:50:59"/>
    <s v="Y"/>
    <s v="Hearing Unit 2.31 - 5.00 Hours"/>
    <s v="Public Law Children"/>
    <s v="Advocacy"/>
    <s v="BG"/>
    <s v="Y"/>
    <n v="476.92"/>
    <n v="95.39"/>
    <x v="7"/>
    <s v="VALIDATED"/>
    <n v="1"/>
    <s v="01.11.80.308.6100.0000"/>
    <n v="476.92"/>
    <s v="11"/>
    <s v="6100"/>
    <n v="23532.18"/>
    <n v="476.92"/>
    <s v="CREDITOR"/>
    <n v="0"/>
    <n v="0"/>
    <n v="0"/>
    <n v="0"/>
    <n v="476.92"/>
  </r>
  <r>
    <n v="61536655"/>
    <s v="N"/>
    <n v="21360261"/>
    <s v="3000015655560003"/>
    <s v="CIVIL"/>
    <d v="2023-06-20T00:00:00"/>
    <d v="2023-07-11T11:50:54"/>
    <m/>
    <d v="2023-07-11T00:00:00"/>
    <n v="1148"/>
    <n v="2947"/>
    <s v="61536655"/>
    <s v="61536655"/>
    <m/>
    <m/>
    <n v="22724376"/>
    <m/>
    <m/>
    <m/>
    <s v="SOLFIN"/>
    <s v="SOLFIN"/>
    <s v="CCMS"/>
    <n v="21360261"/>
    <n v="11843.93"/>
    <m/>
    <s v="N"/>
    <n v="60"/>
    <d v="2023-07-11T11:50:59"/>
    <s v="Y"/>
    <s v="Preparation - other"/>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70"/>
    <d v="2023-07-11T11:50:59"/>
    <s v="Y"/>
    <s v="Attendance upon client"/>
    <s v="Care Remuneration Hourly Rates"/>
    <s v="Profit Cost"/>
    <s v="KS"/>
    <s v="Y"/>
    <n v="42.58"/>
    <n v="8.52"/>
    <x v="7"/>
    <s v="VALIDATED"/>
    <n v="1"/>
    <s v="01.11.80.308.6100.0000"/>
    <n v="42.58"/>
    <s v="11"/>
    <s v="6100"/>
    <n v="23532.18"/>
    <n v="42.58"/>
    <s v="CREDITOR"/>
    <n v="0"/>
    <n v="0"/>
    <n v="0"/>
    <n v="0"/>
    <n v="42.58"/>
  </r>
  <r>
    <n v="61536655"/>
    <s v="N"/>
    <n v="21360261"/>
    <s v="3000015655560003"/>
    <s v="CIVIL"/>
    <d v="2023-06-20T00:00:00"/>
    <d v="2023-07-11T11:50:54"/>
    <m/>
    <d v="2023-07-11T00:00:00"/>
    <n v="1148"/>
    <n v="2947"/>
    <s v="61536655"/>
    <s v="61536655"/>
    <m/>
    <m/>
    <n v="22724376"/>
    <m/>
    <m/>
    <m/>
    <s v="SOLFIN"/>
    <s v="SOLFIN"/>
    <s v="CCMS"/>
    <n v="21360261"/>
    <n v="11843.93"/>
    <m/>
    <s v="N"/>
    <n v="103"/>
    <d v="2023-07-11T11:50:59"/>
    <s v="Y"/>
    <s v="Hearing Unit 2.31 - 5.00 Hours"/>
    <s v="Public Law Children"/>
    <s v="Advocacy"/>
    <s v="KS"/>
    <s v="Y"/>
    <n v="433.62"/>
    <n v="86.73"/>
    <x v="7"/>
    <s v="VALIDATED"/>
    <n v="1"/>
    <s v="01.11.80.308.6100.0000"/>
    <n v="433.62"/>
    <s v="11"/>
    <s v="6100"/>
    <n v="23532.18"/>
    <n v="433.62"/>
    <s v="CREDITOR"/>
    <n v="0"/>
    <n v="0"/>
    <n v="0"/>
    <n v="0"/>
    <n v="433.62"/>
  </r>
  <r>
    <n v="61107388"/>
    <s v="N"/>
    <n v="21328141"/>
    <s v="3000015298310006"/>
    <s v="CIVIL"/>
    <d v="2023-06-21T00:00:00"/>
    <d v="2023-07-04T19:00:44"/>
    <m/>
    <d v="2023-07-04T00:00:00"/>
    <n v="1148"/>
    <n v="2947"/>
    <s v="61107388"/>
    <s v="61107388"/>
    <m/>
    <m/>
    <n v="22737020"/>
    <m/>
    <m/>
    <m/>
    <s v="SOLFIN"/>
    <s v="SOLFIN"/>
    <s v="CCMS"/>
    <n v="21328141"/>
    <n v="29945.48"/>
    <m/>
    <s v="N"/>
    <n v="4"/>
    <d v="2023-07-04T19:01:06"/>
    <s v="Y"/>
    <s v="Final Hearing Court Bundle/Advocate"/>
    <s v="Public Law Children"/>
    <s v="Advocacy"/>
    <s v="Bethan Griffin"/>
    <s v="Y"/>
    <n v="318.6"/>
    <n v="63.72"/>
    <x v="1"/>
    <s v="VALIDATED"/>
    <n v="1"/>
    <s v="01.11.80.308.6100.0000"/>
    <n v="318.6"/>
    <s v="11"/>
    <s v="6100"/>
    <n v="23532.18"/>
    <n v="318.6"/>
    <s v="CREDITOR"/>
    <n v="0"/>
    <n v="0"/>
    <n v="0"/>
    <n v="0"/>
    <n v="318.6"/>
  </r>
  <r>
    <n v="61536655"/>
    <s v="N"/>
    <n v="21360261"/>
    <s v="3000015655560003"/>
    <s v="CIVIL"/>
    <d v="2023-06-20T00:00:00"/>
    <d v="2023-07-11T11:50:54"/>
    <m/>
    <d v="2023-07-11T00:00:00"/>
    <n v="1148"/>
    <n v="2947"/>
    <s v="61536655"/>
    <s v="61536655"/>
    <m/>
    <m/>
    <n v="22724376"/>
    <m/>
    <m/>
    <m/>
    <s v="SOLFIN"/>
    <s v="SOLFIN"/>
    <s v="CCMS"/>
    <n v="21360261"/>
    <n v="11843.93"/>
    <m/>
    <s v="N"/>
    <n v="88"/>
    <d v="2023-07-11T11:50:59"/>
    <s v="Y"/>
    <s v="Preparation - drafting statement"/>
    <s v="Care Remuneration Hourly Rates"/>
    <s v="Profit Cost"/>
    <s v="KS"/>
    <s v="Y"/>
    <n v="70.97"/>
    <n v="14.19"/>
    <x v="7"/>
    <s v="VALIDATED"/>
    <n v="1"/>
    <s v="01.11.80.308.6100.0000"/>
    <n v="70.97"/>
    <s v="11"/>
    <s v="6100"/>
    <n v="23532.18"/>
    <n v="70.97"/>
    <s v="CREDITOR"/>
    <n v="0"/>
    <n v="0"/>
    <n v="0"/>
    <n v="0"/>
    <n v="70.97"/>
  </r>
  <r>
    <n v="61993392"/>
    <s v="N"/>
    <n v="21337846"/>
    <s v="3000016037810001"/>
    <s v="CIVIL"/>
    <d v="2023-06-30T00:00:00"/>
    <d v="2023-07-06T19:21:01"/>
    <m/>
    <d v="2023-07-06T00:00:00"/>
    <n v="1148"/>
    <n v="2947"/>
    <s v="61993392"/>
    <s v="61993392"/>
    <m/>
    <m/>
    <n v="22799498"/>
    <m/>
    <m/>
    <m/>
    <s v="SOLPOA"/>
    <s v="SOLPOA"/>
    <s v="CCMS"/>
    <n v="21337846"/>
    <n v="167"/>
    <m/>
    <s v="N"/>
    <n v="1"/>
    <d v="2023-07-06T19:21:09"/>
    <s v="N"/>
    <s v="Non Expert Disbursement - Private L"/>
    <s v="Non Expert Disbursement - Priv"/>
    <s v="Non Expert Disbursement"/>
    <s v="JED/FROST"/>
    <s v="N"/>
    <n v="167"/>
    <n v="0"/>
    <x v="4"/>
    <s v="VALIDATED"/>
    <n v="1"/>
    <s v="01.11.80.307.2012.0000"/>
    <n v="167"/>
    <s v="11"/>
    <s v="2012"/>
    <n v="23532.18"/>
    <n v="167"/>
    <s v="CREDITOR"/>
    <n v="167"/>
    <n v="0"/>
    <n v="0"/>
    <n v="0"/>
    <n v="0"/>
  </r>
  <r>
    <n v="61536655"/>
    <s v="N"/>
    <n v="21360261"/>
    <s v="3000015655560003"/>
    <s v="CIVIL"/>
    <d v="2023-06-20T00:00:00"/>
    <d v="2023-07-11T11:50:54"/>
    <m/>
    <d v="2023-07-11T00:00:00"/>
    <n v="1148"/>
    <n v="2947"/>
    <s v="61536655"/>
    <s v="61536655"/>
    <m/>
    <m/>
    <n v="22724376"/>
    <m/>
    <m/>
    <m/>
    <s v="SOLFIN"/>
    <s v="SOLFIN"/>
    <s v="CCMS"/>
    <n v="21360261"/>
    <n v="11843.93"/>
    <m/>
    <s v="N"/>
    <n v="27"/>
    <d v="2023-07-11T11:50:59"/>
    <s v="Y"/>
    <s v="Preparation - other"/>
    <s v="Care Remuneration Hourly Rates"/>
    <s v="Profit Cost"/>
    <s v="KS"/>
    <s v="Y"/>
    <n v="56.78"/>
    <n v="11.36"/>
    <x v="7"/>
    <s v="VALIDATED"/>
    <n v="1"/>
    <s v="01.11.80.308.6100.0000"/>
    <n v="56.78"/>
    <s v="11"/>
    <s v="6100"/>
    <n v="23532.18"/>
    <n v="56.78"/>
    <s v="CREDITOR"/>
    <n v="0"/>
    <n v="0"/>
    <n v="0"/>
    <n v="0"/>
    <n v="56.78"/>
  </r>
  <r>
    <n v="61536655"/>
    <s v="N"/>
    <n v="21360261"/>
    <s v="3000015655560003"/>
    <s v="CIVIL"/>
    <d v="2023-06-20T00:00:00"/>
    <d v="2023-07-11T11:50:54"/>
    <m/>
    <d v="2023-07-11T00:00:00"/>
    <n v="1148"/>
    <n v="2947"/>
    <s v="61536655"/>
    <s v="61536655"/>
    <m/>
    <m/>
    <n v="22724376"/>
    <m/>
    <m/>
    <m/>
    <s v="SOLFIN"/>
    <s v="SOLFIN"/>
    <s v="CCMS"/>
    <n v="21360261"/>
    <n v="11843.93"/>
    <m/>
    <s v="N"/>
    <n v="29"/>
    <d v="2023-07-11T11:50:59"/>
    <s v="Y"/>
    <s v="Report - other expert's report"/>
    <s v="Care Remuneration Hourly Rates"/>
    <s v="Profit Cost"/>
    <s v="KS"/>
    <s v="Y"/>
    <n v="70.97"/>
    <n v="14.19"/>
    <x v="7"/>
    <s v="VALIDATED"/>
    <n v="1"/>
    <s v="01.11.80.308.6100.0000"/>
    <n v="70.97"/>
    <s v="11"/>
    <s v="6100"/>
    <n v="23532.18"/>
    <n v="70.97"/>
    <s v="CREDITOR"/>
    <n v="0"/>
    <n v="0"/>
    <n v="0"/>
    <n v="0"/>
    <n v="70.97"/>
  </r>
  <r>
    <n v="61999791"/>
    <s v="N"/>
    <n v="21337964"/>
    <s v="3000016043340012"/>
    <s v="CIVIL"/>
    <d v="2023-06-27T00:00:00"/>
    <d v="2023-07-06T19:21:01"/>
    <m/>
    <d v="2023-07-06T00:00:00"/>
    <n v="1148"/>
    <n v="2947"/>
    <s v="61999791"/>
    <s v="61999791"/>
    <m/>
    <m/>
    <n v="22772692"/>
    <m/>
    <m/>
    <m/>
    <s v="SOLPOA"/>
    <s v="SOLPOA"/>
    <s v="CCMS"/>
    <n v="21337964"/>
    <n v="519.48"/>
    <m/>
    <s v="N"/>
    <n v="1"/>
    <d v="2023-07-06T19:21:10"/>
    <s v="N"/>
    <s v="Expert Cost"/>
    <s v="Expert Cost"/>
    <s v="Expert Disbursement"/>
    <s v="Matthew Body"/>
    <s v="N"/>
    <n v="432.9"/>
    <n v="86.58"/>
    <x v="4"/>
    <s v="VALIDATED"/>
    <n v="1"/>
    <s v="01.11.80.308.2012.0000"/>
    <n v="432.9"/>
    <s v="11"/>
    <s v="2012"/>
    <n v="23532.18"/>
    <n v="432.9"/>
    <s v="CREDITOR"/>
    <n v="432.9"/>
    <n v="0"/>
    <n v="0"/>
    <n v="0"/>
    <n v="0"/>
  </r>
  <r>
    <n v="61536655"/>
    <s v="N"/>
    <n v="21360261"/>
    <s v="3000015655560003"/>
    <s v="CIVIL"/>
    <d v="2023-06-20T00:00:00"/>
    <d v="2023-07-11T11:50:54"/>
    <m/>
    <d v="2023-07-11T00:00:00"/>
    <n v="1148"/>
    <n v="2947"/>
    <s v="61536655"/>
    <s v="61536655"/>
    <m/>
    <m/>
    <n v="22724376"/>
    <m/>
    <m/>
    <m/>
    <s v="SOLFIN"/>
    <s v="SOLFIN"/>
    <s v="CCMS"/>
    <n v="21360261"/>
    <n v="11843.93"/>
    <m/>
    <s v="N"/>
    <n v="26"/>
    <d v="2023-07-11T11:50:59"/>
    <s v="Y"/>
    <s v="Attendance upon client"/>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76"/>
    <d v="2023-07-11T11:50:59"/>
    <s v="Y"/>
    <s v="Preparation - other"/>
    <s v="Care Remuneration Hourly Rates"/>
    <s v="Profit Cost"/>
    <s v="KS"/>
    <s v="Y"/>
    <n v="35.49"/>
    <n v="7.1"/>
    <x v="7"/>
    <s v="VALIDATED"/>
    <n v="1"/>
    <s v="01.11.80.308.6100.0000"/>
    <n v="35.49"/>
    <s v="11"/>
    <s v="6100"/>
    <n v="23532.18"/>
    <n v="35.49"/>
    <s v="CREDITOR"/>
    <n v="0"/>
    <n v="0"/>
    <n v="0"/>
    <n v="0"/>
    <n v="35.49"/>
  </r>
  <r>
    <n v="61536655"/>
    <s v="N"/>
    <n v="21360261"/>
    <s v="3000015655560003"/>
    <s v="CIVIL"/>
    <d v="2023-06-20T00:00:00"/>
    <d v="2023-07-11T11:50:54"/>
    <m/>
    <d v="2023-07-11T00:00:00"/>
    <n v="1148"/>
    <n v="2947"/>
    <s v="61536655"/>
    <s v="61536655"/>
    <m/>
    <m/>
    <n v="22724376"/>
    <m/>
    <m/>
    <m/>
    <s v="SOLFIN"/>
    <s v="SOLFIN"/>
    <s v="CCMS"/>
    <n v="21360261"/>
    <n v="11843.93"/>
    <m/>
    <s v="N"/>
    <n v="80"/>
    <d v="2023-07-11T11:50:59"/>
    <s v="Y"/>
    <s v="Attendance upon client"/>
    <s v="Care Remuneration Hourly Rates"/>
    <s v="Profit Cost"/>
    <s v="KS"/>
    <s v="Y"/>
    <n v="35.49"/>
    <n v="7.1"/>
    <x v="7"/>
    <s v="VALIDATED"/>
    <n v="1"/>
    <s v="01.11.80.308.6100.0000"/>
    <n v="35.49"/>
    <s v="11"/>
    <s v="6100"/>
    <n v="23532.18"/>
    <n v="35.49"/>
    <s v="CREDITOR"/>
    <n v="0"/>
    <n v="0"/>
    <n v="0"/>
    <n v="0"/>
    <n v="35.49"/>
  </r>
  <r>
    <n v="61536655"/>
    <s v="N"/>
    <n v="21360261"/>
    <s v="3000015655560003"/>
    <s v="CIVIL"/>
    <d v="2023-06-20T00:00:00"/>
    <d v="2023-07-11T11:50:54"/>
    <m/>
    <d v="2023-07-11T00:00:00"/>
    <n v="1148"/>
    <n v="2947"/>
    <s v="61536655"/>
    <s v="61536655"/>
    <m/>
    <m/>
    <n v="22724376"/>
    <m/>
    <m/>
    <m/>
    <s v="SOLFIN"/>
    <s v="SOLFIN"/>
    <s v="CCMS"/>
    <n v="21360261"/>
    <n v="11843.93"/>
    <m/>
    <s v="N"/>
    <n v="74"/>
    <d v="2023-07-11T11:50:59"/>
    <s v="Y"/>
    <s v="Report - Medical report"/>
    <s v="Care Remuneration Hourly Rates"/>
    <s v="Profit Cost"/>
    <s v="KS"/>
    <s v="Y"/>
    <n v="42.58"/>
    <n v="8.52"/>
    <x v="7"/>
    <s v="VALIDATED"/>
    <n v="1"/>
    <s v="01.11.80.308.6100.0000"/>
    <n v="42.58"/>
    <s v="11"/>
    <s v="6100"/>
    <n v="23532.18"/>
    <n v="42.58"/>
    <s v="CREDITOR"/>
    <n v="0"/>
    <n v="0"/>
    <n v="0"/>
    <n v="0"/>
    <n v="42.58"/>
  </r>
  <r>
    <n v="61536655"/>
    <s v="N"/>
    <n v="21360261"/>
    <s v="3000015655560003"/>
    <s v="CIVIL"/>
    <d v="2023-06-20T00:00:00"/>
    <d v="2023-07-11T11:50:54"/>
    <m/>
    <d v="2023-07-11T00:00:00"/>
    <n v="1148"/>
    <n v="2947"/>
    <s v="61536655"/>
    <s v="61536655"/>
    <m/>
    <m/>
    <n v="22724376"/>
    <m/>
    <m/>
    <m/>
    <s v="SOLFIN"/>
    <s v="SOLFIN"/>
    <s v="CCMS"/>
    <n v="21360261"/>
    <n v="11843.93"/>
    <m/>
    <s v="N"/>
    <n v="28"/>
    <d v="2023-07-11T11:50:59"/>
    <s v="Y"/>
    <s v="Attendance upon client"/>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30"/>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37"/>
    <d v="2023-07-11T11:50:59"/>
    <s v="Y"/>
    <s v="Preparation - other"/>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97"/>
    <d v="2023-07-11T11:50:59"/>
    <s v="Y"/>
    <s v="Preparation - drafting attendance n"/>
    <s v="Care Remuneration Hourly Rates"/>
    <s v="Profit Cost"/>
    <s v="KS"/>
    <s v="Y"/>
    <n v="12.09"/>
    <n v="2.42"/>
    <x v="7"/>
    <s v="VALIDATED"/>
    <n v="1"/>
    <s v="01.11.80.308.6100.0000"/>
    <n v="12.09"/>
    <s v="11"/>
    <s v="6100"/>
    <n v="23532.18"/>
    <n v="12.09"/>
    <s v="CREDITOR"/>
    <n v="0"/>
    <n v="0"/>
    <n v="0"/>
    <n v="0"/>
    <n v="12.09"/>
  </r>
  <r>
    <n v="61536655"/>
    <s v="N"/>
    <n v="21360261"/>
    <s v="3000015655560003"/>
    <s v="CIVIL"/>
    <d v="2023-06-20T00:00:00"/>
    <d v="2023-07-11T11:50:54"/>
    <m/>
    <d v="2023-07-11T00:00:00"/>
    <n v="1148"/>
    <n v="2947"/>
    <s v="61536655"/>
    <s v="61536655"/>
    <m/>
    <m/>
    <n v="22724376"/>
    <m/>
    <m/>
    <m/>
    <s v="SOLFIN"/>
    <s v="SOLFIN"/>
    <s v="CCMS"/>
    <n v="21360261"/>
    <n v="11843.93"/>
    <m/>
    <s v="N"/>
    <n v="105"/>
    <d v="2023-07-11T11:50:59"/>
    <s v="Y"/>
    <s v="Advocates Meeting"/>
    <s v="Public Law Children"/>
    <s v="Advocacy"/>
    <s v="Bethan Griffin"/>
    <s v="Y"/>
    <n v="140.99"/>
    <n v="28.2"/>
    <x v="7"/>
    <s v="VALIDATED"/>
    <n v="1"/>
    <s v="01.11.80.308.6100.0000"/>
    <n v="140.99"/>
    <s v="11"/>
    <s v="6100"/>
    <n v="23532.18"/>
    <n v="140.99"/>
    <s v="CREDITOR"/>
    <n v="0"/>
    <n v="0"/>
    <n v="0"/>
    <n v="0"/>
    <n v="140.99"/>
  </r>
  <r>
    <n v="61107388"/>
    <s v="N"/>
    <n v="21328141"/>
    <s v="3000015298310006"/>
    <s v="CIVIL"/>
    <d v="2023-06-21T00:00:00"/>
    <d v="2023-07-04T19:00:44"/>
    <m/>
    <d v="2023-07-04T00:00:00"/>
    <n v="1148"/>
    <n v="2947"/>
    <s v="61107388"/>
    <s v="61107388"/>
    <m/>
    <m/>
    <n v="22737020"/>
    <m/>
    <m/>
    <m/>
    <s v="SOLFIN"/>
    <s v="SOLFIN"/>
    <s v="CCMS"/>
    <n v="21328141"/>
    <n v="29945.48"/>
    <m/>
    <s v="N"/>
    <n v="11"/>
    <d v="2023-07-04T19:01:06"/>
    <s v="Y"/>
    <s v="Hearing Unit 2.31 - 5.00 Hours"/>
    <s v="Public Law Children"/>
    <s v="Advocacy"/>
    <s v="Matthew Body"/>
    <s v="Y"/>
    <n v="476.92"/>
    <n v="95.38"/>
    <x v="1"/>
    <s v="VALIDATED"/>
    <n v="1"/>
    <s v="01.11.80.308.6100.0000"/>
    <n v="476.92"/>
    <s v="11"/>
    <s v="6100"/>
    <n v="23532.18"/>
    <n v="476.92"/>
    <s v="CREDITOR"/>
    <n v="0"/>
    <n v="0"/>
    <n v="0"/>
    <n v="0"/>
    <n v="476.92"/>
  </r>
  <r>
    <n v="61107388"/>
    <s v="N"/>
    <n v="21328141"/>
    <s v="3000015298310006"/>
    <s v="CIVIL"/>
    <d v="2023-06-21T00:00:00"/>
    <d v="2023-07-04T19:00:44"/>
    <m/>
    <d v="2023-07-04T00:00:00"/>
    <n v="1148"/>
    <n v="2947"/>
    <s v="61107388"/>
    <s v="61107388"/>
    <m/>
    <m/>
    <n v="22737020"/>
    <m/>
    <m/>
    <m/>
    <s v="SOLFIN"/>
    <s v="SOLFIN"/>
    <s v="CCMS"/>
    <n v="21328141"/>
    <n v="29945.48"/>
    <m/>
    <s v="N"/>
    <n v="6"/>
    <d v="2023-07-04T19:01:06"/>
    <s v="Y"/>
    <s v="Disbursements (Summary)"/>
    <s v="Public Law Children"/>
    <s v="Non Expert Disbursement"/>
    <s v="Matthew Body"/>
    <s v="Y"/>
    <n v="252.38"/>
    <n v="0"/>
    <x v="1"/>
    <s v="VALIDATED"/>
    <n v="1"/>
    <s v="01.11.80.308.6300.0000"/>
    <n v="252.38"/>
    <s v="11"/>
    <s v="6300"/>
    <n v="23532.18"/>
    <n v="252.38"/>
    <s v="CREDITOR"/>
    <n v="0"/>
    <n v="0"/>
    <n v="0"/>
    <n v="0"/>
    <n v="252.38"/>
  </r>
  <r>
    <n v="61536655"/>
    <s v="N"/>
    <n v="21360261"/>
    <s v="3000015655560003"/>
    <s v="CIVIL"/>
    <d v="2023-06-20T00:00:00"/>
    <d v="2023-07-11T11:50:54"/>
    <m/>
    <d v="2023-07-11T00:00:00"/>
    <n v="1148"/>
    <n v="2947"/>
    <s v="61536655"/>
    <s v="61536655"/>
    <m/>
    <m/>
    <n v="22724376"/>
    <m/>
    <m/>
    <m/>
    <s v="SOLFIN"/>
    <s v="SOLFIN"/>
    <s v="CCMS"/>
    <n v="21360261"/>
    <n v="11843.93"/>
    <m/>
    <s v="N"/>
    <n v="69"/>
    <d v="2023-07-11T11:50:59"/>
    <s v="Y"/>
    <s v="Report - Welfare report"/>
    <s v="Care Remuneration Hourly Rates"/>
    <s v="Profit Cost"/>
    <s v="KS"/>
    <s v="Y"/>
    <n v="56.78"/>
    <n v="11.36"/>
    <x v="7"/>
    <s v="VALIDATED"/>
    <n v="1"/>
    <s v="01.11.80.308.6100.0000"/>
    <n v="56.78"/>
    <s v="11"/>
    <s v="6100"/>
    <n v="23532.18"/>
    <n v="56.78"/>
    <s v="CREDITOR"/>
    <n v="0"/>
    <n v="0"/>
    <n v="0"/>
    <n v="0"/>
    <n v="56.78"/>
  </r>
  <r>
    <n v="61536655"/>
    <s v="N"/>
    <n v="21360261"/>
    <s v="3000015655560003"/>
    <s v="CIVIL"/>
    <d v="2023-06-20T00:00:00"/>
    <d v="2023-07-11T11:50:54"/>
    <m/>
    <d v="2023-07-11T00:00:00"/>
    <n v="1148"/>
    <n v="2947"/>
    <s v="61536655"/>
    <s v="61536655"/>
    <m/>
    <m/>
    <n v="22724376"/>
    <m/>
    <m/>
    <m/>
    <s v="SOLFIN"/>
    <s v="SOLFIN"/>
    <s v="CCMS"/>
    <n v="21360261"/>
    <n v="11843.93"/>
    <m/>
    <s v="N"/>
    <n v="73"/>
    <d v="2023-07-11T11:50:59"/>
    <s v="Y"/>
    <s v="Preparation - other"/>
    <s v="Care Remuneration Hourly Rates"/>
    <s v="Profit Cost"/>
    <s v="KS"/>
    <s v="Y"/>
    <n v="70.97"/>
    <n v="14.19"/>
    <x v="7"/>
    <s v="VALIDATED"/>
    <n v="1"/>
    <s v="01.11.80.308.6100.0000"/>
    <n v="70.97"/>
    <s v="11"/>
    <s v="6100"/>
    <n v="23532.18"/>
    <n v="70.97"/>
    <s v="CREDITOR"/>
    <n v="0"/>
    <n v="0"/>
    <n v="0"/>
    <n v="0"/>
    <n v="70.97"/>
  </r>
  <r>
    <n v="61536655"/>
    <s v="N"/>
    <n v="21360261"/>
    <s v="3000015655560003"/>
    <s v="CIVIL"/>
    <d v="2023-06-20T00:00:00"/>
    <d v="2023-07-11T11:50:54"/>
    <m/>
    <d v="2023-07-11T00:00:00"/>
    <n v="1148"/>
    <n v="2947"/>
    <s v="61536655"/>
    <s v="61536655"/>
    <m/>
    <m/>
    <n v="22724376"/>
    <m/>
    <m/>
    <m/>
    <s v="SOLFIN"/>
    <s v="SOLFIN"/>
    <s v="CCMS"/>
    <n v="21360261"/>
    <n v="11843.93"/>
    <m/>
    <s v="N"/>
    <n v="6"/>
    <d v="2023-07-11T11:50:59"/>
    <s v="Y"/>
    <s v="Preparation - other"/>
    <s v="Care Remuneration Hourly Rates"/>
    <s v="Profit Cost"/>
    <s v="KS"/>
    <s v="Y"/>
    <n v="7.1"/>
    <n v="1.42"/>
    <x v="7"/>
    <s v="VALIDATED"/>
    <n v="1"/>
    <s v="01.11.80.308.6100.0000"/>
    <n v="7.1"/>
    <s v="11"/>
    <s v="6100"/>
    <n v="23532.18"/>
    <n v="7.1"/>
    <s v="CREDITOR"/>
    <n v="0"/>
    <n v="0"/>
    <n v="0"/>
    <n v="0"/>
    <n v="7.1"/>
  </r>
  <r>
    <n v="61107388"/>
    <s v="N"/>
    <n v="21328141"/>
    <s v="3000015298310006"/>
    <s v="CIVIL"/>
    <d v="2023-06-21T00:00:00"/>
    <d v="2023-07-04T19:00:44"/>
    <m/>
    <d v="2023-07-04T00:00:00"/>
    <n v="1148"/>
    <n v="2947"/>
    <s v="61107388"/>
    <s v="61107388"/>
    <m/>
    <m/>
    <n v="22737020"/>
    <m/>
    <m/>
    <m/>
    <s v="SOLFIN"/>
    <s v="SOLFIN"/>
    <s v="CCMS"/>
    <n v="21328141"/>
    <n v="29945.48"/>
    <m/>
    <s v="N"/>
    <n v="12"/>
    <d v="2023-07-04T19:01:06"/>
    <s v="Y"/>
    <s v="Advocates Meeting"/>
    <s v="Public Law Children"/>
    <s v="Advocacy"/>
    <s v="Matthew Body"/>
    <s v="Y"/>
    <n v="140.99"/>
    <n v="28.2"/>
    <x v="1"/>
    <s v="VALIDATED"/>
    <n v="1"/>
    <s v="01.11.80.308.6100.0000"/>
    <n v="140.99"/>
    <s v="11"/>
    <s v="6100"/>
    <n v="23532.18"/>
    <n v="140.99"/>
    <s v="CREDITOR"/>
    <n v="0"/>
    <n v="0"/>
    <n v="0"/>
    <n v="0"/>
    <n v="140.99"/>
  </r>
  <r>
    <n v="61536655"/>
    <s v="N"/>
    <n v="21360261"/>
    <s v="3000015655560003"/>
    <s v="CIVIL"/>
    <d v="2023-06-20T00:00:00"/>
    <d v="2023-07-11T11:50:54"/>
    <m/>
    <d v="2023-07-11T00:00:00"/>
    <n v="1148"/>
    <n v="2947"/>
    <s v="61536655"/>
    <s v="61536655"/>
    <m/>
    <m/>
    <n v="22724376"/>
    <m/>
    <m/>
    <m/>
    <s v="SOLFIN"/>
    <s v="SOLFIN"/>
    <s v="CCMS"/>
    <n v="21360261"/>
    <n v="11843.93"/>
    <m/>
    <s v="N"/>
    <n v="95"/>
    <d v="2023-07-11T11:50:59"/>
    <s v="Y"/>
    <s v="Preparation - drafting statement"/>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107"/>
    <d v="2023-07-11T11:50:59"/>
    <s v="N"/>
    <s v="Solicitors Fixed Fee"/>
    <s v="Public Law Children"/>
    <s v="Profit Cost"/>
    <s v="Kristy Smith"/>
    <s v="N"/>
    <n v="0"/>
    <n v="0"/>
    <x v="7"/>
    <s v="VALIDATED"/>
    <n v="1"/>
    <s v="01.11.80.308.6100.0000"/>
    <n v="0"/>
    <s v="11"/>
    <s v="6100"/>
    <n v="23532.18"/>
    <n v="0"/>
    <s v="CREDITOR"/>
    <n v="0"/>
    <n v="0"/>
    <n v="0"/>
    <n v="0"/>
    <n v="0"/>
  </r>
  <r>
    <n v="61107388"/>
    <s v="N"/>
    <n v="21328141"/>
    <s v="3000015298310006"/>
    <s v="CIVIL"/>
    <d v="2023-06-21T00:00:00"/>
    <d v="2023-07-04T19:00:44"/>
    <m/>
    <d v="2023-07-04T00:00:00"/>
    <n v="1148"/>
    <n v="2947"/>
    <s v="61107388"/>
    <s v="61107388"/>
    <m/>
    <m/>
    <n v="22737020"/>
    <m/>
    <m/>
    <m/>
    <s v="SOLFIN"/>
    <s v="SOLFIN"/>
    <s v="CCMS"/>
    <n v="21328141"/>
    <n v="29945.48"/>
    <m/>
    <s v="N"/>
    <n v="10"/>
    <d v="2023-07-04T19:01:06"/>
    <s v="Y"/>
    <s v="Advocates Meeting"/>
    <s v="Public Law Children"/>
    <s v="Advocacy"/>
    <s v="Matthew Body"/>
    <s v="Y"/>
    <n v="140.99"/>
    <n v="28.2"/>
    <x v="1"/>
    <s v="VALIDATED"/>
    <n v="1"/>
    <s v="01.11.80.308.6100.0000"/>
    <n v="140.99"/>
    <s v="11"/>
    <s v="6100"/>
    <n v="23532.18"/>
    <n v="140.99"/>
    <s v="CREDITOR"/>
    <n v="0"/>
    <n v="0"/>
    <n v="0"/>
    <n v="0"/>
    <n v="140.99"/>
  </r>
  <r>
    <n v="61536655"/>
    <s v="N"/>
    <n v="21360261"/>
    <s v="3000015655560003"/>
    <s v="CIVIL"/>
    <d v="2023-06-20T00:00:00"/>
    <d v="2023-07-11T11:50:54"/>
    <m/>
    <d v="2023-07-11T00:00:00"/>
    <n v="1148"/>
    <n v="2947"/>
    <s v="61536655"/>
    <s v="61536655"/>
    <m/>
    <m/>
    <n v="22724376"/>
    <m/>
    <m/>
    <m/>
    <s v="SOLFIN"/>
    <s v="SOLFIN"/>
    <s v="CCMS"/>
    <n v="21360261"/>
    <n v="11843.93"/>
    <m/>
    <s v="N"/>
    <n v="15"/>
    <d v="2023-07-11T11:50:59"/>
    <s v="Y"/>
    <s v="Report - Medical report"/>
    <s v="Care Remuneration Hourly Rates"/>
    <s v="Profit Cost"/>
    <s v="KS"/>
    <s v="Y"/>
    <n v="106.46"/>
    <n v="21.29"/>
    <x v="7"/>
    <s v="VALIDATED"/>
    <n v="1"/>
    <s v="01.11.80.308.6100.0000"/>
    <n v="106.46"/>
    <s v="11"/>
    <s v="6100"/>
    <n v="23532.18"/>
    <n v="106.46"/>
    <s v="CREDITOR"/>
    <n v="0"/>
    <n v="0"/>
    <n v="0"/>
    <n v="0"/>
    <n v="106.46"/>
  </r>
  <r>
    <n v="61536655"/>
    <s v="N"/>
    <n v="21360261"/>
    <s v="3000015655560003"/>
    <s v="CIVIL"/>
    <d v="2023-06-20T00:00:00"/>
    <d v="2023-07-11T11:50:54"/>
    <m/>
    <d v="2023-07-11T00:00:00"/>
    <n v="1148"/>
    <n v="2947"/>
    <s v="61536655"/>
    <s v="61536655"/>
    <m/>
    <m/>
    <n v="22724376"/>
    <m/>
    <m/>
    <m/>
    <s v="SOLFIN"/>
    <s v="SOLFIN"/>
    <s v="CCMS"/>
    <n v="21360261"/>
    <n v="11843.93"/>
    <m/>
    <s v="N"/>
    <n v="78"/>
    <d v="2023-07-11T11:50:59"/>
    <s v="Y"/>
    <s v="Preparation - other"/>
    <s v="Care Remuneration Hourly Rates"/>
    <s v="Profit Cost"/>
    <s v="KS"/>
    <s v="Y"/>
    <n v="248.4"/>
    <n v="49.68"/>
    <x v="7"/>
    <s v="VALIDATED"/>
    <n v="1"/>
    <s v="01.11.80.308.6100.0000"/>
    <n v="248.4"/>
    <s v="11"/>
    <s v="6100"/>
    <n v="23532.18"/>
    <n v="248.4"/>
    <s v="CREDITOR"/>
    <n v="0"/>
    <n v="0"/>
    <n v="0"/>
    <n v="0"/>
    <n v="248.4"/>
  </r>
  <r>
    <n v="61536655"/>
    <s v="N"/>
    <n v="21360261"/>
    <s v="3000015655560003"/>
    <s v="CIVIL"/>
    <d v="2023-06-20T00:00:00"/>
    <d v="2023-07-11T11:50:54"/>
    <m/>
    <d v="2023-07-11T00:00:00"/>
    <n v="1148"/>
    <n v="2947"/>
    <s v="61536655"/>
    <s v="61536655"/>
    <m/>
    <m/>
    <n v="22724376"/>
    <m/>
    <m/>
    <m/>
    <s v="SOLFIN"/>
    <s v="SOLFIN"/>
    <s v="CCMS"/>
    <n v="21360261"/>
    <n v="11843.93"/>
    <m/>
    <s v="N"/>
    <n v="44"/>
    <d v="2023-07-11T11:50:59"/>
    <s v="Y"/>
    <s v="Routine Letter In"/>
    <s v="Care Remuneration Hourly Rates"/>
    <s v="Profit Cost"/>
    <s v="KS"/>
    <s v="Y"/>
    <n v="625.49"/>
    <n v="125.1"/>
    <x v="7"/>
    <s v="VALIDATED"/>
    <n v="1"/>
    <s v="01.11.80.308.6100.0000"/>
    <n v="625.49"/>
    <s v="11"/>
    <s v="6100"/>
    <n v="23532.18"/>
    <n v="625.49"/>
    <s v="CREDITOR"/>
    <n v="0"/>
    <n v="0"/>
    <n v="0"/>
    <n v="0"/>
    <n v="625.49"/>
  </r>
  <r>
    <n v="61536655"/>
    <s v="N"/>
    <n v="21360261"/>
    <s v="3000015655560003"/>
    <s v="CIVIL"/>
    <d v="2023-06-20T00:00:00"/>
    <d v="2023-07-11T11:50:54"/>
    <m/>
    <d v="2023-07-11T00:00:00"/>
    <n v="1148"/>
    <n v="2947"/>
    <s v="61536655"/>
    <s v="61536655"/>
    <m/>
    <m/>
    <n v="22724376"/>
    <m/>
    <m/>
    <m/>
    <s v="SOLFIN"/>
    <s v="SOLFIN"/>
    <s v="CCMS"/>
    <n v="21360261"/>
    <n v="11843.93"/>
    <m/>
    <s v="N"/>
    <n v="94"/>
    <d v="2023-07-11T11:50:59"/>
    <s v="Y"/>
    <s v="Preparation - other"/>
    <s v="Care Remuneration Hourly Rates"/>
    <s v="Profit Cost"/>
    <s v="KS"/>
    <s v="Y"/>
    <n v="42.58"/>
    <n v="8.52"/>
    <x v="7"/>
    <s v="VALIDATED"/>
    <n v="1"/>
    <s v="01.11.80.308.6100.0000"/>
    <n v="42.58"/>
    <s v="11"/>
    <s v="6100"/>
    <n v="23532.18"/>
    <n v="42.58"/>
    <s v="CREDITOR"/>
    <n v="0"/>
    <n v="0"/>
    <n v="0"/>
    <n v="0"/>
    <n v="42.58"/>
  </r>
  <r>
    <n v="61536655"/>
    <s v="N"/>
    <n v="21360261"/>
    <s v="3000015655560003"/>
    <s v="CIVIL"/>
    <d v="2023-06-20T00:00:00"/>
    <d v="2023-07-11T11:50:54"/>
    <m/>
    <d v="2023-07-11T00:00:00"/>
    <n v="1148"/>
    <n v="2947"/>
    <s v="61536655"/>
    <s v="61536655"/>
    <m/>
    <m/>
    <n v="22724376"/>
    <m/>
    <m/>
    <m/>
    <s v="SOLFIN"/>
    <s v="SOLFIN"/>
    <s v="CCMS"/>
    <n v="21360261"/>
    <n v="11843.93"/>
    <m/>
    <s v="N"/>
    <n v="36"/>
    <d v="2023-07-11T11:50:59"/>
    <s v="Y"/>
    <s v="Preparation - other"/>
    <s v="Care Remuneration Hourly Rates"/>
    <s v="Profit Cost"/>
    <s v="KS"/>
    <s v="Y"/>
    <n v="127.75"/>
    <n v="25.55"/>
    <x v="7"/>
    <s v="VALIDATED"/>
    <n v="1"/>
    <s v="01.11.80.308.6100.0000"/>
    <n v="127.75"/>
    <s v="11"/>
    <s v="6100"/>
    <n v="23532.18"/>
    <n v="127.75"/>
    <s v="CREDITOR"/>
    <n v="0"/>
    <n v="0"/>
    <n v="0"/>
    <n v="0"/>
    <n v="127.75"/>
  </r>
  <r>
    <n v="61107388"/>
    <s v="N"/>
    <n v="21328141"/>
    <s v="3000015298310006"/>
    <s v="CIVIL"/>
    <d v="2023-06-21T00:00:00"/>
    <d v="2023-07-04T19:00:44"/>
    <m/>
    <d v="2023-07-04T00:00:00"/>
    <n v="1148"/>
    <n v="2947"/>
    <s v="61107388"/>
    <s v="61107388"/>
    <m/>
    <m/>
    <n v="22737020"/>
    <m/>
    <m/>
    <m/>
    <s v="SOLFIN"/>
    <s v="SOLFIN"/>
    <s v="CCMS"/>
    <n v="21328141"/>
    <n v="29945.48"/>
    <m/>
    <s v="N"/>
    <n v="13"/>
    <d v="2023-07-04T19:01:06"/>
    <s v="Y"/>
    <s v="Hearing Unit 2.31 - 5.00 Hours"/>
    <s v="Public Law Children"/>
    <s v="Advocacy"/>
    <s v="Matthew Body"/>
    <s v="Y"/>
    <n v="476.92"/>
    <n v="95.38"/>
    <x v="1"/>
    <s v="VALIDATED"/>
    <n v="1"/>
    <s v="01.11.80.308.6100.0000"/>
    <n v="476.92"/>
    <s v="11"/>
    <s v="6100"/>
    <n v="23532.18"/>
    <n v="476.92"/>
    <s v="CREDITOR"/>
    <n v="0"/>
    <n v="0"/>
    <n v="0"/>
    <n v="0"/>
    <n v="476.92"/>
  </r>
  <r>
    <n v="61687723"/>
    <s v="N"/>
    <n v="21369665"/>
    <s v="3000015782260002"/>
    <s v="CIVIL"/>
    <d v="2023-06-30T00:00:00"/>
    <d v="2023-07-13T19:21:05"/>
    <m/>
    <d v="2023-07-13T00:00:00"/>
    <n v="1148"/>
    <n v="2947"/>
    <s v="61687723"/>
    <s v="61687723"/>
    <m/>
    <m/>
    <n v="22801010"/>
    <m/>
    <m/>
    <m/>
    <s v="SOLFIN"/>
    <s v="SOLFIN"/>
    <s v="CCMS"/>
    <n v="21369665"/>
    <n v="3872.61"/>
    <m/>
    <s v="N"/>
    <n v="1"/>
    <d v="2023-07-13T19:21:10"/>
    <s v="Y"/>
    <s v="Final Hearing Court Bundle/Advocate"/>
    <s v="Public Law Children"/>
    <s v="Advocacy"/>
    <s v="KS"/>
    <s v="Y"/>
    <n v="159.3"/>
    <n v="31.86"/>
    <x v="11"/>
    <s v="VALIDATED"/>
    <n v="1"/>
    <s v="01.11.80.308.6100.0000"/>
    <n v="159.3"/>
    <s v="11"/>
    <s v="6100"/>
    <n v="23532.18"/>
    <n v="159.3"/>
    <s v="CREDITOR"/>
    <n v="0"/>
    <n v="0"/>
    <n v="0"/>
    <n v="0"/>
    <n v="159.3"/>
  </r>
  <r>
    <n v="61536655"/>
    <s v="N"/>
    <n v="21360261"/>
    <s v="3000015655560003"/>
    <s v="CIVIL"/>
    <d v="2023-06-20T00:00:00"/>
    <d v="2023-07-11T11:50:54"/>
    <m/>
    <d v="2023-07-11T00:00:00"/>
    <n v="1148"/>
    <n v="2947"/>
    <s v="61536655"/>
    <s v="61536655"/>
    <m/>
    <m/>
    <n v="22724376"/>
    <m/>
    <m/>
    <m/>
    <s v="SOLFIN"/>
    <s v="SOLFIN"/>
    <s v="CCMS"/>
    <n v="21360261"/>
    <n v="11843.93"/>
    <m/>
    <s v="N"/>
    <n v="11"/>
    <d v="2023-07-11T11:50:59"/>
    <s v="Y"/>
    <s v="Preparation - other"/>
    <s v="Care Remuneration Hourly Rates"/>
    <s v="Profit Cost"/>
    <s v="KS"/>
    <s v="Y"/>
    <n v="70.97"/>
    <n v="14.19"/>
    <x v="7"/>
    <s v="VALIDATED"/>
    <n v="1"/>
    <s v="01.11.80.308.6100.0000"/>
    <n v="70.97"/>
    <s v="11"/>
    <s v="6100"/>
    <n v="23532.18"/>
    <n v="70.97"/>
    <s v="CREDITOR"/>
    <n v="0"/>
    <n v="0"/>
    <n v="0"/>
    <n v="0"/>
    <n v="70.97"/>
  </r>
  <r>
    <n v="61536655"/>
    <s v="N"/>
    <n v="21360261"/>
    <s v="3000015655560003"/>
    <s v="CIVIL"/>
    <d v="2023-06-20T00:00:00"/>
    <d v="2023-07-11T11:50:54"/>
    <m/>
    <d v="2023-07-11T00:00:00"/>
    <n v="1148"/>
    <n v="2947"/>
    <s v="61536655"/>
    <s v="61536655"/>
    <m/>
    <m/>
    <n v="22724376"/>
    <m/>
    <m/>
    <m/>
    <s v="SOLFIN"/>
    <s v="SOLFIN"/>
    <s v="CCMS"/>
    <n v="21360261"/>
    <n v="11843.93"/>
    <m/>
    <s v="N"/>
    <n v="58"/>
    <d v="2023-07-11T11:50:59"/>
    <s v="Y"/>
    <s v="Preparation - drafting bill/claim f"/>
    <s v="Care Remuneration Hourly Rates"/>
    <s v="Profit Cost"/>
    <s v="KS"/>
    <s v="Y"/>
    <n v="12.09"/>
    <n v="2.42"/>
    <x v="7"/>
    <s v="VALIDATED"/>
    <n v="1"/>
    <s v="01.11.80.308.6100.0000"/>
    <n v="12.09"/>
    <s v="11"/>
    <s v="6100"/>
    <n v="23532.18"/>
    <n v="12.09"/>
    <s v="CREDITOR"/>
    <n v="0"/>
    <n v="0"/>
    <n v="0"/>
    <n v="0"/>
    <n v="12.09"/>
  </r>
  <r>
    <n v="61536655"/>
    <s v="N"/>
    <n v="21360261"/>
    <s v="3000015655560003"/>
    <s v="CIVIL"/>
    <d v="2023-06-20T00:00:00"/>
    <d v="2023-07-11T11:50:54"/>
    <m/>
    <d v="2023-07-11T00:00:00"/>
    <n v="1148"/>
    <n v="2947"/>
    <s v="61536655"/>
    <s v="61536655"/>
    <m/>
    <m/>
    <n v="22724376"/>
    <m/>
    <m/>
    <m/>
    <s v="SOLFIN"/>
    <s v="SOLFIN"/>
    <s v="CCMS"/>
    <n v="21360261"/>
    <n v="11843.93"/>
    <m/>
    <s v="N"/>
    <n v="3"/>
    <d v="2023-07-11T11:50:59"/>
    <s v="Y"/>
    <s v="Preparation - other"/>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12"/>
    <d v="2023-07-11T11:50:59"/>
    <s v="Y"/>
    <s v="Preparation - other"/>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13"/>
    <d v="2023-07-11T11:50:59"/>
    <s v="Y"/>
    <s v="Preparation - other"/>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91"/>
    <d v="2023-07-11T11:50:59"/>
    <s v="Y"/>
    <s v="Preparation - other"/>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24"/>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84"/>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64"/>
    <d v="2023-07-11T11:50:59"/>
    <s v="Y"/>
    <s v="Preparation - other"/>
    <s v="Care Remuneration Hourly Rates"/>
    <s v="Profit Cost"/>
    <s v="KS"/>
    <s v="Y"/>
    <n v="28.39"/>
    <n v="5.68"/>
    <x v="7"/>
    <s v="VALIDATED"/>
    <n v="1"/>
    <s v="01.11.80.308.6100.0000"/>
    <n v="28.39"/>
    <s v="11"/>
    <s v="6100"/>
    <n v="23532.18"/>
    <n v="28.39"/>
    <s v="CREDITOR"/>
    <n v="0"/>
    <n v="0"/>
    <n v="0"/>
    <n v="0"/>
    <n v="28.39"/>
  </r>
  <r>
    <n v="61107388"/>
    <s v="N"/>
    <n v="21328141"/>
    <s v="3000015298310006"/>
    <s v="CIVIL"/>
    <d v="2023-06-21T00:00:00"/>
    <d v="2023-07-04T19:00:44"/>
    <m/>
    <d v="2023-07-04T00:00:00"/>
    <n v="1148"/>
    <n v="2947"/>
    <s v="61107388"/>
    <s v="61107388"/>
    <m/>
    <m/>
    <n v="22737020"/>
    <m/>
    <m/>
    <m/>
    <s v="SOLFIN"/>
    <s v="SOLFIN"/>
    <s v="CCMS"/>
    <n v="21328141"/>
    <n v="29945.48"/>
    <m/>
    <s v="N"/>
    <n v="1"/>
    <d v="2023-07-04T19:01:06"/>
    <s v="Y"/>
    <s v="Interim Hearing Court Bundle/Advoca"/>
    <s v="Public Law Children"/>
    <s v="Advocacy"/>
    <s v="Matthew Body"/>
    <s v="Y"/>
    <n v="89.09999999999999"/>
    <n v="17.82"/>
    <x v="1"/>
    <s v="VALIDATED"/>
    <n v="1"/>
    <s v="01.11.80.308.6100.0000"/>
    <n v="89.09999999999999"/>
    <s v="11"/>
    <s v="6100"/>
    <n v="23532.18"/>
    <n v="89.09999999999999"/>
    <s v="CREDITOR"/>
    <n v="0"/>
    <n v="0"/>
    <n v="0"/>
    <n v="0"/>
    <n v="89.09999999999999"/>
  </r>
  <r>
    <n v="61536655"/>
    <s v="N"/>
    <n v="21360261"/>
    <s v="3000015655560003"/>
    <s v="CIVIL"/>
    <d v="2023-06-20T00:00:00"/>
    <d v="2023-07-11T11:50:54"/>
    <m/>
    <d v="2023-07-11T00:00:00"/>
    <n v="1148"/>
    <n v="2947"/>
    <s v="61536655"/>
    <s v="61536655"/>
    <m/>
    <m/>
    <n v="22724376"/>
    <m/>
    <m/>
    <m/>
    <s v="SOLFIN"/>
    <s v="SOLFIN"/>
    <s v="CCMS"/>
    <n v="21360261"/>
    <n v="11843.93"/>
    <m/>
    <s v="N"/>
    <n v="96"/>
    <d v="2023-07-11T11:50:59"/>
    <s v="Y"/>
    <s v="Attendance upon client"/>
    <s v="Care Remuneration Hourly Rates"/>
    <s v="Profit Cost"/>
    <s v="KS"/>
    <s v="Y"/>
    <n v="70.97"/>
    <n v="14.19"/>
    <x v="7"/>
    <s v="VALIDATED"/>
    <n v="1"/>
    <s v="01.11.80.308.6100.0000"/>
    <n v="70.97"/>
    <s v="11"/>
    <s v="6100"/>
    <n v="23532.18"/>
    <n v="70.97"/>
    <s v="CREDITOR"/>
    <n v="0"/>
    <n v="0"/>
    <n v="0"/>
    <n v="0"/>
    <n v="70.97"/>
  </r>
  <r>
    <n v="61536655"/>
    <s v="N"/>
    <n v="21360261"/>
    <s v="3000015655560003"/>
    <s v="CIVIL"/>
    <d v="2023-06-20T00:00:00"/>
    <d v="2023-07-11T11:50:54"/>
    <m/>
    <d v="2023-07-11T00:00:00"/>
    <n v="1148"/>
    <n v="2947"/>
    <s v="61536655"/>
    <s v="61536655"/>
    <m/>
    <m/>
    <n v="22724376"/>
    <m/>
    <m/>
    <m/>
    <s v="SOLFIN"/>
    <s v="SOLFIN"/>
    <s v="CCMS"/>
    <n v="21360261"/>
    <n v="11843.93"/>
    <m/>
    <s v="N"/>
    <n v="92"/>
    <d v="2023-07-11T11:50:59"/>
    <s v="Y"/>
    <s v="Preparation - other"/>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7"/>
    <d v="2023-07-11T11:50:59"/>
    <s v="Y"/>
    <s v="Attendance upon client"/>
    <s v="Care Remuneration Hourly Rates"/>
    <s v="Profit Cost"/>
    <s v="KS"/>
    <s v="Y"/>
    <n v="35.49"/>
    <n v="7.1"/>
    <x v="7"/>
    <s v="VALIDATED"/>
    <n v="1"/>
    <s v="01.11.80.308.6100.0000"/>
    <n v="35.49"/>
    <s v="11"/>
    <s v="6100"/>
    <n v="23532.18"/>
    <n v="35.49"/>
    <s v="CREDITOR"/>
    <n v="0"/>
    <n v="0"/>
    <n v="0"/>
    <n v="0"/>
    <n v="35.49"/>
  </r>
  <r>
    <n v="61536655"/>
    <s v="N"/>
    <n v="21360261"/>
    <s v="3000015655560003"/>
    <s v="CIVIL"/>
    <d v="2023-06-20T00:00:00"/>
    <d v="2023-07-11T11:50:54"/>
    <m/>
    <d v="2023-07-11T00:00:00"/>
    <n v="1148"/>
    <n v="2947"/>
    <s v="61536655"/>
    <s v="61536655"/>
    <m/>
    <m/>
    <n v="22724376"/>
    <m/>
    <m/>
    <m/>
    <s v="SOLFIN"/>
    <s v="SOLFIN"/>
    <s v="CCMS"/>
    <n v="21360261"/>
    <n v="11843.93"/>
    <m/>
    <s v="N"/>
    <n v="34"/>
    <d v="2023-07-11T11:50:59"/>
    <s v="Y"/>
    <s v="Preparation - other"/>
    <s v="Care Remuneration Hourly Rates"/>
    <s v="Profit Cost"/>
    <s v="KS"/>
    <s v="Y"/>
    <n v="106.46"/>
    <n v="21.29"/>
    <x v="7"/>
    <s v="VALIDATED"/>
    <n v="1"/>
    <s v="01.11.80.308.6100.0000"/>
    <n v="106.46"/>
    <s v="11"/>
    <s v="6100"/>
    <n v="23532.18"/>
    <n v="106.46"/>
    <s v="CREDITOR"/>
    <n v="0"/>
    <n v="0"/>
    <n v="0"/>
    <n v="0"/>
    <n v="106.46"/>
  </r>
  <r>
    <n v="61536655"/>
    <s v="N"/>
    <n v="21360261"/>
    <s v="3000015655560003"/>
    <s v="CIVIL"/>
    <d v="2023-06-20T00:00:00"/>
    <d v="2023-07-11T11:50:54"/>
    <m/>
    <d v="2023-07-11T00:00:00"/>
    <n v="1148"/>
    <n v="2947"/>
    <s v="61536655"/>
    <s v="61536655"/>
    <m/>
    <m/>
    <n v="22724376"/>
    <m/>
    <m/>
    <m/>
    <s v="SOLFIN"/>
    <s v="SOLFIN"/>
    <s v="CCMS"/>
    <n v="21360261"/>
    <n v="11843.93"/>
    <m/>
    <s v="N"/>
    <n v="68"/>
    <d v="2023-07-11T11:50:59"/>
    <s v="Y"/>
    <s v="Preparation - other"/>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87"/>
    <d v="2023-07-11T11:50:59"/>
    <s v="Y"/>
    <s v="Preparation - other"/>
    <s v="Care Remuneration Hourly Rates"/>
    <s v="Profit Cost"/>
    <s v="KS"/>
    <s v="Y"/>
    <n v="354.85"/>
    <n v="70.97"/>
    <x v="7"/>
    <s v="VALIDATED"/>
    <n v="1"/>
    <s v="01.11.80.308.6100.0000"/>
    <n v="354.85"/>
    <s v="11"/>
    <s v="6100"/>
    <n v="23532.18"/>
    <n v="354.85"/>
    <s v="CREDITOR"/>
    <n v="0"/>
    <n v="0"/>
    <n v="0"/>
    <n v="0"/>
    <n v="354.85"/>
  </r>
  <r>
    <n v="61536655"/>
    <s v="N"/>
    <n v="21360261"/>
    <s v="3000015655560003"/>
    <s v="CIVIL"/>
    <d v="2023-06-20T00:00:00"/>
    <d v="2023-07-11T11:50:54"/>
    <m/>
    <d v="2023-07-11T00:00:00"/>
    <n v="1148"/>
    <n v="2947"/>
    <s v="61536655"/>
    <s v="61536655"/>
    <m/>
    <m/>
    <n v="22724376"/>
    <m/>
    <m/>
    <m/>
    <s v="SOLFIN"/>
    <s v="SOLFIN"/>
    <s v="CCMS"/>
    <n v="21360261"/>
    <n v="11843.93"/>
    <m/>
    <s v="N"/>
    <n v="10"/>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100"/>
    <d v="2023-07-11T11:50:59"/>
    <s v="Y"/>
    <s v="Preparation - other"/>
    <s v="Care Remuneration Hourly Rates"/>
    <s v="Profit Cost"/>
    <s v="KS"/>
    <s v="Y"/>
    <n v="21.29"/>
    <n v="4.26"/>
    <x v="7"/>
    <s v="VALIDATED"/>
    <n v="1"/>
    <s v="01.11.80.308.6100.0000"/>
    <n v="21.29"/>
    <s v="11"/>
    <s v="6100"/>
    <n v="23532.18"/>
    <n v="21.29"/>
    <s v="CREDITOR"/>
    <n v="0"/>
    <n v="0"/>
    <n v="0"/>
    <n v="0"/>
    <n v="21.29"/>
  </r>
  <r>
    <n v="61536655"/>
    <s v="N"/>
    <n v="21360261"/>
    <s v="3000015655560003"/>
    <s v="CIVIL"/>
    <d v="2023-06-20T00:00:00"/>
    <d v="2023-07-11T11:50:54"/>
    <m/>
    <d v="2023-07-11T00:00:00"/>
    <n v="1148"/>
    <n v="2947"/>
    <s v="61536655"/>
    <s v="61536655"/>
    <m/>
    <m/>
    <n v="22724376"/>
    <m/>
    <m/>
    <m/>
    <s v="SOLFIN"/>
    <s v="SOLFIN"/>
    <s v="CCMS"/>
    <n v="21360261"/>
    <n v="11843.93"/>
    <m/>
    <s v="N"/>
    <n v="19"/>
    <d v="2023-07-11T11:50:59"/>
    <s v="Y"/>
    <s v="Attendance upon client"/>
    <s v="Care Remuneration Hourly Rates"/>
    <s v="Profit Cost"/>
    <s v="KS"/>
    <s v="Y"/>
    <n v="106.46"/>
    <n v="21.29"/>
    <x v="7"/>
    <s v="VALIDATED"/>
    <n v="1"/>
    <s v="01.11.80.308.6100.0000"/>
    <n v="106.46"/>
    <s v="11"/>
    <s v="6100"/>
    <n v="23532.18"/>
    <n v="106.46"/>
    <s v="CREDITOR"/>
    <n v="0"/>
    <n v="0"/>
    <n v="0"/>
    <n v="0"/>
    <n v="106.46"/>
  </r>
  <r>
    <n v="61536655"/>
    <s v="N"/>
    <n v="21360261"/>
    <s v="3000015655560003"/>
    <s v="CIVIL"/>
    <d v="2023-06-20T00:00:00"/>
    <d v="2023-07-11T11:50:54"/>
    <m/>
    <d v="2023-07-11T00:00:00"/>
    <n v="1148"/>
    <n v="2947"/>
    <s v="61536655"/>
    <s v="61536655"/>
    <m/>
    <m/>
    <n v="22724376"/>
    <m/>
    <m/>
    <m/>
    <s v="SOLFIN"/>
    <s v="SOLFIN"/>
    <s v="CCMS"/>
    <n v="21360261"/>
    <n v="11843.93"/>
    <m/>
    <s v="N"/>
    <n v="38"/>
    <d v="2023-07-11T11:50:59"/>
    <s v="Y"/>
    <s v="Attendance upon client"/>
    <s v="Care Remuneration Hourly Rates"/>
    <s v="Profit Cost"/>
    <s v="KS"/>
    <s v="Y"/>
    <n v="106.46"/>
    <n v="21.29"/>
    <x v="7"/>
    <s v="VALIDATED"/>
    <n v="1"/>
    <s v="01.11.80.308.6100.0000"/>
    <n v="106.46"/>
    <s v="11"/>
    <s v="6100"/>
    <n v="23532.18"/>
    <n v="106.46"/>
    <s v="CREDITOR"/>
    <n v="0"/>
    <n v="0"/>
    <n v="0"/>
    <n v="0"/>
    <n v="106.46"/>
  </r>
  <r>
    <n v="61536655"/>
    <s v="N"/>
    <n v="21360261"/>
    <s v="3000015655560003"/>
    <s v="CIVIL"/>
    <d v="2023-06-20T00:00:00"/>
    <d v="2023-07-11T11:50:54"/>
    <m/>
    <d v="2023-07-11T00:00:00"/>
    <n v="1148"/>
    <n v="2947"/>
    <s v="61536655"/>
    <s v="61536655"/>
    <m/>
    <m/>
    <n v="22724376"/>
    <m/>
    <m/>
    <m/>
    <s v="SOLFIN"/>
    <s v="SOLFIN"/>
    <s v="CCMS"/>
    <n v="21360261"/>
    <n v="11843.93"/>
    <m/>
    <s v="N"/>
    <n v="47"/>
    <d v="2023-07-11T11:50:59"/>
    <s v="Y"/>
    <s v="Preparation - other"/>
    <s v="Care Remuneration Hourly Rates"/>
    <s v="Profit Cost"/>
    <s v="KS"/>
    <s v="Y"/>
    <n v="85.16"/>
    <n v="17.03"/>
    <x v="7"/>
    <s v="VALIDATED"/>
    <n v="1"/>
    <s v="01.11.80.308.6100.0000"/>
    <n v="85.16"/>
    <s v="11"/>
    <s v="6100"/>
    <n v="23532.18"/>
    <n v="85.16"/>
    <s v="CREDITOR"/>
    <n v="0"/>
    <n v="0"/>
    <n v="0"/>
    <n v="0"/>
    <n v="85.16"/>
  </r>
  <r>
    <n v="61107388"/>
    <s v="N"/>
    <n v="21328141"/>
    <s v="3000015298310006"/>
    <s v="CIVIL"/>
    <d v="2023-06-21T00:00:00"/>
    <d v="2023-07-04T19:00:44"/>
    <m/>
    <d v="2023-07-04T00:00:00"/>
    <n v="1148"/>
    <n v="2947"/>
    <s v="61107388"/>
    <s v="61107388"/>
    <m/>
    <m/>
    <n v="22737020"/>
    <m/>
    <m/>
    <m/>
    <s v="SOLFIN"/>
    <s v="SOLFIN"/>
    <s v="CCMS"/>
    <n v="21328141"/>
    <n v="29945.48"/>
    <m/>
    <s v="N"/>
    <n v="5"/>
    <d v="2023-07-04T19:01:06"/>
    <s v="Y"/>
    <s v="Profit Costs (Summary)"/>
    <s v="Public Law Children"/>
    <s v="Profit Cost"/>
    <s v="Matthew Body"/>
    <s v="Y"/>
    <n v="20806.96"/>
    <n v="4161.39"/>
    <x v="1"/>
    <s v="VALIDATED"/>
    <n v="1"/>
    <s v="01.11.80.308.6100.0000"/>
    <n v="20806.96"/>
    <s v="11"/>
    <s v="6100"/>
    <n v="23532.18"/>
    <n v="20806.96"/>
    <s v="CREDITOR"/>
    <n v="0"/>
    <n v="0"/>
    <n v="0"/>
    <n v="0"/>
    <n v="20806.96"/>
  </r>
  <r>
    <n v="61536655"/>
    <s v="N"/>
    <n v="21360261"/>
    <s v="3000015655560003"/>
    <s v="CIVIL"/>
    <d v="2023-06-20T00:00:00"/>
    <d v="2023-07-11T11:50:54"/>
    <m/>
    <d v="2023-07-11T00:00:00"/>
    <n v="1148"/>
    <n v="2947"/>
    <s v="61536655"/>
    <s v="61536655"/>
    <m/>
    <m/>
    <n v="22724376"/>
    <m/>
    <m/>
    <m/>
    <s v="SOLFIN"/>
    <s v="SOLFIN"/>
    <s v="CCMS"/>
    <n v="21360261"/>
    <n v="11843.93"/>
    <m/>
    <s v="N"/>
    <n v="99"/>
    <d v="2023-07-11T11:50:59"/>
    <s v="Y"/>
    <s v="Preparation - other"/>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1"/>
    <d v="2023-07-11T11:50:59"/>
    <s v="Y"/>
    <s v="Final Hearing Court Bundle/Advocate"/>
    <s v="Public Law Children"/>
    <s v="Advocacy"/>
    <s v="KS"/>
    <s v="Y"/>
    <n v="239.4"/>
    <n v="47.88"/>
    <x v="7"/>
    <s v="VALIDATED"/>
    <n v="1"/>
    <s v="01.11.80.308.6100.0000"/>
    <n v="239.4"/>
    <s v="11"/>
    <s v="6100"/>
    <n v="23532.18"/>
    <n v="239.4"/>
    <s v="CREDITOR"/>
    <n v="0"/>
    <n v="0"/>
    <n v="0"/>
    <n v="0"/>
    <n v="239.4"/>
  </r>
  <r>
    <n v="61536655"/>
    <s v="N"/>
    <n v="21360261"/>
    <s v="3000015655560003"/>
    <s v="CIVIL"/>
    <d v="2023-06-20T00:00:00"/>
    <d v="2023-07-11T11:50:54"/>
    <m/>
    <d v="2023-07-11T00:00:00"/>
    <n v="1148"/>
    <n v="2947"/>
    <s v="61536655"/>
    <s v="61536655"/>
    <m/>
    <m/>
    <n v="22724376"/>
    <m/>
    <m/>
    <m/>
    <s v="SOLFIN"/>
    <s v="SOLFIN"/>
    <s v="CCMS"/>
    <n v="21360261"/>
    <n v="11843.93"/>
    <m/>
    <s v="N"/>
    <n v="25"/>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53"/>
    <d v="2023-07-11T11:50:59"/>
    <s v="Y"/>
    <s v="Preparation - other"/>
    <s v="Care Remuneration Hourly Rates"/>
    <s v="Profit Cost"/>
    <s v="KS"/>
    <s v="Y"/>
    <n v="354.85"/>
    <n v="70.97"/>
    <x v="7"/>
    <s v="VALIDATED"/>
    <n v="1"/>
    <s v="01.11.80.308.6100.0000"/>
    <n v="354.85"/>
    <s v="11"/>
    <s v="6100"/>
    <n v="23532.18"/>
    <n v="354.85"/>
    <s v="CREDITOR"/>
    <n v="0"/>
    <n v="0"/>
    <n v="0"/>
    <n v="0"/>
    <n v="354.85"/>
  </r>
  <r>
    <n v="61536655"/>
    <s v="N"/>
    <n v="21360261"/>
    <s v="3000015655560003"/>
    <s v="CIVIL"/>
    <d v="2023-06-20T00:00:00"/>
    <d v="2023-07-11T11:50:54"/>
    <m/>
    <d v="2023-07-11T00:00:00"/>
    <n v="1148"/>
    <n v="2947"/>
    <s v="61536655"/>
    <s v="61536655"/>
    <m/>
    <m/>
    <n v="22724376"/>
    <m/>
    <m/>
    <m/>
    <s v="SOLFIN"/>
    <s v="SOLFIN"/>
    <s v="CCMS"/>
    <n v="21360261"/>
    <n v="11843.93"/>
    <m/>
    <s v="N"/>
    <n v="65"/>
    <d v="2023-07-11T11:50:59"/>
    <s v="Y"/>
    <s v="Attendance upon client"/>
    <s v="Care Remuneration Hourly Rates"/>
    <s v="Profit Cost"/>
    <s v="KS"/>
    <s v="Y"/>
    <n v="35.49"/>
    <n v="7.1"/>
    <x v="7"/>
    <s v="VALIDATED"/>
    <n v="1"/>
    <s v="01.11.80.308.6100.0000"/>
    <n v="35.49"/>
    <s v="11"/>
    <s v="6100"/>
    <n v="23532.18"/>
    <n v="35.49"/>
    <s v="CREDITOR"/>
    <n v="0"/>
    <n v="0"/>
    <n v="0"/>
    <n v="0"/>
    <n v="35.49"/>
  </r>
  <r>
    <n v="61536655"/>
    <s v="N"/>
    <n v="21360261"/>
    <s v="3000015655560003"/>
    <s v="CIVIL"/>
    <d v="2023-06-20T00:00:00"/>
    <d v="2023-07-11T11:50:54"/>
    <m/>
    <d v="2023-07-11T00:00:00"/>
    <n v="1148"/>
    <n v="2947"/>
    <s v="61536655"/>
    <s v="61536655"/>
    <m/>
    <m/>
    <n v="22724376"/>
    <m/>
    <m/>
    <m/>
    <s v="SOLFIN"/>
    <s v="SOLFIN"/>
    <s v="CCMS"/>
    <n v="21360261"/>
    <n v="11843.93"/>
    <m/>
    <s v="N"/>
    <n v="77"/>
    <d v="2023-07-11T11:50:59"/>
    <s v="Y"/>
    <s v="Preparation - other"/>
    <s v="Care Remuneration Hourly Rates"/>
    <s v="Profit Cost"/>
    <s v="KS"/>
    <s v="Y"/>
    <n v="78.06999999999999"/>
    <n v="15.61"/>
    <x v="7"/>
    <s v="VALIDATED"/>
    <n v="1"/>
    <s v="01.11.80.308.6100.0000"/>
    <n v="78.06999999999999"/>
    <s v="11"/>
    <s v="6100"/>
    <n v="23532.18"/>
    <n v="78.06999999999999"/>
    <s v="CREDITOR"/>
    <n v="0"/>
    <n v="0"/>
    <n v="0"/>
    <n v="0"/>
    <n v="78.06999999999999"/>
  </r>
  <r>
    <n v="61536655"/>
    <s v="N"/>
    <n v="21360261"/>
    <s v="3000015655560003"/>
    <s v="CIVIL"/>
    <d v="2023-06-20T00:00:00"/>
    <d v="2023-07-11T11:50:54"/>
    <m/>
    <d v="2023-07-11T00:00:00"/>
    <n v="1148"/>
    <n v="2947"/>
    <s v="61536655"/>
    <s v="61536655"/>
    <m/>
    <m/>
    <n v="22724376"/>
    <m/>
    <m/>
    <m/>
    <s v="SOLFIN"/>
    <s v="SOLFIN"/>
    <s v="CCMS"/>
    <n v="21360261"/>
    <n v="11843.93"/>
    <m/>
    <s v="N"/>
    <n v="20"/>
    <d v="2023-07-11T11:50:59"/>
    <s v="Y"/>
    <s v="Preparation - drafting attendance n"/>
    <s v="Care Remuneration Hourly Rates"/>
    <s v="Profit Cost"/>
    <s v="KS"/>
    <s v="Y"/>
    <n v="18.14"/>
    <n v="3.63"/>
    <x v="7"/>
    <s v="VALIDATED"/>
    <n v="1"/>
    <s v="01.11.80.308.6100.0000"/>
    <n v="18.14"/>
    <s v="11"/>
    <s v="6100"/>
    <n v="23532.18"/>
    <n v="18.14"/>
    <s v="CREDITOR"/>
    <n v="0"/>
    <n v="0"/>
    <n v="0"/>
    <n v="0"/>
    <n v="18.14"/>
  </r>
  <r>
    <n v="61107388"/>
    <s v="N"/>
    <n v="21328141"/>
    <s v="3000015298310006"/>
    <s v="CIVIL"/>
    <d v="2023-06-21T00:00:00"/>
    <d v="2023-07-04T19:00:44"/>
    <m/>
    <d v="2023-07-04T00:00:00"/>
    <n v="1148"/>
    <n v="2947"/>
    <s v="61107388"/>
    <s v="61107388"/>
    <m/>
    <m/>
    <n v="22737020"/>
    <m/>
    <m/>
    <m/>
    <s v="SOLFIN"/>
    <s v="SOLFIN"/>
    <s v="CCMS"/>
    <n v="21328141"/>
    <n v="29945.48"/>
    <m/>
    <s v="N"/>
    <n v="9"/>
    <d v="2023-07-04T19:01:06"/>
    <s v="Y"/>
    <s v="Hearing Unit 2.31 - 5.00 Hours"/>
    <s v="Public Law Children"/>
    <s v="Advocacy"/>
    <s v="Matthew Body"/>
    <s v="Y"/>
    <n v="476.92"/>
    <n v="95.38"/>
    <x v="1"/>
    <s v="VALIDATED"/>
    <n v="1"/>
    <s v="01.11.80.308.6100.0000"/>
    <n v="476.92"/>
    <s v="11"/>
    <s v="6100"/>
    <n v="23532.18"/>
    <n v="476.92"/>
    <s v="CREDITOR"/>
    <n v="0"/>
    <n v="0"/>
    <n v="0"/>
    <n v="0"/>
    <n v="476.92"/>
  </r>
  <r>
    <n v="61841063"/>
    <s v="N"/>
    <n v="21344120"/>
    <s v="3000015908160002"/>
    <s v="CIVIL"/>
    <d v="2023-06-20T00:00:00"/>
    <d v="2023-07-07T19:03:00"/>
    <m/>
    <d v="2023-07-07T00:00:00"/>
    <n v="1148"/>
    <n v="2947"/>
    <s v="61841063"/>
    <s v="61841063"/>
    <m/>
    <m/>
    <n v="22724410"/>
    <m/>
    <m/>
    <m/>
    <s v="SOLFIN"/>
    <s v="SOLFIN"/>
    <s v="CCMS"/>
    <n v="21344120"/>
    <n v="4685.38"/>
    <m/>
    <s v="N"/>
    <n v="7"/>
    <d v="2023-07-07T19:03:24"/>
    <s v="Y"/>
    <s v="Solicitors Fixed Fee"/>
    <s v="Public Law Children"/>
    <s v="Profit Cost"/>
    <s v="Kristy Smith"/>
    <s v="Y"/>
    <n v="2370"/>
    <n v="474"/>
    <x v="9"/>
    <s v="VALIDATED"/>
    <n v="1"/>
    <s v="01.11.80.308.6100.0000"/>
    <n v="2370"/>
    <s v="11"/>
    <s v="6100"/>
    <n v="23532.18"/>
    <n v="2370"/>
    <s v="CREDITOR"/>
    <n v="0"/>
    <n v="0"/>
    <n v="0"/>
    <n v="0"/>
    <n v="2370"/>
  </r>
  <r>
    <n v="61841063"/>
    <s v="N"/>
    <n v="21344120"/>
    <s v="3000015908160002"/>
    <s v="CIVIL"/>
    <d v="2023-06-20T00:00:00"/>
    <d v="2023-07-07T19:03:00"/>
    <m/>
    <d v="2023-07-07T00:00:00"/>
    <n v="1148"/>
    <n v="2947"/>
    <s v="61841063"/>
    <s v="61841063"/>
    <m/>
    <m/>
    <n v="22724410"/>
    <m/>
    <m/>
    <m/>
    <s v="SOLFIN"/>
    <s v="SOLFIN"/>
    <s v="CCMS"/>
    <n v="21344120"/>
    <n v="4685.38"/>
    <m/>
    <s v="N"/>
    <n v="1"/>
    <d v="2023-07-07T19:03:24"/>
    <s v="Y"/>
    <s v="Final Hearing Court Bundle/Advocate"/>
    <s v="Public Law Children"/>
    <s v="Advocacy"/>
    <s v="KS"/>
    <s v="Y"/>
    <n v="159.3"/>
    <n v="31.86"/>
    <x v="9"/>
    <s v="VALIDATED"/>
    <n v="1"/>
    <s v="01.11.80.308.6100.0000"/>
    <n v="159.3"/>
    <s v="11"/>
    <s v="6100"/>
    <n v="23532.18"/>
    <n v="159.3"/>
    <s v="CREDITOR"/>
    <n v="0"/>
    <n v="0"/>
    <n v="0"/>
    <n v="0"/>
    <n v="159.3"/>
  </r>
  <r>
    <n v="61687723"/>
    <s v="N"/>
    <n v="21369665"/>
    <s v="3000015782260002"/>
    <s v="CIVIL"/>
    <d v="2023-06-30T00:00:00"/>
    <d v="2023-07-13T19:21:05"/>
    <m/>
    <d v="2023-07-13T00:00:00"/>
    <n v="1148"/>
    <n v="2947"/>
    <s v="61687723"/>
    <s v="61687723"/>
    <m/>
    <m/>
    <n v="22801010"/>
    <m/>
    <m/>
    <m/>
    <s v="SOLFIN"/>
    <s v="SOLFIN"/>
    <s v="CCMS"/>
    <n v="21369665"/>
    <n v="3872.61"/>
    <m/>
    <s v="N"/>
    <n v="4"/>
    <d v="2023-07-13T19:21:10"/>
    <s v="Y"/>
    <s v="Solicitors Fixed Fee"/>
    <s v="Public Law Children"/>
    <s v="Profit Cost"/>
    <s v="Kristy Smith"/>
    <s v="Y"/>
    <n v="2370"/>
    <n v="474"/>
    <x v="11"/>
    <s v="VALIDATED"/>
    <n v="1"/>
    <s v="01.11.80.308.6100.0000"/>
    <n v="2370"/>
    <s v="11"/>
    <s v="6100"/>
    <n v="23532.18"/>
    <n v="2370"/>
    <s v="CREDITOR"/>
    <n v="0"/>
    <n v="0"/>
    <n v="0"/>
    <n v="0"/>
    <n v="2370"/>
  </r>
  <r>
    <n v="61536655"/>
    <s v="N"/>
    <n v="21360261"/>
    <s v="3000015655560003"/>
    <s v="CIVIL"/>
    <d v="2023-06-20T00:00:00"/>
    <d v="2023-07-11T11:50:54"/>
    <m/>
    <d v="2023-07-11T00:00:00"/>
    <n v="1148"/>
    <n v="2947"/>
    <s v="61536655"/>
    <s v="61536655"/>
    <m/>
    <m/>
    <n v="22724376"/>
    <m/>
    <m/>
    <m/>
    <s v="SOLFIN"/>
    <s v="SOLFIN"/>
    <s v="CCMS"/>
    <n v="21360261"/>
    <n v="11843.93"/>
    <m/>
    <s v="N"/>
    <n v="57"/>
    <d v="2023-07-11T11:50:59"/>
    <s v="Y"/>
    <s v="Preparation - other"/>
    <s v="Care Remuneration Hourly Rates"/>
    <s v="Profit Cost"/>
    <s v="KS"/>
    <s v="Y"/>
    <n v="6.05"/>
    <n v="1.21"/>
    <x v="7"/>
    <s v="VALIDATED"/>
    <n v="1"/>
    <s v="01.11.80.308.6100.0000"/>
    <n v="6.05"/>
    <s v="11"/>
    <s v="6100"/>
    <n v="23532.18"/>
    <n v="6.05"/>
    <s v="CREDITOR"/>
    <n v="0"/>
    <n v="0"/>
    <n v="0"/>
    <n v="0"/>
    <n v="6.05"/>
  </r>
  <r>
    <n v="61841063"/>
    <s v="N"/>
    <n v="21344120"/>
    <s v="3000015908160002"/>
    <s v="CIVIL"/>
    <d v="2023-06-20T00:00:00"/>
    <d v="2023-07-07T19:03:00"/>
    <m/>
    <d v="2023-07-07T00:00:00"/>
    <n v="1148"/>
    <n v="2947"/>
    <s v="61841063"/>
    <s v="61841063"/>
    <m/>
    <m/>
    <n v="22724410"/>
    <m/>
    <m/>
    <m/>
    <s v="SOLFIN"/>
    <s v="SOLFIN"/>
    <s v="CCMS"/>
    <n v="21344120"/>
    <n v="4685.38"/>
    <m/>
    <s v="N"/>
    <n v="6"/>
    <d v="2023-07-07T19:03:24"/>
    <s v="Y"/>
    <s v="Advocates Meeting"/>
    <s v="Public Law Children"/>
    <s v="Advocacy"/>
    <s v="KS"/>
    <s v="Y"/>
    <n v="140.99"/>
    <n v="28.2"/>
    <x v="9"/>
    <s v="VALIDATED"/>
    <n v="1"/>
    <s v="01.11.80.308.6100.0000"/>
    <n v="140.99"/>
    <s v="11"/>
    <s v="6100"/>
    <n v="23532.18"/>
    <n v="140.99"/>
    <s v="CREDITOR"/>
    <n v="0"/>
    <n v="0"/>
    <n v="0"/>
    <n v="0"/>
    <n v="140.99"/>
  </r>
  <r>
    <n v="61536655"/>
    <s v="N"/>
    <n v="21360261"/>
    <s v="3000015655560003"/>
    <s v="CIVIL"/>
    <d v="2023-06-20T00:00:00"/>
    <d v="2023-07-11T11:50:54"/>
    <m/>
    <d v="2023-07-11T00:00:00"/>
    <n v="1148"/>
    <n v="2947"/>
    <s v="61536655"/>
    <s v="61536655"/>
    <m/>
    <m/>
    <n v="22724376"/>
    <m/>
    <m/>
    <m/>
    <s v="SOLFIN"/>
    <s v="SOLFIN"/>
    <s v="CCMS"/>
    <n v="21360261"/>
    <n v="11843.93"/>
    <m/>
    <s v="N"/>
    <n v="40"/>
    <d v="2023-07-11T11:50:59"/>
    <s v="Y"/>
    <s v="Preparation - other"/>
    <s v="Care Remuneration Hourly Rates"/>
    <s v="Profit Cost"/>
    <s v="KS"/>
    <s v="Y"/>
    <n v="411.63"/>
    <n v="82.33"/>
    <x v="7"/>
    <s v="VALIDATED"/>
    <n v="1"/>
    <s v="01.11.80.308.6100.0000"/>
    <n v="411.63"/>
    <s v="11"/>
    <s v="6100"/>
    <n v="23532.18"/>
    <n v="411.63"/>
    <s v="CREDITOR"/>
    <n v="0"/>
    <n v="0"/>
    <n v="0"/>
    <n v="0"/>
    <n v="411.63"/>
  </r>
  <r>
    <n v="61536655"/>
    <s v="N"/>
    <n v="21360261"/>
    <s v="3000015655560003"/>
    <s v="CIVIL"/>
    <d v="2023-06-20T00:00:00"/>
    <d v="2023-07-11T11:50:54"/>
    <m/>
    <d v="2023-07-11T00:00:00"/>
    <n v="1148"/>
    <n v="2947"/>
    <s v="61536655"/>
    <s v="61536655"/>
    <m/>
    <m/>
    <n v="22724376"/>
    <m/>
    <m/>
    <m/>
    <s v="SOLFIN"/>
    <s v="SOLFIN"/>
    <s v="CCMS"/>
    <n v="21360261"/>
    <n v="11843.93"/>
    <m/>
    <s v="N"/>
    <n v="46"/>
    <d v="2023-07-11T11:50:59"/>
    <s v="Y"/>
    <s v="Preparation - drafting application"/>
    <s v="Care Remuneration Hourly Rates"/>
    <s v="Profit Cost"/>
    <s v="KS"/>
    <s v="Y"/>
    <n v="30.23"/>
    <n v="6.05"/>
    <x v="7"/>
    <s v="VALIDATED"/>
    <n v="1"/>
    <s v="01.11.80.308.6100.0000"/>
    <n v="30.23"/>
    <s v="11"/>
    <s v="6100"/>
    <n v="23532.18"/>
    <n v="30.23"/>
    <s v="CREDITOR"/>
    <n v="0"/>
    <n v="0"/>
    <n v="0"/>
    <n v="0"/>
    <n v="30.23"/>
  </r>
  <r>
    <n v="61841063"/>
    <s v="N"/>
    <n v="21344120"/>
    <s v="3000015908160002"/>
    <s v="CIVIL"/>
    <d v="2023-06-20T00:00:00"/>
    <d v="2023-07-07T19:03:00"/>
    <m/>
    <d v="2023-07-07T00:00:00"/>
    <n v="1148"/>
    <n v="2947"/>
    <s v="61841063"/>
    <s v="61841063"/>
    <m/>
    <m/>
    <n v="22724410"/>
    <m/>
    <m/>
    <m/>
    <s v="SOLFIN"/>
    <s v="SOLFIN"/>
    <s v="CCMS"/>
    <n v="21344120"/>
    <n v="4685.38"/>
    <m/>
    <s v="N"/>
    <n v="3"/>
    <d v="2023-07-07T19:03:24"/>
    <s v="Y"/>
    <s v="Advocates Meeting"/>
    <s v="Public Law Children"/>
    <s v="Advocacy"/>
    <s v="KS"/>
    <s v="Y"/>
    <n v="140.99"/>
    <n v="28.2"/>
    <x v="9"/>
    <s v="VALIDATED"/>
    <n v="1"/>
    <s v="01.11.80.308.6100.0000"/>
    <n v="140.99"/>
    <s v="11"/>
    <s v="6100"/>
    <n v="23532.18"/>
    <n v="140.99"/>
    <s v="CREDITOR"/>
    <n v="0"/>
    <n v="0"/>
    <n v="0"/>
    <n v="0"/>
    <n v="140.99"/>
  </r>
  <r>
    <n v="61536655"/>
    <s v="N"/>
    <n v="21360261"/>
    <s v="3000015655560003"/>
    <s v="CIVIL"/>
    <d v="2023-06-20T00:00:00"/>
    <d v="2023-07-11T11:50:54"/>
    <m/>
    <d v="2023-07-11T00:00:00"/>
    <n v="1148"/>
    <n v="2947"/>
    <s v="61536655"/>
    <s v="61536655"/>
    <m/>
    <m/>
    <n v="22724376"/>
    <m/>
    <m/>
    <m/>
    <s v="SOLFIN"/>
    <s v="SOLFIN"/>
    <s v="CCMS"/>
    <n v="21360261"/>
    <n v="11843.93"/>
    <m/>
    <s v="N"/>
    <n v="21"/>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45"/>
    <d v="2023-07-11T11:50:59"/>
    <s v="Y"/>
    <s v="Routine Telephone Call"/>
    <s v="Care Remuneration Hourly Rates"/>
    <s v="Profit Cost"/>
    <s v="KS"/>
    <s v="Y"/>
    <n v="59.41"/>
    <n v="11.88"/>
    <x v="7"/>
    <s v="VALIDATED"/>
    <n v="1"/>
    <s v="01.11.80.308.6100.0000"/>
    <n v="59.41"/>
    <s v="11"/>
    <s v="6100"/>
    <n v="23532.18"/>
    <n v="59.41"/>
    <s v="CREDITOR"/>
    <n v="0"/>
    <n v="0"/>
    <n v="0"/>
    <n v="0"/>
    <n v="59.41"/>
  </r>
  <r>
    <n v="61536655"/>
    <s v="N"/>
    <n v="21360261"/>
    <s v="3000015655560003"/>
    <s v="CIVIL"/>
    <d v="2023-06-20T00:00:00"/>
    <d v="2023-07-11T11:50:54"/>
    <m/>
    <d v="2023-07-11T00:00:00"/>
    <n v="1148"/>
    <n v="2947"/>
    <s v="61536655"/>
    <s v="61536655"/>
    <m/>
    <m/>
    <n v="22724376"/>
    <m/>
    <m/>
    <m/>
    <s v="SOLFIN"/>
    <s v="SOLFIN"/>
    <s v="CCMS"/>
    <n v="21360261"/>
    <n v="11843.93"/>
    <m/>
    <s v="N"/>
    <n v="56"/>
    <d v="2023-07-11T11:50:59"/>
    <s v="Y"/>
    <s v="Preparation - other"/>
    <s v="Care Remuneration Hourly Rates"/>
    <s v="Profit Cost"/>
    <s v="KS"/>
    <s v="Y"/>
    <n v="49.68"/>
    <n v="9.94"/>
    <x v="7"/>
    <s v="VALIDATED"/>
    <n v="1"/>
    <s v="01.11.80.308.6100.0000"/>
    <n v="49.68"/>
    <s v="11"/>
    <s v="6100"/>
    <n v="23532.18"/>
    <n v="49.68"/>
    <s v="CREDITOR"/>
    <n v="0"/>
    <n v="0"/>
    <n v="0"/>
    <n v="0"/>
    <n v="49.68"/>
  </r>
  <r>
    <n v="61687723"/>
    <s v="N"/>
    <n v="21369665"/>
    <s v="3000015782260002"/>
    <s v="CIVIL"/>
    <d v="2023-06-30T00:00:00"/>
    <d v="2023-07-13T19:21:05"/>
    <m/>
    <d v="2023-07-13T00:00:00"/>
    <n v="1148"/>
    <n v="2947"/>
    <s v="61687723"/>
    <s v="61687723"/>
    <m/>
    <m/>
    <n v="22801010"/>
    <m/>
    <m/>
    <m/>
    <s v="SOLFIN"/>
    <s v="SOLFIN"/>
    <s v="CCMS"/>
    <n v="21369665"/>
    <n v="3872.61"/>
    <m/>
    <s v="N"/>
    <n v="3"/>
    <d v="2023-07-13T19:21:10"/>
    <s v="Y"/>
    <s v="Advocates Meeting"/>
    <s v="Public Law Children"/>
    <s v="Advocacy"/>
    <s v="KS"/>
    <s v="Y"/>
    <n v="140.99"/>
    <n v="28.2"/>
    <x v="11"/>
    <s v="VALIDATED"/>
    <n v="1"/>
    <s v="01.11.80.308.6100.0000"/>
    <n v="140.99"/>
    <s v="11"/>
    <s v="6100"/>
    <n v="23532.18"/>
    <n v="140.99"/>
    <s v="CREDITOR"/>
    <n v="0"/>
    <n v="0"/>
    <n v="0"/>
    <n v="0"/>
    <n v="140.99"/>
  </r>
  <r>
    <n v="61536655"/>
    <s v="N"/>
    <n v="21360261"/>
    <s v="3000015655560003"/>
    <s v="CIVIL"/>
    <d v="2023-06-20T00:00:00"/>
    <d v="2023-07-11T11:50:54"/>
    <m/>
    <d v="2023-07-11T00:00:00"/>
    <n v="1148"/>
    <n v="2947"/>
    <s v="61536655"/>
    <s v="61536655"/>
    <m/>
    <m/>
    <n v="22724376"/>
    <m/>
    <m/>
    <m/>
    <s v="SOLFIN"/>
    <s v="SOLFIN"/>
    <s v="CCMS"/>
    <n v="21360261"/>
    <n v="11843.93"/>
    <m/>
    <s v="N"/>
    <n v="51"/>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49"/>
    <d v="2023-07-11T11:50:59"/>
    <s v="Y"/>
    <s v="Preparation - other"/>
    <s v="Care Remuneration Hourly Rates"/>
    <s v="Profit Cost"/>
    <s v="KS"/>
    <s v="Y"/>
    <n v="35.49"/>
    <n v="7.1"/>
    <x v="7"/>
    <s v="VALIDATED"/>
    <n v="1"/>
    <s v="01.11.80.308.6100.0000"/>
    <n v="35.49"/>
    <s v="11"/>
    <s v="6100"/>
    <n v="23532.18"/>
    <n v="35.49"/>
    <s v="CREDITOR"/>
    <n v="0"/>
    <n v="0"/>
    <n v="0"/>
    <n v="0"/>
    <n v="35.49"/>
  </r>
  <r>
    <n v="61536655"/>
    <s v="N"/>
    <n v="21360261"/>
    <s v="3000015655560003"/>
    <s v="CIVIL"/>
    <d v="2023-06-20T00:00:00"/>
    <d v="2023-07-11T11:50:54"/>
    <m/>
    <d v="2023-07-11T00:00:00"/>
    <n v="1148"/>
    <n v="2947"/>
    <s v="61536655"/>
    <s v="61536655"/>
    <m/>
    <m/>
    <n v="22724376"/>
    <m/>
    <m/>
    <m/>
    <s v="SOLFIN"/>
    <s v="SOLFIN"/>
    <s v="CCMS"/>
    <n v="21360261"/>
    <n v="11843.93"/>
    <m/>
    <s v="N"/>
    <n v="59"/>
    <d v="2023-07-11T11:50:59"/>
    <s v="Y"/>
    <s v="Preparation - other"/>
    <s v="Care Remuneration Hourly Rates"/>
    <s v="Profit Cost"/>
    <s v="KS"/>
    <s v="Y"/>
    <n v="7.1"/>
    <n v="1.42"/>
    <x v="7"/>
    <s v="VALIDATED"/>
    <n v="1"/>
    <s v="01.11.80.308.6100.0000"/>
    <n v="7.1"/>
    <s v="11"/>
    <s v="6100"/>
    <n v="23532.18"/>
    <n v="7.1"/>
    <s v="CREDITOR"/>
    <n v="0"/>
    <n v="0"/>
    <n v="0"/>
    <n v="0"/>
    <n v="7.1"/>
  </r>
  <r>
    <n v="61536655"/>
    <s v="N"/>
    <n v="21360261"/>
    <s v="3000015655560003"/>
    <s v="CIVIL"/>
    <d v="2023-06-20T00:00:00"/>
    <d v="2023-07-11T11:50:54"/>
    <m/>
    <d v="2023-07-11T00:00:00"/>
    <n v="1148"/>
    <n v="2947"/>
    <s v="61536655"/>
    <s v="61536655"/>
    <m/>
    <m/>
    <n v="22724376"/>
    <m/>
    <m/>
    <m/>
    <s v="SOLFIN"/>
    <s v="SOLFIN"/>
    <s v="CCMS"/>
    <n v="21360261"/>
    <n v="11843.93"/>
    <m/>
    <s v="N"/>
    <n v="67"/>
    <d v="2023-07-11T11:50:59"/>
    <s v="Y"/>
    <s v="Preparation - drafting attendance n"/>
    <s v="Care Remuneration Hourly Rates"/>
    <s v="Profit Cost"/>
    <s v="KS"/>
    <s v="Y"/>
    <n v="12.09"/>
    <n v="2.42"/>
    <x v="7"/>
    <s v="VALIDATED"/>
    <n v="1"/>
    <s v="01.11.80.308.6100.0000"/>
    <n v="12.09"/>
    <s v="11"/>
    <s v="6100"/>
    <n v="23532.18"/>
    <n v="12.09"/>
    <s v="CREDITOR"/>
    <n v="0"/>
    <n v="0"/>
    <n v="0"/>
    <n v="0"/>
    <n v="12.09"/>
  </r>
  <r>
    <n v="61536655"/>
    <s v="N"/>
    <n v="21360261"/>
    <s v="3000015655560003"/>
    <s v="CIVIL"/>
    <d v="2023-06-20T00:00:00"/>
    <d v="2023-07-11T11:50:54"/>
    <m/>
    <d v="2023-07-11T00:00:00"/>
    <n v="1148"/>
    <n v="2947"/>
    <s v="61536655"/>
    <s v="61536655"/>
    <m/>
    <m/>
    <n v="22724376"/>
    <m/>
    <m/>
    <m/>
    <s v="SOLFIN"/>
    <s v="SOLFIN"/>
    <s v="CCMS"/>
    <n v="21360261"/>
    <n v="11843.93"/>
    <m/>
    <s v="N"/>
    <n v="83"/>
    <d v="2023-07-11T11:50:59"/>
    <s v="Y"/>
    <s v="Preparation - drafting notice(s)"/>
    <s v="Care Remuneration Hourly Rates"/>
    <s v="Profit Cost"/>
    <s v="KS"/>
    <s v="Y"/>
    <n v="6.05"/>
    <n v="1.21"/>
    <x v="7"/>
    <s v="VALIDATED"/>
    <n v="1"/>
    <s v="01.11.80.308.6100.0000"/>
    <n v="6.05"/>
    <s v="11"/>
    <s v="6100"/>
    <n v="23532.18"/>
    <n v="6.05"/>
    <s v="CREDITOR"/>
    <n v="0"/>
    <n v="0"/>
    <n v="0"/>
    <n v="0"/>
    <n v="6.05"/>
  </r>
  <r>
    <n v="61107388"/>
    <s v="N"/>
    <n v="21328141"/>
    <s v="3000015298310006"/>
    <s v="CIVIL"/>
    <d v="2023-06-21T00:00:00"/>
    <d v="2023-07-04T19:00:44"/>
    <m/>
    <d v="2023-07-04T00:00:00"/>
    <n v="1148"/>
    <n v="2947"/>
    <s v="61107388"/>
    <s v="61107388"/>
    <m/>
    <m/>
    <n v="22737020"/>
    <m/>
    <m/>
    <m/>
    <s v="SOLFIN"/>
    <s v="SOLFIN"/>
    <s v="CCMS"/>
    <n v="21328141"/>
    <n v="29945.48"/>
    <m/>
    <s v="N"/>
    <n v="2"/>
    <d v="2023-07-04T19:01:06"/>
    <s v="Y"/>
    <s v="Interim Hearing Court Bundle/Advoca"/>
    <s v="Public Law Children"/>
    <s v="Advocacy"/>
    <s v="Matthew Body"/>
    <s v="Y"/>
    <n v="59.4"/>
    <n v="11.88"/>
    <x v="1"/>
    <s v="VALIDATED"/>
    <n v="1"/>
    <s v="01.11.80.308.6100.0000"/>
    <n v="59.4"/>
    <s v="11"/>
    <s v="6100"/>
    <n v="23532.18"/>
    <n v="59.4"/>
    <s v="CREDITOR"/>
    <n v="0"/>
    <n v="0"/>
    <n v="0"/>
    <n v="0"/>
    <n v="59.4"/>
  </r>
  <r>
    <n v="61536655"/>
    <s v="N"/>
    <n v="21360261"/>
    <s v="3000015655560003"/>
    <s v="CIVIL"/>
    <d v="2023-06-20T00:00:00"/>
    <d v="2023-07-11T11:50:54"/>
    <m/>
    <d v="2023-07-11T00:00:00"/>
    <n v="1148"/>
    <n v="2947"/>
    <s v="61536655"/>
    <s v="61536655"/>
    <m/>
    <m/>
    <n v="22724376"/>
    <m/>
    <m/>
    <m/>
    <s v="SOLFIN"/>
    <s v="SOLFIN"/>
    <s v="CCMS"/>
    <n v="21360261"/>
    <n v="11843.93"/>
    <m/>
    <s v="N"/>
    <n v="61"/>
    <d v="2023-07-11T11:50:59"/>
    <s v="Y"/>
    <s v="Preparation - drafting statement"/>
    <s v="Care Remuneration Hourly Rates"/>
    <s v="Profit Cost"/>
    <s v="KS"/>
    <s v="Y"/>
    <n v="14.19"/>
    <n v="2.84"/>
    <x v="7"/>
    <s v="VALIDATED"/>
    <n v="1"/>
    <s v="01.11.80.308.6100.0000"/>
    <n v="14.19"/>
    <s v="11"/>
    <s v="6100"/>
    <n v="23532.18"/>
    <n v="14.19"/>
    <s v="CREDITOR"/>
    <n v="0"/>
    <n v="0"/>
    <n v="0"/>
    <n v="0"/>
    <n v="14.19"/>
  </r>
  <r>
    <n v="61999791"/>
    <s v="N"/>
    <n v="21338145"/>
    <s v="3000016043340013"/>
    <s v="CIVIL"/>
    <d v="2023-06-27T00:00:00"/>
    <d v="2023-07-06T19:21:01"/>
    <m/>
    <d v="2023-07-06T00:00:00"/>
    <n v="1148"/>
    <n v="2947"/>
    <s v="61999791"/>
    <s v="61999791"/>
    <m/>
    <m/>
    <n v="22772620"/>
    <m/>
    <m/>
    <m/>
    <s v="SOLPOA"/>
    <s v="SOLPOA"/>
    <s v="CCMS"/>
    <n v="21338145"/>
    <n v="1434.4"/>
    <m/>
    <s v="N"/>
    <n v="1"/>
    <d v="2023-07-06T19:21:12"/>
    <s v="N"/>
    <s v="Expert Cost"/>
    <s v="Expert Cost"/>
    <s v="Expert Disbursement"/>
    <s v="Matthew Body"/>
    <s v="N"/>
    <n v="1195.33"/>
    <n v="239.07"/>
    <x v="4"/>
    <s v="VALIDATED"/>
    <n v="1"/>
    <s v="01.11.80.308.2012.0000"/>
    <n v="1195.33"/>
    <s v="11"/>
    <s v="2012"/>
    <n v="23532.18"/>
    <n v="1195.33"/>
    <s v="CREDITOR"/>
    <n v="1195.33"/>
    <n v="0"/>
    <n v="0"/>
    <n v="0"/>
    <n v="0"/>
  </r>
  <r>
    <n v="61536655"/>
    <s v="N"/>
    <n v="21360261"/>
    <s v="3000015655560003"/>
    <s v="CIVIL"/>
    <d v="2023-06-20T00:00:00"/>
    <d v="2023-07-11T11:50:54"/>
    <m/>
    <d v="2023-07-11T00:00:00"/>
    <n v="1148"/>
    <n v="2947"/>
    <s v="61536655"/>
    <s v="61536655"/>
    <m/>
    <m/>
    <n v="22724376"/>
    <m/>
    <m/>
    <m/>
    <s v="SOLFIN"/>
    <s v="SOLFIN"/>
    <s v="CCMS"/>
    <n v="21360261"/>
    <n v="11843.93"/>
    <m/>
    <s v="N"/>
    <n v="85"/>
    <d v="2023-07-11T11:50:59"/>
    <s v="Y"/>
    <s v="Preparation - drafting attendance n"/>
    <s v="Care Remuneration Hourly Rates"/>
    <s v="Profit Cost"/>
    <s v="KS"/>
    <s v="Y"/>
    <n v="12.09"/>
    <n v="2.42"/>
    <x v="7"/>
    <s v="VALIDATED"/>
    <n v="1"/>
    <s v="01.11.80.308.6100.0000"/>
    <n v="12.09"/>
    <s v="11"/>
    <s v="6100"/>
    <n v="23532.18"/>
    <n v="12.09"/>
    <s v="CREDITOR"/>
    <n v="0"/>
    <n v="0"/>
    <n v="0"/>
    <n v="0"/>
    <n v="12.09"/>
  </r>
  <r>
    <n v="61536655"/>
    <s v="N"/>
    <n v="21360261"/>
    <s v="3000015655560003"/>
    <s v="CIVIL"/>
    <d v="2023-06-20T00:00:00"/>
    <d v="2023-07-11T11:50:54"/>
    <m/>
    <d v="2023-07-11T00:00:00"/>
    <n v="1148"/>
    <n v="2947"/>
    <s v="61536655"/>
    <s v="61536655"/>
    <m/>
    <m/>
    <n v="22724376"/>
    <m/>
    <m/>
    <m/>
    <s v="SOLFIN"/>
    <s v="SOLFIN"/>
    <s v="CCMS"/>
    <n v="21360261"/>
    <n v="11843.93"/>
    <m/>
    <s v="N"/>
    <n v="102"/>
    <d v="2023-07-11T11:50:59"/>
    <s v="Y"/>
    <s v="Hearing Unit 1.01 - 2.30 Hours"/>
    <s v="Public Law Children"/>
    <s v="Advocacy"/>
    <s v="KS"/>
    <s v="Y"/>
    <n v="238.46"/>
    <n v="47.69"/>
    <x v="7"/>
    <s v="VALIDATED"/>
    <n v="1"/>
    <s v="01.11.80.308.6100.0000"/>
    <n v="238.46"/>
    <s v="11"/>
    <s v="6100"/>
    <n v="23532.18"/>
    <n v="238.46"/>
    <s v="CREDITOR"/>
    <n v="0"/>
    <n v="0"/>
    <n v="0"/>
    <n v="0"/>
    <n v="238.46"/>
  </r>
  <r>
    <n v="61536655"/>
    <s v="N"/>
    <n v="21360261"/>
    <s v="3000015655560003"/>
    <s v="CIVIL"/>
    <d v="2023-06-20T00:00:00"/>
    <d v="2023-07-11T11:50:54"/>
    <m/>
    <d v="2023-07-11T00:00:00"/>
    <n v="1148"/>
    <n v="2947"/>
    <s v="61536655"/>
    <s v="61536655"/>
    <m/>
    <m/>
    <n v="22724376"/>
    <m/>
    <m/>
    <m/>
    <s v="SOLFIN"/>
    <s v="SOLFIN"/>
    <s v="CCMS"/>
    <n v="21360261"/>
    <n v="11843.93"/>
    <m/>
    <s v="N"/>
    <n v="16"/>
    <d v="2023-07-11T11:50:59"/>
    <s v="Y"/>
    <s v="Preparation - other"/>
    <s v="Care Remuneration Hourly Rates"/>
    <s v="Profit Cost"/>
    <s v="KS"/>
    <s v="Y"/>
    <n v="177.43"/>
    <n v="35.49"/>
    <x v="7"/>
    <s v="VALIDATED"/>
    <n v="1"/>
    <s v="01.11.80.308.6100.0000"/>
    <n v="177.43"/>
    <s v="11"/>
    <s v="6100"/>
    <n v="23532.18"/>
    <n v="177.43"/>
    <s v="CREDITOR"/>
    <n v="0"/>
    <n v="0"/>
    <n v="0"/>
    <n v="0"/>
    <n v="177.43"/>
  </r>
  <r>
    <n v="61536655"/>
    <s v="N"/>
    <n v="21360261"/>
    <s v="3000015655560003"/>
    <s v="CIVIL"/>
    <d v="2023-06-20T00:00:00"/>
    <d v="2023-07-11T11:50:54"/>
    <m/>
    <d v="2023-07-11T00:00:00"/>
    <n v="1148"/>
    <n v="2947"/>
    <s v="61536655"/>
    <s v="61536655"/>
    <m/>
    <m/>
    <n v="22724376"/>
    <m/>
    <m/>
    <m/>
    <s v="SOLFIN"/>
    <s v="SOLFIN"/>
    <s v="CCMS"/>
    <n v="21360261"/>
    <n v="11843.93"/>
    <m/>
    <s v="N"/>
    <n v="86"/>
    <d v="2023-07-11T11:50:59"/>
    <s v="Y"/>
    <s v="Preparation - other"/>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14"/>
    <d v="2023-07-11T11:50:59"/>
    <s v="Y"/>
    <s v="Preparation - drafting attendance n"/>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106"/>
    <d v="2023-07-11T11:50:59"/>
    <s v="Y"/>
    <s v="Advocates Meeting"/>
    <s v="Public Law Children"/>
    <s v="Advocacy"/>
    <s v="KS"/>
    <s v="Y"/>
    <n v="140.99"/>
    <n v="28.2"/>
    <x v="7"/>
    <s v="VALIDATED"/>
    <n v="1"/>
    <s v="01.11.80.308.6100.0000"/>
    <n v="140.99"/>
    <s v="11"/>
    <s v="6100"/>
    <n v="23532.18"/>
    <n v="140.99"/>
    <s v="CREDITOR"/>
    <n v="0"/>
    <n v="0"/>
    <n v="0"/>
    <n v="0"/>
    <n v="140.99"/>
  </r>
  <r>
    <n v="61536655"/>
    <s v="N"/>
    <n v="21360261"/>
    <s v="3000015655560003"/>
    <s v="CIVIL"/>
    <d v="2023-06-20T00:00:00"/>
    <d v="2023-07-11T11:50:54"/>
    <m/>
    <d v="2023-07-11T00:00:00"/>
    <n v="1148"/>
    <n v="2947"/>
    <s v="61536655"/>
    <s v="61536655"/>
    <m/>
    <m/>
    <n v="22724376"/>
    <m/>
    <m/>
    <m/>
    <s v="SOLFIN"/>
    <s v="SOLFIN"/>
    <s v="CCMS"/>
    <n v="21360261"/>
    <n v="11843.93"/>
    <m/>
    <s v="N"/>
    <n v="50"/>
    <d v="2023-07-11T11:50:59"/>
    <s v="Y"/>
    <s v="Preparation - other"/>
    <s v="Care Remuneration Hourly Rates"/>
    <s v="Profit Cost"/>
    <s v="KS"/>
    <s v="Y"/>
    <n v="14.19"/>
    <n v="2.84"/>
    <x v="7"/>
    <s v="VALIDATED"/>
    <n v="1"/>
    <s v="01.11.80.308.6100.0000"/>
    <n v="14.19"/>
    <s v="11"/>
    <s v="6100"/>
    <n v="23532.18"/>
    <n v="14.19"/>
    <s v="CREDITOR"/>
    <n v="0"/>
    <n v="0"/>
    <n v="0"/>
    <n v="0"/>
    <n v="14.19"/>
  </r>
  <r>
    <n v="61536655"/>
    <s v="N"/>
    <n v="21360261"/>
    <s v="3000015655560003"/>
    <s v="CIVIL"/>
    <d v="2023-06-20T00:00:00"/>
    <d v="2023-07-11T11:50:54"/>
    <m/>
    <d v="2023-07-11T00:00:00"/>
    <n v="1148"/>
    <n v="2947"/>
    <s v="61536655"/>
    <s v="61536655"/>
    <m/>
    <m/>
    <n v="22724376"/>
    <m/>
    <m/>
    <m/>
    <s v="SOLFIN"/>
    <s v="SOLFIN"/>
    <s v="CCMS"/>
    <n v="21360261"/>
    <n v="11843.93"/>
    <m/>
    <s v="N"/>
    <n v="62"/>
    <d v="2023-07-11T11:50:59"/>
    <s v="Y"/>
    <s v="Preparation - drafting notice(s)"/>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63"/>
    <d v="2023-07-11T11:50:59"/>
    <s v="Y"/>
    <s v="Preparation - other"/>
    <s v="Care Remuneration Hourly Rates"/>
    <s v="Profit Cost"/>
    <s v="KS"/>
    <s v="Y"/>
    <n v="6.05"/>
    <n v="1.21"/>
    <x v="7"/>
    <s v="VALIDATED"/>
    <n v="1"/>
    <s v="01.11.80.308.6100.0000"/>
    <n v="6.05"/>
    <s v="11"/>
    <s v="6100"/>
    <n v="23532.18"/>
    <n v="6.05"/>
    <s v="CREDITOR"/>
    <n v="0"/>
    <n v="0"/>
    <n v="0"/>
    <n v="0"/>
    <n v="6.05"/>
  </r>
  <r>
    <n v="61536655"/>
    <s v="N"/>
    <n v="21360261"/>
    <s v="3000015655560003"/>
    <s v="CIVIL"/>
    <d v="2023-06-20T00:00:00"/>
    <d v="2023-07-11T11:50:54"/>
    <m/>
    <d v="2023-07-11T00:00:00"/>
    <n v="1148"/>
    <n v="2947"/>
    <s v="61536655"/>
    <s v="61536655"/>
    <m/>
    <m/>
    <n v="22724376"/>
    <m/>
    <m/>
    <m/>
    <s v="SOLFIN"/>
    <s v="SOLFIN"/>
    <s v="CCMS"/>
    <n v="21360261"/>
    <n v="11843.93"/>
    <m/>
    <s v="N"/>
    <n v="71"/>
    <d v="2023-07-11T11:50:59"/>
    <s v="Y"/>
    <s v="Preparation - other"/>
    <s v="Care Remuneration Hourly Rates"/>
    <s v="Profit Cost"/>
    <s v="KS"/>
    <s v="Y"/>
    <n v="14.19"/>
    <n v="2.84"/>
    <x v="7"/>
    <s v="VALIDATED"/>
    <n v="1"/>
    <s v="01.11.80.308.6100.0000"/>
    <n v="14.19"/>
    <s v="11"/>
    <s v="6100"/>
    <n v="23532.18"/>
    <n v="14.19"/>
    <s v="CREDITOR"/>
    <n v="0"/>
    <n v="0"/>
    <n v="0"/>
    <n v="0"/>
    <n v="14.19"/>
  </r>
  <r>
    <n v="60874650"/>
    <s v="N"/>
    <n v="21408656"/>
    <s v="3000015099230014"/>
    <s v="CIVIL"/>
    <d v="2023-06-28T00:00:00"/>
    <d v="2023-07-21T10:00:02"/>
    <m/>
    <d v="2023-07-21T00:00:00"/>
    <n v="1155"/>
    <n v="3003"/>
    <s v="60874650"/>
    <s v="60874650"/>
    <m/>
    <m/>
    <n v="22784234"/>
    <m/>
    <m/>
    <m/>
    <s v="SOLINT"/>
    <s v="SOLINT"/>
    <s v="CCMS"/>
    <n v="21408656"/>
    <n v="7464.26"/>
    <m/>
    <s v="N"/>
    <n v="11"/>
    <d v="2023-07-21T10:00:07"/>
    <s v="Y"/>
    <s v="Hearing Unit 1.01 - 2.30 Hours"/>
    <s v="Public Law Children"/>
    <s v="Advocacy"/>
    <s v="C S Greaves"/>
    <s v="Y"/>
    <n v="238.46"/>
    <n v="47.69"/>
    <x v="12"/>
    <s v="VALIDATED"/>
    <n v="1"/>
    <s v="01.11.80.308.6100.0000"/>
    <n v="238.46"/>
    <s v="11"/>
    <s v="6100"/>
    <n v="8583.48"/>
    <n v="238.46"/>
    <s v="CREDITOR"/>
    <n v="0"/>
    <n v="0"/>
    <n v="0"/>
    <n v="0"/>
    <n v="238.46"/>
  </r>
  <r>
    <n v="62412708"/>
    <s v="N"/>
    <n v="21323905"/>
    <s v="3000016357700001"/>
    <s v="CIVIL"/>
    <d v="2023-06-30T00:00:00"/>
    <d v="2023-07-03T19:05:56"/>
    <m/>
    <d v="2023-07-03T00:00:00"/>
    <n v="1155"/>
    <n v="3003"/>
    <s v="62412708"/>
    <s v="62412708"/>
    <m/>
    <m/>
    <n v="22795156"/>
    <m/>
    <m/>
    <m/>
    <s v="SOLPOA"/>
    <s v="SOLPOA"/>
    <s v="CCMS"/>
    <n v="21323905"/>
    <n v="232"/>
    <m/>
    <s v="N"/>
    <n v="1"/>
    <d v="2023-07-03T19:05:59"/>
    <s v="N"/>
    <s v="Non Expert Disbursement - Private L"/>
    <s v="Non Expert Disbursement - Priv"/>
    <s v="Non Expert Disbursement"/>
    <s v="HMCTS"/>
    <s v="N"/>
    <n v="232"/>
    <n v="0"/>
    <x v="3"/>
    <s v="VALIDATED"/>
    <n v="1"/>
    <s v="01.11.80.307.2012.0000"/>
    <n v="232"/>
    <s v="11"/>
    <s v="2012"/>
    <n v="8583.48"/>
    <n v="232"/>
    <s v="CREDITOR"/>
    <n v="232"/>
    <n v="0"/>
    <n v="0"/>
    <n v="0"/>
    <n v="0"/>
  </r>
  <r>
    <n v="60874650"/>
    <s v="N"/>
    <n v="21408656"/>
    <s v="3000015099230014"/>
    <s v="CIVIL"/>
    <d v="2023-06-28T00:00:00"/>
    <d v="2023-07-21T10:00:02"/>
    <m/>
    <d v="2023-07-21T00:00:00"/>
    <n v="1155"/>
    <n v="3003"/>
    <s v="60874650"/>
    <s v="60874650"/>
    <m/>
    <m/>
    <n v="22784234"/>
    <m/>
    <m/>
    <m/>
    <s v="SOLINT"/>
    <s v="SOLINT"/>
    <s v="CCMS"/>
    <n v="21408656"/>
    <n v="7464.26"/>
    <m/>
    <s v="N"/>
    <n v="5"/>
    <d v="2023-07-21T10:00:07"/>
    <s v="Y"/>
    <s v="Toxicologist"/>
    <s v="Public Law Children"/>
    <s v="Expert Disbursement"/>
    <s v="C S Greaves"/>
    <s v="Y"/>
    <n v="248.25"/>
    <n v="49.65"/>
    <x v="12"/>
    <s v="VALIDATED"/>
    <n v="1"/>
    <s v="01.11.80.308.6300.0000"/>
    <n v="248.25"/>
    <s v="11"/>
    <s v="6300"/>
    <n v="8583.48"/>
    <n v="248.25"/>
    <s v="CREDITOR"/>
    <n v="0"/>
    <n v="0"/>
    <n v="0"/>
    <n v="0"/>
    <n v="248.25"/>
  </r>
  <r>
    <n v="61503616"/>
    <s v="N"/>
    <n v="21403515"/>
    <s v="3000015626620002"/>
    <s v="CIVIL"/>
    <d v="2023-06-30T00:00:00"/>
    <d v="2023-07-20T19:22:20"/>
    <m/>
    <d v="2023-07-20T00:00:00"/>
    <n v="1155"/>
    <n v="3003"/>
    <s v="61503616"/>
    <s v="61503616"/>
    <m/>
    <m/>
    <n v="22796092"/>
    <m/>
    <m/>
    <m/>
    <s v="SOLFIN"/>
    <s v="SOLFIN"/>
    <s v="CCMS"/>
    <n v="21403515"/>
    <n v="5280.13"/>
    <m/>
    <s v="N"/>
    <n v="5"/>
    <d v="2023-07-20T19:22:42"/>
    <s v="Y"/>
    <s v="Hearing Unit 2.31 - 5.00 Hours"/>
    <s v="Public Law Children"/>
    <s v="Advocacy"/>
    <s v="C S Greaves"/>
    <s v="Y"/>
    <n v="476.92"/>
    <n v="95.38"/>
    <x v="13"/>
    <s v="VALIDATED"/>
    <n v="1"/>
    <s v="01.11.80.308.6100.0000"/>
    <n v="476.92"/>
    <s v="11"/>
    <s v="6100"/>
    <n v="8583.48"/>
    <n v="476.92"/>
    <s v="CREDITOR"/>
    <n v="0"/>
    <n v="0"/>
    <n v="0"/>
    <n v="0"/>
    <n v="476.92"/>
  </r>
  <r>
    <n v="61503616"/>
    <s v="N"/>
    <n v="21403515"/>
    <s v="3000015626620002"/>
    <s v="CIVIL"/>
    <d v="2023-06-30T00:00:00"/>
    <d v="2023-07-20T19:22:20"/>
    <m/>
    <d v="2023-07-20T00:00:00"/>
    <n v="1155"/>
    <n v="3003"/>
    <s v="61503616"/>
    <s v="61503616"/>
    <m/>
    <m/>
    <n v="22796092"/>
    <m/>
    <m/>
    <m/>
    <s v="SOLFIN"/>
    <s v="SOLFIN"/>
    <s v="CCMS"/>
    <n v="21403515"/>
    <n v="5280.13"/>
    <m/>
    <s v="N"/>
    <n v="2"/>
    <d v="2023-07-20T19:22:42"/>
    <s v="Y"/>
    <s v="Toxicologist"/>
    <s v="Public Law Children"/>
    <s v="Expert Disbursement"/>
    <s v="C S Greaves"/>
    <s v="Y"/>
    <n v="197.5"/>
    <n v="39.5"/>
    <x v="13"/>
    <s v="VALIDATED"/>
    <n v="1"/>
    <s v="01.11.80.308.6300.0000"/>
    <n v="197.5"/>
    <s v="11"/>
    <s v="6300"/>
    <n v="8583.48"/>
    <n v="197.5"/>
    <s v="CREDITOR"/>
    <n v="0"/>
    <n v="0"/>
    <n v="0"/>
    <n v="0"/>
    <n v="197.5"/>
  </r>
  <r>
    <n v="60874650"/>
    <s v="N"/>
    <n v="21408656"/>
    <s v="3000015099230014"/>
    <s v="CIVIL"/>
    <d v="2023-06-28T00:00:00"/>
    <d v="2023-07-21T10:00:02"/>
    <m/>
    <d v="2023-07-21T00:00:00"/>
    <n v="1155"/>
    <n v="3003"/>
    <s v="60874650"/>
    <s v="60874650"/>
    <m/>
    <m/>
    <n v="22784234"/>
    <m/>
    <m/>
    <m/>
    <s v="SOLINT"/>
    <s v="SOLINT"/>
    <s v="CCMS"/>
    <n v="21408656"/>
    <n v="7464.26"/>
    <m/>
    <s v="N"/>
    <n v="7"/>
    <d v="2023-07-21T10:00:07"/>
    <s v="Y"/>
    <s v="Toxicologist"/>
    <s v="Public Law Children"/>
    <s v="Expert Disbursement"/>
    <s v="C S Greaves"/>
    <s v="Y"/>
    <n v="339"/>
    <n v="67.8"/>
    <x v="12"/>
    <s v="VALIDATED"/>
    <n v="1"/>
    <s v="01.11.80.308.6300.0000"/>
    <n v="339"/>
    <s v="11"/>
    <s v="6300"/>
    <n v="8583.48"/>
    <n v="339"/>
    <s v="CREDITOR"/>
    <n v="0"/>
    <n v="0"/>
    <n v="0"/>
    <n v="0"/>
    <n v="339"/>
  </r>
  <r>
    <n v="60874650"/>
    <s v="N"/>
    <n v="21408656"/>
    <s v="3000015099230014"/>
    <s v="CIVIL"/>
    <d v="2023-06-28T00:00:00"/>
    <d v="2023-07-21T10:00:02"/>
    <m/>
    <d v="2023-07-21T00:00:00"/>
    <n v="1155"/>
    <n v="3003"/>
    <s v="60874650"/>
    <s v="60874650"/>
    <m/>
    <m/>
    <n v="22784234"/>
    <m/>
    <m/>
    <m/>
    <s v="SOLINT"/>
    <s v="SOLINT"/>
    <s v="CCMS"/>
    <n v="21408656"/>
    <n v="7464.26"/>
    <m/>
    <s v="N"/>
    <n v="12"/>
    <d v="2023-07-21T10:00:07"/>
    <s v="Y"/>
    <s v="Advocates Meeting"/>
    <s v="Public Law Children"/>
    <s v="Advocacy"/>
    <s v="C S Greaves"/>
    <s v="Y"/>
    <n v="140.99"/>
    <n v="28.2"/>
    <x v="12"/>
    <s v="VALIDATED"/>
    <n v="1"/>
    <s v="01.11.80.308.6100.0000"/>
    <n v="140.99"/>
    <s v="11"/>
    <s v="6100"/>
    <n v="8583.48"/>
    <n v="140.99"/>
    <s v="CREDITOR"/>
    <n v="0"/>
    <n v="0"/>
    <n v="0"/>
    <n v="0"/>
    <n v="140.99"/>
  </r>
  <r>
    <n v="60874650"/>
    <s v="N"/>
    <n v="21408656"/>
    <s v="3000015099230014"/>
    <s v="CIVIL"/>
    <d v="2023-06-28T00:00:00"/>
    <d v="2023-07-21T10:00:02"/>
    <m/>
    <d v="2023-07-21T00:00:00"/>
    <n v="1155"/>
    <n v="3003"/>
    <s v="60874650"/>
    <s v="60874650"/>
    <m/>
    <m/>
    <n v="22784234"/>
    <m/>
    <m/>
    <m/>
    <s v="SOLINT"/>
    <s v="SOLINT"/>
    <s v="CCMS"/>
    <n v="21408656"/>
    <n v="7464.26"/>
    <m/>
    <s v="N"/>
    <n v="13"/>
    <d v="2023-07-21T10:00:07"/>
    <s v="Y"/>
    <s v="Hearing Unit 2.31 - 5.00 Hours"/>
    <s v="Public Law Children"/>
    <s v="Advocacy"/>
    <s v="C S Greaves"/>
    <s v="Y"/>
    <n v="476.92"/>
    <n v="95.38"/>
    <x v="12"/>
    <s v="VALIDATED"/>
    <n v="1"/>
    <s v="01.11.80.308.6100.0000"/>
    <n v="476.92"/>
    <s v="11"/>
    <s v="6100"/>
    <n v="8583.48"/>
    <n v="476.92"/>
    <s v="CREDITOR"/>
    <n v="0"/>
    <n v="0"/>
    <n v="0"/>
    <n v="0"/>
    <n v="476.92"/>
  </r>
  <r>
    <n v="60874650"/>
    <s v="N"/>
    <n v="21408656"/>
    <s v="3000015099230014"/>
    <s v="CIVIL"/>
    <d v="2023-06-28T00:00:00"/>
    <d v="2023-07-21T10:00:02"/>
    <m/>
    <d v="2023-07-21T00:00:00"/>
    <n v="1155"/>
    <n v="3003"/>
    <s v="60874650"/>
    <s v="60874650"/>
    <m/>
    <m/>
    <n v="22784234"/>
    <m/>
    <m/>
    <m/>
    <s v="SOLINT"/>
    <s v="SOLINT"/>
    <s v="CCMS"/>
    <n v="21408656"/>
    <n v="7464.26"/>
    <m/>
    <s v="N"/>
    <n v="14"/>
    <d v="2023-07-21T10:00:07"/>
    <s v="Y"/>
    <s v="Advocates Meeting"/>
    <s v="Public Law Children"/>
    <s v="Advocacy"/>
    <s v="C S Greaves"/>
    <s v="Y"/>
    <n v="140.99"/>
    <n v="28.2"/>
    <x v="12"/>
    <s v="VALIDATED"/>
    <n v="1"/>
    <s v="01.11.80.308.6100.0000"/>
    <n v="140.99"/>
    <s v="11"/>
    <s v="6100"/>
    <n v="8583.48"/>
    <n v="140.99"/>
    <s v="CREDITOR"/>
    <n v="0"/>
    <n v="0"/>
    <n v="0"/>
    <n v="0"/>
    <n v="140.99"/>
  </r>
  <r>
    <n v="61503616"/>
    <s v="N"/>
    <n v="21403515"/>
    <s v="3000015626620002"/>
    <s v="CIVIL"/>
    <d v="2023-06-30T00:00:00"/>
    <d v="2023-07-20T19:22:20"/>
    <m/>
    <d v="2023-07-20T00:00:00"/>
    <n v="1155"/>
    <n v="3003"/>
    <s v="61503616"/>
    <s v="61503616"/>
    <m/>
    <m/>
    <n v="22796092"/>
    <m/>
    <m/>
    <m/>
    <s v="SOLFIN"/>
    <s v="SOLFIN"/>
    <s v="CCMS"/>
    <n v="21403515"/>
    <n v="5280.13"/>
    <m/>
    <s v="N"/>
    <n v="8"/>
    <d v="2023-07-20T19:22:42"/>
    <s v="Y"/>
    <s v="Hearing Unit 2.31 - 5.00 Hours"/>
    <s v="Public Law Children"/>
    <s v="Advocacy"/>
    <s v="C S Greaves"/>
    <s v="Y"/>
    <n v="476.92"/>
    <n v="95.38"/>
    <x v="13"/>
    <s v="VALIDATED"/>
    <n v="1"/>
    <s v="01.11.80.308.6100.0000"/>
    <n v="476.92"/>
    <s v="11"/>
    <s v="6100"/>
    <n v="8583.48"/>
    <n v="476.92"/>
    <s v="CREDITOR"/>
    <n v="0"/>
    <n v="0"/>
    <n v="0"/>
    <n v="0"/>
    <n v="476.92"/>
  </r>
  <r>
    <n v="60874650"/>
    <s v="N"/>
    <n v="21408656"/>
    <s v="3000015099230014"/>
    <s v="CIVIL"/>
    <d v="2023-06-28T00:00:00"/>
    <d v="2023-07-21T10:00:02"/>
    <m/>
    <d v="2023-07-21T00:00:00"/>
    <n v="1155"/>
    <n v="3003"/>
    <s v="60874650"/>
    <s v="60874650"/>
    <m/>
    <m/>
    <n v="22784234"/>
    <m/>
    <m/>
    <m/>
    <s v="SOLINT"/>
    <s v="SOLINT"/>
    <s v="CCMS"/>
    <n v="21408656"/>
    <n v="7464.26"/>
    <m/>
    <s v="N"/>
    <n v="6"/>
    <d v="2023-07-21T10:00:07"/>
    <s v="Y"/>
    <s v="Toxicologist"/>
    <s v="Public Law Children"/>
    <s v="Expert Disbursement"/>
    <s v="C S Greaves"/>
    <s v="Y"/>
    <n v="549.5"/>
    <n v="109.9"/>
    <x v="12"/>
    <s v="VALIDATED"/>
    <n v="1"/>
    <s v="01.11.80.308.6300.0000"/>
    <n v="549.5"/>
    <s v="11"/>
    <s v="6300"/>
    <n v="8583.48"/>
    <n v="549.5"/>
    <s v="CREDITOR"/>
    <n v="0"/>
    <n v="0"/>
    <n v="0"/>
    <n v="0"/>
    <n v="549.5"/>
  </r>
  <r>
    <n v="60874650"/>
    <s v="N"/>
    <n v="21408656"/>
    <s v="3000015099230014"/>
    <s v="CIVIL"/>
    <d v="2023-06-28T00:00:00"/>
    <d v="2023-07-21T10:00:02"/>
    <m/>
    <d v="2023-07-21T00:00:00"/>
    <n v="1155"/>
    <n v="3003"/>
    <s v="60874650"/>
    <s v="60874650"/>
    <m/>
    <m/>
    <n v="22784234"/>
    <m/>
    <m/>
    <m/>
    <s v="SOLINT"/>
    <s v="SOLINT"/>
    <s v="CCMS"/>
    <n v="21408656"/>
    <n v="7464.26"/>
    <m/>
    <s v="N"/>
    <n v="8"/>
    <d v="2023-07-21T10:00:07"/>
    <s v="Y"/>
    <s v="Toxicologist"/>
    <s v="Public Law Children"/>
    <s v="Expert Disbursement"/>
    <s v="C S Greaves"/>
    <s v="Y"/>
    <n v="537"/>
    <n v="107.4"/>
    <x v="12"/>
    <s v="VALIDATED"/>
    <n v="1"/>
    <s v="01.11.80.308.6300.0000"/>
    <n v="537"/>
    <s v="11"/>
    <s v="6300"/>
    <n v="8583.48"/>
    <n v="537"/>
    <s v="CREDITOR"/>
    <n v="0"/>
    <n v="0"/>
    <n v="0"/>
    <n v="0"/>
    <n v="537"/>
  </r>
  <r>
    <n v="61503616"/>
    <s v="N"/>
    <n v="21403515"/>
    <s v="3000015626620002"/>
    <s v="CIVIL"/>
    <d v="2023-06-30T00:00:00"/>
    <d v="2023-07-20T19:22:20"/>
    <m/>
    <d v="2023-07-20T00:00:00"/>
    <n v="1155"/>
    <n v="3003"/>
    <s v="61503616"/>
    <s v="61503616"/>
    <m/>
    <m/>
    <n v="22796092"/>
    <m/>
    <m/>
    <m/>
    <s v="SOLFIN"/>
    <s v="SOLFIN"/>
    <s v="CCMS"/>
    <n v="21403515"/>
    <n v="5280.13"/>
    <m/>
    <s v="N"/>
    <n v="7"/>
    <d v="2023-07-20T19:22:42"/>
    <s v="Y"/>
    <s v="Final Hearing - 1 Day"/>
    <s v="Public Law Children"/>
    <s v="Advocacy"/>
    <s v="C S Greaves"/>
    <s v="Y"/>
    <n v="556.88"/>
    <n v="111.38"/>
    <x v="13"/>
    <s v="VALIDATED"/>
    <n v="1"/>
    <s v="01.11.80.308.6100.0000"/>
    <n v="556.88"/>
    <s v="11"/>
    <s v="6100"/>
    <n v="8583.48"/>
    <n v="556.88"/>
    <s v="CREDITOR"/>
    <n v="0"/>
    <n v="0"/>
    <n v="0"/>
    <n v="0"/>
    <n v="556.88"/>
  </r>
  <r>
    <n v="60874650"/>
    <s v="N"/>
    <n v="21408656"/>
    <s v="3000015099230014"/>
    <s v="CIVIL"/>
    <d v="2023-06-28T00:00:00"/>
    <d v="2023-07-21T10:00:02"/>
    <m/>
    <d v="2023-07-21T00:00:00"/>
    <n v="1155"/>
    <n v="3003"/>
    <s v="60874650"/>
    <s v="60874650"/>
    <m/>
    <m/>
    <n v="22784234"/>
    <m/>
    <m/>
    <m/>
    <s v="SOLINT"/>
    <s v="SOLINT"/>
    <s v="CCMS"/>
    <n v="21408656"/>
    <n v="7464.26"/>
    <m/>
    <s v="N"/>
    <n v="10"/>
    <d v="2023-07-21T10:00:07"/>
    <s v="Y"/>
    <s v="Advocates Meeting"/>
    <s v="Public Law Children"/>
    <s v="Advocacy"/>
    <s v="C S Greaves"/>
    <s v="Y"/>
    <n v="140.99"/>
    <n v="28.2"/>
    <x v="12"/>
    <s v="VALIDATED"/>
    <n v="1"/>
    <s v="01.11.80.308.6100.0000"/>
    <n v="140.99"/>
    <s v="11"/>
    <s v="6100"/>
    <n v="8583.48"/>
    <n v="140.99"/>
    <s v="CREDITOR"/>
    <n v="0"/>
    <n v="0"/>
    <n v="0"/>
    <n v="0"/>
    <n v="140.99"/>
  </r>
  <r>
    <n v="61503616"/>
    <s v="N"/>
    <n v="21403515"/>
    <s v="3000015626620002"/>
    <s v="CIVIL"/>
    <d v="2023-06-30T00:00:00"/>
    <d v="2023-07-20T19:22:20"/>
    <m/>
    <d v="2023-07-20T00:00:00"/>
    <n v="1155"/>
    <n v="3003"/>
    <s v="61503616"/>
    <s v="61503616"/>
    <m/>
    <m/>
    <n v="22796092"/>
    <m/>
    <m/>
    <m/>
    <s v="SOLFIN"/>
    <s v="SOLFIN"/>
    <s v="CCMS"/>
    <n v="21403515"/>
    <n v="5280.13"/>
    <m/>
    <s v="N"/>
    <n v="4"/>
    <d v="2023-07-20T19:22:42"/>
    <s v="Y"/>
    <s v="Solicitor Travel Mileage"/>
    <s v="Public Law Children"/>
    <s v="Non Expert Disbursement"/>
    <s v="C S Greaves"/>
    <s v="Y"/>
    <n v="10.8"/>
    <n v="2.16"/>
    <x v="13"/>
    <s v="VALIDATED"/>
    <n v="1"/>
    <s v="01.11.80.308.6300.0000"/>
    <n v="10.8"/>
    <s v="11"/>
    <s v="6300"/>
    <n v="8583.48"/>
    <n v="10.8"/>
    <s v="CREDITOR"/>
    <n v="0"/>
    <n v="0"/>
    <n v="0"/>
    <n v="0"/>
    <n v="10.8"/>
  </r>
  <r>
    <n v="61503616"/>
    <s v="N"/>
    <n v="21403515"/>
    <s v="3000015626620002"/>
    <s v="CIVIL"/>
    <d v="2023-06-30T00:00:00"/>
    <d v="2023-07-20T19:22:20"/>
    <m/>
    <d v="2023-07-20T00:00:00"/>
    <n v="1155"/>
    <n v="3003"/>
    <s v="61503616"/>
    <s v="61503616"/>
    <m/>
    <m/>
    <n v="22796092"/>
    <m/>
    <m/>
    <m/>
    <s v="SOLFIN"/>
    <s v="SOLFIN"/>
    <s v="CCMS"/>
    <n v="21403515"/>
    <n v="5280.13"/>
    <m/>
    <s v="N"/>
    <n v="3"/>
    <d v="2023-07-20T19:22:42"/>
    <s v="Y"/>
    <s v="Solicitor Travel Mileage"/>
    <s v="Public Law Children"/>
    <s v="Non Expert Disbursement"/>
    <s v="C S Greaves"/>
    <s v="Y"/>
    <n v="10.8"/>
    <n v="2.16"/>
    <x v="13"/>
    <s v="VALIDATED"/>
    <n v="1"/>
    <s v="01.11.80.308.6300.0000"/>
    <n v="10.8"/>
    <s v="11"/>
    <s v="6300"/>
    <n v="8583.48"/>
    <n v="10.8"/>
    <s v="CREDITOR"/>
    <n v="0"/>
    <n v="0"/>
    <n v="0"/>
    <n v="0"/>
    <n v="10.8"/>
  </r>
  <r>
    <n v="60874650"/>
    <s v="N"/>
    <n v="21408656"/>
    <s v="3000015099230014"/>
    <s v="CIVIL"/>
    <d v="2023-06-28T00:00:00"/>
    <d v="2023-07-21T10:00:02"/>
    <m/>
    <d v="2023-07-21T00:00:00"/>
    <n v="1155"/>
    <n v="3003"/>
    <s v="60874650"/>
    <s v="60874650"/>
    <m/>
    <m/>
    <n v="22784234"/>
    <m/>
    <m/>
    <m/>
    <s v="SOLINT"/>
    <s v="SOLINT"/>
    <s v="CCMS"/>
    <n v="21408656"/>
    <n v="7464.26"/>
    <m/>
    <s v="N"/>
    <n v="1"/>
    <d v="2023-07-21T10:00:07"/>
    <s v="Y"/>
    <s v="Interim Hearing Court Bundle/Advoca"/>
    <s v="Public Law Children"/>
    <s v="Advocacy"/>
    <s v="C S Greaves"/>
    <s v="Y"/>
    <n v="89.09999999999999"/>
    <n v="17.82"/>
    <x v="12"/>
    <s v="VALIDATED"/>
    <n v="1"/>
    <s v="01.11.80.308.6100.0000"/>
    <n v="89.09999999999999"/>
    <s v="11"/>
    <s v="6100"/>
    <n v="8583.48"/>
    <n v="89.09999999999999"/>
    <s v="CREDITOR"/>
    <n v="0"/>
    <n v="0"/>
    <n v="0"/>
    <n v="0"/>
    <n v="89.09999999999999"/>
  </r>
  <r>
    <n v="60874650"/>
    <s v="N"/>
    <n v="21408656"/>
    <s v="3000015099230014"/>
    <s v="CIVIL"/>
    <d v="2023-06-28T00:00:00"/>
    <d v="2023-07-21T10:00:02"/>
    <m/>
    <d v="2023-07-21T00:00:00"/>
    <n v="1155"/>
    <n v="3003"/>
    <s v="60874650"/>
    <s v="60874650"/>
    <m/>
    <m/>
    <n v="22784234"/>
    <m/>
    <m/>
    <m/>
    <s v="SOLINT"/>
    <s v="SOLINT"/>
    <s v="CCMS"/>
    <n v="21408656"/>
    <n v="7464.26"/>
    <m/>
    <s v="N"/>
    <n v="3"/>
    <d v="2023-07-21T10:00:07"/>
    <s v="Y"/>
    <s v="Solicitor Travel Mileage"/>
    <s v="Public Law Children"/>
    <s v="Non Expert Disbursement"/>
    <s v="C S Greaves"/>
    <s v="Y"/>
    <n v="10.8"/>
    <n v="2.16"/>
    <x v="12"/>
    <s v="VALIDATED"/>
    <n v="1"/>
    <s v="01.11.80.308.6300.0000"/>
    <n v="10.8"/>
    <s v="11"/>
    <s v="6300"/>
    <n v="8583.48"/>
    <n v="10.8"/>
    <s v="CREDITOR"/>
    <n v="0"/>
    <n v="0"/>
    <n v="0"/>
    <n v="0"/>
    <n v="10.8"/>
  </r>
  <r>
    <n v="60874650"/>
    <s v="N"/>
    <n v="21408656"/>
    <s v="3000015099230014"/>
    <s v="CIVIL"/>
    <d v="2023-06-28T00:00:00"/>
    <d v="2023-07-21T10:00:02"/>
    <m/>
    <d v="2023-07-21T00:00:00"/>
    <n v="1155"/>
    <n v="3003"/>
    <s v="60874650"/>
    <s v="60874650"/>
    <m/>
    <m/>
    <n v="22784234"/>
    <m/>
    <m/>
    <m/>
    <s v="SOLINT"/>
    <s v="SOLINT"/>
    <s v="CCMS"/>
    <n v="21408656"/>
    <n v="7464.26"/>
    <m/>
    <s v="N"/>
    <n v="2"/>
    <d v="2023-07-21T10:00:07"/>
    <s v="Y"/>
    <s v="Toxicologist"/>
    <s v="Public Law Children"/>
    <s v="Expert Disbursement"/>
    <s v="C S Greaves"/>
    <s v="Y"/>
    <n v="450.5"/>
    <n v="90.09999999999999"/>
    <x v="12"/>
    <s v="VALIDATED"/>
    <n v="1"/>
    <s v="01.11.80.308.6300.0000"/>
    <n v="450.5"/>
    <s v="11"/>
    <s v="6300"/>
    <n v="8583.48"/>
    <n v="450.5"/>
    <s v="CREDITOR"/>
    <n v="0"/>
    <n v="0"/>
    <n v="0"/>
    <n v="0"/>
    <n v="450.5"/>
  </r>
  <r>
    <n v="60874650"/>
    <s v="N"/>
    <n v="21408656"/>
    <s v="3000015099230014"/>
    <s v="CIVIL"/>
    <d v="2023-06-28T00:00:00"/>
    <d v="2023-07-21T10:00:02"/>
    <m/>
    <d v="2023-07-21T00:00:00"/>
    <n v="1155"/>
    <n v="3003"/>
    <s v="60874650"/>
    <s v="60874650"/>
    <m/>
    <m/>
    <n v="22784234"/>
    <m/>
    <m/>
    <m/>
    <s v="SOLINT"/>
    <s v="SOLINT"/>
    <s v="CCMS"/>
    <n v="21408656"/>
    <n v="7464.26"/>
    <m/>
    <s v="N"/>
    <n v="9"/>
    <d v="2023-07-21T10:00:07"/>
    <s v="Y"/>
    <s v="Hearing Unit 2.31 - 5.00 Hours"/>
    <s v="Public Law Children"/>
    <s v="Advocacy"/>
    <s v="C S Greaves"/>
    <s v="Y"/>
    <n v="476.92"/>
    <n v="95.38"/>
    <x v="12"/>
    <s v="VALIDATED"/>
    <n v="1"/>
    <s v="01.11.80.308.6100.0000"/>
    <n v="476.92"/>
    <s v="11"/>
    <s v="6100"/>
    <n v="8583.48"/>
    <n v="476.92"/>
    <s v="CREDITOR"/>
    <n v="0"/>
    <n v="0"/>
    <n v="0"/>
    <n v="0"/>
    <n v="476.92"/>
  </r>
  <r>
    <n v="61503616"/>
    <s v="N"/>
    <n v="21403515"/>
    <s v="3000015626620002"/>
    <s v="CIVIL"/>
    <d v="2023-06-30T00:00:00"/>
    <d v="2023-07-20T19:22:20"/>
    <m/>
    <d v="2023-07-20T00:00:00"/>
    <n v="1155"/>
    <n v="3003"/>
    <s v="61503616"/>
    <s v="61503616"/>
    <m/>
    <m/>
    <n v="22796092"/>
    <m/>
    <m/>
    <m/>
    <s v="SOLFIN"/>
    <s v="SOLFIN"/>
    <s v="CCMS"/>
    <n v="21403515"/>
    <n v="5280.13"/>
    <m/>
    <s v="N"/>
    <n v="1"/>
    <d v="2023-07-20T19:22:42"/>
    <s v="Y"/>
    <s v="Final Hearing Court Bundle/Advocate"/>
    <s v="Public Law Children"/>
    <s v="Advocacy"/>
    <s v="C S Greaves"/>
    <s v="Y"/>
    <n v="159.3"/>
    <n v="31.86"/>
    <x v="13"/>
    <s v="VALIDATED"/>
    <n v="1"/>
    <s v="01.11.80.308.6100.0000"/>
    <n v="159.3"/>
    <s v="11"/>
    <s v="6100"/>
    <n v="8583.48"/>
    <n v="159.3"/>
    <s v="CREDITOR"/>
    <n v="0"/>
    <n v="0"/>
    <n v="0"/>
    <n v="0"/>
    <n v="159.3"/>
  </r>
  <r>
    <n v="60874650"/>
    <s v="N"/>
    <n v="21408656"/>
    <s v="3000015099230014"/>
    <s v="CIVIL"/>
    <d v="2023-06-28T00:00:00"/>
    <d v="2023-07-21T10:00:02"/>
    <m/>
    <d v="2023-07-21T00:00:00"/>
    <n v="1155"/>
    <n v="3003"/>
    <s v="60874650"/>
    <s v="60874650"/>
    <m/>
    <m/>
    <n v="22784234"/>
    <m/>
    <m/>
    <m/>
    <s v="SOLINT"/>
    <s v="SOLINT"/>
    <s v="CCMS"/>
    <n v="21408656"/>
    <n v="7464.26"/>
    <m/>
    <s v="N"/>
    <n v="4"/>
    <d v="2023-07-21T10:00:07"/>
    <s v="Y"/>
    <s v="Solicitor Travel Mileage"/>
    <s v="Public Law Children"/>
    <s v="Non Expert Disbursement"/>
    <s v="C S Greaves"/>
    <s v="Y"/>
    <n v="10.8"/>
    <n v="2.16"/>
    <x v="12"/>
    <s v="VALIDATED"/>
    <n v="1"/>
    <s v="01.11.80.308.6300.0000"/>
    <n v="10.8"/>
    <s v="11"/>
    <s v="6300"/>
    <n v="8583.48"/>
    <n v="10.8"/>
    <s v="CREDITOR"/>
    <n v="0"/>
    <n v="0"/>
    <n v="0"/>
    <n v="0"/>
    <n v="10.8"/>
  </r>
  <r>
    <n v="61503616"/>
    <s v="N"/>
    <n v="21403515"/>
    <s v="3000015626620002"/>
    <s v="CIVIL"/>
    <d v="2023-06-30T00:00:00"/>
    <d v="2023-07-20T19:22:20"/>
    <m/>
    <d v="2023-07-20T00:00:00"/>
    <n v="1155"/>
    <n v="3003"/>
    <s v="61503616"/>
    <s v="61503616"/>
    <m/>
    <m/>
    <n v="22796092"/>
    <m/>
    <m/>
    <m/>
    <s v="SOLFIN"/>
    <s v="SOLFIN"/>
    <s v="CCMS"/>
    <n v="21403515"/>
    <n v="5280.13"/>
    <m/>
    <s v="N"/>
    <n v="6"/>
    <d v="2023-07-20T19:22:42"/>
    <s v="Y"/>
    <s v="Advocates Meeting"/>
    <s v="Public Law Children"/>
    <s v="Advocacy"/>
    <s v="C S Greaves"/>
    <s v="Y"/>
    <n v="140.99"/>
    <n v="28.2"/>
    <x v="13"/>
    <s v="VALIDATED"/>
    <n v="1"/>
    <s v="01.11.80.308.6100.0000"/>
    <n v="140.99"/>
    <s v="11"/>
    <s v="6100"/>
    <n v="8583.48"/>
    <n v="140.99"/>
    <s v="CREDITOR"/>
    <n v="0"/>
    <n v="0"/>
    <n v="0"/>
    <n v="0"/>
    <n v="140.99"/>
  </r>
  <r>
    <n v="62253866"/>
    <s v="N"/>
    <n v="21322127"/>
    <s v="3000016253090002"/>
    <s v="CIVIL"/>
    <d v="2023-06-28T00:00:00"/>
    <d v="2023-07-03T19:05:17"/>
    <m/>
    <d v="2023-07-03T00:00:00"/>
    <n v="1155"/>
    <n v="3003"/>
    <s v="62253866"/>
    <s v="62253866"/>
    <m/>
    <m/>
    <n v="22783866"/>
    <m/>
    <m/>
    <m/>
    <s v="SOLPOA"/>
    <s v="SOLPOA"/>
    <s v="CCMS"/>
    <n v="21322127"/>
    <n v="620.7"/>
    <m/>
    <s v="N"/>
    <n v="1"/>
    <d v="2023-07-03T19:05:22"/>
    <s v="N"/>
    <s v="Expert Cost"/>
    <s v="Expert Cost"/>
    <s v="Expert Disbursement"/>
    <s v="C S Greaves"/>
    <s v="N"/>
    <n v="517.25"/>
    <n v="103.45"/>
    <x v="3"/>
    <s v="VALIDATED"/>
    <n v="1"/>
    <s v="01.11.80.308.2012.0000"/>
    <n v="517.25"/>
    <s v="11"/>
    <s v="2012"/>
    <n v="8583.48"/>
    <n v="517.25"/>
    <s v="CREDITOR"/>
    <n v="517.25"/>
    <n v="0"/>
    <n v="0"/>
    <n v="0"/>
    <n v="0"/>
  </r>
  <r>
    <n v="60874650"/>
    <s v="N"/>
    <n v="21408656"/>
    <s v="3000015099230014"/>
    <s v="CIVIL"/>
    <d v="2023-06-28T00:00:00"/>
    <d v="2023-07-21T10:00:02"/>
    <m/>
    <d v="2023-07-21T00:00:00"/>
    <n v="1155"/>
    <n v="3003"/>
    <s v="60874650"/>
    <s v="60874650"/>
    <m/>
    <m/>
    <n v="22784234"/>
    <m/>
    <m/>
    <m/>
    <s v="SOLINT"/>
    <s v="SOLINT"/>
    <s v="CCMS"/>
    <n v="21408656"/>
    <n v="7464.26"/>
    <m/>
    <s v="N"/>
    <n v="15"/>
    <d v="2023-07-21T10:00:07"/>
    <s v="Y"/>
    <s v="Solicitors Fixed Fee"/>
    <s v="Public Law Children"/>
    <s v="Profit Cost"/>
    <s v="C S Greaves"/>
    <s v="Y"/>
    <n v="2370"/>
    <n v="474"/>
    <x v="12"/>
    <s v="VALIDATED"/>
    <n v="1"/>
    <s v="01.11.80.308.6100.0000"/>
    <n v="2370"/>
    <s v="11"/>
    <s v="6100"/>
    <n v="8583.48"/>
    <n v="2370"/>
    <s v="CREDITOR"/>
    <n v="0"/>
    <n v="0"/>
    <n v="0"/>
    <n v="0"/>
    <n v="2370"/>
  </r>
  <r>
    <n v="61503616"/>
    <s v="N"/>
    <n v="21403515"/>
    <s v="3000015626620002"/>
    <s v="CIVIL"/>
    <d v="2023-06-30T00:00:00"/>
    <d v="2023-07-20T19:22:20"/>
    <m/>
    <d v="2023-07-20T00:00:00"/>
    <n v="1155"/>
    <n v="3003"/>
    <s v="61503616"/>
    <s v="61503616"/>
    <m/>
    <m/>
    <n v="22796092"/>
    <m/>
    <m/>
    <m/>
    <s v="SOLFIN"/>
    <s v="SOLFIN"/>
    <s v="CCMS"/>
    <n v="21403515"/>
    <n v="5280.13"/>
    <m/>
    <s v="N"/>
    <n v="9"/>
    <d v="2023-07-20T19:22:42"/>
    <s v="Y"/>
    <s v="Solicitors Fixed Fee"/>
    <s v="Public Law Children"/>
    <s v="Profit Cost"/>
    <s v="C S Greaves"/>
    <s v="Y"/>
    <n v="2370"/>
    <n v="474"/>
    <x v="13"/>
    <s v="VALIDATED"/>
    <n v="1"/>
    <s v="01.11.80.308.6100.0000"/>
    <n v="2370"/>
    <s v="11"/>
    <s v="6100"/>
    <n v="8583.48"/>
    <n v="2370"/>
    <s v="CREDITOR"/>
    <n v="0"/>
    <n v="0"/>
    <n v="0"/>
    <n v="0"/>
    <n v="2370"/>
  </r>
  <r>
    <n v="60874650"/>
    <s v="N"/>
    <n v="21412376"/>
    <s v="3000015099230001RC"/>
    <s v="CIVIL"/>
    <d v="2023-06-28T00:00:00"/>
    <d v="2023-07-21T19:28:22"/>
    <m/>
    <d v="2023-07-21T00:00:00"/>
    <n v="1155"/>
    <n v="3003"/>
    <s v="60874650"/>
    <s v="60874650"/>
    <m/>
    <m/>
    <m/>
    <m/>
    <m/>
    <m/>
    <s v="SOLRECOUP"/>
    <s v="SOLRECOUP"/>
    <s v="POARECOUP"/>
    <n v="21412376"/>
    <n v="-659.4"/>
    <m/>
    <s v="Y"/>
    <n v="2"/>
    <d v="2023-07-21T19:28:24"/>
    <s v="N"/>
    <m/>
    <m/>
    <s v="Expert Disbursement"/>
    <m/>
    <s v="N"/>
    <n v="0"/>
    <n v="-109.9"/>
    <x v="12"/>
    <s v="VALIDATED"/>
    <n v="1"/>
    <s v="01.11.80.308.2013.0000"/>
    <n v="-109.9"/>
    <s v="11"/>
    <s v="2013"/>
    <n v="8583.48"/>
    <n v="-109.9"/>
    <s v="CREDITOR"/>
    <n v="0"/>
    <n v="0"/>
    <n v="-109.9"/>
    <n v="0"/>
    <n v="0"/>
  </r>
  <r>
    <n v="60874650"/>
    <s v="N"/>
    <n v="21412376"/>
    <s v="3000015099230001RC"/>
    <s v="CIVIL"/>
    <d v="2023-06-28T00:00:00"/>
    <d v="2023-07-21T19:28:22"/>
    <m/>
    <d v="2023-07-21T00:00:00"/>
    <n v="1155"/>
    <n v="3003"/>
    <s v="60874650"/>
    <s v="60874650"/>
    <m/>
    <m/>
    <m/>
    <m/>
    <m/>
    <m/>
    <s v="SOLRECOUP"/>
    <s v="SOLRECOUP"/>
    <s v="POARECOUP"/>
    <n v="21412376"/>
    <n v="-659.4"/>
    <m/>
    <s v="Y"/>
    <n v="1"/>
    <d v="2023-07-21T19:28:24"/>
    <s v="N"/>
    <m/>
    <m/>
    <s v="Expert Disbursement"/>
    <m/>
    <s v="N"/>
    <n v="-549.5"/>
    <n v="0"/>
    <x v="12"/>
    <s v="VALIDATED"/>
    <n v="1"/>
    <s v="01.11.80.308.2013.0000"/>
    <n v="-549.5"/>
    <s v="11"/>
    <s v="2013"/>
    <n v="8583.48"/>
    <n v="-549.5"/>
    <s v="CREDITOR"/>
    <n v="0"/>
    <n v="0"/>
    <n v="-549.5"/>
    <n v="0"/>
    <n v="0"/>
  </r>
  <r>
    <n v="60874650"/>
    <s v="N"/>
    <n v="21412379"/>
    <s v="3000015099230002RC"/>
    <s v="CIVIL"/>
    <d v="2023-06-28T00:00:00"/>
    <d v="2023-07-21T19:28:22"/>
    <m/>
    <d v="2023-07-21T00:00:00"/>
    <n v="1155"/>
    <n v="3003"/>
    <s v="60874650"/>
    <s v="60874650"/>
    <m/>
    <m/>
    <m/>
    <m/>
    <m/>
    <m/>
    <s v="SOLRECOUP"/>
    <s v="SOLRECOUP"/>
    <s v="POARECOUP"/>
    <n v="21412379"/>
    <n v="-297.9"/>
    <m/>
    <s v="Y"/>
    <n v="1"/>
    <d v="2023-07-21T19:28:24"/>
    <s v="N"/>
    <m/>
    <m/>
    <s v="Expert Disbursement"/>
    <m/>
    <s v="N"/>
    <n v="-248.25"/>
    <n v="0"/>
    <x v="12"/>
    <s v="VALIDATED"/>
    <n v="1"/>
    <s v="01.11.80.308.2013.0000"/>
    <n v="-248.25"/>
    <s v="11"/>
    <s v="2013"/>
    <n v="8583.48"/>
    <n v="-248.25"/>
    <s v="CREDITOR"/>
    <n v="0"/>
    <n v="0"/>
    <n v="-248.25"/>
    <n v="0"/>
    <n v="0"/>
  </r>
  <r>
    <n v="60874650"/>
    <s v="N"/>
    <n v="21412379"/>
    <s v="3000015099230002RC"/>
    <s v="CIVIL"/>
    <d v="2023-06-28T00:00:00"/>
    <d v="2023-07-21T19:28:22"/>
    <m/>
    <d v="2023-07-21T00:00:00"/>
    <n v="1155"/>
    <n v="3003"/>
    <s v="60874650"/>
    <s v="60874650"/>
    <m/>
    <m/>
    <m/>
    <m/>
    <m/>
    <m/>
    <s v="SOLRECOUP"/>
    <s v="SOLRECOUP"/>
    <s v="POARECOUP"/>
    <n v="21412379"/>
    <n v="-297.9"/>
    <m/>
    <s v="Y"/>
    <n v="2"/>
    <d v="2023-07-21T19:28:24"/>
    <s v="N"/>
    <m/>
    <m/>
    <s v="Expert Disbursement"/>
    <m/>
    <s v="N"/>
    <n v="0"/>
    <n v="-49.65"/>
    <x v="12"/>
    <s v="VALIDATED"/>
    <n v="1"/>
    <s v="01.11.80.308.2013.0000"/>
    <n v="-49.65"/>
    <s v="11"/>
    <s v="2013"/>
    <n v="8583.48"/>
    <n v="-49.65"/>
    <s v="CREDITOR"/>
    <n v="0"/>
    <n v="0"/>
    <n v="-49.65"/>
    <n v="0"/>
    <n v="0"/>
  </r>
  <r>
    <n v="60874650"/>
    <s v="N"/>
    <n v="21412467"/>
    <s v="3000015099230003RC"/>
    <s v="CIVIL"/>
    <d v="2023-06-28T00:00:00"/>
    <d v="2023-07-21T19:28:22"/>
    <m/>
    <d v="2023-07-21T00:00:00"/>
    <n v="1155"/>
    <n v="3003"/>
    <s v="60874650"/>
    <s v="60874650"/>
    <m/>
    <m/>
    <m/>
    <m/>
    <m/>
    <m/>
    <s v="SOLRECOUP"/>
    <s v="SOLRECOUP"/>
    <s v="POARECOUP"/>
    <n v="21412467"/>
    <n v="-406.8"/>
    <m/>
    <s v="Y"/>
    <n v="2"/>
    <d v="2023-07-21T19:28:24"/>
    <s v="N"/>
    <m/>
    <m/>
    <s v="Expert Disbursement"/>
    <m/>
    <s v="N"/>
    <n v="0"/>
    <n v="-67.8"/>
    <x v="12"/>
    <s v="VALIDATED"/>
    <n v="1"/>
    <s v="01.11.80.308.2013.0000"/>
    <n v="-67.8"/>
    <s v="11"/>
    <s v="2013"/>
    <n v="8583.48"/>
    <n v="-67.8"/>
    <s v="CREDITOR"/>
    <n v="0"/>
    <n v="0"/>
    <n v="-67.8"/>
    <n v="0"/>
    <n v="0"/>
  </r>
  <r>
    <n v="60874650"/>
    <s v="N"/>
    <n v="21412467"/>
    <s v="3000015099230003RC"/>
    <s v="CIVIL"/>
    <d v="2023-06-28T00:00:00"/>
    <d v="2023-07-21T19:28:22"/>
    <m/>
    <d v="2023-07-21T00:00:00"/>
    <n v="1155"/>
    <n v="3003"/>
    <s v="60874650"/>
    <s v="60874650"/>
    <m/>
    <m/>
    <m/>
    <m/>
    <m/>
    <m/>
    <s v="SOLRECOUP"/>
    <s v="SOLRECOUP"/>
    <s v="POARECOUP"/>
    <n v="21412467"/>
    <n v="-406.8"/>
    <m/>
    <s v="Y"/>
    <n v="1"/>
    <d v="2023-07-21T19:28:24"/>
    <s v="N"/>
    <m/>
    <m/>
    <s v="Expert Disbursement"/>
    <m/>
    <s v="N"/>
    <n v="-339"/>
    <n v="0"/>
    <x v="12"/>
    <s v="VALIDATED"/>
    <n v="1"/>
    <s v="01.11.80.308.2013.0000"/>
    <n v="-339"/>
    <s v="11"/>
    <s v="2013"/>
    <n v="8583.48"/>
    <n v="-339"/>
    <s v="CREDITOR"/>
    <n v="0"/>
    <n v="0"/>
    <n v="-339"/>
    <n v="0"/>
    <n v="0"/>
  </r>
  <r>
    <n v="60874650"/>
    <s v="N"/>
    <n v="21412468"/>
    <s v="3000015099230004RC"/>
    <s v="CIVIL"/>
    <d v="2023-06-28T00:00:00"/>
    <d v="2023-07-21T19:28:22"/>
    <m/>
    <d v="2023-07-21T00:00:00"/>
    <n v="1155"/>
    <n v="3003"/>
    <s v="60874650"/>
    <s v="60874650"/>
    <m/>
    <m/>
    <m/>
    <m/>
    <m/>
    <m/>
    <s v="SOLRECOUP"/>
    <s v="SOLRECOUP"/>
    <s v="POARECOUP"/>
    <n v="21412468"/>
    <n v="-644.4"/>
    <m/>
    <s v="Y"/>
    <n v="2"/>
    <d v="2023-07-21T19:28:24"/>
    <s v="N"/>
    <m/>
    <m/>
    <s v="Expert Disbursement"/>
    <m/>
    <s v="N"/>
    <n v="0"/>
    <n v="-107.4"/>
    <x v="12"/>
    <s v="VALIDATED"/>
    <n v="1"/>
    <s v="01.11.80.308.2013.0000"/>
    <n v="-107.4"/>
    <s v="11"/>
    <s v="2013"/>
    <n v="8583.48"/>
    <n v="-107.4"/>
    <s v="CREDITOR"/>
    <n v="0"/>
    <n v="0"/>
    <n v="-107.4"/>
    <n v="0"/>
    <n v="0"/>
  </r>
  <r>
    <n v="60874650"/>
    <s v="N"/>
    <n v="21412468"/>
    <s v="3000015099230004RC"/>
    <s v="CIVIL"/>
    <d v="2023-06-28T00:00:00"/>
    <d v="2023-07-21T19:28:22"/>
    <m/>
    <d v="2023-07-21T00:00:00"/>
    <n v="1155"/>
    <n v="3003"/>
    <s v="60874650"/>
    <s v="60874650"/>
    <m/>
    <m/>
    <m/>
    <m/>
    <m/>
    <m/>
    <s v="SOLRECOUP"/>
    <s v="SOLRECOUP"/>
    <s v="POARECOUP"/>
    <n v="21412468"/>
    <n v="-644.4"/>
    <m/>
    <s v="Y"/>
    <n v="1"/>
    <d v="2023-07-21T19:28:24"/>
    <s v="N"/>
    <m/>
    <m/>
    <s v="Expert Disbursement"/>
    <m/>
    <s v="N"/>
    <n v="-537"/>
    <n v="0"/>
    <x v="12"/>
    <s v="VALIDATED"/>
    <n v="1"/>
    <s v="01.11.80.308.2013.0000"/>
    <n v="-537"/>
    <s v="11"/>
    <s v="2013"/>
    <n v="8583.48"/>
    <n v="-537"/>
    <s v="CREDITOR"/>
    <n v="0"/>
    <n v="0"/>
    <n v="-537"/>
    <n v="0"/>
    <n v="0"/>
  </r>
  <r>
    <n v="60874650"/>
    <s v="N"/>
    <n v="21412582"/>
    <s v="3000015099230006RC"/>
    <s v="CIVIL"/>
    <d v="2023-06-28T00:00:00"/>
    <d v="2023-07-21T19:28:22"/>
    <m/>
    <d v="2023-07-21T00:00:00"/>
    <n v="1155"/>
    <n v="3003"/>
    <s v="60874650"/>
    <s v="60874650"/>
    <m/>
    <m/>
    <m/>
    <m/>
    <m/>
    <m/>
    <s v="SOLRECOUP"/>
    <s v="SOLRECOUP"/>
    <s v="POARECOUP"/>
    <n v="21412582"/>
    <n v="-540.6"/>
    <m/>
    <s v="Y"/>
    <n v="1"/>
    <d v="2023-07-21T19:28:25"/>
    <s v="N"/>
    <m/>
    <m/>
    <s v="Expert Disbursement"/>
    <m/>
    <s v="N"/>
    <n v="-450.5"/>
    <n v="0"/>
    <x v="12"/>
    <s v="VALIDATED"/>
    <n v="1"/>
    <s v="01.11.80.308.2013.0000"/>
    <n v="-450.5"/>
    <s v="11"/>
    <s v="2013"/>
    <n v="8583.48"/>
    <n v="-450.5"/>
    <s v="CREDITOR"/>
    <n v="0"/>
    <n v="0"/>
    <n v="-450.5"/>
    <n v="0"/>
    <n v="0"/>
  </r>
  <r>
    <n v="60874650"/>
    <s v="N"/>
    <n v="21412582"/>
    <s v="3000015099230006RC"/>
    <s v="CIVIL"/>
    <d v="2023-06-28T00:00:00"/>
    <d v="2023-07-21T19:28:22"/>
    <m/>
    <d v="2023-07-21T00:00:00"/>
    <n v="1155"/>
    <n v="3003"/>
    <s v="60874650"/>
    <s v="60874650"/>
    <m/>
    <m/>
    <m/>
    <m/>
    <m/>
    <m/>
    <s v="SOLRECOUP"/>
    <s v="SOLRECOUP"/>
    <s v="POARECOUP"/>
    <n v="21412582"/>
    <n v="-540.6"/>
    <m/>
    <s v="Y"/>
    <n v="2"/>
    <d v="2023-07-21T19:28:25"/>
    <s v="N"/>
    <m/>
    <m/>
    <s v="Expert Disbursement"/>
    <m/>
    <s v="N"/>
    <n v="0"/>
    <n v="-90.09999999999999"/>
    <x v="12"/>
    <s v="VALIDATED"/>
    <n v="1"/>
    <s v="01.11.80.308.2013.0000"/>
    <n v="-90.09999999999999"/>
    <s v="11"/>
    <s v="2013"/>
    <n v="8583.48"/>
    <n v="-90.09999999999999"/>
    <s v="CREDITOR"/>
    <n v="0"/>
    <n v="0"/>
    <n v="-90.09999999999999"/>
    <n v="0"/>
    <n v="0"/>
  </r>
  <r>
    <n v="61503616"/>
    <s v="N"/>
    <n v="21406321"/>
    <s v="3000015626620001RC"/>
    <s v="CIVIL"/>
    <d v="2023-06-30T00:00:00"/>
    <d v="2023-07-20T19:48:18"/>
    <m/>
    <d v="2023-07-20T00:00:00"/>
    <n v="1155"/>
    <n v="3003"/>
    <s v="61503616"/>
    <s v="61503616"/>
    <m/>
    <m/>
    <m/>
    <m/>
    <m/>
    <m/>
    <s v="SOLRECOUP"/>
    <s v="SOLRECOUP"/>
    <s v="POARECOUP"/>
    <n v="21406321"/>
    <n v="-237"/>
    <m/>
    <s v="Y"/>
    <n v="1"/>
    <d v="2023-07-20T19:48:20"/>
    <s v="N"/>
    <m/>
    <m/>
    <s v="Expert Disbursement"/>
    <m/>
    <s v="N"/>
    <n v="-197.5"/>
    <n v="0"/>
    <x v="13"/>
    <s v="VALIDATED"/>
    <n v="1"/>
    <s v="01.11.80.308.2013.0000"/>
    <n v="-197.5"/>
    <s v="11"/>
    <s v="2013"/>
    <n v="8583.48"/>
    <n v="-197.5"/>
    <s v="CREDITOR"/>
    <n v="0"/>
    <n v="0"/>
    <n v="-197.5"/>
    <n v="0"/>
    <n v="0"/>
  </r>
  <r>
    <n v="61503616"/>
    <s v="N"/>
    <n v="21406321"/>
    <s v="3000015626620001RC"/>
    <s v="CIVIL"/>
    <d v="2023-06-30T00:00:00"/>
    <d v="2023-07-20T19:48:18"/>
    <m/>
    <d v="2023-07-20T00:00:00"/>
    <n v="1155"/>
    <n v="3003"/>
    <s v="61503616"/>
    <s v="61503616"/>
    <m/>
    <m/>
    <m/>
    <m/>
    <m/>
    <m/>
    <s v="SOLRECOUP"/>
    <s v="SOLRECOUP"/>
    <s v="POARECOUP"/>
    <n v="21406321"/>
    <n v="-237"/>
    <m/>
    <s v="Y"/>
    <n v="2"/>
    <d v="2023-07-20T19:48:20"/>
    <s v="N"/>
    <m/>
    <m/>
    <s v="Expert Disbursement"/>
    <m/>
    <s v="N"/>
    <n v="0"/>
    <n v="-39.5"/>
    <x v="13"/>
    <s v="VALIDATED"/>
    <n v="1"/>
    <s v="01.11.80.308.2013.0000"/>
    <n v="-39.5"/>
    <s v="11"/>
    <s v="2013"/>
    <n v="8583.48"/>
    <n v="-39.5"/>
    <s v="CREDITOR"/>
    <n v="0"/>
    <n v="0"/>
    <n v="-39.5"/>
    <n v="0"/>
    <n v="0"/>
  </r>
  <r>
    <n v="62014147"/>
    <s v="N"/>
    <n v="21392549"/>
    <s v="3000016055120002"/>
    <s v="CIVIL"/>
    <d v="2023-06-24T00:00:00"/>
    <d v="2023-07-18T19:00:27"/>
    <m/>
    <d v="2023-07-18T00:00:00"/>
    <n v="1160"/>
    <n v="3058"/>
    <s v="62014147"/>
    <s v="62014147"/>
    <m/>
    <m/>
    <n v="22756362"/>
    <m/>
    <m/>
    <m/>
    <s v="SOLFIN"/>
    <s v="SOLFIN"/>
    <s v="CCMS"/>
    <n v="21392549"/>
    <n v="966.78"/>
    <m/>
    <s v="N"/>
    <n v="3"/>
    <d v="2023-07-18T19:00:52"/>
    <s v="Y"/>
    <s v="Level 3 Fixed Fee"/>
    <s v="Private Law Children"/>
    <s v="Profit Cost"/>
    <s v="Michaela Leyshon"/>
    <s v="Y"/>
    <n v="353"/>
    <n v="70.59999999999999"/>
    <x v="14"/>
    <s v="VALIDATED"/>
    <n v="1"/>
    <s v="01.11.80.307.6100.0000"/>
    <n v="353"/>
    <s v="11"/>
    <s v="6100"/>
    <n v="734.88"/>
    <n v="353"/>
    <s v="CREDITOR"/>
    <n v="0"/>
    <n v="0"/>
    <n v="0"/>
    <n v="0"/>
    <n v="353"/>
  </r>
  <r>
    <n v="62213496"/>
    <s v="N"/>
    <n v="21338150"/>
    <s v="3000016219850002"/>
    <s v="CIVIL"/>
    <d v="2023-06-13T00:00:00"/>
    <d v="2023-07-06T19:21:01"/>
    <m/>
    <d v="2023-07-06T00:00:00"/>
    <n v="1160"/>
    <n v="3058"/>
    <s v="62213496"/>
    <s v="62213496"/>
    <m/>
    <m/>
    <n v="22677474"/>
    <m/>
    <m/>
    <m/>
    <s v="SOLPOA"/>
    <s v="SOLPOA"/>
    <s v="CCMS"/>
    <n v="21338150"/>
    <n v="102.48"/>
    <m/>
    <s v="N"/>
    <n v="1"/>
    <d v="2023-07-06T19:21:12"/>
    <s v="N"/>
    <s v="Non Expert Disbursement - Private L"/>
    <s v="Non Expert Disbursement - Priv"/>
    <s v="Non Expert Disbursement"/>
    <s v="Michaela Leyshon"/>
    <s v="N"/>
    <n v="102.48"/>
    <n v="0"/>
    <x v="4"/>
    <s v="VALIDATED"/>
    <n v="1"/>
    <s v="01.11.80.302.2012.0000"/>
    <n v="102.48"/>
    <s v="11"/>
    <s v="2012"/>
    <n v="734.88"/>
    <n v="102.48"/>
    <s v="CREDITOR"/>
    <n v="102.48"/>
    <n v="0"/>
    <n v="0"/>
    <n v="0"/>
    <n v="0"/>
  </r>
  <r>
    <n v="62014147"/>
    <s v="N"/>
    <n v="21392549"/>
    <s v="3000016055120002"/>
    <s v="CIVIL"/>
    <d v="2023-06-24T00:00:00"/>
    <d v="2023-07-18T19:00:27"/>
    <m/>
    <d v="2023-07-18T00:00:00"/>
    <n v="1160"/>
    <n v="3058"/>
    <s v="62014147"/>
    <s v="62014147"/>
    <m/>
    <m/>
    <n v="22756362"/>
    <m/>
    <m/>
    <m/>
    <s v="SOLFIN"/>
    <s v="SOLFIN"/>
    <s v="CCMS"/>
    <n v="21392549"/>
    <n v="966.78"/>
    <m/>
    <s v="N"/>
    <n v="1"/>
    <d v="2023-07-18T19:00:52"/>
    <s v="Y"/>
    <s v="Court Fee"/>
    <s v="Private Law Children"/>
    <s v="Non Expert Disbursement"/>
    <s v="Michaela Leyshon"/>
    <s v="Y"/>
    <n v="167"/>
    <n v="0"/>
    <x v="14"/>
    <s v="VALIDATED"/>
    <n v="1"/>
    <s v="01.11.80.307.6300.0000"/>
    <n v="167"/>
    <s v="11"/>
    <s v="6300"/>
    <n v="734.88"/>
    <n v="167"/>
    <s v="CREDITOR"/>
    <n v="0"/>
    <n v="0"/>
    <n v="0"/>
    <n v="0"/>
    <n v="167"/>
  </r>
  <r>
    <n v="62014147"/>
    <s v="N"/>
    <n v="21392549"/>
    <s v="3000016055120002"/>
    <s v="CIVIL"/>
    <d v="2023-06-24T00:00:00"/>
    <d v="2023-07-18T19:00:27"/>
    <m/>
    <d v="2023-07-18T00:00:00"/>
    <n v="1160"/>
    <n v="3058"/>
    <s v="62014147"/>
    <s v="62014147"/>
    <m/>
    <m/>
    <n v="22756362"/>
    <m/>
    <m/>
    <m/>
    <s v="SOLFIN"/>
    <s v="SOLFIN"/>
    <s v="CCMS"/>
    <n v="21392549"/>
    <n v="966.78"/>
    <m/>
    <s v="N"/>
    <n v="2"/>
    <d v="2023-07-18T19:00:52"/>
    <s v="Y"/>
    <s v="Hearing Unit 2.31 - 5.00 Hours"/>
    <s v="Private Law Children"/>
    <s v="Advocacy"/>
    <s v="Catherine Morse"/>
    <s v="Y"/>
    <n v="313.48"/>
    <n v="62.7"/>
    <x v="14"/>
    <s v="VALIDATED"/>
    <n v="1"/>
    <s v="01.11.80.307.6100.0000"/>
    <n v="313.48"/>
    <s v="11"/>
    <s v="6100"/>
    <n v="734.88"/>
    <n v="313.48"/>
    <s v="CREDITOR"/>
    <n v="0"/>
    <n v="0"/>
    <n v="0"/>
    <n v="0"/>
    <n v="313.48"/>
  </r>
  <r>
    <n v="61531828"/>
    <s v="N"/>
    <n v="21322199"/>
    <s v="3000015651220010"/>
    <s v="CIVIL"/>
    <d v="2023-06-29T00:00:00"/>
    <d v="2023-07-03T19:05:36"/>
    <m/>
    <d v="2023-07-03T00:00:00"/>
    <n v="1160"/>
    <n v="3058"/>
    <s v="61531828"/>
    <s v="61531828"/>
    <m/>
    <m/>
    <n v="22791774"/>
    <m/>
    <m/>
    <m/>
    <s v="SOLPOA"/>
    <s v="SOLPOA"/>
    <s v="CCMS"/>
    <n v="21322199"/>
    <n v="455.1"/>
    <m/>
    <s v="N"/>
    <n v="1"/>
    <d v="2023-07-03T19:05:36"/>
    <s v="N"/>
    <s v="Non Expert Disbursement"/>
    <s v="Non Expert Disbursement"/>
    <s v="Non Expert Disbursement"/>
    <s v="Catherine Morse"/>
    <s v="N"/>
    <n v="455.1"/>
    <n v="0"/>
    <x v="3"/>
    <s v="VALIDATED"/>
    <n v="1"/>
    <s v="01.11.80.308.2012.0000"/>
    <n v="455.1"/>
    <s v="11"/>
    <s v="2012"/>
    <n v="734.88"/>
    <n v="455.1"/>
    <s v="CREDITOR"/>
    <n v="455.1"/>
    <n v="0"/>
    <n v="0"/>
    <n v="0"/>
    <n v="0"/>
  </r>
  <r>
    <n v="62251634"/>
    <s v="N"/>
    <n v="21322368"/>
    <s v="3000016251660001"/>
    <s v="CIVIL"/>
    <d v="2023-06-29T00:00:00"/>
    <d v="2023-07-03T19:05:36"/>
    <m/>
    <d v="2023-07-03T00:00:00"/>
    <n v="1160"/>
    <n v="3058"/>
    <s v="62251634"/>
    <s v="62251634"/>
    <m/>
    <m/>
    <n v="22792256"/>
    <m/>
    <m/>
    <m/>
    <s v="SOLPOA"/>
    <s v="SOLPOA"/>
    <s v="CCMS"/>
    <n v="21322368"/>
    <n v="156"/>
    <m/>
    <s v="N"/>
    <n v="1"/>
    <d v="2023-07-03T19:05:37"/>
    <s v="N"/>
    <s v="Non Expert Disbursement"/>
    <s v="Non Expert Disbursement"/>
    <s v="Non Expert Disbursement"/>
    <s v="Catherine Morse"/>
    <s v="N"/>
    <n v="156"/>
    <n v="0"/>
    <x v="3"/>
    <s v="VALIDATED"/>
    <n v="1"/>
    <s v="01.11.80.308.2012.0000"/>
    <n v="156"/>
    <s v="11"/>
    <s v="2012"/>
    <n v="734.88"/>
    <n v="156"/>
    <s v="CREDITOR"/>
    <n v="156"/>
    <n v="0"/>
    <n v="0"/>
    <n v="0"/>
    <n v="0"/>
  </r>
  <r>
    <n v="61531828"/>
    <s v="N"/>
    <n v="21322494"/>
    <s v="3000015651220011"/>
    <s v="CIVIL"/>
    <d v="2023-06-29T00:00:00"/>
    <d v="2023-07-03T19:05:36"/>
    <m/>
    <d v="2023-07-03T00:00:00"/>
    <n v="1160"/>
    <n v="3058"/>
    <s v="61531828"/>
    <s v="61531828"/>
    <m/>
    <m/>
    <n v="22791766"/>
    <m/>
    <m/>
    <m/>
    <s v="SOLPOA"/>
    <s v="SOLPOA"/>
    <s v="CCMS"/>
    <n v="21322494"/>
    <n v="455.1"/>
    <m/>
    <s v="N"/>
    <n v="1"/>
    <d v="2023-07-03T19:05:38"/>
    <s v="N"/>
    <s v="Non Expert Disbursement"/>
    <s v="Non Expert Disbursement"/>
    <s v="Non Expert Disbursement"/>
    <s v="Georgina Arthure"/>
    <s v="N"/>
    <n v="455.1"/>
    <n v="0"/>
    <x v="3"/>
    <s v="VALIDATED"/>
    <n v="1"/>
    <s v="01.11.80.308.2012.0000"/>
    <n v="455.1"/>
    <s v="11"/>
    <s v="2012"/>
    <n v="734.88"/>
    <n v="455.1"/>
    <s v="CREDITOR"/>
    <n v="455.1"/>
    <n v="0"/>
    <n v="0"/>
    <n v="0"/>
    <n v="0"/>
  </r>
  <r>
    <n v="62014147"/>
    <s v="N"/>
    <n v="21393273"/>
    <s v="3000016055120001RC"/>
    <s v="CIVIL"/>
    <d v="2023-06-24T00:00:00"/>
    <d v="2023-07-18T19:33:39"/>
    <m/>
    <d v="2023-07-18T00:00:00"/>
    <n v="1160"/>
    <n v="3058"/>
    <s v="62014147"/>
    <s v="62014147"/>
    <m/>
    <m/>
    <m/>
    <m/>
    <m/>
    <m/>
    <s v="SOLRECOUP"/>
    <s v="SOLRECOUP"/>
    <s v="POARECOUP"/>
    <n v="21393273"/>
    <n v="-167"/>
    <m/>
    <s v="Y"/>
    <n v="1"/>
    <d v="2023-07-18T19:33:40"/>
    <s v="N"/>
    <m/>
    <m/>
    <s v="Non Expert Disbursement"/>
    <m/>
    <s v="N"/>
    <n v="-167"/>
    <n v="0"/>
    <x v="14"/>
    <s v="VALIDATED"/>
    <n v="1"/>
    <s v="01.11.80.307.2013.0000"/>
    <n v="-167"/>
    <s v="11"/>
    <s v="2013"/>
    <n v="734.88"/>
    <n v="-167"/>
    <s v="CREDITOR"/>
    <n v="0"/>
    <n v="0"/>
    <n v="-167"/>
    <n v="0"/>
    <n v="0"/>
  </r>
  <r>
    <n v="62014147"/>
    <s v="N"/>
    <n v="21393273"/>
    <s v="3000016055120001RC"/>
    <s v="CIVIL"/>
    <d v="2023-06-24T00:00:00"/>
    <d v="2023-07-18T19:33:39"/>
    <m/>
    <d v="2023-07-18T00:00:00"/>
    <n v="1160"/>
    <n v="3058"/>
    <s v="62014147"/>
    <s v="62014147"/>
    <m/>
    <m/>
    <m/>
    <m/>
    <m/>
    <m/>
    <s v="SOLRECOUP"/>
    <s v="SOLRECOUP"/>
    <s v="POARECOUP"/>
    <n v="21393273"/>
    <n v="-167"/>
    <m/>
    <s v="Y"/>
    <n v="2"/>
    <d v="2023-07-18T19:33:40"/>
    <s v="N"/>
    <m/>
    <m/>
    <s v="Non Expert Disbursement"/>
    <m/>
    <s v="N"/>
    <n v="0"/>
    <n v="0"/>
    <x v="14"/>
    <s v="VALIDATED"/>
    <n v="1"/>
    <s v="01.11.80.000.0000.0000"/>
    <n v="0"/>
    <s v="11"/>
    <s v="0000"/>
    <n v="734.88"/>
    <n v="0"/>
    <s v="CREDITOR"/>
    <n v="0"/>
    <n v="0"/>
    <n v="0"/>
    <n v="0"/>
    <n v="0"/>
  </r>
  <r>
    <n v="60843852"/>
    <s v="N"/>
    <n v="21388176"/>
    <s v="3000015067900001RC"/>
    <s v="CIVIL"/>
    <d v="2023-06-28T00:00:00"/>
    <d v="2023-07-17T19:42:13"/>
    <m/>
    <d v="2023-07-17T00:00:00"/>
    <n v="1160"/>
    <n v="3058"/>
    <s v="60843852"/>
    <s v="60843852"/>
    <m/>
    <m/>
    <m/>
    <m/>
    <m/>
    <m/>
    <s v="SOLRECOUP"/>
    <s v="SOLRECOUP"/>
    <s v="POARECOUP"/>
    <n v="21388176"/>
    <n v="-77.98"/>
    <m/>
    <s v="Y"/>
    <n v="2"/>
    <d v="2023-07-17T19:42:14"/>
    <s v="N"/>
    <m/>
    <m/>
    <s v="Non Expert Disbursement"/>
    <m/>
    <s v="N"/>
    <n v="0"/>
    <n v="0"/>
    <x v="8"/>
    <s v="VALIDATED"/>
    <n v="1"/>
    <s v="01.11.80.000.0000.0000"/>
    <n v="0"/>
    <s v="11"/>
    <s v="0000"/>
    <n v="734.88"/>
    <n v="0"/>
    <s v="CREDITOR"/>
    <n v="0"/>
    <n v="0"/>
    <n v="0"/>
    <n v="0"/>
    <n v="0"/>
  </r>
  <r>
    <n v="60843852"/>
    <s v="N"/>
    <n v="21388176"/>
    <s v="3000015067900001RC"/>
    <s v="CIVIL"/>
    <d v="2023-06-28T00:00:00"/>
    <d v="2023-07-17T19:42:13"/>
    <m/>
    <d v="2023-07-17T00:00:00"/>
    <n v="1160"/>
    <n v="3058"/>
    <s v="60843852"/>
    <s v="60843852"/>
    <m/>
    <m/>
    <m/>
    <m/>
    <m/>
    <m/>
    <s v="SOLRECOUP"/>
    <s v="SOLRECOUP"/>
    <s v="POARECOUP"/>
    <n v="21388176"/>
    <n v="-77.98"/>
    <m/>
    <s v="Y"/>
    <n v="1"/>
    <d v="2023-07-17T19:42:14"/>
    <s v="N"/>
    <m/>
    <m/>
    <s v="Non Expert Disbursement"/>
    <m/>
    <s v="N"/>
    <n v="-77.98"/>
    <n v="0"/>
    <x v="8"/>
    <s v="VALIDATED"/>
    <n v="1"/>
    <s v="01.11.80.307.2013.0000"/>
    <n v="-77.98"/>
    <s v="11"/>
    <s v="2013"/>
    <n v="734.88"/>
    <n v="-77.98"/>
    <s v="CREDITOR"/>
    <n v="0"/>
    <n v="0"/>
    <n v="-77.98"/>
    <n v="0"/>
    <n v="0"/>
  </r>
  <r>
    <n v="60843852"/>
    <s v="N"/>
    <n v="21388177"/>
    <s v="3000015067900002RC"/>
    <s v="CIVIL"/>
    <d v="2023-06-28T00:00:00"/>
    <d v="2023-07-17T19:42:13"/>
    <m/>
    <d v="2023-07-17T00:00:00"/>
    <n v="1160"/>
    <n v="3058"/>
    <s v="60843852"/>
    <s v="60843852"/>
    <m/>
    <m/>
    <m/>
    <m/>
    <m/>
    <m/>
    <s v="SOLRECOUP"/>
    <s v="SOLRECOUP"/>
    <s v="POARECOUP"/>
    <n v="21388177"/>
    <n v="-790.3"/>
    <m/>
    <s v="Y"/>
    <n v="1"/>
    <d v="2023-07-17T19:42:14"/>
    <s v="N"/>
    <m/>
    <m/>
    <s v="Profit Cost"/>
    <m/>
    <s v="N"/>
    <n v="-658.58"/>
    <n v="0"/>
    <x v="8"/>
    <s v="VALIDATED"/>
    <n v="1"/>
    <s v="01.11.80.307.2013.0000"/>
    <n v="-658.58"/>
    <s v="11"/>
    <s v="2013"/>
    <n v="734.88"/>
    <n v="-658.58"/>
    <s v="CREDITOR"/>
    <n v="0"/>
    <n v="0"/>
    <n v="-658.58"/>
    <n v="-164.645"/>
    <n v="0"/>
  </r>
  <r>
    <n v="60843852"/>
    <s v="N"/>
    <n v="21388177"/>
    <s v="3000015067900002RC"/>
    <s v="CIVIL"/>
    <d v="2023-06-28T00:00:00"/>
    <d v="2023-07-17T19:42:13"/>
    <m/>
    <d v="2023-07-17T00:00:00"/>
    <n v="1160"/>
    <n v="3058"/>
    <s v="60843852"/>
    <s v="60843852"/>
    <m/>
    <m/>
    <m/>
    <m/>
    <m/>
    <m/>
    <s v="SOLRECOUP"/>
    <s v="SOLRECOUP"/>
    <s v="POARECOUP"/>
    <n v="21388177"/>
    <n v="-790.3"/>
    <m/>
    <s v="Y"/>
    <n v="2"/>
    <d v="2023-07-17T19:42:14"/>
    <s v="N"/>
    <m/>
    <m/>
    <s v="Profit Cost"/>
    <m/>
    <s v="N"/>
    <n v="0"/>
    <n v="-131.72"/>
    <x v="8"/>
    <s v="VALIDATED"/>
    <n v="1"/>
    <s v="01.11.80.307.2013.0000"/>
    <n v="-131.72"/>
    <s v="11"/>
    <s v="2013"/>
    <n v="734.88"/>
    <n v="-131.72"/>
    <s v="CREDITOR"/>
    <n v="0"/>
    <n v="0"/>
    <n v="-131.72"/>
    <n v="-32.93"/>
    <n v="0"/>
  </r>
  <r>
    <n v="60843852"/>
    <s v="N"/>
    <n v="21388178"/>
    <s v="3000015067900003RC"/>
    <s v="CIVIL"/>
    <d v="2023-06-28T00:00:00"/>
    <d v="2023-07-17T19:42:13"/>
    <m/>
    <d v="2023-07-17T00:00:00"/>
    <n v="1160"/>
    <n v="3058"/>
    <s v="60843852"/>
    <s v="60843852"/>
    <m/>
    <m/>
    <m/>
    <m/>
    <m/>
    <m/>
    <s v="SOLRECOUP"/>
    <s v="SOLRECOUP"/>
    <s v="POARECOUP"/>
    <n v="21388178"/>
    <n v="-232"/>
    <m/>
    <s v="Y"/>
    <n v="1"/>
    <d v="2023-07-17T19:42:14"/>
    <s v="N"/>
    <m/>
    <m/>
    <s v="Non Expert Disbursement"/>
    <m/>
    <s v="N"/>
    <n v="-232"/>
    <n v="0"/>
    <x v="8"/>
    <s v="VALIDATED"/>
    <n v="1"/>
    <s v="01.11.80.307.2013.0000"/>
    <n v="-232"/>
    <s v="11"/>
    <s v="2013"/>
    <n v="734.88"/>
    <n v="-232"/>
    <s v="CREDITOR"/>
    <n v="0"/>
    <n v="0"/>
    <n v="-232"/>
    <n v="0"/>
    <n v="0"/>
  </r>
  <r>
    <n v="60843852"/>
    <s v="N"/>
    <n v="21388178"/>
    <s v="3000015067900003RC"/>
    <s v="CIVIL"/>
    <d v="2023-06-28T00:00:00"/>
    <d v="2023-07-17T19:42:13"/>
    <m/>
    <d v="2023-07-17T00:00:00"/>
    <n v="1160"/>
    <n v="3058"/>
    <s v="60843852"/>
    <s v="60843852"/>
    <m/>
    <m/>
    <m/>
    <m/>
    <m/>
    <m/>
    <s v="SOLRECOUP"/>
    <s v="SOLRECOUP"/>
    <s v="POARECOUP"/>
    <n v="21388178"/>
    <n v="-232"/>
    <m/>
    <s v="Y"/>
    <n v="2"/>
    <d v="2023-07-17T19:42:14"/>
    <s v="N"/>
    <m/>
    <m/>
    <s v="Non Expert Disbursement"/>
    <m/>
    <s v="N"/>
    <n v="0"/>
    <n v="0"/>
    <x v="8"/>
    <s v="VALIDATED"/>
    <n v="1"/>
    <s v="01.11.80.000.0000.0000"/>
    <n v="0"/>
    <s v="11"/>
    <s v="0000"/>
    <n v="734.88"/>
    <n v="0"/>
    <s v="CREDITOR"/>
    <n v="0"/>
    <n v="0"/>
    <n v="0"/>
    <n v="0"/>
    <n v="0"/>
  </r>
  <r>
    <n v="61539581"/>
    <s v="N"/>
    <n v="21318406"/>
    <s v="3000015658450002"/>
    <s v="CIVIL"/>
    <d v="2023-06-23T00:00:00"/>
    <d v="2023-07-03T19:01:49"/>
    <m/>
    <d v="2023-07-03T00:00:00"/>
    <n v="1168"/>
    <n v="3125"/>
    <s v="61539581"/>
    <s v="61539581"/>
    <m/>
    <m/>
    <n v="22752120"/>
    <m/>
    <m/>
    <m/>
    <s v="SOLPOA"/>
    <s v="SOLPOA"/>
    <s v="CCMS"/>
    <n v="21318406"/>
    <n v="774.3"/>
    <m/>
    <s v="N"/>
    <n v="1"/>
    <d v="2023-07-03T19:01:54"/>
    <s v="N"/>
    <s v="Expert Cost"/>
    <s v="Expert Cost"/>
    <s v="Expert Disbursement"/>
    <s v="Danielle Shreeve"/>
    <s v="N"/>
    <n v="645.25"/>
    <n v="129.05"/>
    <x v="3"/>
    <s v="VALIDATED"/>
    <n v="1"/>
    <s v="01.11.80.308.2012.0000"/>
    <n v="645.25"/>
    <s v="11"/>
    <s v="2012"/>
    <n v="3443.6"/>
    <n v="645.25"/>
    <s v="CREDITOR"/>
    <n v="645.25"/>
    <n v="0"/>
    <n v="0"/>
    <n v="0"/>
    <n v="0"/>
  </r>
  <r>
    <n v="62301807"/>
    <s v="N"/>
    <n v="21322239"/>
    <s v="3000016292940001"/>
    <s v="CIVIL"/>
    <d v="2023-06-29T00:00:00"/>
    <d v="2023-07-03T19:05:36"/>
    <m/>
    <d v="2023-07-03T00:00:00"/>
    <n v="1168"/>
    <n v="3125"/>
    <s v="62301807"/>
    <s v="62301807"/>
    <m/>
    <m/>
    <n v="22789860"/>
    <m/>
    <m/>
    <m/>
    <s v="SOLPOA"/>
    <s v="SOLPOA"/>
    <s v="CCMS"/>
    <n v="21322239"/>
    <n v="825"/>
    <m/>
    <s v="N"/>
    <n v="1"/>
    <d v="2023-07-03T19:05:36"/>
    <s v="N"/>
    <s v="Expert Cost"/>
    <s v="Expert Cost"/>
    <s v="Expert Disbursement"/>
    <s v="Tony Donnelly"/>
    <s v="N"/>
    <n v="687.5"/>
    <n v="137.5"/>
    <x v="3"/>
    <s v="VALIDATED"/>
    <n v="1"/>
    <s v="01.11.80.308.2012.0000"/>
    <n v="687.5"/>
    <s v="11"/>
    <s v="2012"/>
    <n v="3443.6"/>
    <n v="687.5"/>
    <s v="CREDITOR"/>
    <n v="687.5"/>
    <n v="0"/>
    <n v="0"/>
    <n v="0"/>
    <n v="0"/>
  </r>
  <r>
    <n v="62465477"/>
    <s v="N"/>
    <n v="21349806"/>
    <s v="3000016429130001"/>
    <s v="CIVIL"/>
    <d v="2023-06-30T00:00:00"/>
    <d v="2023-07-10T19:01:40"/>
    <m/>
    <d v="2023-07-10T00:00:00"/>
    <n v="1168"/>
    <n v="3125"/>
    <s v="62465477"/>
    <s v="62465477"/>
    <m/>
    <m/>
    <n v="22794646"/>
    <m/>
    <m/>
    <m/>
    <s v="SOLPOA"/>
    <s v="SOLPOA"/>
    <s v="CCMS"/>
    <n v="21349806"/>
    <n v="61.5"/>
    <m/>
    <s v="N"/>
    <n v="1"/>
    <d v="2023-07-10T19:01:58"/>
    <s v="N"/>
    <s v="Expert Cost"/>
    <s v="Expert Cost"/>
    <s v="Expert Disbursement"/>
    <s v="Emma Rose-Thomas"/>
    <s v="N"/>
    <n v="51.25"/>
    <n v="10.25"/>
    <x v="2"/>
    <s v="VALIDATED"/>
    <n v="1"/>
    <s v="01.11.80.308.2012.0000"/>
    <n v="51.25"/>
    <s v="11"/>
    <s v="2012"/>
    <n v="3443.6"/>
    <n v="51.25"/>
    <s v="CREDITOR"/>
    <n v="51.25"/>
    <n v="0"/>
    <n v="0"/>
    <n v="0"/>
    <n v="0"/>
  </r>
  <r>
    <n v="60860895"/>
    <s v="N"/>
    <n v="21322567"/>
    <s v="3000015087750009"/>
    <s v="CIVIL"/>
    <d v="2023-06-29T00:00:00"/>
    <d v="2023-07-03T19:05:36"/>
    <m/>
    <d v="2023-07-03T00:00:00"/>
    <n v="1168"/>
    <n v="3125"/>
    <s v="60860895"/>
    <s v="60860895"/>
    <m/>
    <m/>
    <n v="22789832"/>
    <m/>
    <m/>
    <m/>
    <s v="SOLPOA"/>
    <s v="SOLPOA"/>
    <s v="CCMS"/>
    <n v="21322567"/>
    <n v="504"/>
    <m/>
    <s v="N"/>
    <n v="1"/>
    <d v="2023-07-03T19:05:38"/>
    <s v="N"/>
    <s v="Expert Cost"/>
    <s v="Expert Cost"/>
    <s v="Expert Disbursement"/>
    <s v="Tony Donnelly"/>
    <s v="N"/>
    <n v="420"/>
    <n v="84"/>
    <x v="3"/>
    <s v="VALIDATED"/>
    <n v="1"/>
    <s v="01.11.80.308.2012.0000"/>
    <n v="420"/>
    <s v="11"/>
    <s v="2012"/>
    <n v="3443.6"/>
    <n v="420"/>
    <s v="CREDITOR"/>
    <n v="420"/>
    <n v="0"/>
    <n v="0"/>
    <n v="0"/>
    <n v="0"/>
  </r>
  <r>
    <n v="60860895"/>
    <s v="N"/>
    <n v="21319955"/>
    <s v="3000015087750010"/>
    <s v="CIVIL"/>
    <d v="2023-06-28T00:00:00"/>
    <d v="2023-07-03T19:04:24"/>
    <m/>
    <d v="2023-07-03T00:00:00"/>
    <n v="1168"/>
    <n v="3125"/>
    <s v="60860895"/>
    <s v="60860895"/>
    <m/>
    <m/>
    <n v="22776908"/>
    <m/>
    <m/>
    <m/>
    <s v="SOLPOA"/>
    <s v="SOLPOA"/>
    <s v="CCMS"/>
    <n v="21319955"/>
    <n v="604.8"/>
    <m/>
    <s v="N"/>
    <n v="1"/>
    <d v="2023-07-03T19:04:28"/>
    <s v="N"/>
    <s v="Expert Cost"/>
    <s v="Expert Cost"/>
    <s v="Expert Disbursement"/>
    <s v="Tony Donnelly"/>
    <s v="N"/>
    <n v="504"/>
    <n v="100.8"/>
    <x v="3"/>
    <s v="VALIDATED"/>
    <n v="1"/>
    <s v="01.11.80.308.2012.0000"/>
    <n v="504"/>
    <s v="11"/>
    <s v="2012"/>
    <n v="3443.6"/>
    <n v="504"/>
    <s v="CREDITOR"/>
    <n v="504"/>
    <n v="0"/>
    <n v="0"/>
    <n v="0"/>
    <n v="0"/>
  </r>
  <r>
    <n v="62361603"/>
    <s v="N"/>
    <n v="21349380"/>
    <s v="3000016342950001"/>
    <s v="CIVIL"/>
    <d v="2023-06-29T00:00:00"/>
    <d v="2023-07-10T19:01:40"/>
    <m/>
    <d v="2023-07-10T00:00:00"/>
    <n v="1168"/>
    <n v="3125"/>
    <s v="62361603"/>
    <s v="62361603"/>
    <m/>
    <m/>
    <n v="22787968"/>
    <m/>
    <m/>
    <m/>
    <s v="SOLPOA"/>
    <s v="SOLPOA"/>
    <s v="CCMS"/>
    <n v="21349380"/>
    <n v="57.72"/>
    <m/>
    <s v="N"/>
    <n v="1"/>
    <d v="2023-07-10T19:01:48"/>
    <s v="N"/>
    <s v="Expert Cost"/>
    <s v="Expert Cost"/>
    <s v="Expert Disbursement"/>
    <s v="Danielle Shreeve"/>
    <s v="N"/>
    <n v="48.1"/>
    <n v="9.619999999999999"/>
    <x v="2"/>
    <s v="VALIDATED"/>
    <n v="1"/>
    <s v="01.11.80.308.2012.0000"/>
    <n v="48.1"/>
    <s v="11"/>
    <s v="2012"/>
    <n v="3443.6"/>
    <n v="48.1"/>
    <s v="CREDITOR"/>
    <n v="48.1"/>
    <n v="0"/>
    <n v="0"/>
    <n v="0"/>
    <n v="0"/>
  </r>
  <r>
    <n v="62361603"/>
    <s v="N"/>
    <n v="21349689"/>
    <s v="3000016342950002"/>
    <s v="CIVIL"/>
    <d v="2023-06-28T00:00:00"/>
    <d v="2023-07-10T19:01:40"/>
    <m/>
    <d v="2023-07-10T00:00:00"/>
    <n v="1168"/>
    <n v="3125"/>
    <s v="62361603"/>
    <s v="62361603"/>
    <m/>
    <m/>
    <n v="22780456"/>
    <m/>
    <m/>
    <m/>
    <s v="SOLPOA"/>
    <s v="SOLPOA"/>
    <s v="CCMS"/>
    <n v="21349689"/>
    <n v="53"/>
    <m/>
    <s v="N"/>
    <n v="1"/>
    <d v="2023-07-10T19:01:55"/>
    <s v="N"/>
    <s v="Non Expert Disbursement"/>
    <s v="Non Expert Disbursement"/>
    <s v="Non Expert Disbursement"/>
    <s v="Danielle Shreeve"/>
    <s v="N"/>
    <n v="53"/>
    <n v="0"/>
    <x v="2"/>
    <s v="VALIDATED"/>
    <n v="1"/>
    <s v="01.11.80.308.2012.0000"/>
    <n v="53"/>
    <s v="11"/>
    <s v="2012"/>
    <n v="3443.6"/>
    <n v="53"/>
    <s v="CREDITOR"/>
    <n v="53"/>
    <n v="0"/>
    <n v="0"/>
    <n v="0"/>
    <n v="0"/>
  </r>
  <r>
    <n v="62271328"/>
    <s v="N"/>
    <n v="21349435"/>
    <s v="3000016267720002"/>
    <s v="CIVIL"/>
    <d v="2023-06-29T00:00:00"/>
    <d v="2023-07-10T19:01:40"/>
    <m/>
    <d v="2023-07-10T00:00:00"/>
    <n v="1168"/>
    <n v="3125"/>
    <s v="62271328"/>
    <s v="62271328"/>
    <m/>
    <m/>
    <n v="22787898"/>
    <m/>
    <m/>
    <m/>
    <s v="SOLPOA"/>
    <s v="SOLPOA"/>
    <s v="CCMS"/>
    <n v="21349435"/>
    <n v="620.7"/>
    <m/>
    <s v="N"/>
    <n v="1"/>
    <d v="2023-07-10T19:01:50"/>
    <s v="N"/>
    <s v="Expert Cost"/>
    <s v="Expert Cost"/>
    <s v="Expert Disbursement"/>
    <s v="Emma Rose-Thomas"/>
    <s v="N"/>
    <n v="517.25"/>
    <n v="103.45"/>
    <x v="2"/>
    <s v="VALIDATED"/>
    <n v="1"/>
    <s v="01.11.80.308.2012.0000"/>
    <n v="517.25"/>
    <s v="11"/>
    <s v="2012"/>
    <n v="3443.6"/>
    <n v="517.25"/>
    <s v="CREDITOR"/>
    <n v="517.25"/>
    <n v="0"/>
    <n v="0"/>
    <n v="0"/>
    <n v="0"/>
  </r>
  <r>
    <n v="62271328"/>
    <s v="N"/>
    <n v="21349820"/>
    <s v="3000016267720003"/>
    <s v="CIVIL"/>
    <d v="2023-06-30T00:00:00"/>
    <d v="2023-07-10T19:01:40"/>
    <m/>
    <d v="2023-07-10T00:00:00"/>
    <n v="1168"/>
    <n v="3125"/>
    <s v="62271328"/>
    <s v="62271328"/>
    <m/>
    <m/>
    <n v="22794602"/>
    <m/>
    <m/>
    <m/>
    <s v="SOLPOA"/>
    <s v="SOLPOA"/>
    <s v="CCMS"/>
    <n v="21349820"/>
    <n v="620.7"/>
    <m/>
    <s v="N"/>
    <n v="1"/>
    <d v="2023-07-10T19:01:58"/>
    <s v="N"/>
    <s v="Expert Cost"/>
    <s v="Expert Cost"/>
    <s v="Expert Disbursement"/>
    <s v="Emma Rose-Thomas"/>
    <s v="N"/>
    <n v="517.25"/>
    <n v="103.45"/>
    <x v="2"/>
    <s v="VALIDATED"/>
    <n v="1"/>
    <s v="01.11.80.308.2012.0000"/>
    <n v="517.25"/>
    <s v="11"/>
    <s v="2012"/>
    <n v="3443.6"/>
    <n v="517.25"/>
    <s v="CREDITOR"/>
    <n v="517.25"/>
    <n v="0"/>
    <n v="0"/>
    <n v="0"/>
    <n v="0"/>
  </r>
  <r>
    <n v="60345453"/>
    <s v="N"/>
    <n v="21349890"/>
    <s v="3000014642110008"/>
    <s v="CIVIL"/>
    <d v="2023-06-23T00:00:00"/>
    <d v="2023-07-10T19:01:40"/>
    <m/>
    <d v="2023-07-10T00:00:00"/>
    <n v="1174"/>
    <n v="3180"/>
    <s v="60345453"/>
    <s v="60345453"/>
    <m/>
    <m/>
    <n v="22753676"/>
    <m/>
    <m/>
    <m/>
    <s v="SOLFIN"/>
    <s v="SOLFIN"/>
    <s v="CCMS"/>
    <n v="21349890"/>
    <n v="20669.7"/>
    <m/>
    <s v="N"/>
    <n v="66"/>
    <d v="2023-07-10T19:02:02"/>
    <s v="Y"/>
    <s v="Preparation - drafting application"/>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02"/>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38"/>
    <d v="2023-07-10T19:02:02"/>
    <s v="Y"/>
    <s v="Report - other expert's report"/>
    <s v="Care Remuneration Hourly Rates"/>
    <s v="Profit Cost"/>
    <s v="GW"/>
    <s v="Y"/>
    <n v="53.34"/>
    <n v="10.67"/>
    <x v="2"/>
    <s v="VALIDATED"/>
    <n v="1"/>
    <s v="01.11.80.308.6100.0000"/>
    <n v="53.34"/>
    <s v="11"/>
    <s v="6100"/>
    <n v="8273.040000000001"/>
    <n v="53.34"/>
    <s v="CREDITOR"/>
    <n v="0"/>
    <n v="0"/>
    <n v="0"/>
    <n v="0"/>
    <n v="53.34"/>
  </r>
  <r>
    <n v="60345453"/>
    <s v="N"/>
    <n v="21349890"/>
    <s v="3000014642110008"/>
    <s v="CIVIL"/>
    <d v="2023-06-23T00:00:00"/>
    <d v="2023-07-10T19:01:40"/>
    <m/>
    <d v="2023-07-10T00:00:00"/>
    <n v="1174"/>
    <n v="3180"/>
    <s v="60345453"/>
    <s v="60345453"/>
    <m/>
    <m/>
    <n v="22753676"/>
    <m/>
    <m/>
    <m/>
    <s v="SOLFIN"/>
    <s v="SOLFIN"/>
    <s v="CCMS"/>
    <n v="21349890"/>
    <n v="20669.7"/>
    <m/>
    <s v="N"/>
    <n v="8"/>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5"/>
    <d v="2023-07-10T19:02:02"/>
    <s v="Y"/>
    <s v="Attendance upon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71"/>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1"/>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80"/>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74"/>
    <d v="2023-07-10T19:02:02"/>
    <s v="Y"/>
    <s v="Attendance upon client"/>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48"/>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96"/>
    <d v="2023-07-10T19:02:02"/>
    <s v="Y"/>
    <s v="Preparation - drafting pleadings"/>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21"/>
    <d v="2023-07-10T19:02:02"/>
    <s v="Y"/>
    <s v="Routine Letter Out"/>
    <s v="Care Remuneration Hourly Rates"/>
    <s v="Profit Cost"/>
    <s v="GW"/>
    <s v="Y"/>
    <n v="6139"/>
    <n v="1227.78"/>
    <x v="2"/>
    <s v="VALIDATED"/>
    <n v="1"/>
    <s v="01.11.80.308.6100.0000"/>
    <n v="6139"/>
    <s v="11"/>
    <s v="6100"/>
    <n v="8273.040000000001"/>
    <n v="6139"/>
    <s v="CREDITOR"/>
    <n v="0"/>
    <n v="0"/>
    <n v="0"/>
    <n v="0"/>
    <n v="6139"/>
  </r>
  <r>
    <n v="60345453"/>
    <s v="N"/>
    <n v="21349890"/>
    <s v="3000014642110008"/>
    <s v="CIVIL"/>
    <d v="2023-06-23T00:00:00"/>
    <d v="2023-07-10T19:01:40"/>
    <m/>
    <d v="2023-07-10T00:00:00"/>
    <n v="1174"/>
    <n v="3180"/>
    <s v="60345453"/>
    <s v="60345453"/>
    <m/>
    <m/>
    <n v="22753676"/>
    <m/>
    <m/>
    <m/>
    <s v="SOLFIN"/>
    <s v="SOLFIN"/>
    <s v="CCMS"/>
    <n v="21349890"/>
    <n v="20669.7"/>
    <m/>
    <s v="N"/>
    <n v="32"/>
    <d v="2023-07-10T19:02:02"/>
    <s v="Y"/>
    <s v="Preparation - drafting statement"/>
    <s v="Care Remuneration Hourly Rates"/>
    <s v="Profit Cost"/>
    <s v="GW"/>
    <s v="Y"/>
    <n v="17.78"/>
    <n v="3.56"/>
    <x v="2"/>
    <s v="VALIDATED"/>
    <n v="1"/>
    <s v="01.11.80.308.6100.0000"/>
    <n v="17.78"/>
    <s v="11"/>
    <s v="6100"/>
    <n v="8273.040000000001"/>
    <n v="17.78"/>
    <s v="CREDITOR"/>
    <n v="0"/>
    <n v="0"/>
    <n v="0"/>
    <n v="0"/>
    <n v="17.78"/>
  </r>
  <r>
    <n v="60345453"/>
    <s v="N"/>
    <n v="21356489"/>
    <s v="3000014642110005RC"/>
    <s v="CIVIL"/>
    <d v="2023-06-23T00:00:00"/>
    <d v="2023-07-10T19:47:44"/>
    <m/>
    <d v="2023-07-10T00:00:00"/>
    <n v="1174"/>
    <n v="3180"/>
    <s v="60345453"/>
    <s v="60345453"/>
    <m/>
    <m/>
    <m/>
    <m/>
    <m/>
    <m/>
    <s v="SOLRECOUP"/>
    <s v="SOLRECOUP"/>
    <s v="POARECOUP"/>
    <n v="21356489"/>
    <n v="-14.04"/>
    <m/>
    <s v="Y"/>
    <n v="2"/>
    <d v="2023-07-10T19:47:45"/>
    <s v="N"/>
    <m/>
    <m/>
    <s v="Non Expert Disbursement"/>
    <m/>
    <s v="N"/>
    <n v="0"/>
    <n v="-2.34"/>
    <x v="2"/>
    <s v="VALIDATED"/>
    <n v="1"/>
    <s v="01.11.80.308.2013.0000"/>
    <n v="-2.34"/>
    <s v="11"/>
    <s v="2013"/>
    <n v="8273.040000000001"/>
    <n v="-2.34"/>
    <s v="CREDITOR"/>
    <n v="0"/>
    <n v="0"/>
    <n v="-2.34"/>
    <n v="0"/>
    <n v="0"/>
  </r>
  <r>
    <n v="60345453"/>
    <s v="N"/>
    <n v="21356490"/>
    <s v="3000014642110006RC"/>
    <s v="CIVIL"/>
    <d v="2023-06-23T00:00:00"/>
    <d v="2023-07-10T19:47:44"/>
    <m/>
    <d v="2023-07-10T00:00:00"/>
    <n v="1174"/>
    <n v="3180"/>
    <s v="60345453"/>
    <s v="60345453"/>
    <m/>
    <m/>
    <m/>
    <m/>
    <m/>
    <m/>
    <s v="SOLRECOUP"/>
    <s v="SOLRECOUP"/>
    <s v="POARECOUP"/>
    <n v="21356490"/>
    <n v="-167"/>
    <m/>
    <s v="Y"/>
    <n v="1"/>
    <d v="2023-07-10T19:47:45"/>
    <s v="N"/>
    <m/>
    <m/>
    <s v="Non Expert Disbursement"/>
    <m/>
    <s v="N"/>
    <n v="-167"/>
    <n v="0"/>
    <x v="2"/>
    <s v="VALIDATED"/>
    <n v="1"/>
    <s v="01.11.80.308.2013.0000"/>
    <n v="-167"/>
    <s v="11"/>
    <s v="2013"/>
    <n v="8273.040000000001"/>
    <n v="-167"/>
    <s v="CREDITOR"/>
    <n v="0"/>
    <n v="0"/>
    <n v="-167"/>
    <n v="0"/>
    <n v="0"/>
  </r>
  <r>
    <n v="60345453"/>
    <s v="N"/>
    <n v="21356490"/>
    <s v="3000014642110006RC"/>
    <s v="CIVIL"/>
    <d v="2023-06-23T00:00:00"/>
    <d v="2023-07-10T19:47:44"/>
    <m/>
    <d v="2023-07-10T00:00:00"/>
    <n v="1174"/>
    <n v="3180"/>
    <s v="60345453"/>
    <s v="60345453"/>
    <m/>
    <m/>
    <m/>
    <m/>
    <m/>
    <m/>
    <s v="SOLRECOUP"/>
    <s v="SOLRECOUP"/>
    <s v="POARECOUP"/>
    <n v="21356490"/>
    <n v="-167"/>
    <m/>
    <s v="Y"/>
    <n v="2"/>
    <d v="2023-07-10T19:47:45"/>
    <s v="N"/>
    <m/>
    <m/>
    <s v="Non Expert Disbursement"/>
    <m/>
    <s v="N"/>
    <n v="0"/>
    <n v="0"/>
    <x v="2"/>
    <s v="VALIDATED"/>
    <n v="1"/>
    <s v="01.11.80.000.0000.0000"/>
    <n v="0"/>
    <s v="11"/>
    <s v="0000"/>
    <n v="8273.040000000001"/>
    <n v="0"/>
    <s v="CREDITOR"/>
    <n v="0"/>
    <n v="0"/>
    <n v="0"/>
    <n v="0"/>
    <n v="0"/>
  </r>
  <r>
    <n v="60345453"/>
    <s v="N"/>
    <n v="21356488"/>
    <s v="3000014642110003RC"/>
    <s v="CIVIL"/>
    <d v="2023-06-23T00:00:00"/>
    <d v="2023-07-10T19:47:44"/>
    <m/>
    <d v="2023-07-10T00:00:00"/>
    <n v="1174"/>
    <n v="3180"/>
    <s v="60345453"/>
    <s v="60345453"/>
    <m/>
    <m/>
    <m/>
    <m/>
    <m/>
    <m/>
    <s v="SOLRECOUP"/>
    <s v="SOLRECOUP"/>
    <s v="POARECOUP"/>
    <n v="21356488"/>
    <n v="-238.68"/>
    <m/>
    <s v="Y"/>
    <n v="1"/>
    <d v="2023-07-10T19:47:45"/>
    <s v="N"/>
    <m/>
    <m/>
    <s v="Non Expert Disbursement"/>
    <m/>
    <s v="N"/>
    <n v="-198.9"/>
    <n v="0"/>
    <x v="2"/>
    <s v="VALIDATED"/>
    <n v="1"/>
    <s v="01.11.80.308.2013.0000"/>
    <n v="-198.9"/>
    <s v="11"/>
    <s v="2013"/>
    <n v="8273.040000000001"/>
    <n v="-198.9"/>
    <s v="CREDITOR"/>
    <n v="0"/>
    <n v="0"/>
    <n v="-198.9"/>
    <n v="0"/>
    <n v="0"/>
  </r>
  <r>
    <n v="61087799"/>
    <s v="N"/>
    <n v="21361450"/>
    <s v="3000015272320010RC"/>
    <s v="CIVIL"/>
    <d v="2023-06-26T00:00:00"/>
    <d v="2023-07-11T19:38:00"/>
    <m/>
    <d v="2023-07-11T00:00:00"/>
    <n v="1174"/>
    <n v="3180"/>
    <s v="61087799"/>
    <s v="61087799"/>
    <m/>
    <m/>
    <m/>
    <m/>
    <m/>
    <m/>
    <s v="SOLRECOUP"/>
    <s v="SOLRECOUP"/>
    <s v="POARECOUP"/>
    <n v="21361450"/>
    <n v="-639.89"/>
    <m/>
    <s v="Y"/>
    <n v="2"/>
    <d v="2023-07-11T19:38:01"/>
    <s v="N"/>
    <m/>
    <m/>
    <s v="Non Expert Disbursement"/>
    <m/>
    <s v="N"/>
    <n v="0"/>
    <n v="-106.65"/>
    <x v="7"/>
    <s v="VALIDATED"/>
    <n v="1"/>
    <s v="01.11.80.302.2013.0000"/>
    <n v="-106.65"/>
    <s v="11"/>
    <s v="2013"/>
    <n v="8273.040000000001"/>
    <n v="-106.65"/>
    <s v="CREDITOR"/>
    <n v="0"/>
    <n v="0"/>
    <n v="-106.65"/>
    <n v="0"/>
    <n v="0"/>
  </r>
  <r>
    <n v="61087799"/>
    <s v="N"/>
    <n v="21361451"/>
    <s v="3000015272320013RC"/>
    <s v="CIVIL"/>
    <d v="2023-06-26T00:00:00"/>
    <d v="2023-07-11T19:38:00"/>
    <m/>
    <d v="2023-07-11T00:00:00"/>
    <n v="1174"/>
    <n v="3180"/>
    <s v="61087799"/>
    <s v="61087799"/>
    <m/>
    <m/>
    <m/>
    <m/>
    <m/>
    <m/>
    <s v="SOLRECOUP"/>
    <s v="SOLRECOUP"/>
    <s v="POARECOUP"/>
    <n v="21361451"/>
    <n v="-68.40000000000001"/>
    <m/>
    <s v="Y"/>
    <n v="1"/>
    <d v="2023-07-11T19:38:01"/>
    <s v="N"/>
    <m/>
    <m/>
    <s v="Non Expert Disbursement"/>
    <m/>
    <s v="N"/>
    <n v="-57"/>
    <n v="0"/>
    <x v="7"/>
    <s v="VALIDATED"/>
    <n v="1"/>
    <s v="01.11.80.302.2013.0000"/>
    <n v="-57"/>
    <s v="11"/>
    <s v="2013"/>
    <n v="8273.040000000001"/>
    <n v="-57"/>
    <s v="CREDITOR"/>
    <n v="0"/>
    <n v="0"/>
    <n v="-57"/>
    <n v="0"/>
    <n v="0"/>
  </r>
  <r>
    <n v="61087799"/>
    <s v="N"/>
    <n v="21361451"/>
    <s v="3000015272320013RC"/>
    <s v="CIVIL"/>
    <d v="2023-06-26T00:00:00"/>
    <d v="2023-07-11T19:38:00"/>
    <m/>
    <d v="2023-07-11T00:00:00"/>
    <n v="1174"/>
    <n v="3180"/>
    <s v="61087799"/>
    <s v="61087799"/>
    <m/>
    <m/>
    <m/>
    <m/>
    <m/>
    <m/>
    <s v="SOLRECOUP"/>
    <s v="SOLRECOUP"/>
    <s v="POARECOUP"/>
    <n v="21361451"/>
    <n v="-68.40000000000001"/>
    <m/>
    <s v="Y"/>
    <n v="2"/>
    <d v="2023-07-11T19:38:01"/>
    <s v="N"/>
    <m/>
    <m/>
    <s v="Non Expert Disbursement"/>
    <m/>
    <s v="N"/>
    <n v="0"/>
    <n v="-11.4"/>
    <x v="7"/>
    <s v="VALIDATED"/>
    <n v="1"/>
    <s v="01.11.80.302.2013.0000"/>
    <n v="-11.4"/>
    <s v="11"/>
    <s v="2013"/>
    <n v="8273.040000000001"/>
    <n v="-11.4"/>
    <s v="CREDITOR"/>
    <n v="0"/>
    <n v="0"/>
    <n v="-11.4"/>
    <n v="0"/>
    <n v="0"/>
  </r>
  <r>
    <n v="61087799"/>
    <s v="N"/>
    <n v="21361452"/>
    <s v="3000015272320014RC"/>
    <s v="CIVIL"/>
    <d v="2023-06-26T00:00:00"/>
    <d v="2023-07-11T19:38:00"/>
    <m/>
    <d v="2023-07-11T00:00:00"/>
    <n v="1174"/>
    <n v="3180"/>
    <s v="61087799"/>
    <s v="61087799"/>
    <m/>
    <m/>
    <m/>
    <m/>
    <m/>
    <m/>
    <s v="SOLRECOUP"/>
    <s v="SOLRECOUP"/>
    <s v="POARECOUP"/>
    <n v="21361452"/>
    <n v="-1135.2"/>
    <m/>
    <s v="Y"/>
    <n v="2"/>
    <d v="2023-07-11T19:38:01"/>
    <s v="N"/>
    <m/>
    <m/>
    <s v="Non Expert Disbursement"/>
    <m/>
    <s v="N"/>
    <n v="0"/>
    <n v="-189.2"/>
    <x v="7"/>
    <s v="VALIDATED"/>
    <n v="1"/>
    <s v="01.11.80.302.2013.0000"/>
    <n v="-189.2"/>
    <s v="11"/>
    <s v="2013"/>
    <n v="8273.040000000001"/>
    <n v="-189.2"/>
    <s v="CREDITOR"/>
    <n v="0"/>
    <n v="0"/>
    <n v="-189.2"/>
    <n v="0"/>
    <n v="0"/>
  </r>
  <r>
    <n v="61087799"/>
    <s v="N"/>
    <n v="21361452"/>
    <s v="3000015272320014RC"/>
    <s v="CIVIL"/>
    <d v="2023-06-26T00:00:00"/>
    <d v="2023-07-11T19:38:00"/>
    <m/>
    <d v="2023-07-11T00:00:00"/>
    <n v="1174"/>
    <n v="3180"/>
    <s v="61087799"/>
    <s v="61087799"/>
    <m/>
    <m/>
    <m/>
    <m/>
    <m/>
    <m/>
    <s v="SOLRECOUP"/>
    <s v="SOLRECOUP"/>
    <s v="POARECOUP"/>
    <n v="21361452"/>
    <n v="-1135.2"/>
    <m/>
    <s v="Y"/>
    <n v="1"/>
    <d v="2023-07-11T19:38:01"/>
    <s v="N"/>
    <m/>
    <m/>
    <s v="Non Expert Disbursement"/>
    <m/>
    <s v="N"/>
    <n v="-946"/>
    <n v="0"/>
    <x v="7"/>
    <s v="VALIDATED"/>
    <n v="1"/>
    <s v="01.11.80.302.2013.0000"/>
    <n v="-946"/>
    <s v="11"/>
    <s v="2013"/>
    <n v="8273.040000000001"/>
    <n v="-946"/>
    <s v="CREDITOR"/>
    <n v="0"/>
    <n v="0"/>
    <n v="-946"/>
    <n v="0"/>
    <n v="0"/>
  </r>
  <r>
    <n v="61087799"/>
    <s v="N"/>
    <n v="21361453"/>
    <s v="3000015272320012RC"/>
    <s v="CIVIL"/>
    <d v="2023-06-26T00:00:00"/>
    <d v="2023-07-11T19:38:00"/>
    <m/>
    <d v="2023-07-11T00:00:00"/>
    <n v="1174"/>
    <n v="3180"/>
    <s v="61087799"/>
    <s v="61087799"/>
    <m/>
    <m/>
    <m/>
    <m/>
    <m/>
    <m/>
    <s v="SOLRECOUP"/>
    <s v="SOLRECOUP"/>
    <s v="POARECOUP"/>
    <n v="21361453"/>
    <n v="-2198.4"/>
    <m/>
    <s v="Y"/>
    <n v="2"/>
    <d v="2023-07-11T19:38:01"/>
    <s v="N"/>
    <m/>
    <m/>
    <s v="Non Expert Disbursement"/>
    <m/>
    <s v="N"/>
    <n v="0"/>
    <n v="-366.4"/>
    <x v="7"/>
    <s v="VALIDATED"/>
    <n v="1"/>
    <s v="01.11.80.302.2013.0000"/>
    <n v="-366.4"/>
    <s v="11"/>
    <s v="2013"/>
    <n v="8273.040000000001"/>
    <n v="-366.4"/>
    <s v="CREDITOR"/>
    <n v="0"/>
    <n v="0"/>
    <n v="-366.4"/>
    <n v="0"/>
    <n v="0"/>
  </r>
  <r>
    <n v="61087799"/>
    <s v="N"/>
    <n v="21361453"/>
    <s v="3000015272320012RC"/>
    <s v="CIVIL"/>
    <d v="2023-06-26T00:00:00"/>
    <d v="2023-07-11T19:38:00"/>
    <m/>
    <d v="2023-07-11T00:00:00"/>
    <n v="1174"/>
    <n v="3180"/>
    <s v="61087799"/>
    <s v="61087799"/>
    <m/>
    <m/>
    <m/>
    <m/>
    <m/>
    <m/>
    <s v="SOLRECOUP"/>
    <s v="SOLRECOUP"/>
    <s v="POARECOUP"/>
    <n v="21361453"/>
    <n v="-2198.4"/>
    <m/>
    <s v="Y"/>
    <n v="1"/>
    <d v="2023-07-11T19:38:01"/>
    <s v="N"/>
    <m/>
    <m/>
    <s v="Non Expert Disbursement"/>
    <m/>
    <s v="N"/>
    <n v="-1832"/>
    <n v="0"/>
    <x v="7"/>
    <s v="VALIDATED"/>
    <n v="1"/>
    <s v="01.11.80.302.2013.0000"/>
    <n v="-1832"/>
    <s v="11"/>
    <s v="2013"/>
    <n v="8273.040000000001"/>
    <n v="-1832"/>
    <s v="CREDITOR"/>
    <n v="0"/>
    <n v="0"/>
    <n v="-1832"/>
    <n v="0"/>
    <n v="0"/>
  </r>
  <r>
    <n v="61087799"/>
    <s v="N"/>
    <n v="21361454"/>
    <s v="3000015272320011RC"/>
    <s v="CIVIL"/>
    <d v="2023-06-26T00:00:00"/>
    <d v="2023-07-11T19:38:00"/>
    <m/>
    <d v="2023-07-11T00:00:00"/>
    <n v="1174"/>
    <n v="3180"/>
    <s v="61087799"/>
    <s v="61087799"/>
    <m/>
    <m/>
    <m/>
    <m/>
    <m/>
    <m/>
    <s v="SOLRECOUP"/>
    <s v="SOLRECOUP"/>
    <s v="POARECOUP"/>
    <n v="21361454"/>
    <n v="-379.62"/>
    <m/>
    <s v="Y"/>
    <n v="2"/>
    <d v="2023-07-11T19:38:01"/>
    <s v="N"/>
    <m/>
    <m/>
    <s v="Non Expert Disbursement"/>
    <m/>
    <s v="N"/>
    <n v="0"/>
    <n v="-63.27"/>
    <x v="7"/>
    <s v="VALIDATED"/>
    <n v="1"/>
    <s v="01.11.80.302.2013.0000"/>
    <n v="-63.27"/>
    <s v="11"/>
    <s v="2013"/>
    <n v="8273.040000000001"/>
    <n v="-63.27"/>
    <s v="CREDITOR"/>
    <n v="0"/>
    <n v="0"/>
    <n v="-63.27"/>
    <n v="0"/>
    <n v="0"/>
  </r>
  <r>
    <n v="61087799"/>
    <s v="N"/>
    <n v="21361454"/>
    <s v="3000015272320011RC"/>
    <s v="CIVIL"/>
    <d v="2023-06-26T00:00:00"/>
    <d v="2023-07-11T19:38:00"/>
    <m/>
    <d v="2023-07-11T00:00:00"/>
    <n v="1174"/>
    <n v="3180"/>
    <s v="61087799"/>
    <s v="61087799"/>
    <m/>
    <m/>
    <m/>
    <m/>
    <m/>
    <m/>
    <s v="SOLRECOUP"/>
    <s v="SOLRECOUP"/>
    <s v="POARECOUP"/>
    <n v="21361454"/>
    <n v="-379.62"/>
    <m/>
    <s v="Y"/>
    <n v="1"/>
    <d v="2023-07-11T19:38:01"/>
    <s v="N"/>
    <m/>
    <m/>
    <s v="Non Expert Disbursement"/>
    <m/>
    <s v="N"/>
    <n v="-316.35"/>
    <n v="0"/>
    <x v="7"/>
    <s v="VALIDATED"/>
    <n v="1"/>
    <s v="01.11.80.302.2013.0000"/>
    <n v="-316.35"/>
    <s v="11"/>
    <s v="2013"/>
    <n v="8273.040000000001"/>
    <n v="-316.35"/>
    <s v="CREDITOR"/>
    <n v="0"/>
    <n v="0"/>
    <n v="-316.35"/>
    <n v="0"/>
    <n v="0"/>
  </r>
  <r>
    <n v="61087799"/>
    <s v="N"/>
    <n v="21361455"/>
    <s v="3000015272320024RC"/>
    <s v="CIVIL"/>
    <d v="2023-06-26T00:00:00"/>
    <d v="2023-07-11T19:38:00"/>
    <m/>
    <d v="2023-07-11T00:00:00"/>
    <n v="1174"/>
    <n v="3180"/>
    <s v="61087799"/>
    <s v="61087799"/>
    <m/>
    <m/>
    <m/>
    <m/>
    <m/>
    <m/>
    <s v="SOLRECOUP"/>
    <s v="SOLRECOUP"/>
    <s v="POARECOUP"/>
    <n v="21361455"/>
    <n v="-96.5"/>
    <m/>
    <s v="Y"/>
    <n v="2"/>
    <d v="2023-07-11T19:38:01"/>
    <s v="N"/>
    <m/>
    <m/>
    <s v="Non Expert Disbursement"/>
    <m/>
    <s v="N"/>
    <n v="0"/>
    <n v="0"/>
    <x v="7"/>
    <s v="VALIDATED"/>
    <n v="1"/>
    <s v="01.11.80.000.0000.0000"/>
    <n v="0"/>
    <s v="11"/>
    <s v="0000"/>
    <n v="8273.040000000001"/>
    <n v="0"/>
    <s v="CREDITOR"/>
    <n v="0"/>
    <n v="0"/>
    <n v="0"/>
    <n v="0"/>
    <n v="0"/>
  </r>
  <r>
    <n v="61087799"/>
    <s v="N"/>
    <n v="21361455"/>
    <s v="3000015272320024RC"/>
    <s v="CIVIL"/>
    <d v="2023-06-26T00:00:00"/>
    <d v="2023-07-11T19:38:00"/>
    <m/>
    <d v="2023-07-11T00:00:00"/>
    <n v="1174"/>
    <n v="3180"/>
    <s v="61087799"/>
    <s v="61087799"/>
    <m/>
    <m/>
    <m/>
    <m/>
    <m/>
    <m/>
    <s v="SOLRECOUP"/>
    <s v="SOLRECOUP"/>
    <s v="POARECOUP"/>
    <n v="21361455"/>
    <n v="-96.5"/>
    <m/>
    <s v="Y"/>
    <n v="1"/>
    <d v="2023-07-11T19:38:01"/>
    <s v="N"/>
    <m/>
    <m/>
    <s v="Non Expert Disbursement"/>
    <m/>
    <s v="N"/>
    <n v="-96.5"/>
    <n v="0"/>
    <x v="7"/>
    <s v="VALIDATED"/>
    <n v="1"/>
    <s v="01.11.80.302.2013.0000"/>
    <n v="-96.5"/>
    <s v="11"/>
    <s v="2013"/>
    <n v="8273.040000000001"/>
    <n v="-96.5"/>
    <s v="CREDITOR"/>
    <n v="0"/>
    <n v="0"/>
    <n v="-96.5"/>
    <n v="0"/>
    <n v="0"/>
  </r>
  <r>
    <n v="61087799"/>
    <s v="N"/>
    <n v="21361440"/>
    <s v="3000015272320022RC"/>
    <s v="CIVIL"/>
    <d v="2023-06-26T00:00:00"/>
    <d v="2023-07-11T19:38:00"/>
    <m/>
    <d v="2023-07-11T00:00:00"/>
    <n v="1174"/>
    <n v="3180"/>
    <s v="61087799"/>
    <s v="61087799"/>
    <m/>
    <m/>
    <m/>
    <m/>
    <m/>
    <m/>
    <s v="SOLRECOUP"/>
    <s v="SOLRECOUP"/>
    <s v="POARECOUP"/>
    <n v="21361440"/>
    <n v="-692.16"/>
    <m/>
    <s v="Y"/>
    <n v="1"/>
    <d v="2023-07-11T19:38:01"/>
    <s v="N"/>
    <m/>
    <m/>
    <s v="Expert Disbursement"/>
    <m/>
    <s v="N"/>
    <n v="-576.8"/>
    <n v="0"/>
    <x v="7"/>
    <s v="VALIDATED"/>
    <n v="1"/>
    <s v="01.11.80.302.2013.0000"/>
    <n v="-576.8"/>
    <s v="11"/>
    <s v="2013"/>
    <n v="8273.040000000001"/>
    <n v="-576.8"/>
    <s v="CREDITOR"/>
    <n v="0"/>
    <n v="0"/>
    <n v="-576.8"/>
    <n v="0"/>
    <n v="0"/>
  </r>
  <r>
    <n v="61087799"/>
    <s v="N"/>
    <n v="21361440"/>
    <s v="3000015272320022RC"/>
    <s v="CIVIL"/>
    <d v="2023-06-26T00:00:00"/>
    <d v="2023-07-11T19:38:00"/>
    <m/>
    <d v="2023-07-11T00:00:00"/>
    <n v="1174"/>
    <n v="3180"/>
    <s v="61087799"/>
    <s v="61087799"/>
    <m/>
    <m/>
    <m/>
    <m/>
    <m/>
    <m/>
    <s v="SOLRECOUP"/>
    <s v="SOLRECOUP"/>
    <s v="POARECOUP"/>
    <n v="21361440"/>
    <n v="-692.16"/>
    <m/>
    <s v="Y"/>
    <n v="2"/>
    <d v="2023-07-11T19:38:01"/>
    <s v="N"/>
    <m/>
    <m/>
    <s v="Expert Disbursement"/>
    <m/>
    <s v="N"/>
    <n v="0"/>
    <n v="-115.36"/>
    <x v="7"/>
    <s v="VALIDATED"/>
    <n v="1"/>
    <s v="01.11.80.302.2013.0000"/>
    <n v="-115.36"/>
    <s v="11"/>
    <s v="2013"/>
    <n v="8273.040000000001"/>
    <n v="-115.36"/>
    <s v="CREDITOR"/>
    <n v="0"/>
    <n v="0"/>
    <n v="-115.36"/>
    <n v="0"/>
    <n v="0"/>
  </r>
  <r>
    <n v="61087799"/>
    <s v="N"/>
    <n v="21361441"/>
    <s v="3000015272320023RC"/>
    <s v="CIVIL"/>
    <d v="2023-06-26T00:00:00"/>
    <d v="2023-07-11T19:38:00"/>
    <m/>
    <d v="2023-07-11T00:00:00"/>
    <n v="1174"/>
    <n v="3180"/>
    <s v="61087799"/>
    <s v="61087799"/>
    <m/>
    <m/>
    <m/>
    <m/>
    <m/>
    <m/>
    <s v="SOLRECOUP"/>
    <s v="SOLRECOUP"/>
    <s v="POARECOUP"/>
    <n v="21361441"/>
    <n v="-197.4"/>
    <m/>
    <s v="Y"/>
    <n v="1"/>
    <d v="2023-07-11T19:38:01"/>
    <s v="N"/>
    <m/>
    <m/>
    <s v="Non Expert Disbursement"/>
    <m/>
    <s v="N"/>
    <n v="-197.4"/>
    <n v="0"/>
    <x v="7"/>
    <s v="VALIDATED"/>
    <n v="1"/>
    <s v="01.11.80.302.2013.0000"/>
    <n v="-197.4"/>
    <s v="11"/>
    <s v="2013"/>
    <n v="8273.040000000001"/>
    <n v="-197.4"/>
    <s v="CREDITOR"/>
    <n v="0"/>
    <n v="0"/>
    <n v="-197.4"/>
    <n v="0"/>
    <n v="0"/>
  </r>
  <r>
    <n v="61087799"/>
    <s v="N"/>
    <n v="21361441"/>
    <s v="3000015272320023RC"/>
    <s v="CIVIL"/>
    <d v="2023-06-26T00:00:00"/>
    <d v="2023-07-11T19:38:00"/>
    <m/>
    <d v="2023-07-11T00:00:00"/>
    <n v="1174"/>
    <n v="3180"/>
    <s v="61087799"/>
    <s v="61087799"/>
    <m/>
    <m/>
    <m/>
    <m/>
    <m/>
    <m/>
    <s v="SOLRECOUP"/>
    <s v="SOLRECOUP"/>
    <s v="POARECOUP"/>
    <n v="21361441"/>
    <n v="-197.4"/>
    <m/>
    <s v="Y"/>
    <n v="2"/>
    <d v="2023-07-11T19:38:01"/>
    <s v="N"/>
    <m/>
    <m/>
    <s v="Non Expert Disbursement"/>
    <m/>
    <s v="N"/>
    <n v="0"/>
    <n v="0"/>
    <x v="7"/>
    <s v="VALIDATED"/>
    <n v="1"/>
    <s v="01.11.80.000.0000.0000"/>
    <n v="0"/>
    <s v="11"/>
    <s v="0000"/>
    <n v="8273.040000000001"/>
    <n v="0"/>
    <s v="CREDITOR"/>
    <n v="0"/>
    <n v="0"/>
    <n v="0"/>
    <n v="0"/>
    <n v="0"/>
  </r>
  <r>
    <n v="61087799"/>
    <s v="N"/>
    <n v="21361442"/>
    <s v="3000015272320020RC"/>
    <s v="CIVIL"/>
    <d v="2023-06-26T00:00:00"/>
    <d v="2023-07-11T19:38:00"/>
    <m/>
    <d v="2023-07-11T00:00:00"/>
    <n v="1174"/>
    <n v="3180"/>
    <s v="61087799"/>
    <s v="61087799"/>
    <m/>
    <m/>
    <m/>
    <m/>
    <m/>
    <m/>
    <s v="SOLRECOUP"/>
    <s v="SOLRECOUP"/>
    <s v="POARECOUP"/>
    <n v="21361442"/>
    <n v="-129.6"/>
    <m/>
    <s v="Y"/>
    <n v="1"/>
    <d v="2023-07-11T19:38:01"/>
    <s v="N"/>
    <m/>
    <m/>
    <s v="Non Expert Disbursement"/>
    <m/>
    <s v="N"/>
    <n v="-129.6"/>
    <n v="0"/>
    <x v="7"/>
    <s v="VALIDATED"/>
    <n v="1"/>
    <s v="01.11.80.302.2013.0000"/>
    <n v="-129.6"/>
    <s v="11"/>
    <s v="2013"/>
    <n v="8273.040000000001"/>
    <n v="-129.6"/>
    <s v="CREDITOR"/>
    <n v="0"/>
    <n v="0"/>
    <n v="-129.6"/>
    <n v="0"/>
    <n v="0"/>
  </r>
  <r>
    <n v="61087799"/>
    <s v="N"/>
    <n v="21361442"/>
    <s v="3000015272320020RC"/>
    <s v="CIVIL"/>
    <d v="2023-06-26T00:00:00"/>
    <d v="2023-07-11T19:38:00"/>
    <m/>
    <d v="2023-07-11T00:00:00"/>
    <n v="1174"/>
    <n v="3180"/>
    <s v="61087799"/>
    <s v="61087799"/>
    <m/>
    <m/>
    <m/>
    <m/>
    <m/>
    <m/>
    <s v="SOLRECOUP"/>
    <s v="SOLRECOUP"/>
    <s v="POARECOUP"/>
    <n v="21361442"/>
    <n v="-129.6"/>
    <m/>
    <s v="Y"/>
    <n v="2"/>
    <d v="2023-07-11T19:38:01"/>
    <s v="N"/>
    <m/>
    <m/>
    <s v="Non Expert Disbursement"/>
    <m/>
    <s v="N"/>
    <n v="0"/>
    <n v="0"/>
    <x v="7"/>
    <s v="VALIDATED"/>
    <n v="1"/>
    <s v="01.11.80.000.0000.0000"/>
    <n v="0"/>
    <s v="11"/>
    <s v="0000"/>
    <n v="8273.040000000001"/>
    <n v="0"/>
    <s v="CREDITOR"/>
    <n v="0"/>
    <n v="0"/>
    <n v="0"/>
    <n v="0"/>
    <n v="0"/>
  </r>
  <r>
    <n v="61087799"/>
    <s v="N"/>
    <n v="21361443"/>
    <s v="3000015272320003RC"/>
    <s v="CIVIL"/>
    <d v="2023-06-26T00:00:00"/>
    <d v="2023-07-11T19:38:00"/>
    <m/>
    <d v="2023-07-11T00:00:00"/>
    <n v="1174"/>
    <n v="3180"/>
    <s v="61087799"/>
    <s v="61087799"/>
    <m/>
    <m/>
    <m/>
    <m/>
    <m/>
    <m/>
    <s v="SOLRECOUP"/>
    <s v="SOLRECOUP"/>
    <s v="POARECOUP"/>
    <n v="21361443"/>
    <n v="-179.52"/>
    <m/>
    <s v="Y"/>
    <n v="1"/>
    <d v="2023-07-11T19:38:01"/>
    <s v="N"/>
    <m/>
    <m/>
    <s v="Non Expert Disbursement"/>
    <m/>
    <s v="N"/>
    <n v="-149.6"/>
    <n v="0"/>
    <x v="7"/>
    <s v="VALIDATED"/>
    <n v="1"/>
    <s v="01.11.80.302.2013.0000"/>
    <n v="-149.6"/>
    <s v="11"/>
    <s v="2013"/>
    <n v="8273.040000000001"/>
    <n v="-149.6"/>
    <s v="CREDITOR"/>
    <n v="0"/>
    <n v="0"/>
    <n v="-149.6"/>
    <n v="0"/>
    <n v="0"/>
  </r>
  <r>
    <n v="61087799"/>
    <s v="N"/>
    <n v="21361443"/>
    <s v="3000015272320003RC"/>
    <s v="CIVIL"/>
    <d v="2023-06-26T00:00:00"/>
    <d v="2023-07-11T19:38:00"/>
    <m/>
    <d v="2023-07-11T00:00:00"/>
    <n v="1174"/>
    <n v="3180"/>
    <s v="61087799"/>
    <s v="61087799"/>
    <m/>
    <m/>
    <m/>
    <m/>
    <m/>
    <m/>
    <s v="SOLRECOUP"/>
    <s v="SOLRECOUP"/>
    <s v="POARECOUP"/>
    <n v="21361443"/>
    <n v="-179.52"/>
    <m/>
    <s v="Y"/>
    <n v="2"/>
    <d v="2023-07-11T19:38:01"/>
    <s v="N"/>
    <m/>
    <m/>
    <s v="Non Expert Disbursement"/>
    <m/>
    <s v="N"/>
    <n v="0"/>
    <n v="-29.92"/>
    <x v="7"/>
    <s v="VALIDATED"/>
    <n v="1"/>
    <s v="01.11.80.302.2013.0000"/>
    <n v="-29.92"/>
    <s v="11"/>
    <s v="2013"/>
    <n v="8273.040000000001"/>
    <n v="-29.92"/>
    <s v="CREDITOR"/>
    <n v="0"/>
    <n v="0"/>
    <n v="-29.92"/>
    <n v="0"/>
    <n v="0"/>
  </r>
  <r>
    <n v="61087799"/>
    <s v="N"/>
    <n v="21361444"/>
    <s v="3000015272320018RC"/>
    <s v="CIVIL"/>
    <d v="2023-06-26T00:00:00"/>
    <d v="2023-07-11T19:38:00"/>
    <m/>
    <d v="2023-07-11T00:00:00"/>
    <n v="1174"/>
    <n v="3180"/>
    <s v="61087799"/>
    <s v="61087799"/>
    <m/>
    <m/>
    <m/>
    <m/>
    <m/>
    <m/>
    <s v="SOLRECOUP"/>
    <s v="SOLRECOUP"/>
    <s v="POARECOUP"/>
    <n v="21361444"/>
    <n v="-756.17"/>
    <m/>
    <s v="Y"/>
    <n v="1"/>
    <d v="2023-07-11T19:38:01"/>
    <s v="N"/>
    <m/>
    <m/>
    <s v="Non Expert Disbursement"/>
    <m/>
    <s v="N"/>
    <n v="-630.14"/>
    <n v="0"/>
    <x v="7"/>
    <s v="VALIDATED"/>
    <n v="1"/>
    <s v="01.11.80.302.2013.0000"/>
    <n v="-630.14"/>
    <s v="11"/>
    <s v="2013"/>
    <n v="8273.040000000001"/>
    <n v="-630.14"/>
    <s v="CREDITOR"/>
    <n v="0"/>
    <n v="0"/>
    <n v="-630.14"/>
    <n v="0"/>
    <n v="0"/>
  </r>
  <r>
    <n v="61087799"/>
    <s v="N"/>
    <n v="21361444"/>
    <s v="3000015272320018RC"/>
    <s v="CIVIL"/>
    <d v="2023-06-26T00:00:00"/>
    <d v="2023-07-11T19:38:00"/>
    <m/>
    <d v="2023-07-11T00:00:00"/>
    <n v="1174"/>
    <n v="3180"/>
    <s v="61087799"/>
    <s v="61087799"/>
    <m/>
    <m/>
    <m/>
    <m/>
    <m/>
    <m/>
    <s v="SOLRECOUP"/>
    <s v="SOLRECOUP"/>
    <s v="POARECOUP"/>
    <n v="21361444"/>
    <n v="-756.17"/>
    <m/>
    <s v="Y"/>
    <n v="2"/>
    <d v="2023-07-11T19:38:01"/>
    <s v="N"/>
    <m/>
    <m/>
    <s v="Non Expert Disbursement"/>
    <m/>
    <s v="N"/>
    <n v="0"/>
    <n v="-126.03"/>
    <x v="7"/>
    <s v="VALIDATED"/>
    <n v="1"/>
    <s v="01.11.80.302.2013.0000"/>
    <n v="-126.03"/>
    <s v="11"/>
    <s v="2013"/>
    <n v="8273.040000000001"/>
    <n v="-126.03"/>
    <s v="CREDITOR"/>
    <n v="0"/>
    <n v="0"/>
    <n v="-126.03"/>
    <n v="0"/>
    <n v="0"/>
  </r>
  <r>
    <n v="61087799"/>
    <s v="N"/>
    <n v="21361445"/>
    <s v="3000015272320001RC"/>
    <s v="CIVIL"/>
    <d v="2023-06-26T00:00:00"/>
    <d v="2023-07-11T19:38:00"/>
    <m/>
    <d v="2023-07-11T00:00:00"/>
    <n v="1174"/>
    <n v="3180"/>
    <s v="61087799"/>
    <s v="61087799"/>
    <m/>
    <m/>
    <m/>
    <m/>
    <m/>
    <m/>
    <s v="SOLRECOUP"/>
    <s v="SOLRECOUP"/>
    <s v="POARECOUP"/>
    <n v="21361445"/>
    <n v="-237.78"/>
    <m/>
    <s v="Y"/>
    <n v="1"/>
    <d v="2023-07-11T19:38:01"/>
    <s v="N"/>
    <m/>
    <m/>
    <s v="Non Expert Disbursement"/>
    <m/>
    <s v="N"/>
    <n v="-198.15"/>
    <n v="0"/>
    <x v="7"/>
    <s v="VALIDATED"/>
    <n v="1"/>
    <s v="01.11.80.302.2013.0000"/>
    <n v="-198.15"/>
    <s v="11"/>
    <s v="2013"/>
    <n v="8273.040000000001"/>
    <n v="-198.15"/>
    <s v="CREDITOR"/>
    <n v="0"/>
    <n v="0"/>
    <n v="-198.15"/>
    <n v="0"/>
    <n v="0"/>
  </r>
  <r>
    <n v="61087799"/>
    <s v="N"/>
    <n v="21361445"/>
    <s v="3000015272320001RC"/>
    <s v="CIVIL"/>
    <d v="2023-06-26T00:00:00"/>
    <d v="2023-07-11T19:38:00"/>
    <m/>
    <d v="2023-07-11T00:00:00"/>
    <n v="1174"/>
    <n v="3180"/>
    <s v="61087799"/>
    <s v="61087799"/>
    <m/>
    <m/>
    <m/>
    <m/>
    <m/>
    <m/>
    <s v="SOLRECOUP"/>
    <s v="SOLRECOUP"/>
    <s v="POARECOUP"/>
    <n v="21361445"/>
    <n v="-237.78"/>
    <m/>
    <s v="Y"/>
    <n v="2"/>
    <d v="2023-07-11T19:38:01"/>
    <s v="N"/>
    <m/>
    <m/>
    <s v="Non Expert Disbursement"/>
    <m/>
    <s v="N"/>
    <n v="0"/>
    <n v="-39.63"/>
    <x v="7"/>
    <s v="VALIDATED"/>
    <n v="1"/>
    <s v="01.11.80.302.2013.0000"/>
    <n v="-39.63"/>
    <s v="11"/>
    <s v="2013"/>
    <n v="8273.040000000001"/>
    <n v="-39.63"/>
    <s v="CREDITOR"/>
    <n v="0"/>
    <n v="0"/>
    <n v="-39.63"/>
    <n v="0"/>
    <n v="0"/>
  </r>
  <r>
    <n v="61087799"/>
    <s v="N"/>
    <n v="21361446"/>
    <s v="3000015272320015RC"/>
    <s v="CIVIL"/>
    <d v="2023-06-26T00:00:00"/>
    <d v="2023-07-11T19:38:00"/>
    <m/>
    <d v="2023-07-11T00:00:00"/>
    <n v="1174"/>
    <n v="3180"/>
    <s v="61087799"/>
    <s v="61087799"/>
    <m/>
    <m/>
    <m/>
    <m/>
    <m/>
    <m/>
    <s v="SOLRECOUP"/>
    <s v="SOLRECOUP"/>
    <s v="POARECOUP"/>
    <n v="21361446"/>
    <n v="-375.97"/>
    <m/>
    <s v="Y"/>
    <n v="1"/>
    <d v="2023-07-11T19:38:01"/>
    <s v="N"/>
    <m/>
    <m/>
    <s v="Non Expert Disbursement"/>
    <m/>
    <s v="N"/>
    <n v="-313.31"/>
    <n v="0"/>
    <x v="7"/>
    <s v="VALIDATED"/>
    <n v="1"/>
    <s v="01.11.80.302.2013.0000"/>
    <n v="-313.31"/>
    <s v="11"/>
    <s v="2013"/>
    <n v="8273.040000000001"/>
    <n v="-313.31"/>
    <s v="CREDITOR"/>
    <n v="0"/>
    <n v="0"/>
    <n v="-313.31"/>
    <n v="0"/>
    <n v="0"/>
  </r>
  <r>
    <n v="61087799"/>
    <s v="N"/>
    <n v="21361446"/>
    <s v="3000015272320015RC"/>
    <s v="CIVIL"/>
    <d v="2023-06-26T00:00:00"/>
    <d v="2023-07-11T19:38:00"/>
    <m/>
    <d v="2023-07-11T00:00:00"/>
    <n v="1174"/>
    <n v="3180"/>
    <s v="61087799"/>
    <s v="61087799"/>
    <m/>
    <m/>
    <m/>
    <m/>
    <m/>
    <m/>
    <s v="SOLRECOUP"/>
    <s v="SOLRECOUP"/>
    <s v="POARECOUP"/>
    <n v="21361446"/>
    <n v="-375.97"/>
    <m/>
    <s v="Y"/>
    <n v="2"/>
    <d v="2023-07-11T19:38:01"/>
    <s v="N"/>
    <m/>
    <m/>
    <s v="Non Expert Disbursement"/>
    <m/>
    <s v="N"/>
    <n v="0"/>
    <n v="-62.66"/>
    <x v="7"/>
    <s v="VALIDATED"/>
    <n v="1"/>
    <s v="01.11.80.302.2013.0000"/>
    <n v="-62.66"/>
    <s v="11"/>
    <s v="2013"/>
    <n v="8273.040000000001"/>
    <n v="-62.66"/>
    <s v="CREDITOR"/>
    <n v="0"/>
    <n v="0"/>
    <n v="-62.66"/>
    <n v="0"/>
    <n v="0"/>
  </r>
  <r>
    <n v="61087799"/>
    <s v="N"/>
    <n v="21361447"/>
    <s v="3000015272320016RC"/>
    <s v="CIVIL"/>
    <d v="2023-06-26T00:00:00"/>
    <d v="2023-07-11T19:38:00"/>
    <m/>
    <d v="2023-07-11T00:00:00"/>
    <n v="1174"/>
    <n v="3180"/>
    <s v="61087799"/>
    <s v="61087799"/>
    <m/>
    <m/>
    <m/>
    <m/>
    <m/>
    <m/>
    <s v="SOLRECOUP"/>
    <s v="SOLRECOUP"/>
    <s v="POARECOUP"/>
    <n v="21361447"/>
    <n v="-1106.38"/>
    <m/>
    <s v="Y"/>
    <n v="1"/>
    <d v="2023-07-11T19:38:01"/>
    <s v="N"/>
    <m/>
    <m/>
    <s v="Non Expert Disbursement"/>
    <m/>
    <s v="N"/>
    <n v="-921.98"/>
    <n v="0"/>
    <x v="7"/>
    <s v="VALIDATED"/>
    <n v="1"/>
    <s v="01.11.80.302.2013.0000"/>
    <n v="-921.98"/>
    <s v="11"/>
    <s v="2013"/>
    <n v="8273.040000000001"/>
    <n v="-921.98"/>
    <s v="CREDITOR"/>
    <n v="0"/>
    <n v="0"/>
    <n v="-921.98"/>
    <n v="0"/>
    <n v="0"/>
  </r>
  <r>
    <n v="61087799"/>
    <s v="N"/>
    <n v="21361447"/>
    <s v="3000015272320016RC"/>
    <s v="CIVIL"/>
    <d v="2023-06-26T00:00:00"/>
    <d v="2023-07-11T19:38:00"/>
    <m/>
    <d v="2023-07-11T00:00:00"/>
    <n v="1174"/>
    <n v="3180"/>
    <s v="61087799"/>
    <s v="61087799"/>
    <m/>
    <m/>
    <m/>
    <m/>
    <m/>
    <m/>
    <s v="SOLRECOUP"/>
    <s v="SOLRECOUP"/>
    <s v="POARECOUP"/>
    <n v="21361447"/>
    <n v="-1106.38"/>
    <m/>
    <s v="Y"/>
    <n v="2"/>
    <d v="2023-07-11T19:38:01"/>
    <s v="N"/>
    <m/>
    <m/>
    <s v="Non Expert Disbursement"/>
    <m/>
    <s v="N"/>
    <n v="0"/>
    <n v="-184.4"/>
    <x v="7"/>
    <s v="VALIDATED"/>
    <n v="1"/>
    <s v="01.11.80.302.2013.0000"/>
    <n v="-184.4"/>
    <s v="11"/>
    <s v="2013"/>
    <n v="8273.040000000001"/>
    <n v="-184.4"/>
    <s v="CREDITOR"/>
    <n v="0"/>
    <n v="0"/>
    <n v="-184.4"/>
    <n v="0"/>
    <n v="0"/>
  </r>
  <r>
    <n v="61087799"/>
    <s v="N"/>
    <n v="21361448"/>
    <s v="3000015272320017RC"/>
    <s v="CIVIL"/>
    <d v="2023-06-26T00:00:00"/>
    <d v="2023-07-11T19:38:00"/>
    <m/>
    <d v="2023-07-11T00:00:00"/>
    <n v="1174"/>
    <n v="3180"/>
    <s v="61087799"/>
    <s v="61087799"/>
    <m/>
    <m/>
    <m/>
    <m/>
    <m/>
    <m/>
    <s v="SOLRECOUP"/>
    <s v="SOLRECOUP"/>
    <s v="POARECOUP"/>
    <n v="21361448"/>
    <n v="-68.40000000000001"/>
    <m/>
    <s v="Y"/>
    <n v="1"/>
    <d v="2023-07-11T19:38:01"/>
    <s v="N"/>
    <m/>
    <m/>
    <s v="Non Expert Disbursement"/>
    <m/>
    <s v="N"/>
    <n v="-57"/>
    <n v="0"/>
    <x v="7"/>
    <s v="VALIDATED"/>
    <n v="1"/>
    <s v="01.11.80.302.2013.0000"/>
    <n v="-57"/>
    <s v="11"/>
    <s v="2013"/>
    <n v="8273.040000000001"/>
    <n v="-57"/>
    <s v="CREDITOR"/>
    <n v="0"/>
    <n v="0"/>
    <n v="-57"/>
    <n v="0"/>
    <n v="0"/>
  </r>
  <r>
    <n v="61087799"/>
    <s v="N"/>
    <n v="21361448"/>
    <s v="3000015272320017RC"/>
    <s v="CIVIL"/>
    <d v="2023-06-26T00:00:00"/>
    <d v="2023-07-11T19:38:00"/>
    <m/>
    <d v="2023-07-11T00:00:00"/>
    <n v="1174"/>
    <n v="3180"/>
    <s v="61087799"/>
    <s v="61087799"/>
    <m/>
    <m/>
    <m/>
    <m/>
    <m/>
    <m/>
    <s v="SOLRECOUP"/>
    <s v="SOLRECOUP"/>
    <s v="POARECOUP"/>
    <n v="21361448"/>
    <n v="-68.40000000000001"/>
    <m/>
    <s v="Y"/>
    <n v="2"/>
    <d v="2023-07-11T19:38:01"/>
    <s v="N"/>
    <m/>
    <m/>
    <s v="Non Expert Disbursement"/>
    <m/>
    <s v="N"/>
    <n v="0"/>
    <n v="-11.4"/>
    <x v="7"/>
    <s v="VALIDATED"/>
    <n v="1"/>
    <s v="01.11.80.302.2013.0000"/>
    <n v="-11.4"/>
    <s v="11"/>
    <s v="2013"/>
    <n v="8273.040000000001"/>
    <n v="-11.4"/>
    <s v="CREDITOR"/>
    <n v="0"/>
    <n v="0"/>
    <n v="-11.4"/>
    <n v="0"/>
    <n v="0"/>
  </r>
  <r>
    <n v="61087799"/>
    <s v="N"/>
    <n v="21361449"/>
    <s v="3000015272320019RC"/>
    <s v="CIVIL"/>
    <d v="2023-06-26T00:00:00"/>
    <d v="2023-07-11T19:38:00"/>
    <m/>
    <d v="2023-07-11T00:00:00"/>
    <n v="1174"/>
    <n v="3180"/>
    <s v="61087799"/>
    <s v="61087799"/>
    <m/>
    <m/>
    <m/>
    <m/>
    <m/>
    <m/>
    <s v="SOLRECOUP"/>
    <s v="SOLRECOUP"/>
    <s v="POARECOUP"/>
    <n v="21361449"/>
    <n v="-1040.4"/>
    <m/>
    <s v="Y"/>
    <n v="1"/>
    <d v="2023-07-11T19:38:01"/>
    <s v="N"/>
    <m/>
    <m/>
    <s v="Non Expert Disbursement"/>
    <m/>
    <s v="N"/>
    <n v="-867"/>
    <n v="0"/>
    <x v="7"/>
    <s v="VALIDATED"/>
    <n v="1"/>
    <s v="01.11.80.302.2013.0000"/>
    <n v="-867"/>
    <s v="11"/>
    <s v="2013"/>
    <n v="8273.040000000001"/>
    <n v="-867"/>
    <s v="CREDITOR"/>
    <n v="0"/>
    <n v="0"/>
    <n v="-867"/>
    <n v="0"/>
    <n v="0"/>
  </r>
  <r>
    <n v="61087799"/>
    <s v="N"/>
    <n v="21361449"/>
    <s v="3000015272320019RC"/>
    <s v="CIVIL"/>
    <d v="2023-06-26T00:00:00"/>
    <d v="2023-07-11T19:38:00"/>
    <m/>
    <d v="2023-07-11T00:00:00"/>
    <n v="1174"/>
    <n v="3180"/>
    <s v="61087799"/>
    <s v="61087799"/>
    <m/>
    <m/>
    <m/>
    <m/>
    <m/>
    <m/>
    <s v="SOLRECOUP"/>
    <s v="SOLRECOUP"/>
    <s v="POARECOUP"/>
    <n v="21361449"/>
    <n v="-1040.4"/>
    <m/>
    <s v="Y"/>
    <n v="2"/>
    <d v="2023-07-11T19:38:01"/>
    <s v="N"/>
    <m/>
    <m/>
    <s v="Non Expert Disbursement"/>
    <m/>
    <s v="N"/>
    <n v="0"/>
    <n v="-173.4"/>
    <x v="7"/>
    <s v="VALIDATED"/>
    <n v="1"/>
    <s v="01.11.80.302.2013.0000"/>
    <n v="-173.4"/>
    <s v="11"/>
    <s v="2013"/>
    <n v="8273.040000000001"/>
    <n v="-173.4"/>
    <s v="CREDITOR"/>
    <n v="0"/>
    <n v="0"/>
    <n v="-173.4"/>
    <n v="0"/>
    <n v="0"/>
  </r>
  <r>
    <n v="61087799"/>
    <s v="N"/>
    <n v="21361450"/>
    <s v="3000015272320010RC"/>
    <s v="CIVIL"/>
    <d v="2023-06-26T00:00:00"/>
    <d v="2023-07-11T19:38:00"/>
    <m/>
    <d v="2023-07-11T00:00:00"/>
    <n v="1174"/>
    <n v="3180"/>
    <s v="61087799"/>
    <s v="61087799"/>
    <m/>
    <m/>
    <m/>
    <m/>
    <m/>
    <m/>
    <s v="SOLRECOUP"/>
    <s v="SOLRECOUP"/>
    <s v="POARECOUP"/>
    <n v="21361450"/>
    <n v="-639.89"/>
    <m/>
    <s v="Y"/>
    <n v="1"/>
    <d v="2023-07-11T19:38:01"/>
    <s v="N"/>
    <m/>
    <m/>
    <s v="Non Expert Disbursement"/>
    <m/>
    <s v="N"/>
    <n v="-533.24"/>
    <n v="0"/>
    <x v="7"/>
    <s v="VALIDATED"/>
    <n v="1"/>
    <s v="01.11.80.302.2013.0000"/>
    <n v="-533.24"/>
    <s v="11"/>
    <s v="2013"/>
    <n v="8273.040000000001"/>
    <n v="-533.24"/>
    <s v="CREDITOR"/>
    <n v="0"/>
    <n v="0"/>
    <n v="-533.24"/>
    <n v="0"/>
    <n v="0"/>
  </r>
  <r>
    <n v="60345453"/>
    <s v="N"/>
    <n v="21356488"/>
    <s v="3000014642110003RC"/>
    <s v="CIVIL"/>
    <d v="2023-06-23T00:00:00"/>
    <d v="2023-07-10T19:47:44"/>
    <m/>
    <d v="2023-07-10T00:00:00"/>
    <n v="1174"/>
    <n v="3180"/>
    <s v="60345453"/>
    <s v="60345453"/>
    <m/>
    <m/>
    <m/>
    <m/>
    <m/>
    <m/>
    <s v="SOLRECOUP"/>
    <s v="SOLRECOUP"/>
    <s v="POARECOUP"/>
    <n v="21356488"/>
    <n v="-238.68"/>
    <m/>
    <s v="Y"/>
    <n v="2"/>
    <d v="2023-07-10T19:47:45"/>
    <s v="N"/>
    <m/>
    <m/>
    <s v="Non Expert Disbursement"/>
    <m/>
    <s v="N"/>
    <n v="0"/>
    <n v="-39.78"/>
    <x v="2"/>
    <s v="VALIDATED"/>
    <n v="1"/>
    <s v="01.11.80.308.2013.0000"/>
    <n v="-39.78"/>
    <s v="11"/>
    <s v="2013"/>
    <n v="8273.040000000001"/>
    <n v="-39.78"/>
    <s v="CREDITOR"/>
    <n v="0"/>
    <n v="0"/>
    <n v="-39.78"/>
    <n v="0"/>
    <n v="0"/>
  </r>
  <r>
    <n v="60345453"/>
    <s v="N"/>
    <n v="21356489"/>
    <s v="3000014642110005RC"/>
    <s v="CIVIL"/>
    <d v="2023-06-23T00:00:00"/>
    <d v="2023-07-10T19:47:44"/>
    <m/>
    <d v="2023-07-10T00:00:00"/>
    <n v="1174"/>
    <n v="3180"/>
    <s v="60345453"/>
    <s v="60345453"/>
    <m/>
    <m/>
    <m/>
    <m/>
    <m/>
    <m/>
    <s v="SOLRECOUP"/>
    <s v="SOLRECOUP"/>
    <s v="POARECOUP"/>
    <n v="21356489"/>
    <n v="-14.04"/>
    <m/>
    <s v="Y"/>
    <n v="1"/>
    <d v="2023-07-10T19:47:45"/>
    <s v="N"/>
    <m/>
    <m/>
    <s v="Non Expert Disbursement"/>
    <m/>
    <s v="N"/>
    <n v="-11.7"/>
    <n v="0"/>
    <x v="2"/>
    <s v="VALIDATED"/>
    <n v="1"/>
    <s v="01.11.80.308.2013.0000"/>
    <n v="-11.7"/>
    <s v="11"/>
    <s v="2013"/>
    <n v="8273.040000000001"/>
    <n v="-11.7"/>
    <s v="CREDITOR"/>
    <n v="0"/>
    <n v="0"/>
    <n v="-11.7"/>
    <n v="0"/>
    <n v="0"/>
  </r>
  <r>
    <n v="60345453"/>
    <s v="N"/>
    <n v="21349890"/>
    <s v="3000014642110008"/>
    <s v="CIVIL"/>
    <d v="2023-06-23T00:00:00"/>
    <d v="2023-07-10T19:01:40"/>
    <m/>
    <d v="2023-07-10T00:00:00"/>
    <n v="1174"/>
    <n v="3180"/>
    <s v="60345453"/>
    <s v="60345453"/>
    <m/>
    <m/>
    <n v="22753676"/>
    <m/>
    <m/>
    <m/>
    <s v="SOLFIN"/>
    <s v="SOLFIN"/>
    <s v="CCMS"/>
    <n v="21349890"/>
    <n v="20669.7"/>
    <m/>
    <s v="N"/>
    <n v="117"/>
    <d v="2023-07-10T19:02:02"/>
    <s v="Y"/>
    <s v="Preparation - drafting statement"/>
    <s v="Care Remuneration Hourly Rates"/>
    <s v="Profit Cost"/>
    <s v="GW"/>
    <s v="Y"/>
    <n v="168.89"/>
    <n v="33.78"/>
    <x v="2"/>
    <s v="VALIDATED"/>
    <n v="1"/>
    <s v="01.11.80.308.6100.0000"/>
    <n v="168.89"/>
    <s v="11"/>
    <s v="6100"/>
    <n v="8273.040000000001"/>
    <n v="168.89"/>
    <s v="CREDITOR"/>
    <n v="0"/>
    <n v="0"/>
    <n v="0"/>
    <n v="0"/>
    <n v="168.89"/>
  </r>
  <r>
    <n v="60345453"/>
    <s v="N"/>
    <n v="21349890"/>
    <s v="3000014642110008"/>
    <s v="CIVIL"/>
    <d v="2023-06-23T00:00:00"/>
    <d v="2023-07-10T19:01:40"/>
    <m/>
    <d v="2023-07-10T00:00:00"/>
    <n v="1174"/>
    <n v="3180"/>
    <s v="60345453"/>
    <s v="60345453"/>
    <m/>
    <m/>
    <n v="22753676"/>
    <m/>
    <m/>
    <m/>
    <s v="SOLFIN"/>
    <s v="SOLFIN"/>
    <s v="CCMS"/>
    <n v="21349890"/>
    <n v="20669.7"/>
    <m/>
    <s v="N"/>
    <n v="123"/>
    <d v="2023-07-10T19:02:02"/>
    <s v="Y"/>
    <s v="Routine Letter In"/>
    <s v="Care Remuneration Hourly Rates"/>
    <s v="Profit Cost"/>
    <s v="GW"/>
    <s v="Y"/>
    <n v="2113.75"/>
    <n v="422.75"/>
    <x v="2"/>
    <s v="VALIDATED"/>
    <n v="1"/>
    <s v="01.11.80.308.6100.0000"/>
    <n v="2113.75"/>
    <s v="11"/>
    <s v="6100"/>
    <n v="8273.040000000001"/>
    <n v="2113.75"/>
    <s v="CREDITOR"/>
    <n v="0"/>
    <n v="0"/>
    <n v="0"/>
    <n v="0"/>
    <n v="2113.75"/>
  </r>
  <r>
    <n v="60345453"/>
    <s v="N"/>
    <n v="21349890"/>
    <s v="3000014642110008"/>
    <s v="CIVIL"/>
    <d v="2023-06-23T00:00:00"/>
    <d v="2023-07-10T19:01:40"/>
    <m/>
    <d v="2023-07-10T00:00:00"/>
    <n v="1174"/>
    <n v="3180"/>
    <s v="60345453"/>
    <s v="60345453"/>
    <m/>
    <m/>
    <n v="22753676"/>
    <m/>
    <m/>
    <m/>
    <s v="SOLFIN"/>
    <s v="SOLFIN"/>
    <s v="CCMS"/>
    <n v="21349890"/>
    <n v="20669.7"/>
    <m/>
    <s v="N"/>
    <n v="24"/>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33"/>
    <d v="2023-07-10T19:02:02"/>
    <s v="Y"/>
    <s v="Preparation - drafting statement"/>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77"/>
    <d v="2023-07-10T19:02:02"/>
    <s v="Y"/>
    <s v="Preparation - drafting application"/>
    <s v="Care Remuneration Hourly Rates"/>
    <s v="Profit Cost"/>
    <s v="GW"/>
    <s v="Y"/>
    <n v="44.45"/>
    <n v="8.890000000000001"/>
    <x v="2"/>
    <s v="VALIDATED"/>
    <n v="1"/>
    <s v="01.11.80.308.6100.0000"/>
    <n v="44.45"/>
    <s v="11"/>
    <s v="6100"/>
    <n v="8273.040000000001"/>
    <n v="44.45"/>
    <s v="CREDITOR"/>
    <n v="0"/>
    <n v="0"/>
    <n v="0"/>
    <n v="0"/>
    <n v="44.45"/>
  </r>
  <r>
    <n v="60345453"/>
    <s v="N"/>
    <n v="21349890"/>
    <s v="3000014642110008"/>
    <s v="CIVIL"/>
    <d v="2023-06-23T00:00:00"/>
    <d v="2023-07-10T19:01:40"/>
    <m/>
    <d v="2023-07-10T00:00:00"/>
    <n v="1174"/>
    <n v="3180"/>
    <s v="60345453"/>
    <s v="60345453"/>
    <m/>
    <m/>
    <n v="22753676"/>
    <m/>
    <m/>
    <m/>
    <s v="SOLFIN"/>
    <s v="SOLFIN"/>
    <s v="CCMS"/>
    <n v="21349890"/>
    <n v="20669.7"/>
    <m/>
    <s v="N"/>
    <n v="75"/>
    <d v="2023-07-10T19:02:02"/>
    <s v="Y"/>
    <s v="Preparation - drafting statement"/>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11"/>
    <d v="2023-07-10T19:02:02"/>
    <s v="Y"/>
    <s v="Preparation - other"/>
    <s v="Care Remuneration Hourly Rates"/>
    <s v="Profit Cost"/>
    <s v="GW"/>
    <s v="Y"/>
    <n v="106.67"/>
    <n v="21.33"/>
    <x v="2"/>
    <s v="VALIDATED"/>
    <n v="1"/>
    <s v="01.11.80.308.6100.0000"/>
    <n v="106.67"/>
    <s v="11"/>
    <s v="6100"/>
    <n v="8273.040000000001"/>
    <n v="106.67"/>
    <s v="CREDITOR"/>
    <n v="0"/>
    <n v="0"/>
    <n v="0"/>
    <n v="0"/>
    <n v="106.67"/>
  </r>
  <r>
    <n v="60345453"/>
    <s v="N"/>
    <n v="21349890"/>
    <s v="3000014642110008"/>
    <s v="CIVIL"/>
    <d v="2023-06-23T00:00:00"/>
    <d v="2023-07-10T19:01:40"/>
    <m/>
    <d v="2023-07-10T00:00:00"/>
    <n v="1174"/>
    <n v="3180"/>
    <s v="60345453"/>
    <s v="60345453"/>
    <m/>
    <m/>
    <n v="22753676"/>
    <m/>
    <m/>
    <m/>
    <s v="SOLFIN"/>
    <s v="SOLFIN"/>
    <s v="CCMS"/>
    <n v="21349890"/>
    <n v="20669.7"/>
    <m/>
    <s v="N"/>
    <n v="31"/>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136"/>
    <d v="2023-07-10T19:02:02"/>
    <s v="Y"/>
    <s v="Final Hearing - 1 Day"/>
    <s v="Public Law Children"/>
    <s v="Advocacy"/>
    <s v="GW"/>
    <s v="Y"/>
    <n v="668.25"/>
    <n v="133.65"/>
    <x v="2"/>
    <s v="VALIDATED"/>
    <n v="1"/>
    <s v="01.11.80.308.6100.0000"/>
    <n v="668.25"/>
    <s v="11"/>
    <s v="6100"/>
    <n v="8273.040000000001"/>
    <n v="668.25"/>
    <s v="CREDITOR"/>
    <n v="0"/>
    <n v="0"/>
    <n v="0"/>
    <n v="0"/>
    <n v="668.25"/>
  </r>
  <r>
    <n v="60345453"/>
    <s v="N"/>
    <n v="21349890"/>
    <s v="3000014642110008"/>
    <s v="CIVIL"/>
    <d v="2023-06-23T00:00:00"/>
    <d v="2023-07-10T19:01:40"/>
    <m/>
    <d v="2023-07-10T00:00:00"/>
    <n v="1174"/>
    <n v="3180"/>
    <s v="60345453"/>
    <s v="60345453"/>
    <m/>
    <m/>
    <n v="22753676"/>
    <m/>
    <m/>
    <m/>
    <s v="SOLFIN"/>
    <s v="SOLFIN"/>
    <s v="CCMS"/>
    <n v="21349890"/>
    <n v="20669.7"/>
    <m/>
    <s v="N"/>
    <n v="110"/>
    <d v="2023-07-10T19:02:02"/>
    <s v="Y"/>
    <s v="Report - other expert's report"/>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25"/>
    <d v="2023-07-10T19:02:02"/>
    <s v="N"/>
    <s v="Solicitors Fixed Fee"/>
    <s v="Public Law Children"/>
    <s v="Profit Cost"/>
    <s v="GW"/>
    <s v="N"/>
    <n v="0"/>
    <n v="0"/>
    <x v="2"/>
    <s v="VALIDATED"/>
    <n v="1"/>
    <s v="01.11.80.308.6100.0000"/>
    <n v="0"/>
    <s v="11"/>
    <s v="6100"/>
    <n v="8273.040000000001"/>
    <n v="0"/>
    <s v="CREDITOR"/>
    <n v="0"/>
    <n v="0"/>
    <n v="0"/>
    <n v="0"/>
    <n v="0"/>
  </r>
  <r>
    <n v="60345453"/>
    <s v="N"/>
    <n v="21349890"/>
    <s v="3000014642110008"/>
    <s v="CIVIL"/>
    <d v="2023-06-23T00:00:00"/>
    <d v="2023-07-10T19:01:40"/>
    <m/>
    <d v="2023-07-10T00:00:00"/>
    <n v="1174"/>
    <n v="3180"/>
    <s v="60345453"/>
    <s v="60345453"/>
    <m/>
    <m/>
    <n v="22753676"/>
    <m/>
    <m/>
    <m/>
    <s v="SOLFIN"/>
    <s v="SOLFIN"/>
    <s v="CCMS"/>
    <n v="21349890"/>
    <n v="20669.7"/>
    <m/>
    <s v="N"/>
    <n v="93"/>
    <d v="2023-07-10T19:02:02"/>
    <s v="Y"/>
    <s v="Preparation - other"/>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54"/>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34"/>
    <d v="2023-07-10T19:02:02"/>
    <s v="Y"/>
    <s v="Preparation - drafting instructions"/>
    <s v="Care Remuneration Hourly Rates"/>
    <s v="Profit Cost"/>
    <s v="GW"/>
    <s v="Y"/>
    <n v="44.45"/>
    <n v="8.890000000000001"/>
    <x v="2"/>
    <s v="VALIDATED"/>
    <n v="1"/>
    <s v="01.11.80.308.6100.0000"/>
    <n v="44.45"/>
    <s v="11"/>
    <s v="6100"/>
    <n v="8273.040000000001"/>
    <n v="44.45"/>
    <s v="CREDITOR"/>
    <n v="0"/>
    <n v="0"/>
    <n v="0"/>
    <n v="0"/>
    <n v="44.45"/>
  </r>
  <r>
    <n v="60345453"/>
    <s v="N"/>
    <n v="21349890"/>
    <s v="3000014642110008"/>
    <s v="CIVIL"/>
    <d v="2023-06-23T00:00:00"/>
    <d v="2023-07-10T19:01:40"/>
    <m/>
    <d v="2023-07-10T00:00:00"/>
    <n v="1174"/>
    <n v="3180"/>
    <s v="60345453"/>
    <s v="60345453"/>
    <m/>
    <m/>
    <n v="22753676"/>
    <m/>
    <m/>
    <m/>
    <s v="SOLFIN"/>
    <s v="SOLFIN"/>
    <s v="CCMS"/>
    <n v="21349890"/>
    <n v="20669.7"/>
    <m/>
    <s v="N"/>
    <n v="92"/>
    <d v="2023-07-10T19:02:02"/>
    <s v="Y"/>
    <s v="Preparation - drafting statement"/>
    <s v="Care Remuneration Hourly Rates"/>
    <s v="Profit Cost"/>
    <s v="GW"/>
    <s v="Y"/>
    <n v="62.22"/>
    <n v="12.44"/>
    <x v="2"/>
    <s v="VALIDATED"/>
    <n v="1"/>
    <s v="01.11.80.308.6100.0000"/>
    <n v="62.22"/>
    <s v="11"/>
    <s v="6100"/>
    <n v="8273.040000000001"/>
    <n v="62.22"/>
    <s v="CREDITOR"/>
    <n v="0"/>
    <n v="0"/>
    <n v="0"/>
    <n v="0"/>
    <n v="62.22"/>
  </r>
  <r>
    <n v="60345453"/>
    <s v="N"/>
    <n v="21349890"/>
    <s v="3000014642110008"/>
    <s v="CIVIL"/>
    <d v="2023-06-23T00:00:00"/>
    <d v="2023-07-10T19:01:40"/>
    <m/>
    <d v="2023-07-10T00:00:00"/>
    <n v="1174"/>
    <n v="3180"/>
    <s v="60345453"/>
    <s v="60345453"/>
    <m/>
    <m/>
    <n v="22753676"/>
    <m/>
    <m/>
    <m/>
    <s v="SOLFIN"/>
    <s v="SOLFIN"/>
    <s v="CCMS"/>
    <n v="21349890"/>
    <n v="20669.7"/>
    <m/>
    <s v="N"/>
    <n v="73"/>
    <d v="2023-07-10T19:02:02"/>
    <s v="Y"/>
    <s v="Preparation - other"/>
    <s v="Care Remuneration Hourly Rates"/>
    <s v="Profit Cost"/>
    <s v="GW"/>
    <s v="Y"/>
    <n v="160.01"/>
    <n v="32"/>
    <x v="2"/>
    <s v="VALIDATED"/>
    <n v="1"/>
    <s v="01.11.80.308.6100.0000"/>
    <n v="160.01"/>
    <s v="11"/>
    <s v="6100"/>
    <n v="8273.040000000001"/>
    <n v="160.01"/>
    <s v="CREDITOR"/>
    <n v="0"/>
    <n v="0"/>
    <n v="0"/>
    <n v="0"/>
    <n v="160.01"/>
  </r>
  <r>
    <n v="60345453"/>
    <s v="N"/>
    <n v="21349890"/>
    <s v="3000014642110008"/>
    <s v="CIVIL"/>
    <d v="2023-06-23T00:00:00"/>
    <d v="2023-07-10T19:01:40"/>
    <m/>
    <d v="2023-07-10T00:00:00"/>
    <n v="1174"/>
    <n v="3180"/>
    <s v="60345453"/>
    <s v="60345453"/>
    <m/>
    <m/>
    <n v="22753676"/>
    <m/>
    <m/>
    <m/>
    <s v="SOLFIN"/>
    <s v="SOLFIN"/>
    <s v="CCMS"/>
    <n v="21349890"/>
    <n v="20669.7"/>
    <m/>
    <s v="N"/>
    <n v="105"/>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114"/>
    <d v="2023-07-10T19:02:02"/>
    <s v="Y"/>
    <s v="Preparation - other"/>
    <s v="Care Remuneration Hourly Rates"/>
    <s v="Profit Cost"/>
    <s v="GW"/>
    <s v="Y"/>
    <n v="106.67"/>
    <n v="21.33"/>
    <x v="2"/>
    <s v="VALIDATED"/>
    <n v="1"/>
    <s v="01.11.80.308.6100.0000"/>
    <n v="106.67"/>
    <s v="11"/>
    <s v="6100"/>
    <n v="8273.040000000001"/>
    <n v="106.67"/>
    <s v="CREDITOR"/>
    <n v="0"/>
    <n v="0"/>
    <n v="0"/>
    <n v="0"/>
    <n v="106.67"/>
  </r>
  <r>
    <n v="60345453"/>
    <s v="N"/>
    <n v="21349890"/>
    <s v="3000014642110008"/>
    <s v="CIVIL"/>
    <d v="2023-06-23T00:00:00"/>
    <d v="2023-07-10T19:01:40"/>
    <m/>
    <d v="2023-07-10T00:00:00"/>
    <n v="1174"/>
    <n v="3180"/>
    <s v="60345453"/>
    <s v="60345453"/>
    <m/>
    <m/>
    <n v="22753676"/>
    <m/>
    <m/>
    <m/>
    <s v="SOLFIN"/>
    <s v="SOLFIN"/>
    <s v="CCMS"/>
    <n v="21349890"/>
    <n v="20669.7"/>
    <m/>
    <s v="N"/>
    <n v="120"/>
    <d v="2023-07-10T19:02:02"/>
    <s v="Y"/>
    <s v="Routine Telephone Call"/>
    <s v="Care Remuneration Hourly Rates"/>
    <s v="Profit Cost"/>
    <s v="GW"/>
    <s v="Y"/>
    <n v="9.73"/>
    <n v="1.95"/>
    <x v="2"/>
    <s v="VALIDATED"/>
    <n v="1"/>
    <s v="01.11.80.308.6100.0000"/>
    <n v="9.73"/>
    <s v="11"/>
    <s v="6100"/>
    <n v="8273.040000000001"/>
    <n v="9.73"/>
    <s v="CREDITOR"/>
    <n v="0"/>
    <n v="0"/>
    <n v="0"/>
    <n v="0"/>
    <n v="9.73"/>
  </r>
  <r>
    <n v="60345453"/>
    <s v="N"/>
    <n v="21349890"/>
    <s v="3000014642110008"/>
    <s v="CIVIL"/>
    <d v="2023-06-23T00:00:00"/>
    <d v="2023-07-10T19:01:40"/>
    <m/>
    <d v="2023-07-10T00:00:00"/>
    <n v="1174"/>
    <n v="3180"/>
    <s v="60345453"/>
    <s v="60345453"/>
    <m/>
    <m/>
    <n v="22753676"/>
    <m/>
    <m/>
    <m/>
    <s v="SOLFIN"/>
    <s v="SOLFIN"/>
    <s v="CCMS"/>
    <n v="21349890"/>
    <n v="20669.7"/>
    <m/>
    <s v="N"/>
    <n v="51"/>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113"/>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46"/>
    <d v="2023-07-10T19:02:02"/>
    <s v="Y"/>
    <s v="Report - other expert's report"/>
    <s v="Care Remuneration Hourly Rates"/>
    <s v="Profit Cost"/>
    <s v="GW"/>
    <s v="Y"/>
    <n v="26.67"/>
    <n v="5.33"/>
    <x v="2"/>
    <s v="VALIDATED"/>
    <n v="1"/>
    <s v="01.11.80.308.6100.0000"/>
    <n v="26.67"/>
    <s v="11"/>
    <s v="6100"/>
    <n v="8273.040000000001"/>
    <n v="26.67"/>
    <s v="CREDITOR"/>
    <n v="0"/>
    <n v="0"/>
    <n v="0"/>
    <n v="0"/>
    <n v="26.67"/>
  </r>
  <r>
    <n v="61807907"/>
    <s v="N"/>
    <n v="21319348"/>
    <s v="3000015879910006"/>
    <s v="CIVIL"/>
    <d v="2023-06-28T00:00:00"/>
    <d v="2023-07-03T19:04:24"/>
    <m/>
    <d v="2023-07-03T00:00:00"/>
    <n v="1174"/>
    <n v="3180"/>
    <s v="61807907"/>
    <s v="61807907"/>
    <m/>
    <m/>
    <n v="22778052"/>
    <m/>
    <m/>
    <m/>
    <s v="SOLPOA"/>
    <s v="SOLPOA"/>
    <s v="CCMS"/>
    <n v="21319348"/>
    <n v="606"/>
    <m/>
    <s v="N"/>
    <n v="1"/>
    <d v="2023-07-03T19:04:25"/>
    <s v="N"/>
    <s v="Non Expert Disbursement"/>
    <s v="Non Expert Disbursement"/>
    <s v="Non Expert Disbursement"/>
    <s v="Ian Williams"/>
    <s v="N"/>
    <n v="505"/>
    <n v="101"/>
    <x v="3"/>
    <s v="VALIDATED"/>
    <n v="1"/>
    <s v="01.11.80.308.2012.0000"/>
    <n v="505"/>
    <s v="11"/>
    <s v="2012"/>
    <n v="8273.040000000001"/>
    <n v="505"/>
    <s v="CREDITOR"/>
    <n v="505"/>
    <n v="0"/>
    <n v="0"/>
    <n v="0"/>
    <n v="0"/>
  </r>
  <r>
    <n v="60345453"/>
    <s v="N"/>
    <n v="21349890"/>
    <s v="3000014642110008"/>
    <s v="CIVIL"/>
    <d v="2023-06-23T00:00:00"/>
    <d v="2023-07-10T19:01:40"/>
    <m/>
    <d v="2023-07-10T00:00:00"/>
    <n v="1174"/>
    <n v="3180"/>
    <s v="60345453"/>
    <s v="60345453"/>
    <m/>
    <m/>
    <n v="22753676"/>
    <m/>
    <m/>
    <m/>
    <s v="SOLFIN"/>
    <s v="SOLFIN"/>
    <s v="CCMS"/>
    <n v="21349890"/>
    <n v="20669.7"/>
    <m/>
    <s v="N"/>
    <n v="108"/>
    <d v="2023-07-10T19:02:02"/>
    <s v="Y"/>
    <s v="Preparation - other"/>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32"/>
    <d v="2023-07-10T19:02:02"/>
    <s v="Y"/>
    <s v="Advocates Meeting"/>
    <s v="Public Law Children"/>
    <s v="Advocacy"/>
    <s v="GW"/>
    <s v="Y"/>
    <n v="169.2"/>
    <n v="33.84"/>
    <x v="2"/>
    <s v="VALIDATED"/>
    <n v="1"/>
    <s v="01.11.80.308.6100.0000"/>
    <n v="169.2"/>
    <s v="11"/>
    <s v="6100"/>
    <n v="8273.040000000001"/>
    <n v="169.2"/>
    <s v="CREDITOR"/>
    <n v="0"/>
    <n v="0"/>
    <n v="0"/>
    <n v="0"/>
    <n v="169.2"/>
  </r>
  <r>
    <n v="60345453"/>
    <s v="N"/>
    <n v="21349890"/>
    <s v="3000014642110008"/>
    <s v="CIVIL"/>
    <d v="2023-06-23T00:00:00"/>
    <d v="2023-07-10T19:01:40"/>
    <m/>
    <d v="2023-07-10T00:00:00"/>
    <n v="1174"/>
    <n v="3180"/>
    <s v="60345453"/>
    <s v="60345453"/>
    <m/>
    <m/>
    <n v="22753676"/>
    <m/>
    <m/>
    <m/>
    <s v="SOLFIN"/>
    <s v="SOLFIN"/>
    <s v="CCMS"/>
    <n v="21349890"/>
    <n v="20669.7"/>
    <m/>
    <s v="N"/>
    <n v="79"/>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27"/>
    <d v="2023-07-10T19:02:02"/>
    <s v="Y"/>
    <s v="Preparation - drafting pleadings"/>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45"/>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27"/>
    <d v="2023-07-10T19:02:02"/>
    <s v="Y"/>
    <s v="Photocopying"/>
    <s v="Care Remuneration Hourly Rates"/>
    <s v="Non Expert Disbursement"/>
    <s v="GW"/>
    <s v="Y"/>
    <n v="120.28"/>
    <n v="24.06"/>
    <x v="2"/>
    <s v="VALIDATED"/>
    <n v="1"/>
    <s v="01.11.80.308.6300.0000"/>
    <n v="120.28"/>
    <s v="11"/>
    <s v="6300"/>
    <n v="8273.040000000001"/>
    <n v="120.28"/>
    <s v="CREDITOR"/>
    <n v="0"/>
    <n v="0"/>
    <n v="0"/>
    <n v="0"/>
    <n v="120.28"/>
  </r>
  <r>
    <n v="60345453"/>
    <s v="N"/>
    <n v="21349890"/>
    <s v="3000014642110008"/>
    <s v="CIVIL"/>
    <d v="2023-06-23T00:00:00"/>
    <d v="2023-07-10T19:01:40"/>
    <m/>
    <d v="2023-07-10T00:00:00"/>
    <n v="1174"/>
    <n v="3180"/>
    <s v="60345453"/>
    <s v="60345453"/>
    <m/>
    <m/>
    <n v="22753676"/>
    <m/>
    <m/>
    <m/>
    <s v="SOLFIN"/>
    <s v="SOLFIN"/>
    <s v="CCMS"/>
    <n v="21349890"/>
    <n v="20669.7"/>
    <m/>
    <s v="N"/>
    <n v="25"/>
    <d v="2023-07-10T19:02:02"/>
    <s v="Y"/>
    <s v="Preparation - drafting attendance n"/>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100"/>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94"/>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126"/>
    <d v="2023-07-10T19:02:02"/>
    <s v="Y"/>
    <s v="Court Fee"/>
    <s v="Care Remuneration Hourly Rates"/>
    <s v="Non Expert Disbursement"/>
    <s v="GW"/>
    <s v="Y"/>
    <n v="167"/>
    <n v="0"/>
    <x v="2"/>
    <s v="VALIDATED"/>
    <n v="1"/>
    <s v="01.11.80.308.6300.0000"/>
    <n v="167"/>
    <s v="11"/>
    <s v="6300"/>
    <n v="8273.040000000001"/>
    <n v="167"/>
    <s v="CREDITOR"/>
    <n v="0"/>
    <n v="0"/>
    <n v="0"/>
    <n v="0"/>
    <n v="167"/>
  </r>
  <r>
    <n v="61807907"/>
    <s v="N"/>
    <n v="21319470"/>
    <s v="3000015879910007"/>
    <s v="CIVIL"/>
    <d v="2023-06-28T00:00:00"/>
    <d v="2023-07-03T19:04:24"/>
    <m/>
    <d v="2023-07-03T00:00:00"/>
    <n v="1174"/>
    <n v="3180"/>
    <s v="61807907"/>
    <s v="61807907"/>
    <m/>
    <m/>
    <n v="22777988"/>
    <m/>
    <m/>
    <m/>
    <s v="SOLPOA"/>
    <s v="SOLPOA"/>
    <s v="CCMS"/>
    <n v="21319470"/>
    <n v="53"/>
    <m/>
    <s v="N"/>
    <n v="1"/>
    <d v="2023-07-03T19:04:26"/>
    <s v="N"/>
    <s v="Non Expert Disbursement"/>
    <s v="Non Expert Disbursement"/>
    <s v="Non Expert Disbursement"/>
    <s v="Ian Williams"/>
    <s v="N"/>
    <n v="53"/>
    <n v="0"/>
    <x v="3"/>
    <s v="VALIDATED"/>
    <n v="1"/>
    <s v="01.11.80.308.2012.0000"/>
    <n v="53"/>
    <s v="11"/>
    <s v="2012"/>
    <n v="8273.040000000001"/>
    <n v="53"/>
    <s v="CREDITOR"/>
    <n v="53"/>
    <n v="0"/>
    <n v="0"/>
    <n v="0"/>
    <n v="0"/>
  </r>
  <r>
    <n v="60345453"/>
    <s v="N"/>
    <n v="21349890"/>
    <s v="3000014642110008"/>
    <s v="CIVIL"/>
    <d v="2023-06-23T00:00:00"/>
    <d v="2023-07-10T19:01:40"/>
    <m/>
    <d v="2023-07-10T00:00:00"/>
    <n v="1174"/>
    <n v="3180"/>
    <s v="60345453"/>
    <s v="60345453"/>
    <m/>
    <m/>
    <n v="22753676"/>
    <m/>
    <m/>
    <m/>
    <s v="SOLFIN"/>
    <s v="SOLFIN"/>
    <s v="CCMS"/>
    <n v="21349890"/>
    <n v="20669.7"/>
    <m/>
    <s v="N"/>
    <n v="2"/>
    <d v="2023-07-10T19:02:02"/>
    <s v="Y"/>
    <s v="Preparation - drafting instructions"/>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10"/>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59"/>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69"/>
    <d v="2023-07-10T19:02:02"/>
    <s v="Y"/>
    <s v="Preparation - other"/>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76"/>
    <d v="2023-07-10T19:02:02"/>
    <s v="Y"/>
    <s v="Preparation - other"/>
    <s v="Care Remuneration Hourly Rates"/>
    <s v="Profit Cost"/>
    <s v="GW"/>
    <s v="Y"/>
    <n v="284.45"/>
    <n v="56.89"/>
    <x v="2"/>
    <s v="VALIDATED"/>
    <n v="1"/>
    <s v="01.11.80.308.6100.0000"/>
    <n v="284.45"/>
    <s v="11"/>
    <s v="6100"/>
    <n v="8273.040000000001"/>
    <n v="284.45"/>
    <s v="CREDITOR"/>
    <n v="0"/>
    <n v="0"/>
    <n v="0"/>
    <n v="0"/>
    <n v="284.45"/>
  </r>
  <r>
    <n v="60345453"/>
    <s v="N"/>
    <n v="21349890"/>
    <s v="3000014642110008"/>
    <s v="CIVIL"/>
    <d v="2023-06-23T00:00:00"/>
    <d v="2023-07-10T19:01:40"/>
    <m/>
    <d v="2023-07-10T00:00:00"/>
    <n v="1174"/>
    <n v="3180"/>
    <s v="60345453"/>
    <s v="60345453"/>
    <m/>
    <m/>
    <n v="22753676"/>
    <m/>
    <m/>
    <m/>
    <s v="SOLFIN"/>
    <s v="SOLFIN"/>
    <s v="CCMS"/>
    <n v="21349890"/>
    <n v="20669.7"/>
    <m/>
    <s v="N"/>
    <n v="106"/>
    <d v="2023-07-10T19:02:02"/>
    <s v="Y"/>
    <s v="Preparation - drafting statement"/>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4"/>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57"/>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15"/>
    <d v="2023-07-10T19:02:02"/>
    <s v="Y"/>
    <s v="Attendance upon client"/>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95"/>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47"/>
    <d v="2023-07-10T19:02:02"/>
    <s v="Y"/>
    <s v="Preparation - other"/>
    <s v="Care Remuneration Hourly Rates"/>
    <s v="Profit Cost"/>
    <s v="GW"/>
    <s v="Y"/>
    <n v="373.34"/>
    <n v="74.67"/>
    <x v="2"/>
    <s v="VALIDATED"/>
    <n v="1"/>
    <s v="01.11.80.308.6100.0000"/>
    <n v="373.34"/>
    <s v="11"/>
    <s v="6100"/>
    <n v="8273.040000000001"/>
    <n v="373.34"/>
    <s v="CREDITOR"/>
    <n v="0"/>
    <n v="0"/>
    <n v="0"/>
    <n v="0"/>
    <n v="373.34"/>
  </r>
  <r>
    <n v="60345453"/>
    <s v="N"/>
    <n v="21349890"/>
    <s v="3000014642110008"/>
    <s v="CIVIL"/>
    <d v="2023-06-23T00:00:00"/>
    <d v="2023-07-10T19:01:40"/>
    <m/>
    <d v="2023-07-10T00:00:00"/>
    <n v="1174"/>
    <n v="3180"/>
    <s v="60345453"/>
    <s v="60345453"/>
    <m/>
    <m/>
    <n v="22753676"/>
    <m/>
    <m/>
    <m/>
    <s v="SOLFIN"/>
    <s v="SOLFIN"/>
    <s v="CCMS"/>
    <n v="21349890"/>
    <n v="20669.7"/>
    <m/>
    <s v="N"/>
    <n v="62"/>
    <d v="2023-07-10T19:02:02"/>
    <s v="Y"/>
    <s v="Preparation - other"/>
    <s v="Care Remuneration Hourly Rates"/>
    <s v="Profit Cost"/>
    <s v="GW"/>
    <s v="Y"/>
    <n v="133.34"/>
    <n v="26.67"/>
    <x v="2"/>
    <s v="VALIDATED"/>
    <n v="1"/>
    <s v="01.11.80.308.6100.0000"/>
    <n v="133.34"/>
    <s v="11"/>
    <s v="6100"/>
    <n v="8273.040000000001"/>
    <n v="133.34"/>
    <s v="CREDITOR"/>
    <n v="0"/>
    <n v="0"/>
    <n v="0"/>
    <n v="0"/>
    <n v="133.34"/>
  </r>
  <r>
    <n v="60345453"/>
    <s v="N"/>
    <n v="21349890"/>
    <s v="3000014642110008"/>
    <s v="CIVIL"/>
    <d v="2023-06-23T00:00:00"/>
    <d v="2023-07-10T19:01:40"/>
    <m/>
    <d v="2023-07-10T00:00:00"/>
    <n v="1174"/>
    <n v="3180"/>
    <s v="60345453"/>
    <s v="60345453"/>
    <m/>
    <m/>
    <n v="22753676"/>
    <m/>
    <m/>
    <m/>
    <s v="SOLFIN"/>
    <s v="SOLFIN"/>
    <s v="CCMS"/>
    <n v="21349890"/>
    <n v="20669.7"/>
    <m/>
    <s v="N"/>
    <n v="30"/>
    <d v="2023-07-10T19:02:02"/>
    <s v="Y"/>
    <s v="Preparation - other"/>
    <s v="Care Remuneration Hourly Rates"/>
    <s v="Profit Cost"/>
    <s v="GW"/>
    <s v="Y"/>
    <n v="71.12"/>
    <n v="14.22"/>
    <x v="2"/>
    <s v="VALIDATED"/>
    <n v="1"/>
    <s v="01.11.80.308.6100.0000"/>
    <n v="71.12"/>
    <s v="11"/>
    <s v="6100"/>
    <n v="8273.040000000001"/>
    <n v="71.12"/>
    <s v="CREDITOR"/>
    <n v="0"/>
    <n v="0"/>
    <n v="0"/>
    <n v="0"/>
    <n v="71.12"/>
  </r>
  <r>
    <n v="60345453"/>
    <s v="N"/>
    <n v="21349890"/>
    <s v="3000014642110008"/>
    <s v="CIVIL"/>
    <d v="2023-06-23T00:00:00"/>
    <d v="2023-07-10T19:01:40"/>
    <m/>
    <d v="2023-07-10T00:00:00"/>
    <n v="1174"/>
    <n v="3180"/>
    <s v="60345453"/>
    <s v="60345453"/>
    <m/>
    <m/>
    <n v="22753676"/>
    <m/>
    <m/>
    <m/>
    <s v="SOLFIN"/>
    <s v="SOLFIN"/>
    <s v="CCMS"/>
    <n v="21349890"/>
    <n v="20669.7"/>
    <m/>
    <s v="N"/>
    <n v="65"/>
    <d v="2023-07-10T19:02:02"/>
    <s v="Y"/>
    <s v="Preparation - other"/>
    <s v="Care Remuneration Hourly Rates"/>
    <s v="Profit Cost"/>
    <s v="GW"/>
    <s v="Y"/>
    <n v="88.89"/>
    <n v="17.78"/>
    <x v="2"/>
    <s v="VALIDATED"/>
    <n v="1"/>
    <s v="01.11.80.308.6100.0000"/>
    <n v="88.89"/>
    <s v="11"/>
    <s v="6100"/>
    <n v="8273.040000000001"/>
    <n v="88.89"/>
    <s v="CREDITOR"/>
    <n v="0"/>
    <n v="0"/>
    <n v="0"/>
    <n v="0"/>
    <n v="88.89"/>
  </r>
  <r>
    <n v="60345453"/>
    <s v="N"/>
    <n v="21349890"/>
    <s v="3000014642110008"/>
    <s v="CIVIL"/>
    <d v="2023-06-23T00:00:00"/>
    <d v="2023-07-10T19:01:40"/>
    <m/>
    <d v="2023-07-10T00:00:00"/>
    <n v="1174"/>
    <n v="3180"/>
    <s v="60345453"/>
    <s v="60345453"/>
    <m/>
    <m/>
    <n v="22753676"/>
    <m/>
    <m/>
    <m/>
    <s v="SOLFIN"/>
    <s v="SOLFIN"/>
    <s v="CCMS"/>
    <n v="21349890"/>
    <n v="20669.7"/>
    <m/>
    <s v="N"/>
    <n v="68"/>
    <d v="2023-07-10T19:02:02"/>
    <s v="Y"/>
    <s v="Preparation - drafting pleadings"/>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29"/>
    <d v="2023-07-10T19:02:02"/>
    <s v="Y"/>
    <s v="Preparation - drafting statement"/>
    <s v="Care Remuneration Hourly Rates"/>
    <s v="Profit Cost"/>
    <s v="GW"/>
    <s v="Y"/>
    <n v="71.12"/>
    <n v="14.22"/>
    <x v="2"/>
    <s v="VALIDATED"/>
    <n v="1"/>
    <s v="01.11.80.308.6100.0000"/>
    <n v="71.12"/>
    <s v="11"/>
    <s v="6100"/>
    <n v="8273.040000000001"/>
    <n v="71.12"/>
    <s v="CREDITOR"/>
    <n v="0"/>
    <n v="0"/>
    <n v="0"/>
    <n v="0"/>
    <n v="71.12"/>
  </r>
  <r>
    <n v="60345453"/>
    <s v="N"/>
    <n v="21349890"/>
    <s v="3000014642110008"/>
    <s v="CIVIL"/>
    <d v="2023-06-23T00:00:00"/>
    <d v="2023-07-10T19:01:40"/>
    <m/>
    <d v="2023-07-10T00:00:00"/>
    <n v="1174"/>
    <n v="3180"/>
    <s v="60345453"/>
    <s v="60345453"/>
    <m/>
    <m/>
    <n v="22753676"/>
    <m/>
    <m/>
    <m/>
    <s v="SOLFIN"/>
    <s v="SOLFIN"/>
    <s v="CCMS"/>
    <n v="21349890"/>
    <n v="20669.7"/>
    <m/>
    <s v="N"/>
    <n v="99"/>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01"/>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24"/>
    <d v="2023-07-10T19:02:02"/>
    <s v="Y"/>
    <s v="Routine Letter In"/>
    <s v="Care Remuneration Hourly Rates"/>
    <s v="Profit Cost"/>
    <s v="AG"/>
    <s v="Y"/>
    <n v="23.32"/>
    <n v="4.66"/>
    <x v="2"/>
    <s v="VALIDATED"/>
    <n v="1"/>
    <s v="01.11.80.308.6100.0000"/>
    <n v="23.32"/>
    <s v="11"/>
    <s v="6100"/>
    <n v="8273.040000000001"/>
    <n v="23.32"/>
    <s v="CREDITOR"/>
    <n v="0"/>
    <n v="0"/>
    <n v="0"/>
    <n v="0"/>
    <n v="23.32"/>
  </r>
  <r>
    <n v="60345453"/>
    <s v="N"/>
    <n v="21349890"/>
    <s v="3000014642110008"/>
    <s v="CIVIL"/>
    <d v="2023-06-23T00:00:00"/>
    <d v="2023-07-10T19:01:40"/>
    <m/>
    <d v="2023-07-10T00:00:00"/>
    <n v="1174"/>
    <n v="3180"/>
    <s v="60345453"/>
    <s v="60345453"/>
    <m/>
    <m/>
    <n v="22753676"/>
    <m/>
    <m/>
    <m/>
    <s v="SOLFIN"/>
    <s v="SOLFIN"/>
    <s v="CCMS"/>
    <n v="21349890"/>
    <n v="20669.7"/>
    <m/>
    <s v="N"/>
    <n v="35"/>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35"/>
    <d v="2023-07-10T19:02:02"/>
    <s v="Y"/>
    <s v="Advocates Meeting"/>
    <s v="Public Law Children"/>
    <s v="Advocacy"/>
    <s v="GW"/>
    <s v="Y"/>
    <n v="169.2"/>
    <n v="33.84"/>
    <x v="2"/>
    <s v="VALIDATED"/>
    <n v="1"/>
    <s v="01.11.80.308.6100.0000"/>
    <n v="169.2"/>
    <s v="11"/>
    <s v="6100"/>
    <n v="8273.040000000001"/>
    <n v="169.2"/>
    <s v="CREDITOR"/>
    <n v="0"/>
    <n v="0"/>
    <n v="0"/>
    <n v="0"/>
    <n v="169.2"/>
  </r>
  <r>
    <n v="61087799"/>
    <s v="N"/>
    <n v="21320005"/>
    <s v="3000015272320028"/>
    <s v="CIVIL"/>
    <d v="2023-06-26T00:00:00"/>
    <d v="2023-07-03T19:04:24"/>
    <m/>
    <d v="2023-07-03T00:00:00"/>
    <n v="1174"/>
    <n v="3180"/>
    <s v="61087799"/>
    <s v="61087799"/>
    <m/>
    <m/>
    <n v="22763344"/>
    <m/>
    <m/>
    <m/>
    <s v="SOLPOA"/>
    <s v="SOLPOA"/>
    <s v="CCMS"/>
    <n v="21320005"/>
    <n v="220.8"/>
    <m/>
    <s v="N"/>
    <n v="1"/>
    <d v="2023-07-03T19:04:28"/>
    <s v="N"/>
    <s v="Expert Cost"/>
    <s v="Expert Cost"/>
    <s v="Expert Disbursement"/>
    <s v="Wendy Kelly"/>
    <s v="N"/>
    <n v="184"/>
    <n v="36.8"/>
    <x v="3"/>
    <s v="VALIDATED"/>
    <n v="1"/>
    <s v="01.11.80.302.2012.0000"/>
    <n v="184"/>
    <s v="11"/>
    <s v="2012"/>
    <n v="8273.040000000001"/>
    <n v="184"/>
    <s v="CREDITOR"/>
    <n v="184"/>
    <n v="0"/>
    <n v="0"/>
    <n v="0"/>
    <n v="0"/>
  </r>
  <r>
    <n v="60345453"/>
    <s v="N"/>
    <n v="21349890"/>
    <s v="3000014642110008"/>
    <s v="CIVIL"/>
    <d v="2023-06-23T00:00:00"/>
    <d v="2023-07-10T19:01:40"/>
    <m/>
    <d v="2023-07-10T00:00:00"/>
    <n v="1174"/>
    <n v="3180"/>
    <s v="60345453"/>
    <s v="60345453"/>
    <m/>
    <m/>
    <n v="22753676"/>
    <m/>
    <m/>
    <m/>
    <s v="SOLFIN"/>
    <s v="SOLFIN"/>
    <s v="CCMS"/>
    <n v="21349890"/>
    <n v="20669.7"/>
    <m/>
    <s v="N"/>
    <n v="131"/>
    <d v="2023-07-10T19:02:02"/>
    <s v="Y"/>
    <s v="Advocates Meeting"/>
    <s v="Public Law Children"/>
    <s v="Advocacy"/>
    <s v="GW"/>
    <s v="Y"/>
    <n v="169.2"/>
    <n v="33.84"/>
    <x v="2"/>
    <s v="VALIDATED"/>
    <n v="1"/>
    <s v="01.11.80.308.6100.0000"/>
    <n v="169.2"/>
    <s v="11"/>
    <s v="6100"/>
    <n v="8273.040000000001"/>
    <n v="169.2"/>
    <s v="CREDITOR"/>
    <n v="0"/>
    <n v="0"/>
    <n v="0"/>
    <n v="0"/>
    <n v="169.2"/>
  </r>
  <r>
    <n v="60345453"/>
    <s v="N"/>
    <n v="21349890"/>
    <s v="3000014642110008"/>
    <s v="CIVIL"/>
    <d v="2023-06-23T00:00:00"/>
    <d v="2023-07-10T19:01:40"/>
    <m/>
    <d v="2023-07-10T00:00:00"/>
    <n v="1174"/>
    <n v="3180"/>
    <s v="60345453"/>
    <s v="60345453"/>
    <m/>
    <m/>
    <n v="22753676"/>
    <m/>
    <m/>
    <m/>
    <s v="SOLFIN"/>
    <s v="SOLFIN"/>
    <s v="CCMS"/>
    <n v="21349890"/>
    <n v="20669.7"/>
    <m/>
    <s v="N"/>
    <n v="14"/>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107"/>
    <d v="2023-07-10T19:02:02"/>
    <s v="Y"/>
    <s v="Preparation - other"/>
    <s v="Care Remuneration Hourly Rates"/>
    <s v="Profit Cost"/>
    <s v="GW"/>
    <s v="Y"/>
    <n v="71.12"/>
    <n v="14.22"/>
    <x v="2"/>
    <s v="VALIDATED"/>
    <n v="1"/>
    <s v="01.11.80.308.6100.0000"/>
    <n v="71.12"/>
    <s v="11"/>
    <s v="6100"/>
    <n v="8273.040000000001"/>
    <n v="71.12"/>
    <s v="CREDITOR"/>
    <n v="0"/>
    <n v="0"/>
    <n v="0"/>
    <n v="0"/>
    <n v="71.12"/>
  </r>
  <r>
    <n v="60345453"/>
    <s v="N"/>
    <n v="21349890"/>
    <s v="3000014642110008"/>
    <s v="CIVIL"/>
    <d v="2023-06-23T00:00:00"/>
    <d v="2023-07-10T19:01:40"/>
    <m/>
    <d v="2023-07-10T00:00:00"/>
    <n v="1174"/>
    <n v="3180"/>
    <s v="60345453"/>
    <s v="60345453"/>
    <m/>
    <m/>
    <n v="22753676"/>
    <m/>
    <m/>
    <m/>
    <s v="SOLFIN"/>
    <s v="SOLFIN"/>
    <s v="CCMS"/>
    <n v="21349890"/>
    <n v="20669.7"/>
    <m/>
    <s v="N"/>
    <n v="12"/>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41"/>
    <d v="2023-07-10T19:02:02"/>
    <s v="Y"/>
    <s v="Preparation - drafting statement"/>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43"/>
    <d v="2023-07-10T19:02:02"/>
    <s v="Y"/>
    <s v="Preparation - drafting pleadings"/>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86"/>
    <d v="2023-07-10T19:02:02"/>
    <s v="Y"/>
    <s v="Attendance upon client"/>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88"/>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50"/>
    <d v="2023-07-10T19:02:02"/>
    <s v="Y"/>
    <s v="Preparation - other"/>
    <s v="Care Remuneration Hourly Rates"/>
    <s v="Profit Cost"/>
    <s v="GW"/>
    <s v="Y"/>
    <n v="44.45"/>
    <n v="8.890000000000001"/>
    <x v="2"/>
    <s v="VALIDATED"/>
    <n v="1"/>
    <s v="01.11.80.308.6100.0000"/>
    <n v="44.45"/>
    <s v="11"/>
    <s v="6100"/>
    <n v="8273.040000000001"/>
    <n v="44.45"/>
    <s v="CREDITOR"/>
    <n v="0"/>
    <n v="0"/>
    <n v="0"/>
    <n v="0"/>
    <n v="44.45"/>
  </r>
  <r>
    <n v="60345453"/>
    <s v="N"/>
    <n v="21349890"/>
    <s v="3000014642110008"/>
    <s v="CIVIL"/>
    <d v="2023-06-23T00:00:00"/>
    <d v="2023-07-10T19:01:40"/>
    <m/>
    <d v="2023-07-10T00:00:00"/>
    <n v="1174"/>
    <n v="3180"/>
    <s v="60345453"/>
    <s v="60345453"/>
    <m/>
    <m/>
    <n v="22753676"/>
    <m/>
    <m/>
    <m/>
    <s v="SOLFIN"/>
    <s v="SOLFIN"/>
    <s v="CCMS"/>
    <n v="21349890"/>
    <n v="20669.7"/>
    <m/>
    <s v="N"/>
    <n v="60"/>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83"/>
    <d v="2023-07-10T19:02:02"/>
    <s v="Y"/>
    <s v="Preparation - drafting pleadings"/>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89"/>
    <d v="2023-07-10T19:02:02"/>
    <s v="Y"/>
    <s v="Preparation - drafting statement"/>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64"/>
    <d v="2023-07-10T19:02:02"/>
    <s v="Y"/>
    <s v="Preparation - other"/>
    <s v="Care Remuneration Hourly Rates"/>
    <s v="Profit Cost"/>
    <s v="GW"/>
    <s v="Y"/>
    <n v="160.01"/>
    <n v="32"/>
    <x v="2"/>
    <s v="VALIDATED"/>
    <n v="1"/>
    <s v="01.11.80.308.6100.0000"/>
    <n v="160.01"/>
    <s v="11"/>
    <s v="6100"/>
    <n v="8273.040000000001"/>
    <n v="160.01"/>
    <s v="CREDITOR"/>
    <n v="0"/>
    <n v="0"/>
    <n v="0"/>
    <n v="0"/>
    <n v="160.01"/>
  </r>
  <r>
    <n v="60345453"/>
    <s v="N"/>
    <n v="21349890"/>
    <s v="3000014642110008"/>
    <s v="CIVIL"/>
    <d v="2023-06-23T00:00:00"/>
    <d v="2023-07-10T19:01:40"/>
    <m/>
    <d v="2023-07-10T00:00:00"/>
    <n v="1174"/>
    <n v="3180"/>
    <s v="60345453"/>
    <s v="60345453"/>
    <m/>
    <m/>
    <n v="22753676"/>
    <m/>
    <m/>
    <m/>
    <s v="SOLFIN"/>
    <s v="SOLFIN"/>
    <s v="CCMS"/>
    <n v="21349890"/>
    <n v="20669.7"/>
    <m/>
    <s v="N"/>
    <n v="20"/>
    <d v="2023-07-10T19:02:02"/>
    <s v="Y"/>
    <s v="Preparation - drafting statement"/>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118"/>
    <d v="2023-07-10T19:02:02"/>
    <s v="Y"/>
    <s v="Preparation - drafting pleadings"/>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44"/>
    <d v="2023-07-10T19:02:02"/>
    <s v="Y"/>
    <s v="Preparation - other"/>
    <s v="Care Remuneration Hourly Rates"/>
    <s v="Profit Cost"/>
    <s v="GW"/>
    <s v="Y"/>
    <n v="44.45"/>
    <n v="8.890000000000001"/>
    <x v="2"/>
    <s v="VALIDATED"/>
    <n v="1"/>
    <s v="01.11.80.308.6100.0000"/>
    <n v="44.45"/>
    <s v="11"/>
    <s v="6100"/>
    <n v="8273.040000000001"/>
    <n v="44.45"/>
    <s v="CREDITOR"/>
    <n v="0"/>
    <n v="0"/>
    <n v="0"/>
    <n v="0"/>
    <n v="44.45"/>
  </r>
  <r>
    <n v="60345453"/>
    <s v="N"/>
    <n v="21349890"/>
    <s v="3000014642110008"/>
    <s v="CIVIL"/>
    <d v="2023-06-23T00:00:00"/>
    <d v="2023-07-10T19:01:40"/>
    <m/>
    <d v="2023-07-10T00:00:00"/>
    <n v="1174"/>
    <n v="3180"/>
    <s v="60345453"/>
    <s v="60345453"/>
    <m/>
    <m/>
    <n v="22753676"/>
    <m/>
    <m/>
    <m/>
    <s v="SOLFIN"/>
    <s v="SOLFIN"/>
    <s v="CCMS"/>
    <n v="21349890"/>
    <n v="20669.7"/>
    <m/>
    <s v="N"/>
    <n v="91"/>
    <d v="2023-07-10T19:02:02"/>
    <s v="Y"/>
    <s v="Preparation - other"/>
    <s v="Care Remuneration Hourly Rates"/>
    <s v="Profit Cost"/>
    <s v="GW"/>
    <s v="Y"/>
    <n v="53.34"/>
    <n v="10.67"/>
    <x v="2"/>
    <s v="VALIDATED"/>
    <n v="1"/>
    <s v="01.11.80.308.6100.0000"/>
    <n v="53.34"/>
    <s v="11"/>
    <s v="6100"/>
    <n v="8273.040000000001"/>
    <n v="53.34"/>
    <s v="CREDITOR"/>
    <n v="0"/>
    <n v="0"/>
    <n v="0"/>
    <n v="0"/>
    <n v="53.34"/>
  </r>
  <r>
    <n v="60345453"/>
    <s v="N"/>
    <n v="21349890"/>
    <s v="3000014642110008"/>
    <s v="CIVIL"/>
    <d v="2023-06-23T00:00:00"/>
    <d v="2023-07-10T19:01:40"/>
    <m/>
    <d v="2023-07-10T00:00:00"/>
    <n v="1174"/>
    <n v="3180"/>
    <s v="60345453"/>
    <s v="60345453"/>
    <m/>
    <m/>
    <n v="22753676"/>
    <m/>
    <m/>
    <m/>
    <s v="SOLFIN"/>
    <s v="SOLFIN"/>
    <s v="CCMS"/>
    <n v="21349890"/>
    <n v="20669.7"/>
    <m/>
    <s v="N"/>
    <n v="21"/>
    <d v="2023-07-10T19:02:02"/>
    <s v="Y"/>
    <s v="Preparation - drafting statement"/>
    <s v="Care Remuneration Hourly Rates"/>
    <s v="Profit Cost"/>
    <s v="GW"/>
    <s v="Y"/>
    <n v="44.45"/>
    <n v="8.890000000000001"/>
    <x v="2"/>
    <s v="VALIDATED"/>
    <n v="1"/>
    <s v="01.11.80.308.6100.0000"/>
    <n v="44.45"/>
    <s v="11"/>
    <s v="6100"/>
    <n v="8273.040000000001"/>
    <n v="44.45"/>
    <s v="CREDITOR"/>
    <n v="0"/>
    <n v="0"/>
    <n v="0"/>
    <n v="0"/>
    <n v="44.45"/>
  </r>
  <r>
    <n v="60345453"/>
    <s v="N"/>
    <n v="21349890"/>
    <s v="3000014642110008"/>
    <s v="CIVIL"/>
    <d v="2023-06-23T00:00:00"/>
    <d v="2023-07-10T19:01:40"/>
    <m/>
    <d v="2023-07-10T00:00:00"/>
    <n v="1174"/>
    <n v="3180"/>
    <s v="60345453"/>
    <s v="60345453"/>
    <m/>
    <m/>
    <n v="22753676"/>
    <m/>
    <m/>
    <m/>
    <s v="SOLFIN"/>
    <s v="SOLFIN"/>
    <s v="CCMS"/>
    <n v="21349890"/>
    <n v="20669.7"/>
    <m/>
    <s v="N"/>
    <n v="82"/>
    <d v="2023-07-10T19:02:02"/>
    <s v="Y"/>
    <s v="Preparation - drafting attendance n"/>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12"/>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130"/>
    <d v="2023-07-10T19:02:02"/>
    <s v="Y"/>
    <s v="Hearing Unit 2.31 - 5.00 Hours"/>
    <s v="Public Law Children"/>
    <s v="Advocacy"/>
    <s v="GW"/>
    <s v="Y"/>
    <n v="572.3200000000001"/>
    <n v="114.47"/>
    <x v="2"/>
    <s v="VALIDATED"/>
    <n v="1"/>
    <s v="01.11.80.308.6100.0000"/>
    <n v="572.3200000000001"/>
    <s v="11"/>
    <s v="6100"/>
    <n v="8273.040000000001"/>
    <n v="572.3200000000001"/>
    <s v="CREDITOR"/>
    <n v="0"/>
    <n v="0"/>
    <n v="0"/>
    <n v="0"/>
    <n v="572.3200000000001"/>
  </r>
  <r>
    <n v="60345453"/>
    <s v="N"/>
    <n v="21349890"/>
    <s v="3000014642110008"/>
    <s v="CIVIL"/>
    <d v="2023-06-23T00:00:00"/>
    <d v="2023-07-10T19:01:40"/>
    <m/>
    <d v="2023-07-10T00:00:00"/>
    <n v="1174"/>
    <n v="3180"/>
    <s v="60345453"/>
    <s v="60345453"/>
    <m/>
    <m/>
    <n v="22753676"/>
    <m/>
    <m/>
    <m/>
    <s v="SOLFIN"/>
    <s v="SOLFIN"/>
    <s v="CCMS"/>
    <n v="21349890"/>
    <n v="20669.7"/>
    <m/>
    <s v="N"/>
    <n v="13"/>
    <d v="2023-07-10T19:02:02"/>
    <s v="Y"/>
    <s v="Preparation - drafting notice(s)"/>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55"/>
    <d v="2023-07-10T19:02:02"/>
    <s v="Y"/>
    <s v="Report - other expert's report"/>
    <s v="Care Remuneration Hourly Rates"/>
    <s v="Profit Cost"/>
    <s v="GW"/>
    <s v="Y"/>
    <n v="97.79000000000001"/>
    <n v="19.56"/>
    <x v="2"/>
    <s v="VALIDATED"/>
    <n v="1"/>
    <s v="01.11.80.308.6100.0000"/>
    <n v="97.79000000000001"/>
    <s v="11"/>
    <s v="6100"/>
    <n v="8273.040000000001"/>
    <n v="97.79000000000001"/>
    <s v="CREDITOR"/>
    <n v="0"/>
    <n v="0"/>
    <n v="0"/>
    <n v="0"/>
    <n v="97.79000000000001"/>
  </r>
  <r>
    <n v="60345453"/>
    <s v="N"/>
    <n v="21349890"/>
    <s v="3000014642110008"/>
    <s v="CIVIL"/>
    <d v="2023-06-23T00:00:00"/>
    <d v="2023-07-10T19:01:40"/>
    <m/>
    <d v="2023-07-10T00:00:00"/>
    <n v="1174"/>
    <n v="3180"/>
    <s v="60345453"/>
    <s v="60345453"/>
    <m/>
    <m/>
    <n v="22753676"/>
    <m/>
    <m/>
    <m/>
    <s v="SOLFIN"/>
    <s v="SOLFIN"/>
    <s v="CCMS"/>
    <n v="21349890"/>
    <n v="20669.7"/>
    <m/>
    <s v="N"/>
    <n v="40"/>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137"/>
    <d v="2023-07-10T19:02:02"/>
    <s v="Y"/>
    <s v="Interim Hearing Court Bundle/Advoca"/>
    <s v="Public Law Children"/>
    <s v="Advocacy"/>
    <s v="RW"/>
    <s v="Y"/>
    <n v="89.09999999999999"/>
    <n v="17.82"/>
    <x v="2"/>
    <s v="VALIDATED"/>
    <n v="1"/>
    <s v="01.11.80.308.6100.0000"/>
    <n v="89.09999999999999"/>
    <s v="11"/>
    <s v="6100"/>
    <n v="8273.040000000001"/>
    <n v="89.09999999999999"/>
    <s v="CREDITOR"/>
    <n v="0"/>
    <n v="0"/>
    <n v="0"/>
    <n v="0"/>
    <n v="89.09999999999999"/>
  </r>
  <r>
    <n v="60345453"/>
    <s v="N"/>
    <n v="21349890"/>
    <s v="3000014642110008"/>
    <s v="CIVIL"/>
    <d v="2023-06-23T00:00:00"/>
    <d v="2023-07-10T19:01:40"/>
    <m/>
    <d v="2023-07-10T00:00:00"/>
    <n v="1174"/>
    <n v="3180"/>
    <s v="60345453"/>
    <s v="60345453"/>
    <m/>
    <m/>
    <n v="22753676"/>
    <m/>
    <m/>
    <m/>
    <s v="SOLFIN"/>
    <s v="SOLFIN"/>
    <s v="CCMS"/>
    <n v="21349890"/>
    <n v="20669.7"/>
    <m/>
    <s v="N"/>
    <n v="18"/>
    <d v="2023-07-10T19:02:02"/>
    <s v="Y"/>
    <s v="Preparation - drafting statement"/>
    <s v="Care Remuneration Hourly Rates"/>
    <s v="Profit Cost"/>
    <s v="GW"/>
    <s v="Y"/>
    <n v="62.22"/>
    <n v="12.44"/>
    <x v="2"/>
    <s v="VALIDATED"/>
    <n v="1"/>
    <s v="01.11.80.308.6100.0000"/>
    <n v="62.22"/>
    <s v="11"/>
    <s v="6100"/>
    <n v="8273.040000000001"/>
    <n v="62.22"/>
    <s v="CREDITOR"/>
    <n v="0"/>
    <n v="0"/>
    <n v="0"/>
    <n v="0"/>
    <n v="62.22"/>
  </r>
  <r>
    <n v="60345453"/>
    <s v="N"/>
    <n v="21349890"/>
    <s v="3000014642110008"/>
    <s v="CIVIL"/>
    <d v="2023-06-23T00:00:00"/>
    <d v="2023-07-10T19:01:40"/>
    <m/>
    <d v="2023-07-10T00:00:00"/>
    <n v="1174"/>
    <n v="3180"/>
    <s v="60345453"/>
    <s v="60345453"/>
    <m/>
    <m/>
    <n v="22753676"/>
    <m/>
    <m/>
    <m/>
    <s v="SOLFIN"/>
    <s v="SOLFIN"/>
    <s v="CCMS"/>
    <n v="21349890"/>
    <n v="20669.7"/>
    <m/>
    <s v="N"/>
    <n v="28"/>
    <d v="2023-07-10T19:02:02"/>
    <s v="Y"/>
    <s v="Preparation - drafting application"/>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78"/>
    <d v="2023-07-10T19:02:02"/>
    <s v="Y"/>
    <s v="Preparation - drafting instructions"/>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90"/>
    <d v="2023-07-10T19:02:02"/>
    <s v="Y"/>
    <s v="Report - other expert's report"/>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61"/>
    <d v="2023-07-10T19:02:02"/>
    <s v="Y"/>
    <s v="Preparation - other"/>
    <s v="Care Remuneration Hourly Rates"/>
    <s v="Profit Cost"/>
    <s v="GW"/>
    <s v="Y"/>
    <n v="44.45"/>
    <n v="8.890000000000001"/>
    <x v="2"/>
    <s v="VALIDATED"/>
    <n v="1"/>
    <s v="01.11.80.308.6100.0000"/>
    <n v="44.45"/>
    <s v="11"/>
    <s v="6100"/>
    <n v="8273.040000000001"/>
    <n v="44.45"/>
    <s v="CREDITOR"/>
    <n v="0"/>
    <n v="0"/>
    <n v="0"/>
    <n v="0"/>
    <n v="44.45"/>
  </r>
  <r>
    <n v="60345453"/>
    <s v="N"/>
    <n v="21349890"/>
    <s v="3000014642110008"/>
    <s v="CIVIL"/>
    <d v="2023-06-23T00:00:00"/>
    <d v="2023-07-10T19:01:40"/>
    <m/>
    <d v="2023-07-10T00:00:00"/>
    <n v="1174"/>
    <n v="3180"/>
    <s v="60345453"/>
    <s v="60345453"/>
    <m/>
    <m/>
    <n v="22753676"/>
    <m/>
    <m/>
    <m/>
    <s v="SOLFIN"/>
    <s v="SOLFIN"/>
    <s v="CCMS"/>
    <n v="21349890"/>
    <n v="20669.7"/>
    <m/>
    <s v="N"/>
    <n v="87"/>
    <d v="2023-07-10T19:02:02"/>
    <s v="Y"/>
    <s v="Preparation - other"/>
    <s v="Care Remuneration Hourly Rates"/>
    <s v="Profit Cost"/>
    <s v="GW"/>
    <s v="Y"/>
    <n v="133.34"/>
    <n v="26.67"/>
    <x v="2"/>
    <s v="VALIDATED"/>
    <n v="1"/>
    <s v="01.11.80.308.6100.0000"/>
    <n v="133.34"/>
    <s v="11"/>
    <s v="6100"/>
    <n v="8273.040000000001"/>
    <n v="133.34"/>
    <s v="CREDITOR"/>
    <n v="0"/>
    <n v="0"/>
    <n v="0"/>
    <n v="0"/>
    <n v="133.34"/>
  </r>
  <r>
    <n v="60345453"/>
    <s v="N"/>
    <n v="21349890"/>
    <s v="3000014642110008"/>
    <s v="CIVIL"/>
    <d v="2023-06-23T00:00:00"/>
    <d v="2023-07-10T19:01:40"/>
    <m/>
    <d v="2023-07-10T00:00:00"/>
    <n v="1174"/>
    <n v="3180"/>
    <s v="60345453"/>
    <s v="60345453"/>
    <m/>
    <m/>
    <n v="22753676"/>
    <m/>
    <m/>
    <m/>
    <s v="SOLFIN"/>
    <s v="SOLFIN"/>
    <s v="CCMS"/>
    <n v="21349890"/>
    <n v="20669.7"/>
    <m/>
    <s v="N"/>
    <n v="53"/>
    <d v="2023-07-10T19:02:02"/>
    <s v="Y"/>
    <s v="Preparation - other"/>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67"/>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03"/>
    <d v="2023-07-10T19:02:02"/>
    <s v="Y"/>
    <s v="Preparation - other"/>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29"/>
    <d v="2023-07-10T19:02:02"/>
    <s v="Y"/>
    <s v="Psychologist"/>
    <s v="Care Remuneration Hourly Rates"/>
    <s v="Expert Disbursement"/>
    <s v="GW"/>
    <s v="Y"/>
    <n v="11.7"/>
    <n v="2.34"/>
    <x v="2"/>
    <s v="VALIDATED"/>
    <n v="1"/>
    <s v="01.11.80.308.6300.0000"/>
    <n v="11.7"/>
    <s v="11"/>
    <s v="6300"/>
    <n v="8273.040000000001"/>
    <n v="11.7"/>
    <s v="CREDITOR"/>
    <n v="0"/>
    <n v="0"/>
    <n v="0"/>
    <n v="0"/>
    <n v="11.7"/>
  </r>
  <r>
    <n v="60345453"/>
    <s v="N"/>
    <n v="21349890"/>
    <s v="3000014642110008"/>
    <s v="CIVIL"/>
    <d v="2023-06-23T00:00:00"/>
    <d v="2023-07-10T19:01:40"/>
    <m/>
    <d v="2023-07-10T00:00:00"/>
    <n v="1174"/>
    <n v="3180"/>
    <s v="60345453"/>
    <s v="60345453"/>
    <m/>
    <m/>
    <n v="22753676"/>
    <m/>
    <m/>
    <m/>
    <s v="SOLFIN"/>
    <s v="SOLFIN"/>
    <s v="CCMS"/>
    <n v="21349890"/>
    <n v="20669.7"/>
    <m/>
    <s v="N"/>
    <n v="15"/>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
    <d v="2023-07-10T19:02:02"/>
    <s v="Y"/>
    <s v="Preparation - other"/>
    <s v="Care Remuneration Hourly Rates"/>
    <s v="Profit Cost"/>
    <s v="GW"/>
    <s v="Y"/>
    <n v="133.34"/>
    <n v="26.67"/>
    <x v="2"/>
    <s v="VALIDATED"/>
    <n v="1"/>
    <s v="01.11.80.308.6100.0000"/>
    <n v="133.34"/>
    <s v="11"/>
    <s v="6100"/>
    <n v="8273.040000000001"/>
    <n v="133.34"/>
    <s v="CREDITOR"/>
    <n v="0"/>
    <n v="0"/>
    <n v="0"/>
    <n v="0"/>
    <n v="133.34"/>
  </r>
  <r>
    <n v="60345453"/>
    <s v="N"/>
    <n v="21349890"/>
    <s v="3000014642110008"/>
    <s v="CIVIL"/>
    <d v="2023-06-23T00:00:00"/>
    <d v="2023-07-10T19:01:40"/>
    <m/>
    <d v="2023-07-10T00:00:00"/>
    <n v="1174"/>
    <n v="3180"/>
    <s v="60345453"/>
    <s v="60345453"/>
    <m/>
    <m/>
    <n v="22753676"/>
    <m/>
    <m/>
    <m/>
    <s v="SOLFIN"/>
    <s v="SOLFIN"/>
    <s v="CCMS"/>
    <n v="21349890"/>
    <n v="20669.7"/>
    <m/>
    <s v="N"/>
    <n v="52"/>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63"/>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70"/>
    <d v="2023-07-10T19:02:02"/>
    <s v="Y"/>
    <s v="Report - other expert's report"/>
    <s v="Care Remuneration Hourly Rates"/>
    <s v="Profit Cost"/>
    <s v="GW"/>
    <s v="Y"/>
    <n v="71.12"/>
    <n v="14.22"/>
    <x v="2"/>
    <s v="VALIDATED"/>
    <n v="1"/>
    <s v="01.11.80.308.6100.0000"/>
    <n v="71.12"/>
    <s v="11"/>
    <s v="6100"/>
    <n v="8273.040000000001"/>
    <n v="71.12"/>
    <s v="CREDITOR"/>
    <n v="0"/>
    <n v="0"/>
    <n v="0"/>
    <n v="0"/>
    <n v="71.12"/>
  </r>
  <r>
    <n v="60345453"/>
    <s v="N"/>
    <n v="21349890"/>
    <s v="3000014642110008"/>
    <s v="CIVIL"/>
    <d v="2023-06-23T00:00:00"/>
    <d v="2023-07-10T19:01:40"/>
    <m/>
    <d v="2023-07-10T00:00:00"/>
    <n v="1174"/>
    <n v="3180"/>
    <s v="60345453"/>
    <s v="60345453"/>
    <m/>
    <m/>
    <n v="22753676"/>
    <m/>
    <m/>
    <m/>
    <s v="SOLFIN"/>
    <s v="SOLFIN"/>
    <s v="CCMS"/>
    <n v="21349890"/>
    <n v="20669.7"/>
    <m/>
    <s v="N"/>
    <n v="119"/>
    <d v="2023-07-10T19:02:02"/>
    <s v="Y"/>
    <s v="Preparation - drafting bill/claim f"/>
    <s v="Care Remuneration Hourly Rates"/>
    <s v="Profit Cost"/>
    <s v="RLM"/>
    <s v="Y"/>
    <n v="414.82"/>
    <n v="82.95999999999999"/>
    <x v="2"/>
    <s v="VALIDATED"/>
    <n v="1"/>
    <s v="01.11.80.308.6100.0000"/>
    <n v="414.82"/>
    <s v="11"/>
    <s v="6100"/>
    <n v="8273.040000000001"/>
    <n v="414.82"/>
    <s v="CREDITOR"/>
    <n v="0"/>
    <n v="0"/>
    <n v="0"/>
    <n v="0"/>
    <n v="414.82"/>
  </r>
  <r>
    <n v="60345453"/>
    <s v="N"/>
    <n v="21349890"/>
    <s v="3000014642110008"/>
    <s v="CIVIL"/>
    <d v="2023-06-23T00:00:00"/>
    <d v="2023-07-10T19:01:40"/>
    <m/>
    <d v="2023-07-10T00:00:00"/>
    <n v="1174"/>
    <n v="3180"/>
    <s v="60345453"/>
    <s v="60345453"/>
    <m/>
    <m/>
    <n v="22753676"/>
    <m/>
    <m/>
    <m/>
    <s v="SOLFIN"/>
    <s v="SOLFIN"/>
    <s v="CCMS"/>
    <n v="21349890"/>
    <n v="20669.7"/>
    <m/>
    <s v="N"/>
    <n v="42"/>
    <d v="2023-07-10T19:02:02"/>
    <s v="Y"/>
    <s v="Preparation - drafting attendance n"/>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7"/>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7"/>
    <d v="2023-07-10T19:02:02"/>
    <s v="Y"/>
    <s v="Attendance upon client"/>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49"/>
    <d v="2023-07-10T19:02:02"/>
    <s v="Y"/>
    <s v="Preparation - other"/>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98"/>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3"/>
    <d v="2023-07-10T19:02:02"/>
    <s v="Y"/>
    <s v="Preparation - drafting application"/>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81"/>
    <d v="2023-07-10T19:02:02"/>
    <s v="Y"/>
    <s v="Preparation - drafting statement"/>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84"/>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56"/>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122"/>
    <d v="2023-07-10T19:02:02"/>
    <s v="Y"/>
    <s v="Routine Letter Out"/>
    <s v="Care Remuneration Hourly Rates"/>
    <s v="Profit Cost"/>
    <s v="AG"/>
    <s v="Y"/>
    <n v="71.91"/>
    <n v="14.38"/>
    <x v="2"/>
    <s v="VALIDATED"/>
    <n v="1"/>
    <s v="01.11.80.308.6100.0000"/>
    <n v="71.91"/>
    <s v="11"/>
    <s v="6100"/>
    <n v="8273.040000000001"/>
    <n v="71.91"/>
    <s v="CREDITOR"/>
    <n v="0"/>
    <n v="0"/>
    <n v="0"/>
    <n v="0"/>
    <n v="71.91"/>
  </r>
  <r>
    <n v="60345453"/>
    <s v="N"/>
    <n v="21349890"/>
    <s v="3000014642110008"/>
    <s v="CIVIL"/>
    <d v="2023-06-23T00:00:00"/>
    <d v="2023-07-10T19:01:40"/>
    <m/>
    <d v="2023-07-10T00:00:00"/>
    <n v="1174"/>
    <n v="3180"/>
    <s v="60345453"/>
    <s v="60345453"/>
    <m/>
    <m/>
    <n v="22753676"/>
    <m/>
    <m/>
    <m/>
    <s v="SOLFIN"/>
    <s v="SOLFIN"/>
    <s v="CCMS"/>
    <n v="21349890"/>
    <n v="20669.7"/>
    <m/>
    <s v="N"/>
    <n v="36"/>
    <d v="2023-07-10T19:02:02"/>
    <s v="Y"/>
    <s v="Preparation - drafting statement"/>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6"/>
    <d v="2023-07-10T19:02:02"/>
    <s v="Y"/>
    <s v="Preparation - other"/>
    <s v="Care Remuneration Hourly Rates"/>
    <s v="Profit Cost"/>
    <s v="GW"/>
    <s v="Y"/>
    <n v="44.45"/>
    <n v="8.890000000000001"/>
    <x v="2"/>
    <s v="VALIDATED"/>
    <n v="1"/>
    <s v="01.11.80.308.6100.0000"/>
    <n v="44.45"/>
    <s v="11"/>
    <s v="6100"/>
    <n v="8273.040000000001"/>
    <n v="44.45"/>
    <s v="CREDITOR"/>
    <n v="0"/>
    <n v="0"/>
    <n v="0"/>
    <n v="0"/>
    <n v="44.45"/>
  </r>
  <r>
    <n v="60345453"/>
    <s v="N"/>
    <n v="21349890"/>
    <s v="3000014642110008"/>
    <s v="CIVIL"/>
    <d v="2023-06-23T00:00:00"/>
    <d v="2023-07-10T19:01:40"/>
    <m/>
    <d v="2023-07-10T00:00:00"/>
    <n v="1174"/>
    <n v="3180"/>
    <s v="60345453"/>
    <s v="60345453"/>
    <m/>
    <m/>
    <n v="22753676"/>
    <m/>
    <m/>
    <m/>
    <s v="SOLFIN"/>
    <s v="SOLFIN"/>
    <s v="CCMS"/>
    <n v="21349890"/>
    <n v="20669.7"/>
    <m/>
    <s v="N"/>
    <n v="37"/>
    <d v="2023-07-10T19:02:02"/>
    <s v="Y"/>
    <s v="Preparation - drafting statement"/>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104"/>
    <d v="2023-07-10T19:02:02"/>
    <s v="Y"/>
    <s v="Preparation - other"/>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09"/>
    <d v="2023-07-10T19:02:02"/>
    <s v="Y"/>
    <s v="Preparation - other"/>
    <s v="Care Remuneration Hourly Rates"/>
    <s v="Profit Cost"/>
    <s v="GW"/>
    <s v="Y"/>
    <n v="88.89"/>
    <n v="17.78"/>
    <x v="2"/>
    <s v="VALIDATED"/>
    <n v="1"/>
    <s v="01.11.80.308.6100.0000"/>
    <n v="88.89"/>
    <s v="11"/>
    <s v="6100"/>
    <n v="8273.040000000001"/>
    <n v="88.89"/>
    <s v="CREDITOR"/>
    <n v="0"/>
    <n v="0"/>
    <n v="0"/>
    <n v="0"/>
    <n v="88.89"/>
  </r>
  <r>
    <n v="60345453"/>
    <s v="N"/>
    <n v="21349890"/>
    <s v="3000014642110008"/>
    <s v="CIVIL"/>
    <d v="2023-06-23T00:00:00"/>
    <d v="2023-07-10T19:01:40"/>
    <m/>
    <d v="2023-07-10T00:00:00"/>
    <n v="1174"/>
    <n v="3180"/>
    <s v="60345453"/>
    <s v="60345453"/>
    <m/>
    <m/>
    <n v="22753676"/>
    <m/>
    <m/>
    <m/>
    <s v="SOLFIN"/>
    <s v="SOLFIN"/>
    <s v="CCMS"/>
    <n v="21349890"/>
    <n v="20669.7"/>
    <m/>
    <s v="N"/>
    <n v="39"/>
    <d v="2023-07-10T19:02:02"/>
    <s v="Y"/>
    <s v="Preparation - drafting statement"/>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58"/>
    <d v="2023-07-10T19:02:02"/>
    <s v="Y"/>
    <s v="Preparation - other"/>
    <s v="Care Remuneration Hourly Rates"/>
    <s v="Profit Cost"/>
    <s v="GW"/>
    <s v="Y"/>
    <n v="26.67"/>
    <n v="5.33"/>
    <x v="2"/>
    <s v="VALIDATED"/>
    <n v="1"/>
    <s v="01.11.80.308.6100.0000"/>
    <n v="26.67"/>
    <s v="11"/>
    <s v="6100"/>
    <n v="8273.040000000001"/>
    <n v="26.67"/>
    <s v="CREDITOR"/>
    <n v="0"/>
    <n v="0"/>
    <n v="0"/>
    <n v="0"/>
    <n v="26.67"/>
  </r>
  <r>
    <n v="60345453"/>
    <s v="N"/>
    <n v="21349890"/>
    <s v="3000014642110008"/>
    <s v="CIVIL"/>
    <d v="2023-06-23T00:00:00"/>
    <d v="2023-07-10T19:01:40"/>
    <m/>
    <d v="2023-07-10T00:00:00"/>
    <n v="1174"/>
    <n v="3180"/>
    <s v="60345453"/>
    <s v="60345453"/>
    <m/>
    <m/>
    <n v="22753676"/>
    <m/>
    <m/>
    <m/>
    <s v="SOLFIN"/>
    <s v="SOLFIN"/>
    <s v="CCMS"/>
    <n v="21349890"/>
    <n v="20669.7"/>
    <m/>
    <s v="N"/>
    <n v="133"/>
    <d v="2023-07-10T19:02:02"/>
    <s v="Y"/>
    <s v="Advocates Meeting"/>
    <s v="Public Law Children"/>
    <s v="Advocacy"/>
    <s v="GW"/>
    <s v="Y"/>
    <n v="169.2"/>
    <n v="33.84"/>
    <x v="2"/>
    <s v="VALIDATED"/>
    <n v="1"/>
    <s v="01.11.80.308.6100.0000"/>
    <n v="169.2"/>
    <s v="11"/>
    <s v="6100"/>
    <n v="8273.040000000001"/>
    <n v="169.2"/>
    <s v="CREDITOR"/>
    <n v="0"/>
    <n v="0"/>
    <n v="0"/>
    <n v="0"/>
    <n v="169.2"/>
  </r>
  <r>
    <n v="60345453"/>
    <s v="N"/>
    <n v="21349890"/>
    <s v="3000014642110008"/>
    <s v="CIVIL"/>
    <d v="2023-06-23T00:00:00"/>
    <d v="2023-07-10T19:01:40"/>
    <m/>
    <d v="2023-07-10T00:00:00"/>
    <n v="1174"/>
    <n v="3180"/>
    <s v="60345453"/>
    <s v="60345453"/>
    <m/>
    <m/>
    <n v="22753676"/>
    <m/>
    <m/>
    <m/>
    <s v="SOLFIN"/>
    <s v="SOLFIN"/>
    <s v="CCMS"/>
    <n v="21349890"/>
    <n v="20669.7"/>
    <m/>
    <s v="N"/>
    <n v="19"/>
    <d v="2023-07-10T19:02:02"/>
    <s v="Y"/>
    <s v="Preparation - drafting instructions"/>
    <s v="Care Remuneration Hourly Rates"/>
    <s v="Profit Cost"/>
    <s v="GW"/>
    <s v="Y"/>
    <n v="35.55"/>
    <n v="7.11"/>
    <x v="2"/>
    <s v="VALIDATED"/>
    <n v="1"/>
    <s v="01.11.80.308.6100.0000"/>
    <n v="35.55"/>
    <s v="11"/>
    <s v="6100"/>
    <n v="8273.040000000001"/>
    <n v="35.55"/>
    <s v="CREDITOR"/>
    <n v="0"/>
    <n v="0"/>
    <n v="0"/>
    <n v="0"/>
    <n v="35.55"/>
  </r>
  <r>
    <n v="60345453"/>
    <s v="N"/>
    <n v="21349890"/>
    <s v="3000014642110008"/>
    <s v="CIVIL"/>
    <d v="2023-06-23T00:00:00"/>
    <d v="2023-07-10T19:01:40"/>
    <m/>
    <d v="2023-07-10T00:00:00"/>
    <n v="1174"/>
    <n v="3180"/>
    <s v="60345453"/>
    <s v="60345453"/>
    <m/>
    <m/>
    <n v="22753676"/>
    <m/>
    <m/>
    <m/>
    <s v="SOLFIN"/>
    <s v="SOLFIN"/>
    <s v="CCMS"/>
    <n v="21349890"/>
    <n v="20669.7"/>
    <m/>
    <s v="N"/>
    <n v="23"/>
    <d v="2023-07-10T19:02:02"/>
    <s v="Y"/>
    <s v="Preparation - drafting statement"/>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85"/>
    <d v="2023-07-10T19:02:02"/>
    <s v="Y"/>
    <s v="Preparation - drafting pleadings"/>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116"/>
    <d v="2023-07-10T19:02:02"/>
    <s v="Y"/>
    <s v="Preparation - drafting statement"/>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28"/>
    <d v="2023-07-10T19:02:02"/>
    <s v="Y"/>
    <s v="Psychologist"/>
    <s v="Care Remuneration Hourly Rates"/>
    <s v="Expert Disbursement"/>
    <s v="GW"/>
    <s v="Y"/>
    <n v="198.9"/>
    <n v="39.78"/>
    <x v="2"/>
    <s v="VALIDATED"/>
    <n v="1"/>
    <s v="01.11.80.308.6300.0000"/>
    <n v="198.9"/>
    <s v="11"/>
    <s v="6300"/>
    <n v="8273.040000000001"/>
    <n v="198.9"/>
    <s v="CREDITOR"/>
    <n v="0"/>
    <n v="0"/>
    <n v="0"/>
    <n v="0"/>
    <n v="198.9"/>
  </r>
  <r>
    <n v="60345453"/>
    <s v="N"/>
    <n v="21349890"/>
    <s v="3000014642110008"/>
    <s v="CIVIL"/>
    <d v="2023-06-23T00:00:00"/>
    <d v="2023-07-10T19:01:40"/>
    <m/>
    <d v="2023-07-10T00:00:00"/>
    <n v="1174"/>
    <n v="3180"/>
    <s v="60345453"/>
    <s v="60345453"/>
    <m/>
    <m/>
    <n v="22753676"/>
    <m/>
    <m/>
    <m/>
    <s v="SOLFIN"/>
    <s v="SOLFIN"/>
    <s v="CCMS"/>
    <n v="21349890"/>
    <n v="20669.7"/>
    <m/>
    <s v="N"/>
    <n v="22"/>
    <d v="2023-07-10T19:02:02"/>
    <s v="Y"/>
    <s v="Preparation - drafting statement"/>
    <s v="Care Remuneration Hourly Rates"/>
    <s v="Profit Cost"/>
    <s v="GW"/>
    <s v="Y"/>
    <n v="71.12"/>
    <n v="14.22"/>
    <x v="2"/>
    <s v="VALIDATED"/>
    <n v="1"/>
    <s v="01.11.80.308.6100.0000"/>
    <n v="71.12"/>
    <s v="11"/>
    <s v="6100"/>
    <n v="8273.040000000001"/>
    <n v="71.12"/>
    <s v="CREDITOR"/>
    <n v="0"/>
    <n v="0"/>
    <n v="0"/>
    <n v="0"/>
    <n v="71.12"/>
  </r>
  <r>
    <n v="60345453"/>
    <s v="N"/>
    <n v="21349890"/>
    <s v="3000014642110008"/>
    <s v="CIVIL"/>
    <d v="2023-06-23T00:00:00"/>
    <d v="2023-07-10T19:01:40"/>
    <m/>
    <d v="2023-07-10T00:00:00"/>
    <n v="1174"/>
    <n v="3180"/>
    <s v="60345453"/>
    <s v="60345453"/>
    <m/>
    <m/>
    <n v="22753676"/>
    <m/>
    <m/>
    <m/>
    <s v="SOLFIN"/>
    <s v="SOLFIN"/>
    <s v="CCMS"/>
    <n v="21349890"/>
    <n v="20669.7"/>
    <m/>
    <s v="N"/>
    <n v="26"/>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134"/>
    <d v="2023-07-10T19:02:02"/>
    <s v="Y"/>
    <s v="Hearing Unit 2.31 - 5.00 Hours"/>
    <s v="Public Law Children"/>
    <s v="Advocacy"/>
    <s v="RW"/>
    <s v="Y"/>
    <n v="572.3200000000001"/>
    <n v="114.47"/>
    <x v="2"/>
    <s v="VALIDATED"/>
    <n v="1"/>
    <s v="01.11.80.308.6100.0000"/>
    <n v="572.3200000000001"/>
    <s v="11"/>
    <s v="6100"/>
    <n v="8273.040000000001"/>
    <n v="572.3200000000001"/>
    <s v="CREDITOR"/>
    <n v="0"/>
    <n v="0"/>
    <n v="0"/>
    <n v="0"/>
    <n v="572.3200000000001"/>
  </r>
  <r>
    <n v="60345453"/>
    <s v="N"/>
    <n v="21349890"/>
    <s v="3000014642110008"/>
    <s v="CIVIL"/>
    <d v="2023-06-23T00:00:00"/>
    <d v="2023-07-10T19:01:40"/>
    <m/>
    <d v="2023-07-10T00:00:00"/>
    <n v="1174"/>
    <n v="3180"/>
    <s v="60345453"/>
    <s v="60345453"/>
    <m/>
    <m/>
    <n v="22753676"/>
    <m/>
    <m/>
    <m/>
    <s v="SOLFIN"/>
    <s v="SOLFIN"/>
    <s v="CCMS"/>
    <n v="21349890"/>
    <n v="20669.7"/>
    <m/>
    <s v="N"/>
    <n v="138"/>
    <d v="2023-07-10T19:02:02"/>
    <s v="Y"/>
    <s v="Final Hearing Court Bundle/Advocate"/>
    <s v="Public Law Children"/>
    <s v="Advocacy"/>
    <s v="GW"/>
    <s v="Y"/>
    <n v="318.6"/>
    <n v="63.72"/>
    <x v="2"/>
    <s v="VALIDATED"/>
    <n v="1"/>
    <s v="01.11.80.308.6100.0000"/>
    <n v="318.6"/>
    <s v="11"/>
    <s v="6100"/>
    <n v="8273.040000000001"/>
    <n v="318.6"/>
    <s v="CREDITOR"/>
    <n v="0"/>
    <n v="0"/>
    <n v="0"/>
    <n v="0"/>
    <n v="318.6"/>
  </r>
  <r>
    <n v="60345453"/>
    <s v="N"/>
    <n v="21349890"/>
    <s v="3000014642110008"/>
    <s v="CIVIL"/>
    <d v="2023-06-23T00:00:00"/>
    <d v="2023-07-10T19:01:40"/>
    <m/>
    <d v="2023-07-10T00:00:00"/>
    <n v="1174"/>
    <n v="3180"/>
    <s v="60345453"/>
    <s v="60345453"/>
    <m/>
    <m/>
    <n v="22753676"/>
    <m/>
    <m/>
    <m/>
    <s v="SOLFIN"/>
    <s v="SOLFIN"/>
    <s v="CCMS"/>
    <n v="21349890"/>
    <n v="20669.7"/>
    <m/>
    <s v="N"/>
    <n v="6"/>
    <d v="2023-07-10T19:02:02"/>
    <s v="Y"/>
    <s v="Preparation - drafting attendance n"/>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9"/>
    <d v="2023-07-10T19:02:02"/>
    <s v="Y"/>
    <s v="Preparation - other"/>
    <s v="Care Remuneration Hourly Rates"/>
    <s v="Profit Cost"/>
    <s v="GW"/>
    <s v="Y"/>
    <n v="17.78"/>
    <n v="3.56"/>
    <x v="2"/>
    <s v="VALIDATED"/>
    <n v="1"/>
    <s v="01.11.80.308.6100.0000"/>
    <n v="17.78"/>
    <s v="11"/>
    <s v="6100"/>
    <n v="8273.040000000001"/>
    <n v="17.78"/>
    <s v="CREDITOR"/>
    <n v="0"/>
    <n v="0"/>
    <n v="0"/>
    <n v="0"/>
    <n v="17.78"/>
  </r>
  <r>
    <n v="60345453"/>
    <s v="N"/>
    <n v="21349890"/>
    <s v="3000014642110008"/>
    <s v="CIVIL"/>
    <d v="2023-06-23T00:00:00"/>
    <d v="2023-07-10T19:01:40"/>
    <m/>
    <d v="2023-07-10T00:00:00"/>
    <n v="1174"/>
    <n v="3180"/>
    <s v="60345453"/>
    <s v="60345453"/>
    <m/>
    <m/>
    <n v="22753676"/>
    <m/>
    <m/>
    <m/>
    <s v="SOLFIN"/>
    <s v="SOLFIN"/>
    <s v="CCMS"/>
    <n v="21349890"/>
    <n v="20669.7"/>
    <m/>
    <s v="N"/>
    <n v="97"/>
    <d v="2023-07-10T19:02:02"/>
    <s v="Y"/>
    <s v="Preparation - other"/>
    <s v="Care Remuneration Hourly Rates"/>
    <s v="Profit Cost"/>
    <s v="GW"/>
    <s v="Y"/>
    <n v="8.9"/>
    <n v="1.78"/>
    <x v="2"/>
    <s v="VALIDATED"/>
    <n v="1"/>
    <s v="01.11.80.308.6100.0000"/>
    <n v="8.9"/>
    <s v="11"/>
    <s v="6100"/>
    <n v="8273.040000000001"/>
    <n v="8.9"/>
    <s v="CREDITOR"/>
    <n v="0"/>
    <n v="0"/>
    <n v="0"/>
    <n v="0"/>
    <n v="8.9"/>
  </r>
  <r>
    <n v="60345453"/>
    <s v="N"/>
    <n v="21349890"/>
    <s v="3000014642110008"/>
    <s v="CIVIL"/>
    <d v="2023-06-23T00:00:00"/>
    <d v="2023-07-10T19:01:40"/>
    <m/>
    <d v="2023-07-10T00:00:00"/>
    <n v="1174"/>
    <n v="3180"/>
    <s v="60345453"/>
    <s v="60345453"/>
    <m/>
    <m/>
    <n v="22753676"/>
    <m/>
    <m/>
    <m/>
    <s v="SOLFIN"/>
    <s v="SOLFIN"/>
    <s v="CCMS"/>
    <n v="21349890"/>
    <n v="20669.7"/>
    <m/>
    <s v="N"/>
    <n v="72"/>
    <d v="2023-07-10T19:02:02"/>
    <s v="Y"/>
    <s v="Preparation - other"/>
    <s v="Care Remuneration Hourly Rates"/>
    <s v="Profit Cost"/>
    <s v="GW"/>
    <s v="Y"/>
    <n v="124.44"/>
    <n v="24.89"/>
    <x v="2"/>
    <s v="VALIDATED"/>
    <n v="1"/>
    <s v="01.11.80.308.6100.0000"/>
    <n v="124.44"/>
    <s v="11"/>
    <s v="6100"/>
    <n v="8273.040000000001"/>
    <n v="124.44"/>
    <s v="CREDITOR"/>
    <n v="0"/>
    <n v="0"/>
    <n v="0"/>
    <n v="0"/>
    <n v="124.44"/>
  </r>
  <r>
    <n v="60893045"/>
    <s v="N"/>
    <n v="21338202"/>
    <s v="3000015116160004"/>
    <s v="CIVIL"/>
    <d v="2023-06-30T00:00:00"/>
    <d v="2023-07-06T19:21:01"/>
    <m/>
    <d v="2023-07-06T00:00:00"/>
    <n v="1175"/>
    <n v="14381"/>
    <s v="60893045"/>
    <s v="60893045"/>
    <m/>
    <m/>
    <n v="22799184"/>
    <m/>
    <m/>
    <m/>
    <s v="SOLPOA"/>
    <s v="SOLPOA"/>
    <s v="CCMS"/>
    <n v="21338202"/>
    <n v="272.67"/>
    <m/>
    <s v="N"/>
    <n v="1"/>
    <d v="2023-07-06T19:21:12"/>
    <s v="N"/>
    <s v="Expert Cost"/>
    <s v="Expert Cost"/>
    <s v="Expert Disbursement"/>
    <s v="Josephine Rogers"/>
    <s v="N"/>
    <n v="272.67"/>
    <n v="0"/>
    <x v="4"/>
    <s v="VALIDATED"/>
    <n v="1"/>
    <s v="01.11.80.308.2012.0000"/>
    <n v="272.67"/>
    <s v="11"/>
    <s v="2012"/>
    <n v="272.67"/>
    <n v="272.67"/>
    <s v="CREDITOR"/>
    <n v="272.67"/>
    <n v="0"/>
    <n v="0"/>
    <n v="0"/>
    <n v="0"/>
  </r>
  <r>
    <n v="61276807"/>
    <s v="N"/>
    <n v="21323075"/>
    <s v="3000015439210014"/>
    <s v="CIVIL"/>
    <d v="2023-06-29T00:00:00"/>
    <d v="2023-07-03T19:05:36"/>
    <m/>
    <d v="2023-07-03T00:00:00"/>
    <n v="1176"/>
    <n v="3191"/>
    <s v="61276807"/>
    <s v="61276807"/>
    <m/>
    <m/>
    <n v="22790794"/>
    <m/>
    <m/>
    <m/>
    <s v="SOLPOA"/>
    <s v="SOLPOA"/>
    <s v="CCMS"/>
    <n v="21323075"/>
    <n v="33.9"/>
    <m/>
    <s v="N"/>
    <n v="1"/>
    <d v="2023-07-03T19:05:41"/>
    <s v="N"/>
    <s v="Non Expert Disbursement - Private L"/>
    <s v="Non Expert Disbursement - Priv"/>
    <s v="Non Expert Disbursement"/>
    <s v="Katie Beynon"/>
    <s v="N"/>
    <n v="28.25"/>
    <n v="5.65"/>
    <x v="3"/>
    <s v="VALIDATED"/>
    <n v="1"/>
    <s v="01.11.80.307.2012.0000"/>
    <n v="28.25"/>
    <s v="11"/>
    <s v="2012"/>
    <n v="-4106.08"/>
    <n v="28.2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0"/>
    <d v="2023-07-10T19:01:56"/>
    <s v="Y"/>
    <s v="Report - Welfare report"/>
    <s v="Care Remuneration Hourly Rates"/>
    <s v="Profit Cost"/>
    <s v="PENNY NEWMAN"/>
    <s v="Y"/>
    <n v="134.34"/>
    <n v="26.87"/>
    <x v="2"/>
    <s v="VALIDATED"/>
    <n v="1"/>
    <s v="01.11.80.305.6100.0000"/>
    <n v="134.34"/>
    <s v="11"/>
    <s v="6100"/>
    <n v="-4106.08"/>
    <n v="134.34"/>
    <s v="DEBTOR"/>
    <n v="0"/>
    <n v="0"/>
    <n v="0"/>
    <n v="0"/>
    <n v="0"/>
  </r>
  <r>
    <n v="61337841"/>
    <s v="N"/>
    <n v="21343962"/>
    <s v="3000015483120009"/>
    <s v="CIVIL"/>
    <d v="2023-06-29T00:00:00"/>
    <d v="2023-07-07T19:03:00"/>
    <m/>
    <d v="2023-07-07T00:00:00"/>
    <n v="1176"/>
    <n v="3191"/>
    <s v="61337841"/>
    <s v="61337841"/>
    <m/>
    <m/>
    <n v="22785158"/>
    <m/>
    <m/>
    <m/>
    <s v="SOLFIN"/>
    <s v="SOLFIN"/>
    <s v="CCMS"/>
    <n v="21343962"/>
    <n v="9097.48"/>
    <m/>
    <s v="N"/>
    <n v="4"/>
    <d v="2023-07-07T19:03:18"/>
    <s v="Y"/>
    <s v="Solicitor Travel Mileage"/>
    <s v="Public Law Children"/>
    <s v="Non Expert Disbursement"/>
    <s v="LOUISE LAST"/>
    <s v="Y"/>
    <n v="7.65"/>
    <n v="1.53"/>
    <x v="9"/>
    <s v="VALIDATED"/>
    <n v="1"/>
    <s v="01.11.80.308.6300.0000"/>
    <n v="7.65"/>
    <s v="11"/>
    <s v="6300"/>
    <n v="-4106.08"/>
    <n v="7.65"/>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7"/>
    <d v="2023-07-07T19:03:18"/>
    <s v="Y"/>
    <s v="Hearing Unit 2.31 - 5.00 Hours"/>
    <s v="Public Law Children"/>
    <s v="Advocacy"/>
    <s v="LOUISE LAST"/>
    <s v="Y"/>
    <n v="476.92"/>
    <n v="95.38"/>
    <x v="9"/>
    <s v="VALIDATED"/>
    <n v="1"/>
    <s v="01.11.80.308.6100.0000"/>
    <n v="476.92"/>
    <s v="11"/>
    <s v="6100"/>
    <n v="-4106.08"/>
    <n v="476.92"/>
    <s v="DEBTOR"/>
    <n v="0"/>
    <n v="0"/>
    <n v="0"/>
    <n v="0"/>
    <n v="0"/>
  </r>
  <r>
    <n v="61843618"/>
    <s v="N"/>
    <n v="21349703"/>
    <s v="3000015906100007"/>
    <s v="CIVIL"/>
    <d v="2023-06-29T00:00:00"/>
    <d v="2023-07-10T19:01:40"/>
    <m/>
    <d v="2023-07-10T00:00:00"/>
    <n v="1176"/>
    <n v="3191"/>
    <s v="61843618"/>
    <s v="61843618"/>
    <m/>
    <m/>
    <n v="22788282"/>
    <m/>
    <m/>
    <m/>
    <s v="SOLFIN"/>
    <s v="SOLFIN"/>
    <s v="CCMS"/>
    <n v="21349703"/>
    <n v="3856.04"/>
    <m/>
    <s v="N"/>
    <n v="8"/>
    <d v="2023-07-10T19:01:56"/>
    <s v="Y"/>
    <s v="Preparation - drafting application"/>
    <s v="Care Remuneration Hourly Rates"/>
    <s v="Profit Cost"/>
    <s v="JAMES JONES"/>
    <s v="Y"/>
    <n v="58.41"/>
    <n v="11.68"/>
    <x v="2"/>
    <s v="VALIDATED"/>
    <n v="1"/>
    <s v="01.11.80.305.6100.0000"/>
    <n v="58.41"/>
    <s v="11"/>
    <s v="6100"/>
    <n v="-4106.08"/>
    <n v="58.41"/>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4"/>
    <d v="2023-07-10T19:01:56"/>
    <s v="Y"/>
    <s v="Preparation - drafting bill/claim f"/>
    <s v="Care Remuneration Hourly Rates"/>
    <s v="Profit Cost"/>
    <s v="LEANNE SIMMONDS-POWELL"/>
    <s v="Y"/>
    <n v="116.82"/>
    <n v="23.36"/>
    <x v="2"/>
    <s v="VALIDATED"/>
    <n v="1"/>
    <s v="01.11.80.305.6100.0000"/>
    <n v="116.82"/>
    <s v="11"/>
    <s v="6100"/>
    <n v="-4106.08"/>
    <n v="116.82"/>
    <s v="DEBTOR"/>
    <n v="0"/>
    <n v="0"/>
    <n v="0"/>
    <n v="0"/>
    <n v="0"/>
  </r>
  <r>
    <n v="61552742"/>
    <s v="N"/>
    <n v="21343993"/>
    <s v="3000015663360009"/>
    <s v="CIVIL"/>
    <d v="2023-06-29T00:00:00"/>
    <d v="2023-07-07T19:03:00"/>
    <m/>
    <d v="2023-07-07T00:00:00"/>
    <n v="1176"/>
    <n v="3191"/>
    <s v="61552742"/>
    <s v="61552742"/>
    <m/>
    <m/>
    <n v="22786230"/>
    <m/>
    <m/>
    <m/>
    <s v="SOLFIN"/>
    <s v="SOLFIN"/>
    <s v="CCMS"/>
    <n v="21343993"/>
    <n v="5035.01"/>
    <m/>
    <s v="N"/>
    <n v="8"/>
    <d v="2023-07-07T19:03:19"/>
    <s v="Y"/>
    <s v="Final Hearing - 1 Day"/>
    <s v="Public Law Children"/>
    <s v="Advocacy"/>
    <s v="CERIAN WATHEN"/>
    <s v="Y"/>
    <n v="556.88"/>
    <n v="111.38"/>
    <x v="9"/>
    <s v="VALIDATED"/>
    <n v="1"/>
    <s v="01.11.80.308.6100.0000"/>
    <n v="556.88"/>
    <s v="11"/>
    <s v="6100"/>
    <n v="-4106.08"/>
    <n v="556.88"/>
    <s v="DEBTOR"/>
    <n v="0"/>
    <n v="0"/>
    <n v="0"/>
    <n v="0"/>
    <n v="0"/>
  </r>
  <r>
    <n v="61276807"/>
    <s v="N"/>
    <n v="21322801"/>
    <s v="3000015439210011"/>
    <s v="CIVIL"/>
    <d v="2023-06-29T00:00:00"/>
    <d v="2023-07-03T19:05:36"/>
    <m/>
    <d v="2023-07-03T00:00:00"/>
    <n v="1176"/>
    <n v="3191"/>
    <s v="61276807"/>
    <s v="61276807"/>
    <m/>
    <m/>
    <n v="22790788"/>
    <m/>
    <m/>
    <m/>
    <s v="SOLPOA"/>
    <s v="SOLPOA"/>
    <s v="CCMS"/>
    <n v="21322801"/>
    <n v="3"/>
    <m/>
    <s v="N"/>
    <n v="1"/>
    <d v="2023-07-03T19:05:40"/>
    <s v="N"/>
    <s v="Non Expert Disbursement - Private L"/>
    <s v="Non Expert Disbursement - Priv"/>
    <s v="Non Expert Disbursement"/>
    <s v="Katie Beynon"/>
    <s v="N"/>
    <n v="3"/>
    <n v="0"/>
    <x v="3"/>
    <s v="VALIDATED"/>
    <n v="1"/>
    <s v="01.11.80.307.2012.0000"/>
    <n v="3"/>
    <s v="11"/>
    <s v="2012"/>
    <n v="-4106.08"/>
    <n v="3"/>
    <s v="DEBTOR"/>
    <n v="0"/>
    <n v="0"/>
    <n v="0"/>
    <n v="0"/>
    <n v="0"/>
  </r>
  <r>
    <n v="62029768"/>
    <s v="N"/>
    <n v="21328204"/>
    <s v="3000016047840002"/>
    <s v="CIVIL"/>
    <d v="2023-06-27T00:00:00"/>
    <d v="2023-07-04T19:00:44"/>
    <m/>
    <d v="2023-07-04T00:00:00"/>
    <n v="1176"/>
    <n v="3191"/>
    <s v="62029768"/>
    <s v="62029768"/>
    <m/>
    <m/>
    <n v="22769788"/>
    <m/>
    <m/>
    <m/>
    <s v="SOLFIN"/>
    <s v="SOLFIN"/>
    <s v="CCMS"/>
    <n v="21328204"/>
    <n v="1077.54"/>
    <m/>
    <s v="N"/>
    <n v="9"/>
    <d v="2023-07-04T19:01:08"/>
    <s v="Y"/>
    <s v="Routine Letter Out"/>
    <s v="Care Remuneration Hourly Rates"/>
    <s v="Profit Cost"/>
    <s v="JAMES JONES"/>
    <s v="Y"/>
    <n v="3.69"/>
    <n v="0.74"/>
    <x v="1"/>
    <s v="VALIDATED"/>
    <n v="1"/>
    <s v="01.11.80.305.6100.0000"/>
    <n v="3.69"/>
    <s v="11"/>
    <s v="6100"/>
    <n v="-4106.08"/>
    <n v="3.69"/>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6"/>
    <d v="2023-07-10T19:01:56"/>
    <s v="Y"/>
    <s v="Final Hearing - 1 Day"/>
    <s v="Other Public Law Children"/>
    <s v="Advocacy"/>
    <s v="PENNY NEWMAN"/>
    <s v="Y"/>
    <n v="510.75"/>
    <n v="102.15"/>
    <x v="2"/>
    <s v="VALIDATED"/>
    <n v="1"/>
    <s v="01.11.80.305.6100.0000"/>
    <n v="510.75"/>
    <s v="11"/>
    <s v="6100"/>
    <n v="-4106.08"/>
    <n v="510.75"/>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5"/>
    <d v="2023-07-04T19:00:50"/>
    <s v="Y"/>
    <s v="Solicitor Travel Mileage"/>
    <s v="Prescribed Hourly Rates"/>
    <s v="Non Expert Disbursement"/>
    <s v="LOUISE LAST"/>
    <s v="Y"/>
    <n v="7.65"/>
    <n v="1.53"/>
    <x v="1"/>
    <s v="VALIDATED"/>
    <n v="1"/>
    <s v="01.11.80.307.6300.0000"/>
    <n v="7.65"/>
    <s v="11"/>
    <s v="6300"/>
    <n v="-4106.08"/>
    <n v="7.65"/>
    <s v="DEBTOR"/>
    <n v="0"/>
    <n v="0"/>
    <n v="0"/>
    <n v="0"/>
    <n v="0"/>
  </r>
  <r>
    <n v="62029768"/>
    <s v="N"/>
    <n v="21328204"/>
    <s v="3000016047840002"/>
    <s v="CIVIL"/>
    <d v="2023-06-27T00:00:00"/>
    <d v="2023-07-04T19:00:44"/>
    <m/>
    <d v="2023-07-04T00:00:00"/>
    <n v="1176"/>
    <n v="3191"/>
    <s v="62029768"/>
    <s v="62029768"/>
    <m/>
    <m/>
    <n v="22769788"/>
    <m/>
    <m/>
    <m/>
    <s v="SOLFIN"/>
    <s v="SOLFIN"/>
    <s v="CCMS"/>
    <n v="21328204"/>
    <n v="1077.54"/>
    <m/>
    <s v="N"/>
    <n v="4"/>
    <d v="2023-07-04T19:01:08"/>
    <s v="Y"/>
    <s v="Preparation - drafting bill/claim f"/>
    <s v="Care Remuneration Hourly Rates"/>
    <s v="Profit Cost"/>
    <s v="LEANNE SIMMONDS-POWELL"/>
    <s v="Y"/>
    <n v="40.89"/>
    <n v="8.18"/>
    <x v="1"/>
    <s v="VALIDATED"/>
    <n v="1"/>
    <s v="01.11.80.305.6100.0000"/>
    <n v="40.89"/>
    <s v="11"/>
    <s v="6100"/>
    <n v="-4106.08"/>
    <n v="40.89"/>
    <s v="DEBTOR"/>
    <n v="0"/>
    <n v="0"/>
    <n v="0"/>
    <n v="0"/>
    <n v="0"/>
  </r>
  <r>
    <n v="61338794"/>
    <s v="N"/>
    <n v="21363583"/>
    <s v="3000015480640008"/>
    <s v="CIVIL"/>
    <d v="2023-06-20T00:00:00"/>
    <d v="2023-07-12T19:01:49"/>
    <m/>
    <d v="2023-07-12T00:00:00"/>
    <n v="1176"/>
    <n v="3191"/>
    <s v="61338794"/>
    <s v="61338794"/>
    <m/>
    <m/>
    <n v="22722278"/>
    <m/>
    <m/>
    <m/>
    <s v="SOLFIN"/>
    <s v="SOLFIN"/>
    <s v="CCMS"/>
    <n v="21363583"/>
    <n v="9733.469999999999"/>
    <m/>
    <s v="N"/>
    <n v="5"/>
    <d v="2023-07-12T19:02:05"/>
    <s v="Y"/>
    <s v="Court Fee"/>
    <s v="Care Remuneration Hourly Rates"/>
    <s v="Non Expert Disbursement"/>
    <s v="LOUISE LAST"/>
    <s v="Y"/>
    <n v="53"/>
    <n v="0"/>
    <x v="0"/>
    <s v="VALIDATED"/>
    <n v="1"/>
    <s v="01.11.80.305.6300.0000"/>
    <n v="53"/>
    <s v="11"/>
    <s v="6300"/>
    <n v="-4106.08"/>
    <n v="53"/>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9"/>
    <d v="2023-07-10T19:01:56"/>
    <s v="Y"/>
    <s v="Preparation - other"/>
    <s v="Care Remuneration Hourly Rates"/>
    <s v="Profit Cost"/>
    <s v="JAMES JONES"/>
    <s v="Y"/>
    <n v="11.68"/>
    <n v="2.34"/>
    <x v="2"/>
    <s v="VALIDATED"/>
    <n v="1"/>
    <s v="01.11.80.305.6100.0000"/>
    <n v="11.68"/>
    <s v="11"/>
    <s v="6100"/>
    <n v="-4106.08"/>
    <n v="11.68"/>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7"/>
    <d v="2023-07-10T19:01:56"/>
    <s v="Y"/>
    <s v="Preparation - other"/>
    <s v="Care Remuneration Hourly Rates"/>
    <s v="Profit Cost"/>
    <s v="PENNY NEWMAN"/>
    <s v="Y"/>
    <n v="6.72"/>
    <n v="1.34"/>
    <x v="2"/>
    <s v="VALIDATED"/>
    <n v="1"/>
    <s v="01.11.80.305.6100.0000"/>
    <n v="6.72"/>
    <s v="11"/>
    <s v="6100"/>
    <n v="-4106.08"/>
    <n v="6.72"/>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1"/>
    <d v="2023-07-10T19:01:56"/>
    <s v="Y"/>
    <s v="Preparation - other"/>
    <s v="Care Remuneration Hourly Rates"/>
    <s v="Profit Cost"/>
    <s v="PENNY NEWMAN"/>
    <s v="Y"/>
    <n v="33.59"/>
    <n v="6.72"/>
    <x v="2"/>
    <s v="VALIDATED"/>
    <n v="1"/>
    <s v="01.11.80.305.6100.0000"/>
    <n v="33.59"/>
    <s v="11"/>
    <s v="6100"/>
    <n v="-4106.08"/>
    <n v="33.59"/>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2"/>
    <d v="2023-07-10T19:01:56"/>
    <s v="Y"/>
    <s v="Routine Telephone Call"/>
    <s v="Care Remuneration Hourly Rates"/>
    <s v="Profit Cost"/>
    <s v="JAMES JONES"/>
    <s v="Y"/>
    <n v="22.14"/>
    <n v="4.43"/>
    <x v="2"/>
    <s v="VALIDATED"/>
    <n v="1"/>
    <s v="01.11.80.305.6100.0000"/>
    <n v="22.14"/>
    <s v="11"/>
    <s v="6100"/>
    <n v="-4106.08"/>
    <n v="22.14"/>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8"/>
    <d v="2023-07-07T19:03:18"/>
    <s v="Y"/>
    <s v="Hearing Unit 2.31 - 5.00 Hours"/>
    <s v="Public Law Children"/>
    <s v="Advocacy"/>
    <s v="LOUISE LAST"/>
    <s v="Y"/>
    <n v="476.92"/>
    <n v="95.38"/>
    <x v="9"/>
    <s v="VALIDATED"/>
    <n v="1"/>
    <s v="01.11.80.308.6100.0000"/>
    <n v="476.92"/>
    <s v="11"/>
    <s v="6100"/>
    <n v="-4106.08"/>
    <n v="476.92"/>
    <s v="DEBTOR"/>
    <n v="0"/>
    <n v="0"/>
    <n v="0"/>
    <n v="0"/>
    <n v="0"/>
  </r>
  <r>
    <n v="62323893"/>
    <s v="N"/>
    <n v="21321024"/>
    <s v="3000016311780003"/>
    <s v="CIVIL"/>
    <d v="2023-06-28T00:00:00"/>
    <d v="2023-07-03T19:04:52"/>
    <m/>
    <d v="2023-07-03T00:00:00"/>
    <n v="1176"/>
    <n v="3191"/>
    <s v="62323893"/>
    <s v="62323893"/>
    <m/>
    <m/>
    <n v="22783612"/>
    <m/>
    <m/>
    <m/>
    <s v="SOLPOA"/>
    <s v="SOLPOA"/>
    <s v="CCMS"/>
    <n v="21321024"/>
    <n v="27"/>
    <m/>
    <s v="N"/>
    <n v="1"/>
    <d v="2023-07-03T19:04:57"/>
    <s v="N"/>
    <s v="Non Expert Disbursement"/>
    <s v="Non Expert Disbursement"/>
    <s v="Non Expert Disbursement"/>
    <s v="Cerian Wathen"/>
    <s v="N"/>
    <n v="22.5"/>
    <n v="4.5"/>
    <x v="3"/>
    <s v="VALIDATED"/>
    <n v="1"/>
    <s v="01.11.80.308.2012.0000"/>
    <n v="22.5"/>
    <s v="11"/>
    <s v="2012"/>
    <n v="-4106.08"/>
    <n v="22.5"/>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1"/>
    <d v="2023-07-07T19:03:18"/>
    <s v="Y"/>
    <s v="Court Fee"/>
    <s v="Public Law Children"/>
    <s v="Non Expert Disbursement"/>
    <s v="LOUISE LAST"/>
    <s v="Y"/>
    <n v="53"/>
    <n v="0"/>
    <x v="9"/>
    <s v="VALIDATED"/>
    <n v="1"/>
    <s v="01.11.80.308.6300.0000"/>
    <n v="53"/>
    <s v="11"/>
    <s v="6300"/>
    <n v="-4106.08"/>
    <n v="53"/>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3"/>
    <d v="2023-07-07T19:03:18"/>
    <s v="Y"/>
    <s v="Solicitor Travel Mileage"/>
    <s v="Public Law Children"/>
    <s v="Non Expert Disbursement"/>
    <s v="LOUISE LAST"/>
    <s v="Y"/>
    <n v="7.65"/>
    <n v="1.53"/>
    <x v="9"/>
    <s v="VALIDATED"/>
    <n v="1"/>
    <s v="01.11.80.308.6300.0000"/>
    <n v="7.65"/>
    <s v="11"/>
    <s v="6300"/>
    <n v="-4106.08"/>
    <n v="7.65"/>
    <s v="DEBTOR"/>
    <n v="0"/>
    <n v="0"/>
    <n v="0"/>
    <n v="0"/>
    <n v="0"/>
  </r>
  <r>
    <n v="61552742"/>
    <s v="N"/>
    <n v="21343993"/>
    <s v="3000015663360009"/>
    <s v="CIVIL"/>
    <d v="2023-06-29T00:00:00"/>
    <d v="2023-07-07T19:03:00"/>
    <m/>
    <d v="2023-07-07T00:00:00"/>
    <n v="1176"/>
    <n v="3191"/>
    <s v="61552742"/>
    <s v="61552742"/>
    <m/>
    <m/>
    <n v="22786230"/>
    <m/>
    <m/>
    <m/>
    <s v="SOLFIN"/>
    <s v="SOLFIN"/>
    <s v="CCMS"/>
    <n v="21343993"/>
    <n v="5035.01"/>
    <m/>
    <s v="N"/>
    <n v="5"/>
    <d v="2023-07-07T19:03:19"/>
    <s v="Y"/>
    <s v="Solicitor Travel Expenses"/>
    <s v="Public Law Children"/>
    <s v="Non Expert Disbursement"/>
    <s v="CERIAN WATHEN"/>
    <s v="Y"/>
    <n v="4"/>
    <n v="0"/>
    <x v="9"/>
    <s v="VALIDATED"/>
    <n v="1"/>
    <s v="01.11.80.308.6300.0000"/>
    <n v="4"/>
    <s v="11"/>
    <s v="6300"/>
    <n v="-4106.08"/>
    <n v="4"/>
    <s v="DEBTOR"/>
    <n v="0"/>
    <n v="0"/>
    <n v="0"/>
    <n v="0"/>
    <n v="0"/>
  </r>
  <r>
    <n v="60083200"/>
    <s v="N"/>
    <n v="21319250"/>
    <s v="3000014383510016"/>
    <s v="CIVIL"/>
    <d v="2023-06-27T00:00:00"/>
    <d v="2023-07-03T19:04:24"/>
    <m/>
    <d v="2023-07-03T00:00:00"/>
    <n v="1176"/>
    <n v="3191"/>
    <s v="60083200"/>
    <s v="60083200"/>
    <m/>
    <m/>
    <n v="22772436"/>
    <m/>
    <m/>
    <m/>
    <s v="SOLPOA"/>
    <s v="SOLPOA"/>
    <s v="CCMS"/>
    <n v="21319250"/>
    <n v="167"/>
    <m/>
    <s v="N"/>
    <n v="1"/>
    <d v="2023-07-03T19:04:24"/>
    <s v="N"/>
    <s v="Non Expert Disbursement - Private L"/>
    <s v="Non Expert Disbursement - Priv"/>
    <s v="Non Expert Disbursement"/>
    <s v="Penny Newman"/>
    <s v="N"/>
    <n v="167"/>
    <n v="0"/>
    <x v="3"/>
    <s v="VALIDATED"/>
    <n v="1"/>
    <s v="01.11.80.307.2012.0000"/>
    <n v="167"/>
    <s v="11"/>
    <s v="2012"/>
    <n v="-4106.08"/>
    <n v="167"/>
    <s v="DEBTOR"/>
    <n v="0"/>
    <n v="0"/>
    <n v="0"/>
    <n v="0"/>
    <n v="0"/>
  </r>
  <r>
    <n v="61152135"/>
    <s v="N"/>
    <n v="21322990"/>
    <s v="3000015333970014"/>
    <s v="CIVIL"/>
    <d v="2023-06-29T00:00:00"/>
    <d v="2023-07-03T19:05:36"/>
    <m/>
    <d v="2023-07-03T00:00:00"/>
    <n v="1176"/>
    <n v="3191"/>
    <s v="61152135"/>
    <s v="61152135"/>
    <m/>
    <m/>
    <n v="22790780"/>
    <m/>
    <m/>
    <m/>
    <s v="SOLPOA"/>
    <s v="SOLPOA"/>
    <s v="CCMS"/>
    <n v="21322990"/>
    <n v="120.96"/>
    <m/>
    <s v="N"/>
    <n v="1"/>
    <d v="2023-07-03T19:05:41"/>
    <s v="N"/>
    <s v="Non Expert Disbursement - Private L"/>
    <s v="Non Expert Disbursement - Priv"/>
    <s v="Non Expert Disbursement"/>
    <s v="Katie Beynon"/>
    <s v="N"/>
    <n v="100.8"/>
    <n v="20.16"/>
    <x v="3"/>
    <s v="VALIDATED"/>
    <n v="1"/>
    <s v="01.11.80.307.2012.0000"/>
    <n v="100.8"/>
    <s v="11"/>
    <s v="2012"/>
    <n v="-4106.08"/>
    <n v="100.8"/>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3"/>
    <d v="2023-07-10T19:01:56"/>
    <s v="Y"/>
    <s v="Preparation - other"/>
    <s v="Care Remuneration Hourly Rates"/>
    <s v="Profit Cost"/>
    <s v="PENNY NEWMAN"/>
    <s v="Y"/>
    <n v="20.15"/>
    <n v="4.03"/>
    <x v="2"/>
    <s v="VALIDATED"/>
    <n v="1"/>
    <s v="01.11.80.305.6100.0000"/>
    <n v="20.15"/>
    <s v="11"/>
    <s v="6100"/>
    <n v="-4106.08"/>
    <n v="20.15"/>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6"/>
    <d v="2023-07-07T19:03:18"/>
    <s v="Y"/>
    <s v="Hearing Unit 2.31 - 5.00 Hours"/>
    <s v="Public Law Children"/>
    <s v="Advocacy"/>
    <s v="LOUISE LAST"/>
    <s v="Y"/>
    <n v="476.92"/>
    <n v="95.38"/>
    <x v="9"/>
    <s v="VALIDATED"/>
    <n v="1"/>
    <s v="01.11.80.308.6100.0000"/>
    <n v="476.92"/>
    <s v="11"/>
    <s v="6100"/>
    <n v="-4106.08"/>
    <n v="476.92"/>
    <s v="DEBTOR"/>
    <n v="0"/>
    <n v="0"/>
    <n v="0"/>
    <n v="0"/>
    <n v="0"/>
  </r>
  <r>
    <n v="61276807"/>
    <s v="N"/>
    <n v="21323132"/>
    <s v="3000015439210017"/>
    <s v="CIVIL"/>
    <d v="2023-06-29T00:00:00"/>
    <d v="2023-07-03T19:05:36"/>
    <m/>
    <d v="2023-07-03T00:00:00"/>
    <n v="1176"/>
    <n v="3191"/>
    <s v="61276807"/>
    <s v="61276807"/>
    <m/>
    <m/>
    <n v="22790804"/>
    <m/>
    <m/>
    <m/>
    <s v="SOLPOA"/>
    <s v="SOLPOA"/>
    <s v="CCMS"/>
    <n v="21323132"/>
    <n v="156.36"/>
    <m/>
    <s v="N"/>
    <n v="1"/>
    <d v="2023-07-03T19:05:41"/>
    <s v="N"/>
    <s v="Non Expert Disbursement - Private L"/>
    <s v="Non Expert Disbursement - Priv"/>
    <s v="Non Expert Disbursement"/>
    <s v="Katie Beynon"/>
    <s v="N"/>
    <n v="130.3"/>
    <n v="26.06"/>
    <x v="3"/>
    <s v="VALIDATED"/>
    <n v="1"/>
    <s v="01.11.80.307.2012.0000"/>
    <n v="130.3"/>
    <s v="11"/>
    <s v="2012"/>
    <n v="-4106.08"/>
    <n v="130.3"/>
    <s v="DEBTOR"/>
    <n v="0"/>
    <n v="0"/>
    <n v="0"/>
    <n v="0"/>
    <n v="0"/>
  </r>
  <r>
    <n v="59671939"/>
    <s v="N"/>
    <n v="21327537"/>
    <s v="3000014061540011"/>
    <s v="CIVIL"/>
    <d v="2023-06-23T00:00:00"/>
    <d v="2023-07-04T19:00:44"/>
    <m/>
    <d v="2023-07-04T00:00:00"/>
    <n v="1176"/>
    <n v="3191"/>
    <s v="59671939"/>
    <s v="59671939"/>
    <m/>
    <m/>
    <n v="22751476"/>
    <m/>
    <m/>
    <m/>
    <s v="SOLFIN"/>
    <s v="SOLFIN"/>
    <s v="CCMS"/>
    <n v="21327537"/>
    <n v="7938.8"/>
    <m/>
    <s v="N"/>
    <n v="8"/>
    <d v="2023-07-04T19:00:50"/>
    <s v="Y"/>
    <s v="Independent Social Worker"/>
    <s v="Public Law Children"/>
    <s v="Expert Disbursement"/>
    <s v="XXX"/>
    <s v="Y"/>
    <n v="261.37"/>
    <n v="52.27"/>
    <x v="1"/>
    <s v="VALIDATED"/>
    <n v="1"/>
    <s v="01.11.80.308.6300.0000"/>
    <n v="261.37"/>
    <s v="11"/>
    <s v="6300"/>
    <n v="-4106.08"/>
    <n v="261.37"/>
    <s v="DEBTOR"/>
    <n v="0"/>
    <n v="0"/>
    <n v="0"/>
    <n v="0"/>
    <n v="0"/>
  </r>
  <r>
    <n v="62257697"/>
    <s v="N"/>
    <n v="21319830"/>
    <s v="3000016239380002"/>
    <s v="CIVIL"/>
    <d v="2023-06-27T00:00:00"/>
    <d v="2023-07-03T19:04:24"/>
    <m/>
    <d v="2023-07-03T00:00:00"/>
    <n v="1176"/>
    <n v="3191"/>
    <s v="62257697"/>
    <s v="62257697"/>
    <m/>
    <m/>
    <n v="22772438"/>
    <m/>
    <m/>
    <m/>
    <s v="SOLPOA"/>
    <s v="SOLPOA"/>
    <s v="CCMS"/>
    <n v="21319830"/>
    <n v="167"/>
    <m/>
    <s v="N"/>
    <n v="1"/>
    <d v="2023-07-03T19:04:27"/>
    <s v="N"/>
    <s v="Non Expert Disbursement"/>
    <s v="Non Expert Disbursement"/>
    <s v="Non Expert Disbursement"/>
    <s v="Penny Newman"/>
    <s v="N"/>
    <n v="167"/>
    <n v="0"/>
    <x v="3"/>
    <s v="VALIDATED"/>
    <n v="1"/>
    <s v="01.11.80.308.2012.0000"/>
    <n v="167"/>
    <s v="11"/>
    <s v="2012"/>
    <n v="-4106.08"/>
    <n v="167"/>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6"/>
    <d v="2023-07-10T19:01:56"/>
    <s v="Y"/>
    <s v="Preparation - drafting pleadings"/>
    <s v="Care Remuneration Hourly Rates"/>
    <s v="Profit Cost"/>
    <s v="CHLOE JONES"/>
    <s v="Y"/>
    <n v="11.68"/>
    <n v="2.34"/>
    <x v="2"/>
    <s v="VALIDATED"/>
    <n v="1"/>
    <s v="01.11.80.305.6100.0000"/>
    <n v="11.68"/>
    <s v="11"/>
    <s v="6100"/>
    <n v="-4106.08"/>
    <n v="11.68"/>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2"/>
    <d v="2023-07-10T19:01:56"/>
    <s v="Y"/>
    <s v="Preparation - other"/>
    <s v="Care Remuneration Hourly Rates"/>
    <s v="Profit Cost"/>
    <s v="PENNY NEWMAN"/>
    <s v="Y"/>
    <n v="60.46"/>
    <n v="12.09"/>
    <x v="2"/>
    <s v="VALIDATED"/>
    <n v="1"/>
    <s v="01.11.80.305.6100.0000"/>
    <n v="60.46"/>
    <s v="11"/>
    <s v="6100"/>
    <n v="-4106.08"/>
    <n v="60.46"/>
    <s v="DEBTOR"/>
    <n v="0"/>
    <n v="0"/>
    <n v="0"/>
    <n v="0"/>
    <n v="0"/>
  </r>
  <r>
    <n v="61552742"/>
    <s v="N"/>
    <n v="21343993"/>
    <s v="3000015663360009"/>
    <s v="CIVIL"/>
    <d v="2023-06-29T00:00:00"/>
    <d v="2023-07-07T19:03:00"/>
    <m/>
    <d v="2023-07-07T00:00:00"/>
    <n v="1176"/>
    <n v="3191"/>
    <s v="61552742"/>
    <s v="61552742"/>
    <m/>
    <m/>
    <n v="22786230"/>
    <m/>
    <m/>
    <m/>
    <s v="SOLFIN"/>
    <s v="SOLFIN"/>
    <s v="CCMS"/>
    <n v="21343993"/>
    <n v="5035.01"/>
    <m/>
    <s v="N"/>
    <n v="9"/>
    <d v="2023-07-07T19:03:19"/>
    <s v="Y"/>
    <s v="Solicitors Fixed Fee"/>
    <s v="Public Law Children"/>
    <s v="Profit Cost"/>
    <s v="CERIAN WATHEN"/>
    <s v="Y"/>
    <n v="2370"/>
    <n v="474"/>
    <x v="9"/>
    <s v="VALIDATED"/>
    <n v="1"/>
    <s v="01.11.80.308.6100.0000"/>
    <n v="2370"/>
    <s v="11"/>
    <s v="6100"/>
    <n v="-4106.08"/>
    <n v="2370"/>
    <s v="DEBTOR"/>
    <n v="0"/>
    <n v="0"/>
    <n v="0"/>
    <n v="0"/>
    <n v="0"/>
  </r>
  <r>
    <n v="62257501"/>
    <s v="N"/>
    <n v="21321036"/>
    <s v="3000016255580006"/>
    <s v="CIVIL"/>
    <d v="2023-06-28T00:00:00"/>
    <d v="2023-07-03T19:04:52"/>
    <m/>
    <d v="2023-07-03T00:00:00"/>
    <n v="1176"/>
    <n v="3191"/>
    <s v="62257501"/>
    <s v="62257501"/>
    <m/>
    <m/>
    <n v="22783598"/>
    <m/>
    <m/>
    <m/>
    <s v="SOLPOA"/>
    <s v="SOLPOA"/>
    <s v="CCMS"/>
    <n v="21321036"/>
    <n v="35.1"/>
    <m/>
    <s v="N"/>
    <n v="1"/>
    <d v="2023-07-03T19:04:57"/>
    <s v="N"/>
    <s v="Non Expert Disbursement"/>
    <s v="Non Expert Disbursement"/>
    <s v="Non Expert Disbursement"/>
    <s v="Cerian Wathen"/>
    <s v="N"/>
    <n v="29.25"/>
    <n v="5.85"/>
    <x v="3"/>
    <s v="VALIDATED"/>
    <n v="1"/>
    <s v="01.11.80.308.2012.0000"/>
    <n v="29.25"/>
    <s v="11"/>
    <s v="2012"/>
    <n v="-4106.08"/>
    <n v="29.2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9"/>
    <d v="2023-07-10T19:01:56"/>
    <s v="Y"/>
    <s v="Preparation - drafting notice(s)"/>
    <s v="Care Remuneration Hourly Rates"/>
    <s v="Profit Cost"/>
    <s v="JAMES JONES"/>
    <s v="Y"/>
    <n v="5.84"/>
    <n v="1.17"/>
    <x v="2"/>
    <s v="VALIDATED"/>
    <n v="1"/>
    <s v="01.11.80.305.6100.0000"/>
    <n v="5.84"/>
    <s v="11"/>
    <s v="6100"/>
    <n v="-4106.08"/>
    <n v="5.84"/>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9"/>
    <d v="2023-07-10T19:01:56"/>
    <s v="Y"/>
    <s v="Attendance upon client"/>
    <s v="Care Remuneration Hourly Rates"/>
    <s v="Profit Cost"/>
    <s v="PENNY NEWMAN"/>
    <s v="Y"/>
    <n v="73.89"/>
    <n v="14.78"/>
    <x v="2"/>
    <s v="VALIDATED"/>
    <n v="1"/>
    <s v="01.11.80.305.6100.0000"/>
    <n v="73.89"/>
    <s v="11"/>
    <s v="6100"/>
    <n v="-4106.08"/>
    <n v="73.89"/>
    <s v="DEBTOR"/>
    <n v="0"/>
    <n v="0"/>
    <n v="0"/>
    <n v="0"/>
    <n v="0"/>
  </r>
  <r>
    <n v="61552742"/>
    <s v="N"/>
    <n v="21343993"/>
    <s v="3000015663360009"/>
    <s v="CIVIL"/>
    <d v="2023-06-29T00:00:00"/>
    <d v="2023-07-07T19:03:00"/>
    <m/>
    <d v="2023-07-07T00:00:00"/>
    <n v="1176"/>
    <n v="3191"/>
    <s v="61552742"/>
    <s v="61552742"/>
    <m/>
    <m/>
    <n v="22786230"/>
    <m/>
    <m/>
    <m/>
    <s v="SOLFIN"/>
    <s v="SOLFIN"/>
    <s v="CCMS"/>
    <n v="21343993"/>
    <n v="5035.01"/>
    <m/>
    <s v="N"/>
    <n v="2"/>
    <d v="2023-07-07T19:03:19"/>
    <s v="Y"/>
    <s v="Solicitor Travel Expenses"/>
    <s v="Public Law Children"/>
    <s v="Non Expert Disbursement"/>
    <s v="CERIAN WATHEN"/>
    <s v="Y"/>
    <n v="4"/>
    <n v="0"/>
    <x v="9"/>
    <s v="VALIDATED"/>
    <n v="1"/>
    <s v="01.11.80.308.6300.0000"/>
    <n v="4"/>
    <s v="11"/>
    <s v="6300"/>
    <n v="-4106.08"/>
    <n v="4"/>
    <s v="DEBTOR"/>
    <n v="0"/>
    <n v="0"/>
    <n v="0"/>
    <n v="0"/>
    <n v="0"/>
  </r>
  <r>
    <n v="61337841"/>
    <s v="N"/>
    <n v="21343962"/>
    <s v="3000015483120009"/>
    <s v="CIVIL"/>
    <d v="2023-06-29T00:00:00"/>
    <d v="2023-07-07T19:03:00"/>
    <m/>
    <d v="2023-07-07T00:00:00"/>
    <n v="1176"/>
    <n v="3191"/>
    <s v="61337841"/>
    <s v="61337841"/>
    <m/>
    <m/>
    <n v="22785158"/>
    <m/>
    <m/>
    <m/>
    <s v="SOLFIN"/>
    <s v="SOLFIN"/>
    <s v="CCMS"/>
    <n v="21343962"/>
    <n v="9097.48"/>
    <m/>
    <s v="N"/>
    <n v="3"/>
    <d v="2023-07-07T19:03:18"/>
    <s v="Y"/>
    <s v="Final Hearing Court Bundle/Advocate"/>
    <s v="Public Law Children"/>
    <s v="Advocacy"/>
    <s v="LOUISE LAST"/>
    <s v="Y"/>
    <n v="318.6"/>
    <n v="63.72"/>
    <x v="9"/>
    <s v="VALIDATED"/>
    <n v="1"/>
    <s v="01.11.80.308.6100.0000"/>
    <n v="318.6"/>
    <s v="11"/>
    <s v="6100"/>
    <n v="-4106.08"/>
    <n v="318.6"/>
    <s v="DEBTOR"/>
    <n v="0"/>
    <n v="0"/>
    <n v="0"/>
    <n v="0"/>
    <n v="0"/>
  </r>
  <r>
    <n v="61276807"/>
    <s v="N"/>
    <n v="21322770"/>
    <s v="3000015439210010"/>
    <s v="CIVIL"/>
    <d v="2023-06-29T00:00:00"/>
    <d v="2023-07-03T19:05:36"/>
    <m/>
    <d v="2023-07-03T00:00:00"/>
    <n v="1176"/>
    <n v="3191"/>
    <s v="61276807"/>
    <s v="61276807"/>
    <m/>
    <m/>
    <n v="22790800"/>
    <m/>
    <m/>
    <m/>
    <s v="SOLPOA"/>
    <s v="SOLPOA"/>
    <s v="CCMS"/>
    <n v="21322770"/>
    <n v="11.58"/>
    <m/>
    <s v="N"/>
    <n v="1"/>
    <d v="2023-07-03T19:05:40"/>
    <s v="N"/>
    <s v="Non Expert Disbursement - Private L"/>
    <s v="Non Expert Disbursement - Priv"/>
    <s v="Non Expert Disbursement"/>
    <s v="Katie Beynon"/>
    <s v="N"/>
    <n v="9.65"/>
    <n v="1.93"/>
    <x v="3"/>
    <s v="VALIDATED"/>
    <n v="1"/>
    <s v="01.11.80.307.2012.0000"/>
    <n v="9.65"/>
    <s v="11"/>
    <s v="2012"/>
    <n v="-4106.08"/>
    <n v="9.65"/>
    <s v="DEBTOR"/>
    <n v="0"/>
    <n v="0"/>
    <n v="0"/>
    <n v="0"/>
    <n v="0"/>
  </r>
  <r>
    <n v="61491138"/>
    <s v="N"/>
    <n v="21321091"/>
    <s v="3000015609450007"/>
    <s v="CIVIL"/>
    <d v="2023-06-28T00:00:00"/>
    <d v="2023-07-03T19:04:52"/>
    <m/>
    <d v="2023-07-03T00:00:00"/>
    <n v="1176"/>
    <n v="3191"/>
    <s v="61491138"/>
    <s v="61491138"/>
    <m/>
    <m/>
    <n v="22783610"/>
    <m/>
    <m/>
    <m/>
    <s v="SOLPOA"/>
    <s v="SOLPOA"/>
    <s v="CCMS"/>
    <n v="21321091"/>
    <n v="38.25"/>
    <m/>
    <s v="N"/>
    <n v="1"/>
    <d v="2023-07-03T19:04:57"/>
    <s v="N"/>
    <s v="Non Expert Disbursement"/>
    <s v="Non Expert Disbursement"/>
    <s v="Non Expert Disbursement"/>
    <s v="Cerian Wathen"/>
    <s v="N"/>
    <n v="38.25"/>
    <n v="0"/>
    <x v="3"/>
    <s v="VALIDATED"/>
    <n v="1"/>
    <s v="01.11.80.308.2012.0000"/>
    <n v="38.25"/>
    <s v="11"/>
    <s v="2012"/>
    <n v="-4106.08"/>
    <n v="38.25"/>
    <s v="DEBTOR"/>
    <n v="0"/>
    <n v="0"/>
    <n v="0"/>
    <n v="0"/>
    <n v="0"/>
  </r>
  <r>
    <n v="62176626"/>
    <s v="N"/>
    <n v="21320820"/>
    <s v="3000016188540002"/>
    <s v="CIVIL"/>
    <d v="2023-06-28T00:00:00"/>
    <d v="2023-07-03T19:04:52"/>
    <m/>
    <d v="2023-07-03T00:00:00"/>
    <n v="1176"/>
    <n v="3191"/>
    <s v="62176626"/>
    <s v="62176626"/>
    <m/>
    <m/>
    <n v="22783548"/>
    <m/>
    <m/>
    <m/>
    <s v="SOLPOA"/>
    <s v="SOLPOA"/>
    <s v="CCMS"/>
    <n v="21320820"/>
    <n v="30.24"/>
    <m/>
    <s v="N"/>
    <n v="1"/>
    <d v="2023-07-03T19:04:56"/>
    <s v="N"/>
    <s v="Non Expert Disbursement"/>
    <s v="Non Expert Disbursement"/>
    <s v="Non Expert Disbursement"/>
    <s v="Cerian Wathen"/>
    <s v="N"/>
    <n v="25.2"/>
    <n v="5.04"/>
    <x v="3"/>
    <s v="VALIDATED"/>
    <n v="1"/>
    <s v="01.11.80.305.2012.0000"/>
    <n v="25.2"/>
    <s v="11"/>
    <s v="2012"/>
    <n v="-4106.08"/>
    <n v="25.2"/>
    <s v="DEBTOR"/>
    <n v="0"/>
    <n v="0"/>
    <n v="0"/>
    <n v="0"/>
    <n v="0"/>
  </r>
  <r>
    <n v="62029768"/>
    <s v="N"/>
    <n v="21328204"/>
    <s v="3000016047840002"/>
    <s v="CIVIL"/>
    <d v="2023-06-27T00:00:00"/>
    <d v="2023-07-04T19:00:44"/>
    <m/>
    <d v="2023-07-04T00:00:00"/>
    <n v="1176"/>
    <n v="3191"/>
    <s v="62029768"/>
    <s v="62029768"/>
    <m/>
    <m/>
    <n v="22769788"/>
    <m/>
    <m/>
    <m/>
    <s v="SOLFIN"/>
    <s v="SOLFIN"/>
    <s v="CCMS"/>
    <n v="21328204"/>
    <n v="1077.54"/>
    <m/>
    <s v="N"/>
    <n v="15"/>
    <d v="2023-07-04T19:01:08"/>
    <s v="Y"/>
    <s v="Final Hearing - 1 Day"/>
    <s v="Other Public Law Children"/>
    <s v="Advocacy"/>
    <s v="PENNY NEWMAN"/>
    <s v="Y"/>
    <n v="510.75"/>
    <n v="102.15"/>
    <x v="1"/>
    <s v="VALIDATED"/>
    <n v="1"/>
    <s v="01.11.80.305.6100.0000"/>
    <n v="510.75"/>
    <s v="11"/>
    <s v="6100"/>
    <n v="-4106.08"/>
    <n v="510.75"/>
    <s v="DEBTOR"/>
    <n v="0"/>
    <n v="0"/>
    <n v="0"/>
    <n v="0"/>
    <n v="0"/>
  </r>
  <r>
    <n v="62029768"/>
    <s v="N"/>
    <n v="21328204"/>
    <s v="3000016047840002"/>
    <s v="CIVIL"/>
    <d v="2023-06-27T00:00:00"/>
    <d v="2023-07-04T19:00:44"/>
    <m/>
    <d v="2023-07-04T00:00:00"/>
    <n v="1176"/>
    <n v="3191"/>
    <s v="62029768"/>
    <s v="62029768"/>
    <m/>
    <m/>
    <n v="22769788"/>
    <m/>
    <m/>
    <m/>
    <s v="SOLFIN"/>
    <s v="SOLFIN"/>
    <s v="CCMS"/>
    <n v="21328204"/>
    <n v="1077.54"/>
    <m/>
    <s v="N"/>
    <n v="6"/>
    <d v="2023-07-04T19:01:08"/>
    <s v="Y"/>
    <s v="Routine Letter In"/>
    <s v="Care Remuneration Hourly Rates"/>
    <s v="Profit Cost"/>
    <s v="PENNY NEWMAN"/>
    <s v="Y"/>
    <n v="68.08"/>
    <n v="13.62"/>
    <x v="1"/>
    <s v="VALIDATED"/>
    <n v="1"/>
    <s v="01.11.80.305.6100.0000"/>
    <n v="68.08"/>
    <s v="11"/>
    <s v="6100"/>
    <n v="-4106.08"/>
    <n v="68.08"/>
    <s v="DEBTOR"/>
    <n v="0"/>
    <n v="0"/>
    <n v="0"/>
    <n v="0"/>
    <n v="0"/>
  </r>
  <r>
    <n v="62029768"/>
    <s v="N"/>
    <n v="21328204"/>
    <s v="3000016047840002"/>
    <s v="CIVIL"/>
    <d v="2023-06-27T00:00:00"/>
    <d v="2023-07-04T19:00:44"/>
    <m/>
    <d v="2023-07-04T00:00:00"/>
    <n v="1176"/>
    <n v="3191"/>
    <s v="62029768"/>
    <s v="62029768"/>
    <m/>
    <m/>
    <n v="22769788"/>
    <m/>
    <m/>
    <m/>
    <s v="SOLFIN"/>
    <s v="SOLFIN"/>
    <s v="CCMS"/>
    <n v="21328204"/>
    <n v="1077.54"/>
    <m/>
    <s v="N"/>
    <n v="8"/>
    <d v="2023-07-04T19:01:08"/>
    <s v="Y"/>
    <s v="Preparation - other"/>
    <s v="Care Remuneration Hourly Rates"/>
    <s v="Profit Cost"/>
    <s v="JAMES JONES"/>
    <s v="Y"/>
    <n v="5.84"/>
    <n v="1.17"/>
    <x v="1"/>
    <s v="VALIDATED"/>
    <n v="1"/>
    <s v="01.11.80.305.6100.0000"/>
    <n v="5.84"/>
    <s v="11"/>
    <s v="6100"/>
    <n v="-4106.08"/>
    <n v="5.84"/>
    <s v="DEBTOR"/>
    <n v="0"/>
    <n v="0"/>
    <n v="0"/>
    <n v="0"/>
    <n v="0"/>
  </r>
  <r>
    <n v="59671939"/>
    <s v="N"/>
    <n v="21327537"/>
    <s v="3000014061540011"/>
    <s v="CIVIL"/>
    <d v="2023-06-23T00:00:00"/>
    <d v="2023-07-04T19:00:44"/>
    <m/>
    <d v="2023-07-04T00:00:00"/>
    <n v="1176"/>
    <n v="3191"/>
    <s v="59671939"/>
    <s v="59671939"/>
    <m/>
    <m/>
    <n v="22751476"/>
    <m/>
    <m/>
    <m/>
    <s v="SOLFIN"/>
    <s v="SOLFIN"/>
    <s v="CCMS"/>
    <n v="21327537"/>
    <n v="7938.8"/>
    <m/>
    <s v="N"/>
    <n v="15"/>
    <d v="2023-07-04T19:00:50"/>
    <s v="Y"/>
    <s v="Interim Hearing Court Bundle/Advoca"/>
    <s v="Public Law Children"/>
    <s v="Advocacy"/>
    <s v="CJ"/>
    <s v="Y"/>
    <n v="89.09999999999999"/>
    <n v="17.82"/>
    <x v="1"/>
    <s v="VALIDATED"/>
    <n v="1"/>
    <s v="01.11.80.308.6100.0000"/>
    <n v="89.09999999999999"/>
    <s v="11"/>
    <s v="6100"/>
    <n v="-4106.08"/>
    <n v="89.09999999999999"/>
    <s v="DEBTOR"/>
    <n v="0"/>
    <n v="0"/>
    <n v="0"/>
    <n v="0"/>
    <n v="0"/>
  </r>
  <r>
    <n v="61905099"/>
    <s v="N"/>
    <n v="21320994"/>
    <s v="3000015961770012"/>
    <s v="CIVIL"/>
    <d v="2023-06-28T00:00:00"/>
    <d v="2023-07-03T19:04:52"/>
    <m/>
    <d v="2023-07-03T00:00:00"/>
    <n v="1176"/>
    <n v="3191"/>
    <s v="61905099"/>
    <s v="61905099"/>
    <m/>
    <m/>
    <n v="22783578"/>
    <m/>
    <m/>
    <m/>
    <s v="SOLPOA"/>
    <s v="SOLPOA"/>
    <s v="CCMS"/>
    <n v="21320994"/>
    <n v="232"/>
    <m/>
    <s v="N"/>
    <n v="1"/>
    <d v="2023-07-03T19:04:57"/>
    <s v="N"/>
    <s v="Non Expert Disbursement"/>
    <s v="Non Expert Disbursement"/>
    <s v="Non Expert Disbursement"/>
    <s v="Cerian Wathen"/>
    <s v="N"/>
    <n v="232"/>
    <n v="0"/>
    <x v="3"/>
    <s v="VALIDATED"/>
    <n v="1"/>
    <s v="01.11.80.308.2012.0000"/>
    <n v="232"/>
    <s v="11"/>
    <s v="2012"/>
    <n v="-4106.08"/>
    <n v="232"/>
    <s v="DEBTOR"/>
    <n v="0"/>
    <n v="0"/>
    <n v="0"/>
    <n v="0"/>
    <n v="0"/>
  </r>
  <r>
    <n v="61552742"/>
    <s v="N"/>
    <n v="21320873"/>
    <s v="3000015663360008"/>
    <s v="CIVIL"/>
    <d v="2023-06-28T00:00:00"/>
    <d v="2023-07-03T19:04:52"/>
    <m/>
    <d v="2023-07-03T00:00:00"/>
    <n v="1176"/>
    <n v="3191"/>
    <s v="61552742"/>
    <s v="61552742"/>
    <m/>
    <m/>
    <n v="22783552"/>
    <m/>
    <m/>
    <m/>
    <s v="SOLPOA"/>
    <s v="SOLPOA"/>
    <s v="CCMS"/>
    <n v="21320873"/>
    <n v="35.1"/>
    <m/>
    <s v="N"/>
    <n v="1"/>
    <d v="2023-07-03T19:04:56"/>
    <s v="N"/>
    <s v="Non Expert Disbursement"/>
    <s v="Non Expert Disbursement"/>
    <s v="Non Expert Disbursement"/>
    <s v="Cerian Wathen"/>
    <s v="N"/>
    <n v="29.25"/>
    <n v="5.85"/>
    <x v="3"/>
    <s v="VALIDATED"/>
    <n v="1"/>
    <s v="01.11.80.308.2012.0000"/>
    <n v="29.25"/>
    <s v="11"/>
    <s v="2012"/>
    <n v="-4106.08"/>
    <n v="29.25"/>
    <s v="DEBTOR"/>
    <n v="0"/>
    <n v="0"/>
    <n v="0"/>
    <n v="0"/>
    <n v="0"/>
  </r>
  <r>
    <n v="61338794"/>
    <s v="N"/>
    <n v="21363583"/>
    <s v="3000015480640008"/>
    <s v="CIVIL"/>
    <d v="2023-06-20T00:00:00"/>
    <d v="2023-07-12T19:01:49"/>
    <m/>
    <d v="2023-07-12T00:00:00"/>
    <n v="1176"/>
    <n v="3191"/>
    <s v="61338794"/>
    <s v="61338794"/>
    <m/>
    <m/>
    <n v="22722278"/>
    <m/>
    <m/>
    <m/>
    <s v="SOLFIN"/>
    <s v="SOLFIN"/>
    <s v="CCMS"/>
    <n v="21363583"/>
    <n v="9733.469999999999"/>
    <m/>
    <s v="N"/>
    <n v="3"/>
    <d v="2023-07-12T19:02:05"/>
    <s v="Y"/>
    <s v="Profit Costs (Summary)"/>
    <s v="Care Remuneration Hourly Rates"/>
    <s v="Profit Cost"/>
    <s v="LOUISE LAST"/>
    <s v="Y"/>
    <n v="5894.07"/>
    <n v="1178.81"/>
    <x v="0"/>
    <s v="VALIDATED"/>
    <n v="1"/>
    <s v="01.11.80.305.6100.0000"/>
    <n v="5894.07"/>
    <s v="11"/>
    <s v="6100"/>
    <n v="-4106.08"/>
    <n v="5894.07"/>
    <s v="DEBTOR"/>
    <n v="0"/>
    <n v="0"/>
    <n v="0"/>
    <n v="0"/>
    <n v="0"/>
  </r>
  <r>
    <n v="61337841"/>
    <s v="N"/>
    <n v="21343962"/>
    <s v="3000015483120009"/>
    <s v="CIVIL"/>
    <d v="2023-06-29T00:00:00"/>
    <d v="2023-07-07T19:03:00"/>
    <m/>
    <d v="2023-07-07T00:00:00"/>
    <n v="1176"/>
    <n v="3191"/>
    <s v="61337841"/>
    <s v="61337841"/>
    <m/>
    <m/>
    <n v="22785158"/>
    <m/>
    <m/>
    <m/>
    <s v="SOLFIN"/>
    <s v="SOLFIN"/>
    <s v="CCMS"/>
    <n v="21343962"/>
    <n v="9097.48"/>
    <m/>
    <s v="N"/>
    <n v="7"/>
    <d v="2023-07-07T19:03:18"/>
    <s v="Y"/>
    <s v="Solicitor Travel Expenses"/>
    <s v="Public Law Children"/>
    <s v="Non Expert Disbursement"/>
    <s v="LOUISE LAST"/>
    <s v="Y"/>
    <n v="4"/>
    <n v="0"/>
    <x v="9"/>
    <s v="VALIDATED"/>
    <n v="1"/>
    <s v="01.11.80.308.6300.0000"/>
    <n v="4"/>
    <s v="11"/>
    <s v="6300"/>
    <n v="-4106.08"/>
    <n v="4"/>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
    <d v="2023-07-10T19:01:56"/>
    <s v="Y"/>
    <s v="Final Hearing Court Bundle/Advocate"/>
    <s v="Other Public Law Children"/>
    <s v="Advocacy"/>
    <s v="PENNY NEWMAN"/>
    <s v="Y"/>
    <n v="239.4"/>
    <n v="47.88"/>
    <x v="2"/>
    <s v="VALIDATED"/>
    <n v="1"/>
    <s v="01.11.80.305.6100.0000"/>
    <n v="239.4"/>
    <s v="11"/>
    <s v="6100"/>
    <n v="-4106.08"/>
    <n v="239.4"/>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6"/>
    <d v="2023-07-10T19:01:56"/>
    <s v="Y"/>
    <s v="Routine Letter Out"/>
    <s v="Care Remuneration Hourly Rates"/>
    <s v="Profit Cost"/>
    <s v="JAMES JONES"/>
    <s v="Y"/>
    <n v="14.76"/>
    <n v="2.95"/>
    <x v="2"/>
    <s v="VALIDATED"/>
    <n v="1"/>
    <s v="01.11.80.305.6100.0000"/>
    <n v="14.76"/>
    <s v="11"/>
    <s v="6100"/>
    <n v="-4106.08"/>
    <n v="14.76"/>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3"/>
    <d v="2023-07-04T19:00:50"/>
    <s v="Y"/>
    <s v="Court Fee"/>
    <s v="Prescribed Hourly Rates"/>
    <s v="Non Expert Disbursement"/>
    <s v="LOUISE LAST"/>
    <s v="Y"/>
    <n v="53"/>
    <n v="0"/>
    <x v="1"/>
    <s v="VALIDATED"/>
    <n v="1"/>
    <s v="01.11.80.307.6300.0000"/>
    <n v="53"/>
    <s v="11"/>
    <s v="6300"/>
    <n v="-4106.08"/>
    <n v="53"/>
    <s v="DEBTOR"/>
    <n v="0"/>
    <n v="0"/>
    <n v="0"/>
    <n v="0"/>
    <n v="0"/>
  </r>
  <r>
    <n v="61905099"/>
    <s v="N"/>
    <n v="21321097"/>
    <s v="3000015961770015"/>
    <s v="CIVIL"/>
    <d v="2023-06-28T00:00:00"/>
    <d v="2023-07-03T19:04:52"/>
    <m/>
    <d v="2023-07-03T00:00:00"/>
    <n v="1176"/>
    <n v="3191"/>
    <s v="61905099"/>
    <s v="61905099"/>
    <m/>
    <m/>
    <n v="22783580"/>
    <m/>
    <m/>
    <m/>
    <s v="SOLPOA"/>
    <s v="SOLPOA"/>
    <s v="CCMS"/>
    <n v="21321097"/>
    <n v="365"/>
    <m/>
    <s v="N"/>
    <n v="1"/>
    <d v="2023-07-03T19:04:57"/>
    <s v="N"/>
    <s v="Non Expert Disbursement"/>
    <s v="Non Expert Disbursement"/>
    <s v="Non Expert Disbursement"/>
    <s v="Cerian Wathen"/>
    <s v="N"/>
    <n v="365"/>
    <n v="0"/>
    <x v="3"/>
    <s v="VALIDATED"/>
    <n v="1"/>
    <s v="01.11.80.308.2012.0000"/>
    <n v="365"/>
    <s v="11"/>
    <s v="2012"/>
    <n v="-4106.08"/>
    <n v="36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6"/>
    <d v="2023-07-10T19:01:56"/>
    <s v="Y"/>
    <s v="Routine Letter In"/>
    <s v="Care Remuneration Hourly Rates"/>
    <s v="Profit Cost"/>
    <s v="JAMES JONES"/>
    <s v="Y"/>
    <n v="7.4"/>
    <n v="1.48"/>
    <x v="2"/>
    <s v="VALIDATED"/>
    <n v="1"/>
    <s v="01.11.80.305.6100.0000"/>
    <n v="7.4"/>
    <s v="11"/>
    <s v="6100"/>
    <n v="-4106.08"/>
    <n v="7.4"/>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1"/>
    <d v="2023-07-10T19:01:56"/>
    <s v="Y"/>
    <s v="Preparation - other"/>
    <s v="Care Remuneration Hourly Rates"/>
    <s v="Profit Cost"/>
    <s v="JAMES JONES"/>
    <s v="Y"/>
    <n v="11.68"/>
    <n v="2.34"/>
    <x v="2"/>
    <s v="VALIDATED"/>
    <n v="1"/>
    <s v="01.11.80.305.6100.0000"/>
    <n v="11.68"/>
    <s v="11"/>
    <s v="6100"/>
    <n v="-4106.08"/>
    <n v="11.68"/>
    <s v="DEBTOR"/>
    <n v="0"/>
    <n v="0"/>
    <n v="0"/>
    <n v="0"/>
    <n v="0"/>
  </r>
  <r>
    <n v="62223755"/>
    <s v="N"/>
    <n v="21320569"/>
    <s v="3000016227320006"/>
    <s v="CIVIL"/>
    <d v="2023-06-28T00:00:00"/>
    <d v="2023-07-03T19:04:52"/>
    <m/>
    <d v="2023-07-03T00:00:00"/>
    <n v="1176"/>
    <n v="3191"/>
    <s v="62223755"/>
    <s v="62223755"/>
    <m/>
    <m/>
    <n v="22783570"/>
    <m/>
    <m/>
    <m/>
    <s v="SOLPOA"/>
    <s v="SOLPOA"/>
    <s v="CCMS"/>
    <n v="21320569"/>
    <n v="35.1"/>
    <m/>
    <s v="N"/>
    <n v="1"/>
    <d v="2023-07-03T19:04:55"/>
    <s v="N"/>
    <s v="Non Expert Disbursement"/>
    <s v="Non Expert Disbursement"/>
    <s v="Non Expert Disbursement"/>
    <s v="Cerian Wathen"/>
    <s v="N"/>
    <n v="29.25"/>
    <n v="5.85"/>
    <x v="3"/>
    <s v="VALIDATED"/>
    <n v="1"/>
    <s v="01.11.80.308.2012.0000"/>
    <n v="29.25"/>
    <s v="11"/>
    <s v="2012"/>
    <n v="-4106.08"/>
    <n v="29.2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3"/>
    <d v="2023-07-10T19:01:56"/>
    <s v="Y"/>
    <s v="Preparation - other"/>
    <s v="Care Remuneration Hourly Rates"/>
    <s v="Profit Cost"/>
    <s v="PENNY NEWMAN"/>
    <s v="Y"/>
    <n v="6.72"/>
    <n v="1.34"/>
    <x v="2"/>
    <s v="VALIDATED"/>
    <n v="1"/>
    <s v="01.11.80.305.6100.0000"/>
    <n v="6.72"/>
    <s v="11"/>
    <s v="6100"/>
    <n v="-4106.08"/>
    <n v="6.72"/>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8"/>
    <d v="2023-07-10T19:01:56"/>
    <s v="Y"/>
    <s v="Preparation - drafting statement"/>
    <s v="Care Remuneration Hourly Rates"/>
    <s v="Profit Cost"/>
    <s v="PENNY NEWMAN"/>
    <s v="Y"/>
    <n v="6.72"/>
    <n v="1.34"/>
    <x v="2"/>
    <s v="VALIDATED"/>
    <n v="1"/>
    <s v="01.11.80.305.6100.0000"/>
    <n v="6.72"/>
    <s v="11"/>
    <s v="6100"/>
    <n v="-4106.08"/>
    <n v="6.72"/>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
    <d v="2023-07-10T19:01:56"/>
    <s v="Y"/>
    <s v="Solicitor Travel Expenses"/>
    <s v="Care Remuneration Hourly Rates"/>
    <s v="Non Expert Disbursement"/>
    <s v="PENNY NEWMAN"/>
    <s v="Y"/>
    <n v="9.800000000000001"/>
    <n v="0"/>
    <x v="2"/>
    <s v="VALIDATED"/>
    <n v="1"/>
    <s v="01.11.80.305.6300.0000"/>
    <n v="9.800000000000001"/>
    <s v="11"/>
    <s v="6300"/>
    <n v="-4106.08"/>
    <n v="9.800000000000001"/>
    <s v="DEBTOR"/>
    <n v="0"/>
    <n v="0"/>
    <n v="0"/>
    <n v="0"/>
    <n v="0"/>
  </r>
  <r>
    <n v="59671939"/>
    <s v="N"/>
    <n v="21327537"/>
    <s v="3000014061540011"/>
    <s v="CIVIL"/>
    <d v="2023-06-23T00:00:00"/>
    <d v="2023-07-04T19:00:44"/>
    <m/>
    <d v="2023-07-04T00:00:00"/>
    <n v="1176"/>
    <n v="3191"/>
    <s v="59671939"/>
    <s v="59671939"/>
    <m/>
    <m/>
    <n v="22751476"/>
    <m/>
    <m/>
    <m/>
    <s v="SOLFIN"/>
    <s v="SOLFIN"/>
    <s v="CCMS"/>
    <n v="21327537"/>
    <n v="7938.8"/>
    <m/>
    <s v="N"/>
    <n v="14"/>
    <d v="2023-07-04T19:00:50"/>
    <s v="Y"/>
    <s v="Hearing Unit 1.01 - 2.30 Hours"/>
    <s v="Public Law Children"/>
    <s v="Advocacy"/>
    <s v="CJ"/>
    <s v="Y"/>
    <n v="238.46"/>
    <n v="47.69"/>
    <x v="1"/>
    <s v="VALIDATED"/>
    <n v="1"/>
    <s v="01.11.80.308.6100.0000"/>
    <n v="238.46"/>
    <s v="11"/>
    <s v="6100"/>
    <n v="-4106.08"/>
    <n v="238.46"/>
    <s v="DEBTOR"/>
    <n v="0"/>
    <n v="0"/>
    <n v="0"/>
    <n v="0"/>
    <n v="0"/>
  </r>
  <r>
    <n v="62176626"/>
    <s v="N"/>
    <n v="21320913"/>
    <s v="3000016188540003"/>
    <s v="CIVIL"/>
    <d v="2023-06-28T00:00:00"/>
    <d v="2023-07-03T19:04:52"/>
    <m/>
    <d v="2023-07-03T00:00:00"/>
    <n v="1176"/>
    <n v="3191"/>
    <s v="62176626"/>
    <s v="62176626"/>
    <m/>
    <m/>
    <n v="22783550"/>
    <m/>
    <m/>
    <m/>
    <s v="SOLPOA"/>
    <s v="SOLPOA"/>
    <s v="CCMS"/>
    <n v="21320913"/>
    <n v="30.24"/>
    <m/>
    <s v="N"/>
    <n v="1"/>
    <d v="2023-07-03T19:04:57"/>
    <s v="N"/>
    <s v="Non Expert Disbursement"/>
    <s v="Non Expert Disbursement"/>
    <s v="Non Expert Disbursement"/>
    <s v="Cerian Wathen"/>
    <s v="N"/>
    <n v="25.2"/>
    <n v="5.04"/>
    <x v="3"/>
    <s v="VALIDATED"/>
    <n v="1"/>
    <s v="01.11.80.305.2012.0000"/>
    <n v="25.2"/>
    <s v="11"/>
    <s v="2012"/>
    <n v="-4106.08"/>
    <n v="25.2"/>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0"/>
    <d v="2023-07-10T19:01:56"/>
    <s v="Y"/>
    <s v="Routine Letter Out"/>
    <s v="Care Remuneration Hourly Rates"/>
    <s v="Profit Cost"/>
    <s v="PENNY NEWMAN"/>
    <s v="Y"/>
    <n v="369.18"/>
    <n v="73.84"/>
    <x v="2"/>
    <s v="VALIDATED"/>
    <n v="1"/>
    <s v="01.11.80.305.6100.0000"/>
    <n v="369.18"/>
    <s v="11"/>
    <s v="6100"/>
    <n v="-4106.08"/>
    <n v="369.18"/>
    <s v="DEBTOR"/>
    <n v="0"/>
    <n v="0"/>
    <n v="0"/>
    <n v="0"/>
    <n v="0"/>
  </r>
  <r>
    <n v="61552742"/>
    <s v="N"/>
    <n v="21343993"/>
    <s v="3000015663360009"/>
    <s v="CIVIL"/>
    <d v="2023-06-29T00:00:00"/>
    <d v="2023-07-07T19:03:00"/>
    <m/>
    <d v="2023-07-07T00:00:00"/>
    <n v="1176"/>
    <n v="3191"/>
    <s v="61552742"/>
    <s v="61552742"/>
    <m/>
    <m/>
    <n v="22786230"/>
    <m/>
    <m/>
    <m/>
    <s v="SOLFIN"/>
    <s v="SOLFIN"/>
    <s v="CCMS"/>
    <n v="21343993"/>
    <n v="5035.01"/>
    <m/>
    <s v="N"/>
    <n v="1"/>
    <d v="2023-07-07T19:03:19"/>
    <s v="Y"/>
    <s v="Final Hearing Court Bundle/Advocate"/>
    <s v="Public Law Children"/>
    <s v="Advocacy"/>
    <s v="CERIAN WATHEN"/>
    <s v="Y"/>
    <n v="318.6"/>
    <n v="63.72"/>
    <x v="9"/>
    <s v="VALIDATED"/>
    <n v="1"/>
    <s v="01.11.80.308.6100.0000"/>
    <n v="318.6"/>
    <s v="11"/>
    <s v="6100"/>
    <n v="-4106.08"/>
    <n v="318.6"/>
    <s v="DEBTOR"/>
    <n v="0"/>
    <n v="0"/>
    <n v="0"/>
    <n v="0"/>
    <n v="0"/>
  </r>
  <r>
    <n v="61337841"/>
    <s v="N"/>
    <n v="21343962"/>
    <s v="3000015483120009"/>
    <s v="CIVIL"/>
    <d v="2023-06-29T00:00:00"/>
    <d v="2023-07-07T19:03:00"/>
    <m/>
    <d v="2023-07-07T00:00:00"/>
    <n v="1176"/>
    <n v="3191"/>
    <s v="61337841"/>
    <s v="61337841"/>
    <m/>
    <m/>
    <n v="22785158"/>
    <m/>
    <m/>
    <m/>
    <s v="SOLFIN"/>
    <s v="SOLFIN"/>
    <s v="CCMS"/>
    <n v="21343962"/>
    <n v="9097.48"/>
    <m/>
    <s v="N"/>
    <n v="21"/>
    <d v="2023-07-07T19:03:18"/>
    <s v="Y"/>
    <s v="Advocates Meeting"/>
    <s v="Public Law Children"/>
    <s v="Advocacy"/>
    <s v="LOUISE LAST"/>
    <s v="Y"/>
    <n v="140.99"/>
    <n v="28.2"/>
    <x v="9"/>
    <s v="VALIDATED"/>
    <n v="1"/>
    <s v="01.11.80.308.6100.0000"/>
    <n v="140.99"/>
    <s v="11"/>
    <s v="6100"/>
    <n v="-4106.08"/>
    <n v="140.99"/>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7"/>
    <d v="2023-07-04T19:00:50"/>
    <s v="Y"/>
    <s v="Solicitor Travel Expenses"/>
    <s v="Prescribed Hourly Rates"/>
    <s v="Non Expert Disbursement"/>
    <s v="LOUISE LAST"/>
    <s v="Y"/>
    <n v="5"/>
    <n v="0"/>
    <x v="1"/>
    <s v="VALIDATED"/>
    <n v="1"/>
    <s v="01.11.80.307.6300.0000"/>
    <n v="5"/>
    <s v="11"/>
    <s v="6300"/>
    <n v="-4106.08"/>
    <n v="5"/>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4"/>
    <d v="2023-07-07T19:03:18"/>
    <s v="Y"/>
    <s v="Solicitor Travel Expenses"/>
    <s v="Public Law Children"/>
    <s v="Non Expert Disbursement"/>
    <s v="LOUISE LAST"/>
    <s v="Y"/>
    <n v="7.5"/>
    <n v="0"/>
    <x v="9"/>
    <s v="VALIDATED"/>
    <n v="1"/>
    <s v="01.11.80.308.6300.0000"/>
    <n v="7.5"/>
    <s v="11"/>
    <s v="6300"/>
    <n v="-4106.08"/>
    <n v="7.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7"/>
    <d v="2023-07-10T19:01:56"/>
    <s v="Y"/>
    <s v="Advocates Meeting"/>
    <s v="Other Public Law Children"/>
    <s v="Advocacy"/>
    <s v="PENNY NEWMAN"/>
    <s v="Y"/>
    <n v="140.99"/>
    <n v="28.2"/>
    <x v="2"/>
    <s v="VALIDATED"/>
    <n v="1"/>
    <s v="01.11.80.305.6100.0000"/>
    <n v="140.99"/>
    <s v="11"/>
    <s v="6100"/>
    <n v="-4106.08"/>
    <n v="140.99"/>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5"/>
    <d v="2023-07-10T19:01:56"/>
    <s v="Y"/>
    <s v="Preparation - other"/>
    <s v="Care Remuneration Hourly Rates"/>
    <s v="Profit Cost"/>
    <s v="PENNY NEWMAN"/>
    <s v="Y"/>
    <n v="13.43"/>
    <n v="2.69"/>
    <x v="2"/>
    <s v="VALIDATED"/>
    <n v="1"/>
    <s v="01.11.80.305.6100.0000"/>
    <n v="13.43"/>
    <s v="11"/>
    <s v="6100"/>
    <n v="-4106.08"/>
    <n v="13.43"/>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
    <d v="2023-07-07T19:03:18"/>
    <s v="N"/>
    <s v="Interim Hearing Court Bundle/Advoca"/>
    <s v="Public Law Children"/>
    <s v="Advocacy"/>
    <s v="LOUISE LAST"/>
    <s v="N"/>
    <n v="59.4"/>
    <n v="11.88"/>
    <x v="9"/>
    <s v="VALIDATED"/>
    <n v="1"/>
    <s v="01.11.80.308.6100.0000"/>
    <n v="59.4"/>
    <s v="11"/>
    <s v="6100"/>
    <n v="-4106.08"/>
    <n v="59.4"/>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6"/>
    <d v="2023-07-04T19:00:50"/>
    <s v="Y"/>
    <s v="Profit Costs (Summary)"/>
    <s v="Prescribed Hourly Rates"/>
    <s v="Profit Cost"/>
    <s v="LOUISE LAST"/>
    <s v="Y"/>
    <n v="6466.6"/>
    <n v="1293.32"/>
    <x v="1"/>
    <s v="VALIDATED"/>
    <n v="1"/>
    <s v="01.11.80.307.6100.0000"/>
    <n v="6466.6"/>
    <s v="11"/>
    <s v="6100"/>
    <n v="-4106.08"/>
    <n v="6466.6"/>
    <s v="DEBTOR"/>
    <n v="0"/>
    <n v="0"/>
    <n v="0"/>
    <n v="0"/>
    <n v="0"/>
  </r>
  <r>
    <n v="62223755"/>
    <s v="N"/>
    <n v="21320739"/>
    <s v="3000016227320007"/>
    <s v="CIVIL"/>
    <d v="2023-06-28T00:00:00"/>
    <d v="2023-07-03T19:04:52"/>
    <m/>
    <d v="2023-07-03T00:00:00"/>
    <n v="1176"/>
    <n v="3191"/>
    <s v="62223755"/>
    <s v="62223755"/>
    <m/>
    <m/>
    <n v="22783562"/>
    <m/>
    <m/>
    <m/>
    <s v="SOLPOA"/>
    <s v="SOLPOA"/>
    <s v="CCMS"/>
    <n v="21320739"/>
    <n v="25.92"/>
    <m/>
    <s v="N"/>
    <n v="1"/>
    <d v="2023-07-03T19:04:56"/>
    <s v="N"/>
    <s v="Non Expert Disbursement"/>
    <s v="Non Expert Disbursement"/>
    <s v="Non Expert Disbursement"/>
    <s v="Cerian Wathen"/>
    <s v="N"/>
    <n v="21.6"/>
    <n v="4.32"/>
    <x v="3"/>
    <s v="VALIDATED"/>
    <n v="1"/>
    <s v="01.11.80.308.2012.0000"/>
    <n v="21.6"/>
    <s v="11"/>
    <s v="2012"/>
    <n v="-4106.08"/>
    <n v="21.6"/>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5"/>
    <d v="2023-07-10T19:01:56"/>
    <s v="Y"/>
    <s v="Hearing Unit 1.01 - 2.30 Hours"/>
    <s v="Other Public Law Children"/>
    <s v="Advocacy"/>
    <s v="PENNY NEWMAN"/>
    <s v="Y"/>
    <n v="208.53"/>
    <n v="41.71"/>
    <x v="2"/>
    <s v="VALIDATED"/>
    <n v="1"/>
    <s v="01.11.80.305.6100.0000"/>
    <n v="208.53"/>
    <s v="11"/>
    <s v="6100"/>
    <n v="-4106.08"/>
    <n v="208.53"/>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2"/>
    <d v="2023-07-10T19:01:56"/>
    <s v="Y"/>
    <s v="Preparation - drafting application"/>
    <s v="Care Remuneration Hourly Rates"/>
    <s v="Profit Cost"/>
    <s v="PENNY NEWMAN"/>
    <s v="Y"/>
    <n v="60.46"/>
    <n v="12.09"/>
    <x v="2"/>
    <s v="VALIDATED"/>
    <n v="1"/>
    <s v="01.11.80.305.6100.0000"/>
    <n v="60.46"/>
    <s v="11"/>
    <s v="6100"/>
    <n v="-4106.08"/>
    <n v="60.46"/>
    <s v="DEBTOR"/>
    <n v="0"/>
    <n v="0"/>
    <n v="0"/>
    <n v="0"/>
    <n v="0"/>
  </r>
  <r>
    <n v="62223755"/>
    <s v="N"/>
    <n v="21320310"/>
    <s v="3000016227320005"/>
    <s v="CIVIL"/>
    <d v="2023-06-28T00:00:00"/>
    <d v="2023-07-03T19:04:52"/>
    <m/>
    <d v="2023-07-03T00:00:00"/>
    <n v="1176"/>
    <n v="3191"/>
    <s v="62223755"/>
    <s v="62223755"/>
    <m/>
    <m/>
    <n v="22783566"/>
    <m/>
    <m/>
    <m/>
    <s v="SOLPOA"/>
    <s v="SOLPOA"/>
    <s v="CCMS"/>
    <n v="21320310"/>
    <n v="35.1"/>
    <m/>
    <s v="N"/>
    <n v="1"/>
    <d v="2023-07-03T19:04:53"/>
    <s v="N"/>
    <s v="Non Expert Disbursement"/>
    <s v="Non Expert Disbursement"/>
    <s v="Non Expert Disbursement"/>
    <s v="Cerian Wathen"/>
    <s v="N"/>
    <n v="29.25"/>
    <n v="5.85"/>
    <x v="3"/>
    <s v="VALIDATED"/>
    <n v="1"/>
    <s v="01.11.80.308.2012.0000"/>
    <n v="29.25"/>
    <s v="11"/>
    <s v="2012"/>
    <n v="-4106.08"/>
    <n v="29.2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2"/>
    <d v="2023-07-10T19:01:56"/>
    <s v="Y"/>
    <s v="Report - Welfare report"/>
    <s v="Care Remuneration Hourly Rates"/>
    <s v="Profit Cost"/>
    <s v="PENNY NEWMAN"/>
    <s v="Y"/>
    <n v="47.02"/>
    <n v="9.4"/>
    <x v="2"/>
    <s v="VALIDATED"/>
    <n v="1"/>
    <s v="01.11.80.305.6100.0000"/>
    <n v="47.02"/>
    <s v="11"/>
    <s v="6100"/>
    <n v="-4106.08"/>
    <n v="47.02"/>
    <s v="DEBTOR"/>
    <n v="0"/>
    <n v="0"/>
    <n v="0"/>
    <n v="0"/>
    <n v="0"/>
  </r>
  <r>
    <n v="61552742"/>
    <s v="N"/>
    <n v="21343993"/>
    <s v="3000015663360009"/>
    <s v="CIVIL"/>
    <d v="2023-06-29T00:00:00"/>
    <d v="2023-07-07T19:03:00"/>
    <m/>
    <d v="2023-07-07T00:00:00"/>
    <n v="1176"/>
    <n v="3191"/>
    <s v="61552742"/>
    <s v="61552742"/>
    <m/>
    <m/>
    <n v="22786230"/>
    <m/>
    <m/>
    <m/>
    <s v="SOLFIN"/>
    <s v="SOLFIN"/>
    <s v="CCMS"/>
    <n v="21343993"/>
    <n v="5035.01"/>
    <m/>
    <s v="N"/>
    <n v="3"/>
    <d v="2023-07-07T19:03:19"/>
    <s v="Y"/>
    <s v="Child psychologist"/>
    <s v="Public Law Children"/>
    <s v="Expert Disbursement"/>
    <s v="CERIAN WATHEN"/>
    <s v="Y"/>
    <n v="743.75"/>
    <n v="148.75"/>
    <x v="9"/>
    <s v="VALIDATED"/>
    <n v="1"/>
    <s v="01.11.80.308.6300.0000"/>
    <n v="743.75"/>
    <s v="11"/>
    <s v="6300"/>
    <n v="-4106.08"/>
    <n v="743.75"/>
    <s v="DEBTOR"/>
    <n v="0"/>
    <n v="0"/>
    <n v="0"/>
    <n v="0"/>
    <n v="0"/>
  </r>
  <r>
    <n v="61905099"/>
    <s v="N"/>
    <n v="21321090"/>
    <s v="3000015961770014"/>
    <s v="CIVIL"/>
    <d v="2023-06-28T00:00:00"/>
    <d v="2023-07-03T19:04:52"/>
    <m/>
    <d v="2023-07-03T00:00:00"/>
    <n v="1176"/>
    <n v="3191"/>
    <s v="61905099"/>
    <s v="61905099"/>
    <m/>
    <m/>
    <n v="22783586"/>
    <m/>
    <m/>
    <m/>
    <s v="SOLPOA"/>
    <s v="SOLPOA"/>
    <s v="CCMS"/>
    <n v="21321090"/>
    <n v="232"/>
    <m/>
    <s v="N"/>
    <n v="1"/>
    <d v="2023-07-03T19:04:57"/>
    <s v="N"/>
    <s v="Non Expert Disbursement"/>
    <s v="Non Expert Disbursement"/>
    <s v="Non Expert Disbursement"/>
    <s v="Cerian Wathen"/>
    <s v="N"/>
    <n v="232"/>
    <n v="0"/>
    <x v="3"/>
    <s v="VALIDATED"/>
    <n v="1"/>
    <s v="01.11.80.308.2012.0000"/>
    <n v="232"/>
    <s v="11"/>
    <s v="2012"/>
    <n v="-4106.08"/>
    <n v="232"/>
    <s v="DEBTOR"/>
    <n v="0"/>
    <n v="0"/>
    <n v="0"/>
    <n v="0"/>
    <n v="0"/>
  </r>
  <r>
    <n v="61337841"/>
    <s v="N"/>
    <n v="21343962"/>
    <s v="3000015483120009"/>
    <s v="CIVIL"/>
    <d v="2023-06-29T00:00:00"/>
    <d v="2023-07-07T19:03:00"/>
    <m/>
    <d v="2023-07-07T00:00:00"/>
    <n v="1176"/>
    <n v="3191"/>
    <s v="61337841"/>
    <s v="61337841"/>
    <m/>
    <m/>
    <n v="22785158"/>
    <m/>
    <m/>
    <m/>
    <s v="SOLFIN"/>
    <s v="SOLFIN"/>
    <s v="CCMS"/>
    <n v="21343962"/>
    <n v="9097.48"/>
    <m/>
    <s v="N"/>
    <n v="6"/>
    <d v="2023-07-07T19:03:18"/>
    <s v="Y"/>
    <s v="Solicitor Travel Mileage"/>
    <s v="Public Law Children"/>
    <s v="Non Expert Disbursement"/>
    <s v="LOUISE LAST"/>
    <s v="Y"/>
    <n v="7.65"/>
    <n v="1.53"/>
    <x v="9"/>
    <s v="VALIDATED"/>
    <n v="1"/>
    <s v="01.11.80.308.6300.0000"/>
    <n v="7.65"/>
    <s v="11"/>
    <s v="6300"/>
    <n v="-4106.08"/>
    <n v="7.65"/>
    <s v="DEBTOR"/>
    <n v="0"/>
    <n v="0"/>
    <n v="0"/>
    <n v="0"/>
    <n v="0"/>
  </r>
  <r>
    <n v="59718418"/>
    <s v="N"/>
    <n v="21323045"/>
    <s v="3000014098840019"/>
    <s v="CIVIL"/>
    <d v="2023-06-29T00:00:00"/>
    <d v="2023-07-03T19:05:36"/>
    <m/>
    <d v="2023-07-03T00:00:00"/>
    <n v="1176"/>
    <n v="3191"/>
    <s v="59718418"/>
    <s v="59718418"/>
    <m/>
    <m/>
    <n v="22790216"/>
    <m/>
    <m/>
    <m/>
    <s v="SOLPOA"/>
    <s v="SOLPOA"/>
    <s v="CCMS"/>
    <n v="21323045"/>
    <n v="6237.71"/>
    <m/>
    <s v="N"/>
    <n v="1"/>
    <d v="2023-07-03T19:05:41"/>
    <s v="N"/>
    <s v="Non Expert Disbursement"/>
    <s v="Non Expert Disbursement"/>
    <s v="Non Expert Disbursement"/>
    <s v="KT"/>
    <s v="N"/>
    <n v="5198.09"/>
    <n v="1039.62"/>
    <x v="3"/>
    <s v="VALIDATED"/>
    <n v="1"/>
    <s v="01.11.80.308.2012.0000"/>
    <n v="5198.09"/>
    <s v="11"/>
    <s v="2012"/>
    <n v="-4106.08"/>
    <n v="5198.09"/>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8"/>
    <d v="2023-07-10T19:01:56"/>
    <s v="Y"/>
    <s v="Preparation - other"/>
    <s v="Care Remuneration Hourly Rates"/>
    <s v="Profit Cost"/>
    <s v="PENNY NEWMAN"/>
    <s v="Y"/>
    <n v="20.15"/>
    <n v="4.03"/>
    <x v="2"/>
    <s v="VALIDATED"/>
    <n v="1"/>
    <s v="01.11.80.305.6100.0000"/>
    <n v="20.15"/>
    <s v="11"/>
    <s v="6100"/>
    <n v="-4106.08"/>
    <n v="20.15"/>
    <s v="DEBTOR"/>
    <n v="0"/>
    <n v="0"/>
    <n v="0"/>
    <n v="0"/>
    <n v="0"/>
  </r>
  <r>
    <n v="59671939"/>
    <s v="N"/>
    <n v="21327537"/>
    <s v="3000014061540011"/>
    <s v="CIVIL"/>
    <d v="2023-06-23T00:00:00"/>
    <d v="2023-07-04T19:00:44"/>
    <m/>
    <d v="2023-07-04T00:00:00"/>
    <n v="1176"/>
    <n v="3191"/>
    <s v="59671939"/>
    <s v="59671939"/>
    <m/>
    <m/>
    <n v="22751476"/>
    <m/>
    <m/>
    <m/>
    <s v="SOLFIN"/>
    <s v="SOLFIN"/>
    <s v="CCMS"/>
    <n v="21327537"/>
    <n v="7938.8"/>
    <m/>
    <s v="N"/>
    <n v="11"/>
    <d v="2023-07-04T19:00:50"/>
    <s v="Y"/>
    <s v="Hearing Unit 2.31 - 5.00 Hours"/>
    <s v="Public Law Children"/>
    <s v="Advocacy"/>
    <s v="CJ"/>
    <s v="Y"/>
    <n v="476.92"/>
    <n v="95.38"/>
    <x v="1"/>
    <s v="VALIDATED"/>
    <n v="1"/>
    <s v="01.11.80.308.6100.0000"/>
    <n v="476.92"/>
    <s v="11"/>
    <s v="6100"/>
    <n v="-4106.08"/>
    <n v="476.92"/>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1"/>
    <d v="2023-07-10T19:01:56"/>
    <s v="Y"/>
    <s v="Preparation - other"/>
    <s v="Care Remuneration Hourly Rates"/>
    <s v="Profit Cost"/>
    <s v="JAMES JONES"/>
    <s v="Y"/>
    <n v="23.36"/>
    <n v="4.67"/>
    <x v="2"/>
    <s v="VALIDATED"/>
    <n v="1"/>
    <s v="01.11.80.305.6100.0000"/>
    <n v="23.36"/>
    <s v="11"/>
    <s v="6100"/>
    <n v="-4106.08"/>
    <n v="23.36"/>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8"/>
    <d v="2023-07-10T19:01:56"/>
    <s v="Y"/>
    <s v="Preparation - drafting bill/claim f"/>
    <s v="Care Remuneration Hourly Rates"/>
    <s v="Profit Cost"/>
    <s v="PENNY NEWMAN"/>
    <s v="Y"/>
    <n v="33.59"/>
    <n v="6.72"/>
    <x v="2"/>
    <s v="VALIDATED"/>
    <n v="1"/>
    <s v="01.11.80.305.6100.0000"/>
    <n v="33.59"/>
    <s v="11"/>
    <s v="6100"/>
    <n v="-4106.08"/>
    <n v="33.59"/>
    <s v="DEBTOR"/>
    <n v="0"/>
    <n v="0"/>
    <n v="0"/>
    <n v="0"/>
    <n v="0"/>
  </r>
  <r>
    <n v="62029768"/>
    <s v="N"/>
    <n v="21328204"/>
    <s v="3000016047840002"/>
    <s v="CIVIL"/>
    <d v="2023-06-27T00:00:00"/>
    <d v="2023-07-04T19:00:44"/>
    <m/>
    <d v="2023-07-04T00:00:00"/>
    <n v="1176"/>
    <n v="3191"/>
    <s v="62029768"/>
    <s v="62029768"/>
    <m/>
    <m/>
    <n v="22769788"/>
    <m/>
    <m/>
    <m/>
    <s v="SOLFIN"/>
    <s v="SOLFIN"/>
    <s v="CCMS"/>
    <n v="21328204"/>
    <n v="1077.54"/>
    <m/>
    <s v="N"/>
    <n v="12"/>
    <d v="2023-07-04T19:01:08"/>
    <s v="Y"/>
    <s v="Preparation - other"/>
    <s v="Care Remuneration Hourly Rates"/>
    <s v="Profit Cost"/>
    <s v="JAMES JONES"/>
    <s v="Y"/>
    <n v="5.84"/>
    <n v="1.17"/>
    <x v="1"/>
    <s v="VALIDATED"/>
    <n v="1"/>
    <s v="01.11.80.305.6100.0000"/>
    <n v="5.84"/>
    <s v="11"/>
    <s v="6100"/>
    <n v="-4106.08"/>
    <n v="5.84"/>
    <s v="DEBTOR"/>
    <n v="0"/>
    <n v="0"/>
    <n v="0"/>
    <n v="0"/>
    <n v="0"/>
  </r>
  <r>
    <n v="59671939"/>
    <s v="N"/>
    <n v="21327537"/>
    <s v="3000014061540011"/>
    <s v="CIVIL"/>
    <d v="2023-06-23T00:00:00"/>
    <d v="2023-07-04T19:00:44"/>
    <m/>
    <d v="2023-07-04T00:00:00"/>
    <n v="1176"/>
    <n v="3191"/>
    <s v="59671939"/>
    <s v="59671939"/>
    <m/>
    <m/>
    <n v="22751476"/>
    <m/>
    <m/>
    <m/>
    <s v="SOLFIN"/>
    <s v="SOLFIN"/>
    <s v="CCMS"/>
    <n v="21327537"/>
    <n v="7938.8"/>
    <m/>
    <s v="N"/>
    <n v="6"/>
    <d v="2023-07-04T19:00:50"/>
    <s v="Y"/>
    <s v="Toxicologist"/>
    <s v="Public Law Children"/>
    <s v="Expert Disbursement"/>
    <s v="XXX"/>
    <s v="Y"/>
    <n v="537.5"/>
    <n v="107.5"/>
    <x v="1"/>
    <s v="VALIDATED"/>
    <n v="1"/>
    <s v="01.11.80.308.6300.0000"/>
    <n v="537.5"/>
    <s v="11"/>
    <s v="6300"/>
    <n v="-4106.08"/>
    <n v="537.5"/>
    <s v="DEBTOR"/>
    <n v="0"/>
    <n v="0"/>
    <n v="0"/>
    <n v="0"/>
    <n v="0"/>
  </r>
  <r>
    <n v="61552742"/>
    <s v="N"/>
    <n v="21343993"/>
    <s v="3000015663360009"/>
    <s v="CIVIL"/>
    <d v="2023-06-29T00:00:00"/>
    <d v="2023-07-07T19:03:00"/>
    <m/>
    <d v="2023-07-07T00:00:00"/>
    <n v="1176"/>
    <n v="3191"/>
    <s v="61552742"/>
    <s v="61552742"/>
    <m/>
    <m/>
    <n v="22786230"/>
    <m/>
    <m/>
    <m/>
    <s v="SOLFIN"/>
    <s v="SOLFIN"/>
    <s v="CCMS"/>
    <n v="21343993"/>
    <n v="5035.01"/>
    <m/>
    <s v="N"/>
    <n v="4"/>
    <d v="2023-07-07T19:03:19"/>
    <s v="Y"/>
    <s v="Solicitor Travel Mileage"/>
    <s v="Public Law Children"/>
    <s v="Non Expert Disbursement"/>
    <s v="CERIAN WATHEN"/>
    <s v="Y"/>
    <n v="29.7"/>
    <n v="5.94"/>
    <x v="9"/>
    <s v="VALIDATED"/>
    <n v="1"/>
    <s v="01.11.80.308.6300.0000"/>
    <n v="29.7"/>
    <s v="11"/>
    <s v="6300"/>
    <n v="-4106.08"/>
    <n v="29.7"/>
    <s v="DEBTOR"/>
    <n v="0"/>
    <n v="0"/>
    <n v="0"/>
    <n v="0"/>
    <n v="0"/>
  </r>
  <r>
    <n v="59671939"/>
    <s v="N"/>
    <n v="21327537"/>
    <s v="3000014061540011"/>
    <s v="CIVIL"/>
    <d v="2023-06-23T00:00:00"/>
    <d v="2023-07-04T19:00:44"/>
    <m/>
    <d v="2023-07-04T00:00:00"/>
    <n v="1176"/>
    <n v="3191"/>
    <s v="59671939"/>
    <s v="59671939"/>
    <m/>
    <m/>
    <n v="22751476"/>
    <m/>
    <m/>
    <m/>
    <s v="SOLFIN"/>
    <s v="SOLFIN"/>
    <s v="CCMS"/>
    <n v="21327537"/>
    <n v="7938.8"/>
    <m/>
    <s v="N"/>
    <n v="5"/>
    <d v="2023-07-04T19:00:50"/>
    <s v="Y"/>
    <s v="Independent Social Worker"/>
    <s v="Public Law Children"/>
    <s v="Expert Disbursement"/>
    <s v="XXX"/>
    <s v="Y"/>
    <n v="462"/>
    <n v="0"/>
    <x v="1"/>
    <s v="VALIDATED"/>
    <n v="1"/>
    <s v="01.11.80.308.6300.0000"/>
    <n v="462"/>
    <s v="11"/>
    <s v="6300"/>
    <n v="-4106.08"/>
    <n v="462"/>
    <s v="DEBTOR"/>
    <n v="0"/>
    <n v="0"/>
    <n v="0"/>
    <n v="0"/>
    <n v="0"/>
  </r>
  <r>
    <n v="61276807"/>
    <s v="N"/>
    <n v="21323106"/>
    <s v="3000015439210015"/>
    <s v="CIVIL"/>
    <d v="2023-06-29T00:00:00"/>
    <d v="2023-07-03T19:05:36"/>
    <m/>
    <d v="2023-07-03T00:00:00"/>
    <n v="1176"/>
    <n v="3191"/>
    <s v="61276807"/>
    <s v="61276807"/>
    <m/>
    <m/>
    <n v="22790802"/>
    <m/>
    <m/>
    <m/>
    <s v="SOLPOA"/>
    <s v="SOLPOA"/>
    <s v="CCMS"/>
    <n v="21323106"/>
    <n v="33.9"/>
    <m/>
    <s v="N"/>
    <n v="1"/>
    <d v="2023-07-03T19:05:41"/>
    <s v="N"/>
    <s v="Non Expert Disbursement - Private L"/>
    <s v="Non Expert Disbursement - Priv"/>
    <s v="Non Expert Disbursement"/>
    <s v="Katie Beynon"/>
    <s v="N"/>
    <n v="28.25"/>
    <n v="5.65"/>
    <x v="3"/>
    <s v="VALIDATED"/>
    <n v="1"/>
    <s v="01.11.80.307.2012.0000"/>
    <n v="28.25"/>
    <s v="11"/>
    <s v="2012"/>
    <n v="-4106.08"/>
    <n v="28.2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7"/>
    <d v="2023-07-10T19:01:56"/>
    <s v="Y"/>
    <s v="Preparation - other"/>
    <s v="Care Remuneration Hourly Rates"/>
    <s v="Profit Cost"/>
    <s v="PENNY NEWMAN"/>
    <s v="Y"/>
    <n v="26.86"/>
    <n v="5.37"/>
    <x v="2"/>
    <s v="VALIDATED"/>
    <n v="1"/>
    <s v="01.11.80.305.6100.0000"/>
    <n v="26.86"/>
    <s v="11"/>
    <s v="6100"/>
    <n v="-4106.08"/>
    <n v="26.86"/>
    <s v="DEBTOR"/>
    <n v="0"/>
    <n v="0"/>
    <n v="0"/>
    <n v="0"/>
    <n v="0"/>
  </r>
  <r>
    <n v="61276807"/>
    <s v="N"/>
    <n v="21323051"/>
    <s v="3000015439210013"/>
    <s v="CIVIL"/>
    <d v="2023-06-29T00:00:00"/>
    <d v="2023-07-03T19:05:36"/>
    <m/>
    <d v="2023-07-03T00:00:00"/>
    <n v="1176"/>
    <n v="3191"/>
    <s v="61276807"/>
    <s v="61276807"/>
    <m/>
    <m/>
    <n v="22790796"/>
    <m/>
    <m/>
    <m/>
    <s v="SOLPOA"/>
    <s v="SOLPOA"/>
    <s v="CCMS"/>
    <n v="21323051"/>
    <n v="42.96"/>
    <m/>
    <s v="N"/>
    <n v="1"/>
    <d v="2023-07-03T19:05:41"/>
    <s v="N"/>
    <s v="Non Expert Disbursement - Private L"/>
    <s v="Non Expert Disbursement - Priv"/>
    <s v="Non Expert Disbursement"/>
    <s v="Katie Beynon"/>
    <s v="N"/>
    <n v="35.8"/>
    <n v="7.16"/>
    <x v="3"/>
    <s v="VALIDATED"/>
    <n v="1"/>
    <s v="01.11.80.307.2012.0000"/>
    <n v="35.8"/>
    <s v="11"/>
    <s v="2012"/>
    <n v="-4106.08"/>
    <n v="35.8"/>
    <s v="DEBTOR"/>
    <n v="0"/>
    <n v="0"/>
    <n v="0"/>
    <n v="0"/>
    <n v="0"/>
  </r>
  <r>
    <n v="62029768"/>
    <s v="N"/>
    <n v="21328204"/>
    <s v="3000016047840002"/>
    <s v="CIVIL"/>
    <d v="2023-06-27T00:00:00"/>
    <d v="2023-07-04T19:00:44"/>
    <m/>
    <d v="2023-07-04T00:00:00"/>
    <n v="1176"/>
    <n v="3191"/>
    <s v="62029768"/>
    <s v="62029768"/>
    <m/>
    <m/>
    <n v="22769788"/>
    <m/>
    <m/>
    <m/>
    <s v="SOLFIN"/>
    <s v="SOLFIN"/>
    <s v="CCMS"/>
    <n v="21328204"/>
    <n v="1077.54"/>
    <m/>
    <s v="N"/>
    <n v="7"/>
    <d v="2023-07-04T19:01:08"/>
    <s v="Y"/>
    <s v="Routine Letter Out"/>
    <s v="Care Remuneration Hourly Rates"/>
    <s v="Profit Cost"/>
    <s v="PENNY NEWMAN"/>
    <s v="Y"/>
    <n v="59.41"/>
    <n v="11.88"/>
    <x v="1"/>
    <s v="VALIDATED"/>
    <n v="1"/>
    <s v="01.11.80.305.6100.0000"/>
    <n v="59.41"/>
    <s v="11"/>
    <s v="6100"/>
    <n v="-4106.08"/>
    <n v="59.41"/>
    <s v="DEBTOR"/>
    <n v="0"/>
    <n v="0"/>
    <n v="0"/>
    <n v="0"/>
    <n v="0"/>
  </r>
  <r>
    <n v="61713617"/>
    <s v="N"/>
    <n v="21322838"/>
    <s v="3000015801140011"/>
    <s v="CIVIL"/>
    <d v="2023-06-29T00:00:00"/>
    <d v="2023-07-03T19:05:36"/>
    <m/>
    <d v="2023-07-03T00:00:00"/>
    <n v="1176"/>
    <n v="3191"/>
    <s v="61713617"/>
    <s v="61713617"/>
    <m/>
    <m/>
    <n v="22790786"/>
    <m/>
    <m/>
    <m/>
    <s v="SOLPOA"/>
    <s v="SOLPOA"/>
    <s v="CCMS"/>
    <n v="21322838"/>
    <n v="4"/>
    <m/>
    <s v="N"/>
    <n v="1"/>
    <d v="2023-07-03T19:05:40"/>
    <s v="N"/>
    <s v="Non Expert Disbursement - Private L"/>
    <s v="Non Expert Disbursement - Priv"/>
    <s v="Non Expert Disbursement"/>
    <s v="Katie Beynon"/>
    <s v="N"/>
    <n v="4"/>
    <n v="0"/>
    <x v="3"/>
    <s v="VALIDATED"/>
    <n v="1"/>
    <s v="01.11.80.307.2012.0000"/>
    <n v="4"/>
    <s v="11"/>
    <s v="2012"/>
    <n v="-4106.08"/>
    <n v="4"/>
    <s v="DEBTOR"/>
    <n v="0"/>
    <n v="0"/>
    <n v="0"/>
    <n v="0"/>
    <n v="0"/>
  </r>
  <r>
    <n v="59671939"/>
    <s v="N"/>
    <n v="21327537"/>
    <s v="3000014061540011"/>
    <s v="CIVIL"/>
    <d v="2023-06-23T00:00:00"/>
    <d v="2023-07-04T19:00:44"/>
    <m/>
    <d v="2023-07-04T00:00:00"/>
    <n v="1176"/>
    <n v="3191"/>
    <s v="59671939"/>
    <s v="59671939"/>
    <m/>
    <m/>
    <n v="22751476"/>
    <m/>
    <m/>
    <m/>
    <s v="SOLFIN"/>
    <s v="SOLFIN"/>
    <s v="CCMS"/>
    <n v="21327537"/>
    <n v="7938.8"/>
    <m/>
    <s v="N"/>
    <n v="13"/>
    <d v="2023-07-04T19:00:50"/>
    <s v="Y"/>
    <s v="Advocates Meeting"/>
    <s v="Public Law Children"/>
    <s v="Advocacy"/>
    <s v="CJ"/>
    <s v="Y"/>
    <n v="140.99"/>
    <n v="28.2"/>
    <x v="1"/>
    <s v="VALIDATED"/>
    <n v="1"/>
    <s v="01.11.80.308.6100.0000"/>
    <n v="140.99"/>
    <s v="11"/>
    <s v="6100"/>
    <n v="-4106.08"/>
    <n v="140.99"/>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8"/>
    <d v="2023-07-04T19:00:50"/>
    <s v="Y"/>
    <s v="Police Records"/>
    <s v="Prescribed Hourly Rates"/>
    <s v="Non Expert Disbursement"/>
    <s v="LOUISE LAST"/>
    <s v="Y"/>
    <n v="889.15"/>
    <n v="0"/>
    <x v="1"/>
    <s v="VALIDATED"/>
    <n v="1"/>
    <s v="01.11.80.307.6300.0000"/>
    <n v="889.15"/>
    <s v="11"/>
    <s v="6300"/>
    <n v="-4106.08"/>
    <n v="889.1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9"/>
    <d v="2023-07-10T19:01:56"/>
    <s v="Y"/>
    <s v="Preparation - other"/>
    <s v="Care Remuneration Hourly Rates"/>
    <s v="Profit Cost"/>
    <s v="PENNY NEWMAN"/>
    <s v="Y"/>
    <n v="13.43"/>
    <n v="2.69"/>
    <x v="2"/>
    <s v="VALIDATED"/>
    <n v="1"/>
    <s v="01.11.80.305.6100.0000"/>
    <n v="13.43"/>
    <s v="11"/>
    <s v="6100"/>
    <n v="-4106.08"/>
    <n v="13.43"/>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10"/>
    <d v="2023-07-04T19:00:50"/>
    <s v="Y"/>
    <s v="Court Fee"/>
    <s v="Prescribed Hourly Rates"/>
    <s v="Non Expert Disbursement"/>
    <s v="LOUISE LAST"/>
    <s v="Y"/>
    <n v="167"/>
    <n v="0"/>
    <x v="1"/>
    <s v="VALIDATED"/>
    <n v="1"/>
    <s v="01.11.80.307.6300.0000"/>
    <n v="167"/>
    <s v="11"/>
    <s v="6300"/>
    <n v="-4106.08"/>
    <n v="167"/>
    <s v="DEBTOR"/>
    <n v="0"/>
    <n v="0"/>
    <n v="0"/>
    <n v="0"/>
    <n v="0"/>
  </r>
  <r>
    <n v="61905099"/>
    <s v="N"/>
    <n v="21321098"/>
    <s v="3000015961770016"/>
    <s v="CIVIL"/>
    <d v="2023-06-28T00:00:00"/>
    <d v="2023-07-03T19:04:52"/>
    <m/>
    <d v="2023-07-03T00:00:00"/>
    <n v="1176"/>
    <n v="3191"/>
    <s v="61905099"/>
    <s v="61905099"/>
    <m/>
    <m/>
    <n v="22783574"/>
    <m/>
    <m/>
    <m/>
    <s v="SOLPOA"/>
    <s v="SOLPOA"/>
    <s v="CCMS"/>
    <n v="21321098"/>
    <n v="25.92"/>
    <m/>
    <s v="N"/>
    <n v="1"/>
    <d v="2023-07-03T19:04:57"/>
    <s v="N"/>
    <s v="Non Expert Disbursement"/>
    <s v="Non Expert Disbursement"/>
    <s v="Non Expert Disbursement"/>
    <s v="Cerian Wathen"/>
    <s v="N"/>
    <n v="21.6"/>
    <n v="4.32"/>
    <x v="3"/>
    <s v="VALIDATED"/>
    <n v="1"/>
    <s v="01.11.80.308.2012.0000"/>
    <n v="21.6"/>
    <s v="11"/>
    <s v="2012"/>
    <n v="-4106.08"/>
    <n v="21.6"/>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4"/>
    <d v="2023-07-10T19:01:56"/>
    <s v="Y"/>
    <s v="Advocates Meeting"/>
    <s v="Other Public Law Children"/>
    <s v="Advocacy"/>
    <s v="PENNY NEWMAN"/>
    <s v="Y"/>
    <n v="140.99"/>
    <n v="28.2"/>
    <x v="2"/>
    <s v="VALIDATED"/>
    <n v="1"/>
    <s v="01.11.80.305.6100.0000"/>
    <n v="140.99"/>
    <s v="11"/>
    <s v="6100"/>
    <n v="-4106.08"/>
    <n v="140.99"/>
    <s v="DEBTOR"/>
    <n v="0"/>
    <n v="0"/>
    <n v="0"/>
    <n v="0"/>
    <n v="0"/>
  </r>
  <r>
    <n v="62257501"/>
    <s v="N"/>
    <n v="21321054"/>
    <s v="3000016255580007"/>
    <s v="CIVIL"/>
    <d v="2023-06-28T00:00:00"/>
    <d v="2023-07-03T19:04:52"/>
    <m/>
    <d v="2023-07-03T00:00:00"/>
    <n v="1176"/>
    <n v="3191"/>
    <s v="62257501"/>
    <s v="62257501"/>
    <m/>
    <m/>
    <n v="22783602"/>
    <m/>
    <m/>
    <m/>
    <s v="SOLPOA"/>
    <s v="SOLPOA"/>
    <s v="CCMS"/>
    <n v="21321054"/>
    <n v="35.1"/>
    <m/>
    <s v="N"/>
    <n v="1"/>
    <d v="2023-07-03T19:04:57"/>
    <s v="N"/>
    <s v="Non Expert Disbursement"/>
    <s v="Non Expert Disbursement"/>
    <s v="Non Expert Disbursement"/>
    <s v="Cerian Wathen"/>
    <s v="N"/>
    <n v="29.25"/>
    <n v="5.85"/>
    <x v="3"/>
    <s v="VALIDATED"/>
    <n v="1"/>
    <s v="01.11.80.308.2012.0000"/>
    <n v="29.25"/>
    <s v="11"/>
    <s v="2012"/>
    <n v="-4106.08"/>
    <n v="29.2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1"/>
    <d v="2023-07-10T19:01:56"/>
    <s v="Y"/>
    <s v="Preparation - drafting statement"/>
    <s v="Care Remuneration Hourly Rates"/>
    <s v="Profit Cost"/>
    <s v="PENNY NEWMAN"/>
    <s v="Y"/>
    <n v="40.31"/>
    <n v="8.06"/>
    <x v="2"/>
    <s v="VALIDATED"/>
    <n v="1"/>
    <s v="01.11.80.305.6100.0000"/>
    <n v="40.31"/>
    <s v="11"/>
    <s v="6100"/>
    <n v="-4106.08"/>
    <n v="40.31"/>
    <s v="DEBTOR"/>
    <n v="0"/>
    <n v="0"/>
    <n v="0"/>
    <n v="0"/>
    <n v="0"/>
  </r>
  <r>
    <n v="61843618"/>
    <s v="N"/>
    <n v="21349703"/>
    <s v="3000015906100007"/>
    <s v="CIVIL"/>
    <d v="2023-06-29T00:00:00"/>
    <d v="2023-07-10T19:01:40"/>
    <m/>
    <d v="2023-07-10T00:00:00"/>
    <n v="1176"/>
    <n v="3191"/>
    <s v="61843618"/>
    <s v="61843618"/>
    <m/>
    <m/>
    <n v="22788282"/>
    <m/>
    <m/>
    <m/>
    <s v="SOLFIN"/>
    <s v="SOLFIN"/>
    <s v="CCMS"/>
    <n v="21349703"/>
    <n v="3856.04"/>
    <m/>
    <s v="N"/>
    <n v="6"/>
    <d v="2023-07-10T19:01:56"/>
    <s v="Y"/>
    <s v="Solicitor Travel Expenses"/>
    <s v="Care Remuneration Hourly Rates"/>
    <s v="Non Expert Disbursement"/>
    <s v="PENNY NEWMAN"/>
    <s v="Y"/>
    <n v="6.25"/>
    <n v="0"/>
    <x v="2"/>
    <s v="VALIDATED"/>
    <n v="1"/>
    <s v="01.11.80.305.6300.0000"/>
    <n v="6.25"/>
    <s v="11"/>
    <s v="6300"/>
    <n v="-4106.08"/>
    <n v="6.25"/>
    <s v="DEBTOR"/>
    <n v="0"/>
    <n v="0"/>
    <n v="0"/>
    <n v="0"/>
    <n v="0"/>
  </r>
  <r>
    <n v="59671939"/>
    <s v="N"/>
    <n v="21327537"/>
    <s v="3000014061540011"/>
    <s v="CIVIL"/>
    <d v="2023-06-23T00:00:00"/>
    <d v="2023-07-04T19:00:44"/>
    <m/>
    <d v="2023-07-04T00:00:00"/>
    <n v="1176"/>
    <n v="3191"/>
    <s v="59671939"/>
    <s v="59671939"/>
    <m/>
    <m/>
    <n v="22751476"/>
    <m/>
    <m/>
    <m/>
    <s v="SOLFIN"/>
    <s v="SOLFIN"/>
    <s v="CCMS"/>
    <n v="21327537"/>
    <n v="7938.8"/>
    <m/>
    <s v="N"/>
    <n v="9"/>
    <d v="2023-07-04T19:00:50"/>
    <s v="Y"/>
    <s v="Hearing Unit 2.31 - 5.00 Hours"/>
    <s v="Public Law Children"/>
    <s v="Advocacy"/>
    <s v="CJ"/>
    <s v="Y"/>
    <n v="476.92"/>
    <n v="95.38"/>
    <x v="1"/>
    <s v="VALIDATED"/>
    <n v="1"/>
    <s v="01.11.80.308.6100.0000"/>
    <n v="476.92"/>
    <s v="11"/>
    <s v="6100"/>
    <n v="-4106.08"/>
    <n v="476.92"/>
    <s v="DEBTOR"/>
    <n v="0"/>
    <n v="0"/>
    <n v="0"/>
    <n v="0"/>
    <n v="0"/>
  </r>
  <r>
    <n v="59671939"/>
    <s v="N"/>
    <n v="21327537"/>
    <s v="3000014061540011"/>
    <s v="CIVIL"/>
    <d v="2023-06-23T00:00:00"/>
    <d v="2023-07-04T19:00:44"/>
    <m/>
    <d v="2023-07-04T00:00:00"/>
    <n v="1176"/>
    <n v="3191"/>
    <s v="59671939"/>
    <s v="59671939"/>
    <m/>
    <m/>
    <n v="22751476"/>
    <m/>
    <m/>
    <m/>
    <s v="SOLFIN"/>
    <s v="SOLFIN"/>
    <s v="CCMS"/>
    <n v="21327537"/>
    <n v="7938.8"/>
    <m/>
    <s v="N"/>
    <n v="2"/>
    <d v="2023-07-04T19:00:50"/>
    <s v="Y"/>
    <s v="Toxicologist"/>
    <s v="Public Law Children"/>
    <s v="Expert Disbursement"/>
    <s v="XXX"/>
    <s v="Y"/>
    <n v="275"/>
    <n v="55"/>
    <x v="1"/>
    <s v="VALIDATED"/>
    <n v="1"/>
    <s v="01.11.80.308.6300.0000"/>
    <n v="275"/>
    <s v="11"/>
    <s v="6300"/>
    <n v="-4106.08"/>
    <n v="275"/>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4"/>
    <d v="2023-07-04T19:00:50"/>
    <s v="Y"/>
    <s v="Court Fee"/>
    <s v="Prescribed Hourly Rates"/>
    <s v="Non Expert Disbursement"/>
    <s v="LOUISE LAST"/>
    <s v="Y"/>
    <n v="53"/>
    <n v="0"/>
    <x v="1"/>
    <s v="VALIDATED"/>
    <n v="1"/>
    <s v="01.11.80.307.6300.0000"/>
    <n v="53"/>
    <s v="11"/>
    <s v="6300"/>
    <n v="-4106.08"/>
    <n v="53"/>
    <s v="DEBTOR"/>
    <n v="0"/>
    <n v="0"/>
    <n v="0"/>
    <n v="0"/>
    <n v="0"/>
  </r>
  <r>
    <n v="62137773"/>
    <s v="N"/>
    <n v="21323273"/>
    <s v="3000016152590003"/>
    <s v="CIVIL"/>
    <d v="2023-06-30T00:00:00"/>
    <d v="2023-07-03T19:05:56"/>
    <m/>
    <d v="2023-07-03T00:00:00"/>
    <n v="1176"/>
    <n v="3191"/>
    <s v="62137773"/>
    <s v="62137773"/>
    <m/>
    <m/>
    <n v="22797086"/>
    <m/>
    <m/>
    <m/>
    <s v="SOLPOA"/>
    <s v="SOLPOA"/>
    <s v="CCMS"/>
    <n v="21323273"/>
    <n v="1727.94"/>
    <m/>
    <s v="N"/>
    <n v="1"/>
    <d v="2023-07-03T19:05:56"/>
    <s v="N"/>
    <s v="Solicitors Fixed Fee"/>
    <s v="Public Law Children"/>
    <s v="Profit Cost"/>
    <s v="louise last"/>
    <s v="N"/>
    <n v="1439.95"/>
    <n v="287.99"/>
    <x v="3"/>
    <s v="VALIDATED"/>
    <n v="1"/>
    <s v="01.11.80.308.2012.0000"/>
    <n v="1439.95"/>
    <s v="11"/>
    <s v="2012"/>
    <n v="-4106.08"/>
    <n v="1439.9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7"/>
    <d v="2023-07-10T19:01:56"/>
    <s v="Y"/>
    <s v="Preparation - other"/>
    <s v="Care Remuneration Hourly Rates"/>
    <s v="Profit Cost"/>
    <s v="PENNY NEWMAN"/>
    <s v="Y"/>
    <n v="13.43"/>
    <n v="2.69"/>
    <x v="2"/>
    <s v="VALIDATED"/>
    <n v="1"/>
    <s v="01.11.80.305.6100.0000"/>
    <n v="13.43"/>
    <s v="11"/>
    <s v="6100"/>
    <n v="-4106.08"/>
    <n v="13.43"/>
    <s v="DEBTOR"/>
    <n v="0"/>
    <n v="0"/>
    <n v="0"/>
    <n v="0"/>
    <n v="0"/>
  </r>
  <r>
    <n v="61552742"/>
    <s v="N"/>
    <n v="21343993"/>
    <s v="3000015663360009"/>
    <s v="CIVIL"/>
    <d v="2023-06-29T00:00:00"/>
    <d v="2023-07-07T19:03:00"/>
    <m/>
    <d v="2023-07-07T00:00:00"/>
    <n v="1176"/>
    <n v="3191"/>
    <s v="61552742"/>
    <s v="61552742"/>
    <m/>
    <m/>
    <n v="22786230"/>
    <m/>
    <m/>
    <m/>
    <s v="SOLFIN"/>
    <s v="SOLFIN"/>
    <s v="CCMS"/>
    <n v="21343993"/>
    <n v="5035.01"/>
    <m/>
    <s v="N"/>
    <n v="7"/>
    <d v="2023-07-07T19:03:19"/>
    <s v="Y"/>
    <s v="Advocates Meeting"/>
    <s v="Public Law Children"/>
    <s v="Advocacy"/>
    <s v="CERIAN WATHEN"/>
    <s v="Y"/>
    <n v="140.99"/>
    <n v="28.2"/>
    <x v="9"/>
    <s v="VALIDATED"/>
    <n v="1"/>
    <s v="01.11.80.308.6100.0000"/>
    <n v="140.99"/>
    <s v="11"/>
    <s v="6100"/>
    <n v="-4106.08"/>
    <n v="140.99"/>
    <s v="DEBTOR"/>
    <n v="0"/>
    <n v="0"/>
    <n v="0"/>
    <n v="0"/>
    <n v="0"/>
  </r>
  <r>
    <n v="59671939"/>
    <s v="N"/>
    <n v="21327537"/>
    <s v="3000014061540011"/>
    <s v="CIVIL"/>
    <d v="2023-06-23T00:00:00"/>
    <d v="2023-07-04T19:00:44"/>
    <m/>
    <d v="2023-07-04T00:00:00"/>
    <n v="1176"/>
    <n v="3191"/>
    <s v="59671939"/>
    <s v="59671939"/>
    <m/>
    <m/>
    <n v="22751476"/>
    <m/>
    <m/>
    <m/>
    <s v="SOLFIN"/>
    <s v="SOLFIN"/>
    <s v="CCMS"/>
    <n v="21327537"/>
    <n v="7938.8"/>
    <m/>
    <s v="N"/>
    <n v="3"/>
    <d v="2023-07-04T19:00:50"/>
    <s v="Y"/>
    <s v="Toxicologist"/>
    <s v="Public Law Children"/>
    <s v="Expert Disbursement"/>
    <s v="XXX"/>
    <s v="Y"/>
    <n v="155"/>
    <n v="31"/>
    <x v="1"/>
    <s v="VALIDATED"/>
    <n v="1"/>
    <s v="01.11.80.308.6300.0000"/>
    <n v="155"/>
    <s v="11"/>
    <s v="6300"/>
    <n v="-4106.08"/>
    <n v="155"/>
    <s v="DEBTOR"/>
    <n v="0"/>
    <n v="0"/>
    <n v="0"/>
    <n v="0"/>
    <n v="0"/>
  </r>
  <r>
    <n v="61338794"/>
    <s v="N"/>
    <n v="21363583"/>
    <s v="3000015480640008"/>
    <s v="CIVIL"/>
    <d v="2023-06-20T00:00:00"/>
    <d v="2023-07-12T19:01:49"/>
    <m/>
    <d v="2023-07-12T00:00:00"/>
    <n v="1176"/>
    <n v="3191"/>
    <s v="61338794"/>
    <s v="61338794"/>
    <m/>
    <m/>
    <n v="22722278"/>
    <m/>
    <m/>
    <m/>
    <s v="SOLFIN"/>
    <s v="SOLFIN"/>
    <s v="CCMS"/>
    <n v="21363583"/>
    <n v="9733.469999999999"/>
    <m/>
    <s v="N"/>
    <n v="2"/>
    <d v="2023-07-12T19:02:05"/>
    <s v="Y"/>
    <s v="Independent Social Worker"/>
    <s v="Care Remuneration Hourly Rates"/>
    <s v="Expert Disbursement"/>
    <s v="LOUISE LAST"/>
    <s v="Y"/>
    <n v="469.33"/>
    <n v="93.87"/>
    <x v="0"/>
    <s v="VALIDATED"/>
    <n v="1"/>
    <s v="01.11.80.305.6300.0000"/>
    <n v="469.33"/>
    <s v="11"/>
    <s v="6300"/>
    <n v="-4106.08"/>
    <n v="469.33"/>
    <s v="DEBTOR"/>
    <n v="0"/>
    <n v="0"/>
    <n v="0"/>
    <n v="0"/>
    <n v="0"/>
  </r>
  <r>
    <n v="61337841"/>
    <s v="N"/>
    <n v="21343962"/>
    <s v="3000015483120009"/>
    <s v="CIVIL"/>
    <d v="2023-06-29T00:00:00"/>
    <d v="2023-07-07T19:03:00"/>
    <m/>
    <d v="2023-07-07T00:00:00"/>
    <n v="1176"/>
    <n v="3191"/>
    <s v="61337841"/>
    <s v="61337841"/>
    <m/>
    <m/>
    <n v="22785158"/>
    <m/>
    <m/>
    <m/>
    <s v="SOLFIN"/>
    <s v="SOLFIN"/>
    <s v="CCMS"/>
    <n v="21343962"/>
    <n v="9097.48"/>
    <m/>
    <s v="N"/>
    <n v="22"/>
    <d v="2023-07-07T19:03:18"/>
    <s v="N"/>
    <s v="Solicitors Fixed Fee"/>
    <s v="Public Law Children"/>
    <s v="Profit Cost"/>
    <s v="LOUISE LAST"/>
    <s v="N"/>
    <n v="0"/>
    <n v="0"/>
    <x v="9"/>
    <s v="VALIDATED"/>
    <n v="1"/>
    <s v="01.11.80.308.6100.0000"/>
    <n v="0"/>
    <s v="11"/>
    <s v="6100"/>
    <n v="-4106.08"/>
    <n v="0"/>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4"/>
    <d v="2023-07-10T19:01:56"/>
    <s v="Y"/>
    <s v="Report - Welfare report"/>
    <s v="Care Remuneration Hourly Rates"/>
    <s v="Profit Cost"/>
    <s v="PENNY NEWMAN"/>
    <s v="Y"/>
    <n v="33.59"/>
    <n v="6.72"/>
    <x v="2"/>
    <s v="VALIDATED"/>
    <n v="1"/>
    <s v="01.11.80.305.6100.0000"/>
    <n v="33.59"/>
    <s v="11"/>
    <s v="6100"/>
    <n v="-4106.08"/>
    <n v="33.59"/>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0"/>
    <d v="2023-07-07T19:03:18"/>
    <s v="Y"/>
    <s v="Profit Costs (Summary)"/>
    <s v="Public Law Children"/>
    <s v="Profit Cost"/>
    <s v="LOUISE LAST"/>
    <s v="Y"/>
    <n v="4150.92"/>
    <n v="830.1799999999999"/>
    <x v="9"/>
    <s v="VALIDATED"/>
    <n v="1"/>
    <s v="01.11.80.308.6100.0000"/>
    <n v="4150.92"/>
    <s v="11"/>
    <s v="6100"/>
    <n v="-4106.08"/>
    <n v="4150.92"/>
    <s v="DEBTOR"/>
    <n v="0"/>
    <n v="0"/>
    <n v="0"/>
    <n v="0"/>
    <n v="0"/>
  </r>
  <r>
    <n v="62433731"/>
    <s v="N"/>
    <n v="21323144"/>
    <s v="3000016402570003"/>
    <s v="CIVIL"/>
    <d v="2023-06-29T00:00:00"/>
    <d v="2023-07-03T19:05:36"/>
    <m/>
    <d v="2023-07-03T00:00:00"/>
    <n v="1176"/>
    <n v="3191"/>
    <s v="62433731"/>
    <s v="62433731"/>
    <m/>
    <m/>
    <n v="22790806"/>
    <m/>
    <m/>
    <m/>
    <s v="SOLPOA"/>
    <s v="SOLPOA"/>
    <s v="CCMS"/>
    <n v="21323144"/>
    <n v="167"/>
    <m/>
    <s v="N"/>
    <n v="1"/>
    <d v="2023-07-03T19:05:41"/>
    <s v="N"/>
    <s v="Non Expert Disbursement"/>
    <s v="Non Expert Disbursement"/>
    <s v="Non Expert Disbursement"/>
    <s v="Vanessa Evans"/>
    <s v="N"/>
    <n v="167"/>
    <n v="0"/>
    <x v="3"/>
    <s v="VALIDATED"/>
    <n v="1"/>
    <s v="01.11.80.308.2012.0000"/>
    <n v="167"/>
    <s v="11"/>
    <s v="2012"/>
    <n v="-4106.08"/>
    <n v="167"/>
    <s v="DEBTOR"/>
    <n v="0"/>
    <n v="0"/>
    <n v="0"/>
    <n v="0"/>
    <n v="0"/>
  </r>
  <r>
    <n v="62120751"/>
    <s v="N"/>
    <n v="21319902"/>
    <s v="3000016137050002"/>
    <s v="CIVIL"/>
    <d v="2023-06-28T00:00:00"/>
    <d v="2023-07-03T19:04:24"/>
    <m/>
    <d v="2023-07-03T00:00:00"/>
    <n v="1176"/>
    <n v="3191"/>
    <s v="62120751"/>
    <s v="62120751"/>
    <m/>
    <m/>
    <n v="22777214"/>
    <m/>
    <m/>
    <m/>
    <s v="SOLPOA"/>
    <s v="SOLPOA"/>
    <s v="CCMS"/>
    <n v="21319902"/>
    <n v="1029.29"/>
    <m/>
    <s v="N"/>
    <n v="1"/>
    <d v="2023-07-03T19:04:28"/>
    <s v="N"/>
    <s v="Profit Cost"/>
    <s v="Profit Cost"/>
    <s v="Profit Cost"/>
    <s v="Penny Newman"/>
    <s v="N"/>
    <n v="857.74"/>
    <n v="171.55"/>
    <x v="3"/>
    <s v="VALIDATED"/>
    <n v="1"/>
    <s v="01.11.80.305.2012.0000"/>
    <n v="857.74"/>
    <s v="11"/>
    <s v="2012"/>
    <n v="-4106.08"/>
    <n v="857.74"/>
    <s v="DEBTOR"/>
    <n v="0"/>
    <n v="0"/>
    <n v="0"/>
    <n v="0"/>
    <n v="0"/>
  </r>
  <r>
    <n v="61843618"/>
    <s v="N"/>
    <n v="21349703"/>
    <s v="3000015906100007"/>
    <s v="CIVIL"/>
    <d v="2023-06-29T00:00:00"/>
    <d v="2023-07-10T19:01:40"/>
    <m/>
    <d v="2023-07-10T00:00:00"/>
    <n v="1176"/>
    <n v="3191"/>
    <s v="61843618"/>
    <s v="61843618"/>
    <m/>
    <m/>
    <n v="22788282"/>
    <m/>
    <m/>
    <m/>
    <s v="SOLFIN"/>
    <s v="SOLFIN"/>
    <s v="CCMS"/>
    <n v="21349703"/>
    <n v="3856.04"/>
    <m/>
    <s v="N"/>
    <n v="7"/>
    <d v="2023-07-10T19:01:56"/>
    <s v="Y"/>
    <s v="Solicitor Travel Mileage"/>
    <s v="Care Remuneration Hourly Rates"/>
    <s v="Non Expert Disbursement"/>
    <s v="PENNY NEWMAN"/>
    <s v="Y"/>
    <n v="24.3"/>
    <n v="4.86"/>
    <x v="2"/>
    <s v="VALIDATED"/>
    <n v="1"/>
    <s v="01.11.80.305.6300.0000"/>
    <n v="24.3"/>
    <s v="11"/>
    <s v="6300"/>
    <n v="-4106.08"/>
    <n v="24.3"/>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9"/>
    <d v="2023-07-04T19:00:50"/>
    <s v="Y"/>
    <s v="Toxicologist"/>
    <s v="Prescribed Hourly Rates"/>
    <s v="Expert Disbursement"/>
    <s v="LOUISE LAST"/>
    <s v="Y"/>
    <n v="1537"/>
    <n v="307.4"/>
    <x v="1"/>
    <s v="VALIDATED"/>
    <n v="1"/>
    <s v="01.11.80.307.6300.0000"/>
    <n v="1537"/>
    <s v="11"/>
    <s v="6300"/>
    <n v="-4106.08"/>
    <n v="1537"/>
    <s v="DEBTOR"/>
    <n v="0"/>
    <n v="0"/>
    <n v="0"/>
    <n v="0"/>
    <n v="0"/>
  </r>
  <r>
    <n v="62029768"/>
    <s v="N"/>
    <n v="21328204"/>
    <s v="3000016047840002"/>
    <s v="CIVIL"/>
    <d v="2023-06-27T00:00:00"/>
    <d v="2023-07-04T19:00:44"/>
    <m/>
    <d v="2023-07-04T00:00:00"/>
    <n v="1176"/>
    <n v="3191"/>
    <s v="62029768"/>
    <s v="62029768"/>
    <m/>
    <m/>
    <n v="22769788"/>
    <m/>
    <m/>
    <m/>
    <s v="SOLFIN"/>
    <s v="SOLFIN"/>
    <s v="CCMS"/>
    <n v="21328204"/>
    <n v="1077.54"/>
    <m/>
    <s v="N"/>
    <n v="5"/>
    <d v="2023-07-04T19:01:08"/>
    <s v="Y"/>
    <s v="Preparation - drafting bill/claim f"/>
    <s v="Care Remuneration Hourly Rates"/>
    <s v="Profit Cost"/>
    <s v="PENNY NEWMAN"/>
    <s v="Y"/>
    <n v="13.43"/>
    <n v="2.69"/>
    <x v="1"/>
    <s v="VALIDATED"/>
    <n v="1"/>
    <s v="01.11.80.305.6100.0000"/>
    <n v="13.43"/>
    <s v="11"/>
    <s v="6100"/>
    <n v="-4106.08"/>
    <n v="13.43"/>
    <s v="DEBTOR"/>
    <n v="0"/>
    <n v="0"/>
    <n v="0"/>
    <n v="0"/>
    <n v="0"/>
  </r>
  <r>
    <n v="59671939"/>
    <s v="N"/>
    <n v="21327537"/>
    <s v="3000014061540011"/>
    <s v="CIVIL"/>
    <d v="2023-06-23T00:00:00"/>
    <d v="2023-07-04T19:00:44"/>
    <m/>
    <d v="2023-07-04T00:00:00"/>
    <n v="1176"/>
    <n v="3191"/>
    <s v="59671939"/>
    <s v="59671939"/>
    <m/>
    <m/>
    <n v="22751476"/>
    <m/>
    <m/>
    <m/>
    <s v="SOLFIN"/>
    <s v="SOLFIN"/>
    <s v="CCMS"/>
    <n v="21327537"/>
    <n v="7938.8"/>
    <m/>
    <s v="N"/>
    <n v="7"/>
    <d v="2023-07-04T19:00:50"/>
    <s v="Y"/>
    <s v="Toxicologist"/>
    <s v="Public Law Children"/>
    <s v="Expert Disbursement"/>
    <s v="XXX"/>
    <s v="Y"/>
    <n v="537.5"/>
    <n v="107.5"/>
    <x v="1"/>
    <s v="VALIDATED"/>
    <n v="1"/>
    <s v="01.11.80.308.6300.0000"/>
    <n v="537.5"/>
    <s v="11"/>
    <s v="6300"/>
    <n v="-4106.08"/>
    <n v="537.5"/>
    <s v="DEBTOR"/>
    <n v="0"/>
    <n v="0"/>
    <n v="0"/>
    <n v="0"/>
    <n v="0"/>
  </r>
  <r>
    <n v="62029768"/>
    <s v="N"/>
    <n v="21328204"/>
    <s v="3000016047840002"/>
    <s v="CIVIL"/>
    <d v="2023-06-27T00:00:00"/>
    <d v="2023-07-04T19:00:44"/>
    <m/>
    <d v="2023-07-04T00:00:00"/>
    <n v="1176"/>
    <n v="3191"/>
    <s v="62029768"/>
    <s v="62029768"/>
    <m/>
    <m/>
    <n v="22769788"/>
    <m/>
    <m/>
    <m/>
    <s v="SOLFIN"/>
    <s v="SOLFIN"/>
    <s v="CCMS"/>
    <n v="21328204"/>
    <n v="1077.54"/>
    <m/>
    <s v="N"/>
    <n v="2"/>
    <d v="2023-07-04T19:01:08"/>
    <s v="Y"/>
    <s v="Solicitor Travel Expenses"/>
    <s v="Care Remuneration Hourly Rates"/>
    <s v="Non Expert Disbursement"/>
    <s v="PENNY NEWMAN"/>
    <s v="Y"/>
    <n v="5.2"/>
    <n v="0"/>
    <x v="1"/>
    <s v="VALIDATED"/>
    <n v="1"/>
    <s v="01.11.80.305.6300.0000"/>
    <n v="5.2"/>
    <s v="11"/>
    <s v="6300"/>
    <n v="-4106.08"/>
    <n v="5.2"/>
    <s v="DEBTOR"/>
    <n v="0"/>
    <n v="0"/>
    <n v="0"/>
    <n v="0"/>
    <n v="0"/>
  </r>
  <r>
    <n v="62029768"/>
    <s v="N"/>
    <n v="21328204"/>
    <s v="3000016047840002"/>
    <s v="CIVIL"/>
    <d v="2023-06-27T00:00:00"/>
    <d v="2023-07-04T19:00:44"/>
    <m/>
    <d v="2023-07-04T00:00:00"/>
    <n v="1176"/>
    <n v="3191"/>
    <s v="62029768"/>
    <s v="62029768"/>
    <m/>
    <m/>
    <n v="22769788"/>
    <m/>
    <m/>
    <m/>
    <s v="SOLFIN"/>
    <s v="SOLFIN"/>
    <s v="CCMS"/>
    <n v="21328204"/>
    <n v="1077.54"/>
    <m/>
    <s v="N"/>
    <n v="1"/>
    <d v="2023-07-04T19:01:08"/>
    <s v="Y"/>
    <s v="Solicitor Travel Mileage"/>
    <s v="Care Remuneration Hourly Rates"/>
    <s v="Non Expert Disbursement"/>
    <s v="PENNY NEWMAN"/>
    <s v="Y"/>
    <n v="29.7"/>
    <n v="5.94"/>
    <x v="1"/>
    <s v="VALIDATED"/>
    <n v="1"/>
    <s v="01.11.80.305.6300.0000"/>
    <n v="29.7"/>
    <s v="11"/>
    <s v="6300"/>
    <n v="-4106.08"/>
    <n v="29.7"/>
    <s v="DEBTOR"/>
    <n v="0"/>
    <n v="0"/>
    <n v="0"/>
    <n v="0"/>
    <n v="0"/>
  </r>
  <r>
    <n v="62029768"/>
    <s v="N"/>
    <n v="21328204"/>
    <s v="3000016047840002"/>
    <s v="CIVIL"/>
    <d v="2023-06-27T00:00:00"/>
    <d v="2023-07-04T19:00:44"/>
    <m/>
    <d v="2023-07-04T00:00:00"/>
    <n v="1176"/>
    <n v="3191"/>
    <s v="62029768"/>
    <s v="62029768"/>
    <m/>
    <m/>
    <n v="22769788"/>
    <m/>
    <m/>
    <m/>
    <s v="SOLFIN"/>
    <s v="SOLFIN"/>
    <s v="CCMS"/>
    <n v="21328204"/>
    <n v="1077.54"/>
    <m/>
    <s v="N"/>
    <n v="11"/>
    <d v="2023-07-04T19:01:08"/>
    <s v="Y"/>
    <s v="Preparation - drafting notice(s)"/>
    <s v="Care Remuneration Hourly Rates"/>
    <s v="Profit Cost"/>
    <s v="JAMES JONES"/>
    <s v="Y"/>
    <n v="5.84"/>
    <n v="1.17"/>
    <x v="1"/>
    <s v="VALIDATED"/>
    <n v="1"/>
    <s v="01.11.80.305.6100.0000"/>
    <n v="5.84"/>
    <s v="11"/>
    <s v="6100"/>
    <n v="-4106.08"/>
    <n v="5.84"/>
    <s v="DEBTOR"/>
    <n v="0"/>
    <n v="0"/>
    <n v="0"/>
    <n v="0"/>
    <n v="0"/>
  </r>
  <r>
    <n v="61338794"/>
    <s v="N"/>
    <n v="21363583"/>
    <s v="3000015480640008"/>
    <s v="CIVIL"/>
    <d v="2023-06-20T00:00:00"/>
    <d v="2023-07-12T19:01:49"/>
    <m/>
    <d v="2023-07-12T00:00:00"/>
    <n v="1176"/>
    <n v="3191"/>
    <s v="61338794"/>
    <s v="61338794"/>
    <m/>
    <m/>
    <n v="22722278"/>
    <m/>
    <m/>
    <m/>
    <s v="SOLFIN"/>
    <s v="SOLFIN"/>
    <s v="CCMS"/>
    <n v="21363583"/>
    <n v="9733.469999999999"/>
    <m/>
    <s v="N"/>
    <n v="1"/>
    <d v="2023-07-12T19:02:05"/>
    <s v="Y"/>
    <s v="Psychologist"/>
    <s v="Care Remuneration Hourly Rates"/>
    <s v="Expert Disbursement"/>
    <s v="LOUISE LAST"/>
    <s v="Y"/>
    <n v="1397.49"/>
    <n v="279.5"/>
    <x v="0"/>
    <s v="VALIDATED"/>
    <n v="1"/>
    <s v="01.11.80.305.6300.0000"/>
    <n v="1397.49"/>
    <s v="11"/>
    <s v="6300"/>
    <n v="-4106.08"/>
    <n v="1397.49"/>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0"/>
    <d v="2023-07-10T19:01:56"/>
    <s v="Y"/>
    <s v="Attendance upon client"/>
    <s v="Care Remuneration Hourly Rates"/>
    <s v="Profit Cost"/>
    <s v="PENNY NEWMAN"/>
    <s v="Y"/>
    <n v="47.02"/>
    <n v="9.4"/>
    <x v="2"/>
    <s v="VALIDATED"/>
    <n v="1"/>
    <s v="01.11.80.305.6100.0000"/>
    <n v="47.02"/>
    <s v="11"/>
    <s v="6100"/>
    <n v="-4106.08"/>
    <n v="47.02"/>
    <s v="DEBTOR"/>
    <n v="0"/>
    <n v="0"/>
    <n v="0"/>
    <n v="0"/>
    <n v="0"/>
  </r>
  <r>
    <n v="61843618"/>
    <s v="N"/>
    <n v="21349703"/>
    <s v="3000015906100007"/>
    <s v="CIVIL"/>
    <d v="2023-06-29T00:00:00"/>
    <d v="2023-07-10T19:01:40"/>
    <m/>
    <d v="2023-07-10T00:00:00"/>
    <n v="1176"/>
    <n v="3191"/>
    <s v="61843618"/>
    <s v="61843618"/>
    <m/>
    <m/>
    <n v="22788282"/>
    <m/>
    <m/>
    <m/>
    <s v="SOLFIN"/>
    <s v="SOLFIN"/>
    <s v="CCMS"/>
    <n v="21349703"/>
    <n v="3856.04"/>
    <m/>
    <s v="N"/>
    <n v="5"/>
    <d v="2023-07-10T19:01:56"/>
    <s v="Y"/>
    <s v="Solicitor Travel Mileage"/>
    <s v="Care Remuneration Hourly Rates"/>
    <s v="Non Expert Disbursement"/>
    <s v="PENNY NEWMAN"/>
    <s v="Y"/>
    <n v="24.3"/>
    <n v="4.86"/>
    <x v="2"/>
    <s v="VALIDATED"/>
    <n v="1"/>
    <s v="01.11.80.305.6300.0000"/>
    <n v="24.3"/>
    <s v="11"/>
    <s v="6300"/>
    <n v="-4106.08"/>
    <n v="24.3"/>
    <s v="DEBTOR"/>
    <n v="0"/>
    <n v="0"/>
    <n v="0"/>
    <n v="0"/>
    <n v="0"/>
  </r>
  <r>
    <n v="61337841"/>
    <s v="N"/>
    <n v="21343962"/>
    <s v="3000015483120009"/>
    <s v="CIVIL"/>
    <d v="2023-06-29T00:00:00"/>
    <d v="2023-07-07T19:03:00"/>
    <m/>
    <d v="2023-07-07T00:00:00"/>
    <n v="1176"/>
    <n v="3191"/>
    <s v="61337841"/>
    <s v="61337841"/>
    <m/>
    <m/>
    <n v="22785158"/>
    <m/>
    <m/>
    <m/>
    <s v="SOLFIN"/>
    <s v="SOLFIN"/>
    <s v="CCMS"/>
    <n v="21343962"/>
    <n v="9097.48"/>
    <m/>
    <s v="N"/>
    <n v="2"/>
    <d v="2023-07-07T19:03:18"/>
    <s v="Y"/>
    <s v="Interim Hearing Court Bundle/Advoca"/>
    <s v="Public Law Children"/>
    <s v="Advocacy"/>
    <s v="LOUISE LAST"/>
    <s v="Y"/>
    <n v="59.4"/>
    <n v="11.88"/>
    <x v="9"/>
    <s v="VALIDATED"/>
    <n v="1"/>
    <s v="01.11.80.308.6100.0000"/>
    <n v="59.4"/>
    <s v="11"/>
    <s v="6100"/>
    <n v="-4106.08"/>
    <n v="59.4"/>
    <s v="DEBTOR"/>
    <n v="0"/>
    <n v="0"/>
    <n v="0"/>
    <n v="0"/>
    <n v="0"/>
  </r>
  <r>
    <n v="61337841"/>
    <s v="N"/>
    <n v="21343962"/>
    <s v="3000015483120009"/>
    <s v="CIVIL"/>
    <d v="2023-06-29T00:00:00"/>
    <d v="2023-07-07T19:03:00"/>
    <m/>
    <d v="2023-07-07T00:00:00"/>
    <n v="1176"/>
    <n v="3191"/>
    <s v="61337841"/>
    <s v="61337841"/>
    <m/>
    <m/>
    <n v="22785158"/>
    <m/>
    <m/>
    <m/>
    <s v="SOLFIN"/>
    <s v="SOLFIN"/>
    <s v="CCMS"/>
    <n v="21343962"/>
    <n v="9097.48"/>
    <m/>
    <s v="N"/>
    <n v="23"/>
    <d v="2023-07-07T19:03:18"/>
    <s v="N"/>
    <m/>
    <m/>
    <s v="Overall Adjustment"/>
    <m/>
    <s v="N"/>
    <n v="-59.4"/>
    <n v="-11.88"/>
    <x v="9"/>
    <s v="VALIDATED"/>
    <n v="1"/>
    <s v="01.11.80.308.6100.0000"/>
    <n v="-59.4"/>
    <s v="11"/>
    <s v="6100"/>
    <n v="-4106.08"/>
    <n v="-59.4"/>
    <s v="DEBTOR"/>
    <n v="0"/>
    <n v="0"/>
    <n v="0"/>
    <n v="0"/>
    <n v="0"/>
  </r>
  <r>
    <n v="61338794"/>
    <s v="N"/>
    <n v="21363583"/>
    <s v="3000015480640008"/>
    <s v="CIVIL"/>
    <d v="2023-06-20T00:00:00"/>
    <d v="2023-07-12T19:01:49"/>
    <m/>
    <d v="2023-07-12T00:00:00"/>
    <n v="1176"/>
    <n v="3191"/>
    <s v="61338794"/>
    <s v="61338794"/>
    <m/>
    <m/>
    <n v="22722278"/>
    <m/>
    <m/>
    <m/>
    <s v="SOLFIN"/>
    <s v="SOLFIN"/>
    <s v="CCMS"/>
    <n v="21363583"/>
    <n v="9733.469999999999"/>
    <m/>
    <s v="N"/>
    <n v="6"/>
    <d v="2023-07-12T19:02:05"/>
    <s v="Y"/>
    <s v="Court Fee"/>
    <s v="Care Remuneration Hourly Rates"/>
    <s v="Non Expert Disbursement"/>
    <s v="LOUISE LAST"/>
    <s v="Y"/>
    <n v="167"/>
    <n v="0"/>
    <x v="0"/>
    <s v="VALIDATED"/>
    <n v="1"/>
    <s v="01.11.80.305.6300.0000"/>
    <n v="167"/>
    <s v="11"/>
    <s v="6300"/>
    <n v="-4106.08"/>
    <n v="167"/>
    <s v="DEBTOR"/>
    <n v="0"/>
    <n v="0"/>
    <n v="0"/>
    <n v="0"/>
    <n v="0"/>
  </r>
  <r>
    <n v="61843618"/>
    <s v="N"/>
    <n v="21349703"/>
    <s v="3000015906100007"/>
    <s v="CIVIL"/>
    <d v="2023-06-29T00:00:00"/>
    <d v="2023-07-10T19:01:40"/>
    <m/>
    <d v="2023-07-10T00:00:00"/>
    <n v="1176"/>
    <n v="3191"/>
    <s v="61843618"/>
    <s v="61843618"/>
    <m/>
    <m/>
    <n v="22788282"/>
    <m/>
    <m/>
    <m/>
    <s v="SOLFIN"/>
    <s v="SOLFIN"/>
    <s v="CCMS"/>
    <n v="21349703"/>
    <n v="3856.04"/>
    <m/>
    <s v="N"/>
    <n v="4"/>
    <d v="2023-07-10T19:01:56"/>
    <s v="Y"/>
    <s v="Court Fee"/>
    <s v="Care Remuneration Hourly Rates"/>
    <s v="Non Expert Disbursement"/>
    <s v="PENNY NEWMAN"/>
    <s v="Y"/>
    <n v="167"/>
    <n v="0"/>
    <x v="2"/>
    <s v="VALIDATED"/>
    <n v="1"/>
    <s v="01.11.80.305.6300.0000"/>
    <n v="167"/>
    <s v="11"/>
    <s v="6300"/>
    <n v="-4106.08"/>
    <n v="167"/>
    <s v="DEBTOR"/>
    <n v="0"/>
    <n v="0"/>
    <n v="0"/>
    <n v="0"/>
    <n v="0"/>
  </r>
  <r>
    <n v="61337841"/>
    <s v="N"/>
    <n v="21343962"/>
    <s v="3000015483120009"/>
    <s v="CIVIL"/>
    <d v="2023-06-29T00:00:00"/>
    <d v="2023-07-07T19:03:00"/>
    <m/>
    <d v="2023-07-07T00:00:00"/>
    <n v="1176"/>
    <n v="3191"/>
    <s v="61337841"/>
    <s v="61337841"/>
    <m/>
    <m/>
    <n v="22785158"/>
    <m/>
    <m/>
    <m/>
    <s v="SOLFIN"/>
    <s v="SOLFIN"/>
    <s v="CCMS"/>
    <n v="21343962"/>
    <n v="9097.48"/>
    <m/>
    <s v="N"/>
    <n v="5"/>
    <d v="2023-07-07T19:03:18"/>
    <s v="Y"/>
    <s v="Solicitor Travel Expenses"/>
    <s v="Public Law Children"/>
    <s v="Non Expert Disbursement"/>
    <s v="LOUISE LAST"/>
    <s v="Y"/>
    <n v="6.5"/>
    <n v="0"/>
    <x v="9"/>
    <s v="VALIDATED"/>
    <n v="1"/>
    <s v="01.11.80.308.6300.0000"/>
    <n v="6.5"/>
    <s v="11"/>
    <s v="6300"/>
    <n v="-4106.08"/>
    <n v="6.5"/>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5"/>
    <d v="2023-07-07T19:03:18"/>
    <s v="Y"/>
    <s v="Final Hearing - 1 Day"/>
    <s v="Public Law Children"/>
    <s v="Advocacy"/>
    <s v="LOUISE LAST"/>
    <s v="Y"/>
    <n v="556.88"/>
    <n v="111.38"/>
    <x v="9"/>
    <s v="VALIDATED"/>
    <n v="1"/>
    <s v="01.11.80.308.6100.0000"/>
    <n v="556.88"/>
    <s v="11"/>
    <s v="6100"/>
    <n v="-4106.08"/>
    <n v="556.88"/>
    <s v="DEBTOR"/>
    <n v="0"/>
    <n v="0"/>
    <n v="0"/>
    <n v="0"/>
    <n v="0"/>
  </r>
  <r>
    <n v="61276807"/>
    <s v="N"/>
    <n v="21322942"/>
    <s v="3000015439210012"/>
    <s v="CIVIL"/>
    <d v="2023-06-29T00:00:00"/>
    <d v="2023-07-03T19:05:36"/>
    <m/>
    <d v="2023-07-03T00:00:00"/>
    <n v="1176"/>
    <n v="3191"/>
    <s v="61276807"/>
    <s v="61276807"/>
    <m/>
    <m/>
    <n v="22790792"/>
    <m/>
    <m/>
    <m/>
    <s v="SOLPOA"/>
    <s v="SOLPOA"/>
    <s v="CCMS"/>
    <n v="21322942"/>
    <n v="11.58"/>
    <m/>
    <s v="N"/>
    <n v="1"/>
    <d v="2023-07-03T19:05:41"/>
    <s v="N"/>
    <s v="Non Expert Disbursement - Private L"/>
    <s v="Non Expert Disbursement - Priv"/>
    <s v="Non Expert Disbursement"/>
    <s v="Katie Beynon"/>
    <s v="N"/>
    <n v="9.65"/>
    <n v="1.93"/>
    <x v="3"/>
    <s v="VALIDATED"/>
    <n v="1"/>
    <s v="01.11.80.307.2012.0000"/>
    <n v="9.65"/>
    <s v="11"/>
    <s v="2012"/>
    <n v="-4106.08"/>
    <n v="9.65"/>
    <s v="DEBTOR"/>
    <n v="0"/>
    <n v="0"/>
    <n v="0"/>
    <n v="0"/>
    <n v="0"/>
  </r>
  <r>
    <n v="59671939"/>
    <s v="N"/>
    <n v="21327537"/>
    <s v="3000014061540011"/>
    <s v="CIVIL"/>
    <d v="2023-06-23T00:00:00"/>
    <d v="2023-07-04T19:00:44"/>
    <m/>
    <d v="2023-07-04T00:00:00"/>
    <n v="1176"/>
    <n v="3191"/>
    <s v="59671939"/>
    <s v="59671939"/>
    <m/>
    <m/>
    <n v="22751476"/>
    <m/>
    <m/>
    <m/>
    <s v="SOLFIN"/>
    <s v="SOLFIN"/>
    <s v="CCMS"/>
    <n v="21327537"/>
    <n v="7938.8"/>
    <m/>
    <s v="N"/>
    <n v="1"/>
    <d v="2023-07-04T19:00:50"/>
    <s v="Y"/>
    <s v="Solicitors Fixed Fee"/>
    <s v="Public Law Children"/>
    <s v="Profit Cost"/>
    <s v="XXX"/>
    <s v="Y"/>
    <n v="2370"/>
    <n v="474"/>
    <x v="1"/>
    <s v="VALIDATED"/>
    <n v="1"/>
    <s v="01.11.80.308.6100.0000"/>
    <n v="2370"/>
    <s v="11"/>
    <s v="6100"/>
    <n v="-4106.08"/>
    <n v="2370"/>
    <s v="DEBTOR"/>
    <n v="0"/>
    <n v="0"/>
    <n v="0"/>
    <n v="0"/>
    <n v="0"/>
  </r>
  <r>
    <n v="61338794"/>
    <s v="N"/>
    <n v="21363583"/>
    <s v="3000015480640008"/>
    <s v="CIVIL"/>
    <d v="2023-06-20T00:00:00"/>
    <d v="2023-07-12T19:01:49"/>
    <m/>
    <d v="2023-07-12T00:00:00"/>
    <n v="1176"/>
    <n v="3191"/>
    <s v="61338794"/>
    <s v="61338794"/>
    <m/>
    <m/>
    <n v="22722278"/>
    <m/>
    <m/>
    <m/>
    <s v="SOLFIN"/>
    <s v="SOLFIN"/>
    <s v="CCMS"/>
    <n v="21363583"/>
    <n v="9733.469999999999"/>
    <m/>
    <s v="N"/>
    <n v="4"/>
    <d v="2023-07-12T19:02:05"/>
    <s v="Y"/>
    <s v="Court Fee"/>
    <s v="Care Remuneration Hourly Rates"/>
    <s v="Non Expert Disbursement"/>
    <s v="LOUISE LAST"/>
    <s v="Y"/>
    <n v="167"/>
    <n v="33.4"/>
    <x v="0"/>
    <s v="VALIDATED"/>
    <n v="1"/>
    <s v="01.11.80.305.6300.0000"/>
    <n v="167"/>
    <s v="11"/>
    <s v="6300"/>
    <n v="-4106.08"/>
    <n v="167"/>
    <s v="DEBTOR"/>
    <n v="0"/>
    <n v="0"/>
    <n v="0"/>
    <n v="0"/>
    <n v="0"/>
  </r>
  <r>
    <n v="62029768"/>
    <s v="N"/>
    <n v="21328204"/>
    <s v="3000016047840002"/>
    <s v="CIVIL"/>
    <d v="2023-06-27T00:00:00"/>
    <d v="2023-07-04T19:00:44"/>
    <m/>
    <d v="2023-07-04T00:00:00"/>
    <n v="1176"/>
    <n v="3191"/>
    <s v="62029768"/>
    <s v="62029768"/>
    <m/>
    <m/>
    <n v="22769788"/>
    <m/>
    <m/>
    <m/>
    <s v="SOLFIN"/>
    <s v="SOLFIN"/>
    <s v="CCMS"/>
    <n v="21328204"/>
    <n v="1077.54"/>
    <m/>
    <s v="N"/>
    <n v="13"/>
    <d v="2023-07-04T19:01:08"/>
    <s v="Y"/>
    <s v="Preparation - other"/>
    <s v="Care Remuneration Hourly Rates"/>
    <s v="Profit Cost"/>
    <s v="PENNY NEWMAN"/>
    <s v="Y"/>
    <n v="33.59"/>
    <n v="6.72"/>
    <x v="1"/>
    <s v="VALIDATED"/>
    <n v="1"/>
    <s v="01.11.80.305.6100.0000"/>
    <n v="33.59"/>
    <s v="11"/>
    <s v="6100"/>
    <n v="-4106.08"/>
    <n v="33.59"/>
    <s v="DEBTOR"/>
    <n v="0"/>
    <n v="0"/>
    <n v="0"/>
    <n v="0"/>
    <n v="0"/>
  </r>
  <r>
    <n v="61713617"/>
    <s v="N"/>
    <n v="21322966"/>
    <s v="3000015801140012"/>
    <s v="CIVIL"/>
    <d v="2023-06-29T00:00:00"/>
    <d v="2023-07-03T19:05:36"/>
    <m/>
    <d v="2023-07-03T00:00:00"/>
    <n v="1176"/>
    <n v="3191"/>
    <s v="61713617"/>
    <s v="61713617"/>
    <m/>
    <m/>
    <n v="22790784"/>
    <m/>
    <m/>
    <m/>
    <s v="SOLPOA"/>
    <s v="SOLPOA"/>
    <s v="CCMS"/>
    <n v="21322966"/>
    <n v="36.72"/>
    <m/>
    <s v="N"/>
    <n v="1"/>
    <d v="2023-07-03T19:05:41"/>
    <s v="N"/>
    <s v="Non Expert Disbursement - Private L"/>
    <s v="Non Expert Disbursement - Priv"/>
    <s v="Non Expert Disbursement"/>
    <s v="Katie Beynon"/>
    <s v="N"/>
    <n v="30.6"/>
    <n v="6.12"/>
    <x v="3"/>
    <s v="VALIDATED"/>
    <n v="1"/>
    <s v="01.11.80.307.2012.0000"/>
    <n v="30.6"/>
    <s v="11"/>
    <s v="2012"/>
    <n v="-4106.08"/>
    <n v="30.6"/>
    <s v="DEBTOR"/>
    <n v="0"/>
    <n v="0"/>
    <n v="0"/>
    <n v="0"/>
    <n v="0"/>
  </r>
  <r>
    <n v="62223755"/>
    <s v="N"/>
    <n v="21320904"/>
    <s v="3000016227320008"/>
    <s v="CIVIL"/>
    <d v="2023-06-28T00:00:00"/>
    <d v="2023-07-03T19:04:52"/>
    <m/>
    <d v="2023-07-03T00:00:00"/>
    <n v="1176"/>
    <n v="3191"/>
    <s v="62223755"/>
    <s v="62223755"/>
    <m/>
    <m/>
    <n v="22783560"/>
    <m/>
    <m/>
    <m/>
    <s v="SOLPOA"/>
    <s v="SOLPOA"/>
    <s v="CCMS"/>
    <n v="21320904"/>
    <n v="25.92"/>
    <m/>
    <s v="N"/>
    <n v="1"/>
    <d v="2023-07-03T19:04:57"/>
    <s v="N"/>
    <s v="Non Expert Disbursement"/>
    <s v="Non Expert Disbursement"/>
    <s v="Non Expert Disbursement"/>
    <s v="Cerian Wathen"/>
    <s v="N"/>
    <n v="21.6"/>
    <n v="4.32"/>
    <x v="3"/>
    <s v="VALIDATED"/>
    <n v="1"/>
    <s v="01.11.80.308.2012.0000"/>
    <n v="21.6"/>
    <s v="11"/>
    <s v="2012"/>
    <n v="-4106.08"/>
    <n v="21.6"/>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
    <d v="2023-07-10T19:01:56"/>
    <s v="Y"/>
    <s v="Process server"/>
    <s v="Care Remuneration Hourly Rates"/>
    <s v="Expert Disbursement"/>
    <s v="PENNY NEWMAN"/>
    <s v="Y"/>
    <n v="37.6"/>
    <n v="0"/>
    <x v="2"/>
    <s v="VALIDATED"/>
    <n v="1"/>
    <s v="01.11.80.305.6300.0000"/>
    <n v="37.6"/>
    <s v="11"/>
    <s v="6300"/>
    <n v="-4106.08"/>
    <n v="37.6"/>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2"/>
    <d v="2023-07-07T19:03:18"/>
    <s v="Y"/>
    <s v="Solicitor Travel Expenses"/>
    <s v="Public Law Children"/>
    <s v="Non Expert Disbursement"/>
    <s v="LOUISE LAST"/>
    <s v="Y"/>
    <n v="6.5"/>
    <n v="0"/>
    <x v="9"/>
    <s v="VALIDATED"/>
    <n v="1"/>
    <s v="01.11.80.308.6300.0000"/>
    <n v="6.5"/>
    <s v="11"/>
    <s v="6300"/>
    <n v="-4106.08"/>
    <n v="6.5"/>
    <s v="DEBTOR"/>
    <n v="0"/>
    <n v="0"/>
    <n v="0"/>
    <n v="0"/>
    <n v="0"/>
  </r>
  <r>
    <n v="62029768"/>
    <s v="N"/>
    <n v="21328204"/>
    <s v="3000016047840002"/>
    <s v="CIVIL"/>
    <d v="2023-06-27T00:00:00"/>
    <d v="2023-07-04T19:00:44"/>
    <m/>
    <d v="2023-07-04T00:00:00"/>
    <n v="1176"/>
    <n v="3191"/>
    <s v="62029768"/>
    <s v="62029768"/>
    <m/>
    <m/>
    <n v="22769788"/>
    <m/>
    <m/>
    <m/>
    <s v="SOLFIN"/>
    <s v="SOLFIN"/>
    <s v="CCMS"/>
    <n v="21328204"/>
    <n v="1077.54"/>
    <m/>
    <s v="N"/>
    <n v="10"/>
    <d v="2023-07-04T19:01:08"/>
    <s v="Y"/>
    <s v="Preparation - drafting application"/>
    <s v="Care Remuneration Hourly Rates"/>
    <s v="Profit Cost"/>
    <s v="JAMES JONES"/>
    <s v="Y"/>
    <n v="29.21"/>
    <n v="5.84"/>
    <x v="1"/>
    <s v="VALIDATED"/>
    <n v="1"/>
    <s v="01.11.80.305.6100.0000"/>
    <n v="29.21"/>
    <s v="11"/>
    <s v="6100"/>
    <n v="-4106.08"/>
    <n v="29.21"/>
    <s v="DEBTOR"/>
    <n v="0"/>
    <n v="0"/>
    <n v="0"/>
    <n v="0"/>
    <n v="0"/>
  </r>
  <r>
    <n v="59671939"/>
    <s v="N"/>
    <n v="21327537"/>
    <s v="3000014061540011"/>
    <s v="CIVIL"/>
    <d v="2023-06-23T00:00:00"/>
    <d v="2023-07-04T19:00:44"/>
    <m/>
    <d v="2023-07-04T00:00:00"/>
    <n v="1176"/>
    <n v="3191"/>
    <s v="59671939"/>
    <s v="59671939"/>
    <m/>
    <m/>
    <n v="22751476"/>
    <m/>
    <m/>
    <m/>
    <s v="SOLFIN"/>
    <s v="SOLFIN"/>
    <s v="CCMS"/>
    <n v="21327537"/>
    <n v="7938.8"/>
    <m/>
    <s v="N"/>
    <n v="12"/>
    <d v="2023-07-04T19:00:50"/>
    <s v="Y"/>
    <s v="Hearing Unit 1.01 - 2.30 Hours"/>
    <s v="Public Law Children"/>
    <s v="Advocacy"/>
    <s v="CJ"/>
    <s v="Y"/>
    <n v="238.46"/>
    <n v="47.69"/>
    <x v="1"/>
    <s v="VALIDATED"/>
    <n v="1"/>
    <s v="01.11.80.308.6100.0000"/>
    <n v="238.46"/>
    <s v="11"/>
    <s v="6100"/>
    <n v="-4106.08"/>
    <n v="238.46"/>
    <s v="DEBTOR"/>
    <n v="0"/>
    <n v="0"/>
    <n v="0"/>
    <n v="0"/>
    <n v="0"/>
  </r>
  <r>
    <n v="62437711"/>
    <s v="N"/>
    <n v="21319274"/>
    <s v="3000016405160001"/>
    <s v="CIVIL"/>
    <d v="2023-06-27T00:00:00"/>
    <d v="2023-07-03T19:04:24"/>
    <m/>
    <d v="2023-07-03T00:00:00"/>
    <n v="1176"/>
    <n v="3191"/>
    <s v="62437711"/>
    <s v="62437711"/>
    <m/>
    <m/>
    <n v="22772440"/>
    <m/>
    <m/>
    <m/>
    <s v="SOLPOA"/>
    <s v="SOLPOA"/>
    <s v="CCMS"/>
    <n v="21319274"/>
    <n v="167"/>
    <m/>
    <s v="N"/>
    <n v="1"/>
    <d v="2023-07-03T19:04:25"/>
    <s v="N"/>
    <s v="Non Expert Disbursement"/>
    <s v="Non Expert Disbursement"/>
    <s v="Non Expert Disbursement"/>
    <s v="Cerian Wathen"/>
    <s v="N"/>
    <n v="167"/>
    <n v="0"/>
    <x v="3"/>
    <s v="VALIDATED"/>
    <n v="1"/>
    <s v="01.11.80.308.2012.0000"/>
    <n v="167"/>
    <s v="11"/>
    <s v="2012"/>
    <n v="-4106.08"/>
    <n v="167"/>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3"/>
    <d v="2023-07-10T19:01:56"/>
    <s v="Y"/>
    <s v="Preparation - other"/>
    <s v="Care Remuneration Hourly Rates"/>
    <s v="Profit Cost"/>
    <s v="PENNY NEWMAN"/>
    <s v="Y"/>
    <n v="6.72"/>
    <n v="1.34"/>
    <x v="2"/>
    <s v="VALIDATED"/>
    <n v="1"/>
    <s v="01.11.80.305.6100.0000"/>
    <n v="6.72"/>
    <s v="11"/>
    <s v="6100"/>
    <n v="-4106.08"/>
    <n v="6.72"/>
    <s v="DEBTOR"/>
    <n v="0"/>
    <n v="0"/>
    <n v="0"/>
    <n v="0"/>
    <n v="0"/>
  </r>
  <r>
    <n v="61552742"/>
    <s v="N"/>
    <n v="21343993"/>
    <s v="3000015663360009"/>
    <s v="CIVIL"/>
    <d v="2023-06-29T00:00:00"/>
    <d v="2023-07-07T19:03:00"/>
    <m/>
    <d v="2023-07-07T00:00:00"/>
    <n v="1176"/>
    <n v="3191"/>
    <s v="61552742"/>
    <s v="61552742"/>
    <m/>
    <m/>
    <n v="22786230"/>
    <m/>
    <m/>
    <m/>
    <s v="SOLFIN"/>
    <s v="SOLFIN"/>
    <s v="CCMS"/>
    <n v="21343993"/>
    <n v="5035.01"/>
    <m/>
    <s v="N"/>
    <n v="6"/>
    <d v="2023-07-07T19:03:19"/>
    <s v="Y"/>
    <s v="Solicitor Travel Mileage"/>
    <s v="Public Law Children"/>
    <s v="Non Expert Disbursement"/>
    <s v="CERIAN WATHEN"/>
    <s v="Y"/>
    <n v="29.25"/>
    <n v="5.85"/>
    <x v="9"/>
    <s v="VALIDATED"/>
    <n v="1"/>
    <s v="01.11.80.308.6300.0000"/>
    <n v="29.25"/>
    <s v="11"/>
    <s v="6300"/>
    <n v="-4106.08"/>
    <n v="29.25"/>
    <s v="DEBTOR"/>
    <n v="0"/>
    <n v="0"/>
    <n v="0"/>
    <n v="0"/>
    <n v="0"/>
  </r>
  <r>
    <n v="62029768"/>
    <s v="N"/>
    <n v="21328204"/>
    <s v="3000016047840002"/>
    <s v="CIVIL"/>
    <d v="2023-06-27T00:00:00"/>
    <d v="2023-07-04T19:00:44"/>
    <m/>
    <d v="2023-07-04T00:00:00"/>
    <n v="1176"/>
    <n v="3191"/>
    <s v="62029768"/>
    <s v="62029768"/>
    <m/>
    <m/>
    <n v="22769788"/>
    <m/>
    <m/>
    <m/>
    <s v="SOLFIN"/>
    <s v="SOLFIN"/>
    <s v="CCMS"/>
    <n v="21328204"/>
    <n v="1077.54"/>
    <m/>
    <s v="N"/>
    <n v="3"/>
    <d v="2023-07-04T19:01:08"/>
    <s v="Y"/>
    <s v="Report - Welfare report"/>
    <s v="Care Remuneration Hourly Rates"/>
    <s v="Profit Cost"/>
    <s v="PENNY NEWMAN"/>
    <s v="Y"/>
    <n v="53.74"/>
    <n v="10.75"/>
    <x v="1"/>
    <s v="VALIDATED"/>
    <n v="1"/>
    <s v="01.11.80.305.6100.0000"/>
    <n v="53.74"/>
    <s v="11"/>
    <s v="6100"/>
    <n v="-4106.08"/>
    <n v="53.74"/>
    <s v="DEBTOR"/>
    <n v="0"/>
    <n v="0"/>
    <n v="0"/>
    <n v="0"/>
    <n v="0"/>
  </r>
  <r>
    <n v="62029768"/>
    <s v="N"/>
    <n v="21328204"/>
    <s v="3000016047840002"/>
    <s v="CIVIL"/>
    <d v="2023-06-27T00:00:00"/>
    <d v="2023-07-04T19:00:44"/>
    <m/>
    <d v="2023-07-04T00:00:00"/>
    <n v="1176"/>
    <n v="3191"/>
    <s v="62029768"/>
    <s v="62029768"/>
    <m/>
    <m/>
    <n v="22769788"/>
    <m/>
    <m/>
    <m/>
    <s v="SOLFIN"/>
    <s v="SOLFIN"/>
    <s v="CCMS"/>
    <n v="21328204"/>
    <n v="1077.54"/>
    <m/>
    <s v="N"/>
    <n v="14"/>
    <d v="2023-07-04T19:01:08"/>
    <s v="Y"/>
    <s v="Attendance upon client"/>
    <s v="Care Remuneration Hourly Rates"/>
    <s v="Profit Cost"/>
    <s v="PENNY NEWMAN"/>
    <s v="Y"/>
    <n v="33.59"/>
    <n v="6.72"/>
    <x v="1"/>
    <s v="VALIDATED"/>
    <n v="1"/>
    <s v="01.11.80.305.6100.0000"/>
    <n v="33.59"/>
    <s v="11"/>
    <s v="6100"/>
    <n v="-4106.08"/>
    <n v="33.59"/>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1"/>
    <d v="2023-07-04T19:00:50"/>
    <s v="Y"/>
    <s v="Cell telephone site analysis"/>
    <s v="Prescribed Hourly Rates"/>
    <s v="Expert Disbursement"/>
    <s v="LOUISE LAST"/>
    <s v="Y"/>
    <n v="432"/>
    <n v="86.40000000000001"/>
    <x v="1"/>
    <s v="VALIDATED"/>
    <n v="1"/>
    <s v="01.11.80.307.6300.0000"/>
    <n v="432"/>
    <s v="11"/>
    <s v="6300"/>
    <n v="-4106.08"/>
    <n v="432"/>
    <s v="DEBTOR"/>
    <n v="0"/>
    <n v="0"/>
    <n v="0"/>
    <n v="0"/>
    <n v="0"/>
  </r>
  <r>
    <n v="61905099"/>
    <s v="N"/>
    <n v="21321001"/>
    <s v="3000015961770013"/>
    <s v="CIVIL"/>
    <d v="2023-06-28T00:00:00"/>
    <d v="2023-07-03T19:04:52"/>
    <m/>
    <d v="2023-07-03T00:00:00"/>
    <n v="1176"/>
    <n v="3191"/>
    <s v="61905099"/>
    <s v="61905099"/>
    <m/>
    <m/>
    <n v="22783582"/>
    <m/>
    <m/>
    <m/>
    <s v="SOLPOA"/>
    <s v="SOLPOA"/>
    <s v="CCMS"/>
    <n v="21321001"/>
    <n v="35.1"/>
    <m/>
    <s v="N"/>
    <n v="1"/>
    <d v="2023-07-03T19:04:57"/>
    <s v="N"/>
    <s v="Non Expert Disbursement"/>
    <s v="Non Expert Disbursement"/>
    <s v="Non Expert Disbursement"/>
    <s v="Cerian Wathen"/>
    <s v="N"/>
    <n v="29.25"/>
    <n v="5.85"/>
    <x v="3"/>
    <s v="VALIDATED"/>
    <n v="1"/>
    <s v="01.11.80.308.2012.0000"/>
    <n v="29.25"/>
    <s v="11"/>
    <s v="2012"/>
    <n v="-4106.08"/>
    <n v="29.25"/>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4"/>
    <d v="2023-07-10T19:01:56"/>
    <s v="Y"/>
    <s v="Routine Letter In"/>
    <s v="Care Remuneration Hourly Rates"/>
    <s v="Profit Cost"/>
    <s v="PENNY NEWMAN"/>
    <s v="Y"/>
    <n v="342.53"/>
    <n v="68.51000000000001"/>
    <x v="2"/>
    <s v="VALIDATED"/>
    <n v="1"/>
    <s v="01.11.80.305.6100.0000"/>
    <n v="342.53"/>
    <s v="11"/>
    <s v="6100"/>
    <n v="-4106.08"/>
    <n v="342.53"/>
    <s v="DEBTOR"/>
    <n v="0"/>
    <n v="0"/>
    <n v="0"/>
    <n v="0"/>
    <n v="0"/>
  </r>
  <r>
    <n v="59671939"/>
    <s v="N"/>
    <n v="21327537"/>
    <s v="3000014061540011"/>
    <s v="CIVIL"/>
    <d v="2023-06-23T00:00:00"/>
    <d v="2023-07-04T19:00:44"/>
    <m/>
    <d v="2023-07-04T00:00:00"/>
    <n v="1176"/>
    <n v="3191"/>
    <s v="59671939"/>
    <s v="59671939"/>
    <m/>
    <m/>
    <n v="22751476"/>
    <m/>
    <m/>
    <m/>
    <s v="SOLFIN"/>
    <s v="SOLFIN"/>
    <s v="CCMS"/>
    <n v="21327537"/>
    <n v="7938.8"/>
    <m/>
    <s v="N"/>
    <n v="4"/>
    <d v="2023-07-04T19:00:50"/>
    <s v="Y"/>
    <s v="Toxicologist"/>
    <s v="Public Law Children"/>
    <s v="Expert Disbursement"/>
    <s v="XXX"/>
    <s v="Y"/>
    <n v="195"/>
    <n v="39"/>
    <x v="1"/>
    <s v="VALIDATED"/>
    <n v="1"/>
    <s v="01.11.80.308.6300.0000"/>
    <n v="195"/>
    <s v="11"/>
    <s v="6300"/>
    <n v="-4106.08"/>
    <n v="195"/>
    <s v="DEBTOR"/>
    <n v="0"/>
    <n v="0"/>
    <n v="0"/>
    <n v="0"/>
    <n v="0"/>
  </r>
  <r>
    <n v="59671939"/>
    <s v="N"/>
    <n v="21327537"/>
    <s v="3000014061540011"/>
    <s v="CIVIL"/>
    <d v="2023-06-23T00:00:00"/>
    <d v="2023-07-04T19:00:44"/>
    <m/>
    <d v="2023-07-04T00:00:00"/>
    <n v="1176"/>
    <n v="3191"/>
    <s v="59671939"/>
    <s v="59671939"/>
    <m/>
    <m/>
    <n v="22751476"/>
    <m/>
    <m/>
    <m/>
    <s v="SOLFIN"/>
    <s v="SOLFIN"/>
    <s v="CCMS"/>
    <n v="21327537"/>
    <n v="7938.8"/>
    <m/>
    <s v="N"/>
    <n v="10"/>
    <d v="2023-07-04T19:00:50"/>
    <s v="Y"/>
    <s v="Hearing Unit 1.01 - 2.30 Hours"/>
    <s v="Public Law Children"/>
    <s v="Advocacy"/>
    <s v="CJ"/>
    <s v="Y"/>
    <n v="238.46"/>
    <n v="47.69"/>
    <x v="1"/>
    <s v="VALIDATED"/>
    <n v="1"/>
    <s v="01.11.80.308.6100.0000"/>
    <n v="238.46"/>
    <s v="11"/>
    <s v="6100"/>
    <n v="-4106.08"/>
    <n v="238.46"/>
    <s v="DEBTOR"/>
    <n v="0"/>
    <n v="0"/>
    <n v="0"/>
    <n v="0"/>
    <n v="0"/>
  </r>
  <r>
    <n v="61843618"/>
    <s v="N"/>
    <n v="21349703"/>
    <s v="3000015906100007"/>
    <s v="CIVIL"/>
    <d v="2023-06-29T00:00:00"/>
    <d v="2023-07-10T19:01:40"/>
    <m/>
    <d v="2023-07-10T00:00:00"/>
    <n v="1176"/>
    <n v="3191"/>
    <s v="61843618"/>
    <s v="61843618"/>
    <m/>
    <m/>
    <n v="22788282"/>
    <m/>
    <m/>
    <m/>
    <s v="SOLFIN"/>
    <s v="SOLFIN"/>
    <s v="CCMS"/>
    <n v="21349703"/>
    <n v="3856.04"/>
    <m/>
    <s v="N"/>
    <n v="33"/>
    <d v="2023-07-10T19:01:56"/>
    <s v="Y"/>
    <s v="Preparation - drafting pleadings"/>
    <s v="Care Remuneration Hourly Rates"/>
    <s v="Profit Cost"/>
    <s v="PENNY NEWMAN"/>
    <s v="Y"/>
    <n v="13.43"/>
    <n v="2.69"/>
    <x v="2"/>
    <s v="VALIDATED"/>
    <n v="1"/>
    <s v="01.11.80.305.6100.0000"/>
    <n v="13.43"/>
    <s v="11"/>
    <s v="6100"/>
    <n v="-4106.08"/>
    <n v="13.43"/>
    <s v="DEBTOR"/>
    <n v="0"/>
    <n v="0"/>
    <n v="0"/>
    <n v="0"/>
    <n v="0"/>
  </r>
  <r>
    <n v="61152135"/>
    <s v="N"/>
    <n v="21322922"/>
    <s v="3000015333970013"/>
    <s v="CIVIL"/>
    <d v="2023-06-29T00:00:00"/>
    <d v="2023-07-03T19:05:36"/>
    <m/>
    <d v="2023-07-03T00:00:00"/>
    <n v="1176"/>
    <n v="3191"/>
    <s v="61152135"/>
    <s v="61152135"/>
    <m/>
    <m/>
    <n v="22790782"/>
    <m/>
    <m/>
    <m/>
    <s v="SOLPOA"/>
    <s v="SOLPOA"/>
    <s v="CCMS"/>
    <n v="21322922"/>
    <n v="11.88"/>
    <m/>
    <s v="N"/>
    <n v="1"/>
    <d v="2023-07-03T19:05:40"/>
    <s v="N"/>
    <s v="Non Expert Disbursement - Private L"/>
    <s v="Non Expert Disbursement - Priv"/>
    <s v="Non Expert Disbursement"/>
    <s v="Katie Beynon"/>
    <s v="N"/>
    <n v="9.9"/>
    <n v="1.98"/>
    <x v="3"/>
    <s v="VALIDATED"/>
    <n v="1"/>
    <s v="01.11.80.307.2012.0000"/>
    <n v="9.9"/>
    <s v="11"/>
    <s v="2012"/>
    <n v="-4106.08"/>
    <n v="9.9"/>
    <s v="DEBTOR"/>
    <n v="0"/>
    <n v="0"/>
    <n v="0"/>
    <n v="0"/>
    <n v="0"/>
  </r>
  <r>
    <n v="61843618"/>
    <s v="N"/>
    <n v="21349703"/>
    <s v="3000015906100007"/>
    <s v="CIVIL"/>
    <d v="2023-06-29T00:00:00"/>
    <d v="2023-07-10T19:01:40"/>
    <m/>
    <d v="2023-07-10T00:00:00"/>
    <n v="1176"/>
    <n v="3191"/>
    <s v="61843618"/>
    <s v="61843618"/>
    <m/>
    <m/>
    <n v="22788282"/>
    <m/>
    <m/>
    <m/>
    <s v="SOLFIN"/>
    <s v="SOLFIN"/>
    <s v="CCMS"/>
    <n v="21349703"/>
    <n v="3856.04"/>
    <m/>
    <s v="N"/>
    <n v="25"/>
    <d v="2023-07-10T19:01:56"/>
    <s v="Y"/>
    <s v="Attendance upon client"/>
    <s v="Care Remuneration Hourly Rates"/>
    <s v="Profit Cost"/>
    <s v="PENNY NEWMAN"/>
    <s v="Y"/>
    <n v="20.15"/>
    <n v="4.03"/>
    <x v="2"/>
    <s v="VALIDATED"/>
    <n v="1"/>
    <s v="01.11.80.305.6100.0000"/>
    <n v="20.15"/>
    <s v="11"/>
    <s v="6100"/>
    <n v="-4106.08"/>
    <n v="20.15"/>
    <s v="DEBTOR"/>
    <n v="0"/>
    <n v="0"/>
    <n v="0"/>
    <n v="0"/>
    <n v="0"/>
  </r>
  <r>
    <n v="61337841"/>
    <s v="N"/>
    <n v="21343962"/>
    <s v="3000015483120009"/>
    <s v="CIVIL"/>
    <d v="2023-06-29T00:00:00"/>
    <d v="2023-07-07T19:03:00"/>
    <m/>
    <d v="2023-07-07T00:00:00"/>
    <n v="1176"/>
    <n v="3191"/>
    <s v="61337841"/>
    <s v="61337841"/>
    <m/>
    <m/>
    <n v="22785158"/>
    <m/>
    <m/>
    <m/>
    <s v="SOLFIN"/>
    <s v="SOLFIN"/>
    <s v="CCMS"/>
    <n v="21343962"/>
    <n v="9097.48"/>
    <m/>
    <s v="N"/>
    <n v="19"/>
    <d v="2023-07-07T19:03:18"/>
    <s v="Y"/>
    <s v="Advocates Meeting"/>
    <s v="Public Law Children"/>
    <s v="Advocacy"/>
    <s v="LOUISE LAST"/>
    <s v="Y"/>
    <n v="140.99"/>
    <n v="28.2"/>
    <x v="9"/>
    <s v="VALIDATED"/>
    <n v="1"/>
    <s v="01.11.80.308.6100.0000"/>
    <n v="140.99"/>
    <s v="11"/>
    <s v="6100"/>
    <n v="-4106.08"/>
    <n v="140.99"/>
    <s v="DEBTOR"/>
    <n v="0"/>
    <n v="0"/>
    <n v="0"/>
    <n v="0"/>
    <n v="0"/>
  </r>
  <r>
    <n v="61337841"/>
    <s v="N"/>
    <n v="21343962"/>
    <s v="3000015483120009"/>
    <s v="CIVIL"/>
    <d v="2023-06-29T00:00:00"/>
    <d v="2023-07-07T19:03:00"/>
    <m/>
    <d v="2023-07-07T00:00:00"/>
    <n v="1176"/>
    <n v="3191"/>
    <s v="61337841"/>
    <s v="61337841"/>
    <m/>
    <m/>
    <n v="22785158"/>
    <m/>
    <m/>
    <m/>
    <s v="SOLFIN"/>
    <s v="SOLFIN"/>
    <s v="CCMS"/>
    <n v="21343962"/>
    <n v="9097.48"/>
    <m/>
    <s v="N"/>
    <n v="20"/>
    <d v="2023-07-07T19:03:18"/>
    <s v="Y"/>
    <s v="Hearing Unit 2.31 - 5.00 Hours"/>
    <s v="Public Law Children"/>
    <s v="Advocacy"/>
    <s v="LOUISE LAST"/>
    <s v="Y"/>
    <n v="476.92"/>
    <n v="95.38"/>
    <x v="9"/>
    <s v="VALIDATED"/>
    <n v="1"/>
    <s v="01.11.80.308.6100.0000"/>
    <n v="476.92"/>
    <s v="11"/>
    <s v="6100"/>
    <n v="-4106.08"/>
    <n v="476.92"/>
    <s v="DEBTOR"/>
    <n v="0"/>
    <n v="0"/>
    <n v="0"/>
    <n v="0"/>
    <n v="0"/>
  </r>
  <r>
    <n v="61276807"/>
    <s v="N"/>
    <n v="21323115"/>
    <s v="3000015439210016"/>
    <s v="CIVIL"/>
    <d v="2023-06-29T00:00:00"/>
    <d v="2023-07-03T19:05:36"/>
    <m/>
    <d v="2023-07-03T00:00:00"/>
    <n v="1176"/>
    <n v="3191"/>
    <s v="61276807"/>
    <s v="61276807"/>
    <m/>
    <m/>
    <n v="22790790"/>
    <m/>
    <m/>
    <m/>
    <s v="SOLPOA"/>
    <s v="SOLPOA"/>
    <s v="CCMS"/>
    <n v="21323115"/>
    <n v="42.96"/>
    <m/>
    <s v="N"/>
    <n v="1"/>
    <d v="2023-07-03T19:05:41"/>
    <s v="N"/>
    <s v="Non Expert Disbursement - Private L"/>
    <s v="Non Expert Disbursement - Priv"/>
    <s v="Non Expert Disbursement"/>
    <s v="Katie Beynon"/>
    <s v="N"/>
    <n v="35.8"/>
    <n v="7.16"/>
    <x v="3"/>
    <s v="VALIDATED"/>
    <n v="1"/>
    <s v="01.11.80.307.2012.0000"/>
    <n v="35.8"/>
    <s v="11"/>
    <s v="2012"/>
    <n v="-4106.08"/>
    <n v="35.8"/>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0"/>
    <d v="2023-07-10T19:01:56"/>
    <s v="Y"/>
    <s v="Preparation - other"/>
    <s v="Care Remuneration Hourly Rates"/>
    <s v="Profit Cost"/>
    <s v="JAMES JONES"/>
    <s v="Y"/>
    <n v="5.84"/>
    <n v="1.17"/>
    <x v="2"/>
    <s v="VALIDATED"/>
    <n v="1"/>
    <s v="01.11.80.305.6100.0000"/>
    <n v="5.84"/>
    <s v="11"/>
    <s v="6100"/>
    <n v="-4106.08"/>
    <n v="5.84"/>
    <s v="DEBTOR"/>
    <n v="0"/>
    <n v="0"/>
    <n v="0"/>
    <n v="0"/>
    <n v="0"/>
  </r>
  <r>
    <n v="61843618"/>
    <s v="N"/>
    <n v="21349703"/>
    <s v="3000015906100007"/>
    <s v="CIVIL"/>
    <d v="2023-06-29T00:00:00"/>
    <d v="2023-07-10T19:01:40"/>
    <m/>
    <d v="2023-07-10T00:00:00"/>
    <n v="1176"/>
    <n v="3191"/>
    <s v="61843618"/>
    <s v="61843618"/>
    <m/>
    <m/>
    <n v="22788282"/>
    <m/>
    <m/>
    <m/>
    <s v="SOLFIN"/>
    <s v="SOLFIN"/>
    <s v="CCMS"/>
    <n v="21349703"/>
    <n v="3856.04"/>
    <m/>
    <s v="N"/>
    <n v="15"/>
    <d v="2023-07-10T19:01:56"/>
    <s v="Y"/>
    <s v="Preparation - other"/>
    <s v="Care Remuneration Hourly Rates"/>
    <s v="Profit Cost"/>
    <s v="PENNY NEWMAN"/>
    <s v="Y"/>
    <n v="6.72"/>
    <n v="1.34"/>
    <x v="2"/>
    <s v="VALIDATED"/>
    <n v="1"/>
    <s v="01.11.80.305.6100.0000"/>
    <n v="6.72"/>
    <s v="11"/>
    <s v="6100"/>
    <n v="-4106.08"/>
    <n v="6.72"/>
    <s v="DEBTOR"/>
    <n v="0"/>
    <n v="0"/>
    <n v="0"/>
    <n v="0"/>
    <n v="0"/>
  </r>
  <r>
    <n v="61337841"/>
    <s v="N"/>
    <n v="21343962"/>
    <s v="3000015483120009"/>
    <s v="CIVIL"/>
    <d v="2023-06-29T00:00:00"/>
    <d v="2023-07-07T19:03:00"/>
    <m/>
    <d v="2023-07-07T00:00:00"/>
    <n v="1176"/>
    <n v="3191"/>
    <s v="61337841"/>
    <s v="61337841"/>
    <m/>
    <m/>
    <n v="22785158"/>
    <m/>
    <m/>
    <m/>
    <s v="SOLFIN"/>
    <s v="SOLFIN"/>
    <s v="CCMS"/>
    <n v="21343962"/>
    <n v="9097.48"/>
    <m/>
    <s v="N"/>
    <n v="8"/>
    <d v="2023-07-07T19:03:18"/>
    <s v="Y"/>
    <s v="Solicitor Travel Mileage"/>
    <s v="Public Law Children"/>
    <s v="Non Expert Disbursement"/>
    <s v="LOUISE LAST"/>
    <s v="Y"/>
    <n v="7.65"/>
    <n v="1.53"/>
    <x v="9"/>
    <s v="VALIDATED"/>
    <n v="1"/>
    <s v="01.11.80.308.6300.0000"/>
    <n v="7.65"/>
    <s v="11"/>
    <s v="6300"/>
    <n v="-4106.08"/>
    <n v="7.65"/>
    <s v="DEBTOR"/>
    <n v="0"/>
    <n v="0"/>
    <n v="0"/>
    <n v="0"/>
    <n v="0"/>
  </r>
  <r>
    <n v="61337841"/>
    <s v="N"/>
    <n v="21343962"/>
    <s v="3000015483120009"/>
    <s v="CIVIL"/>
    <d v="2023-06-29T00:00:00"/>
    <d v="2023-07-07T19:03:00"/>
    <m/>
    <d v="2023-07-07T00:00:00"/>
    <n v="1176"/>
    <n v="3191"/>
    <s v="61337841"/>
    <s v="61337841"/>
    <m/>
    <m/>
    <n v="22785158"/>
    <m/>
    <m/>
    <m/>
    <s v="SOLFIN"/>
    <s v="SOLFIN"/>
    <s v="CCMS"/>
    <n v="21343962"/>
    <n v="9097.48"/>
    <m/>
    <s v="N"/>
    <n v="9"/>
    <d v="2023-07-07T19:03:18"/>
    <s v="Y"/>
    <s v="Psychologist"/>
    <s v="Public Law Children"/>
    <s v="Expert Disbursement"/>
    <s v="LOUISE LAST"/>
    <s v="Y"/>
    <n v="210.6"/>
    <n v="42.12"/>
    <x v="9"/>
    <s v="VALIDATED"/>
    <n v="1"/>
    <s v="01.11.80.308.6300.0000"/>
    <n v="210.6"/>
    <s v="11"/>
    <s v="6300"/>
    <n v="-4106.08"/>
    <n v="210.6"/>
    <s v="DEBTOR"/>
    <n v="0"/>
    <n v="0"/>
    <n v="0"/>
    <n v="0"/>
    <n v="0"/>
  </r>
  <r>
    <n v="60504231"/>
    <s v="N"/>
    <n v="21327595"/>
    <s v="3000014777430014"/>
    <s v="CIVIL"/>
    <d v="2023-06-22T00:00:00"/>
    <d v="2023-07-04T19:00:44"/>
    <m/>
    <d v="2023-07-04T00:00:00"/>
    <n v="1176"/>
    <n v="3191"/>
    <s v="60504231"/>
    <s v="60504231"/>
    <m/>
    <m/>
    <n v="22739378"/>
    <m/>
    <m/>
    <m/>
    <s v="SOLFIN"/>
    <s v="SOLFIN"/>
    <s v="CCMS"/>
    <n v="21327595"/>
    <n v="11466.05"/>
    <m/>
    <s v="N"/>
    <n v="2"/>
    <d v="2023-07-04T19:00:50"/>
    <s v="Y"/>
    <s v="Court Fee"/>
    <s v="Prescribed Hourly Rates"/>
    <s v="Non Expert Disbursement"/>
    <s v="LOUISE LAST"/>
    <s v="Y"/>
    <n v="167"/>
    <n v="0"/>
    <x v="1"/>
    <s v="VALIDATED"/>
    <n v="1"/>
    <s v="01.11.80.307.6300.0000"/>
    <n v="167"/>
    <s v="11"/>
    <s v="6300"/>
    <n v="-4106.08"/>
    <n v="167"/>
    <s v="DEBTOR"/>
    <n v="0"/>
    <n v="0"/>
    <n v="0"/>
    <n v="0"/>
    <n v="0"/>
  </r>
  <r>
    <n v="59671939"/>
    <s v="N"/>
    <n v="21328677"/>
    <s v="3000014061540004RC"/>
    <s v="CIVIL"/>
    <d v="2023-06-23T00:00:00"/>
    <d v="2023-07-04T19:38:21"/>
    <m/>
    <d v="2023-07-04T00:00:00"/>
    <n v="1176"/>
    <n v="3191"/>
    <s v="59671939"/>
    <s v="59671939"/>
    <m/>
    <m/>
    <m/>
    <m/>
    <m/>
    <m/>
    <s v="SOLRECOUP"/>
    <s v="SOLRECOUP"/>
    <s v="POARECOUP"/>
    <n v="21328677"/>
    <n v="-3229.82"/>
    <m/>
    <s v="Y"/>
    <n v="1"/>
    <d v="2023-07-04T19:38:22"/>
    <s v="N"/>
    <m/>
    <m/>
    <s v="Profit Cost"/>
    <m/>
    <s v="N"/>
    <n v="-2691.52"/>
    <n v="0"/>
    <x v="1"/>
    <s v="VALIDATED"/>
    <n v="1"/>
    <s v="01.11.80.308.2013.0000"/>
    <n v="-2691.52"/>
    <s v="11"/>
    <s v="2013"/>
    <n v="-4106.08"/>
    <n v="-2691.52"/>
    <s v="DEBTOR"/>
    <n v="0"/>
    <n v="0"/>
    <n v="0"/>
    <n v="0"/>
    <n v="0"/>
  </r>
  <r>
    <n v="59671939"/>
    <s v="N"/>
    <n v="21328677"/>
    <s v="3000014061540004RC"/>
    <s v="CIVIL"/>
    <d v="2023-06-23T00:00:00"/>
    <d v="2023-07-04T19:38:21"/>
    <m/>
    <d v="2023-07-04T00:00:00"/>
    <n v="1176"/>
    <n v="3191"/>
    <s v="59671939"/>
    <s v="59671939"/>
    <m/>
    <m/>
    <m/>
    <m/>
    <m/>
    <m/>
    <s v="SOLRECOUP"/>
    <s v="SOLRECOUP"/>
    <s v="POARECOUP"/>
    <n v="21328677"/>
    <n v="-3229.82"/>
    <m/>
    <s v="Y"/>
    <n v="2"/>
    <d v="2023-07-04T19:38:22"/>
    <s v="N"/>
    <m/>
    <m/>
    <s v="Profit Cost"/>
    <m/>
    <s v="N"/>
    <n v="0"/>
    <n v="-538.3"/>
    <x v="1"/>
    <s v="VALIDATED"/>
    <n v="1"/>
    <s v="01.11.80.308.2013.0000"/>
    <n v="-538.3"/>
    <s v="11"/>
    <s v="2013"/>
    <n v="-4106.08"/>
    <n v="-538.3"/>
    <s v="DEBTOR"/>
    <n v="0"/>
    <n v="0"/>
    <n v="0"/>
    <n v="0"/>
    <n v="0"/>
  </r>
  <r>
    <n v="59671939"/>
    <s v="N"/>
    <n v="21328678"/>
    <s v="3000014061540007RC"/>
    <s v="CIVIL"/>
    <d v="2023-06-23T00:00:00"/>
    <d v="2023-07-04T19:38:21"/>
    <m/>
    <d v="2023-07-04T00:00:00"/>
    <n v="1176"/>
    <n v="3191"/>
    <s v="59671939"/>
    <s v="59671939"/>
    <m/>
    <m/>
    <m/>
    <m/>
    <m/>
    <m/>
    <s v="SOLRECOUP"/>
    <s v="SOLRECOUP"/>
    <s v="POARECOUP"/>
    <n v="21328678"/>
    <n v="-462"/>
    <m/>
    <s v="Y"/>
    <n v="1"/>
    <d v="2023-07-04T19:38:22"/>
    <s v="N"/>
    <m/>
    <m/>
    <s v="Non Expert Disbursement"/>
    <m/>
    <s v="N"/>
    <n v="-462"/>
    <n v="0"/>
    <x v="1"/>
    <s v="VALIDATED"/>
    <n v="1"/>
    <s v="01.11.80.308.2013.0000"/>
    <n v="-462"/>
    <s v="11"/>
    <s v="2013"/>
    <n v="-4106.08"/>
    <n v="-462"/>
    <s v="DEBTOR"/>
    <n v="0"/>
    <n v="0"/>
    <n v="0"/>
    <n v="0"/>
    <n v="0"/>
  </r>
  <r>
    <n v="59671939"/>
    <s v="N"/>
    <n v="21328678"/>
    <s v="3000014061540007RC"/>
    <s v="CIVIL"/>
    <d v="2023-06-23T00:00:00"/>
    <d v="2023-07-04T19:38:21"/>
    <m/>
    <d v="2023-07-04T00:00:00"/>
    <n v="1176"/>
    <n v="3191"/>
    <s v="59671939"/>
    <s v="59671939"/>
    <m/>
    <m/>
    <m/>
    <m/>
    <m/>
    <m/>
    <s v="SOLRECOUP"/>
    <s v="SOLRECOUP"/>
    <s v="POARECOUP"/>
    <n v="21328678"/>
    <n v="-462"/>
    <m/>
    <s v="Y"/>
    <n v="2"/>
    <d v="2023-07-04T19:38:22"/>
    <s v="N"/>
    <m/>
    <m/>
    <s v="Non Expert Disbursement"/>
    <m/>
    <s v="N"/>
    <n v="0"/>
    <n v="0"/>
    <x v="1"/>
    <s v="VALIDATED"/>
    <n v="1"/>
    <s v="01.11.80.000.0000.0000"/>
    <n v="0"/>
    <s v="11"/>
    <s v="0000"/>
    <n v="-4106.08"/>
    <n v="0"/>
    <s v="DEBTOR"/>
    <n v="0"/>
    <n v="0"/>
    <n v="0"/>
    <n v="0"/>
    <n v="0"/>
  </r>
  <r>
    <n v="59671939"/>
    <s v="N"/>
    <n v="21328679"/>
    <s v="3000014061540002RC"/>
    <s v="CIVIL"/>
    <d v="2023-06-23T00:00:00"/>
    <d v="2023-07-04T19:38:21"/>
    <m/>
    <d v="2023-07-04T00:00:00"/>
    <n v="1176"/>
    <n v="3191"/>
    <s v="59671939"/>
    <s v="59671939"/>
    <m/>
    <m/>
    <m/>
    <m/>
    <m/>
    <m/>
    <s v="SOLRECOUP"/>
    <s v="SOLRECOUP"/>
    <s v="POARECOUP"/>
    <n v="21328679"/>
    <n v="-330"/>
    <m/>
    <s v="Y"/>
    <n v="1"/>
    <d v="2023-07-04T19:38:22"/>
    <s v="N"/>
    <m/>
    <m/>
    <s v="Non Expert Disbursement"/>
    <m/>
    <s v="N"/>
    <n v="-275"/>
    <n v="0"/>
    <x v="1"/>
    <s v="VALIDATED"/>
    <n v="1"/>
    <s v="01.11.80.308.2013.0000"/>
    <n v="-275"/>
    <s v="11"/>
    <s v="2013"/>
    <n v="-4106.08"/>
    <n v="-275"/>
    <s v="DEBTOR"/>
    <n v="0"/>
    <n v="0"/>
    <n v="0"/>
    <n v="0"/>
    <n v="0"/>
  </r>
  <r>
    <n v="59671939"/>
    <s v="N"/>
    <n v="21328679"/>
    <s v="3000014061540002RC"/>
    <s v="CIVIL"/>
    <d v="2023-06-23T00:00:00"/>
    <d v="2023-07-04T19:38:21"/>
    <m/>
    <d v="2023-07-04T00:00:00"/>
    <n v="1176"/>
    <n v="3191"/>
    <s v="59671939"/>
    <s v="59671939"/>
    <m/>
    <m/>
    <m/>
    <m/>
    <m/>
    <m/>
    <s v="SOLRECOUP"/>
    <s v="SOLRECOUP"/>
    <s v="POARECOUP"/>
    <n v="21328679"/>
    <n v="-330"/>
    <m/>
    <s v="Y"/>
    <n v="2"/>
    <d v="2023-07-04T19:38:22"/>
    <s v="N"/>
    <m/>
    <m/>
    <s v="Non Expert Disbursement"/>
    <m/>
    <s v="N"/>
    <n v="0"/>
    <n v="-55"/>
    <x v="1"/>
    <s v="VALIDATED"/>
    <n v="1"/>
    <s v="01.11.80.308.2013.0000"/>
    <n v="-55"/>
    <s v="11"/>
    <s v="2013"/>
    <n v="-4106.08"/>
    <n v="-55"/>
    <s v="DEBTOR"/>
    <n v="0"/>
    <n v="0"/>
    <n v="0"/>
    <n v="0"/>
    <n v="0"/>
  </r>
  <r>
    <n v="60504231"/>
    <s v="N"/>
    <n v="21328680"/>
    <s v="3000014777430001RC"/>
    <s v="CIVIL"/>
    <d v="2023-06-21T00:00:00"/>
    <d v="2023-07-04T19:38:21"/>
    <m/>
    <d v="2023-07-04T00:00:00"/>
    <n v="1176"/>
    <n v="3191"/>
    <s v="60504231"/>
    <s v="60504231"/>
    <m/>
    <m/>
    <m/>
    <m/>
    <m/>
    <m/>
    <s v="SOLRECOUP"/>
    <s v="SOLRECOUP"/>
    <s v="POARECOUP"/>
    <n v="21328680"/>
    <n v="-1844.4"/>
    <m/>
    <s v="Y"/>
    <n v="1"/>
    <d v="2023-07-04T19:38:22"/>
    <s v="N"/>
    <m/>
    <m/>
    <s v="Non Expert Disbursement"/>
    <m/>
    <s v="N"/>
    <n v="-1537"/>
    <n v="0"/>
    <x v="1"/>
    <s v="VALIDATED"/>
    <n v="1"/>
    <s v="01.11.80.307.2013.0000"/>
    <n v="-1537"/>
    <s v="11"/>
    <s v="2013"/>
    <n v="-4106.08"/>
    <n v="-1537"/>
    <s v="DEBTOR"/>
    <n v="0"/>
    <n v="0"/>
    <n v="0"/>
    <n v="0"/>
    <n v="0"/>
  </r>
  <r>
    <n v="60504231"/>
    <s v="N"/>
    <n v="21328680"/>
    <s v="3000014777430001RC"/>
    <s v="CIVIL"/>
    <d v="2023-06-21T00:00:00"/>
    <d v="2023-07-04T19:38:21"/>
    <m/>
    <d v="2023-07-04T00:00:00"/>
    <n v="1176"/>
    <n v="3191"/>
    <s v="60504231"/>
    <s v="60504231"/>
    <m/>
    <m/>
    <m/>
    <m/>
    <m/>
    <m/>
    <s v="SOLRECOUP"/>
    <s v="SOLRECOUP"/>
    <s v="POARECOUP"/>
    <n v="21328680"/>
    <n v="-1844.4"/>
    <m/>
    <s v="Y"/>
    <n v="2"/>
    <d v="2023-07-04T19:38:22"/>
    <s v="N"/>
    <m/>
    <m/>
    <s v="Non Expert Disbursement"/>
    <m/>
    <s v="N"/>
    <n v="0"/>
    <n v="-307.4"/>
    <x v="1"/>
    <s v="VALIDATED"/>
    <n v="1"/>
    <s v="01.11.80.307.2013.0000"/>
    <n v="-307.4"/>
    <s v="11"/>
    <s v="2013"/>
    <n v="-4106.08"/>
    <n v="-307.4"/>
    <s v="DEBTOR"/>
    <n v="0"/>
    <n v="0"/>
    <n v="0"/>
    <n v="0"/>
    <n v="0"/>
  </r>
  <r>
    <n v="59671939"/>
    <s v="N"/>
    <n v="21328681"/>
    <s v="3000014061540001RC"/>
    <s v="CIVIL"/>
    <d v="2023-06-23T00:00:00"/>
    <d v="2023-07-04T19:38:21"/>
    <m/>
    <d v="2023-07-04T00:00:00"/>
    <n v="1176"/>
    <n v="3191"/>
    <s v="59671939"/>
    <s v="59671939"/>
    <m/>
    <m/>
    <m/>
    <m/>
    <m/>
    <m/>
    <s v="SOLRECOUP"/>
    <s v="SOLRECOUP"/>
    <s v="POARECOUP"/>
    <n v="21328681"/>
    <n v="-234"/>
    <m/>
    <s v="Y"/>
    <n v="1"/>
    <d v="2023-07-04T19:38:22"/>
    <s v="N"/>
    <m/>
    <m/>
    <s v="Non Expert Disbursement"/>
    <m/>
    <s v="N"/>
    <n v="-195"/>
    <n v="0"/>
    <x v="1"/>
    <s v="VALIDATED"/>
    <n v="1"/>
    <s v="01.11.80.308.2013.0000"/>
    <n v="-195"/>
    <s v="11"/>
    <s v="2013"/>
    <n v="-4106.08"/>
    <n v="-195"/>
    <s v="DEBTOR"/>
    <n v="0"/>
    <n v="0"/>
    <n v="0"/>
    <n v="0"/>
    <n v="0"/>
  </r>
  <r>
    <n v="59671939"/>
    <s v="N"/>
    <n v="21328681"/>
    <s v="3000014061540001RC"/>
    <s v="CIVIL"/>
    <d v="2023-06-23T00:00:00"/>
    <d v="2023-07-04T19:38:21"/>
    <m/>
    <d v="2023-07-04T00:00:00"/>
    <n v="1176"/>
    <n v="3191"/>
    <s v="59671939"/>
    <s v="59671939"/>
    <m/>
    <m/>
    <m/>
    <m/>
    <m/>
    <m/>
    <s v="SOLRECOUP"/>
    <s v="SOLRECOUP"/>
    <s v="POARECOUP"/>
    <n v="21328681"/>
    <n v="-234"/>
    <m/>
    <s v="Y"/>
    <n v="2"/>
    <d v="2023-07-04T19:38:22"/>
    <s v="N"/>
    <m/>
    <m/>
    <s v="Non Expert Disbursement"/>
    <m/>
    <s v="N"/>
    <n v="0"/>
    <n v="-39"/>
    <x v="1"/>
    <s v="VALIDATED"/>
    <n v="1"/>
    <s v="01.11.80.308.2013.0000"/>
    <n v="-39"/>
    <s v="11"/>
    <s v="2013"/>
    <n v="-4106.08"/>
    <n v="-39"/>
    <s v="DEBTOR"/>
    <n v="0"/>
    <n v="0"/>
    <n v="0"/>
    <n v="0"/>
    <n v="0"/>
  </r>
  <r>
    <n v="59671939"/>
    <s v="N"/>
    <n v="21328682"/>
    <s v="3000014061540003RC"/>
    <s v="CIVIL"/>
    <d v="2023-06-23T00:00:00"/>
    <d v="2023-07-04T19:38:21"/>
    <m/>
    <d v="2023-07-04T00:00:00"/>
    <n v="1176"/>
    <n v="3191"/>
    <s v="59671939"/>
    <s v="59671939"/>
    <m/>
    <m/>
    <m/>
    <m/>
    <m/>
    <m/>
    <s v="SOLRECOUP"/>
    <s v="SOLRECOUP"/>
    <s v="POARECOUP"/>
    <n v="21328682"/>
    <n v="-186"/>
    <m/>
    <s v="Y"/>
    <n v="1"/>
    <d v="2023-07-04T19:38:22"/>
    <s v="N"/>
    <m/>
    <m/>
    <s v="Non Expert Disbursement"/>
    <m/>
    <s v="N"/>
    <n v="-155"/>
    <n v="0"/>
    <x v="1"/>
    <s v="VALIDATED"/>
    <n v="1"/>
    <s v="01.11.80.308.2013.0000"/>
    <n v="-155"/>
    <s v="11"/>
    <s v="2013"/>
    <n v="-4106.08"/>
    <n v="-155"/>
    <s v="DEBTOR"/>
    <n v="0"/>
    <n v="0"/>
    <n v="0"/>
    <n v="0"/>
    <n v="0"/>
  </r>
  <r>
    <n v="59671939"/>
    <s v="N"/>
    <n v="21328682"/>
    <s v="3000014061540003RC"/>
    <s v="CIVIL"/>
    <d v="2023-06-23T00:00:00"/>
    <d v="2023-07-04T19:38:21"/>
    <m/>
    <d v="2023-07-04T00:00:00"/>
    <n v="1176"/>
    <n v="3191"/>
    <s v="59671939"/>
    <s v="59671939"/>
    <m/>
    <m/>
    <m/>
    <m/>
    <m/>
    <m/>
    <s v="SOLRECOUP"/>
    <s v="SOLRECOUP"/>
    <s v="POARECOUP"/>
    <n v="21328682"/>
    <n v="-186"/>
    <m/>
    <s v="Y"/>
    <n v="2"/>
    <d v="2023-07-04T19:38:22"/>
    <s v="N"/>
    <m/>
    <m/>
    <s v="Non Expert Disbursement"/>
    <m/>
    <s v="N"/>
    <n v="0"/>
    <n v="-31"/>
    <x v="1"/>
    <s v="VALIDATED"/>
    <n v="1"/>
    <s v="01.11.80.308.2013.0000"/>
    <n v="-31"/>
    <s v="11"/>
    <s v="2013"/>
    <n v="-4106.08"/>
    <n v="-31"/>
    <s v="DEBTOR"/>
    <n v="0"/>
    <n v="0"/>
    <n v="0"/>
    <n v="0"/>
    <n v="0"/>
  </r>
  <r>
    <n v="60504231"/>
    <s v="N"/>
    <n v="21328683"/>
    <s v="3000014777430003RC"/>
    <s v="CIVIL"/>
    <d v="2023-06-21T00:00:00"/>
    <d v="2023-07-04T19:38:21"/>
    <m/>
    <d v="2023-07-04T00:00:00"/>
    <n v="1176"/>
    <n v="3191"/>
    <s v="60504231"/>
    <s v="60504231"/>
    <m/>
    <m/>
    <m/>
    <m/>
    <m/>
    <m/>
    <s v="SOLRECOUP"/>
    <s v="SOLRECOUP"/>
    <s v="POARECOUP"/>
    <n v="21328683"/>
    <n v="-889.15"/>
    <m/>
    <s v="Y"/>
    <n v="1"/>
    <d v="2023-07-04T19:38:22"/>
    <s v="N"/>
    <m/>
    <m/>
    <s v="Non Expert Disbursement"/>
    <m/>
    <s v="N"/>
    <n v="-889.15"/>
    <n v="0"/>
    <x v="1"/>
    <s v="VALIDATED"/>
    <n v="1"/>
    <s v="01.11.80.307.2013.0000"/>
    <n v="-889.15"/>
    <s v="11"/>
    <s v="2013"/>
    <n v="-4106.08"/>
    <n v="-889.15"/>
    <s v="DEBTOR"/>
    <n v="0"/>
    <n v="0"/>
    <n v="0"/>
    <n v="0"/>
    <n v="0"/>
  </r>
  <r>
    <n v="60504231"/>
    <s v="N"/>
    <n v="21328683"/>
    <s v="3000014777430003RC"/>
    <s v="CIVIL"/>
    <d v="2023-06-21T00:00:00"/>
    <d v="2023-07-04T19:38:21"/>
    <m/>
    <d v="2023-07-04T00:00:00"/>
    <n v="1176"/>
    <n v="3191"/>
    <s v="60504231"/>
    <s v="60504231"/>
    <m/>
    <m/>
    <m/>
    <m/>
    <m/>
    <m/>
    <s v="SOLRECOUP"/>
    <s v="SOLRECOUP"/>
    <s v="POARECOUP"/>
    <n v="21328683"/>
    <n v="-889.15"/>
    <m/>
    <s v="Y"/>
    <n v="2"/>
    <d v="2023-07-04T19:38:22"/>
    <s v="N"/>
    <m/>
    <m/>
    <s v="Non Expert Disbursement"/>
    <m/>
    <s v="N"/>
    <n v="0"/>
    <n v="0"/>
    <x v="1"/>
    <s v="VALIDATED"/>
    <n v="1"/>
    <s v="01.11.80.000.0000.0000"/>
    <n v="0"/>
    <s v="11"/>
    <s v="0000"/>
    <n v="-4106.08"/>
    <n v="0"/>
    <s v="DEBTOR"/>
    <n v="0"/>
    <n v="0"/>
    <n v="0"/>
    <n v="0"/>
    <n v="0"/>
  </r>
  <r>
    <n v="60504231"/>
    <s v="N"/>
    <n v="21328684"/>
    <s v="3000014777430011RC"/>
    <s v="CIVIL"/>
    <d v="2023-06-21T00:00:00"/>
    <d v="2023-07-04T19:38:21"/>
    <m/>
    <d v="2023-07-04T00:00:00"/>
    <n v="1176"/>
    <n v="3191"/>
    <s v="60504231"/>
    <s v="60504231"/>
    <m/>
    <m/>
    <m/>
    <m/>
    <m/>
    <m/>
    <s v="SOLRECOUP"/>
    <s v="SOLRECOUP"/>
    <s v="POARECOUP"/>
    <n v="21328684"/>
    <n v="-53"/>
    <m/>
    <s v="Y"/>
    <n v="1"/>
    <d v="2023-07-04T19:38:22"/>
    <s v="N"/>
    <m/>
    <m/>
    <s v="Non Expert Disbursement"/>
    <m/>
    <s v="N"/>
    <n v="-53"/>
    <n v="0"/>
    <x v="1"/>
    <s v="VALIDATED"/>
    <n v="1"/>
    <s v="01.11.80.307.2013.0000"/>
    <n v="-53"/>
    <s v="11"/>
    <s v="2013"/>
    <n v="-4106.08"/>
    <n v="-53"/>
    <s v="DEBTOR"/>
    <n v="0"/>
    <n v="0"/>
    <n v="0"/>
    <n v="0"/>
    <n v="0"/>
  </r>
  <r>
    <n v="60504231"/>
    <s v="N"/>
    <n v="21328684"/>
    <s v="3000014777430011RC"/>
    <s v="CIVIL"/>
    <d v="2023-06-21T00:00:00"/>
    <d v="2023-07-04T19:38:21"/>
    <m/>
    <d v="2023-07-04T00:00:00"/>
    <n v="1176"/>
    <n v="3191"/>
    <s v="60504231"/>
    <s v="60504231"/>
    <m/>
    <m/>
    <m/>
    <m/>
    <m/>
    <m/>
    <s v="SOLRECOUP"/>
    <s v="SOLRECOUP"/>
    <s v="POARECOUP"/>
    <n v="21328684"/>
    <n v="-53"/>
    <m/>
    <s v="Y"/>
    <n v="2"/>
    <d v="2023-07-04T19:38:22"/>
    <s v="N"/>
    <m/>
    <m/>
    <s v="Non Expert Disbursement"/>
    <m/>
    <s v="N"/>
    <n v="0"/>
    <n v="0"/>
    <x v="1"/>
    <s v="VALIDATED"/>
    <n v="1"/>
    <s v="01.11.80.000.0000.0000"/>
    <n v="0"/>
    <s v="11"/>
    <s v="0000"/>
    <n v="-4106.08"/>
    <n v="0"/>
    <s v="DEBTOR"/>
    <n v="0"/>
    <n v="0"/>
    <n v="0"/>
    <n v="0"/>
    <n v="0"/>
  </r>
  <r>
    <n v="59671939"/>
    <s v="N"/>
    <n v="21328685"/>
    <s v="3000014061540006RC"/>
    <s v="CIVIL"/>
    <d v="2023-06-23T00:00:00"/>
    <d v="2023-07-04T19:38:21"/>
    <m/>
    <d v="2023-07-04T00:00:00"/>
    <n v="1176"/>
    <n v="3191"/>
    <s v="59671939"/>
    <s v="59671939"/>
    <m/>
    <m/>
    <m/>
    <m/>
    <m/>
    <m/>
    <s v="SOLRECOUP"/>
    <s v="SOLRECOUP"/>
    <s v="POARECOUP"/>
    <n v="21328685"/>
    <n v="-645"/>
    <m/>
    <s v="Y"/>
    <n v="1"/>
    <d v="2023-07-04T19:38:22"/>
    <s v="N"/>
    <m/>
    <m/>
    <s v="Non Expert Disbursement"/>
    <m/>
    <s v="N"/>
    <n v="-537.5"/>
    <n v="0"/>
    <x v="1"/>
    <s v="VALIDATED"/>
    <n v="1"/>
    <s v="01.11.80.308.2013.0000"/>
    <n v="-537.5"/>
    <s v="11"/>
    <s v="2013"/>
    <n v="-4106.08"/>
    <n v="-537.5"/>
    <s v="DEBTOR"/>
    <n v="0"/>
    <n v="0"/>
    <n v="0"/>
    <n v="0"/>
    <n v="0"/>
  </r>
  <r>
    <n v="59671939"/>
    <s v="N"/>
    <n v="21328685"/>
    <s v="3000014061540006RC"/>
    <s v="CIVIL"/>
    <d v="2023-06-23T00:00:00"/>
    <d v="2023-07-04T19:38:21"/>
    <m/>
    <d v="2023-07-04T00:00:00"/>
    <n v="1176"/>
    <n v="3191"/>
    <s v="59671939"/>
    <s v="59671939"/>
    <m/>
    <m/>
    <m/>
    <m/>
    <m/>
    <m/>
    <s v="SOLRECOUP"/>
    <s v="SOLRECOUP"/>
    <s v="POARECOUP"/>
    <n v="21328685"/>
    <n v="-645"/>
    <m/>
    <s v="Y"/>
    <n v="2"/>
    <d v="2023-07-04T19:38:22"/>
    <s v="N"/>
    <m/>
    <m/>
    <s v="Non Expert Disbursement"/>
    <m/>
    <s v="N"/>
    <n v="0"/>
    <n v="-107.5"/>
    <x v="1"/>
    <s v="VALIDATED"/>
    <n v="1"/>
    <s v="01.11.80.308.2013.0000"/>
    <n v="-107.5"/>
    <s v="11"/>
    <s v="2013"/>
    <n v="-4106.08"/>
    <n v="-107.5"/>
    <s v="DEBTOR"/>
    <n v="0"/>
    <n v="0"/>
    <n v="0"/>
    <n v="0"/>
    <n v="0"/>
  </r>
  <r>
    <n v="59671939"/>
    <s v="N"/>
    <n v="21328686"/>
    <s v="3000014061540005RC"/>
    <s v="CIVIL"/>
    <d v="2023-06-23T00:00:00"/>
    <d v="2023-07-04T19:38:21"/>
    <m/>
    <d v="2023-07-04T00:00:00"/>
    <n v="1176"/>
    <n v="3191"/>
    <s v="59671939"/>
    <s v="59671939"/>
    <m/>
    <m/>
    <m/>
    <m/>
    <m/>
    <m/>
    <s v="SOLRECOUP"/>
    <s v="SOLRECOUP"/>
    <s v="POARECOUP"/>
    <n v="21328686"/>
    <n v="-645"/>
    <m/>
    <s v="Y"/>
    <n v="1"/>
    <d v="2023-07-04T19:38:22"/>
    <s v="N"/>
    <m/>
    <m/>
    <s v="Non Expert Disbursement"/>
    <m/>
    <s v="N"/>
    <n v="-537.5"/>
    <n v="0"/>
    <x v="1"/>
    <s v="VALIDATED"/>
    <n v="1"/>
    <s v="01.11.80.308.2013.0000"/>
    <n v="-537.5"/>
    <s v="11"/>
    <s v="2013"/>
    <n v="-4106.08"/>
    <n v="-537.5"/>
    <s v="DEBTOR"/>
    <n v="0"/>
    <n v="0"/>
    <n v="0"/>
    <n v="0"/>
    <n v="0"/>
  </r>
  <r>
    <n v="59671939"/>
    <s v="N"/>
    <n v="21328686"/>
    <s v="3000014061540005RC"/>
    <s v="CIVIL"/>
    <d v="2023-06-23T00:00:00"/>
    <d v="2023-07-04T19:38:21"/>
    <m/>
    <d v="2023-07-04T00:00:00"/>
    <n v="1176"/>
    <n v="3191"/>
    <s v="59671939"/>
    <s v="59671939"/>
    <m/>
    <m/>
    <m/>
    <m/>
    <m/>
    <m/>
    <s v="SOLRECOUP"/>
    <s v="SOLRECOUP"/>
    <s v="POARECOUP"/>
    <n v="21328686"/>
    <n v="-645"/>
    <m/>
    <s v="Y"/>
    <n v="2"/>
    <d v="2023-07-04T19:38:22"/>
    <s v="N"/>
    <m/>
    <m/>
    <s v="Non Expert Disbursement"/>
    <m/>
    <s v="N"/>
    <n v="0"/>
    <n v="-107.5"/>
    <x v="1"/>
    <s v="VALIDATED"/>
    <n v="1"/>
    <s v="01.11.80.308.2013.0000"/>
    <n v="-107.5"/>
    <s v="11"/>
    <s v="2013"/>
    <n v="-4106.08"/>
    <n v="-107.5"/>
    <s v="DEBTOR"/>
    <n v="0"/>
    <n v="0"/>
    <n v="0"/>
    <n v="0"/>
    <n v="0"/>
  </r>
  <r>
    <n v="60504231"/>
    <s v="N"/>
    <n v="21328687"/>
    <s v="3000014777430005RC"/>
    <s v="CIVIL"/>
    <d v="2023-06-21T00:00:00"/>
    <d v="2023-07-04T19:38:21"/>
    <m/>
    <d v="2023-07-04T00:00:00"/>
    <n v="1176"/>
    <n v="3191"/>
    <s v="60504231"/>
    <s v="60504231"/>
    <m/>
    <m/>
    <m/>
    <m/>
    <m/>
    <m/>
    <s v="SOLRECOUP"/>
    <s v="SOLRECOUP"/>
    <s v="POARECOUP"/>
    <n v="21328687"/>
    <n v="-1752.02"/>
    <m/>
    <s v="Y"/>
    <n v="1"/>
    <d v="2023-07-04T19:38:22"/>
    <s v="N"/>
    <m/>
    <m/>
    <s v="Profit Cost"/>
    <m/>
    <s v="N"/>
    <n v="-1460.02"/>
    <n v="0"/>
    <x v="1"/>
    <s v="VALIDATED"/>
    <n v="1"/>
    <s v="01.11.80.307.2013.0000"/>
    <n v="-1460.02"/>
    <s v="11"/>
    <s v="2013"/>
    <n v="-4106.08"/>
    <n v="-1460.02"/>
    <s v="DEBTOR"/>
    <n v="0"/>
    <n v="0"/>
    <n v="0"/>
    <n v="0"/>
    <n v="0"/>
  </r>
  <r>
    <n v="60504231"/>
    <s v="N"/>
    <n v="21328687"/>
    <s v="3000014777430005RC"/>
    <s v="CIVIL"/>
    <d v="2023-06-21T00:00:00"/>
    <d v="2023-07-04T19:38:21"/>
    <m/>
    <d v="2023-07-04T00:00:00"/>
    <n v="1176"/>
    <n v="3191"/>
    <s v="60504231"/>
    <s v="60504231"/>
    <m/>
    <m/>
    <m/>
    <m/>
    <m/>
    <m/>
    <s v="SOLRECOUP"/>
    <s v="SOLRECOUP"/>
    <s v="POARECOUP"/>
    <n v="21328687"/>
    <n v="-1752.02"/>
    <m/>
    <s v="Y"/>
    <n v="2"/>
    <d v="2023-07-04T19:38:22"/>
    <s v="N"/>
    <m/>
    <m/>
    <s v="Profit Cost"/>
    <m/>
    <s v="N"/>
    <n v="0"/>
    <n v="-292"/>
    <x v="1"/>
    <s v="VALIDATED"/>
    <n v="1"/>
    <s v="01.11.80.307.2013.0000"/>
    <n v="-292"/>
    <s v="11"/>
    <s v="2013"/>
    <n v="-4106.08"/>
    <n v="-292"/>
    <s v="DEBTOR"/>
    <n v="0"/>
    <n v="0"/>
    <n v="0"/>
    <n v="0"/>
    <n v="0"/>
  </r>
  <r>
    <n v="60504231"/>
    <s v="N"/>
    <n v="21328688"/>
    <s v="3000014777430006RC"/>
    <s v="CIVIL"/>
    <d v="2023-06-21T00:00:00"/>
    <d v="2023-07-04T19:38:21"/>
    <m/>
    <d v="2023-07-04T00:00:00"/>
    <n v="1176"/>
    <n v="3191"/>
    <s v="60504231"/>
    <s v="60504231"/>
    <m/>
    <m/>
    <m/>
    <m/>
    <m/>
    <m/>
    <s v="SOLRECOUP"/>
    <s v="SOLRECOUP"/>
    <s v="POARECOUP"/>
    <n v="21328688"/>
    <n v="-167"/>
    <m/>
    <s v="Y"/>
    <n v="1"/>
    <d v="2023-07-04T19:38:22"/>
    <s v="N"/>
    <m/>
    <m/>
    <s v="Non Expert Disbursement"/>
    <m/>
    <s v="N"/>
    <n v="-167"/>
    <n v="0"/>
    <x v="1"/>
    <s v="VALIDATED"/>
    <n v="1"/>
    <s v="01.11.80.307.2013.0000"/>
    <n v="-167"/>
    <s v="11"/>
    <s v="2013"/>
    <n v="-4106.08"/>
    <n v="-167"/>
    <s v="DEBTOR"/>
    <n v="0"/>
    <n v="0"/>
    <n v="0"/>
    <n v="0"/>
    <n v="0"/>
  </r>
  <r>
    <n v="60504231"/>
    <s v="N"/>
    <n v="21328688"/>
    <s v="3000014777430006RC"/>
    <s v="CIVIL"/>
    <d v="2023-06-21T00:00:00"/>
    <d v="2023-07-04T19:38:21"/>
    <m/>
    <d v="2023-07-04T00:00:00"/>
    <n v="1176"/>
    <n v="3191"/>
    <s v="60504231"/>
    <s v="60504231"/>
    <m/>
    <m/>
    <m/>
    <m/>
    <m/>
    <m/>
    <s v="SOLRECOUP"/>
    <s v="SOLRECOUP"/>
    <s v="POARECOUP"/>
    <n v="21328688"/>
    <n v="-167"/>
    <m/>
    <s v="Y"/>
    <n v="2"/>
    <d v="2023-07-04T19:38:22"/>
    <s v="N"/>
    <m/>
    <m/>
    <s v="Non Expert Disbursement"/>
    <m/>
    <s v="N"/>
    <n v="0"/>
    <n v="0"/>
    <x v="1"/>
    <s v="VALIDATED"/>
    <n v="1"/>
    <s v="01.11.80.000.0000.0000"/>
    <n v="0"/>
    <s v="11"/>
    <s v="0000"/>
    <n v="-4106.08"/>
    <n v="0"/>
    <s v="DEBTOR"/>
    <n v="0"/>
    <n v="0"/>
    <n v="0"/>
    <n v="0"/>
    <n v="0"/>
  </r>
  <r>
    <n v="60504231"/>
    <s v="N"/>
    <n v="21328689"/>
    <s v="3000014777430008RC"/>
    <s v="CIVIL"/>
    <d v="2023-06-21T00:00:00"/>
    <d v="2023-07-04T19:38:21"/>
    <m/>
    <d v="2023-07-04T00:00:00"/>
    <n v="1176"/>
    <n v="3191"/>
    <s v="60504231"/>
    <s v="60504231"/>
    <m/>
    <m/>
    <m/>
    <m/>
    <m/>
    <m/>
    <s v="SOLRECOUP"/>
    <s v="SOLRECOUP"/>
    <s v="POARECOUP"/>
    <n v="21328689"/>
    <n v="-1223.34"/>
    <m/>
    <s v="Y"/>
    <n v="1"/>
    <d v="2023-07-04T19:38:22"/>
    <s v="N"/>
    <m/>
    <m/>
    <s v="Profit Cost"/>
    <m/>
    <s v="N"/>
    <n v="-1019.45"/>
    <n v="0"/>
    <x v="1"/>
    <s v="VALIDATED"/>
    <n v="1"/>
    <s v="01.11.80.307.2013.0000"/>
    <n v="-1019.45"/>
    <s v="11"/>
    <s v="2013"/>
    <n v="-4106.08"/>
    <n v="-1019.45"/>
    <s v="DEBTOR"/>
    <n v="0"/>
    <n v="0"/>
    <n v="0"/>
    <n v="0"/>
    <n v="0"/>
  </r>
  <r>
    <n v="60504231"/>
    <s v="N"/>
    <n v="21328689"/>
    <s v="3000014777430008RC"/>
    <s v="CIVIL"/>
    <d v="2023-06-21T00:00:00"/>
    <d v="2023-07-04T19:38:21"/>
    <m/>
    <d v="2023-07-04T00:00:00"/>
    <n v="1176"/>
    <n v="3191"/>
    <s v="60504231"/>
    <s v="60504231"/>
    <m/>
    <m/>
    <m/>
    <m/>
    <m/>
    <m/>
    <s v="SOLRECOUP"/>
    <s v="SOLRECOUP"/>
    <s v="POARECOUP"/>
    <n v="21328689"/>
    <n v="-1223.34"/>
    <m/>
    <s v="Y"/>
    <n v="2"/>
    <d v="2023-07-04T19:38:22"/>
    <s v="N"/>
    <m/>
    <m/>
    <s v="Profit Cost"/>
    <m/>
    <s v="N"/>
    <n v="0"/>
    <n v="-203.89"/>
    <x v="1"/>
    <s v="VALIDATED"/>
    <n v="1"/>
    <s v="01.11.80.307.2013.0000"/>
    <n v="-203.89"/>
    <s v="11"/>
    <s v="2013"/>
    <n v="-4106.08"/>
    <n v="-203.89"/>
    <s v="DEBTOR"/>
    <n v="0"/>
    <n v="0"/>
    <n v="0"/>
    <n v="0"/>
    <n v="0"/>
  </r>
  <r>
    <n v="60504231"/>
    <s v="N"/>
    <n v="21328690"/>
    <s v="3000014777430002RC"/>
    <s v="CIVIL"/>
    <d v="2023-06-21T00:00:00"/>
    <d v="2023-07-04T19:38:21"/>
    <m/>
    <d v="2023-07-04T00:00:00"/>
    <n v="1176"/>
    <n v="3191"/>
    <s v="60504231"/>
    <s v="60504231"/>
    <m/>
    <m/>
    <m/>
    <m/>
    <m/>
    <m/>
    <s v="SOLRECOUP"/>
    <s v="SOLRECOUP"/>
    <s v="POARECOUP"/>
    <n v="21328690"/>
    <n v="-977.7"/>
    <m/>
    <s v="Y"/>
    <n v="1"/>
    <d v="2023-07-04T19:38:22"/>
    <s v="N"/>
    <m/>
    <m/>
    <s v="Profit Cost"/>
    <m/>
    <s v="N"/>
    <n v="-814.75"/>
    <n v="0"/>
    <x v="1"/>
    <s v="VALIDATED"/>
    <n v="1"/>
    <s v="01.11.80.307.2013.0000"/>
    <n v="-814.75"/>
    <s v="11"/>
    <s v="2013"/>
    <n v="-4106.08"/>
    <n v="-814.75"/>
    <s v="DEBTOR"/>
    <n v="0"/>
    <n v="0"/>
    <n v="0"/>
    <n v="0"/>
    <n v="0"/>
  </r>
  <r>
    <n v="60504231"/>
    <s v="N"/>
    <n v="21328690"/>
    <s v="3000014777430002RC"/>
    <s v="CIVIL"/>
    <d v="2023-06-21T00:00:00"/>
    <d v="2023-07-04T19:38:21"/>
    <m/>
    <d v="2023-07-04T00:00:00"/>
    <n v="1176"/>
    <n v="3191"/>
    <s v="60504231"/>
    <s v="60504231"/>
    <m/>
    <m/>
    <m/>
    <m/>
    <m/>
    <m/>
    <s v="SOLRECOUP"/>
    <s v="SOLRECOUP"/>
    <s v="POARECOUP"/>
    <n v="21328690"/>
    <n v="-977.7"/>
    <m/>
    <s v="Y"/>
    <n v="2"/>
    <d v="2023-07-04T19:38:22"/>
    <s v="N"/>
    <m/>
    <m/>
    <s v="Profit Cost"/>
    <m/>
    <s v="N"/>
    <n v="0"/>
    <n v="-162.95"/>
    <x v="1"/>
    <s v="VALIDATED"/>
    <n v="1"/>
    <s v="01.11.80.307.2013.0000"/>
    <n v="-162.95"/>
    <s v="11"/>
    <s v="2013"/>
    <n v="-4106.08"/>
    <n v="-162.95"/>
    <s v="DEBTOR"/>
    <n v="0"/>
    <n v="0"/>
    <n v="0"/>
    <n v="0"/>
    <n v="0"/>
  </r>
  <r>
    <n v="60504231"/>
    <s v="N"/>
    <n v="21328691"/>
    <s v="3000014777430004RC"/>
    <s v="CIVIL"/>
    <d v="2023-06-21T00:00:00"/>
    <d v="2023-07-04T19:38:21"/>
    <m/>
    <d v="2023-07-04T00:00:00"/>
    <n v="1176"/>
    <n v="3191"/>
    <s v="60504231"/>
    <s v="60504231"/>
    <m/>
    <m/>
    <m/>
    <m/>
    <m/>
    <m/>
    <s v="SOLRECOUP"/>
    <s v="SOLRECOUP"/>
    <s v="POARECOUP"/>
    <n v="21328691"/>
    <n v="-518.4"/>
    <m/>
    <s v="Y"/>
    <n v="1"/>
    <d v="2023-07-04T19:38:22"/>
    <s v="N"/>
    <m/>
    <m/>
    <s v="Non Expert Disbursement"/>
    <m/>
    <s v="N"/>
    <n v="-432"/>
    <n v="0"/>
    <x v="1"/>
    <s v="VALIDATED"/>
    <n v="1"/>
    <s v="01.11.80.307.2013.0000"/>
    <n v="-432"/>
    <s v="11"/>
    <s v="2013"/>
    <n v="-4106.08"/>
    <n v="-432"/>
    <s v="DEBTOR"/>
    <n v="0"/>
    <n v="0"/>
    <n v="0"/>
    <n v="0"/>
    <n v="0"/>
  </r>
  <r>
    <n v="60504231"/>
    <s v="N"/>
    <n v="21328691"/>
    <s v="3000014777430004RC"/>
    <s v="CIVIL"/>
    <d v="2023-06-21T00:00:00"/>
    <d v="2023-07-04T19:38:21"/>
    <m/>
    <d v="2023-07-04T00:00:00"/>
    <n v="1176"/>
    <n v="3191"/>
    <s v="60504231"/>
    <s v="60504231"/>
    <m/>
    <m/>
    <m/>
    <m/>
    <m/>
    <m/>
    <s v="SOLRECOUP"/>
    <s v="SOLRECOUP"/>
    <s v="POARECOUP"/>
    <n v="21328691"/>
    <n v="-518.4"/>
    <m/>
    <s v="Y"/>
    <n v="2"/>
    <d v="2023-07-04T19:38:22"/>
    <s v="N"/>
    <m/>
    <m/>
    <s v="Non Expert Disbursement"/>
    <m/>
    <s v="N"/>
    <n v="0"/>
    <n v="-86.40000000000001"/>
    <x v="1"/>
    <s v="VALIDATED"/>
    <n v="1"/>
    <s v="01.11.80.307.2013.0000"/>
    <n v="-86.40000000000001"/>
    <s v="11"/>
    <s v="2013"/>
    <n v="-4106.08"/>
    <n v="-86.40000000000001"/>
    <s v="DEBTOR"/>
    <n v="0"/>
    <n v="0"/>
    <n v="0"/>
    <n v="0"/>
    <n v="0"/>
  </r>
  <r>
    <n v="59671939"/>
    <s v="N"/>
    <n v="21328692"/>
    <s v="3000014061540009RC"/>
    <s v="CIVIL"/>
    <d v="2023-06-23T00:00:00"/>
    <d v="2023-07-04T19:38:21"/>
    <m/>
    <d v="2023-07-04T00:00:00"/>
    <n v="1176"/>
    <n v="3191"/>
    <s v="59671939"/>
    <s v="59671939"/>
    <m/>
    <m/>
    <m/>
    <m/>
    <m/>
    <m/>
    <s v="SOLRECOUP"/>
    <s v="SOLRECOUP"/>
    <s v="POARECOUP"/>
    <n v="21328692"/>
    <n v="-313.64"/>
    <m/>
    <s v="Y"/>
    <n v="1"/>
    <d v="2023-07-04T19:38:22"/>
    <s v="N"/>
    <m/>
    <m/>
    <s v="Non Expert Disbursement"/>
    <m/>
    <s v="N"/>
    <n v="-261.37"/>
    <n v="0"/>
    <x v="1"/>
    <s v="VALIDATED"/>
    <n v="1"/>
    <s v="01.11.80.308.2013.0000"/>
    <n v="-261.37"/>
    <s v="11"/>
    <s v="2013"/>
    <n v="-4106.08"/>
    <n v="-261.37"/>
    <s v="DEBTOR"/>
    <n v="0"/>
    <n v="0"/>
    <n v="0"/>
    <n v="0"/>
    <n v="0"/>
  </r>
  <r>
    <n v="59671939"/>
    <s v="N"/>
    <n v="21328692"/>
    <s v="3000014061540009RC"/>
    <s v="CIVIL"/>
    <d v="2023-06-23T00:00:00"/>
    <d v="2023-07-04T19:38:21"/>
    <m/>
    <d v="2023-07-04T00:00:00"/>
    <n v="1176"/>
    <n v="3191"/>
    <s v="59671939"/>
    <s v="59671939"/>
    <m/>
    <m/>
    <m/>
    <m/>
    <m/>
    <m/>
    <s v="SOLRECOUP"/>
    <s v="SOLRECOUP"/>
    <s v="POARECOUP"/>
    <n v="21328692"/>
    <n v="-313.64"/>
    <m/>
    <s v="Y"/>
    <n v="2"/>
    <d v="2023-07-04T19:38:22"/>
    <s v="N"/>
    <m/>
    <m/>
    <s v="Non Expert Disbursement"/>
    <m/>
    <s v="N"/>
    <n v="0"/>
    <n v="-52.27"/>
    <x v="1"/>
    <s v="VALIDATED"/>
    <n v="1"/>
    <s v="01.11.80.308.2013.0000"/>
    <n v="-52.27"/>
    <s v="11"/>
    <s v="2013"/>
    <n v="-4106.08"/>
    <n v="-52.27"/>
    <s v="DEBTOR"/>
    <n v="0"/>
    <n v="0"/>
    <n v="0"/>
    <n v="0"/>
    <n v="0"/>
  </r>
  <r>
    <n v="60504231"/>
    <s v="N"/>
    <n v="21328693"/>
    <s v="3000014777430010RC"/>
    <s v="CIVIL"/>
    <d v="2023-06-21T00:00:00"/>
    <d v="2023-07-04T19:38:21"/>
    <m/>
    <d v="2023-07-04T00:00:00"/>
    <n v="1176"/>
    <n v="3191"/>
    <s v="60504231"/>
    <s v="60504231"/>
    <m/>
    <m/>
    <m/>
    <m/>
    <m/>
    <m/>
    <s v="SOLRECOUP"/>
    <s v="SOLRECOUP"/>
    <s v="POARECOUP"/>
    <n v="21328693"/>
    <n v="-916.1799999999999"/>
    <m/>
    <s v="Y"/>
    <n v="1"/>
    <d v="2023-07-04T19:38:22"/>
    <s v="N"/>
    <m/>
    <m/>
    <s v="Profit Cost"/>
    <m/>
    <s v="N"/>
    <n v="-763.48"/>
    <n v="0"/>
    <x v="1"/>
    <s v="VALIDATED"/>
    <n v="1"/>
    <s v="01.11.80.307.2013.0000"/>
    <n v="-763.48"/>
    <s v="11"/>
    <s v="2013"/>
    <n v="-4106.08"/>
    <n v="-763.48"/>
    <s v="DEBTOR"/>
    <n v="0"/>
    <n v="0"/>
    <n v="0"/>
    <n v="0"/>
    <n v="0"/>
  </r>
  <r>
    <n v="60504231"/>
    <s v="N"/>
    <n v="21328693"/>
    <s v="3000014777430010RC"/>
    <s v="CIVIL"/>
    <d v="2023-06-21T00:00:00"/>
    <d v="2023-07-04T19:38:21"/>
    <m/>
    <d v="2023-07-04T00:00:00"/>
    <n v="1176"/>
    <n v="3191"/>
    <s v="60504231"/>
    <s v="60504231"/>
    <m/>
    <m/>
    <m/>
    <m/>
    <m/>
    <m/>
    <s v="SOLRECOUP"/>
    <s v="SOLRECOUP"/>
    <s v="POARECOUP"/>
    <n v="21328693"/>
    <n v="-916.1799999999999"/>
    <m/>
    <s v="Y"/>
    <n v="2"/>
    <d v="2023-07-04T19:38:22"/>
    <s v="N"/>
    <m/>
    <m/>
    <s v="Profit Cost"/>
    <m/>
    <s v="N"/>
    <n v="0"/>
    <n v="-152.7"/>
    <x v="1"/>
    <s v="VALIDATED"/>
    <n v="1"/>
    <s v="01.11.80.307.2013.0000"/>
    <n v="-152.7"/>
    <s v="11"/>
    <s v="2013"/>
    <n v="-4106.08"/>
    <n v="-152.7"/>
    <s v="DEBTOR"/>
    <n v="0"/>
    <n v="0"/>
    <n v="0"/>
    <n v="0"/>
    <n v="0"/>
  </r>
  <r>
    <n v="60504231"/>
    <s v="N"/>
    <n v="21328694"/>
    <s v="3000014777430007RC"/>
    <s v="CIVIL"/>
    <d v="2023-06-21T00:00:00"/>
    <d v="2023-07-04T19:38:21"/>
    <m/>
    <d v="2023-07-04T00:00:00"/>
    <n v="1176"/>
    <n v="3191"/>
    <s v="60504231"/>
    <s v="60504231"/>
    <m/>
    <m/>
    <m/>
    <m/>
    <m/>
    <m/>
    <s v="SOLRECOUP"/>
    <s v="SOLRECOUP"/>
    <s v="POARECOUP"/>
    <n v="21328694"/>
    <n v="-167"/>
    <m/>
    <s v="Y"/>
    <n v="1"/>
    <d v="2023-07-04T19:38:22"/>
    <s v="N"/>
    <m/>
    <m/>
    <s v="Non Expert Disbursement"/>
    <m/>
    <s v="N"/>
    <n v="-167"/>
    <n v="0"/>
    <x v="1"/>
    <s v="VALIDATED"/>
    <n v="1"/>
    <s v="01.11.80.307.2013.0000"/>
    <n v="-167"/>
    <s v="11"/>
    <s v="2013"/>
    <n v="-4106.08"/>
    <n v="-167"/>
    <s v="DEBTOR"/>
    <n v="0"/>
    <n v="0"/>
    <n v="0"/>
    <n v="0"/>
    <n v="0"/>
  </r>
  <r>
    <n v="60504231"/>
    <s v="N"/>
    <n v="21328694"/>
    <s v="3000014777430007RC"/>
    <s v="CIVIL"/>
    <d v="2023-06-21T00:00:00"/>
    <d v="2023-07-04T19:38:21"/>
    <m/>
    <d v="2023-07-04T00:00:00"/>
    <n v="1176"/>
    <n v="3191"/>
    <s v="60504231"/>
    <s v="60504231"/>
    <m/>
    <m/>
    <m/>
    <m/>
    <m/>
    <m/>
    <s v="SOLRECOUP"/>
    <s v="SOLRECOUP"/>
    <s v="POARECOUP"/>
    <n v="21328694"/>
    <n v="-167"/>
    <m/>
    <s v="Y"/>
    <n v="2"/>
    <d v="2023-07-04T19:38:22"/>
    <s v="N"/>
    <m/>
    <m/>
    <s v="Non Expert Disbursement"/>
    <m/>
    <s v="N"/>
    <n v="0"/>
    <n v="0"/>
    <x v="1"/>
    <s v="VALIDATED"/>
    <n v="1"/>
    <s v="01.11.80.000.0000.0000"/>
    <n v="0"/>
    <s v="11"/>
    <s v="0000"/>
    <n v="-4106.08"/>
    <n v="0"/>
    <s v="DEBTOR"/>
    <n v="0"/>
    <n v="0"/>
    <n v="0"/>
    <n v="0"/>
    <n v="0"/>
  </r>
  <r>
    <n v="62029768"/>
    <s v="N"/>
    <n v="21328695"/>
    <s v="3000016047840001RC"/>
    <s v="CIVIL"/>
    <d v="2023-06-27T00:00:00"/>
    <d v="2023-07-04T19:38:21"/>
    <m/>
    <d v="2023-07-04T00:00:00"/>
    <n v="1176"/>
    <n v="3191"/>
    <s v="62029768"/>
    <s v="62029768"/>
    <m/>
    <m/>
    <m/>
    <m/>
    <m/>
    <m/>
    <s v="SOLRECOUP"/>
    <s v="SOLRECOUP"/>
    <s v="POARECOUP"/>
    <n v="21328695"/>
    <n v="-443.66"/>
    <m/>
    <s v="Y"/>
    <n v="1"/>
    <d v="2023-07-04T19:38:22"/>
    <s v="N"/>
    <m/>
    <m/>
    <s v="Profit Cost"/>
    <m/>
    <s v="N"/>
    <n v="-369.72"/>
    <n v="0"/>
    <x v="1"/>
    <s v="VALIDATED"/>
    <n v="1"/>
    <s v="01.11.80.305.2013.0000"/>
    <n v="-369.72"/>
    <s v="11"/>
    <s v="2013"/>
    <n v="-4106.08"/>
    <n v="-369.72"/>
    <s v="DEBTOR"/>
    <n v="0"/>
    <n v="0"/>
    <n v="0"/>
    <n v="0"/>
    <n v="0"/>
  </r>
  <r>
    <n v="62029768"/>
    <s v="N"/>
    <n v="21328695"/>
    <s v="3000016047840001RC"/>
    <s v="CIVIL"/>
    <d v="2023-06-27T00:00:00"/>
    <d v="2023-07-04T19:38:21"/>
    <m/>
    <d v="2023-07-04T00:00:00"/>
    <n v="1176"/>
    <n v="3191"/>
    <s v="62029768"/>
    <s v="62029768"/>
    <m/>
    <m/>
    <m/>
    <m/>
    <m/>
    <m/>
    <s v="SOLRECOUP"/>
    <s v="SOLRECOUP"/>
    <s v="POARECOUP"/>
    <n v="21328695"/>
    <n v="-443.66"/>
    <m/>
    <s v="Y"/>
    <n v="2"/>
    <d v="2023-07-04T19:38:22"/>
    <s v="N"/>
    <m/>
    <m/>
    <s v="Profit Cost"/>
    <m/>
    <s v="N"/>
    <n v="0"/>
    <n v="-73.94"/>
    <x v="1"/>
    <s v="VALIDATED"/>
    <n v="1"/>
    <s v="01.11.80.305.2013.0000"/>
    <n v="-73.94"/>
    <s v="11"/>
    <s v="2013"/>
    <n v="-4106.08"/>
    <n v="-73.94"/>
    <s v="DEBTOR"/>
    <n v="0"/>
    <n v="0"/>
    <n v="0"/>
    <n v="0"/>
    <n v="0"/>
  </r>
  <r>
    <n v="60504231"/>
    <s v="N"/>
    <n v="21328696"/>
    <s v="3000014777430009RC"/>
    <s v="CIVIL"/>
    <d v="2023-06-21T00:00:00"/>
    <d v="2023-07-04T19:38:21"/>
    <m/>
    <d v="2023-07-04T00:00:00"/>
    <n v="1176"/>
    <n v="3191"/>
    <s v="60504231"/>
    <s v="60504231"/>
    <m/>
    <m/>
    <m/>
    <m/>
    <m/>
    <m/>
    <s v="SOLRECOUP"/>
    <s v="SOLRECOUP"/>
    <s v="POARECOUP"/>
    <n v="21328696"/>
    <n v="-53"/>
    <m/>
    <s v="Y"/>
    <n v="1"/>
    <d v="2023-07-04T19:38:22"/>
    <s v="N"/>
    <m/>
    <m/>
    <s v="Non Expert Disbursement"/>
    <m/>
    <s v="N"/>
    <n v="-53"/>
    <n v="0"/>
    <x v="1"/>
    <s v="VALIDATED"/>
    <n v="1"/>
    <s v="01.11.80.307.2013.0000"/>
    <n v="-53"/>
    <s v="11"/>
    <s v="2013"/>
    <n v="-4106.08"/>
    <n v="-53"/>
    <s v="DEBTOR"/>
    <n v="0"/>
    <n v="0"/>
    <n v="0"/>
    <n v="0"/>
    <n v="0"/>
  </r>
  <r>
    <n v="60504231"/>
    <s v="N"/>
    <n v="21328696"/>
    <s v="3000014777430009RC"/>
    <s v="CIVIL"/>
    <d v="2023-06-21T00:00:00"/>
    <d v="2023-07-04T19:38:21"/>
    <m/>
    <d v="2023-07-04T00:00:00"/>
    <n v="1176"/>
    <n v="3191"/>
    <s v="60504231"/>
    <s v="60504231"/>
    <m/>
    <m/>
    <m/>
    <m/>
    <m/>
    <m/>
    <s v="SOLRECOUP"/>
    <s v="SOLRECOUP"/>
    <s v="POARECOUP"/>
    <n v="21328696"/>
    <n v="-53"/>
    <m/>
    <s v="Y"/>
    <n v="2"/>
    <d v="2023-07-04T19:38:22"/>
    <s v="N"/>
    <m/>
    <m/>
    <s v="Non Expert Disbursement"/>
    <m/>
    <s v="N"/>
    <n v="0"/>
    <n v="0"/>
    <x v="1"/>
    <s v="VALIDATED"/>
    <n v="1"/>
    <s v="01.11.80.000.0000.0000"/>
    <n v="0"/>
    <s v="11"/>
    <s v="0000"/>
    <n v="-4106.08"/>
    <n v="0"/>
    <s v="DEBTOR"/>
    <n v="0"/>
    <n v="0"/>
    <n v="0"/>
    <n v="0"/>
    <n v="0"/>
  </r>
  <r>
    <n v="61552742"/>
    <s v="N"/>
    <n v="21346377"/>
    <s v="3000015663360002RC"/>
    <s v="CIVIL"/>
    <d v="2023-06-28T00:00:00"/>
    <d v="2023-07-07T19:34:21"/>
    <m/>
    <d v="2023-07-07T00:00:00"/>
    <n v="1176"/>
    <n v="3191"/>
    <s v="61552742"/>
    <s v="61552742"/>
    <m/>
    <m/>
    <m/>
    <m/>
    <m/>
    <m/>
    <s v="SOLRECOUP"/>
    <s v="SOLRECOUP"/>
    <s v="POARECOUP"/>
    <n v="21346377"/>
    <n v="-35.64"/>
    <m/>
    <s v="Y"/>
    <n v="1"/>
    <d v="2023-07-07T19:34:22"/>
    <s v="N"/>
    <m/>
    <m/>
    <s v="Non Expert Disbursement"/>
    <m/>
    <s v="N"/>
    <n v="-29.7"/>
    <n v="0"/>
    <x v="9"/>
    <s v="VALIDATED"/>
    <n v="1"/>
    <s v="01.11.80.308.2013.0000"/>
    <n v="-29.7"/>
    <s v="11"/>
    <s v="2013"/>
    <n v="-4106.08"/>
    <n v="-29.7"/>
    <s v="DEBTOR"/>
    <n v="0"/>
    <n v="0"/>
    <n v="0"/>
    <n v="0"/>
    <n v="0"/>
  </r>
  <r>
    <n v="61552742"/>
    <s v="N"/>
    <n v="21346377"/>
    <s v="3000015663360002RC"/>
    <s v="CIVIL"/>
    <d v="2023-06-28T00:00:00"/>
    <d v="2023-07-07T19:34:21"/>
    <m/>
    <d v="2023-07-07T00:00:00"/>
    <n v="1176"/>
    <n v="3191"/>
    <s v="61552742"/>
    <s v="61552742"/>
    <m/>
    <m/>
    <m/>
    <m/>
    <m/>
    <m/>
    <s v="SOLRECOUP"/>
    <s v="SOLRECOUP"/>
    <s v="POARECOUP"/>
    <n v="21346377"/>
    <n v="-35.64"/>
    <m/>
    <s v="Y"/>
    <n v="2"/>
    <d v="2023-07-07T19:34:22"/>
    <s v="N"/>
    <m/>
    <m/>
    <s v="Non Expert Disbursement"/>
    <m/>
    <s v="N"/>
    <n v="0"/>
    <n v="-5.94"/>
    <x v="9"/>
    <s v="VALIDATED"/>
    <n v="1"/>
    <s v="01.11.80.308.2013.0000"/>
    <n v="-5.94"/>
    <s v="11"/>
    <s v="2013"/>
    <n v="-4106.08"/>
    <n v="-5.94"/>
    <s v="DEBTOR"/>
    <n v="0"/>
    <n v="0"/>
    <n v="0"/>
    <n v="0"/>
    <n v="0"/>
  </r>
  <r>
    <n v="61552742"/>
    <s v="N"/>
    <n v="21346378"/>
    <s v="3000015663360003RC"/>
    <s v="CIVIL"/>
    <d v="2023-06-28T00:00:00"/>
    <d v="2023-07-07T19:34:21"/>
    <m/>
    <d v="2023-07-07T00:00:00"/>
    <n v="1176"/>
    <n v="3191"/>
    <s v="61552742"/>
    <s v="61552742"/>
    <m/>
    <m/>
    <m/>
    <m/>
    <m/>
    <m/>
    <s v="SOLRECOUP"/>
    <s v="SOLRECOUP"/>
    <s v="POARECOUP"/>
    <n v="21346378"/>
    <n v="-4"/>
    <m/>
    <s v="Y"/>
    <n v="1"/>
    <d v="2023-07-07T19:34:22"/>
    <s v="N"/>
    <m/>
    <m/>
    <s v="Non Expert Disbursement"/>
    <m/>
    <s v="N"/>
    <n v="-4"/>
    <n v="0"/>
    <x v="9"/>
    <s v="VALIDATED"/>
    <n v="1"/>
    <s v="01.11.80.308.2013.0000"/>
    <n v="-4"/>
    <s v="11"/>
    <s v="2013"/>
    <n v="-4106.08"/>
    <n v="-4"/>
    <s v="DEBTOR"/>
    <n v="0"/>
    <n v="0"/>
    <n v="0"/>
    <n v="0"/>
    <n v="0"/>
  </r>
  <r>
    <n v="61552742"/>
    <s v="N"/>
    <n v="21346378"/>
    <s v="3000015663360003RC"/>
    <s v="CIVIL"/>
    <d v="2023-06-28T00:00:00"/>
    <d v="2023-07-07T19:34:21"/>
    <m/>
    <d v="2023-07-07T00:00:00"/>
    <n v="1176"/>
    <n v="3191"/>
    <s v="61552742"/>
    <s v="61552742"/>
    <m/>
    <m/>
    <m/>
    <m/>
    <m/>
    <m/>
    <s v="SOLRECOUP"/>
    <s v="SOLRECOUP"/>
    <s v="POARECOUP"/>
    <n v="21346378"/>
    <n v="-4"/>
    <m/>
    <s v="Y"/>
    <n v="2"/>
    <d v="2023-07-07T19:34:22"/>
    <s v="N"/>
    <m/>
    <m/>
    <s v="Non Expert Disbursement"/>
    <m/>
    <s v="N"/>
    <n v="0"/>
    <n v="0"/>
    <x v="9"/>
    <s v="VALIDATED"/>
    <n v="1"/>
    <s v="01.11.80.000.0000.0000"/>
    <n v="0"/>
    <s v="11"/>
    <s v="0000"/>
    <n v="-4106.08"/>
    <n v="0"/>
    <s v="DEBTOR"/>
    <n v="0"/>
    <n v="0"/>
    <n v="0"/>
    <n v="0"/>
    <n v="0"/>
  </r>
  <r>
    <n v="61337841"/>
    <s v="N"/>
    <n v="21346379"/>
    <s v="3000015483120001RC"/>
    <s v="CIVIL"/>
    <d v="2023-06-29T00:00:00"/>
    <d v="2023-07-07T19:34:21"/>
    <m/>
    <d v="2023-07-07T00:00:00"/>
    <n v="1176"/>
    <n v="3191"/>
    <s v="61337841"/>
    <s v="61337841"/>
    <m/>
    <m/>
    <m/>
    <m/>
    <m/>
    <m/>
    <s v="SOLRECOUP"/>
    <s v="SOLRECOUP"/>
    <s v="POARECOUP"/>
    <n v="21346379"/>
    <n v="-53"/>
    <m/>
    <s v="Y"/>
    <n v="1"/>
    <d v="2023-07-07T19:34:22"/>
    <s v="N"/>
    <m/>
    <m/>
    <s v="Non Expert Disbursement"/>
    <m/>
    <s v="N"/>
    <n v="-53"/>
    <n v="0"/>
    <x v="9"/>
    <s v="VALIDATED"/>
    <n v="1"/>
    <s v="01.11.80.308.2013.0000"/>
    <n v="-53"/>
    <s v="11"/>
    <s v="2013"/>
    <n v="-4106.08"/>
    <n v="-53"/>
    <s v="DEBTOR"/>
    <n v="0"/>
    <n v="0"/>
    <n v="0"/>
    <n v="0"/>
    <n v="0"/>
  </r>
  <r>
    <n v="61337841"/>
    <s v="N"/>
    <n v="21346379"/>
    <s v="3000015483120001RC"/>
    <s v="CIVIL"/>
    <d v="2023-06-29T00:00:00"/>
    <d v="2023-07-07T19:34:21"/>
    <m/>
    <d v="2023-07-07T00:00:00"/>
    <n v="1176"/>
    <n v="3191"/>
    <s v="61337841"/>
    <s v="61337841"/>
    <m/>
    <m/>
    <m/>
    <m/>
    <m/>
    <m/>
    <s v="SOLRECOUP"/>
    <s v="SOLRECOUP"/>
    <s v="POARECOUP"/>
    <n v="21346379"/>
    <n v="-53"/>
    <m/>
    <s v="Y"/>
    <n v="2"/>
    <d v="2023-07-07T19:34:22"/>
    <s v="N"/>
    <m/>
    <m/>
    <s v="Non Expert Disbursement"/>
    <m/>
    <s v="N"/>
    <n v="0"/>
    <n v="0"/>
    <x v="9"/>
    <s v="VALIDATED"/>
    <n v="1"/>
    <s v="01.11.80.000.0000.0000"/>
    <n v="0"/>
    <s v="11"/>
    <s v="0000"/>
    <n v="-4106.08"/>
    <n v="0"/>
    <s v="DEBTOR"/>
    <n v="0"/>
    <n v="0"/>
    <n v="0"/>
    <n v="0"/>
    <n v="0"/>
  </r>
  <r>
    <n v="61337841"/>
    <s v="N"/>
    <n v="21346380"/>
    <s v="3000015483120004RC"/>
    <s v="CIVIL"/>
    <d v="2023-06-29T00:00:00"/>
    <d v="2023-07-07T19:34:21"/>
    <m/>
    <d v="2023-07-07T00:00:00"/>
    <n v="1176"/>
    <n v="3191"/>
    <s v="61337841"/>
    <s v="61337841"/>
    <m/>
    <m/>
    <m/>
    <m/>
    <m/>
    <m/>
    <s v="SOLRECOUP"/>
    <s v="SOLRECOUP"/>
    <s v="POARECOUP"/>
    <n v="21346380"/>
    <n v="-233.1"/>
    <m/>
    <s v="Y"/>
    <n v="1"/>
    <d v="2023-07-07T19:34:22"/>
    <s v="N"/>
    <m/>
    <m/>
    <s v="Profit Cost"/>
    <m/>
    <s v="N"/>
    <n v="-194.25"/>
    <n v="0"/>
    <x v="9"/>
    <s v="VALIDATED"/>
    <n v="1"/>
    <s v="01.11.80.308.2013.0000"/>
    <n v="-194.25"/>
    <s v="11"/>
    <s v="2013"/>
    <n v="-4106.08"/>
    <n v="-194.25"/>
    <s v="DEBTOR"/>
    <n v="0"/>
    <n v="0"/>
    <n v="0"/>
    <n v="0"/>
    <n v="0"/>
  </r>
  <r>
    <n v="61337841"/>
    <s v="N"/>
    <n v="21346380"/>
    <s v="3000015483120004RC"/>
    <s v="CIVIL"/>
    <d v="2023-06-29T00:00:00"/>
    <d v="2023-07-07T19:34:21"/>
    <m/>
    <d v="2023-07-07T00:00:00"/>
    <n v="1176"/>
    <n v="3191"/>
    <s v="61337841"/>
    <s v="61337841"/>
    <m/>
    <m/>
    <m/>
    <m/>
    <m/>
    <m/>
    <s v="SOLRECOUP"/>
    <s v="SOLRECOUP"/>
    <s v="POARECOUP"/>
    <n v="21346380"/>
    <n v="-233.1"/>
    <m/>
    <s v="Y"/>
    <n v="2"/>
    <d v="2023-07-07T19:34:22"/>
    <s v="N"/>
    <m/>
    <m/>
    <s v="Profit Cost"/>
    <m/>
    <s v="N"/>
    <n v="0"/>
    <n v="-38.85"/>
    <x v="9"/>
    <s v="VALIDATED"/>
    <n v="1"/>
    <s v="01.11.80.308.2013.0000"/>
    <n v="-38.85"/>
    <s v="11"/>
    <s v="2013"/>
    <n v="-4106.08"/>
    <n v="-38.85"/>
    <s v="DEBTOR"/>
    <n v="0"/>
    <n v="0"/>
    <n v="0"/>
    <n v="0"/>
    <n v="0"/>
  </r>
  <r>
    <n v="61552742"/>
    <s v="N"/>
    <n v="21346381"/>
    <s v="3000015663360004RC"/>
    <s v="CIVIL"/>
    <d v="2023-06-28T00:00:00"/>
    <d v="2023-07-07T19:34:21"/>
    <m/>
    <d v="2023-07-07T00:00:00"/>
    <n v="1176"/>
    <n v="3191"/>
    <s v="61552742"/>
    <s v="61552742"/>
    <m/>
    <m/>
    <m/>
    <m/>
    <m/>
    <m/>
    <s v="SOLRECOUP"/>
    <s v="SOLRECOUP"/>
    <s v="POARECOUP"/>
    <n v="21346381"/>
    <n v="-1142.9"/>
    <m/>
    <s v="Y"/>
    <n v="1"/>
    <d v="2023-07-07T19:34:22"/>
    <s v="N"/>
    <m/>
    <m/>
    <s v="Profit Cost"/>
    <m/>
    <s v="N"/>
    <n v="-952.42"/>
    <n v="0"/>
    <x v="9"/>
    <s v="VALIDATED"/>
    <n v="1"/>
    <s v="01.11.80.308.2013.0000"/>
    <n v="-952.42"/>
    <s v="11"/>
    <s v="2013"/>
    <n v="-4106.08"/>
    <n v="-952.42"/>
    <s v="DEBTOR"/>
    <n v="0"/>
    <n v="0"/>
    <n v="0"/>
    <n v="0"/>
    <n v="0"/>
  </r>
  <r>
    <n v="61552742"/>
    <s v="N"/>
    <n v="21346381"/>
    <s v="3000015663360004RC"/>
    <s v="CIVIL"/>
    <d v="2023-06-28T00:00:00"/>
    <d v="2023-07-07T19:34:21"/>
    <m/>
    <d v="2023-07-07T00:00:00"/>
    <n v="1176"/>
    <n v="3191"/>
    <s v="61552742"/>
    <s v="61552742"/>
    <m/>
    <m/>
    <m/>
    <m/>
    <m/>
    <m/>
    <s v="SOLRECOUP"/>
    <s v="SOLRECOUP"/>
    <s v="POARECOUP"/>
    <n v="21346381"/>
    <n v="-1142.9"/>
    <m/>
    <s v="Y"/>
    <n v="2"/>
    <d v="2023-07-07T19:34:22"/>
    <s v="N"/>
    <m/>
    <m/>
    <s v="Profit Cost"/>
    <m/>
    <s v="N"/>
    <n v="0"/>
    <n v="-190.48"/>
    <x v="9"/>
    <s v="VALIDATED"/>
    <n v="1"/>
    <s v="01.11.80.308.2013.0000"/>
    <n v="-190.48"/>
    <s v="11"/>
    <s v="2013"/>
    <n v="-4106.08"/>
    <n v="-190.48"/>
    <s v="DEBTOR"/>
    <n v="0"/>
    <n v="0"/>
    <n v="0"/>
    <n v="0"/>
    <n v="0"/>
  </r>
  <r>
    <n v="61337841"/>
    <s v="N"/>
    <n v="21346382"/>
    <s v="3000015483120007RC"/>
    <s v="CIVIL"/>
    <d v="2023-06-29T00:00:00"/>
    <d v="2023-07-07T19:34:21"/>
    <m/>
    <d v="2023-07-07T00:00:00"/>
    <n v="1176"/>
    <n v="3191"/>
    <s v="61337841"/>
    <s v="61337841"/>
    <m/>
    <m/>
    <m/>
    <m/>
    <m/>
    <m/>
    <s v="SOLRECOUP"/>
    <s v="SOLRECOUP"/>
    <s v="POARECOUP"/>
    <n v="21346382"/>
    <n v="-9.18"/>
    <m/>
    <s v="Y"/>
    <n v="1"/>
    <d v="2023-07-07T19:34:22"/>
    <s v="N"/>
    <m/>
    <m/>
    <s v="Non Expert Disbursement"/>
    <m/>
    <s v="N"/>
    <n v="-7.65"/>
    <n v="0"/>
    <x v="9"/>
    <s v="VALIDATED"/>
    <n v="1"/>
    <s v="01.11.80.308.2013.0000"/>
    <n v="-7.65"/>
    <s v="11"/>
    <s v="2013"/>
    <n v="-4106.08"/>
    <n v="-7.65"/>
    <s v="DEBTOR"/>
    <n v="0"/>
    <n v="0"/>
    <n v="0"/>
    <n v="0"/>
    <n v="0"/>
  </r>
  <r>
    <n v="61337841"/>
    <s v="N"/>
    <n v="21346382"/>
    <s v="3000015483120007RC"/>
    <s v="CIVIL"/>
    <d v="2023-06-29T00:00:00"/>
    <d v="2023-07-07T19:34:21"/>
    <m/>
    <d v="2023-07-07T00:00:00"/>
    <n v="1176"/>
    <n v="3191"/>
    <s v="61337841"/>
    <s v="61337841"/>
    <m/>
    <m/>
    <m/>
    <m/>
    <m/>
    <m/>
    <s v="SOLRECOUP"/>
    <s v="SOLRECOUP"/>
    <s v="POARECOUP"/>
    <n v="21346382"/>
    <n v="-9.18"/>
    <m/>
    <s v="Y"/>
    <n v="2"/>
    <d v="2023-07-07T19:34:22"/>
    <s v="N"/>
    <m/>
    <m/>
    <s v="Non Expert Disbursement"/>
    <m/>
    <s v="N"/>
    <n v="0"/>
    <n v="-1.53"/>
    <x v="9"/>
    <s v="VALIDATED"/>
    <n v="1"/>
    <s v="01.11.80.308.2013.0000"/>
    <n v="-1.53"/>
    <s v="11"/>
    <s v="2013"/>
    <n v="-4106.08"/>
    <n v="-1.53"/>
    <s v="DEBTOR"/>
    <n v="0"/>
    <n v="0"/>
    <n v="0"/>
    <n v="0"/>
    <n v="0"/>
  </r>
  <r>
    <n v="61337841"/>
    <s v="N"/>
    <n v="21346383"/>
    <s v="3000015483120006RC"/>
    <s v="CIVIL"/>
    <d v="2023-06-29T00:00:00"/>
    <d v="2023-07-07T19:34:21"/>
    <m/>
    <d v="2023-07-07T00:00:00"/>
    <n v="1176"/>
    <n v="3191"/>
    <s v="61337841"/>
    <s v="61337841"/>
    <m/>
    <m/>
    <m/>
    <m/>
    <m/>
    <m/>
    <s v="SOLRECOUP"/>
    <s v="SOLRECOUP"/>
    <s v="POARECOUP"/>
    <n v="21346383"/>
    <n v="-7.8"/>
    <m/>
    <s v="Y"/>
    <n v="1"/>
    <d v="2023-07-07T19:34:22"/>
    <s v="N"/>
    <m/>
    <m/>
    <s v="Non Expert Disbursement"/>
    <m/>
    <s v="N"/>
    <n v="-6.5"/>
    <n v="0"/>
    <x v="9"/>
    <s v="VALIDATED"/>
    <n v="1"/>
    <s v="01.11.80.308.2013.0000"/>
    <n v="-6.5"/>
    <s v="11"/>
    <s v="2013"/>
    <n v="-4106.08"/>
    <n v="-6.5"/>
    <s v="DEBTOR"/>
    <n v="0"/>
    <n v="0"/>
    <n v="0"/>
    <n v="0"/>
    <n v="0"/>
  </r>
  <r>
    <n v="61337841"/>
    <s v="N"/>
    <n v="21346383"/>
    <s v="3000015483120006RC"/>
    <s v="CIVIL"/>
    <d v="2023-06-29T00:00:00"/>
    <d v="2023-07-07T19:34:21"/>
    <m/>
    <d v="2023-07-07T00:00:00"/>
    <n v="1176"/>
    <n v="3191"/>
    <s v="61337841"/>
    <s v="61337841"/>
    <m/>
    <m/>
    <m/>
    <m/>
    <m/>
    <m/>
    <s v="SOLRECOUP"/>
    <s v="SOLRECOUP"/>
    <s v="POARECOUP"/>
    <n v="21346383"/>
    <n v="-7.8"/>
    <m/>
    <s v="Y"/>
    <n v="2"/>
    <d v="2023-07-07T19:34:22"/>
    <s v="N"/>
    <m/>
    <m/>
    <s v="Non Expert Disbursement"/>
    <m/>
    <s v="N"/>
    <n v="0"/>
    <n v="-1.3"/>
    <x v="9"/>
    <s v="VALIDATED"/>
    <n v="1"/>
    <s v="01.11.80.308.2013.0000"/>
    <n v="-1.3"/>
    <s v="11"/>
    <s v="2013"/>
    <n v="-4106.08"/>
    <n v="-1.3"/>
    <s v="DEBTOR"/>
    <n v="0"/>
    <n v="0"/>
    <n v="0"/>
    <n v="0"/>
    <n v="0"/>
  </r>
  <r>
    <n v="61337841"/>
    <s v="N"/>
    <n v="21346384"/>
    <s v="3000015483120008RC"/>
    <s v="CIVIL"/>
    <d v="2023-06-29T00:00:00"/>
    <d v="2023-07-07T19:34:21"/>
    <m/>
    <d v="2023-07-07T00:00:00"/>
    <n v="1176"/>
    <n v="3191"/>
    <s v="61337841"/>
    <s v="61337841"/>
    <m/>
    <m/>
    <m/>
    <m/>
    <m/>
    <m/>
    <s v="SOLRECOUP"/>
    <s v="SOLRECOUP"/>
    <s v="POARECOUP"/>
    <n v="21346384"/>
    <n v="-1983.98"/>
    <m/>
    <s v="Y"/>
    <n v="1"/>
    <d v="2023-07-07T19:34:22"/>
    <s v="N"/>
    <m/>
    <m/>
    <s v="Profit Cost"/>
    <m/>
    <s v="N"/>
    <n v="-1653.32"/>
    <n v="0"/>
    <x v="9"/>
    <s v="VALIDATED"/>
    <n v="1"/>
    <s v="01.11.80.308.2013.0000"/>
    <n v="-1653.32"/>
    <s v="11"/>
    <s v="2013"/>
    <n v="-4106.08"/>
    <n v="-1653.32"/>
    <s v="DEBTOR"/>
    <n v="0"/>
    <n v="0"/>
    <n v="0"/>
    <n v="0"/>
    <n v="0"/>
  </r>
  <r>
    <n v="61337841"/>
    <s v="N"/>
    <n v="21346384"/>
    <s v="3000015483120008RC"/>
    <s v="CIVIL"/>
    <d v="2023-06-29T00:00:00"/>
    <d v="2023-07-07T19:34:21"/>
    <m/>
    <d v="2023-07-07T00:00:00"/>
    <n v="1176"/>
    <n v="3191"/>
    <s v="61337841"/>
    <s v="61337841"/>
    <m/>
    <m/>
    <m/>
    <m/>
    <m/>
    <m/>
    <s v="SOLRECOUP"/>
    <s v="SOLRECOUP"/>
    <s v="POARECOUP"/>
    <n v="21346384"/>
    <n v="-1983.98"/>
    <m/>
    <s v="Y"/>
    <n v="2"/>
    <d v="2023-07-07T19:34:22"/>
    <s v="N"/>
    <m/>
    <m/>
    <s v="Profit Cost"/>
    <m/>
    <s v="N"/>
    <n v="0"/>
    <n v="-330.66"/>
    <x v="9"/>
    <s v="VALIDATED"/>
    <n v="1"/>
    <s v="01.11.80.308.2013.0000"/>
    <n v="-330.66"/>
    <s v="11"/>
    <s v="2013"/>
    <n v="-4106.08"/>
    <n v="-330.66"/>
    <s v="DEBTOR"/>
    <n v="0"/>
    <n v="0"/>
    <n v="0"/>
    <n v="0"/>
    <n v="0"/>
  </r>
  <r>
    <n v="61337841"/>
    <s v="N"/>
    <n v="21346385"/>
    <s v="3000015483120002RC"/>
    <s v="CIVIL"/>
    <d v="2023-06-29T00:00:00"/>
    <d v="2023-07-07T19:34:21"/>
    <m/>
    <d v="2023-07-07T00:00:00"/>
    <n v="1176"/>
    <n v="3191"/>
    <s v="61337841"/>
    <s v="61337841"/>
    <m/>
    <m/>
    <m/>
    <m/>
    <m/>
    <m/>
    <s v="SOLRECOUP"/>
    <s v="SOLRECOUP"/>
    <s v="POARECOUP"/>
    <n v="21346385"/>
    <n v="-1870.09"/>
    <m/>
    <s v="Y"/>
    <n v="1"/>
    <d v="2023-07-07T19:34:22"/>
    <s v="N"/>
    <m/>
    <m/>
    <s v="Profit Cost"/>
    <m/>
    <s v="N"/>
    <n v="-1558.41"/>
    <n v="0"/>
    <x v="9"/>
    <s v="VALIDATED"/>
    <n v="1"/>
    <s v="01.11.80.308.2013.0000"/>
    <n v="-1558.41"/>
    <s v="11"/>
    <s v="2013"/>
    <n v="-4106.08"/>
    <n v="-1558.41"/>
    <s v="DEBTOR"/>
    <n v="0"/>
    <n v="0"/>
    <n v="0"/>
    <n v="0"/>
    <n v="0"/>
  </r>
  <r>
    <n v="61337841"/>
    <s v="N"/>
    <n v="21346385"/>
    <s v="3000015483120002RC"/>
    <s v="CIVIL"/>
    <d v="2023-06-29T00:00:00"/>
    <d v="2023-07-07T19:34:21"/>
    <m/>
    <d v="2023-07-07T00:00:00"/>
    <n v="1176"/>
    <n v="3191"/>
    <s v="61337841"/>
    <s v="61337841"/>
    <m/>
    <m/>
    <m/>
    <m/>
    <m/>
    <m/>
    <s v="SOLRECOUP"/>
    <s v="SOLRECOUP"/>
    <s v="POARECOUP"/>
    <n v="21346385"/>
    <n v="-1870.09"/>
    <m/>
    <s v="Y"/>
    <n v="2"/>
    <d v="2023-07-07T19:34:22"/>
    <s v="N"/>
    <m/>
    <m/>
    <s v="Profit Cost"/>
    <m/>
    <s v="N"/>
    <n v="0"/>
    <n v="-311.68"/>
    <x v="9"/>
    <s v="VALIDATED"/>
    <n v="1"/>
    <s v="01.11.80.308.2013.0000"/>
    <n v="-311.68"/>
    <s v="11"/>
    <s v="2013"/>
    <n v="-4106.08"/>
    <n v="-311.68"/>
    <s v="DEBTOR"/>
    <n v="0"/>
    <n v="0"/>
    <n v="0"/>
    <n v="0"/>
    <n v="0"/>
  </r>
  <r>
    <n v="61337841"/>
    <s v="N"/>
    <n v="21346386"/>
    <s v="3000015483120003RC"/>
    <s v="CIVIL"/>
    <d v="2023-06-29T00:00:00"/>
    <d v="2023-07-07T19:34:21"/>
    <m/>
    <d v="2023-07-07T00:00:00"/>
    <n v="1176"/>
    <n v="3191"/>
    <s v="61337841"/>
    <s v="61337841"/>
    <m/>
    <m/>
    <m/>
    <m/>
    <m/>
    <m/>
    <s v="SOLRECOUP"/>
    <s v="SOLRECOUP"/>
    <s v="POARECOUP"/>
    <n v="21346386"/>
    <n v="-9.18"/>
    <m/>
    <s v="Y"/>
    <n v="2"/>
    <d v="2023-07-07T19:34:23"/>
    <s v="N"/>
    <m/>
    <m/>
    <s v="Non Expert Disbursement"/>
    <m/>
    <s v="N"/>
    <n v="0"/>
    <n v="-1.53"/>
    <x v="9"/>
    <s v="VALIDATED"/>
    <n v="1"/>
    <s v="01.11.80.308.2013.0000"/>
    <n v="-1.53"/>
    <s v="11"/>
    <s v="2013"/>
    <n v="-4106.08"/>
    <n v="-1.53"/>
    <s v="DEBTOR"/>
    <n v="0"/>
    <n v="0"/>
    <n v="0"/>
    <n v="0"/>
    <n v="0"/>
  </r>
  <r>
    <n v="61337841"/>
    <s v="N"/>
    <n v="21346386"/>
    <s v="3000015483120003RC"/>
    <s v="CIVIL"/>
    <d v="2023-06-29T00:00:00"/>
    <d v="2023-07-07T19:34:21"/>
    <m/>
    <d v="2023-07-07T00:00:00"/>
    <n v="1176"/>
    <n v="3191"/>
    <s v="61337841"/>
    <s v="61337841"/>
    <m/>
    <m/>
    <m/>
    <m/>
    <m/>
    <m/>
    <s v="SOLRECOUP"/>
    <s v="SOLRECOUP"/>
    <s v="POARECOUP"/>
    <n v="21346386"/>
    <n v="-9.18"/>
    <m/>
    <s v="Y"/>
    <n v="1"/>
    <d v="2023-07-07T19:34:23"/>
    <s v="N"/>
    <m/>
    <m/>
    <s v="Non Expert Disbursement"/>
    <m/>
    <s v="N"/>
    <n v="-7.65"/>
    <n v="0"/>
    <x v="9"/>
    <s v="VALIDATED"/>
    <n v="1"/>
    <s v="01.11.80.308.2013.0000"/>
    <n v="-7.65"/>
    <s v="11"/>
    <s v="2013"/>
    <n v="-4106.08"/>
    <n v="-7.65"/>
    <s v="DEBTOR"/>
    <n v="0"/>
    <n v="0"/>
    <n v="0"/>
    <n v="0"/>
    <n v="0"/>
  </r>
  <r>
    <n v="61337841"/>
    <s v="N"/>
    <n v="21346387"/>
    <s v="3000015483120005RC"/>
    <s v="CIVIL"/>
    <d v="2023-06-29T00:00:00"/>
    <d v="2023-07-07T19:34:21"/>
    <m/>
    <d v="2023-07-07T00:00:00"/>
    <n v="1176"/>
    <n v="3191"/>
    <s v="61337841"/>
    <s v="61337841"/>
    <m/>
    <m/>
    <m/>
    <m/>
    <m/>
    <m/>
    <s v="SOLRECOUP"/>
    <s v="SOLRECOUP"/>
    <s v="POARECOUP"/>
    <n v="21346387"/>
    <n v="-252.72"/>
    <m/>
    <s v="Y"/>
    <n v="1"/>
    <d v="2023-07-07T19:34:23"/>
    <s v="N"/>
    <m/>
    <m/>
    <s v="Non Expert Disbursement"/>
    <m/>
    <s v="N"/>
    <n v="-210.6"/>
    <n v="0"/>
    <x v="9"/>
    <s v="VALIDATED"/>
    <n v="1"/>
    <s v="01.11.80.308.2013.0000"/>
    <n v="-210.6"/>
    <s v="11"/>
    <s v="2013"/>
    <n v="-4106.08"/>
    <n v="-210.6"/>
    <s v="DEBTOR"/>
    <n v="0"/>
    <n v="0"/>
    <n v="0"/>
    <n v="0"/>
    <n v="0"/>
  </r>
  <r>
    <n v="61337841"/>
    <s v="N"/>
    <n v="21346387"/>
    <s v="3000015483120005RC"/>
    <s v="CIVIL"/>
    <d v="2023-06-29T00:00:00"/>
    <d v="2023-07-07T19:34:21"/>
    <m/>
    <d v="2023-07-07T00:00:00"/>
    <n v="1176"/>
    <n v="3191"/>
    <s v="61337841"/>
    <s v="61337841"/>
    <m/>
    <m/>
    <m/>
    <m/>
    <m/>
    <m/>
    <s v="SOLRECOUP"/>
    <s v="SOLRECOUP"/>
    <s v="POARECOUP"/>
    <n v="21346387"/>
    <n v="-252.72"/>
    <m/>
    <s v="Y"/>
    <n v="2"/>
    <d v="2023-07-07T19:34:23"/>
    <s v="N"/>
    <m/>
    <m/>
    <s v="Non Expert Disbursement"/>
    <m/>
    <s v="N"/>
    <n v="0"/>
    <n v="-42.12"/>
    <x v="9"/>
    <s v="VALIDATED"/>
    <n v="1"/>
    <s v="01.11.80.308.2013.0000"/>
    <n v="-42.12"/>
    <s v="11"/>
    <s v="2013"/>
    <n v="-4106.08"/>
    <n v="-42.12"/>
    <s v="DEBTOR"/>
    <n v="0"/>
    <n v="0"/>
    <n v="0"/>
    <n v="0"/>
    <n v="0"/>
  </r>
  <r>
    <n v="61552742"/>
    <s v="N"/>
    <n v="21346388"/>
    <s v="3000015663360008RC"/>
    <s v="CIVIL"/>
    <d v="2023-06-28T00:00:00"/>
    <d v="2023-07-07T19:34:21"/>
    <m/>
    <d v="2023-07-07T00:00:00"/>
    <n v="1176"/>
    <n v="3191"/>
    <s v="61552742"/>
    <s v="61552742"/>
    <m/>
    <m/>
    <m/>
    <m/>
    <m/>
    <m/>
    <s v="SOLRECOUP"/>
    <s v="SOLRECOUP"/>
    <s v="POARECOUP"/>
    <n v="21346388"/>
    <n v="-35.1"/>
    <m/>
    <s v="Y"/>
    <n v="2"/>
    <d v="2023-07-07T19:34:23"/>
    <s v="N"/>
    <m/>
    <m/>
    <s v="Non Expert Disbursement"/>
    <m/>
    <s v="N"/>
    <n v="0"/>
    <n v="-5.85"/>
    <x v="9"/>
    <s v="VALIDATED"/>
    <n v="1"/>
    <s v="01.11.80.308.2013.0000"/>
    <n v="-5.85"/>
    <s v="11"/>
    <s v="2013"/>
    <n v="-4106.08"/>
    <n v="-5.85"/>
    <s v="DEBTOR"/>
    <n v="0"/>
    <n v="0"/>
    <n v="0"/>
    <n v="0"/>
    <n v="0"/>
  </r>
  <r>
    <n v="61552742"/>
    <s v="N"/>
    <n v="21346388"/>
    <s v="3000015663360008RC"/>
    <s v="CIVIL"/>
    <d v="2023-06-28T00:00:00"/>
    <d v="2023-07-07T19:34:21"/>
    <m/>
    <d v="2023-07-07T00:00:00"/>
    <n v="1176"/>
    <n v="3191"/>
    <s v="61552742"/>
    <s v="61552742"/>
    <m/>
    <m/>
    <m/>
    <m/>
    <m/>
    <m/>
    <s v="SOLRECOUP"/>
    <s v="SOLRECOUP"/>
    <s v="POARECOUP"/>
    <n v="21346388"/>
    <n v="-35.1"/>
    <m/>
    <s v="Y"/>
    <n v="1"/>
    <d v="2023-07-07T19:34:23"/>
    <s v="N"/>
    <m/>
    <m/>
    <s v="Non Expert Disbursement"/>
    <m/>
    <s v="N"/>
    <n v="-29.25"/>
    <n v="0"/>
    <x v="9"/>
    <s v="VALIDATED"/>
    <n v="1"/>
    <s v="01.11.80.308.2013.0000"/>
    <n v="-29.25"/>
    <s v="11"/>
    <s v="2013"/>
    <n v="-4106.08"/>
    <n v="-29.25"/>
    <s v="DEBTOR"/>
    <n v="0"/>
    <n v="0"/>
    <n v="0"/>
    <n v="0"/>
    <n v="0"/>
  </r>
  <r>
    <n v="56512815"/>
    <s v="N"/>
    <n v="21339984"/>
    <s v="3000013460090025RC"/>
    <s v="CIVIL"/>
    <d v="2023-06-30T00:00:00"/>
    <d v="2023-07-06T19:54:22"/>
    <m/>
    <d v="2023-07-06T00:00:00"/>
    <n v="1176"/>
    <n v="3191"/>
    <s v="56512815"/>
    <s v="56512815"/>
    <m/>
    <m/>
    <m/>
    <m/>
    <m/>
    <m/>
    <s v="SOLRECOUP"/>
    <s v="SOLRECOUP"/>
    <s v="POARECOUP"/>
    <n v="21339984"/>
    <n v="-727.0599999999999"/>
    <m/>
    <s v="Y"/>
    <n v="1"/>
    <d v="2023-07-06T19:54:23"/>
    <s v="N"/>
    <m/>
    <m/>
    <s v="Profit Cost"/>
    <m/>
    <s v="N"/>
    <n v="-605.88"/>
    <n v="0"/>
    <x v="4"/>
    <s v="VALIDATED"/>
    <n v="1"/>
    <s v="01.11.80.307.2013.0000"/>
    <n v="-605.88"/>
    <s v="11"/>
    <s v="2013"/>
    <n v="-4106.08"/>
    <n v="-605.88"/>
    <s v="DEBTOR"/>
    <n v="0"/>
    <n v="0"/>
    <n v="0"/>
    <n v="0"/>
    <n v="0"/>
  </r>
  <r>
    <n v="56512815"/>
    <s v="N"/>
    <n v="21339984"/>
    <s v="3000013460090025RC"/>
    <s v="CIVIL"/>
    <d v="2023-06-30T00:00:00"/>
    <d v="2023-07-06T19:54:22"/>
    <m/>
    <d v="2023-07-06T00:00:00"/>
    <n v="1176"/>
    <n v="3191"/>
    <s v="56512815"/>
    <s v="56512815"/>
    <m/>
    <m/>
    <m/>
    <m/>
    <m/>
    <m/>
    <s v="SOLRECOUP"/>
    <s v="SOLRECOUP"/>
    <s v="POARECOUP"/>
    <n v="21339984"/>
    <n v="-727.0599999999999"/>
    <m/>
    <s v="Y"/>
    <n v="2"/>
    <d v="2023-07-06T19:54:23"/>
    <s v="N"/>
    <m/>
    <m/>
    <s v="Profit Cost"/>
    <m/>
    <s v="N"/>
    <n v="0"/>
    <n v="-121.18"/>
    <x v="4"/>
    <s v="VALIDATED"/>
    <n v="1"/>
    <s v="01.11.80.307.2013.0000"/>
    <n v="-121.18"/>
    <s v="11"/>
    <s v="2013"/>
    <n v="-4106.08"/>
    <n v="-121.18"/>
    <s v="DEBTOR"/>
    <n v="0"/>
    <n v="0"/>
    <n v="0"/>
    <n v="0"/>
    <n v="0"/>
  </r>
  <r>
    <n v="56512815"/>
    <s v="N"/>
    <n v="21356491"/>
    <s v="3000013460090008RC"/>
    <s v="CIVIL"/>
    <d v="2023-06-30T00:00:00"/>
    <d v="2023-07-10T19:47:44"/>
    <m/>
    <d v="2023-07-10T00:00:00"/>
    <n v="1176"/>
    <n v="3191"/>
    <s v="56512815"/>
    <s v="56512815"/>
    <m/>
    <m/>
    <m/>
    <m/>
    <m/>
    <m/>
    <s v="SOLRECOUP"/>
    <s v="SOLRECOUP"/>
    <s v="POARECOUP"/>
    <n v="21356491"/>
    <n v="-4494.36"/>
    <m/>
    <s v="Y"/>
    <n v="1"/>
    <d v="2023-07-10T19:47:45"/>
    <s v="N"/>
    <m/>
    <m/>
    <s v="Profit Cost"/>
    <m/>
    <s v="N"/>
    <n v="-3745.3"/>
    <n v="0"/>
    <x v="2"/>
    <s v="VALIDATED"/>
    <n v="1"/>
    <s v="01.11.80.307.2013.0000"/>
    <n v="-3745.3"/>
    <s v="11"/>
    <s v="2013"/>
    <n v="-4106.08"/>
    <n v="-3745.3"/>
    <s v="DEBTOR"/>
    <n v="0"/>
    <n v="0"/>
    <n v="0"/>
    <n v="0"/>
    <n v="0"/>
  </r>
  <r>
    <n v="56512815"/>
    <s v="N"/>
    <n v="21356491"/>
    <s v="3000013460090008RC"/>
    <s v="CIVIL"/>
    <d v="2023-06-30T00:00:00"/>
    <d v="2023-07-10T19:47:44"/>
    <m/>
    <d v="2023-07-10T00:00:00"/>
    <n v="1176"/>
    <n v="3191"/>
    <s v="56512815"/>
    <s v="56512815"/>
    <m/>
    <m/>
    <m/>
    <m/>
    <m/>
    <m/>
    <s v="SOLRECOUP"/>
    <s v="SOLRECOUP"/>
    <s v="POARECOUP"/>
    <n v="21356491"/>
    <n v="-4494.36"/>
    <m/>
    <s v="Y"/>
    <n v="2"/>
    <d v="2023-07-10T19:47:45"/>
    <s v="N"/>
    <m/>
    <m/>
    <s v="Profit Cost"/>
    <m/>
    <s v="N"/>
    <n v="0"/>
    <n v="-749.0599999999999"/>
    <x v="2"/>
    <s v="VALIDATED"/>
    <n v="1"/>
    <s v="01.11.80.307.2013.0000"/>
    <n v="-749.0599999999999"/>
    <s v="11"/>
    <s v="2013"/>
    <n v="-4106.08"/>
    <n v="-749.0599999999999"/>
    <s v="DEBTOR"/>
    <n v="0"/>
    <n v="0"/>
    <n v="0"/>
    <n v="0"/>
    <n v="0"/>
  </r>
  <r>
    <n v="56512815"/>
    <s v="N"/>
    <n v="21356492"/>
    <s v="3000013460090010RC"/>
    <s v="CIVIL"/>
    <d v="2023-06-30T00:00:00"/>
    <d v="2023-07-10T19:47:44"/>
    <m/>
    <d v="2023-07-10T00:00:00"/>
    <n v="1176"/>
    <n v="3191"/>
    <s v="56512815"/>
    <s v="56512815"/>
    <m/>
    <m/>
    <m/>
    <m/>
    <m/>
    <m/>
    <s v="SOLRECOUP"/>
    <s v="SOLRECOUP"/>
    <s v="POARECOUP"/>
    <n v="21356492"/>
    <n v="-7"/>
    <m/>
    <s v="Y"/>
    <n v="1"/>
    <d v="2023-07-10T19:47:45"/>
    <s v="N"/>
    <m/>
    <m/>
    <s v="Non Expert Disbursement"/>
    <m/>
    <s v="N"/>
    <n v="-7"/>
    <n v="0"/>
    <x v="2"/>
    <s v="VALIDATED"/>
    <n v="1"/>
    <s v="01.11.80.307.2013.0000"/>
    <n v="-7"/>
    <s v="11"/>
    <s v="2013"/>
    <n v="-4106.08"/>
    <n v="-7"/>
    <s v="DEBTOR"/>
    <n v="0"/>
    <n v="0"/>
    <n v="0"/>
    <n v="0"/>
    <n v="0"/>
  </r>
  <r>
    <n v="56512815"/>
    <s v="N"/>
    <n v="21356492"/>
    <s v="3000013460090010RC"/>
    <s v="CIVIL"/>
    <d v="2023-06-30T00:00:00"/>
    <d v="2023-07-10T19:47:44"/>
    <m/>
    <d v="2023-07-10T00:00:00"/>
    <n v="1176"/>
    <n v="3191"/>
    <s v="56512815"/>
    <s v="56512815"/>
    <m/>
    <m/>
    <m/>
    <m/>
    <m/>
    <m/>
    <s v="SOLRECOUP"/>
    <s v="SOLRECOUP"/>
    <s v="POARECOUP"/>
    <n v="21356492"/>
    <n v="-7"/>
    <m/>
    <s v="Y"/>
    <n v="2"/>
    <d v="2023-07-10T19:47:45"/>
    <s v="N"/>
    <m/>
    <m/>
    <s v="Non Expert Disbursement"/>
    <m/>
    <s v="N"/>
    <n v="0"/>
    <n v="0"/>
    <x v="2"/>
    <s v="VALIDATED"/>
    <n v="1"/>
    <s v="01.11.80.000.0000.0000"/>
    <n v="0"/>
    <s v="11"/>
    <s v="0000"/>
    <n v="-4106.08"/>
    <n v="0"/>
    <s v="DEBTOR"/>
    <n v="0"/>
    <n v="0"/>
    <n v="0"/>
    <n v="0"/>
    <n v="0"/>
  </r>
  <r>
    <n v="56512815"/>
    <s v="N"/>
    <n v="21356493"/>
    <s v="3000013460090011RC"/>
    <s v="CIVIL"/>
    <d v="2023-06-30T00:00:00"/>
    <d v="2023-07-10T19:47:44"/>
    <m/>
    <d v="2023-07-10T00:00:00"/>
    <n v="1176"/>
    <n v="3191"/>
    <s v="56512815"/>
    <s v="56512815"/>
    <m/>
    <m/>
    <m/>
    <m/>
    <m/>
    <m/>
    <s v="SOLRECOUP"/>
    <s v="SOLRECOUP"/>
    <s v="POARECOUP"/>
    <n v="21356493"/>
    <n v="-22.5"/>
    <m/>
    <s v="Y"/>
    <n v="1"/>
    <d v="2023-07-10T19:47:45"/>
    <s v="N"/>
    <m/>
    <m/>
    <s v="Non Expert Disbursement"/>
    <m/>
    <s v="N"/>
    <n v="-22.5"/>
    <n v="0"/>
    <x v="2"/>
    <s v="VALIDATED"/>
    <n v="1"/>
    <s v="01.11.80.307.2013.0000"/>
    <n v="-22.5"/>
    <s v="11"/>
    <s v="2013"/>
    <n v="-4106.08"/>
    <n v="-22.5"/>
    <s v="DEBTOR"/>
    <n v="0"/>
    <n v="0"/>
    <n v="0"/>
    <n v="0"/>
    <n v="0"/>
  </r>
  <r>
    <n v="56512815"/>
    <s v="N"/>
    <n v="21356493"/>
    <s v="3000013460090011RC"/>
    <s v="CIVIL"/>
    <d v="2023-06-30T00:00:00"/>
    <d v="2023-07-10T19:47:44"/>
    <m/>
    <d v="2023-07-10T00:00:00"/>
    <n v="1176"/>
    <n v="3191"/>
    <s v="56512815"/>
    <s v="56512815"/>
    <m/>
    <m/>
    <m/>
    <m/>
    <m/>
    <m/>
    <s v="SOLRECOUP"/>
    <s v="SOLRECOUP"/>
    <s v="POARECOUP"/>
    <n v="21356493"/>
    <n v="-22.5"/>
    <m/>
    <s v="Y"/>
    <n v="2"/>
    <d v="2023-07-10T19:47:45"/>
    <s v="N"/>
    <m/>
    <m/>
    <s v="Non Expert Disbursement"/>
    <m/>
    <s v="N"/>
    <n v="0"/>
    <n v="0"/>
    <x v="2"/>
    <s v="VALIDATED"/>
    <n v="1"/>
    <s v="01.11.80.000.0000.0000"/>
    <n v="0"/>
    <s v="11"/>
    <s v="0000"/>
    <n v="-4106.08"/>
    <n v="0"/>
    <s v="DEBTOR"/>
    <n v="0"/>
    <n v="0"/>
    <n v="0"/>
    <n v="0"/>
    <n v="0"/>
  </r>
  <r>
    <n v="56512815"/>
    <s v="N"/>
    <n v="21356494"/>
    <s v="3000013460090015RC"/>
    <s v="CIVIL"/>
    <d v="2023-06-30T00:00:00"/>
    <d v="2023-07-10T19:47:44"/>
    <m/>
    <d v="2023-07-10T00:00:00"/>
    <n v="1176"/>
    <n v="3191"/>
    <s v="56512815"/>
    <s v="56512815"/>
    <m/>
    <m/>
    <m/>
    <m/>
    <m/>
    <m/>
    <s v="SOLRECOUP"/>
    <s v="SOLRECOUP"/>
    <s v="POARECOUP"/>
    <n v="21356494"/>
    <n v="-2470.09"/>
    <m/>
    <s v="Y"/>
    <n v="1"/>
    <d v="2023-07-10T19:47:45"/>
    <s v="N"/>
    <m/>
    <m/>
    <s v="Profit Cost"/>
    <m/>
    <s v="N"/>
    <n v="-2058.41"/>
    <n v="0"/>
    <x v="2"/>
    <s v="VALIDATED"/>
    <n v="1"/>
    <s v="01.11.80.307.2013.0000"/>
    <n v="-2058.41"/>
    <s v="11"/>
    <s v="2013"/>
    <n v="-4106.08"/>
    <n v="-2058.41"/>
    <s v="DEBTOR"/>
    <n v="0"/>
    <n v="0"/>
    <n v="0"/>
    <n v="0"/>
    <n v="0"/>
  </r>
  <r>
    <n v="56512815"/>
    <s v="N"/>
    <n v="21356494"/>
    <s v="3000013460090015RC"/>
    <s v="CIVIL"/>
    <d v="2023-06-30T00:00:00"/>
    <d v="2023-07-10T19:47:44"/>
    <m/>
    <d v="2023-07-10T00:00:00"/>
    <n v="1176"/>
    <n v="3191"/>
    <s v="56512815"/>
    <s v="56512815"/>
    <m/>
    <m/>
    <m/>
    <m/>
    <m/>
    <m/>
    <s v="SOLRECOUP"/>
    <s v="SOLRECOUP"/>
    <s v="POARECOUP"/>
    <n v="21356494"/>
    <n v="-2470.09"/>
    <m/>
    <s v="Y"/>
    <n v="2"/>
    <d v="2023-07-10T19:47:45"/>
    <s v="N"/>
    <m/>
    <m/>
    <s v="Profit Cost"/>
    <m/>
    <s v="N"/>
    <n v="0"/>
    <n v="-411.68"/>
    <x v="2"/>
    <s v="VALIDATED"/>
    <n v="1"/>
    <s v="01.11.80.307.2013.0000"/>
    <n v="-411.68"/>
    <s v="11"/>
    <s v="2013"/>
    <n v="-4106.08"/>
    <n v="-411.68"/>
    <s v="DEBTOR"/>
    <n v="0"/>
    <n v="0"/>
    <n v="0"/>
    <n v="0"/>
    <n v="0"/>
  </r>
  <r>
    <n v="56512815"/>
    <s v="N"/>
    <n v="21356495"/>
    <s v="3000013460090002RC"/>
    <s v="CIVIL"/>
    <d v="2023-06-30T00:00:00"/>
    <d v="2023-07-10T19:47:44"/>
    <m/>
    <d v="2023-07-10T00:00:00"/>
    <n v="1176"/>
    <n v="3191"/>
    <s v="56512815"/>
    <s v="56512815"/>
    <m/>
    <m/>
    <m/>
    <m/>
    <m/>
    <m/>
    <s v="SOLRECOUP"/>
    <s v="SOLRECOUP"/>
    <s v="POARECOUP"/>
    <n v="21356495"/>
    <n v="-2109.11"/>
    <m/>
    <s v="Y"/>
    <n v="1"/>
    <d v="2023-07-10T19:47:45"/>
    <s v="N"/>
    <m/>
    <m/>
    <s v="Profit Cost"/>
    <m/>
    <s v="N"/>
    <n v="-1757.59"/>
    <n v="0"/>
    <x v="2"/>
    <s v="VALIDATED"/>
    <n v="1"/>
    <s v="01.11.80.307.2013.0000"/>
    <n v="-1757.59"/>
    <s v="11"/>
    <s v="2013"/>
    <n v="-4106.08"/>
    <n v="-1757.59"/>
    <s v="DEBTOR"/>
    <n v="0"/>
    <n v="0"/>
    <n v="0"/>
    <n v="0"/>
    <n v="0"/>
  </r>
  <r>
    <n v="56512815"/>
    <s v="N"/>
    <n v="21356495"/>
    <s v="3000013460090002RC"/>
    <s v="CIVIL"/>
    <d v="2023-06-30T00:00:00"/>
    <d v="2023-07-10T19:47:44"/>
    <m/>
    <d v="2023-07-10T00:00:00"/>
    <n v="1176"/>
    <n v="3191"/>
    <s v="56512815"/>
    <s v="56512815"/>
    <m/>
    <m/>
    <m/>
    <m/>
    <m/>
    <m/>
    <s v="SOLRECOUP"/>
    <s v="SOLRECOUP"/>
    <s v="POARECOUP"/>
    <n v="21356495"/>
    <n v="-2109.11"/>
    <m/>
    <s v="Y"/>
    <n v="2"/>
    <d v="2023-07-10T19:47:45"/>
    <s v="N"/>
    <m/>
    <m/>
    <s v="Profit Cost"/>
    <m/>
    <s v="N"/>
    <n v="0"/>
    <n v="-351.52"/>
    <x v="2"/>
    <s v="VALIDATED"/>
    <n v="1"/>
    <s v="01.11.80.307.2013.0000"/>
    <n v="-351.52"/>
    <s v="11"/>
    <s v="2013"/>
    <n v="-4106.08"/>
    <n v="-351.52"/>
    <s v="DEBTOR"/>
    <n v="0"/>
    <n v="0"/>
    <n v="0"/>
    <n v="0"/>
    <n v="0"/>
  </r>
  <r>
    <n v="56512815"/>
    <s v="N"/>
    <n v="21356496"/>
    <s v="3000013460090001RC"/>
    <s v="CIVIL"/>
    <d v="2023-06-30T00:00:00"/>
    <d v="2023-07-10T19:47:44"/>
    <m/>
    <d v="2023-07-10T00:00:00"/>
    <n v="1176"/>
    <n v="3191"/>
    <s v="56512815"/>
    <s v="56512815"/>
    <m/>
    <m/>
    <m/>
    <m/>
    <m/>
    <m/>
    <s v="SOLRECOUP"/>
    <s v="SOLRECOUP"/>
    <s v="POARECOUP"/>
    <n v="21356496"/>
    <n v="-155"/>
    <m/>
    <s v="Y"/>
    <n v="1"/>
    <d v="2023-07-10T19:47:45"/>
    <s v="N"/>
    <m/>
    <m/>
    <s v="Non Expert Disbursement"/>
    <m/>
    <s v="N"/>
    <n v="-155"/>
    <n v="0"/>
    <x v="2"/>
    <s v="VALIDATED"/>
    <n v="1"/>
    <s v="01.11.80.307.2013.0000"/>
    <n v="-155"/>
    <s v="11"/>
    <s v="2013"/>
    <n v="-4106.08"/>
    <n v="-155"/>
    <s v="DEBTOR"/>
    <n v="0"/>
    <n v="0"/>
    <n v="0"/>
    <n v="0"/>
    <n v="0"/>
  </r>
  <r>
    <n v="56512815"/>
    <s v="N"/>
    <n v="21356496"/>
    <s v="3000013460090001RC"/>
    <s v="CIVIL"/>
    <d v="2023-06-30T00:00:00"/>
    <d v="2023-07-10T19:47:44"/>
    <m/>
    <d v="2023-07-10T00:00:00"/>
    <n v="1176"/>
    <n v="3191"/>
    <s v="56512815"/>
    <s v="56512815"/>
    <m/>
    <m/>
    <m/>
    <m/>
    <m/>
    <m/>
    <s v="SOLRECOUP"/>
    <s v="SOLRECOUP"/>
    <s v="POARECOUP"/>
    <n v="21356496"/>
    <n v="-155"/>
    <m/>
    <s v="Y"/>
    <n v="2"/>
    <d v="2023-07-10T19:47:45"/>
    <s v="N"/>
    <m/>
    <m/>
    <s v="Non Expert Disbursement"/>
    <m/>
    <s v="N"/>
    <n v="0"/>
    <n v="0"/>
    <x v="2"/>
    <s v="VALIDATED"/>
    <n v="1"/>
    <s v="01.11.80.000.0000.0000"/>
    <n v="0"/>
    <s v="11"/>
    <s v="0000"/>
    <n v="-4106.08"/>
    <n v="0"/>
    <s v="DEBTOR"/>
    <n v="0"/>
    <n v="0"/>
    <n v="0"/>
    <n v="0"/>
    <n v="0"/>
  </r>
  <r>
    <n v="56512815"/>
    <s v="N"/>
    <n v="21356497"/>
    <s v="3000013460090006RC"/>
    <s v="CIVIL"/>
    <d v="2023-06-30T00:00:00"/>
    <d v="2023-07-10T19:47:44"/>
    <m/>
    <d v="2023-07-10T00:00:00"/>
    <n v="1176"/>
    <n v="3191"/>
    <s v="56512815"/>
    <s v="56512815"/>
    <m/>
    <m/>
    <m/>
    <m/>
    <m/>
    <m/>
    <s v="SOLRECOUP"/>
    <s v="SOLRECOUP"/>
    <s v="POARECOUP"/>
    <n v="21356497"/>
    <n v="-155"/>
    <m/>
    <s v="Y"/>
    <n v="1"/>
    <d v="2023-07-10T19:47:45"/>
    <s v="N"/>
    <m/>
    <m/>
    <s v="Non Expert Disbursement"/>
    <m/>
    <s v="N"/>
    <n v="-155"/>
    <n v="0"/>
    <x v="2"/>
    <s v="VALIDATED"/>
    <n v="1"/>
    <s v="01.11.80.307.2013.0000"/>
    <n v="-155"/>
    <s v="11"/>
    <s v="2013"/>
    <n v="-4106.08"/>
    <n v="-155"/>
    <s v="DEBTOR"/>
    <n v="0"/>
    <n v="0"/>
    <n v="0"/>
    <n v="0"/>
    <n v="0"/>
  </r>
  <r>
    <n v="56512815"/>
    <s v="N"/>
    <n v="21356497"/>
    <s v="3000013460090006RC"/>
    <s v="CIVIL"/>
    <d v="2023-06-30T00:00:00"/>
    <d v="2023-07-10T19:47:44"/>
    <m/>
    <d v="2023-07-10T00:00:00"/>
    <n v="1176"/>
    <n v="3191"/>
    <s v="56512815"/>
    <s v="56512815"/>
    <m/>
    <m/>
    <m/>
    <m/>
    <m/>
    <m/>
    <s v="SOLRECOUP"/>
    <s v="SOLRECOUP"/>
    <s v="POARECOUP"/>
    <n v="21356497"/>
    <n v="-155"/>
    <m/>
    <s v="Y"/>
    <n v="2"/>
    <d v="2023-07-10T19:47:45"/>
    <s v="N"/>
    <m/>
    <m/>
    <s v="Non Expert Disbursement"/>
    <m/>
    <s v="N"/>
    <n v="0"/>
    <n v="0"/>
    <x v="2"/>
    <s v="VALIDATED"/>
    <n v="1"/>
    <s v="01.11.80.000.0000.0000"/>
    <n v="0"/>
    <s v="11"/>
    <s v="0000"/>
    <n v="-4106.08"/>
    <n v="0"/>
    <s v="DEBTOR"/>
    <n v="0"/>
    <n v="0"/>
    <n v="0"/>
    <n v="0"/>
    <n v="0"/>
  </r>
  <r>
    <n v="56512815"/>
    <s v="N"/>
    <n v="21356498"/>
    <s v="3000013460090007RC"/>
    <s v="CIVIL"/>
    <d v="2023-06-30T00:00:00"/>
    <d v="2023-07-10T19:47:44"/>
    <m/>
    <d v="2023-07-10T00:00:00"/>
    <n v="1176"/>
    <n v="3191"/>
    <s v="56512815"/>
    <s v="56512815"/>
    <m/>
    <m/>
    <m/>
    <m/>
    <m/>
    <m/>
    <s v="SOLRECOUP"/>
    <s v="SOLRECOUP"/>
    <s v="POARECOUP"/>
    <n v="21356498"/>
    <n v="-90"/>
    <m/>
    <s v="Y"/>
    <n v="1"/>
    <d v="2023-07-10T19:47:45"/>
    <s v="N"/>
    <m/>
    <m/>
    <s v="Non Expert Disbursement"/>
    <m/>
    <s v="N"/>
    <n v="-90"/>
    <n v="0"/>
    <x v="2"/>
    <s v="VALIDATED"/>
    <n v="1"/>
    <s v="01.11.80.307.2013.0000"/>
    <n v="-90"/>
    <s v="11"/>
    <s v="2013"/>
    <n v="-4106.08"/>
    <n v="-90"/>
    <s v="DEBTOR"/>
    <n v="0"/>
    <n v="0"/>
    <n v="0"/>
    <n v="0"/>
    <n v="0"/>
  </r>
  <r>
    <n v="56512815"/>
    <s v="N"/>
    <n v="21356498"/>
    <s v="3000013460090007RC"/>
    <s v="CIVIL"/>
    <d v="2023-06-30T00:00:00"/>
    <d v="2023-07-10T19:47:44"/>
    <m/>
    <d v="2023-07-10T00:00:00"/>
    <n v="1176"/>
    <n v="3191"/>
    <s v="56512815"/>
    <s v="56512815"/>
    <m/>
    <m/>
    <m/>
    <m/>
    <m/>
    <m/>
    <s v="SOLRECOUP"/>
    <s v="SOLRECOUP"/>
    <s v="POARECOUP"/>
    <n v="21356498"/>
    <n v="-90"/>
    <m/>
    <s v="Y"/>
    <n v="2"/>
    <d v="2023-07-10T19:47:45"/>
    <s v="N"/>
    <m/>
    <m/>
    <s v="Non Expert Disbursement"/>
    <m/>
    <s v="N"/>
    <n v="0"/>
    <n v="0"/>
    <x v="2"/>
    <s v="VALIDATED"/>
    <n v="1"/>
    <s v="01.11.80.000.0000.0000"/>
    <n v="0"/>
    <s v="11"/>
    <s v="0000"/>
    <n v="-4106.08"/>
    <n v="0"/>
    <s v="DEBTOR"/>
    <n v="0"/>
    <n v="0"/>
    <n v="0"/>
    <n v="0"/>
    <n v="0"/>
  </r>
  <r>
    <n v="56512815"/>
    <s v="N"/>
    <n v="21356499"/>
    <s v="3000013460090013RC"/>
    <s v="CIVIL"/>
    <d v="2023-06-30T00:00:00"/>
    <d v="2023-07-10T19:47:44"/>
    <m/>
    <d v="2023-07-10T00:00:00"/>
    <n v="1176"/>
    <n v="3191"/>
    <s v="56512815"/>
    <s v="56512815"/>
    <m/>
    <m/>
    <m/>
    <m/>
    <m/>
    <m/>
    <s v="SOLRECOUP"/>
    <s v="SOLRECOUP"/>
    <s v="POARECOUP"/>
    <n v="21356499"/>
    <n v="-53"/>
    <m/>
    <s v="Y"/>
    <n v="1"/>
    <d v="2023-07-10T19:47:45"/>
    <s v="N"/>
    <m/>
    <m/>
    <s v="Non Expert Disbursement"/>
    <m/>
    <s v="N"/>
    <n v="-53"/>
    <n v="0"/>
    <x v="2"/>
    <s v="VALIDATED"/>
    <n v="1"/>
    <s v="01.11.80.307.2013.0000"/>
    <n v="-53"/>
    <s v="11"/>
    <s v="2013"/>
    <n v="-4106.08"/>
    <n v="-53"/>
    <s v="DEBTOR"/>
    <n v="0"/>
    <n v="0"/>
    <n v="0"/>
    <n v="0"/>
    <n v="0"/>
  </r>
  <r>
    <n v="56512815"/>
    <s v="N"/>
    <n v="21356499"/>
    <s v="3000013460090013RC"/>
    <s v="CIVIL"/>
    <d v="2023-06-30T00:00:00"/>
    <d v="2023-07-10T19:47:44"/>
    <m/>
    <d v="2023-07-10T00:00:00"/>
    <n v="1176"/>
    <n v="3191"/>
    <s v="56512815"/>
    <s v="56512815"/>
    <m/>
    <m/>
    <m/>
    <m/>
    <m/>
    <m/>
    <s v="SOLRECOUP"/>
    <s v="SOLRECOUP"/>
    <s v="POARECOUP"/>
    <n v="21356499"/>
    <n v="-53"/>
    <m/>
    <s v="Y"/>
    <n v="2"/>
    <d v="2023-07-10T19:47:45"/>
    <s v="N"/>
    <m/>
    <m/>
    <s v="Non Expert Disbursement"/>
    <m/>
    <s v="N"/>
    <n v="0"/>
    <n v="0"/>
    <x v="2"/>
    <s v="VALIDATED"/>
    <n v="1"/>
    <s v="01.11.80.000.0000.0000"/>
    <n v="0"/>
    <s v="11"/>
    <s v="0000"/>
    <n v="-4106.08"/>
    <n v="0"/>
    <s v="DEBTOR"/>
    <n v="0"/>
    <n v="0"/>
    <n v="0"/>
    <n v="0"/>
    <n v="0"/>
  </r>
  <r>
    <n v="56512815"/>
    <s v="N"/>
    <n v="21356500"/>
    <s v="3000013460090014RC"/>
    <s v="CIVIL"/>
    <d v="2023-06-30T00:00:00"/>
    <d v="2023-07-10T19:47:44"/>
    <m/>
    <d v="2023-07-10T00:00:00"/>
    <n v="1176"/>
    <n v="3191"/>
    <s v="56512815"/>
    <s v="56512815"/>
    <m/>
    <m/>
    <m/>
    <m/>
    <m/>
    <m/>
    <s v="SOLRECOUP"/>
    <s v="SOLRECOUP"/>
    <s v="POARECOUP"/>
    <n v="21356500"/>
    <n v="-167"/>
    <m/>
    <s v="Y"/>
    <n v="2"/>
    <d v="2023-07-10T19:47:45"/>
    <s v="N"/>
    <m/>
    <m/>
    <s v="Non Expert Disbursement"/>
    <m/>
    <s v="N"/>
    <n v="0"/>
    <n v="0"/>
    <x v="2"/>
    <s v="VALIDATED"/>
    <n v="1"/>
    <s v="01.11.80.000.0000.0000"/>
    <n v="0"/>
    <s v="11"/>
    <s v="0000"/>
    <n v="-4106.08"/>
    <n v="0"/>
    <s v="DEBTOR"/>
    <n v="0"/>
    <n v="0"/>
    <n v="0"/>
    <n v="0"/>
    <n v="0"/>
  </r>
  <r>
    <n v="56512815"/>
    <s v="N"/>
    <n v="21356500"/>
    <s v="3000013460090014RC"/>
    <s v="CIVIL"/>
    <d v="2023-06-30T00:00:00"/>
    <d v="2023-07-10T19:47:44"/>
    <m/>
    <d v="2023-07-10T00:00:00"/>
    <n v="1176"/>
    <n v="3191"/>
    <s v="56512815"/>
    <s v="56512815"/>
    <m/>
    <m/>
    <m/>
    <m/>
    <m/>
    <m/>
    <s v="SOLRECOUP"/>
    <s v="SOLRECOUP"/>
    <s v="POARECOUP"/>
    <n v="21356500"/>
    <n v="-167"/>
    <m/>
    <s v="Y"/>
    <n v="1"/>
    <d v="2023-07-10T19:47:45"/>
    <s v="N"/>
    <m/>
    <m/>
    <s v="Non Expert Disbursement"/>
    <m/>
    <s v="N"/>
    <n v="-167"/>
    <n v="0"/>
    <x v="2"/>
    <s v="VALIDATED"/>
    <n v="1"/>
    <s v="01.11.80.307.2013.0000"/>
    <n v="-167"/>
    <s v="11"/>
    <s v="2013"/>
    <n v="-4106.08"/>
    <n v="-167"/>
    <s v="DEBTOR"/>
    <n v="0"/>
    <n v="0"/>
    <n v="0"/>
    <n v="0"/>
    <n v="0"/>
  </r>
  <r>
    <n v="56512815"/>
    <s v="N"/>
    <n v="21356501"/>
    <s v="3000013460090012RC"/>
    <s v="CIVIL"/>
    <d v="2023-06-30T00:00:00"/>
    <d v="2023-07-10T19:47:44"/>
    <m/>
    <d v="2023-07-10T00:00:00"/>
    <n v="1176"/>
    <n v="3191"/>
    <s v="56512815"/>
    <s v="56512815"/>
    <m/>
    <m/>
    <m/>
    <m/>
    <m/>
    <m/>
    <s v="SOLRECOUP"/>
    <s v="SOLRECOUP"/>
    <s v="POARECOUP"/>
    <n v="21356501"/>
    <n v="-152.4"/>
    <m/>
    <s v="Y"/>
    <n v="1"/>
    <d v="2023-07-10T19:47:45"/>
    <s v="N"/>
    <m/>
    <m/>
    <s v="Non Expert Disbursement"/>
    <m/>
    <s v="N"/>
    <n v="-152.4"/>
    <n v="0"/>
    <x v="2"/>
    <s v="VALIDATED"/>
    <n v="1"/>
    <s v="01.11.80.307.2013.0000"/>
    <n v="-152.4"/>
    <s v="11"/>
    <s v="2013"/>
    <n v="-4106.08"/>
    <n v="-152.4"/>
    <s v="DEBTOR"/>
    <n v="0"/>
    <n v="0"/>
    <n v="0"/>
    <n v="0"/>
    <n v="0"/>
  </r>
  <r>
    <n v="56512815"/>
    <s v="N"/>
    <n v="21356501"/>
    <s v="3000013460090012RC"/>
    <s v="CIVIL"/>
    <d v="2023-06-30T00:00:00"/>
    <d v="2023-07-10T19:47:44"/>
    <m/>
    <d v="2023-07-10T00:00:00"/>
    <n v="1176"/>
    <n v="3191"/>
    <s v="56512815"/>
    <s v="56512815"/>
    <m/>
    <m/>
    <m/>
    <m/>
    <m/>
    <m/>
    <s v="SOLRECOUP"/>
    <s v="SOLRECOUP"/>
    <s v="POARECOUP"/>
    <n v="21356501"/>
    <n v="-152.4"/>
    <m/>
    <s v="Y"/>
    <n v="2"/>
    <d v="2023-07-10T19:47:45"/>
    <s v="N"/>
    <m/>
    <m/>
    <s v="Non Expert Disbursement"/>
    <m/>
    <s v="N"/>
    <n v="0"/>
    <n v="0"/>
    <x v="2"/>
    <s v="VALIDATED"/>
    <n v="1"/>
    <s v="01.11.80.000.0000.0000"/>
    <n v="0"/>
    <s v="11"/>
    <s v="0000"/>
    <n v="-4106.08"/>
    <n v="0"/>
    <s v="DEBTOR"/>
    <n v="0"/>
    <n v="0"/>
    <n v="0"/>
    <n v="0"/>
    <n v="0"/>
  </r>
  <r>
    <n v="56512815"/>
    <s v="N"/>
    <n v="21356502"/>
    <s v="3000013460090017RC"/>
    <s v="CIVIL"/>
    <d v="2023-06-30T00:00:00"/>
    <d v="2023-07-10T19:47:44"/>
    <m/>
    <d v="2023-07-10T00:00:00"/>
    <n v="1176"/>
    <n v="3191"/>
    <s v="56512815"/>
    <s v="56512815"/>
    <m/>
    <m/>
    <m/>
    <m/>
    <m/>
    <m/>
    <s v="SOLRECOUP"/>
    <s v="SOLRECOUP"/>
    <s v="POARECOUP"/>
    <n v="21356502"/>
    <n v="-167"/>
    <m/>
    <s v="Y"/>
    <n v="1"/>
    <d v="2023-07-10T19:47:45"/>
    <s v="N"/>
    <m/>
    <m/>
    <s v="Non Expert Disbursement"/>
    <m/>
    <s v="N"/>
    <n v="-167"/>
    <n v="0"/>
    <x v="2"/>
    <s v="VALIDATED"/>
    <n v="1"/>
    <s v="01.11.80.307.2013.0000"/>
    <n v="-167"/>
    <s v="11"/>
    <s v="2013"/>
    <n v="-4106.08"/>
    <n v="-167"/>
    <s v="DEBTOR"/>
    <n v="0"/>
    <n v="0"/>
    <n v="0"/>
    <n v="0"/>
    <n v="0"/>
  </r>
  <r>
    <n v="56512815"/>
    <s v="N"/>
    <n v="21356502"/>
    <s v="3000013460090017RC"/>
    <s v="CIVIL"/>
    <d v="2023-06-30T00:00:00"/>
    <d v="2023-07-10T19:47:44"/>
    <m/>
    <d v="2023-07-10T00:00:00"/>
    <n v="1176"/>
    <n v="3191"/>
    <s v="56512815"/>
    <s v="56512815"/>
    <m/>
    <m/>
    <m/>
    <m/>
    <m/>
    <m/>
    <s v="SOLRECOUP"/>
    <s v="SOLRECOUP"/>
    <s v="POARECOUP"/>
    <n v="21356502"/>
    <n v="-167"/>
    <m/>
    <s v="Y"/>
    <n v="2"/>
    <d v="2023-07-10T19:47:45"/>
    <s v="N"/>
    <m/>
    <m/>
    <s v="Non Expert Disbursement"/>
    <m/>
    <s v="N"/>
    <n v="0"/>
    <n v="0"/>
    <x v="2"/>
    <s v="VALIDATED"/>
    <n v="1"/>
    <s v="01.11.80.000.0000.0000"/>
    <n v="0"/>
    <s v="11"/>
    <s v="0000"/>
    <n v="-4106.08"/>
    <n v="0"/>
    <s v="DEBTOR"/>
    <n v="0"/>
    <n v="0"/>
    <n v="0"/>
    <n v="0"/>
    <n v="0"/>
  </r>
  <r>
    <n v="56512815"/>
    <s v="N"/>
    <n v="21356503"/>
    <s v="3000013460090016RC"/>
    <s v="CIVIL"/>
    <d v="2023-06-30T00:00:00"/>
    <d v="2023-07-10T19:47:44"/>
    <m/>
    <d v="2023-07-10T00:00:00"/>
    <n v="1176"/>
    <n v="3191"/>
    <s v="56512815"/>
    <s v="56512815"/>
    <m/>
    <m/>
    <m/>
    <m/>
    <m/>
    <m/>
    <s v="SOLRECOUP"/>
    <s v="SOLRECOUP"/>
    <s v="POARECOUP"/>
    <n v="21356503"/>
    <n v="-53"/>
    <m/>
    <s v="Y"/>
    <n v="2"/>
    <d v="2023-07-10T19:47:45"/>
    <s v="N"/>
    <m/>
    <m/>
    <s v="Non Expert Disbursement"/>
    <m/>
    <s v="N"/>
    <n v="0"/>
    <n v="0"/>
    <x v="2"/>
    <s v="VALIDATED"/>
    <n v="1"/>
    <s v="01.11.80.000.0000.0000"/>
    <n v="0"/>
    <s v="11"/>
    <s v="0000"/>
    <n v="-4106.08"/>
    <n v="0"/>
    <s v="DEBTOR"/>
    <n v="0"/>
    <n v="0"/>
    <n v="0"/>
    <n v="0"/>
    <n v="0"/>
  </r>
  <r>
    <n v="56512815"/>
    <s v="N"/>
    <n v="21356503"/>
    <s v="3000013460090016RC"/>
    <s v="CIVIL"/>
    <d v="2023-06-30T00:00:00"/>
    <d v="2023-07-10T19:47:44"/>
    <m/>
    <d v="2023-07-10T00:00:00"/>
    <n v="1176"/>
    <n v="3191"/>
    <s v="56512815"/>
    <s v="56512815"/>
    <m/>
    <m/>
    <m/>
    <m/>
    <m/>
    <m/>
    <s v="SOLRECOUP"/>
    <s v="SOLRECOUP"/>
    <s v="POARECOUP"/>
    <n v="21356503"/>
    <n v="-53"/>
    <m/>
    <s v="Y"/>
    <n v="1"/>
    <d v="2023-07-10T19:47:45"/>
    <s v="N"/>
    <m/>
    <m/>
    <s v="Non Expert Disbursement"/>
    <m/>
    <s v="N"/>
    <n v="-53"/>
    <n v="0"/>
    <x v="2"/>
    <s v="VALIDATED"/>
    <n v="1"/>
    <s v="01.11.80.307.2013.0000"/>
    <n v="-53"/>
    <s v="11"/>
    <s v="2013"/>
    <n v="-4106.08"/>
    <n v="-53"/>
    <s v="DEBTOR"/>
    <n v="0"/>
    <n v="0"/>
    <n v="0"/>
    <n v="0"/>
    <n v="0"/>
  </r>
  <r>
    <n v="56512815"/>
    <s v="N"/>
    <n v="21356504"/>
    <s v="3000013460090019RC"/>
    <s v="CIVIL"/>
    <d v="2023-06-30T00:00:00"/>
    <d v="2023-07-10T19:47:44"/>
    <m/>
    <d v="2023-07-10T00:00:00"/>
    <n v="1176"/>
    <n v="3191"/>
    <s v="56512815"/>
    <s v="56512815"/>
    <m/>
    <m/>
    <m/>
    <m/>
    <m/>
    <m/>
    <s v="SOLRECOUP"/>
    <s v="SOLRECOUP"/>
    <s v="POARECOUP"/>
    <n v="21356504"/>
    <n v="-167"/>
    <m/>
    <s v="Y"/>
    <n v="1"/>
    <d v="2023-07-10T19:47:45"/>
    <s v="N"/>
    <m/>
    <m/>
    <s v="Non Expert Disbursement"/>
    <m/>
    <s v="N"/>
    <n v="-167"/>
    <n v="0"/>
    <x v="2"/>
    <s v="VALIDATED"/>
    <n v="1"/>
    <s v="01.11.80.307.2013.0000"/>
    <n v="-167"/>
    <s v="11"/>
    <s v="2013"/>
    <n v="-4106.08"/>
    <n v="-167"/>
    <s v="DEBTOR"/>
    <n v="0"/>
    <n v="0"/>
    <n v="0"/>
    <n v="0"/>
    <n v="0"/>
  </r>
  <r>
    <n v="56512815"/>
    <s v="N"/>
    <n v="21356504"/>
    <s v="3000013460090019RC"/>
    <s v="CIVIL"/>
    <d v="2023-06-30T00:00:00"/>
    <d v="2023-07-10T19:47:44"/>
    <m/>
    <d v="2023-07-10T00:00:00"/>
    <n v="1176"/>
    <n v="3191"/>
    <s v="56512815"/>
    <s v="56512815"/>
    <m/>
    <m/>
    <m/>
    <m/>
    <m/>
    <m/>
    <s v="SOLRECOUP"/>
    <s v="SOLRECOUP"/>
    <s v="POARECOUP"/>
    <n v="21356504"/>
    <n v="-167"/>
    <m/>
    <s v="Y"/>
    <n v="2"/>
    <d v="2023-07-10T19:47:45"/>
    <s v="N"/>
    <m/>
    <m/>
    <s v="Non Expert Disbursement"/>
    <m/>
    <s v="N"/>
    <n v="0"/>
    <n v="0"/>
    <x v="2"/>
    <s v="VALIDATED"/>
    <n v="1"/>
    <s v="01.11.80.000.0000.0000"/>
    <n v="0"/>
    <s v="11"/>
    <s v="0000"/>
    <n v="-4106.08"/>
    <n v="0"/>
    <s v="DEBTOR"/>
    <n v="0"/>
    <n v="0"/>
    <n v="0"/>
    <n v="0"/>
    <n v="0"/>
  </r>
  <r>
    <n v="61843618"/>
    <s v="N"/>
    <n v="21356505"/>
    <s v="3000015906100001RC"/>
    <s v="CIVIL"/>
    <d v="2023-06-29T00:00:00"/>
    <d v="2023-07-10T19:47:44"/>
    <m/>
    <d v="2023-07-10T00:00:00"/>
    <n v="1176"/>
    <n v="3191"/>
    <s v="61843618"/>
    <s v="61843618"/>
    <m/>
    <m/>
    <m/>
    <m/>
    <m/>
    <m/>
    <s v="SOLRECOUP"/>
    <s v="SOLRECOUP"/>
    <s v="POARECOUP"/>
    <n v="21356505"/>
    <n v="-167"/>
    <m/>
    <s v="Y"/>
    <n v="1"/>
    <d v="2023-07-10T19:47:45"/>
    <s v="N"/>
    <m/>
    <m/>
    <s v="Non Expert Disbursement"/>
    <m/>
    <s v="N"/>
    <n v="-167"/>
    <n v="0"/>
    <x v="2"/>
    <s v="VALIDATED"/>
    <n v="1"/>
    <s v="01.11.80.305.2013.0000"/>
    <n v="-167"/>
    <s v="11"/>
    <s v="2013"/>
    <n v="-4106.08"/>
    <n v="-167"/>
    <s v="DEBTOR"/>
    <n v="0"/>
    <n v="0"/>
    <n v="0"/>
    <n v="0"/>
    <n v="0"/>
  </r>
  <r>
    <n v="61843618"/>
    <s v="N"/>
    <n v="21356505"/>
    <s v="3000015906100001RC"/>
    <s v="CIVIL"/>
    <d v="2023-06-29T00:00:00"/>
    <d v="2023-07-10T19:47:44"/>
    <m/>
    <d v="2023-07-10T00:00:00"/>
    <n v="1176"/>
    <n v="3191"/>
    <s v="61843618"/>
    <s v="61843618"/>
    <m/>
    <m/>
    <m/>
    <m/>
    <m/>
    <m/>
    <s v="SOLRECOUP"/>
    <s v="SOLRECOUP"/>
    <s v="POARECOUP"/>
    <n v="21356505"/>
    <n v="-167"/>
    <m/>
    <s v="Y"/>
    <n v="2"/>
    <d v="2023-07-10T19:47:45"/>
    <s v="N"/>
    <m/>
    <m/>
    <s v="Non Expert Disbursement"/>
    <m/>
    <s v="N"/>
    <n v="0"/>
    <n v="0"/>
    <x v="2"/>
    <s v="VALIDATED"/>
    <n v="1"/>
    <s v="01.11.80.000.0000.0000"/>
    <n v="0"/>
    <s v="11"/>
    <s v="0000"/>
    <n v="-4106.08"/>
    <n v="0"/>
    <s v="DEBTOR"/>
    <n v="0"/>
    <n v="0"/>
    <n v="0"/>
    <n v="0"/>
    <n v="0"/>
  </r>
  <r>
    <n v="61843618"/>
    <s v="N"/>
    <n v="21356506"/>
    <s v="3000015906100002RC"/>
    <s v="CIVIL"/>
    <d v="2023-06-29T00:00:00"/>
    <d v="2023-07-10T19:47:44"/>
    <m/>
    <d v="2023-07-10T00:00:00"/>
    <n v="1176"/>
    <n v="3191"/>
    <s v="61843618"/>
    <s v="61843618"/>
    <m/>
    <m/>
    <m/>
    <m/>
    <m/>
    <m/>
    <s v="SOLRECOUP"/>
    <s v="SOLRECOUP"/>
    <s v="POARECOUP"/>
    <n v="21356506"/>
    <n v="-37.6"/>
    <m/>
    <s v="Y"/>
    <n v="1"/>
    <d v="2023-07-10T19:47:45"/>
    <s v="N"/>
    <m/>
    <m/>
    <s v="Non Expert Disbursement"/>
    <m/>
    <s v="N"/>
    <n v="-37.6"/>
    <n v="0"/>
    <x v="2"/>
    <s v="VALIDATED"/>
    <n v="1"/>
    <s v="01.11.80.305.2013.0000"/>
    <n v="-37.6"/>
    <s v="11"/>
    <s v="2013"/>
    <n v="-4106.08"/>
    <n v="-37.6"/>
    <s v="DEBTOR"/>
    <n v="0"/>
    <n v="0"/>
    <n v="0"/>
    <n v="0"/>
    <n v="0"/>
  </r>
  <r>
    <n v="61843618"/>
    <s v="N"/>
    <n v="21356506"/>
    <s v="3000015906100002RC"/>
    <s v="CIVIL"/>
    <d v="2023-06-29T00:00:00"/>
    <d v="2023-07-10T19:47:44"/>
    <m/>
    <d v="2023-07-10T00:00:00"/>
    <n v="1176"/>
    <n v="3191"/>
    <s v="61843618"/>
    <s v="61843618"/>
    <m/>
    <m/>
    <m/>
    <m/>
    <m/>
    <m/>
    <s v="SOLRECOUP"/>
    <s v="SOLRECOUP"/>
    <s v="POARECOUP"/>
    <n v="21356506"/>
    <n v="-37.6"/>
    <m/>
    <s v="Y"/>
    <n v="2"/>
    <d v="2023-07-10T19:47:45"/>
    <s v="N"/>
    <m/>
    <m/>
    <s v="Non Expert Disbursement"/>
    <m/>
    <s v="N"/>
    <n v="0"/>
    <n v="0"/>
    <x v="2"/>
    <s v="VALIDATED"/>
    <n v="1"/>
    <s v="01.11.80.000.0000.0000"/>
    <n v="0"/>
    <s v="11"/>
    <s v="0000"/>
    <n v="-4106.08"/>
    <n v="0"/>
    <s v="DEBTOR"/>
    <n v="0"/>
    <n v="0"/>
    <n v="0"/>
    <n v="0"/>
    <n v="0"/>
  </r>
  <r>
    <n v="61843618"/>
    <s v="N"/>
    <n v="21356507"/>
    <s v="3000015906100003RC"/>
    <s v="CIVIL"/>
    <d v="2023-06-29T00:00:00"/>
    <d v="2023-07-10T19:47:44"/>
    <m/>
    <d v="2023-07-10T00:00:00"/>
    <n v="1176"/>
    <n v="3191"/>
    <s v="61843618"/>
    <s v="61843618"/>
    <m/>
    <m/>
    <m/>
    <m/>
    <m/>
    <m/>
    <s v="SOLRECOUP"/>
    <s v="SOLRECOUP"/>
    <s v="POARECOUP"/>
    <n v="21356507"/>
    <n v="-1517.96"/>
    <m/>
    <s v="Y"/>
    <n v="1"/>
    <d v="2023-07-10T19:47:45"/>
    <s v="N"/>
    <m/>
    <m/>
    <s v="Profit Cost"/>
    <m/>
    <s v="N"/>
    <n v="-1264.97"/>
    <n v="0"/>
    <x v="2"/>
    <s v="VALIDATED"/>
    <n v="1"/>
    <s v="01.11.80.305.2013.0000"/>
    <n v="-1264.97"/>
    <s v="11"/>
    <s v="2013"/>
    <n v="-4106.08"/>
    <n v="-1264.97"/>
    <s v="DEBTOR"/>
    <n v="0"/>
    <n v="0"/>
    <n v="0"/>
    <n v="0"/>
    <n v="0"/>
  </r>
  <r>
    <n v="61843618"/>
    <s v="N"/>
    <n v="21356507"/>
    <s v="3000015906100003RC"/>
    <s v="CIVIL"/>
    <d v="2023-06-29T00:00:00"/>
    <d v="2023-07-10T19:47:44"/>
    <m/>
    <d v="2023-07-10T00:00:00"/>
    <n v="1176"/>
    <n v="3191"/>
    <s v="61843618"/>
    <s v="61843618"/>
    <m/>
    <m/>
    <m/>
    <m/>
    <m/>
    <m/>
    <s v="SOLRECOUP"/>
    <s v="SOLRECOUP"/>
    <s v="POARECOUP"/>
    <n v="21356507"/>
    <n v="-1517.96"/>
    <m/>
    <s v="Y"/>
    <n v="2"/>
    <d v="2023-07-10T19:47:45"/>
    <s v="N"/>
    <m/>
    <m/>
    <s v="Profit Cost"/>
    <m/>
    <s v="N"/>
    <n v="0"/>
    <n v="-252.99"/>
    <x v="2"/>
    <s v="VALIDATED"/>
    <n v="1"/>
    <s v="01.11.80.305.2013.0000"/>
    <n v="-252.99"/>
    <s v="11"/>
    <s v="2013"/>
    <n v="-4106.08"/>
    <n v="-252.99"/>
    <s v="DEBTOR"/>
    <n v="0"/>
    <n v="0"/>
    <n v="0"/>
    <n v="0"/>
    <n v="0"/>
  </r>
  <r>
    <n v="56512815"/>
    <s v="N"/>
    <n v="21356508"/>
    <s v="3000013460090018RC"/>
    <s v="CIVIL"/>
    <d v="2023-06-30T00:00:00"/>
    <d v="2023-07-10T19:47:44"/>
    <m/>
    <d v="2023-07-10T00:00:00"/>
    <n v="1176"/>
    <n v="3191"/>
    <s v="56512815"/>
    <s v="56512815"/>
    <m/>
    <m/>
    <m/>
    <m/>
    <m/>
    <m/>
    <s v="SOLRECOUP"/>
    <s v="SOLRECOUP"/>
    <s v="POARECOUP"/>
    <n v="21356508"/>
    <n v="-70.34999999999999"/>
    <m/>
    <s v="Y"/>
    <n v="1"/>
    <d v="2023-07-10T19:47:45"/>
    <s v="N"/>
    <m/>
    <m/>
    <s v="Non Expert Disbursement"/>
    <m/>
    <s v="N"/>
    <n v="-70.34999999999999"/>
    <n v="0"/>
    <x v="2"/>
    <s v="VALIDATED"/>
    <n v="1"/>
    <s v="01.11.80.307.2013.0000"/>
    <n v="-70.34999999999999"/>
    <s v="11"/>
    <s v="2013"/>
    <n v="-4106.08"/>
    <n v="-70.34999999999999"/>
    <s v="DEBTOR"/>
    <n v="0"/>
    <n v="0"/>
    <n v="0"/>
    <n v="0"/>
    <n v="0"/>
  </r>
  <r>
    <n v="56512815"/>
    <s v="N"/>
    <n v="21356508"/>
    <s v="3000013460090018RC"/>
    <s v="CIVIL"/>
    <d v="2023-06-30T00:00:00"/>
    <d v="2023-07-10T19:47:44"/>
    <m/>
    <d v="2023-07-10T00:00:00"/>
    <n v="1176"/>
    <n v="3191"/>
    <s v="56512815"/>
    <s v="56512815"/>
    <m/>
    <m/>
    <m/>
    <m/>
    <m/>
    <m/>
    <s v="SOLRECOUP"/>
    <s v="SOLRECOUP"/>
    <s v="POARECOUP"/>
    <n v="21356508"/>
    <n v="-70.34999999999999"/>
    <m/>
    <s v="Y"/>
    <n v="2"/>
    <d v="2023-07-10T19:47:45"/>
    <s v="N"/>
    <m/>
    <m/>
    <s v="Non Expert Disbursement"/>
    <m/>
    <s v="N"/>
    <n v="0"/>
    <n v="0"/>
    <x v="2"/>
    <s v="VALIDATED"/>
    <n v="1"/>
    <s v="01.11.80.000.0000.0000"/>
    <n v="0"/>
    <s v="11"/>
    <s v="0000"/>
    <n v="-4106.08"/>
    <n v="0"/>
    <s v="DEBTOR"/>
    <n v="0"/>
    <n v="0"/>
    <n v="0"/>
    <n v="0"/>
    <n v="0"/>
  </r>
  <r>
    <n v="56512815"/>
    <s v="N"/>
    <n v="21356509"/>
    <s v="3000013460090020RC"/>
    <s v="CIVIL"/>
    <d v="2023-06-30T00:00:00"/>
    <d v="2023-07-10T19:47:44"/>
    <m/>
    <d v="2023-07-10T00:00:00"/>
    <n v="1176"/>
    <n v="3191"/>
    <s v="56512815"/>
    <s v="56512815"/>
    <m/>
    <m/>
    <m/>
    <m/>
    <m/>
    <m/>
    <s v="SOLRECOUP"/>
    <s v="SOLRECOUP"/>
    <s v="POARECOUP"/>
    <n v="21356509"/>
    <n v="-423.6"/>
    <m/>
    <s v="Y"/>
    <n v="1"/>
    <d v="2023-07-10T19:47:45"/>
    <s v="N"/>
    <m/>
    <m/>
    <s v="Non Expert Disbursement"/>
    <m/>
    <s v="N"/>
    <n v="-423.6"/>
    <n v="0"/>
    <x v="2"/>
    <s v="VALIDATED"/>
    <n v="1"/>
    <s v="01.11.80.307.2013.0000"/>
    <n v="-423.6"/>
    <s v="11"/>
    <s v="2013"/>
    <n v="-4106.08"/>
    <n v="-423.6"/>
    <s v="DEBTOR"/>
    <n v="0"/>
    <n v="0"/>
    <n v="0"/>
    <n v="0"/>
    <n v="0"/>
  </r>
  <r>
    <n v="56512815"/>
    <s v="N"/>
    <n v="21356509"/>
    <s v="3000013460090020RC"/>
    <s v="CIVIL"/>
    <d v="2023-06-30T00:00:00"/>
    <d v="2023-07-10T19:47:44"/>
    <m/>
    <d v="2023-07-10T00:00:00"/>
    <n v="1176"/>
    <n v="3191"/>
    <s v="56512815"/>
    <s v="56512815"/>
    <m/>
    <m/>
    <m/>
    <m/>
    <m/>
    <m/>
    <s v="SOLRECOUP"/>
    <s v="SOLRECOUP"/>
    <s v="POARECOUP"/>
    <n v="21356509"/>
    <n v="-423.6"/>
    <m/>
    <s v="Y"/>
    <n v="2"/>
    <d v="2023-07-10T19:47:45"/>
    <s v="N"/>
    <m/>
    <m/>
    <s v="Non Expert Disbursement"/>
    <m/>
    <s v="N"/>
    <n v="0"/>
    <n v="0"/>
    <x v="2"/>
    <s v="VALIDATED"/>
    <n v="1"/>
    <s v="01.11.80.000.0000.0000"/>
    <n v="0"/>
    <s v="11"/>
    <s v="0000"/>
    <n v="-4106.08"/>
    <n v="0"/>
    <s v="DEBTOR"/>
    <n v="0"/>
    <n v="0"/>
    <n v="0"/>
    <n v="0"/>
    <n v="0"/>
  </r>
  <r>
    <n v="56512815"/>
    <s v="N"/>
    <n v="21356510"/>
    <s v="3000013460090023RC"/>
    <s v="CIVIL"/>
    <d v="2023-06-30T00:00:00"/>
    <d v="2023-07-10T19:47:44"/>
    <m/>
    <d v="2023-07-10T00:00:00"/>
    <n v="1176"/>
    <n v="3191"/>
    <s v="56512815"/>
    <s v="56512815"/>
    <m/>
    <m/>
    <m/>
    <m/>
    <m/>
    <m/>
    <s v="SOLRECOUP"/>
    <s v="SOLRECOUP"/>
    <s v="POARECOUP"/>
    <n v="21356510"/>
    <n v="-5396.28"/>
    <m/>
    <s v="Y"/>
    <n v="2"/>
    <d v="2023-07-10T19:47:45"/>
    <s v="N"/>
    <m/>
    <m/>
    <s v="Profit Cost"/>
    <m/>
    <s v="N"/>
    <n v="0"/>
    <n v="-899.38"/>
    <x v="2"/>
    <s v="VALIDATED"/>
    <n v="1"/>
    <s v="01.11.80.307.2013.0000"/>
    <n v="-899.38"/>
    <s v="11"/>
    <s v="2013"/>
    <n v="-4106.08"/>
    <n v="-899.38"/>
    <s v="DEBTOR"/>
    <n v="0"/>
    <n v="0"/>
    <n v="0"/>
    <n v="0"/>
    <n v="0"/>
  </r>
  <r>
    <n v="56512815"/>
    <s v="N"/>
    <n v="21356510"/>
    <s v="3000013460090023RC"/>
    <s v="CIVIL"/>
    <d v="2023-06-30T00:00:00"/>
    <d v="2023-07-10T19:47:44"/>
    <m/>
    <d v="2023-07-10T00:00:00"/>
    <n v="1176"/>
    <n v="3191"/>
    <s v="56512815"/>
    <s v="56512815"/>
    <m/>
    <m/>
    <m/>
    <m/>
    <m/>
    <m/>
    <s v="SOLRECOUP"/>
    <s v="SOLRECOUP"/>
    <s v="POARECOUP"/>
    <n v="21356510"/>
    <n v="-5396.28"/>
    <m/>
    <s v="Y"/>
    <n v="1"/>
    <d v="2023-07-10T19:47:45"/>
    <s v="N"/>
    <m/>
    <m/>
    <s v="Profit Cost"/>
    <m/>
    <s v="N"/>
    <n v="-4496.9"/>
    <n v="0"/>
    <x v="2"/>
    <s v="VALIDATED"/>
    <n v="1"/>
    <s v="01.11.80.307.2013.0000"/>
    <n v="-4496.9"/>
    <s v="11"/>
    <s v="2013"/>
    <n v="-4106.08"/>
    <n v="-4496.9"/>
    <s v="DEBTOR"/>
    <n v="0"/>
    <n v="0"/>
    <n v="0"/>
    <n v="0"/>
    <n v="0"/>
  </r>
  <r>
    <n v="56512815"/>
    <s v="N"/>
    <n v="21356511"/>
    <s v="3000013460090022RC"/>
    <s v="CIVIL"/>
    <d v="2023-06-30T00:00:00"/>
    <d v="2023-07-10T19:47:44"/>
    <m/>
    <d v="2023-07-10T00:00:00"/>
    <n v="1176"/>
    <n v="3191"/>
    <s v="56512815"/>
    <s v="56512815"/>
    <m/>
    <m/>
    <m/>
    <m/>
    <m/>
    <m/>
    <s v="SOLRECOUP"/>
    <s v="SOLRECOUP"/>
    <s v="POARECOUP"/>
    <n v="21356511"/>
    <n v="-137.4"/>
    <m/>
    <s v="Y"/>
    <n v="1"/>
    <d v="2023-07-10T19:47:45"/>
    <s v="N"/>
    <m/>
    <m/>
    <s v="Non Expert Disbursement"/>
    <m/>
    <s v="N"/>
    <n v="-137.4"/>
    <n v="0"/>
    <x v="2"/>
    <s v="VALIDATED"/>
    <n v="1"/>
    <s v="01.11.80.307.2013.0000"/>
    <n v="-137.4"/>
    <s v="11"/>
    <s v="2013"/>
    <n v="-4106.08"/>
    <n v="-137.4"/>
    <s v="DEBTOR"/>
    <n v="0"/>
    <n v="0"/>
    <n v="0"/>
    <n v="0"/>
    <n v="0"/>
  </r>
  <r>
    <n v="56512815"/>
    <s v="N"/>
    <n v="21356511"/>
    <s v="3000013460090022RC"/>
    <s v="CIVIL"/>
    <d v="2023-06-30T00:00:00"/>
    <d v="2023-07-10T19:47:44"/>
    <m/>
    <d v="2023-07-10T00:00:00"/>
    <n v="1176"/>
    <n v="3191"/>
    <s v="56512815"/>
    <s v="56512815"/>
    <m/>
    <m/>
    <m/>
    <m/>
    <m/>
    <m/>
    <s v="SOLRECOUP"/>
    <s v="SOLRECOUP"/>
    <s v="POARECOUP"/>
    <n v="21356511"/>
    <n v="-137.4"/>
    <m/>
    <s v="Y"/>
    <n v="2"/>
    <d v="2023-07-10T19:47:45"/>
    <s v="N"/>
    <m/>
    <m/>
    <s v="Non Expert Disbursement"/>
    <m/>
    <s v="N"/>
    <n v="0"/>
    <n v="0"/>
    <x v="2"/>
    <s v="VALIDATED"/>
    <n v="1"/>
    <s v="01.11.80.000.0000.0000"/>
    <n v="0"/>
    <s v="11"/>
    <s v="0000"/>
    <n v="-4106.08"/>
    <n v="0"/>
    <s v="DEBTOR"/>
    <n v="0"/>
    <n v="0"/>
    <n v="0"/>
    <n v="0"/>
    <n v="0"/>
  </r>
  <r>
    <n v="56512815"/>
    <s v="N"/>
    <n v="21356512"/>
    <s v="3000013460090024RC"/>
    <s v="CIVIL"/>
    <d v="2023-06-30T00:00:00"/>
    <d v="2023-07-10T19:47:44"/>
    <m/>
    <d v="2023-07-10T00:00:00"/>
    <n v="1176"/>
    <n v="3191"/>
    <s v="56512815"/>
    <s v="56512815"/>
    <m/>
    <m/>
    <m/>
    <m/>
    <m/>
    <m/>
    <s v="SOLRECOUP"/>
    <s v="SOLRECOUP"/>
    <s v="POARECOUP"/>
    <n v="21356512"/>
    <n v="-167"/>
    <m/>
    <s v="Y"/>
    <n v="1"/>
    <d v="2023-07-10T19:47:45"/>
    <s v="N"/>
    <m/>
    <m/>
    <s v="Expert Disbursement"/>
    <m/>
    <s v="N"/>
    <n v="-167"/>
    <n v="0"/>
    <x v="2"/>
    <s v="VALIDATED"/>
    <n v="1"/>
    <s v="01.11.80.307.2013.0000"/>
    <n v="-167"/>
    <s v="11"/>
    <s v="2013"/>
    <n v="-4106.08"/>
    <n v="-167"/>
    <s v="DEBTOR"/>
    <n v="0"/>
    <n v="0"/>
    <n v="0"/>
    <n v="0"/>
    <n v="0"/>
  </r>
  <r>
    <n v="56512815"/>
    <s v="N"/>
    <n v="21356512"/>
    <s v="3000013460090024RC"/>
    <s v="CIVIL"/>
    <d v="2023-06-30T00:00:00"/>
    <d v="2023-07-10T19:47:44"/>
    <m/>
    <d v="2023-07-10T00:00:00"/>
    <n v="1176"/>
    <n v="3191"/>
    <s v="56512815"/>
    <s v="56512815"/>
    <m/>
    <m/>
    <m/>
    <m/>
    <m/>
    <m/>
    <s v="SOLRECOUP"/>
    <s v="SOLRECOUP"/>
    <s v="POARECOUP"/>
    <n v="21356512"/>
    <n v="-167"/>
    <m/>
    <s v="Y"/>
    <n v="2"/>
    <d v="2023-07-10T19:47:45"/>
    <s v="N"/>
    <m/>
    <m/>
    <s v="Expert Disbursement"/>
    <m/>
    <s v="N"/>
    <n v="0"/>
    <n v="0"/>
    <x v="2"/>
    <s v="VALIDATED"/>
    <n v="1"/>
    <s v="01.11.80.000.0000.0000"/>
    <n v="0"/>
    <s v="11"/>
    <s v="0000"/>
    <n v="-4106.08"/>
    <n v="0"/>
    <s v="DEBTOR"/>
    <n v="0"/>
    <n v="0"/>
    <n v="0"/>
    <n v="0"/>
    <n v="0"/>
  </r>
  <r>
    <n v="56512815"/>
    <s v="N"/>
    <n v="21356513"/>
    <s v="3000013460090021RC"/>
    <s v="CIVIL"/>
    <d v="2023-06-30T00:00:00"/>
    <d v="2023-07-10T19:47:44"/>
    <m/>
    <d v="2023-07-10T00:00:00"/>
    <n v="1176"/>
    <n v="3191"/>
    <s v="56512815"/>
    <s v="56512815"/>
    <m/>
    <m/>
    <m/>
    <m/>
    <m/>
    <m/>
    <s v="SOLRECOUP"/>
    <s v="SOLRECOUP"/>
    <s v="POARECOUP"/>
    <n v="21356513"/>
    <n v="-1929"/>
    <m/>
    <s v="Y"/>
    <n v="2"/>
    <d v="2023-07-10T19:47:45"/>
    <s v="N"/>
    <m/>
    <m/>
    <s v="Non Expert Disbursement"/>
    <m/>
    <s v="N"/>
    <n v="0"/>
    <n v="-321.5"/>
    <x v="2"/>
    <s v="VALIDATED"/>
    <n v="1"/>
    <s v="01.11.80.307.2013.0000"/>
    <n v="-321.5"/>
    <s v="11"/>
    <s v="2013"/>
    <n v="-4106.08"/>
    <n v="-321.5"/>
    <s v="DEBTOR"/>
    <n v="0"/>
    <n v="0"/>
    <n v="0"/>
    <n v="0"/>
    <n v="0"/>
  </r>
  <r>
    <n v="56512815"/>
    <s v="N"/>
    <n v="21356513"/>
    <s v="3000013460090021RC"/>
    <s v="CIVIL"/>
    <d v="2023-06-30T00:00:00"/>
    <d v="2023-07-10T19:47:44"/>
    <m/>
    <d v="2023-07-10T00:00:00"/>
    <n v="1176"/>
    <n v="3191"/>
    <s v="56512815"/>
    <s v="56512815"/>
    <m/>
    <m/>
    <m/>
    <m/>
    <m/>
    <m/>
    <s v="SOLRECOUP"/>
    <s v="SOLRECOUP"/>
    <s v="POARECOUP"/>
    <n v="21356513"/>
    <n v="-1929"/>
    <m/>
    <s v="Y"/>
    <n v="1"/>
    <d v="2023-07-10T19:47:45"/>
    <s v="N"/>
    <m/>
    <m/>
    <s v="Non Expert Disbursement"/>
    <m/>
    <s v="N"/>
    <n v="-1607.5"/>
    <n v="0"/>
    <x v="2"/>
    <s v="VALIDATED"/>
    <n v="1"/>
    <s v="01.11.80.307.2013.0000"/>
    <n v="-1607.5"/>
    <s v="11"/>
    <s v="2013"/>
    <n v="-4106.08"/>
    <n v="-1607.5"/>
    <s v="DEBTOR"/>
    <n v="0"/>
    <n v="0"/>
    <n v="0"/>
    <n v="0"/>
    <n v="0"/>
  </r>
  <r>
    <n v="61843618"/>
    <s v="N"/>
    <n v="21356514"/>
    <s v="3000015906100006RC"/>
    <s v="CIVIL"/>
    <d v="2023-06-29T00:00:00"/>
    <d v="2023-07-10T19:47:44"/>
    <m/>
    <d v="2023-07-10T00:00:00"/>
    <n v="1176"/>
    <n v="3191"/>
    <s v="61843618"/>
    <s v="61843618"/>
    <m/>
    <m/>
    <m/>
    <m/>
    <m/>
    <m/>
    <s v="SOLRECOUP"/>
    <s v="SOLRECOUP"/>
    <s v="POARECOUP"/>
    <n v="21356514"/>
    <n v="-533.77"/>
    <m/>
    <s v="Y"/>
    <n v="2"/>
    <d v="2023-07-10T19:47:45"/>
    <s v="N"/>
    <m/>
    <m/>
    <s v="Profit Cost"/>
    <m/>
    <s v="N"/>
    <n v="0"/>
    <n v="-88.95999999999999"/>
    <x v="2"/>
    <s v="VALIDATED"/>
    <n v="1"/>
    <s v="01.11.80.305.2013.0000"/>
    <n v="-88.95999999999999"/>
    <s v="11"/>
    <s v="2013"/>
    <n v="-4106.08"/>
    <n v="-88.95999999999999"/>
    <s v="DEBTOR"/>
    <n v="0"/>
    <n v="0"/>
    <n v="0"/>
    <n v="0"/>
    <n v="0"/>
  </r>
  <r>
    <n v="61843618"/>
    <s v="N"/>
    <n v="21356514"/>
    <s v="3000015906100006RC"/>
    <s v="CIVIL"/>
    <d v="2023-06-29T00:00:00"/>
    <d v="2023-07-10T19:47:44"/>
    <m/>
    <d v="2023-07-10T00:00:00"/>
    <n v="1176"/>
    <n v="3191"/>
    <s v="61843618"/>
    <s v="61843618"/>
    <m/>
    <m/>
    <m/>
    <m/>
    <m/>
    <m/>
    <s v="SOLRECOUP"/>
    <s v="SOLRECOUP"/>
    <s v="POARECOUP"/>
    <n v="21356514"/>
    <n v="-533.77"/>
    <m/>
    <s v="Y"/>
    <n v="1"/>
    <d v="2023-07-10T19:47:45"/>
    <s v="N"/>
    <m/>
    <m/>
    <s v="Profit Cost"/>
    <m/>
    <s v="N"/>
    <n v="-444.81"/>
    <n v="0"/>
    <x v="2"/>
    <s v="VALIDATED"/>
    <n v="1"/>
    <s v="01.11.80.305.2013.0000"/>
    <n v="-444.81"/>
    <s v="11"/>
    <s v="2013"/>
    <n v="-4106.08"/>
    <n v="-444.81"/>
    <s v="DEBTOR"/>
    <n v="0"/>
    <n v="0"/>
    <n v="0"/>
    <n v="0"/>
    <n v="0"/>
  </r>
  <r>
    <n v="61843618"/>
    <s v="N"/>
    <n v="21356515"/>
    <s v="3000015906100004RC"/>
    <s v="CIVIL"/>
    <d v="2023-06-29T00:00:00"/>
    <d v="2023-07-10T19:47:44"/>
    <m/>
    <d v="2023-07-10T00:00:00"/>
    <n v="1176"/>
    <n v="3191"/>
    <s v="61843618"/>
    <s v="61843618"/>
    <m/>
    <m/>
    <m/>
    <m/>
    <m/>
    <m/>
    <s v="SOLRECOUP"/>
    <s v="SOLRECOUP"/>
    <s v="POARECOUP"/>
    <n v="21356515"/>
    <n v="-9.800000000000001"/>
    <m/>
    <s v="Y"/>
    <n v="1"/>
    <d v="2023-07-10T19:47:45"/>
    <s v="N"/>
    <m/>
    <m/>
    <s v="Non Expert Disbursement"/>
    <m/>
    <s v="N"/>
    <n v="-9.800000000000001"/>
    <n v="0"/>
    <x v="2"/>
    <s v="VALIDATED"/>
    <n v="1"/>
    <s v="01.11.80.305.2013.0000"/>
    <n v="-9.800000000000001"/>
    <s v="11"/>
    <s v="2013"/>
    <n v="-4106.08"/>
    <n v="-9.800000000000001"/>
    <s v="DEBTOR"/>
    <n v="0"/>
    <n v="0"/>
    <n v="0"/>
    <n v="0"/>
    <n v="0"/>
  </r>
  <r>
    <n v="61843618"/>
    <s v="N"/>
    <n v="21356515"/>
    <s v="3000015906100004RC"/>
    <s v="CIVIL"/>
    <d v="2023-06-29T00:00:00"/>
    <d v="2023-07-10T19:47:44"/>
    <m/>
    <d v="2023-07-10T00:00:00"/>
    <n v="1176"/>
    <n v="3191"/>
    <s v="61843618"/>
    <s v="61843618"/>
    <m/>
    <m/>
    <m/>
    <m/>
    <m/>
    <m/>
    <s v="SOLRECOUP"/>
    <s v="SOLRECOUP"/>
    <s v="POARECOUP"/>
    <n v="21356515"/>
    <n v="-9.800000000000001"/>
    <m/>
    <s v="Y"/>
    <n v="2"/>
    <d v="2023-07-10T19:47:45"/>
    <s v="N"/>
    <m/>
    <m/>
    <s v="Non Expert Disbursement"/>
    <m/>
    <s v="N"/>
    <n v="0"/>
    <n v="0"/>
    <x v="2"/>
    <s v="VALIDATED"/>
    <n v="1"/>
    <s v="01.11.80.000.0000.0000"/>
    <n v="0"/>
    <s v="11"/>
    <s v="0000"/>
    <n v="-4106.08"/>
    <n v="0"/>
    <s v="DEBTOR"/>
    <n v="0"/>
    <n v="0"/>
    <n v="0"/>
    <n v="0"/>
    <n v="0"/>
  </r>
  <r>
    <n v="61843618"/>
    <s v="N"/>
    <n v="21356516"/>
    <s v="3000015906100005RC"/>
    <s v="CIVIL"/>
    <d v="2023-06-29T00:00:00"/>
    <d v="2023-07-10T19:47:44"/>
    <m/>
    <d v="2023-07-10T00:00:00"/>
    <n v="1176"/>
    <n v="3191"/>
    <s v="61843618"/>
    <s v="61843618"/>
    <m/>
    <m/>
    <m/>
    <m/>
    <m/>
    <m/>
    <s v="SOLRECOUP"/>
    <s v="SOLRECOUP"/>
    <s v="POARECOUP"/>
    <n v="21356516"/>
    <n v="-29.16"/>
    <m/>
    <s v="Y"/>
    <n v="2"/>
    <d v="2023-07-10T19:47:45"/>
    <s v="N"/>
    <m/>
    <m/>
    <s v="Non Expert Disbursement"/>
    <m/>
    <s v="N"/>
    <n v="0"/>
    <n v="-4.86"/>
    <x v="2"/>
    <s v="VALIDATED"/>
    <n v="1"/>
    <s v="01.11.80.305.2013.0000"/>
    <n v="-4.86"/>
    <s v="11"/>
    <s v="2013"/>
    <n v="-4106.08"/>
    <n v="-4.86"/>
    <s v="DEBTOR"/>
    <n v="0"/>
    <n v="0"/>
    <n v="0"/>
    <n v="0"/>
    <n v="0"/>
  </r>
  <r>
    <n v="61843618"/>
    <s v="N"/>
    <n v="21356516"/>
    <s v="3000015906100005RC"/>
    <s v="CIVIL"/>
    <d v="2023-06-29T00:00:00"/>
    <d v="2023-07-10T19:47:44"/>
    <m/>
    <d v="2023-07-10T00:00:00"/>
    <n v="1176"/>
    <n v="3191"/>
    <s v="61843618"/>
    <s v="61843618"/>
    <m/>
    <m/>
    <m/>
    <m/>
    <m/>
    <m/>
    <s v="SOLRECOUP"/>
    <s v="SOLRECOUP"/>
    <s v="POARECOUP"/>
    <n v="21356516"/>
    <n v="-29.16"/>
    <m/>
    <s v="Y"/>
    <n v="1"/>
    <d v="2023-07-10T19:47:45"/>
    <s v="N"/>
    <m/>
    <m/>
    <s v="Non Expert Disbursement"/>
    <m/>
    <s v="N"/>
    <n v="-24.3"/>
    <n v="0"/>
    <x v="2"/>
    <s v="VALIDATED"/>
    <n v="1"/>
    <s v="01.11.80.305.2013.0000"/>
    <n v="-24.3"/>
    <s v="11"/>
    <s v="2013"/>
    <n v="-4106.08"/>
    <n v="-24.3"/>
    <s v="DEBTOR"/>
    <n v="0"/>
    <n v="0"/>
    <n v="0"/>
    <n v="0"/>
    <n v="0"/>
  </r>
  <r>
    <n v="61552742"/>
    <s v="N"/>
    <n v="21346374"/>
    <s v="3000015663360007RC"/>
    <s v="CIVIL"/>
    <d v="2023-06-28T00:00:00"/>
    <d v="2023-07-07T19:34:21"/>
    <m/>
    <d v="2023-07-07T00:00:00"/>
    <n v="1176"/>
    <n v="3191"/>
    <s v="61552742"/>
    <s v="61552742"/>
    <m/>
    <m/>
    <m/>
    <m/>
    <m/>
    <m/>
    <s v="SOLRECOUP"/>
    <s v="SOLRECOUP"/>
    <s v="POARECOUP"/>
    <n v="21346374"/>
    <n v="-4.8"/>
    <m/>
    <s v="Y"/>
    <n v="2"/>
    <d v="2023-07-07T19:34:22"/>
    <s v="N"/>
    <m/>
    <m/>
    <s v="Non Expert Disbursement"/>
    <m/>
    <s v="N"/>
    <n v="0"/>
    <n v="-0.8"/>
    <x v="9"/>
    <s v="VALIDATED"/>
    <n v="1"/>
    <s v="01.11.80.308.2013.0000"/>
    <n v="-0.8"/>
    <s v="11"/>
    <s v="2013"/>
    <n v="-4106.08"/>
    <n v="-0.8"/>
    <s v="DEBTOR"/>
    <n v="0"/>
    <n v="0"/>
    <n v="0"/>
    <n v="0"/>
    <n v="0"/>
  </r>
  <r>
    <n v="61552742"/>
    <s v="N"/>
    <n v="21346374"/>
    <s v="3000015663360007RC"/>
    <s v="CIVIL"/>
    <d v="2023-06-28T00:00:00"/>
    <d v="2023-07-07T19:34:21"/>
    <m/>
    <d v="2023-07-07T00:00:00"/>
    <n v="1176"/>
    <n v="3191"/>
    <s v="61552742"/>
    <s v="61552742"/>
    <m/>
    <m/>
    <m/>
    <m/>
    <m/>
    <m/>
    <s v="SOLRECOUP"/>
    <s v="SOLRECOUP"/>
    <s v="POARECOUP"/>
    <n v="21346374"/>
    <n v="-4.8"/>
    <m/>
    <s v="Y"/>
    <n v="1"/>
    <d v="2023-07-07T19:34:22"/>
    <s v="N"/>
    <m/>
    <m/>
    <s v="Non Expert Disbursement"/>
    <m/>
    <s v="N"/>
    <n v="-4"/>
    <n v="0"/>
    <x v="9"/>
    <s v="VALIDATED"/>
    <n v="1"/>
    <s v="01.11.80.308.2013.0000"/>
    <n v="-4"/>
    <s v="11"/>
    <s v="2013"/>
    <n v="-4106.08"/>
    <n v="-4"/>
    <s v="DEBTOR"/>
    <n v="0"/>
    <n v="0"/>
    <n v="0"/>
    <n v="0"/>
    <n v="0"/>
  </r>
  <r>
    <n v="61552742"/>
    <s v="N"/>
    <n v="21346375"/>
    <s v="3000015663360006RC"/>
    <s v="CIVIL"/>
    <d v="2023-06-28T00:00:00"/>
    <d v="2023-07-07T19:34:21"/>
    <m/>
    <d v="2023-07-07T00:00:00"/>
    <n v="1176"/>
    <n v="3191"/>
    <s v="61552742"/>
    <s v="61552742"/>
    <m/>
    <m/>
    <m/>
    <m/>
    <m/>
    <m/>
    <s v="SOLRECOUP"/>
    <s v="SOLRECOUP"/>
    <s v="POARECOUP"/>
    <n v="21346375"/>
    <n v="-892.5"/>
    <m/>
    <s v="Y"/>
    <n v="1"/>
    <d v="2023-07-07T19:34:22"/>
    <s v="N"/>
    <m/>
    <m/>
    <s v="Non Expert Disbursement"/>
    <m/>
    <s v="N"/>
    <n v="-743.75"/>
    <n v="0"/>
    <x v="9"/>
    <s v="VALIDATED"/>
    <n v="1"/>
    <s v="01.11.80.308.2013.0000"/>
    <n v="-743.75"/>
    <s v="11"/>
    <s v="2013"/>
    <n v="-4106.08"/>
    <n v="-743.75"/>
    <s v="DEBTOR"/>
    <n v="0"/>
    <n v="0"/>
    <n v="0"/>
    <n v="0"/>
    <n v="0"/>
  </r>
  <r>
    <n v="61552742"/>
    <s v="N"/>
    <n v="21346375"/>
    <s v="3000015663360006RC"/>
    <s v="CIVIL"/>
    <d v="2023-06-28T00:00:00"/>
    <d v="2023-07-07T19:34:21"/>
    <m/>
    <d v="2023-07-07T00:00:00"/>
    <n v="1176"/>
    <n v="3191"/>
    <s v="61552742"/>
    <s v="61552742"/>
    <m/>
    <m/>
    <m/>
    <m/>
    <m/>
    <m/>
    <s v="SOLRECOUP"/>
    <s v="SOLRECOUP"/>
    <s v="POARECOUP"/>
    <n v="21346375"/>
    <n v="-892.5"/>
    <m/>
    <s v="Y"/>
    <n v="2"/>
    <d v="2023-07-07T19:34:22"/>
    <s v="N"/>
    <m/>
    <m/>
    <s v="Non Expert Disbursement"/>
    <m/>
    <s v="N"/>
    <n v="0"/>
    <n v="-148.75"/>
    <x v="9"/>
    <s v="VALIDATED"/>
    <n v="1"/>
    <s v="01.11.80.308.2013.0000"/>
    <n v="-148.75"/>
    <s v="11"/>
    <s v="2013"/>
    <n v="-4106.08"/>
    <n v="-148.75"/>
    <s v="DEBTOR"/>
    <n v="0"/>
    <n v="0"/>
    <n v="0"/>
    <n v="0"/>
    <n v="0"/>
  </r>
  <r>
    <n v="61552742"/>
    <s v="N"/>
    <n v="21346376"/>
    <s v="3000015663360005RC"/>
    <s v="CIVIL"/>
    <d v="2023-06-28T00:00:00"/>
    <d v="2023-07-07T19:34:21"/>
    <m/>
    <d v="2023-07-07T00:00:00"/>
    <n v="1176"/>
    <n v="3191"/>
    <s v="61552742"/>
    <s v="61552742"/>
    <m/>
    <m/>
    <m/>
    <m/>
    <m/>
    <m/>
    <s v="SOLRECOUP"/>
    <s v="SOLRECOUP"/>
    <s v="POARECOUP"/>
    <n v="21346376"/>
    <n v="-892.5"/>
    <m/>
    <s v="Y"/>
    <n v="2"/>
    <d v="2023-07-07T19:34:22"/>
    <s v="N"/>
    <m/>
    <m/>
    <s v="Non Expert Disbursement"/>
    <m/>
    <s v="N"/>
    <n v="0"/>
    <n v="-148.75"/>
    <x v="9"/>
    <s v="VALIDATED"/>
    <n v="1"/>
    <s v="01.11.80.308.2013.0000"/>
    <n v="-148.75"/>
    <s v="11"/>
    <s v="2013"/>
    <n v="-4106.08"/>
    <n v="-148.75"/>
    <s v="DEBTOR"/>
    <n v="0"/>
    <n v="0"/>
    <n v="0"/>
    <n v="0"/>
    <n v="0"/>
  </r>
  <r>
    <n v="61552742"/>
    <s v="N"/>
    <n v="21346376"/>
    <s v="3000015663360005RC"/>
    <s v="CIVIL"/>
    <d v="2023-06-28T00:00:00"/>
    <d v="2023-07-07T19:34:21"/>
    <m/>
    <d v="2023-07-07T00:00:00"/>
    <n v="1176"/>
    <n v="3191"/>
    <s v="61552742"/>
    <s v="61552742"/>
    <m/>
    <m/>
    <m/>
    <m/>
    <m/>
    <m/>
    <s v="SOLRECOUP"/>
    <s v="SOLRECOUP"/>
    <s v="POARECOUP"/>
    <n v="21346376"/>
    <n v="-892.5"/>
    <m/>
    <s v="Y"/>
    <n v="1"/>
    <d v="2023-07-07T19:34:22"/>
    <s v="N"/>
    <m/>
    <m/>
    <s v="Non Expert Disbursement"/>
    <m/>
    <s v="N"/>
    <n v="-743.75"/>
    <n v="0"/>
    <x v="9"/>
    <s v="VALIDATED"/>
    <n v="1"/>
    <s v="01.11.80.308.2013.0000"/>
    <n v="-743.75"/>
    <s v="11"/>
    <s v="2013"/>
    <n v="-4106.08"/>
    <n v="-743.75"/>
    <s v="DEBTOR"/>
    <n v="0"/>
    <n v="0"/>
    <n v="0"/>
    <n v="0"/>
    <n v="0"/>
  </r>
  <r>
    <n v="61338794"/>
    <s v="N"/>
    <n v="21366399"/>
    <s v="3000015480640005RC"/>
    <s v="CIVIL"/>
    <d v="2023-06-20T00:00:00"/>
    <d v="2023-07-12T19:45:17"/>
    <m/>
    <d v="2023-07-12T00:00:00"/>
    <n v="1176"/>
    <n v="3191"/>
    <s v="61338794"/>
    <s v="61338794"/>
    <m/>
    <m/>
    <m/>
    <m/>
    <m/>
    <m/>
    <s v="SOLRECOUP"/>
    <s v="SOLRECOUP"/>
    <s v="POARECOUP"/>
    <n v="21366399"/>
    <n v="-1676.99"/>
    <m/>
    <s v="Y"/>
    <n v="1"/>
    <d v="2023-07-12T19:45:18"/>
    <s v="N"/>
    <m/>
    <m/>
    <s v="Non Expert Disbursement"/>
    <m/>
    <s v="N"/>
    <n v="-1397.49"/>
    <n v="0"/>
    <x v="0"/>
    <s v="VALIDATED"/>
    <n v="1"/>
    <s v="01.11.80.305.2013.0000"/>
    <n v="-1397.49"/>
    <s v="11"/>
    <s v="2013"/>
    <n v="-4106.08"/>
    <n v="-1397.49"/>
    <s v="DEBTOR"/>
    <n v="0"/>
    <n v="0"/>
    <n v="0"/>
    <n v="0"/>
    <n v="0"/>
  </r>
  <r>
    <n v="61338794"/>
    <s v="N"/>
    <n v="21366399"/>
    <s v="3000015480640005RC"/>
    <s v="CIVIL"/>
    <d v="2023-06-20T00:00:00"/>
    <d v="2023-07-12T19:45:17"/>
    <m/>
    <d v="2023-07-12T00:00:00"/>
    <n v="1176"/>
    <n v="3191"/>
    <s v="61338794"/>
    <s v="61338794"/>
    <m/>
    <m/>
    <m/>
    <m/>
    <m/>
    <m/>
    <s v="SOLRECOUP"/>
    <s v="SOLRECOUP"/>
    <s v="POARECOUP"/>
    <n v="21366399"/>
    <n v="-1676.99"/>
    <m/>
    <s v="Y"/>
    <n v="2"/>
    <d v="2023-07-12T19:45:18"/>
    <s v="N"/>
    <m/>
    <m/>
    <s v="Non Expert Disbursement"/>
    <m/>
    <s v="N"/>
    <n v="0"/>
    <n v="-279.5"/>
    <x v="0"/>
    <s v="VALIDATED"/>
    <n v="1"/>
    <s v="01.11.80.305.2013.0000"/>
    <n v="-279.5"/>
    <s v="11"/>
    <s v="2013"/>
    <n v="-4106.08"/>
    <n v="-279.5"/>
    <s v="DEBTOR"/>
    <n v="0"/>
    <n v="0"/>
    <n v="0"/>
    <n v="0"/>
    <n v="0"/>
  </r>
  <r>
    <n v="61338794"/>
    <s v="N"/>
    <n v="21366401"/>
    <s v="3000015480640002RC"/>
    <s v="CIVIL"/>
    <d v="2023-06-20T00:00:00"/>
    <d v="2023-07-12T19:45:17"/>
    <m/>
    <d v="2023-07-12T00:00:00"/>
    <n v="1176"/>
    <n v="3191"/>
    <s v="61338794"/>
    <s v="61338794"/>
    <m/>
    <m/>
    <m/>
    <m/>
    <m/>
    <m/>
    <s v="SOLRECOUP"/>
    <s v="SOLRECOUP"/>
    <s v="POARECOUP"/>
    <n v="21366401"/>
    <n v="-167"/>
    <m/>
    <s v="Y"/>
    <n v="2"/>
    <d v="2023-07-12T19:45:18"/>
    <s v="N"/>
    <m/>
    <m/>
    <s v="Non Expert Disbursement"/>
    <m/>
    <s v="N"/>
    <n v="0"/>
    <n v="0"/>
    <x v="0"/>
    <s v="VALIDATED"/>
    <n v="1"/>
    <s v="01.11.80.000.0000.0000"/>
    <n v="0"/>
    <s v="11"/>
    <s v="0000"/>
    <n v="-4106.08"/>
    <n v="0"/>
    <s v="DEBTOR"/>
    <n v="0"/>
    <n v="0"/>
    <n v="0"/>
    <n v="0"/>
    <n v="0"/>
  </r>
  <r>
    <n v="61338794"/>
    <s v="N"/>
    <n v="21366401"/>
    <s v="3000015480640002RC"/>
    <s v="CIVIL"/>
    <d v="2023-06-20T00:00:00"/>
    <d v="2023-07-12T19:45:17"/>
    <m/>
    <d v="2023-07-12T00:00:00"/>
    <n v="1176"/>
    <n v="3191"/>
    <s v="61338794"/>
    <s v="61338794"/>
    <m/>
    <m/>
    <m/>
    <m/>
    <m/>
    <m/>
    <s v="SOLRECOUP"/>
    <s v="SOLRECOUP"/>
    <s v="POARECOUP"/>
    <n v="21366401"/>
    <n v="-167"/>
    <m/>
    <s v="Y"/>
    <n v="1"/>
    <d v="2023-07-12T19:45:18"/>
    <s v="N"/>
    <m/>
    <m/>
    <s v="Non Expert Disbursement"/>
    <m/>
    <s v="N"/>
    <n v="-167"/>
    <n v="0"/>
    <x v="0"/>
    <s v="VALIDATED"/>
    <n v="1"/>
    <s v="01.11.80.305.2013.0000"/>
    <n v="-167"/>
    <s v="11"/>
    <s v="2013"/>
    <n v="-4106.08"/>
    <n v="-167"/>
    <s v="DEBTOR"/>
    <n v="0"/>
    <n v="0"/>
    <n v="0"/>
    <n v="0"/>
    <n v="0"/>
  </r>
  <r>
    <n v="61338794"/>
    <s v="N"/>
    <n v="21366406"/>
    <s v="3000015480640006RC"/>
    <s v="CIVIL"/>
    <d v="2023-06-20T00:00:00"/>
    <d v="2023-07-12T19:45:17"/>
    <m/>
    <d v="2023-07-12T00:00:00"/>
    <n v="1176"/>
    <n v="3191"/>
    <s v="61338794"/>
    <s v="61338794"/>
    <m/>
    <m/>
    <m/>
    <m/>
    <m/>
    <m/>
    <s v="SOLRECOUP"/>
    <s v="SOLRECOUP"/>
    <s v="POARECOUP"/>
    <n v="21366406"/>
    <n v="-563.2"/>
    <m/>
    <s v="Y"/>
    <n v="2"/>
    <d v="2023-07-12T19:45:18"/>
    <s v="N"/>
    <m/>
    <m/>
    <s v="Expert Disbursement"/>
    <m/>
    <s v="N"/>
    <n v="0"/>
    <n v="-93.87"/>
    <x v="0"/>
    <s v="VALIDATED"/>
    <n v="1"/>
    <s v="01.11.80.305.2013.0000"/>
    <n v="-93.87"/>
    <s v="11"/>
    <s v="2013"/>
    <n v="-4106.08"/>
    <n v="-93.87"/>
    <s v="DEBTOR"/>
    <n v="0"/>
    <n v="0"/>
    <n v="0"/>
    <n v="0"/>
    <n v="0"/>
  </r>
  <r>
    <n v="61338794"/>
    <s v="N"/>
    <n v="21366406"/>
    <s v="3000015480640006RC"/>
    <s v="CIVIL"/>
    <d v="2023-06-20T00:00:00"/>
    <d v="2023-07-12T19:45:17"/>
    <m/>
    <d v="2023-07-12T00:00:00"/>
    <n v="1176"/>
    <n v="3191"/>
    <s v="61338794"/>
    <s v="61338794"/>
    <m/>
    <m/>
    <m/>
    <m/>
    <m/>
    <m/>
    <s v="SOLRECOUP"/>
    <s v="SOLRECOUP"/>
    <s v="POARECOUP"/>
    <n v="21366406"/>
    <n v="-563.2"/>
    <m/>
    <s v="Y"/>
    <n v="1"/>
    <d v="2023-07-12T19:45:18"/>
    <s v="N"/>
    <m/>
    <m/>
    <s v="Expert Disbursement"/>
    <m/>
    <s v="N"/>
    <n v="-469.33"/>
    <n v="0"/>
    <x v="0"/>
    <s v="VALIDATED"/>
    <n v="1"/>
    <s v="01.11.80.305.2013.0000"/>
    <n v="-469.33"/>
    <s v="11"/>
    <s v="2013"/>
    <n v="-4106.08"/>
    <n v="-469.33"/>
    <s v="DEBTOR"/>
    <n v="0"/>
    <n v="0"/>
    <n v="0"/>
    <n v="0"/>
    <n v="0"/>
  </r>
  <r>
    <n v="60674768"/>
    <s v="N"/>
    <n v="21378108"/>
    <s v="3000014896670001RC"/>
    <s v="CIVIL"/>
    <d v="2023-06-27T00:00:00"/>
    <d v="2023-07-14T19:33:52"/>
    <m/>
    <d v="2023-07-14T00:00:00"/>
    <n v="1176"/>
    <n v="3191"/>
    <s v="60674768"/>
    <s v="60674768"/>
    <m/>
    <m/>
    <m/>
    <m/>
    <m/>
    <m/>
    <s v="SOLRECOUP"/>
    <s v="SOLRECOUP"/>
    <s v="POARECOUP"/>
    <n v="21378108"/>
    <n v="-232"/>
    <m/>
    <s v="Y"/>
    <n v="1"/>
    <d v="2023-07-14T19:33:52"/>
    <s v="N"/>
    <m/>
    <m/>
    <s v="Expert Disbursement"/>
    <m/>
    <s v="N"/>
    <n v="-232"/>
    <n v="0"/>
    <x v="10"/>
    <s v="VALIDATED"/>
    <n v="1"/>
    <s v="01.11.80.307.2013.0000"/>
    <n v="-232"/>
    <s v="11"/>
    <s v="2013"/>
    <n v="-4106.08"/>
    <n v="-232"/>
    <s v="DEBTOR"/>
    <n v="0"/>
    <n v="0"/>
    <n v="0"/>
    <n v="0"/>
    <n v="0"/>
  </r>
  <r>
    <n v="60674768"/>
    <s v="N"/>
    <n v="21378108"/>
    <s v="3000014896670001RC"/>
    <s v="CIVIL"/>
    <d v="2023-06-27T00:00:00"/>
    <d v="2023-07-14T19:33:52"/>
    <m/>
    <d v="2023-07-14T00:00:00"/>
    <n v="1176"/>
    <n v="3191"/>
    <s v="60674768"/>
    <s v="60674768"/>
    <m/>
    <m/>
    <m/>
    <m/>
    <m/>
    <m/>
    <s v="SOLRECOUP"/>
    <s v="SOLRECOUP"/>
    <s v="POARECOUP"/>
    <n v="21378108"/>
    <n v="-232"/>
    <m/>
    <s v="Y"/>
    <n v="2"/>
    <d v="2023-07-14T19:33:52"/>
    <s v="N"/>
    <m/>
    <m/>
    <s v="Expert Disbursement"/>
    <m/>
    <s v="N"/>
    <n v="0"/>
    <n v="0"/>
    <x v="10"/>
    <s v="VALIDATED"/>
    <n v="1"/>
    <s v="01.11.80.000.0000.0000"/>
    <n v="0"/>
    <s v="11"/>
    <s v="0000"/>
    <n v="-4106.08"/>
    <n v="0"/>
    <s v="DEBTOR"/>
    <n v="0"/>
    <n v="0"/>
    <n v="0"/>
    <n v="0"/>
    <n v="0"/>
  </r>
  <r>
    <n v="60674768"/>
    <s v="N"/>
    <n v="21378109"/>
    <s v="3000014896670002RC"/>
    <s v="CIVIL"/>
    <d v="2023-06-27T00:00:00"/>
    <d v="2023-07-14T19:33:52"/>
    <m/>
    <d v="2023-07-14T00:00:00"/>
    <n v="1176"/>
    <n v="3191"/>
    <s v="60674768"/>
    <s v="60674768"/>
    <m/>
    <m/>
    <m/>
    <m/>
    <m/>
    <m/>
    <s v="SOLRECOUP"/>
    <s v="SOLRECOUP"/>
    <s v="POARECOUP"/>
    <n v="21378109"/>
    <n v="-355.21"/>
    <m/>
    <s v="Y"/>
    <n v="1"/>
    <d v="2023-07-14T19:33:52"/>
    <s v="N"/>
    <m/>
    <m/>
    <s v="Profit Cost"/>
    <m/>
    <s v="N"/>
    <n v="-296.01"/>
    <n v="0"/>
    <x v="10"/>
    <s v="VALIDATED"/>
    <n v="1"/>
    <s v="01.11.80.307.2013.0000"/>
    <n v="-296.01"/>
    <s v="11"/>
    <s v="2013"/>
    <n v="-4106.08"/>
    <n v="-296.01"/>
    <s v="DEBTOR"/>
    <n v="0"/>
    <n v="0"/>
    <n v="0"/>
    <n v="0"/>
    <n v="0"/>
  </r>
  <r>
    <n v="60674768"/>
    <s v="N"/>
    <n v="21378109"/>
    <s v="3000014896670002RC"/>
    <s v="CIVIL"/>
    <d v="2023-06-27T00:00:00"/>
    <d v="2023-07-14T19:33:52"/>
    <m/>
    <d v="2023-07-14T00:00:00"/>
    <n v="1176"/>
    <n v="3191"/>
    <s v="60674768"/>
    <s v="60674768"/>
    <m/>
    <m/>
    <m/>
    <m/>
    <m/>
    <m/>
    <s v="SOLRECOUP"/>
    <s v="SOLRECOUP"/>
    <s v="POARECOUP"/>
    <n v="21378109"/>
    <n v="-355.21"/>
    <m/>
    <s v="Y"/>
    <n v="2"/>
    <d v="2023-07-14T19:33:52"/>
    <s v="N"/>
    <m/>
    <m/>
    <s v="Profit Cost"/>
    <m/>
    <s v="N"/>
    <n v="0"/>
    <n v="-59.2"/>
    <x v="10"/>
    <s v="VALIDATED"/>
    <n v="1"/>
    <s v="01.11.80.307.2013.0000"/>
    <n v="-59.2"/>
    <s v="11"/>
    <s v="2013"/>
    <n v="-4106.08"/>
    <n v="-59.2"/>
    <s v="DEBTOR"/>
    <n v="0"/>
    <n v="0"/>
    <n v="0"/>
    <n v="0"/>
    <n v="0"/>
  </r>
  <r>
    <n v="60674768"/>
    <s v="N"/>
    <n v="21378110"/>
    <s v="3000014896670003RC"/>
    <s v="CIVIL"/>
    <d v="2023-06-27T00:00:00"/>
    <d v="2023-07-14T19:33:52"/>
    <m/>
    <d v="2023-07-14T00:00:00"/>
    <n v="1176"/>
    <n v="3191"/>
    <s v="60674768"/>
    <s v="60674768"/>
    <m/>
    <m/>
    <m/>
    <m/>
    <m/>
    <m/>
    <s v="SOLRECOUP"/>
    <s v="SOLRECOUP"/>
    <s v="POARECOUP"/>
    <n v="21378110"/>
    <n v="-1134.25"/>
    <m/>
    <s v="Y"/>
    <n v="2"/>
    <d v="2023-07-14T19:33:52"/>
    <s v="N"/>
    <m/>
    <m/>
    <s v="Profit Cost"/>
    <m/>
    <s v="N"/>
    <n v="0"/>
    <n v="-189.04"/>
    <x v="10"/>
    <s v="VALIDATED"/>
    <n v="1"/>
    <s v="01.11.80.307.2013.0000"/>
    <n v="-189.04"/>
    <s v="11"/>
    <s v="2013"/>
    <n v="-4106.08"/>
    <n v="-189.04"/>
    <s v="DEBTOR"/>
    <n v="0"/>
    <n v="0"/>
    <n v="0"/>
    <n v="0"/>
    <n v="0"/>
  </r>
  <r>
    <n v="60674768"/>
    <s v="N"/>
    <n v="21378110"/>
    <s v="3000014896670003RC"/>
    <s v="CIVIL"/>
    <d v="2023-06-27T00:00:00"/>
    <d v="2023-07-14T19:33:52"/>
    <m/>
    <d v="2023-07-14T00:00:00"/>
    <n v="1176"/>
    <n v="3191"/>
    <s v="60674768"/>
    <s v="60674768"/>
    <m/>
    <m/>
    <m/>
    <m/>
    <m/>
    <m/>
    <s v="SOLRECOUP"/>
    <s v="SOLRECOUP"/>
    <s v="POARECOUP"/>
    <n v="21378110"/>
    <n v="-1134.25"/>
    <m/>
    <s v="Y"/>
    <n v="1"/>
    <d v="2023-07-14T19:33:52"/>
    <s v="N"/>
    <m/>
    <m/>
    <s v="Profit Cost"/>
    <m/>
    <s v="N"/>
    <n v="-945.21"/>
    <n v="0"/>
    <x v="10"/>
    <s v="VALIDATED"/>
    <n v="1"/>
    <s v="01.11.80.307.2013.0000"/>
    <n v="-945.21"/>
    <s v="11"/>
    <s v="2013"/>
    <n v="-4106.08"/>
    <n v="-945.21"/>
    <s v="DEBTOR"/>
    <n v="0"/>
    <n v="0"/>
    <n v="0"/>
    <n v="0"/>
    <n v="0"/>
  </r>
  <r>
    <n v="60674768"/>
    <s v="N"/>
    <n v="21378111"/>
    <s v="3000014896670004RC"/>
    <s v="CIVIL"/>
    <d v="2023-06-27T00:00:00"/>
    <d v="2023-07-14T19:33:52"/>
    <m/>
    <d v="2023-07-14T00:00:00"/>
    <n v="1176"/>
    <n v="3191"/>
    <s v="60674768"/>
    <s v="60674768"/>
    <m/>
    <m/>
    <m/>
    <m/>
    <m/>
    <m/>
    <s v="SOLRECOUP"/>
    <s v="SOLRECOUP"/>
    <s v="POARECOUP"/>
    <n v="21378111"/>
    <n v="-1077.71"/>
    <m/>
    <s v="Y"/>
    <n v="1"/>
    <d v="2023-07-14T19:33:53"/>
    <s v="N"/>
    <m/>
    <m/>
    <s v="Profit Cost"/>
    <m/>
    <s v="N"/>
    <n v="-898.09"/>
    <n v="0"/>
    <x v="10"/>
    <s v="VALIDATED"/>
    <n v="1"/>
    <s v="01.11.80.307.2013.0000"/>
    <n v="-898.09"/>
    <s v="11"/>
    <s v="2013"/>
    <n v="-4106.08"/>
    <n v="-898.09"/>
    <s v="DEBTOR"/>
    <n v="0"/>
    <n v="0"/>
    <n v="0"/>
    <n v="0"/>
    <n v="0"/>
  </r>
  <r>
    <n v="60674768"/>
    <s v="N"/>
    <n v="21378111"/>
    <s v="3000014896670004RC"/>
    <s v="CIVIL"/>
    <d v="2023-06-27T00:00:00"/>
    <d v="2023-07-14T19:33:52"/>
    <m/>
    <d v="2023-07-14T00:00:00"/>
    <n v="1176"/>
    <n v="3191"/>
    <s v="60674768"/>
    <s v="60674768"/>
    <m/>
    <m/>
    <m/>
    <m/>
    <m/>
    <m/>
    <s v="SOLRECOUP"/>
    <s v="SOLRECOUP"/>
    <s v="POARECOUP"/>
    <n v="21378111"/>
    <n v="-1077.71"/>
    <m/>
    <s v="Y"/>
    <n v="2"/>
    <d v="2023-07-14T19:33:53"/>
    <s v="N"/>
    <m/>
    <m/>
    <s v="Profit Cost"/>
    <m/>
    <s v="N"/>
    <n v="0"/>
    <n v="-179.62"/>
    <x v="10"/>
    <s v="VALIDATED"/>
    <n v="1"/>
    <s v="01.11.80.307.2013.0000"/>
    <n v="-179.62"/>
    <s v="11"/>
    <s v="2013"/>
    <n v="-4106.08"/>
    <n v="-179.62"/>
    <s v="DEBTOR"/>
    <n v="0"/>
    <n v="0"/>
    <n v="0"/>
    <n v="0"/>
    <n v="0"/>
  </r>
  <r>
    <n v="60674768"/>
    <s v="N"/>
    <n v="21378112"/>
    <s v="3000014896670005RC"/>
    <s v="CIVIL"/>
    <d v="2023-06-27T00:00:00"/>
    <d v="2023-07-14T19:33:52"/>
    <m/>
    <d v="2023-07-14T00:00:00"/>
    <n v="1176"/>
    <n v="3191"/>
    <s v="60674768"/>
    <s v="60674768"/>
    <m/>
    <m/>
    <m/>
    <m/>
    <m/>
    <m/>
    <s v="SOLRECOUP"/>
    <s v="SOLRECOUP"/>
    <s v="POARECOUP"/>
    <n v="21378112"/>
    <n v="-167"/>
    <m/>
    <s v="Y"/>
    <n v="2"/>
    <d v="2023-07-14T19:33:53"/>
    <s v="N"/>
    <m/>
    <m/>
    <s v="Non Expert Disbursement"/>
    <m/>
    <s v="N"/>
    <n v="0"/>
    <n v="0"/>
    <x v="10"/>
    <s v="VALIDATED"/>
    <n v="1"/>
    <s v="01.11.80.000.0000.0000"/>
    <n v="0"/>
    <s v="11"/>
    <s v="0000"/>
    <n v="-4106.08"/>
    <n v="0"/>
    <s v="DEBTOR"/>
    <n v="0"/>
    <n v="0"/>
    <n v="0"/>
    <n v="0"/>
    <n v="0"/>
  </r>
  <r>
    <n v="60674768"/>
    <s v="N"/>
    <n v="21378112"/>
    <s v="3000014896670005RC"/>
    <s v="CIVIL"/>
    <d v="2023-06-27T00:00:00"/>
    <d v="2023-07-14T19:33:52"/>
    <m/>
    <d v="2023-07-14T00:00:00"/>
    <n v="1176"/>
    <n v="3191"/>
    <s v="60674768"/>
    <s v="60674768"/>
    <m/>
    <m/>
    <m/>
    <m/>
    <m/>
    <m/>
    <s v="SOLRECOUP"/>
    <s v="SOLRECOUP"/>
    <s v="POARECOUP"/>
    <n v="21378112"/>
    <n v="-167"/>
    <m/>
    <s v="Y"/>
    <n v="1"/>
    <d v="2023-07-14T19:33:53"/>
    <s v="N"/>
    <m/>
    <m/>
    <s v="Non Expert Disbursement"/>
    <m/>
    <s v="N"/>
    <n v="-167"/>
    <n v="0"/>
    <x v="10"/>
    <s v="VALIDATED"/>
    <n v="1"/>
    <s v="01.11.80.307.2013.0000"/>
    <n v="-167"/>
    <s v="11"/>
    <s v="2013"/>
    <n v="-4106.08"/>
    <n v="-167"/>
    <s v="DEBTOR"/>
    <n v="0"/>
    <n v="0"/>
    <n v="0"/>
    <n v="0"/>
    <n v="0"/>
  </r>
  <r>
    <n v="60674768"/>
    <s v="N"/>
    <n v="21378115"/>
    <s v="3000014896670006RC"/>
    <s v="CIVIL"/>
    <d v="2023-06-27T00:00:00"/>
    <d v="2023-07-14T19:33:52"/>
    <m/>
    <d v="2023-07-14T00:00:00"/>
    <n v="1176"/>
    <n v="3191"/>
    <s v="60674768"/>
    <s v="60674768"/>
    <m/>
    <m/>
    <m/>
    <m/>
    <m/>
    <m/>
    <s v="SOLRECOUP"/>
    <s v="SOLRECOUP"/>
    <s v="POARECOUP"/>
    <n v="21378115"/>
    <n v="-167"/>
    <m/>
    <s v="Y"/>
    <n v="2"/>
    <d v="2023-07-14T19:33:53"/>
    <s v="N"/>
    <m/>
    <m/>
    <s v="Non Expert Disbursement"/>
    <m/>
    <s v="N"/>
    <n v="0"/>
    <n v="0"/>
    <x v="10"/>
    <s v="VALIDATED"/>
    <n v="1"/>
    <s v="01.11.80.000.0000.0000"/>
    <n v="0"/>
    <s v="11"/>
    <s v="0000"/>
    <n v="-4106.08"/>
    <n v="0"/>
    <s v="DEBTOR"/>
    <n v="0"/>
    <n v="0"/>
    <n v="0"/>
    <n v="0"/>
    <n v="0"/>
  </r>
  <r>
    <n v="60674768"/>
    <s v="N"/>
    <n v="21378115"/>
    <s v="3000014896670006RC"/>
    <s v="CIVIL"/>
    <d v="2023-06-27T00:00:00"/>
    <d v="2023-07-14T19:33:52"/>
    <m/>
    <d v="2023-07-14T00:00:00"/>
    <n v="1176"/>
    <n v="3191"/>
    <s v="60674768"/>
    <s v="60674768"/>
    <m/>
    <m/>
    <m/>
    <m/>
    <m/>
    <m/>
    <s v="SOLRECOUP"/>
    <s v="SOLRECOUP"/>
    <s v="POARECOUP"/>
    <n v="21378115"/>
    <n v="-167"/>
    <m/>
    <s v="Y"/>
    <n v="1"/>
    <d v="2023-07-14T19:33:53"/>
    <s v="N"/>
    <m/>
    <m/>
    <s v="Non Expert Disbursement"/>
    <m/>
    <s v="N"/>
    <n v="-167"/>
    <n v="0"/>
    <x v="10"/>
    <s v="VALIDATED"/>
    <n v="1"/>
    <s v="01.11.80.307.2013.0000"/>
    <n v="-167"/>
    <s v="11"/>
    <s v="2013"/>
    <n v="-4106.08"/>
    <n v="-167"/>
    <s v="DEBTOR"/>
    <n v="0"/>
    <n v="0"/>
    <n v="0"/>
    <n v="0"/>
    <n v="0"/>
  </r>
  <r>
    <n v="61338794"/>
    <s v="N"/>
    <n v="21366397"/>
    <s v="3000015480640004RC"/>
    <s v="CIVIL"/>
    <d v="2023-06-20T00:00:00"/>
    <d v="2023-07-12T19:45:17"/>
    <m/>
    <d v="2023-07-12T00:00:00"/>
    <n v="1176"/>
    <n v="3191"/>
    <s v="61338794"/>
    <s v="61338794"/>
    <m/>
    <m/>
    <m/>
    <m/>
    <m/>
    <m/>
    <s v="SOLRECOUP"/>
    <s v="SOLRECOUP"/>
    <s v="POARECOUP"/>
    <n v="21366397"/>
    <n v="-4841.94"/>
    <m/>
    <s v="Y"/>
    <n v="1"/>
    <d v="2023-07-12T19:45:18"/>
    <s v="N"/>
    <m/>
    <m/>
    <s v="Profit Cost"/>
    <m/>
    <s v="N"/>
    <n v="-4034.95"/>
    <n v="0"/>
    <x v="0"/>
    <s v="VALIDATED"/>
    <n v="1"/>
    <s v="01.11.80.305.2013.0000"/>
    <n v="-4034.95"/>
    <s v="11"/>
    <s v="2013"/>
    <n v="-4106.08"/>
    <n v="-4034.95"/>
    <s v="DEBTOR"/>
    <n v="0"/>
    <n v="0"/>
    <n v="0"/>
    <n v="0"/>
    <n v="0"/>
  </r>
  <r>
    <n v="61338794"/>
    <s v="N"/>
    <n v="21366397"/>
    <s v="3000015480640004RC"/>
    <s v="CIVIL"/>
    <d v="2023-06-20T00:00:00"/>
    <d v="2023-07-12T19:45:17"/>
    <m/>
    <d v="2023-07-12T00:00:00"/>
    <n v="1176"/>
    <n v="3191"/>
    <s v="61338794"/>
    <s v="61338794"/>
    <m/>
    <m/>
    <m/>
    <m/>
    <m/>
    <m/>
    <s v="SOLRECOUP"/>
    <s v="SOLRECOUP"/>
    <s v="POARECOUP"/>
    <n v="21366397"/>
    <n v="-4841.94"/>
    <m/>
    <s v="Y"/>
    <n v="2"/>
    <d v="2023-07-12T19:45:18"/>
    <s v="N"/>
    <m/>
    <m/>
    <s v="Profit Cost"/>
    <m/>
    <s v="N"/>
    <n v="0"/>
    <n v="-806.99"/>
    <x v="0"/>
    <s v="VALIDATED"/>
    <n v="1"/>
    <s v="01.11.80.305.2013.0000"/>
    <n v="-806.99"/>
    <s v="11"/>
    <s v="2013"/>
    <n v="-4106.08"/>
    <n v="-806.99"/>
    <s v="DEBTOR"/>
    <n v="0"/>
    <n v="0"/>
    <n v="0"/>
    <n v="0"/>
    <n v="0"/>
  </r>
  <r>
    <n v="61338794"/>
    <s v="N"/>
    <n v="21366398"/>
    <s v="3000015480640003RC"/>
    <s v="CIVIL"/>
    <d v="2023-06-20T00:00:00"/>
    <d v="2023-07-12T19:45:17"/>
    <m/>
    <d v="2023-07-12T00:00:00"/>
    <n v="1176"/>
    <n v="3191"/>
    <s v="61338794"/>
    <s v="61338794"/>
    <m/>
    <m/>
    <m/>
    <m/>
    <m/>
    <m/>
    <s v="SOLRECOUP"/>
    <s v="SOLRECOUP"/>
    <s v="POARECOUP"/>
    <n v="21366398"/>
    <n v="-167"/>
    <m/>
    <s v="Y"/>
    <n v="1"/>
    <d v="2023-07-12T19:45:18"/>
    <s v="N"/>
    <m/>
    <m/>
    <s v="Non Expert Disbursement"/>
    <m/>
    <s v="N"/>
    <n v="-167"/>
    <n v="0"/>
    <x v="0"/>
    <s v="VALIDATED"/>
    <n v="1"/>
    <s v="01.11.80.305.2013.0000"/>
    <n v="-167"/>
    <s v="11"/>
    <s v="2013"/>
    <n v="-4106.08"/>
    <n v="-167"/>
    <s v="DEBTOR"/>
    <n v="0"/>
    <n v="0"/>
    <n v="0"/>
    <n v="0"/>
    <n v="0"/>
  </r>
  <r>
    <n v="61338794"/>
    <s v="N"/>
    <n v="21366398"/>
    <s v="3000015480640003RC"/>
    <s v="CIVIL"/>
    <d v="2023-06-20T00:00:00"/>
    <d v="2023-07-12T19:45:17"/>
    <m/>
    <d v="2023-07-12T00:00:00"/>
    <n v="1176"/>
    <n v="3191"/>
    <s v="61338794"/>
    <s v="61338794"/>
    <m/>
    <m/>
    <m/>
    <m/>
    <m/>
    <m/>
    <s v="SOLRECOUP"/>
    <s v="SOLRECOUP"/>
    <s v="POARECOUP"/>
    <n v="21366398"/>
    <n v="-167"/>
    <m/>
    <s v="Y"/>
    <n v="2"/>
    <d v="2023-07-12T19:45:18"/>
    <s v="N"/>
    <m/>
    <m/>
    <s v="Non Expert Disbursement"/>
    <m/>
    <s v="N"/>
    <n v="0"/>
    <n v="0"/>
    <x v="0"/>
    <s v="VALIDATED"/>
    <n v="1"/>
    <s v="01.11.80.000.0000.0000"/>
    <n v="0"/>
    <s v="11"/>
    <s v="0000"/>
    <n v="-4106.08"/>
    <n v="0"/>
    <s v="DEBTOR"/>
    <n v="0"/>
    <n v="0"/>
    <n v="0"/>
    <n v="0"/>
    <n v="0"/>
  </r>
  <r>
    <n v="41723544"/>
    <s v="N"/>
    <n v="21318665"/>
    <s v="3000011086110015"/>
    <s v="CIVIL"/>
    <d v="2023-06-23T00:00:00"/>
    <d v="2023-07-03T19:01:49"/>
    <m/>
    <d v="2023-07-03T00:00:00"/>
    <n v="1177"/>
    <n v="3202"/>
    <s v="41723544"/>
    <s v="41723544"/>
    <m/>
    <m/>
    <n v="22752670"/>
    <m/>
    <m/>
    <m/>
    <s v="SOLFIN"/>
    <s v="SOLFIN"/>
    <s v="CCMS"/>
    <n v="21318665"/>
    <n v="12164.06"/>
    <m/>
    <s v="N"/>
    <n v="5"/>
    <d v="2023-07-03T19:02:00"/>
    <s v="Y"/>
    <s v="Court Fee"/>
    <s v="Private Law Children"/>
    <s v="Non Expert Disbursement"/>
    <s v="Jayne Chandler"/>
    <s v="Y"/>
    <n v="50"/>
    <n v="0"/>
    <x v="3"/>
    <s v="VALIDATED"/>
    <n v="1"/>
    <s v="01.11.80.307.6300.0000"/>
    <n v="50"/>
    <s v="11"/>
    <s v="6300"/>
    <n v="12932.64"/>
    <n v="50"/>
    <s v="CREDITOR"/>
    <n v="0"/>
    <n v="0"/>
    <n v="0"/>
    <n v="0"/>
    <n v="50"/>
  </r>
  <r>
    <n v="62223859"/>
    <s v="N"/>
    <n v="21319636"/>
    <s v="3000016156650001"/>
    <s v="CIVIL"/>
    <d v="2023-06-27T00:00:00"/>
    <d v="2023-07-03T19:04:24"/>
    <m/>
    <d v="2023-07-03T00:00:00"/>
    <n v="1177"/>
    <n v="3202"/>
    <s v="62223859"/>
    <s v="62223859"/>
    <m/>
    <m/>
    <n v="22770494"/>
    <m/>
    <m/>
    <m/>
    <s v="SOLPOA"/>
    <s v="SOLPOA"/>
    <s v="CCMS"/>
    <n v="21319636"/>
    <n v="3015.6"/>
    <m/>
    <s v="N"/>
    <n v="1"/>
    <d v="2023-07-03T19:04:26"/>
    <s v="N"/>
    <s v="Expert Cost - Finance"/>
    <s v="Expert Cost - Finance"/>
    <s v="Expert Disbursement"/>
    <s v="Kellie Kidd"/>
    <s v="N"/>
    <n v="2513"/>
    <n v="502.6"/>
    <x v="3"/>
    <s v="VALIDATED"/>
    <n v="1"/>
    <s v="01.11.80.307.2012.0000"/>
    <n v="2513"/>
    <s v="11"/>
    <s v="2012"/>
    <n v="12932.64"/>
    <n v="2513"/>
    <s v="CREDITOR"/>
    <n v="2513"/>
    <n v="0"/>
    <n v="0"/>
    <n v="0"/>
    <n v="0"/>
  </r>
  <r>
    <n v="41723544"/>
    <s v="N"/>
    <n v="21318665"/>
    <s v="3000011086110015"/>
    <s v="CIVIL"/>
    <d v="2023-06-23T00:00:00"/>
    <d v="2023-07-03T19:01:49"/>
    <m/>
    <d v="2023-07-03T00:00:00"/>
    <n v="1177"/>
    <n v="3202"/>
    <s v="41723544"/>
    <s v="41723544"/>
    <m/>
    <m/>
    <n v="22752670"/>
    <m/>
    <m/>
    <m/>
    <s v="SOLFIN"/>
    <s v="SOLFIN"/>
    <s v="CCMS"/>
    <n v="21318665"/>
    <n v="12164.06"/>
    <m/>
    <s v="N"/>
    <n v="6"/>
    <d v="2023-07-03T19:02:00"/>
    <s v="Y"/>
    <s v="Police Records"/>
    <s v="Private Law Children"/>
    <s v="Non Expert Disbursement"/>
    <s v="Jayne Chandler"/>
    <s v="Y"/>
    <n v="150"/>
    <n v="0"/>
    <x v="3"/>
    <s v="VALIDATED"/>
    <n v="1"/>
    <s v="01.11.80.307.6300.0000"/>
    <n v="150"/>
    <s v="11"/>
    <s v="6300"/>
    <n v="12932.64"/>
    <n v="150"/>
    <s v="CREDITOR"/>
    <n v="0"/>
    <n v="0"/>
    <n v="0"/>
    <n v="0"/>
    <n v="150"/>
  </r>
  <r>
    <n v="60902186"/>
    <s v="N"/>
    <n v="21318424"/>
    <s v="3000015123200008"/>
    <s v="CIVIL"/>
    <d v="2023-06-23T00:00:00"/>
    <d v="2023-07-03T19:01:49"/>
    <m/>
    <d v="2023-07-03T00:00:00"/>
    <n v="1177"/>
    <n v="3202"/>
    <s v="60902186"/>
    <s v="60902186"/>
    <m/>
    <m/>
    <n v="22752152"/>
    <m/>
    <m/>
    <m/>
    <s v="SOLFIN"/>
    <s v="SOLFIN"/>
    <s v="CCMS"/>
    <n v="21318424"/>
    <n v="4842.84"/>
    <m/>
    <s v="N"/>
    <n v="4"/>
    <d v="2023-07-03T19:01:55"/>
    <s v="Y"/>
    <s v="Advocates Meeting"/>
    <s v="Public Law Children"/>
    <s v="Advocacy"/>
    <s v="Kellie Kidd"/>
    <s v="Y"/>
    <n v="140.99"/>
    <n v="28.2"/>
    <x v="3"/>
    <s v="VALIDATED"/>
    <n v="1"/>
    <s v="01.11.80.308.6100.0000"/>
    <n v="140.99"/>
    <s v="11"/>
    <s v="6100"/>
    <n v="12932.64"/>
    <n v="140.99"/>
    <s v="CREDITOR"/>
    <n v="0"/>
    <n v="0"/>
    <n v="0"/>
    <n v="0"/>
    <n v="140.99"/>
  </r>
  <r>
    <n v="60172944"/>
    <s v="N"/>
    <n v="21338104"/>
    <s v="3000014490670010"/>
    <s v="CIVIL"/>
    <d v="2023-06-28T00:00:00"/>
    <d v="2023-07-06T19:21:01"/>
    <m/>
    <d v="2023-07-06T00:00:00"/>
    <n v="1177"/>
    <n v="3202"/>
    <s v="60172944"/>
    <s v="60172944"/>
    <m/>
    <m/>
    <n v="22782612"/>
    <m/>
    <m/>
    <m/>
    <s v="SOLPOA"/>
    <s v="SOLPOA"/>
    <s v="CCMS"/>
    <n v="21338104"/>
    <n v="12.19"/>
    <m/>
    <s v="N"/>
    <n v="1"/>
    <d v="2023-07-06T19:21:11"/>
    <s v="N"/>
    <s v="Level 4 Fixed Fee"/>
    <s v="Finance"/>
    <s v="Profit Cost"/>
    <s v="Hannah Cahalane"/>
    <s v="N"/>
    <n v="10.16"/>
    <n v="2.03"/>
    <x v="4"/>
    <s v="VALIDATED"/>
    <n v="1"/>
    <s v="01.11.80.307.2012.0000"/>
    <n v="10.16"/>
    <s v="11"/>
    <s v="2012"/>
    <n v="12932.64"/>
    <n v="10.16"/>
    <s v="CREDITOR"/>
    <n v="10.16"/>
    <n v="2.54"/>
    <n v="0"/>
    <n v="0"/>
    <n v="0"/>
  </r>
  <r>
    <n v="41723544"/>
    <s v="N"/>
    <n v="21318665"/>
    <s v="3000011086110015"/>
    <s v="CIVIL"/>
    <d v="2023-06-23T00:00:00"/>
    <d v="2023-07-03T19:01:49"/>
    <m/>
    <d v="2023-07-03T00:00:00"/>
    <n v="1177"/>
    <n v="3202"/>
    <s v="41723544"/>
    <s v="41723544"/>
    <m/>
    <m/>
    <n v="22752670"/>
    <m/>
    <m/>
    <m/>
    <s v="SOLFIN"/>
    <s v="SOLFIN"/>
    <s v="CCMS"/>
    <n v="21318665"/>
    <n v="12164.06"/>
    <m/>
    <s v="N"/>
    <n v="3"/>
    <d v="2023-07-03T19:02:00"/>
    <s v="Y"/>
    <s v="Profit Costs (Summary)"/>
    <s v="Private Law Children"/>
    <s v="Profit Cost"/>
    <s v="Jayne Chandler"/>
    <s v="Y"/>
    <n v="7287.63"/>
    <n v="1457.53"/>
    <x v="3"/>
    <s v="VALIDATED"/>
    <n v="1"/>
    <s v="01.11.80.307.6100.0000"/>
    <n v="7287.63"/>
    <s v="11"/>
    <s v="6100"/>
    <n v="12932.64"/>
    <n v="7287.63"/>
    <s v="CREDITOR"/>
    <n v="0"/>
    <n v="0"/>
    <n v="0"/>
    <n v="0"/>
    <n v="7287.63"/>
  </r>
  <r>
    <n v="61150475"/>
    <s v="N"/>
    <n v="21337757"/>
    <s v="3000015308840006"/>
    <s v="CIVIL"/>
    <d v="2023-06-28T00:00:00"/>
    <d v="2023-07-06T19:21:01"/>
    <m/>
    <d v="2023-07-06T00:00:00"/>
    <n v="1177"/>
    <n v="3202"/>
    <s v="61150475"/>
    <s v="61150475"/>
    <m/>
    <m/>
    <n v="22783890"/>
    <m/>
    <m/>
    <m/>
    <s v="SOLPOA"/>
    <s v="SOLPOA"/>
    <s v="CCMS"/>
    <n v="21337757"/>
    <n v="1275"/>
    <m/>
    <s v="N"/>
    <n v="1"/>
    <d v="2023-07-06T19:21:07"/>
    <s v="N"/>
    <s v="Expert Cost - Finance"/>
    <s v="Expert Cost - Finance"/>
    <s v="Expert Disbursement"/>
    <s v="Michele Zerbino"/>
    <s v="N"/>
    <n v="1062.5"/>
    <n v="212.5"/>
    <x v="4"/>
    <s v="VALIDATED"/>
    <n v="1"/>
    <s v="01.11.80.307.2012.0000"/>
    <n v="1062.5"/>
    <s v="11"/>
    <s v="2012"/>
    <n v="12932.64"/>
    <n v="1062.5"/>
    <s v="CREDITOR"/>
    <n v="1062.5"/>
    <n v="0"/>
    <n v="0"/>
    <n v="0"/>
    <n v="0"/>
  </r>
  <r>
    <n v="10638111"/>
    <s v="N"/>
    <n v="21343276"/>
    <s v="3000006462840048"/>
    <s v="CIVIL"/>
    <d v="2023-06-20T00:00:00"/>
    <d v="2023-07-07T19:03:00"/>
    <m/>
    <d v="2023-07-07T00:00:00"/>
    <n v="1177"/>
    <n v="3202"/>
    <s v="10638111"/>
    <s v="10638111"/>
    <m/>
    <m/>
    <n v="22720752"/>
    <m/>
    <m/>
    <m/>
    <s v="SOLAPP"/>
    <s v="SOLAPP"/>
    <s v="CCMS"/>
    <n v="21343276"/>
    <n v="68.64"/>
    <m/>
    <s v="N"/>
    <n v="2"/>
    <d v="2023-07-07T19:03:06"/>
    <s v="N"/>
    <s v="Profit Costs (Summary)"/>
    <s v="VHCC"/>
    <s v="Profit Cost"/>
    <s v="Jayne Chandler"/>
    <s v="N"/>
    <n v="27.8"/>
    <n v="5.56"/>
    <x v="9"/>
    <s v="VALIDATED"/>
    <n v="1"/>
    <s v="01.11.80.302.6100.0000"/>
    <n v="27.8"/>
    <s v="11"/>
    <s v="6100"/>
    <n v="12932.64"/>
    <n v="27.8"/>
    <s v="CREDITOR"/>
    <n v="0"/>
    <n v="0"/>
    <n v="0"/>
    <n v="0"/>
    <n v="27.8"/>
  </r>
  <r>
    <n v="60828621"/>
    <s v="N"/>
    <n v="21320845"/>
    <s v="3000015048960010"/>
    <s v="CIVIL"/>
    <d v="2023-06-28T00:00:00"/>
    <d v="2023-07-03T19:04:52"/>
    <m/>
    <d v="2023-07-03T00:00:00"/>
    <n v="1177"/>
    <n v="3202"/>
    <s v="60828621"/>
    <s v="60828621"/>
    <m/>
    <m/>
    <n v="22779020"/>
    <m/>
    <m/>
    <m/>
    <s v="SOLPOA"/>
    <s v="SOLPOA"/>
    <s v="CCMS"/>
    <n v="21320845"/>
    <n v="106.8"/>
    <m/>
    <s v="N"/>
    <n v="1"/>
    <d v="2023-07-03T19:04:56"/>
    <s v="N"/>
    <s v="Expert Cost - Finance"/>
    <s v="Expert Cost - Finance"/>
    <s v="Expert Disbursement"/>
    <s v="Kellie Kidd"/>
    <s v="N"/>
    <n v="106.8"/>
    <n v="0"/>
    <x v="3"/>
    <s v="VALIDATED"/>
    <n v="1"/>
    <s v="01.11.80.302.2012.0000"/>
    <n v="106.8"/>
    <s v="11"/>
    <s v="2012"/>
    <n v="12932.64"/>
    <n v="106.8"/>
    <s v="CREDITOR"/>
    <n v="106.8"/>
    <n v="0"/>
    <n v="0"/>
    <n v="0"/>
    <n v="0"/>
  </r>
  <r>
    <n v="41723544"/>
    <s v="N"/>
    <n v="21318665"/>
    <s v="3000011086110015"/>
    <s v="CIVIL"/>
    <d v="2023-06-23T00:00:00"/>
    <d v="2023-07-03T19:01:49"/>
    <m/>
    <d v="2023-07-03T00:00:00"/>
    <n v="1177"/>
    <n v="3202"/>
    <s v="41723544"/>
    <s v="41723544"/>
    <m/>
    <m/>
    <n v="22752670"/>
    <m/>
    <m/>
    <m/>
    <s v="SOLFIN"/>
    <s v="SOLFIN"/>
    <s v="CCMS"/>
    <n v="21318665"/>
    <n v="12164.06"/>
    <m/>
    <s v="N"/>
    <n v="7"/>
    <d v="2023-07-03T19:02:00"/>
    <s v="Y"/>
    <s v="Hearing Unit 2.31 - 5.00 Hours"/>
    <s v="Private Law Children"/>
    <s v="Advocacy"/>
    <s v="Jayne Chandler"/>
    <s v="Y"/>
    <n v="313.48"/>
    <n v="62.7"/>
    <x v="3"/>
    <s v="VALIDATED"/>
    <n v="1"/>
    <s v="01.11.80.307.6100.0000"/>
    <n v="313.48"/>
    <s v="11"/>
    <s v="6100"/>
    <n v="12932.64"/>
    <n v="313.48"/>
    <s v="CREDITOR"/>
    <n v="0"/>
    <n v="0"/>
    <n v="0"/>
    <n v="0"/>
    <n v="313.48"/>
  </r>
  <r>
    <n v="41723544"/>
    <s v="N"/>
    <n v="21318665"/>
    <s v="3000011086110015"/>
    <s v="CIVIL"/>
    <d v="2023-06-23T00:00:00"/>
    <d v="2023-07-03T19:01:49"/>
    <m/>
    <d v="2023-07-03T00:00:00"/>
    <n v="1177"/>
    <n v="3202"/>
    <s v="41723544"/>
    <s v="41723544"/>
    <m/>
    <m/>
    <n v="22752670"/>
    <m/>
    <m/>
    <m/>
    <s v="SOLFIN"/>
    <s v="SOLFIN"/>
    <s v="CCMS"/>
    <n v="21318665"/>
    <n v="12164.06"/>
    <m/>
    <s v="N"/>
    <n v="9"/>
    <d v="2023-07-03T19:02:00"/>
    <s v="Y"/>
    <s v="Level 4 Fixed Fee"/>
    <s v="Domestic Abuse"/>
    <s v="Profit Cost"/>
    <s v="Jayne Chandler"/>
    <s v="Y"/>
    <n v="507"/>
    <n v="101.4"/>
    <x v="3"/>
    <s v="VALIDATED"/>
    <n v="1"/>
    <s v="01.11.80.307.6100.0000"/>
    <n v="507"/>
    <s v="11"/>
    <s v="6100"/>
    <n v="12932.64"/>
    <n v="507"/>
    <s v="CREDITOR"/>
    <n v="0"/>
    <n v="0"/>
    <n v="0"/>
    <n v="0"/>
    <n v="507"/>
  </r>
  <r>
    <n v="10638111"/>
    <s v="N"/>
    <n v="21343276"/>
    <s v="3000006462840048"/>
    <s v="CIVIL"/>
    <d v="2023-06-20T00:00:00"/>
    <d v="2023-07-07T19:03:00"/>
    <m/>
    <d v="2023-07-07T00:00:00"/>
    <n v="1177"/>
    <n v="3202"/>
    <s v="10638111"/>
    <s v="10638111"/>
    <m/>
    <m/>
    <n v="22720752"/>
    <m/>
    <m/>
    <m/>
    <s v="SOLAPP"/>
    <s v="SOLAPP"/>
    <s v="CCMS"/>
    <n v="21343276"/>
    <n v="68.64"/>
    <m/>
    <s v="N"/>
    <n v="3"/>
    <d v="2023-07-07T19:03:06"/>
    <s v="Y"/>
    <s v="Interpreter"/>
    <s v="VHCC"/>
    <s v="Expert Disbursement"/>
    <s v="Jayne Chandler"/>
    <s v="Y"/>
    <n v="55"/>
    <n v="11"/>
    <x v="9"/>
    <s v="VALIDATED"/>
    <n v="1"/>
    <s v="01.11.80.302.6300.0000"/>
    <n v="55"/>
    <s v="11"/>
    <s v="6300"/>
    <n v="12932.64"/>
    <n v="55"/>
    <s v="CREDITOR"/>
    <n v="0"/>
    <n v="0"/>
    <n v="0"/>
    <n v="0"/>
    <n v="55"/>
  </r>
  <r>
    <n v="61711359"/>
    <s v="N"/>
    <n v="21320377"/>
    <s v="3000015801070003"/>
    <s v="CIVIL"/>
    <d v="2023-06-28T00:00:00"/>
    <d v="2023-07-03T19:04:52"/>
    <m/>
    <d v="2023-07-03T00:00:00"/>
    <n v="1177"/>
    <n v="3202"/>
    <s v="61711359"/>
    <s v="61711359"/>
    <m/>
    <m/>
    <n v="22782660"/>
    <m/>
    <m/>
    <m/>
    <s v="SOLPOA"/>
    <s v="SOLPOA"/>
    <s v="CCMS"/>
    <n v="21320377"/>
    <n v="167"/>
    <m/>
    <s v="N"/>
    <n v="1"/>
    <d v="2023-07-03T19:04:53"/>
    <s v="N"/>
    <s v="Non Expert Disbursement"/>
    <s v="Non Expert Disbursement"/>
    <s v="Non Expert Disbursement"/>
    <s v="Rhian Parsons"/>
    <s v="N"/>
    <n v="167"/>
    <n v="0"/>
    <x v="3"/>
    <s v="VALIDATED"/>
    <n v="1"/>
    <s v="01.11.80.308.2012.0000"/>
    <n v="167"/>
    <s v="11"/>
    <s v="2012"/>
    <n v="12932.64"/>
    <n v="167"/>
    <s v="CREDITOR"/>
    <n v="167"/>
    <n v="0"/>
    <n v="0"/>
    <n v="0"/>
    <n v="0"/>
  </r>
  <r>
    <n v="62297859"/>
    <s v="N"/>
    <n v="21319956"/>
    <s v="3000016290170002"/>
    <s v="CIVIL"/>
    <d v="2023-06-27T00:00:00"/>
    <d v="2023-07-03T19:04:24"/>
    <m/>
    <d v="2023-07-03T00:00:00"/>
    <n v="1177"/>
    <n v="3202"/>
    <s v="62297859"/>
    <s v="62297859"/>
    <m/>
    <m/>
    <n v="22770680"/>
    <m/>
    <m/>
    <m/>
    <s v="SOLPOA"/>
    <s v="SOLPOA"/>
    <s v="CCMS"/>
    <n v="21319956"/>
    <n v="202.8"/>
    <m/>
    <s v="N"/>
    <n v="1"/>
    <d v="2023-07-03T19:04:28"/>
    <s v="N"/>
    <s v="Expert Cost"/>
    <s v="Expert Cost"/>
    <s v="Expert Disbursement"/>
    <s v="Kellie Kidd"/>
    <s v="N"/>
    <n v="169"/>
    <n v="33.8"/>
    <x v="3"/>
    <s v="VALIDATED"/>
    <n v="1"/>
    <s v="01.11.80.308.2012.0000"/>
    <n v="169"/>
    <s v="11"/>
    <s v="2012"/>
    <n v="12932.64"/>
    <n v="169"/>
    <s v="CREDITOR"/>
    <n v="169"/>
    <n v="0"/>
    <n v="0"/>
    <n v="0"/>
    <n v="0"/>
  </r>
  <r>
    <n v="61332339"/>
    <s v="N"/>
    <n v="21337838"/>
    <s v="3000015463710003"/>
    <s v="CIVIL"/>
    <d v="2023-06-28T00:00:00"/>
    <d v="2023-07-06T19:21:01"/>
    <m/>
    <d v="2023-07-06T00:00:00"/>
    <n v="1177"/>
    <n v="3202"/>
    <s v="61332339"/>
    <s v="61332339"/>
    <m/>
    <m/>
    <n v="22783112"/>
    <m/>
    <m/>
    <m/>
    <s v="SOLPOA"/>
    <s v="SOLPOA"/>
    <s v="CCMS"/>
    <n v="21337838"/>
    <n v="989.78"/>
    <m/>
    <s v="N"/>
    <n v="1"/>
    <d v="2023-07-06T19:21:09"/>
    <s v="N"/>
    <s v="Level 3 Fixed Fee"/>
    <s v="Finance"/>
    <s v="Profit Cost"/>
    <s v="Hannah Cahalane"/>
    <s v="N"/>
    <n v="824.8200000000001"/>
    <n v="164.96"/>
    <x v="4"/>
    <s v="VALIDATED"/>
    <n v="1"/>
    <s v="01.11.80.307.2012.0000"/>
    <n v="824.8200000000001"/>
    <s v="11"/>
    <s v="2012"/>
    <n v="12932.64"/>
    <n v="824.8200000000001"/>
    <s v="CREDITOR"/>
    <n v="824.8200000000001"/>
    <n v="206.205"/>
    <n v="0"/>
    <n v="0"/>
    <n v="0"/>
  </r>
  <r>
    <n v="60902186"/>
    <s v="N"/>
    <n v="21318424"/>
    <s v="3000015123200008"/>
    <s v="CIVIL"/>
    <d v="2023-06-23T00:00:00"/>
    <d v="2023-07-03T19:01:49"/>
    <m/>
    <d v="2023-07-03T00:00:00"/>
    <n v="1177"/>
    <n v="3202"/>
    <s v="60902186"/>
    <s v="60902186"/>
    <m/>
    <m/>
    <n v="22752152"/>
    <m/>
    <m/>
    <m/>
    <s v="SOLFIN"/>
    <s v="SOLFIN"/>
    <s v="CCMS"/>
    <n v="21318424"/>
    <n v="4842.84"/>
    <m/>
    <s v="N"/>
    <n v="2"/>
    <d v="2023-07-03T19:01:55"/>
    <s v="Y"/>
    <s v="Toxicologist"/>
    <s v="Public Law Children"/>
    <s v="Expert Disbursement"/>
    <s v="Kellie Kidd"/>
    <s v="Y"/>
    <n v="781"/>
    <n v="156.2"/>
    <x v="3"/>
    <s v="VALIDATED"/>
    <n v="1"/>
    <s v="01.11.80.308.6300.0000"/>
    <n v="781"/>
    <s v="11"/>
    <s v="6300"/>
    <n v="12932.64"/>
    <n v="781"/>
    <s v="CREDITOR"/>
    <n v="0"/>
    <n v="0"/>
    <n v="0"/>
    <n v="0"/>
    <n v="781"/>
  </r>
  <r>
    <n v="61150475"/>
    <s v="N"/>
    <n v="21337849"/>
    <s v="3000015308840007"/>
    <s v="CIVIL"/>
    <d v="2023-06-28T00:00:00"/>
    <d v="2023-07-06T19:21:01"/>
    <m/>
    <d v="2023-07-06T00:00:00"/>
    <n v="1177"/>
    <n v="3202"/>
    <s v="61150475"/>
    <s v="61150475"/>
    <m/>
    <m/>
    <n v="22782828"/>
    <m/>
    <m/>
    <m/>
    <s v="SOLPOA"/>
    <s v="SOLPOA"/>
    <s v="CCMS"/>
    <n v="21337849"/>
    <n v="540.7"/>
    <m/>
    <s v="N"/>
    <n v="1"/>
    <d v="2023-07-06T19:21:09"/>
    <s v="N"/>
    <s v="Level 3 Fixed Fee"/>
    <s v="Finance"/>
    <s v="Profit Cost"/>
    <s v="Michele Zerbino"/>
    <s v="N"/>
    <n v="450.58"/>
    <n v="90.12"/>
    <x v="4"/>
    <s v="VALIDATED"/>
    <n v="1"/>
    <s v="01.11.80.307.2012.0000"/>
    <n v="450.58"/>
    <s v="11"/>
    <s v="2012"/>
    <n v="12932.64"/>
    <n v="450.58"/>
    <s v="CREDITOR"/>
    <n v="450.58"/>
    <n v="112.645"/>
    <n v="0"/>
    <n v="0"/>
    <n v="0"/>
  </r>
  <r>
    <n v="61955798"/>
    <s v="N"/>
    <n v="21319707"/>
    <s v="3000015973400005"/>
    <s v="CIVIL"/>
    <d v="2023-06-27T00:00:00"/>
    <d v="2023-07-03T19:04:24"/>
    <m/>
    <d v="2023-07-03T00:00:00"/>
    <n v="1177"/>
    <n v="3202"/>
    <s v="61955798"/>
    <s v="61955798"/>
    <m/>
    <m/>
    <n v="22770356"/>
    <m/>
    <m/>
    <m/>
    <s v="SOLPOA"/>
    <s v="SOLPOA"/>
    <s v="CCMS"/>
    <n v="21319707"/>
    <n v="1547.1"/>
    <m/>
    <s v="N"/>
    <n v="1"/>
    <d v="2023-07-03T19:04:27"/>
    <s v="N"/>
    <s v="Level 3 Fixed Fee"/>
    <s v="Finance"/>
    <s v="Profit Cost"/>
    <s v="Ashleigh Woodward"/>
    <s v="N"/>
    <n v="1289.25"/>
    <n v="257.85"/>
    <x v="3"/>
    <s v="VALIDATED"/>
    <n v="1"/>
    <s v="01.11.80.307.2012.0000"/>
    <n v="1289.25"/>
    <s v="11"/>
    <s v="2012"/>
    <n v="12932.64"/>
    <n v="1289.25"/>
    <s v="CREDITOR"/>
    <n v="1289.25"/>
    <n v="322.3125"/>
    <n v="0"/>
    <n v="0"/>
    <n v="0"/>
  </r>
  <r>
    <n v="59869540"/>
    <s v="N"/>
    <n v="21330913"/>
    <s v="3000014222730003"/>
    <s v="CIVIL"/>
    <d v="2023-06-26T00:00:00"/>
    <d v="2023-07-05T19:01:47"/>
    <m/>
    <d v="2023-07-05T00:00:00"/>
    <n v="1177"/>
    <n v="3202"/>
    <s v="59869540"/>
    <s v="59869540"/>
    <m/>
    <m/>
    <n v="22757798"/>
    <m/>
    <m/>
    <m/>
    <s v="SOLFIN"/>
    <s v="SOLFIN"/>
    <s v="CCMS"/>
    <n v="21330913"/>
    <n v="724.8"/>
    <m/>
    <s v="N"/>
    <n v="1"/>
    <d v="2023-07-05T19:01:56"/>
    <s v="Y"/>
    <s v="Level 3 &amp; Level 4 Fixed Fee"/>
    <s v="Private Law Children"/>
    <s v="Profit Cost"/>
    <s v="Rhian Parsons"/>
    <s v="Y"/>
    <n v="604"/>
    <n v="120.8"/>
    <x v="6"/>
    <s v="VALIDATED"/>
    <n v="1"/>
    <s v="01.11.80.307.6100.0000"/>
    <n v="604"/>
    <s v="11"/>
    <s v="6100"/>
    <n v="12932.64"/>
    <n v="604"/>
    <s v="CREDITOR"/>
    <n v="0"/>
    <n v="0"/>
    <n v="0"/>
    <n v="0"/>
    <n v="604"/>
  </r>
  <r>
    <n v="41723544"/>
    <s v="N"/>
    <n v="21318665"/>
    <s v="3000011086110015"/>
    <s v="CIVIL"/>
    <d v="2023-06-23T00:00:00"/>
    <d v="2023-07-03T19:01:49"/>
    <m/>
    <d v="2023-07-03T00:00:00"/>
    <n v="1177"/>
    <n v="3202"/>
    <s v="41723544"/>
    <s v="41723544"/>
    <m/>
    <m/>
    <n v="22752670"/>
    <m/>
    <m/>
    <m/>
    <s v="SOLFIN"/>
    <s v="SOLFIN"/>
    <s v="CCMS"/>
    <n v="21318665"/>
    <n v="12164.06"/>
    <m/>
    <s v="N"/>
    <n v="10"/>
    <d v="2023-07-03T19:02:00"/>
    <s v="N"/>
    <s v="Level 3 &amp; Level 4 Fixed Fee"/>
    <s v="Private Law Children"/>
    <s v="Profit Cost"/>
    <s v="Jayne Chandler"/>
    <s v="N"/>
    <n v="0"/>
    <n v="0"/>
    <x v="3"/>
    <s v="VALIDATED"/>
    <n v="1"/>
    <s v="01.11.80.307.6100.0000"/>
    <n v="0"/>
    <s v="11"/>
    <s v="6100"/>
    <n v="12932.64"/>
    <n v="0"/>
    <s v="CREDITOR"/>
    <n v="0"/>
    <n v="0"/>
    <n v="0"/>
    <n v="0"/>
    <n v="0"/>
  </r>
  <r>
    <n v="41723544"/>
    <s v="N"/>
    <n v="21318665"/>
    <s v="3000011086110015"/>
    <s v="CIVIL"/>
    <d v="2023-06-23T00:00:00"/>
    <d v="2023-07-03T19:01:49"/>
    <m/>
    <d v="2023-07-03T00:00:00"/>
    <n v="1177"/>
    <n v="3202"/>
    <s v="41723544"/>
    <s v="41723544"/>
    <m/>
    <m/>
    <n v="22752670"/>
    <m/>
    <m/>
    <m/>
    <s v="SOLFIN"/>
    <s v="SOLFIN"/>
    <s v="CCMS"/>
    <n v="21318665"/>
    <n v="12164.06"/>
    <m/>
    <s v="N"/>
    <n v="4"/>
    <d v="2023-07-03T19:02:00"/>
    <s v="Y"/>
    <s v="Profit Costs (Summary)"/>
    <s v="Prescribed Hourly Rates"/>
    <s v="Profit Cost"/>
    <s v="Jayne Chandler"/>
    <s v="Y"/>
    <n v="1521.86"/>
    <n v="304.37"/>
    <x v="3"/>
    <s v="VALIDATED"/>
    <n v="1"/>
    <s v="01.11.80.307.6100.0000"/>
    <n v="1521.86"/>
    <s v="11"/>
    <s v="6100"/>
    <n v="12932.64"/>
    <n v="1521.86"/>
    <s v="CREDITOR"/>
    <n v="0"/>
    <n v="0"/>
    <n v="0"/>
    <n v="0"/>
    <n v="1521.86"/>
  </r>
  <r>
    <n v="60902186"/>
    <s v="N"/>
    <n v="21318424"/>
    <s v="3000015123200008"/>
    <s v="CIVIL"/>
    <d v="2023-06-23T00:00:00"/>
    <d v="2023-07-03T19:01:49"/>
    <m/>
    <d v="2023-07-03T00:00:00"/>
    <n v="1177"/>
    <n v="3202"/>
    <s v="60902186"/>
    <s v="60902186"/>
    <m/>
    <m/>
    <n v="22752152"/>
    <m/>
    <m/>
    <m/>
    <s v="SOLFIN"/>
    <s v="SOLFIN"/>
    <s v="CCMS"/>
    <n v="21318424"/>
    <n v="4842.84"/>
    <m/>
    <s v="N"/>
    <n v="5"/>
    <d v="2023-07-03T19:01:55"/>
    <s v="Y"/>
    <s v="Solicitors Fixed Fee"/>
    <s v="Public Law Children"/>
    <s v="Profit Cost"/>
    <s v="Kellie Kidd"/>
    <s v="Y"/>
    <n v="2370"/>
    <n v="474"/>
    <x v="3"/>
    <s v="VALIDATED"/>
    <n v="1"/>
    <s v="01.11.80.308.6100.0000"/>
    <n v="2370"/>
    <s v="11"/>
    <s v="6100"/>
    <n v="12932.64"/>
    <n v="2370"/>
    <s v="CREDITOR"/>
    <n v="0"/>
    <n v="0"/>
    <n v="0"/>
    <n v="0"/>
    <n v="2370"/>
  </r>
  <r>
    <n v="61480573"/>
    <s v="N"/>
    <n v="21319163"/>
    <s v="3000015539790001"/>
    <s v="CIVIL"/>
    <d v="2023-06-23T00:00:00"/>
    <d v="2023-07-03T19:01:49"/>
    <m/>
    <d v="2023-07-03T00:00:00"/>
    <n v="1177"/>
    <n v="3202"/>
    <s v="61480573"/>
    <s v="61480573"/>
    <m/>
    <m/>
    <n v="22748634"/>
    <m/>
    <m/>
    <m/>
    <s v="SOLFIN"/>
    <s v="SOLFIN"/>
    <s v="CCMS"/>
    <n v="21319163"/>
    <n v="608.4"/>
    <m/>
    <s v="N"/>
    <n v="1"/>
    <d v="2023-07-03T19:02:13"/>
    <s v="Y"/>
    <s v="Level 4 Fixed Fee"/>
    <s v="Domestic Abuse"/>
    <s v="Profit Cost"/>
    <s v="Kellie Kidd"/>
    <s v="Y"/>
    <n v="507"/>
    <n v="101.4"/>
    <x v="3"/>
    <s v="VALIDATED"/>
    <n v="1"/>
    <s v="01.11.80.302.6100.0000"/>
    <n v="507"/>
    <s v="11"/>
    <s v="6100"/>
    <n v="12932.64"/>
    <n v="507"/>
    <s v="CREDITOR"/>
    <n v="0"/>
    <n v="0"/>
    <n v="0"/>
    <n v="0"/>
    <n v="507"/>
  </r>
  <r>
    <n v="41723544"/>
    <s v="N"/>
    <n v="21318665"/>
    <s v="3000011086110015"/>
    <s v="CIVIL"/>
    <d v="2023-06-23T00:00:00"/>
    <d v="2023-07-03T19:01:49"/>
    <m/>
    <d v="2023-07-03T00:00:00"/>
    <n v="1177"/>
    <n v="3202"/>
    <s v="41723544"/>
    <s v="41723544"/>
    <m/>
    <m/>
    <n v="22752670"/>
    <m/>
    <m/>
    <m/>
    <s v="SOLFIN"/>
    <s v="SOLFIN"/>
    <s v="CCMS"/>
    <n v="21318665"/>
    <n v="12164.06"/>
    <m/>
    <s v="N"/>
    <n v="8"/>
    <d v="2023-07-03T19:02:00"/>
    <s v="Y"/>
    <s v="Hearing Unit 1.01 - 2.30 Hours"/>
    <s v="Private Law Children"/>
    <s v="Advocacy"/>
    <s v="Jayne Chandler"/>
    <s v="Y"/>
    <n v="156.74"/>
    <n v="31.35"/>
    <x v="3"/>
    <s v="VALIDATED"/>
    <n v="1"/>
    <s v="01.11.80.307.6100.0000"/>
    <n v="156.74"/>
    <s v="11"/>
    <s v="6100"/>
    <n v="12932.64"/>
    <n v="156.74"/>
    <s v="CREDITOR"/>
    <n v="0"/>
    <n v="0"/>
    <n v="0"/>
    <n v="0"/>
    <n v="156.74"/>
  </r>
  <r>
    <n v="10638111"/>
    <s v="N"/>
    <n v="21343276"/>
    <s v="3000006462840048"/>
    <s v="CIVIL"/>
    <d v="2023-06-20T00:00:00"/>
    <d v="2023-07-07T19:03:00"/>
    <m/>
    <d v="2023-07-07T00:00:00"/>
    <n v="1177"/>
    <n v="3202"/>
    <s v="10638111"/>
    <s v="10638111"/>
    <m/>
    <m/>
    <n v="22720752"/>
    <m/>
    <m/>
    <m/>
    <s v="SOLAPP"/>
    <s v="SOLAPP"/>
    <s v="CCMS"/>
    <n v="21343276"/>
    <n v="68.64"/>
    <m/>
    <s v="N"/>
    <n v="1"/>
    <d v="2023-07-07T19:03:06"/>
    <s v="Y"/>
    <s v="Profit Costs (Summary)"/>
    <s v="VHCC"/>
    <s v="Profit Cost"/>
    <s v="Jayne Chandler"/>
    <s v="Y"/>
    <n v="2.2"/>
    <n v="0.44"/>
    <x v="9"/>
    <s v="VALIDATED"/>
    <n v="1"/>
    <s v="01.11.80.302.6100.0000"/>
    <n v="2.2"/>
    <s v="11"/>
    <s v="6100"/>
    <n v="12932.64"/>
    <n v="2.2"/>
    <s v="CREDITOR"/>
    <n v="0"/>
    <n v="0"/>
    <n v="0"/>
    <n v="0"/>
    <n v="2.2"/>
  </r>
  <r>
    <n v="61341066"/>
    <s v="N"/>
    <n v="21338024"/>
    <s v="3000015491880005"/>
    <s v="CIVIL"/>
    <d v="2023-06-28T00:00:00"/>
    <d v="2023-07-06T19:21:01"/>
    <m/>
    <d v="2023-07-06T00:00:00"/>
    <n v="1177"/>
    <n v="3202"/>
    <s v="61341066"/>
    <s v="61341066"/>
    <m/>
    <m/>
    <n v="22782942"/>
    <m/>
    <m/>
    <m/>
    <s v="SOLPOA"/>
    <s v="SOLPOA"/>
    <s v="CCMS"/>
    <n v="21338024"/>
    <n v="3387.05"/>
    <m/>
    <s v="N"/>
    <n v="1"/>
    <d v="2023-07-06T19:21:11"/>
    <s v="N"/>
    <s v="Solicitors Fixed Fee"/>
    <s v="Public Law Children"/>
    <s v="Profit Cost"/>
    <s v="Rhian Parsons"/>
    <s v="N"/>
    <n v="2822.54"/>
    <n v="564.51"/>
    <x v="4"/>
    <s v="VALIDATED"/>
    <n v="1"/>
    <s v="01.11.80.308.2012.0000"/>
    <n v="2822.54"/>
    <s v="11"/>
    <s v="2012"/>
    <n v="12932.64"/>
    <n v="2822.54"/>
    <s v="CREDITOR"/>
    <n v="2822.54"/>
    <n v="705.635"/>
    <n v="0"/>
    <n v="0"/>
    <n v="0"/>
  </r>
  <r>
    <n v="10638111"/>
    <s v="N"/>
    <n v="21343276"/>
    <s v="3000006462840048"/>
    <s v="CIVIL"/>
    <d v="2023-06-20T00:00:00"/>
    <d v="2023-07-07T19:03:00"/>
    <m/>
    <d v="2023-07-07T00:00:00"/>
    <n v="1177"/>
    <n v="3202"/>
    <s v="10638111"/>
    <s v="10638111"/>
    <m/>
    <m/>
    <n v="22720752"/>
    <m/>
    <m/>
    <m/>
    <s v="SOLAPP"/>
    <s v="SOLAPP"/>
    <s v="CCMS"/>
    <n v="21343276"/>
    <n v="68.64"/>
    <m/>
    <s v="N"/>
    <n v="4"/>
    <d v="2023-07-07T19:03:06"/>
    <s v="N"/>
    <m/>
    <m/>
    <s v="Overall Adjustment"/>
    <m/>
    <s v="N"/>
    <n v="-27.8"/>
    <n v="-5.56"/>
    <x v="9"/>
    <s v="VALIDATED"/>
    <n v="1"/>
    <s v="01.11.80.302.6100.0000"/>
    <n v="-27.8"/>
    <s v="11"/>
    <s v="6100"/>
    <n v="12932.64"/>
    <n v="-27.8"/>
    <s v="CREDITOR"/>
    <n v="0"/>
    <n v="0"/>
    <n v="0"/>
    <n v="0"/>
    <n v="-27.8"/>
  </r>
  <r>
    <n v="60902186"/>
    <s v="N"/>
    <n v="21318424"/>
    <s v="3000015123200008"/>
    <s v="CIVIL"/>
    <d v="2023-06-23T00:00:00"/>
    <d v="2023-07-03T19:01:49"/>
    <m/>
    <d v="2023-07-03T00:00:00"/>
    <n v="1177"/>
    <n v="3202"/>
    <s v="60902186"/>
    <s v="60902186"/>
    <m/>
    <m/>
    <n v="22752152"/>
    <m/>
    <m/>
    <m/>
    <s v="SOLFIN"/>
    <s v="SOLFIN"/>
    <s v="CCMS"/>
    <n v="21318424"/>
    <n v="4842.84"/>
    <m/>
    <s v="N"/>
    <n v="1"/>
    <d v="2023-07-03T19:01:55"/>
    <s v="Y"/>
    <s v="Toxicologist"/>
    <s v="Public Law Children"/>
    <s v="Expert Disbursement"/>
    <s v="Kellie Kidd"/>
    <s v="Y"/>
    <n v="505.25"/>
    <n v="101.05"/>
    <x v="3"/>
    <s v="VALIDATED"/>
    <n v="1"/>
    <s v="01.11.80.308.6300.0000"/>
    <n v="505.25"/>
    <s v="11"/>
    <s v="6300"/>
    <n v="12932.64"/>
    <n v="505.25"/>
    <s v="CREDITOR"/>
    <n v="0"/>
    <n v="0"/>
    <n v="0"/>
    <n v="0"/>
    <n v="505.25"/>
  </r>
  <r>
    <n v="41723544"/>
    <s v="N"/>
    <n v="21318665"/>
    <s v="3000011086110015"/>
    <s v="CIVIL"/>
    <d v="2023-06-23T00:00:00"/>
    <d v="2023-07-03T19:01:49"/>
    <m/>
    <d v="2023-07-03T00:00:00"/>
    <n v="1177"/>
    <n v="3202"/>
    <s v="41723544"/>
    <s v="41723544"/>
    <m/>
    <m/>
    <n v="22752670"/>
    <m/>
    <m/>
    <m/>
    <s v="SOLFIN"/>
    <s v="SOLFIN"/>
    <s v="CCMS"/>
    <n v="21318665"/>
    <n v="12164.06"/>
    <m/>
    <s v="N"/>
    <n v="1"/>
    <d v="2023-07-03T19:02:00"/>
    <s v="Y"/>
    <s v="Court Fee"/>
    <s v="Private Law Children"/>
    <s v="Non Expert Disbursement"/>
    <s v="Jayne Chandler"/>
    <s v="Y"/>
    <n v="167"/>
    <n v="0"/>
    <x v="3"/>
    <s v="VALIDATED"/>
    <n v="1"/>
    <s v="01.11.80.307.6300.0000"/>
    <n v="167"/>
    <s v="11"/>
    <s v="6300"/>
    <n v="12932.64"/>
    <n v="167"/>
    <s v="CREDITOR"/>
    <n v="0"/>
    <n v="0"/>
    <n v="0"/>
    <n v="0"/>
    <n v="167"/>
  </r>
  <r>
    <n v="41723544"/>
    <s v="N"/>
    <n v="21318665"/>
    <s v="3000011086110015"/>
    <s v="CIVIL"/>
    <d v="2023-06-23T00:00:00"/>
    <d v="2023-07-03T19:01:49"/>
    <m/>
    <d v="2023-07-03T00:00:00"/>
    <n v="1177"/>
    <n v="3202"/>
    <s v="41723544"/>
    <s v="41723544"/>
    <m/>
    <m/>
    <n v="22752670"/>
    <m/>
    <m/>
    <m/>
    <s v="SOLFIN"/>
    <s v="SOLFIN"/>
    <s v="CCMS"/>
    <n v="21318665"/>
    <n v="12164.06"/>
    <m/>
    <s v="N"/>
    <n v="2"/>
    <d v="2023-07-03T19:02:00"/>
    <s v="Y"/>
    <s v="Court Fee"/>
    <s v="Private Law Children"/>
    <s v="Non Expert Disbursement"/>
    <s v="Jayne Chandler"/>
    <s v="Y"/>
    <n v="53"/>
    <n v="0"/>
    <x v="3"/>
    <s v="VALIDATED"/>
    <n v="1"/>
    <s v="01.11.80.307.6300.0000"/>
    <n v="53"/>
    <s v="11"/>
    <s v="6300"/>
    <n v="12932.64"/>
    <n v="53"/>
    <s v="CREDITOR"/>
    <n v="0"/>
    <n v="0"/>
    <n v="0"/>
    <n v="0"/>
    <n v="53"/>
  </r>
  <r>
    <n v="61955798"/>
    <s v="N"/>
    <n v="21320537"/>
    <s v="3000015973400004"/>
    <s v="CIVIL"/>
    <d v="2023-06-28T00:00:00"/>
    <d v="2023-07-03T19:04:52"/>
    <m/>
    <d v="2023-07-03T00:00:00"/>
    <n v="1177"/>
    <n v="3202"/>
    <s v="61955798"/>
    <s v="61955798"/>
    <m/>
    <m/>
    <n v="22780430"/>
    <m/>
    <m/>
    <m/>
    <s v="SOLPOA"/>
    <s v="SOLPOA"/>
    <s v="CCMS"/>
    <n v="21320537"/>
    <n v="72"/>
    <m/>
    <s v="N"/>
    <n v="1"/>
    <d v="2023-07-03T19:04:54"/>
    <s v="N"/>
    <s v="Expert Cost - Private Law Children"/>
    <s v="Expert Cost - Private Law Chil"/>
    <s v="Expert Disbursement"/>
    <s v="Ashleigh Woodward"/>
    <s v="N"/>
    <n v="60"/>
    <n v="12"/>
    <x v="3"/>
    <s v="VALIDATED"/>
    <n v="1"/>
    <s v="01.11.80.307.2012.0000"/>
    <n v="60"/>
    <s v="11"/>
    <s v="2012"/>
    <n v="12932.64"/>
    <n v="60"/>
    <s v="CREDITOR"/>
    <n v="60"/>
    <n v="0"/>
    <n v="0"/>
    <n v="0"/>
    <n v="0"/>
  </r>
  <r>
    <n v="60902186"/>
    <s v="N"/>
    <n v="21318424"/>
    <s v="3000015123200008"/>
    <s v="CIVIL"/>
    <d v="2023-06-23T00:00:00"/>
    <d v="2023-07-03T19:01:49"/>
    <m/>
    <d v="2023-07-03T00:00:00"/>
    <n v="1177"/>
    <n v="3202"/>
    <s v="60902186"/>
    <s v="60902186"/>
    <m/>
    <m/>
    <n v="22752152"/>
    <m/>
    <m/>
    <m/>
    <s v="SOLFIN"/>
    <s v="SOLFIN"/>
    <s v="CCMS"/>
    <n v="21318424"/>
    <n v="4842.84"/>
    <m/>
    <s v="N"/>
    <n v="3"/>
    <d v="2023-07-03T19:01:55"/>
    <s v="Y"/>
    <s v="Hearing Unit 1.01 - 2.30 Hours"/>
    <s v="Public Law Children"/>
    <s v="Advocacy"/>
    <s v="Kellie Kidd"/>
    <s v="Y"/>
    <n v="238.46"/>
    <n v="47.69"/>
    <x v="3"/>
    <s v="VALIDATED"/>
    <n v="1"/>
    <s v="01.11.80.308.6100.0000"/>
    <n v="238.46"/>
    <s v="11"/>
    <s v="6100"/>
    <n v="12932.64"/>
    <n v="238.46"/>
    <s v="CREDITOR"/>
    <n v="0"/>
    <n v="0"/>
    <n v="0"/>
    <n v="0"/>
    <n v="238.46"/>
  </r>
  <r>
    <n v="41723544"/>
    <s v="N"/>
    <n v="21324440"/>
    <s v="3000011086110005RC"/>
    <s v="CIVIL"/>
    <d v="2023-06-23T00:00:00"/>
    <d v="2023-07-03T19:42:50"/>
    <m/>
    <d v="2023-07-03T00:00:00"/>
    <n v="1177"/>
    <n v="3202"/>
    <s v="41723544"/>
    <s v="41723544"/>
    <m/>
    <m/>
    <m/>
    <m/>
    <m/>
    <m/>
    <s v="SOLRECOUP"/>
    <s v="SOLRECOUP"/>
    <s v="POARECOUP"/>
    <n v="21324440"/>
    <n v="-3342.65"/>
    <m/>
    <s v="Y"/>
    <n v="1"/>
    <d v="2023-07-03T19:42:51"/>
    <s v="N"/>
    <m/>
    <m/>
    <s v="Profit Cost"/>
    <m/>
    <s v="N"/>
    <n v="-2785.54"/>
    <n v="0"/>
    <x v="3"/>
    <s v="VALIDATED"/>
    <n v="1"/>
    <s v="01.11.80.307.2013.0000"/>
    <n v="-2785.54"/>
    <s v="11"/>
    <s v="2013"/>
    <n v="12932.64"/>
    <n v="-2785.54"/>
    <s v="CREDITOR"/>
    <n v="0"/>
    <n v="0"/>
    <n v="-2785.54"/>
    <n v="-696.385"/>
    <n v="0"/>
  </r>
  <r>
    <n v="41723544"/>
    <s v="N"/>
    <n v="21324440"/>
    <s v="3000011086110005RC"/>
    <s v="CIVIL"/>
    <d v="2023-06-23T00:00:00"/>
    <d v="2023-07-03T19:42:50"/>
    <m/>
    <d v="2023-07-03T00:00:00"/>
    <n v="1177"/>
    <n v="3202"/>
    <s v="41723544"/>
    <s v="41723544"/>
    <m/>
    <m/>
    <m/>
    <m/>
    <m/>
    <m/>
    <s v="SOLRECOUP"/>
    <s v="SOLRECOUP"/>
    <s v="POARECOUP"/>
    <n v="21324440"/>
    <n v="-3342.65"/>
    <m/>
    <s v="Y"/>
    <n v="2"/>
    <d v="2023-07-03T19:42:51"/>
    <s v="N"/>
    <m/>
    <m/>
    <s v="Profit Cost"/>
    <m/>
    <s v="N"/>
    <n v="0"/>
    <n v="-557.11"/>
    <x v="3"/>
    <s v="VALIDATED"/>
    <n v="1"/>
    <s v="01.11.80.307.2013.0000"/>
    <n v="-557.11"/>
    <s v="11"/>
    <s v="2013"/>
    <n v="12932.64"/>
    <n v="-557.11"/>
    <s v="CREDITOR"/>
    <n v="0"/>
    <n v="0"/>
    <n v="-557.11"/>
    <n v="-139.2775"/>
    <n v="0"/>
  </r>
  <r>
    <n v="41723544"/>
    <s v="N"/>
    <n v="21324441"/>
    <s v="3000011086110001RC"/>
    <s v="CIVIL"/>
    <d v="2023-06-23T00:00:00"/>
    <d v="2023-07-03T19:42:50"/>
    <m/>
    <d v="2023-07-03T00:00:00"/>
    <n v="1177"/>
    <n v="3202"/>
    <s v="41723544"/>
    <s v="41723544"/>
    <m/>
    <m/>
    <m/>
    <m/>
    <m/>
    <m/>
    <s v="SOLRECOUP"/>
    <s v="SOLRECOUP"/>
    <s v="POARECOUP"/>
    <n v="21324441"/>
    <n v="-150"/>
    <m/>
    <s v="Y"/>
    <n v="1"/>
    <d v="2023-07-03T19:42:51"/>
    <s v="N"/>
    <m/>
    <m/>
    <s v="Non Expert Disbursement"/>
    <m/>
    <s v="N"/>
    <n v="-150"/>
    <n v="0"/>
    <x v="3"/>
    <s v="VALIDATED"/>
    <n v="1"/>
    <s v="01.11.80.307.2013.0000"/>
    <n v="-150"/>
    <s v="11"/>
    <s v="2013"/>
    <n v="12932.64"/>
    <n v="-150"/>
    <s v="CREDITOR"/>
    <n v="0"/>
    <n v="0"/>
    <n v="-150"/>
    <n v="0"/>
    <n v="0"/>
  </r>
  <r>
    <n v="41723544"/>
    <s v="N"/>
    <n v="21324441"/>
    <s v="3000011086110001RC"/>
    <s v="CIVIL"/>
    <d v="2023-06-23T00:00:00"/>
    <d v="2023-07-03T19:42:50"/>
    <m/>
    <d v="2023-07-03T00:00:00"/>
    <n v="1177"/>
    <n v="3202"/>
    <s v="41723544"/>
    <s v="41723544"/>
    <m/>
    <m/>
    <m/>
    <m/>
    <m/>
    <m/>
    <s v="SOLRECOUP"/>
    <s v="SOLRECOUP"/>
    <s v="POARECOUP"/>
    <n v="21324441"/>
    <n v="-150"/>
    <m/>
    <s v="Y"/>
    <n v="2"/>
    <d v="2023-07-03T19:42:51"/>
    <s v="N"/>
    <m/>
    <m/>
    <s v="Non Expert Disbursement"/>
    <m/>
    <s v="N"/>
    <n v="0"/>
    <n v="0"/>
    <x v="3"/>
    <s v="VALIDATED"/>
    <n v="1"/>
    <s v="01.11.80.000.0000.0000"/>
    <n v="0"/>
    <s v="11"/>
    <s v="0000"/>
    <n v="12932.64"/>
    <n v="0"/>
    <s v="CREDITOR"/>
    <n v="0"/>
    <n v="0"/>
    <n v="0"/>
    <n v="0"/>
    <n v="0"/>
  </r>
  <r>
    <n v="41723544"/>
    <s v="N"/>
    <n v="21324442"/>
    <s v="3000011086110009RC"/>
    <s v="CIVIL"/>
    <d v="2023-06-23T00:00:00"/>
    <d v="2023-07-03T19:42:50"/>
    <m/>
    <d v="2023-07-03T00:00:00"/>
    <n v="1177"/>
    <n v="3202"/>
    <s v="41723544"/>
    <s v="41723544"/>
    <m/>
    <m/>
    <m/>
    <m/>
    <m/>
    <m/>
    <s v="SOLRECOUP"/>
    <s v="SOLRECOUP"/>
    <s v="POARECOUP"/>
    <n v="21324442"/>
    <n v="-167"/>
    <m/>
    <s v="Y"/>
    <n v="1"/>
    <d v="2023-07-03T19:42:51"/>
    <s v="N"/>
    <m/>
    <m/>
    <s v="Non Expert Disbursement"/>
    <m/>
    <s v="N"/>
    <n v="-167"/>
    <n v="0"/>
    <x v="3"/>
    <s v="VALIDATED"/>
    <n v="1"/>
    <s v="01.11.80.307.2013.0000"/>
    <n v="-167"/>
    <s v="11"/>
    <s v="2013"/>
    <n v="12932.64"/>
    <n v="-167"/>
    <s v="CREDITOR"/>
    <n v="0"/>
    <n v="0"/>
    <n v="-167"/>
    <n v="0"/>
    <n v="0"/>
  </r>
  <r>
    <n v="41723544"/>
    <s v="N"/>
    <n v="21324442"/>
    <s v="3000011086110009RC"/>
    <s v="CIVIL"/>
    <d v="2023-06-23T00:00:00"/>
    <d v="2023-07-03T19:42:50"/>
    <m/>
    <d v="2023-07-03T00:00:00"/>
    <n v="1177"/>
    <n v="3202"/>
    <s v="41723544"/>
    <s v="41723544"/>
    <m/>
    <m/>
    <m/>
    <m/>
    <m/>
    <m/>
    <s v="SOLRECOUP"/>
    <s v="SOLRECOUP"/>
    <s v="POARECOUP"/>
    <n v="21324442"/>
    <n v="-167"/>
    <m/>
    <s v="Y"/>
    <n v="2"/>
    <d v="2023-07-03T19:42:51"/>
    <s v="N"/>
    <m/>
    <m/>
    <s v="Non Expert Disbursement"/>
    <m/>
    <s v="N"/>
    <n v="0"/>
    <n v="0"/>
    <x v="3"/>
    <s v="VALIDATED"/>
    <n v="1"/>
    <s v="01.11.80.000.0000.0000"/>
    <n v="0"/>
    <s v="11"/>
    <s v="0000"/>
    <n v="12932.64"/>
    <n v="0"/>
    <s v="CREDITOR"/>
    <n v="0"/>
    <n v="0"/>
    <n v="0"/>
    <n v="0"/>
    <n v="0"/>
  </r>
  <r>
    <n v="60902186"/>
    <s v="N"/>
    <n v="21324443"/>
    <s v="3000015123200003RC"/>
    <s v="CIVIL"/>
    <d v="2023-06-23T00:00:00"/>
    <d v="2023-07-03T19:42:50"/>
    <m/>
    <d v="2023-07-03T00:00:00"/>
    <n v="1177"/>
    <n v="3202"/>
    <s v="60902186"/>
    <s v="60902186"/>
    <m/>
    <m/>
    <m/>
    <m/>
    <m/>
    <m/>
    <s v="SOLRECOUP"/>
    <s v="SOLRECOUP"/>
    <s v="POARECOUP"/>
    <n v="21324443"/>
    <n v="-937.2"/>
    <m/>
    <s v="Y"/>
    <n v="1"/>
    <d v="2023-07-03T19:42:51"/>
    <s v="N"/>
    <m/>
    <m/>
    <s v="Expert Disbursement"/>
    <m/>
    <s v="N"/>
    <n v="-781"/>
    <n v="0"/>
    <x v="3"/>
    <s v="VALIDATED"/>
    <n v="1"/>
    <s v="01.11.80.308.2013.0000"/>
    <n v="-781"/>
    <s v="11"/>
    <s v="2013"/>
    <n v="12932.64"/>
    <n v="-781"/>
    <s v="CREDITOR"/>
    <n v="0"/>
    <n v="0"/>
    <n v="-781"/>
    <n v="0"/>
    <n v="0"/>
  </r>
  <r>
    <n v="60902186"/>
    <s v="N"/>
    <n v="21324443"/>
    <s v="3000015123200003RC"/>
    <s v="CIVIL"/>
    <d v="2023-06-23T00:00:00"/>
    <d v="2023-07-03T19:42:50"/>
    <m/>
    <d v="2023-07-03T00:00:00"/>
    <n v="1177"/>
    <n v="3202"/>
    <s v="60902186"/>
    <s v="60902186"/>
    <m/>
    <m/>
    <m/>
    <m/>
    <m/>
    <m/>
    <s v="SOLRECOUP"/>
    <s v="SOLRECOUP"/>
    <s v="POARECOUP"/>
    <n v="21324443"/>
    <n v="-937.2"/>
    <m/>
    <s v="Y"/>
    <n v="2"/>
    <d v="2023-07-03T19:42:51"/>
    <s v="N"/>
    <m/>
    <m/>
    <s v="Expert Disbursement"/>
    <m/>
    <s v="N"/>
    <n v="0"/>
    <n v="-156.2"/>
    <x v="3"/>
    <s v="VALIDATED"/>
    <n v="1"/>
    <s v="01.11.80.308.2013.0000"/>
    <n v="-156.2"/>
    <s v="11"/>
    <s v="2013"/>
    <n v="12932.64"/>
    <n v="-156.2"/>
    <s v="CREDITOR"/>
    <n v="0"/>
    <n v="0"/>
    <n v="-156.2"/>
    <n v="0"/>
    <n v="0"/>
  </r>
  <r>
    <n v="60902186"/>
    <s v="N"/>
    <n v="21324444"/>
    <s v="3000015123200002RC"/>
    <s v="CIVIL"/>
    <d v="2023-06-23T00:00:00"/>
    <d v="2023-07-03T19:42:50"/>
    <m/>
    <d v="2023-07-03T00:00:00"/>
    <n v="1177"/>
    <n v="3202"/>
    <s v="60902186"/>
    <s v="60902186"/>
    <m/>
    <m/>
    <m/>
    <m/>
    <m/>
    <m/>
    <s v="SOLRECOUP"/>
    <s v="SOLRECOUP"/>
    <s v="POARECOUP"/>
    <n v="21324444"/>
    <n v="-606.3"/>
    <m/>
    <s v="Y"/>
    <n v="1"/>
    <d v="2023-07-03T19:42:51"/>
    <s v="N"/>
    <m/>
    <m/>
    <s v="Expert Disbursement"/>
    <m/>
    <s v="N"/>
    <n v="-505.25"/>
    <n v="0"/>
    <x v="3"/>
    <s v="VALIDATED"/>
    <n v="1"/>
    <s v="01.11.80.308.2013.0000"/>
    <n v="-505.25"/>
    <s v="11"/>
    <s v="2013"/>
    <n v="12932.64"/>
    <n v="-505.25"/>
    <s v="CREDITOR"/>
    <n v="0"/>
    <n v="0"/>
    <n v="-505.25"/>
    <n v="0"/>
    <n v="0"/>
  </r>
  <r>
    <n v="60902186"/>
    <s v="N"/>
    <n v="21324444"/>
    <s v="3000015123200002RC"/>
    <s v="CIVIL"/>
    <d v="2023-06-23T00:00:00"/>
    <d v="2023-07-03T19:42:50"/>
    <m/>
    <d v="2023-07-03T00:00:00"/>
    <n v="1177"/>
    <n v="3202"/>
    <s v="60902186"/>
    <s v="60902186"/>
    <m/>
    <m/>
    <m/>
    <m/>
    <m/>
    <m/>
    <s v="SOLRECOUP"/>
    <s v="SOLRECOUP"/>
    <s v="POARECOUP"/>
    <n v="21324444"/>
    <n v="-606.3"/>
    <m/>
    <s v="Y"/>
    <n v="2"/>
    <d v="2023-07-03T19:42:51"/>
    <s v="N"/>
    <m/>
    <m/>
    <s v="Expert Disbursement"/>
    <m/>
    <s v="N"/>
    <n v="0"/>
    <n v="-101.05"/>
    <x v="3"/>
    <s v="VALIDATED"/>
    <n v="1"/>
    <s v="01.11.80.308.2013.0000"/>
    <n v="-101.05"/>
    <s v="11"/>
    <s v="2013"/>
    <n v="12932.64"/>
    <n v="-101.05"/>
    <s v="CREDITOR"/>
    <n v="0"/>
    <n v="0"/>
    <n v="-101.05"/>
    <n v="0"/>
    <n v="0"/>
  </r>
  <r>
    <n v="41723544"/>
    <s v="N"/>
    <n v="21324445"/>
    <s v="3000011086110002RC"/>
    <s v="CIVIL"/>
    <d v="2023-06-23T00:00:00"/>
    <d v="2023-07-03T19:42:50"/>
    <m/>
    <d v="2023-07-03T00:00:00"/>
    <n v="1177"/>
    <n v="3202"/>
    <s v="41723544"/>
    <s v="41723544"/>
    <m/>
    <m/>
    <m/>
    <m/>
    <m/>
    <m/>
    <s v="SOLRECOUP"/>
    <s v="SOLRECOUP"/>
    <s v="POARECOUP"/>
    <n v="21324445"/>
    <n v="-50"/>
    <m/>
    <s v="Y"/>
    <n v="1"/>
    <d v="2023-07-03T19:42:51"/>
    <s v="N"/>
    <m/>
    <m/>
    <s v="Non Expert Disbursement"/>
    <m/>
    <s v="N"/>
    <n v="-50"/>
    <n v="0"/>
    <x v="3"/>
    <s v="VALIDATED"/>
    <n v="1"/>
    <s v="01.11.80.307.2013.0000"/>
    <n v="-50"/>
    <s v="11"/>
    <s v="2013"/>
    <n v="12932.64"/>
    <n v="-50"/>
    <s v="CREDITOR"/>
    <n v="0"/>
    <n v="0"/>
    <n v="-50"/>
    <n v="0"/>
    <n v="0"/>
  </r>
  <r>
    <n v="41723544"/>
    <s v="N"/>
    <n v="21324445"/>
    <s v="3000011086110002RC"/>
    <s v="CIVIL"/>
    <d v="2023-06-23T00:00:00"/>
    <d v="2023-07-03T19:42:50"/>
    <m/>
    <d v="2023-07-03T00:00:00"/>
    <n v="1177"/>
    <n v="3202"/>
    <s v="41723544"/>
    <s v="41723544"/>
    <m/>
    <m/>
    <m/>
    <m/>
    <m/>
    <m/>
    <s v="SOLRECOUP"/>
    <s v="SOLRECOUP"/>
    <s v="POARECOUP"/>
    <n v="21324445"/>
    <n v="-50"/>
    <m/>
    <s v="Y"/>
    <n v="2"/>
    <d v="2023-07-03T19:42:51"/>
    <s v="N"/>
    <m/>
    <m/>
    <s v="Non Expert Disbursement"/>
    <m/>
    <s v="N"/>
    <n v="0"/>
    <n v="0"/>
    <x v="3"/>
    <s v="VALIDATED"/>
    <n v="1"/>
    <s v="01.11.80.000.0000.0000"/>
    <n v="0"/>
    <s v="11"/>
    <s v="0000"/>
    <n v="12932.64"/>
    <n v="0"/>
    <s v="CREDITOR"/>
    <n v="0"/>
    <n v="0"/>
    <n v="0"/>
    <n v="0"/>
    <n v="0"/>
  </r>
  <r>
    <n v="41723544"/>
    <s v="N"/>
    <n v="21324446"/>
    <s v="3000011086110010RC"/>
    <s v="CIVIL"/>
    <d v="2023-06-23T00:00:00"/>
    <d v="2023-07-03T19:42:50"/>
    <m/>
    <d v="2023-07-03T00:00:00"/>
    <n v="1177"/>
    <n v="3202"/>
    <s v="41723544"/>
    <s v="41723544"/>
    <m/>
    <m/>
    <m/>
    <m/>
    <m/>
    <m/>
    <s v="SOLRECOUP"/>
    <s v="SOLRECOUP"/>
    <s v="POARECOUP"/>
    <n v="21324446"/>
    <n v="-1861.21"/>
    <m/>
    <s v="Y"/>
    <n v="1"/>
    <d v="2023-07-03T19:42:51"/>
    <s v="N"/>
    <m/>
    <m/>
    <s v="Profit Cost"/>
    <m/>
    <s v="N"/>
    <n v="-1551.01"/>
    <n v="0"/>
    <x v="3"/>
    <s v="VALIDATED"/>
    <n v="1"/>
    <s v="01.11.80.307.2013.0000"/>
    <n v="-1551.01"/>
    <s v="11"/>
    <s v="2013"/>
    <n v="12932.64"/>
    <n v="-1551.01"/>
    <s v="CREDITOR"/>
    <n v="0"/>
    <n v="0"/>
    <n v="-1551.01"/>
    <n v="-387.7525"/>
    <n v="0"/>
  </r>
  <r>
    <n v="41723544"/>
    <s v="N"/>
    <n v="21324446"/>
    <s v="3000011086110010RC"/>
    <s v="CIVIL"/>
    <d v="2023-06-23T00:00:00"/>
    <d v="2023-07-03T19:42:50"/>
    <m/>
    <d v="2023-07-03T00:00:00"/>
    <n v="1177"/>
    <n v="3202"/>
    <s v="41723544"/>
    <s v="41723544"/>
    <m/>
    <m/>
    <m/>
    <m/>
    <m/>
    <m/>
    <s v="SOLRECOUP"/>
    <s v="SOLRECOUP"/>
    <s v="POARECOUP"/>
    <n v="21324446"/>
    <n v="-1861.21"/>
    <m/>
    <s v="Y"/>
    <n v="2"/>
    <d v="2023-07-03T19:42:51"/>
    <s v="N"/>
    <m/>
    <m/>
    <s v="Profit Cost"/>
    <m/>
    <s v="N"/>
    <n v="0"/>
    <n v="-310.2"/>
    <x v="3"/>
    <s v="VALIDATED"/>
    <n v="1"/>
    <s v="01.11.80.307.2013.0000"/>
    <n v="-310.2"/>
    <s v="11"/>
    <s v="2013"/>
    <n v="12932.64"/>
    <n v="-310.2"/>
    <s v="CREDITOR"/>
    <n v="0"/>
    <n v="0"/>
    <n v="-310.2"/>
    <n v="-77.55"/>
    <n v="0"/>
  </r>
  <r>
    <n v="60902186"/>
    <s v="N"/>
    <n v="21324447"/>
    <s v="3000015123200007RC"/>
    <s v="CIVIL"/>
    <d v="2023-06-23T00:00:00"/>
    <d v="2023-07-03T19:42:50"/>
    <m/>
    <d v="2023-07-03T00:00:00"/>
    <n v="1177"/>
    <n v="3202"/>
    <s v="60902186"/>
    <s v="60902186"/>
    <m/>
    <m/>
    <m/>
    <m/>
    <m/>
    <m/>
    <s v="SOLRECOUP"/>
    <s v="SOLRECOUP"/>
    <s v="POARECOUP"/>
    <n v="21324447"/>
    <n v="-282.86"/>
    <m/>
    <s v="Y"/>
    <n v="1"/>
    <d v="2023-07-03T19:42:51"/>
    <s v="N"/>
    <m/>
    <m/>
    <s v="Profit Cost"/>
    <m/>
    <s v="N"/>
    <n v="-235.72"/>
    <n v="0"/>
    <x v="3"/>
    <s v="VALIDATED"/>
    <n v="1"/>
    <s v="01.11.80.308.2013.0000"/>
    <n v="-235.72"/>
    <s v="11"/>
    <s v="2013"/>
    <n v="12932.64"/>
    <n v="-235.72"/>
    <s v="CREDITOR"/>
    <n v="0"/>
    <n v="0"/>
    <n v="-235.72"/>
    <n v="-58.93"/>
    <n v="0"/>
  </r>
  <r>
    <n v="60902186"/>
    <s v="N"/>
    <n v="21324447"/>
    <s v="3000015123200007RC"/>
    <s v="CIVIL"/>
    <d v="2023-06-23T00:00:00"/>
    <d v="2023-07-03T19:42:50"/>
    <m/>
    <d v="2023-07-03T00:00:00"/>
    <n v="1177"/>
    <n v="3202"/>
    <s v="60902186"/>
    <s v="60902186"/>
    <m/>
    <m/>
    <m/>
    <m/>
    <m/>
    <m/>
    <s v="SOLRECOUP"/>
    <s v="SOLRECOUP"/>
    <s v="POARECOUP"/>
    <n v="21324447"/>
    <n v="-282.86"/>
    <m/>
    <s v="Y"/>
    <n v="2"/>
    <d v="2023-07-03T19:42:51"/>
    <s v="N"/>
    <m/>
    <m/>
    <s v="Profit Cost"/>
    <m/>
    <s v="N"/>
    <n v="0"/>
    <n v="-47.14"/>
    <x v="3"/>
    <s v="VALIDATED"/>
    <n v="1"/>
    <s v="01.11.80.308.2013.0000"/>
    <n v="-47.14"/>
    <s v="11"/>
    <s v="2013"/>
    <n v="12932.64"/>
    <n v="-47.14"/>
    <s v="CREDITOR"/>
    <n v="0"/>
    <n v="0"/>
    <n v="-47.14"/>
    <n v="-11.785"/>
    <n v="0"/>
  </r>
  <r>
    <n v="41723544"/>
    <s v="N"/>
    <n v="21324448"/>
    <s v="3000011086110007RC"/>
    <s v="CIVIL"/>
    <d v="2023-06-23T00:00:00"/>
    <d v="2023-07-03T19:42:50"/>
    <m/>
    <d v="2023-07-03T00:00:00"/>
    <n v="1177"/>
    <n v="3202"/>
    <s v="41723544"/>
    <s v="41723544"/>
    <m/>
    <m/>
    <m/>
    <m/>
    <m/>
    <m/>
    <s v="SOLRECOUP"/>
    <s v="SOLRECOUP"/>
    <s v="POARECOUP"/>
    <n v="21324448"/>
    <n v="-756.42"/>
    <m/>
    <s v="Y"/>
    <n v="1"/>
    <d v="2023-07-03T19:42:51"/>
    <s v="N"/>
    <m/>
    <m/>
    <s v="Profit Cost"/>
    <m/>
    <s v="N"/>
    <n v="-630.35"/>
    <n v="0"/>
    <x v="3"/>
    <s v="VALIDATED"/>
    <n v="1"/>
    <s v="01.11.80.307.2013.0000"/>
    <n v="-630.35"/>
    <s v="11"/>
    <s v="2013"/>
    <n v="12932.64"/>
    <n v="-630.35"/>
    <s v="CREDITOR"/>
    <n v="0"/>
    <n v="0"/>
    <n v="-630.35"/>
    <n v="-157.5875"/>
    <n v="0"/>
  </r>
  <r>
    <n v="41723544"/>
    <s v="N"/>
    <n v="21324448"/>
    <s v="3000011086110007RC"/>
    <s v="CIVIL"/>
    <d v="2023-06-23T00:00:00"/>
    <d v="2023-07-03T19:42:50"/>
    <m/>
    <d v="2023-07-03T00:00:00"/>
    <n v="1177"/>
    <n v="3202"/>
    <s v="41723544"/>
    <s v="41723544"/>
    <m/>
    <m/>
    <m/>
    <m/>
    <m/>
    <m/>
    <s v="SOLRECOUP"/>
    <s v="SOLRECOUP"/>
    <s v="POARECOUP"/>
    <n v="21324448"/>
    <n v="-756.42"/>
    <m/>
    <s v="Y"/>
    <n v="2"/>
    <d v="2023-07-03T19:42:51"/>
    <s v="N"/>
    <m/>
    <m/>
    <s v="Profit Cost"/>
    <m/>
    <s v="N"/>
    <n v="0"/>
    <n v="-126.07"/>
    <x v="3"/>
    <s v="VALIDATED"/>
    <n v="1"/>
    <s v="01.11.80.307.2013.0000"/>
    <n v="-126.07"/>
    <s v="11"/>
    <s v="2013"/>
    <n v="12932.64"/>
    <n v="-126.07"/>
    <s v="CREDITOR"/>
    <n v="0"/>
    <n v="0"/>
    <n v="-126.07"/>
    <n v="-31.5175"/>
    <n v="0"/>
  </r>
  <r>
    <n v="41723544"/>
    <s v="N"/>
    <n v="21324449"/>
    <s v="3000011086110012RC"/>
    <s v="CIVIL"/>
    <d v="2023-06-23T00:00:00"/>
    <d v="2023-07-03T19:42:50"/>
    <m/>
    <d v="2023-07-03T00:00:00"/>
    <n v="1177"/>
    <n v="3202"/>
    <s v="41723544"/>
    <s v="41723544"/>
    <m/>
    <m/>
    <m/>
    <m/>
    <m/>
    <m/>
    <s v="SOLRECOUP"/>
    <s v="SOLRECOUP"/>
    <s v="POARECOUP"/>
    <n v="21324449"/>
    <n v="-53"/>
    <m/>
    <s v="Y"/>
    <n v="1"/>
    <d v="2023-07-03T19:42:51"/>
    <s v="N"/>
    <m/>
    <m/>
    <s v="Non Expert Disbursement"/>
    <m/>
    <s v="N"/>
    <n v="-53"/>
    <n v="0"/>
    <x v="3"/>
    <s v="VALIDATED"/>
    <n v="1"/>
    <s v="01.11.80.307.2013.0000"/>
    <n v="-53"/>
    <s v="11"/>
    <s v="2013"/>
    <n v="12932.64"/>
    <n v="-53"/>
    <s v="CREDITOR"/>
    <n v="0"/>
    <n v="0"/>
    <n v="-53"/>
    <n v="0"/>
    <n v="0"/>
  </r>
  <r>
    <n v="41723544"/>
    <s v="N"/>
    <n v="21324449"/>
    <s v="3000011086110012RC"/>
    <s v="CIVIL"/>
    <d v="2023-06-23T00:00:00"/>
    <d v="2023-07-03T19:42:50"/>
    <m/>
    <d v="2023-07-03T00:00:00"/>
    <n v="1177"/>
    <n v="3202"/>
    <s v="41723544"/>
    <s v="41723544"/>
    <m/>
    <m/>
    <m/>
    <m/>
    <m/>
    <m/>
    <s v="SOLRECOUP"/>
    <s v="SOLRECOUP"/>
    <s v="POARECOUP"/>
    <n v="21324449"/>
    <n v="-53"/>
    <m/>
    <s v="Y"/>
    <n v="2"/>
    <d v="2023-07-03T19:42:51"/>
    <s v="N"/>
    <m/>
    <m/>
    <s v="Non Expert Disbursement"/>
    <m/>
    <s v="N"/>
    <n v="0"/>
    <n v="0"/>
    <x v="3"/>
    <s v="VALIDATED"/>
    <n v="1"/>
    <s v="01.11.80.000.0000.0000"/>
    <n v="0"/>
    <s v="11"/>
    <s v="0000"/>
    <n v="12932.64"/>
    <n v="0"/>
    <s v="CREDITOR"/>
    <n v="0"/>
    <n v="0"/>
    <n v="0"/>
    <n v="0"/>
    <n v="0"/>
  </r>
  <r>
    <n v="60902186"/>
    <s v="N"/>
    <n v="21324450"/>
    <s v="3000015123200004RC"/>
    <s v="CIVIL"/>
    <d v="2023-06-23T00:00:00"/>
    <d v="2023-07-03T19:42:50"/>
    <m/>
    <d v="2023-07-03T00:00:00"/>
    <n v="1177"/>
    <n v="3202"/>
    <s v="60902186"/>
    <s v="60902186"/>
    <m/>
    <m/>
    <m/>
    <m/>
    <m/>
    <m/>
    <s v="SOLRECOUP"/>
    <s v="SOLRECOUP"/>
    <s v="POARECOUP"/>
    <n v="21324450"/>
    <n v="-1992.34"/>
    <m/>
    <s v="Y"/>
    <n v="1"/>
    <d v="2023-07-03T19:42:51"/>
    <s v="N"/>
    <m/>
    <m/>
    <s v="Profit Cost"/>
    <m/>
    <s v="N"/>
    <n v="-1660.28"/>
    <n v="0"/>
    <x v="3"/>
    <s v="VALIDATED"/>
    <n v="1"/>
    <s v="01.11.80.308.2013.0000"/>
    <n v="-1660.28"/>
    <s v="11"/>
    <s v="2013"/>
    <n v="12932.64"/>
    <n v="-1660.28"/>
    <s v="CREDITOR"/>
    <n v="0"/>
    <n v="0"/>
    <n v="-1660.28"/>
    <n v="-415.07"/>
    <n v="0"/>
  </r>
  <r>
    <n v="60902186"/>
    <s v="N"/>
    <n v="21324450"/>
    <s v="3000015123200004RC"/>
    <s v="CIVIL"/>
    <d v="2023-06-23T00:00:00"/>
    <d v="2023-07-03T19:42:50"/>
    <m/>
    <d v="2023-07-03T00:00:00"/>
    <n v="1177"/>
    <n v="3202"/>
    <s v="60902186"/>
    <s v="60902186"/>
    <m/>
    <m/>
    <m/>
    <m/>
    <m/>
    <m/>
    <s v="SOLRECOUP"/>
    <s v="SOLRECOUP"/>
    <s v="POARECOUP"/>
    <n v="21324450"/>
    <n v="-1992.34"/>
    <m/>
    <s v="Y"/>
    <n v="2"/>
    <d v="2023-07-03T19:42:51"/>
    <s v="N"/>
    <m/>
    <m/>
    <s v="Profit Cost"/>
    <m/>
    <s v="N"/>
    <n v="0"/>
    <n v="-332.06"/>
    <x v="3"/>
    <s v="VALIDATED"/>
    <n v="1"/>
    <s v="01.11.80.308.2013.0000"/>
    <n v="-332.06"/>
    <s v="11"/>
    <s v="2013"/>
    <n v="12932.64"/>
    <n v="-332.06"/>
    <s v="CREDITOR"/>
    <n v="0"/>
    <n v="0"/>
    <n v="-332.06"/>
    <n v="-83.015"/>
    <n v="0"/>
  </r>
  <r>
    <n v="60902186"/>
    <s v="N"/>
    <n v="21324451"/>
    <s v="3000015123200001RC"/>
    <s v="CIVIL"/>
    <d v="2023-06-23T00:00:00"/>
    <d v="2023-07-03T19:42:50"/>
    <m/>
    <d v="2023-07-03T00:00:00"/>
    <n v="1177"/>
    <n v="3202"/>
    <s v="60902186"/>
    <s v="60902186"/>
    <m/>
    <m/>
    <m/>
    <m/>
    <m/>
    <m/>
    <s v="SOLRECOUP"/>
    <s v="SOLRECOUP"/>
    <s v="POARECOUP"/>
    <n v="21324451"/>
    <n v="-606.3"/>
    <m/>
    <s v="Y"/>
    <n v="1"/>
    <d v="2023-07-03T19:42:51"/>
    <s v="N"/>
    <m/>
    <m/>
    <s v="Expert Disbursement"/>
    <m/>
    <s v="N"/>
    <n v="-505.25"/>
    <n v="0"/>
    <x v="3"/>
    <s v="VALIDATED"/>
    <n v="1"/>
    <s v="01.11.80.308.2013.0000"/>
    <n v="-505.25"/>
    <s v="11"/>
    <s v="2013"/>
    <n v="12932.64"/>
    <n v="-505.25"/>
    <s v="CREDITOR"/>
    <n v="0"/>
    <n v="0"/>
    <n v="-505.25"/>
    <n v="0"/>
    <n v="0"/>
  </r>
  <r>
    <n v="60902186"/>
    <s v="N"/>
    <n v="21324451"/>
    <s v="3000015123200001RC"/>
    <s v="CIVIL"/>
    <d v="2023-06-23T00:00:00"/>
    <d v="2023-07-03T19:42:50"/>
    <m/>
    <d v="2023-07-03T00:00:00"/>
    <n v="1177"/>
    <n v="3202"/>
    <s v="60902186"/>
    <s v="60902186"/>
    <m/>
    <m/>
    <m/>
    <m/>
    <m/>
    <m/>
    <s v="SOLRECOUP"/>
    <s v="SOLRECOUP"/>
    <s v="POARECOUP"/>
    <n v="21324451"/>
    <n v="-606.3"/>
    <m/>
    <s v="Y"/>
    <n v="2"/>
    <d v="2023-07-03T19:42:51"/>
    <s v="N"/>
    <m/>
    <m/>
    <s v="Expert Disbursement"/>
    <m/>
    <s v="N"/>
    <n v="0"/>
    <n v="-101.05"/>
    <x v="3"/>
    <s v="VALIDATED"/>
    <n v="1"/>
    <s v="01.11.80.308.2013.0000"/>
    <n v="-101.05"/>
    <s v="11"/>
    <s v="2013"/>
    <n v="12932.64"/>
    <n v="-101.05"/>
    <s v="CREDITOR"/>
    <n v="0"/>
    <n v="0"/>
    <n v="-101.05"/>
    <n v="0"/>
    <n v="0"/>
  </r>
  <r>
    <n v="59869540"/>
    <s v="N"/>
    <n v="21333840"/>
    <s v="3000014222730002RC"/>
    <s v="CIVIL"/>
    <d v="2023-06-26T00:00:00"/>
    <d v="2023-07-05T19:42:28"/>
    <m/>
    <d v="2023-07-05T00:00:00"/>
    <n v="1177"/>
    <n v="3202"/>
    <s v="59869540"/>
    <s v="59869540"/>
    <m/>
    <m/>
    <m/>
    <m/>
    <m/>
    <m/>
    <s v="SOLRECOUP"/>
    <s v="SOLRECOUP"/>
    <s v="POARECOUP"/>
    <n v="21333840"/>
    <n v="-1148.34"/>
    <m/>
    <s v="Y"/>
    <n v="1"/>
    <d v="2023-07-05T19:42:29"/>
    <s v="N"/>
    <m/>
    <m/>
    <s v="Profit Cost"/>
    <m/>
    <s v="N"/>
    <n v="-956.95"/>
    <n v="0"/>
    <x v="6"/>
    <s v="VALIDATED"/>
    <n v="1"/>
    <s v="01.11.80.307.2013.0000"/>
    <n v="-956.95"/>
    <s v="11"/>
    <s v="2013"/>
    <n v="12932.64"/>
    <n v="-956.95"/>
    <s v="CREDITOR"/>
    <n v="0"/>
    <n v="0"/>
    <n v="-956.95"/>
    <n v="-239.2375"/>
    <n v="0"/>
  </r>
  <r>
    <n v="59869540"/>
    <s v="N"/>
    <n v="21333840"/>
    <s v="3000014222730002RC"/>
    <s v="CIVIL"/>
    <d v="2023-06-26T00:00:00"/>
    <d v="2023-07-05T19:42:28"/>
    <m/>
    <d v="2023-07-05T00:00:00"/>
    <n v="1177"/>
    <n v="3202"/>
    <s v="59869540"/>
    <s v="59869540"/>
    <m/>
    <m/>
    <m/>
    <m/>
    <m/>
    <m/>
    <s v="SOLRECOUP"/>
    <s v="SOLRECOUP"/>
    <s v="POARECOUP"/>
    <n v="21333840"/>
    <n v="-1148.34"/>
    <m/>
    <s v="Y"/>
    <n v="2"/>
    <d v="2023-07-05T19:42:29"/>
    <s v="N"/>
    <m/>
    <m/>
    <s v="Profit Cost"/>
    <m/>
    <s v="N"/>
    <n v="0"/>
    <n v="-191.39"/>
    <x v="6"/>
    <s v="VALIDATED"/>
    <n v="1"/>
    <s v="01.11.80.307.2013.0000"/>
    <n v="-191.39"/>
    <s v="11"/>
    <s v="2013"/>
    <n v="12932.64"/>
    <n v="-191.39"/>
    <s v="CREDITOR"/>
    <n v="0"/>
    <n v="0"/>
    <n v="-191.39"/>
    <n v="-47.8475"/>
    <n v="0"/>
  </r>
  <r>
    <n v="44092862"/>
    <s v="N"/>
    <n v="21344117"/>
    <s v="3000011678920009"/>
    <s v="CIVIL"/>
    <d v="2023-06-08T00:00:00"/>
    <d v="2023-07-07T19:03:00"/>
    <m/>
    <d v="2023-07-07T00:00:00"/>
    <n v="1180"/>
    <n v="3225"/>
    <s v="44092862"/>
    <s v="44092862"/>
    <m/>
    <m/>
    <n v="22654182"/>
    <m/>
    <m/>
    <m/>
    <s v="SOLFIN"/>
    <s v="SOLFIN"/>
    <s v="CCMS"/>
    <n v="21344117"/>
    <n v="12042.97"/>
    <m/>
    <s v="N"/>
    <n v="29"/>
    <d v="2023-07-07T19:03:23"/>
    <s v="Y"/>
    <s v="Preparation -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2"/>
    <d v="2023-07-07T19:03:23"/>
    <s v="Y"/>
    <s v="Expert - Other"/>
    <s v="Non Family Hourly Rates"/>
    <s v="Expert Disbursement"/>
    <s v="COS"/>
    <s v="Y"/>
    <n v="131.66"/>
    <n v="0"/>
    <x v="9"/>
    <s v="VALIDATED"/>
    <n v="1"/>
    <s v="01.11.80.209.6300.0000"/>
    <n v="131.66"/>
    <s v="11"/>
    <s v="6300"/>
    <n v="7039.69"/>
    <n v="131.66"/>
    <s v="CREDITOR"/>
    <n v="0"/>
    <n v="0"/>
    <n v="0"/>
    <n v="0"/>
    <n v="131.66"/>
  </r>
  <r>
    <n v="44092862"/>
    <s v="N"/>
    <n v="21344117"/>
    <s v="3000011678920009"/>
    <s v="CIVIL"/>
    <d v="2023-06-08T00:00:00"/>
    <d v="2023-07-07T19:03:00"/>
    <m/>
    <d v="2023-07-07T00:00:00"/>
    <n v="1180"/>
    <n v="3225"/>
    <s v="44092862"/>
    <s v="44092862"/>
    <m/>
    <m/>
    <n v="22654182"/>
    <m/>
    <m/>
    <m/>
    <s v="SOLFIN"/>
    <s v="SOLFIN"/>
    <s v="CCMS"/>
    <n v="21344117"/>
    <n v="12042.97"/>
    <m/>
    <s v="N"/>
    <n v="68"/>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20"/>
    <d v="2023-07-07T19:03:23"/>
    <s v="Y"/>
    <s v="Advocacy - In court behind Counsel"/>
    <s v="Non Family Hourly Rates"/>
    <s v="Advocacy"/>
    <s v="COS"/>
    <s v="Y"/>
    <n v="33.3"/>
    <n v="6.66"/>
    <x v="9"/>
    <s v="VALIDATED"/>
    <n v="1"/>
    <s v="01.11.80.209.6100.0000"/>
    <n v="33.3"/>
    <s v="11"/>
    <s v="6100"/>
    <n v="7039.69"/>
    <n v="33.3"/>
    <s v="CREDITOR"/>
    <n v="0"/>
    <n v="0"/>
    <n v="0"/>
    <n v="0"/>
    <n v="33.3"/>
  </r>
  <r>
    <n v="44092862"/>
    <s v="N"/>
    <n v="21344117"/>
    <s v="3000011678920009"/>
    <s v="CIVIL"/>
    <d v="2023-06-08T00:00:00"/>
    <d v="2023-07-07T19:03:00"/>
    <m/>
    <d v="2023-07-07T00:00:00"/>
    <n v="1180"/>
    <n v="3225"/>
    <s v="44092862"/>
    <s v="44092862"/>
    <m/>
    <m/>
    <n v="22654182"/>
    <m/>
    <m/>
    <m/>
    <s v="SOLFIN"/>
    <s v="SOLFIN"/>
    <s v="CCMS"/>
    <n v="21344117"/>
    <n v="12042.97"/>
    <m/>
    <s v="N"/>
    <n v="36"/>
    <d v="2023-07-07T19:03:23"/>
    <s v="Y"/>
    <s v="Preparation -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25"/>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64"/>
    <d v="2023-07-07T19:03:23"/>
    <s v="Y"/>
    <s v="Report - other expert's report"/>
    <s v="Non Family Hourly Rates"/>
    <s v="Profit Cost"/>
    <s v="COS"/>
    <s v="Y"/>
    <n v="64.8"/>
    <n v="12.96"/>
    <x v="9"/>
    <s v="VALIDATED"/>
    <n v="1"/>
    <s v="01.11.80.209.6100.0000"/>
    <n v="64.8"/>
    <s v="11"/>
    <s v="6100"/>
    <n v="7039.69"/>
    <n v="64.8"/>
    <s v="CREDITOR"/>
    <n v="0"/>
    <n v="0"/>
    <n v="0"/>
    <n v="0"/>
    <n v="64.8"/>
  </r>
  <r>
    <n v="44092862"/>
    <s v="N"/>
    <n v="21344117"/>
    <s v="3000011678920009"/>
    <s v="CIVIL"/>
    <d v="2023-06-08T00:00:00"/>
    <d v="2023-07-07T19:03:00"/>
    <m/>
    <d v="2023-07-07T00:00:00"/>
    <n v="1180"/>
    <n v="3225"/>
    <s v="44092862"/>
    <s v="44092862"/>
    <m/>
    <m/>
    <n v="22654182"/>
    <m/>
    <m/>
    <m/>
    <s v="SOLFIN"/>
    <s v="SOLFIN"/>
    <s v="CCMS"/>
    <n v="21344117"/>
    <n v="12042.97"/>
    <m/>
    <s v="N"/>
    <n v="47"/>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71"/>
    <d v="2023-07-07T19:03:23"/>
    <s v="Y"/>
    <s v="Preparation - drafting statement"/>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17"/>
    <d v="2023-07-07T19:03:23"/>
    <s v="Y"/>
    <s v="Attendance upon/with Counsel at Con"/>
    <s v="Non Family Hourly Rates"/>
    <s v="Profit Cost"/>
    <s v="COS"/>
    <s v="Y"/>
    <n v="33.3"/>
    <n v="6.66"/>
    <x v="9"/>
    <s v="VALIDATED"/>
    <n v="1"/>
    <s v="01.11.80.209.6100.0000"/>
    <n v="33.3"/>
    <s v="11"/>
    <s v="6100"/>
    <n v="7039.69"/>
    <n v="33.3"/>
    <s v="CREDITOR"/>
    <n v="0"/>
    <n v="0"/>
    <n v="0"/>
    <n v="0"/>
    <n v="33.3"/>
  </r>
  <r>
    <n v="44092862"/>
    <s v="N"/>
    <n v="21344117"/>
    <s v="3000011678920009"/>
    <s v="CIVIL"/>
    <d v="2023-06-08T00:00:00"/>
    <d v="2023-07-07T19:03:00"/>
    <m/>
    <d v="2023-07-07T00:00:00"/>
    <n v="1180"/>
    <n v="3225"/>
    <s v="44092862"/>
    <s v="44092862"/>
    <m/>
    <m/>
    <n v="22654182"/>
    <m/>
    <m/>
    <m/>
    <s v="SOLFIN"/>
    <s v="SOLFIN"/>
    <s v="CCMS"/>
    <n v="21344117"/>
    <n v="12042.97"/>
    <m/>
    <s v="N"/>
    <n v="34"/>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48"/>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65"/>
    <d v="2023-07-07T19:03:23"/>
    <s v="Y"/>
    <s v="Attendance upon/with Counsel at Con"/>
    <s v="Non Family Hourly Rates"/>
    <s v="Profit Cost"/>
    <s v="COS"/>
    <s v="Y"/>
    <n v="33.3"/>
    <n v="6.66"/>
    <x v="9"/>
    <s v="VALIDATED"/>
    <n v="1"/>
    <s v="01.11.80.209.6100.0000"/>
    <n v="33.3"/>
    <s v="11"/>
    <s v="6100"/>
    <n v="7039.69"/>
    <n v="33.3"/>
    <s v="CREDITOR"/>
    <n v="0"/>
    <n v="0"/>
    <n v="0"/>
    <n v="0"/>
    <n v="33.3"/>
  </r>
  <r>
    <n v="44092862"/>
    <s v="N"/>
    <n v="21344117"/>
    <s v="3000011678920009"/>
    <s v="CIVIL"/>
    <d v="2023-06-08T00:00:00"/>
    <d v="2023-07-07T19:03:00"/>
    <m/>
    <d v="2023-07-07T00:00:00"/>
    <n v="1180"/>
    <n v="3225"/>
    <s v="44092862"/>
    <s v="44092862"/>
    <m/>
    <m/>
    <n v="22654182"/>
    <m/>
    <m/>
    <m/>
    <s v="SOLFIN"/>
    <s v="SOLFIN"/>
    <s v="CCMS"/>
    <n v="21344117"/>
    <n v="12042.97"/>
    <m/>
    <s v="N"/>
    <n v="51"/>
    <d v="2023-07-07T19:03:23"/>
    <s v="Y"/>
    <s v="Attendance upon client"/>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28"/>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56"/>
    <d v="2023-07-07T19:03:23"/>
    <s v="Y"/>
    <s v="Preparation -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69"/>
    <d v="2023-07-07T19:03:23"/>
    <s v="Y"/>
    <s v="Preparation -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78"/>
    <d v="2023-07-07T19:03:23"/>
    <s v="Y"/>
    <s v="Preparation - drafting statement"/>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74"/>
    <d v="2023-07-07T19:03:23"/>
    <s v="Y"/>
    <s v="Preparation -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8"/>
    <d v="2023-07-07T19:03:23"/>
    <s v="Y"/>
    <s v="Preparation -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41"/>
    <d v="2023-07-07T19:03:23"/>
    <s v="Y"/>
    <s v="Attendance upon other"/>
    <s v="Non Family Hourly Rates"/>
    <s v="Profit Cost"/>
    <s v="COS"/>
    <s v="Y"/>
    <n v="21.6"/>
    <n v="4.32"/>
    <x v="9"/>
    <s v="VALIDATED"/>
    <n v="1"/>
    <s v="01.11.80.209.6100.0000"/>
    <n v="21.6"/>
    <s v="11"/>
    <s v="6100"/>
    <n v="7039.69"/>
    <n v="21.6"/>
    <s v="CREDITOR"/>
    <n v="0"/>
    <n v="0"/>
    <n v="0"/>
    <n v="0"/>
    <n v="21.6"/>
  </r>
  <r>
    <n v="44092862"/>
    <s v="N"/>
    <n v="21346389"/>
    <s v="3000011678920002RC"/>
    <s v="CIVIL"/>
    <d v="2023-06-08T00:00:00"/>
    <d v="2023-07-07T19:34:21"/>
    <m/>
    <d v="2023-07-07T00:00:00"/>
    <n v="1180"/>
    <n v="3225"/>
    <s v="44092862"/>
    <s v="44092862"/>
    <m/>
    <m/>
    <m/>
    <m/>
    <m/>
    <m/>
    <s v="SOLRECOUP"/>
    <s v="SOLRECOUP"/>
    <s v="POARECOUP"/>
    <n v="21346389"/>
    <n v="-131.66"/>
    <m/>
    <s v="Y"/>
    <n v="2"/>
    <d v="2023-07-07T19:34:23"/>
    <s v="N"/>
    <m/>
    <m/>
    <s v="Expert Disbursement"/>
    <m/>
    <s v="N"/>
    <n v="0"/>
    <n v="0"/>
    <x v="9"/>
    <s v="VALIDATED"/>
    <n v="1"/>
    <s v="01.11.80.000.0000.0000"/>
    <n v="0"/>
    <s v="11"/>
    <s v="0000"/>
    <n v="7039.69"/>
    <n v="0"/>
    <s v="CREDITOR"/>
    <n v="0"/>
    <n v="0"/>
    <n v="0"/>
    <n v="0"/>
    <n v="0"/>
  </r>
  <r>
    <n v="44092862"/>
    <s v="N"/>
    <n v="21346389"/>
    <s v="3000011678920002RC"/>
    <s v="CIVIL"/>
    <d v="2023-06-08T00:00:00"/>
    <d v="2023-07-07T19:34:21"/>
    <m/>
    <d v="2023-07-07T00:00:00"/>
    <n v="1180"/>
    <n v="3225"/>
    <s v="44092862"/>
    <s v="44092862"/>
    <m/>
    <m/>
    <m/>
    <m/>
    <m/>
    <m/>
    <s v="SOLRECOUP"/>
    <s v="SOLRECOUP"/>
    <s v="POARECOUP"/>
    <n v="21346389"/>
    <n v="-131.66"/>
    <m/>
    <s v="Y"/>
    <n v="1"/>
    <d v="2023-07-07T19:34:23"/>
    <s v="N"/>
    <m/>
    <m/>
    <s v="Expert Disbursement"/>
    <m/>
    <s v="N"/>
    <n v="-131.66"/>
    <n v="0"/>
    <x v="9"/>
    <s v="VALIDATED"/>
    <n v="1"/>
    <s v="01.11.80.209.2013.0000"/>
    <n v="-131.66"/>
    <s v="11"/>
    <s v="2013"/>
    <n v="7039.69"/>
    <n v="-131.66"/>
    <s v="CREDITOR"/>
    <n v="0"/>
    <n v="0"/>
    <n v="-131.66"/>
    <n v="0"/>
    <n v="0"/>
  </r>
  <r>
    <n v="44092862"/>
    <s v="N"/>
    <n v="21346390"/>
    <s v="3000011678920004RC"/>
    <s v="CIVIL"/>
    <d v="2023-06-08T00:00:00"/>
    <d v="2023-07-07T19:34:21"/>
    <m/>
    <d v="2023-07-07T00:00:00"/>
    <n v="1180"/>
    <n v="3225"/>
    <s v="44092862"/>
    <s v="44092862"/>
    <m/>
    <m/>
    <m/>
    <m/>
    <m/>
    <m/>
    <s v="SOLRECOUP"/>
    <s v="SOLRECOUP"/>
    <s v="POARECOUP"/>
    <n v="21346390"/>
    <n v="-288"/>
    <m/>
    <s v="Y"/>
    <n v="2"/>
    <d v="2023-07-07T19:34:23"/>
    <s v="N"/>
    <m/>
    <m/>
    <s v="Expert Disbursement"/>
    <m/>
    <s v="N"/>
    <n v="0"/>
    <n v="-48"/>
    <x v="9"/>
    <s v="VALIDATED"/>
    <n v="1"/>
    <s v="01.11.80.209.2013.0000"/>
    <n v="-48"/>
    <s v="11"/>
    <s v="2013"/>
    <n v="7039.69"/>
    <n v="-48"/>
    <s v="CREDITOR"/>
    <n v="0"/>
    <n v="0"/>
    <n v="-48"/>
    <n v="0"/>
    <n v="0"/>
  </r>
  <r>
    <n v="44092862"/>
    <s v="N"/>
    <n v="21346390"/>
    <s v="3000011678920004RC"/>
    <s v="CIVIL"/>
    <d v="2023-06-08T00:00:00"/>
    <d v="2023-07-07T19:34:21"/>
    <m/>
    <d v="2023-07-07T00:00:00"/>
    <n v="1180"/>
    <n v="3225"/>
    <s v="44092862"/>
    <s v="44092862"/>
    <m/>
    <m/>
    <m/>
    <m/>
    <m/>
    <m/>
    <s v="SOLRECOUP"/>
    <s v="SOLRECOUP"/>
    <s v="POARECOUP"/>
    <n v="21346390"/>
    <n v="-288"/>
    <m/>
    <s v="Y"/>
    <n v="1"/>
    <d v="2023-07-07T19:34:23"/>
    <s v="N"/>
    <m/>
    <m/>
    <s v="Expert Disbursement"/>
    <m/>
    <s v="N"/>
    <n v="-240"/>
    <n v="0"/>
    <x v="9"/>
    <s v="VALIDATED"/>
    <n v="1"/>
    <s v="01.11.80.209.2013.0000"/>
    <n v="-240"/>
    <s v="11"/>
    <s v="2013"/>
    <n v="7039.69"/>
    <n v="-240"/>
    <s v="CREDITOR"/>
    <n v="0"/>
    <n v="0"/>
    <n v="-240"/>
    <n v="0"/>
    <n v="0"/>
  </r>
  <r>
    <n v="44092862"/>
    <s v="N"/>
    <n v="21346391"/>
    <s v="3000011678920003RC"/>
    <s v="CIVIL"/>
    <d v="2023-06-08T00:00:00"/>
    <d v="2023-07-07T19:34:21"/>
    <m/>
    <d v="2023-07-07T00:00:00"/>
    <n v="1180"/>
    <n v="3225"/>
    <s v="44092862"/>
    <s v="44092862"/>
    <m/>
    <m/>
    <m/>
    <m/>
    <m/>
    <m/>
    <s v="SOLRECOUP"/>
    <s v="SOLRECOUP"/>
    <s v="POARECOUP"/>
    <n v="21346391"/>
    <n v="-256"/>
    <m/>
    <s v="Y"/>
    <n v="2"/>
    <d v="2023-07-07T19:34:23"/>
    <s v="N"/>
    <m/>
    <m/>
    <s v="Expert Disbursement"/>
    <m/>
    <s v="N"/>
    <n v="0"/>
    <n v="-42.67"/>
    <x v="9"/>
    <s v="VALIDATED"/>
    <n v="1"/>
    <s v="01.11.80.209.2013.0000"/>
    <n v="-42.67"/>
    <s v="11"/>
    <s v="2013"/>
    <n v="7039.69"/>
    <n v="-42.67"/>
    <s v="CREDITOR"/>
    <n v="0"/>
    <n v="0"/>
    <n v="-42.67"/>
    <n v="0"/>
    <n v="0"/>
  </r>
  <r>
    <n v="44092862"/>
    <s v="N"/>
    <n v="21346391"/>
    <s v="3000011678920003RC"/>
    <s v="CIVIL"/>
    <d v="2023-06-08T00:00:00"/>
    <d v="2023-07-07T19:34:21"/>
    <m/>
    <d v="2023-07-07T00:00:00"/>
    <n v="1180"/>
    <n v="3225"/>
    <s v="44092862"/>
    <s v="44092862"/>
    <m/>
    <m/>
    <m/>
    <m/>
    <m/>
    <m/>
    <s v="SOLRECOUP"/>
    <s v="SOLRECOUP"/>
    <s v="POARECOUP"/>
    <n v="21346391"/>
    <n v="-256"/>
    <m/>
    <s v="Y"/>
    <n v="1"/>
    <d v="2023-07-07T19:34:23"/>
    <s v="N"/>
    <m/>
    <m/>
    <s v="Expert Disbursement"/>
    <m/>
    <s v="N"/>
    <n v="-213.33"/>
    <n v="0"/>
    <x v="9"/>
    <s v="VALIDATED"/>
    <n v="1"/>
    <s v="01.11.80.209.2013.0000"/>
    <n v="-213.33"/>
    <s v="11"/>
    <s v="2013"/>
    <n v="7039.69"/>
    <n v="-213.33"/>
    <s v="CREDITOR"/>
    <n v="0"/>
    <n v="0"/>
    <n v="-213.33"/>
    <n v="0"/>
    <n v="0"/>
  </r>
  <r>
    <n v="44092862"/>
    <s v="N"/>
    <n v="21346392"/>
    <s v="3000011678920005RC"/>
    <s v="CIVIL"/>
    <d v="2023-06-08T00:00:00"/>
    <d v="2023-07-07T19:34:21"/>
    <m/>
    <d v="2023-07-07T00:00:00"/>
    <n v="1180"/>
    <n v="3225"/>
    <s v="44092862"/>
    <s v="44092862"/>
    <m/>
    <m/>
    <m/>
    <m/>
    <m/>
    <m/>
    <s v="SOLRECOUP"/>
    <s v="SOLRECOUP"/>
    <s v="POARECOUP"/>
    <n v="21346392"/>
    <n v="-2237.4"/>
    <m/>
    <s v="Y"/>
    <n v="2"/>
    <d v="2023-07-07T19:34:23"/>
    <s v="N"/>
    <m/>
    <m/>
    <s v="Expert Disbursement"/>
    <m/>
    <s v="N"/>
    <n v="0"/>
    <n v="-372.9"/>
    <x v="9"/>
    <s v="VALIDATED"/>
    <n v="1"/>
    <s v="01.11.80.209.2013.0000"/>
    <n v="-372.9"/>
    <s v="11"/>
    <s v="2013"/>
    <n v="7039.69"/>
    <n v="-372.9"/>
    <s v="CREDITOR"/>
    <n v="0"/>
    <n v="0"/>
    <n v="-372.9"/>
    <n v="0"/>
    <n v="0"/>
  </r>
  <r>
    <n v="44092862"/>
    <s v="N"/>
    <n v="21346392"/>
    <s v="3000011678920005RC"/>
    <s v="CIVIL"/>
    <d v="2023-06-08T00:00:00"/>
    <d v="2023-07-07T19:34:21"/>
    <m/>
    <d v="2023-07-07T00:00:00"/>
    <n v="1180"/>
    <n v="3225"/>
    <s v="44092862"/>
    <s v="44092862"/>
    <m/>
    <m/>
    <m/>
    <m/>
    <m/>
    <m/>
    <s v="SOLRECOUP"/>
    <s v="SOLRECOUP"/>
    <s v="POARECOUP"/>
    <n v="21346392"/>
    <n v="-2237.4"/>
    <m/>
    <s v="Y"/>
    <n v="1"/>
    <d v="2023-07-07T19:34:23"/>
    <s v="N"/>
    <m/>
    <m/>
    <s v="Expert Disbursement"/>
    <m/>
    <s v="N"/>
    <n v="-1864.5"/>
    <n v="0"/>
    <x v="9"/>
    <s v="VALIDATED"/>
    <n v="1"/>
    <s v="01.11.80.209.2013.0000"/>
    <n v="-1864.5"/>
    <s v="11"/>
    <s v="2013"/>
    <n v="7039.69"/>
    <n v="-1864.5"/>
    <s v="CREDITOR"/>
    <n v="0"/>
    <n v="0"/>
    <n v="-1864.5"/>
    <n v="0"/>
    <n v="0"/>
  </r>
  <r>
    <n v="44092862"/>
    <s v="N"/>
    <n v="21346393"/>
    <s v="3000011678920006RC"/>
    <s v="CIVIL"/>
    <d v="2023-06-08T00:00:00"/>
    <d v="2023-07-07T19:34:21"/>
    <m/>
    <d v="2023-07-07T00:00:00"/>
    <n v="1180"/>
    <n v="3225"/>
    <s v="44092862"/>
    <s v="44092862"/>
    <m/>
    <m/>
    <m/>
    <m/>
    <m/>
    <m/>
    <s v="SOLRECOUP"/>
    <s v="SOLRECOUP"/>
    <s v="POARECOUP"/>
    <n v="21346393"/>
    <n v="-126"/>
    <m/>
    <s v="Y"/>
    <n v="2"/>
    <d v="2023-07-07T19:34:23"/>
    <s v="N"/>
    <m/>
    <m/>
    <s v="Expert Disbursement"/>
    <m/>
    <s v="N"/>
    <n v="0"/>
    <n v="0"/>
    <x v="9"/>
    <s v="VALIDATED"/>
    <n v="1"/>
    <s v="01.11.80.000.0000.0000"/>
    <n v="0"/>
    <s v="11"/>
    <s v="0000"/>
    <n v="7039.69"/>
    <n v="0"/>
    <s v="CREDITOR"/>
    <n v="0"/>
    <n v="0"/>
    <n v="0"/>
    <n v="0"/>
    <n v="0"/>
  </r>
  <r>
    <n v="44092862"/>
    <s v="N"/>
    <n v="21346393"/>
    <s v="3000011678920006RC"/>
    <s v="CIVIL"/>
    <d v="2023-06-08T00:00:00"/>
    <d v="2023-07-07T19:34:21"/>
    <m/>
    <d v="2023-07-07T00:00:00"/>
    <n v="1180"/>
    <n v="3225"/>
    <s v="44092862"/>
    <s v="44092862"/>
    <m/>
    <m/>
    <m/>
    <m/>
    <m/>
    <m/>
    <s v="SOLRECOUP"/>
    <s v="SOLRECOUP"/>
    <s v="POARECOUP"/>
    <n v="21346393"/>
    <n v="-126"/>
    <m/>
    <s v="Y"/>
    <n v="1"/>
    <d v="2023-07-07T19:34:23"/>
    <s v="N"/>
    <m/>
    <m/>
    <s v="Expert Disbursement"/>
    <m/>
    <s v="N"/>
    <n v="-126"/>
    <n v="0"/>
    <x v="9"/>
    <s v="VALIDATED"/>
    <n v="1"/>
    <s v="01.11.80.209.2013.0000"/>
    <n v="-126"/>
    <s v="11"/>
    <s v="2013"/>
    <n v="7039.69"/>
    <n v="-126"/>
    <s v="CREDITOR"/>
    <n v="0"/>
    <n v="0"/>
    <n v="-126"/>
    <n v="0"/>
    <n v="0"/>
  </r>
  <r>
    <n v="44092862"/>
    <s v="N"/>
    <n v="21344117"/>
    <s v="3000011678920009"/>
    <s v="CIVIL"/>
    <d v="2023-06-08T00:00:00"/>
    <d v="2023-07-07T19:03:00"/>
    <m/>
    <d v="2023-07-07T00:00:00"/>
    <n v="1180"/>
    <n v="3225"/>
    <s v="44092862"/>
    <s v="44092862"/>
    <m/>
    <m/>
    <n v="22654182"/>
    <m/>
    <m/>
    <m/>
    <s v="SOLFIN"/>
    <s v="SOLFIN"/>
    <s v="CCMS"/>
    <n v="21344117"/>
    <n v="12042.97"/>
    <m/>
    <s v="N"/>
    <n v="30"/>
    <d v="2023-07-07T19:03:23"/>
    <s v="Y"/>
    <s v="Attendance upon other"/>
    <s v="Non Family Hourly Rates"/>
    <s v="Profit Cost"/>
    <s v="COS"/>
    <s v="Y"/>
    <n v="108"/>
    <n v="21.6"/>
    <x v="9"/>
    <s v="VALIDATED"/>
    <n v="1"/>
    <s v="01.11.80.209.6100.0000"/>
    <n v="108"/>
    <s v="11"/>
    <s v="6100"/>
    <n v="7039.69"/>
    <n v="108"/>
    <s v="CREDITOR"/>
    <n v="0"/>
    <n v="0"/>
    <n v="0"/>
    <n v="0"/>
    <n v="108"/>
  </r>
  <r>
    <n v="44092862"/>
    <s v="N"/>
    <n v="21344117"/>
    <s v="3000011678920009"/>
    <s v="CIVIL"/>
    <d v="2023-06-08T00:00:00"/>
    <d v="2023-07-07T19:03:00"/>
    <m/>
    <d v="2023-07-07T00:00:00"/>
    <n v="1180"/>
    <n v="3225"/>
    <s v="44092862"/>
    <s v="44092862"/>
    <m/>
    <m/>
    <n v="22654182"/>
    <m/>
    <m/>
    <m/>
    <s v="SOLFIN"/>
    <s v="SOLFIN"/>
    <s v="CCMS"/>
    <n v="21344117"/>
    <n v="12042.97"/>
    <m/>
    <s v="N"/>
    <n v="38"/>
    <d v="2023-07-07T19:03:23"/>
    <s v="Y"/>
    <s v="Attendance upon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59"/>
    <d v="2023-07-07T19:03:23"/>
    <s v="Y"/>
    <s v="Attendance upon other"/>
    <s v="Non Family Hourly Rates"/>
    <s v="Profit Cost"/>
    <s v="COS"/>
    <s v="Y"/>
    <n v="108"/>
    <n v="21.6"/>
    <x v="9"/>
    <s v="VALIDATED"/>
    <n v="1"/>
    <s v="01.11.80.209.6100.0000"/>
    <n v="108"/>
    <s v="11"/>
    <s v="6100"/>
    <n v="7039.69"/>
    <n v="108"/>
    <s v="CREDITOR"/>
    <n v="0"/>
    <n v="0"/>
    <n v="0"/>
    <n v="0"/>
    <n v="108"/>
  </r>
  <r>
    <n v="44092862"/>
    <s v="N"/>
    <n v="21344117"/>
    <s v="3000011678920009"/>
    <s v="CIVIL"/>
    <d v="2023-06-08T00:00:00"/>
    <d v="2023-07-07T19:03:00"/>
    <m/>
    <d v="2023-07-07T00:00:00"/>
    <n v="1180"/>
    <n v="3225"/>
    <s v="44092862"/>
    <s v="44092862"/>
    <m/>
    <m/>
    <n v="22654182"/>
    <m/>
    <m/>
    <m/>
    <s v="SOLFIN"/>
    <s v="SOLFIN"/>
    <s v="CCMS"/>
    <n v="21344117"/>
    <n v="12042.97"/>
    <m/>
    <s v="N"/>
    <n v="82"/>
    <d v="2023-07-07T19:03:23"/>
    <s v="Y"/>
    <s v="Preparation - other"/>
    <s v="Non Family Hourly Rates"/>
    <s v="Profit Cost"/>
    <s v="COS"/>
    <s v="Y"/>
    <n v="54"/>
    <n v="10.8"/>
    <x v="9"/>
    <s v="VALIDATED"/>
    <n v="1"/>
    <s v="01.11.80.209.6100.0000"/>
    <n v="54"/>
    <s v="11"/>
    <s v="6100"/>
    <n v="7039.69"/>
    <n v="54"/>
    <s v="CREDITOR"/>
    <n v="0"/>
    <n v="0"/>
    <n v="0"/>
    <n v="0"/>
    <n v="54"/>
  </r>
  <r>
    <n v="44092862"/>
    <s v="N"/>
    <n v="21344117"/>
    <s v="3000011678920009"/>
    <s v="CIVIL"/>
    <d v="2023-06-08T00:00:00"/>
    <d v="2023-07-07T19:03:00"/>
    <m/>
    <d v="2023-07-07T00:00:00"/>
    <n v="1180"/>
    <n v="3225"/>
    <s v="44092862"/>
    <s v="44092862"/>
    <m/>
    <m/>
    <n v="22654182"/>
    <m/>
    <m/>
    <m/>
    <s v="SOLFIN"/>
    <s v="SOLFIN"/>
    <s v="CCMS"/>
    <n v="21344117"/>
    <n v="12042.97"/>
    <m/>
    <s v="N"/>
    <n v="31"/>
    <d v="2023-07-07T19:03:23"/>
    <s v="Y"/>
    <s v="Preparation - other"/>
    <s v="Non Family Hourly Rates"/>
    <s v="Profit Cost"/>
    <s v="COS"/>
    <s v="Y"/>
    <n v="108"/>
    <n v="21.6"/>
    <x v="9"/>
    <s v="VALIDATED"/>
    <n v="1"/>
    <s v="01.11.80.209.6100.0000"/>
    <n v="108"/>
    <s v="11"/>
    <s v="6100"/>
    <n v="7039.69"/>
    <n v="108"/>
    <s v="CREDITOR"/>
    <n v="0"/>
    <n v="0"/>
    <n v="0"/>
    <n v="0"/>
    <n v="108"/>
  </r>
  <r>
    <n v="44092862"/>
    <s v="N"/>
    <n v="21344117"/>
    <s v="3000011678920009"/>
    <s v="CIVIL"/>
    <d v="2023-06-08T00:00:00"/>
    <d v="2023-07-07T19:03:00"/>
    <m/>
    <d v="2023-07-07T00:00:00"/>
    <n v="1180"/>
    <n v="3225"/>
    <s v="44092862"/>
    <s v="44092862"/>
    <m/>
    <m/>
    <n v="22654182"/>
    <m/>
    <m/>
    <m/>
    <s v="SOLFIN"/>
    <s v="SOLFIN"/>
    <s v="CCMS"/>
    <n v="21344117"/>
    <n v="12042.97"/>
    <m/>
    <s v="N"/>
    <n v="50"/>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60"/>
    <d v="2023-07-07T19:03:23"/>
    <s v="Y"/>
    <s v="Preparation -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67"/>
    <d v="2023-07-07T19:03:23"/>
    <s v="Y"/>
    <s v="Preparation - other"/>
    <s v="Non Family Hourly Rates"/>
    <s v="Profit Cost"/>
    <s v="COS"/>
    <s v="Y"/>
    <n v="86.40000000000001"/>
    <n v="17.28"/>
    <x v="9"/>
    <s v="VALIDATED"/>
    <n v="1"/>
    <s v="01.11.80.209.6100.0000"/>
    <n v="86.40000000000001"/>
    <s v="11"/>
    <s v="6100"/>
    <n v="7039.69"/>
    <n v="86.40000000000001"/>
    <s v="CREDITOR"/>
    <n v="0"/>
    <n v="0"/>
    <n v="0"/>
    <n v="0"/>
    <n v="86.40000000000001"/>
  </r>
  <r>
    <n v="44092862"/>
    <s v="N"/>
    <n v="21344117"/>
    <s v="3000011678920009"/>
    <s v="CIVIL"/>
    <d v="2023-06-08T00:00:00"/>
    <d v="2023-07-07T19:03:00"/>
    <m/>
    <d v="2023-07-07T00:00:00"/>
    <n v="1180"/>
    <n v="3225"/>
    <s v="44092862"/>
    <s v="44092862"/>
    <m/>
    <m/>
    <n v="22654182"/>
    <m/>
    <m/>
    <m/>
    <s v="SOLFIN"/>
    <s v="SOLFIN"/>
    <s v="CCMS"/>
    <n v="21344117"/>
    <n v="12042.97"/>
    <m/>
    <s v="N"/>
    <n v="24"/>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46"/>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61"/>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81"/>
    <d v="2023-07-07T19:03:23"/>
    <s v="Y"/>
    <s v="Advocacy - In court behind Counsel"/>
    <s v="Non Family Hourly Rates"/>
    <s v="Advocacy"/>
    <s v="COS"/>
    <s v="Y"/>
    <n v="33.3"/>
    <n v="6.66"/>
    <x v="9"/>
    <s v="VALIDATED"/>
    <n v="1"/>
    <s v="01.11.80.209.6100.0000"/>
    <n v="33.3"/>
    <s v="11"/>
    <s v="6100"/>
    <n v="7039.69"/>
    <n v="33.3"/>
    <s v="CREDITOR"/>
    <n v="0"/>
    <n v="0"/>
    <n v="0"/>
    <n v="0"/>
    <n v="33.3"/>
  </r>
  <r>
    <n v="44092862"/>
    <s v="N"/>
    <n v="21344117"/>
    <s v="3000011678920009"/>
    <s v="CIVIL"/>
    <d v="2023-06-08T00:00:00"/>
    <d v="2023-07-07T19:03:00"/>
    <m/>
    <d v="2023-07-07T00:00:00"/>
    <n v="1180"/>
    <n v="3225"/>
    <s v="44092862"/>
    <s v="44092862"/>
    <m/>
    <m/>
    <n v="22654182"/>
    <m/>
    <m/>
    <m/>
    <s v="SOLFIN"/>
    <s v="SOLFIN"/>
    <s v="CCMS"/>
    <n v="21344117"/>
    <n v="12042.97"/>
    <m/>
    <s v="N"/>
    <n v="10"/>
    <d v="2023-07-07T19:03:23"/>
    <s v="Y"/>
    <s v="Preparation - drafting statement"/>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14"/>
    <d v="2023-07-07T19:03:23"/>
    <s v="Y"/>
    <s v="Preparation - drafting statement"/>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16"/>
    <d v="2023-07-07T19:03:23"/>
    <s v="Y"/>
    <s v="Attendance upon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80"/>
    <d v="2023-07-07T19:03:23"/>
    <s v="Y"/>
    <s v="Preparation - drafting instructions"/>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26"/>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45"/>
    <d v="2023-07-07T19:03:23"/>
    <s v="Y"/>
    <s v="Preparation -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70"/>
    <d v="2023-07-07T19:03:23"/>
    <s v="Y"/>
    <s v="Preparation - drafting statement"/>
    <s v="Non Family Hourly Rates"/>
    <s v="Profit Cost"/>
    <s v="COS"/>
    <s v="Y"/>
    <n v="108"/>
    <n v="21.6"/>
    <x v="9"/>
    <s v="VALIDATED"/>
    <n v="1"/>
    <s v="01.11.80.209.6100.0000"/>
    <n v="108"/>
    <s v="11"/>
    <s v="6100"/>
    <n v="7039.69"/>
    <n v="108"/>
    <s v="CREDITOR"/>
    <n v="0"/>
    <n v="0"/>
    <n v="0"/>
    <n v="0"/>
    <n v="108"/>
  </r>
  <r>
    <n v="44092862"/>
    <s v="N"/>
    <n v="21344117"/>
    <s v="3000011678920009"/>
    <s v="CIVIL"/>
    <d v="2023-06-08T00:00:00"/>
    <d v="2023-07-07T19:03:00"/>
    <m/>
    <d v="2023-07-07T00:00:00"/>
    <n v="1180"/>
    <n v="3225"/>
    <s v="44092862"/>
    <s v="44092862"/>
    <m/>
    <m/>
    <n v="22654182"/>
    <m/>
    <m/>
    <m/>
    <s v="SOLFIN"/>
    <s v="SOLFIN"/>
    <s v="CCMS"/>
    <n v="21344117"/>
    <n v="12042.97"/>
    <m/>
    <s v="N"/>
    <n v="3"/>
    <d v="2023-07-07T19:03:23"/>
    <s v="Y"/>
    <s v="Independent Social Worker"/>
    <s v="Non Family Hourly Rates"/>
    <s v="Expert Disbursement"/>
    <s v="COS"/>
    <s v="Y"/>
    <n v="1864.5"/>
    <n v="372.9"/>
    <x v="9"/>
    <s v="VALIDATED"/>
    <n v="1"/>
    <s v="01.11.80.209.6300.0000"/>
    <n v="1864.5"/>
    <s v="11"/>
    <s v="6300"/>
    <n v="7039.69"/>
    <n v="1864.5"/>
    <s v="CREDITOR"/>
    <n v="0"/>
    <n v="0"/>
    <n v="0"/>
    <n v="0"/>
    <n v="1864.5"/>
  </r>
  <r>
    <n v="44092862"/>
    <s v="N"/>
    <n v="21344117"/>
    <s v="3000011678920009"/>
    <s v="CIVIL"/>
    <d v="2023-06-08T00:00:00"/>
    <d v="2023-07-07T19:03:00"/>
    <m/>
    <d v="2023-07-07T00:00:00"/>
    <n v="1180"/>
    <n v="3225"/>
    <s v="44092862"/>
    <s v="44092862"/>
    <m/>
    <m/>
    <n v="22654182"/>
    <m/>
    <m/>
    <m/>
    <s v="SOLFIN"/>
    <s v="SOLFIN"/>
    <s v="CCMS"/>
    <n v="21344117"/>
    <n v="12042.97"/>
    <m/>
    <s v="N"/>
    <n v="84"/>
    <d v="2023-07-07T19:03:23"/>
    <s v="Y"/>
    <s v="Routine Telephone Call"/>
    <s v="Non Family Hourly Rates"/>
    <s v="Profit Cost"/>
    <s v="COS"/>
    <s v="Y"/>
    <n v="71.06"/>
    <n v="14.21"/>
    <x v="9"/>
    <s v="VALIDATED"/>
    <n v="1"/>
    <s v="01.11.80.209.6100.0000"/>
    <n v="71.06"/>
    <s v="11"/>
    <s v="6100"/>
    <n v="7039.69"/>
    <n v="71.06"/>
    <s v="CREDITOR"/>
    <n v="0"/>
    <n v="0"/>
    <n v="0"/>
    <n v="0"/>
    <n v="71.06"/>
  </r>
  <r>
    <n v="44092862"/>
    <s v="N"/>
    <n v="21344117"/>
    <s v="3000011678920009"/>
    <s v="CIVIL"/>
    <d v="2023-06-08T00:00:00"/>
    <d v="2023-07-07T19:03:00"/>
    <m/>
    <d v="2023-07-07T00:00:00"/>
    <n v="1180"/>
    <n v="3225"/>
    <s v="44092862"/>
    <s v="44092862"/>
    <m/>
    <m/>
    <n v="22654182"/>
    <m/>
    <m/>
    <m/>
    <s v="SOLFIN"/>
    <s v="SOLFIN"/>
    <s v="CCMS"/>
    <n v="21344117"/>
    <n v="12042.97"/>
    <m/>
    <s v="N"/>
    <n v="55"/>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63"/>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76"/>
    <d v="2023-07-07T19:03:23"/>
    <s v="Y"/>
    <s v="Advocacy - In court behind Counsel"/>
    <s v="Non Family Hourly Rates"/>
    <s v="Advocacy"/>
    <s v="COS"/>
    <s v="Y"/>
    <n v="66.59999999999999"/>
    <n v="13.32"/>
    <x v="9"/>
    <s v="VALIDATED"/>
    <n v="1"/>
    <s v="01.11.80.209.6100.0000"/>
    <n v="66.59999999999999"/>
    <s v="11"/>
    <s v="6100"/>
    <n v="7039.69"/>
    <n v="66.59999999999999"/>
    <s v="CREDITOR"/>
    <n v="0"/>
    <n v="0"/>
    <n v="0"/>
    <n v="0"/>
    <n v="66.59999999999999"/>
  </r>
  <r>
    <n v="44092862"/>
    <s v="N"/>
    <n v="21344117"/>
    <s v="3000011678920009"/>
    <s v="CIVIL"/>
    <d v="2023-06-08T00:00:00"/>
    <d v="2023-07-07T19:03:00"/>
    <m/>
    <d v="2023-07-07T00:00:00"/>
    <n v="1180"/>
    <n v="3225"/>
    <s v="44092862"/>
    <s v="44092862"/>
    <m/>
    <m/>
    <n v="22654182"/>
    <m/>
    <m/>
    <m/>
    <s v="SOLFIN"/>
    <s v="SOLFIN"/>
    <s v="CCMS"/>
    <n v="21344117"/>
    <n v="12042.97"/>
    <m/>
    <s v="N"/>
    <n v="6"/>
    <d v="2023-07-07T19:03:23"/>
    <s v="Y"/>
    <s v="Attendance upon client"/>
    <s v="Non Family Hourly Rates"/>
    <s v="Profit Cost"/>
    <s v="COS"/>
    <s v="Y"/>
    <n v="129.6"/>
    <n v="25.92"/>
    <x v="9"/>
    <s v="VALIDATED"/>
    <n v="1"/>
    <s v="01.11.80.209.6100.0000"/>
    <n v="129.6"/>
    <s v="11"/>
    <s v="6100"/>
    <n v="7039.69"/>
    <n v="129.6"/>
    <s v="CREDITOR"/>
    <n v="0"/>
    <n v="0"/>
    <n v="0"/>
    <n v="0"/>
    <n v="129.6"/>
  </r>
  <r>
    <n v="44092862"/>
    <s v="N"/>
    <n v="21344117"/>
    <s v="3000011678920009"/>
    <s v="CIVIL"/>
    <d v="2023-06-08T00:00:00"/>
    <d v="2023-07-07T19:03:00"/>
    <m/>
    <d v="2023-07-07T00:00:00"/>
    <n v="1180"/>
    <n v="3225"/>
    <s v="44092862"/>
    <s v="44092862"/>
    <m/>
    <m/>
    <n v="22654182"/>
    <m/>
    <m/>
    <m/>
    <s v="SOLFIN"/>
    <s v="SOLFIN"/>
    <s v="CCMS"/>
    <n v="21344117"/>
    <n v="12042.97"/>
    <m/>
    <s v="N"/>
    <n v="9"/>
    <d v="2023-07-07T19:03:23"/>
    <s v="Y"/>
    <s v="Preparation -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72"/>
    <d v="2023-07-07T19:03:23"/>
    <s v="Y"/>
    <s v="Advocacy - In court behind Counsel"/>
    <s v="Non Family Hourly Rates"/>
    <s v="Advocacy"/>
    <s v="COS"/>
    <s v="Y"/>
    <n v="99.90000000000001"/>
    <n v="19.98"/>
    <x v="9"/>
    <s v="VALIDATED"/>
    <n v="1"/>
    <s v="01.11.80.209.6100.0000"/>
    <n v="99.90000000000001"/>
    <s v="11"/>
    <s v="6100"/>
    <n v="7039.69"/>
    <n v="99.90000000000001"/>
    <s v="CREDITOR"/>
    <n v="0"/>
    <n v="0"/>
    <n v="0"/>
    <n v="0"/>
    <n v="99.90000000000001"/>
  </r>
  <r>
    <n v="44092862"/>
    <s v="N"/>
    <n v="21344117"/>
    <s v="3000011678920009"/>
    <s v="CIVIL"/>
    <d v="2023-06-08T00:00:00"/>
    <d v="2023-07-07T19:03:00"/>
    <m/>
    <d v="2023-07-07T00:00:00"/>
    <n v="1180"/>
    <n v="3225"/>
    <s v="44092862"/>
    <s v="44092862"/>
    <m/>
    <m/>
    <n v="22654182"/>
    <m/>
    <m/>
    <m/>
    <s v="SOLFIN"/>
    <s v="SOLFIN"/>
    <s v="CCMS"/>
    <n v="21344117"/>
    <n v="12042.97"/>
    <m/>
    <s v="N"/>
    <n v="23"/>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40"/>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58"/>
    <d v="2023-07-07T19:03:23"/>
    <s v="Y"/>
    <s v="Report - other expert's report"/>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42"/>
    <d v="2023-07-07T19:03:23"/>
    <s v="Y"/>
    <s v="Preparation -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49"/>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73"/>
    <d v="2023-07-07T19:03:23"/>
    <s v="Y"/>
    <s v="Preparation - drafting statement"/>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57"/>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7"/>
    <d v="2023-07-07T19:03:23"/>
    <s v="Y"/>
    <s v="Preparation - drafting attendance n"/>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1"/>
    <d v="2023-07-07T19:03:23"/>
    <s v="Y"/>
    <s v="Psychiatrist"/>
    <s v="Non Family Hourly Rates"/>
    <s v="Expert Disbursement"/>
    <s v="COS"/>
    <s v="Y"/>
    <n v="126"/>
    <n v="0"/>
    <x v="9"/>
    <s v="VALIDATED"/>
    <n v="1"/>
    <s v="01.11.80.209.6300.0000"/>
    <n v="126"/>
    <s v="11"/>
    <s v="6300"/>
    <n v="7039.69"/>
    <n v="126"/>
    <s v="CREDITOR"/>
    <n v="0"/>
    <n v="0"/>
    <n v="0"/>
    <n v="0"/>
    <n v="126"/>
  </r>
  <r>
    <n v="44092862"/>
    <s v="N"/>
    <n v="21344117"/>
    <s v="3000011678920009"/>
    <s v="CIVIL"/>
    <d v="2023-06-08T00:00:00"/>
    <d v="2023-07-07T19:03:00"/>
    <m/>
    <d v="2023-07-07T00:00:00"/>
    <n v="1180"/>
    <n v="3225"/>
    <s v="44092862"/>
    <s v="44092862"/>
    <m/>
    <m/>
    <n v="22654182"/>
    <m/>
    <m/>
    <m/>
    <s v="SOLFIN"/>
    <s v="SOLFIN"/>
    <s v="CCMS"/>
    <n v="21344117"/>
    <n v="12042.97"/>
    <m/>
    <s v="N"/>
    <n v="33"/>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52"/>
    <d v="2023-07-07T19:03:23"/>
    <s v="Y"/>
    <s v="Attendance upon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79"/>
    <d v="2023-07-07T19:03:23"/>
    <s v="Y"/>
    <s v="Preparation - other"/>
    <s v="Non Family Hourly Rates"/>
    <s v="Profit Cost"/>
    <s v="COS"/>
    <s v="Y"/>
    <n v="54"/>
    <n v="10.8"/>
    <x v="9"/>
    <s v="VALIDATED"/>
    <n v="1"/>
    <s v="01.11.80.209.6100.0000"/>
    <n v="54"/>
    <s v="11"/>
    <s v="6100"/>
    <n v="7039.69"/>
    <n v="54"/>
    <s v="CREDITOR"/>
    <n v="0"/>
    <n v="0"/>
    <n v="0"/>
    <n v="0"/>
    <n v="54"/>
  </r>
  <r>
    <n v="44092862"/>
    <s v="N"/>
    <n v="21344117"/>
    <s v="3000011678920009"/>
    <s v="CIVIL"/>
    <d v="2023-06-08T00:00:00"/>
    <d v="2023-07-07T19:03:00"/>
    <m/>
    <d v="2023-07-07T00:00:00"/>
    <n v="1180"/>
    <n v="3225"/>
    <s v="44092862"/>
    <s v="44092862"/>
    <m/>
    <m/>
    <n v="22654182"/>
    <m/>
    <m/>
    <m/>
    <s v="SOLFIN"/>
    <s v="SOLFIN"/>
    <s v="CCMS"/>
    <n v="21344117"/>
    <n v="12042.97"/>
    <m/>
    <s v="N"/>
    <n v="44"/>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75"/>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43"/>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5"/>
    <d v="2023-07-07T19:03:23"/>
    <s v="Y"/>
    <s v="Independent Social Worker"/>
    <s v="Non Family Hourly Rates"/>
    <s v="Expert Disbursement"/>
    <s v="COS"/>
    <s v="Y"/>
    <n v="240"/>
    <n v="48"/>
    <x v="9"/>
    <s v="VALIDATED"/>
    <n v="1"/>
    <s v="01.11.80.209.6300.0000"/>
    <n v="240"/>
    <s v="11"/>
    <s v="6300"/>
    <n v="7039.69"/>
    <n v="240"/>
    <s v="CREDITOR"/>
    <n v="0"/>
    <n v="0"/>
    <n v="0"/>
    <n v="0"/>
    <n v="240"/>
  </r>
  <r>
    <n v="44092862"/>
    <s v="N"/>
    <n v="21344117"/>
    <s v="3000011678920009"/>
    <s v="CIVIL"/>
    <d v="2023-06-08T00:00:00"/>
    <d v="2023-07-07T19:03:00"/>
    <m/>
    <d v="2023-07-07T00:00:00"/>
    <n v="1180"/>
    <n v="3225"/>
    <s v="44092862"/>
    <s v="44092862"/>
    <m/>
    <m/>
    <n v="22654182"/>
    <m/>
    <m/>
    <m/>
    <s v="SOLFIN"/>
    <s v="SOLFIN"/>
    <s v="CCMS"/>
    <n v="21344117"/>
    <n v="12042.97"/>
    <m/>
    <s v="N"/>
    <n v="19"/>
    <d v="2023-07-07T19:03:23"/>
    <s v="Y"/>
    <s v="Attendance upon/with Counsel at Con"/>
    <s v="Non Family Hourly Rates"/>
    <s v="Profit Cost"/>
    <s v="COS"/>
    <s v="Y"/>
    <n v="33.3"/>
    <n v="6.66"/>
    <x v="9"/>
    <s v="VALIDATED"/>
    <n v="1"/>
    <s v="01.11.80.209.6100.0000"/>
    <n v="33.3"/>
    <s v="11"/>
    <s v="6100"/>
    <n v="7039.69"/>
    <n v="33.3"/>
    <s v="CREDITOR"/>
    <n v="0"/>
    <n v="0"/>
    <n v="0"/>
    <n v="0"/>
    <n v="33.3"/>
  </r>
  <r>
    <n v="44092862"/>
    <s v="N"/>
    <n v="21344117"/>
    <s v="3000011678920009"/>
    <s v="CIVIL"/>
    <d v="2023-06-08T00:00:00"/>
    <d v="2023-07-07T19:03:00"/>
    <m/>
    <d v="2023-07-07T00:00:00"/>
    <n v="1180"/>
    <n v="3225"/>
    <s v="44092862"/>
    <s v="44092862"/>
    <m/>
    <m/>
    <n v="22654182"/>
    <m/>
    <m/>
    <m/>
    <s v="SOLFIN"/>
    <s v="SOLFIN"/>
    <s v="CCMS"/>
    <n v="21344117"/>
    <n v="12042.97"/>
    <m/>
    <s v="N"/>
    <n v="27"/>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37"/>
    <d v="2023-07-07T19:03:23"/>
    <s v="Y"/>
    <s v="Preparation -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85"/>
    <d v="2023-07-07T19:03:23"/>
    <s v="Y"/>
    <s v="Routine Letter Out"/>
    <s v="Non Family Hourly Rates"/>
    <s v="Profit Cost"/>
    <s v="COS"/>
    <s v="Y"/>
    <n v="3564"/>
    <n v="712.8"/>
    <x v="9"/>
    <s v="VALIDATED"/>
    <n v="1"/>
    <s v="01.11.80.209.6100.0000"/>
    <n v="3564"/>
    <s v="11"/>
    <s v="6100"/>
    <n v="7039.69"/>
    <n v="3564"/>
    <s v="CREDITOR"/>
    <n v="0"/>
    <n v="0"/>
    <n v="0"/>
    <n v="0"/>
    <n v="3564"/>
  </r>
  <r>
    <n v="44092862"/>
    <s v="N"/>
    <n v="21344117"/>
    <s v="3000011678920009"/>
    <s v="CIVIL"/>
    <d v="2023-06-08T00:00:00"/>
    <d v="2023-07-07T19:03:00"/>
    <m/>
    <d v="2023-07-07T00:00:00"/>
    <n v="1180"/>
    <n v="3225"/>
    <s v="44092862"/>
    <s v="44092862"/>
    <m/>
    <m/>
    <n v="22654182"/>
    <m/>
    <m/>
    <m/>
    <s v="SOLFIN"/>
    <s v="SOLFIN"/>
    <s v="CCMS"/>
    <n v="21344117"/>
    <n v="12042.97"/>
    <m/>
    <s v="N"/>
    <n v="13"/>
    <d v="2023-07-07T19:03:23"/>
    <s v="Y"/>
    <s v="Attendance upon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21"/>
    <d v="2023-07-07T19:03:23"/>
    <s v="Y"/>
    <s v="Attendance upon/with Counsel at Con"/>
    <s v="Non Family Hourly Rates"/>
    <s v="Profit Cost"/>
    <s v="COS"/>
    <s v="Y"/>
    <n v="33.3"/>
    <n v="6.66"/>
    <x v="9"/>
    <s v="VALIDATED"/>
    <n v="1"/>
    <s v="01.11.80.209.6100.0000"/>
    <n v="33.3"/>
    <s v="11"/>
    <s v="6100"/>
    <n v="7039.69"/>
    <n v="33.3"/>
    <s v="CREDITOR"/>
    <n v="0"/>
    <n v="0"/>
    <n v="0"/>
    <n v="0"/>
    <n v="33.3"/>
  </r>
  <r>
    <n v="44092862"/>
    <s v="N"/>
    <n v="21344117"/>
    <s v="3000011678920009"/>
    <s v="CIVIL"/>
    <d v="2023-06-08T00:00:00"/>
    <d v="2023-07-07T19:03:00"/>
    <m/>
    <d v="2023-07-07T00:00:00"/>
    <n v="1180"/>
    <n v="3225"/>
    <s v="44092862"/>
    <s v="44092862"/>
    <m/>
    <m/>
    <n v="22654182"/>
    <m/>
    <m/>
    <m/>
    <s v="SOLFIN"/>
    <s v="SOLFIN"/>
    <s v="CCMS"/>
    <n v="21344117"/>
    <n v="12042.97"/>
    <m/>
    <s v="N"/>
    <n v="12"/>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39"/>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83"/>
    <d v="2023-07-07T19:03:23"/>
    <s v="Y"/>
    <s v="Preparation - drafting bill/claim f"/>
    <s v="Non Family Hourly Rates"/>
    <s v="Profit Cost"/>
    <s v="RLM"/>
    <s v="Y"/>
    <n v="337.5"/>
    <n v="67.5"/>
    <x v="9"/>
    <s v="VALIDATED"/>
    <n v="1"/>
    <s v="01.11.80.209.6100.0000"/>
    <n v="337.5"/>
    <s v="11"/>
    <s v="6100"/>
    <n v="7039.69"/>
    <n v="337.5"/>
    <s v="CREDITOR"/>
    <n v="0"/>
    <n v="0"/>
    <n v="0"/>
    <n v="0"/>
    <n v="337.5"/>
  </r>
  <r>
    <n v="44092862"/>
    <s v="N"/>
    <n v="21344117"/>
    <s v="3000011678920009"/>
    <s v="CIVIL"/>
    <d v="2023-06-08T00:00:00"/>
    <d v="2023-07-07T19:03:00"/>
    <m/>
    <d v="2023-07-07T00:00:00"/>
    <n v="1180"/>
    <n v="3225"/>
    <s v="44092862"/>
    <s v="44092862"/>
    <m/>
    <m/>
    <n v="22654182"/>
    <m/>
    <m/>
    <m/>
    <s v="SOLFIN"/>
    <s v="SOLFIN"/>
    <s v="CCMS"/>
    <n v="21344117"/>
    <n v="12042.97"/>
    <m/>
    <s v="N"/>
    <n v="62"/>
    <d v="2023-07-07T19:03:23"/>
    <s v="Y"/>
    <s v="Attendance upon client"/>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18"/>
    <d v="2023-07-07T19:03:23"/>
    <s v="Y"/>
    <s v="Attendance upon other"/>
    <s v="Non Family Hourly Rates"/>
    <s v="Profit Cost"/>
    <s v="COS"/>
    <s v="Y"/>
    <n v="43.2"/>
    <n v="8.640000000000001"/>
    <x v="9"/>
    <s v="VALIDATED"/>
    <n v="1"/>
    <s v="01.11.80.209.6100.0000"/>
    <n v="43.2"/>
    <s v="11"/>
    <s v="6100"/>
    <n v="7039.69"/>
    <n v="43.2"/>
    <s v="CREDITOR"/>
    <n v="0"/>
    <n v="0"/>
    <n v="0"/>
    <n v="0"/>
    <n v="43.2"/>
  </r>
  <r>
    <n v="44092862"/>
    <s v="N"/>
    <n v="21344117"/>
    <s v="3000011678920009"/>
    <s v="CIVIL"/>
    <d v="2023-06-08T00:00:00"/>
    <d v="2023-07-07T19:03:00"/>
    <m/>
    <d v="2023-07-07T00:00:00"/>
    <n v="1180"/>
    <n v="3225"/>
    <s v="44092862"/>
    <s v="44092862"/>
    <m/>
    <m/>
    <n v="22654182"/>
    <m/>
    <m/>
    <m/>
    <s v="SOLFIN"/>
    <s v="SOLFIN"/>
    <s v="CCMS"/>
    <n v="21344117"/>
    <n v="12042.97"/>
    <m/>
    <s v="N"/>
    <n v="53"/>
    <d v="2023-07-07T19:03:23"/>
    <s v="Y"/>
    <s v="Preparation -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77"/>
    <d v="2023-07-07T19:03:23"/>
    <s v="Y"/>
    <s v="Attendance upon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54"/>
    <d v="2023-07-07T19:03:23"/>
    <s v="Y"/>
    <s v="Report - Medical report"/>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32"/>
    <d v="2023-07-07T19:03:23"/>
    <s v="Y"/>
    <s v="Attendance upon other"/>
    <s v="Non Family Hourly Rates"/>
    <s v="Profit Cost"/>
    <s v="COS"/>
    <s v="Y"/>
    <n v="86.40000000000001"/>
    <n v="17.28"/>
    <x v="9"/>
    <s v="VALIDATED"/>
    <n v="1"/>
    <s v="01.11.80.209.6100.0000"/>
    <n v="86.40000000000001"/>
    <s v="11"/>
    <s v="6100"/>
    <n v="7039.69"/>
    <n v="86.40000000000001"/>
    <s v="CREDITOR"/>
    <n v="0"/>
    <n v="0"/>
    <n v="0"/>
    <n v="0"/>
    <n v="86.40000000000001"/>
  </r>
  <r>
    <n v="44092862"/>
    <s v="N"/>
    <n v="21344117"/>
    <s v="3000011678920009"/>
    <s v="CIVIL"/>
    <d v="2023-06-08T00:00:00"/>
    <d v="2023-07-07T19:03:00"/>
    <m/>
    <d v="2023-07-07T00:00:00"/>
    <n v="1180"/>
    <n v="3225"/>
    <s v="44092862"/>
    <s v="44092862"/>
    <m/>
    <m/>
    <n v="22654182"/>
    <m/>
    <m/>
    <m/>
    <s v="SOLFIN"/>
    <s v="SOLFIN"/>
    <s v="CCMS"/>
    <n v="21344117"/>
    <n v="12042.97"/>
    <m/>
    <s v="N"/>
    <n v="66"/>
    <d v="2023-07-07T19:03:23"/>
    <s v="Y"/>
    <s v="Preparation - other"/>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4"/>
    <d v="2023-07-07T19:03:23"/>
    <s v="Y"/>
    <s v="Independent Social Worker"/>
    <s v="Non Family Hourly Rates"/>
    <s v="Expert Disbursement"/>
    <s v="COS"/>
    <s v="Y"/>
    <n v="213.33"/>
    <n v="42.67"/>
    <x v="9"/>
    <s v="VALIDATED"/>
    <n v="1"/>
    <s v="01.11.80.209.6300.0000"/>
    <n v="213.33"/>
    <s v="11"/>
    <s v="6300"/>
    <n v="7039.69"/>
    <n v="213.33"/>
    <s v="CREDITOR"/>
    <n v="0"/>
    <n v="0"/>
    <n v="0"/>
    <n v="0"/>
    <n v="213.33"/>
  </r>
  <r>
    <n v="44092862"/>
    <s v="N"/>
    <n v="21344117"/>
    <s v="3000011678920009"/>
    <s v="CIVIL"/>
    <d v="2023-06-08T00:00:00"/>
    <d v="2023-07-07T19:03:00"/>
    <m/>
    <d v="2023-07-07T00:00:00"/>
    <n v="1180"/>
    <n v="3225"/>
    <s v="44092862"/>
    <s v="44092862"/>
    <m/>
    <m/>
    <n v="22654182"/>
    <m/>
    <m/>
    <m/>
    <s v="SOLFIN"/>
    <s v="SOLFIN"/>
    <s v="CCMS"/>
    <n v="21344117"/>
    <n v="12042.97"/>
    <m/>
    <s v="N"/>
    <n v="35"/>
    <d v="2023-07-07T19:03:23"/>
    <s v="Y"/>
    <s v="Attendance upon other"/>
    <s v="Non Family Hourly Rates"/>
    <s v="Profit Cost"/>
    <s v="COS"/>
    <s v="Y"/>
    <n v="21.6"/>
    <n v="4.32"/>
    <x v="9"/>
    <s v="VALIDATED"/>
    <n v="1"/>
    <s v="01.11.80.209.6100.0000"/>
    <n v="21.6"/>
    <s v="11"/>
    <s v="6100"/>
    <n v="7039.69"/>
    <n v="21.6"/>
    <s v="CREDITOR"/>
    <n v="0"/>
    <n v="0"/>
    <n v="0"/>
    <n v="0"/>
    <n v="21.6"/>
  </r>
  <r>
    <n v="44092862"/>
    <s v="N"/>
    <n v="21344117"/>
    <s v="3000011678920009"/>
    <s v="CIVIL"/>
    <d v="2023-06-08T00:00:00"/>
    <d v="2023-07-07T19:03:00"/>
    <m/>
    <d v="2023-07-07T00:00:00"/>
    <n v="1180"/>
    <n v="3225"/>
    <s v="44092862"/>
    <s v="44092862"/>
    <m/>
    <m/>
    <n v="22654182"/>
    <m/>
    <m/>
    <m/>
    <s v="SOLFIN"/>
    <s v="SOLFIN"/>
    <s v="CCMS"/>
    <n v="21344117"/>
    <n v="12042.97"/>
    <m/>
    <s v="N"/>
    <n v="11"/>
    <d v="2023-07-07T19:03:23"/>
    <s v="Y"/>
    <s v="Attendance upon other"/>
    <s v="Non Family Hourly Rates"/>
    <s v="Profit Cost"/>
    <s v="COS"/>
    <s v="Y"/>
    <n v="64.8"/>
    <n v="12.96"/>
    <x v="9"/>
    <s v="VALIDATED"/>
    <n v="1"/>
    <s v="01.11.80.209.6100.0000"/>
    <n v="64.8"/>
    <s v="11"/>
    <s v="6100"/>
    <n v="7039.69"/>
    <n v="64.8"/>
    <s v="CREDITOR"/>
    <n v="0"/>
    <n v="0"/>
    <n v="0"/>
    <n v="0"/>
    <n v="64.8"/>
  </r>
  <r>
    <n v="44092862"/>
    <s v="N"/>
    <n v="21344117"/>
    <s v="3000011678920009"/>
    <s v="CIVIL"/>
    <d v="2023-06-08T00:00:00"/>
    <d v="2023-07-07T19:03:00"/>
    <m/>
    <d v="2023-07-07T00:00:00"/>
    <n v="1180"/>
    <n v="3225"/>
    <s v="44092862"/>
    <s v="44092862"/>
    <m/>
    <m/>
    <n v="22654182"/>
    <m/>
    <m/>
    <m/>
    <s v="SOLFIN"/>
    <s v="SOLFIN"/>
    <s v="CCMS"/>
    <n v="21344117"/>
    <n v="12042.97"/>
    <m/>
    <s v="N"/>
    <n v="15"/>
    <d v="2023-07-07T19:03:23"/>
    <s v="Y"/>
    <s v="Preparation - drafting statement"/>
    <s v="Non Family Hourly Rates"/>
    <s v="Profit Cost"/>
    <s v="COS"/>
    <s v="Y"/>
    <n v="32.4"/>
    <n v="6.48"/>
    <x v="9"/>
    <s v="VALIDATED"/>
    <n v="1"/>
    <s v="01.11.80.209.6100.0000"/>
    <n v="32.4"/>
    <s v="11"/>
    <s v="6100"/>
    <n v="7039.69"/>
    <n v="32.4"/>
    <s v="CREDITOR"/>
    <n v="0"/>
    <n v="0"/>
    <n v="0"/>
    <n v="0"/>
    <n v="32.4"/>
  </r>
  <r>
    <n v="44092862"/>
    <s v="N"/>
    <n v="21344117"/>
    <s v="3000011678920009"/>
    <s v="CIVIL"/>
    <d v="2023-06-08T00:00:00"/>
    <d v="2023-07-07T19:03:00"/>
    <m/>
    <d v="2023-07-07T00:00:00"/>
    <n v="1180"/>
    <n v="3225"/>
    <s v="44092862"/>
    <s v="44092862"/>
    <m/>
    <m/>
    <n v="22654182"/>
    <m/>
    <m/>
    <m/>
    <s v="SOLFIN"/>
    <s v="SOLFIN"/>
    <s v="CCMS"/>
    <n v="21344117"/>
    <n v="12042.97"/>
    <m/>
    <s v="N"/>
    <n v="22"/>
    <d v="2023-07-07T19:03:23"/>
    <s v="Y"/>
    <s v="Attendance upon other"/>
    <s v="Non Family Hourly Rates"/>
    <s v="Profit Cost"/>
    <s v="COS"/>
    <s v="Y"/>
    <n v="21.6"/>
    <n v="4.32"/>
    <x v="9"/>
    <s v="VALIDATED"/>
    <n v="1"/>
    <s v="01.11.80.209.6100.0000"/>
    <n v="21.6"/>
    <s v="11"/>
    <s v="6100"/>
    <n v="7039.69"/>
    <n v="21.6"/>
    <s v="CREDITOR"/>
    <n v="0"/>
    <n v="0"/>
    <n v="0"/>
    <n v="0"/>
    <n v="21.6"/>
  </r>
  <r>
    <n v="61659734"/>
    <s v="N"/>
    <n v="21319605"/>
    <s v="3000015751040006"/>
    <s v="CIVIL"/>
    <d v="2023-06-28T00:00:00"/>
    <d v="2023-07-03T19:04:24"/>
    <m/>
    <d v="2023-07-03T00:00:00"/>
    <n v="1188"/>
    <n v="3291"/>
    <s v="61659734"/>
    <s v="61659734"/>
    <m/>
    <m/>
    <n v="22777618"/>
    <m/>
    <m/>
    <m/>
    <s v="SOLPOA"/>
    <s v="SOLPOA"/>
    <s v="CCMS"/>
    <n v="21319605"/>
    <n v="4554.18"/>
    <m/>
    <s v="N"/>
    <n v="1"/>
    <d v="2023-07-03T19:04:26"/>
    <s v="N"/>
    <s v="Expert Cost"/>
    <s v="Expert Cost"/>
    <s v="Expert Disbursement"/>
    <s v="Alyson Wyburn"/>
    <s v="N"/>
    <n v="3795.15"/>
    <n v="759.03"/>
    <x v="3"/>
    <s v="VALIDATED"/>
    <n v="1"/>
    <s v="01.11.80.307.2012.0000"/>
    <n v="3795.15"/>
    <s v="11"/>
    <s v="2012"/>
    <n v="26774.9"/>
    <n v="3795.15"/>
    <s v="CREDITOR"/>
    <n v="3795.15"/>
    <n v="0"/>
    <n v="0"/>
    <n v="0"/>
    <n v="0"/>
  </r>
  <r>
    <n v="61659734"/>
    <s v="N"/>
    <n v="21319596"/>
    <s v="3000015751040005"/>
    <s v="CIVIL"/>
    <d v="2023-06-28T00:00:00"/>
    <d v="2023-07-03T19:04:24"/>
    <m/>
    <d v="2023-07-03T00:00:00"/>
    <n v="1188"/>
    <n v="3291"/>
    <s v="61659734"/>
    <s v="61659734"/>
    <m/>
    <m/>
    <n v="22777698"/>
    <m/>
    <m/>
    <m/>
    <s v="SOLPOA"/>
    <s v="SOLPOA"/>
    <s v="CCMS"/>
    <n v="21319596"/>
    <n v="27575.7"/>
    <m/>
    <s v="N"/>
    <n v="1"/>
    <d v="2023-07-03T19:04:26"/>
    <s v="N"/>
    <s v="Expert Cost"/>
    <s v="Expert Cost"/>
    <s v="Expert Disbursement"/>
    <s v="Alyson Wyburn"/>
    <s v="N"/>
    <n v="22979.75"/>
    <n v="4595.95"/>
    <x v="3"/>
    <s v="VALIDATED"/>
    <n v="1"/>
    <s v="01.11.80.307.2012.0000"/>
    <n v="22979.75"/>
    <s v="11"/>
    <s v="2012"/>
    <n v="26774.9"/>
    <n v="22979.75"/>
    <s v="CREDITOR"/>
    <n v="22979.75"/>
    <n v="0"/>
    <n v="0"/>
    <n v="0"/>
    <n v="0"/>
  </r>
  <r>
    <n v="56259501"/>
    <s v="N"/>
    <n v="21318994"/>
    <s v="3000013358530013"/>
    <s v="CIVIL"/>
    <d v="2023-06-23T00:00:00"/>
    <d v="2023-07-03T19:01:49"/>
    <m/>
    <d v="2023-07-03T00:00:00"/>
    <n v="1189"/>
    <n v="3302"/>
    <s v="56259501"/>
    <s v="56259501"/>
    <m/>
    <m/>
    <n v="22754782"/>
    <m/>
    <m/>
    <m/>
    <s v="SOLFIN"/>
    <s v="SOLFIN"/>
    <s v="CCMS"/>
    <n v="21318994"/>
    <n v="24673.81"/>
    <m/>
    <s v="N"/>
    <n v="137"/>
    <d v="2023-07-03T19:02:06"/>
    <s v="Y"/>
    <s v="Preparation - other"/>
    <s v="Care Remuneration Hourly Rates"/>
    <s v="Profit Cost"/>
    <s v="KH"/>
    <s v="Y"/>
    <n v="5.26"/>
    <n v="1.05"/>
    <x v="3"/>
    <s v="VALIDATED"/>
    <n v="1"/>
    <s v="01.11.80.308.6100.0000"/>
    <n v="5.26"/>
    <s v="11"/>
    <s v="6100"/>
    <n v="16530.18"/>
    <n v="5.26"/>
    <s v="CREDITOR"/>
    <n v="0"/>
    <n v="0"/>
    <n v="0"/>
    <n v="0"/>
    <n v="5.26"/>
  </r>
  <r>
    <n v="61146005"/>
    <s v="N"/>
    <n v="21318375"/>
    <s v="3000015330130004"/>
    <s v="CIVIL"/>
    <d v="2023-06-19T00:00:00"/>
    <d v="2023-07-03T19:01:49"/>
    <m/>
    <d v="2023-07-03T00:00:00"/>
    <n v="1189"/>
    <n v="3302"/>
    <s v="61146005"/>
    <s v="61146005"/>
    <m/>
    <m/>
    <n v="22714856"/>
    <m/>
    <m/>
    <m/>
    <s v="SOLFIN"/>
    <s v="SOLFIN"/>
    <s v="CCMS"/>
    <n v="21318375"/>
    <n v="5722.3"/>
    <m/>
    <s v="N"/>
    <n v="11"/>
    <d v="2023-07-03T19:01:54"/>
    <s v="Y"/>
    <s v="Hearing Unit 1.01 - 2.30 Hours"/>
    <s v="Public Law Children"/>
    <s v="Advocacy"/>
    <s v="Katy Hanson"/>
    <s v="Y"/>
    <n v="238.46"/>
    <n v="47.69"/>
    <x v="3"/>
    <s v="VALIDATED"/>
    <n v="1"/>
    <s v="01.11.80.308.6100.0000"/>
    <n v="238.46"/>
    <s v="11"/>
    <s v="6100"/>
    <n v="16530.18"/>
    <n v="238.46"/>
    <s v="CREDITOR"/>
    <n v="0"/>
    <n v="0"/>
    <n v="0"/>
    <n v="0"/>
    <n v="238.46"/>
  </r>
  <r>
    <n v="56259501"/>
    <s v="N"/>
    <n v="21318994"/>
    <s v="3000013358530013"/>
    <s v="CIVIL"/>
    <d v="2023-06-23T00:00:00"/>
    <d v="2023-07-03T19:01:49"/>
    <m/>
    <d v="2023-07-03T00:00:00"/>
    <n v="1189"/>
    <n v="3302"/>
    <s v="56259501"/>
    <s v="56259501"/>
    <m/>
    <m/>
    <n v="22754782"/>
    <m/>
    <m/>
    <m/>
    <s v="SOLFIN"/>
    <s v="SOLFIN"/>
    <s v="CCMS"/>
    <n v="21318994"/>
    <n v="24673.81"/>
    <m/>
    <s v="N"/>
    <n v="60"/>
    <d v="2023-07-03T19:02:06"/>
    <s v="N"/>
    <s v="Preparation - other"/>
    <s v="Care Remuneration Hourly Rates"/>
    <s v="Profit Cost"/>
    <s v="KH"/>
    <s v="N"/>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182"/>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
    <d v="2023-07-03T19:02:06"/>
    <s v="N"/>
    <s v="Attendance upon client"/>
    <s v="Care Remuneration Hourly Rates"/>
    <s v="Profit Cost"/>
    <s v="KH"/>
    <s v="N"/>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18"/>
    <d v="2023-07-03T19:02:06"/>
    <s v="Y"/>
    <s v="Preparation - other"/>
    <s v="Care Remuneration Hourly Rates"/>
    <s v="Profit Cost"/>
    <s v="KH"/>
    <s v="Y"/>
    <n v="120.91"/>
    <n v="24.18"/>
    <x v="3"/>
    <s v="VALIDATED"/>
    <n v="1"/>
    <s v="01.11.80.308.6100.0000"/>
    <n v="120.91"/>
    <s v="11"/>
    <s v="6100"/>
    <n v="16530.18"/>
    <n v="120.91"/>
    <s v="CREDITOR"/>
    <n v="0"/>
    <n v="0"/>
    <n v="0"/>
    <n v="0"/>
    <n v="120.91"/>
  </r>
  <r>
    <n v="56259501"/>
    <s v="N"/>
    <n v="21318994"/>
    <s v="3000013358530013"/>
    <s v="CIVIL"/>
    <d v="2023-06-23T00:00:00"/>
    <d v="2023-07-03T19:01:49"/>
    <m/>
    <d v="2023-07-03T00:00:00"/>
    <n v="1189"/>
    <n v="3302"/>
    <s v="56259501"/>
    <s v="56259501"/>
    <m/>
    <m/>
    <n v="22754782"/>
    <m/>
    <m/>
    <m/>
    <s v="SOLFIN"/>
    <s v="SOLFIN"/>
    <s v="CCMS"/>
    <n v="21318994"/>
    <n v="24673.81"/>
    <m/>
    <s v="N"/>
    <n v="11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24"/>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52"/>
    <d v="2023-07-03T19:02:06"/>
    <s v="Y"/>
    <s v="Preparation - drafting bill/claim f"/>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75"/>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59"/>
    <d v="2023-07-03T19:02:06"/>
    <s v="Y"/>
    <s v="Preparation - other"/>
    <s v="Care Remuneration Hourly Rates"/>
    <s v="Profit Cost"/>
    <s v="KH"/>
    <s v="Y"/>
    <n v="110.4"/>
    <n v="22.08"/>
    <x v="3"/>
    <s v="VALIDATED"/>
    <n v="1"/>
    <s v="01.11.80.308.6100.0000"/>
    <n v="110.4"/>
    <s v="11"/>
    <s v="6100"/>
    <n v="16530.18"/>
    <n v="110.4"/>
    <s v="CREDITOR"/>
    <n v="0"/>
    <n v="0"/>
    <n v="0"/>
    <n v="0"/>
    <n v="110.4"/>
  </r>
  <r>
    <n v="56259501"/>
    <s v="N"/>
    <n v="21318994"/>
    <s v="3000013358530013"/>
    <s v="CIVIL"/>
    <d v="2023-06-23T00:00:00"/>
    <d v="2023-07-03T19:01:49"/>
    <m/>
    <d v="2023-07-03T00:00:00"/>
    <n v="1189"/>
    <n v="3302"/>
    <s v="56259501"/>
    <s v="56259501"/>
    <m/>
    <m/>
    <n v="22754782"/>
    <m/>
    <m/>
    <m/>
    <s v="SOLFIN"/>
    <s v="SOLFIN"/>
    <s v="CCMS"/>
    <n v="21318994"/>
    <n v="24673.81"/>
    <m/>
    <s v="N"/>
    <n v="26"/>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2"/>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74"/>
    <d v="2023-07-03T19:02:06"/>
    <s v="Y"/>
    <s v="Attendance upon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88"/>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77"/>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76"/>
    <d v="2023-07-03T19:02:06"/>
    <s v="N"/>
    <m/>
    <m/>
    <s v="Overall Adjustment"/>
    <m/>
    <s v="N"/>
    <n v="-2865.85"/>
    <n v="-572.89"/>
    <x v="3"/>
    <s v="VALIDATED"/>
    <n v="1"/>
    <s v="01.11.80.308.6100.0000"/>
    <n v="-2865.85"/>
    <s v="11"/>
    <s v="6100"/>
    <n v="16530.18"/>
    <n v="-2865.85"/>
    <s v="CREDITOR"/>
    <n v="0"/>
    <n v="0"/>
    <n v="0"/>
    <n v="0"/>
    <n v="-2865.85"/>
  </r>
  <r>
    <n v="56259501"/>
    <s v="N"/>
    <n v="21318994"/>
    <s v="3000013358530013"/>
    <s v="CIVIL"/>
    <d v="2023-06-23T00:00:00"/>
    <d v="2023-07-03T19:01:49"/>
    <m/>
    <d v="2023-07-03T00:00:00"/>
    <n v="1189"/>
    <n v="3302"/>
    <s v="56259501"/>
    <s v="56259501"/>
    <m/>
    <m/>
    <n v="22754782"/>
    <m/>
    <m/>
    <m/>
    <s v="SOLFIN"/>
    <s v="SOLFIN"/>
    <s v="CCMS"/>
    <n v="21318994"/>
    <n v="24673.81"/>
    <m/>
    <s v="N"/>
    <n v="205"/>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19"/>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4"/>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77"/>
    <d v="2023-07-03T19:02:06"/>
    <s v="Y"/>
    <s v="Preparation - drafting instructions"/>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107"/>
    <d v="2023-07-03T19:02:06"/>
    <s v="Y"/>
    <s v="Attendance upon client"/>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93"/>
    <d v="2023-07-03T19:02:06"/>
    <s v="Y"/>
    <s v="Attendance upon client"/>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84"/>
    <d v="2023-07-03T19:02:06"/>
    <s v="Y"/>
    <s v="Preparation - other"/>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260"/>
    <d v="2023-07-03T19:02:06"/>
    <s v="Y"/>
    <s v="Court Fee"/>
    <s v="Care Remuneration Hourly Rates"/>
    <s v="Non Expert Disbursement"/>
    <s v="XXX"/>
    <s v="Y"/>
    <n v="167"/>
    <n v="0"/>
    <x v="3"/>
    <s v="VALIDATED"/>
    <n v="1"/>
    <s v="01.11.80.308.6300.0000"/>
    <n v="167"/>
    <s v="11"/>
    <s v="6300"/>
    <n v="16530.18"/>
    <n v="167"/>
    <s v="CREDITOR"/>
    <n v="0"/>
    <n v="0"/>
    <n v="0"/>
    <n v="0"/>
    <n v="167"/>
  </r>
  <r>
    <n v="56259501"/>
    <s v="N"/>
    <n v="21318994"/>
    <s v="3000013358530013"/>
    <s v="CIVIL"/>
    <d v="2023-06-23T00:00:00"/>
    <d v="2023-07-03T19:01:49"/>
    <m/>
    <d v="2023-07-03T00:00:00"/>
    <n v="1189"/>
    <n v="3302"/>
    <s v="56259501"/>
    <s v="56259501"/>
    <m/>
    <m/>
    <n v="22754782"/>
    <m/>
    <m/>
    <m/>
    <s v="SOLFIN"/>
    <s v="SOLFIN"/>
    <s v="CCMS"/>
    <n v="21318994"/>
    <n v="24673.81"/>
    <m/>
    <s v="N"/>
    <n v="142"/>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31"/>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5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68"/>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32"/>
    <d v="2023-07-03T19:02:06"/>
    <s v="Y"/>
    <s v="Preparation - drafting instructions"/>
    <s v="Care Remuneration Hourly Rates"/>
    <s v="Profit Cost"/>
    <s v="KH"/>
    <s v="Y"/>
    <n v="105.14"/>
    <n v="21.03"/>
    <x v="3"/>
    <s v="VALIDATED"/>
    <n v="1"/>
    <s v="01.11.80.308.6100.0000"/>
    <n v="105.14"/>
    <s v="11"/>
    <s v="6100"/>
    <n v="16530.18"/>
    <n v="105.14"/>
    <s v="CREDITOR"/>
    <n v="0"/>
    <n v="0"/>
    <n v="0"/>
    <n v="0"/>
    <n v="105.14"/>
  </r>
  <r>
    <n v="56259501"/>
    <s v="N"/>
    <n v="21318994"/>
    <s v="3000013358530013"/>
    <s v="CIVIL"/>
    <d v="2023-06-23T00:00:00"/>
    <d v="2023-07-03T19:01:49"/>
    <m/>
    <d v="2023-07-03T00:00:00"/>
    <n v="1189"/>
    <n v="3302"/>
    <s v="56259501"/>
    <s v="56259501"/>
    <m/>
    <m/>
    <n v="22754782"/>
    <m/>
    <m/>
    <m/>
    <s v="SOLFIN"/>
    <s v="SOLFIN"/>
    <s v="CCMS"/>
    <n v="21318994"/>
    <n v="24673.81"/>
    <m/>
    <s v="N"/>
    <n v="111"/>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35"/>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3"/>
    <d v="2023-07-03T19:02:06"/>
    <s v="N"/>
    <s v="Attendance upon client"/>
    <s v="Care Remuneration Hourly Rates"/>
    <s v="Profit Cost"/>
    <s v="KH"/>
    <s v="N"/>
    <n v="36.8"/>
    <n v="7.36"/>
    <x v="3"/>
    <s v="VALIDATED"/>
    <n v="1"/>
    <s v="01.11.80.308.6100.0000"/>
    <n v="36.8"/>
    <s v="11"/>
    <s v="6100"/>
    <n v="16530.18"/>
    <n v="36.8"/>
    <s v="CREDITOR"/>
    <n v="0"/>
    <n v="0"/>
    <n v="0"/>
    <n v="0"/>
    <n v="36.8"/>
  </r>
  <r>
    <n v="56259501"/>
    <s v="N"/>
    <n v="21324487"/>
    <s v="3000013358530004RC"/>
    <s v="CIVIL"/>
    <d v="2023-06-23T00:00:00"/>
    <d v="2023-07-03T19:42:50"/>
    <m/>
    <d v="2023-07-03T00:00:00"/>
    <n v="1189"/>
    <n v="3302"/>
    <s v="56259501"/>
    <s v="56259501"/>
    <m/>
    <m/>
    <m/>
    <m/>
    <m/>
    <m/>
    <s v="SOLRECOUP"/>
    <s v="SOLRECOUP"/>
    <s v="POARECOUP"/>
    <n v="21324487"/>
    <n v="-778.5"/>
    <m/>
    <s v="Y"/>
    <n v="1"/>
    <d v="2023-07-03T19:42:51"/>
    <s v="N"/>
    <m/>
    <m/>
    <s v="Expert Disbursement"/>
    <m/>
    <s v="N"/>
    <n v="-648.75"/>
    <n v="0"/>
    <x v="3"/>
    <s v="VALIDATED"/>
    <n v="1"/>
    <s v="01.11.80.308.2013.0000"/>
    <n v="-648.75"/>
    <s v="11"/>
    <s v="2013"/>
    <n v="16530.18"/>
    <n v="-648.75"/>
    <s v="CREDITOR"/>
    <n v="0"/>
    <n v="0"/>
    <n v="-648.75"/>
    <n v="0"/>
    <n v="0"/>
  </r>
  <r>
    <n v="56259501"/>
    <s v="N"/>
    <n v="21324487"/>
    <s v="3000013358530004RC"/>
    <s v="CIVIL"/>
    <d v="2023-06-23T00:00:00"/>
    <d v="2023-07-03T19:42:50"/>
    <m/>
    <d v="2023-07-03T00:00:00"/>
    <n v="1189"/>
    <n v="3302"/>
    <s v="56259501"/>
    <s v="56259501"/>
    <m/>
    <m/>
    <m/>
    <m/>
    <m/>
    <m/>
    <s v="SOLRECOUP"/>
    <s v="SOLRECOUP"/>
    <s v="POARECOUP"/>
    <n v="21324487"/>
    <n v="-778.5"/>
    <m/>
    <s v="Y"/>
    <n v="2"/>
    <d v="2023-07-03T19:42:51"/>
    <s v="N"/>
    <m/>
    <m/>
    <s v="Expert Disbursement"/>
    <m/>
    <s v="N"/>
    <n v="0"/>
    <n v="-129.75"/>
    <x v="3"/>
    <s v="VALIDATED"/>
    <n v="1"/>
    <s v="01.11.80.308.2013.0000"/>
    <n v="-129.75"/>
    <s v="11"/>
    <s v="2013"/>
    <n v="16530.18"/>
    <n v="-129.75"/>
    <s v="CREDITOR"/>
    <n v="0"/>
    <n v="0"/>
    <n v="-129.75"/>
    <n v="0"/>
    <n v="0"/>
  </r>
  <r>
    <n v="56259501"/>
    <s v="N"/>
    <n v="21324488"/>
    <s v="3000013358530001RC"/>
    <s v="CIVIL"/>
    <d v="2023-06-23T00:00:00"/>
    <d v="2023-07-03T19:42:50"/>
    <m/>
    <d v="2023-07-03T00:00:00"/>
    <n v="1189"/>
    <n v="3302"/>
    <s v="56259501"/>
    <s v="56259501"/>
    <m/>
    <m/>
    <m/>
    <m/>
    <m/>
    <m/>
    <s v="SOLRECOUP"/>
    <s v="SOLRECOUP"/>
    <s v="POARECOUP"/>
    <n v="21324488"/>
    <n v="-1473"/>
    <m/>
    <s v="Y"/>
    <n v="2"/>
    <d v="2023-07-03T19:42:51"/>
    <s v="N"/>
    <m/>
    <m/>
    <s v="Expert Disbursement"/>
    <m/>
    <s v="N"/>
    <n v="0"/>
    <n v="-245.5"/>
    <x v="3"/>
    <s v="VALIDATED"/>
    <n v="1"/>
    <s v="01.11.80.308.2013.0000"/>
    <n v="-245.5"/>
    <s v="11"/>
    <s v="2013"/>
    <n v="16530.18"/>
    <n v="-245.5"/>
    <s v="CREDITOR"/>
    <n v="0"/>
    <n v="0"/>
    <n v="-245.5"/>
    <n v="0"/>
    <n v="0"/>
  </r>
  <r>
    <n v="56259501"/>
    <s v="N"/>
    <n v="21324488"/>
    <s v="3000013358530001RC"/>
    <s v="CIVIL"/>
    <d v="2023-06-23T00:00:00"/>
    <d v="2023-07-03T19:42:50"/>
    <m/>
    <d v="2023-07-03T00:00:00"/>
    <n v="1189"/>
    <n v="3302"/>
    <s v="56259501"/>
    <s v="56259501"/>
    <m/>
    <m/>
    <m/>
    <m/>
    <m/>
    <m/>
    <s v="SOLRECOUP"/>
    <s v="SOLRECOUP"/>
    <s v="POARECOUP"/>
    <n v="21324488"/>
    <n v="-1473"/>
    <m/>
    <s v="Y"/>
    <n v="1"/>
    <d v="2023-07-03T19:42:51"/>
    <s v="N"/>
    <m/>
    <m/>
    <s v="Expert Disbursement"/>
    <m/>
    <s v="N"/>
    <n v="-1227.5"/>
    <n v="0"/>
    <x v="3"/>
    <s v="VALIDATED"/>
    <n v="1"/>
    <s v="01.11.80.308.2013.0000"/>
    <n v="-1227.5"/>
    <s v="11"/>
    <s v="2013"/>
    <n v="16530.18"/>
    <n v="-1227.5"/>
    <s v="CREDITOR"/>
    <n v="0"/>
    <n v="0"/>
    <n v="-1227.5"/>
    <n v="0"/>
    <n v="0"/>
  </r>
  <r>
    <n v="56259501"/>
    <s v="N"/>
    <n v="21324489"/>
    <s v="3000013358530008RC"/>
    <s v="CIVIL"/>
    <d v="2023-06-23T00:00:00"/>
    <d v="2023-07-03T19:42:50"/>
    <m/>
    <d v="2023-07-03T00:00:00"/>
    <n v="1189"/>
    <n v="3302"/>
    <s v="56259501"/>
    <s v="56259501"/>
    <m/>
    <m/>
    <m/>
    <m/>
    <m/>
    <m/>
    <s v="SOLRECOUP"/>
    <s v="SOLRECOUP"/>
    <s v="POARECOUP"/>
    <n v="21324489"/>
    <n v="-2572.7"/>
    <m/>
    <s v="Y"/>
    <n v="2"/>
    <d v="2023-07-03T19:42:51"/>
    <s v="N"/>
    <m/>
    <m/>
    <s v="Expert Disbursement"/>
    <m/>
    <s v="N"/>
    <n v="0"/>
    <n v="-428.78"/>
    <x v="3"/>
    <s v="VALIDATED"/>
    <n v="1"/>
    <s v="01.11.80.308.2013.0000"/>
    <n v="-428.78"/>
    <s v="11"/>
    <s v="2013"/>
    <n v="16530.18"/>
    <n v="-428.78"/>
    <s v="CREDITOR"/>
    <n v="0"/>
    <n v="0"/>
    <n v="-428.78"/>
    <n v="0"/>
    <n v="0"/>
  </r>
  <r>
    <n v="56259501"/>
    <s v="N"/>
    <n v="21324489"/>
    <s v="3000013358530008RC"/>
    <s v="CIVIL"/>
    <d v="2023-06-23T00:00:00"/>
    <d v="2023-07-03T19:42:50"/>
    <m/>
    <d v="2023-07-03T00:00:00"/>
    <n v="1189"/>
    <n v="3302"/>
    <s v="56259501"/>
    <s v="56259501"/>
    <m/>
    <m/>
    <m/>
    <m/>
    <m/>
    <m/>
    <s v="SOLRECOUP"/>
    <s v="SOLRECOUP"/>
    <s v="POARECOUP"/>
    <n v="21324489"/>
    <n v="-2572.7"/>
    <m/>
    <s v="Y"/>
    <n v="1"/>
    <d v="2023-07-03T19:42:51"/>
    <s v="N"/>
    <m/>
    <m/>
    <s v="Expert Disbursement"/>
    <m/>
    <s v="N"/>
    <n v="-2143.92"/>
    <n v="0"/>
    <x v="3"/>
    <s v="VALIDATED"/>
    <n v="1"/>
    <s v="01.11.80.308.2013.0000"/>
    <n v="-2143.92"/>
    <s v="11"/>
    <s v="2013"/>
    <n v="16530.18"/>
    <n v="-2143.92"/>
    <s v="CREDITOR"/>
    <n v="0"/>
    <n v="0"/>
    <n v="-2143.92"/>
    <n v="0"/>
    <n v="0"/>
  </r>
  <r>
    <n v="56259501"/>
    <s v="N"/>
    <n v="21324490"/>
    <s v="3000013358530003RC"/>
    <s v="CIVIL"/>
    <d v="2023-06-23T00:00:00"/>
    <d v="2023-07-03T19:42:50"/>
    <m/>
    <d v="2023-07-03T00:00:00"/>
    <n v="1189"/>
    <n v="3302"/>
    <s v="56259501"/>
    <s v="56259501"/>
    <m/>
    <m/>
    <m/>
    <m/>
    <m/>
    <m/>
    <s v="SOLRECOUP"/>
    <s v="SOLRECOUP"/>
    <s v="POARECOUP"/>
    <n v="21324490"/>
    <n v="-648"/>
    <m/>
    <s v="Y"/>
    <n v="2"/>
    <d v="2023-07-03T19:42:51"/>
    <s v="N"/>
    <m/>
    <m/>
    <s v="Expert Disbursement"/>
    <m/>
    <s v="N"/>
    <n v="0"/>
    <n v="-108"/>
    <x v="3"/>
    <s v="VALIDATED"/>
    <n v="1"/>
    <s v="01.11.80.308.2013.0000"/>
    <n v="-108"/>
    <s v="11"/>
    <s v="2013"/>
    <n v="16530.18"/>
    <n v="-108"/>
    <s v="CREDITOR"/>
    <n v="0"/>
    <n v="0"/>
    <n v="-108"/>
    <n v="0"/>
    <n v="0"/>
  </r>
  <r>
    <n v="56259501"/>
    <s v="N"/>
    <n v="21324490"/>
    <s v="3000013358530003RC"/>
    <s v="CIVIL"/>
    <d v="2023-06-23T00:00:00"/>
    <d v="2023-07-03T19:42:50"/>
    <m/>
    <d v="2023-07-03T00:00:00"/>
    <n v="1189"/>
    <n v="3302"/>
    <s v="56259501"/>
    <s v="56259501"/>
    <m/>
    <m/>
    <m/>
    <m/>
    <m/>
    <m/>
    <s v="SOLRECOUP"/>
    <s v="SOLRECOUP"/>
    <s v="POARECOUP"/>
    <n v="21324490"/>
    <n v="-648"/>
    <m/>
    <s v="Y"/>
    <n v="1"/>
    <d v="2023-07-03T19:42:51"/>
    <s v="N"/>
    <m/>
    <m/>
    <s v="Expert Disbursement"/>
    <m/>
    <s v="N"/>
    <n v="-540"/>
    <n v="0"/>
    <x v="3"/>
    <s v="VALIDATED"/>
    <n v="1"/>
    <s v="01.11.80.308.2013.0000"/>
    <n v="-540"/>
    <s v="11"/>
    <s v="2013"/>
    <n v="16530.18"/>
    <n v="-540"/>
    <s v="CREDITOR"/>
    <n v="0"/>
    <n v="0"/>
    <n v="-540"/>
    <n v="0"/>
    <n v="0"/>
  </r>
  <r>
    <n v="56259501"/>
    <s v="N"/>
    <n v="21324491"/>
    <s v="3000013358530002RC"/>
    <s v="CIVIL"/>
    <d v="2023-06-23T00:00:00"/>
    <d v="2023-07-03T19:42:50"/>
    <m/>
    <d v="2023-07-03T00:00:00"/>
    <n v="1189"/>
    <n v="3302"/>
    <s v="56259501"/>
    <s v="56259501"/>
    <m/>
    <m/>
    <m/>
    <m/>
    <m/>
    <m/>
    <s v="SOLRECOUP"/>
    <s v="SOLRECOUP"/>
    <s v="POARECOUP"/>
    <n v="21324491"/>
    <n v="-384"/>
    <m/>
    <s v="Y"/>
    <n v="2"/>
    <d v="2023-07-03T19:42:51"/>
    <s v="N"/>
    <m/>
    <m/>
    <s v="Expert Disbursement"/>
    <m/>
    <s v="N"/>
    <n v="0"/>
    <n v="-64"/>
    <x v="3"/>
    <s v="VALIDATED"/>
    <n v="1"/>
    <s v="01.11.80.308.2013.0000"/>
    <n v="-64"/>
    <s v="11"/>
    <s v="2013"/>
    <n v="16530.18"/>
    <n v="-64"/>
    <s v="CREDITOR"/>
    <n v="0"/>
    <n v="0"/>
    <n v="-64"/>
    <n v="0"/>
    <n v="0"/>
  </r>
  <r>
    <n v="56259501"/>
    <s v="N"/>
    <n v="21324491"/>
    <s v="3000013358530002RC"/>
    <s v="CIVIL"/>
    <d v="2023-06-23T00:00:00"/>
    <d v="2023-07-03T19:42:50"/>
    <m/>
    <d v="2023-07-03T00:00:00"/>
    <n v="1189"/>
    <n v="3302"/>
    <s v="56259501"/>
    <s v="56259501"/>
    <m/>
    <m/>
    <m/>
    <m/>
    <m/>
    <m/>
    <s v="SOLRECOUP"/>
    <s v="SOLRECOUP"/>
    <s v="POARECOUP"/>
    <n v="21324491"/>
    <n v="-384"/>
    <m/>
    <s v="Y"/>
    <n v="1"/>
    <d v="2023-07-03T19:42:51"/>
    <s v="N"/>
    <m/>
    <m/>
    <s v="Expert Disbursement"/>
    <m/>
    <s v="N"/>
    <n v="-320"/>
    <n v="0"/>
    <x v="3"/>
    <s v="VALIDATED"/>
    <n v="1"/>
    <s v="01.11.80.308.2013.0000"/>
    <n v="-320"/>
    <s v="11"/>
    <s v="2013"/>
    <n v="16530.18"/>
    <n v="-320"/>
    <s v="CREDITOR"/>
    <n v="0"/>
    <n v="0"/>
    <n v="-320"/>
    <n v="0"/>
    <n v="0"/>
  </r>
  <r>
    <n v="56259501"/>
    <s v="N"/>
    <n v="21324492"/>
    <s v="3000013358530005RC"/>
    <s v="CIVIL"/>
    <d v="2023-06-23T00:00:00"/>
    <d v="2023-07-03T19:42:50"/>
    <m/>
    <d v="2023-07-03T00:00:00"/>
    <n v="1189"/>
    <n v="3302"/>
    <s v="56259501"/>
    <s v="56259501"/>
    <m/>
    <m/>
    <m/>
    <m/>
    <m/>
    <m/>
    <s v="SOLRECOUP"/>
    <s v="SOLRECOUP"/>
    <s v="POARECOUP"/>
    <n v="21324492"/>
    <n v="-786.24"/>
    <m/>
    <s v="Y"/>
    <n v="2"/>
    <d v="2023-07-03T19:42:51"/>
    <s v="N"/>
    <m/>
    <m/>
    <s v="Expert Disbursement"/>
    <m/>
    <s v="N"/>
    <n v="0"/>
    <n v="-131.04"/>
    <x v="3"/>
    <s v="VALIDATED"/>
    <n v="1"/>
    <s v="01.11.80.308.2013.0000"/>
    <n v="-131.04"/>
    <s v="11"/>
    <s v="2013"/>
    <n v="16530.18"/>
    <n v="-131.04"/>
    <s v="CREDITOR"/>
    <n v="0"/>
    <n v="0"/>
    <n v="-131.04"/>
    <n v="0"/>
    <n v="0"/>
  </r>
  <r>
    <n v="56259501"/>
    <s v="N"/>
    <n v="21324492"/>
    <s v="3000013358530005RC"/>
    <s v="CIVIL"/>
    <d v="2023-06-23T00:00:00"/>
    <d v="2023-07-03T19:42:50"/>
    <m/>
    <d v="2023-07-03T00:00:00"/>
    <n v="1189"/>
    <n v="3302"/>
    <s v="56259501"/>
    <s v="56259501"/>
    <m/>
    <m/>
    <m/>
    <m/>
    <m/>
    <m/>
    <s v="SOLRECOUP"/>
    <s v="SOLRECOUP"/>
    <s v="POARECOUP"/>
    <n v="21324492"/>
    <n v="-786.24"/>
    <m/>
    <s v="Y"/>
    <n v="1"/>
    <d v="2023-07-03T19:42:51"/>
    <s v="N"/>
    <m/>
    <m/>
    <s v="Expert Disbursement"/>
    <m/>
    <s v="N"/>
    <n v="-655.2"/>
    <n v="0"/>
    <x v="3"/>
    <s v="VALIDATED"/>
    <n v="1"/>
    <s v="01.11.80.308.2013.0000"/>
    <n v="-655.2"/>
    <s v="11"/>
    <s v="2013"/>
    <n v="16530.18"/>
    <n v="-655.2"/>
    <s v="CREDITOR"/>
    <n v="0"/>
    <n v="0"/>
    <n v="-655.2"/>
    <n v="0"/>
    <n v="0"/>
  </r>
  <r>
    <n v="56259501"/>
    <s v="N"/>
    <n v="21324493"/>
    <s v="3000013358530006RC"/>
    <s v="CIVIL"/>
    <d v="2023-06-23T00:00:00"/>
    <d v="2023-07-03T19:42:50"/>
    <m/>
    <d v="2023-07-03T00:00:00"/>
    <n v="1189"/>
    <n v="3302"/>
    <s v="56259501"/>
    <s v="56259501"/>
    <m/>
    <m/>
    <m/>
    <m/>
    <m/>
    <m/>
    <s v="SOLRECOUP"/>
    <s v="SOLRECOUP"/>
    <s v="POARECOUP"/>
    <n v="21324493"/>
    <n v="-324"/>
    <m/>
    <s v="Y"/>
    <n v="2"/>
    <d v="2023-07-03T19:42:51"/>
    <s v="N"/>
    <m/>
    <m/>
    <s v="Expert Disbursement"/>
    <m/>
    <s v="N"/>
    <n v="0"/>
    <n v="-54"/>
    <x v="3"/>
    <s v="VALIDATED"/>
    <n v="1"/>
    <s v="01.11.80.308.2013.0000"/>
    <n v="-54"/>
    <s v="11"/>
    <s v="2013"/>
    <n v="16530.18"/>
    <n v="-54"/>
    <s v="CREDITOR"/>
    <n v="0"/>
    <n v="0"/>
    <n v="-54"/>
    <n v="0"/>
    <n v="0"/>
  </r>
  <r>
    <n v="56259501"/>
    <s v="N"/>
    <n v="21324493"/>
    <s v="3000013358530006RC"/>
    <s v="CIVIL"/>
    <d v="2023-06-23T00:00:00"/>
    <d v="2023-07-03T19:42:50"/>
    <m/>
    <d v="2023-07-03T00:00:00"/>
    <n v="1189"/>
    <n v="3302"/>
    <s v="56259501"/>
    <s v="56259501"/>
    <m/>
    <m/>
    <m/>
    <m/>
    <m/>
    <m/>
    <s v="SOLRECOUP"/>
    <s v="SOLRECOUP"/>
    <s v="POARECOUP"/>
    <n v="21324493"/>
    <n v="-324"/>
    <m/>
    <s v="Y"/>
    <n v="1"/>
    <d v="2023-07-03T19:42:51"/>
    <s v="N"/>
    <m/>
    <m/>
    <s v="Expert Disbursement"/>
    <m/>
    <s v="N"/>
    <n v="-270"/>
    <n v="0"/>
    <x v="3"/>
    <s v="VALIDATED"/>
    <n v="1"/>
    <s v="01.11.80.308.2013.0000"/>
    <n v="-270"/>
    <s v="11"/>
    <s v="2013"/>
    <n v="16530.18"/>
    <n v="-270"/>
    <s v="CREDITOR"/>
    <n v="0"/>
    <n v="0"/>
    <n v="-270"/>
    <n v="0"/>
    <n v="0"/>
  </r>
  <r>
    <n v="56259501"/>
    <s v="N"/>
    <n v="21324494"/>
    <s v="3000013358530009RC"/>
    <s v="CIVIL"/>
    <d v="2023-06-23T00:00:00"/>
    <d v="2023-07-03T19:42:50"/>
    <m/>
    <d v="2023-07-03T00:00:00"/>
    <n v="1189"/>
    <n v="3302"/>
    <s v="56259501"/>
    <s v="56259501"/>
    <m/>
    <m/>
    <m/>
    <m/>
    <m/>
    <m/>
    <s v="SOLRECOUP"/>
    <s v="SOLRECOUP"/>
    <s v="POARECOUP"/>
    <n v="21324494"/>
    <n v="-448.8"/>
    <m/>
    <s v="Y"/>
    <n v="2"/>
    <d v="2023-07-03T19:42:51"/>
    <s v="N"/>
    <m/>
    <m/>
    <s v="Expert Disbursement"/>
    <m/>
    <s v="N"/>
    <n v="0"/>
    <n v="-74.8"/>
    <x v="3"/>
    <s v="VALIDATED"/>
    <n v="1"/>
    <s v="01.11.80.308.2013.0000"/>
    <n v="-74.8"/>
    <s v="11"/>
    <s v="2013"/>
    <n v="16530.18"/>
    <n v="-74.8"/>
    <s v="CREDITOR"/>
    <n v="0"/>
    <n v="0"/>
    <n v="-74.8"/>
    <n v="0"/>
    <n v="0"/>
  </r>
  <r>
    <n v="56259501"/>
    <s v="N"/>
    <n v="21324494"/>
    <s v="3000013358530009RC"/>
    <s v="CIVIL"/>
    <d v="2023-06-23T00:00:00"/>
    <d v="2023-07-03T19:42:50"/>
    <m/>
    <d v="2023-07-03T00:00:00"/>
    <n v="1189"/>
    <n v="3302"/>
    <s v="56259501"/>
    <s v="56259501"/>
    <m/>
    <m/>
    <m/>
    <m/>
    <m/>
    <m/>
    <s v="SOLRECOUP"/>
    <s v="SOLRECOUP"/>
    <s v="POARECOUP"/>
    <n v="21324494"/>
    <n v="-448.8"/>
    <m/>
    <s v="Y"/>
    <n v="1"/>
    <d v="2023-07-03T19:42:51"/>
    <s v="N"/>
    <m/>
    <m/>
    <s v="Expert Disbursement"/>
    <m/>
    <s v="N"/>
    <n v="-374"/>
    <n v="0"/>
    <x v="3"/>
    <s v="VALIDATED"/>
    <n v="1"/>
    <s v="01.11.80.308.2013.0000"/>
    <n v="-374"/>
    <s v="11"/>
    <s v="2013"/>
    <n v="16530.18"/>
    <n v="-374"/>
    <s v="CREDITOR"/>
    <n v="0"/>
    <n v="0"/>
    <n v="-374"/>
    <n v="0"/>
    <n v="0"/>
  </r>
  <r>
    <n v="56259501"/>
    <s v="N"/>
    <n v="21324495"/>
    <s v="3000013358530011RC"/>
    <s v="CIVIL"/>
    <d v="2023-06-23T00:00:00"/>
    <d v="2023-07-03T19:42:50"/>
    <m/>
    <d v="2023-07-03T00:00:00"/>
    <n v="1189"/>
    <n v="3302"/>
    <s v="56259501"/>
    <s v="56259501"/>
    <m/>
    <m/>
    <m/>
    <m/>
    <m/>
    <m/>
    <s v="SOLRECOUP"/>
    <s v="SOLRECOUP"/>
    <s v="POARECOUP"/>
    <n v="21324495"/>
    <n v="-241.92"/>
    <m/>
    <s v="Y"/>
    <n v="2"/>
    <d v="2023-07-03T19:42:51"/>
    <s v="N"/>
    <m/>
    <m/>
    <s v="Expert Disbursement"/>
    <m/>
    <s v="N"/>
    <n v="0"/>
    <n v="-40.32"/>
    <x v="3"/>
    <s v="VALIDATED"/>
    <n v="1"/>
    <s v="01.11.80.308.2013.0000"/>
    <n v="-40.32"/>
    <s v="11"/>
    <s v="2013"/>
    <n v="16530.18"/>
    <n v="-40.32"/>
    <s v="CREDITOR"/>
    <n v="0"/>
    <n v="0"/>
    <n v="-40.32"/>
    <n v="0"/>
    <n v="0"/>
  </r>
  <r>
    <n v="56259501"/>
    <s v="N"/>
    <n v="21324495"/>
    <s v="3000013358530011RC"/>
    <s v="CIVIL"/>
    <d v="2023-06-23T00:00:00"/>
    <d v="2023-07-03T19:42:50"/>
    <m/>
    <d v="2023-07-03T00:00:00"/>
    <n v="1189"/>
    <n v="3302"/>
    <s v="56259501"/>
    <s v="56259501"/>
    <m/>
    <m/>
    <m/>
    <m/>
    <m/>
    <m/>
    <s v="SOLRECOUP"/>
    <s v="SOLRECOUP"/>
    <s v="POARECOUP"/>
    <n v="21324495"/>
    <n v="-241.92"/>
    <m/>
    <s v="Y"/>
    <n v="1"/>
    <d v="2023-07-03T19:42:51"/>
    <s v="N"/>
    <m/>
    <m/>
    <s v="Expert Disbursement"/>
    <m/>
    <s v="N"/>
    <n v="-201.6"/>
    <n v="0"/>
    <x v="3"/>
    <s v="VALIDATED"/>
    <n v="1"/>
    <s v="01.11.80.308.2013.0000"/>
    <n v="-201.6"/>
    <s v="11"/>
    <s v="2013"/>
    <n v="16530.18"/>
    <n v="-201.6"/>
    <s v="CREDITOR"/>
    <n v="0"/>
    <n v="0"/>
    <n v="-201.6"/>
    <n v="0"/>
    <n v="0"/>
  </r>
  <r>
    <n v="61146005"/>
    <s v="N"/>
    <n v="21324496"/>
    <s v="3000015330130001RC"/>
    <s v="CIVIL"/>
    <d v="2023-06-19T00:00:00"/>
    <d v="2023-07-03T19:42:50"/>
    <m/>
    <d v="2023-07-03T00:00:00"/>
    <n v="1189"/>
    <n v="3302"/>
    <s v="61146005"/>
    <s v="61146005"/>
    <m/>
    <m/>
    <m/>
    <m/>
    <m/>
    <m/>
    <s v="SOLRECOUP"/>
    <s v="SOLRECOUP"/>
    <s v="POARECOUP"/>
    <n v="21324496"/>
    <n v="-373.5"/>
    <m/>
    <s v="Y"/>
    <n v="2"/>
    <d v="2023-07-03T19:42:51"/>
    <s v="N"/>
    <m/>
    <m/>
    <s v="Expert Disbursement"/>
    <m/>
    <s v="N"/>
    <n v="0"/>
    <n v="-62.25"/>
    <x v="3"/>
    <s v="VALIDATED"/>
    <n v="1"/>
    <s v="01.11.80.308.2013.0000"/>
    <n v="-62.25"/>
    <s v="11"/>
    <s v="2013"/>
    <n v="16530.18"/>
    <n v="-62.25"/>
    <s v="CREDITOR"/>
    <n v="0"/>
    <n v="0"/>
    <n v="-62.25"/>
    <n v="0"/>
    <n v="0"/>
  </r>
  <r>
    <n v="61146005"/>
    <s v="N"/>
    <n v="21324496"/>
    <s v="3000015330130001RC"/>
    <s v="CIVIL"/>
    <d v="2023-06-19T00:00:00"/>
    <d v="2023-07-03T19:42:50"/>
    <m/>
    <d v="2023-07-03T00:00:00"/>
    <n v="1189"/>
    <n v="3302"/>
    <s v="61146005"/>
    <s v="61146005"/>
    <m/>
    <m/>
    <m/>
    <m/>
    <m/>
    <m/>
    <s v="SOLRECOUP"/>
    <s v="SOLRECOUP"/>
    <s v="POARECOUP"/>
    <n v="21324496"/>
    <n v="-373.5"/>
    <m/>
    <s v="Y"/>
    <n v="1"/>
    <d v="2023-07-03T19:42:51"/>
    <s v="N"/>
    <m/>
    <m/>
    <s v="Expert Disbursement"/>
    <m/>
    <s v="N"/>
    <n v="-311.25"/>
    <n v="0"/>
    <x v="3"/>
    <s v="VALIDATED"/>
    <n v="1"/>
    <s v="01.11.80.308.2013.0000"/>
    <n v="-311.25"/>
    <s v="11"/>
    <s v="2013"/>
    <n v="16530.18"/>
    <n v="-311.25"/>
    <s v="CREDITOR"/>
    <n v="0"/>
    <n v="0"/>
    <n v="-311.25"/>
    <n v="0"/>
    <n v="0"/>
  </r>
  <r>
    <n v="61146005"/>
    <s v="N"/>
    <n v="21324497"/>
    <s v="3000015330130002RC"/>
    <s v="CIVIL"/>
    <d v="2023-06-19T00:00:00"/>
    <d v="2023-07-03T19:42:50"/>
    <m/>
    <d v="2023-07-03T00:00:00"/>
    <n v="1189"/>
    <n v="3302"/>
    <s v="61146005"/>
    <s v="61146005"/>
    <m/>
    <m/>
    <m/>
    <m/>
    <m/>
    <m/>
    <s v="SOLRECOUP"/>
    <s v="SOLRECOUP"/>
    <s v="POARECOUP"/>
    <n v="21324497"/>
    <n v="-861.76"/>
    <m/>
    <s v="Y"/>
    <n v="2"/>
    <d v="2023-07-03T19:42:51"/>
    <s v="N"/>
    <m/>
    <m/>
    <s v="Expert Disbursement"/>
    <m/>
    <s v="N"/>
    <n v="0"/>
    <n v="-143.63"/>
    <x v="3"/>
    <s v="VALIDATED"/>
    <n v="1"/>
    <s v="01.11.80.308.2013.0000"/>
    <n v="-143.63"/>
    <s v="11"/>
    <s v="2013"/>
    <n v="16530.18"/>
    <n v="-143.63"/>
    <s v="CREDITOR"/>
    <n v="0"/>
    <n v="0"/>
    <n v="-143.63"/>
    <n v="0"/>
    <n v="0"/>
  </r>
  <r>
    <n v="61146005"/>
    <s v="N"/>
    <n v="21324497"/>
    <s v="3000015330130002RC"/>
    <s v="CIVIL"/>
    <d v="2023-06-19T00:00:00"/>
    <d v="2023-07-03T19:42:50"/>
    <m/>
    <d v="2023-07-03T00:00:00"/>
    <n v="1189"/>
    <n v="3302"/>
    <s v="61146005"/>
    <s v="61146005"/>
    <m/>
    <m/>
    <m/>
    <m/>
    <m/>
    <m/>
    <s v="SOLRECOUP"/>
    <s v="SOLRECOUP"/>
    <s v="POARECOUP"/>
    <n v="21324497"/>
    <n v="-861.76"/>
    <m/>
    <s v="Y"/>
    <n v="1"/>
    <d v="2023-07-03T19:42:51"/>
    <s v="N"/>
    <m/>
    <m/>
    <s v="Expert Disbursement"/>
    <m/>
    <s v="N"/>
    <n v="-718.13"/>
    <n v="0"/>
    <x v="3"/>
    <s v="VALIDATED"/>
    <n v="1"/>
    <s v="01.11.80.308.2013.0000"/>
    <n v="-718.13"/>
    <s v="11"/>
    <s v="2013"/>
    <n v="16530.18"/>
    <n v="-718.13"/>
    <s v="CREDITOR"/>
    <n v="0"/>
    <n v="0"/>
    <n v="-718.13"/>
    <n v="0"/>
    <n v="0"/>
  </r>
  <r>
    <n v="56259501"/>
    <s v="N"/>
    <n v="21318994"/>
    <s v="3000013358530013"/>
    <s v="CIVIL"/>
    <d v="2023-06-23T00:00:00"/>
    <d v="2023-07-03T19:01:49"/>
    <m/>
    <d v="2023-07-03T00:00:00"/>
    <n v="1189"/>
    <n v="3302"/>
    <s v="56259501"/>
    <s v="56259501"/>
    <m/>
    <m/>
    <n v="22754782"/>
    <m/>
    <m/>
    <m/>
    <s v="SOLFIN"/>
    <s v="SOLFIN"/>
    <s v="CCMS"/>
    <n v="21318994"/>
    <n v="24673.81"/>
    <m/>
    <s v="N"/>
    <n v="112"/>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13"/>
    <d v="2023-07-03T19:02:06"/>
    <s v="Y"/>
    <s v="Preparation - other"/>
    <s v="Care Remuneration Hourly Rates"/>
    <s v="Profit Cost"/>
    <s v="DB"/>
    <s v="Y"/>
    <n v="152.45"/>
    <n v="30.49"/>
    <x v="3"/>
    <s v="VALIDATED"/>
    <n v="1"/>
    <s v="01.11.80.308.6100.0000"/>
    <n v="152.45"/>
    <s v="11"/>
    <s v="6100"/>
    <n v="16530.18"/>
    <n v="152.45"/>
    <s v="CREDITOR"/>
    <n v="0"/>
    <n v="0"/>
    <n v="0"/>
    <n v="0"/>
    <n v="152.45"/>
  </r>
  <r>
    <n v="56259501"/>
    <s v="N"/>
    <n v="21318994"/>
    <s v="3000013358530013"/>
    <s v="CIVIL"/>
    <d v="2023-06-23T00:00:00"/>
    <d v="2023-07-03T19:01:49"/>
    <m/>
    <d v="2023-07-03T00:00:00"/>
    <n v="1189"/>
    <n v="3302"/>
    <s v="56259501"/>
    <s v="56259501"/>
    <m/>
    <m/>
    <n v="22754782"/>
    <m/>
    <m/>
    <m/>
    <s v="SOLFIN"/>
    <s v="SOLFIN"/>
    <s v="CCMS"/>
    <n v="21318994"/>
    <n v="24673.81"/>
    <m/>
    <s v="N"/>
    <n v="242"/>
    <d v="2023-07-03T19:02:06"/>
    <s v="Y"/>
    <s v="Preparation - drafting statement"/>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43"/>
    <d v="2023-07-03T19:02:06"/>
    <s v="N"/>
    <s v="Preparation - other"/>
    <s v="Care Remuneration Hourly Rates"/>
    <s v="Profit Cost"/>
    <s v="KH"/>
    <s v="N"/>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56"/>
    <d v="2023-07-03T19:02:06"/>
    <s v="N"/>
    <s v="Preparation - other"/>
    <s v="Care Remuneration Hourly Rates"/>
    <s v="Profit Cost"/>
    <s v="KH"/>
    <s v="N"/>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97"/>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3"/>
    <d v="2023-07-03T19:02:06"/>
    <s v="N"/>
    <s v="Preparation - other"/>
    <s v="Care Remuneration Hourly Rates"/>
    <s v="Profit Cost"/>
    <s v="KH"/>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58"/>
    <d v="2023-07-03T19:02:06"/>
    <s v="N"/>
    <s v="Solicitors Fixed Fee"/>
    <s v="Public Law Children"/>
    <s v="Profit Cost"/>
    <s v="XXX"/>
    <s v="N"/>
    <n v="0"/>
    <n v="0"/>
    <x v="3"/>
    <s v="VALIDATED"/>
    <n v="1"/>
    <s v="01.11.80.308.6100.0000"/>
    <n v="0"/>
    <s v="11"/>
    <s v="6100"/>
    <n v="16530.18"/>
    <n v="0"/>
    <s v="CREDITOR"/>
    <n v="0"/>
    <n v="0"/>
    <n v="0"/>
    <n v="0"/>
    <n v="0"/>
  </r>
  <r>
    <n v="56259501"/>
    <s v="N"/>
    <n v="21318994"/>
    <s v="3000013358530013"/>
    <s v="CIVIL"/>
    <d v="2023-06-23T00:00:00"/>
    <d v="2023-07-03T19:01:49"/>
    <m/>
    <d v="2023-07-03T00:00:00"/>
    <n v="1189"/>
    <n v="3302"/>
    <s v="56259501"/>
    <s v="56259501"/>
    <m/>
    <m/>
    <n v="22754782"/>
    <m/>
    <m/>
    <m/>
    <s v="SOLFIN"/>
    <s v="SOLFIN"/>
    <s v="CCMS"/>
    <n v="21318994"/>
    <n v="24673.81"/>
    <m/>
    <s v="N"/>
    <n v="265"/>
    <d v="2023-07-03T19:02:06"/>
    <s v="Y"/>
    <s v="Toxicologist"/>
    <s v="Care Remuneration Hourly Rates"/>
    <s v="Expert Disbursement"/>
    <s v="XXX"/>
    <s v="Y"/>
    <n v="648.75"/>
    <n v="129.74"/>
    <x v="3"/>
    <s v="VALIDATED"/>
    <n v="1"/>
    <s v="01.11.80.308.6300.0000"/>
    <n v="648.75"/>
    <s v="11"/>
    <s v="6300"/>
    <n v="16530.18"/>
    <n v="648.75"/>
    <s v="CREDITOR"/>
    <n v="0"/>
    <n v="0"/>
    <n v="0"/>
    <n v="0"/>
    <n v="648.75"/>
  </r>
  <r>
    <n v="56259501"/>
    <s v="N"/>
    <n v="21318994"/>
    <s v="3000013358530013"/>
    <s v="CIVIL"/>
    <d v="2023-06-23T00:00:00"/>
    <d v="2023-07-03T19:01:49"/>
    <m/>
    <d v="2023-07-03T00:00:00"/>
    <n v="1189"/>
    <n v="3302"/>
    <s v="56259501"/>
    <s v="56259501"/>
    <m/>
    <m/>
    <n v="22754782"/>
    <m/>
    <m/>
    <m/>
    <s v="SOLFIN"/>
    <s v="SOLFIN"/>
    <s v="CCMS"/>
    <n v="21318994"/>
    <n v="24673.81"/>
    <m/>
    <s v="N"/>
    <n v="21"/>
    <d v="2023-07-03T19:02:06"/>
    <s v="N"/>
    <s v="Preparation - other"/>
    <s v="Care Remuneration Hourly Rates"/>
    <s v="Profit Cost"/>
    <s v="KH"/>
    <s v="N"/>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58"/>
    <d v="2023-07-03T19:02:06"/>
    <s v="Y"/>
    <s v="Preparation - other"/>
    <s v="Care Remuneration Hourly Rates"/>
    <s v="Profit Cost"/>
    <s v="KH"/>
    <s v="Y"/>
    <n v="36.8"/>
    <n v="7.36"/>
    <x v="3"/>
    <s v="VALIDATED"/>
    <n v="1"/>
    <s v="01.11.80.308.6100.0000"/>
    <n v="36.8"/>
    <s v="11"/>
    <s v="6100"/>
    <n v="16530.18"/>
    <n v="36.8"/>
    <s v="CREDITOR"/>
    <n v="0"/>
    <n v="0"/>
    <n v="0"/>
    <n v="0"/>
    <n v="36.8"/>
  </r>
  <r>
    <n v="56259501"/>
    <s v="N"/>
    <n v="21318994"/>
    <s v="3000013358530013"/>
    <s v="CIVIL"/>
    <d v="2023-06-23T00:00:00"/>
    <d v="2023-07-03T19:01:49"/>
    <m/>
    <d v="2023-07-03T00:00:00"/>
    <n v="1189"/>
    <n v="3302"/>
    <s v="56259501"/>
    <s v="56259501"/>
    <m/>
    <m/>
    <n v="22754782"/>
    <m/>
    <m/>
    <m/>
    <s v="SOLFIN"/>
    <s v="SOLFIN"/>
    <s v="CCMS"/>
    <n v="21318994"/>
    <n v="24673.81"/>
    <m/>
    <s v="N"/>
    <n v="103"/>
    <d v="2023-07-03T19:02:06"/>
    <s v="Y"/>
    <s v="Attendance upon client"/>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259"/>
    <d v="2023-07-03T19:02:06"/>
    <s v="Y"/>
    <s v="Court Fee"/>
    <s v="Care Remuneration Hourly Rates"/>
    <s v="Non Expert Disbursement"/>
    <s v="XXX"/>
    <s v="Y"/>
    <n v="167"/>
    <n v="0"/>
    <x v="3"/>
    <s v="VALIDATED"/>
    <n v="1"/>
    <s v="01.11.80.308.6300.0000"/>
    <n v="167"/>
    <s v="11"/>
    <s v="6300"/>
    <n v="16530.18"/>
    <n v="167"/>
    <s v="CREDITOR"/>
    <n v="0"/>
    <n v="0"/>
    <n v="0"/>
    <n v="0"/>
    <n v="167"/>
  </r>
  <r>
    <n v="56259501"/>
    <s v="N"/>
    <n v="21318994"/>
    <s v="3000013358530013"/>
    <s v="CIVIL"/>
    <d v="2023-06-23T00:00:00"/>
    <d v="2023-07-03T19:01:49"/>
    <m/>
    <d v="2023-07-03T00:00:00"/>
    <n v="1189"/>
    <n v="3302"/>
    <s v="56259501"/>
    <s v="56259501"/>
    <m/>
    <m/>
    <n v="22754782"/>
    <m/>
    <m/>
    <m/>
    <s v="SOLFIN"/>
    <s v="SOLFIN"/>
    <s v="CCMS"/>
    <n v="21318994"/>
    <n v="24673.81"/>
    <m/>
    <s v="N"/>
    <n v="151"/>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50"/>
    <d v="2023-07-03T19:02:06"/>
    <s v="N"/>
    <s v="Preparation - other"/>
    <s v="Care Remuneration Hourly Rates"/>
    <s v="Profit Cost"/>
    <s v="KH"/>
    <s v="N"/>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34"/>
    <d v="2023-07-03T19:02:06"/>
    <s v="N"/>
    <s v="Preparation - other"/>
    <s v="Care Remuneration Hourly Rates"/>
    <s v="Profit Cost"/>
    <s v="KH"/>
    <s v="N"/>
    <n v="110.4"/>
    <n v="22.08"/>
    <x v="3"/>
    <s v="VALIDATED"/>
    <n v="1"/>
    <s v="01.11.80.308.6100.0000"/>
    <n v="110.4"/>
    <s v="11"/>
    <s v="6100"/>
    <n v="16530.18"/>
    <n v="110.4"/>
    <s v="CREDITOR"/>
    <n v="0"/>
    <n v="0"/>
    <n v="0"/>
    <n v="0"/>
    <n v="110.4"/>
  </r>
  <r>
    <n v="56259501"/>
    <s v="N"/>
    <n v="21318994"/>
    <s v="3000013358530013"/>
    <s v="CIVIL"/>
    <d v="2023-06-23T00:00:00"/>
    <d v="2023-07-03T19:01:49"/>
    <m/>
    <d v="2023-07-03T00:00:00"/>
    <n v="1189"/>
    <n v="3302"/>
    <s v="56259501"/>
    <s v="56259501"/>
    <m/>
    <m/>
    <n v="22754782"/>
    <m/>
    <m/>
    <m/>
    <s v="SOLFIN"/>
    <s v="SOLFIN"/>
    <s v="CCMS"/>
    <n v="21318994"/>
    <n v="24673.81"/>
    <m/>
    <s v="N"/>
    <n v="231"/>
    <d v="2023-07-03T19:02:06"/>
    <s v="Y"/>
    <s v="Preparation - other"/>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160"/>
    <d v="2023-07-03T19:02:06"/>
    <s v="Y"/>
    <s v="Preparation - other"/>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79"/>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68"/>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86"/>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71"/>
    <d v="2023-07-03T19:02:06"/>
    <s v="Y"/>
    <s v="Preparation - other"/>
    <s v="Care Remuneration Hourly Rates"/>
    <s v="Profit Cost"/>
    <s v="KH"/>
    <s v="Y"/>
    <n v="57.83"/>
    <n v="11.57"/>
    <x v="3"/>
    <s v="VALIDATED"/>
    <n v="1"/>
    <s v="01.11.80.308.6100.0000"/>
    <n v="57.83"/>
    <s v="11"/>
    <s v="6100"/>
    <n v="16530.18"/>
    <n v="57.83"/>
    <s v="CREDITOR"/>
    <n v="0"/>
    <n v="0"/>
    <n v="0"/>
    <n v="0"/>
    <n v="57.83"/>
  </r>
  <r>
    <n v="56259501"/>
    <s v="N"/>
    <n v="21318994"/>
    <s v="3000013358530013"/>
    <s v="CIVIL"/>
    <d v="2023-06-23T00:00:00"/>
    <d v="2023-07-03T19:01:49"/>
    <m/>
    <d v="2023-07-03T00:00:00"/>
    <n v="1189"/>
    <n v="3302"/>
    <s v="56259501"/>
    <s v="56259501"/>
    <m/>
    <m/>
    <n v="22754782"/>
    <m/>
    <m/>
    <m/>
    <s v="SOLFIN"/>
    <s v="SOLFIN"/>
    <s v="CCMS"/>
    <n v="21318994"/>
    <n v="24673.81"/>
    <m/>
    <s v="N"/>
    <n v="239"/>
    <d v="2023-07-03T19:02:06"/>
    <s v="Y"/>
    <s v="Preparation - other"/>
    <s v="Care Remuneration Hourly Rates"/>
    <s v="Profit Cost"/>
    <s v="KH"/>
    <s v="Y"/>
    <n v="63.08"/>
    <n v="12.62"/>
    <x v="3"/>
    <s v="VALIDATED"/>
    <n v="1"/>
    <s v="01.11.80.308.6100.0000"/>
    <n v="63.08"/>
    <s v="11"/>
    <s v="6100"/>
    <n v="16530.18"/>
    <n v="63.08"/>
    <s v="CREDITOR"/>
    <n v="0"/>
    <n v="0"/>
    <n v="0"/>
    <n v="0"/>
    <n v="63.08"/>
  </r>
  <r>
    <n v="56259501"/>
    <s v="N"/>
    <n v="21318994"/>
    <s v="3000013358530013"/>
    <s v="CIVIL"/>
    <d v="2023-06-23T00:00:00"/>
    <d v="2023-07-03T19:01:49"/>
    <m/>
    <d v="2023-07-03T00:00:00"/>
    <n v="1189"/>
    <n v="3302"/>
    <s v="56259501"/>
    <s v="56259501"/>
    <m/>
    <m/>
    <n v="22754782"/>
    <m/>
    <m/>
    <m/>
    <s v="SOLFIN"/>
    <s v="SOLFIN"/>
    <s v="CCMS"/>
    <n v="21318994"/>
    <n v="24673.81"/>
    <m/>
    <s v="N"/>
    <n v="246"/>
    <d v="2023-07-03T19:02:06"/>
    <s v="Y"/>
    <s v="Preparation - other"/>
    <s v="Care Remuneration Hourly Rates"/>
    <s v="Profit Cost"/>
    <s v="KH"/>
    <s v="Y"/>
    <n v="73.59999999999999"/>
    <n v="14.72"/>
    <x v="3"/>
    <s v="VALIDATED"/>
    <n v="1"/>
    <s v="01.11.80.308.6100.0000"/>
    <n v="73.59999999999999"/>
    <s v="11"/>
    <s v="6100"/>
    <n v="16530.18"/>
    <n v="73.59999999999999"/>
    <s v="CREDITOR"/>
    <n v="0"/>
    <n v="0"/>
    <n v="0"/>
    <n v="0"/>
    <n v="73.59999999999999"/>
  </r>
  <r>
    <n v="56259501"/>
    <s v="N"/>
    <n v="21318994"/>
    <s v="3000013358530013"/>
    <s v="CIVIL"/>
    <d v="2023-06-23T00:00:00"/>
    <d v="2023-07-03T19:01:49"/>
    <m/>
    <d v="2023-07-03T00:00:00"/>
    <n v="1189"/>
    <n v="3302"/>
    <s v="56259501"/>
    <s v="56259501"/>
    <m/>
    <m/>
    <n v="22754782"/>
    <m/>
    <m/>
    <m/>
    <s v="SOLFIN"/>
    <s v="SOLFIN"/>
    <s v="CCMS"/>
    <n v="21318994"/>
    <n v="24673.81"/>
    <m/>
    <s v="N"/>
    <n v="254"/>
    <d v="2023-07-03T19:02:06"/>
    <s v="Y"/>
    <s v="Preparation - drafting bill/claim f"/>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15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23"/>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6"/>
    <d v="2023-07-03T19:02:06"/>
    <s v="N"/>
    <s v="Preparation - other"/>
    <s v="Care Remuneration Hourly Rates"/>
    <s v="Profit Cost"/>
    <s v="KH"/>
    <s v="N"/>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249"/>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30"/>
    <d v="2023-07-03T19:02:06"/>
    <s v="N"/>
    <s v="Preparation - other"/>
    <s v="Care Remuneration Hourly Rates"/>
    <s v="Profit Cost"/>
    <s v="KH"/>
    <s v="N"/>
    <n v="141.94"/>
    <n v="28.39"/>
    <x v="3"/>
    <s v="VALIDATED"/>
    <n v="1"/>
    <s v="01.11.80.308.6100.0000"/>
    <n v="141.94"/>
    <s v="11"/>
    <s v="6100"/>
    <n v="16530.18"/>
    <n v="141.94"/>
    <s v="CREDITOR"/>
    <n v="0"/>
    <n v="0"/>
    <n v="0"/>
    <n v="0"/>
    <n v="141.94"/>
  </r>
  <r>
    <n v="56259501"/>
    <s v="N"/>
    <n v="21318994"/>
    <s v="3000013358530013"/>
    <s v="CIVIL"/>
    <d v="2023-06-23T00:00:00"/>
    <d v="2023-07-03T19:01:49"/>
    <m/>
    <d v="2023-07-03T00:00:00"/>
    <n v="1189"/>
    <n v="3302"/>
    <s v="56259501"/>
    <s v="56259501"/>
    <m/>
    <m/>
    <n v="22754782"/>
    <m/>
    <m/>
    <m/>
    <s v="SOLFIN"/>
    <s v="SOLFIN"/>
    <s v="CCMS"/>
    <n v="21318994"/>
    <n v="24673.81"/>
    <m/>
    <s v="N"/>
    <n v="41"/>
    <d v="2023-07-03T19:02:06"/>
    <s v="N"/>
    <s v="Preparation - other"/>
    <s v="Care Remuneration Hourly Rates"/>
    <s v="Profit Cost"/>
    <s v="KH"/>
    <s v="N"/>
    <n v="57.83"/>
    <n v="11.57"/>
    <x v="3"/>
    <s v="VALIDATED"/>
    <n v="1"/>
    <s v="01.11.80.308.6100.0000"/>
    <n v="57.83"/>
    <s v="11"/>
    <s v="6100"/>
    <n v="16530.18"/>
    <n v="57.83"/>
    <s v="CREDITOR"/>
    <n v="0"/>
    <n v="0"/>
    <n v="0"/>
    <n v="0"/>
    <n v="57.83"/>
  </r>
  <r>
    <n v="56259501"/>
    <s v="N"/>
    <n v="21318994"/>
    <s v="3000013358530013"/>
    <s v="CIVIL"/>
    <d v="2023-06-23T00:00:00"/>
    <d v="2023-07-03T19:01:49"/>
    <m/>
    <d v="2023-07-03T00:00:00"/>
    <n v="1189"/>
    <n v="3302"/>
    <s v="56259501"/>
    <s v="56259501"/>
    <m/>
    <m/>
    <n v="22754782"/>
    <m/>
    <m/>
    <m/>
    <s v="SOLFIN"/>
    <s v="SOLFIN"/>
    <s v="CCMS"/>
    <n v="21318994"/>
    <n v="24673.81"/>
    <m/>
    <s v="N"/>
    <n v="217"/>
    <d v="2023-07-03T19:02:06"/>
    <s v="Y"/>
    <s v="Preparation - other"/>
    <s v="Care Remuneration Hourly Rates"/>
    <s v="Profit Cost"/>
    <s v="KH"/>
    <s v="Y"/>
    <n v="47.31"/>
    <n v="9.460000000000001"/>
    <x v="3"/>
    <s v="VALIDATED"/>
    <n v="1"/>
    <s v="01.11.80.308.6100.0000"/>
    <n v="47.31"/>
    <s v="11"/>
    <s v="6100"/>
    <n v="16530.18"/>
    <n v="47.31"/>
    <s v="CREDITOR"/>
    <n v="0"/>
    <n v="0"/>
    <n v="0"/>
    <n v="0"/>
    <n v="47.31"/>
  </r>
  <r>
    <n v="56259501"/>
    <s v="N"/>
    <n v="21318994"/>
    <s v="3000013358530013"/>
    <s v="CIVIL"/>
    <d v="2023-06-23T00:00:00"/>
    <d v="2023-07-03T19:01:49"/>
    <m/>
    <d v="2023-07-03T00:00:00"/>
    <n v="1189"/>
    <n v="3302"/>
    <s v="56259501"/>
    <s v="56259501"/>
    <m/>
    <m/>
    <n v="22754782"/>
    <m/>
    <m/>
    <m/>
    <s v="SOLFIN"/>
    <s v="SOLFIN"/>
    <s v="CCMS"/>
    <n v="21318994"/>
    <n v="24673.81"/>
    <m/>
    <s v="N"/>
    <n v="52"/>
    <d v="2023-07-03T19:02:06"/>
    <s v="N"/>
    <s v="Preparation - other"/>
    <s v="Care Remuneration Hourly Rates"/>
    <s v="Profit Cost"/>
    <s v="KH"/>
    <s v="N"/>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81"/>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14"/>
    <d v="2023-07-03T19:02:06"/>
    <s v="Y"/>
    <s v="Preparation - other"/>
    <s v="Care Remuneration Hourly Rates"/>
    <s v="Profit Cost"/>
    <s v="DB"/>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134"/>
    <d v="2023-07-03T19:02:06"/>
    <s v="Y"/>
    <s v="Preparation - drafting application"/>
    <s v="Care Remuneration Hourly Rates"/>
    <s v="Profit Cost"/>
    <s v="KH"/>
    <s v="Y"/>
    <n v="31.54"/>
    <n v="6.31"/>
    <x v="3"/>
    <s v="VALIDATED"/>
    <n v="1"/>
    <s v="01.11.80.308.6100.0000"/>
    <n v="31.54"/>
    <s v="11"/>
    <s v="6100"/>
    <n v="16530.18"/>
    <n v="31.54"/>
    <s v="CREDITOR"/>
    <n v="0"/>
    <n v="0"/>
    <n v="0"/>
    <n v="0"/>
    <n v="31.54"/>
  </r>
  <r>
    <n v="56259501"/>
    <s v="N"/>
    <n v="21318994"/>
    <s v="3000013358530013"/>
    <s v="CIVIL"/>
    <d v="2023-06-23T00:00:00"/>
    <d v="2023-07-03T19:01:49"/>
    <m/>
    <d v="2023-07-03T00:00:00"/>
    <n v="1189"/>
    <n v="3302"/>
    <s v="56259501"/>
    <s v="56259501"/>
    <m/>
    <m/>
    <n v="22754782"/>
    <m/>
    <m/>
    <m/>
    <s v="SOLFIN"/>
    <s v="SOLFIN"/>
    <s v="CCMS"/>
    <n v="21318994"/>
    <n v="24673.81"/>
    <m/>
    <s v="N"/>
    <n v="153"/>
    <d v="2023-07-03T19:02:06"/>
    <s v="Y"/>
    <s v="Preparation - other"/>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195"/>
    <d v="2023-07-03T19:02:06"/>
    <s v="Y"/>
    <s v="Preparation - other"/>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200"/>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06"/>
    <d v="2023-07-03T19:02:06"/>
    <s v="Y"/>
    <s v="Preparation - other"/>
    <s v="Care Remuneration Hourly Rates"/>
    <s v="Profit Cost"/>
    <s v="KH"/>
    <s v="Y"/>
    <n v="68.34"/>
    <n v="13.67"/>
    <x v="3"/>
    <s v="VALIDATED"/>
    <n v="1"/>
    <s v="01.11.80.308.6100.0000"/>
    <n v="68.34"/>
    <s v="11"/>
    <s v="6100"/>
    <n v="16530.18"/>
    <n v="68.34"/>
    <s v="CREDITOR"/>
    <n v="0"/>
    <n v="0"/>
    <n v="0"/>
    <n v="0"/>
    <n v="68.34"/>
  </r>
  <r>
    <n v="56259501"/>
    <s v="N"/>
    <n v="21318994"/>
    <s v="3000013358530013"/>
    <s v="CIVIL"/>
    <d v="2023-06-23T00:00:00"/>
    <d v="2023-07-03T19:01:49"/>
    <m/>
    <d v="2023-07-03T00:00:00"/>
    <n v="1189"/>
    <n v="3302"/>
    <s v="56259501"/>
    <s v="56259501"/>
    <m/>
    <m/>
    <n v="22754782"/>
    <m/>
    <m/>
    <m/>
    <s v="SOLFIN"/>
    <s v="SOLFIN"/>
    <s v="CCMS"/>
    <n v="21318994"/>
    <n v="24673.81"/>
    <m/>
    <s v="N"/>
    <n v="207"/>
    <d v="2023-07-03T19:02:06"/>
    <s v="Y"/>
    <s v="Preparation - other"/>
    <s v="Care Remuneration Hourly Rates"/>
    <s v="Profit Cost"/>
    <s v="KH"/>
    <s v="Y"/>
    <n v="105.14"/>
    <n v="21.03"/>
    <x v="3"/>
    <s v="VALIDATED"/>
    <n v="1"/>
    <s v="01.11.80.308.6100.0000"/>
    <n v="105.14"/>
    <s v="11"/>
    <s v="6100"/>
    <n v="16530.18"/>
    <n v="105.14"/>
    <s v="CREDITOR"/>
    <n v="0"/>
    <n v="0"/>
    <n v="0"/>
    <n v="0"/>
    <n v="105.14"/>
  </r>
  <r>
    <n v="56259501"/>
    <s v="N"/>
    <n v="21318994"/>
    <s v="3000013358530013"/>
    <s v="CIVIL"/>
    <d v="2023-06-23T00:00:00"/>
    <d v="2023-07-03T19:01:49"/>
    <m/>
    <d v="2023-07-03T00:00:00"/>
    <n v="1189"/>
    <n v="3302"/>
    <s v="56259501"/>
    <s v="56259501"/>
    <m/>
    <m/>
    <n v="22754782"/>
    <m/>
    <m/>
    <m/>
    <s v="SOLFIN"/>
    <s v="SOLFIN"/>
    <s v="CCMS"/>
    <n v="21318994"/>
    <n v="24673.81"/>
    <m/>
    <s v="N"/>
    <n v="59"/>
    <d v="2023-07-03T19:02:06"/>
    <s v="N"/>
    <s v="Preparation - other"/>
    <s v="Care Remuneration Hourly Rates"/>
    <s v="Profit Cost"/>
    <s v="KH"/>
    <s v="N"/>
    <n v="31.54"/>
    <n v="6.31"/>
    <x v="3"/>
    <s v="VALIDATED"/>
    <n v="1"/>
    <s v="01.11.80.308.6100.0000"/>
    <n v="31.54"/>
    <s v="11"/>
    <s v="6100"/>
    <n v="16530.18"/>
    <n v="31.54"/>
    <s v="CREDITOR"/>
    <n v="0"/>
    <n v="0"/>
    <n v="0"/>
    <n v="0"/>
    <n v="31.54"/>
  </r>
  <r>
    <n v="56259501"/>
    <s v="N"/>
    <n v="21318994"/>
    <s v="3000013358530013"/>
    <s v="CIVIL"/>
    <d v="2023-06-23T00:00:00"/>
    <d v="2023-07-03T19:01:49"/>
    <m/>
    <d v="2023-07-03T00:00:00"/>
    <n v="1189"/>
    <n v="3302"/>
    <s v="56259501"/>
    <s v="56259501"/>
    <m/>
    <m/>
    <n v="22754782"/>
    <m/>
    <m/>
    <m/>
    <s v="SOLFIN"/>
    <s v="SOLFIN"/>
    <s v="CCMS"/>
    <n v="21318994"/>
    <n v="24673.81"/>
    <m/>
    <s v="N"/>
    <n v="173"/>
    <d v="2023-07-03T19:02:06"/>
    <s v="Y"/>
    <s v="Advocacy - In court behind counsel"/>
    <s v="Care Remuneration Hourly Rates"/>
    <s v="Advocacy"/>
    <s v="LB"/>
    <s v="Y"/>
    <n v="20.58"/>
    <n v="4.12"/>
    <x v="3"/>
    <s v="VALIDATED"/>
    <n v="1"/>
    <s v="01.11.80.308.6100.0000"/>
    <n v="20.58"/>
    <s v="11"/>
    <s v="6100"/>
    <n v="16530.18"/>
    <n v="20.58"/>
    <s v="CREDITOR"/>
    <n v="0"/>
    <n v="0"/>
    <n v="0"/>
    <n v="0"/>
    <n v="20.58"/>
  </r>
  <r>
    <n v="56259501"/>
    <s v="N"/>
    <n v="21318994"/>
    <s v="3000013358530013"/>
    <s v="CIVIL"/>
    <d v="2023-06-23T00:00:00"/>
    <d v="2023-07-03T19:01:49"/>
    <m/>
    <d v="2023-07-03T00:00:00"/>
    <n v="1189"/>
    <n v="3302"/>
    <s v="56259501"/>
    <s v="56259501"/>
    <m/>
    <m/>
    <n v="22754782"/>
    <m/>
    <m/>
    <m/>
    <s v="SOLFIN"/>
    <s v="SOLFIN"/>
    <s v="CCMS"/>
    <n v="21318994"/>
    <n v="24673.81"/>
    <m/>
    <s v="N"/>
    <n v="78"/>
    <d v="2023-07-03T19:02:06"/>
    <s v="Y"/>
    <s v="Attendance upon client"/>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74"/>
    <d v="2023-07-03T19:02:06"/>
    <s v="Y"/>
    <s v="Hearing Unit 2.31 - 5.00 Hours"/>
    <s v="Public Law Children"/>
    <s v="Advocacy"/>
    <s v="KH"/>
    <s v="Y"/>
    <n v="476.92"/>
    <n v="95.38"/>
    <x v="3"/>
    <s v="VALIDATED"/>
    <n v="1"/>
    <s v="01.11.80.308.6100.0000"/>
    <n v="476.92"/>
    <s v="11"/>
    <s v="6100"/>
    <n v="16530.18"/>
    <n v="476.92"/>
    <s v="CREDITOR"/>
    <n v="0"/>
    <n v="0"/>
    <n v="0"/>
    <n v="0"/>
    <n v="476.92"/>
  </r>
  <r>
    <n v="56259501"/>
    <s v="N"/>
    <n v="21318994"/>
    <s v="3000013358530013"/>
    <s v="CIVIL"/>
    <d v="2023-06-23T00:00:00"/>
    <d v="2023-07-03T19:01:49"/>
    <m/>
    <d v="2023-07-03T00:00:00"/>
    <n v="1189"/>
    <n v="3302"/>
    <s v="56259501"/>
    <s v="56259501"/>
    <m/>
    <m/>
    <n v="22754782"/>
    <m/>
    <m/>
    <m/>
    <s v="SOLFIN"/>
    <s v="SOLFIN"/>
    <s v="CCMS"/>
    <n v="21318994"/>
    <n v="24673.81"/>
    <m/>
    <s v="N"/>
    <n v="275"/>
    <d v="2023-07-03T19:02:06"/>
    <s v="Y"/>
    <s v="Hearing Unit 2.31 - 5.00 Hours"/>
    <s v="Public Law Children"/>
    <s v="Advocacy"/>
    <s v="KH"/>
    <s v="Y"/>
    <n v="476.92"/>
    <n v="95.38"/>
    <x v="3"/>
    <s v="VALIDATED"/>
    <n v="1"/>
    <s v="01.11.80.308.6100.0000"/>
    <n v="476.92"/>
    <s v="11"/>
    <s v="6100"/>
    <n v="16530.18"/>
    <n v="476.92"/>
    <s v="CREDITOR"/>
    <n v="0"/>
    <n v="0"/>
    <n v="0"/>
    <n v="0"/>
    <n v="476.92"/>
  </r>
  <r>
    <n v="56259501"/>
    <s v="N"/>
    <n v="21318994"/>
    <s v="3000013358530013"/>
    <s v="CIVIL"/>
    <d v="2023-06-23T00:00:00"/>
    <d v="2023-07-03T19:01:49"/>
    <m/>
    <d v="2023-07-03T00:00:00"/>
    <n v="1189"/>
    <n v="3302"/>
    <s v="56259501"/>
    <s v="56259501"/>
    <m/>
    <m/>
    <n v="22754782"/>
    <m/>
    <m/>
    <m/>
    <s v="SOLFIN"/>
    <s v="SOLFIN"/>
    <s v="CCMS"/>
    <n v="21318994"/>
    <n v="24673.81"/>
    <m/>
    <s v="N"/>
    <n v="135"/>
    <d v="2023-07-03T19:02:06"/>
    <s v="Y"/>
    <s v="Preparation - other"/>
    <s v="Care Remuneration Hourly Rates"/>
    <s v="Profit Cost"/>
    <s v="KH"/>
    <s v="Y"/>
    <n v="42.06"/>
    <n v="8.41"/>
    <x v="3"/>
    <s v="VALIDATED"/>
    <n v="1"/>
    <s v="01.11.80.308.6100.0000"/>
    <n v="42.06"/>
    <s v="11"/>
    <s v="6100"/>
    <n v="16530.18"/>
    <n v="42.06"/>
    <s v="CREDITOR"/>
    <n v="0"/>
    <n v="0"/>
    <n v="0"/>
    <n v="0"/>
    <n v="42.06"/>
  </r>
  <r>
    <n v="56259501"/>
    <s v="N"/>
    <n v="21318994"/>
    <s v="3000013358530013"/>
    <s v="CIVIL"/>
    <d v="2023-06-23T00:00:00"/>
    <d v="2023-07-03T19:01:49"/>
    <m/>
    <d v="2023-07-03T00:00:00"/>
    <n v="1189"/>
    <n v="3302"/>
    <s v="56259501"/>
    <s v="56259501"/>
    <m/>
    <m/>
    <n v="22754782"/>
    <m/>
    <m/>
    <m/>
    <s v="SOLFIN"/>
    <s v="SOLFIN"/>
    <s v="CCMS"/>
    <n v="21318994"/>
    <n v="24673.81"/>
    <m/>
    <s v="N"/>
    <n v="102"/>
    <d v="2023-07-03T19:02:06"/>
    <s v="Y"/>
    <s v="Preparation - drafting application"/>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7"/>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67"/>
    <d v="2023-07-03T19:02:06"/>
    <s v="Y"/>
    <s v="Psychologist"/>
    <s v="Care Remuneration Hourly Rates"/>
    <s v="Expert Disbursement"/>
    <s v="XXX"/>
    <s v="Y"/>
    <n v="655.2"/>
    <n v="131.03"/>
    <x v="3"/>
    <s v="VALIDATED"/>
    <n v="1"/>
    <s v="01.11.80.308.6300.0000"/>
    <n v="655.2"/>
    <s v="11"/>
    <s v="6300"/>
    <n v="16530.18"/>
    <n v="655.2"/>
    <s v="CREDITOR"/>
    <n v="0"/>
    <n v="0"/>
    <n v="0"/>
    <n v="0"/>
    <n v="655.2"/>
  </r>
  <r>
    <n v="56259501"/>
    <s v="N"/>
    <n v="21318994"/>
    <s v="3000013358530013"/>
    <s v="CIVIL"/>
    <d v="2023-06-23T00:00:00"/>
    <d v="2023-07-03T19:01:49"/>
    <m/>
    <d v="2023-07-03T00:00:00"/>
    <n v="1189"/>
    <n v="3302"/>
    <s v="56259501"/>
    <s v="56259501"/>
    <m/>
    <m/>
    <n v="22754782"/>
    <m/>
    <m/>
    <m/>
    <s v="SOLFIN"/>
    <s v="SOLFIN"/>
    <s v="CCMS"/>
    <n v="21318994"/>
    <n v="24673.81"/>
    <m/>
    <s v="N"/>
    <n v="192"/>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73"/>
    <d v="2023-07-03T19:02:06"/>
    <s v="Y"/>
    <s v="Preparation - other"/>
    <s v="Care Remuneration Hourly Rates"/>
    <s v="Profit Cost"/>
    <s v="KH"/>
    <s v="Y"/>
    <n v="131.43"/>
    <n v="26.28"/>
    <x v="3"/>
    <s v="VALIDATED"/>
    <n v="1"/>
    <s v="01.11.80.308.6100.0000"/>
    <n v="131.43"/>
    <s v="11"/>
    <s v="6100"/>
    <n v="16530.18"/>
    <n v="131.43"/>
    <s v="CREDITOR"/>
    <n v="0"/>
    <n v="0"/>
    <n v="0"/>
    <n v="0"/>
    <n v="131.43"/>
  </r>
  <r>
    <n v="56259501"/>
    <s v="N"/>
    <n v="21318994"/>
    <s v="3000013358530013"/>
    <s v="CIVIL"/>
    <d v="2023-06-23T00:00:00"/>
    <d v="2023-07-03T19:01:49"/>
    <m/>
    <d v="2023-07-03T00:00:00"/>
    <n v="1189"/>
    <n v="3302"/>
    <s v="56259501"/>
    <s v="56259501"/>
    <m/>
    <m/>
    <n v="22754782"/>
    <m/>
    <m/>
    <m/>
    <s v="SOLFIN"/>
    <s v="SOLFIN"/>
    <s v="CCMS"/>
    <n v="21318994"/>
    <n v="24673.81"/>
    <m/>
    <s v="N"/>
    <n v="138"/>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55"/>
    <d v="2023-07-03T19:02:06"/>
    <s v="Y"/>
    <s v="Routine Telephone Call"/>
    <s v="Care Remuneration Hourly Rates"/>
    <s v="Profit Cost"/>
    <s v="KH"/>
    <s v="Y"/>
    <n v="59.04"/>
    <n v="11.81"/>
    <x v="3"/>
    <s v="VALIDATED"/>
    <n v="1"/>
    <s v="01.11.80.308.6100.0000"/>
    <n v="59.04"/>
    <s v="11"/>
    <s v="6100"/>
    <n v="16530.18"/>
    <n v="59.04"/>
    <s v="CREDITOR"/>
    <n v="0"/>
    <n v="0"/>
    <n v="0"/>
    <n v="0"/>
    <n v="59.04"/>
  </r>
  <r>
    <n v="56259501"/>
    <s v="N"/>
    <n v="21318994"/>
    <s v="3000013358530013"/>
    <s v="CIVIL"/>
    <d v="2023-06-23T00:00:00"/>
    <d v="2023-07-03T19:01:49"/>
    <m/>
    <d v="2023-07-03T00:00:00"/>
    <n v="1189"/>
    <n v="3302"/>
    <s v="56259501"/>
    <s v="56259501"/>
    <m/>
    <m/>
    <n v="22754782"/>
    <m/>
    <m/>
    <m/>
    <s v="SOLFIN"/>
    <s v="SOLFIN"/>
    <s v="CCMS"/>
    <n v="21318994"/>
    <n v="24673.81"/>
    <m/>
    <s v="N"/>
    <n v="196"/>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13"/>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09"/>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32"/>
    <d v="2023-07-03T19:02:06"/>
    <s v="Y"/>
    <s v="Preparation - other"/>
    <s v="Care Remuneration Hourly Rates"/>
    <s v="Profit Cost"/>
    <s v="KH"/>
    <s v="Y"/>
    <n v="36.8"/>
    <n v="7.36"/>
    <x v="3"/>
    <s v="VALIDATED"/>
    <n v="1"/>
    <s v="01.11.80.308.6100.0000"/>
    <n v="36.8"/>
    <s v="11"/>
    <s v="6100"/>
    <n v="16530.18"/>
    <n v="36.8"/>
    <s v="CREDITOR"/>
    <n v="0"/>
    <n v="0"/>
    <n v="0"/>
    <n v="0"/>
    <n v="36.8"/>
  </r>
  <r>
    <n v="56259501"/>
    <s v="N"/>
    <n v="21318994"/>
    <s v="3000013358530013"/>
    <s v="CIVIL"/>
    <d v="2023-06-23T00:00:00"/>
    <d v="2023-07-03T19:01:49"/>
    <m/>
    <d v="2023-07-03T00:00:00"/>
    <n v="1189"/>
    <n v="3302"/>
    <s v="56259501"/>
    <s v="56259501"/>
    <m/>
    <m/>
    <n v="22754782"/>
    <m/>
    <m/>
    <m/>
    <s v="SOLFIN"/>
    <s v="SOLFIN"/>
    <s v="CCMS"/>
    <n v="21318994"/>
    <n v="24673.81"/>
    <m/>
    <s v="N"/>
    <n v="101"/>
    <d v="2023-07-03T19:02:06"/>
    <s v="Y"/>
    <s v="Preparation - other"/>
    <s v="Care Remuneration Hourly Rates"/>
    <s v="Profit Cost"/>
    <s v="KH"/>
    <s v="Y"/>
    <n v="84.11"/>
    <n v="16.82"/>
    <x v="3"/>
    <s v="VALIDATED"/>
    <n v="1"/>
    <s v="01.11.80.308.6100.0000"/>
    <n v="84.11"/>
    <s v="11"/>
    <s v="6100"/>
    <n v="16530.18"/>
    <n v="84.11"/>
    <s v="CREDITOR"/>
    <n v="0"/>
    <n v="0"/>
    <n v="0"/>
    <n v="0"/>
    <n v="84.11"/>
  </r>
  <r>
    <n v="56259501"/>
    <s v="N"/>
    <n v="21318994"/>
    <s v="3000013358530013"/>
    <s v="CIVIL"/>
    <d v="2023-06-23T00:00:00"/>
    <d v="2023-07-03T19:01:49"/>
    <m/>
    <d v="2023-07-03T00:00:00"/>
    <n v="1189"/>
    <n v="3302"/>
    <s v="56259501"/>
    <s v="56259501"/>
    <m/>
    <m/>
    <n v="22754782"/>
    <m/>
    <m/>
    <m/>
    <s v="SOLFIN"/>
    <s v="SOLFIN"/>
    <s v="CCMS"/>
    <n v="21318994"/>
    <n v="24673.81"/>
    <m/>
    <s v="N"/>
    <n v="147"/>
    <d v="2023-07-03T19:02:06"/>
    <s v="Y"/>
    <s v="Preparation - other"/>
    <s v="Care Remuneration Hourly Rates"/>
    <s v="Profit Cost"/>
    <s v="KH"/>
    <s v="Y"/>
    <n v="10.51"/>
    <n v="2.1"/>
    <x v="3"/>
    <s v="VALIDATED"/>
    <n v="1"/>
    <s v="01.11.80.308.6100.0000"/>
    <n v="10.51"/>
    <s v="11"/>
    <s v="6100"/>
    <n v="16530.18"/>
    <n v="10.51"/>
    <s v="CREDITOR"/>
    <n v="0"/>
    <n v="0"/>
    <n v="0"/>
    <n v="0"/>
    <n v="10.51"/>
  </r>
  <r>
    <n v="61146005"/>
    <s v="N"/>
    <n v="21318375"/>
    <s v="3000015330130004"/>
    <s v="CIVIL"/>
    <d v="2023-06-19T00:00:00"/>
    <d v="2023-07-03T19:01:49"/>
    <m/>
    <d v="2023-07-03T00:00:00"/>
    <n v="1189"/>
    <n v="3302"/>
    <s v="61146005"/>
    <s v="61146005"/>
    <m/>
    <m/>
    <n v="22714856"/>
    <m/>
    <m/>
    <m/>
    <s v="SOLFIN"/>
    <s v="SOLFIN"/>
    <s v="CCMS"/>
    <n v="21318375"/>
    <n v="5722.3"/>
    <m/>
    <s v="N"/>
    <n v="5"/>
    <d v="2023-07-03T19:01:54"/>
    <s v="Y"/>
    <s v="Court Fee"/>
    <s v="Public Law Children"/>
    <s v="Non Expert Disbursement"/>
    <s v="Katy Hanson"/>
    <s v="Y"/>
    <n v="53"/>
    <n v="0"/>
    <x v="3"/>
    <s v="VALIDATED"/>
    <n v="1"/>
    <s v="01.11.80.308.6300.0000"/>
    <n v="53"/>
    <s v="11"/>
    <s v="6300"/>
    <n v="16530.18"/>
    <n v="53"/>
    <s v="CREDITOR"/>
    <n v="0"/>
    <n v="0"/>
    <n v="0"/>
    <n v="0"/>
    <n v="53"/>
  </r>
  <r>
    <n v="56259501"/>
    <s v="N"/>
    <n v="21318994"/>
    <s v="3000013358530013"/>
    <s v="CIVIL"/>
    <d v="2023-06-23T00:00:00"/>
    <d v="2023-07-03T19:01:49"/>
    <m/>
    <d v="2023-07-03T00:00:00"/>
    <n v="1189"/>
    <n v="3302"/>
    <s v="56259501"/>
    <s v="56259501"/>
    <m/>
    <m/>
    <n v="22754782"/>
    <m/>
    <m/>
    <m/>
    <s v="SOLFIN"/>
    <s v="SOLFIN"/>
    <s v="CCMS"/>
    <n v="21318994"/>
    <n v="24673.81"/>
    <m/>
    <s v="N"/>
    <n v="184"/>
    <d v="2023-07-03T19:02:06"/>
    <s v="Y"/>
    <s v="Attendance upon client"/>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244"/>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20"/>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218"/>
    <d v="2023-07-03T19:02:06"/>
    <s v="Y"/>
    <s v="Preparation - other"/>
    <s v="Care Remuneration Hourly Rates"/>
    <s v="Profit Cost"/>
    <s v="KH"/>
    <s v="Y"/>
    <n v="89.37"/>
    <n v="17.87"/>
    <x v="3"/>
    <s v="VALIDATED"/>
    <n v="1"/>
    <s v="01.11.80.308.6100.0000"/>
    <n v="89.37"/>
    <s v="11"/>
    <s v="6100"/>
    <n v="16530.18"/>
    <n v="89.37"/>
    <s v="CREDITOR"/>
    <n v="0"/>
    <n v="0"/>
    <n v="0"/>
    <n v="0"/>
    <n v="89.37"/>
  </r>
  <r>
    <n v="56259501"/>
    <s v="N"/>
    <n v="21318994"/>
    <s v="3000013358530013"/>
    <s v="CIVIL"/>
    <d v="2023-06-23T00:00:00"/>
    <d v="2023-07-03T19:01:49"/>
    <m/>
    <d v="2023-07-03T00:00:00"/>
    <n v="1189"/>
    <n v="3302"/>
    <s v="56259501"/>
    <s v="56259501"/>
    <m/>
    <m/>
    <n v="22754782"/>
    <m/>
    <m/>
    <m/>
    <s v="SOLFIN"/>
    <s v="SOLFIN"/>
    <s v="CCMS"/>
    <n v="21318994"/>
    <n v="24673.81"/>
    <m/>
    <s v="N"/>
    <n v="187"/>
    <d v="2023-07-03T19:02:06"/>
    <s v="Y"/>
    <s v="Preparation - other"/>
    <s v="Care Remuneration Hourly Rates"/>
    <s v="Profit Cost"/>
    <s v="KH"/>
    <s v="Y"/>
    <n v="63.08"/>
    <n v="12.62"/>
    <x v="3"/>
    <s v="VALIDATED"/>
    <n v="1"/>
    <s v="01.11.80.308.6100.0000"/>
    <n v="63.08"/>
    <s v="11"/>
    <s v="6100"/>
    <n v="16530.18"/>
    <n v="63.08"/>
    <s v="CREDITOR"/>
    <n v="0"/>
    <n v="0"/>
    <n v="0"/>
    <n v="0"/>
    <n v="63.08"/>
  </r>
  <r>
    <n v="56259501"/>
    <s v="N"/>
    <n v="21318994"/>
    <s v="3000013358530013"/>
    <s v="CIVIL"/>
    <d v="2023-06-23T00:00:00"/>
    <d v="2023-07-03T19:01:49"/>
    <m/>
    <d v="2023-07-03T00:00:00"/>
    <n v="1189"/>
    <n v="3302"/>
    <s v="56259501"/>
    <s v="56259501"/>
    <m/>
    <m/>
    <n v="22754782"/>
    <m/>
    <m/>
    <m/>
    <s v="SOLFIN"/>
    <s v="SOLFIN"/>
    <s v="CCMS"/>
    <n v="21318994"/>
    <n v="24673.81"/>
    <m/>
    <s v="N"/>
    <n v="257"/>
    <d v="2023-07-03T19:02:06"/>
    <s v="Y"/>
    <s v="Routine Letter In"/>
    <s v="Care Remuneration Hourly Rates"/>
    <s v="Profit Cost"/>
    <s v="KH"/>
    <s v="Y"/>
    <n v="1526.25"/>
    <n v="305.23"/>
    <x v="3"/>
    <s v="VALIDATED"/>
    <n v="1"/>
    <s v="01.11.80.308.6100.0000"/>
    <n v="1526.25"/>
    <s v="11"/>
    <s v="6100"/>
    <n v="16530.18"/>
    <n v="1526.25"/>
    <s v="CREDITOR"/>
    <n v="0"/>
    <n v="0"/>
    <n v="0"/>
    <n v="0"/>
    <n v="1526.25"/>
  </r>
  <r>
    <n v="56259501"/>
    <s v="N"/>
    <n v="21318994"/>
    <s v="3000013358530013"/>
    <s v="CIVIL"/>
    <d v="2023-06-23T00:00:00"/>
    <d v="2023-07-03T19:01:49"/>
    <m/>
    <d v="2023-07-03T00:00:00"/>
    <n v="1189"/>
    <n v="3302"/>
    <s v="56259501"/>
    <s v="56259501"/>
    <m/>
    <m/>
    <n v="22754782"/>
    <m/>
    <m/>
    <m/>
    <s v="SOLFIN"/>
    <s v="SOLFIN"/>
    <s v="CCMS"/>
    <n v="21318994"/>
    <n v="24673.81"/>
    <m/>
    <s v="N"/>
    <n v="61"/>
    <d v="2023-07-03T19:02:06"/>
    <s v="Y"/>
    <s v="Preparation - other"/>
    <s v="Care Remuneration Hourly Rates"/>
    <s v="Profit Cost"/>
    <s v="KH"/>
    <s v="Y"/>
    <n v="57.1"/>
    <n v="11.42"/>
    <x v="3"/>
    <s v="VALIDATED"/>
    <n v="1"/>
    <s v="01.11.80.308.6100.0000"/>
    <n v="57.1"/>
    <s v="11"/>
    <s v="6100"/>
    <n v="16530.18"/>
    <n v="57.1"/>
    <s v="CREDITOR"/>
    <n v="0"/>
    <n v="0"/>
    <n v="0"/>
    <n v="0"/>
    <n v="57.1"/>
  </r>
  <r>
    <n v="56259501"/>
    <s v="N"/>
    <n v="21318994"/>
    <s v="3000013358530013"/>
    <s v="CIVIL"/>
    <d v="2023-06-23T00:00:00"/>
    <d v="2023-07-03T19:01:49"/>
    <m/>
    <d v="2023-07-03T00:00:00"/>
    <n v="1189"/>
    <n v="3302"/>
    <s v="56259501"/>
    <s v="56259501"/>
    <m/>
    <m/>
    <n v="22754782"/>
    <m/>
    <m/>
    <m/>
    <s v="SOLFIN"/>
    <s v="SOLFIN"/>
    <s v="CCMS"/>
    <n v="21318994"/>
    <n v="24673.81"/>
    <m/>
    <s v="N"/>
    <n v="36"/>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29"/>
    <d v="2023-07-03T19:02:06"/>
    <s v="Y"/>
    <s v="Attendance upon client"/>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67"/>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4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4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3"/>
    <d v="2023-07-03T19:02:06"/>
    <s v="N"/>
    <s v="Preparation - other"/>
    <s v="Care Remuneration Hourly Rates"/>
    <s v="Profit Cost"/>
    <s v="KH"/>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43"/>
    <d v="2023-07-03T19:02:06"/>
    <s v="Y"/>
    <s v="Preparation - other"/>
    <s v="Care Remuneration Hourly Rates"/>
    <s v="Profit Cost"/>
    <s v="KH"/>
    <s v="Y"/>
    <n v="31.54"/>
    <n v="6.31"/>
    <x v="3"/>
    <s v="VALIDATED"/>
    <n v="1"/>
    <s v="01.11.80.308.6100.0000"/>
    <n v="31.54"/>
    <s v="11"/>
    <s v="6100"/>
    <n v="16530.18"/>
    <n v="31.54"/>
    <s v="CREDITOR"/>
    <n v="0"/>
    <n v="0"/>
    <n v="0"/>
    <n v="0"/>
    <n v="31.54"/>
  </r>
  <r>
    <n v="56259501"/>
    <s v="N"/>
    <n v="21318994"/>
    <s v="3000013358530013"/>
    <s v="CIVIL"/>
    <d v="2023-06-23T00:00:00"/>
    <d v="2023-07-03T19:01:49"/>
    <m/>
    <d v="2023-07-03T00:00:00"/>
    <n v="1189"/>
    <n v="3302"/>
    <s v="56259501"/>
    <s v="56259501"/>
    <m/>
    <m/>
    <n v="22754782"/>
    <m/>
    <m/>
    <m/>
    <s v="SOLFIN"/>
    <s v="SOLFIN"/>
    <s v="CCMS"/>
    <n v="21318994"/>
    <n v="24673.81"/>
    <m/>
    <s v="N"/>
    <n v="39"/>
    <d v="2023-07-03T19:02:06"/>
    <s v="N"/>
    <s v="Preparation - other"/>
    <s v="Care Remuneration Hourly Rates"/>
    <s v="Profit Cost"/>
    <s v="KH"/>
    <s v="N"/>
    <n v="131.43"/>
    <n v="26.28"/>
    <x v="3"/>
    <s v="VALIDATED"/>
    <n v="1"/>
    <s v="01.11.80.308.6100.0000"/>
    <n v="131.43"/>
    <s v="11"/>
    <s v="6100"/>
    <n v="16530.18"/>
    <n v="131.43"/>
    <s v="CREDITOR"/>
    <n v="0"/>
    <n v="0"/>
    <n v="0"/>
    <n v="0"/>
    <n v="131.43"/>
  </r>
  <r>
    <n v="56259501"/>
    <s v="N"/>
    <n v="21318994"/>
    <s v="3000013358530013"/>
    <s v="CIVIL"/>
    <d v="2023-06-23T00:00:00"/>
    <d v="2023-07-03T19:01:49"/>
    <m/>
    <d v="2023-07-03T00:00:00"/>
    <n v="1189"/>
    <n v="3302"/>
    <s v="56259501"/>
    <s v="56259501"/>
    <m/>
    <m/>
    <n v="22754782"/>
    <m/>
    <m/>
    <m/>
    <s v="SOLFIN"/>
    <s v="SOLFIN"/>
    <s v="CCMS"/>
    <n v="21318994"/>
    <n v="24673.81"/>
    <m/>
    <s v="N"/>
    <n v="221"/>
    <d v="2023-07-03T19:02:06"/>
    <s v="Y"/>
    <s v="Preparation - other"/>
    <s v="Care Remuneration Hourly Rates"/>
    <s v="Profit Cost"/>
    <s v="KH"/>
    <s v="Y"/>
    <n v="31.54"/>
    <n v="6.31"/>
    <x v="3"/>
    <s v="VALIDATED"/>
    <n v="1"/>
    <s v="01.11.80.308.6100.0000"/>
    <n v="31.54"/>
    <s v="11"/>
    <s v="6100"/>
    <n v="16530.18"/>
    <n v="31.54"/>
    <s v="CREDITOR"/>
    <n v="0"/>
    <n v="0"/>
    <n v="0"/>
    <n v="0"/>
    <n v="31.54"/>
  </r>
  <r>
    <n v="56259501"/>
    <s v="N"/>
    <n v="21318994"/>
    <s v="3000013358530013"/>
    <s v="CIVIL"/>
    <d v="2023-06-23T00:00:00"/>
    <d v="2023-07-03T19:01:49"/>
    <m/>
    <d v="2023-07-03T00:00:00"/>
    <n v="1189"/>
    <n v="3302"/>
    <s v="56259501"/>
    <s v="56259501"/>
    <m/>
    <m/>
    <n v="22754782"/>
    <m/>
    <m/>
    <m/>
    <s v="SOLFIN"/>
    <s v="SOLFIN"/>
    <s v="CCMS"/>
    <n v="21318994"/>
    <n v="24673.81"/>
    <m/>
    <s v="N"/>
    <n v="190"/>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62"/>
    <d v="2023-07-03T19:02:06"/>
    <s v="N"/>
    <s v="Preparation - other"/>
    <s v="Care Remuneration Hourly Rates"/>
    <s v="Profit Cost"/>
    <s v="KH"/>
    <s v="N"/>
    <n v="90.09999999999999"/>
    <n v="18.02"/>
    <x v="3"/>
    <s v="VALIDATED"/>
    <n v="1"/>
    <s v="01.11.80.308.6100.0000"/>
    <n v="90.09999999999999"/>
    <s v="11"/>
    <s v="6100"/>
    <n v="16530.18"/>
    <n v="90.09999999999999"/>
    <s v="CREDITOR"/>
    <n v="0"/>
    <n v="0"/>
    <n v="0"/>
    <n v="0"/>
    <n v="90.09999999999999"/>
  </r>
  <r>
    <n v="56259501"/>
    <s v="N"/>
    <n v="21318994"/>
    <s v="3000013358530013"/>
    <s v="CIVIL"/>
    <d v="2023-06-23T00:00:00"/>
    <d v="2023-07-03T19:01:49"/>
    <m/>
    <d v="2023-07-03T00:00:00"/>
    <n v="1189"/>
    <n v="3302"/>
    <s v="56259501"/>
    <s v="56259501"/>
    <m/>
    <m/>
    <n v="22754782"/>
    <m/>
    <m/>
    <m/>
    <s v="SOLFIN"/>
    <s v="SOLFIN"/>
    <s v="CCMS"/>
    <n v="21318994"/>
    <n v="24673.81"/>
    <m/>
    <s v="N"/>
    <n v="33"/>
    <d v="2023-07-03T19:02:06"/>
    <s v="N"/>
    <s v="Preparation - other"/>
    <s v="Care Remuneration Hourly Rates"/>
    <s v="Profit Cost"/>
    <s v="KH"/>
    <s v="N"/>
    <n v="78.86"/>
    <n v="15.77"/>
    <x v="3"/>
    <s v="VALIDATED"/>
    <n v="1"/>
    <s v="01.11.80.308.6100.0000"/>
    <n v="78.86"/>
    <s v="11"/>
    <s v="6100"/>
    <n v="16530.18"/>
    <n v="78.86"/>
    <s v="CREDITOR"/>
    <n v="0"/>
    <n v="0"/>
    <n v="0"/>
    <n v="0"/>
    <n v="78.86"/>
  </r>
  <r>
    <n v="56259501"/>
    <s v="N"/>
    <n v="21318994"/>
    <s v="3000013358530013"/>
    <s v="CIVIL"/>
    <d v="2023-06-23T00:00:00"/>
    <d v="2023-07-03T19:01:49"/>
    <m/>
    <d v="2023-07-03T00:00:00"/>
    <n v="1189"/>
    <n v="3302"/>
    <s v="56259501"/>
    <s v="56259501"/>
    <m/>
    <m/>
    <n v="22754782"/>
    <m/>
    <m/>
    <m/>
    <s v="SOLFIN"/>
    <s v="SOLFIN"/>
    <s v="CCMS"/>
    <n v="21318994"/>
    <n v="24673.81"/>
    <m/>
    <s v="N"/>
    <n v="115"/>
    <d v="2023-07-03T19:02:06"/>
    <s v="Y"/>
    <s v="Preparation - other"/>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18"/>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53"/>
    <d v="2023-07-03T19:02:06"/>
    <s v="Y"/>
    <s v="Preparation - drafting bill/claim f"/>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99"/>
    <d v="2023-07-03T19:02:06"/>
    <s v="Y"/>
    <s v="Preparation - other"/>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166"/>
    <d v="2023-07-03T19:02:06"/>
    <s v="Y"/>
    <s v="Preparation - other"/>
    <s v="Care Remuneration Hourly Rates"/>
    <s v="Profit Cost"/>
    <s v="KH"/>
    <s v="Y"/>
    <n v="36.8"/>
    <n v="7.36"/>
    <x v="3"/>
    <s v="VALIDATED"/>
    <n v="1"/>
    <s v="01.11.80.308.6100.0000"/>
    <n v="36.8"/>
    <s v="11"/>
    <s v="6100"/>
    <n v="16530.18"/>
    <n v="36.8"/>
    <s v="CREDITOR"/>
    <n v="0"/>
    <n v="0"/>
    <n v="0"/>
    <n v="0"/>
    <n v="36.8"/>
  </r>
  <r>
    <n v="56259501"/>
    <s v="N"/>
    <n v="21318994"/>
    <s v="3000013358530013"/>
    <s v="CIVIL"/>
    <d v="2023-06-23T00:00:00"/>
    <d v="2023-07-03T19:01:49"/>
    <m/>
    <d v="2023-07-03T00:00:00"/>
    <n v="1189"/>
    <n v="3302"/>
    <s v="56259501"/>
    <s v="56259501"/>
    <m/>
    <m/>
    <n v="22754782"/>
    <m/>
    <m/>
    <m/>
    <s v="SOLFIN"/>
    <s v="SOLFIN"/>
    <s v="CCMS"/>
    <n v="21318994"/>
    <n v="24673.81"/>
    <m/>
    <s v="N"/>
    <n v="212"/>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41"/>
    <d v="2023-07-03T19:02:06"/>
    <s v="Y"/>
    <s v="Attendance upon client"/>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63"/>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28"/>
    <d v="2023-07-03T19:02:06"/>
    <s v="N"/>
    <s v="Attendance upon client"/>
    <s v="Care Remuneration Hourly Rates"/>
    <s v="Profit Cost"/>
    <s v="KH"/>
    <s v="N"/>
    <n v="47.31"/>
    <n v="9.460000000000001"/>
    <x v="3"/>
    <s v="VALIDATED"/>
    <n v="1"/>
    <s v="01.11.80.308.6100.0000"/>
    <n v="47.31"/>
    <s v="11"/>
    <s v="6100"/>
    <n v="16530.18"/>
    <n v="47.31"/>
    <s v="CREDITOR"/>
    <n v="0"/>
    <n v="0"/>
    <n v="0"/>
    <n v="0"/>
    <n v="47.31"/>
  </r>
  <r>
    <n v="56259501"/>
    <s v="N"/>
    <n v="21318994"/>
    <s v="3000013358530013"/>
    <s v="CIVIL"/>
    <d v="2023-06-23T00:00:00"/>
    <d v="2023-07-03T19:01:49"/>
    <m/>
    <d v="2023-07-03T00:00:00"/>
    <n v="1189"/>
    <n v="3302"/>
    <s v="56259501"/>
    <s v="56259501"/>
    <m/>
    <m/>
    <n v="22754782"/>
    <m/>
    <m/>
    <m/>
    <s v="SOLFIN"/>
    <s v="SOLFIN"/>
    <s v="CCMS"/>
    <n v="21318994"/>
    <n v="24673.81"/>
    <m/>
    <s v="N"/>
    <n v="119"/>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210"/>
    <d v="2023-07-03T19:02:06"/>
    <s v="Y"/>
    <s v="Attendance upon client"/>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248"/>
    <d v="2023-07-03T19:02:06"/>
    <s v="Y"/>
    <s v="Preparation - other"/>
    <s v="Care Remuneration Hourly Rates"/>
    <s v="Profit Cost"/>
    <s v="KH"/>
    <s v="Y"/>
    <n v="36.8"/>
    <n v="7.36"/>
    <x v="3"/>
    <s v="VALIDATED"/>
    <n v="1"/>
    <s v="01.11.80.308.6100.0000"/>
    <n v="36.8"/>
    <s v="11"/>
    <s v="6100"/>
    <n v="16530.18"/>
    <n v="36.8"/>
    <s v="CREDITOR"/>
    <n v="0"/>
    <n v="0"/>
    <n v="0"/>
    <n v="0"/>
    <n v="36.8"/>
  </r>
  <r>
    <n v="56259501"/>
    <s v="N"/>
    <n v="21318994"/>
    <s v="3000013358530013"/>
    <s v="CIVIL"/>
    <d v="2023-06-23T00:00:00"/>
    <d v="2023-07-03T19:01:49"/>
    <m/>
    <d v="2023-07-03T00:00:00"/>
    <n v="1189"/>
    <n v="3302"/>
    <s v="56259501"/>
    <s v="56259501"/>
    <m/>
    <m/>
    <n v="22754782"/>
    <m/>
    <m/>
    <m/>
    <s v="SOLFIN"/>
    <s v="SOLFIN"/>
    <s v="CCMS"/>
    <n v="21318994"/>
    <n v="24673.81"/>
    <m/>
    <s v="N"/>
    <n v="268"/>
    <d v="2023-07-03T19:02:06"/>
    <s v="Y"/>
    <s v="Psychologist"/>
    <s v="Care Remuneration Hourly Rates"/>
    <s v="Expert Disbursement"/>
    <s v="XXX"/>
    <s v="Y"/>
    <n v="2143.92"/>
    <n v="428.76"/>
    <x v="3"/>
    <s v="VALIDATED"/>
    <n v="1"/>
    <s v="01.11.80.308.6300.0000"/>
    <n v="2143.92"/>
    <s v="11"/>
    <s v="6300"/>
    <n v="16530.18"/>
    <n v="2143.92"/>
    <s v="CREDITOR"/>
    <n v="0"/>
    <n v="0"/>
    <n v="0"/>
    <n v="0"/>
    <n v="2143.92"/>
  </r>
  <r>
    <n v="56259501"/>
    <s v="N"/>
    <n v="21318994"/>
    <s v="3000013358530013"/>
    <s v="CIVIL"/>
    <d v="2023-06-23T00:00:00"/>
    <d v="2023-07-03T19:01:49"/>
    <m/>
    <d v="2023-07-03T00:00:00"/>
    <n v="1189"/>
    <n v="3302"/>
    <s v="56259501"/>
    <s v="56259501"/>
    <m/>
    <m/>
    <n v="22754782"/>
    <m/>
    <m/>
    <m/>
    <s v="SOLFIN"/>
    <s v="SOLFIN"/>
    <s v="CCMS"/>
    <n v="21318994"/>
    <n v="24673.81"/>
    <m/>
    <s v="N"/>
    <n v="4"/>
    <d v="2023-07-03T19:02:06"/>
    <s v="N"/>
    <s v="Preparation - other"/>
    <s v="Care Remuneration Hourly Rates"/>
    <s v="Profit Cost"/>
    <s v="KH"/>
    <s v="N"/>
    <n v="68.34"/>
    <n v="13.67"/>
    <x v="3"/>
    <s v="VALIDATED"/>
    <n v="1"/>
    <s v="01.11.80.308.6100.0000"/>
    <n v="68.34"/>
    <s v="11"/>
    <s v="6100"/>
    <n v="16530.18"/>
    <n v="68.34"/>
    <s v="CREDITOR"/>
    <n v="0"/>
    <n v="0"/>
    <n v="0"/>
    <n v="0"/>
    <n v="68.34"/>
  </r>
  <r>
    <n v="56259501"/>
    <s v="N"/>
    <n v="21318994"/>
    <s v="3000013358530013"/>
    <s v="CIVIL"/>
    <d v="2023-06-23T00:00:00"/>
    <d v="2023-07-03T19:01:49"/>
    <m/>
    <d v="2023-07-03T00:00:00"/>
    <n v="1189"/>
    <n v="3302"/>
    <s v="56259501"/>
    <s v="56259501"/>
    <m/>
    <m/>
    <n v="22754782"/>
    <m/>
    <m/>
    <m/>
    <s v="SOLFIN"/>
    <s v="SOLFIN"/>
    <s v="CCMS"/>
    <n v="21318994"/>
    <n v="24673.81"/>
    <m/>
    <s v="N"/>
    <n v="80"/>
    <d v="2023-07-03T19:02:06"/>
    <s v="Y"/>
    <s v="Preparation - other"/>
    <s v="Care Remuneration Hourly Rates"/>
    <s v="Profit Cost"/>
    <s v="KH"/>
    <s v="Y"/>
    <n v="63.08"/>
    <n v="12.62"/>
    <x v="3"/>
    <s v="VALIDATED"/>
    <n v="1"/>
    <s v="01.11.80.308.6100.0000"/>
    <n v="63.08"/>
    <s v="11"/>
    <s v="6100"/>
    <n v="16530.18"/>
    <n v="63.08"/>
    <s v="CREDITOR"/>
    <n v="0"/>
    <n v="0"/>
    <n v="0"/>
    <n v="0"/>
    <n v="63.08"/>
  </r>
  <r>
    <n v="56259501"/>
    <s v="N"/>
    <n v="21318994"/>
    <s v="3000013358530013"/>
    <s v="CIVIL"/>
    <d v="2023-06-23T00:00:00"/>
    <d v="2023-07-03T19:01:49"/>
    <m/>
    <d v="2023-07-03T00:00:00"/>
    <n v="1189"/>
    <n v="3302"/>
    <s v="56259501"/>
    <s v="56259501"/>
    <m/>
    <m/>
    <n v="22754782"/>
    <m/>
    <m/>
    <m/>
    <s v="SOLFIN"/>
    <s v="SOLFIN"/>
    <s v="CCMS"/>
    <n v="21318994"/>
    <n v="24673.81"/>
    <m/>
    <s v="N"/>
    <n v="236"/>
    <d v="2023-07-03T19:02:06"/>
    <s v="Y"/>
    <s v="Preparation - other"/>
    <s v="Care Remuneration Hourly Rates"/>
    <s v="Profit Cost"/>
    <s v="RN"/>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49"/>
    <d v="2023-07-03T19:02:06"/>
    <s v="N"/>
    <s v="Preparation - other"/>
    <s v="Care Remuneration Hourly Rates"/>
    <s v="Profit Cost"/>
    <s v="KH"/>
    <s v="N"/>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31"/>
    <d v="2023-07-03T19:02:06"/>
    <s v="N"/>
    <s v="Preparation - other"/>
    <s v="Care Remuneration Hourly Rates"/>
    <s v="Profit Cost"/>
    <s v="LB"/>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16"/>
    <d v="2023-07-03T19:02:06"/>
    <s v="Y"/>
    <s v="Attendance upon client"/>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223"/>
    <d v="2023-07-03T19:02:06"/>
    <s v="Y"/>
    <s v="Preparation - other"/>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126"/>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46"/>
    <d v="2023-07-03T19:02:06"/>
    <s v="N"/>
    <s v="Preparation - other"/>
    <s v="Care Remuneration Hourly Rates"/>
    <s v="Profit Cost"/>
    <s v="KH"/>
    <s v="N"/>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148"/>
    <d v="2023-07-03T19:02:06"/>
    <s v="Y"/>
    <s v="Attendance upon client"/>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2"/>
    <d v="2023-07-03T19:02:06"/>
    <s v="N"/>
    <s v="Preparation - drafting application"/>
    <s v="Care Remuneration Hourly Rates"/>
    <s v="Profit Cost"/>
    <s v="KH"/>
    <s v="N"/>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161"/>
    <d v="2023-07-03T19:02:06"/>
    <s v="Y"/>
    <s v="Preparation - drafting instructions"/>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27"/>
    <d v="2023-07-03T19:02:06"/>
    <s v="N"/>
    <s v="Preparation - other"/>
    <s v="Care Remuneration Hourly Rates"/>
    <s v="Profit Cost"/>
    <s v="KH"/>
    <s v="N"/>
    <n v="78.86"/>
    <n v="15.77"/>
    <x v="3"/>
    <s v="VALIDATED"/>
    <n v="1"/>
    <s v="01.11.80.308.6100.0000"/>
    <n v="78.86"/>
    <s v="11"/>
    <s v="6100"/>
    <n v="16530.18"/>
    <n v="78.86"/>
    <s v="CREDITOR"/>
    <n v="0"/>
    <n v="0"/>
    <n v="0"/>
    <n v="0"/>
    <n v="78.86"/>
  </r>
  <r>
    <n v="56259501"/>
    <s v="N"/>
    <n v="21318994"/>
    <s v="3000013358530013"/>
    <s v="CIVIL"/>
    <d v="2023-06-23T00:00:00"/>
    <d v="2023-07-03T19:01:49"/>
    <m/>
    <d v="2023-07-03T00:00:00"/>
    <n v="1189"/>
    <n v="3302"/>
    <s v="56259501"/>
    <s v="56259501"/>
    <m/>
    <m/>
    <n v="22754782"/>
    <m/>
    <m/>
    <m/>
    <s v="SOLFIN"/>
    <s v="SOLFIN"/>
    <s v="CCMS"/>
    <n v="21318994"/>
    <n v="24673.81"/>
    <m/>
    <s v="N"/>
    <n v="176"/>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224"/>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225"/>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83"/>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85"/>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21"/>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43"/>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45"/>
    <d v="2023-07-03T19:02:06"/>
    <s v="N"/>
    <s v="Preparation - other"/>
    <s v="Care Remuneration Hourly Rates"/>
    <s v="Profit Cost"/>
    <s v="KH"/>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37"/>
    <d v="2023-07-03T19:02:06"/>
    <s v="N"/>
    <s v="Preparation - other"/>
    <s v="Care Remuneration Hourly Rates"/>
    <s v="Profit Cost"/>
    <s v="KH"/>
    <s v="N"/>
    <n v="47.31"/>
    <n v="9.460000000000001"/>
    <x v="3"/>
    <s v="VALIDATED"/>
    <n v="1"/>
    <s v="01.11.80.308.6100.0000"/>
    <n v="47.31"/>
    <s v="11"/>
    <s v="6100"/>
    <n v="16530.18"/>
    <n v="47.31"/>
    <s v="CREDITOR"/>
    <n v="0"/>
    <n v="0"/>
    <n v="0"/>
    <n v="0"/>
    <n v="47.31"/>
  </r>
  <r>
    <n v="56259501"/>
    <s v="N"/>
    <n v="21318994"/>
    <s v="3000013358530013"/>
    <s v="CIVIL"/>
    <d v="2023-06-23T00:00:00"/>
    <d v="2023-07-03T19:01:49"/>
    <m/>
    <d v="2023-07-03T00:00:00"/>
    <n v="1189"/>
    <n v="3302"/>
    <s v="56259501"/>
    <s v="56259501"/>
    <m/>
    <m/>
    <n v="22754782"/>
    <m/>
    <m/>
    <m/>
    <s v="SOLFIN"/>
    <s v="SOLFIN"/>
    <s v="CCMS"/>
    <n v="21318994"/>
    <n v="24673.81"/>
    <m/>
    <s v="N"/>
    <n v="226"/>
    <d v="2023-07-03T19:02:06"/>
    <s v="Y"/>
    <s v="Preparation - drafting application"/>
    <s v="Care Remuneration Hourly Rates"/>
    <s v="Profit Cost"/>
    <s v="LB"/>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193"/>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20"/>
    <d v="2023-07-03T19:02:06"/>
    <s v="Y"/>
    <s v="Preparation - other"/>
    <s v="Care Remuneration Hourly Rates"/>
    <s v="Profit Cost"/>
    <s v="KH"/>
    <s v="Y"/>
    <n v="36.8"/>
    <n v="7.36"/>
    <x v="3"/>
    <s v="VALIDATED"/>
    <n v="1"/>
    <s v="01.11.80.308.6100.0000"/>
    <n v="36.8"/>
    <s v="11"/>
    <s v="6100"/>
    <n v="16530.18"/>
    <n v="36.8"/>
    <s v="CREDITOR"/>
    <n v="0"/>
    <n v="0"/>
    <n v="0"/>
    <n v="0"/>
    <n v="36.8"/>
  </r>
  <r>
    <n v="56259501"/>
    <s v="N"/>
    <n v="21318994"/>
    <s v="3000013358530013"/>
    <s v="CIVIL"/>
    <d v="2023-06-23T00:00:00"/>
    <d v="2023-07-03T19:01:49"/>
    <m/>
    <d v="2023-07-03T00:00:00"/>
    <n v="1189"/>
    <n v="3302"/>
    <s v="56259501"/>
    <s v="56259501"/>
    <m/>
    <m/>
    <n v="22754782"/>
    <m/>
    <m/>
    <m/>
    <s v="SOLFIN"/>
    <s v="SOLFIN"/>
    <s v="CCMS"/>
    <n v="21318994"/>
    <n v="24673.81"/>
    <m/>
    <s v="N"/>
    <n v="164"/>
    <d v="2023-07-03T19:02:06"/>
    <s v="Y"/>
    <s v="Preparation - other"/>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88"/>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04"/>
    <d v="2023-07-03T19:02:06"/>
    <s v="Y"/>
    <s v="Preparation - other"/>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181"/>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05"/>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261"/>
    <d v="2023-07-03T19:02:06"/>
    <s v="Y"/>
    <s v="Court Fee"/>
    <s v="Care Remuneration Hourly Rates"/>
    <s v="Non Expert Disbursement"/>
    <s v="XXX"/>
    <s v="Y"/>
    <n v="167"/>
    <n v="0"/>
    <x v="3"/>
    <s v="VALIDATED"/>
    <n v="1"/>
    <s v="01.11.80.308.6300.0000"/>
    <n v="167"/>
    <s v="11"/>
    <s v="6300"/>
    <n v="16530.18"/>
    <n v="167"/>
    <s v="CREDITOR"/>
    <n v="0"/>
    <n v="0"/>
    <n v="0"/>
    <n v="0"/>
    <n v="167"/>
  </r>
  <r>
    <n v="56259501"/>
    <s v="N"/>
    <n v="21318994"/>
    <s v="3000013358530013"/>
    <s v="CIVIL"/>
    <d v="2023-06-23T00:00:00"/>
    <d v="2023-07-03T19:01:49"/>
    <m/>
    <d v="2023-07-03T00:00:00"/>
    <n v="1189"/>
    <n v="3302"/>
    <s v="56259501"/>
    <s v="56259501"/>
    <m/>
    <m/>
    <n v="22754782"/>
    <m/>
    <m/>
    <m/>
    <s v="SOLFIN"/>
    <s v="SOLFIN"/>
    <s v="CCMS"/>
    <n v="21318994"/>
    <n v="24673.81"/>
    <m/>
    <s v="N"/>
    <n v="91"/>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58"/>
    <d v="2023-07-03T19:02:06"/>
    <s v="N"/>
    <s v="Preparation - other"/>
    <s v="Care Remuneration Hourly Rates"/>
    <s v="Profit Cost"/>
    <s v="KH"/>
    <s v="N"/>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263"/>
    <d v="2023-07-03T19:02:06"/>
    <s v="Y"/>
    <s v="Paediatrician"/>
    <s v="Care Remuneration Hourly Rates"/>
    <s v="Expert Disbursement"/>
    <s v="XXX"/>
    <s v="Y"/>
    <n v="540"/>
    <n v="107.99"/>
    <x v="3"/>
    <s v="VALIDATED"/>
    <n v="1"/>
    <s v="01.11.80.308.6300.0000"/>
    <n v="540"/>
    <s v="11"/>
    <s v="6300"/>
    <n v="16530.18"/>
    <n v="540"/>
    <s v="CREDITOR"/>
    <n v="0"/>
    <n v="0"/>
    <n v="0"/>
    <n v="0"/>
    <n v="540"/>
  </r>
  <r>
    <n v="56259501"/>
    <s v="N"/>
    <n v="21318994"/>
    <s v="3000013358530013"/>
    <s v="CIVIL"/>
    <d v="2023-06-23T00:00:00"/>
    <d v="2023-07-03T19:01:49"/>
    <m/>
    <d v="2023-07-03T00:00:00"/>
    <n v="1189"/>
    <n v="3302"/>
    <s v="56259501"/>
    <s v="56259501"/>
    <m/>
    <m/>
    <n v="22754782"/>
    <m/>
    <m/>
    <m/>
    <s v="SOLFIN"/>
    <s v="SOLFIN"/>
    <s v="CCMS"/>
    <n v="21318994"/>
    <n v="24673.81"/>
    <m/>
    <s v="N"/>
    <n v="29"/>
    <d v="2023-07-03T19:02:06"/>
    <s v="N"/>
    <s v="Preparation - other"/>
    <s v="Care Remuneration Hourly Rates"/>
    <s v="Profit Cost"/>
    <s v="KH"/>
    <s v="N"/>
    <n v="126.17"/>
    <n v="25.23"/>
    <x v="3"/>
    <s v="VALIDATED"/>
    <n v="1"/>
    <s v="01.11.80.308.6100.0000"/>
    <n v="126.17"/>
    <s v="11"/>
    <s v="6100"/>
    <n v="16530.18"/>
    <n v="126.17"/>
    <s v="CREDITOR"/>
    <n v="0"/>
    <n v="0"/>
    <n v="0"/>
    <n v="0"/>
    <n v="126.17"/>
  </r>
  <r>
    <n v="56259501"/>
    <s v="N"/>
    <n v="21318994"/>
    <s v="3000013358530013"/>
    <s v="CIVIL"/>
    <d v="2023-06-23T00:00:00"/>
    <d v="2023-07-03T19:01:49"/>
    <m/>
    <d v="2023-07-03T00:00:00"/>
    <n v="1189"/>
    <n v="3302"/>
    <s v="56259501"/>
    <s v="56259501"/>
    <m/>
    <m/>
    <n v="22754782"/>
    <m/>
    <m/>
    <m/>
    <s v="SOLFIN"/>
    <s v="SOLFIN"/>
    <s v="CCMS"/>
    <n v="21318994"/>
    <n v="24673.81"/>
    <m/>
    <s v="N"/>
    <n v="44"/>
    <d v="2023-07-03T19:02:06"/>
    <s v="N"/>
    <s v="Preparation - other"/>
    <s v="Care Remuneration Hourly Rates"/>
    <s v="Profit Cost"/>
    <s v="KH"/>
    <s v="N"/>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69"/>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89"/>
    <d v="2023-07-03T19:02:06"/>
    <s v="Y"/>
    <s v="Preparation - other"/>
    <s v="Care Remuneration Hourly Rates"/>
    <s v="Profit Cost"/>
    <s v="KH"/>
    <s v="Y"/>
    <n v="68.34"/>
    <n v="13.67"/>
    <x v="3"/>
    <s v="VALIDATED"/>
    <n v="1"/>
    <s v="01.11.80.308.6100.0000"/>
    <n v="68.34"/>
    <s v="11"/>
    <s v="6100"/>
    <n v="16530.18"/>
    <n v="68.34"/>
    <s v="CREDITOR"/>
    <n v="0"/>
    <n v="0"/>
    <n v="0"/>
    <n v="0"/>
    <n v="68.34"/>
  </r>
  <r>
    <n v="56259501"/>
    <s v="N"/>
    <n v="21318994"/>
    <s v="3000013358530013"/>
    <s v="CIVIL"/>
    <d v="2023-06-23T00:00:00"/>
    <d v="2023-07-03T19:01:49"/>
    <m/>
    <d v="2023-07-03T00:00:00"/>
    <n v="1189"/>
    <n v="3302"/>
    <s v="56259501"/>
    <s v="56259501"/>
    <m/>
    <m/>
    <n v="22754782"/>
    <m/>
    <m/>
    <m/>
    <s v="SOLFIN"/>
    <s v="SOLFIN"/>
    <s v="CCMS"/>
    <n v="21318994"/>
    <n v="24673.81"/>
    <m/>
    <s v="N"/>
    <n v="156"/>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99"/>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180"/>
    <d v="2023-07-03T19:02:06"/>
    <s v="Y"/>
    <s v="Preparation - other"/>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71"/>
    <d v="2023-07-03T19:02:06"/>
    <s v="Y"/>
    <s v="Preparation - other"/>
    <s v="Care Remuneration Hourly Rates"/>
    <s v="Profit Cost"/>
    <s v="KH"/>
    <s v="Y"/>
    <n v="120.91"/>
    <n v="24.18"/>
    <x v="3"/>
    <s v="VALIDATED"/>
    <n v="1"/>
    <s v="01.11.80.308.6100.0000"/>
    <n v="120.91"/>
    <s v="11"/>
    <s v="6100"/>
    <n v="16530.18"/>
    <n v="120.91"/>
    <s v="CREDITOR"/>
    <n v="0"/>
    <n v="0"/>
    <n v="0"/>
    <n v="0"/>
    <n v="120.91"/>
  </r>
  <r>
    <n v="56259501"/>
    <s v="N"/>
    <n v="21318994"/>
    <s v="3000013358530013"/>
    <s v="CIVIL"/>
    <d v="2023-06-23T00:00:00"/>
    <d v="2023-07-03T19:01:49"/>
    <m/>
    <d v="2023-07-03T00:00:00"/>
    <n v="1189"/>
    <n v="3302"/>
    <s v="56259501"/>
    <s v="56259501"/>
    <m/>
    <m/>
    <n v="22754782"/>
    <m/>
    <m/>
    <m/>
    <s v="SOLFIN"/>
    <s v="SOLFIN"/>
    <s v="CCMS"/>
    <n v="21318994"/>
    <n v="24673.81"/>
    <m/>
    <s v="N"/>
    <n v="128"/>
    <d v="2023-07-03T19:02:06"/>
    <s v="Y"/>
    <s v="Preparation - other"/>
    <s v="Care Remuneration Hourly Rates"/>
    <s v="Profit Cost"/>
    <s v="KH"/>
    <s v="Y"/>
    <n v="36.8"/>
    <n v="7.36"/>
    <x v="3"/>
    <s v="VALIDATED"/>
    <n v="1"/>
    <s v="01.11.80.308.6100.0000"/>
    <n v="36.8"/>
    <s v="11"/>
    <s v="6100"/>
    <n v="16530.18"/>
    <n v="36.8"/>
    <s v="CREDITOR"/>
    <n v="0"/>
    <n v="0"/>
    <n v="0"/>
    <n v="0"/>
    <n v="36.8"/>
  </r>
  <r>
    <n v="56259501"/>
    <s v="N"/>
    <n v="21318994"/>
    <s v="3000013358530013"/>
    <s v="CIVIL"/>
    <d v="2023-06-23T00:00:00"/>
    <d v="2023-07-03T19:01:49"/>
    <m/>
    <d v="2023-07-03T00:00:00"/>
    <n v="1189"/>
    <n v="3302"/>
    <s v="56259501"/>
    <s v="56259501"/>
    <m/>
    <m/>
    <n v="22754782"/>
    <m/>
    <m/>
    <m/>
    <s v="SOLFIN"/>
    <s v="SOLFIN"/>
    <s v="CCMS"/>
    <n v="21318994"/>
    <n v="24673.81"/>
    <m/>
    <s v="N"/>
    <n v="95"/>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39"/>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45"/>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69"/>
    <d v="2023-07-03T19:02:06"/>
    <s v="Y"/>
    <s v="Toxicologist"/>
    <s v="Care Remuneration Hourly Rates"/>
    <s v="Expert Disbursement"/>
    <s v="XXX"/>
    <s v="Y"/>
    <n v="374"/>
    <n v="74.8"/>
    <x v="3"/>
    <s v="VALIDATED"/>
    <n v="1"/>
    <s v="01.11.80.308.6300.0000"/>
    <n v="374"/>
    <s v="11"/>
    <s v="6300"/>
    <n v="16530.18"/>
    <n v="374"/>
    <s v="CREDITOR"/>
    <n v="0"/>
    <n v="0"/>
    <n v="0"/>
    <n v="0"/>
    <n v="374"/>
  </r>
  <r>
    <n v="56259501"/>
    <s v="N"/>
    <n v="21318994"/>
    <s v="3000013358530013"/>
    <s v="CIVIL"/>
    <d v="2023-06-23T00:00:00"/>
    <d v="2023-07-03T19:01:49"/>
    <m/>
    <d v="2023-07-03T00:00:00"/>
    <n v="1189"/>
    <n v="3302"/>
    <s v="56259501"/>
    <s v="56259501"/>
    <m/>
    <m/>
    <n v="22754782"/>
    <m/>
    <m/>
    <m/>
    <s v="SOLFIN"/>
    <s v="SOLFIN"/>
    <s v="CCMS"/>
    <n v="21318994"/>
    <n v="24673.81"/>
    <m/>
    <s v="N"/>
    <n v="117"/>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8"/>
    <d v="2023-07-03T19:02:06"/>
    <s v="N"/>
    <s v="Preparation - other"/>
    <s v="Care Remuneration Hourly Rates"/>
    <s v="Profit Cost"/>
    <s v="KH"/>
    <s v="N"/>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201"/>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73"/>
    <d v="2023-07-03T19:02:06"/>
    <s v="Y"/>
    <s v="Hearing Unit 2.31 - 5.00 Hours"/>
    <s v="Public Law Children"/>
    <s v="Advocacy"/>
    <s v="KH"/>
    <s v="Y"/>
    <n v="476.92"/>
    <n v="95.38"/>
    <x v="3"/>
    <s v="VALIDATED"/>
    <n v="1"/>
    <s v="01.11.80.308.6100.0000"/>
    <n v="476.92"/>
    <s v="11"/>
    <s v="6100"/>
    <n v="16530.18"/>
    <n v="476.92"/>
    <s v="CREDITOR"/>
    <n v="0"/>
    <n v="0"/>
    <n v="0"/>
    <n v="0"/>
    <n v="476.92"/>
  </r>
  <r>
    <n v="56259501"/>
    <s v="N"/>
    <n v="21318994"/>
    <s v="3000013358530013"/>
    <s v="CIVIL"/>
    <d v="2023-06-23T00:00:00"/>
    <d v="2023-07-03T19:01:49"/>
    <m/>
    <d v="2023-07-03T00:00:00"/>
    <n v="1189"/>
    <n v="3302"/>
    <s v="56259501"/>
    <s v="56259501"/>
    <m/>
    <m/>
    <n v="22754782"/>
    <m/>
    <m/>
    <m/>
    <s v="SOLFIN"/>
    <s v="SOLFIN"/>
    <s v="CCMS"/>
    <n v="21318994"/>
    <n v="24673.81"/>
    <m/>
    <s v="N"/>
    <n v="38"/>
    <d v="2023-07-03T19:02:06"/>
    <s v="N"/>
    <s v="Preparation - other"/>
    <s v="Care Remuneration Hourly Rates"/>
    <s v="Profit Cost"/>
    <s v="KH"/>
    <s v="N"/>
    <n v="115.65"/>
    <n v="23.13"/>
    <x v="3"/>
    <s v="VALIDATED"/>
    <n v="1"/>
    <s v="01.11.80.308.6100.0000"/>
    <n v="115.65"/>
    <s v="11"/>
    <s v="6100"/>
    <n v="16530.18"/>
    <n v="115.65"/>
    <s v="CREDITOR"/>
    <n v="0"/>
    <n v="0"/>
    <n v="0"/>
    <n v="0"/>
    <n v="115.65"/>
  </r>
  <r>
    <n v="56259501"/>
    <s v="N"/>
    <n v="21318994"/>
    <s v="3000013358530013"/>
    <s v="CIVIL"/>
    <d v="2023-06-23T00:00:00"/>
    <d v="2023-07-03T19:01:49"/>
    <m/>
    <d v="2023-07-03T00:00:00"/>
    <n v="1189"/>
    <n v="3302"/>
    <s v="56259501"/>
    <s v="56259501"/>
    <m/>
    <m/>
    <n v="22754782"/>
    <m/>
    <m/>
    <m/>
    <s v="SOLFIN"/>
    <s v="SOLFIN"/>
    <s v="CCMS"/>
    <n v="21318994"/>
    <n v="24673.81"/>
    <m/>
    <s v="N"/>
    <n v="191"/>
    <d v="2023-07-03T19:02:06"/>
    <s v="Y"/>
    <s v="Preparation - other"/>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6"/>
    <d v="2023-07-03T19:02:06"/>
    <s v="N"/>
    <s v="Preparation - other"/>
    <s v="Care Remuneration Hourly Rates"/>
    <s v="Profit Cost"/>
    <s v="KH"/>
    <s v="N"/>
    <n v="31.54"/>
    <n v="6.31"/>
    <x v="3"/>
    <s v="VALIDATED"/>
    <n v="1"/>
    <s v="01.11.80.308.6100.0000"/>
    <n v="31.54"/>
    <s v="11"/>
    <s v="6100"/>
    <n v="16530.18"/>
    <n v="31.54"/>
    <s v="CREDITOR"/>
    <n v="0"/>
    <n v="0"/>
    <n v="0"/>
    <n v="0"/>
    <n v="31.54"/>
  </r>
  <r>
    <n v="56259501"/>
    <s v="N"/>
    <n v="21318994"/>
    <s v="3000013358530013"/>
    <s v="CIVIL"/>
    <d v="2023-06-23T00:00:00"/>
    <d v="2023-07-03T19:01:49"/>
    <m/>
    <d v="2023-07-03T00:00:00"/>
    <n v="1189"/>
    <n v="3302"/>
    <s v="56259501"/>
    <s v="56259501"/>
    <m/>
    <m/>
    <n v="22754782"/>
    <m/>
    <m/>
    <m/>
    <s v="SOLFIN"/>
    <s v="SOLFIN"/>
    <s v="CCMS"/>
    <n v="21318994"/>
    <n v="24673.81"/>
    <m/>
    <s v="N"/>
    <n v="271"/>
    <d v="2023-07-03T19:02:06"/>
    <s v="Y"/>
    <s v="Hearing Unit 1.01 - 2.30 Hours"/>
    <s v="Public Law Children"/>
    <s v="Advocacy"/>
    <s v="KH"/>
    <s v="Y"/>
    <n v="238.46"/>
    <n v="47.69"/>
    <x v="3"/>
    <s v="VALIDATED"/>
    <n v="1"/>
    <s v="01.11.80.308.6100.0000"/>
    <n v="238.46"/>
    <s v="11"/>
    <s v="6100"/>
    <n v="16530.18"/>
    <n v="238.46"/>
    <s v="CREDITOR"/>
    <n v="0"/>
    <n v="0"/>
    <n v="0"/>
    <n v="0"/>
    <n v="238.46"/>
  </r>
  <r>
    <n v="56259501"/>
    <s v="N"/>
    <n v="21318994"/>
    <s v="3000013358530013"/>
    <s v="CIVIL"/>
    <d v="2023-06-23T00:00:00"/>
    <d v="2023-07-03T19:01:49"/>
    <m/>
    <d v="2023-07-03T00:00:00"/>
    <n v="1189"/>
    <n v="3302"/>
    <s v="56259501"/>
    <s v="56259501"/>
    <m/>
    <m/>
    <n v="22754782"/>
    <m/>
    <m/>
    <m/>
    <s v="SOLFIN"/>
    <s v="SOLFIN"/>
    <s v="CCMS"/>
    <n v="21318994"/>
    <n v="24673.81"/>
    <m/>
    <s v="N"/>
    <n v="208"/>
    <d v="2023-07-03T19:02:06"/>
    <s v="Y"/>
    <s v="Preparation - other"/>
    <s v="Care Remuneration Hourly Rates"/>
    <s v="Profit Cost"/>
    <s v="KH"/>
    <s v="Y"/>
    <n v="99.88"/>
    <n v="19.97"/>
    <x v="3"/>
    <s v="VALIDATED"/>
    <n v="1"/>
    <s v="01.11.80.308.6100.0000"/>
    <n v="99.88"/>
    <s v="11"/>
    <s v="6100"/>
    <n v="16530.18"/>
    <n v="99.88"/>
    <s v="CREDITOR"/>
    <n v="0"/>
    <n v="0"/>
    <n v="0"/>
    <n v="0"/>
    <n v="99.88"/>
  </r>
  <r>
    <n v="56259501"/>
    <s v="N"/>
    <n v="21318994"/>
    <s v="3000013358530013"/>
    <s v="CIVIL"/>
    <d v="2023-06-23T00:00:00"/>
    <d v="2023-07-03T19:01:49"/>
    <m/>
    <d v="2023-07-03T00:00:00"/>
    <n v="1189"/>
    <n v="3302"/>
    <s v="56259501"/>
    <s v="56259501"/>
    <m/>
    <m/>
    <n v="22754782"/>
    <m/>
    <m/>
    <m/>
    <s v="SOLFIN"/>
    <s v="SOLFIN"/>
    <s v="CCMS"/>
    <n v="21318994"/>
    <n v="24673.81"/>
    <m/>
    <s v="N"/>
    <n v="13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00"/>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133"/>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35"/>
    <d v="2023-07-03T19:02:06"/>
    <s v="Y"/>
    <s v="Preparation - drafting statement"/>
    <s v="Care Remuneration Hourly Rates"/>
    <s v="Profit Cost"/>
    <s v="RN"/>
    <s v="Y"/>
    <n v="78.86"/>
    <n v="15.77"/>
    <x v="3"/>
    <s v="VALIDATED"/>
    <n v="1"/>
    <s v="01.11.80.308.6100.0000"/>
    <n v="78.86"/>
    <s v="11"/>
    <s v="6100"/>
    <n v="16530.18"/>
    <n v="78.86"/>
    <s v="CREDITOR"/>
    <n v="0"/>
    <n v="0"/>
    <n v="0"/>
    <n v="0"/>
    <n v="78.86"/>
  </r>
  <r>
    <n v="61146005"/>
    <s v="N"/>
    <n v="21318375"/>
    <s v="3000015330130004"/>
    <s v="CIVIL"/>
    <d v="2023-06-19T00:00:00"/>
    <d v="2023-07-03T19:01:49"/>
    <m/>
    <d v="2023-07-03T00:00:00"/>
    <n v="1189"/>
    <n v="3302"/>
    <s v="61146005"/>
    <s v="61146005"/>
    <m/>
    <m/>
    <n v="22714856"/>
    <m/>
    <m/>
    <m/>
    <s v="SOLFIN"/>
    <s v="SOLFIN"/>
    <s v="CCMS"/>
    <n v="21318375"/>
    <n v="5722.3"/>
    <m/>
    <s v="N"/>
    <n v="9"/>
    <d v="2023-07-03T19:01:54"/>
    <s v="Y"/>
    <s v="Hearing Unit 1.01 - 2.30 Hours"/>
    <s v="Public Law Children"/>
    <s v="Advocacy"/>
    <s v="Katy Hanson"/>
    <s v="Y"/>
    <n v="238.46"/>
    <n v="47.69"/>
    <x v="3"/>
    <s v="VALIDATED"/>
    <n v="1"/>
    <s v="01.11.80.308.6100.0000"/>
    <n v="238.46"/>
    <s v="11"/>
    <s v="6100"/>
    <n v="16530.18"/>
    <n v="238.46"/>
    <s v="CREDITOR"/>
    <n v="0"/>
    <n v="0"/>
    <n v="0"/>
    <n v="0"/>
    <n v="238.46"/>
  </r>
  <r>
    <n v="56259501"/>
    <s v="N"/>
    <n v="21318994"/>
    <s v="3000013358530013"/>
    <s v="CIVIL"/>
    <d v="2023-06-23T00:00:00"/>
    <d v="2023-07-03T19:01:49"/>
    <m/>
    <d v="2023-07-03T00:00:00"/>
    <n v="1189"/>
    <n v="3302"/>
    <s v="56259501"/>
    <s v="56259501"/>
    <m/>
    <m/>
    <n v="22754782"/>
    <m/>
    <m/>
    <m/>
    <s v="SOLFIN"/>
    <s v="SOLFIN"/>
    <s v="CCMS"/>
    <n v="21318994"/>
    <n v="24673.81"/>
    <m/>
    <s v="N"/>
    <n v="42"/>
    <d v="2023-07-03T19:02:06"/>
    <s v="N"/>
    <s v="Preparation - other"/>
    <s v="Care Remuneration Hourly Rates"/>
    <s v="Profit Cost"/>
    <s v="KH"/>
    <s v="N"/>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230"/>
    <d v="2023-07-03T19:02:06"/>
    <s v="Y"/>
    <s v="Preparation - other"/>
    <s v="Care Remuneration Hourly Rates"/>
    <s v="Profit Cost"/>
    <s v="KH"/>
    <s v="Y"/>
    <n v="47.31"/>
    <n v="9.460000000000001"/>
    <x v="3"/>
    <s v="VALIDATED"/>
    <n v="1"/>
    <s v="01.11.80.308.6100.0000"/>
    <n v="47.31"/>
    <s v="11"/>
    <s v="6100"/>
    <n v="16530.18"/>
    <n v="47.31"/>
    <s v="CREDITOR"/>
    <n v="0"/>
    <n v="0"/>
    <n v="0"/>
    <n v="0"/>
    <n v="47.31"/>
  </r>
  <r>
    <n v="56259501"/>
    <s v="N"/>
    <n v="21318994"/>
    <s v="3000013358530013"/>
    <s v="CIVIL"/>
    <d v="2023-06-23T00:00:00"/>
    <d v="2023-07-03T19:01:49"/>
    <m/>
    <d v="2023-07-03T00:00:00"/>
    <n v="1189"/>
    <n v="3302"/>
    <s v="56259501"/>
    <s v="56259501"/>
    <m/>
    <m/>
    <n v="22754782"/>
    <m/>
    <m/>
    <m/>
    <s v="SOLFIN"/>
    <s v="SOLFIN"/>
    <s v="CCMS"/>
    <n v="21318994"/>
    <n v="24673.81"/>
    <m/>
    <s v="N"/>
    <n v="10"/>
    <d v="2023-07-03T19:02:06"/>
    <s v="N"/>
    <s v="Preparation - drafting notice(s)"/>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94"/>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57"/>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0"/>
    <d v="2023-07-03T19:02:06"/>
    <s v="N"/>
    <s v="Preparation - other"/>
    <s v="Care Remuneration Hourly Rates"/>
    <s v="Profit Cost"/>
    <s v="KH"/>
    <s v="N"/>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40"/>
    <d v="2023-07-03T19:02:06"/>
    <s v="N"/>
    <s v="Preparation - other"/>
    <s v="Care Remuneration Hourly Rates"/>
    <s v="Profit Cost"/>
    <s v="KH"/>
    <s v="N"/>
    <n v="89.37"/>
    <n v="17.87"/>
    <x v="3"/>
    <s v="VALIDATED"/>
    <n v="1"/>
    <s v="01.11.80.308.6100.0000"/>
    <n v="89.37"/>
    <s v="11"/>
    <s v="6100"/>
    <n v="16530.18"/>
    <n v="89.37"/>
    <s v="CREDITOR"/>
    <n v="0"/>
    <n v="0"/>
    <n v="0"/>
    <n v="0"/>
    <n v="89.37"/>
  </r>
  <r>
    <n v="56259501"/>
    <s v="N"/>
    <n v="21318994"/>
    <s v="3000013358530013"/>
    <s v="CIVIL"/>
    <d v="2023-06-23T00:00:00"/>
    <d v="2023-07-03T19:01:49"/>
    <m/>
    <d v="2023-07-03T00:00:00"/>
    <n v="1189"/>
    <n v="3302"/>
    <s v="56259501"/>
    <s v="56259501"/>
    <m/>
    <m/>
    <n v="22754782"/>
    <m/>
    <m/>
    <m/>
    <s v="SOLFIN"/>
    <s v="SOLFIN"/>
    <s v="CCMS"/>
    <n v="21318994"/>
    <n v="24673.81"/>
    <m/>
    <s v="N"/>
    <n v="17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02"/>
    <d v="2023-07-03T19:02:06"/>
    <s v="Y"/>
    <s v="Attendance upon client"/>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14"/>
    <d v="2023-07-03T19:02:06"/>
    <s v="Y"/>
    <s v="Preparation - other"/>
    <s v="Care Remuneration Hourly Rates"/>
    <s v="Profit Cost"/>
    <s v="KH"/>
    <s v="Y"/>
    <n v="120.91"/>
    <n v="24.18"/>
    <x v="3"/>
    <s v="VALIDATED"/>
    <n v="1"/>
    <s v="01.11.80.308.6100.0000"/>
    <n v="120.91"/>
    <s v="11"/>
    <s v="6100"/>
    <n v="16530.18"/>
    <n v="120.91"/>
    <s v="CREDITOR"/>
    <n v="0"/>
    <n v="0"/>
    <n v="0"/>
    <n v="0"/>
    <n v="120.91"/>
  </r>
  <r>
    <n v="61146005"/>
    <s v="N"/>
    <n v="21318375"/>
    <s v="3000015330130004"/>
    <s v="CIVIL"/>
    <d v="2023-06-19T00:00:00"/>
    <d v="2023-07-03T19:01:49"/>
    <m/>
    <d v="2023-07-03T00:00:00"/>
    <n v="1189"/>
    <n v="3302"/>
    <s v="61146005"/>
    <s v="61146005"/>
    <m/>
    <m/>
    <n v="22714856"/>
    <m/>
    <m/>
    <m/>
    <s v="SOLFIN"/>
    <s v="SOLFIN"/>
    <s v="CCMS"/>
    <n v="21318375"/>
    <n v="5722.3"/>
    <m/>
    <s v="N"/>
    <n v="13"/>
    <d v="2023-07-03T19:01:54"/>
    <s v="Y"/>
    <s v="Solicitors Fixed Fee"/>
    <s v="Public Law Children"/>
    <s v="Profit Cost"/>
    <s v="Katy Hanson"/>
    <s v="Y"/>
    <n v="2370"/>
    <n v="474"/>
    <x v="3"/>
    <s v="VALIDATED"/>
    <n v="1"/>
    <s v="01.11.80.308.6100.0000"/>
    <n v="2370"/>
    <s v="11"/>
    <s v="6100"/>
    <n v="16530.18"/>
    <n v="2370"/>
    <s v="CREDITOR"/>
    <n v="0"/>
    <n v="0"/>
    <n v="0"/>
    <n v="0"/>
    <n v="2370"/>
  </r>
  <r>
    <n v="56259501"/>
    <s v="N"/>
    <n v="21318994"/>
    <s v="3000013358530013"/>
    <s v="CIVIL"/>
    <d v="2023-06-23T00:00:00"/>
    <d v="2023-07-03T19:01:49"/>
    <m/>
    <d v="2023-07-03T00:00:00"/>
    <n v="1189"/>
    <n v="3302"/>
    <s v="56259501"/>
    <s v="56259501"/>
    <m/>
    <m/>
    <n v="22754782"/>
    <m/>
    <m/>
    <m/>
    <s v="SOLFIN"/>
    <s v="SOLFIN"/>
    <s v="CCMS"/>
    <n v="21318994"/>
    <n v="24673.81"/>
    <m/>
    <s v="N"/>
    <n v="198"/>
    <d v="2023-07-03T19:02:06"/>
    <s v="Y"/>
    <s v="Attendance upon client"/>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206"/>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33"/>
    <d v="2023-07-03T19:02:06"/>
    <s v="Y"/>
    <s v="Preparation - drafting statement"/>
    <s v="Care Remuneration Hourly Rates"/>
    <s v="Profit Cost"/>
    <s v="RN"/>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251"/>
    <d v="2023-07-03T19:02:06"/>
    <s v="Y"/>
    <s v="Preparation - drafting bill/claim f"/>
    <s v="Care Remuneration Hourly Rates"/>
    <s v="Profit Cost"/>
    <s v="TC"/>
    <s v="Y"/>
    <n v="788.55"/>
    <n v="157.7"/>
    <x v="3"/>
    <s v="VALIDATED"/>
    <n v="1"/>
    <s v="01.11.80.308.6100.0000"/>
    <n v="788.55"/>
    <s v="11"/>
    <s v="6100"/>
    <n v="16530.18"/>
    <n v="788.55"/>
    <s v="CREDITOR"/>
    <n v="0"/>
    <n v="0"/>
    <n v="0"/>
    <n v="0"/>
    <n v="788.55"/>
  </r>
  <r>
    <n v="56259501"/>
    <s v="N"/>
    <n v="21318994"/>
    <s v="3000013358530013"/>
    <s v="CIVIL"/>
    <d v="2023-06-23T00:00:00"/>
    <d v="2023-07-03T19:01:49"/>
    <m/>
    <d v="2023-07-03T00:00:00"/>
    <n v="1189"/>
    <n v="3302"/>
    <s v="56259501"/>
    <s v="56259501"/>
    <m/>
    <m/>
    <n v="22754782"/>
    <m/>
    <m/>
    <m/>
    <s v="SOLFIN"/>
    <s v="SOLFIN"/>
    <s v="CCMS"/>
    <n v="21318994"/>
    <n v="24673.81"/>
    <m/>
    <s v="N"/>
    <n v="32"/>
    <d v="2023-07-03T19:02:06"/>
    <s v="N"/>
    <s v="Attendance upon client"/>
    <s v="Care Remuneration Hourly Rates"/>
    <s v="Profit Cost"/>
    <s v="KH"/>
    <s v="N"/>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72"/>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55"/>
    <d v="2023-07-03T19:02:06"/>
    <s v="Y"/>
    <s v="Preparation - drafting application"/>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89"/>
    <d v="2023-07-03T19:02:06"/>
    <s v="Y"/>
    <s v="Preparation - other"/>
    <s v="Care Remuneration Hourly Rates"/>
    <s v="Profit Cost"/>
    <s v="KH"/>
    <s v="Y"/>
    <n v="15.77"/>
    <n v="3.15"/>
    <x v="3"/>
    <s v="VALIDATED"/>
    <n v="1"/>
    <s v="01.11.80.308.6100.0000"/>
    <n v="15.77"/>
    <s v="11"/>
    <s v="6100"/>
    <n v="16530.18"/>
    <n v="15.77"/>
    <s v="CREDITOR"/>
    <n v="0"/>
    <n v="0"/>
    <n v="0"/>
    <n v="0"/>
    <n v="15.77"/>
  </r>
  <r>
    <n v="61146005"/>
    <s v="N"/>
    <n v="21318375"/>
    <s v="3000015330130004"/>
    <s v="CIVIL"/>
    <d v="2023-06-19T00:00:00"/>
    <d v="2023-07-03T19:01:49"/>
    <m/>
    <d v="2023-07-03T00:00:00"/>
    <n v="1189"/>
    <n v="3302"/>
    <s v="61146005"/>
    <s v="61146005"/>
    <m/>
    <m/>
    <n v="22714856"/>
    <m/>
    <m/>
    <m/>
    <s v="SOLFIN"/>
    <s v="SOLFIN"/>
    <s v="CCMS"/>
    <n v="21318375"/>
    <n v="5722.3"/>
    <m/>
    <s v="N"/>
    <n v="10"/>
    <d v="2023-07-03T19:01:54"/>
    <s v="Y"/>
    <s v="Hearing Unit 2.31 - 5.00 Hours"/>
    <s v="Public Law Children"/>
    <s v="Advocacy"/>
    <s v="Katy Hanson"/>
    <s v="Y"/>
    <n v="476.92"/>
    <n v="95.38"/>
    <x v="3"/>
    <s v="VALIDATED"/>
    <n v="1"/>
    <s v="01.11.80.308.6100.0000"/>
    <n v="476.92"/>
    <s v="11"/>
    <s v="6100"/>
    <n v="16530.18"/>
    <n v="476.92"/>
    <s v="CREDITOR"/>
    <n v="0"/>
    <n v="0"/>
    <n v="0"/>
    <n v="0"/>
    <n v="476.92"/>
  </r>
  <r>
    <n v="56259501"/>
    <s v="N"/>
    <n v="21318994"/>
    <s v="3000013358530013"/>
    <s v="CIVIL"/>
    <d v="2023-06-23T00:00:00"/>
    <d v="2023-07-03T19:01:49"/>
    <m/>
    <d v="2023-07-03T00:00:00"/>
    <n v="1189"/>
    <n v="3302"/>
    <s v="56259501"/>
    <s v="56259501"/>
    <m/>
    <m/>
    <n v="22754782"/>
    <m/>
    <m/>
    <m/>
    <s v="SOLFIN"/>
    <s v="SOLFIN"/>
    <s v="CCMS"/>
    <n v="21318994"/>
    <n v="24673.81"/>
    <m/>
    <s v="N"/>
    <n v="179"/>
    <d v="2023-07-03T19:02:06"/>
    <s v="Y"/>
    <s v="Preparation - other"/>
    <s v="Care Remuneration Hourly Rates"/>
    <s v="Profit Cost"/>
    <s v="KH"/>
    <s v="Y"/>
    <n v="47.31"/>
    <n v="9.460000000000001"/>
    <x v="3"/>
    <s v="VALIDATED"/>
    <n v="1"/>
    <s v="01.11.80.308.6100.0000"/>
    <n v="47.31"/>
    <s v="11"/>
    <s v="6100"/>
    <n v="16530.18"/>
    <n v="47.31"/>
    <s v="CREDITOR"/>
    <n v="0"/>
    <n v="0"/>
    <n v="0"/>
    <n v="0"/>
    <n v="47.31"/>
  </r>
  <r>
    <n v="56259501"/>
    <s v="N"/>
    <n v="21318994"/>
    <s v="3000013358530013"/>
    <s v="CIVIL"/>
    <d v="2023-06-23T00:00:00"/>
    <d v="2023-07-03T19:01:49"/>
    <m/>
    <d v="2023-07-03T00:00:00"/>
    <n v="1189"/>
    <n v="3302"/>
    <s v="56259501"/>
    <s v="56259501"/>
    <m/>
    <m/>
    <n v="22754782"/>
    <m/>
    <m/>
    <m/>
    <s v="SOLFIN"/>
    <s v="SOLFIN"/>
    <s v="CCMS"/>
    <n v="21318994"/>
    <n v="24673.81"/>
    <m/>
    <s v="N"/>
    <n v="72"/>
    <d v="2023-07-03T19:02:06"/>
    <s v="Y"/>
    <s v="Preparation - other"/>
    <s v="Care Remuneration Hourly Rates"/>
    <s v="Profit Cost"/>
    <s v="KH"/>
    <s v="Y"/>
    <n v="99.88"/>
    <n v="19.97"/>
    <x v="3"/>
    <s v="VALIDATED"/>
    <n v="1"/>
    <s v="01.11.80.308.6100.0000"/>
    <n v="99.88"/>
    <s v="11"/>
    <s v="6100"/>
    <n v="16530.18"/>
    <n v="99.88"/>
    <s v="CREDITOR"/>
    <n v="0"/>
    <n v="0"/>
    <n v="0"/>
    <n v="0"/>
    <n v="99.88"/>
  </r>
  <r>
    <n v="56259501"/>
    <s v="N"/>
    <n v="21318994"/>
    <s v="3000013358530013"/>
    <s v="CIVIL"/>
    <d v="2023-06-23T00:00:00"/>
    <d v="2023-07-03T19:01:49"/>
    <m/>
    <d v="2023-07-03T00:00:00"/>
    <n v="1189"/>
    <n v="3302"/>
    <s v="56259501"/>
    <s v="56259501"/>
    <m/>
    <m/>
    <n v="22754782"/>
    <m/>
    <m/>
    <m/>
    <s v="SOLFIN"/>
    <s v="SOLFIN"/>
    <s v="CCMS"/>
    <n v="21318994"/>
    <n v="24673.81"/>
    <m/>
    <s v="N"/>
    <n v="83"/>
    <d v="2023-07-03T19:02:06"/>
    <s v="Y"/>
    <s v="Attendance upon client"/>
    <s v="Care Remuneration Hourly Rates"/>
    <s v="Profit Cost"/>
    <s v="KH"/>
    <s v="Y"/>
    <n v="31.54"/>
    <n v="6.31"/>
    <x v="3"/>
    <s v="VALIDATED"/>
    <n v="1"/>
    <s v="01.11.80.308.6100.0000"/>
    <n v="31.54"/>
    <s v="11"/>
    <s v="6100"/>
    <n v="16530.18"/>
    <n v="31.54"/>
    <s v="CREDITOR"/>
    <n v="0"/>
    <n v="0"/>
    <n v="0"/>
    <n v="0"/>
    <n v="31.54"/>
  </r>
  <r>
    <n v="56259501"/>
    <s v="N"/>
    <n v="21318994"/>
    <s v="3000013358530013"/>
    <s v="CIVIL"/>
    <d v="2023-06-23T00:00:00"/>
    <d v="2023-07-03T19:01:49"/>
    <m/>
    <d v="2023-07-03T00:00:00"/>
    <n v="1189"/>
    <n v="3302"/>
    <s v="56259501"/>
    <s v="56259501"/>
    <m/>
    <m/>
    <n v="22754782"/>
    <m/>
    <m/>
    <m/>
    <s v="SOLFIN"/>
    <s v="SOLFIN"/>
    <s v="CCMS"/>
    <n v="21318994"/>
    <n v="24673.81"/>
    <m/>
    <s v="N"/>
    <n v="90"/>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211"/>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92"/>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270"/>
    <d v="2023-07-03T19:02:06"/>
    <s v="Y"/>
    <s v="Psychologist"/>
    <s v="Care Remuneration Hourly Rates"/>
    <s v="Expert Disbursement"/>
    <s v="XXX"/>
    <s v="Y"/>
    <n v="201.6"/>
    <n v="40.32"/>
    <x v="3"/>
    <s v="VALIDATED"/>
    <n v="1"/>
    <s v="01.11.80.308.6300.0000"/>
    <n v="201.6"/>
    <s v="11"/>
    <s v="6300"/>
    <n v="16530.18"/>
    <n v="201.6"/>
    <s v="CREDITOR"/>
    <n v="0"/>
    <n v="0"/>
    <n v="0"/>
    <n v="0"/>
    <n v="201.6"/>
  </r>
  <r>
    <n v="61146005"/>
    <s v="N"/>
    <n v="21318375"/>
    <s v="3000015330130004"/>
    <s v="CIVIL"/>
    <d v="2023-06-19T00:00:00"/>
    <d v="2023-07-03T19:01:49"/>
    <m/>
    <d v="2023-07-03T00:00:00"/>
    <n v="1189"/>
    <n v="3302"/>
    <s v="61146005"/>
    <s v="61146005"/>
    <m/>
    <m/>
    <n v="22714856"/>
    <m/>
    <m/>
    <m/>
    <s v="SOLFIN"/>
    <s v="SOLFIN"/>
    <s v="CCMS"/>
    <n v="21318375"/>
    <n v="5722.3"/>
    <m/>
    <s v="N"/>
    <n v="4"/>
    <d v="2023-07-03T19:01:54"/>
    <s v="Y"/>
    <s v="Solicitor Travel Mileage"/>
    <s v="Public Law Children"/>
    <s v="Non Expert Disbursement"/>
    <s v="Katy Hanson"/>
    <s v="Y"/>
    <n v="52.2"/>
    <n v="10.44"/>
    <x v="3"/>
    <s v="VALIDATED"/>
    <n v="1"/>
    <s v="01.11.80.308.6300.0000"/>
    <n v="52.2"/>
    <s v="11"/>
    <s v="6300"/>
    <n v="16530.18"/>
    <n v="52.2"/>
    <s v="CREDITOR"/>
    <n v="0"/>
    <n v="0"/>
    <n v="0"/>
    <n v="0"/>
    <n v="52.2"/>
  </r>
  <r>
    <n v="56259501"/>
    <s v="N"/>
    <n v="21318994"/>
    <s v="3000013358530013"/>
    <s v="CIVIL"/>
    <d v="2023-06-23T00:00:00"/>
    <d v="2023-07-03T19:01:49"/>
    <m/>
    <d v="2023-07-03T00:00:00"/>
    <n v="1189"/>
    <n v="3302"/>
    <s v="56259501"/>
    <s v="56259501"/>
    <m/>
    <m/>
    <n v="22754782"/>
    <m/>
    <m/>
    <m/>
    <s v="SOLFIN"/>
    <s v="SOLFIN"/>
    <s v="CCMS"/>
    <n v="21318994"/>
    <n v="24673.81"/>
    <m/>
    <s v="N"/>
    <n v="54"/>
    <d v="2023-07-03T19:02:06"/>
    <s v="N"/>
    <s v="Preparation - other"/>
    <s v="Care Remuneration Hourly Rates"/>
    <s v="Profit Cost"/>
    <s v="KH"/>
    <s v="N"/>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108"/>
    <d v="2023-07-03T19:02:06"/>
    <s v="Y"/>
    <s v="Preparation - other"/>
    <s v="Care Remuneration Hourly Rates"/>
    <s v="Profit Cost"/>
    <s v="KH"/>
    <s v="Y"/>
    <n v="131.43"/>
    <n v="26.28"/>
    <x v="3"/>
    <s v="VALIDATED"/>
    <n v="1"/>
    <s v="01.11.80.308.6100.0000"/>
    <n v="131.43"/>
    <s v="11"/>
    <s v="6100"/>
    <n v="16530.18"/>
    <n v="131.43"/>
    <s v="CREDITOR"/>
    <n v="0"/>
    <n v="0"/>
    <n v="0"/>
    <n v="0"/>
    <n v="131.43"/>
  </r>
  <r>
    <n v="56259501"/>
    <s v="N"/>
    <n v="21318994"/>
    <s v="3000013358530013"/>
    <s v="CIVIL"/>
    <d v="2023-06-23T00:00:00"/>
    <d v="2023-07-03T19:01:49"/>
    <m/>
    <d v="2023-07-03T00:00:00"/>
    <n v="1189"/>
    <n v="3302"/>
    <s v="56259501"/>
    <s v="56259501"/>
    <m/>
    <m/>
    <n v="22754782"/>
    <m/>
    <m/>
    <m/>
    <s v="SOLFIN"/>
    <s v="SOLFIN"/>
    <s v="CCMS"/>
    <n v="21318994"/>
    <n v="24673.81"/>
    <m/>
    <s v="N"/>
    <n v="209"/>
    <d v="2023-07-03T19:02:06"/>
    <s v="Y"/>
    <s v="Preparation - other"/>
    <s v="Care Remuneration Hourly Rates"/>
    <s v="Profit Cost"/>
    <s v="KH"/>
    <s v="Y"/>
    <n v="173.48"/>
    <n v="34.69"/>
    <x v="3"/>
    <s v="VALIDATED"/>
    <n v="1"/>
    <s v="01.11.80.308.6100.0000"/>
    <n v="173.48"/>
    <s v="11"/>
    <s v="6100"/>
    <n v="16530.18"/>
    <n v="173.48"/>
    <s v="CREDITOR"/>
    <n v="0"/>
    <n v="0"/>
    <n v="0"/>
    <n v="0"/>
    <n v="173.48"/>
  </r>
  <r>
    <n v="56259501"/>
    <s v="N"/>
    <n v="21318994"/>
    <s v="3000013358530013"/>
    <s v="CIVIL"/>
    <d v="2023-06-23T00:00:00"/>
    <d v="2023-07-03T19:01:49"/>
    <m/>
    <d v="2023-07-03T00:00:00"/>
    <n v="1189"/>
    <n v="3302"/>
    <s v="56259501"/>
    <s v="56259501"/>
    <m/>
    <m/>
    <n v="22754782"/>
    <m/>
    <m/>
    <m/>
    <s v="SOLFIN"/>
    <s v="SOLFIN"/>
    <s v="CCMS"/>
    <n v="21318994"/>
    <n v="24673.81"/>
    <m/>
    <s v="N"/>
    <n v="127"/>
    <d v="2023-07-03T19:02:06"/>
    <s v="Y"/>
    <s v="Preparation - other"/>
    <s v="Care Remuneration Hourly Rates"/>
    <s v="Profit Cost"/>
    <s v="KH"/>
    <s v="Y"/>
    <n v="63.08"/>
    <n v="12.62"/>
    <x v="3"/>
    <s v="VALIDATED"/>
    <n v="1"/>
    <s v="01.11.80.308.6100.0000"/>
    <n v="63.08"/>
    <s v="11"/>
    <s v="6100"/>
    <n v="16530.18"/>
    <n v="63.08"/>
    <s v="CREDITOR"/>
    <n v="0"/>
    <n v="0"/>
    <n v="0"/>
    <n v="0"/>
    <n v="63.08"/>
  </r>
  <r>
    <n v="56259501"/>
    <s v="N"/>
    <n v="21318994"/>
    <s v="3000013358530013"/>
    <s v="CIVIL"/>
    <d v="2023-06-23T00:00:00"/>
    <d v="2023-07-03T19:01:49"/>
    <m/>
    <d v="2023-07-03T00:00:00"/>
    <n v="1189"/>
    <n v="3302"/>
    <s v="56259501"/>
    <s v="56259501"/>
    <m/>
    <m/>
    <n v="22754782"/>
    <m/>
    <m/>
    <m/>
    <s v="SOLFIN"/>
    <s v="SOLFIN"/>
    <s v="CCMS"/>
    <n v="21318994"/>
    <n v="24673.81"/>
    <m/>
    <s v="N"/>
    <n v="175"/>
    <d v="2023-07-03T19:02:06"/>
    <s v="Y"/>
    <s v="Attendance upon client"/>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52"/>
    <d v="2023-07-03T19:02:06"/>
    <s v="Y"/>
    <s v="Preparation - other"/>
    <s v="Care Remuneration Hourly Rates"/>
    <s v="Profit Cost"/>
    <s v="KH"/>
    <s v="Y"/>
    <n v="63.08"/>
    <n v="12.62"/>
    <x v="3"/>
    <s v="VALIDATED"/>
    <n v="1"/>
    <s v="01.11.80.308.6100.0000"/>
    <n v="63.08"/>
    <s v="11"/>
    <s v="6100"/>
    <n v="16530.18"/>
    <n v="63.08"/>
    <s v="CREDITOR"/>
    <n v="0"/>
    <n v="0"/>
    <n v="0"/>
    <n v="0"/>
    <n v="63.08"/>
  </r>
  <r>
    <n v="56259501"/>
    <s v="N"/>
    <n v="21318994"/>
    <s v="3000013358530013"/>
    <s v="CIVIL"/>
    <d v="2023-06-23T00:00:00"/>
    <d v="2023-07-03T19:01:49"/>
    <m/>
    <d v="2023-07-03T00:00:00"/>
    <n v="1189"/>
    <n v="3302"/>
    <s v="56259501"/>
    <s v="56259501"/>
    <m/>
    <m/>
    <n v="22754782"/>
    <m/>
    <m/>
    <m/>
    <s v="SOLFIN"/>
    <s v="SOLFIN"/>
    <s v="CCMS"/>
    <n v="21318994"/>
    <n v="24673.81"/>
    <m/>
    <s v="N"/>
    <n v="122"/>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29"/>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37"/>
    <d v="2023-07-03T19:02:06"/>
    <s v="Y"/>
    <s v="Preparation - other"/>
    <s v="Care Remuneration Hourly Rates"/>
    <s v="Profit Cost"/>
    <s v="KH"/>
    <s v="Y"/>
    <n v="10.51"/>
    <n v="2.1"/>
    <x v="3"/>
    <s v="VALIDATED"/>
    <n v="1"/>
    <s v="01.11.80.308.6100.0000"/>
    <n v="10.51"/>
    <s v="11"/>
    <s v="6100"/>
    <n v="16530.18"/>
    <n v="10.51"/>
    <s v="CREDITOR"/>
    <n v="0"/>
    <n v="0"/>
    <n v="0"/>
    <n v="0"/>
    <n v="10.51"/>
  </r>
  <r>
    <n v="61146005"/>
    <s v="N"/>
    <n v="21318375"/>
    <s v="3000015330130004"/>
    <s v="CIVIL"/>
    <d v="2023-06-19T00:00:00"/>
    <d v="2023-07-03T19:01:49"/>
    <m/>
    <d v="2023-07-03T00:00:00"/>
    <n v="1189"/>
    <n v="3302"/>
    <s v="61146005"/>
    <s v="61146005"/>
    <m/>
    <m/>
    <n v="22714856"/>
    <m/>
    <m/>
    <m/>
    <s v="SOLFIN"/>
    <s v="SOLFIN"/>
    <s v="CCMS"/>
    <n v="21318375"/>
    <n v="5722.3"/>
    <m/>
    <s v="N"/>
    <n v="6"/>
    <d v="2023-07-03T19:01:54"/>
    <s v="Y"/>
    <s v="Court Fee"/>
    <s v="Public Law Children"/>
    <s v="Non Expert Disbursement"/>
    <s v="Katy Hanson"/>
    <s v="Y"/>
    <n v="53"/>
    <n v="10.6"/>
    <x v="3"/>
    <s v="VALIDATED"/>
    <n v="1"/>
    <s v="01.11.80.308.6300.0000"/>
    <n v="53"/>
    <s v="11"/>
    <s v="6300"/>
    <n v="16530.18"/>
    <n v="53"/>
    <s v="CREDITOR"/>
    <n v="0"/>
    <n v="0"/>
    <n v="0"/>
    <n v="0"/>
    <n v="53"/>
  </r>
  <r>
    <n v="56259501"/>
    <s v="N"/>
    <n v="21318994"/>
    <s v="3000013358530013"/>
    <s v="CIVIL"/>
    <d v="2023-06-23T00:00:00"/>
    <d v="2023-07-03T19:01:49"/>
    <m/>
    <d v="2023-07-03T00:00:00"/>
    <n v="1189"/>
    <n v="3302"/>
    <s v="56259501"/>
    <s v="56259501"/>
    <m/>
    <m/>
    <n v="22754782"/>
    <m/>
    <m/>
    <m/>
    <s v="SOLFIN"/>
    <s v="SOLFIN"/>
    <s v="CCMS"/>
    <n v="21318994"/>
    <n v="24673.81"/>
    <m/>
    <s v="N"/>
    <n v="194"/>
    <d v="2023-07-03T19:02:06"/>
    <s v="Y"/>
    <s v="Attendance upon client"/>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116"/>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55"/>
    <d v="2023-07-03T19:02:06"/>
    <s v="N"/>
    <s v="Preparation - other"/>
    <s v="Care Remuneration Hourly Rates"/>
    <s v="Profit Cost"/>
    <s v="KH"/>
    <s v="N"/>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262"/>
    <d v="2023-07-03T19:02:06"/>
    <s v="Y"/>
    <s v="Toxicologist"/>
    <s v="Care Remuneration Hourly Rates"/>
    <s v="Expert Disbursement"/>
    <s v="XXX"/>
    <s v="Y"/>
    <n v="1227.5"/>
    <n v="245.49"/>
    <x v="3"/>
    <s v="VALIDATED"/>
    <n v="1"/>
    <s v="01.11.80.308.6300.0000"/>
    <n v="1227.5"/>
    <s v="11"/>
    <s v="6300"/>
    <n v="16530.18"/>
    <n v="1227.5"/>
    <s v="CREDITOR"/>
    <n v="0"/>
    <n v="0"/>
    <n v="0"/>
    <n v="0"/>
    <n v="1227.5"/>
  </r>
  <r>
    <n v="56259501"/>
    <s v="N"/>
    <n v="21318994"/>
    <s v="3000013358530013"/>
    <s v="CIVIL"/>
    <d v="2023-06-23T00:00:00"/>
    <d v="2023-07-03T19:01:49"/>
    <m/>
    <d v="2023-07-03T00:00:00"/>
    <n v="1189"/>
    <n v="3302"/>
    <s v="56259501"/>
    <s v="56259501"/>
    <m/>
    <m/>
    <n v="22754782"/>
    <m/>
    <m/>
    <m/>
    <s v="SOLFIN"/>
    <s v="SOLFIN"/>
    <s v="CCMS"/>
    <n v="21318994"/>
    <n v="24673.81"/>
    <m/>
    <s v="N"/>
    <n v="66"/>
    <d v="2023-07-03T19:02:06"/>
    <s v="Y"/>
    <s v="Preparation - other"/>
    <s v="Care Remuneration Hourly Rates"/>
    <s v="Profit Cost"/>
    <s v="KH"/>
    <s v="Y"/>
    <n v="63.08"/>
    <n v="12.62"/>
    <x v="3"/>
    <s v="VALIDATED"/>
    <n v="1"/>
    <s v="01.11.80.308.6100.0000"/>
    <n v="63.08"/>
    <s v="11"/>
    <s v="6100"/>
    <n v="16530.18"/>
    <n v="63.08"/>
    <s v="CREDITOR"/>
    <n v="0"/>
    <n v="0"/>
    <n v="0"/>
    <n v="0"/>
    <n v="63.08"/>
  </r>
  <r>
    <n v="56259501"/>
    <s v="N"/>
    <n v="21318994"/>
    <s v="3000013358530013"/>
    <s v="CIVIL"/>
    <d v="2023-06-23T00:00:00"/>
    <d v="2023-07-03T19:01:49"/>
    <m/>
    <d v="2023-07-03T00:00:00"/>
    <n v="1189"/>
    <n v="3302"/>
    <s v="56259501"/>
    <s v="56259501"/>
    <m/>
    <m/>
    <n v="22754782"/>
    <m/>
    <m/>
    <m/>
    <s v="SOLFIN"/>
    <s v="SOLFIN"/>
    <s v="CCMS"/>
    <n v="21318994"/>
    <n v="24673.81"/>
    <m/>
    <s v="N"/>
    <n v="14"/>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56"/>
    <d v="2023-07-03T19:02:06"/>
    <s v="Y"/>
    <s v="Routine Letter Out"/>
    <s v="Care Remuneration Hourly Rates"/>
    <s v="Profit Cost"/>
    <s v="KH"/>
    <s v="Y"/>
    <n v="1376.37"/>
    <n v="275.26"/>
    <x v="3"/>
    <s v="VALIDATED"/>
    <n v="1"/>
    <s v="01.11.80.308.6100.0000"/>
    <n v="1376.37"/>
    <s v="11"/>
    <s v="6100"/>
    <n v="16530.18"/>
    <n v="1376.37"/>
    <s v="CREDITOR"/>
    <n v="0"/>
    <n v="0"/>
    <n v="0"/>
    <n v="0"/>
    <n v="1376.37"/>
  </r>
  <r>
    <n v="56259501"/>
    <s v="N"/>
    <n v="21318994"/>
    <s v="3000013358530013"/>
    <s v="CIVIL"/>
    <d v="2023-06-23T00:00:00"/>
    <d v="2023-07-03T19:01:49"/>
    <m/>
    <d v="2023-07-03T00:00:00"/>
    <n v="1189"/>
    <n v="3302"/>
    <s v="56259501"/>
    <s v="56259501"/>
    <m/>
    <m/>
    <n v="22754782"/>
    <m/>
    <m/>
    <m/>
    <s v="SOLFIN"/>
    <s v="SOLFIN"/>
    <s v="CCMS"/>
    <n v="21318994"/>
    <n v="24673.81"/>
    <m/>
    <s v="N"/>
    <n v="222"/>
    <d v="2023-07-03T19:02:06"/>
    <s v="Y"/>
    <s v="Preparation - other"/>
    <s v="Care Remuneration Hourly Rates"/>
    <s v="Profit Cost"/>
    <s v="KH"/>
    <s v="Y"/>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186"/>
    <d v="2023-07-03T19:02:06"/>
    <s v="Y"/>
    <s v="Preparation - other"/>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228"/>
    <d v="2023-07-03T19:02:06"/>
    <s v="Y"/>
    <s v="Preparation - other"/>
    <s v="Care Remuneration Hourly Rates"/>
    <s v="Profit Cost"/>
    <s v="KH"/>
    <s v="Y"/>
    <n v="5.26"/>
    <n v="1.05"/>
    <x v="3"/>
    <s v="VALIDATED"/>
    <n v="1"/>
    <s v="01.11.80.308.6100.0000"/>
    <n v="5.26"/>
    <s v="11"/>
    <s v="6100"/>
    <n v="16530.18"/>
    <n v="5.26"/>
    <s v="CREDITOR"/>
    <n v="0"/>
    <n v="0"/>
    <n v="0"/>
    <n v="0"/>
    <n v="5.26"/>
  </r>
  <r>
    <n v="61146005"/>
    <s v="N"/>
    <n v="21318375"/>
    <s v="3000015330130004"/>
    <s v="CIVIL"/>
    <d v="2023-06-19T00:00:00"/>
    <d v="2023-07-03T19:01:49"/>
    <m/>
    <d v="2023-07-03T00:00:00"/>
    <n v="1189"/>
    <n v="3302"/>
    <s v="61146005"/>
    <s v="61146005"/>
    <m/>
    <m/>
    <n v="22714856"/>
    <m/>
    <m/>
    <m/>
    <s v="SOLFIN"/>
    <s v="SOLFIN"/>
    <s v="CCMS"/>
    <n v="21318375"/>
    <n v="5722.3"/>
    <m/>
    <s v="N"/>
    <n v="12"/>
    <d v="2023-07-03T19:01:54"/>
    <s v="Y"/>
    <s v="Advocates Meeting"/>
    <s v="Public Law Children"/>
    <s v="Advocacy"/>
    <s v="Katy Hanson"/>
    <s v="Y"/>
    <n v="140.99"/>
    <n v="28.2"/>
    <x v="3"/>
    <s v="VALIDATED"/>
    <n v="1"/>
    <s v="01.11.80.308.6100.0000"/>
    <n v="140.99"/>
    <s v="11"/>
    <s v="6100"/>
    <n v="16530.18"/>
    <n v="140.99"/>
    <s v="CREDITOR"/>
    <n v="0"/>
    <n v="0"/>
    <n v="0"/>
    <n v="0"/>
    <n v="140.99"/>
  </r>
  <r>
    <n v="61146005"/>
    <s v="N"/>
    <n v="21318375"/>
    <s v="3000015330130004"/>
    <s v="CIVIL"/>
    <d v="2023-06-19T00:00:00"/>
    <d v="2023-07-03T19:01:49"/>
    <m/>
    <d v="2023-07-03T00:00:00"/>
    <n v="1189"/>
    <n v="3302"/>
    <s v="61146005"/>
    <s v="61146005"/>
    <m/>
    <m/>
    <n v="22714856"/>
    <m/>
    <m/>
    <m/>
    <s v="SOLFIN"/>
    <s v="SOLFIN"/>
    <s v="CCMS"/>
    <n v="21318375"/>
    <n v="5722.3"/>
    <m/>
    <s v="N"/>
    <n v="3"/>
    <d v="2023-07-03T19:01:54"/>
    <s v="Y"/>
    <s v="Solicitor Travel Expenses"/>
    <s v="Public Law Children"/>
    <s v="Non Expert Disbursement"/>
    <s v="Katy Hanson"/>
    <s v="Y"/>
    <n v="3.87"/>
    <n v="0.77"/>
    <x v="3"/>
    <s v="VALIDATED"/>
    <n v="1"/>
    <s v="01.11.80.308.6300.0000"/>
    <n v="3.87"/>
    <s v="11"/>
    <s v="6300"/>
    <n v="16530.18"/>
    <n v="3.87"/>
    <s v="CREDITOR"/>
    <n v="0"/>
    <n v="0"/>
    <n v="0"/>
    <n v="0"/>
    <n v="3.87"/>
  </r>
  <r>
    <n v="56259501"/>
    <s v="N"/>
    <n v="21318994"/>
    <s v="3000013358530013"/>
    <s v="CIVIL"/>
    <d v="2023-06-23T00:00:00"/>
    <d v="2023-07-03T19:01:49"/>
    <m/>
    <d v="2023-07-03T00:00:00"/>
    <n v="1189"/>
    <n v="3302"/>
    <s v="56259501"/>
    <s v="56259501"/>
    <m/>
    <m/>
    <n v="22754782"/>
    <m/>
    <m/>
    <m/>
    <s v="SOLFIN"/>
    <s v="SOLFIN"/>
    <s v="CCMS"/>
    <n v="21318994"/>
    <n v="24673.81"/>
    <m/>
    <s v="N"/>
    <n v="47"/>
    <d v="2023-07-03T19:02:06"/>
    <s v="N"/>
    <s v="Preparation - other"/>
    <s v="Care Remuneration Hourly Rates"/>
    <s v="Profit Cost"/>
    <s v="KH"/>
    <s v="N"/>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64"/>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74"/>
    <d v="2023-07-03T19:02:06"/>
    <s v="Y"/>
    <s v="Attendance upon client"/>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65"/>
    <d v="2023-07-03T19:02:06"/>
    <s v="Y"/>
    <s v="Attendance upon/with Counsel at Con"/>
    <s v="Care Remuneration Hourly Rates"/>
    <s v="Profit Cost"/>
    <s v="KH"/>
    <s v="Y"/>
    <n v="26.46"/>
    <n v="5.29"/>
    <x v="3"/>
    <s v="VALIDATED"/>
    <n v="1"/>
    <s v="01.11.80.308.6100.0000"/>
    <n v="26.46"/>
    <s v="11"/>
    <s v="6100"/>
    <n v="16530.18"/>
    <n v="26.46"/>
    <s v="CREDITOR"/>
    <n v="0"/>
    <n v="0"/>
    <n v="0"/>
    <n v="0"/>
    <n v="26.46"/>
  </r>
  <r>
    <n v="56259501"/>
    <s v="N"/>
    <n v="21318994"/>
    <s v="3000013358530013"/>
    <s v="CIVIL"/>
    <d v="2023-06-23T00:00:00"/>
    <d v="2023-07-03T19:01:49"/>
    <m/>
    <d v="2023-07-03T00:00:00"/>
    <n v="1189"/>
    <n v="3302"/>
    <s v="56259501"/>
    <s v="56259501"/>
    <m/>
    <m/>
    <n v="22754782"/>
    <m/>
    <m/>
    <m/>
    <s v="SOLFIN"/>
    <s v="SOLFIN"/>
    <s v="CCMS"/>
    <n v="21318994"/>
    <n v="24673.81"/>
    <m/>
    <s v="N"/>
    <n v="247"/>
    <d v="2023-07-03T19:02:06"/>
    <s v="Y"/>
    <s v="Preparation - other"/>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141"/>
    <d v="2023-07-03T19:02:06"/>
    <s v="Y"/>
    <s v="Preparation - other"/>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146"/>
    <d v="2023-07-03T19:02:06"/>
    <s v="Y"/>
    <s v="Preparation - other"/>
    <s v="Care Remuneration Hourly Rates"/>
    <s v="Profit Cost"/>
    <s v="KH"/>
    <s v="Y"/>
    <n v="42.06"/>
    <n v="8.41"/>
    <x v="3"/>
    <s v="VALIDATED"/>
    <n v="1"/>
    <s v="01.11.80.308.6100.0000"/>
    <n v="42.06"/>
    <s v="11"/>
    <s v="6100"/>
    <n v="16530.18"/>
    <n v="42.06"/>
    <s v="CREDITOR"/>
    <n v="0"/>
    <n v="0"/>
    <n v="0"/>
    <n v="0"/>
    <n v="42.06"/>
  </r>
  <r>
    <n v="56259501"/>
    <s v="N"/>
    <n v="21318994"/>
    <s v="3000013358530013"/>
    <s v="CIVIL"/>
    <d v="2023-06-23T00:00:00"/>
    <d v="2023-07-03T19:01:49"/>
    <m/>
    <d v="2023-07-03T00:00:00"/>
    <n v="1189"/>
    <n v="3302"/>
    <s v="56259501"/>
    <s v="56259501"/>
    <m/>
    <m/>
    <n v="22754782"/>
    <m/>
    <m/>
    <m/>
    <s v="SOLFIN"/>
    <s v="SOLFIN"/>
    <s v="CCMS"/>
    <n v="21318994"/>
    <n v="24673.81"/>
    <m/>
    <s v="N"/>
    <n v="76"/>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04"/>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266"/>
    <d v="2023-07-03T19:02:06"/>
    <s v="Y"/>
    <s v="Toxicologist"/>
    <s v="Care Remuneration Hourly Rates"/>
    <s v="Expert Disbursement"/>
    <s v="XXX"/>
    <s v="Y"/>
    <n v="270"/>
    <n v="54"/>
    <x v="3"/>
    <s v="VALIDATED"/>
    <n v="1"/>
    <s v="01.11.80.308.6300.0000"/>
    <n v="270"/>
    <s v="11"/>
    <s v="6300"/>
    <n v="16530.18"/>
    <n v="270"/>
    <s v="CREDITOR"/>
    <n v="0"/>
    <n v="0"/>
    <n v="0"/>
    <n v="0"/>
    <n v="270"/>
  </r>
  <r>
    <n v="56259501"/>
    <s v="N"/>
    <n v="21318994"/>
    <s v="3000013358530013"/>
    <s v="CIVIL"/>
    <d v="2023-06-23T00:00:00"/>
    <d v="2023-07-03T19:01:49"/>
    <m/>
    <d v="2023-07-03T00:00:00"/>
    <n v="1189"/>
    <n v="3302"/>
    <s v="56259501"/>
    <s v="56259501"/>
    <m/>
    <m/>
    <n v="22754782"/>
    <m/>
    <m/>
    <m/>
    <s v="SOLFIN"/>
    <s v="SOLFIN"/>
    <s v="CCMS"/>
    <n v="21318994"/>
    <n v="24673.81"/>
    <m/>
    <s v="N"/>
    <n v="67"/>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219"/>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03"/>
    <d v="2023-07-03T19:02:06"/>
    <s v="Y"/>
    <s v="Preparation - drafting application"/>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2"/>
    <d v="2023-07-03T19:02:06"/>
    <s v="N"/>
    <s v="Preparation - other"/>
    <s v="Care Remuneration Hourly Rates"/>
    <s v="Profit Cost"/>
    <s v="KH"/>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272"/>
    <d v="2023-07-03T19:02:06"/>
    <s v="Y"/>
    <s v="Advocates Meeting"/>
    <s v="Public Law Children"/>
    <s v="Advocacy"/>
    <s v="KH"/>
    <s v="Y"/>
    <n v="140.99"/>
    <n v="28.2"/>
    <x v="3"/>
    <s v="VALIDATED"/>
    <n v="1"/>
    <s v="01.11.80.308.6100.0000"/>
    <n v="140.99"/>
    <s v="11"/>
    <s v="6100"/>
    <n v="16530.18"/>
    <n v="140.99"/>
    <s v="CREDITOR"/>
    <n v="0"/>
    <n v="0"/>
    <n v="0"/>
    <n v="0"/>
    <n v="140.99"/>
  </r>
  <r>
    <n v="56259501"/>
    <s v="N"/>
    <n v="21318994"/>
    <s v="3000013358530013"/>
    <s v="CIVIL"/>
    <d v="2023-06-23T00:00:00"/>
    <d v="2023-07-03T19:01:49"/>
    <m/>
    <d v="2023-07-03T00:00:00"/>
    <n v="1189"/>
    <n v="3302"/>
    <s v="56259501"/>
    <s v="56259501"/>
    <m/>
    <m/>
    <n v="22754782"/>
    <m/>
    <m/>
    <m/>
    <s v="SOLFIN"/>
    <s v="SOLFIN"/>
    <s v="CCMS"/>
    <n v="21318994"/>
    <n v="24673.81"/>
    <m/>
    <s v="N"/>
    <n v="125"/>
    <d v="2023-07-03T19:02:06"/>
    <s v="Y"/>
    <s v="Preparation - other"/>
    <s v="Care Remuneration Hourly Rates"/>
    <s v="Profit Cost"/>
    <s v="KH"/>
    <s v="Y"/>
    <n v="110.4"/>
    <n v="22.08"/>
    <x v="3"/>
    <s v="VALIDATED"/>
    <n v="1"/>
    <s v="01.11.80.308.6100.0000"/>
    <n v="110.4"/>
    <s v="11"/>
    <s v="6100"/>
    <n v="16530.18"/>
    <n v="110.4"/>
    <s v="CREDITOR"/>
    <n v="0"/>
    <n v="0"/>
    <n v="0"/>
    <n v="0"/>
    <n v="110.4"/>
  </r>
  <r>
    <n v="56259501"/>
    <s v="N"/>
    <n v="21318994"/>
    <s v="3000013358530013"/>
    <s v="CIVIL"/>
    <d v="2023-06-23T00:00:00"/>
    <d v="2023-07-03T19:01:49"/>
    <m/>
    <d v="2023-07-03T00:00:00"/>
    <n v="1189"/>
    <n v="3302"/>
    <s v="56259501"/>
    <s v="56259501"/>
    <m/>
    <m/>
    <n v="22754782"/>
    <m/>
    <m/>
    <m/>
    <s v="SOLFIN"/>
    <s v="SOLFIN"/>
    <s v="CCMS"/>
    <n v="21318994"/>
    <n v="24673.81"/>
    <m/>
    <s v="N"/>
    <n v="96"/>
    <d v="2023-07-03T19:02:06"/>
    <s v="Y"/>
    <s v="Preparation - other"/>
    <s v="Care Remuneration Hourly Rates"/>
    <s v="Profit Cost"/>
    <s v="KH"/>
    <s v="Y"/>
    <n v="136.68"/>
    <n v="27.33"/>
    <x v="3"/>
    <s v="VALIDATED"/>
    <n v="1"/>
    <s v="01.11.80.308.6100.0000"/>
    <n v="136.68"/>
    <s v="11"/>
    <s v="6100"/>
    <n v="16530.18"/>
    <n v="136.68"/>
    <s v="CREDITOR"/>
    <n v="0"/>
    <n v="0"/>
    <n v="0"/>
    <n v="0"/>
    <n v="136.68"/>
  </r>
  <r>
    <n v="56259501"/>
    <s v="N"/>
    <n v="21318994"/>
    <s v="3000013358530013"/>
    <s v="CIVIL"/>
    <d v="2023-06-23T00:00:00"/>
    <d v="2023-07-03T19:01:49"/>
    <m/>
    <d v="2023-07-03T00:00:00"/>
    <n v="1189"/>
    <n v="3302"/>
    <s v="56259501"/>
    <s v="56259501"/>
    <m/>
    <m/>
    <n v="22754782"/>
    <m/>
    <m/>
    <m/>
    <s v="SOLFIN"/>
    <s v="SOLFIN"/>
    <s v="CCMS"/>
    <n v="21318994"/>
    <n v="24673.81"/>
    <m/>
    <s v="N"/>
    <n v="264"/>
    <d v="2023-07-03T19:02:06"/>
    <s v="Y"/>
    <s v="Toxicologist"/>
    <s v="Care Remuneration Hourly Rates"/>
    <s v="Expert Disbursement"/>
    <s v="XXX"/>
    <s v="Y"/>
    <n v="320"/>
    <n v="64"/>
    <x v="3"/>
    <s v="VALIDATED"/>
    <n v="1"/>
    <s v="01.11.80.308.6300.0000"/>
    <n v="320"/>
    <s v="11"/>
    <s v="6300"/>
    <n v="16530.18"/>
    <n v="320"/>
    <s v="CREDITOR"/>
    <n v="0"/>
    <n v="0"/>
    <n v="0"/>
    <n v="0"/>
    <n v="320"/>
  </r>
  <r>
    <n v="56259501"/>
    <s v="N"/>
    <n v="21318994"/>
    <s v="3000013358530013"/>
    <s v="CIVIL"/>
    <d v="2023-06-23T00:00:00"/>
    <d v="2023-07-03T19:01:49"/>
    <m/>
    <d v="2023-07-03T00:00:00"/>
    <n v="1189"/>
    <n v="3302"/>
    <s v="56259501"/>
    <s v="56259501"/>
    <m/>
    <m/>
    <n v="22754782"/>
    <m/>
    <m/>
    <m/>
    <s v="SOLFIN"/>
    <s v="SOLFIN"/>
    <s v="CCMS"/>
    <n v="21318994"/>
    <n v="24673.81"/>
    <m/>
    <s v="N"/>
    <n v="149"/>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62"/>
    <d v="2023-07-03T19:02:06"/>
    <s v="Y"/>
    <s v="Preparation - other"/>
    <s v="Care Remuneration Hourly Rates"/>
    <s v="Profit Cost"/>
    <s v="KH"/>
    <s v="Y"/>
    <n v="31.54"/>
    <n v="6.31"/>
    <x v="3"/>
    <s v="VALIDATED"/>
    <n v="1"/>
    <s v="01.11.80.308.6100.0000"/>
    <n v="31.54"/>
    <s v="11"/>
    <s v="6100"/>
    <n v="16530.18"/>
    <n v="31.54"/>
    <s v="CREDITOR"/>
    <n v="0"/>
    <n v="0"/>
    <n v="0"/>
    <n v="0"/>
    <n v="31.54"/>
  </r>
  <r>
    <n v="56259501"/>
    <s v="N"/>
    <n v="21318994"/>
    <s v="3000013358530013"/>
    <s v="CIVIL"/>
    <d v="2023-06-23T00:00:00"/>
    <d v="2023-07-03T19:01:49"/>
    <m/>
    <d v="2023-07-03T00:00:00"/>
    <n v="1189"/>
    <n v="3302"/>
    <s v="56259501"/>
    <s v="56259501"/>
    <m/>
    <m/>
    <n v="22754782"/>
    <m/>
    <m/>
    <m/>
    <s v="SOLFIN"/>
    <s v="SOLFIN"/>
    <s v="CCMS"/>
    <n v="21318994"/>
    <n v="24673.81"/>
    <m/>
    <s v="N"/>
    <n v="163"/>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82"/>
    <d v="2023-07-03T19:02:06"/>
    <s v="Y"/>
    <s v="Preparation - other"/>
    <s v="Care Remuneration Hourly Rates"/>
    <s v="Profit Cost"/>
    <s v="KH"/>
    <s v="Y"/>
    <n v="63.08"/>
    <n v="12.62"/>
    <x v="3"/>
    <s v="VALIDATED"/>
    <n v="1"/>
    <s v="01.11.80.308.6100.0000"/>
    <n v="63.08"/>
    <s v="11"/>
    <s v="6100"/>
    <n v="16530.18"/>
    <n v="63.08"/>
    <s v="CREDITOR"/>
    <n v="0"/>
    <n v="0"/>
    <n v="0"/>
    <n v="0"/>
    <n v="63.08"/>
  </r>
  <r>
    <n v="56259501"/>
    <s v="N"/>
    <n v="21318994"/>
    <s v="3000013358530013"/>
    <s v="CIVIL"/>
    <d v="2023-06-23T00:00:00"/>
    <d v="2023-07-03T19:01:49"/>
    <m/>
    <d v="2023-07-03T00:00:00"/>
    <n v="1189"/>
    <n v="3302"/>
    <s v="56259501"/>
    <s v="56259501"/>
    <m/>
    <m/>
    <n v="22754782"/>
    <m/>
    <m/>
    <m/>
    <s v="SOLFIN"/>
    <s v="SOLFIN"/>
    <s v="CCMS"/>
    <n v="21318994"/>
    <n v="24673.81"/>
    <m/>
    <s v="N"/>
    <n v="87"/>
    <d v="2023-07-03T19:02:06"/>
    <s v="Y"/>
    <s v="Preparation - other"/>
    <s v="Care Remuneration Hourly Rates"/>
    <s v="Profit Cost"/>
    <s v="KH"/>
    <s v="Y"/>
    <n v="136.68"/>
    <n v="27.33"/>
    <x v="3"/>
    <s v="VALIDATED"/>
    <n v="1"/>
    <s v="01.11.80.308.6100.0000"/>
    <n v="136.68"/>
    <s v="11"/>
    <s v="6100"/>
    <n v="16530.18"/>
    <n v="136.68"/>
    <s v="CREDITOR"/>
    <n v="0"/>
    <n v="0"/>
    <n v="0"/>
    <n v="0"/>
    <n v="136.68"/>
  </r>
  <r>
    <n v="61146005"/>
    <s v="N"/>
    <n v="21318375"/>
    <s v="3000015330130004"/>
    <s v="CIVIL"/>
    <d v="2023-06-19T00:00:00"/>
    <d v="2023-07-03T19:01:49"/>
    <m/>
    <d v="2023-07-03T00:00:00"/>
    <n v="1189"/>
    <n v="3302"/>
    <s v="61146005"/>
    <s v="61146005"/>
    <m/>
    <m/>
    <n v="22714856"/>
    <m/>
    <m/>
    <m/>
    <s v="SOLFIN"/>
    <s v="SOLFIN"/>
    <s v="CCMS"/>
    <n v="21318375"/>
    <n v="5722.3"/>
    <m/>
    <s v="N"/>
    <n v="2"/>
    <d v="2023-07-03T19:01:54"/>
    <s v="Y"/>
    <s v="Exceptional Travel"/>
    <s v="Public Law Children"/>
    <s v="Advocacy"/>
    <s v="Katy Hanson"/>
    <s v="Y"/>
    <n v="32.04"/>
    <n v="6.41"/>
    <x v="3"/>
    <s v="VALIDATED"/>
    <n v="1"/>
    <s v="01.11.80.308.6100.0000"/>
    <n v="32.04"/>
    <s v="11"/>
    <s v="6100"/>
    <n v="16530.18"/>
    <n v="32.04"/>
    <s v="CREDITOR"/>
    <n v="0"/>
    <n v="0"/>
    <n v="0"/>
    <n v="0"/>
    <n v="32.04"/>
  </r>
  <r>
    <n v="56259501"/>
    <s v="N"/>
    <n v="21318994"/>
    <s v="3000013358530013"/>
    <s v="CIVIL"/>
    <d v="2023-06-23T00:00:00"/>
    <d v="2023-07-03T19:01:49"/>
    <m/>
    <d v="2023-07-03T00:00:00"/>
    <n v="1189"/>
    <n v="3302"/>
    <s v="56259501"/>
    <s v="56259501"/>
    <m/>
    <m/>
    <n v="22754782"/>
    <m/>
    <m/>
    <m/>
    <s v="SOLFIN"/>
    <s v="SOLFIN"/>
    <s v="CCMS"/>
    <n v="21318994"/>
    <n v="24673.81"/>
    <m/>
    <s v="N"/>
    <n v="51"/>
    <d v="2023-07-03T19:02:06"/>
    <s v="N"/>
    <s v="Preparation - other"/>
    <s v="Care Remuneration Hourly Rates"/>
    <s v="Profit Cost"/>
    <s v="KH"/>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53"/>
    <d v="2023-07-03T19:02:06"/>
    <s v="N"/>
    <s v="Preparation - other"/>
    <s v="Care Remuneration Hourly Rates"/>
    <s v="Profit Cost"/>
    <s v="KH"/>
    <s v="N"/>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48"/>
    <d v="2023-07-03T19:02:06"/>
    <s v="N"/>
    <s v="Preparation - other"/>
    <s v="Care Remuneration Hourly Rates"/>
    <s v="Profit Cost"/>
    <s v="KH"/>
    <s v="N"/>
    <n v="52.57"/>
    <n v="10.51"/>
    <x v="3"/>
    <s v="VALIDATED"/>
    <n v="1"/>
    <s v="01.11.80.308.6100.0000"/>
    <n v="52.57"/>
    <s v="11"/>
    <s v="6100"/>
    <n v="16530.18"/>
    <n v="52.57"/>
    <s v="CREDITOR"/>
    <n v="0"/>
    <n v="0"/>
    <n v="0"/>
    <n v="0"/>
    <n v="52.57"/>
  </r>
  <r>
    <n v="56259501"/>
    <s v="N"/>
    <n v="21318994"/>
    <s v="3000013358530013"/>
    <s v="CIVIL"/>
    <d v="2023-06-23T00:00:00"/>
    <d v="2023-07-03T19:01:49"/>
    <m/>
    <d v="2023-07-03T00:00:00"/>
    <n v="1189"/>
    <n v="3302"/>
    <s v="56259501"/>
    <s v="56259501"/>
    <m/>
    <m/>
    <n v="22754782"/>
    <m/>
    <m/>
    <m/>
    <s v="SOLFIN"/>
    <s v="SOLFIN"/>
    <s v="CCMS"/>
    <n v="21318994"/>
    <n v="24673.81"/>
    <m/>
    <s v="N"/>
    <n v="25"/>
    <d v="2023-07-03T19:02:06"/>
    <s v="N"/>
    <s v="Preparation - other"/>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78"/>
    <d v="2023-07-03T19:02:06"/>
    <s v="Y"/>
    <s v="Preparation - other"/>
    <s v="Care Remuneration Hourly Rates"/>
    <s v="Profit Cost"/>
    <s v="KH"/>
    <s v="Y"/>
    <n v="42.06"/>
    <n v="8.41"/>
    <x v="3"/>
    <s v="VALIDATED"/>
    <n v="1"/>
    <s v="01.11.80.308.6100.0000"/>
    <n v="42.06"/>
    <s v="11"/>
    <s v="6100"/>
    <n v="16530.18"/>
    <n v="42.06"/>
    <s v="CREDITOR"/>
    <n v="0"/>
    <n v="0"/>
    <n v="0"/>
    <n v="0"/>
    <n v="42.06"/>
  </r>
  <r>
    <n v="56259501"/>
    <s v="N"/>
    <n v="21318994"/>
    <s v="3000013358530013"/>
    <s v="CIVIL"/>
    <d v="2023-06-23T00:00:00"/>
    <d v="2023-07-03T19:01:49"/>
    <m/>
    <d v="2023-07-03T00:00:00"/>
    <n v="1189"/>
    <n v="3302"/>
    <s v="56259501"/>
    <s v="56259501"/>
    <m/>
    <m/>
    <n v="22754782"/>
    <m/>
    <m/>
    <m/>
    <s v="SOLFIN"/>
    <s v="SOLFIN"/>
    <s v="CCMS"/>
    <n v="21318994"/>
    <n v="24673.81"/>
    <m/>
    <s v="N"/>
    <n v="85"/>
    <d v="2023-07-03T19:02:06"/>
    <s v="Y"/>
    <s v="Preparation - other"/>
    <s v="Care Remuneration Hourly Rates"/>
    <s v="Profit Cost"/>
    <s v="KH"/>
    <s v="Y"/>
    <n v="26.29"/>
    <n v="5.26"/>
    <x v="3"/>
    <s v="VALIDATED"/>
    <n v="1"/>
    <s v="01.11.80.308.6100.0000"/>
    <n v="26.29"/>
    <s v="11"/>
    <s v="6100"/>
    <n v="16530.18"/>
    <n v="26.29"/>
    <s v="CREDITOR"/>
    <n v="0"/>
    <n v="0"/>
    <n v="0"/>
    <n v="0"/>
    <n v="26.29"/>
  </r>
  <r>
    <n v="56259501"/>
    <s v="N"/>
    <n v="21318994"/>
    <s v="3000013358530013"/>
    <s v="CIVIL"/>
    <d v="2023-06-23T00:00:00"/>
    <d v="2023-07-03T19:01:49"/>
    <m/>
    <d v="2023-07-03T00:00:00"/>
    <n v="1189"/>
    <n v="3302"/>
    <s v="56259501"/>
    <s v="56259501"/>
    <m/>
    <m/>
    <n v="22754782"/>
    <m/>
    <m/>
    <m/>
    <s v="SOLFIN"/>
    <s v="SOLFIN"/>
    <s v="CCMS"/>
    <n v="21318994"/>
    <n v="24673.81"/>
    <m/>
    <s v="N"/>
    <n v="234"/>
    <d v="2023-07-03T19:02:06"/>
    <s v="Y"/>
    <s v="Attendance upon/with Counsel at Con"/>
    <s v="Care Remuneration Hourly Rates"/>
    <s v="Profit Cost"/>
    <s v="RN"/>
    <s v="Y"/>
    <n v="67.62"/>
    <n v="13.52"/>
    <x v="3"/>
    <s v="VALIDATED"/>
    <n v="1"/>
    <s v="01.11.80.308.6100.0000"/>
    <n v="67.62"/>
    <s v="11"/>
    <s v="6100"/>
    <n v="16530.18"/>
    <n v="67.62"/>
    <s v="CREDITOR"/>
    <n v="0"/>
    <n v="0"/>
    <n v="0"/>
    <n v="0"/>
    <n v="67.62"/>
  </r>
  <r>
    <n v="56259501"/>
    <s v="N"/>
    <n v="21318994"/>
    <s v="3000013358530013"/>
    <s v="CIVIL"/>
    <d v="2023-06-23T00:00:00"/>
    <d v="2023-07-03T19:01:49"/>
    <m/>
    <d v="2023-07-03T00:00:00"/>
    <n v="1189"/>
    <n v="3302"/>
    <s v="56259501"/>
    <s v="56259501"/>
    <m/>
    <m/>
    <n v="22754782"/>
    <m/>
    <m/>
    <m/>
    <s v="SOLFIN"/>
    <s v="SOLFIN"/>
    <s v="CCMS"/>
    <n v="21318994"/>
    <n v="24673.81"/>
    <m/>
    <s v="N"/>
    <n v="15"/>
    <d v="2023-07-03T19:02:06"/>
    <s v="N"/>
    <s v="Preparation - other"/>
    <s v="Care Remuneration Hourly Rates"/>
    <s v="Profit Cost"/>
    <s v="KH"/>
    <s v="N"/>
    <n v="5.26"/>
    <n v="1.05"/>
    <x v="3"/>
    <s v="VALIDATED"/>
    <n v="1"/>
    <s v="01.11.80.308.6100.0000"/>
    <n v="5.26"/>
    <s v="11"/>
    <s v="6100"/>
    <n v="16530.18"/>
    <n v="5.26"/>
    <s v="CREDITOR"/>
    <n v="0"/>
    <n v="0"/>
    <n v="0"/>
    <n v="0"/>
    <n v="5.26"/>
  </r>
  <r>
    <n v="61146005"/>
    <s v="N"/>
    <n v="21318375"/>
    <s v="3000015330130004"/>
    <s v="CIVIL"/>
    <d v="2023-06-19T00:00:00"/>
    <d v="2023-07-03T19:01:49"/>
    <m/>
    <d v="2023-07-03T00:00:00"/>
    <n v="1189"/>
    <n v="3302"/>
    <s v="61146005"/>
    <s v="61146005"/>
    <m/>
    <m/>
    <n v="22714856"/>
    <m/>
    <m/>
    <m/>
    <s v="SOLFIN"/>
    <s v="SOLFIN"/>
    <s v="CCMS"/>
    <n v="21318375"/>
    <n v="5722.3"/>
    <m/>
    <s v="N"/>
    <n v="7"/>
    <d v="2023-07-03T19:01:54"/>
    <s v="Y"/>
    <s v="Toxicologist"/>
    <s v="Public Law Children"/>
    <s v="Expert Disbursement"/>
    <s v="Katy Hanson"/>
    <s v="Y"/>
    <n v="311.25"/>
    <n v="62.25"/>
    <x v="3"/>
    <s v="VALIDATED"/>
    <n v="1"/>
    <s v="01.11.80.308.6300.0000"/>
    <n v="311.25"/>
    <s v="11"/>
    <s v="6300"/>
    <n v="16530.18"/>
    <n v="311.25"/>
    <s v="CREDITOR"/>
    <n v="0"/>
    <n v="0"/>
    <n v="0"/>
    <n v="0"/>
    <n v="311.25"/>
  </r>
  <r>
    <n v="56259501"/>
    <s v="N"/>
    <n v="21318994"/>
    <s v="3000013358530013"/>
    <s v="CIVIL"/>
    <d v="2023-06-23T00:00:00"/>
    <d v="2023-07-03T19:01:49"/>
    <m/>
    <d v="2023-07-03T00:00:00"/>
    <n v="1189"/>
    <n v="3302"/>
    <s v="56259501"/>
    <s v="56259501"/>
    <m/>
    <m/>
    <n v="22754782"/>
    <m/>
    <m/>
    <m/>
    <s v="SOLFIN"/>
    <s v="SOLFIN"/>
    <s v="CCMS"/>
    <n v="21318994"/>
    <n v="24673.81"/>
    <m/>
    <s v="N"/>
    <n v="245"/>
    <d v="2023-07-03T19:02:06"/>
    <s v="Y"/>
    <s v="Preparation - other"/>
    <s v="Care Remuneration Hourly Rates"/>
    <s v="Profit Cost"/>
    <s v="KH"/>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215"/>
    <d v="2023-07-03T19:02:06"/>
    <s v="Y"/>
    <s v="Preparation - other"/>
    <s v="Care Remuneration Hourly Rates"/>
    <s v="Profit Cost"/>
    <s v="DB"/>
    <s v="Y"/>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227"/>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7"/>
    <d v="2023-07-03T19:02:06"/>
    <s v="N"/>
    <s v="Preparation - other"/>
    <s v="Care Remuneration Hourly Rates"/>
    <s v="Profit Cost"/>
    <s v="KH"/>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1"/>
    <d v="2023-07-03T19:02:06"/>
    <s v="N"/>
    <s v="Preparation - drafting notice(s)"/>
    <s v="Care Remuneration Hourly Rates"/>
    <s v="Profit Cost"/>
    <s v="KH"/>
    <s v="N"/>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238"/>
    <d v="2023-07-03T19:02:06"/>
    <s v="Y"/>
    <s v="Attendance upon/with Counsel at Con"/>
    <s v="Care Remuneration Hourly Rates"/>
    <s v="Profit Cost"/>
    <s v="DB"/>
    <s v="Y"/>
    <n v="8.82"/>
    <n v="1.76"/>
    <x v="3"/>
    <s v="VALIDATED"/>
    <n v="1"/>
    <s v="01.11.80.308.6100.0000"/>
    <n v="8.82"/>
    <s v="11"/>
    <s v="6100"/>
    <n v="16530.18"/>
    <n v="8.82"/>
    <s v="CREDITOR"/>
    <n v="0"/>
    <n v="0"/>
    <n v="0"/>
    <n v="0"/>
    <n v="8.82"/>
  </r>
  <r>
    <n v="56259501"/>
    <s v="N"/>
    <n v="21318994"/>
    <s v="3000013358530013"/>
    <s v="CIVIL"/>
    <d v="2023-06-23T00:00:00"/>
    <d v="2023-07-03T19:01:49"/>
    <m/>
    <d v="2023-07-03T00:00:00"/>
    <n v="1189"/>
    <n v="3302"/>
    <s v="56259501"/>
    <s v="56259501"/>
    <m/>
    <m/>
    <n v="22754782"/>
    <m/>
    <m/>
    <m/>
    <s v="SOLFIN"/>
    <s v="SOLFIN"/>
    <s v="CCMS"/>
    <n v="21318994"/>
    <n v="24673.81"/>
    <m/>
    <s v="N"/>
    <n v="70"/>
    <d v="2023-07-03T19:02:06"/>
    <s v="Y"/>
    <s v="Preparation - other"/>
    <s v="Care Remuneration Hourly Rates"/>
    <s v="Profit Cost"/>
    <s v="KH"/>
    <s v="Y"/>
    <n v="5.26"/>
    <n v="1.05"/>
    <x v="3"/>
    <s v="VALIDATED"/>
    <n v="1"/>
    <s v="01.11.80.308.6100.0000"/>
    <n v="5.26"/>
    <s v="11"/>
    <s v="6100"/>
    <n v="16530.18"/>
    <n v="5.26"/>
    <s v="CREDITOR"/>
    <n v="0"/>
    <n v="0"/>
    <n v="0"/>
    <n v="0"/>
    <n v="5.26"/>
  </r>
  <r>
    <n v="56259501"/>
    <s v="N"/>
    <n v="21318994"/>
    <s v="3000013358530013"/>
    <s v="CIVIL"/>
    <d v="2023-06-23T00:00:00"/>
    <d v="2023-07-03T19:01:49"/>
    <m/>
    <d v="2023-07-03T00:00:00"/>
    <n v="1189"/>
    <n v="3302"/>
    <s v="56259501"/>
    <s v="56259501"/>
    <m/>
    <m/>
    <n v="22754782"/>
    <m/>
    <m/>
    <m/>
    <s v="SOLFIN"/>
    <s v="SOLFIN"/>
    <s v="CCMS"/>
    <n v="21318994"/>
    <n v="24673.81"/>
    <m/>
    <s v="N"/>
    <n v="157"/>
    <d v="2023-07-03T19:02:06"/>
    <s v="Y"/>
    <s v="Attendance upon client"/>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9"/>
    <d v="2023-07-03T19:02:06"/>
    <s v="N"/>
    <s v="Preparation - other"/>
    <s v="Care Remuneration Hourly Rates"/>
    <s v="Profit Cost"/>
    <s v="KH"/>
    <s v="N"/>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98"/>
    <d v="2023-07-03T19:02:06"/>
    <s v="Y"/>
    <s v="Attendance upon client"/>
    <s v="Care Remuneration Hourly Rates"/>
    <s v="Profit Cost"/>
    <s v="KH"/>
    <s v="Y"/>
    <n v="15.77"/>
    <n v="3.15"/>
    <x v="3"/>
    <s v="VALIDATED"/>
    <n v="1"/>
    <s v="01.11.80.308.6100.0000"/>
    <n v="15.77"/>
    <s v="11"/>
    <s v="6100"/>
    <n v="16530.18"/>
    <n v="15.77"/>
    <s v="CREDITOR"/>
    <n v="0"/>
    <n v="0"/>
    <n v="0"/>
    <n v="0"/>
    <n v="15.77"/>
  </r>
  <r>
    <n v="61146005"/>
    <s v="N"/>
    <n v="21318375"/>
    <s v="3000015330130004"/>
    <s v="CIVIL"/>
    <d v="2023-06-19T00:00:00"/>
    <d v="2023-07-03T19:01:49"/>
    <m/>
    <d v="2023-07-03T00:00:00"/>
    <n v="1189"/>
    <n v="3302"/>
    <s v="61146005"/>
    <s v="61146005"/>
    <m/>
    <m/>
    <n v="22714856"/>
    <m/>
    <m/>
    <m/>
    <s v="SOLFIN"/>
    <s v="SOLFIN"/>
    <s v="CCMS"/>
    <n v="21318375"/>
    <n v="5722.3"/>
    <m/>
    <s v="N"/>
    <n v="1"/>
    <d v="2023-07-03T19:01:54"/>
    <s v="Y"/>
    <s v="Interim Hearing Court Bundle/Advoca"/>
    <s v="Public Law Children"/>
    <s v="Advocacy"/>
    <s v="Katy Hanson"/>
    <s v="Y"/>
    <n v="89.09999999999999"/>
    <n v="17.82"/>
    <x v="3"/>
    <s v="VALIDATED"/>
    <n v="1"/>
    <s v="01.11.80.308.6100.0000"/>
    <n v="89.09999999999999"/>
    <s v="11"/>
    <s v="6100"/>
    <n v="16530.18"/>
    <n v="89.09999999999999"/>
    <s v="CREDITOR"/>
    <n v="0"/>
    <n v="0"/>
    <n v="0"/>
    <n v="0"/>
    <n v="89.09999999999999"/>
  </r>
  <r>
    <n v="56259501"/>
    <s v="N"/>
    <n v="21318994"/>
    <s v="3000013358530013"/>
    <s v="CIVIL"/>
    <d v="2023-06-23T00:00:00"/>
    <d v="2023-07-03T19:01:49"/>
    <m/>
    <d v="2023-07-03T00:00:00"/>
    <n v="1189"/>
    <n v="3302"/>
    <s v="56259501"/>
    <s v="56259501"/>
    <m/>
    <m/>
    <n v="22754782"/>
    <m/>
    <m/>
    <m/>
    <s v="SOLFIN"/>
    <s v="SOLFIN"/>
    <s v="CCMS"/>
    <n v="21318994"/>
    <n v="24673.81"/>
    <m/>
    <s v="N"/>
    <n v="65"/>
    <d v="2023-07-03T19:02:06"/>
    <s v="Y"/>
    <s v="Preparation - other"/>
    <s v="Care Remuneration Hourly Rates"/>
    <s v="Profit Cost"/>
    <s v="KH"/>
    <s v="Y"/>
    <n v="147.2"/>
    <n v="29.44"/>
    <x v="3"/>
    <s v="VALIDATED"/>
    <n v="1"/>
    <s v="01.11.80.308.6100.0000"/>
    <n v="147.2"/>
    <s v="11"/>
    <s v="6100"/>
    <n v="16530.18"/>
    <n v="147.2"/>
    <s v="CREDITOR"/>
    <n v="0"/>
    <n v="0"/>
    <n v="0"/>
    <n v="0"/>
    <n v="147.2"/>
  </r>
  <r>
    <n v="56259501"/>
    <s v="N"/>
    <n v="21318994"/>
    <s v="3000013358530013"/>
    <s v="CIVIL"/>
    <d v="2023-06-23T00:00:00"/>
    <d v="2023-07-03T19:01:49"/>
    <m/>
    <d v="2023-07-03T00:00:00"/>
    <n v="1189"/>
    <n v="3302"/>
    <s v="56259501"/>
    <s v="56259501"/>
    <m/>
    <m/>
    <n v="22754782"/>
    <m/>
    <m/>
    <m/>
    <s v="SOLFIN"/>
    <s v="SOLFIN"/>
    <s v="CCMS"/>
    <n v="21318994"/>
    <n v="24673.81"/>
    <m/>
    <s v="N"/>
    <n v="154"/>
    <d v="2023-07-03T19:02:06"/>
    <s v="Y"/>
    <s v="Attendance upon client"/>
    <s v="Care Remuneration Hourly Rates"/>
    <s v="Profit Cost"/>
    <s v="KH"/>
    <s v="Y"/>
    <n v="21.03"/>
    <n v="4.21"/>
    <x v="3"/>
    <s v="VALIDATED"/>
    <n v="1"/>
    <s v="01.11.80.308.6100.0000"/>
    <n v="21.03"/>
    <s v="11"/>
    <s v="6100"/>
    <n v="16530.18"/>
    <n v="21.03"/>
    <s v="CREDITOR"/>
    <n v="0"/>
    <n v="0"/>
    <n v="0"/>
    <n v="0"/>
    <n v="21.03"/>
  </r>
  <r>
    <n v="56259501"/>
    <s v="N"/>
    <n v="21318994"/>
    <s v="3000013358530013"/>
    <s v="CIVIL"/>
    <d v="2023-06-23T00:00:00"/>
    <d v="2023-07-03T19:01:49"/>
    <m/>
    <d v="2023-07-03T00:00:00"/>
    <n v="1189"/>
    <n v="3302"/>
    <s v="56259501"/>
    <s v="56259501"/>
    <m/>
    <m/>
    <n v="22754782"/>
    <m/>
    <m/>
    <m/>
    <s v="SOLFIN"/>
    <s v="SOLFIN"/>
    <s v="CCMS"/>
    <n v="21318994"/>
    <n v="24673.81"/>
    <m/>
    <s v="N"/>
    <n v="169"/>
    <d v="2023-07-03T19:02:06"/>
    <s v="Y"/>
    <s v="Attendance upon client"/>
    <s v="Care Remuneration Hourly Rates"/>
    <s v="Profit Cost"/>
    <s v="KH"/>
    <s v="Y"/>
    <n v="10.51"/>
    <n v="2.1"/>
    <x v="3"/>
    <s v="VALIDATED"/>
    <n v="1"/>
    <s v="01.11.80.308.6100.0000"/>
    <n v="10.51"/>
    <s v="11"/>
    <s v="6100"/>
    <n v="16530.18"/>
    <n v="10.51"/>
    <s v="CREDITOR"/>
    <n v="0"/>
    <n v="0"/>
    <n v="0"/>
    <n v="0"/>
    <n v="10.51"/>
  </r>
  <r>
    <n v="61146005"/>
    <s v="N"/>
    <n v="21318375"/>
    <s v="3000015330130004"/>
    <s v="CIVIL"/>
    <d v="2023-06-19T00:00:00"/>
    <d v="2023-07-03T19:01:49"/>
    <m/>
    <d v="2023-07-03T00:00:00"/>
    <n v="1189"/>
    <n v="3302"/>
    <s v="61146005"/>
    <s v="61146005"/>
    <m/>
    <m/>
    <n v="22714856"/>
    <m/>
    <m/>
    <m/>
    <s v="SOLFIN"/>
    <s v="SOLFIN"/>
    <s v="CCMS"/>
    <n v="21318375"/>
    <n v="5722.3"/>
    <m/>
    <s v="N"/>
    <n v="8"/>
    <d v="2023-07-03T19:01:54"/>
    <s v="Y"/>
    <s v="Psychologist"/>
    <s v="Public Law Children"/>
    <s v="Expert Disbursement"/>
    <s v="Katy Hanson"/>
    <s v="Y"/>
    <n v="718.13"/>
    <n v="143.63"/>
    <x v="3"/>
    <s v="VALIDATED"/>
    <n v="1"/>
    <s v="01.11.80.308.6300.0000"/>
    <n v="718.13"/>
    <s v="11"/>
    <s v="6300"/>
    <n v="16530.18"/>
    <n v="718.13"/>
    <s v="CREDITOR"/>
    <n v="0"/>
    <n v="0"/>
    <n v="0"/>
    <n v="0"/>
    <n v="718.13"/>
  </r>
  <r>
    <n v="56259501"/>
    <s v="N"/>
    <n v="21318994"/>
    <s v="3000013358530013"/>
    <s v="CIVIL"/>
    <d v="2023-06-23T00:00:00"/>
    <d v="2023-07-03T19:01:49"/>
    <m/>
    <d v="2023-07-03T00:00:00"/>
    <n v="1189"/>
    <n v="3302"/>
    <s v="56259501"/>
    <s v="56259501"/>
    <m/>
    <m/>
    <n v="22754782"/>
    <m/>
    <m/>
    <m/>
    <s v="SOLFIN"/>
    <s v="SOLFIN"/>
    <s v="CCMS"/>
    <n v="21318994"/>
    <n v="24673.81"/>
    <m/>
    <s v="N"/>
    <n v="144"/>
    <d v="2023-07-03T19:02:06"/>
    <s v="Y"/>
    <s v="Attendance upon client"/>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197"/>
    <d v="2023-07-03T19:02:06"/>
    <s v="Y"/>
    <s v="Preparation - other"/>
    <s v="Care Remuneration Hourly Rates"/>
    <s v="Profit Cost"/>
    <s v="KH"/>
    <s v="Y"/>
    <n v="10.51"/>
    <n v="2.1"/>
    <x v="3"/>
    <s v="VALIDATED"/>
    <n v="1"/>
    <s v="01.11.80.308.6100.0000"/>
    <n v="10.51"/>
    <s v="11"/>
    <s v="6100"/>
    <n v="16530.18"/>
    <n v="10.51"/>
    <s v="CREDITOR"/>
    <n v="0"/>
    <n v="0"/>
    <n v="0"/>
    <n v="0"/>
    <n v="10.51"/>
  </r>
  <r>
    <n v="56259501"/>
    <s v="N"/>
    <n v="21318994"/>
    <s v="3000013358530013"/>
    <s v="CIVIL"/>
    <d v="2023-06-23T00:00:00"/>
    <d v="2023-07-03T19:01:49"/>
    <m/>
    <d v="2023-07-03T00:00:00"/>
    <n v="1189"/>
    <n v="3302"/>
    <s v="56259501"/>
    <s v="56259501"/>
    <m/>
    <m/>
    <n v="22754782"/>
    <m/>
    <m/>
    <m/>
    <s v="SOLFIN"/>
    <s v="SOLFIN"/>
    <s v="CCMS"/>
    <n v="21318994"/>
    <n v="24673.81"/>
    <m/>
    <s v="N"/>
    <n v="5"/>
    <d v="2023-07-03T19:02:06"/>
    <s v="N"/>
    <s v="Preparation - other"/>
    <s v="Care Remuneration Hourly Rates"/>
    <s v="Profit Cost"/>
    <s v="KH"/>
    <s v="N"/>
    <n v="15.77"/>
    <n v="3.15"/>
    <x v="3"/>
    <s v="VALIDATED"/>
    <n v="1"/>
    <s v="01.11.80.308.6100.0000"/>
    <n v="15.77"/>
    <s v="11"/>
    <s v="6100"/>
    <n v="16530.18"/>
    <n v="15.77"/>
    <s v="CREDITOR"/>
    <n v="0"/>
    <n v="0"/>
    <n v="0"/>
    <n v="0"/>
    <n v="15.77"/>
  </r>
  <r>
    <n v="56259501"/>
    <s v="N"/>
    <n v="21318994"/>
    <s v="3000013358530013"/>
    <s v="CIVIL"/>
    <d v="2023-06-23T00:00:00"/>
    <d v="2023-07-03T19:01:49"/>
    <m/>
    <d v="2023-07-03T00:00:00"/>
    <n v="1189"/>
    <n v="3302"/>
    <s v="56259501"/>
    <s v="56259501"/>
    <m/>
    <m/>
    <n v="22754782"/>
    <m/>
    <m/>
    <m/>
    <s v="SOLFIN"/>
    <s v="SOLFIN"/>
    <s v="CCMS"/>
    <n v="21318994"/>
    <n v="24673.81"/>
    <m/>
    <s v="N"/>
    <n v="136"/>
    <d v="2023-07-03T19:02:06"/>
    <s v="Y"/>
    <s v="Preparation - other"/>
    <s v="Care Remuneration Hourly Rates"/>
    <s v="Profit Cost"/>
    <s v="KH"/>
    <s v="Y"/>
    <n v="36.8"/>
    <n v="7.36"/>
    <x v="3"/>
    <s v="VALIDATED"/>
    <n v="1"/>
    <s v="01.11.80.308.6100.0000"/>
    <n v="36.8"/>
    <s v="11"/>
    <s v="6100"/>
    <n v="16530.18"/>
    <n v="36.8"/>
    <s v="CREDITOR"/>
    <n v="0"/>
    <n v="0"/>
    <n v="0"/>
    <n v="0"/>
    <n v="36.8"/>
  </r>
  <r>
    <n v="59984427"/>
    <s v="N"/>
    <n v="21331281"/>
    <s v="3000014329170022"/>
    <s v="CIVIL"/>
    <d v="2023-06-12T00:00:00"/>
    <d v="2023-07-05T19:01:47"/>
    <m/>
    <d v="2023-07-05T00:00:00"/>
    <n v="1190"/>
    <n v="3313"/>
    <s v="59984427"/>
    <s v="59984427"/>
    <m/>
    <m/>
    <n v="22670144"/>
    <m/>
    <m/>
    <m/>
    <s v="SOLINT"/>
    <s v="SOLINT"/>
    <s v="CCMS"/>
    <n v="21331281"/>
    <n v="19398.97"/>
    <m/>
    <s v="N"/>
    <n v="40"/>
    <d v="2023-07-05T19:02:13"/>
    <s v="Y"/>
    <s v="Preparation - other"/>
    <s v="Prescribed Hourly Rates"/>
    <s v="Profit Cost"/>
    <s v="CAH"/>
    <s v="Y"/>
    <n v="43.92"/>
    <n v="8.779999999999999"/>
    <x v="6"/>
    <s v="VALIDATED"/>
    <n v="1"/>
    <s v="01.11.80.307.6100.0000"/>
    <n v="43.92"/>
    <s v="11"/>
    <s v="6100"/>
    <n v="627.7"/>
    <n v="43.92"/>
    <s v="CREDITOR"/>
    <n v="0"/>
    <n v="0"/>
    <n v="0"/>
    <n v="0"/>
    <n v="43.92"/>
  </r>
  <r>
    <n v="59984427"/>
    <s v="N"/>
    <n v="21331281"/>
    <s v="3000014329170022"/>
    <s v="CIVIL"/>
    <d v="2023-06-12T00:00:00"/>
    <d v="2023-07-05T19:01:47"/>
    <m/>
    <d v="2023-07-05T00:00:00"/>
    <n v="1190"/>
    <n v="3313"/>
    <s v="59984427"/>
    <s v="59984427"/>
    <m/>
    <m/>
    <n v="22670144"/>
    <m/>
    <m/>
    <m/>
    <s v="SOLINT"/>
    <s v="SOLINT"/>
    <s v="CCMS"/>
    <n v="21331281"/>
    <n v="19398.97"/>
    <m/>
    <s v="N"/>
    <n v="125"/>
    <d v="2023-07-05T19:02:13"/>
    <s v="Y"/>
    <s v="Preparation - other"/>
    <s v="Prescribed Hourly Rates"/>
    <s v="Profit Cost"/>
    <s v="CAH"/>
    <s v="Y"/>
    <n v="38.43"/>
    <n v="7.69"/>
    <x v="6"/>
    <s v="VALIDATED"/>
    <n v="1"/>
    <s v="01.11.80.307.6100.0000"/>
    <n v="38.43"/>
    <s v="11"/>
    <s v="6100"/>
    <n v="627.7"/>
    <n v="38.43"/>
    <s v="CREDITOR"/>
    <n v="0"/>
    <n v="0"/>
    <n v="0"/>
    <n v="0"/>
    <n v="38.43"/>
  </r>
  <r>
    <n v="59984427"/>
    <s v="N"/>
    <n v="21331281"/>
    <s v="3000014329170022"/>
    <s v="CIVIL"/>
    <d v="2023-06-12T00:00:00"/>
    <d v="2023-07-05T19:01:47"/>
    <m/>
    <d v="2023-07-05T00:00:00"/>
    <n v="1190"/>
    <n v="3313"/>
    <s v="59984427"/>
    <s v="59984427"/>
    <m/>
    <m/>
    <n v="22670144"/>
    <m/>
    <m/>
    <m/>
    <s v="SOLINT"/>
    <s v="SOLINT"/>
    <s v="CCMS"/>
    <n v="21331281"/>
    <n v="19398.97"/>
    <m/>
    <s v="N"/>
    <n v="102"/>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24"/>
    <d v="2023-07-05T19:02:13"/>
    <s v="Y"/>
    <s v="Preparation - drafting application"/>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8"/>
    <d v="2023-07-05T19:02:13"/>
    <s v="Y"/>
    <s v="Photocopying"/>
    <s v="Prescribed Hourly Rates"/>
    <s v="Non Expert Disbursement"/>
    <s v="CAH"/>
    <s v="Y"/>
    <n v="31.44"/>
    <n v="6.29"/>
    <x v="6"/>
    <s v="VALIDATED"/>
    <n v="1"/>
    <s v="01.11.80.307.6300.0000"/>
    <n v="31.44"/>
    <s v="11"/>
    <s v="6300"/>
    <n v="627.7"/>
    <n v="31.44"/>
    <s v="CREDITOR"/>
    <n v="0"/>
    <n v="0"/>
    <n v="0"/>
    <n v="0"/>
    <n v="31.44"/>
  </r>
  <r>
    <n v="59984427"/>
    <s v="N"/>
    <n v="21331281"/>
    <s v="3000014329170022"/>
    <s v="CIVIL"/>
    <d v="2023-06-12T00:00:00"/>
    <d v="2023-07-05T19:01:47"/>
    <m/>
    <d v="2023-07-05T00:00:00"/>
    <n v="1190"/>
    <n v="3313"/>
    <s v="59984427"/>
    <s v="59984427"/>
    <m/>
    <m/>
    <n v="22670144"/>
    <m/>
    <m/>
    <m/>
    <s v="SOLINT"/>
    <s v="SOLINT"/>
    <s v="CCMS"/>
    <n v="21331281"/>
    <n v="19398.97"/>
    <m/>
    <s v="N"/>
    <n v="37"/>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05"/>
    <d v="2023-07-05T19:02:13"/>
    <s v="Y"/>
    <s v="Preparation - drafting instructions"/>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39"/>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53"/>
    <d v="2023-07-05T19:02:13"/>
    <s v="Y"/>
    <s v="Preparation - drafting bill/claim f"/>
    <s v="Prescribed Hourly Rates"/>
    <s v="Profit Cost"/>
    <s v="CL"/>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52"/>
    <d v="2023-07-05T19:02:13"/>
    <s v="N"/>
    <s v="Preparation - drafting statement"/>
    <s v="Prescribed Hourly Rates"/>
    <s v="Profit Cost"/>
    <s v="CAH"/>
    <s v="N"/>
    <n v="0"/>
    <n v="0"/>
    <x v="6"/>
    <s v="VALIDATED"/>
    <n v="1"/>
    <s v="01.11.80.307.6100.0000"/>
    <n v="0"/>
    <s v="11"/>
    <s v="6100"/>
    <n v="627.7"/>
    <n v="0"/>
    <s v="CREDITOR"/>
    <n v="0"/>
    <n v="0"/>
    <n v="0"/>
    <n v="0"/>
    <n v="0"/>
  </r>
  <r>
    <n v="59984427"/>
    <s v="N"/>
    <n v="21331281"/>
    <s v="3000014329170022"/>
    <s v="CIVIL"/>
    <d v="2023-06-12T00:00:00"/>
    <d v="2023-07-05T19:01:47"/>
    <m/>
    <d v="2023-07-05T00:00:00"/>
    <n v="1190"/>
    <n v="3313"/>
    <s v="59984427"/>
    <s v="59984427"/>
    <m/>
    <m/>
    <n v="22670144"/>
    <m/>
    <m/>
    <m/>
    <s v="SOLINT"/>
    <s v="SOLINT"/>
    <s v="CCMS"/>
    <n v="21331281"/>
    <n v="19398.97"/>
    <m/>
    <s v="N"/>
    <n v="64"/>
    <d v="2023-07-05T19:02:13"/>
    <s v="Y"/>
    <s v="Attendance upon client"/>
    <s v="Prescribed Hourly Rates"/>
    <s v="Profit Cost"/>
    <s v="CAH"/>
    <s v="Y"/>
    <n v="32.94"/>
    <n v="6.59"/>
    <x v="6"/>
    <s v="VALIDATED"/>
    <n v="1"/>
    <s v="01.11.80.307.6100.0000"/>
    <n v="32.94"/>
    <s v="11"/>
    <s v="6100"/>
    <n v="627.7"/>
    <n v="32.94"/>
    <s v="CREDITOR"/>
    <n v="0"/>
    <n v="0"/>
    <n v="0"/>
    <n v="0"/>
    <n v="32.94"/>
  </r>
  <r>
    <n v="59984427"/>
    <s v="N"/>
    <n v="21331281"/>
    <s v="3000014329170022"/>
    <s v="CIVIL"/>
    <d v="2023-06-12T00:00:00"/>
    <d v="2023-07-05T19:01:47"/>
    <m/>
    <d v="2023-07-05T00:00:00"/>
    <n v="1190"/>
    <n v="3313"/>
    <s v="59984427"/>
    <s v="59984427"/>
    <m/>
    <m/>
    <n v="22670144"/>
    <m/>
    <m/>
    <m/>
    <s v="SOLINT"/>
    <s v="SOLINT"/>
    <s v="CCMS"/>
    <n v="21331281"/>
    <n v="19398.97"/>
    <m/>
    <s v="N"/>
    <n v="86"/>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03"/>
    <d v="2023-07-05T19:02:13"/>
    <s v="Y"/>
    <s v="Preparation - other"/>
    <s v="Prescribed Hourly Rates"/>
    <s v="Profit Cost"/>
    <s v="CAH"/>
    <s v="Y"/>
    <n v="98.81999999999999"/>
    <n v="19.76"/>
    <x v="6"/>
    <s v="VALIDATED"/>
    <n v="1"/>
    <s v="01.11.80.307.6100.0000"/>
    <n v="98.81999999999999"/>
    <s v="11"/>
    <s v="6100"/>
    <n v="627.7"/>
    <n v="98.81999999999999"/>
    <s v="CREDITOR"/>
    <n v="0"/>
    <n v="0"/>
    <n v="0"/>
    <n v="0"/>
    <n v="98.81999999999999"/>
  </r>
  <r>
    <n v="59984427"/>
    <s v="N"/>
    <n v="21331281"/>
    <s v="3000014329170022"/>
    <s v="CIVIL"/>
    <d v="2023-06-12T00:00:00"/>
    <d v="2023-07-05T19:01:47"/>
    <m/>
    <d v="2023-07-05T00:00:00"/>
    <n v="1190"/>
    <n v="3313"/>
    <s v="59984427"/>
    <s v="59984427"/>
    <m/>
    <m/>
    <n v="22670144"/>
    <m/>
    <m/>
    <m/>
    <s v="SOLINT"/>
    <s v="SOLINT"/>
    <s v="CCMS"/>
    <n v="21331281"/>
    <n v="19398.97"/>
    <m/>
    <s v="N"/>
    <n v="25"/>
    <d v="2023-07-05T19:02:13"/>
    <s v="Y"/>
    <s v="Preparation - other"/>
    <s v="Prescribed Hourly Rates"/>
    <s v="Profit Cost"/>
    <s v="CAH"/>
    <s v="Y"/>
    <n v="43.92"/>
    <n v="8.779999999999999"/>
    <x v="6"/>
    <s v="VALIDATED"/>
    <n v="1"/>
    <s v="01.11.80.307.6100.0000"/>
    <n v="43.92"/>
    <s v="11"/>
    <s v="6100"/>
    <n v="627.7"/>
    <n v="43.92"/>
    <s v="CREDITOR"/>
    <n v="0"/>
    <n v="0"/>
    <n v="0"/>
    <n v="0"/>
    <n v="43.92"/>
  </r>
  <r>
    <n v="59984427"/>
    <s v="N"/>
    <n v="21331281"/>
    <s v="3000014329170022"/>
    <s v="CIVIL"/>
    <d v="2023-06-12T00:00:00"/>
    <d v="2023-07-05T19:01:47"/>
    <m/>
    <d v="2023-07-05T00:00:00"/>
    <n v="1190"/>
    <n v="3313"/>
    <s v="59984427"/>
    <s v="59984427"/>
    <m/>
    <m/>
    <n v="22670144"/>
    <m/>
    <m/>
    <m/>
    <s v="SOLINT"/>
    <s v="SOLINT"/>
    <s v="CCMS"/>
    <n v="21331281"/>
    <n v="19398.97"/>
    <m/>
    <s v="N"/>
    <n v="65"/>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30"/>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42"/>
    <d v="2023-07-05T19:02:13"/>
    <s v="Y"/>
    <s v="Preparation - other"/>
    <s v="Prescribed Hourly Rates"/>
    <s v="Profit Cost"/>
    <s v="CAH"/>
    <s v="Y"/>
    <n v="27.45"/>
    <n v="5.49"/>
    <x v="6"/>
    <s v="VALIDATED"/>
    <n v="1"/>
    <s v="01.11.80.307.6100.0000"/>
    <n v="27.45"/>
    <s v="11"/>
    <s v="6100"/>
    <n v="627.7"/>
    <n v="27.45"/>
    <s v="CREDITOR"/>
    <n v="0"/>
    <n v="0"/>
    <n v="0"/>
    <n v="0"/>
    <n v="27.45"/>
  </r>
  <r>
    <n v="59984427"/>
    <s v="N"/>
    <n v="21331281"/>
    <s v="3000014329170022"/>
    <s v="CIVIL"/>
    <d v="2023-06-12T00:00:00"/>
    <d v="2023-07-05T19:01:47"/>
    <m/>
    <d v="2023-07-05T00:00:00"/>
    <n v="1190"/>
    <n v="3313"/>
    <s v="59984427"/>
    <s v="59984427"/>
    <m/>
    <m/>
    <n v="22670144"/>
    <m/>
    <m/>
    <m/>
    <s v="SOLINT"/>
    <s v="SOLINT"/>
    <s v="CCMS"/>
    <n v="21331281"/>
    <n v="19398.97"/>
    <m/>
    <s v="N"/>
    <n v="44"/>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15"/>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4"/>
    <d v="2023-07-05T19:02:13"/>
    <s v="Y"/>
    <s v="Photocopying"/>
    <s v="Prescribed Hourly Rates"/>
    <s v="Non Expert Disbursement"/>
    <s v="CAH"/>
    <s v="Y"/>
    <n v="66.8"/>
    <n v="13.36"/>
    <x v="6"/>
    <s v="VALIDATED"/>
    <n v="1"/>
    <s v="01.11.80.307.6300.0000"/>
    <n v="66.8"/>
    <s v="11"/>
    <s v="6300"/>
    <n v="627.7"/>
    <n v="66.8"/>
    <s v="CREDITOR"/>
    <n v="0"/>
    <n v="0"/>
    <n v="0"/>
    <n v="0"/>
    <n v="66.8"/>
  </r>
  <r>
    <n v="59984427"/>
    <s v="N"/>
    <n v="21331281"/>
    <s v="3000014329170022"/>
    <s v="CIVIL"/>
    <d v="2023-06-12T00:00:00"/>
    <d v="2023-07-05T19:01:47"/>
    <m/>
    <d v="2023-07-05T00:00:00"/>
    <n v="1190"/>
    <n v="3313"/>
    <s v="59984427"/>
    <s v="59984427"/>
    <m/>
    <m/>
    <n v="22670144"/>
    <m/>
    <m/>
    <m/>
    <s v="SOLINT"/>
    <s v="SOLINT"/>
    <s v="CCMS"/>
    <n v="21331281"/>
    <n v="19398.97"/>
    <m/>
    <s v="N"/>
    <n v="127"/>
    <d v="2023-07-05T19:02:13"/>
    <s v="Y"/>
    <s v="Preparation - other"/>
    <s v="Prescribed Hourly Rates"/>
    <s v="Profit Cost"/>
    <s v="CAH"/>
    <s v="Y"/>
    <n v="32.94"/>
    <n v="6.59"/>
    <x v="6"/>
    <s v="VALIDATED"/>
    <n v="1"/>
    <s v="01.11.80.307.6100.0000"/>
    <n v="32.94"/>
    <s v="11"/>
    <s v="6100"/>
    <n v="627.7"/>
    <n v="32.94"/>
    <s v="CREDITOR"/>
    <n v="0"/>
    <n v="0"/>
    <n v="0"/>
    <n v="0"/>
    <n v="32.94"/>
  </r>
  <r>
    <n v="59984427"/>
    <s v="N"/>
    <n v="21331281"/>
    <s v="3000014329170022"/>
    <s v="CIVIL"/>
    <d v="2023-06-12T00:00:00"/>
    <d v="2023-07-05T19:01:47"/>
    <m/>
    <d v="2023-07-05T00:00:00"/>
    <n v="1190"/>
    <n v="3313"/>
    <s v="59984427"/>
    <s v="59984427"/>
    <m/>
    <m/>
    <n v="22670144"/>
    <m/>
    <m/>
    <m/>
    <s v="SOLINT"/>
    <s v="SOLINT"/>
    <s v="CCMS"/>
    <n v="21331281"/>
    <n v="19398.97"/>
    <m/>
    <s v="N"/>
    <n v="43"/>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48"/>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20"/>
    <d v="2023-07-05T19:02:13"/>
    <s v="Y"/>
    <s v="Attendance upon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0"/>
    <d v="2023-07-05T19:02:13"/>
    <s v="Y"/>
    <s v="Toxicologist"/>
    <s v="Prescribed Hourly Rates"/>
    <s v="Expert Disbursement"/>
    <s v="CAH"/>
    <s v="Y"/>
    <n v="1715"/>
    <n v="343"/>
    <x v="6"/>
    <s v="VALIDATED"/>
    <n v="1"/>
    <s v="01.11.80.307.6300.0000"/>
    <n v="1715"/>
    <s v="11"/>
    <s v="6300"/>
    <n v="627.7"/>
    <n v="1715"/>
    <s v="CREDITOR"/>
    <n v="0"/>
    <n v="0"/>
    <n v="0"/>
    <n v="0"/>
    <n v="1715"/>
  </r>
  <r>
    <n v="59984427"/>
    <s v="N"/>
    <n v="21331281"/>
    <s v="3000014329170022"/>
    <s v="CIVIL"/>
    <d v="2023-06-12T00:00:00"/>
    <d v="2023-07-05T19:01:47"/>
    <m/>
    <d v="2023-07-05T00:00:00"/>
    <n v="1190"/>
    <n v="3313"/>
    <s v="59984427"/>
    <s v="59984427"/>
    <m/>
    <m/>
    <n v="22670144"/>
    <m/>
    <m/>
    <m/>
    <s v="SOLINT"/>
    <s v="SOLINT"/>
    <s v="CCMS"/>
    <n v="21331281"/>
    <n v="19398.97"/>
    <m/>
    <s v="N"/>
    <n v="130"/>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47"/>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26"/>
    <d v="2023-07-05T19:02:13"/>
    <s v="Y"/>
    <s v="Preparation - other"/>
    <s v="Prescribed Hourly Rates"/>
    <s v="Profit Cost"/>
    <s v="CAH"/>
    <s v="Y"/>
    <n v="43.92"/>
    <n v="8.779999999999999"/>
    <x v="6"/>
    <s v="VALIDATED"/>
    <n v="1"/>
    <s v="01.11.80.307.6100.0000"/>
    <n v="43.92"/>
    <s v="11"/>
    <s v="6100"/>
    <n v="627.7"/>
    <n v="43.92"/>
    <s v="CREDITOR"/>
    <n v="0"/>
    <n v="0"/>
    <n v="0"/>
    <n v="0"/>
    <n v="43.92"/>
  </r>
  <r>
    <n v="59984427"/>
    <s v="N"/>
    <n v="21331281"/>
    <s v="3000014329170022"/>
    <s v="CIVIL"/>
    <d v="2023-06-12T00:00:00"/>
    <d v="2023-07-05T19:01:47"/>
    <m/>
    <d v="2023-07-05T00:00:00"/>
    <n v="1190"/>
    <n v="3313"/>
    <s v="59984427"/>
    <s v="59984427"/>
    <m/>
    <m/>
    <n v="22670144"/>
    <m/>
    <m/>
    <m/>
    <s v="SOLINT"/>
    <s v="SOLINT"/>
    <s v="CCMS"/>
    <n v="21331281"/>
    <n v="19398.97"/>
    <m/>
    <s v="N"/>
    <n v="66"/>
    <d v="2023-07-05T19:02:13"/>
    <s v="Y"/>
    <s v="Preparation - other"/>
    <s v="Prescribed Hourly Rates"/>
    <s v="Profit Cost"/>
    <s v="CAH"/>
    <s v="Y"/>
    <n v="21.96"/>
    <n v="4.39"/>
    <x v="6"/>
    <s v="VALIDATED"/>
    <n v="1"/>
    <s v="01.11.80.307.6100.0000"/>
    <n v="21.96"/>
    <s v="11"/>
    <s v="6100"/>
    <n v="627.7"/>
    <n v="21.96"/>
    <s v="CREDITOR"/>
    <n v="0"/>
    <n v="0"/>
    <n v="0"/>
    <n v="0"/>
    <n v="21.96"/>
  </r>
  <r>
    <n v="59984427"/>
    <s v="N"/>
    <n v="21333941"/>
    <s v="3000014329170015RC"/>
    <s v="CIVIL"/>
    <d v="2023-06-12T00:00:00"/>
    <d v="2023-07-05T19:42:28"/>
    <m/>
    <d v="2023-07-05T00:00:00"/>
    <n v="1190"/>
    <n v="3313"/>
    <s v="59984427"/>
    <s v="59984427"/>
    <m/>
    <m/>
    <m/>
    <m/>
    <m/>
    <m/>
    <s v="SOLRECOUP"/>
    <s v="SOLRECOUP"/>
    <s v="POARECOUP"/>
    <n v="21333941"/>
    <n v="-30.91"/>
    <m/>
    <s v="Y"/>
    <n v="2"/>
    <d v="2023-07-05T19:42:29"/>
    <s v="N"/>
    <m/>
    <m/>
    <s v="Non Expert Disbursement"/>
    <m/>
    <s v="N"/>
    <n v="0"/>
    <n v="-5.15"/>
    <x v="6"/>
    <s v="VALIDATED"/>
    <n v="1"/>
    <s v="01.11.80.307.2013.0000"/>
    <n v="-5.15"/>
    <s v="11"/>
    <s v="2013"/>
    <n v="627.7"/>
    <n v="-5.15"/>
    <s v="CREDITOR"/>
    <n v="0"/>
    <n v="0"/>
    <n v="-5.15"/>
    <n v="0"/>
    <n v="0"/>
  </r>
  <r>
    <n v="59984427"/>
    <s v="N"/>
    <n v="21333942"/>
    <s v="3000014329170016RC"/>
    <s v="CIVIL"/>
    <d v="2023-06-12T00:00:00"/>
    <d v="2023-07-05T19:42:28"/>
    <m/>
    <d v="2023-07-05T00:00:00"/>
    <n v="1190"/>
    <n v="3313"/>
    <s v="59984427"/>
    <s v="59984427"/>
    <m/>
    <m/>
    <m/>
    <m/>
    <m/>
    <m/>
    <s v="SOLRECOUP"/>
    <s v="SOLRECOUP"/>
    <s v="POARECOUP"/>
    <n v="21333942"/>
    <n v="-1688.2"/>
    <m/>
    <s v="Y"/>
    <n v="1"/>
    <d v="2023-07-05T19:42:29"/>
    <s v="N"/>
    <m/>
    <m/>
    <s v="Non Expert Disbursement"/>
    <m/>
    <s v="N"/>
    <n v="-1688.2"/>
    <n v="0"/>
    <x v="6"/>
    <s v="VALIDATED"/>
    <n v="1"/>
    <s v="01.11.80.307.2013.0000"/>
    <n v="-1688.2"/>
    <s v="11"/>
    <s v="2013"/>
    <n v="627.7"/>
    <n v="-1688.2"/>
    <s v="CREDITOR"/>
    <n v="0"/>
    <n v="0"/>
    <n v="-1688.2"/>
    <n v="0"/>
    <n v="0"/>
  </r>
  <r>
    <n v="59984427"/>
    <s v="N"/>
    <n v="21333942"/>
    <s v="3000014329170016RC"/>
    <s v="CIVIL"/>
    <d v="2023-06-12T00:00:00"/>
    <d v="2023-07-05T19:42:28"/>
    <m/>
    <d v="2023-07-05T00:00:00"/>
    <n v="1190"/>
    <n v="3313"/>
    <s v="59984427"/>
    <s v="59984427"/>
    <m/>
    <m/>
    <m/>
    <m/>
    <m/>
    <m/>
    <s v="SOLRECOUP"/>
    <s v="SOLRECOUP"/>
    <s v="POARECOUP"/>
    <n v="21333942"/>
    <n v="-1688.2"/>
    <m/>
    <s v="Y"/>
    <n v="2"/>
    <d v="2023-07-05T19:42:29"/>
    <s v="N"/>
    <m/>
    <m/>
    <s v="Non Expert Disbursement"/>
    <m/>
    <s v="N"/>
    <n v="0"/>
    <n v="0"/>
    <x v="6"/>
    <s v="VALIDATED"/>
    <n v="1"/>
    <s v="01.11.80.000.0000.0000"/>
    <n v="0"/>
    <s v="11"/>
    <s v="0000"/>
    <n v="627.7"/>
    <n v="0"/>
    <s v="CREDITOR"/>
    <n v="0"/>
    <n v="0"/>
    <n v="0"/>
    <n v="0"/>
    <n v="0"/>
  </r>
  <r>
    <n v="59984427"/>
    <s v="N"/>
    <n v="21333943"/>
    <s v="3000014329170018RC"/>
    <s v="CIVIL"/>
    <d v="2023-06-12T00:00:00"/>
    <d v="2023-07-05T19:42:28"/>
    <m/>
    <d v="2023-07-05T00:00:00"/>
    <n v="1190"/>
    <n v="3313"/>
    <s v="59984427"/>
    <s v="59984427"/>
    <m/>
    <m/>
    <m/>
    <m/>
    <m/>
    <m/>
    <s v="SOLRECOUP"/>
    <s v="SOLRECOUP"/>
    <s v="POARECOUP"/>
    <n v="21333943"/>
    <n v="-4655.93"/>
    <m/>
    <s v="Y"/>
    <n v="1"/>
    <d v="2023-07-05T19:42:29"/>
    <s v="N"/>
    <m/>
    <m/>
    <s v="Profit Cost"/>
    <m/>
    <s v="N"/>
    <n v="-3879.94"/>
    <n v="0"/>
    <x v="6"/>
    <s v="VALIDATED"/>
    <n v="1"/>
    <s v="01.11.80.307.2013.0000"/>
    <n v="-3879.94"/>
    <s v="11"/>
    <s v="2013"/>
    <n v="627.7"/>
    <n v="-3879.94"/>
    <s v="CREDITOR"/>
    <n v="0"/>
    <n v="0"/>
    <n v="-3879.94"/>
    <n v="-969.985"/>
    <n v="0"/>
  </r>
  <r>
    <n v="59984427"/>
    <s v="N"/>
    <n v="21333943"/>
    <s v="3000014329170018RC"/>
    <s v="CIVIL"/>
    <d v="2023-06-12T00:00:00"/>
    <d v="2023-07-05T19:42:28"/>
    <m/>
    <d v="2023-07-05T00:00:00"/>
    <n v="1190"/>
    <n v="3313"/>
    <s v="59984427"/>
    <s v="59984427"/>
    <m/>
    <m/>
    <m/>
    <m/>
    <m/>
    <m/>
    <s v="SOLRECOUP"/>
    <s v="SOLRECOUP"/>
    <s v="POARECOUP"/>
    <n v="21333943"/>
    <n v="-4655.93"/>
    <m/>
    <s v="Y"/>
    <n v="2"/>
    <d v="2023-07-05T19:42:29"/>
    <s v="N"/>
    <m/>
    <m/>
    <s v="Profit Cost"/>
    <m/>
    <s v="N"/>
    <n v="0"/>
    <n v="-775.99"/>
    <x v="6"/>
    <s v="VALIDATED"/>
    <n v="1"/>
    <s v="01.11.80.307.2013.0000"/>
    <n v="-775.99"/>
    <s v="11"/>
    <s v="2013"/>
    <n v="627.7"/>
    <n v="-775.99"/>
    <s v="CREDITOR"/>
    <n v="0"/>
    <n v="0"/>
    <n v="-775.99"/>
    <n v="-193.9975"/>
    <n v="0"/>
  </r>
  <r>
    <n v="59984427"/>
    <s v="N"/>
    <n v="21333944"/>
    <s v="3000014329170017RC"/>
    <s v="CIVIL"/>
    <d v="2023-06-12T00:00:00"/>
    <d v="2023-07-05T19:42:28"/>
    <m/>
    <d v="2023-07-05T00:00:00"/>
    <n v="1190"/>
    <n v="3313"/>
    <s v="59984427"/>
    <s v="59984427"/>
    <m/>
    <m/>
    <m/>
    <m/>
    <m/>
    <m/>
    <s v="SOLRECOUP"/>
    <s v="SOLRECOUP"/>
    <s v="POARECOUP"/>
    <n v="21333944"/>
    <n v="-37.73"/>
    <m/>
    <s v="Y"/>
    <n v="1"/>
    <d v="2023-07-05T19:42:29"/>
    <s v="N"/>
    <m/>
    <m/>
    <s v="Non Expert Disbursement"/>
    <m/>
    <s v="N"/>
    <n v="-31.44"/>
    <n v="0"/>
    <x v="6"/>
    <s v="VALIDATED"/>
    <n v="1"/>
    <s v="01.11.80.307.2013.0000"/>
    <n v="-31.44"/>
    <s v="11"/>
    <s v="2013"/>
    <n v="627.7"/>
    <n v="-31.44"/>
    <s v="CREDITOR"/>
    <n v="0"/>
    <n v="0"/>
    <n v="-31.44"/>
    <n v="0"/>
    <n v="0"/>
  </r>
  <r>
    <n v="59984427"/>
    <s v="N"/>
    <n v="21333944"/>
    <s v="3000014329170017RC"/>
    <s v="CIVIL"/>
    <d v="2023-06-12T00:00:00"/>
    <d v="2023-07-05T19:42:28"/>
    <m/>
    <d v="2023-07-05T00:00:00"/>
    <n v="1190"/>
    <n v="3313"/>
    <s v="59984427"/>
    <s v="59984427"/>
    <m/>
    <m/>
    <m/>
    <m/>
    <m/>
    <m/>
    <s v="SOLRECOUP"/>
    <s v="SOLRECOUP"/>
    <s v="POARECOUP"/>
    <n v="21333944"/>
    <n v="-37.73"/>
    <m/>
    <s v="Y"/>
    <n v="2"/>
    <d v="2023-07-05T19:42:29"/>
    <s v="N"/>
    <m/>
    <m/>
    <s v="Non Expert Disbursement"/>
    <m/>
    <s v="N"/>
    <n v="0"/>
    <n v="-6.29"/>
    <x v="6"/>
    <s v="VALIDATED"/>
    <n v="1"/>
    <s v="01.11.80.307.2013.0000"/>
    <n v="-6.29"/>
    <s v="11"/>
    <s v="2013"/>
    <n v="627.7"/>
    <n v="-6.29"/>
    <s v="CREDITOR"/>
    <n v="0"/>
    <n v="0"/>
    <n v="-6.29"/>
    <n v="0"/>
    <n v="0"/>
  </r>
  <r>
    <n v="59984427"/>
    <s v="N"/>
    <n v="21333945"/>
    <s v="3000014329170020RC"/>
    <s v="CIVIL"/>
    <d v="2023-06-12T00:00:00"/>
    <d v="2023-07-05T19:42:28"/>
    <m/>
    <d v="2023-07-05T00:00:00"/>
    <n v="1190"/>
    <n v="3313"/>
    <s v="59984427"/>
    <s v="59984427"/>
    <m/>
    <m/>
    <m/>
    <m/>
    <m/>
    <m/>
    <s v="SOLRECOUP"/>
    <s v="SOLRECOUP"/>
    <s v="POARECOUP"/>
    <n v="21333945"/>
    <n v="-53"/>
    <m/>
    <s v="Y"/>
    <n v="1"/>
    <d v="2023-07-05T19:42:29"/>
    <s v="N"/>
    <m/>
    <m/>
    <s v="Non Expert Disbursement"/>
    <m/>
    <s v="N"/>
    <n v="-53"/>
    <n v="0"/>
    <x v="6"/>
    <s v="VALIDATED"/>
    <n v="1"/>
    <s v="01.11.80.307.2013.0000"/>
    <n v="-53"/>
    <s v="11"/>
    <s v="2013"/>
    <n v="627.7"/>
    <n v="-53"/>
    <s v="CREDITOR"/>
    <n v="0"/>
    <n v="0"/>
    <n v="-53"/>
    <n v="0"/>
    <n v="0"/>
  </r>
  <r>
    <n v="59984427"/>
    <s v="N"/>
    <n v="21333945"/>
    <s v="3000014329170020RC"/>
    <s v="CIVIL"/>
    <d v="2023-06-12T00:00:00"/>
    <d v="2023-07-05T19:42:28"/>
    <m/>
    <d v="2023-07-05T00:00:00"/>
    <n v="1190"/>
    <n v="3313"/>
    <s v="59984427"/>
    <s v="59984427"/>
    <m/>
    <m/>
    <m/>
    <m/>
    <m/>
    <m/>
    <s v="SOLRECOUP"/>
    <s v="SOLRECOUP"/>
    <s v="POARECOUP"/>
    <n v="21333945"/>
    <n v="-53"/>
    <m/>
    <s v="Y"/>
    <n v="2"/>
    <d v="2023-07-05T19:42:29"/>
    <s v="N"/>
    <m/>
    <m/>
    <s v="Non Expert Disbursement"/>
    <m/>
    <s v="N"/>
    <n v="0"/>
    <n v="0"/>
    <x v="6"/>
    <s v="VALIDATED"/>
    <n v="1"/>
    <s v="01.11.80.000.0000.0000"/>
    <n v="0"/>
    <s v="11"/>
    <s v="0000"/>
    <n v="627.7"/>
    <n v="0"/>
    <s v="CREDITOR"/>
    <n v="0"/>
    <n v="0"/>
    <n v="0"/>
    <n v="0"/>
    <n v="0"/>
  </r>
  <r>
    <n v="59984427"/>
    <s v="N"/>
    <n v="21333932"/>
    <s v="3000014329170003RC"/>
    <s v="CIVIL"/>
    <d v="2023-06-12T00:00:00"/>
    <d v="2023-07-05T19:42:28"/>
    <m/>
    <d v="2023-07-05T00:00:00"/>
    <n v="1190"/>
    <n v="3313"/>
    <s v="59984427"/>
    <s v="59984427"/>
    <m/>
    <m/>
    <m/>
    <m/>
    <m/>
    <m/>
    <s v="SOLRECOUP"/>
    <s v="SOLRECOUP"/>
    <s v="POARECOUP"/>
    <n v="21333932"/>
    <n v="-2058"/>
    <m/>
    <s v="Y"/>
    <n v="1"/>
    <d v="2023-07-05T19:42:29"/>
    <s v="N"/>
    <m/>
    <m/>
    <s v="Non Expert Disbursement"/>
    <m/>
    <s v="N"/>
    <n v="-1715"/>
    <n v="0"/>
    <x v="6"/>
    <s v="VALIDATED"/>
    <n v="1"/>
    <s v="01.11.80.307.2013.0000"/>
    <n v="-1715"/>
    <s v="11"/>
    <s v="2013"/>
    <n v="627.7"/>
    <n v="-1715"/>
    <s v="CREDITOR"/>
    <n v="0"/>
    <n v="0"/>
    <n v="-1715"/>
    <n v="0"/>
    <n v="0"/>
  </r>
  <r>
    <n v="59984427"/>
    <s v="N"/>
    <n v="21333932"/>
    <s v="3000014329170003RC"/>
    <s v="CIVIL"/>
    <d v="2023-06-12T00:00:00"/>
    <d v="2023-07-05T19:42:28"/>
    <m/>
    <d v="2023-07-05T00:00:00"/>
    <n v="1190"/>
    <n v="3313"/>
    <s v="59984427"/>
    <s v="59984427"/>
    <m/>
    <m/>
    <m/>
    <m/>
    <m/>
    <m/>
    <s v="SOLRECOUP"/>
    <s v="SOLRECOUP"/>
    <s v="POARECOUP"/>
    <n v="21333932"/>
    <n v="-2058"/>
    <m/>
    <s v="Y"/>
    <n v="2"/>
    <d v="2023-07-05T19:42:29"/>
    <s v="N"/>
    <m/>
    <m/>
    <s v="Non Expert Disbursement"/>
    <m/>
    <s v="N"/>
    <n v="0"/>
    <n v="-343"/>
    <x v="6"/>
    <s v="VALIDATED"/>
    <n v="1"/>
    <s v="01.11.80.307.2013.0000"/>
    <n v="-343"/>
    <s v="11"/>
    <s v="2013"/>
    <n v="627.7"/>
    <n v="-343"/>
    <s v="CREDITOR"/>
    <n v="0"/>
    <n v="0"/>
    <n v="-343"/>
    <n v="0"/>
    <n v="0"/>
  </r>
  <r>
    <n v="59984427"/>
    <s v="N"/>
    <n v="21333933"/>
    <s v="3000014329170005RC"/>
    <s v="CIVIL"/>
    <d v="2023-06-12T00:00:00"/>
    <d v="2023-07-05T19:42:28"/>
    <m/>
    <d v="2023-07-05T00:00:00"/>
    <n v="1190"/>
    <n v="3313"/>
    <s v="59984427"/>
    <s v="59984427"/>
    <m/>
    <m/>
    <m/>
    <m/>
    <m/>
    <m/>
    <s v="SOLRECOUP"/>
    <s v="SOLRECOUP"/>
    <s v="POARECOUP"/>
    <n v="21333933"/>
    <n v="-2328"/>
    <m/>
    <s v="Y"/>
    <n v="1"/>
    <d v="2023-07-05T19:42:29"/>
    <s v="N"/>
    <m/>
    <m/>
    <s v="Non Expert Disbursement"/>
    <m/>
    <s v="N"/>
    <n v="-1940"/>
    <n v="0"/>
    <x v="6"/>
    <s v="VALIDATED"/>
    <n v="1"/>
    <s v="01.11.80.307.2013.0000"/>
    <n v="-1940"/>
    <s v="11"/>
    <s v="2013"/>
    <n v="627.7"/>
    <n v="-1940"/>
    <s v="CREDITOR"/>
    <n v="0"/>
    <n v="0"/>
    <n v="-1940"/>
    <n v="0"/>
    <n v="0"/>
  </r>
  <r>
    <n v="59984427"/>
    <s v="N"/>
    <n v="21333933"/>
    <s v="3000014329170005RC"/>
    <s v="CIVIL"/>
    <d v="2023-06-12T00:00:00"/>
    <d v="2023-07-05T19:42:28"/>
    <m/>
    <d v="2023-07-05T00:00:00"/>
    <n v="1190"/>
    <n v="3313"/>
    <s v="59984427"/>
    <s v="59984427"/>
    <m/>
    <m/>
    <m/>
    <m/>
    <m/>
    <m/>
    <s v="SOLRECOUP"/>
    <s v="SOLRECOUP"/>
    <s v="POARECOUP"/>
    <n v="21333933"/>
    <n v="-2328"/>
    <m/>
    <s v="Y"/>
    <n v="2"/>
    <d v="2023-07-05T19:42:29"/>
    <s v="N"/>
    <m/>
    <m/>
    <s v="Non Expert Disbursement"/>
    <m/>
    <s v="N"/>
    <n v="0"/>
    <n v="-388"/>
    <x v="6"/>
    <s v="VALIDATED"/>
    <n v="1"/>
    <s v="01.11.80.307.2013.0000"/>
    <n v="-388"/>
    <s v="11"/>
    <s v="2013"/>
    <n v="627.7"/>
    <n v="-388"/>
    <s v="CREDITOR"/>
    <n v="0"/>
    <n v="0"/>
    <n v="-388"/>
    <n v="0"/>
    <n v="0"/>
  </r>
  <r>
    <n v="59984427"/>
    <s v="N"/>
    <n v="21333934"/>
    <s v="3000014329170002RC"/>
    <s v="CIVIL"/>
    <d v="2023-06-12T00:00:00"/>
    <d v="2023-07-05T19:42:28"/>
    <m/>
    <d v="2023-07-05T00:00:00"/>
    <n v="1190"/>
    <n v="3313"/>
    <s v="59984427"/>
    <s v="59984427"/>
    <m/>
    <m/>
    <m/>
    <m/>
    <m/>
    <m/>
    <s v="SOLRECOUP"/>
    <s v="SOLRECOUP"/>
    <s v="POARECOUP"/>
    <n v="21333934"/>
    <n v="-1626"/>
    <m/>
    <s v="Y"/>
    <n v="1"/>
    <d v="2023-07-05T19:42:29"/>
    <s v="N"/>
    <m/>
    <m/>
    <s v="Non Expert Disbursement"/>
    <m/>
    <s v="N"/>
    <n v="-1355"/>
    <n v="0"/>
    <x v="6"/>
    <s v="VALIDATED"/>
    <n v="1"/>
    <s v="01.11.80.307.2013.0000"/>
    <n v="-1355"/>
    <s v="11"/>
    <s v="2013"/>
    <n v="627.7"/>
    <n v="-1355"/>
    <s v="CREDITOR"/>
    <n v="0"/>
    <n v="0"/>
    <n v="-1355"/>
    <n v="0"/>
    <n v="0"/>
  </r>
  <r>
    <n v="59984427"/>
    <s v="N"/>
    <n v="21333934"/>
    <s v="3000014329170002RC"/>
    <s v="CIVIL"/>
    <d v="2023-06-12T00:00:00"/>
    <d v="2023-07-05T19:42:28"/>
    <m/>
    <d v="2023-07-05T00:00:00"/>
    <n v="1190"/>
    <n v="3313"/>
    <s v="59984427"/>
    <s v="59984427"/>
    <m/>
    <m/>
    <m/>
    <m/>
    <m/>
    <m/>
    <s v="SOLRECOUP"/>
    <s v="SOLRECOUP"/>
    <s v="POARECOUP"/>
    <n v="21333934"/>
    <n v="-1626"/>
    <m/>
    <s v="Y"/>
    <n v="2"/>
    <d v="2023-07-05T19:42:29"/>
    <s v="N"/>
    <m/>
    <m/>
    <s v="Non Expert Disbursement"/>
    <m/>
    <s v="N"/>
    <n v="0"/>
    <n v="-271"/>
    <x v="6"/>
    <s v="VALIDATED"/>
    <n v="1"/>
    <s v="01.11.80.307.2013.0000"/>
    <n v="-271"/>
    <s v="11"/>
    <s v="2013"/>
    <n v="627.7"/>
    <n v="-271"/>
    <s v="CREDITOR"/>
    <n v="0"/>
    <n v="0"/>
    <n v="-271"/>
    <n v="0"/>
    <n v="0"/>
  </r>
  <r>
    <n v="59984427"/>
    <s v="N"/>
    <n v="21333935"/>
    <s v="3000014329170006RC"/>
    <s v="CIVIL"/>
    <d v="2023-06-12T00:00:00"/>
    <d v="2023-07-05T19:42:28"/>
    <m/>
    <d v="2023-07-05T00:00:00"/>
    <n v="1190"/>
    <n v="3313"/>
    <s v="59984427"/>
    <s v="59984427"/>
    <m/>
    <m/>
    <m/>
    <m/>
    <m/>
    <m/>
    <s v="SOLRECOUP"/>
    <s v="SOLRECOUP"/>
    <s v="POARECOUP"/>
    <n v="21333935"/>
    <n v="-1855.2"/>
    <m/>
    <s v="Y"/>
    <n v="1"/>
    <d v="2023-07-05T19:42:29"/>
    <s v="N"/>
    <m/>
    <m/>
    <s v="Non Expert Disbursement"/>
    <m/>
    <s v="N"/>
    <n v="-1546"/>
    <n v="0"/>
    <x v="6"/>
    <s v="VALIDATED"/>
    <n v="1"/>
    <s v="01.11.80.307.2013.0000"/>
    <n v="-1546"/>
    <s v="11"/>
    <s v="2013"/>
    <n v="627.7"/>
    <n v="-1546"/>
    <s v="CREDITOR"/>
    <n v="0"/>
    <n v="0"/>
    <n v="-1546"/>
    <n v="0"/>
    <n v="0"/>
  </r>
  <r>
    <n v="59984427"/>
    <s v="N"/>
    <n v="21333935"/>
    <s v="3000014329170006RC"/>
    <s v="CIVIL"/>
    <d v="2023-06-12T00:00:00"/>
    <d v="2023-07-05T19:42:28"/>
    <m/>
    <d v="2023-07-05T00:00:00"/>
    <n v="1190"/>
    <n v="3313"/>
    <s v="59984427"/>
    <s v="59984427"/>
    <m/>
    <m/>
    <m/>
    <m/>
    <m/>
    <m/>
    <s v="SOLRECOUP"/>
    <s v="SOLRECOUP"/>
    <s v="POARECOUP"/>
    <n v="21333935"/>
    <n v="-1855.2"/>
    <m/>
    <s v="Y"/>
    <n v="2"/>
    <d v="2023-07-05T19:42:29"/>
    <s v="N"/>
    <m/>
    <m/>
    <s v="Non Expert Disbursement"/>
    <m/>
    <s v="N"/>
    <n v="0"/>
    <n v="-309.2"/>
    <x v="6"/>
    <s v="VALIDATED"/>
    <n v="1"/>
    <s v="01.11.80.307.2013.0000"/>
    <n v="-309.2"/>
    <s v="11"/>
    <s v="2013"/>
    <n v="627.7"/>
    <n v="-309.2"/>
    <s v="CREDITOR"/>
    <n v="0"/>
    <n v="0"/>
    <n v="-309.2"/>
    <n v="0"/>
    <n v="0"/>
  </r>
  <r>
    <n v="59984427"/>
    <s v="N"/>
    <n v="21333936"/>
    <s v="3000014329170013RC"/>
    <s v="CIVIL"/>
    <d v="2023-06-12T00:00:00"/>
    <d v="2023-07-05T19:42:28"/>
    <m/>
    <d v="2023-07-05T00:00:00"/>
    <n v="1190"/>
    <n v="3313"/>
    <s v="59984427"/>
    <s v="59984427"/>
    <m/>
    <m/>
    <m/>
    <m/>
    <m/>
    <m/>
    <s v="SOLRECOUP"/>
    <s v="SOLRECOUP"/>
    <s v="POARECOUP"/>
    <n v="21333936"/>
    <n v="-84.95999999999999"/>
    <m/>
    <s v="Y"/>
    <n v="1"/>
    <d v="2023-07-05T19:42:29"/>
    <s v="N"/>
    <m/>
    <m/>
    <s v="Non Expert Disbursement"/>
    <m/>
    <s v="N"/>
    <n v="-70.8"/>
    <n v="0"/>
    <x v="6"/>
    <s v="VALIDATED"/>
    <n v="1"/>
    <s v="01.11.80.307.2013.0000"/>
    <n v="-70.8"/>
    <s v="11"/>
    <s v="2013"/>
    <n v="627.7"/>
    <n v="-70.8"/>
    <s v="CREDITOR"/>
    <n v="0"/>
    <n v="0"/>
    <n v="-70.8"/>
    <n v="0"/>
    <n v="0"/>
  </r>
  <r>
    <n v="59984427"/>
    <s v="N"/>
    <n v="21333936"/>
    <s v="3000014329170013RC"/>
    <s v="CIVIL"/>
    <d v="2023-06-12T00:00:00"/>
    <d v="2023-07-05T19:42:28"/>
    <m/>
    <d v="2023-07-05T00:00:00"/>
    <n v="1190"/>
    <n v="3313"/>
    <s v="59984427"/>
    <s v="59984427"/>
    <m/>
    <m/>
    <m/>
    <m/>
    <m/>
    <m/>
    <s v="SOLRECOUP"/>
    <s v="SOLRECOUP"/>
    <s v="POARECOUP"/>
    <n v="21333936"/>
    <n v="-84.95999999999999"/>
    <m/>
    <s v="Y"/>
    <n v="2"/>
    <d v="2023-07-05T19:42:29"/>
    <s v="N"/>
    <m/>
    <m/>
    <s v="Non Expert Disbursement"/>
    <m/>
    <s v="N"/>
    <n v="0"/>
    <n v="-14.16"/>
    <x v="6"/>
    <s v="VALIDATED"/>
    <n v="1"/>
    <s v="01.11.80.307.2013.0000"/>
    <n v="-14.16"/>
    <s v="11"/>
    <s v="2013"/>
    <n v="627.7"/>
    <n v="-14.16"/>
    <s v="CREDITOR"/>
    <n v="0"/>
    <n v="0"/>
    <n v="-14.16"/>
    <n v="0"/>
    <n v="0"/>
  </r>
  <r>
    <n v="59984427"/>
    <s v="N"/>
    <n v="21333937"/>
    <s v="3000014329170014RC"/>
    <s v="CIVIL"/>
    <d v="2023-06-12T00:00:00"/>
    <d v="2023-07-05T19:42:28"/>
    <m/>
    <d v="2023-07-05T00:00:00"/>
    <n v="1190"/>
    <n v="3313"/>
    <s v="59984427"/>
    <s v="59984427"/>
    <m/>
    <m/>
    <m/>
    <m/>
    <m/>
    <m/>
    <s v="SOLRECOUP"/>
    <s v="SOLRECOUP"/>
    <s v="POARECOUP"/>
    <n v="21333937"/>
    <n v="-80.16"/>
    <m/>
    <s v="Y"/>
    <n v="1"/>
    <d v="2023-07-05T19:42:29"/>
    <s v="N"/>
    <m/>
    <m/>
    <s v="Non Expert Disbursement"/>
    <m/>
    <s v="N"/>
    <n v="-66.8"/>
    <n v="0"/>
    <x v="6"/>
    <s v="VALIDATED"/>
    <n v="1"/>
    <s v="01.11.80.307.2013.0000"/>
    <n v="-66.8"/>
    <s v="11"/>
    <s v="2013"/>
    <n v="627.7"/>
    <n v="-66.8"/>
    <s v="CREDITOR"/>
    <n v="0"/>
    <n v="0"/>
    <n v="-66.8"/>
    <n v="0"/>
    <n v="0"/>
  </r>
  <r>
    <n v="59984427"/>
    <s v="N"/>
    <n v="21333937"/>
    <s v="3000014329170014RC"/>
    <s v="CIVIL"/>
    <d v="2023-06-12T00:00:00"/>
    <d v="2023-07-05T19:42:28"/>
    <m/>
    <d v="2023-07-05T00:00:00"/>
    <n v="1190"/>
    <n v="3313"/>
    <s v="59984427"/>
    <s v="59984427"/>
    <m/>
    <m/>
    <m/>
    <m/>
    <m/>
    <m/>
    <s v="SOLRECOUP"/>
    <s v="SOLRECOUP"/>
    <s v="POARECOUP"/>
    <n v="21333937"/>
    <n v="-80.16"/>
    <m/>
    <s v="Y"/>
    <n v="2"/>
    <d v="2023-07-05T19:42:29"/>
    <s v="N"/>
    <m/>
    <m/>
    <s v="Non Expert Disbursement"/>
    <m/>
    <s v="N"/>
    <n v="0"/>
    <n v="-13.36"/>
    <x v="6"/>
    <s v="VALIDATED"/>
    <n v="1"/>
    <s v="01.11.80.307.2013.0000"/>
    <n v="-13.36"/>
    <s v="11"/>
    <s v="2013"/>
    <n v="627.7"/>
    <n v="-13.36"/>
    <s v="CREDITOR"/>
    <n v="0"/>
    <n v="0"/>
    <n v="-13.36"/>
    <n v="0"/>
    <n v="0"/>
  </r>
  <r>
    <n v="59984427"/>
    <s v="N"/>
    <n v="21333938"/>
    <s v="3000014329170008RC"/>
    <s v="CIVIL"/>
    <d v="2023-06-12T00:00:00"/>
    <d v="2023-07-05T19:42:28"/>
    <m/>
    <d v="2023-07-05T00:00:00"/>
    <n v="1190"/>
    <n v="3313"/>
    <s v="59984427"/>
    <s v="59984427"/>
    <m/>
    <m/>
    <m/>
    <m/>
    <m/>
    <m/>
    <s v="SOLRECOUP"/>
    <s v="SOLRECOUP"/>
    <s v="POARECOUP"/>
    <n v="21333938"/>
    <n v="-1200.26"/>
    <m/>
    <s v="Y"/>
    <n v="1"/>
    <d v="2023-07-05T19:42:29"/>
    <s v="N"/>
    <m/>
    <m/>
    <s v="Profit Cost"/>
    <m/>
    <s v="N"/>
    <n v="-1000.22"/>
    <n v="0"/>
    <x v="6"/>
    <s v="VALIDATED"/>
    <n v="1"/>
    <s v="01.11.80.307.2013.0000"/>
    <n v="-1000.22"/>
    <s v="11"/>
    <s v="2013"/>
    <n v="627.7"/>
    <n v="-1000.22"/>
    <s v="CREDITOR"/>
    <n v="0"/>
    <n v="0"/>
    <n v="-1000.22"/>
    <n v="-250.055"/>
    <n v="0"/>
  </r>
  <r>
    <n v="59984427"/>
    <s v="N"/>
    <n v="21333938"/>
    <s v="3000014329170008RC"/>
    <s v="CIVIL"/>
    <d v="2023-06-12T00:00:00"/>
    <d v="2023-07-05T19:42:28"/>
    <m/>
    <d v="2023-07-05T00:00:00"/>
    <n v="1190"/>
    <n v="3313"/>
    <s v="59984427"/>
    <s v="59984427"/>
    <m/>
    <m/>
    <m/>
    <m/>
    <m/>
    <m/>
    <s v="SOLRECOUP"/>
    <s v="SOLRECOUP"/>
    <s v="POARECOUP"/>
    <n v="21333938"/>
    <n v="-1200.26"/>
    <m/>
    <s v="Y"/>
    <n v="2"/>
    <d v="2023-07-05T19:42:29"/>
    <s v="N"/>
    <m/>
    <m/>
    <s v="Profit Cost"/>
    <m/>
    <s v="N"/>
    <n v="0"/>
    <n v="-200.04"/>
    <x v="6"/>
    <s v="VALIDATED"/>
    <n v="1"/>
    <s v="01.11.80.307.2013.0000"/>
    <n v="-200.04"/>
    <s v="11"/>
    <s v="2013"/>
    <n v="627.7"/>
    <n v="-200.04"/>
    <s v="CREDITOR"/>
    <n v="0"/>
    <n v="0"/>
    <n v="-200.04"/>
    <n v="-50.01"/>
    <n v="0"/>
  </r>
  <r>
    <n v="59984427"/>
    <s v="N"/>
    <n v="21333939"/>
    <s v="3000014329170011RC"/>
    <s v="CIVIL"/>
    <d v="2023-06-12T00:00:00"/>
    <d v="2023-07-05T19:42:28"/>
    <m/>
    <d v="2023-07-05T00:00:00"/>
    <n v="1190"/>
    <n v="3313"/>
    <s v="59984427"/>
    <s v="59984427"/>
    <m/>
    <m/>
    <m/>
    <m/>
    <m/>
    <m/>
    <s v="SOLRECOUP"/>
    <s v="SOLRECOUP"/>
    <s v="POARECOUP"/>
    <n v="21333939"/>
    <n v="-32.16"/>
    <m/>
    <s v="Y"/>
    <n v="1"/>
    <d v="2023-07-05T19:42:29"/>
    <s v="N"/>
    <m/>
    <m/>
    <s v="Non Expert Disbursement"/>
    <m/>
    <s v="N"/>
    <n v="-32.16"/>
    <n v="0"/>
    <x v="6"/>
    <s v="VALIDATED"/>
    <n v="1"/>
    <s v="01.11.80.307.2013.0000"/>
    <n v="-32.16"/>
    <s v="11"/>
    <s v="2013"/>
    <n v="627.7"/>
    <n v="-32.16"/>
    <s v="CREDITOR"/>
    <n v="0"/>
    <n v="0"/>
    <n v="-32.16"/>
    <n v="0"/>
    <n v="0"/>
  </r>
  <r>
    <n v="59984427"/>
    <s v="N"/>
    <n v="21333939"/>
    <s v="3000014329170011RC"/>
    <s v="CIVIL"/>
    <d v="2023-06-12T00:00:00"/>
    <d v="2023-07-05T19:42:28"/>
    <m/>
    <d v="2023-07-05T00:00:00"/>
    <n v="1190"/>
    <n v="3313"/>
    <s v="59984427"/>
    <s v="59984427"/>
    <m/>
    <m/>
    <m/>
    <m/>
    <m/>
    <m/>
    <s v="SOLRECOUP"/>
    <s v="SOLRECOUP"/>
    <s v="POARECOUP"/>
    <n v="21333939"/>
    <n v="-32.16"/>
    <m/>
    <s v="Y"/>
    <n v="2"/>
    <d v="2023-07-05T19:42:29"/>
    <s v="N"/>
    <m/>
    <m/>
    <s v="Non Expert Disbursement"/>
    <m/>
    <s v="N"/>
    <n v="0"/>
    <n v="0"/>
    <x v="6"/>
    <s v="VALIDATED"/>
    <n v="1"/>
    <s v="01.11.80.000.0000.0000"/>
    <n v="0"/>
    <s v="11"/>
    <s v="0000"/>
    <n v="627.7"/>
    <n v="0"/>
    <s v="CREDITOR"/>
    <n v="0"/>
    <n v="0"/>
    <n v="0"/>
    <n v="0"/>
    <n v="0"/>
  </r>
  <r>
    <n v="59984427"/>
    <s v="N"/>
    <n v="21333940"/>
    <s v="3000014329170012RC"/>
    <s v="CIVIL"/>
    <d v="2023-06-12T00:00:00"/>
    <d v="2023-07-05T19:42:28"/>
    <m/>
    <d v="2023-07-05T00:00:00"/>
    <n v="1190"/>
    <n v="3313"/>
    <s v="59984427"/>
    <s v="59984427"/>
    <m/>
    <m/>
    <m/>
    <m/>
    <m/>
    <m/>
    <s v="SOLRECOUP"/>
    <s v="SOLRECOUP"/>
    <s v="POARECOUP"/>
    <n v="21333940"/>
    <n v="-123.76"/>
    <m/>
    <s v="Y"/>
    <n v="1"/>
    <d v="2023-07-05T19:42:29"/>
    <s v="N"/>
    <m/>
    <m/>
    <s v="Non Expert Disbursement"/>
    <m/>
    <s v="N"/>
    <n v="-123.76"/>
    <n v="0"/>
    <x v="6"/>
    <s v="VALIDATED"/>
    <n v="1"/>
    <s v="01.11.80.307.2013.0000"/>
    <n v="-123.76"/>
    <s v="11"/>
    <s v="2013"/>
    <n v="627.7"/>
    <n v="-123.76"/>
    <s v="CREDITOR"/>
    <n v="0"/>
    <n v="0"/>
    <n v="-123.76"/>
    <n v="0"/>
    <n v="0"/>
  </r>
  <r>
    <n v="59984427"/>
    <s v="N"/>
    <n v="21333940"/>
    <s v="3000014329170012RC"/>
    <s v="CIVIL"/>
    <d v="2023-06-12T00:00:00"/>
    <d v="2023-07-05T19:42:28"/>
    <m/>
    <d v="2023-07-05T00:00:00"/>
    <n v="1190"/>
    <n v="3313"/>
    <s v="59984427"/>
    <s v="59984427"/>
    <m/>
    <m/>
    <m/>
    <m/>
    <m/>
    <m/>
    <s v="SOLRECOUP"/>
    <s v="SOLRECOUP"/>
    <s v="POARECOUP"/>
    <n v="21333940"/>
    <n v="-123.76"/>
    <m/>
    <s v="Y"/>
    <n v="2"/>
    <d v="2023-07-05T19:42:29"/>
    <s v="N"/>
    <m/>
    <m/>
    <s v="Non Expert Disbursement"/>
    <m/>
    <s v="N"/>
    <n v="0"/>
    <n v="0"/>
    <x v="6"/>
    <s v="VALIDATED"/>
    <n v="1"/>
    <s v="01.11.80.000.0000.0000"/>
    <n v="0"/>
    <s v="11"/>
    <s v="0000"/>
    <n v="627.7"/>
    <n v="0"/>
    <s v="CREDITOR"/>
    <n v="0"/>
    <n v="0"/>
    <n v="0"/>
    <n v="0"/>
    <n v="0"/>
  </r>
  <r>
    <n v="59984427"/>
    <s v="N"/>
    <n v="21333941"/>
    <s v="3000014329170015RC"/>
    <s v="CIVIL"/>
    <d v="2023-06-12T00:00:00"/>
    <d v="2023-07-05T19:42:28"/>
    <m/>
    <d v="2023-07-05T00:00:00"/>
    <n v="1190"/>
    <n v="3313"/>
    <s v="59984427"/>
    <s v="59984427"/>
    <m/>
    <m/>
    <m/>
    <m/>
    <m/>
    <m/>
    <s v="SOLRECOUP"/>
    <s v="SOLRECOUP"/>
    <s v="POARECOUP"/>
    <n v="21333941"/>
    <n v="-30.91"/>
    <m/>
    <s v="Y"/>
    <n v="1"/>
    <d v="2023-07-05T19:42:29"/>
    <s v="N"/>
    <m/>
    <m/>
    <s v="Non Expert Disbursement"/>
    <m/>
    <s v="N"/>
    <n v="-25.76"/>
    <n v="0"/>
    <x v="6"/>
    <s v="VALIDATED"/>
    <n v="1"/>
    <s v="01.11.80.307.2013.0000"/>
    <n v="-25.76"/>
    <s v="11"/>
    <s v="2013"/>
    <n v="627.7"/>
    <n v="-25.76"/>
    <s v="CREDITOR"/>
    <n v="0"/>
    <n v="0"/>
    <n v="-25.76"/>
    <n v="0"/>
    <n v="0"/>
  </r>
  <r>
    <n v="59984427"/>
    <s v="N"/>
    <n v="21331281"/>
    <s v="3000014329170022"/>
    <s v="CIVIL"/>
    <d v="2023-06-12T00:00:00"/>
    <d v="2023-07-05T19:01:47"/>
    <m/>
    <d v="2023-07-05T00:00:00"/>
    <n v="1190"/>
    <n v="3313"/>
    <s v="59984427"/>
    <s v="59984427"/>
    <m/>
    <m/>
    <n v="22670144"/>
    <m/>
    <m/>
    <m/>
    <s v="SOLINT"/>
    <s v="SOLINT"/>
    <s v="CCMS"/>
    <n v="21331281"/>
    <n v="19398.97"/>
    <m/>
    <s v="N"/>
    <n v="95"/>
    <d v="2023-07-05T19:02:13"/>
    <s v="Y"/>
    <s v="Preparation - other"/>
    <s v="Prescribed Hourly Rates"/>
    <s v="Profit Cost"/>
    <s v="CAH"/>
    <s v="Y"/>
    <n v="131.76"/>
    <n v="26.35"/>
    <x v="6"/>
    <s v="VALIDATED"/>
    <n v="1"/>
    <s v="01.11.80.307.6100.0000"/>
    <n v="131.76"/>
    <s v="11"/>
    <s v="6100"/>
    <n v="627.7"/>
    <n v="131.76"/>
    <s v="CREDITOR"/>
    <n v="0"/>
    <n v="0"/>
    <n v="0"/>
    <n v="0"/>
    <n v="131.76"/>
  </r>
  <r>
    <n v="59984427"/>
    <s v="N"/>
    <n v="21331281"/>
    <s v="3000014329170022"/>
    <s v="CIVIL"/>
    <d v="2023-06-12T00:00:00"/>
    <d v="2023-07-05T19:01:47"/>
    <m/>
    <d v="2023-07-05T00:00:00"/>
    <n v="1190"/>
    <n v="3313"/>
    <s v="59984427"/>
    <s v="59984427"/>
    <m/>
    <m/>
    <n v="22670144"/>
    <m/>
    <m/>
    <m/>
    <s v="SOLINT"/>
    <s v="SOLINT"/>
    <s v="CCMS"/>
    <n v="21331281"/>
    <n v="19398.97"/>
    <m/>
    <s v="N"/>
    <n v="154"/>
    <d v="2023-07-05T19:02:13"/>
    <s v="Y"/>
    <s v="Preparation - drafting bill/claim f"/>
    <s v="Prescribed Hourly Rates"/>
    <s v="Profit Cost"/>
    <s v="CL"/>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34"/>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39"/>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38"/>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43"/>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68"/>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22"/>
    <d v="2023-07-05T19:02:13"/>
    <s v="Y"/>
    <s v="Preparation - other"/>
    <s v="Prescribed Hourly Rates"/>
    <s v="Profit Cost"/>
    <s v="CAH"/>
    <s v="Y"/>
    <n v="32.94"/>
    <n v="6.59"/>
    <x v="6"/>
    <s v="VALIDATED"/>
    <n v="1"/>
    <s v="01.11.80.307.6100.0000"/>
    <n v="32.94"/>
    <s v="11"/>
    <s v="6100"/>
    <n v="627.7"/>
    <n v="32.94"/>
    <s v="CREDITOR"/>
    <n v="0"/>
    <n v="0"/>
    <n v="0"/>
    <n v="0"/>
    <n v="32.94"/>
  </r>
  <r>
    <n v="59984427"/>
    <s v="N"/>
    <n v="21331281"/>
    <s v="3000014329170022"/>
    <s v="CIVIL"/>
    <d v="2023-06-12T00:00:00"/>
    <d v="2023-07-05T19:01:47"/>
    <m/>
    <d v="2023-07-05T00:00:00"/>
    <n v="1190"/>
    <n v="3313"/>
    <s v="59984427"/>
    <s v="59984427"/>
    <m/>
    <m/>
    <n v="22670144"/>
    <m/>
    <m/>
    <m/>
    <s v="SOLINT"/>
    <s v="SOLINT"/>
    <s v="CCMS"/>
    <n v="21331281"/>
    <n v="19398.97"/>
    <m/>
    <s v="N"/>
    <n v="129"/>
    <d v="2023-07-05T19:02:13"/>
    <s v="Y"/>
    <s v="Attendance upon client"/>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42"/>
    <d v="2023-07-05T19:02:13"/>
    <s v="Y"/>
    <s v="Preparation - other"/>
    <s v="Prescribed Hourly Rates"/>
    <s v="Profit Cost"/>
    <s v="CAH"/>
    <s v="Y"/>
    <n v="38.43"/>
    <n v="7.69"/>
    <x v="6"/>
    <s v="VALIDATED"/>
    <n v="1"/>
    <s v="01.11.80.307.6100.0000"/>
    <n v="38.43"/>
    <s v="11"/>
    <s v="6100"/>
    <n v="627.7"/>
    <n v="38.43"/>
    <s v="CREDITOR"/>
    <n v="0"/>
    <n v="0"/>
    <n v="0"/>
    <n v="0"/>
    <n v="38.43"/>
  </r>
  <r>
    <n v="59984427"/>
    <s v="N"/>
    <n v="21331281"/>
    <s v="3000014329170022"/>
    <s v="CIVIL"/>
    <d v="2023-06-12T00:00:00"/>
    <d v="2023-07-05T19:01:47"/>
    <m/>
    <d v="2023-07-05T00:00:00"/>
    <n v="1190"/>
    <n v="3313"/>
    <s v="59984427"/>
    <s v="59984427"/>
    <m/>
    <m/>
    <n v="22670144"/>
    <m/>
    <m/>
    <m/>
    <s v="SOLINT"/>
    <s v="SOLINT"/>
    <s v="CCMS"/>
    <n v="21331281"/>
    <n v="19398.97"/>
    <m/>
    <s v="N"/>
    <n v="150"/>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04"/>
    <d v="2023-07-05T19:02:13"/>
    <s v="Y"/>
    <s v="Preparation -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50"/>
    <d v="2023-07-05T19:02:13"/>
    <s v="Y"/>
    <s v="Preparation - other"/>
    <s v="Prescribed Hourly Rates"/>
    <s v="Profit Cost"/>
    <s v="CAH"/>
    <s v="Y"/>
    <n v="32.94"/>
    <n v="6.59"/>
    <x v="6"/>
    <s v="VALIDATED"/>
    <n v="1"/>
    <s v="01.11.80.307.6100.0000"/>
    <n v="32.94"/>
    <s v="11"/>
    <s v="6100"/>
    <n v="627.7"/>
    <n v="32.94"/>
    <s v="CREDITOR"/>
    <n v="0"/>
    <n v="0"/>
    <n v="0"/>
    <n v="0"/>
    <n v="32.94"/>
  </r>
  <r>
    <n v="59984427"/>
    <s v="N"/>
    <n v="21331281"/>
    <s v="3000014329170022"/>
    <s v="CIVIL"/>
    <d v="2023-06-12T00:00:00"/>
    <d v="2023-07-05T19:01:47"/>
    <m/>
    <d v="2023-07-05T00:00:00"/>
    <n v="1190"/>
    <n v="3313"/>
    <s v="59984427"/>
    <s v="59984427"/>
    <m/>
    <m/>
    <n v="22670144"/>
    <m/>
    <m/>
    <m/>
    <s v="SOLINT"/>
    <s v="SOLINT"/>
    <s v="CCMS"/>
    <n v="21331281"/>
    <n v="19398.97"/>
    <m/>
    <s v="N"/>
    <n v="69"/>
    <d v="2023-07-05T19:02:13"/>
    <s v="Y"/>
    <s v="Attendance upon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83"/>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13"/>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9"/>
    <d v="2023-07-05T19:02:13"/>
    <s v="Y"/>
    <s v="Court Fee"/>
    <s v="Prescribed Hourly Rates"/>
    <s v="Non Expert Disbursement"/>
    <s v="CAH"/>
    <s v="Y"/>
    <n v="53"/>
    <n v="0"/>
    <x v="6"/>
    <s v="VALIDATED"/>
    <n v="1"/>
    <s v="01.11.80.307.6300.0000"/>
    <n v="53"/>
    <s v="11"/>
    <s v="6300"/>
    <n v="627.7"/>
    <n v="53"/>
    <s v="CREDITOR"/>
    <n v="0"/>
    <n v="0"/>
    <n v="0"/>
    <n v="0"/>
    <n v="53"/>
  </r>
  <r>
    <n v="59984427"/>
    <s v="N"/>
    <n v="21331281"/>
    <s v="3000014329170022"/>
    <s v="CIVIL"/>
    <d v="2023-06-12T00:00:00"/>
    <d v="2023-07-05T19:01:47"/>
    <m/>
    <d v="2023-07-05T00:00:00"/>
    <n v="1190"/>
    <n v="3313"/>
    <s v="59984427"/>
    <s v="59984427"/>
    <m/>
    <m/>
    <n v="22670144"/>
    <m/>
    <m/>
    <m/>
    <s v="SOLINT"/>
    <s v="SOLINT"/>
    <s v="CCMS"/>
    <n v="21331281"/>
    <n v="19398.97"/>
    <m/>
    <s v="N"/>
    <n v="94"/>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3"/>
    <d v="2023-07-05T19:02:13"/>
    <s v="Y"/>
    <s v="Photocopying"/>
    <s v="Prescribed Hourly Rates"/>
    <s v="Non Expert Disbursement"/>
    <s v="CAH"/>
    <s v="Y"/>
    <n v="70.8"/>
    <n v="14.16"/>
    <x v="6"/>
    <s v="VALIDATED"/>
    <n v="1"/>
    <s v="01.11.80.307.6300.0000"/>
    <n v="70.8"/>
    <s v="11"/>
    <s v="6300"/>
    <n v="627.7"/>
    <n v="70.8"/>
    <s v="CREDITOR"/>
    <n v="0"/>
    <n v="0"/>
    <n v="0"/>
    <n v="0"/>
    <n v="70.8"/>
  </r>
  <r>
    <n v="59984427"/>
    <s v="N"/>
    <n v="21331281"/>
    <s v="3000014329170022"/>
    <s v="CIVIL"/>
    <d v="2023-06-12T00:00:00"/>
    <d v="2023-07-05T19:01:47"/>
    <m/>
    <d v="2023-07-05T00:00:00"/>
    <n v="1190"/>
    <n v="3313"/>
    <s v="59984427"/>
    <s v="59984427"/>
    <m/>
    <m/>
    <n v="22670144"/>
    <m/>
    <m/>
    <m/>
    <s v="SOLINT"/>
    <s v="SOLINT"/>
    <s v="CCMS"/>
    <n v="21331281"/>
    <n v="19398.97"/>
    <m/>
    <s v="N"/>
    <n v="67"/>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99"/>
    <d v="2023-07-05T19:02:13"/>
    <s v="Y"/>
    <s v="Preparation - other"/>
    <s v="Prescribed Hourly Rates"/>
    <s v="Profit Cost"/>
    <s v="CAH"/>
    <s v="Y"/>
    <n v="120.78"/>
    <n v="24.16"/>
    <x v="6"/>
    <s v="VALIDATED"/>
    <n v="1"/>
    <s v="01.11.80.307.6100.0000"/>
    <n v="120.78"/>
    <s v="11"/>
    <s v="6100"/>
    <n v="627.7"/>
    <n v="120.78"/>
    <s v="CREDITOR"/>
    <n v="0"/>
    <n v="0"/>
    <n v="0"/>
    <n v="0"/>
    <n v="120.78"/>
  </r>
  <r>
    <n v="59984427"/>
    <s v="N"/>
    <n v="21331281"/>
    <s v="3000014329170022"/>
    <s v="CIVIL"/>
    <d v="2023-06-12T00:00:00"/>
    <d v="2023-07-05T19:01:47"/>
    <m/>
    <d v="2023-07-05T00:00:00"/>
    <n v="1190"/>
    <n v="3313"/>
    <s v="59984427"/>
    <s v="59984427"/>
    <m/>
    <m/>
    <n v="22670144"/>
    <m/>
    <m/>
    <m/>
    <s v="SOLINT"/>
    <s v="SOLINT"/>
    <s v="CCMS"/>
    <n v="21331281"/>
    <n v="19398.97"/>
    <m/>
    <s v="N"/>
    <n v="107"/>
    <d v="2023-07-05T19:02:13"/>
    <s v="N"/>
    <s v="Waiting at court"/>
    <s v="Prescribed Hourly Rates"/>
    <s v="Profit Cost"/>
    <s v="CAH"/>
    <s v="N"/>
    <n v="0"/>
    <n v="0"/>
    <x v="6"/>
    <s v="VALIDATED"/>
    <n v="1"/>
    <s v="01.11.80.307.6100.0000"/>
    <n v="0"/>
    <s v="11"/>
    <s v="6100"/>
    <n v="627.7"/>
    <n v="0"/>
    <s v="CREDITOR"/>
    <n v="0"/>
    <n v="0"/>
    <n v="0"/>
    <n v="0"/>
    <n v="0"/>
  </r>
  <r>
    <n v="59984427"/>
    <s v="N"/>
    <n v="21331281"/>
    <s v="3000014329170022"/>
    <s v="CIVIL"/>
    <d v="2023-06-12T00:00:00"/>
    <d v="2023-07-05T19:01:47"/>
    <m/>
    <d v="2023-07-05T00:00:00"/>
    <n v="1190"/>
    <n v="3313"/>
    <s v="59984427"/>
    <s v="59984427"/>
    <m/>
    <m/>
    <n v="22670144"/>
    <m/>
    <m/>
    <m/>
    <s v="SOLINT"/>
    <s v="SOLINT"/>
    <s v="CCMS"/>
    <n v="21331281"/>
    <n v="19398.97"/>
    <m/>
    <s v="N"/>
    <n v="62"/>
    <d v="2023-07-05T19:02:13"/>
    <s v="Y"/>
    <s v="Preparation - drafting statement"/>
    <s v="Prescribed Hourly Rates"/>
    <s v="Profit Cost"/>
    <s v="CAH"/>
    <s v="Y"/>
    <n v="27.45"/>
    <n v="5.49"/>
    <x v="6"/>
    <s v="VALIDATED"/>
    <n v="1"/>
    <s v="01.11.80.307.6100.0000"/>
    <n v="27.45"/>
    <s v="11"/>
    <s v="6100"/>
    <n v="627.7"/>
    <n v="27.45"/>
    <s v="CREDITOR"/>
    <n v="0"/>
    <n v="0"/>
    <n v="0"/>
    <n v="0"/>
    <n v="27.45"/>
  </r>
  <r>
    <n v="59984427"/>
    <s v="N"/>
    <n v="21331281"/>
    <s v="3000014329170022"/>
    <s v="CIVIL"/>
    <d v="2023-06-12T00:00:00"/>
    <d v="2023-07-05T19:01:47"/>
    <m/>
    <d v="2023-07-05T00:00:00"/>
    <n v="1190"/>
    <n v="3313"/>
    <s v="59984427"/>
    <s v="59984427"/>
    <m/>
    <m/>
    <n v="22670144"/>
    <m/>
    <m/>
    <m/>
    <s v="SOLINT"/>
    <s v="SOLINT"/>
    <s v="CCMS"/>
    <n v="21331281"/>
    <n v="19398.97"/>
    <m/>
    <s v="N"/>
    <n v="87"/>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18"/>
    <d v="2023-07-05T19:02:13"/>
    <s v="Y"/>
    <s v="Preparation - other"/>
    <s v="Prescribed Hourly Rates"/>
    <s v="Profit Cost"/>
    <s v="CAH"/>
    <s v="Y"/>
    <n v="109.8"/>
    <n v="21.96"/>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49"/>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27"/>
    <d v="2023-07-05T19:02:13"/>
    <s v="Y"/>
    <s v="Preparation -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132"/>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96"/>
    <d v="2023-07-05T19:02:13"/>
    <s v="Y"/>
    <s v="Preparation - other"/>
    <s v="Prescribed Hourly Rates"/>
    <s v="Profit Cost"/>
    <s v="CAH"/>
    <s v="Y"/>
    <n v="137.25"/>
    <n v="27.45"/>
    <x v="6"/>
    <s v="VALIDATED"/>
    <n v="1"/>
    <s v="01.11.80.307.6100.0000"/>
    <n v="137.25"/>
    <s v="11"/>
    <s v="6100"/>
    <n v="627.7"/>
    <n v="137.25"/>
    <s v="CREDITOR"/>
    <n v="0"/>
    <n v="0"/>
    <n v="0"/>
    <n v="0"/>
    <n v="137.25"/>
  </r>
  <r>
    <n v="59984427"/>
    <s v="N"/>
    <n v="21331281"/>
    <s v="3000014329170022"/>
    <s v="CIVIL"/>
    <d v="2023-06-12T00:00:00"/>
    <d v="2023-07-05T19:01:47"/>
    <m/>
    <d v="2023-07-05T00:00:00"/>
    <n v="1190"/>
    <n v="3313"/>
    <s v="59984427"/>
    <s v="59984427"/>
    <m/>
    <m/>
    <n v="22670144"/>
    <m/>
    <m/>
    <m/>
    <s v="SOLINT"/>
    <s v="SOLINT"/>
    <s v="CCMS"/>
    <n v="21331281"/>
    <n v="19398.97"/>
    <m/>
    <s v="N"/>
    <n v="56"/>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06"/>
    <d v="2023-07-05T19:02:13"/>
    <s v="N"/>
    <s v="Travel to court"/>
    <s v="Prescribed Hourly Rates"/>
    <s v="Profit Cost"/>
    <s v="CAH"/>
    <s v="N"/>
    <n v="0"/>
    <n v="0"/>
    <x v="6"/>
    <s v="VALIDATED"/>
    <n v="1"/>
    <s v="01.11.80.307.6100.0000"/>
    <n v="0"/>
    <s v="11"/>
    <s v="6100"/>
    <n v="627.7"/>
    <n v="0"/>
    <s v="CREDITOR"/>
    <n v="0"/>
    <n v="0"/>
    <n v="0"/>
    <n v="0"/>
    <n v="0"/>
  </r>
  <r>
    <n v="59984427"/>
    <s v="N"/>
    <n v="21331281"/>
    <s v="3000014329170022"/>
    <s v="CIVIL"/>
    <d v="2023-06-12T00:00:00"/>
    <d v="2023-07-05T19:01:47"/>
    <m/>
    <d v="2023-07-05T00:00:00"/>
    <n v="1190"/>
    <n v="3313"/>
    <s v="59984427"/>
    <s v="59984427"/>
    <m/>
    <m/>
    <n v="22670144"/>
    <m/>
    <m/>
    <m/>
    <s v="SOLINT"/>
    <s v="SOLINT"/>
    <s v="CCMS"/>
    <n v="21331281"/>
    <n v="19398.97"/>
    <m/>
    <s v="N"/>
    <n v="72"/>
    <d v="2023-07-05T19:02:13"/>
    <s v="Y"/>
    <s v="Preparation - drafting instructions"/>
    <s v="Prescribed Hourly Rates"/>
    <s v="Profit Cost"/>
    <s v="CAH"/>
    <s v="Y"/>
    <n v="27.45"/>
    <n v="5.49"/>
    <x v="6"/>
    <s v="VALIDATED"/>
    <n v="1"/>
    <s v="01.11.80.307.6100.0000"/>
    <n v="27.45"/>
    <s v="11"/>
    <s v="6100"/>
    <n v="627.7"/>
    <n v="27.45"/>
    <s v="CREDITOR"/>
    <n v="0"/>
    <n v="0"/>
    <n v="0"/>
    <n v="0"/>
    <n v="27.45"/>
  </r>
  <r>
    <n v="59984427"/>
    <s v="N"/>
    <n v="21331281"/>
    <s v="3000014329170022"/>
    <s v="CIVIL"/>
    <d v="2023-06-12T00:00:00"/>
    <d v="2023-07-05T19:01:47"/>
    <m/>
    <d v="2023-07-05T00:00:00"/>
    <n v="1190"/>
    <n v="3313"/>
    <s v="59984427"/>
    <s v="59984427"/>
    <m/>
    <m/>
    <n v="22670144"/>
    <m/>
    <m/>
    <m/>
    <s v="SOLINT"/>
    <s v="SOLINT"/>
    <s v="CCMS"/>
    <n v="21331281"/>
    <n v="19398.97"/>
    <m/>
    <s v="N"/>
    <n v="21"/>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48"/>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41"/>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63"/>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21"/>
    <d v="2023-07-05T19:02:13"/>
    <s v="Y"/>
    <s v="Preparation - other"/>
    <s v="Prescribed Hourly Rates"/>
    <s v="Profit Cost"/>
    <s v="CAH"/>
    <s v="Y"/>
    <n v="137.25"/>
    <n v="27.45"/>
    <x v="6"/>
    <s v="VALIDATED"/>
    <n v="1"/>
    <s v="01.11.80.307.6100.0000"/>
    <n v="137.25"/>
    <s v="11"/>
    <s v="6100"/>
    <n v="627.7"/>
    <n v="137.25"/>
    <s v="CREDITOR"/>
    <n v="0"/>
    <n v="0"/>
    <n v="0"/>
    <n v="0"/>
    <n v="137.25"/>
  </r>
  <r>
    <n v="59984427"/>
    <s v="N"/>
    <n v="21331281"/>
    <s v="3000014329170022"/>
    <s v="CIVIL"/>
    <d v="2023-06-12T00:00:00"/>
    <d v="2023-07-05T19:01:47"/>
    <m/>
    <d v="2023-07-05T00:00:00"/>
    <n v="1190"/>
    <n v="3313"/>
    <s v="59984427"/>
    <s v="59984427"/>
    <m/>
    <m/>
    <n v="22670144"/>
    <m/>
    <m/>
    <m/>
    <s v="SOLINT"/>
    <s v="SOLINT"/>
    <s v="CCMS"/>
    <n v="21331281"/>
    <n v="19398.97"/>
    <m/>
    <s v="N"/>
    <n v="74"/>
    <d v="2023-07-05T19:02:13"/>
    <s v="Y"/>
    <s v="Preparation - other"/>
    <s v="Prescribed Hourly Rates"/>
    <s v="Profit Cost"/>
    <s v="CAH"/>
    <s v="Y"/>
    <n v="54.9"/>
    <n v="10.98"/>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
    <d v="2023-07-05T19:02:13"/>
    <s v="Y"/>
    <s v="Police Records"/>
    <s v="Prescribed Hourly Rates"/>
    <s v="Non Expert Disbursement"/>
    <s v="CAH"/>
    <s v="Y"/>
    <n v="32.16"/>
    <n v="0"/>
    <x v="6"/>
    <s v="VALIDATED"/>
    <n v="1"/>
    <s v="01.11.80.307.6300.0000"/>
    <n v="32.16"/>
    <s v="11"/>
    <s v="6300"/>
    <n v="627.7"/>
    <n v="32.16"/>
    <s v="CREDITOR"/>
    <n v="0"/>
    <n v="0"/>
    <n v="0"/>
    <n v="0"/>
    <n v="32.16"/>
  </r>
  <r>
    <n v="59984427"/>
    <s v="N"/>
    <n v="21331281"/>
    <s v="3000014329170022"/>
    <s v="CIVIL"/>
    <d v="2023-06-12T00:00:00"/>
    <d v="2023-07-05T19:01:47"/>
    <m/>
    <d v="2023-07-05T00:00:00"/>
    <n v="1190"/>
    <n v="3313"/>
    <s v="59984427"/>
    <s v="59984427"/>
    <m/>
    <m/>
    <n v="22670144"/>
    <m/>
    <m/>
    <m/>
    <s v="SOLINT"/>
    <s v="SOLINT"/>
    <s v="CCMS"/>
    <n v="21331281"/>
    <n v="19398.97"/>
    <m/>
    <s v="N"/>
    <n v="33"/>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41"/>
    <d v="2023-07-05T19:02:13"/>
    <s v="Y"/>
    <s v="Attendance upon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09"/>
    <d v="2023-07-05T19:02:13"/>
    <s v="Y"/>
    <s v="Attendance upon client"/>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31"/>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76"/>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81"/>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71"/>
    <d v="2023-07-05T19:02:13"/>
    <s v="Y"/>
    <s v="Preparation -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112"/>
    <d v="2023-07-05T19:02:13"/>
    <s v="Y"/>
    <s v="Preparation - other"/>
    <s v="Prescribed Hourly Rates"/>
    <s v="Profit Cost"/>
    <s v="CAH"/>
    <s v="Y"/>
    <n v="87.84"/>
    <n v="17.57"/>
    <x v="6"/>
    <s v="VALIDATED"/>
    <n v="1"/>
    <s v="01.11.80.307.6100.0000"/>
    <n v="87.84"/>
    <s v="11"/>
    <s v="6100"/>
    <n v="627.7"/>
    <n v="87.84"/>
    <s v="CREDITOR"/>
    <n v="0"/>
    <n v="0"/>
    <n v="0"/>
    <n v="0"/>
    <n v="87.84"/>
  </r>
  <r>
    <n v="59984427"/>
    <s v="N"/>
    <n v="21331281"/>
    <s v="3000014329170022"/>
    <s v="CIVIL"/>
    <d v="2023-06-12T00:00:00"/>
    <d v="2023-07-05T19:01:47"/>
    <m/>
    <d v="2023-07-05T00:00:00"/>
    <n v="1190"/>
    <n v="3313"/>
    <s v="59984427"/>
    <s v="59984427"/>
    <m/>
    <m/>
    <n v="22670144"/>
    <m/>
    <m/>
    <m/>
    <s v="SOLINT"/>
    <s v="SOLINT"/>
    <s v="CCMS"/>
    <n v="21331281"/>
    <n v="19398.97"/>
    <m/>
    <s v="N"/>
    <n v="22"/>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54"/>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46"/>
    <d v="2023-07-05T19:02:13"/>
    <s v="Y"/>
    <s v="Attendance upon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128"/>
    <d v="2023-07-05T19:02:13"/>
    <s v="Y"/>
    <s v="Preparation - drafting statement"/>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157"/>
    <d v="2023-07-05T19:02:13"/>
    <s v="Y"/>
    <s v="Routine Letter In"/>
    <s v="Prescribed Hourly Rates"/>
    <s v="Profit Cost"/>
    <s v="CAH"/>
    <s v="Y"/>
    <n v="791.1"/>
    <n v="158.22"/>
    <x v="6"/>
    <s v="VALIDATED"/>
    <n v="1"/>
    <s v="01.11.80.307.6100.0000"/>
    <n v="791.1"/>
    <s v="11"/>
    <s v="6100"/>
    <n v="627.7"/>
    <n v="791.1"/>
    <s v="CREDITOR"/>
    <n v="0"/>
    <n v="0"/>
    <n v="0"/>
    <n v="0"/>
    <n v="791.1"/>
  </r>
  <r>
    <n v="59984427"/>
    <s v="N"/>
    <n v="21331281"/>
    <s v="3000014329170022"/>
    <s v="CIVIL"/>
    <d v="2023-06-12T00:00:00"/>
    <d v="2023-07-05T19:01:47"/>
    <m/>
    <d v="2023-07-05T00:00:00"/>
    <n v="1190"/>
    <n v="3313"/>
    <s v="59984427"/>
    <s v="59984427"/>
    <m/>
    <m/>
    <n v="22670144"/>
    <m/>
    <m/>
    <m/>
    <s v="SOLINT"/>
    <s v="SOLINT"/>
    <s v="CCMS"/>
    <n v="21331281"/>
    <n v="19398.97"/>
    <m/>
    <s v="N"/>
    <n v="126"/>
    <d v="2023-07-05T19:02:13"/>
    <s v="Y"/>
    <s v="Attendance upon client"/>
    <s v="Prescribed Hourly Rates"/>
    <s v="Profit Cost"/>
    <s v="CAH"/>
    <s v="Y"/>
    <n v="38.43"/>
    <n v="7.69"/>
    <x v="6"/>
    <s v="VALIDATED"/>
    <n v="1"/>
    <s v="01.11.80.307.6100.0000"/>
    <n v="38.43"/>
    <s v="11"/>
    <s v="6100"/>
    <n v="627.7"/>
    <n v="38.43"/>
    <s v="CREDITOR"/>
    <n v="0"/>
    <n v="0"/>
    <n v="0"/>
    <n v="0"/>
    <n v="38.43"/>
  </r>
  <r>
    <n v="59984427"/>
    <s v="N"/>
    <n v="21331281"/>
    <s v="3000014329170022"/>
    <s v="CIVIL"/>
    <d v="2023-06-12T00:00:00"/>
    <d v="2023-07-05T19:01:47"/>
    <m/>
    <d v="2023-07-05T00:00:00"/>
    <n v="1190"/>
    <n v="3313"/>
    <s v="59984427"/>
    <s v="59984427"/>
    <m/>
    <m/>
    <n v="22670144"/>
    <m/>
    <m/>
    <m/>
    <s v="SOLINT"/>
    <s v="SOLINT"/>
    <s v="CCMS"/>
    <n v="21331281"/>
    <n v="19398.97"/>
    <m/>
    <s v="N"/>
    <n v="51"/>
    <d v="2023-07-05T19:02:13"/>
    <s v="Y"/>
    <s v="Attendance upon client"/>
    <s v="Prescribed Hourly Rates"/>
    <s v="Profit Cost"/>
    <s v="CAH"/>
    <s v="Y"/>
    <n v="49.41"/>
    <n v="9.880000000000001"/>
    <x v="6"/>
    <s v="VALIDATED"/>
    <n v="1"/>
    <s v="01.11.80.307.6100.0000"/>
    <n v="49.41"/>
    <s v="11"/>
    <s v="6100"/>
    <n v="627.7"/>
    <n v="49.41"/>
    <s v="CREDITOR"/>
    <n v="0"/>
    <n v="0"/>
    <n v="0"/>
    <n v="0"/>
    <n v="49.41"/>
  </r>
  <r>
    <n v="59984427"/>
    <s v="N"/>
    <n v="21331281"/>
    <s v="3000014329170022"/>
    <s v="CIVIL"/>
    <d v="2023-06-12T00:00:00"/>
    <d v="2023-07-05T19:01:47"/>
    <m/>
    <d v="2023-07-05T00:00:00"/>
    <n v="1190"/>
    <n v="3313"/>
    <s v="59984427"/>
    <s v="59984427"/>
    <m/>
    <m/>
    <n v="22670144"/>
    <m/>
    <m/>
    <m/>
    <s v="SOLINT"/>
    <s v="SOLINT"/>
    <s v="CCMS"/>
    <n v="21331281"/>
    <n v="19398.97"/>
    <m/>
    <s v="N"/>
    <n v="116"/>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4"/>
    <d v="2023-07-05T19:02:13"/>
    <s v="N"/>
    <s v="Level 3 &amp; Level 4 Fixed Fee"/>
    <s v="Private Law Children"/>
    <s v="Profit Cost"/>
    <s v="CAH"/>
    <s v="N"/>
    <n v="0"/>
    <n v="0"/>
    <x v="6"/>
    <s v="VALIDATED"/>
    <n v="1"/>
    <s v="01.11.80.307.6100.0000"/>
    <n v="0"/>
    <s v="11"/>
    <s v="6100"/>
    <n v="627.7"/>
    <n v="0"/>
    <s v="CREDITOR"/>
    <n v="0"/>
    <n v="0"/>
    <n v="0"/>
    <n v="0"/>
    <n v="0"/>
  </r>
  <r>
    <n v="59984427"/>
    <s v="N"/>
    <n v="21331281"/>
    <s v="3000014329170022"/>
    <s v="CIVIL"/>
    <d v="2023-06-12T00:00:00"/>
    <d v="2023-07-05T19:01:47"/>
    <m/>
    <d v="2023-07-05T00:00:00"/>
    <n v="1190"/>
    <n v="3313"/>
    <s v="59984427"/>
    <s v="59984427"/>
    <m/>
    <m/>
    <n v="22670144"/>
    <m/>
    <m/>
    <m/>
    <s v="SOLINT"/>
    <s v="SOLINT"/>
    <s v="CCMS"/>
    <n v="21331281"/>
    <n v="19398.97"/>
    <m/>
    <s v="N"/>
    <n v="108"/>
    <d v="2023-07-05T19:02:13"/>
    <s v="Y"/>
    <s v="Attendance upon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32"/>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31"/>
    <d v="2023-07-05T19:02:13"/>
    <s v="Y"/>
    <s v="Preparation - drafting instructions"/>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35"/>
    <d v="2023-07-05T19:02:13"/>
    <s v="Y"/>
    <s v="Preparation - other"/>
    <s v="Prescribed Hourly Rates"/>
    <s v="Profit Cost"/>
    <s v="CAH"/>
    <s v="Y"/>
    <n v="38.43"/>
    <n v="7.69"/>
    <x v="6"/>
    <s v="VALIDATED"/>
    <n v="1"/>
    <s v="01.11.80.307.6100.0000"/>
    <n v="38.43"/>
    <s v="11"/>
    <s v="6100"/>
    <n v="627.7"/>
    <n v="38.43"/>
    <s v="CREDITOR"/>
    <n v="0"/>
    <n v="0"/>
    <n v="0"/>
    <n v="0"/>
    <n v="38.43"/>
  </r>
  <r>
    <n v="59984427"/>
    <s v="N"/>
    <n v="21331281"/>
    <s v="3000014329170022"/>
    <s v="CIVIL"/>
    <d v="2023-06-12T00:00:00"/>
    <d v="2023-07-05T19:01:47"/>
    <m/>
    <d v="2023-07-05T00:00:00"/>
    <n v="1190"/>
    <n v="3313"/>
    <s v="59984427"/>
    <s v="59984427"/>
    <m/>
    <m/>
    <n v="22670144"/>
    <m/>
    <m/>
    <m/>
    <s v="SOLINT"/>
    <s v="SOLINT"/>
    <s v="CCMS"/>
    <n v="21331281"/>
    <n v="19398.97"/>
    <m/>
    <s v="N"/>
    <n v="36"/>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55"/>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92"/>
    <d v="2023-07-05T19:02:13"/>
    <s v="Y"/>
    <s v="Preparation - other"/>
    <s v="Prescribed Hourly Rates"/>
    <s v="Profit Cost"/>
    <s v="CAH"/>
    <s v="Y"/>
    <n v="126.27"/>
    <n v="25.25"/>
    <x v="6"/>
    <s v="VALIDATED"/>
    <n v="1"/>
    <s v="01.11.80.307.6100.0000"/>
    <n v="126.27"/>
    <s v="11"/>
    <s v="6100"/>
    <n v="627.7"/>
    <n v="126.27"/>
    <s v="CREDITOR"/>
    <n v="0"/>
    <n v="0"/>
    <n v="0"/>
    <n v="0"/>
    <n v="126.27"/>
  </r>
  <r>
    <n v="59984427"/>
    <s v="N"/>
    <n v="21331281"/>
    <s v="3000014329170022"/>
    <s v="CIVIL"/>
    <d v="2023-06-12T00:00:00"/>
    <d v="2023-07-05T19:01:47"/>
    <m/>
    <d v="2023-07-05T00:00:00"/>
    <n v="1190"/>
    <n v="3313"/>
    <s v="59984427"/>
    <s v="59984427"/>
    <m/>
    <m/>
    <n v="22670144"/>
    <m/>
    <m/>
    <m/>
    <s v="SOLINT"/>
    <s v="SOLINT"/>
    <s v="CCMS"/>
    <n v="21331281"/>
    <n v="19398.97"/>
    <m/>
    <s v="N"/>
    <n v="24"/>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47"/>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59"/>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91"/>
    <d v="2023-07-05T19:02:13"/>
    <s v="Y"/>
    <s v="Preparation - other"/>
    <s v="Prescribed Hourly Rates"/>
    <s v="Profit Cost"/>
    <s v="CAH"/>
    <s v="Y"/>
    <n v="120.78"/>
    <n v="24.16"/>
    <x v="6"/>
    <s v="VALIDATED"/>
    <n v="1"/>
    <s v="01.11.80.307.6100.0000"/>
    <n v="120.78"/>
    <s v="11"/>
    <s v="6100"/>
    <n v="627.7"/>
    <n v="120.78"/>
    <s v="CREDITOR"/>
    <n v="0"/>
    <n v="0"/>
    <n v="0"/>
    <n v="0"/>
    <n v="120.78"/>
  </r>
  <r>
    <n v="59984427"/>
    <s v="N"/>
    <n v="21331281"/>
    <s v="3000014329170022"/>
    <s v="CIVIL"/>
    <d v="2023-06-12T00:00:00"/>
    <d v="2023-07-05T19:01:47"/>
    <m/>
    <d v="2023-07-05T00:00:00"/>
    <n v="1190"/>
    <n v="3313"/>
    <s v="59984427"/>
    <s v="59984427"/>
    <m/>
    <m/>
    <n v="22670144"/>
    <m/>
    <m/>
    <m/>
    <s v="SOLINT"/>
    <s v="SOLINT"/>
    <s v="CCMS"/>
    <n v="21331281"/>
    <n v="19398.97"/>
    <m/>
    <s v="N"/>
    <n v="29"/>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90"/>
    <d v="2023-07-05T19:02:13"/>
    <s v="Y"/>
    <s v="Preparation - other"/>
    <s v="Prescribed Hourly Rates"/>
    <s v="Profit Cost"/>
    <s v="CAH"/>
    <s v="Y"/>
    <n v="126.27"/>
    <n v="25.25"/>
    <x v="6"/>
    <s v="VALIDATED"/>
    <n v="1"/>
    <s v="01.11.80.307.6100.0000"/>
    <n v="126.27"/>
    <s v="11"/>
    <s v="6100"/>
    <n v="627.7"/>
    <n v="126.27"/>
    <s v="CREDITOR"/>
    <n v="0"/>
    <n v="0"/>
    <n v="0"/>
    <n v="0"/>
    <n v="126.27"/>
  </r>
  <r>
    <n v="59984427"/>
    <s v="N"/>
    <n v="21331281"/>
    <s v="3000014329170022"/>
    <s v="CIVIL"/>
    <d v="2023-06-12T00:00:00"/>
    <d v="2023-07-05T19:01:47"/>
    <m/>
    <d v="2023-07-05T00:00:00"/>
    <n v="1190"/>
    <n v="3313"/>
    <s v="59984427"/>
    <s v="59984427"/>
    <m/>
    <m/>
    <n v="22670144"/>
    <m/>
    <m/>
    <m/>
    <s v="SOLINT"/>
    <s v="SOLINT"/>
    <s v="CCMS"/>
    <n v="21331281"/>
    <n v="19398.97"/>
    <m/>
    <s v="N"/>
    <n v="114"/>
    <d v="2023-07-05T19:02:13"/>
    <s v="Y"/>
    <s v="Preparation - other"/>
    <s v="Prescribed Hourly Rates"/>
    <s v="Profit Cost"/>
    <s v="CAH"/>
    <s v="Y"/>
    <n v="82.34999999999999"/>
    <n v="16.47"/>
    <x v="6"/>
    <s v="VALIDATED"/>
    <n v="1"/>
    <s v="01.11.80.307.6100.0000"/>
    <n v="82.34999999999999"/>
    <s v="11"/>
    <s v="6100"/>
    <n v="627.7"/>
    <n v="82.34999999999999"/>
    <s v="CREDITOR"/>
    <n v="0"/>
    <n v="0"/>
    <n v="0"/>
    <n v="0"/>
    <n v="82.34999999999999"/>
  </r>
  <r>
    <n v="59984427"/>
    <s v="N"/>
    <n v="21331281"/>
    <s v="3000014329170022"/>
    <s v="CIVIL"/>
    <d v="2023-06-12T00:00:00"/>
    <d v="2023-07-05T19:01:47"/>
    <m/>
    <d v="2023-07-05T00:00:00"/>
    <n v="1190"/>
    <n v="3313"/>
    <s v="59984427"/>
    <s v="59984427"/>
    <m/>
    <m/>
    <n v="22670144"/>
    <m/>
    <m/>
    <m/>
    <s v="SOLINT"/>
    <s v="SOLINT"/>
    <s v="CCMS"/>
    <n v="21331281"/>
    <n v="19398.97"/>
    <m/>
    <s v="N"/>
    <n v="117"/>
    <d v="2023-07-05T19:02:13"/>
    <s v="Y"/>
    <s v="Preparation - other"/>
    <s v="Prescribed Hourly Rates"/>
    <s v="Profit Cost"/>
    <s v="CAH"/>
    <s v="Y"/>
    <n v="109.8"/>
    <n v="21.96"/>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8"/>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45"/>
    <d v="2023-07-05T19:02:13"/>
    <s v="Y"/>
    <s v="Preparation - drafting statement"/>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84"/>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35"/>
    <d v="2023-07-05T19:02:13"/>
    <s v="Y"/>
    <s v="Preparation -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15"/>
    <d v="2023-07-05T19:02:13"/>
    <s v="Y"/>
    <s v="Preparation -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16"/>
    <d v="2023-07-05T19:02:13"/>
    <s v="Y"/>
    <s v="Attendance upon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46"/>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49"/>
    <d v="2023-07-05T19:02:13"/>
    <s v="Y"/>
    <s v="Preparation - other"/>
    <s v="Prescribed Hourly Rates"/>
    <s v="Profit Cost"/>
    <s v="CAH"/>
    <s v="Y"/>
    <n v="54.9"/>
    <n v="10.98"/>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70"/>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10"/>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20"/>
    <d v="2023-07-05T19:02:13"/>
    <s v="Y"/>
    <s v="Preparation - other"/>
    <s v="Prescribed Hourly Rates"/>
    <s v="Profit Cost"/>
    <s v="CAH"/>
    <s v="Y"/>
    <n v="153.72"/>
    <n v="30.74"/>
    <x v="6"/>
    <s v="VALIDATED"/>
    <n v="1"/>
    <s v="01.11.80.307.6100.0000"/>
    <n v="153.72"/>
    <s v="11"/>
    <s v="6100"/>
    <n v="627.7"/>
    <n v="153.72"/>
    <s v="CREDITOR"/>
    <n v="0"/>
    <n v="0"/>
    <n v="0"/>
    <n v="0"/>
    <n v="153.72"/>
  </r>
  <r>
    <n v="59984427"/>
    <s v="N"/>
    <n v="21331281"/>
    <s v="3000014329170022"/>
    <s v="CIVIL"/>
    <d v="2023-06-12T00:00:00"/>
    <d v="2023-07-05T19:01:47"/>
    <m/>
    <d v="2023-07-05T00:00:00"/>
    <n v="1190"/>
    <n v="3313"/>
    <s v="59984427"/>
    <s v="59984427"/>
    <m/>
    <m/>
    <n v="22670144"/>
    <m/>
    <m/>
    <m/>
    <s v="SOLINT"/>
    <s v="SOLINT"/>
    <s v="CCMS"/>
    <n v="21331281"/>
    <n v="19398.97"/>
    <m/>
    <s v="N"/>
    <n v="60"/>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82"/>
    <d v="2023-07-05T19:02:13"/>
    <s v="Y"/>
    <s v="Attendance upon client"/>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01"/>
    <d v="2023-07-05T19:02:13"/>
    <s v="Y"/>
    <s v="Preparation - other"/>
    <s v="Prescribed Hourly Rates"/>
    <s v="Profit Cost"/>
    <s v="CAH"/>
    <s v="Y"/>
    <n v="115.29"/>
    <n v="23.06"/>
    <x v="6"/>
    <s v="VALIDATED"/>
    <n v="1"/>
    <s v="01.11.80.307.6100.0000"/>
    <n v="115.29"/>
    <s v="11"/>
    <s v="6100"/>
    <n v="627.7"/>
    <n v="115.29"/>
    <s v="CREDITOR"/>
    <n v="0"/>
    <n v="0"/>
    <n v="0"/>
    <n v="0"/>
    <n v="115.29"/>
  </r>
  <r>
    <n v="59984427"/>
    <s v="N"/>
    <n v="21331281"/>
    <s v="3000014329170022"/>
    <s v="CIVIL"/>
    <d v="2023-06-12T00:00:00"/>
    <d v="2023-07-05T19:01:47"/>
    <m/>
    <d v="2023-07-05T00:00:00"/>
    <n v="1190"/>
    <n v="3313"/>
    <s v="59984427"/>
    <s v="59984427"/>
    <m/>
    <m/>
    <n v="22670144"/>
    <m/>
    <m/>
    <m/>
    <s v="SOLINT"/>
    <s v="SOLINT"/>
    <s v="CCMS"/>
    <n v="21331281"/>
    <n v="19398.97"/>
    <m/>
    <s v="N"/>
    <n v="140"/>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85"/>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88"/>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5"/>
    <d v="2023-07-05T19:02:13"/>
    <s v="Y"/>
    <s v="Photocopying"/>
    <s v="Prescribed Hourly Rates"/>
    <s v="Non Expert Disbursement"/>
    <s v="CAH"/>
    <s v="Y"/>
    <n v="25.76"/>
    <n v="5.15"/>
    <x v="6"/>
    <s v="VALIDATED"/>
    <n v="1"/>
    <s v="01.11.80.307.6300.0000"/>
    <n v="25.76"/>
    <s v="11"/>
    <s v="6300"/>
    <n v="627.7"/>
    <n v="25.76"/>
    <s v="CREDITOR"/>
    <n v="0"/>
    <n v="0"/>
    <n v="0"/>
    <n v="0"/>
    <n v="25.76"/>
  </r>
  <r>
    <n v="59984427"/>
    <s v="N"/>
    <n v="21331281"/>
    <s v="3000014329170022"/>
    <s v="CIVIL"/>
    <d v="2023-06-12T00:00:00"/>
    <d v="2023-07-05T19:01:47"/>
    <m/>
    <d v="2023-07-05T00:00:00"/>
    <n v="1190"/>
    <n v="3313"/>
    <s v="59984427"/>
    <s v="59984427"/>
    <m/>
    <m/>
    <n v="22670144"/>
    <m/>
    <m/>
    <m/>
    <s v="SOLINT"/>
    <s v="SOLINT"/>
    <s v="CCMS"/>
    <n v="21331281"/>
    <n v="19398.97"/>
    <m/>
    <s v="N"/>
    <n v="11"/>
    <d v="2023-07-05T19:02:13"/>
    <s v="Y"/>
    <s v="Toxicologist"/>
    <s v="Prescribed Hourly Rates"/>
    <s v="Expert Disbursement"/>
    <s v="CAH"/>
    <s v="Y"/>
    <n v="1355"/>
    <n v="271"/>
    <x v="6"/>
    <s v="VALIDATED"/>
    <n v="1"/>
    <s v="01.11.80.307.6300.0000"/>
    <n v="1355"/>
    <s v="11"/>
    <s v="6300"/>
    <n v="627.7"/>
    <n v="1355"/>
    <s v="CREDITOR"/>
    <n v="0"/>
    <n v="0"/>
    <n v="0"/>
    <n v="0"/>
    <n v="1355"/>
  </r>
  <r>
    <n v="59984427"/>
    <s v="N"/>
    <n v="21331281"/>
    <s v="3000014329170022"/>
    <s v="CIVIL"/>
    <d v="2023-06-12T00:00:00"/>
    <d v="2023-07-05T19:01:47"/>
    <m/>
    <d v="2023-07-05T00:00:00"/>
    <n v="1190"/>
    <n v="3313"/>
    <s v="59984427"/>
    <s v="59984427"/>
    <m/>
    <m/>
    <n v="22670144"/>
    <m/>
    <m/>
    <m/>
    <s v="SOLINT"/>
    <s v="SOLINT"/>
    <s v="CCMS"/>
    <n v="21331281"/>
    <n v="19398.97"/>
    <m/>
    <s v="N"/>
    <n v="133"/>
    <d v="2023-07-05T19:02:13"/>
    <s v="Y"/>
    <s v="Preparation - other"/>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37"/>
    <d v="2023-07-05T19:02:13"/>
    <s v="Y"/>
    <s v="Travel to court"/>
    <s v="Prescribed Hourly Rates"/>
    <s v="Profit Cost"/>
    <s v="CAH"/>
    <s v="Y"/>
    <n v="16.74"/>
    <n v="3.35"/>
    <x v="6"/>
    <s v="VALIDATED"/>
    <n v="1"/>
    <s v="01.11.80.307.6100.0000"/>
    <n v="16.74"/>
    <s v="11"/>
    <s v="6100"/>
    <n v="627.7"/>
    <n v="16.74"/>
    <s v="CREDITOR"/>
    <n v="0"/>
    <n v="0"/>
    <n v="0"/>
    <n v="0"/>
    <n v="16.74"/>
  </r>
  <r>
    <n v="59984427"/>
    <s v="N"/>
    <n v="21331281"/>
    <s v="3000014329170022"/>
    <s v="CIVIL"/>
    <d v="2023-06-12T00:00:00"/>
    <d v="2023-07-05T19:01:47"/>
    <m/>
    <d v="2023-07-05T00:00:00"/>
    <n v="1190"/>
    <n v="3313"/>
    <s v="59984427"/>
    <s v="59984427"/>
    <m/>
    <m/>
    <n v="22670144"/>
    <m/>
    <m/>
    <m/>
    <s v="SOLINT"/>
    <s v="SOLINT"/>
    <s v="CCMS"/>
    <n v="21331281"/>
    <n v="19398.97"/>
    <m/>
    <s v="N"/>
    <n v="155"/>
    <d v="2023-07-05T19:02:13"/>
    <s v="Y"/>
    <s v="Routine Telephone Call"/>
    <s v="Prescribed Hourly Rates"/>
    <s v="Profit Cost"/>
    <s v="CAH"/>
    <s v="Y"/>
    <n v="199.8"/>
    <n v="39.96"/>
    <x v="6"/>
    <s v="VALIDATED"/>
    <n v="1"/>
    <s v="01.11.80.307.6100.0000"/>
    <n v="199.8"/>
    <s v="11"/>
    <s v="6100"/>
    <n v="627.7"/>
    <n v="199.8"/>
    <s v="CREDITOR"/>
    <n v="0"/>
    <n v="0"/>
    <n v="0"/>
    <n v="0"/>
    <n v="199.8"/>
  </r>
  <r>
    <n v="59984427"/>
    <s v="N"/>
    <n v="21331281"/>
    <s v="3000014329170022"/>
    <s v="CIVIL"/>
    <d v="2023-06-12T00:00:00"/>
    <d v="2023-07-05T19:01:47"/>
    <m/>
    <d v="2023-07-05T00:00:00"/>
    <n v="1190"/>
    <n v="3313"/>
    <s v="59984427"/>
    <s v="59984427"/>
    <m/>
    <m/>
    <n v="22670144"/>
    <m/>
    <m/>
    <m/>
    <s v="SOLINT"/>
    <s v="SOLINT"/>
    <s v="CCMS"/>
    <n v="21331281"/>
    <n v="19398.97"/>
    <m/>
    <s v="N"/>
    <n v="13"/>
    <d v="2023-07-05T19:02:13"/>
    <s v="Y"/>
    <s v="Toxicologist"/>
    <s v="Prescribed Hourly Rates"/>
    <s v="Expert Disbursement"/>
    <s v="CAH"/>
    <s v="Y"/>
    <n v="1546"/>
    <n v="309.2"/>
    <x v="6"/>
    <s v="VALIDATED"/>
    <n v="1"/>
    <s v="01.11.80.307.6300.0000"/>
    <n v="1546"/>
    <s v="11"/>
    <s v="6300"/>
    <n v="627.7"/>
    <n v="1546"/>
    <s v="CREDITOR"/>
    <n v="0"/>
    <n v="0"/>
    <n v="0"/>
    <n v="0"/>
    <n v="1546"/>
  </r>
  <r>
    <n v="59984427"/>
    <s v="N"/>
    <n v="21331281"/>
    <s v="3000014329170022"/>
    <s v="CIVIL"/>
    <d v="2023-06-12T00:00:00"/>
    <d v="2023-07-05T19:01:47"/>
    <m/>
    <d v="2023-07-05T00:00:00"/>
    <n v="1190"/>
    <n v="3313"/>
    <s v="59984427"/>
    <s v="59984427"/>
    <m/>
    <m/>
    <n v="22670144"/>
    <m/>
    <m/>
    <m/>
    <s v="SOLINT"/>
    <s v="SOLINT"/>
    <s v="CCMS"/>
    <n v="21331281"/>
    <n v="19398.97"/>
    <m/>
    <s v="N"/>
    <n v="156"/>
    <d v="2023-07-05T19:02:13"/>
    <s v="Y"/>
    <s v="Routine Letter Out"/>
    <s v="Prescribed Hourly Rates"/>
    <s v="Profit Cost"/>
    <s v="CAH"/>
    <s v="Y"/>
    <n v="1684.8"/>
    <n v="336.96"/>
    <x v="6"/>
    <s v="VALIDATED"/>
    <n v="1"/>
    <s v="01.11.80.307.6100.0000"/>
    <n v="1684.8"/>
    <s v="11"/>
    <s v="6100"/>
    <n v="627.7"/>
    <n v="1684.8"/>
    <s v="CREDITOR"/>
    <n v="0"/>
    <n v="0"/>
    <n v="0"/>
    <n v="0"/>
    <n v="1684.8"/>
  </r>
  <r>
    <n v="59984427"/>
    <s v="N"/>
    <n v="21331281"/>
    <s v="3000014329170022"/>
    <s v="CIVIL"/>
    <d v="2023-06-12T00:00:00"/>
    <d v="2023-07-05T19:01:47"/>
    <m/>
    <d v="2023-07-05T00:00:00"/>
    <n v="1190"/>
    <n v="3313"/>
    <s v="59984427"/>
    <s v="59984427"/>
    <m/>
    <m/>
    <n v="22670144"/>
    <m/>
    <m/>
    <m/>
    <s v="SOLINT"/>
    <s v="SOLINT"/>
    <s v="CCMS"/>
    <n v="21331281"/>
    <n v="19398.97"/>
    <m/>
    <s v="N"/>
    <n v="79"/>
    <d v="2023-07-05T19:02:13"/>
    <s v="Y"/>
    <s v="Preparation - other"/>
    <s v="Prescribed Hourly Rates"/>
    <s v="Profit Cost"/>
    <s v="CAH"/>
    <s v="Y"/>
    <n v="5.49"/>
    <n v="1.1"/>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98"/>
    <d v="2023-07-05T19:02:13"/>
    <s v="Y"/>
    <s v="Preparation - other"/>
    <s v="Prescribed Hourly Rates"/>
    <s v="Profit Cost"/>
    <s v="CAH"/>
    <s v="Y"/>
    <n v="131.76"/>
    <n v="26.35"/>
    <x v="6"/>
    <s v="VALIDATED"/>
    <n v="1"/>
    <s v="01.11.80.307.6100.0000"/>
    <n v="131.76"/>
    <s v="11"/>
    <s v="6100"/>
    <n v="627.7"/>
    <n v="131.76"/>
    <s v="CREDITOR"/>
    <n v="0"/>
    <n v="0"/>
    <n v="0"/>
    <n v="0"/>
    <n v="131.76"/>
  </r>
  <r>
    <n v="59984427"/>
    <s v="N"/>
    <n v="21331281"/>
    <s v="3000014329170022"/>
    <s v="CIVIL"/>
    <d v="2023-06-12T00:00:00"/>
    <d v="2023-07-05T19:01:47"/>
    <m/>
    <d v="2023-07-05T00:00:00"/>
    <n v="1190"/>
    <n v="3313"/>
    <s v="59984427"/>
    <s v="59984427"/>
    <m/>
    <m/>
    <n v="22670144"/>
    <m/>
    <m/>
    <m/>
    <s v="SOLINT"/>
    <s v="SOLINT"/>
    <s v="CCMS"/>
    <n v="21331281"/>
    <n v="19398.97"/>
    <m/>
    <s v="N"/>
    <n v="45"/>
    <d v="2023-07-05T19:02:13"/>
    <s v="Y"/>
    <s v="Attendance upon client"/>
    <s v="Prescribed Hourly Rates"/>
    <s v="Profit Cost"/>
    <s v="CAH"/>
    <s v="Y"/>
    <n v="10.98"/>
    <n v="2.2"/>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23"/>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2"/>
    <d v="2023-07-05T19:02:13"/>
    <s v="Y"/>
    <s v="Toxicologist"/>
    <s v="Prescribed Hourly Rates"/>
    <s v="Expert Disbursement"/>
    <s v="CAH"/>
    <s v="Y"/>
    <n v="1940"/>
    <n v="388"/>
    <x v="6"/>
    <s v="VALIDATED"/>
    <n v="1"/>
    <s v="01.11.80.307.6300.0000"/>
    <n v="1940"/>
    <s v="11"/>
    <s v="6300"/>
    <n v="627.7"/>
    <n v="1940"/>
    <s v="CREDITOR"/>
    <n v="0"/>
    <n v="0"/>
    <n v="0"/>
    <n v="0"/>
    <n v="1940"/>
  </r>
  <r>
    <n v="59984427"/>
    <s v="N"/>
    <n v="21331281"/>
    <s v="3000014329170022"/>
    <s v="CIVIL"/>
    <d v="2023-06-12T00:00:00"/>
    <d v="2023-07-05T19:01:47"/>
    <m/>
    <d v="2023-07-05T00:00:00"/>
    <n v="1190"/>
    <n v="3313"/>
    <s v="59984427"/>
    <s v="59984427"/>
    <m/>
    <m/>
    <n v="22670144"/>
    <m/>
    <m/>
    <m/>
    <s v="SOLINT"/>
    <s v="SOLINT"/>
    <s v="CCMS"/>
    <n v="21331281"/>
    <n v="19398.97"/>
    <m/>
    <s v="N"/>
    <n v="19"/>
    <d v="2023-07-05T19:02:13"/>
    <s v="Y"/>
    <s v="Preparation -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28"/>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58"/>
    <d v="2023-07-05T19:02:13"/>
    <s v="Y"/>
    <s v="Preparation - other"/>
    <s v="Prescribed Hourly Rates"/>
    <s v="Profit Cost"/>
    <s v="CAH"/>
    <s v="Y"/>
    <n v="49.41"/>
    <n v="9.880000000000001"/>
    <x v="6"/>
    <s v="VALIDATED"/>
    <n v="1"/>
    <s v="01.11.80.307.6100.0000"/>
    <n v="49.41"/>
    <s v="11"/>
    <s v="6100"/>
    <n v="627.7"/>
    <n v="49.41"/>
    <s v="CREDITOR"/>
    <n v="0"/>
    <n v="0"/>
    <n v="0"/>
    <n v="0"/>
    <n v="49.41"/>
  </r>
  <r>
    <n v="59984427"/>
    <s v="N"/>
    <n v="21331281"/>
    <s v="3000014329170022"/>
    <s v="CIVIL"/>
    <d v="2023-06-12T00:00:00"/>
    <d v="2023-07-05T19:01:47"/>
    <m/>
    <d v="2023-07-05T00:00:00"/>
    <n v="1190"/>
    <n v="3313"/>
    <s v="59984427"/>
    <s v="59984427"/>
    <m/>
    <m/>
    <n v="22670144"/>
    <m/>
    <m/>
    <m/>
    <s v="SOLINT"/>
    <s v="SOLINT"/>
    <s v="CCMS"/>
    <n v="21331281"/>
    <n v="19398.97"/>
    <m/>
    <s v="N"/>
    <n v="75"/>
    <d v="2023-07-05T19:02:13"/>
    <s v="Y"/>
    <s v="Preparation - other"/>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93"/>
    <d v="2023-07-05T19:02:13"/>
    <s v="Y"/>
    <s v="Preparation - other"/>
    <s v="Prescribed Hourly Rates"/>
    <s v="Profit Cost"/>
    <s v="CAH"/>
    <s v="Y"/>
    <n v="137.25"/>
    <n v="27.45"/>
    <x v="6"/>
    <s v="VALIDATED"/>
    <n v="1"/>
    <s v="01.11.80.307.6100.0000"/>
    <n v="137.25"/>
    <s v="11"/>
    <s v="6100"/>
    <n v="627.7"/>
    <n v="137.25"/>
    <s v="CREDITOR"/>
    <n v="0"/>
    <n v="0"/>
    <n v="0"/>
    <n v="0"/>
    <n v="137.25"/>
  </r>
  <r>
    <n v="59984427"/>
    <s v="N"/>
    <n v="21331281"/>
    <s v="3000014329170022"/>
    <s v="CIVIL"/>
    <d v="2023-06-12T00:00:00"/>
    <d v="2023-07-05T19:01:47"/>
    <m/>
    <d v="2023-07-05T00:00:00"/>
    <n v="1190"/>
    <n v="3313"/>
    <s v="59984427"/>
    <s v="59984427"/>
    <m/>
    <m/>
    <n v="22670144"/>
    <m/>
    <m/>
    <m/>
    <s v="SOLINT"/>
    <s v="SOLINT"/>
    <s v="CCMS"/>
    <n v="21331281"/>
    <n v="19398.97"/>
    <m/>
    <s v="N"/>
    <n v="61"/>
    <d v="2023-07-05T19:02:13"/>
    <s v="Y"/>
    <s v="Attendance upon client"/>
    <s v="Prescribed Hourly Rates"/>
    <s v="Profit Cost"/>
    <s v="CAH"/>
    <s v="Y"/>
    <n v="60.39"/>
    <n v="12.08"/>
    <x v="6"/>
    <s v="VALIDATED"/>
    <n v="1"/>
    <s v="01.11.80.307.6100.0000"/>
    <n v="60.39"/>
    <s v="11"/>
    <s v="6100"/>
    <n v="627.7"/>
    <n v="60.39"/>
    <s v="CREDITOR"/>
    <n v="0"/>
    <n v="0"/>
    <n v="0"/>
    <n v="0"/>
    <n v="60.39"/>
  </r>
  <r>
    <n v="59984427"/>
    <s v="N"/>
    <n v="21331281"/>
    <s v="3000014329170022"/>
    <s v="CIVIL"/>
    <d v="2023-06-12T00:00:00"/>
    <d v="2023-07-05T19:01:47"/>
    <m/>
    <d v="2023-07-05T00:00:00"/>
    <n v="1190"/>
    <n v="3313"/>
    <s v="59984427"/>
    <s v="59984427"/>
    <m/>
    <m/>
    <n v="22670144"/>
    <m/>
    <m/>
    <m/>
    <s v="SOLINT"/>
    <s v="SOLINT"/>
    <s v="CCMS"/>
    <n v="21331281"/>
    <n v="19398.97"/>
    <m/>
    <s v="N"/>
    <n v="136"/>
    <d v="2023-07-05T19:02:13"/>
    <s v="Y"/>
    <s v="Preparation - other"/>
    <s v="Prescribed Hourly Rates"/>
    <s v="Profit Cost"/>
    <s v="CAH"/>
    <s v="Y"/>
    <n v="38.43"/>
    <n v="7.69"/>
    <x v="6"/>
    <s v="VALIDATED"/>
    <n v="1"/>
    <s v="01.11.80.307.6100.0000"/>
    <n v="38.43"/>
    <s v="11"/>
    <s v="6100"/>
    <n v="627.7"/>
    <n v="38.43"/>
    <s v="CREDITOR"/>
    <n v="0"/>
    <n v="0"/>
    <n v="0"/>
    <n v="0"/>
    <n v="38.43"/>
  </r>
  <r>
    <n v="59984427"/>
    <s v="N"/>
    <n v="21331281"/>
    <s v="3000014329170022"/>
    <s v="CIVIL"/>
    <d v="2023-06-12T00:00:00"/>
    <d v="2023-07-05T19:01:47"/>
    <m/>
    <d v="2023-07-05T00:00:00"/>
    <n v="1190"/>
    <n v="3313"/>
    <s v="59984427"/>
    <s v="59984427"/>
    <m/>
    <m/>
    <n v="22670144"/>
    <m/>
    <m/>
    <m/>
    <s v="SOLINT"/>
    <s v="SOLINT"/>
    <s v="CCMS"/>
    <n v="21331281"/>
    <n v="19398.97"/>
    <m/>
    <s v="N"/>
    <n v="23"/>
    <d v="2023-07-05T19:02:13"/>
    <s v="Y"/>
    <s v="Attendance upon client"/>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152"/>
    <d v="2023-07-05T19:02:13"/>
    <s v="Y"/>
    <s v="Preparation - drafting bill/claim f"/>
    <s v="Prescribed Hourly Rates"/>
    <s v="Profit Cost"/>
    <s v="CL"/>
    <s v="Y"/>
    <n v="54.9"/>
    <n v="10.98"/>
    <x v="6"/>
    <s v="VALIDATED"/>
    <n v="1"/>
    <s v="01.11.80.307.6100.0000"/>
    <n v="54.9"/>
    <s v="11"/>
    <s v="6100"/>
    <n v="627.7"/>
    <n v="54.9"/>
    <s v="CREDITOR"/>
    <n v="0"/>
    <n v="0"/>
    <n v="0"/>
    <n v="0"/>
    <n v="54.9"/>
  </r>
  <r>
    <n v="59984427"/>
    <s v="N"/>
    <n v="21331281"/>
    <s v="3000014329170022"/>
    <s v="CIVIL"/>
    <d v="2023-06-12T00:00:00"/>
    <d v="2023-07-05T19:01:47"/>
    <m/>
    <d v="2023-07-05T00:00:00"/>
    <n v="1190"/>
    <n v="3313"/>
    <s v="59984427"/>
    <s v="59984427"/>
    <m/>
    <m/>
    <n v="22670144"/>
    <m/>
    <m/>
    <m/>
    <s v="SOLINT"/>
    <s v="SOLINT"/>
    <s v="CCMS"/>
    <n v="21331281"/>
    <n v="19398.97"/>
    <m/>
    <s v="N"/>
    <n v="100"/>
    <d v="2023-07-05T19:02:13"/>
    <s v="Y"/>
    <s v="Preparation - other"/>
    <s v="Prescribed Hourly Rates"/>
    <s v="Profit Cost"/>
    <s v="CAH"/>
    <s v="Y"/>
    <n v="137.25"/>
    <n v="27.45"/>
    <x v="6"/>
    <s v="VALIDATED"/>
    <n v="1"/>
    <s v="01.11.80.307.6100.0000"/>
    <n v="137.25"/>
    <s v="11"/>
    <s v="6100"/>
    <n v="627.7"/>
    <n v="137.25"/>
    <s v="CREDITOR"/>
    <n v="0"/>
    <n v="0"/>
    <n v="0"/>
    <n v="0"/>
    <n v="137.25"/>
  </r>
  <r>
    <n v="59984427"/>
    <s v="N"/>
    <n v="21331281"/>
    <s v="3000014329170022"/>
    <s v="CIVIL"/>
    <d v="2023-06-12T00:00:00"/>
    <d v="2023-07-05T19:01:47"/>
    <m/>
    <d v="2023-07-05T00:00:00"/>
    <n v="1190"/>
    <n v="3313"/>
    <s v="59984427"/>
    <s v="59984427"/>
    <m/>
    <m/>
    <n v="22670144"/>
    <m/>
    <m/>
    <m/>
    <s v="SOLINT"/>
    <s v="SOLINT"/>
    <s v="CCMS"/>
    <n v="21331281"/>
    <n v="19398.97"/>
    <m/>
    <s v="N"/>
    <n v="7"/>
    <d v="2023-07-05T19:02:13"/>
    <s v="N"/>
    <s v="Solicitor Travel Expenses"/>
    <s v="Prescribed Hourly Rates"/>
    <s v="Non Expert Disbursement"/>
    <s v="CAH"/>
    <s v="N"/>
    <n v="0"/>
    <n v="0"/>
    <x v="6"/>
    <s v="VALIDATED"/>
    <n v="1"/>
    <s v="01.11.80.307.6300.0000"/>
    <n v="0"/>
    <s v="11"/>
    <s v="6300"/>
    <n v="627.7"/>
    <n v="0"/>
    <s v="CREDITOR"/>
    <n v="0"/>
    <n v="0"/>
    <n v="0"/>
    <n v="0"/>
    <n v="0"/>
  </r>
  <r>
    <n v="59984427"/>
    <s v="N"/>
    <n v="21331281"/>
    <s v="3000014329170022"/>
    <s v="CIVIL"/>
    <d v="2023-06-12T00:00:00"/>
    <d v="2023-07-05T19:01:47"/>
    <m/>
    <d v="2023-07-05T00:00:00"/>
    <n v="1190"/>
    <n v="3313"/>
    <s v="59984427"/>
    <s v="59984427"/>
    <m/>
    <m/>
    <n v="22670144"/>
    <m/>
    <m/>
    <m/>
    <s v="SOLINT"/>
    <s v="SOLINT"/>
    <s v="CCMS"/>
    <n v="21331281"/>
    <n v="19398.97"/>
    <m/>
    <s v="N"/>
    <n v="138"/>
    <d v="2023-07-05T19:02:13"/>
    <s v="Y"/>
    <s v="Attendance upon client"/>
    <s v="Prescribed Hourly Rates"/>
    <s v="Profit Cost"/>
    <s v="CAH"/>
    <s v="Y"/>
    <n v="21.96"/>
    <n v="4.39"/>
    <x v="6"/>
    <s v="VALIDATED"/>
    <n v="1"/>
    <s v="01.11.80.307.6100.0000"/>
    <n v="21.96"/>
    <s v="11"/>
    <s v="6100"/>
    <n v="627.7"/>
    <n v="21.96"/>
    <s v="CREDITOR"/>
    <n v="0"/>
    <n v="0"/>
    <n v="0"/>
    <n v="0"/>
    <n v="21.96"/>
  </r>
  <r>
    <n v="59984427"/>
    <s v="N"/>
    <n v="21331281"/>
    <s v="3000014329170022"/>
    <s v="CIVIL"/>
    <d v="2023-06-12T00:00:00"/>
    <d v="2023-07-05T19:01:47"/>
    <m/>
    <d v="2023-07-05T00:00:00"/>
    <n v="1190"/>
    <n v="3313"/>
    <s v="59984427"/>
    <s v="59984427"/>
    <m/>
    <m/>
    <n v="22670144"/>
    <m/>
    <m/>
    <m/>
    <s v="SOLINT"/>
    <s v="SOLINT"/>
    <s v="CCMS"/>
    <n v="21331281"/>
    <n v="19398.97"/>
    <m/>
    <s v="N"/>
    <n v="89"/>
    <d v="2023-07-05T19:02:13"/>
    <s v="Y"/>
    <s v="Preparation - other"/>
    <s v="Prescribed Hourly Rates"/>
    <s v="Profit Cost"/>
    <s v="CAH"/>
    <s v="Y"/>
    <n v="109.8"/>
    <n v="21.96"/>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2"/>
    <d v="2023-07-05T19:02:13"/>
    <s v="Y"/>
    <s v="Police Records"/>
    <s v="Prescribed Hourly Rates"/>
    <s v="Non Expert Disbursement"/>
    <s v="CAH"/>
    <s v="Y"/>
    <n v="123.76"/>
    <n v="0"/>
    <x v="6"/>
    <s v="VALIDATED"/>
    <n v="1"/>
    <s v="01.11.80.307.6300.0000"/>
    <n v="123.76"/>
    <s v="11"/>
    <s v="6300"/>
    <n v="627.7"/>
    <n v="123.76"/>
    <s v="CREDITOR"/>
    <n v="0"/>
    <n v="0"/>
    <n v="0"/>
    <n v="0"/>
    <n v="123.76"/>
  </r>
  <r>
    <n v="59984427"/>
    <s v="N"/>
    <n v="21331281"/>
    <s v="3000014329170022"/>
    <s v="CIVIL"/>
    <d v="2023-06-12T00:00:00"/>
    <d v="2023-07-05T19:01:47"/>
    <m/>
    <d v="2023-07-05T00:00:00"/>
    <n v="1190"/>
    <n v="3313"/>
    <s v="59984427"/>
    <s v="59984427"/>
    <m/>
    <m/>
    <n v="22670144"/>
    <m/>
    <m/>
    <m/>
    <s v="SOLINT"/>
    <s v="SOLINT"/>
    <s v="CCMS"/>
    <n v="21331281"/>
    <n v="19398.97"/>
    <m/>
    <s v="N"/>
    <n v="73"/>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6"/>
    <d v="2023-07-05T19:02:13"/>
    <s v="Y"/>
    <s v="Police Records"/>
    <s v="Prescribed Hourly Rates"/>
    <s v="Non Expert Disbursement"/>
    <s v="CAH"/>
    <s v="Y"/>
    <n v="1688.2"/>
    <n v="0"/>
    <x v="6"/>
    <s v="VALIDATED"/>
    <n v="1"/>
    <s v="01.11.80.307.6300.0000"/>
    <n v="1688.2"/>
    <s v="11"/>
    <s v="6300"/>
    <n v="627.7"/>
    <n v="1688.2"/>
    <s v="CREDITOR"/>
    <n v="0"/>
    <n v="0"/>
    <n v="0"/>
    <n v="0"/>
    <n v="1688.2"/>
  </r>
  <r>
    <n v="59984427"/>
    <s v="N"/>
    <n v="21331281"/>
    <s v="3000014329170022"/>
    <s v="CIVIL"/>
    <d v="2023-06-12T00:00:00"/>
    <d v="2023-07-05T19:01:47"/>
    <m/>
    <d v="2023-07-05T00:00:00"/>
    <n v="1190"/>
    <n v="3313"/>
    <s v="59984427"/>
    <s v="59984427"/>
    <m/>
    <m/>
    <n v="22670144"/>
    <m/>
    <m/>
    <m/>
    <s v="SOLINT"/>
    <s v="SOLINT"/>
    <s v="CCMS"/>
    <n v="21331281"/>
    <n v="19398.97"/>
    <m/>
    <s v="N"/>
    <n v="151"/>
    <d v="2023-07-05T19:02:13"/>
    <s v="Y"/>
    <s v="Preparation - drafting bill/claim f"/>
    <s v="Prescribed Hourly Rates"/>
    <s v="Profit Cost"/>
    <s v="JM"/>
    <s v="Y"/>
    <n v="378.81"/>
    <n v="75.76000000000001"/>
    <x v="6"/>
    <s v="VALIDATED"/>
    <n v="1"/>
    <s v="01.11.80.307.6100.0000"/>
    <n v="378.81"/>
    <s v="11"/>
    <s v="6100"/>
    <n v="627.7"/>
    <n v="378.81"/>
    <s v="CREDITOR"/>
    <n v="0"/>
    <n v="0"/>
    <n v="0"/>
    <n v="0"/>
    <n v="378.81"/>
  </r>
  <r>
    <n v="59984427"/>
    <s v="N"/>
    <n v="21331281"/>
    <s v="3000014329170022"/>
    <s v="CIVIL"/>
    <d v="2023-06-12T00:00:00"/>
    <d v="2023-07-05T19:01:47"/>
    <m/>
    <d v="2023-07-05T00:00:00"/>
    <n v="1190"/>
    <n v="3313"/>
    <s v="59984427"/>
    <s v="59984427"/>
    <m/>
    <m/>
    <n v="22670144"/>
    <m/>
    <m/>
    <m/>
    <s v="SOLINT"/>
    <s v="SOLINT"/>
    <s v="CCMS"/>
    <n v="21331281"/>
    <n v="19398.97"/>
    <m/>
    <s v="N"/>
    <n v="111"/>
    <d v="2023-07-05T19:02:13"/>
    <s v="Y"/>
    <s v="Preparation - other"/>
    <s v="Prescribed Hourly Rates"/>
    <s v="Profit Cost"/>
    <s v="CAH"/>
    <s v="Y"/>
    <n v="109.8"/>
    <n v="21.96"/>
    <x v="6"/>
    <s v="VALIDATED"/>
    <n v="1"/>
    <s v="01.11.80.307.6100.0000"/>
    <n v="109.8"/>
    <s v="11"/>
    <s v="6100"/>
    <n v="627.7"/>
    <n v="109.8"/>
    <s v="CREDITOR"/>
    <n v="0"/>
    <n v="0"/>
    <n v="0"/>
    <n v="0"/>
    <n v="109.8"/>
  </r>
  <r>
    <n v="59984427"/>
    <s v="N"/>
    <n v="21331281"/>
    <s v="3000014329170022"/>
    <s v="CIVIL"/>
    <d v="2023-06-12T00:00:00"/>
    <d v="2023-07-05T19:01:47"/>
    <m/>
    <d v="2023-07-05T00:00:00"/>
    <n v="1190"/>
    <n v="3313"/>
    <s v="59984427"/>
    <s v="59984427"/>
    <m/>
    <m/>
    <n v="22670144"/>
    <m/>
    <m/>
    <m/>
    <s v="SOLINT"/>
    <s v="SOLINT"/>
    <s v="CCMS"/>
    <n v="21331281"/>
    <n v="19398.97"/>
    <m/>
    <s v="N"/>
    <n v="119"/>
    <d v="2023-07-05T19:02:13"/>
    <s v="Y"/>
    <s v="Preparation - other"/>
    <s v="Prescribed Hourly Rates"/>
    <s v="Profit Cost"/>
    <s v="CAH"/>
    <s v="Y"/>
    <n v="170.19"/>
    <n v="34.04"/>
    <x v="6"/>
    <s v="VALIDATED"/>
    <n v="1"/>
    <s v="01.11.80.307.6100.0000"/>
    <n v="170.19"/>
    <s v="11"/>
    <s v="6100"/>
    <n v="627.7"/>
    <n v="170.19"/>
    <s v="CREDITOR"/>
    <n v="0"/>
    <n v="0"/>
    <n v="0"/>
    <n v="0"/>
    <n v="170.19"/>
  </r>
  <r>
    <n v="59984427"/>
    <s v="N"/>
    <n v="21331281"/>
    <s v="3000014329170022"/>
    <s v="CIVIL"/>
    <d v="2023-06-12T00:00:00"/>
    <d v="2023-07-05T19:01:47"/>
    <m/>
    <d v="2023-07-05T00:00:00"/>
    <n v="1190"/>
    <n v="3313"/>
    <s v="59984427"/>
    <s v="59984427"/>
    <m/>
    <m/>
    <n v="22670144"/>
    <m/>
    <m/>
    <m/>
    <s v="SOLINT"/>
    <s v="SOLINT"/>
    <s v="CCMS"/>
    <n v="21331281"/>
    <n v="19398.97"/>
    <m/>
    <s v="N"/>
    <n v="144"/>
    <d v="2023-07-05T19:02:13"/>
    <s v="Y"/>
    <s v="Preparation - drafting application"/>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53"/>
    <d v="2023-07-05T19:02:13"/>
    <s v="Y"/>
    <s v="Preparation - other"/>
    <s v="Prescribed Hourly Rates"/>
    <s v="Profit Cost"/>
    <s v="CAH"/>
    <s v="Y"/>
    <n v="38.43"/>
    <n v="7.69"/>
    <x v="6"/>
    <s v="VALIDATED"/>
    <n v="1"/>
    <s v="01.11.80.307.6100.0000"/>
    <n v="38.43"/>
    <s v="11"/>
    <s v="6100"/>
    <n v="627.7"/>
    <n v="38.43"/>
    <s v="CREDITOR"/>
    <n v="0"/>
    <n v="0"/>
    <n v="0"/>
    <n v="0"/>
    <n v="38.43"/>
  </r>
  <r>
    <n v="59984427"/>
    <s v="N"/>
    <n v="21331281"/>
    <s v="3000014329170022"/>
    <s v="CIVIL"/>
    <d v="2023-06-12T00:00:00"/>
    <d v="2023-07-05T19:01:47"/>
    <m/>
    <d v="2023-07-05T00:00:00"/>
    <n v="1190"/>
    <n v="3313"/>
    <s v="59984427"/>
    <s v="59984427"/>
    <m/>
    <m/>
    <n v="22670144"/>
    <m/>
    <m/>
    <m/>
    <s v="SOLINT"/>
    <s v="SOLINT"/>
    <s v="CCMS"/>
    <n v="21331281"/>
    <n v="19398.97"/>
    <m/>
    <s v="N"/>
    <n v="17"/>
    <d v="2023-07-05T19:02:13"/>
    <s v="Y"/>
    <s v="Attendance upon/with Counsel at Con"/>
    <s v="Prescribed Hourly Rates"/>
    <s v="Profit Cost"/>
    <s v="CAH"/>
    <s v="Y"/>
    <n v="19.44"/>
    <n v="3.89"/>
    <x v="6"/>
    <s v="VALIDATED"/>
    <n v="1"/>
    <s v="01.11.80.307.6100.0000"/>
    <n v="19.44"/>
    <s v="11"/>
    <s v="6100"/>
    <n v="627.7"/>
    <n v="19.44"/>
    <s v="CREDITOR"/>
    <n v="0"/>
    <n v="0"/>
    <n v="0"/>
    <n v="0"/>
    <n v="19.44"/>
  </r>
  <r>
    <n v="59984427"/>
    <s v="N"/>
    <n v="21331281"/>
    <s v="3000014329170022"/>
    <s v="CIVIL"/>
    <d v="2023-06-12T00:00:00"/>
    <d v="2023-07-05T19:01:47"/>
    <m/>
    <d v="2023-07-05T00:00:00"/>
    <n v="1190"/>
    <n v="3313"/>
    <s v="59984427"/>
    <s v="59984427"/>
    <m/>
    <m/>
    <n v="22670144"/>
    <m/>
    <m/>
    <m/>
    <s v="SOLINT"/>
    <s v="SOLINT"/>
    <s v="CCMS"/>
    <n v="21331281"/>
    <n v="19398.97"/>
    <m/>
    <s v="N"/>
    <n v="134"/>
    <d v="2023-07-05T19:02:13"/>
    <s v="Y"/>
    <s v="Attendance upon client"/>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57"/>
    <d v="2023-07-05T19:02:13"/>
    <s v="Y"/>
    <s v="Preparation - other"/>
    <s v="Prescribed Hourly Rates"/>
    <s v="Profit Cost"/>
    <s v="CAH"/>
    <s v="Y"/>
    <n v="38.43"/>
    <n v="7.69"/>
    <x v="6"/>
    <s v="VALIDATED"/>
    <n v="1"/>
    <s v="01.11.80.307.6100.0000"/>
    <n v="38.43"/>
    <s v="11"/>
    <s v="6100"/>
    <n v="627.7"/>
    <n v="38.43"/>
    <s v="CREDITOR"/>
    <n v="0"/>
    <n v="0"/>
    <n v="0"/>
    <n v="0"/>
    <n v="38.43"/>
  </r>
  <r>
    <n v="59984427"/>
    <s v="N"/>
    <n v="21331281"/>
    <s v="3000014329170022"/>
    <s v="CIVIL"/>
    <d v="2023-06-12T00:00:00"/>
    <d v="2023-07-05T19:01:47"/>
    <m/>
    <d v="2023-07-05T00:00:00"/>
    <n v="1190"/>
    <n v="3313"/>
    <s v="59984427"/>
    <s v="59984427"/>
    <m/>
    <m/>
    <n v="22670144"/>
    <m/>
    <m/>
    <m/>
    <s v="SOLINT"/>
    <s v="SOLINT"/>
    <s v="CCMS"/>
    <n v="21331281"/>
    <n v="19398.97"/>
    <m/>
    <s v="N"/>
    <n v="97"/>
    <d v="2023-07-05T19:02:13"/>
    <s v="Y"/>
    <s v="Preparation - other"/>
    <s v="Prescribed Hourly Rates"/>
    <s v="Profit Cost"/>
    <s v="CAH"/>
    <s v="Y"/>
    <n v="131.76"/>
    <n v="26.35"/>
    <x v="6"/>
    <s v="VALIDATED"/>
    <n v="1"/>
    <s v="01.11.80.307.6100.0000"/>
    <n v="131.76"/>
    <s v="11"/>
    <s v="6100"/>
    <n v="627.7"/>
    <n v="131.76"/>
    <s v="CREDITOR"/>
    <n v="0"/>
    <n v="0"/>
    <n v="0"/>
    <n v="0"/>
    <n v="131.76"/>
  </r>
  <r>
    <n v="59984427"/>
    <s v="N"/>
    <n v="21331281"/>
    <s v="3000014329170022"/>
    <s v="CIVIL"/>
    <d v="2023-06-12T00:00:00"/>
    <d v="2023-07-05T19:01:47"/>
    <m/>
    <d v="2023-07-05T00:00:00"/>
    <n v="1190"/>
    <n v="3313"/>
    <s v="59984427"/>
    <s v="59984427"/>
    <m/>
    <m/>
    <n v="22670144"/>
    <m/>
    <m/>
    <m/>
    <s v="SOLINT"/>
    <s v="SOLINT"/>
    <s v="CCMS"/>
    <n v="21331281"/>
    <n v="19398.97"/>
    <m/>
    <s v="N"/>
    <n v="77"/>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78"/>
    <d v="2023-07-05T19:02:13"/>
    <s v="Y"/>
    <s v="Preparation - other"/>
    <s v="Prescribed Hourly Rates"/>
    <s v="Profit Cost"/>
    <s v="CAH"/>
    <s v="Y"/>
    <n v="16.47"/>
    <n v="3.29"/>
    <x v="6"/>
    <s v="VALIDATED"/>
    <n v="1"/>
    <s v="01.11.80.307.6100.0000"/>
    <n v="16.47"/>
    <s v="11"/>
    <s v="6100"/>
    <n v="627.7"/>
    <n v="16.47"/>
    <s v="CREDITOR"/>
    <n v="0"/>
    <n v="0"/>
    <n v="0"/>
    <n v="0"/>
    <n v="16.47"/>
  </r>
  <r>
    <n v="59984427"/>
    <s v="N"/>
    <n v="21331281"/>
    <s v="3000014329170022"/>
    <s v="CIVIL"/>
    <d v="2023-06-12T00:00:00"/>
    <d v="2023-07-05T19:01:47"/>
    <m/>
    <d v="2023-07-05T00:00:00"/>
    <n v="1190"/>
    <n v="3313"/>
    <s v="59984427"/>
    <s v="59984427"/>
    <m/>
    <m/>
    <n v="22670144"/>
    <m/>
    <m/>
    <m/>
    <s v="SOLINT"/>
    <s v="SOLINT"/>
    <s v="CCMS"/>
    <n v="21331281"/>
    <n v="19398.97"/>
    <m/>
    <s v="N"/>
    <n v="80"/>
    <d v="2023-07-05T19:02:13"/>
    <s v="Y"/>
    <s v="Preparation - other"/>
    <s v="Prescribed Hourly Rates"/>
    <s v="Profit Cost"/>
    <s v="CAH"/>
    <s v="Y"/>
    <n v="38.43"/>
    <n v="7.69"/>
    <x v="6"/>
    <s v="VALIDATED"/>
    <n v="1"/>
    <s v="01.11.80.307.6100.0000"/>
    <n v="38.43"/>
    <s v="11"/>
    <s v="6100"/>
    <n v="627.7"/>
    <n v="38.43"/>
    <s v="CREDITOR"/>
    <n v="0"/>
    <n v="0"/>
    <n v="0"/>
    <n v="0"/>
    <n v="38.43"/>
  </r>
  <r>
    <n v="60487372"/>
    <s v="N"/>
    <n v="21327476"/>
    <s v="3000014764300009"/>
    <s v="CIVIL"/>
    <d v="2023-06-29T00:00:00"/>
    <d v="2023-07-04T19:00:44"/>
    <m/>
    <d v="2023-07-04T00:00:00"/>
    <n v="1198"/>
    <n v="3381"/>
    <s v="60487372"/>
    <s v="60487372"/>
    <m/>
    <m/>
    <n v="22792334"/>
    <m/>
    <m/>
    <m/>
    <s v="SOLAPP"/>
    <s v="SOLAPP"/>
    <s v="CCMS"/>
    <n v="21327476"/>
    <n v="63.08"/>
    <m/>
    <s v="N"/>
    <n v="1"/>
    <d v="2023-07-04T19:00:48"/>
    <s v="Y"/>
    <s v="Attendance upon other"/>
    <s v="Care Remuneration Hourly Rates"/>
    <s v="Profit Cost"/>
    <s v="VC"/>
    <s v="Y"/>
    <n v="52.57"/>
    <n v="10.51"/>
    <x v="1"/>
    <s v="VALIDATED"/>
    <n v="1"/>
    <s v="01.11.80.308.6100.0000"/>
    <n v="52.57"/>
    <s v="11"/>
    <s v="6100"/>
    <n v="52.57"/>
    <n v="52.57"/>
    <s v="CREDITOR"/>
    <n v="0"/>
    <n v="0"/>
    <n v="0"/>
    <n v="0"/>
    <n v="52.57"/>
  </r>
  <r>
    <n v="60487372"/>
    <s v="N"/>
    <n v="21327476"/>
    <s v="3000014764300009"/>
    <s v="CIVIL"/>
    <d v="2023-06-29T00:00:00"/>
    <d v="2023-07-04T19:00:44"/>
    <m/>
    <d v="2023-07-04T00:00:00"/>
    <n v="1198"/>
    <n v="3381"/>
    <s v="60487372"/>
    <s v="60487372"/>
    <m/>
    <m/>
    <n v="22792334"/>
    <m/>
    <m/>
    <m/>
    <s v="SOLAPP"/>
    <s v="SOLAPP"/>
    <s v="CCMS"/>
    <n v="21327476"/>
    <n v="63.08"/>
    <m/>
    <s v="N"/>
    <n v="2"/>
    <d v="2023-07-04T19:00:48"/>
    <s v="N"/>
    <s v="Solicitors Fixed Fee"/>
    <s v="Public Law Children"/>
    <s v="Profit Cost"/>
    <s v="VC"/>
    <s v="N"/>
    <n v="0"/>
    <n v="0"/>
    <x v="1"/>
    <s v="VALIDATED"/>
    <n v="1"/>
    <s v="01.11.80.308.6100.0000"/>
    <n v="0"/>
    <s v="11"/>
    <s v="6100"/>
    <n v="52.57"/>
    <n v="0"/>
    <s v="CREDITOR"/>
    <n v="0"/>
    <n v="0"/>
    <n v="0"/>
    <n v="0"/>
    <n v="0"/>
  </r>
  <r>
    <n v="62025635"/>
    <s v="N"/>
    <n v="21323474"/>
    <s v="3000016047210002"/>
    <s v="CIVIL"/>
    <d v="2023-06-30T00:00:00"/>
    <d v="2023-07-03T19:05:56"/>
    <m/>
    <d v="2023-07-03T00:00:00"/>
    <n v="1199"/>
    <n v="3392"/>
    <s v="62025635"/>
    <s v="62025635"/>
    <m/>
    <m/>
    <n v="22795312"/>
    <m/>
    <m/>
    <m/>
    <s v="SOLPOA"/>
    <s v="SOLPOA"/>
    <s v="CCMS"/>
    <n v="21323474"/>
    <n v="77"/>
    <m/>
    <s v="N"/>
    <n v="1"/>
    <d v="2023-07-03T19:05:57"/>
    <s v="N"/>
    <s v="Expert Cost - Private Law Children"/>
    <s v="Expert Cost - Private Law Chil"/>
    <s v="Expert Disbursement"/>
    <s v="lsp"/>
    <s v="N"/>
    <n v="77"/>
    <n v="0"/>
    <x v="3"/>
    <s v="VALIDATED"/>
    <n v="1"/>
    <s v="01.11.80.307.2012.0000"/>
    <n v="77"/>
    <s v="11"/>
    <s v="2012"/>
    <n v="27130.77"/>
    <n v="77"/>
    <s v="CREDITOR"/>
    <n v="77"/>
    <n v="0"/>
    <n v="0"/>
    <n v="0"/>
    <n v="0"/>
  </r>
  <r>
    <n v="55924287"/>
    <s v="N"/>
    <n v="21360226"/>
    <s v="3000013151730011"/>
    <s v="CIVIL"/>
    <d v="2023-06-28T00:00:00"/>
    <d v="2023-07-11T11:50:54"/>
    <m/>
    <d v="2023-07-11T00:00:00"/>
    <n v="1199"/>
    <n v="3392"/>
    <s v="55924287"/>
    <s v="55924287"/>
    <m/>
    <m/>
    <n v="22780932"/>
    <m/>
    <m/>
    <m/>
    <s v="SOLFIN"/>
    <s v="SOLFIN"/>
    <s v="CCMS"/>
    <n v="21360226"/>
    <n v="21643.37"/>
    <m/>
    <s v="N"/>
    <n v="12"/>
    <d v="2023-07-11T11:50:57"/>
    <s v="Y"/>
    <s v="Advocates Meeting"/>
    <s v="Public Law Children"/>
    <s v="Advocacy"/>
    <s v="Linda Parish"/>
    <s v="Y"/>
    <n v="140.99"/>
    <n v="28.2"/>
    <x v="7"/>
    <s v="VALIDATED"/>
    <n v="1"/>
    <s v="01.11.80.308.6100.0000"/>
    <n v="140.99"/>
    <s v="11"/>
    <s v="6100"/>
    <n v="27130.77"/>
    <n v="140.99"/>
    <s v="CREDITOR"/>
    <n v="0"/>
    <n v="0"/>
    <n v="0"/>
    <n v="0"/>
    <n v="140.99"/>
  </r>
  <r>
    <n v="61861854"/>
    <s v="N"/>
    <n v="21343237"/>
    <s v="3000015925820001"/>
    <s v="CIVIL"/>
    <d v="2023-06-22T00:00:00"/>
    <d v="2023-07-07T19:03:00"/>
    <m/>
    <d v="2023-07-07T00:00:00"/>
    <n v="1199"/>
    <n v="3392"/>
    <s v="61861854"/>
    <s v="61861854"/>
    <m/>
    <m/>
    <n v="22744506"/>
    <m/>
    <m/>
    <m/>
    <s v="SOLFIN"/>
    <s v="SOLFIN"/>
    <s v="CCMS"/>
    <n v="21343237"/>
    <n v="4805.26"/>
    <m/>
    <s v="N"/>
    <n v="5"/>
    <d v="2023-07-07T19:03:05"/>
    <s v="Y"/>
    <s v="Advocates Meeting"/>
    <s v="Public Law Children"/>
    <s v="Advocacy"/>
    <s v="lsp"/>
    <s v="Y"/>
    <n v="140.99"/>
    <n v="28.2"/>
    <x v="9"/>
    <s v="VALIDATED"/>
    <n v="1"/>
    <s v="01.11.80.308.6100.0000"/>
    <n v="140.99"/>
    <s v="11"/>
    <s v="6100"/>
    <n v="27130.77"/>
    <n v="140.99"/>
    <s v="CREDITOR"/>
    <n v="0"/>
    <n v="0"/>
    <n v="0"/>
    <n v="0"/>
    <n v="140.99"/>
  </r>
  <r>
    <n v="55924287"/>
    <s v="N"/>
    <n v="21360226"/>
    <s v="3000013151730011"/>
    <s v="CIVIL"/>
    <d v="2023-06-28T00:00:00"/>
    <d v="2023-07-11T11:50:54"/>
    <m/>
    <d v="2023-07-11T00:00:00"/>
    <n v="1199"/>
    <n v="3392"/>
    <s v="55924287"/>
    <s v="55924287"/>
    <m/>
    <m/>
    <n v="22780932"/>
    <m/>
    <m/>
    <m/>
    <s v="SOLFIN"/>
    <s v="SOLFIN"/>
    <s v="CCMS"/>
    <n v="21360226"/>
    <n v="21643.37"/>
    <m/>
    <s v="N"/>
    <n v="1"/>
    <d v="2023-07-11T11:50:57"/>
    <s v="Y"/>
    <s v="Interim Hearing Court Bundle/Advoca"/>
    <s v="Public Law Children"/>
    <s v="Advocacy"/>
    <s v="Linda Parish"/>
    <s v="Y"/>
    <n v="89.09999999999999"/>
    <n v="17.82"/>
    <x v="7"/>
    <s v="VALIDATED"/>
    <n v="1"/>
    <s v="01.11.80.308.6100.0000"/>
    <n v="89.09999999999999"/>
    <s v="11"/>
    <s v="6100"/>
    <n v="27130.77"/>
    <n v="89.09999999999999"/>
    <s v="CREDITOR"/>
    <n v="0"/>
    <n v="0"/>
    <n v="0"/>
    <n v="0"/>
    <n v="89.09999999999999"/>
  </r>
  <r>
    <n v="55924287"/>
    <s v="N"/>
    <n v="21360226"/>
    <s v="3000013151730011"/>
    <s v="CIVIL"/>
    <d v="2023-06-28T00:00:00"/>
    <d v="2023-07-11T11:50:54"/>
    <m/>
    <d v="2023-07-11T00:00:00"/>
    <n v="1199"/>
    <n v="3392"/>
    <s v="55924287"/>
    <s v="55924287"/>
    <m/>
    <m/>
    <n v="22780932"/>
    <m/>
    <m/>
    <m/>
    <s v="SOLFIN"/>
    <s v="SOLFIN"/>
    <s v="CCMS"/>
    <n v="21360226"/>
    <n v="21643.37"/>
    <m/>
    <s v="N"/>
    <n v="9"/>
    <d v="2023-07-11T11:50:57"/>
    <s v="Y"/>
    <s v="Hearing Unit 1.01 - 2.30 Hours"/>
    <s v="Public Law Children"/>
    <s v="Advocacy"/>
    <s v="Linda Parish"/>
    <s v="Y"/>
    <n v="298.08"/>
    <n v="59.62"/>
    <x v="7"/>
    <s v="VALIDATED"/>
    <n v="1"/>
    <s v="01.11.80.308.6100.0000"/>
    <n v="298.08"/>
    <s v="11"/>
    <s v="6100"/>
    <n v="27130.77"/>
    <n v="298.08"/>
    <s v="CREDITOR"/>
    <n v="0"/>
    <n v="0"/>
    <n v="0"/>
    <n v="0"/>
    <n v="298.08"/>
  </r>
  <r>
    <n v="61861854"/>
    <s v="N"/>
    <n v="21343237"/>
    <s v="3000015925820001"/>
    <s v="CIVIL"/>
    <d v="2023-06-22T00:00:00"/>
    <d v="2023-07-07T19:03:00"/>
    <m/>
    <d v="2023-07-07T00:00:00"/>
    <n v="1199"/>
    <n v="3392"/>
    <s v="61861854"/>
    <s v="61861854"/>
    <m/>
    <m/>
    <n v="22744506"/>
    <m/>
    <m/>
    <m/>
    <s v="SOLFIN"/>
    <s v="SOLFIN"/>
    <s v="CCMS"/>
    <n v="21343237"/>
    <n v="4805.26"/>
    <m/>
    <s v="N"/>
    <n v="4"/>
    <d v="2023-07-07T19:03:05"/>
    <s v="Y"/>
    <s v="Final Hearing - 1 Day"/>
    <s v="Public Law Children"/>
    <s v="Advocacy"/>
    <s v="lsp"/>
    <s v="Y"/>
    <n v="556.88"/>
    <n v="111.38"/>
    <x v="9"/>
    <s v="VALIDATED"/>
    <n v="1"/>
    <s v="01.11.80.308.6100.0000"/>
    <n v="556.88"/>
    <s v="11"/>
    <s v="6100"/>
    <n v="27130.77"/>
    <n v="556.88"/>
    <s v="CREDITOR"/>
    <n v="0"/>
    <n v="0"/>
    <n v="0"/>
    <n v="0"/>
    <n v="556.88"/>
  </r>
  <r>
    <n v="61756626"/>
    <s v="N"/>
    <n v="21319667"/>
    <s v="3000015835040007"/>
    <s v="CIVIL"/>
    <d v="2023-06-28T00:00:00"/>
    <d v="2023-07-03T19:04:24"/>
    <m/>
    <d v="2023-07-03T00:00:00"/>
    <n v="1199"/>
    <n v="3392"/>
    <s v="61756626"/>
    <s v="61756626"/>
    <m/>
    <m/>
    <n v="22777666"/>
    <m/>
    <m/>
    <m/>
    <s v="SOLPOA"/>
    <s v="SOLPOA"/>
    <s v="CCMS"/>
    <n v="21319667"/>
    <n v="10385.39"/>
    <m/>
    <s v="N"/>
    <n v="1"/>
    <d v="2023-07-03T19:04:27"/>
    <s v="N"/>
    <s v="Solicitors Fixed Fee"/>
    <s v="Public Law Children"/>
    <s v="Profit Cost"/>
    <s v="lsp"/>
    <s v="N"/>
    <n v="8654.49"/>
    <n v="1730.9"/>
    <x v="3"/>
    <s v="VALIDATED"/>
    <n v="1"/>
    <s v="01.11.80.308.2012.0000"/>
    <n v="8654.49"/>
    <s v="11"/>
    <s v="2012"/>
    <n v="27130.77"/>
    <n v="8654.49"/>
    <s v="CREDITOR"/>
    <n v="8654.49"/>
    <n v="2163.6225"/>
    <n v="0"/>
    <n v="0"/>
    <n v="0"/>
  </r>
  <r>
    <n v="60665958"/>
    <s v="N"/>
    <n v="21319594"/>
    <s v="3000014915740009"/>
    <s v="CIVIL"/>
    <d v="2023-06-28T00:00:00"/>
    <d v="2023-07-03T19:04:24"/>
    <m/>
    <d v="2023-07-03T00:00:00"/>
    <n v="1199"/>
    <n v="3392"/>
    <s v="60665958"/>
    <s v="60665958"/>
    <m/>
    <m/>
    <n v="22777676"/>
    <m/>
    <m/>
    <m/>
    <s v="SOLPOA"/>
    <s v="SOLPOA"/>
    <s v="CCMS"/>
    <n v="21319594"/>
    <n v="9821.76"/>
    <m/>
    <s v="N"/>
    <n v="1"/>
    <d v="2023-07-03T19:04:26"/>
    <s v="N"/>
    <s v="Level 3 Fixed Fee"/>
    <s v="Private Law Children"/>
    <s v="Profit Cost"/>
    <s v="lsp"/>
    <s v="N"/>
    <n v="8184.8"/>
    <n v="1636.96"/>
    <x v="3"/>
    <s v="VALIDATED"/>
    <n v="1"/>
    <s v="01.11.80.307.2012.0000"/>
    <n v="8184.8"/>
    <s v="11"/>
    <s v="2012"/>
    <n v="27130.77"/>
    <n v="8184.8"/>
    <s v="CREDITOR"/>
    <n v="8184.8"/>
    <n v="2046.2"/>
    <n v="0"/>
    <n v="0"/>
    <n v="0"/>
  </r>
  <r>
    <n v="61861854"/>
    <s v="N"/>
    <n v="21343237"/>
    <s v="3000015925820001"/>
    <s v="CIVIL"/>
    <d v="2023-06-22T00:00:00"/>
    <d v="2023-07-07T19:03:00"/>
    <m/>
    <d v="2023-07-07T00:00:00"/>
    <n v="1199"/>
    <n v="3392"/>
    <s v="61861854"/>
    <s v="61861854"/>
    <m/>
    <m/>
    <n v="22744506"/>
    <m/>
    <m/>
    <m/>
    <s v="SOLFIN"/>
    <s v="SOLFIN"/>
    <s v="CCMS"/>
    <n v="21343237"/>
    <n v="4805.26"/>
    <m/>
    <s v="N"/>
    <n v="3"/>
    <d v="2023-07-07T19:03:05"/>
    <s v="Y"/>
    <s v="Hearing Unit 2.31 - 5.00 Hours"/>
    <s v="Public Law Children"/>
    <s v="Advocacy"/>
    <s v="lsp"/>
    <s v="Y"/>
    <n v="476.92"/>
    <n v="95.38"/>
    <x v="9"/>
    <s v="VALIDATED"/>
    <n v="1"/>
    <s v="01.11.80.308.6100.0000"/>
    <n v="476.92"/>
    <s v="11"/>
    <s v="6100"/>
    <n v="27130.77"/>
    <n v="476.92"/>
    <s v="CREDITOR"/>
    <n v="0"/>
    <n v="0"/>
    <n v="0"/>
    <n v="0"/>
    <n v="476.92"/>
  </r>
  <r>
    <n v="55924287"/>
    <s v="N"/>
    <n v="21360226"/>
    <s v="3000013151730011"/>
    <s v="CIVIL"/>
    <d v="2023-06-28T00:00:00"/>
    <d v="2023-07-11T11:50:54"/>
    <m/>
    <d v="2023-07-11T00:00:00"/>
    <n v="1199"/>
    <n v="3392"/>
    <s v="55924287"/>
    <s v="55924287"/>
    <m/>
    <m/>
    <n v="22780932"/>
    <m/>
    <m/>
    <m/>
    <s v="SOLFIN"/>
    <s v="SOLFIN"/>
    <s v="CCMS"/>
    <n v="21360226"/>
    <n v="21643.37"/>
    <m/>
    <s v="N"/>
    <n v="14"/>
    <d v="2023-07-11T11:50:57"/>
    <s v="Y"/>
    <s v="Advocates Meeting"/>
    <s v="Public Law Children"/>
    <s v="Advocacy"/>
    <s v="Linda Parish"/>
    <s v="Y"/>
    <n v="140.99"/>
    <n v="28.2"/>
    <x v="7"/>
    <s v="VALIDATED"/>
    <n v="1"/>
    <s v="01.11.80.308.6100.0000"/>
    <n v="140.99"/>
    <s v="11"/>
    <s v="6100"/>
    <n v="27130.77"/>
    <n v="140.99"/>
    <s v="CREDITOR"/>
    <n v="0"/>
    <n v="0"/>
    <n v="0"/>
    <n v="0"/>
    <n v="140.99"/>
  </r>
  <r>
    <n v="55924287"/>
    <s v="N"/>
    <n v="21360226"/>
    <s v="3000013151730011"/>
    <s v="CIVIL"/>
    <d v="2023-06-28T00:00:00"/>
    <d v="2023-07-11T11:50:54"/>
    <m/>
    <d v="2023-07-11T00:00:00"/>
    <n v="1199"/>
    <n v="3392"/>
    <s v="55924287"/>
    <s v="55924287"/>
    <m/>
    <m/>
    <n v="22780932"/>
    <m/>
    <m/>
    <m/>
    <s v="SOLFIN"/>
    <s v="SOLFIN"/>
    <s v="CCMS"/>
    <n v="21360226"/>
    <n v="21643.37"/>
    <m/>
    <s v="N"/>
    <n v="8"/>
    <d v="2023-07-11T11:50:57"/>
    <s v="Y"/>
    <s v="Advocates Meeting"/>
    <s v="Public Law Children"/>
    <s v="Advocacy"/>
    <s v="Linda Parish"/>
    <s v="Y"/>
    <n v="140.99"/>
    <n v="28.2"/>
    <x v="7"/>
    <s v="VALIDATED"/>
    <n v="1"/>
    <s v="01.11.80.308.6100.0000"/>
    <n v="140.99"/>
    <s v="11"/>
    <s v="6100"/>
    <n v="27130.77"/>
    <n v="140.99"/>
    <s v="CREDITOR"/>
    <n v="0"/>
    <n v="0"/>
    <n v="0"/>
    <n v="0"/>
    <n v="140.99"/>
  </r>
  <r>
    <n v="55924287"/>
    <s v="N"/>
    <n v="21360226"/>
    <s v="3000013151730011"/>
    <s v="CIVIL"/>
    <d v="2023-06-28T00:00:00"/>
    <d v="2023-07-11T11:50:54"/>
    <m/>
    <d v="2023-07-11T00:00:00"/>
    <n v="1199"/>
    <n v="3392"/>
    <s v="55924287"/>
    <s v="55924287"/>
    <m/>
    <m/>
    <n v="22780932"/>
    <m/>
    <m/>
    <m/>
    <s v="SOLFIN"/>
    <s v="SOLFIN"/>
    <s v="CCMS"/>
    <n v="21360226"/>
    <n v="21643.37"/>
    <m/>
    <s v="N"/>
    <n v="13"/>
    <d v="2023-07-11T11:50:57"/>
    <s v="Y"/>
    <s v="Hearing Unit 1.01 - 2.30 Hours"/>
    <s v="Public Law Children"/>
    <s v="Advocacy"/>
    <s v="Linda Parish"/>
    <s v="Y"/>
    <n v="298.08"/>
    <n v="59.62"/>
    <x v="7"/>
    <s v="VALIDATED"/>
    <n v="1"/>
    <s v="01.11.80.308.6100.0000"/>
    <n v="298.08"/>
    <s v="11"/>
    <s v="6100"/>
    <n v="27130.77"/>
    <n v="298.08"/>
    <s v="CREDITOR"/>
    <n v="0"/>
    <n v="0"/>
    <n v="0"/>
    <n v="0"/>
    <n v="298.08"/>
  </r>
  <r>
    <n v="55924287"/>
    <s v="N"/>
    <n v="21360226"/>
    <s v="3000013151730011"/>
    <s v="CIVIL"/>
    <d v="2023-06-28T00:00:00"/>
    <d v="2023-07-11T11:50:54"/>
    <m/>
    <d v="2023-07-11T00:00:00"/>
    <n v="1199"/>
    <n v="3392"/>
    <s v="55924287"/>
    <s v="55924287"/>
    <m/>
    <m/>
    <n v="22780932"/>
    <m/>
    <m/>
    <m/>
    <s v="SOLFIN"/>
    <s v="SOLFIN"/>
    <s v="CCMS"/>
    <n v="21360226"/>
    <n v="21643.37"/>
    <m/>
    <s v="N"/>
    <n v="11"/>
    <d v="2023-07-11T11:50:57"/>
    <s v="Y"/>
    <s v="Hearing Unit 2.31 - 5.00 Hours"/>
    <s v="Public Law Children"/>
    <s v="Advocacy"/>
    <s v="Linda Parish"/>
    <s v="Y"/>
    <n v="596.15"/>
    <n v="119.23"/>
    <x v="7"/>
    <s v="VALIDATED"/>
    <n v="1"/>
    <s v="01.11.80.308.6100.0000"/>
    <n v="596.15"/>
    <s v="11"/>
    <s v="6100"/>
    <n v="27130.77"/>
    <n v="596.15"/>
    <s v="CREDITOR"/>
    <n v="0"/>
    <n v="0"/>
    <n v="0"/>
    <n v="0"/>
    <n v="596.15"/>
  </r>
  <r>
    <n v="61861854"/>
    <s v="N"/>
    <n v="21343237"/>
    <s v="3000015925820001"/>
    <s v="CIVIL"/>
    <d v="2023-06-22T00:00:00"/>
    <d v="2023-07-07T19:03:00"/>
    <m/>
    <d v="2023-07-07T00:00:00"/>
    <n v="1199"/>
    <n v="3392"/>
    <s v="61861854"/>
    <s v="61861854"/>
    <m/>
    <m/>
    <n v="22744506"/>
    <m/>
    <m/>
    <m/>
    <s v="SOLFIN"/>
    <s v="SOLFIN"/>
    <s v="CCMS"/>
    <n v="21343237"/>
    <n v="4805.26"/>
    <m/>
    <s v="N"/>
    <n v="1"/>
    <d v="2023-07-07T19:03:05"/>
    <s v="Y"/>
    <s v="Final Hearing Court Bundle/Advocate"/>
    <s v="Public Law Children"/>
    <s v="Advocacy"/>
    <s v="lsp"/>
    <s v="Y"/>
    <n v="318.6"/>
    <n v="63.72"/>
    <x v="9"/>
    <s v="VALIDATED"/>
    <n v="1"/>
    <s v="01.11.80.308.6100.0000"/>
    <n v="318.6"/>
    <s v="11"/>
    <s v="6100"/>
    <n v="27130.77"/>
    <n v="318.6"/>
    <s v="CREDITOR"/>
    <n v="0"/>
    <n v="0"/>
    <n v="0"/>
    <n v="0"/>
    <n v="318.6"/>
  </r>
  <r>
    <n v="61861854"/>
    <s v="N"/>
    <n v="21343237"/>
    <s v="3000015925820001"/>
    <s v="CIVIL"/>
    <d v="2023-06-22T00:00:00"/>
    <d v="2023-07-07T19:03:00"/>
    <m/>
    <d v="2023-07-07T00:00:00"/>
    <n v="1199"/>
    <n v="3392"/>
    <s v="61861854"/>
    <s v="61861854"/>
    <m/>
    <m/>
    <n v="22744506"/>
    <m/>
    <m/>
    <m/>
    <s v="SOLFIN"/>
    <s v="SOLFIN"/>
    <s v="CCMS"/>
    <n v="21343237"/>
    <n v="4805.26"/>
    <m/>
    <s v="N"/>
    <n v="2"/>
    <d v="2023-07-07T19:03:05"/>
    <s v="Y"/>
    <s v="Advocates Meeting"/>
    <s v="Public Law Children"/>
    <s v="Advocacy"/>
    <s v="lsp"/>
    <s v="Y"/>
    <n v="140.99"/>
    <n v="28.2"/>
    <x v="9"/>
    <s v="VALIDATED"/>
    <n v="1"/>
    <s v="01.11.80.308.6100.0000"/>
    <n v="140.99"/>
    <s v="11"/>
    <s v="6100"/>
    <n v="27130.77"/>
    <n v="140.99"/>
    <s v="CREDITOR"/>
    <n v="0"/>
    <n v="0"/>
    <n v="0"/>
    <n v="0"/>
    <n v="140.99"/>
  </r>
  <r>
    <n v="55924287"/>
    <s v="N"/>
    <n v="21360226"/>
    <s v="3000013151730011"/>
    <s v="CIVIL"/>
    <d v="2023-06-28T00:00:00"/>
    <d v="2023-07-11T11:50:54"/>
    <m/>
    <d v="2023-07-11T00:00:00"/>
    <n v="1199"/>
    <n v="3392"/>
    <s v="55924287"/>
    <s v="55924287"/>
    <m/>
    <m/>
    <n v="22780932"/>
    <m/>
    <m/>
    <m/>
    <s v="SOLFIN"/>
    <s v="SOLFIN"/>
    <s v="CCMS"/>
    <n v="21360226"/>
    <n v="21643.37"/>
    <m/>
    <s v="N"/>
    <n v="2"/>
    <d v="2023-07-11T11:50:57"/>
    <s v="Y"/>
    <s v="Interim Hearing Court Bundle/Advoca"/>
    <s v="Public Law Children"/>
    <s v="Advocacy"/>
    <s v="Linda Parish"/>
    <s v="Y"/>
    <n v="59.4"/>
    <n v="11.88"/>
    <x v="7"/>
    <s v="VALIDATED"/>
    <n v="1"/>
    <s v="01.11.80.308.6100.0000"/>
    <n v="59.4"/>
    <s v="11"/>
    <s v="6100"/>
    <n v="27130.77"/>
    <n v="59.4"/>
    <s v="CREDITOR"/>
    <n v="0"/>
    <n v="0"/>
    <n v="0"/>
    <n v="0"/>
    <n v="59.4"/>
  </r>
  <r>
    <n v="55924287"/>
    <s v="N"/>
    <n v="21360226"/>
    <s v="3000013151730011"/>
    <s v="CIVIL"/>
    <d v="2023-06-28T00:00:00"/>
    <d v="2023-07-11T11:50:54"/>
    <m/>
    <d v="2023-07-11T00:00:00"/>
    <n v="1199"/>
    <n v="3392"/>
    <s v="55924287"/>
    <s v="55924287"/>
    <m/>
    <m/>
    <n v="22780932"/>
    <m/>
    <m/>
    <m/>
    <s v="SOLFIN"/>
    <s v="SOLFIN"/>
    <s v="CCMS"/>
    <n v="21360226"/>
    <n v="21643.37"/>
    <m/>
    <s v="N"/>
    <n v="5"/>
    <d v="2023-07-11T11:50:57"/>
    <s v="Y"/>
    <s v="Disbursements (Summary)"/>
    <s v="Public Law Children"/>
    <s v="Non Expert Disbursement"/>
    <s v="Linda Parish"/>
    <s v="Y"/>
    <n v="310"/>
    <n v="0"/>
    <x v="7"/>
    <s v="VALIDATED"/>
    <n v="1"/>
    <s v="01.11.80.308.6300.0000"/>
    <n v="310"/>
    <s v="11"/>
    <s v="6300"/>
    <n v="27130.77"/>
    <n v="310"/>
    <s v="CREDITOR"/>
    <n v="0"/>
    <n v="0"/>
    <n v="0"/>
    <n v="0"/>
    <n v="310"/>
  </r>
  <r>
    <n v="61676284"/>
    <s v="N"/>
    <n v="21323973"/>
    <s v="3000015772390010"/>
    <s v="CIVIL"/>
    <d v="2023-06-30T00:00:00"/>
    <d v="2023-07-03T19:05:56"/>
    <m/>
    <d v="2023-07-03T00:00:00"/>
    <n v="1199"/>
    <n v="3392"/>
    <s v="61676284"/>
    <s v="61676284"/>
    <m/>
    <m/>
    <n v="22795262"/>
    <m/>
    <m/>
    <m/>
    <s v="SOLPOA"/>
    <s v="SOLPOA"/>
    <s v="CCMS"/>
    <n v="21323973"/>
    <n v="77.90000000000001"/>
    <m/>
    <s v="N"/>
    <n v="1"/>
    <d v="2023-07-03T19:05:59"/>
    <s v="N"/>
    <s v="Expert Cost"/>
    <s v="Expert Cost"/>
    <s v="Expert Disbursement"/>
    <s v="lsp"/>
    <s v="N"/>
    <n v="77.90000000000001"/>
    <n v="0"/>
    <x v="3"/>
    <s v="VALIDATED"/>
    <n v="1"/>
    <s v="01.11.80.308.2012.0000"/>
    <n v="77.90000000000001"/>
    <s v="11"/>
    <s v="2012"/>
    <n v="27130.77"/>
    <n v="77.90000000000001"/>
    <s v="CREDITOR"/>
    <n v="77.90000000000001"/>
    <n v="0"/>
    <n v="0"/>
    <n v="0"/>
    <n v="0"/>
  </r>
  <r>
    <n v="60596130"/>
    <s v="N"/>
    <n v="21323942"/>
    <s v="3000014857740013"/>
    <s v="CIVIL"/>
    <d v="2023-06-30T00:00:00"/>
    <d v="2023-07-03T19:05:56"/>
    <m/>
    <d v="2023-07-03T00:00:00"/>
    <n v="1199"/>
    <n v="3392"/>
    <s v="60596130"/>
    <s v="60596130"/>
    <m/>
    <m/>
    <n v="22795426"/>
    <m/>
    <m/>
    <m/>
    <s v="SOLPOA"/>
    <s v="SOLPOA"/>
    <s v="CCMS"/>
    <n v="21323942"/>
    <n v="87.40000000000001"/>
    <m/>
    <s v="N"/>
    <n v="1"/>
    <d v="2023-07-03T19:05:59"/>
    <s v="N"/>
    <s v="Expert Cost - Private Law Children"/>
    <s v="Expert Cost - Private Law Chil"/>
    <s v="Expert Disbursement"/>
    <s v="LSP"/>
    <s v="N"/>
    <n v="87.40000000000001"/>
    <n v="0"/>
    <x v="3"/>
    <s v="VALIDATED"/>
    <n v="1"/>
    <s v="01.11.80.302.2012.0000"/>
    <n v="87.40000000000001"/>
    <s v="11"/>
    <s v="2012"/>
    <n v="27130.77"/>
    <n v="87.40000000000001"/>
    <s v="CREDITOR"/>
    <n v="87.40000000000001"/>
    <n v="0"/>
    <n v="0"/>
    <n v="0"/>
    <n v="0"/>
  </r>
  <r>
    <n v="62320312"/>
    <s v="N"/>
    <n v="21323114"/>
    <s v="3000016307400001"/>
    <s v="CIVIL"/>
    <d v="2023-06-29T00:00:00"/>
    <d v="2023-07-03T19:05:36"/>
    <m/>
    <d v="2023-07-03T00:00:00"/>
    <n v="1199"/>
    <n v="3392"/>
    <s v="62320312"/>
    <s v="62320312"/>
    <m/>
    <m/>
    <n v="22791210"/>
    <m/>
    <m/>
    <m/>
    <s v="SOLPOA"/>
    <s v="SOLPOA"/>
    <s v="CCMS"/>
    <n v="21323114"/>
    <n v="823.1"/>
    <m/>
    <s v="N"/>
    <n v="1"/>
    <d v="2023-07-03T19:05:41"/>
    <s v="N"/>
    <s v="Expert Cost"/>
    <s v="Expert Cost"/>
    <s v="Expert Disbursement"/>
    <s v="lsp"/>
    <s v="N"/>
    <n v="685.92"/>
    <n v="137.18"/>
    <x v="3"/>
    <s v="VALIDATED"/>
    <n v="1"/>
    <s v="01.11.80.308.2012.0000"/>
    <n v="685.92"/>
    <s v="11"/>
    <s v="2012"/>
    <n v="27130.77"/>
    <n v="685.92"/>
    <s v="CREDITOR"/>
    <n v="685.92"/>
    <n v="0"/>
    <n v="0"/>
    <n v="0"/>
    <n v="0"/>
  </r>
  <r>
    <n v="55924287"/>
    <s v="N"/>
    <n v="21360226"/>
    <s v="3000013151730011"/>
    <s v="CIVIL"/>
    <d v="2023-06-28T00:00:00"/>
    <d v="2023-07-11T11:50:54"/>
    <m/>
    <d v="2023-07-11T00:00:00"/>
    <n v="1199"/>
    <n v="3392"/>
    <s v="55924287"/>
    <s v="55924287"/>
    <m/>
    <m/>
    <n v="22780932"/>
    <m/>
    <m/>
    <m/>
    <s v="SOLFIN"/>
    <s v="SOLFIN"/>
    <s v="CCMS"/>
    <n v="21360226"/>
    <n v="21643.37"/>
    <m/>
    <s v="N"/>
    <n v="6"/>
    <d v="2023-07-11T11:50:57"/>
    <s v="Y"/>
    <s v="Disbursements (Summary)"/>
    <s v="Public Law Children"/>
    <s v="Non Expert Disbursement"/>
    <s v="Linda Parish"/>
    <s v="Y"/>
    <n v="3357.3"/>
    <n v="671.46"/>
    <x v="7"/>
    <s v="VALIDATED"/>
    <n v="1"/>
    <s v="01.11.80.308.6300.0000"/>
    <n v="3357.3"/>
    <s v="11"/>
    <s v="6300"/>
    <n v="27130.77"/>
    <n v="3357.3"/>
    <s v="CREDITOR"/>
    <n v="0"/>
    <n v="0"/>
    <n v="0"/>
    <n v="0"/>
    <n v="3357.3"/>
  </r>
  <r>
    <n v="55924287"/>
    <s v="N"/>
    <n v="21360226"/>
    <s v="3000013151730011"/>
    <s v="CIVIL"/>
    <d v="2023-06-28T00:00:00"/>
    <d v="2023-07-11T11:50:54"/>
    <m/>
    <d v="2023-07-11T00:00:00"/>
    <n v="1199"/>
    <n v="3392"/>
    <s v="55924287"/>
    <s v="55924287"/>
    <m/>
    <m/>
    <n v="22780932"/>
    <m/>
    <m/>
    <m/>
    <s v="SOLFIN"/>
    <s v="SOLFIN"/>
    <s v="CCMS"/>
    <n v="21360226"/>
    <n v="21643.37"/>
    <m/>
    <s v="N"/>
    <n v="7"/>
    <d v="2023-07-11T11:50:57"/>
    <s v="Y"/>
    <s v="Hearing Unit 1.01 - 2.30 Hours"/>
    <s v="Public Law Children"/>
    <s v="Advocacy"/>
    <s v="Linda Parish"/>
    <s v="Y"/>
    <n v="298.08"/>
    <n v="59.62"/>
    <x v="7"/>
    <s v="VALIDATED"/>
    <n v="1"/>
    <s v="01.11.80.308.6100.0000"/>
    <n v="298.08"/>
    <s v="11"/>
    <s v="6100"/>
    <n v="27130.77"/>
    <n v="298.08"/>
    <s v="CREDITOR"/>
    <n v="0"/>
    <n v="0"/>
    <n v="0"/>
    <n v="0"/>
    <n v="298.08"/>
  </r>
  <r>
    <n v="55924287"/>
    <s v="N"/>
    <n v="21360226"/>
    <s v="3000013151730011"/>
    <s v="CIVIL"/>
    <d v="2023-06-28T00:00:00"/>
    <d v="2023-07-11T11:50:54"/>
    <m/>
    <d v="2023-07-11T00:00:00"/>
    <n v="1199"/>
    <n v="3392"/>
    <s v="55924287"/>
    <s v="55924287"/>
    <m/>
    <m/>
    <n v="22780932"/>
    <m/>
    <m/>
    <m/>
    <s v="SOLFIN"/>
    <s v="SOLFIN"/>
    <s v="CCMS"/>
    <n v="21360226"/>
    <n v="21643.37"/>
    <m/>
    <s v="N"/>
    <n v="10"/>
    <d v="2023-07-11T11:50:57"/>
    <s v="Y"/>
    <s v="Advocates Meeting"/>
    <s v="Public Law Children"/>
    <s v="Advocacy"/>
    <s v="Linda Parish"/>
    <s v="Y"/>
    <n v="140.99"/>
    <n v="28.2"/>
    <x v="7"/>
    <s v="VALIDATED"/>
    <n v="1"/>
    <s v="01.11.80.308.6100.0000"/>
    <n v="140.99"/>
    <s v="11"/>
    <s v="6100"/>
    <n v="27130.77"/>
    <n v="140.99"/>
    <s v="CREDITOR"/>
    <n v="0"/>
    <n v="0"/>
    <n v="0"/>
    <n v="0"/>
    <n v="140.99"/>
  </r>
  <r>
    <n v="55924287"/>
    <s v="N"/>
    <n v="21360226"/>
    <s v="3000013151730011"/>
    <s v="CIVIL"/>
    <d v="2023-06-28T00:00:00"/>
    <d v="2023-07-11T11:50:54"/>
    <m/>
    <d v="2023-07-11T00:00:00"/>
    <n v="1199"/>
    <n v="3392"/>
    <s v="55924287"/>
    <s v="55924287"/>
    <m/>
    <m/>
    <n v="22780932"/>
    <m/>
    <m/>
    <m/>
    <s v="SOLFIN"/>
    <s v="SOLFIN"/>
    <s v="CCMS"/>
    <n v="21360226"/>
    <n v="21643.37"/>
    <m/>
    <s v="N"/>
    <n v="16"/>
    <d v="2023-07-11T11:50:57"/>
    <s v="Y"/>
    <s v="Final Hearing - 1 Day"/>
    <s v="Public Law Children"/>
    <s v="Advocacy"/>
    <s v="Linda Parish"/>
    <s v="Y"/>
    <n v="696.1"/>
    <n v="139.22"/>
    <x v="7"/>
    <s v="VALIDATED"/>
    <n v="1"/>
    <s v="01.11.80.308.6100.0000"/>
    <n v="696.1"/>
    <s v="11"/>
    <s v="6100"/>
    <n v="27130.77"/>
    <n v="696.1"/>
    <s v="CREDITOR"/>
    <n v="0"/>
    <n v="0"/>
    <n v="0"/>
    <n v="0"/>
    <n v="696.1"/>
  </r>
  <r>
    <n v="55924287"/>
    <s v="N"/>
    <n v="21360226"/>
    <s v="3000013151730011"/>
    <s v="CIVIL"/>
    <d v="2023-06-28T00:00:00"/>
    <d v="2023-07-11T11:50:54"/>
    <m/>
    <d v="2023-07-11T00:00:00"/>
    <n v="1199"/>
    <n v="3392"/>
    <s v="55924287"/>
    <s v="55924287"/>
    <m/>
    <m/>
    <n v="22780932"/>
    <m/>
    <m/>
    <m/>
    <s v="SOLFIN"/>
    <s v="SOLFIN"/>
    <s v="CCMS"/>
    <n v="21360226"/>
    <n v="21643.37"/>
    <m/>
    <s v="N"/>
    <n v="3"/>
    <d v="2023-07-11T11:50:57"/>
    <s v="Y"/>
    <s v="Final Hearing Court Bundle/Advocate"/>
    <s v="Public Law Children"/>
    <s v="Advocacy"/>
    <s v="Linda Parish"/>
    <s v="Y"/>
    <n v="318.6"/>
    <n v="63.72"/>
    <x v="7"/>
    <s v="VALIDATED"/>
    <n v="1"/>
    <s v="01.11.80.308.6100.0000"/>
    <n v="318.6"/>
    <s v="11"/>
    <s v="6100"/>
    <n v="27130.77"/>
    <n v="318.6"/>
    <s v="CREDITOR"/>
    <n v="0"/>
    <n v="0"/>
    <n v="0"/>
    <n v="0"/>
    <n v="318.6"/>
  </r>
  <r>
    <n v="61861854"/>
    <s v="N"/>
    <n v="21343237"/>
    <s v="3000015925820001"/>
    <s v="CIVIL"/>
    <d v="2023-06-22T00:00:00"/>
    <d v="2023-07-07T19:03:00"/>
    <m/>
    <d v="2023-07-07T00:00:00"/>
    <n v="1199"/>
    <n v="3392"/>
    <s v="61861854"/>
    <s v="61861854"/>
    <m/>
    <m/>
    <n v="22744506"/>
    <m/>
    <m/>
    <m/>
    <s v="SOLFIN"/>
    <s v="SOLFIN"/>
    <s v="CCMS"/>
    <n v="21343237"/>
    <n v="4805.26"/>
    <m/>
    <s v="N"/>
    <n v="6"/>
    <d v="2023-07-07T19:03:05"/>
    <s v="Y"/>
    <s v="Solicitors Fixed Fee"/>
    <s v="Public Law Children"/>
    <s v="Profit Cost"/>
    <s v="lsp"/>
    <s v="Y"/>
    <n v="2370"/>
    <n v="474"/>
    <x v="9"/>
    <s v="VALIDATED"/>
    <n v="1"/>
    <s v="01.11.80.308.6100.0000"/>
    <n v="2370"/>
    <s v="11"/>
    <s v="6100"/>
    <n v="27130.77"/>
    <n v="2370"/>
    <s v="CREDITOR"/>
    <n v="0"/>
    <n v="0"/>
    <n v="0"/>
    <n v="0"/>
    <n v="2370"/>
  </r>
  <r>
    <n v="55924287"/>
    <s v="N"/>
    <n v="21360226"/>
    <s v="3000013151730011"/>
    <s v="CIVIL"/>
    <d v="2023-06-28T00:00:00"/>
    <d v="2023-07-11T11:50:54"/>
    <m/>
    <d v="2023-07-11T00:00:00"/>
    <n v="1199"/>
    <n v="3392"/>
    <s v="55924287"/>
    <s v="55924287"/>
    <m/>
    <m/>
    <n v="22780932"/>
    <m/>
    <m/>
    <m/>
    <s v="SOLFIN"/>
    <s v="SOLFIN"/>
    <s v="CCMS"/>
    <n v="21360226"/>
    <n v="21643.37"/>
    <m/>
    <s v="N"/>
    <n v="4"/>
    <d v="2023-07-11T11:50:57"/>
    <s v="Y"/>
    <s v="Profit Costs (Summary)"/>
    <s v="Public Law Children"/>
    <s v="Profit Cost"/>
    <s v="Linda Parish"/>
    <s v="Y"/>
    <n v="10606.79"/>
    <n v="2121.36"/>
    <x v="7"/>
    <s v="VALIDATED"/>
    <n v="1"/>
    <s v="01.11.80.308.6100.0000"/>
    <n v="10606.79"/>
    <s v="11"/>
    <s v="6100"/>
    <n v="27130.77"/>
    <n v="10606.79"/>
    <s v="CREDITOR"/>
    <n v="0"/>
    <n v="0"/>
    <n v="0"/>
    <n v="0"/>
    <n v="10606.79"/>
  </r>
  <r>
    <n v="62278048"/>
    <s v="N"/>
    <n v="21323110"/>
    <s v="3000016273530002"/>
    <s v="CIVIL"/>
    <d v="2023-06-29T00:00:00"/>
    <d v="2023-07-03T19:05:36"/>
    <m/>
    <d v="2023-07-03T00:00:00"/>
    <n v="1199"/>
    <n v="3392"/>
    <s v="62278048"/>
    <s v="62278048"/>
    <m/>
    <m/>
    <n v="22791134"/>
    <m/>
    <m/>
    <m/>
    <s v="SOLPOA"/>
    <s v="SOLPOA"/>
    <s v="CCMS"/>
    <n v="21323110"/>
    <n v="825"/>
    <m/>
    <s v="N"/>
    <n v="1"/>
    <d v="2023-07-03T19:05:41"/>
    <s v="N"/>
    <s v="Expert Cost"/>
    <s v="Expert Cost"/>
    <s v="Expert Disbursement"/>
    <s v="lsp"/>
    <s v="N"/>
    <n v="687.5"/>
    <n v="137.5"/>
    <x v="3"/>
    <s v="VALIDATED"/>
    <n v="1"/>
    <s v="01.11.80.308.2012.0000"/>
    <n v="687.5"/>
    <s v="11"/>
    <s v="2012"/>
    <n v="27130.77"/>
    <n v="687.5"/>
    <s v="CREDITOR"/>
    <n v="687.5"/>
    <n v="0"/>
    <n v="0"/>
    <n v="0"/>
    <n v="0"/>
  </r>
  <r>
    <n v="55924287"/>
    <s v="N"/>
    <n v="21360226"/>
    <s v="3000013151730011"/>
    <s v="CIVIL"/>
    <d v="2023-06-28T00:00:00"/>
    <d v="2023-07-11T11:50:54"/>
    <m/>
    <d v="2023-07-11T00:00:00"/>
    <n v="1199"/>
    <n v="3392"/>
    <s v="55924287"/>
    <s v="55924287"/>
    <m/>
    <m/>
    <n v="22780932"/>
    <m/>
    <m/>
    <m/>
    <s v="SOLFIN"/>
    <s v="SOLFIN"/>
    <s v="CCMS"/>
    <n v="21360226"/>
    <n v="21643.37"/>
    <m/>
    <s v="N"/>
    <n v="15"/>
    <d v="2023-07-11T11:50:57"/>
    <s v="Y"/>
    <s v="Hearing Unit 2.31 - 5.00 Hours"/>
    <s v="Public Law Children"/>
    <s v="Advocacy"/>
    <s v="Linda Parish"/>
    <s v="Y"/>
    <n v="596.15"/>
    <n v="119.23"/>
    <x v="7"/>
    <s v="VALIDATED"/>
    <n v="1"/>
    <s v="01.11.80.308.6100.0000"/>
    <n v="596.15"/>
    <s v="11"/>
    <s v="6100"/>
    <n v="27130.77"/>
    <n v="596.15"/>
    <s v="CREDITOR"/>
    <n v="0"/>
    <n v="0"/>
    <n v="0"/>
    <n v="0"/>
    <n v="596.15"/>
  </r>
  <r>
    <n v="55924287"/>
    <s v="N"/>
    <n v="21361495"/>
    <s v="3000013151730001RC"/>
    <s v="CIVIL"/>
    <d v="2023-06-28T00:00:00"/>
    <d v="2023-07-11T19:38:00"/>
    <m/>
    <d v="2023-07-11T00:00:00"/>
    <n v="1199"/>
    <n v="3392"/>
    <s v="55924287"/>
    <s v="55924287"/>
    <m/>
    <m/>
    <m/>
    <m/>
    <m/>
    <m/>
    <s v="SOLRECOUP"/>
    <s v="SOLRECOUP"/>
    <s v="POARECOUP"/>
    <n v="21361495"/>
    <n v="-155"/>
    <m/>
    <s v="Y"/>
    <n v="2"/>
    <d v="2023-07-11T19:38:01"/>
    <s v="N"/>
    <m/>
    <m/>
    <s v="Non Expert Disbursement"/>
    <m/>
    <s v="N"/>
    <n v="0"/>
    <n v="0"/>
    <x v="7"/>
    <s v="VALIDATED"/>
    <n v="1"/>
    <s v="01.11.80.000.0000.0000"/>
    <n v="0"/>
    <s v="11"/>
    <s v="0000"/>
    <n v="27130.77"/>
    <n v="0"/>
    <s v="CREDITOR"/>
    <n v="0"/>
    <n v="0"/>
    <n v="0"/>
    <n v="0"/>
    <n v="0"/>
  </r>
  <r>
    <n v="55924287"/>
    <s v="N"/>
    <n v="21361495"/>
    <s v="3000013151730001RC"/>
    <s v="CIVIL"/>
    <d v="2023-06-28T00:00:00"/>
    <d v="2023-07-11T19:38:00"/>
    <m/>
    <d v="2023-07-11T00:00:00"/>
    <n v="1199"/>
    <n v="3392"/>
    <s v="55924287"/>
    <s v="55924287"/>
    <m/>
    <m/>
    <m/>
    <m/>
    <m/>
    <m/>
    <s v="SOLRECOUP"/>
    <s v="SOLRECOUP"/>
    <s v="POARECOUP"/>
    <n v="21361495"/>
    <n v="-155"/>
    <m/>
    <s v="Y"/>
    <n v="1"/>
    <d v="2023-07-11T19:38:01"/>
    <s v="N"/>
    <m/>
    <m/>
    <s v="Non Expert Disbursement"/>
    <m/>
    <s v="N"/>
    <n v="-155"/>
    <n v="0"/>
    <x v="7"/>
    <s v="VALIDATED"/>
    <n v="1"/>
    <s v="01.11.80.308.2013.0000"/>
    <n v="-155"/>
    <s v="11"/>
    <s v="2013"/>
    <n v="27130.77"/>
    <n v="-155"/>
    <s v="CREDITOR"/>
    <n v="0"/>
    <n v="0"/>
    <n v="-155"/>
    <n v="0"/>
    <n v="0"/>
  </r>
  <r>
    <n v="55924287"/>
    <s v="N"/>
    <n v="21361496"/>
    <s v="3000013151730004RC"/>
    <s v="CIVIL"/>
    <d v="2023-06-28T00:00:00"/>
    <d v="2023-07-11T19:38:00"/>
    <m/>
    <d v="2023-07-11T00:00:00"/>
    <n v="1199"/>
    <n v="3392"/>
    <s v="55924287"/>
    <s v="55924287"/>
    <m/>
    <m/>
    <m/>
    <m/>
    <m/>
    <m/>
    <s v="SOLRECOUP"/>
    <s v="SOLRECOUP"/>
    <s v="POARECOUP"/>
    <n v="21361496"/>
    <n v="-155"/>
    <m/>
    <s v="Y"/>
    <n v="2"/>
    <d v="2023-07-11T19:38:01"/>
    <s v="N"/>
    <m/>
    <m/>
    <s v="Non Expert Disbursement"/>
    <m/>
    <s v="N"/>
    <n v="0"/>
    <n v="0"/>
    <x v="7"/>
    <s v="VALIDATED"/>
    <n v="1"/>
    <s v="01.11.80.000.0000.0000"/>
    <n v="0"/>
    <s v="11"/>
    <s v="0000"/>
    <n v="27130.77"/>
    <n v="0"/>
    <s v="CREDITOR"/>
    <n v="0"/>
    <n v="0"/>
    <n v="0"/>
    <n v="0"/>
    <n v="0"/>
  </r>
  <r>
    <n v="55924287"/>
    <s v="N"/>
    <n v="21361496"/>
    <s v="3000013151730004RC"/>
    <s v="CIVIL"/>
    <d v="2023-06-28T00:00:00"/>
    <d v="2023-07-11T19:38:00"/>
    <m/>
    <d v="2023-07-11T00:00:00"/>
    <n v="1199"/>
    <n v="3392"/>
    <s v="55924287"/>
    <s v="55924287"/>
    <m/>
    <m/>
    <m/>
    <m/>
    <m/>
    <m/>
    <s v="SOLRECOUP"/>
    <s v="SOLRECOUP"/>
    <s v="POARECOUP"/>
    <n v="21361496"/>
    <n v="-155"/>
    <m/>
    <s v="Y"/>
    <n v="1"/>
    <d v="2023-07-11T19:38:01"/>
    <s v="N"/>
    <m/>
    <m/>
    <s v="Non Expert Disbursement"/>
    <m/>
    <s v="N"/>
    <n v="-155"/>
    <n v="0"/>
    <x v="7"/>
    <s v="VALIDATED"/>
    <n v="1"/>
    <s v="01.11.80.308.2013.0000"/>
    <n v="-155"/>
    <s v="11"/>
    <s v="2013"/>
    <n v="27130.77"/>
    <n v="-155"/>
    <s v="CREDITOR"/>
    <n v="0"/>
    <n v="0"/>
    <n v="-155"/>
    <n v="0"/>
    <n v="0"/>
  </r>
  <r>
    <n v="55924287"/>
    <s v="N"/>
    <n v="21361497"/>
    <s v="3000013151730006RC"/>
    <s v="CIVIL"/>
    <d v="2023-06-28T00:00:00"/>
    <d v="2023-07-11T19:38:00"/>
    <m/>
    <d v="2023-07-11T00:00:00"/>
    <n v="1199"/>
    <n v="3392"/>
    <s v="55924287"/>
    <s v="55924287"/>
    <m/>
    <m/>
    <m/>
    <m/>
    <m/>
    <m/>
    <s v="SOLRECOUP"/>
    <s v="SOLRECOUP"/>
    <s v="POARECOUP"/>
    <n v="21361497"/>
    <n v="-546"/>
    <m/>
    <s v="Y"/>
    <n v="1"/>
    <d v="2023-07-11T19:38:01"/>
    <s v="N"/>
    <m/>
    <m/>
    <s v="Expert Disbursement"/>
    <m/>
    <s v="N"/>
    <n v="-455"/>
    <n v="0"/>
    <x v="7"/>
    <s v="VALIDATED"/>
    <n v="1"/>
    <s v="01.11.80.308.2013.0000"/>
    <n v="-455"/>
    <s v="11"/>
    <s v="2013"/>
    <n v="27130.77"/>
    <n v="-455"/>
    <s v="CREDITOR"/>
    <n v="0"/>
    <n v="0"/>
    <n v="-455"/>
    <n v="0"/>
    <n v="0"/>
  </r>
  <r>
    <n v="55924287"/>
    <s v="N"/>
    <n v="21361497"/>
    <s v="3000013151730006RC"/>
    <s v="CIVIL"/>
    <d v="2023-06-28T00:00:00"/>
    <d v="2023-07-11T19:38:00"/>
    <m/>
    <d v="2023-07-11T00:00:00"/>
    <n v="1199"/>
    <n v="3392"/>
    <s v="55924287"/>
    <s v="55924287"/>
    <m/>
    <m/>
    <m/>
    <m/>
    <m/>
    <m/>
    <s v="SOLRECOUP"/>
    <s v="SOLRECOUP"/>
    <s v="POARECOUP"/>
    <n v="21361497"/>
    <n v="-546"/>
    <m/>
    <s v="Y"/>
    <n v="2"/>
    <d v="2023-07-11T19:38:01"/>
    <s v="N"/>
    <m/>
    <m/>
    <s v="Expert Disbursement"/>
    <m/>
    <s v="N"/>
    <n v="0"/>
    <n v="-91"/>
    <x v="7"/>
    <s v="VALIDATED"/>
    <n v="1"/>
    <s v="01.11.80.308.2013.0000"/>
    <n v="-91"/>
    <s v="11"/>
    <s v="2013"/>
    <n v="27130.77"/>
    <n v="-91"/>
    <s v="CREDITOR"/>
    <n v="0"/>
    <n v="0"/>
    <n v="-91"/>
    <n v="0"/>
    <n v="0"/>
  </r>
  <r>
    <n v="55924287"/>
    <s v="N"/>
    <n v="21361498"/>
    <s v="3000013151730003RC"/>
    <s v="CIVIL"/>
    <d v="2023-06-28T00:00:00"/>
    <d v="2023-07-11T19:38:00"/>
    <m/>
    <d v="2023-07-11T00:00:00"/>
    <n v="1199"/>
    <n v="3392"/>
    <s v="55924287"/>
    <s v="55924287"/>
    <m/>
    <m/>
    <m/>
    <m/>
    <m/>
    <m/>
    <s v="SOLRECOUP"/>
    <s v="SOLRECOUP"/>
    <s v="POARECOUP"/>
    <n v="21361498"/>
    <n v="-546"/>
    <m/>
    <s v="Y"/>
    <n v="2"/>
    <d v="2023-07-11T19:38:01"/>
    <s v="N"/>
    <m/>
    <m/>
    <s v="Expert Disbursement"/>
    <m/>
    <s v="N"/>
    <n v="0"/>
    <n v="-91"/>
    <x v="7"/>
    <s v="VALIDATED"/>
    <n v="1"/>
    <s v="01.11.80.308.2013.0000"/>
    <n v="-91"/>
    <s v="11"/>
    <s v="2013"/>
    <n v="27130.77"/>
    <n v="-91"/>
    <s v="CREDITOR"/>
    <n v="0"/>
    <n v="0"/>
    <n v="-91"/>
    <n v="0"/>
    <n v="0"/>
  </r>
  <r>
    <n v="55924287"/>
    <s v="N"/>
    <n v="21361498"/>
    <s v="3000013151730003RC"/>
    <s v="CIVIL"/>
    <d v="2023-06-28T00:00:00"/>
    <d v="2023-07-11T19:38:00"/>
    <m/>
    <d v="2023-07-11T00:00:00"/>
    <n v="1199"/>
    <n v="3392"/>
    <s v="55924287"/>
    <s v="55924287"/>
    <m/>
    <m/>
    <m/>
    <m/>
    <m/>
    <m/>
    <s v="SOLRECOUP"/>
    <s v="SOLRECOUP"/>
    <s v="POARECOUP"/>
    <n v="21361498"/>
    <n v="-546"/>
    <m/>
    <s v="Y"/>
    <n v="1"/>
    <d v="2023-07-11T19:38:01"/>
    <s v="N"/>
    <m/>
    <m/>
    <s v="Expert Disbursement"/>
    <m/>
    <s v="N"/>
    <n v="-455"/>
    <n v="0"/>
    <x v="7"/>
    <s v="VALIDATED"/>
    <n v="1"/>
    <s v="01.11.80.308.2013.0000"/>
    <n v="-455"/>
    <s v="11"/>
    <s v="2013"/>
    <n v="27130.77"/>
    <n v="-455"/>
    <s v="CREDITOR"/>
    <n v="0"/>
    <n v="0"/>
    <n v="-455"/>
    <n v="0"/>
    <n v="0"/>
  </r>
  <r>
    <n v="55924287"/>
    <s v="N"/>
    <n v="21361499"/>
    <s v="3000013151730010RC"/>
    <s v="CIVIL"/>
    <d v="2023-06-28T00:00:00"/>
    <d v="2023-07-11T19:38:00"/>
    <m/>
    <d v="2023-07-11T00:00:00"/>
    <n v="1199"/>
    <n v="3392"/>
    <s v="55924287"/>
    <s v="55924287"/>
    <m/>
    <m/>
    <m/>
    <m/>
    <m/>
    <m/>
    <s v="SOLRECOUP"/>
    <s v="SOLRECOUP"/>
    <s v="POARECOUP"/>
    <n v="21361499"/>
    <n v="-9077.65"/>
    <m/>
    <s v="Y"/>
    <n v="2"/>
    <d v="2023-07-11T19:38:01"/>
    <s v="N"/>
    <m/>
    <m/>
    <s v="Profit Cost"/>
    <m/>
    <s v="N"/>
    <n v="0"/>
    <n v="-1512.94"/>
    <x v="7"/>
    <s v="VALIDATED"/>
    <n v="1"/>
    <s v="01.11.80.308.2013.0000"/>
    <n v="-1512.94"/>
    <s v="11"/>
    <s v="2013"/>
    <n v="27130.77"/>
    <n v="-1512.94"/>
    <s v="CREDITOR"/>
    <n v="0"/>
    <n v="0"/>
    <n v="-1512.94"/>
    <n v="-378.235"/>
    <n v="0"/>
  </r>
  <r>
    <n v="55924287"/>
    <s v="N"/>
    <n v="21361499"/>
    <s v="3000013151730010RC"/>
    <s v="CIVIL"/>
    <d v="2023-06-28T00:00:00"/>
    <d v="2023-07-11T19:38:00"/>
    <m/>
    <d v="2023-07-11T00:00:00"/>
    <n v="1199"/>
    <n v="3392"/>
    <s v="55924287"/>
    <s v="55924287"/>
    <m/>
    <m/>
    <m/>
    <m/>
    <m/>
    <m/>
    <s v="SOLRECOUP"/>
    <s v="SOLRECOUP"/>
    <s v="POARECOUP"/>
    <n v="21361499"/>
    <n v="-9077.65"/>
    <m/>
    <s v="Y"/>
    <n v="1"/>
    <d v="2023-07-11T19:38:01"/>
    <s v="N"/>
    <m/>
    <m/>
    <s v="Profit Cost"/>
    <m/>
    <s v="N"/>
    <n v="-7564.71"/>
    <n v="0"/>
    <x v="7"/>
    <s v="VALIDATED"/>
    <n v="1"/>
    <s v="01.11.80.308.2013.0000"/>
    <n v="-7564.71"/>
    <s v="11"/>
    <s v="2013"/>
    <n v="27130.77"/>
    <n v="-7564.71"/>
    <s v="CREDITOR"/>
    <n v="0"/>
    <n v="0"/>
    <n v="-7564.71"/>
    <n v="-1891.1775"/>
    <n v="0"/>
  </r>
  <r>
    <n v="55924287"/>
    <s v="N"/>
    <n v="21361500"/>
    <s v="3000013151730002RC"/>
    <s v="CIVIL"/>
    <d v="2023-06-28T00:00:00"/>
    <d v="2023-07-11T19:38:00"/>
    <m/>
    <d v="2023-07-11T00:00:00"/>
    <n v="1199"/>
    <n v="3392"/>
    <s v="55924287"/>
    <s v="55924287"/>
    <m/>
    <m/>
    <m/>
    <m/>
    <m/>
    <m/>
    <s v="SOLRECOUP"/>
    <s v="SOLRECOUP"/>
    <s v="POARECOUP"/>
    <n v="21361500"/>
    <n v="-546"/>
    <m/>
    <s v="Y"/>
    <n v="2"/>
    <d v="2023-07-11T19:38:01"/>
    <s v="N"/>
    <m/>
    <m/>
    <s v="Expert Disbursement"/>
    <m/>
    <s v="N"/>
    <n v="0"/>
    <n v="-91"/>
    <x v="7"/>
    <s v="VALIDATED"/>
    <n v="1"/>
    <s v="01.11.80.308.2013.0000"/>
    <n v="-91"/>
    <s v="11"/>
    <s v="2013"/>
    <n v="27130.77"/>
    <n v="-91"/>
    <s v="CREDITOR"/>
    <n v="0"/>
    <n v="0"/>
    <n v="-91"/>
    <n v="0"/>
    <n v="0"/>
  </r>
  <r>
    <n v="55924287"/>
    <s v="N"/>
    <n v="21361500"/>
    <s v="3000013151730002RC"/>
    <s v="CIVIL"/>
    <d v="2023-06-28T00:00:00"/>
    <d v="2023-07-11T19:38:00"/>
    <m/>
    <d v="2023-07-11T00:00:00"/>
    <n v="1199"/>
    <n v="3392"/>
    <s v="55924287"/>
    <s v="55924287"/>
    <m/>
    <m/>
    <m/>
    <m/>
    <m/>
    <m/>
    <s v="SOLRECOUP"/>
    <s v="SOLRECOUP"/>
    <s v="POARECOUP"/>
    <n v="21361500"/>
    <n v="-546"/>
    <m/>
    <s v="Y"/>
    <n v="1"/>
    <d v="2023-07-11T19:38:01"/>
    <s v="N"/>
    <m/>
    <m/>
    <s v="Expert Disbursement"/>
    <m/>
    <s v="N"/>
    <n v="-455"/>
    <n v="0"/>
    <x v="7"/>
    <s v="VALIDATED"/>
    <n v="1"/>
    <s v="01.11.80.308.2013.0000"/>
    <n v="-455"/>
    <s v="11"/>
    <s v="2013"/>
    <n v="27130.77"/>
    <n v="-455"/>
    <s v="CREDITOR"/>
    <n v="0"/>
    <n v="0"/>
    <n v="-455"/>
    <n v="0"/>
    <n v="0"/>
  </r>
  <r>
    <n v="55924287"/>
    <s v="N"/>
    <n v="21361501"/>
    <s v="3000013151730009RC"/>
    <s v="CIVIL"/>
    <d v="2023-06-28T00:00:00"/>
    <d v="2023-07-11T19:38:00"/>
    <m/>
    <d v="2023-07-11T00:00:00"/>
    <n v="1199"/>
    <n v="3392"/>
    <s v="55924287"/>
    <s v="55924287"/>
    <m/>
    <m/>
    <m/>
    <m/>
    <m/>
    <m/>
    <s v="SOLRECOUP"/>
    <s v="SOLRECOUP"/>
    <s v="POARECOUP"/>
    <n v="21361501"/>
    <n v="-438"/>
    <m/>
    <s v="Y"/>
    <n v="2"/>
    <d v="2023-07-11T19:38:01"/>
    <s v="N"/>
    <m/>
    <m/>
    <s v="Expert Disbursement"/>
    <m/>
    <s v="N"/>
    <n v="0"/>
    <n v="-73"/>
    <x v="7"/>
    <s v="VALIDATED"/>
    <n v="1"/>
    <s v="01.11.80.308.2013.0000"/>
    <n v="-73"/>
    <s v="11"/>
    <s v="2013"/>
    <n v="27130.77"/>
    <n v="-73"/>
    <s v="CREDITOR"/>
    <n v="0"/>
    <n v="0"/>
    <n v="-73"/>
    <n v="0"/>
    <n v="0"/>
  </r>
  <r>
    <n v="55924287"/>
    <s v="N"/>
    <n v="21361501"/>
    <s v="3000013151730009RC"/>
    <s v="CIVIL"/>
    <d v="2023-06-28T00:00:00"/>
    <d v="2023-07-11T19:38:00"/>
    <m/>
    <d v="2023-07-11T00:00:00"/>
    <n v="1199"/>
    <n v="3392"/>
    <s v="55924287"/>
    <s v="55924287"/>
    <m/>
    <m/>
    <m/>
    <m/>
    <m/>
    <m/>
    <s v="SOLRECOUP"/>
    <s v="SOLRECOUP"/>
    <s v="POARECOUP"/>
    <n v="21361501"/>
    <n v="-438"/>
    <m/>
    <s v="Y"/>
    <n v="1"/>
    <d v="2023-07-11T19:38:01"/>
    <s v="N"/>
    <m/>
    <m/>
    <s v="Expert Disbursement"/>
    <m/>
    <s v="N"/>
    <n v="-365"/>
    <n v="0"/>
    <x v="7"/>
    <s v="VALIDATED"/>
    <n v="1"/>
    <s v="01.11.80.308.2013.0000"/>
    <n v="-365"/>
    <s v="11"/>
    <s v="2013"/>
    <n v="27130.77"/>
    <n v="-365"/>
    <s v="CREDITOR"/>
    <n v="0"/>
    <n v="0"/>
    <n v="-365"/>
    <n v="0"/>
    <n v="0"/>
  </r>
  <r>
    <n v="55924287"/>
    <s v="N"/>
    <n v="21361502"/>
    <s v="3000013151730005RC"/>
    <s v="CIVIL"/>
    <d v="2023-06-28T00:00:00"/>
    <d v="2023-07-11T19:38:00"/>
    <m/>
    <d v="2023-07-11T00:00:00"/>
    <n v="1199"/>
    <n v="3392"/>
    <s v="55924287"/>
    <s v="55924287"/>
    <m/>
    <m/>
    <m/>
    <m/>
    <m/>
    <m/>
    <s v="SOLRECOUP"/>
    <s v="SOLRECOUP"/>
    <s v="POARECOUP"/>
    <n v="21361502"/>
    <n v="-968.76"/>
    <m/>
    <s v="Y"/>
    <n v="2"/>
    <d v="2023-07-11T19:38:01"/>
    <s v="N"/>
    <m/>
    <m/>
    <s v="Expert Disbursement"/>
    <m/>
    <s v="N"/>
    <n v="0"/>
    <n v="-161.46"/>
    <x v="7"/>
    <s v="VALIDATED"/>
    <n v="1"/>
    <s v="01.11.80.308.2013.0000"/>
    <n v="-161.46"/>
    <s v="11"/>
    <s v="2013"/>
    <n v="27130.77"/>
    <n v="-161.46"/>
    <s v="CREDITOR"/>
    <n v="0"/>
    <n v="0"/>
    <n v="-161.46"/>
    <n v="0"/>
    <n v="0"/>
  </r>
  <r>
    <n v="55924287"/>
    <s v="N"/>
    <n v="21361502"/>
    <s v="3000013151730005RC"/>
    <s v="CIVIL"/>
    <d v="2023-06-28T00:00:00"/>
    <d v="2023-07-11T19:38:00"/>
    <m/>
    <d v="2023-07-11T00:00:00"/>
    <n v="1199"/>
    <n v="3392"/>
    <s v="55924287"/>
    <s v="55924287"/>
    <m/>
    <m/>
    <m/>
    <m/>
    <m/>
    <m/>
    <s v="SOLRECOUP"/>
    <s v="SOLRECOUP"/>
    <s v="POARECOUP"/>
    <n v="21361502"/>
    <n v="-968.76"/>
    <m/>
    <s v="Y"/>
    <n v="1"/>
    <d v="2023-07-11T19:38:01"/>
    <s v="N"/>
    <m/>
    <m/>
    <s v="Expert Disbursement"/>
    <m/>
    <s v="N"/>
    <n v="-807.3"/>
    <n v="0"/>
    <x v="7"/>
    <s v="VALIDATED"/>
    <n v="1"/>
    <s v="01.11.80.308.2013.0000"/>
    <n v="-807.3"/>
    <s v="11"/>
    <s v="2013"/>
    <n v="27130.77"/>
    <n v="-807.3"/>
    <s v="CREDITOR"/>
    <n v="0"/>
    <n v="0"/>
    <n v="-807.3"/>
    <n v="0"/>
    <n v="0"/>
  </r>
  <r>
    <n v="55924287"/>
    <s v="N"/>
    <n v="21361503"/>
    <s v="3000013151730007RC"/>
    <s v="CIVIL"/>
    <d v="2023-06-28T00:00:00"/>
    <d v="2023-07-11T19:38:00"/>
    <m/>
    <d v="2023-07-11T00:00:00"/>
    <n v="1199"/>
    <n v="3392"/>
    <s v="55924287"/>
    <s v="55924287"/>
    <m/>
    <m/>
    <m/>
    <m/>
    <m/>
    <m/>
    <s v="SOLRECOUP"/>
    <s v="SOLRECOUP"/>
    <s v="POARECOUP"/>
    <n v="21361503"/>
    <n v="-546"/>
    <m/>
    <s v="Y"/>
    <n v="2"/>
    <d v="2023-07-11T19:38:01"/>
    <s v="N"/>
    <m/>
    <m/>
    <s v="Expert Disbursement"/>
    <m/>
    <s v="N"/>
    <n v="0"/>
    <n v="-91"/>
    <x v="7"/>
    <s v="VALIDATED"/>
    <n v="1"/>
    <s v="01.11.80.308.2013.0000"/>
    <n v="-91"/>
    <s v="11"/>
    <s v="2013"/>
    <n v="27130.77"/>
    <n v="-91"/>
    <s v="CREDITOR"/>
    <n v="0"/>
    <n v="0"/>
    <n v="-91"/>
    <n v="0"/>
    <n v="0"/>
  </r>
  <r>
    <n v="55924287"/>
    <s v="N"/>
    <n v="21361503"/>
    <s v="3000013151730007RC"/>
    <s v="CIVIL"/>
    <d v="2023-06-28T00:00:00"/>
    <d v="2023-07-11T19:38:00"/>
    <m/>
    <d v="2023-07-11T00:00:00"/>
    <n v="1199"/>
    <n v="3392"/>
    <s v="55924287"/>
    <s v="55924287"/>
    <m/>
    <m/>
    <m/>
    <m/>
    <m/>
    <m/>
    <s v="SOLRECOUP"/>
    <s v="SOLRECOUP"/>
    <s v="POARECOUP"/>
    <n v="21361503"/>
    <n v="-546"/>
    <m/>
    <s v="Y"/>
    <n v="1"/>
    <d v="2023-07-11T19:38:01"/>
    <s v="N"/>
    <m/>
    <m/>
    <s v="Expert Disbursement"/>
    <m/>
    <s v="N"/>
    <n v="-455"/>
    <n v="0"/>
    <x v="7"/>
    <s v="VALIDATED"/>
    <n v="1"/>
    <s v="01.11.80.308.2013.0000"/>
    <n v="-455"/>
    <s v="11"/>
    <s v="2013"/>
    <n v="27130.77"/>
    <n v="-455"/>
    <s v="CREDITOR"/>
    <n v="0"/>
    <n v="0"/>
    <n v="-455"/>
    <n v="0"/>
    <n v="0"/>
  </r>
  <r>
    <n v="55924287"/>
    <s v="N"/>
    <n v="21361504"/>
    <s v="3000013151730008RC"/>
    <s v="CIVIL"/>
    <d v="2023-06-28T00:00:00"/>
    <d v="2023-07-11T19:38:00"/>
    <m/>
    <d v="2023-07-11T00:00:00"/>
    <n v="1199"/>
    <n v="3392"/>
    <s v="55924287"/>
    <s v="55924287"/>
    <m/>
    <m/>
    <m/>
    <m/>
    <m/>
    <m/>
    <s v="SOLRECOUP"/>
    <s v="SOLRECOUP"/>
    <s v="POARECOUP"/>
    <n v="21361504"/>
    <n v="-438"/>
    <m/>
    <s v="Y"/>
    <n v="2"/>
    <d v="2023-07-11T19:38:01"/>
    <s v="N"/>
    <m/>
    <m/>
    <s v="Expert Disbursement"/>
    <m/>
    <s v="N"/>
    <n v="0"/>
    <n v="-73"/>
    <x v="7"/>
    <s v="VALIDATED"/>
    <n v="1"/>
    <s v="01.11.80.308.2013.0000"/>
    <n v="-73"/>
    <s v="11"/>
    <s v="2013"/>
    <n v="27130.77"/>
    <n v="-73"/>
    <s v="CREDITOR"/>
    <n v="0"/>
    <n v="0"/>
    <n v="-73"/>
    <n v="0"/>
    <n v="0"/>
  </r>
  <r>
    <n v="55924287"/>
    <s v="N"/>
    <n v="21361504"/>
    <s v="3000013151730008RC"/>
    <s v="CIVIL"/>
    <d v="2023-06-28T00:00:00"/>
    <d v="2023-07-11T19:38:00"/>
    <m/>
    <d v="2023-07-11T00:00:00"/>
    <n v="1199"/>
    <n v="3392"/>
    <s v="55924287"/>
    <s v="55924287"/>
    <m/>
    <m/>
    <m/>
    <m/>
    <m/>
    <m/>
    <s v="SOLRECOUP"/>
    <s v="SOLRECOUP"/>
    <s v="POARECOUP"/>
    <n v="21361504"/>
    <n v="-438"/>
    <m/>
    <s v="Y"/>
    <n v="1"/>
    <d v="2023-07-11T19:38:01"/>
    <s v="N"/>
    <m/>
    <m/>
    <s v="Expert Disbursement"/>
    <m/>
    <s v="N"/>
    <n v="-365"/>
    <n v="0"/>
    <x v="7"/>
    <s v="VALIDATED"/>
    <n v="1"/>
    <s v="01.11.80.308.2013.0000"/>
    <n v="-365"/>
    <s v="11"/>
    <s v="2013"/>
    <n v="27130.77"/>
    <n v="-365"/>
    <s v="CREDITOR"/>
    <n v="0"/>
    <n v="0"/>
    <n v="-365"/>
    <n v="0"/>
    <n v="0"/>
  </r>
  <r>
    <n v="60223754"/>
    <s v="N"/>
    <n v="21343858"/>
    <s v="3000014536000004"/>
    <s v="CIVIL"/>
    <d v="2023-06-20T00:00:00"/>
    <d v="2023-07-07T19:03:00"/>
    <m/>
    <d v="2023-07-07T00:00:00"/>
    <n v="1200"/>
    <n v="3392"/>
    <s v="60223754"/>
    <s v="60223754"/>
    <m/>
    <m/>
    <n v="22727924"/>
    <m/>
    <m/>
    <m/>
    <s v="SOLFIN"/>
    <s v="SOLFIN"/>
    <s v="CCMS"/>
    <n v="21343858"/>
    <n v="14705.73"/>
    <m/>
    <s v="N"/>
    <n v="12"/>
    <d v="2023-07-07T19:03:14"/>
    <s v="Y"/>
    <s v="Final Hearing Court Bundle/Advocate"/>
    <s v="Public Law Children"/>
    <s v="Advocacy"/>
    <s v="SA"/>
    <s v="Y"/>
    <n v="318.6"/>
    <n v="63.72"/>
    <x v="9"/>
    <s v="VALIDATED"/>
    <n v="1"/>
    <s v="01.11.80.308.6100.0000"/>
    <n v="318.6"/>
    <s v="11"/>
    <s v="6100"/>
    <n v="7585.91"/>
    <n v="318.6"/>
    <s v="CREDITOR"/>
    <n v="0"/>
    <n v="0"/>
    <n v="0"/>
    <n v="0"/>
    <n v="318.6"/>
  </r>
  <r>
    <n v="60223754"/>
    <s v="N"/>
    <n v="21346415"/>
    <s v="3000014536000003RC"/>
    <s v="CIVIL"/>
    <d v="2023-06-20T00:00:00"/>
    <d v="2023-07-07T19:34:21"/>
    <m/>
    <d v="2023-07-07T00:00:00"/>
    <n v="1200"/>
    <n v="3392"/>
    <s v="60223754"/>
    <s v="60223754"/>
    <m/>
    <m/>
    <m/>
    <m/>
    <m/>
    <m/>
    <s v="SOLRECOUP"/>
    <s v="SOLRECOUP"/>
    <s v="POARECOUP"/>
    <n v="21346415"/>
    <n v="-33"/>
    <m/>
    <s v="Y"/>
    <n v="2"/>
    <d v="2023-07-07T19:34:23"/>
    <s v="N"/>
    <m/>
    <m/>
    <s v="Non Expert Disbursement"/>
    <m/>
    <s v="N"/>
    <n v="0"/>
    <n v="-5.5"/>
    <x v="9"/>
    <s v="VALIDATED"/>
    <n v="1"/>
    <s v="01.11.80.308.2013.0000"/>
    <n v="-5.5"/>
    <s v="11"/>
    <s v="2013"/>
    <n v="7585.91"/>
    <n v="-5.5"/>
    <s v="CREDITOR"/>
    <n v="0"/>
    <n v="0"/>
    <n v="-5.5"/>
    <n v="0"/>
    <n v="0"/>
  </r>
  <r>
    <n v="60223754"/>
    <s v="N"/>
    <n v="21343858"/>
    <s v="3000014536000004"/>
    <s v="CIVIL"/>
    <d v="2023-06-20T00:00:00"/>
    <d v="2023-07-07T19:03:00"/>
    <m/>
    <d v="2023-07-07T00:00:00"/>
    <n v="1200"/>
    <n v="3392"/>
    <s v="60223754"/>
    <s v="60223754"/>
    <m/>
    <m/>
    <n v="22727924"/>
    <m/>
    <m/>
    <m/>
    <s v="SOLFIN"/>
    <s v="SOLFIN"/>
    <s v="CCMS"/>
    <n v="21343858"/>
    <n v="14705.73"/>
    <m/>
    <s v="N"/>
    <n v="2"/>
    <d v="2023-07-07T19:03:14"/>
    <s v="Y"/>
    <s v="Profit Costs (Summary)"/>
    <s v="Care Remuneration Hourly Rates"/>
    <s v="Profit Cost"/>
    <s v="SA"/>
    <s v="Y"/>
    <n v="9355.59"/>
    <n v="1871.12"/>
    <x v="9"/>
    <s v="VALIDATED"/>
    <n v="1"/>
    <s v="01.11.80.308.6100.0000"/>
    <n v="9355.59"/>
    <s v="11"/>
    <s v="6100"/>
    <n v="7585.91"/>
    <n v="9355.59"/>
    <s v="CREDITOR"/>
    <n v="0"/>
    <n v="0"/>
    <n v="0"/>
    <n v="0"/>
    <n v="9355.59"/>
  </r>
  <r>
    <n v="60223754"/>
    <s v="N"/>
    <n v="21343858"/>
    <s v="3000014536000004"/>
    <s v="CIVIL"/>
    <d v="2023-06-20T00:00:00"/>
    <d v="2023-07-07T19:03:00"/>
    <m/>
    <d v="2023-07-07T00:00:00"/>
    <n v="1200"/>
    <n v="3392"/>
    <s v="60223754"/>
    <s v="60223754"/>
    <m/>
    <m/>
    <n v="22727924"/>
    <m/>
    <m/>
    <m/>
    <s v="SOLFIN"/>
    <s v="SOLFIN"/>
    <s v="CCMS"/>
    <n v="21343858"/>
    <n v="14705.73"/>
    <m/>
    <s v="N"/>
    <n v="11"/>
    <d v="2023-07-07T19:03:14"/>
    <s v="Y"/>
    <s v="Interim Hearing Court Bundle/Advoca"/>
    <s v="Public Law Children"/>
    <s v="Advocacy"/>
    <s v="SA"/>
    <s v="Y"/>
    <n v="89.09999999999999"/>
    <n v="17.82"/>
    <x v="9"/>
    <s v="VALIDATED"/>
    <n v="1"/>
    <s v="01.11.80.308.6100.0000"/>
    <n v="89.09999999999999"/>
    <s v="11"/>
    <s v="6100"/>
    <n v="7585.91"/>
    <n v="89.09999999999999"/>
    <s v="CREDITOR"/>
    <n v="0"/>
    <n v="0"/>
    <n v="0"/>
    <n v="0"/>
    <n v="89.09999999999999"/>
  </r>
  <r>
    <n v="60223754"/>
    <s v="N"/>
    <n v="21343858"/>
    <s v="3000014536000004"/>
    <s v="CIVIL"/>
    <d v="2023-06-20T00:00:00"/>
    <d v="2023-07-07T19:03:00"/>
    <m/>
    <d v="2023-07-07T00:00:00"/>
    <n v="1200"/>
    <n v="3392"/>
    <s v="60223754"/>
    <s v="60223754"/>
    <m/>
    <m/>
    <n v="22727924"/>
    <m/>
    <m/>
    <m/>
    <s v="SOLFIN"/>
    <s v="SOLFIN"/>
    <s v="CCMS"/>
    <n v="21343858"/>
    <n v="14705.73"/>
    <m/>
    <s v="N"/>
    <n v="3"/>
    <d v="2023-07-07T19:03:14"/>
    <s v="Y"/>
    <s v="Disbursements (Summary)"/>
    <s v="Care Remuneration Hourly Rates"/>
    <s v="Non Expert Disbursement"/>
    <s v="SA"/>
    <s v="Y"/>
    <n v="82.5"/>
    <n v="16.5"/>
    <x v="9"/>
    <s v="VALIDATED"/>
    <n v="1"/>
    <s v="01.11.80.308.6300.0000"/>
    <n v="82.5"/>
    <s v="11"/>
    <s v="6300"/>
    <n v="7585.91"/>
    <n v="82.5"/>
    <s v="CREDITOR"/>
    <n v="0"/>
    <n v="0"/>
    <n v="0"/>
    <n v="0"/>
    <n v="82.5"/>
  </r>
  <r>
    <n v="60223754"/>
    <s v="N"/>
    <n v="21343858"/>
    <s v="3000014536000004"/>
    <s v="CIVIL"/>
    <d v="2023-06-20T00:00:00"/>
    <d v="2023-07-07T19:03:00"/>
    <m/>
    <d v="2023-07-07T00:00:00"/>
    <n v="1200"/>
    <n v="3392"/>
    <s v="60223754"/>
    <s v="60223754"/>
    <m/>
    <m/>
    <n v="22727924"/>
    <m/>
    <m/>
    <m/>
    <s v="SOLFIN"/>
    <s v="SOLFIN"/>
    <s v="CCMS"/>
    <n v="21343858"/>
    <n v="14705.73"/>
    <m/>
    <s v="N"/>
    <n v="5"/>
    <d v="2023-07-07T19:03:14"/>
    <s v="Y"/>
    <s v="Hearing Unit 2.31 - 5.00 Hours"/>
    <s v="Public Law Children"/>
    <s v="Advocacy"/>
    <s v="SA"/>
    <s v="Y"/>
    <n v="476.92"/>
    <n v="95.38"/>
    <x v="9"/>
    <s v="VALIDATED"/>
    <n v="1"/>
    <s v="01.11.80.308.6100.0000"/>
    <n v="476.92"/>
    <s v="11"/>
    <s v="6100"/>
    <n v="7585.91"/>
    <n v="476.92"/>
    <s v="CREDITOR"/>
    <n v="0"/>
    <n v="0"/>
    <n v="0"/>
    <n v="0"/>
    <n v="476.92"/>
  </r>
  <r>
    <n v="60223754"/>
    <s v="N"/>
    <n v="21343858"/>
    <s v="3000014536000004"/>
    <s v="CIVIL"/>
    <d v="2023-06-20T00:00:00"/>
    <d v="2023-07-07T19:03:00"/>
    <m/>
    <d v="2023-07-07T00:00:00"/>
    <n v="1200"/>
    <n v="3392"/>
    <s v="60223754"/>
    <s v="60223754"/>
    <m/>
    <m/>
    <n v="22727924"/>
    <m/>
    <m/>
    <m/>
    <s v="SOLFIN"/>
    <s v="SOLFIN"/>
    <s v="CCMS"/>
    <n v="21343858"/>
    <n v="14705.73"/>
    <m/>
    <s v="N"/>
    <n v="10"/>
    <d v="2023-07-07T19:03:14"/>
    <s v="Y"/>
    <s v="Interim Hearing Court Bundle/Advoca"/>
    <s v="Public Law Children"/>
    <s v="Advocacy"/>
    <s v="SA"/>
    <s v="Y"/>
    <n v="59.4"/>
    <n v="11.88"/>
    <x v="9"/>
    <s v="VALIDATED"/>
    <n v="1"/>
    <s v="01.11.80.308.6100.0000"/>
    <n v="59.4"/>
    <s v="11"/>
    <s v="6100"/>
    <n v="7585.91"/>
    <n v="59.4"/>
    <s v="CREDITOR"/>
    <n v="0"/>
    <n v="0"/>
    <n v="0"/>
    <n v="0"/>
    <n v="59.4"/>
  </r>
  <r>
    <n v="60223754"/>
    <s v="N"/>
    <n v="21343858"/>
    <s v="3000014536000004"/>
    <s v="CIVIL"/>
    <d v="2023-06-20T00:00:00"/>
    <d v="2023-07-07T19:03:00"/>
    <m/>
    <d v="2023-07-07T00:00:00"/>
    <n v="1200"/>
    <n v="3392"/>
    <s v="60223754"/>
    <s v="60223754"/>
    <m/>
    <m/>
    <n v="22727924"/>
    <m/>
    <m/>
    <m/>
    <s v="SOLFIN"/>
    <s v="SOLFIN"/>
    <s v="CCMS"/>
    <n v="21343858"/>
    <n v="14705.73"/>
    <m/>
    <s v="N"/>
    <n v="1"/>
    <d v="2023-07-07T19:03:14"/>
    <s v="N"/>
    <s v="Solicitors Fixed Fee"/>
    <s v="Public Law Children"/>
    <s v="Profit Cost"/>
    <s v="SA"/>
    <s v="N"/>
    <n v="0"/>
    <n v="0"/>
    <x v="9"/>
    <s v="VALIDATED"/>
    <n v="1"/>
    <s v="01.11.80.308.6100.0000"/>
    <n v="0"/>
    <s v="11"/>
    <s v="6100"/>
    <n v="7585.91"/>
    <n v="0"/>
    <s v="CREDITOR"/>
    <n v="0"/>
    <n v="0"/>
    <n v="0"/>
    <n v="0"/>
    <n v="0"/>
  </r>
  <r>
    <n v="60223754"/>
    <s v="N"/>
    <n v="21343858"/>
    <s v="3000014536000004"/>
    <s v="CIVIL"/>
    <d v="2023-06-20T00:00:00"/>
    <d v="2023-07-07T19:03:00"/>
    <m/>
    <d v="2023-07-07T00:00:00"/>
    <n v="1200"/>
    <n v="3392"/>
    <s v="60223754"/>
    <s v="60223754"/>
    <m/>
    <m/>
    <n v="22727924"/>
    <m/>
    <m/>
    <m/>
    <s v="SOLFIN"/>
    <s v="SOLFIN"/>
    <s v="CCMS"/>
    <n v="21343858"/>
    <n v="14705.73"/>
    <m/>
    <s v="N"/>
    <n v="8"/>
    <d v="2023-07-07T19:03:14"/>
    <s v="Y"/>
    <s v="Final Hearing - 1 Day"/>
    <s v="Public Law Children"/>
    <s v="Advocacy"/>
    <s v="SA"/>
    <s v="Y"/>
    <n v="556.88"/>
    <n v="111.38"/>
    <x v="9"/>
    <s v="VALIDATED"/>
    <n v="1"/>
    <s v="01.11.80.308.6100.0000"/>
    <n v="556.88"/>
    <s v="11"/>
    <s v="6100"/>
    <n v="7585.91"/>
    <n v="556.88"/>
    <s v="CREDITOR"/>
    <n v="0"/>
    <n v="0"/>
    <n v="0"/>
    <n v="0"/>
    <n v="556.88"/>
  </r>
  <r>
    <n v="60223754"/>
    <s v="N"/>
    <n v="21343858"/>
    <s v="3000014536000004"/>
    <s v="CIVIL"/>
    <d v="2023-06-20T00:00:00"/>
    <d v="2023-07-07T19:03:00"/>
    <m/>
    <d v="2023-07-07T00:00:00"/>
    <n v="1200"/>
    <n v="3392"/>
    <s v="60223754"/>
    <s v="60223754"/>
    <m/>
    <m/>
    <n v="22727924"/>
    <m/>
    <m/>
    <m/>
    <s v="SOLFIN"/>
    <s v="SOLFIN"/>
    <s v="CCMS"/>
    <n v="21343858"/>
    <n v="14705.73"/>
    <m/>
    <s v="N"/>
    <n v="6"/>
    <d v="2023-07-07T19:03:14"/>
    <s v="Y"/>
    <s v="Advocates Meeting"/>
    <s v="Public Law Children"/>
    <s v="Advocacy"/>
    <s v="SA"/>
    <s v="Y"/>
    <n v="140.99"/>
    <n v="28.2"/>
    <x v="9"/>
    <s v="VALIDATED"/>
    <n v="1"/>
    <s v="01.11.80.308.6100.0000"/>
    <n v="140.99"/>
    <s v="11"/>
    <s v="6100"/>
    <n v="7585.91"/>
    <n v="140.99"/>
    <s v="CREDITOR"/>
    <n v="0"/>
    <n v="0"/>
    <n v="0"/>
    <n v="0"/>
    <n v="140.99"/>
  </r>
  <r>
    <n v="60223754"/>
    <s v="N"/>
    <n v="21343858"/>
    <s v="3000014536000004"/>
    <s v="CIVIL"/>
    <d v="2023-06-20T00:00:00"/>
    <d v="2023-07-07T19:03:00"/>
    <m/>
    <d v="2023-07-07T00:00:00"/>
    <n v="1200"/>
    <n v="3392"/>
    <s v="60223754"/>
    <s v="60223754"/>
    <m/>
    <m/>
    <n v="22727924"/>
    <m/>
    <m/>
    <m/>
    <s v="SOLFIN"/>
    <s v="SOLFIN"/>
    <s v="CCMS"/>
    <n v="21343858"/>
    <n v="14705.73"/>
    <m/>
    <s v="N"/>
    <n v="9"/>
    <d v="2023-07-07T19:03:14"/>
    <s v="Y"/>
    <s v="Final Hearing - 1 Day"/>
    <s v="Public Law Children"/>
    <s v="Advocacy"/>
    <s v="SA"/>
    <s v="Y"/>
    <n v="556.88"/>
    <n v="111.38"/>
    <x v="9"/>
    <s v="VALIDATED"/>
    <n v="1"/>
    <s v="01.11.80.308.6100.0000"/>
    <n v="556.88"/>
    <s v="11"/>
    <s v="6100"/>
    <n v="7585.91"/>
    <n v="556.88"/>
    <s v="CREDITOR"/>
    <n v="0"/>
    <n v="0"/>
    <n v="0"/>
    <n v="0"/>
    <n v="556.88"/>
  </r>
  <r>
    <n v="62040807"/>
    <s v="N"/>
    <n v="21369777"/>
    <s v="3000016070180001"/>
    <s v="CIVIL"/>
    <d v="2023-06-22T00:00:00"/>
    <d v="2023-07-13T19:21:05"/>
    <m/>
    <d v="2023-07-13T00:00:00"/>
    <n v="1200"/>
    <n v="3392"/>
    <s v="62040807"/>
    <s v="62040807"/>
    <m/>
    <m/>
    <n v="22743090"/>
    <m/>
    <m/>
    <m/>
    <s v="SOLPOA"/>
    <s v="SOLPOA"/>
    <s v="CCMS"/>
    <n v="21369777"/>
    <n v="232"/>
    <m/>
    <s v="N"/>
    <n v="1"/>
    <d v="2023-07-13T19:21:11"/>
    <s v="N"/>
    <s v="Non Expert Disbursement - Private L"/>
    <s v="Non Expert Disbursement - Priv"/>
    <s v="Non Expert Disbursement"/>
    <s v="Ieva Domehri"/>
    <s v="N"/>
    <n v="232"/>
    <n v="0"/>
    <x v="11"/>
    <s v="VALIDATED"/>
    <n v="1"/>
    <s v="01.11.80.307.2012.0000"/>
    <n v="232"/>
    <s v="11"/>
    <s v="2012"/>
    <n v="7585.91"/>
    <n v="232"/>
    <s v="CREDITOR"/>
    <n v="232"/>
    <n v="0"/>
    <n v="0"/>
    <n v="0"/>
    <n v="0"/>
  </r>
  <r>
    <n v="60223754"/>
    <s v="N"/>
    <n v="21343858"/>
    <s v="3000014536000004"/>
    <s v="CIVIL"/>
    <d v="2023-06-20T00:00:00"/>
    <d v="2023-07-07T19:03:00"/>
    <m/>
    <d v="2023-07-07T00:00:00"/>
    <n v="1200"/>
    <n v="3392"/>
    <s v="60223754"/>
    <s v="60223754"/>
    <m/>
    <m/>
    <n v="22727924"/>
    <m/>
    <m/>
    <m/>
    <s v="SOLFIN"/>
    <s v="SOLFIN"/>
    <s v="CCMS"/>
    <n v="21343858"/>
    <n v="14705.73"/>
    <m/>
    <s v="N"/>
    <n v="4"/>
    <d v="2023-07-07T19:03:14"/>
    <s v="Y"/>
    <s v="Advocates Meeting"/>
    <s v="Public Law Children"/>
    <s v="Advocacy"/>
    <s v="SA"/>
    <s v="Y"/>
    <n v="140.99"/>
    <n v="28.2"/>
    <x v="9"/>
    <s v="VALIDATED"/>
    <n v="1"/>
    <s v="01.11.80.308.6100.0000"/>
    <n v="140.99"/>
    <s v="11"/>
    <s v="6100"/>
    <n v="7585.91"/>
    <n v="140.99"/>
    <s v="CREDITOR"/>
    <n v="0"/>
    <n v="0"/>
    <n v="0"/>
    <n v="0"/>
    <n v="140.99"/>
  </r>
  <r>
    <n v="60223754"/>
    <s v="N"/>
    <n v="21346413"/>
    <s v="3000014536000001RC"/>
    <s v="CIVIL"/>
    <d v="2023-06-20T00:00:00"/>
    <d v="2023-07-07T19:34:21"/>
    <m/>
    <d v="2023-07-07T00:00:00"/>
    <n v="1200"/>
    <n v="3392"/>
    <s v="60223754"/>
    <s v="60223754"/>
    <m/>
    <m/>
    <m/>
    <m/>
    <m/>
    <m/>
    <s v="SOLRECOUP"/>
    <s v="SOLRECOUP"/>
    <s v="POARECOUP"/>
    <n v="21346413"/>
    <n v="-66"/>
    <m/>
    <s v="Y"/>
    <n v="1"/>
    <d v="2023-07-07T19:34:23"/>
    <s v="N"/>
    <m/>
    <m/>
    <s v="Non Expert Disbursement"/>
    <m/>
    <s v="N"/>
    <n v="-55"/>
    <n v="0"/>
    <x v="9"/>
    <s v="VALIDATED"/>
    <n v="1"/>
    <s v="01.11.80.308.2013.0000"/>
    <n v="-55"/>
    <s v="11"/>
    <s v="2013"/>
    <n v="7585.91"/>
    <n v="-55"/>
    <s v="CREDITOR"/>
    <n v="0"/>
    <n v="0"/>
    <n v="-55"/>
    <n v="0"/>
    <n v="0"/>
  </r>
  <r>
    <n v="60223754"/>
    <s v="N"/>
    <n v="21346413"/>
    <s v="3000014536000001RC"/>
    <s v="CIVIL"/>
    <d v="2023-06-20T00:00:00"/>
    <d v="2023-07-07T19:34:21"/>
    <m/>
    <d v="2023-07-07T00:00:00"/>
    <n v="1200"/>
    <n v="3392"/>
    <s v="60223754"/>
    <s v="60223754"/>
    <m/>
    <m/>
    <m/>
    <m/>
    <m/>
    <m/>
    <s v="SOLRECOUP"/>
    <s v="SOLRECOUP"/>
    <s v="POARECOUP"/>
    <n v="21346413"/>
    <n v="-66"/>
    <m/>
    <s v="Y"/>
    <n v="2"/>
    <d v="2023-07-07T19:34:23"/>
    <s v="N"/>
    <m/>
    <m/>
    <s v="Non Expert Disbursement"/>
    <m/>
    <s v="N"/>
    <n v="0"/>
    <n v="-11"/>
    <x v="9"/>
    <s v="VALIDATED"/>
    <n v="1"/>
    <s v="01.11.80.308.2013.0000"/>
    <n v="-11"/>
    <s v="11"/>
    <s v="2013"/>
    <n v="7585.91"/>
    <n v="-11"/>
    <s v="CREDITOR"/>
    <n v="0"/>
    <n v="0"/>
    <n v="-11"/>
    <n v="0"/>
    <n v="0"/>
  </r>
  <r>
    <n v="60223754"/>
    <s v="N"/>
    <n v="21346414"/>
    <s v="3000014536000002RC"/>
    <s v="CIVIL"/>
    <d v="2023-06-20T00:00:00"/>
    <d v="2023-07-07T19:34:21"/>
    <m/>
    <d v="2023-07-07T00:00:00"/>
    <n v="1200"/>
    <n v="3392"/>
    <s v="60223754"/>
    <s v="60223754"/>
    <m/>
    <m/>
    <m/>
    <m/>
    <m/>
    <m/>
    <s v="SOLRECOUP"/>
    <s v="SOLRECOUP"/>
    <s v="POARECOUP"/>
    <n v="21346414"/>
    <n v="-4801.86"/>
    <m/>
    <s v="Y"/>
    <n v="1"/>
    <d v="2023-07-07T19:34:23"/>
    <s v="N"/>
    <m/>
    <m/>
    <s v="Profit Cost"/>
    <m/>
    <s v="N"/>
    <n v="-4001.55"/>
    <n v="0"/>
    <x v="9"/>
    <s v="VALIDATED"/>
    <n v="1"/>
    <s v="01.11.80.308.2013.0000"/>
    <n v="-4001.55"/>
    <s v="11"/>
    <s v="2013"/>
    <n v="7585.91"/>
    <n v="-4001.55"/>
    <s v="CREDITOR"/>
    <n v="0"/>
    <n v="0"/>
    <n v="-4001.55"/>
    <n v="-1000.3875"/>
    <n v="0"/>
  </r>
  <r>
    <n v="60223754"/>
    <s v="N"/>
    <n v="21346414"/>
    <s v="3000014536000002RC"/>
    <s v="CIVIL"/>
    <d v="2023-06-20T00:00:00"/>
    <d v="2023-07-07T19:34:21"/>
    <m/>
    <d v="2023-07-07T00:00:00"/>
    <n v="1200"/>
    <n v="3392"/>
    <s v="60223754"/>
    <s v="60223754"/>
    <m/>
    <m/>
    <m/>
    <m/>
    <m/>
    <m/>
    <s v="SOLRECOUP"/>
    <s v="SOLRECOUP"/>
    <s v="POARECOUP"/>
    <n v="21346414"/>
    <n v="-4801.86"/>
    <m/>
    <s v="Y"/>
    <n v="2"/>
    <d v="2023-07-07T19:34:23"/>
    <s v="N"/>
    <m/>
    <m/>
    <s v="Profit Cost"/>
    <m/>
    <s v="N"/>
    <n v="0"/>
    <n v="-800.3099999999999"/>
    <x v="9"/>
    <s v="VALIDATED"/>
    <n v="1"/>
    <s v="01.11.80.308.2013.0000"/>
    <n v="-800.3099999999999"/>
    <s v="11"/>
    <s v="2013"/>
    <n v="7585.91"/>
    <n v="-800.3099999999999"/>
    <s v="CREDITOR"/>
    <n v="0"/>
    <n v="0"/>
    <n v="-800.3099999999999"/>
    <n v="-200.0775"/>
    <n v="0"/>
  </r>
  <r>
    <n v="60223754"/>
    <s v="N"/>
    <n v="21346415"/>
    <s v="3000014536000003RC"/>
    <s v="CIVIL"/>
    <d v="2023-06-20T00:00:00"/>
    <d v="2023-07-07T19:34:21"/>
    <m/>
    <d v="2023-07-07T00:00:00"/>
    <n v="1200"/>
    <n v="3392"/>
    <s v="60223754"/>
    <s v="60223754"/>
    <m/>
    <m/>
    <m/>
    <m/>
    <m/>
    <m/>
    <s v="SOLRECOUP"/>
    <s v="SOLRECOUP"/>
    <s v="POARECOUP"/>
    <n v="21346415"/>
    <n v="-33"/>
    <m/>
    <s v="Y"/>
    <n v="1"/>
    <d v="2023-07-07T19:34:23"/>
    <s v="N"/>
    <m/>
    <m/>
    <s v="Non Expert Disbursement"/>
    <m/>
    <s v="N"/>
    <n v="-27.5"/>
    <n v="0"/>
    <x v="9"/>
    <s v="VALIDATED"/>
    <n v="1"/>
    <s v="01.11.80.308.2013.0000"/>
    <n v="-27.5"/>
    <s v="11"/>
    <s v="2013"/>
    <n v="7585.91"/>
    <n v="-27.5"/>
    <s v="CREDITOR"/>
    <n v="0"/>
    <n v="0"/>
    <n v="-27.5"/>
    <n v="0"/>
    <n v="0"/>
  </r>
  <r>
    <n v="60223754"/>
    <s v="N"/>
    <n v="21343858"/>
    <s v="3000014536000004"/>
    <s v="CIVIL"/>
    <d v="2023-06-20T00:00:00"/>
    <d v="2023-07-07T19:03:00"/>
    <m/>
    <d v="2023-07-07T00:00:00"/>
    <n v="1200"/>
    <n v="3392"/>
    <s v="60223754"/>
    <s v="60223754"/>
    <m/>
    <m/>
    <n v="22727924"/>
    <m/>
    <m/>
    <m/>
    <s v="SOLFIN"/>
    <s v="SOLFIN"/>
    <s v="CCMS"/>
    <n v="21343858"/>
    <n v="14705.73"/>
    <m/>
    <s v="N"/>
    <n v="7"/>
    <d v="2023-07-07T19:03:14"/>
    <s v="Y"/>
    <s v="Hearing Unit 2.31 - 5.00 Hours"/>
    <s v="Public Law Children"/>
    <s v="Advocacy"/>
    <s v="SA"/>
    <s v="Y"/>
    <n v="476.92"/>
    <n v="95.38"/>
    <x v="9"/>
    <s v="VALIDATED"/>
    <n v="1"/>
    <s v="01.11.80.308.6100.0000"/>
    <n v="476.92"/>
    <s v="11"/>
    <s v="6100"/>
    <n v="7585.91"/>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21"/>
    <d v="2023-07-07T19:03:15"/>
    <s v="Y"/>
    <s v="Attendance upon client"/>
    <s v="Care Remuneration Hourly Rates"/>
    <s v="Profit Cost"/>
    <s v="Charlotte Raybould"/>
    <s v="Y"/>
    <n v="30.23"/>
    <n v="6.05"/>
    <x v="9"/>
    <s v="VALIDATED"/>
    <n v="1"/>
    <s v="01.11.80.308.6100.0000"/>
    <n v="30.23"/>
    <s v="11"/>
    <s v="6100"/>
    <n v="30594.15"/>
    <n v="30.23"/>
    <s v="CREDITOR"/>
    <n v="0"/>
    <n v="0"/>
    <n v="0"/>
    <n v="0"/>
    <n v="30.23"/>
  </r>
  <r>
    <n v="60740536"/>
    <s v="N"/>
    <n v="21343872"/>
    <s v="3000014983190011"/>
    <s v="CIVIL"/>
    <d v="2023-06-27T00:00:00"/>
    <d v="2023-07-07T19:03:00"/>
    <m/>
    <d v="2023-07-07T00:00:00"/>
    <n v="1205"/>
    <n v="18696"/>
    <s v="60740536"/>
    <s v="60740536"/>
    <m/>
    <m/>
    <n v="22766106"/>
    <m/>
    <m/>
    <m/>
    <s v="SOLFIN"/>
    <s v="SOLFIN"/>
    <s v="CCMS"/>
    <n v="21343872"/>
    <n v="13395.68"/>
    <m/>
    <s v="N"/>
    <n v="33"/>
    <d v="2023-07-07T19:03:15"/>
    <s v="Y"/>
    <s v="Attendance upon/with Counsel at Con"/>
    <s v="Care Remuneration Hourly Rates"/>
    <s v="Profit Cost"/>
    <s v="Charlotte Raybould"/>
    <s v="Y"/>
    <n v="33.81"/>
    <n v="6.76"/>
    <x v="9"/>
    <s v="VALIDATED"/>
    <n v="1"/>
    <s v="01.11.80.308.6100.0000"/>
    <n v="33.81"/>
    <s v="11"/>
    <s v="6100"/>
    <n v="30594.15"/>
    <n v="33.81"/>
    <s v="CREDITOR"/>
    <n v="0"/>
    <n v="0"/>
    <n v="0"/>
    <n v="0"/>
    <n v="33.81"/>
  </r>
  <r>
    <n v="48504544"/>
    <s v="N"/>
    <n v="21344092"/>
    <s v="3000012074710009"/>
    <s v="CIVIL"/>
    <d v="2023-06-29T00:00:00"/>
    <d v="2023-07-07T19:03:00"/>
    <m/>
    <d v="2023-07-07T00:00:00"/>
    <n v="1205"/>
    <n v="18696"/>
    <s v="48504544"/>
    <s v="48504544"/>
    <m/>
    <m/>
    <n v="22787308"/>
    <m/>
    <m/>
    <m/>
    <s v="SOLFIN"/>
    <s v="SOLFIN"/>
    <s v="CCMS"/>
    <n v="21344092"/>
    <n v="5824.29"/>
    <m/>
    <s v="N"/>
    <n v="5"/>
    <d v="2023-07-07T19:03:23"/>
    <s v="Y"/>
    <s v="Routine Letter Out"/>
    <s v="Prescribed Hourly Rates"/>
    <s v="Profit Cost"/>
    <s v="Charlotte Raybould"/>
    <s v="Y"/>
    <n v="254.61"/>
    <n v="50.92"/>
    <x v="9"/>
    <s v="VALIDATED"/>
    <n v="1"/>
    <s v="01.11.80.307.6100.0000"/>
    <n v="254.61"/>
    <s v="11"/>
    <s v="6100"/>
    <n v="30594.15"/>
    <n v="254.61"/>
    <s v="CREDITOR"/>
    <n v="0"/>
    <n v="0"/>
    <n v="0"/>
    <n v="0"/>
    <n v="254.61"/>
  </r>
  <r>
    <n v="48504544"/>
    <s v="N"/>
    <n v="21344092"/>
    <s v="3000012074710009"/>
    <s v="CIVIL"/>
    <d v="2023-06-29T00:00:00"/>
    <d v="2023-07-07T19:03:00"/>
    <m/>
    <d v="2023-07-07T00:00:00"/>
    <n v="1205"/>
    <n v="18696"/>
    <s v="48504544"/>
    <s v="48504544"/>
    <m/>
    <m/>
    <n v="22787308"/>
    <m/>
    <m/>
    <m/>
    <s v="SOLFIN"/>
    <s v="SOLFIN"/>
    <s v="CCMS"/>
    <n v="21344092"/>
    <n v="5824.29"/>
    <m/>
    <s v="N"/>
    <n v="10"/>
    <d v="2023-07-07T19:03:23"/>
    <s v="Y"/>
    <s v="Preparation - other"/>
    <s v="Prescribed Hourly Rates"/>
    <s v="Profit Cost"/>
    <s v="Penny Dukes"/>
    <s v="Y"/>
    <n v="10.98"/>
    <n v="2.2"/>
    <x v="9"/>
    <s v="VALIDATED"/>
    <n v="1"/>
    <s v="01.11.80.307.6100.0000"/>
    <n v="10.98"/>
    <s v="11"/>
    <s v="6100"/>
    <n v="30594.15"/>
    <n v="10.98"/>
    <s v="CREDITOR"/>
    <n v="0"/>
    <n v="0"/>
    <n v="0"/>
    <n v="0"/>
    <n v="10.98"/>
  </r>
  <r>
    <n v="48504544"/>
    <s v="N"/>
    <n v="21344092"/>
    <s v="3000012074710009"/>
    <s v="CIVIL"/>
    <d v="2023-06-29T00:00:00"/>
    <d v="2023-07-07T19:03:00"/>
    <m/>
    <d v="2023-07-07T00:00:00"/>
    <n v="1205"/>
    <n v="18696"/>
    <s v="48504544"/>
    <s v="48504544"/>
    <m/>
    <m/>
    <n v="22787308"/>
    <m/>
    <m/>
    <m/>
    <s v="SOLFIN"/>
    <s v="SOLFIN"/>
    <s v="CCMS"/>
    <n v="21344092"/>
    <n v="5824.29"/>
    <m/>
    <s v="N"/>
    <n v="17"/>
    <d v="2023-07-07T19:03:23"/>
    <s v="Y"/>
    <s v="Preparation - other"/>
    <s v="Prescribed Hourly Rates"/>
    <s v="Profit Cost"/>
    <s v="Darren Plant"/>
    <s v="Y"/>
    <n v="5.49"/>
    <n v="1.1"/>
    <x v="9"/>
    <s v="VALIDATED"/>
    <n v="1"/>
    <s v="01.11.80.307.6100.0000"/>
    <n v="5.49"/>
    <s v="11"/>
    <s v="6100"/>
    <n v="30594.15"/>
    <n v="5.49"/>
    <s v="CREDITOR"/>
    <n v="0"/>
    <n v="0"/>
    <n v="0"/>
    <n v="0"/>
    <n v="5.49"/>
  </r>
  <r>
    <n v="60631907"/>
    <s v="N"/>
    <n v="21331360"/>
    <s v="3000014878960007"/>
    <s v="CIVIL"/>
    <d v="2023-06-28T00:00:00"/>
    <d v="2023-07-05T19:01:47"/>
    <m/>
    <d v="2023-07-05T00:00:00"/>
    <n v="1205"/>
    <n v="18696"/>
    <s v="60631907"/>
    <s v="60631907"/>
    <m/>
    <m/>
    <n v="22783676"/>
    <m/>
    <m/>
    <m/>
    <s v="SOLFIN"/>
    <s v="SOLFIN"/>
    <s v="CCMS"/>
    <n v="21331360"/>
    <n v="9637.15"/>
    <m/>
    <s v="N"/>
    <n v="17"/>
    <d v="2023-07-05T19:02:16"/>
    <s v="Y"/>
    <s v="Routine Letter In"/>
    <s v="Prescribed Hourly Rates"/>
    <s v="Profit Cost"/>
    <s v="Andrew Crumpton"/>
    <s v="Y"/>
    <n v="316.71"/>
    <n v="63.35"/>
    <x v="6"/>
    <s v="VALIDATED"/>
    <n v="1"/>
    <s v="01.11.80.307.6100.0000"/>
    <n v="316.71"/>
    <s v="11"/>
    <s v="6100"/>
    <n v="30594.15"/>
    <n v="316.71"/>
    <s v="CREDITOR"/>
    <n v="0"/>
    <n v="0"/>
    <n v="0"/>
    <n v="0"/>
    <n v="316.71"/>
  </r>
  <r>
    <n v="60631907"/>
    <s v="N"/>
    <n v="21331360"/>
    <s v="3000014878960007"/>
    <s v="CIVIL"/>
    <d v="2023-06-28T00:00:00"/>
    <d v="2023-07-05T19:01:47"/>
    <m/>
    <d v="2023-07-05T00:00:00"/>
    <n v="1205"/>
    <n v="18696"/>
    <s v="60631907"/>
    <s v="60631907"/>
    <m/>
    <m/>
    <n v="22783676"/>
    <m/>
    <m/>
    <m/>
    <s v="SOLFIN"/>
    <s v="SOLFIN"/>
    <s v="CCMS"/>
    <n v="21331360"/>
    <n v="9637.15"/>
    <m/>
    <s v="N"/>
    <n v="2"/>
    <d v="2023-07-05T19:02:16"/>
    <s v="Y"/>
    <s v="Attendance upon other"/>
    <s v="Prescribed Hourly Rates"/>
    <s v="Profit Cost"/>
    <s v="Andrew Crumpton"/>
    <s v="Y"/>
    <n v="68.63"/>
    <n v="13.73"/>
    <x v="6"/>
    <s v="VALIDATED"/>
    <n v="1"/>
    <s v="01.11.80.307.6100.0000"/>
    <n v="68.63"/>
    <s v="11"/>
    <s v="6100"/>
    <n v="30594.15"/>
    <n v="68.63"/>
    <s v="CREDITOR"/>
    <n v="0"/>
    <n v="0"/>
    <n v="0"/>
    <n v="0"/>
    <n v="68.63"/>
  </r>
  <r>
    <n v="60744883"/>
    <s v="N"/>
    <n v="21330927"/>
    <s v="3000014987240008"/>
    <s v="CIVIL"/>
    <d v="2023-06-22T00:00:00"/>
    <d v="2023-07-05T19:01:47"/>
    <m/>
    <d v="2023-07-05T00:00:00"/>
    <n v="1205"/>
    <n v="18696"/>
    <s v="60744883"/>
    <s v="60744883"/>
    <m/>
    <m/>
    <n v="22745992"/>
    <m/>
    <m/>
    <m/>
    <s v="SOLFIN"/>
    <s v="SOLFIN"/>
    <s v="CCMS"/>
    <n v="21330927"/>
    <n v="13790.5"/>
    <m/>
    <s v="N"/>
    <n v="26"/>
    <d v="2023-07-05T19:01:57"/>
    <s v="Y"/>
    <s v="Preparation - other"/>
    <s v="Care Remuneration Hourly Rates"/>
    <s v="Profit Cost"/>
    <s v="Alix Reynolds"/>
    <s v="Y"/>
    <n v="6.58"/>
    <n v="1.32"/>
    <x v="6"/>
    <s v="VALIDATED"/>
    <n v="1"/>
    <s v="01.11.80.308.6100.0000"/>
    <n v="6.58"/>
    <s v="11"/>
    <s v="6100"/>
    <n v="30594.15"/>
    <n v="6.58"/>
    <s v="CREDITOR"/>
    <n v="0"/>
    <n v="0"/>
    <n v="0"/>
    <n v="0"/>
    <n v="6.58"/>
  </r>
  <r>
    <n v="60744883"/>
    <s v="N"/>
    <n v="21330927"/>
    <s v="3000014987240008"/>
    <s v="CIVIL"/>
    <d v="2023-06-22T00:00:00"/>
    <d v="2023-07-05T19:01:47"/>
    <m/>
    <d v="2023-07-05T00:00:00"/>
    <n v="1205"/>
    <n v="18696"/>
    <s v="60744883"/>
    <s v="60744883"/>
    <m/>
    <m/>
    <n v="22745992"/>
    <m/>
    <m/>
    <m/>
    <s v="SOLFIN"/>
    <s v="SOLFIN"/>
    <s v="CCMS"/>
    <n v="21330927"/>
    <n v="13790.5"/>
    <m/>
    <s v="N"/>
    <n v="11"/>
    <d v="2023-07-05T19:01:57"/>
    <s v="Y"/>
    <s v="Preparation - other"/>
    <s v="Care Remuneration Hourly Rates"/>
    <s v="Profit Cost"/>
    <s v="Alix Reynolds"/>
    <s v="Y"/>
    <n v="52.58"/>
    <n v="10.52"/>
    <x v="6"/>
    <s v="VALIDATED"/>
    <n v="1"/>
    <s v="01.11.80.308.6100.0000"/>
    <n v="52.58"/>
    <s v="11"/>
    <s v="6100"/>
    <n v="30594.15"/>
    <n v="52.58"/>
    <s v="CREDITOR"/>
    <n v="0"/>
    <n v="0"/>
    <n v="0"/>
    <n v="0"/>
    <n v="52.58"/>
  </r>
  <r>
    <n v="60744883"/>
    <s v="N"/>
    <n v="21330927"/>
    <s v="3000014987240008"/>
    <s v="CIVIL"/>
    <d v="2023-06-22T00:00:00"/>
    <d v="2023-07-05T19:01:47"/>
    <m/>
    <d v="2023-07-05T00:00:00"/>
    <n v="1205"/>
    <n v="18696"/>
    <s v="60744883"/>
    <s v="60744883"/>
    <m/>
    <m/>
    <n v="22745992"/>
    <m/>
    <m/>
    <m/>
    <s v="SOLFIN"/>
    <s v="SOLFIN"/>
    <s v="CCMS"/>
    <n v="21330927"/>
    <n v="13790.5"/>
    <m/>
    <s v="N"/>
    <n v="37"/>
    <d v="2023-07-05T19:01:57"/>
    <s v="Y"/>
    <s v="Preparation - drafting attendance n"/>
    <s v="Care Remuneration Hourly Rates"/>
    <s v="Profit Cost"/>
    <s v="Alix Reynolds"/>
    <s v="Y"/>
    <n v="10.51"/>
    <n v="2.1"/>
    <x v="6"/>
    <s v="VALIDATED"/>
    <n v="1"/>
    <s v="01.11.80.308.6100.0000"/>
    <n v="10.51"/>
    <s v="11"/>
    <s v="6100"/>
    <n v="30594.15"/>
    <n v="10.51"/>
    <s v="CREDITOR"/>
    <n v="0"/>
    <n v="0"/>
    <n v="0"/>
    <n v="0"/>
    <n v="10.51"/>
  </r>
  <r>
    <n v="61764866"/>
    <s v="N"/>
    <n v="21327940"/>
    <s v="3000015843050003"/>
    <s v="CIVIL"/>
    <d v="2023-06-23T00:00:00"/>
    <d v="2023-07-04T19:00:44"/>
    <m/>
    <d v="2023-07-04T00:00:00"/>
    <n v="1205"/>
    <n v="18696"/>
    <s v="61764866"/>
    <s v="61764866"/>
    <m/>
    <m/>
    <n v="22755034"/>
    <m/>
    <m/>
    <m/>
    <s v="SOLFIN"/>
    <s v="SOLFIN"/>
    <s v="CCMS"/>
    <n v="21327940"/>
    <n v="4431.26"/>
    <m/>
    <s v="N"/>
    <n v="7"/>
    <d v="2023-07-04T19:00:59"/>
    <s v="Y"/>
    <s v="Hearing Unit 2.31 - 5.00 Hours"/>
    <s v="Public Law Children"/>
    <s v="Advocacy"/>
    <s v="Jas Tamber"/>
    <s v="Y"/>
    <n v="476.92"/>
    <n v="95.38"/>
    <x v="1"/>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20"/>
    <d v="2023-07-07T19:03:15"/>
    <s v="Y"/>
    <s v="Routine Telephone Call"/>
    <s v="Care Remuneration Hourly Rates"/>
    <s v="Profit Cost"/>
    <s v="Anna Cooper"/>
    <s v="Y"/>
    <n v="7.38"/>
    <n v="1.48"/>
    <x v="9"/>
    <s v="VALIDATED"/>
    <n v="1"/>
    <s v="01.11.80.308.6100.0000"/>
    <n v="7.38"/>
    <s v="11"/>
    <s v="6100"/>
    <n v="30594.15"/>
    <n v="7.38"/>
    <s v="CREDITOR"/>
    <n v="0"/>
    <n v="0"/>
    <n v="0"/>
    <n v="0"/>
    <n v="7.38"/>
  </r>
  <r>
    <n v="60773030"/>
    <s v="N"/>
    <n v="21344084"/>
    <s v="3000015011890006"/>
    <s v="CIVIL"/>
    <d v="2023-06-29T00:00:00"/>
    <d v="2023-07-07T19:03:00"/>
    <m/>
    <d v="2023-07-07T00:00:00"/>
    <n v="1205"/>
    <n v="18696"/>
    <s v="60773030"/>
    <s v="60773030"/>
    <m/>
    <m/>
    <n v="22785194"/>
    <m/>
    <m/>
    <m/>
    <s v="SOLFIN"/>
    <s v="SOLFIN"/>
    <s v="CCMS"/>
    <n v="21344084"/>
    <n v="3274.89"/>
    <m/>
    <s v="N"/>
    <n v="27"/>
    <d v="2023-07-07T19:03:23"/>
    <s v="Y"/>
    <s v="Preparation - other"/>
    <s v="Prescribed Hourly Rates"/>
    <s v="Profit Cost"/>
    <s v="Alix Reynolds"/>
    <s v="Y"/>
    <n v="10.98"/>
    <n v="2.2"/>
    <x v="9"/>
    <s v="VALIDATED"/>
    <n v="1"/>
    <s v="01.11.80.307.6100.0000"/>
    <n v="10.98"/>
    <s v="11"/>
    <s v="6100"/>
    <n v="30594.15"/>
    <n v="10.98"/>
    <s v="CREDITOR"/>
    <n v="0"/>
    <n v="0"/>
    <n v="0"/>
    <n v="0"/>
    <n v="10.98"/>
  </r>
  <r>
    <n v="60744883"/>
    <s v="N"/>
    <n v="21330927"/>
    <s v="3000014987240008"/>
    <s v="CIVIL"/>
    <d v="2023-06-22T00:00:00"/>
    <d v="2023-07-05T19:01:47"/>
    <m/>
    <d v="2023-07-05T00:00:00"/>
    <n v="1205"/>
    <n v="18696"/>
    <s v="60744883"/>
    <s v="60744883"/>
    <m/>
    <m/>
    <n v="22745992"/>
    <m/>
    <m/>
    <m/>
    <s v="SOLFIN"/>
    <s v="SOLFIN"/>
    <s v="CCMS"/>
    <n v="21330927"/>
    <n v="13790.5"/>
    <m/>
    <s v="N"/>
    <n v="43"/>
    <d v="2023-07-05T19:01:57"/>
    <s v="Y"/>
    <s v="Preparation - other"/>
    <s v="Care Remuneration Hourly Rates"/>
    <s v="Profit Cost"/>
    <s v="Penny Dukes"/>
    <s v="Y"/>
    <n v="10.51"/>
    <n v="2.1"/>
    <x v="6"/>
    <s v="VALIDATED"/>
    <n v="1"/>
    <s v="01.11.80.308.6100.0000"/>
    <n v="10.51"/>
    <s v="11"/>
    <s v="6100"/>
    <n v="30594.15"/>
    <n v="10.51"/>
    <s v="CREDITOR"/>
    <n v="0"/>
    <n v="0"/>
    <n v="0"/>
    <n v="0"/>
    <n v="10.51"/>
  </r>
  <r>
    <n v="60631907"/>
    <s v="N"/>
    <n v="21331360"/>
    <s v="3000014878960007"/>
    <s v="CIVIL"/>
    <d v="2023-06-28T00:00:00"/>
    <d v="2023-07-05T19:01:47"/>
    <m/>
    <d v="2023-07-05T00:00:00"/>
    <n v="1205"/>
    <n v="18696"/>
    <s v="60631907"/>
    <s v="60631907"/>
    <m/>
    <m/>
    <n v="22783676"/>
    <m/>
    <m/>
    <m/>
    <s v="SOLFIN"/>
    <s v="SOLFIN"/>
    <s v="CCMS"/>
    <n v="21331360"/>
    <n v="9637.15"/>
    <m/>
    <s v="N"/>
    <n v="24"/>
    <d v="2023-07-05T19:02:16"/>
    <s v="Y"/>
    <s v="Preparation - drafting bill/claim f"/>
    <s v="Prescribed Hourly Rates"/>
    <s v="Profit Cost"/>
    <s v="Penny Dukes"/>
    <s v="Y"/>
    <n v="10.98"/>
    <n v="2.2"/>
    <x v="6"/>
    <s v="VALIDATED"/>
    <n v="1"/>
    <s v="01.11.80.307.6100.0000"/>
    <n v="10.98"/>
    <s v="11"/>
    <s v="6100"/>
    <n v="30594.15"/>
    <n v="10.98"/>
    <s v="CREDITOR"/>
    <n v="0"/>
    <n v="0"/>
    <n v="0"/>
    <n v="0"/>
    <n v="10.98"/>
  </r>
  <r>
    <n v="60867047"/>
    <s v="N"/>
    <n v="21349869"/>
    <s v="3000015089740008"/>
    <s v="CIVIL"/>
    <d v="2023-06-26T00:00:00"/>
    <d v="2023-07-10T19:01:40"/>
    <m/>
    <d v="2023-07-10T00:00:00"/>
    <n v="1205"/>
    <n v="18696"/>
    <s v="60867047"/>
    <s v="60867047"/>
    <m/>
    <m/>
    <n v="22762804"/>
    <m/>
    <m/>
    <m/>
    <s v="SOLFIN"/>
    <s v="SOLFIN"/>
    <s v="CCMS"/>
    <n v="21349869"/>
    <n v="11255.82"/>
    <m/>
    <s v="N"/>
    <n v="8"/>
    <d v="2023-07-10T19:02:01"/>
    <s v="Y"/>
    <s v="Court Fee"/>
    <s v="Public Law Children"/>
    <s v="Non Expert Disbursement"/>
    <s v="Charlotte Raybould"/>
    <s v="Y"/>
    <n v="167"/>
    <n v="0"/>
    <x v="2"/>
    <s v="VALIDATED"/>
    <n v="1"/>
    <s v="01.11.80.308.6300.0000"/>
    <n v="167"/>
    <s v="11"/>
    <s v="6300"/>
    <n v="30594.15"/>
    <n v="167"/>
    <s v="CREDITOR"/>
    <n v="0"/>
    <n v="0"/>
    <n v="0"/>
    <n v="0"/>
    <n v="167"/>
  </r>
  <r>
    <n v="48504544"/>
    <s v="N"/>
    <n v="21344092"/>
    <s v="3000012074710009"/>
    <s v="CIVIL"/>
    <d v="2023-06-29T00:00:00"/>
    <d v="2023-07-07T19:03:00"/>
    <m/>
    <d v="2023-07-07T00:00:00"/>
    <n v="1205"/>
    <n v="18696"/>
    <s v="48504544"/>
    <s v="48504544"/>
    <m/>
    <m/>
    <n v="22787308"/>
    <m/>
    <m/>
    <m/>
    <s v="SOLFIN"/>
    <s v="SOLFIN"/>
    <s v="CCMS"/>
    <n v="21344092"/>
    <n v="5824.29"/>
    <m/>
    <s v="N"/>
    <n v="26"/>
    <d v="2023-07-07T19:03:23"/>
    <s v="Y"/>
    <s v="Preparation - drafting application"/>
    <s v="Prescribed Hourly Rates"/>
    <s v="Profit Cost"/>
    <s v="Anna Cooper"/>
    <s v="Y"/>
    <n v="54.9"/>
    <n v="10.98"/>
    <x v="9"/>
    <s v="VALIDATED"/>
    <n v="1"/>
    <s v="01.11.80.307.6100.0000"/>
    <n v="54.9"/>
    <s v="11"/>
    <s v="6100"/>
    <n v="30594.15"/>
    <n v="54.9"/>
    <s v="CREDITOR"/>
    <n v="0"/>
    <n v="0"/>
    <n v="0"/>
    <n v="0"/>
    <n v="54.9"/>
  </r>
  <r>
    <n v="48504544"/>
    <s v="N"/>
    <n v="21344092"/>
    <s v="3000012074710009"/>
    <s v="CIVIL"/>
    <d v="2023-06-29T00:00:00"/>
    <d v="2023-07-07T19:03:00"/>
    <m/>
    <d v="2023-07-07T00:00:00"/>
    <n v="1205"/>
    <n v="18696"/>
    <s v="48504544"/>
    <s v="48504544"/>
    <m/>
    <m/>
    <n v="22787308"/>
    <m/>
    <m/>
    <m/>
    <s v="SOLFIN"/>
    <s v="SOLFIN"/>
    <s v="CCMS"/>
    <n v="21344092"/>
    <n v="5824.29"/>
    <m/>
    <s v="N"/>
    <n v="30"/>
    <d v="2023-07-07T19:03:23"/>
    <s v="Y"/>
    <s v="Preparation - other"/>
    <s v="Prescribed Hourly Rates"/>
    <s v="Profit Cost"/>
    <s v="Penny Dukes"/>
    <s v="Y"/>
    <n v="5.49"/>
    <n v="1.1"/>
    <x v="9"/>
    <s v="VALIDATED"/>
    <n v="1"/>
    <s v="01.11.80.307.6100.0000"/>
    <n v="5.49"/>
    <s v="11"/>
    <s v="6100"/>
    <n v="30594.15"/>
    <n v="5.49"/>
    <s v="CREDITOR"/>
    <n v="0"/>
    <n v="0"/>
    <n v="0"/>
    <n v="0"/>
    <n v="5.49"/>
  </r>
  <r>
    <n v="54813547"/>
    <s v="N"/>
    <n v="21338270"/>
    <s v="3000013038820008"/>
    <s v="CIVIL"/>
    <d v="2023-06-27T00:00:00"/>
    <d v="2023-07-06T19:21:01"/>
    <m/>
    <d v="2023-07-06T00:00:00"/>
    <n v="1205"/>
    <n v="18696"/>
    <s v="54813547"/>
    <s v="54813547"/>
    <m/>
    <m/>
    <n v="22769992"/>
    <m/>
    <m/>
    <m/>
    <s v="SOLFIN"/>
    <s v="SOLFIN"/>
    <s v="CCMS"/>
    <n v="21338270"/>
    <n v="24252.38"/>
    <m/>
    <s v="N"/>
    <n v="113"/>
    <d v="2023-07-06T19:21:15"/>
    <s v="Y"/>
    <s v="Advocates Meeting"/>
    <s v="Public Law Children"/>
    <s v="Advocacy"/>
    <s v="Charlotte Raybould"/>
    <s v="Y"/>
    <n v="169.2"/>
    <n v="33.84"/>
    <x v="4"/>
    <s v="VALIDATED"/>
    <n v="1"/>
    <s v="01.11.80.308.6100.0000"/>
    <n v="169.2"/>
    <s v="11"/>
    <s v="6100"/>
    <n v="30594.15"/>
    <n v="169.2"/>
    <s v="CREDITOR"/>
    <n v="0"/>
    <n v="0"/>
    <n v="0"/>
    <n v="0"/>
    <n v="169.2"/>
  </r>
  <r>
    <n v="54813547"/>
    <s v="N"/>
    <n v="21338270"/>
    <s v="3000013038820008"/>
    <s v="CIVIL"/>
    <d v="2023-06-27T00:00:00"/>
    <d v="2023-07-06T19:21:01"/>
    <m/>
    <d v="2023-07-06T00:00:00"/>
    <n v="1205"/>
    <n v="18696"/>
    <s v="54813547"/>
    <s v="54813547"/>
    <m/>
    <m/>
    <n v="22769992"/>
    <m/>
    <m/>
    <m/>
    <s v="SOLFIN"/>
    <s v="SOLFIN"/>
    <s v="CCMS"/>
    <n v="21338270"/>
    <n v="24252.38"/>
    <m/>
    <s v="N"/>
    <n v="3"/>
    <d v="2023-07-06T19:21:15"/>
    <s v="Y"/>
    <s v="Final Hearing Court Bundle/Advocate"/>
    <s v="Public Law Children"/>
    <s v="Advocacy"/>
    <s v="Charlotte Raybould"/>
    <s v="Y"/>
    <n v="318.6"/>
    <n v="63.72"/>
    <x v="4"/>
    <s v="VALIDATED"/>
    <n v="1"/>
    <s v="01.11.80.308.6100.0000"/>
    <n v="318.6"/>
    <s v="11"/>
    <s v="6100"/>
    <n v="30594.15"/>
    <n v="318.6"/>
    <s v="CREDITOR"/>
    <n v="0"/>
    <n v="0"/>
    <n v="0"/>
    <n v="0"/>
    <n v="318.6"/>
  </r>
  <r>
    <n v="10731350"/>
    <s v="N"/>
    <n v="21323229"/>
    <s v="3000006519090017"/>
    <s v="CIVIL"/>
    <d v="2023-06-30T00:00:00"/>
    <d v="2023-07-03T19:05:56"/>
    <m/>
    <d v="2023-07-03T00:00:00"/>
    <n v="1205"/>
    <n v="18696"/>
    <s v="10731350"/>
    <s v="10731350"/>
    <m/>
    <m/>
    <n v="22796618"/>
    <m/>
    <m/>
    <m/>
    <s v="SOLPOA"/>
    <s v="SOLPOA"/>
    <s v="CCMS"/>
    <n v="21323229"/>
    <n v="18.72"/>
    <m/>
    <s v="N"/>
    <n v="1"/>
    <d v="2023-07-03T19:05:56"/>
    <s v="N"/>
    <s v="Non Expert Disbursement"/>
    <s v="Non Expert Disbursement"/>
    <s v="Non Expert Disbursement"/>
    <s v="A Crumpton"/>
    <s v="N"/>
    <n v="15.6"/>
    <n v="3.12"/>
    <x v="3"/>
    <s v="VALIDATED"/>
    <n v="1"/>
    <s v="01.11.80.307.2012.0000"/>
    <n v="15.6"/>
    <s v="11"/>
    <s v="2012"/>
    <n v="30594.15"/>
    <n v="15.6"/>
    <s v="CREDITOR"/>
    <n v="15.6"/>
    <n v="0"/>
    <n v="0"/>
    <n v="0"/>
    <n v="0"/>
  </r>
  <r>
    <n v="60740536"/>
    <s v="N"/>
    <n v="21343872"/>
    <s v="3000014983190011"/>
    <s v="CIVIL"/>
    <d v="2023-06-27T00:00:00"/>
    <d v="2023-07-07T19:03:00"/>
    <m/>
    <d v="2023-07-07T00:00:00"/>
    <n v="1205"/>
    <n v="18696"/>
    <s v="60740536"/>
    <s v="60740536"/>
    <m/>
    <m/>
    <n v="22766106"/>
    <m/>
    <m/>
    <m/>
    <s v="SOLFIN"/>
    <s v="SOLFIN"/>
    <s v="CCMS"/>
    <n v="21343872"/>
    <n v="13395.68"/>
    <m/>
    <s v="N"/>
    <n v="46"/>
    <d v="2023-07-07T19:03:15"/>
    <s v="Y"/>
    <s v="Advocacy - In court behind counsel"/>
    <s v="Care Remuneration Hourly Rates"/>
    <s v="Advocacy"/>
    <s v="Charlotte Raybould"/>
    <s v="Y"/>
    <n v="165.67"/>
    <n v="33.13"/>
    <x v="9"/>
    <s v="VALIDATED"/>
    <n v="1"/>
    <s v="01.11.80.308.6100.0000"/>
    <n v="165.67"/>
    <s v="11"/>
    <s v="6100"/>
    <n v="30594.15"/>
    <n v="165.67"/>
    <s v="CREDITOR"/>
    <n v="0"/>
    <n v="0"/>
    <n v="0"/>
    <n v="0"/>
    <n v="165.67"/>
  </r>
  <r>
    <n v="60740536"/>
    <s v="N"/>
    <n v="21343872"/>
    <s v="3000014983190011"/>
    <s v="CIVIL"/>
    <d v="2023-06-27T00:00:00"/>
    <d v="2023-07-07T19:03:00"/>
    <m/>
    <d v="2023-07-07T00:00:00"/>
    <n v="1205"/>
    <n v="18696"/>
    <s v="60740536"/>
    <s v="60740536"/>
    <m/>
    <m/>
    <n v="22766106"/>
    <m/>
    <m/>
    <m/>
    <s v="SOLFIN"/>
    <s v="SOLFIN"/>
    <s v="CCMS"/>
    <n v="21343872"/>
    <n v="13395.68"/>
    <m/>
    <s v="N"/>
    <n v="49"/>
    <d v="2023-07-07T19:03:15"/>
    <s v="Y"/>
    <s v="Attendance upon/with Counsel at Con"/>
    <s v="Care Remuneration Hourly Rates"/>
    <s v="Profit Cost"/>
    <s v="Anna Cooper"/>
    <s v="Y"/>
    <n v="11.76"/>
    <n v="2.35"/>
    <x v="9"/>
    <s v="VALIDATED"/>
    <n v="1"/>
    <s v="01.11.80.308.6100.0000"/>
    <n v="11.76"/>
    <s v="11"/>
    <s v="6100"/>
    <n v="30594.15"/>
    <n v="11.76"/>
    <s v="CREDITOR"/>
    <n v="0"/>
    <n v="0"/>
    <n v="0"/>
    <n v="0"/>
    <n v="11.76"/>
  </r>
  <r>
    <n v="60773030"/>
    <s v="N"/>
    <n v="21344084"/>
    <s v="3000015011890006"/>
    <s v="CIVIL"/>
    <d v="2023-06-29T00:00:00"/>
    <d v="2023-07-07T19:03:00"/>
    <m/>
    <d v="2023-07-07T00:00:00"/>
    <n v="1205"/>
    <n v="18696"/>
    <s v="60773030"/>
    <s v="60773030"/>
    <m/>
    <m/>
    <n v="22785194"/>
    <m/>
    <m/>
    <m/>
    <s v="SOLFIN"/>
    <s v="SOLFIN"/>
    <s v="CCMS"/>
    <n v="21344084"/>
    <n v="3274.89"/>
    <m/>
    <s v="N"/>
    <n v="30"/>
    <d v="2023-07-07T19:03:23"/>
    <s v="Y"/>
    <s v="Preparation - other"/>
    <s v="Prescribed Hourly Rates"/>
    <s v="Profit Cost"/>
    <s v="Penny Dukes"/>
    <s v="Y"/>
    <n v="5.49"/>
    <n v="1.1"/>
    <x v="9"/>
    <s v="VALIDATED"/>
    <n v="1"/>
    <s v="01.11.80.307.6100.0000"/>
    <n v="5.49"/>
    <s v="11"/>
    <s v="6100"/>
    <n v="30594.15"/>
    <n v="5.49"/>
    <s v="CREDITOR"/>
    <n v="0"/>
    <n v="0"/>
    <n v="0"/>
    <n v="0"/>
    <n v="5.49"/>
  </r>
  <r>
    <n v="60764755"/>
    <s v="N"/>
    <n v="21337748"/>
    <s v="3000015002070010"/>
    <s v="CIVIL"/>
    <d v="2023-06-22T00:00:00"/>
    <d v="2023-07-06T19:21:01"/>
    <m/>
    <d v="2023-07-06T00:00:00"/>
    <n v="1205"/>
    <n v="18696"/>
    <s v="60764755"/>
    <s v="60764755"/>
    <m/>
    <m/>
    <n v="22741190"/>
    <m/>
    <m/>
    <m/>
    <s v="SOLFIN"/>
    <s v="SOLFIN"/>
    <s v="CCMS"/>
    <n v="21337748"/>
    <n v="11125.15"/>
    <m/>
    <s v="N"/>
    <n v="19"/>
    <d v="2023-07-06T19:21:07"/>
    <s v="Y"/>
    <s v="Final Hearing - 1 Day"/>
    <s v="Public Law Children"/>
    <s v="Advocacy"/>
    <s v="Charlotte Raybould"/>
    <s v="Y"/>
    <n v="556.88"/>
    <n v="111.37"/>
    <x v="4"/>
    <s v="VALIDATED"/>
    <n v="1"/>
    <s v="01.11.80.308.6100.0000"/>
    <n v="556.88"/>
    <s v="11"/>
    <s v="6100"/>
    <n v="30594.15"/>
    <n v="556.88"/>
    <s v="CREDITOR"/>
    <n v="0"/>
    <n v="0"/>
    <n v="0"/>
    <n v="0"/>
    <n v="556.88"/>
  </r>
  <r>
    <n v="60631907"/>
    <s v="N"/>
    <n v="21331360"/>
    <s v="3000014878960007"/>
    <s v="CIVIL"/>
    <d v="2023-06-28T00:00:00"/>
    <d v="2023-07-05T19:01:47"/>
    <m/>
    <d v="2023-07-05T00:00:00"/>
    <n v="1205"/>
    <n v="18696"/>
    <s v="60631907"/>
    <s v="60631907"/>
    <m/>
    <m/>
    <n v="22783676"/>
    <m/>
    <m/>
    <m/>
    <s v="SOLFIN"/>
    <s v="SOLFIN"/>
    <s v="CCMS"/>
    <n v="21331360"/>
    <n v="9637.15"/>
    <m/>
    <s v="N"/>
    <n v="92"/>
    <d v="2023-07-05T19:02:16"/>
    <s v="Y"/>
    <s v="Solicitor Travel Mileage"/>
    <s v="Prescribed Hourly Rates"/>
    <s v="Non Expert Disbursement"/>
    <s v="Andrew Crumpton"/>
    <s v="Y"/>
    <n v="13.87"/>
    <n v="2.77"/>
    <x v="6"/>
    <s v="VALIDATED"/>
    <n v="1"/>
    <s v="01.11.80.307.6300.0000"/>
    <n v="13.87"/>
    <s v="11"/>
    <s v="6300"/>
    <n v="30594.15"/>
    <n v="13.87"/>
    <s v="CREDITOR"/>
    <n v="0"/>
    <n v="0"/>
    <n v="0"/>
    <n v="0"/>
    <n v="13.87"/>
  </r>
  <r>
    <n v="60631907"/>
    <s v="N"/>
    <n v="21331360"/>
    <s v="3000014878960007"/>
    <s v="CIVIL"/>
    <d v="2023-06-28T00:00:00"/>
    <d v="2023-07-05T19:01:47"/>
    <m/>
    <d v="2023-07-05T00:00:00"/>
    <n v="1205"/>
    <n v="18696"/>
    <s v="60631907"/>
    <s v="60631907"/>
    <m/>
    <m/>
    <n v="22783676"/>
    <m/>
    <m/>
    <m/>
    <s v="SOLFIN"/>
    <s v="SOLFIN"/>
    <s v="CCMS"/>
    <n v="21331360"/>
    <n v="9637.15"/>
    <m/>
    <s v="N"/>
    <n v="77"/>
    <d v="2023-07-05T19:02:16"/>
    <s v="Y"/>
    <s v="Preparation - other"/>
    <s v="Prescribed Hourly Rates"/>
    <s v="Profit Cost"/>
    <s v="Penny Dukes"/>
    <s v="Y"/>
    <n v="10.98"/>
    <n v="2.2"/>
    <x v="6"/>
    <s v="VALIDATED"/>
    <n v="1"/>
    <s v="01.11.80.307.6100.0000"/>
    <n v="10.98"/>
    <s v="11"/>
    <s v="6100"/>
    <n v="30594.15"/>
    <n v="10.98"/>
    <s v="CREDITOR"/>
    <n v="0"/>
    <n v="0"/>
    <n v="0"/>
    <n v="0"/>
    <n v="10.98"/>
  </r>
  <r>
    <n v="54813547"/>
    <s v="N"/>
    <n v="21338270"/>
    <s v="3000013038820008"/>
    <s v="CIVIL"/>
    <d v="2023-06-27T00:00:00"/>
    <d v="2023-07-06T19:21:01"/>
    <m/>
    <d v="2023-07-06T00:00:00"/>
    <n v="1205"/>
    <n v="18696"/>
    <s v="54813547"/>
    <s v="54813547"/>
    <m/>
    <m/>
    <n v="22769992"/>
    <m/>
    <m/>
    <m/>
    <s v="SOLFIN"/>
    <s v="SOLFIN"/>
    <s v="CCMS"/>
    <n v="21338270"/>
    <n v="24252.38"/>
    <m/>
    <s v="N"/>
    <n v="45"/>
    <d v="2023-07-06T19:21:15"/>
    <s v="Y"/>
    <s v="Preparation - drafting statement"/>
    <s v="Care Remuneration Hourly Rates"/>
    <s v="Profit Cost"/>
    <s v="Anna Cooper"/>
    <s v="Y"/>
    <n v="14.81"/>
    <n v="2.96"/>
    <x v="4"/>
    <s v="VALIDATED"/>
    <n v="1"/>
    <s v="01.11.80.308.6100.0000"/>
    <n v="14.81"/>
    <s v="11"/>
    <s v="6100"/>
    <n v="30594.15"/>
    <n v="14.81"/>
    <s v="CREDITOR"/>
    <n v="0"/>
    <n v="0"/>
    <n v="0"/>
    <n v="0"/>
    <n v="14.81"/>
  </r>
  <r>
    <n v="60773030"/>
    <s v="N"/>
    <n v="21344084"/>
    <s v="3000015011890006"/>
    <s v="CIVIL"/>
    <d v="2023-06-29T00:00:00"/>
    <d v="2023-07-07T19:03:00"/>
    <m/>
    <d v="2023-07-07T00:00:00"/>
    <n v="1205"/>
    <n v="18696"/>
    <s v="60773030"/>
    <s v="60773030"/>
    <m/>
    <m/>
    <n v="22785194"/>
    <m/>
    <m/>
    <m/>
    <s v="SOLFIN"/>
    <s v="SOLFIN"/>
    <s v="CCMS"/>
    <n v="21344084"/>
    <n v="3274.89"/>
    <m/>
    <s v="N"/>
    <n v="45"/>
    <d v="2023-07-07T19:03:23"/>
    <s v="Y"/>
    <s v="Preparation - drafting pleadings"/>
    <s v="Prescribed Hourly Rates"/>
    <s v="Profit Cost"/>
    <s v="Alix Reynolds"/>
    <s v="Y"/>
    <n v="5.49"/>
    <n v="1.1"/>
    <x v="9"/>
    <s v="VALIDATED"/>
    <n v="1"/>
    <s v="01.11.80.307.6100.0000"/>
    <n v="5.49"/>
    <s v="11"/>
    <s v="6100"/>
    <n v="30594.15"/>
    <n v="5.49"/>
    <s v="CREDITOR"/>
    <n v="0"/>
    <n v="0"/>
    <n v="0"/>
    <n v="0"/>
    <n v="5.49"/>
  </r>
  <r>
    <n v="60631907"/>
    <s v="N"/>
    <n v="21331360"/>
    <s v="3000014878960007"/>
    <s v="CIVIL"/>
    <d v="2023-06-28T00:00:00"/>
    <d v="2023-07-05T19:01:47"/>
    <m/>
    <d v="2023-07-05T00:00:00"/>
    <n v="1205"/>
    <n v="18696"/>
    <s v="60631907"/>
    <s v="60631907"/>
    <m/>
    <m/>
    <n v="22783676"/>
    <m/>
    <m/>
    <m/>
    <s v="SOLFIN"/>
    <s v="SOLFIN"/>
    <s v="CCMS"/>
    <n v="21331360"/>
    <n v="9637.15"/>
    <m/>
    <s v="N"/>
    <n v="44"/>
    <d v="2023-07-05T19:02:16"/>
    <s v="Y"/>
    <s v="Attendance upon other side"/>
    <s v="Prescribed Hourly Rates"/>
    <s v="Profit Cost"/>
    <s v="Andrew Crumpton"/>
    <s v="Y"/>
    <n v="137.25"/>
    <n v="27.45"/>
    <x v="6"/>
    <s v="VALIDATED"/>
    <n v="1"/>
    <s v="01.11.80.307.6100.0000"/>
    <n v="137.25"/>
    <s v="11"/>
    <s v="6100"/>
    <n v="30594.15"/>
    <n v="137.25"/>
    <s v="CREDITOR"/>
    <n v="0"/>
    <n v="0"/>
    <n v="0"/>
    <n v="0"/>
    <n v="137.25"/>
  </r>
  <r>
    <n v="60867047"/>
    <s v="N"/>
    <n v="21349869"/>
    <s v="3000015089740008"/>
    <s v="CIVIL"/>
    <d v="2023-06-26T00:00:00"/>
    <d v="2023-07-10T19:01:40"/>
    <m/>
    <d v="2023-07-10T00:00:00"/>
    <n v="1205"/>
    <n v="18696"/>
    <s v="60867047"/>
    <s v="60867047"/>
    <m/>
    <m/>
    <n v="22762804"/>
    <m/>
    <m/>
    <m/>
    <s v="SOLFIN"/>
    <s v="SOLFIN"/>
    <s v="CCMS"/>
    <n v="21349869"/>
    <n v="11255.82"/>
    <m/>
    <s v="N"/>
    <n v="2"/>
    <d v="2023-07-10T19:02:01"/>
    <s v="Y"/>
    <s v="Interim Hearing Court Bundle/Advoca"/>
    <s v="Public Law Children"/>
    <s v="Advocacy"/>
    <s v="Charlotte Raybould"/>
    <s v="Y"/>
    <n v="89.09999999999999"/>
    <n v="17.82"/>
    <x v="2"/>
    <s v="VALIDATED"/>
    <n v="1"/>
    <s v="01.11.80.308.6100.0000"/>
    <n v="89.09999999999999"/>
    <s v="11"/>
    <s v="6100"/>
    <n v="30594.15"/>
    <n v="89.09999999999999"/>
    <s v="CREDITOR"/>
    <n v="0"/>
    <n v="0"/>
    <n v="0"/>
    <n v="0"/>
    <n v="89.09999999999999"/>
  </r>
  <r>
    <n v="54813547"/>
    <s v="N"/>
    <n v="21338270"/>
    <s v="3000013038820008"/>
    <s v="CIVIL"/>
    <d v="2023-06-27T00:00:00"/>
    <d v="2023-07-06T19:21:01"/>
    <m/>
    <d v="2023-07-06T00:00:00"/>
    <n v="1205"/>
    <n v="18696"/>
    <s v="54813547"/>
    <s v="54813547"/>
    <m/>
    <m/>
    <n v="22769992"/>
    <m/>
    <m/>
    <m/>
    <s v="SOLFIN"/>
    <s v="SOLFIN"/>
    <s v="CCMS"/>
    <n v="21338270"/>
    <n v="24252.38"/>
    <m/>
    <s v="N"/>
    <n v="96"/>
    <d v="2023-07-06T19:21:15"/>
    <s v="Y"/>
    <s v="Preparation - other"/>
    <s v="Care Remuneration Hourly Rates"/>
    <s v="Profit Cost"/>
    <s v="Penny Dukes"/>
    <s v="Y"/>
    <n v="11.85"/>
    <n v="2.37"/>
    <x v="4"/>
    <s v="VALIDATED"/>
    <n v="1"/>
    <s v="01.11.80.308.6100.0000"/>
    <n v="11.85"/>
    <s v="11"/>
    <s v="6100"/>
    <n v="30594.15"/>
    <n v="11.85"/>
    <s v="CREDITOR"/>
    <n v="0"/>
    <n v="0"/>
    <n v="0"/>
    <n v="0"/>
    <n v="11.85"/>
  </r>
  <r>
    <n v="60066609"/>
    <s v="N"/>
    <n v="21350136"/>
    <s v="3000014401840008"/>
    <s v="CIVIL"/>
    <d v="2023-06-29T00:00:00"/>
    <d v="2023-07-10T19:01:40"/>
    <m/>
    <d v="2023-07-10T00:00:00"/>
    <n v="1205"/>
    <n v="18696"/>
    <s v="60066609"/>
    <s v="60066609"/>
    <m/>
    <m/>
    <n v="22788730"/>
    <m/>
    <m/>
    <m/>
    <s v="SOLFIN"/>
    <s v="SOLFIN"/>
    <s v="CCMS"/>
    <n v="21350136"/>
    <n v="7952.47"/>
    <m/>
    <s v="N"/>
    <n v="13"/>
    <d v="2023-07-10T19:02:15"/>
    <s v="Y"/>
    <s v="Hearing Unit 2.31 - 5.00 Hours"/>
    <s v="Public Law Children"/>
    <s v="Advocacy"/>
    <s v="Andrew Crumpton"/>
    <s v="Y"/>
    <n v="476.92"/>
    <n v="95.38"/>
    <x v="2"/>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16"/>
    <d v="2023-07-07T19:03:15"/>
    <s v="Y"/>
    <s v="Routine Letter In"/>
    <s v="Care Remuneration Hourly Rates"/>
    <s v="Profit Cost"/>
    <s v="Charlotte Raybould"/>
    <s v="Y"/>
    <n v="38.3"/>
    <n v="7.66"/>
    <x v="9"/>
    <s v="VALIDATED"/>
    <n v="1"/>
    <s v="01.11.80.308.6100.0000"/>
    <n v="38.3"/>
    <s v="11"/>
    <s v="6100"/>
    <n v="30594.15"/>
    <n v="38.3"/>
    <s v="CREDITOR"/>
    <n v="0"/>
    <n v="0"/>
    <n v="0"/>
    <n v="0"/>
    <n v="38.3"/>
  </r>
  <r>
    <n v="60740536"/>
    <s v="N"/>
    <n v="21343872"/>
    <s v="3000014983190011"/>
    <s v="CIVIL"/>
    <d v="2023-06-27T00:00:00"/>
    <d v="2023-07-07T19:03:00"/>
    <m/>
    <d v="2023-07-07T00:00:00"/>
    <n v="1205"/>
    <n v="18696"/>
    <s v="60740536"/>
    <s v="60740536"/>
    <m/>
    <m/>
    <n v="22766106"/>
    <m/>
    <m/>
    <m/>
    <s v="SOLFIN"/>
    <s v="SOLFIN"/>
    <s v="CCMS"/>
    <n v="21343872"/>
    <n v="13395.68"/>
    <m/>
    <s v="N"/>
    <n v="36"/>
    <d v="2023-07-07T19:03:15"/>
    <s v="Y"/>
    <s v="Advocacy - In court behind counsel"/>
    <s v="Care Remuneration Hourly Rates"/>
    <s v="Advocacy"/>
    <s v="Anna Cooper"/>
    <s v="Y"/>
    <n v="23.52"/>
    <n v="4.7"/>
    <x v="9"/>
    <s v="VALIDATED"/>
    <n v="1"/>
    <s v="01.11.80.308.6100.0000"/>
    <n v="23.52"/>
    <s v="11"/>
    <s v="6100"/>
    <n v="30594.15"/>
    <n v="23.52"/>
    <s v="CREDITOR"/>
    <n v="0"/>
    <n v="0"/>
    <n v="0"/>
    <n v="0"/>
    <n v="23.52"/>
  </r>
  <r>
    <n v="54813547"/>
    <s v="N"/>
    <n v="21338270"/>
    <s v="3000013038820008"/>
    <s v="CIVIL"/>
    <d v="2023-06-27T00:00:00"/>
    <d v="2023-07-06T19:21:01"/>
    <m/>
    <d v="2023-07-06T00:00:00"/>
    <n v="1205"/>
    <n v="18696"/>
    <s v="54813547"/>
    <s v="54813547"/>
    <m/>
    <m/>
    <n v="22769992"/>
    <m/>
    <m/>
    <m/>
    <s v="SOLFIN"/>
    <s v="SOLFIN"/>
    <s v="CCMS"/>
    <n v="21338270"/>
    <n v="24252.38"/>
    <m/>
    <s v="N"/>
    <n v="54"/>
    <d v="2023-07-06T19:21:15"/>
    <s v="Y"/>
    <s v="Preparation - other"/>
    <s v="Care Remuneration Hourly Rates"/>
    <s v="Profit Cost"/>
    <s v="Anna Cooper"/>
    <s v="Y"/>
    <n v="148.15"/>
    <n v="29.63"/>
    <x v="4"/>
    <s v="VALIDATED"/>
    <n v="1"/>
    <s v="01.11.80.308.6100.0000"/>
    <n v="148.15"/>
    <s v="11"/>
    <s v="6100"/>
    <n v="30594.15"/>
    <n v="148.15"/>
    <s v="CREDITOR"/>
    <n v="0"/>
    <n v="0"/>
    <n v="0"/>
    <n v="0"/>
    <n v="148.15"/>
  </r>
  <r>
    <n v="54813547"/>
    <s v="N"/>
    <n v="21338270"/>
    <s v="3000013038820008"/>
    <s v="CIVIL"/>
    <d v="2023-06-27T00:00:00"/>
    <d v="2023-07-06T19:21:01"/>
    <m/>
    <d v="2023-07-06T00:00:00"/>
    <n v="1205"/>
    <n v="18696"/>
    <s v="54813547"/>
    <s v="54813547"/>
    <m/>
    <m/>
    <n v="22769992"/>
    <m/>
    <m/>
    <m/>
    <s v="SOLFIN"/>
    <s v="SOLFIN"/>
    <s v="CCMS"/>
    <n v="21338270"/>
    <n v="24252.38"/>
    <m/>
    <s v="N"/>
    <n v="97"/>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54813547"/>
    <s v="N"/>
    <n v="21338270"/>
    <s v="3000013038820008"/>
    <s v="CIVIL"/>
    <d v="2023-06-27T00:00:00"/>
    <d v="2023-07-06T19:21:01"/>
    <m/>
    <d v="2023-07-06T00:00:00"/>
    <n v="1205"/>
    <n v="18696"/>
    <s v="54813547"/>
    <s v="54813547"/>
    <m/>
    <m/>
    <n v="22769992"/>
    <m/>
    <m/>
    <m/>
    <s v="SOLFIN"/>
    <s v="SOLFIN"/>
    <s v="CCMS"/>
    <n v="21338270"/>
    <n v="24252.38"/>
    <m/>
    <s v="N"/>
    <n v="41"/>
    <d v="2023-07-06T19:21:15"/>
    <s v="Y"/>
    <s v="Preparation - drafting application"/>
    <s v="Care Remuneration Hourly Rates"/>
    <s v="Profit Cost"/>
    <s v="Eliot Brookes"/>
    <s v="Y"/>
    <n v="177.78"/>
    <n v="35.56"/>
    <x v="4"/>
    <s v="VALIDATED"/>
    <n v="1"/>
    <s v="01.11.80.308.6100.0000"/>
    <n v="177.78"/>
    <s v="11"/>
    <s v="6100"/>
    <n v="30594.15"/>
    <n v="177.78"/>
    <s v="CREDITOR"/>
    <n v="0"/>
    <n v="0"/>
    <n v="0"/>
    <n v="0"/>
    <n v="177.78"/>
  </r>
  <r>
    <n v="60744883"/>
    <s v="N"/>
    <n v="21330927"/>
    <s v="3000014987240008"/>
    <s v="CIVIL"/>
    <d v="2023-06-22T00:00:00"/>
    <d v="2023-07-05T19:01:47"/>
    <m/>
    <d v="2023-07-05T00:00:00"/>
    <n v="1205"/>
    <n v="18696"/>
    <s v="60744883"/>
    <s v="60744883"/>
    <m/>
    <m/>
    <n v="22745992"/>
    <m/>
    <m/>
    <m/>
    <s v="SOLFIN"/>
    <s v="SOLFIN"/>
    <s v="CCMS"/>
    <n v="21330927"/>
    <n v="13790.5"/>
    <m/>
    <s v="N"/>
    <n v="3"/>
    <d v="2023-07-05T19:01:57"/>
    <s v="Y"/>
    <s v="Psychologist"/>
    <s v="Care Remuneration Hourly Rates"/>
    <s v="Expert Disbursement"/>
    <s v="Narinder Singh"/>
    <s v="Y"/>
    <n v="102"/>
    <n v="20.4"/>
    <x v="6"/>
    <s v="VALIDATED"/>
    <n v="1"/>
    <s v="01.11.80.308.6300.0000"/>
    <n v="102"/>
    <s v="11"/>
    <s v="6300"/>
    <n v="30594.15"/>
    <n v="102"/>
    <s v="CREDITOR"/>
    <n v="0"/>
    <n v="0"/>
    <n v="0"/>
    <n v="0"/>
    <n v="102"/>
  </r>
  <r>
    <n v="60744883"/>
    <s v="N"/>
    <n v="21330927"/>
    <s v="3000014987240008"/>
    <s v="CIVIL"/>
    <d v="2023-06-22T00:00:00"/>
    <d v="2023-07-05T19:01:47"/>
    <m/>
    <d v="2023-07-05T00:00:00"/>
    <n v="1205"/>
    <n v="18696"/>
    <s v="60744883"/>
    <s v="60744883"/>
    <m/>
    <m/>
    <n v="22745992"/>
    <m/>
    <m/>
    <m/>
    <s v="SOLFIN"/>
    <s v="SOLFIN"/>
    <s v="CCMS"/>
    <n v="21330927"/>
    <n v="13790.5"/>
    <m/>
    <s v="N"/>
    <n v="54"/>
    <d v="2023-07-05T19:01:57"/>
    <s v="Y"/>
    <s v="Routine Letter In"/>
    <s v="Care Remuneration Hourly Rates"/>
    <s v="Profit Cost"/>
    <s v="Alix Reynolds"/>
    <s v="Y"/>
    <n v="1254.3"/>
    <n v="250.86"/>
    <x v="6"/>
    <s v="VALIDATED"/>
    <n v="1"/>
    <s v="01.11.80.308.6100.0000"/>
    <n v="1254.3"/>
    <s v="11"/>
    <s v="6100"/>
    <n v="30594.15"/>
    <n v="1254.3"/>
    <s v="CREDITOR"/>
    <n v="0"/>
    <n v="0"/>
    <n v="0"/>
    <n v="0"/>
    <n v="1254.3"/>
  </r>
  <r>
    <n v="61817409"/>
    <s v="N"/>
    <n v="21331158"/>
    <s v="3000015888300002"/>
    <s v="CIVIL"/>
    <d v="2023-06-27T00:00:00"/>
    <d v="2023-07-05T19:01:47"/>
    <m/>
    <d v="2023-07-05T00:00:00"/>
    <n v="1205"/>
    <n v="18696"/>
    <s v="61817409"/>
    <s v="61817409"/>
    <m/>
    <m/>
    <n v="22771972"/>
    <m/>
    <m/>
    <m/>
    <s v="SOLFIN"/>
    <s v="SOLFIN"/>
    <s v="CCMS"/>
    <n v="21331158"/>
    <n v="5951.96"/>
    <m/>
    <s v="N"/>
    <n v="2"/>
    <d v="2023-07-05T19:02:08"/>
    <s v="Y"/>
    <s v="Interim Hearing Court Bundle/Advoca"/>
    <s v="Public Law Children"/>
    <s v="Advocacy"/>
    <s v="Narinder Singh"/>
    <s v="Y"/>
    <n v="59.4"/>
    <n v="11.88"/>
    <x v="6"/>
    <s v="VALIDATED"/>
    <n v="1"/>
    <s v="01.11.80.308.6100.0000"/>
    <n v="59.4"/>
    <s v="11"/>
    <s v="6100"/>
    <n v="30594.15"/>
    <n v="59.4"/>
    <s v="CREDITOR"/>
    <n v="0"/>
    <n v="0"/>
    <n v="0"/>
    <n v="0"/>
    <n v="59.4"/>
  </r>
  <r>
    <n v="60631907"/>
    <s v="N"/>
    <n v="21331360"/>
    <s v="3000014878960007"/>
    <s v="CIVIL"/>
    <d v="2023-06-28T00:00:00"/>
    <d v="2023-07-05T19:01:47"/>
    <m/>
    <d v="2023-07-05T00:00:00"/>
    <n v="1205"/>
    <n v="18696"/>
    <s v="60631907"/>
    <s v="60631907"/>
    <m/>
    <m/>
    <n v="22783676"/>
    <m/>
    <m/>
    <m/>
    <s v="SOLFIN"/>
    <s v="SOLFIN"/>
    <s v="CCMS"/>
    <n v="21331360"/>
    <n v="9637.15"/>
    <m/>
    <s v="N"/>
    <n v="79"/>
    <d v="2023-07-05T19:02:16"/>
    <s v="Y"/>
    <s v="Preparation - other"/>
    <s v="Prescribed Hourly Rates"/>
    <s v="Profit Cost"/>
    <s v="Andrew Crumpton"/>
    <s v="Y"/>
    <n v="41.18"/>
    <n v="8.24"/>
    <x v="6"/>
    <s v="VALIDATED"/>
    <n v="1"/>
    <s v="01.11.80.307.6100.0000"/>
    <n v="41.18"/>
    <s v="11"/>
    <s v="6100"/>
    <n v="30594.15"/>
    <n v="41.18"/>
    <s v="CREDITOR"/>
    <n v="0"/>
    <n v="0"/>
    <n v="0"/>
    <n v="0"/>
    <n v="41.18"/>
  </r>
  <r>
    <n v="60740536"/>
    <s v="N"/>
    <n v="21343872"/>
    <s v="3000014983190011"/>
    <s v="CIVIL"/>
    <d v="2023-06-27T00:00:00"/>
    <d v="2023-07-07T19:03:00"/>
    <m/>
    <d v="2023-07-07T00:00:00"/>
    <n v="1205"/>
    <n v="18696"/>
    <s v="60740536"/>
    <s v="60740536"/>
    <m/>
    <m/>
    <n v="22766106"/>
    <m/>
    <m/>
    <m/>
    <s v="SOLFIN"/>
    <s v="SOLFIN"/>
    <s v="CCMS"/>
    <n v="21343872"/>
    <n v="13395.68"/>
    <m/>
    <s v="N"/>
    <n v="31"/>
    <d v="2023-07-07T19:03:15"/>
    <s v="Y"/>
    <s v="Attendance upon client"/>
    <s v="Care Remuneration Hourly Rates"/>
    <s v="Profit Cost"/>
    <s v="Charlotte Raybould"/>
    <s v="Y"/>
    <n v="60.46"/>
    <n v="12.09"/>
    <x v="9"/>
    <s v="VALIDATED"/>
    <n v="1"/>
    <s v="01.11.80.308.6100.0000"/>
    <n v="60.46"/>
    <s v="11"/>
    <s v="6100"/>
    <n v="30594.15"/>
    <n v="60.46"/>
    <s v="CREDITOR"/>
    <n v="0"/>
    <n v="0"/>
    <n v="0"/>
    <n v="0"/>
    <n v="60.46"/>
  </r>
  <r>
    <n v="60773030"/>
    <s v="N"/>
    <n v="21344084"/>
    <s v="3000015011890006"/>
    <s v="CIVIL"/>
    <d v="2023-06-29T00:00:00"/>
    <d v="2023-07-07T19:03:00"/>
    <m/>
    <d v="2023-07-07T00:00:00"/>
    <n v="1205"/>
    <n v="18696"/>
    <s v="60773030"/>
    <s v="60773030"/>
    <m/>
    <m/>
    <n v="22785194"/>
    <m/>
    <m/>
    <m/>
    <s v="SOLFIN"/>
    <s v="SOLFIN"/>
    <s v="CCMS"/>
    <n v="21344084"/>
    <n v="3274.89"/>
    <m/>
    <s v="N"/>
    <n v="24"/>
    <d v="2023-07-07T19:03:23"/>
    <s v="Y"/>
    <s v="Routine Letter In"/>
    <s v="Prescribed Hourly Rates"/>
    <s v="Profit Cost"/>
    <s v="Narinder Singh"/>
    <s v="Y"/>
    <n v="142.83"/>
    <n v="28.57"/>
    <x v="9"/>
    <s v="VALIDATED"/>
    <n v="1"/>
    <s v="01.11.80.307.6100.0000"/>
    <n v="142.83"/>
    <s v="11"/>
    <s v="6100"/>
    <n v="30594.15"/>
    <n v="142.83"/>
    <s v="CREDITOR"/>
    <n v="0"/>
    <n v="0"/>
    <n v="0"/>
    <n v="0"/>
    <n v="142.83"/>
  </r>
  <r>
    <n v="60764755"/>
    <s v="N"/>
    <n v="21337748"/>
    <s v="3000015002070010"/>
    <s v="CIVIL"/>
    <d v="2023-06-22T00:00:00"/>
    <d v="2023-07-06T19:21:01"/>
    <m/>
    <d v="2023-07-06T00:00:00"/>
    <n v="1205"/>
    <n v="18696"/>
    <s v="60764755"/>
    <s v="60764755"/>
    <m/>
    <m/>
    <n v="22741190"/>
    <m/>
    <m/>
    <m/>
    <s v="SOLFIN"/>
    <s v="SOLFIN"/>
    <s v="CCMS"/>
    <n v="21337748"/>
    <n v="11125.15"/>
    <m/>
    <s v="N"/>
    <n v="21"/>
    <d v="2023-07-06T19:21:07"/>
    <s v="Y"/>
    <s v="Solicitors Fixed Fee"/>
    <s v="Public Law Children"/>
    <s v="Profit Cost"/>
    <s v="Charlotte Raybould"/>
    <s v="Y"/>
    <n v="2630"/>
    <n v="526.01"/>
    <x v="4"/>
    <s v="VALIDATED"/>
    <n v="1"/>
    <s v="01.11.80.308.6100.0000"/>
    <n v="2630"/>
    <s v="11"/>
    <s v="6100"/>
    <n v="30594.15"/>
    <n v="2630"/>
    <s v="CREDITOR"/>
    <n v="0"/>
    <n v="0"/>
    <n v="0"/>
    <n v="0"/>
    <n v="2630"/>
  </r>
  <r>
    <n v="60744883"/>
    <s v="N"/>
    <n v="21330927"/>
    <s v="3000014987240008"/>
    <s v="CIVIL"/>
    <d v="2023-06-22T00:00:00"/>
    <d v="2023-07-05T19:01:47"/>
    <m/>
    <d v="2023-07-05T00:00:00"/>
    <n v="1205"/>
    <n v="18696"/>
    <s v="60744883"/>
    <s v="60744883"/>
    <m/>
    <m/>
    <n v="22745992"/>
    <m/>
    <m/>
    <m/>
    <s v="SOLFIN"/>
    <s v="SOLFIN"/>
    <s v="CCMS"/>
    <n v="21330927"/>
    <n v="13790.5"/>
    <m/>
    <s v="N"/>
    <n v="78"/>
    <d v="2023-07-05T19:01:57"/>
    <s v="Y"/>
    <s v="Final Hearing - 3 Days"/>
    <s v="Public Law Children"/>
    <s v="Advocacy"/>
    <s v="Narinder Singh"/>
    <s v="Y"/>
    <n v="2088.3"/>
    <n v="417.66"/>
    <x v="6"/>
    <s v="VALIDATED"/>
    <n v="1"/>
    <s v="01.11.80.308.6100.0000"/>
    <n v="2088.3"/>
    <s v="11"/>
    <s v="6100"/>
    <n v="30594.15"/>
    <n v="2088.3"/>
    <s v="CREDITOR"/>
    <n v="0"/>
    <n v="0"/>
    <n v="0"/>
    <n v="0"/>
    <n v="2088.3"/>
  </r>
  <r>
    <n v="60631907"/>
    <s v="N"/>
    <n v="21331360"/>
    <s v="3000014878960007"/>
    <s v="CIVIL"/>
    <d v="2023-06-28T00:00:00"/>
    <d v="2023-07-05T19:01:47"/>
    <m/>
    <d v="2023-07-05T00:00:00"/>
    <n v="1205"/>
    <n v="18696"/>
    <s v="60631907"/>
    <s v="60631907"/>
    <m/>
    <m/>
    <n v="22783676"/>
    <m/>
    <m/>
    <m/>
    <s v="SOLFIN"/>
    <s v="SOLFIN"/>
    <s v="CCMS"/>
    <n v="21331360"/>
    <n v="9637.15"/>
    <m/>
    <s v="N"/>
    <n v="3"/>
    <d v="2023-07-05T19:02:16"/>
    <s v="Y"/>
    <s v="Preparation - drafting bill/claim f"/>
    <s v="Prescribed Hourly Rates"/>
    <s v="Profit Cost"/>
    <s v="Penny Dukes"/>
    <s v="Y"/>
    <n v="10.98"/>
    <n v="2.2"/>
    <x v="6"/>
    <s v="VALIDATED"/>
    <n v="1"/>
    <s v="01.11.80.307.6100.0000"/>
    <n v="10.98"/>
    <s v="11"/>
    <s v="6100"/>
    <n v="30594.15"/>
    <n v="10.98"/>
    <s v="CREDITOR"/>
    <n v="0"/>
    <n v="0"/>
    <n v="0"/>
    <n v="0"/>
    <n v="10.98"/>
  </r>
  <r>
    <n v="60867047"/>
    <s v="N"/>
    <n v="21349869"/>
    <s v="3000015089740008"/>
    <s v="CIVIL"/>
    <d v="2023-06-26T00:00:00"/>
    <d v="2023-07-10T19:01:40"/>
    <m/>
    <d v="2023-07-10T00:00:00"/>
    <n v="1205"/>
    <n v="18696"/>
    <s v="60867047"/>
    <s v="60867047"/>
    <m/>
    <m/>
    <n v="22762804"/>
    <m/>
    <m/>
    <m/>
    <s v="SOLFIN"/>
    <s v="SOLFIN"/>
    <s v="CCMS"/>
    <n v="21349869"/>
    <n v="11255.82"/>
    <m/>
    <s v="N"/>
    <n v="18"/>
    <d v="2023-07-10T19:02:01"/>
    <s v="Y"/>
    <s v="Advocates Meeting"/>
    <s v="Public Law Children"/>
    <s v="Advocacy"/>
    <s v="Charlotte Raybould"/>
    <s v="Y"/>
    <n v="140.99"/>
    <n v="28.2"/>
    <x v="2"/>
    <s v="VALIDATED"/>
    <n v="1"/>
    <s v="01.11.80.308.6100.0000"/>
    <n v="140.99"/>
    <s v="11"/>
    <s v="6100"/>
    <n v="30594.15"/>
    <n v="140.99"/>
    <s v="CREDITOR"/>
    <n v="0"/>
    <n v="0"/>
    <n v="0"/>
    <n v="0"/>
    <n v="140.99"/>
  </r>
  <r>
    <n v="48504544"/>
    <s v="N"/>
    <n v="21344092"/>
    <s v="3000012074710009"/>
    <s v="CIVIL"/>
    <d v="2023-06-29T00:00:00"/>
    <d v="2023-07-07T19:03:00"/>
    <m/>
    <d v="2023-07-07T00:00:00"/>
    <n v="1205"/>
    <n v="18696"/>
    <s v="48504544"/>
    <s v="48504544"/>
    <m/>
    <m/>
    <n v="22787308"/>
    <m/>
    <m/>
    <m/>
    <s v="SOLFIN"/>
    <s v="SOLFIN"/>
    <s v="CCMS"/>
    <n v="21344092"/>
    <n v="5824.29"/>
    <m/>
    <s v="N"/>
    <n v="32"/>
    <d v="2023-07-07T19:03:23"/>
    <s v="Y"/>
    <s v="Preparation - drafting bill/claim f"/>
    <s v="Prescribed Hourly Rates"/>
    <s v="Profit Cost"/>
    <s v="Darren Plant"/>
    <s v="Y"/>
    <n v="98.81999999999999"/>
    <n v="19.76"/>
    <x v="9"/>
    <s v="VALIDATED"/>
    <n v="1"/>
    <s v="01.11.80.307.6100.0000"/>
    <n v="98.81999999999999"/>
    <s v="11"/>
    <s v="6100"/>
    <n v="30594.15"/>
    <n v="98.81999999999999"/>
    <s v="CREDITOR"/>
    <n v="0"/>
    <n v="0"/>
    <n v="0"/>
    <n v="0"/>
    <n v="98.81999999999999"/>
  </r>
  <r>
    <n v="54813547"/>
    <s v="N"/>
    <n v="21338270"/>
    <s v="3000013038820008"/>
    <s v="CIVIL"/>
    <d v="2023-06-27T00:00:00"/>
    <d v="2023-07-06T19:21:01"/>
    <m/>
    <d v="2023-07-06T00:00:00"/>
    <n v="1205"/>
    <n v="18696"/>
    <s v="54813547"/>
    <s v="54813547"/>
    <m/>
    <m/>
    <n v="22769992"/>
    <m/>
    <m/>
    <m/>
    <s v="SOLFIN"/>
    <s v="SOLFIN"/>
    <s v="CCMS"/>
    <n v="21338270"/>
    <n v="24252.38"/>
    <m/>
    <s v="N"/>
    <n v="99"/>
    <d v="2023-07-06T19:21:15"/>
    <s v="Y"/>
    <s v="Advocates Meeting"/>
    <s v="Public Law Children"/>
    <s v="Advocacy"/>
    <s v="Charlotte Raybould"/>
    <s v="Y"/>
    <n v="169.2"/>
    <n v="33.84"/>
    <x v="4"/>
    <s v="VALIDATED"/>
    <n v="1"/>
    <s v="01.11.80.308.6100.0000"/>
    <n v="169.2"/>
    <s v="11"/>
    <s v="6100"/>
    <n v="30594.15"/>
    <n v="169.2"/>
    <s v="CREDITOR"/>
    <n v="0"/>
    <n v="0"/>
    <n v="0"/>
    <n v="0"/>
    <n v="169.2"/>
  </r>
  <r>
    <n v="54813547"/>
    <s v="N"/>
    <n v="21338270"/>
    <s v="3000013038820008"/>
    <s v="CIVIL"/>
    <d v="2023-06-27T00:00:00"/>
    <d v="2023-07-06T19:21:01"/>
    <m/>
    <d v="2023-07-06T00:00:00"/>
    <n v="1205"/>
    <n v="18696"/>
    <s v="54813547"/>
    <s v="54813547"/>
    <m/>
    <m/>
    <n v="22769992"/>
    <m/>
    <m/>
    <m/>
    <s v="SOLFIN"/>
    <s v="SOLFIN"/>
    <s v="CCMS"/>
    <n v="21338270"/>
    <n v="24252.38"/>
    <m/>
    <s v="N"/>
    <n v="30"/>
    <d v="2023-07-06T19:21:15"/>
    <s v="Y"/>
    <s v="Preparation - drafting consent orde"/>
    <s v="Care Remuneration Hourly Rates"/>
    <s v="Profit Cost"/>
    <s v="Eliot Brookes"/>
    <s v="Y"/>
    <n v="44.45"/>
    <n v="8.890000000000001"/>
    <x v="4"/>
    <s v="VALIDATED"/>
    <n v="1"/>
    <s v="01.11.80.308.6100.0000"/>
    <n v="44.45"/>
    <s v="11"/>
    <s v="6100"/>
    <n v="30594.15"/>
    <n v="44.45"/>
    <s v="CREDITOR"/>
    <n v="0"/>
    <n v="0"/>
    <n v="0"/>
    <n v="0"/>
    <n v="44.45"/>
  </r>
  <r>
    <n v="62064082"/>
    <s v="N"/>
    <n v="21338470"/>
    <s v="3000016093980002"/>
    <s v="CIVIL"/>
    <d v="2023-06-30T00:00:00"/>
    <d v="2023-07-06T19:21:01"/>
    <m/>
    <d v="2023-07-06T00:00:00"/>
    <n v="1205"/>
    <n v="18696"/>
    <s v="62064082"/>
    <s v="62064082"/>
    <m/>
    <m/>
    <n v="22795524"/>
    <m/>
    <m/>
    <m/>
    <s v="SOLFIN"/>
    <s v="SOLFIN"/>
    <s v="CCMS"/>
    <n v="21338470"/>
    <n v="4130.93"/>
    <m/>
    <s v="N"/>
    <n v="3"/>
    <d v="2023-07-06T19:21:26"/>
    <s v="Y"/>
    <s v="Advocates Meeting"/>
    <s v="Public Law Children"/>
    <s v="Advocacy"/>
    <s v="Madhur Sharma"/>
    <s v="Y"/>
    <n v="140.99"/>
    <n v="28.2"/>
    <x v="4"/>
    <s v="VALIDATED"/>
    <n v="1"/>
    <s v="01.11.80.308.6100.0000"/>
    <n v="140.99"/>
    <s v="11"/>
    <s v="6100"/>
    <n v="30594.15"/>
    <n v="140.99"/>
    <s v="CREDITOR"/>
    <n v="0"/>
    <n v="0"/>
    <n v="0"/>
    <n v="0"/>
    <n v="140.99"/>
  </r>
  <r>
    <n v="60744883"/>
    <s v="N"/>
    <n v="21330927"/>
    <s v="3000014987240008"/>
    <s v="CIVIL"/>
    <d v="2023-06-22T00:00:00"/>
    <d v="2023-07-05T19:01:47"/>
    <m/>
    <d v="2023-07-05T00:00:00"/>
    <n v="1205"/>
    <n v="18696"/>
    <s v="60744883"/>
    <s v="60744883"/>
    <m/>
    <m/>
    <n v="22745992"/>
    <m/>
    <m/>
    <m/>
    <s v="SOLFIN"/>
    <s v="SOLFIN"/>
    <s v="CCMS"/>
    <n v="21330927"/>
    <n v="13790.5"/>
    <m/>
    <s v="N"/>
    <n v="21"/>
    <d v="2023-07-05T19:01:57"/>
    <s v="Y"/>
    <s v="Preparation - drafting application"/>
    <s v="Care Remuneration Hourly Rates"/>
    <s v="Profit Cost"/>
    <s v="Alix Reynolds"/>
    <s v="Y"/>
    <n v="10.51"/>
    <n v="2.1"/>
    <x v="6"/>
    <s v="VALIDATED"/>
    <n v="1"/>
    <s v="01.11.80.308.6100.0000"/>
    <n v="10.51"/>
    <s v="11"/>
    <s v="6100"/>
    <n v="30594.15"/>
    <n v="10.51"/>
    <s v="CREDITOR"/>
    <n v="0"/>
    <n v="0"/>
    <n v="0"/>
    <n v="0"/>
    <n v="10.51"/>
  </r>
  <r>
    <n v="60631907"/>
    <s v="N"/>
    <n v="21331360"/>
    <s v="3000014878960007"/>
    <s v="CIVIL"/>
    <d v="2023-06-28T00:00:00"/>
    <d v="2023-07-05T19:01:47"/>
    <m/>
    <d v="2023-07-05T00:00:00"/>
    <n v="1205"/>
    <n v="18696"/>
    <s v="60631907"/>
    <s v="60631907"/>
    <m/>
    <m/>
    <n v="22783676"/>
    <m/>
    <m/>
    <m/>
    <s v="SOLFIN"/>
    <s v="SOLFIN"/>
    <s v="CCMS"/>
    <n v="21331360"/>
    <n v="9637.15"/>
    <m/>
    <s v="N"/>
    <n v="14"/>
    <d v="2023-07-05T19:02:16"/>
    <s v="Y"/>
    <s v="Preparation - other"/>
    <s v="Prescribed Hourly Rates"/>
    <s v="Profit Cost"/>
    <s v="Shrinder Chaggar"/>
    <s v="Y"/>
    <n v="27.45"/>
    <n v="5.49"/>
    <x v="6"/>
    <s v="VALIDATED"/>
    <n v="1"/>
    <s v="01.11.80.307.6100.0000"/>
    <n v="27.45"/>
    <s v="11"/>
    <s v="6100"/>
    <n v="30594.15"/>
    <n v="27.45"/>
    <s v="CREDITOR"/>
    <n v="0"/>
    <n v="0"/>
    <n v="0"/>
    <n v="0"/>
    <n v="27.45"/>
  </r>
  <r>
    <n v="60744883"/>
    <s v="N"/>
    <n v="21330927"/>
    <s v="3000014987240008"/>
    <s v="CIVIL"/>
    <d v="2023-06-22T00:00:00"/>
    <d v="2023-07-05T19:01:47"/>
    <m/>
    <d v="2023-07-05T00:00:00"/>
    <n v="1205"/>
    <n v="18696"/>
    <s v="60744883"/>
    <s v="60744883"/>
    <m/>
    <m/>
    <n v="22745992"/>
    <m/>
    <m/>
    <m/>
    <s v="SOLFIN"/>
    <s v="SOLFIN"/>
    <s v="CCMS"/>
    <n v="21330927"/>
    <n v="13790.5"/>
    <m/>
    <s v="N"/>
    <n v="32"/>
    <d v="2023-07-05T19:01:57"/>
    <s v="Y"/>
    <s v="Attendance upon client"/>
    <s v="Care Remuneration Hourly Rates"/>
    <s v="Profit Cost"/>
    <s v="Alix Reynolds"/>
    <s v="Y"/>
    <n v="13.14"/>
    <n v="2.63"/>
    <x v="6"/>
    <s v="VALIDATED"/>
    <n v="1"/>
    <s v="01.11.80.308.6100.0000"/>
    <n v="13.14"/>
    <s v="11"/>
    <s v="6100"/>
    <n v="30594.15"/>
    <n v="13.14"/>
    <s v="CREDITOR"/>
    <n v="0"/>
    <n v="0"/>
    <n v="0"/>
    <n v="0"/>
    <n v="13.14"/>
  </r>
  <r>
    <n v="60066609"/>
    <s v="N"/>
    <n v="21350136"/>
    <s v="3000014401840008"/>
    <s v="CIVIL"/>
    <d v="2023-06-29T00:00:00"/>
    <d v="2023-07-10T19:01:40"/>
    <m/>
    <d v="2023-07-10T00:00:00"/>
    <n v="1205"/>
    <n v="18696"/>
    <s v="60066609"/>
    <s v="60066609"/>
    <m/>
    <m/>
    <n v="22788730"/>
    <m/>
    <m/>
    <m/>
    <s v="SOLFIN"/>
    <s v="SOLFIN"/>
    <s v="CCMS"/>
    <n v="21350136"/>
    <n v="7952.47"/>
    <m/>
    <s v="N"/>
    <n v="10"/>
    <d v="2023-07-10T19:02:15"/>
    <s v="Y"/>
    <s v="Advocates Meeting"/>
    <s v="Public Law Children"/>
    <s v="Advocacy"/>
    <s v="Andrew Crumpton"/>
    <s v="Y"/>
    <n v="140.99"/>
    <n v="28.2"/>
    <x v="2"/>
    <s v="VALIDATED"/>
    <n v="1"/>
    <s v="01.11.80.308.6100.0000"/>
    <n v="140.99"/>
    <s v="11"/>
    <s v="6100"/>
    <n v="30594.15"/>
    <n v="140.99"/>
    <s v="CREDITOR"/>
    <n v="0"/>
    <n v="0"/>
    <n v="0"/>
    <n v="0"/>
    <n v="140.99"/>
  </r>
  <r>
    <n v="60867047"/>
    <s v="N"/>
    <n v="21349869"/>
    <s v="3000015089740008"/>
    <s v="CIVIL"/>
    <d v="2023-06-26T00:00:00"/>
    <d v="2023-07-10T19:01:40"/>
    <m/>
    <d v="2023-07-10T00:00:00"/>
    <n v="1205"/>
    <n v="18696"/>
    <s v="60867047"/>
    <s v="60867047"/>
    <m/>
    <m/>
    <n v="22762804"/>
    <m/>
    <m/>
    <m/>
    <s v="SOLFIN"/>
    <s v="SOLFIN"/>
    <s v="CCMS"/>
    <n v="21349869"/>
    <n v="11255.82"/>
    <m/>
    <s v="N"/>
    <n v="17"/>
    <d v="2023-07-10T19:02:01"/>
    <s v="Y"/>
    <s v="Advocates Meeting"/>
    <s v="Public Law Children"/>
    <s v="Advocacy"/>
    <s v="Charlotte Raybould"/>
    <s v="Y"/>
    <n v="140.99"/>
    <n v="28.2"/>
    <x v="2"/>
    <s v="VALIDATED"/>
    <n v="1"/>
    <s v="01.11.80.308.6100.0000"/>
    <n v="140.99"/>
    <s v="11"/>
    <s v="6100"/>
    <n v="30594.15"/>
    <n v="140.99"/>
    <s v="CREDITOR"/>
    <n v="0"/>
    <n v="0"/>
    <n v="0"/>
    <n v="0"/>
    <n v="140.99"/>
  </r>
  <r>
    <n v="60740536"/>
    <s v="N"/>
    <n v="21343872"/>
    <s v="3000014983190011"/>
    <s v="CIVIL"/>
    <d v="2023-06-27T00:00:00"/>
    <d v="2023-07-07T19:03:00"/>
    <m/>
    <d v="2023-07-07T00:00:00"/>
    <n v="1205"/>
    <n v="18696"/>
    <s v="60740536"/>
    <s v="60740536"/>
    <m/>
    <m/>
    <n v="22766106"/>
    <m/>
    <m/>
    <m/>
    <s v="SOLFIN"/>
    <s v="SOLFIN"/>
    <s v="CCMS"/>
    <n v="21343872"/>
    <n v="13395.68"/>
    <m/>
    <s v="N"/>
    <n v="69"/>
    <d v="2023-07-07T19:03:15"/>
    <s v="Y"/>
    <s v="Travel to court"/>
    <s v="Care Remuneration Hourly Rates"/>
    <s v="Profit Cost"/>
    <s v="Anna Cooper"/>
    <s v="Y"/>
    <n v="26.29"/>
    <n v="5.26"/>
    <x v="9"/>
    <s v="VALIDATED"/>
    <n v="1"/>
    <s v="01.11.80.308.6100.0000"/>
    <n v="26.29"/>
    <s v="11"/>
    <s v="6100"/>
    <n v="30594.15"/>
    <n v="26.29"/>
    <s v="CREDITOR"/>
    <n v="0"/>
    <n v="0"/>
    <n v="0"/>
    <n v="0"/>
    <n v="26.29"/>
  </r>
  <r>
    <n v="60773030"/>
    <s v="N"/>
    <n v="21344084"/>
    <s v="3000015011890006"/>
    <s v="CIVIL"/>
    <d v="2023-06-29T00:00:00"/>
    <d v="2023-07-07T19:03:00"/>
    <m/>
    <d v="2023-07-07T00:00:00"/>
    <n v="1205"/>
    <n v="18696"/>
    <s v="60773030"/>
    <s v="60773030"/>
    <m/>
    <m/>
    <n v="22785194"/>
    <m/>
    <m/>
    <m/>
    <s v="SOLFIN"/>
    <s v="SOLFIN"/>
    <s v="CCMS"/>
    <n v="21344084"/>
    <n v="3274.89"/>
    <m/>
    <s v="N"/>
    <n v="43"/>
    <d v="2023-07-07T19:03:23"/>
    <s v="Y"/>
    <s v="Attendance upon client"/>
    <s v="Prescribed Hourly Rates"/>
    <s v="Profit Cost"/>
    <s v="Narinder Singh"/>
    <s v="Y"/>
    <n v="18.94"/>
    <n v="3.79"/>
    <x v="9"/>
    <s v="VALIDATED"/>
    <n v="1"/>
    <s v="01.11.80.307.6100.0000"/>
    <n v="18.94"/>
    <s v="11"/>
    <s v="6100"/>
    <n v="30594.15"/>
    <n v="18.94"/>
    <s v="CREDITOR"/>
    <n v="0"/>
    <n v="0"/>
    <n v="0"/>
    <n v="0"/>
    <n v="18.94"/>
  </r>
  <r>
    <n v="48504544"/>
    <s v="N"/>
    <n v="21344092"/>
    <s v="3000012074710009"/>
    <s v="CIVIL"/>
    <d v="2023-06-29T00:00:00"/>
    <d v="2023-07-07T19:03:00"/>
    <m/>
    <d v="2023-07-07T00:00:00"/>
    <n v="1205"/>
    <n v="18696"/>
    <s v="48504544"/>
    <s v="48504544"/>
    <m/>
    <m/>
    <n v="22787308"/>
    <m/>
    <m/>
    <m/>
    <s v="SOLFIN"/>
    <s v="SOLFIN"/>
    <s v="CCMS"/>
    <n v="21344092"/>
    <n v="5824.29"/>
    <m/>
    <s v="N"/>
    <n v="14"/>
    <d v="2023-07-07T19:03:23"/>
    <s v="Y"/>
    <s v="Preparation - drafting notice(s)"/>
    <s v="Prescribed Hourly Rates"/>
    <s v="Profit Cost"/>
    <s v="Shelley Abbey"/>
    <s v="Y"/>
    <n v="10.98"/>
    <n v="2.2"/>
    <x v="9"/>
    <s v="VALIDATED"/>
    <n v="1"/>
    <s v="01.11.80.307.6100.0000"/>
    <n v="10.98"/>
    <s v="11"/>
    <s v="6100"/>
    <n v="30594.15"/>
    <n v="10.98"/>
    <s v="CREDITOR"/>
    <n v="0"/>
    <n v="0"/>
    <n v="0"/>
    <n v="0"/>
    <n v="10.98"/>
  </r>
  <r>
    <n v="48504544"/>
    <s v="N"/>
    <n v="21344092"/>
    <s v="3000012074710009"/>
    <s v="CIVIL"/>
    <d v="2023-06-29T00:00:00"/>
    <d v="2023-07-07T19:03:00"/>
    <m/>
    <d v="2023-07-07T00:00:00"/>
    <n v="1205"/>
    <n v="18696"/>
    <s v="48504544"/>
    <s v="48504544"/>
    <m/>
    <m/>
    <n v="22787308"/>
    <m/>
    <m/>
    <m/>
    <s v="SOLFIN"/>
    <s v="SOLFIN"/>
    <s v="CCMS"/>
    <n v="21344092"/>
    <n v="5824.29"/>
    <m/>
    <s v="N"/>
    <n v="18"/>
    <d v="2023-07-07T19:03:23"/>
    <s v="Y"/>
    <s v="Attendance upon/with Counsel at Con"/>
    <s v="Prescribed Hourly Rates"/>
    <s v="Profit Cost"/>
    <s v="Charlotte Raybould"/>
    <s v="Y"/>
    <n v="7.45"/>
    <n v="1.49"/>
    <x v="9"/>
    <s v="VALIDATED"/>
    <n v="1"/>
    <s v="01.11.80.307.6100.0000"/>
    <n v="7.45"/>
    <s v="11"/>
    <s v="6100"/>
    <n v="30594.15"/>
    <n v="7.45"/>
    <s v="CREDITOR"/>
    <n v="0"/>
    <n v="0"/>
    <n v="0"/>
    <n v="0"/>
    <n v="7.45"/>
  </r>
  <r>
    <n v="54813547"/>
    <s v="N"/>
    <n v="21338270"/>
    <s v="3000013038820008"/>
    <s v="CIVIL"/>
    <d v="2023-06-27T00:00:00"/>
    <d v="2023-07-06T19:21:01"/>
    <m/>
    <d v="2023-07-06T00:00:00"/>
    <n v="1205"/>
    <n v="18696"/>
    <s v="54813547"/>
    <s v="54813547"/>
    <m/>
    <m/>
    <n v="22769992"/>
    <m/>
    <m/>
    <m/>
    <s v="SOLFIN"/>
    <s v="SOLFIN"/>
    <s v="CCMS"/>
    <n v="21338270"/>
    <n v="24252.38"/>
    <m/>
    <s v="N"/>
    <n v="73"/>
    <d v="2023-07-06T19:21:15"/>
    <s v="Y"/>
    <s v="Preparation - drafting statement"/>
    <s v="Care Remuneration Hourly Rates"/>
    <s v="Profit Cost"/>
    <s v="Charlotte Raybould"/>
    <s v="Y"/>
    <n v="59.26"/>
    <n v="11.85"/>
    <x v="4"/>
    <s v="VALIDATED"/>
    <n v="1"/>
    <s v="01.11.80.308.6100.0000"/>
    <n v="59.26"/>
    <s v="11"/>
    <s v="6100"/>
    <n v="30594.15"/>
    <n v="59.26"/>
    <s v="CREDITOR"/>
    <n v="0"/>
    <n v="0"/>
    <n v="0"/>
    <n v="0"/>
    <n v="59.26"/>
  </r>
  <r>
    <n v="60741246"/>
    <s v="N"/>
    <n v="21338366"/>
    <s v="3000014984020001"/>
    <s v="CIVIL"/>
    <d v="2023-06-26T00:00:00"/>
    <d v="2023-07-06T19:21:01"/>
    <m/>
    <d v="2023-07-06T00:00:00"/>
    <n v="1205"/>
    <n v="18696"/>
    <s v="60741246"/>
    <s v="60741246"/>
    <m/>
    <m/>
    <n v="22764596"/>
    <m/>
    <m/>
    <m/>
    <s v="SOLFIN"/>
    <s v="SOLFIN"/>
    <s v="CCMS"/>
    <n v="21338366"/>
    <n v="0"/>
    <m/>
    <s v="N"/>
    <n v="1"/>
    <d v="2023-07-06T19:21:22"/>
    <s v="N"/>
    <s v="NIL BILL"/>
    <s v="Public Law Children"/>
    <s v="Profit Cost"/>
    <s v="Samantha Woolley"/>
    <s v="N"/>
    <n v="0"/>
    <n v="0"/>
    <x v="4"/>
    <s v="VALIDATED"/>
    <n v="1"/>
    <s v="01.11.80.308.6100.0000"/>
    <n v="0"/>
    <s v="11"/>
    <s v="6100"/>
    <n v="30594.15"/>
    <n v="0"/>
    <s v="CREDITOR"/>
    <n v="0"/>
    <n v="0"/>
    <n v="0"/>
    <n v="0"/>
    <n v="0"/>
  </r>
  <r>
    <n v="60764755"/>
    <s v="N"/>
    <n v="21337748"/>
    <s v="3000015002070010"/>
    <s v="CIVIL"/>
    <d v="2023-06-22T00:00:00"/>
    <d v="2023-07-06T19:21:01"/>
    <m/>
    <d v="2023-07-06T00:00:00"/>
    <n v="1205"/>
    <n v="18696"/>
    <s v="60764755"/>
    <s v="60764755"/>
    <m/>
    <m/>
    <n v="22741190"/>
    <m/>
    <m/>
    <m/>
    <s v="SOLFIN"/>
    <s v="SOLFIN"/>
    <s v="CCMS"/>
    <n v="21337748"/>
    <n v="11125.15"/>
    <m/>
    <s v="N"/>
    <n v="3"/>
    <d v="2023-07-06T19:21:07"/>
    <s v="Y"/>
    <s v="Final Hearing Court Bundle/Advocate"/>
    <s v="Public Law Children"/>
    <s v="Advocacy"/>
    <s v="Charlotte Raybould"/>
    <s v="Y"/>
    <n v="159.3"/>
    <n v="31.86"/>
    <x v="4"/>
    <s v="VALIDATED"/>
    <n v="1"/>
    <s v="01.11.80.308.6100.0000"/>
    <n v="159.3"/>
    <s v="11"/>
    <s v="6100"/>
    <n v="30594.15"/>
    <n v="159.3"/>
    <s v="CREDITOR"/>
    <n v="0"/>
    <n v="0"/>
    <n v="0"/>
    <n v="0"/>
    <n v="159.3"/>
  </r>
  <r>
    <n v="60744883"/>
    <s v="N"/>
    <n v="21330927"/>
    <s v="3000014987240008"/>
    <s v="CIVIL"/>
    <d v="2023-06-22T00:00:00"/>
    <d v="2023-07-05T19:01:47"/>
    <m/>
    <d v="2023-07-05T00:00:00"/>
    <n v="1205"/>
    <n v="18696"/>
    <s v="60744883"/>
    <s v="60744883"/>
    <m/>
    <m/>
    <n v="22745992"/>
    <m/>
    <m/>
    <m/>
    <s v="SOLFIN"/>
    <s v="SOLFIN"/>
    <s v="CCMS"/>
    <n v="21330927"/>
    <n v="13790.5"/>
    <m/>
    <s v="N"/>
    <n v="14"/>
    <d v="2023-07-05T19:01:57"/>
    <s v="Y"/>
    <s v="Preparation - drafting bill/claim f"/>
    <s v="Care Remuneration Hourly Rates"/>
    <s v="Profit Cost"/>
    <s v="Amanda Leonard"/>
    <s v="Y"/>
    <n v="10.51"/>
    <n v="2.1"/>
    <x v="6"/>
    <s v="VALIDATED"/>
    <n v="1"/>
    <s v="01.11.80.308.6100.0000"/>
    <n v="10.51"/>
    <s v="11"/>
    <s v="6100"/>
    <n v="30594.15"/>
    <n v="10.51"/>
    <s v="CREDITOR"/>
    <n v="0"/>
    <n v="0"/>
    <n v="0"/>
    <n v="0"/>
    <n v="10.51"/>
  </r>
  <r>
    <n v="60744883"/>
    <s v="N"/>
    <n v="21330927"/>
    <s v="3000014987240008"/>
    <s v="CIVIL"/>
    <d v="2023-06-22T00:00:00"/>
    <d v="2023-07-05T19:01:47"/>
    <m/>
    <d v="2023-07-05T00:00:00"/>
    <n v="1205"/>
    <n v="18696"/>
    <s v="60744883"/>
    <s v="60744883"/>
    <m/>
    <m/>
    <n v="22745992"/>
    <m/>
    <m/>
    <m/>
    <s v="SOLFIN"/>
    <s v="SOLFIN"/>
    <s v="CCMS"/>
    <n v="21330927"/>
    <n v="13790.5"/>
    <m/>
    <s v="N"/>
    <n v="16"/>
    <d v="2023-07-05T19:01:57"/>
    <s v="Y"/>
    <s v="Preparation - other"/>
    <s v="Care Remuneration Hourly Rates"/>
    <s v="Profit Cost"/>
    <s v="Alix Reynolds"/>
    <s v="Y"/>
    <n v="98.58"/>
    <n v="19.72"/>
    <x v="6"/>
    <s v="VALIDATED"/>
    <n v="1"/>
    <s v="01.11.80.308.6100.0000"/>
    <n v="98.58"/>
    <s v="11"/>
    <s v="6100"/>
    <n v="30594.15"/>
    <n v="98.58"/>
    <s v="CREDITOR"/>
    <n v="0"/>
    <n v="0"/>
    <n v="0"/>
    <n v="0"/>
    <n v="98.58"/>
  </r>
  <r>
    <n v="60744883"/>
    <s v="N"/>
    <n v="21330927"/>
    <s v="3000014987240008"/>
    <s v="CIVIL"/>
    <d v="2023-06-22T00:00:00"/>
    <d v="2023-07-05T19:01:47"/>
    <m/>
    <d v="2023-07-05T00:00:00"/>
    <n v="1205"/>
    <n v="18696"/>
    <s v="60744883"/>
    <s v="60744883"/>
    <m/>
    <m/>
    <n v="22745992"/>
    <m/>
    <m/>
    <m/>
    <s v="SOLFIN"/>
    <s v="SOLFIN"/>
    <s v="CCMS"/>
    <n v="21330927"/>
    <n v="13790.5"/>
    <m/>
    <s v="N"/>
    <n v="55"/>
    <d v="2023-07-05T19:01:57"/>
    <s v="Y"/>
    <s v="Preparation - drafting bill/claim f"/>
    <s v="Care Remuneration Hourly Rates"/>
    <s v="Profit Cost"/>
    <s v="Amanda Leonard"/>
    <s v="Y"/>
    <n v="147.2"/>
    <n v="29.44"/>
    <x v="6"/>
    <s v="VALIDATED"/>
    <n v="1"/>
    <s v="01.11.80.308.6100.0000"/>
    <n v="147.2"/>
    <s v="11"/>
    <s v="6100"/>
    <n v="30594.15"/>
    <n v="147.2"/>
    <s v="CREDITOR"/>
    <n v="0"/>
    <n v="0"/>
    <n v="0"/>
    <n v="0"/>
    <n v="147.2"/>
  </r>
  <r>
    <n v="60631907"/>
    <s v="N"/>
    <n v="21331360"/>
    <s v="3000014878960007"/>
    <s v="CIVIL"/>
    <d v="2023-06-28T00:00:00"/>
    <d v="2023-07-05T19:01:47"/>
    <m/>
    <d v="2023-07-05T00:00:00"/>
    <n v="1205"/>
    <n v="18696"/>
    <s v="60631907"/>
    <s v="60631907"/>
    <m/>
    <m/>
    <n v="22783676"/>
    <m/>
    <m/>
    <m/>
    <s v="SOLFIN"/>
    <s v="SOLFIN"/>
    <s v="CCMS"/>
    <n v="21331360"/>
    <n v="9637.15"/>
    <m/>
    <s v="N"/>
    <n v="46"/>
    <d v="2023-07-05T19:02:16"/>
    <s v="Y"/>
    <s v="Advocacy - Directions Hearing"/>
    <s v="Prescribed Hourly Rates"/>
    <s v="Advocacy"/>
    <s v="Andrew Crumpton"/>
    <s v="Y"/>
    <n v="177.19"/>
    <n v="35.44"/>
    <x v="6"/>
    <s v="VALIDATED"/>
    <n v="1"/>
    <s v="01.11.80.307.6100.0000"/>
    <n v="177.19"/>
    <s v="11"/>
    <s v="6100"/>
    <n v="30594.15"/>
    <n v="177.19"/>
    <s v="CREDITOR"/>
    <n v="0"/>
    <n v="0"/>
    <n v="0"/>
    <n v="0"/>
    <n v="177.19"/>
  </r>
  <r>
    <n v="60631907"/>
    <s v="N"/>
    <n v="21331360"/>
    <s v="3000014878960007"/>
    <s v="CIVIL"/>
    <d v="2023-06-28T00:00:00"/>
    <d v="2023-07-05T19:01:47"/>
    <m/>
    <d v="2023-07-05T00:00:00"/>
    <n v="1205"/>
    <n v="18696"/>
    <s v="60631907"/>
    <s v="60631907"/>
    <m/>
    <m/>
    <n v="22783676"/>
    <m/>
    <m/>
    <m/>
    <s v="SOLFIN"/>
    <s v="SOLFIN"/>
    <s v="CCMS"/>
    <n v="21331360"/>
    <n v="9637.15"/>
    <m/>
    <s v="N"/>
    <n v="65"/>
    <d v="2023-07-05T19:02:16"/>
    <s v="Y"/>
    <s v="Attendance upon other side"/>
    <s v="Prescribed Hourly Rates"/>
    <s v="Profit Cost"/>
    <s v="Andrew Crumpton"/>
    <s v="Y"/>
    <n v="137.25"/>
    <n v="27.45"/>
    <x v="6"/>
    <s v="VALIDATED"/>
    <n v="1"/>
    <s v="01.11.80.307.6100.0000"/>
    <n v="137.25"/>
    <s v="11"/>
    <s v="6100"/>
    <n v="30594.15"/>
    <n v="137.25"/>
    <s v="CREDITOR"/>
    <n v="0"/>
    <n v="0"/>
    <n v="0"/>
    <n v="0"/>
    <n v="137.25"/>
  </r>
  <r>
    <n v="60631907"/>
    <s v="N"/>
    <n v="21331360"/>
    <s v="3000014878960007"/>
    <s v="CIVIL"/>
    <d v="2023-06-28T00:00:00"/>
    <d v="2023-07-05T19:01:47"/>
    <m/>
    <d v="2023-07-05T00:00:00"/>
    <n v="1205"/>
    <n v="18696"/>
    <s v="60631907"/>
    <s v="60631907"/>
    <m/>
    <m/>
    <n v="22783676"/>
    <m/>
    <m/>
    <m/>
    <s v="SOLFIN"/>
    <s v="SOLFIN"/>
    <s v="CCMS"/>
    <n v="21331360"/>
    <n v="9637.15"/>
    <m/>
    <s v="N"/>
    <n v="68"/>
    <d v="2023-07-05T19:02:16"/>
    <s v="Y"/>
    <s v="Attendance upon other"/>
    <s v="Prescribed Hourly Rates"/>
    <s v="Profit Cost"/>
    <s v="Andrew Crumpton"/>
    <s v="Y"/>
    <n v="34.31"/>
    <n v="6.86"/>
    <x v="6"/>
    <s v="VALIDATED"/>
    <n v="1"/>
    <s v="01.11.80.307.6100.0000"/>
    <n v="34.31"/>
    <s v="11"/>
    <s v="6100"/>
    <n v="30594.15"/>
    <n v="34.31"/>
    <s v="CREDITOR"/>
    <n v="0"/>
    <n v="0"/>
    <n v="0"/>
    <n v="0"/>
    <n v="34.31"/>
  </r>
  <r>
    <n v="54813547"/>
    <s v="N"/>
    <n v="21338270"/>
    <s v="3000013038820008"/>
    <s v="CIVIL"/>
    <d v="2023-06-27T00:00:00"/>
    <d v="2023-07-06T19:21:01"/>
    <m/>
    <d v="2023-07-06T00:00:00"/>
    <n v="1205"/>
    <n v="18696"/>
    <s v="54813547"/>
    <s v="54813547"/>
    <m/>
    <m/>
    <n v="22769992"/>
    <m/>
    <m/>
    <m/>
    <s v="SOLFIN"/>
    <s v="SOLFIN"/>
    <s v="CCMS"/>
    <n v="21338270"/>
    <n v="24252.38"/>
    <m/>
    <s v="N"/>
    <n v="83"/>
    <d v="2023-07-06T19:21:15"/>
    <s v="Y"/>
    <s v="Preparation - other"/>
    <s v="Care Remuneration Hourly Rates"/>
    <s v="Profit Cost"/>
    <s v="Eliot Brookes"/>
    <s v="Y"/>
    <n v="23.7"/>
    <n v="4.74"/>
    <x v="4"/>
    <s v="VALIDATED"/>
    <n v="1"/>
    <s v="01.11.80.308.6100.0000"/>
    <n v="23.7"/>
    <s v="11"/>
    <s v="6100"/>
    <n v="30594.15"/>
    <n v="23.7"/>
    <s v="CREDITOR"/>
    <n v="0"/>
    <n v="0"/>
    <n v="0"/>
    <n v="0"/>
    <n v="23.7"/>
  </r>
  <r>
    <n v="54813547"/>
    <s v="N"/>
    <n v="21338270"/>
    <s v="3000013038820008"/>
    <s v="CIVIL"/>
    <d v="2023-06-27T00:00:00"/>
    <d v="2023-07-06T19:21:01"/>
    <m/>
    <d v="2023-07-06T00:00:00"/>
    <n v="1205"/>
    <n v="18696"/>
    <s v="54813547"/>
    <s v="54813547"/>
    <m/>
    <m/>
    <n v="22769992"/>
    <m/>
    <m/>
    <m/>
    <s v="SOLFIN"/>
    <s v="SOLFIN"/>
    <s v="CCMS"/>
    <n v="21338270"/>
    <n v="24252.38"/>
    <m/>
    <s v="N"/>
    <n v="98"/>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54813547"/>
    <s v="N"/>
    <n v="21338270"/>
    <s v="3000013038820008"/>
    <s v="CIVIL"/>
    <d v="2023-06-27T00:00:00"/>
    <d v="2023-07-06T19:21:01"/>
    <m/>
    <d v="2023-07-06T00:00:00"/>
    <n v="1205"/>
    <n v="18696"/>
    <s v="54813547"/>
    <s v="54813547"/>
    <m/>
    <m/>
    <n v="22769992"/>
    <m/>
    <m/>
    <m/>
    <s v="SOLFIN"/>
    <s v="SOLFIN"/>
    <s v="CCMS"/>
    <n v="21338270"/>
    <n v="24252.38"/>
    <m/>
    <s v="N"/>
    <n v="35"/>
    <d v="2023-07-06T19:21:15"/>
    <s v="Y"/>
    <s v="Preparation - drafting statement"/>
    <s v="Care Remuneration Hourly Rates"/>
    <s v="Profit Cost"/>
    <s v="Charlotte Raybould"/>
    <s v="Y"/>
    <n v="111.11"/>
    <n v="22.22"/>
    <x v="4"/>
    <s v="VALIDATED"/>
    <n v="1"/>
    <s v="01.11.80.308.6100.0000"/>
    <n v="111.11"/>
    <s v="11"/>
    <s v="6100"/>
    <n v="30594.15"/>
    <n v="111.11"/>
    <s v="CREDITOR"/>
    <n v="0"/>
    <n v="0"/>
    <n v="0"/>
    <n v="0"/>
    <n v="111.11"/>
  </r>
  <r>
    <n v="60740536"/>
    <s v="N"/>
    <n v="21343872"/>
    <s v="3000014983190011"/>
    <s v="CIVIL"/>
    <d v="2023-06-27T00:00:00"/>
    <d v="2023-07-07T19:03:00"/>
    <m/>
    <d v="2023-07-07T00:00:00"/>
    <n v="1205"/>
    <n v="18696"/>
    <s v="60740536"/>
    <s v="60740536"/>
    <m/>
    <m/>
    <n v="22766106"/>
    <m/>
    <m/>
    <m/>
    <s v="SOLFIN"/>
    <s v="SOLFIN"/>
    <s v="CCMS"/>
    <n v="21343872"/>
    <n v="13395.68"/>
    <m/>
    <s v="N"/>
    <n v="17"/>
    <d v="2023-07-07T19:03:15"/>
    <s v="Y"/>
    <s v="Preparation - drafting statement"/>
    <s v="Care Remuneration Hourly Rates"/>
    <s v="Profit Cost"/>
    <s v="Charlotte Raybould"/>
    <s v="Y"/>
    <n v="84.64"/>
    <n v="16.93"/>
    <x v="9"/>
    <s v="VALIDATED"/>
    <n v="1"/>
    <s v="01.11.80.308.6100.0000"/>
    <n v="84.64"/>
    <s v="11"/>
    <s v="6100"/>
    <n v="30594.15"/>
    <n v="84.64"/>
    <s v="CREDITOR"/>
    <n v="0"/>
    <n v="0"/>
    <n v="0"/>
    <n v="0"/>
    <n v="84.64"/>
  </r>
  <r>
    <n v="54813547"/>
    <s v="N"/>
    <n v="21338270"/>
    <s v="3000013038820008"/>
    <s v="CIVIL"/>
    <d v="2023-06-27T00:00:00"/>
    <d v="2023-07-06T19:21:01"/>
    <m/>
    <d v="2023-07-06T00:00:00"/>
    <n v="1205"/>
    <n v="18696"/>
    <s v="54813547"/>
    <s v="54813547"/>
    <m/>
    <m/>
    <n v="22769992"/>
    <m/>
    <m/>
    <m/>
    <s v="SOLFIN"/>
    <s v="SOLFIN"/>
    <s v="CCMS"/>
    <n v="21338270"/>
    <n v="24252.38"/>
    <m/>
    <s v="N"/>
    <n v="5"/>
    <d v="2023-07-06T19:21:15"/>
    <s v="Y"/>
    <s v="Court Fee"/>
    <s v="Care Remuneration Hourly Rates"/>
    <s v="Non Expert Disbursement"/>
    <s v="Charlotte Raybould"/>
    <s v="Y"/>
    <n v="53"/>
    <n v="0"/>
    <x v="4"/>
    <s v="VALIDATED"/>
    <n v="1"/>
    <s v="01.11.80.308.6300.0000"/>
    <n v="53"/>
    <s v="11"/>
    <s v="6300"/>
    <n v="30594.15"/>
    <n v="53"/>
    <s v="CREDITOR"/>
    <n v="0"/>
    <n v="0"/>
    <n v="0"/>
    <n v="0"/>
    <n v="53"/>
  </r>
  <r>
    <n v="60744883"/>
    <s v="N"/>
    <n v="21330927"/>
    <s v="3000014987240008"/>
    <s v="CIVIL"/>
    <d v="2023-06-22T00:00:00"/>
    <d v="2023-07-05T19:01:47"/>
    <m/>
    <d v="2023-07-05T00:00:00"/>
    <n v="1205"/>
    <n v="18696"/>
    <s v="60744883"/>
    <s v="60744883"/>
    <m/>
    <m/>
    <n v="22745992"/>
    <m/>
    <m/>
    <m/>
    <s v="SOLFIN"/>
    <s v="SOLFIN"/>
    <s v="CCMS"/>
    <n v="21330927"/>
    <n v="13790.5"/>
    <m/>
    <s v="N"/>
    <n v="18"/>
    <d v="2023-07-05T19:01:57"/>
    <s v="Y"/>
    <s v="Preparation - other"/>
    <s v="Care Remuneration Hourly Rates"/>
    <s v="Profit Cost"/>
    <s v="Alix Reynolds"/>
    <s v="Y"/>
    <n v="39.43"/>
    <n v="7.89"/>
    <x v="6"/>
    <s v="VALIDATED"/>
    <n v="1"/>
    <s v="01.11.80.308.6100.0000"/>
    <n v="39.43"/>
    <s v="11"/>
    <s v="6100"/>
    <n v="30594.15"/>
    <n v="39.43"/>
    <s v="CREDITOR"/>
    <n v="0"/>
    <n v="0"/>
    <n v="0"/>
    <n v="0"/>
    <n v="39.43"/>
  </r>
  <r>
    <n v="62052812"/>
    <s v="N"/>
    <n v="21381937"/>
    <s v="3000016085380002"/>
    <s v="CIVIL"/>
    <d v="2023-06-26T00:00:00"/>
    <d v="2023-07-17T19:01:46"/>
    <m/>
    <d v="2023-07-17T00:00:00"/>
    <n v="1205"/>
    <n v="18696"/>
    <s v="62052812"/>
    <s v="62052812"/>
    <m/>
    <m/>
    <n v="22763008"/>
    <m/>
    <m/>
    <m/>
    <s v="SOLPOA"/>
    <s v="SOLPOA"/>
    <s v="CCMS"/>
    <n v="21381937"/>
    <n v="417.3"/>
    <m/>
    <s v="N"/>
    <n v="1"/>
    <d v="2023-07-17T19:01:57"/>
    <s v="N"/>
    <s v="Expert Cost"/>
    <s v="Expert Cost"/>
    <s v="Expert Disbursement"/>
    <s v="C Raybould"/>
    <s v="N"/>
    <n v="347.75"/>
    <n v="69.55"/>
    <x v="8"/>
    <s v="VALIDATED"/>
    <n v="1"/>
    <s v="01.11.80.308.2012.0000"/>
    <n v="347.75"/>
    <s v="11"/>
    <s v="2012"/>
    <n v="30594.15"/>
    <n v="347.75"/>
    <s v="CREDITOR"/>
    <n v="347.75"/>
    <n v="0"/>
    <n v="0"/>
    <n v="0"/>
    <n v="0"/>
  </r>
  <r>
    <n v="60867047"/>
    <s v="N"/>
    <n v="21349869"/>
    <s v="3000015089740008"/>
    <s v="CIVIL"/>
    <d v="2023-06-26T00:00:00"/>
    <d v="2023-07-10T19:01:40"/>
    <m/>
    <d v="2023-07-10T00:00:00"/>
    <n v="1205"/>
    <n v="18696"/>
    <s v="60867047"/>
    <s v="60867047"/>
    <m/>
    <m/>
    <n v="22762804"/>
    <m/>
    <m/>
    <m/>
    <s v="SOLFIN"/>
    <s v="SOLFIN"/>
    <s v="CCMS"/>
    <n v="21349869"/>
    <n v="11255.82"/>
    <m/>
    <s v="N"/>
    <n v="7"/>
    <d v="2023-07-10T19:02:01"/>
    <s v="Y"/>
    <s v="Paediatrician"/>
    <s v="Public Law Children"/>
    <s v="Expert Disbursement"/>
    <s v="Charlotte Raybould"/>
    <s v="Y"/>
    <n v="405"/>
    <n v="81"/>
    <x v="2"/>
    <s v="VALIDATED"/>
    <n v="1"/>
    <s v="01.11.80.308.6300.0000"/>
    <n v="405"/>
    <s v="11"/>
    <s v="6300"/>
    <n v="30594.15"/>
    <n v="405"/>
    <s v="CREDITOR"/>
    <n v="0"/>
    <n v="0"/>
    <n v="0"/>
    <n v="0"/>
    <n v="405"/>
  </r>
  <r>
    <n v="60740536"/>
    <s v="N"/>
    <n v="21343872"/>
    <s v="3000014983190011"/>
    <s v="CIVIL"/>
    <d v="2023-06-27T00:00:00"/>
    <d v="2023-07-07T19:03:00"/>
    <m/>
    <d v="2023-07-07T00:00:00"/>
    <n v="1205"/>
    <n v="18696"/>
    <s v="60740536"/>
    <s v="60740536"/>
    <m/>
    <m/>
    <n v="22766106"/>
    <m/>
    <m/>
    <m/>
    <s v="SOLFIN"/>
    <s v="SOLFIN"/>
    <s v="CCMS"/>
    <n v="21343872"/>
    <n v="13395.68"/>
    <m/>
    <s v="N"/>
    <n v="30"/>
    <d v="2023-07-07T19:03:15"/>
    <s v="Y"/>
    <s v="Preparation - drafting pleadings"/>
    <s v="Care Remuneration Hourly Rates"/>
    <s v="Profit Cost"/>
    <s v="Eliot Brookes"/>
    <s v="Y"/>
    <n v="31.54"/>
    <n v="6.31"/>
    <x v="9"/>
    <s v="VALIDATED"/>
    <n v="1"/>
    <s v="01.11.80.308.6100.0000"/>
    <n v="31.54"/>
    <s v="11"/>
    <s v="6100"/>
    <n v="30594.15"/>
    <n v="31.54"/>
    <s v="CREDITOR"/>
    <n v="0"/>
    <n v="0"/>
    <n v="0"/>
    <n v="0"/>
    <n v="31.54"/>
  </r>
  <r>
    <n v="60773030"/>
    <s v="N"/>
    <n v="21344084"/>
    <s v="3000015011890006"/>
    <s v="CIVIL"/>
    <d v="2023-06-29T00:00:00"/>
    <d v="2023-07-07T19:03:00"/>
    <m/>
    <d v="2023-07-07T00:00:00"/>
    <n v="1205"/>
    <n v="18696"/>
    <s v="60773030"/>
    <s v="60773030"/>
    <m/>
    <m/>
    <n v="22785194"/>
    <m/>
    <m/>
    <m/>
    <s v="SOLFIN"/>
    <s v="SOLFIN"/>
    <s v="CCMS"/>
    <n v="21344084"/>
    <n v="3274.89"/>
    <m/>
    <s v="N"/>
    <n v="17"/>
    <d v="2023-07-07T19:03:23"/>
    <s v="Y"/>
    <s v="Preparation - drafting notice(s)"/>
    <s v="Prescribed Hourly Rates"/>
    <s v="Profit Cost"/>
    <s v="Alix Reynolds"/>
    <s v="Y"/>
    <n v="5.49"/>
    <n v="1.1"/>
    <x v="9"/>
    <s v="VALIDATED"/>
    <n v="1"/>
    <s v="01.11.80.307.6100.0000"/>
    <n v="5.49"/>
    <s v="11"/>
    <s v="6100"/>
    <n v="30594.15"/>
    <n v="5.49"/>
    <s v="CREDITOR"/>
    <n v="0"/>
    <n v="0"/>
    <n v="0"/>
    <n v="0"/>
    <n v="5.49"/>
  </r>
  <r>
    <n v="8096699"/>
    <s v="N"/>
    <n v="21344060"/>
    <s v="3000004211210009"/>
    <s v="CIVIL"/>
    <d v="2023-06-29T00:00:00"/>
    <d v="2023-07-07T19:03:00"/>
    <m/>
    <d v="2023-07-07T00:00:00"/>
    <n v="1205"/>
    <n v="18696"/>
    <s v="8096699"/>
    <s v="8096699"/>
    <m/>
    <m/>
    <n v="22791280"/>
    <m/>
    <m/>
    <m/>
    <s v="SOLFIN"/>
    <s v="SOLFIN"/>
    <s v="CCMS"/>
    <n v="21344060"/>
    <n v="1555.48"/>
    <m/>
    <s v="N"/>
    <n v="1"/>
    <d v="2023-07-07T19:03:22"/>
    <s v="N"/>
    <s v="Solicitor Travel Mileage"/>
    <s v="Non Family Hourly Rates"/>
    <s v="Non Expert Disbursement"/>
    <s v="Kirsty MacMillan"/>
    <s v="N"/>
    <n v="7.2"/>
    <n v="1.44"/>
    <x v="9"/>
    <s v="VALIDATED"/>
    <n v="1"/>
    <s v="01.11.80.209.6300.0000"/>
    <n v="7.2"/>
    <s v="11"/>
    <s v="6300"/>
    <n v="30594.15"/>
    <n v="7.2"/>
    <s v="CREDITOR"/>
    <n v="0"/>
    <n v="0"/>
    <n v="0"/>
    <n v="0"/>
    <n v="7.2"/>
  </r>
  <r>
    <n v="60773030"/>
    <s v="N"/>
    <n v="21344084"/>
    <s v="3000015011890006"/>
    <s v="CIVIL"/>
    <d v="2023-06-29T00:00:00"/>
    <d v="2023-07-07T19:03:00"/>
    <m/>
    <d v="2023-07-07T00:00:00"/>
    <n v="1205"/>
    <n v="18696"/>
    <s v="60773030"/>
    <s v="60773030"/>
    <m/>
    <m/>
    <n v="22785194"/>
    <m/>
    <m/>
    <m/>
    <s v="SOLFIN"/>
    <s v="SOLFIN"/>
    <s v="CCMS"/>
    <n v="21344084"/>
    <n v="3274.89"/>
    <m/>
    <s v="N"/>
    <n v="26"/>
    <d v="2023-07-07T19:03:23"/>
    <s v="Y"/>
    <s v="Report - Welfare report"/>
    <s v="Prescribed Hourly Rates"/>
    <s v="Profit Cost"/>
    <s v="Narinder Singh"/>
    <s v="Y"/>
    <n v="12.63"/>
    <n v="2.53"/>
    <x v="9"/>
    <s v="VALIDATED"/>
    <n v="1"/>
    <s v="01.11.80.307.6100.0000"/>
    <n v="12.63"/>
    <s v="11"/>
    <s v="6100"/>
    <n v="30594.15"/>
    <n v="12.63"/>
    <s v="CREDITOR"/>
    <n v="0"/>
    <n v="0"/>
    <n v="0"/>
    <n v="0"/>
    <n v="12.63"/>
  </r>
  <r>
    <n v="54813547"/>
    <s v="N"/>
    <n v="21338270"/>
    <s v="3000013038820008"/>
    <s v="CIVIL"/>
    <d v="2023-06-27T00:00:00"/>
    <d v="2023-07-06T19:21:01"/>
    <m/>
    <d v="2023-07-06T00:00:00"/>
    <n v="1205"/>
    <n v="18696"/>
    <s v="54813547"/>
    <s v="54813547"/>
    <m/>
    <m/>
    <n v="22769992"/>
    <m/>
    <m/>
    <m/>
    <s v="SOLFIN"/>
    <s v="SOLFIN"/>
    <s v="CCMS"/>
    <n v="21338270"/>
    <n v="24252.38"/>
    <m/>
    <s v="N"/>
    <n v="66"/>
    <d v="2023-07-06T19:21:15"/>
    <s v="Y"/>
    <s v="Preparation - drafting statement"/>
    <s v="Care Remuneration Hourly Rates"/>
    <s v="Profit Cost"/>
    <s v="Anna Cooper"/>
    <s v="Y"/>
    <n v="22.23"/>
    <n v="4.45"/>
    <x v="4"/>
    <s v="VALIDATED"/>
    <n v="1"/>
    <s v="01.11.80.308.6100.0000"/>
    <n v="22.23"/>
    <s v="11"/>
    <s v="6100"/>
    <n v="30594.15"/>
    <n v="22.23"/>
    <s v="CREDITOR"/>
    <n v="0"/>
    <n v="0"/>
    <n v="0"/>
    <n v="0"/>
    <n v="22.23"/>
  </r>
  <r>
    <n v="54813547"/>
    <s v="N"/>
    <n v="21338270"/>
    <s v="3000013038820008"/>
    <s v="CIVIL"/>
    <d v="2023-06-27T00:00:00"/>
    <d v="2023-07-06T19:21:01"/>
    <m/>
    <d v="2023-07-06T00:00:00"/>
    <n v="1205"/>
    <n v="18696"/>
    <s v="54813547"/>
    <s v="54813547"/>
    <m/>
    <m/>
    <n v="22769992"/>
    <m/>
    <m/>
    <m/>
    <s v="SOLFIN"/>
    <s v="SOLFIN"/>
    <s v="CCMS"/>
    <n v="21338270"/>
    <n v="24252.38"/>
    <m/>
    <s v="N"/>
    <n v="70"/>
    <d v="2023-07-06T19:21:15"/>
    <s v="Y"/>
    <s v="Preparation - drafting application"/>
    <s v="Care Remuneration Hourly Rates"/>
    <s v="Profit Cost"/>
    <s v="Anna Cooper"/>
    <s v="Y"/>
    <n v="118.53"/>
    <n v="23.71"/>
    <x v="4"/>
    <s v="VALIDATED"/>
    <n v="1"/>
    <s v="01.11.80.308.6100.0000"/>
    <n v="118.53"/>
    <s v="11"/>
    <s v="6100"/>
    <n v="30594.15"/>
    <n v="118.53"/>
    <s v="CREDITOR"/>
    <n v="0"/>
    <n v="0"/>
    <n v="0"/>
    <n v="0"/>
    <n v="118.53"/>
  </r>
  <r>
    <n v="60744883"/>
    <s v="N"/>
    <n v="21330927"/>
    <s v="3000014987240008"/>
    <s v="CIVIL"/>
    <d v="2023-06-22T00:00:00"/>
    <d v="2023-07-05T19:01:47"/>
    <m/>
    <d v="2023-07-05T00:00:00"/>
    <n v="1205"/>
    <n v="18696"/>
    <s v="60744883"/>
    <s v="60744883"/>
    <m/>
    <m/>
    <n v="22745992"/>
    <m/>
    <m/>
    <m/>
    <s v="SOLFIN"/>
    <s v="SOLFIN"/>
    <s v="CCMS"/>
    <n v="21330927"/>
    <n v="13790.5"/>
    <m/>
    <s v="N"/>
    <n v="7"/>
    <d v="2023-07-05T19:01:57"/>
    <s v="Y"/>
    <s v="Preparation - other"/>
    <s v="Care Remuneration Hourly Rates"/>
    <s v="Profit Cost"/>
    <s v="Penny Dukes"/>
    <s v="Y"/>
    <n v="5.26"/>
    <n v="1.05"/>
    <x v="6"/>
    <s v="VALIDATED"/>
    <n v="1"/>
    <s v="01.11.80.308.6100.0000"/>
    <n v="5.26"/>
    <s v="11"/>
    <s v="6100"/>
    <n v="30594.15"/>
    <n v="5.26"/>
    <s v="CREDITOR"/>
    <n v="0"/>
    <n v="0"/>
    <n v="0"/>
    <n v="0"/>
    <n v="5.26"/>
  </r>
  <r>
    <n v="61817409"/>
    <s v="N"/>
    <n v="21331158"/>
    <s v="3000015888300002"/>
    <s v="CIVIL"/>
    <d v="2023-06-27T00:00:00"/>
    <d v="2023-07-05T19:01:47"/>
    <m/>
    <d v="2023-07-05T00:00:00"/>
    <n v="1205"/>
    <n v="18696"/>
    <s v="61817409"/>
    <s v="61817409"/>
    <m/>
    <m/>
    <n v="22771972"/>
    <m/>
    <m/>
    <m/>
    <s v="SOLFIN"/>
    <s v="SOLFIN"/>
    <s v="CCMS"/>
    <n v="21331158"/>
    <n v="5951.96"/>
    <m/>
    <s v="N"/>
    <n v="6"/>
    <d v="2023-07-05T19:02:08"/>
    <s v="Y"/>
    <s v="Advocates Meeting"/>
    <s v="Public Law Children"/>
    <s v="Advocacy"/>
    <s v="Narinder Singh"/>
    <s v="Y"/>
    <n v="140.99"/>
    <n v="28.2"/>
    <x v="6"/>
    <s v="VALIDATED"/>
    <n v="1"/>
    <s v="01.11.80.308.6100.0000"/>
    <n v="140.99"/>
    <s v="11"/>
    <s v="6100"/>
    <n v="30594.15"/>
    <n v="140.99"/>
    <s v="CREDITOR"/>
    <n v="0"/>
    <n v="0"/>
    <n v="0"/>
    <n v="0"/>
    <n v="140.99"/>
  </r>
  <r>
    <n v="60066609"/>
    <s v="N"/>
    <n v="21350136"/>
    <s v="3000014401840008"/>
    <s v="CIVIL"/>
    <d v="2023-06-29T00:00:00"/>
    <d v="2023-07-10T19:01:40"/>
    <m/>
    <d v="2023-07-10T00:00:00"/>
    <n v="1205"/>
    <n v="18696"/>
    <s v="60066609"/>
    <s v="60066609"/>
    <m/>
    <m/>
    <n v="22788730"/>
    <m/>
    <m/>
    <m/>
    <s v="SOLFIN"/>
    <s v="SOLFIN"/>
    <s v="CCMS"/>
    <n v="21350136"/>
    <n v="7952.47"/>
    <m/>
    <s v="N"/>
    <n v="12"/>
    <d v="2023-07-10T19:02:15"/>
    <s v="Y"/>
    <s v="Hearing Unit 2.31 - 5.00 Hours"/>
    <s v="Public Law Children"/>
    <s v="Advocacy"/>
    <s v="Andrew Crumpton"/>
    <s v="Y"/>
    <n v="476.92"/>
    <n v="95.38"/>
    <x v="2"/>
    <s v="VALIDATED"/>
    <n v="1"/>
    <s v="01.11.80.308.6100.0000"/>
    <n v="476.92"/>
    <s v="11"/>
    <s v="6100"/>
    <n v="30594.15"/>
    <n v="476.92"/>
    <s v="CREDITOR"/>
    <n v="0"/>
    <n v="0"/>
    <n v="0"/>
    <n v="0"/>
    <n v="476.92"/>
  </r>
  <r>
    <n v="54813547"/>
    <s v="N"/>
    <n v="21338270"/>
    <s v="3000013038820008"/>
    <s v="CIVIL"/>
    <d v="2023-06-27T00:00:00"/>
    <d v="2023-07-06T19:21:01"/>
    <m/>
    <d v="2023-07-06T00:00:00"/>
    <n v="1205"/>
    <n v="18696"/>
    <s v="54813547"/>
    <s v="54813547"/>
    <m/>
    <m/>
    <n v="22769992"/>
    <m/>
    <m/>
    <m/>
    <s v="SOLFIN"/>
    <s v="SOLFIN"/>
    <s v="CCMS"/>
    <n v="21338270"/>
    <n v="24252.38"/>
    <m/>
    <s v="N"/>
    <n v="78"/>
    <d v="2023-07-06T19:21:15"/>
    <s v="Y"/>
    <s v="Preparation - drafting statement"/>
    <s v="Care Remuneration Hourly Rates"/>
    <s v="Profit Cost"/>
    <s v="Charlotte Raybould"/>
    <s v="Y"/>
    <n v="74.08"/>
    <n v="14.82"/>
    <x v="4"/>
    <s v="VALIDATED"/>
    <n v="1"/>
    <s v="01.11.80.308.6100.0000"/>
    <n v="74.08"/>
    <s v="11"/>
    <s v="6100"/>
    <n v="30594.15"/>
    <n v="74.08"/>
    <s v="CREDITOR"/>
    <n v="0"/>
    <n v="0"/>
    <n v="0"/>
    <n v="0"/>
    <n v="74.08"/>
  </r>
  <r>
    <n v="60740536"/>
    <s v="N"/>
    <n v="21343872"/>
    <s v="3000014983190011"/>
    <s v="CIVIL"/>
    <d v="2023-06-27T00:00:00"/>
    <d v="2023-07-07T19:03:00"/>
    <m/>
    <d v="2023-07-07T00:00:00"/>
    <n v="1205"/>
    <n v="18696"/>
    <s v="60740536"/>
    <s v="60740536"/>
    <m/>
    <m/>
    <n v="22766106"/>
    <m/>
    <m/>
    <m/>
    <s v="SOLFIN"/>
    <s v="SOLFIN"/>
    <s v="CCMS"/>
    <n v="21343872"/>
    <n v="13395.68"/>
    <m/>
    <s v="N"/>
    <n v="40"/>
    <d v="2023-07-07T19:03:15"/>
    <s v="Y"/>
    <s v="Preparation - other"/>
    <s v="Care Remuneration Hourly Rates"/>
    <s v="Profit Cost"/>
    <s v="Penny Dukes"/>
    <s v="Y"/>
    <n v="10.51"/>
    <n v="2.1"/>
    <x v="9"/>
    <s v="VALIDATED"/>
    <n v="1"/>
    <s v="01.11.80.308.6100.0000"/>
    <n v="10.51"/>
    <s v="11"/>
    <s v="6100"/>
    <n v="30594.15"/>
    <n v="10.51"/>
    <s v="CREDITOR"/>
    <n v="0"/>
    <n v="0"/>
    <n v="0"/>
    <n v="0"/>
    <n v="10.51"/>
  </r>
  <r>
    <n v="60744883"/>
    <s v="N"/>
    <n v="21330927"/>
    <s v="3000014987240008"/>
    <s v="CIVIL"/>
    <d v="2023-06-22T00:00:00"/>
    <d v="2023-07-05T19:01:47"/>
    <m/>
    <d v="2023-07-05T00:00:00"/>
    <n v="1205"/>
    <n v="18696"/>
    <s v="60744883"/>
    <s v="60744883"/>
    <m/>
    <m/>
    <n v="22745992"/>
    <m/>
    <m/>
    <m/>
    <s v="SOLFIN"/>
    <s v="SOLFIN"/>
    <s v="CCMS"/>
    <n v="21330927"/>
    <n v="13790.5"/>
    <m/>
    <s v="N"/>
    <n v="62"/>
    <d v="2023-07-05T19:01:57"/>
    <s v="Y"/>
    <s v="Preparation - drafting bill/claim f"/>
    <s v="Care Remuneration Hourly Rates"/>
    <s v="Profit Cost"/>
    <s v="Alix Reynolds"/>
    <s v="Y"/>
    <n v="10.51"/>
    <n v="2.1"/>
    <x v="6"/>
    <s v="VALIDATED"/>
    <n v="1"/>
    <s v="01.11.80.308.6100.0000"/>
    <n v="10.51"/>
    <s v="11"/>
    <s v="6100"/>
    <n v="30594.15"/>
    <n v="10.51"/>
    <s v="CREDITOR"/>
    <n v="0"/>
    <n v="0"/>
    <n v="0"/>
    <n v="0"/>
    <n v="10.51"/>
  </r>
  <r>
    <n v="60867047"/>
    <s v="N"/>
    <n v="21349869"/>
    <s v="3000015089740008"/>
    <s v="CIVIL"/>
    <d v="2023-06-26T00:00:00"/>
    <d v="2023-07-10T19:01:40"/>
    <m/>
    <d v="2023-07-10T00:00:00"/>
    <n v="1205"/>
    <n v="18696"/>
    <s v="60867047"/>
    <s v="60867047"/>
    <m/>
    <m/>
    <n v="22762804"/>
    <m/>
    <m/>
    <m/>
    <s v="SOLFIN"/>
    <s v="SOLFIN"/>
    <s v="CCMS"/>
    <n v="21349869"/>
    <n v="11255.82"/>
    <m/>
    <s v="N"/>
    <n v="22"/>
    <d v="2023-07-10T19:02:01"/>
    <s v="Y"/>
    <s v="Final Hearing - 1 Day"/>
    <s v="Public Law Children"/>
    <s v="Advocacy"/>
    <s v="Charlotte Raybould"/>
    <s v="Y"/>
    <n v="556.88"/>
    <n v="111.38"/>
    <x v="2"/>
    <s v="VALIDATED"/>
    <n v="1"/>
    <s v="01.11.80.308.6100.0000"/>
    <n v="556.88"/>
    <s v="11"/>
    <s v="6100"/>
    <n v="30594.15"/>
    <n v="556.88"/>
    <s v="CREDITOR"/>
    <n v="0"/>
    <n v="0"/>
    <n v="0"/>
    <n v="0"/>
    <n v="556.88"/>
  </r>
  <r>
    <n v="60740536"/>
    <s v="N"/>
    <n v="21343872"/>
    <s v="3000014983190011"/>
    <s v="CIVIL"/>
    <d v="2023-06-27T00:00:00"/>
    <d v="2023-07-07T19:03:00"/>
    <m/>
    <d v="2023-07-07T00:00:00"/>
    <n v="1205"/>
    <n v="18696"/>
    <s v="60740536"/>
    <s v="60740536"/>
    <m/>
    <m/>
    <n v="22766106"/>
    <m/>
    <m/>
    <m/>
    <s v="SOLFIN"/>
    <s v="SOLFIN"/>
    <s v="CCMS"/>
    <n v="21343872"/>
    <n v="13395.68"/>
    <m/>
    <s v="N"/>
    <n v="67"/>
    <d v="2023-07-07T19:03:15"/>
    <s v="Y"/>
    <s v="Report - other"/>
    <s v="Care Remuneration Hourly Rates"/>
    <s v="Profit Cost"/>
    <s v="Alix Reynold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15"/>
    <d v="2023-07-07T19:03:15"/>
    <s v="Y"/>
    <s v="Routine Letter In"/>
    <s v="Care Remuneration Hourly Rates"/>
    <s v="Profit Cost"/>
    <s v="Charlotte Raybould"/>
    <s v="Y"/>
    <n v="251.05"/>
    <n v="50.21"/>
    <x v="9"/>
    <s v="VALIDATED"/>
    <n v="1"/>
    <s v="01.11.80.308.6100.0000"/>
    <n v="251.05"/>
    <s v="11"/>
    <s v="6100"/>
    <n v="30594.15"/>
    <n v="251.05"/>
    <s v="CREDITOR"/>
    <n v="0"/>
    <n v="0"/>
    <n v="0"/>
    <n v="0"/>
    <n v="251.05"/>
  </r>
  <r>
    <n v="48504544"/>
    <s v="N"/>
    <n v="21344092"/>
    <s v="3000012074710009"/>
    <s v="CIVIL"/>
    <d v="2023-06-29T00:00:00"/>
    <d v="2023-07-07T19:03:00"/>
    <m/>
    <d v="2023-07-07T00:00:00"/>
    <n v="1205"/>
    <n v="18696"/>
    <s v="48504544"/>
    <s v="48504544"/>
    <m/>
    <m/>
    <n v="22787308"/>
    <m/>
    <m/>
    <m/>
    <s v="SOLFIN"/>
    <s v="SOLFIN"/>
    <s v="CCMS"/>
    <n v="21344092"/>
    <n v="5824.29"/>
    <m/>
    <s v="N"/>
    <n v="15"/>
    <d v="2023-07-07T19:03:23"/>
    <s v="Y"/>
    <s v="Attendance upon court"/>
    <s v="Prescribed Hourly Rates"/>
    <s v="Profit Cost"/>
    <s v="Charlotte Raybould"/>
    <s v="Y"/>
    <n v="63.14"/>
    <n v="12.63"/>
    <x v="9"/>
    <s v="VALIDATED"/>
    <n v="1"/>
    <s v="01.11.80.307.6100.0000"/>
    <n v="63.14"/>
    <s v="11"/>
    <s v="6100"/>
    <n v="30594.15"/>
    <n v="63.14"/>
    <s v="CREDITOR"/>
    <n v="0"/>
    <n v="0"/>
    <n v="0"/>
    <n v="0"/>
    <n v="63.14"/>
  </r>
  <r>
    <n v="61067782"/>
    <s v="N"/>
    <n v="21337863"/>
    <s v="3000015264930018"/>
    <s v="CIVIL"/>
    <d v="2023-06-30T00:00:00"/>
    <d v="2023-07-06T19:21:01"/>
    <m/>
    <d v="2023-07-06T00:00:00"/>
    <n v="1205"/>
    <n v="18696"/>
    <s v="61067782"/>
    <s v="61067782"/>
    <m/>
    <m/>
    <n v="22795236"/>
    <m/>
    <m/>
    <m/>
    <s v="SOLPOA"/>
    <s v="SOLPOA"/>
    <s v="CCMS"/>
    <n v="21337863"/>
    <n v="92.40000000000001"/>
    <m/>
    <s v="N"/>
    <n v="1"/>
    <d v="2023-07-06T19:21:09"/>
    <s v="N"/>
    <s v="Non Expert Disbursement"/>
    <s v="Non Expert Disbursement"/>
    <s v="Non Expert Disbursement"/>
    <s v="Narinder Singh"/>
    <s v="N"/>
    <n v="77"/>
    <n v="15.4"/>
    <x v="4"/>
    <s v="VALIDATED"/>
    <n v="1"/>
    <s v="01.11.80.308.2012.0000"/>
    <n v="77"/>
    <s v="11"/>
    <s v="2012"/>
    <n v="30594.15"/>
    <n v="77"/>
    <s v="CREDITOR"/>
    <n v="77"/>
    <n v="0"/>
    <n v="0"/>
    <n v="0"/>
    <n v="0"/>
  </r>
  <r>
    <n v="54813547"/>
    <s v="N"/>
    <n v="21338270"/>
    <s v="3000013038820008"/>
    <s v="CIVIL"/>
    <d v="2023-06-27T00:00:00"/>
    <d v="2023-07-06T19:21:01"/>
    <m/>
    <d v="2023-07-06T00:00:00"/>
    <n v="1205"/>
    <n v="18696"/>
    <s v="54813547"/>
    <s v="54813547"/>
    <m/>
    <m/>
    <n v="22769992"/>
    <m/>
    <m/>
    <m/>
    <s v="SOLFIN"/>
    <s v="SOLFIN"/>
    <s v="CCMS"/>
    <n v="21338270"/>
    <n v="24252.38"/>
    <m/>
    <s v="N"/>
    <n v="107"/>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54813547"/>
    <s v="N"/>
    <n v="21338270"/>
    <s v="3000013038820008"/>
    <s v="CIVIL"/>
    <d v="2023-06-27T00:00:00"/>
    <d v="2023-07-06T19:21:01"/>
    <m/>
    <d v="2023-07-06T00:00:00"/>
    <n v="1205"/>
    <n v="18696"/>
    <s v="54813547"/>
    <s v="54813547"/>
    <m/>
    <m/>
    <n v="22769992"/>
    <m/>
    <m/>
    <m/>
    <s v="SOLFIN"/>
    <s v="SOLFIN"/>
    <s v="CCMS"/>
    <n v="21338270"/>
    <n v="24252.38"/>
    <m/>
    <s v="N"/>
    <n v="119"/>
    <d v="2023-07-06T19:21:15"/>
    <s v="N"/>
    <s v="Solicitors Fixed Fee"/>
    <s v="Public Law Children"/>
    <s v="Profit Cost"/>
    <s v="Charlotte Raybould"/>
    <s v="N"/>
    <n v="0"/>
    <n v="0"/>
    <x v="4"/>
    <s v="VALIDATED"/>
    <n v="1"/>
    <s v="01.11.80.308.6100.0000"/>
    <n v="0"/>
    <s v="11"/>
    <s v="6100"/>
    <n v="30594.15"/>
    <n v="0"/>
    <s v="CREDITOR"/>
    <n v="0"/>
    <n v="0"/>
    <n v="0"/>
    <n v="0"/>
    <n v="0"/>
  </r>
  <r>
    <n v="54813547"/>
    <s v="N"/>
    <n v="21338270"/>
    <s v="3000013038820008"/>
    <s v="CIVIL"/>
    <d v="2023-06-27T00:00:00"/>
    <d v="2023-07-06T19:21:01"/>
    <m/>
    <d v="2023-07-06T00:00:00"/>
    <n v="1205"/>
    <n v="18696"/>
    <s v="54813547"/>
    <s v="54813547"/>
    <m/>
    <m/>
    <n v="22769992"/>
    <m/>
    <m/>
    <m/>
    <s v="SOLFIN"/>
    <s v="SOLFIN"/>
    <s v="CCMS"/>
    <n v="21338270"/>
    <n v="24252.38"/>
    <m/>
    <s v="N"/>
    <n v="29"/>
    <d v="2023-07-06T19:21:15"/>
    <s v="Y"/>
    <s v="Preparation - drafting application"/>
    <s v="Care Remuneration Hourly Rates"/>
    <s v="Profit Cost"/>
    <s v="Charlotte Raybould"/>
    <s v="Y"/>
    <n v="29.63"/>
    <n v="5.93"/>
    <x v="4"/>
    <s v="VALIDATED"/>
    <n v="1"/>
    <s v="01.11.80.308.6100.0000"/>
    <n v="29.63"/>
    <s v="11"/>
    <s v="6100"/>
    <n v="30594.15"/>
    <n v="29.63"/>
    <s v="CREDITOR"/>
    <n v="0"/>
    <n v="0"/>
    <n v="0"/>
    <n v="0"/>
    <n v="29.63"/>
  </r>
  <r>
    <n v="54813547"/>
    <s v="N"/>
    <n v="21338270"/>
    <s v="3000013038820008"/>
    <s v="CIVIL"/>
    <d v="2023-06-27T00:00:00"/>
    <d v="2023-07-06T19:21:01"/>
    <m/>
    <d v="2023-07-06T00:00:00"/>
    <n v="1205"/>
    <n v="18696"/>
    <s v="54813547"/>
    <s v="54813547"/>
    <m/>
    <m/>
    <n v="22769992"/>
    <m/>
    <m/>
    <m/>
    <s v="SOLFIN"/>
    <s v="SOLFIN"/>
    <s v="CCMS"/>
    <n v="21338270"/>
    <n v="24252.38"/>
    <m/>
    <s v="N"/>
    <n v="49"/>
    <d v="2023-07-06T19:21:15"/>
    <s v="Y"/>
    <s v="Preparation - drafting application"/>
    <s v="Care Remuneration Hourly Rates"/>
    <s v="Profit Cost"/>
    <s v="Anna Cooper"/>
    <s v="Y"/>
    <n v="244.45"/>
    <n v="48.89"/>
    <x v="4"/>
    <s v="VALIDATED"/>
    <n v="1"/>
    <s v="01.11.80.308.6100.0000"/>
    <n v="244.45"/>
    <s v="11"/>
    <s v="6100"/>
    <n v="30594.15"/>
    <n v="244.45"/>
    <s v="CREDITOR"/>
    <n v="0"/>
    <n v="0"/>
    <n v="0"/>
    <n v="0"/>
    <n v="244.45"/>
  </r>
  <r>
    <n v="60631907"/>
    <s v="N"/>
    <n v="21331360"/>
    <s v="3000014878960007"/>
    <s v="CIVIL"/>
    <d v="2023-06-28T00:00:00"/>
    <d v="2023-07-05T19:01:47"/>
    <m/>
    <d v="2023-07-05T00:00:00"/>
    <n v="1205"/>
    <n v="18696"/>
    <s v="60631907"/>
    <s v="60631907"/>
    <m/>
    <m/>
    <n v="22783676"/>
    <m/>
    <m/>
    <m/>
    <s v="SOLFIN"/>
    <s v="SOLFIN"/>
    <s v="CCMS"/>
    <n v="21331360"/>
    <n v="9637.15"/>
    <m/>
    <s v="N"/>
    <n v="43"/>
    <d v="2023-07-05T19:02:16"/>
    <s v="Y"/>
    <s v="Advocacy - Directions Hearing"/>
    <s v="Prescribed Hourly Rates"/>
    <s v="Advocacy"/>
    <s v="Andrew Crumpton"/>
    <s v="Y"/>
    <n v="177.19"/>
    <n v="35.44"/>
    <x v="6"/>
    <s v="VALIDATED"/>
    <n v="1"/>
    <s v="01.11.80.307.6100.0000"/>
    <n v="177.19"/>
    <s v="11"/>
    <s v="6100"/>
    <n v="30594.15"/>
    <n v="177.19"/>
    <s v="CREDITOR"/>
    <n v="0"/>
    <n v="0"/>
    <n v="0"/>
    <n v="0"/>
    <n v="177.19"/>
  </r>
  <r>
    <n v="60631907"/>
    <s v="N"/>
    <n v="21331360"/>
    <s v="3000014878960007"/>
    <s v="CIVIL"/>
    <d v="2023-06-28T00:00:00"/>
    <d v="2023-07-05T19:01:47"/>
    <m/>
    <d v="2023-07-05T00:00:00"/>
    <n v="1205"/>
    <n v="18696"/>
    <s v="60631907"/>
    <s v="60631907"/>
    <m/>
    <m/>
    <n v="22783676"/>
    <m/>
    <m/>
    <m/>
    <s v="SOLFIN"/>
    <s v="SOLFIN"/>
    <s v="CCMS"/>
    <n v="21331360"/>
    <n v="9637.15"/>
    <m/>
    <s v="N"/>
    <n v="61"/>
    <d v="2023-07-05T19:02:16"/>
    <s v="Y"/>
    <s v="Preparation - drafting statement"/>
    <s v="Prescribed Hourly Rates"/>
    <s v="Profit Cost"/>
    <s v="Isabel Griffith"/>
    <s v="Y"/>
    <n v="10.98"/>
    <n v="2.2"/>
    <x v="6"/>
    <s v="VALIDATED"/>
    <n v="1"/>
    <s v="01.11.80.307.6100.0000"/>
    <n v="10.98"/>
    <s v="11"/>
    <s v="6100"/>
    <n v="30594.15"/>
    <n v="10.98"/>
    <s v="CREDITOR"/>
    <n v="0"/>
    <n v="0"/>
    <n v="0"/>
    <n v="0"/>
    <n v="10.98"/>
  </r>
  <r>
    <n v="60631907"/>
    <s v="N"/>
    <n v="21331360"/>
    <s v="3000014878960007"/>
    <s v="CIVIL"/>
    <d v="2023-06-28T00:00:00"/>
    <d v="2023-07-05T19:01:47"/>
    <m/>
    <d v="2023-07-05T00:00:00"/>
    <n v="1205"/>
    <n v="18696"/>
    <s v="60631907"/>
    <s v="60631907"/>
    <m/>
    <m/>
    <n v="22783676"/>
    <m/>
    <m/>
    <m/>
    <s v="SOLFIN"/>
    <s v="SOLFIN"/>
    <s v="CCMS"/>
    <n v="21331360"/>
    <n v="9637.15"/>
    <m/>
    <s v="N"/>
    <n v="67"/>
    <d v="2023-07-05T19:02:16"/>
    <s v="Y"/>
    <s v="Preparation - drafting statement"/>
    <s v="Prescribed Hourly Rates"/>
    <s v="Profit Cost"/>
    <s v="Andrew Crumpton"/>
    <s v="Y"/>
    <n v="68.63"/>
    <n v="13.73"/>
    <x v="6"/>
    <s v="VALIDATED"/>
    <n v="1"/>
    <s v="01.11.80.307.6100.0000"/>
    <n v="68.63"/>
    <s v="11"/>
    <s v="6100"/>
    <n v="30594.15"/>
    <n v="68.63"/>
    <s v="CREDITOR"/>
    <n v="0"/>
    <n v="0"/>
    <n v="0"/>
    <n v="0"/>
    <n v="68.63"/>
  </r>
  <r>
    <n v="60631907"/>
    <s v="N"/>
    <n v="21331360"/>
    <s v="3000014878960007"/>
    <s v="CIVIL"/>
    <d v="2023-06-28T00:00:00"/>
    <d v="2023-07-05T19:01:47"/>
    <m/>
    <d v="2023-07-05T00:00:00"/>
    <n v="1205"/>
    <n v="18696"/>
    <s v="60631907"/>
    <s v="60631907"/>
    <m/>
    <m/>
    <n v="22783676"/>
    <m/>
    <m/>
    <m/>
    <s v="SOLFIN"/>
    <s v="SOLFIN"/>
    <s v="CCMS"/>
    <n v="21331360"/>
    <n v="9637.15"/>
    <m/>
    <s v="N"/>
    <n v="10"/>
    <d v="2023-07-05T19:02:16"/>
    <s v="Y"/>
    <s v="Attendance upon other"/>
    <s v="Prescribed Hourly Rates"/>
    <s v="Profit Cost"/>
    <s v="Andrew Crumpton"/>
    <s v="Y"/>
    <n v="102.94"/>
    <n v="20.59"/>
    <x v="6"/>
    <s v="VALIDATED"/>
    <n v="1"/>
    <s v="01.11.80.307.6100.0000"/>
    <n v="102.94"/>
    <s v="11"/>
    <s v="6100"/>
    <n v="30594.15"/>
    <n v="102.94"/>
    <s v="CREDITOR"/>
    <n v="0"/>
    <n v="0"/>
    <n v="0"/>
    <n v="0"/>
    <n v="102.94"/>
  </r>
  <r>
    <n v="62234648"/>
    <s v="N"/>
    <n v="21323593"/>
    <s v="3000016236610005"/>
    <s v="CIVIL"/>
    <d v="2023-06-30T00:00:00"/>
    <d v="2023-07-03T19:05:56"/>
    <m/>
    <d v="2023-07-03T00:00:00"/>
    <n v="1205"/>
    <n v="18696"/>
    <s v="62234648"/>
    <s v="62234648"/>
    <m/>
    <m/>
    <n v="22799860"/>
    <m/>
    <m/>
    <m/>
    <s v="SOLPOA"/>
    <s v="SOLPOA"/>
    <s v="CCMS"/>
    <n v="21323593"/>
    <n v="119.4"/>
    <m/>
    <s v="N"/>
    <n v="1"/>
    <d v="2023-07-03T19:05:58"/>
    <s v="N"/>
    <s v="Expert Cost"/>
    <s v="Expert Cost"/>
    <s v="Expert Disbursement"/>
    <s v="N Singh"/>
    <s v="N"/>
    <n v="99.5"/>
    <n v="19.9"/>
    <x v="3"/>
    <s v="VALIDATED"/>
    <n v="1"/>
    <s v="01.11.80.308.2012.0000"/>
    <n v="99.5"/>
    <s v="11"/>
    <s v="2012"/>
    <n v="30594.15"/>
    <n v="99.5"/>
    <s v="CREDITOR"/>
    <n v="99.5"/>
    <n v="0"/>
    <n v="0"/>
    <n v="0"/>
    <n v="0"/>
  </r>
  <r>
    <n v="8096699"/>
    <s v="N"/>
    <n v="21344060"/>
    <s v="3000004211210009"/>
    <s v="CIVIL"/>
    <d v="2023-06-29T00:00:00"/>
    <d v="2023-07-07T19:03:00"/>
    <m/>
    <d v="2023-07-07T00:00:00"/>
    <n v="1205"/>
    <n v="18696"/>
    <s v="8096699"/>
    <s v="8096699"/>
    <m/>
    <m/>
    <n v="22791280"/>
    <m/>
    <m/>
    <m/>
    <s v="SOLFIN"/>
    <s v="SOLFIN"/>
    <s v="CCMS"/>
    <n v="21344060"/>
    <n v="1555.48"/>
    <m/>
    <s v="N"/>
    <n v="3"/>
    <d v="2023-07-07T19:03:22"/>
    <s v="N"/>
    <s v="Solicitor Travel Expenses"/>
    <s v="Non Family Hourly Rates"/>
    <s v="Non Expert Disbursement"/>
    <s v="Kirsty MacMillan"/>
    <s v="N"/>
    <n v="5.4"/>
    <n v="1.08"/>
    <x v="9"/>
    <s v="VALIDATED"/>
    <n v="1"/>
    <s v="01.11.80.209.6300.0000"/>
    <n v="5.4"/>
    <s v="11"/>
    <s v="6300"/>
    <n v="30594.15"/>
    <n v="5.4"/>
    <s v="CREDITOR"/>
    <n v="0"/>
    <n v="0"/>
    <n v="0"/>
    <n v="0"/>
    <n v="5.4"/>
  </r>
  <r>
    <n v="54813547"/>
    <s v="N"/>
    <n v="21338270"/>
    <s v="3000013038820008"/>
    <s v="CIVIL"/>
    <d v="2023-06-27T00:00:00"/>
    <d v="2023-07-06T19:21:01"/>
    <m/>
    <d v="2023-07-06T00:00:00"/>
    <n v="1205"/>
    <n v="18696"/>
    <s v="54813547"/>
    <s v="54813547"/>
    <m/>
    <m/>
    <n v="22769992"/>
    <m/>
    <m/>
    <m/>
    <s v="SOLFIN"/>
    <s v="SOLFIN"/>
    <s v="CCMS"/>
    <n v="21338270"/>
    <n v="24252.38"/>
    <m/>
    <s v="N"/>
    <n v="15"/>
    <d v="2023-07-06T19:21:15"/>
    <s v="Y"/>
    <s v="Attendance upon client"/>
    <s v="Care Remuneration Hourly Rates"/>
    <s v="Profit Cost"/>
    <s v="Charlotte Raybould"/>
    <s v="Y"/>
    <n v="88.89"/>
    <n v="17.78"/>
    <x v="4"/>
    <s v="VALIDATED"/>
    <n v="1"/>
    <s v="01.11.80.308.6100.0000"/>
    <n v="88.89"/>
    <s v="11"/>
    <s v="6100"/>
    <n v="30594.15"/>
    <n v="88.89"/>
    <s v="CREDITOR"/>
    <n v="0"/>
    <n v="0"/>
    <n v="0"/>
    <n v="0"/>
    <n v="88.89"/>
  </r>
  <r>
    <n v="60631907"/>
    <s v="N"/>
    <n v="21331360"/>
    <s v="3000014878960007"/>
    <s v="CIVIL"/>
    <d v="2023-06-28T00:00:00"/>
    <d v="2023-07-05T19:01:47"/>
    <m/>
    <d v="2023-07-05T00:00:00"/>
    <n v="1205"/>
    <n v="18696"/>
    <s v="60631907"/>
    <s v="60631907"/>
    <m/>
    <m/>
    <n v="22783676"/>
    <m/>
    <m/>
    <m/>
    <s v="SOLFIN"/>
    <s v="SOLFIN"/>
    <s v="CCMS"/>
    <n v="21331360"/>
    <n v="9637.15"/>
    <m/>
    <s v="N"/>
    <n v="80"/>
    <d v="2023-07-05T19:02:16"/>
    <s v="Y"/>
    <s v="Preparation - drafting attendance n"/>
    <s v="Prescribed Hourly Rates"/>
    <s v="Profit Cost"/>
    <s v="Andrew Crumpton"/>
    <s v="Y"/>
    <n v="13.73"/>
    <n v="2.75"/>
    <x v="6"/>
    <s v="VALIDATED"/>
    <n v="1"/>
    <s v="01.11.80.307.6100.0000"/>
    <n v="13.73"/>
    <s v="11"/>
    <s v="6100"/>
    <n v="30594.15"/>
    <n v="13.73"/>
    <s v="CREDITOR"/>
    <n v="0"/>
    <n v="0"/>
    <n v="0"/>
    <n v="0"/>
    <n v="13.73"/>
  </r>
  <r>
    <n v="60631907"/>
    <s v="N"/>
    <n v="21331360"/>
    <s v="3000014878960007"/>
    <s v="CIVIL"/>
    <d v="2023-06-28T00:00:00"/>
    <d v="2023-07-05T19:01:47"/>
    <m/>
    <d v="2023-07-05T00:00:00"/>
    <n v="1205"/>
    <n v="18696"/>
    <s v="60631907"/>
    <s v="60631907"/>
    <m/>
    <m/>
    <n v="22783676"/>
    <m/>
    <m/>
    <m/>
    <s v="SOLFIN"/>
    <s v="SOLFIN"/>
    <s v="CCMS"/>
    <n v="21331360"/>
    <n v="9637.15"/>
    <m/>
    <s v="N"/>
    <n v="7"/>
    <d v="2023-07-05T19:02:16"/>
    <s v="Y"/>
    <s v="Preparation - drafting bill/claim f"/>
    <s v="Prescribed Hourly Rates"/>
    <s v="Profit Cost"/>
    <s v="Amanda Leonard"/>
    <s v="Y"/>
    <n v="197.64"/>
    <n v="39.53"/>
    <x v="6"/>
    <s v="VALIDATED"/>
    <n v="1"/>
    <s v="01.11.80.307.6100.0000"/>
    <n v="197.64"/>
    <s v="11"/>
    <s v="6100"/>
    <n v="30594.15"/>
    <n v="197.64"/>
    <s v="CREDITOR"/>
    <n v="0"/>
    <n v="0"/>
    <n v="0"/>
    <n v="0"/>
    <n v="197.64"/>
  </r>
  <r>
    <n v="60631907"/>
    <s v="N"/>
    <n v="21331360"/>
    <s v="3000014878960007"/>
    <s v="CIVIL"/>
    <d v="2023-06-28T00:00:00"/>
    <d v="2023-07-05T19:01:47"/>
    <m/>
    <d v="2023-07-05T00:00:00"/>
    <n v="1205"/>
    <n v="18696"/>
    <s v="60631907"/>
    <s v="60631907"/>
    <m/>
    <m/>
    <n v="22783676"/>
    <m/>
    <m/>
    <m/>
    <s v="SOLFIN"/>
    <s v="SOLFIN"/>
    <s v="CCMS"/>
    <n v="21331360"/>
    <n v="9637.15"/>
    <m/>
    <s v="N"/>
    <n v="12"/>
    <d v="2023-07-05T19:02:16"/>
    <s v="Y"/>
    <s v="Preparation - other"/>
    <s v="Prescribed Hourly Rates"/>
    <s v="Profit Cost"/>
    <s v="Andrew Crumpton"/>
    <s v="Y"/>
    <n v="102.94"/>
    <n v="20.59"/>
    <x v="6"/>
    <s v="VALIDATED"/>
    <n v="1"/>
    <s v="01.11.80.307.6100.0000"/>
    <n v="102.94"/>
    <s v="11"/>
    <s v="6100"/>
    <n v="30594.15"/>
    <n v="102.94"/>
    <s v="CREDITOR"/>
    <n v="0"/>
    <n v="0"/>
    <n v="0"/>
    <n v="0"/>
    <n v="102.94"/>
  </r>
  <r>
    <n v="60744883"/>
    <s v="N"/>
    <n v="21330927"/>
    <s v="3000014987240008"/>
    <s v="CIVIL"/>
    <d v="2023-06-22T00:00:00"/>
    <d v="2023-07-05T19:01:47"/>
    <m/>
    <d v="2023-07-05T00:00:00"/>
    <n v="1205"/>
    <n v="18696"/>
    <s v="60744883"/>
    <s v="60744883"/>
    <m/>
    <m/>
    <n v="22745992"/>
    <m/>
    <m/>
    <m/>
    <s v="SOLFIN"/>
    <s v="SOLFIN"/>
    <s v="CCMS"/>
    <n v="21330927"/>
    <n v="13790.5"/>
    <m/>
    <s v="N"/>
    <n v="49"/>
    <d v="2023-07-05T19:01:57"/>
    <s v="Y"/>
    <s v="Preparation - other"/>
    <s v="Care Remuneration Hourly Rates"/>
    <s v="Profit Cost"/>
    <s v="Alix Reynolds"/>
    <s v="Y"/>
    <n v="6.58"/>
    <n v="1.32"/>
    <x v="6"/>
    <s v="VALIDATED"/>
    <n v="1"/>
    <s v="01.11.80.308.6100.0000"/>
    <n v="6.58"/>
    <s v="11"/>
    <s v="6100"/>
    <n v="30594.15"/>
    <n v="6.58"/>
    <s v="CREDITOR"/>
    <n v="0"/>
    <n v="0"/>
    <n v="0"/>
    <n v="0"/>
    <n v="6.58"/>
  </r>
  <r>
    <n v="48504544"/>
    <s v="N"/>
    <n v="21344092"/>
    <s v="3000012074710009"/>
    <s v="CIVIL"/>
    <d v="2023-06-29T00:00:00"/>
    <d v="2023-07-07T19:03:00"/>
    <m/>
    <d v="2023-07-07T00:00:00"/>
    <n v="1205"/>
    <n v="18696"/>
    <s v="48504544"/>
    <s v="48504544"/>
    <m/>
    <m/>
    <n v="22787308"/>
    <m/>
    <m/>
    <m/>
    <s v="SOLFIN"/>
    <s v="SOLFIN"/>
    <s v="CCMS"/>
    <n v="21344092"/>
    <n v="5824.29"/>
    <m/>
    <s v="N"/>
    <n v="16"/>
    <d v="2023-07-07T19:03:23"/>
    <s v="Y"/>
    <s v="Preparation - other"/>
    <s v="Prescribed Hourly Rates"/>
    <s v="Profit Cost"/>
    <s v="Charlotte Raybould"/>
    <s v="Y"/>
    <n v="63.14"/>
    <n v="12.63"/>
    <x v="9"/>
    <s v="VALIDATED"/>
    <n v="1"/>
    <s v="01.11.80.307.6100.0000"/>
    <n v="63.14"/>
    <s v="11"/>
    <s v="6100"/>
    <n v="30594.15"/>
    <n v="63.14"/>
    <s v="CREDITOR"/>
    <n v="0"/>
    <n v="0"/>
    <n v="0"/>
    <n v="0"/>
    <n v="63.14"/>
  </r>
  <r>
    <n v="54813547"/>
    <s v="N"/>
    <n v="21338270"/>
    <s v="3000013038820008"/>
    <s v="CIVIL"/>
    <d v="2023-06-27T00:00:00"/>
    <d v="2023-07-06T19:21:01"/>
    <m/>
    <d v="2023-07-06T00:00:00"/>
    <n v="1205"/>
    <n v="18696"/>
    <s v="54813547"/>
    <s v="54813547"/>
    <m/>
    <m/>
    <n v="22769992"/>
    <m/>
    <m/>
    <m/>
    <s v="SOLFIN"/>
    <s v="SOLFIN"/>
    <s v="CCMS"/>
    <n v="21338270"/>
    <n v="24252.38"/>
    <m/>
    <s v="N"/>
    <n v="28"/>
    <d v="2023-07-06T19:21:15"/>
    <s v="Y"/>
    <s v="Attendance upon client"/>
    <s v="Care Remuneration Hourly Rates"/>
    <s v="Profit Cost"/>
    <s v="Paul Nursall"/>
    <s v="Y"/>
    <n v="14.81"/>
    <n v="2.96"/>
    <x v="4"/>
    <s v="VALIDATED"/>
    <n v="1"/>
    <s v="01.11.80.308.6100.0000"/>
    <n v="14.81"/>
    <s v="11"/>
    <s v="6100"/>
    <n v="30594.15"/>
    <n v="14.81"/>
    <s v="CREDITOR"/>
    <n v="0"/>
    <n v="0"/>
    <n v="0"/>
    <n v="0"/>
    <n v="14.81"/>
  </r>
  <r>
    <n v="60740536"/>
    <s v="N"/>
    <n v="21343872"/>
    <s v="3000014983190011"/>
    <s v="CIVIL"/>
    <d v="2023-06-27T00:00:00"/>
    <d v="2023-07-07T19:03:00"/>
    <m/>
    <d v="2023-07-07T00:00:00"/>
    <n v="1205"/>
    <n v="18696"/>
    <s v="60740536"/>
    <s v="60740536"/>
    <m/>
    <m/>
    <n v="22766106"/>
    <m/>
    <m/>
    <m/>
    <s v="SOLFIN"/>
    <s v="SOLFIN"/>
    <s v="CCMS"/>
    <n v="21343872"/>
    <n v="13395.68"/>
    <m/>
    <s v="N"/>
    <n v="79"/>
    <d v="2023-07-07T19:03:15"/>
    <s v="Y"/>
    <s v="Preparation - drafting consent orde"/>
    <s v="Care Remuneration Hourly Rates"/>
    <s v="Profit Cost"/>
    <s v="Eliot Brookes"/>
    <s v="Y"/>
    <n v="10.51"/>
    <n v="2.1"/>
    <x v="9"/>
    <s v="VALIDATED"/>
    <n v="1"/>
    <s v="01.11.80.308.6100.0000"/>
    <n v="10.51"/>
    <s v="11"/>
    <s v="6100"/>
    <n v="30594.15"/>
    <n v="10.51"/>
    <s v="CREDITOR"/>
    <n v="0"/>
    <n v="0"/>
    <n v="0"/>
    <n v="0"/>
    <n v="10.51"/>
  </r>
  <r>
    <n v="60764755"/>
    <s v="N"/>
    <n v="21337748"/>
    <s v="3000015002070010"/>
    <s v="CIVIL"/>
    <d v="2023-06-22T00:00:00"/>
    <d v="2023-07-06T19:21:01"/>
    <m/>
    <d v="2023-07-06T00:00:00"/>
    <n v="1205"/>
    <n v="18696"/>
    <s v="60764755"/>
    <s v="60764755"/>
    <m/>
    <m/>
    <n v="22741190"/>
    <m/>
    <m/>
    <m/>
    <s v="SOLFIN"/>
    <s v="SOLFIN"/>
    <s v="CCMS"/>
    <n v="21337748"/>
    <n v="11125.15"/>
    <m/>
    <s v="N"/>
    <n v="17"/>
    <d v="2023-07-06T19:21:07"/>
    <s v="Y"/>
    <s v="Hearing Unit 2.31 - 5.00 Hours"/>
    <s v="Public Law Children"/>
    <s v="Advocacy"/>
    <s v="Charlotte Raybould"/>
    <s v="Y"/>
    <n v="476.92"/>
    <n v="95.38"/>
    <x v="4"/>
    <s v="VALIDATED"/>
    <n v="1"/>
    <s v="01.11.80.308.6100.0000"/>
    <n v="476.92"/>
    <s v="11"/>
    <s v="6100"/>
    <n v="30594.15"/>
    <n v="476.92"/>
    <s v="CREDITOR"/>
    <n v="0"/>
    <n v="0"/>
    <n v="0"/>
    <n v="0"/>
    <n v="476.92"/>
  </r>
  <r>
    <n v="60631907"/>
    <s v="N"/>
    <n v="21331360"/>
    <s v="3000014878960007"/>
    <s v="CIVIL"/>
    <d v="2023-06-28T00:00:00"/>
    <d v="2023-07-05T19:01:47"/>
    <m/>
    <d v="2023-07-05T00:00:00"/>
    <n v="1205"/>
    <n v="18696"/>
    <s v="60631907"/>
    <s v="60631907"/>
    <m/>
    <m/>
    <n v="22783676"/>
    <m/>
    <m/>
    <m/>
    <s v="SOLFIN"/>
    <s v="SOLFIN"/>
    <s v="CCMS"/>
    <n v="21331360"/>
    <n v="9637.15"/>
    <m/>
    <s v="N"/>
    <n v="86"/>
    <d v="2023-07-05T19:02:16"/>
    <s v="Y"/>
    <s v="Attendance upon other"/>
    <s v="Prescribed Hourly Rates"/>
    <s v="Profit Cost"/>
    <s v="Andrew Crumpton"/>
    <s v="Y"/>
    <n v="27.45"/>
    <n v="5.49"/>
    <x v="6"/>
    <s v="VALIDATED"/>
    <n v="1"/>
    <s v="01.11.80.307.6100.0000"/>
    <n v="27.45"/>
    <s v="11"/>
    <s v="6100"/>
    <n v="30594.15"/>
    <n v="27.45"/>
    <s v="CREDITOR"/>
    <n v="0"/>
    <n v="0"/>
    <n v="0"/>
    <n v="0"/>
    <n v="27.45"/>
  </r>
  <r>
    <n v="60631907"/>
    <s v="N"/>
    <n v="21331360"/>
    <s v="3000014878960007"/>
    <s v="CIVIL"/>
    <d v="2023-06-28T00:00:00"/>
    <d v="2023-07-05T19:01:47"/>
    <m/>
    <d v="2023-07-05T00:00:00"/>
    <n v="1205"/>
    <n v="18696"/>
    <s v="60631907"/>
    <s v="60631907"/>
    <m/>
    <m/>
    <n v="22783676"/>
    <m/>
    <m/>
    <m/>
    <s v="SOLFIN"/>
    <s v="SOLFIN"/>
    <s v="CCMS"/>
    <n v="21331360"/>
    <n v="9637.15"/>
    <m/>
    <s v="N"/>
    <n v="62"/>
    <d v="2023-07-05T19:02:16"/>
    <s v="Y"/>
    <s v="Preparation - other"/>
    <s v="Prescribed Hourly Rates"/>
    <s v="Profit Cost"/>
    <s v="Jasmine Thompson"/>
    <s v="Y"/>
    <n v="5.49"/>
    <n v="1.1"/>
    <x v="6"/>
    <s v="VALIDATED"/>
    <n v="1"/>
    <s v="01.11.80.307.6100.0000"/>
    <n v="5.49"/>
    <s v="11"/>
    <s v="6100"/>
    <n v="30594.15"/>
    <n v="5.49"/>
    <s v="CREDITOR"/>
    <n v="0"/>
    <n v="0"/>
    <n v="0"/>
    <n v="0"/>
    <n v="5.49"/>
  </r>
  <r>
    <n v="60740536"/>
    <s v="N"/>
    <n v="21343872"/>
    <s v="3000014983190011"/>
    <s v="CIVIL"/>
    <d v="2023-06-27T00:00:00"/>
    <d v="2023-07-07T19:03:00"/>
    <m/>
    <d v="2023-07-07T00:00:00"/>
    <n v="1205"/>
    <n v="18696"/>
    <s v="60740536"/>
    <s v="60740536"/>
    <m/>
    <m/>
    <n v="22766106"/>
    <m/>
    <m/>
    <m/>
    <s v="SOLFIN"/>
    <s v="SOLFIN"/>
    <s v="CCMS"/>
    <n v="21343872"/>
    <n v="13395.68"/>
    <m/>
    <s v="N"/>
    <n v="74"/>
    <d v="2023-07-07T19:03:15"/>
    <s v="Y"/>
    <s v="Report - Medical report"/>
    <s v="Care Remuneration Hourly Rates"/>
    <s v="Profit Cost"/>
    <s v="Charlotte Raybould"/>
    <s v="Y"/>
    <n v="90.69"/>
    <n v="18.14"/>
    <x v="9"/>
    <s v="VALIDATED"/>
    <n v="1"/>
    <s v="01.11.80.308.6100.0000"/>
    <n v="90.69"/>
    <s v="11"/>
    <s v="6100"/>
    <n v="30594.15"/>
    <n v="90.69"/>
    <s v="CREDITOR"/>
    <n v="0"/>
    <n v="0"/>
    <n v="0"/>
    <n v="0"/>
    <n v="90.69"/>
  </r>
  <r>
    <n v="60740536"/>
    <s v="N"/>
    <n v="21343872"/>
    <s v="3000014983190011"/>
    <s v="CIVIL"/>
    <d v="2023-06-27T00:00:00"/>
    <d v="2023-07-07T19:03:00"/>
    <m/>
    <d v="2023-07-07T00:00:00"/>
    <n v="1205"/>
    <n v="18696"/>
    <s v="60740536"/>
    <s v="60740536"/>
    <m/>
    <m/>
    <n v="22766106"/>
    <m/>
    <m/>
    <m/>
    <s v="SOLFIN"/>
    <s v="SOLFIN"/>
    <s v="CCMS"/>
    <n v="21343872"/>
    <n v="13395.68"/>
    <m/>
    <s v="N"/>
    <n v="77"/>
    <d v="2023-07-07T19:03:15"/>
    <s v="Y"/>
    <s v="Preparation - other"/>
    <s v="Care Remuneration Hourly Rates"/>
    <s v="Profit Cost"/>
    <s v="Anna Cooper"/>
    <s v="Y"/>
    <n v="115.65"/>
    <n v="23.13"/>
    <x v="9"/>
    <s v="VALIDATED"/>
    <n v="1"/>
    <s v="01.11.80.308.6100.0000"/>
    <n v="115.65"/>
    <s v="11"/>
    <s v="6100"/>
    <n v="30594.15"/>
    <n v="115.65"/>
    <s v="CREDITOR"/>
    <n v="0"/>
    <n v="0"/>
    <n v="0"/>
    <n v="0"/>
    <n v="115.65"/>
  </r>
  <r>
    <n v="60740536"/>
    <s v="N"/>
    <n v="21343872"/>
    <s v="3000014983190011"/>
    <s v="CIVIL"/>
    <d v="2023-06-27T00:00:00"/>
    <d v="2023-07-07T19:03:00"/>
    <m/>
    <d v="2023-07-07T00:00:00"/>
    <n v="1205"/>
    <n v="18696"/>
    <s v="60740536"/>
    <s v="60740536"/>
    <m/>
    <m/>
    <n v="22766106"/>
    <m/>
    <m/>
    <m/>
    <s v="SOLFIN"/>
    <s v="SOLFIN"/>
    <s v="CCMS"/>
    <n v="21343872"/>
    <n v="13395.68"/>
    <m/>
    <s v="N"/>
    <n v="22"/>
    <d v="2023-07-07T19:03:15"/>
    <s v="Y"/>
    <s v="Preparation - drafting bill/claim f"/>
    <s v="Care Remuneration Hourly Rates"/>
    <s v="Profit Cost"/>
    <s v="Darren Plant"/>
    <s v="Y"/>
    <n v="199.77"/>
    <n v="39.95"/>
    <x v="9"/>
    <s v="VALIDATED"/>
    <n v="1"/>
    <s v="01.11.80.308.6100.0000"/>
    <n v="199.77"/>
    <s v="11"/>
    <s v="6100"/>
    <n v="30594.15"/>
    <n v="199.77"/>
    <s v="CREDITOR"/>
    <n v="0"/>
    <n v="0"/>
    <n v="0"/>
    <n v="0"/>
    <n v="199.77"/>
  </r>
  <r>
    <n v="60740536"/>
    <s v="N"/>
    <n v="21343872"/>
    <s v="3000014983190011"/>
    <s v="CIVIL"/>
    <d v="2023-06-27T00:00:00"/>
    <d v="2023-07-07T19:03:00"/>
    <m/>
    <d v="2023-07-07T00:00:00"/>
    <n v="1205"/>
    <n v="18696"/>
    <s v="60740536"/>
    <s v="60740536"/>
    <m/>
    <m/>
    <n v="22766106"/>
    <m/>
    <m/>
    <m/>
    <s v="SOLFIN"/>
    <s v="SOLFIN"/>
    <s v="CCMS"/>
    <n v="21343872"/>
    <n v="13395.68"/>
    <m/>
    <s v="N"/>
    <n v="39"/>
    <d v="2023-07-07T19:03:15"/>
    <s v="Y"/>
    <s v="Advocacy - In court behind counsel"/>
    <s v="Care Remuneration Hourly Rates"/>
    <s v="Advocacy"/>
    <s v="Anna Cooper"/>
    <s v="Y"/>
    <n v="44.1"/>
    <n v="8.82"/>
    <x v="9"/>
    <s v="VALIDATED"/>
    <n v="1"/>
    <s v="01.11.80.308.6100.0000"/>
    <n v="44.1"/>
    <s v="11"/>
    <s v="6100"/>
    <n v="30594.15"/>
    <n v="44.1"/>
    <s v="CREDITOR"/>
    <n v="0"/>
    <n v="0"/>
    <n v="0"/>
    <n v="0"/>
    <n v="44.1"/>
  </r>
  <r>
    <n v="54813547"/>
    <s v="N"/>
    <n v="21338270"/>
    <s v="3000013038820008"/>
    <s v="CIVIL"/>
    <d v="2023-06-27T00:00:00"/>
    <d v="2023-07-06T19:21:01"/>
    <m/>
    <d v="2023-07-06T00:00:00"/>
    <n v="1205"/>
    <n v="18696"/>
    <s v="54813547"/>
    <s v="54813547"/>
    <m/>
    <m/>
    <n v="22769992"/>
    <m/>
    <m/>
    <m/>
    <s v="SOLFIN"/>
    <s v="SOLFIN"/>
    <s v="CCMS"/>
    <n v="21338270"/>
    <n v="24252.38"/>
    <m/>
    <s v="N"/>
    <n v="68"/>
    <d v="2023-07-06T19:21:15"/>
    <s v="Y"/>
    <s v="Preparation - drafting pleadings"/>
    <s v="Care Remuneration Hourly Rates"/>
    <s v="Profit Cost"/>
    <s v="Charlotte Raybould"/>
    <s v="Y"/>
    <n v="13.63"/>
    <n v="2.73"/>
    <x v="4"/>
    <s v="VALIDATED"/>
    <n v="1"/>
    <s v="01.11.80.308.6100.0000"/>
    <n v="13.63"/>
    <s v="11"/>
    <s v="6100"/>
    <n v="30594.15"/>
    <n v="13.63"/>
    <s v="CREDITOR"/>
    <n v="0"/>
    <n v="0"/>
    <n v="0"/>
    <n v="0"/>
    <n v="13.63"/>
  </r>
  <r>
    <n v="60764755"/>
    <s v="N"/>
    <n v="21337748"/>
    <s v="3000015002070010"/>
    <s v="CIVIL"/>
    <d v="2023-06-22T00:00:00"/>
    <d v="2023-07-06T19:21:01"/>
    <m/>
    <d v="2023-07-06T00:00:00"/>
    <n v="1205"/>
    <n v="18696"/>
    <s v="60764755"/>
    <s v="60764755"/>
    <m/>
    <m/>
    <n v="22741190"/>
    <m/>
    <m/>
    <m/>
    <s v="SOLFIN"/>
    <s v="SOLFIN"/>
    <s v="CCMS"/>
    <n v="21337748"/>
    <n v="11125.15"/>
    <m/>
    <s v="N"/>
    <n v="11"/>
    <d v="2023-07-06T19:21:07"/>
    <s v="Y"/>
    <s v="Advocates Meeting"/>
    <s v="Public Law Children"/>
    <s v="Advocacy"/>
    <s v="Charlotte Raybould"/>
    <s v="Y"/>
    <n v="140.99"/>
    <n v="28.2"/>
    <x v="4"/>
    <s v="VALIDATED"/>
    <n v="1"/>
    <s v="01.11.80.308.6100.0000"/>
    <n v="140.99"/>
    <s v="11"/>
    <s v="6100"/>
    <n v="30594.15"/>
    <n v="140.99"/>
    <s v="CREDITOR"/>
    <n v="0"/>
    <n v="0"/>
    <n v="0"/>
    <n v="0"/>
    <n v="140.99"/>
  </r>
  <r>
    <n v="60631907"/>
    <s v="N"/>
    <n v="21331360"/>
    <s v="3000014878960007"/>
    <s v="CIVIL"/>
    <d v="2023-06-28T00:00:00"/>
    <d v="2023-07-05T19:01:47"/>
    <m/>
    <d v="2023-07-05T00:00:00"/>
    <n v="1205"/>
    <n v="18696"/>
    <s v="60631907"/>
    <s v="60631907"/>
    <m/>
    <m/>
    <n v="22783676"/>
    <m/>
    <m/>
    <m/>
    <s v="SOLFIN"/>
    <s v="SOLFIN"/>
    <s v="CCMS"/>
    <n v="21331360"/>
    <n v="9637.15"/>
    <m/>
    <s v="N"/>
    <n v="28"/>
    <d v="2023-07-05T19:02:16"/>
    <s v="Y"/>
    <s v="Attendance upon other"/>
    <s v="Prescribed Hourly Rates"/>
    <s v="Profit Cost"/>
    <s v="Andrew Crumpton"/>
    <s v="Y"/>
    <n v="34.31"/>
    <n v="6.86"/>
    <x v="6"/>
    <s v="VALIDATED"/>
    <n v="1"/>
    <s v="01.11.80.307.6100.0000"/>
    <n v="34.31"/>
    <s v="11"/>
    <s v="6100"/>
    <n v="30594.15"/>
    <n v="34.31"/>
    <s v="CREDITOR"/>
    <n v="0"/>
    <n v="0"/>
    <n v="0"/>
    <n v="0"/>
    <n v="34.31"/>
  </r>
  <r>
    <n v="60631907"/>
    <s v="N"/>
    <n v="21331360"/>
    <s v="3000014878960007"/>
    <s v="CIVIL"/>
    <d v="2023-06-28T00:00:00"/>
    <d v="2023-07-05T19:01:47"/>
    <m/>
    <d v="2023-07-05T00:00:00"/>
    <n v="1205"/>
    <n v="18696"/>
    <s v="60631907"/>
    <s v="60631907"/>
    <m/>
    <m/>
    <n v="22783676"/>
    <m/>
    <m/>
    <m/>
    <s v="SOLFIN"/>
    <s v="SOLFIN"/>
    <s v="CCMS"/>
    <n v="21331360"/>
    <n v="9637.15"/>
    <m/>
    <s v="N"/>
    <n v="29"/>
    <d v="2023-07-05T19:02:16"/>
    <s v="Y"/>
    <s v="Preparation - other"/>
    <s v="Prescribed Hourly Rates"/>
    <s v="Profit Cost"/>
    <s v="Penny Dukes"/>
    <s v="Y"/>
    <n v="10.98"/>
    <n v="2.2"/>
    <x v="6"/>
    <s v="VALIDATED"/>
    <n v="1"/>
    <s v="01.11.80.307.6100.0000"/>
    <n v="10.98"/>
    <s v="11"/>
    <s v="6100"/>
    <n v="30594.15"/>
    <n v="10.98"/>
    <s v="CREDITOR"/>
    <n v="0"/>
    <n v="0"/>
    <n v="0"/>
    <n v="0"/>
    <n v="10.98"/>
  </r>
  <r>
    <n v="60631907"/>
    <s v="N"/>
    <n v="21331360"/>
    <s v="3000014878960007"/>
    <s v="CIVIL"/>
    <d v="2023-06-28T00:00:00"/>
    <d v="2023-07-05T19:01:47"/>
    <m/>
    <d v="2023-07-05T00:00:00"/>
    <n v="1205"/>
    <n v="18696"/>
    <s v="60631907"/>
    <s v="60631907"/>
    <m/>
    <m/>
    <n v="22783676"/>
    <m/>
    <m/>
    <m/>
    <s v="SOLFIN"/>
    <s v="SOLFIN"/>
    <s v="CCMS"/>
    <n v="21331360"/>
    <n v="9637.15"/>
    <m/>
    <s v="N"/>
    <n v="1"/>
    <d v="2023-07-05T19:02:16"/>
    <s v="Y"/>
    <s v="Preparation - other"/>
    <s v="Prescribed Hourly Rates"/>
    <s v="Profit Cost"/>
    <s v="Andrew Crumpton"/>
    <s v="Y"/>
    <n v="13.73"/>
    <n v="2.75"/>
    <x v="6"/>
    <s v="VALIDATED"/>
    <n v="1"/>
    <s v="01.11.80.307.6100.0000"/>
    <n v="13.73"/>
    <s v="11"/>
    <s v="6100"/>
    <n v="30594.15"/>
    <n v="13.73"/>
    <s v="CREDITOR"/>
    <n v="0"/>
    <n v="0"/>
    <n v="0"/>
    <n v="0"/>
    <n v="13.73"/>
  </r>
  <r>
    <n v="60867047"/>
    <s v="N"/>
    <n v="21349869"/>
    <s v="3000015089740008"/>
    <s v="CIVIL"/>
    <d v="2023-06-26T00:00:00"/>
    <d v="2023-07-10T19:01:40"/>
    <m/>
    <d v="2023-07-10T00:00:00"/>
    <n v="1205"/>
    <n v="18696"/>
    <s v="60867047"/>
    <s v="60867047"/>
    <m/>
    <m/>
    <n v="22762804"/>
    <m/>
    <m/>
    <m/>
    <s v="SOLFIN"/>
    <s v="SOLFIN"/>
    <s v="CCMS"/>
    <n v="21349869"/>
    <n v="11255.82"/>
    <m/>
    <s v="N"/>
    <n v="11"/>
    <d v="2023-07-10T19:02:01"/>
    <s v="Y"/>
    <s v="Advocates Meeting"/>
    <s v="Public Law Children"/>
    <s v="Advocacy"/>
    <s v="Charlotte Raybould"/>
    <s v="Y"/>
    <n v="140.99"/>
    <n v="28.2"/>
    <x v="2"/>
    <s v="VALIDATED"/>
    <n v="1"/>
    <s v="01.11.80.308.6100.0000"/>
    <n v="140.99"/>
    <s v="11"/>
    <s v="6100"/>
    <n v="30594.15"/>
    <n v="140.99"/>
    <s v="CREDITOR"/>
    <n v="0"/>
    <n v="0"/>
    <n v="0"/>
    <n v="0"/>
    <n v="140.99"/>
  </r>
  <r>
    <n v="60773030"/>
    <s v="N"/>
    <n v="21344084"/>
    <s v="3000015011890006"/>
    <s v="CIVIL"/>
    <d v="2023-06-29T00:00:00"/>
    <d v="2023-07-07T19:03:00"/>
    <m/>
    <d v="2023-07-07T00:00:00"/>
    <n v="1205"/>
    <n v="18696"/>
    <s v="60773030"/>
    <s v="60773030"/>
    <m/>
    <m/>
    <n v="22785194"/>
    <m/>
    <m/>
    <m/>
    <s v="SOLFIN"/>
    <s v="SOLFIN"/>
    <s v="CCMS"/>
    <n v="21344084"/>
    <n v="3274.89"/>
    <m/>
    <s v="N"/>
    <n v="7"/>
    <d v="2023-07-07T19:03:23"/>
    <s v="Y"/>
    <s v="Advocacy - Directions Hearing"/>
    <s v="Prescribed Hourly Rates"/>
    <s v="Advocacy"/>
    <s v="Narinder Singh"/>
    <s v="Y"/>
    <n v="84.77"/>
    <n v="16.96"/>
    <x v="9"/>
    <s v="VALIDATED"/>
    <n v="1"/>
    <s v="01.11.80.307.6100.0000"/>
    <n v="84.77"/>
    <s v="11"/>
    <s v="6100"/>
    <n v="30594.15"/>
    <n v="84.77"/>
    <s v="CREDITOR"/>
    <n v="0"/>
    <n v="0"/>
    <n v="0"/>
    <n v="0"/>
    <n v="84.77"/>
  </r>
  <r>
    <n v="8096699"/>
    <s v="N"/>
    <n v="21344060"/>
    <s v="3000004211210009"/>
    <s v="CIVIL"/>
    <d v="2023-06-29T00:00:00"/>
    <d v="2023-07-07T19:03:00"/>
    <m/>
    <d v="2023-07-07T00:00:00"/>
    <n v="1205"/>
    <n v="18696"/>
    <s v="8096699"/>
    <s v="8096699"/>
    <m/>
    <m/>
    <n v="22791280"/>
    <m/>
    <m/>
    <m/>
    <s v="SOLFIN"/>
    <s v="SOLFIN"/>
    <s v="CCMS"/>
    <n v="21344060"/>
    <n v="1555.48"/>
    <m/>
    <s v="N"/>
    <n v="7"/>
    <d v="2023-07-07T19:03:22"/>
    <s v="Y"/>
    <s v="Solicitor Travel Expenses"/>
    <s v="Non Family Hourly Rates"/>
    <s v="Non Expert Disbursement"/>
    <s v="KirstyMacMillan"/>
    <s v="Y"/>
    <n v="7.8"/>
    <n v="1.56"/>
    <x v="9"/>
    <s v="VALIDATED"/>
    <n v="1"/>
    <s v="01.11.80.209.6300.0000"/>
    <n v="7.8"/>
    <s v="11"/>
    <s v="6300"/>
    <n v="30594.15"/>
    <n v="7.8"/>
    <s v="CREDITOR"/>
    <n v="0"/>
    <n v="0"/>
    <n v="0"/>
    <n v="0"/>
    <n v="7.8"/>
  </r>
  <r>
    <n v="54813547"/>
    <s v="N"/>
    <n v="21338270"/>
    <s v="3000013038820008"/>
    <s v="CIVIL"/>
    <d v="2023-06-27T00:00:00"/>
    <d v="2023-07-06T19:21:01"/>
    <m/>
    <d v="2023-07-06T00:00:00"/>
    <n v="1205"/>
    <n v="18696"/>
    <s v="54813547"/>
    <s v="54813547"/>
    <m/>
    <m/>
    <n v="22769992"/>
    <m/>
    <m/>
    <m/>
    <s v="SOLFIN"/>
    <s v="SOLFIN"/>
    <s v="CCMS"/>
    <n v="21338270"/>
    <n v="24252.38"/>
    <m/>
    <s v="N"/>
    <n v="84"/>
    <d v="2023-07-06T19:21:15"/>
    <s v="Y"/>
    <s v="Preparation - other"/>
    <s v="Care Remuneration Hourly Rates"/>
    <s v="Profit Cost"/>
    <s v="Penny Dukes"/>
    <s v="Y"/>
    <n v="11.85"/>
    <n v="2.37"/>
    <x v="4"/>
    <s v="VALIDATED"/>
    <n v="1"/>
    <s v="01.11.80.308.6100.0000"/>
    <n v="11.85"/>
    <s v="11"/>
    <s v="6100"/>
    <n v="30594.15"/>
    <n v="11.85"/>
    <s v="CREDITOR"/>
    <n v="0"/>
    <n v="0"/>
    <n v="0"/>
    <n v="0"/>
    <n v="11.85"/>
  </r>
  <r>
    <n v="54813547"/>
    <s v="N"/>
    <n v="21338270"/>
    <s v="3000013038820008"/>
    <s v="CIVIL"/>
    <d v="2023-06-27T00:00:00"/>
    <d v="2023-07-06T19:21:01"/>
    <m/>
    <d v="2023-07-06T00:00:00"/>
    <n v="1205"/>
    <n v="18696"/>
    <s v="54813547"/>
    <s v="54813547"/>
    <m/>
    <m/>
    <n v="22769992"/>
    <m/>
    <m/>
    <m/>
    <s v="SOLFIN"/>
    <s v="SOLFIN"/>
    <s v="CCMS"/>
    <n v="21338270"/>
    <n v="24252.38"/>
    <m/>
    <s v="N"/>
    <n v="38"/>
    <d v="2023-07-06T19:21:15"/>
    <s v="Y"/>
    <s v="Preparation - other"/>
    <s v="Care Remuneration Hourly Rates"/>
    <s v="Profit Cost"/>
    <s v="Anna Cooper"/>
    <s v="Y"/>
    <n v="600.01"/>
    <n v="120"/>
    <x v="4"/>
    <s v="VALIDATED"/>
    <n v="1"/>
    <s v="01.11.80.308.6100.0000"/>
    <n v="600.01"/>
    <s v="11"/>
    <s v="6100"/>
    <n v="30594.15"/>
    <n v="600.01"/>
    <s v="CREDITOR"/>
    <n v="0"/>
    <n v="0"/>
    <n v="0"/>
    <n v="0"/>
    <n v="600.01"/>
  </r>
  <r>
    <n v="54813547"/>
    <s v="N"/>
    <n v="21338270"/>
    <s v="3000013038820008"/>
    <s v="CIVIL"/>
    <d v="2023-06-27T00:00:00"/>
    <d v="2023-07-06T19:21:01"/>
    <m/>
    <d v="2023-07-06T00:00:00"/>
    <n v="1205"/>
    <n v="18696"/>
    <s v="54813547"/>
    <s v="54813547"/>
    <m/>
    <m/>
    <n v="22769992"/>
    <m/>
    <m/>
    <m/>
    <s v="SOLFIN"/>
    <s v="SOLFIN"/>
    <s v="CCMS"/>
    <n v="21338270"/>
    <n v="24252.38"/>
    <m/>
    <s v="N"/>
    <n v="50"/>
    <d v="2023-07-06T19:21:15"/>
    <s v="Y"/>
    <s v="Attendance upon solicitor"/>
    <s v="Care Remuneration Hourly Rates"/>
    <s v="Profit Cost"/>
    <s v="Charlotte Raybould"/>
    <s v="Y"/>
    <n v="37.04"/>
    <n v="7.41"/>
    <x v="4"/>
    <s v="VALIDATED"/>
    <n v="1"/>
    <s v="01.11.80.308.6100.0000"/>
    <n v="37.04"/>
    <s v="11"/>
    <s v="6100"/>
    <n v="30594.15"/>
    <n v="37.04"/>
    <s v="CREDITOR"/>
    <n v="0"/>
    <n v="0"/>
    <n v="0"/>
    <n v="0"/>
    <n v="37.04"/>
  </r>
  <r>
    <n v="60631907"/>
    <s v="N"/>
    <n v="21331360"/>
    <s v="3000014878960007"/>
    <s v="CIVIL"/>
    <d v="2023-06-28T00:00:00"/>
    <d v="2023-07-05T19:01:47"/>
    <m/>
    <d v="2023-07-05T00:00:00"/>
    <n v="1205"/>
    <n v="18696"/>
    <s v="60631907"/>
    <s v="60631907"/>
    <m/>
    <m/>
    <n v="22783676"/>
    <m/>
    <m/>
    <m/>
    <s v="SOLFIN"/>
    <s v="SOLFIN"/>
    <s v="CCMS"/>
    <n v="21331360"/>
    <n v="9637.15"/>
    <m/>
    <s v="N"/>
    <n v="30"/>
    <d v="2023-07-05T19:02:16"/>
    <s v="Y"/>
    <s v="Report - other report"/>
    <s v="Prescribed Hourly Rates"/>
    <s v="Profit Cost"/>
    <s v="Andrew Crumpton"/>
    <s v="Y"/>
    <n v="20.59"/>
    <n v="4.12"/>
    <x v="6"/>
    <s v="VALIDATED"/>
    <n v="1"/>
    <s v="01.11.80.307.6100.0000"/>
    <n v="20.59"/>
    <s v="11"/>
    <s v="6100"/>
    <n v="30594.15"/>
    <n v="20.59"/>
    <s v="CREDITOR"/>
    <n v="0"/>
    <n v="0"/>
    <n v="0"/>
    <n v="0"/>
    <n v="20.59"/>
  </r>
  <r>
    <n v="60631907"/>
    <s v="N"/>
    <n v="21331360"/>
    <s v="3000014878960007"/>
    <s v="CIVIL"/>
    <d v="2023-06-28T00:00:00"/>
    <d v="2023-07-05T19:01:47"/>
    <m/>
    <d v="2023-07-05T00:00:00"/>
    <n v="1205"/>
    <n v="18696"/>
    <s v="60631907"/>
    <s v="60631907"/>
    <m/>
    <m/>
    <n v="22783676"/>
    <m/>
    <m/>
    <m/>
    <s v="SOLFIN"/>
    <s v="SOLFIN"/>
    <s v="CCMS"/>
    <n v="21331360"/>
    <n v="9637.15"/>
    <m/>
    <s v="N"/>
    <n v="81"/>
    <d v="2023-07-05T19:02:16"/>
    <s v="Y"/>
    <s v="Attendance upon other side"/>
    <s v="Prescribed Hourly Rates"/>
    <s v="Profit Cost"/>
    <s v="Andrew Crumpton"/>
    <s v="Y"/>
    <n v="68.63"/>
    <n v="13.73"/>
    <x v="6"/>
    <s v="VALIDATED"/>
    <n v="1"/>
    <s v="01.11.80.307.6100.0000"/>
    <n v="68.63"/>
    <s v="11"/>
    <s v="6100"/>
    <n v="30594.15"/>
    <n v="68.63"/>
    <s v="CREDITOR"/>
    <n v="0"/>
    <n v="0"/>
    <n v="0"/>
    <n v="0"/>
    <n v="68.63"/>
  </r>
  <r>
    <n v="60631907"/>
    <s v="N"/>
    <n v="21331360"/>
    <s v="3000014878960007"/>
    <s v="CIVIL"/>
    <d v="2023-06-28T00:00:00"/>
    <d v="2023-07-05T19:01:47"/>
    <m/>
    <d v="2023-07-05T00:00:00"/>
    <n v="1205"/>
    <n v="18696"/>
    <s v="60631907"/>
    <s v="60631907"/>
    <m/>
    <m/>
    <n v="22783676"/>
    <m/>
    <m/>
    <m/>
    <s v="SOLFIN"/>
    <s v="SOLFIN"/>
    <s v="CCMS"/>
    <n v="21331360"/>
    <n v="9637.15"/>
    <m/>
    <s v="N"/>
    <n v="26"/>
    <d v="2023-07-05T19:02:16"/>
    <s v="Y"/>
    <s v="Preparation - drafting bill/claim f"/>
    <s v="Prescribed Hourly Rates"/>
    <s v="Profit Cost"/>
    <s v="Amanda Leonard"/>
    <s v="Y"/>
    <n v="10.98"/>
    <n v="2.2"/>
    <x v="6"/>
    <s v="VALIDATED"/>
    <n v="1"/>
    <s v="01.11.80.307.6100.0000"/>
    <n v="10.98"/>
    <s v="11"/>
    <s v="6100"/>
    <n v="30594.15"/>
    <n v="10.98"/>
    <s v="CREDITOR"/>
    <n v="0"/>
    <n v="0"/>
    <n v="0"/>
    <n v="0"/>
    <n v="10.98"/>
  </r>
  <r>
    <n v="60066609"/>
    <s v="N"/>
    <n v="21350136"/>
    <s v="3000014401840008"/>
    <s v="CIVIL"/>
    <d v="2023-06-29T00:00:00"/>
    <d v="2023-07-10T19:01:40"/>
    <m/>
    <d v="2023-07-10T00:00:00"/>
    <n v="1205"/>
    <n v="18696"/>
    <s v="60066609"/>
    <s v="60066609"/>
    <m/>
    <m/>
    <n v="22788730"/>
    <m/>
    <m/>
    <m/>
    <s v="SOLFIN"/>
    <s v="SOLFIN"/>
    <s v="CCMS"/>
    <n v="21350136"/>
    <n v="7952.47"/>
    <m/>
    <s v="N"/>
    <n v="11"/>
    <d v="2023-07-10T19:02:15"/>
    <s v="Y"/>
    <s v="Hearing Unit 1.01 - 2.30 Hours"/>
    <s v="Public Law Children"/>
    <s v="Advocacy"/>
    <s v="Andrew Crumpton"/>
    <s v="Y"/>
    <n v="238.46"/>
    <n v="47.69"/>
    <x v="2"/>
    <s v="VALIDATED"/>
    <n v="1"/>
    <s v="01.11.80.308.6100.0000"/>
    <n v="238.46"/>
    <s v="11"/>
    <s v="6100"/>
    <n v="30594.15"/>
    <n v="238.46"/>
    <s v="CREDITOR"/>
    <n v="0"/>
    <n v="0"/>
    <n v="0"/>
    <n v="0"/>
    <n v="238.46"/>
  </r>
  <r>
    <n v="60867047"/>
    <s v="N"/>
    <n v="21349869"/>
    <s v="3000015089740008"/>
    <s v="CIVIL"/>
    <d v="2023-06-26T00:00:00"/>
    <d v="2023-07-10T19:01:40"/>
    <m/>
    <d v="2023-07-10T00:00:00"/>
    <n v="1205"/>
    <n v="18696"/>
    <s v="60867047"/>
    <s v="60867047"/>
    <m/>
    <m/>
    <n v="22762804"/>
    <m/>
    <m/>
    <m/>
    <s v="SOLFIN"/>
    <s v="SOLFIN"/>
    <s v="CCMS"/>
    <n v="21349869"/>
    <n v="11255.82"/>
    <m/>
    <s v="N"/>
    <n v="10"/>
    <d v="2023-07-10T19:02:01"/>
    <s v="Y"/>
    <s v="Hearing Unit 2.31 - 5.00 Hours"/>
    <s v="Public Law Children"/>
    <s v="Advocacy"/>
    <s v="Charlotte Raybould"/>
    <s v="Y"/>
    <n v="476.92"/>
    <n v="95.38"/>
    <x v="2"/>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3"/>
    <d v="2023-07-07T19:03:15"/>
    <s v="Y"/>
    <s v="Neuroradiologist (non-clin neg cere"/>
    <s v="Care Remuneration Hourly Rates"/>
    <s v="Expert Disbursement"/>
    <s v="Charlotte Raybould"/>
    <s v="Y"/>
    <n v="810"/>
    <n v="162"/>
    <x v="9"/>
    <s v="VALIDATED"/>
    <n v="1"/>
    <s v="01.11.80.308.6300.0000"/>
    <n v="810"/>
    <s v="11"/>
    <s v="6300"/>
    <n v="30594.15"/>
    <n v="810"/>
    <s v="CREDITOR"/>
    <n v="0"/>
    <n v="0"/>
    <n v="0"/>
    <n v="0"/>
    <n v="810"/>
  </r>
  <r>
    <n v="48504544"/>
    <s v="N"/>
    <n v="21344092"/>
    <s v="3000012074710009"/>
    <s v="CIVIL"/>
    <d v="2023-06-29T00:00:00"/>
    <d v="2023-07-07T19:03:00"/>
    <m/>
    <d v="2023-07-07T00:00:00"/>
    <n v="1205"/>
    <n v="18696"/>
    <s v="48504544"/>
    <s v="48504544"/>
    <m/>
    <m/>
    <n v="22787308"/>
    <m/>
    <m/>
    <m/>
    <s v="SOLFIN"/>
    <s v="SOLFIN"/>
    <s v="CCMS"/>
    <n v="21344092"/>
    <n v="5824.29"/>
    <m/>
    <s v="N"/>
    <n v="29"/>
    <d v="2023-07-07T19:03:23"/>
    <s v="Y"/>
    <s v="Preparation - drafting statement"/>
    <s v="Prescribed Hourly Rates"/>
    <s v="Profit Cost"/>
    <s v="Charlotte Raybould"/>
    <s v="Y"/>
    <n v="63.14"/>
    <n v="12.63"/>
    <x v="9"/>
    <s v="VALIDATED"/>
    <n v="1"/>
    <s v="01.11.80.307.6100.0000"/>
    <n v="63.14"/>
    <s v="11"/>
    <s v="6100"/>
    <n v="30594.15"/>
    <n v="63.14"/>
    <s v="CREDITOR"/>
    <n v="0"/>
    <n v="0"/>
    <n v="0"/>
    <n v="0"/>
    <n v="63.14"/>
  </r>
  <r>
    <n v="54813547"/>
    <s v="N"/>
    <n v="21338270"/>
    <s v="3000013038820008"/>
    <s v="CIVIL"/>
    <d v="2023-06-27T00:00:00"/>
    <d v="2023-07-06T19:21:01"/>
    <m/>
    <d v="2023-07-06T00:00:00"/>
    <n v="1205"/>
    <n v="18696"/>
    <s v="54813547"/>
    <s v="54813547"/>
    <m/>
    <m/>
    <n v="22769992"/>
    <m/>
    <m/>
    <m/>
    <s v="SOLFIN"/>
    <s v="SOLFIN"/>
    <s v="CCMS"/>
    <n v="21338270"/>
    <n v="24252.38"/>
    <m/>
    <s v="N"/>
    <n v="55"/>
    <d v="2023-07-06T19:21:15"/>
    <s v="Y"/>
    <s v="Routine Letter In"/>
    <s v="Care Remuneration Hourly Rates"/>
    <s v="Profit Cost"/>
    <s v="Anna Cooper"/>
    <s v="Y"/>
    <n v="1352.56"/>
    <n v="270.51"/>
    <x v="4"/>
    <s v="VALIDATED"/>
    <n v="1"/>
    <s v="01.11.80.308.6100.0000"/>
    <n v="1352.56"/>
    <s v="11"/>
    <s v="6100"/>
    <n v="30594.15"/>
    <n v="1352.56"/>
    <s v="CREDITOR"/>
    <n v="0"/>
    <n v="0"/>
    <n v="0"/>
    <n v="0"/>
    <n v="1352.56"/>
  </r>
  <r>
    <n v="54813547"/>
    <s v="N"/>
    <n v="21338270"/>
    <s v="3000013038820008"/>
    <s v="CIVIL"/>
    <d v="2023-06-27T00:00:00"/>
    <d v="2023-07-06T19:21:01"/>
    <m/>
    <d v="2023-07-06T00:00:00"/>
    <n v="1205"/>
    <n v="18696"/>
    <s v="54813547"/>
    <s v="54813547"/>
    <m/>
    <m/>
    <n v="22769992"/>
    <m/>
    <m/>
    <m/>
    <s v="SOLFIN"/>
    <s v="SOLFIN"/>
    <s v="CCMS"/>
    <n v="21338270"/>
    <n v="24252.38"/>
    <m/>
    <s v="N"/>
    <n v="112"/>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60631907"/>
    <s v="N"/>
    <n v="21331360"/>
    <s v="3000014878960007"/>
    <s v="CIVIL"/>
    <d v="2023-06-28T00:00:00"/>
    <d v="2023-07-05T19:01:47"/>
    <m/>
    <d v="2023-07-05T00:00:00"/>
    <n v="1205"/>
    <n v="18696"/>
    <s v="60631907"/>
    <s v="60631907"/>
    <m/>
    <m/>
    <n v="22783676"/>
    <m/>
    <m/>
    <m/>
    <s v="SOLFIN"/>
    <s v="SOLFIN"/>
    <s v="CCMS"/>
    <n v="21331360"/>
    <n v="9637.15"/>
    <m/>
    <s v="N"/>
    <n v="9"/>
    <d v="2023-07-05T19:02:16"/>
    <s v="Y"/>
    <s v="Routine Telephone Call"/>
    <s v="Prescribed Hourly Rates"/>
    <s v="Profit Cost"/>
    <s v="Shrinder Chaggar"/>
    <s v="Y"/>
    <n v="5.4"/>
    <n v="1.08"/>
    <x v="6"/>
    <s v="VALIDATED"/>
    <n v="1"/>
    <s v="01.11.80.307.6100.0000"/>
    <n v="5.4"/>
    <s v="11"/>
    <s v="6100"/>
    <n v="30594.15"/>
    <n v="5.4"/>
    <s v="CREDITOR"/>
    <n v="0"/>
    <n v="0"/>
    <n v="0"/>
    <n v="0"/>
    <n v="5.4"/>
  </r>
  <r>
    <n v="60744883"/>
    <s v="N"/>
    <n v="21330927"/>
    <s v="3000014987240008"/>
    <s v="CIVIL"/>
    <d v="2023-06-22T00:00:00"/>
    <d v="2023-07-05T19:01:47"/>
    <m/>
    <d v="2023-07-05T00:00:00"/>
    <n v="1205"/>
    <n v="18696"/>
    <s v="60744883"/>
    <s v="60744883"/>
    <m/>
    <m/>
    <n v="22745992"/>
    <m/>
    <m/>
    <m/>
    <s v="SOLFIN"/>
    <s v="SOLFIN"/>
    <s v="CCMS"/>
    <n v="21330927"/>
    <n v="13790.5"/>
    <m/>
    <s v="N"/>
    <n v="41"/>
    <d v="2023-07-05T19:01:57"/>
    <s v="Y"/>
    <s v="Preparation - drafting statement"/>
    <s v="Care Remuneration Hourly Rates"/>
    <s v="Profit Cost"/>
    <s v="Alix Reynolds"/>
    <s v="Y"/>
    <n v="98.58"/>
    <n v="19.72"/>
    <x v="6"/>
    <s v="VALIDATED"/>
    <n v="1"/>
    <s v="01.11.80.308.6100.0000"/>
    <n v="98.58"/>
    <s v="11"/>
    <s v="6100"/>
    <n v="30594.15"/>
    <n v="98.58"/>
    <s v="CREDITOR"/>
    <n v="0"/>
    <n v="0"/>
    <n v="0"/>
    <n v="0"/>
    <n v="98.58"/>
  </r>
  <r>
    <n v="61817409"/>
    <s v="N"/>
    <n v="21331158"/>
    <s v="3000015888300002"/>
    <s v="CIVIL"/>
    <d v="2023-06-27T00:00:00"/>
    <d v="2023-07-05T19:01:47"/>
    <m/>
    <d v="2023-07-05T00:00:00"/>
    <n v="1205"/>
    <n v="18696"/>
    <s v="61817409"/>
    <s v="61817409"/>
    <m/>
    <m/>
    <n v="22771972"/>
    <m/>
    <m/>
    <m/>
    <s v="SOLFIN"/>
    <s v="SOLFIN"/>
    <s v="CCMS"/>
    <n v="21331158"/>
    <n v="5951.96"/>
    <m/>
    <s v="N"/>
    <n v="8"/>
    <d v="2023-07-05T19:02:08"/>
    <s v="Y"/>
    <s v="Solicitors Fixed Fee"/>
    <s v="Public Law Children"/>
    <s v="Profit Cost"/>
    <s v="Narinder Singh"/>
    <s v="Y"/>
    <n v="2630"/>
    <n v="526"/>
    <x v="6"/>
    <s v="VALIDATED"/>
    <n v="1"/>
    <s v="01.11.80.308.6100.0000"/>
    <n v="2630"/>
    <s v="11"/>
    <s v="6100"/>
    <n v="30594.15"/>
    <n v="2630"/>
    <s v="CREDITOR"/>
    <n v="0"/>
    <n v="0"/>
    <n v="0"/>
    <n v="0"/>
    <n v="2630"/>
  </r>
  <r>
    <n v="60740536"/>
    <s v="N"/>
    <n v="21343872"/>
    <s v="3000014983190011"/>
    <s v="CIVIL"/>
    <d v="2023-06-27T00:00:00"/>
    <d v="2023-07-07T19:03:00"/>
    <m/>
    <d v="2023-07-07T00:00:00"/>
    <n v="1205"/>
    <n v="18696"/>
    <s v="60740536"/>
    <s v="60740536"/>
    <m/>
    <m/>
    <n v="22766106"/>
    <m/>
    <m/>
    <m/>
    <s v="SOLFIN"/>
    <s v="SOLFIN"/>
    <s v="CCMS"/>
    <n v="21343872"/>
    <n v="13395.68"/>
    <m/>
    <s v="N"/>
    <n v="90"/>
    <d v="2023-07-07T19:03:15"/>
    <s v="N"/>
    <s v="Solicitors Fixed Fee"/>
    <s v="Public Law Children"/>
    <s v="Profit Cost"/>
    <s v="Charlotte Raybould"/>
    <s v="N"/>
    <n v="0"/>
    <n v="0"/>
    <x v="9"/>
    <s v="VALIDATED"/>
    <n v="1"/>
    <s v="01.11.80.308.6100.0000"/>
    <n v="0"/>
    <s v="11"/>
    <s v="6100"/>
    <n v="30594.15"/>
    <n v="0"/>
    <s v="CREDITOR"/>
    <n v="0"/>
    <n v="0"/>
    <n v="0"/>
    <n v="0"/>
    <n v="0"/>
  </r>
  <r>
    <n v="60740536"/>
    <s v="N"/>
    <n v="21343872"/>
    <s v="3000014983190011"/>
    <s v="CIVIL"/>
    <d v="2023-06-27T00:00:00"/>
    <d v="2023-07-07T19:03:00"/>
    <m/>
    <d v="2023-07-07T00:00:00"/>
    <n v="1205"/>
    <n v="18696"/>
    <s v="60740536"/>
    <s v="60740536"/>
    <m/>
    <m/>
    <n v="22766106"/>
    <m/>
    <m/>
    <m/>
    <s v="SOLFIN"/>
    <s v="SOLFIN"/>
    <s v="CCMS"/>
    <n v="21343872"/>
    <n v="13395.68"/>
    <m/>
    <s v="N"/>
    <n v="52"/>
    <d v="2023-07-07T19:03:15"/>
    <s v="Y"/>
    <s v="Preparation - drafting notice(s)"/>
    <s v="Care Remuneration Hourly Rates"/>
    <s v="Profit Cost"/>
    <s v="Eliot Brookes"/>
    <s v="Y"/>
    <n v="10.51"/>
    <n v="2.1"/>
    <x v="9"/>
    <s v="VALIDATED"/>
    <n v="1"/>
    <s v="01.11.80.308.6100.0000"/>
    <n v="10.51"/>
    <s v="11"/>
    <s v="6100"/>
    <n v="30594.15"/>
    <n v="10.51"/>
    <s v="CREDITOR"/>
    <n v="0"/>
    <n v="0"/>
    <n v="0"/>
    <n v="0"/>
    <n v="10.51"/>
  </r>
  <r>
    <n v="48504544"/>
    <s v="N"/>
    <n v="21344092"/>
    <s v="3000012074710009"/>
    <s v="CIVIL"/>
    <d v="2023-06-29T00:00:00"/>
    <d v="2023-07-07T19:03:00"/>
    <m/>
    <d v="2023-07-07T00:00:00"/>
    <n v="1205"/>
    <n v="18696"/>
    <s v="48504544"/>
    <s v="48504544"/>
    <m/>
    <m/>
    <n v="22787308"/>
    <m/>
    <m/>
    <m/>
    <s v="SOLFIN"/>
    <s v="SOLFIN"/>
    <s v="CCMS"/>
    <n v="21344092"/>
    <n v="5824.29"/>
    <m/>
    <s v="N"/>
    <n v="34"/>
    <d v="2023-07-07T19:03:23"/>
    <s v="Y"/>
    <s v="Psychologist"/>
    <s v="Prescribed Hourly Rates"/>
    <s v="Expert Disbursement"/>
    <s v="Charlotte Raybould"/>
    <s v="Y"/>
    <n v="2891.98"/>
    <n v="578.4"/>
    <x v="9"/>
    <s v="VALIDATED"/>
    <n v="1"/>
    <s v="01.11.80.307.6300.0000"/>
    <n v="2891.98"/>
    <s v="11"/>
    <s v="6300"/>
    <n v="30594.15"/>
    <n v="2891.98"/>
    <s v="CREDITOR"/>
    <n v="0"/>
    <n v="0"/>
    <n v="0"/>
    <n v="0"/>
    <n v="2891.98"/>
  </r>
  <r>
    <n v="60773030"/>
    <s v="N"/>
    <n v="21344084"/>
    <s v="3000015011890006"/>
    <s v="CIVIL"/>
    <d v="2023-06-29T00:00:00"/>
    <d v="2023-07-07T19:03:00"/>
    <m/>
    <d v="2023-07-07T00:00:00"/>
    <n v="1205"/>
    <n v="18696"/>
    <s v="60773030"/>
    <s v="60773030"/>
    <m/>
    <m/>
    <n v="22785194"/>
    <m/>
    <m/>
    <m/>
    <s v="SOLFIN"/>
    <s v="SOLFIN"/>
    <s v="CCMS"/>
    <n v="21344084"/>
    <n v="3274.89"/>
    <m/>
    <s v="N"/>
    <n v="29"/>
    <d v="2023-07-07T19:03:23"/>
    <s v="Y"/>
    <s v="Preparation - drafting consent orde"/>
    <s v="Prescribed Hourly Rates"/>
    <s v="Profit Cost"/>
    <s v="Narinder Singh"/>
    <s v="Y"/>
    <n v="37.88"/>
    <n v="7.58"/>
    <x v="9"/>
    <s v="VALIDATED"/>
    <n v="1"/>
    <s v="01.11.80.307.6100.0000"/>
    <n v="37.88"/>
    <s v="11"/>
    <s v="6100"/>
    <n v="30594.15"/>
    <n v="37.88"/>
    <s v="CREDITOR"/>
    <n v="0"/>
    <n v="0"/>
    <n v="0"/>
    <n v="0"/>
    <n v="37.88"/>
  </r>
  <r>
    <n v="60764755"/>
    <s v="N"/>
    <n v="21337748"/>
    <s v="3000015002070010"/>
    <s v="CIVIL"/>
    <d v="2023-06-22T00:00:00"/>
    <d v="2023-07-06T19:21:01"/>
    <m/>
    <d v="2023-07-06T00:00:00"/>
    <n v="1205"/>
    <n v="18696"/>
    <s v="60764755"/>
    <s v="60764755"/>
    <m/>
    <m/>
    <n v="22741190"/>
    <m/>
    <m/>
    <m/>
    <s v="SOLFIN"/>
    <s v="SOLFIN"/>
    <s v="CCMS"/>
    <n v="21337748"/>
    <n v="11125.15"/>
    <m/>
    <s v="N"/>
    <n v="6"/>
    <d v="2023-07-06T19:21:07"/>
    <s v="Y"/>
    <s v="Court Fee"/>
    <s v="Public Law Children"/>
    <s v="Non Expert Disbursement"/>
    <s v="Charlotte Raybould"/>
    <s v="Y"/>
    <n v="167"/>
    <n v="0"/>
    <x v="4"/>
    <s v="VALIDATED"/>
    <n v="1"/>
    <s v="01.11.80.308.6300.0000"/>
    <n v="167"/>
    <s v="11"/>
    <s v="6300"/>
    <n v="30594.15"/>
    <n v="167"/>
    <s v="CREDITOR"/>
    <n v="0"/>
    <n v="0"/>
    <n v="0"/>
    <n v="0"/>
    <n v="167"/>
  </r>
  <r>
    <n v="54813547"/>
    <s v="N"/>
    <n v="21338270"/>
    <s v="3000013038820008"/>
    <s v="CIVIL"/>
    <d v="2023-06-27T00:00:00"/>
    <d v="2023-07-06T19:21:01"/>
    <m/>
    <d v="2023-07-06T00:00:00"/>
    <n v="1205"/>
    <n v="18696"/>
    <s v="54813547"/>
    <s v="54813547"/>
    <m/>
    <m/>
    <n v="22769992"/>
    <m/>
    <m/>
    <m/>
    <s v="SOLFIN"/>
    <s v="SOLFIN"/>
    <s v="CCMS"/>
    <n v="21338270"/>
    <n v="24252.38"/>
    <m/>
    <s v="N"/>
    <n v="59"/>
    <d v="2023-07-06T19:21:15"/>
    <s v="Y"/>
    <s v="Report - Welfare report"/>
    <s v="Care Remuneration Hourly Rates"/>
    <s v="Profit Cost"/>
    <s v="Shrinder Chaggar"/>
    <s v="Y"/>
    <n v="19.71"/>
    <n v="3.94"/>
    <x v="4"/>
    <s v="VALIDATED"/>
    <n v="1"/>
    <s v="01.11.80.308.6100.0000"/>
    <n v="19.71"/>
    <s v="11"/>
    <s v="6100"/>
    <n v="30594.15"/>
    <n v="19.71"/>
    <s v="CREDITOR"/>
    <n v="0"/>
    <n v="0"/>
    <n v="0"/>
    <n v="0"/>
    <n v="19.71"/>
  </r>
  <r>
    <n v="60631907"/>
    <s v="N"/>
    <n v="21331360"/>
    <s v="3000014878960007"/>
    <s v="CIVIL"/>
    <d v="2023-06-28T00:00:00"/>
    <d v="2023-07-05T19:01:47"/>
    <m/>
    <d v="2023-07-05T00:00:00"/>
    <n v="1205"/>
    <n v="18696"/>
    <s v="60631907"/>
    <s v="60631907"/>
    <m/>
    <m/>
    <n v="22783676"/>
    <m/>
    <m/>
    <m/>
    <s v="SOLFIN"/>
    <s v="SOLFIN"/>
    <s v="CCMS"/>
    <n v="21331360"/>
    <n v="9637.15"/>
    <m/>
    <s v="N"/>
    <n v="54"/>
    <d v="2023-07-05T19:02:16"/>
    <s v="Y"/>
    <s v="Preparation - other"/>
    <s v="Prescribed Hourly Rates"/>
    <s v="Profit Cost"/>
    <s v="Jasmine Thompson"/>
    <s v="Y"/>
    <n v="10.98"/>
    <n v="2.2"/>
    <x v="6"/>
    <s v="VALIDATED"/>
    <n v="1"/>
    <s v="01.11.80.307.6100.0000"/>
    <n v="10.98"/>
    <s v="11"/>
    <s v="6100"/>
    <n v="30594.15"/>
    <n v="10.98"/>
    <s v="CREDITOR"/>
    <n v="0"/>
    <n v="0"/>
    <n v="0"/>
    <n v="0"/>
    <n v="10.98"/>
  </r>
  <r>
    <n v="60744883"/>
    <s v="N"/>
    <n v="21330927"/>
    <s v="3000014987240008"/>
    <s v="CIVIL"/>
    <d v="2023-06-22T00:00:00"/>
    <d v="2023-07-05T19:01:47"/>
    <m/>
    <d v="2023-07-05T00:00:00"/>
    <n v="1205"/>
    <n v="18696"/>
    <s v="60744883"/>
    <s v="60744883"/>
    <m/>
    <m/>
    <n v="22745992"/>
    <m/>
    <m/>
    <m/>
    <s v="SOLFIN"/>
    <s v="SOLFIN"/>
    <s v="CCMS"/>
    <n v="21330927"/>
    <n v="13790.5"/>
    <m/>
    <s v="N"/>
    <n v="5"/>
    <d v="2023-07-05T19:01:57"/>
    <s v="Y"/>
    <s v="Preparation - other"/>
    <s v="Care Remuneration Hourly Rates"/>
    <s v="Profit Cost"/>
    <s v="Alix Reynolds"/>
    <s v="Y"/>
    <n v="36.8"/>
    <n v="7.36"/>
    <x v="6"/>
    <s v="VALIDATED"/>
    <n v="1"/>
    <s v="01.11.80.308.6100.0000"/>
    <n v="36.8"/>
    <s v="11"/>
    <s v="6100"/>
    <n v="30594.15"/>
    <n v="36.8"/>
    <s v="CREDITOR"/>
    <n v="0"/>
    <n v="0"/>
    <n v="0"/>
    <n v="0"/>
    <n v="36.8"/>
  </r>
  <r>
    <n v="62352673"/>
    <s v="N"/>
    <n v="21323206"/>
    <s v="3000016335330001"/>
    <s v="CIVIL"/>
    <d v="2023-06-30T00:00:00"/>
    <d v="2023-07-03T19:05:56"/>
    <m/>
    <d v="2023-07-03T00:00:00"/>
    <n v="1205"/>
    <n v="18696"/>
    <s v="62352673"/>
    <s v="62352673"/>
    <m/>
    <m/>
    <n v="22797228"/>
    <m/>
    <m/>
    <m/>
    <s v="SOLPOA"/>
    <s v="SOLPOA"/>
    <s v="CCMS"/>
    <n v="21323206"/>
    <n v="18.72"/>
    <m/>
    <s v="N"/>
    <n v="1"/>
    <d v="2023-07-03T19:05:56"/>
    <s v="N"/>
    <s v="Non Expert Disbursement"/>
    <s v="Non Expert Disbursement"/>
    <s v="Non Expert Disbursement"/>
    <s v="A Crumpton"/>
    <s v="N"/>
    <n v="15.6"/>
    <n v="3.12"/>
    <x v="3"/>
    <s v="VALIDATED"/>
    <n v="1"/>
    <s v="01.11.80.308.2012.0000"/>
    <n v="15.6"/>
    <s v="11"/>
    <s v="2012"/>
    <n v="30594.15"/>
    <n v="15.6"/>
    <s v="CREDITOR"/>
    <n v="15.6"/>
    <n v="0"/>
    <n v="0"/>
    <n v="0"/>
    <n v="0"/>
  </r>
  <r>
    <n v="60740536"/>
    <s v="N"/>
    <n v="21343872"/>
    <s v="3000014983190011"/>
    <s v="CIVIL"/>
    <d v="2023-06-27T00:00:00"/>
    <d v="2023-07-07T19:03:00"/>
    <m/>
    <d v="2023-07-07T00:00:00"/>
    <n v="1205"/>
    <n v="18696"/>
    <s v="60740536"/>
    <s v="60740536"/>
    <m/>
    <m/>
    <n v="22766106"/>
    <m/>
    <m/>
    <m/>
    <s v="SOLFIN"/>
    <s v="SOLFIN"/>
    <s v="CCMS"/>
    <n v="21343872"/>
    <n v="13395.68"/>
    <m/>
    <s v="N"/>
    <n v="27"/>
    <d v="2023-07-07T19:03:15"/>
    <s v="Y"/>
    <s v="Report - Medical report"/>
    <s v="Care Remuneration Hourly Rates"/>
    <s v="Profit Cost"/>
    <s v="Anna Cooper"/>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64"/>
    <d v="2023-07-07T19:03:15"/>
    <s v="Y"/>
    <s v="Travel to court"/>
    <s v="Care Remuneration Hourly Rates"/>
    <s v="Profit Cost"/>
    <s v="Anna Cooper"/>
    <s v="Y"/>
    <n v="26.29"/>
    <n v="5.26"/>
    <x v="9"/>
    <s v="VALIDATED"/>
    <n v="1"/>
    <s v="01.11.80.308.6100.0000"/>
    <n v="26.29"/>
    <s v="11"/>
    <s v="6100"/>
    <n v="30594.15"/>
    <n v="26.29"/>
    <s v="CREDITOR"/>
    <n v="0"/>
    <n v="0"/>
    <n v="0"/>
    <n v="0"/>
    <n v="26.29"/>
  </r>
  <r>
    <n v="60773030"/>
    <s v="N"/>
    <n v="21344084"/>
    <s v="3000015011890006"/>
    <s v="CIVIL"/>
    <d v="2023-06-29T00:00:00"/>
    <d v="2023-07-07T19:03:00"/>
    <m/>
    <d v="2023-07-07T00:00:00"/>
    <n v="1205"/>
    <n v="18696"/>
    <s v="60773030"/>
    <s v="60773030"/>
    <m/>
    <m/>
    <n v="22785194"/>
    <m/>
    <m/>
    <m/>
    <s v="SOLFIN"/>
    <s v="SOLFIN"/>
    <s v="CCMS"/>
    <n v="21344084"/>
    <n v="3274.89"/>
    <m/>
    <s v="N"/>
    <n v="4"/>
    <d v="2023-07-07T19:03:23"/>
    <s v="Y"/>
    <s v="Preparation - other"/>
    <s v="Prescribed Hourly Rates"/>
    <s v="Profit Cost"/>
    <s v="Darren Plant"/>
    <s v="Y"/>
    <n v="5.49"/>
    <n v="1.1"/>
    <x v="9"/>
    <s v="VALIDATED"/>
    <n v="1"/>
    <s v="01.11.80.307.6100.0000"/>
    <n v="5.49"/>
    <s v="11"/>
    <s v="6100"/>
    <n v="30594.15"/>
    <n v="5.49"/>
    <s v="CREDITOR"/>
    <n v="0"/>
    <n v="0"/>
    <n v="0"/>
    <n v="0"/>
    <n v="5.49"/>
  </r>
  <r>
    <n v="48504544"/>
    <s v="N"/>
    <n v="21344092"/>
    <s v="3000012074710009"/>
    <s v="CIVIL"/>
    <d v="2023-06-29T00:00:00"/>
    <d v="2023-07-07T19:03:00"/>
    <m/>
    <d v="2023-07-07T00:00:00"/>
    <n v="1205"/>
    <n v="18696"/>
    <s v="48504544"/>
    <s v="48504544"/>
    <m/>
    <m/>
    <n v="22787308"/>
    <m/>
    <m/>
    <m/>
    <s v="SOLFIN"/>
    <s v="SOLFIN"/>
    <s v="CCMS"/>
    <n v="21344092"/>
    <n v="5824.29"/>
    <m/>
    <s v="N"/>
    <n v="21"/>
    <d v="2023-07-07T19:03:23"/>
    <s v="Y"/>
    <s v="Preparation - drafting statement"/>
    <s v="Prescribed Hourly Rates"/>
    <s v="Profit Cost"/>
    <s v="Charlotte Raybould"/>
    <s v="Y"/>
    <n v="63.14"/>
    <n v="12.63"/>
    <x v="9"/>
    <s v="VALIDATED"/>
    <n v="1"/>
    <s v="01.11.80.307.6100.0000"/>
    <n v="63.14"/>
    <s v="11"/>
    <s v="6100"/>
    <n v="30594.15"/>
    <n v="63.14"/>
    <s v="CREDITOR"/>
    <n v="0"/>
    <n v="0"/>
    <n v="0"/>
    <n v="0"/>
    <n v="63.14"/>
  </r>
  <r>
    <n v="60764755"/>
    <s v="N"/>
    <n v="21337748"/>
    <s v="3000015002070010"/>
    <s v="CIVIL"/>
    <d v="2023-06-22T00:00:00"/>
    <d v="2023-07-06T19:21:01"/>
    <m/>
    <d v="2023-07-06T00:00:00"/>
    <n v="1205"/>
    <n v="18696"/>
    <s v="60764755"/>
    <s v="60764755"/>
    <m/>
    <m/>
    <n v="22741190"/>
    <m/>
    <m/>
    <m/>
    <s v="SOLFIN"/>
    <s v="SOLFIN"/>
    <s v="CCMS"/>
    <n v="21337748"/>
    <n v="11125.15"/>
    <m/>
    <s v="N"/>
    <n v="15"/>
    <d v="2023-07-06T19:21:07"/>
    <s v="Y"/>
    <s v="Hearing Unit 2.31 - 5.00 Hours"/>
    <s v="Public Law Children"/>
    <s v="Advocacy"/>
    <s v="Charlotte Raybould"/>
    <s v="Y"/>
    <n v="476.92"/>
    <n v="95.38"/>
    <x v="4"/>
    <s v="VALIDATED"/>
    <n v="1"/>
    <s v="01.11.80.308.6100.0000"/>
    <n v="476.92"/>
    <s v="11"/>
    <s v="6100"/>
    <n v="30594.15"/>
    <n v="476.92"/>
    <s v="CREDITOR"/>
    <n v="0"/>
    <n v="0"/>
    <n v="0"/>
    <n v="0"/>
    <n v="476.92"/>
  </r>
  <r>
    <n v="54813547"/>
    <s v="N"/>
    <n v="21338270"/>
    <s v="3000013038820008"/>
    <s v="CIVIL"/>
    <d v="2023-06-27T00:00:00"/>
    <d v="2023-07-06T19:21:01"/>
    <m/>
    <d v="2023-07-06T00:00:00"/>
    <n v="1205"/>
    <n v="18696"/>
    <s v="54813547"/>
    <s v="54813547"/>
    <m/>
    <m/>
    <n v="22769992"/>
    <m/>
    <m/>
    <m/>
    <s v="SOLFIN"/>
    <s v="SOLFIN"/>
    <s v="CCMS"/>
    <n v="21338270"/>
    <n v="24252.38"/>
    <m/>
    <s v="N"/>
    <n v="1"/>
    <d v="2023-07-06T19:21:15"/>
    <s v="Y"/>
    <s v="Interim Hearing Court Bundle/Advoca"/>
    <s v="Public Law Children"/>
    <s v="Advocacy"/>
    <s v="Charlotte Raybould"/>
    <s v="Y"/>
    <n v="89.09999999999999"/>
    <n v="17.82"/>
    <x v="4"/>
    <s v="VALIDATED"/>
    <n v="1"/>
    <s v="01.11.80.308.6100.0000"/>
    <n v="89.09999999999999"/>
    <s v="11"/>
    <s v="6100"/>
    <n v="30594.15"/>
    <n v="89.09999999999999"/>
    <s v="CREDITOR"/>
    <n v="0"/>
    <n v="0"/>
    <n v="0"/>
    <n v="0"/>
    <n v="89.09999999999999"/>
  </r>
  <r>
    <n v="54813547"/>
    <s v="N"/>
    <n v="21338270"/>
    <s v="3000013038820008"/>
    <s v="CIVIL"/>
    <d v="2023-06-27T00:00:00"/>
    <d v="2023-07-06T19:21:01"/>
    <m/>
    <d v="2023-07-06T00:00:00"/>
    <n v="1205"/>
    <n v="18696"/>
    <s v="54813547"/>
    <s v="54813547"/>
    <m/>
    <m/>
    <n v="22769992"/>
    <m/>
    <m/>
    <m/>
    <s v="SOLFIN"/>
    <s v="SOLFIN"/>
    <s v="CCMS"/>
    <n v="21338270"/>
    <n v="24252.38"/>
    <m/>
    <s v="N"/>
    <n v="110"/>
    <d v="2023-07-06T19:21:15"/>
    <s v="Y"/>
    <s v="Hearing Unit 5.01 - 7.30 Hours"/>
    <s v="Public Law Children"/>
    <s v="Advocacy"/>
    <s v="Paul Nursall"/>
    <s v="Y"/>
    <n v="858.48"/>
    <n v="171.7"/>
    <x v="4"/>
    <s v="VALIDATED"/>
    <n v="1"/>
    <s v="01.11.80.308.6100.0000"/>
    <n v="858.48"/>
    <s v="11"/>
    <s v="6100"/>
    <n v="30594.15"/>
    <n v="858.48"/>
    <s v="CREDITOR"/>
    <n v="0"/>
    <n v="0"/>
    <n v="0"/>
    <n v="0"/>
    <n v="858.48"/>
  </r>
  <r>
    <n v="60744883"/>
    <s v="N"/>
    <n v="21330927"/>
    <s v="3000014987240008"/>
    <s v="CIVIL"/>
    <d v="2023-06-22T00:00:00"/>
    <d v="2023-07-05T19:01:47"/>
    <m/>
    <d v="2023-07-05T00:00:00"/>
    <n v="1205"/>
    <n v="18696"/>
    <s v="60744883"/>
    <s v="60744883"/>
    <m/>
    <m/>
    <n v="22745992"/>
    <m/>
    <m/>
    <m/>
    <s v="SOLFIN"/>
    <s v="SOLFIN"/>
    <s v="CCMS"/>
    <n v="21330927"/>
    <n v="13790.5"/>
    <m/>
    <s v="N"/>
    <n v="79"/>
    <d v="2023-07-05T19:01:57"/>
    <s v="N"/>
    <s v="Solicitors Fixed Fee"/>
    <s v="Public Law Children"/>
    <s v="Profit Cost"/>
    <s v="Narinder Singh"/>
    <s v="N"/>
    <n v="0"/>
    <n v="0"/>
    <x v="6"/>
    <s v="VALIDATED"/>
    <n v="1"/>
    <s v="01.11.80.308.6100.0000"/>
    <n v="0"/>
    <s v="11"/>
    <s v="6100"/>
    <n v="30594.15"/>
    <n v="0"/>
    <s v="CREDITOR"/>
    <n v="0"/>
    <n v="0"/>
    <n v="0"/>
    <n v="0"/>
    <n v="0"/>
  </r>
  <r>
    <n v="60744883"/>
    <s v="N"/>
    <n v="21330927"/>
    <s v="3000014987240008"/>
    <s v="CIVIL"/>
    <d v="2023-06-22T00:00:00"/>
    <d v="2023-07-05T19:01:47"/>
    <m/>
    <d v="2023-07-05T00:00:00"/>
    <n v="1205"/>
    <n v="18696"/>
    <s v="60744883"/>
    <s v="60744883"/>
    <m/>
    <m/>
    <n v="22745992"/>
    <m/>
    <m/>
    <m/>
    <s v="SOLFIN"/>
    <s v="SOLFIN"/>
    <s v="CCMS"/>
    <n v="21330927"/>
    <n v="13790.5"/>
    <m/>
    <s v="N"/>
    <n v="8"/>
    <d v="2023-07-05T19:01:57"/>
    <s v="Y"/>
    <s v="Preparation - other"/>
    <s v="Care Remuneration Hourly Rates"/>
    <s v="Profit Cost"/>
    <s v="Alix Reynolds"/>
    <s v="Y"/>
    <n v="111.71"/>
    <n v="22.34"/>
    <x v="6"/>
    <s v="VALIDATED"/>
    <n v="1"/>
    <s v="01.11.80.308.6100.0000"/>
    <n v="111.71"/>
    <s v="11"/>
    <s v="6100"/>
    <n v="30594.15"/>
    <n v="111.71"/>
    <s v="CREDITOR"/>
    <n v="0"/>
    <n v="0"/>
    <n v="0"/>
    <n v="0"/>
    <n v="111.71"/>
  </r>
  <r>
    <n v="61764866"/>
    <s v="N"/>
    <n v="21327940"/>
    <s v="3000015843050003"/>
    <s v="CIVIL"/>
    <d v="2023-06-23T00:00:00"/>
    <d v="2023-07-04T19:00:44"/>
    <m/>
    <d v="2023-07-04T00:00:00"/>
    <n v="1205"/>
    <n v="18696"/>
    <s v="61764866"/>
    <s v="61764866"/>
    <m/>
    <m/>
    <n v="22755034"/>
    <m/>
    <m/>
    <m/>
    <s v="SOLFIN"/>
    <s v="SOLFIN"/>
    <s v="CCMS"/>
    <n v="21327940"/>
    <n v="4431.26"/>
    <m/>
    <s v="N"/>
    <n v="5"/>
    <d v="2023-07-04T19:00:59"/>
    <s v="Y"/>
    <s v="Final Hearing - 1 Day"/>
    <s v="Public Law Children"/>
    <s v="Advocacy"/>
    <s v="Jas Tamber"/>
    <s v="Y"/>
    <n v="556.88"/>
    <n v="111.38"/>
    <x v="1"/>
    <s v="VALIDATED"/>
    <n v="1"/>
    <s v="01.11.80.308.6100.0000"/>
    <n v="556.88"/>
    <s v="11"/>
    <s v="6100"/>
    <n v="30594.15"/>
    <n v="556.88"/>
    <s v="CREDITOR"/>
    <n v="0"/>
    <n v="0"/>
    <n v="0"/>
    <n v="0"/>
    <n v="556.88"/>
  </r>
  <r>
    <n v="61817422"/>
    <s v="N"/>
    <n v="21327782"/>
    <s v="3000015888330001"/>
    <s v="CIVIL"/>
    <d v="2023-06-26T00:00:00"/>
    <d v="2023-07-04T19:00:44"/>
    <m/>
    <d v="2023-07-04T00:00:00"/>
    <n v="1205"/>
    <n v="18696"/>
    <s v="61817422"/>
    <s v="61817422"/>
    <m/>
    <m/>
    <n v="22759890"/>
    <m/>
    <m/>
    <m/>
    <s v="SOLFIN"/>
    <s v="SOLFIN"/>
    <s v="CCMS"/>
    <n v="21327782"/>
    <n v="0"/>
    <m/>
    <s v="N"/>
    <n v="1"/>
    <d v="2023-07-04T19:00:54"/>
    <s v="N"/>
    <s v="NIL BILL"/>
    <s v="Public Law Children"/>
    <s v="Profit Cost"/>
    <s v="Narinder Singh"/>
    <s v="N"/>
    <n v="0"/>
    <n v="0"/>
    <x v="1"/>
    <s v="VALIDATED"/>
    <n v="1"/>
    <s v="01.11.80.308.6100.0000"/>
    <n v="0"/>
    <s v="11"/>
    <s v="6100"/>
    <n v="30594.15"/>
    <n v="0"/>
    <s v="CREDITOR"/>
    <n v="0"/>
    <n v="0"/>
    <n v="0"/>
    <n v="0"/>
    <n v="0"/>
  </r>
  <r>
    <n v="60066609"/>
    <s v="N"/>
    <n v="21350136"/>
    <s v="3000014401840008"/>
    <s v="CIVIL"/>
    <d v="2023-06-29T00:00:00"/>
    <d v="2023-07-10T19:01:40"/>
    <m/>
    <d v="2023-07-10T00:00:00"/>
    <n v="1205"/>
    <n v="18696"/>
    <s v="60066609"/>
    <s v="60066609"/>
    <m/>
    <m/>
    <n v="22788730"/>
    <m/>
    <m/>
    <m/>
    <s v="SOLFIN"/>
    <s v="SOLFIN"/>
    <s v="CCMS"/>
    <n v="21350136"/>
    <n v="7952.47"/>
    <m/>
    <s v="N"/>
    <n v="15"/>
    <d v="2023-07-10T19:02:15"/>
    <s v="Y"/>
    <s v="Final Hearing - 1 Day"/>
    <s v="Public Law Children"/>
    <s v="Advocacy"/>
    <s v="Andrew Crumpton"/>
    <s v="Y"/>
    <n v="556.88"/>
    <n v="111.37"/>
    <x v="2"/>
    <s v="VALIDATED"/>
    <n v="1"/>
    <s v="01.11.80.308.6100.0000"/>
    <n v="556.88"/>
    <s v="11"/>
    <s v="6100"/>
    <n v="30594.15"/>
    <n v="556.88"/>
    <s v="CREDITOR"/>
    <n v="0"/>
    <n v="0"/>
    <n v="0"/>
    <n v="0"/>
    <n v="556.88"/>
  </r>
  <r>
    <n v="60773030"/>
    <s v="N"/>
    <n v="21344084"/>
    <s v="3000015011890006"/>
    <s v="CIVIL"/>
    <d v="2023-06-29T00:00:00"/>
    <d v="2023-07-07T19:03:00"/>
    <m/>
    <d v="2023-07-07T00:00:00"/>
    <n v="1205"/>
    <n v="18696"/>
    <s v="60773030"/>
    <s v="60773030"/>
    <m/>
    <m/>
    <n v="22785194"/>
    <m/>
    <m/>
    <m/>
    <s v="SOLFIN"/>
    <s v="SOLFIN"/>
    <s v="CCMS"/>
    <n v="21344084"/>
    <n v="3274.89"/>
    <m/>
    <s v="N"/>
    <n v="20"/>
    <d v="2023-07-07T19:03:23"/>
    <s v="Y"/>
    <s v="Preparation - drafting pleadings"/>
    <s v="Prescribed Hourly Rates"/>
    <s v="Profit Cost"/>
    <s v="Alix Reynolds"/>
    <s v="Y"/>
    <n v="10.98"/>
    <n v="2.2"/>
    <x v="9"/>
    <s v="VALIDATED"/>
    <n v="1"/>
    <s v="01.11.80.307.6100.0000"/>
    <n v="10.98"/>
    <s v="11"/>
    <s v="6100"/>
    <n v="30594.15"/>
    <n v="10.98"/>
    <s v="CREDITOR"/>
    <n v="0"/>
    <n v="0"/>
    <n v="0"/>
    <n v="0"/>
    <n v="10.98"/>
  </r>
  <r>
    <n v="60744883"/>
    <s v="N"/>
    <n v="21330927"/>
    <s v="3000014987240008"/>
    <s v="CIVIL"/>
    <d v="2023-06-22T00:00:00"/>
    <d v="2023-07-05T19:01:47"/>
    <m/>
    <d v="2023-07-05T00:00:00"/>
    <n v="1205"/>
    <n v="18696"/>
    <s v="60744883"/>
    <s v="60744883"/>
    <m/>
    <m/>
    <n v="22745992"/>
    <m/>
    <m/>
    <m/>
    <s v="SOLFIN"/>
    <s v="SOLFIN"/>
    <s v="CCMS"/>
    <n v="21330927"/>
    <n v="13790.5"/>
    <m/>
    <s v="N"/>
    <n v="72"/>
    <d v="2023-07-05T19:01:57"/>
    <s v="Y"/>
    <s v="Hearing Unit 2.31 - 5.00 Hours"/>
    <s v="Public Law Children"/>
    <s v="Advocacy"/>
    <s v="Narinder Singh"/>
    <s v="Y"/>
    <n v="476.92"/>
    <n v="95.38"/>
    <x v="6"/>
    <s v="VALIDATED"/>
    <n v="1"/>
    <s v="01.11.80.308.6100.0000"/>
    <n v="476.92"/>
    <s v="11"/>
    <s v="6100"/>
    <n v="30594.15"/>
    <n v="476.92"/>
    <s v="CREDITOR"/>
    <n v="0"/>
    <n v="0"/>
    <n v="0"/>
    <n v="0"/>
    <n v="476.92"/>
  </r>
  <r>
    <n v="60631907"/>
    <s v="N"/>
    <n v="21331360"/>
    <s v="3000014878960007"/>
    <s v="CIVIL"/>
    <d v="2023-06-28T00:00:00"/>
    <d v="2023-07-05T19:01:47"/>
    <m/>
    <d v="2023-07-05T00:00:00"/>
    <n v="1205"/>
    <n v="18696"/>
    <s v="60631907"/>
    <s v="60631907"/>
    <m/>
    <m/>
    <n v="22783676"/>
    <m/>
    <m/>
    <m/>
    <s v="SOLFIN"/>
    <s v="SOLFIN"/>
    <s v="CCMS"/>
    <n v="21331360"/>
    <n v="9637.15"/>
    <m/>
    <s v="N"/>
    <n v="38"/>
    <d v="2023-07-05T19:02:16"/>
    <s v="Y"/>
    <s v="Preparation - other"/>
    <s v="Prescribed Hourly Rates"/>
    <s v="Profit Cost"/>
    <s v="Shrinder Chaggar"/>
    <s v="Y"/>
    <n v="16.47"/>
    <n v="3.29"/>
    <x v="6"/>
    <s v="VALIDATED"/>
    <n v="1"/>
    <s v="01.11.80.307.6100.0000"/>
    <n v="16.47"/>
    <s v="11"/>
    <s v="6100"/>
    <n v="30594.15"/>
    <n v="16.47"/>
    <s v="CREDITOR"/>
    <n v="0"/>
    <n v="0"/>
    <n v="0"/>
    <n v="0"/>
    <n v="16.47"/>
  </r>
  <r>
    <n v="60740536"/>
    <s v="N"/>
    <n v="21343872"/>
    <s v="3000014983190011"/>
    <s v="CIVIL"/>
    <d v="2023-06-27T00:00:00"/>
    <d v="2023-07-07T19:03:00"/>
    <m/>
    <d v="2023-07-07T00:00:00"/>
    <n v="1205"/>
    <n v="18696"/>
    <s v="60740536"/>
    <s v="60740536"/>
    <m/>
    <m/>
    <n v="22766106"/>
    <m/>
    <m/>
    <m/>
    <s v="SOLFIN"/>
    <s v="SOLFIN"/>
    <s v="CCMS"/>
    <n v="21343872"/>
    <n v="13395.68"/>
    <m/>
    <s v="N"/>
    <n v="14"/>
    <d v="2023-07-07T19:03:15"/>
    <s v="Y"/>
    <s v="Routine Letter In"/>
    <s v="Care Remuneration Hourly Rates"/>
    <s v="Profit Cost"/>
    <s v="Anna Cooper"/>
    <s v="Y"/>
    <n v="1565.1"/>
    <n v="313.03"/>
    <x v="9"/>
    <s v="VALIDATED"/>
    <n v="1"/>
    <s v="01.11.80.308.6100.0000"/>
    <n v="1565.1"/>
    <s v="11"/>
    <s v="6100"/>
    <n v="30594.15"/>
    <n v="1565.1"/>
    <s v="CREDITOR"/>
    <n v="0"/>
    <n v="0"/>
    <n v="0"/>
    <n v="0"/>
    <n v="1565.1"/>
  </r>
  <r>
    <n v="60773030"/>
    <s v="N"/>
    <n v="21344084"/>
    <s v="3000015011890006"/>
    <s v="CIVIL"/>
    <d v="2023-06-29T00:00:00"/>
    <d v="2023-07-07T19:03:00"/>
    <m/>
    <d v="2023-07-07T00:00:00"/>
    <n v="1205"/>
    <n v="18696"/>
    <s v="60773030"/>
    <s v="60773030"/>
    <m/>
    <m/>
    <n v="22785194"/>
    <m/>
    <m/>
    <m/>
    <s v="SOLFIN"/>
    <s v="SOLFIN"/>
    <s v="CCMS"/>
    <n v="21344084"/>
    <n v="3274.89"/>
    <m/>
    <s v="N"/>
    <n v="1"/>
    <d v="2023-07-07T19:03:23"/>
    <s v="Y"/>
    <s v="Preparation - drafting consent orde"/>
    <s v="Prescribed Hourly Rates"/>
    <s v="Profit Cost"/>
    <s v="Alix Reynolds"/>
    <s v="Y"/>
    <n v="5.49"/>
    <n v="1.1"/>
    <x v="9"/>
    <s v="VALIDATED"/>
    <n v="1"/>
    <s v="01.11.80.307.6100.0000"/>
    <n v="5.49"/>
    <s v="11"/>
    <s v="6100"/>
    <n v="30594.15"/>
    <n v="5.49"/>
    <s v="CREDITOR"/>
    <n v="0"/>
    <n v="0"/>
    <n v="0"/>
    <n v="0"/>
    <n v="5.49"/>
  </r>
  <r>
    <n v="54813547"/>
    <s v="N"/>
    <n v="21338270"/>
    <s v="3000013038820008"/>
    <s v="CIVIL"/>
    <d v="2023-06-27T00:00:00"/>
    <d v="2023-07-06T19:21:01"/>
    <m/>
    <d v="2023-07-06T00:00:00"/>
    <n v="1205"/>
    <n v="18696"/>
    <s v="54813547"/>
    <s v="54813547"/>
    <m/>
    <m/>
    <n v="22769992"/>
    <m/>
    <m/>
    <m/>
    <s v="SOLFIN"/>
    <s v="SOLFIN"/>
    <s v="CCMS"/>
    <n v="21338270"/>
    <n v="24252.38"/>
    <m/>
    <s v="N"/>
    <n v="71"/>
    <d v="2023-07-06T19:21:15"/>
    <s v="Y"/>
    <s v="Attendance upon client"/>
    <s v="Care Remuneration Hourly Rates"/>
    <s v="Profit Cost"/>
    <s v="Charlotte Raybould"/>
    <s v="Y"/>
    <n v="32.86"/>
    <n v="6.57"/>
    <x v="4"/>
    <s v="VALIDATED"/>
    <n v="1"/>
    <s v="01.11.80.308.6100.0000"/>
    <n v="32.86"/>
    <s v="11"/>
    <s v="6100"/>
    <n v="30594.15"/>
    <n v="32.86"/>
    <s v="CREDITOR"/>
    <n v="0"/>
    <n v="0"/>
    <n v="0"/>
    <n v="0"/>
    <n v="32.86"/>
  </r>
  <r>
    <n v="60744883"/>
    <s v="N"/>
    <n v="21330927"/>
    <s v="3000014987240008"/>
    <s v="CIVIL"/>
    <d v="2023-06-22T00:00:00"/>
    <d v="2023-07-05T19:01:47"/>
    <m/>
    <d v="2023-07-05T00:00:00"/>
    <n v="1205"/>
    <n v="18696"/>
    <s v="60744883"/>
    <s v="60744883"/>
    <m/>
    <m/>
    <n v="22745992"/>
    <m/>
    <m/>
    <m/>
    <s v="SOLFIN"/>
    <s v="SOLFIN"/>
    <s v="CCMS"/>
    <n v="21330927"/>
    <n v="13790.5"/>
    <m/>
    <s v="N"/>
    <n v="15"/>
    <d v="2023-07-05T19:01:57"/>
    <s v="Y"/>
    <s v="Attendance upon client"/>
    <s v="Care Remuneration Hourly Rates"/>
    <s v="Profit Cost"/>
    <s v="Alix Reynolds"/>
    <s v="Y"/>
    <n v="13.14"/>
    <n v="2.63"/>
    <x v="6"/>
    <s v="VALIDATED"/>
    <n v="1"/>
    <s v="01.11.80.308.6100.0000"/>
    <n v="13.14"/>
    <s v="11"/>
    <s v="6100"/>
    <n v="30594.15"/>
    <n v="13.14"/>
    <s v="CREDITOR"/>
    <n v="0"/>
    <n v="0"/>
    <n v="0"/>
    <n v="0"/>
    <n v="13.14"/>
  </r>
  <r>
    <n v="60744883"/>
    <s v="N"/>
    <n v="21330927"/>
    <s v="3000014987240008"/>
    <s v="CIVIL"/>
    <d v="2023-06-22T00:00:00"/>
    <d v="2023-07-05T19:01:47"/>
    <m/>
    <d v="2023-07-05T00:00:00"/>
    <n v="1205"/>
    <n v="18696"/>
    <s v="60744883"/>
    <s v="60744883"/>
    <m/>
    <m/>
    <n v="22745992"/>
    <m/>
    <m/>
    <m/>
    <s v="SOLFIN"/>
    <s v="SOLFIN"/>
    <s v="CCMS"/>
    <n v="21330927"/>
    <n v="13790.5"/>
    <m/>
    <s v="N"/>
    <n v="2"/>
    <d v="2023-07-05T19:01:57"/>
    <s v="Y"/>
    <s v="Psychologist"/>
    <s v="Care Remuneration Hourly Rates"/>
    <s v="Expert Disbursement"/>
    <s v="Narinder Singh"/>
    <s v="Y"/>
    <n v="118.5"/>
    <n v="23.7"/>
    <x v="6"/>
    <s v="VALIDATED"/>
    <n v="1"/>
    <s v="01.11.80.308.6300.0000"/>
    <n v="118.5"/>
    <s v="11"/>
    <s v="6300"/>
    <n v="30594.15"/>
    <n v="118.5"/>
    <s v="CREDITOR"/>
    <n v="0"/>
    <n v="0"/>
    <n v="0"/>
    <n v="0"/>
    <n v="118.5"/>
  </r>
  <r>
    <n v="60773030"/>
    <s v="N"/>
    <n v="21344084"/>
    <s v="3000015011890006"/>
    <s v="CIVIL"/>
    <d v="2023-06-29T00:00:00"/>
    <d v="2023-07-07T19:03:00"/>
    <m/>
    <d v="2023-07-07T00:00:00"/>
    <n v="1205"/>
    <n v="18696"/>
    <s v="60773030"/>
    <s v="60773030"/>
    <m/>
    <m/>
    <n v="22785194"/>
    <m/>
    <m/>
    <m/>
    <s v="SOLFIN"/>
    <s v="SOLFIN"/>
    <s v="CCMS"/>
    <n v="21344084"/>
    <n v="3274.89"/>
    <m/>
    <s v="N"/>
    <n v="23"/>
    <d v="2023-07-07T19:03:23"/>
    <s v="Y"/>
    <s v="Routine Letter Out"/>
    <s v="Prescribed Hourly Rates"/>
    <s v="Profit Cost"/>
    <s v="Alix Reynolds"/>
    <s v="Y"/>
    <n v="248.4"/>
    <n v="49.69"/>
    <x v="9"/>
    <s v="VALIDATED"/>
    <n v="1"/>
    <s v="01.11.80.307.6100.0000"/>
    <n v="248.4"/>
    <s v="11"/>
    <s v="6100"/>
    <n v="30594.15"/>
    <n v="248.4"/>
    <s v="CREDITOR"/>
    <n v="0"/>
    <n v="0"/>
    <n v="0"/>
    <n v="0"/>
    <n v="248.4"/>
  </r>
  <r>
    <n v="54813547"/>
    <s v="N"/>
    <n v="21338270"/>
    <s v="3000013038820008"/>
    <s v="CIVIL"/>
    <d v="2023-06-27T00:00:00"/>
    <d v="2023-07-06T19:21:01"/>
    <m/>
    <d v="2023-07-06T00:00:00"/>
    <n v="1205"/>
    <n v="18696"/>
    <s v="54813547"/>
    <s v="54813547"/>
    <m/>
    <m/>
    <n v="22769992"/>
    <m/>
    <m/>
    <m/>
    <s v="SOLFIN"/>
    <s v="SOLFIN"/>
    <s v="CCMS"/>
    <n v="21338270"/>
    <n v="24252.38"/>
    <m/>
    <s v="N"/>
    <n v="48"/>
    <d v="2023-07-06T19:21:15"/>
    <s v="Y"/>
    <s v="Routine Letter In"/>
    <s v="Care Remuneration Hourly Rates"/>
    <s v="Profit Cost"/>
    <s v="Anna Cooper"/>
    <s v="Y"/>
    <n v="153.55"/>
    <n v="30.71"/>
    <x v="4"/>
    <s v="VALIDATED"/>
    <n v="1"/>
    <s v="01.11.80.308.6100.0000"/>
    <n v="153.55"/>
    <s v="11"/>
    <s v="6100"/>
    <n v="30594.15"/>
    <n v="153.55"/>
    <s v="CREDITOR"/>
    <n v="0"/>
    <n v="0"/>
    <n v="0"/>
    <n v="0"/>
    <n v="153.55"/>
  </r>
  <r>
    <n v="60744883"/>
    <s v="N"/>
    <n v="21330927"/>
    <s v="3000014987240008"/>
    <s v="CIVIL"/>
    <d v="2023-06-22T00:00:00"/>
    <d v="2023-07-05T19:01:47"/>
    <m/>
    <d v="2023-07-05T00:00:00"/>
    <n v="1205"/>
    <n v="18696"/>
    <s v="60744883"/>
    <s v="60744883"/>
    <m/>
    <m/>
    <n v="22745992"/>
    <m/>
    <m/>
    <m/>
    <s v="SOLFIN"/>
    <s v="SOLFIN"/>
    <s v="CCMS"/>
    <n v="21330927"/>
    <n v="13790.5"/>
    <m/>
    <s v="N"/>
    <n v="33"/>
    <d v="2023-07-05T19:01:57"/>
    <s v="Y"/>
    <s v="Preparation - drafting statement"/>
    <s v="Care Remuneration Hourly Rates"/>
    <s v="Profit Cost"/>
    <s v="Narinder Singh"/>
    <s v="Y"/>
    <n v="65.70999999999999"/>
    <n v="13.14"/>
    <x v="6"/>
    <s v="VALIDATED"/>
    <n v="1"/>
    <s v="01.11.80.308.6100.0000"/>
    <n v="65.70999999999999"/>
    <s v="11"/>
    <s v="6100"/>
    <n v="30594.15"/>
    <n v="65.70999999999999"/>
    <s v="CREDITOR"/>
    <n v="0"/>
    <n v="0"/>
    <n v="0"/>
    <n v="0"/>
    <n v="65.70999999999999"/>
  </r>
  <r>
    <n v="60744883"/>
    <s v="N"/>
    <n v="21330927"/>
    <s v="3000014987240008"/>
    <s v="CIVIL"/>
    <d v="2023-06-22T00:00:00"/>
    <d v="2023-07-05T19:01:47"/>
    <m/>
    <d v="2023-07-05T00:00:00"/>
    <n v="1205"/>
    <n v="18696"/>
    <s v="60744883"/>
    <s v="60744883"/>
    <m/>
    <m/>
    <n v="22745992"/>
    <m/>
    <m/>
    <m/>
    <s v="SOLFIN"/>
    <s v="SOLFIN"/>
    <s v="CCMS"/>
    <n v="21330927"/>
    <n v="13790.5"/>
    <m/>
    <s v="N"/>
    <n v="39"/>
    <d v="2023-07-05T19:01:57"/>
    <s v="Y"/>
    <s v="Preparation - other"/>
    <s v="Care Remuneration Hourly Rates"/>
    <s v="Profit Cost"/>
    <s v="Alix Reynolds"/>
    <s v="Y"/>
    <n v="46"/>
    <n v="9.199999999999999"/>
    <x v="6"/>
    <s v="VALIDATED"/>
    <n v="1"/>
    <s v="01.11.80.308.6100.0000"/>
    <n v="46"/>
    <s v="11"/>
    <s v="6100"/>
    <n v="30594.15"/>
    <n v="46"/>
    <s v="CREDITOR"/>
    <n v="0"/>
    <n v="0"/>
    <n v="0"/>
    <n v="0"/>
    <n v="46"/>
  </r>
  <r>
    <n v="60631907"/>
    <s v="N"/>
    <n v="21331360"/>
    <s v="3000014878960007"/>
    <s v="CIVIL"/>
    <d v="2023-06-28T00:00:00"/>
    <d v="2023-07-05T19:01:47"/>
    <m/>
    <d v="2023-07-05T00:00:00"/>
    <n v="1205"/>
    <n v="18696"/>
    <s v="60631907"/>
    <s v="60631907"/>
    <m/>
    <m/>
    <n v="22783676"/>
    <m/>
    <m/>
    <m/>
    <s v="SOLFIN"/>
    <s v="SOLFIN"/>
    <s v="CCMS"/>
    <n v="21331360"/>
    <n v="9637.15"/>
    <m/>
    <s v="N"/>
    <n v="35"/>
    <d v="2023-07-05T19:02:16"/>
    <s v="Y"/>
    <s v="Preparation - other"/>
    <s v="Prescribed Hourly Rates"/>
    <s v="Profit Cost"/>
    <s v="Andrew Crumpton"/>
    <s v="Y"/>
    <n v="102.94"/>
    <n v="20.59"/>
    <x v="6"/>
    <s v="VALIDATED"/>
    <n v="1"/>
    <s v="01.11.80.307.6100.0000"/>
    <n v="102.94"/>
    <s v="11"/>
    <s v="6100"/>
    <n v="30594.15"/>
    <n v="102.94"/>
    <s v="CREDITOR"/>
    <n v="0"/>
    <n v="0"/>
    <n v="0"/>
    <n v="0"/>
    <n v="102.94"/>
  </r>
  <r>
    <n v="60631907"/>
    <s v="N"/>
    <n v="21331360"/>
    <s v="3000014878960007"/>
    <s v="CIVIL"/>
    <d v="2023-06-28T00:00:00"/>
    <d v="2023-07-05T19:01:47"/>
    <m/>
    <d v="2023-07-05T00:00:00"/>
    <n v="1205"/>
    <n v="18696"/>
    <s v="60631907"/>
    <s v="60631907"/>
    <m/>
    <m/>
    <n v="22783676"/>
    <m/>
    <m/>
    <m/>
    <s v="SOLFIN"/>
    <s v="SOLFIN"/>
    <s v="CCMS"/>
    <n v="21331360"/>
    <n v="9637.15"/>
    <m/>
    <s v="N"/>
    <n v="39"/>
    <d v="2023-07-05T19:02:16"/>
    <s v="Y"/>
    <s v="Preparation - drafting bill/claim f"/>
    <s v="Prescribed Hourly Rates"/>
    <s v="Profit Cost"/>
    <s v="Darren Plant"/>
    <s v="Y"/>
    <n v="10.98"/>
    <n v="2.2"/>
    <x v="6"/>
    <s v="VALIDATED"/>
    <n v="1"/>
    <s v="01.11.80.307.6100.0000"/>
    <n v="10.98"/>
    <s v="11"/>
    <s v="6100"/>
    <n v="30594.15"/>
    <n v="10.98"/>
    <s v="CREDITOR"/>
    <n v="0"/>
    <n v="0"/>
    <n v="0"/>
    <n v="0"/>
    <n v="10.98"/>
  </r>
  <r>
    <n v="60631907"/>
    <s v="N"/>
    <n v="21331360"/>
    <s v="3000014878960007"/>
    <s v="CIVIL"/>
    <d v="2023-06-28T00:00:00"/>
    <d v="2023-07-05T19:01:47"/>
    <m/>
    <d v="2023-07-05T00:00:00"/>
    <n v="1205"/>
    <n v="18696"/>
    <s v="60631907"/>
    <s v="60631907"/>
    <m/>
    <m/>
    <n v="22783676"/>
    <m/>
    <m/>
    <m/>
    <s v="SOLFIN"/>
    <s v="SOLFIN"/>
    <s v="CCMS"/>
    <n v="21331360"/>
    <n v="9637.15"/>
    <m/>
    <s v="N"/>
    <n v="70"/>
    <d v="2023-07-05T19:02:16"/>
    <s v="Y"/>
    <s v="Preparation - other"/>
    <s v="Prescribed Hourly Rates"/>
    <s v="Profit Cost"/>
    <s v="Isabel Griffith"/>
    <s v="Y"/>
    <n v="10.98"/>
    <n v="2.2"/>
    <x v="6"/>
    <s v="VALIDATED"/>
    <n v="1"/>
    <s v="01.11.80.307.6100.0000"/>
    <n v="10.98"/>
    <s v="11"/>
    <s v="6100"/>
    <n v="30594.15"/>
    <n v="10.98"/>
    <s v="CREDITOR"/>
    <n v="0"/>
    <n v="0"/>
    <n v="0"/>
    <n v="0"/>
    <n v="10.98"/>
  </r>
  <r>
    <n v="61764866"/>
    <s v="N"/>
    <n v="21327940"/>
    <s v="3000015843050003"/>
    <s v="CIVIL"/>
    <d v="2023-06-23T00:00:00"/>
    <d v="2023-07-04T19:00:44"/>
    <m/>
    <d v="2023-07-04T00:00:00"/>
    <n v="1205"/>
    <n v="18696"/>
    <s v="61764866"/>
    <s v="61764866"/>
    <m/>
    <m/>
    <n v="22755034"/>
    <m/>
    <m/>
    <m/>
    <s v="SOLFIN"/>
    <s v="SOLFIN"/>
    <s v="CCMS"/>
    <n v="21327940"/>
    <n v="4431.26"/>
    <m/>
    <s v="N"/>
    <n v="6"/>
    <d v="2023-07-04T19:00:59"/>
    <s v="Y"/>
    <s v="Hearing Unit 1.01 - 2.30 Hours"/>
    <s v="Public Law Children"/>
    <s v="Advocacy"/>
    <s v="Jas Tamber"/>
    <s v="Y"/>
    <n v="238.46"/>
    <n v="47.69"/>
    <x v="1"/>
    <s v="VALIDATED"/>
    <n v="1"/>
    <s v="01.11.80.308.6100.0000"/>
    <n v="238.46"/>
    <s v="11"/>
    <s v="6100"/>
    <n v="30594.15"/>
    <n v="238.46"/>
    <s v="CREDITOR"/>
    <n v="0"/>
    <n v="0"/>
    <n v="0"/>
    <n v="0"/>
    <n v="238.46"/>
  </r>
  <r>
    <n v="54813547"/>
    <s v="N"/>
    <n v="21338270"/>
    <s v="3000013038820008"/>
    <s v="CIVIL"/>
    <d v="2023-06-27T00:00:00"/>
    <d v="2023-07-06T19:21:01"/>
    <m/>
    <d v="2023-07-06T00:00:00"/>
    <n v="1205"/>
    <n v="18696"/>
    <s v="54813547"/>
    <s v="54813547"/>
    <m/>
    <m/>
    <n v="22769992"/>
    <m/>
    <m/>
    <m/>
    <s v="SOLFIN"/>
    <s v="SOLFIN"/>
    <s v="CCMS"/>
    <n v="21338270"/>
    <n v="24252.38"/>
    <m/>
    <s v="N"/>
    <n v="22"/>
    <d v="2023-07-06T19:21:15"/>
    <s v="Y"/>
    <s v="Preparation - drafting statement"/>
    <s v="Care Remuneration Hourly Rates"/>
    <s v="Profit Cost"/>
    <s v="Charlotte Raybould"/>
    <s v="Y"/>
    <n v="103.7"/>
    <n v="20.74"/>
    <x v="4"/>
    <s v="VALIDATED"/>
    <n v="1"/>
    <s v="01.11.80.308.6100.0000"/>
    <n v="103.7"/>
    <s v="11"/>
    <s v="6100"/>
    <n v="30594.15"/>
    <n v="103.7"/>
    <s v="CREDITOR"/>
    <n v="0"/>
    <n v="0"/>
    <n v="0"/>
    <n v="0"/>
    <n v="103.7"/>
  </r>
  <r>
    <n v="54813547"/>
    <s v="N"/>
    <n v="21338270"/>
    <s v="3000013038820008"/>
    <s v="CIVIL"/>
    <d v="2023-06-27T00:00:00"/>
    <d v="2023-07-06T19:21:01"/>
    <m/>
    <d v="2023-07-06T00:00:00"/>
    <n v="1205"/>
    <n v="18696"/>
    <s v="54813547"/>
    <s v="54813547"/>
    <m/>
    <m/>
    <n v="22769992"/>
    <m/>
    <m/>
    <m/>
    <s v="SOLFIN"/>
    <s v="SOLFIN"/>
    <s v="CCMS"/>
    <n v="21338270"/>
    <n v="24252.38"/>
    <m/>
    <s v="N"/>
    <n v="23"/>
    <d v="2023-07-06T19:21:15"/>
    <s v="Y"/>
    <s v="Preparation - drafting pleadings"/>
    <s v="Care Remuneration Hourly Rates"/>
    <s v="Profit Cost"/>
    <s v="Charlotte Raybould"/>
    <s v="Y"/>
    <n v="296.3"/>
    <n v="59.26"/>
    <x v="4"/>
    <s v="VALIDATED"/>
    <n v="1"/>
    <s v="01.11.80.308.6100.0000"/>
    <n v="296.3"/>
    <s v="11"/>
    <s v="6100"/>
    <n v="30594.15"/>
    <n v="296.3"/>
    <s v="CREDITOR"/>
    <n v="0"/>
    <n v="0"/>
    <n v="0"/>
    <n v="0"/>
    <n v="296.3"/>
  </r>
  <r>
    <n v="60740536"/>
    <s v="N"/>
    <n v="21343872"/>
    <s v="3000014983190011"/>
    <s v="CIVIL"/>
    <d v="2023-06-27T00:00:00"/>
    <d v="2023-07-07T19:03:00"/>
    <m/>
    <d v="2023-07-07T00:00:00"/>
    <n v="1205"/>
    <n v="18696"/>
    <s v="60740536"/>
    <s v="60740536"/>
    <m/>
    <m/>
    <n v="22766106"/>
    <m/>
    <m/>
    <m/>
    <s v="SOLFIN"/>
    <s v="SOLFIN"/>
    <s v="CCMS"/>
    <n v="21343872"/>
    <n v="13395.68"/>
    <m/>
    <s v="N"/>
    <n v="76"/>
    <d v="2023-07-07T19:03:15"/>
    <s v="Y"/>
    <s v="Preparation - drafting pleadings"/>
    <s v="Care Remuneration Hourly Rates"/>
    <s v="Profit Cost"/>
    <s v="Eliot Brookes"/>
    <s v="Y"/>
    <n v="78.86"/>
    <n v="15.77"/>
    <x v="9"/>
    <s v="VALIDATED"/>
    <n v="1"/>
    <s v="01.11.80.308.6100.0000"/>
    <n v="78.86"/>
    <s v="11"/>
    <s v="6100"/>
    <n v="30594.15"/>
    <n v="78.86"/>
    <s v="CREDITOR"/>
    <n v="0"/>
    <n v="0"/>
    <n v="0"/>
    <n v="0"/>
    <n v="78.86"/>
  </r>
  <r>
    <n v="60740536"/>
    <s v="N"/>
    <n v="21343872"/>
    <s v="3000014983190011"/>
    <s v="CIVIL"/>
    <d v="2023-06-27T00:00:00"/>
    <d v="2023-07-07T19:03:00"/>
    <m/>
    <d v="2023-07-07T00:00:00"/>
    <n v="1205"/>
    <n v="18696"/>
    <s v="60740536"/>
    <s v="60740536"/>
    <m/>
    <m/>
    <n v="22766106"/>
    <m/>
    <m/>
    <m/>
    <s v="SOLFIN"/>
    <s v="SOLFIN"/>
    <s v="CCMS"/>
    <n v="21343872"/>
    <n v="13395.68"/>
    <m/>
    <s v="N"/>
    <n v="32"/>
    <d v="2023-07-07T19:03:15"/>
    <s v="Y"/>
    <s v="Attendance upon/with Counsel at Con"/>
    <s v="Care Remuneration Hourly Rates"/>
    <s v="Profit Cost"/>
    <s v="Charlotte Raybould"/>
    <s v="Y"/>
    <n v="40.57"/>
    <n v="8.109999999999999"/>
    <x v="9"/>
    <s v="VALIDATED"/>
    <n v="1"/>
    <s v="01.11.80.308.6100.0000"/>
    <n v="40.57"/>
    <s v="11"/>
    <s v="6100"/>
    <n v="30594.15"/>
    <n v="40.57"/>
    <s v="CREDITOR"/>
    <n v="0"/>
    <n v="0"/>
    <n v="0"/>
    <n v="0"/>
    <n v="40.57"/>
  </r>
  <r>
    <n v="60740536"/>
    <s v="N"/>
    <n v="21343872"/>
    <s v="3000014983190011"/>
    <s v="CIVIL"/>
    <d v="2023-06-27T00:00:00"/>
    <d v="2023-07-07T19:03:00"/>
    <m/>
    <d v="2023-07-07T00:00:00"/>
    <n v="1205"/>
    <n v="18696"/>
    <s v="60740536"/>
    <s v="60740536"/>
    <m/>
    <m/>
    <n v="22766106"/>
    <m/>
    <m/>
    <m/>
    <s v="SOLFIN"/>
    <s v="SOLFIN"/>
    <s v="CCMS"/>
    <n v="21343872"/>
    <n v="13395.68"/>
    <m/>
    <s v="N"/>
    <n v="66"/>
    <d v="2023-07-07T19:03:15"/>
    <s v="Y"/>
    <s v="Travel to court"/>
    <s v="Care Remuneration Hourly Rates"/>
    <s v="Profit Cost"/>
    <s v="Anna Cooper"/>
    <s v="Y"/>
    <n v="26.29"/>
    <n v="5.26"/>
    <x v="9"/>
    <s v="VALIDATED"/>
    <n v="1"/>
    <s v="01.11.80.308.6100.0000"/>
    <n v="26.29"/>
    <s v="11"/>
    <s v="6100"/>
    <n v="30594.15"/>
    <n v="26.29"/>
    <s v="CREDITOR"/>
    <n v="0"/>
    <n v="0"/>
    <n v="0"/>
    <n v="0"/>
    <n v="26.29"/>
  </r>
  <r>
    <n v="60773030"/>
    <s v="N"/>
    <n v="21344084"/>
    <s v="3000015011890006"/>
    <s v="CIVIL"/>
    <d v="2023-06-29T00:00:00"/>
    <d v="2023-07-07T19:03:00"/>
    <m/>
    <d v="2023-07-07T00:00:00"/>
    <n v="1205"/>
    <n v="18696"/>
    <s v="60773030"/>
    <s v="60773030"/>
    <m/>
    <m/>
    <n v="22785194"/>
    <m/>
    <m/>
    <m/>
    <s v="SOLFIN"/>
    <s v="SOLFIN"/>
    <s v="CCMS"/>
    <n v="21344084"/>
    <n v="3274.89"/>
    <m/>
    <s v="N"/>
    <n v="5"/>
    <d v="2023-07-07T19:03:23"/>
    <s v="Y"/>
    <s v="Attendance upon client"/>
    <s v="Prescribed Hourly Rates"/>
    <s v="Profit Cost"/>
    <s v="Narinder Singh"/>
    <s v="Y"/>
    <n v="25.25"/>
    <n v="5.05"/>
    <x v="9"/>
    <s v="VALIDATED"/>
    <n v="1"/>
    <s v="01.11.80.307.6100.0000"/>
    <n v="25.25"/>
    <s v="11"/>
    <s v="6100"/>
    <n v="30594.15"/>
    <n v="25.25"/>
    <s v="CREDITOR"/>
    <n v="0"/>
    <n v="0"/>
    <n v="0"/>
    <n v="0"/>
    <n v="25.25"/>
  </r>
  <r>
    <n v="48504544"/>
    <s v="N"/>
    <n v="21344092"/>
    <s v="3000012074710009"/>
    <s v="CIVIL"/>
    <d v="2023-06-29T00:00:00"/>
    <d v="2023-07-07T19:03:00"/>
    <m/>
    <d v="2023-07-07T00:00:00"/>
    <n v="1205"/>
    <n v="18696"/>
    <s v="48504544"/>
    <s v="48504544"/>
    <m/>
    <m/>
    <n v="22787308"/>
    <m/>
    <m/>
    <m/>
    <s v="SOLFIN"/>
    <s v="SOLFIN"/>
    <s v="CCMS"/>
    <n v="21344092"/>
    <n v="5824.29"/>
    <m/>
    <s v="N"/>
    <n v="13"/>
    <d v="2023-07-07T19:03:23"/>
    <s v="Y"/>
    <s v="Preparation - drafting pleadings"/>
    <s v="Prescribed Hourly Rates"/>
    <s v="Profit Cost"/>
    <s v="Charlotte Raybould"/>
    <s v="Y"/>
    <n v="63.14"/>
    <n v="12.63"/>
    <x v="9"/>
    <s v="VALIDATED"/>
    <n v="1"/>
    <s v="01.11.80.307.6100.0000"/>
    <n v="63.14"/>
    <s v="11"/>
    <s v="6100"/>
    <n v="30594.15"/>
    <n v="63.14"/>
    <s v="CREDITOR"/>
    <n v="0"/>
    <n v="0"/>
    <n v="0"/>
    <n v="0"/>
    <n v="63.14"/>
  </r>
  <r>
    <n v="48504544"/>
    <s v="N"/>
    <n v="21344092"/>
    <s v="3000012074710009"/>
    <s v="CIVIL"/>
    <d v="2023-06-29T00:00:00"/>
    <d v="2023-07-07T19:03:00"/>
    <m/>
    <d v="2023-07-07T00:00:00"/>
    <n v="1205"/>
    <n v="18696"/>
    <s v="48504544"/>
    <s v="48504544"/>
    <m/>
    <m/>
    <n v="22787308"/>
    <m/>
    <m/>
    <m/>
    <s v="SOLFIN"/>
    <s v="SOLFIN"/>
    <s v="CCMS"/>
    <n v="21344092"/>
    <n v="5824.29"/>
    <m/>
    <s v="N"/>
    <n v="31"/>
    <d v="2023-07-07T19:03:23"/>
    <s v="Y"/>
    <s v="Advocacy - Directions Hearing"/>
    <s v="Prescribed Hourly Rates"/>
    <s v="Advocacy"/>
    <s v="Charlotte Raybould"/>
    <s v="Y"/>
    <n v="58.68"/>
    <n v="11.74"/>
    <x v="9"/>
    <s v="VALIDATED"/>
    <n v="1"/>
    <s v="01.11.80.307.6100.0000"/>
    <n v="58.68"/>
    <s v="11"/>
    <s v="6100"/>
    <n v="30594.15"/>
    <n v="58.68"/>
    <s v="CREDITOR"/>
    <n v="0"/>
    <n v="0"/>
    <n v="0"/>
    <n v="0"/>
    <n v="58.68"/>
  </r>
  <r>
    <n v="54813547"/>
    <s v="N"/>
    <n v="21338270"/>
    <s v="3000013038820008"/>
    <s v="CIVIL"/>
    <d v="2023-06-27T00:00:00"/>
    <d v="2023-07-06T19:21:01"/>
    <m/>
    <d v="2023-07-06T00:00:00"/>
    <n v="1205"/>
    <n v="18696"/>
    <s v="54813547"/>
    <s v="54813547"/>
    <m/>
    <m/>
    <n v="22769992"/>
    <m/>
    <m/>
    <m/>
    <s v="SOLFIN"/>
    <s v="SOLFIN"/>
    <s v="CCMS"/>
    <n v="21338270"/>
    <n v="24252.38"/>
    <m/>
    <s v="N"/>
    <n v="60"/>
    <d v="2023-07-06T19:21:15"/>
    <s v="Y"/>
    <s v="Attendance upon client"/>
    <s v="Care Remuneration Hourly Rates"/>
    <s v="Profit Cost"/>
    <s v="Charlotte Raybould"/>
    <s v="Y"/>
    <n v="74.08"/>
    <n v="14.82"/>
    <x v="4"/>
    <s v="VALIDATED"/>
    <n v="1"/>
    <s v="01.11.80.308.6100.0000"/>
    <n v="74.08"/>
    <s v="11"/>
    <s v="6100"/>
    <n v="30594.15"/>
    <n v="74.08"/>
    <s v="CREDITOR"/>
    <n v="0"/>
    <n v="0"/>
    <n v="0"/>
    <n v="0"/>
    <n v="74.08"/>
  </r>
  <r>
    <n v="54813547"/>
    <s v="N"/>
    <n v="21338270"/>
    <s v="3000013038820008"/>
    <s v="CIVIL"/>
    <d v="2023-06-27T00:00:00"/>
    <d v="2023-07-06T19:21:01"/>
    <m/>
    <d v="2023-07-06T00:00:00"/>
    <n v="1205"/>
    <n v="18696"/>
    <s v="54813547"/>
    <s v="54813547"/>
    <m/>
    <m/>
    <n v="22769992"/>
    <m/>
    <m/>
    <m/>
    <s v="SOLFIN"/>
    <s v="SOLFIN"/>
    <s v="CCMS"/>
    <n v="21338270"/>
    <n v="24252.38"/>
    <m/>
    <s v="N"/>
    <n v="116"/>
    <d v="2023-07-06T19:21:15"/>
    <s v="Y"/>
    <s v="Advocates Meeting"/>
    <s v="Public Law Children"/>
    <s v="Advocacy"/>
    <s v="Charlotte Raybould"/>
    <s v="Y"/>
    <n v="169.2"/>
    <n v="33.84"/>
    <x v="4"/>
    <s v="VALIDATED"/>
    <n v="1"/>
    <s v="01.11.80.308.6100.0000"/>
    <n v="169.2"/>
    <s v="11"/>
    <s v="6100"/>
    <n v="30594.15"/>
    <n v="169.2"/>
    <s v="CREDITOR"/>
    <n v="0"/>
    <n v="0"/>
    <n v="0"/>
    <n v="0"/>
    <n v="169.2"/>
  </r>
  <r>
    <n v="60631907"/>
    <s v="N"/>
    <n v="21331360"/>
    <s v="3000014878960007"/>
    <s v="CIVIL"/>
    <d v="2023-06-28T00:00:00"/>
    <d v="2023-07-05T19:01:47"/>
    <m/>
    <d v="2023-07-05T00:00:00"/>
    <n v="1205"/>
    <n v="18696"/>
    <s v="60631907"/>
    <s v="60631907"/>
    <m/>
    <m/>
    <n v="22783676"/>
    <m/>
    <m/>
    <m/>
    <s v="SOLFIN"/>
    <s v="SOLFIN"/>
    <s v="CCMS"/>
    <n v="21331360"/>
    <n v="9637.15"/>
    <m/>
    <s v="N"/>
    <n v="13"/>
    <d v="2023-07-05T19:02:16"/>
    <s v="Y"/>
    <s v="Routine Letter Out"/>
    <s v="Prescribed Hourly Rates"/>
    <s v="Profit Cost"/>
    <s v="Shrinder Chaggar"/>
    <s v="Y"/>
    <n v="831.6"/>
    <n v="166.33"/>
    <x v="6"/>
    <s v="VALIDATED"/>
    <n v="1"/>
    <s v="01.11.80.307.6100.0000"/>
    <n v="831.6"/>
    <s v="11"/>
    <s v="6100"/>
    <n v="30594.15"/>
    <n v="831.6"/>
    <s v="CREDITOR"/>
    <n v="0"/>
    <n v="0"/>
    <n v="0"/>
    <n v="0"/>
    <n v="831.6"/>
  </r>
  <r>
    <n v="60744883"/>
    <s v="N"/>
    <n v="21330927"/>
    <s v="3000014987240008"/>
    <s v="CIVIL"/>
    <d v="2023-06-22T00:00:00"/>
    <d v="2023-07-05T19:01:47"/>
    <m/>
    <d v="2023-07-05T00:00:00"/>
    <n v="1205"/>
    <n v="18696"/>
    <s v="60744883"/>
    <s v="60744883"/>
    <m/>
    <m/>
    <n v="22745992"/>
    <m/>
    <m/>
    <m/>
    <s v="SOLFIN"/>
    <s v="SOLFIN"/>
    <s v="CCMS"/>
    <n v="21330927"/>
    <n v="13790.5"/>
    <m/>
    <s v="N"/>
    <n v="29"/>
    <d v="2023-07-05T19:01:57"/>
    <s v="Y"/>
    <s v="Preparation - drafting bill/claim f"/>
    <s v="Care Remuneration Hourly Rates"/>
    <s v="Profit Cost"/>
    <s v="Penny Dukes"/>
    <s v="Y"/>
    <n v="10.51"/>
    <n v="2.1"/>
    <x v="6"/>
    <s v="VALIDATED"/>
    <n v="1"/>
    <s v="01.11.80.308.6100.0000"/>
    <n v="10.51"/>
    <s v="11"/>
    <s v="6100"/>
    <n v="30594.15"/>
    <n v="10.51"/>
    <s v="CREDITOR"/>
    <n v="0"/>
    <n v="0"/>
    <n v="0"/>
    <n v="0"/>
    <n v="10.51"/>
  </r>
  <r>
    <n v="60066609"/>
    <s v="N"/>
    <n v="21350136"/>
    <s v="3000014401840008"/>
    <s v="CIVIL"/>
    <d v="2023-06-29T00:00:00"/>
    <d v="2023-07-10T19:01:40"/>
    <m/>
    <d v="2023-07-10T00:00:00"/>
    <n v="1205"/>
    <n v="18696"/>
    <s v="60066609"/>
    <s v="60066609"/>
    <m/>
    <m/>
    <n v="22788730"/>
    <m/>
    <m/>
    <m/>
    <s v="SOLFIN"/>
    <s v="SOLFIN"/>
    <s v="CCMS"/>
    <n v="21350136"/>
    <n v="7952.47"/>
    <m/>
    <s v="N"/>
    <n v="2"/>
    <d v="2023-07-10T19:02:15"/>
    <s v="Y"/>
    <s v="Exceptional Travel"/>
    <s v="Public Law Children"/>
    <s v="Advocacy"/>
    <s v="Andrew Crumpton"/>
    <s v="Y"/>
    <n v="32.04"/>
    <n v="6.41"/>
    <x v="2"/>
    <s v="VALIDATED"/>
    <n v="1"/>
    <s v="01.11.80.308.6100.0000"/>
    <n v="32.04"/>
    <s v="11"/>
    <s v="6100"/>
    <n v="30594.15"/>
    <n v="32.04"/>
    <s v="CREDITOR"/>
    <n v="0"/>
    <n v="0"/>
    <n v="0"/>
    <n v="0"/>
    <n v="32.04"/>
  </r>
  <r>
    <n v="48504544"/>
    <s v="N"/>
    <n v="21344092"/>
    <s v="3000012074710009"/>
    <s v="CIVIL"/>
    <d v="2023-06-29T00:00:00"/>
    <d v="2023-07-07T19:03:00"/>
    <m/>
    <d v="2023-07-07T00:00:00"/>
    <n v="1205"/>
    <n v="18696"/>
    <s v="48504544"/>
    <s v="48504544"/>
    <m/>
    <m/>
    <n v="22787308"/>
    <m/>
    <m/>
    <m/>
    <s v="SOLFIN"/>
    <s v="SOLFIN"/>
    <s v="CCMS"/>
    <n v="21344092"/>
    <n v="5824.29"/>
    <m/>
    <s v="N"/>
    <n v="22"/>
    <d v="2023-07-07T19:03:23"/>
    <s v="Y"/>
    <s v="Preparation - drafting consent orde"/>
    <s v="Prescribed Hourly Rates"/>
    <s v="Profit Cost"/>
    <s v="Anna Cooper"/>
    <s v="Y"/>
    <n v="10.98"/>
    <n v="2.2"/>
    <x v="9"/>
    <s v="VALIDATED"/>
    <n v="1"/>
    <s v="01.11.80.307.6100.0000"/>
    <n v="10.98"/>
    <s v="11"/>
    <s v="6100"/>
    <n v="30594.15"/>
    <n v="10.98"/>
    <s v="CREDITOR"/>
    <n v="0"/>
    <n v="0"/>
    <n v="0"/>
    <n v="0"/>
    <n v="10.98"/>
  </r>
  <r>
    <n v="54813547"/>
    <s v="N"/>
    <n v="21338270"/>
    <s v="3000013038820008"/>
    <s v="CIVIL"/>
    <d v="2023-06-27T00:00:00"/>
    <d v="2023-07-06T19:21:01"/>
    <m/>
    <d v="2023-07-06T00:00:00"/>
    <n v="1205"/>
    <n v="18696"/>
    <s v="54813547"/>
    <s v="54813547"/>
    <m/>
    <m/>
    <n v="22769992"/>
    <m/>
    <m/>
    <m/>
    <s v="SOLFIN"/>
    <s v="SOLFIN"/>
    <s v="CCMS"/>
    <n v="21338270"/>
    <n v="24252.38"/>
    <m/>
    <s v="N"/>
    <n v="86"/>
    <d v="2023-07-06T19:21:15"/>
    <s v="Y"/>
    <s v="Preparation - other"/>
    <s v="Care Remuneration Hourly Rates"/>
    <s v="Profit Cost"/>
    <s v="Anna Cooper"/>
    <s v="Y"/>
    <n v="397.04"/>
    <n v="79.41"/>
    <x v="4"/>
    <s v="VALIDATED"/>
    <n v="1"/>
    <s v="01.11.80.308.6100.0000"/>
    <n v="397.04"/>
    <s v="11"/>
    <s v="6100"/>
    <n v="30594.15"/>
    <n v="397.04"/>
    <s v="CREDITOR"/>
    <n v="0"/>
    <n v="0"/>
    <n v="0"/>
    <n v="0"/>
    <n v="397.04"/>
  </r>
  <r>
    <n v="60740536"/>
    <s v="N"/>
    <n v="21343872"/>
    <s v="3000014983190011"/>
    <s v="CIVIL"/>
    <d v="2023-06-27T00:00:00"/>
    <d v="2023-07-07T19:03:00"/>
    <m/>
    <d v="2023-07-07T00:00:00"/>
    <n v="1205"/>
    <n v="18696"/>
    <s v="60740536"/>
    <s v="60740536"/>
    <m/>
    <m/>
    <n v="22766106"/>
    <m/>
    <m/>
    <m/>
    <s v="SOLFIN"/>
    <s v="SOLFIN"/>
    <s v="CCMS"/>
    <n v="21343872"/>
    <n v="13395.68"/>
    <m/>
    <s v="N"/>
    <n v="83"/>
    <d v="2023-07-07T19:03:15"/>
    <s v="Y"/>
    <s v="Hearing Unit 2.31 - 5.00 Hours"/>
    <s v="Public Law Children"/>
    <s v="Advocacy"/>
    <s v="Charlotte Raybould"/>
    <s v="Y"/>
    <n v="476.92"/>
    <n v="95.38"/>
    <x v="9"/>
    <s v="VALIDATED"/>
    <n v="1"/>
    <s v="01.11.80.308.6100.0000"/>
    <n v="476.92"/>
    <s v="11"/>
    <s v="6100"/>
    <n v="30594.15"/>
    <n v="476.92"/>
    <s v="CREDITOR"/>
    <n v="0"/>
    <n v="0"/>
    <n v="0"/>
    <n v="0"/>
    <n v="476.92"/>
  </r>
  <r>
    <n v="60631907"/>
    <s v="N"/>
    <n v="21331360"/>
    <s v="3000014878960007"/>
    <s v="CIVIL"/>
    <d v="2023-06-28T00:00:00"/>
    <d v="2023-07-05T19:01:47"/>
    <m/>
    <d v="2023-07-05T00:00:00"/>
    <n v="1205"/>
    <n v="18696"/>
    <s v="60631907"/>
    <s v="60631907"/>
    <m/>
    <m/>
    <n v="22783676"/>
    <m/>
    <m/>
    <m/>
    <s v="SOLFIN"/>
    <s v="SOLFIN"/>
    <s v="CCMS"/>
    <n v="21331360"/>
    <n v="9637.15"/>
    <m/>
    <s v="N"/>
    <n v="84"/>
    <d v="2023-07-05T19:02:16"/>
    <s v="Y"/>
    <s v="Attendance upon client"/>
    <s v="Prescribed Hourly Rates"/>
    <s v="Profit Cost"/>
    <s v="Andrew Crumpton"/>
    <s v="Y"/>
    <n v="102.94"/>
    <n v="20.59"/>
    <x v="6"/>
    <s v="VALIDATED"/>
    <n v="1"/>
    <s v="01.11.80.307.6100.0000"/>
    <n v="102.94"/>
    <s v="11"/>
    <s v="6100"/>
    <n v="30594.15"/>
    <n v="102.94"/>
    <s v="CREDITOR"/>
    <n v="0"/>
    <n v="0"/>
    <n v="0"/>
    <n v="0"/>
    <n v="102.94"/>
  </r>
  <r>
    <n v="60631907"/>
    <s v="N"/>
    <n v="21331360"/>
    <s v="3000014878960007"/>
    <s v="CIVIL"/>
    <d v="2023-06-28T00:00:00"/>
    <d v="2023-07-05T19:01:47"/>
    <m/>
    <d v="2023-07-05T00:00:00"/>
    <n v="1205"/>
    <n v="18696"/>
    <s v="60631907"/>
    <s v="60631907"/>
    <m/>
    <m/>
    <n v="22783676"/>
    <m/>
    <m/>
    <m/>
    <s v="SOLFIN"/>
    <s v="SOLFIN"/>
    <s v="CCMS"/>
    <n v="21331360"/>
    <n v="9637.15"/>
    <m/>
    <s v="N"/>
    <n v="91"/>
    <d v="2023-07-05T19:02:16"/>
    <s v="Y"/>
    <s v="Solicitor Travel Mileage"/>
    <s v="Prescribed Hourly Rates"/>
    <s v="Non Expert Disbursement"/>
    <s v="Andrew Crumpton"/>
    <s v="Y"/>
    <n v="26"/>
    <n v="5.2"/>
    <x v="6"/>
    <s v="VALIDATED"/>
    <n v="1"/>
    <s v="01.11.80.307.6300.0000"/>
    <n v="26"/>
    <s v="11"/>
    <s v="6300"/>
    <n v="30594.15"/>
    <n v="26"/>
    <s v="CREDITOR"/>
    <n v="0"/>
    <n v="0"/>
    <n v="0"/>
    <n v="0"/>
    <n v="26"/>
  </r>
  <r>
    <n v="61067782"/>
    <s v="N"/>
    <n v="21318657"/>
    <s v="3000015264930016"/>
    <s v="CIVIL"/>
    <d v="2023-06-26T00:00:00"/>
    <d v="2023-07-03T19:01:49"/>
    <m/>
    <d v="2023-07-03T00:00:00"/>
    <n v="1205"/>
    <n v="18696"/>
    <s v="61067782"/>
    <s v="61067782"/>
    <m/>
    <m/>
    <n v="22757782"/>
    <m/>
    <m/>
    <m/>
    <s v="SOLPOA"/>
    <s v="SOLPOA"/>
    <s v="CCMS"/>
    <n v="21318657"/>
    <n v="91.31"/>
    <m/>
    <s v="N"/>
    <n v="1"/>
    <d v="2023-07-03T19:02:00"/>
    <s v="N"/>
    <s v="Non Expert Disbursement"/>
    <s v="Non Expert Disbursement"/>
    <s v="Non Expert Disbursement"/>
    <s v="Narinder Singh"/>
    <s v="N"/>
    <n v="76.09"/>
    <n v="15.22"/>
    <x v="3"/>
    <s v="VALIDATED"/>
    <n v="1"/>
    <s v="01.11.80.308.2012.0000"/>
    <n v="76.09"/>
    <s v="11"/>
    <s v="2012"/>
    <n v="30594.15"/>
    <n v="76.09"/>
    <s v="CREDITOR"/>
    <n v="76.09"/>
    <n v="0"/>
    <n v="0"/>
    <n v="0"/>
    <n v="0"/>
  </r>
  <r>
    <n v="60066609"/>
    <s v="N"/>
    <n v="21350136"/>
    <s v="3000014401840008"/>
    <s v="CIVIL"/>
    <d v="2023-06-29T00:00:00"/>
    <d v="2023-07-10T19:01:40"/>
    <m/>
    <d v="2023-07-10T00:00:00"/>
    <n v="1205"/>
    <n v="18696"/>
    <s v="60066609"/>
    <s v="60066609"/>
    <m/>
    <m/>
    <n v="22788730"/>
    <m/>
    <m/>
    <m/>
    <s v="SOLFIN"/>
    <s v="SOLFIN"/>
    <s v="CCMS"/>
    <n v="21350136"/>
    <n v="7952.47"/>
    <m/>
    <s v="N"/>
    <n v="14"/>
    <d v="2023-07-10T19:02:15"/>
    <s v="Y"/>
    <s v="Hearing Unit 2.31 - 5.00 Hours"/>
    <s v="Public Law Children"/>
    <s v="Advocacy"/>
    <s v="Andrew Crumpton"/>
    <s v="Y"/>
    <n v="476.92"/>
    <n v="95.38"/>
    <x v="2"/>
    <s v="VALIDATED"/>
    <n v="1"/>
    <s v="01.11.80.308.6100.0000"/>
    <n v="476.92"/>
    <s v="11"/>
    <s v="6100"/>
    <n v="30594.15"/>
    <n v="476.92"/>
    <s v="CREDITOR"/>
    <n v="0"/>
    <n v="0"/>
    <n v="0"/>
    <n v="0"/>
    <n v="476.92"/>
  </r>
  <r>
    <n v="54813547"/>
    <s v="N"/>
    <n v="21338270"/>
    <s v="3000013038820008"/>
    <s v="CIVIL"/>
    <d v="2023-06-27T00:00:00"/>
    <d v="2023-07-06T19:21:01"/>
    <m/>
    <d v="2023-07-06T00:00:00"/>
    <n v="1205"/>
    <n v="18696"/>
    <s v="54813547"/>
    <s v="54813547"/>
    <m/>
    <m/>
    <n v="22769992"/>
    <m/>
    <m/>
    <m/>
    <s v="SOLFIN"/>
    <s v="SOLFIN"/>
    <s v="CCMS"/>
    <n v="21338270"/>
    <n v="24252.38"/>
    <m/>
    <s v="N"/>
    <n v="61"/>
    <d v="2023-07-06T19:21:15"/>
    <s v="Y"/>
    <s v="Preparation - drafting notice(s)"/>
    <s v="Care Remuneration Hourly Rates"/>
    <s v="Profit Cost"/>
    <s v="Shelley Abbey"/>
    <s v="Y"/>
    <n v="10.51"/>
    <n v="2.1"/>
    <x v="4"/>
    <s v="VALIDATED"/>
    <n v="1"/>
    <s v="01.11.80.308.6100.0000"/>
    <n v="10.51"/>
    <s v="11"/>
    <s v="6100"/>
    <n v="30594.15"/>
    <n v="10.51"/>
    <s v="CREDITOR"/>
    <n v="0"/>
    <n v="0"/>
    <n v="0"/>
    <n v="0"/>
    <n v="10.51"/>
  </r>
  <r>
    <n v="54813547"/>
    <s v="N"/>
    <n v="21338270"/>
    <s v="3000013038820008"/>
    <s v="CIVIL"/>
    <d v="2023-06-27T00:00:00"/>
    <d v="2023-07-06T19:21:01"/>
    <m/>
    <d v="2023-07-06T00:00:00"/>
    <n v="1205"/>
    <n v="18696"/>
    <s v="54813547"/>
    <s v="54813547"/>
    <m/>
    <m/>
    <n v="22769992"/>
    <m/>
    <m/>
    <m/>
    <s v="SOLFIN"/>
    <s v="SOLFIN"/>
    <s v="CCMS"/>
    <n v="21338270"/>
    <n v="24252.38"/>
    <m/>
    <s v="N"/>
    <n v="102"/>
    <d v="2023-07-06T19:21:15"/>
    <s v="Y"/>
    <s v="Advocates Meeting"/>
    <s v="Public Law Children"/>
    <s v="Advocacy"/>
    <s v="Charlotte Raybould"/>
    <s v="Y"/>
    <n v="169.2"/>
    <n v="33.84"/>
    <x v="4"/>
    <s v="VALIDATED"/>
    <n v="1"/>
    <s v="01.11.80.308.6100.0000"/>
    <n v="169.2"/>
    <s v="11"/>
    <s v="6100"/>
    <n v="30594.15"/>
    <n v="169.2"/>
    <s v="CREDITOR"/>
    <n v="0"/>
    <n v="0"/>
    <n v="0"/>
    <n v="0"/>
    <n v="169.2"/>
  </r>
  <r>
    <n v="54813547"/>
    <s v="N"/>
    <n v="21338270"/>
    <s v="3000013038820008"/>
    <s v="CIVIL"/>
    <d v="2023-06-27T00:00:00"/>
    <d v="2023-07-06T19:21:01"/>
    <m/>
    <d v="2023-07-06T00:00:00"/>
    <n v="1205"/>
    <n v="18696"/>
    <s v="54813547"/>
    <s v="54813547"/>
    <m/>
    <m/>
    <n v="22769992"/>
    <m/>
    <m/>
    <m/>
    <s v="SOLFIN"/>
    <s v="SOLFIN"/>
    <s v="CCMS"/>
    <n v="21338270"/>
    <n v="24252.38"/>
    <m/>
    <s v="N"/>
    <n v="4"/>
    <d v="2023-07-06T19:21:15"/>
    <s v="Y"/>
    <s v="DNA - test of sample"/>
    <s v="Care Remuneration Hourly Rates"/>
    <s v="Expert Disbursement"/>
    <s v="Charlotte Raybould"/>
    <s v="Y"/>
    <n v="129.67"/>
    <n v="25.93"/>
    <x v="4"/>
    <s v="VALIDATED"/>
    <n v="1"/>
    <s v="01.11.80.308.6300.0000"/>
    <n v="129.67"/>
    <s v="11"/>
    <s v="6300"/>
    <n v="30594.15"/>
    <n v="129.67"/>
    <s v="CREDITOR"/>
    <n v="0"/>
    <n v="0"/>
    <n v="0"/>
    <n v="0"/>
    <n v="129.67"/>
  </r>
  <r>
    <n v="61817409"/>
    <s v="N"/>
    <n v="21331158"/>
    <s v="3000015888300002"/>
    <s v="CIVIL"/>
    <d v="2023-06-27T00:00:00"/>
    <d v="2023-07-05T19:01:47"/>
    <m/>
    <d v="2023-07-05T00:00:00"/>
    <n v="1205"/>
    <n v="18696"/>
    <s v="61817409"/>
    <s v="61817409"/>
    <m/>
    <m/>
    <n v="22771972"/>
    <m/>
    <m/>
    <m/>
    <s v="SOLFIN"/>
    <s v="SOLFIN"/>
    <s v="CCMS"/>
    <n v="21331158"/>
    <n v="5951.96"/>
    <m/>
    <s v="N"/>
    <n v="4"/>
    <d v="2023-07-05T19:02:08"/>
    <s v="Y"/>
    <s v="Hearing Unit 2.31 - 5.00 Hours"/>
    <s v="Public Law Children"/>
    <s v="Advocacy"/>
    <s v="Narinder Singh"/>
    <s v="Y"/>
    <n v="476.92"/>
    <n v="95.38"/>
    <x v="6"/>
    <s v="VALIDATED"/>
    <n v="1"/>
    <s v="01.11.80.308.6100.0000"/>
    <n v="476.92"/>
    <s v="11"/>
    <s v="6100"/>
    <n v="30594.15"/>
    <n v="476.92"/>
    <s v="CREDITOR"/>
    <n v="0"/>
    <n v="0"/>
    <n v="0"/>
    <n v="0"/>
    <n v="476.92"/>
  </r>
  <r>
    <n v="60631907"/>
    <s v="N"/>
    <n v="21331360"/>
    <s v="3000014878960007"/>
    <s v="CIVIL"/>
    <d v="2023-06-28T00:00:00"/>
    <d v="2023-07-05T19:01:47"/>
    <m/>
    <d v="2023-07-05T00:00:00"/>
    <n v="1205"/>
    <n v="18696"/>
    <s v="60631907"/>
    <s v="60631907"/>
    <m/>
    <m/>
    <n v="22783676"/>
    <m/>
    <m/>
    <m/>
    <s v="SOLFIN"/>
    <s v="SOLFIN"/>
    <s v="CCMS"/>
    <n v="21331360"/>
    <n v="9637.15"/>
    <m/>
    <s v="N"/>
    <n v="50"/>
    <d v="2023-07-05T19:02:16"/>
    <s v="Y"/>
    <s v="Attendance upon other"/>
    <s v="Prescribed Hourly Rates"/>
    <s v="Profit Cost"/>
    <s v="Andrew Crumpton"/>
    <s v="Y"/>
    <n v="34.31"/>
    <n v="6.86"/>
    <x v="6"/>
    <s v="VALIDATED"/>
    <n v="1"/>
    <s v="01.11.80.307.6100.0000"/>
    <n v="34.31"/>
    <s v="11"/>
    <s v="6100"/>
    <n v="30594.15"/>
    <n v="34.31"/>
    <s v="CREDITOR"/>
    <n v="0"/>
    <n v="0"/>
    <n v="0"/>
    <n v="0"/>
    <n v="34.31"/>
  </r>
  <r>
    <n v="60631907"/>
    <s v="N"/>
    <n v="21331360"/>
    <s v="3000014878960007"/>
    <s v="CIVIL"/>
    <d v="2023-06-28T00:00:00"/>
    <d v="2023-07-05T19:01:47"/>
    <m/>
    <d v="2023-07-05T00:00:00"/>
    <n v="1205"/>
    <n v="18696"/>
    <s v="60631907"/>
    <s v="60631907"/>
    <m/>
    <m/>
    <n v="22783676"/>
    <m/>
    <m/>
    <m/>
    <s v="SOLFIN"/>
    <s v="SOLFIN"/>
    <s v="CCMS"/>
    <n v="21331360"/>
    <n v="9637.15"/>
    <m/>
    <s v="N"/>
    <n v="82"/>
    <d v="2023-07-05T19:02:16"/>
    <s v="Y"/>
    <s v="Attendance upon other"/>
    <s v="Prescribed Hourly Rates"/>
    <s v="Profit Cost"/>
    <s v="Andrew Crumpton"/>
    <s v="Y"/>
    <n v="20.59"/>
    <n v="4.12"/>
    <x v="6"/>
    <s v="VALIDATED"/>
    <n v="1"/>
    <s v="01.11.80.307.6100.0000"/>
    <n v="20.59"/>
    <s v="11"/>
    <s v="6100"/>
    <n v="30594.15"/>
    <n v="20.59"/>
    <s v="CREDITOR"/>
    <n v="0"/>
    <n v="0"/>
    <n v="0"/>
    <n v="0"/>
    <n v="20.59"/>
  </r>
  <r>
    <n v="60631907"/>
    <s v="N"/>
    <n v="21331360"/>
    <s v="3000014878960007"/>
    <s v="CIVIL"/>
    <d v="2023-06-28T00:00:00"/>
    <d v="2023-07-05T19:01:47"/>
    <m/>
    <d v="2023-07-05T00:00:00"/>
    <n v="1205"/>
    <n v="18696"/>
    <s v="60631907"/>
    <s v="60631907"/>
    <m/>
    <m/>
    <n v="22783676"/>
    <m/>
    <m/>
    <m/>
    <s v="SOLFIN"/>
    <s v="SOLFIN"/>
    <s v="CCMS"/>
    <n v="21331360"/>
    <n v="9637.15"/>
    <m/>
    <s v="N"/>
    <n v="5"/>
    <d v="2023-07-05T19:02:16"/>
    <s v="Y"/>
    <s v="Travel to court"/>
    <s v="Prescribed Hourly Rates"/>
    <s v="Profit Cost"/>
    <s v="Andrew Crumpton"/>
    <s v="Y"/>
    <n v="12.83"/>
    <n v="2.57"/>
    <x v="6"/>
    <s v="VALIDATED"/>
    <n v="1"/>
    <s v="01.11.80.307.6100.0000"/>
    <n v="12.83"/>
    <s v="11"/>
    <s v="6100"/>
    <n v="30594.15"/>
    <n v="12.83"/>
    <s v="CREDITOR"/>
    <n v="0"/>
    <n v="0"/>
    <n v="0"/>
    <n v="0"/>
    <n v="12.83"/>
  </r>
  <r>
    <n v="54813547"/>
    <s v="N"/>
    <n v="21338270"/>
    <s v="3000013038820008"/>
    <s v="CIVIL"/>
    <d v="2023-06-27T00:00:00"/>
    <d v="2023-07-06T19:21:01"/>
    <m/>
    <d v="2023-07-06T00:00:00"/>
    <n v="1205"/>
    <n v="18696"/>
    <s v="54813547"/>
    <s v="54813547"/>
    <m/>
    <m/>
    <n v="22769992"/>
    <m/>
    <m/>
    <m/>
    <s v="SOLFIN"/>
    <s v="SOLFIN"/>
    <s v="CCMS"/>
    <n v="21338270"/>
    <n v="24252.38"/>
    <m/>
    <s v="N"/>
    <n v="17"/>
    <d v="2023-07-06T19:21:15"/>
    <s v="Y"/>
    <s v="Preparation - drafting pleadings"/>
    <s v="Care Remuneration Hourly Rates"/>
    <s v="Profit Cost"/>
    <s v="Charlotte Raybould"/>
    <s v="Y"/>
    <n v="59.26"/>
    <n v="11.85"/>
    <x v="4"/>
    <s v="VALIDATED"/>
    <n v="1"/>
    <s v="01.11.80.308.6100.0000"/>
    <n v="59.26"/>
    <s v="11"/>
    <s v="6100"/>
    <n v="30594.15"/>
    <n v="59.26"/>
    <s v="CREDITOR"/>
    <n v="0"/>
    <n v="0"/>
    <n v="0"/>
    <n v="0"/>
    <n v="59.26"/>
  </r>
  <r>
    <n v="48504544"/>
    <s v="N"/>
    <n v="21344092"/>
    <s v="3000012074710009"/>
    <s v="CIVIL"/>
    <d v="2023-06-29T00:00:00"/>
    <d v="2023-07-07T19:03:00"/>
    <m/>
    <d v="2023-07-07T00:00:00"/>
    <n v="1205"/>
    <n v="18696"/>
    <s v="48504544"/>
    <s v="48504544"/>
    <m/>
    <m/>
    <n v="22787308"/>
    <m/>
    <m/>
    <m/>
    <s v="SOLFIN"/>
    <s v="SOLFIN"/>
    <s v="CCMS"/>
    <n v="21344092"/>
    <n v="5824.29"/>
    <m/>
    <s v="N"/>
    <n v="1"/>
    <d v="2023-07-07T19:03:23"/>
    <s v="Y"/>
    <s v="Routine Letter In"/>
    <s v="Prescribed Hourly Rates"/>
    <s v="Profit Cost"/>
    <s v="Anna Cooper"/>
    <s v="Y"/>
    <n v="253.8"/>
    <n v="50.76"/>
    <x v="9"/>
    <s v="VALIDATED"/>
    <n v="1"/>
    <s v="01.11.80.307.6100.0000"/>
    <n v="253.8"/>
    <s v="11"/>
    <s v="6100"/>
    <n v="30594.15"/>
    <n v="253.8"/>
    <s v="CREDITOR"/>
    <n v="0"/>
    <n v="0"/>
    <n v="0"/>
    <n v="0"/>
    <n v="253.8"/>
  </r>
  <r>
    <n v="60773030"/>
    <s v="N"/>
    <n v="21344084"/>
    <s v="3000015011890006"/>
    <s v="CIVIL"/>
    <d v="2023-06-29T00:00:00"/>
    <d v="2023-07-07T19:03:00"/>
    <m/>
    <d v="2023-07-07T00:00:00"/>
    <n v="1205"/>
    <n v="18696"/>
    <s v="60773030"/>
    <s v="60773030"/>
    <m/>
    <m/>
    <n v="22785194"/>
    <m/>
    <m/>
    <m/>
    <s v="SOLFIN"/>
    <s v="SOLFIN"/>
    <s v="CCMS"/>
    <n v="21344084"/>
    <n v="3274.89"/>
    <m/>
    <s v="N"/>
    <n v="32"/>
    <d v="2023-07-07T19:03:23"/>
    <s v="Y"/>
    <s v="Preparation - drafting consent orde"/>
    <s v="Prescribed Hourly Rates"/>
    <s v="Profit Cost"/>
    <s v="Alix Reynolds"/>
    <s v="Y"/>
    <n v="5.49"/>
    <n v="1.1"/>
    <x v="9"/>
    <s v="VALIDATED"/>
    <n v="1"/>
    <s v="01.11.80.307.6100.0000"/>
    <n v="5.49"/>
    <s v="11"/>
    <s v="6100"/>
    <n v="30594.15"/>
    <n v="5.49"/>
    <s v="CREDITOR"/>
    <n v="0"/>
    <n v="0"/>
    <n v="0"/>
    <n v="0"/>
    <n v="5.49"/>
  </r>
  <r>
    <n v="60744883"/>
    <s v="N"/>
    <n v="21330927"/>
    <s v="3000014987240008"/>
    <s v="CIVIL"/>
    <d v="2023-06-22T00:00:00"/>
    <d v="2023-07-05T19:01:47"/>
    <m/>
    <d v="2023-07-05T00:00:00"/>
    <n v="1205"/>
    <n v="18696"/>
    <s v="60744883"/>
    <s v="60744883"/>
    <m/>
    <m/>
    <n v="22745992"/>
    <m/>
    <m/>
    <m/>
    <s v="SOLFIN"/>
    <s v="SOLFIN"/>
    <s v="CCMS"/>
    <n v="21330927"/>
    <n v="13790.5"/>
    <m/>
    <s v="N"/>
    <n v="59"/>
    <d v="2023-07-05T19:01:57"/>
    <s v="Y"/>
    <s v="Routine Letter Out"/>
    <s v="Care Remuneration Hourly Rates"/>
    <s v="Profit Cost"/>
    <s v="Narinder Singh"/>
    <s v="Y"/>
    <n v="280.07"/>
    <n v="56.01"/>
    <x v="6"/>
    <s v="VALIDATED"/>
    <n v="1"/>
    <s v="01.11.80.308.6100.0000"/>
    <n v="280.07"/>
    <s v="11"/>
    <s v="6100"/>
    <n v="30594.15"/>
    <n v="280.07"/>
    <s v="CREDITOR"/>
    <n v="0"/>
    <n v="0"/>
    <n v="0"/>
    <n v="0"/>
    <n v="280.07"/>
  </r>
  <r>
    <n v="60744883"/>
    <s v="N"/>
    <n v="21330927"/>
    <s v="3000014987240008"/>
    <s v="CIVIL"/>
    <d v="2023-06-22T00:00:00"/>
    <d v="2023-07-05T19:01:47"/>
    <m/>
    <d v="2023-07-05T00:00:00"/>
    <n v="1205"/>
    <n v="18696"/>
    <s v="60744883"/>
    <s v="60744883"/>
    <m/>
    <m/>
    <n v="22745992"/>
    <m/>
    <m/>
    <m/>
    <s v="SOLFIN"/>
    <s v="SOLFIN"/>
    <s v="CCMS"/>
    <n v="21330927"/>
    <n v="13790.5"/>
    <m/>
    <s v="N"/>
    <n v="60"/>
    <d v="2023-07-05T19:01:57"/>
    <s v="Y"/>
    <s v="Report - other report"/>
    <s v="Care Remuneration Hourly Rates"/>
    <s v="Profit Cost"/>
    <s v="Alix Reynolds"/>
    <s v="Y"/>
    <n v="46"/>
    <n v="9.199999999999999"/>
    <x v="6"/>
    <s v="VALIDATED"/>
    <n v="1"/>
    <s v="01.11.80.308.6100.0000"/>
    <n v="46"/>
    <s v="11"/>
    <s v="6100"/>
    <n v="30594.15"/>
    <n v="46"/>
    <s v="CREDITOR"/>
    <n v="0"/>
    <n v="0"/>
    <n v="0"/>
    <n v="0"/>
    <n v="46"/>
  </r>
  <r>
    <n v="60744883"/>
    <s v="N"/>
    <n v="21330927"/>
    <s v="3000014987240008"/>
    <s v="CIVIL"/>
    <d v="2023-06-22T00:00:00"/>
    <d v="2023-07-05T19:01:47"/>
    <m/>
    <d v="2023-07-05T00:00:00"/>
    <n v="1205"/>
    <n v="18696"/>
    <s v="60744883"/>
    <s v="60744883"/>
    <m/>
    <m/>
    <n v="22745992"/>
    <m/>
    <m/>
    <m/>
    <s v="SOLFIN"/>
    <s v="SOLFIN"/>
    <s v="CCMS"/>
    <n v="21330927"/>
    <n v="13790.5"/>
    <m/>
    <s v="N"/>
    <n v="19"/>
    <d v="2023-07-05T19:01:57"/>
    <s v="Y"/>
    <s v="Report - other report"/>
    <s v="Care Remuneration Hourly Rates"/>
    <s v="Profit Cost"/>
    <s v="Alix Reynolds"/>
    <s v="Y"/>
    <n v="65.70999999999999"/>
    <n v="13.14"/>
    <x v="6"/>
    <s v="VALIDATED"/>
    <n v="1"/>
    <s v="01.11.80.308.6100.0000"/>
    <n v="65.70999999999999"/>
    <s v="11"/>
    <s v="6100"/>
    <n v="30594.15"/>
    <n v="65.70999999999999"/>
    <s v="CREDITOR"/>
    <n v="0"/>
    <n v="0"/>
    <n v="0"/>
    <n v="0"/>
    <n v="65.70999999999999"/>
  </r>
  <r>
    <n v="60631907"/>
    <s v="N"/>
    <n v="21331360"/>
    <s v="3000014878960007"/>
    <s v="CIVIL"/>
    <d v="2023-06-28T00:00:00"/>
    <d v="2023-07-05T19:01:47"/>
    <m/>
    <d v="2023-07-05T00:00:00"/>
    <n v="1205"/>
    <n v="18696"/>
    <s v="60631907"/>
    <s v="60631907"/>
    <m/>
    <m/>
    <n v="22783676"/>
    <m/>
    <m/>
    <m/>
    <s v="SOLFIN"/>
    <s v="SOLFIN"/>
    <s v="CCMS"/>
    <n v="21331360"/>
    <n v="9637.15"/>
    <m/>
    <s v="N"/>
    <n v="15"/>
    <d v="2023-07-05T19:02:16"/>
    <s v="Y"/>
    <s v="Routine Letter Out"/>
    <s v="Prescribed Hourly Rates"/>
    <s v="Profit Cost"/>
    <s v="Andrew Crumpton"/>
    <s v="Y"/>
    <n v="888.03"/>
    <n v="177.62"/>
    <x v="6"/>
    <s v="VALIDATED"/>
    <n v="1"/>
    <s v="01.11.80.307.6100.0000"/>
    <n v="888.03"/>
    <s v="11"/>
    <s v="6100"/>
    <n v="30594.15"/>
    <n v="888.03"/>
    <s v="CREDITOR"/>
    <n v="0"/>
    <n v="0"/>
    <n v="0"/>
    <n v="0"/>
    <n v="888.03"/>
  </r>
  <r>
    <n v="60740536"/>
    <s v="N"/>
    <n v="21343872"/>
    <s v="3000014983190011"/>
    <s v="CIVIL"/>
    <d v="2023-06-27T00:00:00"/>
    <d v="2023-07-07T19:03:00"/>
    <m/>
    <d v="2023-07-07T00:00:00"/>
    <n v="1205"/>
    <n v="18696"/>
    <s v="60740536"/>
    <s v="60740536"/>
    <m/>
    <m/>
    <n v="22766106"/>
    <m/>
    <m/>
    <m/>
    <s v="SOLFIN"/>
    <s v="SOLFIN"/>
    <s v="CCMS"/>
    <n v="21343872"/>
    <n v="13395.68"/>
    <m/>
    <s v="N"/>
    <n v="42"/>
    <d v="2023-07-07T19:03:15"/>
    <s v="Y"/>
    <s v="Preparation - drafting pleadings"/>
    <s v="Care Remuneration Hourly Rates"/>
    <s v="Profit Cost"/>
    <s v="Anna Cooper"/>
    <s v="Y"/>
    <n v="36.8"/>
    <n v="7.36"/>
    <x v="9"/>
    <s v="VALIDATED"/>
    <n v="1"/>
    <s v="01.11.80.308.6100.0000"/>
    <n v="36.8"/>
    <s v="11"/>
    <s v="6100"/>
    <n v="30594.15"/>
    <n v="36.8"/>
    <s v="CREDITOR"/>
    <n v="0"/>
    <n v="0"/>
    <n v="0"/>
    <n v="0"/>
    <n v="36.8"/>
  </r>
  <r>
    <n v="60740536"/>
    <s v="N"/>
    <n v="21343872"/>
    <s v="3000014983190011"/>
    <s v="CIVIL"/>
    <d v="2023-06-27T00:00:00"/>
    <d v="2023-07-07T19:03:00"/>
    <m/>
    <d v="2023-07-07T00:00:00"/>
    <n v="1205"/>
    <n v="18696"/>
    <s v="60740536"/>
    <s v="60740536"/>
    <m/>
    <m/>
    <n v="22766106"/>
    <m/>
    <m/>
    <m/>
    <s v="SOLFIN"/>
    <s v="SOLFIN"/>
    <s v="CCMS"/>
    <n v="21343872"/>
    <n v="13395.68"/>
    <m/>
    <s v="N"/>
    <n v="2"/>
    <d v="2023-07-07T19:03:15"/>
    <s v="Y"/>
    <s v="Expert - Other"/>
    <s v="Care Remuneration Hourly Rates"/>
    <s v="Expert Disbursement"/>
    <s v="Charlotte Raybould"/>
    <s v="Y"/>
    <n v="34.57"/>
    <n v="6.91"/>
    <x v="9"/>
    <s v="VALIDATED"/>
    <n v="1"/>
    <s v="01.11.80.308.6300.0000"/>
    <n v="34.57"/>
    <s v="11"/>
    <s v="6300"/>
    <n v="30594.15"/>
    <n v="34.57"/>
    <s v="CREDITOR"/>
    <n v="0"/>
    <n v="0"/>
    <n v="0"/>
    <n v="0"/>
    <n v="34.57"/>
  </r>
  <r>
    <n v="60773030"/>
    <s v="N"/>
    <n v="21344084"/>
    <s v="3000015011890006"/>
    <s v="CIVIL"/>
    <d v="2023-06-29T00:00:00"/>
    <d v="2023-07-07T19:03:00"/>
    <m/>
    <d v="2023-07-07T00:00:00"/>
    <n v="1205"/>
    <n v="18696"/>
    <s v="60773030"/>
    <s v="60773030"/>
    <m/>
    <m/>
    <n v="22785194"/>
    <m/>
    <m/>
    <m/>
    <s v="SOLFIN"/>
    <s v="SOLFIN"/>
    <s v="CCMS"/>
    <n v="21344084"/>
    <n v="3274.89"/>
    <m/>
    <s v="N"/>
    <n v="34"/>
    <d v="2023-07-07T19:03:23"/>
    <s v="Y"/>
    <s v="Preparation - drafting attendance n"/>
    <s v="Prescribed Hourly Rates"/>
    <s v="Profit Cost"/>
    <s v="Narinder Singh"/>
    <s v="Y"/>
    <n v="25.25"/>
    <n v="5.05"/>
    <x v="9"/>
    <s v="VALIDATED"/>
    <n v="1"/>
    <s v="01.11.80.307.6100.0000"/>
    <n v="25.25"/>
    <s v="11"/>
    <s v="6100"/>
    <n v="30594.15"/>
    <n v="25.25"/>
    <s v="CREDITOR"/>
    <n v="0"/>
    <n v="0"/>
    <n v="0"/>
    <n v="0"/>
    <n v="25.25"/>
  </r>
  <r>
    <n v="60764755"/>
    <s v="N"/>
    <n v="21337748"/>
    <s v="3000015002070010"/>
    <s v="CIVIL"/>
    <d v="2023-06-22T00:00:00"/>
    <d v="2023-07-06T19:21:01"/>
    <m/>
    <d v="2023-07-06T00:00:00"/>
    <n v="1205"/>
    <n v="18696"/>
    <s v="60764755"/>
    <s v="60764755"/>
    <m/>
    <m/>
    <n v="22741190"/>
    <m/>
    <m/>
    <m/>
    <s v="SOLFIN"/>
    <s v="SOLFIN"/>
    <s v="CCMS"/>
    <n v="21337748"/>
    <n v="11125.15"/>
    <m/>
    <s v="N"/>
    <n v="8"/>
    <d v="2023-07-06T19:21:07"/>
    <s v="Y"/>
    <s v="Toxicologist"/>
    <s v="Public Law Children"/>
    <s v="Expert Disbursement"/>
    <s v="Charlotte Rayboud"/>
    <s v="Y"/>
    <n v="366.25"/>
    <n v="73.25"/>
    <x v="4"/>
    <s v="VALIDATED"/>
    <n v="1"/>
    <s v="01.11.80.308.6300.0000"/>
    <n v="366.25"/>
    <s v="11"/>
    <s v="6300"/>
    <n v="30594.15"/>
    <n v="366.25"/>
    <s v="CREDITOR"/>
    <n v="0"/>
    <n v="0"/>
    <n v="0"/>
    <n v="0"/>
    <n v="366.25"/>
  </r>
  <r>
    <n v="60744883"/>
    <s v="N"/>
    <n v="21330927"/>
    <s v="3000014987240008"/>
    <s v="CIVIL"/>
    <d v="2023-06-22T00:00:00"/>
    <d v="2023-07-05T19:01:47"/>
    <m/>
    <d v="2023-07-05T00:00:00"/>
    <n v="1205"/>
    <n v="18696"/>
    <s v="60744883"/>
    <s v="60744883"/>
    <m/>
    <m/>
    <n v="22745992"/>
    <m/>
    <m/>
    <m/>
    <s v="SOLFIN"/>
    <s v="SOLFIN"/>
    <s v="CCMS"/>
    <n v="21330927"/>
    <n v="13790.5"/>
    <m/>
    <s v="N"/>
    <n v="31"/>
    <d v="2023-07-05T19:01:57"/>
    <s v="Y"/>
    <s v="Attendance upon client"/>
    <s v="Care Remuneration Hourly Rates"/>
    <s v="Profit Cost"/>
    <s v="Alix Reynolds"/>
    <s v="Y"/>
    <n v="19.71"/>
    <n v="3.94"/>
    <x v="6"/>
    <s v="VALIDATED"/>
    <n v="1"/>
    <s v="01.11.80.308.6100.0000"/>
    <n v="19.71"/>
    <s v="11"/>
    <s v="6100"/>
    <n v="30594.15"/>
    <n v="19.71"/>
    <s v="CREDITOR"/>
    <n v="0"/>
    <n v="0"/>
    <n v="0"/>
    <n v="0"/>
    <n v="19.71"/>
  </r>
  <r>
    <n v="60744883"/>
    <s v="N"/>
    <n v="21330927"/>
    <s v="3000014987240008"/>
    <s v="CIVIL"/>
    <d v="2023-06-22T00:00:00"/>
    <d v="2023-07-05T19:01:47"/>
    <m/>
    <d v="2023-07-05T00:00:00"/>
    <n v="1205"/>
    <n v="18696"/>
    <s v="60744883"/>
    <s v="60744883"/>
    <m/>
    <m/>
    <n v="22745992"/>
    <m/>
    <m/>
    <m/>
    <s v="SOLFIN"/>
    <s v="SOLFIN"/>
    <s v="CCMS"/>
    <n v="21330927"/>
    <n v="13790.5"/>
    <m/>
    <s v="N"/>
    <n v="61"/>
    <d v="2023-07-05T19:01:57"/>
    <s v="Y"/>
    <s v="Routine Letter Out"/>
    <s v="Care Remuneration Hourly Rates"/>
    <s v="Profit Cost"/>
    <s v="Alix Reynolds"/>
    <s v="Y"/>
    <n v="450.18"/>
    <n v="90.04000000000001"/>
    <x v="6"/>
    <s v="VALIDATED"/>
    <n v="1"/>
    <s v="01.11.80.308.6100.0000"/>
    <n v="450.18"/>
    <s v="11"/>
    <s v="6100"/>
    <n v="30594.15"/>
    <n v="450.18"/>
    <s v="CREDITOR"/>
    <n v="0"/>
    <n v="0"/>
    <n v="0"/>
    <n v="0"/>
    <n v="450.18"/>
  </r>
  <r>
    <n v="60744883"/>
    <s v="N"/>
    <n v="21330927"/>
    <s v="3000014987240008"/>
    <s v="CIVIL"/>
    <d v="2023-06-22T00:00:00"/>
    <d v="2023-07-05T19:01:47"/>
    <m/>
    <d v="2023-07-05T00:00:00"/>
    <n v="1205"/>
    <n v="18696"/>
    <s v="60744883"/>
    <s v="60744883"/>
    <m/>
    <m/>
    <n v="22745992"/>
    <m/>
    <m/>
    <m/>
    <s v="SOLFIN"/>
    <s v="SOLFIN"/>
    <s v="CCMS"/>
    <n v="21330927"/>
    <n v="13790.5"/>
    <m/>
    <s v="N"/>
    <n v="65"/>
    <d v="2023-07-05T19:01:57"/>
    <s v="Y"/>
    <s v="Preparation - drafting statement"/>
    <s v="Care Remuneration Hourly Rates"/>
    <s v="Profit Cost"/>
    <s v="Alix Reynolds"/>
    <s v="Y"/>
    <n v="26.29"/>
    <n v="5.26"/>
    <x v="6"/>
    <s v="VALIDATED"/>
    <n v="1"/>
    <s v="01.11.80.308.6100.0000"/>
    <n v="26.29"/>
    <s v="11"/>
    <s v="6100"/>
    <n v="30594.15"/>
    <n v="26.29"/>
    <s v="CREDITOR"/>
    <n v="0"/>
    <n v="0"/>
    <n v="0"/>
    <n v="0"/>
    <n v="26.29"/>
  </r>
  <r>
    <n v="60066609"/>
    <s v="N"/>
    <n v="21350136"/>
    <s v="3000014401840008"/>
    <s v="CIVIL"/>
    <d v="2023-06-29T00:00:00"/>
    <d v="2023-07-10T19:01:40"/>
    <m/>
    <d v="2023-07-10T00:00:00"/>
    <n v="1205"/>
    <n v="18696"/>
    <s v="60066609"/>
    <s v="60066609"/>
    <m/>
    <m/>
    <n v="22788730"/>
    <m/>
    <m/>
    <m/>
    <s v="SOLFIN"/>
    <s v="SOLFIN"/>
    <s v="CCMS"/>
    <n v="21350136"/>
    <n v="7952.47"/>
    <m/>
    <s v="N"/>
    <n v="17"/>
    <d v="2023-07-10T19:02:15"/>
    <s v="Y"/>
    <s v="Solicitors Fixed Fee"/>
    <s v="Public Law Children"/>
    <s v="Profit Cost"/>
    <s v="Andrew Crumpton"/>
    <s v="Y"/>
    <n v="1754"/>
    <n v="350.81"/>
    <x v="2"/>
    <s v="VALIDATED"/>
    <n v="1"/>
    <s v="01.11.80.308.6100.0000"/>
    <n v="1754"/>
    <s v="11"/>
    <s v="6100"/>
    <n v="30594.15"/>
    <n v="1754"/>
    <s v="CREDITOR"/>
    <n v="0"/>
    <n v="0"/>
    <n v="0"/>
    <n v="0"/>
    <n v="1754"/>
  </r>
  <r>
    <n v="54813547"/>
    <s v="N"/>
    <n v="21338270"/>
    <s v="3000013038820008"/>
    <s v="CIVIL"/>
    <d v="2023-06-27T00:00:00"/>
    <d v="2023-07-06T19:21:01"/>
    <m/>
    <d v="2023-07-06T00:00:00"/>
    <n v="1205"/>
    <n v="18696"/>
    <s v="54813547"/>
    <s v="54813547"/>
    <m/>
    <m/>
    <n v="22769992"/>
    <m/>
    <m/>
    <m/>
    <s v="SOLFIN"/>
    <s v="SOLFIN"/>
    <s v="CCMS"/>
    <n v="21338270"/>
    <n v="24252.38"/>
    <m/>
    <s v="N"/>
    <n v="14"/>
    <d v="2023-07-06T19:21:15"/>
    <s v="Y"/>
    <s v="Preparation - drafting consent orde"/>
    <s v="Care Remuneration Hourly Rates"/>
    <s v="Profit Cost"/>
    <s v="Eliot Brookes"/>
    <s v="Y"/>
    <n v="74.08"/>
    <n v="14.82"/>
    <x v="4"/>
    <s v="VALIDATED"/>
    <n v="1"/>
    <s v="01.11.80.308.6100.0000"/>
    <n v="74.08"/>
    <s v="11"/>
    <s v="6100"/>
    <n v="30594.15"/>
    <n v="74.08"/>
    <s v="CREDITOR"/>
    <n v="0"/>
    <n v="0"/>
    <n v="0"/>
    <n v="0"/>
    <n v="74.08"/>
  </r>
  <r>
    <n v="54813547"/>
    <s v="N"/>
    <n v="21338270"/>
    <s v="3000013038820008"/>
    <s v="CIVIL"/>
    <d v="2023-06-27T00:00:00"/>
    <d v="2023-07-06T19:21:01"/>
    <m/>
    <d v="2023-07-06T00:00:00"/>
    <n v="1205"/>
    <n v="18696"/>
    <s v="54813547"/>
    <s v="54813547"/>
    <m/>
    <m/>
    <n v="22769992"/>
    <m/>
    <m/>
    <m/>
    <s v="SOLFIN"/>
    <s v="SOLFIN"/>
    <s v="CCMS"/>
    <n v="21338270"/>
    <n v="24252.38"/>
    <m/>
    <s v="N"/>
    <n v="18"/>
    <d v="2023-07-06T19:21:15"/>
    <s v="Y"/>
    <s v="Preparation - drafting consent orde"/>
    <s v="Care Remuneration Hourly Rates"/>
    <s v="Profit Cost"/>
    <s v="Charlotte Raybould"/>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25"/>
    <d v="2023-07-06T19:21:15"/>
    <s v="Y"/>
    <s v="Preparation - Periodic file review"/>
    <s v="Care Remuneration Hourly Rates"/>
    <s v="Profit Cost"/>
    <s v="Eliot Brookes"/>
    <s v="Y"/>
    <n v="59.26"/>
    <n v="11.85"/>
    <x v="4"/>
    <s v="VALIDATED"/>
    <n v="1"/>
    <s v="01.11.80.308.6100.0000"/>
    <n v="59.26"/>
    <s v="11"/>
    <s v="6100"/>
    <n v="30594.15"/>
    <n v="59.26"/>
    <s v="CREDITOR"/>
    <n v="0"/>
    <n v="0"/>
    <n v="0"/>
    <n v="0"/>
    <n v="59.26"/>
  </r>
  <r>
    <n v="60740536"/>
    <s v="N"/>
    <n v="21343872"/>
    <s v="3000014983190011"/>
    <s v="CIVIL"/>
    <d v="2023-06-27T00:00:00"/>
    <d v="2023-07-07T19:03:00"/>
    <m/>
    <d v="2023-07-07T00:00:00"/>
    <n v="1205"/>
    <n v="18696"/>
    <s v="60740536"/>
    <s v="60740536"/>
    <m/>
    <m/>
    <n v="22766106"/>
    <m/>
    <m/>
    <m/>
    <s v="SOLFIN"/>
    <s v="SOLFIN"/>
    <s v="CCMS"/>
    <n v="21343872"/>
    <n v="13395.68"/>
    <m/>
    <s v="N"/>
    <n v="78"/>
    <d v="2023-07-07T19:03:15"/>
    <s v="Y"/>
    <s v="Preparation - other"/>
    <s v="Care Remuneration Hourly Rates"/>
    <s v="Profit Cost"/>
    <s v="Penny Duke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23"/>
    <d v="2023-07-07T19:03:15"/>
    <s v="Y"/>
    <s v="Attendance upon client"/>
    <s v="Care Remuneration Hourly Rates"/>
    <s v="Profit Cost"/>
    <s v="Charlotte Raybould"/>
    <s v="Y"/>
    <n v="66.5"/>
    <n v="13.3"/>
    <x v="9"/>
    <s v="VALIDATED"/>
    <n v="1"/>
    <s v="01.11.80.308.6100.0000"/>
    <n v="66.5"/>
    <s v="11"/>
    <s v="6100"/>
    <n v="30594.15"/>
    <n v="66.5"/>
    <s v="CREDITOR"/>
    <n v="0"/>
    <n v="0"/>
    <n v="0"/>
    <n v="0"/>
    <n v="66.5"/>
  </r>
  <r>
    <n v="60740536"/>
    <s v="N"/>
    <n v="21343872"/>
    <s v="3000014983190011"/>
    <s v="CIVIL"/>
    <d v="2023-06-27T00:00:00"/>
    <d v="2023-07-07T19:03:00"/>
    <m/>
    <d v="2023-07-07T00:00:00"/>
    <n v="1205"/>
    <n v="18696"/>
    <s v="60740536"/>
    <s v="60740536"/>
    <m/>
    <m/>
    <n v="22766106"/>
    <m/>
    <m/>
    <m/>
    <s v="SOLFIN"/>
    <s v="SOLFIN"/>
    <s v="CCMS"/>
    <n v="21343872"/>
    <n v="13395.68"/>
    <m/>
    <s v="N"/>
    <n v="29"/>
    <d v="2023-07-07T19:03:15"/>
    <s v="Y"/>
    <s v="Preparation - drafting consent orde"/>
    <s v="Care Remuneration Hourly Rates"/>
    <s v="Profit Cost"/>
    <s v="Anna Cooper"/>
    <s v="Y"/>
    <n v="10.51"/>
    <n v="2.1"/>
    <x v="9"/>
    <s v="VALIDATED"/>
    <n v="1"/>
    <s v="01.11.80.308.6100.0000"/>
    <n v="10.51"/>
    <s v="11"/>
    <s v="6100"/>
    <n v="30594.15"/>
    <n v="10.51"/>
    <s v="CREDITOR"/>
    <n v="0"/>
    <n v="0"/>
    <n v="0"/>
    <n v="0"/>
    <n v="10.51"/>
  </r>
  <r>
    <n v="60631907"/>
    <s v="N"/>
    <n v="21331360"/>
    <s v="3000014878960007"/>
    <s v="CIVIL"/>
    <d v="2023-06-28T00:00:00"/>
    <d v="2023-07-05T19:01:47"/>
    <m/>
    <d v="2023-07-05T00:00:00"/>
    <n v="1205"/>
    <n v="18696"/>
    <s v="60631907"/>
    <s v="60631907"/>
    <m/>
    <m/>
    <n v="22783676"/>
    <m/>
    <m/>
    <m/>
    <s v="SOLFIN"/>
    <s v="SOLFIN"/>
    <s v="CCMS"/>
    <n v="21331360"/>
    <n v="9637.15"/>
    <m/>
    <s v="N"/>
    <n v="36"/>
    <d v="2023-07-05T19:02:16"/>
    <s v="Y"/>
    <s v="Preparation - other"/>
    <s v="Prescribed Hourly Rates"/>
    <s v="Profit Cost"/>
    <s v="Andrew Crumpton"/>
    <s v="Y"/>
    <n v="171.56"/>
    <n v="34.31"/>
    <x v="6"/>
    <s v="VALIDATED"/>
    <n v="1"/>
    <s v="01.11.80.307.6100.0000"/>
    <n v="171.56"/>
    <s v="11"/>
    <s v="6100"/>
    <n v="30594.15"/>
    <n v="171.56"/>
    <s v="CREDITOR"/>
    <n v="0"/>
    <n v="0"/>
    <n v="0"/>
    <n v="0"/>
    <n v="171.56"/>
  </r>
  <r>
    <n v="60744883"/>
    <s v="N"/>
    <n v="21330927"/>
    <s v="3000014987240008"/>
    <s v="CIVIL"/>
    <d v="2023-06-22T00:00:00"/>
    <d v="2023-07-05T19:01:47"/>
    <m/>
    <d v="2023-07-05T00:00:00"/>
    <n v="1205"/>
    <n v="18696"/>
    <s v="60744883"/>
    <s v="60744883"/>
    <m/>
    <m/>
    <n v="22745992"/>
    <m/>
    <m/>
    <m/>
    <s v="SOLFIN"/>
    <s v="SOLFIN"/>
    <s v="CCMS"/>
    <n v="21330927"/>
    <n v="13790.5"/>
    <m/>
    <s v="N"/>
    <n v="30"/>
    <d v="2023-07-05T19:01:57"/>
    <s v="Y"/>
    <s v="Preparation - drafting statement"/>
    <s v="Care Remuneration Hourly Rates"/>
    <s v="Profit Cost"/>
    <s v="Alix Reynolds"/>
    <s v="Y"/>
    <n v="118.29"/>
    <n v="23.66"/>
    <x v="6"/>
    <s v="VALIDATED"/>
    <n v="1"/>
    <s v="01.11.80.308.6100.0000"/>
    <n v="118.29"/>
    <s v="11"/>
    <s v="6100"/>
    <n v="30594.15"/>
    <n v="118.29"/>
    <s v="CREDITOR"/>
    <n v="0"/>
    <n v="0"/>
    <n v="0"/>
    <n v="0"/>
    <n v="118.29"/>
  </r>
  <r>
    <n v="60744883"/>
    <s v="N"/>
    <n v="21330927"/>
    <s v="3000014987240008"/>
    <s v="CIVIL"/>
    <d v="2023-06-22T00:00:00"/>
    <d v="2023-07-05T19:01:47"/>
    <m/>
    <d v="2023-07-05T00:00:00"/>
    <n v="1205"/>
    <n v="18696"/>
    <s v="60744883"/>
    <s v="60744883"/>
    <m/>
    <m/>
    <n v="22745992"/>
    <m/>
    <m/>
    <m/>
    <s v="SOLFIN"/>
    <s v="SOLFIN"/>
    <s v="CCMS"/>
    <n v="21330927"/>
    <n v="13790.5"/>
    <m/>
    <s v="N"/>
    <n v="67"/>
    <d v="2023-07-05T19:01:57"/>
    <s v="Y"/>
    <s v="Preparation - other"/>
    <s v="Care Remuneration Hourly Rates"/>
    <s v="Profit Cost"/>
    <s v="Alix Reynolds"/>
    <s v="Y"/>
    <n v="13.14"/>
    <n v="2.63"/>
    <x v="6"/>
    <s v="VALIDATED"/>
    <n v="1"/>
    <s v="01.11.80.308.6100.0000"/>
    <n v="13.14"/>
    <s v="11"/>
    <s v="6100"/>
    <n v="30594.15"/>
    <n v="13.14"/>
    <s v="CREDITOR"/>
    <n v="0"/>
    <n v="0"/>
    <n v="0"/>
    <n v="0"/>
    <n v="13.14"/>
  </r>
  <r>
    <n v="60740536"/>
    <s v="N"/>
    <n v="21343872"/>
    <s v="3000014983190011"/>
    <s v="CIVIL"/>
    <d v="2023-06-27T00:00:00"/>
    <d v="2023-07-07T19:03:00"/>
    <m/>
    <d v="2023-07-07T00:00:00"/>
    <n v="1205"/>
    <n v="18696"/>
    <s v="60740536"/>
    <s v="60740536"/>
    <m/>
    <m/>
    <n v="22766106"/>
    <m/>
    <m/>
    <m/>
    <s v="SOLFIN"/>
    <s v="SOLFIN"/>
    <s v="CCMS"/>
    <n v="21343872"/>
    <n v="13395.68"/>
    <m/>
    <s v="N"/>
    <n v="44"/>
    <d v="2023-07-07T19:03:15"/>
    <s v="Y"/>
    <s v="Preparation - drafting instructions"/>
    <s v="Care Remuneration Hourly Rates"/>
    <s v="Profit Cost"/>
    <s v="Charlotte Raybould"/>
    <s v="Y"/>
    <n v="60.46"/>
    <n v="12.09"/>
    <x v="9"/>
    <s v="VALIDATED"/>
    <n v="1"/>
    <s v="01.11.80.308.6100.0000"/>
    <n v="60.46"/>
    <s v="11"/>
    <s v="6100"/>
    <n v="30594.15"/>
    <n v="60.46"/>
    <s v="CREDITOR"/>
    <n v="0"/>
    <n v="0"/>
    <n v="0"/>
    <n v="0"/>
    <n v="60.46"/>
  </r>
  <r>
    <n v="54813547"/>
    <s v="N"/>
    <n v="21338270"/>
    <s v="3000013038820008"/>
    <s v="CIVIL"/>
    <d v="2023-06-27T00:00:00"/>
    <d v="2023-07-06T19:21:01"/>
    <m/>
    <d v="2023-07-06T00:00:00"/>
    <n v="1205"/>
    <n v="18696"/>
    <s v="54813547"/>
    <s v="54813547"/>
    <m/>
    <m/>
    <n v="22769992"/>
    <m/>
    <m/>
    <m/>
    <s v="SOLFIN"/>
    <s v="SOLFIN"/>
    <s v="CCMS"/>
    <n v="21338270"/>
    <n v="24252.38"/>
    <m/>
    <s v="N"/>
    <n v="80"/>
    <d v="2023-07-06T19:21:15"/>
    <s v="Y"/>
    <s v="Preparation - drafting pleadings"/>
    <s v="Care Remuneration Hourly Rates"/>
    <s v="Profit Cost"/>
    <s v="Charlotte Raybould"/>
    <s v="Y"/>
    <n v="111.11"/>
    <n v="22.22"/>
    <x v="4"/>
    <s v="VALIDATED"/>
    <n v="1"/>
    <s v="01.11.80.308.6100.0000"/>
    <n v="111.11"/>
    <s v="11"/>
    <s v="6100"/>
    <n v="30594.15"/>
    <n v="111.11"/>
    <s v="CREDITOR"/>
    <n v="0"/>
    <n v="0"/>
    <n v="0"/>
    <n v="0"/>
    <n v="111.11"/>
  </r>
  <r>
    <n v="54813547"/>
    <s v="N"/>
    <n v="21338270"/>
    <s v="3000013038820008"/>
    <s v="CIVIL"/>
    <d v="2023-06-27T00:00:00"/>
    <d v="2023-07-06T19:21:01"/>
    <m/>
    <d v="2023-07-06T00:00:00"/>
    <n v="1205"/>
    <n v="18696"/>
    <s v="54813547"/>
    <s v="54813547"/>
    <m/>
    <m/>
    <n v="22769992"/>
    <m/>
    <m/>
    <m/>
    <s v="SOLFIN"/>
    <s v="SOLFIN"/>
    <s v="CCMS"/>
    <n v="21338270"/>
    <n v="24252.38"/>
    <m/>
    <s v="N"/>
    <n v="91"/>
    <d v="2023-07-06T19:21:15"/>
    <s v="Y"/>
    <s v="Preparation - other"/>
    <s v="Care Remuneration Hourly Rates"/>
    <s v="Profit Cost"/>
    <s v="Eliot Brookes"/>
    <s v="Y"/>
    <n v="183.71"/>
    <n v="36.74"/>
    <x v="4"/>
    <s v="VALIDATED"/>
    <n v="1"/>
    <s v="01.11.80.308.6100.0000"/>
    <n v="183.71"/>
    <s v="11"/>
    <s v="6100"/>
    <n v="30594.15"/>
    <n v="183.71"/>
    <s v="CREDITOR"/>
    <n v="0"/>
    <n v="0"/>
    <n v="0"/>
    <n v="0"/>
    <n v="183.71"/>
  </r>
  <r>
    <n v="54813547"/>
    <s v="N"/>
    <n v="21338270"/>
    <s v="3000013038820008"/>
    <s v="CIVIL"/>
    <d v="2023-06-27T00:00:00"/>
    <d v="2023-07-06T19:21:01"/>
    <m/>
    <d v="2023-07-06T00:00:00"/>
    <n v="1205"/>
    <n v="18696"/>
    <s v="54813547"/>
    <s v="54813547"/>
    <m/>
    <m/>
    <n v="22769992"/>
    <m/>
    <m/>
    <m/>
    <s v="SOLFIN"/>
    <s v="SOLFIN"/>
    <s v="CCMS"/>
    <n v="21338270"/>
    <n v="24252.38"/>
    <m/>
    <s v="N"/>
    <n v="104"/>
    <d v="2023-07-06T19:21:15"/>
    <s v="Y"/>
    <s v="Hearing Unit 2.31 - 5.00 Hours"/>
    <s v="Public Law Children"/>
    <s v="Advocacy"/>
    <s v="Charlotte Raybould"/>
    <s v="Y"/>
    <n v="476.92"/>
    <n v="95.38"/>
    <x v="4"/>
    <s v="VALIDATED"/>
    <n v="1"/>
    <s v="01.11.80.308.6100.0000"/>
    <n v="476.92"/>
    <s v="11"/>
    <s v="6100"/>
    <n v="30594.15"/>
    <n v="476.92"/>
    <s v="CREDITOR"/>
    <n v="0"/>
    <n v="0"/>
    <n v="0"/>
    <n v="0"/>
    <n v="476.92"/>
  </r>
  <r>
    <n v="60764755"/>
    <s v="N"/>
    <n v="21337748"/>
    <s v="3000015002070010"/>
    <s v="CIVIL"/>
    <d v="2023-06-22T00:00:00"/>
    <d v="2023-07-06T19:21:01"/>
    <m/>
    <d v="2023-07-06T00:00:00"/>
    <n v="1205"/>
    <n v="18696"/>
    <s v="60764755"/>
    <s v="60764755"/>
    <m/>
    <m/>
    <n v="22741190"/>
    <m/>
    <m/>
    <m/>
    <s v="SOLFIN"/>
    <s v="SOLFIN"/>
    <s v="CCMS"/>
    <n v="21337748"/>
    <n v="11125.15"/>
    <m/>
    <s v="N"/>
    <n v="2"/>
    <d v="2023-07-06T19:21:07"/>
    <s v="Y"/>
    <s v="Interim Hearing Court Bundle/Advoca"/>
    <s v="Public Law Children"/>
    <s v="Advocacy"/>
    <s v="Charlotte Raybould"/>
    <s v="Y"/>
    <n v="59.4"/>
    <n v="11.88"/>
    <x v="4"/>
    <s v="VALIDATED"/>
    <n v="1"/>
    <s v="01.11.80.308.6100.0000"/>
    <n v="59.4"/>
    <s v="11"/>
    <s v="6100"/>
    <n v="30594.15"/>
    <n v="59.4"/>
    <s v="CREDITOR"/>
    <n v="0"/>
    <n v="0"/>
    <n v="0"/>
    <n v="0"/>
    <n v="59.4"/>
  </r>
  <r>
    <n v="60764755"/>
    <s v="N"/>
    <n v="21337748"/>
    <s v="3000015002070010"/>
    <s v="CIVIL"/>
    <d v="2023-06-22T00:00:00"/>
    <d v="2023-07-06T19:21:01"/>
    <m/>
    <d v="2023-07-06T00:00:00"/>
    <n v="1205"/>
    <n v="18696"/>
    <s v="60764755"/>
    <s v="60764755"/>
    <m/>
    <m/>
    <n v="22741190"/>
    <m/>
    <m/>
    <m/>
    <s v="SOLFIN"/>
    <s v="SOLFIN"/>
    <s v="CCMS"/>
    <n v="21337748"/>
    <n v="11125.15"/>
    <m/>
    <s v="N"/>
    <n v="13"/>
    <d v="2023-07-06T19:21:07"/>
    <s v="Y"/>
    <s v="Hearing Unit 2.31 - 5.00 Hours"/>
    <s v="Public Law Children"/>
    <s v="Advocacy"/>
    <s v="Charlotte Raybould"/>
    <s v="Y"/>
    <n v="476.92"/>
    <n v="95.38"/>
    <x v="4"/>
    <s v="VALIDATED"/>
    <n v="1"/>
    <s v="01.11.80.308.6100.0000"/>
    <n v="476.92"/>
    <s v="11"/>
    <s v="6100"/>
    <n v="30594.15"/>
    <n v="476.92"/>
    <s v="CREDITOR"/>
    <n v="0"/>
    <n v="0"/>
    <n v="0"/>
    <n v="0"/>
    <n v="476.92"/>
  </r>
  <r>
    <n v="60744883"/>
    <s v="N"/>
    <n v="21330927"/>
    <s v="3000014987240008"/>
    <s v="CIVIL"/>
    <d v="2023-06-22T00:00:00"/>
    <d v="2023-07-05T19:01:47"/>
    <m/>
    <d v="2023-07-05T00:00:00"/>
    <n v="1205"/>
    <n v="18696"/>
    <s v="60744883"/>
    <s v="60744883"/>
    <m/>
    <m/>
    <n v="22745992"/>
    <m/>
    <m/>
    <m/>
    <s v="SOLFIN"/>
    <s v="SOLFIN"/>
    <s v="CCMS"/>
    <n v="21330927"/>
    <n v="13790.5"/>
    <m/>
    <s v="N"/>
    <n v="22"/>
    <d v="2023-07-05T19:01:57"/>
    <s v="Y"/>
    <s v="Preparation - other"/>
    <s v="Care Remuneration Hourly Rates"/>
    <s v="Profit Cost"/>
    <s v="Alix Reynolds"/>
    <s v="Y"/>
    <n v="6.58"/>
    <n v="1.32"/>
    <x v="6"/>
    <s v="VALIDATED"/>
    <n v="1"/>
    <s v="01.11.80.308.6100.0000"/>
    <n v="6.58"/>
    <s v="11"/>
    <s v="6100"/>
    <n v="30594.15"/>
    <n v="6.58"/>
    <s v="CREDITOR"/>
    <n v="0"/>
    <n v="0"/>
    <n v="0"/>
    <n v="0"/>
    <n v="6.58"/>
  </r>
  <r>
    <n v="60631907"/>
    <s v="N"/>
    <n v="21331360"/>
    <s v="3000014878960007"/>
    <s v="CIVIL"/>
    <d v="2023-06-28T00:00:00"/>
    <d v="2023-07-05T19:01:47"/>
    <m/>
    <d v="2023-07-05T00:00:00"/>
    <n v="1205"/>
    <n v="18696"/>
    <s v="60631907"/>
    <s v="60631907"/>
    <m/>
    <m/>
    <n v="22783676"/>
    <m/>
    <m/>
    <m/>
    <s v="SOLFIN"/>
    <s v="SOLFIN"/>
    <s v="CCMS"/>
    <n v="21331360"/>
    <n v="9637.15"/>
    <m/>
    <s v="N"/>
    <n v="72"/>
    <d v="2023-07-05T19:02:16"/>
    <s v="Y"/>
    <s v="Travel to attend client"/>
    <s v="Prescribed Hourly Rates"/>
    <s v="Profit Cost"/>
    <s v="Andrew Crumpton"/>
    <s v="Y"/>
    <n v="80.20999999999999"/>
    <n v="16.04"/>
    <x v="6"/>
    <s v="VALIDATED"/>
    <n v="1"/>
    <s v="01.11.80.307.6100.0000"/>
    <n v="80.20999999999999"/>
    <s v="11"/>
    <s v="6100"/>
    <n v="30594.15"/>
    <n v="80.20999999999999"/>
    <s v="CREDITOR"/>
    <n v="0"/>
    <n v="0"/>
    <n v="0"/>
    <n v="0"/>
    <n v="80.20999999999999"/>
  </r>
  <r>
    <n v="62234648"/>
    <s v="N"/>
    <n v="21323508"/>
    <s v="3000016236610004"/>
    <s v="CIVIL"/>
    <d v="2023-06-30T00:00:00"/>
    <d v="2023-07-03T19:05:56"/>
    <m/>
    <d v="2023-07-03T00:00:00"/>
    <n v="1205"/>
    <n v="18696"/>
    <s v="62234648"/>
    <s v="62234648"/>
    <m/>
    <m/>
    <n v="22799820"/>
    <m/>
    <m/>
    <m/>
    <s v="SOLPOA"/>
    <s v="SOLPOA"/>
    <s v="CCMS"/>
    <n v="21323508"/>
    <n v="248.1"/>
    <m/>
    <s v="N"/>
    <n v="1"/>
    <d v="2023-07-03T19:05:57"/>
    <s v="N"/>
    <s v="Expert Cost"/>
    <s v="Expert Cost"/>
    <s v="Expert Disbursement"/>
    <s v="N Singh"/>
    <s v="N"/>
    <n v="206.75"/>
    <n v="41.35"/>
    <x v="3"/>
    <s v="VALIDATED"/>
    <n v="1"/>
    <s v="01.11.80.308.2012.0000"/>
    <n v="206.75"/>
    <s v="11"/>
    <s v="2012"/>
    <n v="30594.15"/>
    <n v="206.75"/>
    <s v="CREDITOR"/>
    <n v="206.75"/>
    <n v="0"/>
    <n v="0"/>
    <n v="0"/>
    <n v="0"/>
  </r>
  <r>
    <n v="60773030"/>
    <s v="N"/>
    <n v="21344084"/>
    <s v="3000015011890006"/>
    <s v="CIVIL"/>
    <d v="2023-06-29T00:00:00"/>
    <d v="2023-07-07T19:03:00"/>
    <m/>
    <d v="2023-07-07T00:00:00"/>
    <n v="1205"/>
    <n v="18696"/>
    <s v="60773030"/>
    <s v="60773030"/>
    <m/>
    <m/>
    <n v="22785194"/>
    <m/>
    <m/>
    <m/>
    <s v="SOLFIN"/>
    <s v="SOLFIN"/>
    <s v="CCMS"/>
    <n v="21344084"/>
    <n v="3274.89"/>
    <m/>
    <s v="N"/>
    <n v="35"/>
    <d v="2023-07-07T19:03:23"/>
    <s v="Y"/>
    <s v="Advocacy - In court behind counsel"/>
    <s v="Prescribed Hourly Rates"/>
    <s v="Advocacy"/>
    <s v="Alix Reynolds"/>
    <s v="Y"/>
    <n v="132.84"/>
    <n v="26.57"/>
    <x v="9"/>
    <s v="VALIDATED"/>
    <n v="1"/>
    <s v="01.11.80.307.6100.0000"/>
    <n v="132.84"/>
    <s v="11"/>
    <s v="6100"/>
    <n v="30594.15"/>
    <n v="132.84"/>
    <s v="CREDITOR"/>
    <n v="0"/>
    <n v="0"/>
    <n v="0"/>
    <n v="0"/>
    <n v="132.84"/>
  </r>
  <r>
    <n v="60631907"/>
    <s v="N"/>
    <n v="21331360"/>
    <s v="3000014878960007"/>
    <s v="CIVIL"/>
    <d v="2023-06-28T00:00:00"/>
    <d v="2023-07-05T19:01:47"/>
    <m/>
    <d v="2023-07-05T00:00:00"/>
    <n v="1205"/>
    <n v="18696"/>
    <s v="60631907"/>
    <s v="60631907"/>
    <m/>
    <m/>
    <n v="22783676"/>
    <m/>
    <m/>
    <m/>
    <s v="SOLFIN"/>
    <s v="SOLFIN"/>
    <s v="CCMS"/>
    <n v="21331360"/>
    <n v="9637.15"/>
    <m/>
    <s v="N"/>
    <n v="42"/>
    <d v="2023-07-05T19:02:16"/>
    <s v="Y"/>
    <s v="Preparation - drafting attendance n"/>
    <s v="Prescribed Hourly Rates"/>
    <s v="Profit Cost"/>
    <s v="Andrew Crumpton"/>
    <s v="Y"/>
    <n v="13.73"/>
    <n v="2.75"/>
    <x v="6"/>
    <s v="VALIDATED"/>
    <n v="1"/>
    <s v="01.11.80.307.6100.0000"/>
    <n v="13.73"/>
    <s v="11"/>
    <s v="6100"/>
    <n v="30594.15"/>
    <n v="13.73"/>
    <s v="CREDITOR"/>
    <n v="0"/>
    <n v="0"/>
    <n v="0"/>
    <n v="0"/>
    <n v="13.73"/>
  </r>
  <r>
    <n v="60631907"/>
    <s v="N"/>
    <n v="21331360"/>
    <s v="3000014878960007"/>
    <s v="CIVIL"/>
    <d v="2023-06-28T00:00:00"/>
    <d v="2023-07-05T19:01:47"/>
    <m/>
    <d v="2023-07-05T00:00:00"/>
    <n v="1205"/>
    <n v="18696"/>
    <s v="60631907"/>
    <s v="60631907"/>
    <m/>
    <m/>
    <n v="22783676"/>
    <m/>
    <m/>
    <m/>
    <s v="SOLFIN"/>
    <s v="SOLFIN"/>
    <s v="CCMS"/>
    <n v="21331360"/>
    <n v="9637.15"/>
    <m/>
    <s v="N"/>
    <n v="20"/>
    <d v="2023-07-05T19:02:16"/>
    <s v="Y"/>
    <s v="Preparation - other"/>
    <s v="Prescribed Hourly Rates"/>
    <s v="Profit Cost"/>
    <s v="Andrew Crumpton"/>
    <s v="Y"/>
    <n v="171.56"/>
    <n v="34.31"/>
    <x v="6"/>
    <s v="VALIDATED"/>
    <n v="1"/>
    <s v="01.11.80.307.6100.0000"/>
    <n v="171.56"/>
    <s v="11"/>
    <s v="6100"/>
    <n v="30594.15"/>
    <n v="171.56"/>
    <s v="CREDITOR"/>
    <n v="0"/>
    <n v="0"/>
    <n v="0"/>
    <n v="0"/>
    <n v="171.56"/>
  </r>
  <r>
    <n v="60631907"/>
    <s v="N"/>
    <n v="21331360"/>
    <s v="3000014878960007"/>
    <s v="CIVIL"/>
    <d v="2023-06-28T00:00:00"/>
    <d v="2023-07-05T19:01:47"/>
    <m/>
    <d v="2023-07-05T00:00:00"/>
    <n v="1205"/>
    <n v="18696"/>
    <s v="60631907"/>
    <s v="60631907"/>
    <m/>
    <m/>
    <n v="22783676"/>
    <m/>
    <m/>
    <m/>
    <s v="SOLFIN"/>
    <s v="SOLFIN"/>
    <s v="CCMS"/>
    <n v="21331360"/>
    <n v="9637.15"/>
    <m/>
    <s v="N"/>
    <n v="63"/>
    <d v="2023-07-05T19:02:16"/>
    <s v="Y"/>
    <s v="Travel to attend client"/>
    <s v="Prescribed Hourly Rates"/>
    <s v="Profit Cost"/>
    <s v="Andrew Crumpton"/>
    <s v="Y"/>
    <n v="64.17"/>
    <n v="12.83"/>
    <x v="6"/>
    <s v="VALIDATED"/>
    <n v="1"/>
    <s v="01.11.80.307.6100.0000"/>
    <n v="64.17"/>
    <s v="11"/>
    <s v="6100"/>
    <n v="30594.15"/>
    <n v="64.17"/>
    <s v="CREDITOR"/>
    <n v="0"/>
    <n v="0"/>
    <n v="0"/>
    <n v="0"/>
    <n v="64.17"/>
  </r>
  <r>
    <n v="60066609"/>
    <s v="N"/>
    <n v="21350136"/>
    <s v="3000014401840008"/>
    <s v="CIVIL"/>
    <d v="2023-06-29T00:00:00"/>
    <d v="2023-07-10T19:01:40"/>
    <m/>
    <d v="2023-07-10T00:00:00"/>
    <n v="1205"/>
    <n v="18696"/>
    <s v="60066609"/>
    <s v="60066609"/>
    <m/>
    <m/>
    <n v="22788730"/>
    <m/>
    <m/>
    <m/>
    <s v="SOLFIN"/>
    <s v="SOLFIN"/>
    <s v="CCMS"/>
    <n v="21350136"/>
    <n v="7952.47"/>
    <m/>
    <s v="N"/>
    <n v="7"/>
    <d v="2023-07-10T19:02:15"/>
    <s v="Y"/>
    <s v="Hearing Unit 2.31 - 5.00 Hours"/>
    <s v="Public Law Children"/>
    <s v="Advocacy"/>
    <s v="Andrew Crumpton"/>
    <s v="Y"/>
    <n v="476.92"/>
    <n v="95.38"/>
    <x v="2"/>
    <s v="VALIDATED"/>
    <n v="1"/>
    <s v="01.11.80.308.6100.0000"/>
    <n v="476.92"/>
    <s v="11"/>
    <s v="6100"/>
    <n v="30594.15"/>
    <n v="476.92"/>
    <s v="CREDITOR"/>
    <n v="0"/>
    <n v="0"/>
    <n v="0"/>
    <n v="0"/>
    <n v="476.92"/>
  </r>
  <r>
    <n v="60867047"/>
    <s v="N"/>
    <n v="21349869"/>
    <s v="3000015089740008"/>
    <s v="CIVIL"/>
    <d v="2023-06-26T00:00:00"/>
    <d v="2023-07-10T19:01:40"/>
    <m/>
    <d v="2023-07-10T00:00:00"/>
    <n v="1205"/>
    <n v="18696"/>
    <s v="60867047"/>
    <s v="60867047"/>
    <m/>
    <m/>
    <n v="22762804"/>
    <m/>
    <m/>
    <m/>
    <s v="SOLFIN"/>
    <s v="SOLFIN"/>
    <s v="CCMS"/>
    <n v="21349869"/>
    <n v="11255.82"/>
    <m/>
    <s v="N"/>
    <n v="19"/>
    <d v="2023-07-10T19:02:01"/>
    <s v="Y"/>
    <s v="Final Hearing - 1 Day"/>
    <s v="Public Law Children"/>
    <s v="Advocacy"/>
    <s v="Charlotte Raybould"/>
    <s v="Y"/>
    <n v="556.88"/>
    <n v="111.38"/>
    <x v="2"/>
    <s v="VALIDATED"/>
    <n v="1"/>
    <s v="01.11.80.308.6100.0000"/>
    <n v="556.88"/>
    <s v="11"/>
    <s v="6100"/>
    <n v="30594.15"/>
    <n v="556.88"/>
    <s v="CREDITOR"/>
    <n v="0"/>
    <n v="0"/>
    <n v="0"/>
    <n v="0"/>
    <n v="556.88"/>
  </r>
  <r>
    <n v="54813547"/>
    <s v="N"/>
    <n v="21338270"/>
    <s v="3000013038820008"/>
    <s v="CIVIL"/>
    <d v="2023-06-27T00:00:00"/>
    <d v="2023-07-06T19:21:01"/>
    <m/>
    <d v="2023-07-06T00:00:00"/>
    <n v="1205"/>
    <n v="18696"/>
    <s v="54813547"/>
    <s v="54813547"/>
    <m/>
    <m/>
    <n v="22769992"/>
    <m/>
    <m/>
    <m/>
    <s v="SOLFIN"/>
    <s v="SOLFIN"/>
    <s v="CCMS"/>
    <n v="21338270"/>
    <n v="24252.38"/>
    <m/>
    <s v="N"/>
    <n v="37"/>
    <d v="2023-07-06T19:21:15"/>
    <s v="Y"/>
    <s v="Routine Letter In"/>
    <s v="Care Remuneration Hourly Rates"/>
    <s v="Profit Cost"/>
    <s v="Charlotte Raybould"/>
    <s v="Y"/>
    <n v="99.98999999999999"/>
    <n v="20"/>
    <x v="4"/>
    <s v="VALIDATED"/>
    <n v="1"/>
    <s v="01.11.80.308.6100.0000"/>
    <n v="99.98999999999999"/>
    <s v="11"/>
    <s v="6100"/>
    <n v="30594.15"/>
    <n v="99.98999999999999"/>
    <s v="CREDITOR"/>
    <n v="0"/>
    <n v="0"/>
    <n v="0"/>
    <n v="0"/>
    <n v="99.98999999999999"/>
  </r>
  <r>
    <n v="60740536"/>
    <s v="N"/>
    <n v="21343872"/>
    <s v="3000014983190011"/>
    <s v="CIVIL"/>
    <d v="2023-06-27T00:00:00"/>
    <d v="2023-07-07T19:03:00"/>
    <m/>
    <d v="2023-07-07T00:00:00"/>
    <n v="1205"/>
    <n v="18696"/>
    <s v="60740536"/>
    <s v="60740536"/>
    <m/>
    <m/>
    <n v="22766106"/>
    <m/>
    <m/>
    <m/>
    <s v="SOLFIN"/>
    <s v="SOLFIN"/>
    <s v="CCMS"/>
    <n v="21343872"/>
    <n v="13395.68"/>
    <m/>
    <s v="N"/>
    <n v="41"/>
    <d v="2023-07-07T19:03:15"/>
    <s v="Y"/>
    <s v="Preparation - drafting application"/>
    <s v="Care Remuneration Hourly Rates"/>
    <s v="Profit Cost"/>
    <s v="Eliot Brookes"/>
    <s v="Y"/>
    <n v="115.65"/>
    <n v="23.13"/>
    <x v="9"/>
    <s v="VALIDATED"/>
    <n v="1"/>
    <s v="01.11.80.308.6100.0000"/>
    <n v="115.65"/>
    <s v="11"/>
    <s v="6100"/>
    <n v="30594.15"/>
    <n v="115.65"/>
    <s v="CREDITOR"/>
    <n v="0"/>
    <n v="0"/>
    <n v="0"/>
    <n v="0"/>
    <n v="115.65"/>
  </r>
  <r>
    <n v="48504544"/>
    <s v="N"/>
    <n v="21344092"/>
    <s v="3000012074710009"/>
    <s v="CIVIL"/>
    <d v="2023-06-29T00:00:00"/>
    <d v="2023-07-07T19:03:00"/>
    <m/>
    <d v="2023-07-07T00:00:00"/>
    <n v="1205"/>
    <n v="18696"/>
    <s v="48504544"/>
    <s v="48504544"/>
    <m/>
    <m/>
    <n v="22787308"/>
    <m/>
    <m/>
    <m/>
    <s v="SOLFIN"/>
    <s v="SOLFIN"/>
    <s v="CCMS"/>
    <n v="21344092"/>
    <n v="5824.29"/>
    <m/>
    <s v="N"/>
    <n v="19"/>
    <d v="2023-07-07T19:03:23"/>
    <s v="Y"/>
    <s v="Preparation - other"/>
    <s v="Prescribed Hourly Rates"/>
    <s v="Profit Cost"/>
    <s v="Charlotte Raybould"/>
    <s v="Y"/>
    <n v="126.27"/>
    <n v="25.25"/>
    <x v="9"/>
    <s v="VALIDATED"/>
    <n v="1"/>
    <s v="01.11.80.307.6100.0000"/>
    <n v="126.27"/>
    <s v="11"/>
    <s v="6100"/>
    <n v="30594.15"/>
    <n v="126.27"/>
    <s v="CREDITOR"/>
    <n v="0"/>
    <n v="0"/>
    <n v="0"/>
    <n v="0"/>
    <n v="126.27"/>
  </r>
  <r>
    <n v="48504544"/>
    <s v="N"/>
    <n v="21344092"/>
    <s v="3000012074710009"/>
    <s v="CIVIL"/>
    <d v="2023-06-29T00:00:00"/>
    <d v="2023-07-07T19:03:00"/>
    <m/>
    <d v="2023-07-07T00:00:00"/>
    <n v="1205"/>
    <n v="18696"/>
    <s v="48504544"/>
    <s v="48504544"/>
    <m/>
    <m/>
    <n v="22787308"/>
    <m/>
    <m/>
    <m/>
    <s v="SOLFIN"/>
    <s v="SOLFIN"/>
    <s v="CCMS"/>
    <n v="21344092"/>
    <n v="5824.29"/>
    <m/>
    <s v="N"/>
    <n v="2"/>
    <d v="2023-07-07T19:03:23"/>
    <s v="Y"/>
    <s v="Routine Letter Out"/>
    <s v="Prescribed Hourly Rates"/>
    <s v="Profit Cost"/>
    <s v="Anna Cooper"/>
    <s v="Y"/>
    <n v="280.8"/>
    <n v="56.16"/>
    <x v="9"/>
    <s v="VALIDATED"/>
    <n v="1"/>
    <s v="01.11.80.307.6100.0000"/>
    <n v="280.8"/>
    <s v="11"/>
    <s v="6100"/>
    <n v="30594.15"/>
    <n v="280.8"/>
    <s v="CREDITOR"/>
    <n v="0"/>
    <n v="0"/>
    <n v="0"/>
    <n v="0"/>
    <n v="280.8"/>
  </r>
  <r>
    <n v="54813547"/>
    <s v="N"/>
    <n v="21338270"/>
    <s v="3000013038820008"/>
    <s v="CIVIL"/>
    <d v="2023-06-27T00:00:00"/>
    <d v="2023-07-06T19:21:01"/>
    <m/>
    <d v="2023-07-06T00:00:00"/>
    <n v="1205"/>
    <n v="18696"/>
    <s v="54813547"/>
    <s v="54813547"/>
    <m/>
    <m/>
    <n v="22769992"/>
    <m/>
    <m/>
    <m/>
    <s v="SOLFIN"/>
    <s v="SOLFIN"/>
    <s v="CCMS"/>
    <n v="21338270"/>
    <n v="24252.38"/>
    <m/>
    <s v="N"/>
    <n v="76"/>
    <d v="2023-07-06T19:21:15"/>
    <s v="Y"/>
    <s v="Attendance upon client"/>
    <s v="Care Remuneration Hourly Rates"/>
    <s v="Profit Cost"/>
    <s v="Charlotte Raybould"/>
    <s v="Y"/>
    <n v="22.23"/>
    <n v="4.45"/>
    <x v="4"/>
    <s v="VALIDATED"/>
    <n v="1"/>
    <s v="01.11.80.308.6100.0000"/>
    <n v="22.23"/>
    <s v="11"/>
    <s v="6100"/>
    <n v="30594.15"/>
    <n v="22.23"/>
    <s v="CREDITOR"/>
    <n v="0"/>
    <n v="0"/>
    <n v="0"/>
    <n v="0"/>
    <n v="22.23"/>
  </r>
  <r>
    <n v="60631907"/>
    <s v="N"/>
    <n v="21331360"/>
    <s v="3000014878960007"/>
    <s v="CIVIL"/>
    <d v="2023-06-28T00:00:00"/>
    <d v="2023-07-05T19:01:47"/>
    <m/>
    <d v="2023-07-05T00:00:00"/>
    <n v="1205"/>
    <n v="18696"/>
    <s v="60631907"/>
    <s v="60631907"/>
    <m/>
    <m/>
    <n v="22783676"/>
    <m/>
    <m/>
    <m/>
    <s v="SOLFIN"/>
    <s v="SOLFIN"/>
    <s v="CCMS"/>
    <n v="21331360"/>
    <n v="9637.15"/>
    <m/>
    <s v="N"/>
    <n v="56"/>
    <d v="2023-07-05T19:02:16"/>
    <s v="Y"/>
    <s v="Attendance upon other"/>
    <s v="Prescribed Hourly Rates"/>
    <s v="Profit Cost"/>
    <s v="Andrew Crumpton"/>
    <s v="Y"/>
    <n v="34.31"/>
    <n v="6.86"/>
    <x v="6"/>
    <s v="VALIDATED"/>
    <n v="1"/>
    <s v="01.11.80.307.6100.0000"/>
    <n v="34.31"/>
    <s v="11"/>
    <s v="6100"/>
    <n v="30594.15"/>
    <n v="34.31"/>
    <s v="CREDITOR"/>
    <n v="0"/>
    <n v="0"/>
    <n v="0"/>
    <n v="0"/>
    <n v="34.31"/>
  </r>
  <r>
    <n v="60631907"/>
    <s v="N"/>
    <n v="21331360"/>
    <s v="3000014878960007"/>
    <s v="CIVIL"/>
    <d v="2023-06-28T00:00:00"/>
    <d v="2023-07-05T19:01:47"/>
    <m/>
    <d v="2023-07-05T00:00:00"/>
    <n v="1205"/>
    <n v="18696"/>
    <s v="60631907"/>
    <s v="60631907"/>
    <m/>
    <m/>
    <n v="22783676"/>
    <m/>
    <m/>
    <m/>
    <s v="SOLFIN"/>
    <s v="SOLFIN"/>
    <s v="CCMS"/>
    <n v="21331360"/>
    <n v="9637.15"/>
    <m/>
    <s v="N"/>
    <n v="75"/>
    <d v="2023-07-05T19:02:16"/>
    <s v="Y"/>
    <s v="Preparation - other"/>
    <s v="Prescribed Hourly Rates"/>
    <s v="Profit Cost"/>
    <s v="Andrew Crumpton"/>
    <s v="Y"/>
    <n v="13.73"/>
    <n v="2.75"/>
    <x v="6"/>
    <s v="VALIDATED"/>
    <n v="1"/>
    <s v="01.11.80.307.6100.0000"/>
    <n v="13.73"/>
    <s v="11"/>
    <s v="6100"/>
    <n v="30594.15"/>
    <n v="13.73"/>
    <s v="CREDITOR"/>
    <n v="0"/>
    <n v="0"/>
    <n v="0"/>
    <n v="0"/>
    <n v="13.73"/>
  </r>
  <r>
    <n v="60631907"/>
    <s v="N"/>
    <n v="21331360"/>
    <s v="3000014878960007"/>
    <s v="CIVIL"/>
    <d v="2023-06-28T00:00:00"/>
    <d v="2023-07-05T19:01:47"/>
    <m/>
    <d v="2023-07-05T00:00:00"/>
    <n v="1205"/>
    <n v="18696"/>
    <s v="60631907"/>
    <s v="60631907"/>
    <m/>
    <m/>
    <n v="22783676"/>
    <m/>
    <m/>
    <m/>
    <s v="SOLFIN"/>
    <s v="SOLFIN"/>
    <s v="CCMS"/>
    <n v="21331360"/>
    <n v="9637.15"/>
    <m/>
    <s v="N"/>
    <n v="23"/>
    <d v="2023-07-05T19:02:16"/>
    <s v="Y"/>
    <s v="Attendance upon other"/>
    <s v="Prescribed Hourly Rates"/>
    <s v="Profit Cost"/>
    <s v="Andrew Crumpton"/>
    <s v="Y"/>
    <n v="34.31"/>
    <n v="6.86"/>
    <x v="6"/>
    <s v="VALIDATED"/>
    <n v="1"/>
    <s v="01.11.80.307.6100.0000"/>
    <n v="34.31"/>
    <s v="11"/>
    <s v="6100"/>
    <n v="30594.15"/>
    <n v="34.31"/>
    <s v="CREDITOR"/>
    <n v="0"/>
    <n v="0"/>
    <n v="0"/>
    <n v="0"/>
    <n v="34.31"/>
  </r>
  <r>
    <n v="60773030"/>
    <s v="N"/>
    <n v="21344084"/>
    <s v="3000015011890006"/>
    <s v="CIVIL"/>
    <d v="2023-06-29T00:00:00"/>
    <d v="2023-07-07T19:03:00"/>
    <m/>
    <d v="2023-07-07T00:00:00"/>
    <n v="1205"/>
    <n v="18696"/>
    <s v="60773030"/>
    <s v="60773030"/>
    <m/>
    <m/>
    <n v="22785194"/>
    <m/>
    <m/>
    <m/>
    <s v="SOLFIN"/>
    <s v="SOLFIN"/>
    <s v="CCMS"/>
    <n v="21344084"/>
    <n v="3274.89"/>
    <m/>
    <s v="N"/>
    <n v="36"/>
    <d v="2023-07-07T19:03:23"/>
    <s v="Y"/>
    <s v="Advocacy - Directions Hearing"/>
    <s v="Prescribed Hourly Rates"/>
    <s v="Advocacy"/>
    <s v="Narinder Singh"/>
    <s v="Y"/>
    <n v="52.16"/>
    <n v="10.43"/>
    <x v="9"/>
    <s v="VALIDATED"/>
    <n v="1"/>
    <s v="01.11.80.307.6100.0000"/>
    <n v="52.16"/>
    <s v="11"/>
    <s v="6100"/>
    <n v="30594.15"/>
    <n v="52.16"/>
    <s v="CREDITOR"/>
    <n v="0"/>
    <n v="0"/>
    <n v="0"/>
    <n v="0"/>
    <n v="52.16"/>
  </r>
  <r>
    <n v="60744883"/>
    <s v="N"/>
    <n v="21330927"/>
    <s v="3000014987240008"/>
    <s v="CIVIL"/>
    <d v="2023-06-22T00:00:00"/>
    <d v="2023-07-05T19:01:47"/>
    <m/>
    <d v="2023-07-05T00:00:00"/>
    <n v="1205"/>
    <n v="18696"/>
    <s v="60744883"/>
    <s v="60744883"/>
    <m/>
    <m/>
    <n v="22745992"/>
    <m/>
    <m/>
    <m/>
    <s v="SOLFIN"/>
    <s v="SOLFIN"/>
    <s v="CCMS"/>
    <n v="21330927"/>
    <n v="13790.5"/>
    <m/>
    <s v="N"/>
    <n v="1"/>
    <d v="2023-07-05T19:01:57"/>
    <s v="Y"/>
    <s v="Final Hearing Court Bundle/Advocate"/>
    <s v="Public Law Children"/>
    <s v="Advocacy"/>
    <s v="Narinder Singh"/>
    <s v="Y"/>
    <n v="318.6"/>
    <n v="63.72"/>
    <x v="6"/>
    <s v="VALIDATED"/>
    <n v="1"/>
    <s v="01.11.80.308.6100.0000"/>
    <n v="318.6"/>
    <s v="11"/>
    <s v="6100"/>
    <n v="30594.15"/>
    <n v="318.6"/>
    <s v="CREDITOR"/>
    <n v="0"/>
    <n v="0"/>
    <n v="0"/>
    <n v="0"/>
    <n v="318.6"/>
  </r>
  <r>
    <n v="60631907"/>
    <s v="N"/>
    <n v="21331360"/>
    <s v="3000014878960007"/>
    <s v="CIVIL"/>
    <d v="2023-06-28T00:00:00"/>
    <d v="2023-07-05T19:01:47"/>
    <m/>
    <d v="2023-07-05T00:00:00"/>
    <n v="1205"/>
    <n v="18696"/>
    <s v="60631907"/>
    <s v="60631907"/>
    <m/>
    <m/>
    <n v="22783676"/>
    <m/>
    <m/>
    <m/>
    <s v="SOLFIN"/>
    <s v="SOLFIN"/>
    <s v="CCMS"/>
    <n v="21331360"/>
    <n v="9637.15"/>
    <m/>
    <s v="N"/>
    <n v="45"/>
    <d v="2023-07-05T19:02:16"/>
    <s v="Y"/>
    <s v="Preparation - other"/>
    <s v="Prescribed Hourly Rates"/>
    <s v="Profit Cost"/>
    <s v="Andrew Crumpton"/>
    <s v="Y"/>
    <n v="6.86"/>
    <n v="1.37"/>
    <x v="6"/>
    <s v="VALIDATED"/>
    <n v="1"/>
    <s v="01.11.80.307.6100.0000"/>
    <n v="6.86"/>
    <s v="11"/>
    <s v="6100"/>
    <n v="30594.15"/>
    <n v="6.86"/>
    <s v="CREDITOR"/>
    <n v="0"/>
    <n v="0"/>
    <n v="0"/>
    <n v="0"/>
    <n v="6.86"/>
  </r>
  <r>
    <n v="61764866"/>
    <s v="N"/>
    <n v="21327940"/>
    <s v="3000015843050003"/>
    <s v="CIVIL"/>
    <d v="2023-06-23T00:00:00"/>
    <d v="2023-07-04T19:00:44"/>
    <m/>
    <d v="2023-07-04T00:00:00"/>
    <n v="1205"/>
    <n v="18696"/>
    <s v="61764866"/>
    <s v="61764866"/>
    <m/>
    <m/>
    <n v="22755034"/>
    <m/>
    <m/>
    <m/>
    <s v="SOLFIN"/>
    <s v="SOLFIN"/>
    <s v="CCMS"/>
    <n v="21327940"/>
    <n v="4431.26"/>
    <m/>
    <s v="N"/>
    <n v="3"/>
    <d v="2023-07-04T19:00:59"/>
    <s v="Y"/>
    <s v="Solicitor Travel Expenses"/>
    <s v="Public Law Children"/>
    <s v="Non Expert Disbursement"/>
    <s v="Jas Tamber"/>
    <s v="Y"/>
    <n v="15.7"/>
    <n v="3.14"/>
    <x v="1"/>
    <s v="VALIDATED"/>
    <n v="1"/>
    <s v="01.11.80.308.6300.0000"/>
    <n v="15.7"/>
    <s v="11"/>
    <s v="6300"/>
    <n v="30594.15"/>
    <n v="15.7"/>
    <s v="CREDITOR"/>
    <n v="0"/>
    <n v="0"/>
    <n v="0"/>
    <n v="0"/>
    <n v="15.7"/>
  </r>
  <r>
    <n v="60181079"/>
    <s v="N"/>
    <n v="21381866"/>
    <s v="3000014495880014"/>
    <s v="CIVIL"/>
    <d v="2023-06-26T00:00:00"/>
    <d v="2023-07-17T19:01:46"/>
    <m/>
    <d v="2023-07-17T00:00:00"/>
    <n v="1205"/>
    <n v="18696"/>
    <s v="60181079"/>
    <s v="60181079"/>
    <m/>
    <m/>
    <n v="22763168"/>
    <m/>
    <m/>
    <m/>
    <s v="SOLPOA"/>
    <s v="SOLPOA"/>
    <s v="CCMS"/>
    <n v="21381866"/>
    <n v="675"/>
    <m/>
    <s v="N"/>
    <n v="1"/>
    <d v="2023-07-17T19:01:55"/>
    <s v="N"/>
    <s v="Expert Cost"/>
    <s v="Expert Cost"/>
    <s v="Expert Disbursement"/>
    <s v="C Raybould"/>
    <s v="N"/>
    <n v="562.5"/>
    <n v="112.5"/>
    <x v="8"/>
    <s v="VALIDATED"/>
    <n v="1"/>
    <s v="01.11.80.308.2012.0000"/>
    <n v="562.5"/>
    <s v="11"/>
    <s v="2012"/>
    <n v="30594.15"/>
    <n v="562.5"/>
    <s v="CREDITOR"/>
    <n v="562.5"/>
    <n v="0"/>
    <n v="0"/>
    <n v="0"/>
    <n v="0"/>
  </r>
  <r>
    <n v="60867047"/>
    <s v="N"/>
    <n v="21349869"/>
    <s v="3000015089740008"/>
    <s v="CIVIL"/>
    <d v="2023-06-26T00:00:00"/>
    <d v="2023-07-10T19:01:40"/>
    <m/>
    <d v="2023-07-10T00:00:00"/>
    <n v="1205"/>
    <n v="18696"/>
    <s v="60867047"/>
    <s v="60867047"/>
    <m/>
    <m/>
    <n v="22762804"/>
    <m/>
    <m/>
    <m/>
    <s v="SOLFIN"/>
    <s v="SOLFIN"/>
    <s v="CCMS"/>
    <n v="21349869"/>
    <n v="11255.82"/>
    <m/>
    <s v="N"/>
    <n v="4"/>
    <d v="2023-07-10T19:02:01"/>
    <s v="Y"/>
    <s v="Court Fee"/>
    <s v="Public Law Children"/>
    <s v="Non Expert Disbursement"/>
    <s v="Charlotte Raybould"/>
    <s v="Y"/>
    <n v="53"/>
    <n v="0"/>
    <x v="2"/>
    <s v="VALIDATED"/>
    <n v="1"/>
    <s v="01.11.80.308.6300.0000"/>
    <n v="53"/>
    <s v="11"/>
    <s v="6300"/>
    <n v="30594.15"/>
    <n v="53"/>
    <s v="CREDITOR"/>
    <n v="0"/>
    <n v="0"/>
    <n v="0"/>
    <n v="0"/>
    <n v="53"/>
  </r>
  <r>
    <n v="48504544"/>
    <s v="N"/>
    <n v="21344092"/>
    <s v="3000012074710009"/>
    <s v="CIVIL"/>
    <d v="2023-06-29T00:00:00"/>
    <d v="2023-07-07T19:03:00"/>
    <m/>
    <d v="2023-07-07T00:00:00"/>
    <n v="1205"/>
    <n v="18696"/>
    <s v="48504544"/>
    <s v="48504544"/>
    <m/>
    <m/>
    <n v="22787308"/>
    <m/>
    <m/>
    <m/>
    <s v="SOLFIN"/>
    <s v="SOLFIN"/>
    <s v="CCMS"/>
    <n v="21344092"/>
    <n v="5824.29"/>
    <m/>
    <s v="N"/>
    <n v="9"/>
    <d v="2023-07-07T19:03:23"/>
    <s v="Y"/>
    <s v="Preparation - drafting instructions"/>
    <s v="Prescribed Hourly Rates"/>
    <s v="Profit Cost"/>
    <s v="Charlotte Raybould"/>
    <s v="Y"/>
    <n v="25.25"/>
    <n v="5.05"/>
    <x v="9"/>
    <s v="VALIDATED"/>
    <n v="1"/>
    <s v="01.11.80.307.6100.0000"/>
    <n v="25.25"/>
    <s v="11"/>
    <s v="6100"/>
    <n v="30594.15"/>
    <n v="25.25"/>
    <s v="CREDITOR"/>
    <n v="0"/>
    <n v="0"/>
    <n v="0"/>
    <n v="0"/>
    <n v="25.25"/>
  </r>
  <r>
    <n v="54813547"/>
    <s v="N"/>
    <n v="21338270"/>
    <s v="3000013038820008"/>
    <s v="CIVIL"/>
    <d v="2023-06-27T00:00:00"/>
    <d v="2023-07-06T19:21:01"/>
    <m/>
    <d v="2023-07-06T00:00:00"/>
    <n v="1205"/>
    <n v="18696"/>
    <s v="54813547"/>
    <s v="54813547"/>
    <m/>
    <m/>
    <n v="22769992"/>
    <m/>
    <m/>
    <m/>
    <s v="SOLFIN"/>
    <s v="SOLFIN"/>
    <s v="CCMS"/>
    <n v="21338270"/>
    <n v="24252.38"/>
    <m/>
    <s v="N"/>
    <n v="2"/>
    <d v="2023-07-06T19:21:15"/>
    <s v="Y"/>
    <s v="Interim Hearing Court Bundle/Advoca"/>
    <s v="Public Law Children"/>
    <s v="Advocacy"/>
    <s v="Charlotte Raybould"/>
    <s v="Y"/>
    <n v="89.09999999999999"/>
    <n v="17.82"/>
    <x v="4"/>
    <s v="VALIDATED"/>
    <n v="1"/>
    <s v="01.11.80.308.6100.0000"/>
    <n v="89.09999999999999"/>
    <s v="11"/>
    <s v="6100"/>
    <n v="30594.15"/>
    <n v="89.09999999999999"/>
    <s v="CREDITOR"/>
    <n v="0"/>
    <n v="0"/>
    <n v="0"/>
    <n v="0"/>
    <n v="89.09999999999999"/>
  </r>
  <r>
    <n v="54813547"/>
    <s v="N"/>
    <n v="21338270"/>
    <s v="3000013038820008"/>
    <s v="CIVIL"/>
    <d v="2023-06-27T00:00:00"/>
    <d v="2023-07-06T19:21:01"/>
    <m/>
    <d v="2023-07-06T00:00:00"/>
    <n v="1205"/>
    <n v="18696"/>
    <s v="54813547"/>
    <s v="54813547"/>
    <m/>
    <m/>
    <n v="22769992"/>
    <m/>
    <m/>
    <m/>
    <s v="SOLFIN"/>
    <s v="SOLFIN"/>
    <s v="CCMS"/>
    <n v="21338270"/>
    <n v="24252.38"/>
    <m/>
    <s v="N"/>
    <n v="72"/>
    <d v="2023-07-06T19:21:15"/>
    <s v="Y"/>
    <s v="Preparation - other"/>
    <s v="Care Remuneration Hourly Rates"/>
    <s v="Profit Cost"/>
    <s v="Anna Cooper"/>
    <s v="Y"/>
    <n v="17.78"/>
    <n v="3.56"/>
    <x v="4"/>
    <s v="VALIDATED"/>
    <n v="1"/>
    <s v="01.11.80.308.6100.0000"/>
    <n v="17.78"/>
    <s v="11"/>
    <s v="6100"/>
    <n v="30594.15"/>
    <n v="17.78"/>
    <s v="CREDITOR"/>
    <n v="0"/>
    <n v="0"/>
    <n v="0"/>
    <n v="0"/>
    <n v="17.78"/>
  </r>
  <r>
    <n v="60740536"/>
    <s v="N"/>
    <n v="21343872"/>
    <s v="3000014983190011"/>
    <s v="CIVIL"/>
    <d v="2023-06-27T00:00:00"/>
    <d v="2023-07-07T19:03:00"/>
    <m/>
    <d v="2023-07-07T00:00:00"/>
    <n v="1205"/>
    <n v="18696"/>
    <s v="60740536"/>
    <s v="60740536"/>
    <m/>
    <m/>
    <n v="22766106"/>
    <m/>
    <m/>
    <m/>
    <s v="SOLFIN"/>
    <s v="SOLFIN"/>
    <s v="CCMS"/>
    <n v="21343872"/>
    <n v="13395.68"/>
    <m/>
    <s v="N"/>
    <n v="34"/>
    <d v="2023-07-07T19:03:15"/>
    <s v="Y"/>
    <s v="Preparation - other"/>
    <s v="Care Remuneration Hourly Rates"/>
    <s v="Profit Cost"/>
    <s v="Penny Dukes"/>
    <s v="Y"/>
    <n v="10.51"/>
    <n v="2.1"/>
    <x v="9"/>
    <s v="VALIDATED"/>
    <n v="1"/>
    <s v="01.11.80.308.6100.0000"/>
    <n v="10.51"/>
    <s v="11"/>
    <s v="6100"/>
    <n v="30594.15"/>
    <n v="10.51"/>
    <s v="CREDITOR"/>
    <n v="0"/>
    <n v="0"/>
    <n v="0"/>
    <n v="0"/>
    <n v="10.51"/>
  </r>
  <r>
    <n v="60744883"/>
    <s v="N"/>
    <n v="21330927"/>
    <s v="3000014987240008"/>
    <s v="CIVIL"/>
    <d v="2023-06-22T00:00:00"/>
    <d v="2023-07-05T19:01:47"/>
    <m/>
    <d v="2023-07-05T00:00:00"/>
    <n v="1205"/>
    <n v="18696"/>
    <s v="60744883"/>
    <s v="60744883"/>
    <m/>
    <m/>
    <n v="22745992"/>
    <m/>
    <m/>
    <m/>
    <s v="SOLFIN"/>
    <s v="SOLFIN"/>
    <s v="CCMS"/>
    <n v="21330927"/>
    <n v="13790.5"/>
    <m/>
    <s v="N"/>
    <n v="71"/>
    <d v="2023-07-05T19:01:57"/>
    <s v="Y"/>
    <s v="Hearing Unit 2.31 - 5.00 Hours"/>
    <s v="Public Law Children"/>
    <s v="Advocacy"/>
    <s v="Narinder Singh"/>
    <s v="Y"/>
    <n v="476.92"/>
    <n v="95.38"/>
    <x v="6"/>
    <s v="VALIDATED"/>
    <n v="1"/>
    <s v="01.11.80.308.6100.0000"/>
    <n v="476.92"/>
    <s v="11"/>
    <s v="6100"/>
    <n v="30594.15"/>
    <n v="476.92"/>
    <s v="CREDITOR"/>
    <n v="0"/>
    <n v="0"/>
    <n v="0"/>
    <n v="0"/>
    <n v="476.92"/>
  </r>
  <r>
    <n v="60631907"/>
    <s v="N"/>
    <n v="21331360"/>
    <s v="3000014878960007"/>
    <s v="CIVIL"/>
    <d v="2023-06-28T00:00:00"/>
    <d v="2023-07-05T19:01:47"/>
    <m/>
    <d v="2023-07-05T00:00:00"/>
    <n v="1205"/>
    <n v="18696"/>
    <s v="60631907"/>
    <s v="60631907"/>
    <m/>
    <m/>
    <n v="22783676"/>
    <m/>
    <m/>
    <m/>
    <s v="SOLFIN"/>
    <s v="SOLFIN"/>
    <s v="CCMS"/>
    <n v="21331360"/>
    <n v="9637.15"/>
    <m/>
    <s v="N"/>
    <n v="49"/>
    <d v="2023-07-05T19:02:16"/>
    <s v="Y"/>
    <s v="Preparation - other"/>
    <s v="Prescribed Hourly Rates"/>
    <s v="Profit Cost"/>
    <s v="Andrew Crumpton"/>
    <s v="Y"/>
    <n v="13.73"/>
    <n v="2.75"/>
    <x v="6"/>
    <s v="VALIDATED"/>
    <n v="1"/>
    <s v="01.11.80.307.6100.0000"/>
    <n v="13.73"/>
    <s v="11"/>
    <s v="6100"/>
    <n v="30594.15"/>
    <n v="13.73"/>
    <s v="CREDITOR"/>
    <n v="0"/>
    <n v="0"/>
    <n v="0"/>
    <n v="0"/>
    <n v="13.73"/>
  </r>
  <r>
    <n v="60867047"/>
    <s v="N"/>
    <n v="21349869"/>
    <s v="3000015089740008"/>
    <s v="CIVIL"/>
    <d v="2023-06-26T00:00:00"/>
    <d v="2023-07-10T19:01:40"/>
    <m/>
    <d v="2023-07-10T00:00:00"/>
    <n v="1205"/>
    <n v="18696"/>
    <s v="60867047"/>
    <s v="60867047"/>
    <m/>
    <m/>
    <n v="22762804"/>
    <m/>
    <m/>
    <m/>
    <s v="SOLFIN"/>
    <s v="SOLFIN"/>
    <s v="CCMS"/>
    <n v="21349869"/>
    <n v="11255.82"/>
    <m/>
    <s v="N"/>
    <n v="15"/>
    <d v="2023-07-10T19:02:01"/>
    <s v="Y"/>
    <s v="Advocates Meeting"/>
    <s v="Public Law Children"/>
    <s v="Advocacy"/>
    <s v="Charlotte Raybould"/>
    <s v="Y"/>
    <n v="140.99"/>
    <n v="28.2"/>
    <x v="2"/>
    <s v="VALIDATED"/>
    <n v="1"/>
    <s v="01.11.80.308.6100.0000"/>
    <n v="140.99"/>
    <s v="11"/>
    <s v="6100"/>
    <n v="30594.15"/>
    <n v="140.99"/>
    <s v="CREDITOR"/>
    <n v="0"/>
    <n v="0"/>
    <n v="0"/>
    <n v="0"/>
    <n v="140.99"/>
  </r>
  <r>
    <n v="54813547"/>
    <s v="N"/>
    <n v="21338270"/>
    <s v="3000013038820008"/>
    <s v="CIVIL"/>
    <d v="2023-06-27T00:00:00"/>
    <d v="2023-07-06T19:21:01"/>
    <m/>
    <d v="2023-07-06T00:00:00"/>
    <n v="1205"/>
    <n v="18696"/>
    <s v="54813547"/>
    <s v="54813547"/>
    <m/>
    <m/>
    <n v="22769992"/>
    <m/>
    <m/>
    <m/>
    <s v="SOLFIN"/>
    <s v="SOLFIN"/>
    <s v="CCMS"/>
    <n v="21338270"/>
    <n v="24252.38"/>
    <m/>
    <s v="N"/>
    <n v="42"/>
    <d v="2023-07-06T19:21:15"/>
    <s v="Y"/>
    <s v="Routine Letter Out"/>
    <s v="Care Remuneration Hourly Rates"/>
    <s v="Profit Cost"/>
    <s v="Charlotte Raybould"/>
    <s v="Y"/>
    <n v="812.37"/>
    <n v="162.47"/>
    <x v="4"/>
    <s v="VALIDATED"/>
    <n v="1"/>
    <s v="01.11.80.308.6100.0000"/>
    <n v="812.37"/>
    <s v="11"/>
    <s v="6100"/>
    <n v="30594.15"/>
    <n v="812.37"/>
    <s v="CREDITOR"/>
    <n v="0"/>
    <n v="0"/>
    <n v="0"/>
    <n v="0"/>
    <n v="812.37"/>
  </r>
  <r>
    <n v="60740536"/>
    <s v="N"/>
    <n v="21343872"/>
    <s v="3000014983190011"/>
    <s v="CIVIL"/>
    <d v="2023-06-27T00:00:00"/>
    <d v="2023-07-07T19:03:00"/>
    <m/>
    <d v="2023-07-07T00:00:00"/>
    <n v="1205"/>
    <n v="18696"/>
    <s v="60740536"/>
    <s v="60740536"/>
    <m/>
    <m/>
    <n v="22766106"/>
    <m/>
    <m/>
    <m/>
    <s v="SOLFIN"/>
    <s v="SOLFIN"/>
    <s v="CCMS"/>
    <n v="21343872"/>
    <n v="13395.68"/>
    <m/>
    <s v="N"/>
    <n v="80"/>
    <d v="2023-07-07T19:03:15"/>
    <s v="Y"/>
    <s v="Preparation - other"/>
    <s v="Care Remuneration Hourly Rates"/>
    <s v="Profit Cost"/>
    <s v="Penny Dukes"/>
    <s v="Y"/>
    <n v="5.26"/>
    <n v="1.05"/>
    <x v="9"/>
    <s v="VALIDATED"/>
    <n v="1"/>
    <s v="01.11.80.308.6100.0000"/>
    <n v="5.26"/>
    <s v="11"/>
    <s v="6100"/>
    <n v="30594.15"/>
    <n v="5.26"/>
    <s v="CREDITOR"/>
    <n v="0"/>
    <n v="0"/>
    <n v="0"/>
    <n v="0"/>
    <n v="5.26"/>
  </r>
  <r>
    <n v="60740536"/>
    <s v="N"/>
    <n v="21343872"/>
    <s v="3000014983190011"/>
    <s v="CIVIL"/>
    <d v="2023-06-27T00:00:00"/>
    <d v="2023-07-07T19:03:00"/>
    <m/>
    <d v="2023-07-07T00:00:00"/>
    <n v="1205"/>
    <n v="18696"/>
    <s v="60740536"/>
    <s v="60740536"/>
    <m/>
    <m/>
    <n v="22766106"/>
    <m/>
    <m/>
    <m/>
    <s v="SOLFIN"/>
    <s v="SOLFIN"/>
    <s v="CCMS"/>
    <n v="21343872"/>
    <n v="13395.68"/>
    <m/>
    <s v="N"/>
    <n v="13"/>
    <d v="2023-07-07T19:03:15"/>
    <s v="Y"/>
    <s v="Routine Letter Out"/>
    <s v="Care Remuneration Hourly Rates"/>
    <s v="Profit Cost"/>
    <s v="Anna Cooper"/>
    <s v="Y"/>
    <n v="778.59"/>
    <n v="155.71"/>
    <x v="9"/>
    <s v="VALIDATED"/>
    <n v="1"/>
    <s v="01.11.80.308.6100.0000"/>
    <n v="778.59"/>
    <s v="11"/>
    <s v="6100"/>
    <n v="30594.15"/>
    <n v="778.59"/>
    <s v="CREDITOR"/>
    <n v="0"/>
    <n v="0"/>
    <n v="0"/>
    <n v="0"/>
    <n v="778.59"/>
  </r>
  <r>
    <n v="60764755"/>
    <s v="N"/>
    <n v="21337748"/>
    <s v="3000015002070010"/>
    <s v="CIVIL"/>
    <d v="2023-06-22T00:00:00"/>
    <d v="2023-07-06T19:21:01"/>
    <m/>
    <d v="2023-07-06T00:00:00"/>
    <n v="1205"/>
    <n v="18696"/>
    <s v="60764755"/>
    <s v="60764755"/>
    <m/>
    <m/>
    <n v="22741190"/>
    <m/>
    <m/>
    <m/>
    <s v="SOLFIN"/>
    <s v="SOLFIN"/>
    <s v="CCMS"/>
    <n v="21337748"/>
    <n v="11125.15"/>
    <m/>
    <s v="N"/>
    <n v="7"/>
    <d v="2023-07-06T19:21:07"/>
    <s v="Y"/>
    <s v="Toxicologist"/>
    <s v="Public Law Children"/>
    <s v="Expert Disbursement"/>
    <s v="Charlotte Raybould"/>
    <s v="Y"/>
    <n v="975"/>
    <n v="195"/>
    <x v="4"/>
    <s v="VALIDATED"/>
    <n v="1"/>
    <s v="01.11.80.308.6300.0000"/>
    <n v="975"/>
    <s v="11"/>
    <s v="6300"/>
    <n v="30594.15"/>
    <n v="975"/>
    <s v="CREDITOR"/>
    <n v="0"/>
    <n v="0"/>
    <n v="0"/>
    <n v="0"/>
    <n v="975"/>
  </r>
  <r>
    <n v="60764755"/>
    <s v="N"/>
    <n v="21337748"/>
    <s v="3000015002070010"/>
    <s v="CIVIL"/>
    <d v="2023-06-22T00:00:00"/>
    <d v="2023-07-06T19:21:01"/>
    <m/>
    <d v="2023-07-06T00:00:00"/>
    <n v="1205"/>
    <n v="18696"/>
    <s v="60764755"/>
    <s v="60764755"/>
    <m/>
    <m/>
    <n v="22741190"/>
    <m/>
    <m/>
    <m/>
    <s v="SOLFIN"/>
    <s v="SOLFIN"/>
    <s v="CCMS"/>
    <n v="21337748"/>
    <n v="11125.15"/>
    <m/>
    <s v="N"/>
    <n v="12"/>
    <d v="2023-07-06T19:21:07"/>
    <s v="Y"/>
    <s v="Hearing Unit 2.31 - 5.00 Hours"/>
    <s v="Public Law Children"/>
    <s v="Advocacy"/>
    <s v="Charlotte Raybould"/>
    <s v="Y"/>
    <n v="476.92"/>
    <n v="95.38"/>
    <x v="4"/>
    <s v="VALIDATED"/>
    <n v="1"/>
    <s v="01.11.80.308.6100.0000"/>
    <n v="476.92"/>
    <s v="11"/>
    <s v="6100"/>
    <n v="30594.15"/>
    <n v="476.92"/>
    <s v="CREDITOR"/>
    <n v="0"/>
    <n v="0"/>
    <n v="0"/>
    <n v="0"/>
    <n v="476.92"/>
  </r>
  <r>
    <n v="54813547"/>
    <s v="N"/>
    <n v="21338270"/>
    <s v="3000013038820008"/>
    <s v="CIVIL"/>
    <d v="2023-06-27T00:00:00"/>
    <d v="2023-07-06T19:21:01"/>
    <m/>
    <d v="2023-07-06T00:00:00"/>
    <n v="1205"/>
    <n v="18696"/>
    <s v="54813547"/>
    <s v="54813547"/>
    <m/>
    <m/>
    <n v="22769992"/>
    <m/>
    <m/>
    <m/>
    <s v="SOLFIN"/>
    <s v="SOLFIN"/>
    <s v="CCMS"/>
    <n v="21338270"/>
    <n v="24252.38"/>
    <m/>
    <s v="N"/>
    <n v="57"/>
    <d v="2023-07-06T19:21:15"/>
    <s v="Y"/>
    <s v="Preparation - drafting consent orde"/>
    <s v="Care Remuneration Hourly Rates"/>
    <s v="Profit Cost"/>
    <s v="Eliot Brookes"/>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62"/>
    <d v="2023-07-06T19:21:15"/>
    <s v="Y"/>
    <s v="Preparation - drafting pleadings"/>
    <s v="Care Remuneration Hourly Rates"/>
    <s v="Profit Cost"/>
    <s v="Anna Cooper"/>
    <s v="Y"/>
    <n v="96.3"/>
    <n v="19.26"/>
    <x v="4"/>
    <s v="VALIDATED"/>
    <n v="1"/>
    <s v="01.11.80.308.6100.0000"/>
    <n v="96.3"/>
    <s v="11"/>
    <s v="6100"/>
    <n v="30594.15"/>
    <n v="96.3"/>
    <s v="CREDITOR"/>
    <n v="0"/>
    <n v="0"/>
    <n v="0"/>
    <n v="0"/>
    <n v="96.3"/>
  </r>
  <r>
    <n v="54813547"/>
    <s v="N"/>
    <n v="21338270"/>
    <s v="3000013038820008"/>
    <s v="CIVIL"/>
    <d v="2023-06-27T00:00:00"/>
    <d v="2023-07-06T19:21:01"/>
    <m/>
    <d v="2023-07-06T00:00:00"/>
    <n v="1205"/>
    <n v="18696"/>
    <s v="54813547"/>
    <s v="54813547"/>
    <m/>
    <m/>
    <n v="22769992"/>
    <m/>
    <m/>
    <m/>
    <s v="SOLFIN"/>
    <s v="SOLFIN"/>
    <s v="CCMS"/>
    <n v="21338270"/>
    <n v="24252.38"/>
    <m/>
    <s v="N"/>
    <n v="65"/>
    <d v="2023-07-06T19:21:15"/>
    <s v="Y"/>
    <s v="Preparation - drafting statement"/>
    <s v="Care Remuneration Hourly Rates"/>
    <s v="Profit Cost"/>
    <s v="Charlotte Raybould"/>
    <s v="Y"/>
    <n v="52.58"/>
    <n v="10.52"/>
    <x v="4"/>
    <s v="VALIDATED"/>
    <n v="1"/>
    <s v="01.11.80.308.6100.0000"/>
    <n v="52.58"/>
    <s v="11"/>
    <s v="6100"/>
    <n v="30594.15"/>
    <n v="52.58"/>
    <s v="CREDITOR"/>
    <n v="0"/>
    <n v="0"/>
    <n v="0"/>
    <n v="0"/>
    <n v="52.58"/>
  </r>
  <r>
    <n v="60631907"/>
    <s v="N"/>
    <n v="21331360"/>
    <s v="3000014878960007"/>
    <s v="CIVIL"/>
    <d v="2023-06-28T00:00:00"/>
    <d v="2023-07-05T19:01:47"/>
    <m/>
    <d v="2023-07-05T00:00:00"/>
    <n v="1205"/>
    <n v="18696"/>
    <s v="60631907"/>
    <s v="60631907"/>
    <m/>
    <m/>
    <n v="22783676"/>
    <m/>
    <m/>
    <m/>
    <s v="SOLFIN"/>
    <s v="SOLFIN"/>
    <s v="CCMS"/>
    <n v="21331360"/>
    <n v="9637.15"/>
    <m/>
    <s v="N"/>
    <n v="51"/>
    <d v="2023-07-05T19:02:16"/>
    <s v="Y"/>
    <s v="Preparation - drafting attendance n"/>
    <s v="Prescribed Hourly Rates"/>
    <s v="Profit Cost"/>
    <s v="Andrew Crumpton"/>
    <s v="Y"/>
    <n v="13.73"/>
    <n v="2.75"/>
    <x v="6"/>
    <s v="VALIDATED"/>
    <n v="1"/>
    <s v="01.11.80.307.6100.0000"/>
    <n v="13.73"/>
    <s v="11"/>
    <s v="6100"/>
    <n v="30594.15"/>
    <n v="13.73"/>
    <s v="CREDITOR"/>
    <n v="0"/>
    <n v="0"/>
    <n v="0"/>
    <n v="0"/>
    <n v="13.73"/>
  </r>
  <r>
    <n v="60631907"/>
    <s v="N"/>
    <n v="21331360"/>
    <s v="3000014878960007"/>
    <s v="CIVIL"/>
    <d v="2023-06-28T00:00:00"/>
    <d v="2023-07-05T19:01:47"/>
    <m/>
    <d v="2023-07-05T00:00:00"/>
    <n v="1205"/>
    <n v="18696"/>
    <s v="60631907"/>
    <s v="60631907"/>
    <m/>
    <m/>
    <n v="22783676"/>
    <m/>
    <m/>
    <m/>
    <s v="SOLFIN"/>
    <s v="SOLFIN"/>
    <s v="CCMS"/>
    <n v="21331360"/>
    <n v="9637.15"/>
    <m/>
    <s v="N"/>
    <n v="21"/>
    <d v="2023-07-05T19:02:16"/>
    <s v="Y"/>
    <s v="Preparation - drafting statement"/>
    <s v="Prescribed Hourly Rates"/>
    <s v="Profit Cost"/>
    <s v="Andrew Crumpton"/>
    <s v="Y"/>
    <n v="137.25"/>
    <n v="27.45"/>
    <x v="6"/>
    <s v="VALIDATED"/>
    <n v="1"/>
    <s v="01.11.80.307.6100.0000"/>
    <n v="137.25"/>
    <s v="11"/>
    <s v="6100"/>
    <n v="30594.15"/>
    <n v="137.25"/>
    <s v="CREDITOR"/>
    <n v="0"/>
    <n v="0"/>
    <n v="0"/>
    <n v="0"/>
    <n v="137.25"/>
  </r>
  <r>
    <n v="60631907"/>
    <s v="N"/>
    <n v="21331360"/>
    <s v="3000014878960007"/>
    <s v="CIVIL"/>
    <d v="2023-06-28T00:00:00"/>
    <d v="2023-07-05T19:01:47"/>
    <m/>
    <d v="2023-07-05T00:00:00"/>
    <n v="1205"/>
    <n v="18696"/>
    <s v="60631907"/>
    <s v="60631907"/>
    <m/>
    <m/>
    <n v="22783676"/>
    <m/>
    <m/>
    <m/>
    <s v="SOLFIN"/>
    <s v="SOLFIN"/>
    <s v="CCMS"/>
    <n v="21331360"/>
    <n v="9637.15"/>
    <m/>
    <s v="N"/>
    <n v="71"/>
    <d v="2023-07-05T19:02:16"/>
    <s v="Y"/>
    <s v="Preparation - other"/>
    <s v="Prescribed Hourly Rates"/>
    <s v="Profit Cost"/>
    <s v="Isabel Griffith"/>
    <s v="Y"/>
    <n v="5.49"/>
    <n v="1.1"/>
    <x v="6"/>
    <s v="VALIDATED"/>
    <n v="1"/>
    <s v="01.11.80.307.6100.0000"/>
    <n v="5.49"/>
    <s v="11"/>
    <s v="6100"/>
    <n v="30594.15"/>
    <n v="5.49"/>
    <s v="CREDITOR"/>
    <n v="0"/>
    <n v="0"/>
    <n v="0"/>
    <n v="0"/>
    <n v="5.49"/>
  </r>
  <r>
    <n v="60631907"/>
    <s v="N"/>
    <n v="21331360"/>
    <s v="3000014878960007"/>
    <s v="CIVIL"/>
    <d v="2023-06-28T00:00:00"/>
    <d v="2023-07-05T19:01:47"/>
    <m/>
    <d v="2023-07-05T00:00:00"/>
    <n v="1205"/>
    <n v="18696"/>
    <s v="60631907"/>
    <s v="60631907"/>
    <m/>
    <m/>
    <n v="22783676"/>
    <m/>
    <m/>
    <m/>
    <s v="SOLFIN"/>
    <s v="SOLFIN"/>
    <s v="CCMS"/>
    <n v="21331360"/>
    <n v="9637.15"/>
    <m/>
    <s v="N"/>
    <n v="73"/>
    <d v="2023-07-05T19:02:16"/>
    <s v="Y"/>
    <s v="Preparation - other"/>
    <s v="Prescribed Hourly Rates"/>
    <s v="Profit Cost"/>
    <s v="Andrew Crumpton"/>
    <s v="Y"/>
    <n v="130.39"/>
    <n v="26.08"/>
    <x v="6"/>
    <s v="VALIDATED"/>
    <n v="1"/>
    <s v="01.11.80.307.6100.0000"/>
    <n v="130.39"/>
    <s v="11"/>
    <s v="6100"/>
    <n v="30594.15"/>
    <n v="130.39"/>
    <s v="CREDITOR"/>
    <n v="0"/>
    <n v="0"/>
    <n v="0"/>
    <n v="0"/>
    <n v="130.39"/>
  </r>
  <r>
    <n v="60631907"/>
    <s v="N"/>
    <n v="21331360"/>
    <s v="3000014878960007"/>
    <s v="CIVIL"/>
    <d v="2023-06-28T00:00:00"/>
    <d v="2023-07-05T19:01:47"/>
    <m/>
    <d v="2023-07-05T00:00:00"/>
    <n v="1205"/>
    <n v="18696"/>
    <s v="60631907"/>
    <s v="60631907"/>
    <m/>
    <m/>
    <n v="22783676"/>
    <m/>
    <m/>
    <m/>
    <s v="SOLFIN"/>
    <s v="SOLFIN"/>
    <s v="CCMS"/>
    <n v="21331360"/>
    <n v="9637.15"/>
    <m/>
    <s v="N"/>
    <n v="8"/>
    <d v="2023-07-05T19:02:16"/>
    <s v="Y"/>
    <s v="Advocacy - Directions Hearing"/>
    <s v="Prescribed Hourly Rates"/>
    <s v="Advocacy"/>
    <s v="Andrew Crumpton"/>
    <s v="Y"/>
    <n v="70.88"/>
    <n v="14.18"/>
    <x v="6"/>
    <s v="VALIDATED"/>
    <n v="1"/>
    <s v="01.11.80.307.6100.0000"/>
    <n v="70.88"/>
    <s v="11"/>
    <s v="6100"/>
    <n v="30594.15"/>
    <n v="70.88"/>
    <s v="CREDITOR"/>
    <n v="0"/>
    <n v="0"/>
    <n v="0"/>
    <n v="0"/>
    <n v="70.88"/>
  </r>
  <r>
    <n v="60744883"/>
    <s v="N"/>
    <n v="21330927"/>
    <s v="3000014987240008"/>
    <s v="CIVIL"/>
    <d v="2023-06-22T00:00:00"/>
    <d v="2023-07-05T19:01:47"/>
    <m/>
    <d v="2023-07-05T00:00:00"/>
    <n v="1205"/>
    <n v="18696"/>
    <s v="60744883"/>
    <s v="60744883"/>
    <m/>
    <m/>
    <n v="22745992"/>
    <m/>
    <m/>
    <m/>
    <s v="SOLFIN"/>
    <s v="SOLFIN"/>
    <s v="CCMS"/>
    <n v="21330927"/>
    <n v="13790.5"/>
    <m/>
    <s v="N"/>
    <n v="25"/>
    <d v="2023-07-05T19:01:57"/>
    <s v="Y"/>
    <s v="Preparation - other"/>
    <s v="Care Remuneration Hourly Rates"/>
    <s v="Profit Cost"/>
    <s v="Alix Reynolds"/>
    <s v="Y"/>
    <n v="65.70999999999999"/>
    <n v="13.14"/>
    <x v="6"/>
    <s v="VALIDATED"/>
    <n v="1"/>
    <s v="01.11.80.308.6100.0000"/>
    <n v="65.70999999999999"/>
    <s v="11"/>
    <s v="6100"/>
    <n v="30594.15"/>
    <n v="65.70999999999999"/>
    <s v="CREDITOR"/>
    <n v="0"/>
    <n v="0"/>
    <n v="0"/>
    <n v="0"/>
    <n v="65.70999999999999"/>
  </r>
  <r>
    <n v="60867047"/>
    <s v="N"/>
    <n v="21349869"/>
    <s v="3000015089740008"/>
    <s v="CIVIL"/>
    <d v="2023-06-26T00:00:00"/>
    <d v="2023-07-10T19:01:40"/>
    <m/>
    <d v="2023-07-10T00:00:00"/>
    <n v="1205"/>
    <n v="18696"/>
    <s v="60867047"/>
    <s v="60867047"/>
    <m/>
    <m/>
    <n v="22762804"/>
    <m/>
    <m/>
    <m/>
    <s v="SOLFIN"/>
    <s v="SOLFIN"/>
    <s v="CCMS"/>
    <n v="21349869"/>
    <n v="11255.82"/>
    <m/>
    <s v="N"/>
    <n v="16"/>
    <d v="2023-07-10T19:02:01"/>
    <s v="Y"/>
    <s v="Hearing Unit 5.01 - 7.30 Hours"/>
    <s v="Public Law Children"/>
    <s v="Advocacy"/>
    <s v="Charlotte Raybould"/>
    <s v="Y"/>
    <n v="715.38"/>
    <n v="143.08"/>
    <x v="2"/>
    <s v="VALIDATED"/>
    <n v="1"/>
    <s v="01.11.80.308.6100.0000"/>
    <n v="715.38"/>
    <s v="11"/>
    <s v="6100"/>
    <n v="30594.15"/>
    <n v="715.38"/>
    <s v="CREDITOR"/>
    <n v="0"/>
    <n v="0"/>
    <n v="0"/>
    <n v="0"/>
    <n v="715.38"/>
  </r>
  <r>
    <n v="60867047"/>
    <s v="N"/>
    <n v="21349869"/>
    <s v="3000015089740008"/>
    <s v="CIVIL"/>
    <d v="2023-06-26T00:00:00"/>
    <d v="2023-07-10T19:01:40"/>
    <m/>
    <d v="2023-07-10T00:00:00"/>
    <n v="1205"/>
    <n v="18696"/>
    <s v="60867047"/>
    <s v="60867047"/>
    <m/>
    <m/>
    <n v="22762804"/>
    <m/>
    <m/>
    <m/>
    <s v="SOLFIN"/>
    <s v="SOLFIN"/>
    <s v="CCMS"/>
    <n v="21349869"/>
    <n v="11255.82"/>
    <m/>
    <s v="N"/>
    <n v="20"/>
    <d v="2023-07-10T19:02:01"/>
    <s v="Y"/>
    <s v="Final Hearing - 1 Day"/>
    <s v="Public Law Children"/>
    <s v="Advocacy"/>
    <s v="Charlotte Raybould"/>
    <s v="Y"/>
    <n v="696.1"/>
    <n v="139.22"/>
    <x v="2"/>
    <s v="VALIDATED"/>
    <n v="1"/>
    <s v="01.11.80.308.6100.0000"/>
    <n v="696.1"/>
    <s v="11"/>
    <s v="6100"/>
    <n v="30594.15"/>
    <n v="696.1"/>
    <s v="CREDITOR"/>
    <n v="0"/>
    <n v="0"/>
    <n v="0"/>
    <n v="0"/>
    <n v="696.1"/>
  </r>
  <r>
    <n v="60631915"/>
    <s v="N"/>
    <n v="21331370"/>
    <s v="3000014879200001"/>
    <s v="CIVIL"/>
    <d v="2023-06-23T00:00:00"/>
    <d v="2023-07-05T19:01:47"/>
    <m/>
    <d v="2023-07-05T00:00:00"/>
    <n v="1205"/>
    <n v="18696"/>
    <s v="60631915"/>
    <s v="60631915"/>
    <m/>
    <m/>
    <n v="22753290"/>
    <m/>
    <m/>
    <m/>
    <s v="SOLFIN"/>
    <s v="SOLFIN"/>
    <s v="CCMS"/>
    <n v="21331370"/>
    <n v="0"/>
    <m/>
    <s v="N"/>
    <n v="1"/>
    <d v="2023-07-05T19:02:16"/>
    <s v="N"/>
    <s v="NIL BILL"/>
    <s v="Prescribed Hourly Rates"/>
    <s v="Profit Cost"/>
    <s v="Andrew Crumpton"/>
    <s v="N"/>
    <n v="0"/>
    <n v="0"/>
    <x v="6"/>
    <s v="VALIDATED"/>
    <n v="1"/>
    <s v="01.11.80.307.6100.0000"/>
    <n v="0"/>
    <s v="11"/>
    <s v="6100"/>
    <n v="30594.15"/>
    <n v="0"/>
    <s v="CREDITOR"/>
    <n v="0"/>
    <n v="0"/>
    <n v="0"/>
    <n v="0"/>
    <n v="0"/>
  </r>
  <r>
    <n v="60867047"/>
    <s v="N"/>
    <n v="21349869"/>
    <s v="3000015089740008"/>
    <s v="CIVIL"/>
    <d v="2023-06-26T00:00:00"/>
    <d v="2023-07-10T19:01:40"/>
    <m/>
    <d v="2023-07-10T00:00:00"/>
    <n v="1205"/>
    <n v="18696"/>
    <s v="60867047"/>
    <s v="60867047"/>
    <m/>
    <m/>
    <n v="22762804"/>
    <m/>
    <m/>
    <m/>
    <s v="SOLFIN"/>
    <s v="SOLFIN"/>
    <s v="CCMS"/>
    <n v="21349869"/>
    <n v="11255.82"/>
    <m/>
    <s v="N"/>
    <n v="21"/>
    <d v="2023-07-10T19:02:01"/>
    <s v="Y"/>
    <s v="Hearing Unit 2.31 - 5.00 Hours"/>
    <s v="Public Law Children"/>
    <s v="Advocacy"/>
    <s v="Charlotte Raybould"/>
    <s v="Y"/>
    <n v="476.92"/>
    <n v="95.38"/>
    <x v="2"/>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5"/>
    <d v="2023-07-07T19:03:15"/>
    <s v="Y"/>
    <s v="Neuroradiologist (non-clin neg cere"/>
    <s v="Care Remuneration Hourly Rates"/>
    <s v="Expert Disbursement"/>
    <s v="Charlotte Raybould"/>
    <s v="Y"/>
    <n v="225"/>
    <n v="45"/>
    <x v="9"/>
    <s v="VALIDATED"/>
    <n v="1"/>
    <s v="01.11.80.308.6300.0000"/>
    <n v="225"/>
    <s v="11"/>
    <s v="6300"/>
    <n v="30594.15"/>
    <n v="225"/>
    <s v="CREDITOR"/>
    <n v="0"/>
    <n v="0"/>
    <n v="0"/>
    <n v="0"/>
    <n v="225"/>
  </r>
  <r>
    <n v="60740536"/>
    <s v="N"/>
    <n v="21343872"/>
    <s v="3000014983190011"/>
    <s v="CIVIL"/>
    <d v="2023-06-27T00:00:00"/>
    <d v="2023-07-07T19:03:00"/>
    <m/>
    <d v="2023-07-07T00:00:00"/>
    <n v="1205"/>
    <n v="18696"/>
    <s v="60740536"/>
    <s v="60740536"/>
    <m/>
    <m/>
    <n v="22766106"/>
    <m/>
    <m/>
    <m/>
    <s v="SOLFIN"/>
    <s v="SOLFIN"/>
    <s v="CCMS"/>
    <n v="21343872"/>
    <n v="13395.68"/>
    <m/>
    <s v="N"/>
    <n v="12"/>
    <d v="2023-07-07T19:03:15"/>
    <s v="Y"/>
    <s v="Preparation - drafting statement"/>
    <s v="Care Remuneration Hourly Rates"/>
    <s v="Profit Cost"/>
    <s v="Charlotte Raybould"/>
    <s v="Y"/>
    <n v="24.18"/>
    <n v="4.84"/>
    <x v="9"/>
    <s v="VALIDATED"/>
    <n v="1"/>
    <s v="01.11.80.308.6100.0000"/>
    <n v="24.18"/>
    <s v="11"/>
    <s v="6100"/>
    <n v="30594.15"/>
    <n v="24.18"/>
    <s v="CREDITOR"/>
    <n v="0"/>
    <n v="0"/>
    <n v="0"/>
    <n v="0"/>
    <n v="24.18"/>
  </r>
  <r>
    <n v="54813547"/>
    <s v="N"/>
    <n v="21338270"/>
    <s v="3000013038820008"/>
    <s v="CIVIL"/>
    <d v="2023-06-27T00:00:00"/>
    <d v="2023-07-06T19:21:01"/>
    <m/>
    <d v="2023-07-06T00:00:00"/>
    <n v="1205"/>
    <n v="18696"/>
    <s v="54813547"/>
    <s v="54813547"/>
    <m/>
    <m/>
    <n v="22769992"/>
    <m/>
    <m/>
    <m/>
    <s v="SOLFIN"/>
    <s v="SOLFIN"/>
    <s v="CCMS"/>
    <n v="21338270"/>
    <n v="24252.38"/>
    <m/>
    <s v="N"/>
    <n v="27"/>
    <d v="2023-07-06T19:21:15"/>
    <s v="Y"/>
    <s v="Preparation - drafting statement"/>
    <s v="Care Remuneration Hourly Rates"/>
    <s v="Profit Cost"/>
    <s v="Charlotte Raybould"/>
    <s v="Y"/>
    <n v="14.81"/>
    <n v="2.96"/>
    <x v="4"/>
    <s v="VALIDATED"/>
    <n v="1"/>
    <s v="01.11.80.308.6100.0000"/>
    <n v="14.81"/>
    <s v="11"/>
    <s v="6100"/>
    <n v="30594.15"/>
    <n v="14.81"/>
    <s v="CREDITOR"/>
    <n v="0"/>
    <n v="0"/>
    <n v="0"/>
    <n v="0"/>
    <n v="14.81"/>
  </r>
  <r>
    <n v="60744883"/>
    <s v="N"/>
    <n v="21330927"/>
    <s v="3000014987240008"/>
    <s v="CIVIL"/>
    <d v="2023-06-22T00:00:00"/>
    <d v="2023-07-05T19:01:47"/>
    <m/>
    <d v="2023-07-05T00:00:00"/>
    <n v="1205"/>
    <n v="18696"/>
    <s v="60744883"/>
    <s v="60744883"/>
    <m/>
    <m/>
    <n v="22745992"/>
    <m/>
    <m/>
    <m/>
    <s v="SOLFIN"/>
    <s v="SOLFIN"/>
    <s v="CCMS"/>
    <n v="21330927"/>
    <n v="13790.5"/>
    <m/>
    <s v="N"/>
    <n v="38"/>
    <d v="2023-07-05T19:01:57"/>
    <s v="Y"/>
    <s v="Preparation - other"/>
    <s v="Care Remuneration Hourly Rates"/>
    <s v="Profit Cost"/>
    <s v="Alix Reynolds"/>
    <s v="Y"/>
    <n v="164.29"/>
    <n v="32.86"/>
    <x v="6"/>
    <s v="VALIDATED"/>
    <n v="1"/>
    <s v="01.11.80.308.6100.0000"/>
    <n v="164.29"/>
    <s v="11"/>
    <s v="6100"/>
    <n v="30594.15"/>
    <n v="164.29"/>
    <s v="CREDITOR"/>
    <n v="0"/>
    <n v="0"/>
    <n v="0"/>
    <n v="0"/>
    <n v="164.29"/>
  </r>
  <r>
    <n v="60744883"/>
    <s v="N"/>
    <n v="21330927"/>
    <s v="3000014987240008"/>
    <s v="CIVIL"/>
    <d v="2023-06-22T00:00:00"/>
    <d v="2023-07-05T19:01:47"/>
    <m/>
    <d v="2023-07-05T00:00:00"/>
    <n v="1205"/>
    <n v="18696"/>
    <s v="60744883"/>
    <s v="60744883"/>
    <m/>
    <m/>
    <n v="22745992"/>
    <m/>
    <m/>
    <m/>
    <s v="SOLFIN"/>
    <s v="SOLFIN"/>
    <s v="CCMS"/>
    <n v="21330927"/>
    <n v="13790.5"/>
    <m/>
    <s v="N"/>
    <n v="58"/>
    <d v="2023-07-05T19:01:57"/>
    <s v="Y"/>
    <s v="Preparation - other"/>
    <s v="Care Remuneration Hourly Rates"/>
    <s v="Profit Cost"/>
    <s v="Alix Reynolds"/>
    <s v="Y"/>
    <n v="13.14"/>
    <n v="2.63"/>
    <x v="6"/>
    <s v="VALIDATED"/>
    <n v="1"/>
    <s v="01.11.80.308.6100.0000"/>
    <n v="13.14"/>
    <s v="11"/>
    <s v="6100"/>
    <n v="30594.15"/>
    <n v="13.14"/>
    <s v="CREDITOR"/>
    <n v="0"/>
    <n v="0"/>
    <n v="0"/>
    <n v="0"/>
    <n v="13.14"/>
  </r>
  <r>
    <n v="60631907"/>
    <s v="N"/>
    <n v="21331360"/>
    <s v="3000014878960007"/>
    <s v="CIVIL"/>
    <d v="2023-06-28T00:00:00"/>
    <d v="2023-07-05T19:01:47"/>
    <m/>
    <d v="2023-07-05T00:00:00"/>
    <n v="1205"/>
    <n v="18696"/>
    <s v="60631907"/>
    <s v="60631907"/>
    <m/>
    <m/>
    <n v="22783676"/>
    <m/>
    <m/>
    <m/>
    <s v="SOLFIN"/>
    <s v="SOLFIN"/>
    <s v="CCMS"/>
    <n v="21331360"/>
    <n v="9637.15"/>
    <m/>
    <s v="N"/>
    <n v="90"/>
    <d v="2023-07-05T19:02:16"/>
    <s v="Y"/>
    <s v="Solicitor Travel Mileage"/>
    <s v="Prescribed Hourly Rates"/>
    <s v="Non Expert Disbursement"/>
    <s v="Andrew Crumpton"/>
    <s v="Y"/>
    <n v="27"/>
    <n v="5.4"/>
    <x v="6"/>
    <s v="VALIDATED"/>
    <n v="1"/>
    <s v="01.11.80.307.6300.0000"/>
    <n v="27"/>
    <s v="11"/>
    <s v="6300"/>
    <n v="30594.15"/>
    <n v="27"/>
    <s v="CREDITOR"/>
    <n v="0"/>
    <n v="0"/>
    <n v="0"/>
    <n v="0"/>
    <n v="27"/>
  </r>
  <r>
    <n v="60740557"/>
    <s v="N"/>
    <n v="21330516"/>
    <s v="3000014983420001"/>
    <s v="CIVIL"/>
    <d v="2023-06-26T00:00:00"/>
    <d v="2023-07-05T19:01:47"/>
    <m/>
    <d v="2023-07-05T00:00:00"/>
    <n v="1205"/>
    <n v="18696"/>
    <s v="60740557"/>
    <s v="60740557"/>
    <m/>
    <m/>
    <n v="22761996"/>
    <m/>
    <m/>
    <m/>
    <s v="SOLFIN"/>
    <s v="SOLFIN"/>
    <s v="CCMS"/>
    <n v="21330516"/>
    <n v="0"/>
    <m/>
    <s v="N"/>
    <n v="1"/>
    <d v="2023-07-05T19:01:50"/>
    <s v="N"/>
    <s v="NIL BILL"/>
    <s v="Public Law Children"/>
    <s v="Profit Cost"/>
    <s v="Charlotte Raybould"/>
    <s v="N"/>
    <n v="0"/>
    <n v="0"/>
    <x v="6"/>
    <s v="VALIDATED"/>
    <n v="1"/>
    <s v="01.11.80.308.6100.0000"/>
    <n v="0"/>
    <s v="11"/>
    <s v="6100"/>
    <n v="30594.15"/>
    <n v="0"/>
    <s v="CREDITOR"/>
    <n v="0"/>
    <n v="0"/>
    <n v="0"/>
    <n v="0"/>
    <n v="0"/>
  </r>
  <r>
    <n v="61037972"/>
    <s v="N"/>
    <n v="21319973"/>
    <s v="3000015233500025"/>
    <s v="CIVIL"/>
    <d v="2023-06-28T00:00:00"/>
    <d v="2023-07-03T19:04:24"/>
    <m/>
    <d v="2023-07-03T00:00:00"/>
    <n v="1205"/>
    <n v="18696"/>
    <s v="61037972"/>
    <s v="61037972"/>
    <m/>
    <m/>
    <n v="22777122"/>
    <m/>
    <m/>
    <m/>
    <s v="SOLPOA"/>
    <s v="SOLPOA"/>
    <s v="CCMS"/>
    <n v="21319973"/>
    <n v="37.31"/>
    <m/>
    <s v="N"/>
    <n v="1"/>
    <d v="2023-07-03T19:04:28"/>
    <s v="N"/>
    <s v="Non Expert Disbursement"/>
    <s v="Non Expert Disbursement"/>
    <s v="Non Expert Disbursement"/>
    <s v="M Sharma"/>
    <s v="N"/>
    <n v="31.09"/>
    <n v="6.22"/>
    <x v="3"/>
    <s v="VALIDATED"/>
    <n v="1"/>
    <s v="01.11.80.308.2012.0000"/>
    <n v="31.09"/>
    <s v="11"/>
    <s v="2012"/>
    <n v="30594.15"/>
    <n v="31.09"/>
    <s v="CREDITOR"/>
    <n v="31.09"/>
    <n v="0"/>
    <n v="0"/>
    <n v="0"/>
    <n v="0"/>
  </r>
  <r>
    <n v="60740536"/>
    <s v="N"/>
    <n v="21343872"/>
    <s v="3000014983190011"/>
    <s v="CIVIL"/>
    <d v="2023-06-27T00:00:00"/>
    <d v="2023-07-07T19:03:00"/>
    <m/>
    <d v="2023-07-07T00:00:00"/>
    <n v="1205"/>
    <n v="18696"/>
    <s v="60740536"/>
    <s v="60740536"/>
    <m/>
    <m/>
    <n v="22766106"/>
    <m/>
    <m/>
    <m/>
    <s v="SOLFIN"/>
    <s v="SOLFIN"/>
    <s v="CCMS"/>
    <n v="21343872"/>
    <n v="13395.68"/>
    <m/>
    <s v="N"/>
    <n v="9"/>
    <d v="2023-07-07T19:03:15"/>
    <s v="Y"/>
    <s v="Preparation - other"/>
    <s v="Care Remuneration Hourly Rates"/>
    <s v="Profit Cost"/>
    <s v="Penny Dukes"/>
    <s v="Y"/>
    <n v="10.51"/>
    <n v="2.1"/>
    <x v="9"/>
    <s v="VALIDATED"/>
    <n v="1"/>
    <s v="01.11.80.308.6100.0000"/>
    <n v="10.51"/>
    <s v="11"/>
    <s v="6100"/>
    <n v="30594.15"/>
    <n v="10.51"/>
    <s v="CREDITOR"/>
    <n v="0"/>
    <n v="0"/>
    <n v="0"/>
    <n v="0"/>
    <n v="10.51"/>
  </r>
  <r>
    <n v="48504544"/>
    <s v="N"/>
    <n v="21344092"/>
    <s v="3000012074710009"/>
    <s v="CIVIL"/>
    <d v="2023-06-29T00:00:00"/>
    <d v="2023-07-07T19:03:00"/>
    <m/>
    <d v="2023-07-07T00:00:00"/>
    <n v="1205"/>
    <n v="18696"/>
    <s v="48504544"/>
    <s v="48504544"/>
    <m/>
    <m/>
    <n v="22787308"/>
    <m/>
    <m/>
    <m/>
    <s v="SOLFIN"/>
    <s v="SOLFIN"/>
    <s v="CCMS"/>
    <n v="21344092"/>
    <n v="5824.29"/>
    <m/>
    <s v="N"/>
    <n v="11"/>
    <d v="2023-07-07T19:03:23"/>
    <s v="Y"/>
    <s v="Preparation - other"/>
    <s v="Prescribed Hourly Rates"/>
    <s v="Profit Cost"/>
    <s v="Penny Dukes"/>
    <s v="Y"/>
    <n v="10.98"/>
    <n v="2.2"/>
    <x v="9"/>
    <s v="VALIDATED"/>
    <n v="1"/>
    <s v="01.11.80.307.6100.0000"/>
    <n v="10.98"/>
    <s v="11"/>
    <s v="6100"/>
    <n v="30594.15"/>
    <n v="10.98"/>
    <s v="CREDITOR"/>
    <n v="0"/>
    <n v="0"/>
    <n v="0"/>
    <n v="0"/>
    <n v="10.98"/>
  </r>
  <r>
    <n v="48504544"/>
    <s v="N"/>
    <n v="21344092"/>
    <s v="3000012074710009"/>
    <s v="CIVIL"/>
    <d v="2023-06-29T00:00:00"/>
    <d v="2023-07-07T19:03:00"/>
    <m/>
    <d v="2023-07-07T00:00:00"/>
    <n v="1205"/>
    <n v="18696"/>
    <s v="48504544"/>
    <s v="48504544"/>
    <m/>
    <m/>
    <n v="22787308"/>
    <m/>
    <m/>
    <m/>
    <s v="SOLFIN"/>
    <s v="SOLFIN"/>
    <s v="CCMS"/>
    <n v="21344092"/>
    <n v="5824.29"/>
    <m/>
    <s v="N"/>
    <n v="23"/>
    <d v="2023-07-07T19:03:23"/>
    <s v="Y"/>
    <s v="Preparation - drafting statement"/>
    <s v="Prescribed Hourly Rates"/>
    <s v="Profit Cost"/>
    <s v="Charlotte Raybould"/>
    <s v="Y"/>
    <n v="31.57"/>
    <n v="6.31"/>
    <x v="9"/>
    <s v="VALIDATED"/>
    <n v="1"/>
    <s v="01.11.80.307.6100.0000"/>
    <n v="31.57"/>
    <s v="11"/>
    <s v="6100"/>
    <n v="30594.15"/>
    <n v="31.57"/>
    <s v="CREDITOR"/>
    <n v="0"/>
    <n v="0"/>
    <n v="0"/>
    <n v="0"/>
    <n v="31.57"/>
  </r>
  <r>
    <n v="54813547"/>
    <s v="N"/>
    <n v="21338270"/>
    <s v="3000013038820008"/>
    <s v="CIVIL"/>
    <d v="2023-06-27T00:00:00"/>
    <d v="2023-07-06T19:21:01"/>
    <m/>
    <d v="2023-07-06T00:00:00"/>
    <n v="1205"/>
    <n v="18696"/>
    <s v="54813547"/>
    <s v="54813547"/>
    <m/>
    <m/>
    <n v="22769992"/>
    <m/>
    <m/>
    <m/>
    <s v="SOLFIN"/>
    <s v="SOLFIN"/>
    <s v="CCMS"/>
    <n v="21338270"/>
    <n v="24252.38"/>
    <m/>
    <s v="N"/>
    <n v="111"/>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60744883"/>
    <s v="N"/>
    <n v="21330927"/>
    <s v="3000014987240008"/>
    <s v="CIVIL"/>
    <d v="2023-06-22T00:00:00"/>
    <d v="2023-07-05T19:01:47"/>
    <m/>
    <d v="2023-07-05T00:00:00"/>
    <n v="1205"/>
    <n v="18696"/>
    <s v="60744883"/>
    <s v="60744883"/>
    <m/>
    <m/>
    <n v="22745992"/>
    <m/>
    <m/>
    <m/>
    <s v="SOLFIN"/>
    <s v="SOLFIN"/>
    <s v="CCMS"/>
    <n v="21330927"/>
    <n v="13790.5"/>
    <m/>
    <s v="N"/>
    <n v="68"/>
    <d v="2023-07-05T19:01:57"/>
    <s v="Y"/>
    <s v="Preparation - drafting bill/claim f"/>
    <s v="Care Remuneration Hourly Rates"/>
    <s v="Profit Cost"/>
    <s v="Penny Dukes"/>
    <s v="Y"/>
    <n v="10.51"/>
    <n v="2.1"/>
    <x v="6"/>
    <s v="VALIDATED"/>
    <n v="1"/>
    <s v="01.11.80.308.6100.0000"/>
    <n v="10.51"/>
    <s v="11"/>
    <s v="6100"/>
    <n v="30594.15"/>
    <n v="10.51"/>
    <s v="CREDITOR"/>
    <n v="0"/>
    <n v="0"/>
    <n v="0"/>
    <n v="0"/>
    <n v="10.51"/>
  </r>
  <r>
    <n v="60744883"/>
    <s v="N"/>
    <n v="21330927"/>
    <s v="3000014987240008"/>
    <s v="CIVIL"/>
    <d v="2023-06-22T00:00:00"/>
    <d v="2023-07-05T19:01:47"/>
    <m/>
    <d v="2023-07-05T00:00:00"/>
    <n v="1205"/>
    <n v="18696"/>
    <s v="60744883"/>
    <s v="60744883"/>
    <m/>
    <m/>
    <n v="22745992"/>
    <m/>
    <m/>
    <m/>
    <s v="SOLFIN"/>
    <s v="SOLFIN"/>
    <s v="CCMS"/>
    <n v="21330927"/>
    <n v="13790.5"/>
    <m/>
    <s v="N"/>
    <n v="69"/>
    <d v="2023-07-05T19:01:57"/>
    <s v="Y"/>
    <s v="Advocates Meeting"/>
    <s v="Public Law Children"/>
    <s v="Advocacy"/>
    <s v="Alix Reynolds"/>
    <s v="Y"/>
    <n v="140.99"/>
    <n v="28.2"/>
    <x v="6"/>
    <s v="VALIDATED"/>
    <n v="1"/>
    <s v="01.11.80.308.6100.0000"/>
    <n v="140.99"/>
    <s v="11"/>
    <s v="6100"/>
    <n v="30594.15"/>
    <n v="140.99"/>
    <s v="CREDITOR"/>
    <n v="0"/>
    <n v="0"/>
    <n v="0"/>
    <n v="0"/>
    <n v="140.99"/>
  </r>
  <r>
    <n v="61764866"/>
    <s v="N"/>
    <n v="21327940"/>
    <s v="3000015843050003"/>
    <s v="CIVIL"/>
    <d v="2023-06-23T00:00:00"/>
    <d v="2023-07-04T19:00:44"/>
    <m/>
    <d v="2023-07-04T00:00:00"/>
    <n v="1205"/>
    <n v="18696"/>
    <s v="61764866"/>
    <s v="61764866"/>
    <m/>
    <m/>
    <n v="22755034"/>
    <m/>
    <m/>
    <m/>
    <s v="SOLFIN"/>
    <s v="SOLFIN"/>
    <s v="CCMS"/>
    <n v="21327940"/>
    <n v="4431.26"/>
    <m/>
    <s v="N"/>
    <n v="2"/>
    <d v="2023-07-04T19:00:59"/>
    <s v="Y"/>
    <s v="Exceptional Travel"/>
    <s v="Public Law Children"/>
    <s v="Advocacy"/>
    <s v="Jas Tamber"/>
    <s v="Y"/>
    <n v="32.04"/>
    <n v="6.41"/>
    <x v="1"/>
    <s v="VALIDATED"/>
    <n v="1"/>
    <s v="01.11.80.308.6100.0000"/>
    <n v="32.04"/>
    <s v="11"/>
    <s v="6100"/>
    <n v="30594.15"/>
    <n v="32.04"/>
    <s v="CREDITOR"/>
    <n v="0"/>
    <n v="0"/>
    <n v="0"/>
    <n v="0"/>
    <n v="32.04"/>
  </r>
  <r>
    <n v="61327437"/>
    <s v="N"/>
    <n v="21320909"/>
    <s v="3000015480450009"/>
    <s v="CIVIL"/>
    <d v="2023-06-28T00:00:00"/>
    <d v="2023-07-03T19:04:52"/>
    <m/>
    <d v="2023-07-03T00:00:00"/>
    <n v="1205"/>
    <n v="18696"/>
    <s v="61327437"/>
    <s v="61327437"/>
    <m/>
    <m/>
    <n v="22780136"/>
    <m/>
    <m/>
    <m/>
    <s v="SOLPOA"/>
    <s v="SOLPOA"/>
    <s v="CCMS"/>
    <n v="21320909"/>
    <n v="597.6799999999999"/>
    <m/>
    <s v="N"/>
    <n v="1"/>
    <d v="2023-07-03T19:04:57"/>
    <s v="N"/>
    <s v="Expert Cost"/>
    <s v="Expert Cost"/>
    <s v="Expert Disbursement"/>
    <s v="I Griffith"/>
    <s v="N"/>
    <n v="498.07"/>
    <n v="99.61"/>
    <x v="3"/>
    <s v="VALIDATED"/>
    <n v="1"/>
    <s v="01.11.80.308.2012.0000"/>
    <n v="498.07"/>
    <s v="11"/>
    <s v="2012"/>
    <n v="30594.15"/>
    <n v="498.07"/>
    <s v="CREDITOR"/>
    <n v="498.07"/>
    <n v="0"/>
    <n v="0"/>
    <n v="0"/>
    <n v="0"/>
  </r>
  <r>
    <n v="60867047"/>
    <s v="N"/>
    <n v="21349869"/>
    <s v="3000015089740008"/>
    <s v="CIVIL"/>
    <d v="2023-06-26T00:00:00"/>
    <d v="2023-07-10T19:01:40"/>
    <m/>
    <d v="2023-07-10T00:00:00"/>
    <n v="1205"/>
    <n v="18696"/>
    <s v="60867047"/>
    <s v="60867047"/>
    <m/>
    <m/>
    <n v="22762804"/>
    <m/>
    <m/>
    <m/>
    <s v="SOLFIN"/>
    <s v="SOLFIN"/>
    <s v="CCMS"/>
    <n v="21349869"/>
    <n v="11255.82"/>
    <m/>
    <s v="N"/>
    <n v="12"/>
    <d v="2023-07-10T19:02:01"/>
    <s v="Y"/>
    <s v="Hearing Unit 2.31 - 5.00 Hours"/>
    <s v="Public Law Children"/>
    <s v="Advocacy"/>
    <s v="Charlotte Raybould"/>
    <s v="Y"/>
    <n v="476.92"/>
    <n v="95.38"/>
    <x v="2"/>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84"/>
    <d v="2023-07-07T19:03:15"/>
    <s v="Y"/>
    <s v="Hearing Unit 2.31 - 5.00 Hours"/>
    <s v="Public Law Children"/>
    <s v="Advocacy"/>
    <s v="Charlotte Raybould"/>
    <s v="Y"/>
    <n v="476.92"/>
    <n v="95.38"/>
    <x v="9"/>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19"/>
    <d v="2023-07-07T19:03:15"/>
    <s v="Y"/>
    <s v="Preparation - drafting consent orde"/>
    <s v="Care Remuneration Hourly Rates"/>
    <s v="Profit Cost"/>
    <s v="Eliot Brooke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43"/>
    <d v="2023-07-07T19:03:15"/>
    <s v="Y"/>
    <s v="Attendance upon/with Counsel at Con"/>
    <s v="Care Remuneration Hourly Rates"/>
    <s v="Profit Cost"/>
    <s v="Anna Cooper"/>
    <s v="Y"/>
    <n v="29.4"/>
    <n v="5.88"/>
    <x v="9"/>
    <s v="VALIDATED"/>
    <n v="1"/>
    <s v="01.11.80.308.6100.0000"/>
    <n v="29.4"/>
    <s v="11"/>
    <s v="6100"/>
    <n v="30594.15"/>
    <n v="29.4"/>
    <s v="CREDITOR"/>
    <n v="0"/>
    <n v="0"/>
    <n v="0"/>
    <n v="0"/>
    <n v="29.4"/>
  </r>
  <r>
    <n v="48504544"/>
    <s v="N"/>
    <n v="21344092"/>
    <s v="3000012074710009"/>
    <s v="CIVIL"/>
    <d v="2023-06-29T00:00:00"/>
    <d v="2023-07-07T19:03:00"/>
    <m/>
    <d v="2023-07-07T00:00:00"/>
    <n v="1205"/>
    <n v="18696"/>
    <s v="48504544"/>
    <s v="48504544"/>
    <m/>
    <m/>
    <n v="22787308"/>
    <m/>
    <m/>
    <m/>
    <s v="SOLFIN"/>
    <s v="SOLFIN"/>
    <s v="CCMS"/>
    <n v="21344092"/>
    <n v="5824.29"/>
    <m/>
    <s v="N"/>
    <n v="28"/>
    <d v="2023-07-07T19:03:23"/>
    <s v="Y"/>
    <s v="Advocacy - Directions Hearing"/>
    <s v="Prescribed Hourly Rates"/>
    <s v="Advocacy"/>
    <s v="Charlotte Raybould"/>
    <s v="Y"/>
    <n v="26.08"/>
    <n v="5.22"/>
    <x v="9"/>
    <s v="VALIDATED"/>
    <n v="1"/>
    <s v="01.11.80.307.6100.0000"/>
    <n v="26.08"/>
    <s v="11"/>
    <s v="6100"/>
    <n v="30594.15"/>
    <n v="26.08"/>
    <s v="CREDITOR"/>
    <n v="0"/>
    <n v="0"/>
    <n v="0"/>
    <n v="0"/>
    <n v="26.08"/>
  </r>
  <r>
    <n v="60740536"/>
    <s v="N"/>
    <n v="21343872"/>
    <s v="3000014983190011"/>
    <s v="CIVIL"/>
    <d v="2023-06-27T00:00:00"/>
    <d v="2023-07-07T19:03:00"/>
    <m/>
    <d v="2023-07-07T00:00:00"/>
    <n v="1205"/>
    <n v="18696"/>
    <s v="60740536"/>
    <s v="60740536"/>
    <m/>
    <m/>
    <n v="22766106"/>
    <m/>
    <m/>
    <m/>
    <s v="SOLFIN"/>
    <s v="SOLFIN"/>
    <s v="CCMS"/>
    <n v="21343872"/>
    <n v="13395.68"/>
    <m/>
    <s v="N"/>
    <n v="38"/>
    <d v="2023-07-07T19:03:15"/>
    <s v="Y"/>
    <s v="Preparation - drafting consent orde"/>
    <s v="Care Remuneration Hourly Rates"/>
    <s v="Profit Cost"/>
    <s v="Eliot Brookes"/>
    <s v="Y"/>
    <n v="21.03"/>
    <n v="4.21"/>
    <x v="9"/>
    <s v="VALIDATED"/>
    <n v="1"/>
    <s v="01.11.80.308.6100.0000"/>
    <n v="21.03"/>
    <s v="11"/>
    <s v="6100"/>
    <n v="30594.15"/>
    <n v="21.03"/>
    <s v="CREDITOR"/>
    <n v="0"/>
    <n v="0"/>
    <n v="0"/>
    <n v="0"/>
    <n v="21.03"/>
  </r>
  <r>
    <n v="48504544"/>
    <s v="N"/>
    <n v="21344092"/>
    <s v="3000012074710009"/>
    <s v="CIVIL"/>
    <d v="2023-06-29T00:00:00"/>
    <d v="2023-07-07T19:03:00"/>
    <m/>
    <d v="2023-07-07T00:00:00"/>
    <n v="1205"/>
    <n v="18696"/>
    <s v="48504544"/>
    <s v="48504544"/>
    <m/>
    <m/>
    <n v="22787308"/>
    <m/>
    <m/>
    <m/>
    <s v="SOLFIN"/>
    <s v="SOLFIN"/>
    <s v="CCMS"/>
    <n v="21344092"/>
    <n v="5824.29"/>
    <m/>
    <s v="N"/>
    <n v="4"/>
    <d v="2023-07-07T19:03:23"/>
    <s v="Y"/>
    <s v="Preparation - other"/>
    <s v="Prescribed Hourly Rates"/>
    <s v="Profit Cost"/>
    <s v="Penny Dukes"/>
    <s v="Y"/>
    <n v="16.47"/>
    <n v="3.29"/>
    <x v="9"/>
    <s v="VALIDATED"/>
    <n v="1"/>
    <s v="01.11.80.307.6100.0000"/>
    <n v="16.47"/>
    <s v="11"/>
    <s v="6100"/>
    <n v="30594.15"/>
    <n v="16.47"/>
    <s v="CREDITOR"/>
    <n v="0"/>
    <n v="0"/>
    <n v="0"/>
    <n v="0"/>
    <n v="16.47"/>
  </r>
  <r>
    <n v="54813547"/>
    <s v="N"/>
    <n v="21338270"/>
    <s v="3000013038820008"/>
    <s v="CIVIL"/>
    <d v="2023-06-27T00:00:00"/>
    <d v="2023-07-06T19:21:01"/>
    <m/>
    <d v="2023-07-06T00:00:00"/>
    <n v="1205"/>
    <n v="18696"/>
    <s v="54813547"/>
    <s v="54813547"/>
    <m/>
    <m/>
    <n v="22769992"/>
    <m/>
    <m/>
    <m/>
    <s v="SOLFIN"/>
    <s v="SOLFIN"/>
    <s v="CCMS"/>
    <n v="21338270"/>
    <n v="24252.38"/>
    <m/>
    <s v="N"/>
    <n v="101"/>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54813547"/>
    <s v="N"/>
    <n v="21338270"/>
    <s v="3000013038820008"/>
    <s v="CIVIL"/>
    <d v="2023-06-27T00:00:00"/>
    <d v="2023-07-06T19:21:01"/>
    <m/>
    <d v="2023-07-06T00:00:00"/>
    <n v="1205"/>
    <n v="18696"/>
    <s v="54813547"/>
    <s v="54813547"/>
    <m/>
    <m/>
    <n v="22769992"/>
    <m/>
    <m/>
    <m/>
    <s v="SOLFIN"/>
    <s v="SOLFIN"/>
    <s v="CCMS"/>
    <n v="21338270"/>
    <n v="24252.38"/>
    <m/>
    <s v="N"/>
    <n v="16"/>
    <d v="2023-07-06T19:21:15"/>
    <s v="Y"/>
    <s v="Preparation - drafting consent orde"/>
    <s v="Care Remuneration Hourly Rates"/>
    <s v="Profit Cost"/>
    <s v="Charlotte Raybould"/>
    <s v="Y"/>
    <n v="22.23"/>
    <n v="4.45"/>
    <x v="4"/>
    <s v="VALIDATED"/>
    <n v="1"/>
    <s v="01.11.80.308.6100.0000"/>
    <n v="22.23"/>
    <s v="11"/>
    <s v="6100"/>
    <n v="30594.15"/>
    <n v="22.23"/>
    <s v="CREDITOR"/>
    <n v="0"/>
    <n v="0"/>
    <n v="0"/>
    <n v="0"/>
    <n v="22.23"/>
  </r>
  <r>
    <n v="54813547"/>
    <s v="N"/>
    <n v="21338270"/>
    <s v="3000013038820008"/>
    <s v="CIVIL"/>
    <d v="2023-06-27T00:00:00"/>
    <d v="2023-07-06T19:21:01"/>
    <m/>
    <d v="2023-07-06T00:00:00"/>
    <n v="1205"/>
    <n v="18696"/>
    <s v="54813547"/>
    <s v="54813547"/>
    <m/>
    <m/>
    <n v="22769992"/>
    <m/>
    <m/>
    <m/>
    <s v="SOLFIN"/>
    <s v="SOLFIN"/>
    <s v="CCMS"/>
    <n v="21338270"/>
    <n v="24252.38"/>
    <m/>
    <s v="N"/>
    <n v="46"/>
    <d v="2023-07-06T19:21:15"/>
    <s v="Y"/>
    <s v="Routine Letter Out"/>
    <s v="Care Remuneration Hourly Rates"/>
    <s v="Profit Cost"/>
    <s v="Anna Cooper"/>
    <s v="Y"/>
    <n v="92.25"/>
    <n v="18.45"/>
    <x v="4"/>
    <s v="VALIDATED"/>
    <n v="1"/>
    <s v="01.11.80.308.6100.0000"/>
    <n v="92.25"/>
    <s v="11"/>
    <s v="6100"/>
    <n v="30594.15"/>
    <n v="92.25"/>
    <s v="CREDITOR"/>
    <n v="0"/>
    <n v="0"/>
    <n v="0"/>
    <n v="0"/>
    <n v="92.25"/>
  </r>
  <r>
    <n v="60744883"/>
    <s v="N"/>
    <n v="21330927"/>
    <s v="3000014987240008"/>
    <s v="CIVIL"/>
    <d v="2023-06-22T00:00:00"/>
    <d v="2023-07-05T19:01:47"/>
    <m/>
    <d v="2023-07-05T00:00:00"/>
    <n v="1205"/>
    <n v="18696"/>
    <s v="60744883"/>
    <s v="60744883"/>
    <m/>
    <m/>
    <n v="22745992"/>
    <m/>
    <m/>
    <m/>
    <s v="SOLFIN"/>
    <s v="SOLFIN"/>
    <s v="CCMS"/>
    <n v="21330927"/>
    <n v="13790.5"/>
    <m/>
    <s v="N"/>
    <n v="36"/>
    <d v="2023-07-05T19:01:57"/>
    <s v="Y"/>
    <s v="Preparation - other"/>
    <s v="Care Remuneration Hourly Rates"/>
    <s v="Profit Cost"/>
    <s v="Alix Reynolds"/>
    <s v="Y"/>
    <n v="65.70999999999999"/>
    <n v="13.14"/>
    <x v="6"/>
    <s v="VALIDATED"/>
    <n v="1"/>
    <s v="01.11.80.308.6100.0000"/>
    <n v="65.70999999999999"/>
    <s v="11"/>
    <s v="6100"/>
    <n v="30594.15"/>
    <n v="65.70999999999999"/>
    <s v="CREDITOR"/>
    <n v="0"/>
    <n v="0"/>
    <n v="0"/>
    <n v="0"/>
    <n v="65.70999999999999"/>
  </r>
  <r>
    <n v="60744883"/>
    <s v="N"/>
    <n v="21330927"/>
    <s v="3000014987240008"/>
    <s v="CIVIL"/>
    <d v="2023-06-22T00:00:00"/>
    <d v="2023-07-05T19:01:47"/>
    <m/>
    <d v="2023-07-05T00:00:00"/>
    <n v="1205"/>
    <n v="18696"/>
    <s v="60744883"/>
    <s v="60744883"/>
    <m/>
    <m/>
    <n v="22745992"/>
    <m/>
    <m/>
    <m/>
    <s v="SOLFIN"/>
    <s v="SOLFIN"/>
    <s v="CCMS"/>
    <n v="21330927"/>
    <n v="13790.5"/>
    <m/>
    <s v="N"/>
    <n v="64"/>
    <d v="2023-07-05T19:01:57"/>
    <s v="Y"/>
    <s v="Preparation - other"/>
    <s v="Care Remuneration Hourly Rates"/>
    <s v="Profit Cost"/>
    <s v="Alix Reynolds"/>
    <s v="Y"/>
    <n v="39.43"/>
    <n v="7.89"/>
    <x v="6"/>
    <s v="VALIDATED"/>
    <n v="1"/>
    <s v="01.11.80.308.6100.0000"/>
    <n v="39.43"/>
    <s v="11"/>
    <s v="6100"/>
    <n v="30594.15"/>
    <n v="39.43"/>
    <s v="CREDITOR"/>
    <n v="0"/>
    <n v="0"/>
    <n v="0"/>
    <n v="0"/>
    <n v="39.43"/>
  </r>
  <r>
    <n v="60631907"/>
    <s v="N"/>
    <n v="21331360"/>
    <s v="3000014878960007"/>
    <s v="CIVIL"/>
    <d v="2023-06-28T00:00:00"/>
    <d v="2023-07-05T19:01:47"/>
    <m/>
    <d v="2023-07-05T00:00:00"/>
    <n v="1205"/>
    <n v="18696"/>
    <s v="60631907"/>
    <s v="60631907"/>
    <m/>
    <m/>
    <n v="22783676"/>
    <m/>
    <m/>
    <m/>
    <s v="SOLFIN"/>
    <s v="SOLFIN"/>
    <s v="CCMS"/>
    <n v="21331360"/>
    <n v="9637.15"/>
    <m/>
    <s v="N"/>
    <n v="31"/>
    <d v="2023-07-05T19:02:16"/>
    <s v="Y"/>
    <s v="Travel to court"/>
    <s v="Prescribed Hourly Rates"/>
    <s v="Profit Cost"/>
    <s v="Shrinder Chaggar"/>
    <s v="Y"/>
    <n v="11.16"/>
    <n v="2.23"/>
    <x v="6"/>
    <s v="VALIDATED"/>
    <n v="1"/>
    <s v="01.11.80.307.6100.0000"/>
    <n v="11.16"/>
    <s v="11"/>
    <s v="6100"/>
    <n v="30594.15"/>
    <n v="11.16"/>
    <s v="CREDITOR"/>
    <n v="0"/>
    <n v="0"/>
    <n v="0"/>
    <n v="0"/>
    <n v="11.16"/>
  </r>
  <r>
    <n v="60631907"/>
    <s v="N"/>
    <n v="21331360"/>
    <s v="3000014878960007"/>
    <s v="CIVIL"/>
    <d v="2023-06-28T00:00:00"/>
    <d v="2023-07-05T19:01:47"/>
    <m/>
    <d v="2023-07-05T00:00:00"/>
    <n v="1205"/>
    <n v="18696"/>
    <s v="60631907"/>
    <s v="60631907"/>
    <m/>
    <m/>
    <n v="22783676"/>
    <m/>
    <m/>
    <m/>
    <s v="SOLFIN"/>
    <s v="SOLFIN"/>
    <s v="CCMS"/>
    <n v="21331360"/>
    <n v="9637.15"/>
    <m/>
    <s v="N"/>
    <n v="60"/>
    <d v="2023-07-05T19:02:16"/>
    <s v="Y"/>
    <s v="Preparation - drafting statement"/>
    <s v="Prescribed Hourly Rates"/>
    <s v="Profit Cost"/>
    <s v="Andrew Crumpton"/>
    <s v="Y"/>
    <n v="102.94"/>
    <n v="20.59"/>
    <x v="6"/>
    <s v="VALIDATED"/>
    <n v="1"/>
    <s v="01.11.80.307.6100.0000"/>
    <n v="102.94"/>
    <s v="11"/>
    <s v="6100"/>
    <n v="30594.15"/>
    <n v="102.94"/>
    <s v="CREDITOR"/>
    <n v="0"/>
    <n v="0"/>
    <n v="0"/>
    <n v="0"/>
    <n v="102.94"/>
  </r>
  <r>
    <n v="62064082"/>
    <s v="N"/>
    <n v="21338470"/>
    <s v="3000016093980002"/>
    <s v="CIVIL"/>
    <d v="2023-06-30T00:00:00"/>
    <d v="2023-07-06T19:21:01"/>
    <m/>
    <d v="2023-07-06T00:00:00"/>
    <n v="1205"/>
    <n v="18696"/>
    <s v="62064082"/>
    <s v="62064082"/>
    <m/>
    <m/>
    <n v="22795524"/>
    <m/>
    <m/>
    <m/>
    <s v="SOLFIN"/>
    <s v="SOLFIN"/>
    <s v="CCMS"/>
    <n v="21338470"/>
    <n v="4130.93"/>
    <m/>
    <s v="N"/>
    <n v="2"/>
    <d v="2023-07-06T19:21:26"/>
    <s v="Y"/>
    <s v="Hearing Unit 2.31 - 5.00 Hours"/>
    <s v="Public Law Children"/>
    <s v="Advocacy"/>
    <s v="Madhur Sharma"/>
    <s v="Y"/>
    <n v="476.92"/>
    <n v="95.38"/>
    <x v="4"/>
    <s v="VALIDATED"/>
    <n v="1"/>
    <s v="01.11.80.308.6100.0000"/>
    <n v="476.92"/>
    <s v="11"/>
    <s v="6100"/>
    <n v="30594.15"/>
    <n v="476.92"/>
    <s v="CREDITOR"/>
    <n v="0"/>
    <n v="0"/>
    <n v="0"/>
    <n v="0"/>
    <n v="476.92"/>
  </r>
  <r>
    <n v="54813547"/>
    <s v="N"/>
    <n v="21338270"/>
    <s v="3000013038820008"/>
    <s v="CIVIL"/>
    <d v="2023-06-27T00:00:00"/>
    <d v="2023-07-06T19:21:01"/>
    <m/>
    <d v="2023-07-06T00:00:00"/>
    <n v="1205"/>
    <n v="18696"/>
    <s v="54813547"/>
    <s v="54813547"/>
    <m/>
    <m/>
    <n v="22769992"/>
    <m/>
    <m/>
    <m/>
    <s v="SOLFIN"/>
    <s v="SOLFIN"/>
    <s v="CCMS"/>
    <n v="21338270"/>
    <n v="24252.38"/>
    <m/>
    <s v="N"/>
    <n v="103"/>
    <d v="2023-07-06T19:21:15"/>
    <s v="Y"/>
    <s v="Hearing Unit 2.31 - 5.00 Hours"/>
    <s v="Public Law Children"/>
    <s v="Advocacy"/>
    <s v="Charlotte Raybould"/>
    <s v="Y"/>
    <n v="476.92"/>
    <n v="95.38"/>
    <x v="4"/>
    <s v="VALIDATED"/>
    <n v="1"/>
    <s v="01.11.80.308.6100.0000"/>
    <n v="476.92"/>
    <s v="11"/>
    <s v="6100"/>
    <n v="30594.15"/>
    <n v="476.92"/>
    <s v="CREDITOR"/>
    <n v="0"/>
    <n v="0"/>
    <n v="0"/>
    <n v="0"/>
    <n v="476.92"/>
  </r>
  <r>
    <n v="54813547"/>
    <s v="N"/>
    <n v="21338270"/>
    <s v="3000013038820008"/>
    <s v="CIVIL"/>
    <d v="2023-06-27T00:00:00"/>
    <d v="2023-07-06T19:21:01"/>
    <m/>
    <d v="2023-07-06T00:00:00"/>
    <n v="1205"/>
    <n v="18696"/>
    <s v="54813547"/>
    <s v="54813547"/>
    <m/>
    <m/>
    <n v="22769992"/>
    <m/>
    <m/>
    <m/>
    <s v="SOLFIN"/>
    <s v="SOLFIN"/>
    <s v="CCMS"/>
    <n v="21338270"/>
    <n v="24252.38"/>
    <m/>
    <s v="N"/>
    <n v="106"/>
    <d v="2023-07-06T19:21:15"/>
    <s v="Y"/>
    <s v="Hearing Unit 2.31 - 5.00 Hours"/>
    <s v="Public Law Children"/>
    <s v="Advocacy"/>
    <s v="Charlotte Raybould"/>
    <s v="Y"/>
    <n v="476.92"/>
    <n v="95.38"/>
    <x v="4"/>
    <s v="VALIDATED"/>
    <n v="1"/>
    <s v="01.11.80.308.6100.0000"/>
    <n v="476.92"/>
    <s v="11"/>
    <s v="6100"/>
    <n v="30594.15"/>
    <n v="476.92"/>
    <s v="CREDITOR"/>
    <n v="0"/>
    <n v="0"/>
    <n v="0"/>
    <n v="0"/>
    <n v="476.92"/>
  </r>
  <r>
    <n v="60631907"/>
    <s v="N"/>
    <n v="21331360"/>
    <s v="3000014878960007"/>
    <s v="CIVIL"/>
    <d v="2023-06-28T00:00:00"/>
    <d v="2023-07-05T19:01:47"/>
    <m/>
    <d v="2023-07-05T00:00:00"/>
    <n v="1205"/>
    <n v="18696"/>
    <s v="60631907"/>
    <s v="60631907"/>
    <m/>
    <m/>
    <n v="22783676"/>
    <m/>
    <m/>
    <m/>
    <s v="SOLFIN"/>
    <s v="SOLFIN"/>
    <s v="CCMS"/>
    <n v="21331360"/>
    <n v="9637.15"/>
    <m/>
    <s v="N"/>
    <n v="78"/>
    <d v="2023-07-05T19:02:16"/>
    <s v="Y"/>
    <s v="Preparation - other"/>
    <s v="Prescribed Hourly Rates"/>
    <s v="Profit Cost"/>
    <s v="Andrew Crumpton"/>
    <s v="Y"/>
    <n v="137.25"/>
    <n v="27.45"/>
    <x v="6"/>
    <s v="VALIDATED"/>
    <n v="1"/>
    <s v="01.11.80.307.6100.0000"/>
    <n v="137.25"/>
    <s v="11"/>
    <s v="6100"/>
    <n v="30594.15"/>
    <n v="137.25"/>
    <s v="CREDITOR"/>
    <n v="0"/>
    <n v="0"/>
    <n v="0"/>
    <n v="0"/>
    <n v="137.25"/>
  </r>
  <r>
    <n v="62166046"/>
    <s v="N"/>
    <n v="21321025"/>
    <s v="3000016180790003"/>
    <s v="CIVIL"/>
    <d v="2023-06-28T00:00:00"/>
    <d v="2023-07-03T19:04:52"/>
    <m/>
    <d v="2023-07-03T00:00:00"/>
    <n v="1205"/>
    <n v="18696"/>
    <s v="62166046"/>
    <s v="62166046"/>
    <m/>
    <m/>
    <n v="22781554"/>
    <m/>
    <m/>
    <m/>
    <s v="SOLPOA"/>
    <s v="SOLPOA"/>
    <s v="CCMS"/>
    <n v="21321025"/>
    <n v="217.2"/>
    <m/>
    <s v="N"/>
    <n v="1"/>
    <d v="2023-07-03T19:04:57"/>
    <s v="N"/>
    <s v="Expert Cost"/>
    <s v="Expert Cost"/>
    <s v="Expert Disbursement"/>
    <s v="P Nursall"/>
    <s v="N"/>
    <n v="181"/>
    <n v="36.2"/>
    <x v="3"/>
    <s v="VALIDATED"/>
    <n v="1"/>
    <s v="01.11.80.308.2012.0000"/>
    <n v="181"/>
    <s v="11"/>
    <s v="2012"/>
    <n v="30594.15"/>
    <n v="181"/>
    <s v="CREDITOR"/>
    <n v="181"/>
    <n v="0"/>
    <n v="0"/>
    <n v="0"/>
    <n v="0"/>
  </r>
  <r>
    <n v="60740536"/>
    <s v="N"/>
    <n v="21343872"/>
    <s v="3000014983190011"/>
    <s v="CIVIL"/>
    <d v="2023-06-27T00:00:00"/>
    <d v="2023-07-07T19:03:00"/>
    <m/>
    <d v="2023-07-07T00:00:00"/>
    <n v="1205"/>
    <n v="18696"/>
    <s v="60740536"/>
    <s v="60740536"/>
    <m/>
    <m/>
    <n v="22766106"/>
    <m/>
    <m/>
    <m/>
    <s v="SOLFIN"/>
    <s v="SOLFIN"/>
    <s v="CCMS"/>
    <n v="21343872"/>
    <n v="13395.68"/>
    <m/>
    <s v="N"/>
    <n v="35"/>
    <d v="2023-07-07T19:03:15"/>
    <s v="Y"/>
    <s v="Preparation - drafting instructions"/>
    <s v="Care Remuneration Hourly Rates"/>
    <s v="Profit Cost"/>
    <s v="Charlotte Raybould"/>
    <s v="Y"/>
    <n v="90.69"/>
    <n v="18.14"/>
    <x v="9"/>
    <s v="VALIDATED"/>
    <n v="1"/>
    <s v="01.11.80.308.6100.0000"/>
    <n v="90.69"/>
    <s v="11"/>
    <s v="6100"/>
    <n v="30594.15"/>
    <n v="90.69"/>
    <s v="CREDITOR"/>
    <n v="0"/>
    <n v="0"/>
    <n v="0"/>
    <n v="0"/>
    <n v="90.69"/>
  </r>
  <r>
    <n v="60740536"/>
    <s v="N"/>
    <n v="21343872"/>
    <s v="3000014983190011"/>
    <s v="CIVIL"/>
    <d v="2023-06-27T00:00:00"/>
    <d v="2023-07-07T19:03:00"/>
    <m/>
    <d v="2023-07-07T00:00:00"/>
    <n v="1205"/>
    <n v="18696"/>
    <s v="60740536"/>
    <s v="60740536"/>
    <m/>
    <m/>
    <n v="22766106"/>
    <m/>
    <m/>
    <m/>
    <s v="SOLFIN"/>
    <s v="SOLFIN"/>
    <s v="CCMS"/>
    <n v="21343872"/>
    <n v="13395.68"/>
    <m/>
    <s v="N"/>
    <n v="60"/>
    <d v="2023-07-07T19:03:15"/>
    <s v="Y"/>
    <s v="Preparation - drafting statement"/>
    <s v="Care Remuneration Hourly Rates"/>
    <s v="Profit Cost"/>
    <s v="Charlotte Raybould"/>
    <s v="Y"/>
    <n v="48.37"/>
    <n v="9.67"/>
    <x v="9"/>
    <s v="VALIDATED"/>
    <n v="1"/>
    <s v="01.11.80.308.6100.0000"/>
    <n v="48.37"/>
    <s v="11"/>
    <s v="6100"/>
    <n v="30594.15"/>
    <n v="48.37"/>
    <s v="CREDITOR"/>
    <n v="0"/>
    <n v="0"/>
    <n v="0"/>
    <n v="0"/>
    <n v="48.37"/>
  </r>
  <r>
    <n v="60773030"/>
    <s v="N"/>
    <n v="21344084"/>
    <s v="3000015011890006"/>
    <s v="CIVIL"/>
    <d v="2023-06-29T00:00:00"/>
    <d v="2023-07-07T19:03:00"/>
    <m/>
    <d v="2023-07-07T00:00:00"/>
    <n v="1205"/>
    <n v="18696"/>
    <s v="60773030"/>
    <s v="60773030"/>
    <m/>
    <m/>
    <n v="22785194"/>
    <m/>
    <m/>
    <m/>
    <s v="SOLFIN"/>
    <s v="SOLFIN"/>
    <s v="CCMS"/>
    <n v="21344084"/>
    <n v="3274.89"/>
    <m/>
    <s v="N"/>
    <n v="19"/>
    <d v="2023-07-07T19:03:23"/>
    <s v="Y"/>
    <s v="Report - other"/>
    <s v="Prescribed Hourly Rates"/>
    <s v="Profit Cost"/>
    <s v="Penny Dukes"/>
    <s v="Y"/>
    <n v="5.49"/>
    <n v="1.1"/>
    <x v="9"/>
    <s v="VALIDATED"/>
    <n v="1"/>
    <s v="01.11.80.307.6100.0000"/>
    <n v="5.49"/>
    <s v="11"/>
    <s v="6100"/>
    <n v="30594.15"/>
    <n v="5.49"/>
    <s v="CREDITOR"/>
    <n v="0"/>
    <n v="0"/>
    <n v="0"/>
    <n v="0"/>
    <n v="5.49"/>
  </r>
  <r>
    <n v="48504544"/>
    <s v="N"/>
    <n v="21344092"/>
    <s v="3000012074710009"/>
    <s v="CIVIL"/>
    <d v="2023-06-29T00:00:00"/>
    <d v="2023-07-07T19:03:00"/>
    <m/>
    <d v="2023-07-07T00:00:00"/>
    <n v="1205"/>
    <n v="18696"/>
    <s v="48504544"/>
    <s v="48504544"/>
    <m/>
    <m/>
    <n v="22787308"/>
    <m/>
    <m/>
    <m/>
    <s v="SOLFIN"/>
    <s v="SOLFIN"/>
    <s v="CCMS"/>
    <n v="21344092"/>
    <n v="5824.29"/>
    <m/>
    <s v="N"/>
    <n v="8"/>
    <d v="2023-07-07T19:03:23"/>
    <s v="Y"/>
    <s v="Preparation - drafting statement"/>
    <s v="Prescribed Hourly Rates"/>
    <s v="Profit Cost"/>
    <s v="Charlotte Raybould"/>
    <s v="Y"/>
    <n v="50.51"/>
    <n v="10.1"/>
    <x v="9"/>
    <s v="VALIDATED"/>
    <n v="1"/>
    <s v="01.11.80.307.6100.0000"/>
    <n v="50.51"/>
    <s v="11"/>
    <s v="6100"/>
    <n v="30594.15"/>
    <n v="50.51"/>
    <s v="CREDITOR"/>
    <n v="0"/>
    <n v="0"/>
    <n v="0"/>
    <n v="0"/>
    <n v="50.51"/>
  </r>
  <r>
    <n v="54813547"/>
    <s v="N"/>
    <n v="21338270"/>
    <s v="3000013038820008"/>
    <s v="CIVIL"/>
    <d v="2023-06-27T00:00:00"/>
    <d v="2023-07-06T19:21:01"/>
    <m/>
    <d v="2023-07-06T00:00:00"/>
    <n v="1205"/>
    <n v="18696"/>
    <s v="54813547"/>
    <s v="54813547"/>
    <m/>
    <m/>
    <n v="22769992"/>
    <m/>
    <m/>
    <m/>
    <s v="SOLFIN"/>
    <s v="SOLFIN"/>
    <s v="CCMS"/>
    <n v="21338270"/>
    <n v="24252.38"/>
    <m/>
    <s v="N"/>
    <n v="20"/>
    <d v="2023-07-06T19:21:15"/>
    <s v="Y"/>
    <s v="Preparation - other"/>
    <s v="Care Remuneration Hourly Rates"/>
    <s v="Profit Cost"/>
    <s v="Anna Cooper"/>
    <s v="Y"/>
    <n v="22.23"/>
    <n v="4.45"/>
    <x v="4"/>
    <s v="VALIDATED"/>
    <n v="1"/>
    <s v="01.11.80.308.6100.0000"/>
    <n v="22.23"/>
    <s v="11"/>
    <s v="6100"/>
    <n v="30594.15"/>
    <n v="22.23"/>
    <s v="CREDITOR"/>
    <n v="0"/>
    <n v="0"/>
    <n v="0"/>
    <n v="0"/>
    <n v="22.23"/>
  </r>
  <r>
    <n v="60631907"/>
    <s v="N"/>
    <n v="21331360"/>
    <s v="3000014878960007"/>
    <s v="CIVIL"/>
    <d v="2023-06-28T00:00:00"/>
    <d v="2023-07-05T19:01:47"/>
    <m/>
    <d v="2023-07-05T00:00:00"/>
    <n v="1205"/>
    <n v="18696"/>
    <s v="60631907"/>
    <s v="60631907"/>
    <m/>
    <m/>
    <n v="22783676"/>
    <m/>
    <m/>
    <m/>
    <s v="SOLFIN"/>
    <s v="SOLFIN"/>
    <s v="CCMS"/>
    <n v="21331360"/>
    <n v="9637.15"/>
    <m/>
    <s v="N"/>
    <n v="48"/>
    <d v="2023-07-05T19:02:16"/>
    <s v="Y"/>
    <s v="Preparation - drafting statement"/>
    <s v="Prescribed Hourly Rates"/>
    <s v="Profit Cost"/>
    <s v="Andrew Crumpton"/>
    <s v="Y"/>
    <n v="205.88"/>
    <n v="41.18"/>
    <x v="6"/>
    <s v="VALIDATED"/>
    <n v="1"/>
    <s v="01.11.80.307.6100.0000"/>
    <n v="205.88"/>
    <s v="11"/>
    <s v="6100"/>
    <n v="30594.15"/>
    <n v="205.88"/>
    <s v="CREDITOR"/>
    <n v="0"/>
    <n v="0"/>
    <n v="0"/>
    <n v="0"/>
    <n v="205.88"/>
  </r>
  <r>
    <n v="61764866"/>
    <s v="N"/>
    <n v="21327940"/>
    <s v="3000015843050003"/>
    <s v="CIVIL"/>
    <d v="2023-06-23T00:00:00"/>
    <d v="2023-07-04T19:00:44"/>
    <m/>
    <d v="2023-07-04T00:00:00"/>
    <n v="1205"/>
    <n v="18696"/>
    <s v="61764866"/>
    <s v="61764866"/>
    <m/>
    <m/>
    <n v="22755034"/>
    <m/>
    <m/>
    <m/>
    <s v="SOLFIN"/>
    <s v="SOLFIN"/>
    <s v="CCMS"/>
    <n v="21327940"/>
    <n v="4431.26"/>
    <m/>
    <s v="N"/>
    <n v="8"/>
    <d v="2023-07-04T19:00:59"/>
    <s v="Y"/>
    <s v="Solicitors Fixed Fee"/>
    <s v="Public Law Children"/>
    <s v="Profit Cost"/>
    <s v="Jas Tamber"/>
    <s v="Y"/>
    <n v="1754"/>
    <n v="350.8"/>
    <x v="1"/>
    <s v="VALIDATED"/>
    <n v="1"/>
    <s v="01.11.80.308.6100.0000"/>
    <n v="1754"/>
    <s v="11"/>
    <s v="6100"/>
    <n v="30594.15"/>
    <n v="1754"/>
    <s v="CREDITOR"/>
    <n v="0"/>
    <n v="0"/>
    <n v="0"/>
    <n v="0"/>
    <n v="1754"/>
  </r>
  <r>
    <n v="60744883"/>
    <s v="N"/>
    <n v="21330927"/>
    <s v="3000014987240008"/>
    <s v="CIVIL"/>
    <d v="2023-06-22T00:00:00"/>
    <d v="2023-07-05T19:01:47"/>
    <m/>
    <d v="2023-07-05T00:00:00"/>
    <n v="1205"/>
    <n v="18696"/>
    <s v="60744883"/>
    <s v="60744883"/>
    <m/>
    <m/>
    <n v="22745992"/>
    <m/>
    <m/>
    <m/>
    <s v="SOLFIN"/>
    <s v="SOLFIN"/>
    <s v="CCMS"/>
    <n v="21330927"/>
    <n v="13790.5"/>
    <m/>
    <s v="N"/>
    <n v="73"/>
    <d v="2023-07-05T19:01:57"/>
    <s v="Y"/>
    <s v="Hearing Unit 2.31 - 5.00 Hours"/>
    <s v="Public Law Children"/>
    <s v="Advocacy"/>
    <s v="Narinder Singh"/>
    <s v="Y"/>
    <n v="476.92"/>
    <n v="95.38"/>
    <x v="6"/>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89"/>
    <d v="2023-07-07T19:03:15"/>
    <s v="Y"/>
    <s v="Hearing Unit 2.31 - 5.00 Hours"/>
    <s v="Public Law Children"/>
    <s v="Advocacy"/>
    <s v="Charlotte Raybould"/>
    <s v="Y"/>
    <n v="476.92"/>
    <n v="95.38"/>
    <x v="9"/>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51"/>
    <d v="2023-07-07T19:03:15"/>
    <s v="Y"/>
    <s v="Advocacy - In court behind counsel"/>
    <s v="Care Remuneration Hourly Rates"/>
    <s v="Advocacy"/>
    <s v="Anna Cooper"/>
    <s v="Y"/>
    <n v="182.28"/>
    <n v="36.46"/>
    <x v="9"/>
    <s v="VALIDATED"/>
    <n v="1"/>
    <s v="01.11.80.308.6100.0000"/>
    <n v="182.28"/>
    <s v="11"/>
    <s v="6100"/>
    <n v="30594.15"/>
    <n v="182.28"/>
    <s v="CREDITOR"/>
    <n v="0"/>
    <n v="0"/>
    <n v="0"/>
    <n v="0"/>
    <n v="182.28"/>
  </r>
  <r>
    <n v="60773030"/>
    <s v="N"/>
    <n v="21344084"/>
    <s v="3000015011890006"/>
    <s v="CIVIL"/>
    <d v="2023-06-29T00:00:00"/>
    <d v="2023-07-07T19:03:00"/>
    <m/>
    <d v="2023-07-07T00:00:00"/>
    <n v="1205"/>
    <n v="18696"/>
    <s v="60773030"/>
    <s v="60773030"/>
    <m/>
    <m/>
    <n v="22785194"/>
    <m/>
    <m/>
    <m/>
    <s v="SOLFIN"/>
    <s v="SOLFIN"/>
    <s v="CCMS"/>
    <n v="21344084"/>
    <n v="3274.89"/>
    <m/>
    <s v="N"/>
    <n v="22"/>
    <d v="2023-07-07T19:03:23"/>
    <s v="Y"/>
    <s v="Preparation - drafting statement"/>
    <s v="Prescribed Hourly Rates"/>
    <s v="Profit Cost"/>
    <s v="Narinder Singh"/>
    <s v="Y"/>
    <n v="18.94"/>
    <n v="3.79"/>
    <x v="9"/>
    <s v="VALIDATED"/>
    <n v="1"/>
    <s v="01.11.80.307.6100.0000"/>
    <n v="18.94"/>
    <s v="11"/>
    <s v="6100"/>
    <n v="30594.15"/>
    <n v="18.94"/>
    <s v="CREDITOR"/>
    <n v="0"/>
    <n v="0"/>
    <n v="0"/>
    <n v="0"/>
    <n v="18.94"/>
  </r>
  <r>
    <n v="54813547"/>
    <s v="N"/>
    <n v="21338270"/>
    <s v="3000013038820008"/>
    <s v="CIVIL"/>
    <d v="2023-06-27T00:00:00"/>
    <d v="2023-07-06T19:21:01"/>
    <m/>
    <d v="2023-07-06T00:00:00"/>
    <n v="1205"/>
    <n v="18696"/>
    <s v="54813547"/>
    <s v="54813547"/>
    <m/>
    <m/>
    <n v="22769992"/>
    <m/>
    <m/>
    <m/>
    <s v="SOLFIN"/>
    <s v="SOLFIN"/>
    <s v="CCMS"/>
    <n v="21338270"/>
    <n v="24252.38"/>
    <m/>
    <s v="N"/>
    <n v="118"/>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54813547"/>
    <s v="N"/>
    <n v="21338270"/>
    <s v="3000013038820008"/>
    <s v="CIVIL"/>
    <d v="2023-06-27T00:00:00"/>
    <d v="2023-07-06T19:21:01"/>
    <m/>
    <d v="2023-07-06T00:00:00"/>
    <n v="1205"/>
    <n v="18696"/>
    <s v="54813547"/>
    <s v="54813547"/>
    <m/>
    <m/>
    <n v="22769992"/>
    <m/>
    <m/>
    <m/>
    <s v="SOLFIN"/>
    <s v="SOLFIN"/>
    <s v="CCMS"/>
    <n v="21338270"/>
    <n v="24252.38"/>
    <m/>
    <s v="N"/>
    <n v="11"/>
    <d v="2023-07-06T19:21:15"/>
    <s v="Y"/>
    <s v="Attendance upon client"/>
    <s v="Care Remuneration Hourly Rates"/>
    <s v="Profit Cost"/>
    <s v="Charlotte Raybould"/>
    <s v="Y"/>
    <n v="46"/>
    <n v="9.199999999999999"/>
    <x v="4"/>
    <s v="VALIDATED"/>
    <n v="1"/>
    <s v="01.11.80.308.6100.0000"/>
    <n v="46"/>
    <s v="11"/>
    <s v="6100"/>
    <n v="30594.15"/>
    <n v="46"/>
    <s v="CREDITOR"/>
    <n v="0"/>
    <n v="0"/>
    <n v="0"/>
    <n v="0"/>
    <n v="46"/>
  </r>
  <r>
    <n v="60744883"/>
    <s v="N"/>
    <n v="21330927"/>
    <s v="3000014987240008"/>
    <s v="CIVIL"/>
    <d v="2023-06-22T00:00:00"/>
    <d v="2023-07-05T19:01:47"/>
    <m/>
    <d v="2023-07-05T00:00:00"/>
    <n v="1205"/>
    <n v="18696"/>
    <s v="60744883"/>
    <s v="60744883"/>
    <m/>
    <m/>
    <n v="22745992"/>
    <m/>
    <m/>
    <m/>
    <s v="SOLFIN"/>
    <s v="SOLFIN"/>
    <s v="CCMS"/>
    <n v="21330927"/>
    <n v="13790.5"/>
    <m/>
    <s v="N"/>
    <n v="4"/>
    <d v="2023-07-05T19:01:57"/>
    <s v="Y"/>
    <s v="Advocacy - In court behind counsel"/>
    <s v="Care Remuneration Hourly Rates"/>
    <s v="Advocacy"/>
    <s v="Shrinder Chaggar"/>
    <s v="Y"/>
    <n v="129.36"/>
    <n v="25.87"/>
    <x v="6"/>
    <s v="VALIDATED"/>
    <n v="1"/>
    <s v="01.11.80.308.6100.0000"/>
    <n v="129.36"/>
    <s v="11"/>
    <s v="6100"/>
    <n v="30594.15"/>
    <n v="129.36"/>
    <s v="CREDITOR"/>
    <n v="0"/>
    <n v="0"/>
    <n v="0"/>
    <n v="0"/>
    <n v="129.36"/>
  </r>
  <r>
    <n v="60631907"/>
    <s v="N"/>
    <n v="21331360"/>
    <s v="3000014878960007"/>
    <s v="CIVIL"/>
    <d v="2023-06-28T00:00:00"/>
    <d v="2023-07-05T19:01:47"/>
    <m/>
    <d v="2023-07-05T00:00:00"/>
    <n v="1205"/>
    <n v="18696"/>
    <s v="60631907"/>
    <s v="60631907"/>
    <m/>
    <m/>
    <n v="22783676"/>
    <m/>
    <m/>
    <m/>
    <s v="SOLFIN"/>
    <s v="SOLFIN"/>
    <s v="CCMS"/>
    <n v="21331360"/>
    <n v="9637.15"/>
    <m/>
    <s v="N"/>
    <n v="76"/>
    <d v="2023-07-05T19:02:16"/>
    <s v="Y"/>
    <s v="Preparation - other"/>
    <s v="Prescribed Hourly Rates"/>
    <s v="Profit Cost"/>
    <s v="Andrew Crumpton"/>
    <s v="Y"/>
    <n v="13.73"/>
    <n v="2.75"/>
    <x v="6"/>
    <s v="VALIDATED"/>
    <n v="1"/>
    <s v="01.11.80.307.6100.0000"/>
    <n v="13.73"/>
    <s v="11"/>
    <s v="6100"/>
    <n v="30594.15"/>
    <n v="13.73"/>
    <s v="CREDITOR"/>
    <n v="0"/>
    <n v="0"/>
    <n v="0"/>
    <n v="0"/>
    <n v="13.73"/>
  </r>
  <r>
    <n v="60066609"/>
    <s v="N"/>
    <n v="21350136"/>
    <s v="3000014401840008"/>
    <s v="CIVIL"/>
    <d v="2023-06-29T00:00:00"/>
    <d v="2023-07-10T19:01:40"/>
    <m/>
    <d v="2023-07-10T00:00:00"/>
    <n v="1205"/>
    <n v="18696"/>
    <s v="60066609"/>
    <s v="60066609"/>
    <m/>
    <m/>
    <n v="22788730"/>
    <m/>
    <m/>
    <m/>
    <s v="SOLFIN"/>
    <s v="SOLFIN"/>
    <s v="CCMS"/>
    <n v="21350136"/>
    <n v="7952.47"/>
    <m/>
    <s v="N"/>
    <n v="8"/>
    <d v="2023-07-10T19:02:15"/>
    <s v="Y"/>
    <s v="Hearing Unit 1.01 - 2.30 Hours"/>
    <s v="Public Law Children"/>
    <s v="Advocacy"/>
    <s v="Andrew Crumpton"/>
    <s v="Y"/>
    <n v="238.46"/>
    <n v="47.69"/>
    <x v="2"/>
    <s v="VALIDATED"/>
    <n v="1"/>
    <s v="01.11.80.308.6100.0000"/>
    <n v="238.46"/>
    <s v="11"/>
    <s v="6100"/>
    <n v="30594.15"/>
    <n v="238.46"/>
    <s v="CREDITOR"/>
    <n v="0"/>
    <n v="0"/>
    <n v="0"/>
    <n v="0"/>
    <n v="238.46"/>
  </r>
  <r>
    <n v="60066609"/>
    <s v="N"/>
    <n v="21350136"/>
    <s v="3000014401840008"/>
    <s v="CIVIL"/>
    <d v="2023-06-29T00:00:00"/>
    <d v="2023-07-10T19:01:40"/>
    <m/>
    <d v="2023-07-10T00:00:00"/>
    <n v="1205"/>
    <n v="18696"/>
    <s v="60066609"/>
    <s v="60066609"/>
    <m/>
    <m/>
    <n v="22788730"/>
    <m/>
    <m/>
    <m/>
    <s v="SOLFIN"/>
    <s v="SOLFIN"/>
    <s v="CCMS"/>
    <n v="21350136"/>
    <n v="7952.47"/>
    <m/>
    <s v="N"/>
    <n v="9"/>
    <d v="2023-07-10T19:02:15"/>
    <s v="Y"/>
    <s v="Hearing Unit 2.31 - 5.00 Hours"/>
    <s v="Public Law Children"/>
    <s v="Advocacy"/>
    <s v="Andrew Crumpton"/>
    <s v="Y"/>
    <n v="476.92"/>
    <n v="95.38"/>
    <x v="2"/>
    <s v="VALIDATED"/>
    <n v="1"/>
    <s v="01.11.80.308.6100.0000"/>
    <n v="476.92"/>
    <s v="11"/>
    <s v="6100"/>
    <n v="30594.15"/>
    <n v="476.92"/>
    <s v="CREDITOR"/>
    <n v="0"/>
    <n v="0"/>
    <n v="0"/>
    <n v="0"/>
    <n v="476.92"/>
  </r>
  <r>
    <n v="60773030"/>
    <s v="N"/>
    <n v="21344084"/>
    <s v="3000015011890006"/>
    <s v="CIVIL"/>
    <d v="2023-06-29T00:00:00"/>
    <d v="2023-07-07T19:03:00"/>
    <m/>
    <d v="2023-07-07T00:00:00"/>
    <n v="1205"/>
    <n v="18696"/>
    <s v="60773030"/>
    <s v="60773030"/>
    <m/>
    <m/>
    <n v="22785194"/>
    <m/>
    <m/>
    <m/>
    <s v="SOLFIN"/>
    <s v="SOLFIN"/>
    <s v="CCMS"/>
    <n v="21344084"/>
    <n v="3274.89"/>
    <m/>
    <s v="N"/>
    <n v="41"/>
    <d v="2023-07-07T19:03:23"/>
    <s v="Y"/>
    <s v="Preparation - drafting pleadings"/>
    <s v="Prescribed Hourly Rates"/>
    <s v="Profit Cost"/>
    <s v="Narinder Singh"/>
    <s v="Y"/>
    <n v="63.14"/>
    <n v="12.63"/>
    <x v="9"/>
    <s v="VALIDATED"/>
    <n v="1"/>
    <s v="01.11.80.307.6100.0000"/>
    <n v="63.14"/>
    <s v="11"/>
    <s v="6100"/>
    <n v="30594.15"/>
    <n v="63.14"/>
    <s v="CREDITOR"/>
    <n v="0"/>
    <n v="0"/>
    <n v="0"/>
    <n v="0"/>
    <n v="63.14"/>
  </r>
  <r>
    <n v="60773030"/>
    <s v="N"/>
    <n v="21344084"/>
    <s v="3000015011890006"/>
    <s v="CIVIL"/>
    <d v="2023-06-29T00:00:00"/>
    <d v="2023-07-07T19:03:00"/>
    <m/>
    <d v="2023-07-07T00:00:00"/>
    <n v="1205"/>
    <n v="18696"/>
    <s v="60773030"/>
    <s v="60773030"/>
    <m/>
    <m/>
    <n v="22785194"/>
    <m/>
    <m/>
    <m/>
    <s v="SOLFIN"/>
    <s v="SOLFIN"/>
    <s v="CCMS"/>
    <n v="21344084"/>
    <n v="3274.89"/>
    <m/>
    <s v="N"/>
    <n v="11"/>
    <d v="2023-07-07T19:03:23"/>
    <s v="Y"/>
    <s v="Preparation - drafting pleadings"/>
    <s v="Prescribed Hourly Rates"/>
    <s v="Profit Cost"/>
    <s v="Narinder Singh"/>
    <s v="Y"/>
    <n v="75.76000000000001"/>
    <n v="15.15"/>
    <x v="9"/>
    <s v="VALIDATED"/>
    <n v="1"/>
    <s v="01.11.80.307.6100.0000"/>
    <n v="75.76000000000001"/>
    <s v="11"/>
    <s v="6100"/>
    <n v="30594.15"/>
    <n v="75.76000000000001"/>
    <s v="CREDITOR"/>
    <n v="0"/>
    <n v="0"/>
    <n v="0"/>
    <n v="0"/>
    <n v="75.76000000000001"/>
  </r>
  <r>
    <n v="54813547"/>
    <s v="N"/>
    <n v="21338270"/>
    <s v="3000013038820008"/>
    <s v="CIVIL"/>
    <d v="2023-06-27T00:00:00"/>
    <d v="2023-07-06T19:21:01"/>
    <m/>
    <d v="2023-07-06T00:00:00"/>
    <n v="1205"/>
    <n v="18696"/>
    <s v="54813547"/>
    <s v="54813547"/>
    <m/>
    <m/>
    <n v="22769992"/>
    <m/>
    <m/>
    <m/>
    <s v="SOLFIN"/>
    <s v="SOLFIN"/>
    <s v="CCMS"/>
    <n v="21338270"/>
    <n v="24252.38"/>
    <m/>
    <s v="N"/>
    <n v="93"/>
    <d v="2023-07-06T19:21:15"/>
    <s v="Y"/>
    <s v="Attendance upon other"/>
    <s v="Care Remuneration Hourly Rates"/>
    <s v="Profit Cost"/>
    <s v="Eliot Brookes"/>
    <s v="Y"/>
    <n v="219.26"/>
    <n v="43.85"/>
    <x v="4"/>
    <s v="VALIDATED"/>
    <n v="1"/>
    <s v="01.11.80.308.6100.0000"/>
    <n v="219.26"/>
    <s v="11"/>
    <s v="6100"/>
    <n v="30594.15"/>
    <n v="219.26"/>
    <s v="CREDITOR"/>
    <n v="0"/>
    <n v="0"/>
    <n v="0"/>
    <n v="0"/>
    <n v="219.26"/>
  </r>
  <r>
    <n v="54813547"/>
    <s v="N"/>
    <n v="21338270"/>
    <s v="3000013038820008"/>
    <s v="CIVIL"/>
    <d v="2023-06-27T00:00:00"/>
    <d v="2023-07-06T19:21:01"/>
    <m/>
    <d v="2023-07-06T00:00:00"/>
    <n v="1205"/>
    <n v="18696"/>
    <s v="54813547"/>
    <s v="54813547"/>
    <m/>
    <m/>
    <n v="22769992"/>
    <m/>
    <m/>
    <m/>
    <s v="SOLFIN"/>
    <s v="SOLFIN"/>
    <s v="CCMS"/>
    <n v="21338270"/>
    <n v="24252.38"/>
    <m/>
    <s v="N"/>
    <n v="115"/>
    <d v="2023-07-06T19:21:15"/>
    <s v="Y"/>
    <s v="Final Hearing - 1 Day"/>
    <s v="Public Law Children"/>
    <s v="Advocacy"/>
    <s v="Charlotte Raybould"/>
    <s v="Y"/>
    <n v="668.25"/>
    <n v="133.65"/>
    <x v="4"/>
    <s v="VALIDATED"/>
    <n v="1"/>
    <s v="01.11.80.308.6100.0000"/>
    <n v="668.25"/>
    <s v="11"/>
    <s v="6100"/>
    <n v="30594.15"/>
    <n v="668.25"/>
    <s v="CREDITOR"/>
    <n v="0"/>
    <n v="0"/>
    <n v="0"/>
    <n v="0"/>
    <n v="668.25"/>
  </r>
  <r>
    <n v="60631907"/>
    <s v="N"/>
    <n v="21331360"/>
    <s v="3000014878960007"/>
    <s v="CIVIL"/>
    <d v="2023-06-28T00:00:00"/>
    <d v="2023-07-05T19:01:47"/>
    <m/>
    <d v="2023-07-05T00:00:00"/>
    <n v="1205"/>
    <n v="18696"/>
    <s v="60631907"/>
    <s v="60631907"/>
    <m/>
    <m/>
    <n v="22783676"/>
    <m/>
    <m/>
    <m/>
    <s v="SOLFIN"/>
    <s v="SOLFIN"/>
    <s v="CCMS"/>
    <n v="21331360"/>
    <n v="9637.15"/>
    <m/>
    <s v="N"/>
    <n v="74"/>
    <d v="2023-07-05T19:02:16"/>
    <s v="Y"/>
    <s v="Attendance upon client"/>
    <s v="Prescribed Hourly Rates"/>
    <s v="Profit Cost"/>
    <s v="Andrew Crumpton"/>
    <s v="Y"/>
    <n v="68.63"/>
    <n v="13.73"/>
    <x v="6"/>
    <s v="VALIDATED"/>
    <n v="1"/>
    <s v="01.11.80.307.6100.0000"/>
    <n v="68.63"/>
    <s v="11"/>
    <s v="6100"/>
    <n v="30594.15"/>
    <n v="68.63"/>
    <s v="CREDITOR"/>
    <n v="0"/>
    <n v="0"/>
    <n v="0"/>
    <n v="0"/>
    <n v="68.63"/>
  </r>
  <r>
    <n v="60744883"/>
    <s v="N"/>
    <n v="21330927"/>
    <s v="3000014987240008"/>
    <s v="CIVIL"/>
    <d v="2023-06-22T00:00:00"/>
    <d v="2023-07-05T19:01:47"/>
    <m/>
    <d v="2023-07-05T00:00:00"/>
    <n v="1205"/>
    <n v="18696"/>
    <s v="60744883"/>
    <s v="60744883"/>
    <m/>
    <m/>
    <n v="22745992"/>
    <m/>
    <m/>
    <m/>
    <s v="SOLFIN"/>
    <s v="SOLFIN"/>
    <s v="CCMS"/>
    <n v="21330927"/>
    <n v="13790.5"/>
    <m/>
    <s v="N"/>
    <n v="27"/>
    <d v="2023-07-05T19:01:57"/>
    <s v="Y"/>
    <s v="Preparation - other"/>
    <s v="Care Remuneration Hourly Rates"/>
    <s v="Profit Cost"/>
    <s v="Alix Reynolds"/>
    <s v="Y"/>
    <n v="111.71"/>
    <n v="22.34"/>
    <x v="6"/>
    <s v="VALIDATED"/>
    <n v="1"/>
    <s v="01.11.80.308.6100.0000"/>
    <n v="111.71"/>
    <s v="11"/>
    <s v="6100"/>
    <n v="30594.15"/>
    <n v="111.71"/>
    <s v="CREDITOR"/>
    <n v="0"/>
    <n v="0"/>
    <n v="0"/>
    <n v="0"/>
    <n v="111.71"/>
  </r>
  <r>
    <n v="60744883"/>
    <s v="N"/>
    <n v="21330927"/>
    <s v="3000014987240008"/>
    <s v="CIVIL"/>
    <d v="2023-06-22T00:00:00"/>
    <d v="2023-07-05T19:01:47"/>
    <m/>
    <d v="2023-07-05T00:00:00"/>
    <n v="1205"/>
    <n v="18696"/>
    <s v="60744883"/>
    <s v="60744883"/>
    <m/>
    <m/>
    <n v="22745992"/>
    <m/>
    <m/>
    <m/>
    <s v="SOLFIN"/>
    <s v="SOLFIN"/>
    <s v="CCMS"/>
    <n v="21330927"/>
    <n v="13790.5"/>
    <m/>
    <s v="N"/>
    <n v="76"/>
    <d v="2023-07-05T19:01:57"/>
    <s v="Y"/>
    <s v="Hearing Unit 2.31 - 5.00 Hours"/>
    <s v="Public Law Children"/>
    <s v="Advocacy"/>
    <s v="Narinder Singh"/>
    <s v="Y"/>
    <n v="476.92"/>
    <n v="95.38"/>
    <x v="6"/>
    <s v="VALIDATED"/>
    <n v="1"/>
    <s v="01.11.80.308.6100.0000"/>
    <n v="476.92"/>
    <s v="11"/>
    <s v="6100"/>
    <n v="30594.15"/>
    <n v="476.92"/>
    <s v="CREDITOR"/>
    <n v="0"/>
    <n v="0"/>
    <n v="0"/>
    <n v="0"/>
    <n v="476.92"/>
  </r>
  <r>
    <n v="16271546"/>
    <s v="N"/>
    <n v="21320770"/>
    <s v="3000007878160001"/>
    <s v="CIVIL"/>
    <d v="2023-06-28T00:00:00"/>
    <d v="2023-07-03T19:04:52"/>
    <m/>
    <d v="2023-07-03T00:00:00"/>
    <n v="1205"/>
    <n v="18696"/>
    <s v="16271546"/>
    <s v="16271546"/>
    <m/>
    <m/>
    <n v="22778420"/>
    <m/>
    <m/>
    <m/>
    <s v="SOLPOA"/>
    <s v="SOLPOA"/>
    <s v="CCMS"/>
    <n v="21320770"/>
    <n v="3024"/>
    <m/>
    <s v="N"/>
    <n v="1"/>
    <d v="2023-07-03T19:04:56"/>
    <s v="N"/>
    <s v="Expert Cost"/>
    <s v="Expert Cost"/>
    <s v="Expert Disbursement"/>
    <s v="Stephanie M Bush, Independent Social Worker (inv no. 414)"/>
    <s v="N"/>
    <n v="3024"/>
    <n v="0"/>
    <x v="3"/>
    <s v="VALIDATED"/>
    <n v="1"/>
    <s v="01.11.80.201.2012.0000"/>
    <n v="3024"/>
    <s v="11"/>
    <s v="2012"/>
    <n v="30594.15"/>
    <n v="3024"/>
    <s v="CREDITOR"/>
    <n v="3024"/>
    <n v="0"/>
    <n v="0"/>
    <n v="0"/>
    <n v="0"/>
  </r>
  <r>
    <n v="60867047"/>
    <s v="N"/>
    <n v="21349869"/>
    <s v="3000015089740008"/>
    <s v="CIVIL"/>
    <d v="2023-06-26T00:00:00"/>
    <d v="2023-07-10T19:01:40"/>
    <m/>
    <d v="2023-07-10T00:00:00"/>
    <n v="1205"/>
    <n v="18696"/>
    <s v="60867047"/>
    <s v="60867047"/>
    <m/>
    <m/>
    <n v="22762804"/>
    <m/>
    <m/>
    <m/>
    <s v="SOLFIN"/>
    <s v="SOLFIN"/>
    <s v="CCMS"/>
    <n v="21349869"/>
    <n v="11255.82"/>
    <m/>
    <s v="N"/>
    <n v="9"/>
    <d v="2023-07-10T19:02:01"/>
    <s v="Y"/>
    <s v="Advocates Meeting"/>
    <s v="Public Law Children"/>
    <s v="Advocacy"/>
    <s v="Charlotte Raybould"/>
    <s v="Y"/>
    <n v="140.99"/>
    <n v="28.2"/>
    <x v="2"/>
    <s v="VALIDATED"/>
    <n v="1"/>
    <s v="01.11.80.308.6100.0000"/>
    <n v="140.99"/>
    <s v="11"/>
    <s v="6100"/>
    <n v="30594.15"/>
    <n v="140.99"/>
    <s v="CREDITOR"/>
    <n v="0"/>
    <n v="0"/>
    <n v="0"/>
    <n v="0"/>
    <n v="140.99"/>
  </r>
  <r>
    <n v="60867047"/>
    <s v="N"/>
    <n v="21349869"/>
    <s v="3000015089740008"/>
    <s v="CIVIL"/>
    <d v="2023-06-26T00:00:00"/>
    <d v="2023-07-10T19:01:40"/>
    <m/>
    <d v="2023-07-10T00:00:00"/>
    <n v="1205"/>
    <n v="18696"/>
    <s v="60867047"/>
    <s v="60867047"/>
    <m/>
    <m/>
    <n v="22762804"/>
    <m/>
    <m/>
    <m/>
    <s v="SOLFIN"/>
    <s v="SOLFIN"/>
    <s v="CCMS"/>
    <n v="21349869"/>
    <n v="11255.82"/>
    <m/>
    <s v="N"/>
    <n v="14"/>
    <d v="2023-07-10T19:02:01"/>
    <s v="Y"/>
    <s v="Hearing Unit 2.31 - 5.00 Hours"/>
    <s v="Public Law Children"/>
    <s v="Advocacy"/>
    <s v="Sally Jones"/>
    <s v="Y"/>
    <n v="476.92"/>
    <n v="95.38"/>
    <x v="2"/>
    <s v="VALIDATED"/>
    <n v="1"/>
    <s v="01.11.80.308.6100.0000"/>
    <n v="476.92"/>
    <s v="11"/>
    <s v="6100"/>
    <n v="30594.15"/>
    <n v="476.92"/>
    <s v="CREDITOR"/>
    <n v="0"/>
    <n v="0"/>
    <n v="0"/>
    <n v="0"/>
    <n v="476.92"/>
  </r>
  <r>
    <n v="60066609"/>
    <s v="N"/>
    <n v="21350136"/>
    <s v="3000014401840008"/>
    <s v="CIVIL"/>
    <d v="2023-06-29T00:00:00"/>
    <d v="2023-07-10T19:01:40"/>
    <m/>
    <d v="2023-07-10T00:00:00"/>
    <n v="1205"/>
    <n v="18696"/>
    <s v="60066609"/>
    <s v="60066609"/>
    <m/>
    <m/>
    <n v="22788730"/>
    <m/>
    <m/>
    <m/>
    <s v="SOLFIN"/>
    <s v="SOLFIN"/>
    <s v="CCMS"/>
    <n v="21350136"/>
    <n v="7952.47"/>
    <m/>
    <s v="N"/>
    <n v="6"/>
    <d v="2023-07-10T19:02:15"/>
    <s v="Y"/>
    <s v="Hearing Unit 2.31 - 5.00 Hours"/>
    <s v="Public Law Children"/>
    <s v="Advocacy"/>
    <s v="Andrew Crumpton"/>
    <s v="Y"/>
    <n v="476.92"/>
    <n v="95.38"/>
    <x v="2"/>
    <s v="VALIDATED"/>
    <n v="1"/>
    <s v="01.11.80.308.6100.0000"/>
    <n v="476.92"/>
    <s v="11"/>
    <s v="6100"/>
    <n v="30594.15"/>
    <n v="476.92"/>
    <s v="CREDITOR"/>
    <n v="0"/>
    <n v="0"/>
    <n v="0"/>
    <n v="0"/>
    <n v="476.92"/>
  </r>
  <r>
    <n v="48504544"/>
    <s v="N"/>
    <n v="21344092"/>
    <s v="3000012074710009"/>
    <s v="CIVIL"/>
    <d v="2023-06-29T00:00:00"/>
    <d v="2023-07-07T19:03:00"/>
    <m/>
    <d v="2023-07-07T00:00:00"/>
    <n v="1205"/>
    <n v="18696"/>
    <s v="48504544"/>
    <s v="48504544"/>
    <m/>
    <m/>
    <n v="22787308"/>
    <m/>
    <m/>
    <m/>
    <s v="SOLFIN"/>
    <s v="SOLFIN"/>
    <s v="CCMS"/>
    <n v="21344092"/>
    <n v="5824.29"/>
    <m/>
    <s v="N"/>
    <n v="20"/>
    <d v="2023-07-07T19:03:23"/>
    <s v="Y"/>
    <s v="Preparation - other"/>
    <s v="Prescribed Hourly Rates"/>
    <s v="Profit Cost"/>
    <s v="Penny Dukes"/>
    <s v="Y"/>
    <n v="5.49"/>
    <n v="1.1"/>
    <x v="9"/>
    <s v="VALIDATED"/>
    <n v="1"/>
    <s v="01.11.80.307.6100.0000"/>
    <n v="5.49"/>
    <s v="11"/>
    <s v="6100"/>
    <n v="30594.15"/>
    <n v="5.49"/>
    <s v="CREDITOR"/>
    <n v="0"/>
    <n v="0"/>
    <n v="0"/>
    <n v="0"/>
    <n v="5.49"/>
  </r>
  <r>
    <n v="54813547"/>
    <s v="N"/>
    <n v="21338270"/>
    <s v="3000013038820008"/>
    <s v="CIVIL"/>
    <d v="2023-06-27T00:00:00"/>
    <d v="2023-07-06T19:21:01"/>
    <m/>
    <d v="2023-07-06T00:00:00"/>
    <n v="1205"/>
    <n v="18696"/>
    <s v="54813547"/>
    <s v="54813547"/>
    <m/>
    <m/>
    <n v="22769992"/>
    <m/>
    <m/>
    <m/>
    <s v="SOLFIN"/>
    <s v="SOLFIN"/>
    <s v="CCMS"/>
    <n v="21338270"/>
    <n v="24252.38"/>
    <m/>
    <s v="N"/>
    <n v="6"/>
    <d v="2023-07-06T19:21:15"/>
    <s v="Y"/>
    <s v="Preparation - other"/>
    <s v="Care Remuneration Hourly Rates"/>
    <s v="Profit Cost"/>
    <s v="Penny Dukes"/>
    <s v="Y"/>
    <n v="31.54"/>
    <n v="6.31"/>
    <x v="4"/>
    <s v="VALIDATED"/>
    <n v="1"/>
    <s v="01.11.80.308.6100.0000"/>
    <n v="31.54"/>
    <s v="11"/>
    <s v="6100"/>
    <n v="30594.15"/>
    <n v="31.54"/>
    <s v="CREDITOR"/>
    <n v="0"/>
    <n v="0"/>
    <n v="0"/>
    <n v="0"/>
    <n v="31.54"/>
  </r>
  <r>
    <n v="60740536"/>
    <s v="N"/>
    <n v="21343872"/>
    <s v="3000014983190011"/>
    <s v="CIVIL"/>
    <d v="2023-06-27T00:00:00"/>
    <d v="2023-07-07T19:03:00"/>
    <m/>
    <d v="2023-07-07T00:00:00"/>
    <n v="1205"/>
    <n v="18696"/>
    <s v="60740536"/>
    <s v="60740536"/>
    <m/>
    <m/>
    <n v="22766106"/>
    <m/>
    <m/>
    <m/>
    <s v="SOLFIN"/>
    <s v="SOLFIN"/>
    <s v="CCMS"/>
    <n v="21343872"/>
    <n v="13395.68"/>
    <m/>
    <s v="N"/>
    <n v="37"/>
    <d v="2023-07-07T19:03:15"/>
    <s v="Y"/>
    <s v="Preparation - drafting pleadings"/>
    <s v="Care Remuneration Hourly Rates"/>
    <s v="Profit Cost"/>
    <s v="Anna Cooper"/>
    <s v="Y"/>
    <n v="73.59999999999999"/>
    <n v="14.72"/>
    <x v="9"/>
    <s v="VALIDATED"/>
    <n v="1"/>
    <s v="01.11.80.308.6100.0000"/>
    <n v="73.59999999999999"/>
    <s v="11"/>
    <s v="6100"/>
    <n v="30594.15"/>
    <n v="73.59999999999999"/>
    <s v="CREDITOR"/>
    <n v="0"/>
    <n v="0"/>
    <n v="0"/>
    <n v="0"/>
    <n v="73.59999999999999"/>
  </r>
  <r>
    <n v="61817492"/>
    <s v="N"/>
    <n v="21327774"/>
    <s v="3000015888360001"/>
    <s v="CIVIL"/>
    <d v="2023-06-26T00:00:00"/>
    <d v="2023-07-04T19:00:44"/>
    <m/>
    <d v="2023-07-04T00:00:00"/>
    <n v="1205"/>
    <n v="18696"/>
    <s v="61817492"/>
    <s v="61817492"/>
    <m/>
    <m/>
    <n v="22759596"/>
    <m/>
    <m/>
    <m/>
    <s v="SOLFIN"/>
    <s v="SOLFIN"/>
    <s v="CCMS"/>
    <n v="21327774"/>
    <n v="0"/>
    <m/>
    <s v="N"/>
    <n v="1"/>
    <d v="2023-07-04T19:00:54"/>
    <s v="N"/>
    <s v="NIL BILL"/>
    <s v="Public Law Children"/>
    <s v="Profit Cost"/>
    <s v="Narinder Singh"/>
    <s v="N"/>
    <n v="0"/>
    <n v="0"/>
    <x v="1"/>
    <s v="VALIDATED"/>
    <n v="1"/>
    <s v="01.11.80.308.6100.0000"/>
    <n v="0"/>
    <s v="11"/>
    <s v="6100"/>
    <n v="30594.15"/>
    <n v="0"/>
    <s v="CREDITOR"/>
    <n v="0"/>
    <n v="0"/>
    <n v="0"/>
    <n v="0"/>
    <n v="0"/>
  </r>
  <r>
    <n v="60740536"/>
    <s v="N"/>
    <n v="21343872"/>
    <s v="3000014983190011"/>
    <s v="CIVIL"/>
    <d v="2023-06-27T00:00:00"/>
    <d v="2023-07-07T19:03:00"/>
    <m/>
    <d v="2023-07-07T00:00:00"/>
    <n v="1205"/>
    <n v="18696"/>
    <s v="60740536"/>
    <s v="60740536"/>
    <m/>
    <m/>
    <n v="22766106"/>
    <m/>
    <m/>
    <m/>
    <s v="SOLFIN"/>
    <s v="SOLFIN"/>
    <s v="CCMS"/>
    <n v="21343872"/>
    <n v="13395.68"/>
    <m/>
    <s v="N"/>
    <n v="7"/>
    <d v="2023-07-07T19:03:15"/>
    <s v="Y"/>
    <s v="Attendance upon client"/>
    <s v="Care Remuneration Hourly Rates"/>
    <s v="Profit Cost"/>
    <s v="Charlotte Raybould"/>
    <s v="Y"/>
    <n v="30.23"/>
    <n v="6.05"/>
    <x v="9"/>
    <s v="VALIDATED"/>
    <n v="1"/>
    <s v="01.11.80.308.6100.0000"/>
    <n v="30.23"/>
    <s v="11"/>
    <s v="6100"/>
    <n v="30594.15"/>
    <n v="30.23"/>
    <s v="CREDITOR"/>
    <n v="0"/>
    <n v="0"/>
    <n v="0"/>
    <n v="0"/>
    <n v="30.23"/>
  </r>
  <r>
    <n v="60764755"/>
    <s v="N"/>
    <n v="21337748"/>
    <s v="3000015002070010"/>
    <s v="CIVIL"/>
    <d v="2023-06-22T00:00:00"/>
    <d v="2023-07-06T19:21:01"/>
    <m/>
    <d v="2023-07-06T00:00:00"/>
    <n v="1205"/>
    <n v="18696"/>
    <s v="60764755"/>
    <s v="60764755"/>
    <m/>
    <m/>
    <n v="22741190"/>
    <m/>
    <m/>
    <m/>
    <s v="SOLFIN"/>
    <s v="SOLFIN"/>
    <s v="CCMS"/>
    <n v="21337748"/>
    <n v="11125.15"/>
    <m/>
    <s v="N"/>
    <n v="10"/>
    <d v="2023-07-06T19:21:07"/>
    <s v="Y"/>
    <s v="Hearing Unit 2.31 - 5.00 Hours"/>
    <s v="Public Law Children"/>
    <s v="Advocacy"/>
    <s v="Charlotte Raybould"/>
    <s v="Y"/>
    <n v="476.92"/>
    <n v="95.38"/>
    <x v="4"/>
    <s v="VALIDATED"/>
    <n v="1"/>
    <s v="01.11.80.308.6100.0000"/>
    <n v="476.92"/>
    <s v="11"/>
    <s v="6100"/>
    <n v="30594.15"/>
    <n v="476.92"/>
    <s v="CREDITOR"/>
    <n v="0"/>
    <n v="0"/>
    <n v="0"/>
    <n v="0"/>
    <n v="476.92"/>
  </r>
  <r>
    <n v="60631907"/>
    <s v="N"/>
    <n v="21331360"/>
    <s v="3000014878960007"/>
    <s v="CIVIL"/>
    <d v="2023-06-28T00:00:00"/>
    <d v="2023-07-05T19:01:47"/>
    <m/>
    <d v="2023-07-05T00:00:00"/>
    <n v="1205"/>
    <n v="18696"/>
    <s v="60631907"/>
    <s v="60631907"/>
    <m/>
    <m/>
    <n v="22783676"/>
    <m/>
    <m/>
    <m/>
    <s v="SOLFIN"/>
    <s v="SOLFIN"/>
    <s v="CCMS"/>
    <n v="21331360"/>
    <n v="9637.15"/>
    <m/>
    <s v="N"/>
    <n v="83"/>
    <d v="2023-07-05T19:02:16"/>
    <s v="Y"/>
    <s v="Attendance upon client"/>
    <s v="Prescribed Hourly Rates"/>
    <s v="Profit Cost"/>
    <s v="Andrew Crumpton"/>
    <s v="Y"/>
    <n v="89.20999999999999"/>
    <n v="17.84"/>
    <x v="6"/>
    <s v="VALIDATED"/>
    <n v="1"/>
    <s v="01.11.80.307.6100.0000"/>
    <n v="89.20999999999999"/>
    <s v="11"/>
    <s v="6100"/>
    <n v="30594.15"/>
    <n v="89.20999999999999"/>
    <s v="CREDITOR"/>
    <n v="0"/>
    <n v="0"/>
    <n v="0"/>
    <n v="0"/>
    <n v="89.20999999999999"/>
  </r>
  <r>
    <n v="60631907"/>
    <s v="N"/>
    <n v="21331360"/>
    <s v="3000014878960007"/>
    <s v="CIVIL"/>
    <d v="2023-06-28T00:00:00"/>
    <d v="2023-07-05T19:01:47"/>
    <m/>
    <d v="2023-07-05T00:00:00"/>
    <n v="1205"/>
    <n v="18696"/>
    <s v="60631907"/>
    <s v="60631907"/>
    <m/>
    <m/>
    <n v="22783676"/>
    <m/>
    <m/>
    <m/>
    <s v="SOLFIN"/>
    <s v="SOLFIN"/>
    <s v="CCMS"/>
    <n v="21331360"/>
    <n v="9637.15"/>
    <m/>
    <s v="N"/>
    <n v="85"/>
    <d v="2023-07-05T19:02:16"/>
    <s v="Y"/>
    <s v="Attendance upon other"/>
    <s v="Prescribed Hourly Rates"/>
    <s v="Profit Cost"/>
    <s v="Andrew Crumpton"/>
    <s v="Y"/>
    <n v="34.31"/>
    <n v="6.86"/>
    <x v="6"/>
    <s v="VALIDATED"/>
    <n v="1"/>
    <s v="01.11.80.307.6100.0000"/>
    <n v="34.31"/>
    <s v="11"/>
    <s v="6100"/>
    <n v="30594.15"/>
    <n v="34.31"/>
    <s v="CREDITOR"/>
    <n v="0"/>
    <n v="0"/>
    <n v="0"/>
    <n v="0"/>
    <n v="34.31"/>
  </r>
  <r>
    <n v="60744883"/>
    <s v="N"/>
    <n v="21330927"/>
    <s v="3000014987240008"/>
    <s v="CIVIL"/>
    <d v="2023-06-22T00:00:00"/>
    <d v="2023-07-05T19:01:47"/>
    <m/>
    <d v="2023-07-05T00:00:00"/>
    <n v="1205"/>
    <n v="18696"/>
    <s v="60744883"/>
    <s v="60744883"/>
    <m/>
    <m/>
    <n v="22745992"/>
    <m/>
    <m/>
    <m/>
    <s v="SOLFIN"/>
    <s v="SOLFIN"/>
    <s v="CCMS"/>
    <n v="21330927"/>
    <n v="13790.5"/>
    <m/>
    <s v="N"/>
    <n v="42"/>
    <d v="2023-07-05T19:01:57"/>
    <s v="Y"/>
    <s v="Preparation - drafting bill/claim f"/>
    <s v="Care Remuneration Hourly Rates"/>
    <s v="Profit Cost"/>
    <s v="Penny Dukes"/>
    <s v="Y"/>
    <n v="10.51"/>
    <n v="2.1"/>
    <x v="6"/>
    <s v="VALIDATED"/>
    <n v="1"/>
    <s v="01.11.80.308.6100.0000"/>
    <n v="10.51"/>
    <s v="11"/>
    <s v="6100"/>
    <n v="30594.15"/>
    <n v="10.51"/>
    <s v="CREDITOR"/>
    <n v="0"/>
    <n v="0"/>
    <n v="0"/>
    <n v="0"/>
    <n v="10.51"/>
  </r>
  <r>
    <n v="60744883"/>
    <s v="N"/>
    <n v="21330927"/>
    <s v="3000014987240008"/>
    <s v="CIVIL"/>
    <d v="2023-06-22T00:00:00"/>
    <d v="2023-07-05T19:01:47"/>
    <m/>
    <d v="2023-07-05T00:00:00"/>
    <n v="1205"/>
    <n v="18696"/>
    <s v="60744883"/>
    <s v="60744883"/>
    <m/>
    <m/>
    <n v="22745992"/>
    <m/>
    <m/>
    <m/>
    <s v="SOLFIN"/>
    <s v="SOLFIN"/>
    <s v="CCMS"/>
    <n v="21330927"/>
    <n v="13790.5"/>
    <m/>
    <s v="N"/>
    <n v="47"/>
    <d v="2023-07-05T19:01:57"/>
    <s v="Y"/>
    <s v="Attendance upon client"/>
    <s v="Care Remuneration Hourly Rates"/>
    <s v="Profit Cost"/>
    <s v="Alix Reynolds"/>
    <s v="Y"/>
    <n v="19.71"/>
    <n v="3.94"/>
    <x v="6"/>
    <s v="VALIDATED"/>
    <n v="1"/>
    <s v="01.11.80.308.6100.0000"/>
    <n v="19.71"/>
    <s v="11"/>
    <s v="6100"/>
    <n v="30594.15"/>
    <n v="19.71"/>
    <s v="CREDITOR"/>
    <n v="0"/>
    <n v="0"/>
    <n v="0"/>
    <n v="0"/>
    <n v="19.71"/>
  </r>
  <r>
    <n v="60740067"/>
    <s v="N"/>
    <n v="21323435"/>
    <s v="3000014980550004"/>
    <s v="CIVIL"/>
    <d v="2023-06-30T00:00:00"/>
    <d v="2023-07-03T19:05:56"/>
    <m/>
    <d v="2023-07-03T00:00:00"/>
    <n v="1205"/>
    <n v="18696"/>
    <s v="60740067"/>
    <s v="60740067"/>
    <m/>
    <m/>
    <n v="22797998"/>
    <m/>
    <m/>
    <m/>
    <s v="SOLPOA"/>
    <s v="SOLPOA"/>
    <s v="CCMS"/>
    <n v="21323435"/>
    <n v="2073.6"/>
    <m/>
    <s v="N"/>
    <n v="1"/>
    <d v="2023-07-03T19:05:57"/>
    <s v="N"/>
    <s v="Level 3 Fixed Fee"/>
    <s v="Finance"/>
    <s v="Profit Cost"/>
    <s v="K Bennett"/>
    <s v="N"/>
    <n v="1728"/>
    <n v="345.6"/>
    <x v="3"/>
    <s v="VALIDATED"/>
    <n v="1"/>
    <s v="01.11.80.307.2012.0000"/>
    <n v="1728"/>
    <s v="11"/>
    <s v="2012"/>
    <n v="30594.15"/>
    <n v="1728"/>
    <s v="CREDITOR"/>
    <n v="1728"/>
    <n v="432"/>
    <n v="0"/>
    <n v="0"/>
    <n v="0"/>
  </r>
  <r>
    <n v="60773030"/>
    <s v="N"/>
    <n v="21344084"/>
    <s v="3000015011890006"/>
    <s v="CIVIL"/>
    <d v="2023-06-29T00:00:00"/>
    <d v="2023-07-07T19:03:00"/>
    <m/>
    <d v="2023-07-07T00:00:00"/>
    <n v="1205"/>
    <n v="18696"/>
    <s v="60773030"/>
    <s v="60773030"/>
    <m/>
    <m/>
    <n v="22785194"/>
    <m/>
    <m/>
    <m/>
    <s v="SOLFIN"/>
    <s v="SOLFIN"/>
    <s v="CCMS"/>
    <n v="21344084"/>
    <n v="3274.89"/>
    <m/>
    <s v="N"/>
    <n v="42"/>
    <d v="2023-07-07T19:03:23"/>
    <s v="Y"/>
    <s v="Preparation - drafting pleadings"/>
    <s v="Prescribed Hourly Rates"/>
    <s v="Profit Cost"/>
    <s v="Alix Reynolds"/>
    <s v="Y"/>
    <n v="32.94"/>
    <n v="6.59"/>
    <x v="9"/>
    <s v="VALIDATED"/>
    <n v="1"/>
    <s v="01.11.80.307.6100.0000"/>
    <n v="32.94"/>
    <s v="11"/>
    <s v="6100"/>
    <n v="30594.15"/>
    <n v="32.94"/>
    <s v="CREDITOR"/>
    <n v="0"/>
    <n v="0"/>
    <n v="0"/>
    <n v="0"/>
    <n v="32.94"/>
  </r>
  <r>
    <n v="60773030"/>
    <s v="N"/>
    <n v="21344084"/>
    <s v="3000015011890006"/>
    <s v="CIVIL"/>
    <d v="2023-06-29T00:00:00"/>
    <d v="2023-07-07T19:03:00"/>
    <m/>
    <d v="2023-07-07T00:00:00"/>
    <n v="1205"/>
    <n v="18696"/>
    <s v="60773030"/>
    <s v="60773030"/>
    <m/>
    <m/>
    <n v="22785194"/>
    <m/>
    <m/>
    <m/>
    <s v="SOLFIN"/>
    <s v="SOLFIN"/>
    <s v="CCMS"/>
    <n v="21344084"/>
    <n v="3274.89"/>
    <m/>
    <s v="N"/>
    <n v="33"/>
    <d v="2023-07-07T19:03:23"/>
    <s v="Y"/>
    <s v="Travel to court"/>
    <s v="Prescribed Hourly Rates"/>
    <s v="Profit Cost"/>
    <s v="Alix Reynolds"/>
    <s v="Y"/>
    <n v="11.16"/>
    <n v="2.23"/>
    <x v="9"/>
    <s v="VALIDATED"/>
    <n v="1"/>
    <s v="01.11.80.307.6100.0000"/>
    <n v="11.16"/>
    <s v="11"/>
    <s v="6100"/>
    <n v="30594.15"/>
    <n v="11.16"/>
    <s v="CREDITOR"/>
    <n v="0"/>
    <n v="0"/>
    <n v="0"/>
    <n v="0"/>
    <n v="11.16"/>
  </r>
  <r>
    <n v="54813547"/>
    <s v="N"/>
    <n v="21338270"/>
    <s v="3000013038820008"/>
    <s v="CIVIL"/>
    <d v="2023-06-27T00:00:00"/>
    <d v="2023-07-06T19:21:01"/>
    <m/>
    <d v="2023-07-06T00:00:00"/>
    <n v="1205"/>
    <n v="18696"/>
    <s v="54813547"/>
    <s v="54813547"/>
    <m/>
    <m/>
    <n v="22769992"/>
    <m/>
    <m/>
    <m/>
    <s v="SOLFIN"/>
    <s v="SOLFIN"/>
    <s v="CCMS"/>
    <n v="21338270"/>
    <n v="24252.38"/>
    <m/>
    <s v="N"/>
    <n v="90"/>
    <d v="2023-07-06T19:21:15"/>
    <s v="Y"/>
    <s v="Preparation - other"/>
    <s v="Care Remuneration Hourly Rates"/>
    <s v="Profit Cost"/>
    <s v="Penny Dukes"/>
    <s v="Y"/>
    <n v="5.93"/>
    <n v="1.19"/>
    <x v="4"/>
    <s v="VALIDATED"/>
    <n v="1"/>
    <s v="01.11.80.308.6100.0000"/>
    <n v="5.93"/>
    <s v="11"/>
    <s v="6100"/>
    <n v="30594.15"/>
    <n v="5.93"/>
    <s v="CREDITOR"/>
    <n v="0"/>
    <n v="0"/>
    <n v="0"/>
    <n v="0"/>
    <n v="5.93"/>
  </r>
  <r>
    <n v="60631907"/>
    <s v="N"/>
    <n v="21331360"/>
    <s v="3000014878960007"/>
    <s v="CIVIL"/>
    <d v="2023-06-28T00:00:00"/>
    <d v="2023-07-05T19:01:47"/>
    <m/>
    <d v="2023-07-05T00:00:00"/>
    <n v="1205"/>
    <n v="18696"/>
    <s v="60631907"/>
    <s v="60631907"/>
    <m/>
    <m/>
    <n v="22783676"/>
    <m/>
    <m/>
    <m/>
    <s v="SOLFIN"/>
    <s v="SOLFIN"/>
    <s v="CCMS"/>
    <n v="21331360"/>
    <n v="9637.15"/>
    <m/>
    <s v="N"/>
    <n v="16"/>
    <d v="2023-07-05T19:02:16"/>
    <s v="Y"/>
    <s v="Routine Letter In"/>
    <s v="Prescribed Hourly Rates"/>
    <s v="Profit Cost"/>
    <s v="Shrinder Chaggar"/>
    <s v="Y"/>
    <n v="1009.8"/>
    <n v="201.92"/>
    <x v="6"/>
    <s v="VALIDATED"/>
    <n v="1"/>
    <s v="01.11.80.307.6100.0000"/>
    <n v="1009.8"/>
    <s v="11"/>
    <s v="6100"/>
    <n v="30594.15"/>
    <n v="1009.8"/>
    <s v="CREDITOR"/>
    <n v="0"/>
    <n v="0"/>
    <n v="0"/>
    <n v="0"/>
    <n v="1009.8"/>
  </r>
  <r>
    <n v="60631907"/>
    <s v="N"/>
    <n v="21331360"/>
    <s v="3000014878960007"/>
    <s v="CIVIL"/>
    <d v="2023-06-28T00:00:00"/>
    <d v="2023-07-05T19:01:47"/>
    <m/>
    <d v="2023-07-05T00:00:00"/>
    <n v="1205"/>
    <n v="18696"/>
    <s v="60631907"/>
    <s v="60631907"/>
    <m/>
    <m/>
    <n v="22783676"/>
    <m/>
    <m/>
    <m/>
    <s v="SOLFIN"/>
    <s v="SOLFIN"/>
    <s v="CCMS"/>
    <n v="21331360"/>
    <n v="9637.15"/>
    <m/>
    <s v="N"/>
    <n v="27"/>
    <d v="2023-07-05T19:02:16"/>
    <s v="Y"/>
    <s v="Attendance upon client"/>
    <s v="Prescribed Hourly Rates"/>
    <s v="Profit Cost"/>
    <s v="Andrew Crumpton"/>
    <s v="Y"/>
    <n v="6.86"/>
    <n v="1.37"/>
    <x v="6"/>
    <s v="VALIDATED"/>
    <n v="1"/>
    <s v="01.11.80.307.6100.0000"/>
    <n v="6.86"/>
    <s v="11"/>
    <s v="6100"/>
    <n v="30594.15"/>
    <n v="6.86"/>
    <s v="CREDITOR"/>
    <n v="0"/>
    <n v="0"/>
    <n v="0"/>
    <n v="0"/>
    <n v="6.86"/>
  </r>
  <r>
    <n v="60631907"/>
    <s v="N"/>
    <n v="21331360"/>
    <s v="3000014878960007"/>
    <s v="CIVIL"/>
    <d v="2023-06-28T00:00:00"/>
    <d v="2023-07-05T19:01:47"/>
    <m/>
    <d v="2023-07-05T00:00:00"/>
    <n v="1205"/>
    <n v="18696"/>
    <s v="60631907"/>
    <s v="60631907"/>
    <m/>
    <m/>
    <n v="22783676"/>
    <m/>
    <m/>
    <m/>
    <s v="SOLFIN"/>
    <s v="SOLFIN"/>
    <s v="CCMS"/>
    <n v="21331360"/>
    <n v="9637.15"/>
    <m/>
    <s v="N"/>
    <n v="88"/>
    <d v="2023-07-05T19:02:16"/>
    <s v="Y"/>
    <s v="Preparation - other"/>
    <s v="Prescribed Hourly Rates"/>
    <s v="Profit Cost"/>
    <s v="Andrew Crumpton"/>
    <s v="Y"/>
    <n v="27.45"/>
    <n v="5.49"/>
    <x v="6"/>
    <s v="VALIDATED"/>
    <n v="1"/>
    <s v="01.11.80.307.6100.0000"/>
    <n v="27.45"/>
    <s v="11"/>
    <s v="6100"/>
    <n v="30594.15"/>
    <n v="27.45"/>
    <s v="CREDITOR"/>
    <n v="0"/>
    <n v="0"/>
    <n v="0"/>
    <n v="0"/>
    <n v="27.45"/>
  </r>
  <r>
    <n v="60744883"/>
    <s v="N"/>
    <n v="21330927"/>
    <s v="3000014987240008"/>
    <s v="CIVIL"/>
    <d v="2023-06-22T00:00:00"/>
    <d v="2023-07-05T19:01:47"/>
    <m/>
    <d v="2023-07-05T00:00:00"/>
    <n v="1205"/>
    <n v="18696"/>
    <s v="60744883"/>
    <s v="60744883"/>
    <m/>
    <m/>
    <n v="22745992"/>
    <m/>
    <m/>
    <m/>
    <s v="SOLFIN"/>
    <s v="SOLFIN"/>
    <s v="CCMS"/>
    <n v="21330927"/>
    <n v="13790.5"/>
    <m/>
    <s v="N"/>
    <n v="9"/>
    <d v="2023-07-05T19:01:57"/>
    <s v="Y"/>
    <s v="Advocacy - In court behind counsel"/>
    <s v="Care Remuneration Hourly Rates"/>
    <s v="Advocacy"/>
    <s v="Alix Reynolds"/>
    <s v="Y"/>
    <n v="88.2"/>
    <n v="17.64"/>
    <x v="6"/>
    <s v="VALIDATED"/>
    <n v="1"/>
    <s v="01.11.80.308.6100.0000"/>
    <n v="88.2"/>
    <s v="11"/>
    <s v="6100"/>
    <n v="30594.15"/>
    <n v="88.2"/>
    <s v="CREDITOR"/>
    <n v="0"/>
    <n v="0"/>
    <n v="0"/>
    <n v="0"/>
    <n v="88.2"/>
  </r>
  <r>
    <n v="60744883"/>
    <s v="N"/>
    <n v="21330927"/>
    <s v="3000014987240008"/>
    <s v="CIVIL"/>
    <d v="2023-06-22T00:00:00"/>
    <d v="2023-07-05T19:01:47"/>
    <m/>
    <d v="2023-07-05T00:00:00"/>
    <n v="1205"/>
    <n v="18696"/>
    <s v="60744883"/>
    <s v="60744883"/>
    <m/>
    <m/>
    <n v="22745992"/>
    <m/>
    <m/>
    <m/>
    <s v="SOLFIN"/>
    <s v="SOLFIN"/>
    <s v="CCMS"/>
    <n v="21330927"/>
    <n v="13790.5"/>
    <m/>
    <s v="N"/>
    <n v="44"/>
    <d v="2023-07-05T19:01:57"/>
    <s v="Y"/>
    <s v="Preparation - other"/>
    <s v="Care Remuneration Hourly Rates"/>
    <s v="Profit Cost"/>
    <s v="Amanda Leonard"/>
    <s v="Y"/>
    <n v="15.77"/>
    <n v="3.15"/>
    <x v="6"/>
    <s v="VALIDATED"/>
    <n v="1"/>
    <s v="01.11.80.308.6100.0000"/>
    <n v="15.77"/>
    <s v="11"/>
    <s v="6100"/>
    <n v="30594.15"/>
    <n v="15.77"/>
    <s v="CREDITOR"/>
    <n v="0"/>
    <n v="0"/>
    <n v="0"/>
    <n v="0"/>
    <n v="15.77"/>
  </r>
  <r>
    <n v="60867047"/>
    <s v="N"/>
    <n v="21349869"/>
    <s v="3000015089740008"/>
    <s v="CIVIL"/>
    <d v="2023-06-26T00:00:00"/>
    <d v="2023-07-10T19:01:40"/>
    <m/>
    <d v="2023-07-10T00:00:00"/>
    <n v="1205"/>
    <n v="18696"/>
    <s v="60867047"/>
    <s v="60867047"/>
    <m/>
    <m/>
    <n v="22762804"/>
    <m/>
    <m/>
    <m/>
    <s v="SOLFIN"/>
    <s v="SOLFIN"/>
    <s v="CCMS"/>
    <n v="21349869"/>
    <n v="11255.82"/>
    <m/>
    <s v="N"/>
    <n v="23"/>
    <d v="2023-07-10T19:02:01"/>
    <s v="Y"/>
    <s v="Solicitors Fixed Fee"/>
    <s v="Public Law Children"/>
    <s v="Profit Cost"/>
    <s v="Charlotte Raybould"/>
    <s v="Y"/>
    <n v="2630"/>
    <n v="526"/>
    <x v="2"/>
    <s v="VALIDATED"/>
    <n v="1"/>
    <s v="01.11.80.308.6100.0000"/>
    <n v="2630"/>
    <s v="11"/>
    <s v="6100"/>
    <n v="30594.15"/>
    <n v="2630"/>
    <s v="CREDITOR"/>
    <n v="0"/>
    <n v="0"/>
    <n v="0"/>
    <n v="0"/>
    <n v="2630"/>
  </r>
  <r>
    <n v="60740536"/>
    <s v="N"/>
    <n v="21343872"/>
    <s v="3000014983190011"/>
    <s v="CIVIL"/>
    <d v="2023-06-27T00:00:00"/>
    <d v="2023-07-07T19:03:00"/>
    <m/>
    <d v="2023-07-07T00:00:00"/>
    <n v="1205"/>
    <n v="18696"/>
    <s v="60740536"/>
    <s v="60740536"/>
    <m/>
    <m/>
    <n v="22766106"/>
    <m/>
    <m/>
    <m/>
    <s v="SOLFIN"/>
    <s v="SOLFIN"/>
    <s v="CCMS"/>
    <n v="21343872"/>
    <n v="13395.68"/>
    <m/>
    <s v="N"/>
    <n v="88"/>
    <d v="2023-07-07T19:03:15"/>
    <s v="Y"/>
    <s v="Hearing Unit 2.31 - 5.00 Hours"/>
    <s v="Public Law Children"/>
    <s v="Advocacy"/>
    <s v="Charlotte Raybould"/>
    <s v="Y"/>
    <n v="476.92"/>
    <n v="95.38"/>
    <x v="9"/>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70"/>
    <d v="2023-07-07T19:03:15"/>
    <s v="Y"/>
    <s v="Preparation - drafting consent orde"/>
    <s v="Care Remuneration Hourly Rates"/>
    <s v="Profit Cost"/>
    <s v="Eliot Brooke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1"/>
    <d v="2023-07-07T19:03:15"/>
    <s v="Y"/>
    <s v="Court Fee"/>
    <s v="Care Remuneration Hourly Rates"/>
    <s v="Non Expert Disbursement"/>
    <s v="Charlotte Raybould"/>
    <s v="Y"/>
    <n v="53"/>
    <n v="0"/>
    <x v="9"/>
    <s v="VALIDATED"/>
    <n v="1"/>
    <s v="01.11.80.308.6300.0000"/>
    <n v="53"/>
    <s v="11"/>
    <s v="6300"/>
    <n v="30594.15"/>
    <n v="53"/>
    <s v="CREDITOR"/>
    <n v="0"/>
    <n v="0"/>
    <n v="0"/>
    <n v="0"/>
    <n v="53"/>
  </r>
  <r>
    <n v="48504544"/>
    <s v="N"/>
    <n v="21344092"/>
    <s v="3000012074710009"/>
    <s v="CIVIL"/>
    <d v="2023-06-29T00:00:00"/>
    <d v="2023-07-07T19:03:00"/>
    <m/>
    <d v="2023-07-07T00:00:00"/>
    <n v="1205"/>
    <n v="18696"/>
    <s v="48504544"/>
    <s v="48504544"/>
    <m/>
    <m/>
    <n v="22787308"/>
    <m/>
    <m/>
    <m/>
    <s v="SOLFIN"/>
    <s v="SOLFIN"/>
    <s v="CCMS"/>
    <n v="21344092"/>
    <n v="5824.29"/>
    <m/>
    <s v="N"/>
    <n v="25"/>
    <d v="2023-07-07T19:03:23"/>
    <s v="Y"/>
    <s v="Preparation - other"/>
    <s v="Prescribed Hourly Rates"/>
    <s v="Profit Cost"/>
    <s v="Penny Dukes"/>
    <s v="Y"/>
    <n v="5.49"/>
    <n v="1.1"/>
    <x v="9"/>
    <s v="VALIDATED"/>
    <n v="1"/>
    <s v="01.11.80.307.6100.0000"/>
    <n v="5.49"/>
    <s v="11"/>
    <s v="6100"/>
    <n v="30594.15"/>
    <n v="5.49"/>
    <s v="CREDITOR"/>
    <n v="0"/>
    <n v="0"/>
    <n v="0"/>
    <n v="0"/>
    <n v="5.49"/>
  </r>
  <r>
    <n v="60773030"/>
    <s v="N"/>
    <n v="21344084"/>
    <s v="3000015011890006"/>
    <s v="CIVIL"/>
    <d v="2023-06-29T00:00:00"/>
    <d v="2023-07-07T19:03:00"/>
    <m/>
    <d v="2023-07-07T00:00:00"/>
    <n v="1205"/>
    <n v="18696"/>
    <s v="60773030"/>
    <s v="60773030"/>
    <m/>
    <m/>
    <n v="22785194"/>
    <m/>
    <m/>
    <m/>
    <s v="SOLFIN"/>
    <s v="SOLFIN"/>
    <s v="CCMS"/>
    <n v="21344084"/>
    <n v="3274.89"/>
    <m/>
    <s v="N"/>
    <n v="25"/>
    <d v="2023-07-07T19:03:23"/>
    <s v="Y"/>
    <s v="Routine Letter Out"/>
    <s v="Prescribed Hourly Rates"/>
    <s v="Profit Cost"/>
    <s v="Narinder Singh"/>
    <s v="Y"/>
    <n v="428.49"/>
    <n v="85.64"/>
    <x v="9"/>
    <s v="VALIDATED"/>
    <n v="1"/>
    <s v="01.11.80.307.6100.0000"/>
    <n v="428.49"/>
    <s v="11"/>
    <s v="6100"/>
    <n v="30594.15"/>
    <n v="428.49"/>
    <s v="CREDITOR"/>
    <n v="0"/>
    <n v="0"/>
    <n v="0"/>
    <n v="0"/>
    <n v="428.49"/>
  </r>
  <r>
    <n v="54813547"/>
    <s v="N"/>
    <n v="21338270"/>
    <s v="3000013038820008"/>
    <s v="CIVIL"/>
    <d v="2023-06-27T00:00:00"/>
    <d v="2023-07-06T19:21:01"/>
    <m/>
    <d v="2023-07-06T00:00:00"/>
    <n v="1205"/>
    <n v="18696"/>
    <s v="54813547"/>
    <s v="54813547"/>
    <m/>
    <m/>
    <n v="22769992"/>
    <m/>
    <m/>
    <m/>
    <s v="SOLFIN"/>
    <s v="SOLFIN"/>
    <s v="CCMS"/>
    <n v="21338270"/>
    <n v="24252.38"/>
    <m/>
    <s v="N"/>
    <n v="75"/>
    <d v="2023-07-06T19:21:15"/>
    <s v="Y"/>
    <s v="Preparation - drafting consent orde"/>
    <s v="Care Remuneration Hourly Rates"/>
    <s v="Profit Cost"/>
    <s v="Anna Cooper"/>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81"/>
    <d v="2023-07-06T19:21:15"/>
    <s v="Y"/>
    <s v="Preparation - drafting consent orde"/>
    <s v="Care Remuneration Hourly Rates"/>
    <s v="Profit Cost"/>
    <s v="Eliot Brookes"/>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94"/>
    <d v="2023-07-06T19:21:15"/>
    <s v="Y"/>
    <s v="Preparation - drafting consent orde"/>
    <s v="Care Remuneration Hourly Rates"/>
    <s v="Profit Cost"/>
    <s v="Eliot Brookes"/>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19"/>
    <d v="2023-07-06T19:21:15"/>
    <s v="Y"/>
    <s v="Preparation - drafting pleadings"/>
    <s v="Care Remuneration Hourly Rates"/>
    <s v="Profit Cost"/>
    <s v="Charlotte Raybould"/>
    <s v="Y"/>
    <n v="88.89"/>
    <n v="17.78"/>
    <x v="4"/>
    <s v="VALIDATED"/>
    <n v="1"/>
    <s v="01.11.80.308.6100.0000"/>
    <n v="88.89"/>
    <s v="11"/>
    <s v="6100"/>
    <n v="30594.15"/>
    <n v="88.89"/>
    <s v="CREDITOR"/>
    <n v="0"/>
    <n v="0"/>
    <n v="0"/>
    <n v="0"/>
    <n v="88.89"/>
  </r>
  <r>
    <n v="54813547"/>
    <s v="N"/>
    <n v="21338270"/>
    <s v="3000013038820008"/>
    <s v="CIVIL"/>
    <d v="2023-06-27T00:00:00"/>
    <d v="2023-07-06T19:21:01"/>
    <m/>
    <d v="2023-07-06T00:00:00"/>
    <n v="1205"/>
    <n v="18696"/>
    <s v="54813547"/>
    <s v="54813547"/>
    <m/>
    <m/>
    <n v="22769992"/>
    <m/>
    <m/>
    <m/>
    <s v="SOLFIN"/>
    <s v="SOLFIN"/>
    <s v="CCMS"/>
    <n v="21338270"/>
    <n v="24252.38"/>
    <m/>
    <s v="N"/>
    <n v="13"/>
    <d v="2023-07-06T19:21:15"/>
    <s v="Y"/>
    <s v="Preparation - Periodic file review"/>
    <s v="Care Remuneration Hourly Rates"/>
    <s v="Profit Cost"/>
    <s v="Anna Cooper"/>
    <s v="Y"/>
    <n v="11.85"/>
    <n v="2.37"/>
    <x v="4"/>
    <s v="VALIDATED"/>
    <n v="1"/>
    <s v="01.11.80.308.6100.0000"/>
    <n v="11.85"/>
    <s v="11"/>
    <s v="6100"/>
    <n v="30594.15"/>
    <n v="11.85"/>
    <s v="CREDITOR"/>
    <n v="0"/>
    <n v="0"/>
    <n v="0"/>
    <n v="0"/>
    <n v="11.85"/>
  </r>
  <r>
    <n v="60631907"/>
    <s v="N"/>
    <n v="21331360"/>
    <s v="3000014878960007"/>
    <s v="CIVIL"/>
    <d v="2023-06-28T00:00:00"/>
    <d v="2023-07-05T19:01:47"/>
    <m/>
    <d v="2023-07-05T00:00:00"/>
    <n v="1205"/>
    <n v="18696"/>
    <s v="60631907"/>
    <s v="60631907"/>
    <m/>
    <m/>
    <n v="22783676"/>
    <m/>
    <m/>
    <m/>
    <s v="SOLFIN"/>
    <s v="SOLFIN"/>
    <s v="CCMS"/>
    <n v="21331360"/>
    <n v="9637.15"/>
    <m/>
    <s v="N"/>
    <n v="37"/>
    <d v="2023-07-05T19:02:16"/>
    <s v="Y"/>
    <s v="Attendance upon court"/>
    <s v="Prescribed Hourly Rates"/>
    <s v="Profit Cost"/>
    <s v="Andrew Crumpton"/>
    <s v="Y"/>
    <n v="68.63"/>
    <n v="13.73"/>
    <x v="6"/>
    <s v="VALIDATED"/>
    <n v="1"/>
    <s v="01.11.80.307.6100.0000"/>
    <n v="68.63"/>
    <s v="11"/>
    <s v="6100"/>
    <n v="30594.15"/>
    <n v="68.63"/>
    <s v="CREDITOR"/>
    <n v="0"/>
    <n v="0"/>
    <n v="0"/>
    <n v="0"/>
    <n v="68.63"/>
  </r>
  <r>
    <n v="60744883"/>
    <s v="N"/>
    <n v="21330927"/>
    <s v="3000014987240008"/>
    <s v="CIVIL"/>
    <d v="2023-06-22T00:00:00"/>
    <d v="2023-07-05T19:01:47"/>
    <m/>
    <d v="2023-07-05T00:00:00"/>
    <n v="1205"/>
    <n v="18696"/>
    <s v="60744883"/>
    <s v="60744883"/>
    <m/>
    <m/>
    <n v="22745992"/>
    <m/>
    <m/>
    <m/>
    <s v="SOLFIN"/>
    <s v="SOLFIN"/>
    <s v="CCMS"/>
    <n v="21330927"/>
    <n v="13790.5"/>
    <m/>
    <s v="N"/>
    <n v="10"/>
    <d v="2023-07-05T19:01:57"/>
    <s v="Y"/>
    <s v="Preparation - other"/>
    <s v="Care Remuneration Hourly Rates"/>
    <s v="Profit Cost"/>
    <s v="Alix Reynolds"/>
    <s v="Y"/>
    <n v="46"/>
    <n v="9.199999999999999"/>
    <x v="6"/>
    <s v="VALIDATED"/>
    <n v="1"/>
    <s v="01.11.80.308.6100.0000"/>
    <n v="46"/>
    <s v="11"/>
    <s v="6100"/>
    <n v="30594.15"/>
    <n v="46"/>
    <s v="CREDITOR"/>
    <n v="0"/>
    <n v="0"/>
    <n v="0"/>
    <n v="0"/>
    <n v="46"/>
  </r>
  <r>
    <n v="60744883"/>
    <s v="N"/>
    <n v="21330927"/>
    <s v="3000014987240008"/>
    <s v="CIVIL"/>
    <d v="2023-06-22T00:00:00"/>
    <d v="2023-07-05T19:01:47"/>
    <m/>
    <d v="2023-07-05T00:00:00"/>
    <n v="1205"/>
    <n v="18696"/>
    <s v="60744883"/>
    <s v="60744883"/>
    <m/>
    <m/>
    <n v="22745992"/>
    <m/>
    <m/>
    <m/>
    <s v="SOLFIN"/>
    <s v="SOLFIN"/>
    <s v="CCMS"/>
    <n v="21330927"/>
    <n v="13790.5"/>
    <m/>
    <s v="N"/>
    <n v="6"/>
    <d v="2023-07-05T19:01:57"/>
    <s v="Y"/>
    <s v="Advocacy - In court behind counsel"/>
    <s v="Care Remuneration Hourly Rates"/>
    <s v="Advocacy"/>
    <s v="Alix Reynolds"/>
    <s v="Y"/>
    <n v="147"/>
    <n v="29.4"/>
    <x v="6"/>
    <s v="VALIDATED"/>
    <n v="1"/>
    <s v="01.11.80.308.6100.0000"/>
    <n v="147"/>
    <s v="11"/>
    <s v="6100"/>
    <n v="30594.15"/>
    <n v="147"/>
    <s v="CREDITOR"/>
    <n v="0"/>
    <n v="0"/>
    <n v="0"/>
    <n v="0"/>
    <n v="147"/>
  </r>
  <r>
    <n v="54813547"/>
    <s v="N"/>
    <n v="21338270"/>
    <s v="3000013038820008"/>
    <s v="CIVIL"/>
    <d v="2023-06-27T00:00:00"/>
    <d v="2023-07-06T19:21:01"/>
    <m/>
    <d v="2023-07-06T00:00:00"/>
    <n v="1205"/>
    <n v="18696"/>
    <s v="54813547"/>
    <s v="54813547"/>
    <m/>
    <m/>
    <n v="22769992"/>
    <m/>
    <m/>
    <m/>
    <s v="SOLFIN"/>
    <s v="SOLFIN"/>
    <s v="CCMS"/>
    <n v="21338270"/>
    <n v="24252.38"/>
    <m/>
    <s v="N"/>
    <n v="9"/>
    <d v="2023-07-06T19:21:15"/>
    <s v="Y"/>
    <s v="Preparation - drafting statement"/>
    <s v="Care Remuneration Hourly Rates"/>
    <s v="Profit Cost"/>
    <s v="Shrinder Chaggar"/>
    <s v="Y"/>
    <n v="85.43000000000001"/>
    <n v="17.09"/>
    <x v="4"/>
    <s v="VALIDATED"/>
    <n v="1"/>
    <s v="01.11.80.308.6100.0000"/>
    <n v="85.43000000000001"/>
    <s v="11"/>
    <s v="6100"/>
    <n v="30594.15"/>
    <n v="85.43000000000001"/>
    <s v="CREDITOR"/>
    <n v="0"/>
    <n v="0"/>
    <n v="0"/>
    <n v="0"/>
    <n v="85.43000000000001"/>
  </r>
  <r>
    <n v="54813547"/>
    <s v="N"/>
    <n v="21338270"/>
    <s v="3000013038820008"/>
    <s v="CIVIL"/>
    <d v="2023-06-27T00:00:00"/>
    <d v="2023-07-06T19:21:01"/>
    <m/>
    <d v="2023-07-06T00:00:00"/>
    <n v="1205"/>
    <n v="18696"/>
    <s v="54813547"/>
    <s v="54813547"/>
    <m/>
    <m/>
    <n v="22769992"/>
    <m/>
    <m/>
    <m/>
    <s v="SOLFIN"/>
    <s v="SOLFIN"/>
    <s v="CCMS"/>
    <n v="21338270"/>
    <n v="24252.38"/>
    <m/>
    <s v="N"/>
    <n v="12"/>
    <d v="2023-07-06T19:21:15"/>
    <s v="Y"/>
    <s v="Report - Welfare report"/>
    <s v="Care Remuneration Hourly Rates"/>
    <s v="Profit Cost"/>
    <s v="Charlotte Raybould"/>
    <s v="Y"/>
    <n v="74.08"/>
    <n v="14.82"/>
    <x v="4"/>
    <s v="VALIDATED"/>
    <n v="1"/>
    <s v="01.11.80.308.6100.0000"/>
    <n v="74.08"/>
    <s v="11"/>
    <s v="6100"/>
    <n v="30594.15"/>
    <n v="74.08"/>
    <s v="CREDITOR"/>
    <n v="0"/>
    <n v="0"/>
    <n v="0"/>
    <n v="0"/>
    <n v="74.08"/>
  </r>
  <r>
    <n v="54813547"/>
    <s v="N"/>
    <n v="21338270"/>
    <s v="3000013038820008"/>
    <s v="CIVIL"/>
    <d v="2023-06-27T00:00:00"/>
    <d v="2023-07-06T19:21:01"/>
    <m/>
    <d v="2023-07-06T00:00:00"/>
    <n v="1205"/>
    <n v="18696"/>
    <s v="54813547"/>
    <s v="54813547"/>
    <m/>
    <m/>
    <n v="22769992"/>
    <m/>
    <m/>
    <m/>
    <s v="SOLFIN"/>
    <s v="SOLFIN"/>
    <s v="CCMS"/>
    <n v="21338270"/>
    <n v="24252.38"/>
    <m/>
    <s v="N"/>
    <n v="24"/>
    <d v="2023-07-06T19:21:15"/>
    <s v="Y"/>
    <s v="Attendance upon client"/>
    <s v="Care Remuneration Hourly Rates"/>
    <s v="Profit Cost"/>
    <s v="Charlotte Raybould"/>
    <s v="Y"/>
    <n v="22.23"/>
    <n v="4.45"/>
    <x v="4"/>
    <s v="VALIDATED"/>
    <n v="1"/>
    <s v="01.11.80.308.6100.0000"/>
    <n v="22.23"/>
    <s v="11"/>
    <s v="6100"/>
    <n v="30594.15"/>
    <n v="22.23"/>
    <s v="CREDITOR"/>
    <n v="0"/>
    <n v="0"/>
    <n v="0"/>
    <n v="0"/>
    <n v="22.23"/>
  </r>
  <r>
    <n v="54813547"/>
    <s v="N"/>
    <n v="21338270"/>
    <s v="3000013038820008"/>
    <s v="CIVIL"/>
    <d v="2023-06-27T00:00:00"/>
    <d v="2023-07-06T19:21:01"/>
    <m/>
    <d v="2023-07-06T00:00:00"/>
    <n v="1205"/>
    <n v="18696"/>
    <s v="54813547"/>
    <s v="54813547"/>
    <m/>
    <m/>
    <n v="22769992"/>
    <m/>
    <m/>
    <m/>
    <s v="SOLFIN"/>
    <s v="SOLFIN"/>
    <s v="CCMS"/>
    <n v="21338270"/>
    <n v="24252.38"/>
    <m/>
    <s v="N"/>
    <n v="43"/>
    <d v="2023-07-06T19:21:15"/>
    <s v="Y"/>
    <s v="Preparation - other"/>
    <s v="Care Remuneration Hourly Rates"/>
    <s v="Profit Cost"/>
    <s v="Darren Plant"/>
    <s v="Y"/>
    <n v="5.93"/>
    <n v="1.19"/>
    <x v="4"/>
    <s v="VALIDATED"/>
    <n v="1"/>
    <s v="01.11.80.308.6100.0000"/>
    <n v="5.93"/>
    <s v="11"/>
    <s v="6100"/>
    <n v="30594.15"/>
    <n v="5.93"/>
    <s v="CREDITOR"/>
    <n v="0"/>
    <n v="0"/>
    <n v="0"/>
    <n v="0"/>
    <n v="5.93"/>
  </r>
  <r>
    <n v="60740536"/>
    <s v="N"/>
    <n v="21343872"/>
    <s v="3000014983190011"/>
    <s v="CIVIL"/>
    <d v="2023-06-27T00:00:00"/>
    <d v="2023-07-07T19:03:00"/>
    <m/>
    <d v="2023-07-07T00:00:00"/>
    <n v="1205"/>
    <n v="18696"/>
    <s v="60740536"/>
    <s v="60740536"/>
    <m/>
    <m/>
    <n v="22766106"/>
    <m/>
    <m/>
    <m/>
    <s v="SOLFIN"/>
    <s v="SOLFIN"/>
    <s v="CCMS"/>
    <n v="21343872"/>
    <n v="13395.68"/>
    <m/>
    <s v="N"/>
    <n v="18"/>
    <d v="2023-07-07T19:03:15"/>
    <s v="Y"/>
    <s v="Preparation - drafting application"/>
    <s v="Care Remuneration Hourly Rates"/>
    <s v="Profit Cost"/>
    <s v="Anna Cooper"/>
    <s v="Y"/>
    <n v="26.29"/>
    <n v="5.26"/>
    <x v="9"/>
    <s v="VALIDATED"/>
    <n v="1"/>
    <s v="01.11.80.308.6100.0000"/>
    <n v="26.29"/>
    <s v="11"/>
    <s v="6100"/>
    <n v="30594.15"/>
    <n v="26.29"/>
    <s v="CREDITOR"/>
    <n v="0"/>
    <n v="0"/>
    <n v="0"/>
    <n v="0"/>
    <n v="26.29"/>
  </r>
  <r>
    <n v="60740536"/>
    <s v="N"/>
    <n v="21343872"/>
    <s v="3000014983190011"/>
    <s v="CIVIL"/>
    <d v="2023-06-27T00:00:00"/>
    <d v="2023-07-07T19:03:00"/>
    <m/>
    <d v="2023-07-07T00:00:00"/>
    <n v="1205"/>
    <n v="18696"/>
    <s v="60740536"/>
    <s v="60740536"/>
    <m/>
    <m/>
    <n v="22766106"/>
    <m/>
    <m/>
    <m/>
    <s v="SOLFIN"/>
    <s v="SOLFIN"/>
    <s v="CCMS"/>
    <n v="21343872"/>
    <n v="13395.68"/>
    <m/>
    <s v="N"/>
    <n v="61"/>
    <d v="2023-07-07T19:03:15"/>
    <s v="Y"/>
    <s v="Preparation - other"/>
    <s v="Care Remuneration Hourly Rates"/>
    <s v="Profit Cost"/>
    <s v="Darren Plant"/>
    <s v="Y"/>
    <n v="5.26"/>
    <n v="1.05"/>
    <x v="9"/>
    <s v="VALIDATED"/>
    <n v="1"/>
    <s v="01.11.80.308.6100.0000"/>
    <n v="5.26"/>
    <s v="11"/>
    <s v="6100"/>
    <n v="30594.15"/>
    <n v="5.26"/>
    <s v="CREDITOR"/>
    <n v="0"/>
    <n v="0"/>
    <n v="0"/>
    <n v="0"/>
    <n v="5.26"/>
  </r>
  <r>
    <n v="60764755"/>
    <s v="N"/>
    <n v="21337748"/>
    <s v="3000015002070010"/>
    <s v="CIVIL"/>
    <d v="2023-06-22T00:00:00"/>
    <d v="2023-07-06T19:21:01"/>
    <m/>
    <d v="2023-07-06T00:00:00"/>
    <n v="1205"/>
    <n v="18696"/>
    <s v="60764755"/>
    <s v="60764755"/>
    <m/>
    <m/>
    <n v="22741190"/>
    <m/>
    <m/>
    <m/>
    <s v="SOLFIN"/>
    <s v="SOLFIN"/>
    <s v="CCMS"/>
    <n v="21337748"/>
    <n v="11125.15"/>
    <m/>
    <s v="N"/>
    <n v="1"/>
    <d v="2023-07-06T19:21:07"/>
    <s v="Y"/>
    <s v="Interim Hearing Court Bundle/Advoca"/>
    <s v="Public Law Children"/>
    <s v="Advocacy"/>
    <s v="Charlotte Raybould"/>
    <s v="Y"/>
    <n v="59.4"/>
    <n v="11.88"/>
    <x v="4"/>
    <s v="VALIDATED"/>
    <n v="1"/>
    <s v="01.11.80.308.6100.0000"/>
    <n v="59.4"/>
    <s v="11"/>
    <s v="6100"/>
    <n v="30594.15"/>
    <n v="59.4"/>
    <s v="CREDITOR"/>
    <n v="0"/>
    <n v="0"/>
    <n v="0"/>
    <n v="0"/>
    <n v="59.4"/>
  </r>
  <r>
    <n v="60631907"/>
    <s v="N"/>
    <n v="21331360"/>
    <s v="3000014878960007"/>
    <s v="CIVIL"/>
    <d v="2023-06-28T00:00:00"/>
    <d v="2023-07-05T19:01:47"/>
    <m/>
    <d v="2023-07-05T00:00:00"/>
    <n v="1205"/>
    <n v="18696"/>
    <s v="60631907"/>
    <s v="60631907"/>
    <m/>
    <m/>
    <n v="22783676"/>
    <m/>
    <m/>
    <m/>
    <s v="SOLFIN"/>
    <s v="SOLFIN"/>
    <s v="CCMS"/>
    <n v="21331360"/>
    <n v="9637.15"/>
    <m/>
    <s v="N"/>
    <n v="32"/>
    <d v="2023-07-05T19:02:16"/>
    <s v="Y"/>
    <s v="Report - other"/>
    <s v="Prescribed Hourly Rates"/>
    <s v="Profit Cost"/>
    <s v="Isabel Griffith"/>
    <s v="Y"/>
    <n v="16.47"/>
    <n v="3.29"/>
    <x v="6"/>
    <s v="VALIDATED"/>
    <n v="1"/>
    <s v="01.11.80.307.6100.0000"/>
    <n v="16.47"/>
    <s v="11"/>
    <s v="6100"/>
    <n v="30594.15"/>
    <n v="16.47"/>
    <s v="CREDITOR"/>
    <n v="0"/>
    <n v="0"/>
    <n v="0"/>
    <n v="0"/>
    <n v="16.47"/>
  </r>
  <r>
    <n v="60744883"/>
    <s v="N"/>
    <n v="21330927"/>
    <s v="3000014987240008"/>
    <s v="CIVIL"/>
    <d v="2023-06-22T00:00:00"/>
    <d v="2023-07-05T19:01:47"/>
    <m/>
    <d v="2023-07-05T00:00:00"/>
    <n v="1205"/>
    <n v="18696"/>
    <s v="60744883"/>
    <s v="60744883"/>
    <m/>
    <m/>
    <n v="22745992"/>
    <m/>
    <m/>
    <m/>
    <s v="SOLFIN"/>
    <s v="SOLFIN"/>
    <s v="CCMS"/>
    <n v="21330927"/>
    <n v="13790.5"/>
    <m/>
    <s v="N"/>
    <n v="75"/>
    <d v="2023-07-05T19:01:57"/>
    <s v="Y"/>
    <s v="Advocates Meeting"/>
    <s v="Public Law Children"/>
    <s v="Advocacy"/>
    <s v="Alix Reynolds"/>
    <s v="Y"/>
    <n v="140.99"/>
    <n v="28.2"/>
    <x v="6"/>
    <s v="VALIDATED"/>
    <n v="1"/>
    <s v="01.11.80.308.6100.0000"/>
    <n v="140.99"/>
    <s v="11"/>
    <s v="6100"/>
    <n v="30594.15"/>
    <n v="140.99"/>
    <s v="CREDITOR"/>
    <n v="0"/>
    <n v="0"/>
    <n v="0"/>
    <n v="0"/>
    <n v="140.99"/>
  </r>
  <r>
    <n v="60744883"/>
    <s v="N"/>
    <n v="21330927"/>
    <s v="3000014987240008"/>
    <s v="CIVIL"/>
    <d v="2023-06-22T00:00:00"/>
    <d v="2023-07-05T19:01:47"/>
    <m/>
    <d v="2023-07-05T00:00:00"/>
    <n v="1205"/>
    <n v="18696"/>
    <s v="60744883"/>
    <s v="60744883"/>
    <m/>
    <m/>
    <n v="22745992"/>
    <m/>
    <m/>
    <m/>
    <s v="SOLFIN"/>
    <s v="SOLFIN"/>
    <s v="CCMS"/>
    <n v="21330927"/>
    <n v="13790.5"/>
    <m/>
    <s v="N"/>
    <n v="53"/>
    <d v="2023-07-05T19:01:57"/>
    <s v="Y"/>
    <s v="Routine Letter In"/>
    <s v="Care Remuneration Hourly Rates"/>
    <s v="Profit Cost"/>
    <s v="Narinder Singh"/>
    <s v="Y"/>
    <n v="812.71"/>
    <n v="162.54"/>
    <x v="6"/>
    <s v="VALIDATED"/>
    <n v="1"/>
    <s v="01.11.80.308.6100.0000"/>
    <n v="812.71"/>
    <s v="11"/>
    <s v="6100"/>
    <n v="30594.15"/>
    <n v="812.71"/>
    <s v="CREDITOR"/>
    <n v="0"/>
    <n v="0"/>
    <n v="0"/>
    <n v="0"/>
    <n v="812.71"/>
  </r>
  <r>
    <n v="60773030"/>
    <s v="N"/>
    <n v="21344084"/>
    <s v="3000015011890006"/>
    <s v="CIVIL"/>
    <d v="2023-06-29T00:00:00"/>
    <d v="2023-07-07T19:03:00"/>
    <m/>
    <d v="2023-07-07T00:00:00"/>
    <n v="1205"/>
    <n v="18696"/>
    <s v="60773030"/>
    <s v="60773030"/>
    <m/>
    <m/>
    <n v="22785194"/>
    <m/>
    <m/>
    <m/>
    <s v="SOLFIN"/>
    <s v="SOLFIN"/>
    <s v="CCMS"/>
    <n v="21344084"/>
    <n v="3274.89"/>
    <m/>
    <s v="N"/>
    <n v="44"/>
    <d v="2023-07-07T19:03:23"/>
    <s v="Y"/>
    <s v="Preparation - drafting pleadings"/>
    <s v="Prescribed Hourly Rates"/>
    <s v="Profit Cost"/>
    <s v="Narinder Singh"/>
    <s v="Y"/>
    <n v="37.88"/>
    <n v="7.58"/>
    <x v="9"/>
    <s v="VALIDATED"/>
    <n v="1"/>
    <s v="01.11.80.307.6100.0000"/>
    <n v="37.88"/>
    <s v="11"/>
    <s v="6100"/>
    <n v="30594.15"/>
    <n v="37.88"/>
    <s v="CREDITOR"/>
    <n v="0"/>
    <n v="0"/>
    <n v="0"/>
    <n v="0"/>
    <n v="37.88"/>
  </r>
  <r>
    <n v="60773030"/>
    <s v="N"/>
    <n v="21344084"/>
    <s v="3000015011890006"/>
    <s v="CIVIL"/>
    <d v="2023-06-29T00:00:00"/>
    <d v="2023-07-07T19:03:00"/>
    <m/>
    <d v="2023-07-07T00:00:00"/>
    <n v="1205"/>
    <n v="18696"/>
    <s v="60773030"/>
    <s v="60773030"/>
    <m/>
    <m/>
    <n v="22785194"/>
    <m/>
    <m/>
    <m/>
    <s v="SOLFIN"/>
    <s v="SOLFIN"/>
    <s v="CCMS"/>
    <n v="21344084"/>
    <n v="3274.89"/>
    <m/>
    <s v="N"/>
    <n v="10"/>
    <d v="2023-07-07T19:03:23"/>
    <s v="Y"/>
    <s v="Routine Telephone Call"/>
    <s v="Prescribed Hourly Rates"/>
    <s v="Profit Cost"/>
    <s v="Alix Reynolds"/>
    <s v="Y"/>
    <n v="10.8"/>
    <n v="2.16"/>
    <x v="9"/>
    <s v="VALIDATED"/>
    <n v="1"/>
    <s v="01.11.80.307.6100.0000"/>
    <n v="10.8"/>
    <s v="11"/>
    <s v="6100"/>
    <n v="30594.15"/>
    <n v="10.8"/>
    <s v="CREDITOR"/>
    <n v="0"/>
    <n v="0"/>
    <n v="0"/>
    <n v="0"/>
    <n v="10.8"/>
  </r>
  <r>
    <n v="48504544"/>
    <s v="N"/>
    <n v="21344092"/>
    <s v="3000012074710009"/>
    <s v="CIVIL"/>
    <d v="2023-06-29T00:00:00"/>
    <d v="2023-07-07T19:03:00"/>
    <m/>
    <d v="2023-07-07T00:00:00"/>
    <n v="1205"/>
    <n v="18696"/>
    <s v="48504544"/>
    <s v="48504544"/>
    <m/>
    <m/>
    <n v="22787308"/>
    <m/>
    <m/>
    <m/>
    <s v="SOLFIN"/>
    <s v="SOLFIN"/>
    <s v="CCMS"/>
    <n v="21344092"/>
    <n v="5824.29"/>
    <m/>
    <s v="N"/>
    <n v="33"/>
    <d v="2023-07-07T19:03:23"/>
    <s v="Y"/>
    <s v="Court Fee"/>
    <s v="Prescribed Hourly Rates"/>
    <s v="Non Expert Disbursement"/>
    <s v="Charlotte Raybould"/>
    <s v="Y"/>
    <n v="167"/>
    <n v="0"/>
    <x v="9"/>
    <s v="VALIDATED"/>
    <n v="1"/>
    <s v="01.11.80.307.6300.0000"/>
    <n v="167"/>
    <s v="11"/>
    <s v="6300"/>
    <n v="30594.15"/>
    <n v="167"/>
    <s v="CREDITOR"/>
    <n v="0"/>
    <n v="0"/>
    <n v="0"/>
    <n v="0"/>
    <n v="167"/>
  </r>
  <r>
    <n v="60764755"/>
    <s v="N"/>
    <n v="21337748"/>
    <s v="3000015002070010"/>
    <s v="CIVIL"/>
    <d v="2023-06-22T00:00:00"/>
    <d v="2023-07-06T19:21:01"/>
    <m/>
    <d v="2023-07-06T00:00:00"/>
    <n v="1205"/>
    <n v="18696"/>
    <s v="60764755"/>
    <s v="60764755"/>
    <m/>
    <m/>
    <n v="22741190"/>
    <m/>
    <m/>
    <m/>
    <s v="SOLFIN"/>
    <s v="SOLFIN"/>
    <s v="CCMS"/>
    <n v="21337748"/>
    <n v="11125.15"/>
    <m/>
    <s v="N"/>
    <n v="9"/>
    <d v="2023-07-06T19:21:07"/>
    <s v="Y"/>
    <s v="Toxicologist"/>
    <s v="Public Law Children"/>
    <s v="Expert Disbursement"/>
    <s v="Charlotte Raybould"/>
    <s v="Y"/>
    <n v="186.25"/>
    <n v="37.25"/>
    <x v="4"/>
    <s v="VALIDATED"/>
    <n v="1"/>
    <s v="01.11.80.308.6300.0000"/>
    <n v="186.25"/>
    <s v="11"/>
    <s v="6300"/>
    <n v="30594.15"/>
    <n v="186.25"/>
    <s v="CREDITOR"/>
    <n v="0"/>
    <n v="0"/>
    <n v="0"/>
    <n v="0"/>
    <n v="186.25"/>
  </r>
  <r>
    <n v="62064082"/>
    <s v="N"/>
    <n v="21338470"/>
    <s v="3000016093980002"/>
    <s v="CIVIL"/>
    <d v="2023-06-30T00:00:00"/>
    <d v="2023-07-06T19:21:01"/>
    <m/>
    <d v="2023-07-06T00:00:00"/>
    <n v="1205"/>
    <n v="18696"/>
    <s v="62064082"/>
    <s v="62064082"/>
    <m/>
    <m/>
    <n v="22795524"/>
    <m/>
    <m/>
    <m/>
    <s v="SOLFIN"/>
    <s v="SOLFIN"/>
    <s v="CCMS"/>
    <n v="21338470"/>
    <n v="4130.93"/>
    <m/>
    <s v="N"/>
    <n v="5"/>
    <d v="2023-07-06T19:21:26"/>
    <s v="Y"/>
    <s v="Advocates Meeting"/>
    <s v="Public Law Children"/>
    <s v="Advocacy"/>
    <s v="Narinder Singh"/>
    <s v="Y"/>
    <n v="140.99"/>
    <n v="28.2"/>
    <x v="4"/>
    <s v="VALIDATED"/>
    <n v="1"/>
    <s v="01.11.80.308.6100.0000"/>
    <n v="140.99"/>
    <s v="11"/>
    <s v="6100"/>
    <n v="30594.15"/>
    <n v="140.99"/>
    <s v="CREDITOR"/>
    <n v="0"/>
    <n v="0"/>
    <n v="0"/>
    <n v="0"/>
    <n v="140.99"/>
  </r>
  <r>
    <n v="54813547"/>
    <s v="N"/>
    <n v="21338270"/>
    <s v="3000013038820008"/>
    <s v="CIVIL"/>
    <d v="2023-06-27T00:00:00"/>
    <d v="2023-07-06T19:21:01"/>
    <m/>
    <d v="2023-07-06T00:00:00"/>
    <n v="1205"/>
    <n v="18696"/>
    <s v="54813547"/>
    <s v="54813547"/>
    <m/>
    <m/>
    <n v="22769992"/>
    <m/>
    <m/>
    <m/>
    <s v="SOLFIN"/>
    <s v="SOLFIN"/>
    <s v="CCMS"/>
    <n v="21338270"/>
    <n v="24252.38"/>
    <m/>
    <s v="N"/>
    <n v="87"/>
    <d v="2023-07-06T19:21:15"/>
    <s v="Y"/>
    <s v="Preparation - other"/>
    <s v="Care Remuneration Hourly Rates"/>
    <s v="Profit Cost"/>
    <s v="Eliot Brookes"/>
    <s v="Y"/>
    <n v="183.71"/>
    <n v="36.74"/>
    <x v="4"/>
    <s v="VALIDATED"/>
    <n v="1"/>
    <s v="01.11.80.308.6100.0000"/>
    <n v="183.71"/>
    <s v="11"/>
    <s v="6100"/>
    <n v="30594.15"/>
    <n v="183.71"/>
    <s v="CREDITOR"/>
    <n v="0"/>
    <n v="0"/>
    <n v="0"/>
    <n v="0"/>
    <n v="183.71"/>
  </r>
  <r>
    <n v="54813547"/>
    <s v="N"/>
    <n v="21338270"/>
    <s v="3000013038820008"/>
    <s v="CIVIL"/>
    <d v="2023-06-27T00:00:00"/>
    <d v="2023-07-06T19:21:01"/>
    <m/>
    <d v="2023-07-06T00:00:00"/>
    <n v="1205"/>
    <n v="18696"/>
    <s v="54813547"/>
    <s v="54813547"/>
    <m/>
    <m/>
    <n v="22769992"/>
    <m/>
    <m/>
    <m/>
    <s v="SOLFIN"/>
    <s v="SOLFIN"/>
    <s v="CCMS"/>
    <n v="21338270"/>
    <n v="24252.38"/>
    <m/>
    <s v="N"/>
    <n v="92"/>
    <d v="2023-07-06T19:21:15"/>
    <s v="Y"/>
    <s v="Preparation - drafting statement"/>
    <s v="Care Remuneration Hourly Rates"/>
    <s v="Profit Cost"/>
    <s v="Charlotte Raybould"/>
    <s v="Y"/>
    <n v="74.08"/>
    <n v="14.82"/>
    <x v="4"/>
    <s v="VALIDATED"/>
    <n v="1"/>
    <s v="01.11.80.308.6100.0000"/>
    <n v="74.08"/>
    <s v="11"/>
    <s v="6100"/>
    <n v="30594.15"/>
    <n v="74.08"/>
    <s v="CREDITOR"/>
    <n v="0"/>
    <n v="0"/>
    <n v="0"/>
    <n v="0"/>
    <n v="74.08"/>
  </r>
  <r>
    <n v="61817409"/>
    <s v="N"/>
    <n v="21331158"/>
    <s v="3000015888300002"/>
    <s v="CIVIL"/>
    <d v="2023-06-27T00:00:00"/>
    <d v="2023-07-05T19:01:47"/>
    <m/>
    <d v="2023-07-05T00:00:00"/>
    <n v="1205"/>
    <n v="18696"/>
    <s v="61817409"/>
    <s v="61817409"/>
    <m/>
    <m/>
    <n v="22771972"/>
    <m/>
    <m/>
    <m/>
    <s v="SOLFIN"/>
    <s v="SOLFIN"/>
    <s v="CCMS"/>
    <n v="21331158"/>
    <n v="5951.96"/>
    <m/>
    <s v="N"/>
    <n v="1"/>
    <d v="2023-07-05T19:02:08"/>
    <s v="Y"/>
    <s v="Final Hearing Court Bundle/Advocate"/>
    <s v="Public Law Children"/>
    <s v="Advocacy"/>
    <s v="Narinder Singh"/>
    <s v="Y"/>
    <n v="239.4"/>
    <n v="47.88"/>
    <x v="6"/>
    <s v="VALIDATED"/>
    <n v="1"/>
    <s v="01.11.80.308.6100.0000"/>
    <n v="239.4"/>
    <s v="11"/>
    <s v="6100"/>
    <n v="30594.15"/>
    <n v="239.4"/>
    <s v="CREDITOR"/>
    <n v="0"/>
    <n v="0"/>
    <n v="0"/>
    <n v="0"/>
    <n v="239.4"/>
  </r>
  <r>
    <n v="60631907"/>
    <s v="N"/>
    <n v="21331360"/>
    <s v="3000014878960007"/>
    <s v="CIVIL"/>
    <d v="2023-06-28T00:00:00"/>
    <d v="2023-07-05T19:01:47"/>
    <m/>
    <d v="2023-07-05T00:00:00"/>
    <n v="1205"/>
    <n v="18696"/>
    <s v="60631907"/>
    <s v="60631907"/>
    <m/>
    <m/>
    <n v="22783676"/>
    <m/>
    <m/>
    <m/>
    <s v="SOLFIN"/>
    <s v="SOLFIN"/>
    <s v="CCMS"/>
    <n v="21331360"/>
    <n v="9637.15"/>
    <m/>
    <s v="N"/>
    <n v="25"/>
    <d v="2023-07-05T19:02:16"/>
    <s v="Y"/>
    <s v="Travel to attend client"/>
    <s v="Prescribed Hourly Rates"/>
    <s v="Profit Cost"/>
    <s v="Andrew Crumpton"/>
    <s v="Y"/>
    <n v="38.5"/>
    <n v="7.7"/>
    <x v="6"/>
    <s v="VALIDATED"/>
    <n v="1"/>
    <s v="01.11.80.307.6100.0000"/>
    <n v="38.5"/>
    <s v="11"/>
    <s v="6100"/>
    <n v="30594.15"/>
    <n v="38.5"/>
    <s v="CREDITOR"/>
    <n v="0"/>
    <n v="0"/>
    <n v="0"/>
    <n v="0"/>
    <n v="38.5"/>
  </r>
  <r>
    <n v="60631907"/>
    <s v="N"/>
    <n v="21331360"/>
    <s v="3000014878960007"/>
    <s v="CIVIL"/>
    <d v="2023-06-28T00:00:00"/>
    <d v="2023-07-05T19:01:47"/>
    <m/>
    <d v="2023-07-05T00:00:00"/>
    <n v="1205"/>
    <n v="18696"/>
    <s v="60631907"/>
    <s v="60631907"/>
    <m/>
    <m/>
    <n v="22783676"/>
    <m/>
    <m/>
    <m/>
    <s v="SOLFIN"/>
    <s v="SOLFIN"/>
    <s v="CCMS"/>
    <n v="21331360"/>
    <n v="9637.15"/>
    <m/>
    <s v="N"/>
    <n v="87"/>
    <d v="2023-07-05T19:02:16"/>
    <s v="Y"/>
    <s v="Preparation - other"/>
    <s v="Prescribed Hourly Rates"/>
    <s v="Profit Cost"/>
    <s v="Andrew Crumpton"/>
    <s v="Y"/>
    <n v="82.34999999999999"/>
    <n v="16.47"/>
    <x v="6"/>
    <s v="VALIDATED"/>
    <n v="1"/>
    <s v="01.11.80.307.6100.0000"/>
    <n v="82.34999999999999"/>
    <s v="11"/>
    <s v="6100"/>
    <n v="30594.15"/>
    <n v="82.34999999999999"/>
    <s v="CREDITOR"/>
    <n v="0"/>
    <n v="0"/>
    <n v="0"/>
    <n v="0"/>
    <n v="82.34999999999999"/>
  </r>
  <r>
    <n v="61764866"/>
    <s v="N"/>
    <n v="21327940"/>
    <s v="3000015843050003"/>
    <s v="CIVIL"/>
    <d v="2023-06-23T00:00:00"/>
    <d v="2023-07-04T19:00:44"/>
    <m/>
    <d v="2023-07-04T00:00:00"/>
    <n v="1205"/>
    <n v="18696"/>
    <s v="61764866"/>
    <s v="61764866"/>
    <m/>
    <m/>
    <n v="22755034"/>
    <m/>
    <m/>
    <m/>
    <s v="SOLFIN"/>
    <s v="SOLFIN"/>
    <s v="CCMS"/>
    <n v="21327940"/>
    <n v="4431.26"/>
    <m/>
    <s v="N"/>
    <n v="4"/>
    <d v="2023-07-04T19:00:59"/>
    <s v="Y"/>
    <s v="Toxicologist"/>
    <s v="Public Law Children"/>
    <s v="Expert Disbursement"/>
    <s v="Jas Tamber"/>
    <s v="Y"/>
    <n v="379.32"/>
    <n v="75.86"/>
    <x v="1"/>
    <s v="VALIDATED"/>
    <n v="1"/>
    <s v="01.11.80.308.6300.0000"/>
    <n v="379.32"/>
    <s v="11"/>
    <s v="6300"/>
    <n v="30594.15"/>
    <n v="379.32"/>
    <s v="CREDITOR"/>
    <n v="0"/>
    <n v="0"/>
    <n v="0"/>
    <n v="0"/>
    <n v="379.32"/>
  </r>
  <r>
    <n v="60867047"/>
    <s v="N"/>
    <n v="21349869"/>
    <s v="3000015089740008"/>
    <s v="CIVIL"/>
    <d v="2023-06-26T00:00:00"/>
    <d v="2023-07-10T19:01:40"/>
    <m/>
    <d v="2023-07-10T00:00:00"/>
    <n v="1205"/>
    <n v="18696"/>
    <s v="60867047"/>
    <s v="60867047"/>
    <m/>
    <m/>
    <n v="22762804"/>
    <m/>
    <m/>
    <m/>
    <s v="SOLFIN"/>
    <s v="SOLFIN"/>
    <s v="CCMS"/>
    <n v="21349869"/>
    <n v="11255.82"/>
    <m/>
    <s v="N"/>
    <n v="6"/>
    <d v="2023-07-10T19:02:01"/>
    <s v="Y"/>
    <s v="Paediatrician"/>
    <s v="Public Law Children"/>
    <s v="Expert Disbursement"/>
    <s v="Charlotte Raybould"/>
    <s v="Y"/>
    <n v="270"/>
    <n v="54"/>
    <x v="2"/>
    <s v="VALIDATED"/>
    <n v="1"/>
    <s v="01.11.80.308.6300.0000"/>
    <n v="270"/>
    <s v="11"/>
    <s v="6300"/>
    <n v="30594.15"/>
    <n v="270"/>
    <s v="CREDITOR"/>
    <n v="0"/>
    <n v="0"/>
    <n v="0"/>
    <n v="0"/>
    <n v="270"/>
  </r>
  <r>
    <n v="60740536"/>
    <s v="N"/>
    <n v="21343872"/>
    <s v="3000014983190011"/>
    <s v="CIVIL"/>
    <d v="2023-06-27T00:00:00"/>
    <d v="2023-07-07T19:03:00"/>
    <m/>
    <d v="2023-07-07T00:00:00"/>
    <n v="1205"/>
    <n v="18696"/>
    <s v="60740536"/>
    <s v="60740536"/>
    <m/>
    <m/>
    <n v="22766106"/>
    <m/>
    <m/>
    <m/>
    <s v="SOLFIN"/>
    <s v="SOLFIN"/>
    <s v="CCMS"/>
    <n v="21343872"/>
    <n v="13395.68"/>
    <m/>
    <s v="N"/>
    <n v="73"/>
    <d v="2023-07-07T19:03:15"/>
    <s v="Y"/>
    <s v="Preparation - other"/>
    <s v="Care Remuneration Hourly Rates"/>
    <s v="Profit Cost"/>
    <s v="Penny Duke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28"/>
    <d v="2023-07-07T19:03:15"/>
    <s v="Y"/>
    <s v="Preparation - other"/>
    <s v="Care Remuneration Hourly Rates"/>
    <s v="Profit Cost"/>
    <s v="Anna Cooper"/>
    <s v="Y"/>
    <n v="15.77"/>
    <n v="3.15"/>
    <x v="9"/>
    <s v="VALIDATED"/>
    <n v="1"/>
    <s v="01.11.80.308.6100.0000"/>
    <n v="15.77"/>
    <s v="11"/>
    <s v="6100"/>
    <n v="30594.15"/>
    <n v="15.77"/>
    <s v="CREDITOR"/>
    <n v="0"/>
    <n v="0"/>
    <n v="0"/>
    <n v="0"/>
    <n v="15.77"/>
  </r>
  <r>
    <n v="60740536"/>
    <s v="N"/>
    <n v="21343872"/>
    <s v="3000014983190011"/>
    <s v="CIVIL"/>
    <d v="2023-06-27T00:00:00"/>
    <d v="2023-07-07T19:03:00"/>
    <m/>
    <d v="2023-07-07T00:00:00"/>
    <n v="1205"/>
    <n v="18696"/>
    <s v="60740536"/>
    <s v="60740536"/>
    <m/>
    <m/>
    <n v="22766106"/>
    <m/>
    <m/>
    <m/>
    <s v="SOLFIN"/>
    <s v="SOLFIN"/>
    <s v="CCMS"/>
    <n v="21343872"/>
    <n v="13395.68"/>
    <m/>
    <s v="N"/>
    <n v="65"/>
    <d v="2023-07-07T19:03:15"/>
    <s v="Y"/>
    <s v="Preparation - drafting consent orde"/>
    <s v="Care Remuneration Hourly Rates"/>
    <s v="Profit Cost"/>
    <s v="Eliot Brooke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10"/>
    <d v="2023-07-07T19:03:15"/>
    <s v="Y"/>
    <s v="Preparation - drafting statement"/>
    <s v="Care Remuneration Hourly Rates"/>
    <s v="Profit Cost"/>
    <s v="Charlotte Raybould"/>
    <s v="Y"/>
    <n v="60.46"/>
    <n v="12.09"/>
    <x v="9"/>
    <s v="VALIDATED"/>
    <n v="1"/>
    <s v="01.11.80.308.6100.0000"/>
    <n v="60.46"/>
    <s v="11"/>
    <s v="6100"/>
    <n v="30594.15"/>
    <n v="60.46"/>
    <s v="CREDITOR"/>
    <n v="0"/>
    <n v="0"/>
    <n v="0"/>
    <n v="0"/>
    <n v="60.46"/>
  </r>
  <r>
    <n v="60740536"/>
    <s v="N"/>
    <n v="21343872"/>
    <s v="3000014983190011"/>
    <s v="CIVIL"/>
    <d v="2023-06-27T00:00:00"/>
    <d v="2023-07-07T19:03:00"/>
    <m/>
    <d v="2023-07-07T00:00:00"/>
    <n v="1205"/>
    <n v="18696"/>
    <s v="60740536"/>
    <s v="60740536"/>
    <m/>
    <m/>
    <n v="22766106"/>
    <m/>
    <m/>
    <m/>
    <s v="SOLFIN"/>
    <s v="SOLFIN"/>
    <s v="CCMS"/>
    <n v="21343872"/>
    <n v="13395.68"/>
    <m/>
    <s v="N"/>
    <n v="53"/>
    <d v="2023-07-07T19:03:15"/>
    <s v="Y"/>
    <s v="Preparation - drafting pleadings"/>
    <s v="Care Remuneration Hourly Rates"/>
    <s v="Profit Cost"/>
    <s v="Eliot Brookes"/>
    <s v="Y"/>
    <n v="21.03"/>
    <n v="4.21"/>
    <x v="9"/>
    <s v="VALIDATED"/>
    <n v="1"/>
    <s v="01.11.80.308.6100.0000"/>
    <n v="21.03"/>
    <s v="11"/>
    <s v="6100"/>
    <n v="30594.15"/>
    <n v="21.03"/>
    <s v="CREDITOR"/>
    <n v="0"/>
    <n v="0"/>
    <n v="0"/>
    <n v="0"/>
    <n v="21.03"/>
  </r>
  <r>
    <n v="54813547"/>
    <s v="N"/>
    <n v="21338270"/>
    <s v="3000013038820008"/>
    <s v="CIVIL"/>
    <d v="2023-06-27T00:00:00"/>
    <d v="2023-07-06T19:21:01"/>
    <m/>
    <d v="2023-07-06T00:00:00"/>
    <n v="1205"/>
    <n v="18696"/>
    <s v="54813547"/>
    <s v="54813547"/>
    <m/>
    <m/>
    <n v="22769992"/>
    <m/>
    <m/>
    <m/>
    <s v="SOLFIN"/>
    <s v="SOLFIN"/>
    <s v="CCMS"/>
    <n v="21338270"/>
    <n v="24252.38"/>
    <m/>
    <s v="N"/>
    <n v="77"/>
    <d v="2023-07-06T19:21:15"/>
    <s v="Y"/>
    <s v="Preparation - drafting consent orde"/>
    <s v="Care Remuneration Hourly Rates"/>
    <s v="Profit Cost"/>
    <s v="Charlotte Raybould"/>
    <s v="Y"/>
    <n v="222.23"/>
    <n v="44.45"/>
    <x v="4"/>
    <s v="VALIDATED"/>
    <n v="1"/>
    <s v="01.11.80.308.6100.0000"/>
    <n v="222.23"/>
    <s v="11"/>
    <s v="6100"/>
    <n v="30594.15"/>
    <n v="222.23"/>
    <s v="CREDITOR"/>
    <n v="0"/>
    <n v="0"/>
    <n v="0"/>
    <n v="0"/>
    <n v="222.23"/>
  </r>
  <r>
    <n v="54813547"/>
    <s v="N"/>
    <n v="21338270"/>
    <s v="3000013038820008"/>
    <s v="CIVIL"/>
    <d v="2023-06-27T00:00:00"/>
    <d v="2023-07-06T19:21:01"/>
    <m/>
    <d v="2023-07-06T00:00:00"/>
    <n v="1205"/>
    <n v="18696"/>
    <s v="54813547"/>
    <s v="54813547"/>
    <m/>
    <m/>
    <n v="22769992"/>
    <m/>
    <m/>
    <m/>
    <s v="SOLFIN"/>
    <s v="SOLFIN"/>
    <s v="CCMS"/>
    <n v="21338270"/>
    <n v="24252.38"/>
    <m/>
    <s v="N"/>
    <n v="114"/>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54813547"/>
    <s v="N"/>
    <n v="21338270"/>
    <s v="3000013038820008"/>
    <s v="CIVIL"/>
    <d v="2023-06-27T00:00:00"/>
    <d v="2023-07-06T19:21:01"/>
    <m/>
    <d v="2023-07-06T00:00:00"/>
    <n v="1205"/>
    <n v="18696"/>
    <s v="54813547"/>
    <s v="54813547"/>
    <m/>
    <m/>
    <n v="22769992"/>
    <m/>
    <m/>
    <m/>
    <s v="SOLFIN"/>
    <s v="SOLFIN"/>
    <s v="CCMS"/>
    <n v="21338270"/>
    <n v="24252.38"/>
    <m/>
    <s v="N"/>
    <n v="34"/>
    <d v="2023-07-06T19:21:15"/>
    <s v="Y"/>
    <s v="Routine Letter Out"/>
    <s v="Care Remuneration Hourly Rates"/>
    <s v="Profit Cost"/>
    <s v="Charlotte Raybould"/>
    <s v="Y"/>
    <n v="161.25"/>
    <n v="32.25"/>
    <x v="4"/>
    <s v="VALIDATED"/>
    <n v="1"/>
    <s v="01.11.80.308.6100.0000"/>
    <n v="161.25"/>
    <s v="11"/>
    <s v="6100"/>
    <n v="30594.15"/>
    <n v="161.25"/>
    <s v="CREDITOR"/>
    <n v="0"/>
    <n v="0"/>
    <n v="0"/>
    <n v="0"/>
    <n v="161.25"/>
  </r>
  <r>
    <n v="54813547"/>
    <s v="N"/>
    <n v="21338270"/>
    <s v="3000013038820008"/>
    <s v="CIVIL"/>
    <d v="2023-06-27T00:00:00"/>
    <d v="2023-07-06T19:21:01"/>
    <m/>
    <d v="2023-07-06T00:00:00"/>
    <n v="1205"/>
    <n v="18696"/>
    <s v="54813547"/>
    <s v="54813547"/>
    <m/>
    <m/>
    <n v="22769992"/>
    <m/>
    <m/>
    <m/>
    <s v="SOLFIN"/>
    <s v="SOLFIN"/>
    <s v="CCMS"/>
    <n v="21338270"/>
    <n v="24252.38"/>
    <m/>
    <s v="N"/>
    <n v="40"/>
    <d v="2023-07-06T19:21:15"/>
    <s v="Y"/>
    <s v="Preparation - drafting statement"/>
    <s v="Care Remuneration Hourly Rates"/>
    <s v="Profit Cost"/>
    <s v="Charlotte Raybould"/>
    <s v="Y"/>
    <n v="37.04"/>
    <n v="7.41"/>
    <x v="4"/>
    <s v="VALIDATED"/>
    <n v="1"/>
    <s v="01.11.80.308.6100.0000"/>
    <n v="37.04"/>
    <s v="11"/>
    <s v="6100"/>
    <n v="30594.15"/>
    <n v="37.04"/>
    <s v="CREDITOR"/>
    <n v="0"/>
    <n v="0"/>
    <n v="0"/>
    <n v="0"/>
    <n v="37.04"/>
  </r>
  <r>
    <n v="54813547"/>
    <s v="N"/>
    <n v="21338270"/>
    <s v="3000013038820008"/>
    <s v="CIVIL"/>
    <d v="2023-06-27T00:00:00"/>
    <d v="2023-07-06T19:21:01"/>
    <m/>
    <d v="2023-07-06T00:00:00"/>
    <n v="1205"/>
    <n v="18696"/>
    <s v="54813547"/>
    <s v="54813547"/>
    <m/>
    <m/>
    <n v="22769992"/>
    <m/>
    <m/>
    <m/>
    <s v="SOLFIN"/>
    <s v="SOLFIN"/>
    <s v="CCMS"/>
    <n v="21338270"/>
    <n v="24252.38"/>
    <m/>
    <s v="N"/>
    <n v="52"/>
    <d v="2023-07-06T19:21:15"/>
    <s v="Y"/>
    <s v="Routine Letter Out"/>
    <s v="Care Remuneration Hourly Rates"/>
    <s v="Profit Cost"/>
    <s v="Anna Cooper"/>
    <s v="Y"/>
    <n v="558.36"/>
    <n v="111.67"/>
    <x v="4"/>
    <s v="VALIDATED"/>
    <n v="1"/>
    <s v="01.11.80.308.6100.0000"/>
    <n v="558.36"/>
    <s v="11"/>
    <s v="6100"/>
    <n v="30594.15"/>
    <n v="558.36"/>
    <s v="CREDITOR"/>
    <n v="0"/>
    <n v="0"/>
    <n v="0"/>
    <n v="0"/>
    <n v="558.36"/>
  </r>
  <r>
    <n v="60744883"/>
    <s v="N"/>
    <n v="21330927"/>
    <s v="3000014987240008"/>
    <s v="CIVIL"/>
    <d v="2023-06-22T00:00:00"/>
    <d v="2023-07-05T19:01:47"/>
    <m/>
    <d v="2023-07-05T00:00:00"/>
    <n v="1205"/>
    <n v="18696"/>
    <s v="60744883"/>
    <s v="60744883"/>
    <m/>
    <m/>
    <n v="22745992"/>
    <m/>
    <m/>
    <m/>
    <s v="SOLFIN"/>
    <s v="SOLFIN"/>
    <s v="CCMS"/>
    <n v="21330927"/>
    <n v="13790.5"/>
    <m/>
    <s v="N"/>
    <n v="70"/>
    <d v="2023-07-05T19:01:57"/>
    <s v="Y"/>
    <s v="Hearing Unit 2.31 - 5.00 Hours"/>
    <s v="Public Law Children"/>
    <s v="Advocacy"/>
    <s v="Alix Reynolds"/>
    <s v="Y"/>
    <n v="476.92"/>
    <n v="95.38"/>
    <x v="6"/>
    <s v="VALIDATED"/>
    <n v="1"/>
    <s v="01.11.80.308.6100.0000"/>
    <n v="476.92"/>
    <s v="11"/>
    <s v="6100"/>
    <n v="30594.15"/>
    <n v="476.92"/>
    <s v="CREDITOR"/>
    <n v="0"/>
    <n v="0"/>
    <n v="0"/>
    <n v="0"/>
    <n v="476.92"/>
  </r>
  <r>
    <n v="60471514"/>
    <s v="N"/>
    <n v="21319380"/>
    <s v="3000014751950014"/>
    <s v="CIVIL"/>
    <d v="2023-06-27T00:00:00"/>
    <d v="2023-07-03T19:04:24"/>
    <m/>
    <d v="2023-07-03T00:00:00"/>
    <n v="1205"/>
    <n v="18696"/>
    <s v="60471514"/>
    <s v="60471514"/>
    <m/>
    <m/>
    <n v="22773584"/>
    <m/>
    <m/>
    <m/>
    <s v="SOLPOA"/>
    <s v="SOLPOA"/>
    <s v="CCMS"/>
    <n v="21319380"/>
    <n v="2913.72"/>
    <m/>
    <s v="N"/>
    <n v="1"/>
    <d v="2023-07-03T19:04:25"/>
    <s v="N"/>
    <s v="Solicitors Fixed Fee"/>
    <s v="Public Law Children"/>
    <s v="Profit Cost"/>
    <s v="P Nursall"/>
    <s v="N"/>
    <n v="2428.1"/>
    <n v="485.62"/>
    <x v="3"/>
    <s v="VALIDATED"/>
    <n v="1"/>
    <s v="01.11.80.308.2012.0000"/>
    <n v="2428.1"/>
    <s v="11"/>
    <s v="2012"/>
    <n v="30594.15"/>
    <n v="2428.1"/>
    <s v="CREDITOR"/>
    <n v="2428.1"/>
    <n v="607.025"/>
    <n v="0"/>
    <n v="0"/>
    <n v="0"/>
  </r>
  <r>
    <n v="61067782"/>
    <s v="N"/>
    <n v="21318410"/>
    <s v="3000015264930015"/>
    <s v="CIVIL"/>
    <d v="2023-06-22T00:00:00"/>
    <d v="2023-07-03T19:01:49"/>
    <m/>
    <d v="2023-07-03T00:00:00"/>
    <n v="1205"/>
    <n v="18696"/>
    <s v="61067782"/>
    <s v="61067782"/>
    <m/>
    <m/>
    <n v="22740364"/>
    <m/>
    <m/>
    <m/>
    <s v="SOLPOA"/>
    <s v="SOLPOA"/>
    <s v="CCMS"/>
    <n v="21318410"/>
    <n v="324"/>
    <m/>
    <s v="N"/>
    <n v="1"/>
    <d v="2023-07-03T19:01:54"/>
    <s v="N"/>
    <s v="Expert Cost"/>
    <s v="Expert Cost"/>
    <s v="Expert Disbursement"/>
    <s v="Narinder Singh"/>
    <s v="N"/>
    <n v="270"/>
    <n v="54"/>
    <x v="3"/>
    <s v="VALIDATED"/>
    <n v="1"/>
    <s v="01.11.80.308.2012.0000"/>
    <n v="270"/>
    <s v="11"/>
    <s v="2012"/>
    <n v="30594.15"/>
    <n v="270"/>
    <s v="CREDITOR"/>
    <n v="270"/>
    <n v="0"/>
    <n v="0"/>
    <n v="0"/>
    <n v="0"/>
  </r>
  <r>
    <n v="61831546"/>
    <s v="N"/>
    <n v="21381992"/>
    <s v="3000015884510002"/>
    <s v="CIVIL"/>
    <d v="2023-06-26T00:00:00"/>
    <d v="2023-07-17T19:01:46"/>
    <m/>
    <d v="2023-07-17T00:00:00"/>
    <n v="1205"/>
    <n v="18696"/>
    <s v="61831546"/>
    <s v="61831546"/>
    <m/>
    <m/>
    <n v="22762430"/>
    <m/>
    <m/>
    <m/>
    <s v="SOLPOA"/>
    <s v="SOLPOA"/>
    <s v="CCMS"/>
    <n v="21381992"/>
    <n v="298.56"/>
    <m/>
    <s v="N"/>
    <n v="1"/>
    <d v="2023-07-17T19:01:59"/>
    <s v="N"/>
    <s v="Expert Cost"/>
    <s v="Expert Cost"/>
    <s v="Expert Disbursement"/>
    <s v="C Raybould"/>
    <s v="N"/>
    <n v="248.8"/>
    <n v="49.76"/>
    <x v="8"/>
    <s v="VALIDATED"/>
    <n v="1"/>
    <s v="01.11.80.308.2012.0000"/>
    <n v="248.8"/>
    <s v="11"/>
    <s v="2012"/>
    <n v="30594.15"/>
    <n v="248.8"/>
    <s v="CREDITOR"/>
    <n v="248.8"/>
    <n v="0"/>
    <n v="0"/>
    <n v="0"/>
    <n v="0"/>
  </r>
  <r>
    <n v="8096699"/>
    <s v="N"/>
    <n v="21344060"/>
    <s v="3000004211210009"/>
    <s v="CIVIL"/>
    <d v="2023-06-29T00:00:00"/>
    <d v="2023-07-07T19:03:00"/>
    <m/>
    <d v="2023-07-07T00:00:00"/>
    <n v="1205"/>
    <n v="18696"/>
    <s v="8096699"/>
    <s v="8096699"/>
    <m/>
    <m/>
    <n v="22791280"/>
    <m/>
    <m/>
    <m/>
    <s v="SOLFIN"/>
    <s v="SOLFIN"/>
    <s v="CCMS"/>
    <n v="21344060"/>
    <n v="1555.48"/>
    <m/>
    <s v="N"/>
    <n v="6"/>
    <d v="2023-07-07T19:03:22"/>
    <s v="Y"/>
    <s v="Psychiatrist"/>
    <s v="Non Family Hourly Rates"/>
    <s v="Expert Disbursement"/>
    <s v="Dr L Rippon, Consultant Psychiatrist"/>
    <s v="Y"/>
    <n v="1130"/>
    <n v="0"/>
    <x v="9"/>
    <s v="VALIDATED"/>
    <n v="1"/>
    <s v="01.11.80.209.6300.0000"/>
    <n v="1130"/>
    <s v="11"/>
    <s v="6300"/>
    <n v="30594.15"/>
    <n v="1130"/>
    <s v="CREDITOR"/>
    <n v="0"/>
    <n v="0"/>
    <n v="0"/>
    <n v="0"/>
    <n v="1130"/>
  </r>
  <r>
    <n v="54813547"/>
    <s v="N"/>
    <n v="21338270"/>
    <s v="3000013038820008"/>
    <s v="CIVIL"/>
    <d v="2023-06-27T00:00:00"/>
    <d v="2023-07-06T19:21:01"/>
    <m/>
    <d v="2023-07-06T00:00:00"/>
    <n v="1205"/>
    <n v="18696"/>
    <s v="54813547"/>
    <s v="54813547"/>
    <m/>
    <m/>
    <n v="22769992"/>
    <m/>
    <m/>
    <m/>
    <s v="SOLFIN"/>
    <s v="SOLFIN"/>
    <s v="CCMS"/>
    <n v="21338270"/>
    <n v="24252.38"/>
    <m/>
    <s v="N"/>
    <n v="117"/>
    <d v="2023-07-06T19:21:15"/>
    <s v="Y"/>
    <s v="Advocates Meeting"/>
    <s v="Public Law Children"/>
    <s v="Advocacy"/>
    <s v="Charlotte Raybould"/>
    <s v="Y"/>
    <n v="169.2"/>
    <n v="33.84"/>
    <x v="4"/>
    <s v="VALIDATED"/>
    <n v="1"/>
    <s v="01.11.80.308.6100.0000"/>
    <n v="169.2"/>
    <s v="11"/>
    <s v="6100"/>
    <n v="30594.15"/>
    <n v="169.2"/>
    <s v="CREDITOR"/>
    <n v="0"/>
    <n v="0"/>
    <n v="0"/>
    <n v="0"/>
    <n v="169.2"/>
  </r>
  <r>
    <n v="60740536"/>
    <s v="N"/>
    <n v="21343872"/>
    <s v="3000014983190011"/>
    <s v="CIVIL"/>
    <d v="2023-06-27T00:00:00"/>
    <d v="2023-07-07T19:03:00"/>
    <m/>
    <d v="2023-07-07T00:00:00"/>
    <n v="1205"/>
    <n v="18696"/>
    <s v="60740536"/>
    <s v="60740536"/>
    <m/>
    <m/>
    <n v="22766106"/>
    <m/>
    <m/>
    <m/>
    <s v="SOLFIN"/>
    <s v="SOLFIN"/>
    <s v="CCMS"/>
    <n v="21343872"/>
    <n v="13395.68"/>
    <m/>
    <s v="N"/>
    <n v="85"/>
    <d v="2023-07-07T19:03:15"/>
    <s v="Y"/>
    <s v="Hearing Unit 2.31 - 5.00 Hours"/>
    <s v="Public Law Children"/>
    <s v="Advocacy"/>
    <s v="Charlotte Raybould"/>
    <s v="Y"/>
    <n v="476.92"/>
    <n v="95.38"/>
    <x v="9"/>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48"/>
    <d v="2023-07-07T19:03:15"/>
    <s v="Y"/>
    <s v="Preparation - other"/>
    <s v="Care Remuneration Hourly Rates"/>
    <s v="Profit Cost"/>
    <s v="Charlotte Raybould"/>
    <s v="Y"/>
    <n v="24.18"/>
    <n v="4.84"/>
    <x v="9"/>
    <s v="VALIDATED"/>
    <n v="1"/>
    <s v="01.11.80.308.6100.0000"/>
    <n v="24.18"/>
    <s v="11"/>
    <s v="6100"/>
    <n v="30594.15"/>
    <n v="24.18"/>
    <s v="CREDITOR"/>
    <n v="0"/>
    <n v="0"/>
    <n v="0"/>
    <n v="0"/>
    <n v="24.18"/>
  </r>
  <r>
    <n v="60740536"/>
    <s v="N"/>
    <n v="21343872"/>
    <s v="3000014983190011"/>
    <s v="CIVIL"/>
    <d v="2023-06-27T00:00:00"/>
    <d v="2023-07-07T19:03:00"/>
    <m/>
    <d v="2023-07-07T00:00:00"/>
    <n v="1205"/>
    <n v="18696"/>
    <s v="60740536"/>
    <s v="60740536"/>
    <m/>
    <m/>
    <n v="22766106"/>
    <m/>
    <m/>
    <m/>
    <s v="SOLFIN"/>
    <s v="SOLFIN"/>
    <s v="CCMS"/>
    <n v="21343872"/>
    <n v="13395.68"/>
    <m/>
    <s v="N"/>
    <n v="8"/>
    <d v="2023-07-07T19:03:15"/>
    <s v="Y"/>
    <s v="Preparation - other"/>
    <s v="Care Remuneration Hourly Rates"/>
    <s v="Profit Cost"/>
    <s v="Penny Dukes"/>
    <s v="Y"/>
    <n v="52.57"/>
    <n v="10.51"/>
    <x v="9"/>
    <s v="VALIDATED"/>
    <n v="1"/>
    <s v="01.11.80.308.6100.0000"/>
    <n v="52.57"/>
    <s v="11"/>
    <s v="6100"/>
    <n v="30594.15"/>
    <n v="52.57"/>
    <s v="CREDITOR"/>
    <n v="0"/>
    <n v="0"/>
    <n v="0"/>
    <n v="0"/>
    <n v="52.57"/>
  </r>
  <r>
    <n v="8096699"/>
    <s v="N"/>
    <n v="21344060"/>
    <s v="3000004211210009"/>
    <s v="CIVIL"/>
    <d v="2023-06-29T00:00:00"/>
    <d v="2023-07-07T19:03:00"/>
    <m/>
    <d v="2023-07-07T00:00:00"/>
    <n v="1205"/>
    <n v="18696"/>
    <s v="8096699"/>
    <s v="8096699"/>
    <m/>
    <m/>
    <n v="22791280"/>
    <m/>
    <m/>
    <m/>
    <s v="SOLFIN"/>
    <s v="SOLFIN"/>
    <s v="CCMS"/>
    <n v="21344060"/>
    <n v="1555.48"/>
    <m/>
    <s v="N"/>
    <n v="5"/>
    <d v="2023-07-07T19:03:22"/>
    <s v="N"/>
    <s v="Profit Costs (Summary)"/>
    <s v="Non Family Hourly Rates"/>
    <s v="Profit Cost"/>
    <s v="Rebekah Sambrooks/Puja Desai"/>
    <s v="N"/>
    <n v="2667.63"/>
    <n v="533.5"/>
    <x v="9"/>
    <s v="VALIDATED"/>
    <n v="1"/>
    <s v="01.11.80.209.6100.0000"/>
    <n v="2667.63"/>
    <s v="11"/>
    <s v="6100"/>
    <n v="30594.15"/>
    <n v="2667.63"/>
    <s v="CREDITOR"/>
    <n v="0"/>
    <n v="0"/>
    <n v="0"/>
    <n v="0"/>
    <n v="2667.63"/>
  </r>
  <r>
    <n v="60740536"/>
    <s v="N"/>
    <n v="21343872"/>
    <s v="3000014983190011"/>
    <s v="CIVIL"/>
    <d v="2023-06-27T00:00:00"/>
    <d v="2023-07-07T19:03:00"/>
    <m/>
    <d v="2023-07-07T00:00:00"/>
    <n v="1205"/>
    <n v="18696"/>
    <s v="60740536"/>
    <s v="60740536"/>
    <m/>
    <m/>
    <n v="22766106"/>
    <m/>
    <m/>
    <m/>
    <s v="SOLFIN"/>
    <s v="SOLFIN"/>
    <s v="CCMS"/>
    <n v="21343872"/>
    <n v="13395.68"/>
    <m/>
    <s v="N"/>
    <n v="47"/>
    <d v="2023-07-07T19:03:15"/>
    <s v="Y"/>
    <s v="Preparation - other"/>
    <s v="Care Remuneration Hourly Rates"/>
    <s v="Profit Cost"/>
    <s v="Anna Cooper"/>
    <s v="Y"/>
    <n v="383.76"/>
    <n v="76.75"/>
    <x v="9"/>
    <s v="VALIDATED"/>
    <n v="1"/>
    <s v="01.11.80.308.6100.0000"/>
    <n v="383.76"/>
    <s v="11"/>
    <s v="6100"/>
    <n v="30594.15"/>
    <n v="383.76"/>
    <s v="CREDITOR"/>
    <n v="0"/>
    <n v="0"/>
    <n v="0"/>
    <n v="0"/>
    <n v="383.76"/>
  </r>
  <r>
    <n v="60740536"/>
    <s v="N"/>
    <n v="21343872"/>
    <s v="3000014983190011"/>
    <s v="CIVIL"/>
    <d v="2023-06-27T00:00:00"/>
    <d v="2023-07-07T19:03:00"/>
    <m/>
    <d v="2023-07-07T00:00:00"/>
    <n v="1205"/>
    <n v="18696"/>
    <s v="60740536"/>
    <s v="60740536"/>
    <m/>
    <m/>
    <n v="22766106"/>
    <m/>
    <m/>
    <m/>
    <s v="SOLFIN"/>
    <s v="SOLFIN"/>
    <s v="CCMS"/>
    <n v="21343872"/>
    <n v="13395.68"/>
    <m/>
    <s v="N"/>
    <n v="63"/>
    <d v="2023-07-07T19:03:15"/>
    <s v="Y"/>
    <s v="Advocacy - In court behind counsel"/>
    <s v="Care Remuneration Hourly Rates"/>
    <s v="Advocacy"/>
    <s v="Anna Cooper"/>
    <s v="Y"/>
    <n v="176.4"/>
    <n v="35.28"/>
    <x v="9"/>
    <s v="VALIDATED"/>
    <n v="1"/>
    <s v="01.11.80.308.6100.0000"/>
    <n v="176.4"/>
    <s v="11"/>
    <s v="6100"/>
    <n v="30594.15"/>
    <n v="176.4"/>
    <s v="CREDITOR"/>
    <n v="0"/>
    <n v="0"/>
    <n v="0"/>
    <n v="0"/>
    <n v="176.4"/>
  </r>
  <r>
    <n v="60740536"/>
    <s v="N"/>
    <n v="21343872"/>
    <s v="3000014983190011"/>
    <s v="CIVIL"/>
    <d v="2023-06-27T00:00:00"/>
    <d v="2023-07-07T19:03:00"/>
    <m/>
    <d v="2023-07-07T00:00:00"/>
    <n v="1205"/>
    <n v="18696"/>
    <s v="60740536"/>
    <s v="60740536"/>
    <m/>
    <m/>
    <n v="22766106"/>
    <m/>
    <m/>
    <m/>
    <s v="SOLFIN"/>
    <s v="SOLFIN"/>
    <s v="CCMS"/>
    <n v="21343872"/>
    <n v="13395.68"/>
    <m/>
    <s v="N"/>
    <n v="72"/>
    <d v="2023-07-07T19:03:15"/>
    <s v="Y"/>
    <s v="Preparation - Periodic file review"/>
    <s v="Care Remuneration Hourly Rates"/>
    <s v="Profit Cost"/>
    <s v="Eliot Brookes"/>
    <s v="Y"/>
    <n v="21.03"/>
    <n v="4.21"/>
    <x v="9"/>
    <s v="VALIDATED"/>
    <n v="1"/>
    <s v="01.11.80.308.6100.0000"/>
    <n v="21.03"/>
    <s v="11"/>
    <s v="6100"/>
    <n v="30594.15"/>
    <n v="21.03"/>
    <s v="CREDITOR"/>
    <n v="0"/>
    <n v="0"/>
    <n v="0"/>
    <n v="0"/>
    <n v="21.03"/>
  </r>
  <r>
    <n v="60773030"/>
    <s v="N"/>
    <n v="21344084"/>
    <s v="3000015011890006"/>
    <s v="CIVIL"/>
    <d v="2023-06-29T00:00:00"/>
    <d v="2023-07-07T19:03:00"/>
    <m/>
    <d v="2023-07-07T00:00:00"/>
    <n v="1205"/>
    <n v="18696"/>
    <s v="60773030"/>
    <s v="60773030"/>
    <m/>
    <m/>
    <n v="22785194"/>
    <m/>
    <m/>
    <m/>
    <s v="SOLFIN"/>
    <s v="SOLFIN"/>
    <s v="CCMS"/>
    <n v="21344084"/>
    <n v="3274.89"/>
    <m/>
    <s v="N"/>
    <n v="39"/>
    <d v="2023-07-07T19:03:23"/>
    <s v="Y"/>
    <s v="Preparation - drafting instructions"/>
    <s v="Prescribed Hourly Rates"/>
    <s v="Profit Cost"/>
    <s v="Narinder Singh"/>
    <s v="Y"/>
    <n v="18.94"/>
    <n v="3.79"/>
    <x v="9"/>
    <s v="VALIDATED"/>
    <n v="1"/>
    <s v="01.11.80.307.6100.0000"/>
    <n v="18.94"/>
    <s v="11"/>
    <s v="6100"/>
    <n v="30594.15"/>
    <n v="18.94"/>
    <s v="CREDITOR"/>
    <n v="0"/>
    <n v="0"/>
    <n v="0"/>
    <n v="0"/>
    <n v="18.94"/>
  </r>
  <r>
    <n v="48504544"/>
    <s v="N"/>
    <n v="21344092"/>
    <s v="3000012074710009"/>
    <s v="CIVIL"/>
    <d v="2023-06-29T00:00:00"/>
    <d v="2023-07-07T19:03:00"/>
    <m/>
    <d v="2023-07-07T00:00:00"/>
    <n v="1205"/>
    <n v="18696"/>
    <s v="48504544"/>
    <s v="48504544"/>
    <m/>
    <m/>
    <n v="22787308"/>
    <m/>
    <m/>
    <m/>
    <s v="SOLFIN"/>
    <s v="SOLFIN"/>
    <s v="CCMS"/>
    <n v="21344092"/>
    <n v="5824.29"/>
    <m/>
    <s v="N"/>
    <n v="6"/>
    <d v="2023-07-07T19:03:23"/>
    <s v="Y"/>
    <s v="Preparation - drafting attendance n"/>
    <s v="Prescribed Hourly Rates"/>
    <s v="Profit Cost"/>
    <s v="Charlotte Raybould"/>
    <s v="Y"/>
    <n v="12.63"/>
    <n v="2.53"/>
    <x v="9"/>
    <s v="VALIDATED"/>
    <n v="1"/>
    <s v="01.11.80.307.6100.0000"/>
    <n v="12.63"/>
    <s v="11"/>
    <s v="6100"/>
    <n v="30594.15"/>
    <n v="12.63"/>
    <s v="CREDITOR"/>
    <n v="0"/>
    <n v="0"/>
    <n v="0"/>
    <n v="0"/>
    <n v="12.63"/>
  </r>
  <r>
    <n v="48504544"/>
    <s v="N"/>
    <n v="21344092"/>
    <s v="3000012074710009"/>
    <s v="CIVIL"/>
    <d v="2023-06-29T00:00:00"/>
    <d v="2023-07-07T19:03:00"/>
    <m/>
    <d v="2023-07-07T00:00:00"/>
    <n v="1205"/>
    <n v="18696"/>
    <s v="48504544"/>
    <s v="48504544"/>
    <m/>
    <m/>
    <n v="22787308"/>
    <m/>
    <m/>
    <m/>
    <s v="SOLFIN"/>
    <s v="SOLFIN"/>
    <s v="CCMS"/>
    <n v="21344092"/>
    <n v="5824.29"/>
    <m/>
    <s v="N"/>
    <n v="7"/>
    <d v="2023-07-07T19:03:23"/>
    <s v="Y"/>
    <s v="Routine Letter In"/>
    <s v="Prescribed Hourly Rates"/>
    <s v="Profit Cost"/>
    <s v="Charlotte Raybould"/>
    <s v="Y"/>
    <n v="37.26"/>
    <n v="7.45"/>
    <x v="9"/>
    <s v="VALIDATED"/>
    <n v="1"/>
    <s v="01.11.80.307.6100.0000"/>
    <n v="37.26"/>
    <s v="11"/>
    <s v="6100"/>
    <n v="30594.15"/>
    <n v="37.26"/>
    <s v="CREDITOR"/>
    <n v="0"/>
    <n v="0"/>
    <n v="0"/>
    <n v="0"/>
    <n v="37.26"/>
  </r>
  <r>
    <n v="48504544"/>
    <s v="N"/>
    <n v="21344092"/>
    <s v="3000012074710009"/>
    <s v="CIVIL"/>
    <d v="2023-06-29T00:00:00"/>
    <d v="2023-07-07T19:03:00"/>
    <m/>
    <d v="2023-07-07T00:00:00"/>
    <n v="1205"/>
    <n v="18696"/>
    <s v="48504544"/>
    <s v="48504544"/>
    <m/>
    <m/>
    <n v="22787308"/>
    <m/>
    <m/>
    <m/>
    <s v="SOLFIN"/>
    <s v="SOLFIN"/>
    <s v="CCMS"/>
    <n v="21344092"/>
    <n v="5824.29"/>
    <m/>
    <s v="N"/>
    <n v="24"/>
    <d v="2023-07-07T19:03:23"/>
    <s v="Y"/>
    <s v="Preparation - drafting statement"/>
    <s v="Prescribed Hourly Rates"/>
    <s v="Profit Cost"/>
    <s v="Charlotte Raybould"/>
    <s v="Y"/>
    <n v="37.88"/>
    <n v="7.58"/>
    <x v="9"/>
    <s v="VALIDATED"/>
    <n v="1"/>
    <s v="01.11.80.307.6100.0000"/>
    <n v="37.88"/>
    <s v="11"/>
    <s v="6100"/>
    <n v="30594.15"/>
    <n v="37.88"/>
    <s v="CREDITOR"/>
    <n v="0"/>
    <n v="0"/>
    <n v="0"/>
    <n v="0"/>
    <n v="37.88"/>
  </r>
  <r>
    <n v="60773030"/>
    <s v="N"/>
    <n v="21344084"/>
    <s v="3000015011890006"/>
    <s v="CIVIL"/>
    <d v="2023-06-29T00:00:00"/>
    <d v="2023-07-07T19:03:00"/>
    <m/>
    <d v="2023-07-07T00:00:00"/>
    <n v="1205"/>
    <n v="18696"/>
    <s v="60773030"/>
    <s v="60773030"/>
    <m/>
    <m/>
    <n v="22785194"/>
    <m/>
    <m/>
    <m/>
    <s v="SOLFIN"/>
    <s v="SOLFIN"/>
    <s v="CCMS"/>
    <n v="21344084"/>
    <n v="3274.89"/>
    <m/>
    <s v="N"/>
    <n v="38"/>
    <d v="2023-07-07T19:03:23"/>
    <s v="Y"/>
    <s v="Attendance upon court"/>
    <s v="Prescribed Hourly Rates"/>
    <s v="Profit Cost"/>
    <s v="Narinder Singh"/>
    <s v="Y"/>
    <n v="157.84"/>
    <n v="31.57"/>
    <x v="9"/>
    <s v="VALIDATED"/>
    <n v="1"/>
    <s v="01.11.80.307.6100.0000"/>
    <n v="157.84"/>
    <s v="11"/>
    <s v="6100"/>
    <n v="30594.15"/>
    <n v="157.84"/>
    <s v="CREDITOR"/>
    <n v="0"/>
    <n v="0"/>
    <n v="0"/>
    <n v="0"/>
    <n v="157.84"/>
  </r>
  <r>
    <n v="60631907"/>
    <s v="N"/>
    <n v="21331360"/>
    <s v="3000014878960007"/>
    <s v="CIVIL"/>
    <d v="2023-06-28T00:00:00"/>
    <d v="2023-07-05T19:01:47"/>
    <m/>
    <d v="2023-07-05T00:00:00"/>
    <n v="1205"/>
    <n v="18696"/>
    <s v="60631907"/>
    <s v="60631907"/>
    <m/>
    <m/>
    <n v="22783676"/>
    <m/>
    <m/>
    <m/>
    <s v="SOLFIN"/>
    <s v="SOLFIN"/>
    <s v="CCMS"/>
    <n v="21331360"/>
    <n v="9637.15"/>
    <m/>
    <s v="N"/>
    <n v="6"/>
    <d v="2023-07-05T19:02:16"/>
    <s v="Y"/>
    <s v="Preparation - drafting attendance n"/>
    <s v="Prescribed Hourly Rates"/>
    <s v="Profit Cost"/>
    <s v="Andrew Crumpton"/>
    <s v="Y"/>
    <n v="13.73"/>
    <n v="2.75"/>
    <x v="6"/>
    <s v="VALIDATED"/>
    <n v="1"/>
    <s v="01.11.80.307.6100.0000"/>
    <n v="13.73"/>
    <s v="11"/>
    <s v="6100"/>
    <n v="30594.15"/>
    <n v="13.73"/>
    <s v="CREDITOR"/>
    <n v="0"/>
    <n v="0"/>
    <n v="0"/>
    <n v="0"/>
    <n v="13.73"/>
  </r>
  <r>
    <n v="60764755"/>
    <s v="N"/>
    <n v="21337748"/>
    <s v="3000015002070010"/>
    <s v="CIVIL"/>
    <d v="2023-06-22T00:00:00"/>
    <d v="2023-07-06T19:21:01"/>
    <m/>
    <d v="2023-07-06T00:00:00"/>
    <n v="1205"/>
    <n v="18696"/>
    <s v="60764755"/>
    <s v="60764755"/>
    <m/>
    <m/>
    <n v="22741190"/>
    <m/>
    <m/>
    <m/>
    <s v="SOLFIN"/>
    <s v="SOLFIN"/>
    <s v="CCMS"/>
    <n v="21337748"/>
    <n v="11125.15"/>
    <m/>
    <s v="N"/>
    <n v="14"/>
    <d v="2023-07-06T19:21:07"/>
    <s v="Y"/>
    <s v="Advocates Meeting"/>
    <s v="Public Law Children"/>
    <s v="Advocacy"/>
    <s v="Charlotte Raybould"/>
    <s v="Y"/>
    <n v="140.99"/>
    <n v="28.2"/>
    <x v="4"/>
    <s v="VALIDATED"/>
    <n v="1"/>
    <s v="01.11.80.308.6100.0000"/>
    <n v="140.99"/>
    <s v="11"/>
    <s v="6100"/>
    <n v="30594.15"/>
    <n v="140.99"/>
    <s v="CREDITOR"/>
    <n v="0"/>
    <n v="0"/>
    <n v="0"/>
    <n v="0"/>
    <n v="140.99"/>
  </r>
  <r>
    <n v="60744883"/>
    <s v="N"/>
    <n v="21330927"/>
    <s v="3000014987240008"/>
    <s v="CIVIL"/>
    <d v="2023-06-22T00:00:00"/>
    <d v="2023-07-05T19:01:47"/>
    <m/>
    <d v="2023-07-05T00:00:00"/>
    <n v="1205"/>
    <n v="18696"/>
    <s v="60744883"/>
    <s v="60744883"/>
    <m/>
    <m/>
    <n v="22745992"/>
    <m/>
    <m/>
    <m/>
    <s v="SOLFIN"/>
    <s v="SOLFIN"/>
    <s v="CCMS"/>
    <n v="21330927"/>
    <n v="13790.5"/>
    <m/>
    <s v="N"/>
    <n v="63"/>
    <d v="2023-07-05T19:01:57"/>
    <s v="Y"/>
    <s v="Preparation - other"/>
    <s v="Care Remuneration Hourly Rates"/>
    <s v="Profit Cost"/>
    <s v="Alix Reynolds"/>
    <s v="Y"/>
    <n v="6.58"/>
    <n v="1.32"/>
    <x v="6"/>
    <s v="VALIDATED"/>
    <n v="1"/>
    <s v="01.11.80.308.6100.0000"/>
    <n v="6.58"/>
    <s v="11"/>
    <s v="6100"/>
    <n v="30594.15"/>
    <n v="6.58"/>
    <s v="CREDITOR"/>
    <n v="0"/>
    <n v="0"/>
    <n v="0"/>
    <n v="0"/>
    <n v="6.58"/>
  </r>
  <r>
    <n v="60631907"/>
    <s v="N"/>
    <n v="21331360"/>
    <s v="3000014878960007"/>
    <s v="CIVIL"/>
    <d v="2023-06-28T00:00:00"/>
    <d v="2023-07-05T19:01:47"/>
    <m/>
    <d v="2023-07-05T00:00:00"/>
    <n v="1205"/>
    <n v="18696"/>
    <s v="60631907"/>
    <s v="60631907"/>
    <m/>
    <m/>
    <n v="22783676"/>
    <m/>
    <m/>
    <m/>
    <s v="SOLFIN"/>
    <s v="SOLFIN"/>
    <s v="CCMS"/>
    <n v="21331360"/>
    <n v="9637.15"/>
    <m/>
    <s v="N"/>
    <n v="53"/>
    <d v="2023-07-05T19:02:16"/>
    <s v="Y"/>
    <s v="Travel to court"/>
    <s v="Prescribed Hourly Rates"/>
    <s v="Profit Cost"/>
    <s v="Andrew Crumpton"/>
    <s v="Y"/>
    <n v="12.83"/>
    <n v="2.57"/>
    <x v="6"/>
    <s v="VALIDATED"/>
    <n v="1"/>
    <s v="01.11.80.307.6100.0000"/>
    <n v="12.83"/>
    <s v="11"/>
    <s v="6100"/>
    <n v="30594.15"/>
    <n v="12.83"/>
    <s v="CREDITOR"/>
    <n v="0"/>
    <n v="0"/>
    <n v="0"/>
    <n v="0"/>
    <n v="12.83"/>
  </r>
  <r>
    <n v="54813547"/>
    <s v="N"/>
    <n v="21338270"/>
    <s v="3000013038820008"/>
    <s v="CIVIL"/>
    <d v="2023-06-27T00:00:00"/>
    <d v="2023-07-06T19:21:01"/>
    <m/>
    <d v="2023-07-06T00:00:00"/>
    <n v="1205"/>
    <n v="18696"/>
    <s v="54813547"/>
    <s v="54813547"/>
    <m/>
    <m/>
    <n v="22769992"/>
    <m/>
    <m/>
    <m/>
    <s v="SOLFIN"/>
    <s v="SOLFIN"/>
    <s v="CCMS"/>
    <n v="21338270"/>
    <n v="24252.38"/>
    <m/>
    <s v="N"/>
    <n v="47"/>
    <d v="2023-07-06T19:21:15"/>
    <s v="Y"/>
    <s v="Preparation - drafting pleadings"/>
    <s v="Care Remuneration Hourly Rates"/>
    <s v="Profit Cost"/>
    <s v="Eliot Brookes"/>
    <s v="Y"/>
    <n v="148.15"/>
    <n v="29.63"/>
    <x v="4"/>
    <s v="VALIDATED"/>
    <n v="1"/>
    <s v="01.11.80.308.6100.0000"/>
    <n v="148.15"/>
    <s v="11"/>
    <s v="6100"/>
    <n v="30594.15"/>
    <n v="148.15"/>
    <s v="CREDITOR"/>
    <n v="0"/>
    <n v="0"/>
    <n v="0"/>
    <n v="0"/>
    <n v="148.15"/>
  </r>
  <r>
    <n v="60764755"/>
    <s v="N"/>
    <n v="21337748"/>
    <s v="3000015002070010"/>
    <s v="CIVIL"/>
    <d v="2023-06-22T00:00:00"/>
    <d v="2023-07-06T19:21:01"/>
    <m/>
    <d v="2023-07-06T00:00:00"/>
    <n v="1205"/>
    <n v="18696"/>
    <s v="60764755"/>
    <s v="60764755"/>
    <m/>
    <m/>
    <n v="22741190"/>
    <m/>
    <m/>
    <m/>
    <s v="SOLFIN"/>
    <s v="SOLFIN"/>
    <s v="CCMS"/>
    <n v="21337748"/>
    <n v="11125.15"/>
    <m/>
    <s v="N"/>
    <n v="20"/>
    <d v="2023-07-06T19:21:07"/>
    <s v="Y"/>
    <s v="Advocates Meeting"/>
    <s v="Public Law Children"/>
    <s v="Advocacy"/>
    <s v="Charlotte Raybould"/>
    <s v="Y"/>
    <n v="140.99"/>
    <n v="28.2"/>
    <x v="4"/>
    <s v="VALIDATED"/>
    <n v="1"/>
    <s v="01.11.80.308.6100.0000"/>
    <n v="140.99"/>
    <s v="11"/>
    <s v="6100"/>
    <n v="30594.15"/>
    <n v="140.99"/>
    <s v="CREDITOR"/>
    <n v="0"/>
    <n v="0"/>
    <n v="0"/>
    <n v="0"/>
    <n v="140.99"/>
  </r>
  <r>
    <n v="60631907"/>
    <s v="N"/>
    <n v="21331360"/>
    <s v="3000014878960007"/>
    <s v="CIVIL"/>
    <d v="2023-06-28T00:00:00"/>
    <d v="2023-07-05T19:01:47"/>
    <m/>
    <d v="2023-07-05T00:00:00"/>
    <n v="1205"/>
    <n v="18696"/>
    <s v="60631907"/>
    <s v="60631907"/>
    <m/>
    <m/>
    <n v="22783676"/>
    <m/>
    <m/>
    <m/>
    <s v="SOLFIN"/>
    <s v="SOLFIN"/>
    <s v="CCMS"/>
    <n v="21331360"/>
    <n v="9637.15"/>
    <m/>
    <s v="N"/>
    <n v="22"/>
    <d v="2023-07-05T19:02:16"/>
    <s v="Y"/>
    <s v="Attendance upon other"/>
    <s v="Prescribed Hourly Rates"/>
    <s v="Profit Cost"/>
    <s v="Andrew Crumpton"/>
    <s v="Y"/>
    <n v="68.63"/>
    <n v="13.73"/>
    <x v="6"/>
    <s v="VALIDATED"/>
    <n v="1"/>
    <s v="01.11.80.307.6100.0000"/>
    <n v="68.63"/>
    <s v="11"/>
    <s v="6100"/>
    <n v="30594.15"/>
    <n v="68.63"/>
    <s v="CREDITOR"/>
    <n v="0"/>
    <n v="0"/>
    <n v="0"/>
    <n v="0"/>
    <n v="68.63"/>
  </r>
  <r>
    <n v="61793725"/>
    <s v="N"/>
    <n v="21319708"/>
    <s v="3000015863460006"/>
    <s v="CIVIL"/>
    <d v="2023-06-27T00:00:00"/>
    <d v="2023-07-03T19:04:24"/>
    <m/>
    <d v="2023-07-03T00:00:00"/>
    <n v="1205"/>
    <n v="18696"/>
    <s v="61793725"/>
    <s v="61793725"/>
    <m/>
    <m/>
    <n v="22774396"/>
    <m/>
    <m/>
    <m/>
    <s v="SOLPOA"/>
    <s v="SOLPOA"/>
    <s v="CCMS"/>
    <n v="21319708"/>
    <n v="713.21"/>
    <m/>
    <s v="N"/>
    <n v="1"/>
    <d v="2023-07-03T19:04:27"/>
    <s v="N"/>
    <s v="Expert Cost"/>
    <s v="Expert Cost"/>
    <s v="Expert Disbursement"/>
    <s v="I Griffith"/>
    <s v="N"/>
    <n v="594.34"/>
    <n v="118.87"/>
    <x v="3"/>
    <s v="VALIDATED"/>
    <n v="1"/>
    <s v="01.11.80.308.2012.0000"/>
    <n v="594.34"/>
    <s v="11"/>
    <s v="2012"/>
    <n v="30594.15"/>
    <n v="594.34"/>
    <s v="CREDITOR"/>
    <n v="594.34"/>
    <n v="0"/>
    <n v="0"/>
    <n v="0"/>
    <n v="0"/>
  </r>
  <r>
    <n v="60066609"/>
    <s v="N"/>
    <n v="21350136"/>
    <s v="3000014401840008"/>
    <s v="CIVIL"/>
    <d v="2023-06-29T00:00:00"/>
    <d v="2023-07-10T19:01:40"/>
    <m/>
    <d v="2023-07-10T00:00:00"/>
    <n v="1205"/>
    <n v="18696"/>
    <s v="60066609"/>
    <s v="60066609"/>
    <m/>
    <m/>
    <n v="22788730"/>
    <m/>
    <m/>
    <m/>
    <s v="SOLFIN"/>
    <s v="SOLFIN"/>
    <s v="CCMS"/>
    <n v="21350136"/>
    <n v="7952.47"/>
    <m/>
    <s v="N"/>
    <n v="1"/>
    <d v="2023-07-10T19:02:15"/>
    <s v="Y"/>
    <s v="Final Hearing Court Bundle/Advocate"/>
    <s v="Public Law Children"/>
    <s v="Advocacy"/>
    <s v="Andrew Crumpton"/>
    <s v="Y"/>
    <n v="239.4"/>
    <n v="47.88"/>
    <x v="2"/>
    <s v="VALIDATED"/>
    <n v="1"/>
    <s v="01.11.80.308.6100.0000"/>
    <n v="239.4"/>
    <s v="11"/>
    <s v="6100"/>
    <n v="30594.15"/>
    <n v="239.4"/>
    <s v="CREDITOR"/>
    <n v="0"/>
    <n v="0"/>
    <n v="0"/>
    <n v="0"/>
    <n v="239.4"/>
  </r>
  <r>
    <n v="54813547"/>
    <s v="N"/>
    <n v="21338270"/>
    <s v="3000013038820008"/>
    <s v="CIVIL"/>
    <d v="2023-06-27T00:00:00"/>
    <d v="2023-07-06T19:21:01"/>
    <m/>
    <d v="2023-07-06T00:00:00"/>
    <n v="1205"/>
    <n v="18696"/>
    <s v="54813547"/>
    <s v="54813547"/>
    <m/>
    <m/>
    <n v="22769992"/>
    <m/>
    <m/>
    <m/>
    <s v="SOLFIN"/>
    <s v="SOLFIN"/>
    <s v="CCMS"/>
    <n v="21338270"/>
    <n v="24252.38"/>
    <m/>
    <s v="N"/>
    <n v="56"/>
    <d v="2023-07-06T19:21:15"/>
    <s v="Y"/>
    <s v="Preparation - drafting bill/claim f"/>
    <s v="Care Remuneration Hourly Rates"/>
    <s v="Profit Cost"/>
    <s v="Darren Plant"/>
    <s v="Y"/>
    <n v="302.23"/>
    <n v="60.45"/>
    <x v="4"/>
    <s v="VALIDATED"/>
    <n v="1"/>
    <s v="01.11.80.308.6100.0000"/>
    <n v="302.23"/>
    <s v="11"/>
    <s v="6100"/>
    <n v="30594.15"/>
    <n v="302.23"/>
    <s v="CREDITOR"/>
    <n v="0"/>
    <n v="0"/>
    <n v="0"/>
    <n v="0"/>
    <n v="302.23"/>
  </r>
  <r>
    <n v="60740536"/>
    <s v="N"/>
    <n v="21343872"/>
    <s v="3000014983190011"/>
    <s v="CIVIL"/>
    <d v="2023-06-27T00:00:00"/>
    <d v="2023-07-07T19:03:00"/>
    <m/>
    <d v="2023-07-07T00:00:00"/>
    <n v="1205"/>
    <n v="18696"/>
    <s v="60740536"/>
    <s v="60740536"/>
    <m/>
    <m/>
    <n v="22766106"/>
    <m/>
    <m/>
    <m/>
    <s v="SOLFIN"/>
    <s v="SOLFIN"/>
    <s v="CCMS"/>
    <n v="21343872"/>
    <n v="13395.68"/>
    <m/>
    <s v="N"/>
    <n v="57"/>
    <d v="2023-07-07T19:03:15"/>
    <s v="Y"/>
    <s v="Preparation - drafting pleadings"/>
    <s v="Care Remuneration Hourly Rates"/>
    <s v="Profit Cost"/>
    <s v="Eliot Brookes"/>
    <s v="Y"/>
    <n v="21.03"/>
    <n v="4.21"/>
    <x v="9"/>
    <s v="VALIDATED"/>
    <n v="1"/>
    <s v="01.11.80.308.6100.0000"/>
    <n v="21.03"/>
    <s v="11"/>
    <s v="6100"/>
    <n v="30594.15"/>
    <n v="21.03"/>
    <s v="CREDITOR"/>
    <n v="0"/>
    <n v="0"/>
    <n v="0"/>
    <n v="0"/>
    <n v="21.03"/>
  </r>
  <r>
    <n v="60773030"/>
    <s v="N"/>
    <n v="21344084"/>
    <s v="3000015011890006"/>
    <s v="CIVIL"/>
    <d v="2023-06-29T00:00:00"/>
    <d v="2023-07-07T19:03:00"/>
    <m/>
    <d v="2023-07-07T00:00:00"/>
    <n v="1205"/>
    <n v="18696"/>
    <s v="60773030"/>
    <s v="60773030"/>
    <m/>
    <m/>
    <n v="22785194"/>
    <m/>
    <m/>
    <m/>
    <s v="SOLFIN"/>
    <s v="SOLFIN"/>
    <s v="CCMS"/>
    <n v="21344084"/>
    <n v="3274.89"/>
    <m/>
    <s v="N"/>
    <n v="14"/>
    <d v="2023-07-07T19:03:23"/>
    <s v="Y"/>
    <s v="Preparation - drafting consent orde"/>
    <s v="Prescribed Hourly Rates"/>
    <s v="Profit Cost"/>
    <s v="Alix Reynolds"/>
    <s v="Y"/>
    <n v="10.98"/>
    <n v="2.2"/>
    <x v="9"/>
    <s v="VALIDATED"/>
    <n v="1"/>
    <s v="01.11.80.307.6100.0000"/>
    <n v="10.98"/>
    <s v="11"/>
    <s v="6100"/>
    <n v="30594.15"/>
    <n v="10.98"/>
    <s v="CREDITOR"/>
    <n v="0"/>
    <n v="0"/>
    <n v="0"/>
    <n v="0"/>
    <n v="10.98"/>
  </r>
  <r>
    <n v="60773030"/>
    <s v="N"/>
    <n v="21344084"/>
    <s v="3000015011890006"/>
    <s v="CIVIL"/>
    <d v="2023-06-29T00:00:00"/>
    <d v="2023-07-07T19:03:00"/>
    <m/>
    <d v="2023-07-07T00:00:00"/>
    <n v="1205"/>
    <n v="18696"/>
    <s v="60773030"/>
    <s v="60773030"/>
    <m/>
    <m/>
    <n v="22785194"/>
    <m/>
    <m/>
    <m/>
    <s v="SOLFIN"/>
    <s v="SOLFIN"/>
    <s v="CCMS"/>
    <n v="21344084"/>
    <n v="3274.89"/>
    <m/>
    <s v="N"/>
    <n v="15"/>
    <d v="2023-07-07T19:03:23"/>
    <s v="Y"/>
    <s v="Preparation - other"/>
    <s v="Prescribed Hourly Rates"/>
    <s v="Profit Cost"/>
    <s v="Alix Reynolds"/>
    <s v="Y"/>
    <n v="38.43"/>
    <n v="7.69"/>
    <x v="9"/>
    <s v="VALIDATED"/>
    <n v="1"/>
    <s v="01.11.80.307.6100.0000"/>
    <n v="38.43"/>
    <s v="11"/>
    <s v="6100"/>
    <n v="30594.15"/>
    <n v="38.43"/>
    <s v="CREDITOR"/>
    <n v="0"/>
    <n v="0"/>
    <n v="0"/>
    <n v="0"/>
    <n v="38.43"/>
  </r>
  <r>
    <n v="60744883"/>
    <s v="N"/>
    <n v="21330927"/>
    <s v="3000014987240008"/>
    <s v="CIVIL"/>
    <d v="2023-06-22T00:00:00"/>
    <d v="2023-07-05T19:01:47"/>
    <m/>
    <d v="2023-07-05T00:00:00"/>
    <n v="1205"/>
    <n v="18696"/>
    <s v="60744883"/>
    <s v="60744883"/>
    <m/>
    <m/>
    <n v="22745992"/>
    <m/>
    <m/>
    <m/>
    <s v="SOLFIN"/>
    <s v="SOLFIN"/>
    <s v="CCMS"/>
    <n v="21330927"/>
    <n v="13790.5"/>
    <m/>
    <s v="N"/>
    <n v="48"/>
    <d v="2023-07-05T19:01:57"/>
    <s v="Y"/>
    <s v="Preparation - drafting bill/claim f"/>
    <s v="Care Remuneration Hourly Rates"/>
    <s v="Profit Cost"/>
    <s v="Penny Dukes"/>
    <s v="Y"/>
    <n v="10.51"/>
    <n v="2.1"/>
    <x v="6"/>
    <s v="VALIDATED"/>
    <n v="1"/>
    <s v="01.11.80.308.6100.0000"/>
    <n v="10.51"/>
    <s v="11"/>
    <s v="6100"/>
    <n v="30594.15"/>
    <n v="10.51"/>
    <s v="CREDITOR"/>
    <n v="0"/>
    <n v="0"/>
    <n v="0"/>
    <n v="0"/>
    <n v="10.51"/>
  </r>
  <r>
    <n v="60744883"/>
    <s v="N"/>
    <n v="21330927"/>
    <s v="3000014987240008"/>
    <s v="CIVIL"/>
    <d v="2023-06-22T00:00:00"/>
    <d v="2023-07-05T19:01:47"/>
    <m/>
    <d v="2023-07-05T00:00:00"/>
    <n v="1205"/>
    <n v="18696"/>
    <s v="60744883"/>
    <s v="60744883"/>
    <m/>
    <m/>
    <n v="22745992"/>
    <m/>
    <m/>
    <m/>
    <s v="SOLFIN"/>
    <s v="SOLFIN"/>
    <s v="CCMS"/>
    <n v="21330927"/>
    <n v="13790.5"/>
    <m/>
    <s v="N"/>
    <n v="23"/>
    <d v="2023-07-05T19:01:57"/>
    <s v="Y"/>
    <s v="Preparation - other"/>
    <s v="Care Remuneration Hourly Rates"/>
    <s v="Profit Cost"/>
    <s v="Penny Dukes"/>
    <s v="Y"/>
    <n v="10.51"/>
    <n v="2.1"/>
    <x v="6"/>
    <s v="VALIDATED"/>
    <n v="1"/>
    <s v="01.11.80.308.6100.0000"/>
    <n v="10.51"/>
    <s v="11"/>
    <s v="6100"/>
    <n v="30594.15"/>
    <n v="10.51"/>
    <s v="CREDITOR"/>
    <n v="0"/>
    <n v="0"/>
    <n v="0"/>
    <n v="0"/>
    <n v="10.51"/>
  </r>
  <r>
    <n v="60631907"/>
    <s v="N"/>
    <n v="21331360"/>
    <s v="3000014878960007"/>
    <s v="CIVIL"/>
    <d v="2023-06-28T00:00:00"/>
    <d v="2023-07-05T19:01:47"/>
    <m/>
    <d v="2023-07-05T00:00:00"/>
    <n v="1205"/>
    <n v="18696"/>
    <s v="60631907"/>
    <s v="60631907"/>
    <m/>
    <m/>
    <n v="22783676"/>
    <m/>
    <m/>
    <m/>
    <s v="SOLFIN"/>
    <s v="SOLFIN"/>
    <s v="CCMS"/>
    <n v="21331360"/>
    <n v="9637.15"/>
    <m/>
    <s v="N"/>
    <n v="66"/>
    <d v="2023-07-05T19:02:16"/>
    <s v="Y"/>
    <s v="Attendance upon solicitor"/>
    <s v="Prescribed Hourly Rates"/>
    <s v="Profit Cost"/>
    <s v="Andrew Crumpton"/>
    <s v="Y"/>
    <n v="34.31"/>
    <n v="6.86"/>
    <x v="6"/>
    <s v="VALIDATED"/>
    <n v="1"/>
    <s v="01.11.80.307.6100.0000"/>
    <n v="34.31"/>
    <s v="11"/>
    <s v="6100"/>
    <n v="30594.15"/>
    <n v="34.31"/>
    <s v="CREDITOR"/>
    <n v="0"/>
    <n v="0"/>
    <n v="0"/>
    <n v="0"/>
    <n v="34.31"/>
  </r>
  <r>
    <n v="60744883"/>
    <s v="N"/>
    <n v="21330927"/>
    <s v="3000014987240008"/>
    <s v="CIVIL"/>
    <d v="2023-06-22T00:00:00"/>
    <d v="2023-07-05T19:01:47"/>
    <m/>
    <d v="2023-07-05T00:00:00"/>
    <n v="1205"/>
    <n v="18696"/>
    <s v="60744883"/>
    <s v="60744883"/>
    <m/>
    <m/>
    <n v="22745992"/>
    <m/>
    <m/>
    <m/>
    <s v="SOLFIN"/>
    <s v="SOLFIN"/>
    <s v="CCMS"/>
    <n v="21330927"/>
    <n v="13790.5"/>
    <m/>
    <s v="N"/>
    <n v="24"/>
    <d v="2023-07-05T19:01:57"/>
    <s v="Y"/>
    <s v="Attendance upon client"/>
    <s v="Care Remuneration Hourly Rates"/>
    <s v="Profit Cost"/>
    <s v="Alix Reynolds"/>
    <s v="Y"/>
    <n v="72.29000000000001"/>
    <n v="14.46"/>
    <x v="6"/>
    <s v="VALIDATED"/>
    <n v="1"/>
    <s v="01.11.80.308.6100.0000"/>
    <n v="72.29000000000001"/>
    <s v="11"/>
    <s v="6100"/>
    <n v="30594.15"/>
    <n v="72.29000000000001"/>
    <s v="CREDITOR"/>
    <n v="0"/>
    <n v="0"/>
    <n v="0"/>
    <n v="0"/>
    <n v="72.29000000000001"/>
  </r>
  <r>
    <n v="61052033"/>
    <s v="N"/>
    <n v="21323225"/>
    <s v="3000015245870005"/>
    <s v="CIVIL"/>
    <d v="2023-06-30T00:00:00"/>
    <d v="2023-07-03T19:05:56"/>
    <m/>
    <d v="2023-07-03T00:00:00"/>
    <n v="1205"/>
    <n v="18696"/>
    <s v="61052033"/>
    <s v="61052033"/>
    <m/>
    <m/>
    <n v="22796772"/>
    <m/>
    <m/>
    <m/>
    <s v="SOLPOA"/>
    <s v="SOLPOA"/>
    <s v="CCMS"/>
    <n v="21323225"/>
    <n v="7.28"/>
    <m/>
    <s v="N"/>
    <n v="1"/>
    <d v="2023-07-03T19:05:56"/>
    <s v="N"/>
    <s v="Non Expert Disbursement"/>
    <s v="Non Expert Disbursement"/>
    <s v="Non Expert Disbursement"/>
    <s v="A Crumpton"/>
    <s v="N"/>
    <n v="6.07"/>
    <n v="1.21"/>
    <x v="3"/>
    <s v="VALIDATED"/>
    <n v="1"/>
    <s v="01.11.80.308.2012.0000"/>
    <n v="6.07"/>
    <s v="11"/>
    <s v="2012"/>
    <n v="30594.15"/>
    <n v="6.07"/>
    <s v="CREDITOR"/>
    <n v="6.07"/>
    <n v="0"/>
    <n v="0"/>
    <n v="0"/>
    <n v="0"/>
  </r>
  <r>
    <n v="60867047"/>
    <s v="N"/>
    <n v="21349869"/>
    <s v="3000015089740008"/>
    <s v="CIVIL"/>
    <d v="2023-06-26T00:00:00"/>
    <d v="2023-07-10T19:01:40"/>
    <m/>
    <d v="2023-07-10T00:00:00"/>
    <n v="1205"/>
    <n v="18696"/>
    <s v="60867047"/>
    <s v="60867047"/>
    <m/>
    <m/>
    <n v="22762804"/>
    <m/>
    <m/>
    <m/>
    <s v="SOLFIN"/>
    <s v="SOLFIN"/>
    <s v="CCMS"/>
    <n v="21349869"/>
    <n v="11255.82"/>
    <m/>
    <s v="N"/>
    <n v="5"/>
    <d v="2023-07-10T19:02:01"/>
    <s v="Y"/>
    <s v="Expert - Other"/>
    <s v="Public Law Children"/>
    <s v="Expert Disbursement"/>
    <s v="Charlotte Raybould"/>
    <s v="Y"/>
    <n v="195.05"/>
    <n v="39.01"/>
    <x v="2"/>
    <s v="VALIDATED"/>
    <n v="1"/>
    <s v="01.11.80.308.6300.0000"/>
    <n v="195.05"/>
    <s v="11"/>
    <s v="6300"/>
    <n v="30594.15"/>
    <n v="195.05"/>
    <s v="CREDITOR"/>
    <n v="0"/>
    <n v="0"/>
    <n v="0"/>
    <n v="0"/>
    <n v="195.05"/>
  </r>
  <r>
    <n v="54813547"/>
    <s v="N"/>
    <n v="21338270"/>
    <s v="3000013038820008"/>
    <s v="CIVIL"/>
    <d v="2023-06-27T00:00:00"/>
    <d v="2023-07-06T19:21:01"/>
    <m/>
    <d v="2023-07-06T00:00:00"/>
    <n v="1205"/>
    <n v="18696"/>
    <s v="54813547"/>
    <s v="54813547"/>
    <m/>
    <m/>
    <n v="22769992"/>
    <m/>
    <m/>
    <m/>
    <s v="SOLFIN"/>
    <s v="SOLFIN"/>
    <s v="CCMS"/>
    <n v="21338270"/>
    <n v="24252.38"/>
    <m/>
    <s v="N"/>
    <n v="95"/>
    <d v="2023-07-06T19:21:15"/>
    <s v="Y"/>
    <s v="Preparation - other"/>
    <s v="Care Remuneration Hourly Rates"/>
    <s v="Profit Cost"/>
    <s v="Penny Dukes"/>
    <s v="Y"/>
    <n v="5.93"/>
    <n v="1.19"/>
    <x v="4"/>
    <s v="VALIDATED"/>
    <n v="1"/>
    <s v="01.11.80.308.6100.0000"/>
    <n v="5.93"/>
    <s v="11"/>
    <s v="6100"/>
    <n v="30594.15"/>
    <n v="5.93"/>
    <s v="CREDITOR"/>
    <n v="0"/>
    <n v="0"/>
    <n v="0"/>
    <n v="0"/>
    <n v="5.93"/>
  </r>
  <r>
    <n v="54813547"/>
    <s v="N"/>
    <n v="21338270"/>
    <s v="3000013038820008"/>
    <s v="CIVIL"/>
    <d v="2023-06-27T00:00:00"/>
    <d v="2023-07-06T19:21:01"/>
    <m/>
    <d v="2023-07-06T00:00:00"/>
    <n v="1205"/>
    <n v="18696"/>
    <s v="54813547"/>
    <s v="54813547"/>
    <m/>
    <m/>
    <n v="22769992"/>
    <m/>
    <m/>
    <m/>
    <s v="SOLFIN"/>
    <s v="SOLFIN"/>
    <s v="CCMS"/>
    <n v="21338270"/>
    <n v="24252.38"/>
    <m/>
    <s v="N"/>
    <n v="36"/>
    <d v="2023-07-06T19:21:15"/>
    <s v="Y"/>
    <s v="Preparation - drafting attendance n"/>
    <s v="Care Remuneration Hourly Rates"/>
    <s v="Profit Cost"/>
    <s v="Charlotte Raybould"/>
    <s v="Y"/>
    <n v="13.14"/>
    <n v="2.63"/>
    <x v="4"/>
    <s v="VALIDATED"/>
    <n v="1"/>
    <s v="01.11.80.308.6100.0000"/>
    <n v="13.14"/>
    <s v="11"/>
    <s v="6100"/>
    <n v="30594.15"/>
    <n v="13.14"/>
    <s v="CREDITOR"/>
    <n v="0"/>
    <n v="0"/>
    <n v="0"/>
    <n v="0"/>
    <n v="13.14"/>
  </r>
  <r>
    <n v="60740536"/>
    <s v="N"/>
    <n v="21343872"/>
    <s v="3000014983190011"/>
    <s v="CIVIL"/>
    <d v="2023-06-27T00:00:00"/>
    <d v="2023-07-07T19:03:00"/>
    <m/>
    <d v="2023-07-07T00:00:00"/>
    <n v="1205"/>
    <n v="18696"/>
    <s v="60740536"/>
    <s v="60740536"/>
    <m/>
    <m/>
    <n v="22766106"/>
    <m/>
    <m/>
    <m/>
    <s v="SOLFIN"/>
    <s v="SOLFIN"/>
    <s v="CCMS"/>
    <n v="21343872"/>
    <n v="13395.68"/>
    <m/>
    <s v="N"/>
    <n v="62"/>
    <d v="2023-07-07T19:03:15"/>
    <s v="Y"/>
    <s v="Preparation - other"/>
    <s v="Care Remuneration Hourly Rates"/>
    <s v="Profit Cost"/>
    <s v="Amanda Leonard"/>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82"/>
    <d v="2023-07-07T19:03:15"/>
    <s v="Y"/>
    <s v="Advocates Meeting"/>
    <s v="Public Law Children"/>
    <s v="Advocacy"/>
    <s v="Charlotte Raybould"/>
    <s v="Y"/>
    <n v="140.99"/>
    <n v="28.2"/>
    <x v="9"/>
    <s v="VALIDATED"/>
    <n v="1"/>
    <s v="01.11.80.308.6100.0000"/>
    <n v="140.99"/>
    <s v="11"/>
    <s v="6100"/>
    <n v="30594.15"/>
    <n v="140.99"/>
    <s v="CREDITOR"/>
    <n v="0"/>
    <n v="0"/>
    <n v="0"/>
    <n v="0"/>
    <n v="140.99"/>
  </r>
  <r>
    <n v="60740536"/>
    <s v="N"/>
    <n v="21343872"/>
    <s v="3000014983190011"/>
    <s v="CIVIL"/>
    <d v="2023-06-27T00:00:00"/>
    <d v="2023-07-07T19:03:00"/>
    <m/>
    <d v="2023-07-07T00:00:00"/>
    <n v="1205"/>
    <n v="18696"/>
    <s v="60740536"/>
    <s v="60740536"/>
    <m/>
    <m/>
    <n v="22766106"/>
    <m/>
    <m/>
    <m/>
    <s v="SOLFIN"/>
    <s v="SOLFIN"/>
    <s v="CCMS"/>
    <n v="21343872"/>
    <n v="13395.68"/>
    <m/>
    <s v="N"/>
    <n v="25"/>
    <d v="2023-07-07T19:03:15"/>
    <s v="Y"/>
    <s v="Preparation - other"/>
    <s v="Care Remuneration Hourly Rates"/>
    <s v="Profit Cost"/>
    <s v="Anna Cooper"/>
    <s v="Y"/>
    <n v="84.11"/>
    <n v="16.82"/>
    <x v="9"/>
    <s v="VALIDATED"/>
    <n v="1"/>
    <s v="01.11.80.308.6100.0000"/>
    <n v="84.11"/>
    <s v="11"/>
    <s v="6100"/>
    <n v="30594.15"/>
    <n v="84.11"/>
    <s v="CREDITOR"/>
    <n v="0"/>
    <n v="0"/>
    <n v="0"/>
    <n v="0"/>
    <n v="84.11"/>
  </r>
  <r>
    <n v="60740536"/>
    <s v="N"/>
    <n v="21343872"/>
    <s v="3000014983190011"/>
    <s v="CIVIL"/>
    <d v="2023-06-27T00:00:00"/>
    <d v="2023-07-07T19:03:00"/>
    <m/>
    <d v="2023-07-07T00:00:00"/>
    <n v="1205"/>
    <n v="18696"/>
    <s v="60740536"/>
    <s v="60740536"/>
    <m/>
    <m/>
    <n v="22766106"/>
    <m/>
    <m/>
    <m/>
    <s v="SOLFIN"/>
    <s v="SOLFIN"/>
    <s v="CCMS"/>
    <n v="21343872"/>
    <n v="13395.68"/>
    <m/>
    <s v="N"/>
    <n v="26"/>
    <d v="2023-07-07T19:03:15"/>
    <s v="Y"/>
    <s v="Preparation - drafting consent orde"/>
    <s v="Care Remuneration Hourly Rates"/>
    <s v="Profit Cost"/>
    <s v="Eliot Brooke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6"/>
    <d v="2023-07-07T19:03:15"/>
    <s v="Y"/>
    <s v="Paediatrician"/>
    <s v="Care Remuneration Hourly Rates"/>
    <s v="Expert Disbursement"/>
    <s v="Charlotte Raybould"/>
    <s v="Y"/>
    <n v="81"/>
    <n v="16.2"/>
    <x v="9"/>
    <s v="VALIDATED"/>
    <n v="1"/>
    <s v="01.11.80.308.6300.0000"/>
    <n v="81"/>
    <s v="11"/>
    <s v="6300"/>
    <n v="30594.15"/>
    <n v="81"/>
    <s v="CREDITOR"/>
    <n v="0"/>
    <n v="0"/>
    <n v="0"/>
    <n v="0"/>
    <n v="81"/>
  </r>
  <r>
    <n v="60764755"/>
    <s v="N"/>
    <n v="21337748"/>
    <s v="3000015002070010"/>
    <s v="CIVIL"/>
    <d v="2023-06-22T00:00:00"/>
    <d v="2023-07-06T19:21:01"/>
    <m/>
    <d v="2023-07-06T00:00:00"/>
    <n v="1205"/>
    <n v="18696"/>
    <s v="60764755"/>
    <s v="60764755"/>
    <m/>
    <m/>
    <n v="22741190"/>
    <m/>
    <m/>
    <m/>
    <s v="SOLFIN"/>
    <s v="SOLFIN"/>
    <s v="CCMS"/>
    <n v="21337748"/>
    <n v="11125.15"/>
    <m/>
    <s v="N"/>
    <n v="5"/>
    <d v="2023-07-06T19:21:07"/>
    <s v="Y"/>
    <s v="Psychologist"/>
    <s v="Public Law Children"/>
    <s v="Expert Disbursement"/>
    <s v="Charlotte Raybould"/>
    <s v="Y"/>
    <n v="198.8"/>
    <n v="0"/>
    <x v="4"/>
    <s v="VALIDATED"/>
    <n v="1"/>
    <s v="01.11.80.308.6300.0000"/>
    <n v="198.8"/>
    <s v="11"/>
    <s v="6300"/>
    <n v="30594.15"/>
    <n v="198.8"/>
    <s v="CREDITOR"/>
    <n v="0"/>
    <n v="0"/>
    <n v="0"/>
    <n v="0"/>
    <n v="198.8"/>
  </r>
  <r>
    <n v="61764866"/>
    <s v="N"/>
    <n v="21327940"/>
    <s v="3000015843050003"/>
    <s v="CIVIL"/>
    <d v="2023-06-23T00:00:00"/>
    <d v="2023-07-04T19:00:44"/>
    <m/>
    <d v="2023-07-04T00:00:00"/>
    <n v="1205"/>
    <n v="18696"/>
    <s v="61764866"/>
    <s v="61764866"/>
    <m/>
    <m/>
    <n v="22755034"/>
    <m/>
    <m/>
    <m/>
    <s v="SOLFIN"/>
    <s v="SOLFIN"/>
    <s v="CCMS"/>
    <n v="21327940"/>
    <n v="4431.26"/>
    <m/>
    <s v="N"/>
    <n v="1"/>
    <d v="2023-07-04T19:00:59"/>
    <s v="Y"/>
    <s v="Final Hearing Court Bundle/Advocate"/>
    <s v="Public Law Children"/>
    <s v="Advocacy"/>
    <s v="Jas Tamber"/>
    <s v="Y"/>
    <n v="239.4"/>
    <n v="47.88"/>
    <x v="1"/>
    <s v="VALIDATED"/>
    <n v="1"/>
    <s v="01.11.80.308.6100.0000"/>
    <n v="239.4"/>
    <s v="11"/>
    <s v="6100"/>
    <n v="30594.15"/>
    <n v="239.4"/>
    <s v="CREDITOR"/>
    <n v="0"/>
    <n v="0"/>
    <n v="0"/>
    <n v="0"/>
    <n v="239.4"/>
  </r>
  <r>
    <n v="60066609"/>
    <s v="N"/>
    <n v="21350136"/>
    <s v="3000014401840008"/>
    <s v="CIVIL"/>
    <d v="2023-06-29T00:00:00"/>
    <d v="2023-07-10T19:01:40"/>
    <m/>
    <d v="2023-07-10T00:00:00"/>
    <n v="1205"/>
    <n v="18696"/>
    <s v="60066609"/>
    <s v="60066609"/>
    <m/>
    <m/>
    <n v="22788730"/>
    <m/>
    <m/>
    <m/>
    <s v="SOLFIN"/>
    <s v="SOLFIN"/>
    <s v="CCMS"/>
    <n v="21350136"/>
    <n v="7952.47"/>
    <m/>
    <s v="N"/>
    <n v="3"/>
    <d v="2023-07-10T19:02:15"/>
    <s v="Y"/>
    <s v="Solicitor Travel Mileage"/>
    <s v="Public Law Children"/>
    <s v="Non Expert Disbursement"/>
    <s v="Andrew Crumpton"/>
    <s v="Y"/>
    <n v="30.33"/>
    <n v="6.07"/>
    <x v="2"/>
    <s v="VALIDATED"/>
    <n v="1"/>
    <s v="01.11.80.308.6300.0000"/>
    <n v="30.33"/>
    <s v="11"/>
    <s v="6300"/>
    <n v="30594.15"/>
    <n v="30.33"/>
    <s v="CREDITOR"/>
    <n v="0"/>
    <n v="0"/>
    <n v="0"/>
    <n v="0"/>
    <n v="30.33"/>
  </r>
  <r>
    <n v="60740536"/>
    <s v="N"/>
    <n v="21343872"/>
    <s v="3000014983190011"/>
    <s v="CIVIL"/>
    <d v="2023-06-27T00:00:00"/>
    <d v="2023-07-07T19:03:00"/>
    <m/>
    <d v="2023-07-07T00:00:00"/>
    <n v="1205"/>
    <n v="18696"/>
    <s v="60740536"/>
    <s v="60740536"/>
    <m/>
    <m/>
    <n v="22766106"/>
    <m/>
    <m/>
    <m/>
    <s v="SOLFIN"/>
    <s v="SOLFIN"/>
    <s v="CCMS"/>
    <n v="21343872"/>
    <n v="13395.68"/>
    <m/>
    <s v="N"/>
    <n v="4"/>
    <d v="2023-07-07T19:03:15"/>
    <s v="Y"/>
    <s v="Paediatrician"/>
    <s v="Care Remuneration Hourly Rates"/>
    <s v="Expert Disbursement"/>
    <s v="Charlotte Raybould"/>
    <s v="Y"/>
    <n v="405"/>
    <n v="0"/>
    <x v="9"/>
    <s v="VALIDATED"/>
    <n v="1"/>
    <s v="01.11.80.308.6300.0000"/>
    <n v="405"/>
    <s v="11"/>
    <s v="6300"/>
    <n v="30594.15"/>
    <n v="405"/>
    <s v="CREDITOR"/>
    <n v="0"/>
    <n v="0"/>
    <n v="0"/>
    <n v="0"/>
    <n v="405"/>
  </r>
  <r>
    <n v="60740536"/>
    <s v="N"/>
    <n v="21343872"/>
    <s v="3000014983190011"/>
    <s v="CIVIL"/>
    <d v="2023-06-27T00:00:00"/>
    <d v="2023-07-07T19:03:00"/>
    <m/>
    <d v="2023-07-07T00:00:00"/>
    <n v="1205"/>
    <n v="18696"/>
    <s v="60740536"/>
    <s v="60740536"/>
    <m/>
    <m/>
    <n v="22766106"/>
    <m/>
    <m/>
    <m/>
    <s v="SOLFIN"/>
    <s v="SOLFIN"/>
    <s v="CCMS"/>
    <n v="21343872"/>
    <n v="13395.68"/>
    <m/>
    <s v="N"/>
    <n v="55"/>
    <d v="2023-07-07T19:03:15"/>
    <s v="Y"/>
    <s v="Preparation - drafting pleadings"/>
    <s v="Care Remuneration Hourly Rates"/>
    <s v="Profit Cost"/>
    <s v="Anna Cooper"/>
    <s v="Y"/>
    <n v="78.86"/>
    <n v="15.77"/>
    <x v="9"/>
    <s v="VALIDATED"/>
    <n v="1"/>
    <s v="01.11.80.308.6100.0000"/>
    <n v="78.86"/>
    <s v="11"/>
    <s v="6100"/>
    <n v="30594.15"/>
    <n v="78.86"/>
    <s v="CREDITOR"/>
    <n v="0"/>
    <n v="0"/>
    <n v="0"/>
    <n v="0"/>
    <n v="78.86"/>
  </r>
  <r>
    <n v="60740536"/>
    <s v="N"/>
    <n v="21343872"/>
    <s v="3000014983190011"/>
    <s v="CIVIL"/>
    <d v="2023-06-27T00:00:00"/>
    <d v="2023-07-07T19:03:00"/>
    <m/>
    <d v="2023-07-07T00:00:00"/>
    <n v="1205"/>
    <n v="18696"/>
    <s v="60740536"/>
    <s v="60740536"/>
    <m/>
    <m/>
    <n v="22766106"/>
    <m/>
    <m/>
    <m/>
    <s v="SOLFIN"/>
    <s v="SOLFIN"/>
    <s v="CCMS"/>
    <n v="21343872"/>
    <n v="13395.68"/>
    <m/>
    <s v="N"/>
    <n v="56"/>
    <d v="2023-07-07T19:03:15"/>
    <s v="Y"/>
    <s v="Preparation - other"/>
    <s v="Care Remuneration Hourly Rates"/>
    <s v="Profit Cost"/>
    <s v="Penny Dukes"/>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58"/>
    <d v="2023-07-07T19:03:15"/>
    <s v="Y"/>
    <s v="Preparation - drafting consent orde"/>
    <s v="Care Remuneration Hourly Rates"/>
    <s v="Profit Cost"/>
    <s v="Eliot Brookes"/>
    <s v="Y"/>
    <n v="10.51"/>
    <n v="2.1"/>
    <x v="9"/>
    <s v="VALIDATED"/>
    <n v="1"/>
    <s v="01.11.80.308.6100.0000"/>
    <n v="10.51"/>
    <s v="11"/>
    <s v="6100"/>
    <n v="30594.15"/>
    <n v="10.51"/>
    <s v="CREDITOR"/>
    <n v="0"/>
    <n v="0"/>
    <n v="0"/>
    <n v="0"/>
    <n v="10.51"/>
  </r>
  <r>
    <n v="60773030"/>
    <s v="N"/>
    <n v="21344084"/>
    <s v="3000015011890006"/>
    <s v="CIVIL"/>
    <d v="2023-06-29T00:00:00"/>
    <d v="2023-07-07T19:03:00"/>
    <m/>
    <d v="2023-07-07T00:00:00"/>
    <n v="1205"/>
    <n v="18696"/>
    <s v="60773030"/>
    <s v="60773030"/>
    <m/>
    <m/>
    <n v="22785194"/>
    <m/>
    <m/>
    <m/>
    <s v="SOLFIN"/>
    <s v="SOLFIN"/>
    <s v="CCMS"/>
    <n v="21344084"/>
    <n v="3274.89"/>
    <m/>
    <s v="N"/>
    <n v="6"/>
    <d v="2023-07-07T19:03:23"/>
    <s v="Y"/>
    <s v="Preparation - drafting attendance n"/>
    <s v="Prescribed Hourly Rates"/>
    <s v="Profit Cost"/>
    <s v="Narinder Singh"/>
    <s v="Y"/>
    <n v="12.63"/>
    <n v="2.53"/>
    <x v="9"/>
    <s v="VALIDATED"/>
    <n v="1"/>
    <s v="01.11.80.307.6100.0000"/>
    <n v="12.63"/>
    <s v="11"/>
    <s v="6100"/>
    <n v="30594.15"/>
    <n v="12.63"/>
    <s v="CREDITOR"/>
    <n v="0"/>
    <n v="0"/>
    <n v="0"/>
    <n v="0"/>
    <n v="12.63"/>
  </r>
  <r>
    <n v="54813547"/>
    <s v="N"/>
    <n v="21338270"/>
    <s v="3000013038820008"/>
    <s v="CIVIL"/>
    <d v="2023-06-27T00:00:00"/>
    <d v="2023-07-06T19:21:01"/>
    <m/>
    <d v="2023-07-06T00:00:00"/>
    <n v="1205"/>
    <n v="18696"/>
    <s v="54813547"/>
    <s v="54813547"/>
    <m/>
    <m/>
    <n v="22769992"/>
    <m/>
    <m/>
    <m/>
    <s v="SOLFIN"/>
    <s v="SOLFIN"/>
    <s v="CCMS"/>
    <n v="21338270"/>
    <n v="24252.38"/>
    <m/>
    <s v="N"/>
    <n v="21"/>
    <d v="2023-07-06T19:21:15"/>
    <s v="Y"/>
    <s v="Preparation - drafting attendance n"/>
    <s v="Care Remuneration Hourly Rates"/>
    <s v="Profit Cost"/>
    <s v="Charlotte Raybould"/>
    <s v="Y"/>
    <n v="136.3"/>
    <n v="27.26"/>
    <x v="4"/>
    <s v="VALIDATED"/>
    <n v="1"/>
    <s v="01.11.80.308.6100.0000"/>
    <n v="136.3"/>
    <s v="11"/>
    <s v="6100"/>
    <n v="30594.15"/>
    <n v="136.3"/>
    <s v="CREDITOR"/>
    <n v="0"/>
    <n v="0"/>
    <n v="0"/>
    <n v="0"/>
    <n v="136.3"/>
  </r>
  <r>
    <n v="60740536"/>
    <s v="N"/>
    <n v="21343872"/>
    <s v="3000014983190011"/>
    <s v="CIVIL"/>
    <d v="2023-06-27T00:00:00"/>
    <d v="2023-07-07T19:03:00"/>
    <m/>
    <d v="2023-07-07T00:00:00"/>
    <n v="1205"/>
    <n v="18696"/>
    <s v="60740536"/>
    <s v="60740536"/>
    <m/>
    <m/>
    <n v="22766106"/>
    <m/>
    <m/>
    <m/>
    <s v="SOLFIN"/>
    <s v="SOLFIN"/>
    <s v="CCMS"/>
    <n v="21343872"/>
    <n v="13395.68"/>
    <m/>
    <s v="N"/>
    <n v="87"/>
    <d v="2023-07-07T19:03:15"/>
    <s v="Y"/>
    <s v="Advocates Meeting"/>
    <s v="Public Law Children"/>
    <s v="Advocacy"/>
    <s v="Charlotte Raybould"/>
    <s v="Y"/>
    <n v="140.99"/>
    <n v="28.2"/>
    <x v="9"/>
    <s v="VALIDATED"/>
    <n v="1"/>
    <s v="01.11.80.308.6100.0000"/>
    <n v="140.99"/>
    <s v="11"/>
    <s v="6100"/>
    <n v="30594.15"/>
    <n v="140.99"/>
    <s v="CREDITOR"/>
    <n v="0"/>
    <n v="0"/>
    <n v="0"/>
    <n v="0"/>
    <n v="140.99"/>
  </r>
  <r>
    <n v="60764755"/>
    <s v="N"/>
    <n v="21337748"/>
    <s v="3000015002070010"/>
    <s v="CIVIL"/>
    <d v="2023-06-22T00:00:00"/>
    <d v="2023-07-06T19:21:01"/>
    <m/>
    <d v="2023-07-06T00:00:00"/>
    <n v="1205"/>
    <n v="18696"/>
    <s v="60764755"/>
    <s v="60764755"/>
    <m/>
    <m/>
    <n v="22741190"/>
    <m/>
    <m/>
    <m/>
    <s v="SOLFIN"/>
    <s v="SOLFIN"/>
    <s v="CCMS"/>
    <n v="21337748"/>
    <n v="11125.15"/>
    <m/>
    <s v="N"/>
    <n v="18"/>
    <d v="2023-07-06T19:21:07"/>
    <s v="Y"/>
    <s v="Hearing Unit 2.31 - 5.00 Hours"/>
    <s v="Public Law Children"/>
    <s v="Advocacy"/>
    <s v="Charlotte Raybould"/>
    <s v="Y"/>
    <n v="476.92"/>
    <n v="95.38"/>
    <x v="4"/>
    <s v="VALIDATED"/>
    <n v="1"/>
    <s v="01.11.80.308.6100.0000"/>
    <n v="476.92"/>
    <s v="11"/>
    <s v="6100"/>
    <n v="30594.15"/>
    <n v="476.92"/>
    <s v="CREDITOR"/>
    <n v="0"/>
    <n v="0"/>
    <n v="0"/>
    <n v="0"/>
    <n v="476.92"/>
  </r>
  <r>
    <n v="60744883"/>
    <s v="N"/>
    <n v="21330927"/>
    <s v="3000014987240008"/>
    <s v="CIVIL"/>
    <d v="2023-06-22T00:00:00"/>
    <d v="2023-07-05T19:01:47"/>
    <m/>
    <d v="2023-07-05T00:00:00"/>
    <n v="1205"/>
    <n v="18696"/>
    <s v="60744883"/>
    <s v="60744883"/>
    <m/>
    <m/>
    <n v="22745992"/>
    <m/>
    <m/>
    <m/>
    <s v="SOLFIN"/>
    <s v="SOLFIN"/>
    <s v="CCMS"/>
    <n v="21330927"/>
    <n v="13790.5"/>
    <m/>
    <s v="N"/>
    <n v="28"/>
    <d v="2023-07-05T19:01:57"/>
    <s v="Y"/>
    <s v="Report - other report"/>
    <s v="Care Remuneration Hourly Rates"/>
    <s v="Profit Cost"/>
    <s v="Alix Reynolds"/>
    <s v="Y"/>
    <n v="65.70999999999999"/>
    <n v="13.14"/>
    <x v="6"/>
    <s v="VALIDATED"/>
    <n v="1"/>
    <s v="01.11.80.308.6100.0000"/>
    <n v="65.70999999999999"/>
    <s v="11"/>
    <s v="6100"/>
    <n v="30594.15"/>
    <n v="65.70999999999999"/>
    <s v="CREDITOR"/>
    <n v="0"/>
    <n v="0"/>
    <n v="0"/>
    <n v="0"/>
    <n v="65.70999999999999"/>
  </r>
  <r>
    <n v="60744883"/>
    <s v="N"/>
    <n v="21330927"/>
    <s v="3000014987240008"/>
    <s v="CIVIL"/>
    <d v="2023-06-22T00:00:00"/>
    <d v="2023-07-05T19:01:47"/>
    <m/>
    <d v="2023-07-05T00:00:00"/>
    <n v="1205"/>
    <n v="18696"/>
    <s v="60744883"/>
    <s v="60744883"/>
    <m/>
    <m/>
    <n v="22745992"/>
    <m/>
    <m/>
    <m/>
    <s v="SOLFIN"/>
    <s v="SOLFIN"/>
    <s v="CCMS"/>
    <n v="21330927"/>
    <n v="13790.5"/>
    <m/>
    <s v="N"/>
    <n v="40"/>
    <d v="2023-07-05T19:01:57"/>
    <s v="Y"/>
    <s v="Preparation - other"/>
    <s v="Care Remuneration Hourly Rates"/>
    <s v="Profit Cost"/>
    <s v="Alix Reynolds"/>
    <s v="Y"/>
    <n v="32.86"/>
    <n v="6.57"/>
    <x v="6"/>
    <s v="VALIDATED"/>
    <n v="1"/>
    <s v="01.11.80.308.6100.0000"/>
    <n v="32.86"/>
    <s v="11"/>
    <s v="6100"/>
    <n v="30594.15"/>
    <n v="32.86"/>
    <s v="CREDITOR"/>
    <n v="0"/>
    <n v="0"/>
    <n v="0"/>
    <n v="0"/>
    <n v="32.86"/>
  </r>
  <r>
    <n v="60744883"/>
    <s v="N"/>
    <n v="21330927"/>
    <s v="3000014987240008"/>
    <s v="CIVIL"/>
    <d v="2023-06-22T00:00:00"/>
    <d v="2023-07-05T19:01:47"/>
    <m/>
    <d v="2023-07-05T00:00:00"/>
    <n v="1205"/>
    <n v="18696"/>
    <s v="60744883"/>
    <s v="60744883"/>
    <m/>
    <m/>
    <n v="22745992"/>
    <m/>
    <m/>
    <m/>
    <s v="SOLFIN"/>
    <s v="SOLFIN"/>
    <s v="CCMS"/>
    <n v="21330927"/>
    <n v="13790.5"/>
    <m/>
    <s v="N"/>
    <n v="51"/>
    <d v="2023-07-05T19:01:57"/>
    <s v="Y"/>
    <s v="Preparation - other"/>
    <s v="Care Remuneration Hourly Rates"/>
    <s v="Profit Cost"/>
    <s v="Alix Reynolds"/>
    <s v="Y"/>
    <n v="78.84999999999999"/>
    <n v="15.77"/>
    <x v="6"/>
    <s v="VALIDATED"/>
    <n v="1"/>
    <s v="01.11.80.308.6100.0000"/>
    <n v="78.84999999999999"/>
    <s v="11"/>
    <s v="6100"/>
    <n v="30594.15"/>
    <n v="78.84999999999999"/>
    <s v="CREDITOR"/>
    <n v="0"/>
    <n v="0"/>
    <n v="0"/>
    <n v="0"/>
    <n v="78.84999999999999"/>
  </r>
  <r>
    <n v="60631907"/>
    <s v="N"/>
    <n v="21331360"/>
    <s v="3000014878960007"/>
    <s v="CIVIL"/>
    <d v="2023-06-28T00:00:00"/>
    <d v="2023-07-05T19:01:47"/>
    <m/>
    <d v="2023-07-05T00:00:00"/>
    <n v="1205"/>
    <n v="18696"/>
    <s v="60631907"/>
    <s v="60631907"/>
    <m/>
    <m/>
    <n v="22783676"/>
    <m/>
    <m/>
    <m/>
    <s v="SOLFIN"/>
    <s v="SOLFIN"/>
    <s v="CCMS"/>
    <n v="21331360"/>
    <n v="9637.15"/>
    <m/>
    <s v="N"/>
    <n v="55"/>
    <d v="2023-07-05T19:02:16"/>
    <s v="Y"/>
    <s v="Preparation - drafting pleadings"/>
    <s v="Prescribed Hourly Rates"/>
    <s v="Profit Cost"/>
    <s v="Jasmine Thompson"/>
    <s v="Y"/>
    <n v="10.98"/>
    <n v="2.2"/>
    <x v="6"/>
    <s v="VALIDATED"/>
    <n v="1"/>
    <s v="01.11.80.307.6100.0000"/>
    <n v="10.98"/>
    <s v="11"/>
    <s v="6100"/>
    <n v="30594.15"/>
    <n v="10.98"/>
    <s v="CREDITOR"/>
    <n v="0"/>
    <n v="0"/>
    <n v="0"/>
    <n v="0"/>
    <n v="10.98"/>
  </r>
  <r>
    <n v="54813547"/>
    <s v="N"/>
    <n v="21338270"/>
    <s v="3000013038820008"/>
    <s v="CIVIL"/>
    <d v="2023-06-27T00:00:00"/>
    <d v="2023-07-06T19:21:01"/>
    <m/>
    <d v="2023-07-06T00:00:00"/>
    <n v="1205"/>
    <n v="18696"/>
    <s v="54813547"/>
    <s v="54813547"/>
    <m/>
    <m/>
    <n v="22769992"/>
    <m/>
    <m/>
    <m/>
    <s v="SOLFIN"/>
    <s v="SOLFIN"/>
    <s v="CCMS"/>
    <n v="21338270"/>
    <n v="24252.38"/>
    <m/>
    <s v="N"/>
    <n v="44"/>
    <d v="2023-07-06T19:21:15"/>
    <s v="Y"/>
    <s v="Routine Letter In"/>
    <s v="Care Remuneration Hourly Rates"/>
    <s v="Profit Cost"/>
    <s v="Charlotte Raybould"/>
    <s v="Y"/>
    <n v="26.82"/>
    <n v="5.36"/>
    <x v="4"/>
    <s v="VALIDATED"/>
    <n v="1"/>
    <s v="01.11.80.308.6100.0000"/>
    <n v="26.82"/>
    <s v="11"/>
    <s v="6100"/>
    <n v="30594.15"/>
    <n v="26.82"/>
    <s v="CREDITOR"/>
    <n v="0"/>
    <n v="0"/>
    <n v="0"/>
    <n v="0"/>
    <n v="26.82"/>
  </r>
  <r>
    <n v="60740536"/>
    <s v="N"/>
    <n v="21343872"/>
    <s v="3000014983190011"/>
    <s v="CIVIL"/>
    <d v="2023-06-27T00:00:00"/>
    <d v="2023-07-07T19:03:00"/>
    <m/>
    <d v="2023-07-07T00:00:00"/>
    <n v="1205"/>
    <n v="18696"/>
    <s v="60740536"/>
    <s v="60740536"/>
    <m/>
    <m/>
    <n v="22766106"/>
    <m/>
    <m/>
    <m/>
    <s v="SOLFIN"/>
    <s v="SOLFIN"/>
    <s v="CCMS"/>
    <n v="21343872"/>
    <n v="13395.68"/>
    <m/>
    <s v="N"/>
    <n v="81"/>
    <d v="2023-07-07T19:03:15"/>
    <s v="Y"/>
    <s v="Preparation - drafting pleadings"/>
    <s v="Care Remuneration Hourly Rates"/>
    <s v="Profit Cost"/>
    <s v="Anna Cooper"/>
    <s v="Y"/>
    <n v="294.39"/>
    <n v="58.88"/>
    <x v="9"/>
    <s v="VALIDATED"/>
    <n v="1"/>
    <s v="01.11.80.308.6100.0000"/>
    <n v="294.39"/>
    <s v="11"/>
    <s v="6100"/>
    <n v="30594.15"/>
    <n v="294.39"/>
    <s v="CREDITOR"/>
    <n v="0"/>
    <n v="0"/>
    <n v="0"/>
    <n v="0"/>
    <n v="294.39"/>
  </r>
  <r>
    <n v="60773030"/>
    <s v="N"/>
    <n v="21344084"/>
    <s v="3000015011890006"/>
    <s v="CIVIL"/>
    <d v="2023-06-29T00:00:00"/>
    <d v="2023-07-07T19:03:00"/>
    <m/>
    <d v="2023-07-07T00:00:00"/>
    <n v="1205"/>
    <n v="18696"/>
    <s v="60773030"/>
    <s v="60773030"/>
    <m/>
    <m/>
    <n v="22785194"/>
    <m/>
    <m/>
    <m/>
    <s v="SOLFIN"/>
    <s v="SOLFIN"/>
    <s v="CCMS"/>
    <n v="21344084"/>
    <n v="3274.89"/>
    <m/>
    <s v="N"/>
    <n v="2"/>
    <d v="2023-07-07T19:03:23"/>
    <s v="Y"/>
    <s v="Attendance upon other side"/>
    <s v="Prescribed Hourly Rates"/>
    <s v="Profit Cost"/>
    <s v="Alix Reynolds"/>
    <s v="Y"/>
    <n v="10.98"/>
    <n v="2.2"/>
    <x v="9"/>
    <s v="VALIDATED"/>
    <n v="1"/>
    <s v="01.11.80.307.6100.0000"/>
    <n v="10.98"/>
    <s v="11"/>
    <s v="6100"/>
    <n v="30594.15"/>
    <n v="10.98"/>
    <s v="CREDITOR"/>
    <n v="0"/>
    <n v="0"/>
    <n v="0"/>
    <n v="0"/>
    <n v="10.98"/>
  </r>
  <r>
    <n v="60773030"/>
    <s v="N"/>
    <n v="21344084"/>
    <s v="3000015011890006"/>
    <s v="CIVIL"/>
    <d v="2023-06-29T00:00:00"/>
    <d v="2023-07-07T19:03:00"/>
    <m/>
    <d v="2023-07-07T00:00:00"/>
    <n v="1205"/>
    <n v="18696"/>
    <s v="60773030"/>
    <s v="60773030"/>
    <m/>
    <m/>
    <n v="22785194"/>
    <m/>
    <m/>
    <m/>
    <s v="SOLFIN"/>
    <s v="SOLFIN"/>
    <s v="CCMS"/>
    <n v="21344084"/>
    <n v="3274.89"/>
    <m/>
    <s v="N"/>
    <n v="12"/>
    <d v="2023-07-07T19:03:23"/>
    <s v="Y"/>
    <s v="Routine Letter In"/>
    <s v="Prescribed Hourly Rates"/>
    <s v="Profit Cost"/>
    <s v="Alix Reynolds"/>
    <s v="Y"/>
    <n v="232.2"/>
    <n v="46.45"/>
    <x v="9"/>
    <s v="VALIDATED"/>
    <n v="1"/>
    <s v="01.11.80.307.6100.0000"/>
    <n v="232.2"/>
    <s v="11"/>
    <s v="6100"/>
    <n v="30594.15"/>
    <n v="232.2"/>
    <s v="CREDITOR"/>
    <n v="0"/>
    <n v="0"/>
    <n v="0"/>
    <n v="0"/>
    <n v="232.2"/>
  </r>
  <r>
    <n v="60773030"/>
    <s v="N"/>
    <n v="21344084"/>
    <s v="3000015011890006"/>
    <s v="CIVIL"/>
    <d v="2023-06-29T00:00:00"/>
    <d v="2023-07-07T19:03:00"/>
    <m/>
    <d v="2023-07-07T00:00:00"/>
    <n v="1205"/>
    <n v="18696"/>
    <s v="60773030"/>
    <s v="60773030"/>
    <m/>
    <m/>
    <n v="22785194"/>
    <m/>
    <m/>
    <m/>
    <s v="SOLFIN"/>
    <s v="SOLFIN"/>
    <s v="CCMS"/>
    <n v="21344084"/>
    <n v="3274.89"/>
    <m/>
    <s v="N"/>
    <n v="13"/>
    <d v="2023-07-07T19:03:23"/>
    <s v="Y"/>
    <s v="Preparation - drafting pleadings"/>
    <s v="Prescribed Hourly Rates"/>
    <s v="Profit Cost"/>
    <s v="Narinder Singh"/>
    <s v="Y"/>
    <n v="189.41"/>
    <n v="37.89"/>
    <x v="9"/>
    <s v="VALIDATED"/>
    <n v="1"/>
    <s v="01.11.80.307.6100.0000"/>
    <n v="189.41"/>
    <s v="11"/>
    <s v="6100"/>
    <n v="30594.15"/>
    <n v="189.41"/>
    <s v="CREDITOR"/>
    <n v="0"/>
    <n v="0"/>
    <n v="0"/>
    <n v="0"/>
    <n v="189.41"/>
  </r>
  <r>
    <n v="8096699"/>
    <s v="N"/>
    <n v="21344060"/>
    <s v="3000004211210009"/>
    <s v="CIVIL"/>
    <d v="2023-06-29T00:00:00"/>
    <d v="2023-07-07T19:03:00"/>
    <m/>
    <d v="2023-07-07T00:00:00"/>
    <n v="1205"/>
    <n v="18696"/>
    <s v="8096699"/>
    <s v="8096699"/>
    <m/>
    <m/>
    <n v="22791280"/>
    <m/>
    <m/>
    <m/>
    <s v="SOLFIN"/>
    <s v="SOLFIN"/>
    <s v="CCMS"/>
    <n v="21344060"/>
    <n v="1555.48"/>
    <m/>
    <s v="N"/>
    <n v="9"/>
    <d v="2023-07-07T19:03:22"/>
    <s v="N"/>
    <m/>
    <m/>
    <s v="Overall Adjustment"/>
    <m/>
    <s v="N"/>
    <n v="-2693.23"/>
    <n v="-538.62"/>
    <x v="9"/>
    <s v="VALIDATED"/>
    <n v="1"/>
    <s v="01.11.80.209.6100.0000"/>
    <n v="-2693.23"/>
    <s v="11"/>
    <s v="6100"/>
    <n v="30594.15"/>
    <n v="-2693.23"/>
    <s v="CREDITOR"/>
    <n v="0"/>
    <n v="0"/>
    <n v="0"/>
    <n v="0"/>
    <n v="-2693.23"/>
  </r>
  <r>
    <n v="54813547"/>
    <s v="N"/>
    <n v="21338270"/>
    <s v="3000013038820008"/>
    <s v="CIVIL"/>
    <d v="2023-06-27T00:00:00"/>
    <d v="2023-07-06T19:21:01"/>
    <m/>
    <d v="2023-07-06T00:00:00"/>
    <n v="1205"/>
    <n v="18696"/>
    <s v="54813547"/>
    <s v="54813547"/>
    <m/>
    <m/>
    <n v="22769992"/>
    <m/>
    <m/>
    <m/>
    <s v="SOLFIN"/>
    <s v="SOLFIN"/>
    <s v="CCMS"/>
    <n v="21338270"/>
    <n v="24252.38"/>
    <m/>
    <s v="N"/>
    <n v="100"/>
    <d v="2023-07-06T19:21:15"/>
    <s v="Y"/>
    <s v="Hearing Unit 2.31 - 5.00 Hours"/>
    <s v="Public Law Children"/>
    <s v="Advocacy"/>
    <s v="Charlotte Raybould"/>
    <s v="Y"/>
    <n v="572.3200000000001"/>
    <n v="114.46"/>
    <x v="4"/>
    <s v="VALIDATED"/>
    <n v="1"/>
    <s v="01.11.80.308.6100.0000"/>
    <n v="572.3200000000001"/>
    <s v="11"/>
    <s v="6100"/>
    <n v="30594.15"/>
    <n v="572.3200000000001"/>
    <s v="CREDITOR"/>
    <n v="0"/>
    <n v="0"/>
    <n v="0"/>
    <n v="0"/>
    <n v="572.3200000000001"/>
  </r>
  <r>
    <n v="54813547"/>
    <s v="N"/>
    <n v="21338270"/>
    <s v="3000013038820008"/>
    <s v="CIVIL"/>
    <d v="2023-06-27T00:00:00"/>
    <d v="2023-07-06T19:21:01"/>
    <m/>
    <d v="2023-07-06T00:00:00"/>
    <n v="1205"/>
    <n v="18696"/>
    <s v="54813547"/>
    <s v="54813547"/>
    <m/>
    <m/>
    <n v="22769992"/>
    <m/>
    <m/>
    <m/>
    <s v="SOLFIN"/>
    <s v="SOLFIN"/>
    <s v="CCMS"/>
    <n v="21338270"/>
    <n v="24252.38"/>
    <m/>
    <s v="N"/>
    <n v="10"/>
    <d v="2023-07-06T19:21:15"/>
    <s v="Y"/>
    <s v="Preparation - other"/>
    <s v="Care Remuneration Hourly Rates"/>
    <s v="Profit Cost"/>
    <s v="Penny Dukes"/>
    <s v="Y"/>
    <n v="5.26"/>
    <n v="1.05"/>
    <x v="4"/>
    <s v="VALIDATED"/>
    <n v="1"/>
    <s v="01.11.80.308.6100.0000"/>
    <n v="5.26"/>
    <s v="11"/>
    <s v="6100"/>
    <n v="30594.15"/>
    <n v="5.26"/>
    <s v="CREDITOR"/>
    <n v="0"/>
    <n v="0"/>
    <n v="0"/>
    <n v="0"/>
    <n v="5.26"/>
  </r>
  <r>
    <n v="60631907"/>
    <s v="N"/>
    <n v="21331360"/>
    <s v="3000014878960007"/>
    <s v="CIVIL"/>
    <d v="2023-06-28T00:00:00"/>
    <d v="2023-07-05T19:01:47"/>
    <m/>
    <d v="2023-07-05T00:00:00"/>
    <n v="1205"/>
    <n v="18696"/>
    <s v="60631907"/>
    <s v="60631907"/>
    <m/>
    <m/>
    <n v="22783676"/>
    <m/>
    <m/>
    <m/>
    <s v="SOLFIN"/>
    <s v="SOLFIN"/>
    <s v="CCMS"/>
    <n v="21331360"/>
    <n v="9637.15"/>
    <m/>
    <s v="N"/>
    <n v="64"/>
    <d v="2023-07-05T19:02:16"/>
    <s v="Y"/>
    <s v="Advocacy - Directions Hearing"/>
    <s v="Prescribed Hourly Rates"/>
    <s v="Advocacy"/>
    <s v="Andrew Crumpton"/>
    <s v="Y"/>
    <n v="141.75"/>
    <n v="28.35"/>
    <x v="6"/>
    <s v="VALIDATED"/>
    <n v="1"/>
    <s v="01.11.80.307.6100.0000"/>
    <n v="141.75"/>
    <s v="11"/>
    <s v="6100"/>
    <n v="30594.15"/>
    <n v="141.75"/>
    <s v="CREDITOR"/>
    <n v="0"/>
    <n v="0"/>
    <n v="0"/>
    <n v="0"/>
    <n v="141.75"/>
  </r>
  <r>
    <n v="61817462"/>
    <s v="N"/>
    <n v="21330490"/>
    <s v="3000015888340001"/>
    <s v="CIVIL"/>
    <d v="2023-06-26T00:00:00"/>
    <d v="2023-07-05T19:01:47"/>
    <m/>
    <d v="2023-07-05T00:00:00"/>
    <n v="1205"/>
    <n v="18696"/>
    <s v="61817462"/>
    <s v="61817462"/>
    <m/>
    <m/>
    <n v="22759650"/>
    <m/>
    <m/>
    <m/>
    <s v="SOLFIN"/>
    <s v="SOLFIN"/>
    <s v="CCMS"/>
    <n v="21330490"/>
    <n v="0"/>
    <m/>
    <s v="N"/>
    <n v="1"/>
    <d v="2023-07-05T19:01:49"/>
    <s v="N"/>
    <s v="NIL BILL"/>
    <s v="Public Law Children"/>
    <s v="Profit Cost"/>
    <s v="Narinder Singh"/>
    <s v="N"/>
    <n v="0"/>
    <n v="0"/>
    <x v="6"/>
    <s v="VALIDATED"/>
    <n v="1"/>
    <s v="01.11.80.308.6100.0000"/>
    <n v="0"/>
    <s v="11"/>
    <s v="6100"/>
    <n v="30594.15"/>
    <n v="0"/>
    <s v="CREDITOR"/>
    <n v="0"/>
    <n v="0"/>
    <n v="0"/>
    <n v="0"/>
    <n v="0"/>
  </r>
  <r>
    <n v="62064082"/>
    <s v="N"/>
    <n v="21338470"/>
    <s v="3000016093980002"/>
    <s v="CIVIL"/>
    <d v="2023-06-30T00:00:00"/>
    <d v="2023-07-06T19:21:01"/>
    <m/>
    <d v="2023-07-06T00:00:00"/>
    <n v="1205"/>
    <n v="18696"/>
    <s v="62064082"/>
    <s v="62064082"/>
    <m/>
    <m/>
    <n v="22795524"/>
    <m/>
    <m/>
    <m/>
    <s v="SOLFIN"/>
    <s v="SOLFIN"/>
    <s v="CCMS"/>
    <n v="21338470"/>
    <n v="4130.93"/>
    <m/>
    <s v="N"/>
    <n v="1"/>
    <d v="2023-07-06T19:21:26"/>
    <s v="Y"/>
    <s v="Court Fee"/>
    <s v="Public Law Children"/>
    <s v="Non Expert Disbursement"/>
    <s v="Narinder Singh"/>
    <s v="Y"/>
    <n v="167"/>
    <n v="0"/>
    <x v="4"/>
    <s v="VALIDATED"/>
    <n v="1"/>
    <s v="01.11.80.308.6300.0000"/>
    <n v="167"/>
    <s v="11"/>
    <s v="6300"/>
    <n v="30594.15"/>
    <n v="167"/>
    <s v="CREDITOR"/>
    <n v="0"/>
    <n v="0"/>
    <n v="0"/>
    <n v="0"/>
    <n v="167"/>
  </r>
  <r>
    <n v="60867047"/>
    <s v="N"/>
    <n v="21349869"/>
    <s v="3000015089740008"/>
    <s v="CIVIL"/>
    <d v="2023-06-26T00:00:00"/>
    <d v="2023-07-10T19:01:40"/>
    <m/>
    <d v="2023-07-10T00:00:00"/>
    <n v="1205"/>
    <n v="18696"/>
    <s v="60867047"/>
    <s v="60867047"/>
    <m/>
    <m/>
    <n v="22762804"/>
    <m/>
    <m/>
    <m/>
    <s v="SOLFIN"/>
    <s v="SOLFIN"/>
    <s v="CCMS"/>
    <n v="21349869"/>
    <n v="11255.82"/>
    <m/>
    <s v="N"/>
    <n v="1"/>
    <d v="2023-07-10T19:02:01"/>
    <s v="Y"/>
    <s v="Interim Hearing Court Bundle/Advoca"/>
    <s v="Public Law Children"/>
    <s v="Advocacy"/>
    <s v="Charlotte Raybould"/>
    <s v="Y"/>
    <n v="89.09999999999999"/>
    <n v="17.82"/>
    <x v="2"/>
    <s v="VALIDATED"/>
    <n v="1"/>
    <s v="01.11.80.308.6100.0000"/>
    <n v="89.09999999999999"/>
    <s v="11"/>
    <s v="6100"/>
    <n v="30594.15"/>
    <n v="89.09999999999999"/>
    <s v="CREDITOR"/>
    <n v="0"/>
    <n v="0"/>
    <n v="0"/>
    <n v="0"/>
    <n v="89.09999999999999"/>
  </r>
  <r>
    <n v="60773030"/>
    <s v="N"/>
    <n v="21344084"/>
    <s v="3000015011890006"/>
    <s v="CIVIL"/>
    <d v="2023-06-29T00:00:00"/>
    <d v="2023-07-07T19:03:00"/>
    <m/>
    <d v="2023-07-07T00:00:00"/>
    <n v="1205"/>
    <n v="18696"/>
    <s v="60773030"/>
    <s v="60773030"/>
    <m/>
    <m/>
    <n v="22785194"/>
    <m/>
    <m/>
    <m/>
    <s v="SOLFIN"/>
    <s v="SOLFIN"/>
    <s v="CCMS"/>
    <n v="21344084"/>
    <n v="3274.89"/>
    <m/>
    <s v="N"/>
    <n v="28"/>
    <d v="2023-07-07T19:03:23"/>
    <s v="Y"/>
    <s v="Report - Welfare report"/>
    <s v="Prescribed Hourly Rates"/>
    <s v="Profit Cost"/>
    <s v="Narinder Singh"/>
    <s v="Y"/>
    <n v="50.51"/>
    <n v="10.1"/>
    <x v="9"/>
    <s v="VALIDATED"/>
    <n v="1"/>
    <s v="01.11.80.307.6100.0000"/>
    <n v="50.51"/>
    <s v="11"/>
    <s v="6100"/>
    <n v="30594.15"/>
    <n v="50.51"/>
    <s v="CREDITOR"/>
    <n v="0"/>
    <n v="0"/>
    <n v="0"/>
    <n v="0"/>
    <n v="50.51"/>
  </r>
  <r>
    <n v="60773030"/>
    <s v="N"/>
    <n v="21344084"/>
    <s v="3000015011890006"/>
    <s v="CIVIL"/>
    <d v="2023-06-29T00:00:00"/>
    <d v="2023-07-07T19:03:00"/>
    <m/>
    <d v="2023-07-07T00:00:00"/>
    <n v="1205"/>
    <n v="18696"/>
    <s v="60773030"/>
    <s v="60773030"/>
    <m/>
    <m/>
    <n v="22785194"/>
    <m/>
    <m/>
    <m/>
    <s v="SOLFIN"/>
    <s v="SOLFIN"/>
    <s v="CCMS"/>
    <n v="21344084"/>
    <n v="3274.89"/>
    <m/>
    <s v="N"/>
    <n v="37"/>
    <d v="2023-07-07T19:03:23"/>
    <s v="Y"/>
    <s v="Preparation - drafting attendance n"/>
    <s v="Prescribed Hourly Rates"/>
    <s v="Profit Cost"/>
    <s v="Alix Reynolds"/>
    <s v="Y"/>
    <n v="16.47"/>
    <n v="3.29"/>
    <x v="9"/>
    <s v="VALIDATED"/>
    <n v="1"/>
    <s v="01.11.80.307.6100.0000"/>
    <n v="16.47"/>
    <s v="11"/>
    <s v="6100"/>
    <n v="30594.15"/>
    <n v="16.47"/>
    <s v="CREDITOR"/>
    <n v="0"/>
    <n v="0"/>
    <n v="0"/>
    <n v="0"/>
    <n v="16.47"/>
  </r>
  <r>
    <n v="54813547"/>
    <s v="N"/>
    <n v="21338270"/>
    <s v="3000013038820008"/>
    <s v="CIVIL"/>
    <d v="2023-06-27T00:00:00"/>
    <d v="2023-07-06T19:21:01"/>
    <m/>
    <d v="2023-07-06T00:00:00"/>
    <n v="1205"/>
    <n v="18696"/>
    <s v="54813547"/>
    <s v="54813547"/>
    <m/>
    <m/>
    <n v="22769992"/>
    <m/>
    <m/>
    <m/>
    <s v="SOLFIN"/>
    <s v="SOLFIN"/>
    <s v="CCMS"/>
    <n v="21338270"/>
    <n v="24252.38"/>
    <m/>
    <s v="N"/>
    <n v="58"/>
    <d v="2023-07-06T19:21:15"/>
    <s v="Y"/>
    <s v="Preparation - drafting pleadings"/>
    <s v="Care Remuneration Hourly Rates"/>
    <s v="Profit Cost"/>
    <s v="Eliot Brookes"/>
    <s v="Y"/>
    <n v="96.3"/>
    <n v="19.26"/>
    <x v="4"/>
    <s v="VALIDATED"/>
    <n v="1"/>
    <s v="01.11.80.308.6100.0000"/>
    <n v="96.3"/>
    <s v="11"/>
    <s v="6100"/>
    <n v="30594.15"/>
    <n v="96.3"/>
    <s v="CREDITOR"/>
    <n v="0"/>
    <n v="0"/>
    <n v="0"/>
    <n v="0"/>
    <n v="96.3"/>
  </r>
  <r>
    <n v="54813547"/>
    <s v="N"/>
    <n v="21338270"/>
    <s v="3000013038820008"/>
    <s v="CIVIL"/>
    <d v="2023-06-27T00:00:00"/>
    <d v="2023-07-06T19:21:01"/>
    <m/>
    <d v="2023-07-06T00:00:00"/>
    <n v="1205"/>
    <n v="18696"/>
    <s v="54813547"/>
    <s v="54813547"/>
    <m/>
    <m/>
    <n v="22769992"/>
    <m/>
    <m/>
    <m/>
    <s v="SOLFIN"/>
    <s v="SOLFIN"/>
    <s v="CCMS"/>
    <n v="21338270"/>
    <n v="24252.38"/>
    <m/>
    <s v="N"/>
    <n v="69"/>
    <d v="2023-07-06T19:21:15"/>
    <s v="Y"/>
    <s v="Preparation - other"/>
    <s v="Care Remuneration Hourly Rates"/>
    <s v="Profit Cost"/>
    <s v="Penny Dukes"/>
    <s v="Y"/>
    <n v="5.26"/>
    <n v="1.05"/>
    <x v="4"/>
    <s v="VALIDATED"/>
    <n v="1"/>
    <s v="01.11.80.308.6100.0000"/>
    <n v="5.26"/>
    <s v="11"/>
    <s v="6100"/>
    <n v="30594.15"/>
    <n v="5.26"/>
    <s v="CREDITOR"/>
    <n v="0"/>
    <n v="0"/>
    <n v="0"/>
    <n v="0"/>
    <n v="5.26"/>
  </r>
  <r>
    <n v="54813547"/>
    <s v="N"/>
    <n v="21338270"/>
    <s v="3000013038820008"/>
    <s v="CIVIL"/>
    <d v="2023-06-27T00:00:00"/>
    <d v="2023-07-06T19:21:01"/>
    <m/>
    <d v="2023-07-06T00:00:00"/>
    <n v="1205"/>
    <n v="18696"/>
    <s v="54813547"/>
    <s v="54813547"/>
    <m/>
    <m/>
    <n v="22769992"/>
    <m/>
    <m/>
    <m/>
    <s v="SOLFIN"/>
    <s v="SOLFIN"/>
    <s v="CCMS"/>
    <n v="21338270"/>
    <n v="24252.38"/>
    <m/>
    <s v="N"/>
    <n v="105"/>
    <d v="2023-07-06T19:21:15"/>
    <s v="Y"/>
    <s v="Hearing Unit 2.31 - 5.00 Hours"/>
    <s v="Public Law Children"/>
    <s v="Advocacy"/>
    <s v="Charlotte Raybould"/>
    <s v="Y"/>
    <n v="476.92"/>
    <n v="95.38"/>
    <x v="4"/>
    <s v="VALIDATED"/>
    <n v="1"/>
    <s v="01.11.80.308.6100.0000"/>
    <n v="476.92"/>
    <s v="11"/>
    <s v="6100"/>
    <n v="30594.15"/>
    <n v="476.92"/>
    <s v="CREDITOR"/>
    <n v="0"/>
    <n v="0"/>
    <n v="0"/>
    <n v="0"/>
    <n v="476.92"/>
  </r>
  <r>
    <n v="60773030"/>
    <s v="N"/>
    <n v="21344084"/>
    <s v="3000015011890006"/>
    <s v="CIVIL"/>
    <d v="2023-06-29T00:00:00"/>
    <d v="2023-07-07T19:03:00"/>
    <m/>
    <d v="2023-07-07T00:00:00"/>
    <n v="1205"/>
    <n v="18696"/>
    <s v="60773030"/>
    <s v="60773030"/>
    <m/>
    <m/>
    <n v="22785194"/>
    <m/>
    <m/>
    <m/>
    <s v="SOLFIN"/>
    <s v="SOLFIN"/>
    <s v="CCMS"/>
    <n v="21344084"/>
    <n v="3274.89"/>
    <m/>
    <s v="N"/>
    <n v="9"/>
    <d v="2023-07-07T19:03:23"/>
    <s v="Y"/>
    <s v="Attendance upon court"/>
    <s v="Prescribed Hourly Rates"/>
    <s v="Profit Cost"/>
    <s v="Narinder Singh"/>
    <s v="Y"/>
    <n v="126.27"/>
    <n v="25.26"/>
    <x v="9"/>
    <s v="VALIDATED"/>
    <n v="1"/>
    <s v="01.11.80.307.6100.0000"/>
    <n v="126.27"/>
    <s v="11"/>
    <s v="6100"/>
    <n v="30594.15"/>
    <n v="126.27"/>
    <s v="CREDITOR"/>
    <n v="0"/>
    <n v="0"/>
    <n v="0"/>
    <n v="0"/>
    <n v="126.27"/>
  </r>
  <r>
    <n v="60773030"/>
    <s v="N"/>
    <n v="21344084"/>
    <s v="3000015011890006"/>
    <s v="CIVIL"/>
    <d v="2023-06-29T00:00:00"/>
    <d v="2023-07-07T19:03:00"/>
    <m/>
    <d v="2023-07-07T00:00:00"/>
    <n v="1205"/>
    <n v="18696"/>
    <s v="60773030"/>
    <s v="60773030"/>
    <m/>
    <m/>
    <n v="22785194"/>
    <m/>
    <m/>
    <m/>
    <s v="SOLFIN"/>
    <s v="SOLFIN"/>
    <s v="CCMS"/>
    <n v="21344084"/>
    <n v="3274.89"/>
    <m/>
    <s v="N"/>
    <n v="46"/>
    <d v="2023-07-07T19:03:23"/>
    <s v="Y"/>
    <s v="Court Fee"/>
    <s v="Prescribed Hourly Rates"/>
    <s v="Non Expert Disbursement"/>
    <s v="Narinder Singh"/>
    <s v="Y"/>
    <n v="53"/>
    <n v="0"/>
    <x v="9"/>
    <s v="VALIDATED"/>
    <n v="1"/>
    <s v="01.11.80.307.6300.0000"/>
    <n v="53"/>
    <s v="11"/>
    <s v="6300"/>
    <n v="30594.15"/>
    <n v="53"/>
    <s v="CREDITOR"/>
    <n v="0"/>
    <n v="0"/>
    <n v="0"/>
    <n v="0"/>
    <n v="53"/>
  </r>
  <r>
    <n v="8096699"/>
    <s v="N"/>
    <n v="21344060"/>
    <s v="3000004211210009"/>
    <s v="CIVIL"/>
    <d v="2023-06-29T00:00:00"/>
    <d v="2023-07-07T19:03:00"/>
    <m/>
    <d v="2023-07-07T00:00:00"/>
    <n v="1205"/>
    <n v="18696"/>
    <s v="8096699"/>
    <s v="8096699"/>
    <m/>
    <m/>
    <n v="22791280"/>
    <m/>
    <m/>
    <m/>
    <s v="SOLFIN"/>
    <s v="SOLFIN"/>
    <s v="CCMS"/>
    <n v="21344060"/>
    <n v="1555.48"/>
    <m/>
    <s v="N"/>
    <n v="2"/>
    <d v="2023-07-07T19:03:22"/>
    <s v="N"/>
    <s v="Solicitor Travel Expenses"/>
    <s v="Non Family Hourly Rates"/>
    <s v="Non Expert Disbursement"/>
    <s v="Kirsty MacMillan"/>
    <s v="N"/>
    <n v="13"/>
    <n v="2.6"/>
    <x v="9"/>
    <s v="VALIDATED"/>
    <n v="1"/>
    <s v="01.11.80.209.6300.0000"/>
    <n v="13"/>
    <s v="11"/>
    <s v="6300"/>
    <n v="30594.15"/>
    <n v="13"/>
    <s v="CREDITOR"/>
    <n v="0"/>
    <n v="0"/>
    <n v="0"/>
    <n v="0"/>
    <n v="13"/>
  </r>
  <r>
    <n v="62064082"/>
    <s v="N"/>
    <n v="21338470"/>
    <s v="3000016093980002"/>
    <s v="CIVIL"/>
    <d v="2023-06-30T00:00:00"/>
    <d v="2023-07-06T19:21:01"/>
    <m/>
    <d v="2023-07-06T00:00:00"/>
    <n v="1205"/>
    <n v="18696"/>
    <s v="62064082"/>
    <s v="62064082"/>
    <m/>
    <m/>
    <n v="22795524"/>
    <m/>
    <m/>
    <m/>
    <s v="SOLFIN"/>
    <s v="SOLFIN"/>
    <s v="CCMS"/>
    <n v="21338470"/>
    <n v="4130.93"/>
    <m/>
    <s v="N"/>
    <n v="6"/>
    <d v="2023-07-06T19:21:26"/>
    <s v="Y"/>
    <s v="Hearing Unit 1.01 - 2.30 Hours"/>
    <s v="Public Law Children"/>
    <s v="Advocacy"/>
    <s v="Jas Tamber"/>
    <s v="Y"/>
    <n v="238.46"/>
    <n v="41.73"/>
    <x v="4"/>
    <s v="VALIDATED"/>
    <n v="1"/>
    <s v="01.11.80.308.6100.0000"/>
    <n v="238.46"/>
    <s v="11"/>
    <s v="6100"/>
    <n v="30594.15"/>
    <n v="238.46"/>
    <s v="CREDITOR"/>
    <n v="0"/>
    <n v="0"/>
    <n v="0"/>
    <n v="0"/>
    <n v="238.46"/>
  </r>
  <r>
    <n v="60631907"/>
    <s v="N"/>
    <n v="21331360"/>
    <s v="3000014878960007"/>
    <s v="CIVIL"/>
    <d v="2023-06-28T00:00:00"/>
    <d v="2023-07-05T19:01:47"/>
    <m/>
    <d v="2023-07-05T00:00:00"/>
    <n v="1205"/>
    <n v="18696"/>
    <s v="60631907"/>
    <s v="60631907"/>
    <m/>
    <m/>
    <n v="22783676"/>
    <m/>
    <m/>
    <m/>
    <s v="SOLFIN"/>
    <s v="SOLFIN"/>
    <s v="CCMS"/>
    <n v="21331360"/>
    <n v="9637.15"/>
    <m/>
    <s v="N"/>
    <n v="57"/>
    <d v="2023-07-05T19:02:16"/>
    <s v="Y"/>
    <s v="Preparation - other"/>
    <s v="Prescribed Hourly Rates"/>
    <s v="Profit Cost"/>
    <s v="Penny Dukes"/>
    <s v="Y"/>
    <n v="71.37"/>
    <n v="14.28"/>
    <x v="6"/>
    <s v="VALIDATED"/>
    <n v="1"/>
    <s v="01.11.80.307.6100.0000"/>
    <n v="71.37"/>
    <s v="11"/>
    <s v="6100"/>
    <n v="30594.15"/>
    <n v="71.37"/>
    <s v="CREDITOR"/>
    <n v="0"/>
    <n v="0"/>
    <n v="0"/>
    <n v="0"/>
    <n v="71.37"/>
  </r>
  <r>
    <n v="60631907"/>
    <s v="N"/>
    <n v="21331360"/>
    <s v="3000014878960007"/>
    <s v="CIVIL"/>
    <d v="2023-06-28T00:00:00"/>
    <d v="2023-07-05T19:01:47"/>
    <m/>
    <d v="2023-07-05T00:00:00"/>
    <n v="1205"/>
    <n v="18696"/>
    <s v="60631907"/>
    <s v="60631907"/>
    <m/>
    <m/>
    <n v="22783676"/>
    <m/>
    <m/>
    <m/>
    <s v="SOLFIN"/>
    <s v="SOLFIN"/>
    <s v="CCMS"/>
    <n v="21331360"/>
    <n v="9637.15"/>
    <m/>
    <s v="N"/>
    <n v="4"/>
    <d v="2023-07-05T19:02:16"/>
    <s v="Y"/>
    <s v="Preparation - other"/>
    <s v="Prescribed Hourly Rates"/>
    <s v="Profit Cost"/>
    <s v="Andrew Crumpton"/>
    <s v="Y"/>
    <n v="13.73"/>
    <n v="2.75"/>
    <x v="6"/>
    <s v="VALIDATED"/>
    <n v="1"/>
    <s v="01.11.80.307.6100.0000"/>
    <n v="13.73"/>
    <s v="11"/>
    <s v="6100"/>
    <n v="30594.15"/>
    <n v="13.73"/>
    <s v="CREDITOR"/>
    <n v="0"/>
    <n v="0"/>
    <n v="0"/>
    <n v="0"/>
    <n v="13.73"/>
  </r>
  <r>
    <n v="61817409"/>
    <s v="N"/>
    <n v="21331158"/>
    <s v="3000015888300002"/>
    <s v="CIVIL"/>
    <d v="2023-06-27T00:00:00"/>
    <d v="2023-07-05T19:01:47"/>
    <m/>
    <d v="2023-07-05T00:00:00"/>
    <n v="1205"/>
    <n v="18696"/>
    <s v="61817409"/>
    <s v="61817409"/>
    <m/>
    <m/>
    <n v="22771972"/>
    <m/>
    <m/>
    <m/>
    <s v="SOLFIN"/>
    <s v="SOLFIN"/>
    <s v="CCMS"/>
    <n v="21331158"/>
    <n v="5951.96"/>
    <m/>
    <s v="N"/>
    <n v="3"/>
    <d v="2023-07-05T19:02:08"/>
    <s v="Y"/>
    <s v="Hearing Unit 5.01 - 7.30 Hours"/>
    <s v="Public Law Children"/>
    <s v="Advocacy"/>
    <s v="Narinder Singh"/>
    <s v="Y"/>
    <n v="715.38"/>
    <n v="143.08"/>
    <x v="6"/>
    <s v="VALIDATED"/>
    <n v="1"/>
    <s v="01.11.80.308.6100.0000"/>
    <n v="715.38"/>
    <s v="11"/>
    <s v="6100"/>
    <n v="30594.15"/>
    <n v="715.38"/>
    <s v="CREDITOR"/>
    <n v="0"/>
    <n v="0"/>
    <n v="0"/>
    <n v="0"/>
    <n v="715.38"/>
  </r>
  <r>
    <n v="61817409"/>
    <s v="N"/>
    <n v="21331158"/>
    <s v="3000015888300002"/>
    <s v="CIVIL"/>
    <d v="2023-06-27T00:00:00"/>
    <d v="2023-07-05T19:01:47"/>
    <m/>
    <d v="2023-07-05T00:00:00"/>
    <n v="1205"/>
    <n v="18696"/>
    <s v="61817409"/>
    <s v="61817409"/>
    <m/>
    <m/>
    <n v="22771972"/>
    <m/>
    <m/>
    <m/>
    <s v="SOLFIN"/>
    <s v="SOLFIN"/>
    <s v="CCMS"/>
    <n v="21331158"/>
    <n v="5951.96"/>
    <m/>
    <s v="N"/>
    <n v="7"/>
    <d v="2023-07-05T19:02:08"/>
    <s v="Y"/>
    <s v="Advocates Meeting"/>
    <s v="Public Law Children"/>
    <s v="Advocacy"/>
    <s v="Narinder Singh"/>
    <s v="Y"/>
    <n v="140.99"/>
    <n v="28.2"/>
    <x v="6"/>
    <s v="VALIDATED"/>
    <n v="1"/>
    <s v="01.11.80.308.6100.0000"/>
    <n v="140.99"/>
    <s v="11"/>
    <s v="6100"/>
    <n v="30594.15"/>
    <n v="140.99"/>
    <s v="CREDITOR"/>
    <n v="0"/>
    <n v="0"/>
    <n v="0"/>
    <n v="0"/>
    <n v="140.99"/>
  </r>
  <r>
    <n v="60740536"/>
    <s v="N"/>
    <n v="21343872"/>
    <s v="3000014983190011"/>
    <s v="CIVIL"/>
    <d v="2023-06-27T00:00:00"/>
    <d v="2023-07-07T19:03:00"/>
    <m/>
    <d v="2023-07-07T00:00:00"/>
    <n v="1205"/>
    <n v="18696"/>
    <s v="60740536"/>
    <s v="60740536"/>
    <m/>
    <m/>
    <n v="22766106"/>
    <m/>
    <m/>
    <m/>
    <s v="SOLFIN"/>
    <s v="SOLFIN"/>
    <s v="CCMS"/>
    <n v="21343872"/>
    <n v="13395.68"/>
    <m/>
    <s v="N"/>
    <n v="11"/>
    <d v="2023-07-07T19:03:15"/>
    <s v="Y"/>
    <s v="Preparation - drafting statement"/>
    <s v="Care Remuneration Hourly Rates"/>
    <s v="Profit Cost"/>
    <s v="Charlotte Raybould"/>
    <s v="Y"/>
    <n v="72.54000000000001"/>
    <n v="14.51"/>
    <x v="9"/>
    <s v="VALIDATED"/>
    <n v="1"/>
    <s v="01.11.80.308.6100.0000"/>
    <n v="72.54000000000001"/>
    <s v="11"/>
    <s v="6100"/>
    <n v="30594.15"/>
    <n v="72.54000000000001"/>
    <s v="CREDITOR"/>
    <n v="0"/>
    <n v="0"/>
    <n v="0"/>
    <n v="0"/>
    <n v="72.54000000000001"/>
  </r>
  <r>
    <n v="60773030"/>
    <s v="N"/>
    <n v="21344084"/>
    <s v="3000015011890006"/>
    <s v="CIVIL"/>
    <d v="2023-06-29T00:00:00"/>
    <d v="2023-07-07T19:03:00"/>
    <m/>
    <d v="2023-07-07T00:00:00"/>
    <n v="1205"/>
    <n v="18696"/>
    <s v="60773030"/>
    <s v="60773030"/>
    <m/>
    <m/>
    <n v="22785194"/>
    <m/>
    <m/>
    <m/>
    <s v="SOLFIN"/>
    <s v="SOLFIN"/>
    <s v="CCMS"/>
    <n v="21344084"/>
    <n v="3274.89"/>
    <m/>
    <s v="N"/>
    <n v="8"/>
    <d v="2023-07-07T19:03:23"/>
    <s v="Y"/>
    <s v="Preparation - drafting bill/claim f"/>
    <s v="Prescribed Hourly Rates"/>
    <s v="Profit Cost"/>
    <s v="Darren Plant"/>
    <s v="Y"/>
    <n v="120.78"/>
    <n v="24.16"/>
    <x v="9"/>
    <s v="VALIDATED"/>
    <n v="1"/>
    <s v="01.11.80.307.6100.0000"/>
    <n v="120.78"/>
    <s v="11"/>
    <s v="6100"/>
    <n v="30594.15"/>
    <n v="120.78"/>
    <s v="CREDITOR"/>
    <n v="0"/>
    <n v="0"/>
    <n v="0"/>
    <n v="0"/>
    <n v="120.78"/>
  </r>
  <r>
    <n v="60631907"/>
    <s v="N"/>
    <n v="21331360"/>
    <s v="3000014878960007"/>
    <s v="CIVIL"/>
    <d v="2023-06-28T00:00:00"/>
    <d v="2023-07-05T19:01:47"/>
    <m/>
    <d v="2023-07-05T00:00:00"/>
    <n v="1205"/>
    <n v="18696"/>
    <s v="60631907"/>
    <s v="60631907"/>
    <m/>
    <m/>
    <n v="22783676"/>
    <m/>
    <m/>
    <m/>
    <s v="SOLFIN"/>
    <s v="SOLFIN"/>
    <s v="CCMS"/>
    <n v="21331360"/>
    <n v="9637.15"/>
    <m/>
    <s v="N"/>
    <n v="41"/>
    <d v="2023-07-05T19:02:16"/>
    <s v="Y"/>
    <s v="Report - other report"/>
    <s v="Prescribed Hourly Rates"/>
    <s v="Profit Cost"/>
    <s v="Andrew Crumpton"/>
    <s v="Y"/>
    <n v="171.56"/>
    <n v="34.31"/>
    <x v="6"/>
    <s v="VALIDATED"/>
    <n v="1"/>
    <s v="01.11.80.307.6100.0000"/>
    <n v="171.56"/>
    <s v="11"/>
    <s v="6100"/>
    <n v="30594.15"/>
    <n v="171.56"/>
    <s v="CREDITOR"/>
    <n v="0"/>
    <n v="0"/>
    <n v="0"/>
    <n v="0"/>
    <n v="171.56"/>
  </r>
  <r>
    <n v="60764755"/>
    <s v="N"/>
    <n v="21337748"/>
    <s v="3000015002070010"/>
    <s v="CIVIL"/>
    <d v="2023-06-22T00:00:00"/>
    <d v="2023-07-06T19:21:01"/>
    <m/>
    <d v="2023-07-06T00:00:00"/>
    <n v="1205"/>
    <n v="18696"/>
    <s v="60764755"/>
    <s v="60764755"/>
    <m/>
    <m/>
    <n v="22741190"/>
    <m/>
    <m/>
    <m/>
    <s v="SOLFIN"/>
    <s v="SOLFIN"/>
    <s v="CCMS"/>
    <n v="21337748"/>
    <n v="11125.15"/>
    <m/>
    <s v="N"/>
    <n v="16"/>
    <d v="2023-07-06T19:21:07"/>
    <s v="Y"/>
    <s v="Hearing Unit 2.31 - 5.00 Hours"/>
    <s v="Public Law Children"/>
    <s v="Advocacy"/>
    <s v="Charlotte Raybould"/>
    <s v="Y"/>
    <n v="476.92"/>
    <n v="95.38"/>
    <x v="4"/>
    <s v="VALIDATED"/>
    <n v="1"/>
    <s v="01.11.80.308.6100.0000"/>
    <n v="476.92"/>
    <s v="11"/>
    <s v="6100"/>
    <n v="30594.15"/>
    <n v="476.92"/>
    <s v="CREDITOR"/>
    <n v="0"/>
    <n v="0"/>
    <n v="0"/>
    <n v="0"/>
    <n v="476.92"/>
  </r>
  <r>
    <n v="60744883"/>
    <s v="N"/>
    <n v="21330927"/>
    <s v="3000014987240008"/>
    <s v="CIVIL"/>
    <d v="2023-06-22T00:00:00"/>
    <d v="2023-07-05T19:01:47"/>
    <m/>
    <d v="2023-07-05T00:00:00"/>
    <n v="1205"/>
    <n v="18696"/>
    <s v="60744883"/>
    <s v="60744883"/>
    <m/>
    <m/>
    <n v="22745992"/>
    <m/>
    <m/>
    <m/>
    <s v="SOLFIN"/>
    <s v="SOLFIN"/>
    <s v="CCMS"/>
    <n v="21330927"/>
    <n v="13790.5"/>
    <m/>
    <s v="N"/>
    <n v="20"/>
    <d v="2023-07-05T19:01:57"/>
    <s v="Y"/>
    <s v="Attendance upon client"/>
    <s v="Care Remuneration Hourly Rates"/>
    <s v="Profit Cost"/>
    <s v="Alix Reynolds"/>
    <s v="Y"/>
    <n v="13.14"/>
    <n v="2.63"/>
    <x v="6"/>
    <s v="VALIDATED"/>
    <n v="1"/>
    <s v="01.11.80.308.6100.0000"/>
    <n v="13.14"/>
    <s v="11"/>
    <s v="6100"/>
    <n v="30594.15"/>
    <n v="13.14"/>
    <s v="CREDITOR"/>
    <n v="0"/>
    <n v="0"/>
    <n v="0"/>
    <n v="0"/>
    <n v="13.14"/>
  </r>
  <r>
    <n v="60773030"/>
    <s v="N"/>
    <n v="21344084"/>
    <s v="3000015011890006"/>
    <s v="CIVIL"/>
    <d v="2023-06-29T00:00:00"/>
    <d v="2023-07-07T19:03:00"/>
    <m/>
    <d v="2023-07-07T00:00:00"/>
    <n v="1205"/>
    <n v="18696"/>
    <s v="60773030"/>
    <s v="60773030"/>
    <m/>
    <m/>
    <n v="22785194"/>
    <m/>
    <m/>
    <m/>
    <s v="SOLFIN"/>
    <s v="SOLFIN"/>
    <s v="CCMS"/>
    <n v="21344084"/>
    <n v="3274.89"/>
    <m/>
    <s v="N"/>
    <n v="40"/>
    <d v="2023-07-07T19:03:23"/>
    <s v="Y"/>
    <s v="Preparation - drafting statement"/>
    <s v="Prescribed Hourly Rates"/>
    <s v="Profit Cost"/>
    <s v="Narinder Singh"/>
    <s v="Y"/>
    <n v="126.27"/>
    <n v="25.26"/>
    <x v="9"/>
    <s v="VALIDATED"/>
    <n v="1"/>
    <s v="01.11.80.307.6100.0000"/>
    <n v="126.27"/>
    <s v="11"/>
    <s v="6100"/>
    <n v="30594.15"/>
    <n v="126.27"/>
    <s v="CREDITOR"/>
    <n v="0"/>
    <n v="0"/>
    <n v="0"/>
    <n v="0"/>
    <n v="126.27"/>
  </r>
  <r>
    <n v="60631907"/>
    <s v="N"/>
    <n v="21331360"/>
    <s v="3000014878960007"/>
    <s v="CIVIL"/>
    <d v="2023-06-28T00:00:00"/>
    <d v="2023-07-05T19:01:47"/>
    <m/>
    <d v="2023-07-05T00:00:00"/>
    <n v="1205"/>
    <n v="18696"/>
    <s v="60631907"/>
    <s v="60631907"/>
    <m/>
    <m/>
    <n v="22783676"/>
    <m/>
    <m/>
    <m/>
    <s v="SOLFIN"/>
    <s v="SOLFIN"/>
    <s v="CCMS"/>
    <n v="21331360"/>
    <n v="9637.15"/>
    <m/>
    <s v="N"/>
    <n v="59"/>
    <d v="2023-07-05T19:02:16"/>
    <s v="Y"/>
    <s v="Preparation - other"/>
    <s v="Prescribed Hourly Rates"/>
    <s v="Profit Cost"/>
    <s v="Penny Dukes"/>
    <s v="Y"/>
    <n v="10.98"/>
    <n v="2.2"/>
    <x v="6"/>
    <s v="VALIDATED"/>
    <n v="1"/>
    <s v="01.11.80.307.6100.0000"/>
    <n v="10.98"/>
    <s v="11"/>
    <s v="6100"/>
    <n v="30594.15"/>
    <n v="10.98"/>
    <s v="CREDITOR"/>
    <n v="0"/>
    <n v="0"/>
    <n v="0"/>
    <n v="0"/>
    <n v="10.98"/>
  </r>
  <r>
    <n v="60744883"/>
    <s v="N"/>
    <n v="21330927"/>
    <s v="3000014987240008"/>
    <s v="CIVIL"/>
    <d v="2023-06-22T00:00:00"/>
    <d v="2023-07-05T19:01:47"/>
    <m/>
    <d v="2023-07-05T00:00:00"/>
    <n v="1205"/>
    <n v="18696"/>
    <s v="60744883"/>
    <s v="60744883"/>
    <m/>
    <m/>
    <n v="22745992"/>
    <m/>
    <m/>
    <m/>
    <s v="SOLFIN"/>
    <s v="SOLFIN"/>
    <s v="CCMS"/>
    <n v="21330927"/>
    <n v="13790.5"/>
    <m/>
    <s v="N"/>
    <n v="77"/>
    <d v="2023-07-05T19:01:57"/>
    <s v="Y"/>
    <s v="Hearing Unit 2.31 - 5.00 Hours"/>
    <s v="Public Law Children"/>
    <s v="Advocacy"/>
    <s v="Alix Reynolds"/>
    <s v="Y"/>
    <n v="476.92"/>
    <n v="95.38"/>
    <x v="6"/>
    <s v="VALIDATED"/>
    <n v="1"/>
    <s v="01.11.80.308.6100.0000"/>
    <n v="476.92"/>
    <s v="11"/>
    <s v="6100"/>
    <n v="30594.15"/>
    <n v="476.92"/>
    <s v="CREDITOR"/>
    <n v="0"/>
    <n v="0"/>
    <n v="0"/>
    <n v="0"/>
    <n v="476.92"/>
  </r>
  <r>
    <n v="60744883"/>
    <s v="N"/>
    <n v="21330927"/>
    <s v="3000014987240008"/>
    <s v="CIVIL"/>
    <d v="2023-06-22T00:00:00"/>
    <d v="2023-07-05T19:01:47"/>
    <m/>
    <d v="2023-07-05T00:00:00"/>
    <n v="1205"/>
    <n v="18696"/>
    <s v="60744883"/>
    <s v="60744883"/>
    <m/>
    <m/>
    <n v="22745992"/>
    <m/>
    <m/>
    <m/>
    <s v="SOLFIN"/>
    <s v="SOLFIN"/>
    <s v="CCMS"/>
    <n v="21330927"/>
    <n v="13790.5"/>
    <m/>
    <s v="N"/>
    <n v="56"/>
    <d v="2023-07-05T19:01:57"/>
    <s v="Y"/>
    <s v="Preparation - drafting statement"/>
    <s v="Care Remuneration Hourly Rates"/>
    <s v="Profit Cost"/>
    <s v="Narinder Singh"/>
    <s v="Y"/>
    <n v="65.70999999999999"/>
    <n v="13.14"/>
    <x v="6"/>
    <s v="VALIDATED"/>
    <n v="1"/>
    <s v="01.11.80.308.6100.0000"/>
    <n v="65.70999999999999"/>
    <s v="11"/>
    <s v="6100"/>
    <n v="30594.15"/>
    <n v="65.70999999999999"/>
    <s v="CREDITOR"/>
    <n v="0"/>
    <n v="0"/>
    <n v="0"/>
    <n v="0"/>
    <n v="65.70999999999999"/>
  </r>
  <r>
    <n v="60631907"/>
    <s v="N"/>
    <n v="21331360"/>
    <s v="3000014878960007"/>
    <s v="CIVIL"/>
    <d v="2023-06-28T00:00:00"/>
    <d v="2023-07-05T19:01:47"/>
    <m/>
    <d v="2023-07-05T00:00:00"/>
    <n v="1205"/>
    <n v="18696"/>
    <s v="60631907"/>
    <s v="60631907"/>
    <m/>
    <m/>
    <n v="22783676"/>
    <m/>
    <m/>
    <m/>
    <s v="SOLFIN"/>
    <s v="SOLFIN"/>
    <s v="CCMS"/>
    <n v="21331360"/>
    <n v="9637.15"/>
    <m/>
    <s v="N"/>
    <n v="47"/>
    <d v="2023-07-05T19:02:16"/>
    <s v="Y"/>
    <s v="Attendance upon other"/>
    <s v="Prescribed Hourly Rates"/>
    <s v="Profit Cost"/>
    <s v="Andrew Crumpton"/>
    <s v="Y"/>
    <n v="20.59"/>
    <n v="4.12"/>
    <x v="6"/>
    <s v="VALIDATED"/>
    <n v="1"/>
    <s v="01.11.80.307.6100.0000"/>
    <n v="20.59"/>
    <s v="11"/>
    <s v="6100"/>
    <n v="30594.15"/>
    <n v="20.59"/>
    <s v="CREDITOR"/>
    <n v="0"/>
    <n v="0"/>
    <n v="0"/>
    <n v="0"/>
    <n v="20.59"/>
  </r>
  <r>
    <n v="61067782"/>
    <s v="N"/>
    <n v="21318696"/>
    <s v="3000015264930017"/>
    <s v="CIVIL"/>
    <d v="2023-06-22T00:00:00"/>
    <d v="2023-07-03T19:01:49"/>
    <m/>
    <d v="2023-07-03T00:00:00"/>
    <n v="1205"/>
    <n v="18696"/>
    <s v="61067782"/>
    <s v="61067782"/>
    <m/>
    <m/>
    <n v="22740334"/>
    <m/>
    <m/>
    <m/>
    <s v="SOLPOA"/>
    <s v="SOLPOA"/>
    <s v="CCMS"/>
    <n v="21318696"/>
    <n v="972"/>
    <m/>
    <s v="N"/>
    <n v="1"/>
    <d v="2023-07-03T19:02:01"/>
    <s v="N"/>
    <s v="Expert Cost"/>
    <s v="Expert Cost"/>
    <s v="Expert Disbursement"/>
    <s v="Narinder Singh"/>
    <s v="N"/>
    <n v="810"/>
    <n v="162"/>
    <x v="3"/>
    <s v="VALIDATED"/>
    <n v="1"/>
    <s v="01.11.80.308.2012.0000"/>
    <n v="810"/>
    <s v="11"/>
    <s v="2012"/>
    <n v="30594.15"/>
    <n v="810"/>
    <s v="CREDITOR"/>
    <n v="810"/>
    <n v="0"/>
    <n v="0"/>
    <n v="0"/>
    <n v="0"/>
  </r>
  <r>
    <n v="60773030"/>
    <s v="N"/>
    <n v="21344084"/>
    <s v="3000015011890006"/>
    <s v="CIVIL"/>
    <d v="2023-06-29T00:00:00"/>
    <d v="2023-07-07T19:03:00"/>
    <m/>
    <d v="2023-07-07T00:00:00"/>
    <n v="1205"/>
    <n v="18696"/>
    <s v="60773030"/>
    <s v="60773030"/>
    <m/>
    <m/>
    <n v="22785194"/>
    <m/>
    <m/>
    <m/>
    <s v="SOLFIN"/>
    <s v="SOLFIN"/>
    <s v="CCMS"/>
    <n v="21344084"/>
    <n v="3274.89"/>
    <m/>
    <s v="N"/>
    <n v="16"/>
    <d v="2023-07-07T19:03:23"/>
    <s v="Y"/>
    <s v="Preparation - drafting notice(s)"/>
    <s v="Prescribed Hourly Rates"/>
    <s v="Profit Cost"/>
    <s v="Alix Reynolds"/>
    <s v="Y"/>
    <n v="5.49"/>
    <n v="1.1"/>
    <x v="9"/>
    <s v="VALIDATED"/>
    <n v="1"/>
    <s v="01.11.80.307.6100.0000"/>
    <n v="5.49"/>
    <s v="11"/>
    <s v="6100"/>
    <n v="30594.15"/>
    <n v="5.49"/>
    <s v="CREDITOR"/>
    <n v="0"/>
    <n v="0"/>
    <n v="0"/>
    <n v="0"/>
    <n v="5.49"/>
  </r>
  <r>
    <n v="48504544"/>
    <s v="N"/>
    <n v="21344092"/>
    <s v="3000012074710009"/>
    <s v="CIVIL"/>
    <d v="2023-06-29T00:00:00"/>
    <d v="2023-07-07T19:03:00"/>
    <m/>
    <d v="2023-07-07T00:00:00"/>
    <n v="1205"/>
    <n v="18696"/>
    <s v="48504544"/>
    <s v="48504544"/>
    <m/>
    <m/>
    <n v="22787308"/>
    <m/>
    <m/>
    <m/>
    <s v="SOLFIN"/>
    <s v="SOLFIN"/>
    <s v="CCMS"/>
    <n v="21344092"/>
    <n v="5824.29"/>
    <m/>
    <s v="N"/>
    <n v="3"/>
    <d v="2023-07-07T19:03:23"/>
    <s v="Y"/>
    <s v="Attendance upon/with Counsel at Con"/>
    <s v="Prescribed Hourly Rates"/>
    <s v="Profit Cost"/>
    <s v="Charlotte Raybould"/>
    <s v="Y"/>
    <n v="7.45"/>
    <n v="1.49"/>
    <x v="9"/>
    <s v="VALIDATED"/>
    <n v="1"/>
    <s v="01.11.80.307.6100.0000"/>
    <n v="7.45"/>
    <s v="11"/>
    <s v="6100"/>
    <n v="30594.15"/>
    <n v="7.45"/>
    <s v="CREDITOR"/>
    <n v="0"/>
    <n v="0"/>
    <n v="0"/>
    <n v="0"/>
    <n v="7.45"/>
  </r>
  <r>
    <n v="54813547"/>
    <s v="N"/>
    <n v="21338270"/>
    <s v="3000013038820008"/>
    <s v="CIVIL"/>
    <d v="2023-06-27T00:00:00"/>
    <d v="2023-07-06T19:21:01"/>
    <m/>
    <d v="2023-07-06T00:00:00"/>
    <n v="1205"/>
    <n v="18696"/>
    <s v="54813547"/>
    <s v="54813547"/>
    <m/>
    <m/>
    <n v="22769992"/>
    <m/>
    <m/>
    <m/>
    <s v="SOLFIN"/>
    <s v="SOLFIN"/>
    <s v="CCMS"/>
    <n v="21338270"/>
    <n v="24252.38"/>
    <m/>
    <s v="N"/>
    <n v="31"/>
    <d v="2023-07-06T19:21:15"/>
    <s v="Y"/>
    <s v="Preparation - drafting consent orde"/>
    <s v="Care Remuneration Hourly Rates"/>
    <s v="Profit Cost"/>
    <s v="Eliot Brookes"/>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51"/>
    <d v="2023-07-06T19:21:15"/>
    <s v="Y"/>
    <s v="Preparation - other"/>
    <s v="Care Remuneration Hourly Rates"/>
    <s v="Profit Cost"/>
    <s v="Anna Cooper"/>
    <s v="Y"/>
    <n v="59.26"/>
    <n v="11.85"/>
    <x v="4"/>
    <s v="VALIDATED"/>
    <n v="1"/>
    <s v="01.11.80.308.6100.0000"/>
    <n v="59.26"/>
    <s v="11"/>
    <s v="6100"/>
    <n v="30594.15"/>
    <n v="59.26"/>
    <s v="CREDITOR"/>
    <n v="0"/>
    <n v="0"/>
    <n v="0"/>
    <n v="0"/>
    <n v="59.26"/>
  </r>
  <r>
    <n v="60744883"/>
    <s v="N"/>
    <n v="21330927"/>
    <s v="3000014987240008"/>
    <s v="CIVIL"/>
    <d v="2023-06-22T00:00:00"/>
    <d v="2023-07-05T19:01:47"/>
    <m/>
    <d v="2023-07-05T00:00:00"/>
    <n v="1205"/>
    <n v="18696"/>
    <s v="60744883"/>
    <s v="60744883"/>
    <m/>
    <m/>
    <n v="22745992"/>
    <m/>
    <m/>
    <m/>
    <s v="SOLFIN"/>
    <s v="SOLFIN"/>
    <s v="CCMS"/>
    <n v="21330927"/>
    <n v="13790.5"/>
    <m/>
    <s v="N"/>
    <n v="13"/>
    <d v="2023-07-05T19:01:57"/>
    <s v="Y"/>
    <s v="Attendance upon client"/>
    <s v="Care Remuneration Hourly Rates"/>
    <s v="Profit Cost"/>
    <s v="Alix Reynolds"/>
    <s v="Y"/>
    <n v="13.14"/>
    <n v="2.63"/>
    <x v="6"/>
    <s v="VALIDATED"/>
    <n v="1"/>
    <s v="01.11.80.308.6100.0000"/>
    <n v="13.14"/>
    <s v="11"/>
    <s v="6100"/>
    <n v="30594.15"/>
    <n v="13.14"/>
    <s v="CREDITOR"/>
    <n v="0"/>
    <n v="0"/>
    <n v="0"/>
    <n v="0"/>
    <n v="13.14"/>
  </r>
  <r>
    <n v="60744883"/>
    <s v="N"/>
    <n v="21330927"/>
    <s v="3000014987240008"/>
    <s v="CIVIL"/>
    <d v="2023-06-22T00:00:00"/>
    <d v="2023-07-05T19:01:47"/>
    <m/>
    <d v="2023-07-05T00:00:00"/>
    <n v="1205"/>
    <n v="18696"/>
    <s v="60744883"/>
    <s v="60744883"/>
    <m/>
    <m/>
    <n v="22745992"/>
    <m/>
    <m/>
    <m/>
    <s v="SOLFIN"/>
    <s v="SOLFIN"/>
    <s v="CCMS"/>
    <n v="21330927"/>
    <n v="13790.5"/>
    <m/>
    <s v="N"/>
    <n v="45"/>
    <d v="2023-07-05T19:01:57"/>
    <s v="Y"/>
    <s v="Attendance upon client"/>
    <s v="Care Remuneration Hourly Rates"/>
    <s v="Profit Cost"/>
    <s v="Alix Reynolds"/>
    <s v="Y"/>
    <n v="32.86"/>
    <n v="6.57"/>
    <x v="6"/>
    <s v="VALIDATED"/>
    <n v="1"/>
    <s v="01.11.80.308.6100.0000"/>
    <n v="32.86"/>
    <s v="11"/>
    <s v="6100"/>
    <n v="30594.15"/>
    <n v="32.86"/>
    <s v="CREDITOR"/>
    <n v="0"/>
    <n v="0"/>
    <n v="0"/>
    <n v="0"/>
    <n v="32.86"/>
  </r>
  <r>
    <n v="60744883"/>
    <s v="N"/>
    <n v="21330927"/>
    <s v="3000014987240008"/>
    <s v="CIVIL"/>
    <d v="2023-06-22T00:00:00"/>
    <d v="2023-07-05T19:01:47"/>
    <m/>
    <d v="2023-07-05T00:00:00"/>
    <n v="1205"/>
    <n v="18696"/>
    <s v="60744883"/>
    <s v="60744883"/>
    <m/>
    <m/>
    <n v="22745992"/>
    <m/>
    <m/>
    <m/>
    <s v="SOLFIN"/>
    <s v="SOLFIN"/>
    <s v="CCMS"/>
    <n v="21330927"/>
    <n v="13790.5"/>
    <m/>
    <s v="N"/>
    <n v="46"/>
    <d v="2023-07-05T19:01:57"/>
    <s v="Y"/>
    <s v="Preparation - other"/>
    <s v="Care Remuneration Hourly Rates"/>
    <s v="Profit Cost"/>
    <s v="Narinder Singh"/>
    <s v="Y"/>
    <n v="32.86"/>
    <n v="6.57"/>
    <x v="6"/>
    <s v="VALIDATED"/>
    <n v="1"/>
    <s v="01.11.80.308.6100.0000"/>
    <n v="32.86"/>
    <s v="11"/>
    <s v="6100"/>
    <n v="30594.15"/>
    <n v="32.86"/>
    <s v="CREDITOR"/>
    <n v="0"/>
    <n v="0"/>
    <n v="0"/>
    <n v="0"/>
    <n v="32.86"/>
  </r>
  <r>
    <n v="60744883"/>
    <s v="N"/>
    <n v="21330927"/>
    <s v="3000014987240008"/>
    <s v="CIVIL"/>
    <d v="2023-06-22T00:00:00"/>
    <d v="2023-07-05T19:01:47"/>
    <m/>
    <d v="2023-07-05T00:00:00"/>
    <n v="1205"/>
    <n v="18696"/>
    <s v="60744883"/>
    <s v="60744883"/>
    <m/>
    <m/>
    <n v="22745992"/>
    <m/>
    <m/>
    <m/>
    <s v="SOLFIN"/>
    <s v="SOLFIN"/>
    <s v="CCMS"/>
    <n v="21330927"/>
    <n v="13790.5"/>
    <m/>
    <s v="N"/>
    <n v="52"/>
    <d v="2023-07-05T19:01:57"/>
    <s v="Y"/>
    <s v="Preparation - other"/>
    <s v="Care Remuneration Hourly Rates"/>
    <s v="Profit Cost"/>
    <s v="Alix Reynolds"/>
    <s v="Y"/>
    <n v="26.29"/>
    <n v="5.26"/>
    <x v="6"/>
    <s v="VALIDATED"/>
    <n v="1"/>
    <s v="01.11.80.308.6100.0000"/>
    <n v="26.29"/>
    <s v="11"/>
    <s v="6100"/>
    <n v="30594.15"/>
    <n v="26.29"/>
    <s v="CREDITOR"/>
    <n v="0"/>
    <n v="0"/>
    <n v="0"/>
    <n v="0"/>
    <n v="26.29"/>
  </r>
  <r>
    <n v="54813547"/>
    <s v="N"/>
    <n v="21338270"/>
    <s v="3000013038820008"/>
    <s v="CIVIL"/>
    <d v="2023-06-27T00:00:00"/>
    <d v="2023-07-06T19:21:01"/>
    <m/>
    <d v="2023-07-06T00:00:00"/>
    <n v="1205"/>
    <n v="18696"/>
    <s v="54813547"/>
    <s v="54813547"/>
    <m/>
    <m/>
    <n v="22769992"/>
    <m/>
    <m/>
    <m/>
    <s v="SOLFIN"/>
    <s v="SOLFIN"/>
    <s v="CCMS"/>
    <n v="21338270"/>
    <n v="24252.38"/>
    <m/>
    <s v="N"/>
    <n v="108"/>
    <d v="2023-07-06T19:21:15"/>
    <s v="Y"/>
    <s v="Advocates Meeting"/>
    <s v="Public Law Children"/>
    <s v="Advocacy"/>
    <s v="Charlotte Raybould"/>
    <s v="Y"/>
    <n v="169.2"/>
    <n v="33.84"/>
    <x v="4"/>
    <s v="VALIDATED"/>
    <n v="1"/>
    <s v="01.11.80.308.6100.0000"/>
    <n v="169.2"/>
    <s v="11"/>
    <s v="6100"/>
    <n v="30594.15"/>
    <n v="169.2"/>
    <s v="CREDITOR"/>
    <n v="0"/>
    <n v="0"/>
    <n v="0"/>
    <n v="0"/>
    <n v="169.2"/>
  </r>
  <r>
    <n v="54813547"/>
    <s v="N"/>
    <n v="21338270"/>
    <s v="3000013038820008"/>
    <s v="CIVIL"/>
    <d v="2023-06-27T00:00:00"/>
    <d v="2023-07-06T19:21:01"/>
    <m/>
    <d v="2023-07-06T00:00:00"/>
    <n v="1205"/>
    <n v="18696"/>
    <s v="54813547"/>
    <s v="54813547"/>
    <m/>
    <m/>
    <n v="22769992"/>
    <m/>
    <m/>
    <m/>
    <s v="SOLFIN"/>
    <s v="SOLFIN"/>
    <s v="CCMS"/>
    <n v="21338270"/>
    <n v="24252.38"/>
    <m/>
    <s v="N"/>
    <n v="109"/>
    <d v="2023-07-06T19:21:15"/>
    <s v="Y"/>
    <s v="Hearing Unit 2.31 - 5.00 Hours"/>
    <s v="Public Law Children"/>
    <s v="Advocacy"/>
    <s v="Madhur Sharma"/>
    <s v="Y"/>
    <n v="476.92"/>
    <n v="95.38"/>
    <x v="4"/>
    <s v="VALIDATED"/>
    <n v="1"/>
    <s v="01.11.80.308.6100.0000"/>
    <n v="476.92"/>
    <s v="11"/>
    <s v="6100"/>
    <n v="30594.15"/>
    <n v="476.92"/>
    <s v="CREDITOR"/>
    <n v="0"/>
    <n v="0"/>
    <n v="0"/>
    <n v="0"/>
    <n v="476.92"/>
  </r>
  <r>
    <n v="60740536"/>
    <s v="N"/>
    <n v="21343872"/>
    <s v="3000014983190011"/>
    <s v="CIVIL"/>
    <d v="2023-06-27T00:00:00"/>
    <d v="2023-07-07T19:03:00"/>
    <m/>
    <d v="2023-07-07T00:00:00"/>
    <n v="1205"/>
    <n v="18696"/>
    <s v="60740536"/>
    <s v="60740536"/>
    <m/>
    <m/>
    <n v="22766106"/>
    <m/>
    <m/>
    <m/>
    <s v="SOLFIN"/>
    <s v="SOLFIN"/>
    <s v="CCMS"/>
    <n v="21343872"/>
    <n v="13395.68"/>
    <m/>
    <s v="N"/>
    <n v="45"/>
    <d v="2023-07-07T19:03:15"/>
    <s v="Y"/>
    <s v="Preparation - other"/>
    <s v="Care Remuneration Hourly Rates"/>
    <s v="Profit Cost"/>
    <s v="Anna Cooper"/>
    <s v="Y"/>
    <n v="383.76"/>
    <n v="76.75"/>
    <x v="9"/>
    <s v="VALIDATED"/>
    <n v="1"/>
    <s v="01.11.80.308.6100.0000"/>
    <n v="383.76"/>
    <s v="11"/>
    <s v="6100"/>
    <n v="30594.15"/>
    <n v="383.76"/>
    <s v="CREDITOR"/>
    <n v="0"/>
    <n v="0"/>
    <n v="0"/>
    <n v="0"/>
    <n v="383.76"/>
  </r>
  <r>
    <n v="60773030"/>
    <s v="N"/>
    <n v="21344084"/>
    <s v="3000015011890006"/>
    <s v="CIVIL"/>
    <d v="2023-06-29T00:00:00"/>
    <d v="2023-07-07T19:03:00"/>
    <m/>
    <d v="2023-07-07T00:00:00"/>
    <n v="1205"/>
    <n v="18696"/>
    <s v="60773030"/>
    <s v="60773030"/>
    <m/>
    <m/>
    <n v="22785194"/>
    <m/>
    <m/>
    <m/>
    <s v="SOLFIN"/>
    <s v="SOLFIN"/>
    <s v="CCMS"/>
    <n v="21344084"/>
    <n v="3274.89"/>
    <m/>
    <s v="N"/>
    <n v="21"/>
    <d v="2023-07-07T19:03:23"/>
    <s v="Y"/>
    <s v="Attendance upon client"/>
    <s v="Prescribed Hourly Rates"/>
    <s v="Profit Cost"/>
    <s v="Narinder Singh"/>
    <s v="Y"/>
    <n v="25.25"/>
    <n v="5.05"/>
    <x v="9"/>
    <s v="VALIDATED"/>
    <n v="1"/>
    <s v="01.11.80.307.6100.0000"/>
    <n v="25.25"/>
    <s v="11"/>
    <s v="6100"/>
    <n v="30594.15"/>
    <n v="25.25"/>
    <s v="CREDITOR"/>
    <n v="0"/>
    <n v="0"/>
    <n v="0"/>
    <n v="0"/>
    <n v="25.25"/>
  </r>
  <r>
    <n v="48504544"/>
    <s v="N"/>
    <n v="21344092"/>
    <s v="3000012074710009"/>
    <s v="CIVIL"/>
    <d v="2023-06-29T00:00:00"/>
    <d v="2023-07-07T19:03:00"/>
    <m/>
    <d v="2023-07-07T00:00:00"/>
    <n v="1205"/>
    <n v="18696"/>
    <s v="48504544"/>
    <s v="48504544"/>
    <m/>
    <m/>
    <n v="22787308"/>
    <m/>
    <m/>
    <m/>
    <s v="SOLFIN"/>
    <s v="SOLFIN"/>
    <s v="CCMS"/>
    <n v="21344092"/>
    <n v="5824.29"/>
    <m/>
    <s v="N"/>
    <n v="27"/>
    <d v="2023-07-07T19:03:23"/>
    <s v="Y"/>
    <s v="Preparation - other"/>
    <s v="Prescribed Hourly Rates"/>
    <s v="Profit Cost"/>
    <s v="Penny Dukes"/>
    <s v="Y"/>
    <n v="5.49"/>
    <n v="1.1"/>
    <x v="9"/>
    <s v="VALIDATED"/>
    <n v="1"/>
    <s v="01.11.80.307.6100.0000"/>
    <n v="5.49"/>
    <s v="11"/>
    <s v="6100"/>
    <n v="30594.15"/>
    <n v="5.49"/>
    <s v="CREDITOR"/>
    <n v="0"/>
    <n v="0"/>
    <n v="0"/>
    <n v="0"/>
    <n v="5.49"/>
  </r>
  <r>
    <n v="60764755"/>
    <s v="N"/>
    <n v="21337748"/>
    <s v="3000015002070010"/>
    <s v="CIVIL"/>
    <d v="2023-06-22T00:00:00"/>
    <d v="2023-07-06T19:21:01"/>
    <m/>
    <d v="2023-07-06T00:00:00"/>
    <n v="1205"/>
    <n v="18696"/>
    <s v="60764755"/>
    <s v="60764755"/>
    <m/>
    <m/>
    <n v="22741190"/>
    <m/>
    <m/>
    <m/>
    <s v="SOLFIN"/>
    <s v="SOLFIN"/>
    <s v="CCMS"/>
    <n v="21337748"/>
    <n v="11125.15"/>
    <m/>
    <s v="N"/>
    <n v="4"/>
    <d v="2023-07-06T19:21:07"/>
    <s v="Y"/>
    <s v="Toxicologist"/>
    <s v="Public Law Children"/>
    <s v="Expert Disbursement"/>
    <s v="Charlotte Raybould"/>
    <s v="Y"/>
    <n v="212.25"/>
    <n v="42.45"/>
    <x v="4"/>
    <s v="VALIDATED"/>
    <n v="1"/>
    <s v="01.11.80.308.6300.0000"/>
    <n v="212.25"/>
    <s v="11"/>
    <s v="6300"/>
    <n v="30594.15"/>
    <n v="212.25"/>
    <s v="CREDITOR"/>
    <n v="0"/>
    <n v="0"/>
    <n v="0"/>
    <n v="0"/>
    <n v="212.25"/>
  </r>
  <r>
    <n v="54813547"/>
    <s v="N"/>
    <n v="21338270"/>
    <s v="3000013038820008"/>
    <s v="CIVIL"/>
    <d v="2023-06-27T00:00:00"/>
    <d v="2023-07-06T19:21:01"/>
    <m/>
    <d v="2023-07-06T00:00:00"/>
    <n v="1205"/>
    <n v="18696"/>
    <s v="54813547"/>
    <s v="54813547"/>
    <m/>
    <m/>
    <n v="22769992"/>
    <m/>
    <m/>
    <m/>
    <s v="SOLFIN"/>
    <s v="SOLFIN"/>
    <s v="CCMS"/>
    <n v="21338270"/>
    <n v="24252.38"/>
    <m/>
    <s v="N"/>
    <n v="82"/>
    <d v="2023-07-06T19:21:15"/>
    <s v="Y"/>
    <s v="Preparation - drafting consent orde"/>
    <s v="Care Remuneration Hourly Rates"/>
    <s v="Profit Cost"/>
    <s v="Anna Cooper"/>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89"/>
    <d v="2023-07-06T19:21:15"/>
    <s v="Y"/>
    <s v="Preparation - drafting consent orde"/>
    <s v="Care Remuneration Hourly Rates"/>
    <s v="Profit Cost"/>
    <s v="Anna Cooper"/>
    <s v="Y"/>
    <n v="14.81"/>
    <n v="2.96"/>
    <x v="4"/>
    <s v="VALIDATED"/>
    <n v="1"/>
    <s v="01.11.80.308.6100.0000"/>
    <n v="14.81"/>
    <s v="11"/>
    <s v="6100"/>
    <n v="30594.15"/>
    <n v="14.81"/>
    <s v="CREDITOR"/>
    <n v="0"/>
    <n v="0"/>
    <n v="0"/>
    <n v="0"/>
    <n v="14.81"/>
  </r>
  <r>
    <n v="60744883"/>
    <s v="N"/>
    <n v="21330927"/>
    <s v="3000014987240008"/>
    <s v="CIVIL"/>
    <d v="2023-06-22T00:00:00"/>
    <d v="2023-07-05T19:01:47"/>
    <m/>
    <d v="2023-07-05T00:00:00"/>
    <n v="1205"/>
    <n v="18696"/>
    <s v="60744883"/>
    <s v="60744883"/>
    <m/>
    <m/>
    <n v="22745992"/>
    <m/>
    <m/>
    <m/>
    <s v="SOLFIN"/>
    <s v="SOLFIN"/>
    <s v="CCMS"/>
    <n v="21330927"/>
    <n v="13790.5"/>
    <m/>
    <s v="N"/>
    <n v="50"/>
    <d v="2023-07-05T19:01:57"/>
    <s v="Y"/>
    <s v="Preparation - drafting statement"/>
    <s v="Care Remuneration Hourly Rates"/>
    <s v="Profit Cost"/>
    <s v="Alix Reynolds"/>
    <s v="Y"/>
    <n v="6.58"/>
    <n v="1.32"/>
    <x v="6"/>
    <s v="VALIDATED"/>
    <n v="1"/>
    <s v="01.11.80.308.6100.0000"/>
    <n v="6.58"/>
    <s v="11"/>
    <s v="6100"/>
    <n v="30594.15"/>
    <n v="6.58"/>
    <s v="CREDITOR"/>
    <n v="0"/>
    <n v="0"/>
    <n v="0"/>
    <n v="0"/>
    <n v="6.58"/>
  </r>
  <r>
    <n v="60744883"/>
    <s v="N"/>
    <n v="21330927"/>
    <s v="3000014987240008"/>
    <s v="CIVIL"/>
    <d v="2023-06-22T00:00:00"/>
    <d v="2023-07-05T19:01:47"/>
    <m/>
    <d v="2023-07-05T00:00:00"/>
    <n v="1205"/>
    <n v="18696"/>
    <s v="60744883"/>
    <s v="60744883"/>
    <m/>
    <m/>
    <n v="22745992"/>
    <m/>
    <m/>
    <m/>
    <s v="SOLFIN"/>
    <s v="SOLFIN"/>
    <s v="CCMS"/>
    <n v="21330927"/>
    <n v="13790.5"/>
    <m/>
    <s v="N"/>
    <n v="57"/>
    <d v="2023-07-05T19:01:57"/>
    <s v="Y"/>
    <s v="Routine Telephone Call"/>
    <s v="Care Remuneration Hourly Rates"/>
    <s v="Profit Cost"/>
    <s v="Alix Reynolds"/>
    <s v="Y"/>
    <n v="132.84"/>
    <n v="26.57"/>
    <x v="6"/>
    <s v="VALIDATED"/>
    <n v="1"/>
    <s v="01.11.80.308.6100.0000"/>
    <n v="132.84"/>
    <s v="11"/>
    <s v="6100"/>
    <n v="30594.15"/>
    <n v="132.84"/>
    <s v="CREDITOR"/>
    <n v="0"/>
    <n v="0"/>
    <n v="0"/>
    <n v="0"/>
    <n v="132.84"/>
  </r>
  <r>
    <n v="60631907"/>
    <s v="N"/>
    <n v="21331360"/>
    <s v="3000014878960007"/>
    <s v="CIVIL"/>
    <d v="2023-06-28T00:00:00"/>
    <d v="2023-07-05T19:01:47"/>
    <m/>
    <d v="2023-07-05T00:00:00"/>
    <n v="1205"/>
    <n v="18696"/>
    <s v="60631907"/>
    <s v="60631907"/>
    <m/>
    <m/>
    <n v="22783676"/>
    <m/>
    <m/>
    <m/>
    <s v="SOLFIN"/>
    <s v="SOLFIN"/>
    <s v="CCMS"/>
    <n v="21331360"/>
    <n v="9637.15"/>
    <m/>
    <s v="N"/>
    <n v="52"/>
    <d v="2023-07-05T19:02:16"/>
    <s v="Y"/>
    <s v="Preparation - drafting bill/claim f"/>
    <s v="Prescribed Hourly Rates"/>
    <s v="Profit Cost"/>
    <s v="Penny Dukes"/>
    <s v="Y"/>
    <n v="10.98"/>
    <n v="2.2"/>
    <x v="6"/>
    <s v="VALIDATED"/>
    <n v="1"/>
    <s v="01.11.80.307.6100.0000"/>
    <n v="10.98"/>
    <s v="11"/>
    <s v="6100"/>
    <n v="30594.15"/>
    <n v="10.98"/>
    <s v="CREDITOR"/>
    <n v="0"/>
    <n v="0"/>
    <n v="0"/>
    <n v="0"/>
    <n v="10.98"/>
  </r>
  <r>
    <n v="60066609"/>
    <s v="N"/>
    <n v="21350136"/>
    <s v="3000014401840008"/>
    <s v="CIVIL"/>
    <d v="2023-06-29T00:00:00"/>
    <d v="2023-07-10T19:01:40"/>
    <m/>
    <d v="2023-07-10T00:00:00"/>
    <n v="1205"/>
    <n v="18696"/>
    <s v="60066609"/>
    <s v="60066609"/>
    <m/>
    <m/>
    <n v="22788730"/>
    <m/>
    <m/>
    <m/>
    <s v="SOLFIN"/>
    <s v="SOLFIN"/>
    <s v="CCMS"/>
    <n v="21350136"/>
    <n v="7952.47"/>
    <m/>
    <s v="N"/>
    <n v="5"/>
    <d v="2023-07-10T19:02:15"/>
    <s v="Y"/>
    <s v="Psychologist"/>
    <s v="Public Law Children"/>
    <s v="Expert Disbursement"/>
    <s v="Andrew Crumpton"/>
    <s v="Y"/>
    <n v="390"/>
    <n v="78"/>
    <x v="2"/>
    <s v="VALIDATED"/>
    <n v="1"/>
    <s v="01.11.80.308.6300.0000"/>
    <n v="390"/>
    <s v="11"/>
    <s v="6300"/>
    <n v="30594.15"/>
    <n v="390"/>
    <s v="CREDITOR"/>
    <n v="0"/>
    <n v="0"/>
    <n v="0"/>
    <n v="0"/>
    <n v="390"/>
  </r>
  <r>
    <n v="8096699"/>
    <s v="N"/>
    <n v="21344060"/>
    <s v="3000004211210009"/>
    <s v="CIVIL"/>
    <d v="2023-06-29T00:00:00"/>
    <d v="2023-07-07T19:03:00"/>
    <m/>
    <d v="2023-07-07T00:00:00"/>
    <n v="1205"/>
    <n v="18696"/>
    <s v="8096699"/>
    <s v="8096699"/>
    <m/>
    <m/>
    <n v="22791280"/>
    <m/>
    <m/>
    <m/>
    <s v="SOLFIN"/>
    <s v="SOLFIN"/>
    <s v="CCMS"/>
    <n v="21344060"/>
    <n v="1555.48"/>
    <m/>
    <s v="N"/>
    <n v="4"/>
    <d v="2023-07-07T19:03:22"/>
    <s v="Y"/>
    <s v="Profit Costs (Summary)"/>
    <s v="Non Family Hourly Rates"/>
    <s v="Profit Cost"/>
    <s v="Rebekah Sambrooks/Puja Desai"/>
    <s v="Y"/>
    <n v="343.77"/>
    <n v="68.75"/>
    <x v="9"/>
    <s v="VALIDATED"/>
    <n v="1"/>
    <s v="01.11.80.209.6100.0000"/>
    <n v="343.77"/>
    <s v="11"/>
    <s v="6100"/>
    <n v="30594.15"/>
    <n v="343.77"/>
    <s v="CREDITOR"/>
    <n v="0"/>
    <n v="0"/>
    <n v="0"/>
    <n v="0"/>
    <n v="343.77"/>
  </r>
  <r>
    <n v="54813547"/>
    <s v="N"/>
    <n v="21338270"/>
    <s v="3000013038820008"/>
    <s v="CIVIL"/>
    <d v="2023-06-27T00:00:00"/>
    <d v="2023-07-06T19:21:01"/>
    <m/>
    <d v="2023-07-06T00:00:00"/>
    <n v="1205"/>
    <n v="18696"/>
    <s v="54813547"/>
    <s v="54813547"/>
    <m/>
    <m/>
    <n v="22769992"/>
    <m/>
    <m/>
    <m/>
    <s v="SOLFIN"/>
    <s v="SOLFIN"/>
    <s v="CCMS"/>
    <n v="21338270"/>
    <n v="24252.38"/>
    <m/>
    <s v="N"/>
    <n v="8"/>
    <d v="2023-07-06T19:21:15"/>
    <s v="Y"/>
    <s v="Preparation - drafting application"/>
    <s v="Care Remuneration Hourly Rates"/>
    <s v="Profit Cost"/>
    <s v="Charlotte Raybould"/>
    <s v="Y"/>
    <n v="52.58"/>
    <n v="10.52"/>
    <x v="4"/>
    <s v="VALIDATED"/>
    <n v="1"/>
    <s v="01.11.80.308.6100.0000"/>
    <n v="52.58"/>
    <s v="11"/>
    <s v="6100"/>
    <n v="30594.15"/>
    <n v="52.58"/>
    <s v="CREDITOR"/>
    <n v="0"/>
    <n v="0"/>
    <n v="0"/>
    <n v="0"/>
    <n v="52.58"/>
  </r>
  <r>
    <n v="54813547"/>
    <s v="N"/>
    <n v="21338270"/>
    <s v="3000013038820008"/>
    <s v="CIVIL"/>
    <d v="2023-06-27T00:00:00"/>
    <d v="2023-07-06T19:21:01"/>
    <m/>
    <d v="2023-07-06T00:00:00"/>
    <n v="1205"/>
    <n v="18696"/>
    <s v="54813547"/>
    <s v="54813547"/>
    <m/>
    <m/>
    <n v="22769992"/>
    <m/>
    <m/>
    <m/>
    <s v="SOLFIN"/>
    <s v="SOLFIN"/>
    <s v="CCMS"/>
    <n v="21338270"/>
    <n v="24252.38"/>
    <m/>
    <s v="N"/>
    <n v="79"/>
    <d v="2023-07-06T19:21:15"/>
    <s v="Y"/>
    <s v="Attendance upon client"/>
    <s v="Care Remuneration Hourly Rates"/>
    <s v="Profit Cost"/>
    <s v="Charlotte Raybould"/>
    <s v="Y"/>
    <n v="37.04"/>
    <n v="7.41"/>
    <x v="4"/>
    <s v="VALIDATED"/>
    <n v="1"/>
    <s v="01.11.80.308.6100.0000"/>
    <n v="37.04"/>
    <s v="11"/>
    <s v="6100"/>
    <n v="30594.15"/>
    <n v="37.04"/>
    <s v="CREDITOR"/>
    <n v="0"/>
    <n v="0"/>
    <n v="0"/>
    <n v="0"/>
    <n v="37.04"/>
  </r>
  <r>
    <n v="60741212"/>
    <s v="N"/>
    <n v="21338376"/>
    <s v="3000014983940001"/>
    <s v="CIVIL"/>
    <d v="2023-06-26T00:00:00"/>
    <d v="2023-07-06T19:21:01"/>
    <m/>
    <d v="2023-07-06T00:00:00"/>
    <n v="1205"/>
    <n v="18696"/>
    <s v="60741212"/>
    <s v="60741212"/>
    <m/>
    <m/>
    <n v="22764540"/>
    <m/>
    <m/>
    <m/>
    <s v="SOLFIN"/>
    <s v="SOLFIN"/>
    <s v="CCMS"/>
    <n v="21338376"/>
    <n v="0"/>
    <m/>
    <s v="N"/>
    <n v="1"/>
    <d v="2023-07-06T19:21:22"/>
    <s v="N"/>
    <s v="NIL BILL"/>
    <s v="Public Law Children"/>
    <s v="Profit Cost"/>
    <s v="Samantha Woolley"/>
    <s v="N"/>
    <n v="0"/>
    <n v="0"/>
    <x v="4"/>
    <s v="VALIDATED"/>
    <n v="1"/>
    <s v="01.11.80.308.6100.0000"/>
    <n v="0"/>
    <s v="11"/>
    <s v="6100"/>
    <n v="30594.15"/>
    <n v="0"/>
    <s v="CREDITOR"/>
    <n v="0"/>
    <n v="0"/>
    <n v="0"/>
    <n v="0"/>
    <n v="0"/>
  </r>
  <r>
    <n v="54813547"/>
    <s v="N"/>
    <n v="21338270"/>
    <s v="3000013038820008"/>
    <s v="CIVIL"/>
    <d v="2023-06-27T00:00:00"/>
    <d v="2023-07-06T19:21:01"/>
    <m/>
    <d v="2023-07-06T00:00:00"/>
    <n v="1205"/>
    <n v="18696"/>
    <s v="54813547"/>
    <s v="54813547"/>
    <m/>
    <m/>
    <n v="22769992"/>
    <m/>
    <m/>
    <m/>
    <s v="SOLFIN"/>
    <s v="SOLFIN"/>
    <s v="CCMS"/>
    <n v="21338270"/>
    <n v="24252.38"/>
    <m/>
    <s v="N"/>
    <n v="53"/>
    <d v="2023-07-06T19:21:15"/>
    <s v="Y"/>
    <s v="Attendance upon client"/>
    <s v="Care Remuneration Hourly Rates"/>
    <s v="Profit Cost"/>
    <s v="Charlotte Raybould"/>
    <s v="Y"/>
    <n v="88.89"/>
    <n v="17.78"/>
    <x v="4"/>
    <s v="VALIDATED"/>
    <n v="1"/>
    <s v="01.11.80.308.6100.0000"/>
    <n v="88.89"/>
    <s v="11"/>
    <s v="6100"/>
    <n v="30594.15"/>
    <n v="88.89"/>
    <s v="CREDITOR"/>
    <n v="0"/>
    <n v="0"/>
    <n v="0"/>
    <n v="0"/>
    <n v="88.89"/>
  </r>
  <r>
    <n v="60740536"/>
    <s v="N"/>
    <n v="21343872"/>
    <s v="3000014983190011"/>
    <s v="CIVIL"/>
    <d v="2023-06-27T00:00:00"/>
    <d v="2023-07-07T19:03:00"/>
    <m/>
    <d v="2023-07-07T00:00:00"/>
    <n v="1205"/>
    <n v="18696"/>
    <s v="60740536"/>
    <s v="60740536"/>
    <m/>
    <m/>
    <n v="22766106"/>
    <m/>
    <m/>
    <m/>
    <s v="SOLFIN"/>
    <s v="SOLFIN"/>
    <s v="CCMS"/>
    <n v="21343872"/>
    <n v="13395.68"/>
    <m/>
    <s v="N"/>
    <n v="71"/>
    <d v="2023-07-07T19:03:15"/>
    <s v="Y"/>
    <s v="Advocacy - In court behind counsel"/>
    <s v="Care Remuneration Hourly Rates"/>
    <s v="Advocacy"/>
    <s v="Anna Cooper"/>
    <s v="Y"/>
    <n v="220.5"/>
    <n v="44.1"/>
    <x v="9"/>
    <s v="VALIDATED"/>
    <n v="1"/>
    <s v="01.11.80.308.6100.0000"/>
    <n v="220.5"/>
    <s v="11"/>
    <s v="6100"/>
    <n v="30594.15"/>
    <n v="220.5"/>
    <s v="CREDITOR"/>
    <n v="0"/>
    <n v="0"/>
    <n v="0"/>
    <n v="0"/>
    <n v="220.5"/>
  </r>
  <r>
    <n v="60740536"/>
    <s v="N"/>
    <n v="21343872"/>
    <s v="3000014983190011"/>
    <s v="CIVIL"/>
    <d v="2023-06-27T00:00:00"/>
    <d v="2023-07-07T19:03:00"/>
    <m/>
    <d v="2023-07-07T00:00:00"/>
    <n v="1205"/>
    <n v="18696"/>
    <s v="60740536"/>
    <s v="60740536"/>
    <m/>
    <m/>
    <n v="22766106"/>
    <m/>
    <m/>
    <m/>
    <s v="SOLFIN"/>
    <s v="SOLFIN"/>
    <s v="CCMS"/>
    <n v="21343872"/>
    <n v="13395.68"/>
    <m/>
    <s v="N"/>
    <n v="59"/>
    <d v="2023-07-07T19:03:15"/>
    <s v="Y"/>
    <s v="Preparation - other"/>
    <s v="Care Remuneration Hourly Rates"/>
    <s v="Profit Cost"/>
    <s v="Anna Cooper"/>
    <s v="Y"/>
    <n v="52.57"/>
    <n v="10.51"/>
    <x v="9"/>
    <s v="VALIDATED"/>
    <n v="1"/>
    <s v="01.11.80.308.6100.0000"/>
    <n v="52.57"/>
    <s v="11"/>
    <s v="6100"/>
    <n v="30594.15"/>
    <n v="52.57"/>
    <s v="CREDITOR"/>
    <n v="0"/>
    <n v="0"/>
    <n v="0"/>
    <n v="0"/>
    <n v="52.57"/>
  </r>
  <r>
    <n v="60744883"/>
    <s v="N"/>
    <n v="21330927"/>
    <s v="3000014987240008"/>
    <s v="CIVIL"/>
    <d v="2023-06-22T00:00:00"/>
    <d v="2023-07-05T19:01:47"/>
    <m/>
    <d v="2023-07-05T00:00:00"/>
    <n v="1205"/>
    <n v="18696"/>
    <s v="60744883"/>
    <s v="60744883"/>
    <m/>
    <m/>
    <n v="22745992"/>
    <m/>
    <m/>
    <m/>
    <s v="SOLFIN"/>
    <s v="SOLFIN"/>
    <s v="CCMS"/>
    <n v="21330927"/>
    <n v="13790.5"/>
    <m/>
    <s v="N"/>
    <n v="34"/>
    <d v="2023-07-05T19:01:57"/>
    <s v="Y"/>
    <s v="Preparation - other"/>
    <s v="Care Remuneration Hourly Rates"/>
    <s v="Profit Cost"/>
    <s v="Alix Reynolds"/>
    <s v="Y"/>
    <n v="39.43"/>
    <n v="7.89"/>
    <x v="6"/>
    <s v="VALIDATED"/>
    <n v="1"/>
    <s v="01.11.80.308.6100.0000"/>
    <n v="39.43"/>
    <s v="11"/>
    <s v="6100"/>
    <n v="30594.15"/>
    <n v="39.43"/>
    <s v="CREDITOR"/>
    <n v="0"/>
    <n v="0"/>
    <n v="0"/>
    <n v="0"/>
    <n v="39.43"/>
  </r>
  <r>
    <n v="60744883"/>
    <s v="N"/>
    <n v="21330927"/>
    <s v="3000014987240008"/>
    <s v="CIVIL"/>
    <d v="2023-06-22T00:00:00"/>
    <d v="2023-07-05T19:01:47"/>
    <m/>
    <d v="2023-07-05T00:00:00"/>
    <n v="1205"/>
    <n v="18696"/>
    <s v="60744883"/>
    <s v="60744883"/>
    <m/>
    <m/>
    <n v="22745992"/>
    <m/>
    <m/>
    <m/>
    <s v="SOLFIN"/>
    <s v="SOLFIN"/>
    <s v="CCMS"/>
    <n v="21330927"/>
    <n v="13790.5"/>
    <m/>
    <s v="N"/>
    <n v="66"/>
    <d v="2023-07-05T19:01:57"/>
    <s v="Y"/>
    <s v="Preparation - other"/>
    <s v="Care Remuneration Hourly Rates"/>
    <s v="Profit Cost"/>
    <s v="Alix Reynolds"/>
    <s v="Y"/>
    <n v="6.58"/>
    <n v="1.32"/>
    <x v="6"/>
    <s v="VALIDATED"/>
    <n v="1"/>
    <s v="01.11.80.308.6100.0000"/>
    <n v="6.58"/>
    <s v="11"/>
    <s v="6100"/>
    <n v="30594.15"/>
    <n v="6.58"/>
    <s v="CREDITOR"/>
    <n v="0"/>
    <n v="0"/>
    <n v="0"/>
    <n v="0"/>
    <n v="6.58"/>
  </r>
  <r>
    <n v="60631907"/>
    <s v="N"/>
    <n v="21331360"/>
    <s v="3000014878960007"/>
    <s v="CIVIL"/>
    <d v="2023-06-28T00:00:00"/>
    <d v="2023-07-05T19:01:47"/>
    <m/>
    <d v="2023-07-05T00:00:00"/>
    <n v="1205"/>
    <n v="18696"/>
    <s v="60631907"/>
    <s v="60631907"/>
    <m/>
    <m/>
    <n v="22783676"/>
    <m/>
    <m/>
    <m/>
    <s v="SOLFIN"/>
    <s v="SOLFIN"/>
    <s v="CCMS"/>
    <n v="21331360"/>
    <n v="9637.15"/>
    <m/>
    <s v="N"/>
    <n v="58"/>
    <d v="2023-07-05T19:02:16"/>
    <s v="Y"/>
    <s v="Preparation - other"/>
    <s v="Prescribed Hourly Rates"/>
    <s v="Profit Cost"/>
    <s v="Andrew Crumpton"/>
    <s v="Y"/>
    <n v="68.63"/>
    <n v="13.73"/>
    <x v="6"/>
    <s v="VALIDATED"/>
    <n v="1"/>
    <s v="01.11.80.307.6100.0000"/>
    <n v="68.63"/>
    <s v="11"/>
    <s v="6100"/>
    <n v="30594.15"/>
    <n v="68.63"/>
    <s v="CREDITOR"/>
    <n v="0"/>
    <n v="0"/>
    <n v="0"/>
    <n v="0"/>
    <n v="68.63"/>
  </r>
  <r>
    <n v="62064082"/>
    <s v="N"/>
    <n v="21338470"/>
    <s v="3000016093980002"/>
    <s v="CIVIL"/>
    <d v="2023-06-30T00:00:00"/>
    <d v="2023-07-06T19:21:01"/>
    <m/>
    <d v="2023-07-06T00:00:00"/>
    <n v="1205"/>
    <n v="18696"/>
    <s v="62064082"/>
    <s v="62064082"/>
    <m/>
    <m/>
    <n v="22795524"/>
    <m/>
    <m/>
    <m/>
    <s v="SOLFIN"/>
    <s v="SOLFIN"/>
    <s v="CCMS"/>
    <n v="21338470"/>
    <n v="4130.93"/>
    <m/>
    <s v="N"/>
    <n v="7"/>
    <d v="2023-07-06T19:21:26"/>
    <s v="Y"/>
    <s v="Solicitors Fixed Fee"/>
    <s v="Public Law Children"/>
    <s v="Profit Cost"/>
    <s v="Narinder Singh"/>
    <s v="Y"/>
    <n v="1754"/>
    <n v="350.8"/>
    <x v="4"/>
    <s v="VALIDATED"/>
    <n v="1"/>
    <s v="01.11.80.308.6100.0000"/>
    <n v="1754"/>
    <s v="11"/>
    <s v="6100"/>
    <n v="30594.15"/>
    <n v="1754"/>
    <s v="CREDITOR"/>
    <n v="0"/>
    <n v="0"/>
    <n v="0"/>
    <n v="0"/>
    <n v="1754"/>
  </r>
  <r>
    <n v="61817409"/>
    <s v="N"/>
    <n v="21331158"/>
    <s v="3000015888300002"/>
    <s v="CIVIL"/>
    <d v="2023-06-27T00:00:00"/>
    <d v="2023-07-05T19:01:47"/>
    <m/>
    <d v="2023-07-05T00:00:00"/>
    <n v="1205"/>
    <n v="18696"/>
    <s v="61817409"/>
    <s v="61817409"/>
    <m/>
    <m/>
    <n v="22771972"/>
    <m/>
    <m/>
    <m/>
    <s v="SOLFIN"/>
    <s v="SOLFIN"/>
    <s v="CCMS"/>
    <n v="21331158"/>
    <n v="5951.96"/>
    <m/>
    <s v="N"/>
    <n v="5"/>
    <d v="2023-07-05T19:02:08"/>
    <s v="Y"/>
    <s v="Final Hearing - 1 Day"/>
    <s v="Public Law Children"/>
    <s v="Advocacy"/>
    <s v="Narinder Singh"/>
    <s v="Y"/>
    <n v="556.88"/>
    <n v="111.38"/>
    <x v="6"/>
    <s v="VALIDATED"/>
    <n v="1"/>
    <s v="01.11.80.308.6100.0000"/>
    <n v="556.88"/>
    <s v="11"/>
    <s v="6100"/>
    <n v="30594.15"/>
    <n v="556.88"/>
    <s v="CREDITOR"/>
    <n v="0"/>
    <n v="0"/>
    <n v="0"/>
    <n v="0"/>
    <n v="556.88"/>
  </r>
  <r>
    <n v="60631907"/>
    <s v="N"/>
    <n v="21331360"/>
    <s v="3000014878960007"/>
    <s v="CIVIL"/>
    <d v="2023-06-28T00:00:00"/>
    <d v="2023-07-05T19:01:47"/>
    <m/>
    <d v="2023-07-05T00:00:00"/>
    <n v="1205"/>
    <n v="18696"/>
    <s v="60631907"/>
    <s v="60631907"/>
    <m/>
    <m/>
    <n v="22783676"/>
    <m/>
    <m/>
    <m/>
    <s v="SOLFIN"/>
    <s v="SOLFIN"/>
    <s v="CCMS"/>
    <n v="21331360"/>
    <n v="9637.15"/>
    <m/>
    <s v="N"/>
    <n v="18"/>
    <d v="2023-07-05T19:02:16"/>
    <s v="Y"/>
    <s v="Preparation - other"/>
    <s v="Prescribed Hourly Rates"/>
    <s v="Profit Cost"/>
    <s v="Amanda Leonard"/>
    <s v="Y"/>
    <n v="32.94"/>
    <n v="6.59"/>
    <x v="6"/>
    <s v="VALIDATED"/>
    <n v="1"/>
    <s v="01.11.80.307.6100.0000"/>
    <n v="32.94"/>
    <s v="11"/>
    <s v="6100"/>
    <n v="30594.15"/>
    <n v="32.94"/>
    <s v="CREDITOR"/>
    <n v="0"/>
    <n v="0"/>
    <n v="0"/>
    <n v="0"/>
    <n v="32.94"/>
  </r>
  <r>
    <n v="60631907"/>
    <s v="N"/>
    <n v="21331360"/>
    <s v="3000014878960007"/>
    <s v="CIVIL"/>
    <d v="2023-06-28T00:00:00"/>
    <d v="2023-07-05T19:01:47"/>
    <m/>
    <d v="2023-07-05T00:00:00"/>
    <n v="1205"/>
    <n v="18696"/>
    <s v="60631907"/>
    <s v="60631907"/>
    <m/>
    <m/>
    <n v="22783676"/>
    <m/>
    <m/>
    <m/>
    <s v="SOLFIN"/>
    <s v="SOLFIN"/>
    <s v="CCMS"/>
    <n v="21331360"/>
    <n v="9637.15"/>
    <m/>
    <s v="N"/>
    <n v="19"/>
    <d v="2023-07-05T19:02:16"/>
    <s v="Y"/>
    <s v="Preparation - other"/>
    <s v="Prescribed Hourly Rates"/>
    <s v="Profit Cost"/>
    <s v="Andrew Crumpton"/>
    <s v="Y"/>
    <n v="27.45"/>
    <n v="5.49"/>
    <x v="6"/>
    <s v="VALIDATED"/>
    <n v="1"/>
    <s v="01.11.80.307.6100.0000"/>
    <n v="27.45"/>
    <s v="11"/>
    <s v="6100"/>
    <n v="30594.15"/>
    <n v="27.45"/>
    <s v="CREDITOR"/>
    <n v="0"/>
    <n v="0"/>
    <n v="0"/>
    <n v="0"/>
    <n v="27.45"/>
  </r>
  <r>
    <n v="60631907"/>
    <s v="N"/>
    <n v="21331360"/>
    <s v="3000014878960007"/>
    <s v="CIVIL"/>
    <d v="2023-06-28T00:00:00"/>
    <d v="2023-07-05T19:01:47"/>
    <m/>
    <d v="2023-07-05T00:00:00"/>
    <n v="1205"/>
    <n v="18696"/>
    <s v="60631907"/>
    <s v="60631907"/>
    <m/>
    <m/>
    <n v="22783676"/>
    <m/>
    <m/>
    <m/>
    <s v="SOLFIN"/>
    <s v="SOLFIN"/>
    <s v="CCMS"/>
    <n v="21331360"/>
    <n v="9637.15"/>
    <m/>
    <s v="N"/>
    <n v="33"/>
    <d v="2023-07-05T19:02:16"/>
    <s v="Y"/>
    <s v="Advocacy - In court behind counsel"/>
    <s v="Prescribed Hourly Rates"/>
    <s v="Advocacy"/>
    <s v="Shrinder Chaggar"/>
    <s v="Y"/>
    <n v="210.6"/>
    <n v="42.12"/>
    <x v="6"/>
    <s v="VALIDATED"/>
    <n v="1"/>
    <s v="01.11.80.307.6100.0000"/>
    <n v="210.6"/>
    <s v="11"/>
    <s v="6100"/>
    <n v="30594.15"/>
    <n v="210.6"/>
    <s v="CREDITOR"/>
    <n v="0"/>
    <n v="0"/>
    <n v="0"/>
    <n v="0"/>
    <n v="210.6"/>
  </r>
  <r>
    <n v="60631907"/>
    <s v="N"/>
    <n v="21331360"/>
    <s v="3000014878960007"/>
    <s v="CIVIL"/>
    <d v="2023-06-28T00:00:00"/>
    <d v="2023-07-05T19:01:47"/>
    <m/>
    <d v="2023-07-05T00:00:00"/>
    <n v="1205"/>
    <n v="18696"/>
    <s v="60631907"/>
    <s v="60631907"/>
    <m/>
    <m/>
    <n v="22783676"/>
    <m/>
    <m/>
    <m/>
    <s v="SOLFIN"/>
    <s v="SOLFIN"/>
    <s v="CCMS"/>
    <n v="21331360"/>
    <n v="9637.15"/>
    <m/>
    <s v="N"/>
    <n v="11"/>
    <d v="2023-07-05T19:02:16"/>
    <s v="Y"/>
    <s v="Routine Telephone Call"/>
    <s v="Prescribed Hourly Rates"/>
    <s v="Profit Cost"/>
    <s v="Andrew Crumpton"/>
    <s v="Y"/>
    <n v="12.42"/>
    <n v="2.48"/>
    <x v="6"/>
    <s v="VALIDATED"/>
    <n v="1"/>
    <s v="01.11.80.307.6100.0000"/>
    <n v="12.42"/>
    <s v="11"/>
    <s v="6100"/>
    <n v="30594.15"/>
    <n v="12.42"/>
    <s v="CREDITOR"/>
    <n v="0"/>
    <n v="0"/>
    <n v="0"/>
    <n v="0"/>
    <n v="12.42"/>
  </r>
  <r>
    <n v="60740536"/>
    <s v="N"/>
    <n v="21343872"/>
    <s v="3000014983190011"/>
    <s v="CIVIL"/>
    <d v="2023-06-27T00:00:00"/>
    <d v="2023-07-07T19:03:00"/>
    <m/>
    <d v="2023-07-07T00:00:00"/>
    <n v="1205"/>
    <n v="18696"/>
    <s v="60740536"/>
    <s v="60740536"/>
    <m/>
    <m/>
    <n v="22766106"/>
    <m/>
    <m/>
    <m/>
    <s v="SOLFIN"/>
    <s v="SOLFIN"/>
    <s v="CCMS"/>
    <n v="21343872"/>
    <n v="13395.68"/>
    <m/>
    <s v="N"/>
    <n v="86"/>
    <d v="2023-07-07T19:03:15"/>
    <s v="Y"/>
    <s v="Advocates Meeting"/>
    <s v="Public Law Children"/>
    <s v="Advocacy"/>
    <s v="Charlotte Raybould"/>
    <s v="Y"/>
    <n v="140.99"/>
    <n v="28.2"/>
    <x v="9"/>
    <s v="VALIDATED"/>
    <n v="1"/>
    <s v="01.11.80.308.6100.0000"/>
    <n v="140.99"/>
    <s v="11"/>
    <s v="6100"/>
    <n v="30594.15"/>
    <n v="140.99"/>
    <s v="CREDITOR"/>
    <n v="0"/>
    <n v="0"/>
    <n v="0"/>
    <n v="0"/>
    <n v="140.99"/>
  </r>
  <r>
    <n v="60740536"/>
    <s v="N"/>
    <n v="21343872"/>
    <s v="3000014983190011"/>
    <s v="CIVIL"/>
    <d v="2023-06-27T00:00:00"/>
    <d v="2023-07-07T19:03:00"/>
    <m/>
    <d v="2023-07-07T00:00:00"/>
    <n v="1205"/>
    <n v="18696"/>
    <s v="60740536"/>
    <s v="60740536"/>
    <m/>
    <m/>
    <n v="22766106"/>
    <m/>
    <m/>
    <m/>
    <s v="SOLFIN"/>
    <s v="SOLFIN"/>
    <s v="CCMS"/>
    <n v="21343872"/>
    <n v="13395.68"/>
    <m/>
    <s v="N"/>
    <n v="24"/>
    <d v="2023-07-07T19:03:15"/>
    <s v="Y"/>
    <s v="Attendance upon client"/>
    <s v="Care Remuneration Hourly Rates"/>
    <s v="Profit Cost"/>
    <s v="Charlotte Raybould"/>
    <s v="Y"/>
    <n v="18.14"/>
    <n v="3.63"/>
    <x v="9"/>
    <s v="VALIDATED"/>
    <n v="1"/>
    <s v="01.11.80.308.6100.0000"/>
    <n v="18.14"/>
    <s v="11"/>
    <s v="6100"/>
    <n v="30594.15"/>
    <n v="18.14"/>
    <s v="CREDITOR"/>
    <n v="0"/>
    <n v="0"/>
    <n v="0"/>
    <n v="0"/>
    <n v="18.14"/>
  </r>
  <r>
    <n v="60773030"/>
    <s v="N"/>
    <n v="21344084"/>
    <s v="3000015011890006"/>
    <s v="CIVIL"/>
    <d v="2023-06-29T00:00:00"/>
    <d v="2023-07-07T19:03:00"/>
    <m/>
    <d v="2023-07-07T00:00:00"/>
    <n v="1205"/>
    <n v="18696"/>
    <s v="60773030"/>
    <s v="60773030"/>
    <m/>
    <m/>
    <n v="22785194"/>
    <m/>
    <m/>
    <m/>
    <s v="SOLFIN"/>
    <s v="SOLFIN"/>
    <s v="CCMS"/>
    <n v="21344084"/>
    <n v="3274.89"/>
    <m/>
    <s v="N"/>
    <n v="18"/>
    <d v="2023-07-07T19:03:23"/>
    <s v="Y"/>
    <s v="Preparation - other"/>
    <s v="Prescribed Hourly Rates"/>
    <s v="Profit Cost"/>
    <s v="Alix Reynolds"/>
    <s v="Y"/>
    <n v="5.49"/>
    <n v="1.1"/>
    <x v="9"/>
    <s v="VALIDATED"/>
    <n v="1"/>
    <s v="01.11.80.307.6100.0000"/>
    <n v="5.49"/>
    <s v="11"/>
    <s v="6100"/>
    <n v="30594.15"/>
    <n v="5.49"/>
    <s v="CREDITOR"/>
    <n v="0"/>
    <n v="0"/>
    <n v="0"/>
    <n v="0"/>
    <n v="5.49"/>
  </r>
  <r>
    <n v="60773030"/>
    <s v="N"/>
    <n v="21344084"/>
    <s v="3000015011890006"/>
    <s v="CIVIL"/>
    <d v="2023-06-29T00:00:00"/>
    <d v="2023-07-07T19:03:00"/>
    <m/>
    <d v="2023-07-07T00:00:00"/>
    <n v="1205"/>
    <n v="18696"/>
    <s v="60773030"/>
    <s v="60773030"/>
    <m/>
    <m/>
    <n v="22785194"/>
    <m/>
    <m/>
    <m/>
    <s v="SOLFIN"/>
    <s v="SOLFIN"/>
    <s v="CCMS"/>
    <n v="21344084"/>
    <n v="3274.89"/>
    <m/>
    <s v="N"/>
    <n v="31"/>
    <d v="2023-07-07T19:03:23"/>
    <s v="Y"/>
    <s v="Preparation - other"/>
    <s v="Prescribed Hourly Rates"/>
    <s v="Profit Cost"/>
    <s v="Penny Dukes"/>
    <s v="Y"/>
    <n v="10.98"/>
    <n v="2.2"/>
    <x v="9"/>
    <s v="VALIDATED"/>
    <n v="1"/>
    <s v="01.11.80.307.6100.0000"/>
    <n v="10.98"/>
    <s v="11"/>
    <s v="6100"/>
    <n v="30594.15"/>
    <n v="10.98"/>
    <s v="CREDITOR"/>
    <n v="0"/>
    <n v="0"/>
    <n v="0"/>
    <n v="0"/>
    <n v="10.98"/>
  </r>
  <r>
    <n v="54813547"/>
    <s v="N"/>
    <n v="21338270"/>
    <s v="3000013038820008"/>
    <s v="CIVIL"/>
    <d v="2023-06-27T00:00:00"/>
    <d v="2023-07-06T19:21:01"/>
    <m/>
    <d v="2023-07-06T00:00:00"/>
    <n v="1205"/>
    <n v="18696"/>
    <s v="54813547"/>
    <s v="54813547"/>
    <m/>
    <m/>
    <n v="22769992"/>
    <m/>
    <m/>
    <m/>
    <s v="SOLFIN"/>
    <s v="SOLFIN"/>
    <s v="CCMS"/>
    <n v="21338270"/>
    <n v="24252.38"/>
    <m/>
    <s v="N"/>
    <n v="7"/>
    <d v="2023-07-06T19:21:15"/>
    <s v="Y"/>
    <s v="Preparation - other"/>
    <s v="Care Remuneration Hourly Rates"/>
    <s v="Profit Cost"/>
    <s v="Penny Dukes"/>
    <s v="Y"/>
    <n v="5.26"/>
    <n v="1.05"/>
    <x v="4"/>
    <s v="VALIDATED"/>
    <n v="1"/>
    <s v="01.11.80.308.6100.0000"/>
    <n v="5.26"/>
    <s v="11"/>
    <s v="6100"/>
    <n v="30594.15"/>
    <n v="5.26"/>
    <s v="CREDITOR"/>
    <n v="0"/>
    <n v="0"/>
    <n v="0"/>
    <n v="0"/>
    <n v="5.26"/>
  </r>
  <r>
    <n v="54813547"/>
    <s v="N"/>
    <n v="21338270"/>
    <s v="3000013038820008"/>
    <s v="CIVIL"/>
    <d v="2023-06-27T00:00:00"/>
    <d v="2023-07-06T19:21:01"/>
    <m/>
    <d v="2023-07-06T00:00:00"/>
    <n v="1205"/>
    <n v="18696"/>
    <s v="54813547"/>
    <s v="54813547"/>
    <m/>
    <m/>
    <n v="22769992"/>
    <m/>
    <m/>
    <m/>
    <s v="SOLFIN"/>
    <s v="SOLFIN"/>
    <s v="CCMS"/>
    <n v="21338270"/>
    <n v="24252.38"/>
    <m/>
    <s v="N"/>
    <n v="67"/>
    <d v="2023-07-06T19:21:15"/>
    <s v="Y"/>
    <s v="Preparation - drafting attendance n"/>
    <s v="Care Remuneration Hourly Rates"/>
    <s v="Profit Cost"/>
    <s v="Charlotte Raybould"/>
    <s v="Y"/>
    <n v="12.09"/>
    <n v="2.42"/>
    <x v="4"/>
    <s v="VALIDATED"/>
    <n v="1"/>
    <s v="01.11.80.308.6100.0000"/>
    <n v="12.09"/>
    <s v="11"/>
    <s v="6100"/>
    <n v="30594.15"/>
    <n v="12.09"/>
    <s v="CREDITOR"/>
    <n v="0"/>
    <n v="0"/>
    <n v="0"/>
    <n v="0"/>
    <n v="12.09"/>
  </r>
  <r>
    <n v="54813547"/>
    <s v="N"/>
    <n v="21338270"/>
    <s v="3000013038820008"/>
    <s v="CIVIL"/>
    <d v="2023-06-27T00:00:00"/>
    <d v="2023-07-06T19:21:01"/>
    <m/>
    <d v="2023-07-06T00:00:00"/>
    <n v="1205"/>
    <n v="18696"/>
    <s v="54813547"/>
    <s v="54813547"/>
    <m/>
    <m/>
    <n v="22769992"/>
    <m/>
    <m/>
    <m/>
    <s v="SOLFIN"/>
    <s v="SOLFIN"/>
    <s v="CCMS"/>
    <n v="21338270"/>
    <n v="24252.38"/>
    <m/>
    <s v="N"/>
    <n v="85"/>
    <d v="2023-07-06T19:21:15"/>
    <s v="Y"/>
    <s v="Preparation - other"/>
    <s v="Care Remuneration Hourly Rates"/>
    <s v="Profit Cost"/>
    <s v="Penny Dukes"/>
    <s v="Y"/>
    <n v="5.93"/>
    <n v="1.19"/>
    <x v="4"/>
    <s v="VALIDATED"/>
    <n v="1"/>
    <s v="01.11.80.308.6100.0000"/>
    <n v="5.93"/>
    <s v="11"/>
    <s v="6100"/>
    <n v="30594.15"/>
    <n v="5.93"/>
    <s v="CREDITOR"/>
    <n v="0"/>
    <n v="0"/>
    <n v="0"/>
    <n v="0"/>
    <n v="5.93"/>
  </r>
  <r>
    <n v="54813547"/>
    <s v="N"/>
    <n v="21338270"/>
    <s v="3000013038820008"/>
    <s v="CIVIL"/>
    <d v="2023-06-27T00:00:00"/>
    <d v="2023-07-06T19:21:01"/>
    <m/>
    <d v="2023-07-06T00:00:00"/>
    <n v="1205"/>
    <n v="18696"/>
    <s v="54813547"/>
    <s v="54813547"/>
    <m/>
    <m/>
    <n v="22769992"/>
    <m/>
    <m/>
    <m/>
    <s v="SOLFIN"/>
    <s v="SOLFIN"/>
    <s v="CCMS"/>
    <n v="21338270"/>
    <n v="24252.38"/>
    <m/>
    <s v="N"/>
    <n v="88"/>
    <d v="2023-07-06T19:21:15"/>
    <s v="Y"/>
    <s v="Preparation - other"/>
    <s v="Care Remuneration Hourly Rates"/>
    <s v="Profit Cost"/>
    <s v="Charlotte Raybould"/>
    <s v="Y"/>
    <n v="22.23"/>
    <n v="4.45"/>
    <x v="4"/>
    <s v="VALIDATED"/>
    <n v="1"/>
    <s v="01.11.80.308.6100.0000"/>
    <n v="22.23"/>
    <s v="11"/>
    <s v="6100"/>
    <n v="30594.15"/>
    <n v="22.23"/>
    <s v="CREDITOR"/>
    <n v="0"/>
    <n v="0"/>
    <n v="0"/>
    <n v="0"/>
    <n v="22.23"/>
  </r>
  <r>
    <n v="54813547"/>
    <s v="N"/>
    <n v="21338270"/>
    <s v="3000013038820008"/>
    <s v="CIVIL"/>
    <d v="2023-06-27T00:00:00"/>
    <d v="2023-07-06T19:21:01"/>
    <m/>
    <d v="2023-07-06T00:00:00"/>
    <n v="1205"/>
    <n v="18696"/>
    <s v="54813547"/>
    <s v="54813547"/>
    <m/>
    <m/>
    <n v="22769992"/>
    <m/>
    <m/>
    <m/>
    <s v="SOLFIN"/>
    <s v="SOLFIN"/>
    <s v="CCMS"/>
    <n v="21338270"/>
    <n v="24252.38"/>
    <m/>
    <s v="N"/>
    <n v="26"/>
    <d v="2023-07-06T19:21:15"/>
    <s v="Y"/>
    <s v="Preparation - other"/>
    <s v="Care Remuneration Hourly Rates"/>
    <s v="Profit Cost"/>
    <s v="Anna Cooper"/>
    <s v="Y"/>
    <n v="7.41"/>
    <n v="1.48"/>
    <x v="4"/>
    <s v="VALIDATED"/>
    <n v="1"/>
    <s v="01.11.80.308.6100.0000"/>
    <n v="7.41"/>
    <s v="11"/>
    <s v="6100"/>
    <n v="30594.15"/>
    <n v="7.41"/>
    <s v="CREDITOR"/>
    <n v="0"/>
    <n v="0"/>
    <n v="0"/>
    <n v="0"/>
    <n v="7.41"/>
  </r>
  <r>
    <n v="54813547"/>
    <s v="N"/>
    <n v="21338270"/>
    <s v="3000013038820008"/>
    <s v="CIVIL"/>
    <d v="2023-06-27T00:00:00"/>
    <d v="2023-07-06T19:21:01"/>
    <m/>
    <d v="2023-07-06T00:00:00"/>
    <n v="1205"/>
    <n v="18696"/>
    <s v="54813547"/>
    <s v="54813547"/>
    <m/>
    <m/>
    <n v="22769992"/>
    <m/>
    <m/>
    <m/>
    <s v="SOLFIN"/>
    <s v="SOLFIN"/>
    <s v="CCMS"/>
    <n v="21338270"/>
    <n v="24252.38"/>
    <m/>
    <s v="N"/>
    <n v="39"/>
    <d v="2023-07-06T19:21:15"/>
    <s v="Y"/>
    <s v="Preparation - drafting statement"/>
    <s v="Care Remuneration Hourly Rates"/>
    <s v="Profit Cost"/>
    <s v="Charlotte Raybould"/>
    <s v="Y"/>
    <n v="19.71"/>
    <n v="3.94"/>
    <x v="4"/>
    <s v="VALIDATED"/>
    <n v="1"/>
    <s v="01.11.80.308.6100.0000"/>
    <n v="19.71"/>
    <s v="11"/>
    <s v="6100"/>
    <n v="30594.15"/>
    <n v="19.71"/>
    <s v="CREDITOR"/>
    <n v="0"/>
    <n v="0"/>
    <n v="0"/>
    <n v="0"/>
    <n v="19.71"/>
  </r>
  <r>
    <n v="60744883"/>
    <s v="N"/>
    <n v="21330927"/>
    <s v="3000014987240008"/>
    <s v="CIVIL"/>
    <d v="2023-06-22T00:00:00"/>
    <d v="2023-07-05T19:01:47"/>
    <m/>
    <d v="2023-07-05T00:00:00"/>
    <n v="1205"/>
    <n v="18696"/>
    <s v="60744883"/>
    <s v="60744883"/>
    <m/>
    <m/>
    <n v="22745992"/>
    <m/>
    <m/>
    <m/>
    <s v="SOLFIN"/>
    <s v="SOLFIN"/>
    <s v="CCMS"/>
    <n v="21330927"/>
    <n v="13790.5"/>
    <m/>
    <s v="N"/>
    <n v="74"/>
    <d v="2023-07-05T19:01:57"/>
    <s v="Y"/>
    <s v="Advocates Meeting"/>
    <s v="Public Law Children"/>
    <s v="Advocacy"/>
    <s v="Narinder Singh"/>
    <s v="Y"/>
    <n v="140.99"/>
    <n v="28.2"/>
    <x v="6"/>
    <s v="VALIDATED"/>
    <n v="1"/>
    <s v="01.11.80.308.6100.0000"/>
    <n v="140.99"/>
    <s v="11"/>
    <s v="6100"/>
    <n v="30594.15"/>
    <n v="140.99"/>
    <s v="CREDITOR"/>
    <n v="0"/>
    <n v="0"/>
    <n v="0"/>
    <n v="0"/>
    <n v="140.99"/>
  </r>
  <r>
    <n v="60744883"/>
    <s v="N"/>
    <n v="21330927"/>
    <s v="3000014987240008"/>
    <s v="CIVIL"/>
    <d v="2023-06-22T00:00:00"/>
    <d v="2023-07-05T19:01:47"/>
    <m/>
    <d v="2023-07-05T00:00:00"/>
    <n v="1205"/>
    <n v="18696"/>
    <s v="60744883"/>
    <s v="60744883"/>
    <m/>
    <m/>
    <n v="22745992"/>
    <m/>
    <m/>
    <m/>
    <s v="SOLFIN"/>
    <s v="SOLFIN"/>
    <s v="CCMS"/>
    <n v="21330927"/>
    <n v="13790.5"/>
    <m/>
    <s v="N"/>
    <n v="12"/>
    <d v="2023-07-05T19:01:57"/>
    <s v="Y"/>
    <s v="Attendance upon client"/>
    <s v="Care Remuneration Hourly Rates"/>
    <s v="Profit Cost"/>
    <s v="Alix Reynolds"/>
    <s v="Y"/>
    <n v="32.86"/>
    <n v="6.57"/>
    <x v="6"/>
    <s v="VALIDATED"/>
    <n v="1"/>
    <s v="01.11.80.308.6100.0000"/>
    <n v="32.86"/>
    <s v="11"/>
    <s v="6100"/>
    <n v="30594.15"/>
    <n v="32.86"/>
    <s v="CREDITOR"/>
    <n v="0"/>
    <n v="0"/>
    <n v="0"/>
    <n v="0"/>
    <n v="32.86"/>
  </r>
  <r>
    <n v="60744883"/>
    <s v="N"/>
    <n v="21330927"/>
    <s v="3000014987240008"/>
    <s v="CIVIL"/>
    <d v="2023-06-22T00:00:00"/>
    <d v="2023-07-05T19:01:47"/>
    <m/>
    <d v="2023-07-05T00:00:00"/>
    <n v="1205"/>
    <n v="18696"/>
    <s v="60744883"/>
    <s v="60744883"/>
    <m/>
    <m/>
    <n v="22745992"/>
    <m/>
    <m/>
    <m/>
    <s v="SOLFIN"/>
    <s v="SOLFIN"/>
    <s v="CCMS"/>
    <n v="21330927"/>
    <n v="13790.5"/>
    <m/>
    <s v="N"/>
    <n v="17"/>
    <d v="2023-07-05T19:01:57"/>
    <s v="Y"/>
    <s v="Preparation - other"/>
    <s v="Care Remuneration Hourly Rates"/>
    <s v="Profit Cost"/>
    <s v="Alix Reynolds"/>
    <s v="Y"/>
    <n v="65.70999999999999"/>
    <n v="13.14"/>
    <x v="6"/>
    <s v="VALIDATED"/>
    <n v="1"/>
    <s v="01.11.80.308.6100.0000"/>
    <n v="65.70999999999999"/>
    <s v="11"/>
    <s v="6100"/>
    <n v="30594.15"/>
    <n v="65.70999999999999"/>
    <s v="CREDITOR"/>
    <n v="0"/>
    <n v="0"/>
    <n v="0"/>
    <n v="0"/>
    <n v="65.70999999999999"/>
  </r>
  <r>
    <n v="60631907"/>
    <s v="N"/>
    <n v="21331360"/>
    <s v="3000014878960007"/>
    <s v="CIVIL"/>
    <d v="2023-06-28T00:00:00"/>
    <d v="2023-07-05T19:01:47"/>
    <m/>
    <d v="2023-07-05T00:00:00"/>
    <n v="1205"/>
    <n v="18696"/>
    <s v="60631907"/>
    <s v="60631907"/>
    <m/>
    <m/>
    <n v="22783676"/>
    <m/>
    <m/>
    <m/>
    <s v="SOLFIN"/>
    <s v="SOLFIN"/>
    <s v="CCMS"/>
    <n v="21331360"/>
    <n v="9637.15"/>
    <m/>
    <s v="N"/>
    <n v="89"/>
    <d v="2023-07-05T19:02:16"/>
    <s v="Y"/>
    <s v="Toxicologist"/>
    <s v="Prescribed Hourly Rates"/>
    <s v="Expert Disbursement"/>
    <s v="Andrew Crumpton"/>
    <s v="Y"/>
    <n v="224.34"/>
    <n v="44.87"/>
    <x v="6"/>
    <s v="VALIDATED"/>
    <n v="1"/>
    <s v="01.11.80.307.6300.0000"/>
    <n v="224.34"/>
    <s v="11"/>
    <s v="6300"/>
    <n v="30594.15"/>
    <n v="224.34"/>
    <s v="CREDITOR"/>
    <n v="0"/>
    <n v="0"/>
    <n v="0"/>
    <n v="0"/>
    <n v="224.34"/>
  </r>
  <r>
    <n v="60631907"/>
    <s v="N"/>
    <n v="21331360"/>
    <s v="3000014878960007"/>
    <s v="CIVIL"/>
    <d v="2023-06-28T00:00:00"/>
    <d v="2023-07-05T19:01:47"/>
    <m/>
    <d v="2023-07-05T00:00:00"/>
    <n v="1205"/>
    <n v="18696"/>
    <s v="60631907"/>
    <s v="60631907"/>
    <m/>
    <m/>
    <n v="22783676"/>
    <m/>
    <m/>
    <m/>
    <s v="SOLFIN"/>
    <s v="SOLFIN"/>
    <s v="CCMS"/>
    <n v="21331360"/>
    <n v="9637.15"/>
    <m/>
    <s v="N"/>
    <n v="34"/>
    <d v="2023-07-05T19:02:16"/>
    <s v="Y"/>
    <s v="Preparation - other"/>
    <s v="Prescribed Hourly Rates"/>
    <s v="Profit Cost"/>
    <s v="Jasmine Thompson"/>
    <s v="Y"/>
    <n v="21.96"/>
    <n v="4.39"/>
    <x v="6"/>
    <s v="VALIDATED"/>
    <n v="1"/>
    <s v="01.11.80.307.6100.0000"/>
    <n v="21.96"/>
    <s v="11"/>
    <s v="6100"/>
    <n v="30594.15"/>
    <n v="21.96"/>
    <s v="CREDITOR"/>
    <n v="0"/>
    <n v="0"/>
    <n v="0"/>
    <n v="0"/>
    <n v="21.96"/>
  </r>
  <r>
    <n v="60631907"/>
    <s v="N"/>
    <n v="21331360"/>
    <s v="3000014878960007"/>
    <s v="CIVIL"/>
    <d v="2023-06-28T00:00:00"/>
    <d v="2023-07-05T19:01:47"/>
    <m/>
    <d v="2023-07-05T00:00:00"/>
    <n v="1205"/>
    <n v="18696"/>
    <s v="60631907"/>
    <s v="60631907"/>
    <m/>
    <m/>
    <n v="22783676"/>
    <m/>
    <m/>
    <m/>
    <s v="SOLFIN"/>
    <s v="SOLFIN"/>
    <s v="CCMS"/>
    <n v="21331360"/>
    <n v="9637.15"/>
    <m/>
    <s v="N"/>
    <n v="69"/>
    <d v="2023-07-05T19:02:16"/>
    <s v="Y"/>
    <s v="Preparation - other"/>
    <s v="Prescribed Hourly Rates"/>
    <s v="Profit Cost"/>
    <s v="Isabel Griffith"/>
    <s v="Y"/>
    <n v="10.98"/>
    <n v="2.2"/>
    <x v="6"/>
    <s v="VALIDATED"/>
    <n v="1"/>
    <s v="01.11.80.307.6100.0000"/>
    <n v="10.98"/>
    <s v="11"/>
    <s v="6100"/>
    <n v="30594.15"/>
    <n v="10.98"/>
    <s v="CREDITOR"/>
    <n v="0"/>
    <n v="0"/>
    <n v="0"/>
    <n v="0"/>
    <n v="10.98"/>
  </r>
  <r>
    <n v="62178426"/>
    <s v="N"/>
    <n v="21318757"/>
    <s v="3000016190150005"/>
    <s v="CIVIL"/>
    <d v="2023-06-22T00:00:00"/>
    <d v="2023-07-03T19:01:49"/>
    <m/>
    <d v="2023-07-03T00:00:00"/>
    <n v="1205"/>
    <n v="18696"/>
    <s v="62178426"/>
    <s v="62178426"/>
    <m/>
    <m/>
    <n v="22739994"/>
    <m/>
    <m/>
    <m/>
    <s v="SOLPOA"/>
    <s v="SOLPOA"/>
    <s v="CCMS"/>
    <n v="21318757"/>
    <n v="26.4"/>
    <m/>
    <s v="N"/>
    <n v="1"/>
    <d v="2023-07-03T19:02:02"/>
    <s v="N"/>
    <s v="Expert Cost"/>
    <s v="Expert Cost"/>
    <s v="Expert Disbursement"/>
    <s v="Narinder Singh"/>
    <s v="N"/>
    <n v="22"/>
    <n v="4.4"/>
    <x v="3"/>
    <s v="VALIDATED"/>
    <n v="1"/>
    <s v="01.11.80.308.2012.0000"/>
    <n v="22"/>
    <s v="11"/>
    <s v="2012"/>
    <n v="30594.15"/>
    <n v="22"/>
    <s v="CREDITOR"/>
    <n v="22"/>
    <n v="0"/>
    <n v="0"/>
    <n v="0"/>
    <n v="0"/>
  </r>
  <r>
    <n v="60867047"/>
    <s v="N"/>
    <n v="21349869"/>
    <s v="3000015089740008"/>
    <s v="CIVIL"/>
    <d v="2023-06-26T00:00:00"/>
    <d v="2023-07-10T19:01:40"/>
    <m/>
    <d v="2023-07-10T00:00:00"/>
    <n v="1205"/>
    <n v="18696"/>
    <s v="60867047"/>
    <s v="60867047"/>
    <m/>
    <m/>
    <n v="22762804"/>
    <m/>
    <m/>
    <m/>
    <s v="SOLFIN"/>
    <s v="SOLFIN"/>
    <s v="CCMS"/>
    <n v="21349869"/>
    <n v="11255.82"/>
    <m/>
    <s v="N"/>
    <n v="3"/>
    <d v="2023-07-10T19:02:01"/>
    <s v="Y"/>
    <s v="Final Hearing Court Bundle/Advocate"/>
    <s v="Public Law Children"/>
    <s v="Advocacy"/>
    <s v="Charlotte Raybould"/>
    <s v="Y"/>
    <n v="239.4"/>
    <n v="47.88"/>
    <x v="2"/>
    <s v="VALIDATED"/>
    <n v="1"/>
    <s v="01.11.80.308.6100.0000"/>
    <n v="239.4"/>
    <s v="11"/>
    <s v="6100"/>
    <n v="30594.15"/>
    <n v="239.4"/>
    <s v="CREDITOR"/>
    <n v="0"/>
    <n v="0"/>
    <n v="0"/>
    <n v="0"/>
    <n v="239.4"/>
  </r>
  <r>
    <n v="60066609"/>
    <s v="N"/>
    <n v="21350136"/>
    <s v="3000014401840008"/>
    <s v="CIVIL"/>
    <d v="2023-06-29T00:00:00"/>
    <d v="2023-07-10T19:01:40"/>
    <m/>
    <d v="2023-07-10T00:00:00"/>
    <n v="1205"/>
    <n v="18696"/>
    <s v="60066609"/>
    <s v="60066609"/>
    <m/>
    <m/>
    <n v="22788730"/>
    <m/>
    <m/>
    <m/>
    <s v="SOLFIN"/>
    <s v="SOLFIN"/>
    <s v="CCMS"/>
    <n v="21350136"/>
    <n v="7952.47"/>
    <m/>
    <s v="N"/>
    <n v="16"/>
    <d v="2023-07-10T19:02:15"/>
    <s v="Y"/>
    <s v="Advocates Meeting"/>
    <s v="Public Law Children"/>
    <s v="Advocacy"/>
    <s v="Andrew Crumpton"/>
    <s v="Y"/>
    <n v="140.99"/>
    <n v="28.2"/>
    <x v="2"/>
    <s v="VALIDATED"/>
    <n v="1"/>
    <s v="01.11.80.308.6100.0000"/>
    <n v="140.99"/>
    <s v="11"/>
    <s v="6100"/>
    <n v="30594.15"/>
    <n v="140.99"/>
    <s v="CREDITOR"/>
    <n v="0"/>
    <n v="0"/>
    <n v="0"/>
    <n v="0"/>
    <n v="140.99"/>
  </r>
  <r>
    <n v="60773030"/>
    <s v="N"/>
    <n v="21344084"/>
    <s v="3000015011890006"/>
    <s v="CIVIL"/>
    <d v="2023-06-29T00:00:00"/>
    <d v="2023-07-07T19:03:00"/>
    <m/>
    <d v="2023-07-07T00:00:00"/>
    <n v="1205"/>
    <n v="18696"/>
    <s v="60773030"/>
    <s v="60773030"/>
    <m/>
    <m/>
    <n v="22785194"/>
    <m/>
    <m/>
    <m/>
    <s v="SOLFIN"/>
    <s v="SOLFIN"/>
    <s v="CCMS"/>
    <n v="21344084"/>
    <n v="3274.89"/>
    <m/>
    <s v="N"/>
    <n v="3"/>
    <d v="2023-07-07T19:03:23"/>
    <s v="Y"/>
    <s v="Preparation - other"/>
    <s v="Prescribed Hourly Rates"/>
    <s v="Profit Cost"/>
    <s v="Penny Dukes"/>
    <s v="Y"/>
    <n v="5.49"/>
    <n v="1.1"/>
    <x v="9"/>
    <s v="VALIDATED"/>
    <n v="1"/>
    <s v="01.11.80.307.6100.0000"/>
    <n v="5.49"/>
    <s v="11"/>
    <s v="6100"/>
    <n v="30594.15"/>
    <n v="5.49"/>
    <s v="CREDITOR"/>
    <n v="0"/>
    <n v="0"/>
    <n v="0"/>
    <n v="0"/>
    <n v="5.49"/>
  </r>
  <r>
    <n v="48504544"/>
    <s v="N"/>
    <n v="21344092"/>
    <s v="3000012074710009"/>
    <s v="CIVIL"/>
    <d v="2023-06-29T00:00:00"/>
    <d v="2023-07-07T19:03:00"/>
    <m/>
    <d v="2023-07-07T00:00:00"/>
    <n v="1205"/>
    <n v="18696"/>
    <s v="48504544"/>
    <s v="48504544"/>
    <m/>
    <m/>
    <n v="22787308"/>
    <m/>
    <m/>
    <m/>
    <s v="SOLFIN"/>
    <s v="SOLFIN"/>
    <s v="CCMS"/>
    <n v="21344092"/>
    <n v="5824.29"/>
    <m/>
    <s v="N"/>
    <n v="12"/>
    <d v="2023-07-07T19:03:23"/>
    <s v="Y"/>
    <s v="Preparation - other"/>
    <s v="Prescribed Hourly Rates"/>
    <s v="Profit Cost"/>
    <s v="Penny Dukes"/>
    <s v="Y"/>
    <n v="54.9"/>
    <n v="10.98"/>
    <x v="9"/>
    <s v="VALIDATED"/>
    <n v="1"/>
    <s v="01.11.80.307.6100.0000"/>
    <n v="54.9"/>
    <s v="11"/>
    <s v="6100"/>
    <n v="30594.15"/>
    <n v="54.9"/>
    <s v="CREDITOR"/>
    <n v="0"/>
    <n v="0"/>
    <n v="0"/>
    <n v="0"/>
    <n v="54.9"/>
  </r>
  <r>
    <n v="54813547"/>
    <s v="N"/>
    <n v="21338270"/>
    <s v="3000013038820008"/>
    <s v="CIVIL"/>
    <d v="2023-06-27T00:00:00"/>
    <d v="2023-07-06T19:21:01"/>
    <m/>
    <d v="2023-07-06T00:00:00"/>
    <n v="1205"/>
    <n v="18696"/>
    <s v="54813547"/>
    <s v="54813547"/>
    <m/>
    <m/>
    <n v="22769992"/>
    <m/>
    <m/>
    <m/>
    <s v="SOLFIN"/>
    <s v="SOLFIN"/>
    <s v="CCMS"/>
    <n v="21338270"/>
    <n v="24252.38"/>
    <m/>
    <s v="N"/>
    <n v="63"/>
    <d v="2023-07-06T19:21:15"/>
    <s v="Y"/>
    <s v="Preparation - other"/>
    <s v="Care Remuneration Hourly Rates"/>
    <s v="Profit Cost"/>
    <s v="Eliot Brookes"/>
    <s v="Y"/>
    <n v="59.26"/>
    <n v="11.85"/>
    <x v="4"/>
    <s v="VALIDATED"/>
    <n v="1"/>
    <s v="01.11.80.308.6100.0000"/>
    <n v="59.26"/>
    <s v="11"/>
    <s v="6100"/>
    <n v="30594.15"/>
    <n v="59.26"/>
    <s v="CREDITOR"/>
    <n v="0"/>
    <n v="0"/>
    <n v="0"/>
    <n v="0"/>
    <n v="59.26"/>
  </r>
  <r>
    <n v="54813547"/>
    <s v="N"/>
    <n v="21338270"/>
    <s v="3000013038820008"/>
    <s v="CIVIL"/>
    <d v="2023-06-27T00:00:00"/>
    <d v="2023-07-06T19:21:01"/>
    <m/>
    <d v="2023-07-06T00:00:00"/>
    <n v="1205"/>
    <n v="18696"/>
    <s v="54813547"/>
    <s v="54813547"/>
    <m/>
    <m/>
    <n v="22769992"/>
    <m/>
    <m/>
    <m/>
    <s v="SOLFIN"/>
    <s v="SOLFIN"/>
    <s v="CCMS"/>
    <n v="21338270"/>
    <n v="24252.38"/>
    <m/>
    <s v="N"/>
    <n v="64"/>
    <d v="2023-07-06T19:21:15"/>
    <s v="Y"/>
    <s v="Preparation - other"/>
    <s v="Care Remuneration Hourly Rates"/>
    <s v="Profit Cost"/>
    <s v="Eliot Brookes"/>
    <s v="Y"/>
    <n v="296.3"/>
    <n v="59.26"/>
    <x v="4"/>
    <s v="VALIDATED"/>
    <n v="1"/>
    <s v="01.11.80.308.6100.0000"/>
    <n v="296.3"/>
    <s v="11"/>
    <s v="6100"/>
    <n v="30594.15"/>
    <n v="296.3"/>
    <s v="CREDITOR"/>
    <n v="0"/>
    <n v="0"/>
    <n v="0"/>
    <n v="0"/>
    <n v="296.3"/>
  </r>
  <r>
    <n v="54813547"/>
    <s v="N"/>
    <n v="21338270"/>
    <s v="3000013038820008"/>
    <s v="CIVIL"/>
    <d v="2023-06-27T00:00:00"/>
    <d v="2023-07-06T19:21:01"/>
    <m/>
    <d v="2023-07-06T00:00:00"/>
    <n v="1205"/>
    <n v="18696"/>
    <s v="54813547"/>
    <s v="54813547"/>
    <m/>
    <m/>
    <n v="22769992"/>
    <m/>
    <m/>
    <m/>
    <s v="SOLFIN"/>
    <s v="SOLFIN"/>
    <s v="CCMS"/>
    <n v="21338270"/>
    <n v="24252.38"/>
    <m/>
    <s v="N"/>
    <n v="32"/>
    <d v="2023-07-06T19:21:15"/>
    <s v="Y"/>
    <s v="Preparation - drafting statement"/>
    <s v="Care Remuneration Hourly Rates"/>
    <s v="Profit Cost"/>
    <s v="Charlotte Raybould"/>
    <s v="Y"/>
    <n v="29.63"/>
    <n v="5.93"/>
    <x v="4"/>
    <s v="VALIDATED"/>
    <n v="1"/>
    <s v="01.11.80.308.6100.0000"/>
    <n v="29.63"/>
    <s v="11"/>
    <s v="6100"/>
    <n v="30594.15"/>
    <n v="29.63"/>
    <s v="CREDITOR"/>
    <n v="0"/>
    <n v="0"/>
    <n v="0"/>
    <n v="0"/>
    <n v="29.63"/>
  </r>
  <r>
    <n v="60740536"/>
    <s v="N"/>
    <n v="21343872"/>
    <s v="3000014983190011"/>
    <s v="CIVIL"/>
    <d v="2023-06-27T00:00:00"/>
    <d v="2023-07-07T19:03:00"/>
    <m/>
    <d v="2023-07-07T00:00:00"/>
    <n v="1205"/>
    <n v="18696"/>
    <s v="60740536"/>
    <s v="60740536"/>
    <m/>
    <m/>
    <n v="22766106"/>
    <m/>
    <m/>
    <m/>
    <s v="SOLFIN"/>
    <s v="SOLFIN"/>
    <s v="CCMS"/>
    <n v="21343872"/>
    <n v="13395.68"/>
    <m/>
    <s v="N"/>
    <n v="75"/>
    <d v="2023-07-07T19:03:15"/>
    <s v="Y"/>
    <s v="Preparation - other"/>
    <s v="Care Remuneration Hourly Rates"/>
    <s v="Profit Cost"/>
    <s v="Penny Dukes"/>
    <s v="Y"/>
    <n v="5.26"/>
    <n v="1.05"/>
    <x v="9"/>
    <s v="VALIDATED"/>
    <n v="1"/>
    <s v="01.11.80.308.6100.0000"/>
    <n v="5.26"/>
    <s v="11"/>
    <s v="6100"/>
    <n v="30594.15"/>
    <n v="5.26"/>
    <s v="CREDITOR"/>
    <n v="0"/>
    <n v="0"/>
    <n v="0"/>
    <n v="0"/>
    <n v="5.26"/>
  </r>
  <r>
    <n v="60740536"/>
    <s v="N"/>
    <n v="21343872"/>
    <s v="3000014983190011"/>
    <s v="CIVIL"/>
    <d v="2023-06-27T00:00:00"/>
    <d v="2023-07-07T19:03:00"/>
    <m/>
    <d v="2023-07-07T00:00:00"/>
    <n v="1205"/>
    <n v="18696"/>
    <s v="60740536"/>
    <s v="60740536"/>
    <m/>
    <m/>
    <n v="22766106"/>
    <m/>
    <m/>
    <m/>
    <s v="SOLFIN"/>
    <s v="SOLFIN"/>
    <s v="CCMS"/>
    <n v="21343872"/>
    <n v="13395.68"/>
    <m/>
    <s v="N"/>
    <n v="68"/>
    <d v="2023-07-07T19:03:15"/>
    <s v="Y"/>
    <s v="Preparation - drafting consent orde"/>
    <s v="Care Remuneration Hourly Rates"/>
    <s v="Profit Cost"/>
    <s v="Eliot Brookes"/>
    <s v="Y"/>
    <n v="10.51"/>
    <n v="2.1"/>
    <x v="9"/>
    <s v="VALIDATED"/>
    <n v="1"/>
    <s v="01.11.80.308.6100.0000"/>
    <n v="10.51"/>
    <s v="11"/>
    <s v="6100"/>
    <n v="30594.15"/>
    <n v="10.51"/>
    <s v="CREDITOR"/>
    <n v="0"/>
    <n v="0"/>
    <n v="0"/>
    <n v="0"/>
    <n v="10.51"/>
  </r>
  <r>
    <n v="60744883"/>
    <s v="N"/>
    <n v="21330927"/>
    <s v="3000014987240008"/>
    <s v="CIVIL"/>
    <d v="2023-06-22T00:00:00"/>
    <d v="2023-07-05T19:01:47"/>
    <m/>
    <d v="2023-07-05T00:00:00"/>
    <n v="1205"/>
    <n v="18696"/>
    <s v="60744883"/>
    <s v="60744883"/>
    <m/>
    <m/>
    <n v="22745992"/>
    <m/>
    <m/>
    <m/>
    <s v="SOLFIN"/>
    <s v="SOLFIN"/>
    <s v="CCMS"/>
    <n v="21330927"/>
    <n v="13790.5"/>
    <m/>
    <s v="N"/>
    <n v="35"/>
    <d v="2023-07-05T19:01:57"/>
    <s v="Y"/>
    <s v="Preparation - drafting attendance n"/>
    <s v="Care Remuneration Hourly Rates"/>
    <s v="Profit Cost"/>
    <s v="Alix Reynolds"/>
    <s v="Y"/>
    <n v="10.51"/>
    <n v="2.1"/>
    <x v="6"/>
    <s v="VALIDATED"/>
    <n v="1"/>
    <s v="01.11.80.308.6100.0000"/>
    <n v="10.51"/>
    <s v="11"/>
    <s v="6100"/>
    <n v="30594.15"/>
    <n v="10.51"/>
    <s v="CREDITOR"/>
    <n v="0"/>
    <n v="0"/>
    <n v="0"/>
    <n v="0"/>
    <n v="10.51"/>
  </r>
  <r>
    <n v="60631907"/>
    <s v="N"/>
    <n v="21331360"/>
    <s v="3000014878960007"/>
    <s v="CIVIL"/>
    <d v="2023-06-28T00:00:00"/>
    <d v="2023-07-05T19:01:47"/>
    <m/>
    <d v="2023-07-05T00:00:00"/>
    <n v="1205"/>
    <n v="18696"/>
    <s v="60631907"/>
    <s v="60631907"/>
    <m/>
    <m/>
    <n v="22783676"/>
    <m/>
    <m/>
    <m/>
    <s v="SOLFIN"/>
    <s v="SOLFIN"/>
    <s v="CCMS"/>
    <n v="21331360"/>
    <n v="9637.15"/>
    <m/>
    <s v="N"/>
    <n v="40"/>
    <d v="2023-07-05T19:02:16"/>
    <s v="Y"/>
    <s v="Preparation - drafting bill/claim f"/>
    <s v="Prescribed Hourly Rates"/>
    <s v="Profit Cost"/>
    <s v="Penny Dukes"/>
    <s v="Y"/>
    <n v="10.98"/>
    <n v="2.2"/>
    <x v="6"/>
    <s v="VALIDATED"/>
    <n v="1"/>
    <s v="01.11.80.307.6100.0000"/>
    <n v="10.98"/>
    <s v="11"/>
    <s v="6100"/>
    <n v="30594.15"/>
    <n v="10.98"/>
    <s v="CREDITOR"/>
    <n v="0"/>
    <n v="0"/>
    <n v="0"/>
    <n v="0"/>
    <n v="10.98"/>
  </r>
  <r>
    <n v="61764866"/>
    <s v="N"/>
    <n v="21328716"/>
    <s v="3000015843050002RC"/>
    <s v="CIVIL"/>
    <d v="2023-06-23T00:00:00"/>
    <d v="2023-07-04T19:38:21"/>
    <m/>
    <d v="2023-07-04T00:00:00"/>
    <n v="1205"/>
    <n v="18696"/>
    <s v="61764866"/>
    <s v="61764866"/>
    <m/>
    <m/>
    <m/>
    <m/>
    <m/>
    <m/>
    <s v="SOLRECOUP"/>
    <s v="SOLRECOUP"/>
    <s v="POARECOUP"/>
    <n v="21328716"/>
    <n v="-850.6"/>
    <m/>
    <s v="Y"/>
    <n v="1"/>
    <d v="2023-07-04T19:38:22"/>
    <s v="N"/>
    <m/>
    <m/>
    <s v="Profit Cost"/>
    <m/>
    <s v="N"/>
    <n v="-708.83"/>
    <n v="0"/>
    <x v="1"/>
    <s v="VALIDATED"/>
    <n v="1"/>
    <s v="01.11.80.308.2013.0000"/>
    <n v="-708.83"/>
    <s v="11"/>
    <s v="2013"/>
    <n v="30594.15"/>
    <n v="-708.83"/>
    <s v="CREDITOR"/>
    <n v="0"/>
    <n v="0"/>
    <n v="-708.83"/>
    <n v="-177.2075"/>
    <n v="0"/>
  </r>
  <r>
    <n v="61764866"/>
    <s v="N"/>
    <n v="21328716"/>
    <s v="3000015843050002RC"/>
    <s v="CIVIL"/>
    <d v="2023-06-23T00:00:00"/>
    <d v="2023-07-04T19:38:21"/>
    <m/>
    <d v="2023-07-04T00:00:00"/>
    <n v="1205"/>
    <n v="18696"/>
    <s v="61764866"/>
    <s v="61764866"/>
    <m/>
    <m/>
    <m/>
    <m/>
    <m/>
    <m/>
    <s v="SOLRECOUP"/>
    <s v="SOLRECOUP"/>
    <s v="POARECOUP"/>
    <n v="21328716"/>
    <n v="-850.6"/>
    <m/>
    <s v="Y"/>
    <n v="2"/>
    <d v="2023-07-04T19:38:22"/>
    <s v="N"/>
    <m/>
    <m/>
    <s v="Profit Cost"/>
    <m/>
    <s v="N"/>
    <n v="0"/>
    <n v="-141.77"/>
    <x v="1"/>
    <s v="VALIDATED"/>
    <n v="1"/>
    <s v="01.11.80.308.2013.0000"/>
    <n v="-141.77"/>
    <s v="11"/>
    <s v="2013"/>
    <n v="30594.15"/>
    <n v="-141.77"/>
    <s v="CREDITOR"/>
    <n v="0"/>
    <n v="0"/>
    <n v="-141.77"/>
    <n v="-35.4425"/>
    <n v="0"/>
  </r>
  <r>
    <n v="61764866"/>
    <s v="N"/>
    <n v="21328717"/>
    <s v="3000015843050001RC"/>
    <s v="CIVIL"/>
    <d v="2023-06-23T00:00:00"/>
    <d v="2023-07-04T19:38:21"/>
    <m/>
    <d v="2023-07-04T00:00:00"/>
    <n v="1205"/>
    <n v="18696"/>
    <s v="61764866"/>
    <s v="61764866"/>
    <m/>
    <m/>
    <m/>
    <m/>
    <m/>
    <m/>
    <s v="SOLRECOUP"/>
    <s v="SOLRECOUP"/>
    <s v="POARECOUP"/>
    <n v="21328717"/>
    <n v="-455.18"/>
    <m/>
    <s v="Y"/>
    <n v="2"/>
    <d v="2023-07-04T19:38:22"/>
    <s v="N"/>
    <m/>
    <m/>
    <s v="Expert Disbursement"/>
    <m/>
    <s v="N"/>
    <n v="0"/>
    <n v="-75.86"/>
    <x v="1"/>
    <s v="VALIDATED"/>
    <n v="1"/>
    <s v="01.11.80.308.2013.0000"/>
    <n v="-75.86"/>
    <s v="11"/>
    <s v="2013"/>
    <n v="30594.15"/>
    <n v="-75.86"/>
    <s v="CREDITOR"/>
    <n v="0"/>
    <n v="0"/>
    <n v="-75.86"/>
    <n v="0"/>
    <n v="0"/>
  </r>
  <r>
    <n v="61764866"/>
    <s v="N"/>
    <n v="21328717"/>
    <s v="3000015843050001RC"/>
    <s v="CIVIL"/>
    <d v="2023-06-23T00:00:00"/>
    <d v="2023-07-04T19:38:21"/>
    <m/>
    <d v="2023-07-04T00:00:00"/>
    <n v="1205"/>
    <n v="18696"/>
    <s v="61764866"/>
    <s v="61764866"/>
    <m/>
    <m/>
    <m/>
    <m/>
    <m/>
    <m/>
    <s v="SOLRECOUP"/>
    <s v="SOLRECOUP"/>
    <s v="POARECOUP"/>
    <n v="21328717"/>
    <n v="-455.18"/>
    <m/>
    <s v="Y"/>
    <n v="1"/>
    <d v="2023-07-04T19:38:22"/>
    <s v="N"/>
    <m/>
    <m/>
    <s v="Expert Disbursement"/>
    <m/>
    <s v="N"/>
    <n v="-379.32"/>
    <n v="0"/>
    <x v="1"/>
    <s v="VALIDATED"/>
    <n v="1"/>
    <s v="01.11.80.308.2013.0000"/>
    <n v="-379.32"/>
    <s v="11"/>
    <s v="2013"/>
    <n v="30594.15"/>
    <n v="-379.32"/>
    <s v="CREDITOR"/>
    <n v="0"/>
    <n v="0"/>
    <n v="-379.32"/>
    <n v="0"/>
    <n v="0"/>
  </r>
  <r>
    <n v="60066609"/>
    <s v="N"/>
    <n v="21350136"/>
    <s v="3000014401840008"/>
    <s v="CIVIL"/>
    <d v="2023-06-29T00:00:00"/>
    <d v="2023-07-10T19:01:40"/>
    <m/>
    <d v="2023-07-10T00:00:00"/>
    <n v="1205"/>
    <n v="18696"/>
    <s v="60066609"/>
    <s v="60066609"/>
    <m/>
    <m/>
    <n v="22788730"/>
    <m/>
    <m/>
    <m/>
    <s v="SOLFIN"/>
    <s v="SOLFIN"/>
    <s v="CCMS"/>
    <n v="21350136"/>
    <n v="7952.47"/>
    <m/>
    <s v="N"/>
    <n v="4"/>
    <d v="2023-07-10T19:02:15"/>
    <s v="Y"/>
    <s v="Solicitor Travel Expenses"/>
    <s v="Public Law Children"/>
    <s v="Non Expert Disbursement"/>
    <s v="Andrew Crumpton"/>
    <s v="Y"/>
    <n v="4"/>
    <n v="0.8"/>
    <x v="2"/>
    <s v="VALIDATED"/>
    <n v="1"/>
    <s v="01.11.80.308.6300.0000"/>
    <n v="4"/>
    <s v="11"/>
    <s v="6300"/>
    <n v="30594.15"/>
    <n v="4"/>
    <s v="CREDITOR"/>
    <n v="0"/>
    <n v="0"/>
    <n v="0"/>
    <n v="0"/>
    <n v="4"/>
  </r>
  <r>
    <n v="60867047"/>
    <s v="N"/>
    <n v="21349869"/>
    <s v="3000015089740008"/>
    <s v="CIVIL"/>
    <d v="2023-06-26T00:00:00"/>
    <d v="2023-07-10T19:01:40"/>
    <m/>
    <d v="2023-07-10T00:00:00"/>
    <n v="1205"/>
    <n v="18696"/>
    <s v="60867047"/>
    <s v="60867047"/>
    <m/>
    <m/>
    <n v="22762804"/>
    <m/>
    <m/>
    <m/>
    <s v="SOLFIN"/>
    <s v="SOLFIN"/>
    <s v="CCMS"/>
    <n v="21349869"/>
    <n v="11255.82"/>
    <m/>
    <s v="N"/>
    <n v="13"/>
    <d v="2023-07-10T19:02:01"/>
    <s v="Y"/>
    <s v="Advocates Meeting"/>
    <s v="Public Law Children"/>
    <s v="Advocacy"/>
    <s v="Charlotte Raybould"/>
    <s v="Y"/>
    <n v="140.99"/>
    <n v="28.2"/>
    <x v="2"/>
    <s v="VALIDATED"/>
    <n v="1"/>
    <s v="01.11.80.308.6100.0000"/>
    <n v="140.99"/>
    <s v="11"/>
    <s v="6100"/>
    <n v="30594.15"/>
    <n v="140.99"/>
    <s v="CREDITOR"/>
    <n v="0"/>
    <n v="0"/>
    <n v="0"/>
    <n v="0"/>
    <n v="140.99"/>
  </r>
  <r>
    <n v="60740536"/>
    <s v="N"/>
    <n v="21343872"/>
    <s v="3000014983190011"/>
    <s v="CIVIL"/>
    <d v="2023-06-27T00:00:00"/>
    <d v="2023-07-07T19:03:00"/>
    <m/>
    <d v="2023-07-07T00:00:00"/>
    <n v="1205"/>
    <n v="18696"/>
    <s v="60740536"/>
    <s v="60740536"/>
    <m/>
    <m/>
    <n v="22766106"/>
    <m/>
    <m/>
    <m/>
    <s v="SOLFIN"/>
    <s v="SOLFIN"/>
    <s v="CCMS"/>
    <n v="21343872"/>
    <n v="13395.68"/>
    <m/>
    <s v="N"/>
    <n v="50"/>
    <d v="2023-07-07T19:03:15"/>
    <s v="Y"/>
    <s v="Preparation - drafting consent orde"/>
    <s v="Care Remuneration Hourly Rates"/>
    <s v="Profit Cost"/>
    <s v="Shelley Abbey"/>
    <s v="Y"/>
    <n v="10.51"/>
    <n v="2.1"/>
    <x v="9"/>
    <s v="VALIDATED"/>
    <n v="1"/>
    <s v="01.11.80.308.6100.0000"/>
    <n v="10.51"/>
    <s v="11"/>
    <s v="6100"/>
    <n v="30594.15"/>
    <n v="10.51"/>
    <s v="CREDITOR"/>
    <n v="0"/>
    <n v="0"/>
    <n v="0"/>
    <n v="0"/>
    <n v="10.51"/>
  </r>
  <r>
    <n v="60740536"/>
    <s v="N"/>
    <n v="21343872"/>
    <s v="3000014983190011"/>
    <s v="CIVIL"/>
    <d v="2023-06-27T00:00:00"/>
    <d v="2023-07-07T19:03:00"/>
    <m/>
    <d v="2023-07-07T00:00:00"/>
    <n v="1205"/>
    <n v="18696"/>
    <s v="60740536"/>
    <s v="60740536"/>
    <m/>
    <m/>
    <n v="22766106"/>
    <m/>
    <m/>
    <m/>
    <s v="SOLFIN"/>
    <s v="SOLFIN"/>
    <s v="CCMS"/>
    <n v="21343872"/>
    <n v="13395.68"/>
    <m/>
    <s v="N"/>
    <n v="54"/>
    <d v="2023-07-07T19:03:15"/>
    <s v="Y"/>
    <s v="Preparation - drafting attendance n"/>
    <s v="Care Remuneration Hourly Rates"/>
    <s v="Profit Cost"/>
    <s v="Charlotte Raybould"/>
    <s v="Y"/>
    <n v="90.69"/>
    <n v="18.14"/>
    <x v="9"/>
    <s v="VALIDATED"/>
    <n v="1"/>
    <s v="01.11.80.308.6100.0000"/>
    <n v="90.69"/>
    <s v="11"/>
    <s v="6100"/>
    <n v="30594.15"/>
    <n v="90.69"/>
    <s v="CREDITOR"/>
    <n v="0"/>
    <n v="0"/>
    <n v="0"/>
    <n v="0"/>
    <n v="90.69"/>
  </r>
  <r>
    <n v="8096699"/>
    <s v="N"/>
    <n v="21344060"/>
    <s v="3000004211210009"/>
    <s v="CIVIL"/>
    <d v="2023-06-29T00:00:00"/>
    <d v="2023-07-07T19:03:00"/>
    <m/>
    <d v="2023-07-07T00:00:00"/>
    <n v="1205"/>
    <n v="18696"/>
    <s v="8096699"/>
    <s v="8096699"/>
    <m/>
    <m/>
    <n v="22791280"/>
    <m/>
    <m/>
    <m/>
    <s v="SOLFIN"/>
    <s v="SOLFIN"/>
    <s v="CCMS"/>
    <n v="21344060"/>
    <n v="1555.48"/>
    <m/>
    <s v="N"/>
    <n v="8"/>
    <d v="2023-07-07T19:03:22"/>
    <s v="Y"/>
    <s v="Solicitor Travel Expenses"/>
    <s v="Non Family Hourly Rates"/>
    <s v="Non Expert Disbursement"/>
    <s v="Kirsty MacMillan"/>
    <s v="Y"/>
    <n v="3"/>
    <n v="0.6"/>
    <x v="9"/>
    <s v="VALIDATED"/>
    <n v="1"/>
    <s v="01.11.80.209.6300.0000"/>
    <n v="3"/>
    <s v="11"/>
    <s v="6300"/>
    <n v="30594.15"/>
    <n v="3"/>
    <s v="CREDITOR"/>
    <n v="0"/>
    <n v="0"/>
    <n v="0"/>
    <n v="0"/>
    <n v="3"/>
  </r>
  <r>
    <n v="62064082"/>
    <s v="N"/>
    <n v="21338470"/>
    <s v="3000016093980002"/>
    <s v="CIVIL"/>
    <d v="2023-06-30T00:00:00"/>
    <d v="2023-07-06T19:21:01"/>
    <m/>
    <d v="2023-07-06T00:00:00"/>
    <n v="1205"/>
    <n v="18696"/>
    <s v="62064082"/>
    <s v="62064082"/>
    <m/>
    <m/>
    <n v="22795524"/>
    <m/>
    <m/>
    <m/>
    <s v="SOLFIN"/>
    <s v="SOLFIN"/>
    <s v="CCMS"/>
    <n v="21338470"/>
    <n v="4130.93"/>
    <m/>
    <s v="N"/>
    <n v="4"/>
    <d v="2023-07-06T19:21:26"/>
    <s v="Y"/>
    <s v="Final Hearing - 1 Day"/>
    <s v="Public Law Children"/>
    <s v="Advocacy"/>
    <s v="Narinder Singh"/>
    <s v="Y"/>
    <n v="556.88"/>
    <n v="111.38"/>
    <x v="4"/>
    <s v="VALIDATED"/>
    <n v="1"/>
    <s v="01.11.80.308.6100.0000"/>
    <n v="556.88"/>
    <s v="11"/>
    <s v="6100"/>
    <n v="30594.15"/>
    <n v="556.88"/>
    <s v="CREDITOR"/>
    <n v="0"/>
    <n v="0"/>
    <n v="0"/>
    <n v="0"/>
    <n v="556.88"/>
  </r>
  <r>
    <n v="54813547"/>
    <s v="N"/>
    <n v="21338270"/>
    <s v="3000013038820008"/>
    <s v="CIVIL"/>
    <d v="2023-06-27T00:00:00"/>
    <d v="2023-07-06T19:21:01"/>
    <m/>
    <d v="2023-07-06T00:00:00"/>
    <n v="1205"/>
    <n v="18696"/>
    <s v="54813547"/>
    <s v="54813547"/>
    <m/>
    <m/>
    <n v="22769992"/>
    <m/>
    <m/>
    <m/>
    <s v="SOLFIN"/>
    <s v="SOLFIN"/>
    <s v="CCMS"/>
    <n v="21338270"/>
    <n v="24252.38"/>
    <m/>
    <s v="N"/>
    <n v="74"/>
    <d v="2023-07-06T19:21:15"/>
    <s v="Y"/>
    <s v="Preparation - drafting consent orde"/>
    <s v="Care Remuneration Hourly Rates"/>
    <s v="Profit Cost"/>
    <s v="Anna Cooper"/>
    <s v="Y"/>
    <n v="14.81"/>
    <n v="2.96"/>
    <x v="4"/>
    <s v="VALIDATED"/>
    <n v="1"/>
    <s v="01.11.80.308.6100.0000"/>
    <n v="14.81"/>
    <s v="11"/>
    <s v="6100"/>
    <n v="30594.15"/>
    <n v="14.81"/>
    <s v="CREDITOR"/>
    <n v="0"/>
    <n v="0"/>
    <n v="0"/>
    <n v="0"/>
    <n v="14.81"/>
  </r>
  <r>
    <n v="54813547"/>
    <s v="N"/>
    <n v="21338270"/>
    <s v="3000013038820008"/>
    <s v="CIVIL"/>
    <d v="2023-06-27T00:00:00"/>
    <d v="2023-07-06T19:21:01"/>
    <m/>
    <d v="2023-07-06T00:00:00"/>
    <n v="1205"/>
    <n v="18696"/>
    <s v="54813547"/>
    <s v="54813547"/>
    <m/>
    <m/>
    <n v="22769992"/>
    <m/>
    <m/>
    <m/>
    <s v="SOLFIN"/>
    <s v="SOLFIN"/>
    <s v="CCMS"/>
    <n v="21338270"/>
    <n v="24252.38"/>
    <m/>
    <s v="N"/>
    <n v="33"/>
    <d v="2023-07-06T19:21:15"/>
    <s v="Y"/>
    <s v="Preparation - drafting statement"/>
    <s v="Care Remuneration Hourly Rates"/>
    <s v="Profit Cost"/>
    <s v="Charlotte Raybould"/>
    <s v="Y"/>
    <n v="39.43"/>
    <n v="7.89"/>
    <x v="4"/>
    <s v="VALIDATED"/>
    <n v="1"/>
    <s v="01.11.80.308.6100.0000"/>
    <n v="39.43"/>
    <s v="11"/>
    <s v="6100"/>
    <n v="30594.15"/>
    <n v="39.43"/>
    <s v="CREDITOR"/>
    <n v="0"/>
    <n v="0"/>
    <n v="0"/>
    <n v="0"/>
    <n v="39.43"/>
  </r>
  <r>
    <n v="60764755"/>
    <s v="N"/>
    <n v="21340051"/>
    <s v="3000015002070005RC"/>
    <s v="CIVIL"/>
    <d v="2023-06-22T00:00:00"/>
    <d v="2023-07-06T19:54:22"/>
    <m/>
    <d v="2023-07-06T00:00:00"/>
    <n v="1205"/>
    <n v="18696"/>
    <s v="60764755"/>
    <s v="60764755"/>
    <m/>
    <m/>
    <m/>
    <m/>
    <m/>
    <m/>
    <s v="SOLRECOUP"/>
    <s v="SOLRECOUP"/>
    <s v="POARECOUP"/>
    <n v="21340051"/>
    <n v="-223.48"/>
    <m/>
    <s v="Y"/>
    <n v="2"/>
    <d v="2023-07-06T19:54:23"/>
    <s v="N"/>
    <m/>
    <m/>
    <s v="Non Expert Disbursement"/>
    <m/>
    <s v="N"/>
    <n v="0"/>
    <n v="-37.25"/>
    <x v="4"/>
    <s v="VALIDATED"/>
    <n v="1"/>
    <s v="01.11.80.308.2013.0000"/>
    <n v="-37.25"/>
    <s v="11"/>
    <s v="2013"/>
    <n v="30594.15"/>
    <n v="-37.25"/>
    <s v="CREDITOR"/>
    <n v="0"/>
    <n v="0"/>
    <n v="-37.25"/>
    <n v="0"/>
    <n v="0"/>
  </r>
  <r>
    <n v="60764755"/>
    <s v="N"/>
    <n v="21340052"/>
    <s v="3000015002070006RC"/>
    <s v="CIVIL"/>
    <d v="2023-06-22T00:00:00"/>
    <d v="2023-07-06T19:54:22"/>
    <m/>
    <d v="2023-07-06T00:00:00"/>
    <n v="1205"/>
    <n v="18696"/>
    <s v="60764755"/>
    <s v="60764755"/>
    <m/>
    <m/>
    <m/>
    <m/>
    <m/>
    <m/>
    <s v="SOLRECOUP"/>
    <s v="SOLRECOUP"/>
    <s v="POARECOUP"/>
    <n v="21340052"/>
    <n v="-1329.43"/>
    <m/>
    <s v="Y"/>
    <n v="1"/>
    <d v="2023-07-06T19:54:23"/>
    <s v="N"/>
    <m/>
    <m/>
    <s v="Profit Cost"/>
    <m/>
    <s v="N"/>
    <n v="-1107.86"/>
    <n v="0"/>
    <x v="4"/>
    <s v="VALIDATED"/>
    <n v="1"/>
    <s v="01.11.80.308.2013.0000"/>
    <n v="-1107.86"/>
    <s v="11"/>
    <s v="2013"/>
    <n v="30594.15"/>
    <n v="-1107.86"/>
    <s v="CREDITOR"/>
    <n v="0"/>
    <n v="0"/>
    <n v="-1107.86"/>
    <n v="-276.965"/>
    <n v="0"/>
  </r>
  <r>
    <n v="60764755"/>
    <s v="N"/>
    <n v="21340052"/>
    <s v="3000015002070006RC"/>
    <s v="CIVIL"/>
    <d v="2023-06-22T00:00:00"/>
    <d v="2023-07-06T19:54:22"/>
    <m/>
    <d v="2023-07-06T00:00:00"/>
    <n v="1205"/>
    <n v="18696"/>
    <s v="60764755"/>
    <s v="60764755"/>
    <m/>
    <m/>
    <m/>
    <m/>
    <m/>
    <m/>
    <s v="SOLRECOUP"/>
    <s v="SOLRECOUP"/>
    <s v="POARECOUP"/>
    <n v="21340052"/>
    <n v="-1329.43"/>
    <m/>
    <s v="Y"/>
    <n v="2"/>
    <d v="2023-07-06T19:54:23"/>
    <s v="N"/>
    <m/>
    <m/>
    <s v="Profit Cost"/>
    <m/>
    <s v="N"/>
    <n v="0"/>
    <n v="-221.57"/>
    <x v="4"/>
    <s v="VALIDATED"/>
    <n v="1"/>
    <s v="01.11.80.308.2013.0000"/>
    <n v="-221.57"/>
    <s v="11"/>
    <s v="2013"/>
    <n v="30594.15"/>
    <n v="-221.57"/>
    <s v="CREDITOR"/>
    <n v="0"/>
    <n v="0"/>
    <n v="-221.57"/>
    <n v="-55.3925"/>
    <n v="0"/>
  </r>
  <r>
    <n v="60764755"/>
    <s v="N"/>
    <n v="21340053"/>
    <s v="3000015002070009RC"/>
    <s v="CIVIL"/>
    <d v="2023-06-22T00:00:00"/>
    <d v="2023-07-06T19:54:22"/>
    <m/>
    <d v="2023-07-06T00:00:00"/>
    <n v="1205"/>
    <n v="18696"/>
    <s v="60764755"/>
    <s v="60764755"/>
    <m/>
    <m/>
    <m/>
    <m/>
    <m/>
    <m/>
    <s v="SOLRECOUP"/>
    <s v="SOLRECOUP"/>
    <s v="POARECOUP"/>
    <n v="21340053"/>
    <n v="-1051.8"/>
    <m/>
    <s v="Y"/>
    <n v="1"/>
    <d v="2023-07-06T19:54:23"/>
    <s v="N"/>
    <m/>
    <m/>
    <s v="Profit Cost"/>
    <m/>
    <s v="N"/>
    <n v="-876.5"/>
    <n v="0"/>
    <x v="4"/>
    <s v="VALIDATED"/>
    <n v="1"/>
    <s v="01.11.80.308.2013.0000"/>
    <n v="-876.5"/>
    <s v="11"/>
    <s v="2013"/>
    <n v="30594.15"/>
    <n v="-876.5"/>
    <s v="CREDITOR"/>
    <n v="0"/>
    <n v="0"/>
    <n v="-876.5"/>
    <n v="-219.125"/>
    <n v="0"/>
  </r>
  <r>
    <n v="60764755"/>
    <s v="N"/>
    <n v="21340053"/>
    <s v="3000015002070009RC"/>
    <s v="CIVIL"/>
    <d v="2023-06-22T00:00:00"/>
    <d v="2023-07-06T19:54:22"/>
    <m/>
    <d v="2023-07-06T00:00:00"/>
    <n v="1205"/>
    <n v="18696"/>
    <s v="60764755"/>
    <s v="60764755"/>
    <m/>
    <m/>
    <m/>
    <m/>
    <m/>
    <m/>
    <s v="SOLRECOUP"/>
    <s v="SOLRECOUP"/>
    <s v="POARECOUP"/>
    <n v="21340053"/>
    <n v="-1051.8"/>
    <m/>
    <s v="Y"/>
    <n v="2"/>
    <d v="2023-07-06T19:54:23"/>
    <s v="N"/>
    <m/>
    <m/>
    <s v="Profit Cost"/>
    <m/>
    <s v="N"/>
    <n v="0"/>
    <n v="-175.3"/>
    <x v="4"/>
    <s v="VALIDATED"/>
    <n v="1"/>
    <s v="01.11.80.308.2013.0000"/>
    <n v="-175.3"/>
    <s v="11"/>
    <s v="2013"/>
    <n v="30594.15"/>
    <n v="-175.3"/>
    <s v="CREDITOR"/>
    <n v="0"/>
    <n v="0"/>
    <n v="-175.3"/>
    <n v="-43.825"/>
    <n v="0"/>
  </r>
  <r>
    <n v="54813547"/>
    <s v="N"/>
    <n v="21340037"/>
    <s v="3000013038820001RC"/>
    <s v="CIVIL"/>
    <d v="2023-06-27T00:00:00"/>
    <d v="2023-07-06T19:54:22"/>
    <m/>
    <d v="2023-07-06T00:00:00"/>
    <n v="1205"/>
    <n v="18696"/>
    <s v="54813547"/>
    <s v="54813547"/>
    <m/>
    <m/>
    <m/>
    <m/>
    <m/>
    <m/>
    <s v="SOLRECOUP"/>
    <s v="SOLRECOUP"/>
    <s v="POARECOUP"/>
    <n v="21340037"/>
    <n v="-1284.08"/>
    <m/>
    <s v="Y"/>
    <n v="1"/>
    <d v="2023-07-06T19:54:23"/>
    <s v="N"/>
    <m/>
    <m/>
    <s v="Profit Cost"/>
    <m/>
    <s v="N"/>
    <n v="-1070.07"/>
    <n v="0"/>
    <x v="4"/>
    <s v="VALIDATED"/>
    <n v="1"/>
    <s v="01.11.80.308.2013.0000"/>
    <n v="-1070.07"/>
    <s v="11"/>
    <s v="2013"/>
    <n v="30594.15"/>
    <n v="-1070.07"/>
    <s v="CREDITOR"/>
    <n v="0"/>
    <n v="0"/>
    <n v="-1070.07"/>
    <n v="-267.5175"/>
    <n v="0"/>
  </r>
  <r>
    <n v="54813547"/>
    <s v="N"/>
    <n v="21340037"/>
    <s v="3000013038820001RC"/>
    <s v="CIVIL"/>
    <d v="2023-06-27T00:00:00"/>
    <d v="2023-07-06T19:54:22"/>
    <m/>
    <d v="2023-07-06T00:00:00"/>
    <n v="1205"/>
    <n v="18696"/>
    <s v="54813547"/>
    <s v="54813547"/>
    <m/>
    <m/>
    <m/>
    <m/>
    <m/>
    <m/>
    <s v="SOLRECOUP"/>
    <s v="SOLRECOUP"/>
    <s v="POARECOUP"/>
    <n v="21340037"/>
    <n v="-1284.08"/>
    <m/>
    <s v="Y"/>
    <n v="2"/>
    <d v="2023-07-06T19:54:23"/>
    <s v="N"/>
    <m/>
    <m/>
    <s v="Profit Cost"/>
    <m/>
    <s v="N"/>
    <n v="0"/>
    <n v="-214.01"/>
    <x v="4"/>
    <s v="VALIDATED"/>
    <n v="1"/>
    <s v="01.11.80.308.2013.0000"/>
    <n v="-214.01"/>
    <s v="11"/>
    <s v="2013"/>
    <n v="30594.15"/>
    <n v="-214.01"/>
    <s v="CREDITOR"/>
    <n v="0"/>
    <n v="0"/>
    <n v="-214.01"/>
    <n v="-53.5025"/>
    <n v="0"/>
  </r>
  <r>
    <n v="54813547"/>
    <s v="N"/>
    <n v="21340038"/>
    <s v="3000013038820003RC"/>
    <s v="CIVIL"/>
    <d v="2023-06-27T00:00:00"/>
    <d v="2023-07-06T19:54:22"/>
    <m/>
    <d v="2023-07-06T00:00:00"/>
    <n v="1205"/>
    <n v="18696"/>
    <s v="54813547"/>
    <s v="54813547"/>
    <m/>
    <m/>
    <m/>
    <m/>
    <m/>
    <m/>
    <s v="SOLRECOUP"/>
    <s v="SOLRECOUP"/>
    <s v="POARECOUP"/>
    <n v="21340038"/>
    <n v="-1653.62"/>
    <m/>
    <s v="Y"/>
    <n v="1"/>
    <d v="2023-07-06T19:54:23"/>
    <s v="N"/>
    <m/>
    <m/>
    <s v="Profit Cost"/>
    <m/>
    <s v="N"/>
    <n v="-1378.02"/>
    <n v="0"/>
    <x v="4"/>
    <s v="VALIDATED"/>
    <n v="1"/>
    <s v="01.11.80.308.2013.0000"/>
    <n v="-1378.02"/>
    <s v="11"/>
    <s v="2013"/>
    <n v="30594.15"/>
    <n v="-1378.02"/>
    <s v="CREDITOR"/>
    <n v="0"/>
    <n v="0"/>
    <n v="-1378.02"/>
    <n v="-344.505"/>
    <n v="0"/>
  </r>
  <r>
    <n v="54813547"/>
    <s v="N"/>
    <n v="21340038"/>
    <s v="3000013038820003RC"/>
    <s v="CIVIL"/>
    <d v="2023-06-27T00:00:00"/>
    <d v="2023-07-06T19:54:22"/>
    <m/>
    <d v="2023-07-06T00:00:00"/>
    <n v="1205"/>
    <n v="18696"/>
    <s v="54813547"/>
    <s v="54813547"/>
    <m/>
    <m/>
    <m/>
    <m/>
    <m/>
    <m/>
    <s v="SOLRECOUP"/>
    <s v="SOLRECOUP"/>
    <s v="POARECOUP"/>
    <n v="21340038"/>
    <n v="-1653.62"/>
    <m/>
    <s v="Y"/>
    <n v="2"/>
    <d v="2023-07-06T19:54:23"/>
    <s v="N"/>
    <m/>
    <m/>
    <s v="Profit Cost"/>
    <m/>
    <s v="N"/>
    <n v="0"/>
    <n v="-275.6"/>
    <x v="4"/>
    <s v="VALIDATED"/>
    <n v="1"/>
    <s v="01.11.80.308.2013.0000"/>
    <n v="-275.6"/>
    <s v="11"/>
    <s v="2013"/>
    <n v="30594.15"/>
    <n v="-275.6"/>
    <s v="CREDITOR"/>
    <n v="0"/>
    <n v="0"/>
    <n v="-275.6"/>
    <n v="-68.90000000000001"/>
    <n v="0"/>
  </r>
  <r>
    <n v="54813547"/>
    <s v="N"/>
    <n v="21340039"/>
    <s v="3000013038820007RC"/>
    <s v="CIVIL"/>
    <d v="2023-06-27T00:00:00"/>
    <d v="2023-07-06T19:54:22"/>
    <m/>
    <d v="2023-07-06T00:00:00"/>
    <n v="1205"/>
    <n v="18696"/>
    <s v="54813547"/>
    <s v="54813547"/>
    <m/>
    <m/>
    <m/>
    <m/>
    <m/>
    <m/>
    <s v="SOLRECOUP"/>
    <s v="SOLRECOUP"/>
    <s v="POARECOUP"/>
    <n v="21340039"/>
    <n v="-3857.16"/>
    <m/>
    <s v="Y"/>
    <n v="1"/>
    <d v="2023-07-06T19:54:23"/>
    <s v="N"/>
    <m/>
    <m/>
    <s v="Profit Cost"/>
    <m/>
    <s v="N"/>
    <n v="-3214.3"/>
    <n v="0"/>
    <x v="4"/>
    <s v="VALIDATED"/>
    <n v="1"/>
    <s v="01.11.80.308.2013.0000"/>
    <n v="-3214.3"/>
    <s v="11"/>
    <s v="2013"/>
    <n v="30594.15"/>
    <n v="-3214.3"/>
    <s v="CREDITOR"/>
    <n v="0"/>
    <n v="0"/>
    <n v="-3214.3"/>
    <n v="-803.575"/>
    <n v="0"/>
  </r>
  <r>
    <n v="54813547"/>
    <s v="N"/>
    <n v="21340039"/>
    <s v="3000013038820007RC"/>
    <s v="CIVIL"/>
    <d v="2023-06-27T00:00:00"/>
    <d v="2023-07-06T19:54:22"/>
    <m/>
    <d v="2023-07-06T00:00:00"/>
    <n v="1205"/>
    <n v="18696"/>
    <s v="54813547"/>
    <s v="54813547"/>
    <m/>
    <m/>
    <m/>
    <m/>
    <m/>
    <m/>
    <s v="SOLRECOUP"/>
    <s v="SOLRECOUP"/>
    <s v="POARECOUP"/>
    <n v="21340039"/>
    <n v="-3857.16"/>
    <m/>
    <s v="Y"/>
    <n v="2"/>
    <d v="2023-07-06T19:54:23"/>
    <s v="N"/>
    <m/>
    <m/>
    <s v="Profit Cost"/>
    <m/>
    <s v="N"/>
    <n v="0"/>
    <n v="-642.86"/>
    <x v="4"/>
    <s v="VALIDATED"/>
    <n v="1"/>
    <s v="01.11.80.308.2013.0000"/>
    <n v="-642.86"/>
    <s v="11"/>
    <s v="2013"/>
    <n v="30594.15"/>
    <n v="-642.86"/>
    <s v="CREDITOR"/>
    <n v="0"/>
    <n v="0"/>
    <n v="-642.86"/>
    <n v="-160.715"/>
    <n v="0"/>
  </r>
  <r>
    <n v="54813547"/>
    <s v="N"/>
    <n v="21340040"/>
    <s v="3000013038820005RC"/>
    <s v="CIVIL"/>
    <d v="2023-06-27T00:00:00"/>
    <d v="2023-07-06T19:54:22"/>
    <m/>
    <d v="2023-07-06T00:00:00"/>
    <n v="1205"/>
    <n v="18696"/>
    <s v="54813547"/>
    <s v="54813547"/>
    <m/>
    <m/>
    <m/>
    <m/>
    <m/>
    <m/>
    <s v="SOLRECOUP"/>
    <s v="SOLRECOUP"/>
    <s v="POARECOUP"/>
    <n v="21340040"/>
    <n v="-1757.83"/>
    <m/>
    <s v="Y"/>
    <n v="1"/>
    <d v="2023-07-06T19:54:23"/>
    <s v="N"/>
    <m/>
    <m/>
    <s v="Profit Cost"/>
    <m/>
    <s v="N"/>
    <n v="-1464.86"/>
    <n v="0"/>
    <x v="4"/>
    <s v="VALIDATED"/>
    <n v="1"/>
    <s v="01.11.80.308.2013.0000"/>
    <n v="-1464.86"/>
    <s v="11"/>
    <s v="2013"/>
    <n v="30594.15"/>
    <n v="-1464.86"/>
    <s v="CREDITOR"/>
    <n v="0"/>
    <n v="0"/>
    <n v="-1464.86"/>
    <n v="-366.215"/>
    <n v="0"/>
  </r>
  <r>
    <n v="54813547"/>
    <s v="N"/>
    <n v="21340040"/>
    <s v="3000013038820005RC"/>
    <s v="CIVIL"/>
    <d v="2023-06-27T00:00:00"/>
    <d v="2023-07-06T19:54:22"/>
    <m/>
    <d v="2023-07-06T00:00:00"/>
    <n v="1205"/>
    <n v="18696"/>
    <s v="54813547"/>
    <s v="54813547"/>
    <m/>
    <m/>
    <m/>
    <m/>
    <m/>
    <m/>
    <s v="SOLRECOUP"/>
    <s v="SOLRECOUP"/>
    <s v="POARECOUP"/>
    <n v="21340040"/>
    <n v="-1757.83"/>
    <m/>
    <s v="Y"/>
    <n v="2"/>
    <d v="2023-07-06T19:54:23"/>
    <s v="N"/>
    <m/>
    <m/>
    <s v="Profit Cost"/>
    <m/>
    <s v="N"/>
    <n v="0"/>
    <n v="-292.97"/>
    <x v="4"/>
    <s v="VALIDATED"/>
    <n v="1"/>
    <s v="01.11.80.308.2013.0000"/>
    <n v="-292.97"/>
    <s v="11"/>
    <s v="2013"/>
    <n v="30594.15"/>
    <n v="-292.97"/>
    <s v="CREDITOR"/>
    <n v="0"/>
    <n v="0"/>
    <n v="-292.97"/>
    <n v="-73.24250000000001"/>
    <n v="0"/>
  </r>
  <r>
    <n v="54813547"/>
    <s v="N"/>
    <n v="21340041"/>
    <s v="3000013038820002RC"/>
    <s v="CIVIL"/>
    <d v="2023-06-27T00:00:00"/>
    <d v="2023-07-06T19:54:22"/>
    <m/>
    <d v="2023-07-06T00:00:00"/>
    <n v="1205"/>
    <n v="18696"/>
    <s v="54813547"/>
    <s v="54813547"/>
    <m/>
    <m/>
    <m/>
    <m/>
    <m/>
    <m/>
    <s v="SOLRECOUP"/>
    <s v="SOLRECOUP"/>
    <s v="POARECOUP"/>
    <n v="21340041"/>
    <n v="-738.66"/>
    <m/>
    <s v="Y"/>
    <n v="1"/>
    <d v="2023-07-06T19:54:23"/>
    <s v="N"/>
    <m/>
    <m/>
    <s v="Profit Cost"/>
    <m/>
    <s v="N"/>
    <n v="-615.55"/>
    <n v="0"/>
    <x v="4"/>
    <s v="VALIDATED"/>
    <n v="1"/>
    <s v="01.11.80.308.2013.0000"/>
    <n v="-615.55"/>
    <s v="11"/>
    <s v="2013"/>
    <n v="30594.15"/>
    <n v="-615.55"/>
    <s v="CREDITOR"/>
    <n v="0"/>
    <n v="0"/>
    <n v="-615.55"/>
    <n v="-153.8875"/>
    <n v="0"/>
  </r>
  <r>
    <n v="54813547"/>
    <s v="N"/>
    <n v="21340041"/>
    <s v="3000013038820002RC"/>
    <s v="CIVIL"/>
    <d v="2023-06-27T00:00:00"/>
    <d v="2023-07-06T19:54:22"/>
    <m/>
    <d v="2023-07-06T00:00:00"/>
    <n v="1205"/>
    <n v="18696"/>
    <s v="54813547"/>
    <s v="54813547"/>
    <m/>
    <m/>
    <m/>
    <m/>
    <m/>
    <m/>
    <s v="SOLRECOUP"/>
    <s v="SOLRECOUP"/>
    <s v="POARECOUP"/>
    <n v="21340041"/>
    <n v="-738.66"/>
    <m/>
    <s v="Y"/>
    <n v="2"/>
    <d v="2023-07-06T19:54:23"/>
    <s v="N"/>
    <m/>
    <m/>
    <s v="Profit Cost"/>
    <m/>
    <s v="N"/>
    <n v="0"/>
    <n v="-123.11"/>
    <x v="4"/>
    <s v="VALIDATED"/>
    <n v="1"/>
    <s v="01.11.80.308.2013.0000"/>
    <n v="-123.11"/>
    <s v="11"/>
    <s v="2013"/>
    <n v="30594.15"/>
    <n v="-123.11"/>
    <s v="CREDITOR"/>
    <n v="0"/>
    <n v="0"/>
    <n v="-123.11"/>
    <n v="-30.7775"/>
    <n v="0"/>
  </r>
  <r>
    <n v="54813547"/>
    <s v="N"/>
    <n v="21340042"/>
    <s v="3000013038820004RC"/>
    <s v="CIVIL"/>
    <d v="2023-06-27T00:00:00"/>
    <d v="2023-07-06T19:54:22"/>
    <m/>
    <d v="2023-07-06T00:00:00"/>
    <n v="1205"/>
    <n v="18696"/>
    <s v="54813547"/>
    <s v="54813547"/>
    <m/>
    <m/>
    <m/>
    <m/>
    <m/>
    <m/>
    <s v="SOLRECOUP"/>
    <s v="SOLRECOUP"/>
    <s v="POARECOUP"/>
    <n v="21340042"/>
    <n v="-155.6"/>
    <m/>
    <s v="Y"/>
    <n v="1"/>
    <d v="2023-07-06T19:54:23"/>
    <s v="N"/>
    <m/>
    <m/>
    <s v="Expert Disbursement"/>
    <m/>
    <s v="N"/>
    <n v="-129.67"/>
    <n v="0"/>
    <x v="4"/>
    <s v="VALIDATED"/>
    <n v="1"/>
    <s v="01.11.80.308.2013.0000"/>
    <n v="-129.67"/>
    <s v="11"/>
    <s v="2013"/>
    <n v="30594.15"/>
    <n v="-129.67"/>
    <s v="CREDITOR"/>
    <n v="0"/>
    <n v="0"/>
    <n v="-129.67"/>
    <n v="0"/>
    <n v="0"/>
  </r>
  <r>
    <n v="54813547"/>
    <s v="N"/>
    <n v="21340042"/>
    <s v="3000013038820004RC"/>
    <s v="CIVIL"/>
    <d v="2023-06-27T00:00:00"/>
    <d v="2023-07-06T19:54:22"/>
    <m/>
    <d v="2023-07-06T00:00:00"/>
    <n v="1205"/>
    <n v="18696"/>
    <s v="54813547"/>
    <s v="54813547"/>
    <m/>
    <m/>
    <m/>
    <m/>
    <m/>
    <m/>
    <s v="SOLRECOUP"/>
    <s v="SOLRECOUP"/>
    <s v="POARECOUP"/>
    <n v="21340042"/>
    <n v="-155.6"/>
    <m/>
    <s v="Y"/>
    <n v="2"/>
    <d v="2023-07-06T19:54:23"/>
    <s v="N"/>
    <m/>
    <m/>
    <s v="Expert Disbursement"/>
    <m/>
    <s v="N"/>
    <n v="0"/>
    <n v="-25.93"/>
    <x v="4"/>
    <s v="VALIDATED"/>
    <n v="1"/>
    <s v="01.11.80.308.2013.0000"/>
    <n v="-25.93"/>
    <s v="11"/>
    <s v="2013"/>
    <n v="30594.15"/>
    <n v="-25.93"/>
    <s v="CREDITOR"/>
    <n v="0"/>
    <n v="0"/>
    <n v="-25.93"/>
    <n v="0"/>
    <n v="0"/>
  </r>
  <r>
    <n v="60764755"/>
    <s v="N"/>
    <n v="21340043"/>
    <s v="3000015002070001RC"/>
    <s v="CIVIL"/>
    <d v="2023-06-22T00:00:00"/>
    <d v="2023-07-06T19:54:22"/>
    <m/>
    <d v="2023-07-06T00:00:00"/>
    <n v="1205"/>
    <n v="18696"/>
    <s v="60764755"/>
    <s v="60764755"/>
    <m/>
    <m/>
    <m/>
    <m/>
    <m/>
    <m/>
    <s v="SOLRECOUP"/>
    <s v="SOLRECOUP"/>
    <s v="POARECOUP"/>
    <n v="21340043"/>
    <n v="-1170"/>
    <m/>
    <s v="Y"/>
    <n v="1"/>
    <d v="2023-07-06T19:54:23"/>
    <s v="N"/>
    <m/>
    <m/>
    <s v="Expert Disbursement"/>
    <m/>
    <s v="N"/>
    <n v="-975"/>
    <n v="0"/>
    <x v="4"/>
    <s v="VALIDATED"/>
    <n v="1"/>
    <s v="01.11.80.308.2013.0000"/>
    <n v="-975"/>
    <s v="11"/>
    <s v="2013"/>
    <n v="30594.15"/>
    <n v="-975"/>
    <s v="CREDITOR"/>
    <n v="0"/>
    <n v="0"/>
    <n v="-975"/>
    <n v="0"/>
    <n v="0"/>
  </r>
  <r>
    <n v="60764755"/>
    <s v="N"/>
    <n v="21340043"/>
    <s v="3000015002070001RC"/>
    <s v="CIVIL"/>
    <d v="2023-06-22T00:00:00"/>
    <d v="2023-07-06T19:54:22"/>
    <m/>
    <d v="2023-07-06T00:00:00"/>
    <n v="1205"/>
    <n v="18696"/>
    <s v="60764755"/>
    <s v="60764755"/>
    <m/>
    <m/>
    <m/>
    <m/>
    <m/>
    <m/>
    <s v="SOLRECOUP"/>
    <s v="SOLRECOUP"/>
    <s v="POARECOUP"/>
    <n v="21340043"/>
    <n v="-1170"/>
    <m/>
    <s v="Y"/>
    <n v="2"/>
    <d v="2023-07-06T19:54:23"/>
    <s v="N"/>
    <m/>
    <m/>
    <s v="Expert Disbursement"/>
    <m/>
    <s v="N"/>
    <n v="0"/>
    <n v="-195"/>
    <x v="4"/>
    <s v="VALIDATED"/>
    <n v="1"/>
    <s v="01.11.80.308.2013.0000"/>
    <n v="-195"/>
    <s v="11"/>
    <s v="2013"/>
    <n v="30594.15"/>
    <n v="-195"/>
    <s v="CREDITOR"/>
    <n v="0"/>
    <n v="0"/>
    <n v="-195"/>
    <n v="0"/>
    <n v="0"/>
  </r>
  <r>
    <n v="60764755"/>
    <s v="N"/>
    <n v="21340044"/>
    <s v="3000015002070007RC"/>
    <s v="CIVIL"/>
    <d v="2023-06-22T00:00:00"/>
    <d v="2023-07-06T19:54:22"/>
    <m/>
    <d v="2023-07-06T00:00:00"/>
    <n v="1205"/>
    <n v="18696"/>
    <s v="60764755"/>
    <s v="60764755"/>
    <m/>
    <m/>
    <m/>
    <m/>
    <m/>
    <m/>
    <s v="SOLRECOUP"/>
    <s v="SOLRECOUP"/>
    <s v="POARECOUP"/>
    <n v="21340044"/>
    <n v="-254.7"/>
    <m/>
    <s v="Y"/>
    <n v="1"/>
    <d v="2023-07-06T19:54:23"/>
    <s v="N"/>
    <m/>
    <m/>
    <s v="Expert Disbursement"/>
    <m/>
    <s v="N"/>
    <n v="-212.25"/>
    <n v="0"/>
    <x v="4"/>
    <s v="VALIDATED"/>
    <n v="1"/>
    <s v="01.11.80.308.2013.0000"/>
    <n v="-212.25"/>
    <s v="11"/>
    <s v="2013"/>
    <n v="30594.15"/>
    <n v="-212.25"/>
    <s v="CREDITOR"/>
    <n v="0"/>
    <n v="0"/>
    <n v="-212.25"/>
    <n v="0"/>
    <n v="0"/>
  </r>
  <r>
    <n v="60764755"/>
    <s v="N"/>
    <n v="21340044"/>
    <s v="3000015002070007RC"/>
    <s v="CIVIL"/>
    <d v="2023-06-22T00:00:00"/>
    <d v="2023-07-06T19:54:22"/>
    <m/>
    <d v="2023-07-06T00:00:00"/>
    <n v="1205"/>
    <n v="18696"/>
    <s v="60764755"/>
    <s v="60764755"/>
    <m/>
    <m/>
    <m/>
    <m/>
    <m/>
    <m/>
    <s v="SOLRECOUP"/>
    <s v="SOLRECOUP"/>
    <s v="POARECOUP"/>
    <n v="21340044"/>
    <n v="-254.7"/>
    <m/>
    <s v="Y"/>
    <n v="2"/>
    <d v="2023-07-06T19:54:23"/>
    <s v="N"/>
    <m/>
    <m/>
    <s v="Expert Disbursement"/>
    <m/>
    <s v="N"/>
    <n v="0"/>
    <n v="-42.45"/>
    <x v="4"/>
    <s v="VALIDATED"/>
    <n v="1"/>
    <s v="01.11.80.308.2013.0000"/>
    <n v="-42.45"/>
    <s v="11"/>
    <s v="2013"/>
    <n v="30594.15"/>
    <n v="-42.45"/>
    <s v="CREDITOR"/>
    <n v="0"/>
    <n v="0"/>
    <n v="-42.45"/>
    <n v="0"/>
    <n v="0"/>
  </r>
  <r>
    <n v="60764755"/>
    <s v="N"/>
    <n v="21340045"/>
    <s v="3000015002070008RC"/>
    <s v="CIVIL"/>
    <d v="2023-06-22T00:00:00"/>
    <d v="2023-07-06T19:54:22"/>
    <m/>
    <d v="2023-07-06T00:00:00"/>
    <n v="1205"/>
    <n v="18696"/>
    <s v="60764755"/>
    <s v="60764755"/>
    <m/>
    <m/>
    <m/>
    <m/>
    <m/>
    <m/>
    <s v="SOLRECOUP"/>
    <s v="SOLRECOUP"/>
    <s v="POARECOUP"/>
    <n v="21340045"/>
    <n v="-439.5"/>
    <m/>
    <s v="Y"/>
    <n v="1"/>
    <d v="2023-07-06T19:54:23"/>
    <s v="N"/>
    <m/>
    <m/>
    <s v="Expert Disbursement"/>
    <m/>
    <s v="N"/>
    <n v="-366.25"/>
    <n v="0"/>
    <x v="4"/>
    <s v="VALIDATED"/>
    <n v="1"/>
    <s v="01.11.80.308.2013.0000"/>
    <n v="-366.25"/>
    <s v="11"/>
    <s v="2013"/>
    <n v="30594.15"/>
    <n v="-366.25"/>
    <s v="CREDITOR"/>
    <n v="0"/>
    <n v="0"/>
    <n v="-366.25"/>
    <n v="0"/>
    <n v="0"/>
  </r>
  <r>
    <n v="60764755"/>
    <s v="N"/>
    <n v="21340045"/>
    <s v="3000015002070008RC"/>
    <s v="CIVIL"/>
    <d v="2023-06-22T00:00:00"/>
    <d v="2023-07-06T19:54:22"/>
    <m/>
    <d v="2023-07-06T00:00:00"/>
    <n v="1205"/>
    <n v="18696"/>
    <s v="60764755"/>
    <s v="60764755"/>
    <m/>
    <m/>
    <m/>
    <m/>
    <m/>
    <m/>
    <s v="SOLRECOUP"/>
    <s v="SOLRECOUP"/>
    <s v="POARECOUP"/>
    <n v="21340045"/>
    <n v="-439.5"/>
    <m/>
    <s v="Y"/>
    <n v="2"/>
    <d v="2023-07-06T19:54:23"/>
    <s v="N"/>
    <m/>
    <m/>
    <s v="Expert Disbursement"/>
    <m/>
    <s v="N"/>
    <n v="0"/>
    <n v="-73.25"/>
    <x v="4"/>
    <s v="VALIDATED"/>
    <n v="1"/>
    <s v="01.11.80.308.2013.0000"/>
    <n v="-73.25"/>
    <s v="11"/>
    <s v="2013"/>
    <n v="30594.15"/>
    <n v="-73.25"/>
    <s v="CREDITOR"/>
    <n v="0"/>
    <n v="0"/>
    <n v="-73.25"/>
    <n v="0"/>
    <n v="0"/>
  </r>
  <r>
    <n v="60764755"/>
    <s v="N"/>
    <n v="21340046"/>
    <s v="3000015002070004RC"/>
    <s v="CIVIL"/>
    <d v="2023-06-22T00:00:00"/>
    <d v="2023-07-06T19:54:22"/>
    <m/>
    <d v="2023-07-06T00:00:00"/>
    <n v="1205"/>
    <n v="18696"/>
    <s v="60764755"/>
    <s v="60764755"/>
    <m/>
    <m/>
    <m/>
    <m/>
    <m/>
    <m/>
    <s v="SOLRECOUP"/>
    <s v="SOLRECOUP"/>
    <s v="POARECOUP"/>
    <n v="21340046"/>
    <n v="-824.95"/>
    <m/>
    <s v="Y"/>
    <n v="1"/>
    <d v="2023-07-06T19:54:23"/>
    <s v="N"/>
    <m/>
    <m/>
    <s v="Profit Cost"/>
    <m/>
    <s v="N"/>
    <n v="-687.46"/>
    <n v="0"/>
    <x v="4"/>
    <s v="VALIDATED"/>
    <n v="1"/>
    <s v="01.11.80.308.2013.0000"/>
    <n v="-687.46"/>
    <s v="11"/>
    <s v="2013"/>
    <n v="30594.15"/>
    <n v="-687.46"/>
    <s v="CREDITOR"/>
    <n v="0"/>
    <n v="0"/>
    <n v="-687.46"/>
    <n v="-171.865"/>
    <n v="0"/>
  </r>
  <r>
    <n v="60631907"/>
    <s v="N"/>
    <n v="21333946"/>
    <s v="3000014878960001RC"/>
    <s v="CIVIL"/>
    <d v="2023-06-28T00:00:00"/>
    <d v="2023-07-05T19:42:28"/>
    <m/>
    <d v="2023-07-05T00:00:00"/>
    <n v="1205"/>
    <n v="18696"/>
    <s v="60631907"/>
    <s v="60631907"/>
    <m/>
    <m/>
    <m/>
    <m/>
    <m/>
    <m/>
    <s v="SOLRECOUP"/>
    <s v="SOLRECOUP"/>
    <s v="POARECOUP"/>
    <n v="21333946"/>
    <n v="-27"/>
    <m/>
    <s v="Y"/>
    <n v="1"/>
    <d v="2023-07-05T19:42:29"/>
    <s v="N"/>
    <m/>
    <m/>
    <s v="Non Expert Disbursement"/>
    <m/>
    <s v="N"/>
    <n v="-22.5"/>
    <n v="0"/>
    <x v="6"/>
    <s v="VALIDATED"/>
    <n v="1"/>
    <s v="01.11.80.307.2013.0000"/>
    <n v="-22.5"/>
    <s v="11"/>
    <s v="2013"/>
    <n v="30594.15"/>
    <n v="-22.5"/>
    <s v="CREDITOR"/>
    <n v="0"/>
    <n v="0"/>
    <n v="-22.5"/>
    <n v="0"/>
    <n v="0"/>
  </r>
  <r>
    <n v="60631907"/>
    <s v="N"/>
    <n v="21333946"/>
    <s v="3000014878960001RC"/>
    <s v="CIVIL"/>
    <d v="2023-06-28T00:00:00"/>
    <d v="2023-07-05T19:42:28"/>
    <m/>
    <d v="2023-07-05T00:00:00"/>
    <n v="1205"/>
    <n v="18696"/>
    <s v="60631907"/>
    <s v="60631907"/>
    <m/>
    <m/>
    <m/>
    <m/>
    <m/>
    <m/>
    <s v="SOLRECOUP"/>
    <s v="SOLRECOUP"/>
    <s v="POARECOUP"/>
    <n v="21333946"/>
    <n v="-27"/>
    <m/>
    <s v="Y"/>
    <n v="2"/>
    <d v="2023-07-05T19:42:29"/>
    <s v="N"/>
    <m/>
    <m/>
    <s v="Non Expert Disbursement"/>
    <m/>
    <s v="N"/>
    <n v="0"/>
    <n v="-4.5"/>
    <x v="6"/>
    <s v="VALIDATED"/>
    <n v="1"/>
    <s v="01.11.80.307.2013.0000"/>
    <n v="-4.5"/>
    <s v="11"/>
    <s v="2013"/>
    <n v="30594.15"/>
    <n v="-4.5"/>
    <s v="CREDITOR"/>
    <n v="0"/>
    <n v="0"/>
    <n v="-4.5"/>
    <n v="0"/>
    <n v="0"/>
  </r>
  <r>
    <n v="60631907"/>
    <s v="N"/>
    <n v="21333947"/>
    <s v="3000014878960002RC"/>
    <s v="CIVIL"/>
    <d v="2023-06-28T00:00:00"/>
    <d v="2023-07-05T19:42:28"/>
    <m/>
    <d v="2023-07-05T00:00:00"/>
    <n v="1205"/>
    <n v="18696"/>
    <s v="60631907"/>
    <s v="60631907"/>
    <m/>
    <m/>
    <m/>
    <m/>
    <m/>
    <m/>
    <s v="SOLRECOUP"/>
    <s v="SOLRECOUP"/>
    <s v="POARECOUP"/>
    <n v="21333947"/>
    <n v="-2705.69"/>
    <m/>
    <s v="Y"/>
    <n v="1"/>
    <d v="2023-07-05T19:42:29"/>
    <s v="N"/>
    <m/>
    <m/>
    <s v="Profit Cost"/>
    <m/>
    <s v="N"/>
    <n v="-2254.74"/>
    <n v="0"/>
    <x v="6"/>
    <s v="VALIDATED"/>
    <n v="1"/>
    <s v="01.11.80.307.2013.0000"/>
    <n v="-2254.74"/>
    <s v="11"/>
    <s v="2013"/>
    <n v="30594.15"/>
    <n v="-2254.74"/>
    <s v="CREDITOR"/>
    <n v="0"/>
    <n v="0"/>
    <n v="-2254.74"/>
    <n v="-563.6849999999999"/>
    <n v="0"/>
  </r>
  <r>
    <n v="60631907"/>
    <s v="N"/>
    <n v="21333947"/>
    <s v="3000014878960002RC"/>
    <s v="CIVIL"/>
    <d v="2023-06-28T00:00:00"/>
    <d v="2023-07-05T19:42:28"/>
    <m/>
    <d v="2023-07-05T00:00:00"/>
    <n v="1205"/>
    <n v="18696"/>
    <s v="60631907"/>
    <s v="60631907"/>
    <m/>
    <m/>
    <m/>
    <m/>
    <m/>
    <m/>
    <s v="SOLRECOUP"/>
    <s v="SOLRECOUP"/>
    <s v="POARECOUP"/>
    <n v="21333947"/>
    <n v="-2705.69"/>
    <m/>
    <s v="Y"/>
    <n v="2"/>
    <d v="2023-07-05T19:42:29"/>
    <s v="N"/>
    <m/>
    <m/>
    <s v="Profit Cost"/>
    <m/>
    <s v="N"/>
    <n v="0"/>
    <n v="-450.95"/>
    <x v="6"/>
    <s v="VALIDATED"/>
    <n v="1"/>
    <s v="01.11.80.307.2013.0000"/>
    <n v="-450.95"/>
    <s v="11"/>
    <s v="2013"/>
    <n v="30594.15"/>
    <n v="-450.95"/>
    <s v="CREDITOR"/>
    <n v="0"/>
    <n v="0"/>
    <n v="-450.95"/>
    <n v="-112.7375"/>
    <n v="0"/>
  </r>
  <r>
    <n v="60744883"/>
    <s v="N"/>
    <n v="21333948"/>
    <s v="3000014987240004RC"/>
    <s v="CIVIL"/>
    <d v="2023-06-22T00:00:00"/>
    <d v="2023-07-05T19:42:28"/>
    <m/>
    <d v="2023-07-05T00:00:00"/>
    <n v="1205"/>
    <n v="18696"/>
    <s v="60744883"/>
    <s v="60744883"/>
    <m/>
    <m/>
    <m/>
    <m/>
    <m/>
    <m/>
    <s v="SOLRECOUP"/>
    <s v="SOLRECOUP"/>
    <s v="POARECOUP"/>
    <n v="21333948"/>
    <n v="-4484.52"/>
    <m/>
    <s v="Y"/>
    <n v="1"/>
    <d v="2023-07-05T19:42:29"/>
    <s v="N"/>
    <m/>
    <m/>
    <s v="Profit Cost"/>
    <m/>
    <s v="N"/>
    <n v="-3737.1"/>
    <n v="0"/>
    <x v="6"/>
    <s v="VALIDATED"/>
    <n v="1"/>
    <s v="01.11.80.308.2013.0000"/>
    <n v="-3737.1"/>
    <s v="11"/>
    <s v="2013"/>
    <n v="30594.15"/>
    <n v="-3737.1"/>
    <s v="CREDITOR"/>
    <n v="0"/>
    <n v="0"/>
    <n v="-3737.1"/>
    <n v="-934.275"/>
    <n v="0"/>
  </r>
  <r>
    <n v="60744883"/>
    <s v="N"/>
    <n v="21333948"/>
    <s v="3000014987240004RC"/>
    <s v="CIVIL"/>
    <d v="2023-06-22T00:00:00"/>
    <d v="2023-07-05T19:42:28"/>
    <m/>
    <d v="2023-07-05T00:00:00"/>
    <n v="1205"/>
    <n v="18696"/>
    <s v="60744883"/>
    <s v="60744883"/>
    <m/>
    <m/>
    <m/>
    <m/>
    <m/>
    <m/>
    <s v="SOLRECOUP"/>
    <s v="SOLRECOUP"/>
    <s v="POARECOUP"/>
    <n v="21333948"/>
    <n v="-4484.52"/>
    <m/>
    <s v="Y"/>
    <n v="2"/>
    <d v="2023-07-05T19:42:29"/>
    <s v="N"/>
    <m/>
    <m/>
    <s v="Profit Cost"/>
    <m/>
    <s v="N"/>
    <n v="0"/>
    <n v="-747.42"/>
    <x v="6"/>
    <s v="VALIDATED"/>
    <n v="1"/>
    <s v="01.11.80.308.2013.0000"/>
    <n v="-747.42"/>
    <s v="11"/>
    <s v="2013"/>
    <n v="30594.15"/>
    <n v="-747.42"/>
    <s v="CREDITOR"/>
    <n v="0"/>
    <n v="0"/>
    <n v="-747.42"/>
    <n v="-186.855"/>
    <n v="0"/>
  </r>
  <r>
    <n v="61817409"/>
    <s v="N"/>
    <n v="21333949"/>
    <s v="3000015888300001RC"/>
    <s v="CIVIL"/>
    <d v="2023-06-27T00:00:00"/>
    <d v="2023-07-05T19:42:28"/>
    <m/>
    <d v="2023-07-05T00:00:00"/>
    <n v="1205"/>
    <n v="18696"/>
    <s v="61817409"/>
    <s v="61817409"/>
    <m/>
    <m/>
    <m/>
    <m/>
    <m/>
    <m/>
    <s v="SOLRECOUP"/>
    <s v="SOLRECOUP"/>
    <s v="POARECOUP"/>
    <n v="21333949"/>
    <n v="-1915.43"/>
    <m/>
    <s v="Y"/>
    <n v="1"/>
    <d v="2023-07-05T19:42:29"/>
    <s v="N"/>
    <m/>
    <m/>
    <s v="Profit Cost"/>
    <m/>
    <s v="N"/>
    <n v="-1596.19"/>
    <n v="0"/>
    <x v="6"/>
    <s v="VALIDATED"/>
    <n v="1"/>
    <s v="01.11.80.308.2013.0000"/>
    <n v="-1596.19"/>
    <s v="11"/>
    <s v="2013"/>
    <n v="30594.15"/>
    <n v="-1596.19"/>
    <s v="CREDITOR"/>
    <n v="0"/>
    <n v="0"/>
    <n v="-1596.19"/>
    <n v="-399.0475"/>
    <n v="0"/>
  </r>
  <r>
    <n v="61817409"/>
    <s v="N"/>
    <n v="21333949"/>
    <s v="3000015888300001RC"/>
    <s v="CIVIL"/>
    <d v="2023-06-27T00:00:00"/>
    <d v="2023-07-05T19:42:28"/>
    <m/>
    <d v="2023-07-05T00:00:00"/>
    <n v="1205"/>
    <n v="18696"/>
    <s v="61817409"/>
    <s v="61817409"/>
    <m/>
    <m/>
    <m/>
    <m/>
    <m/>
    <m/>
    <s v="SOLRECOUP"/>
    <s v="SOLRECOUP"/>
    <s v="POARECOUP"/>
    <n v="21333949"/>
    <n v="-1915.43"/>
    <m/>
    <s v="Y"/>
    <n v="2"/>
    <d v="2023-07-05T19:42:29"/>
    <s v="N"/>
    <m/>
    <m/>
    <s v="Profit Cost"/>
    <m/>
    <s v="N"/>
    <n v="0"/>
    <n v="-319.24"/>
    <x v="6"/>
    <s v="VALIDATED"/>
    <n v="1"/>
    <s v="01.11.80.308.2013.0000"/>
    <n v="-319.24"/>
    <s v="11"/>
    <s v="2013"/>
    <n v="30594.15"/>
    <n v="-319.24"/>
    <s v="CREDITOR"/>
    <n v="0"/>
    <n v="0"/>
    <n v="-319.24"/>
    <n v="-79.81"/>
    <n v="0"/>
  </r>
  <r>
    <n v="60631907"/>
    <s v="N"/>
    <n v="21333950"/>
    <s v="3000014878960004RC"/>
    <s v="CIVIL"/>
    <d v="2023-06-28T00:00:00"/>
    <d v="2023-07-05T19:42:28"/>
    <m/>
    <d v="2023-07-05T00:00:00"/>
    <n v="1205"/>
    <n v="18696"/>
    <s v="60631907"/>
    <s v="60631907"/>
    <m/>
    <m/>
    <m/>
    <m/>
    <m/>
    <m/>
    <s v="SOLRECOUP"/>
    <s v="SOLRECOUP"/>
    <s v="POARECOUP"/>
    <n v="21333950"/>
    <n v="-605.66"/>
    <m/>
    <s v="Y"/>
    <n v="1"/>
    <d v="2023-07-05T19:42:29"/>
    <s v="N"/>
    <m/>
    <m/>
    <s v="Profit Cost"/>
    <m/>
    <s v="N"/>
    <n v="-504.72"/>
    <n v="0"/>
    <x v="6"/>
    <s v="VALIDATED"/>
    <n v="1"/>
    <s v="01.11.80.307.2013.0000"/>
    <n v="-504.72"/>
    <s v="11"/>
    <s v="2013"/>
    <n v="30594.15"/>
    <n v="-504.72"/>
    <s v="CREDITOR"/>
    <n v="0"/>
    <n v="0"/>
    <n v="-504.72"/>
    <n v="-126.18"/>
    <n v="0"/>
  </r>
  <r>
    <n v="60631907"/>
    <s v="N"/>
    <n v="21333950"/>
    <s v="3000014878960004RC"/>
    <s v="CIVIL"/>
    <d v="2023-06-28T00:00:00"/>
    <d v="2023-07-05T19:42:28"/>
    <m/>
    <d v="2023-07-05T00:00:00"/>
    <n v="1205"/>
    <n v="18696"/>
    <s v="60631907"/>
    <s v="60631907"/>
    <m/>
    <m/>
    <m/>
    <m/>
    <m/>
    <m/>
    <s v="SOLRECOUP"/>
    <s v="SOLRECOUP"/>
    <s v="POARECOUP"/>
    <n v="21333950"/>
    <n v="-605.66"/>
    <m/>
    <s v="Y"/>
    <n v="2"/>
    <d v="2023-07-05T19:42:29"/>
    <s v="N"/>
    <m/>
    <m/>
    <s v="Profit Cost"/>
    <m/>
    <s v="N"/>
    <n v="0"/>
    <n v="-100.94"/>
    <x v="6"/>
    <s v="VALIDATED"/>
    <n v="1"/>
    <s v="01.11.80.307.2013.0000"/>
    <n v="-100.94"/>
    <s v="11"/>
    <s v="2013"/>
    <n v="30594.15"/>
    <n v="-100.94"/>
    <s v="CREDITOR"/>
    <n v="0"/>
    <n v="0"/>
    <n v="-100.94"/>
    <n v="-25.235"/>
    <n v="0"/>
  </r>
  <r>
    <n v="60744883"/>
    <s v="N"/>
    <n v="21333951"/>
    <s v="3000014987240003RC"/>
    <s v="CIVIL"/>
    <d v="2023-06-22T00:00:00"/>
    <d v="2023-07-05T19:42:28"/>
    <m/>
    <d v="2023-07-05T00:00:00"/>
    <n v="1205"/>
    <n v="18696"/>
    <s v="60744883"/>
    <s v="60744883"/>
    <m/>
    <m/>
    <m/>
    <m/>
    <m/>
    <m/>
    <s v="SOLRECOUP"/>
    <s v="SOLRECOUP"/>
    <s v="POARECOUP"/>
    <n v="21333951"/>
    <n v="-142.2"/>
    <m/>
    <s v="Y"/>
    <n v="1"/>
    <d v="2023-07-05T19:42:29"/>
    <s v="N"/>
    <m/>
    <m/>
    <s v="Expert Disbursement"/>
    <m/>
    <s v="N"/>
    <n v="-118.5"/>
    <n v="0"/>
    <x v="6"/>
    <s v="VALIDATED"/>
    <n v="1"/>
    <s v="01.11.80.308.2013.0000"/>
    <n v="-118.5"/>
    <s v="11"/>
    <s v="2013"/>
    <n v="30594.15"/>
    <n v="-118.5"/>
    <s v="CREDITOR"/>
    <n v="0"/>
    <n v="0"/>
    <n v="-118.5"/>
    <n v="0"/>
    <n v="0"/>
  </r>
  <r>
    <n v="60744883"/>
    <s v="N"/>
    <n v="21333951"/>
    <s v="3000014987240003RC"/>
    <s v="CIVIL"/>
    <d v="2023-06-22T00:00:00"/>
    <d v="2023-07-05T19:42:28"/>
    <m/>
    <d v="2023-07-05T00:00:00"/>
    <n v="1205"/>
    <n v="18696"/>
    <s v="60744883"/>
    <s v="60744883"/>
    <m/>
    <m/>
    <m/>
    <m/>
    <m/>
    <m/>
    <s v="SOLRECOUP"/>
    <s v="SOLRECOUP"/>
    <s v="POARECOUP"/>
    <n v="21333951"/>
    <n v="-142.2"/>
    <m/>
    <s v="Y"/>
    <n v="2"/>
    <d v="2023-07-05T19:42:29"/>
    <s v="N"/>
    <m/>
    <m/>
    <s v="Expert Disbursement"/>
    <m/>
    <s v="N"/>
    <n v="0"/>
    <n v="-23.7"/>
    <x v="6"/>
    <s v="VALIDATED"/>
    <n v="1"/>
    <s v="01.11.80.308.2013.0000"/>
    <n v="-23.7"/>
    <s v="11"/>
    <s v="2013"/>
    <n v="30594.15"/>
    <n v="-23.7"/>
    <s v="CREDITOR"/>
    <n v="0"/>
    <n v="0"/>
    <n v="-23.7"/>
    <n v="0"/>
    <n v="0"/>
  </r>
  <r>
    <n v="60631907"/>
    <s v="N"/>
    <n v="21333952"/>
    <s v="3000014878960003RC"/>
    <s v="CIVIL"/>
    <d v="2023-06-28T00:00:00"/>
    <d v="2023-07-05T19:42:28"/>
    <m/>
    <d v="2023-07-05T00:00:00"/>
    <n v="1205"/>
    <n v="18696"/>
    <s v="60631907"/>
    <s v="60631907"/>
    <m/>
    <m/>
    <m/>
    <m/>
    <m/>
    <m/>
    <s v="SOLRECOUP"/>
    <s v="SOLRECOUP"/>
    <s v="POARECOUP"/>
    <n v="21333952"/>
    <n v="-269.21"/>
    <m/>
    <s v="Y"/>
    <n v="1"/>
    <d v="2023-07-05T19:42:29"/>
    <s v="N"/>
    <m/>
    <m/>
    <s v="Expert Disbursement"/>
    <m/>
    <s v="N"/>
    <n v="-224.34"/>
    <n v="0"/>
    <x v="6"/>
    <s v="VALIDATED"/>
    <n v="1"/>
    <s v="01.11.80.307.2013.0000"/>
    <n v="-224.34"/>
    <s v="11"/>
    <s v="2013"/>
    <n v="30594.15"/>
    <n v="-224.34"/>
    <s v="CREDITOR"/>
    <n v="0"/>
    <n v="0"/>
    <n v="-224.34"/>
    <n v="0"/>
    <n v="0"/>
  </r>
  <r>
    <n v="60631907"/>
    <s v="N"/>
    <n v="21333952"/>
    <s v="3000014878960003RC"/>
    <s v="CIVIL"/>
    <d v="2023-06-28T00:00:00"/>
    <d v="2023-07-05T19:42:28"/>
    <m/>
    <d v="2023-07-05T00:00:00"/>
    <n v="1205"/>
    <n v="18696"/>
    <s v="60631907"/>
    <s v="60631907"/>
    <m/>
    <m/>
    <m/>
    <m/>
    <m/>
    <m/>
    <s v="SOLRECOUP"/>
    <s v="SOLRECOUP"/>
    <s v="POARECOUP"/>
    <n v="21333952"/>
    <n v="-269.21"/>
    <m/>
    <s v="Y"/>
    <n v="2"/>
    <d v="2023-07-05T19:42:29"/>
    <s v="N"/>
    <m/>
    <m/>
    <s v="Expert Disbursement"/>
    <m/>
    <s v="N"/>
    <n v="0"/>
    <n v="-44.87"/>
    <x v="6"/>
    <s v="VALIDATED"/>
    <n v="1"/>
    <s v="01.11.80.307.2013.0000"/>
    <n v="-44.87"/>
    <s v="11"/>
    <s v="2013"/>
    <n v="30594.15"/>
    <n v="-44.87"/>
    <s v="CREDITOR"/>
    <n v="0"/>
    <n v="0"/>
    <n v="-44.87"/>
    <n v="0"/>
    <n v="0"/>
  </r>
  <r>
    <n v="60744883"/>
    <s v="N"/>
    <n v="21333953"/>
    <s v="3000014987240005RC"/>
    <s v="CIVIL"/>
    <d v="2023-06-22T00:00:00"/>
    <d v="2023-07-05T19:42:28"/>
    <m/>
    <d v="2023-07-05T00:00:00"/>
    <n v="1205"/>
    <n v="18696"/>
    <s v="60744883"/>
    <s v="60744883"/>
    <m/>
    <m/>
    <m/>
    <m/>
    <m/>
    <m/>
    <s v="SOLRECOUP"/>
    <s v="SOLRECOUP"/>
    <s v="POARECOUP"/>
    <n v="21333953"/>
    <n v="-122.4"/>
    <m/>
    <s v="Y"/>
    <n v="1"/>
    <d v="2023-07-05T19:42:29"/>
    <s v="N"/>
    <m/>
    <m/>
    <s v="Expert Disbursement"/>
    <m/>
    <s v="N"/>
    <n v="-102"/>
    <n v="0"/>
    <x v="6"/>
    <s v="VALIDATED"/>
    <n v="1"/>
    <s v="01.11.80.308.2013.0000"/>
    <n v="-102"/>
    <s v="11"/>
    <s v="2013"/>
    <n v="30594.15"/>
    <n v="-102"/>
    <s v="CREDITOR"/>
    <n v="0"/>
    <n v="0"/>
    <n v="-102"/>
    <n v="0"/>
    <n v="0"/>
  </r>
  <r>
    <n v="60744883"/>
    <s v="N"/>
    <n v="21333953"/>
    <s v="3000014987240005RC"/>
    <s v="CIVIL"/>
    <d v="2023-06-22T00:00:00"/>
    <d v="2023-07-05T19:42:28"/>
    <m/>
    <d v="2023-07-05T00:00:00"/>
    <n v="1205"/>
    <n v="18696"/>
    <s v="60744883"/>
    <s v="60744883"/>
    <m/>
    <m/>
    <m/>
    <m/>
    <m/>
    <m/>
    <s v="SOLRECOUP"/>
    <s v="SOLRECOUP"/>
    <s v="POARECOUP"/>
    <n v="21333953"/>
    <n v="-122.4"/>
    <m/>
    <s v="Y"/>
    <n v="2"/>
    <d v="2023-07-05T19:42:29"/>
    <s v="N"/>
    <m/>
    <m/>
    <s v="Expert Disbursement"/>
    <m/>
    <s v="N"/>
    <n v="0"/>
    <n v="-20.4"/>
    <x v="6"/>
    <s v="VALIDATED"/>
    <n v="1"/>
    <s v="01.11.80.308.2013.0000"/>
    <n v="-20.4"/>
    <s v="11"/>
    <s v="2013"/>
    <n v="30594.15"/>
    <n v="-20.4"/>
    <s v="CREDITOR"/>
    <n v="0"/>
    <n v="0"/>
    <n v="-20.4"/>
    <n v="0"/>
    <n v="0"/>
  </r>
  <r>
    <n v="60744883"/>
    <s v="N"/>
    <n v="21333954"/>
    <s v="3000014987240006RC"/>
    <s v="CIVIL"/>
    <d v="2023-06-22T00:00:00"/>
    <d v="2023-07-05T19:42:28"/>
    <m/>
    <d v="2023-07-05T00:00:00"/>
    <n v="1205"/>
    <n v="18696"/>
    <s v="60744883"/>
    <s v="60744883"/>
    <m/>
    <m/>
    <m/>
    <m/>
    <m/>
    <m/>
    <s v="SOLRECOUP"/>
    <s v="SOLRECOUP"/>
    <s v="POARECOUP"/>
    <n v="21333954"/>
    <n v="-675.36"/>
    <m/>
    <s v="Y"/>
    <n v="1"/>
    <d v="2023-07-05T19:42:29"/>
    <s v="N"/>
    <m/>
    <m/>
    <s v="Profit Cost"/>
    <m/>
    <s v="N"/>
    <n v="-562.8"/>
    <n v="0"/>
    <x v="6"/>
    <s v="VALIDATED"/>
    <n v="1"/>
    <s v="01.11.80.308.2013.0000"/>
    <n v="-562.8"/>
    <s v="11"/>
    <s v="2013"/>
    <n v="30594.15"/>
    <n v="-562.8"/>
    <s v="CREDITOR"/>
    <n v="0"/>
    <n v="0"/>
    <n v="-562.8"/>
    <n v="-140.7"/>
    <n v="0"/>
  </r>
  <r>
    <n v="60744883"/>
    <s v="N"/>
    <n v="21333954"/>
    <s v="3000014987240006RC"/>
    <s v="CIVIL"/>
    <d v="2023-06-22T00:00:00"/>
    <d v="2023-07-05T19:42:28"/>
    <m/>
    <d v="2023-07-05T00:00:00"/>
    <n v="1205"/>
    <n v="18696"/>
    <s v="60744883"/>
    <s v="60744883"/>
    <m/>
    <m/>
    <m/>
    <m/>
    <m/>
    <m/>
    <s v="SOLRECOUP"/>
    <s v="SOLRECOUP"/>
    <s v="POARECOUP"/>
    <n v="21333954"/>
    <n v="-675.36"/>
    <m/>
    <s v="Y"/>
    <n v="2"/>
    <d v="2023-07-05T19:42:29"/>
    <s v="N"/>
    <m/>
    <m/>
    <s v="Profit Cost"/>
    <m/>
    <s v="N"/>
    <n v="0"/>
    <n v="-112.56"/>
    <x v="6"/>
    <s v="VALIDATED"/>
    <n v="1"/>
    <s v="01.11.80.308.2013.0000"/>
    <n v="-112.56"/>
    <s v="11"/>
    <s v="2013"/>
    <n v="30594.15"/>
    <n v="-112.56"/>
    <s v="CREDITOR"/>
    <n v="0"/>
    <n v="0"/>
    <n v="-112.56"/>
    <n v="-28.14"/>
    <n v="0"/>
  </r>
  <r>
    <n v="60631907"/>
    <s v="N"/>
    <n v="21333955"/>
    <s v="3000014878960006RC"/>
    <s v="CIVIL"/>
    <d v="2023-06-28T00:00:00"/>
    <d v="2023-07-05T19:42:28"/>
    <m/>
    <d v="2023-07-05T00:00:00"/>
    <n v="1205"/>
    <n v="18696"/>
    <s v="60631907"/>
    <s v="60631907"/>
    <m/>
    <m/>
    <m/>
    <m/>
    <m/>
    <m/>
    <s v="SOLRECOUP"/>
    <s v="SOLRECOUP"/>
    <s v="POARECOUP"/>
    <n v="21333955"/>
    <n v="-1447.81"/>
    <m/>
    <s v="Y"/>
    <n v="1"/>
    <d v="2023-07-05T19:42:29"/>
    <s v="N"/>
    <m/>
    <m/>
    <s v="Profit Cost"/>
    <m/>
    <s v="N"/>
    <n v="-1206.51"/>
    <n v="0"/>
    <x v="6"/>
    <s v="VALIDATED"/>
    <n v="1"/>
    <s v="01.11.80.307.2013.0000"/>
    <n v="-1206.51"/>
    <s v="11"/>
    <s v="2013"/>
    <n v="30594.15"/>
    <n v="-1206.51"/>
    <s v="CREDITOR"/>
    <n v="0"/>
    <n v="0"/>
    <n v="-1206.51"/>
    <n v="-301.6275"/>
    <n v="0"/>
  </r>
  <r>
    <n v="60631907"/>
    <s v="N"/>
    <n v="21333955"/>
    <s v="3000014878960006RC"/>
    <s v="CIVIL"/>
    <d v="2023-06-28T00:00:00"/>
    <d v="2023-07-05T19:42:28"/>
    <m/>
    <d v="2023-07-05T00:00:00"/>
    <n v="1205"/>
    <n v="18696"/>
    <s v="60631907"/>
    <s v="60631907"/>
    <m/>
    <m/>
    <m/>
    <m/>
    <m/>
    <m/>
    <s v="SOLRECOUP"/>
    <s v="SOLRECOUP"/>
    <s v="POARECOUP"/>
    <n v="21333955"/>
    <n v="-1447.81"/>
    <m/>
    <s v="Y"/>
    <n v="2"/>
    <d v="2023-07-05T19:42:29"/>
    <s v="N"/>
    <m/>
    <m/>
    <s v="Profit Cost"/>
    <m/>
    <s v="N"/>
    <n v="0"/>
    <n v="-241.3"/>
    <x v="6"/>
    <s v="VALIDATED"/>
    <n v="1"/>
    <s v="01.11.80.307.2013.0000"/>
    <n v="-241.3"/>
    <s v="11"/>
    <s v="2013"/>
    <n v="30594.15"/>
    <n v="-241.3"/>
    <s v="CREDITOR"/>
    <n v="0"/>
    <n v="0"/>
    <n v="-241.3"/>
    <n v="-60.325"/>
    <n v="0"/>
  </r>
  <r>
    <n v="60631907"/>
    <s v="N"/>
    <n v="21333956"/>
    <s v="3000014878960005RC"/>
    <s v="CIVIL"/>
    <d v="2023-06-28T00:00:00"/>
    <d v="2023-07-05T19:42:28"/>
    <m/>
    <d v="2023-07-05T00:00:00"/>
    <n v="1205"/>
    <n v="18696"/>
    <s v="60631907"/>
    <s v="60631907"/>
    <m/>
    <m/>
    <m/>
    <m/>
    <m/>
    <m/>
    <s v="SOLRECOUP"/>
    <s v="SOLRECOUP"/>
    <s v="POARECOUP"/>
    <n v="21333956"/>
    <n v="-978.8200000000001"/>
    <m/>
    <s v="Y"/>
    <n v="1"/>
    <d v="2023-07-05T19:42:29"/>
    <s v="N"/>
    <m/>
    <m/>
    <s v="Profit Cost"/>
    <m/>
    <s v="N"/>
    <n v="-815.6799999999999"/>
    <n v="0"/>
    <x v="6"/>
    <s v="VALIDATED"/>
    <n v="1"/>
    <s v="01.11.80.307.2013.0000"/>
    <n v="-815.6799999999999"/>
    <s v="11"/>
    <s v="2013"/>
    <n v="30594.15"/>
    <n v="-815.6799999999999"/>
    <s v="CREDITOR"/>
    <n v="0"/>
    <n v="0"/>
    <n v="-815.6799999999999"/>
    <n v="-203.92"/>
    <n v="0"/>
  </r>
  <r>
    <n v="60631907"/>
    <s v="N"/>
    <n v="21333956"/>
    <s v="3000014878960005RC"/>
    <s v="CIVIL"/>
    <d v="2023-06-28T00:00:00"/>
    <d v="2023-07-05T19:42:28"/>
    <m/>
    <d v="2023-07-05T00:00:00"/>
    <n v="1205"/>
    <n v="18696"/>
    <s v="60631907"/>
    <s v="60631907"/>
    <m/>
    <m/>
    <m/>
    <m/>
    <m/>
    <m/>
    <s v="SOLRECOUP"/>
    <s v="SOLRECOUP"/>
    <s v="POARECOUP"/>
    <n v="21333956"/>
    <n v="-978.8200000000001"/>
    <m/>
    <s v="Y"/>
    <n v="2"/>
    <d v="2023-07-05T19:42:29"/>
    <s v="N"/>
    <m/>
    <m/>
    <s v="Profit Cost"/>
    <m/>
    <s v="N"/>
    <n v="0"/>
    <n v="-163.14"/>
    <x v="6"/>
    <s v="VALIDATED"/>
    <n v="1"/>
    <s v="01.11.80.307.2013.0000"/>
    <n v="-163.14"/>
    <s v="11"/>
    <s v="2013"/>
    <n v="30594.15"/>
    <n v="-163.14"/>
    <s v="CREDITOR"/>
    <n v="0"/>
    <n v="0"/>
    <n v="-163.14"/>
    <n v="-40.785"/>
    <n v="0"/>
  </r>
  <r>
    <n v="60744883"/>
    <s v="N"/>
    <n v="21333957"/>
    <s v="3000014987240007RC"/>
    <s v="CIVIL"/>
    <d v="2023-06-22T00:00:00"/>
    <d v="2023-07-05T19:42:28"/>
    <m/>
    <d v="2023-07-05T00:00:00"/>
    <n v="1205"/>
    <n v="18696"/>
    <s v="60744883"/>
    <s v="60744883"/>
    <m/>
    <m/>
    <m/>
    <m/>
    <m/>
    <m/>
    <s v="SOLRECOUP"/>
    <s v="SOLRECOUP"/>
    <s v="POARECOUP"/>
    <n v="21333957"/>
    <n v="-4748.77"/>
    <m/>
    <s v="Y"/>
    <n v="1"/>
    <d v="2023-07-05T19:42:29"/>
    <s v="N"/>
    <m/>
    <m/>
    <s v="Profit Cost"/>
    <m/>
    <s v="N"/>
    <n v="-3957.31"/>
    <n v="0"/>
    <x v="6"/>
    <s v="VALIDATED"/>
    <n v="1"/>
    <s v="01.11.80.308.2013.0000"/>
    <n v="-3957.31"/>
    <s v="11"/>
    <s v="2013"/>
    <n v="30594.15"/>
    <n v="-3957.31"/>
    <s v="CREDITOR"/>
    <n v="0"/>
    <n v="0"/>
    <n v="-3957.31"/>
    <n v="-989.3275"/>
    <n v="0"/>
  </r>
  <r>
    <n v="60744883"/>
    <s v="N"/>
    <n v="21333957"/>
    <s v="3000014987240007RC"/>
    <s v="CIVIL"/>
    <d v="2023-06-22T00:00:00"/>
    <d v="2023-07-05T19:42:28"/>
    <m/>
    <d v="2023-07-05T00:00:00"/>
    <n v="1205"/>
    <n v="18696"/>
    <s v="60744883"/>
    <s v="60744883"/>
    <m/>
    <m/>
    <m/>
    <m/>
    <m/>
    <m/>
    <s v="SOLRECOUP"/>
    <s v="SOLRECOUP"/>
    <s v="POARECOUP"/>
    <n v="21333957"/>
    <n v="-4748.77"/>
    <m/>
    <s v="Y"/>
    <n v="2"/>
    <d v="2023-07-05T19:42:29"/>
    <s v="N"/>
    <m/>
    <m/>
    <s v="Profit Cost"/>
    <m/>
    <s v="N"/>
    <n v="0"/>
    <n v="-791.46"/>
    <x v="6"/>
    <s v="VALIDATED"/>
    <n v="1"/>
    <s v="01.11.80.308.2013.0000"/>
    <n v="-791.46"/>
    <s v="11"/>
    <s v="2013"/>
    <n v="30594.15"/>
    <n v="-791.46"/>
    <s v="CREDITOR"/>
    <n v="0"/>
    <n v="0"/>
    <n v="-791.46"/>
    <n v="-197.865"/>
    <n v="0"/>
  </r>
  <r>
    <n v="60740536"/>
    <s v="N"/>
    <n v="21346435"/>
    <s v="3000014983190005RC"/>
    <s v="CIVIL"/>
    <d v="2023-06-27T00:00:00"/>
    <d v="2023-07-07T19:34:21"/>
    <m/>
    <d v="2023-07-07T00:00:00"/>
    <n v="1205"/>
    <n v="18696"/>
    <s v="60740536"/>
    <s v="60740536"/>
    <m/>
    <m/>
    <m/>
    <m/>
    <m/>
    <m/>
    <s v="SOLRECOUP"/>
    <s v="SOLRECOUP"/>
    <s v="POARECOUP"/>
    <n v="21346435"/>
    <n v="-405"/>
    <m/>
    <s v="Y"/>
    <n v="2"/>
    <d v="2023-07-07T19:34:23"/>
    <s v="N"/>
    <m/>
    <m/>
    <s v="Expert Disbursement"/>
    <m/>
    <s v="N"/>
    <n v="0"/>
    <n v="0"/>
    <x v="9"/>
    <s v="VALIDATED"/>
    <n v="1"/>
    <s v="01.11.80.000.0000.0000"/>
    <n v="0"/>
    <s v="11"/>
    <s v="0000"/>
    <n v="30594.15"/>
    <n v="0"/>
    <s v="CREDITOR"/>
    <n v="0"/>
    <n v="0"/>
    <n v="0"/>
    <n v="0"/>
    <n v="0"/>
  </r>
  <r>
    <n v="60740536"/>
    <s v="N"/>
    <n v="21346436"/>
    <s v="3000014983190010RC"/>
    <s v="CIVIL"/>
    <d v="2023-06-27T00:00:00"/>
    <d v="2023-07-07T19:34:21"/>
    <m/>
    <d v="2023-07-07T00:00:00"/>
    <n v="1205"/>
    <n v="18696"/>
    <s v="60740536"/>
    <s v="60740536"/>
    <m/>
    <m/>
    <m/>
    <m/>
    <m/>
    <m/>
    <s v="SOLRECOUP"/>
    <s v="SOLRECOUP"/>
    <s v="POARECOUP"/>
    <n v="21346436"/>
    <n v="-4025.63"/>
    <m/>
    <s v="Y"/>
    <n v="1"/>
    <d v="2023-07-07T19:34:23"/>
    <s v="N"/>
    <m/>
    <m/>
    <s v="Profit Cost"/>
    <m/>
    <s v="N"/>
    <n v="-3354.69"/>
    <n v="0"/>
    <x v="9"/>
    <s v="VALIDATED"/>
    <n v="1"/>
    <s v="01.11.80.308.2013.0000"/>
    <n v="-3354.69"/>
    <s v="11"/>
    <s v="2013"/>
    <n v="30594.15"/>
    <n v="-3354.69"/>
    <s v="CREDITOR"/>
    <n v="0"/>
    <n v="0"/>
    <n v="-3354.69"/>
    <n v="-838.6725"/>
    <n v="0"/>
  </r>
  <r>
    <n v="60740536"/>
    <s v="N"/>
    <n v="21346436"/>
    <s v="3000014983190010RC"/>
    <s v="CIVIL"/>
    <d v="2023-06-27T00:00:00"/>
    <d v="2023-07-07T19:34:21"/>
    <m/>
    <d v="2023-07-07T00:00:00"/>
    <n v="1205"/>
    <n v="18696"/>
    <s v="60740536"/>
    <s v="60740536"/>
    <m/>
    <m/>
    <m/>
    <m/>
    <m/>
    <m/>
    <s v="SOLRECOUP"/>
    <s v="SOLRECOUP"/>
    <s v="POARECOUP"/>
    <n v="21346436"/>
    <n v="-4025.63"/>
    <m/>
    <s v="Y"/>
    <n v="2"/>
    <d v="2023-07-07T19:34:23"/>
    <s v="N"/>
    <m/>
    <m/>
    <s v="Profit Cost"/>
    <m/>
    <s v="N"/>
    <n v="0"/>
    <n v="-670.9400000000001"/>
    <x v="9"/>
    <s v="VALIDATED"/>
    <n v="1"/>
    <s v="01.11.80.308.2013.0000"/>
    <n v="-670.9400000000001"/>
    <s v="11"/>
    <s v="2013"/>
    <n v="30594.15"/>
    <n v="-670.9400000000001"/>
    <s v="CREDITOR"/>
    <n v="0"/>
    <n v="0"/>
    <n v="-670.9400000000001"/>
    <n v="-167.735"/>
    <n v="0"/>
  </r>
  <r>
    <n v="60773030"/>
    <s v="N"/>
    <n v="21346437"/>
    <s v="3000015011890004RC"/>
    <s v="CIVIL"/>
    <d v="2023-06-29T00:00:00"/>
    <d v="2023-07-07T19:34:21"/>
    <m/>
    <d v="2023-07-07T00:00:00"/>
    <n v="1205"/>
    <n v="18696"/>
    <s v="60773030"/>
    <s v="60773030"/>
    <m/>
    <m/>
    <m/>
    <m/>
    <m/>
    <m/>
    <s v="SOLRECOUP"/>
    <s v="SOLRECOUP"/>
    <s v="POARECOUP"/>
    <n v="21346437"/>
    <n v="-415.07"/>
    <m/>
    <s v="Y"/>
    <n v="1"/>
    <d v="2023-07-07T19:34:23"/>
    <s v="N"/>
    <m/>
    <m/>
    <s v="Profit Cost"/>
    <m/>
    <s v="N"/>
    <n v="-345.89"/>
    <n v="0"/>
    <x v="9"/>
    <s v="VALIDATED"/>
    <n v="1"/>
    <s v="01.11.80.307.2013.0000"/>
    <n v="-345.89"/>
    <s v="11"/>
    <s v="2013"/>
    <n v="30594.15"/>
    <n v="-345.89"/>
    <s v="CREDITOR"/>
    <n v="0"/>
    <n v="0"/>
    <n v="-345.89"/>
    <n v="-86.4725"/>
    <n v="0"/>
  </r>
  <r>
    <n v="60773030"/>
    <s v="N"/>
    <n v="21346437"/>
    <s v="3000015011890004RC"/>
    <s v="CIVIL"/>
    <d v="2023-06-29T00:00:00"/>
    <d v="2023-07-07T19:34:21"/>
    <m/>
    <d v="2023-07-07T00:00:00"/>
    <n v="1205"/>
    <n v="18696"/>
    <s v="60773030"/>
    <s v="60773030"/>
    <m/>
    <m/>
    <m/>
    <m/>
    <m/>
    <m/>
    <s v="SOLRECOUP"/>
    <s v="SOLRECOUP"/>
    <s v="POARECOUP"/>
    <n v="21346437"/>
    <n v="-415.07"/>
    <m/>
    <s v="Y"/>
    <n v="2"/>
    <d v="2023-07-07T19:34:23"/>
    <s v="N"/>
    <m/>
    <m/>
    <s v="Profit Cost"/>
    <m/>
    <s v="N"/>
    <n v="0"/>
    <n v="-69.18000000000001"/>
    <x v="9"/>
    <s v="VALIDATED"/>
    <n v="1"/>
    <s v="01.11.80.307.2013.0000"/>
    <n v="-69.18000000000001"/>
    <s v="11"/>
    <s v="2013"/>
    <n v="30594.15"/>
    <n v="-69.18000000000001"/>
    <s v="CREDITOR"/>
    <n v="0"/>
    <n v="0"/>
    <n v="-69.18000000000001"/>
    <n v="-17.295"/>
    <n v="0"/>
  </r>
  <r>
    <n v="8096699"/>
    <s v="N"/>
    <n v="21346416"/>
    <s v="3000004211210001RC"/>
    <s v="CIVIL"/>
    <d v="2023-06-29T00:00:00"/>
    <d v="2023-07-07T19:34:21"/>
    <m/>
    <d v="2023-07-07T00:00:00"/>
    <n v="1205"/>
    <n v="18696"/>
    <s v="8096699"/>
    <s v="8096699"/>
    <m/>
    <m/>
    <m/>
    <m/>
    <m/>
    <m/>
    <s v="SOLRECOUP"/>
    <s v="SOLRECOUP"/>
    <s v="POARECOUP"/>
    <n v="21346416"/>
    <n v="-3.6"/>
    <m/>
    <s v="Y"/>
    <n v="1"/>
    <d v="2023-07-07T19:34:23"/>
    <s v="N"/>
    <m/>
    <m/>
    <s v="Non Expert Disbursement"/>
    <m/>
    <s v="N"/>
    <n v="-3"/>
    <n v="0"/>
    <x v="9"/>
    <s v="VALIDATED"/>
    <n v="1"/>
    <s v="01.11.80.209.2013.0000"/>
    <n v="-3"/>
    <s v="11"/>
    <s v="2013"/>
    <n v="30594.15"/>
    <n v="-3"/>
    <s v="CREDITOR"/>
    <n v="0"/>
    <n v="0"/>
    <n v="-3"/>
    <n v="0"/>
    <n v="0"/>
  </r>
  <r>
    <n v="8096699"/>
    <s v="N"/>
    <n v="21346416"/>
    <s v="3000004211210001RC"/>
    <s v="CIVIL"/>
    <d v="2023-06-29T00:00:00"/>
    <d v="2023-07-07T19:34:21"/>
    <m/>
    <d v="2023-07-07T00:00:00"/>
    <n v="1205"/>
    <n v="18696"/>
    <s v="8096699"/>
    <s v="8096699"/>
    <m/>
    <m/>
    <m/>
    <m/>
    <m/>
    <m/>
    <s v="SOLRECOUP"/>
    <s v="SOLRECOUP"/>
    <s v="POARECOUP"/>
    <n v="21346416"/>
    <n v="-3.6"/>
    <m/>
    <s v="Y"/>
    <n v="2"/>
    <d v="2023-07-07T19:34:23"/>
    <s v="N"/>
    <m/>
    <m/>
    <s v="Non Expert Disbursement"/>
    <m/>
    <s v="N"/>
    <n v="0"/>
    <n v="-0.6"/>
    <x v="9"/>
    <s v="VALIDATED"/>
    <n v="1"/>
    <s v="01.11.80.209.2013.0000"/>
    <n v="-0.6"/>
    <s v="11"/>
    <s v="2013"/>
    <n v="30594.15"/>
    <n v="-0.6"/>
    <s v="CREDITOR"/>
    <n v="0"/>
    <n v="0"/>
    <n v="-0.6"/>
    <n v="0"/>
    <n v="0"/>
  </r>
  <r>
    <n v="8096699"/>
    <s v="N"/>
    <n v="21346417"/>
    <s v="3000004211210002RC"/>
    <s v="CIVIL"/>
    <d v="2023-06-29T00:00:00"/>
    <d v="2023-07-07T19:34:21"/>
    <m/>
    <d v="2023-07-07T00:00:00"/>
    <n v="1205"/>
    <n v="18696"/>
    <s v="8096699"/>
    <s v="8096699"/>
    <m/>
    <m/>
    <m/>
    <m/>
    <m/>
    <m/>
    <s v="SOLRECOUP"/>
    <s v="SOLRECOUP"/>
    <s v="POARECOUP"/>
    <n v="21346417"/>
    <n v="-550.25"/>
    <m/>
    <s v="Y"/>
    <n v="1"/>
    <d v="2023-07-07T19:34:23"/>
    <s v="N"/>
    <m/>
    <m/>
    <s v="Expert Disbursement"/>
    <m/>
    <s v="N"/>
    <n v="-550.25"/>
    <n v="0"/>
    <x v="9"/>
    <s v="VALIDATED"/>
    <n v="1"/>
    <s v="01.11.80.209.2013.0000"/>
    <n v="-550.25"/>
    <s v="11"/>
    <s v="2013"/>
    <n v="30594.15"/>
    <n v="-550.25"/>
    <s v="CREDITOR"/>
    <n v="0"/>
    <n v="0"/>
    <n v="-550.25"/>
    <n v="0"/>
    <n v="0"/>
  </r>
  <r>
    <n v="8096699"/>
    <s v="N"/>
    <n v="21346417"/>
    <s v="3000004211210002RC"/>
    <s v="CIVIL"/>
    <d v="2023-06-29T00:00:00"/>
    <d v="2023-07-07T19:34:21"/>
    <m/>
    <d v="2023-07-07T00:00:00"/>
    <n v="1205"/>
    <n v="18696"/>
    <s v="8096699"/>
    <s v="8096699"/>
    <m/>
    <m/>
    <m/>
    <m/>
    <m/>
    <m/>
    <s v="SOLRECOUP"/>
    <s v="SOLRECOUP"/>
    <s v="POARECOUP"/>
    <n v="21346417"/>
    <n v="-550.25"/>
    <m/>
    <s v="Y"/>
    <n v="2"/>
    <d v="2023-07-07T19:34:23"/>
    <s v="N"/>
    <m/>
    <m/>
    <s v="Expert Disbursement"/>
    <m/>
    <s v="N"/>
    <n v="0"/>
    <n v="0"/>
    <x v="9"/>
    <s v="VALIDATED"/>
    <n v="1"/>
    <s v="01.11.80.000.0000.0000"/>
    <n v="0"/>
    <s v="11"/>
    <s v="0000"/>
    <n v="30594.15"/>
    <n v="0"/>
    <s v="CREDITOR"/>
    <n v="0"/>
    <n v="0"/>
    <n v="0"/>
    <n v="0"/>
    <n v="0"/>
  </r>
  <r>
    <n v="8096699"/>
    <s v="N"/>
    <n v="21346418"/>
    <s v="3000004211210003RC"/>
    <s v="CIVIL"/>
    <d v="2023-06-29T00:00:00"/>
    <d v="2023-07-07T19:34:21"/>
    <m/>
    <d v="2023-07-07T00:00:00"/>
    <n v="1205"/>
    <n v="18696"/>
    <s v="8096699"/>
    <s v="8096699"/>
    <m/>
    <m/>
    <m/>
    <m/>
    <m/>
    <m/>
    <s v="SOLRECOUP"/>
    <s v="SOLRECOUP"/>
    <s v="POARECOUP"/>
    <n v="21346418"/>
    <n v="-30.16"/>
    <m/>
    <s v="Y"/>
    <n v="1"/>
    <d v="2023-07-07T19:34:23"/>
    <s v="N"/>
    <m/>
    <m/>
    <s v="Non Expert Disbursement"/>
    <m/>
    <s v="N"/>
    <n v="-25.13"/>
    <n v="0"/>
    <x v="9"/>
    <s v="VALIDATED"/>
    <n v="1"/>
    <s v="01.11.80.209.2013.0000"/>
    <n v="-25.13"/>
    <s v="11"/>
    <s v="2013"/>
    <n v="30594.15"/>
    <n v="-25.13"/>
    <s v="CREDITOR"/>
    <n v="0"/>
    <n v="0"/>
    <n v="-25.13"/>
    <n v="0"/>
    <n v="0"/>
  </r>
  <r>
    <n v="8096699"/>
    <s v="N"/>
    <n v="21346418"/>
    <s v="3000004211210003RC"/>
    <s v="CIVIL"/>
    <d v="2023-06-29T00:00:00"/>
    <d v="2023-07-07T19:34:21"/>
    <m/>
    <d v="2023-07-07T00:00:00"/>
    <n v="1205"/>
    <n v="18696"/>
    <s v="8096699"/>
    <s v="8096699"/>
    <m/>
    <m/>
    <m/>
    <m/>
    <m/>
    <m/>
    <s v="SOLRECOUP"/>
    <s v="SOLRECOUP"/>
    <s v="POARECOUP"/>
    <n v="21346418"/>
    <n v="-30.16"/>
    <m/>
    <s v="Y"/>
    <n v="2"/>
    <d v="2023-07-07T19:34:23"/>
    <s v="N"/>
    <m/>
    <m/>
    <s v="Non Expert Disbursement"/>
    <m/>
    <s v="N"/>
    <n v="0"/>
    <n v="-5.03"/>
    <x v="9"/>
    <s v="VALIDATED"/>
    <n v="1"/>
    <s v="01.11.80.209.2013.0000"/>
    <n v="-5.03"/>
    <s v="11"/>
    <s v="2013"/>
    <n v="30594.15"/>
    <n v="-5.03"/>
    <s v="CREDITOR"/>
    <n v="0"/>
    <n v="0"/>
    <n v="-5.03"/>
    <n v="0"/>
    <n v="0"/>
  </r>
  <r>
    <n v="8096699"/>
    <s v="N"/>
    <n v="21346419"/>
    <s v="3000004211210004RC"/>
    <s v="CIVIL"/>
    <d v="2023-06-29T00:00:00"/>
    <d v="2023-07-07T19:34:21"/>
    <m/>
    <d v="2023-07-07T00:00:00"/>
    <n v="1205"/>
    <n v="18696"/>
    <s v="8096699"/>
    <s v="8096699"/>
    <m/>
    <m/>
    <m/>
    <m/>
    <m/>
    <m/>
    <s v="SOLRECOUP"/>
    <s v="SOLRECOUP"/>
    <s v="POARECOUP"/>
    <n v="21346419"/>
    <n v="-1130"/>
    <m/>
    <s v="Y"/>
    <n v="1"/>
    <d v="2023-07-07T19:34:23"/>
    <s v="N"/>
    <m/>
    <m/>
    <s v="Expert Disbursement"/>
    <m/>
    <s v="N"/>
    <n v="-1130"/>
    <n v="0"/>
    <x v="9"/>
    <s v="VALIDATED"/>
    <n v="1"/>
    <s v="01.11.80.209.2013.0000"/>
    <n v="-1130"/>
    <s v="11"/>
    <s v="2013"/>
    <n v="30594.15"/>
    <n v="-1130"/>
    <s v="CREDITOR"/>
    <n v="0"/>
    <n v="0"/>
    <n v="-1130"/>
    <n v="0"/>
    <n v="0"/>
  </r>
  <r>
    <n v="8096699"/>
    <s v="N"/>
    <n v="21346419"/>
    <s v="3000004211210004RC"/>
    <s v="CIVIL"/>
    <d v="2023-06-29T00:00:00"/>
    <d v="2023-07-07T19:34:21"/>
    <m/>
    <d v="2023-07-07T00:00:00"/>
    <n v="1205"/>
    <n v="18696"/>
    <s v="8096699"/>
    <s v="8096699"/>
    <m/>
    <m/>
    <m/>
    <m/>
    <m/>
    <m/>
    <s v="SOLRECOUP"/>
    <s v="SOLRECOUP"/>
    <s v="POARECOUP"/>
    <n v="21346419"/>
    <n v="-1130"/>
    <m/>
    <s v="Y"/>
    <n v="2"/>
    <d v="2023-07-07T19:34:23"/>
    <s v="N"/>
    <m/>
    <m/>
    <s v="Expert Disbursement"/>
    <m/>
    <s v="N"/>
    <n v="0"/>
    <n v="0"/>
    <x v="9"/>
    <s v="VALIDATED"/>
    <n v="1"/>
    <s v="01.11.80.000.0000.0000"/>
    <n v="0"/>
    <s v="11"/>
    <s v="0000"/>
    <n v="30594.15"/>
    <n v="0"/>
    <s v="CREDITOR"/>
    <n v="0"/>
    <n v="0"/>
    <n v="0"/>
    <n v="0"/>
    <n v="0"/>
  </r>
  <r>
    <n v="48504544"/>
    <s v="N"/>
    <n v="21346420"/>
    <s v="3000012074710002RC"/>
    <s v="CIVIL"/>
    <d v="2023-06-29T00:00:00"/>
    <d v="2023-07-07T19:34:21"/>
    <m/>
    <d v="2023-07-07T00:00:00"/>
    <n v="1205"/>
    <n v="18696"/>
    <s v="48504544"/>
    <s v="48504544"/>
    <m/>
    <m/>
    <m/>
    <m/>
    <m/>
    <m/>
    <s v="SOLRECOUP"/>
    <s v="SOLRECOUP"/>
    <s v="POARECOUP"/>
    <n v="21346420"/>
    <n v="-325.66"/>
    <m/>
    <s v="Y"/>
    <n v="1"/>
    <d v="2023-07-07T19:34:23"/>
    <s v="N"/>
    <m/>
    <m/>
    <s v="Profit Cost"/>
    <m/>
    <s v="N"/>
    <n v="-271.38"/>
    <n v="0"/>
    <x v="9"/>
    <s v="VALIDATED"/>
    <n v="1"/>
    <s v="01.11.80.307.2013.0000"/>
    <n v="-271.38"/>
    <s v="11"/>
    <s v="2013"/>
    <n v="30594.15"/>
    <n v="-271.38"/>
    <s v="CREDITOR"/>
    <n v="0"/>
    <n v="0"/>
    <n v="-271.38"/>
    <n v="-67.845"/>
    <n v="0"/>
  </r>
  <r>
    <n v="48504544"/>
    <s v="N"/>
    <n v="21346420"/>
    <s v="3000012074710002RC"/>
    <s v="CIVIL"/>
    <d v="2023-06-29T00:00:00"/>
    <d v="2023-07-07T19:34:21"/>
    <m/>
    <d v="2023-07-07T00:00:00"/>
    <n v="1205"/>
    <n v="18696"/>
    <s v="48504544"/>
    <s v="48504544"/>
    <m/>
    <m/>
    <m/>
    <m/>
    <m/>
    <m/>
    <s v="SOLRECOUP"/>
    <s v="SOLRECOUP"/>
    <s v="POARECOUP"/>
    <n v="21346420"/>
    <n v="-325.66"/>
    <m/>
    <s v="Y"/>
    <n v="2"/>
    <d v="2023-07-07T19:34:23"/>
    <s v="N"/>
    <m/>
    <m/>
    <s v="Profit Cost"/>
    <m/>
    <s v="N"/>
    <n v="0"/>
    <n v="-54.28"/>
    <x v="9"/>
    <s v="VALIDATED"/>
    <n v="1"/>
    <s v="01.11.80.307.2013.0000"/>
    <n v="-54.28"/>
    <s v="11"/>
    <s v="2013"/>
    <n v="30594.15"/>
    <n v="-54.28"/>
    <s v="CREDITOR"/>
    <n v="0"/>
    <n v="0"/>
    <n v="-54.28"/>
    <n v="-13.57"/>
    <n v="0"/>
  </r>
  <r>
    <n v="8096699"/>
    <s v="N"/>
    <n v="21346421"/>
    <s v="3000004211210006RC"/>
    <s v="CIVIL"/>
    <d v="2023-06-29T00:00:00"/>
    <d v="2023-07-07T19:34:21"/>
    <m/>
    <d v="2023-07-07T00:00:00"/>
    <n v="1205"/>
    <n v="18696"/>
    <s v="8096699"/>
    <s v="8096699"/>
    <m/>
    <m/>
    <m/>
    <m/>
    <m/>
    <m/>
    <s v="SOLRECOUP"/>
    <s v="SOLRECOUP"/>
    <s v="POARECOUP"/>
    <n v="21346421"/>
    <n v="-4303.37"/>
    <m/>
    <s v="Y"/>
    <n v="1"/>
    <d v="2023-07-07T19:34:23"/>
    <s v="N"/>
    <m/>
    <m/>
    <s v="Profit Cost"/>
    <m/>
    <s v="N"/>
    <n v="-3586.14"/>
    <n v="0"/>
    <x v="9"/>
    <s v="VALIDATED"/>
    <n v="1"/>
    <s v="01.11.80.209.2013.0000"/>
    <n v="-3586.14"/>
    <s v="11"/>
    <s v="2013"/>
    <n v="30594.15"/>
    <n v="-3586.14"/>
    <s v="CREDITOR"/>
    <n v="0"/>
    <n v="0"/>
    <n v="-3586.14"/>
    <n v="-896.535"/>
    <n v="0"/>
  </r>
  <r>
    <n v="8096699"/>
    <s v="N"/>
    <n v="21346421"/>
    <s v="3000004211210006RC"/>
    <s v="CIVIL"/>
    <d v="2023-06-29T00:00:00"/>
    <d v="2023-07-07T19:34:21"/>
    <m/>
    <d v="2023-07-07T00:00:00"/>
    <n v="1205"/>
    <n v="18696"/>
    <s v="8096699"/>
    <s v="8096699"/>
    <m/>
    <m/>
    <m/>
    <m/>
    <m/>
    <m/>
    <s v="SOLRECOUP"/>
    <s v="SOLRECOUP"/>
    <s v="POARECOUP"/>
    <n v="21346421"/>
    <n v="-4303.37"/>
    <m/>
    <s v="Y"/>
    <n v="2"/>
    <d v="2023-07-07T19:34:23"/>
    <s v="N"/>
    <m/>
    <m/>
    <s v="Profit Cost"/>
    <m/>
    <s v="N"/>
    <n v="0"/>
    <n v="-717.23"/>
    <x v="9"/>
    <s v="VALIDATED"/>
    <n v="1"/>
    <s v="01.11.80.209.2013.0000"/>
    <n v="-717.23"/>
    <s v="11"/>
    <s v="2013"/>
    <n v="30594.15"/>
    <n v="-717.23"/>
    <s v="CREDITOR"/>
    <n v="0"/>
    <n v="0"/>
    <n v="-717.23"/>
    <n v="-179.3075"/>
    <n v="0"/>
  </r>
  <r>
    <n v="48504544"/>
    <s v="N"/>
    <n v="21346422"/>
    <s v="3000012074710001RC"/>
    <s v="CIVIL"/>
    <d v="2023-06-29T00:00:00"/>
    <d v="2023-07-07T19:34:21"/>
    <m/>
    <d v="2023-07-07T00:00:00"/>
    <n v="1205"/>
    <n v="18696"/>
    <s v="48504544"/>
    <s v="48504544"/>
    <m/>
    <m/>
    <m/>
    <m/>
    <m/>
    <m/>
    <s v="SOLRECOUP"/>
    <s v="SOLRECOUP"/>
    <s v="POARECOUP"/>
    <n v="21346422"/>
    <n v="-414.62"/>
    <m/>
    <s v="Y"/>
    <n v="1"/>
    <d v="2023-07-07T19:34:23"/>
    <s v="N"/>
    <m/>
    <m/>
    <s v="Profit Cost"/>
    <m/>
    <s v="N"/>
    <n v="-345.52"/>
    <n v="0"/>
    <x v="9"/>
    <s v="VALIDATED"/>
    <n v="1"/>
    <s v="01.11.80.307.2013.0000"/>
    <n v="-345.52"/>
    <s v="11"/>
    <s v="2013"/>
    <n v="30594.15"/>
    <n v="-345.52"/>
    <s v="CREDITOR"/>
    <n v="0"/>
    <n v="0"/>
    <n v="-345.52"/>
    <n v="-86.38"/>
    <n v="0"/>
  </r>
  <r>
    <n v="48504544"/>
    <s v="N"/>
    <n v="21346422"/>
    <s v="3000012074710001RC"/>
    <s v="CIVIL"/>
    <d v="2023-06-29T00:00:00"/>
    <d v="2023-07-07T19:34:21"/>
    <m/>
    <d v="2023-07-07T00:00:00"/>
    <n v="1205"/>
    <n v="18696"/>
    <s v="48504544"/>
    <s v="48504544"/>
    <m/>
    <m/>
    <m/>
    <m/>
    <m/>
    <m/>
    <s v="SOLRECOUP"/>
    <s v="SOLRECOUP"/>
    <s v="POARECOUP"/>
    <n v="21346422"/>
    <n v="-414.62"/>
    <m/>
    <s v="Y"/>
    <n v="2"/>
    <d v="2023-07-07T19:34:23"/>
    <s v="N"/>
    <m/>
    <m/>
    <s v="Profit Cost"/>
    <m/>
    <s v="N"/>
    <n v="0"/>
    <n v="-69.09999999999999"/>
    <x v="9"/>
    <s v="VALIDATED"/>
    <n v="1"/>
    <s v="01.11.80.307.2013.0000"/>
    <n v="-69.09999999999999"/>
    <s v="11"/>
    <s v="2013"/>
    <n v="30594.15"/>
    <n v="-69.09999999999999"/>
    <s v="CREDITOR"/>
    <n v="0"/>
    <n v="0"/>
    <n v="-69.09999999999999"/>
    <n v="-17.275"/>
    <n v="0"/>
  </r>
  <r>
    <n v="60740536"/>
    <s v="N"/>
    <n v="21346423"/>
    <s v="3000014983190006RC"/>
    <s v="CIVIL"/>
    <d v="2023-06-27T00:00:00"/>
    <d v="2023-07-07T19:34:21"/>
    <m/>
    <d v="2023-07-07T00:00:00"/>
    <n v="1205"/>
    <n v="18696"/>
    <s v="60740536"/>
    <s v="60740536"/>
    <m/>
    <m/>
    <m/>
    <m/>
    <m/>
    <m/>
    <s v="SOLRECOUP"/>
    <s v="SOLRECOUP"/>
    <s v="POARECOUP"/>
    <n v="21346423"/>
    <n v="-1189.64"/>
    <m/>
    <s v="Y"/>
    <n v="1"/>
    <d v="2023-07-07T19:34:23"/>
    <s v="N"/>
    <m/>
    <m/>
    <s v="Profit Cost"/>
    <m/>
    <s v="N"/>
    <n v="-991.37"/>
    <n v="0"/>
    <x v="9"/>
    <s v="VALIDATED"/>
    <n v="1"/>
    <s v="01.11.80.308.2013.0000"/>
    <n v="-991.37"/>
    <s v="11"/>
    <s v="2013"/>
    <n v="30594.15"/>
    <n v="-991.37"/>
    <s v="CREDITOR"/>
    <n v="0"/>
    <n v="0"/>
    <n v="-991.37"/>
    <n v="-247.8425"/>
    <n v="0"/>
  </r>
  <r>
    <n v="60740536"/>
    <s v="N"/>
    <n v="21346423"/>
    <s v="3000014983190006RC"/>
    <s v="CIVIL"/>
    <d v="2023-06-27T00:00:00"/>
    <d v="2023-07-07T19:34:21"/>
    <m/>
    <d v="2023-07-07T00:00:00"/>
    <n v="1205"/>
    <n v="18696"/>
    <s v="60740536"/>
    <s v="60740536"/>
    <m/>
    <m/>
    <m/>
    <m/>
    <m/>
    <m/>
    <s v="SOLRECOUP"/>
    <s v="SOLRECOUP"/>
    <s v="POARECOUP"/>
    <n v="21346423"/>
    <n v="-1189.64"/>
    <m/>
    <s v="Y"/>
    <n v="2"/>
    <d v="2023-07-07T19:34:23"/>
    <s v="N"/>
    <m/>
    <m/>
    <s v="Profit Cost"/>
    <m/>
    <s v="N"/>
    <n v="0"/>
    <n v="-198.27"/>
    <x v="9"/>
    <s v="VALIDATED"/>
    <n v="1"/>
    <s v="01.11.80.308.2013.0000"/>
    <n v="-198.27"/>
    <s v="11"/>
    <s v="2013"/>
    <n v="30594.15"/>
    <n v="-198.27"/>
    <s v="CREDITOR"/>
    <n v="0"/>
    <n v="0"/>
    <n v="-198.27"/>
    <n v="-49.5675"/>
    <n v="0"/>
  </r>
  <r>
    <n v="48504544"/>
    <s v="N"/>
    <n v="21346424"/>
    <s v="3000012074710004RC"/>
    <s v="CIVIL"/>
    <d v="2023-06-29T00:00:00"/>
    <d v="2023-07-07T19:34:21"/>
    <m/>
    <d v="2023-07-07T00:00:00"/>
    <n v="1205"/>
    <n v="18696"/>
    <s v="48504544"/>
    <s v="48504544"/>
    <m/>
    <m/>
    <m/>
    <m/>
    <m/>
    <m/>
    <s v="SOLRECOUP"/>
    <s v="SOLRECOUP"/>
    <s v="POARECOUP"/>
    <n v="21346424"/>
    <n v="-331.96"/>
    <m/>
    <s v="Y"/>
    <n v="1"/>
    <d v="2023-07-07T19:34:23"/>
    <s v="N"/>
    <m/>
    <m/>
    <s v="Profit Cost"/>
    <m/>
    <s v="N"/>
    <n v="-276.63"/>
    <n v="0"/>
    <x v="9"/>
    <s v="VALIDATED"/>
    <n v="1"/>
    <s v="01.11.80.307.2013.0000"/>
    <n v="-276.63"/>
    <s v="11"/>
    <s v="2013"/>
    <n v="30594.15"/>
    <n v="-276.63"/>
    <s v="CREDITOR"/>
    <n v="0"/>
    <n v="0"/>
    <n v="-276.63"/>
    <n v="-69.1575"/>
    <n v="0"/>
  </r>
  <r>
    <n v="48504544"/>
    <s v="N"/>
    <n v="21346424"/>
    <s v="3000012074710004RC"/>
    <s v="CIVIL"/>
    <d v="2023-06-29T00:00:00"/>
    <d v="2023-07-07T19:34:21"/>
    <m/>
    <d v="2023-07-07T00:00:00"/>
    <n v="1205"/>
    <n v="18696"/>
    <s v="48504544"/>
    <s v="48504544"/>
    <m/>
    <m/>
    <m/>
    <m/>
    <m/>
    <m/>
    <s v="SOLRECOUP"/>
    <s v="SOLRECOUP"/>
    <s v="POARECOUP"/>
    <n v="21346424"/>
    <n v="-331.96"/>
    <m/>
    <s v="Y"/>
    <n v="2"/>
    <d v="2023-07-07T19:34:23"/>
    <s v="N"/>
    <m/>
    <m/>
    <s v="Profit Cost"/>
    <m/>
    <s v="N"/>
    <n v="0"/>
    <n v="-55.33"/>
    <x v="9"/>
    <s v="VALIDATED"/>
    <n v="1"/>
    <s v="01.11.80.307.2013.0000"/>
    <n v="-55.33"/>
    <s v="11"/>
    <s v="2013"/>
    <n v="30594.15"/>
    <n v="-55.33"/>
    <s v="CREDITOR"/>
    <n v="0"/>
    <n v="0"/>
    <n v="-55.33"/>
    <n v="-13.8325"/>
    <n v="0"/>
  </r>
  <r>
    <n v="48504544"/>
    <s v="N"/>
    <n v="21346425"/>
    <s v="3000012074710005RC"/>
    <s v="CIVIL"/>
    <d v="2023-06-29T00:00:00"/>
    <d v="2023-07-07T19:34:21"/>
    <m/>
    <d v="2023-07-07T00:00:00"/>
    <n v="1205"/>
    <n v="18696"/>
    <s v="48504544"/>
    <s v="48504544"/>
    <m/>
    <m/>
    <m/>
    <m/>
    <m/>
    <m/>
    <s v="SOLRECOUP"/>
    <s v="SOLRECOUP"/>
    <s v="POARECOUP"/>
    <n v="21346425"/>
    <n v="-3470.38"/>
    <m/>
    <s v="Y"/>
    <n v="1"/>
    <d v="2023-07-07T19:34:23"/>
    <s v="N"/>
    <m/>
    <m/>
    <s v="Expert Disbursement"/>
    <m/>
    <s v="N"/>
    <n v="-2891.98"/>
    <n v="0"/>
    <x v="9"/>
    <s v="VALIDATED"/>
    <n v="1"/>
    <s v="01.11.80.307.2013.0000"/>
    <n v="-2891.98"/>
    <s v="11"/>
    <s v="2013"/>
    <n v="30594.15"/>
    <n v="-2891.98"/>
    <s v="CREDITOR"/>
    <n v="0"/>
    <n v="0"/>
    <n v="-2891.98"/>
    <n v="0"/>
    <n v="0"/>
  </r>
  <r>
    <n v="48504544"/>
    <s v="N"/>
    <n v="21346425"/>
    <s v="3000012074710005RC"/>
    <s v="CIVIL"/>
    <d v="2023-06-29T00:00:00"/>
    <d v="2023-07-07T19:34:21"/>
    <m/>
    <d v="2023-07-07T00:00:00"/>
    <n v="1205"/>
    <n v="18696"/>
    <s v="48504544"/>
    <s v="48504544"/>
    <m/>
    <m/>
    <m/>
    <m/>
    <m/>
    <m/>
    <s v="SOLRECOUP"/>
    <s v="SOLRECOUP"/>
    <s v="POARECOUP"/>
    <n v="21346425"/>
    <n v="-3470.38"/>
    <m/>
    <s v="Y"/>
    <n v="2"/>
    <d v="2023-07-07T19:34:23"/>
    <s v="N"/>
    <m/>
    <m/>
    <s v="Expert Disbursement"/>
    <m/>
    <s v="N"/>
    <n v="0"/>
    <n v="-578.4"/>
    <x v="9"/>
    <s v="VALIDATED"/>
    <n v="1"/>
    <s v="01.11.80.307.2013.0000"/>
    <n v="-578.4"/>
    <s v="11"/>
    <s v="2013"/>
    <n v="30594.15"/>
    <n v="-578.4"/>
    <s v="CREDITOR"/>
    <n v="0"/>
    <n v="0"/>
    <n v="-578.4"/>
    <n v="0"/>
    <n v="0"/>
  </r>
  <r>
    <n v="48504544"/>
    <s v="N"/>
    <n v="21346426"/>
    <s v="3000012074710003RC"/>
    <s v="CIVIL"/>
    <d v="2023-06-29T00:00:00"/>
    <d v="2023-07-07T19:34:21"/>
    <m/>
    <d v="2023-07-07T00:00:00"/>
    <n v="1205"/>
    <n v="18696"/>
    <s v="48504544"/>
    <s v="48504544"/>
    <m/>
    <m/>
    <m/>
    <m/>
    <m/>
    <m/>
    <s v="SOLRECOUP"/>
    <s v="SOLRECOUP"/>
    <s v="POARECOUP"/>
    <n v="21346426"/>
    <n v="-167"/>
    <m/>
    <s v="Y"/>
    <n v="1"/>
    <d v="2023-07-07T19:34:23"/>
    <s v="N"/>
    <m/>
    <m/>
    <s v="Non Expert Disbursement"/>
    <m/>
    <s v="N"/>
    <n v="-167"/>
    <n v="0"/>
    <x v="9"/>
    <s v="VALIDATED"/>
    <n v="1"/>
    <s v="01.11.80.307.2013.0000"/>
    <n v="-167"/>
    <s v="11"/>
    <s v="2013"/>
    <n v="30594.15"/>
    <n v="-167"/>
    <s v="CREDITOR"/>
    <n v="0"/>
    <n v="0"/>
    <n v="-167"/>
    <n v="0"/>
    <n v="0"/>
  </r>
  <r>
    <n v="48504544"/>
    <s v="N"/>
    <n v="21346426"/>
    <s v="3000012074710003RC"/>
    <s v="CIVIL"/>
    <d v="2023-06-29T00:00:00"/>
    <d v="2023-07-07T19:34:21"/>
    <m/>
    <d v="2023-07-07T00:00:00"/>
    <n v="1205"/>
    <n v="18696"/>
    <s v="48504544"/>
    <s v="48504544"/>
    <m/>
    <m/>
    <m/>
    <m/>
    <m/>
    <m/>
    <s v="SOLRECOUP"/>
    <s v="SOLRECOUP"/>
    <s v="POARECOUP"/>
    <n v="21346426"/>
    <n v="-167"/>
    <m/>
    <s v="Y"/>
    <n v="2"/>
    <d v="2023-07-07T19:34:23"/>
    <s v="N"/>
    <m/>
    <m/>
    <s v="Non Expert Disbursement"/>
    <m/>
    <s v="N"/>
    <n v="0"/>
    <n v="0"/>
    <x v="9"/>
    <s v="VALIDATED"/>
    <n v="1"/>
    <s v="01.11.80.000.0000.0000"/>
    <n v="0"/>
    <s v="11"/>
    <s v="0000"/>
    <n v="30594.15"/>
    <n v="0"/>
    <s v="CREDITOR"/>
    <n v="0"/>
    <n v="0"/>
    <n v="0"/>
    <n v="0"/>
    <n v="0"/>
  </r>
  <r>
    <n v="60740536"/>
    <s v="N"/>
    <n v="21346427"/>
    <s v="3000014983190008RC"/>
    <s v="CIVIL"/>
    <d v="2023-06-27T00:00:00"/>
    <d v="2023-07-07T19:34:21"/>
    <m/>
    <d v="2023-07-07T00:00:00"/>
    <n v="1205"/>
    <n v="18696"/>
    <s v="60740536"/>
    <s v="60740536"/>
    <m/>
    <m/>
    <m/>
    <m/>
    <m/>
    <m/>
    <s v="SOLRECOUP"/>
    <s v="SOLRECOUP"/>
    <s v="POARECOUP"/>
    <n v="21346427"/>
    <n v="-270"/>
    <m/>
    <s v="Y"/>
    <n v="1"/>
    <d v="2023-07-07T19:34:23"/>
    <s v="N"/>
    <m/>
    <m/>
    <s v="Expert Disbursement"/>
    <m/>
    <s v="N"/>
    <n v="-225"/>
    <n v="0"/>
    <x v="9"/>
    <s v="VALIDATED"/>
    <n v="1"/>
    <s v="01.11.80.308.2013.0000"/>
    <n v="-225"/>
    <s v="11"/>
    <s v="2013"/>
    <n v="30594.15"/>
    <n v="-225"/>
    <s v="CREDITOR"/>
    <n v="0"/>
    <n v="0"/>
    <n v="-225"/>
    <n v="0"/>
    <n v="0"/>
  </r>
  <r>
    <n v="60740536"/>
    <s v="N"/>
    <n v="21346427"/>
    <s v="3000014983190008RC"/>
    <s v="CIVIL"/>
    <d v="2023-06-27T00:00:00"/>
    <d v="2023-07-07T19:34:21"/>
    <m/>
    <d v="2023-07-07T00:00:00"/>
    <n v="1205"/>
    <n v="18696"/>
    <s v="60740536"/>
    <s v="60740536"/>
    <m/>
    <m/>
    <m/>
    <m/>
    <m/>
    <m/>
    <s v="SOLRECOUP"/>
    <s v="SOLRECOUP"/>
    <s v="POARECOUP"/>
    <n v="21346427"/>
    <n v="-270"/>
    <m/>
    <s v="Y"/>
    <n v="2"/>
    <d v="2023-07-07T19:34:23"/>
    <s v="N"/>
    <m/>
    <m/>
    <s v="Expert Disbursement"/>
    <m/>
    <s v="N"/>
    <n v="0"/>
    <n v="-45"/>
    <x v="9"/>
    <s v="VALIDATED"/>
    <n v="1"/>
    <s v="01.11.80.308.2013.0000"/>
    <n v="-45"/>
    <s v="11"/>
    <s v="2013"/>
    <n v="30594.15"/>
    <n v="-45"/>
    <s v="CREDITOR"/>
    <n v="0"/>
    <n v="0"/>
    <n v="-45"/>
    <n v="0"/>
    <n v="0"/>
  </r>
  <r>
    <n v="60773030"/>
    <s v="N"/>
    <n v="21346428"/>
    <s v="3000015011890001RC"/>
    <s v="CIVIL"/>
    <d v="2023-06-29T00:00:00"/>
    <d v="2023-07-07T19:34:21"/>
    <m/>
    <d v="2023-07-07T00:00:00"/>
    <n v="1205"/>
    <n v="18696"/>
    <s v="60773030"/>
    <s v="60773030"/>
    <m/>
    <m/>
    <m/>
    <m/>
    <m/>
    <m/>
    <s v="SOLRECOUP"/>
    <s v="SOLRECOUP"/>
    <s v="POARECOUP"/>
    <n v="21346428"/>
    <n v="-959.47"/>
    <m/>
    <s v="Y"/>
    <n v="1"/>
    <d v="2023-07-07T19:34:23"/>
    <s v="N"/>
    <m/>
    <m/>
    <s v="Profit Cost"/>
    <m/>
    <s v="N"/>
    <n v="-799.5599999999999"/>
    <n v="0"/>
    <x v="9"/>
    <s v="VALIDATED"/>
    <n v="1"/>
    <s v="01.11.80.307.2013.0000"/>
    <n v="-799.5599999999999"/>
    <s v="11"/>
    <s v="2013"/>
    <n v="30594.15"/>
    <n v="-799.5599999999999"/>
    <s v="CREDITOR"/>
    <n v="0"/>
    <n v="0"/>
    <n v="-799.5599999999999"/>
    <n v="-199.89"/>
    <n v="0"/>
  </r>
  <r>
    <n v="60773030"/>
    <s v="N"/>
    <n v="21346428"/>
    <s v="3000015011890001RC"/>
    <s v="CIVIL"/>
    <d v="2023-06-29T00:00:00"/>
    <d v="2023-07-07T19:34:21"/>
    <m/>
    <d v="2023-07-07T00:00:00"/>
    <n v="1205"/>
    <n v="18696"/>
    <s v="60773030"/>
    <s v="60773030"/>
    <m/>
    <m/>
    <m/>
    <m/>
    <m/>
    <m/>
    <s v="SOLRECOUP"/>
    <s v="SOLRECOUP"/>
    <s v="POARECOUP"/>
    <n v="21346428"/>
    <n v="-959.47"/>
    <m/>
    <s v="Y"/>
    <n v="2"/>
    <d v="2023-07-07T19:34:23"/>
    <s v="N"/>
    <m/>
    <m/>
    <s v="Profit Cost"/>
    <m/>
    <s v="N"/>
    <n v="0"/>
    <n v="-159.91"/>
    <x v="9"/>
    <s v="VALIDATED"/>
    <n v="1"/>
    <s v="01.11.80.307.2013.0000"/>
    <n v="-159.91"/>
    <s v="11"/>
    <s v="2013"/>
    <n v="30594.15"/>
    <n v="-159.91"/>
    <s v="CREDITOR"/>
    <n v="0"/>
    <n v="0"/>
    <n v="-159.91"/>
    <n v="-39.9775"/>
    <n v="0"/>
  </r>
  <r>
    <n v="60740536"/>
    <s v="N"/>
    <n v="21346429"/>
    <s v="3000014983190002RC"/>
    <s v="CIVIL"/>
    <d v="2023-06-27T00:00:00"/>
    <d v="2023-07-07T19:34:21"/>
    <m/>
    <d v="2023-07-07T00:00:00"/>
    <n v="1205"/>
    <n v="18696"/>
    <s v="60740536"/>
    <s v="60740536"/>
    <m/>
    <m/>
    <m/>
    <m/>
    <m/>
    <m/>
    <s v="SOLRECOUP"/>
    <s v="SOLRECOUP"/>
    <s v="POARECOUP"/>
    <n v="21346429"/>
    <n v="-2465.06"/>
    <m/>
    <s v="Y"/>
    <n v="1"/>
    <d v="2023-07-07T19:34:23"/>
    <s v="N"/>
    <m/>
    <m/>
    <s v="Profit Cost"/>
    <m/>
    <s v="N"/>
    <n v="-2054.22"/>
    <n v="0"/>
    <x v="9"/>
    <s v="VALIDATED"/>
    <n v="1"/>
    <s v="01.11.80.308.2013.0000"/>
    <n v="-2054.22"/>
    <s v="11"/>
    <s v="2013"/>
    <n v="30594.15"/>
    <n v="-2054.22"/>
    <s v="CREDITOR"/>
    <n v="0"/>
    <n v="0"/>
    <n v="-2054.22"/>
    <n v="-513.5549999999999"/>
    <n v="0"/>
  </r>
  <r>
    <n v="60740536"/>
    <s v="N"/>
    <n v="21346429"/>
    <s v="3000014983190002RC"/>
    <s v="CIVIL"/>
    <d v="2023-06-27T00:00:00"/>
    <d v="2023-07-07T19:34:21"/>
    <m/>
    <d v="2023-07-07T00:00:00"/>
    <n v="1205"/>
    <n v="18696"/>
    <s v="60740536"/>
    <s v="60740536"/>
    <m/>
    <m/>
    <m/>
    <m/>
    <m/>
    <m/>
    <s v="SOLRECOUP"/>
    <s v="SOLRECOUP"/>
    <s v="POARECOUP"/>
    <n v="21346429"/>
    <n v="-2465.06"/>
    <m/>
    <s v="Y"/>
    <n v="2"/>
    <d v="2023-07-07T19:34:23"/>
    <s v="N"/>
    <m/>
    <m/>
    <s v="Profit Cost"/>
    <m/>
    <s v="N"/>
    <n v="0"/>
    <n v="-410.84"/>
    <x v="9"/>
    <s v="VALIDATED"/>
    <n v="1"/>
    <s v="01.11.80.308.2013.0000"/>
    <n v="-410.84"/>
    <s v="11"/>
    <s v="2013"/>
    <n v="30594.15"/>
    <n v="-410.84"/>
    <s v="CREDITOR"/>
    <n v="0"/>
    <n v="0"/>
    <n v="-410.84"/>
    <n v="-102.71"/>
    <n v="0"/>
  </r>
  <r>
    <n v="48504544"/>
    <s v="N"/>
    <n v="21346430"/>
    <s v="3000012074710007RC"/>
    <s v="CIVIL"/>
    <d v="2023-06-29T00:00:00"/>
    <d v="2023-07-07T19:34:21"/>
    <m/>
    <d v="2023-07-07T00:00:00"/>
    <n v="1205"/>
    <n v="18696"/>
    <s v="48504544"/>
    <s v="48504544"/>
    <m/>
    <m/>
    <m/>
    <m/>
    <m/>
    <m/>
    <s v="SOLRECOUP"/>
    <s v="SOLRECOUP"/>
    <s v="POARECOUP"/>
    <n v="21346430"/>
    <n v="-598.6799999999999"/>
    <m/>
    <s v="Y"/>
    <n v="1"/>
    <d v="2023-07-07T19:34:23"/>
    <s v="N"/>
    <m/>
    <m/>
    <s v="Profit Cost"/>
    <m/>
    <s v="N"/>
    <n v="-498.9"/>
    <n v="0"/>
    <x v="9"/>
    <s v="VALIDATED"/>
    <n v="1"/>
    <s v="01.11.80.307.2013.0000"/>
    <n v="-498.9"/>
    <s v="11"/>
    <s v="2013"/>
    <n v="30594.15"/>
    <n v="-498.9"/>
    <s v="CREDITOR"/>
    <n v="0"/>
    <n v="0"/>
    <n v="-498.9"/>
    <n v="-124.725"/>
    <n v="0"/>
  </r>
  <r>
    <n v="48504544"/>
    <s v="N"/>
    <n v="21346430"/>
    <s v="3000012074710007RC"/>
    <s v="CIVIL"/>
    <d v="2023-06-29T00:00:00"/>
    <d v="2023-07-07T19:34:21"/>
    <m/>
    <d v="2023-07-07T00:00:00"/>
    <n v="1205"/>
    <n v="18696"/>
    <s v="48504544"/>
    <s v="48504544"/>
    <m/>
    <m/>
    <m/>
    <m/>
    <m/>
    <m/>
    <s v="SOLRECOUP"/>
    <s v="SOLRECOUP"/>
    <s v="POARECOUP"/>
    <n v="21346430"/>
    <n v="-598.6799999999999"/>
    <m/>
    <s v="Y"/>
    <n v="2"/>
    <d v="2023-07-07T19:34:23"/>
    <s v="N"/>
    <m/>
    <m/>
    <s v="Profit Cost"/>
    <m/>
    <s v="N"/>
    <n v="0"/>
    <n v="-99.78"/>
    <x v="9"/>
    <s v="VALIDATED"/>
    <n v="1"/>
    <s v="01.11.80.307.2013.0000"/>
    <n v="-99.78"/>
    <s v="11"/>
    <s v="2013"/>
    <n v="30594.15"/>
    <n v="-99.78"/>
    <s v="CREDITOR"/>
    <n v="0"/>
    <n v="0"/>
    <n v="-99.78"/>
    <n v="-24.945"/>
    <n v="0"/>
  </r>
  <r>
    <n v="60773030"/>
    <s v="N"/>
    <n v="21346431"/>
    <s v="3000015011890002RC"/>
    <s v="CIVIL"/>
    <d v="2023-06-29T00:00:00"/>
    <d v="2023-07-07T19:34:21"/>
    <m/>
    <d v="2023-07-07T00:00:00"/>
    <n v="1205"/>
    <n v="18696"/>
    <s v="60773030"/>
    <s v="60773030"/>
    <m/>
    <m/>
    <m/>
    <m/>
    <m/>
    <m/>
    <s v="SOLRECOUP"/>
    <s v="SOLRECOUP"/>
    <s v="POARECOUP"/>
    <n v="21346431"/>
    <n v="-568.16"/>
    <m/>
    <s v="Y"/>
    <n v="1"/>
    <d v="2023-07-07T19:34:23"/>
    <s v="N"/>
    <m/>
    <m/>
    <s v="Profit Cost"/>
    <m/>
    <s v="N"/>
    <n v="-473.47"/>
    <n v="0"/>
    <x v="9"/>
    <s v="VALIDATED"/>
    <n v="1"/>
    <s v="01.11.80.307.2013.0000"/>
    <n v="-473.47"/>
    <s v="11"/>
    <s v="2013"/>
    <n v="30594.15"/>
    <n v="-473.47"/>
    <s v="CREDITOR"/>
    <n v="0"/>
    <n v="0"/>
    <n v="-473.47"/>
    <n v="-118.3675"/>
    <n v="0"/>
  </r>
  <r>
    <n v="60773030"/>
    <s v="N"/>
    <n v="21346431"/>
    <s v="3000015011890002RC"/>
    <s v="CIVIL"/>
    <d v="2023-06-29T00:00:00"/>
    <d v="2023-07-07T19:34:21"/>
    <m/>
    <d v="2023-07-07T00:00:00"/>
    <n v="1205"/>
    <n v="18696"/>
    <s v="60773030"/>
    <s v="60773030"/>
    <m/>
    <m/>
    <m/>
    <m/>
    <m/>
    <m/>
    <s v="SOLRECOUP"/>
    <s v="SOLRECOUP"/>
    <s v="POARECOUP"/>
    <n v="21346431"/>
    <n v="-568.16"/>
    <m/>
    <s v="Y"/>
    <n v="2"/>
    <d v="2023-07-07T19:34:23"/>
    <s v="N"/>
    <m/>
    <m/>
    <s v="Profit Cost"/>
    <m/>
    <s v="N"/>
    <n v="0"/>
    <n v="-94.69"/>
    <x v="9"/>
    <s v="VALIDATED"/>
    <n v="1"/>
    <s v="01.11.80.307.2013.0000"/>
    <n v="-94.69"/>
    <s v="11"/>
    <s v="2013"/>
    <n v="30594.15"/>
    <n v="-94.69"/>
    <s v="CREDITOR"/>
    <n v="0"/>
    <n v="0"/>
    <n v="-94.69"/>
    <n v="-23.6725"/>
    <n v="0"/>
  </r>
  <r>
    <n v="60740536"/>
    <s v="N"/>
    <n v="21346432"/>
    <s v="3000014983190003RC"/>
    <s v="CIVIL"/>
    <d v="2023-06-27T00:00:00"/>
    <d v="2023-07-07T19:34:21"/>
    <m/>
    <d v="2023-07-07T00:00:00"/>
    <n v="1205"/>
    <n v="18696"/>
    <s v="60740536"/>
    <s v="60740536"/>
    <m/>
    <m/>
    <m/>
    <m/>
    <m/>
    <m/>
    <s v="SOLRECOUP"/>
    <s v="SOLRECOUP"/>
    <s v="POARECOUP"/>
    <n v="21346432"/>
    <n v="-972"/>
    <m/>
    <s v="Y"/>
    <n v="1"/>
    <d v="2023-07-07T19:34:23"/>
    <s v="N"/>
    <m/>
    <m/>
    <s v="Expert Disbursement"/>
    <m/>
    <s v="N"/>
    <n v="-810"/>
    <n v="0"/>
    <x v="9"/>
    <s v="VALIDATED"/>
    <n v="1"/>
    <s v="01.11.80.308.2013.0000"/>
    <n v="-810"/>
    <s v="11"/>
    <s v="2013"/>
    <n v="30594.15"/>
    <n v="-810"/>
    <s v="CREDITOR"/>
    <n v="0"/>
    <n v="0"/>
    <n v="-810"/>
    <n v="0"/>
    <n v="0"/>
  </r>
  <r>
    <n v="60740536"/>
    <s v="N"/>
    <n v="21346432"/>
    <s v="3000014983190003RC"/>
    <s v="CIVIL"/>
    <d v="2023-06-27T00:00:00"/>
    <d v="2023-07-07T19:34:21"/>
    <m/>
    <d v="2023-07-07T00:00:00"/>
    <n v="1205"/>
    <n v="18696"/>
    <s v="60740536"/>
    <s v="60740536"/>
    <m/>
    <m/>
    <m/>
    <m/>
    <m/>
    <m/>
    <s v="SOLRECOUP"/>
    <s v="SOLRECOUP"/>
    <s v="POARECOUP"/>
    <n v="21346432"/>
    <n v="-972"/>
    <m/>
    <s v="Y"/>
    <n v="2"/>
    <d v="2023-07-07T19:34:23"/>
    <s v="N"/>
    <m/>
    <m/>
    <s v="Expert Disbursement"/>
    <m/>
    <s v="N"/>
    <n v="0"/>
    <n v="-162"/>
    <x v="9"/>
    <s v="VALIDATED"/>
    <n v="1"/>
    <s v="01.11.80.308.2013.0000"/>
    <n v="-162"/>
    <s v="11"/>
    <s v="2013"/>
    <n v="30594.15"/>
    <n v="-162"/>
    <s v="CREDITOR"/>
    <n v="0"/>
    <n v="0"/>
    <n v="-162"/>
    <n v="0"/>
    <n v="0"/>
  </r>
  <r>
    <n v="60773030"/>
    <s v="N"/>
    <n v="21346433"/>
    <s v="3000015011890003RC"/>
    <s v="CIVIL"/>
    <d v="2023-06-29T00:00:00"/>
    <d v="2023-07-07T19:34:21"/>
    <m/>
    <d v="2023-07-07T00:00:00"/>
    <n v="1205"/>
    <n v="18696"/>
    <s v="60773030"/>
    <s v="60773030"/>
    <m/>
    <m/>
    <m/>
    <m/>
    <m/>
    <m/>
    <s v="SOLRECOUP"/>
    <s v="SOLRECOUP"/>
    <s v="POARECOUP"/>
    <n v="21346433"/>
    <n v="-210.04"/>
    <m/>
    <s v="Y"/>
    <n v="1"/>
    <d v="2023-07-07T19:34:23"/>
    <s v="N"/>
    <m/>
    <m/>
    <s v="Profit Cost"/>
    <m/>
    <s v="N"/>
    <n v="-175.03"/>
    <n v="0"/>
    <x v="9"/>
    <s v="VALIDATED"/>
    <n v="1"/>
    <s v="01.11.80.307.2013.0000"/>
    <n v="-175.03"/>
    <s v="11"/>
    <s v="2013"/>
    <n v="30594.15"/>
    <n v="-175.03"/>
    <s v="CREDITOR"/>
    <n v="0"/>
    <n v="0"/>
    <n v="-175.03"/>
    <n v="-43.7575"/>
    <n v="0"/>
  </r>
  <r>
    <n v="60773030"/>
    <s v="N"/>
    <n v="21346433"/>
    <s v="3000015011890003RC"/>
    <s v="CIVIL"/>
    <d v="2023-06-29T00:00:00"/>
    <d v="2023-07-07T19:34:21"/>
    <m/>
    <d v="2023-07-07T00:00:00"/>
    <n v="1205"/>
    <n v="18696"/>
    <s v="60773030"/>
    <s v="60773030"/>
    <m/>
    <m/>
    <m/>
    <m/>
    <m/>
    <m/>
    <s v="SOLRECOUP"/>
    <s v="SOLRECOUP"/>
    <s v="POARECOUP"/>
    <n v="21346433"/>
    <n v="-210.04"/>
    <m/>
    <s v="Y"/>
    <n v="2"/>
    <d v="2023-07-07T19:34:23"/>
    <s v="N"/>
    <m/>
    <m/>
    <s v="Profit Cost"/>
    <m/>
    <s v="N"/>
    <n v="0"/>
    <n v="-35.01"/>
    <x v="9"/>
    <s v="VALIDATED"/>
    <n v="1"/>
    <s v="01.11.80.307.2013.0000"/>
    <n v="-35.01"/>
    <s v="11"/>
    <s v="2013"/>
    <n v="30594.15"/>
    <n v="-35.01"/>
    <s v="CREDITOR"/>
    <n v="0"/>
    <n v="0"/>
    <n v="-35.01"/>
    <n v="-8.7525"/>
    <n v="0"/>
  </r>
  <r>
    <n v="60740536"/>
    <s v="N"/>
    <n v="21346434"/>
    <s v="3000014983190004RC"/>
    <s v="CIVIL"/>
    <d v="2023-06-27T00:00:00"/>
    <d v="2023-07-07T19:34:21"/>
    <m/>
    <d v="2023-07-07T00:00:00"/>
    <n v="1205"/>
    <n v="18696"/>
    <s v="60740536"/>
    <s v="60740536"/>
    <m/>
    <m/>
    <m/>
    <m/>
    <m/>
    <m/>
    <s v="SOLRECOUP"/>
    <s v="SOLRECOUP"/>
    <s v="POARECOUP"/>
    <n v="21346434"/>
    <n v="-1430"/>
    <m/>
    <s v="Y"/>
    <n v="1"/>
    <d v="2023-07-07T19:34:23"/>
    <s v="N"/>
    <m/>
    <m/>
    <s v="Profit Cost"/>
    <m/>
    <s v="N"/>
    <n v="-1191.67"/>
    <n v="0"/>
    <x v="9"/>
    <s v="VALIDATED"/>
    <n v="1"/>
    <s v="01.11.80.308.2013.0000"/>
    <n v="-1191.67"/>
    <s v="11"/>
    <s v="2013"/>
    <n v="30594.15"/>
    <n v="-1191.67"/>
    <s v="CREDITOR"/>
    <n v="0"/>
    <n v="0"/>
    <n v="-1191.67"/>
    <n v="-297.9175"/>
    <n v="0"/>
  </r>
  <r>
    <n v="60740536"/>
    <s v="N"/>
    <n v="21346434"/>
    <s v="3000014983190004RC"/>
    <s v="CIVIL"/>
    <d v="2023-06-27T00:00:00"/>
    <d v="2023-07-07T19:34:21"/>
    <m/>
    <d v="2023-07-07T00:00:00"/>
    <n v="1205"/>
    <n v="18696"/>
    <s v="60740536"/>
    <s v="60740536"/>
    <m/>
    <m/>
    <m/>
    <m/>
    <m/>
    <m/>
    <s v="SOLRECOUP"/>
    <s v="SOLRECOUP"/>
    <s v="POARECOUP"/>
    <n v="21346434"/>
    <n v="-1430"/>
    <m/>
    <s v="Y"/>
    <n v="2"/>
    <d v="2023-07-07T19:34:23"/>
    <s v="N"/>
    <m/>
    <m/>
    <s v="Profit Cost"/>
    <m/>
    <s v="N"/>
    <n v="0"/>
    <n v="-238.33"/>
    <x v="9"/>
    <s v="VALIDATED"/>
    <n v="1"/>
    <s v="01.11.80.308.2013.0000"/>
    <n v="-238.33"/>
    <s v="11"/>
    <s v="2013"/>
    <n v="30594.15"/>
    <n v="-238.33"/>
    <s v="CREDITOR"/>
    <n v="0"/>
    <n v="0"/>
    <n v="-238.33"/>
    <n v="-59.5825"/>
    <n v="0"/>
  </r>
  <r>
    <n v="60740536"/>
    <s v="N"/>
    <n v="21346435"/>
    <s v="3000014983190005RC"/>
    <s v="CIVIL"/>
    <d v="2023-06-27T00:00:00"/>
    <d v="2023-07-07T19:34:21"/>
    <m/>
    <d v="2023-07-07T00:00:00"/>
    <n v="1205"/>
    <n v="18696"/>
    <s v="60740536"/>
    <s v="60740536"/>
    <m/>
    <m/>
    <m/>
    <m/>
    <m/>
    <m/>
    <s v="SOLRECOUP"/>
    <s v="SOLRECOUP"/>
    <s v="POARECOUP"/>
    <n v="21346435"/>
    <n v="-405"/>
    <m/>
    <s v="Y"/>
    <n v="1"/>
    <d v="2023-07-07T19:34:23"/>
    <s v="N"/>
    <m/>
    <m/>
    <s v="Expert Disbursement"/>
    <m/>
    <s v="N"/>
    <n v="-405"/>
    <n v="0"/>
    <x v="9"/>
    <s v="VALIDATED"/>
    <n v="1"/>
    <s v="01.11.80.308.2013.0000"/>
    <n v="-405"/>
    <s v="11"/>
    <s v="2013"/>
    <n v="30594.15"/>
    <n v="-405"/>
    <s v="CREDITOR"/>
    <n v="0"/>
    <n v="0"/>
    <n v="-405"/>
    <n v="0"/>
    <n v="0"/>
  </r>
  <r>
    <n v="60764755"/>
    <s v="N"/>
    <n v="21340046"/>
    <s v="3000015002070004RC"/>
    <s v="CIVIL"/>
    <d v="2023-06-22T00:00:00"/>
    <d v="2023-07-06T19:54:22"/>
    <m/>
    <d v="2023-07-06T00:00:00"/>
    <n v="1205"/>
    <n v="18696"/>
    <s v="60764755"/>
    <s v="60764755"/>
    <m/>
    <m/>
    <m/>
    <m/>
    <m/>
    <m/>
    <s v="SOLRECOUP"/>
    <s v="SOLRECOUP"/>
    <s v="POARECOUP"/>
    <n v="21340046"/>
    <n v="-824.95"/>
    <m/>
    <s v="Y"/>
    <n v="2"/>
    <d v="2023-07-06T19:54:23"/>
    <s v="N"/>
    <m/>
    <m/>
    <s v="Profit Cost"/>
    <m/>
    <s v="N"/>
    <n v="0"/>
    <n v="-137.49"/>
    <x v="4"/>
    <s v="VALIDATED"/>
    <n v="1"/>
    <s v="01.11.80.308.2013.0000"/>
    <n v="-137.49"/>
    <s v="11"/>
    <s v="2013"/>
    <n v="30594.15"/>
    <n v="-137.49"/>
    <s v="CREDITOR"/>
    <n v="0"/>
    <n v="0"/>
    <n v="-137.49"/>
    <n v="-34.3725"/>
    <n v="0"/>
  </r>
  <r>
    <n v="60764755"/>
    <s v="N"/>
    <n v="21340047"/>
    <s v="3000015002070002RC"/>
    <s v="CIVIL"/>
    <d v="2023-06-22T00:00:00"/>
    <d v="2023-07-06T19:54:22"/>
    <m/>
    <d v="2023-07-06T00:00:00"/>
    <n v="1205"/>
    <n v="18696"/>
    <s v="60764755"/>
    <s v="60764755"/>
    <m/>
    <m/>
    <m/>
    <m/>
    <m/>
    <m/>
    <s v="SOLRECOUP"/>
    <s v="SOLRECOUP"/>
    <s v="POARECOUP"/>
    <n v="21340047"/>
    <n v="-198.9"/>
    <m/>
    <s v="Y"/>
    <n v="1"/>
    <d v="2023-07-06T19:54:23"/>
    <s v="N"/>
    <m/>
    <m/>
    <s v="Expert Disbursement"/>
    <m/>
    <s v="N"/>
    <n v="-198.9"/>
    <n v="0"/>
    <x v="4"/>
    <s v="VALIDATED"/>
    <n v="1"/>
    <s v="01.11.80.308.2013.0000"/>
    <n v="-198.9"/>
    <s v="11"/>
    <s v="2013"/>
    <n v="30594.15"/>
    <n v="-198.9"/>
    <s v="CREDITOR"/>
    <n v="0"/>
    <n v="0"/>
    <n v="-198.9"/>
    <n v="0"/>
    <n v="0"/>
  </r>
  <r>
    <n v="60764755"/>
    <s v="N"/>
    <n v="21340047"/>
    <s v="3000015002070002RC"/>
    <s v="CIVIL"/>
    <d v="2023-06-22T00:00:00"/>
    <d v="2023-07-06T19:54:22"/>
    <m/>
    <d v="2023-07-06T00:00:00"/>
    <n v="1205"/>
    <n v="18696"/>
    <s v="60764755"/>
    <s v="60764755"/>
    <m/>
    <m/>
    <m/>
    <m/>
    <m/>
    <m/>
    <s v="SOLRECOUP"/>
    <s v="SOLRECOUP"/>
    <s v="POARECOUP"/>
    <n v="21340047"/>
    <n v="-198.9"/>
    <m/>
    <s v="Y"/>
    <n v="2"/>
    <d v="2023-07-06T19:54:23"/>
    <s v="N"/>
    <m/>
    <m/>
    <s v="Expert Disbursement"/>
    <m/>
    <s v="N"/>
    <n v="0"/>
    <n v="0"/>
    <x v="4"/>
    <s v="VALIDATED"/>
    <n v="1"/>
    <s v="01.11.80.000.0000.0000"/>
    <n v="0"/>
    <s v="11"/>
    <s v="0000"/>
    <n v="30594.15"/>
    <n v="0"/>
    <s v="CREDITOR"/>
    <n v="0"/>
    <n v="0"/>
    <n v="0"/>
    <n v="0"/>
    <n v="0"/>
  </r>
  <r>
    <n v="60764755"/>
    <s v="N"/>
    <n v="21340048"/>
    <s v="3000015002070003RC"/>
    <s v="CIVIL"/>
    <d v="2023-06-22T00:00:00"/>
    <d v="2023-07-06T19:54:22"/>
    <m/>
    <d v="2023-07-06T00:00:00"/>
    <n v="1205"/>
    <n v="18696"/>
    <s v="60764755"/>
    <s v="60764755"/>
    <m/>
    <m/>
    <m/>
    <m/>
    <m/>
    <m/>
    <s v="SOLRECOUP"/>
    <s v="SOLRECOUP"/>
    <s v="POARECOUP"/>
    <n v="21340048"/>
    <n v="-2523.52"/>
    <m/>
    <s v="Y"/>
    <n v="1"/>
    <d v="2023-07-06T19:54:23"/>
    <s v="N"/>
    <m/>
    <m/>
    <s v="Profit Cost"/>
    <m/>
    <s v="N"/>
    <n v="-2102.93"/>
    <n v="0"/>
    <x v="4"/>
    <s v="VALIDATED"/>
    <n v="1"/>
    <s v="01.11.80.308.2013.0000"/>
    <n v="-2102.93"/>
    <s v="11"/>
    <s v="2013"/>
    <n v="30594.15"/>
    <n v="-2102.93"/>
    <s v="CREDITOR"/>
    <n v="0"/>
    <n v="0"/>
    <n v="-2102.93"/>
    <n v="-525.7325"/>
    <n v="0"/>
  </r>
  <r>
    <n v="60764755"/>
    <s v="N"/>
    <n v="21340048"/>
    <s v="3000015002070003RC"/>
    <s v="CIVIL"/>
    <d v="2023-06-22T00:00:00"/>
    <d v="2023-07-06T19:54:22"/>
    <m/>
    <d v="2023-07-06T00:00:00"/>
    <n v="1205"/>
    <n v="18696"/>
    <s v="60764755"/>
    <s v="60764755"/>
    <m/>
    <m/>
    <m/>
    <m/>
    <m/>
    <m/>
    <s v="SOLRECOUP"/>
    <s v="SOLRECOUP"/>
    <s v="POARECOUP"/>
    <n v="21340048"/>
    <n v="-2523.52"/>
    <m/>
    <s v="Y"/>
    <n v="2"/>
    <d v="2023-07-06T19:54:23"/>
    <s v="N"/>
    <m/>
    <m/>
    <s v="Profit Cost"/>
    <m/>
    <s v="N"/>
    <n v="0"/>
    <n v="-420.59"/>
    <x v="4"/>
    <s v="VALIDATED"/>
    <n v="1"/>
    <s v="01.11.80.308.2013.0000"/>
    <n v="-420.59"/>
    <s v="11"/>
    <s v="2013"/>
    <n v="30594.15"/>
    <n v="-420.59"/>
    <s v="CREDITOR"/>
    <n v="0"/>
    <n v="0"/>
    <n v="-420.59"/>
    <n v="-105.1475"/>
    <n v="0"/>
  </r>
  <r>
    <n v="62064082"/>
    <s v="N"/>
    <n v="21340049"/>
    <s v="3000016093980001RC"/>
    <s v="CIVIL"/>
    <d v="2023-06-30T00:00:00"/>
    <d v="2023-07-06T19:54:22"/>
    <m/>
    <d v="2023-07-06T00:00:00"/>
    <n v="1205"/>
    <n v="18696"/>
    <s v="62064082"/>
    <s v="62064082"/>
    <m/>
    <m/>
    <m/>
    <m/>
    <m/>
    <m/>
    <s v="SOLRECOUP"/>
    <s v="SOLRECOUP"/>
    <s v="POARECOUP"/>
    <n v="21340049"/>
    <n v="-2080.55"/>
    <m/>
    <s v="Y"/>
    <n v="1"/>
    <d v="2023-07-06T19:54:23"/>
    <s v="N"/>
    <m/>
    <m/>
    <s v="Profit Cost"/>
    <m/>
    <s v="N"/>
    <n v="-1733.79"/>
    <n v="0"/>
    <x v="4"/>
    <s v="VALIDATED"/>
    <n v="1"/>
    <s v="01.11.80.308.2013.0000"/>
    <n v="-1733.79"/>
    <s v="11"/>
    <s v="2013"/>
    <n v="30594.15"/>
    <n v="-1733.79"/>
    <s v="CREDITOR"/>
    <n v="0"/>
    <n v="0"/>
    <n v="-1733.79"/>
    <n v="-433.4475"/>
    <n v="0"/>
  </r>
  <r>
    <n v="62064082"/>
    <s v="N"/>
    <n v="21340049"/>
    <s v="3000016093980001RC"/>
    <s v="CIVIL"/>
    <d v="2023-06-30T00:00:00"/>
    <d v="2023-07-06T19:54:22"/>
    <m/>
    <d v="2023-07-06T00:00:00"/>
    <n v="1205"/>
    <n v="18696"/>
    <s v="62064082"/>
    <s v="62064082"/>
    <m/>
    <m/>
    <m/>
    <m/>
    <m/>
    <m/>
    <s v="SOLRECOUP"/>
    <s v="SOLRECOUP"/>
    <s v="POARECOUP"/>
    <n v="21340049"/>
    <n v="-2080.55"/>
    <m/>
    <s v="Y"/>
    <n v="2"/>
    <d v="2023-07-06T19:54:23"/>
    <s v="N"/>
    <m/>
    <m/>
    <s v="Profit Cost"/>
    <m/>
    <s v="N"/>
    <n v="0"/>
    <n v="-346.76"/>
    <x v="4"/>
    <s v="VALIDATED"/>
    <n v="1"/>
    <s v="01.11.80.308.2013.0000"/>
    <n v="-346.76"/>
    <s v="11"/>
    <s v="2013"/>
    <n v="30594.15"/>
    <n v="-346.76"/>
    <s v="CREDITOR"/>
    <n v="0"/>
    <n v="0"/>
    <n v="-346.76"/>
    <n v="-86.69"/>
    <n v="0"/>
  </r>
  <r>
    <n v="54813547"/>
    <s v="N"/>
    <n v="21340050"/>
    <s v="3000013038820006RC"/>
    <s v="CIVIL"/>
    <d v="2023-06-27T00:00:00"/>
    <d v="2023-07-06T19:54:22"/>
    <m/>
    <d v="2023-07-06T00:00:00"/>
    <n v="1205"/>
    <n v="18696"/>
    <s v="54813547"/>
    <s v="54813547"/>
    <m/>
    <m/>
    <m/>
    <m/>
    <m/>
    <m/>
    <s v="SOLRECOUP"/>
    <s v="SOLRECOUP"/>
    <s v="POARECOUP"/>
    <n v="21340050"/>
    <n v="-1230.14"/>
    <m/>
    <s v="Y"/>
    <n v="1"/>
    <d v="2023-07-06T19:54:23"/>
    <s v="N"/>
    <m/>
    <m/>
    <s v="Profit Cost"/>
    <m/>
    <s v="N"/>
    <n v="-1025.12"/>
    <n v="0"/>
    <x v="4"/>
    <s v="VALIDATED"/>
    <n v="1"/>
    <s v="01.11.80.308.2013.0000"/>
    <n v="-1025.12"/>
    <s v="11"/>
    <s v="2013"/>
    <n v="30594.15"/>
    <n v="-1025.12"/>
    <s v="CREDITOR"/>
    <n v="0"/>
    <n v="0"/>
    <n v="-1025.12"/>
    <n v="-256.28"/>
    <n v="0"/>
  </r>
  <r>
    <n v="54813547"/>
    <s v="N"/>
    <n v="21340050"/>
    <s v="3000013038820006RC"/>
    <s v="CIVIL"/>
    <d v="2023-06-27T00:00:00"/>
    <d v="2023-07-06T19:54:22"/>
    <m/>
    <d v="2023-07-06T00:00:00"/>
    <n v="1205"/>
    <n v="18696"/>
    <s v="54813547"/>
    <s v="54813547"/>
    <m/>
    <m/>
    <m/>
    <m/>
    <m/>
    <m/>
    <s v="SOLRECOUP"/>
    <s v="SOLRECOUP"/>
    <s v="POARECOUP"/>
    <n v="21340050"/>
    <n v="-1230.14"/>
    <m/>
    <s v="Y"/>
    <n v="2"/>
    <d v="2023-07-06T19:54:23"/>
    <s v="N"/>
    <m/>
    <m/>
    <s v="Profit Cost"/>
    <m/>
    <s v="N"/>
    <n v="0"/>
    <n v="-205.02"/>
    <x v="4"/>
    <s v="VALIDATED"/>
    <n v="1"/>
    <s v="01.11.80.308.2013.0000"/>
    <n v="-205.02"/>
    <s v="11"/>
    <s v="2013"/>
    <n v="30594.15"/>
    <n v="-205.02"/>
    <s v="CREDITOR"/>
    <n v="0"/>
    <n v="0"/>
    <n v="-205.02"/>
    <n v="-51.255"/>
    <n v="0"/>
  </r>
  <r>
    <n v="60764755"/>
    <s v="N"/>
    <n v="21340051"/>
    <s v="3000015002070005RC"/>
    <s v="CIVIL"/>
    <d v="2023-06-22T00:00:00"/>
    <d v="2023-07-06T19:54:22"/>
    <m/>
    <d v="2023-07-06T00:00:00"/>
    <n v="1205"/>
    <n v="18696"/>
    <s v="60764755"/>
    <s v="60764755"/>
    <m/>
    <m/>
    <m/>
    <m/>
    <m/>
    <m/>
    <s v="SOLRECOUP"/>
    <s v="SOLRECOUP"/>
    <s v="POARECOUP"/>
    <n v="21340051"/>
    <n v="-223.48"/>
    <m/>
    <s v="Y"/>
    <n v="1"/>
    <d v="2023-07-06T19:54:23"/>
    <s v="N"/>
    <m/>
    <m/>
    <s v="Non Expert Disbursement"/>
    <m/>
    <s v="N"/>
    <n v="-186.23"/>
    <n v="0"/>
    <x v="4"/>
    <s v="VALIDATED"/>
    <n v="1"/>
    <s v="01.11.80.308.2013.0000"/>
    <n v="-186.23"/>
    <s v="11"/>
    <s v="2013"/>
    <n v="30594.15"/>
    <n v="-186.23"/>
    <s v="CREDITOR"/>
    <n v="0"/>
    <n v="0"/>
    <n v="-186.23"/>
    <n v="0"/>
    <n v="0"/>
  </r>
  <r>
    <n v="60867047"/>
    <s v="N"/>
    <n v="21356592"/>
    <s v="3000015089740002RC"/>
    <s v="CIVIL"/>
    <d v="2023-06-26T00:00:00"/>
    <d v="2023-07-10T19:47:44"/>
    <m/>
    <d v="2023-07-10T00:00:00"/>
    <n v="1205"/>
    <n v="18696"/>
    <s v="60867047"/>
    <s v="60867047"/>
    <m/>
    <m/>
    <m/>
    <m/>
    <m/>
    <m/>
    <s v="SOLRECOUP"/>
    <s v="SOLRECOUP"/>
    <s v="POARECOUP"/>
    <n v="21356592"/>
    <n v="-315.98"/>
    <m/>
    <s v="Y"/>
    <n v="1"/>
    <d v="2023-07-10T19:47:45"/>
    <s v="N"/>
    <m/>
    <m/>
    <s v="Non Expert Disbursement"/>
    <m/>
    <s v="N"/>
    <n v="-263.32"/>
    <n v="0"/>
    <x v="2"/>
    <s v="VALIDATED"/>
    <n v="1"/>
    <s v="01.11.80.308.2013.0000"/>
    <n v="-263.32"/>
    <s v="11"/>
    <s v="2013"/>
    <n v="30594.15"/>
    <n v="-263.32"/>
    <s v="CREDITOR"/>
    <n v="0"/>
    <n v="0"/>
    <n v="-263.32"/>
    <n v="0"/>
    <n v="0"/>
  </r>
  <r>
    <n v="60867047"/>
    <s v="N"/>
    <n v="21356592"/>
    <s v="3000015089740002RC"/>
    <s v="CIVIL"/>
    <d v="2023-06-26T00:00:00"/>
    <d v="2023-07-10T19:47:44"/>
    <m/>
    <d v="2023-07-10T00:00:00"/>
    <n v="1205"/>
    <n v="18696"/>
    <s v="60867047"/>
    <s v="60867047"/>
    <m/>
    <m/>
    <m/>
    <m/>
    <m/>
    <m/>
    <s v="SOLRECOUP"/>
    <s v="SOLRECOUP"/>
    <s v="POARECOUP"/>
    <n v="21356592"/>
    <n v="-315.98"/>
    <m/>
    <s v="Y"/>
    <n v="2"/>
    <d v="2023-07-10T19:47:45"/>
    <s v="N"/>
    <m/>
    <m/>
    <s v="Non Expert Disbursement"/>
    <m/>
    <s v="N"/>
    <n v="0"/>
    <n v="-52.66"/>
    <x v="2"/>
    <s v="VALIDATED"/>
    <n v="1"/>
    <s v="01.11.80.308.2013.0000"/>
    <n v="-52.66"/>
    <s v="11"/>
    <s v="2013"/>
    <n v="30594.15"/>
    <n v="-52.66"/>
    <s v="CREDITOR"/>
    <n v="0"/>
    <n v="0"/>
    <n v="-52.66"/>
    <n v="0"/>
    <n v="0"/>
  </r>
  <r>
    <n v="60066609"/>
    <s v="N"/>
    <n v="21356594"/>
    <s v="3000014401840003RC"/>
    <s v="CIVIL"/>
    <d v="2023-06-29T00:00:00"/>
    <d v="2023-07-10T19:47:44"/>
    <m/>
    <d v="2023-07-10T00:00:00"/>
    <n v="1205"/>
    <n v="18696"/>
    <s v="60066609"/>
    <s v="60066609"/>
    <m/>
    <m/>
    <m/>
    <m/>
    <m/>
    <m/>
    <s v="SOLRECOUP"/>
    <s v="SOLRECOUP"/>
    <s v="POARECOUP"/>
    <n v="21356594"/>
    <n v="-2957.32"/>
    <m/>
    <s v="Y"/>
    <n v="1"/>
    <d v="2023-07-10T19:47:45"/>
    <s v="N"/>
    <m/>
    <m/>
    <s v="Profit Cost"/>
    <m/>
    <s v="N"/>
    <n v="-2464.43"/>
    <n v="0"/>
    <x v="2"/>
    <s v="VALIDATED"/>
    <n v="1"/>
    <s v="01.11.80.308.2013.0000"/>
    <n v="-2464.43"/>
    <s v="11"/>
    <s v="2013"/>
    <n v="30594.15"/>
    <n v="-2464.43"/>
    <s v="CREDITOR"/>
    <n v="0"/>
    <n v="0"/>
    <n v="-2464.43"/>
    <n v="-616.1075"/>
    <n v="0"/>
  </r>
  <r>
    <n v="60066609"/>
    <s v="N"/>
    <n v="21356594"/>
    <s v="3000014401840003RC"/>
    <s v="CIVIL"/>
    <d v="2023-06-29T00:00:00"/>
    <d v="2023-07-10T19:47:44"/>
    <m/>
    <d v="2023-07-10T00:00:00"/>
    <n v="1205"/>
    <n v="18696"/>
    <s v="60066609"/>
    <s v="60066609"/>
    <m/>
    <m/>
    <m/>
    <m/>
    <m/>
    <m/>
    <s v="SOLRECOUP"/>
    <s v="SOLRECOUP"/>
    <s v="POARECOUP"/>
    <n v="21356594"/>
    <n v="-2957.32"/>
    <m/>
    <s v="Y"/>
    <n v="2"/>
    <d v="2023-07-10T19:47:45"/>
    <s v="N"/>
    <m/>
    <m/>
    <s v="Profit Cost"/>
    <m/>
    <s v="N"/>
    <n v="0"/>
    <n v="-492.89"/>
    <x v="2"/>
    <s v="VALIDATED"/>
    <n v="1"/>
    <s v="01.11.80.308.2013.0000"/>
    <n v="-492.89"/>
    <s v="11"/>
    <s v="2013"/>
    <n v="30594.15"/>
    <n v="-492.89"/>
    <s v="CREDITOR"/>
    <n v="0"/>
    <n v="0"/>
    <n v="-492.89"/>
    <n v="-123.2225"/>
    <n v="0"/>
  </r>
  <r>
    <n v="60066609"/>
    <s v="N"/>
    <n v="21356596"/>
    <s v="3000014401840001RC"/>
    <s v="CIVIL"/>
    <d v="2023-06-29T00:00:00"/>
    <d v="2023-07-10T19:47:44"/>
    <m/>
    <d v="2023-07-10T00:00:00"/>
    <n v="1205"/>
    <n v="18696"/>
    <s v="60066609"/>
    <s v="60066609"/>
    <m/>
    <m/>
    <m/>
    <m/>
    <m/>
    <m/>
    <s v="SOLRECOUP"/>
    <s v="SOLRECOUP"/>
    <s v="POARECOUP"/>
    <n v="21356596"/>
    <n v="-1513.04"/>
    <m/>
    <s v="Y"/>
    <n v="1"/>
    <d v="2023-07-10T19:47:45"/>
    <s v="N"/>
    <m/>
    <m/>
    <s v="Profit Cost"/>
    <m/>
    <s v="N"/>
    <n v="-1260.87"/>
    <n v="0"/>
    <x v="2"/>
    <s v="VALIDATED"/>
    <n v="1"/>
    <s v="01.11.80.308.2013.0000"/>
    <n v="-1260.87"/>
    <s v="11"/>
    <s v="2013"/>
    <n v="30594.15"/>
    <n v="-1260.87"/>
    <s v="CREDITOR"/>
    <n v="0"/>
    <n v="0"/>
    <n v="-1260.87"/>
    <n v="-315.2175"/>
    <n v="0"/>
  </r>
  <r>
    <n v="60066609"/>
    <s v="N"/>
    <n v="21356596"/>
    <s v="3000014401840001RC"/>
    <s v="CIVIL"/>
    <d v="2023-06-29T00:00:00"/>
    <d v="2023-07-10T19:47:44"/>
    <m/>
    <d v="2023-07-10T00:00:00"/>
    <n v="1205"/>
    <n v="18696"/>
    <s v="60066609"/>
    <s v="60066609"/>
    <m/>
    <m/>
    <m/>
    <m/>
    <m/>
    <m/>
    <s v="SOLRECOUP"/>
    <s v="SOLRECOUP"/>
    <s v="POARECOUP"/>
    <n v="21356596"/>
    <n v="-1513.04"/>
    <m/>
    <s v="Y"/>
    <n v="2"/>
    <d v="2023-07-10T19:47:45"/>
    <s v="N"/>
    <m/>
    <m/>
    <s v="Profit Cost"/>
    <m/>
    <s v="N"/>
    <n v="0"/>
    <n v="-252.17"/>
    <x v="2"/>
    <s v="VALIDATED"/>
    <n v="1"/>
    <s v="01.11.80.308.2013.0000"/>
    <n v="-252.17"/>
    <s v="11"/>
    <s v="2013"/>
    <n v="30594.15"/>
    <n v="-252.17"/>
    <s v="CREDITOR"/>
    <n v="0"/>
    <n v="0"/>
    <n v="-252.17"/>
    <n v="-63.0425"/>
    <n v="0"/>
  </r>
  <r>
    <n v="60066609"/>
    <s v="N"/>
    <n v="21356597"/>
    <s v="3000014401840002RC"/>
    <s v="CIVIL"/>
    <d v="2023-06-29T00:00:00"/>
    <d v="2023-07-10T19:47:44"/>
    <m/>
    <d v="2023-07-10T00:00:00"/>
    <n v="1205"/>
    <n v="18696"/>
    <s v="60066609"/>
    <s v="60066609"/>
    <m/>
    <m/>
    <m/>
    <m/>
    <m/>
    <m/>
    <s v="SOLRECOUP"/>
    <s v="SOLRECOUP"/>
    <s v="POARECOUP"/>
    <n v="21356597"/>
    <n v="-468"/>
    <m/>
    <s v="Y"/>
    <n v="1"/>
    <d v="2023-07-10T19:47:45"/>
    <s v="N"/>
    <m/>
    <m/>
    <s v="Expert Disbursement"/>
    <m/>
    <s v="N"/>
    <n v="-390"/>
    <n v="0"/>
    <x v="2"/>
    <s v="VALIDATED"/>
    <n v="1"/>
    <s v="01.11.80.308.2013.0000"/>
    <n v="-390"/>
    <s v="11"/>
    <s v="2013"/>
    <n v="30594.15"/>
    <n v="-390"/>
    <s v="CREDITOR"/>
    <n v="0"/>
    <n v="0"/>
    <n v="-390"/>
    <n v="0"/>
    <n v="0"/>
  </r>
  <r>
    <n v="60066609"/>
    <s v="N"/>
    <n v="21356597"/>
    <s v="3000014401840002RC"/>
    <s v="CIVIL"/>
    <d v="2023-06-29T00:00:00"/>
    <d v="2023-07-10T19:47:44"/>
    <m/>
    <d v="2023-07-10T00:00:00"/>
    <n v="1205"/>
    <n v="18696"/>
    <s v="60066609"/>
    <s v="60066609"/>
    <m/>
    <m/>
    <m/>
    <m/>
    <m/>
    <m/>
    <s v="SOLRECOUP"/>
    <s v="SOLRECOUP"/>
    <s v="POARECOUP"/>
    <n v="21356597"/>
    <n v="-468"/>
    <m/>
    <s v="Y"/>
    <n v="2"/>
    <d v="2023-07-10T19:47:45"/>
    <s v="N"/>
    <m/>
    <m/>
    <s v="Expert Disbursement"/>
    <m/>
    <s v="N"/>
    <n v="0"/>
    <n v="-78"/>
    <x v="2"/>
    <s v="VALIDATED"/>
    <n v="1"/>
    <s v="01.11.80.308.2013.0000"/>
    <n v="-78"/>
    <s v="11"/>
    <s v="2013"/>
    <n v="30594.15"/>
    <n v="-78"/>
    <s v="CREDITOR"/>
    <n v="0"/>
    <n v="0"/>
    <n v="-78"/>
    <n v="0"/>
    <n v="0"/>
  </r>
  <r>
    <n v="60066609"/>
    <s v="N"/>
    <n v="21356601"/>
    <s v="3000014401840004RC"/>
    <s v="CIVIL"/>
    <d v="2023-06-29T00:00:00"/>
    <d v="2023-07-10T19:47:44"/>
    <m/>
    <d v="2023-07-10T00:00:00"/>
    <n v="1205"/>
    <n v="18696"/>
    <s v="60066609"/>
    <s v="60066609"/>
    <m/>
    <m/>
    <m/>
    <m/>
    <m/>
    <m/>
    <s v="SOLRECOUP"/>
    <s v="SOLRECOUP"/>
    <s v="POARECOUP"/>
    <n v="21356601"/>
    <n v="-1146.92"/>
    <m/>
    <s v="Y"/>
    <n v="1"/>
    <d v="2023-07-10T19:47:45"/>
    <s v="N"/>
    <m/>
    <m/>
    <s v="Profit Cost"/>
    <m/>
    <s v="N"/>
    <n v="-955.77"/>
    <n v="0"/>
    <x v="2"/>
    <s v="VALIDATED"/>
    <n v="1"/>
    <s v="01.11.80.308.2013.0000"/>
    <n v="-955.77"/>
    <s v="11"/>
    <s v="2013"/>
    <n v="30594.15"/>
    <n v="-955.77"/>
    <s v="CREDITOR"/>
    <n v="0"/>
    <n v="0"/>
    <n v="-955.77"/>
    <n v="-238.9425"/>
    <n v="0"/>
  </r>
  <r>
    <n v="60066609"/>
    <s v="N"/>
    <n v="21356601"/>
    <s v="3000014401840004RC"/>
    <s v="CIVIL"/>
    <d v="2023-06-29T00:00:00"/>
    <d v="2023-07-10T19:47:44"/>
    <m/>
    <d v="2023-07-10T00:00:00"/>
    <n v="1205"/>
    <n v="18696"/>
    <s v="60066609"/>
    <s v="60066609"/>
    <m/>
    <m/>
    <m/>
    <m/>
    <m/>
    <m/>
    <s v="SOLRECOUP"/>
    <s v="SOLRECOUP"/>
    <s v="POARECOUP"/>
    <n v="21356601"/>
    <n v="-1146.92"/>
    <m/>
    <s v="Y"/>
    <n v="2"/>
    <d v="2023-07-10T19:47:45"/>
    <s v="N"/>
    <m/>
    <m/>
    <s v="Profit Cost"/>
    <m/>
    <s v="N"/>
    <n v="0"/>
    <n v="-191.15"/>
    <x v="2"/>
    <s v="VALIDATED"/>
    <n v="1"/>
    <s v="01.11.80.308.2013.0000"/>
    <n v="-191.15"/>
    <s v="11"/>
    <s v="2013"/>
    <n v="30594.15"/>
    <n v="-191.15"/>
    <s v="CREDITOR"/>
    <n v="0"/>
    <n v="0"/>
    <n v="-191.15"/>
    <n v="-47.7875"/>
    <n v="0"/>
  </r>
  <r>
    <n v="60867047"/>
    <s v="N"/>
    <n v="21356604"/>
    <s v="3000015089740003RC"/>
    <s v="CIVIL"/>
    <d v="2023-06-26T00:00:00"/>
    <d v="2023-07-10T19:47:44"/>
    <m/>
    <d v="2023-07-10T00:00:00"/>
    <n v="1205"/>
    <n v="18696"/>
    <s v="60867047"/>
    <s v="60867047"/>
    <m/>
    <m/>
    <m/>
    <m/>
    <m/>
    <m/>
    <s v="SOLRECOUP"/>
    <s v="SOLRECOUP"/>
    <s v="POARECOUP"/>
    <n v="21356604"/>
    <n v="-3643.27"/>
    <m/>
    <s v="Y"/>
    <n v="1"/>
    <d v="2023-07-10T19:47:45"/>
    <s v="N"/>
    <m/>
    <m/>
    <s v="Profit Cost"/>
    <m/>
    <s v="N"/>
    <n v="-3036.06"/>
    <n v="0"/>
    <x v="2"/>
    <s v="VALIDATED"/>
    <n v="1"/>
    <s v="01.11.80.308.2013.0000"/>
    <n v="-3036.06"/>
    <s v="11"/>
    <s v="2013"/>
    <n v="30594.15"/>
    <n v="-3036.06"/>
    <s v="CREDITOR"/>
    <n v="0"/>
    <n v="0"/>
    <n v="-3036.06"/>
    <n v="-759.015"/>
    <n v="0"/>
  </r>
  <r>
    <n v="60867047"/>
    <s v="N"/>
    <n v="21356604"/>
    <s v="3000015089740003RC"/>
    <s v="CIVIL"/>
    <d v="2023-06-26T00:00:00"/>
    <d v="2023-07-10T19:47:44"/>
    <m/>
    <d v="2023-07-10T00:00:00"/>
    <n v="1205"/>
    <n v="18696"/>
    <s v="60867047"/>
    <s v="60867047"/>
    <m/>
    <m/>
    <m/>
    <m/>
    <m/>
    <m/>
    <s v="SOLRECOUP"/>
    <s v="SOLRECOUP"/>
    <s v="POARECOUP"/>
    <n v="21356604"/>
    <n v="-3643.27"/>
    <m/>
    <s v="Y"/>
    <n v="2"/>
    <d v="2023-07-10T19:47:45"/>
    <s v="N"/>
    <m/>
    <m/>
    <s v="Profit Cost"/>
    <m/>
    <s v="N"/>
    <n v="0"/>
    <n v="-607.21"/>
    <x v="2"/>
    <s v="VALIDATED"/>
    <n v="1"/>
    <s v="01.11.80.308.2013.0000"/>
    <n v="-607.21"/>
    <s v="11"/>
    <s v="2013"/>
    <n v="30594.15"/>
    <n v="-607.21"/>
    <s v="CREDITOR"/>
    <n v="0"/>
    <n v="0"/>
    <n v="-607.21"/>
    <n v="-151.8025"/>
    <n v="0"/>
  </r>
  <r>
    <n v="60867047"/>
    <s v="N"/>
    <n v="21356605"/>
    <s v="3000015089740004RC"/>
    <s v="CIVIL"/>
    <d v="2023-06-26T00:00:00"/>
    <d v="2023-07-10T19:47:44"/>
    <m/>
    <d v="2023-07-10T00:00:00"/>
    <n v="1205"/>
    <n v="18696"/>
    <s v="60867047"/>
    <s v="60867047"/>
    <m/>
    <m/>
    <m/>
    <m/>
    <m/>
    <m/>
    <s v="SOLRECOUP"/>
    <s v="SOLRECOUP"/>
    <s v="POARECOUP"/>
    <n v="21356605"/>
    <n v="-1763.94"/>
    <m/>
    <s v="Y"/>
    <n v="1"/>
    <d v="2023-07-10T19:47:45"/>
    <s v="N"/>
    <m/>
    <m/>
    <s v="Profit Cost"/>
    <m/>
    <s v="N"/>
    <n v="-1469.95"/>
    <n v="0"/>
    <x v="2"/>
    <s v="VALIDATED"/>
    <n v="1"/>
    <s v="01.11.80.308.2013.0000"/>
    <n v="-1469.95"/>
    <s v="11"/>
    <s v="2013"/>
    <n v="30594.15"/>
    <n v="-1469.95"/>
    <s v="CREDITOR"/>
    <n v="0"/>
    <n v="0"/>
    <n v="-1469.95"/>
    <n v="-367.4875"/>
    <n v="0"/>
  </r>
  <r>
    <n v="60867047"/>
    <s v="N"/>
    <n v="21356605"/>
    <s v="3000015089740004RC"/>
    <s v="CIVIL"/>
    <d v="2023-06-26T00:00:00"/>
    <d v="2023-07-10T19:47:44"/>
    <m/>
    <d v="2023-07-10T00:00:00"/>
    <n v="1205"/>
    <n v="18696"/>
    <s v="60867047"/>
    <s v="60867047"/>
    <m/>
    <m/>
    <m/>
    <m/>
    <m/>
    <m/>
    <s v="SOLRECOUP"/>
    <s v="SOLRECOUP"/>
    <s v="POARECOUP"/>
    <n v="21356605"/>
    <n v="-1763.94"/>
    <m/>
    <s v="Y"/>
    <n v="2"/>
    <d v="2023-07-10T19:47:45"/>
    <s v="N"/>
    <m/>
    <m/>
    <s v="Profit Cost"/>
    <m/>
    <s v="N"/>
    <n v="0"/>
    <n v="-293.99"/>
    <x v="2"/>
    <s v="VALIDATED"/>
    <n v="1"/>
    <s v="01.11.80.308.2013.0000"/>
    <n v="-293.99"/>
    <s v="11"/>
    <s v="2013"/>
    <n v="30594.15"/>
    <n v="-293.99"/>
    <s v="CREDITOR"/>
    <n v="0"/>
    <n v="0"/>
    <n v="-293.99"/>
    <n v="-73.4975"/>
    <n v="0"/>
  </r>
  <r>
    <n v="60066609"/>
    <s v="N"/>
    <n v="21356606"/>
    <s v="3000014401840007RC"/>
    <s v="CIVIL"/>
    <d v="2023-06-29T00:00:00"/>
    <d v="2023-07-10T19:47:44"/>
    <m/>
    <d v="2023-07-10T00:00:00"/>
    <n v="1205"/>
    <n v="18696"/>
    <s v="60066609"/>
    <s v="60066609"/>
    <m/>
    <m/>
    <m/>
    <m/>
    <m/>
    <m/>
    <s v="SOLRECOUP"/>
    <s v="SOLRECOUP"/>
    <s v="POARECOUP"/>
    <n v="21356606"/>
    <n v="-35.5"/>
    <m/>
    <s v="Y"/>
    <n v="1"/>
    <d v="2023-07-10T19:47:45"/>
    <s v="N"/>
    <m/>
    <m/>
    <s v="Non Expert Disbursement"/>
    <m/>
    <s v="N"/>
    <n v="-29.58"/>
    <n v="0"/>
    <x v="2"/>
    <s v="VALIDATED"/>
    <n v="1"/>
    <s v="01.11.80.308.2013.0000"/>
    <n v="-29.58"/>
    <s v="11"/>
    <s v="2013"/>
    <n v="30594.15"/>
    <n v="-29.58"/>
    <s v="CREDITOR"/>
    <n v="0"/>
    <n v="0"/>
    <n v="-29.58"/>
    <n v="0"/>
    <n v="0"/>
  </r>
  <r>
    <n v="60066609"/>
    <s v="N"/>
    <n v="21356606"/>
    <s v="3000014401840007RC"/>
    <s v="CIVIL"/>
    <d v="2023-06-29T00:00:00"/>
    <d v="2023-07-10T19:47:44"/>
    <m/>
    <d v="2023-07-10T00:00:00"/>
    <n v="1205"/>
    <n v="18696"/>
    <s v="60066609"/>
    <s v="60066609"/>
    <m/>
    <m/>
    <m/>
    <m/>
    <m/>
    <m/>
    <s v="SOLRECOUP"/>
    <s v="SOLRECOUP"/>
    <s v="POARECOUP"/>
    <n v="21356606"/>
    <n v="-35.5"/>
    <m/>
    <s v="Y"/>
    <n v="2"/>
    <d v="2023-07-10T19:47:45"/>
    <s v="N"/>
    <m/>
    <m/>
    <s v="Non Expert Disbursement"/>
    <m/>
    <s v="N"/>
    <n v="0"/>
    <n v="-5.92"/>
    <x v="2"/>
    <s v="VALIDATED"/>
    <n v="1"/>
    <s v="01.11.80.308.2013.0000"/>
    <n v="-5.92"/>
    <s v="11"/>
    <s v="2013"/>
    <n v="30594.15"/>
    <n v="-5.92"/>
    <s v="CREDITOR"/>
    <n v="0"/>
    <n v="0"/>
    <n v="-5.92"/>
    <n v="0"/>
    <n v="0"/>
  </r>
  <r>
    <n v="60867047"/>
    <s v="N"/>
    <n v="21356607"/>
    <s v="3000015089740006RC"/>
    <s v="CIVIL"/>
    <d v="2023-06-26T00:00:00"/>
    <d v="2023-07-10T19:47:44"/>
    <m/>
    <d v="2023-07-10T00:00:00"/>
    <n v="1205"/>
    <n v="18696"/>
    <s v="60867047"/>
    <s v="60867047"/>
    <m/>
    <m/>
    <m/>
    <m/>
    <m/>
    <m/>
    <s v="SOLRECOUP"/>
    <s v="SOLRECOUP"/>
    <s v="POARECOUP"/>
    <n v="21356607"/>
    <n v="-324"/>
    <m/>
    <s v="Y"/>
    <n v="1"/>
    <d v="2023-07-10T19:47:45"/>
    <s v="N"/>
    <m/>
    <m/>
    <s v="Expert Disbursement"/>
    <m/>
    <s v="N"/>
    <n v="-270"/>
    <n v="0"/>
    <x v="2"/>
    <s v="VALIDATED"/>
    <n v="1"/>
    <s v="01.11.80.308.2013.0000"/>
    <n v="-270"/>
    <s v="11"/>
    <s v="2013"/>
    <n v="30594.15"/>
    <n v="-270"/>
    <s v="CREDITOR"/>
    <n v="0"/>
    <n v="0"/>
    <n v="-270"/>
    <n v="0"/>
    <n v="0"/>
  </r>
  <r>
    <n v="60867047"/>
    <s v="N"/>
    <n v="21356607"/>
    <s v="3000015089740006RC"/>
    <s v="CIVIL"/>
    <d v="2023-06-26T00:00:00"/>
    <d v="2023-07-10T19:47:44"/>
    <m/>
    <d v="2023-07-10T00:00:00"/>
    <n v="1205"/>
    <n v="18696"/>
    <s v="60867047"/>
    <s v="60867047"/>
    <m/>
    <m/>
    <m/>
    <m/>
    <m/>
    <m/>
    <s v="SOLRECOUP"/>
    <s v="SOLRECOUP"/>
    <s v="POARECOUP"/>
    <n v="21356607"/>
    <n v="-324"/>
    <m/>
    <s v="Y"/>
    <n v="2"/>
    <d v="2023-07-10T19:47:45"/>
    <s v="N"/>
    <m/>
    <m/>
    <s v="Expert Disbursement"/>
    <m/>
    <s v="N"/>
    <n v="0"/>
    <n v="-54"/>
    <x v="2"/>
    <s v="VALIDATED"/>
    <n v="1"/>
    <s v="01.11.80.308.2013.0000"/>
    <n v="-54"/>
    <s v="11"/>
    <s v="2013"/>
    <n v="30594.15"/>
    <n v="-54"/>
    <s v="CREDITOR"/>
    <n v="0"/>
    <n v="0"/>
    <n v="-54"/>
    <n v="0"/>
    <n v="0"/>
  </r>
  <r>
    <n v="60867047"/>
    <s v="N"/>
    <n v="21356608"/>
    <s v="3000015089740005RC"/>
    <s v="CIVIL"/>
    <d v="2023-06-26T00:00:00"/>
    <d v="2023-07-10T19:47:44"/>
    <m/>
    <d v="2023-07-10T00:00:00"/>
    <n v="1205"/>
    <n v="18696"/>
    <s v="60867047"/>
    <s v="60867047"/>
    <m/>
    <m/>
    <m/>
    <m/>
    <m/>
    <m/>
    <s v="SOLRECOUP"/>
    <s v="SOLRECOUP"/>
    <s v="POARECOUP"/>
    <n v="21356608"/>
    <n v="-486"/>
    <m/>
    <s v="Y"/>
    <n v="1"/>
    <d v="2023-07-10T19:47:45"/>
    <s v="N"/>
    <m/>
    <m/>
    <s v="Expert Disbursement"/>
    <m/>
    <s v="N"/>
    <n v="-405"/>
    <n v="0"/>
    <x v="2"/>
    <s v="VALIDATED"/>
    <n v="1"/>
    <s v="01.11.80.308.2013.0000"/>
    <n v="-405"/>
    <s v="11"/>
    <s v="2013"/>
    <n v="30594.15"/>
    <n v="-405"/>
    <s v="CREDITOR"/>
    <n v="0"/>
    <n v="0"/>
    <n v="-405"/>
    <n v="0"/>
    <n v="0"/>
  </r>
  <r>
    <n v="60867047"/>
    <s v="N"/>
    <n v="21356608"/>
    <s v="3000015089740005RC"/>
    <s v="CIVIL"/>
    <d v="2023-06-26T00:00:00"/>
    <d v="2023-07-10T19:47:44"/>
    <m/>
    <d v="2023-07-10T00:00:00"/>
    <n v="1205"/>
    <n v="18696"/>
    <s v="60867047"/>
    <s v="60867047"/>
    <m/>
    <m/>
    <m/>
    <m/>
    <m/>
    <m/>
    <s v="SOLRECOUP"/>
    <s v="SOLRECOUP"/>
    <s v="POARECOUP"/>
    <n v="21356608"/>
    <n v="-486"/>
    <m/>
    <s v="Y"/>
    <n v="2"/>
    <d v="2023-07-10T19:47:45"/>
    <s v="N"/>
    <m/>
    <m/>
    <s v="Expert Disbursement"/>
    <m/>
    <s v="N"/>
    <n v="0"/>
    <n v="-81"/>
    <x v="2"/>
    <s v="VALIDATED"/>
    <n v="1"/>
    <s v="01.11.80.308.2013.0000"/>
    <n v="-81"/>
    <s v="11"/>
    <s v="2013"/>
    <n v="30594.15"/>
    <n v="-81"/>
    <s v="CREDITOR"/>
    <n v="0"/>
    <n v="0"/>
    <n v="-81"/>
    <n v="0"/>
    <n v="0"/>
  </r>
  <r>
    <n v="60867047"/>
    <s v="N"/>
    <n v="21356609"/>
    <s v="3000015089740007RC"/>
    <s v="CIVIL"/>
    <d v="2023-06-26T00:00:00"/>
    <d v="2023-07-10T19:47:44"/>
    <m/>
    <d v="2023-07-10T00:00:00"/>
    <n v="1205"/>
    <n v="18696"/>
    <s v="60867047"/>
    <s v="60867047"/>
    <m/>
    <m/>
    <m/>
    <m/>
    <m/>
    <m/>
    <s v="SOLRECOUP"/>
    <s v="SOLRECOUP"/>
    <s v="POARECOUP"/>
    <n v="21356609"/>
    <n v="-1144.61"/>
    <m/>
    <s v="Y"/>
    <n v="1"/>
    <d v="2023-07-10T19:47:45"/>
    <s v="N"/>
    <m/>
    <m/>
    <s v="Profit Cost"/>
    <m/>
    <s v="N"/>
    <n v="-953.84"/>
    <n v="0"/>
    <x v="2"/>
    <s v="VALIDATED"/>
    <n v="1"/>
    <s v="01.11.80.308.2013.0000"/>
    <n v="-953.84"/>
    <s v="11"/>
    <s v="2013"/>
    <n v="30594.15"/>
    <n v="-953.84"/>
    <s v="CREDITOR"/>
    <n v="0"/>
    <n v="0"/>
    <n v="-953.84"/>
    <n v="-238.46"/>
    <n v="0"/>
  </r>
  <r>
    <n v="60867047"/>
    <s v="N"/>
    <n v="21356609"/>
    <s v="3000015089740007RC"/>
    <s v="CIVIL"/>
    <d v="2023-06-26T00:00:00"/>
    <d v="2023-07-10T19:47:44"/>
    <m/>
    <d v="2023-07-10T00:00:00"/>
    <n v="1205"/>
    <n v="18696"/>
    <s v="60867047"/>
    <s v="60867047"/>
    <m/>
    <m/>
    <m/>
    <m/>
    <m/>
    <m/>
    <s v="SOLRECOUP"/>
    <s v="SOLRECOUP"/>
    <s v="POARECOUP"/>
    <n v="21356609"/>
    <n v="-1144.61"/>
    <m/>
    <s v="Y"/>
    <n v="2"/>
    <d v="2023-07-10T19:47:45"/>
    <s v="N"/>
    <m/>
    <m/>
    <s v="Profit Cost"/>
    <m/>
    <s v="N"/>
    <n v="0"/>
    <n v="-190.77"/>
    <x v="2"/>
    <s v="VALIDATED"/>
    <n v="1"/>
    <s v="01.11.80.308.2013.0000"/>
    <n v="-190.77"/>
    <s v="11"/>
    <s v="2013"/>
    <n v="30594.15"/>
    <n v="-190.77"/>
    <s v="CREDITOR"/>
    <n v="0"/>
    <n v="0"/>
    <n v="-190.77"/>
    <n v="-47.6925"/>
    <n v="0"/>
  </r>
  <r>
    <n v="61819343"/>
    <s v="N"/>
    <n v="21349811"/>
    <s v="3000015889980001"/>
    <s v="CIVIL"/>
    <d v="2023-06-29T00:00:00"/>
    <d v="2023-07-10T19:01:40"/>
    <m/>
    <d v="2023-07-10T00:00:00"/>
    <n v="1209"/>
    <n v="18729"/>
    <s v="61819343"/>
    <s v="61819343"/>
    <m/>
    <m/>
    <n v="22788028"/>
    <m/>
    <m/>
    <m/>
    <s v="SOLPOA"/>
    <s v="SOLPOA"/>
    <s v="CCMS"/>
    <n v="21349811"/>
    <n v="2831.87"/>
    <m/>
    <s v="N"/>
    <n v="1"/>
    <d v="2023-07-10T19:01:58"/>
    <s v="N"/>
    <s v="Profit Cost"/>
    <s v="Profit Cost"/>
    <s v="Profit Cost"/>
    <s v="gat"/>
    <s v="N"/>
    <n v="2359.89"/>
    <n v="471.98"/>
    <x v="2"/>
    <s v="VALIDATED"/>
    <n v="1"/>
    <s v="01.11.80.305.2012.0000"/>
    <n v="2359.89"/>
    <s v="11"/>
    <s v="2012"/>
    <n v="7119.59"/>
    <n v="2359.89"/>
    <s v="CREDITOR"/>
    <n v="2359.89"/>
    <n v="589.9725"/>
    <n v="0"/>
    <n v="0"/>
    <n v="0"/>
  </r>
  <r>
    <n v="61520717"/>
    <s v="N"/>
    <n v="21319959"/>
    <s v="3000015641420009"/>
    <s v="CIVIL"/>
    <d v="2023-06-27T00:00:00"/>
    <d v="2023-07-03T19:04:24"/>
    <m/>
    <d v="2023-07-03T00:00:00"/>
    <n v="1209"/>
    <n v="18729"/>
    <s v="61520717"/>
    <s v="61520717"/>
    <m/>
    <m/>
    <n v="22772978"/>
    <m/>
    <m/>
    <m/>
    <s v="SOLPOA"/>
    <s v="SOLPOA"/>
    <s v="CCMS"/>
    <n v="21319959"/>
    <n v="184.2"/>
    <m/>
    <s v="N"/>
    <n v="1"/>
    <d v="2023-07-03T19:04:28"/>
    <s v="N"/>
    <s v="Expert Cost"/>
    <s v="Expert Cost"/>
    <s v="Expert Disbursement"/>
    <s v="SW"/>
    <s v="N"/>
    <n v="153.5"/>
    <n v="30.7"/>
    <x v="3"/>
    <s v="VALIDATED"/>
    <n v="1"/>
    <s v="01.11.80.308.2012.0000"/>
    <n v="153.5"/>
    <s v="11"/>
    <s v="2012"/>
    <n v="7119.59"/>
    <n v="153.5"/>
    <s v="CREDITOR"/>
    <n v="153.5"/>
    <n v="0"/>
    <n v="0"/>
    <n v="0"/>
    <n v="0"/>
  </r>
  <r>
    <n v="60960729"/>
    <s v="N"/>
    <n v="21349674"/>
    <s v="3000015161750007"/>
    <s v="CIVIL"/>
    <d v="2023-06-29T00:00:00"/>
    <d v="2023-07-10T19:01:40"/>
    <m/>
    <d v="2023-07-10T00:00:00"/>
    <n v="1209"/>
    <n v="18729"/>
    <s v="60960729"/>
    <s v="60960729"/>
    <m/>
    <m/>
    <n v="22789034"/>
    <m/>
    <m/>
    <m/>
    <s v="SOLPOA"/>
    <s v="SOLPOA"/>
    <s v="CCMS"/>
    <n v="21349674"/>
    <n v="4919.04"/>
    <m/>
    <s v="N"/>
    <n v="1"/>
    <d v="2023-07-10T19:01:55"/>
    <s v="N"/>
    <s v="Level 3 Fixed Fee"/>
    <s v="Private Law Children"/>
    <s v="Profit Cost"/>
    <s v="gat"/>
    <s v="N"/>
    <n v="4099.2"/>
    <n v="819.84"/>
    <x v="2"/>
    <s v="VALIDATED"/>
    <n v="1"/>
    <s v="01.11.80.307.2012.0000"/>
    <n v="4099.2"/>
    <s v="11"/>
    <s v="2012"/>
    <n v="7119.59"/>
    <n v="4099.2"/>
    <s v="CREDITOR"/>
    <n v="4099.2"/>
    <n v="1024.8"/>
    <n v="0"/>
    <n v="0"/>
    <n v="0"/>
  </r>
  <r>
    <n v="62062905"/>
    <s v="N"/>
    <n v="21360518"/>
    <s v="3000015985390001"/>
    <s v="CIVIL"/>
    <d v="2023-05-24T00:00:00"/>
    <d v="2023-07-11T11:50:54"/>
    <m/>
    <d v="2023-07-11T00:00:00"/>
    <n v="1209"/>
    <n v="18729"/>
    <s v="62062905"/>
    <s v="62062905"/>
    <m/>
    <m/>
    <n v="22564860"/>
    <m/>
    <m/>
    <m/>
    <s v="SOLFIN"/>
    <s v="SOLFIN"/>
    <s v="CCMS"/>
    <n v="21360518"/>
    <n v="608.4"/>
    <m/>
    <s v="N"/>
    <n v="1"/>
    <d v="2023-07-11T11:51:07"/>
    <s v="Y"/>
    <s v="Level 4 Fixed Fee"/>
    <s v="Domestic Abuse"/>
    <s v="Profit Cost"/>
    <s v="sw"/>
    <s v="Y"/>
    <n v="507"/>
    <n v="101.4"/>
    <x v="7"/>
    <s v="VALIDATED"/>
    <n v="1"/>
    <s v="01.11.80.302.6100.0000"/>
    <n v="507"/>
    <s v="11"/>
    <s v="6100"/>
    <n v="7119.59"/>
    <n v="507"/>
    <s v="CREDITOR"/>
    <n v="0"/>
    <n v="0"/>
    <n v="0"/>
    <n v="0"/>
    <n v="507"/>
  </r>
  <r>
    <n v="61584798"/>
    <s v="N"/>
    <n v="21330511"/>
    <s v="3000015696070003"/>
    <s v="CIVIL"/>
    <d v="2023-06-25T00:00:00"/>
    <d v="2023-07-05T19:01:47"/>
    <m/>
    <d v="2023-07-05T00:00:00"/>
    <n v="1211"/>
    <n v="18740"/>
    <s v="61584798"/>
    <s v="61584798"/>
    <m/>
    <m/>
    <n v="22756962"/>
    <m/>
    <m/>
    <m/>
    <s v="SOLFIN"/>
    <s v="SOLFIN"/>
    <s v="CCMS"/>
    <n v="21330511"/>
    <n v="5552.7"/>
    <m/>
    <s v="N"/>
    <n v="5"/>
    <d v="2023-07-05T19:01:50"/>
    <s v="Y"/>
    <s v="Solicitor Travel Mileage"/>
    <s v="Public Law Children"/>
    <s v="Non Expert Disbursement"/>
    <s v="ATL"/>
    <s v="Y"/>
    <n v="25.2"/>
    <n v="5.04"/>
    <x v="6"/>
    <s v="VALIDATED"/>
    <n v="1"/>
    <s v="01.11.80.308.6300.0000"/>
    <n v="25.2"/>
    <s v="11"/>
    <s v="6300"/>
    <n v="26168.96"/>
    <n v="25.2"/>
    <s v="CREDITOR"/>
    <n v="0"/>
    <n v="0"/>
    <n v="0"/>
    <n v="0"/>
    <n v="25.2"/>
  </r>
  <r>
    <n v="61584798"/>
    <s v="N"/>
    <n v="21330511"/>
    <s v="3000015696070003"/>
    <s v="CIVIL"/>
    <d v="2023-06-25T00:00:00"/>
    <d v="2023-07-05T19:01:47"/>
    <m/>
    <d v="2023-07-05T00:00:00"/>
    <n v="1211"/>
    <n v="18740"/>
    <s v="61584798"/>
    <s v="61584798"/>
    <m/>
    <m/>
    <n v="22756962"/>
    <m/>
    <m/>
    <m/>
    <s v="SOLFIN"/>
    <s v="SOLFIN"/>
    <s v="CCMS"/>
    <n v="21330511"/>
    <n v="5552.7"/>
    <m/>
    <s v="N"/>
    <n v="12"/>
    <d v="2023-07-05T19:01:50"/>
    <s v="Y"/>
    <s v="Advocates Meeting"/>
    <s v="Public Law Children"/>
    <s v="Advocacy"/>
    <s v="HJ"/>
    <s v="Y"/>
    <n v="140.99"/>
    <n v="28.2"/>
    <x v="6"/>
    <s v="VALIDATED"/>
    <n v="1"/>
    <s v="01.11.80.308.6100.0000"/>
    <n v="140.99"/>
    <s v="11"/>
    <s v="6100"/>
    <n v="26168.96"/>
    <n v="140.99"/>
    <s v="CREDITOR"/>
    <n v="0"/>
    <n v="0"/>
    <n v="0"/>
    <n v="0"/>
    <n v="140.99"/>
  </r>
  <r>
    <n v="61659062"/>
    <s v="N"/>
    <n v="21362985"/>
    <s v="3000015759270003"/>
    <s v="CIVIL"/>
    <d v="2023-06-30T00:00:00"/>
    <d v="2023-07-12T19:01:49"/>
    <m/>
    <d v="2023-07-12T00:00:00"/>
    <n v="1211"/>
    <n v="18740"/>
    <s v="61659062"/>
    <s v="61659062"/>
    <m/>
    <m/>
    <n v="22798322"/>
    <m/>
    <m/>
    <m/>
    <s v="SOLFIN"/>
    <s v="SOLFIN"/>
    <s v="CCMS"/>
    <n v="21362985"/>
    <n v="4422.09"/>
    <m/>
    <s v="N"/>
    <n v="5"/>
    <d v="2023-07-12T19:01:52"/>
    <s v="Y"/>
    <s v="Solicitor Travel Expenses"/>
    <s v="Public Law Children"/>
    <s v="Non Expert Disbursement"/>
    <s v="HJ"/>
    <s v="Y"/>
    <n v="3.4"/>
    <n v="0"/>
    <x v="0"/>
    <s v="VALIDATED"/>
    <n v="1"/>
    <s v="01.11.80.308.6300.0000"/>
    <n v="3.4"/>
    <s v="11"/>
    <s v="6300"/>
    <n v="26168.96"/>
    <n v="3.4"/>
    <s v="CREDITOR"/>
    <n v="0"/>
    <n v="0"/>
    <n v="0"/>
    <n v="0"/>
    <n v="3.4"/>
  </r>
  <r>
    <n v="61584798"/>
    <s v="N"/>
    <n v="21330511"/>
    <s v="3000015696070003"/>
    <s v="CIVIL"/>
    <d v="2023-06-25T00:00:00"/>
    <d v="2023-07-05T19:01:47"/>
    <m/>
    <d v="2023-07-05T00:00:00"/>
    <n v="1211"/>
    <n v="18740"/>
    <s v="61584798"/>
    <s v="61584798"/>
    <m/>
    <m/>
    <n v="22756962"/>
    <m/>
    <m/>
    <m/>
    <s v="SOLFIN"/>
    <s v="SOLFIN"/>
    <s v="CCMS"/>
    <n v="21330511"/>
    <n v="5552.7"/>
    <m/>
    <s v="N"/>
    <n v="1"/>
    <d v="2023-07-05T19:01:50"/>
    <s v="Y"/>
    <s v="Exceptional Travel"/>
    <s v="Public Law Children"/>
    <s v="Advocacy"/>
    <s v="ATL"/>
    <s v="Y"/>
    <n v="32.04"/>
    <n v="6.41"/>
    <x v="6"/>
    <s v="VALIDATED"/>
    <n v="1"/>
    <s v="01.11.80.308.6100.0000"/>
    <n v="32.04"/>
    <s v="11"/>
    <s v="6100"/>
    <n v="26168.96"/>
    <n v="32.04"/>
    <s v="CREDITOR"/>
    <n v="0"/>
    <n v="0"/>
    <n v="0"/>
    <n v="0"/>
    <n v="32.04"/>
  </r>
  <r>
    <n v="61659062"/>
    <s v="N"/>
    <n v="21362985"/>
    <s v="3000015759270003"/>
    <s v="CIVIL"/>
    <d v="2023-06-30T00:00:00"/>
    <d v="2023-07-12T19:01:49"/>
    <m/>
    <d v="2023-07-12T00:00:00"/>
    <n v="1211"/>
    <n v="18740"/>
    <s v="61659062"/>
    <s v="61659062"/>
    <m/>
    <m/>
    <n v="22798322"/>
    <m/>
    <m/>
    <m/>
    <s v="SOLFIN"/>
    <s v="SOLFIN"/>
    <s v="CCMS"/>
    <n v="21362985"/>
    <n v="4422.09"/>
    <m/>
    <s v="N"/>
    <n v="10"/>
    <d v="2023-07-12T19:01:52"/>
    <s v="Y"/>
    <s v="Final Hearing - 1 Day"/>
    <s v="Public Law Children"/>
    <s v="Advocacy"/>
    <s v="BJB"/>
    <s v="Y"/>
    <n v="556.88"/>
    <n v="111.38"/>
    <x v="0"/>
    <s v="VALIDATED"/>
    <n v="1"/>
    <s v="01.11.80.308.6100.0000"/>
    <n v="556.88"/>
    <s v="11"/>
    <s v="6100"/>
    <n v="26168.96"/>
    <n v="556.88"/>
    <s v="CREDITOR"/>
    <n v="0"/>
    <n v="0"/>
    <n v="0"/>
    <n v="0"/>
    <n v="556.88"/>
  </r>
  <r>
    <n v="61723690"/>
    <s v="N"/>
    <n v="21331189"/>
    <s v="3000015811010005"/>
    <s v="CIVIL"/>
    <d v="2023-06-30T00:00:00"/>
    <d v="2023-07-05T19:01:47"/>
    <m/>
    <d v="2023-07-05T00:00:00"/>
    <n v="1211"/>
    <n v="18740"/>
    <s v="61723690"/>
    <s v="61723690"/>
    <m/>
    <m/>
    <n v="22799338"/>
    <m/>
    <m/>
    <m/>
    <s v="SOLFIN"/>
    <s v="SOLFIN"/>
    <s v="CCMS"/>
    <n v="21331189"/>
    <n v="4501.44"/>
    <m/>
    <s v="N"/>
    <n v="4"/>
    <d v="2023-07-05T19:02:09"/>
    <s v="Y"/>
    <s v="Hearing Unit 1.01 - 2.30 Hours"/>
    <s v="Public Law Children"/>
    <s v="Advocacy"/>
    <s v="ATL"/>
    <s v="Y"/>
    <n v="238.46"/>
    <n v="47.69"/>
    <x v="6"/>
    <s v="VALIDATED"/>
    <n v="1"/>
    <s v="01.11.80.308.6100.0000"/>
    <n v="238.46"/>
    <s v="11"/>
    <s v="6100"/>
    <n v="26168.96"/>
    <n v="238.46"/>
    <s v="CREDITOR"/>
    <n v="0"/>
    <n v="0"/>
    <n v="0"/>
    <n v="0"/>
    <n v="238.46"/>
  </r>
  <r>
    <n v="61465870"/>
    <s v="N"/>
    <n v="21323137"/>
    <s v="3000015595430001"/>
    <s v="CIVIL"/>
    <d v="2023-06-29T00:00:00"/>
    <d v="2023-07-03T19:05:36"/>
    <m/>
    <d v="2023-07-03T00:00:00"/>
    <n v="1211"/>
    <n v="18740"/>
    <s v="61465870"/>
    <s v="61465870"/>
    <m/>
    <m/>
    <n v="22790388"/>
    <m/>
    <m/>
    <m/>
    <s v="SOLPOA"/>
    <s v="SOLPOA"/>
    <s v="CCMS"/>
    <n v="21323137"/>
    <n v="28.5"/>
    <m/>
    <s v="N"/>
    <n v="1"/>
    <d v="2023-07-03T19:05:41"/>
    <s v="N"/>
    <s v="Non Expert Disbursement - Private L"/>
    <s v="Non Expert Disbursement - Priv"/>
    <s v="Non Expert Disbursement"/>
    <s v="BJB"/>
    <s v="N"/>
    <n v="28.5"/>
    <n v="0"/>
    <x v="3"/>
    <s v="VALIDATED"/>
    <n v="1"/>
    <s v="01.11.80.307.2012.0000"/>
    <n v="28.5"/>
    <s v="11"/>
    <s v="2012"/>
    <n v="26168.96"/>
    <n v="28.5"/>
    <s v="CREDITOR"/>
    <n v="28.5"/>
    <n v="0"/>
    <n v="0"/>
    <n v="0"/>
    <n v="0"/>
  </r>
  <r>
    <n v="61384707"/>
    <s v="N"/>
    <n v="21360257"/>
    <s v="3000015528680006"/>
    <s v="CIVIL"/>
    <d v="2023-06-30T00:00:00"/>
    <d v="2023-07-11T11:50:54"/>
    <m/>
    <d v="2023-07-11T00:00:00"/>
    <n v="1211"/>
    <n v="18740"/>
    <s v="61384707"/>
    <s v="61384707"/>
    <m/>
    <m/>
    <n v="22797712"/>
    <m/>
    <m/>
    <m/>
    <s v="SOLFIN"/>
    <s v="SOLFIN"/>
    <s v="CCMS"/>
    <n v="21360257"/>
    <n v="7048.81"/>
    <m/>
    <s v="N"/>
    <n v="6"/>
    <d v="2023-07-11T11:50:59"/>
    <s v="Y"/>
    <s v="Child psychologist"/>
    <s v="Public Law Children"/>
    <s v="Expert Disbursement"/>
    <s v="HJ"/>
    <s v="Y"/>
    <n v="268.8"/>
    <n v="53.76"/>
    <x v="7"/>
    <s v="VALIDATED"/>
    <n v="1"/>
    <s v="01.11.80.308.6300.0000"/>
    <n v="268.8"/>
    <s v="11"/>
    <s v="6300"/>
    <n v="26168.96"/>
    <n v="268.8"/>
    <s v="CREDITOR"/>
    <n v="0"/>
    <n v="0"/>
    <n v="0"/>
    <n v="0"/>
    <n v="268.8"/>
  </r>
  <r>
    <n v="59596093"/>
    <s v="N"/>
    <n v="21360726"/>
    <s v="3000014000290004"/>
    <s v="CIVIL"/>
    <d v="2023-06-30T00:00:00"/>
    <d v="2023-07-11T19:00:25"/>
    <m/>
    <d v="2023-07-11T00:00:00"/>
    <n v="1211"/>
    <n v="18740"/>
    <s v="59596093"/>
    <s v="59596093"/>
    <m/>
    <m/>
    <n v="22797984"/>
    <m/>
    <m/>
    <m/>
    <s v="SOLFIN"/>
    <s v="SOLFIN"/>
    <s v="CCMS"/>
    <n v="21360726"/>
    <n v="9741.1"/>
    <m/>
    <s v="N"/>
    <n v="18"/>
    <d v="2023-07-11T19:00:32"/>
    <s v="Y"/>
    <s v="Solicitors Fixed Fee"/>
    <s v="Public Law Children"/>
    <s v="Profit Cost"/>
    <s v="HJ"/>
    <s v="Y"/>
    <n v="2630"/>
    <n v="526"/>
    <x v="7"/>
    <s v="VALIDATED"/>
    <n v="1"/>
    <s v="01.11.80.308.6100.0000"/>
    <n v="2630"/>
    <s v="11"/>
    <s v="6100"/>
    <n v="26168.96"/>
    <n v="2630"/>
    <s v="CREDITOR"/>
    <n v="0"/>
    <n v="0"/>
    <n v="0"/>
    <n v="0"/>
    <n v="2630"/>
  </r>
  <r>
    <n v="59596093"/>
    <s v="N"/>
    <n v="21360726"/>
    <s v="3000014000290004"/>
    <s v="CIVIL"/>
    <d v="2023-06-30T00:00:00"/>
    <d v="2023-07-11T19:00:25"/>
    <m/>
    <d v="2023-07-11T00:00:00"/>
    <n v="1211"/>
    <n v="18740"/>
    <s v="59596093"/>
    <s v="59596093"/>
    <m/>
    <m/>
    <n v="22797984"/>
    <m/>
    <m/>
    <m/>
    <s v="SOLFIN"/>
    <s v="SOLFIN"/>
    <s v="CCMS"/>
    <n v="21360726"/>
    <n v="9741.1"/>
    <m/>
    <s v="N"/>
    <n v="15"/>
    <d v="2023-07-11T19:00:32"/>
    <s v="Y"/>
    <s v="Advocates Meeting"/>
    <s v="Public Law Children"/>
    <s v="Advocacy"/>
    <s v="HJ"/>
    <s v="Y"/>
    <n v="140.99"/>
    <n v="28.2"/>
    <x v="7"/>
    <s v="VALIDATED"/>
    <n v="1"/>
    <s v="01.11.80.308.6100.0000"/>
    <n v="140.99"/>
    <s v="11"/>
    <s v="6100"/>
    <n v="26168.96"/>
    <n v="140.99"/>
    <s v="CREDITOR"/>
    <n v="0"/>
    <n v="0"/>
    <n v="0"/>
    <n v="0"/>
    <n v="140.99"/>
  </r>
  <r>
    <n v="61384707"/>
    <s v="N"/>
    <n v="21360257"/>
    <s v="3000015528680006"/>
    <s v="CIVIL"/>
    <d v="2023-06-30T00:00:00"/>
    <d v="2023-07-11T11:50:54"/>
    <m/>
    <d v="2023-07-11T00:00:00"/>
    <n v="1211"/>
    <n v="18740"/>
    <s v="61384707"/>
    <s v="61384707"/>
    <m/>
    <m/>
    <n v="22797712"/>
    <m/>
    <m/>
    <m/>
    <s v="SOLFIN"/>
    <s v="SOLFIN"/>
    <s v="CCMS"/>
    <n v="21360257"/>
    <n v="7048.81"/>
    <m/>
    <s v="N"/>
    <n v="7"/>
    <d v="2023-07-11T11:50:59"/>
    <s v="Y"/>
    <s v="Advocates Meeting"/>
    <s v="Public Law Children"/>
    <s v="Advocacy"/>
    <s v="HJ"/>
    <s v="Y"/>
    <n v="140.99"/>
    <n v="28.2"/>
    <x v="7"/>
    <s v="VALIDATED"/>
    <n v="1"/>
    <s v="01.11.80.308.6100.0000"/>
    <n v="140.99"/>
    <s v="11"/>
    <s v="6100"/>
    <n v="26168.96"/>
    <n v="140.99"/>
    <s v="CREDITOR"/>
    <n v="0"/>
    <n v="0"/>
    <n v="0"/>
    <n v="0"/>
    <n v="140.99"/>
  </r>
  <r>
    <n v="61384707"/>
    <s v="N"/>
    <n v="21360257"/>
    <s v="3000015528680006"/>
    <s v="CIVIL"/>
    <d v="2023-06-30T00:00:00"/>
    <d v="2023-07-11T11:50:54"/>
    <m/>
    <d v="2023-07-11T00:00:00"/>
    <n v="1211"/>
    <n v="18740"/>
    <s v="61384707"/>
    <s v="61384707"/>
    <m/>
    <m/>
    <n v="22797712"/>
    <m/>
    <m/>
    <m/>
    <s v="SOLFIN"/>
    <s v="SOLFIN"/>
    <s v="CCMS"/>
    <n v="21360257"/>
    <n v="7048.81"/>
    <m/>
    <s v="N"/>
    <n v="2"/>
    <d v="2023-07-11T11:50:59"/>
    <s v="Y"/>
    <s v="Interim Hearing Court Bundle/Advoca"/>
    <s v="Public Law Children"/>
    <s v="Advocacy"/>
    <s v="HJ"/>
    <s v="Y"/>
    <n v="89.09999999999999"/>
    <n v="17.82"/>
    <x v="7"/>
    <s v="VALIDATED"/>
    <n v="1"/>
    <s v="01.11.80.308.6100.0000"/>
    <n v="89.09999999999999"/>
    <s v="11"/>
    <s v="6100"/>
    <n v="26168.96"/>
    <n v="89.09999999999999"/>
    <s v="CREDITOR"/>
    <n v="0"/>
    <n v="0"/>
    <n v="0"/>
    <n v="0"/>
    <n v="89.09999999999999"/>
  </r>
  <r>
    <n v="61543243"/>
    <s v="N"/>
    <n v="21318758"/>
    <s v="3000015660460006"/>
    <s v="CIVIL"/>
    <d v="2023-06-21T00:00:00"/>
    <d v="2023-07-03T19:01:49"/>
    <m/>
    <d v="2023-07-03T00:00:00"/>
    <n v="1211"/>
    <n v="18740"/>
    <s v="61543243"/>
    <s v="61543243"/>
    <m/>
    <m/>
    <n v="22735706"/>
    <m/>
    <m/>
    <m/>
    <s v="SOLPOA"/>
    <s v="SOLPOA"/>
    <s v="CCMS"/>
    <n v="21318758"/>
    <n v="187.5"/>
    <m/>
    <s v="N"/>
    <n v="1"/>
    <d v="2023-07-03T19:02:02"/>
    <s v="N"/>
    <s v="Expert Cost"/>
    <s v="Expert Cost"/>
    <s v="Expert Disbursement"/>
    <s v="ATL"/>
    <s v="N"/>
    <n v="156.25"/>
    <n v="31.25"/>
    <x v="3"/>
    <s v="VALIDATED"/>
    <n v="1"/>
    <s v="01.11.80.308.2012.0000"/>
    <n v="156.25"/>
    <s v="11"/>
    <s v="2012"/>
    <n v="26168.96"/>
    <n v="156.25"/>
    <s v="CREDITOR"/>
    <n v="156.25"/>
    <n v="0"/>
    <n v="0"/>
    <n v="0"/>
    <n v="0"/>
  </r>
  <r>
    <n v="62030332"/>
    <s v="N"/>
    <n v="21318486"/>
    <s v="3000016067960001"/>
    <s v="CIVIL"/>
    <d v="2023-06-21T00:00:00"/>
    <d v="2023-07-03T19:01:49"/>
    <m/>
    <d v="2023-07-03T00:00:00"/>
    <n v="1211"/>
    <n v="18740"/>
    <s v="62030332"/>
    <s v="62030332"/>
    <m/>
    <m/>
    <n v="22736382"/>
    <m/>
    <m/>
    <m/>
    <s v="SOLPOA"/>
    <s v="SOLPOA"/>
    <s v="CCMS"/>
    <n v="21318486"/>
    <n v="159.5"/>
    <m/>
    <s v="N"/>
    <n v="1"/>
    <d v="2023-07-03T19:01:57"/>
    <s v="N"/>
    <s v="Expert Cost"/>
    <s v="Expert Cost"/>
    <s v="Expert Disbursement"/>
    <s v="ATL"/>
    <s v="N"/>
    <n v="132.92"/>
    <n v="26.58"/>
    <x v="3"/>
    <s v="VALIDATED"/>
    <n v="1"/>
    <s v="01.11.80.308.2012.0000"/>
    <n v="132.92"/>
    <s v="11"/>
    <s v="2012"/>
    <n v="26168.96"/>
    <n v="132.92"/>
    <s v="CREDITOR"/>
    <n v="132.92"/>
    <n v="0"/>
    <n v="0"/>
    <n v="0"/>
    <n v="0"/>
  </r>
  <r>
    <n v="59596093"/>
    <s v="N"/>
    <n v="21360726"/>
    <s v="3000014000290004"/>
    <s v="CIVIL"/>
    <d v="2023-06-30T00:00:00"/>
    <d v="2023-07-11T19:00:25"/>
    <m/>
    <d v="2023-07-11T00:00:00"/>
    <n v="1211"/>
    <n v="18740"/>
    <s v="59596093"/>
    <s v="59596093"/>
    <m/>
    <m/>
    <n v="22797984"/>
    <m/>
    <m/>
    <m/>
    <s v="SOLFIN"/>
    <s v="SOLFIN"/>
    <s v="CCMS"/>
    <n v="21360726"/>
    <n v="9741.1"/>
    <m/>
    <s v="N"/>
    <n v="13"/>
    <d v="2023-07-11T19:00:32"/>
    <s v="Y"/>
    <s v="Hearing Unit 2.31 - 5.00 Hours"/>
    <s v="Public Law Children"/>
    <s v="Advocacy"/>
    <s v="HJ"/>
    <s v="Y"/>
    <n v="476.92"/>
    <n v="95.38"/>
    <x v="7"/>
    <s v="VALIDATED"/>
    <n v="1"/>
    <s v="01.11.80.308.6100.0000"/>
    <n v="476.92"/>
    <s v="11"/>
    <s v="6100"/>
    <n v="26168.96"/>
    <n v="476.92"/>
    <s v="CREDITOR"/>
    <n v="0"/>
    <n v="0"/>
    <n v="0"/>
    <n v="0"/>
    <n v="476.92"/>
  </r>
  <r>
    <n v="61584798"/>
    <s v="N"/>
    <n v="21330511"/>
    <s v="3000015696070003"/>
    <s v="CIVIL"/>
    <d v="2023-06-25T00:00:00"/>
    <d v="2023-07-05T19:01:47"/>
    <m/>
    <d v="2023-07-05T00:00:00"/>
    <n v="1211"/>
    <n v="18740"/>
    <s v="61584798"/>
    <s v="61584798"/>
    <m/>
    <m/>
    <n v="22756962"/>
    <m/>
    <m/>
    <m/>
    <s v="SOLFIN"/>
    <s v="SOLFIN"/>
    <s v="CCMS"/>
    <n v="21330511"/>
    <n v="5552.7"/>
    <m/>
    <s v="N"/>
    <n v="9"/>
    <d v="2023-07-05T19:01:50"/>
    <s v="Y"/>
    <s v="Hearing Unit 2.31 - 5.00 Hours"/>
    <s v="Public Law Children"/>
    <s v="Advocacy"/>
    <s v="ATL"/>
    <s v="Y"/>
    <n v="476.92"/>
    <n v="95.38"/>
    <x v="6"/>
    <s v="VALIDATED"/>
    <n v="1"/>
    <s v="01.11.80.308.6100.0000"/>
    <n v="476.92"/>
    <s v="11"/>
    <s v="6100"/>
    <n v="26168.96"/>
    <n v="476.92"/>
    <s v="CREDITOR"/>
    <n v="0"/>
    <n v="0"/>
    <n v="0"/>
    <n v="0"/>
    <n v="476.92"/>
  </r>
  <r>
    <n v="61494797"/>
    <s v="N"/>
    <n v="21327761"/>
    <s v="3000015619270002"/>
    <s v="CIVIL"/>
    <d v="2023-06-25T00:00:00"/>
    <d v="2023-07-04T19:00:44"/>
    <m/>
    <d v="2023-07-04T00:00:00"/>
    <n v="1211"/>
    <n v="18740"/>
    <s v="61494797"/>
    <s v="61494797"/>
    <m/>
    <m/>
    <n v="22756968"/>
    <m/>
    <m/>
    <m/>
    <s v="SOLFIN"/>
    <s v="SOLFIN"/>
    <s v="CCMS"/>
    <n v="21327761"/>
    <n v="4279.46"/>
    <m/>
    <s v="N"/>
    <n v="3"/>
    <d v="2023-07-04T19:00:54"/>
    <s v="Y"/>
    <s v="Solicitor Travel Mileage"/>
    <s v="Public Law Children"/>
    <s v="Non Expert Disbursement"/>
    <s v="HJ"/>
    <s v="Y"/>
    <n v="25.2"/>
    <n v="5.04"/>
    <x v="1"/>
    <s v="VALIDATED"/>
    <n v="1"/>
    <s v="01.11.80.308.6300.0000"/>
    <n v="25.2"/>
    <s v="11"/>
    <s v="6300"/>
    <n v="26168.96"/>
    <n v="25.2"/>
    <s v="CREDITOR"/>
    <n v="0"/>
    <n v="0"/>
    <n v="0"/>
    <n v="0"/>
    <n v="25.2"/>
  </r>
  <r>
    <n v="59596093"/>
    <s v="N"/>
    <n v="21360726"/>
    <s v="3000014000290004"/>
    <s v="CIVIL"/>
    <d v="2023-06-30T00:00:00"/>
    <d v="2023-07-11T19:00:25"/>
    <m/>
    <d v="2023-07-11T00:00:00"/>
    <n v="1211"/>
    <n v="18740"/>
    <s v="59596093"/>
    <s v="59596093"/>
    <m/>
    <m/>
    <n v="22797984"/>
    <m/>
    <m/>
    <m/>
    <s v="SOLFIN"/>
    <s v="SOLFIN"/>
    <s v="CCMS"/>
    <n v="21360726"/>
    <n v="9741.1"/>
    <m/>
    <s v="N"/>
    <n v="9"/>
    <d v="2023-07-11T19:00:32"/>
    <s v="Y"/>
    <s v="Hearing Unit 1.01 - 2.30 Hours"/>
    <s v="Public Law Children"/>
    <s v="Advocacy"/>
    <s v="HJ"/>
    <s v="Y"/>
    <n v="238.46"/>
    <n v="47.69"/>
    <x v="7"/>
    <s v="VALIDATED"/>
    <n v="1"/>
    <s v="01.11.80.308.6100.0000"/>
    <n v="238.46"/>
    <s v="11"/>
    <s v="6100"/>
    <n v="26168.96"/>
    <n v="238.46"/>
    <s v="CREDITOR"/>
    <n v="0"/>
    <n v="0"/>
    <n v="0"/>
    <n v="0"/>
    <n v="238.46"/>
  </r>
  <r>
    <n v="61384707"/>
    <s v="N"/>
    <n v="21360257"/>
    <s v="3000015528680006"/>
    <s v="CIVIL"/>
    <d v="2023-06-30T00:00:00"/>
    <d v="2023-07-11T11:50:54"/>
    <m/>
    <d v="2023-07-11T00:00:00"/>
    <n v="1211"/>
    <n v="18740"/>
    <s v="61384707"/>
    <s v="61384707"/>
    <m/>
    <m/>
    <n v="22797712"/>
    <m/>
    <m/>
    <m/>
    <s v="SOLFIN"/>
    <s v="SOLFIN"/>
    <s v="CCMS"/>
    <n v="21360257"/>
    <n v="7048.81"/>
    <m/>
    <s v="N"/>
    <n v="11"/>
    <d v="2023-07-11T11:50:59"/>
    <s v="Y"/>
    <s v="Advocates Meeting"/>
    <s v="Public Law Children"/>
    <s v="Advocacy"/>
    <s v="HJ"/>
    <s v="Y"/>
    <n v="140.99"/>
    <n v="28.2"/>
    <x v="7"/>
    <s v="VALIDATED"/>
    <n v="1"/>
    <s v="01.11.80.308.6100.0000"/>
    <n v="140.99"/>
    <s v="11"/>
    <s v="6100"/>
    <n v="26168.96"/>
    <n v="140.99"/>
    <s v="CREDITOR"/>
    <n v="0"/>
    <n v="0"/>
    <n v="0"/>
    <n v="0"/>
    <n v="140.99"/>
  </r>
  <r>
    <n v="61723690"/>
    <s v="N"/>
    <n v="21331189"/>
    <s v="3000015811010005"/>
    <s v="CIVIL"/>
    <d v="2023-06-30T00:00:00"/>
    <d v="2023-07-05T19:01:47"/>
    <m/>
    <d v="2023-07-05T00:00:00"/>
    <n v="1211"/>
    <n v="18740"/>
    <s v="61723690"/>
    <s v="61723690"/>
    <m/>
    <m/>
    <n v="22799338"/>
    <m/>
    <m/>
    <m/>
    <s v="SOLFIN"/>
    <s v="SOLFIN"/>
    <s v="CCMS"/>
    <n v="21331189"/>
    <n v="4501.44"/>
    <m/>
    <s v="N"/>
    <n v="8"/>
    <d v="2023-07-05T19:02:09"/>
    <s v="Y"/>
    <s v="Hearing Unit 2.31 - 5.00 Hours"/>
    <s v="Public Law Children"/>
    <s v="Advocacy"/>
    <s v="ATL"/>
    <s v="Y"/>
    <n v="476.92"/>
    <n v="95.38"/>
    <x v="6"/>
    <s v="VALIDATED"/>
    <n v="1"/>
    <s v="01.11.80.308.6100.0000"/>
    <n v="476.92"/>
    <s v="11"/>
    <s v="6100"/>
    <n v="26168.96"/>
    <n v="476.92"/>
    <s v="CREDITOR"/>
    <n v="0"/>
    <n v="0"/>
    <n v="0"/>
    <n v="0"/>
    <n v="476.92"/>
  </r>
  <r>
    <n v="61494797"/>
    <s v="N"/>
    <n v="21328718"/>
    <s v="3000015619270001RC"/>
    <s v="CIVIL"/>
    <d v="2023-06-25T00:00:00"/>
    <d v="2023-07-04T19:38:21"/>
    <m/>
    <d v="2023-07-04T00:00:00"/>
    <n v="1211"/>
    <n v="18740"/>
    <s v="61494797"/>
    <s v="61494797"/>
    <m/>
    <m/>
    <m/>
    <m/>
    <m/>
    <m/>
    <s v="SOLRECOUP"/>
    <s v="SOLRECOUP"/>
    <s v="POARECOUP"/>
    <n v="21328718"/>
    <n v="-25.2"/>
    <m/>
    <s v="Y"/>
    <n v="1"/>
    <d v="2023-07-04T19:38:22"/>
    <s v="N"/>
    <m/>
    <m/>
    <s v="Non Expert Disbursement"/>
    <m/>
    <s v="N"/>
    <n v="-25.2"/>
    <n v="0"/>
    <x v="1"/>
    <s v="VALIDATED"/>
    <n v="1"/>
    <s v="01.11.80.308.2013.0000"/>
    <n v="-25.2"/>
    <s v="11"/>
    <s v="2013"/>
    <n v="26168.96"/>
    <n v="-25.2"/>
    <s v="CREDITOR"/>
    <n v="0"/>
    <n v="0"/>
    <n v="-25.2"/>
    <n v="0"/>
    <n v="0"/>
  </r>
  <r>
    <n v="61494797"/>
    <s v="N"/>
    <n v="21328718"/>
    <s v="3000015619270001RC"/>
    <s v="CIVIL"/>
    <d v="2023-06-25T00:00:00"/>
    <d v="2023-07-04T19:38:21"/>
    <m/>
    <d v="2023-07-04T00:00:00"/>
    <n v="1211"/>
    <n v="18740"/>
    <s v="61494797"/>
    <s v="61494797"/>
    <m/>
    <m/>
    <m/>
    <m/>
    <m/>
    <m/>
    <s v="SOLRECOUP"/>
    <s v="SOLRECOUP"/>
    <s v="POARECOUP"/>
    <n v="21328718"/>
    <n v="-25.2"/>
    <m/>
    <s v="Y"/>
    <n v="2"/>
    <d v="2023-07-04T19:38:22"/>
    <s v="N"/>
    <m/>
    <m/>
    <s v="Non Expert Disbursement"/>
    <m/>
    <s v="N"/>
    <n v="0"/>
    <n v="0"/>
    <x v="1"/>
    <s v="VALIDATED"/>
    <n v="1"/>
    <s v="01.11.80.000.0000.0000"/>
    <n v="0"/>
    <s v="11"/>
    <s v="0000"/>
    <n v="26168.96"/>
    <n v="0"/>
    <s v="CREDITOR"/>
    <n v="0"/>
    <n v="0"/>
    <n v="0"/>
    <n v="0"/>
    <n v="0"/>
  </r>
  <r>
    <n v="59596093"/>
    <s v="N"/>
    <n v="21360726"/>
    <s v="3000014000290004"/>
    <s v="CIVIL"/>
    <d v="2023-06-30T00:00:00"/>
    <d v="2023-07-11T19:00:25"/>
    <m/>
    <d v="2023-07-11T00:00:00"/>
    <n v="1211"/>
    <n v="18740"/>
    <s v="59596093"/>
    <s v="59596093"/>
    <m/>
    <m/>
    <n v="22797984"/>
    <m/>
    <m/>
    <m/>
    <s v="SOLFIN"/>
    <s v="SOLFIN"/>
    <s v="CCMS"/>
    <n v="21360726"/>
    <n v="9741.1"/>
    <m/>
    <s v="N"/>
    <n v="17"/>
    <d v="2023-07-11T19:00:32"/>
    <s v="Y"/>
    <s v="Final Hearing - 1 Day"/>
    <s v="Public Law Children"/>
    <s v="Advocacy"/>
    <s v="HJ"/>
    <s v="Y"/>
    <n v="556.88"/>
    <n v="111.38"/>
    <x v="7"/>
    <s v="VALIDATED"/>
    <n v="1"/>
    <s v="01.11.80.308.6100.0000"/>
    <n v="556.88"/>
    <s v="11"/>
    <s v="6100"/>
    <n v="26168.96"/>
    <n v="556.88"/>
    <s v="CREDITOR"/>
    <n v="0"/>
    <n v="0"/>
    <n v="0"/>
    <n v="0"/>
    <n v="556.88"/>
  </r>
  <r>
    <n v="61723690"/>
    <s v="N"/>
    <n v="21333958"/>
    <s v="3000015811010002RC"/>
    <s v="CIVIL"/>
    <d v="2023-06-30T00:00:00"/>
    <d v="2023-07-05T19:42:28"/>
    <m/>
    <d v="2023-07-05T00:00:00"/>
    <n v="1211"/>
    <n v="18740"/>
    <s v="61723690"/>
    <s v="61723690"/>
    <m/>
    <m/>
    <m/>
    <m/>
    <m/>
    <m/>
    <s v="SOLRECOUP"/>
    <s v="SOLRECOUP"/>
    <s v="POARECOUP"/>
    <n v="21333958"/>
    <n v="-50.4"/>
    <m/>
    <s v="Y"/>
    <n v="1"/>
    <d v="2023-07-05T19:42:29"/>
    <s v="N"/>
    <m/>
    <m/>
    <s v="Expert Disbursement"/>
    <m/>
    <s v="N"/>
    <n v="-50.4"/>
    <n v="0"/>
    <x v="6"/>
    <s v="VALIDATED"/>
    <n v="1"/>
    <s v="01.11.80.308.2013.0000"/>
    <n v="-50.4"/>
    <s v="11"/>
    <s v="2013"/>
    <n v="26168.96"/>
    <n v="-50.4"/>
    <s v="CREDITOR"/>
    <n v="0"/>
    <n v="0"/>
    <n v="-50.4"/>
    <n v="0"/>
    <n v="0"/>
  </r>
  <r>
    <n v="61723690"/>
    <s v="N"/>
    <n v="21333958"/>
    <s v="3000015811010002RC"/>
    <s v="CIVIL"/>
    <d v="2023-06-30T00:00:00"/>
    <d v="2023-07-05T19:42:28"/>
    <m/>
    <d v="2023-07-05T00:00:00"/>
    <n v="1211"/>
    <n v="18740"/>
    <s v="61723690"/>
    <s v="61723690"/>
    <m/>
    <m/>
    <m/>
    <m/>
    <m/>
    <m/>
    <s v="SOLRECOUP"/>
    <s v="SOLRECOUP"/>
    <s v="POARECOUP"/>
    <n v="21333958"/>
    <n v="-50.4"/>
    <m/>
    <s v="Y"/>
    <n v="2"/>
    <d v="2023-07-05T19:42:29"/>
    <s v="N"/>
    <m/>
    <m/>
    <s v="Expert Disbursement"/>
    <m/>
    <s v="N"/>
    <n v="0"/>
    <n v="0"/>
    <x v="6"/>
    <s v="VALIDATED"/>
    <n v="1"/>
    <s v="01.11.80.000.0000.0000"/>
    <n v="0"/>
    <s v="11"/>
    <s v="0000"/>
    <n v="26168.96"/>
    <n v="0"/>
    <s v="CREDITOR"/>
    <n v="0"/>
    <n v="0"/>
    <n v="0"/>
    <n v="0"/>
    <n v="0"/>
  </r>
  <r>
    <n v="61723690"/>
    <s v="N"/>
    <n v="21333959"/>
    <s v="3000015811010003RC"/>
    <s v="CIVIL"/>
    <d v="2023-06-30T00:00:00"/>
    <d v="2023-07-05T19:42:28"/>
    <m/>
    <d v="2023-07-05T00:00:00"/>
    <n v="1211"/>
    <n v="18740"/>
    <s v="61723690"/>
    <s v="61723690"/>
    <m/>
    <m/>
    <m/>
    <m/>
    <m/>
    <m/>
    <s v="SOLRECOUP"/>
    <s v="SOLRECOUP"/>
    <s v="POARECOUP"/>
    <n v="21333959"/>
    <n v="-169.61"/>
    <m/>
    <s v="Y"/>
    <n v="1"/>
    <d v="2023-07-05T19:42:29"/>
    <s v="N"/>
    <m/>
    <m/>
    <s v="Expert Disbursement"/>
    <m/>
    <s v="N"/>
    <n v="-141.34"/>
    <n v="0"/>
    <x v="6"/>
    <s v="VALIDATED"/>
    <n v="1"/>
    <s v="01.11.80.308.2013.0000"/>
    <n v="-141.34"/>
    <s v="11"/>
    <s v="2013"/>
    <n v="26168.96"/>
    <n v="-141.34"/>
    <s v="CREDITOR"/>
    <n v="0"/>
    <n v="0"/>
    <n v="-141.34"/>
    <n v="0"/>
    <n v="0"/>
  </r>
  <r>
    <n v="61723690"/>
    <s v="N"/>
    <n v="21333959"/>
    <s v="3000015811010003RC"/>
    <s v="CIVIL"/>
    <d v="2023-06-30T00:00:00"/>
    <d v="2023-07-05T19:42:28"/>
    <m/>
    <d v="2023-07-05T00:00:00"/>
    <n v="1211"/>
    <n v="18740"/>
    <s v="61723690"/>
    <s v="61723690"/>
    <m/>
    <m/>
    <m/>
    <m/>
    <m/>
    <m/>
    <s v="SOLRECOUP"/>
    <s v="SOLRECOUP"/>
    <s v="POARECOUP"/>
    <n v="21333959"/>
    <n v="-169.61"/>
    <m/>
    <s v="Y"/>
    <n v="2"/>
    <d v="2023-07-05T19:42:29"/>
    <s v="N"/>
    <m/>
    <m/>
    <s v="Expert Disbursement"/>
    <m/>
    <s v="N"/>
    <n v="0"/>
    <n v="-28.27"/>
    <x v="6"/>
    <s v="VALIDATED"/>
    <n v="1"/>
    <s v="01.11.80.308.2013.0000"/>
    <n v="-28.27"/>
    <s v="11"/>
    <s v="2013"/>
    <n v="26168.96"/>
    <n v="-28.27"/>
    <s v="CREDITOR"/>
    <n v="0"/>
    <n v="0"/>
    <n v="-28.27"/>
    <n v="0"/>
    <n v="0"/>
  </r>
  <r>
    <n v="61723690"/>
    <s v="N"/>
    <n v="21333960"/>
    <s v="3000015811010001RC"/>
    <s v="CIVIL"/>
    <d v="2023-06-30T00:00:00"/>
    <d v="2023-07-05T19:42:28"/>
    <m/>
    <d v="2023-07-05T00:00:00"/>
    <n v="1211"/>
    <n v="18740"/>
    <s v="61723690"/>
    <s v="61723690"/>
    <m/>
    <m/>
    <m/>
    <m/>
    <m/>
    <m/>
    <s v="SOLRECOUP"/>
    <s v="SOLRECOUP"/>
    <s v="POARECOUP"/>
    <n v="21333960"/>
    <n v="-25.2"/>
    <m/>
    <s v="Y"/>
    <n v="1"/>
    <d v="2023-07-05T19:42:29"/>
    <s v="N"/>
    <m/>
    <m/>
    <s v="Non Expert Disbursement"/>
    <m/>
    <s v="N"/>
    <n v="-25.2"/>
    <n v="0"/>
    <x v="6"/>
    <s v="VALIDATED"/>
    <n v="1"/>
    <s v="01.11.80.308.2013.0000"/>
    <n v="-25.2"/>
    <s v="11"/>
    <s v="2013"/>
    <n v="26168.96"/>
    <n v="-25.2"/>
    <s v="CREDITOR"/>
    <n v="0"/>
    <n v="0"/>
    <n v="-25.2"/>
    <n v="0"/>
    <n v="0"/>
  </r>
  <r>
    <n v="61723690"/>
    <s v="N"/>
    <n v="21333960"/>
    <s v="3000015811010001RC"/>
    <s v="CIVIL"/>
    <d v="2023-06-30T00:00:00"/>
    <d v="2023-07-05T19:42:28"/>
    <m/>
    <d v="2023-07-05T00:00:00"/>
    <n v="1211"/>
    <n v="18740"/>
    <s v="61723690"/>
    <s v="61723690"/>
    <m/>
    <m/>
    <m/>
    <m/>
    <m/>
    <m/>
    <s v="SOLRECOUP"/>
    <s v="SOLRECOUP"/>
    <s v="POARECOUP"/>
    <n v="21333960"/>
    <n v="-25.2"/>
    <m/>
    <s v="Y"/>
    <n v="2"/>
    <d v="2023-07-05T19:42:29"/>
    <s v="N"/>
    <m/>
    <m/>
    <s v="Non Expert Disbursement"/>
    <m/>
    <s v="N"/>
    <n v="0"/>
    <n v="0"/>
    <x v="6"/>
    <s v="VALIDATED"/>
    <n v="1"/>
    <s v="01.11.80.000.0000.0000"/>
    <n v="0"/>
    <s v="11"/>
    <s v="0000"/>
    <n v="26168.96"/>
    <n v="0"/>
    <s v="CREDITOR"/>
    <n v="0"/>
    <n v="0"/>
    <n v="0"/>
    <n v="0"/>
    <n v="0"/>
  </r>
  <r>
    <n v="61584798"/>
    <s v="N"/>
    <n v="21333961"/>
    <s v="3000015696070001RC"/>
    <s v="CIVIL"/>
    <d v="2023-06-25T00:00:00"/>
    <d v="2023-07-05T19:42:28"/>
    <m/>
    <d v="2023-07-05T00:00:00"/>
    <n v="1211"/>
    <n v="18740"/>
    <s v="61584798"/>
    <s v="61584798"/>
    <m/>
    <m/>
    <m/>
    <m/>
    <m/>
    <m/>
    <s v="SOLRECOUP"/>
    <s v="SOLRECOUP"/>
    <s v="POARECOUP"/>
    <n v="21333961"/>
    <n v="-705.6"/>
    <m/>
    <s v="Y"/>
    <n v="1"/>
    <d v="2023-07-05T19:42:29"/>
    <s v="N"/>
    <m/>
    <m/>
    <s v="Expert Disbursement"/>
    <m/>
    <s v="N"/>
    <n v="-705.6"/>
    <n v="0"/>
    <x v="6"/>
    <s v="VALIDATED"/>
    <n v="1"/>
    <s v="01.11.80.308.2013.0000"/>
    <n v="-705.6"/>
    <s v="11"/>
    <s v="2013"/>
    <n v="26168.96"/>
    <n v="-705.6"/>
    <s v="CREDITOR"/>
    <n v="0"/>
    <n v="0"/>
    <n v="-705.6"/>
    <n v="0"/>
    <n v="0"/>
  </r>
  <r>
    <n v="61584798"/>
    <s v="N"/>
    <n v="21333961"/>
    <s v="3000015696070001RC"/>
    <s v="CIVIL"/>
    <d v="2023-06-25T00:00:00"/>
    <d v="2023-07-05T19:42:28"/>
    <m/>
    <d v="2023-07-05T00:00:00"/>
    <n v="1211"/>
    <n v="18740"/>
    <s v="61584798"/>
    <s v="61584798"/>
    <m/>
    <m/>
    <m/>
    <m/>
    <m/>
    <m/>
    <s v="SOLRECOUP"/>
    <s v="SOLRECOUP"/>
    <s v="POARECOUP"/>
    <n v="21333961"/>
    <n v="-705.6"/>
    <m/>
    <s v="Y"/>
    <n v="2"/>
    <d v="2023-07-05T19:42:29"/>
    <s v="N"/>
    <m/>
    <m/>
    <s v="Expert Disbursement"/>
    <m/>
    <s v="N"/>
    <n v="0"/>
    <n v="0"/>
    <x v="6"/>
    <s v="VALIDATED"/>
    <n v="1"/>
    <s v="01.11.80.000.0000.0000"/>
    <n v="0"/>
    <s v="11"/>
    <s v="0000"/>
    <n v="26168.96"/>
    <n v="0"/>
    <s v="CREDITOR"/>
    <n v="0"/>
    <n v="0"/>
    <n v="0"/>
    <n v="0"/>
    <n v="0"/>
  </r>
  <r>
    <n v="61584798"/>
    <s v="N"/>
    <n v="21333962"/>
    <s v="3000015696070002RC"/>
    <s v="CIVIL"/>
    <d v="2023-06-25T00:00:00"/>
    <d v="2023-07-05T19:42:28"/>
    <m/>
    <d v="2023-07-05T00:00:00"/>
    <n v="1211"/>
    <n v="18740"/>
    <s v="61584798"/>
    <s v="61584798"/>
    <m/>
    <m/>
    <m/>
    <m/>
    <m/>
    <m/>
    <s v="SOLRECOUP"/>
    <s v="SOLRECOUP"/>
    <s v="POARECOUP"/>
    <n v="21333962"/>
    <n v="-159.12"/>
    <m/>
    <s v="Y"/>
    <n v="1"/>
    <d v="2023-07-05T19:42:29"/>
    <s v="N"/>
    <m/>
    <m/>
    <s v="Expert Disbursement"/>
    <m/>
    <s v="N"/>
    <n v="-159.12"/>
    <n v="0"/>
    <x v="6"/>
    <s v="VALIDATED"/>
    <n v="1"/>
    <s v="01.11.80.308.2013.0000"/>
    <n v="-159.12"/>
    <s v="11"/>
    <s v="2013"/>
    <n v="26168.96"/>
    <n v="-159.12"/>
    <s v="CREDITOR"/>
    <n v="0"/>
    <n v="0"/>
    <n v="-159.12"/>
    <n v="0"/>
    <n v="0"/>
  </r>
  <r>
    <n v="61584798"/>
    <s v="N"/>
    <n v="21333962"/>
    <s v="3000015696070002RC"/>
    <s v="CIVIL"/>
    <d v="2023-06-25T00:00:00"/>
    <d v="2023-07-05T19:42:28"/>
    <m/>
    <d v="2023-07-05T00:00:00"/>
    <n v="1211"/>
    <n v="18740"/>
    <s v="61584798"/>
    <s v="61584798"/>
    <m/>
    <m/>
    <m/>
    <m/>
    <m/>
    <m/>
    <s v="SOLRECOUP"/>
    <s v="SOLRECOUP"/>
    <s v="POARECOUP"/>
    <n v="21333962"/>
    <n v="-159.12"/>
    <m/>
    <s v="Y"/>
    <n v="2"/>
    <d v="2023-07-05T19:42:29"/>
    <s v="N"/>
    <m/>
    <m/>
    <s v="Expert Disbursement"/>
    <m/>
    <s v="N"/>
    <n v="0"/>
    <n v="0"/>
    <x v="6"/>
    <s v="VALIDATED"/>
    <n v="1"/>
    <s v="01.11.80.000.0000.0000"/>
    <n v="0"/>
    <s v="11"/>
    <s v="0000"/>
    <n v="26168.96"/>
    <n v="0"/>
    <s v="CREDITOR"/>
    <n v="0"/>
    <n v="0"/>
    <n v="0"/>
    <n v="0"/>
    <n v="0"/>
  </r>
  <r>
    <n v="59596093"/>
    <s v="N"/>
    <n v="21361507"/>
    <s v="3000014000290001RC"/>
    <s v="CIVIL"/>
    <d v="2023-06-30T00:00:00"/>
    <d v="2023-07-11T19:38:00"/>
    <m/>
    <d v="2023-07-11T00:00:00"/>
    <n v="1211"/>
    <n v="18740"/>
    <s v="59596093"/>
    <s v="59596093"/>
    <m/>
    <m/>
    <m/>
    <m/>
    <m/>
    <m/>
    <s v="SOLRECOUP"/>
    <s v="SOLRECOUP"/>
    <s v="POARECOUP"/>
    <n v="21361507"/>
    <n v="-1423.2"/>
    <m/>
    <s v="Y"/>
    <n v="2"/>
    <d v="2023-07-11T19:38:01"/>
    <s v="N"/>
    <m/>
    <m/>
    <s v="Expert Disbursement"/>
    <m/>
    <s v="N"/>
    <n v="0"/>
    <n v="-237.2"/>
    <x v="7"/>
    <s v="VALIDATED"/>
    <n v="1"/>
    <s v="01.11.80.308.2013.0000"/>
    <n v="-237.2"/>
    <s v="11"/>
    <s v="2013"/>
    <n v="26168.96"/>
    <n v="-237.2"/>
    <s v="CREDITOR"/>
    <n v="0"/>
    <n v="0"/>
    <n v="-237.2"/>
    <n v="0"/>
    <n v="0"/>
  </r>
  <r>
    <n v="59596093"/>
    <s v="N"/>
    <n v="21361507"/>
    <s v="3000014000290001RC"/>
    <s v="CIVIL"/>
    <d v="2023-06-30T00:00:00"/>
    <d v="2023-07-11T19:38:00"/>
    <m/>
    <d v="2023-07-11T00:00:00"/>
    <n v="1211"/>
    <n v="18740"/>
    <s v="59596093"/>
    <s v="59596093"/>
    <m/>
    <m/>
    <m/>
    <m/>
    <m/>
    <m/>
    <s v="SOLRECOUP"/>
    <s v="SOLRECOUP"/>
    <s v="POARECOUP"/>
    <n v="21361507"/>
    <n v="-1423.2"/>
    <m/>
    <s v="Y"/>
    <n v="1"/>
    <d v="2023-07-11T19:38:01"/>
    <s v="N"/>
    <m/>
    <m/>
    <s v="Expert Disbursement"/>
    <m/>
    <s v="N"/>
    <n v="-1186"/>
    <n v="0"/>
    <x v="7"/>
    <s v="VALIDATED"/>
    <n v="1"/>
    <s v="01.11.80.308.2013.0000"/>
    <n v="-1186"/>
    <s v="11"/>
    <s v="2013"/>
    <n v="26168.96"/>
    <n v="-1186"/>
    <s v="CREDITOR"/>
    <n v="0"/>
    <n v="0"/>
    <n v="-1186"/>
    <n v="0"/>
    <n v="0"/>
  </r>
  <r>
    <n v="59596093"/>
    <s v="N"/>
    <n v="21361508"/>
    <s v="3000014000290002RC"/>
    <s v="CIVIL"/>
    <d v="2023-06-30T00:00:00"/>
    <d v="2023-07-11T19:38:00"/>
    <m/>
    <d v="2023-07-11T00:00:00"/>
    <n v="1211"/>
    <n v="18740"/>
    <s v="59596093"/>
    <s v="59596093"/>
    <m/>
    <m/>
    <m/>
    <m/>
    <m/>
    <m/>
    <s v="SOLRECOUP"/>
    <s v="SOLRECOUP"/>
    <s v="POARECOUP"/>
    <n v="21361508"/>
    <n v="-44"/>
    <m/>
    <s v="Y"/>
    <n v="2"/>
    <d v="2023-07-11T19:38:01"/>
    <s v="N"/>
    <m/>
    <m/>
    <s v="Expert Disbursement"/>
    <m/>
    <s v="N"/>
    <n v="0"/>
    <n v="-7.33"/>
    <x v="7"/>
    <s v="VALIDATED"/>
    <n v="1"/>
    <s v="01.11.80.308.2013.0000"/>
    <n v="-7.33"/>
    <s v="11"/>
    <s v="2013"/>
    <n v="26168.96"/>
    <n v="-7.33"/>
    <s v="CREDITOR"/>
    <n v="0"/>
    <n v="0"/>
    <n v="-7.33"/>
    <n v="0"/>
    <n v="0"/>
  </r>
  <r>
    <n v="59596093"/>
    <s v="N"/>
    <n v="21361508"/>
    <s v="3000014000290002RC"/>
    <s v="CIVIL"/>
    <d v="2023-06-30T00:00:00"/>
    <d v="2023-07-11T19:38:00"/>
    <m/>
    <d v="2023-07-11T00:00:00"/>
    <n v="1211"/>
    <n v="18740"/>
    <s v="59596093"/>
    <s v="59596093"/>
    <m/>
    <m/>
    <m/>
    <m/>
    <m/>
    <m/>
    <s v="SOLRECOUP"/>
    <s v="SOLRECOUP"/>
    <s v="POARECOUP"/>
    <n v="21361508"/>
    <n v="-44"/>
    <m/>
    <s v="Y"/>
    <n v="1"/>
    <d v="2023-07-11T19:38:01"/>
    <s v="N"/>
    <m/>
    <m/>
    <s v="Expert Disbursement"/>
    <m/>
    <s v="N"/>
    <n v="-36.67"/>
    <n v="0"/>
    <x v="7"/>
    <s v="VALIDATED"/>
    <n v="1"/>
    <s v="01.11.80.308.2013.0000"/>
    <n v="-36.67"/>
    <s v="11"/>
    <s v="2013"/>
    <n v="26168.96"/>
    <n v="-36.67"/>
    <s v="CREDITOR"/>
    <n v="0"/>
    <n v="0"/>
    <n v="-36.67"/>
    <n v="0"/>
    <n v="0"/>
  </r>
  <r>
    <n v="61384707"/>
    <s v="N"/>
    <n v="21361509"/>
    <s v="3000015528680003RC"/>
    <s v="CIVIL"/>
    <d v="2023-06-30T00:00:00"/>
    <d v="2023-07-11T19:38:00"/>
    <m/>
    <d v="2023-07-11T00:00:00"/>
    <n v="1211"/>
    <n v="18740"/>
    <s v="61384707"/>
    <s v="61384707"/>
    <m/>
    <m/>
    <m/>
    <m/>
    <m/>
    <m/>
    <s v="SOLRECOUP"/>
    <s v="SOLRECOUP"/>
    <s v="POARECOUP"/>
    <n v="21361509"/>
    <n v="-1270.71"/>
    <m/>
    <s v="Y"/>
    <n v="1"/>
    <d v="2023-07-11T19:38:01"/>
    <s v="N"/>
    <m/>
    <m/>
    <s v="Expert Disbursement"/>
    <m/>
    <s v="N"/>
    <n v="-1270.71"/>
    <n v="0"/>
    <x v="7"/>
    <s v="VALIDATED"/>
    <n v="1"/>
    <s v="01.11.80.308.2013.0000"/>
    <n v="-1270.71"/>
    <s v="11"/>
    <s v="2013"/>
    <n v="26168.96"/>
    <n v="-1270.71"/>
    <s v="CREDITOR"/>
    <n v="0"/>
    <n v="0"/>
    <n v="-1270.71"/>
    <n v="0"/>
    <n v="0"/>
  </r>
  <r>
    <n v="61659062"/>
    <s v="N"/>
    <n v="21367213"/>
    <s v="3000015759270001RC"/>
    <s v="CIVIL"/>
    <d v="2023-06-30T00:00:00"/>
    <d v="2023-07-12T19:45:33"/>
    <m/>
    <d v="2023-07-12T00:00:00"/>
    <n v="1211"/>
    <n v="18740"/>
    <s v="61659062"/>
    <s v="61659062"/>
    <m/>
    <m/>
    <m/>
    <m/>
    <m/>
    <m/>
    <s v="SOLRECOUP"/>
    <s v="SOLRECOUP"/>
    <s v="POARECOUP"/>
    <n v="21367213"/>
    <n v="-28.6"/>
    <m/>
    <s v="Y"/>
    <n v="1"/>
    <d v="2023-07-12T19:45:33"/>
    <s v="N"/>
    <m/>
    <m/>
    <s v="Non Expert Disbursement"/>
    <m/>
    <s v="N"/>
    <n v="-28.6"/>
    <n v="0"/>
    <x v="0"/>
    <s v="VALIDATED"/>
    <n v="1"/>
    <s v="01.11.80.308.2013.0000"/>
    <n v="-28.6"/>
    <s v="11"/>
    <s v="2013"/>
    <n v="26168.96"/>
    <n v="-28.6"/>
    <s v="CREDITOR"/>
    <n v="0"/>
    <n v="0"/>
    <n v="-28.6"/>
    <n v="0"/>
    <n v="0"/>
  </r>
  <r>
    <n v="61659062"/>
    <s v="N"/>
    <n v="21367213"/>
    <s v="3000015759270001RC"/>
    <s v="CIVIL"/>
    <d v="2023-06-30T00:00:00"/>
    <d v="2023-07-12T19:45:33"/>
    <m/>
    <d v="2023-07-12T00:00:00"/>
    <n v="1211"/>
    <n v="18740"/>
    <s v="61659062"/>
    <s v="61659062"/>
    <m/>
    <m/>
    <m/>
    <m/>
    <m/>
    <m/>
    <s v="SOLRECOUP"/>
    <s v="SOLRECOUP"/>
    <s v="POARECOUP"/>
    <n v="21367213"/>
    <n v="-28.6"/>
    <m/>
    <s v="Y"/>
    <n v="2"/>
    <d v="2023-07-12T19:45:33"/>
    <s v="N"/>
    <m/>
    <m/>
    <s v="Non Expert Disbursement"/>
    <m/>
    <s v="N"/>
    <n v="0"/>
    <n v="0"/>
    <x v="0"/>
    <s v="VALIDATED"/>
    <n v="1"/>
    <s v="01.11.80.000.0000.0000"/>
    <n v="0"/>
    <s v="11"/>
    <s v="0000"/>
    <n v="26168.96"/>
    <n v="0"/>
    <s v="CREDITOR"/>
    <n v="0"/>
    <n v="0"/>
    <n v="0"/>
    <n v="0"/>
    <n v="0"/>
  </r>
  <r>
    <n v="61659062"/>
    <s v="N"/>
    <n v="21366421"/>
    <s v="3000015759270002RC"/>
    <s v="CIVIL"/>
    <d v="2023-06-30T00:00:00"/>
    <d v="2023-07-12T19:45:17"/>
    <m/>
    <d v="2023-07-12T00:00:00"/>
    <n v="1211"/>
    <n v="18740"/>
    <s v="61659062"/>
    <s v="61659062"/>
    <m/>
    <m/>
    <m/>
    <m/>
    <m/>
    <m/>
    <s v="SOLRECOUP"/>
    <s v="SOLRECOUP"/>
    <s v="POARECOUP"/>
    <n v="21366421"/>
    <n v="-28.5"/>
    <m/>
    <s v="Y"/>
    <n v="2"/>
    <d v="2023-07-12T19:45:18"/>
    <s v="N"/>
    <m/>
    <m/>
    <s v="Non Expert Disbursement"/>
    <m/>
    <s v="N"/>
    <n v="0"/>
    <n v="0"/>
    <x v="0"/>
    <s v="VALIDATED"/>
    <n v="1"/>
    <s v="01.11.80.000.0000.0000"/>
    <n v="0"/>
    <s v="11"/>
    <s v="0000"/>
    <n v="26168.96"/>
    <n v="0"/>
    <s v="CREDITOR"/>
    <n v="0"/>
    <n v="0"/>
    <n v="0"/>
    <n v="0"/>
    <n v="0"/>
  </r>
  <r>
    <n v="61659062"/>
    <s v="N"/>
    <n v="21366421"/>
    <s v="3000015759270002RC"/>
    <s v="CIVIL"/>
    <d v="2023-06-30T00:00:00"/>
    <d v="2023-07-12T19:45:17"/>
    <m/>
    <d v="2023-07-12T00:00:00"/>
    <n v="1211"/>
    <n v="18740"/>
    <s v="61659062"/>
    <s v="61659062"/>
    <m/>
    <m/>
    <m/>
    <m/>
    <m/>
    <m/>
    <s v="SOLRECOUP"/>
    <s v="SOLRECOUP"/>
    <s v="POARECOUP"/>
    <n v="21366421"/>
    <n v="-28.5"/>
    <m/>
    <s v="Y"/>
    <n v="1"/>
    <d v="2023-07-12T19:45:18"/>
    <s v="N"/>
    <m/>
    <m/>
    <s v="Non Expert Disbursement"/>
    <m/>
    <s v="N"/>
    <n v="-28.5"/>
    <n v="0"/>
    <x v="0"/>
    <s v="VALIDATED"/>
    <n v="1"/>
    <s v="01.11.80.308.2013.0000"/>
    <n v="-28.5"/>
    <s v="11"/>
    <s v="2013"/>
    <n v="26168.96"/>
    <n v="-28.5"/>
    <s v="CREDITOR"/>
    <n v="0"/>
    <n v="0"/>
    <n v="-28.5"/>
    <n v="0"/>
    <n v="0"/>
  </r>
  <r>
    <n v="61384707"/>
    <s v="N"/>
    <n v="21361509"/>
    <s v="3000015528680003RC"/>
    <s v="CIVIL"/>
    <d v="2023-06-30T00:00:00"/>
    <d v="2023-07-11T19:38:00"/>
    <m/>
    <d v="2023-07-11T00:00:00"/>
    <n v="1211"/>
    <n v="18740"/>
    <s v="61384707"/>
    <s v="61384707"/>
    <m/>
    <m/>
    <m/>
    <m/>
    <m/>
    <m/>
    <s v="SOLRECOUP"/>
    <s v="SOLRECOUP"/>
    <s v="POARECOUP"/>
    <n v="21361509"/>
    <n v="-1270.71"/>
    <m/>
    <s v="Y"/>
    <n v="2"/>
    <d v="2023-07-11T19:38:01"/>
    <s v="N"/>
    <m/>
    <m/>
    <s v="Expert Disbursement"/>
    <m/>
    <s v="N"/>
    <n v="0"/>
    <n v="0"/>
    <x v="7"/>
    <s v="VALIDATED"/>
    <n v="1"/>
    <s v="01.11.80.000.0000.0000"/>
    <n v="0"/>
    <s v="11"/>
    <s v="0000"/>
    <n v="26168.96"/>
    <n v="0"/>
    <s v="CREDITOR"/>
    <n v="0"/>
    <n v="0"/>
    <n v="0"/>
    <n v="0"/>
    <n v="0"/>
  </r>
  <r>
    <n v="61384707"/>
    <s v="N"/>
    <n v="21361510"/>
    <s v="3000015528680001RC"/>
    <s v="CIVIL"/>
    <d v="2023-06-30T00:00:00"/>
    <d v="2023-07-11T19:38:00"/>
    <m/>
    <d v="2023-07-11T00:00:00"/>
    <n v="1211"/>
    <n v="18740"/>
    <s v="61384707"/>
    <s v="61384707"/>
    <m/>
    <m/>
    <m/>
    <m/>
    <m/>
    <m/>
    <s v="SOLRECOUP"/>
    <s v="SOLRECOUP"/>
    <s v="POARECOUP"/>
    <n v="21361510"/>
    <n v="-352.8"/>
    <m/>
    <s v="Y"/>
    <n v="2"/>
    <d v="2023-07-11T19:38:01"/>
    <s v="N"/>
    <m/>
    <m/>
    <s v="Expert Disbursement"/>
    <m/>
    <s v="N"/>
    <n v="0"/>
    <n v="-58.8"/>
    <x v="7"/>
    <s v="VALIDATED"/>
    <n v="1"/>
    <s v="01.11.80.308.2013.0000"/>
    <n v="-58.8"/>
    <s v="11"/>
    <s v="2013"/>
    <n v="26168.96"/>
    <n v="-58.8"/>
    <s v="CREDITOR"/>
    <n v="0"/>
    <n v="0"/>
    <n v="-58.8"/>
    <n v="0"/>
    <n v="0"/>
  </r>
  <r>
    <n v="61384707"/>
    <s v="N"/>
    <n v="21361510"/>
    <s v="3000015528680001RC"/>
    <s v="CIVIL"/>
    <d v="2023-06-30T00:00:00"/>
    <d v="2023-07-11T19:38:00"/>
    <m/>
    <d v="2023-07-11T00:00:00"/>
    <n v="1211"/>
    <n v="18740"/>
    <s v="61384707"/>
    <s v="61384707"/>
    <m/>
    <m/>
    <m/>
    <m/>
    <m/>
    <m/>
    <s v="SOLRECOUP"/>
    <s v="SOLRECOUP"/>
    <s v="POARECOUP"/>
    <n v="21361510"/>
    <n v="-352.8"/>
    <m/>
    <s v="Y"/>
    <n v="1"/>
    <d v="2023-07-11T19:38:01"/>
    <s v="N"/>
    <m/>
    <m/>
    <s v="Expert Disbursement"/>
    <m/>
    <s v="N"/>
    <n v="-294"/>
    <n v="0"/>
    <x v="7"/>
    <s v="VALIDATED"/>
    <n v="1"/>
    <s v="01.11.80.308.2013.0000"/>
    <n v="-294"/>
    <s v="11"/>
    <s v="2013"/>
    <n v="26168.96"/>
    <n v="-294"/>
    <s v="CREDITOR"/>
    <n v="0"/>
    <n v="0"/>
    <n v="-294"/>
    <n v="0"/>
    <n v="0"/>
  </r>
  <r>
    <n v="61384707"/>
    <s v="N"/>
    <n v="21361511"/>
    <s v="3000015528680002RC"/>
    <s v="CIVIL"/>
    <d v="2023-06-30T00:00:00"/>
    <d v="2023-07-11T19:38:00"/>
    <m/>
    <d v="2023-07-11T00:00:00"/>
    <n v="1211"/>
    <n v="18740"/>
    <s v="61384707"/>
    <s v="61384707"/>
    <m/>
    <m/>
    <m/>
    <m/>
    <m/>
    <m/>
    <s v="SOLRECOUP"/>
    <s v="SOLRECOUP"/>
    <s v="POARECOUP"/>
    <n v="21361511"/>
    <n v="-167"/>
    <m/>
    <s v="Y"/>
    <n v="1"/>
    <d v="2023-07-11T19:38:01"/>
    <s v="N"/>
    <m/>
    <m/>
    <s v="Non Expert Disbursement"/>
    <m/>
    <s v="N"/>
    <n v="-167"/>
    <n v="0"/>
    <x v="7"/>
    <s v="VALIDATED"/>
    <n v="1"/>
    <s v="01.11.80.308.2013.0000"/>
    <n v="-167"/>
    <s v="11"/>
    <s v="2013"/>
    <n v="26168.96"/>
    <n v="-167"/>
    <s v="CREDITOR"/>
    <n v="0"/>
    <n v="0"/>
    <n v="-167"/>
    <n v="0"/>
    <n v="0"/>
  </r>
  <r>
    <n v="61384707"/>
    <s v="N"/>
    <n v="21361511"/>
    <s v="3000015528680002RC"/>
    <s v="CIVIL"/>
    <d v="2023-06-30T00:00:00"/>
    <d v="2023-07-11T19:38:00"/>
    <m/>
    <d v="2023-07-11T00:00:00"/>
    <n v="1211"/>
    <n v="18740"/>
    <s v="61384707"/>
    <s v="61384707"/>
    <m/>
    <m/>
    <m/>
    <m/>
    <m/>
    <m/>
    <s v="SOLRECOUP"/>
    <s v="SOLRECOUP"/>
    <s v="POARECOUP"/>
    <n v="21361511"/>
    <n v="-167"/>
    <m/>
    <s v="Y"/>
    <n v="2"/>
    <d v="2023-07-11T19:38:01"/>
    <s v="N"/>
    <m/>
    <m/>
    <s v="Non Expert Disbursement"/>
    <m/>
    <s v="N"/>
    <n v="0"/>
    <n v="0"/>
    <x v="7"/>
    <s v="VALIDATED"/>
    <n v="1"/>
    <s v="01.11.80.000.0000.0000"/>
    <n v="0"/>
    <s v="11"/>
    <s v="0000"/>
    <n v="26168.96"/>
    <n v="0"/>
    <s v="CREDITOR"/>
    <n v="0"/>
    <n v="0"/>
    <n v="0"/>
    <n v="0"/>
    <n v="0"/>
  </r>
  <r>
    <n v="59596093"/>
    <s v="N"/>
    <n v="21361512"/>
    <s v="3000014000290003RC"/>
    <s v="CIVIL"/>
    <d v="2023-06-30T00:00:00"/>
    <d v="2023-07-11T19:38:00"/>
    <m/>
    <d v="2023-07-11T00:00:00"/>
    <n v="1211"/>
    <n v="18740"/>
    <s v="59596093"/>
    <s v="59596093"/>
    <m/>
    <m/>
    <m/>
    <m/>
    <m/>
    <m/>
    <s v="SOLRECOUP"/>
    <s v="SOLRECOUP"/>
    <s v="POARECOUP"/>
    <n v="21361512"/>
    <n v="-35.25"/>
    <m/>
    <s v="Y"/>
    <n v="2"/>
    <d v="2023-07-11T19:38:01"/>
    <s v="N"/>
    <m/>
    <m/>
    <s v="Non Expert Disbursement"/>
    <m/>
    <s v="N"/>
    <n v="0"/>
    <n v="0"/>
    <x v="7"/>
    <s v="VALIDATED"/>
    <n v="1"/>
    <s v="01.11.80.000.0000.0000"/>
    <n v="0"/>
    <s v="11"/>
    <s v="0000"/>
    <n v="26168.96"/>
    <n v="0"/>
    <s v="CREDITOR"/>
    <n v="0"/>
    <n v="0"/>
    <n v="0"/>
    <n v="0"/>
    <n v="0"/>
  </r>
  <r>
    <n v="59596093"/>
    <s v="N"/>
    <n v="21361512"/>
    <s v="3000014000290003RC"/>
    <s v="CIVIL"/>
    <d v="2023-06-30T00:00:00"/>
    <d v="2023-07-11T19:38:00"/>
    <m/>
    <d v="2023-07-11T00:00:00"/>
    <n v="1211"/>
    <n v="18740"/>
    <s v="59596093"/>
    <s v="59596093"/>
    <m/>
    <m/>
    <m/>
    <m/>
    <m/>
    <m/>
    <s v="SOLRECOUP"/>
    <s v="SOLRECOUP"/>
    <s v="POARECOUP"/>
    <n v="21361512"/>
    <n v="-35.25"/>
    <m/>
    <s v="Y"/>
    <n v="1"/>
    <d v="2023-07-11T19:38:01"/>
    <s v="N"/>
    <m/>
    <m/>
    <s v="Non Expert Disbursement"/>
    <m/>
    <s v="N"/>
    <n v="-35.25"/>
    <n v="0"/>
    <x v="7"/>
    <s v="VALIDATED"/>
    <n v="1"/>
    <s v="01.11.80.308.2013.0000"/>
    <n v="-35.25"/>
    <s v="11"/>
    <s v="2013"/>
    <n v="26168.96"/>
    <n v="-35.25"/>
    <s v="CREDITOR"/>
    <n v="0"/>
    <n v="0"/>
    <n v="-35.25"/>
    <n v="0"/>
    <n v="0"/>
  </r>
  <r>
    <n v="61384707"/>
    <s v="N"/>
    <n v="21361513"/>
    <s v="3000015528680004RC"/>
    <s v="CIVIL"/>
    <d v="2023-06-30T00:00:00"/>
    <d v="2023-07-11T19:38:00"/>
    <m/>
    <d v="2023-07-11T00:00:00"/>
    <n v="1211"/>
    <n v="18740"/>
    <s v="61384707"/>
    <s v="61384707"/>
    <m/>
    <m/>
    <m/>
    <m/>
    <m/>
    <m/>
    <s v="SOLRECOUP"/>
    <s v="SOLRECOUP"/>
    <s v="POARECOUP"/>
    <n v="21361513"/>
    <n v="-322.56"/>
    <m/>
    <s v="Y"/>
    <n v="1"/>
    <d v="2023-07-11T19:38:01"/>
    <s v="N"/>
    <m/>
    <m/>
    <s v="Expert Disbursement"/>
    <m/>
    <s v="N"/>
    <n v="-268.8"/>
    <n v="0"/>
    <x v="7"/>
    <s v="VALIDATED"/>
    <n v="1"/>
    <s v="01.11.80.308.2013.0000"/>
    <n v="-268.8"/>
    <s v="11"/>
    <s v="2013"/>
    <n v="26168.96"/>
    <n v="-268.8"/>
    <s v="CREDITOR"/>
    <n v="0"/>
    <n v="0"/>
    <n v="-268.8"/>
    <n v="0"/>
    <n v="0"/>
  </r>
  <r>
    <n v="61384707"/>
    <s v="N"/>
    <n v="21361513"/>
    <s v="3000015528680004RC"/>
    <s v="CIVIL"/>
    <d v="2023-06-30T00:00:00"/>
    <d v="2023-07-11T19:38:00"/>
    <m/>
    <d v="2023-07-11T00:00:00"/>
    <n v="1211"/>
    <n v="18740"/>
    <s v="61384707"/>
    <s v="61384707"/>
    <m/>
    <m/>
    <m/>
    <m/>
    <m/>
    <m/>
    <s v="SOLRECOUP"/>
    <s v="SOLRECOUP"/>
    <s v="POARECOUP"/>
    <n v="21361513"/>
    <n v="-322.56"/>
    <m/>
    <s v="Y"/>
    <n v="2"/>
    <d v="2023-07-11T19:38:01"/>
    <s v="N"/>
    <m/>
    <m/>
    <s v="Expert Disbursement"/>
    <m/>
    <s v="N"/>
    <n v="0"/>
    <n v="-53.76"/>
    <x v="7"/>
    <s v="VALIDATED"/>
    <n v="1"/>
    <s v="01.11.80.308.2013.0000"/>
    <n v="-53.76"/>
    <s v="11"/>
    <s v="2013"/>
    <n v="26168.96"/>
    <n v="-53.76"/>
    <s v="CREDITOR"/>
    <n v="0"/>
    <n v="0"/>
    <n v="-53.76"/>
    <n v="0"/>
    <n v="0"/>
  </r>
  <r>
    <n v="61494797"/>
    <s v="N"/>
    <n v="21327761"/>
    <s v="3000015619270002"/>
    <s v="CIVIL"/>
    <d v="2023-06-25T00:00:00"/>
    <d v="2023-07-04T19:00:44"/>
    <m/>
    <d v="2023-07-04T00:00:00"/>
    <n v="1211"/>
    <n v="18740"/>
    <s v="61494797"/>
    <s v="61494797"/>
    <m/>
    <m/>
    <n v="22756968"/>
    <m/>
    <m/>
    <m/>
    <s v="SOLFIN"/>
    <s v="SOLFIN"/>
    <s v="CCMS"/>
    <n v="21327761"/>
    <n v="4279.46"/>
    <m/>
    <s v="N"/>
    <n v="5"/>
    <d v="2023-07-04T19:00:54"/>
    <s v="Y"/>
    <s v="Solicitor Travel Mileage"/>
    <s v="Public Law Children"/>
    <s v="Non Expert Disbursement"/>
    <s v="ATL"/>
    <s v="Y"/>
    <n v="25.2"/>
    <n v="5.04"/>
    <x v="1"/>
    <s v="VALIDATED"/>
    <n v="1"/>
    <s v="01.11.80.308.6300.0000"/>
    <n v="25.2"/>
    <s v="11"/>
    <s v="6300"/>
    <n v="26168.96"/>
    <n v="25.2"/>
    <s v="CREDITOR"/>
    <n v="0"/>
    <n v="0"/>
    <n v="0"/>
    <n v="0"/>
    <n v="25.2"/>
  </r>
  <r>
    <n v="59596093"/>
    <s v="N"/>
    <n v="21360726"/>
    <s v="3000014000290004"/>
    <s v="CIVIL"/>
    <d v="2023-06-30T00:00:00"/>
    <d v="2023-07-11T19:00:25"/>
    <m/>
    <d v="2023-07-11T00:00:00"/>
    <n v="1211"/>
    <n v="18740"/>
    <s v="59596093"/>
    <s v="59596093"/>
    <m/>
    <m/>
    <n v="22797984"/>
    <m/>
    <m/>
    <m/>
    <s v="SOLFIN"/>
    <s v="SOLFIN"/>
    <s v="CCMS"/>
    <n v="21360726"/>
    <n v="9741.1"/>
    <m/>
    <s v="N"/>
    <n v="7"/>
    <d v="2023-07-11T19:00:32"/>
    <s v="Y"/>
    <s v="Solicitor Travel Expenses"/>
    <s v="Public Law Children"/>
    <s v="Non Expert Disbursement"/>
    <s v="HJ"/>
    <s v="Y"/>
    <n v="6"/>
    <n v="0"/>
    <x v="7"/>
    <s v="VALIDATED"/>
    <n v="1"/>
    <s v="01.11.80.308.6300.0000"/>
    <n v="6"/>
    <s v="11"/>
    <s v="6300"/>
    <n v="26168.96"/>
    <n v="6"/>
    <s v="CREDITOR"/>
    <n v="0"/>
    <n v="0"/>
    <n v="0"/>
    <n v="0"/>
    <n v="6"/>
  </r>
  <r>
    <n v="59596134"/>
    <s v="N"/>
    <n v="21360719"/>
    <s v="3000014000350001"/>
    <s v="CIVIL"/>
    <d v="2023-06-23T00:00:00"/>
    <d v="2023-07-11T19:00:25"/>
    <m/>
    <d v="2023-07-11T00:00:00"/>
    <n v="1211"/>
    <n v="18740"/>
    <s v="59596134"/>
    <s v="59596134"/>
    <m/>
    <m/>
    <n v="22752250"/>
    <m/>
    <m/>
    <m/>
    <s v="SOLFIN"/>
    <s v="SOLFIN"/>
    <s v="CCMS"/>
    <n v="21360719"/>
    <n v="0"/>
    <m/>
    <s v="N"/>
    <n v="1"/>
    <d v="2023-07-11T19:00:31"/>
    <s v="N"/>
    <s v="NIL BILL"/>
    <s v="Public Law Children"/>
    <s v="Profit Cost"/>
    <s v="HJ"/>
    <s v="N"/>
    <n v="0"/>
    <n v="0"/>
    <x v="7"/>
    <s v="VALIDATED"/>
    <n v="1"/>
    <s v="01.11.80.308.6100.0000"/>
    <n v="0"/>
    <s v="11"/>
    <s v="6100"/>
    <n v="26168.96"/>
    <n v="0"/>
    <s v="CREDITOR"/>
    <n v="0"/>
    <n v="0"/>
    <n v="0"/>
    <n v="0"/>
    <n v="0"/>
  </r>
  <r>
    <n v="59596093"/>
    <s v="N"/>
    <n v="21360726"/>
    <s v="3000014000290004"/>
    <s v="CIVIL"/>
    <d v="2023-06-30T00:00:00"/>
    <d v="2023-07-11T19:00:25"/>
    <m/>
    <d v="2023-07-11T00:00:00"/>
    <n v="1211"/>
    <n v="18740"/>
    <s v="59596093"/>
    <s v="59596093"/>
    <m/>
    <m/>
    <n v="22797984"/>
    <m/>
    <m/>
    <m/>
    <s v="SOLFIN"/>
    <s v="SOLFIN"/>
    <s v="CCMS"/>
    <n v="21360726"/>
    <n v="9741.1"/>
    <m/>
    <s v="N"/>
    <n v="5"/>
    <d v="2023-07-11T19:00:32"/>
    <s v="Y"/>
    <s v="Toxicologist"/>
    <s v="Public Law Children"/>
    <s v="Expert Disbursement"/>
    <s v="HJ"/>
    <s v="Y"/>
    <n v="36.67"/>
    <n v="7.33"/>
    <x v="7"/>
    <s v="VALIDATED"/>
    <n v="1"/>
    <s v="01.11.80.308.6300.0000"/>
    <n v="36.67"/>
    <s v="11"/>
    <s v="6300"/>
    <n v="26168.96"/>
    <n v="36.67"/>
    <s v="CREDITOR"/>
    <n v="0"/>
    <n v="0"/>
    <n v="0"/>
    <n v="0"/>
    <n v="36.67"/>
  </r>
  <r>
    <n v="60489111"/>
    <s v="N"/>
    <n v="21320106"/>
    <s v="3000014765970011"/>
    <s v="CIVIL"/>
    <d v="2023-06-27T00:00:00"/>
    <d v="2023-07-03T19:04:24"/>
    <m/>
    <d v="2023-07-03T00:00:00"/>
    <n v="1211"/>
    <n v="18740"/>
    <s v="60489111"/>
    <s v="60489111"/>
    <m/>
    <m/>
    <n v="22766676"/>
    <m/>
    <m/>
    <m/>
    <s v="SOLPOA"/>
    <s v="SOLPOA"/>
    <s v="CCMS"/>
    <n v="21320106"/>
    <n v="37.25"/>
    <m/>
    <s v="N"/>
    <n v="1"/>
    <d v="2023-07-03T19:04:29"/>
    <s v="N"/>
    <s v="Non Expert Disbursement"/>
    <s v="Non Expert Disbursement"/>
    <s v="Non Expert Disbursement"/>
    <s v="HJ"/>
    <s v="N"/>
    <n v="37.25"/>
    <n v="0"/>
    <x v="3"/>
    <s v="VALIDATED"/>
    <n v="1"/>
    <s v="01.11.80.308.2012.0000"/>
    <n v="37.25"/>
    <s v="11"/>
    <s v="2012"/>
    <n v="26168.96"/>
    <n v="37.25"/>
    <s v="CREDITOR"/>
    <n v="37.25"/>
    <n v="0"/>
    <n v="0"/>
    <n v="0"/>
    <n v="0"/>
  </r>
  <r>
    <n v="61723690"/>
    <s v="N"/>
    <n v="21331189"/>
    <s v="3000015811010005"/>
    <s v="CIVIL"/>
    <d v="2023-06-30T00:00:00"/>
    <d v="2023-07-05T19:01:47"/>
    <m/>
    <d v="2023-07-05T00:00:00"/>
    <n v="1211"/>
    <n v="18740"/>
    <s v="61723690"/>
    <s v="61723690"/>
    <m/>
    <m/>
    <n v="22799338"/>
    <m/>
    <m/>
    <m/>
    <s v="SOLFIN"/>
    <s v="SOLFIN"/>
    <s v="CCMS"/>
    <n v="21331189"/>
    <n v="4501.44"/>
    <m/>
    <s v="N"/>
    <n v="9"/>
    <d v="2023-07-05T19:02:09"/>
    <s v="Y"/>
    <s v="Solicitors Fixed Fee"/>
    <s v="Public Law Children"/>
    <s v="Profit Cost"/>
    <s v="ATL"/>
    <s v="Y"/>
    <n v="2300"/>
    <n v="460"/>
    <x v="6"/>
    <s v="VALIDATED"/>
    <n v="1"/>
    <s v="01.11.80.308.6100.0000"/>
    <n v="2300"/>
    <s v="11"/>
    <s v="6100"/>
    <n v="26168.96"/>
    <n v="2300"/>
    <s v="CREDITOR"/>
    <n v="0"/>
    <n v="0"/>
    <n v="0"/>
    <n v="0"/>
    <n v="2300"/>
  </r>
  <r>
    <n v="61494797"/>
    <s v="N"/>
    <n v="21327761"/>
    <s v="3000015619270002"/>
    <s v="CIVIL"/>
    <d v="2023-06-25T00:00:00"/>
    <d v="2023-07-04T19:00:44"/>
    <m/>
    <d v="2023-07-04T00:00:00"/>
    <n v="1211"/>
    <n v="18740"/>
    <s v="61494797"/>
    <s v="61494797"/>
    <m/>
    <m/>
    <n v="22756968"/>
    <m/>
    <m/>
    <m/>
    <s v="SOLFIN"/>
    <s v="SOLFIN"/>
    <s v="CCMS"/>
    <n v="21327761"/>
    <n v="4279.46"/>
    <m/>
    <s v="N"/>
    <n v="4"/>
    <d v="2023-07-04T19:00:54"/>
    <s v="Y"/>
    <s v="Solicitor Travel Expenses"/>
    <s v="Public Law Children"/>
    <s v="Non Expert Disbursement"/>
    <s v="HJ"/>
    <s v="Y"/>
    <n v="3"/>
    <n v="0"/>
    <x v="1"/>
    <s v="VALIDATED"/>
    <n v="1"/>
    <s v="01.11.80.308.6300.0000"/>
    <n v="3"/>
    <s v="11"/>
    <s v="6300"/>
    <n v="26168.96"/>
    <n v="3"/>
    <s v="CREDITOR"/>
    <n v="0"/>
    <n v="0"/>
    <n v="0"/>
    <n v="0"/>
    <n v="3"/>
  </r>
  <r>
    <n v="61384707"/>
    <s v="N"/>
    <n v="21360257"/>
    <s v="3000015528680006"/>
    <s v="CIVIL"/>
    <d v="2023-06-30T00:00:00"/>
    <d v="2023-07-11T11:50:54"/>
    <m/>
    <d v="2023-07-11T00:00:00"/>
    <n v="1211"/>
    <n v="18740"/>
    <s v="61384707"/>
    <s v="61384707"/>
    <m/>
    <m/>
    <n v="22797712"/>
    <m/>
    <m/>
    <m/>
    <s v="SOLFIN"/>
    <s v="SOLFIN"/>
    <s v="CCMS"/>
    <n v="21360257"/>
    <n v="7048.81"/>
    <m/>
    <s v="N"/>
    <n v="12"/>
    <d v="2023-07-11T11:50:59"/>
    <s v="Y"/>
    <s v="Hearing Unit 2.31 - 5.00 Hours"/>
    <s v="Public Law Children"/>
    <s v="Advocacy"/>
    <s v="HJ"/>
    <s v="Y"/>
    <n v="572.3200000000001"/>
    <n v="114.46"/>
    <x v="7"/>
    <s v="VALIDATED"/>
    <n v="1"/>
    <s v="01.11.80.308.6100.0000"/>
    <n v="572.3200000000001"/>
    <s v="11"/>
    <s v="6100"/>
    <n v="26168.96"/>
    <n v="572.3200000000001"/>
    <s v="CREDITOR"/>
    <n v="0"/>
    <n v="0"/>
    <n v="0"/>
    <n v="0"/>
    <n v="572.3200000000001"/>
  </r>
  <r>
    <n v="61384707"/>
    <s v="N"/>
    <n v="21360257"/>
    <s v="3000015528680006"/>
    <s v="CIVIL"/>
    <d v="2023-06-30T00:00:00"/>
    <d v="2023-07-11T11:50:54"/>
    <m/>
    <d v="2023-07-11T00:00:00"/>
    <n v="1211"/>
    <n v="18740"/>
    <s v="61384707"/>
    <s v="61384707"/>
    <m/>
    <m/>
    <n v="22797712"/>
    <m/>
    <m/>
    <m/>
    <s v="SOLFIN"/>
    <s v="SOLFIN"/>
    <s v="CCMS"/>
    <n v="21360257"/>
    <n v="7048.81"/>
    <m/>
    <s v="N"/>
    <n v="13"/>
    <d v="2023-07-11T11:50:59"/>
    <s v="Y"/>
    <s v="Advocates Meeting"/>
    <s v="Public Law Children"/>
    <s v="Advocacy"/>
    <s v="HJ"/>
    <s v="Y"/>
    <n v="140.99"/>
    <n v="28.2"/>
    <x v="7"/>
    <s v="VALIDATED"/>
    <n v="1"/>
    <s v="01.11.80.308.6100.0000"/>
    <n v="140.99"/>
    <s v="11"/>
    <s v="6100"/>
    <n v="26168.96"/>
    <n v="140.99"/>
    <s v="CREDITOR"/>
    <n v="0"/>
    <n v="0"/>
    <n v="0"/>
    <n v="0"/>
    <n v="140.99"/>
  </r>
  <r>
    <n v="61659062"/>
    <s v="N"/>
    <n v="21362985"/>
    <s v="3000015759270003"/>
    <s v="CIVIL"/>
    <d v="2023-06-30T00:00:00"/>
    <d v="2023-07-12T19:01:49"/>
    <m/>
    <d v="2023-07-12T00:00:00"/>
    <n v="1211"/>
    <n v="18740"/>
    <s v="61659062"/>
    <s v="61659062"/>
    <m/>
    <m/>
    <n v="22798322"/>
    <m/>
    <m/>
    <m/>
    <s v="SOLFIN"/>
    <s v="SOLFIN"/>
    <s v="CCMS"/>
    <n v="21362985"/>
    <n v="4422.09"/>
    <m/>
    <s v="N"/>
    <n v="2"/>
    <d v="2023-07-12T19:01:52"/>
    <s v="Y"/>
    <s v="Exceptional Travel"/>
    <s v="Public Law Children"/>
    <s v="Advocacy"/>
    <s v="HJ"/>
    <s v="Y"/>
    <n v="32.04"/>
    <n v="6.41"/>
    <x v="0"/>
    <s v="VALIDATED"/>
    <n v="1"/>
    <s v="01.11.80.308.6100.0000"/>
    <n v="32.04"/>
    <s v="11"/>
    <s v="6100"/>
    <n v="26168.96"/>
    <n v="32.04"/>
    <s v="CREDITOR"/>
    <n v="0"/>
    <n v="0"/>
    <n v="0"/>
    <n v="0"/>
    <n v="32.04"/>
  </r>
  <r>
    <n v="61723690"/>
    <s v="N"/>
    <n v="21331189"/>
    <s v="3000015811010005"/>
    <s v="CIVIL"/>
    <d v="2023-06-30T00:00:00"/>
    <d v="2023-07-05T19:01:47"/>
    <m/>
    <d v="2023-07-05T00:00:00"/>
    <n v="1211"/>
    <n v="18740"/>
    <s v="61723690"/>
    <s v="61723690"/>
    <m/>
    <m/>
    <n v="22799338"/>
    <m/>
    <m/>
    <m/>
    <s v="SOLFIN"/>
    <s v="SOLFIN"/>
    <s v="CCMS"/>
    <n v="21331189"/>
    <n v="4501.44"/>
    <m/>
    <s v="N"/>
    <n v="1"/>
    <d v="2023-07-05T19:02:09"/>
    <s v="Y"/>
    <s v="Exceptional Travel"/>
    <s v="Public Law Children"/>
    <s v="Advocacy"/>
    <s v="ATL"/>
    <s v="Y"/>
    <n v="32.04"/>
    <n v="6.41"/>
    <x v="6"/>
    <s v="VALIDATED"/>
    <n v="1"/>
    <s v="01.11.80.308.6100.0000"/>
    <n v="32.04"/>
    <s v="11"/>
    <s v="6100"/>
    <n v="26168.96"/>
    <n v="32.04"/>
    <s v="CREDITOR"/>
    <n v="0"/>
    <n v="0"/>
    <n v="0"/>
    <n v="0"/>
    <n v="32.04"/>
  </r>
  <r>
    <n v="61584798"/>
    <s v="N"/>
    <n v="21330511"/>
    <s v="3000015696070003"/>
    <s v="CIVIL"/>
    <d v="2023-06-25T00:00:00"/>
    <d v="2023-07-05T19:01:47"/>
    <m/>
    <d v="2023-07-05T00:00:00"/>
    <n v="1211"/>
    <n v="18740"/>
    <s v="61584798"/>
    <s v="61584798"/>
    <m/>
    <m/>
    <n v="22756962"/>
    <m/>
    <m/>
    <m/>
    <s v="SOLFIN"/>
    <s v="SOLFIN"/>
    <s v="CCMS"/>
    <n v="21330511"/>
    <n v="5552.7"/>
    <m/>
    <s v="N"/>
    <n v="2"/>
    <d v="2023-07-05T19:01:50"/>
    <s v="Y"/>
    <s v="Final Hearing Court Bundle/Advocate"/>
    <s v="Public Law Children"/>
    <s v="Advocacy"/>
    <s v="ATL"/>
    <s v="Y"/>
    <n v="159.3"/>
    <n v="31.86"/>
    <x v="6"/>
    <s v="VALIDATED"/>
    <n v="1"/>
    <s v="01.11.80.308.6100.0000"/>
    <n v="159.3"/>
    <s v="11"/>
    <s v="6100"/>
    <n v="26168.96"/>
    <n v="159.3"/>
    <s v="CREDITOR"/>
    <n v="0"/>
    <n v="0"/>
    <n v="0"/>
    <n v="0"/>
    <n v="159.3"/>
  </r>
  <r>
    <n v="61494797"/>
    <s v="N"/>
    <n v="21327761"/>
    <s v="3000015619270002"/>
    <s v="CIVIL"/>
    <d v="2023-06-25T00:00:00"/>
    <d v="2023-07-04T19:00:44"/>
    <m/>
    <d v="2023-07-04T00:00:00"/>
    <n v="1211"/>
    <n v="18740"/>
    <s v="61494797"/>
    <s v="61494797"/>
    <m/>
    <m/>
    <n v="22756968"/>
    <m/>
    <m/>
    <m/>
    <s v="SOLFIN"/>
    <s v="SOLFIN"/>
    <s v="CCMS"/>
    <n v="21327761"/>
    <n v="4279.46"/>
    <m/>
    <s v="N"/>
    <n v="9"/>
    <d v="2023-07-04T19:00:54"/>
    <s v="Y"/>
    <s v="Advocates Meeting"/>
    <s v="Public Law Children"/>
    <s v="Advocacy"/>
    <s v="HJ"/>
    <s v="Y"/>
    <n v="140.99"/>
    <n v="28.2"/>
    <x v="1"/>
    <s v="VALIDATED"/>
    <n v="1"/>
    <s v="01.11.80.308.6100.0000"/>
    <n v="140.99"/>
    <s v="11"/>
    <s v="6100"/>
    <n v="26168.96"/>
    <n v="140.99"/>
    <s v="CREDITOR"/>
    <n v="0"/>
    <n v="0"/>
    <n v="0"/>
    <n v="0"/>
    <n v="140.99"/>
  </r>
  <r>
    <n v="61494797"/>
    <s v="N"/>
    <n v="21327761"/>
    <s v="3000015619270002"/>
    <s v="CIVIL"/>
    <d v="2023-06-25T00:00:00"/>
    <d v="2023-07-04T19:00:44"/>
    <m/>
    <d v="2023-07-04T00:00:00"/>
    <n v="1211"/>
    <n v="18740"/>
    <s v="61494797"/>
    <s v="61494797"/>
    <m/>
    <m/>
    <n v="22756968"/>
    <m/>
    <m/>
    <m/>
    <s v="SOLFIN"/>
    <s v="SOLFIN"/>
    <s v="CCMS"/>
    <n v="21327761"/>
    <n v="4279.46"/>
    <m/>
    <s v="N"/>
    <n v="6"/>
    <d v="2023-07-04T19:00:54"/>
    <s v="Y"/>
    <s v="Final Hearing - 1 Day"/>
    <s v="Public Law Children"/>
    <s v="Advocacy"/>
    <s v="ATL"/>
    <s v="Y"/>
    <n v="556.88"/>
    <n v="111.38"/>
    <x v="1"/>
    <s v="VALIDATED"/>
    <n v="1"/>
    <s v="01.11.80.308.6100.0000"/>
    <n v="556.88"/>
    <s v="11"/>
    <s v="6100"/>
    <n v="26168.96"/>
    <n v="556.88"/>
    <s v="CREDITOR"/>
    <n v="0"/>
    <n v="0"/>
    <n v="0"/>
    <n v="0"/>
    <n v="556.88"/>
  </r>
  <r>
    <n v="61384707"/>
    <s v="N"/>
    <n v="21360257"/>
    <s v="3000015528680006"/>
    <s v="CIVIL"/>
    <d v="2023-06-30T00:00:00"/>
    <d v="2023-07-11T11:50:54"/>
    <m/>
    <d v="2023-07-11T00:00:00"/>
    <n v="1211"/>
    <n v="18740"/>
    <s v="61384707"/>
    <s v="61384707"/>
    <m/>
    <m/>
    <n v="22797712"/>
    <m/>
    <m/>
    <m/>
    <s v="SOLFIN"/>
    <s v="SOLFIN"/>
    <s v="CCMS"/>
    <n v="21360257"/>
    <n v="7048.81"/>
    <m/>
    <s v="N"/>
    <n v="9"/>
    <d v="2023-07-11T11:50:59"/>
    <s v="Y"/>
    <s v="Advocates Meeting"/>
    <s v="Public Law Children"/>
    <s v="Advocacy"/>
    <s v="HJ"/>
    <s v="Y"/>
    <n v="169.2"/>
    <n v="33.84"/>
    <x v="7"/>
    <s v="VALIDATED"/>
    <n v="1"/>
    <s v="01.11.80.308.6100.0000"/>
    <n v="169.2"/>
    <s v="11"/>
    <s v="6100"/>
    <n v="26168.96"/>
    <n v="169.2"/>
    <s v="CREDITOR"/>
    <n v="0"/>
    <n v="0"/>
    <n v="0"/>
    <n v="0"/>
    <n v="169.2"/>
  </r>
  <r>
    <n v="61584798"/>
    <s v="N"/>
    <n v="21330511"/>
    <s v="3000015696070003"/>
    <s v="CIVIL"/>
    <d v="2023-06-25T00:00:00"/>
    <d v="2023-07-05T19:01:47"/>
    <m/>
    <d v="2023-07-05T00:00:00"/>
    <n v="1211"/>
    <n v="18740"/>
    <s v="61584798"/>
    <s v="61584798"/>
    <m/>
    <m/>
    <n v="22756962"/>
    <m/>
    <m/>
    <m/>
    <s v="SOLFIN"/>
    <s v="SOLFIN"/>
    <s v="CCMS"/>
    <n v="21330511"/>
    <n v="5552.7"/>
    <m/>
    <s v="N"/>
    <n v="4"/>
    <d v="2023-07-05T19:01:50"/>
    <s v="Y"/>
    <s v="Child psychologist"/>
    <s v="Public Law Children"/>
    <s v="Expert Disbursement"/>
    <s v="HJ"/>
    <s v="Y"/>
    <n v="705.6"/>
    <n v="0"/>
    <x v="6"/>
    <s v="VALIDATED"/>
    <n v="1"/>
    <s v="01.11.80.308.6300.0000"/>
    <n v="705.6"/>
    <s v="11"/>
    <s v="6300"/>
    <n v="26168.96"/>
    <n v="705.6"/>
    <s v="CREDITOR"/>
    <n v="0"/>
    <n v="0"/>
    <n v="0"/>
    <n v="0"/>
    <n v="705.6"/>
  </r>
  <r>
    <n v="61584798"/>
    <s v="N"/>
    <n v="21330511"/>
    <s v="3000015696070003"/>
    <s v="CIVIL"/>
    <d v="2023-06-25T00:00:00"/>
    <d v="2023-07-05T19:01:47"/>
    <m/>
    <d v="2023-07-05T00:00:00"/>
    <n v="1211"/>
    <n v="18740"/>
    <s v="61584798"/>
    <s v="61584798"/>
    <m/>
    <m/>
    <n v="22756962"/>
    <m/>
    <m/>
    <m/>
    <s v="SOLFIN"/>
    <s v="SOLFIN"/>
    <s v="CCMS"/>
    <n v="21330511"/>
    <n v="5552.7"/>
    <m/>
    <s v="N"/>
    <n v="3"/>
    <d v="2023-07-05T19:01:50"/>
    <s v="Y"/>
    <s v="Psychologist"/>
    <s v="Public Law Children"/>
    <s v="Expert Disbursement"/>
    <s v="HJ"/>
    <s v="Y"/>
    <n v="159.12"/>
    <n v="0"/>
    <x v="6"/>
    <s v="VALIDATED"/>
    <n v="1"/>
    <s v="01.11.80.308.6300.0000"/>
    <n v="159.12"/>
    <s v="11"/>
    <s v="6300"/>
    <n v="26168.96"/>
    <n v="159.12"/>
    <s v="CREDITOR"/>
    <n v="0"/>
    <n v="0"/>
    <n v="0"/>
    <n v="0"/>
    <n v="159.12"/>
  </r>
  <r>
    <n v="61584798"/>
    <s v="N"/>
    <n v="21330511"/>
    <s v="3000015696070003"/>
    <s v="CIVIL"/>
    <d v="2023-06-25T00:00:00"/>
    <d v="2023-07-05T19:01:47"/>
    <m/>
    <d v="2023-07-05T00:00:00"/>
    <n v="1211"/>
    <n v="18740"/>
    <s v="61584798"/>
    <s v="61584798"/>
    <m/>
    <m/>
    <n v="22756962"/>
    <m/>
    <m/>
    <m/>
    <s v="SOLFIN"/>
    <s v="SOLFIN"/>
    <s v="CCMS"/>
    <n v="21330511"/>
    <n v="5552.7"/>
    <m/>
    <s v="N"/>
    <n v="8"/>
    <d v="2023-07-05T19:01:50"/>
    <s v="Y"/>
    <s v="Advocates Meeting"/>
    <s v="Public Law Children"/>
    <s v="Advocacy"/>
    <s v="HJ"/>
    <s v="Y"/>
    <n v="140.99"/>
    <n v="28.2"/>
    <x v="6"/>
    <s v="VALIDATED"/>
    <n v="1"/>
    <s v="01.11.80.308.6100.0000"/>
    <n v="140.99"/>
    <s v="11"/>
    <s v="6100"/>
    <n v="26168.96"/>
    <n v="140.99"/>
    <s v="CREDITOR"/>
    <n v="0"/>
    <n v="0"/>
    <n v="0"/>
    <n v="0"/>
    <n v="140.99"/>
  </r>
  <r>
    <n v="61384707"/>
    <s v="N"/>
    <n v="21360257"/>
    <s v="3000015528680006"/>
    <s v="CIVIL"/>
    <d v="2023-06-30T00:00:00"/>
    <d v="2023-07-11T11:50:54"/>
    <m/>
    <d v="2023-07-11T00:00:00"/>
    <n v="1211"/>
    <n v="18740"/>
    <s v="61384707"/>
    <s v="61384707"/>
    <m/>
    <m/>
    <n v="22797712"/>
    <m/>
    <m/>
    <m/>
    <s v="SOLFIN"/>
    <s v="SOLFIN"/>
    <s v="CCMS"/>
    <n v="21360257"/>
    <n v="7048.81"/>
    <m/>
    <s v="N"/>
    <n v="8"/>
    <d v="2023-07-11T11:50:59"/>
    <s v="Y"/>
    <s v="Hearing Unit 2.31 - 5.00 Hours"/>
    <s v="Public Law Children"/>
    <s v="Advocacy"/>
    <s v="HJ"/>
    <s v="Y"/>
    <n v="476.92"/>
    <n v="95.38"/>
    <x v="7"/>
    <s v="VALIDATED"/>
    <n v="1"/>
    <s v="01.11.80.308.6100.0000"/>
    <n v="476.92"/>
    <s v="11"/>
    <s v="6100"/>
    <n v="26168.96"/>
    <n v="476.92"/>
    <s v="CREDITOR"/>
    <n v="0"/>
    <n v="0"/>
    <n v="0"/>
    <n v="0"/>
    <n v="476.92"/>
  </r>
  <r>
    <n v="61659062"/>
    <s v="N"/>
    <n v="21362985"/>
    <s v="3000015759270003"/>
    <s v="CIVIL"/>
    <d v="2023-06-30T00:00:00"/>
    <d v="2023-07-12T19:01:49"/>
    <m/>
    <d v="2023-07-12T00:00:00"/>
    <n v="1211"/>
    <n v="18740"/>
    <s v="61659062"/>
    <s v="61659062"/>
    <m/>
    <m/>
    <n v="22798322"/>
    <m/>
    <m/>
    <m/>
    <s v="SOLFIN"/>
    <s v="SOLFIN"/>
    <s v="CCMS"/>
    <n v="21362985"/>
    <n v="4422.09"/>
    <m/>
    <s v="N"/>
    <n v="9"/>
    <d v="2023-07-12T19:01:52"/>
    <s v="Y"/>
    <s v="Advocates Meeting"/>
    <s v="Public Law Children"/>
    <s v="Advocacy"/>
    <s v="HJ"/>
    <s v="Y"/>
    <n v="140.99"/>
    <n v="28.2"/>
    <x v="0"/>
    <s v="VALIDATED"/>
    <n v="1"/>
    <s v="01.11.80.308.6100.0000"/>
    <n v="140.99"/>
    <s v="11"/>
    <s v="6100"/>
    <n v="26168.96"/>
    <n v="140.99"/>
    <s v="CREDITOR"/>
    <n v="0"/>
    <n v="0"/>
    <n v="0"/>
    <n v="0"/>
    <n v="140.99"/>
  </r>
  <r>
    <n v="59596093"/>
    <s v="N"/>
    <n v="21360726"/>
    <s v="3000014000290004"/>
    <s v="CIVIL"/>
    <d v="2023-06-30T00:00:00"/>
    <d v="2023-07-11T19:00:25"/>
    <m/>
    <d v="2023-07-11T00:00:00"/>
    <n v="1211"/>
    <n v="18740"/>
    <s v="59596093"/>
    <s v="59596093"/>
    <m/>
    <m/>
    <n v="22797984"/>
    <m/>
    <m/>
    <m/>
    <s v="SOLFIN"/>
    <s v="SOLFIN"/>
    <s v="CCMS"/>
    <n v="21360726"/>
    <n v="9741.1"/>
    <m/>
    <s v="N"/>
    <n v="12"/>
    <d v="2023-07-11T19:00:32"/>
    <s v="Y"/>
    <s v="Hearing Unit 7.31 - 10.00 Hours"/>
    <s v="Public Law Children"/>
    <s v="Advocacy"/>
    <s v="HJ"/>
    <s v="Y"/>
    <n v="953.84"/>
    <n v="190.77"/>
    <x v="7"/>
    <s v="VALIDATED"/>
    <n v="1"/>
    <s v="01.11.80.308.6100.0000"/>
    <n v="953.84"/>
    <s v="11"/>
    <s v="6100"/>
    <n v="26168.96"/>
    <n v="953.84"/>
    <s v="CREDITOR"/>
    <n v="0"/>
    <n v="0"/>
    <n v="0"/>
    <n v="0"/>
    <n v="953.84"/>
  </r>
  <r>
    <n v="61384707"/>
    <s v="N"/>
    <n v="21360257"/>
    <s v="3000015528680006"/>
    <s v="CIVIL"/>
    <d v="2023-06-30T00:00:00"/>
    <d v="2023-07-11T11:50:54"/>
    <m/>
    <d v="2023-07-11T00:00:00"/>
    <n v="1211"/>
    <n v="18740"/>
    <s v="61384707"/>
    <s v="61384707"/>
    <m/>
    <m/>
    <n v="22797712"/>
    <m/>
    <m/>
    <m/>
    <s v="SOLFIN"/>
    <s v="SOLFIN"/>
    <s v="CCMS"/>
    <n v="21360257"/>
    <n v="7048.81"/>
    <m/>
    <s v="N"/>
    <n v="14"/>
    <d v="2023-07-11T11:50:59"/>
    <s v="Y"/>
    <s v="Solicitors Fixed Fee"/>
    <s v="Public Law Children"/>
    <s v="Profit Cost"/>
    <s v="HJ"/>
    <s v="Y"/>
    <n v="1754"/>
    <n v="350.8"/>
    <x v="7"/>
    <s v="VALIDATED"/>
    <n v="1"/>
    <s v="01.11.80.308.6100.0000"/>
    <n v="1754"/>
    <s v="11"/>
    <s v="6100"/>
    <n v="26168.96"/>
    <n v="1754"/>
    <s v="CREDITOR"/>
    <n v="0"/>
    <n v="0"/>
    <n v="0"/>
    <n v="0"/>
    <n v="1754"/>
  </r>
  <r>
    <n v="59596093"/>
    <s v="N"/>
    <n v="21360726"/>
    <s v="3000014000290004"/>
    <s v="CIVIL"/>
    <d v="2023-06-30T00:00:00"/>
    <d v="2023-07-11T19:00:25"/>
    <m/>
    <d v="2023-07-11T00:00:00"/>
    <n v="1211"/>
    <n v="18740"/>
    <s v="59596093"/>
    <s v="59596093"/>
    <m/>
    <m/>
    <n v="22797984"/>
    <m/>
    <m/>
    <m/>
    <s v="SOLFIN"/>
    <s v="SOLFIN"/>
    <s v="CCMS"/>
    <n v="21360726"/>
    <n v="9741.1"/>
    <m/>
    <s v="N"/>
    <n v="11"/>
    <d v="2023-07-11T19:00:32"/>
    <s v="Y"/>
    <s v="Hearing Unit 2.31 - 5.00 Hours"/>
    <s v="Public Law Children"/>
    <s v="Advocacy"/>
    <s v="HJ"/>
    <s v="Y"/>
    <n v="476.92"/>
    <n v="95.38"/>
    <x v="7"/>
    <s v="VALIDATED"/>
    <n v="1"/>
    <s v="01.11.80.308.6100.0000"/>
    <n v="476.92"/>
    <s v="11"/>
    <s v="6100"/>
    <n v="26168.96"/>
    <n v="476.92"/>
    <s v="CREDITOR"/>
    <n v="0"/>
    <n v="0"/>
    <n v="0"/>
    <n v="0"/>
    <n v="476.92"/>
  </r>
  <r>
    <n v="61494797"/>
    <s v="N"/>
    <n v="21327761"/>
    <s v="3000015619270002"/>
    <s v="CIVIL"/>
    <d v="2023-06-25T00:00:00"/>
    <d v="2023-07-04T19:00:44"/>
    <m/>
    <d v="2023-07-04T00:00:00"/>
    <n v="1211"/>
    <n v="18740"/>
    <s v="61494797"/>
    <s v="61494797"/>
    <m/>
    <m/>
    <n v="22756968"/>
    <m/>
    <m/>
    <m/>
    <s v="SOLFIN"/>
    <s v="SOLFIN"/>
    <s v="CCMS"/>
    <n v="21327761"/>
    <n v="4279.46"/>
    <m/>
    <s v="N"/>
    <n v="11"/>
    <d v="2023-07-04T19:00:54"/>
    <s v="Y"/>
    <s v="Advocates Meeting"/>
    <s v="Public Law Children"/>
    <s v="Advocacy"/>
    <s v="HJ"/>
    <s v="Y"/>
    <n v="140.99"/>
    <n v="28.2"/>
    <x v="1"/>
    <s v="VALIDATED"/>
    <n v="1"/>
    <s v="01.11.80.308.6100.0000"/>
    <n v="140.99"/>
    <s v="11"/>
    <s v="6100"/>
    <n v="26168.96"/>
    <n v="140.99"/>
    <s v="CREDITOR"/>
    <n v="0"/>
    <n v="0"/>
    <n v="0"/>
    <n v="0"/>
    <n v="140.99"/>
  </r>
  <r>
    <n v="61494797"/>
    <s v="N"/>
    <n v="21327761"/>
    <s v="3000015619270002"/>
    <s v="CIVIL"/>
    <d v="2023-06-25T00:00:00"/>
    <d v="2023-07-04T19:00:44"/>
    <m/>
    <d v="2023-07-04T00:00:00"/>
    <n v="1211"/>
    <n v="18740"/>
    <s v="61494797"/>
    <s v="61494797"/>
    <m/>
    <m/>
    <n v="22756968"/>
    <m/>
    <m/>
    <m/>
    <s v="SOLFIN"/>
    <s v="SOLFIN"/>
    <s v="CCMS"/>
    <n v="21327761"/>
    <n v="4279.46"/>
    <m/>
    <s v="N"/>
    <n v="12"/>
    <d v="2023-07-04T19:00:54"/>
    <s v="Y"/>
    <s v="Solicitors Fixed Fee"/>
    <s v="Public Law Children"/>
    <s v="Profit Cost"/>
    <s v="HJ"/>
    <s v="Y"/>
    <n v="1754"/>
    <n v="350.79"/>
    <x v="1"/>
    <s v="VALIDATED"/>
    <n v="1"/>
    <s v="01.11.80.308.6100.0000"/>
    <n v="1754"/>
    <s v="11"/>
    <s v="6100"/>
    <n v="26168.96"/>
    <n v="1754"/>
    <s v="CREDITOR"/>
    <n v="0"/>
    <n v="0"/>
    <n v="0"/>
    <n v="0"/>
    <n v="1754"/>
  </r>
  <r>
    <n v="61659062"/>
    <s v="N"/>
    <n v="21362985"/>
    <s v="3000015759270003"/>
    <s v="CIVIL"/>
    <d v="2023-06-30T00:00:00"/>
    <d v="2023-07-12T19:01:49"/>
    <m/>
    <d v="2023-07-12T00:00:00"/>
    <n v="1211"/>
    <n v="18740"/>
    <s v="61659062"/>
    <s v="61659062"/>
    <m/>
    <m/>
    <n v="22798322"/>
    <m/>
    <m/>
    <m/>
    <s v="SOLFIN"/>
    <s v="SOLFIN"/>
    <s v="CCMS"/>
    <n v="21362985"/>
    <n v="4422.09"/>
    <m/>
    <s v="N"/>
    <n v="11"/>
    <d v="2023-07-12T19:01:52"/>
    <s v="Y"/>
    <s v="Hearing Unit 2.31 - 5.00 Hours"/>
    <s v="Public Law Children"/>
    <s v="Advocacy"/>
    <s v="HJ"/>
    <s v="Y"/>
    <n v="476.92"/>
    <n v="95.38"/>
    <x v="0"/>
    <s v="VALIDATED"/>
    <n v="1"/>
    <s v="01.11.80.308.6100.0000"/>
    <n v="476.92"/>
    <s v="11"/>
    <s v="6100"/>
    <n v="26168.96"/>
    <n v="476.92"/>
    <s v="CREDITOR"/>
    <n v="0"/>
    <n v="0"/>
    <n v="0"/>
    <n v="0"/>
    <n v="476.92"/>
  </r>
  <r>
    <n v="61659062"/>
    <s v="N"/>
    <n v="21362985"/>
    <s v="3000015759270003"/>
    <s v="CIVIL"/>
    <d v="2023-06-30T00:00:00"/>
    <d v="2023-07-12T19:01:49"/>
    <m/>
    <d v="2023-07-12T00:00:00"/>
    <n v="1211"/>
    <n v="18740"/>
    <s v="61659062"/>
    <s v="61659062"/>
    <m/>
    <m/>
    <n v="22798322"/>
    <m/>
    <m/>
    <m/>
    <s v="SOLFIN"/>
    <s v="SOLFIN"/>
    <s v="CCMS"/>
    <n v="21362985"/>
    <n v="4422.09"/>
    <m/>
    <s v="N"/>
    <n v="4"/>
    <d v="2023-07-12T19:01:52"/>
    <s v="Y"/>
    <s v="Solicitor Travel Mileage"/>
    <s v="Public Law Children"/>
    <s v="Non Expert Disbursement"/>
    <s v="HJ"/>
    <s v="Y"/>
    <n v="25.2"/>
    <n v="5.04"/>
    <x v="0"/>
    <s v="VALIDATED"/>
    <n v="1"/>
    <s v="01.11.80.308.6300.0000"/>
    <n v="25.2"/>
    <s v="11"/>
    <s v="6300"/>
    <n v="26168.96"/>
    <n v="25.2"/>
    <s v="CREDITOR"/>
    <n v="0"/>
    <n v="0"/>
    <n v="0"/>
    <n v="0"/>
    <n v="25.2"/>
  </r>
  <r>
    <n v="59596093"/>
    <s v="N"/>
    <n v="21360726"/>
    <s v="3000014000290004"/>
    <s v="CIVIL"/>
    <d v="2023-06-30T00:00:00"/>
    <d v="2023-07-11T19:00:25"/>
    <m/>
    <d v="2023-07-11T00:00:00"/>
    <n v="1211"/>
    <n v="18740"/>
    <s v="59596093"/>
    <s v="59596093"/>
    <m/>
    <m/>
    <n v="22797984"/>
    <m/>
    <m/>
    <m/>
    <s v="SOLFIN"/>
    <s v="SOLFIN"/>
    <s v="CCMS"/>
    <n v="21360726"/>
    <n v="9741.1"/>
    <m/>
    <s v="N"/>
    <n v="6"/>
    <d v="2023-07-11T19:00:32"/>
    <s v="Y"/>
    <s v="Solicitor Travel Mileage"/>
    <s v="Public Law Children"/>
    <s v="Non Expert Disbursement"/>
    <s v="HJ"/>
    <s v="Y"/>
    <n v="29.25"/>
    <n v="5.85"/>
    <x v="7"/>
    <s v="VALIDATED"/>
    <n v="1"/>
    <s v="01.11.80.308.6300.0000"/>
    <n v="29.25"/>
    <s v="11"/>
    <s v="6300"/>
    <n v="26168.96"/>
    <n v="29.25"/>
    <s v="CREDITOR"/>
    <n v="0"/>
    <n v="0"/>
    <n v="0"/>
    <n v="0"/>
    <n v="29.25"/>
  </r>
  <r>
    <n v="61584798"/>
    <s v="N"/>
    <n v="21330511"/>
    <s v="3000015696070003"/>
    <s v="CIVIL"/>
    <d v="2023-06-25T00:00:00"/>
    <d v="2023-07-05T19:01:47"/>
    <m/>
    <d v="2023-07-05T00:00:00"/>
    <n v="1211"/>
    <n v="18740"/>
    <s v="61584798"/>
    <s v="61584798"/>
    <m/>
    <m/>
    <n v="22756962"/>
    <m/>
    <m/>
    <m/>
    <s v="SOLFIN"/>
    <s v="SOLFIN"/>
    <s v="CCMS"/>
    <n v="21330511"/>
    <n v="5552.7"/>
    <m/>
    <s v="N"/>
    <n v="10"/>
    <d v="2023-07-05T19:01:50"/>
    <s v="Y"/>
    <s v="Advocates Meeting"/>
    <s v="Public Law Children"/>
    <s v="Advocacy"/>
    <s v="HJ"/>
    <s v="Y"/>
    <n v="140.99"/>
    <n v="28.2"/>
    <x v="6"/>
    <s v="VALIDATED"/>
    <n v="1"/>
    <s v="01.11.80.308.6100.0000"/>
    <n v="140.99"/>
    <s v="11"/>
    <s v="6100"/>
    <n v="26168.96"/>
    <n v="140.99"/>
    <s v="CREDITOR"/>
    <n v="0"/>
    <n v="0"/>
    <n v="0"/>
    <n v="0"/>
    <n v="140.99"/>
  </r>
  <r>
    <n v="61584798"/>
    <s v="N"/>
    <n v="21330511"/>
    <s v="3000015696070003"/>
    <s v="CIVIL"/>
    <d v="2023-06-25T00:00:00"/>
    <d v="2023-07-05T19:01:47"/>
    <m/>
    <d v="2023-07-05T00:00:00"/>
    <n v="1211"/>
    <n v="18740"/>
    <s v="61584798"/>
    <s v="61584798"/>
    <m/>
    <m/>
    <n v="22756962"/>
    <m/>
    <m/>
    <m/>
    <s v="SOLFIN"/>
    <s v="SOLFIN"/>
    <s v="CCMS"/>
    <n v="21330511"/>
    <n v="5552.7"/>
    <m/>
    <s v="N"/>
    <n v="13"/>
    <d v="2023-07-05T19:01:50"/>
    <s v="Y"/>
    <s v="Solicitors Fixed Fee"/>
    <s v="Public Law Children"/>
    <s v="Profit Cost"/>
    <s v="HJ"/>
    <s v="Y"/>
    <n v="1754"/>
    <n v="350.8"/>
    <x v="6"/>
    <s v="VALIDATED"/>
    <n v="1"/>
    <s v="01.11.80.308.6100.0000"/>
    <n v="1754"/>
    <s v="11"/>
    <s v="6100"/>
    <n v="26168.96"/>
    <n v="1754"/>
    <s v="CREDITOR"/>
    <n v="0"/>
    <n v="0"/>
    <n v="0"/>
    <n v="0"/>
    <n v="1754"/>
  </r>
  <r>
    <n v="59596093"/>
    <s v="N"/>
    <n v="21360726"/>
    <s v="3000014000290004"/>
    <s v="CIVIL"/>
    <d v="2023-06-30T00:00:00"/>
    <d v="2023-07-11T19:00:25"/>
    <m/>
    <d v="2023-07-11T00:00:00"/>
    <n v="1211"/>
    <n v="18740"/>
    <s v="59596093"/>
    <s v="59596093"/>
    <m/>
    <m/>
    <n v="22797984"/>
    <m/>
    <m/>
    <m/>
    <s v="SOLFIN"/>
    <s v="SOLFIN"/>
    <s v="CCMS"/>
    <n v="21360726"/>
    <n v="9741.1"/>
    <m/>
    <s v="N"/>
    <n v="2"/>
    <d v="2023-07-11T19:00:32"/>
    <s v="Y"/>
    <s v="Interim Hearing Court Bundle/Advoca"/>
    <s v="Public Law Children"/>
    <s v="Advocacy"/>
    <s v="HJ"/>
    <s v="Y"/>
    <n v="59.4"/>
    <n v="11.88"/>
    <x v="7"/>
    <s v="VALIDATED"/>
    <n v="1"/>
    <s v="01.11.80.308.6100.0000"/>
    <n v="59.4"/>
    <s v="11"/>
    <s v="6100"/>
    <n v="26168.96"/>
    <n v="59.4"/>
    <s v="CREDITOR"/>
    <n v="0"/>
    <n v="0"/>
    <n v="0"/>
    <n v="0"/>
    <n v="59.4"/>
  </r>
  <r>
    <n v="61384707"/>
    <s v="N"/>
    <n v="21360257"/>
    <s v="3000015528680006"/>
    <s v="CIVIL"/>
    <d v="2023-06-30T00:00:00"/>
    <d v="2023-07-11T11:50:54"/>
    <m/>
    <d v="2023-07-11T00:00:00"/>
    <n v="1211"/>
    <n v="18740"/>
    <s v="61384707"/>
    <s v="61384707"/>
    <m/>
    <m/>
    <n v="22797712"/>
    <m/>
    <m/>
    <m/>
    <s v="SOLFIN"/>
    <s v="SOLFIN"/>
    <s v="CCMS"/>
    <n v="21360257"/>
    <n v="7048.81"/>
    <m/>
    <s v="N"/>
    <n v="1"/>
    <d v="2023-07-11T11:50:59"/>
    <s v="Y"/>
    <s v="Interim Hearing Court Bundle/Advoca"/>
    <s v="Public Law Children"/>
    <s v="Advocacy"/>
    <s v="BJB"/>
    <s v="Y"/>
    <n v="59.4"/>
    <n v="11.88"/>
    <x v="7"/>
    <s v="VALIDATED"/>
    <n v="1"/>
    <s v="01.11.80.308.6100.0000"/>
    <n v="59.4"/>
    <s v="11"/>
    <s v="6100"/>
    <n v="26168.96"/>
    <n v="59.4"/>
    <s v="CREDITOR"/>
    <n v="0"/>
    <n v="0"/>
    <n v="0"/>
    <n v="0"/>
    <n v="59.4"/>
  </r>
  <r>
    <n v="61659062"/>
    <s v="N"/>
    <n v="21362985"/>
    <s v="3000015759270003"/>
    <s v="CIVIL"/>
    <d v="2023-06-30T00:00:00"/>
    <d v="2023-07-12T19:01:49"/>
    <m/>
    <d v="2023-07-12T00:00:00"/>
    <n v="1211"/>
    <n v="18740"/>
    <s v="61659062"/>
    <s v="61659062"/>
    <m/>
    <m/>
    <n v="22798322"/>
    <m/>
    <m/>
    <m/>
    <s v="SOLFIN"/>
    <s v="SOLFIN"/>
    <s v="CCMS"/>
    <n v="21362985"/>
    <n v="4422.09"/>
    <m/>
    <s v="N"/>
    <n v="3"/>
    <d v="2023-07-12T19:01:52"/>
    <s v="Y"/>
    <s v="Final Hearing Court Bundle/Advocate"/>
    <s v="Public Law Children"/>
    <s v="Advocacy"/>
    <s v="BJB"/>
    <s v="Y"/>
    <n v="159.3"/>
    <n v="31.86"/>
    <x v="0"/>
    <s v="VALIDATED"/>
    <n v="1"/>
    <s v="01.11.80.308.6100.0000"/>
    <n v="159.3"/>
    <s v="11"/>
    <s v="6100"/>
    <n v="26168.96"/>
    <n v="159.3"/>
    <s v="CREDITOR"/>
    <n v="0"/>
    <n v="0"/>
    <n v="0"/>
    <n v="0"/>
    <n v="159.3"/>
  </r>
  <r>
    <n v="61494797"/>
    <s v="N"/>
    <n v="21327761"/>
    <s v="3000015619270002"/>
    <s v="CIVIL"/>
    <d v="2023-06-25T00:00:00"/>
    <d v="2023-07-04T19:00:44"/>
    <m/>
    <d v="2023-07-04T00:00:00"/>
    <n v="1211"/>
    <n v="18740"/>
    <s v="61494797"/>
    <s v="61494797"/>
    <m/>
    <m/>
    <n v="22756968"/>
    <m/>
    <m/>
    <m/>
    <s v="SOLFIN"/>
    <s v="SOLFIN"/>
    <s v="CCMS"/>
    <n v="21327761"/>
    <n v="4279.46"/>
    <m/>
    <s v="N"/>
    <n v="1"/>
    <d v="2023-07-04T19:00:54"/>
    <s v="Y"/>
    <s v="Exceptional Travel"/>
    <s v="Public Law Children"/>
    <s v="Advocacy"/>
    <s v="ATL"/>
    <s v="Y"/>
    <n v="32.04"/>
    <n v="6.41"/>
    <x v="1"/>
    <s v="VALIDATED"/>
    <n v="1"/>
    <s v="01.11.80.308.6100.0000"/>
    <n v="32.04"/>
    <s v="11"/>
    <s v="6100"/>
    <n v="26168.96"/>
    <n v="32.04"/>
    <s v="CREDITOR"/>
    <n v="0"/>
    <n v="0"/>
    <n v="0"/>
    <n v="0"/>
    <n v="32.04"/>
  </r>
  <r>
    <n v="61384707"/>
    <s v="N"/>
    <n v="21360257"/>
    <s v="3000015528680006"/>
    <s v="CIVIL"/>
    <d v="2023-06-30T00:00:00"/>
    <d v="2023-07-11T11:50:54"/>
    <m/>
    <d v="2023-07-11T00:00:00"/>
    <n v="1211"/>
    <n v="18740"/>
    <s v="61384707"/>
    <s v="61384707"/>
    <m/>
    <m/>
    <n v="22797712"/>
    <m/>
    <m/>
    <m/>
    <s v="SOLFIN"/>
    <s v="SOLFIN"/>
    <s v="CCMS"/>
    <n v="21360257"/>
    <n v="7048.81"/>
    <m/>
    <s v="N"/>
    <n v="5"/>
    <d v="2023-07-11T11:50:59"/>
    <s v="Y"/>
    <s v="Child psychologist"/>
    <s v="Public Law Children"/>
    <s v="Expert Disbursement"/>
    <s v="HJ"/>
    <s v="Y"/>
    <n v="1055.82"/>
    <n v="211.16"/>
    <x v="7"/>
    <s v="VALIDATED"/>
    <n v="1"/>
    <s v="01.11.80.308.6300.0000"/>
    <n v="1055.82"/>
    <s v="11"/>
    <s v="6300"/>
    <n v="26168.96"/>
    <n v="1055.82"/>
    <s v="CREDITOR"/>
    <n v="0"/>
    <n v="0"/>
    <n v="0"/>
    <n v="0"/>
    <n v="1055.82"/>
  </r>
  <r>
    <n v="61659062"/>
    <s v="N"/>
    <n v="21362985"/>
    <s v="3000015759270003"/>
    <s v="CIVIL"/>
    <d v="2023-06-30T00:00:00"/>
    <d v="2023-07-12T19:01:49"/>
    <m/>
    <d v="2023-07-12T00:00:00"/>
    <n v="1211"/>
    <n v="18740"/>
    <s v="61659062"/>
    <s v="61659062"/>
    <m/>
    <m/>
    <n v="22798322"/>
    <m/>
    <m/>
    <m/>
    <s v="SOLFIN"/>
    <s v="SOLFIN"/>
    <s v="CCMS"/>
    <n v="21362985"/>
    <n v="4422.09"/>
    <m/>
    <s v="N"/>
    <n v="6"/>
    <d v="2023-07-12T19:01:52"/>
    <s v="Y"/>
    <s v="Solicitor Travel Mileage"/>
    <s v="Public Law Children"/>
    <s v="Non Expert Disbursement"/>
    <s v="BJB"/>
    <s v="Y"/>
    <n v="25.2"/>
    <n v="5.04"/>
    <x v="0"/>
    <s v="VALIDATED"/>
    <n v="1"/>
    <s v="01.11.80.308.6300.0000"/>
    <n v="25.2"/>
    <s v="11"/>
    <s v="6300"/>
    <n v="26168.96"/>
    <n v="25.2"/>
    <s v="CREDITOR"/>
    <n v="0"/>
    <n v="0"/>
    <n v="0"/>
    <n v="0"/>
    <n v="25.2"/>
  </r>
  <r>
    <n v="59596093"/>
    <s v="N"/>
    <n v="21360726"/>
    <s v="3000014000290004"/>
    <s v="CIVIL"/>
    <d v="2023-06-30T00:00:00"/>
    <d v="2023-07-11T19:00:25"/>
    <m/>
    <d v="2023-07-11T00:00:00"/>
    <n v="1211"/>
    <n v="18740"/>
    <s v="59596093"/>
    <s v="59596093"/>
    <m/>
    <m/>
    <n v="22797984"/>
    <m/>
    <m/>
    <m/>
    <s v="SOLFIN"/>
    <s v="SOLFIN"/>
    <s v="CCMS"/>
    <n v="21360726"/>
    <n v="9741.1"/>
    <m/>
    <s v="N"/>
    <n v="8"/>
    <d v="2023-07-11T19:00:32"/>
    <s v="Y"/>
    <s v="Hearing Unit 2.31 - 5.00 Hours"/>
    <s v="Public Law Children"/>
    <s v="Advocacy"/>
    <s v="HJ"/>
    <s v="Y"/>
    <n v="476.92"/>
    <n v="95.38"/>
    <x v="7"/>
    <s v="VALIDATED"/>
    <n v="1"/>
    <s v="01.11.80.308.6100.0000"/>
    <n v="476.92"/>
    <s v="11"/>
    <s v="6100"/>
    <n v="26168.96"/>
    <n v="476.92"/>
    <s v="CREDITOR"/>
    <n v="0"/>
    <n v="0"/>
    <n v="0"/>
    <n v="0"/>
    <n v="476.92"/>
  </r>
  <r>
    <n v="61384707"/>
    <s v="N"/>
    <n v="21360257"/>
    <s v="3000015528680006"/>
    <s v="CIVIL"/>
    <d v="2023-06-30T00:00:00"/>
    <d v="2023-07-11T11:50:54"/>
    <m/>
    <d v="2023-07-11T00:00:00"/>
    <n v="1211"/>
    <n v="18740"/>
    <s v="61384707"/>
    <s v="61384707"/>
    <m/>
    <m/>
    <n v="22797712"/>
    <m/>
    <m/>
    <m/>
    <s v="SOLFIN"/>
    <s v="SOLFIN"/>
    <s v="CCMS"/>
    <n v="21360257"/>
    <n v="7048.81"/>
    <m/>
    <s v="N"/>
    <n v="10"/>
    <d v="2023-07-11T11:50:59"/>
    <s v="Y"/>
    <s v="Hearing Unit 2.31 - 5.00 Hours"/>
    <s v="Public Law Children"/>
    <s v="Advocacy"/>
    <s v="BJB"/>
    <s v="Y"/>
    <n v="572.3200000000001"/>
    <n v="114.46"/>
    <x v="7"/>
    <s v="VALIDATED"/>
    <n v="1"/>
    <s v="01.11.80.308.6100.0000"/>
    <n v="572.3200000000001"/>
    <s v="11"/>
    <s v="6100"/>
    <n v="26168.96"/>
    <n v="572.3200000000001"/>
    <s v="CREDITOR"/>
    <n v="0"/>
    <n v="0"/>
    <n v="0"/>
    <n v="0"/>
    <n v="572.3200000000001"/>
  </r>
  <r>
    <n v="61465870"/>
    <s v="N"/>
    <n v="21323165"/>
    <s v="3000015595430002"/>
    <s v="CIVIL"/>
    <d v="2023-06-29T00:00:00"/>
    <d v="2023-07-03T19:05:36"/>
    <m/>
    <d v="2023-07-03T00:00:00"/>
    <n v="1211"/>
    <n v="18740"/>
    <s v="61465870"/>
    <s v="61465870"/>
    <m/>
    <m/>
    <n v="22790278"/>
    <m/>
    <m/>
    <m/>
    <s v="SOLPOA"/>
    <s v="SOLPOA"/>
    <s v="CCMS"/>
    <n v="21323165"/>
    <n v="232"/>
    <m/>
    <s v="N"/>
    <n v="1"/>
    <d v="2023-07-03T19:05:41"/>
    <s v="N"/>
    <s v="Non Expert Disbursement - Private L"/>
    <s v="Non Expert Disbursement - Priv"/>
    <s v="Non Expert Disbursement"/>
    <s v="BJB"/>
    <s v="N"/>
    <n v="232"/>
    <n v="0"/>
    <x v="3"/>
    <s v="VALIDATED"/>
    <n v="1"/>
    <s v="01.11.80.307.2012.0000"/>
    <n v="232"/>
    <s v="11"/>
    <s v="2012"/>
    <n v="26168.96"/>
    <n v="232"/>
    <s v="CREDITOR"/>
    <n v="232"/>
    <n v="0"/>
    <n v="0"/>
    <n v="0"/>
    <n v="0"/>
  </r>
  <r>
    <n v="61723690"/>
    <s v="N"/>
    <n v="21331189"/>
    <s v="3000015811010005"/>
    <s v="CIVIL"/>
    <d v="2023-06-30T00:00:00"/>
    <d v="2023-07-05T19:01:47"/>
    <m/>
    <d v="2023-07-05T00:00:00"/>
    <n v="1211"/>
    <n v="18740"/>
    <s v="61723690"/>
    <s v="61723690"/>
    <m/>
    <m/>
    <n v="22799338"/>
    <m/>
    <m/>
    <m/>
    <s v="SOLFIN"/>
    <s v="SOLFIN"/>
    <s v="CCMS"/>
    <n v="21331189"/>
    <n v="4501.44"/>
    <m/>
    <s v="N"/>
    <n v="2"/>
    <d v="2023-07-05T19:02:09"/>
    <s v="Y"/>
    <s v="Doctor (GP)"/>
    <s v="Public Law Children"/>
    <s v="Expert Disbursement"/>
    <s v="ATL"/>
    <s v="Y"/>
    <n v="50.4"/>
    <n v="0"/>
    <x v="6"/>
    <s v="VALIDATED"/>
    <n v="1"/>
    <s v="01.11.80.308.6300.0000"/>
    <n v="50.4"/>
    <s v="11"/>
    <s v="6300"/>
    <n v="26168.96"/>
    <n v="50.4"/>
    <s v="CREDITOR"/>
    <n v="0"/>
    <n v="0"/>
    <n v="0"/>
    <n v="0"/>
    <n v="50.4"/>
  </r>
  <r>
    <n v="61723690"/>
    <s v="N"/>
    <n v="21331189"/>
    <s v="3000015811010005"/>
    <s v="CIVIL"/>
    <d v="2023-06-30T00:00:00"/>
    <d v="2023-07-05T19:01:47"/>
    <m/>
    <d v="2023-07-05T00:00:00"/>
    <n v="1211"/>
    <n v="18740"/>
    <s v="61723690"/>
    <s v="61723690"/>
    <m/>
    <m/>
    <n v="22799338"/>
    <m/>
    <m/>
    <m/>
    <s v="SOLFIN"/>
    <s v="SOLFIN"/>
    <s v="CCMS"/>
    <n v="21331189"/>
    <n v="4501.44"/>
    <m/>
    <s v="N"/>
    <n v="6"/>
    <d v="2023-07-05T19:02:09"/>
    <s v="Y"/>
    <s v="Hearing Unit 1.01 - 2.30 Hours"/>
    <s v="Public Law Children"/>
    <s v="Advocacy"/>
    <s v="ATL"/>
    <s v="Y"/>
    <n v="238.46"/>
    <n v="47.69"/>
    <x v="6"/>
    <s v="VALIDATED"/>
    <n v="1"/>
    <s v="01.11.80.308.6100.0000"/>
    <n v="238.46"/>
    <s v="11"/>
    <s v="6100"/>
    <n v="26168.96"/>
    <n v="238.46"/>
    <s v="CREDITOR"/>
    <n v="0"/>
    <n v="0"/>
    <n v="0"/>
    <n v="0"/>
    <n v="238.46"/>
  </r>
  <r>
    <n v="61659062"/>
    <s v="N"/>
    <n v="21362985"/>
    <s v="3000015759270003"/>
    <s v="CIVIL"/>
    <d v="2023-06-30T00:00:00"/>
    <d v="2023-07-12T19:01:49"/>
    <m/>
    <d v="2023-07-12T00:00:00"/>
    <n v="1211"/>
    <n v="18740"/>
    <s v="61659062"/>
    <s v="61659062"/>
    <m/>
    <m/>
    <n v="22798322"/>
    <m/>
    <m/>
    <m/>
    <s v="SOLFIN"/>
    <s v="SOLFIN"/>
    <s v="CCMS"/>
    <n v="21362985"/>
    <n v="4422.09"/>
    <m/>
    <s v="N"/>
    <n v="8"/>
    <d v="2023-07-12T19:01:52"/>
    <s v="Y"/>
    <s v="Hearing Unit 2.31 - 5.00 Hours"/>
    <s v="Public Law Children"/>
    <s v="Advocacy"/>
    <s v="HJ"/>
    <s v="Y"/>
    <n v="476.92"/>
    <n v="95.38"/>
    <x v="0"/>
    <s v="VALIDATED"/>
    <n v="1"/>
    <s v="01.11.80.308.6100.0000"/>
    <n v="476.92"/>
    <s v="11"/>
    <s v="6100"/>
    <n v="26168.96"/>
    <n v="476.92"/>
    <s v="CREDITOR"/>
    <n v="0"/>
    <n v="0"/>
    <n v="0"/>
    <n v="0"/>
    <n v="476.92"/>
  </r>
  <r>
    <n v="61659062"/>
    <s v="N"/>
    <n v="21362985"/>
    <s v="3000015759270003"/>
    <s v="CIVIL"/>
    <d v="2023-06-30T00:00:00"/>
    <d v="2023-07-12T19:01:49"/>
    <m/>
    <d v="2023-07-12T00:00:00"/>
    <n v="1211"/>
    <n v="18740"/>
    <s v="61659062"/>
    <s v="61659062"/>
    <m/>
    <m/>
    <n v="22798322"/>
    <m/>
    <m/>
    <m/>
    <s v="SOLFIN"/>
    <s v="SOLFIN"/>
    <s v="CCMS"/>
    <n v="21362985"/>
    <n v="4422.09"/>
    <m/>
    <s v="N"/>
    <n v="1"/>
    <d v="2023-07-12T19:01:52"/>
    <s v="Y"/>
    <s v="Exceptional Travel"/>
    <s v="Public Law Children"/>
    <s v="Advocacy"/>
    <s v="BJB"/>
    <s v="Y"/>
    <n v="32.04"/>
    <n v="6.41"/>
    <x v="0"/>
    <s v="VALIDATED"/>
    <n v="1"/>
    <s v="01.11.80.308.6100.0000"/>
    <n v="32.04"/>
    <s v="11"/>
    <s v="6100"/>
    <n v="26168.96"/>
    <n v="32.04"/>
    <s v="CREDITOR"/>
    <n v="0"/>
    <n v="0"/>
    <n v="0"/>
    <n v="0"/>
    <n v="32.04"/>
  </r>
  <r>
    <n v="61584798"/>
    <s v="N"/>
    <n v="21330511"/>
    <s v="3000015696070003"/>
    <s v="CIVIL"/>
    <d v="2023-06-25T00:00:00"/>
    <d v="2023-07-05T19:01:47"/>
    <m/>
    <d v="2023-07-05T00:00:00"/>
    <n v="1211"/>
    <n v="18740"/>
    <s v="61584798"/>
    <s v="61584798"/>
    <m/>
    <m/>
    <n v="22756962"/>
    <m/>
    <m/>
    <m/>
    <s v="SOLFIN"/>
    <s v="SOLFIN"/>
    <s v="CCMS"/>
    <n v="21330511"/>
    <n v="5552.7"/>
    <m/>
    <s v="N"/>
    <n v="6"/>
    <d v="2023-07-05T19:01:50"/>
    <s v="Y"/>
    <s v="Solicitor Travel Expenses"/>
    <s v="Public Law Children"/>
    <s v="Non Expert Disbursement"/>
    <s v="ATL"/>
    <s v="Y"/>
    <n v="2.9"/>
    <n v="0"/>
    <x v="6"/>
    <s v="VALIDATED"/>
    <n v="1"/>
    <s v="01.11.80.308.6300.0000"/>
    <n v="2.9"/>
    <s v="11"/>
    <s v="6300"/>
    <n v="26168.96"/>
    <n v="2.9"/>
    <s v="CREDITOR"/>
    <n v="0"/>
    <n v="0"/>
    <n v="0"/>
    <n v="0"/>
    <n v="2.9"/>
  </r>
  <r>
    <n v="61655508"/>
    <s v="N"/>
    <n v="21320606"/>
    <s v="3000015755710004"/>
    <s v="CIVIL"/>
    <d v="2023-06-28T00:00:00"/>
    <d v="2023-07-03T19:04:52"/>
    <m/>
    <d v="2023-07-03T00:00:00"/>
    <n v="1211"/>
    <n v="18740"/>
    <s v="61655508"/>
    <s v="61655508"/>
    <m/>
    <m/>
    <n v="22780784"/>
    <m/>
    <m/>
    <m/>
    <s v="SOLPOA"/>
    <s v="SOLPOA"/>
    <s v="CCMS"/>
    <n v="21320606"/>
    <n v="702"/>
    <m/>
    <s v="N"/>
    <n v="1"/>
    <d v="2023-07-03T19:04:55"/>
    <s v="N"/>
    <s v="Expert Cost"/>
    <s v="Expert Cost"/>
    <s v="Expert Disbursement"/>
    <s v="ATL"/>
    <s v="N"/>
    <n v="585"/>
    <n v="117"/>
    <x v="3"/>
    <s v="VALIDATED"/>
    <n v="1"/>
    <s v="01.11.80.308.2012.0000"/>
    <n v="585"/>
    <s v="11"/>
    <s v="2012"/>
    <n v="26168.96"/>
    <n v="585"/>
    <s v="CREDITOR"/>
    <n v="585"/>
    <n v="0"/>
    <n v="0"/>
    <n v="0"/>
    <n v="0"/>
  </r>
  <r>
    <n v="61384707"/>
    <s v="N"/>
    <n v="21360257"/>
    <s v="3000015528680006"/>
    <s v="CIVIL"/>
    <d v="2023-06-30T00:00:00"/>
    <d v="2023-07-11T11:50:54"/>
    <m/>
    <d v="2023-07-11T00:00:00"/>
    <n v="1211"/>
    <n v="18740"/>
    <s v="61384707"/>
    <s v="61384707"/>
    <m/>
    <m/>
    <n v="22797712"/>
    <m/>
    <m/>
    <m/>
    <s v="SOLFIN"/>
    <s v="SOLFIN"/>
    <s v="CCMS"/>
    <n v="21360257"/>
    <n v="7048.81"/>
    <m/>
    <s v="N"/>
    <n v="4"/>
    <d v="2023-07-11T11:50:59"/>
    <s v="Y"/>
    <s v="Toxicologist"/>
    <s v="Public Law Children"/>
    <s v="Expert Disbursement"/>
    <s v="HJ"/>
    <s v="Y"/>
    <n v="294"/>
    <n v="58.8"/>
    <x v="7"/>
    <s v="VALIDATED"/>
    <n v="1"/>
    <s v="01.11.80.308.6300.0000"/>
    <n v="294"/>
    <s v="11"/>
    <s v="6300"/>
    <n v="26168.96"/>
    <n v="294"/>
    <s v="CREDITOR"/>
    <n v="0"/>
    <n v="0"/>
    <n v="0"/>
    <n v="0"/>
    <n v="294"/>
  </r>
  <r>
    <n v="59596093"/>
    <s v="N"/>
    <n v="21360726"/>
    <s v="3000014000290004"/>
    <s v="CIVIL"/>
    <d v="2023-06-30T00:00:00"/>
    <d v="2023-07-11T19:00:25"/>
    <m/>
    <d v="2023-07-11T00:00:00"/>
    <n v="1211"/>
    <n v="18740"/>
    <s v="59596093"/>
    <s v="59596093"/>
    <m/>
    <m/>
    <n v="22797984"/>
    <m/>
    <m/>
    <m/>
    <s v="SOLFIN"/>
    <s v="SOLFIN"/>
    <s v="CCMS"/>
    <n v="21360726"/>
    <n v="9741.1"/>
    <m/>
    <s v="N"/>
    <n v="1"/>
    <d v="2023-07-11T19:00:32"/>
    <s v="Y"/>
    <s v="Interim Hearing Court Bundle/Advoca"/>
    <s v="Public Law Children"/>
    <s v="Advocacy"/>
    <s v="HJ"/>
    <s v="Y"/>
    <n v="59.4"/>
    <n v="11.88"/>
    <x v="7"/>
    <s v="VALIDATED"/>
    <n v="1"/>
    <s v="01.11.80.308.6100.0000"/>
    <n v="59.4"/>
    <s v="11"/>
    <s v="6100"/>
    <n v="26168.96"/>
    <n v="59.4"/>
    <s v="CREDITOR"/>
    <n v="0"/>
    <n v="0"/>
    <n v="0"/>
    <n v="0"/>
    <n v="59.4"/>
  </r>
  <r>
    <n v="61584798"/>
    <s v="N"/>
    <n v="21330511"/>
    <s v="3000015696070003"/>
    <s v="CIVIL"/>
    <d v="2023-06-25T00:00:00"/>
    <d v="2023-07-05T19:01:47"/>
    <m/>
    <d v="2023-07-05T00:00:00"/>
    <n v="1211"/>
    <n v="18740"/>
    <s v="61584798"/>
    <s v="61584798"/>
    <m/>
    <m/>
    <n v="22756962"/>
    <m/>
    <m/>
    <m/>
    <s v="SOLFIN"/>
    <s v="SOLFIN"/>
    <s v="CCMS"/>
    <n v="21330511"/>
    <n v="5552.7"/>
    <m/>
    <s v="N"/>
    <n v="11"/>
    <d v="2023-07-05T19:01:50"/>
    <s v="Y"/>
    <s v="Hearing Unit 2.31 - 5.00 Hours"/>
    <s v="Public Law Children"/>
    <s v="Advocacy"/>
    <s v="HJ"/>
    <s v="Y"/>
    <n v="476.92"/>
    <n v="95.38"/>
    <x v="6"/>
    <s v="VALIDATED"/>
    <n v="1"/>
    <s v="01.11.80.308.6100.0000"/>
    <n v="476.92"/>
    <s v="11"/>
    <s v="6100"/>
    <n v="26168.96"/>
    <n v="476.92"/>
    <s v="CREDITOR"/>
    <n v="0"/>
    <n v="0"/>
    <n v="0"/>
    <n v="0"/>
    <n v="476.92"/>
  </r>
  <r>
    <n v="59596093"/>
    <s v="N"/>
    <n v="21360726"/>
    <s v="3000014000290004"/>
    <s v="CIVIL"/>
    <d v="2023-06-30T00:00:00"/>
    <d v="2023-07-11T19:00:25"/>
    <m/>
    <d v="2023-07-11T00:00:00"/>
    <n v="1211"/>
    <n v="18740"/>
    <s v="59596093"/>
    <s v="59596093"/>
    <m/>
    <m/>
    <n v="22797984"/>
    <m/>
    <m/>
    <m/>
    <s v="SOLFIN"/>
    <s v="SOLFIN"/>
    <s v="CCMS"/>
    <n v="21360726"/>
    <n v="9741.1"/>
    <m/>
    <s v="N"/>
    <n v="4"/>
    <d v="2023-07-11T19:00:32"/>
    <s v="Y"/>
    <s v="Child psychologist"/>
    <s v="Public Law Children"/>
    <s v="Expert Disbursement"/>
    <s v="HJ"/>
    <s v="Y"/>
    <n v="1186"/>
    <n v="237.2"/>
    <x v="7"/>
    <s v="VALIDATED"/>
    <n v="1"/>
    <s v="01.11.80.308.6300.0000"/>
    <n v="1186"/>
    <s v="11"/>
    <s v="6300"/>
    <n v="26168.96"/>
    <n v="1186"/>
    <s v="CREDITOR"/>
    <n v="0"/>
    <n v="0"/>
    <n v="0"/>
    <n v="0"/>
    <n v="1186"/>
  </r>
  <r>
    <n v="61494797"/>
    <s v="N"/>
    <n v="21327761"/>
    <s v="3000015619270002"/>
    <s v="CIVIL"/>
    <d v="2023-06-25T00:00:00"/>
    <d v="2023-07-04T19:00:44"/>
    <m/>
    <d v="2023-07-04T00:00:00"/>
    <n v="1211"/>
    <n v="18740"/>
    <s v="61494797"/>
    <s v="61494797"/>
    <m/>
    <m/>
    <n v="22756968"/>
    <m/>
    <m/>
    <m/>
    <s v="SOLFIN"/>
    <s v="SOLFIN"/>
    <s v="CCMS"/>
    <n v="21327761"/>
    <n v="4279.46"/>
    <m/>
    <s v="N"/>
    <n v="10"/>
    <d v="2023-07-04T19:00:54"/>
    <s v="Y"/>
    <s v="Hearing Unit 1.01 - 2.30 Hours"/>
    <s v="Public Law Children"/>
    <s v="Advocacy"/>
    <s v="HJ"/>
    <s v="Y"/>
    <n v="238.46"/>
    <n v="47.69"/>
    <x v="1"/>
    <s v="VALIDATED"/>
    <n v="1"/>
    <s v="01.11.80.308.6100.0000"/>
    <n v="238.46"/>
    <s v="11"/>
    <s v="6100"/>
    <n v="26168.96"/>
    <n v="238.46"/>
    <s v="CREDITOR"/>
    <n v="0"/>
    <n v="0"/>
    <n v="0"/>
    <n v="0"/>
    <n v="238.46"/>
  </r>
  <r>
    <n v="59596093"/>
    <s v="N"/>
    <n v="21360726"/>
    <s v="3000014000290004"/>
    <s v="CIVIL"/>
    <d v="2023-06-30T00:00:00"/>
    <d v="2023-07-11T19:00:25"/>
    <m/>
    <d v="2023-07-11T00:00:00"/>
    <n v="1211"/>
    <n v="18740"/>
    <s v="59596093"/>
    <s v="59596093"/>
    <m/>
    <m/>
    <n v="22797984"/>
    <m/>
    <m/>
    <m/>
    <s v="SOLFIN"/>
    <s v="SOLFIN"/>
    <s v="CCMS"/>
    <n v="21360726"/>
    <n v="9741.1"/>
    <m/>
    <s v="N"/>
    <n v="3"/>
    <d v="2023-07-11T19:00:32"/>
    <s v="Y"/>
    <s v="Exceptional Travel"/>
    <s v="Public Law Children"/>
    <s v="Advocacy"/>
    <s v="HJ"/>
    <s v="Y"/>
    <n v="32.04"/>
    <n v="6.41"/>
    <x v="7"/>
    <s v="VALIDATED"/>
    <n v="1"/>
    <s v="01.11.80.308.6100.0000"/>
    <n v="32.04"/>
    <s v="11"/>
    <s v="6100"/>
    <n v="26168.96"/>
    <n v="32.04"/>
    <s v="CREDITOR"/>
    <n v="0"/>
    <n v="0"/>
    <n v="0"/>
    <n v="0"/>
    <n v="32.04"/>
  </r>
  <r>
    <n v="59596093"/>
    <s v="N"/>
    <n v="21360726"/>
    <s v="3000014000290004"/>
    <s v="CIVIL"/>
    <d v="2023-06-30T00:00:00"/>
    <d v="2023-07-11T19:00:25"/>
    <m/>
    <d v="2023-07-11T00:00:00"/>
    <n v="1211"/>
    <n v="18740"/>
    <s v="59596093"/>
    <s v="59596093"/>
    <m/>
    <m/>
    <n v="22797984"/>
    <m/>
    <m/>
    <m/>
    <s v="SOLFIN"/>
    <s v="SOLFIN"/>
    <s v="CCMS"/>
    <n v="21360726"/>
    <n v="9741.1"/>
    <m/>
    <s v="N"/>
    <n v="16"/>
    <d v="2023-07-11T19:00:32"/>
    <s v="Y"/>
    <s v="Advocates Meeting"/>
    <s v="Public Law Children"/>
    <s v="Advocacy"/>
    <s v="HJ"/>
    <s v="Y"/>
    <n v="140.99"/>
    <n v="28.2"/>
    <x v="7"/>
    <s v="VALIDATED"/>
    <n v="1"/>
    <s v="01.11.80.308.6100.0000"/>
    <n v="140.99"/>
    <s v="11"/>
    <s v="6100"/>
    <n v="26168.96"/>
    <n v="140.99"/>
    <s v="CREDITOR"/>
    <n v="0"/>
    <n v="0"/>
    <n v="0"/>
    <n v="0"/>
    <n v="140.99"/>
  </r>
  <r>
    <n v="59596093"/>
    <s v="N"/>
    <n v="21360726"/>
    <s v="3000014000290004"/>
    <s v="CIVIL"/>
    <d v="2023-06-30T00:00:00"/>
    <d v="2023-07-11T19:00:25"/>
    <m/>
    <d v="2023-07-11T00:00:00"/>
    <n v="1211"/>
    <n v="18740"/>
    <s v="59596093"/>
    <s v="59596093"/>
    <m/>
    <m/>
    <n v="22797984"/>
    <m/>
    <m/>
    <m/>
    <s v="SOLFIN"/>
    <s v="SOLFIN"/>
    <s v="CCMS"/>
    <n v="21360726"/>
    <n v="9741.1"/>
    <m/>
    <s v="N"/>
    <n v="10"/>
    <d v="2023-07-11T19:00:32"/>
    <s v="Y"/>
    <s v="Advocates Meeting"/>
    <s v="Public Law Children"/>
    <s v="Advocacy"/>
    <s v="HJ"/>
    <s v="Y"/>
    <n v="140.99"/>
    <n v="28.2"/>
    <x v="7"/>
    <s v="VALIDATED"/>
    <n v="1"/>
    <s v="01.11.80.308.6100.0000"/>
    <n v="140.99"/>
    <s v="11"/>
    <s v="6100"/>
    <n v="26168.96"/>
    <n v="140.99"/>
    <s v="CREDITOR"/>
    <n v="0"/>
    <n v="0"/>
    <n v="0"/>
    <n v="0"/>
    <n v="140.99"/>
  </r>
  <r>
    <n v="61723690"/>
    <s v="N"/>
    <n v="21331189"/>
    <s v="3000015811010005"/>
    <s v="CIVIL"/>
    <d v="2023-06-30T00:00:00"/>
    <d v="2023-07-05T19:01:47"/>
    <m/>
    <d v="2023-07-05T00:00:00"/>
    <n v="1211"/>
    <n v="18740"/>
    <s v="61723690"/>
    <s v="61723690"/>
    <m/>
    <m/>
    <n v="22799338"/>
    <m/>
    <m/>
    <m/>
    <s v="SOLFIN"/>
    <s v="SOLFIN"/>
    <s v="CCMS"/>
    <n v="21331189"/>
    <n v="4501.44"/>
    <m/>
    <s v="N"/>
    <n v="5"/>
    <d v="2023-07-05T19:02:09"/>
    <s v="Y"/>
    <s v="Advocates Meeting"/>
    <s v="Public Law Children"/>
    <s v="Advocacy"/>
    <s v="ATL"/>
    <s v="Y"/>
    <n v="140.99"/>
    <n v="28.2"/>
    <x v="6"/>
    <s v="VALIDATED"/>
    <n v="1"/>
    <s v="01.11.80.308.6100.0000"/>
    <n v="140.99"/>
    <s v="11"/>
    <s v="6100"/>
    <n v="26168.96"/>
    <n v="140.99"/>
    <s v="CREDITOR"/>
    <n v="0"/>
    <n v="0"/>
    <n v="0"/>
    <n v="0"/>
    <n v="140.99"/>
  </r>
  <r>
    <n v="59596093"/>
    <s v="N"/>
    <n v="21360726"/>
    <s v="3000014000290004"/>
    <s v="CIVIL"/>
    <d v="2023-06-30T00:00:00"/>
    <d v="2023-07-11T19:00:25"/>
    <m/>
    <d v="2023-07-11T00:00:00"/>
    <n v="1211"/>
    <n v="18740"/>
    <s v="59596093"/>
    <s v="59596093"/>
    <m/>
    <m/>
    <n v="22797984"/>
    <m/>
    <m/>
    <m/>
    <s v="SOLFIN"/>
    <s v="SOLFIN"/>
    <s v="CCMS"/>
    <n v="21360726"/>
    <n v="9741.1"/>
    <m/>
    <s v="N"/>
    <n v="14"/>
    <d v="2023-07-11T19:00:32"/>
    <s v="Y"/>
    <s v="Hearing Unit 2.31 - 5.00 Hours"/>
    <s v="Public Law Children"/>
    <s v="Advocacy"/>
    <s v="HJ"/>
    <s v="Y"/>
    <n v="476.92"/>
    <n v="95.38"/>
    <x v="7"/>
    <s v="VALIDATED"/>
    <n v="1"/>
    <s v="01.11.80.308.6100.0000"/>
    <n v="476.92"/>
    <s v="11"/>
    <s v="6100"/>
    <n v="26168.96"/>
    <n v="476.92"/>
    <s v="CREDITOR"/>
    <n v="0"/>
    <n v="0"/>
    <n v="0"/>
    <n v="0"/>
    <n v="476.92"/>
  </r>
  <r>
    <n v="61494797"/>
    <s v="N"/>
    <n v="21327761"/>
    <s v="3000015619270002"/>
    <s v="CIVIL"/>
    <d v="2023-06-25T00:00:00"/>
    <d v="2023-07-04T19:00:44"/>
    <m/>
    <d v="2023-07-04T00:00:00"/>
    <n v="1211"/>
    <n v="18740"/>
    <s v="61494797"/>
    <s v="61494797"/>
    <m/>
    <m/>
    <n v="22756968"/>
    <m/>
    <m/>
    <m/>
    <s v="SOLFIN"/>
    <s v="SOLFIN"/>
    <s v="CCMS"/>
    <n v="21327761"/>
    <n v="4279.46"/>
    <m/>
    <s v="N"/>
    <n v="2"/>
    <d v="2023-07-04T19:00:54"/>
    <s v="Y"/>
    <s v="Exceptional Travel"/>
    <s v="Public Law Children"/>
    <s v="Advocacy"/>
    <s v="HJ"/>
    <s v="Y"/>
    <n v="32.04"/>
    <n v="6.41"/>
    <x v="1"/>
    <s v="VALIDATED"/>
    <n v="1"/>
    <s v="01.11.80.308.6100.0000"/>
    <n v="32.04"/>
    <s v="11"/>
    <s v="6100"/>
    <n v="26168.96"/>
    <n v="32.04"/>
    <s v="CREDITOR"/>
    <n v="0"/>
    <n v="0"/>
    <n v="0"/>
    <n v="0"/>
    <n v="32.04"/>
  </r>
  <r>
    <n v="61659062"/>
    <s v="N"/>
    <n v="21362985"/>
    <s v="3000015759270003"/>
    <s v="CIVIL"/>
    <d v="2023-06-30T00:00:00"/>
    <d v="2023-07-12T19:01:49"/>
    <m/>
    <d v="2023-07-12T00:00:00"/>
    <n v="1211"/>
    <n v="18740"/>
    <s v="61659062"/>
    <s v="61659062"/>
    <m/>
    <m/>
    <n v="22798322"/>
    <m/>
    <m/>
    <m/>
    <s v="SOLFIN"/>
    <s v="SOLFIN"/>
    <s v="CCMS"/>
    <n v="21362985"/>
    <n v="4422.09"/>
    <m/>
    <s v="N"/>
    <n v="12"/>
    <d v="2023-07-12T19:01:52"/>
    <s v="Y"/>
    <s v="Solicitors Fixed Fee"/>
    <s v="Public Law Children"/>
    <s v="Profit Cost"/>
    <s v="HJ"/>
    <s v="Y"/>
    <n v="1754"/>
    <n v="350.8"/>
    <x v="0"/>
    <s v="VALIDATED"/>
    <n v="1"/>
    <s v="01.11.80.308.6100.0000"/>
    <n v="1754"/>
    <s v="11"/>
    <s v="6100"/>
    <n v="26168.96"/>
    <n v="1754"/>
    <s v="CREDITOR"/>
    <n v="0"/>
    <n v="0"/>
    <n v="0"/>
    <n v="0"/>
    <n v="1754"/>
  </r>
  <r>
    <n v="61494797"/>
    <s v="N"/>
    <n v="21327761"/>
    <s v="3000015619270002"/>
    <s v="CIVIL"/>
    <d v="2023-06-25T00:00:00"/>
    <d v="2023-07-04T19:00:44"/>
    <m/>
    <d v="2023-07-04T00:00:00"/>
    <n v="1211"/>
    <n v="18740"/>
    <s v="61494797"/>
    <s v="61494797"/>
    <m/>
    <m/>
    <n v="22756968"/>
    <m/>
    <m/>
    <m/>
    <s v="SOLFIN"/>
    <s v="SOLFIN"/>
    <s v="CCMS"/>
    <n v="21327761"/>
    <n v="4279.46"/>
    <m/>
    <s v="N"/>
    <n v="7"/>
    <d v="2023-07-04T19:00:54"/>
    <s v="Y"/>
    <s v="Advocates Meeting"/>
    <s v="Public Law Children"/>
    <s v="Advocacy"/>
    <s v="HJ"/>
    <s v="Y"/>
    <n v="140.99"/>
    <n v="28.2"/>
    <x v="1"/>
    <s v="VALIDATED"/>
    <n v="1"/>
    <s v="01.11.80.308.6100.0000"/>
    <n v="140.99"/>
    <s v="11"/>
    <s v="6100"/>
    <n v="26168.96"/>
    <n v="140.99"/>
    <s v="CREDITOR"/>
    <n v="0"/>
    <n v="0"/>
    <n v="0"/>
    <n v="0"/>
    <n v="140.99"/>
  </r>
  <r>
    <n v="61659062"/>
    <s v="N"/>
    <n v="21362985"/>
    <s v="3000015759270003"/>
    <s v="CIVIL"/>
    <d v="2023-06-30T00:00:00"/>
    <d v="2023-07-12T19:01:49"/>
    <m/>
    <d v="2023-07-12T00:00:00"/>
    <n v="1211"/>
    <n v="18740"/>
    <s v="61659062"/>
    <s v="61659062"/>
    <m/>
    <m/>
    <n v="22798322"/>
    <m/>
    <m/>
    <m/>
    <s v="SOLFIN"/>
    <s v="SOLFIN"/>
    <s v="CCMS"/>
    <n v="21362985"/>
    <n v="4422.09"/>
    <m/>
    <s v="N"/>
    <n v="7"/>
    <d v="2023-07-12T19:01:52"/>
    <s v="Y"/>
    <s v="Solicitor Travel Expenses"/>
    <s v="Public Law Children"/>
    <s v="Non Expert Disbursement"/>
    <s v="BJB"/>
    <s v="Y"/>
    <n v="3.3"/>
    <n v="0"/>
    <x v="0"/>
    <s v="VALIDATED"/>
    <n v="1"/>
    <s v="01.11.80.308.6300.0000"/>
    <n v="3.3"/>
    <s v="11"/>
    <s v="6300"/>
    <n v="26168.96"/>
    <n v="3.3"/>
    <s v="CREDITOR"/>
    <n v="0"/>
    <n v="0"/>
    <n v="0"/>
    <n v="0"/>
    <n v="3.3"/>
  </r>
  <r>
    <n v="61584798"/>
    <s v="N"/>
    <n v="21330511"/>
    <s v="3000015696070003"/>
    <s v="CIVIL"/>
    <d v="2023-06-25T00:00:00"/>
    <d v="2023-07-05T19:01:47"/>
    <m/>
    <d v="2023-07-05T00:00:00"/>
    <n v="1211"/>
    <n v="18740"/>
    <s v="61584798"/>
    <s v="61584798"/>
    <m/>
    <m/>
    <n v="22756962"/>
    <m/>
    <m/>
    <m/>
    <s v="SOLFIN"/>
    <s v="SOLFIN"/>
    <s v="CCMS"/>
    <n v="21330511"/>
    <n v="5552.7"/>
    <m/>
    <s v="N"/>
    <n v="7"/>
    <d v="2023-07-05T19:01:50"/>
    <s v="Y"/>
    <s v="Final Hearing - 1 Day"/>
    <s v="Public Law Children"/>
    <s v="Advocacy"/>
    <s v="HJ"/>
    <s v="Y"/>
    <n v="556.88"/>
    <n v="111.38"/>
    <x v="6"/>
    <s v="VALIDATED"/>
    <n v="1"/>
    <s v="01.11.80.308.6100.0000"/>
    <n v="556.88"/>
    <s v="11"/>
    <s v="6100"/>
    <n v="26168.96"/>
    <n v="556.88"/>
    <s v="CREDITOR"/>
    <n v="0"/>
    <n v="0"/>
    <n v="0"/>
    <n v="0"/>
    <n v="556.88"/>
  </r>
  <r>
    <n v="61494797"/>
    <s v="N"/>
    <n v="21327761"/>
    <s v="3000015619270002"/>
    <s v="CIVIL"/>
    <d v="2023-06-25T00:00:00"/>
    <d v="2023-07-04T19:00:44"/>
    <m/>
    <d v="2023-07-04T00:00:00"/>
    <n v="1211"/>
    <n v="18740"/>
    <s v="61494797"/>
    <s v="61494797"/>
    <m/>
    <m/>
    <n v="22756968"/>
    <m/>
    <m/>
    <m/>
    <s v="SOLFIN"/>
    <s v="SOLFIN"/>
    <s v="CCMS"/>
    <n v="21327761"/>
    <n v="4279.46"/>
    <m/>
    <s v="N"/>
    <n v="8"/>
    <d v="2023-07-04T19:00:54"/>
    <s v="Y"/>
    <s v="Hearing Unit 2.31 - 5.00 Hours"/>
    <s v="Public Law Children"/>
    <s v="Advocacy"/>
    <s v="HJ"/>
    <s v="Y"/>
    <n v="476.92"/>
    <n v="95.39"/>
    <x v="1"/>
    <s v="VALIDATED"/>
    <n v="1"/>
    <s v="01.11.80.308.6100.0000"/>
    <n v="476.92"/>
    <s v="11"/>
    <s v="6100"/>
    <n v="26168.96"/>
    <n v="476.92"/>
    <s v="CREDITOR"/>
    <n v="0"/>
    <n v="0"/>
    <n v="0"/>
    <n v="0"/>
    <n v="476.92"/>
  </r>
  <r>
    <n v="61723690"/>
    <s v="N"/>
    <n v="21331189"/>
    <s v="3000015811010005"/>
    <s v="CIVIL"/>
    <d v="2023-06-30T00:00:00"/>
    <d v="2023-07-05T19:01:47"/>
    <m/>
    <d v="2023-07-05T00:00:00"/>
    <n v="1211"/>
    <n v="18740"/>
    <s v="61723690"/>
    <s v="61723690"/>
    <m/>
    <m/>
    <n v="22799338"/>
    <m/>
    <m/>
    <m/>
    <s v="SOLFIN"/>
    <s v="SOLFIN"/>
    <s v="CCMS"/>
    <n v="21331189"/>
    <n v="4501.44"/>
    <m/>
    <s v="N"/>
    <n v="7"/>
    <d v="2023-07-05T19:02:09"/>
    <s v="Y"/>
    <s v="Advocates Meeting"/>
    <s v="Public Law Children"/>
    <s v="Advocacy"/>
    <s v="ATL"/>
    <s v="Y"/>
    <n v="140.99"/>
    <n v="28.2"/>
    <x v="6"/>
    <s v="VALIDATED"/>
    <n v="1"/>
    <s v="01.11.80.308.6100.0000"/>
    <n v="140.99"/>
    <s v="11"/>
    <s v="6100"/>
    <n v="26168.96"/>
    <n v="140.99"/>
    <s v="CREDITOR"/>
    <n v="0"/>
    <n v="0"/>
    <n v="0"/>
    <n v="0"/>
    <n v="140.99"/>
  </r>
  <r>
    <n v="61723690"/>
    <s v="N"/>
    <n v="21331189"/>
    <s v="3000015811010005"/>
    <s v="CIVIL"/>
    <d v="2023-06-30T00:00:00"/>
    <d v="2023-07-05T19:01:47"/>
    <m/>
    <d v="2023-07-05T00:00:00"/>
    <n v="1211"/>
    <n v="18740"/>
    <s v="61723690"/>
    <s v="61723690"/>
    <m/>
    <m/>
    <n v="22799338"/>
    <m/>
    <m/>
    <m/>
    <s v="SOLFIN"/>
    <s v="SOLFIN"/>
    <s v="CCMS"/>
    <n v="21331189"/>
    <n v="4501.44"/>
    <m/>
    <s v="N"/>
    <n v="3"/>
    <d v="2023-07-05T19:02:09"/>
    <s v="Y"/>
    <s v="DNA - test of sample"/>
    <s v="Public Law Children"/>
    <s v="Expert Disbursement"/>
    <s v="ATL"/>
    <s v="Y"/>
    <n v="141.34"/>
    <n v="28.27"/>
    <x v="6"/>
    <s v="VALIDATED"/>
    <n v="1"/>
    <s v="01.11.80.308.6300.0000"/>
    <n v="141.34"/>
    <s v="11"/>
    <s v="6300"/>
    <n v="26168.96"/>
    <n v="141.34"/>
    <s v="CREDITOR"/>
    <n v="0"/>
    <n v="0"/>
    <n v="0"/>
    <n v="0"/>
    <n v="141.34"/>
  </r>
  <r>
    <n v="61384707"/>
    <s v="N"/>
    <n v="21360257"/>
    <s v="3000015528680006"/>
    <s v="CIVIL"/>
    <d v="2023-06-30T00:00:00"/>
    <d v="2023-07-11T11:50:54"/>
    <m/>
    <d v="2023-07-11T00:00:00"/>
    <n v="1211"/>
    <n v="18740"/>
    <s v="61384707"/>
    <s v="61384707"/>
    <m/>
    <m/>
    <n v="22797712"/>
    <m/>
    <m/>
    <m/>
    <s v="SOLFIN"/>
    <s v="SOLFIN"/>
    <s v="CCMS"/>
    <n v="21360257"/>
    <n v="7048.81"/>
    <m/>
    <s v="N"/>
    <n v="3"/>
    <d v="2023-07-11T11:50:59"/>
    <s v="Y"/>
    <s v="Court Fee"/>
    <s v="Public Law Children"/>
    <s v="Non Expert Disbursement"/>
    <s v="HJ"/>
    <s v="Y"/>
    <n v="167"/>
    <n v="0"/>
    <x v="7"/>
    <s v="VALIDATED"/>
    <n v="1"/>
    <s v="01.11.80.308.6300.0000"/>
    <n v="167"/>
    <s v="11"/>
    <s v="6300"/>
    <n v="26168.96"/>
    <n v="167"/>
    <s v="CREDITOR"/>
    <n v="0"/>
    <n v="0"/>
    <n v="0"/>
    <n v="0"/>
    <n v="167"/>
  </r>
  <r>
    <n v="59777370"/>
    <s v="N"/>
    <n v="21349630"/>
    <s v="3000014152570008"/>
    <s v="CIVIL"/>
    <d v="2023-06-23T00:00:00"/>
    <d v="2023-07-10T19:01:40"/>
    <m/>
    <d v="2023-07-10T00:00:00"/>
    <n v="1244"/>
    <n v="17996"/>
    <s v="59777370"/>
    <s v="59777370"/>
    <m/>
    <m/>
    <n v="22754298"/>
    <m/>
    <m/>
    <m/>
    <s v="SOLFIN"/>
    <s v="SOLFIN"/>
    <s v="CCMS"/>
    <n v="21349630"/>
    <n v="8594.889999999999"/>
    <m/>
    <s v="N"/>
    <n v="10"/>
    <d v="2023-07-10T19:01:54"/>
    <s v="Y"/>
    <s v="Hearing Unit 2.31 - 5.00 Hours"/>
    <s v="Public Law Children"/>
    <s v="Advocacy"/>
    <s v="NJK"/>
    <s v="Y"/>
    <n v="476.92"/>
    <n v="95.38"/>
    <x v="2"/>
    <s v="VALIDATED"/>
    <n v="1"/>
    <s v="01.11.80.308.6100.0000"/>
    <n v="476.92"/>
    <s v="11"/>
    <s v="6100"/>
    <n v="2902.05"/>
    <n v="476.92"/>
    <s v="CREDITOR"/>
    <n v="0"/>
    <n v="0"/>
    <n v="0"/>
    <n v="0"/>
    <n v="476.92"/>
  </r>
  <r>
    <n v="59777370"/>
    <s v="N"/>
    <n v="21349630"/>
    <s v="3000014152570008"/>
    <s v="CIVIL"/>
    <d v="2023-06-23T00:00:00"/>
    <d v="2023-07-10T19:01:40"/>
    <m/>
    <d v="2023-07-10T00:00:00"/>
    <n v="1244"/>
    <n v="17996"/>
    <s v="59777370"/>
    <s v="59777370"/>
    <m/>
    <m/>
    <n v="22754298"/>
    <m/>
    <m/>
    <m/>
    <s v="SOLFIN"/>
    <s v="SOLFIN"/>
    <s v="CCMS"/>
    <n v="21349630"/>
    <n v="8594.889999999999"/>
    <m/>
    <s v="N"/>
    <n v="16"/>
    <d v="2023-07-10T19:01:54"/>
    <s v="Y"/>
    <s v="Hearing Unit 2.31 - 5.00 Hours"/>
    <s v="Public Law Children"/>
    <s v="Advocacy"/>
    <s v="NJK"/>
    <s v="Y"/>
    <n v="476.92"/>
    <n v="95.38"/>
    <x v="2"/>
    <s v="VALIDATED"/>
    <n v="1"/>
    <s v="01.11.80.308.6100.0000"/>
    <n v="476.92"/>
    <s v="11"/>
    <s v="6100"/>
    <n v="2902.05"/>
    <n v="476.92"/>
    <s v="CREDITOR"/>
    <n v="0"/>
    <n v="0"/>
    <n v="0"/>
    <n v="0"/>
    <n v="476.92"/>
  </r>
  <r>
    <n v="59777370"/>
    <s v="N"/>
    <n v="21349630"/>
    <s v="3000014152570008"/>
    <s v="CIVIL"/>
    <d v="2023-06-23T00:00:00"/>
    <d v="2023-07-10T19:01:40"/>
    <m/>
    <d v="2023-07-10T00:00:00"/>
    <n v="1244"/>
    <n v="17996"/>
    <s v="59777370"/>
    <s v="59777370"/>
    <m/>
    <m/>
    <n v="22754298"/>
    <m/>
    <m/>
    <m/>
    <s v="SOLFIN"/>
    <s v="SOLFIN"/>
    <s v="CCMS"/>
    <n v="21349630"/>
    <n v="8594.889999999999"/>
    <m/>
    <s v="N"/>
    <n v="2"/>
    <d v="2023-07-10T19:01:54"/>
    <s v="Y"/>
    <s v="Toxicologist"/>
    <s v="Public Law Children"/>
    <s v="Expert Disbursement"/>
    <s v="XXX"/>
    <s v="Y"/>
    <n v="340"/>
    <n v="68"/>
    <x v="2"/>
    <s v="VALIDATED"/>
    <n v="1"/>
    <s v="01.11.80.308.6300.0000"/>
    <n v="340"/>
    <s v="11"/>
    <s v="6300"/>
    <n v="2902.05"/>
    <n v="340"/>
    <s v="CREDITOR"/>
    <n v="0"/>
    <n v="0"/>
    <n v="0"/>
    <n v="0"/>
    <n v="340"/>
  </r>
  <r>
    <n v="59777370"/>
    <s v="N"/>
    <n v="21349630"/>
    <s v="3000014152570008"/>
    <s v="CIVIL"/>
    <d v="2023-06-23T00:00:00"/>
    <d v="2023-07-10T19:01:40"/>
    <m/>
    <d v="2023-07-10T00:00:00"/>
    <n v="1244"/>
    <n v="17996"/>
    <s v="59777370"/>
    <s v="59777370"/>
    <m/>
    <m/>
    <n v="22754298"/>
    <m/>
    <m/>
    <m/>
    <s v="SOLFIN"/>
    <s v="SOLFIN"/>
    <s v="CCMS"/>
    <n v="21349630"/>
    <n v="8594.889999999999"/>
    <m/>
    <s v="N"/>
    <n v="6"/>
    <d v="2023-07-10T19:01:54"/>
    <s v="Y"/>
    <s v="Toxicologist"/>
    <s v="Public Law Children"/>
    <s v="Expert Disbursement"/>
    <s v="XXX"/>
    <s v="Y"/>
    <n v="242.5"/>
    <n v="48.5"/>
    <x v="2"/>
    <s v="VALIDATED"/>
    <n v="1"/>
    <s v="01.11.80.308.6300.0000"/>
    <n v="242.5"/>
    <s v="11"/>
    <s v="6300"/>
    <n v="2902.05"/>
    <n v="242.5"/>
    <s v="CREDITOR"/>
    <n v="0"/>
    <n v="0"/>
    <n v="0"/>
    <n v="0"/>
    <n v="242.5"/>
  </r>
  <r>
    <n v="59777370"/>
    <s v="N"/>
    <n v="21349630"/>
    <s v="3000014152570008"/>
    <s v="CIVIL"/>
    <d v="2023-06-23T00:00:00"/>
    <d v="2023-07-10T19:01:40"/>
    <m/>
    <d v="2023-07-10T00:00:00"/>
    <n v="1244"/>
    <n v="17996"/>
    <s v="59777370"/>
    <s v="59777370"/>
    <m/>
    <m/>
    <n v="22754298"/>
    <m/>
    <m/>
    <m/>
    <s v="SOLFIN"/>
    <s v="SOLFIN"/>
    <s v="CCMS"/>
    <n v="21349630"/>
    <n v="8594.889999999999"/>
    <m/>
    <s v="N"/>
    <n v="1"/>
    <d v="2023-07-10T19:01:54"/>
    <s v="Y"/>
    <s v="Solicitors Fixed Fee"/>
    <s v="Public Law Children"/>
    <s v="Profit Cost"/>
    <s v="XXX"/>
    <s v="Y"/>
    <n v="2616"/>
    <n v="523.2"/>
    <x v="2"/>
    <s v="VALIDATED"/>
    <n v="1"/>
    <s v="01.11.80.308.6100.0000"/>
    <n v="2616"/>
    <s v="11"/>
    <s v="6100"/>
    <n v="2902.05"/>
    <n v="2616"/>
    <s v="CREDITOR"/>
    <n v="0"/>
    <n v="0"/>
    <n v="0"/>
    <n v="0"/>
    <n v="2616"/>
  </r>
  <r>
    <n v="59777370"/>
    <s v="N"/>
    <n v="21349630"/>
    <s v="3000014152570008"/>
    <s v="CIVIL"/>
    <d v="2023-06-23T00:00:00"/>
    <d v="2023-07-10T19:01:40"/>
    <m/>
    <d v="2023-07-10T00:00:00"/>
    <n v="1244"/>
    <n v="17996"/>
    <s v="59777370"/>
    <s v="59777370"/>
    <m/>
    <m/>
    <n v="22754298"/>
    <m/>
    <m/>
    <m/>
    <s v="SOLFIN"/>
    <s v="SOLFIN"/>
    <s v="CCMS"/>
    <n v="21349630"/>
    <n v="8594.889999999999"/>
    <m/>
    <s v="N"/>
    <n v="12"/>
    <d v="2023-07-10T19:01:54"/>
    <s v="Y"/>
    <s v="Hearing Unit 1.01 - 2.30 Hours"/>
    <s v="Public Law Children"/>
    <s v="Advocacy"/>
    <s v="NJK"/>
    <s v="Y"/>
    <n v="238.46"/>
    <n v="47.69"/>
    <x v="2"/>
    <s v="VALIDATED"/>
    <n v="1"/>
    <s v="01.11.80.308.6100.0000"/>
    <n v="238.46"/>
    <s v="11"/>
    <s v="6100"/>
    <n v="2902.05"/>
    <n v="238.46"/>
    <s v="CREDITOR"/>
    <n v="0"/>
    <n v="0"/>
    <n v="0"/>
    <n v="0"/>
    <n v="238.46"/>
  </r>
  <r>
    <n v="59777370"/>
    <s v="N"/>
    <n v="21349630"/>
    <s v="3000014152570008"/>
    <s v="CIVIL"/>
    <d v="2023-06-23T00:00:00"/>
    <d v="2023-07-10T19:01:40"/>
    <m/>
    <d v="2023-07-10T00:00:00"/>
    <n v="1244"/>
    <n v="17996"/>
    <s v="59777370"/>
    <s v="59777370"/>
    <m/>
    <m/>
    <n v="22754298"/>
    <m/>
    <m/>
    <m/>
    <s v="SOLFIN"/>
    <s v="SOLFIN"/>
    <s v="CCMS"/>
    <n v="21349630"/>
    <n v="8594.889999999999"/>
    <m/>
    <s v="N"/>
    <n v="4"/>
    <d v="2023-07-10T19:01:54"/>
    <s v="Y"/>
    <s v="Toxicologist"/>
    <s v="Public Law Children"/>
    <s v="Expert Disbursement"/>
    <s v="XXX"/>
    <s v="Y"/>
    <n v="95"/>
    <n v="19"/>
    <x v="2"/>
    <s v="VALIDATED"/>
    <n v="1"/>
    <s v="01.11.80.308.6300.0000"/>
    <n v="95"/>
    <s v="11"/>
    <s v="6300"/>
    <n v="2902.05"/>
    <n v="95"/>
    <s v="CREDITOR"/>
    <n v="0"/>
    <n v="0"/>
    <n v="0"/>
    <n v="0"/>
    <n v="95"/>
  </r>
  <r>
    <n v="59777370"/>
    <s v="N"/>
    <n v="21349630"/>
    <s v="3000014152570008"/>
    <s v="CIVIL"/>
    <d v="2023-06-23T00:00:00"/>
    <d v="2023-07-10T19:01:40"/>
    <m/>
    <d v="2023-07-10T00:00:00"/>
    <n v="1244"/>
    <n v="17996"/>
    <s v="59777370"/>
    <s v="59777370"/>
    <m/>
    <m/>
    <n v="22754298"/>
    <m/>
    <m/>
    <m/>
    <s v="SOLFIN"/>
    <s v="SOLFIN"/>
    <s v="CCMS"/>
    <n v="21349630"/>
    <n v="8594.889999999999"/>
    <m/>
    <s v="N"/>
    <n v="9"/>
    <d v="2023-07-10T19:01:54"/>
    <s v="Y"/>
    <s v="Advocates Meeting"/>
    <s v="Public Law Children"/>
    <s v="Advocacy"/>
    <s v="NJK"/>
    <s v="Y"/>
    <n v="140.99"/>
    <n v="28.2"/>
    <x v="2"/>
    <s v="VALIDATED"/>
    <n v="1"/>
    <s v="01.11.80.308.6100.0000"/>
    <n v="140.99"/>
    <s v="11"/>
    <s v="6100"/>
    <n v="2902.05"/>
    <n v="140.99"/>
    <s v="CREDITOR"/>
    <n v="0"/>
    <n v="0"/>
    <n v="0"/>
    <n v="0"/>
    <n v="140.99"/>
  </r>
  <r>
    <n v="59777370"/>
    <s v="N"/>
    <n v="21349630"/>
    <s v="3000014152570008"/>
    <s v="CIVIL"/>
    <d v="2023-06-23T00:00:00"/>
    <d v="2023-07-10T19:01:40"/>
    <m/>
    <d v="2023-07-10T00:00:00"/>
    <n v="1244"/>
    <n v="17996"/>
    <s v="59777370"/>
    <s v="59777370"/>
    <m/>
    <m/>
    <n v="22754298"/>
    <m/>
    <m/>
    <m/>
    <s v="SOLFIN"/>
    <s v="SOLFIN"/>
    <s v="CCMS"/>
    <n v="21349630"/>
    <n v="8594.889999999999"/>
    <m/>
    <s v="N"/>
    <n v="14"/>
    <d v="2023-07-10T19:01:54"/>
    <s v="Y"/>
    <s v="Hearing Unit 1.01 - 2.30 Hours"/>
    <s v="Public Law Children"/>
    <s v="Advocacy"/>
    <s v="NJK"/>
    <s v="Y"/>
    <n v="238.46"/>
    <n v="47.69"/>
    <x v="2"/>
    <s v="VALIDATED"/>
    <n v="1"/>
    <s v="01.11.80.308.6100.0000"/>
    <n v="238.46"/>
    <s v="11"/>
    <s v="6100"/>
    <n v="2902.05"/>
    <n v="238.46"/>
    <s v="CREDITOR"/>
    <n v="0"/>
    <n v="0"/>
    <n v="0"/>
    <n v="0"/>
    <n v="238.46"/>
  </r>
  <r>
    <n v="59777370"/>
    <s v="N"/>
    <n v="21349630"/>
    <s v="3000014152570008"/>
    <s v="CIVIL"/>
    <d v="2023-06-23T00:00:00"/>
    <d v="2023-07-10T19:01:40"/>
    <m/>
    <d v="2023-07-10T00:00:00"/>
    <n v="1244"/>
    <n v="17996"/>
    <s v="59777370"/>
    <s v="59777370"/>
    <m/>
    <m/>
    <n v="22754298"/>
    <m/>
    <m/>
    <m/>
    <s v="SOLFIN"/>
    <s v="SOLFIN"/>
    <s v="CCMS"/>
    <n v="21349630"/>
    <n v="8594.889999999999"/>
    <m/>
    <s v="N"/>
    <n v="13"/>
    <d v="2023-07-10T19:01:54"/>
    <s v="Y"/>
    <s v="Advocates Meeting"/>
    <s v="Public Law Children"/>
    <s v="Advocacy"/>
    <s v="NJK"/>
    <s v="Y"/>
    <n v="140.99"/>
    <n v="28.2"/>
    <x v="2"/>
    <s v="VALIDATED"/>
    <n v="1"/>
    <s v="01.11.80.308.6100.0000"/>
    <n v="140.99"/>
    <s v="11"/>
    <s v="6100"/>
    <n v="2902.05"/>
    <n v="140.99"/>
    <s v="CREDITOR"/>
    <n v="0"/>
    <n v="0"/>
    <n v="0"/>
    <n v="0"/>
    <n v="140.99"/>
  </r>
  <r>
    <n v="59777370"/>
    <s v="N"/>
    <n v="21349630"/>
    <s v="3000014152570008"/>
    <s v="CIVIL"/>
    <d v="2023-06-23T00:00:00"/>
    <d v="2023-07-10T19:01:40"/>
    <m/>
    <d v="2023-07-10T00:00:00"/>
    <n v="1244"/>
    <n v="17996"/>
    <s v="59777370"/>
    <s v="59777370"/>
    <m/>
    <m/>
    <n v="22754298"/>
    <m/>
    <m/>
    <m/>
    <s v="SOLFIN"/>
    <s v="SOLFIN"/>
    <s v="CCMS"/>
    <n v="21349630"/>
    <n v="8594.889999999999"/>
    <m/>
    <s v="N"/>
    <n v="15"/>
    <d v="2023-07-10T19:01:54"/>
    <s v="Y"/>
    <s v="Advocates Meeting"/>
    <s v="Public Law Children"/>
    <s v="Advocacy"/>
    <s v="NJK"/>
    <s v="Y"/>
    <n v="140.99"/>
    <n v="28.2"/>
    <x v="2"/>
    <s v="VALIDATED"/>
    <n v="1"/>
    <s v="01.11.80.308.6100.0000"/>
    <n v="140.99"/>
    <s v="11"/>
    <s v="6100"/>
    <n v="2902.05"/>
    <n v="140.99"/>
    <s v="CREDITOR"/>
    <n v="0"/>
    <n v="0"/>
    <n v="0"/>
    <n v="0"/>
    <n v="140.99"/>
  </r>
  <r>
    <n v="59777370"/>
    <s v="N"/>
    <n v="21349630"/>
    <s v="3000014152570008"/>
    <s v="CIVIL"/>
    <d v="2023-06-23T00:00:00"/>
    <d v="2023-07-10T19:01:40"/>
    <m/>
    <d v="2023-07-10T00:00:00"/>
    <n v="1244"/>
    <n v="17996"/>
    <s v="59777370"/>
    <s v="59777370"/>
    <m/>
    <m/>
    <n v="22754298"/>
    <m/>
    <m/>
    <m/>
    <s v="SOLFIN"/>
    <s v="SOLFIN"/>
    <s v="CCMS"/>
    <n v="21349630"/>
    <n v="8594.889999999999"/>
    <m/>
    <s v="N"/>
    <n v="11"/>
    <d v="2023-07-10T19:01:54"/>
    <s v="Y"/>
    <s v="Advocates Meeting"/>
    <s v="Public Law Children"/>
    <s v="Advocacy"/>
    <s v="NJK"/>
    <s v="Y"/>
    <n v="140.99"/>
    <n v="28.2"/>
    <x v="2"/>
    <s v="VALIDATED"/>
    <n v="1"/>
    <s v="01.11.80.308.6100.0000"/>
    <n v="140.99"/>
    <s v="11"/>
    <s v="6100"/>
    <n v="2902.05"/>
    <n v="140.99"/>
    <s v="CREDITOR"/>
    <n v="0"/>
    <n v="0"/>
    <n v="0"/>
    <n v="0"/>
    <n v="140.99"/>
  </r>
  <r>
    <n v="59777370"/>
    <s v="N"/>
    <n v="21349630"/>
    <s v="3000014152570008"/>
    <s v="CIVIL"/>
    <d v="2023-06-23T00:00:00"/>
    <d v="2023-07-10T19:01:40"/>
    <m/>
    <d v="2023-07-10T00:00:00"/>
    <n v="1244"/>
    <n v="17996"/>
    <s v="59777370"/>
    <s v="59777370"/>
    <m/>
    <m/>
    <n v="22754298"/>
    <m/>
    <m/>
    <m/>
    <s v="SOLFIN"/>
    <s v="SOLFIN"/>
    <s v="CCMS"/>
    <n v="21349630"/>
    <n v="8594.889999999999"/>
    <m/>
    <s v="N"/>
    <n v="17"/>
    <d v="2023-07-10T19:01:54"/>
    <s v="Y"/>
    <s v="Advocates Meeting"/>
    <s v="Public Law Children"/>
    <s v="Advocacy"/>
    <s v="NJK"/>
    <s v="Y"/>
    <n v="140.99"/>
    <n v="28.2"/>
    <x v="2"/>
    <s v="VALIDATED"/>
    <n v="1"/>
    <s v="01.11.80.308.6100.0000"/>
    <n v="140.99"/>
    <s v="11"/>
    <s v="6100"/>
    <n v="2902.05"/>
    <n v="140.99"/>
    <s v="CREDITOR"/>
    <n v="0"/>
    <n v="0"/>
    <n v="0"/>
    <n v="0"/>
    <n v="140.99"/>
  </r>
  <r>
    <n v="59777370"/>
    <s v="N"/>
    <n v="21349630"/>
    <s v="3000014152570008"/>
    <s v="CIVIL"/>
    <d v="2023-06-23T00:00:00"/>
    <d v="2023-07-10T19:01:40"/>
    <m/>
    <d v="2023-07-10T00:00:00"/>
    <n v="1244"/>
    <n v="17996"/>
    <s v="59777370"/>
    <s v="59777370"/>
    <m/>
    <m/>
    <n v="22754298"/>
    <m/>
    <m/>
    <m/>
    <s v="SOLFIN"/>
    <s v="SOLFIN"/>
    <s v="CCMS"/>
    <n v="21349630"/>
    <n v="8594.889999999999"/>
    <m/>
    <s v="N"/>
    <n v="5"/>
    <d v="2023-07-10T19:01:54"/>
    <s v="Y"/>
    <s v="Toxicologist"/>
    <s v="Public Law Children"/>
    <s v="Expert Disbursement"/>
    <s v="XXX"/>
    <s v="Y"/>
    <n v="47.5"/>
    <n v="9.5"/>
    <x v="2"/>
    <s v="VALIDATED"/>
    <n v="1"/>
    <s v="01.11.80.308.6300.0000"/>
    <n v="47.5"/>
    <s v="11"/>
    <s v="6300"/>
    <n v="2902.05"/>
    <n v="47.5"/>
    <s v="CREDITOR"/>
    <n v="0"/>
    <n v="0"/>
    <n v="0"/>
    <n v="0"/>
    <n v="47.5"/>
  </r>
  <r>
    <n v="59777370"/>
    <s v="N"/>
    <n v="21349630"/>
    <s v="3000014152570008"/>
    <s v="CIVIL"/>
    <d v="2023-06-23T00:00:00"/>
    <d v="2023-07-10T19:01:40"/>
    <m/>
    <d v="2023-07-10T00:00:00"/>
    <n v="1244"/>
    <n v="17996"/>
    <s v="59777370"/>
    <s v="59777370"/>
    <m/>
    <m/>
    <n v="22754298"/>
    <m/>
    <m/>
    <m/>
    <s v="SOLFIN"/>
    <s v="SOLFIN"/>
    <s v="CCMS"/>
    <n v="21349630"/>
    <n v="8594.889999999999"/>
    <m/>
    <s v="N"/>
    <n v="7"/>
    <d v="2023-07-10T19:01:54"/>
    <s v="Y"/>
    <s v="Toxicologist"/>
    <s v="Public Law Children"/>
    <s v="Expert Disbursement"/>
    <s v="XXX"/>
    <s v="Y"/>
    <n v="47.5"/>
    <n v="9.5"/>
    <x v="2"/>
    <s v="VALIDATED"/>
    <n v="1"/>
    <s v="01.11.80.308.6300.0000"/>
    <n v="47.5"/>
    <s v="11"/>
    <s v="6300"/>
    <n v="2902.05"/>
    <n v="47.5"/>
    <s v="CREDITOR"/>
    <n v="0"/>
    <n v="0"/>
    <n v="0"/>
    <n v="0"/>
    <n v="47.5"/>
  </r>
  <r>
    <n v="59777370"/>
    <s v="N"/>
    <n v="21349630"/>
    <s v="3000014152570008"/>
    <s v="CIVIL"/>
    <d v="2023-06-23T00:00:00"/>
    <d v="2023-07-10T19:01:40"/>
    <m/>
    <d v="2023-07-10T00:00:00"/>
    <n v="1244"/>
    <n v="17996"/>
    <s v="59777370"/>
    <s v="59777370"/>
    <m/>
    <m/>
    <n v="22754298"/>
    <m/>
    <m/>
    <m/>
    <s v="SOLFIN"/>
    <s v="SOLFIN"/>
    <s v="CCMS"/>
    <n v="21349630"/>
    <n v="8594.889999999999"/>
    <m/>
    <s v="N"/>
    <n v="3"/>
    <d v="2023-07-10T19:01:54"/>
    <s v="Y"/>
    <s v="Toxicologist"/>
    <s v="Public Law Children"/>
    <s v="Expert Disbursement"/>
    <s v="XXX"/>
    <s v="Y"/>
    <n v="365"/>
    <n v="73"/>
    <x v="2"/>
    <s v="VALIDATED"/>
    <n v="1"/>
    <s v="01.11.80.308.6300.0000"/>
    <n v="365"/>
    <s v="11"/>
    <s v="6300"/>
    <n v="2902.05"/>
    <n v="365"/>
    <s v="CREDITOR"/>
    <n v="0"/>
    <n v="0"/>
    <n v="0"/>
    <n v="0"/>
    <n v="365"/>
  </r>
  <r>
    <n v="59777370"/>
    <s v="N"/>
    <n v="21349630"/>
    <s v="3000014152570008"/>
    <s v="CIVIL"/>
    <d v="2023-06-23T00:00:00"/>
    <d v="2023-07-10T19:01:40"/>
    <m/>
    <d v="2023-07-10T00:00:00"/>
    <n v="1244"/>
    <n v="17996"/>
    <s v="59777370"/>
    <s v="59777370"/>
    <m/>
    <m/>
    <n v="22754298"/>
    <m/>
    <m/>
    <m/>
    <s v="SOLFIN"/>
    <s v="SOLFIN"/>
    <s v="CCMS"/>
    <n v="21349630"/>
    <n v="8594.889999999999"/>
    <m/>
    <s v="N"/>
    <n v="19"/>
    <d v="2023-07-10T19:01:54"/>
    <s v="Y"/>
    <s v="Final Hearing Court Bundle/Advocate"/>
    <s v="Public Law Children"/>
    <s v="Advocacy"/>
    <s v="NJK"/>
    <s v="Y"/>
    <n v="239.4"/>
    <n v="47.88"/>
    <x v="2"/>
    <s v="VALIDATED"/>
    <n v="1"/>
    <s v="01.11.80.308.6100.0000"/>
    <n v="239.4"/>
    <s v="11"/>
    <s v="6100"/>
    <n v="2902.05"/>
    <n v="239.4"/>
    <s v="CREDITOR"/>
    <n v="0"/>
    <n v="0"/>
    <n v="0"/>
    <n v="0"/>
    <n v="239.4"/>
  </r>
  <r>
    <n v="59777370"/>
    <s v="N"/>
    <n v="21349630"/>
    <s v="3000014152570008"/>
    <s v="CIVIL"/>
    <d v="2023-06-23T00:00:00"/>
    <d v="2023-07-10T19:01:40"/>
    <m/>
    <d v="2023-07-10T00:00:00"/>
    <n v="1244"/>
    <n v="17996"/>
    <s v="59777370"/>
    <s v="59777370"/>
    <m/>
    <m/>
    <n v="22754298"/>
    <m/>
    <m/>
    <m/>
    <s v="SOLFIN"/>
    <s v="SOLFIN"/>
    <s v="CCMS"/>
    <n v="21349630"/>
    <n v="8594.889999999999"/>
    <m/>
    <s v="N"/>
    <n v="18"/>
    <d v="2023-07-10T19:01:54"/>
    <s v="Y"/>
    <s v="Final Hearing - 1 Day"/>
    <s v="Public Law Children"/>
    <s v="Advocacy"/>
    <s v="NJK"/>
    <s v="Y"/>
    <n v="556.88"/>
    <n v="111.38"/>
    <x v="2"/>
    <s v="VALIDATED"/>
    <n v="1"/>
    <s v="01.11.80.308.6100.0000"/>
    <n v="556.88"/>
    <s v="11"/>
    <s v="6100"/>
    <n v="2902.05"/>
    <n v="556.88"/>
    <s v="CREDITOR"/>
    <n v="0"/>
    <n v="0"/>
    <n v="0"/>
    <n v="0"/>
    <n v="556.88"/>
  </r>
  <r>
    <n v="59777370"/>
    <s v="N"/>
    <n v="21349630"/>
    <s v="3000014152570008"/>
    <s v="CIVIL"/>
    <d v="2023-06-23T00:00:00"/>
    <d v="2023-07-10T19:01:40"/>
    <m/>
    <d v="2023-07-10T00:00:00"/>
    <n v="1244"/>
    <n v="17996"/>
    <s v="59777370"/>
    <s v="59777370"/>
    <m/>
    <m/>
    <n v="22754298"/>
    <m/>
    <m/>
    <m/>
    <s v="SOLFIN"/>
    <s v="SOLFIN"/>
    <s v="CCMS"/>
    <n v="21349630"/>
    <n v="8594.889999999999"/>
    <m/>
    <s v="N"/>
    <n v="8"/>
    <d v="2023-07-10T19:01:54"/>
    <s v="Y"/>
    <s v="Hearing Unit 2.31 - 5.00 Hours"/>
    <s v="Public Law Children"/>
    <s v="Advocacy"/>
    <s v="NJK"/>
    <s v="Y"/>
    <n v="476.92"/>
    <n v="95.38"/>
    <x v="2"/>
    <s v="VALIDATED"/>
    <n v="1"/>
    <s v="01.11.80.308.6100.0000"/>
    <n v="476.92"/>
    <s v="11"/>
    <s v="6100"/>
    <n v="2902.05"/>
    <n v="476.92"/>
    <s v="CREDITOR"/>
    <n v="0"/>
    <n v="0"/>
    <n v="0"/>
    <n v="0"/>
    <n v="476.92"/>
  </r>
  <r>
    <n v="59777370"/>
    <s v="N"/>
    <n v="21356612"/>
    <s v="3000014152570002RC"/>
    <s v="CIVIL"/>
    <d v="2023-06-23T00:00:00"/>
    <d v="2023-07-10T19:47:44"/>
    <m/>
    <d v="2023-07-10T00:00:00"/>
    <n v="1244"/>
    <n v="17996"/>
    <s v="59777370"/>
    <s v="59777370"/>
    <m/>
    <m/>
    <m/>
    <m/>
    <m/>
    <m/>
    <s v="SOLRECOUP"/>
    <s v="SOLRECOUP"/>
    <s v="POARECOUP"/>
    <n v="21356612"/>
    <n v="-114"/>
    <m/>
    <s v="Y"/>
    <n v="1"/>
    <d v="2023-07-10T19:47:45"/>
    <s v="N"/>
    <m/>
    <m/>
    <s v="Non Expert Disbursement"/>
    <m/>
    <s v="N"/>
    <n v="-95"/>
    <n v="0"/>
    <x v="2"/>
    <s v="VALIDATED"/>
    <n v="1"/>
    <s v="01.11.80.308.2013.0000"/>
    <n v="-95"/>
    <s v="11"/>
    <s v="2013"/>
    <n v="2902.05"/>
    <n v="-95"/>
    <s v="CREDITOR"/>
    <n v="0"/>
    <n v="0"/>
    <n v="-95"/>
    <n v="0"/>
    <n v="0"/>
  </r>
  <r>
    <n v="59777370"/>
    <s v="N"/>
    <n v="21356612"/>
    <s v="3000014152570002RC"/>
    <s v="CIVIL"/>
    <d v="2023-06-23T00:00:00"/>
    <d v="2023-07-10T19:47:44"/>
    <m/>
    <d v="2023-07-10T00:00:00"/>
    <n v="1244"/>
    <n v="17996"/>
    <s v="59777370"/>
    <s v="59777370"/>
    <m/>
    <m/>
    <m/>
    <m/>
    <m/>
    <m/>
    <s v="SOLRECOUP"/>
    <s v="SOLRECOUP"/>
    <s v="POARECOUP"/>
    <n v="21356612"/>
    <n v="-114"/>
    <m/>
    <s v="Y"/>
    <n v="2"/>
    <d v="2023-07-10T19:47:45"/>
    <s v="N"/>
    <m/>
    <m/>
    <s v="Non Expert Disbursement"/>
    <m/>
    <s v="N"/>
    <n v="0"/>
    <n v="-19"/>
    <x v="2"/>
    <s v="VALIDATED"/>
    <n v="1"/>
    <s v="01.11.80.308.2013.0000"/>
    <n v="-19"/>
    <s v="11"/>
    <s v="2013"/>
    <n v="2902.05"/>
    <n v="-19"/>
    <s v="CREDITOR"/>
    <n v="0"/>
    <n v="0"/>
    <n v="-19"/>
    <n v="0"/>
    <n v="0"/>
  </r>
  <r>
    <n v="59777370"/>
    <s v="N"/>
    <n v="21356613"/>
    <s v="3000014152570001RC"/>
    <s v="CIVIL"/>
    <d v="2023-06-23T00:00:00"/>
    <d v="2023-07-10T19:47:44"/>
    <m/>
    <d v="2023-07-10T00:00:00"/>
    <n v="1244"/>
    <n v="17996"/>
    <s v="59777370"/>
    <s v="59777370"/>
    <m/>
    <m/>
    <m/>
    <m/>
    <m/>
    <m/>
    <s v="SOLRECOUP"/>
    <s v="SOLRECOUP"/>
    <s v="POARECOUP"/>
    <n v="21356613"/>
    <n v="-408"/>
    <m/>
    <s v="Y"/>
    <n v="1"/>
    <d v="2023-07-10T19:47:45"/>
    <s v="N"/>
    <m/>
    <m/>
    <s v="Non Expert Disbursement"/>
    <m/>
    <s v="N"/>
    <n v="-340"/>
    <n v="0"/>
    <x v="2"/>
    <s v="VALIDATED"/>
    <n v="1"/>
    <s v="01.11.80.308.2013.0000"/>
    <n v="-340"/>
    <s v="11"/>
    <s v="2013"/>
    <n v="2902.05"/>
    <n v="-340"/>
    <s v="CREDITOR"/>
    <n v="0"/>
    <n v="0"/>
    <n v="-340"/>
    <n v="0"/>
    <n v="0"/>
  </r>
  <r>
    <n v="59777370"/>
    <s v="N"/>
    <n v="21356613"/>
    <s v="3000014152570001RC"/>
    <s v="CIVIL"/>
    <d v="2023-06-23T00:00:00"/>
    <d v="2023-07-10T19:47:44"/>
    <m/>
    <d v="2023-07-10T00:00:00"/>
    <n v="1244"/>
    <n v="17996"/>
    <s v="59777370"/>
    <s v="59777370"/>
    <m/>
    <m/>
    <m/>
    <m/>
    <m/>
    <m/>
    <s v="SOLRECOUP"/>
    <s v="SOLRECOUP"/>
    <s v="POARECOUP"/>
    <n v="21356613"/>
    <n v="-408"/>
    <m/>
    <s v="Y"/>
    <n v="2"/>
    <d v="2023-07-10T19:47:45"/>
    <s v="N"/>
    <m/>
    <m/>
    <s v="Non Expert Disbursement"/>
    <m/>
    <s v="N"/>
    <n v="0"/>
    <n v="-68"/>
    <x v="2"/>
    <s v="VALIDATED"/>
    <n v="1"/>
    <s v="01.11.80.308.2013.0000"/>
    <n v="-68"/>
    <s v="11"/>
    <s v="2013"/>
    <n v="2902.05"/>
    <n v="-68"/>
    <s v="CREDITOR"/>
    <n v="0"/>
    <n v="0"/>
    <n v="-68"/>
    <n v="0"/>
    <n v="0"/>
  </r>
  <r>
    <n v="59777370"/>
    <s v="N"/>
    <n v="21356614"/>
    <s v="3000014152570004RC"/>
    <s v="CIVIL"/>
    <d v="2023-06-23T00:00:00"/>
    <d v="2023-07-10T19:47:44"/>
    <m/>
    <d v="2023-07-10T00:00:00"/>
    <n v="1244"/>
    <n v="17996"/>
    <s v="59777370"/>
    <s v="59777370"/>
    <m/>
    <m/>
    <m/>
    <m/>
    <m/>
    <m/>
    <s v="SOLRECOUP"/>
    <s v="SOLRECOUP"/>
    <s v="POARECOUP"/>
    <n v="21356614"/>
    <n v="-291"/>
    <m/>
    <s v="Y"/>
    <n v="1"/>
    <d v="2023-07-10T19:47:45"/>
    <s v="N"/>
    <m/>
    <m/>
    <s v="Non Expert Disbursement"/>
    <m/>
    <s v="N"/>
    <n v="-242.5"/>
    <n v="0"/>
    <x v="2"/>
    <s v="VALIDATED"/>
    <n v="1"/>
    <s v="01.11.80.308.2013.0000"/>
    <n v="-242.5"/>
    <s v="11"/>
    <s v="2013"/>
    <n v="2902.05"/>
    <n v="-242.5"/>
    <s v="CREDITOR"/>
    <n v="0"/>
    <n v="0"/>
    <n v="-242.5"/>
    <n v="0"/>
    <n v="0"/>
  </r>
  <r>
    <n v="59777370"/>
    <s v="N"/>
    <n v="21356614"/>
    <s v="3000014152570004RC"/>
    <s v="CIVIL"/>
    <d v="2023-06-23T00:00:00"/>
    <d v="2023-07-10T19:47:44"/>
    <m/>
    <d v="2023-07-10T00:00:00"/>
    <n v="1244"/>
    <n v="17996"/>
    <s v="59777370"/>
    <s v="59777370"/>
    <m/>
    <m/>
    <m/>
    <m/>
    <m/>
    <m/>
    <s v="SOLRECOUP"/>
    <s v="SOLRECOUP"/>
    <s v="POARECOUP"/>
    <n v="21356614"/>
    <n v="-291"/>
    <m/>
    <s v="Y"/>
    <n v="2"/>
    <d v="2023-07-10T19:47:45"/>
    <s v="N"/>
    <m/>
    <m/>
    <s v="Non Expert Disbursement"/>
    <m/>
    <s v="N"/>
    <n v="0"/>
    <n v="-48.5"/>
    <x v="2"/>
    <s v="VALIDATED"/>
    <n v="1"/>
    <s v="01.11.80.308.2013.0000"/>
    <n v="-48.5"/>
    <s v="11"/>
    <s v="2013"/>
    <n v="2902.05"/>
    <n v="-48.5"/>
    <s v="CREDITOR"/>
    <n v="0"/>
    <n v="0"/>
    <n v="-48.5"/>
    <n v="0"/>
    <n v="0"/>
  </r>
  <r>
    <n v="59777370"/>
    <s v="N"/>
    <n v="21356615"/>
    <s v="3000014152570003RC"/>
    <s v="CIVIL"/>
    <d v="2023-06-23T00:00:00"/>
    <d v="2023-07-10T19:47:44"/>
    <m/>
    <d v="2023-07-10T00:00:00"/>
    <n v="1244"/>
    <n v="17996"/>
    <s v="59777370"/>
    <s v="59777370"/>
    <m/>
    <m/>
    <m/>
    <m/>
    <m/>
    <m/>
    <s v="SOLRECOUP"/>
    <s v="SOLRECOUP"/>
    <s v="POARECOUP"/>
    <n v="21356615"/>
    <n v="-57"/>
    <m/>
    <s v="Y"/>
    <n v="1"/>
    <d v="2023-07-10T19:47:45"/>
    <s v="N"/>
    <m/>
    <m/>
    <s v="Non Expert Disbursement"/>
    <m/>
    <s v="N"/>
    <n v="-47.5"/>
    <n v="0"/>
    <x v="2"/>
    <s v="VALIDATED"/>
    <n v="1"/>
    <s v="01.11.80.308.2013.0000"/>
    <n v="-47.5"/>
    <s v="11"/>
    <s v="2013"/>
    <n v="2902.05"/>
    <n v="-47.5"/>
    <s v="CREDITOR"/>
    <n v="0"/>
    <n v="0"/>
    <n v="-47.5"/>
    <n v="0"/>
    <n v="0"/>
  </r>
  <r>
    <n v="59777370"/>
    <s v="N"/>
    <n v="21356615"/>
    <s v="3000014152570003RC"/>
    <s v="CIVIL"/>
    <d v="2023-06-23T00:00:00"/>
    <d v="2023-07-10T19:47:44"/>
    <m/>
    <d v="2023-07-10T00:00:00"/>
    <n v="1244"/>
    <n v="17996"/>
    <s v="59777370"/>
    <s v="59777370"/>
    <m/>
    <m/>
    <m/>
    <m/>
    <m/>
    <m/>
    <s v="SOLRECOUP"/>
    <s v="SOLRECOUP"/>
    <s v="POARECOUP"/>
    <n v="21356615"/>
    <n v="-57"/>
    <m/>
    <s v="Y"/>
    <n v="2"/>
    <d v="2023-07-10T19:47:45"/>
    <s v="N"/>
    <m/>
    <m/>
    <s v="Non Expert Disbursement"/>
    <m/>
    <s v="N"/>
    <n v="0"/>
    <n v="-9.5"/>
    <x v="2"/>
    <s v="VALIDATED"/>
    <n v="1"/>
    <s v="01.11.80.308.2013.0000"/>
    <n v="-9.5"/>
    <s v="11"/>
    <s v="2013"/>
    <n v="2902.05"/>
    <n v="-9.5"/>
    <s v="CREDITOR"/>
    <n v="0"/>
    <n v="0"/>
    <n v="-9.5"/>
    <n v="0"/>
    <n v="0"/>
  </r>
  <r>
    <n v="59777370"/>
    <s v="N"/>
    <n v="21356616"/>
    <s v="3000014152570007RC"/>
    <s v="CIVIL"/>
    <d v="2023-06-23T00:00:00"/>
    <d v="2023-07-10T19:47:44"/>
    <m/>
    <d v="2023-07-10T00:00:00"/>
    <n v="1244"/>
    <n v="17996"/>
    <s v="59777370"/>
    <s v="59777370"/>
    <m/>
    <m/>
    <m/>
    <m/>
    <m/>
    <m/>
    <s v="SOLRECOUP"/>
    <s v="SOLRECOUP"/>
    <s v="POARECOUP"/>
    <n v="21356616"/>
    <n v="-2895.36"/>
    <m/>
    <s v="Y"/>
    <n v="1"/>
    <d v="2023-07-10T19:47:45"/>
    <s v="N"/>
    <m/>
    <m/>
    <s v="Profit Cost"/>
    <m/>
    <s v="N"/>
    <n v="-2412.8"/>
    <n v="0"/>
    <x v="2"/>
    <s v="VALIDATED"/>
    <n v="1"/>
    <s v="01.11.80.308.2013.0000"/>
    <n v="-2412.8"/>
    <s v="11"/>
    <s v="2013"/>
    <n v="2902.05"/>
    <n v="-2412.8"/>
    <s v="CREDITOR"/>
    <n v="0"/>
    <n v="0"/>
    <n v="-2412.8"/>
    <n v="-603.2"/>
    <n v="0"/>
  </r>
  <r>
    <n v="59777370"/>
    <s v="N"/>
    <n v="21356616"/>
    <s v="3000014152570007RC"/>
    <s v="CIVIL"/>
    <d v="2023-06-23T00:00:00"/>
    <d v="2023-07-10T19:47:44"/>
    <m/>
    <d v="2023-07-10T00:00:00"/>
    <n v="1244"/>
    <n v="17996"/>
    <s v="59777370"/>
    <s v="59777370"/>
    <m/>
    <m/>
    <m/>
    <m/>
    <m/>
    <m/>
    <s v="SOLRECOUP"/>
    <s v="SOLRECOUP"/>
    <s v="POARECOUP"/>
    <n v="21356616"/>
    <n v="-2895.36"/>
    <m/>
    <s v="Y"/>
    <n v="2"/>
    <d v="2023-07-10T19:47:45"/>
    <s v="N"/>
    <m/>
    <m/>
    <s v="Profit Cost"/>
    <m/>
    <s v="N"/>
    <n v="0"/>
    <n v="-482.56"/>
    <x v="2"/>
    <s v="VALIDATED"/>
    <n v="1"/>
    <s v="01.11.80.308.2013.0000"/>
    <n v="-482.56"/>
    <s v="11"/>
    <s v="2013"/>
    <n v="2902.05"/>
    <n v="-482.56"/>
    <s v="CREDITOR"/>
    <n v="0"/>
    <n v="0"/>
    <n v="-482.56"/>
    <n v="-120.64"/>
    <n v="0"/>
  </r>
  <r>
    <n v="59777370"/>
    <s v="N"/>
    <n v="21356610"/>
    <s v="3000014152570006RC"/>
    <s v="CIVIL"/>
    <d v="2023-06-23T00:00:00"/>
    <d v="2023-07-10T19:47:44"/>
    <m/>
    <d v="2023-07-10T00:00:00"/>
    <n v="1244"/>
    <n v="17996"/>
    <s v="59777370"/>
    <s v="59777370"/>
    <m/>
    <m/>
    <m/>
    <m/>
    <m/>
    <m/>
    <s v="SOLRECOUP"/>
    <s v="SOLRECOUP"/>
    <s v="POARECOUP"/>
    <n v="21356610"/>
    <n v="-57"/>
    <m/>
    <s v="Y"/>
    <n v="1"/>
    <d v="2023-07-10T19:47:45"/>
    <s v="N"/>
    <m/>
    <m/>
    <s v="Non Expert Disbursement"/>
    <m/>
    <s v="N"/>
    <n v="-47.5"/>
    <n v="0"/>
    <x v="2"/>
    <s v="VALIDATED"/>
    <n v="1"/>
    <s v="01.11.80.308.2013.0000"/>
    <n v="-47.5"/>
    <s v="11"/>
    <s v="2013"/>
    <n v="2902.05"/>
    <n v="-47.5"/>
    <s v="CREDITOR"/>
    <n v="0"/>
    <n v="0"/>
    <n v="-47.5"/>
    <n v="0"/>
    <n v="0"/>
  </r>
  <r>
    <n v="59777370"/>
    <s v="N"/>
    <n v="21356610"/>
    <s v="3000014152570006RC"/>
    <s v="CIVIL"/>
    <d v="2023-06-23T00:00:00"/>
    <d v="2023-07-10T19:47:44"/>
    <m/>
    <d v="2023-07-10T00:00:00"/>
    <n v="1244"/>
    <n v="17996"/>
    <s v="59777370"/>
    <s v="59777370"/>
    <m/>
    <m/>
    <m/>
    <m/>
    <m/>
    <m/>
    <s v="SOLRECOUP"/>
    <s v="SOLRECOUP"/>
    <s v="POARECOUP"/>
    <n v="21356610"/>
    <n v="-57"/>
    <m/>
    <s v="Y"/>
    <n v="2"/>
    <d v="2023-07-10T19:47:45"/>
    <s v="N"/>
    <m/>
    <m/>
    <s v="Non Expert Disbursement"/>
    <m/>
    <s v="N"/>
    <n v="0"/>
    <n v="-9.5"/>
    <x v="2"/>
    <s v="VALIDATED"/>
    <n v="1"/>
    <s v="01.11.80.308.2013.0000"/>
    <n v="-9.5"/>
    <s v="11"/>
    <s v="2013"/>
    <n v="2902.05"/>
    <n v="-9.5"/>
    <s v="CREDITOR"/>
    <n v="0"/>
    <n v="0"/>
    <n v="-9.5"/>
    <n v="0"/>
    <n v="0"/>
  </r>
  <r>
    <n v="59777370"/>
    <s v="N"/>
    <n v="21356611"/>
    <s v="3000014152570005RC"/>
    <s v="CIVIL"/>
    <d v="2023-06-23T00:00:00"/>
    <d v="2023-07-10T19:47:44"/>
    <m/>
    <d v="2023-07-10T00:00:00"/>
    <n v="1244"/>
    <n v="17996"/>
    <s v="59777370"/>
    <s v="59777370"/>
    <m/>
    <m/>
    <m/>
    <m/>
    <m/>
    <m/>
    <s v="SOLRECOUP"/>
    <s v="SOLRECOUP"/>
    <s v="POARECOUP"/>
    <n v="21356611"/>
    <n v="-438"/>
    <m/>
    <s v="Y"/>
    <n v="1"/>
    <d v="2023-07-10T19:47:45"/>
    <s v="N"/>
    <m/>
    <m/>
    <s v="Non Expert Disbursement"/>
    <m/>
    <s v="N"/>
    <n v="-365"/>
    <n v="0"/>
    <x v="2"/>
    <s v="VALIDATED"/>
    <n v="1"/>
    <s v="01.11.80.308.2013.0000"/>
    <n v="-365"/>
    <s v="11"/>
    <s v="2013"/>
    <n v="2902.05"/>
    <n v="-365"/>
    <s v="CREDITOR"/>
    <n v="0"/>
    <n v="0"/>
    <n v="-365"/>
    <n v="0"/>
    <n v="0"/>
  </r>
  <r>
    <n v="59777370"/>
    <s v="N"/>
    <n v="21356611"/>
    <s v="3000014152570005RC"/>
    <s v="CIVIL"/>
    <d v="2023-06-23T00:00:00"/>
    <d v="2023-07-10T19:47:44"/>
    <m/>
    <d v="2023-07-10T00:00:00"/>
    <n v="1244"/>
    <n v="17996"/>
    <s v="59777370"/>
    <s v="59777370"/>
    <m/>
    <m/>
    <m/>
    <m/>
    <m/>
    <m/>
    <s v="SOLRECOUP"/>
    <s v="SOLRECOUP"/>
    <s v="POARECOUP"/>
    <n v="21356611"/>
    <n v="-438"/>
    <m/>
    <s v="Y"/>
    <n v="2"/>
    <d v="2023-07-10T19:47:45"/>
    <s v="N"/>
    <m/>
    <m/>
    <s v="Non Expert Disbursement"/>
    <m/>
    <s v="N"/>
    <n v="0"/>
    <n v="-73"/>
    <x v="2"/>
    <s v="VALIDATED"/>
    <n v="1"/>
    <s v="01.11.80.308.2013.0000"/>
    <n v="-73"/>
    <s v="11"/>
    <s v="2013"/>
    <n v="2902.05"/>
    <n v="-73"/>
    <s v="CREDITOR"/>
    <n v="0"/>
    <n v="0"/>
    <n v="-73"/>
    <n v="0"/>
    <n v="0"/>
  </r>
  <r>
    <n v="60114969"/>
    <s v="N"/>
    <n v="21328090"/>
    <s v="3000014444870008"/>
    <s v="CIVIL"/>
    <d v="2023-06-06T00:00:00"/>
    <d v="2023-07-04T19:00:44"/>
    <m/>
    <d v="2023-07-04T00:00:00"/>
    <n v="1248"/>
    <n v="17996"/>
    <s v="60114969"/>
    <s v="60114969"/>
    <m/>
    <m/>
    <n v="22623556"/>
    <m/>
    <m/>
    <m/>
    <s v="SOLFIN"/>
    <s v="SOLFIN"/>
    <s v="CCMS"/>
    <n v="21328090"/>
    <n v="16296.74"/>
    <m/>
    <s v="N"/>
    <n v="141"/>
    <d v="2023-07-04T19:01:03"/>
    <s v="Y"/>
    <s v="Preparation - other"/>
    <s v="Care Remuneration Hourly Rates"/>
    <s v="Profit Cost"/>
    <s v="HO"/>
    <s v="Y"/>
    <n v="16.57"/>
    <n v="3.31"/>
    <x v="1"/>
    <s v="VALIDATED"/>
    <n v="1"/>
    <s v="01.11.80.308.6100.0000"/>
    <n v="16.57"/>
    <s v="11"/>
    <s v="6100"/>
    <n v="9085.299999999999"/>
    <n v="16.57"/>
    <s v="CREDITOR"/>
    <n v="0"/>
    <n v="0"/>
    <n v="0"/>
    <n v="0"/>
    <n v="16.57"/>
  </r>
  <r>
    <n v="60114969"/>
    <s v="N"/>
    <n v="21328090"/>
    <s v="3000014444870008"/>
    <s v="CIVIL"/>
    <d v="2023-06-06T00:00:00"/>
    <d v="2023-07-04T19:00:44"/>
    <m/>
    <d v="2023-07-04T00:00:00"/>
    <n v="1248"/>
    <n v="17996"/>
    <s v="60114969"/>
    <s v="60114969"/>
    <m/>
    <m/>
    <n v="22623556"/>
    <m/>
    <m/>
    <m/>
    <s v="SOLFIN"/>
    <s v="SOLFIN"/>
    <s v="CCMS"/>
    <n v="21328090"/>
    <n v="16296.74"/>
    <m/>
    <s v="N"/>
    <n v="64"/>
    <d v="2023-07-04T19:01:03"/>
    <s v="Y"/>
    <s v="Preparation - drafting consent orde"/>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32"/>
    <d v="2023-07-04T19:01:03"/>
    <s v="Y"/>
    <s v="Preparation - other"/>
    <s v="Care Remuneration Hourly Rates"/>
    <s v="Profit Cost"/>
    <s v="HO"/>
    <s v="Y"/>
    <n v="22.1"/>
    <n v="4.42"/>
    <x v="1"/>
    <s v="VALIDATED"/>
    <n v="1"/>
    <s v="01.11.80.308.6100.0000"/>
    <n v="22.1"/>
    <s v="11"/>
    <s v="6100"/>
    <n v="9085.299999999999"/>
    <n v="22.1"/>
    <s v="CREDITOR"/>
    <n v="0"/>
    <n v="0"/>
    <n v="0"/>
    <n v="0"/>
    <n v="22.1"/>
  </r>
  <r>
    <n v="60114969"/>
    <s v="N"/>
    <n v="21328090"/>
    <s v="3000014444870008"/>
    <s v="CIVIL"/>
    <d v="2023-06-06T00:00:00"/>
    <d v="2023-07-04T19:00:44"/>
    <m/>
    <d v="2023-07-04T00:00:00"/>
    <n v="1248"/>
    <n v="17996"/>
    <s v="60114969"/>
    <s v="60114969"/>
    <m/>
    <m/>
    <n v="22623556"/>
    <m/>
    <m/>
    <m/>
    <s v="SOLFIN"/>
    <s v="SOLFIN"/>
    <s v="CCMS"/>
    <n v="21328090"/>
    <n v="16296.74"/>
    <m/>
    <s v="N"/>
    <n v="133"/>
    <d v="2023-07-04T19:01:03"/>
    <s v="Y"/>
    <s v="Attendance upon client"/>
    <s v="Care Remuneration Hourly Rates"/>
    <s v="Profit Cost"/>
    <s v="HO"/>
    <s v="Y"/>
    <n v="43.08"/>
    <n v="8.619999999999999"/>
    <x v="1"/>
    <s v="VALIDATED"/>
    <n v="1"/>
    <s v="01.11.80.308.6100.0000"/>
    <n v="43.08"/>
    <s v="11"/>
    <s v="6100"/>
    <n v="9085.299999999999"/>
    <n v="43.08"/>
    <s v="CREDITOR"/>
    <n v="0"/>
    <n v="0"/>
    <n v="0"/>
    <n v="0"/>
    <n v="43.08"/>
  </r>
  <r>
    <n v="60114969"/>
    <s v="N"/>
    <n v="21328090"/>
    <s v="3000014444870008"/>
    <s v="CIVIL"/>
    <d v="2023-06-06T00:00:00"/>
    <d v="2023-07-04T19:00:44"/>
    <m/>
    <d v="2023-07-04T00:00:00"/>
    <n v="1248"/>
    <n v="17996"/>
    <s v="60114969"/>
    <s v="60114969"/>
    <m/>
    <m/>
    <n v="22623556"/>
    <m/>
    <m/>
    <m/>
    <s v="SOLFIN"/>
    <s v="SOLFIN"/>
    <s v="CCMS"/>
    <n v="21328090"/>
    <n v="16296.74"/>
    <m/>
    <s v="N"/>
    <n v="26"/>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72"/>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9"/>
    <d v="2023-07-04T19:01:03"/>
    <s v="Y"/>
    <s v="Attendance upon client"/>
    <s v="Care Remuneration Hourly Rates"/>
    <s v="Profit Cost"/>
    <s v="HO"/>
    <s v="Y"/>
    <n v="28.73"/>
    <n v="5.75"/>
    <x v="1"/>
    <s v="VALIDATED"/>
    <n v="1"/>
    <s v="01.11.80.308.6100.0000"/>
    <n v="28.73"/>
    <s v="11"/>
    <s v="6100"/>
    <n v="9085.299999999999"/>
    <n v="28.73"/>
    <s v="CREDITOR"/>
    <n v="0"/>
    <n v="0"/>
    <n v="0"/>
    <n v="0"/>
    <n v="28.73"/>
  </r>
  <r>
    <n v="60114969"/>
    <s v="N"/>
    <n v="21328090"/>
    <s v="3000014444870008"/>
    <s v="CIVIL"/>
    <d v="2023-06-06T00:00:00"/>
    <d v="2023-07-04T19:00:44"/>
    <m/>
    <d v="2023-07-04T00:00:00"/>
    <n v="1248"/>
    <n v="17996"/>
    <s v="60114969"/>
    <s v="60114969"/>
    <m/>
    <m/>
    <n v="22623556"/>
    <m/>
    <m/>
    <m/>
    <s v="SOLFIN"/>
    <s v="SOLFIN"/>
    <s v="CCMS"/>
    <n v="21328090"/>
    <n v="16296.74"/>
    <m/>
    <s v="N"/>
    <n v="7"/>
    <d v="2023-07-04T19:01:03"/>
    <s v="Y"/>
    <s v="Preparation - drafting application"/>
    <s v="Care Remuneration Hourly Rates"/>
    <s v="Profit Cost"/>
    <s v="HO"/>
    <s v="Y"/>
    <n v="22.1"/>
    <n v="4.42"/>
    <x v="1"/>
    <s v="VALIDATED"/>
    <n v="1"/>
    <s v="01.11.80.308.6100.0000"/>
    <n v="22.1"/>
    <s v="11"/>
    <s v="6100"/>
    <n v="9085.299999999999"/>
    <n v="22.1"/>
    <s v="CREDITOR"/>
    <n v="0"/>
    <n v="0"/>
    <n v="0"/>
    <n v="0"/>
    <n v="22.1"/>
  </r>
  <r>
    <n v="60114969"/>
    <s v="N"/>
    <n v="21328090"/>
    <s v="3000014444870008"/>
    <s v="CIVIL"/>
    <d v="2023-06-06T00:00:00"/>
    <d v="2023-07-04T19:00:44"/>
    <m/>
    <d v="2023-07-04T00:00:00"/>
    <n v="1248"/>
    <n v="17996"/>
    <s v="60114969"/>
    <s v="60114969"/>
    <m/>
    <m/>
    <n v="22623556"/>
    <m/>
    <m/>
    <m/>
    <s v="SOLFIN"/>
    <s v="SOLFIN"/>
    <s v="CCMS"/>
    <n v="21328090"/>
    <n v="16296.74"/>
    <m/>
    <s v="N"/>
    <n v="45"/>
    <d v="2023-07-04T19:01:03"/>
    <s v="Y"/>
    <s v="Preparation - other"/>
    <s v="Care Remuneration Hourly Rates"/>
    <s v="Profit Cost"/>
    <s v="HO"/>
    <s v="Y"/>
    <n v="107.72"/>
    <n v="21.54"/>
    <x v="1"/>
    <s v="VALIDATED"/>
    <n v="1"/>
    <s v="01.11.80.308.6100.0000"/>
    <n v="107.72"/>
    <s v="11"/>
    <s v="6100"/>
    <n v="9085.299999999999"/>
    <n v="107.72"/>
    <s v="CREDITOR"/>
    <n v="0"/>
    <n v="0"/>
    <n v="0"/>
    <n v="0"/>
    <n v="107.72"/>
  </r>
  <r>
    <n v="60114969"/>
    <s v="N"/>
    <n v="21328090"/>
    <s v="3000014444870008"/>
    <s v="CIVIL"/>
    <d v="2023-06-06T00:00:00"/>
    <d v="2023-07-04T19:00:44"/>
    <m/>
    <d v="2023-07-04T00:00:00"/>
    <n v="1248"/>
    <n v="17996"/>
    <s v="60114969"/>
    <s v="60114969"/>
    <m/>
    <m/>
    <n v="22623556"/>
    <m/>
    <m/>
    <m/>
    <s v="SOLFIN"/>
    <s v="SOLFIN"/>
    <s v="CCMS"/>
    <n v="21328090"/>
    <n v="16296.74"/>
    <m/>
    <s v="N"/>
    <n v="82"/>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63"/>
    <d v="2023-07-04T19:01:03"/>
    <s v="Y"/>
    <s v="Preparation - drafting application"/>
    <s v="Care Remuneration Hourly Rates"/>
    <s v="Profit Cost"/>
    <s v="HO"/>
    <s v="Y"/>
    <n v="77.34"/>
    <n v="15.47"/>
    <x v="1"/>
    <s v="VALIDATED"/>
    <n v="1"/>
    <s v="01.11.80.308.6100.0000"/>
    <n v="77.34"/>
    <s v="11"/>
    <s v="6100"/>
    <n v="9085.299999999999"/>
    <n v="77.34"/>
    <s v="CREDITOR"/>
    <n v="0"/>
    <n v="0"/>
    <n v="0"/>
    <n v="0"/>
    <n v="77.34"/>
  </r>
  <r>
    <n v="60114969"/>
    <s v="N"/>
    <n v="21328090"/>
    <s v="3000014444870008"/>
    <s v="CIVIL"/>
    <d v="2023-06-06T00:00:00"/>
    <d v="2023-07-04T19:00:44"/>
    <m/>
    <d v="2023-07-04T00:00:00"/>
    <n v="1248"/>
    <n v="17996"/>
    <s v="60114969"/>
    <s v="60114969"/>
    <m/>
    <m/>
    <n v="22623556"/>
    <m/>
    <m/>
    <m/>
    <s v="SOLFIN"/>
    <s v="SOLFIN"/>
    <s v="CCMS"/>
    <n v="21328090"/>
    <n v="16296.74"/>
    <m/>
    <s v="N"/>
    <n v="136"/>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0"/>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88"/>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4"/>
    <d v="2023-07-04T19:01:03"/>
    <s v="Y"/>
    <s v="Preparation - other"/>
    <s v="Care Remuneration Hourly Rates"/>
    <s v="Profit Cost"/>
    <s v="HO"/>
    <s v="Y"/>
    <n v="71.81"/>
    <n v="14.36"/>
    <x v="1"/>
    <s v="VALIDATED"/>
    <n v="1"/>
    <s v="01.11.80.308.6100.0000"/>
    <n v="71.81"/>
    <s v="11"/>
    <s v="6100"/>
    <n v="9085.299999999999"/>
    <n v="71.81"/>
    <s v="CREDITOR"/>
    <n v="0"/>
    <n v="0"/>
    <n v="0"/>
    <n v="0"/>
    <n v="71.81"/>
  </r>
  <r>
    <n v="59624282"/>
    <s v="N"/>
    <n v="21360743"/>
    <s v="3000014022530005"/>
    <s v="CIVIL"/>
    <d v="2023-06-28T00:00:00"/>
    <d v="2023-07-11T19:00:25"/>
    <m/>
    <d v="2023-07-11T00:00:00"/>
    <n v="1248"/>
    <n v="17996"/>
    <s v="59624282"/>
    <s v="59624282"/>
    <m/>
    <m/>
    <n v="22775358"/>
    <m/>
    <m/>
    <m/>
    <s v="SOLFIN"/>
    <s v="SOLFIN"/>
    <s v="CCMS"/>
    <n v="21360743"/>
    <n v="4452.99"/>
    <m/>
    <s v="N"/>
    <n v="4"/>
    <d v="2023-07-11T19:00:32"/>
    <s v="Y"/>
    <s v="Hearing Unit 2.31 - 5.00 Hours"/>
    <s v="Public Law Children"/>
    <s v="Advocacy"/>
    <s v="SG"/>
    <s v="Y"/>
    <n v="476.92"/>
    <n v="95.38"/>
    <x v="7"/>
    <s v="VALIDATED"/>
    <n v="1"/>
    <s v="01.11.80.308.6100.0000"/>
    <n v="476.92"/>
    <s v="11"/>
    <s v="6100"/>
    <n v="9085.299999999999"/>
    <n v="476.92"/>
    <s v="CREDITOR"/>
    <n v="0"/>
    <n v="0"/>
    <n v="0"/>
    <n v="0"/>
    <n v="476.92"/>
  </r>
  <r>
    <n v="60114969"/>
    <s v="N"/>
    <n v="21328090"/>
    <s v="3000014444870008"/>
    <s v="CIVIL"/>
    <d v="2023-06-06T00:00:00"/>
    <d v="2023-07-04T19:00:44"/>
    <m/>
    <d v="2023-07-04T00:00:00"/>
    <n v="1248"/>
    <n v="17996"/>
    <s v="60114969"/>
    <s v="60114969"/>
    <m/>
    <m/>
    <n v="22623556"/>
    <m/>
    <m/>
    <m/>
    <s v="SOLFIN"/>
    <s v="SOLFIN"/>
    <s v="CCMS"/>
    <n v="21328090"/>
    <n v="16296.74"/>
    <m/>
    <s v="N"/>
    <n v="98"/>
    <d v="2023-07-04T19:01:03"/>
    <s v="Y"/>
    <s v="Preparation - other"/>
    <s v="Care Remuneration Hourly Rates"/>
    <s v="Profit Cost"/>
    <s v="HO"/>
    <s v="Y"/>
    <n v="35.91"/>
    <n v="7.18"/>
    <x v="1"/>
    <s v="VALIDATED"/>
    <n v="1"/>
    <s v="01.11.80.308.6100.0000"/>
    <n v="35.91"/>
    <s v="11"/>
    <s v="6100"/>
    <n v="9085.299999999999"/>
    <n v="35.91"/>
    <s v="CREDITOR"/>
    <n v="0"/>
    <n v="0"/>
    <n v="0"/>
    <n v="0"/>
    <n v="35.91"/>
  </r>
  <r>
    <n v="60114969"/>
    <s v="N"/>
    <n v="21328090"/>
    <s v="3000014444870008"/>
    <s v="CIVIL"/>
    <d v="2023-06-06T00:00:00"/>
    <d v="2023-07-04T19:00:44"/>
    <m/>
    <d v="2023-07-04T00:00:00"/>
    <n v="1248"/>
    <n v="17996"/>
    <s v="60114969"/>
    <s v="60114969"/>
    <m/>
    <m/>
    <n v="22623556"/>
    <m/>
    <m/>
    <m/>
    <s v="SOLFIN"/>
    <s v="SOLFIN"/>
    <s v="CCMS"/>
    <n v="21328090"/>
    <n v="16296.74"/>
    <m/>
    <s v="N"/>
    <n v="21"/>
    <d v="2023-07-04T19:01:03"/>
    <s v="Y"/>
    <s v="Preparation - drafting statement"/>
    <s v="Care Remuneration Hourly Rates"/>
    <s v="Profit Cost"/>
    <s v="HO"/>
    <s v="Y"/>
    <n v="43.08"/>
    <n v="8.619999999999999"/>
    <x v="1"/>
    <s v="VALIDATED"/>
    <n v="1"/>
    <s v="01.11.80.308.6100.0000"/>
    <n v="43.08"/>
    <s v="11"/>
    <s v="6100"/>
    <n v="9085.299999999999"/>
    <n v="43.08"/>
    <s v="CREDITOR"/>
    <n v="0"/>
    <n v="0"/>
    <n v="0"/>
    <n v="0"/>
    <n v="43.08"/>
  </r>
  <r>
    <n v="60114969"/>
    <s v="N"/>
    <n v="21328090"/>
    <s v="3000014444870008"/>
    <s v="CIVIL"/>
    <d v="2023-06-06T00:00:00"/>
    <d v="2023-07-04T19:00:44"/>
    <m/>
    <d v="2023-07-04T00:00:00"/>
    <n v="1248"/>
    <n v="17996"/>
    <s v="60114969"/>
    <s v="60114969"/>
    <m/>
    <m/>
    <n v="22623556"/>
    <m/>
    <m/>
    <m/>
    <s v="SOLFIN"/>
    <s v="SOLFIN"/>
    <s v="CCMS"/>
    <n v="21328090"/>
    <n v="16296.74"/>
    <m/>
    <s v="N"/>
    <n v="147"/>
    <d v="2023-07-04T19:01:03"/>
    <s v="Y"/>
    <s v="Routine Letter In"/>
    <s v="Care Remuneration Hourly Rates"/>
    <s v="Profit Cost"/>
    <s v="HO"/>
    <s v="Y"/>
    <n v="867.65"/>
    <n v="173.52"/>
    <x v="1"/>
    <s v="VALIDATED"/>
    <n v="1"/>
    <s v="01.11.80.308.6100.0000"/>
    <n v="867.65"/>
    <s v="11"/>
    <s v="6100"/>
    <n v="9085.299999999999"/>
    <n v="867.65"/>
    <s v="CREDITOR"/>
    <n v="0"/>
    <n v="0"/>
    <n v="0"/>
    <n v="0"/>
    <n v="867.65"/>
  </r>
  <r>
    <n v="60114969"/>
    <s v="N"/>
    <n v="21328090"/>
    <s v="3000014444870008"/>
    <s v="CIVIL"/>
    <d v="2023-06-06T00:00:00"/>
    <d v="2023-07-04T19:00:44"/>
    <m/>
    <d v="2023-07-04T00:00:00"/>
    <n v="1248"/>
    <n v="17996"/>
    <s v="60114969"/>
    <s v="60114969"/>
    <m/>
    <m/>
    <n v="22623556"/>
    <m/>
    <m/>
    <m/>
    <s v="SOLFIN"/>
    <s v="SOLFIN"/>
    <s v="CCMS"/>
    <n v="21328090"/>
    <n v="16296.74"/>
    <m/>
    <s v="N"/>
    <n v="148"/>
    <d v="2023-07-04T19:01:03"/>
    <s v="N"/>
    <s v="Solicitors Fixed Fee"/>
    <s v="Public Law Children"/>
    <s v="Profit Cost"/>
    <s v="XXX"/>
    <s v="N"/>
    <n v="0"/>
    <n v="0"/>
    <x v="1"/>
    <s v="VALIDATED"/>
    <n v="1"/>
    <s v="01.11.80.308.6100.0000"/>
    <n v="0"/>
    <s v="11"/>
    <s v="6100"/>
    <n v="9085.299999999999"/>
    <n v="0"/>
    <s v="CREDITOR"/>
    <n v="0"/>
    <n v="0"/>
    <n v="0"/>
    <n v="0"/>
    <n v="0"/>
  </r>
  <r>
    <n v="60114969"/>
    <s v="N"/>
    <n v="21328090"/>
    <s v="3000014444870008"/>
    <s v="CIVIL"/>
    <d v="2023-06-06T00:00:00"/>
    <d v="2023-07-04T19:00:44"/>
    <m/>
    <d v="2023-07-04T00:00:00"/>
    <n v="1248"/>
    <n v="17996"/>
    <s v="60114969"/>
    <s v="60114969"/>
    <m/>
    <m/>
    <n v="22623556"/>
    <m/>
    <m/>
    <m/>
    <s v="SOLFIN"/>
    <s v="SOLFIN"/>
    <s v="CCMS"/>
    <n v="21328090"/>
    <n v="16296.74"/>
    <m/>
    <s v="N"/>
    <n v="33"/>
    <d v="2023-07-04T19:01:03"/>
    <s v="Y"/>
    <s v="Preparation - other"/>
    <s v="Care Remuneration Hourly Rates"/>
    <s v="Profit Cost"/>
    <s v="HO"/>
    <s v="Y"/>
    <n v="22.1"/>
    <n v="4.42"/>
    <x v="1"/>
    <s v="VALIDATED"/>
    <n v="1"/>
    <s v="01.11.80.308.6100.0000"/>
    <n v="22.1"/>
    <s v="11"/>
    <s v="6100"/>
    <n v="9085.299999999999"/>
    <n v="22.1"/>
    <s v="CREDITOR"/>
    <n v="0"/>
    <n v="0"/>
    <n v="0"/>
    <n v="0"/>
    <n v="22.1"/>
  </r>
  <r>
    <n v="60114969"/>
    <s v="N"/>
    <n v="21328090"/>
    <s v="3000014444870008"/>
    <s v="CIVIL"/>
    <d v="2023-06-06T00:00:00"/>
    <d v="2023-07-04T19:00:44"/>
    <m/>
    <d v="2023-07-04T00:00:00"/>
    <n v="1248"/>
    <n v="17996"/>
    <s v="60114969"/>
    <s v="60114969"/>
    <m/>
    <m/>
    <n v="22623556"/>
    <m/>
    <m/>
    <m/>
    <s v="SOLFIN"/>
    <s v="SOLFIN"/>
    <s v="CCMS"/>
    <n v="21328090"/>
    <n v="16296.74"/>
    <m/>
    <s v="N"/>
    <n v="56"/>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42"/>
    <d v="2023-07-04T19:01:03"/>
    <s v="Y"/>
    <s v="Preparation - other"/>
    <s v="Care Remuneration Hourly Rates"/>
    <s v="Profit Cost"/>
    <s v="HO"/>
    <s v="Y"/>
    <n v="11.05"/>
    <n v="2.21"/>
    <x v="1"/>
    <s v="VALIDATED"/>
    <n v="1"/>
    <s v="01.11.80.308.6100.0000"/>
    <n v="11.05"/>
    <s v="11"/>
    <s v="6100"/>
    <n v="9085.299999999999"/>
    <n v="11.05"/>
    <s v="CREDITOR"/>
    <n v="0"/>
    <n v="0"/>
    <n v="0"/>
    <n v="0"/>
    <n v="11.05"/>
  </r>
  <r>
    <n v="60114969"/>
    <s v="N"/>
    <n v="21328090"/>
    <s v="3000014444870008"/>
    <s v="CIVIL"/>
    <d v="2023-06-06T00:00:00"/>
    <d v="2023-07-04T19:00:44"/>
    <m/>
    <d v="2023-07-04T00:00:00"/>
    <n v="1248"/>
    <n v="17996"/>
    <s v="60114969"/>
    <s v="60114969"/>
    <m/>
    <m/>
    <n v="22623556"/>
    <m/>
    <m/>
    <m/>
    <s v="SOLFIN"/>
    <s v="SOLFIN"/>
    <s v="CCMS"/>
    <n v="21328090"/>
    <n v="16296.74"/>
    <m/>
    <s v="N"/>
    <n v="156"/>
    <d v="2023-07-04T19:01:03"/>
    <s v="Y"/>
    <s v="Advocates Meeting"/>
    <s v="Public Law Children"/>
    <s v="Advocacy"/>
    <s v="HO"/>
    <s v="Y"/>
    <n v="140.99"/>
    <n v="28.2"/>
    <x v="1"/>
    <s v="VALIDATED"/>
    <n v="1"/>
    <s v="01.11.80.308.6100.0000"/>
    <n v="140.99"/>
    <s v="11"/>
    <s v="6100"/>
    <n v="9085.299999999999"/>
    <n v="140.99"/>
    <s v="CREDITOR"/>
    <n v="0"/>
    <n v="0"/>
    <n v="0"/>
    <n v="0"/>
    <n v="140.99"/>
  </r>
  <r>
    <n v="60114969"/>
    <s v="N"/>
    <n v="21328090"/>
    <s v="3000014444870008"/>
    <s v="CIVIL"/>
    <d v="2023-06-06T00:00:00"/>
    <d v="2023-07-04T19:00:44"/>
    <m/>
    <d v="2023-07-04T00:00:00"/>
    <n v="1248"/>
    <n v="17996"/>
    <s v="60114969"/>
    <s v="60114969"/>
    <m/>
    <m/>
    <n v="22623556"/>
    <m/>
    <m/>
    <m/>
    <s v="SOLFIN"/>
    <s v="SOLFIN"/>
    <s v="CCMS"/>
    <n v="21328090"/>
    <n v="16296.74"/>
    <m/>
    <s v="N"/>
    <n v="99"/>
    <d v="2023-07-04T19:01:03"/>
    <s v="Y"/>
    <s v="Attendance upon client"/>
    <s v="Care Remuneration Hourly Rates"/>
    <s v="Profit Cost"/>
    <s v="HO"/>
    <s v="Y"/>
    <n v="50.27"/>
    <n v="10.05"/>
    <x v="1"/>
    <s v="VALIDATED"/>
    <n v="1"/>
    <s v="01.11.80.308.6100.0000"/>
    <n v="50.27"/>
    <s v="11"/>
    <s v="6100"/>
    <n v="9085.299999999999"/>
    <n v="50.27"/>
    <s v="CREDITOR"/>
    <n v="0"/>
    <n v="0"/>
    <n v="0"/>
    <n v="0"/>
    <n v="50.27"/>
  </r>
  <r>
    <n v="60114969"/>
    <s v="N"/>
    <n v="21328090"/>
    <s v="3000014444870008"/>
    <s v="CIVIL"/>
    <d v="2023-06-06T00:00:00"/>
    <d v="2023-07-04T19:00:44"/>
    <m/>
    <d v="2023-07-04T00:00:00"/>
    <n v="1248"/>
    <n v="17996"/>
    <s v="60114969"/>
    <s v="60114969"/>
    <m/>
    <m/>
    <n v="22623556"/>
    <m/>
    <m/>
    <m/>
    <s v="SOLFIN"/>
    <s v="SOLFIN"/>
    <s v="CCMS"/>
    <n v="21328090"/>
    <n v="16296.74"/>
    <m/>
    <s v="N"/>
    <n v="155"/>
    <d v="2023-07-04T19:01:03"/>
    <s v="Y"/>
    <s v="Advocates Meeting"/>
    <s v="Public Law Children"/>
    <s v="Advocacy"/>
    <s v="HO"/>
    <s v="Y"/>
    <n v="140.99"/>
    <n v="28.2"/>
    <x v="1"/>
    <s v="VALIDATED"/>
    <n v="1"/>
    <s v="01.11.80.308.6100.0000"/>
    <n v="140.99"/>
    <s v="11"/>
    <s v="6100"/>
    <n v="9085.299999999999"/>
    <n v="140.99"/>
    <s v="CREDITOR"/>
    <n v="0"/>
    <n v="0"/>
    <n v="0"/>
    <n v="0"/>
    <n v="140.99"/>
  </r>
  <r>
    <n v="60114969"/>
    <s v="N"/>
    <n v="21328090"/>
    <s v="3000014444870008"/>
    <s v="CIVIL"/>
    <d v="2023-06-06T00:00:00"/>
    <d v="2023-07-04T19:00:44"/>
    <m/>
    <d v="2023-07-04T00:00:00"/>
    <n v="1248"/>
    <n v="17996"/>
    <s v="60114969"/>
    <s v="60114969"/>
    <m/>
    <m/>
    <n v="22623556"/>
    <m/>
    <m/>
    <m/>
    <s v="SOLFIN"/>
    <s v="SOLFIN"/>
    <s v="CCMS"/>
    <n v="21328090"/>
    <n v="16296.74"/>
    <m/>
    <s v="N"/>
    <n v="144"/>
    <d v="2023-07-04T19:01:03"/>
    <s v="Y"/>
    <s v="Preparation - drafting bill/claim f"/>
    <s v="Care Remuneration Hourly Rates"/>
    <s v="Profit Cost"/>
    <s v="HO"/>
    <s v="Y"/>
    <n v="27.62"/>
    <n v="5.52"/>
    <x v="1"/>
    <s v="VALIDATED"/>
    <n v="1"/>
    <s v="01.11.80.308.6100.0000"/>
    <n v="27.62"/>
    <s v="11"/>
    <s v="6100"/>
    <n v="9085.299999999999"/>
    <n v="27.62"/>
    <s v="CREDITOR"/>
    <n v="0"/>
    <n v="0"/>
    <n v="0"/>
    <n v="0"/>
    <n v="27.62"/>
  </r>
  <r>
    <n v="60114969"/>
    <s v="N"/>
    <n v="21328090"/>
    <s v="3000014444870008"/>
    <s v="CIVIL"/>
    <d v="2023-06-06T00:00:00"/>
    <d v="2023-07-04T19:00:44"/>
    <m/>
    <d v="2023-07-04T00:00:00"/>
    <n v="1248"/>
    <n v="17996"/>
    <s v="60114969"/>
    <s v="60114969"/>
    <m/>
    <m/>
    <n v="22623556"/>
    <m/>
    <m/>
    <m/>
    <s v="SOLFIN"/>
    <s v="SOLFIN"/>
    <s v="CCMS"/>
    <n v="21328090"/>
    <n v="16296.74"/>
    <m/>
    <s v="N"/>
    <n v="47"/>
    <d v="2023-07-04T19:01:03"/>
    <s v="Y"/>
    <s v="Preparation - other"/>
    <s v="Care Remuneration Hourly Rates"/>
    <s v="Profit Cost"/>
    <s v="HO"/>
    <s v="Y"/>
    <n v="28.73"/>
    <n v="5.75"/>
    <x v="1"/>
    <s v="VALIDATED"/>
    <n v="1"/>
    <s v="01.11.80.308.6100.0000"/>
    <n v="28.73"/>
    <s v="11"/>
    <s v="6100"/>
    <n v="9085.299999999999"/>
    <n v="28.73"/>
    <s v="CREDITOR"/>
    <n v="0"/>
    <n v="0"/>
    <n v="0"/>
    <n v="0"/>
    <n v="28.73"/>
  </r>
  <r>
    <n v="60114969"/>
    <s v="N"/>
    <n v="21328090"/>
    <s v="3000014444870008"/>
    <s v="CIVIL"/>
    <d v="2023-06-06T00:00:00"/>
    <d v="2023-07-04T19:00:44"/>
    <m/>
    <d v="2023-07-04T00:00:00"/>
    <n v="1248"/>
    <n v="17996"/>
    <s v="60114969"/>
    <s v="60114969"/>
    <m/>
    <m/>
    <n v="22623556"/>
    <m/>
    <m/>
    <m/>
    <s v="SOLFIN"/>
    <s v="SOLFIN"/>
    <s v="CCMS"/>
    <n v="21328090"/>
    <n v="16296.74"/>
    <m/>
    <s v="N"/>
    <n v="160"/>
    <d v="2023-07-04T19:01:03"/>
    <s v="Y"/>
    <s v="Interim Hearing Court Bundle/Advoca"/>
    <s v="Public Law Children"/>
    <s v="Advocacy"/>
    <s v="HO"/>
    <s v="Y"/>
    <n v="59.4"/>
    <n v="11.88"/>
    <x v="1"/>
    <s v="VALIDATED"/>
    <n v="1"/>
    <s v="01.11.80.308.6100.0000"/>
    <n v="59.4"/>
    <s v="11"/>
    <s v="6100"/>
    <n v="9085.299999999999"/>
    <n v="59.4"/>
    <s v="CREDITOR"/>
    <n v="0"/>
    <n v="0"/>
    <n v="0"/>
    <n v="0"/>
    <n v="59.4"/>
  </r>
  <r>
    <n v="60114969"/>
    <s v="N"/>
    <n v="21328090"/>
    <s v="3000014444870008"/>
    <s v="CIVIL"/>
    <d v="2023-06-06T00:00:00"/>
    <d v="2023-07-04T19:00:44"/>
    <m/>
    <d v="2023-07-04T00:00:00"/>
    <n v="1248"/>
    <n v="17996"/>
    <s v="60114969"/>
    <s v="60114969"/>
    <m/>
    <m/>
    <n v="22623556"/>
    <m/>
    <m/>
    <m/>
    <s v="SOLFIN"/>
    <s v="SOLFIN"/>
    <s v="CCMS"/>
    <n v="21328090"/>
    <n v="16296.74"/>
    <m/>
    <s v="N"/>
    <n v="70"/>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75"/>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76"/>
    <d v="2023-07-04T19:01:03"/>
    <s v="Y"/>
    <s v="Preparation -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81"/>
    <d v="2023-07-04T19:01:03"/>
    <s v="Y"/>
    <s v="Preparation -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93"/>
    <d v="2023-07-04T19:01:03"/>
    <s v="Y"/>
    <s v="Preparation - drafting notice(s)"/>
    <s v="Care Remuneration Hourly Rates"/>
    <s v="Profit Cost"/>
    <s v="HO"/>
    <s v="Y"/>
    <n v="5.52"/>
    <n v="1.1"/>
    <x v="1"/>
    <s v="VALIDATED"/>
    <n v="1"/>
    <s v="01.11.80.308.6100.0000"/>
    <n v="5.52"/>
    <s v="11"/>
    <s v="6100"/>
    <n v="9085.299999999999"/>
    <n v="5.52"/>
    <s v="CREDITOR"/>
    <n v="0"/>
    <n v="0"/>
    <n v="0"/>
    <n v="0"/>
    <n v="5.52"/>
  </r>
  <r>
    <n v="60114969"/>
    <s v="N"/>
    <n v="21328090"/>
    <s v="3000014444870008"/>
    <s v="CIVIL"/>
    <d v="2023-06-06T00:00:00"/>
    <d v="2023-07-04T19:00:44"/>
    <m/>
    <d v="2023-07-04T00:00:00"/>
    <n v="1248"/>
    <n v="17996"/>
    <s v="60114969"/>
    <s v="60114969"/>
    <m/>
    <m/>
    <n v="22623556"/>
    <m/>
    <m/>
    <m/>
    <s v="SOLFIN"/>
    <s v="SOLFIN"/>
    <s v="CCMS"/>
    <n v="21328090"/>
    <n v="16296.74"/>
    <m/>
    <s v="N"/>
    <n v="101"/>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32"/>
    <d v="2023-07-04T19:01:03"/>
    <s v="Y"/>
    <s v="Attendance upon client"/>
    <s v="Care Remuneration Hourly Rates"/>
    <s v="Profit Cost"/>
    <s v="HO"/>
    <s v="Y"/>
    <n v="143.62"/>
    <n v="28.72"/>
    <x v="1"/>
    <s v="VALIDATED"/>
    <n v="1"/>
    <s v="01.11.80.308.6100.0000"/>
    <n v="143.62"/>
    <s v="11"/>
    <s v="6100"/>
    <n v="9085.299999999999"/>
    <n v="143.62"/>
    <s v="CREDITOR"/>
    <n v="0"/>
    <n v="0"/>
    <n v="0"/>
    <n v="0"/>
    <n v="143.62"/>
  </r>
  <r>
    <n v="60114969"/>
    <s v="N"/>
    <n v="21328090"/>
    <s v="3000014444870008"/>
    <s v="CIVIL"/>
    <d v="2023-06-06T00:00:00"/>
    <d v="2023-07-04T19:00:44"/>
    <m/>
    <d v="2023-07-04T00:00:00"/>
    <n v="1248"/>
    <n v="17996"/>
    <s v="60114969"/>
    <s v="60114969"/>
    <m/>
    <m/>
    <n v="22623556"/>
    <m/>
    <m/>
    <m/>
    <s v="SOLFIN"/>
    <s v="SOLFIN"/>
    <s v="CCMS"/>
    <n v="21328090"/>
    <n v="16296.74"/>
    <m/>
    <s v="N"/>
    <n v="139"/>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43"/>
    <d v="2023-07-04T19:01:03"/>
    <s v="Y"/>
    <s v="Preparation - drafting bill/claim f"/>
    <s v="Care Remuneration Hourly Rates"/>
    <s v="Profit Cost"/>
    <s v="TRS"/>
    <s v="Y"/>
    <n v="392.2"/>
    <n v="78.43000000000001"/>
    <x v="1"/>
    <s v="VALIDATED"/>
    <n v="1"/>
    <s v="01.11.80.308.6100.0000"/>
    <n v="392.2"/>
    <s v="11"/>
    <s v="6100"/>
    <n v="9085.299999999999"/>
    <n v="392.2"/>
    <s v="CREDITOR"/>
    <n v="0"/>
    <n v="0"/>
    <n v="0"/>
    <n v="0"/>
    <n v="392.2"/>
  </r>
  <r>
    <n v="60114969"/>
    <s v="N"/>
    <n v="21328719"/>
    <s v="3000014444870003RC"/>
    <s v="CIVIL"/>
    <d v="2023-06-06T00:00:00"/>
    <d v="2023-07-04T19:38:21"/>
    <m/>
    <d v="2023-07-04T00:00:00"/>
    <n v="1248"/>
    <n v="17996"/>
    <s v="60114969"/>
    <s v="60114969"/>
    <m/>
    <m/>
    <m/>
    <m/>
    <m/>
    <m/>
    <s v="SOLRECOUP"/>
    <s v="SOLRECOUP"/>
    <s v="POARECOUP"/>
    <n v="21328719"/>
    <n v="-584.1799999999999"/>
    <m/>
    <s v="Y"/>
    <n v="2"/>
    <d v="2023-07-04T19:38:22"/>
    <s v="N"/>
    <m/>
    <m/>
    <s v="Non Expert Disbursement"/>
    <m/>
    <s v="N"/>
    <n v="0"/>
    <n v="-97.36"/>
    <x v="1"/>
    <s v="VALIDATED"/>
    <n v="1"/>
    <s v="01.11.80.308.2013.0000"/>
    <n v="-97.36"/>
    <s v="11"/>
    <s v="2013"/>
    <n v="9085.299999999999"/>
    <n v="-97.36"/>
    <s v="CREDITOR"/>
    <n v="0"/>
    <n v="0"/>
    <n v="-97.36"/>
    <n v="0"/>
    <n v="0"/>
  </r>
  <r>
    <n v="60114969"/>
    <s v="N"/>
    <n v="21328720"/>
    <s v="3000014444870001RC"/>
    <s v="CIVIL"/>
    <d v="2023-06-06T00:00:00"/>
    <d v="2023-07-04T19:38:21"/>
    <m/>
    <d v="2023-07-04T00:00:00"/>
    <n v="1248"/>
    <n v="17996"/>
    <s v="60114969"/>
    <s v="60114969"/>
    <m/>
    <m/>
    <m/>
    <m/>
    <m/>
    <m/>
    <s v="SOLRECOUP"/>
    <s v="SOLRECOUP"/>
    <s v="POARECOUP"/>
    <n v="21328720"/>
    <n v="-182.7"/>
    <m/>
    <s v="Y"/>
    <n v="1"/>
    <d v="2023-07-04T19:38:22"/>
    <s v="N"/>
    <m/>
    <m/>
    <s v="Non Expert Disbursement"/>
    <m/>
    <s v="N"/>
    <n v="-152.25"/>
    <n v="0"/>
    <x v="1"/>
    <s v="VALIDATED"/>
    <n v="1"/>
    <s v="01.11.80.308.2013.0000"/>
    <n v="-152.25"/>
    <s v="11"/>
    <s v="2013"/>
    <n v="9085.299999999999"/>
    <n v="-152.25"/>
    <s v="CREDITOR"/>
    <n v="0"/>
    <n v="0"/>
    <n v="-152.25"/>
    <n v="0"/>
    <n v="0"/>
  </r>
  <r>
    <n v="60114969"/>
    <s v="N"/>
    <n v="21328720"/>
    <s v="3000014444870001RC"/>
    <s v="CIVIL"/>
    <d v="2023-06-06T00:00:00"/>
    <d v="2023-07-04T19:38:21"/>
    <m/>
    <d v="2023-07-04T00:00:00"/>
    <n v="1248"/>
    <n v="17996"/>
    <s v="60114969"/>
    <s v="60114969"/>
    <m/>
    <m/>
    <m/>
    <m/>
    <m/>
    <m/>
    <s v="SOLRECOUP"/>
    <s v="SOLRECOUP"/>
    <s v="POARECOUP"/>
    <n v="21328720"/>
    <n v="-182.7"/>
    <m/>
    <s v="Y"/>
    <n v="2"/>
    <d v="2023-07-04T19:38:22"/>
    <s v="N"/>
    <m/>
    <m/>
    <s v="Non Expert Disbursement"/>
    <m/>
    <s v="N"/>
    <n v="0"/>
    <n v="-30.45"/>
    <x v="1"/>
    <s v="VALIDATED"/>
    <n v="1"/>
    <s v="01.11.80.308.2013.0000"/>
    <n v="-30.45"/>
    <s v="11"/>
    <s v="2013"/>
    <n v="9085.299999999999"/>
    <n v="-30.45"/>
    <s v="CREDITOR"/>
    <n v="0"/>
    <n v="0"/>
    <n v="-30.45"/>
    <n v="0"/>
    <n v="0"/>
  </r>
  <r>
    <n v="60114969"/>
    <s v="N"/>
    <n v="21328721"/>
    <s v="3000014444870006RC"/>
    <s v="CIVIL"/>
    <d v="2023-06-06T00:00:00"/>
    <d v="2023-07-04T19:38:21"/>
    <m/>
    <d v="2023-07-04T00:00:00"/>
    <n v="1248"/>
    <n v="17996"/>
    <s v="60114969"/>
    <s v="60114969"/>
    <m/>
    <m/>
    <m/>
    <m/>
    <m/>
    <m/>
    <s v="SOLRECOUP"/>
    <s v="SOLRECOUP"/>
    <s v="POARECOUP"/>
    <n v="21328721"/>
    <n v="-584.1799999999999"/>
    <m/>
    <s v="Y"/>
    <n v="2"/>
    <d v="2023-07-04T19:38:22"/>
    <s v="N"/>
    <m/>
    <m/>
    <s v="Non Expert Disbursement"/>
    <m/>
    <s v="N"/>
    <n v="0"/>
    <n v="-97.36"/>
    <x v="1"/>
    <s v="VALIDATED"/>
    <n v="1"/>
    <s v="01.11.80.308.2013.0000"/>
    <n v="-97.36"/>
    <s v="11"/>
    <s v="2013"/>
    <n v="9085.299999999999"/>
    <n v="-97.36"/>
    <s v="CREDITOR"/>
    <n v="0"/>
    <n v="0"/>
    <n v="-97.36"/>
    <n v="0"/>
    <n v="0"/>
  </r>
  <r>
    <n v="60114969"/>
    <s v="N"/>
    <n v="21328721"/>
    <s v="3000014444870006RC"/>
    <s v="CIVIL"/>
    <d v="2023-06-06T00:00:00"/>
    <d v="2023-07-04T19:38:21"/>
    <m/>
    <d v="2023-07-04T00:00:00"/>
    <n v="1248"/>
    <n v="17996"/>
    <s v="60114969"/>
    <s v="60114969"/>
    <m/>
    <m/>
    <m/>
    <m/>
    <m/>
    <m/>
    <s v="SOLRECOUP"/>
    <s v="SOLRECOUP"/>
    <s v="POARECOUP"/>
    <n v="21328721"/>
    <n v="-584.1799999999999"/>
    <m/>
    <s v="Y"/>
    <n v="1"/>
    <d v="2023-07-04T19:38:22"/>
    <s v="N"/>
    <m/>
    <m/>
    <s v="Non Expert Disbursement"/>
    <m/>
    <s v="N"/>
    <n v="-486.82"/>
    <n v="0"/>
    <x v="1"/>
    <s v="VALIDATED"/>
    <n v="1"/>
    <s v="01.11.80.308.2013.0000"/>
    <n v="-486.82"/>
    <s v="11"/>
    <s v="2013"/>
    <n v="9085.299999999999"/>
    <n v="-486.82"/>
    <s v="CREDITOR"/>
    <n v="0"/>
    <n v="0"/>
    <n v="-486.82"/>
    <n v="0"/>
    <n v="0"/>
  </r>
  <r>
    <n v="60114969"/>
    <s v="N"/>
    <n v="21328722"/>
    <s v="3000014444870002RC"/>
    <s v="CIVIL"/>
    <d v="2023-06-06T00:00:00"/>
    <d v="2023-07-04T19:38:21"/>
    <m/>
    <d v="2023-07-04T00:00:00"/>
    <n v="1248"/>
    <n v="17996"/>
    <s v="60114969"/>
    <s v="60114969"/>
    <m/>
    <m/>
    <m/>
    <m/>
    <m/>
    <m/>
    <s v="SOLRECOUP"/>
    <s v="SOLRECOUP"/>
    <s v="POARECOUP"/>
    <n v="21328722"/>
    <n v="-3471.36"/>
    <m/>
    <s v="Y"/>
    <n v="2"/>
    <d v="2023-07-04T19:38:22"/>
    <s v="N"/>
    <m/>
    <m/>
    <s v="Profit Cost"/>
    <m/>
    <s v="N"/>
    <n v="0"/>
    <n v="-578.5599999999999"/>
    <x v="1"/>
    <s v="VALIDATED"/>
    <n v="1"/>
    <s v="01.11.80.308.2013.0000"/>
    <n v="-578.5599999999999"/>
    <s v="11"/>
    <s v="2013"/>
    <n v="9085.299999999999"/>
    <n v="-578.5599999999999"/>
    <s v="CREDITOR"/>
    <n v="0"/>
    <n v="0"/>
    <n v="-578.5599999999999"/>
    <n v="-144.64"/>
    <n v="0"/>
  </r>
  <r>
    <n v="60114969"/>
    <s v="N"/>
    <n v="21328722"/>
    <s v="3000014444870002RC"/>
    <s v="CIVIL"/>
    <d v="2023-06-06T00:00:00"/>
    <d v="2023-07-04T19:38:21"/>
    <m/>
    <d v="2023-07-04T00:00:00"/>
    <n v="1248"/>
    <n v="17996"/>
    <s v="60114969"/>
    <s v="60114969"/>
    <m/>
    <m/>
    <m/>
    <m/>
    <m/>
    <m/>
    <s v="SOLRECOUP"/>
    <s v="SOLRECOUP"/>
    <s v="POARECOUP"/>
    <n v="21328722"/>
    <n v="-3471.36"/>
    <m/>
    <s v="Y"/>
    <n v="1"/>
    <d v="2023-07-04T19:38:22"/>
    <s v="N"/>
    <m/>
    <m/>
    <s v="Profit Cost"/>
    <m/>
    <s v="N"/>
    <n v="-2892.8"/>
    <n v="0"/>
    <x v="1"/>
    <s v="VALIDATED"/>
    <n v="1"/>
    <s v="01.11.80.308.2013.0000"/>
    <n v="-2892.8"/>
    <s v="11"/>
    <s v="2013"/>
    <n v="9085.299999999999"/>
    <n v="-2892.8"/>
    <s v="CREDITOR"/>
    <n v="0"/>
    <n v="0"/>
    <n v="-2892.8"/>
    <n v="-723.2"/>
    <n v="0"/>
  </r>
  <r>
    <n v="60114969"/>
    <s v="N"/>
    <n v="21328723"/>
    <s v="3000014444870004RC"/>
    <s v="CIVIL"/>
    <d v="2023-06-06T00:00:00"/>
    <d v="2023-07-04T19:38:21"/>
    <m/>
    <d v="2023-07-04T00:00:00"/>
    <n v="1248"/>
    <n v="17996"/>
    <s v="60114969"/>
    <s v="60114969"/>
    <m/>
    <m/>
    <m/>
    <m/>
    <m/>
    <m/>
    <s v="SOLRECOUP"/>
    <s v="SOLRECOUP"/>
    <s v="POARECOUP"/>
    <n v="21328723"/>
    <n v="-476.92"/>
    <m/>
    <s v="Y"/>
    <n v="2"/>
    <d v="2023-07-04T19:38:22"/>
    <s v="N"/>
    <m/>
    <m/>
    <s v="Non Expert Disbursement"/>
    <m/>
    <s v="N"/>
    <n v="0"/>
    <n v="0"/>
    <x v="1"/>
    <s v="VALIDATED"/>
    <n v="1"/>
    <s v="01.11.80.000.0000.0000"/>
    <n v="0"/>
    <s v="11"/>
    <s v="0000"/>
    <n v="9085.299999999999"/>
    <n v="0"/>
    <s v="CREDITOR"/>
    <n v="0"/>
    <n v="0"/>
    <n v="0"/>
    <n v="0"/>
    <n v="0"/>
  </r>
  <r>
    <n v="60114969"/>
    <s v="N"/>
    <n v="21328723"/>
    <s v="3000014444870004RC"/>
    <s v="CIVIL"/>
    <d v="2023-06-06T00:00:00"/>
    <d v="2023-07-04T19:38:21"/>
    <m/>
    <d v="2023-07-04T00:00:00"/>
    <n v="1248"/>
    <n v="17996"/>
    <s v="60114969"/>
    <s v="60114969"/>
    <m/>
    <m/>
    <m/>
    <m/>
    <m/>
    <m/>
    <s v="SOLRECOUP"/>
    <s v="SOLRECOUP"/>
    <s v="POARECOUP"/>
    <n v="21328723"/>
    <n v="-476.92"/>
    <m/>
    <s v="Y"/>
    <n v="1"/>
    <d v="2023-07-04T19:38:22"/>
    <s v="N"/>
    <m/>
    <m/>
    <s v="Non Expert Disbursement"/>
    <m/>
    <s v="N"/>
    <n v="-476.92"/>
    <n v="0"/>
    <x v="1"/>
    <s v="VALIDATED"/>
    <n v="1"/>
    <s v="01.11.80.308.2013.0000"/>
    <n v="-476.92"/>
    <s v="11"/>
    <s v="2013"/>
    <n v="9085.299999999999"/>
    <n v="-476.92"/>
    <s v="CREDITOR"/>
    <n v="0"/>
    <n v="0"/>
    <n v="-476.92"/>
    <n v="0"/>
    <n v="0"/>
  </r>
  <r>
    <n v="60114969"/>
    <s v="N"/>
    <n v="21328724"/>
    <s v="3000014444870005RC"/>
    <s v="CIVIL"/>
    <d v="2023-06-06T00:00:00"/>
    <d v="2023-07-04T19:38:21"/>
    <m/>
    <d v="2023-07-04T00:00:00"/>
    <n v="1248"/>
    <n v="17996"/>
    <s v="60114969"/>
    <s v="60114969"/>
    <m/>
    <m/>
    <m/>
    <m/>
    <m/>
    <m/>
    <s v="SOLRECOUP"/>
    <s v="SOLRECOUP"/>
    <s v="POARECOUP"/>
    <n v="21328724"/>
    <n v="-476.92"/>
    <m/>
    <s v="Y"/>
    <n v="1"/>
    <d v="2023-07-04T19:38:22"/>
    <s v="N"/>
    <m/>
    <m/>
    <s v="Non Expert Disbursement"/>
    <m/>
    <s v="N"/>
    <n v="-476.92"/>
    <n v="0"/>
    <x v="1"/>
    <s v="VALIDATED"/>
    <n v="1"/>
    <s v="01.11.80.308.2013.0000"/>
    <n v="-476.92"/>
    <s v="11"/>
    <s v="2013"/>
    <n v="9085.299999999999"/>
    <n v="-476.92"/>
    <s v="CREDITOR"/>
    <n v="0"/>
    <n v="0"/>
    <n v="-476.92"/>
    <n v="0"/>
    <n v="0"/>
  </r>
  <r>
    <n v="60114969"/>
    <s v="N"/>
    <n v="21328724"/>
    <s v="3000014444870005RC"/>
    <s v="CIVIL"/>
    <d v="2023-06-06T00:00:00"/>
    <d v="2023-07-04T19:38:21"/>
    <m/>
    <d v="2023-07-04T00:00:00"/>
    <n v="1248"/>
    <n v="17996"/>
    <s v="60114969"/>
    <s v="60114969"/>
    <m/>
    <m/>
    <m/>
    <m/>
    <m/>
    <m/>
    <s v="SOLRECOUP"/>
    <s v="SOLRECOUP"/>
    <s v="POARECOUP"/>
    <n v="21328724"/>
    <n v="-476.92"/>
    <m/>
    <s v="Y"/>
    <n v="2"/>
    <d v="2023-07-04T19:38:22"/>
    <s v="N"/>
    <m/>
    <m/>
    <s v="Non Expert Disbursement"/>
    <m/>
    <s v="N"/>
    <n v="0"/>
    <n v="0"/>
    <x v="1"/>
    <s v="VALIDATED"/>
    <n v="1"/>
    <s v="01.11.80.000.0000.0000"/>
    <n v="0"/>
    <s v="11"/>
    <s v="0000"/>
    <n v="9085.299999999999"/>
    <n v="0"/>
    <s v="CREDITOR"/>
    <n v="0"/>
    <n v="0"/>
    <n v="0"/>
    <n v="0"/>
    <n v="0"/>
  </r>
  <r>
    <n v="60114969"/>
    <s v="N"/>
    <n v="21328719"/>
    <s v="3000014444870003RC"/>
    <s v="CIVIL"/>
    <d v="2023-06-06T00:00:00"/>
    <d v="2023-07-04T19:38:21"/>
    <m/>
    <d v="2023-07-04T00:00:00"/>
    <n v="1248"/>
    <n v="17996"/>
    <s v="60114969"/>
    <s v="60114969"/>
    <m/>
    <m/>
    <m/>
    <m/>
    <m/>
    <m/>
    <s v="SOLRECOUP"/>
    <s v="SOLRECOUP"/>
    <s v="POARECOUP"/>
    <n v="21328719"/>
    <n v="-584.1799999999999"/>
    <m/>
    <s v="Y"/>
    <n v="1"/>
    <d v="2023-07-04T19:38:22"/>
    <s v="N"/>
    <m/>
    <m/>
    <s v="Non Expert Disbursement"/>
    <m/>
    <s v="N"/>
    <n v="-486.82"/>
    <n v="0"/>
    <x v="1"/>
    <s v="VALIDATED"/>
    <n v="1"/>
    <s v="01.11.80.308.2013.0000"/>
    <n v="-486.82"/>
    <s v="11"/>
    <s v="2013"/>
    <n v="9085.299999999999"/>
    <n v="-486.82"/>
    <s v="CREDITOR"/>
    <n v="0"/>
    <n v="0"/>
    <n v="-486.82"/>
    <n v="0"/>
    <n v="0"/>
  </r>
  <r>
    <n v="59624282"/>
    <s v="N"/>
    <n v="21361514"/>
    <s v="3000014022530002RC"/>
    <s v="CIVIL"/>
    <d v="2023-06-28T00:00:00"/>
    <d v="2023-07-11T19:38:00"/>
    <m/>
    <d v="2023-07-11T00:00:00"/>
    <n v="1248"/>
    <n v="17996"/>
    <s v="59624282"/>
    <s v="59624282"/>
    <m/>
    <m/>
    <m/>
    <m/>
    <m/>
    <m/>
    <s v="SOLRECOUP"/>
    <s v="SOLRECOUP"/>
    <s v="POARECOUP"/>
    <n v="21361514"/>
    <n v="-2511.36"/>
    <m/>
    <s v="Y"/>
    <n v="1"/>
    <d v="2023-07-11T19:38:01"/>
    <s v="N"/>
    <m/>
    <m/>
    <s v="Profit Cost"/>
    <m/>
    <s v="N"/>
    <n v="-2092.8"/>
    <n v="0"/>
    <x v="7"/>
    <s v="VALIDATED"/>
    <n v="1"/>
    <s v="01.11.80.308.2013.0000"/>
    <n v="-2092.8"/>
    <s v="11"/>
    <s v="2013"/>
    <n v="9085.299999999999"/>
    <n v="-2092.8"/>
    <s v="CREDITOR"/>
    <n v="0"/>
    <n v="0"/>
    <n v="-2092.8"/>
    <n v="-523.2"/>
    <n v="0"/>
  </r>
  <r>
    <n v="59624282"/>
    <s v="N"/>
    <n v="21361514"/>
    <s v="3000014022530002RC"/>
    <s v="CIVIL"/>
    <d v="2023-06-28T00:00:00"/>
    <d v="2023-07-11T19:38:00"/>
    <m/>
    <d v="2023-07-11T00:00:00"/>
    <n v="1248"/>
    <n v="17996"/>
    <s v="59624282"/>
    <s v="59624282"/>
    <m/>
    <m/>
    <m/>
    <m/>
    <m/>
    <m/>
    <s v="SOLRECOUP"/>
    <s v="SOLRECOUP"/>
    <s v="POARECOUP"/>
    <n v="21361514"/>
    <n v="-2511.36"/>
    <m/>
    <s v="Y"/>
    <n v="2"/>
    <d v="2023-07-11T19:38:01"/>
    <s v="N"/>
    <m/>
    <m/>
    <s v="Profit Cost"/>
    <m/>
    <s v="N"/>
    <n v="0"/>
    <n v="-418.56"/>
    <x v="7"/>
    <s v="VALIDATED"/>
    <n v="1"/>
    <s v="01.11.80.308.2013.0000"/>
    <n v="-418.56"/>
    <s v="11"/>
    <s v="2013"/>
    <n v="9085.299999999999"/>
    <n v="-418.56"/>
    <s v="CREDITOR"/>
    <n v="0"/>
    <n v="0"/>
    <n v="-418.56"/>
    <n v="-104.64"/>
    <n v="0"/>
  </r>
  <r>
    <n v="60114969"/>
    <s v="N"/>
    <n v="21328090"/>
    <s v="3000014444870008"/>
    <s v="CIVIL"/>
    <d v="2023-06-06T00:00:00"/>
    <d v="2023-07-04T19:00:44"/>
    <m/>
    <d v="2023-07-04T00:00:00"/>
    <n v="1248"/>
    <n v="17996"/>
    <s v="60114969"/>
    <s v="60114969"/>
    <m/>
    <m/>
    <n v="22623556"/>
    <m/>
    <m/>
    <m/>
    <s v="SOLFIN"/>
    <s v="SOLFIN"/>
    <s v="CCMS"/>
    <n v="21328090"/>
    <n v="16296.74"/>
    <m/>
    <s v="N"/>
    <n v="8"/>
    <d v="2023-07-04T19:01:03"/>
    <s v="Y"/>
    <s v="Preparation - other"/>
    <s v="Care Remuneration Hourly Rates"/>
    <s v="Profit Cost"/>
    <s v="HO"/>
    <s v="Y"/>
    <n v="86.18000000000001"/>
    <n v="17.23"/>
    <x v="1"/>
    <s v="VALIDATED"/>
    <n v="1"/>
    <s v="01.11.80.308.6100.0000"/>
    <n v="86.18000000000001"/>
    <s v="11"/>
    <s v="6100"/>
    <n v="9085.299999999999"/>
    <n v="86.18000000000001"/>
    <s v="CREDITOR"/>
    <n v="0"/>
    <n v="0"/>
    <n v="0"/>
    <n v="0"/>
    <n v="86.18000000000001"/>
  </r>
  <r>
    <n v="60114969"/>
    <s v="N"/>
    <n v="21328090"/>
    <s v="3000014444870008"/>
    <s v="CIVIL"/>
    <d v="2023-06-06T00:00:00"/>
    <d v="2023-07-04T19:00:44"/>
    <m/>
    <d v="2023-07-04T00:00:00"/>
    <n v="1248"/>
    <n v="17996"/>
    <s v="60114969"/>
    <s v="60114969"/>
    <m/>
    <m/>
    <n v="22623556"/>
    <m/>
    <m/>
    <m/>
    <s v="SOLFIN"/>
    <s v="SOLFIN"/>
    <s v="CCMS"/>
    <n v="21328090"/>
    <n v="16296.74"/>
    <m/>
    <s v="N"/>
    <n v="39"/>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87"/>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14"/>
    <d v="2023-07-04T19:01:03"/>
    <s v="Y"/>
    <s v="Preparation - drafting statem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31"/>
    <d v="2023-07-04T19:01:03"/>
    <s v="Y"/>
    <s v="Attendance upon client"/>
    <s v="Care Remuneration Hourly Rates"/>
    <s v="Profit Cost"/>
    <s v="HO"/>
    <s v="Y"/>
    <n v="251.34"/>
    <n v="50.26"/>
    <x v="1"/>
    <s v="VALIDATED"/>
    <n v="1"/>
    <s v="01.11.80.308.6100.0000"/>
    <n v="251.34"/>
    <s v="11"/>
    <s v="6100"/>
    <n v="9085.299999999999"/>
    <n v="251.34"/>
    <s v="CREDITOR"/>
    <n v="0"/>
    <n v="0"/>
    <n v="0"/>
    <n v="0"/>
    <n v="251.34"/>
  </r>
  <r>
    <n v="60114969"/>
    <s v="N"/>
    <n v="21328090"/>
    <s v="3000014444870008"/>
    <s v="CIVIL"/>
    <d v="2023-06-06T00:00:00"/>
    <d v="2023-07-04T19:00:44"/>
    <m/>
    <d v="2023-07-04T00:00:00"/>
    <n v="1248"/>
    <n v="17996"/>
    <s v="60114969"/>
    <s v="60114969"/>
    <m/>
    <m/>
    <n v="22623556"/>
    <m/>
    <m/>
    <m/>
    <s v="SOLFIN"/>
    <s v="SOLFIN"/>
    <s v="CCMS"/>
    <n v="21328090"/>
    <n v="16296.74"/>
    <m/>
    <s v="N"/>
    <n v="17"/>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22"/>
    <d v="2023-07-04T19:01:03"/>
    <s v="Y"/>
    <s v="Preparation -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49"/>
    <d v="2023-07-04T19:01:03"/>
    <s v="Y"/>
    <s v="DNA - test of sample"/>
    <s v="Care Remuneration Hourly Rates"/>
    <s v="Expert Disbursement"/>
    <s v="XXX"/>
    <s v="Y"/>
    <n v="152.25"/>
    <n v="30.45"/>
    <x v="1"/>
    <s v="VALIDATED"/>
    <n v="1"/>
    <s v="01.11.80.308.6300.0000"/>
    <n v="152.25"/>
    <s v="11"/>
    <s v="6300"/>
    <n v="9085.299999999999"/>
    <n v="152.25"/>
    <s v="CREDITOR"/>
    <n v="0"/>
    <n v="0"/>
    <n v="0"/>
    <n v="0"/>
    <n v="152.25"/>
  </r>
  <r>
    <n v="60114969"/>
    <s v="N"/>
    <n v="21328090"/>
    <s v="3000014444870008"/>
    <s v="CIVIL"/>
    <d v="2023-06-06T00:00:00"/>
    <d v="2023-07-04T19:00:44"/>
    <m/>
    <d v="2023-07-04T00:00:00"/>
    <n v="1248"/>
    <n v="17996"/>
    <s v="60114969"/>
    <s v="60114969"/>
    <m/>
    <m/>
    <n v="22623556"/>
    <m/>
    <m/>
    <m/>
    <s v="SOLFIN"/>
    <s v="SOLFIN"/>
    <s v="CCMS"/>
    <n v="21328090"/>
    <n v="16296.74"/>
    <m/>
    <s v="N"/>
    <n v="134"/>
    <d v="2023-07-04T19:01:03"/>
    <s v="Y"/>
    <s v="Preparation - drafting consent orde"/>
    <s v="Care Remuneration Hourly Rates"/>
    <s v="Profit Cost"/>
    <s v="HO"/>
    <s v="Y"/>
    <n v="7.18"/>
    <n v="1.44"/>
    <x v="1"/>
    <s v="VALIDATED"/>
    <n v="1"/>
    <s v="01.11.80.308.6100.0000"/>
    <n v="7.18"/>
    <s v="11"/>
    <s v="6100"/>
    <n v="9085.299999999999"/>
    <n v="7.18"/>
    <s v="CREDITOR"/>
    <n v="0"/>
    <n v="0"/>
    <n v="0"/>
    <n v="0"/>
    <n v="7.18"/>
  </r>
  <r>
    <n v="59624282"/>
    <s v="N"/>
    <n v="21360743"/>
    <s v="3000014022530005"/>
    <s v="CIVIL"/>
    <d v="2023-06-28T00:00:00"/>
    <d v="2023-07-11T19:00:25"/>
    <m/>
    <d v="2023-07-11T00:00:00"/>
    <n v="1248"/>
    <n v="17996"/>
    <s v="59624282"/>
    <s v="59624282"/>
    <m/>
    <m/>
    <n v="22775358"/>
    <m/>
    <m/>
    <m/>
    <s v="SOLFIN"/>
    <s v="SOLFIN"/>
    <s v="CCMS"/>
    <n v="21360743"/>
    <n v="4452.99"/>
    <m/>
    <s v="N"/>
    <n v="2"/>
    <d v="2023-07-11T19:00:32"/>
    <s v="Y"/>
    <s v="Advocates Meeting"/>
    <s v="Public Law Children"/>
    <s v="Advocacy"/>
    <s v="SG"/>
    <s v="Y"/>
    <n v="140.99"/>
    <n v="28.2"/>
    <x v="7"/>
    <s v="VALIDATED"/>
    <n v="1"/>
    <s v="01.11.80.308.6100.0000"/>
    <n v="140.99"/>
    <s v="11"/>
    <s v="6100"/>
    <n v="9085.299999999999"/>
    <n v="140.99"/>
    <s v="CREDITOR"/>
    <n v="0"/>
    <n v="0"/>
    <n v="0"/>
    <n v="0"/>
    <n v="140.99"/>
  </r>
  <r>
    <n v="60114969"/>
    <s v="N"/>
    <n v="21328090"/>
    <s v="3000014444870008"/>
    <s v="CIVIL"/>
    <d v="2023-06-06T00:00:00"/>
    <d v="2023-07-04T19:00:44"/>
    <m/>
    <d v="2023-07-04T00:00:00"/>
    <n v="1248"/>
    <n v="17996"/>
    <s v="60114969"/>
    <s v="60114969"/>
    <m/>
    <m/>
    <n v="22623556"/>
    <m/>
    <m/>
    <m/>
    <s v="SOLFIN"/>
    <s v="SOLFIN"/>
    <s v="CCMS"/>
    <n v="21328090"/>
    <n v="16296.74"/>
    <m/>
    <s v="N"/>
    <n v="153"/>
    <d v="2023-07-04T19:01:03"/>
    <s v="Y"/>
    <s v="Hearing Unit 2.31 - 5.00 Hours"/>
    <s v="Public Law Children"/>
    <s v="Advocacy"/>
    <s v="HO"/>
    <s v="Y"/>
    <n v="476.92"/>
    <n v="95.38"/>
    <x v="1"/>
    <s v="VALIDATED"/>
    <n v="1"/>
    <s v="01.11.80.308.6100.0000"/>
    <n v="476.92"/>
    <s v="11"/>
    <s v="6100"/>
    <n v="9085.299999999999"/>
    <n v="476.92"/>
    <s v="CREDITOR"/>
    <n v="0"/>
    <n v="0"/>
    <n v="0"/>
    <n v="0"/>
    <n v="476.92"/>
  </r>
  <r>
    <n v="60114969"/>
    <s v="N"/>
    <n v="21328090"/>
    <s v="3000014444870008"/>
    <s v="CIVIL"/>
    <d v="2023-06-06T00:00:00"/>
    <d v="2023-07-04T19:00:44"/>
    <m/>
    <d v="2023-07-04T00:00:00"/>
    <n v="1248"/>
    <n v="17996"/>
    <s v="60114969"/>
    <s v="60114969"/>
    <m/>
    <m/>
    <n v="22623556"/>
    <m/>
    <m/>
    <m/>
    <s v="SOLFIN"/>
    <s v="SOLFIN"/>
    <s v="CCMS"/>
    <n v="21328090"/>
    <n v="16296.74"/>
    <m/>
    <s v="N"/>
    <n v="123"/>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58"/>
    <d v="2023-07-04T19:01:03"/>
    <s v="Y"/>
    <s v="Advocates Meeting"/>
    <s v="Public Law Children"/>
    <s v="Advocacy"/>
    <s v="HO"/>
    <s v="Y"/>
    <n v="140.99"/>
    <n v="28.2"/>
    <x v="1"/>
    <s v="VALIDATED"/>
    <n v="1"/>
    <s v="01.11.80.308.6100.0000"/>
    <n v="140.99"/>
    <s v="11"/>
    <s v="6100"/>
    <n v="9085.299999999999"/>
    <n v="140.99"/>
    <s v="CREDITOR"/>
    <n v="0"/>
    <n v="0"/>
    <n v="0"/>
    <n v="0"/>
    <n v="140.99"/>
  </r>
  <r>
    <n v="60114969"/>
    <s v="N"/>
    <n v="21328090"/>
    <s v="3000014444870008"/>
    <s v="CIVIL"/>
    <d v="2023-06-06T00:00:00"/>
    <d v="2023-07-04T19:00:44"/>
    <m/>
    <d v="2023-07-04T00:00:00"/>
    <n v="1248"/>
    <n v="17996"/>
    <s v="60114969"/>
    <s v="60114969"/>
    <m/>
    <m/>
    <n v="22623556"/>
    <m/>
    <m/>
    <m/>
    <s v="SOLFIN"/>
    <s v="SOLFIN"/>
    <s v="CCMS"/>
    <n v="21328090"/>
    <n v="16296.74"/>
    <m/>
    <s v="N"/>
    <n v="67"/>
    <d v="2023-07-04T19:01:03"/>
    <s v="Y"/>
    <s v="Preparation - drafting consent orde"/>
    <s v="Care Remuneration Hourly Rates"/>
    <s v="Profit Cost"/>
    <s v="HO"/>
    <s v="Y"/>
    <n v="7.18"/>
    <n v="1.44"/>
    <x v="1"/>
    <s v="VALIDATED"/>
    <n v="1"/>
    <s v="01.11.80.308.6100.0000"/>
    <n v="7.18"/>
    <s v="11"/>
    <s v="6100"/>
    <n v="9085.299999999999"/>
    <n v="7.18"/>
    <s v="CREDITOR"/>
    <n v="0"/>
    <n v="0"/>
    <n v="0"/>
    <n v="0"/>
    <n v="7.18"/>
  </r>
  <r>
    <n v="60114969"/>
    <s v="N"/>
    <n v="21328090"/>
    <s v="3000014444870008"/>
    <s v="CIVIL"/>
    <d v="2023-06-06T00:00:00"/>
    <d v="2023-07-04T19:00:44"/>
    <m/>
    <d v="2023-07-04T00:00:00"/>
    <n v="1248"/>
    <n v="17996"/>
    <s v="60114969"/>
    <s v="60114969"/>
    <m/>
    <m/>
    <n v="22623556"/>
    <m/>
    <m/>
    <m/>
    <s v="SOLFIN"/>
    <s v="SOLFIN"/>
    <s v="CCMS"/>
    <n v="21328090"/>
    <n v="16296.74"/>
    <m/>
    <s v="N"/>
    <n v="125"/>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37"/>
    <d v="2023-07-04T19:01:03"/>
    <s v="Y"/>
    <s v="Attendance upon client"/>
    <s v="Care Remuneration Hourly Rates"/>
    <s v="Profit Cost"/>
    <s v="HO"/>
    <s v="Y"/>
    <n v="71.81"/>
    <n v="14.36"/>
    <x v="1"/>
    <s v="VALIDATED"/>
    <n v="1"/>
    <s v="01.11.80.308.6100.0000"/>
    <n v="71.81"/>
    <s v="11"/>
    <s v="6100"/>
    <n v="9085.299999999999"/>
    <n v="71.81"/>
    <s v="CREDITOR"/>
    <n v="0"/>
    <n v="0"/>
    <n v="0"/>
    <n v="0"/>
    <n v="71.81"/>
  </r>
  <r>
    <n v="60114969"/>
    <s v="N"/>
    <n v="21328090"/>
    <s v="3000014444870008"/>
    <s v="CIVIL"/>
    <d v="2023-06-06T00:00:00"/>
    <d v="2023-07-04T19:00:44"/>
    <m/>
    <d v="2023-07-04T00:00:00"/>
    <n v="1248"/>
    <n v="17996"/>
    <s v="60114969"/>
    <s v="60114969"/>
    <m/>
    <m/>
    <n v="22623556"/>
    <m/>
    <m/>
    <m/>
    <s v="SOLFIN"/>
    <s v="SOLFIN"/>
    <s v="CCMS"/>
    <n v="21328090"/>
    <n v="16296.74"/>
    <m/>
    <s v="N"/>
    <n v="151"/>
    <d v="2023-07-04T19:01:03"/>
    <s v="Y"/>
    <s v="Hearing Unit 2.31 - 5.00 Hours"/>
    <s v="Public Law Children"/>
    <s v="Advocacy"/>
    <s v="HO"/>
    <s v="Y"/>
    <n v="476.92"/>
    <n v="95.38"/>
    <x v="1"/>
    <s v="VALIDATED"/>
    <n v="1"/>
    <s v="01.11.80.308.6100.0000"/>
    <n v="476.92"/>
    <s v="11"/>
    <s v="6100"/>
    <n v="9085.299999999999"/>
    <n v="476.92"/>
    <s v="CREDITOR"/>
    <n v="0"/>
    <n v="0"/>
    <n v="0"/>
    <n v="0"/>
    <n v="476.92"/>
  </r>
  <r>
    <n v="60114969"/>
    <s v="N"/>
    <n v="21328090"/>
    <s v="3000014444870008"/>
    <s v="CIVIL"/>
    <d v="2023-06-06T00:00:00"/>
    <d v="2023-07-04T19:00:44"/>
    <m/>
    <d v="2023-07-04T00:00:00"/>
    <n v="1248"/>
    <n v="17996"/>
    <s v="60114969"/>
    <s v="60114969"/>
    <m/>
    <m/>
    <n v="22623556"/>
    <m/>
    <m/>
    <m/>
    <s v="SOLFIN"/>
    <s v="SOLFIN"/>
    <s v="CCMS"/>
    <n v="21328090"/>
    <n v="16296.74"/>
    <m/>
    <s v="N"/>
    <n v="92"/>
    <d v="2023-07-04T19:01:03"/>
    <s v="Y"/>
    <s v="Attendance upon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60"/>
    <d v="2023-07-04T19:01:03"/>
    <s v="Y"/>
    <s v="Attendance upon other side"/>
    <s v="Care Remuneration Hourly Rates"/>
    <s v="Profit Cost"/>
    <s v="HO"/>
    <s v="Y"/>
    <n v="28.73"/>
    <n v="5.75"/>
    <x v="1"/>
    <s v="VALIDATED"/>
    <n v="1"/>
    <s v="01.11.80.308.6100.0000"/>
    <n v="28.73"/>
    <s v="11"/>
    <s v="6100"/>
    <n v="9085.299999999999"/>
    <n v="28.73"/>
    <s v="CREDITOR"/>
    <n v="0"/>
    <n v="0"/>
    <n v="0"/>
    <n v="0"/>
    <n v="28.73"/>
  </r>
  <r>
    <n v="60114969"/>
    <s v="N"/>
    <n v="21328090"/>
    <s v="3000014444870008"/>
    <s v="CIVIL"/>
    <d v="2023-06-06T00:00:00"/>
    <d v="2023-07-04T19:00:44"/>
    <m/>
    <d v="2023-07-04T00:00:00"/>
    <n v="1248"/>
    <n v="17996"/>
    <s v="60114969"/>
    <s v="60114969"/>
    <m/>
    <m/>
    <n v="22623556"/>
    <m/>
    <m/>
    <m/>
    <s v="SOLFIN"/>
    <s v="SOLFIN"/>
    <s v="CCMS"/>
    <n v="21328090"/>
    <n v="16296.74"/>
    <m/>
    <s v="N"/>
    <n v="46"/>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65"/>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29"/>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83"/>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46"/>
    <d v="2023-07-04T19:01:03"/>
    <s v="Y"/>
    <s v="Routine Letter Out"/>
    <s v="Care Remuneration Hourly Rates"/>
    <s v="Profit Cost"/>
    <s v="HO"/>
    <s v="Y"/>
    <n v="955.71"/>
    <n v="191.13"/>
    <x v="1"/>
    <s v="VALIDATED"/>
    <n v="1"/>
    <s v="01.11.80.308.6100.0000"/>
    <n v="955.71"/>
    <s v="11"/>
    <s v="6100"/>
    <n v="9085.299999999999"/>
    <n v="955.71"/>
    <s v="CREDITOR"/>
    <n v="0"/>
    <n v="0"/>
    <n v="0"/>
    <n v="0"/>
    <n v="955.71"/>
  </r>
  <r>
    <n v="60114969"/>
    <s v="N"/>
    <n v="21328090"/>
    <s v="3000014444870008"/>
    <s v="CIVIL"/>
    <d v="2023-06-06T00:00:00"/>
    <d v="2023-07-04T19:00:44"/>
    <m/>
    <d v="2023-07-04T00:00:00"/>
    <n v="1248"/>
    <n v="17996"/>
    <s v="60114969"/>
    <s v="60114969"/>
    <m/>
    <m/>
    <n v="22623556"/>
    <m/>
    <m/>
    <m/>
    <s v="SOLFIN"/>
    <s v="SOLFIN"/>
    <s v="CCMS"/>
    <n v="21328090"/>
    <n v="16296.74"/>
    <m/>
    <s v="N"/>
    <n v="16"/>
    <d v="2023-07-04T19:01:03"/>
    <s v="Y"/>
    <s v="Preparation -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45"/>
    <d v="2023-07-04T19:01:03"/>
    <s v="Y"/>
    <s v="Routine Telephone Call"/>
    <s v="Care Remuneration Hourly Rates"/>
    <s v="Profit Cost"/>
    <s v="HO"/>
    <s v="Y"/>
    <n v="339.48"/>
    <n v="67.89"/>
    <x v="1"/>
    <s v="VALIDATED"/>
    <n v="1"/>
    <s v="01.11.80.308.6100.0000"/>
    <n v="339.48"/>
    <s v="11"/>
    <s v="6100"/>
    <n v="9085.299999999999"/>
    <n v="339.48"/>
    <s v="CREDITOR"/>
    <n v="0"/>
    <n v="0"/>
    <n v="0"/>
    <n v="0"/>
    <n v="339.48"/>
  </r>
  <r>
    <n v="60114969"/>
    <s v="N"/>
    <n v="21328090"/>
    <s v="3000014444870008"/>
    <s v="CIVIL"/>
    <d v="2023-06-06T00:00:00"/>
    <d v="2023-07-04T19:00:44"/>
    <m/>
    <d v="2023-07-04T00:00:00"/>
    <n v="1248"/>
    <n v="17996"/>
    <s v="60114969"/>
    <s v="60114969"/>
    <m/>
    <m/>
    <n v="22623556"/>
    <m/>
    <m/>
    <m/>
    <s v="SOLFIN"/>
    <s v="SOLFIN"/>
    <s v="CCMS"/>
    <n v="21328090"/>
    <n v="16296.74"/>
    <m/>
    <s v="N"/>
    <n v="71"/>
    <d v="2023-07-04T19:01:03"/>
    <s v="Y"/>
    <s v="Attendance upon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21"/>
    <d v="2023-07-04T19:01:03"/>
    <s v="Y"/>
    <s v="Preparation - other"/>
    <s v="Care Remuneration Hourly Rates"/>
    <s v="Profit Cost"/>
    <s v="HO"/>
    <s v="Y"/>
    <n v="11.05"/>
    <n v="2.21"/>
    <x v="1"/>
    <s v="VALIDATED"/>
    <n v="1"/>
    <s v="01.11.80.308.6100.0000"/>
    <n v="11.05"/>
    <s v="11"/>
    <s v="6100"/>
    <n v="9085.299999999999"/>
    <n v="11.05"/>
    <s v="CREDITOR"/>
    <n v="0"/>
    <n v="0"/>
    <n v="0"/>
    <n v="0"/>
    <n v="11.05"/>
  </r>
  <r>
    <n v="60114969"/>
    <s v="N"/>
    <n v="21328090"/>
    <s v="3000014444870008"/>
    <s v="CIVIL"/>
    <d v="2023-06-06T00:00:00"/>
    <d v="2023-07-04T19:00:44"/>
    <m/>
    <d v="2023-07-04T00:00:00"/>
    <n v="1248"/>
    <n v="17996"/>
    <s v="60114969"/>
    <s v="60114969"/>
    <m/>
    <m/>
    <n v="22623556"/>
    <m/>
    <m/>
    <m/>
    <s v="SOLFIN"/>
    <s v="SOLFIN"/>
    <s v="CCMS"/>
    <n v="21328090"/>
    <n v="16296.74"/>
    <m/>
    <s v="N"/>
    <n v="77"/>
    <d v="2023-07-04T19:01:03"/>
    <s v="Y"/>
    <s v="Preparation - drafting consent orde"/>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85"/>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74"/>
    <d v="2023-07-04T19:01:03"/>
    <s v="Y"/>
    <s v="Preparation - drafting notice(s)"/>
    <s v="Care Remuneration Hourly Rates"/>
    <s v="Profit Cost"/>
    <s v="HO"/>
    <s v="Y"/>
    <n v="5.52"/>
    <n v="1.1"/>
    <x v="1"/>
    <s v="VALIDATED"/>
    <n v="1"/>
    <s v="01.11.80.308.6100.0000"/>
    <n v="5.52"/>
    <s v="11"/>
    <s v="6100"/>
    <n v="9085.299999999999"/>
    <n v="5.52"/>
    <s v="CREDITOR"/>
    <n v="0"/>
    <n v="0"/>
    <n v="0"/>
    <n v="0"/>
    <n v="5.52"/>
  </r>
  <r>
    <n v="60114969"/>
    <s v="N"/>
    <n v="21328090"/>
    <s v="3000014444870008"/>
    <s v="CIVIL"/>
    <d v="2023-06-06T00:00:00"/>
    <d v="2023-07-04T19:00:44"/>
    <m/>
    <d v="2023-07-04T00:00:00"/>
    <n v="1248"/>
    <n v="17996"/>
    <s v="60114969"/>
    <s v="60114969"/>
    <m/>
    <m/>
    <n v="22623556"/>
    <m/>
    <m/>
    <m/>
    <s v="SOLFIN"/>
    <s v="SOLFIN"/>
    <s v="CCMS"/>
    <n v="21328090"/>
    <n v="16296.74"/>
    <m/>
    <s v="N"/>
    <n v="55"/>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
    <d v="2023-07-04T19:01:03"/>
    <s v="Y"/>
    <s v="Attendance upon client"/>
    <s v="Care Remuneration Hourly Rates"/>
    <s v="Profit Cost"/>
    <s v="HO"/>
    <s v="Y"/>
    <n v="50.27"/>
    <n v="10.05"/>
    <x v="1"/>
    <s v="VALIDATED"/>
    <n v="1"/>
    <s v="01.11.80.308.6100.0000"/>
    <n v="50.27"/>
    <s v="11"/>
    <s v="6100"/>
    <n v="9085.299999999999"/>
    <n v="50.27"/>
    <s v="CREDITOR"/>
    <n v="0"/>
    <n v="0"/>
    <n v="0"/>
    <n v="0"/>
    <n v="50.27"/>
  </r>
  <r>
    <n v="60114969"/>
    <s v="N"/>
    <n v="21328090"/>
    <s v="3000014444870008"/>
    <s v="CIVIL"/>
    <d v="2023-06-06T00:00:00"/>
    <d v="2023-07-04T19:00:44"/>
    <m/>
    <d v="2023-07-04T00:00:00"/>
    <n v="1248"/>
    <n v="17996"/>
    <s v="60114969"/>
    <s v="60114969"/>
    <m/>
    <m/>
    <n v="22623556"/>
    <m/>
    <m/>
    <m/>
    <s v="SOLFIN"/>
    <s v="SOLFIN"/>
    <s v="CCMS"/>
    <n v="21328090"/>
    <n v="16296.74"/>
    <m/>
    <s v="N"/>
    <n v="9"/>
    <d v="2023-07-04T19:01:03"/>
    <s v="Y"/>
    <s v="Preparation - drafting attendance n"/>
    <s v="Care Remuneration Hourly Rates"/>
    <s v="Profit Cost"/>
    <s v="HO"/>
    <s v="Y"/>
    <n v="27.62"/>
    <n v="5.52"/>
    <x v="1"/>
    <s v="VALIDATED"/>
    <n v="1"/>
    <s v="01.11.80.308.6100.0000"/>
    <n v="27.62"/>
    <s v="11"/>
    <s v="6100"/>
    <n v="9085.299999999999"/>
    <n v="27.62"/>
    <s v="CREDITOR"/>
    <n v="0"/>
    <n v="0"/>
    <n v="0"/>
    <n v="0"/>
    <n v="27.62"/>
  </r>
  <r>
    <n v="60114969"/>
    <s v="N"/>
    <n v="21328090"/>
    <s v="3000014444870008"/>
    <s v="CIVIL"/>
    <d v="2023-06-06T00:00:00"/>
    <d v="2023-07-04T19:00:44"/>
    <m/>
    <d v="2023-07-04T00:00:00"/>
    <n v="1248"/>
    <n v="17996"/>
    <s v="60114969"/>
    <s v="60114969"/>
    <m/>
    <m/>
    <n v="22623556"/>
    <m/>
    <m/>
    <m/>
    <s v="SOLFIN"/>
    <s v="SOLFIN"/>
    <s v="CCMS"/>
    <n v="21328090"/>
    <n v="16296.74"/>
    <m/>
    <s v="N"/>
    <n v="124"/>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35"/>
    <d v="2023-07-04T19:01:03"/>
    <s v="Y"/>
    <s v="Preparation - drafting statement"/>
    <s v="Care Remuneration Hourly Rates"/>
    <s v="Profit Cost"/>
    <s v="HO"/>
    <s v="Y"/>
    <n v="78.98999999999999"/>
    <n v="15.8"/>
    <x v="1"/>
    <s v="VALIDATED"/>
    <n v="1"/>
    <s v="01.11.80.308.6100.0000"/>
    <n v="78.98999999999999"/>
    <s v="11"/>
    <s v="6100"/>
    <n v="9085.299999999999"/>
    <n v="78.98999999999999"/>
    <s v="CREDITOR"/>
    <n v="0"/>
    <n v="0"/>
    <n v="0"/>
    <n v="0"/>
    <n v="78.98999999999999"/>
  </r>
  <r>
    <n v="59624282"/>
    <s v="N"/>
    <n v="21360743"/>
    <s v="3000014022530005"/>
    <s v="CIVIL"/>
    <d v="2023-06-28T00:00:00"/>
    <d v="2023-07-11T19:00:25"/>
    <m/>
    <d v="2023-07-11T00:00:00"/>
    <n v="1248"/>
    <n v="17996"/>
    <s v="59624282"/>
    <s v="59624282"/>
    <m/>
    <m/>
    <n v="22775358"/>
    <m/>
    <m/>
    <m/>
    <s v="SOLFIN"/>
    <s v="SOLFIN"/>
    <s v="CCMS"/>
    <n v="21360743"/>
    <n v="4452.99"/>
    <m/>
    <s v="N"/>
    <n v="3"/>
    <d v="2023-07-11T19:00:32"/>
    <s v="Y"/>
    <s v="Hearing Unit 2.31 - 5.00 Hours"/>
    <s v="Public Law Children"/>
    <s v="Advocacy"/>
    <s v="SG"/>
    <s v="Y"/>
    <n v="476.92"/>
    <n v="95.38"/>
    <x v="7"/>
    <s v="VALIDATED"/>
    <n v="1"/>
    <s v="01.11.80.308.6100.0000"/>
    <n v="476.92"/>
    <s v="11"/>
    <s v="6100"/>
    <n v="9085.299999999999"/>
    <n v="476.92"/>
    <s v="CREDITOR"/>
    <n v="0"/>
    <n v="0"/>
    <n v="0"/>
    <n v="0"/>
    <n v="476.92"/>
  </r>
  <r>
    <n v="60114969"/>
    <s v="N"/>
    <n v="21328090"/>
    <s v="3000014444870008"/>
    <s v="CIVIL"/>
    <d v="2023-06-06T00:00:00"/>
    <d v="2023-07-04T19:00:44"/>
    <m/>
    <d v="2023-07-04T00:00:00"/>
    <n v="1248"/>
    <n v="17996"/>
    <s v="60114969"/>
    <s v="60114969"/>
    <m/>
    <m/>
    <n v="22623556"/>
    <m/>
    <m/>
    <m/>
    <s v="SOLFIN"/>
    <s v="SOLFIN"/>
    <s v="CCMS"/>
    <n v="21328090"/>
    <n v="16296.74"/>
    <m/>
    <s v="N"/>
    <n v="14"/>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35"/>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43"/>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3"/>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24"/>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13"/>
    <d v="2023-07-04T19:01:03"/>
    <s v="Y"/>
    <s v="Preparation - drafting statement"/>
    <s v="Care Remuneration Hourly Rates"/>
    <s v="Profit Cost"/>
    <s v="HO"/>
    <s v="Y"/>
    <n v="35.91"/>
    <n v="7.18"/>
    <x v="1"/>
    <s v="VALIDATED"/>
    <n v="1"/>
    <s v="01.11.80.308.6100.0000"/>
    <n v="35.91"/>
    <s v="11"/>
    <s v="6100"/>
    <n v="9085.299999999999"/>
    <n v="35.91"/>
    <s v="CREDITOR"/>
    <n v="0"/>
    <n v="0"/>
    <n v="0"/>
    <n v="0"/>
    <n v="35.91"/>
  </r>
  <r>
    <n v="60114969"/>
    <s v="N"/>
    <n v="21328090"/>
    <s v="3000014444870008"/>
    <s v="CIVIL"/>
    <d v="2023-06-06T00:00:00"/>
    <d v="2023-07-04T19:00:44"/>
    <m/>
    <d v="2023-07-04T00:00:00"/>
    <n v="1248"/>
    <n v="17996"/>
    <s v="60114969"/>
    <s v="60114969"/>
    <m/>
    <m/>
    <n v="22623556"/>
    <m/>
    <m/>
    <m/>
    <s v="SOLFIN"/>
    <s v="SOLFIN"/>
    <s v="CCMS"/>
    <n v="21328090"/>
    <n v="16296.74"/>
    <m/>
    <s v="N"/>
    <n v="37"/>
    <d v="2023-07-04T19:01:03"/>
    <s v="Y"/>
    <s v="Preparation - other"/>
    <s v="Care Remuneration Hourly Rates"/>
    <s v="Profit Cost"/>
    <s v="HO"/>
    <s v="Y"/>
    <n v="35.91"/>
    <n v="7.18"/>
    <x v="1"/>
    <s v="VALIDATED"/>
    <n v="1"/>
    <s v="01.11.80.308.6100.0000"/>
    <n v="35.91"/>
    <s v="11"/>
    <s v="6100"/>
    <n v="9085.299999999999"/>
    <n v="35.91"/>
    <s v="CREDITOR"/>
    <n v="0"/>
    <n v="0"/>
    <n v="0"/>
    <n v="0"/>
    <n v="35.91"/>
  </r>
  <r>
    <n v="60114969"/>
    <s v="N"/>
    <n v="21328090"/>
    <s v="3000014444870008"/>
    <s v="CIVIL"/>
    <d v="2023-06-06T00:00:00"/>
    <d v="2023-07-04T19:00:44"/>
    <m/>
    <d v="2023-07-04T00:00:00"/>
    <n v="1248"/>
    <n v="17996"/>
    <s v="60114969"/>
    <s v="60114969"/>
    <m/>
    <m/>
    <n v="22623556"/>
    <m/>
    <m/>
    <m/>
    <s v="SOLFIN"/>
    <s v="SOLFIN"/>
    <s v="CCMS"/>
    <n v="21328090"/>
    <n v="16296.74"/>
    <m/>
    <s v="N"/>
    <n v="68"/>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54"/>
    <d v="2023-07-04T19:01:03"/>
    <s v="Y"/>
    <s v="Preparation -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7"/>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57"/>
    <d v="2023-07-04T19:01:03"/>
    <s v="Y"/>
    <s v="Hearing Unit 2.31 - 5.00 Hours"/>
    <s v="Public Law Children"/>
    <s v="Advocacy"/>
    <s v="HO"/>
    <s v="Y"/>
    <n v="476.92"/>
    <n v="95.38"/>
    <x v="1"/>
    <s v="VALIDATED"/>
    <n v="1"/>
    <s v="01.11.80.308.6100.0000"/>
    <n v="476.92"/>
    <s v="11"/>
    <s v="6100"/>
    <n v="9085.299999999999"/>
    <n v="476.92"/>
    <s v="CREDITOR"/>
    <n v="0"/>
    <n v="0"/>
    <n v="0"/>
    <n v="0"/>
    <n v="476.92"/>
  </r>
  <r>
    <n v="60114969"/>
    <s v="N"/>
    <n v="21328090"/>
    <s v="3000014444870008"/>
    <s v="CIVIL"/>
    <d v="2023-06-06T00:00:00"/>
    <d v="2023-07-04T19:00:44"/>
    <m/>
    <d v="2023-07-04T00:00:00"/>
    <n v="1248"/>
    <n v="17996"/>
    <s v="60114969"/>
    <s v="60114969"/>
    <m/>
    <m/>
    <n v="22623556"/>
    <m/>
    <m/>
    <m/>
    <s v="SOLFIN"/>
    <s v="SOLFIN"/>
    <s v="CCMS"/>
    <n v="21328090"/>
    <n v="16296.74"/>
    <m/>
    <s v="N"/>
    <n v="94"/>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6"/>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10"/>
    <d v="2023-07-04T19:01:03"/>
    <s v="Y"/>
    <s v="Attendance upon client"/>
    <s v="Care Remuneration Hourly Rates"/>
    <s v="Profit Cost"/>
    <s v="HO"/>
    <s v="Y"/>
    <n v="35.91"/>
    <n v="7.18"/>
    <x v="1"/>
    <s v="VALIDATED"/>
    <n v="1"/>
    <s v="01.11.80.308.6100.0000"/>
    <n v="35.91"/>
    <s v="11"/>
    <s v="6100"/>
    <n v="9085.299999999999"/>
    <n v="35.91"/>
    <s v="CREDITOR"/>
    <n v="0"/>
    <n v="0"/>
    <n v="0"/>
    <n v="0"/>
    <n v="35.91"/>
  </r>
  <r>
    <n v="60114969"/>
    <s v="N"/>
    <n v="21328090"/>
    <s v="3000014444870008"/>
    <s v="CIVIL"/>
    <d v="2023-06-06T00:00:00"/>
    <d v="2023-07-04T19:00:44"/>
    <m/>
    <d v="2023-07-04T00:00:00"/>
    <n v="1248"/>
    <n v="17996"/>
    <s v="60114969"/>
    <s v="60114969"/>
    <m/>
    <m/>
    <n v="22623556"/>
    <m/>
    <m/>
    <m/>
    <s v="SOLFIN"/>
    <s v="SOLFIN"/>
    <s v="CCMS"/>
    <n v="21328090"/>
    <n v="16296.74"/>
    <m/>
    <s v="N"/>
    <n v="12"/>
    <d v="2023-07-04T19:01:03"/>
    <s v="Y"/>
    <s v="Preparation - other"/>
    <s v="Care Remuneration Hourly Rates"/>
    <s v="Profit Cost"/>
    <s v="HO"/>
    <s v="Y"/>
    <n v="64.64"/>
    <n v="12.93"/>
    <x v="1"/>
    <s v="VALIDATED"/>
    <n v="1"/>
    <s v="01.11.80.308.6100.0000"/>
    <n v="64.64"/>
    <s v="11"/>
    <s v="6100"/>
    <n v="9085.299999999999"/>
    <n v="64.64"/>
    <s v="CREDITOR"/>
    <n v="0"/>
    <n v="0"/>
    <n v="0"/>
    <n v="0"/>
    <n v="64.64"/>
  </r>
  <r>
    <n v="60114969"/>
    <s v="N"/>
    <n v="21328090"/>
    <s v="3000014444870008"/>
    <s v="CIVIL"/>
    <d v="2023-06-06T00:00:00"/>
    <d v="2023-07-04T19:00:44"/>
    <m/>
    <d v="2023-07-04T00:00:00"/>
    <n v="1248"/>
    <n v="17996"/>
    <s v="60114969"/>
    <s v="60114969"/>
    <m/>
    <m/>
    <n v="22623556"/>
    <m/>
    <m/>
    <m/>
    <s v="SOLFIN"/>
    <s v="SOLFIN"/>
    <s v="CCMS"/>
    <n v="21328090"/>
    <n v="16296.74"/>
    <m/>
    <s v="N"/>
    <n v="13"/>
    <d v="2023-07-04T19:01:03"/>
    <s v="Y"/>
    <s v="Preparation - drafting consent orde"/>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29"/>
    <d v="2023-07-04T19:01:03"/>
    <s v="Y"/>
    <s v="Preparation - other"/>
    <s v="Care Remuneration Hourly Rates"/>
    <s v="Profit Cost"/>
    <s v="HO"/>
    <s v="Y"/>
    <n v="22.1"/>
    <n v="4.42"/>
    <x v="1"/>
    <s v="VALIDATED"/>
    <n v="1"/>
    <s v="01.11.80.308.6100.0000"/>
    <n v="22.1"/>
    <s v="11"/>
    <s v="6100"/>
    <n v="9085.299999999999"/>
    <n v="22.1"/>
    <s v="CREDITOR"/>
    <n v="0"/>
    <n v="0"/>
    <n v="0"/>
    <n v="0"/>
    <n v="22.1"/>
  </r>
  <r>
    <n v="60114969"/>
    <s v="N"/>
    <n v="21328090"/>
    <s v="3000014444870008"/>
    <s v="CIVIL"/>
    <d v="2023-06-06T00:00:00"/>
    <d v="2023-07-04T19:00:44"/>
    <m/>
    <d v="2023-07-04T00:00:00"/>
    <n v="1248"/>
    <n v="17996"/>
    <s v="60114969"/>
    <s v="60114969"/>
    <m/>
    <m/>
    <n v="22623556"/>
    <m/>
    <m/>
    <m/>
    <s v="SOLFIN"/>
    <s v="SOLFIN"/>
    <s v="CCMS"/>
    <n v="21328090"/>
    <n v="16296.74"/>
    <m/>
    <s v="N"/>
    <n v="90"/>
    <d v="2023-07-04T19:01:03"/>
    <s v="Y"/>
    <s v="Preparation - other"/>
    <s v="Care Remuneration Hourly Rates"/>
    <s v="Profit Cost"/>
    <s v="HO"/>
    <s v="Y"/>
    <n v="43.08"/>
    <n v="8.619999999999999"/>
    <x v="1"/>
    <s v="VALIDATED"/>
    <n v="1"/>
    <s v="01.11.80.308.6100.0000"/>
    <n v="43.08"/>
    <s v="11"/>
    <s v="6100"/>
    <n v="9085.299999999999"/>
    <n v="43.08"/>
    <s v="CREDITOR"/>
    <n v="0"/>
    <n v="0"/>
    <n v="0"/>
    <n v="0"/>
    <n v="43.08"/>
  </r>
  <r>
    <n v="60114969"/>
    <s v="N"/>
    <n v="21328090"/>
    <s v="3000014444870008"/>
    <s v="CIVIL"/>
    <d v="2023-06-06T00:00:00"/>
    <d v="2023-07-04T19:00:44"/>
    <m/>
    <d v="2023-07-04T00:00:00"/>
    <n v="1248"/>
    <n v="17996"/>
    <s v="60114969"/>
    <s v="60114969"/>
    <m/>
    <m/>
    <n v="22623556"/>
    <m/>
    <m/>
    <m/>
    <s v="SOLFIN"/>
    <s v="SOLFIN"/>
    <s v="CCMS"/>
    <n v="21328090"/>
    <n v="16296.74"/>
    <m/>
    <s v="N"/>
    <n v="126"/>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2"/>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9"/>
    <d v="2023-07-04T19:01:03"/>
    <s v="Y"/>
    <s v="Attendance upon client"/>
    <s v="Care Remuneration Hourly Rates"/>
    <s v="Profit Cost"/>
    <s v="HO"/>
    <s v="Y"/>
    <n v="287.25"/>
    <n v="57.45"/>
    <x v="1"/>
    <s v="VALIDATED"/>
    <n v="1"/>
    <s v="01.11.80.308.6100.0000"/>
    <n v="287.25"/>
    <s v="11"/>
    <s v="6100"/>
    <n v="9085.299999999999"/>
    <n v="287.25"/>
    <s v="CREDITOR"/>
    <n v="0"/>
    <n v="0"/>
    <n v="0"/>
    <n v="0"/>
    <n v="287.25"/>
  </r>
  <r>
    <n v="60114969"/>
    <s v="N"/>
    <n v="21328090"/>
    <s v="3000014444870008"/>
    <s v="CIVIL"/>
    <d v="2023-06-06T00:00:00"/>
    <d v="2023-07-04T19:00:44"/>
    <m/>
    <d v="2023-07-04T00:00:00"/>
    <n v="1248"/>
    <n v="17996"/>
    <s v="60114969"/>
    <s v="60114969"/>
    <m/>
    <m/>
    <n v="22623556"/>
    <m/>
    <m/>
    <m/>
    <s v="SOLFIN"/>
    <s v="SOLFIN"/>
    <s v="CCMS"/>
    <n v="21328090"/>
    <n v="16296.74"/>
    <m/>
    <s v="N"/>
    <n v="30"/>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02"/>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52"/>
    <d v="2023-07-04T19:01:03"/>
    <s v="Y"/>
    <s v="Advocates Meeting"/>
    <s v="Public Law Children"/>
    <s v="Advocacy"/>
    <s v="HO"/>
    <s v="Y"/>
    <n v="140.99"/>
    <n v="28.2"/>
    <x v="1"/>
    <s v="VALIDATED"/>
    <n v="1"/>
    <s v="01.11.80.308.6100.0000"/>
    <n v="140.99"/>
    <s v="11"/>
    <s v="6100"/>
    <n v="9085.299999999999"/>
    <n v="140.99"/>
    <s v="CREDITOR"/>
    <n v="0"/>
    <n v="0"/>
    <n v="0"/>
    <n v="0"/>
    <n v="140.99"/>
  </r>
  <r>
    <n v="60114969"/>
    <s v="N"/>
    <n v="21328090"/>
    <s v="3000014444870008"/>
    <s v="CIVIL"/>
    <d v="2023-06-06T00:00:00"/>
    <d v="2023-07-04T19:00:44"/>
    <m/>
    <d v="2023-07-04T00:00:00"/>
    <n v="1248"/>
    <n v="17996"/>
    <s v="60114969"/>
    <s v="60114969"/>
    <m/>
    <m/>
    <n v="22623556"/>
    <m/>
    <m/>
    <m/>
    <s v="SOLFIN"/>
    <s v="SOLFIN"/>
    <s v="CCMS"/>
    <n v="21328090"/>
    <n v="16296.74"/>
    <m/>
    <s v="N"/>
    <n v="61"/>
    <d v="2023-07-04T19:01:03"/>
    <s v="Y"/>
    <s v="Attendance upon client"/>
    <s v="Care Remuneration Hourly Rates"/>
    <s v="Profit Cost"/>
    <s v="HO"/>
    <s v="Y"/>
    <n v="28.73"/>
    <n v="5.75"/>
    <x v="1"/>
    <s v="VALIDATED"/>
    <n v="1"/>
    <s v="01.11.80.308.6100.0000"/>
    <n v="28.73"/>
    <s v="11"/>
    <s v="6100"/>
    <n v="9085.299999999999"/>
    <n v="28.73"/>
    <s v="CREDITOR"/>
    <n v="0"/>
    <n v="0"/>
    <n v="0"/>
    <n v="0"/>
    <n v="28.73"/>
  </r>
  <r>
    <n v="60114969"/>
    <s v="N"/>
    <n v="21328090"/>
    <s v="3000014444870008"/>
    <s v="CIVIL"/>
    <d v="2023-06-06T00:00:00"/>
    <d v="2023-07-04T19:00:44"/>
    <m/>
    <d v="2023-07-04T00:00:00"/>
    <n v="1248"/>
    <n v="17996"/>
    <s v="60114969"/>
    <s v="60114969"/>
    <m/>
    <m/>
    <n v="22623556"/>
    <m/>
    <m/>
    <m/>
    <s v="SOLFIN"/>
    <s v="SOLFIN"/>
    <s v="CCMS"/>
    <n v="21328090"/>
    <n v="16296.74"/>
    <m/>
    <s v="N"/>
    <n v="105"/>
    <d v="2023-07-04T19:01:03"/>
    <s v="Y"/>
    <s v="Preparation - other"/>
    <s v="Care Remuneration Hourly Rates"/>
    <s v="Profit Cost"/>
    <s v="HO"/>
    <s v="Y"/>
    <n v="71.81"/>
    <n v="14.36"/>
    <x v="1"/>
    <s v="VALIDATED"/>
    <n v="1"/>
    <s v="01.11.80.308.6100.0000"/>
    <n v="71.81"/>
    <s v="11"/>
    <s v="6100"/>
    <n v="9085.299999999999"/>
    <n v="71.81"/>
    <s v="CREDITOR"/>
    <n v="0"/>
    <n v="0"/>
    <n v="0"/>
    <n v="0"/>
    <n v="71.81"/>
  </r>
  <r>
    <n v="60114969"/>
    <s v="N"/>
    <n v="21328090"/>
    <s v="3000014444870008"/>
    <s v="CIVIL"/>
    <d v="2023-06-06T00:00:00"/>
    <d v="2023-07-04T19:00:44"/>
    <m/>
    <d v="2023-07-04T00:00:00"/>
    <n v="1248"/>
    <n v="17996"/>
    <s v="60114969"/>
    <s v="60114969"/>
    <m/>
    <m/>
    <n v="22623556"/>
    <m/>
    <m/>
    <m/>
    <s v="SOLFIN"/>
    <s v="SOLFIN"/>
    <s v="CCMS"/>
    <n v="21328090"/>
    <n v="16296.74"/>
    <m/>
    <s v="N"/>
    <n v="106"/>
    <d v="2023-07-04T19:01:03"/>
    <s v="Y"/>
    <s v="Attendance upon client"/>
    <s v="Care Remuneration Hourly Rates"/>
    <s v="Profit Cost"/>
    <s v="HO"/>
    <s v="Y"/>
    <n v="258.52"/>
    <n v="51.7"/>
    <x v="1"/>
    <s v="VALIDATED"/>
    <n v="1"/>
    <s v="01.11.80.308.6100.0000"/>
    <n v="258.52"/>
    <s v="11"/>
    <s v="6100"/>
    <n v="9085.299999999999"/>
    <n v="258.52"/>
    <s v="CREDITOR"/>
    <n v="0"/>
    <n v="0"/>
    <n v="0"/>
    <n v="0"/>
    <n v="258.52"/>
  </r>
  <r>
    <n v="60114969"/>
    <s v="N"/>
    <n v="21328090"/>
    <s v="3000014444870008"/>
    <s v="CIVIL"/>
    <d v="2023-06-06T00:00:00"/>
    <d v="2023-07-04T19:00:44"/>
    <m/>
    <d v="2023-07-04T00:00:00"/>
    <n v="1248"/>
    <n v="17996"/>
    <s v="60114969"/>
    <s v="60114969"/>
    <m/>
    <m/>
    <n v="22623556"/>
    <m/>
    <m/>
    <m/>
    <s v="SOLFIN"/>
    <s v="SOLFIN"/>
    <s v="CCMS"/>
    <n v="21328090"/>
    <n v="16296.74"/>
    <m/>
    <s v="N"/>
    <n v="97"/>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28"/>
    <d v="2023-07-04T19:01:03"/>
    <s v="Y"/>
    <s v="Preparation - other"/>
    <s v="Care Remuneration Hourly Rates"/>
    <s v="Profit Cost"/>
    <s v="HO"/>
    <s v="Y"/>
    <n v="16.57"/>
    <n v="3.31"/>
    <x v="1"/>
    <s v="VALIDATED"/>
    <n v="1"/>
    <s v="01.11.80.308.6100.0000"/>
    <n v="16.57"/>
    <s v="11"/>
    <s v="6100"/>
    <n v="9085.299999999999"/>
    <n v="16.57"/>
    <s v="CREDITOR"/>
    <n v="0"/>
    <n v="0"/>
    <n v="0"/>
    <n v="0"/>
    <n v="16.57"/>
  </r>
  <r>
    <n v="60114969"/>
    <s v="N"/>
    <n v="21328090"/>
    <s v="3000014444870008"/>
    <s v="CIVIL"/>
    <d v="2023-06-06T00:00:00"/>
    <d v="2023-07-04T19:00:44"/>
    <m/>
    <d v="2023-07-04T00:00:00"/>
    <n v="1248"/>
    <n v="17996"/>
    <s v="60114969"/>
    <s v="60114969"/>
    <m/>
    <m/>
    <n v="22623556"/>
    <m/>
    <m/>
    <m/>
    <s v="SOLFIN"/>
    <s v="SOLFIN"/>
    <s v="CCMS"/>
    <n v="21328090"/>
    <n v="16296.74"/>
    <m/>
    <s v="N"/>
    <n v="120"/>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2"/>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62"/>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20"/>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34"/>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00"/>
    <d v="2023-07-04T19:01:03"/>
    <s v="Y"/>
    <s v="Preparation - drafting consent orde"/>
    <s v="Care Remuneration Hourly Rates"/>
    <s v="Profit Cost"/>
    <s v="HO"/>
    <s v="Y"/>
    <n v="7.18"/>
    <n v="1.44"/>
    <x v="1"/>
    <s v="VALIDATED"/>
    <n v="1"/>
    <s v="01.11.80.308.6100.0000"/>
    <n v="7.18"/>
    <s v="11"/>
    <s v="6100"/>
    <n v="9085.299999999999"/>
    <n v="7.18"/>
    <s v="CREDITOR"/>
    <n v="0"/>
    <n v="0"/>
    <n v="0"/>
    <n v="0"/>
    <n v="7.18"/>
  </r>
  <r>
    <n v="60114969"/>
    <s v="N"/>
    <n v="21328090"/>
    <s v="3000014444870008"/>
    <s v="CIVIL"/>
    <d v="2023-06-06T00:00:00"/>
    <d v="2023-07-04T19:00:44"/>
    <m/>
    <d v="2023-07-04T00:00:00"/>
    <n v="1248"/>
    <n v="17996"/>
    <s v="60114969"/>
    <s v="60114969"/>
    <m/>
    <m/>
    <n v="22623556"/>
    <m/>
    <m/>
    <m/>
    <s v="SOLFIN"/>
    <s v="SOLFIN"/>
    <s v="CCMS"/>
    <n v="21328090"/>
    <n v="16296.74"/>
    <m/>
    <s v="N"/>
    <n v="49"/>
    <d v="2023-07-04T19:01:03"/>
    <s v="Y"/>
    <s v="Preparation - other"/>
    <s v="Care Remuneration Hourly Rates"/>
    <s v="Profit Cost"/>
    <s v="HO"/>
    <s v="Y"/>
    <n v="16.57"/>
    <n v="3.31"/>
    <x v="1"/>
    <s v="VALIDATED"/>
    <n v="1"/>
    <s v="01.11.80.308.6100.0000"/>
    <n v="16.57"/>
    <s v="11"/>
    <s v="6100"/>
    <n v="9085.299999999999"/>
    <n v="16.57"/>
    <s v="CREDITOR"/>
    <n v="0"/>
    <n v="0"/>
    <n v="0"/>
    <n v="0"/>
    <n v="16.57"/>
  </r>
  <r>
    <n v="60114969"/>
    <s v="N"/>
    <n v="21328090"/>
    <s v="3000014444870008"/>
    <s v="CIVIL"/>
    <d v="2023-06-06T00:00:00"/>
    <d v="2023-07-04T19:00:44"/>
    <m/>
    <d v="2023-07-04T00:00:00"/>
    <n v="1248"/>
    <n v="17996"/>
    <s v="60114969"/>
    <s v="60114969"/>
    <m/>
    <m/>
    <n v="22623556"/>
    <m/>
    <m/>
    <m/>
    <s v="SOLFIN"/>
    <s v="SOLFIN"/>
    <s v="CCMS"/>
    <n v="21328090"/>
    <n v="16296.74"/>
    <m/>
    <s v="N"/>
    <n v="95"/>
    <d v="2023-07-04T19:01:03"/>
    <s v="Y"/>
    <s v="Preparation - other"/>
    <s v="Care Remuneration Hourly Rates"/>
    <s v="Profit Cost"/>
    <s v="HO"/>
    <s v="Y"/>
    <n v="380.6"/>
    <n v="76.11"/>
    <x v="1"/>
    <s v="VALIDATED"/>
    <n v="1"/>
    <s v="01.11.80.308.6100.0000"/>
    <n v="380.6"/>
    <s v="11"/>
    <s v="6100"/>
    <n v="9085.299999999999"/>
    <n v="380.6"/>
    <s v="CREDITOR"/>
    <n v="0"/>
    <n v="0"/>
    <n v="0"/>
    <n v="0"/>
    <n v="380.6"/>
  </r>
  <r>
    <n v="60114969"/>
    <s v="N"/>
    <n v="21328090"/>
    <s v="3000014444870008"/>
    <s v="CIVIL"/>
    <d v="2023-06-06T00:00:00"/>
    <d v="2023-07-04T19:00:44"/>
    <m/>
    <d v="2023-07-04T00:00:00"/>
    <n v="1248"/>
    <n v="17996"/>
    <s v="60114969"/>
    <s v="60114969"/>
    <m/>
    <m/>
    <n v="22623556"/>
    <m/>
    <m/>
    <m/>
    <s v="SOLFIN"/>
    <s v="SOLFIN"/>
    <s v="CCMS"/>
    <n v="21328090"/>
    <n v="16296.74"/>
    <m/>
    <s v="N"/>
    <n v="96"/>
    <d v="2023-07-04T19:01:03"/>
    <s v="Y"/>
    <s v="Preparation - drafting consent orde"/>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18"/>
    <d v="2023-07-04T19:01:03"/>
    <s v="Y"/>
    <s v="Preparation - drafting consent orde"/>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15"/>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03"/>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30"/>
    <d v="2023-07-04T19:01:03"/>
    <s v="Y"/>
    <s v="Preparation - other"/>
    <s v="Care Remuneration Hourly Rates"/>
    <s v="Profit Cost"/>
    <s v="HO"/>
    <s v="Y"/>
    <n v="258.52"/>
    <n v="51.7"/>
    <x v="1"/>
    <s v="VALIDATED"/>
    <n v="1"/>
    <s v="01.11.80.308.6100.0000"/>
    <n v="258.52"/>
    <s v="11"/>
    <s v="6100"/>
    <n v="9085.299999999999"/>
    <n v="258.52"/>
    <s v="CREDITOR"/>
    <n v="0"/>
    <n v="0"/>
    <n v="0"/>
    <n v="0"/>
    <n v="258.52"/>
  </r>
  <r>
    <n v="60114969"/>
    <s v="N"/>
    <n v="21328090"/>
    <s v="3000014444870008"/>
    <s v="CIVIL"/>
    <d v="2023-06-06T00:00:00"/>
    <d v="2023-07-04T19:00:44"/>
    <m/>
    <d v="2023-07-04T00:00:00"/>
    <n v="1248"/>
    <n v="17996"/>
    <s v="60114969"/>
    <s v="60114969"/>
    <m/>
    <m/>
    <n v="22623556"/>
    <m/>
    <m/>
    <m/>
    <s v="SOLFIN"/>
    <s v="SOLFIN"/>
    <s v="CCMS"/>
    <n v="21328090"/>
    <n v="16296.74"/>
    <m/>
    <s v="N"/>
    <n v="119"/>
    <d v="2023-07-04T19:01:03"/>
    <s v="Y"/>
    <s v="Preparation -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08"/>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86"/>
    <d v="2023-07-04T19:01:03"/>
    <s v="Y"/>
    <s v="Preparation - other"/>
    <s v="Care Remuneration Hourly Rates"/>
    <s v="Profit Cost"/>
    <s v="HO"/>
    <s v="Y"/>
    <n v="215.44"/>
    <n v="43.08"/>
    <x v="1"/>
    <s v="VALIDATED"/>
    <n v="1"/>
    <s v="01.11.80.308.6100.0000"/>
    <n v="215.44"/>
    <s v="11"/>
    <s v="6100"/>
    <n v="9085.299999999999"/>
    <n v="215.44"/>
    <s v="CREDITOR"/>
    <n v="0"/>
    <n v="0"/>
    <n v="0"/>
    <n v="0"/>
    <n v="215.44"/>
  </r>
  <r>
    <n v="60114969"/>
    <s v="N"/>
    <n v="21328090"/>
    <s v="3000014444870008"/>
    <s v="CIVIL"/>
    <d v="2023-06-06T00:00:00"/>
    <d v="2023-07-04T19:00:44"/>
    <m/>
    <d v="2023-07-04T00:00:00"/>
    <n v="1248"/>
    <n v="17996"/>
    <s v="60114969"/>
    <s v="60114969"/>
    <m/>
    <m/>
    <n v="22623556"/>
    <m/>
    <m/>
    <m/>
    <s v="SOLFIN"/>
    <s v="SOLFIN"/>
    <s v="CCMS"/>
    <n v="21328090"/>
    <n v="16296.74"/>
    <m/>
    <s v="N"/>
    <n v="25"/>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1"/>
    <d v="2023-07-04T19:01:03"/>
    <s v="Y"/>
    <s v="Preparation - other"/>
    <s v="Care Remuneration Hourly Rates"/>
    <s v="Profit Cost"/>
    <s v="HO"/>
    <s v="Y"/>
    <n v="28.73"/>
    <n v="5.75"/>
    <x v="1"/>
    <s v="VALIDATED"/>
    <n v="1"/>
    <s v="01.11.80.308.6100.0000"/>
    <n v="28.73"/>
    <s v="11"/>
    <s v="6100"/>
    <n v="9085.299999999999"/>
    <n v="28.73"/>
    <s v="CREDITOR"/>
    <n v="0"/>
    <n v="0"/>
    <n v="0"/>
    <n v="0"/>
    <n v="28.73"/>
  </r>
  <r>
    <n v="60114969"/>
    <s v="N"/>
    <n v="21328090"/>
    <s v="3000014444870008"/>
    <s v="CIVIL"/>
    <d v="2023-06-06T00:00:00"/>
    <d v="2023-07-04T19:00:44"/>
    <m/>
    <d v="2023-07-04T00:00:00"/>
    <n v="1248"/>
    <n v="17996"/>
    <s v="60114969"/>
    <s v="60114969"/>
    <m/>
    <m/>
    <n v="22623556"/>
    <m/>
    <m/>
    <m/>
    <s v="SOLFIN"/>
    <s v="SOLFIN"/>
    <s v="CCMS"/>
    <n v="21328090"/>
    <n v="16296.74"/>
    <m/>
    <s v="N"/>
    <n v="138"/>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5"/>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23"/>
    <d v="2023-07-04T19:01:03"/>
    <s v="Y"/>
    <s v="Preparation - other"/>
    <s v="Care Remuneration Hourly Rates"/>
    <s v="Profit Cost"/>
    <s v="HO"/>
    <s v="Y"/>
    <n v="44.19"/>
    <n v="8.84"/>
    <x v="1"/>
    <s v="VALIDATED"/>
    <n v="1"/>
    <s v="01.11.80.308.6100.0000"/>
    <n v="44.19"/>
    <s v="11"/>
    <s v="6100"/>
    <n v="9085.299999999999"/>
    <n v="44.19"/>
    <s v="CREDITOR"/>
    <n v="0"/>
    <n v="0"/>
    <n v="0"/>
    <n v="0"/>
    <n v="44.19"/>
  </r>
  <r>
    <n v="60114969"/>
    <s v="N"/>
    <n v="21328090"/>
    <s v="3000014444870008"/>
    <s v="CIVIL"/>
    <d v="2023-06-06T00:00:00"/>
    <d v="2023-07-04T19:00:44"/>
    <m/>
    <d v="2023-07-04T00:00:00"/>
    <n v="1248"/>
    <n v="17996"/>
    <s v="60114969"/>
    <s v="60114969"/>
    <m/>
    <m/>
    <n v="22623556"/>
    <m/>
    <m/>
    <m/>
    <s v="SOLFIN"/>
    <s v="SOLFIN"/>
    <s v="CCMS"/>
    <n v="21328090"/>
    <n v="16296.74"/>
    <m/>
    <s v="N"/>
    <n v="27"/>
    <d v="2023-07-04T19:01:03"/>
    <s v="Y"/>
    <s v="Preparation - other"/>
    <s v="Care Remuneration Hourly Rates"/>
    <s v="Profit Cost"/>
    <s v="HO"/>
    <s v="Y"/>
    <n v="11.05"/>
    <n v="2.21"/>
    <x v="1"/>
    <s v="VALIDATED"/>
    <n v="1"/>
    <s v="01.11.80.308.6100.0000"/>
    <n v="11.05"/>
    <s v="11"/>
    <s v="6100"/>
    <n v="9085.299999999999"/>
    <n v="11.05"/>
    <s v="CREDITOR"/>
    <n v="0"/>
    <n v="0"/>
    <n v="0"/>
    <n v="0"/>
    <n v="11.05"/>
  </r>
  <r>
    <n v="60114969"/>
    <s v="N"/>
    <n v="21328090"/>
    <s v="3000014444870008"/>
    <s v="CIVIL"/>
    <d v="2023-06-06T00:00:00"/>
    <d v="2023-07-04T19:00:44"/>
    <m/>
    <d v="2023-07-04T00:00:00"/>
    <n v="1248"/>
    <n v="17996"/>
    <s v="60114969"/>
    <s v="60114969"/>
    <m/>
    <m/>
    <n v="22623556"/>
    <m/>
    <m/>
    <m/>
    <s v="SOLFIN"/>
    <s v="SOLFIN"/>
    <s v="CCMS"/>
    <n v="21328090"/>
    <n v="16296.74"/>
    <m/>
    <s v="N"/>
    <n v="40"/>
    <d v="2023-07-04T19:01:03"/>
    <s v="Y"/>
    <s v="Preparation - other"/>
    <s v="Care Remuneration Hourly Rates"/>
    <s v="Profit Cost"/>
    <s v="HO"/>
    <s v="Y"/>
    <n v="28.73"/>
    <n v="5.75"/>
    <x v="1"/>
    <s v="VALIDATED"/>
    <n v="1"/>
    <s v="01.11.80.308.6100.0000"/>
    <n v="28.73"/>
    <s v="11"/>
    <s v="6100"/>
    <n v="9085.299999999999"/>
    <n v="28.73"/>
    <s v="CREDITOR"/>
    <n v="0"/>
    <n v="0"/>
    <n v="0"/>
    <n v="0"/>
    <n v="28.73"/>
  </r>
  <r>
    <n v="60114969"/>
    <s v="N"/>
    <n v="21328090"/>
    <s v="3000014444870008"/>
    <s v="CIVIL"/>
    <d v="2023-06-06T00:00:00"/>
    <d v="2023-07-04T19:00:44"/>
    <m/>
    <d v="2023-07-04T00:00:00"/>
    <n v="1248"/>
    <n v="17996"/>
    <s v="60114969"/>
    <s v="60114969"/>
    <m/>
    <m/>
    <n v="22623556"/>
    <m/>
    <m/>
    <m/>
    <s v="SOLFIN"/>
    <s v="SOLFIN"/>
    <s v="CCMS"/>
    <n v="21328090"/>
    <n v="16296.74"/>
    <m/>
    <s v="N"/>
    <n v="41"/>
    <d v="2023-07-04T19:01:03"/>
    <s v="Y"/>
    <s v="Attendance upon client"/>
    <s v="Care Remuneration Hourly Rates"/>
    <s v="Profit Cost"/>
    <s v="HO"/>
    <s v="Y"/>
    <n v="14.37"/>
    <n v="2.87"/>
    <x v="1"/>
    <s v="VALIDATED"/>
    <n v="1"/>
    <s v="01.11.80.308.6100.0000"/>
    <n v="14.37"/>
    <s v="11"/>
    <s v="6100"/>
    <n v="9085.299999999999"/>
    <n v="14.37"/>
    <s v="CREDITOR"/>
    <n v="0"/>
    <n v="0"/>
    <n v="0"/>
    <n v="0"/>
    <n v="14.37"/>
  </r>
  <r>
    <n v="62283393"/>
    <s v="N"/>
    <n v="21321822"/>
    <s v="3000016277680001"/>
    <s v="CIVIL"/>
    <d v="2023-06-28T00:00:00"/>
    <d v="2023-07-03T19:05:17"/>
    <m/>
    <d v="2023-07-03T00:00:00"/>
    <n v="1248"/>
    <n v="17996"/>
    <s v="62283393"/>
    <s v="62283393"/>
    <m/>
    <m/>
    <n v="22784578"/>
    <m/>
    <m/>
    <m/>
    <s v="SOLPOA"/>
    <s v="SOLPOA"/>
    <s v="CCMS"/>
    <n v="21321822"/>
    <n v="97.56"/>
    <m/>
    <s v="N"/>
    <n v="1"/>
    <d v="2023-07-03T19:05:21"/>
    <s v="N"/>
    <s v="Non Expert Disbursement - Domestic "/>
    <s v="Non Expert Disbursement - Dome"/>
    <s v="Non Expert Disbursement"/>
    <s v="shiza ayub"/>
    <s v="N"/>
    <n v="81.3"/>
    <n v="16.26"/>
    <x v="3"/>
    <s v="VALIDATED"/>
    <n v="1"/>
    <s v="01.11.80.302.2012.0000"/>
    <n v="81.3"/>
    <s v="11"/>
    <s v="2012"/>
    <n v="9085.299999999999"/>
    <n v="81.3"/>
    <s v="CREDITOR"/>
    <n v="81.3"/>
    <n v="0"/>
    <n v="0"/>
    <n v="0"/>
    <n v="0"/>
  </r>
  <r>
    <n v="60114969"/>
    <s v="N"/>
    <n v="21328090"/>
    <s v="3000014444870008"/>
    <s v="CIVIL"/>
    <d v="2023-06-06T00:00:00"/>
    <d v="2023-07-04T19:00:44"/>
    <m/>
    <d v="2023-07-04T00:00:00"/>
    <n v="1248"/>
    <n v="17996"/>
    <s v="60114969"/>
    <s v="60114969"/>
    <m/>
    <m/>
    <n v="22623556"/>
    <m/>
    <m/>
    <m/>
    <s v="SOLFIN"/>
    <s v="SOLFIN"/>
    <s v="CCMS"/>
    <n v="21328090"/>
    <n v="16296.74"/>
    <m/>
    <s v="N"/>
    <n v="69"/>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89"/>
    <d v="2023-07-04T19:01:03"/>
    <s v="Y"/>
    <s v="Attendance upon client"/>
    <s v="Care Remuneration Hourly Rates"/>
    <s v="Profit Cost"/>
    <s v="HO"/>
    <s v="Y"/>
    <n v="165.17"/>
    <n v="33.03"/>
    <x v="1"/>
    <s v="VALIDATED"/>
    <n v="1"/>
    <s v="01.11.80.308.6100.0000"/>
    <n v="165.17"/>
    <s v="11"/>
    <s v="6100"/>
    <n v="9085.299999999999"/>
    <n v="165.17"/>
    <s v="CREDITOR"/>
    <n v="0"/>
    <n v="0"/>
    <n v="0"/>
    <n v="0"/>
    <n v="165.17"/>
  </r>
  <r>
    <n v="60114969"/>
    <s v="N"/>
    <n v="21328090"/>
    <s v="3000014444870008"/>
    <s v="CIVIL"/>
    <d v="2023-06-06T00:00:00"/>
    <d v="2023-07-04T19:00:44"/>
    <m/>
    <d v="2023-07-04T00:00:00"/>
    <n v="1248"/>
    <n v="17996"/>
    <s v="60114969"/>
    <s v="60114969"/>
    <m/>
    <m/>
    <n v="22623556"/>
    <m/>
    <m/>
    <m/>
    <s v="SOLFIN"/>
    <s v="SOLFIN"/>
    <s v="CCMS"/>
    <n v="21328090"/>
    <n v="16296.74"/>
    <m/>
    <s v="N"/>
    <n v="122"/>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50"/>
    <d v="2023-07-04T19:01:03"/>
    <s v="Y"/>
    <s v="Child psychologist"/>
    <s v="Care Remuneration Hourly Rates"/>
    <s v="Expert Disbursement"/>
    <s v="XXX"/>
    <s v="Y"/>
    <n v="2225.5"/>
    <n v="445.19"/>
    <x v="1"/>
    <s v="VALIDATED"/>
    <n v="1"/>
    <s v="01.11.80.308.6300.0000"/>
    <n v="2225.5"/>
    <s v="11"/>
    <s v="6300"/>
    <n v="9085.299999999999"/>
    <n v="2225.5"/>
    <s v="CREDITOR"/>
    <n v="0"/>
    <n v="0"/>
    <n v="0"/>
    <n v="0"/>
    <n v="2225.5"/>
  </r>
  <r>
    <n v="60114969"/>
    <s v="N"/>
    <n v="21328090"/>
    <s v="3000014444870008"/>
    <s v="CIVIL"/>
    <d v="2023-06-06T00:00:00"/>
    <d v="2023-07-04T19:00:44"/>
    <m/>
    <d v="2023-07-04T00:00:00"/>
    <n v="1248"/>
    <n v="17996"/>
    <s v="60114969"/>
    <s v="60114969"/>
    <m/>
    <m/>
    <n v="22623556"/>
    <m/>
    <m/>
    <m/>
    <s v="SOLFIN"/>
    <s v="SOLFIN"/>
    <s v="CCMS"/>
    <n v="21328090"/>
    <n v="16296.74"/>
    <m/>
    <s v="N"/>
    <n v="159"/>
    <d v="2023-07-04T19:01:03"/>
    <s v="Y"/>
    <s v="Hearing Unit 2.31 - 5.00 Hours"/>
    <s v="Public Law Children"/>
    <s v="Advocacy"/>
    <s v="HO"/>
    <s v="Y"/>
    <n v="476.92"/>
    <n v="95.38"/>
    <x v="1"/>
    <s v="VALIDATED"/>
    <n v="1"/>
    <s v="01.11.80.308.6100.0000"/>
    <n v="476.92"/>
    <s v="11"/>
    <s v="6100"/>
    <n v="9085.299999999999"/>
    <n v="476.92"/>
    <s v="CREDITOR"/>
    <n v="0"/>
    <n v="0"/>
    <n v="0"/>
    <n v="0"/>
    <n v="476.92"/>
  </r>
  <r>
    <n v="60114969"/>
    <s v="N"/>
    <n v="21328090"/>
    <s v="3000014444870008"/>
    <s v="CIVIL"/>
    <d v="2023-06-06T00:00:00"/>
    <d v="2023-07-04T19:00:44"/>
    <m/>
    <d v="2023-07-04T00:00:00"/>
    <n v="1248"/>
    <n v="17996"/>
    <s v="60114969"/>
    <s v="60114969"/>
    <m/>
    <m/>
    <n v="22623556"/>
    <m/>
    <m/>
    <m/>
    <s v="SOLFIN"/>
    <s v="SOLFIN"/>
    <s v="CCMS"/>
    <n v="21328090"/>
    <n v="16296.74"/>
    <m/>
    <s v="N"/>
    <n v="66"/>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17"/>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3"/>
    <d v="2023-07-04T19:01:03"/>
    <s v="Y"/>
    <s v="Preparation - drafting consent orde"/>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09"/>
    <d v="2023-07-04T19:01:03"/>
    <s v="Y"/>
    <s v="Preparation -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04"/>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12"/>
    <d v="2023-07-04T19:01:03"/>
    <s v="Y"/>
    <s v="Preparation - other"/>
    <s v="Care Remuneration Hourly Rates"/>
    <s v="Profit Cost"/>
    <s v="HO"/>
    <s v="Y"/>
    <n v="143.62"/>
    <n v="28.72"/>
    <x v="1"/>
    <s v="VALIDATED"/>
    <n v="1"/>
    <s v="01.11.80.308.6100.0000"/>
    <n v="143.62"/>
    <s v="11"/>
    <s v="6100"/>
    <n v="9085.299999999999"/>
    <n v="143.62"/>
    <s v="CREDITOR"/>
    <n v="0"/>
    <n v="0"/>
    <n v="0"/>
    <n v="0"/>
    <n v="143.62"/>
  </r>
  <r>
    <n v="60114969"/>
    <s v="N"/>
    <n v="21328090"/>
    <s v="3000014444870008"/>
    <s v="CIVIL"/>
    <d v="2023-06-06T00:00:00"/>
    <d v="2023-07-04T19:00:44"/>
    <m/>
    <d v="2023-07-04T00:00:00"/>
    <n v="1248"/>
    <n v="17996"/>
    <s v="60114969"/>
    <s v="60114969"/>
    <m/>
    <m/>
    <n v="22623556"/>
    <m/>
    <m/>
    <m/>
    <s v="SOLFIN"/>
    <s v="SOLFIN"/>
    <s v="CCMS"/>
    <n v="21328090"/>
    <n v="16296.74"/>
    <m/>
    <s v="N"/>
    <n v="18"/>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36"/>
    <d v="2023-07-04T19:01:03"/>
    <s v="Y"/>
    <s v="Preparation - drafting notice(s)"/>
    <s v="Care Remuneration Hourly Rates"/>
    <s v="Profit Cost"/>
    <s v="HO"/>
    <s v="Y"/>
    <n v="16.57"/>
    <n v="3.31"/>
    <x v="1"/>
    <s v="VALIDATED"/>
    <n v="1"/>
    <s v="01.11.80.308.6100.0000"/>
    <n v="16.57"/>
    <s v="11"/>
    <s v="6100"/>
    <n v="9085.299999999999"/>
    <n v="16.57"/>
    <s v="CREDITOR"/>
    <n v="0"/>
    <n v="0"/>
    <n v="0"/>
    <n v="0"/>
    <n v="16.57"/>
  </r>
  <r>
    <n v="60114969"/>
    <s v="N"/>
    <n v="21328090"/>
    <s v="3000014444870008"/>
    <s v="CIVIL"/>
    <d v="2023-06-06T00:00:00"/>
    <d v="2023-07-04T19:00:44"/>
    <m/>
    <d v="2023-07-04T00:00:00"/>
    <n v="1248"/>
    <n v="17996"/>
    <s v="60114969"/>
    <s v="60114969"/>
    <m/>
    <m/>
    <n v="22623556"/>
    <m/>
    <m/>
    <m/>
    <s v="SOLFIN"/>
    <s v="SOLFIN"/>
    <s v="CCMS"/>
    <n v="21328090"/>
    <n v="16296.74"/>
    <m/>
    <s v="N"/>
    <n v="42"/>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44"/>
    <d v="2023-07-04T19:01:03"/>
    <s v="Y"/>
    <s v="Preparation - drafting instructions"/>
    <s v="Care Remuneration Hourly Rates"/>
    <s v="Profit Cost"/>
    <s v="HO"/>
    <s v="Y"/>
    <n v="28.73"/>
    <n v="5.75"/>
    <x v="1"/>
    <s v="VALIDATED"/>
    <n v="1"/>
    <s v="01.11.80.308.6100.0000"/>
    <n v="28.73"/>
    <s v="11"/>
    <s v="6100"/>
    <n v="9085.299999999999"/>
    <n v="28.73"/>
    <s v="CREDITOR"/>
    <n v="0"/>
    <n v="0"/>
    <n v="0"/>
    <n v="0"/>
    <n v="28.73"/>
  </r>
  <r>
    <n v="60114969"/>
    <s v="N"/>
    <n v="21328090"/>
    <s v="3000014444870008"/>
    <s v="CIVIL"/>
    <d v="2023-06-06T00:00:00"/>
    <d v="2023-07-04T19:00:44"/>
    <m/>
    <d v="2023-07-04T00:00:00"/>
    <n v="1248"/>
    <n v="17996"/>
    <s v="60114969"/>
    <s v="60114969"/>
    <m/>
    <m/>
    <n v="22623556"/>
    <m/>
    <m/>
    <m/>
    <s v="SOLFIN"/>
    <s v="SOLFIN"/>
    <s v="CCMS"/>
    <n v="21328090"/>
    <n v="16296.74"/>
    <m/>
    <s v="N"/>
    <n v="48"/>
    <d v="2023-07-04T19:01:03"/>
    <s v="Y"/>
    <s v="Attendance upon client"/>
    <s v="Care Remuneration Hourly Rates"/>
    <s v="Profit Cost"/>
    <s v="HO"/>
    <s v="Y"/>
    <n v="35.91"/>
    <n v="7.18"/>
    <x v="1"/>
    <s v="VALIDATED"/>
    <n v="1"/>
    <s v="01.11.80.308.6100.0000"/>
    <n v="35.91"/>
    <s v="11"/>
    <s v="6100"/>
    <n v="9085.299999999999"/>
    <n v="35.91"/>
    <s v="CREDITOR"/>
    <n v="0"/>
    <n v="0"/>
    <n v="0"/>
    <n v="0"/>
    <n v="35.91"/>
  </r>
  <r>
    <n v="60114969"/>
    <s v="N"/>
    <n v="21328090"/>
    <s v="3000014444870008"/>
    <s v="CIVIL"/>
    <d v="2023-06-06T00:00:00"/>
    <d v="2023-07-04T19:00:44"/>
    <m/>
    <d v="2023-07-04T00:00:00"/>
    <n v="1248"/>
    <n v="17996"/>
    <s v="60114969"/>
    <s v="60114969"/>
    <m/>
    <m/>
    <n v="22623556"/>
    <m/>
    <m/>
    <m/>
    <s v="SOLFIN"/>
    <s v="SOLFIN"/>
    <s v="CCMS"/>
    <n v="21328090"/>
    <n v="16296.74"/>
    <m/>
    <s v="N"/>
    <n v="78"/>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28"/>
    <d v="2023-07-04T19:01:03"/>
    <s v="Y"/>
    <s v="Preparation - other"/>
    <s v="Care Remuneration Hourly Rates"/>
    <s v="Profit Cost"/>
    <s v="HO"/>
    <s v="Y"/>
    <n v="157.99"/>
    <n v="31.6"/>
    <x v="1"/>
    <s v="VALIDATED"/>
    <n v="1"/>
    <s v="01.11.80.308.6100.0000"/>
    <n v="157.99"/>
    <s v="11"/>
    <s v="6100"/>
    <n v="9085.299999999999"/>
    <n v="157.99"/>
    <s v="CREDITOR"/>
    <n v="0"/>
    <n v="0"/>
    <n v="0"/>
    <n v="0"/>
    <n v="157.99"/>
  </r>
  <r>
    <n v="60114969"/>
    <s v="N"/>
    <n v="21328090"/>
    <s v="3000014444870008"/>
    <s v="CIVIL"/>
    <d v="2023-06-06T00:00:00"/>
    <d v="2023-07-04T19:00:44"/>
    <m/>
    <d v="2023-07-04T00:00:00"/>
    <n v="1248"/>
    <n v="17996"/>
    <s v="60114969"/>
    <s v="60114969"/>
    <m/>
    <m/>
    <n v="22623556"/>
    <m/>
    <m/>
    <m/>
    <s v="SOLFIN"/>
    <s v="SOLFIN"/>
    <s v="CCMS"/>
    <n v="21328090"/>
    <n v="16296.74"/>
    <m/>
    <s v="N"/>
    <n v="80"/>
    <d v="2023-07-04T19:01:03"/>
    <s v="Y"/>
    <s v="Preparation - other"/>
    <s v="Care Remuneration Hourly Rates"/>
    <s v="Profit Cost"/>
    <s v="HO"/>
    <s v="Y"/>
    <n v="86.18000000000001"/>
    <n v="17.23"/>
    <x v="1"/>
    <s v="VALIDATED"/>
    <n v="1"/>
    <s v="01.11.80.308.6100.0000"/>
    <n v="86.18000000000001"/>
    <s v="11"/>
    <s v="6100"/>
    <n v="9085.299999999999"/>
    <n v="86.18000000000001"/>
    <s v="CREDITOR"/>
    <n v="0"/>
    <n v="0"/>
    <n v="0"/>
    <n v="0"/>
    <n v="86.18000000000001"/>
  </r>
  <r>
    <n v="60114969"/>
    <s v="N"/>
    <n v="21328090"/>
    <s v="3000014444870008"/>
    <s v="CIVIL"/>
    <d v="2023-06-06T00:00:00"/>
    <d v="2023-07-04T19:00:44"/>
    <m/>
    <d v="2023-07-04T00:00:00"/>
    <n v="1248"/>
    <n v="17996"/>
    <s v="60114969"/>
    <s v="60114969"/>
    <m/>
    <m/>
    <n v="22623556"/>
    <m/>
    <m/>
    <m/>
    <s v="SOLFIN"/>
    <s v="SOLFIN"/>
    <s v="CCMS"/>
    <n v="21328090"/>
    <n v="16296.74"/>
    <m/>
    <s v="N"/>
    <n v="11"/>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91"/>
    <d v="2023-07-04T19:01:03"/>
    <s v="Y"/>
    <s v="Preparation - other"/>
    <s v="Care Remuneration Hourly Rates"/>
    <s v="Profit Cost"/>
    <s v="HO"/>
    <s v="Y"/>
    <n v="172.35"/>
    <n v="34.47"/>
    <x v="1"/>
    <s v="VALIDATED"/>
    <n v="1"/>
    <s v="01.11.80.308.6100.0000"/>
    <n v="172.35"/>
    <s v="11"/>
    <s v="6100"/>
    <n v="9085.299999999999"/>
    <n v="172.35"/>
    <s v="CREDITOR"/>
    <n v="0"/>
    <n v="0"/>
    <n v="0"/>
    <n v="0"/>
    <n v="172.35"/>
  </r>
  <r>
    <n v="60114969"/>
    <s v="N"/>
    <n v="21328090"/>
    <s v="3000014444870008"/>
    <s v="CIVIL"/>
    <d v="2023-06-06T00:00:00"/>
    <d v="2023-07-04T19:00:44"/>
    <m/>
    <d v="2023-07-04T00:00:00"/>
    <n v="1248"/>
    <n v="17996"/>
    <s v="60114969"/>
    <s v="60114969"/>
    <m/>
    <m/>
    <n v="22623556"/>
    <m/>
    <m/>
    <m/>
    <s v="SOLFIN"/>
    <s v="SOLFIN"/>
    <s v="CCMS"/>
    <n v="21328090"/>
    <n v="16296.74"/>
    <m/>
    <s v="N"/>
    <n v="10"/>
    <d v="2023-07-04T19:01:03"/>
    <s v="Y"/>
    <s v="Preparation - drafting notice(s)"/>
    <s v="Care Remuneration Hourly Rates"/>
    <s v="Profit Cost"/>
    <s v="HO"/>
    <s v="Y"/>
    <n v="22.1"/>
    <n v="4.42"/>
    <x v="1"/>
    <s v="VALIDATED"/>
    <n v="1"/>
    <s v="01.11.80.308.6100.0000"/>
    <n v="22.1"/>
    <s v="11"/>
    <s v="6100"/>
    <n v="9085.299999999999"/>
    <n v="22.1"/>
    <s v="CREDITOR"/>
    <n v="0"/>
    <n v="0"/>
    <n v="0"/>
    <n v="0"/>
    <n v="22.1"/>
  </r>
  <r>
    <n v="60114969"/>
    <s v="N"/>
    <n v="21328090"/>
    <s v="3000014444870008"/>
    <s v="CIVIL"/>
    <d v="2023-06-06T00:00:00"/>
    <d v="2023-07-04T19:00:44"/>
    <m/>
    <d v="2023-07-04T00:00:00"/>
    <n v="1248"/>
    <n v="17996"/>
    <s v="60114969"/>
    <s v="60114969"/>
    <m/>
    <m/>
    <n v="22623556"/>
    <m/>
    <m/>
    <m/>
    <s v="SOLFIN"/>
    <s v="SOLFIN"/>
    <s v="CCMS"/>
    <n v="21328090"/>
    <n v="16296.74"/>
    <m/>
    <s v="N"/>
    <n v="140"/>
    <d v="2023-07-04T19:01:03"/>
    <s v="Y"/>
    <s v="Preparation - other"/>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84"/>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31"/>
    <d v="2023-07-04T19:01:03"/>
    <s v="Y"/>
    <s v="Attendance upon other"/>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61"/>
    <d v="2023-07-04T19:01:03"/>
    <s v="Y"/>
    <s v="Interim Hearing Court Bundle/Advoca"/>
    <s v="Public Law Children"/>
    <s v="Advocacy"/>
    <s v="HO"/>
    <s v="Y"/>
    <n v="89.09999999999999"/>
    <n v="17.82"/>
    <x v="1"/>
    <s v="VALIDATED"/>
    <n v="1"/>
    <s v="01.11.80.308.6100.0000"/>
    <n v="89.09999999999999"/>
    <s v="11"/>
    <s v="6100"/>
    <n v="9085.299999999999"/>
    <n v="89.09999999999999"/>
    <s v="CREDITOR"/>
    <n v="0"/>
    <n v="0"/>
    <n v="0"/>
    <n v="0"/>
    <n v="89.09999999999999"/>
  </r>
  <r>
    <n v="60114969"/>
    <s v="N"/>
    <n v="21328090"/>
    <s v="3000014444870008"/>
    <s v="CIVIL"/>
    <d v="2023-06-06T00:00:00"/>
    <d v="2023-07-04T19:00:44"/>
    <m/>
    <d v="2023-07-04T00:00:00"/>
    <n v="1248"/>
    <n v="17996"/>
    <s v="60114969"/>
    <s v="60114969"/>
    <m/>
    <m/>
    <n v="22623556"/>
    <m/>
    <m/>
    <m/>
    <s v="SOLFIN"/>
    <s v="SOLFIN"/>
    <s v="CCMS"/>
    <n v="21328090"/>
    <n v="16296.74"/>
    <m/>
    <s v="N"/>
    <n v="38"/>
    <d v="2023-07-04T19:01:03"/>
    <s v="Y"/>
    <s v="Preparation - drafting statem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154"/>
    <d v="2023-07-04T19:01:03"/>
    <s v="Y"/>
    <s v="Hearing Unit 2.31 - 5.00 Hours"/>
    <s v="Public Law Children"/>
    <s v="Advocacy"/>
    <s v="HO"/>
    <s v="Y"/>
    <n v="476.92"/>
    <n v="95.38"/>
    <x v="1"/>
    <s v="VALIDATED"/>
    <n v="1"/>
    <s v="01.11.80.308.6100.0000"/>
    <n v="476.92"/>
    <s v="11"/>
    <s v="6100"/>
    <n v="9085.299999999999"/>
    <n v="476.92"/>
    <s v="CREDITOR"/>
    <n v="0"/>
    <n v="0"/>
    <n v="0"/>
    <n v="0"/>
    <n v="476.92"/>
  </r>
  <r>
    <n v="60114969"/>
    <s v="N"/>
    <n v="21328090"/>
    <s v="3000014444870008"/>
    <s v="CIVIL"/>
    <d v="2023-06-06T00:00:00"/>
    <d v="2023-07-04T19:00:44"/>
    <m/>
    <d v="2023-07-04T00:00:00"/>
    <n v="1248"/>
    <n v="17996"/>
    <s v="60114969"/>
    <s v="60114969"/>
    <m/>
    <m/>
    <n v="22623556"/>
    <m/>
    <m/>
    <m/>
    <s v="SOLFIN"/>
    <s v="SOLFIN"/>
    <s v="CCMS"/>
    <n v="21328090"/>
    <n v="16296.74"/>
    <m/>
    <s v="N"/>
    <n v="116"/>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127"/>
    <d v="2023-07-04T19:01:03"/>
    <s v="Y"/>
    <s v="Attendance upon other"/>
    <s v="Care Remuneration Hourly Rates"/>
    <s v="Profit Cost"/>
    <s v="HO"/>
    <s v="Y"/>
    <n v="35.91"/>
    <n v="7.18"/>
    <x v="1"/>
    <s v="VALIDATED"/>
    <n v="1"/>
    <s v="01.11.80.308.6100.0000"/>
    <n v="35.91"/>
    <s v="11"/>
    <s v="6100"/>
    <n v="9085.299999999999"/>
    <n v="35.91"/>
    <s v="CREDITOR"/>
    <n v="0"/>
    <n v="0"/>
    <n v="0"/>
    <n v="0"/>
    <n v="35.91"/>
  </r>
  <r>
    <n v="59624282"/>
    <s v="N"/>
    <n v="21360743"/>
    <s v="3000014022530005"/>
    <s v="CIVIL"/>
    <d v="2023-06-28T00:00:00"/>
    <d v="2023-07-11T19:00:25"/>
    <m/>
    <d v="2023-07-11T00:00:00"/>
    <n v="1248"/>
    <n v="17996"/>
    <s v="59624282"/>
    <s v="59624282"/>
    <m/>
    <m/>
    <n v="22775358"/>
    <m/>
    <m/>
    <m/>
    <s v="SOLFIN"/>
    <s v="SOLFIN"/>
    <s v="CCMS"/>
    <n v="21360743"/>
    <n v="4452.99"/>
    <m/>
    <s v="N"/>
    <n v="1"/>
    <d v="2023-07-11T19:00:32"/>
    <s v="Y"/>
    <s v="Solicitors Fixed Fee"/>
    <s v="Public Law Children"/>
    <s v="Profit Cost"/>
    <s v="XXX"/>
    <s v="Y"/>
    <n v="2616"/>
    <n v="523.2"/>
    <x v="7"/>
    <s v="VALIDATED"/>
    <n v="1"/>
    <s v="01.11.80.308.6100.0000"/>
    <n v="2616"/>
    <s v="11"/>
    <s v="6100"/>
    <n v="9085.299999999999"/>
    <n v="2616"/>
    <s v="CREDITOR"/>
    <n v="0"/>
    <n v="0"/>
    <n v="0"/>
    <n v="0"/>
    <n v="2616"/>
  </r>
  <r>
    <n v="60114969"/>
    <s v="N"/>
    <n v="21328090"/>
    <s v="3000014444870008"/>
    <s v="CIVIL"/>
    <d v="2023-06-06T00:00:00"/>
    <d v="2023-07-04T19:00:44"/>
    <m/>
    <d v="2023-07-04T00:00:00"/>
    <n v="1248"/>
    <n v="17996"/>
    <s v="60114969"/>
    <s v="60114969"/>
    <m/>
    <m/>
    <n v="22623556"/>
    <m/>
    <m/>
    <m/>
    <s v="SOLFIN"/>
    <s v="SOLFIN"/>
    <s v="CCMS"/>
    <n v="21328090"/>
    <n v="16296.74"/>
    <m/>
    <s v="N"/>
    <n v="107"/>
    <d v="2023-07-04T19:01:03"/>
    <s v="Y"/>
    <s v="Preparation - other"/>
    <s v="Care Remuneration Hourly Rates"/>
    <s v="Profit Cost"/>
    <s v="HO"/>
    <s v="Y"/>
    <n v="35.91"/>
    <n v="7.18"/>
    <x v="1"/>
    <s v="VALIDATED"/>
    <n v="1"/>
    <s v="01.11.80.308.6100.0000"/>
    <n v="35.91"/>
    <s v="11"/>
    <s v="6100"/>
    <n v="9085.299999999999"/>
    <n v="35.91"/>
    <s v="CREDITOR"/>
    <n v="0"/>
    <n v="0"/>
    <n v="0"/>
    <n v="0"/>
    <n v="35.91"/>
  </r>
  <r>
    <n v="60114969"/>
    <s v="N"/>
    <n v="21328090"/>
    <s v="3000014444870008"/>
    <s v="CIVIL"/>
    <d v="2023-06-06T00:00:00"/>
    <d v="2023-07-04T19:00:44"/>
    <m/>
    <d v="2023-07-04T00:00:00"/>
    <n v="1248"/>
    <n v="17996"/>
    <s v="60114969"/>
    <s v="60114969"/>
    <m/>
    <m/>
    <n v="22623556"/>
    <m/>
    <m/>
    <m/>
    <s v="SOLFIN"/>
    <s v="SOLFIN"/>
    <s v="CCMS"/>
    <n v="21328090"/>
    <n v="16296.74"/>
    <m/>
    <s v="N"/>
    <n v="111"/>
    <d v="2023-07-04T19:01:03"/>
    <s v="Y"/>
    <s v="Attendance upon client"/>
    <s v="Care Remuneration Hourly Rates"/>
    <s v="Profit Cost"/>
    <s v="HO"/>
    <s v="Y"/>
    <n v="21.54"/>
    <n v="4.31"/>
    <x v="1"/>
    <s v="VALIDATED"/>
    <n v="1"/>
    <s v="01.11.80.308.6100.0000"/>
    <n v="21.54"/>
    <s v="11"/>
    <s v="6100"/>
    <n v="9085.299999999999"/>
    <n v="21.54"/>
    <s v="CREDITOR"/>
    <n v="0"/>
    <n v="0"/>
    <n v="0"/>
    <n v="0"/>
    <n v="21.54"/>
  </r>
  <r>
    <n v="60114969"/>
    <s v="N"/>
    <n v="21328090"/>
    <s v="3000014444870008"/>
    <s v="CIVIL"/>
    <d v="2023-06-06T00:00:00"/>
    <d v="2023-07-04T19:00:44"/>
    <m/>
    <d v="2023-07-04T00:00:00"/>
    <n v="1248"/>
    <n v="17996"/>
    <s v="60114969"/>
    <s v="60114969"/>
    <m/>
    <m/>
    <n v="22623556"/>
    <m/>
    <m/>
    <m/>
    <s v="SOLFIN"/>
    <s v="SOLFIN"/>
    <s v="CCMS"/>
    <n v="21328090"/>
    <n v="16296.74"/>
    <m/>
    <s v="N"/>
    <n v="79"/>
    <d v="2023-07-04T19:01:03"/>
    <s v="Y"/>
    <s v="Attendance upon client"/>
    <s v="Care Remuneration Hourly Rates"/>
    <s v="Profit Cost"/>
    <s v="HO"/>
    <s v="Y"/>
    <n v="14.37"/>
    <n v="2.87"/>
    <x v="1"/>
    <s v="VALIDATED"/>
    <n v="1"/>
    <s v="01.11.80.308.6100.0000"/>
    <n v="14.37"/>
    <s v="11"/>
    <s v="6100"/>
    <n v="9085.299999999999"/>
    <n v="14.37"/>
    <s v="CREDITOR"/>
    <n v="0"/>
    <n v="0"/>
    <n v="0"/>
    <n v="0"/>
    <n v="14.37"/>
  </r>
  <r>
    <n v="60114969"/>
    <s v="N"/>
    <n v="21328090"/>
    <s v="3000014444870008"/>
    <s v="CIVIL"/>
    <d v="2023-06-06T00:00:00"/>
    <d v="2023-07-04T19:00:44"/>
    <m/>
    <d v="2023-07-04T00:00:00"/>
    <n v="1248"/>
    <n v="17996"/>
    <s v="60114969"/>
    <s v="60114969"/>
    <m/>
    <m/>
    <n v="22623556"/>
    <m/>
    <m/>
    <m/>
    <s v="SOLFIN"/>
    <s v="SOLFIN"/>
    <s v="CCMS"/>
    <n v="21328090"/>
    <n v="16296.74"/>
    <m/>
    <s v="N"/>
    <n v="58"/>
    <d v="2023-07-04T19:01:03"/>
    <s v="Y"/>
    <s v="Preparation - other"/>
    <s v="Care Remuneration Hourly Rates"/>
    <s v="Profit Cost"/>
    <s v="HO"/>
    <s v="Y"/>
    <n v="11.05"/>
    <n v="2.21"/>
    <x v="1"/>
    <s v="VALIDATED"/>
    <n v="1"/>
    <s v="01.11.80.308.6100.0000"/>
    <n v="11.05"/>
    <s v="11"/>
    <s v="6100"/>
    <n v="9085.299999999999"/>
    <n v="11.05"/>
    <s v="CREDITOR"/>
    <n v="0"/>
    <n v="0"/>
    <n v="0"/>
    <n v="0"/>
    <n v="11.05"/>
  </r>
  <r>
    <n v="60114969"/>
    <s v="N"/>
    <n v="21328090"/>
    <s v="3000014444870008"/>
    <s v="CIVIL"/>
    <d v="2023-06-06T00:00:00"/>
    <d v="2023-07-04T19:00:44"/>
    <m/>
    <d v="2023-07-04T00:00:00"/>
    <n v="1248"/>
    <n v="17996"/>
    <s v="60114969"/>
    <s v="60114969"/>
    <m/>
    <m/>
    <n v="22623556"/>
    <m/>
    <m/>
    <m/>
    <s v="SOLFIN"/>
    <s v="SOLFIN"/>
    <s v="CCMS"/>
    <n v="21328090"/>
    <n v="16296.74"/>
    <m/>
    <s v="N"/>
    <n v="73"/>
    <d v="2023-07-04T19:01:03"/>
    <s v="Y"/>
    <s v="Attendance upon client"/>
    <s v="Care Remuneration Hourly Rates"/>
    <s v="Profit Cost"/>
    <s v="HO"/>
    <s v="Y"/>
    <n v="14.37"/>
    <n v="2.87"/>
    <x v="1"/>
    <s v="VALIDATED"/>
    <n v="1"/>
    <s v="01.11.80.308.6100.0000"/>
    <n v="14.37"/>
    <s v="11"/>
    <s v="6100"/>
    <n v="9085.299999999999"/>
    <n v="14.37"/>
    <s v="CREDITOR"/>
    <n v="0"/>
    <n v="0"/>
    <n v="0"/>
    <n v="0"/>
    <n v="14.37"/>
  </r>
  <r>
    <n v="10675269"/>
    <s v="N"/>
    <n v="21327948"/>
    <s v="3000006492790002"/>
    <s v="CIVIL"/>
    <d v="2023-06-12T00:00:00"/>
    <d v="2023-07-04T19:00:44"/>
    <m/>
    <d v="2023-07-04T00:00:00"/>
    <n v="1256"/>
    <n v="18073"/>
    <s v="10675269"/>
    <s v="10675269"/>
    <m/>
    <m/>
    <n v="22669566"/>
    <m/>
    <m/>
    <m/>
    <s v="SOLFIN"/>
    <s v="SOLFIN"/>
    <s v="CCMS"/>
    <n v="21327948"/>
    <n v="3977.28"/>
    <m/>
    <s v="N"/>
    <n v="12"/>
    <d v="2023-07-04T19:00:59"/>
    <s v="Y"/>
    <s v="Interpreter"/>
    <s v="VHCC"/>
    <s v="Expert Disbursement"/>
    <s v="MK"/>
    <s v="Y"/>
    <n v="57"/>
    <n v="11.4"/>
    <x v="1"/>
    <s v="VALIDATED"/>
    <n v="1"/>
    <s v="01.11.80.401.6300.0000"/>
    <n v="57"/>
    <s v="11"/>
    <s v="6300"/>
    <n v="1375.82"/>
    <n v="57"/>
    <s v="CREDITOR"/>
    <n v="0"/>
    <n v="0"/>
    <n v="0"/>
    <n v="0"/>
    <n v="57"/>
  </r>
  <r>
    <n v="10675269"/>
    <s v="N"/>
    <n v="21327948"/>
    <s v="3000006492790002"/>
    <s v="CIVIL"/>
    <d v="2023-06-12T00:00:00"/>
    <d v="2023-07-04T19:00:44"/>
    <m/>
    <d v="2023-07-04T00:00:00"/>
    <n v="1256"/>
    <n v="18073"/>
    <s v="10675269"/>
    <s v="10675269"/>
    <m/>
    <m/>
    <n v="22669566"/>
    <m/>
    <m/>
    <m/>
    <s v="SOLFIN"/>
    <s v="SOLFIN"/>
    <s v="CCMS"/>
    <n v="21327948"/>
    <n v="3977.28"/>
    <m/>
    <s v="N"/>
    <n v="1"/>
    <d v="2023-07-04T19:00:59"/>
    <s v="N"/>
    <s v="Interpreter"/>
    <s v="VHCC"/>
    <s v="Expert Disbursement"/>
    <s v="MK"/>
    <s v="N"/>
    <n v="50"/>
    <n v="10"/>
    <x v="1"/>
    <s v="VALIDATED"/>
    <n v="1"/>
    <s v="01.11.80.401.6300.0000"/>
    <n v="50"/>
    <s v="11"/>
    <s v="6300"/>
    <n v="1375.82"/>
    <n v="50"/>
    <s v="CREDITOR"/>
    <n v="0"/>
    <n v="0"/>
    <n v="0"/>
    <n v="0"/>
    <n v="50"/>
  </r>
  <r>
    <n v="59661614"/>
    <s v="N"/>
    <n v="21319070"/>
    <s v="3000014054550004"/>
    <s v="CIVIL"/>
    <d v="2023-06-23T00:00:00"/>
    <d v="2023-07-03T19:01:49"/>
    <m/>
    <d v="2023-07-03T00:00:00"/>
    <n v="1256"/>
    <n v="18073"/>
    <s v="59661614"/>
    <s v="59661614"/>
    <m/>
    <m/>
    <n v="22750748"/>
    <m/>
    <m/>
    <m/>
    <s v="SOLFIN"/>
    <s v="SOLFIN"/>
    <s v="CCMS"/>
    <n v="21319070"/>
    <n v="1240.97"/>
    <m/>
    <s v="N"/>
    <n v="15"/>
    <d v="2023-07-03T19:02:10"/>
    <s v="Y"/>
    <s v="Preparation - other"/>
    <s v="Non Family Hourly Rates"/>
    <s v="Profit Cost"/>
    <s v="QS"/>
    <s v="Y"/>
    <n v="14.31"/>
    <n v="0"/>
    <x v="3"/>
    <s v="VALIDATED"/>
    <n v="1"/>
    <s v="01.11.80.212.6100.0000"/>
    <n v="14.31"/>
    <s v="11"/>
    <s v="6100"/>
    <n v="1375.82"/>
    <n v="14.31"/>
    <s v="CREDITOR"/>
    <n v="0"/>
    <n v="0"/>
    <n v="0"/>
    <n v="0"/>
    <n v="14.31"/>
  </r>
  <r>
    <n v="59661614"/>
    <s v="N"/>
    <n v="21319070"/>
    <s v="3000014054550004"/>
    <s v="CIVIL"/>
    <d v="2023-06-23T00:00:00"/>
    <d v="2023-07-03T19:01:49"/>
    <m/>
    <d v="2023-07-03T00:00:00"/>
    <n v="1256"/>
    <n v="18073"/>
    <s v="59661614"/>
    <s v="59661614"/>
    <m/>
    <m/>
    <n v="22750748"/>
    <m/>
    <m/>
    <m/>
    <s v="SOLFIN"/>
    <s v="SOLFIN"/>
    <s v="CCMS"/>
    <n v="21319070"/>
    <n v="1240.97"/>
    <m/>
    <s v="N"/>
    <n v="22"/>
    <d v="2023-07-03T19:02:10"/>
    <s v="Y"/>
    <s v="Preparation - drafting bill/claim f"/>
    <s v="Non Family Hourly Rates"/>
    <s v="Profit Cost"/>
    <s v="TR"/>
    <s v="Y"/>
    <n v="71.55"/>
    <n v="0"/>
    <x v="3"/>
    <s v="VALIDATED"/>
    <n v="1"/>
    <s v="01.11.80.212.6100.0000"/>
    <n v="71.55"/>
    <s v="11"/>
    <s v="6100"/>
    <n v="1375.82"/>
    <n v="71.55"/>
    <s v="CREDITOR"/>
    <n v="0"/>
    <n v="0"/>
    <n v="0"/>
    <n v="0"/>
    <n v="71.55"/>
  </r>
  <r>
    <n v="59920312"/>
    <s v="N"/>
    <n v="21411518"/>
    <s v="3000014274330001"/>
    <s v="CIVIL"/>
    <d v="2023-06-20T00:00:00"/>
    <d v="2023-07-21T19:03:21"/>
    <m/>
    <d v="2023-07-21T00:00:00"/>
    <n v="1256"/>
    <n v="18073"/>
    <s v="59920312"/>
    <s v="59920312"/>
    <m/>
    <m/>
    <n v="22722858"/>
    <m/>
    <m/>
    <m/>
    <s v="SOLFIN"/>
    <s v="SOLFIN"/>
    <s v="CCMS"/>
    <n v="21411518"/>
    <n v="0"/>
    <m/>
    <s v="N"/>
    <n v="1"/>
    <d v="2023-07-21T19:03:26"/>
    <s v="N"/>
    <s v="NIL BILL"/>
    <s v="Non Family Hourly Rates"/>
    <s v="Profit Cost"/>
    <s v="QS"/>
    <s v="N"/>
    <n v="0"/>
    <n v="0"/>
    <x v="12"/>
    <s v="VALIDATED"/>
    <n v="1"/>
    <s v="01.11.80.212.6100.0000"/>
    <n v="0"/>
    <s v="11"/>
    <s v="6100"/>
    <n v="1375.82"/>
    <n v="0"/>
    <s v="CREDITOR"/>
    <n v="0"/>
    <n v="0"/>
    <n v="0"/>
    <n v="0"/>
    <n v="0"/>
  </r>
  <r>
    <n v="10675269"/>
    <s v="N"/>
    <n v="21327948"/>
    <s v="3000006492790002"/>
    <s v="CIVIL"/>
    <d v="2023-06-12T00:00:00"/>
    <d v="2023-07-04T19:00:44"/>
    <m/>
    <d v="2023-07-04T00:00:00"/>
    <n v="1256"/>
    <n v="18073"/>
    <s v="10675269"/>
    <s v="10675269"/>
    <m/>
    <m/>
    <n v="22669566"/>
    <m/>
    <m/>
    <m/>
    <s v="SOLFIN"/>
    <s v="SOLFIN"/>
    <s v="CCMS"/>
    <n v="21327948"/>
    <n v="3977.28"/>
    <m/>
    <s v="N"/>
    <n v="11"/>
    <d v="2023-07-04T19:00:59"/>
    <s v="Y"/>
    <s v="Interpreter"/>
    <s v="VHCC"/>
    <s v="Expert Disbursement"/>
    <s v="MK"/>
    <s v="Y"/>
    <n v="66.09999999999999"/>
    <n v="13.22"/>
    <x v="1"/>
    <s v="VALIDATED"/>
    <n v="1"/>
    <s v="01.11.80.401.6300.0000"/>
    <n v="66.09999999999999"/>
    <s v="11"/>
    <s v="6300"/>
    <n v="1375.82"/>
    <n v="66.09999999999999"/>
    <s v="CREDITOR"/>
    <n v="0"/>
    <n v="0"/>
    <n v="0"/>
    <n v="0"/>
    <n v="66.09999999999999"/>
  </r>
  <r>
    <n v="59661614"/>
    <s v="N"/>
    <n v="21319070"/>
    <s v="3000014054550004"/>
    <s v="CIVIL"/>
    <d v="2023-06-23T00:00:00"/>
    <d v="2023-07-03T19:01:49"/>
    <m/>
    <d v="2023-07-03T00:00:00"/>
    <n v="1256"/>
    <n v="18073"/>
    <s v="59661614"/>
    <s v="59661614"/>
    <m/>
    <m/>
    <n v="22750748"/>
    <m/>
    <m/>
    <m/>
    <s v="SOLFIN"/>
    <s v="SOLFIN"/>
    <s v="CCMS"/>
    <n v="21319070"/>
    <n v="1240.97"/>
    <m/>
    <s v="N"/>
    <n v="9"/>
    <d v="2023-07-03T19:02:10"/>
    <s v="Y"/>
    <s v="Preparation - drafting attendance n"/>
    <s v="Non Family Hourly Rates"/>
    <s v="Profit Cost"/>
    <s v="QS"/>
    <s v="Y"/>
    <n v="7.16"/>
    <n v="0"/>
    <x v="3"/>
    <s v="VALIDATED"/>
    <n v="1"/>
    <s v="01.11.80.212.6100.0000"/>
    <n v="7.16"/>
    <s v="11"/>
    <s v="6100"/>
    <n v="1375.82"/>
    <n v="7.16"/>
    <s v="CREDITOR"/>
    <n v="0"/>
    <n v="0"/>
    <n v="0"/>
    <n v="0"/>
    <n v="7.16"/>
  </r>
  <r>
    <n v="59661614"/>
    <s v="N"/>
    <n v="21319070"/>
    <s v="3000014054550004"/>
    <s v="CIVIL"/>
    <d v="2023-06-23T00:00:00"/>
    <d v="2023-07-03T19:01:49"/>
    <m/>
    <d v="2023-07-03T00:00:00"/>
    <n v="1256"/>
    <n v="18073"/>
    <s v="59661614"/>
    <s v="59661614"/>
    <m/>
    <m/>
    <n v="22750748"/>
    <m/>
    <m/>
    <m/>
    <s v="SOLFIN"/>
    <s v="SOLFIN"/>
    <s v="CCMS"/>
    <n v="21319070"/>
    <n v="1240.97"/>
    <m/>
    <s v="N"/>
    <n v="23"/>
    <d v="2023-07-03T19:02:10"/>
    <s v="Y"/>
    <s v="Routine Telephone Call"/>
    <s v="Non Family Hourly Rates"/>
    <s v="Profit Cost"/>
    <s v="QS"/>
    <s v="Y"/>
    <n v="18.7"/>
    <n v="0"/>
    <x v="3"/>
    <s v="VALIDATED"/>
    <n v="1"/>
    <s v="01.11.80.212.6100.0000"/>
    <n v="18.7"/>
    <s v="11"/>
    <s v="6100"/>
    <n v="1375.82"/>
    <n v="18.7"/>
    <s v="CREDITOR"/>
    <n v="0"/>
    <n v="0"/>
    <n v="0"/>
    <n v="0"/>
    <n v="18.7"/>
  </r>
  <r>
    <n v="59661614"/>
    <s v="N"/>
    <n v="21319070"/>
    <s v="3000014054550004"/>
    <s v="CIVIL"/>
    <d v="2023-06-23T00:00:00"/>
    <d v="2023-07-03T19:01:49"/>
    <m/>
    <d v="2023-07-03T00:00:00"/>
    <n v="1256"/>
    <n v="18073"/>
    <s v="59661614"/>
    <s v="59661614"/>
    <m/>
    <m/>
    <n v="22750748"/>
    <m/>
    <m/>
    <m/>
    <s v="SOLFIN"/>
    <s v="SOLFIN"/>
    <s v="CCMS"/>
    <n v="21319070"/>
    <n v="1240.97"/>
    <m/>
    <s v="N"/>
    <n v="18"/>
    <d v="2023-07-03T19:02:10"/>
    <s v="Y"/>
    <s v="Preparation - other"/>
    <s v="Non Family Hourly Rates"/>
    <s v="Profit Cost"/>
    <s v="QS"/>
    <s v="Y"/>
    <n v="7.16"/>
    <n v="0"/>
    <x v="3"/>
    <s v="VALIDATED"/>
    <n v="1"/>
    <s v="01.11.80.212.6100.0000"/>
    <n v="7.16"/>
    <s v="11"/>
    <s v="6100"/>
    <n v="1375.82"/>
    <n v="7.16"/>
    <s v="CREDITOR"/>
    <n v="0"/>
    <n v="0"/>
    <n v="0"/>
    <n v="0"/>
    <n v="7.16"/>
  </r>
  <r>
    <n v="10675269"/>
    <s v="N"/>
    <n v="21327948"/>
    <s v="3000006492790002"/>
    <s v="CIVIL"/>
    <d v="2023-06-12T00:00:00"/>
    <d v="2023-07-04T19:00:44"/>
    <m/>
    <d v="2023-07-04T00:00:00"/>
    <n v="1256"/>
    <n v="18073"/>
    <s v="10675269"/>
    <s v="10675269"/>
    <m/>
    <m/>
    <n v="22669566"/>
    <m/>
    <m/>
    <m/>
    <s v="SOLFIN"/>
    <s v="SOLFIN"/>
    <s v="CCMS"/>
    <n v="21327948"/>
    <n v="3977.28"/>
    <m/>
    <s v="N"/>
    <n v="14"/>
    <d v="2023-07-04T19:00:59"/>
    <s v="N"/>
    <m/>
    <m/>
    <s v="Overall Adjustment"/>
    <m/>
    <s v="N"/>
    <n v="-567.63"/>
    <n v="-113.53"/>
    <x v="1"/>
    <s v="VALIDATED"/>
    <n v="1"/>
    <s v="01.11.80.401.6100.0000"/>
    <n v="-567.63"/>
    <s v="11"/>
    <s v="6100"/>
    <n v="1375.82"/>
    <n v="-567.63"/>
    <s v="CREDITOR"/>
    <n v="0"/>
    <n v="0"/>
    <n v="0"/>
    <n v="0"/>
    <n v="-567.63"/>
  </r>
  <r>
    <n v="59661614"/>
    <s v="N"/>
    <n v="21319070"/>
    <s v="3000014054550004"/>
    <s v="CIVIL"/>
    <d v="2023-06-23T00:00:00"/>
    <d v="2023-07-03T19:01:49"/>
    <m/>
    <d v="2023-07-03T00:00:00"/>
    <n v="1256"/>
    <n v="18073"/>
    <s v="59661614"/>
    <s v="59661614"/>
    <m/>
    <m/>
    <n v="22750748"/>
    <m/>
    <m/>
    <m/>
    <s v="SOLFIN"/>
    <s v="SOLFIN"/>
    <s v="CCMS"/>
    <n v="21319070"/>
    <n v="1240.97"/>
    <m/>
    <s v="N"/>
    <n v="6"/>
    <d v="2023-07-03T19:02:10"/>
    <s v="Y"/>
    <s v="Attendance upon other"/>
    <s v="Non Family Hourly Rates"/>
    <s v="Profit Cost"/>
    <s v="QS"/>
    <s v="Y"/>
    <n v="21.47"/>
    <n v="0"/>
    <x v="3"/>
    <s v="VALIDATED"/>
    <n v="1"/>
    <s v="01.11.80.212.6100.0000"/>
    <n v="21.47"/>
    <s v="11"/>
    <s v="6100"/>
    <n v="1375.82"/>
    <n v="21.47"/>
    <s v="CREDITOR"/>
    <n v="0"/>
    <n v="0"/>
    <n v="0"/>
    <n v="0"/>
    <n v="21.47"/>
  </r>
  <r>
    <n v="10675269"/>
    <s v="N"/>
    <n v="21327948"/>
    <s v="3000006492790002"/>
    <s v="CIVIL"/>
    <d v="2023-06-12T00:00:00"/>
    <d v="2023-07-04T19:00:44"/>
    <m/>
    <d v="2023-07-04T00:00:00"/>
    <n v="1256"/>
    <n v="18073"/>
    <s v="10675269"/>
    <s v="10675269"/>
    <m/>
    <m/>
    <n v="22669566"/>
    <m/>
    <m/>
    <m/>
    <s v="SOLFIN"/>
    <s v="SOLFIN"/>
    <s v="CCMS"/>
    <n v="21327948"/>
    <n v="3977.28"/>
    <m/>
    <s v="N"/>
    <n v="3"/>
    <d v="2023-07-04T19:00:59"/>
    <s v="N"/>
    <s v="Interpreter"/>
    <s v="VHCC"/>
    <s v="Expert Disbursement"/>
    <s v="MK"/>
    <s v="N"/>
    <n v="25"/>
    <n v="5"/>
    <x v="1"/>
    <s v="VALIDATED"/>
    <n v="1"/>
    <s v="01.11.80.401.6300.0000"/>
    <n v="25"/>
    <s v="11"/>
    <s v="6300"/>
    <n v="1375.82"/>
    <n v="25"/>
    <s v="CREDITOR"/>
    <n v="0"/>
    <n v="0"/>
    <n v="0"/>
    <n v="0"/>
    <n v="25"/>
  </r>
  <r>
    <n v="59661614"/>
    <s v="N"/>
    <n v="21319070"/>
    <s v="3000014054550004"/>
    <s v="CIVIL"/>
    <d v="2023-06-23T00:00:00"/>
    <d v="2023-07-03T19:01:49"/>
    <m/>
    <d v="2023-07-03T00:00:00"/>
    <n v="1256"/>
    <n v="18073"/>
    <s v="59661614"/>
    <s v="59661614"/>
    <m/>
    <m/>
    <n v="22750748"/>
    <m/>
    <m/>
    <m/>
    <s v="SOLFIN"/>
    <s v="SOLFIN"/>
    <s v="CCMS"/>
    <n v="21319070"/>
    <n v="1240.97"/>
    <m/>
    <s v="N"/>
    <n v="21"/>
    <d v="2023-07-03T19:02:10"/>
    <s v="Y"/>
    <s v="Preparation - other"/>
    <s v="Non Family Hourly Rates"/>
    <s v="Profit Cost"/>
    <s v="QS"/>
    <s v="Y"/>
    <n v="21.47"/>
    <n v="0"/>
    <x v="3"/>
    <s v="VALIDATED"/>
    <n v="1"/>
    <s v="01.11.80.212.6100.0000"/>
    <n v="21.47"/>
    <s v="11"/>
    <s v="6100"/>
    <n v="1375.82"/>
    <n v="21.47"/>
    <s v="CREDITOR"/>
    <n v="0"/>
    <n v="0"/>
    <n v="0"/>
    <n v="0"/>
    <n v="21.47"/>
  </r>
  <r>
    <n v="10675269"/>
    <s v="N"/>
    <n v="21327948"/>
    <s v="3000006492790002"/>
    <s v="CIVIL"/>
    <d v="2023-06-12T00:00:00"/>
    <d v="2023-07-04T19:00:44"/>
    <m/>
    <d v="2023-07-04T00:00:00"/>
    <n v="1256"/>
    <n v="18073"/>
    <s v="10675269"/>
    <s v="10675269"/>
    <m/>
    <m/>
    <n v="22669566"/>
    <m/>
    <m/>
    <m/>
    <s v="SOLFIN"/>
    <s v="SOLFIN"/>
    <s v="CCMS"/>
    <n v="21327948"/>
    <n v="3977.28"/>
    <m/>
    <s v="N"/>
    <n v="7"/>
    <d v="2023-07-04T19:00:59"/>
    <s v="N"/>
    <s v="Interpreter"/>
    <s v="VHCC"/>
    <s v="Expert Disbursement"/>
    <s v="MK"/>
    <s v="N"/>
    <n v="37.5"/>
    <n v="7.5"/>
    <x v="1"/>
    <s v="VALIDATED"/>
    <n v="1"/>
    <s v="01.11.80.401.6300.0000"/>
    <n v="37.5"/>
    <s v="11"/>
    <s v="6300"/>
    <n v="1375.82"/>
    <n v="37.5"/>
    <s v="CREDITOR"/>
    <n v="0"/>
    <n v="0"/>
    <n v="0"/>
    <n v="0"/>
    <n v="37.5"/>
  </r>
  <r>
    <n v="59661614"/>
    <s v="N"/>
    <n v="21319070"/>
    <s v="3000014054550004"/>
    <s v="CIVIL"/>
    <d v="2023-06-23T00:00:00"/>
    <d v="2023-07-03T19:01:49"/>
    <m/>
    <d v="2023-07-03T00:00:00"/>
    <n v="1256"/>
    <n v="18073"/>
    <s v="59661614"/>
    <s v="59661614"/>
    <m/>
    <m/>
    <n v="22750748"/>
    <m/>
    <m/>
    <m/>
    <s v="SOLFIN"/>
    <s v="SOLFIN"/>
    <s v="CCMS"/>
    <n v="21319070"/>
    <n v="1240.97"/>
    <m/>
    <s v="N"/>
    <n v="1"/>
    <d v="2023-07-03T19:02:10"/>
    <s v="Y"/>
    <s v="Attendance upon other"/>
    <s v="Non Family Hourly Rates"/>
    <s v="Profit Cost"/>
    <s v="QS"/>
    <s v="Y"/>
    <n v="14.31"/>
    <n v="0"/>
    <x v="3"/>
    <s v="VALIDATED"/>
    <n v="1"/>
    <s v="01.11.80.212.6100.0000"/>
    <n v="14.31"/>
    <s v="11"/>
    <s v="6100"/>
    <n v="1375.82"/>
    <n v="14.31"/>
    <s v="CREDITOR"/>
    <n v="0"/>
    <n v="0"/>
    <n v="0"/>
    <n v="0"/>
    <n v="14.31"/>
  </r>
  <r>
    <n v="10675269"/>
    <s v="N"/>
    <n v="21327948"/>
    <s v="3000006492790002"/>
    <s v="CIVIL"/>
    <d v="2023-06-12T00:00:00"/>
    <d v="2023-07-04T19:00:44"/>
    <m/>
    <d v="2023-07-04T00:00:00"/>
    <n v="1256"/>
    <n v="18073"/>
    <s v="10675269"/>
    <s v="10675269"/>
    <m/>
    <m/>
    <n v="22669566"/>
    <m/>
    <m/>
    <m/>
    <s v="SOLFIN"/>
    <s v="SOLFIN"/>
    <s v="CCMS"/>
    <n v="21327948"/>
    <n v="3977.28"/>
    <m/>
    <s v="N"/>
    <n v="8"/>
    <d v="2023-07-04T19:00:59"/>
    <s v="Y"/>
    <s v="Profit Costs (Summary)"/>
    <s v="VHCC"/>
    <s v="Profit Cost"/>
    <s v="MK"/>
    <s v="Y"/>
    <n v="3794.6"/>
    <n v="0"/>
    <x v="1"/>
    <s v="VALIDATED"/>
    <n v="1"/>
    <s v="01.11.80.401.6100.0000"/>
    <n v="3794.6"/>
    <s v="11"/>
    <s v="6100"/>
    <n v="1375.82"/>
    <n v="3794.6"/>
    <s v="CREDITOR"/>
    <n v="0"/>
    <n v="0"/>
    <n v="0"/>
    <n v="0"/>
    <n v="3794.6"/>
  </r>
  <r>
    <n v="10675269"/>
    <s v="N"/>
    <n v="21327948"/>
    <s v="3000006492790002"/>
    <s v="CIVIL"/>
    <d v="2023-06-12T00:00:00"/>
    <d v="2023-07-04T19:00:44"/>
    <m/>
    <d v="2023-07-04T00:00:00"/>
    <n v="1256"/>
    <n v="18073"/>
    <s v="10675269"/>
    <s v="10675269"/>
    <m/>
    <m/>
    <n v="22669566"/>
    <m/>
    <m/>
    <m/>
    <s v="SOLFIN"/>
    <s v="SOLFIN"/>
    <s v="CCMS"/>
    <n v="21327948"/>
    <n v="3977.28"/>
    <m/>
    <s v="N"/>
    <n v="4"/>
    <d v="2023-07-04T19:00:59"/>
    <s v="N"/>
    <s v="Interpreter"/>
    <s v="VHCC"/>
    <s v="Expert Disbursement"/>
    <s v="MK"/>
    <s v="N"/>
    <n v="89.95"/>
    <n v="17.99"/>
    <x v="1"/>
    <s v="VALIDATED"/>
    <n v="1"/>
    <s v="01.11.80.401.6300.0000"/>
    <n v="89.95"/>
    <s v="11"/>
    <s v="6300"/>
    <n v="1375.82"/>
    <n v="89.95"/>
    <s v="CREDITOR"/>
    <n v="0"/>
    <n v="0"/>
    <n v="0"/>
    <n v="0"/>
    <n v="89.95"/>
  </r>
  <r>
    <n v="59661614"/>
    <s v="N"/>
    <n v="21319070"/>
    <s v="3000014054550004"/>
    <s v="CIVIL"/>
    <d v="2023-06-23T00:00:00"/>
    <d v="2023-07-03T19:01:49"/>
    <m/>
    <d v="2023-07-03T00:00:00"/>
    <n v="1256"/>
    <n v="18073"/>
    <s v="59661614"/>
    <s v="59661614"/>
    <m/>
    <m/>
    <n v="22750748"/>
    <m/>
    <m/>
    <m/>
    <s v="SOLFIN"/>
    <s v="SOLFIN"/>
    <s v="CCMS"/>
    <n v="21319070"/>
    <n v="1240.97"/>
    <m/>
    <s v="N"/>
    <n v="14"/>
    <d v="2023-07-03T19:02:10"/>
    <s v="Y"/>
    <s v="Preparation - drafting attendance n"/>
    <s v="Non Family Hourly Rates"/>
    <s v="Profit Cost"/>
    <s v="QS"/>
    <s v="Y"/>
    <n v="7.16"/>
    <n v="0"/>
    <x v="3"/>
    <s v="VALIDATED"/>
    <n v="1"/>
    <s v="01.11.80.212.6100.0000"/>
    <n v="7.16"/>
    <s v="11"/>
    <s v="6100"/>
    <n v="1375.82"/>
    <n v="7.16"/>
    <s v="CREDITOR"/>
    <n v="0"/>
    <n v="0"/>
    <n v="0"/>
    <n v="0"/>
    <n v="7.16"/>
  </r>
  <r>
    <n v="59661614"/>
    <s v="N"/>
    <n v="21319070"/>
    <s v="3000014054550004"/>
    <s v="CIVIL"/>
    <d v="2023-06-23T00:00:00"/>
    <d v="2023-07-03T19:01:49"/>
    <m/>
    <d v="2023-07-03T00:00:00"/>
    <n v="1256"/>
    <n v="18073"/>
    <s v="59661614"/>
    <s v="59661614"/>
    <m/>
    <m/>
    <n v="22750748"/>
    <m/>
    <m/>
    <m/>
    <s v="SOLFIN"/>
    <s v="SOLFIN"/>
    <s v="CCMS"/>
    <n v="21319070"/>
    <n v="1240.97"/>
    <m/>
    <s v="N"/>
    <n v="10"/>
    <d v="2023-07-03T19:02:10"/>
    <s v="Y"/>
    <s v="Preparation - other"/>
    <s v="Non Family Hourly Rates"/>
    <s v="Profit Cost"/>
    <s v="QS"/>
    <s v="Y"/>
    <n v="14.31"/>
    <n v="0"/>
    <x v="3"/>
    <s v="VALIDATED"/>
    <n v="1"/>
    <s v="01.11.80.212.6100.0000"/>
    <n v="14.31"/>
    <s v="11"/>
    <s v="6100"/>
    <n v="1375.82"/>
    <n v="14.31"/>
    <s v="CREDITOR"/>
    <n v="0"/>
    <n v="0"/>
    <n v="0"/>
    <n v="0"/>
    <n v="14.31"/>
  </r>
  <r>
    <n v="10675269"/>
    <s v="N"/>
    <n v="21327948"/>
    <s v="3000006492790002"/>
    <s v="CIVIL"/>
    <d v="2023-06-12T00:00:00"/>
    <d v="2023-07-04T19:00:44"/>
    <m/>
    <d v="2023-07-04T00:00:00"/>
    <n v="1256"/>
    <n v="18073"/>
    <s v="10675269"/>
    <s v="10675269"/>
    <m/>
    <m/>
    <n v="22669566"/>
    <m/>
    <m/>
    <m/>
    <s v="SOLFIN"/>
    <s v="SOLFIN"/>
    <s v="CCMS"/>
    <n v="21327948"/>
    <n v="3977.28"/>
    <m/>
    <s v="N"/>
    <n v="2"/>
    <d v="2023-07-04T19:00:59"/>
    <s v="N"/>
    <s v="Interpreter"/>
    <s v="VHCC"/>
    <s v="Expert Disbursement"/>
    <s v="MK"/>
    <s v="N"/>
    <n v="25"/>
    <n v="5"/>
    <x v="1"/>
    <s v="VALIDATED"/>
    <n v="1"/>
    <s v="01.11.80.401.6300.0000"/>
    <n v="25"/>
    <s v="11"/>
    <s v="6300"/>
    <n v="1375.82"/>
    <n v="25"/>
    <s v="CREDITOR"/>
    <n v="0"/>
    <n v="0"/>
    <n v="0"/>
    <n v="0"/>
    <n v="25"/>
  </r>
  <r>
    <n v="59661614"/>
    <s v="N"/>
    <n v="21319070"/>
    <s v="3000014054550004"/>
    <s v="CIVIL"/>
    <d v="2023-06-23T00:00:00"/>
    <d v="2023-07-03T19:01:49"/>
    <m/>
    <d v="2023-07-03T00:00:00"/>
    <n v="1256"/>
    <n v="18073"/>
    <s v="59661614"/>
    <s v="59661614"/>
    <m/>
    <m/>
    <n v="22750748"/>
    <m/>
    <m/>
    <m/>
    <s v="SOLFIN"/>
    <s v="SOLFIN"/>
    <s v="CCMS"/>
    <n v="21319070"/>
    <n v="1240.97"/>
    <m/>
    <s v="N"/>
    <n v="20"/>
    <d v="2023-07-03T19:02:10"/>
    <s v="Y"/>
    <s v="Preparation - other"/>
    <s v="Non Family Hourly Rates"/>
    <s v="Profit Cost"/>
    <s v="QS"/>
    <s v="Y"/>
    <n v="7.16"/>
    <n v="0"/>
    <x v="3"/>
    <s v="VALIDATED"/>
    <n v="1"/>
    <s v="01.11.80.212.6100.0000"/>
    <n v="7.16"/>
    <s v="11"/>
    <s v="6100"/>
    <n v="1375.82"/>
    <n v="7.16"/>
    <s v="CREDITOR"/>
    <n v="0"/>
    <n v="0"/>
    <n v="0"/>
    <n v="0"/>
    <n v="7.16"/>
  </r>
  <r>
    <n v="59661614"/>
    <s v="N"/>
    <n v="21319070"/>
    <s v="3000014054550004"/>
    <s v="CIVIL"/>
    <d v="2023-06-23T00:00:00"/>
    <d v="2023-07-03T19:01:49"/>
    <m/>
    <d v="2023-07-03T00:00:00"/>
    <n v="1256"/>
    <n v="18073"/>
    <s v="59661614"/>
    <s v="59661614"/>
    <m/>
    <m/>
    <n v="22750748"/>
    <m/>
    <m/>
    <m/>
    <s v="SOLFIN"/>
    <s v="SOLFIN"/>
    <s v="CCMS"/>
    <n v="21319070"/>
    <n v="1240.97"/>
    <m/>
    <s v="N"/>
    <n v="19"/>
    <d v="2023-07-03T19:02:10"/>
    <s v="Y"/>
    <s v="Preparation - other"/>
    <s v="Non Family Hourly Rates"/>
    <s v="Profit Cost"/>
    <s v="QS"/>
    <s v="Y"/>
    <n v="14.31"/>
    <n v="0"/>
    <x v="3"/>
    <s v="VALIDATED"/>
    <n v="1"/>
    <s v="01.11.80.212.6100.0000"/>
    <n v="14.31"/>
    <s v="11"/>
    <s v="6100"/>
    <n v="1375.82"/>
    <n v="14.31"/>
    <s v="CREDITOR"/>
    <n v="0"/>
    <n v="0"/>
    <n v="0"/>
    <n v="0"/>
    <n v="14.31"/>
  </r>
  <r>
    <n v="10675269"/>
    <s v="N"/>
    <n v="21327948"/>
    <s v="3000006492790002"/>
    <s v="CIVIL"/>
    <d v="2023-06-12T00:00:00"/>
    <d v="2023-07-04T19:00:44"/>
    <m/>
    <d v="2023-07-04T00:00:00"/>
    <n v="1256"/>
    <n v="18073"/>
    <s v="10675269"/>
    <s v="10675269"/>
    <m/>
    <m/>
    <n v="22669566"/>
    <m/>
    <m/>
    <m/>
    <s v="SOLFIN"/>
    <s v="SOLFIN"/>
    <s v="CCMS"/>
    <n v="21327948"/>
    <n v="3977.28"/>
    <m/>
    <s v="N"/>
    <n v="5"/>
    <d v="2023-07-04T19:00:59"/>
    <s v="N"/>
    <s v="Travel Expenses"/>
    <s v="VHCC"/>
    <s v="Non Expert Disbursement"/>
    <s v="MK"/>
    <s v="N"/>
    <n v="19.5"/>
    <n v="0"/>
    <x v="1"/>
    <s v="VALIDATED"/>
    <n v="1"/>
    <s v="01.11.80.401.6300.0000"/>
    <n v="19.5"/>
    <s v="11"/>
    <s v="6300"/>
    <n v="1375.82"/>
    <n v="19.5"/>
    <s v="CREDITOR"/>
    <n v="0"/>
    <n v="0"/>
    <n v="0"/>
    <n v="0"/>
    <n v="19.5"/>
  </r>
  <r>
    <n v="59661614"/>
    <s v="N"/>
    <n v="21319070"/>
    <s v="3000014054550004"/>
    <s v="CIVIL"/>
    <d v="2023-06-23T00:00:00"/>
    <d v="2023-07-03T19:01:49"/>
    <m/>
    <d v="2023-07-03T00:00:00"/>
    <n v="1256"/>
    <n v="18073"/>
    <s v="59661614"/>
    <s v="59661614"/>
    <m/>
    <m/>
    <n v="22750748"/>
    <m/>
    <m/>
    <m/>
    <s v="SOLFIN"/>
    <s v="SOLFIN"/>
    <s v="CCMS"/>
    <n v="21319070"/>
    <n v="1240.97"/>
    <m/>
    <s v="N"/>
    <n v="8"/>
    <d v="2023-07-03T19:02:10"/>
    <s v="Y"/>
    <s v="Attendance upon other"/>
    <s v="Non Family Hourly Rates"/>
    <s v="Profit Cost"/>
    <s v="QS"/>
    <s v="Y"/>
    <n v="21.47"/>
    <n v="0"/>
    <x v="3"/>
    <s v="VALIDATED"/>
    <n v="1"/>
    <s v="01.11.80.212.6100.0000"/>
    <n v="21.47"/>
    <s v="11"/>
    <s v="6100"/>
    <n v="1375.82"/>
    <n v="21.47"/>
    <s v="CREDITOR"/>
    <n v="0"/>
    <n v="0"/>
    <n v="0"/>
    <n v="0"/>
    <n v="21.47"/>
  </r>
  <r>
    <n v="59661614"/>
    <s v="N"/>
    <n v="21319070"/>
    <s v="3000014054550004"/>
    <s v="CIVIL"/>
    <d v="2023-06-23T00:00:00"/>
    <d v="2023-07-03T19:01:49"/>
    <m/>
    <d v="2023-07-03T00:00:00"/>
    <n v="1256"/>
    <n v="18073"/>
    <s v="59661614"/>
    <s v="59661614"/>
    <m/>
    <m/>
    <n v="22750748"/>
    <m/>
    <m/>
    <m/>
    <s v="SOLFIN"/>
    <s v="SOLFIN"/>
    <s v="CCMS"/>
    <n v="21319070"/>
    <n v="1240.97"/>
    <m/>
    <s v="N"/>
    <n v="11"/>
    <d v="2023-07-03T19:02:10"/>
    <s v="Y"/>
    <s v="Attendance upon client"/>
    <s v="Non Family Hourly Rates"/>
    <s v="Profit Cost"/>
    <s v="QS"/>
    <s v="Y"/>
    <n v="14.31"/>
    <n v="0"/>
    <x v="3"/>
    <s v="VALIDATED"/>
    <n v="1"/>
    <s v="01.11.80.212.6100.0000"/>
    <n v="14.31"/>
    <s v="11"/>
    <s v="6100"/>
    <n v="1375.82"/>
    <n v="14.31"/>
    <s v="CREDITOR"/>
    <n v="0"/>
    <n v="0"/>
    <n v="0"/>
    <n v="0"/>
    <n v="14.31"/>
  </r>
  <r>
    <n v="59661614"/>
    <s v="N"/>
    <n v="21319070"/>
    <s v="3000014054550004"/>
    <s v="CIVIL"/>
    <d v="2023-06-23T00:00:00"/>
    <d v="2023-07-03T19:01:49"/>
    <m/>
    <d v="2023-07-03T00:00:00"/>
    <n v="1256"/>
    <n v="18073"/>
    <s v="59661614"/>
    <s v="59661614"/>
    <m/>
    <m/>
    <n v="22750748"/>
    <m/>
    <m/>
    <m/>
    <s v="SOLFIN"/>
    <s v="SOLFIN"/>
    <s v="CCMS"/>
    <n v="21319070"/>
    <n v="1240.97"/>
    <m/>
    <s v="N"/>
    <n v="5"/>
    <d v="2023-07-03T19:02:10"/>
    <s v="Y"/>
    <s v="Preparation - other"/>
    <s v="Non Family Hourly Rates"/>
    <s v="Profit Cost"/>
    <s v="PT"/>
    <s v="Y"/>
    <n v="715.5"/>
    <n v="0"/>
    <x v="3"/>
    <s v="VALIDATED"/>
    <n v="1"/>
    <s v="01.11.80.212.6100.0000"/>
    <n v="715.5"/>
    <s v="11"/>
    <s v="6100"/>
    <n v="1375.82"/>
    <n v="715.5"/>
    <s v="CREDITOR"/>
    <n v="0"/>
    <n v="0"/>
    <n v="0"/>
    <n v="0"/>
    <n v="715.5"/>
  </r>
  <r>
    <n v="59661614"/>
    <s v="N"/>
    <n v="21319070"/>
    <s v="3000014054550004"/>
    <s v="CIVIL"/>
    <d v="2023-06-23T00:00:00"/>
    <d v="2023-07-03T19:01:49"/>
    <m/>
    <d v="2023-07-03T00:00:00"/>
    <n v="1256"/>
    <n v="18073"/>
    <s v="59661614"/>
    <s v="59661614"/>
    <m/>
    <m/>
    <n v="22750748"/>
    <m/>
    <m/>
    <m/>
    <s v="SOLFIN"/>
    <s v="SOLFIN"/>
    <s v="CCMS"/>
    <n v="21319070"/>
    <n v="1240.97"/>
    <m/>
    <s v="N"/>
    <n v="17"/>
    <d v="2023-07-03T19:02:10"/>
    <s v="Y"/>
    <s v="Preparation - other"/>
    <s v="Non Family Hourly Rates"/>
    <s v="Profit Cost"/>
    <s v="QS"/>
    <s v="Y"/>
    <n v="64.40000000000001"/>
    <n v="0"/>
    <x v="3"/>
    <s v="VALIDATED"/>
    <n v="1"/>
    <s v="01.11.80.212.6100.0000"/>
    <n v="64.40000000000001"/>
    <s v="11"/>
    <s v="6100"/>
    <n v="1375.82"/>
    <n v="64.40000000000001"/>
    <s v="CREDITOR"/>
    <n v="0"/>
    <n v="0"/>
    <n v="0"/>
    <n v="0"/>
    <n v="64.40000000000001"/>
  </r>
  <r>
    <n v="59661614"/>
    <s v="N"/>
    <n v="21319070"/>
    <s v="3000014054550004"/>
    <s v="CIVIL"/>
    <d v="2023-06-23T00:00:00"/>
    <d v="2023-07-03T19:01:49"/>
    <m/>
    <d v="2023-07-03T00:00:00"/>
    <n v="1256"/>
    <n v="18073"/>
    <s v="59661614"/>
    <s v="59661614"/>
    <m/>
    <m/>
    <n v="22750748"/>
    <m/>
    <m/>
    <m/>
    <s v="SOLFIN"/>
    <s v="SOLFIN"/>
    <s v="CCMS"/>
    <n v="21319070"/>
    <n v="1240.97"/>
    <m/>
    <s v="N"/>
    <n v="13"/>
    <d v="2023-07-03T19:02:10"/>
    <s v="Y"/>
    <s v="Attendance upon/with Counsel at Con"/>
    <s v="Non Family Hourly Rates"/>
    <s v="Profit Cost"/>
    <s v="PT"/>
    <s v="Y"/>
    <n v="6.66"/>
    <n v="0"/>
    <x v="3"/>
    <s v="VALIDATED"/>
    <n v="1"/>
    <s v="01.11.80.212.6100.0000"/>
    <n v="6.66"/>
    <s v="11"/>
    <s v="6100"/>
    <n v="1375.82"/>
    <n v="6.66"/>
    <s v="CREDITOR"/>
    <n v="0"/>
    <n v="0"/>
    <n v="0"/>
    <n v="0"/>
    <n v="6.66"/>
  </r>
  <r>
    <n v="10675269"/>
    <s v="N"/>
    <n v="21327948"/>
    <s v="3000006492790002"/>
    <s v="CIVIL"/>
    <d v="2023-06-12T00:00:00"/>
    <d v="2023-07-04T19:00:44"/>
    <m/>
    <d v="2023-07-04T00:00:00"/>
    <n v="1256"/>
    <n v="18073"/>
    <s v="10675269"/>
    <s v="10675269"/>
    <m/>
    <m/>
    <n v="22669566"/>
    <m/>
    <m/>
    <m/>
    <s v="SOLFIN"/>
    <s v="SOLFIN"/>
    <s v="CCMS"/>
    <n v="21327948"/>
    <n v="3977.28"/>
    <m/>
    <s v="N"/>
    <n v="6"/>
    <d v="2023-07-04T19:00:59"/>
    <s v="N"/>
    <s v="Interpreter"/>
    <s v="VHCC"/>
    <s v="Expert Disbursement"/>
    <s v="MK"/>
    <s v="N"/>
    <n v="50"/>
    <n v="10"/>
    <x v="1"/>
    <s v="VALIDATED"/>
    <n v="1"/>
    <s v="01.11.80.401.6300.0000"/>
    <n v="50"/>
    <s v="11"/>
    <s v="6300"/>
    <n v="1375.82"/>
    <n v="50"/>
    <s v="CREDITOR"/>
    <n v="0"/>
    <n v="0"/>
    <n v="0"/>
    <n v="0"/>
    <n v="50"/>
  </r>
  <r>
    <n v="59661614"/>
    <s v="N"/>
    <n v="21319070"/>
    <s v="3000014054550004"/>
    <s v="CIVIL"/>
    <d v="2023-06-23T00:00:00"/>
    <d v="2023-07-03T19:01:49"/>
    <m/>
    <d v="2023-07-03T00:00:00"/>
    <n v="1256"/>
    <n v="18073"/>
    <s v="59661614"/>
    <s v="59661614"/>
    <m/>
    <m/>
    <n v="22750748"/>
    <m/>
    <m/>
    <m/>
    <s v="SOLFIN"/>
    <s v="SOLFIN"/>
    <s v="CCMS"/>
    <n v="21319070"/>
    <n v="1240.97"/>
    <m/>
    <s v="N"/>
    <n v="7"/>
    <d v="2023-07-03T19:02:10"/>
    <s v="Y"/>
    <s v="Preparation - drafting attendance n"/>
    <s v="Non Family Hourly Rates"/>
    <s v="Profit Cost"/>
    <s v="QS"/>
    <s v="Y"/>
    <n v="7.16"/>
    <n v="0"/>
    <x v="3"/>
    <s v="VALIDATED"/>
    <n v="1"/>
    <s v="01.11.80.212.6100.0000"/>
    <n v="7.16"/>
    <s v="11"/>
    <s v="6100"/>
    <n v="1375.82"/>
    <n v="7.16"/>
    <s v="CREDITOR"/>
    <n v="0"/>
    <n v="0"/>
    <n v="0"/>
    <n v="0"/>
    <n v="7.16"/>
  </r>
  <r>
    <n v="59661614"/>
    <s v="N"/>
    <n v="21319070"/>
    <s v="3000014054550004"/>
    <s v="CIVIL"/>
    <d v="2023-06-23T00:00:00"/>
    <d v="2023-07-03T19:01:49"/>
    <m/>
    <d v="2023-07-03T00:00:00"/>
    <n v="1256"/>
    <n v="18073"/>
    <s v="59661614"/>
    <s v="59661614"/>
    <m/>
    <m/>
    <n v="22750748"/>
    <m/>
    <m/>
    <m/>
    <s v="SOLFIN"/>
    <s v="SOLFIN"/>
    <s v="CCMS"/>
    <n v="21319070"/>
    <n v="1240.97"/>
    <m/>
    <s v="N"/>
    <n v="2"/>
    <d v="2023-07-03T19:02:10"/>
    <s v="Y"/>
    <s v="Attendance upon other"/>
    <s v="Non Family Hourly Rates"/>
    <s v="Profit Cost"/>
    <s v="QS"/>
    <s v="Y"/>
    <n v="21.47"/>
    <n v="0"/>
    <x v="3"/>
    <s v="VALIDATED"/>
    <n v="1"/>
    <s v="01.11.80.212.6100.0000"/>
    <n v="21.47"/>
    <s v="11"/>
    <s v="6100"/>
    <n v="1375.82"/>
    <n v="21.47"/>
    <s v="CREDITOR"/>
    <n v="0"/>
    <n v="0"/>
    <n v="0"/>
    <n v="0"/>
    <n v="21.47"/>
  </r>
  <r>
    <n v="59661614"/>
    <s v="N"/>
    <n v="21319070"/>
    <s v="3000014054550004"/>
    <s v="CIVIL"/>
    <d v="2023-06-23T00:00:00"/>
    <d v="2023-07-03T19:01:49"/>
    <m/>
    <d v="2023-07-03T00:00:00"/>
    <n v="1256"/>
    <n v="18073"/>
    <s v="59661614"/>
    <s v="59661614"/>
    <m/>
    <m/>
    <n v="22750748"/>
    <m/>
    <m/>
    <m/>
    <s v="SOLFIN"/>
    <s v="SOLFIN"/>
    <s v="CCMS"/>
    <n v="21319070"/>
    <n v="1240.97"/>
    <m/>
    <s v="N"/>
    <n v="4"/>
    <d v="2023-07-03T19:02:10"/>
    <s v="Y"/>
    <s v="Preparation - other"/>
    <s v="Non Family Hourly Rates"/>
    <s v="Profit Cost"/>
    <s v="QS"/>
    <s v="Y"/>
    <n v="35.78"/>
    <n v="0"/>
    <x v="3"/>
    <s v="VALIDATED"/>
    <n v="1"/>
    <s v="01.11.80.212.6100.0000"/>
    <n v="35.78"/>
    <s v="11"/>
    <s v="6100"/>
    <n v="1375.82"/>
    <n v="35.78"/>
    <s v="CREDITOR"/>
    <n v="0"/>
    <n v="0"/>
    <n v="0"/>
    <n v="0"/>
    <n v="35.78"/>
  </r>
  <r>
    <n v="10675269"/>
    <s v="N"/>
    <n v="21327948"/>
    <s v="3000006492790002"/>
    <s v="CIVIL"/>
    <d v="2023-06-12T00:00:00"/>
    <d v="2023-07-04T19:00:44"/>
    <m/>
    <d v="2023-07-04T00:00:00"/>
    <n v="1256"/>
    <n v="18073"/>
    <s v="10675269"/>
    <s v="10675269"/>
    <m/>
    <m/>
    <n v="22669566"/>
    <m/>
    <m/>
    <m/>
    <s v="SOLFIN"/>
    <s v="SOLFIN"/>
    <s v="CCMS"/>
    <n v="21327948"/>
    <n v="3977.28"/>
    <m/>
    <s v="N"/>
    <n v="9"/>
    <d v="2023-07-04T19:00:59"/>
    <s v="N"/>
    <s v="Profit Costs (Summary)"/>
    <s v="VHCC"/>
    <s v="Profit Cost"/>
    <s v="MK"/>
    <s v="N"/>
    <n v="270.68"/>
    <n v="0"/>
    <x v="1"/>
    <s v="VALIDATED"/>
    <n v="1"/>
    <s v="01.11.80.401.6100.0000"/>
    <n v="270.68"/>
    <s v="11"/>
    <s v="6100"/>
    <n v="1375.82"/>
    <n v="270.68"/>
    <s v="CREDITOR"/>
    <n v="0"/>
    <n v="0"/>
    <n v="0"/>
    <n v="0"/>
    <n v="270.68"/>
  </r>
  <r>
    <n v="59661614"/>
    <s v="N"/>
    <n v="21319070"/>
    <s v="3000014054550004"/>
    <s v="CIVIL"/>
    <d v="2023-06-23T00:00:00"/>
    <d v="2023-07-03T19:01:49"/>
    <m/>
    <d v="2023-07-03T00:00:00"/>
    <n v="1256"/>
    <n v="18073"/>
    <s v="59661614"/>
    <s v="59661614"/>
    <m/>
    <m/>
    <n v="22750748"/>
    <m/>
    <m/>
    <m/>
    <s v="SOLFIN"/>
    <s v="SOLFIN"/>
    <s v="CCMS"/>
    <n v="21319070"/>
    <n v="1240.97"/>
    <m/>
    <s v="N"/>
    <n v="12"/>
    <d v="2023-07-03T19:02:10"/>
    <s v="Y"/>
    <s v="Attendance upon other"/>
    <s v="Non Family Hourly Rates"/>
    <s v="Profit Cost"/>
    <s v="QS"/>
    <s v="Y"/>
    <n v="21.47"/>
    <n v="0"/>
    <x v="3"/>
    <s v="VALIDATED"/>
    <n v="1"/>
    <s v="01.11.80.212.6100.0000"/>
    <n v="21.47"/>
    <s v="11"/>
    <s v="6100"/>
    <n v="1375.82"/>
    <n v="21.47"/>
    <s v="CREDITOR"/>
    <n v="0"/>
    <n v="0"/>
    <n v="0"/>
    <n v="0"/>
    <n v="21.47"/>
  </r>
  <r>
    <n v="59661614"/>
    <s v="N"/>
    <n v="21319070"/>
    <s v="3000014054550004"/>
    <s v="CIVIL"/>
    <d v="2023-06-23T00:00:00"/>
    <d v="2023-07-03T19:01:49"/>
    <m/>
    <d v="2023-07-03T00:00:00"/>
    <n v="1256"/>
    <n v="18073"/>
    <s v="59661614"/>
    <s v="59661614"/>
    <m/>
    <m/>
    <n v="22750748"/>
    <m/>
    <m/>
    <m/>
    <s v="SOLFIN"/>
    <s v="SOLFIN"/>
    <s v="CCMS"/>
    <n v="21319070"/>
    <n v="1240.97"/>
    <m/>
    <s v="N"/>
    <n v="3"/>
    <d v="2023-07-03T19:02:10"/>
    <s v="Y"/>
    <s v="Preparation - other"/>
    <s v="Non Family Hourly Rates"/>
    <s v="Profit Cost"/>
    <s v="QS"/>
    <s v="Y"/>
    <n v="7.16"/>
    <n v="0"/>
    <x v="3"/>
    <s v="VALIDATED"/>
    <n v="1"/>
    <s v="01.11.80.212.6100.0000"/>
    <n v="7.16"/>
    <s v="11"/>
    <s v="6100"/>
    <n v="1375.82"/>
    <n v="7.16"/>
    <s v="CREDITOR"/>
    <n v="0"/>
    <n v="0"/>
    <n v="0"/>
    <n v="0"/>
    <n v="7.16"/>
  </r>
  <r>
    <n v="10675269"/>
    <s v="N"/>
    <n v="21327948"/>
    <s v="3000006492790002"/>
    <s v="CIVIL"/>
    <d v="2023-06-12T00:00:00"/>
    <d v="2023-07-04T19:00:44"/>
    <m/>
    <d v="2023-07-04T00:00:00"/>
    <n v="1256"/>
    <n v="18073"/>
    <s v="10675269"/>
    <s v="10675269"/>
    <m/>
    <m/>
    <n v="22669566"/>
    <m/>
    <m/>
    <m/>
    <s v="SOLFIN"/>
    <s v="SOLFIN"/>
    <s v="CCMS"/>
    <n v="21327948"/>
    <n v="3977.28"/>
    <m/>
    <s v="N"/>
    <n v="13"/>
    <d v="2023-07-04T19:00:59"/>
    <s v="Y"/>
    <s v="Interpreter"/>
    <s v="VHCC"/>
    <s v="Expert Disbursement"/>
    <s v="MK"/>
    <s v="Y"/>
    <n v="40"/>
    <n v="8"/>
    <x v="1"/>
    <s v="VALIDATED"/>
    <n v="1"/>
    <s v="01.11.80.401.6300.0000"/>
    <n v="40"/>
    <s v="11"/>
    <s v="6300"/>
    <n v="1375.82"/>
    <n v="40"/>
    <s v="CREDITOR"/>
    <n v="0"/>
    <n v="0"/>
    <n v="0"/>
    <n v="0"/>
    <n v="40"/>
  </r>
  <r>
    <n v="59661614"/>
    <s v="N"/>
    <n v="21319070"/>
    <s v="3000014054550004"/>
    <s v="CIVIL"/>
    <d v="2023-06-23T00:00:00"/>
    <d v="2023-07-03T19:01:49"/>
    <m/>
    <d v="2023-07-03T00:00:00"/>
    <n v="1256"/>
    <n v="18073"/>
    <s v="59661614"/>
    <s v="59661614"/>
    <m/>
    <m/>
    <n v="22750748"/>
    <m/>
    <m/>
    <m/>
    <s v="SOLFIN"/>
    <s v="SOLFIN"/>
    <s v="CCMS"/>
    <n v="21319070"/>
    <n v="1240.97"/>
    <m/>
    <s v="N"/>
    <n v="24"/>
    <d v="2023-07-03T19:02:10"/>
    <s v="Y"/>
    <s v="Routine Letter Out"/>
    <s v="Non Family Hourly Rates"/>
    <s v="Profit Cost"/>
    <s v="QS"/>
    <s v="Y"/>
    <n v="13.5"/>
    <n v="0"/>
    <x v="3"/>
    <s v="VALIDATED"/>
    <n v="1"/>
    <s v="01.11.80.212.6100.0000"/>
    <n v="13.5"/>
    <s v="11"/>
    <s v="6100"/>
    <n v="1375.82"/>
    <n v="13.5"/>
    <s v="CREDITOR"/>
    <n v="0"/>
    <n v="0"/>
    <n v="0"/>
    <n v="0"/>
    <n v="13.5"/>
  </r>
  <r>
    <n v="10675269"/>
    <s v="N"/>
    <n v="21327948"/>
    <s v="3000006492790002"/>
    <s v="CIVIL"/>
    <d v="2023-06-12T00:00:00"/>
    <d v="2023-07-04T19:00:44"/>
    <m/>
    <d v="2023-07-04T00:00:00"/>
    <n v="1256"/>
    <n v="18073"/>
    <s v="10675269"/>
    <s v="10675269"/>
    <m/>
    <m/>
    <n v="22669566"/>
    <m/>
    <m/>
    <m/>
    <s v="SOLFIN"/>
    <s v="SOLFIN"/>
    <s v="CCMS"/>
    <n v="21327948"/>
    <n v="3977.28"/>
    <m/>
    <s v="N"/>
    <n v="10"/>
    <d v="2023-07-04T19:00:59"/>
    <s v="Y"/>
    <s v="Interpreter"/>
    <s v="VHCC"/>
    <s v="Expert Disbursement"/>
    <s v="MK"/>
    <s v="Y"/>
    <n v="37.5"/>
    <n v="7.5"/>
    <x v="1"/>
    <s v="VALIDATED"/>
    <n v="1"/>
    <s v="01.11.80.401.6300.0000"/>
    <n v="37.5"/>
    <s v="11"/>
    <s v="6300"/>
    <n v="1375.82"/>
    <n v="37.5"/>
    <s v="CREDITOR"/>
    <n v="0"/>
    <n v="0"/>
    <n v="0"/>
    <n v="0"/>
    <n v="37.5"/>
  </r>
  <r>
    <n v="59661614"/>
    <s v="N"/>
    <n v="21319070"/>
    <s v="3000014054550004"/>
    <s v="CIVIL"/>
    <d v="2023-06-23T00:00:00"/>
    <d v="2023-07-03T19:01:49"/>
    <m/>
    <d v="2023-07-03T00:00:00"/>
    <n v="1256"/>
    <n v="18073"/>
    <s v="59661614"/>
    <s v="59661614"/>
    <m/>
    <m/>
    <n v="22750748"/>
    <m/>
    <m/>
    <m/>
    <s v="SOLFIN"/>
    <s v="SOLFIN"/>
    <s v="CCMS"/>
    <n v="21319070"/>
    <n v="1240.97"/>
    <m/>
    <s v="N"/>
    <n v="16"/>
    <d v="2023-07-03T19:02:10"/>
    <s v="Y"/>
    <s v="Preparation - other"/>
    <s v="Non Family Hourly Rates"/>
    <s v="Profit Cost"/>
    <s v="QS"/>
    <s v="Y"/>
    <n v="93.02"/>
    <n v="0"/>
    <x v="3"/>
    <s v="VALIDATED"/>
    <n v="1"/>
    <s v="01.11.80.212.6100.0000"/>
    <n v="93.02"/>
    <s v="11"/>
    <s v="6100"/>
    <n v="1375.82"/>
    <n v="93.02"/>
    <s v="CREDITOR"/>
    <n v="0"/>
    <n v="0"/>
    <n v="0"/>
    <n v="0"/>
    <n v="93.02"/>
  </r>
  <r>
    <n v="59661614"/>
    <s v="N"/>
    <n v="21324498"/>
    <s v="3000014054550001RC"/>
    <s v="CIVIL"/>
    <d v="2023-06-23T00:00:00"/>
    <d v="2023-07-03T19:42:50"/>
    <m/>
    <d v="2023-07-03T00:00:00"/>
    <n v="1256"/>
    <n v="18073"/>
    <s v="59661614"/>
    <s v="59661614"/>
    <m/>
    <m/>
    <m/>
    <m/>
    <m/>
    <m/>
    <s v="SOLRECOUP"/>
    <s v="SOLRECOUP"/>
    <s v="POARECOUP"/>
    <n v="21324498"/>
    <n v="-3451.35"/>
    <m/>
    <s v="Y"/>
    <n v="2"/>
    <d v="2023-07-03T19:42:51"/>
    <s v="N"/>
    <m/>
    <m/>
    <s v="Profit Cost"/>
    <m/>
    <s v="N"/>
    <n v="0"/>
    <n v="0"/>
    <x v="3"/>
    <s v="VALIDATED"/>
    <n v="1"/>
    <s v="01.11.80.000.0000.0000"/>
    <n v="0"/>
    <s v="11"/>
    <s v="0000"/>
    <n v="1375.82"/>
    <n v="0"/>
    <s v="CREDITOR"/>
    <n v="0"/>
    <n v="0"/>
    <n v="0"/>
    <n v="0"/>
    <n v="0"/>
  </r>
  <r>
    <n v="59661614"/>
    <s v="N"/>
    <n v="21324498"/>
    <s v="3000014054550001RC"/>
    <s v="CIVIL"/>
    <d v="2023-06-23T00:00:00"/>
    <d v="2023-07-03T19:42:50"/>
    <m/>
    <d v="2023-07-03T00:00:00"/>
    <n v="1256"/>
    <n v="18073"/>
    <s v="59661614"/>
    <s v="59661614"/>
    <m/>
    <m/>
    <m/>
    <m/>
    <m/>
    <m/>
    <s v="SOLRECOUP"/>
    <s v="SOLRECOUP"/>
    <s v="POARECOUP"/>
    <n v="21324498"/>
    <n v="-3451.35"/>
    <m/>
    <s v="Y"/>
    <n v="1"/>
    <d v="2023-07-03T19:42:51"/>
    <s v="N"/>
    <m/>
    <m/>
    <s v="Profit Cost"/>
    <m/>
    <s v="N"/>
    <n v="-3451.35"/>
    <n v="0"/>
    <x v="3"/>
    <s v="VALIDATED"/>
    <n v="1"/>
    <s v="01.11.80.212.2013.0000"/>
    <n v="-3451.35"/>
    <s v="11"/>
    <s v="2013"/>
    <n v="1375.82"/>
    <n v="-3451.35"/>
    <s v="CREDITOR"/>
    <n v="0"/>
    <n v="0"/>
    <n v="-3451.35"/>
    <n v="-862.8375"/>
    <n v="0"/>
  </r>
  <r>
    <n v="59661614"/>
    <s v="N"/>
    <n v="21324499"/>
    <s v="3000014054550002RC"/>
    <s v="CIVIL"/>
    <d v="2023-06-23T00:00:00"/>
    <d v="2023-07-03T19:42:50"/>
    <m/>
    <d v="2023-07-03T00:00:00"/>
    <n v="1256"/>
    <n v="18073"/>
    <s v="59661614"/>
    <s v="59661614"/>
    <m/>
    <m/>
    <m/>
    <m/>
    <m/>
    <m/>
    <s v="SOLRECOUP"/>
    <s v="SOLRECOUP"/>
    <s v="POARECOUP"/>
    <n v="21324499"/>
    <n v="-255"/>
    <m/>
    <s v="Y"/>
    <n v="1"/>
    <d v="2023-07-03T19:42:51"/>
    <s v="N"/>
    <m/>
    <m/>
    <s v="Non Expert Disbursement"/>
    <m/>
    <s v="N"/>
    <n v="-255"/>
    <n v="0"/>
    <x v="3"/>
    <s v="VALIDATED"/>
    <n v="1"/>
    <s v="01.11.80.212.2013.0000"/>
    <n v="-255"/>
    <s v="11"/>
    <s v="2013"/>
    <n v="1375.82"/>
    <n v="-255"/>
    <s v="CREDITOR"/>
    <n v="0"/>
    <n v="0"/>
    <n v="-255"/>
    <n v="0"/>
    <n v="0"/>
  </r>
  <r>
    <n v="59661614"/>
    <s v="N"/>
    <n v="21324499"/>
    <s v="3000014054550002RC"/>
    <s v="CIVIL"/>
    <d v="2023-06-23T00:00:00"/>
    <d v="2023-07-03T19:42:50"/>
    <m/>
    <d v="2023-07-03T00:00:00"/>
    <n v="1256"/>
    <n v="18073"/>
    <s v="59661614"/>
    <s v="59661614"/>
    <m/>
    <m/>
    <m/>
    <m/>
    <m/>
    <m/>
    <s v="SOLRECOUP"/>
    <s v="SOLRECOUP"/>
    <s v="POARECOUP"/>
    <n v="21324499"/>
    <n v="-255"/>
    <m/>
    <s v="Y"/>
    <n v="2"/>
    <d v="2023-07-03T19:42:51"/>
    <s v="N"/>
    <m/>
    <m/>
    <s v="Non Expert Disbursement"/>
    <m/>
    <s v="N"/>
    <n v="0"/>
    <n v="0"/>
    <x v="3"/>
    <s v="VALIDATED"/>
    <n v="1"/>
    <s v="01.11.80.000.0000.0000"/>
    <n v="0"/>
    <s v="11"/>
    <s v="0000"/>
    <n v="1375.82"/>
    <n v="0"/>
    <s v="CREDITOR"/>
    <n v="0"/>
    <n v="0"/>
    <n v="0"/>
    <n v="0"/>
    <n v="0"/>
  </r>
  <r>
    <n v="59661614"/>
    <s v="N"/>
    <n v="21324500"/>
    <s v="3000014054550003RC"/>
    <s v="CIVIL"/>
    <d v="2023-06-23T00:00:00"/>
    <d v="2023-07-03T19:42:50"/>
    <m/>
    <d v="2023-07-03T00:00:00"/>
    <n v="1256"/>
    <n v="18073"/>
    <s v="59661614"/>
    <s v="59661614"/>
    <m/>
    <m/>
    <m/>
    <m/>
    <m/>
    <m/>
    <s v="SOLRECOUP"/>
    <s v="SOLRECOUP"/>
    <s v="POARECOUP"/>
    <n v="21324500"/>
    <n v="-154"/>
    <m/>
    <s v="Y"/>
    <n v="1"/>
    <d v="2023-07-03T19:42:51"/>
    <s v="N"/>
    <m/>
    <m/>
    <s v="Non Expert Disbursement"/>
    <m/>
    <s v="N"/>
    <n v="-154"/>
    <n v="0"/>
    <x v="3"/>
    <s v="VALIDATED"/>
    <n v="1"/>
    <s v="01.11.80.212.2013.0000"/>
    <n v="-154"/>
    <s v="11"/>
    <s v="2013"/>
    <n v="1375.82"/>
    <n v="-154"/>
    <s v="CREDITOR"/>
    <n v="0"/>
    <n v="0"/>
    <n v="-154"/>
    <n v="0"/>
    <n v="0"/>
  </r>
  <r>
    <n v="59661614"/>
    <s v="N"/>
    <n v="21324500"/>
    <s v="3000014054550003RC"/>
    <s v="CIVIL"/>
    <d v="2023-06-23T00:00:00"/>
    <d v="2023-07-03T19:42:50"/>
    <m/>
    <d v="2023-07-03T00:00:00"/>
    <n v="1256"/>
    <n v="18073"/>
    <s v="59661614"/>
    <s v="59661614"/>
    <m/>
    <m/>
    <m/>
    <m/>
    <m/>
    <m/>
    <s v="SOLRECOUP"/>
    <s v="SOLRECOUP"/>
    <s v="POARECOUP"/>
    <n v="21324500"/>
    <n v="-154"/>
    <m/>
    <s v="Y"/>
    <n v="2"/>
    <d v="2023-07-03T19:42:51"/>
    <s v="N"/>
    <m/>
    <m/>
    <s v="Non Expert Disbursement"/>
    <m/>
    <s v="N"/>
    <n v="0"/>
    <n v="0"/>
    <x v="3"/>
    <s v="VALIDATED"/>
    <n v="1"/>
    <s v="01.11.80.000.0000.0000"/>
    <n v="0"/>
    <s v="11"/>
    <s v="0000"/>
    <n v="1375.82"/>
    <n v="0"/>
    <s v="CREDITOR"/>
    <n v="0"/>
    <n v="0"/>
    <n v="0"/>
    <n v="0"/>
    <n v="0"/>
  </r>
  <r>
    <n v="19827631"/>
    <s v="N"/>
    <n v="21356630"/>
    <s v="3000008338190018RC"/>
    <s v="CIVIL"/>
    <d v="2023-06-24T00:00:00"/>
    <d v="2023-07-10T19:47:44"/>
    <m/>
    <d v="2023-07-10T00:00:00"/>
    <n v="1259"/>
    <n v="18107"/>
    <s v="19827631"/>
    <s v="19827631"/>
    <m/>
    <m/>
    <m/>
    <m/>
    <m/>
    <m/>
    <s v="SOLRECOUP"/>
    <s v="SOLRECOUP"/>
    <s v="POARECOUP"/>
    <n v="21356630"/>
    <n v="-275.04"/>
    <m/>
    <s v="Y"/>
    <n v="2"/>
    <d v="2023-07-10T19:47:45"/>
    <s v="N"/>
    <m/>
    <m/>
    <s v="Expert Disbursement"/>
    <m/>
    <s v="N"/>
    <n v="0"/>
    <n v="-45.84"/>
    <x v="2"/>
    <s v="VALIDATED"/>
    <n v="1"/>
    <s v="01.11.80.308.2013.0000"/>
    <n v="-45.84"/>
    <s v="11"/>
    <s v="2013"/>
    <n v="18755.88"/>
    <n v="-45.84"/>
    <s v="CREDITOR"/>
    <n v="0"/>
    <n v="0"/>
    <n v="-45.84"/>
    <n v="0"/>
    <n v="0"/>
  </r>
  <r>
    <n v="19827631"/>
    <s v="N"/>
    <n v="21356630"/>
    <s v="3000008338190018RC"/>
    <s v="CIVIL"/>
    <d v="2023-06-24T00:00:00"/>
    <d v="2023-07-10T19:47:44"/>
    <m/>
    <d v="2023-07-10T00:00:00"/>
    <n v="1259"/>
    <n v="18107"/>
    <s v="19827631"/>
    <s v="19827631"/>
    <m/>
    <m/>
    <m/>
    <m/>
    <m/>
    <m/>
    <s v="SOLRECOUP"/>
    <s v="SOLRECOUP"/>
    <s v="POARECOUP"/>
    <n v="21356630"/>
    <n v="-275.04"/>
    <m/>
    <s v="Y"/>
    <n v="1"/>
    <d v="2023-07-10T19:47:45"/>
    <s v="N"/>
    <m/>
    <m/>
    <s v="Expert Disbursement"/>
    <m/>
    <s v="N"/>
    <n v="-229.2"/>
    <n v="0"/>
    <x v="2"/>
    <s v="VALIDATED"/>
    <n v="1"/>
    <s v="01.11.80.308.2013.0000"/>
    <n v="-229.2"/>
    <s v="11"/>
    <s v="2013"/>
    <n v="18755.88"/>
    <n v="-229.2"/>
    <s v="CREDITOR"/>
    <n v="0"/>
    <n v="0"/>
    <n v="-229.2"/>
    <n v="0"/>
    <n v="0"/>
  </r>
  <r>
    <n v="19827631"/>
    <s v="N"/>
    <n v="21356631"/>
    <s v="3000008338190019RC"/>
    <s v="CIVIL"/>
    <d v="2023-06-24T00:00:00"/>
    <d v="2023-07-10T19:47:44"/>
    <m/>
    <d v="2023-07-10T00:00:00"/>
    <n v="1259"/>
    <n v="18107"/>
    <s v="19827631"/>
    <s v="19827631"/>
    <m/>
    <m/>
    <m/>
    <m/>
    <m/>
    <m/>
    <s v="SOLRECOUP"/>
    <s v="SOLRECOUP"/>
    <s v="POARECOUP"/>
    <n v="21356631"/>
    <n v="-251.28"/>
    <m/>
    <s v="Y"/>
    <n v="2"/>
    <d v="2023-07-10T19:47:45"/>
    <s v="N"/>
    <m/>
    <m/>
    <s v="Expert Disbursement"/>
    <m/>
    <s v="N"/>
    <n v="0"/>
    <n v="-41.88"/>
    <x v="2"/>
    <s v="VALIDATED"/>
    <n v="1"/>
    <s v="01.11.80.308.2013.0000"/>
    <n v="-41.88"/>
    <s v="11"/>
    <s v="2013"/>
    <n v="18755.88"/>
    <n v="-41.88"/>
    <s v="CREDITOR"/>
    <n v="0"/>
    <n v="0"/>
    <n v="-41.88"/>
    <n v="0"/>
    <n v="0"/>
  </r>
  <r>
    <n v="19827631"/>
    <s v="N"/>
    <n v="21356631"/>
    <s v="3000008338190019RC"/>
    <s v="CIVIL"/>
    <d v="2023-06-24T00:00:00"/>
    <d v="2023-07-10T19:47:44"/>
    <m/>
    <d v="2023-07-10T00:00:00"/>
    <n v="1259"/>
    <n v="18107"/>
    <s v="19827631"/>
    <s v="19827631"/>
    <m/>
    <m/>
    <m/>
    <m/>
    <m/>
    <m/>
    <s v="SOLRECOUP"/>
    <s v="SOLRECOUP"/>
    <s v="POARECOUP"/>
    <n v="21356631"/>
    <n v="-251.28"/>
    <m/>
    <s v="Y"/>
    <n v="1"/>
    <d v="2023-07-10T19:47:45"/>
    <s v="N"/>
    <m/>
    <m/>
    <s v="Expert Disbursement"/>
    <m/>
    <s v="N"/>
    <n v="-209.4"/>
    <n v="0"/>
    <x v="2"/>
    <s v="VALIDATED"/>
    <n v="1"/>
    <s v="01.11.80.308.2013.0000"/>
    <n v="-209.4"/>
    <s v="11"/>
    <s v="2013"/>
    <n v="18755.88"/>
    <n v="-209.4"/>
    <s v="CREDITOR"/>
    <n v="0"/>
    <n v="0"/>
    <n v="-209.4"/>
    <n v="0"/>
    <n v="0"/>
  </r>
  <r>
    <n v="19827631"/>
    <s v="N"/>
    <n v="21356632"/>
    <s v="3000008338190015RC"/>
    <s v="CIVIL"/>
    <d v="2023-06-24T00:00:00"/>
    <d v="2023-07-10T19:47:44"/>
    <m/>
    <d v="2023-07-10T00:00:00"/>
    <n v="1259"/>
    <n v="18107"/>
    <s v="19827631"/>
    <s v="19827631"/>
    <m/>
    <m/>
    <m/>
    <m/>
    <m/>
    <m/>
    <s v="SOLRECOUP"/>
    <s v="SOLRECOUP"/>
    <s v="POARECOUP"/>
    <n v="21356632"/>
    <n v="-604.8"/>
    <m/>
    <s v="Y"/>
    <n v="2"/>
    <d v="2023-07-10T19:47:45"/>
    <s v="N"/>
    <m/>
    <m/>
    <s v="Expert Disbursement"/>
    <m/>
    <s v="N"/>
    <n v="0"/>
    <n v="-100.8"/>
    <x v="2"/>
    <s v="VALIDATED"/>
    <n v="1"/>
    <s v="01.11.80.308.2013.0000"/>
    <n v="-100.8"/>
    <s v="11"/>
    <s v="2013"/>
    <n v="18755.88"/>
    <n v="-100.8"/>
    <s v="CREDITOR"/>
    <n v="0"/>
    <n v="0"/>
    <n v="-100.8"/>
    <n v="0"/>
    <n v="0"/>
  </r>
  <r>
    <n v="19827631"/>
    <s v="N"/>
    <n v="21356632"/>
    <s v="3000008338190015RC"/>
    <s v="CIVIL"/>
    <d v="2023-06-24T00:00:00"/>
    <d v="2023-07-10T19:47:44"/>
    <m/>
    <d v="2023-07-10T00:00:00"/>
    <n v="1259"/>
    <n v="18107"/>
    <s v="19827631"/>
    <s v="19827631"/>
    <m/>
    <m/>
    <m/>
    <m/>
    <m/>
    <m/>
    <s v="SOLRECOUP"/>
    <s v="SOLRECOUP"/>
    <s v="POARECOUP"/>
    <n v="21356632"/>
    <n v="-604.8"/>
    <m/>
    <s v="Y"/>
    <n v="1"/>
    <d v="2023-07-10T19:47:45"/>
    <s v="N"/>
    <m/>
    <m/>
    <s v="Expert Disbursement"/>
    <m/>
    <s v="N"/>
    <n v="-504"/>
    <n v="0"/>
    <x v="2"/>
    <s v="VALIDATED"/>
    <n v="1"/>
    <s v="01.11.80.308.2013.0000"/>
    <n v="-504"/>
    <s v="11"/>
    <s v="2013"/>
    <n v="18755.88"/>
    <n v="-504"/>
    <s v="CREDITOR"/>
    <n v="0"/>
    <n v="0"/>
    <n v="-504"/>
    <n v="0"/>
    <n v="0"/>
  </r>
  <r>
    <n v="19827631"/>
    <s v="N"/>
    <n v="21356633"/>
    <s v="3000008338190016RC"/>
    <s v="CIVIL"/>
    <d v="2023-06-24T00:00:00"/>
    <d v="2023-07-10T19:47:44"/>
    <m/>
    <d v="2023-07-10T00:00:00"/>
    <n v="1259"/>
    <n v="18107"/>
    <s v="19827631"/>
    <s v="19827631"/>
    <m/>
    <m/>
    <m/>
    <m/>
    <m/>
    <m/>
    <s v="SOLRECOUP"/>
    <s v="SOLRECOUP"/>
    <s v="POARECOUP"/>
    <n v="21356633"/>
    <n v="-123"/>
    <m/>
    <s v="Y"/>
    <n v="2"/>
    <d v="2023-07-10T19:47:45"/>
    <s v="N"/>
    <m/>
    <m/>
    <s v="Expert Disbursement"/>
    <m/>
    <s v="N"/>
    <n v="0"/>
    <n v="-20.5"/>
    <x v="2"/>
    <s v="VALIDATED"/>
    <n v="1"/>
    <s v="01.11.80.308.2013.0000"/>
    <n v="-20.5"/>
    <s v="11"/>
    <s v="2013"/>
    <n v="18755.88"/>
    <n v="-20.5"/>
    <s v="CREDITOR"/>
    <n v="0"/>
    <n v="0"/>
    <n v="-20.5"/>
    <n v="0"/>
    <n v="0"/>
  </r>
  <r>
    <n v="19827631"/>
    <s v="N"/>
    <n v="21356633"/>
    <s v="3000008338190016RC"/>
    <s v="CIVIL"/>
    <d v="2023-06-24T00:00:00"/>
    <d v="2023-07-10T19:47:44"/>
    <m/>
    <d v="2023-07-10T00:00:00"/>
    <n v="1259"/>
    <n v="18107"/>
    <s v="19827631"/>
    <s v="19827631"/>
    <m/>
    <m/>
    <m/>
    <m/>
    <m/>
    <m/>
    <s v="SOLRECOUP"/>
    <s v="SOLRECOUP"/>
    <s v="POARECOUP"/>
    <n v="21356633"/>
    <n v="-123"/>
    <m/>
    <s v="Y"/>
    <n v="1"/>
    <d v="2023-07-10T19:47:45"/>
    <s v="N"/>
    <m/>
    <m/>
    <s v="Expert Disbursement"/>
    <m/>
    <s v="N"/>
    <n v="-102.5"/>
    <n v="0"/>
    <x v="2"/>
    <s v="VALIDATED"/>
    <n v="1"/>
    <s v="01.11.80.308.2013.0000"/>
    <n v="-102.5"/>
    <s v="11"/>
    <s v="2013"/>
    <n v="18755.88"/>
    <n v="-102.5"/>
    <s v="CREDITOR"/>
    <n v="0"/>
    <n v="0"/>
    <n v="-102.5"/>
    <n v="0"/>
    <n v="0"/>
  </r>
  <r>
    <n v="19827631"/>
    <s v="N"/>
    <n v="21356634"/>
    <s v="3000008338190017RC"/>
    <s v="CIVIL"/>
    <d v="2023-06-24T00:00:00"/>
    <d v="2023-07-10T19:47:44"/>
    <m/>
    <d v="2023-07-10T00:00:00"/>
    <n v="1259"/>
    <n v="18107"/>
    <s v="19827631"/>
    <s v="19827631"/>
    <m/>
    <m/>
    <m/>
    <m/>
    <m/>
    <m/>
    <s v="SOLRECOUP"/>
    <s v="SOLRECOUP"/>
    <s v="POARECOUP"/>
    <n v="21356634"/>
    <n v="-117"/>
    <m/>
    <s v="Y"/>
    <n v="2"/>
    <d v="2023-07-10T19:47:45"/>
    <s v="N"/>
    <m/>
    <m/>
    <s v="Expert Disbursement"/>
    <m/>
    <s v="N"/>
    <n v="0"/>
    <n v="-19.5"/>
    <x v="2"/>
    <s v="VALIDATED"/>
    <n v="1"/>
    <s v="01.11.80.308.2013.0000"/>
    <n v="-19.5"/>
    <s v="11"/>
    <s v="2013"/>
    <n v="18755.88"/>
    <n v="-19.5"/>
    <s v="CREDITOR"/>
    <n v="0"/>
    <n v="0"/>
    <n v="-19.5"/>
    <n v="0"/>
    <n v="0"/>
  </r>
  <r>
    <n v="19827631"/>
    <s v="N"/>
    <n v="21356634"/>
    <s v="3000008338190017RC"/>
    <s v="CIVIL"/>
    <d v="2023-06-24T00:00:00"/>
    <d v="2023-07-10T19:47:44"/>
    <m/>
    <d v="2023-07-10T00:00:00"/>
    <n v="1259"/>
    <n v="18107"/>
    <s v="19827631"/>
    <s v="19827631"/>
    <m/>
    <m/>
    <m/>
    <m/>
    <m/>
    <m/>
    <s v="SOLRECOUP"/>
    <s v="SOLRECOUP"/>
    <s v="POARECOUP"/>
    <n v="21356634"/>
    <n v="-117"/>
    <m/>
    <s v="Y"/>
    <n v="1"/>
    <d v="2023-07-10T19:47:45"/>
    <s v="N"/>
    <m/>
    <m/>
    <s v="Expert Disbursement"/>
    <m/>
    <s v="N"/>
    <n v="-97.5"/>
    <n v="0"/>
    <x v="2"/>
    <s v="VALIDATED"/>
    <n v="1"/>
    <s v="01.11.80.308.2013.0000"/>
    <n v="-97.5"/>
    <s v="11"/>
    <s v="2013"/>
    <n v="18755.88"/>
    <n v="-97.5"/>
    <s v="CREDITOR"/>
    <n v="0"/>
    <n v="0"/>
    <n v="-97.5"/>
    <n v="0"/>
    <n v="0"/>
  </r>
  <r>
    <n v="19827631"/>
    <s v="N"/>
    <n v="21356635"/>
    <s v="3000008338190013RC"/>
    <s v="CIVIL"/>
    <d v="2023-06-24T00:00:00"/>
    <d v="2023-07-10T19:47:44"/>
    <m/>
    <d v="2023-07-10T00:00:00"/>
    <n v="1259"/>
    <n v="18107"/>
    <s v="19827631"/>
    <s v="19827631"/>
    <m/>
    <m/>
    <m/>
    <m/>
    <m/>
    <m/>
    <s v="SOLRECOUP"/>
    <s v="SOLRECOUP"/>
    <s v="POARECOUP"/>
    <n v="21356635"/>
    <n v="-169.5"/>
    <m/>
    <s v="Y"/>
    <n v="2"/>
    <d v="2023-07-10T19:47:45"/>
    <s v="N"/>
    <m/>
    <m/>
    <s v="Expert Disbursement"/>
    <m/>
    <s v="N"/>
    <n v="0"/>
    <n v="-28.25"/>
    <x v="2"/>
    <s v="VALIDATED"/>
    <n v="1"/>
    <s v="01.11.80.308.2013.0000"/>
    <n v="-28.25"/>
    <s v="11"/>
    <s v="2013"/>
    <n v="18755.88"/>
    <n v="-28.25"/>
    <s v="CREDITOR"/>
    <n v="0"/>
    <n v="0"/>
    <n v="-28.25"/>
    <n v="0"/>
    <n v="0"/>
  </r>
  <r>
    <n v="19827631"/>
    <s v="N"/>
    <n v="21356635"/>
    <s v="3000008338190013RC"/>
    <s v="CIVIL"/>
    <d v="2023-06-24T00:00:00"/>
    <d v="2023-07-10T19:47:44"/>
    <m/>
    <d v="2023-07-10T00:00:00"/>
    <n v="1259"/>
    <n v="18107"/>
    <s v="19827631"/>
    <s v="19827631"/>
    <m/>
    <m/>
    <m/>
    <m/>
    <m/>
    <m/>
    <s v="SOLRECOUP"/>
    <s v="SOLRECOUP"/>
    <s v="POARECOUP"/>
    <n v="21356635"/>
    <n v="-169.5"/>
    <m/>
    <s v="Y"/>
    <n v="1"/>
    <d v="2023-07-10T19:47:45"/>
    <s v="N"/>
    <m/>
    <m/>
    <s v="Expert Disbursement"/>
    <m/>
    <s v="N"/>
    <n v="-141.25"/>
    <n v="0"/>
    <x v="2"/>
    <s v="VALIDATED"/>
    <n v="1"/>
    <s v="01.11.80.308.2013.0000"/>
    <n v="-141.25"/>
    <s v="11"/>
    <s v="2013"/>
    <n v="18755.88"/>
    <n v="-141.25"/>
    <s v="CREDITOR"/>
    <n v="0"/>
    <n v="0"/>
    <n v="-141.25"/>
    <n v="0"/>
    <n v="0"/>
  </r>
  <r>
    <n v="60647908"/>
    <s v="N"/>
    <n v="21356636"/>
    <s v="3000014902640002RC"/>
    <s v="CIVIL"/>
    <d v="2023-06-29T00:00:00"/>
    <d v="2023-07-10T19:47:44"/>
    <m/>
    <d v="2023-07-10T00:00:00"/>
    <n v="1259"/>
    <n v="18107"/>
    <s v="60647908"/>
    <s v="60647908"/>
    <m/>
    <m/>
    <m/>
    <m/>
    <m/>
    <m/>
    <s v="SOLRECOUP"/>
    <s v="SOLRECOUP"/>
    <s v="POARECOUP"/>
    <n v="21356636"/>
    <n v="-112.32"/>
    <m/>
    <s v="Y"/>
    <n v="2"/>
    <d v="2023-07-10T19:47:45"/>
    <s v="N"/>
    <m/>
    <m/>
    <s v="Expert Disbursement"/>
    <m/>
    <s v="N"/>
    <n v="0"/>
    <n v="-18.72"/>
    <x v="2"/>
    <s v="VALIDATED"/>
    <n v="1"/>
    <s v="01.11.80.308.2013.0000"/>
    <n v="-18.72"/>
    <s v="11"/>
    <s v="2013"/>
    <n v="18755.88"/>
    <n v="-18.72"/>
    <s v="CREDITOR"/>
    <n v="0"/>
    <n v="0"/>
    <n v="-18.72"/>
    <n v="0"/>
    <n v="0"/>
  </r>
  <r>
    <n v="60647908"/>
    <s v="N"/>
    <n v="21356636"/>
    <s v="3000014902640002RC"/>
    <s v="CIVIL"/>
    <d v="2023-06-29T00:00:00"/>
    <d v="2023-07-10T19:47:44"/>
    <m/>
    <d v="2023-07-10T00:00:00"/>
    <n v="1259"/>
    <n v="18107"/>
    <s v="60647908"/>
    <s v="60647908"/>
    <m/>
    <m/>
    <m/>
    <m/>
    <m/>
    <m/>
    <s v="SOLRECOUP"/>
    <s v="SOLRECOUP"/>
    <s v="POARECOUP"/>
    <n v="21356636"/>
    <n v="-112.32"/>
    <m/>
    <s v="Y"/>
    <n v="1"/>
    <d v="2023-07-10T19:47:45"/>
    <s v="N"/>
    <m/>
    <m/>
    <s v="Expert Disbursement"/>
    <m/>
    <s v="N"/>
    <n v="-93.59999999999999"/>
    <n v="0"/>
    <x v="2"/>
    <s v="VALIDATED"/>
    <n v="1"/>
    <s v="01.11.80.308.2013.0000"/>
    <n v="-93.59999999999999"/>
    <s v="11"/>
    <s v="2013"/>
    <n v="18755.88"/>
    <n v="-93.59999999999999"/>
    <s v="CREDITOR"/>
    <n v="0"/>
    <n v="0"/>
    <n v="-93.59999999999999"/>
    <n v="0"/>
    <n v="0"/>
  </r>
  <r>
    <n v="61073962"/>
    <s v="N"/>
    <n v="21356637"/>
    <s v="3000015270220005RC"/>
    <s v="CIVIL"/>
    <d v="2023-06-30T00:00:00"/>
    <d v="2023-07-10T19:47:44"/>
    <m/>
    <d v="2023-07-10T00:00:00"/>
    <n v="1259"/>
    <n v="18107"/>
    <s v="61073962"/>
    <s v="61073962"/>
    <m/>
    <m/>
    <m/>
    <m/>
    <m/>
    <m/>
    <s v="SOLRECOUP"/>
    <s v="SOLRECOUP"/>
    <s v="POARECOUP"/>
    <n v="21356637"/>
    <n v="-240"/>
    <m/>
    <s v="Y"/>
    <n v="2"/>
    <d v="2023-07-10T19:47:45"/>
    <s v="N"/>
    <m/>
    <m/>
    <s v="Expert Disbursement"/>
    <m/>
    <s v="N"/>
    <n v="0"/>
    <n v="-40"/>
    <x v="2"/>
    <s v="VALIDATED"/>
    <n v="1"/>
    <s v="01.11.80.308.2013.0000"/>
    <n v="-40"/>
    <s v="11"/>
    <s v="2013"/>
    <n v="18755.88"/>
    <n v="-40"/>
    <s v="CREDITOR"/>
    <n v="0"/>
    <n v="0"/>
    <n v="-40"/>
    <n v="0"/>
    <n v="0"/>
  </r>
  <r>
    <n v="61073962"/>
    <s v="N"/>
    <n v="21356637"/>
    <s v="3000015270220005RC"/>
    <s v="CIVIL"/>
    <d v="2023-06-30T00:00:00"/>
    <d v="2023-07-10T19:47:44"/>
    <m/>
    <d v="2023-07-10T00:00:00"/>
    <n v="1259"/>
    <n v="18107"/>
    <s v="61073962"/>
    <s v="61073962"/>
    <m/>
    <m/>
    <m/>
    <m/>
    <m/>
    <m/>
    <s v="SOLRECOUP"/>
    <s v="SOLRECOUP"/>
    <s v="POARECOUP"/>
    <n v="21356637"/>
    <n v="-240"/>
    <m/>
    <s v="Y"/>
    <n v="1"/>
    <d v="2023-07-10T19:47:45"/>
    <s v="N"/>
    <m/>
    <m/>
    <s v="Expert Disbursement"/>
    <m/>
    <s v="N"/>
    <n v="-200"/>
    <n v="0"/>
    <x v="2"/>
    <s v="VALIDATED"/>
    <n v="1"/>
    <s v="01.11.80.308.2013.0000"/>
    <n v="-200"/>
    <s v="11"/>
    <s v="2013"/>
    <n v="18755.88"/>
    <n v="-200"/>
    <s v="CREDITOR"/>
    <n v="0"/>
    <n v="0"/>
    <n v="-200"/>
    <n v="0"/>
    <n v="0"/>
  </r>
  <r>
    <n v="19827631"/>
    <s v="N"/>
    <n v="21356638"/>
    <s v="3000008338190021RC"/>
    <s v="CIVIL"/>
    <d v="2023-06-24T00:00:00"/>
    <d v="2023-07-10T19:47:44"/>
    <m/>
    <d v="2023-07-10T00:00:00"/>
    <n v="1259"/>
    <n v="18107"/>
    <s v="19827631"/>
    <s v="19827631"/>
    <m/>
    <m/>
    <m/>
    <m/>
    <m/>
    <m/>
    <s v="SOLRECOUP"/>
    <s v="SOLRECOUP"/>
    <s v="POARECOUP"/>
    <n v="21356638"/>
    <n v="-239.52"/>
    <m/>
    <s v="Y"/>
    <n v="2"/>
    <d v="2023-07-10T19:47:45"/>
    <s v="N"/>
    <m/>
    <m/>
    <s v="Expert Disbursement"/>
    <m/>
    <s v="N"/>
    <n v="0"/>
    <n v="-39.92"/>
    <x v="2"/>
    <s v="VALIDATED"/>
    <n v="1"/>
    <s v="01.11.80.308.2013.0000"/>
    <n v="-39.92"/>
    <s v="11"/>
    <s v="2013"/>
    <n v="18755.88"/>
    <n v="-39.92"/>
    <s v="CREDITOR"/>
    <n v="0"/>
    <n v="0"/>
    <n v="-39.92"/>
    <n v="0"/>
    <n v="0"/>
  </r>
  <r>
    <n v="19827631"/>
    <s v="N"/>
    <n v="21356638"/>
    <s v="3000008338190021RC"/>
    <s v="CIVIL"/>
    <d v="2023-06-24T00:00:00"/>
    <d v="2023-07-10T19:47:44"/>
    <m/>
    <d v="2023-07-10T00:00:00"/>
    <n v="1259"/>
    <n v="18107"/>
    <s v="19827631"/>
    <s v="19827631"/>
    <m/>
    <m/>
    <m/>
    <m/>
    <m/>
    <m/>
    <s v="SOLRECOUP"/>
    <s v="SOLRECOUP"/>
    <s v="POARECOUP"/>
    <n v="21356638"/>
    <n v="-239.52"/>
    <m/>
    <s v="Y"/>
    <n v="1"/>
    <d v="2023-07-10T19:47:45"/>
    <s v="N"/>
    <m/>
    <m/>
    <s v="Expert Disbursement"/>
    <m/>
    <s v="N"/>
    <n v="-199.6"/>
    <n v="0"/>
    <x v="2"/>
    <s v="VALIDATED"/>
    <n v="1"/>
    <s v="01.11.80.308.2013.0000"/>
    <n v="-199.6"/>
    <s v="11"/>
    <s v="2013"/>
    <n v="18755.88"/>
    <n v="-199.6"/>
    <s v="CREDITOR"/>
    <n v="0"/>
    <n v="0"/>
    <n v="-199.6"/>
    <n v="0"/>
    <n v="0"/>
  </r>
  <r>
    <n v="19827631"/>
    <s v="N"/>
    <n v="21356639"/>
    <s v="3000008338190022RC"/>
    <s v="CIVIL"/>
    <d v="2023-06-24T00:00:00"/>
    <d v="2023-07-10T19:47:44"/>
    <m/>
    <d v="2023-07-10T00:00:00"/>
    <n v="1259"/>
    <n v="18107"/>
    <s v="19827631"/>
    <s v="19827631"/>
    <m/>
    <m/>
    <m/>
    <m/>
    <m/>
    <m/>
    <s v="SOLRECOUP"/>
    <s v="SOLRECOUP"/>
    <s v="POARECOUP"/>
    <n v="21356639"/>
    <n v="-335.9"/>
    <m/>
    <s v="Y"/>
    <n v="2"/>
    <d v="2023-07-10T19:47:45"/>
    <s v="N"/>
    <m/>
    <m/>
    <s v="Expert Disbursement"/>
    <m/>
    <s v="N"/>
    <n v="0"/>
    <n v="0"/>
    <x v="2"/>
    <s v="VALIDATED"/>
    <n v="1"/>
    <s v="01.11.80.000.0000.0000"/>
    <n v="0"/>
    <s v="11"/>
    <s v="0000"/>
    <n v="18755.88"/>
    <n v="0"/>
    <s v="CREDITOR"/>
    <n v="0"/>
    <n v="0"/>
    <n v="0"/>
    <n v="0"/>
    <n v="0"/>
  </r>
  <r>
    <n v="19827631"/>
    <s v="N"/>
    <n v="21356639"/>
    <s v="3000008338190022RC"/>
    <s v="CIVIL"/>
    <d v="2023-06-24T00:00:00"/>
    <d v="2023-07-10T19:47:44"/>
    <m/>
    <d v="2023-07-10T00:00:00"/>
    <n v="1259"/>
    <n v="18107"/>
    <s v="19827631"/>
    <s v="19827631"/>
    <m/>
    <m/>
    <m/>
    <m/>
    <m/>
    <m/>
    <s v="SOLRECOUP"/>
    <s v="SOLRECOUP"/>
    <s v="POARECOUP"/>
    <n v="21356639"/>
    <n v="-335.9"/>
    <m/>
    <s v="Y"/>
    <n v="1"/>
    <d v="2023-07-10T19:47:45"/>
    <s v="N"/>
    <m/>
    <m/>
    <s v="Expert Disbursement"/>
    <m/>
    <s v="N"/>
    <n v="-335.9"/>
    <n v="0"/>
    <x v="2"/>
    <s v="VALIDATED"/>
    <n v="1"/>
    <s v="01.11.80.308.2013.0000"/>
    <n v="-335.9"/>
    <s v="11"/>
    <s v="2013"/>
    <n v="18755.88"/>
    <n v="-335.9"/>
    <s v="CREDITOR"/>
    <n v="0"/>
    <n v="0"/>
    <n v="-335.9"/>
    <n v="0"/>
    <n v="0"/>
  </r>
  <r>
    <n v="19827631"/>
    <s v="N"/>
    <n v="21356640"/>
    <s v="3000008338190023RC"/>
    <s v="CIVIL"/>
    <d v="2023-06-24T00:00:00"/>
    <d v="2023-07-10T19:47:44"/>
    <m/>
    <d v="2023-07-10T00:00:00"/>
    <n v="1259"/>
    <n v="18107"/>
    <s v="19827631"/>
    <s v="19827631"/>
    <m/>
    <m/>
    <m/>
    <m/>
    <m/>
    <m/>
    <s v="SOLRECOUP"/>
    <s v="SOLRECOUP"/>
    <s v="POARECOUP"/>
    <n v="21356640"/>
    <n v="-15.84"/>
    <m/>
    <s v="Y"/>
    <n v="2"/>
    <d v="2023-07-10T19:47:45"/>
    <s v="N"/>
    <m/>
    <m/>
    <s v="Expert Disbursement"/>
    <m/>
    <s v="N"/>
    <n v="0"/>
    <n v="-2.64"/>
    <x v="2"/>
    <s v="VALIDATED"/>
    <n v="1"/>
    <s v="01.11.80.308.2013.0000"/>
    <n v="-2.64"/>
    <s v="11"/>
    <s v="2013"/>
    <n v="18755.88"/>
    <n v="-2.64"/>
    <s v="CREDITOR"/>
    <n v="0"/>
    <n v="0"/>
    <n v="-2.64"/>
    <n v="0"/>
    <n v="0"/>
  </r>
  <r>
    <n v="19827631"/>
    <s v="N"/>
    <n v="21356640"/>
    <s v="3000008338190023RC"/>
    <s v="CIVIL"/>
    <d v="2023-06-24T00:00:00"/>
    <d v="2023-07-10T19:47:44"/>
    <m/>
    <d v="2023-07-10T00:00:00"/>
    <n v="1259"/>
    <n v="18107"/>
    <s v="19827631"/>
    <s v="19827631"/>
    <m/>
    <m/>
    <m/>
    <m/>
    <m/>
    <m/>
    <s v="SOLRECOUP"/>
    <s v="SOLRECOUP"/>
    <s v="POARECOUP"/>
    <n v="21356640"/>
    <n v="-15.84"/>
    <m/>
    <s v="Y"/>
    <n v="1"/>
    <d v="2023-07-10T19:47:45"/>
    <s v="N"/>
    <m/>
    <m/>
    <s v="Expert Disbursement"/>
    <m/>
    <s v="N"/>
    <n v="-13.2"/>
    <n v="0"/>
    <x v="2"/>
    <s v="VALIDATED"/>
    <n v="1"/>
    <s v="01.11.80.308.2013.0000"/>
    <n v="-13.2"/>
    <s v="11"/>
    <s v="2013"/>
    <n v="18755.88"/>
    <n v="-13.2"/>
    <s v="CREDITOR"/>
    <n v="0"/>
    <n v="0"/>
    <n v="-13.2"/>
    <n v="0"/>
    <n v="0"/>
  </r>
  <r>
    <n v="61073962"/>
    <s v="N"/>
    <n v="21356641"/>
    <s v="3000015270220003RC"/>
    <s v="CIVIL"/>
    <d v="2023-06-30T00:00:00"/>
    <d v="2023-07-10T19:47:44"/>
    <m/>
    <d v="2023-07-10T00:00:00"/>
    <n v="1259"/>
    <n v="18107"/>
    <s v="61073962"/>
    <s v="61073962"/>
    <m/>
    <m/>
    <m/>
    <m/>
    <m/>
    <m/>
    <s v="SOLRECOUP"/>
    <s v="SOLRECOUP"/>
    <s v="POARECOUP"/>
    <n v="21356641"/>
    <n v="-336"/>
    <m/>
    <s v="Y"/>
    <n v="2"/>
    <d v="2023-07-10T19:47:45"/>
    <s v="N"/>
    <m/>
    <m/>
    <s v="Expert Disbursement"/>
    <m/>
    <s v="N"/>
    <n v="0"/>
    <n v="-56"/>
    <x v="2"/>
    <s v="VALIDATED"/>
    <n v="1"/>
    <s v="01.11.80.308.2013.0000"/>
    <n v="-56"/>
    <s v="11"/>
    <s v="2013"/>
    <n v="18755.88"/>
    <n v="-56"/>
    <s v="CREDITOR"/>
    <n v="0"/>
    <n v="0"/>
    <n v="-56"/>
    <n v="0"/>
    <n v="0"/>
  </r>
  <r>
    <n v="61073962"/>
    <s v="N"/>
    <n v="21356641"/>
    <s v="3000015270220003RC"/>
    <s v="CIVIL"/>
    <d v="2023-06-30T00:00:00"/>
    <d v="2023-07-10T19:47:44"/>
    <m/>
    <d v="2023-07-10T00:00:00"/>
    <n v="1259"/>
    <n v="18107"/>
    <s v="61073962"/>
    <s v="61073962"/>
    <m/>
    <m/>
    <m/>
    <m/>
    <m/>
    <m/>
    <s v="SOLRECOUP"/>
    <s v="SOLRECOUP"/>
    <s v="POARECOUP"/>
    <n v="21356641"/>
    <n v="-336"/>
    <m/>
    <s v="Y"/>
    <n v="1"/>
    <d v="2023-07-10T19:47:45"/>
    <s v="N"/>
    <m/>
    <m/>
    <s v="Expert Disbursement"/>
    <m/>
    <s v="N"/>
    <n v="-280"/>
    <n v="0"/>
    <x v="2"/>
    <s v="VALIDATED"/>
    <n v="1"/>
    <s v="01.11.80.308.2013.0000"/>
    <n v="-280"/>
    <s v="11"/>
    <s v="2013"/>
    <n v="18755.88"/>
    <n v="-280"/>
    <s v="CREDITOR"/>
    <n v="0"/>
    <n v="0"/>
    <n v="-280"/>
    <n v="0"/>
    <n v="0"/>
  </r>
  <r>
    <n v="19827631"/>
    <s v="N"/>
    <n v="21356642"/>
    <s v="3000008338190020RC"/>
    <s v="CIVIL"/>
    <d v="2023-06-24T00:00:00"/>
    <d v="2023-07-10T19:47:44"/>
    <m/>
    <d v="2023-07-10T00:00:00"/>
    <n v="1259"/>
    <n v="18107"/>
    <s v="19827631"/>
    <s v="19827631"/>
    <m/>
    <m/>
    <m/>
    <m/>
    <m/>
    <m/>
    <s v="SOLRECOUP"/>
    <s v="SOLRECOUP"/>
    <s v="POARECOUP"/>
    <n v="21356642"/>
    <n v="-239.52"/>
    <m/>
    <s v="Y"/>
    <n v="2"/>
    <d v="2023-07-10T19:47:45"/>
    <s v="N"/>
    <m/>
    <m/>
    <s v="Expert Disbursement"/>
    <m/>
    <s v="N"/>
    <n v="0"/>
    <n v="-39.92"/>
    <x v="2"/>
    <s v="VALIDATED"/>
    <n v="1"/>
    <s v="01.11.80.308.2013.0000"/>
    <n v="-39.92"/>
    <s v="11"/>
    <s v="2013"/>
    <n v="18755.88"/>
    <n v="-39.92"/>
    <s v="CREDITOR"/>
    <n v="0"/>
    <n v="0"/>
    <n v="-39.92"/>
    <n v="0"/>
    <n v="0"/>
  </r>
  <r>
    <n v="19827631"/>
    <s v="N"/>
    <n v="21356642"/>
    <s v="3000008338190020RC"/>
    <s v="CIVIL"/>
    <d v="2023-06-24T00:00:00"/>
    <d v="2023-07-10T19:47:44"/>
    <m/>
    <d v="2023-07-10T00:00:00"/>
    <n v="1259"/>
    <n v="18107"/>
    <s v="19827631"/>
    <s v="19827631"/>
    <m/>
    <m/>
    <m/>
    <m/>
    <m/>
    <m/>
    <s v="SOLRECOUP"/>
    <s v="SOLRECOUP"/>
    <s v="POARECOUP"/>
    <n v="21356642"/>
    <n v="-239.52"/>
    <m/>
    <s v="Y"/>
    <n v="1"/>
    <d v="2023-07-10T19:47:45"/>
    <s v="N"/>
    <m/>
    <m/>
    <s v="Expert Disbursement"/>
    <m/>
    <s v="N"/>
    <n v="-199.6"/>
    <n v="0"/>
    <x v="2"/>
    <s v="VALIDATED"/>
    <n v="1"/>
    <s v="01.11.80.308.2013.0000"/>
    <n v="-199.6"/>
    <s v="11"/>
    <s v="2013"/>
    <n v="18755.88"/>
    <n v="-199.6"/>
    <s v="CREDITOR"/>
    <n v="0"/>
    <n v="0"/>
    <n v="-199.6"/>
    <n v="0"/>
    <n v="0"/>
  </r>
  <r>
    <n v="61073962"/>
    <s v="N"/>
    <n v="21356643"/>
    <s v="3000015270220001RC"/>
    <s v="CIVIL"/>
    <d v="2023-06-30T00:00:00"/>
    <d v="2023-07-10T19:47:44"/>
    <m/>
    <d v="2023-07-10T00:00:00"/>
    <n v="1259"/>
    <n v="18107"/>
    <s v="61073962"/>
    <s v="61073962"/>
    <m/>
    <m/>
    <m/>
    <m/>
    <m/>
    <m/>
    <s v="SOLRECOUP"/>
    <s v="SOLRECOUP"/>
    <s v="POARECOUP"/>
    <n v="21356643"/>
    <n v="-157.2"/>
    <m/>
    <s v="Y"/>
    <n v="2"/>
    <d v="2023-07-10T19:47:45"/>
    <s v="N"/>
    <m/>
    <m/>
    <s v="Expert Disbursement"/>
    <m/>
    <s v="N"/>
    <n v="0"/>
    <n v="-26.2"/>
    <x v="2"/>
    <s v="VALIDATED"/>
    <n v="1"/>
    <s v="01.11.80.308.2013.0000"/>
    <n v="-26.2"/>
    <s v="11"/>
    <s v="2013"/>
    <n v="18755.88"/>
    <n v="-26.2"/>
    <s v="CREDITOR"/>
    <n v="0"/>
    <n v="0"/>
    <n v="-26.2"/>
    <n v="0"/>
    <n v="0"/>
  </r>
  <r>
    <n v="61073962"/>
    <s v="N"/>
    <n v="21356643"/>
    <s v="3000015270220001RC"/>
    <s v="CIVIL"/>
    <d v="2023-06-30T00:00:00"/>
    <d v="2023-07-10T19:47:44"/>
    <m/>
    <d v="2023-07-10T00:00:00"/>
    <n v="1259"/>
    <n v="18107"/>
    <s v="61073962"/>
    <s v="61073962"/>
    <m/>
    <m/>
    <m/>
    <m/>
    <m/>
    <m/>
    <s v="SOLRECOUP"/>
    <s v="SOLRECOUP"/>
    <s v="POARECOUP"/>
    <n v="21356643"/>
    <n v="-157.2"/>
    <m/>
    <s v="Y"/>
    <n v="1"/>
    <d v="2023-07-10T19:47:45"/>
    <s v="N"/>
    <m/>
    <m/>
    <s v="Expert Disbursement"/>
    <m/>
    <s v="N"/>
    <n v="-131"/>
    <n v="0"/>
    <x v="2"/>
    <s v="VALIDATED"/>
    <n v="1"/>
    <s v="01.11.80.308.2013.0000"/>
    <n v="-131"/>
    <s v="11"/>
    <s v="2013"/>
    <n v="18755.88"/>
    <n v="-131"/>
    <s v="CREDITOR"/>
    <n v="0"/>
    <n v="0"/>
    <n v="-131"/>
    <n v="0"/>
    <n v="0"/>
  </r>
  <r>
    <n v="61073962"/>
    <s v="N"/>
    <n v="21356644"/>
    <s v="3000015270220002RC"/>
    <s v="CIVIL"/>
    <d v="2023-06-30T00:00:00"/>
    <d v="2023-07-10T19:47:44"/>
    <m/>
    <d v="2023-07-10T00:00:00"/>
    <n v="1259"/>
    <n v="18107"/>
    <s v="61073962"/>
    <s v="61073962"/>
    <m/>
    <m/>
    <m/>
    <m/>
    <m/>
    <m/>
    <s v="SOLRECOUP"/>
    <s v="SOLRECOUP"/>
    <s v="POARECOUP"/>
    <n v="21356644"/>
    <n v="-1028.75"/>
    <m/>
    <s v="Y"/>
    <n v="2"/>
    <d v="2023-07-10T19:47:45"/>
    <s v="N"/>
    <m/>
    <m/>
    <s v="Profit Cost"/>
    <m/>
    <s v="N"/>
    <n v="0"/>
    <n v="-171.46"/>
    <x v="2"/>
    <s v="VALIDATED"/>
    <n v="1"/>
    <s v="01.11.80.308.2013.0000"/>
    <n v="-171.46"/>
    <s v="11"/>
    <s v="2013"/>
    <n v="18755.88"/>
    <n v="-171.46"/>
    <s v="CREDITOR"/>
    <n v="0"/>
    <n v="0"/>
    <n v="-171.46"/>
    <n v="-42.865"/>
    <n v="0"/>
  </r>
  <r>
    <n v="61073962"/>
    <s v="N"/>
    <n v="21356644"/>
    <s v="3000015270220002RC"/>
    <s v="CIVIL"/>
    <d v="2023-06-30T00:00:00"/>
    <d v="2023-07-10T19:47:44"/>
    <m/>
    <d v="2023-07-10T00:00:00"/>
    <n v="1259"/>
    <n v="18107"/>
    <s v="61073962"/>
    <s v="61073962"/>
    <m/>
    <m/>
    <m/>
    <m/>
    <m/>
    <m/>
    <s v="SOLRECOUP"/>
    <s v="SOLRECOUP"/>
    <s v="POARECOUP"/>
    <n v="21356644"/>
    <n v="-1028.75"/>
    <m/>
    <s v="Y"/>
    <n v="1"/>
    <d v="2023-07-10T19:47:45"/>
    <s v="N"/>
    <m/>
    <m/>
    <s v="Profit Cost"/>
    <m/>
    <s v="N"/>
    <n v="-857.29"/>
    <n v="0"/>
    <x v="2"/>
    <s v="VALIDATED"/>
    <n v="1"/>
    <s v="01.11.80.308.2013.0000"/>
    <n v="-857.29"/>
    <s v="11"/>
    <s v="2013"/>
    <n v="18755.88"/>
    <n v="-857.29"/>
    <s v="CREDITOR"/>
    <n v="0"/>
    <n v="0"/>
    <n v="-857.29"/>
    <n v="-214.3225"/>
    <n v="0"/>
  </r>
  <r>
    <n v="61073962"/>
    <s v="N"/>
    <n v="21356645"/>
    <s v="3000015270220006RC"/>
    <s v="CIVIL"/>
    <d v="2023-06-30T00:00:00"/>
    <d v="2023-07-10T19:47:44"/>
    <m/>
    <d v="2023-07-10T00:00:00"/>
    <n v="1259"/>
    <n v="18107"/>
    <s v="61073962"/>
    <s v="61073962"/>
    <m/>
    <m/>
    <m/>
    <m/>
    <m/>
    <m/>
    <s v="SOLRECOUP"/>
    <s v="SOLRECOUP"/>
    <s v="POARECOUP"/>
    <n v="21356645"/>
    <n v="-238"/>
    <m/>
    <s v="Y"/>
    <n v="2"/>
    <d v="2023-07-10T19:47:45"/>
    <s v="N"/>
    <m/>
    <m/>
    <s v="Expert Disbursement"/>
    <m/>
    <s v="N"/>
    <n v="0"/>
    <n v="-39.67"/>
    <x v="2"/>
    <s v="VALIDATED"/>
    <n v="1"/>
    <s v="01.11.80.308.2013.0000"/>
    <n v="-39.67"/>
    <s v="11"/>
    <s v="2013"/>
    <n v="18755.88"/>
    <n v="-39.67"/>
    <s v="CREDITOR"/>
    <n v="0"/>
    <n v="0"/>
    <n v="-39.67"/>
    <n v="0"/>
    <n v="0"/>
  </r>
  <r>
    <n v="61073962"/>
    <s v="N"/>
    <n v="21356645"/>
    <s v="3000015270220006RC"/>
    <s v="CIVIL"/>
    <d v="2023-06-30T00:00:00"/>
    <d v="2023-07-10T19:47:44"/>
    <m/>
    <d v="2023-07-10T00:00:00"/>
    <n v="1259"/>
    <n v="18107"/>
    <s v="61073962"/>
    <s v="61073962"/>
    <m/>
    <m/>
    <m/>
    <m/>
    <m/>
    <m/>
    <s v="SOLRECOUP"/>
    <s v="SOLRECOUP"/>
    <s v="POARECOUP"/>
    <n v="21356645"/>
    <n v="-238"/>
    <m/>
    <s v="Y"/>
    <n v="1"/>
    <d v="2023-07-10T19:47:45"/>
    <s v="N"/>
    <m/>
    <m/>
    <s v="Expert Disbursement"/>
    <m/>
    <s v="N"/>
    <n v="-198.33"/>
    <n v="0"/>
    <x v="2"/>
    <s v="VALIDATED"/>
    <n v="1"/>
    <s v="01.11.80.308.2013.0000"/>
    <n v="-198.33"/>
    <s v="11"/>
    <s v="2013"/>
    <n v="18755.88"/>
    <n v="-198.33"/>
    <s v="CREDITOR"/>
    <n v="0"/>
    <n v="0"/>
    <n v="-198.33"/>
    <n v="0"/>
    <n v="0"/>
  </r>
  <r>
    <n v="61073962"/>
    <s v="N"/>
    <n v="21356646"/>
    <s v="3000015270220004RC"/>
    <s v="CIVIL"/>
    <d v="2023-06-30T00:00:00"/>
    <d v="2023-07-10T19:47:44"/>
    <m/>
    <d v="2023-07-10T00:00:00"/>
    <n v="1259"/>
    <n v="18107"/>
    <s v="61073962"/>
    <s v="61073962"/>
    <m/>
    <m/>
    <m/>
    <m/>
    <m/>
    <m/>
    <s v="SOLRECOUP"/>
    <s v="SOLRECOUP"/>
    <s v="POARECOUP"/>
    <n v="21356646"/>
    <n v="-210"/>
    <m/>
    <s v="Y"/>
    <n v="2"/>
    <d v="2023-07-10T19:47:45"/>
    <s v="N"/>
    <m/>
    <m/>
    <s v="Expert Disbursement"/>
    <m/>
    <s v="N"/>
    <n v="0"/>
    <n v="-35"/>
    <x v="2"/>
    <s v="VALIDATED"/>
    <n v="1"/>
    <s v="01.11.80.308.2013.0000"/>
    <n v="-35"/>
    <s v="11"/>
    <s v="2013"/>
    <n v="18755.88"/>
    <n v="-35"/>
    <s v="CREDITOR"/>
    <n v="0"/>
    <n v="0"/>
    <n v="-35"/>
    <n v="0"/>
    <n v="0"/>
  </r>
  <r>
    <n v="61073962"/>
    <s v="N"/>
    <n v="21356646"/>
    <s v="3000015270220004RC"/>
    <s v="CIVIL"/>
    <d v="2023-06-30T00:00:00"/>
    <d v="2023-07-10T19:47:44"/>
    <m/>
    <d v="2023-07-10T00:00:00"/>
    <n v="1259"/>
    <n v="18107"/>
    <s v="61073962"/>
    <s v="61073962"/>
    <m/>
    <m/>
    <m/>
    <m/>
    <m/>
    <m/>
    <s v="SOLRECOUP"/>
    <s v="SOLRECOUP"/>
    <s v="POARECOUP"/>
    <n v="21356646"/>
    <n v="-210"/>
    <m/>
    <s v="Y"/>
    <n v="1"/>
    <d v="2023-07-10T19:47:45"/>
    <s v="N"/>
    <m/>
    <m/>
    <s v="Expert Disbursement"/>
    <m/>
    <s v="N"/>
    <n v="-175"/>
    <n v="0"/>
    <x v="2"/>
    <s v="VALIDATED"/>
    <n v="1"/>
    <s v="01.11.80.308.2013.0000"/>
    <n v="-175"/>
    <s v="11"/>
    <s v="2013"/>
    <n v="18755.88"/>
    <n v="-175"/>
    <s v="CREDITOR"/>
    <n v="0"/>
    <n v="0"/>
    <n v="-175"/>
    <n v="0"/>
    <n v="0"/>
  </r>
  <r>
    <n v="61523279"/>
    <s v="N"/>
    <n v="21321526"/>
    <s v="3000015643440007"/>
    <s v="CIVIL"/>
    <d v="2023-06-29T00:00:00"/>
    <d v="2023-07-03T19:05:17"/>
    <m/>
    <d v="2023-07-03T00:00:00"/>
    <n v="1259"/>
    <n v="18107"/>
    <s v="61523279"/>
    <s v="61523279"/>
    <m/>
    <m/>
    <n v="22787266"/>
    <m/>
    <m/>
    <m/>
    <s v="SOLPOA"/>
    <s v="SOLPOA"/>
    <s v="CCMS"/>
    <n v="21321526"/>
    <n v="311.6"/>
    <m/>
    <s v="N"/>
    <n v="1"/>
    <d v="2023-07-03T19:05:19"/>
    <s v="N"/>
    <s v="Expert Cost"/>
    <s v="Expert Cost"/>
    <s v="Expert Disbursement"/>
    <s v="Sarah Collett"/>
    <s v="N"/>
    <n v="259.67"/>
    <n v="51.93"/>
    <x v="3"/>
    <s v="VALIDATED"/>
    <n v="1"/>
    <s v="01.11.80.308.2012.0000"/>
    <n v="259.67"/>
    <s v="11"/>
    <s v="2012"/>
    <n v="18755.88"/>
    <n v="259.67"/>
    <s v="CREDITOR"/>
    <n v="259.67"/>
    <n v="0"/>
    <n v="0"/>
    <n v="0"/>
    <n v="0"/>
  </r>
  <r>
    <n v="19827631"/>
    <s v="N"/>
    <n v="21349873"/>
    <s v="3000008338190024"/>
    <s v="CIVIL"/>
    <d v="2023-06-24T00:00:00"/>
    <d v="2023-07-10T19:01:40"/>
    <m/>
    <d v="2023-07-10T00:00:00"/>
    <n v="1259"/>
    <n v="18107"/>
    <s v="19827631"/>
    <s v="19827631"/>
    <m/>
    <m/>
    <n v="22756616"/>
    <m/>
    <m/>
    <m/>
    <s v="SOLFIN"/>
    <s v="SOLFIN"/>
    <s v="CCMS"/>
    <n v="21349873"/>
    <n v="26184.3"/>
    <m/>
    <s v="N"/>
    <n v="3"/>
    <d v="2023-07-10T19:02:01"/>
    <s v="Y"/>
    <s v="Final Hearing Court Bundle/Advocate"/>
    <s v="Public Law Children"/>
    <s v="Advocacy"/>
    <s v="SHARAN GILL"/>
    <s v="Y"/>
    <n v="318.6"/>
    <n v="63.72"/>
    <x v="2"/>
    <s v="VALIDATED"/>
    <n v="1"/>
    <s v="01.11.80.308.6100.0000"/>
    <n v="318.6"/>
    <s v="11"/>
    <s v="6100"/>
    <n v="18755.88"/>
    <n v="318.6"/>
    <s v="CREDITOR"/>
    <n v="0"/>
    <n v="0"/>
    <n v="0"/>
    <n v="0"/>
    <n v="318.6"/>
  </r>
  <r>
    <n v="19827631"/>
    <s v="N"/>
    <n v="21349873"/>
    <s v="3000008338190024"/>
    <s v="CIVIL"/>
    <d v="2023-06-24T00:00:00"/>
    <d v="2023-07-10T19:01:40"/>
    <m/>
    <d v="2023-07-10T00:00:00"/>
    <n v="1259"/>
    <n v="18107"/>
    <s v="19827631"/>
    <s v="19827631"/>
    <m/>
    <m/>
    <n v="22756616"/>
    <m/>
    <m/>
    <m/>
    <s v="SOLFIN"/>
    <s v="SOLFIN"/>
    <s v="CCMS"/>
    <n v="21349873"/>
    <n v="26184.3"/>
    <m/>
    <s v="N"/>
    <n v="18"/>
    <d v="2023-07-10T19:02:01"/>
    <s v="Y"/>
    <s v="Toxicologist"/>
    <s v="Public Law Children"/>
    <s v="Expert Disbursement"/>
    <s v="SHARAN GILL"/>
    <s v="Y"/>
    <n v="97.5"/>
    <n v="19.5"/>
    <x v="2"/>
    <s v="VALIDATED"/>
    <n v="1"/>
    <s v="01.11.80.308.6300.0000"/>
    <n v="97.5"/>
    <s v="11"/>
    <s v="6300"/>
    <n v="18755.88"/>
    <n v="97.5"/>
    <s v="CREDITOR"/>
    <n v="0"/>
    <n v="0"/>
    <n v="0"/>
    <n v="0"/>
    <n v="97.5"/>
  </r>
  <r>
    <n v="60647908"/>
    <s v="N"/>
    <n v="21349684"/>
    <s v="3000014902640003"/>
    <s v="CIVIL"/>
    <d v="2023-06-29T00:00:00"/>
    <d v="2023-07-10T19:01:40"/>
    <m/>
    <d v="2023-07-10T00:00:00"/>
    <n v="1259"/>
    <n v="18107"/>
    <s v="60647908"/>
    <s v="60647908"/>
    <m/>
    <m/>
    <n v="22789950"/>
    <m/>
    <m/>
    <m/>
    <s v="SOLFIN"/>
    <s v="SOLFIN"/>
    <s v="CCMS"/>
    <n v="21349684"/>
    <n v="6230.53"/>
    <m/>
    <s v="N"/>
    <n v="6"/>
    <d v="2023-07-10T19:01:55"/>
    <s v="Y"/>
    <s v="Final Hearing - 1 Day"/>
    <s v="Public Law Children"/>
    <s v="Advocacy"/>
    <s v="CHRIS PENDLE"/>
    <s v="Y"/>
    <n v="556.88"/>
    <n v="111.38"/>
    <x v="2"/>
    <s v="VALIDATED"/>
    <n v="1"/>
    <s v="01.11.80.308.6100.0000"/>
    <n v="556.88"/>
    <s v="11"/>
    <s v="6100"/>
    <n v="18755.88"/>
    <n v="556.88"/>
    <s v="CREDITOR"/>
    <n v="0"/>
    <n v="0"/>
    <n v="0"/>
    <n v="0"/>
    <n v="556.88"/>
  </r>
  <r>
    <n v="19827631"/>
    <s v="N"/>
    <n v="21349873"/>
    <s v="3000008338190024"/>
    <s v="CIVIL"/>
    <d v="2023-06-24T00:00:00"/>
    <d v="2023-07-10T19:01:40"/>
    <m/>
    <d v="2023-07-10T00:00:00"/>
    <n v="1259"/>
    <n v="18107"/>
    <s v="19827631"/>
    <s v="19827631"/>
    <m/>
    <m/>
    <n v="22756616"/>
    <m/>
    <m/>
    <m/>
    <s v="SOLFIN"/>
    <s v="SOLFIN"/>
    <s v="CCMS"/>
    <n v="21349873"/>
    <n v="26184.3"/>
    <m/>
    <s v="N"/>
    <n v="12"/>
    <d v="2023-07-10T19:02:01"/>
    <s v="Y"/>
    <s v="Toxicologist"/>
    <s v="Public Law Children"/>
    <s v="Expert Disbursement"/>
    <s v="SHARAN GILL"/>
    <s v="Y"/>
    <n v="471.5"/>
    <n v="94.3"/>
    <x v="2"/>
    <s v="VALIDATED"/>
    <n v="1"/>
    <s v="01.11.80.308.6300.0000"/>
    <n v="471.5"/>
    <s v="11"/>
    <s v="6300"/>
    <n v="18755.88"/>
    <n v="471.5"/>
    <s v="CREDITOR"/>
    <n v="0"/>
    <n v="0"/>
    <n v="0"/>
    <n v="0"/>
    <n v="471.5"/>
  </r>
  <r>
    <n v="55706219"/>
    <s v="N"/>
    <n v="21327970"/>
    <s v="3000013169660002"/>
    <s v="CIVIL"/>
    <d v="2023-06-26T00:00:00"/>
    <d v="2023-07-04T19:00:44"/>
    <m/>
    <d v="2023-07-04T00:00:00"/>
    <n v="1259"/>
    <n v="18107"/>
    <s v="55706219"/>
    <s v="55706219"/>
    <m/>
    <m/>
    <n v="22763380"/>
    <m/>
    <m/>
    <m/>
    <s v="SOLFIN"/>
    <s v="SOLFIN"/>
    <s v="CCMS"/>
    <n v="21327970"/>
    <n v="2578.75"/>
    <m/>
    <s v="N"/>
    <n v="12"/>
    <d v="2023-07-04T19:01:00"/>
    <s v="Y"/>
    <s v="Routine Letter Out"/>
    <s v="Prescribed Hourly Rates"/>
    <s v="Profit Cost"/>
    <s v="SIMON JONES"/>
    <s v="Y"/>
    <n v="335.34"/>
    <n v="67.08"/>
    <x v="1"/>
    <s v="VALIDATED"/>
    <n v="1"/>
    <s v="01.11.80.305.6100.0000"/>
    <n v="335.34"/>
    <s v="11"/>
    <s v="6100"/>
    <n v="18755.88"/>
    <n v="335.34"/>
    <s v="CREDITOR"/>
    <n v="0"/>
    <n v="0"/>
    <n v="0"/>
    <n v="0"/>
    <n v="335.34"/>
  </r>
  <r>
    <n v="55706219"/>
    <s v="N"/>
    <n v="21327970"/>
    <s v="3000013169660002"/>
    <s v="CIVIL"/>
    <d v="2023-06-26T00:00:00"/>
    <d v="2023-07-04T19:00:44"/>
    <m/>
    <d v="2023-07-04T00:00:00"/>
    <n v="1259"/>
    <n v="18107"/>
    <s v="55706219"/>
    <s v="55706219"/>
    <m/>
    <m/>
    <n v="22763380"/>
    <m/>
    <m/>
    <m/>
    <s v="SOLFIN"/>
    <s v="SOLFIN"/>
    <s v="CCMS"/>
    <n v="21327970"/>
    <n v="2578.75"/>
    <m/>
    <s v="N"/>
    <n v="16"/>
    <d v="2023-07-04T19:01:00"/>
    <s v="Y"/>
    <s v="Preparation - other"/>
    <s v="Prescribed Hourly Rates"/>
    <s v="Profit Cost"/>
    <s v="SIMON JONES"/>
    <s v="Y"/>
    <n v="12.63"/>
    <n v="2.53"/>
    <x v="1"/>
    <s v="VALIDATED"/>
    <n v="1"/>
    <s v="01.11.80.305.6100.0000"/>
    <n v="12.63"/>
    <s v="11"/>
    <s v="6100"/>
    <n v="18755.88"/>
    <n v="12.63"/>
    <s v="CREDITOR"/>
    <n v="0"/>
    <n v="0"/>
    <n v="0"/>
    <n v="0"/>
    <n v="12.63"/>
  </r>
  <r>
    <n v="55706219"/>
    <s v="N"/>
    <n v="21327970"/>
    <s v="3000013169660002"/>
    <s v="CIVIL"/>
    <d v="2023-06-26T00:00:00"/>
    <d v="2023-07-04T19:00:44"/>
    <m/>
    <d v="2023-07-04T00:00:00"/>
    <n v="1259"/>
    <n v="18107"/>
    <s v="55706219"/>
    <s v="55706219"/>
    <m/>
    <m/>
    <n v="22763380"/>
    <m/>
    <m/>
    <m/>
    <s v="SOLFIN"/>
    <s v="SOLFIN"/>
    <s v="CCMS"/>
    <n v="21327970"/>
    <n v="2578.75"/>
    <m/>
    <s v="N"/>
    <n v="20"/>
    <d v="2023-07-04T19:01:00"/>
    <s v="Y"/>
    <s v="Preparation - other"/>
    <s v="Prescribed Hourly Rates"/>
    <s v="Profit Cost"/>
    <s v="SIMON JONES"/>
    <s v="Y"/>
    <n v="37.88"/>
    <n v="7.58"/>
    <x v="1"/>
    <s v="VALIDATED"/>
    <n v="1"/>
    <s v="01.11.80.305.6100.0000"/>
    <n v="37.88"/>
    <s v="11"/>
    <s v="6100"/>
    <n v="18755.88"/>
    <n v="37.88"/>
    <s v="CREDITOR"/>
    <n v="0"/>
    <n v="0"/>
    <n v="0"/>
    <n v="0"/>
    <n v="37.88"/>
  </r>
  <r>
    <n v="61073962"/>
    <s v="N"/>
    <n v="21349937"/>
    <s v="3000015270220007"/>
    <s v="CIVIL"/>
    <d v="2023-06-30T00:00:00"/>
    <d v="2023-07-10T19:01:40"/>
    <m/>
    <d v="2023-07-10T00:00:00"/>
    <n v="1259"/>
    <n v="18107"/>
    <s v="61073962"/>
    <s v="61073962"/>
    <m/>
    <m/>
    <n v="22795994"/>
    <m/>
    <m/>
    <m/>
    <s v="SOLINT"/>
    <s v="SOLINT"/>
    <s v="CCMS"/>
    <n v="21349937"/>
    <n v="3413.43"/>
    <m/>
    <s v="N"/>
    <n v="3"/>
    <d v="2023-07-10T19:02:04"/>
    <s v="Y"/>
    <s v="Toxicologist"/>
    <s v="Public Law Children"/>
    <s v="Expert Disbursement"/>
    <s v="SIMON JONES"/>
    <s v="Y"/>
    <n v="131"/>
    <n v="26.2"/>
    <x v="2"/>
    <s v="VALIDATED"/>
    <n v="1"/>
    <s v="01.11.80.308.6300.0000"/>
    <n v="131"/>
    <s v="11"/>
    <s v="6300"/>
    <n v="18755.88"/>
    <n v="131"/>
    <s v="CREDITOR"/>
    <n v="0"/>
    <n v="0"/>
    <n v="0"/>
    <n v="0"/>
    <n v="131"/>
  </r>
  <r>
    <n v="55706219"/>
    <s v="N"/>
    <n v="21327970"/>
    <s v="3000013169660002"/>
    <s v="CIVIL"/>
    <d v="2023-06-26T00:00:00"/>
    <d v="2023-07-04T19:00:44"/>
    <m/>
    <d v="2023-07-04T00:00:00"/>
    <n v="1259"/>
    <n v="18107"/>
    <s v="55706219"/>
    <s v="55706219"/>
    <m/>
    <m/>
    <n v="22763380"/>
    <m/>
    <m/>
    <m/>
    <s v="SOLFIN"/>
    <s v="SOLFIN"/>
    <s v="CCMS"/>
    <n v="21327970"/>
    <n v="2578.75"/>
    <m/>
    <s v="N"/>
    <n v="11"/>
    <d v="2023-07-04T19:01:00"/>
    <s v="Y"/>
    <s v="Preparation - other"/>
    <s v="Prescribed Hourly Rates"/>
    <s v="Profit Cost"/>
    <s v="SIMON JONES"/>
    <s v="Y"/>
    <n v="12.63"/>
    <n v="2.53"/>
    <x v="1"/>
    <s v="VALIDATED"/>
    <n v="1"/>
    <s v="01.11.80.305.6100.0000"/>
    <n v="12.63"/>
    <s v="11"/>
    <s v="6100"/>
    <n v="18755.88"/>
    <n v="12.63"/>
    <s v="CREDITOR"/>
    <n v="0"/>
    <n v="0"/>
    <n v="0"/>
    <n v="0"/>
    <n v="12.63"/>
  </r>
  <r>
    <n v="60647908"/>
    <s v="N"/>
    <n v="21349684"/>
    <s v="3000014902640003"/>
    <s v="CIVIL"/>
    <d v="2023-06-29T00:00:00"/>
    <d v="2023-07-10T19:01:40"/>
    <m/>
    <d v="2023-07-10T00:00:00"/>
    <n v="1259"/>
    <n v="18107"/>
    <s v="60647908"/>
    <s v="60647908"/>
    <m/>
    <m/>
    <n v="22789950"/>
    <m/>
    <m/>
    <m/>
    <s v="SOLFIN"/>
    <s v="SOLFIN"/>
    <s v="CCMS"/>
    <n v="21349684"/>
    <n v="6230.53"/>
    <m/>
    <s v="N"/>
    <n v="7"/>
    <d v="2023-07-10T19:01:55"/>
    <s v="Y"/>
    <s v="Hearing Unit 2.31 - 5.00 Hours"/>
    <s v="Public Law Children"/>
    <s v="Advocacy"/>
    <s v="CHRIS PENDLE"/>
    <s v="Y"/>
    <n v="476.92"/>
    <n v="95.38"/>
    <x v="2"/>
    <s v="VALIDATED"/>
    <n v="1"/>
    <s v="01.11.80.308.6100.0000"/>
    <n v="476.92"/>
    <s v="11"/>
    <s v="6100"/>
    <n v="18755.88"/>
    <n v="476.92"/>
    <s v="CREDITOR"/>
    <n v="0"/>
    <n v="0"/>
    <n v="0"/>
    <n v="0"/>
    <n v="476.92"/>
  </r>
  <r>
    <n v="61073962"/>
    <s v="N"/>
    <n v="21349937"/>
    <s v="3000015270220007"/>
    <s v="CIVIL"/>
    <d v="2023-06-30T00:00:00"/>
    <d v="2023-07-10T19:01:40"/>
    <m/>
    <d v="2023-07-10T00:00:00"/>
    <n v="1259"/>
    <n v="18107"/>
    <s v="61073962"/>
    <s v="61073962"/>
    <m/>
    <m/>
    <n v="22795994"/>
    <m/>
    <m/>
    <m/>
    <s v="SOLINT"/>
    <s v="SOLINT"/>
    <s v="CCMS"/>
    <n v="21349937"/>
    <n v="3413.43"/>
    <m/>
    <s v="N"/>
    <n v="4"/>
    <d v="2023-07-10T19:02:04"/>
    <s v="Y"/>
    <s v="Toxicologist"/>
    <s v="Public Law Children"/>
    <s v="Expert Disbursement"/>
    <s v="SIMON JONES"/>
    <s v="Y"/>
    <n v="249.95"/>
    <n v="49.99"/>
    <x v="2"/>
    <s v="VALIDATED"/>
    <n v="1"/>
    <s v="01.11.80.308.6300.0000"/>
    <n v="249.95"/>
    <s v="11"/>
    <s v="6300"/>
    <n v="18755.88"/>
    <n v="249.95"/>
    <s v="CREDITOR"/>
    <n v="0"/>
    <n v="0"/>
    <n v="0"/>
    <n v="0"/>
    <n v="249.95"/>
  </r>
  <r>
    <n v="60647908"/>
    <s v="N"/>
    <n v="21349684"/>
    <s v="3000014902640003"/>
    <s v="CIVIL"/>
    <d v="2023-06-29T00:00:00"/>
    <d v="2023-07-10T19:01:40"/>
    <m/>
    <d v="2023-07-10T00:00:00"/>
    <n v="1259"/>
    <n v="18107"/>
    <s v="60647908"/>
    <s v="60647908"/>
    <m/>
    <m/>
    <n v="22789950"/>
    <m/>
    <m/>
    <m/>
    <s v="SOLFIN"/>
    <s v="SOLFIN"/>
    <s v="CCMS"/>
    <n v="21349684"/>
    <n v="6230.53"/>
    <m/>
    <s v="N"/>
    <n v="9"/>
    <d v="2023-07-10T19:01:55"/>
    <s v="Y"/>
    <s v="Advocates Meeting"/>
    <s v="Public Law Children"/>
    <s v="Advocacy"/>
    <s v="CHRIS PENDLE"/>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43"/>
    <d v="2023-07-10T19:02:01"/>
    <s v="Y"/>
    <s v="Hearing Unit 2.31 - 5.00 Hours"/>
    <s v="Public Law Children"/>
    <s v="Advocacy"/>
    <s v="SHARAN GILL"/>
    <s v="Y"/>
    <n v="476.92"/>
    <n v="95.38"/>
    <x v="2"/>
    <s v="VALIDATED"/>
    <n v="1"/>
    <s v="01.11.80.308.6100.0000"/>
    <n v="476.92"/>
    <s v="11"/>
    <s v="6100"/>
    <n v="18755.88"/>
    <n v="476.92"/>
    <s v="CREDITOR"/>
    <n v="0"/>
    <n v="0"/>
    <n v="0"/>
    <n v="0"/>
    <n v="476.92"/>
  </r>
  <r>
    <n v="60647908"/>
    <s v="N"/>
    <n v="21349684"/>
    <s v="3000014902640003"/>
    <s v="CIVIL"/>
    <d v="2023-06-29T00:00:00"/>
    <d v="2023-07-10T19:01:40"/>
    <m/>
    <d v="2023-07-10T00:00:00"/>
    <n v="1259"/>
    <n v="18107"/>
    <s v="60647908"/>
    <s v="60647908"/>
    <m/>
    <m/>
    <n v="22789950"/>
    <m/>
    <m/>
    <m/>
    <s v="SOLFIN"/>
    <s v="SOLFIN"/>
    <s v="CCMS"/>
    <n v="21349684"/>
    <n v="6230.53"/>
    <m/>
    <s v="N"/>
    <n v="10"/>
    <d v="2023-07-10T19:01:55"/>
    <s v="Y"/>
    <s v="Hearing Unit 2.31 - 5.00 Hours"/>
    <s v="Public Law Children"/>
    <s v="Advocacy"/>
    <s v="CHRIS PENDLE"/>
    <s v="Y"/>
    <n v="476.92"/>
    <n v="95.38"/>
    <x v="2"/>
    <s v="VALIDATED"/>
    <n v="1"/>
    <s v="01.11.80.308.6100.0000"/>
    <n v="476.92"/>
    <s v="11"/>
    <s v="6100"/>
    <n v="18755.88"/>
    <n v="476.92"/>
    <s v="CREDITOR"/>
    <n v="0"/>
    <n v="0"/>
    <n v="0"/>
    <n v="0"/>
    <n v="476.92"/>
  </r>
  <r>
    <n v="55706219"/>
    <s v="N"/>
    <n v="21327970"/>
    <s v="3000013169660002"/>
    <s v="CIVIL"/>
    <d v="2023-06-26T00:00:00"/>
    <d v="2023-07-04T19:00:44"/>
    <m/>
    <d v="2023-07-04T00:00:00"/>
    <n v="1259"/>
    <n v="18107"/>
    <s v="55706219"/>
    <s v="55706219"/>
    <m/>
    <m/>
    <n v="22763380"/>
    <m/>
    <m/>
    <m/>
    <s v="SOLFIN"/>
    <s v="SOLFIN"/>
    <s v="CCMS"/>
    <n v="21327970"/>
    <n v="2578.75"/>
    <m/>
    <s v="N"/>
    <n v="23"/>
    <d v="2023-07-04T19:01:00"/>
    <s v="Y"/>
    <s v="Preparation - drafting notice(s)"/>
    <s v="Prescribed Hourly Rates"/>
    <s v="Profit Cost"/>
    <s v="SIMON JONES"/>
    <s v="Y"/>
    <n v="12.63"/>
    <n v="2.53"/>
    <x v="1"/>
    <s v="VALIDATED"/>
    <n v="1"/>
    <s v="01.11.80.305.6100.0000"/>
    <n v="12.63"/>
    <s v="11"/>
    <s v="6100"/>
    <n v="18755.88"/>
    <n v="12.63"/>
    <s v="CREDITOR"/>
    <n v="0"/>
    <n v="0"/>
    <n v="0"/>
    <n v="0"/>
    <n v="12.63"/>
  </r>
  <r>
    <n v="19827631"/>
    <s v="N"/>
    <n v="21349873"/>
    <s v="3000008338190024"/>
    <s v="CIVIL"/>
    <d v="2023-06-24T00:00:00"/>
    <d v="2023-07-10T19:01:40"/>
    <m/>
    <d v="2023-07-10T00:00:00"/>
    <n v="1259"/>
    <n v="18107"/>
    <s v="19827631"/>
    <s v="19827631"/>
    <m/>
    <m/>
    <n v="22756616"/>
    <m/>
    <m/>
    <m/>
    <s v="SOLFIN"/>
    <s v="SOLFIN"/>
    <s v="CCMS"/>
    <n v="21349873"/>
    <n v="26184.3"/>
    <m/>
    <s v="N"/>
    <n v="28"/>
    <d v="2023-07-10T19:02:01"/>
    <s v="Y"/>
    <s v="Hearing Unit 2.31 - 5.00 Hours"/>
    <s v="Public Law Children"/>
    <s v="Advocacy"/>
    <s v="SHARAN GILL"/>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7"/>
    <d v="2023-07-10T19:02:01"/>
    <s v="Y"/>
    <s v="Toxicologist"/>
    <s v="Public Law Children"/>
    <s v="Expert Disbursement"/>
    <s v="SHARAN GILL"/>
    <s v="Y"/>
    <n v="229.2"/>
    <n v="45.84"/>
    <x v="2"/>
    <s v="VALIDATED"/>
    <n v="1"/>
    <s v="01.11.80.308.6300.0000"/>
    <n v="229.2"/>
    <s v="11"/>
    <s v="6300"/>
    <n v="18755.88"/>
    <n v="229.2"/>
    <s v="CREDITOR"/>
    <n v="0"/>
    <n v="0"/>
    <n v="0"/>
    <n v="0"/>
    <n v="229.2"/>
  </r>
  <r>
    <n v="19827631"/>
    <s v="N"/>
    <n v="21349873"/>
    <s v="3000008338190024"/>
    <s v="CIVIL"/>
    <d v="2023-06-24T00:00:00"/>
    <d v="2023-07-10T19:01:40"/>
    <m/>
    <d v="2023-07-10T00:00:00"/>
    <n v="1259"/>
    <n v="18107"/>
    <s v="19827631"/>
    <s v="19827631"/>
    <m/>
    <m/>
    <n v="22756616"/>
    <m/>
    <m/>
    <m/>
    <s v="SOLFIN"/>
    <s v="SOLFIN"/>
    <s v="CCMS"/>
    <n v="21349873"/>
    <n v="26184.3"/>
    <m/>
    <s v="N"/>
    <n v="39"/>
    <d v="2023-07-10T19:02:01"/>
    <s v="Y"/>
    <s v="Advocates Meeting"/>
    <s v="Public Law Children"/>
    <s v="Advocacy"/>
    <s v="SHARAN GILL"/>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46"/>
    <d v="2023-07-10T19:02:01"/>
    <s v="Y"/>
    <s v="Advocates Meeting"/>
    <s v="Public Law Children"/>
    <s v="Advocacy"/>
    <s v="SHARAN GILL"/>
    <s v="Y"/>
    <n v="140.99"/>
    <n v="28.2"/>
    <x v="2"/>
    <s v="VALIDATED"/>
    <n v="1"/>
    <s v="01.11.80.308.6100.0000"/>
    <n v="140.99"/>
    <s v="11"/>
    <s v="6100"/>
    <n v="18755.88"/>
    <n v="140.99"/>
    <s v="CREDITOR"/>
    <n v="0"/>
    <n v="0"/>
    <n v="0"/>
    <n v="0"/>
    <n v="140.99"/>
  </r>
  <r>
    <n v="60647908"/>
    <s v="N"/>
    <n v="21349684"/>
    <s v="3000014902640003"/>
    <s v="CIVIL"/>
    <d v="2023-06-29T00:00:00"/>
    <d v="2023-07-10T19:01:40"/>
    <m/>
    <d v="2023-07-10T00:00:00"/>
    <n v="1259"/>
    <n v="18107"/>
    <s v="60647908"/>
    <s v="60647908"/>
    <m/>
    <m/>
    <n v="22789950"/>
    <m/>
    <m/>
    <m/>
    <s v="SOLFIN"/>
    <s v="SOLFIN"/>
    <s v="CCMS"/>
    <n v="21349684"/>
    <n v="6230.53"/>
    <m/>
    <s v="N"/>
    <n v="8"/>
    <d v="2023-07-10T19:01:55"/>
    <s v="Y"/>
    <s v="Hearing Unit 2.31 - 5.00 Hours"/>
    <s v="Public Law Children"/>
    <s v="Advocacy"/>
    <s v="CHRIS PENDLE"/>
    <s v="Y"/>
    <n v="476.92"/>
    <n v="95.38"/>
    <x v="2"/>
    <s v="VALIDATED"/>
    <n v="1"/>
    <s v="01.11.80.308.6100.0000"/>
    <n v="476.92"/>
    <s v="11"/>
    <s v="6100"/>
    <n v="18755.88"/>
    <n v="476.92"/>
    <s v="CREDITOR"/>
    <n v="0"/>
    <n v="0"/>
    <n v="0"/>
    <n v="0"/>
    <n v="476.92"/>
  </r>
  <r>
    <n v="55706219"/>
    <s v="N"/>
    <n v="21327970"/>
    <s v="3000013169660002"/>
    <s v="CIVIL"/>
    <d v="2023-06-26T00:00:00"/>
    <d v="2023-07-04T19:00:44"/>
    <m/>
    <d v="2023-07-04T00:00:00"/>
    <n v="1259"/>
    <n v="18107"/>
    <s v="55706219"/>
    <s v="55706219"/>
    <m/>
    <m/>
    <n v="22763380"/>
    <m/>
    <m/>
    <m/>
    <s v="SOLFIN"/>
    <s v="SOLFIN"/>
    <s v="CCMS"/>
    <n v="21327970"/>
    <n v="2578.75"/>
    <m/>
    <s v="N"/>
    <n v="5"/>
    <d v="2023-07-04T19:01:00"/>
    <s v="Y"/>
    <s v="Preparation - drafting bill/claim f"/>
    <s v="Prescribed Hourly Rates"/>
    <s v="Profit Cost"/>
    <s v="SIMON JONES"/>
    <s v="Y"/>
    <n v="82.08"/>
    <n v="16.42"/>
    <x v="1"/>
    <s v="VALIDATED"/>
    <n v="1"/>
    <s v="01.11.80.305.6100.0000"/>
    <n v="82.08"/>
    <s v="11"/>
    <s v="6100"/>
    <n v="18755.88"/>
    <n v="82.08"/>
    <s v="CREDITOR"/>
    <n v="0"/>
    <n v="0"/>
    <n v="0"/>
    <n v="0"/>
    <n v="82.08"/>
  </r>
  <r>
    <n v="61073962"/>
    <s v="N"/>
    <n v="21349937"/>
    <s v="3000015270220007"/>
    <s v="CIVIL"/>
    <d v="2023-06-30T00:00:00"/>
    <d v="2023-07-10T19:01:40"/>
    <m/>
    <d v="2023-07-10T00:00:00"/>
    <n v="1259"/>
    <n v="18107"/>
    <s v="61073962"/>
    <s v="61073962"/>
    <m/>
    <m/>
    <n v="22795994"/>
    <m/>
    <m/>
    <m/>
    <s v="SOLINT"/>
    <s v="SOLINT"/>
    <s v="CCMS"/>
    <n v="21349937"/>
    <n v="3413.43"/>
    <m/>
    <s v="N"/>
    <n v="6"/>
    <d v="2023-07-10T19:02:04"/>
    <s v="Y"/>
    <s v="Toxicologist"/>
    <s v="Public Law Children"/>
    <s v="Expert Disbursement"/>
    <s v="SIMON JONES"/>
    <s v="Y"/>
    <n v="200.01"/>
    <n v="40"/>
    <x v="2"/>
    <s v="VALIDATED"/>
    <n v="1"/>
    <s v="01.11.80.308.6300.0000"/>
    <n v="200.01"/>
    <s v="11"/>
    <s v="6300"/>
    <n v="18755.88"/>
    <n v="200.01"/>
    <s v="CREDITOR"/>
    <n v="0"/>
    <n v="0"/>
    <n v="0"/>
    <n v="0"/>
    <n v="200.01"/>
  </r>
  <r>
    <n v="60972696"/>
    <s v="N"/>
    <n v="21319402"/>
    <s v="3000015166980011"/>
    <s v="CIVIL"/>
    <d v="2023-06-28T00:00:00"/>
    <d v="2023-07-03T19:04:24"/>
    <m/>
    <d v="2023-07-03T00:00:00"/>
    <n v="1259"/>
    <n v="18107"/>
    <s v="60972696"/>
    <s v="60972696"/>
    <m/>
    <m/>
    <n v="22777634"/>
    <m/>
    <m/>
    <m/>
    <s v="SOLPOA"/>
    <s v="SOLPOA"/>
    <s v="CCMS"/>
    <n v="21319402"/>
    <n v="280.8"/>
    <m/>
    <s v="N"/>
    <n v="1"/>
    <d v="2023-07-03T19:04:25"/>
    <s v="N"/>
    <s v="Expert Cost"/>
    <s v="Expert Cost"/>
    <s v="Expert Disbursement"/>
    <s v="Sarah Collett"/>
    <s v="N"/>
    <n v="234"/>
    <n v="46.8"/>
    <x v="3"/>
    <s v="VALIDATED"/>
    <n v="1"/>
    <s v="01.11.80.305.2012.0000"/>
    <n v="234"/>
    <s v="11"/>
    <s v="2012"/>
    <n v="18755.88"/>
    <n v="234"/>
    <s v="CREDITOR"/>
    <n v="234"/>
    <n v="0"/>
    <n v="0"/>
    <n v="0"/>
    <n v="0"/>
  </r>
  <r>
    <n v="55706219"/>
    <s v="N"/>
    <n v="21327970"/>
    <s v="3000013169660002"/>
    <s v="CIVIL"/>
    <d v="2023-06-26T00:00:00"/>
    <d v="2023-07-04T19:00:44"/>
    <m/>
    <d v="2023-07-04T00:00:00"/>
    <n v="1259"/>
    <n v="18107"/>
    <s v="55706219"/>
    <s v="55706219"/>
    <m/>
    <m/>
    <n v="22763380"/>
    <m/>
    <m/>
    <m/>
    <s v="SOLFIN"/>
    <s v="SOLFIN"/>
    <s v="CCMS"/>
    <n v="21327970"/>
    <n v="2578.75"/>
    <m/>
    <s v="N"/>
    <n v="14"/>
    <d v="2023-07-04T19:01:00"/>
    <s v="Y"/>
    <s v="Preparation - drafting application"/>
    <s v="Prescribed Hourly Rates"/>
    <s v="Profit Cost"/>
    <s v="SIMON JONES"/>
    <s v="Y"/>
    <n v="6.31"/>
    <n v="1.26"/>
    <x v="1"/>
    <s v="VALIDATED"/>
    <n v="1"/>
    <s v="01.11.80.305.6100.0000"/>
    <n v="6.31"/>
    <s v="11"/>
    <s v="6100"/>
    <n v="18755.88"/>
    <n v="6.31"/>
    <s v="CREDITOR"/>
    <n v="0"/>
    <n v="0"/>
    <n v="0"/>
    <n v="0"/>
    <n v="6.31"/>
  </r>
  <r>
    <n v="55706219"/>
    <s v="N"/>
    <n v="21327970"/>
    <s v="3000013169660002"/>
    <s v="CIVIL"/>
    <d v="2023-06-26T00:00:00"/>
    <d v="2023-07-04T19:00:44"/>
    <m/>
    <d v="2023-07-04T00:00:00"/>
    <n v="1259"/>
    <n v="18107"/>
    <s v="55706219"/>
    <s v="55706219"/>
    <m/>
    <m/>
    <n v="22763380"/>
    <m/>
    <m/>
    <m/>
    <s v="SOLFIN"/>
    <s v="SOLFIN"/>
    <s v="CCMS"/>
    <n v="21327970"/>
    <n v="2578.75"/>
    <m/>
    <s v="N"/>
    <n v="19"/>
    <d v="2023-07-04T19:01:00"/>
    <s v="Y"/>
    <s v="Preparation - other"/>
    <s v="Prescribed Hourly Rates"/>
    <s v="Profit Cost"/>
    <s v="SIMON JONES"/>
    <s v="Y"/>
    <n v="12.63"/>
    <n v="2.53"/>
    <x v="1"/>
    <s v="VALIDATED"/>
    <n v="1"/>
    <s v="01.11.80.305.6100.0000"/>
    <n v="12.63"/>
    <s v="11"/>
    <s v="6100"/>
    <n v="18755.88"/>
    <n v="12.63"/>
    <s v="CREDITOR"/>
    <n v="0"/>
    <n v="0"/>
    <n v="0"/>
    <n v="0"/>
    <n v="12.63"/>
  </r>
  <r>
    <n v="55706219"/>
    <s v="N"/>
    <n v="21327970"/>
    <s v="3000013169660002"/>
    <s v="CIVIL"/>
    <d v="2023-06-26T00:00:00"/>
    <d v="2023-07-04T19:00:44"/>
    <m/>
    <d v="2023-07-04T00:00:00"/>
    <n v="1259"/>
    <n v="18107"/>
    <s v="55706219"/>
    <s v="55706219"/>
    <m/>
    <m/>
    <n v="22763380"/>
    <m/>
    <m/>
    <m/>
    <s v="SOLFIN"/>
    <s v="SOLFIN"/>
    <s v="CCMS"/>
    <n v="21327970"/>
    <n v="2578.75"/>
    <m/>
    <s v="N"/>
    <n v="26"/>
    <d v="2023-07-04T19:01:00"/>
    <s v="Y"/>
    <s v="Hearing Unit 1.01 - 2.30 Hours"/>
    <s v="Other Public Law Children"/>
    <s v="Advocacy"/>
    <s v="SIMON JONES"/>
    <s v="Y"/>
    <n v="208.53"/>
    <n v="41.71"/>
    <x v="1"/>
    <s v="VALIDATED"/>
    <n v="1"/>
    <s v="01.11.80.305.6100.0000"/>
    <n v="208.53"/>
    <s v="11"/>
    <s v="6100"/>
    <n v="18755.88"/>
    <n v="208.53"/>
    <s v="CREDITOR"/>
    <n v="0"/>
    <n v="0"/>
    <n v="0"/>
    <n v="0"/>
    <n v="208.53"/>
  </r>
  <r>
    <n v="19827631"/>
    <s v="N"/>
    <n v="21349873"/>
    <s v="3000008338190024"/>
    <s v="CIVIL"/>
    <d v="2023-06-24T00:00:00"/>
    <d v="2023-07-10T19:01:40"/>
    <m/>
    <d v="2023-07-10T00:00:00"/>
    <n v="1259"/>
    <n v="18107"/>
    <s v="19827631"/>
    <s v="19827631"/>
    <m/>
    <m/>
    <n v="22756616"/>
    <m/>
    <m/>
    <m/>
    <s v="SOLFIN"/>
    <s v="SOLFIN"/>
    <s v="CCMS"/>
    <n v="21349873"/>
    <n v="26184.3"/>
    <m/>
    <s v="N"/>
    <n v="6"/>
    <d v="2023-07-10T19:02:01"/>
    <s v="Y"/>
    <s v="Toxicologist"/>
    <s v="Public Law Children"/>
    <s v="Expert Disbursement"/>
    <s v="SHARAN GILL"/>
    <s v="Y"/>
    <n v="209.4"/>
    <n v="41.88"/>
    <x v="2"/>
    <s v="VALIDATED"/>
    <n v="1"/>
    <s v="01.11.80.308.6300.0000"/>
    <n v="209.4"/>
    <s v="11"/>
    <s v="6300"/>
    <n v="18755.88"/>
    <n v="209.4"/>
    <s v="CREDITOR"/>
    <n v="0"/>
    <n v="0"/>
    <n v="0"/>
    <n v="0"/>
    <n v="209.4"/>
  </r>
  <r>
    <n v="19827631"/>
    <s v="N"/>
    <n v="21349873"/>
    <s v="3000008338190024"/>
    <s v="CIVIL"/>
    <d v="2023-06-24T00:00:00"/>
    <d v="2023-07-10T19:01:40"/>
    <m/>
    <d v="2023-07-10T00:00:00"/>
    <n v="1259"/>
    <n v="18107"/>
    <s v="19827631"/>
    <s v="19827631"/>
    <m/>
    <m/>
    <n v="22756616"/>
    <m/>
    <m/>
    <m/>
    <s v="SOLFIN"/>
    <s v="SOLFIN"/>
    <s v="CCMS"/>
    <n v="21349873"/>
    <n v="26184.3"/>
    <m/>
    <s v="N"/>
    <n v="13"/>
    <d v="2023-07-10T19:02:01"/>
    <s v="Y"/>
    <s v="Toxicologist"/>
    <s v="Public Law Children"/>
    <s v="Expert Disbursement"/>
    <s v="SHARAN GILL"/>
    <s v="Y"/>
    <n v="141.25"/>
    <n v="28.25"/>
    <x v="2"/>
    <s v="VALIDATED"/>
    <n v="1"/>
    <s v="01.11.80.308.6300.0000"/>
    <n v="141.25"/>
    <s v="11"/>
    <s v="6300"/>
    <n v="18755.88"/>
    <n v="141.25"/>
    <s v="CREDITOR"/>
    <n v="0"/>
    <n v="0"/>
    <n v="0"/>
    <n v="0"/>
    <n v="141.25"/>
  </r>
  <r>
    <n v="19827631"/>
    <s v="N"/>
    <n v="21349873"/>
    <s v="3000008338190024"/>
    <s v="CIVIL"/>
    <d v="2023-06-24T00:00:00"/>
    <d v="2023-07-10T19:01:40"/>
    <m/>
    <d v="2023-07-10T00:00:00"/>
    <n v="1259"/>
    <n v="18107"/>
    <s v="19827631"/>
    <s v="19827631"/>
    <m/>
    <m/>
    <n v="22756616"/>
    <m/>
    <m/>
    <m/>
    <s v="SOLFIN"/>
    <s v="SOLFIN"/>
    <s v="CCMS"/>
    <n v="21349873"/>
    <n v="26184.3"/>
    <m/>
    <s v="N"/>
    <n v="24"/>
    <d v="2023-07-10T19:02:01"/>
    <s v="Y"/>
    <s v="Toxicologist"/>
    <s v="Public Law Children"/>
    <s v="Expert Disbursement"/>
    <s v="SHARAN GILL"/>
    <s v="Y"/>
    <n v="191"/>
    <n v="38.2"/>
    <x v="2"/>
    <s v="VALIDATED"/>
    <n v="1"/>
    <s v="01.11.80.308.6300.0000"/>
    <n v="191"/>
    <s v="11"/>
    <s v="6300"/>
    <n v="18755.88"/>
    <n v="191"/>
    <s v="CREDITOR"/>
    <n v="0"/>
    <n v="0"/>
    <n v="0"/>
    <n v="0"/>
    <n v="191"/>
  </r>
  <r>
    <n v="19827631"/>
    <s v="N"/>
    <n v="21349873"/>
    <s v="3000008338190024"/>
    <s v="CIVIL"/>
    <d v="2023-06-24T00:00:00"/>
    <d v="2023-07-10T19:01:40"/>
    <m/>
    <d v="2023-07-10T00:00:00"/>
    <n v="1259"/>
    <n v="18107"/>
    <s v="19827631"/>
    <s v="19827631"/>
    <m/>
    <m/>
    <n v="22756616"/>
    <m/>
    <m/>
    <m/>
    <s v="SOLFIN"/>
    <s v="SOLFIN"/>
    <s v="CCMS"/>
    <n v="21349873"/>
    <n v="26184.3"/>
    <m/>
    <s v="N"/>
    <n v="44"/>
    <d v="2023-07-10T19:02:01"/>
    <s v="Y"/>
    <s v="Hearing Unit 2.31 - 5.00 Hours"/>
    <s v="Public Law Children"/>
    <s v="Advocacy"/>
    <s v="SHARAN GILL"/>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14"/>
    <d v="2023-07-10T19:02:01"/>
    <s v="Y"/>
    <s v="Toxicologist"/>
    <s v="Public Law Children"/>
    <s v="Expert Disbursement"/>
    <s v="SHARAN GILL"/>
    <s v="Y"/>
    <n v="163.5"/>
    <n v="32.7"/>
    <x v="2"/>
    <s v="VALIDATED"/>
    <n v="1"/>
    <s v="01.11.80.308.6300.0000"/>
    <n v="163.5"/>
    <s v="11"/>
    <s v="6300"/>
    <n v="18755.88"/>
    <n v="163.5"/>
    <s v="CREDITOR"/>
    <n v="0"/>
    <n v="0"/>
    <n v="0"/>
    <n v="0"/>
    <n v="163.5"/>
  </r>
  <r>
    <n v="55706219"/>
    <s v="N"/>
    <n v="21327970"/>
    <s v="3000013169660002"/>
    <s v="CIVIL"/>
    <d v="2023-06-26T00:00:00"/>
    <d v="2023-07-04T19:00:44"/>
    <m/>
    <d v="2023-07-04T00:00:00"/>
    <n v="1259"/>
    <n v="18107"/>
    <s v="55706219"/>
    <s v="55706219"/>
    <m/>
    <m/>
    <n v="22763380"/>
    <m/>
    <m/>
    <m/>
    <s v="SOLFIN"/>
    <s v="SOLFIN"/>
    <s v="CCMS"/>
    <n v="21327970"/>
    <n v="2578.75"/>
    <m/>
    <s v="N"/>
    <n v="7"/>
    <d v="2023-07-04T19:01:00"/>
    <s v="Y"/>
    <s v="Routine Telephone Call"/>
    <s v="Prescribed Hourly Rates"/>
    <s v="Profit Cost"/>
    <s v="SIMON JONES"/>
    <s v="Y"/>
    <n v="31.05"/>
    <n v="6.21"/>
    <x v="1"/>
    <s v="VALIDATED"/>
    <n v="1"/>
    <s v="01.11.80.305.6100.0000"/>
    <n v="31.05"/>
    <s v="11"/>
    <s v="6100"/>
    <n v="18755.88"/>
    <n v="31.05"/>
    <s v="CREDITOR"/>
    <n v="0"/>
    <n v="0"/>
    <n v="0"/>
    <n v="0"/>
    <n v="31.05"/>
  </r>
  <r>
    <n v="55706219"/>
    <s v="N"/>
    <n v="21328725"/>
    <s v="3000013169660001RC"/>
    <s v="CIVIL"/>
    <d v="2023-06-26T00:00:00"/>
    <d v="2023-07-04T19:38:21"/>
    <m/>
    <d v="2023-07-04T00:00:00"/>
    <n v="1259"/>
    <n v="18107"/>
    <s v="55706219"/>
    <s v="55706219"/>
    <m/>
    <m/>
    <m/>
    <m/>
    <m/>
    <m/>
    <s v="SOLRECOUP"/>
    <s v="SOLRECOUP"/>
    <s v="POARECOUP"/>
    <n v="21328725"/>
    <n v="-480"/>
    <m/>
    <s v="Y"/>
    <n v="2"/>
    <d v="2023-07-04T19:38:22"/>
    <s v="N"/>
    <m/>
    <m/>
    <s v="Profit Cost"/>
    <m/>
    <s v="N"/>
    <n v="0"/>
    <n v="-80"/>
    <x v="1"/>
    <s v="VALIDATED"/>
    <n v="1"/>
    <s v="01.11.80.305.2013.0000"/>
    <n v="-80"/>
    <s v="11"/>
    <s v="2013"/>
    <n v="18755.88"/>
    <n v="-80"/>
    <s v="CREDITOR"/>
    <n v="0"/>
    <n v="0"/>
    <n v="-80"/>
    <n v="-20"/>
    <n v="0"/>
  </r>
  <r>
    <n v="55706219"/>
    <s v="N"/>
    <n v="21328725"/>
    <s v="3000013169660001RC"/>
    <s v="CIVIL"/>
    <d v="2023-06-26T00:00:00"/>
    <d v="2023-07-04T19:38:21"/>
    <m/>
    <d v="2023-07-04T00:00:00"/>
    <n v="1259"/>
    <n v="18107"/>
    <s v="55706219"/>
    <s v="55706219"/>
    <m/>
    <m/>
    <m/>
    <m/>
    <m/>
    <m/>
    <s v="SOLRECOUP"/>
    <s v="SOLRECOUP"/>
    <s v="POARECOUP"/>
    <n v="21328725"/>
    <n v="-480"/>
    <m/>
    <s v="Y"/>
    <n v="1"/>
    <d v="2023-07-04T19:38:22"/>
    <s v="N"/>
    <m/>
    <m/>
    <s v="Profit Cost"/>
    <m/>
    <s v="N"/>
    <n v="-400"/>
    <n v="0"/>
    <x v="1"/>
    <s v="VALIDATED"/>
    <n v="1"/>
    <s v="01.11.80.305.2013.0000"/>
    <n v="-400"/>
    <s v="11"/>
    <s v="2013"/>
    <n v="18755.88"/>
    <n v="-400"/>
    <s v="CREDITOR"/>
    <n v="0"/>
    <n v="0"/>
    <n v="-400"/>
    <n v="-100"/>
    <n v="0"/>
  </r>
  <r>
    <n v="19827631"/>
    <s v="N"/>
    <n v="21349873"/>
    <s v="3000008338190024"/>
    <s v="CIVIL"/>
    <d v="2023-06-24T00:00:00"/>
    <d v="2023-07-10T19:01:40"/>
    <m/>
    <d v="2023-07-10T00:00:00"/>
    <n v="1259"/>
    <n v="18107"/>
    <s v="19827631"/>
    <s v="19827631"/>
    <m/>
    <m/>
    <n v="22756616"/>
    <m/>
    <m/>
    <m/>
    <s v="SOLFIN"/>
    <s v="SOLFIN"/>
    <s v="CCMS"/>
    <n v="21349873"/>
    <n v="26184.3"/>
    <m/>
    <s v="N"/>
    <n v="8"/>
    <d v="2023-07-10T19:02:01"/>
    <s v="Y"/>
    <s v="Toxicologist"/>
    <s v="Public Law Children"/>
    <s v="Expert Disbursement"/>
    <s v="SHARAN GILL"/>
    <s v="Y"/>
    <n v="199.6"/>
    <n v="39.92"/>
    <x v="2"/>
    <s v="VALIDATED"/>
    <n v="1"/>
    <s v="01.11.80.308.6300.0000"/>
    <n v="199.6"/>
    <s v="11"/>
    <s v="6300"/>
    <n v="18755.88"/>
    <n v="199.6"/>
    <s v="CREDITOR"/>
    <n v="0"/>
    <n v="0"/>
    <n v="0"/>
    <n v="0"/>
    <n v="199.6"/>
  </r>
  <r>
    <n v="19827631"/>
    <s v="N"/>
    <n v="21349873"/>
    <s v="3000008338190024"/>
    <s v="CIVIL"/>
    <d v="2023-06-24T00:00:00"/>
    <d v="2023-07-10T19:01:40"/>
    <m/>
    <d v="2023-07-10T00:00:00"/>
    <n v="1259"/>
    <n v="18107"/>
    <s v="19827631"/>
    <s v="19827631"/>
    <m/>
    <m/>
    <n v="22756616"/>
    <m/>
    <m/>
    <m/>
    <s v="SOLFIN"/>
    <s v="SOLFIN"/>
    <s v="CCMS"/>
    <n v="21349873"/>
    <n v="26184.3"/>
    <m/>
    <s v="N"/>
    <n v="41"/>
    <d v="2023-07-10T19:02:01"/>
    <s v="Y"/>
    <s v="Hearing Unit 2.31 - 5.00 Hours"/>
    <s v="Public Law Children"/>
    <s v="Advocacy"/>
    <s v="SHARAN GILL"/>
    <s v="Y"/>
    <n v="476.92"/>
    <n v="95.38"/>
    <x v="2"/>
    <s v="VALIDATED"/>
    <n v="1"/>
    <s v="01.11.80.308.6100.0000"/>
    <n v="476.92"/>
    <s v="11"/>
    <s v="6100"/>
    <n v="18755.88"/>
    <n v="476.92"/>
    <s v="CREDITOR"/>
    <n v="0"/>
    <n v="0"/>
    <n v="0"/>
    <n v="0"/>
    <n v="476.92"/>
  </r>
  <r>
    <n v="61073962"/>
    <s v="N"/>
    <n v="21349937"/>
    <s v="3000015270220007"/>
    <s v="CIVIL"/>
    <d v="2023-06-30T00:00:00"/>
    <d v="2023-07-10T19:01:40"/>
    <m/>
    <d v="2023-07-10T00:00:00"/>
    <n v="1259"/>
    <n v="18107"/>
    <s v="61073962"/>
    <s v="61073962"/>
    <m/>
    <m/>
    <n v="22795994"/>
    <m/>
    <m/>
    <m/>
    <s v="SOLINT"/>
    <s v="SOLINT"/>
    <s v="CCMS"/>
    <n v="21349937"/>
    <n v="3413.43"/>
    <m/>
    <s v="N"/>
    <n v="2"/>
    <d v="2023-07-10T19:02:04"/>
    <s v="Y"/>
    <s v="Toxicologist"/>
    <s v="Public Law Children"/>
    <s v="Expert Disbursement"/>
    <s v="SIMON JONES"/>
    <s v="Y"/>
    <n v="198.33"/>
    <n v="39.67"/>
    <x v="2"/>
    <s v="VALIDATED"/>
    <n v="1"/>
    <s v="01.11.80.308.6300.0000"/>
    <n v="198.33"/>
    <s v="11"/>
    <s v="6300"/>
    <n v="18755.88"/>
    <n v="198.33"/>
    <s v="CREDITOR"/>
    <n v="0"/>
    <n v="0"/>
    <n v="0"/>
    <n v="0"/>
    <n v="198.33"/>
  </r>
  <r>
    <n v="19827631"/>
    <s v="N"/>
    <n v="21356617"/>
    <s v="3000008338190002RC"/>
    <s v="CIVIL"/>
    <d v="2023-06-24T00:00:00"/>
    <d v="2023-07-10T19:47:44"/>
    <m/>
    <d v="2023-07-10T00:00:00"/>
    <n v="1259"/>
    <n v="18107"/>
    <s v="19827631"/>
    <s v="19827631"/>
    <m/>
    <m/>
    <m/>
    <m/>
    <m/>
    <m/>
    <s v="SOLRECOUP"/>
    <s v="SOLRECOUP"/>
    <s v="POARECOUP"/>
    <n v="21356617"/>
    <n v="-178.5"/>
    <m/>
    <s v="Y"/>
    <n v="1"/>
    <d v="2023-07-10T19:47:45"/>
    <s v="N"/>
    <m/>
    <m/>
    <s v="Expert Disbursement"/>
    <m/>
    <s v="N"/>
    <n v="-148.75"/>
    <n v="0"/>
    <x v="2"/>
    <s v="VALIDATED"/>
    <n v="1"/>
    <s v="01.11.80.308.2013.0000"/>
    <n v="-148.75"/>
    <s v="11"/>
    <s v="2013"/>
    <n v="18755.88"/>
    <n v="-148.75"/>
    <s v="CREDITOR"/>
    <n v="0"/>
    <n v="0"/>
    <n v="-148.75"/>
    <n v="0"/>
    <n v="0"/>
  </r>
  <r>
    <n v="19827631"/>
    <s v="N"/>
    <n v="21356617"/>
    <s v="3000008338190002RC"/>
    <s v="CIVIL"/>
    <d v="2023-06-24T00:00:00"/>
    <d v="2023-07-10T19:47:44"/>
    <m/>
    <d v="2023-07-10T00:00:00"/>
    <n v="1259"/>
    <n v="18107"/>
    <s v="19827631"/>
    <s v="19827631"/>
    <m/>
    <m/>
    <m/>
    <m/>
    <m/>
    <m/>
    <s v="SOLRECOUP"/>
    <s v="SOLRECOUP"/>
    <s v="POARECOUP"/>
    <n v="21356617"/>
    <n v="-178.5"/>
    <m/>
    <s v="Y"/>
    <n v="2"/>
    <d v="2023-07-10T19:47:45"/>
    <s v="N"/>
    <m/>
    <m/>
    <s v="Expert Disbursement"/>
    <m/>
    <s v="N"/>
    <n v="0"/>
    <n v="-29.75"/>
    <x v="2"/>
    <s v="VALIDATED"/>
    <n v="1"/>
    <s v="01.11.80.308.2013.0000"/>
    <n v="-29.75"/>
    <s v="11"/>
    <s v="2013"/>
    <n v="18755.88"/>
    <n v="-29.75"/>
    <s v="CREDITOR"/>
    <n v="0"/>
    <n v="0"/>
    <n v="-29.75"/>
    <n v="0"/>
    <n v="0"/>
  </r>
  <r>
    <n v="19827631"/>
    <s v="N"/>
    <n v="21356618"/>
    <s v="3000008338190004RC"/>
    <s v="CIVIL"/>
    <d v="2023-06-24T00:00:00"/>
    <d v="2023-07-10T19:47:44"/>
    <m/>
    <d v="2023-07-10T00:00:00"/>
    <n v="1259"/>
    <n v="18107"/>
    <s v="19827631"/>
    <s v="19827631"/>
    <m/>
    <m/>
    <m/>
    <m/>
    <m/>
    <m/>
    <s v="SOLRECOUP"/>
    <s v="SOLRECOUP"/>
    <s v="POARECOUP"/>
    <n v="21356618"/>
    <n v="-193.2"/>
    <m/>
    <s v="Y"/>
    <n v="1"/>
    <d v="2023-07-10T19:47:45"/>
    <s v="N"/>
    <m/>
    <m/>
    <s v="Expert Disbursement"/>
    <m/>
    <s v="N"/>
    <n v="-161"/>
    <n v="0"/>
    <x v="2"/>
    <s v="VALIDATED"/>
    <n v="1"/>
    <s v="01.11.80.308.2013.0000"/>
    <n v="-161"/>
    <s v="11"/>
    <s v="2013"/>
    <n v="18755.88"/>
    <n v="-161"/>
    <s v="CREDITOR"/>
    <n v="0"/>
    <n v="0"/>
    <n v="-161"/>
    <n v="0"/>
    <n v="0"/>
  </r>
  <r>
    <n v="19827631"/>
    <s v="N"/>
    <n v="21356618"/>
    <s v="3000008338190004RC"/>
    <s v="CIVIL"/>
    <d v="2023-06-24T00:00:00"/>
    <d v="2023-07-10T19:47:44"/>
    <m/>
    <d v="2023-07-10T00:00:00"/>
    <n v="1259"/>
    <n v="18107"/>
    <s v="19827631"/>
    <s v="19827631"/>
    <m/>
    <m/>
    <m/>
    <m/>
    <m/>
    <m/>
    <s v="SOLRECOUP"/>
    <s v="SOLRECOUP"/>
    <s v="POARECOUP"/>
    <n v="21356618"/>
    <n v="-193.2"/>
    <m/>
    <s v="Y"/>
    <n v="2"/>
    <d v="2023-07-10T19:47:45"/>
    <s v="N"/>
    <m/>
    <m/>
    <s v="Expert Disbursement"/>
    <m/>
    <s v="N"/>
    <n v="0"/>
    <n v="-32.2"/>
    <x v="2"/>
    <s v="VALIDATED"/>
    <n v="1"/>
    <s v="01.11.80.308.2013.0000"/>
    <n v="-32.2"/>
    <s v="11"/>
    <s v="2013"/>
    <n v="18755.88"/>
    <n v="-32.2"/>
    <s v="CREDITOR"/>
    <n v="0"/>
    <n v="0"/>
    <n v="-32.2"/>
    <n v="0"/>
    <n v="0"/>
  </r>
  <r>
    <n v="19827631"/>
    <s v="N"/>
    <n v="21356619"/>
    <s v="3000008338190001RC"/>
    <s v="CIVIL"/>
    <d v="2023-06-24T00:00:00"/>
    <d v="2023-07-10T19:47:44"/>
    <m/>
    <d v="2023-07-10T00:00:00"/>
    <n v="1259"/>
    <n v="18107"/>
    <s v="19827631"/>
    <s v="19827631"/>
    <m/>
    <m/>
    <m/>
    <m/>
    <m/>
    <m/>
    <s v="SOLRECOUP"/>
    <s v="SOLRECOUP"/>
    <s v="POARECOUP"/>
    <n v="21356619"/>
    <n v="-2972.95"/>
    <m/>
    <s v="Y"/>
    <n v="1"/>
    <d v="2023-07-10T19:47:45"/>
    <s v="N"/>
    <m/>
    <m/>
    <s v="Profit Cost"/>
    <m/>
    <s v="N"/>
    <n v="-2477.46"/>
    <n v="0"/>
    <x v="2"/>
    <s v="VALIDATED"/>
    <n v="1"/>
    <s v="01.11.80.308.2013.0000"/>
    <n v="-2477.46"/>
    <s v="11"/>
    <s v="2013"/>
    <n v="18755.88"/>
    <n v="-2477.46"/>
    <s v="CREDITOR"/>
    <n v="0"/>
    <n v="0"/>
    <n v="-2477.46"/>
    <n v="-619.365"/>
    <n v="0"/>
  </r>
  <r>
    <n v="19827631"/>
    <s v="N"/>
    <n v="21356619"/>
    <s v="3000008338190001RC"/>
    <s v="CIVIL"/>
    <d v="2023-06-24T00:00:00"/>
    <d v="2023-07-10T19:47:44"/>
    <m/>
    <d v="2023-07-10T00:00:00"/>
    <n v="1259"/>
    <n v="18107"/>
    <s v="19827631"/>
    <s v="19827631"/>
    <m/>
    <m/>
    <m/>
    <m/>
    <m/>
    <m/>
    <s v="SOLRECOUP"/>
    <s v="SOLRECOUP"/>
    <s v="POARECOUP"/>
    <n v="21356619"/>
    <n v="-2972.95"/>
    <m/>
    <s v="Y"/>
    <n v="2"/>
    <d v="2023-07-10T19:47:45"/>
    <s v="N"/>
    <m/>
    <m/>
    <s v="Profit Cost"/>
    <m/>
    <s v="N"/>
    <n v="0"/>
    <n v="-495.49"/>
    <x v="2"/>
    <s v="VALIDATED"/>
    <n v="1"/>
    <s v="01.11.80.308.2013.0000"/>
    <n v="-495.49"/>
    <s v="11"/>
    <s v="2013"/>
    <n v="18755.88"/>
    <n v="-495.49"/>
    <s v="CREDITOR"/>
    <n v="0"/>
    <n v="0"/>
    <n v="-495.49"/>
    <n v="-123.8725"/>
    <n v="0"/>
  </r>
  <r>
    <n v="19827631"/>
    <s v="N"/>
    <n v="21356620"/>
    <s v="3000008338190003RC"/>
    <s v="CIVIL"/>
    <d v="2023-06-24T00:00:00"/>
    <d v="2023-07-10T19:47:44"/>
    <m/>
    <d v="2023-07-10T00:00:00"/>
    <n v="1259"/>
    <n v="18107"/>
    <s v="19827631"/>
    <s v="19827631"/>
    <m/>
    <m/>
    <m/>
    <m/>
    <m/>
    <m/>
    <s v="SOLRECOUP"/>
    <s v="SOLRECOUP"/>
    <s v="POARECOUP"/>
    <n v="21356620"/>
    <n v="-229.2"/>
    <m/>
    <s v="Y"/>
    <n v="1"/>
    <d v="2023-07-10T19:47:45"/>
    <s v="N"/>
    <m/>
    <m/>
    <s v="Expert Disbursement"/>
    <m/>
    <s v="N"/>
    <n v="-191"/>
    <n v="0"/>
    <x v="2"/>
    <s v="VALIDATED"/>
    <n v="1"/>
    <s v="01.11.80.308.2013.0000"/>
    <n v="-191"/>
    <s v="11"/>
    <s v="2013"/>
    <n v="18755.88"/>
    <n v="-191"/>
    <s v="CREDITOR"/>
    <n v="0"/>
    <n v="0"/>
    <n v="-191"/>
    <n v="0"/>
    <n v="0"/>
  </r>
  <r>
    <n v="19827631"/>
    <s v="N"/>
    <n v="21356620"/>
    <s v="3000008338190003RC"/>
    <s v="CIVIL"/>
    <d v="2023-06-24T00:00:00"/>
    <d v="2023-07-10T19:47:44"/>
    <m/>
    <d v="2023-07-10T00:00:00"/>
    <n v="1259"/>
    <n v="18107"/>
    <s v="19827631"/>
    <s v="19827631"/>
    <m/>
    <m/>
    <m/>
    <m/>
    <m/>
    <m/>
    <s v="SOLRECOUP"/>
    <s v="SOLRECOUP"/>
    <s v="POARECOUP"/>
    <n v="21356620"/>
    <n v="-229.2"/>
    <m/>
    <s v="Y"/>
    <n v="2"/>
    <d v="2023-07-10T19:47:45"/>
    <s v="N"/>
    <m/>
    <m/>
    <s v="Expert Disbursement"/>
    <m/>
    <s v="N"/>
    <n v="0"/>
    <n v="-38.2"/>
    <x v="2"/>
    <s v="VALIDATED"/>
    <n v="1"/>
    <s v="01.11.80.308.2013.0000"/>
    <n v="-38.2"/>
    <s v="11"/>
    <s v="2013"/>
    <n v="18755.88"/>
    <n v="-38.2"/>
    <s v="CREDITOR"/>
    <n v="0"/>
    <n v="0"/>
    <n v="-38.2"/>
    <n v="0"/>
    <n v="0"/>
  </r>
  <r>
    <n v="19827631"/>
    <s v="N"/>
    <n v="21356621"/>
    <s v="3000008338190006RC"/>
    <s v="CIVIL"/>
    <d v="2023-06-24T00:00:00"/>
    <d v="2023-07-10T19:47:44"/>
    <m/>
    <d v="2023-07-10T00:00:00"/>
    <n v="1259"/>
    <n v="18107"/>
    <s v="19827631"/>
    <s v="19827631"/>
    <m/>
    <m/>
    <m/>
    <m/>
    <m/>
    <m/>
    <s v="SOLRECOUP"/>
    <s v="SOLRECOUP"/>
    <s v="POARECOUP"/>
    <n v="21356621"/>
    <n v="-211.2"/>
    <m/>
    <s v="Y"/>
    <n v="1"/>
    <d v="2023-07-10T19:47:45"/>
    <s v="N"/>
    <m/>
    <m/>
    <s v="Expert Disbursement"/>
    <m/>
    <s v="N"/>
    <n v="-176"/>
    <n v="0"/>
    <x v="2"/>
    <s v="VALIDATED"/>
    <n v="1"/>
    <s v="01.11.80.308.2013.0000"/>
    <n v="-176"/>
    <s v="11"/>
    <s v="2013"/>
    <n v="18755.88"/>
    <n v="-176"/>
    <s v="CREDITOR"/>
    <n v="0"/>
    <n v="0"/>
    <n v="-176"/>
    <n v="0"/>
    <n v="0"/>
  </r>
  <r>
    <n v="19827631"/>
    <s v="N"/>
    <n v="21356621"/>
    <s v="3000008338190006RC"/>
    <s v="CIVIL"/>
    <d v="2023-06-24T00:00:00"/>
    <d v="2023-07-10T19:47:44"/>
    <m/>
    <d v="2023-07-10T00:00:00"/>
    <n v="1259"/>
    <n v="18107"/>
    <s v="19827631"/>
    <s v="19827631"/>
    <m/>
    <m/>
    <m/>
    <m/>
    <m/>
    <m/>
    <s v="SOLRECOUP"/>
    <s v="SOLRECOUP"/>
    <s v="POARECOUP"/>
    <n v="21356621"/>
    <n v="-211.2"/>
    <m/>
    <s v="Y"/>
    <n v="2"/>
    <d v="2023-07-10T19:47:45"/>
    <s v="N"/>
    <m/>
    <m/>
    <s v="Expert Disbursement"/>
    <m/>
    <s v="N"/>
    <n v="0"/>
    <n v="-35.2"/>
    <x v="2"/>
    <s v="VALIDATED"/>
    <n v="1"/>
    <s v="01.11.80.308.2013.0000"/>
    <n v="-35.2"/>
    <s v="11"/>
    <s v="2013"/>
    <n v="18755.88"/>
    <n v="-35.2"/>
    <s v="CREDITOR"/>
    <n v="0"/>
    <n v="0"/>
    <n v="-35.2"/>
    <n v="0"/>
    <n v="0"/>
  </r>
  <r>
    <n v="19827631"/>
    <s v="N"/>
    <n v="21356622"/>
    <s v="3000008338190007RC"/>
    <s v="CIVIL"/>
    <d v="2023-06-24T00:00:00"/>
    <d v="2023-07-10T19:47:44"/>
    <m/>
    <d v="2023-07-10T00:00:00"/>
    <n v="1259"/>
    <n v="18107"/>
    <s v="19827631"/>
    <s v="19827631"/>
    <m/>
    <m/>
    <m/>
    <m/>
    <m/>
    <m/>
    <s v="SOLRECOUP"/>
    <s v="SOLRECOUP"/>
    <s v="POARECOUP"/>
    <n v="21356622"/>
    <n v="-335.28"/>
    <m/>
    <s v="Y"/>
    <n v="1"/>
    <d v="2023-07-10T19:47:45"/>
    <s v="N"/>
    <m/>
    <m/>
    <s v="Expert Disbursement"/>
    <m/>
    <s v="N"/>
    <n v="-279.4"/>
    <n v="0"/>
    <x v="2"/>
    <s v="VALIDATED"/>
    <n v="1"/>
    <s v="01.11.80.308.2013.0000"/>
    <n v="-279.4"/>
    <s v="11"/>
    <s v="2013"/>
    <n v="18755.88"/>
    <n v="-279.4"/>
    <s v="CREDITOR"/>
    <n v="0"/>
    <n v="0"/>
    <n v="-279.4"/>
    <n v="0"/>
    <n v="0"/>
  </r>
  <r>
    <n v="19827631"/>
    <s v="N"/>
    <n v="21356622"/>
    <s v="3000008338190007RC"/>
    <s v="CIVIL"/>
    <d v="2023-06-24T00:00:00"/>
    <d v="2023-07-10T19:47:44"/>
    <m/>
    <d v="2023-07-10T00:00:00"/>
    <n v="1259"/>
    <n v="18107"/>
    <s v="19827631"/>
    <s v="19827631"/>
    <m/>
    <m/>
    <m/>
    <m/>
    <m/>
    <m/>
    <s v="SOLRECOUP"/>
    <s v="SOLRECOUP"/>
    <s v="POARECOUP"/>
    <n v="21356622"/>
    <n v="-335.28"/>
    <m/>
    <s v="Y"/>
    <n v="2"/>
    <d v="2023-07-10T19:47:45"/>
    <s v="N"/>
    <m/>
    <m/>
    <s v="Expert Disbursement"/>
    <m/>
    <s v="N"/>
    <n v="0"/>
    <n v="-55.88"/>
    <x v="2"/>
    <s v="VALIDATED"/>
    <n v="1"/>
    <s v="01.11.80.308.2013.0000"/>
    <n v="-55.88"/>
    <s v="11"/>
    <s v="2013"/>
    <n v="18755.88"/>
    <n v="-55.88"/>
    <s v="CREDITOR"/>
    <n v="0"/>
    <n v="0"/>
    <n v="-55.88"/>
    <n v="0"/>
    <n v="0"/>
  </r>
  <r>
    <n v="19827631"/>
    <s v="N"/>
    <n v="21356623"/>
    <s v="3000008338190005RC"/>
    <s v="CIVIL"/>
    <d v="2023-06-24T00:00:00"/>
    <d v="2023-07-10T19:47:44"/>
    <m/>
    <d v="2023-07-10T00:00:00"/>
    <n v="1259"/>
    <n v="18107"/>
    <s v="19827631"/>
    <s v="19827631"/>
    <m/>
    <m/>
    <m/>
    <m/>
    <m/>
    <m/>
    <s v="SOLRECOUP"/>
    <s v="SOLRECOUP"/>
    <s v="POARECOUP"/>
    <n v="21356623"/>
    <n v="-211.2"/>
    <m/>
    <s v="Y"/>
    <n v="1"/>
    <d v="2023-07-10T19:47:45"/>
    <s v="N"/>
    <m/>
    <m/>
    <s v="Expert Disbursement"/>
    <m/>
    <s v="N"/>
    <n v="-176"/>
    <n v="0"/>
    <x v="2"/>
    <s v="VALIDATED"/>
    <n v="1"/>
    <s v="01.11.80.308.2013.0000"/>
    <n v="-176"/>
    <s v="11"/>
    <s v="2013"/>
    <n v="18755.88"/>
    <n v="-176"/>
    <s v="CREDITOR"/>
    <n v="0"/>
    <n v="0"/>
    <n v="-176"/>
    <n v="0"/>
    <n v="0"/>
  </r>
  <r>
    <n v="19827631"/>
    <s v="N"/>
    <n v="21356623"/>
    <s v="3000008338190005RC"/>
    <s v="CIVIL"/>
    <d v="2023-06-24T00:00:00"/>
    <d v="2023-07-10T19:47:44"/>
    <m/>
    <d v="2023-07-10T00:00:00"/>
    <n v="1259"/>
    <n v="18107"/>
    <s v="19827631"/>
    <s v="19827631"/>
    <m/>
    <m/>
    <m/>
    <m/>
    <m/>
    <m/>
    <s v="SOLRECOUP"/>
    <s v="SOLRECOUP"/>
    <s v="POARECOUP"/>
    <n v="21356623"/>
    <n v="-211.2"/>
    <m/>
    <s v="Y"/>
    <n v="2"/>
    <d v="2023-07-10T19:47:45"/>
    <s v="N"/>
    <m/>
    <m/>
    <s v="Expert Disbursement"/>
    <m/>
    <s v="N"/>
    <n v="0"/>
    <n v="-35.2"/>
    <x v="2"/>
    <s v="VALIDATED"/>
    <n v="1"/>
    <s v="01.11.80.308.2013.0000"/>
    <n v="-35.2"/>
    <s v="11"/>
    <s v="2013"/>
    <n v="18755.88"/>
    <n v="-35.2"/>
    <s v="CREDITOR"/>
    <n v="0"/>
    <n v="0"/>
    <n v="-35.2"/>
    <n v="0"/>
    <n v="0"/>
  </r>
  <r>
    <n v="19827631"/>
    <s v="N"/>
    <n v="21356624"/>
    <s v="3000008338190008RC"/>
    <s v="CIVIL"/>
    <d v="2023-06-24T00:00:00"/>
    <d v="2023-07-10T19:47:44"/>
    <m/>
    <d v="2023-07-10T00:00:00"/>
    <n v="1259"/>
    <n v="18107"/>
    <s v="19827631"/>
    <s v="19827631"/>
    <m/>
    <m/>
    <m/>
    <m/>
    <m/>
    <m/>
    <s v="SOLRECOUP"/>
    <s v="SOLRECOUP"/>
    <s v="POARECOUP"/>
    <n v="21356624"/>
    <n v="-229.2"/>
    <m/>
    <s v="Y"/>
    <n v="1"/>
    <d v="2023-07-10T19:47:45"/>
    <s v="N"/>
    <m/>
    <m/>
    <s v="Expert Disbursement"/>
    <m/>
    <s v="N"/>
    <n v="-191"/>
    <n v="0"/>
    <x v="2"/>
    <s v="VALIDATED"/>
    <n v="1"/>
    <s v="01.11.80.308.2013.0000"/>
    <n v="-191"/>
    <s v="11"/>
    <s v="2013"/>
    <n v="18755.88"/>
    <n v="-191"/>
    <s v="CREDITOR"/>
    <n v="0"/>
    <n v="0"/>
    <n v="-191"/>
    <n v="0"/>
    <n v="0"/>
  </r>
  <r>
    <n v="19827631"/>
    <s v="N"/>
    <n v="21356624"/>
    <s v="3000008338190008RC"/>
    <s v="CIVIL"/>
    <d v="2023-06-24T00:00:00"/>
    <d v="2023-07-10T19:47:44"/>
    <m/>
    <d v="2023-07-10T00:00:00"/>
    <n v="1259"/>
    <n v="18107"/>
    <s v="19827631"/>
    <s v="19827631"/>
    <m/>
    <m/>
    <m/>
    <m/>
    <m/>
    <m/>
    <s v="SOLRECOUP"/>
    <s v="SOLRECOUP"/>
    <s v="POARECOUP"/>
    <n v="21356624"/>
    <n v="-229.2"/>
    <m/>
    <s v="Y"/>
    <n v="2"/>
    <d v="2023-07-10T19:47:45"/>
    <s v="N"/>
    <m/>
    <m/>
    <s v="Expert Disbursement"/>
    <m/>
    <s v="N"/>
    <n v="0"/>
    <n v="-38.2"/>
    <x v="2"/>
    <s v="VALIDATED"/>
    <n v="1"/>
    <s v="01.11.80.308.2013.0000"/>
    <n v="-38.2"/>
    <s v="11"/>
    <s v="2013"/>
    <n v="18755.88"/>
    <n v="-38.2"/>
    <s v="CREDITOR"/>
    <n v="0"/>
    <n v="0"/>
    <n v="-38.2"/>
    <n v="0"/>
    <n v="0"/>
  </r>
  <r>
    <n v="19827631"/>
    <s v="N"/>
    <n v="21356625"/>
    <s v="3000008338190011RC"/>
    <s v="CIVIL"/>
    <d v="2023-06-24T00:00:00"/>
    <d v="2023-07-10T19:47:44"/>
    <m/>
    <d v="2023-07-10T00:00:00"/>
    <n v="1259"/>
    <n v="18107"/>
    <s v="19827631"/>
    <s v="19827631"/>
    <m/>
    <m/>
    <m/>
    <m/>
    <m/>
    <m/>
    <s v="SOLRECOUP"/>
    <s v="SOLRECOUP"/>
    <s v="POARECOUP"/>
    <n v="21356625"/>
    <n v="-196.2"/>
    <m/>
    <s v="Y"/>
    <n v="1"/>
    <d v="2023-07-10T19:47:45"/>
    <s v="N"/>
    <m/>
    <m/>
    <s v="Expert Disbursement"/>
    <m/>
    <s v="N"/>
    <n v="-163.5"/>
    <n v="0"/>
    <x v="2"/>
    <s v="VALIDATED"/>
    <n v="1"/>
    <s v="01.11.80.308.2013.0000"/>
    <n v="-163.5"/>
    <s v="11"/>
    <s v="2013"/>
    <n v="18755.88"/>
    <n v="-163.5"/>
    <s v="CREDITOR"/>
    <n v="0"/>
    <n v="0"/>
    <n v="-163.5"/>
    <n v="0"/>
    <n v="0"/>
  </r>
  <r>
    <n v="19827631"/>
    <s v="N"/>
    <n v="21356625"/>
    <s v="3000008338190011RC"/>
    <s v="CIVIL"/>
    <d v="2023-06-24T00:00:00"/>
    <d v="2023-07-10T19:47:44"/>
    <m/>
    <d v="2023-07-10T00:00:00"/>
    <n v="1259"/>
    <n v="18107"/>
    <s v="19827631"/>
    <s v="19827631"/>
    <m/>
    <m/>
    <m/>
    <m/>
    <m/>
    <m/>
    <s v="SOLRECOUP"/>
    <s v="SOLRECOUP"/>
    <s v="POARECOUP"/>
    <n v="21356625"/>
    <n v="-196.2"/>
    <m/>
    <s v="Y"/>
    <n v="2"/>
    <d v="2023-07-10T19:47:45"/>
    <s v="N"/>
    <m/>
    <m/>
    <s v="Expert Disbursement"/>
    <m/>
    <s v="N"/>
    <n v="0"/>
    <n v="-32.7"/>
    <x v="2"/>
    <s v="VALIDATED"/>
    <n v="1"/>
    <s v="01.11.80.308.2013.0000"/>
    <n v="-32.7"/>
    <s v="11"/>
    <s v="2013"/>
    <n v="18755.88"/>
    <n v="-32.7"/>
    <s v="CREDITOR"/>
    <n v="0"/>
    <n v="0"/>
    <n v="-32.7"/>
    <n v="0"/>
    <n v="0"/>
  </r>
  <r>
    <n v="19827631"/>
    <s v="N"/>
    <n v="21356626"/>
    <s v="3000008338190012RC"/>
    <s v="CIVIL"/>
    <d v="2023-06-24T00:00:00"/>
    <d v="2023-07-10T19:47:44"/>
    <m/>
    <d v="2023-07-10T00:00:00"/>
    <n v="1259"/>
    <n v="18107"/>
    <s v="19827631"/>
    <s v="19827631"/>
    <m/>
    <m/>
    <m/>
    <m/>
    <m/>
    <m/>
    <s v="SOLRECOUP"/>
    <s v="SOLRECOUP"/>
    <s v="POARECOUP"/>
    <n v="21356626"/>
    <n v="-565.8"/>
    <m/>
    <s v="Y"/>
    <n v="1"/>
    <d v="2023-07-10T19:47:45"/>
    <s v="N"/>
    <m/>
    <m/>
    <s v="Expert Disbursement"/>
    <m/>
    <s v="N"/>
    <n v="-471.5"/>
    <n v="0"/>
    <x v="2"/>
    <s v="VALIDATED"/>
    <n v="1"/>
    <s v="01.11.80.308.2013.0000"/>
    <n v="-471.5"/>
    <s v="11"/>
    <s v="2013"/>
    <n v="18755.88"/>
    <n v="-471.5"/>
    <s v="CREDITOR"/>
    <n v="0"/>
    <n v="0"/>
    <n v="-471.5"/>
    <n v="0"/>
    <n v="0"/>
  </r>
  <r>
    <n v="19827631"/>
    <s v="N"/>
    <n v="21356626"/>
    <s v="3000008338190012RC"/>
    <s v="CIVIL"/>
    <d v="2023-06-24T00:00:00"/>
    <d v="2023-07-10T19:47:44"/>
    <m/>
    <d v="2023-07-10T00:00:00"/>
    <n v="1259"/>
    <n v="18107"/>
    <s v="19827631"/>
    <s v="19827631"/>
    <m/>
    <m/>
    <m/>
    <m/>
    <m/>
    <m/>
    <s v="SOLRECOUP"/>
    <s v="SOLRECOUP"/>
    <s v="POARECOUP"/>
    <n v="21356626"/>
    <n v="-565.8"/>
    <m/>
    <s v="Y"/>
    <n v="2"/>
    <d v="2023-07-10T19:47:45"/>
    <s v="N"/>
    <m/>
    <m/>
    <s v="Expert Disbursement"/>
    <m/>
    <s v="N"/>
    <n v="0"/>
    <n v="-94.3"/>
    <x v="2"/>
    <s v="VALIDATED"/>
    <n v="1"/>
    <s v="01.11.80.308.2013.0000"/>
    <n v="-94.3"/>
    <s v="11"/>
    <s v="2013"/>
    <n v="18755.88"/>
    <n v="-94.3"/>
    <s v="CREDITOR"/>
    <n v="0"/>
    <n v="0"/>
    <n v="-94.3"/>
    <n v="0"/>
    <n v="0"/>
  </r>
  <r>
    <n v="19827631"/>
    <s v="N"/>
    <n v="21356627"/>
    <s v="3000008338190014RC"/>
    <s v="CIVIL"/>
    <d v="2023-06-24T00:00:00"/>
    <d v="2023-07-10T19:47:44"/>
    <m/>
    <d v="2023-07-10T00:00:00"/>
    <n v="1259"/>
    <n v="18107"/>
    <s v="19827631"/>
    <s v="19827631"/>
    <m/>
    <m/>
    <m/>
    <m/>
    <m/>
    <m/>
    <s v="SOLRECOUP"/>
    <s v="SOLRECOUP"/>
    <s v="POARECOUP"/>
    <n v="21356627"/>
    <n v="-252"/>
    <m/>
    <s v="Y"/>
    <n v="1"/>
    <d v="2023-07-10T19:47:45"/>
    <s v="N"/>
    <m/>
    <m/>
    <s v="Expert Disbursement"/>
    <m/>
    <s v="N"/>
    <n v="-210"/>
    <n v="0"/>
    <x v="2"/>
    <s v="VALIDATED"/>
    <n v="1"/>
    <s v="01.11.80.308.2013.0000"/>
    <n v="-210"/>
    <s v="11"/>
    <s v="2013"/>
    <n v="18755.88"/>
    <n v="-210"/>
    <s v="CREDITOR"/>
    <n v="0"/>
    <n v="0"/>
    <n v="-210"/>
    <n v="0"/>
    <n v="0"/>
  </r>
  <r>
    <n v="19827631"/>
    <s v="N"/>
    <n v="21356627"/>
    <s v="3000008338190014RC"/>
    <s v="CIVIL"/>
    <d v="2023-06-24T00:00:00"/>
    <d v="2023-07-10T19:47:44"/>
    <m/>
    <d v="2023-07-10T00:00:00"/>
    <n v="1259"/>
    <n v="18107"/>
    <s v="19827631"/>
    <s v="19827631"/>
    <m/>
    <m/>
    <m/>
    <m/>
    <m/>
    <m/>
    <s v="SOLRECOUP"/>
    <s v="SOLRECOUP"/>
    <s v="POARECOUP"/>
    <n v="21356627"/>
    <n v="-252"/>
    <m/>
    <s v="Y"/>
    <n v="2"/>
    <d v="2023-07-10T19:47:45"/>
    <s v="N"/>
    <m/>
    <m/>
    <s v="Expert Disbursement"/>
    <m/>
    <s v="N"/>
    <n v="0"/>
    <n v="-42"/>
    <x v="2"/>
    <s v="VALIDATED"/>
    <n v="1"/>
    <s v="01.11.80.308.2013.0000"/>
    <n v="-42"/>
    <s v="11"/>
    <s v="2013"/>
    <n v="18755.88"/>
    <n v="-42"/>
    <s v="CREDITOR"/>
    <n v="0"/>
    <n v="0"/>
    <n v="-42"/>
    <n v="0"/>
    <n v="0"/>
  </r>
  <r>
    <n v="19827631"/>
    <s v="N"/>
    <n v="21356628"/>
    <s v="3000008338190009RC"/>
    <s v="CIVIL"/>
    <d v="2023-06-24T00:00:00"/>
    <d v="2023-07-10T19:47:44"/>
    <m/>
    <d v="2023-07-10T00:00:00"/>
    <n v="1259"/>
    <n v="18107"/>
    <s v="19827631"/>
    <s v="19827631"/>
    <m/>
    <m/>
    <m/>
    <m/>
    <m/>
    <m/>
    <s v="SOLRECOUP"/>
    <s v="SOLRECOUP"/>
    <s v="POARECOUP"/>
    <n v="21356628"/>
    <n v="-1794.14"/>
    <m/>
    <s v="Y"/>
    <n v="1"/>
    <d v="2023-07-10T19:47:45"/>
    <s v="N"/>
    <m/>
    <m/>
    <s v="Profit Cost"/>
    <m/>
    <s v="N"/>
    <n v="-1495.12"/>
    <n v="0"/>
    <x v="2"/>
    <s v="VALIDATED"/>
    <n v="1"/>
    <s v="01.11.80.308.2013.0000"/>
    <n v="-1495.12"/>
    <s v="11"/>
    <s v="2013"/>
    <n v="18755.88"/>
    <n v="-1495.12"/>
    <s v="CREDITOR"/>
    <n v="0"/>
    <n v="0"/>
    <n v="-1495.12"/>
    <n v="-373.78"/>
    <n v="0"/>
  </r>
  <r>
    <n v="19827631"/>
    <s v="N"/>
    <n v="21356628"/>
    <s v="3000008338190009RC"/>
    <s v="CIVIL"/>
    <d v="2023-06-24T00:00:00"/>
    <d v="2023-07-10T19:47:44"/>
    <m/>
    <d v="2023-07-10T00:00:00"/>
    <n v="1259"/>
    <n v="18107"/>
    <s v="19827631"/>
    <s v="19827631"/>
    <m/>
    <m/>
    <m/>
    <m/>
    <m/>
    <m/>
    <s v="SOLRECOUP"/>
    <s v="SOLRECOUP"/>
    <s v="POARECOUP"/>
    <n v="21356628"/>
    <n v="-1794.14"/>
    <m/>
    <s v="Y"/>
    <n v="2"/>
    <d v="2023-07-10T19:47:45"/>
    <s v="N"/>
    <m/>
    <m/>
    <s v="Profit Cost"/>
    <m/>
    <s v="N"/>
    <n v="0"/>
    <n v="-299.02"/>
    <x v="2"/>
    <s v="VALIDATED"/>
    <n v="1"/>
    <s v="01.11.80.308.2013.0000"/>
    <n v="-299.02"/>
    <s v="11"/>
    <s v="2013"/>
    <n v="18755.88"/>
    <n v="-299.02"/>
    <s v="CREDITOR"/>
    <n v="0"/>
    <n v="0"/>
    <n v="-299.02"/>
    <n v="-74.755"/>
    <n v="0"/>
  </r>
  <r>
    <n v="60647908"/>
    <s v="N"/>
    <n v="21356629"/>
    <s v="3000014902640001RC"/>
    <s v="CIVIL"/>
    <d v="2023-06-29T00:00:00"/>
    <d v="2023-07-10T19:47:44"/>
    <m/>
    <d v="2023-07-10T00:00:00"/>
    <n v="1259"/>
    <n v="18107"/>
    <s v="60647908"/>
    <s v="60647908"/>
    <m/>
    <m/>
    <m/>
    <m/>
    <m/>
    <m/>
    <s v="SOLRECOUP"/>
    <s v="SOLRECOUP"/>
    <s v="POARECOUP"/>
    <n v="21356629"/>
    <n v="-2626.58"/>
    <m/>
    <s v="Y"/>
    <n v="2"/>
    <d v="2023-07-10T19:47:45"/>
    <s v="N"/>
    <m/>
    <m/>
    <s v="Profit Cost"/>
    <m/>
    <s v="N"/>
    <n v="0"/>
    <n v="-437.76"/>
    <x v="2"/>
    <s v="VALIDATED"/>
    <n v="1"/>
    <s v="01.11.80.308.2013.0000"/>
    <n v="-437.76"/>
    <s v="11"/>
    <s v="2013"/>
    <n v="18755.88"/>
    <n v="-437.76"/>
    <s v="CREDITOR"/>
    <n v="0"/>
    <n v="0"/>
    <n v="-437.76"/>
    <n v="-109.44"/>
    <n v="0"/>
  </r>
  <r>
    <n v="60647908"/>
    <s v="N"/>
    <n v="21356629"/>
    <s v="3000014902640001RC"/>
    <s v="CIVIL"/>
    <d v="2023-06-29T00:00:00"/>
    <d v="2023-07-10T19:47:44"/>
    <m/>
    <d v="2023-07-10T00:00:00"/>
    <n v="1259"/>
    <n v="18107"/>
    <s v="60647908"/>
    <s v="60647908"/>
    <m/>
    <m/>
    <m/>
    <m/>
    <m/>
    <m/>
    <s v="SOLRECOUP"/>
    <s v="SOLRECOUP"/>
    <s v="POARECOUP"/>
    <n v="21356629"/>
    <n v="-2626.58"/>
    <m/>
    <s v="Y"/>
    <n v="1"/>
    <d v="2023-07-10T19:47:45"/>
    <s v="N"/>
    <m/>
    <m/>
    <s v="Profit Cost"/>
    <m/>
    <s v="N"/>
    <n v="-2188.82"/>
    <n v="0"/>
    <x v="2"/>
    <s v="VALIDATED"/>
    <n v="1"/>
    <s v="01.11.80.308.2013.0000"/>
    <n v="-2188.82"/>
    <s v="11"/>
    <s v="2013"/>
    <n v="18755.88"/>
    <n v="-2188.82"/>
    <s v="CREDITOR"/>
    <n v="0"/>
    <n v="0"/>
    <n v="-2188.82"/>
    <n v="-547.205"/>
    <n v="0"/>
  </r>
  <r>
    <n v="62199241"/>
    <s v="N"/>
    <n v="21322140"/>
    <s v="3000016207680001"/>
    <s v="CIVIL"/>
    <d v="2023-06-29T00:00:00"/>
    <d v="2023-07-03T19:05:17"/>
    <m/>
    <d v="2023-07-03T00:00:00"/>
    <n v="1259"/>
    <n v="18107"/>
    <s v="62199241"/>
    <s v="62199241"/>
    <m/>
    <m/>
    <n v="22785124"/>
    <m/>
    <m/>
    <m/>
    <s v="SOLPOA"/>
    <s v="SOLPOA"/>
    <s v="CCMS"/>
    <n v="21322140"/>
    <n v="402.6"/>
    <m/>
    <s v="N"/>
    <n v="1"/>
    <d v="2023-07-03T19:05:22"/>
    <s v="N"/>
    <s v="Expert Cost"/>
    <s v="Expert Cost"/>
    <s v="Expert Disbursement"/>
    <s v="K Pendle"/>
    <s v="N"/>
    <n v="335.5"/>
    <n v="67.09999999999999"/>
    <x v="3"/>
    <s v="VALIDATED"/>
    <n v="1"/>
    <s v="01.11.80.308.2012.0000"/>
    <n v="335.5"/>
    <s v="11"/>
    <s v="2012"/>
    <n v="18755.88"/>
    <n v="335.5"/>
    <s v="CREDITOR"/>
    <n v="335.5"/>
    <n v="0"/>
    <n v="0"/>
    <n v="0"/>
    <n v="0"/>
  </r>
  <r>
    <n v="55706219"/>
    <s v="N"/>
    <n v="21327970"/>
    <s v="3000013169660002"/>
    <s v="CIVIL"/>
    <d v="2023-06-26T00:00:00"/>
    <d v="2023-07-04T19:00:44"/>
    <m/>
    <d v="2023-07-04T00:00:00"/>
    <n v="1259"/>
    <n v="18107"/>
    <s v="55706219"/>
    <s v="55706219"/>
    <m/>
    <m/>
    <n v="22763380"/>
    <m/>
    <m/>
    <m/>
    <s v="SOLFIN"/>
    <s v="SOLFIN"/>
    <s v="CCMS"/>
    <n v="21327970"/>
    <n v="2578.75"/>
    <m/>
    <s v="N"/>
    <n v="24"/>
    <d v="2023-07-04T19:01:00"/>
    <s v="Y"/>
    <s v="Preparation - other"/>
    <s v="Prescribed Hourly Rates"/>
    <s v="Profit Cost"/>
    <s v="SIMON JONES"/>
    <s v="Y"/>
    <n v="18.94"/>
    <n v="3.79"/>
    <x v="1"/>
    <s v="VALIDATED"/>
    <n v="1"/>
    <s v="01.11.80.305.6100.0000"/>
    <n v="18.94"/>
    <s v="11"/>
    <s v="6100"/>
    <n v="18755.88"/>
    <n v="18.94"/>
    <s v="CREDITOR"/>
    <n v="0"/>
    <n v="0"/>
    <n v="0"/>
    <n v="0"/>
    <n v="18.94"/>
  </r>
  <r>
    <n v="19827631"/>
    <s v="N"/>
    <n v="21349873"/>
    <s v="3000008338190024"/>
    <s v="CIVIL"/>
    <d v="2023-06-24T00:00:00"/>
    <d v="2023-07-10T19:01:40"/>
    <m/>
    <d v="2023-07-10T00:00:00"/>
    <n v="1259"/>
    <n v="18107"/>
    <s v="19827631"/>
    <s v="19827631"/>
    <m/>
    <m/>
    <n v="22756616"/>
    <m/>
    <m/>
    <m/>
    <s v="SOLFIN"/>
    <s v="SOLFIN"/>
    <s v="CCMS"/>
    <n v="21349873"/>
    <n v="26184.3"/>
    <m/>
    <s v="N"/>
    <n v="40"/>
    <d v="2023-07-10T19:02:01"/>
    <s v="Y"/>
    <s v="Hearing Unit 2.31 - 5.00 Hours"/>
    <s v="Public Law Children"/>
    <s v="Advocacy"/>
    <s v="SHARAN GILL"/>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15"/>
    <d v="2023-07-10T19:02:01"/>
    <s v="Y"/>
    <s v="Independent Social Worker"/>
    <s v="Public Law Children"/>
    <s v="Expert Disbursement"/>
    <s v="SHARAN GILL"/>
    <s v="Y"/>
    <n v="335.9"/>
    <n v="0"/>
    <x v="2"/>
    <s v="VALIDATED"/>
    <n v="1"/>
    <s v="01.11.80.308.6300.0000"/>
    <n v="335.9"/>
    <s v="11"/>
    <s v="6300"/>
    <n v="18755.88"/>
    <n v="335.9"/>
    <s v="CREDITOR"/>
    <n v="0"/>
    <n v="0"/>
    <n v="0"/>
    <n v="0"/>
    <n v="335.9"/>
  </r>
  <r>
    <n v="19827631"/>
    <s v="N"/>
    <n v="21349873"/>
    <s v="3000008338190024"/>
    <s v="CIVIL"/>
    <d v="2023-06-24T00:00:00"/>
    <d v="2023-07-10T19:01:40"/>
    <m/>
    <d v="2023-07-10T00:00:00"/>
    <n v="1259"/>
    <n v="18107"/>
    <s v="19827631"/>
    <s v="19827631"/>
    <m/>
    <m/>
    <n v="22756616"/>
    <m/>
    <m/>
    <m/>
    <s v="SOLFIN"/>
    <s v="SOLFIN"/>
    <s v="CCMS"/>
    <n v="21349873"/>
    <n v="26184.3"/>
    <m/>
    <s v="N"/>
    <n v="10"/>
    <d v="2023-07-10T19:02:01"/>
    <s v="Y"/>
    <s v="Independent Social Worker"/>
    <s v="Public Law Children"/>
    <s v="Expert Disbursement"/>
    <s v="SHARAN GILL"/>
    <s v="Y"/>
    <n v="13.2"/>
    <n v="2.64"/>
    <x v="2"/>
    <s v="VALIDATED"/>
    <n v="1"/>
    <s v="01.11.80.308.6300.0000"/>
    <n v="13.2"/>
    <s v="11"/>
    <s v="6300"/>
    <n v="18755.88"/>
    <n v="13.2"/>
    <s v="CREDITOR"/>
    <n v="0"/>
    <n v="0"/>
    <n v="0"/>
    <n v="0"/>
    <n v="13.2"/>
  </r>
  <r>
    <n v="55706219"/>
    <s v="N"/>
    <n v="21327970"/>
    <s v="3000013169660002"/>
    <s v="CIVIL"/>
    <d v="2023-06-26T00:00:00"/>
    <d v="2023-07-04T19:00:44"/>
    <m/>
    <d v="2023-07-04T00:00:00"/>
    <n v="1259"/>
    <n v="18107"/>
    <s v="55706219"/>
    <s v="55706219"/>
    <m/>
    <m/>
    <n v="22763380"/>
    <m/>
    <m/>
    <m/>
    <s v="SOLFIN"/>
    <s v="SOLFIN"/>
    <s v="CCMS"/>
    <n v="21327970"/>
    <n v="2578.75"/>
    <m/>
    <s v="N"/>
    <n v="10"/>
    <d v="2023-07-04T19:01:00"/>
    <s v="Y"/>
    <s v="Routine Letter In"/>
    <s v="Prescribed Hourly Rates"/>
    <s v="Profit Cost"/>
    <s v="SIMON JONES"/>
    <s v="Y"/>
    <n v="235.98"/>
    <n v="47.2"/>
    <x v="1"/>
    <s v="VALIDATED"/>
    <n v="1"/>
    <s v="01.11.80.305.6100.0000"/>
    <n v="235.98"/>
    <s v="11"/>
    <s v="6100"/>
    <n v="18755.88"/>
    <n v="235.98"/>
    <s v="CREDITOR"/>
    <n v="0"/>
    <n v="0"/>
    <n v="0"/>
    <n v="0"/>
    <n v="235.98"/>
  </r>
  <r>
    <n v="19827631"/>
    <s v="N"/>
    <n v="21349873"/>
    <s v="3000008338190024"/>
    <s v="CIVIL"/>
    <d v="2023-06-24T00:00:00"/>
    <d v="2023-07-10T19:01:40"/>
    <m/>
    <d v="2023-07-10T00:00:00"/>
    <n v="1259"/>
    <n v="18107"/>
    <s v="19827631"/>
    <s v="19827631"/>
    <m/>
    <m/>
    <n v="22756616"/>
    <m/>
    <m/>
    <m/>
    <s v="SOLFIN"/>
    <s v="SOLFIN"/>
    <s v="CCMS"/>
    <n v="21349873"/>
    <n v="26184.3"/>
    <m/>
    <s v="N"/>
    <n v="42"/>
    <d v="2023-07-10T19:02:01"/>
    <s v="Y"/>
    <s v="Final Hearing - 1 Day"/>
    <s v="Public Law Children"/>
    <s v="Advocacy"/>
    <s v="SHARAN GILL"/>
    <s v="Y"/>
    <n v="556.88"/>
    <n v="111.38"/>
    <x v="2"/>
    <s v="VALIDATED"/>
    <n v="1"/>
    <s v="01.11.80.308.6100.0000"/>
    <n v="556.88"/>
    <s v="11"/>
    <s v="6100"/>
    <n v="18755.88"/>
    <n v="556.88"/>
    <s v="CREDITOR"/>
    <n v="0"/>
    <n v="0"/>
    <n v="0"/>
    <n v="0"/>
    <n v="556.88"/>
  </r>
  <r>
    <n v="61073962"/>
    <s v="N"/>
    <n v="21349937"/>
    <s v="3000015270220007"/>
    <s v="CIVIL"/>
    <d v="2023-06-30T00:00:00"/>
    <d v="2023-07-10T19:01:40"/>
    <m/>
    <d v="2023-07-10T00:00:00"/>
    <n v="1259"/>
    <n v="18107"/>
    <s v="61073962"/>
    <s v="61073962"/>
    <m/>
    <m/>
    <n v="22795994"/>
    <m/>
    <m/>
    <m/>
    <s v="SOLINT"/>
    <s v="SOLINT"/>
    <s v="CCMS"/>
    <n v="21349937"/>
    <n v="3413.43"/>
    <m/>
    <s v="N"/>
    <n v="5"/>
    <d v="2023-07-10T19:02:04"/>
    <s v="Y"/>
    <s v="Toxicologist"/>
    <s v="Public Law Children"/>
    <s v="Expert Disbursement"/>
    <s v="SIMON JONES"/>
    <s v="Y"/>
    <n v="175"/>
    <n v="35"/>
    <x v="2"/>
    <s v="VALIDATED"/>
    <n v="1"/>
    <s v="01.11.80.308.6300.0000"/>
    <n v="175"/>
    <s v="11"/>
    <s v="6300"/>
    <n v="18755.88"/>
    <n v="175"/>
    <s v="CREDITOR"/>
    <n v="0"/>
    <n v="0"/>
    <n v="0"/>
    <n v="0"/>
    <n v="175"/>
  </r>
  <r>
    <n v="60647908"/>
    <s v="N"/>
    <n v="21349684"/>
    <s v="3000014902640003"/>
    <s v="CIVIL"/>
    <d v="2023-06-29T00:00:00"/>
    <d v="2023-07-10T19:01:40"/>
    <m/>
    <d v="2023-07-10T00:00:00"/>
    <n v="1259"/>
    <n v="18107"/>
    <s v="60647908"/>
    <s v="60647908"/>
    <m/>
    <m/>
    <n v="22789950"/>
    <m/>
    <m/>
    <m/>
    <s v="SOLFIN"/>
    <s v="SOLFIN"/>
    <s v="CCMS"/>
    <n v="21349684"/>
    <n v="6230.53"/>
    <m/>
    <s v="N"/>
    <n v="4"/>
    <d v="2023-07-10T19:01:55"/>
    <s v="Y"/>
    <s v="Psychologist"/>
    <s v="Public Law Children"/>
    <s v="Expert Disbursement"/>
    <s v="CHRIS PENDLE"/>
    <s v="Y"/>
    <n v="93.59999999999999"/>
    <n v="18.72"/>
    <x v="2"/>
    <s v="VALIDATED"/>
    <n v="1"/>
    <s v="01.11.80.308.6300.0000"/>
    <n v="93.59999999999999"/>
    <s v="11"/>
    <s v="6300"/>
    <n v="18755.88"/>
    <n v="93.59999999999999"/>
    <s v="CREDITOR"/>
    <n v="0"/>
    <n v="0"/>
    <n v="0"/>
    <n v="0"/>
    <n v="93.59999999999999"/>
  </r>
  <r>
    <n v="55706219"/>
    <s v="N"/>
    <n v="21327970"/>
    <s v="3000013169660002"/>
    <s v="CIVIL"/>
    <d v="2023-06-26T00:00:00"/>
    <d v="2023-07-04T19:00:44"/>
    <m/>
    <d v="2023-07-04T00:00:00"/>
    <n v="1259"/>
    <n v="18107"/>
    <s v="55706219"/>
    <s v="55706219"/>
    <m/>
    <m/>
    <n v="22763380"/>
    <m/>
    <m/>
    <m/>
    <s v="SOLFIN"/>
    <s v="SOLFIN"/>
    <s v="CCMS"/>
    <n v="21327970"/>
    <n v="2578.75"/>
    <m/>
    <s v="N"/>
    <n v="25"/>
    <d v="2023-07-04T19:01:00"/>
    <s v="Y"/>
    <s v="Final Hearing - 1 Day"/>
    <s v="Other Public Law Children"/>
    <s v="Advocacy"/>
    <s v="SIMON JONES"/>
    <s v="Y"/>
    <n v="510.75"/>
    <n v="102.14"/>
    <x v="1"/>
    <s v="VALIDATED"/>
    <n v="1"/>
    <s v="01.11.80.305.6100.0000"/>
    <n v="510.75"/>
    <s v="11"/>
    <s v="6100"/>
    <n v="18755.88"/>
    <n v="510.75"/>
    <s v="CREDITOR"/>
    <n v="0"/>
    <n v="0"/>
    <n v="0"/>
    <n v="0"/>
    <n v="510.75"/>
  </r>
  <r>
    <n v="60647908"/>
    <s v="N"/>
    <n v="21349684"/>
    <s v="3000014902640003"/>
    <s v="CIVIL"/>
    <d v="2023-06-29T00:00:00"/>
    <d v="2023-07-10T19:01:40"/>
    <m/>
    <d v="2023-07-10T00:00:00"/>
    <n v="1259"/>
    <n v="18107"/>
    <s v="60647908"/>
    <s v="60647908"/>
    <m/>
    <m/>
    <n v="22789950"/>
    <m/>
    <m/>
    <m/>
    <s v="SOLFIN"/>
    <s v="SOLFIN"/>
    <s v="CCMS"/>
    <n v="21349684"/>
    <n v="6230.53"/>
    <m/>
    <s v="N"/>
    <n v="11"/>
    <d v="2023-07-10T19:01:55"/>
    <s v="Y"/>
    <s v="Advocates Meeting"/>
    <s v="Public Law Children"/>
    <s v="Advocacy"/>
    <s v="CHRIS PENDLE"/>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23"/>
    <d v="2023-07-10T19:02:01"/>
    <s v="Y"/>
    <s v="Toxicologist"/>
    <s v="Public Law Children"/>
    <s v="Expert Disbursement"/>
    <s v="SHARAN GILL"/>
    <s v="Y"/>
    <n v="279.4"/>
    <n v="55.88"/>
    <x v="2"/>
    <s v="VALIDATED"/>
    <n v="1"/>
    <s v="01.11.80.308.6300.0000"/>
    <n v="279.4"/>
    <s v="11"/>
    <s v="6300"/>
    <n v="18755.88"/>
    <n v="279.4"/>
    <s v="CREDITOR"/>
    <n v="0"/>
    <n v="0"/>
    <n v="0"/>
    <n v="0"/>
    <n v="279.4"/>
  </r>
  <r>
    <n v="19827631"/>
    <s v="N"/>
    <n v="21349873"/>
    <s v="3000008338190024"/>
    <s v="CIVIL"/>
    <d v="2023-06-24T00:00:00"/>
    <d v="2023-07-10T19:01:40"/>
    <m/>
    <d v="2023-07-10T00:00:00"/>
    <n v="1259"/>
    <n v="18107"/>
    <s v="19827631"/>
    <s v="19827631"/>
    <m/>
    <m/>
    <n v="22756616"/>
    <m/>
    <m/>
    <m/>
    <s v="SOLFIN"/>
    <s v="SOLFIN"/>
    <s v="CCMS"/>
    <n v="21349873"/>
    <n v="26184.3"/>
    <m/>
    <s v="N"/>
    <n v="36"/>
    <d v="2023-07-10T19:02:01"/>
    <s v="Y"/>
    <s v="Advocates Meeting"/>
    <s v="Public Law Children"/>
    <s v="Advocacy"/>
    <s v="SHARAN GILL"/>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4"/>
    <d v="2023-07-10T19:02:01"/>
    <s v="Y"/>
    <s v="Child psychologist"/>
    <s v="Public Law Children"/>
    <s v="Expert Disbursement"/>
    <s v="SHARAN GILL"/>
    <s v="Y"/>
    <n v="504"/>
    <n v="100.8"/>
    <x v="2"/>
    <s v="VALIDATED"/>
    <n v="1"/>
    <s v="01.11.80.308.6300.0000"/>
    <n v="504"/>
    <s v="11"/>
    <s v="6300"/>
    <n v="18755.88"/>
    <n v="504"/>
    <s v="CREDITOR"/>
    <n v="0"/>
    <n v="0"/>
    <n v="0"/>
    <n v="0"/>
    <n v="504"/>
  </r>
  <r>
    <n v="60647908"/>
    <s v="N"/>
    <n v="21349684"/>
    <s v="3000014902640003"/>
    <s v="CIVIL"/>
    <d v="2023-06-29T00:00:00"/>
    <d v="2023-07-10T19:01:40"/>
    <m/>
    <d v="2023-07-10T00:00:00"/>
    <n v="1259"/>
    <n v="18107"/>
    <s v="60647908"/>
    <s v="60647908"/>
    <m/>
    <m/>
    <n v="22789950"/>
    <m/>
    <m/>
    <m/>
    <s v="SOLFIN"/>
    <s v="SOLFIN"/>
    <s v="CCMS"/>
    <n v="21349684"/>
    <n v="6230.53"/>
    <m/>
    <s v="N"/>
    <n v="1"/>
    <d v="2023-07-10T19:01:55"/>
    <s v="Y"/>
    <s v="Interim Hearing Court Bundle/Advoca"/>
    <s v="Public Law Children"/>
    <s v="Advocacy"/>
    <s v="CHRIS PENDLE"/>
    <s v="Y"/>
    <n v="89.09999999999999"/>
    <n v="17.82"/>
    <x v="2"/>
    <s v="VALIDATED"/>
    <n v="1"/>
    <s v="01.11.80.308.6100.0000"/>
    <n v="89.09999999999999"/>
    <s v="11"/>
    <s v="6100"/>
    <n v="18755.88"/>
    <n v="89.09999999999999"/>
    <s v="CREDITOR"/>
    <n v="0"/>
    <n v="0"/>
    <n v="0"/>
    <n v="0"/>
    <n v="89.09999999999999"/>
  </r>
  <r>
    <n v="55706219"/>
    <s v="N"/>
    <n v="21327970"/>
    <s v="3000013169660002"/>
    <s v="CIVIL"/>
    <d v="2023-06-26T00:00:00"/>
    <d v="2023-07-04T19:00:44"/>
    <m/>
    <d v="2023-07-04T00:00:00"/>
    <n v="1259"/>
    <n v="18107"/>
    <s v="55706219"/>
    <s v="55706219"/>
    <m/>
    <m/>
    <n v="22763380"/>
    <m/>
    <m/>
    <m/>
    <s v="SOLFIN"/>
    <s v="SOLFIN"/>
    <s v="CCMS"/>
    <n v="21327970"/>
    <n v="2578.75"/>
    <m/>
    <s v="N"/>
    <n v="21"/>
    <d v="2023-07-04T19:01:00"/>
    <s v="Y"/>
    <s v="Preparation - other"/>
    <s v="Prescribed Hourly Rates"/>
    <s v="Profit Cost"/>
    <s v="SIMON JONES"/>
    <s v="Y"/>
    <n v="18.94"/>
    <n v="3.79"/>
    <x v="1"/>
    <s v="VALIDATED"/>
    <n v="1"/>
    <s v="01.11.80.305.6100.0000"/>
    <n v="18.94"/>
    <s v="11"/>
    <s v="6100"/>
    <n v="18755.88"/>
    <n v="18.94"/>
    <s v="CREDITOR"/>
    <n v="0"/>
    <n v="0"/>
    <n v="0"/>
    <n v="0"/>
    <n v="18.94"/>
  </r>
  <r>
    <n v="19827631"/>
    <s v="N"/>
    <n v="21349873"/>
    <s v="3000008338190024"/>
    <s v="CIVIL"/>
    <d v="2023-06-24T00:00:00"/>
    <d v="2023-07-10T19:01:40"/>
    <m/>
    <d v="2023-07-10T00:00:00"/>
    <n v="1259"/>
    <n v="18107"/>
    <s v="19827631"/>
    <s v="19827631"/>
    <m/>
    <m/>
    <n v="22756616"/>
    <m/>
    <m/>
    <m/>
    <s v="SOLFIN"/>
    <s v="SOLFIN"/>
    <s v="CCMS"/>
    <n v="21349873"/>
    <n v="26184.3"/>
    <m/>
    <s v="N"/>
    <n v="5"/>
    <d v="2023-07-10T19:02:01"/>
    <s v="Y"/>
    <s v="Toxicologist"/>
    <s v="Public Law Children"/>
    <s v="Expert Disbursement"/>
    <s v="SHARAN GILL"/>
    <s v="Y"/>
    <n v="102.5"/>
    <n v="20.5"/>
    <x v="2"/>
    <s v="VALIDATED"/>
    <n v="1"/>
    <s v="01.11.80.308.6300.0000"/>
    <n v="102.5"/>
    <s v="11"/>
    <s v="6300"/>
    <n v="18755.88"/>
    <n v="102.5"/>
    <s v="CREDITOR"/>
    <n v="0"/>
    <n v="0"/>
    <n v="0"/>
    <n v="0"/>
    <n v="102.5"/>
  </r>
  <r>
    <n v="55706219"/>
    <s v="N"/>
    <n v="21327970"/>
    <s v="3000013169660002"/>
    <s v="CIVIL"/>
    <d v="2023-06-26T00:00:00"/>
    <d v="2023-07-04T19:00:44"/>
    <m/>
    <d v="2023-07-04T00:00:00"/>
    <n v="1259"/>
    <n v="18107"/>
    <s v="55706219"/>
    <s v="55706219"/>
    <m/>
    <m/>
    <n v="22763380"/>
    <m/>
    <m/>
    <m/>
    <s v="SOLFIN"/>
    <s v="SOLFIN"/>
    <s v="CCMS"/>
    <n v="21327970"/>
    <n v="2578.75"/>
    <m/>
    <s v="N"/>
    <n v="3"/>
    <d v="2023-07-04T19:01:00"/>
    <s v="Y"/>
    <s v="Preparation - other"/>
    <s v="Prescribed Hourly Rates"/>
    <s v="Profit Cost"/>
    <s v="SIMON JONES"/>
    <s v="Y"/>
    <n v="18.94"/>
    <n v="3.79"/>
    <x v="1"/>
    <s v="VALIDATED"/>
    <n v="1"/>
    <s v="01.11.80.305.6100.0000"/>
    <n v="18.94"/>
    <s v="11"/>
    <s v="6100"/>
    <n v="18755.88"/>
    <n v="18.94"/>
    <s v="CREDITOR"/>
    <n v="0"/>
    <n v="0"/>
    <n v="0"/>
    <n v="0"/>
    <n v="18.94"/>
  </r>
  <r>
    <n v="19827631"/>
    <s v="N"/>
    <n v="21349873"/>
    <s v="3000008338190024"/>
    <s v="CIVIL"/>
    <d v="2023-06-24T00:00:00"/>
    <d v="2023-07-10T19:01:40"/>
    <m/>
    <d v="2023-07-10T00:00:00"/>
    <n v="1259"/>
    <n v="18107"/>
    <s v="19827631"/>
    <s v="19827631"/>
    <m/>
    <m/>
    <n v="22756616"/>
    <m/>
    <m/>
    <m/>
    <s v="SOLFIN"/>
    <s v="SOLFIN"/>
    <s v="CCMS"/>
    <n v="21349873"/>
    <n v="26184.3"/>
    <m/>
    <s v="N"/>
    <n v="19"/>
    <d v="2023-07-10T19:02:01"/>
    <s v="Y"/>
    <s v="Toxicologist"/>
    <s v="Public Law Children"/>
    <s v="Expert Disbursement"/>
    <s v="SHARAN GILL"/>
    <s v="Y"/>
    <n v="148.75"/>
    <n v="29.75"/>
    <x v="2"/>
    <s v="VALIDATED"/>
    <n v="1"/>
    <s v="01.11.80.308.6300.0000"/>
    <n v="148.75"/>
    <s v="11"/>
    <s v="6300"/>
    <n v="18755.88"/>
    <n v="148.75"/>
    <s v="CREDITOR"/>
    <n v="0"/>
    <n v="0"/>
    <n v="0"/>
    <n v="0"/>
    <n v="148.75"/>
  </r>
  <r>
    <n v="55706219"/>
    <s v="N"/>
    <n v="21327970"/>
    <s v="3000013169660002"/>
    <s v="CIVIL"/>
    <d v="2023-06-26T00:00:00"/>
    <d v="2023-07-04T19:00:44"/>
    <m/>
    <d v="2023-07-04T00:00:00"/>
    <n v="1259"/>
    <n v="18107"/>
    <s v="55706219"/>
    <s v="55706219"/>
    <m/>
    <m/>
    <n v="22763380"/>
    <m/>
    <m/>
    <m/>
    <s v="SOLFIN"/>
    <s v="SOLFIN"/>
    <s v="CCMS"/>
    <n v="21327970"/>
    <n v="2578.75"/>
    <m/>
    <s v="N"/>
    <n v="22"/>
    <d v="2023-07-04T19:01:00"/>
    <s v="Y"/>
    <s v="Preparation - other"/>
    <s v="Prescribed Hourly Rates"/>
    <s v="Profit Cost"/>
    <s v="SIMON JONES"/>
    <s v="Y"/>
    <n v="25.25"/>
    <n v="5.05"/>
    <x v="1"/>
    <s v="VALIDATED"/>
    <n v="1"/>
    <s v="01.11.80.305.6100.0000"/>
    <n v="25.25"/>
    <s v="11"/>
    <s v="6100"/>
    <n v="18755.88"/>
    <n v="25.25"/>
    <s v="CREDITOR"/>
    <n v="0"/>
    <n v="0"/>
    <n v="0"/>
    <n v="0"/>
    <n v="25.25"/>
  </r>
  <r>
    <n v="55706219"/>
    <s v="N"/>
    <n v="21327970"/>
    <s v="3000013169660002"/>
    <s v="CIVIL"/>
    <d v="2023-06-26T00:00:00"/>
    <d v="2023-07-04T19:00:44"/>
    <m/>
    <d v="2023-07-04T00:00:00"/>
    <n v="1259"/>
    <n v="18107"/>
    <s v="55706219"/>
    <s v="55706219"/>
    <m/>
    <m/>
    <n v="22763380"/>
    <m/>
    <m/>
    <m/>
    <s v="SOLFIN"/>
    <s v="SOLFIN"/>
    <s v="CCMS"/>
    <n v="21327970"/>
    <n v="2578.75"/>
    <m/>
    <s v="N"/>
    <n v="15"/>
    <d v="2023-07-04T19:01:00"/>
    <s v="Y"/>
    <s v="Attendance upon other side"/>
    <s v="Prescribed Hourly Rates"/>
    <s v="Profit Cost"/>
    <s v="SIMON JONES"/>
    <s v="Y"/>
    <n v="12.63"/>
    <n v="2.53"/>
    <x v="1"/>
    <s v="VALIDATED"/>
    <n v="1"/>
    <s v="01.11.80.305.6100.0000"/>
    <n v="12.63"/>
    <s v="11"/>
    <s v="6100"/>
    <n v="18755.88"/>
    <n v="12.63"/>
    <s v="CREDITOR"/>
    <n v="0"/>
    <n v="0"/>
    <n v="0"/>
    <n v="0"/>
    <n v="12.63"/>
  </r>
  <r>
    <n v="61073962"/>
    <s v="N"/>
    <n v="21349937"/>
    <s v="3000015270220007"/>
    <s v="CIVIL"/>
    <d v="2023-06-30T00:00:00"/>
    <d v="2023-07-10T19:01:40"/>
    <m/>
    <d v="2023-07-10T00:00:00"/>
    <n v="1259"/>
    <n v="18107"/>
    <s v="61073962"/>
    <s v="61073962"/>
    <m/>
    <m/>
    <n v="22795994"/>
    <m/>
    <m/>
    <m/>
    <s v="SOLINT"/>
    <s v="SOLINT"/>
    <s v="CCMS"/>
    <n v="21349937"/>
    <n v="3413.43"/>
    <m/>
    <s v="N"/>
    <n v="8"/>
    <d v="2023-07-10T19:02:04"/>
    <s v="Y"/>
    <s v="Hearing Unit 2.31 - 5.00 Hours"/>
    <s v="Public Law Children"/>
    <s v="Advocacy"/>
    <s v="SIMON JONES"/>
    <s v="Y"/>
    <n v="476.92"/>
    <n v="95.38"/>
    <x v="2"/>
    <s v="VALIDATED"/>
    <n v="1"/>
    <s v="01.11.80.308.6100.0000"/>
    <n v="476.92"/>
    <s v="11"/>
    <s v="6100"/>
    <n v="18755.88"/>
    <n v="476.92"/>
    <s v="CREDITOR"/>
    <n v="0"/>
    <n v="0"/>
    <n v="0"/>
    <n v="0"/>
    <n v="476.92"/>
  </r>
  <r>
    <n v="55706219"/>
    <s v="N"/>
    <n v="21327970"/>
    <s v="3000013169660002"/>
    <s v="CIVIL"/>
    <d v="2023-06-26T00:00:00"/>
    <d v="2023-07-04T19:00:44"/>
    <m/>
    <d v="2023-07-04T00:00:00"/>
    <n v="1259"/>
    <n v="18107"/>
    <s v="55706219"/>
    <s v="55706219"/>
    <m/>
    <m/>
    <n v="22763380"/>
    <m/>
    <m/>
    <m/>
    <s v="SOLFIN"/>
    <s v="SOLFIN"/>
    <s v="CCMS"/>
    <n v="21327970"/>
    <n v="2578.75"/>
    <m/>
    <s v="N"/>
    <n v="13"/>
    <d v="2023-07-04T19:01:00"/>
    <s v="Y"/>
    <s v="Preparation - drafting statement"/>
    <s v="Prescribed Hourly Rates"/>
    <s v="Profit Cost"/>
    <s v="SIMON JONES"/>
    <s v="Y"/>
    <n v="63.14"/>
    <n v="12.63"/>
    <x v="1"/>
    <s v="VALIDATED"/>
    <n v="1"/>
    <s v="01.11.80.305.6100.0000"/>
    <n v="63.14"/>
    <s v="11"/>
    <s v="6100"/>
    <n v="18755.88"/>
    <n v="63.14"/>
    <s v="CREDITOR"/>
    <n v="0"/>
    <n v="0"/>
    <n v="0"/>
    <n v="0"/>
    <n v="63.14"/>
  </r>
  <r>
    <n v="55706219"/>
    <s v="N"/>
    <n v="21327970"/>
    <s v="3000013169660002"/>
    <s v="CIVIL"/>
    <d v="2023-06-26T00:00:00"/>
    <d v="2023-07-04T19:00:44"/>
    <m/>
    <d v="2023-07-04T00:00:00"/>
    <n v="1259"/>
    <n v="18107"/>
    <s v="55706219"/>
    <s v="55706219"/>
    <m/>
    <m/>
    <n v="22763380"/>
    <m/>
    <m/>
    <m/>
    <s v="SOLFIN"/>
    <s v="SOLFIN"/>
    <s v="CCMS"/>
    <n v="21327970"/>
    <n v="2578.75"/>
    <m/>
    <s v="N"/>
    <n v="17"/>
    <d v="2023-07-04T19:01:00"/>
    <s v="Y"/>
    <s v="Preparation - other"/>
    <s v="Prescribed Hourly Rates"/>
    <s v="Profit Cost"/>
    <s v="SIMON JONES"/>
    <s v="Y"/>
    <n v="44.19"/>
    <n v="8.84"/>
    <x v="1"/>
    <s v="VALIDATED"/>
    <n v="1"/>
    <s v="01.11.80.305.6100.0000"/>
    <n v="44.19"/>
    <s v="11"/>
    <s v="6100"/>
    <n v="18755.88"/>
    <n v="44.19"/>
    <s v="CREDITOR"/>
    <n v="0"/>
    <n v="0"/>
    <n v="0"/>
    <n v="0"/>
    <n v="44.19"/>
  </r>
  <r>
    <n v="55706219"/>
    <s v="N"/>
    <n v="21327970"/>
    <s v="3000013169660002"/>
    <s v="CIVIL"/>
    <d v="2023-06-26T00:00:00"/>
    <d v="2023-07-04T19:00:44"/>
    <m/>
    <d v="2023-07-04T00:00:00"/>
    <n v="1259"/>
    <n v="18107"/>
    <s v="55706219"/>
    <s v="55706219"/>
    <m/>
    <m/>
    <n v="22763380"/>
    <m/>
    <m/>
    <m/>
    <s v="SOLFIN"/>
    <s v="SOLFIN"/>
    <s v="CCMS"/>
    <n v="21327970"/>
    <n v="2578.75"/>
    <m/>
    <s v="N"/>
    <n v="18"/>
    <d v="2023-07-04T19:01:00"/>
    <s v="Y"/>
    <s v="Preparation - drafting application"/>
    <s v="Prescribed Hourly Rates"/>
    <s v="Profit Cost"/>
    <s v="SIMON JONES"/>
    <s v="Y"/>
    <n v="18.94"/>
    <n v="3.79"/>
    <x v="1"/>
    <s v="VALIDATED"/>
    <n v="1"/>
    <s v="01.11.80.305.6100.0000"/>
    <n v="18.94"/>
    <s v="11"/>
    <s v="6100"/>
    <n v="18755.88"/>
    <n v="18.94"/>
    <s v="CREDITOR"/>
    <n v="0"/>
    <n v="0"/>
    <n v="0"/>
    <n v="0"/>
    <n v="18.94"/>
  </r>
  <r>
    <n v="61720693"/>
    <s v="N"/>
    <n v="21319603"/>
    <s v="3000015781930006"/>
    <s v="CIVIL"/>
    <d v="2023-06-27T00:00:00"/>
    <d v="2023-07-03T19:04:24"/>
    <m/>
    <d v="2023-07-03T00:00:00"/>
    <n v="1259"/>
    <n v="18107"/>
    <s v="61720693"/>
    <s v="61720693"/>
    <m/>
    <m/>
    <n v="22767840"/>
    <m/>
    <m/>
    <m/>
    <s v="SOLPOA"/>
    <s v="SOLPOA"/>
    <s v="CCMS"/>
    <n v="21319603"/>
    <n v="151.72"/>
    <m/>
    <s v="N"/>
    <n v="1"/>
    <d v="2023-07-03T19:04:26"/>
    <s v="N"/>
    <s v="Expert Cost"/>
    <s v="Expert Cost"/>
    <s v="Expert Disbursement"/>
    <s v="SKG/25036/2"/>
    <s v="N"/>
    <n v="126.43"/>
    <n v="25.29"/>
    <x v="3"/>
    <s v="VALIDATED"/>
    <n v="1"/>
    <s v="01.11.80.308.2012.0000"/>
    <n v="126.43"/>
    <s v="11"/>
    <s v="2012"/>
    <n v="18755.88"/>
    <n v="126.43"/>
    <s v="CREDITOR"/>
    <n v="126.43"/>
    <n v="0"/>
    <n v="0"/>
    <n v="0"/>
    <n v="0"/>
  </r>
  <r>
    <n v="19827631"/>
    <s v="N"/>
    <n v="21349873"/>
    <s v="3000008338190024"/>
    <s v="CIVIL"/>
    <d v="2023-06-24T00:00:00"/>
    <d v="2023-07-10T19:01:40"/>
    <m/>
    <d v="2023-07-10T00:00:00"/>
    <n v="1259"/>
    <n v="18107"/>
    <s v="19827631"/>
    <s v="19827631"/>
    <m/>
    <m/>
    <n v="22756616"/>
    <m/>
    <m/>
    <m/>
    <s v="SOLFIN"/>
    <s v="SOLFIN"/>
    <s v="CCMS"/>
    <n v="21349873"/>
    <n v="26184.3"/>
    <m/>
    <s v="N"/>
    <n v="30"/>
    <d v="2023-07-10T19:02:01"/>
    <s v="Y"/>
    <s v="Hearing Unit 5.01 - 7.30 Hours"/>
    <s v="Public Law Children"/>
    <s v="Advocacy"/>
    <s v="SHARAN GILL"/>
    <s v="Y"/>
    <n v="715.38"/>
    <n v="143.08"/>
    <x v="2"/>
    <s v="VALIDATED"/>
    <n v="1"/>
    <s v="01.11.80.308.6100.0000"/>
    <n v="715.38"/>
    <s v="11"/>
    <s v="6100"/>
    <n v="18755.88"/>
    <n v="715.38"/>
    <s v="CREDITOR"/>
    <n v="0"/>
    <n v="0"/>
    <n v="0"/>
    <n v="0"/>
    <n v="715.38"/>
  </r>
  <r>
    <n v="55706219"/>
    <s v="N"/>
    <n v="21327970"/>
    <s v="3000013169660002"/>
    <s v="CIVIL"/>
    <d v="2023-06-26T00:00:00"/>
    <d v="2023-07-04T19:00:44"/>
    <m/>
    <d v="2023-07-04T00:00:00"/>
    <n v="1259"/>
    <n v="18107"/>
    <s v="55706219"/>
    <s v="55706219"/>
    <m/>
    <m/>
    <n v="22763380"/>
    <m/>
    <m/>
    <m/>
    <s v="SOLFIN"/>
    <s v="SOLFIN"/>
    <s v="CCMS"/>
    <n v="21327970"/>
    <n v="2578.75"/>
    <m/>
    <s v="N"/>
    <n v="27"/>
    <d v="2023-07-04T19:01:00"/>
    <s v="Y"/>
    <s v="Hearing Unit 1.01 - 2.30 Hours"/>
    <s v="Other Public Law Children"/>
    <s v="Advocacy"/>
    <s v="SIMON JONES"/>
    <s v="Y"/>
    <n v="208.53"/>
    <n v="41.71"/>
    <x v="1"/>
    <s v="VALIDATED"/>
    <n v="1"/>
    <s v="01.11.80.305.6100.0000"/>
    <n v="208.53"/>
    <s v="11"/>
    <s v="6100"/>
    <n v="18755.88"/>
    <n v="208.53"/>
    <s v="CREDITOR"/>
    <n v="0"/>
    <n v="0"/>
    <n v="0"/>
    <n v="0"/>
    <n v="208.53"/>
  </r>
  <r>
    <n v="55706219"/>
    <s v="N"/>
    <n v="21327970"/>
    <s v="3000013169660002"/>
    <s v="CIVIL"/>
    <d v="2023-06-26T00:00:00"/>
    <d v="2023-07-04T19:00:44"/>
    <m/>
    <d v="2023-07-04T00:00:00"/>
    <n v="1259"/>
    <n v="18107"/>
    <s v="55706219"/>
    <s v="55706219"/>
    <m/>
    <m/>
    <n v="22763380"/>
    <m/>
    <m/>
    <m/>
    <s v="SOLFIN"/>
    <s v="SOLFIN"/>
    <s v="CCMS"/>
    <n v="21327970"/>
    <n v="2578.75"/>
    <m/>
    <s v="N"/>
    <n v="8"/>
    <d v="2023-07-04T19:01:00"/>
    <s v="Y"/>
    <s v="Preparation - other"/>
    <s v="Prescribed Hourly Rates"/>
    <s v="Profit Cost"/>
    <s v="SIMON JONES"/>
    <s v="Y"/>
    <n v="12.63"/>
    <n v="2.53"/>
    <x v="1"/>
    <s v="VALIDATED"/>
    <n v="1"/>
    <s v="01.11.80.305.6100.0000"/>
    <n v="12.63"/>
    <s v="11"/>
    <s v="6100"/>
    <n v="18755.88"/>
    <n v="12.63"/>
    <s v="CREDITOR"/>
    <n v="0"/>
    <n v="0"/>
    <n v="0"/>
    <n v="0"/>
    <n v="12.63"/>
  </r>
  <r>
    <n v="61256474"/>
    <s v="N"/>
    <n v="21338062"/>
    <s v="3000015422340006"/>
    <s v="CIVIL"/>
    <d v="2023-06-29T00:00:00"/>
    <d v="2023-07-06T19:21:01"/>
    <m/>
    <d v="2023-07-06T00:00:00"/>
    <n v="1259"/>
    <n v="18107"/>
    <s v="61256474"/>
    <s v="61256474"/>
    <m/>
    <m/>
    <n v="22790674"/>
    <m/>
    <m/>
    <m/>
    <s v="SOLPOA"/>
    <s v="SOLPOA"/>
    <s v="CCMS"/>
    <n v="21338062"/>
    <n v="777.6"/>
    <m/>
    <s v="N"/>
    <n v="1"/>
    <d v="2023-07-06T19:21:11"/>
    <s v="N"/>
    <s v="Expert Cost"/>
    <s v="Expert Cost"/>
    <s v="Expert Disbursement"/>
    <s v="Sarah Collett"/>
    <s v="N"/>
    <n v="648"/>
    <n v="129.6"/>
    <x v="4"/>
    <s v="VALIDATED"/>
    <n v="1"/>
    <s v="01.11.80.308.2012.0000"/>
    <n v="648"/>
    <s v="11"/>
    <s v="2012"/>
    <n v="18755.88"/>
    <n v="648"/>
    <s v="CREDITOR"/>
    <n v="648"/>
    <n v="0"/>
    <n v="0"/>
    <n v="0"/>
    <n v="0"/>
  </r>
  <r>
    <n v="55706219"/>
    <s v="N"/>
    <n v="21327970"/>
    <s v="3000013169660002"/>
    <s v="CIVIL"/>
    <d v="2023-06-26T00:00:00"/>
    <d v="2023-07-04T19:00:44"/>
    <m/>
    <d v="2023-07-04T00:00:00"/>
    <n v="1259"/>
    <n v="18107"/>
    <s v="55706219"/>
    <s v="55706219"/>
    <m/>
    <m/>
    <n v="22763380"/>
    <m/>
    <m/>
    <m/>
    <s v="SOLFIN"/>
    <s v="SOLFIN"/>
    <s v="CCMS"/>
    <n v="21327970"/>
    <n v="2578.75"/>
    <m/>
    <s v="N"/>
    <n v="6"/>
    <d v="2023-07-04T19:01:00"/>
    <s v="Y"/>
    <s v="Preparation - other"/>
    <s v="Prescribed Hourly Rates"/>
    <s v="Profit Cost"/>
    <s v="SIMON JONES"/>
    <s v="Y"/>
    <n v="31.57"/>
    <n v="6.31"/>
    <x v="1"/>
    <s v="VALIDATED"/>
    <n v="1"/>
    <s v="01.11.80.305.6100.0000"/>
    <n v="31.57"/>
    <s v="11"/>
    <s v="6100"/>
    <n v="18755.88"/>
    <n v="31.57"/>
    <s v="CREDITOR"/>
    <n v="0"/>
    <n v="0"/>
    <n v="0"/>
    <n v="0"/>
    <n v="31.57"/>
  </r>
  <r>
    <n v="19827631"/>
    <s v="N"/>
    <n v="21349873"/>
    <s v="3000008338190024"/>
    <s v="CIVIL"/>
    <d v="2023-06-24T00:00:00"/>
    <d v="2023-07-10T19:01:40"/>
    <m/>
    <d v="2023-07-10T00:00:00"/>
    <n v="1259"/>
    <n v="18107"/>
    <s v="19827631"/>
    <s v="19827631"/>
    <m/>
    <m/>
    <n v="22756616"/>
    <m/>
    <m/>
    <m/>
    <s v="SOLFIN"/>
    <s v="SOLFIN"/>
    <s v="CCMS"/>
    <n v="21349873"/>
    <n v="26184.3"/>
    <m/>
    <s v="N"/>
    <n v="26"/>
    <d v="2023-07-10T19:02:01"/>
    <s v="Y"/>
    <s v="Advocates Meeting"/>
    <s v="Public Law Children"/>
    <s v="Advocacy"/>
    <s v="SHARAN GILL"/>
    <s v="Y"/>
    <n v="140.99"/>
    <n v="28.2"/>
    <x v="2"/>
    <s v="VALIDATED"/>
    <n v="1"/>
    <s v="01.11.80.308.6100.0000"/>
    <n v="140.99"/>
    <s v="11"/>
    <s v="6100"/>
    <n v="18755.88"/>
    <n v="140.99"/>
    <s v="CREDITOR"/>
    <n v="0"/>
    <n v="0"/>
    <n v="0"/>
    <n v="0"/>
    <n v="140.99"/>
  </r>
  <r>
    <n v="61073962"/>
    <s v="N"/>
    <n v="21349937"/>
    <s v="3000015270220007"/>
    <s v="CIVIL"/>
    <d v="2023-06-30T00:00:00"/>
    <d v="2023-07-10T19:01:40"/>
    <m/>
    <d v="2023-07-10T00:00:00"/>
    <n v="1259"/>
    <n v="18107"/>
    <s v="61073962"/>
    <s v="61073962"/>
    <m/>
    <m/>
    <n v="22795994"/>
    <m/>
    <m/>
    <m/>
    <s v="SOLINT"/>
    <s v="SOLINT"/>
    <s v="CCMS"/>
    <n v="21349937"/>
    <n v="3413.43"/>
    <m/>
    <s v="N"/>
    <n v="9"/>
    <d v="2023-07-10T19:02:04"/>
    <s v="Y"/>
    <s v="Solicitors Fixed Fee"/>
    <s v="Public Law Children"/>
    <s v="Profit Cost"/>
    <s v="SIMON JONES"/>
    <s v="Y"/>
    <n v="877"/>
    <n v="175.4"/>
    <x v="2"/>
    <s v="VALIDATED"/>
    <n v="1"/>
    <s v="01.11.80.308.6100.0000"/>
    <n v="877"/>
    <s v="11"/>
    <s v="6100"/>
    <n v="18755.88"/>
    <n v="877"/>
    <s v="CREDITOR"/>
    <n v="0"/>
    <n v="0"/>
    <n v="0"/>
    <n v="0"/>
    <n v="877"/>
  </r>
  <r>
    <n v="19827631"/>
    <s v="N"/>
    <n v="21349873"/>
    <s v="3000008338190024"/>
    <s v="CIVIL"/>
    <d v="2023-06-24T00:00:00"/>
    <d v="2023-07-10T19:01:40"/>
    <m/>
    <d v="2023-07-10T00:00:00"/>
    <n v="1259"/>
    <n v="18107"/>
    <s v="19827631"/>
    <s v="19827631"/>
    <m/>
    <m/>
    <n v="22756616"/>
    <m/>
    <m/>
    <m/>
    <s v="SOLFIN"/>
    <s v="SOLFIN"/>
    <s v="CCMS"/>
    <n v="21349873"/>
    <n v="26184.3"/>
    <m/>
    <s v="N"/>
    <n v="34"/>
    <d v="2023-07-10T19:02:01"/>
    <s v="Y"/>
    <s v="Advocates Meeting"/>
    <s v="Public Law Children"/>
    <s v="Advocacy"/>
    <s v="SHARAN GILL"/>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35"/>
    <d v="2023-07-10T19:02:01"/>
    <s v="Y"/>
    <s v="Hearing Unit 2.31 - 5.00 Hours"/>
    <s v="Public Law Children"/>
    <s v="Advocacy"/>
    <s v="SHARAN GILL"/>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17"/>
    <d v="2023-07-10T19:02:01"/>
    <s v="Y"/>
    <s v="Toxicologist"/>
    <s v="Public Law Children"/>
    <s v="Expert Disbursement"/>
    <s v="SHARAN GILL"/>
    <s v="Y"/>
    <n v="161"/>
    <n v="32.2"/>
    <x v="2"/>
    <s v="VALIDATED"/>
    <n v="1"/>
    <s v="01.11.80.308.6300.0000"/>
    <n v="161"/>
    <s v="11"/>
    <s v="6300"/>
    <n v="18755.88"/>
    <n v="161"/>
    <s v="CREDITOR"/>
    <n v="0"/>
    <n v="0"/>
    <n v="0"/>
    <n v="0"/>
    <n v="161"/>
  </r>
  <r>
    <n v="55706219"/>
    <s v="N"/>
    <n v="21327970"/>
    <s v="3000013169660002"/>
    <s v="CIVIL"/>
    <d v="2023-06-26T00:00:00"/>
    <d v="2023-07-04T19:00:44"/>
    <m/>
    <d v="2023-07-04T00:00:00"/>
    <n v="1259"/>
    <n v="18107"/>
    <s v="55706219"/>
    <s v="55706219"/>
    <m/>
    <m/>
    <n v="22763380"/>
    <m/>
    <m/>
    <m/>
    <s v="SOLFIN"/>
    <s v="SOLFIN"/>
    <s v="CCMS"/>
    <n v="21327970"/>
    <n v="2578.75"/>
    <m/>
    <s v="N"/>
    <n v="1"/>
    <d v="2023-07-04T19:01:00"/>
    <s v="Y"/>
    <s v="Preparation - drafting attendance n"/>
    <s v="Prescribed Hourly Rates"/>
    <s v="Profit Cost"/>
    <s v="SIMON JONES"/>
    <s v="Y"/>
    <n v="18.94"/>
    <n v="3.79"/>
    <x v="1"/>
    <s v="VALIDATED"/>
    <n v="1"/>
    <s v="01.11.80.305.6100.0000"/>
    <n v="18.94"/>
    <s v="11"/>
    <s v="6100"/>
    <n v="18755.88"/>
    <n v="18.94"/>
    <s v="CREDITOR"/>
    <n v="0"/>
    <n v="0"/>
    <n v="0"/>
    <n v="0"/>
    <n v="18.94"/>
  </r>
  <r>
    <n v="60647908"/>
    <s v="N"/>
    <n v="21349684"/>
    <s v="3000014902640003"/>
    <s v="CIVIL"/>
    <d v="2023-06-29T00:00:00"/>
    <d v="2023-07-10T19:01:40"/>
    <m/>
    <d v="2023-07-10T00:00:00"/>
    <n v="1259"/>
    <n v="18107"/>
    <s v="60647908"/>
    <s v="60647908"/>
    <m/>
    <m/>
    <n v="22789950"/>
    <m/>
    <m/>
    <m/>
    <s v="SOLFIN"/>
    <s v="SOLFIN"/>
    <s v="CCMS"/>
    <n v="21349684"/>
    <n v="6230.53"/>
    <m/>
    <s v="N"/>
    <n v="12"/>
    <d v="2023-07-10T19:01:55"/>
    <s v="Y"/>
    <s v="Solicitors Fixed Fee"/>
    <s v="Public Law Children"/>
    <s v="Profit Cost"/>
    <s v="CHRIS PENDLE"/>
    <s v="Y"/>
    <n v="2300"/>
    <n v="460"/>
    <x v="2"/>
    <s v="VALIDATED"/>
    <n v="1"/>
    <s v="01.11.80.308.6100.0000"/>
    <n v="2300"/>
    <s v="11"/>
    <s v="6100"/>
    <n v="18755.88"/>
    <n v="2300"/>
    <s v="CREDITOR"/>
    <n v="0"/>
    <n v="0"/>
    <n v="0"/>
    <n v="0"/>
    <n v="2300"/>
  </r>
  <r>
    <n v="19827631"/>
    <s v="N"/>
    <n v="21349873"/>
    <s v="3000008338190024"/>
    <s v="CIVIL"/>
    <d v="2023-06-24T00:00:00"/>
    <d v="2023-07-10T19:01:40"/>
    <m/>
    <d v="2023-07-10T00:00:00"/>
    <n v="1259"/>
    <n v="18107"/>
    <s v="19827631"/>
    <s v="19827631"/>
    <m/>
    <m/>
    <n v="22756616"/>
    <m/>
    <m/>
    <m/>
    <s v="SOLFIN"/>
    <s v="SOLFIN"/>
    <s v="CCMS"/>
    <n v="21349873"/>
    <n v="26184.3"/>
    <m/>
    <s v="N"/>
    <n v="31"/>
    <d v="2023-07-10T19:02:01"/>
    <s v="Y"/>
    <s v="Advocates Meeting"/>
    <s v="Public Law Children"/>
    <s v="Advocacy"/>
    <s v="SHARAN GILL"/>
    <s v="Y"/>
    <n v="140.99"/>
    <n v="28.2"/>
    <x v="2"/>
    <s v="VALIDATED"/>
    <n v="1"/>
    <s v="01.11.80.308.6100.0000"/>
    <n v="140.99"/>
    <s v="11"/>
    <s v="6100"/>
    <n v="18755.88"/>
    <n v="140.99"/>
    <s v="CREDITOR"/>
    <n v="0"/>
    <n v="0"/>
    <n v="0"/>
    <n v="0"/>
    <n v="140.99"/>
  </r>
  <r>
    <n v="60647908"/>
    <s v="N"/>
    <n v="21349684"/>
    <s v="3000014902640003"/>
    <s v="CIVIL"/>
    <d v="2023-06-29T00:00:00"/>
    <d v="2023-07-10T19:01:40"/>
    <m/>
    <d v="2023-07-10T00:00:00"/>
    <n v="1259"/>
    <n v="18107"/>
    <s v="60647908"/>
    <s v="60647908"/>
    <m/>
    <m/>
    <n v="22789950"/>
    <m/>
    <m/>
    <m/>
    <s v="SOLFIN"/>
    <s v="SOLFIN"/>
    <s v="CCMS"/>
    <n v="21349684"/>
    <n v="6230.53"/>
    <m/>
    <s v="N"/>
    <n v="2"/>
    <d v="2023-07-10T19:01:55"/>
    <s v="Y"/>
    <s v="Interim Hearing Court Bundle/Advoca"/>
    <s v="Public Law Children"/>
    <s v="Advocacy"/>
    <s v="CHRIS PENDLE"/>
    <s v="Y"/>
    <n v="59.4"/>
    <n v="11.88"/>
    <x v="2"/>
    <s v="VALIDATED"/>
    <n v="1"/>
    <s v="01.11.80.308.6100.0000"/>
    <n v="59.4"/>
    <s v="11"/>
    <s v="6100"/>
    <n v="18755.88"/>
    <n v="59.4"/>
    <s v="CREDITOR"/>
    <n v="0"/>
    <n v="0"/>
    <n v="0"/>
    <n v="0"/>
    <n v="59.4"/>
  </r>
  <r>
    <n v="19827631"/>
    <s v="N"/>
    <n v="21349873"/>
    <s v="3000008338190024"/>
    <s v="CIVIL"/>
    <d v="2023-06-24T00:00:00"/>
    <d v="2023-07-10T19:01:40"/>
    <m/>
    <d v="2023-07-10T00:00:00"/>
    <n v="1259"/>
    <n v="18107"/>
    <s v="19827631"/>
    <s v="19827631"/>
    <m/>
    <m/>
    <n v="22756616"/>
    <m/>
    <m/>
    <m/>
    <s v="SOLFIN"/>
    <s v="SOLFIN"/>
    <s v="CCMS"/>
    <n v="21349873"/>
    <n v="26184.3"/>
    <m/>
    <s v="N"/>
    <n v="32"/>
    <d v="2023-07-10T19:02:01"/>
    <s v="Y"/>
    <s v="Advocates Meeting"/>
    <s v="Public Law Children"/>
    <s v="Advocacy"/>
    <s v="SHARAN GILL"/>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16"/>
    <d v="2023-07-10T19:02:01"/>
    <s v="Y"/>
    <s v="Toxicologist"/>
    <s v="Public Law Children"/>
    <s v="Expert Disbursement"/>
    <s v="SHARAN GILL"/>
    <s v="Y"/>
    <n v="210"/>
    <n v="42"/>
    <x v="2"/>
    <s v="VALIDATED"/>
    <n v="1"/>
    <s v="01.11.80.308.6300.0000"/>
    <n v="210"/>
    <s v="11"/>
    <s v="6300"/>
    <n v="18755.88"/>
    <n v="210"/>
    <s v="CREDITOR"/>
    <n v="0"/>
    <n v="0"/>
    <n v="0"/>
    <n v="0"/>
    <n v="210"/>
  </r>
  <r>
    <n v="19827631"/>
    <s v="N"/>
    <n v="21349873"/>
    <s v="3000008338190024"/>
    <s v="CIVIL"/>
    <d v="2023-06-24T00:00:00"/>
    <d v="2023-07-10T19:01:40"/>
    <m/>
    <d v="2023-07-10T00:00:00"/>
    <n v="1259"/>
    <n v="18107"/>
    <s v="19827631"/>
    <s v="19827631"/>
    <m/>
    <m/>
    <n v="22756616"/>
    <m/>
    <m/>
    <m/>
    <s v="SOLFIN"/>
    <s v="SOLFIN"/>
    <s v="CCMS"/>
    <n v="21349873"/>
    <n v="26184.3"/>
    <m/>
    <s v="N"/>
    <n v="25"/>
    <d v="2023-07-10T19:02:01"/>
    <s v="Y"/>
    <s v="Advocates Meeting"/>
    <s v="Public Law Children"/>
    <s v="Advocacy"/>
    <s v="SHARAN GILL"/>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33"/>
    <d v="2023-07-10T19:02:01"/>
    <s v="Y"/>
    <s v="Hearing Unit 2.31 - 5.00 Hours"/>
    <s v="Public Law Children"/>
    <s v="Advocacy"/>
    <s v="SHARAN GILL"/>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11"/>
    <d v="2023-07-10T19:02:01"/>
    <s v="Y"/>
    <s v="Profit Costs (Summary)"/>
    <s v="Public Law Children"/>
    <s v="Profit Cost"/>
    <s v="SHARAN GILL"/>
    <s v="Y"/>
    <n v="8579.01"/>
    <n v="1715.8"/>
    <x v="2"/>
    <s v="VALIDATED"/>
    <n v="1"/>
    <s v="01.11.80.308.6100.0000"/>
    <n v="8579.01"/>
    <s v="11"/>
    <s v="6100"/>
    <n v="18755.88"/>
    <n v="8579.01"/>
    <s v="CREDITOR"/>
    <n v="0"/>
    <n v="0"/>
    <n v="0"/>
    <n v="0"/>
    <n v="8579.01"/>
  </r>
  <r>
    <n v="19827631"/>
    <s v="N"/>
    <n v="21349873"/>
    <s v="3000008338190024"/>
    <s v="CIVIL"/>
    <d v="2023-06-24T00:00:00"/>
    <d v="2023-07-10T19:01:40"/>
    <m/>
    <d v="2023-07-10T00:00:00"/>
    <n v="1259"/>
    <n v="18107"/>
    <s v="19827631"/>
    <s v="19827631"/>
    <m/>
    <m/>
    <n v="22756616"/>
    <m/>
    <m/>
    <m/>
    <s v="SOLFIN"/>
    <s v="SOLFIN"/>
    <s v="CCMS"/>
    <n v="21349873"/>
    <n v="26184.3"/>
    <m/>
    <s v="N"/>
    <n v="20"/>
    <d v="2023-07-10T19:02:01"/>
    <s v="Y"/>
    <s v="Toxicologist"/>
    <s v="Public Law Children"/>
    <s v="Expert Disbursement"/>
    <s v="SHARAN GILL"/>
    <s v="Y"/>
    <n v="191"/>
    <n v="38.2"/>
    <x v="2"/>
    <s v="VALIDATED"/>
    <n v="1"/>
    <s v="01.11.80.308.6300.0000"/>
    <n v="191"/>
    <s v="11"/>
    <s v="6300"/>
    <n v="18755.88"/>
    <n v="191"/>
    <s v="CREDITOR"/>
    <n v="0"/>
    <n v="0"/>
    <n v="0"/>
    <n v="0"/>
    <n v="191"/>
  </r>
  <r>
    <n v="55706219"/>
    <s v="N"/>
    <n v="21327970"/>
    <s v="3000013169660002"/>
    <s v="CIVIL"/>
    <d v="2023-06-26T00:00:00"/>
    <d v="2023-07-04T19:00:44"/>
    <m/>
    <d v="2023-07-04T00:00:00"/>
    <n v="1259"/>
    <n v="18107"/>
    <s v="55706219"/>
    <s v="55706219"/>
    <m/>
    <m/>
    <n v="22763380"/>
    <m/>
    <m/>
    <m/>
    <s v="SOLFIN"/>
    <s v="SOLFIN"/>
    <s v="CCMS"/>
    <n v="21327970"/>
    <n v="2578.75"/>
    <m/>
    <s v="N"/>
    <n v="2"/>
    <d v="2023-07-04T19:01:00"/>
    <s v="Y"/>
    <s v="Preparation - other"/>
    <s v="Prescribed Hourly Rates"/>
    <s v="Profit Cost"/>
    <s v="SIMON JONES"/>
    <s v="Y"/>
    <n v="37.88"/>
    <n v="7.58"/>
    <x v="1"/>
    <s v="VALIDATED"/>
    <n v="1"/>
    <s v="01.11.80.305.6100.0000"/>
    <n v="37.88"/>
    <s v="11"/>
    <s v="6100"/>
    <n v="18755.88"/>
    <n v="37.88"/>
    <s v="CREDITOR"/>
    <n v="0"/>
    <n v="0"/>
    <n v="0"/>
    <n v="0"/>
    <n v="37.88"/>
  </r>
  <r>
    <n v="19827631"/>
    <s v="N"/>
    <n v="21349873"/>
    <s v="3000008338190024"/>
    <s v="CIVIL"/>
    <d v="2023-06-24T00:00:00"/>
    <d v="2023-07-10T19:01:40"/>
    <m/>
    <d v="2023-07-10T00:00:00"/>
    <n v="1259"/>
    <n v="18107"/>
    <s v="19827631"/>
    <s v="19827631"/>
    <m/>
    <m/>
    <n v="22756616"/>
    <m/>
    <m/>
    <m/>
    <s v="SOLFIN"/>
    <s v="SOLFIN"/>
    <s v="CCMS"/>
    <n v="21349873"/>
    <n v="26184.3"/>
    <m/>
    <s v="N"/>
    <n v="1"/>
    <d v="2023-07-10T19:02:01"/>
    <s v="Y"/>
    <s v="Interim Hearing Court Bundle/Advoca"/>
    <s v="Public Law Children"/>
    <s v="Advocacy"/>
    <s v="SHARAN GILL"/>
    <s v="Y"/>
    <n v="89.09999999999999"/>
    <n v="17.82"/>
    <x v="2"/>
    <s v="VALIDATED"/>
    <n v="1"/>
    <s v="01.11.80.308.6100.0000"/>
    <n v="89.09999999999999"/>
    <s v="11"/>
    <s v="6100"/>
    <n v="18755.88"/>
    <n v="89.09999999999999"/>
    <s v="CREDITOR"/>
    <n v="0"/>
    <n v="0"/>
    <n v="0"/>
    <n v="0"/>
    <n v="89.09999999999999"/>
  </r>
  <r>
    <n v="19827631"/>
    <s v="N"/>
    <n v="21349873"/>
    <s v="3000008338190024"/>
    <s v="CIVIL"/>
    <d v="2023-06-24T00:00:00"/>
    <d v="2023-07-10T19:01:40"/>
    <m/>
    <d v="2023-07-10T00:00:00"/>
    <n v="1259"/>
    <n v="18107"/>
    <s v="19827631"/>
    <s v="19827631"/>
    <m/>
    <m/>
    <n v="22756616"/>
    <m/>
    <m/>
    <m/>
    <s v="SOLFIN"/>
    <s v="SOLFIN"/>
    <s v="CCMS"/>
    <n v="21349873"/>
    <n v="26184.3"/>
    <m/>
    <s v="N"/>
    <n v="27"/>
    <d v="2023-07-10T19:02:01"/>
    <s v="Y"/>
    <s v="Hearing Unit 7.31 - 10.00 Hours"/>
    <s v="Public Law Children"/>
    <s v="Advocacy"/>
    <s v="SHARAN GILL"/>
    <s v="Y"/>
    <n v="953.84"/>
    <n v="190.77"/>
    <x v="2"/>
    <s v="VALIDATED"/>
    <n v="1"/>
    <s v="01.11.80.308.6100.0000"/>
    <n v="953.84"/>
    <s v="11"/>
    <s v="6100"/>
    <n v="18755.88"/>
    <n v="953.84"/>
    <s v="CREDITOR"/>
    <n v="0"/>
    <n v="0"/>
    <n v="0"/>
    <n v="0"/>
    <n v="953.84"/>
  </r>
  <r>
    <n v="61073962"/>
    <s v="N"/>
    <n v="21349937"/>
    <s v="3000015270220007"/>
    <s v="CIVIL"/>
    <d v="2023-06-30T00:00:00"/>
    <d v="2023-07-10T19:01:40"/>
    <m/>
    <d v="2023-07-10T00:00:00"/>
    <n v="1259"/>
    <n v="18107"/>
    <s v="61073962"/>
    <s v="61073962"/>
    <m/>
    <m/>
    <n v="22795994"/>
    <m/>
    <m/>
    <m/>
    <s v="SOLINT"/>
    <s v="SOLINT"/>
    <s v="CCMS"/>
    <n v="21349937"/>
    <n v="3413.43"/>
    <m/>
    <s v="N"/>
    <n v="1"/>
    <d v="2023-07-10T19:02:04"/>
    <s v="Y"/>
    <s v="Interim Hearing Court Bundle/Advoca"/>
    <s v="Public Law Children"/>
    <s v="Advocacy"/>
    <s v="KATE PENDLE"/>
    <s v="Y"/>
    <n v="59.4"/>
    <n v="11.88"/>
    <x v="2"/>
    <s v="VALIDATED"/>
    <n v="1"/>
    <s v="01.11.80.308.6100.0000"/>
    <n v="59.4"/>
    <s v="11"/>
    <s v="6100"/>
    <n v="18755.88"/>
    <n v="59.4"/>
    <s v="CREDITOR"/>
    <n v="0"/>
    <n v="0"/>
    <n v="0"/>
    <n v="0"/>
    <n v="59.4"/>
  </r>
  <r>
    <n v="19827631"/>
    <s v="N"/>
    <n v="21349873"/>
    <s v="3000008338190024"/>
    <s v="CIVIL"/>
    <d v="2023-06-24T00:00:00"/>
    <d v="2023-07-10T19:01:40"/>
    <m/>
    <d v="2023-07-10T00:00:00"/>
    <n v="1259"/>
    <n v="18107"/>
    <s v="19827631"/>
    <s v="19827631"/>
    <m/>
    <m/>
    <n v="22756616"/>
    <m/>
    <m/>
    <m/>
    <s v="SOLFIN"/>
    <s v="SOLFIN"/>
    <s v="CCMS"/>
    <n v="21349873"/>
    <n v="26184.3"/>
    <m/>
    <s v="N"/>
    <n v="2"/>
    <d v="2023-07-10T19:02:01"/>
    <s v="Y"/>
    <s v="Interim Hearing Court Bundle/Advoca"/>
    <s v="Public Law Children"/>
    <s v="Advocacy"/>
    <s v="SHARAN GILL"/>
    <s v="Y"/>
    <n v="89.09999999999999"/>
    <n v="17.82"/>
    <x v="2"/>
    <s v="VALIDATED"/>
    <n v="1"/>
    <s v="01.11.80.308.6100.0000"/>
    <n v="89.09999999999999"/>
    <s v="11"/>
    <s v="6100"/>
    <n v="18755.88"/>
    <n v="89.09999999999999"/>
    <s v="CREDITOR"/>
    <n v="0"/>
    <n v="0"/>
    <n v="0"/>
    <n v="0"/>
    <n v="89.09999999999999"/>
  </r>
  <r>
    <n v="19827631"/>
    <s v="N"/>
    <n v="21349873"/>
    <s v="3000008338190024"/>
    <s v="CIVIL"/>
    <d v="2023-06-24T00:00:00"/>
    <d v="2023-07-10T19:01:40"/>
    <m/>
    <d v="2023-07-10T00:00:00"/>
    <n v="1259"/>
    <n v="18107"/>
    <s v="19827631"/>
    <s v="19827631"/>
    <m/>
    <m/>
    <n v="22756616"/>
    <m/>
    <m/>
    <m/>
    <s v="SOLFIN"/>
    <s v="SOLFIN"/>
    <s v="CCMS"/>
    <n v="21349873"/>
    <n v="26184.3"/>
    <m/>
    <s v="N"/>
    <n v="21"/>
    <d v="2023-07-10T19:02:01"/>
    <s v="Y"/>
    <s v="Toxicologist"/>
    <s v="Public Law Children"/>
    <s v="Expert Disbursement"/>
    <s v="SHARAN GILL"/>
    <s v="Y"/>
    <n v="176"/>
    <n v="35.2"/>
    <x v="2"/>
    <s v="VALIDATED"/>
    <n v="1"/>
    <s v="01.11.80.308.6300.0000"/>
    <n v="176"/>
    <s v="11"/>
    <s v="6300"/>
    <n v="18755.88"/>
    <n v="176"/>
    <s v="CREDITOR"/>
    <n v="0"/>
    <n v="0"/>
    <n v="0"/>
    <n v="0"/>
    <n v="176"/>
  </r>
  <r>
    <n v="61073962"/>
    <s v="N"/>
    <n v="21349937"/>
    <s v="3000015270220007"/>
    <s v="CIVIL"/>
    <d v="2023-06-30T00:00:00"/>
    <d v="2023-07-10T19:01:40"/>
    <m/>
    <d v="2023-07-10T00:00:00"/>
    <n v="1259"/>
    <n v="18107"/>
    <s v="61073962"/>
    <s v="61073962"/>
    <m/>
    <m/>
    <n v="22795994"/>
    <m/>
    <m/>
    <m/>
    <s v="SOLINT"/>
    <s v="SOLINT"/>
    <s v="CCMS"/>
    <n v="21349937"/>
    <n v="3413.43"/>
    <m/>
    <s v="N"/>
    <n v="7"/>
    <d v="2023-07-10T19:02:04"/>
    <s v="Y"/>
    <s v="Hearing Unit 2.31 - 5.00 Hours"/>
    <s v="Public Law Children"/>
    <s v="Advocacy"/>
    <s v="KATE PENDLE"/>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29"/>
    <d v="2023-07-10T19:02:01"/>
    <s v="Y"/>
    <s v="Hearing Unit 2.31 - 5.00 Hours"/>
    <s v="Public Law Children"/>
    <s v="Advocacy"/>
    <s v="SHARAN GILL"/>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37"/>
    <d v="2023-07-10T19:02:01"/>
    <s v="Y"/>
    <s v="Hearing Unit 2.31 - 5.00 Hours"/>
    <s v="Public Law Children"/>
    <s v="Advocacy"/>
    <s v="SHARAN GILL"/>
    <s v="Y"/>
    <n v="476.92"/>
    <n v="95.38"/>
    <x v="2"/>
    <s v="VALIDATED"/>
    <n v="1"/>
    <s v="01.11.80.308.6100.0000"/>
    <n v="476.92"/>
    <s v="11"/>
    <s v="6100"/>
    <n v="18755.88"/>
    <n v="476.92"/>
    <s v="CREDITOR"/>
    <n v="0"/>
    <n v="0"/>
    <n v="0"/>
    <n v="0"/>
    <n v="476.92"/>
  </r>
  <r>
    <n v="19827631"/>
    <s v="N"/>
    <n v="21349873"/>
    <s v="3000008338190024"/>
    <s v="CIVIL"/>
    <d v="2023-06-24T00:00:00"/>
    <d v="2023-07-10T19:01:40"/>
    <m/>
    <d v="2023-07-10T00:00:00"/>
    <n v="1259"/>
    <n v="18107"/>
    <s v="19827631"/>
    <s v="19827631"/>
    <m/>
    <m/>
    <n v="22756616"/>
    <m/>
    <m/>
    <m/>
    <s v="SOLFIN"/>
    <s v="SOLFIN"/>
    <s v="CCMS"/>
    <n v="21349873"/>
    <n v="26184.3"/>
    <m/>
    <s v="N"/>
    <n v="22"/>
    <d v="2023-07-10T19:02:01"/>
    <s v="Y"/>
    <s v="Toxicologist"/>
    <s v="Public Law Children"/>
    <s v="Expert Disbursement"/>
    <s v="SHARAN GILL"/>
    <s v="Y"/>
    <n v="176"/>
    <n v="35.2"/>
    <x v="2"/>
    <s v="VALIDATED"/>
    <n v="1"/>
    <s v="01.11.80.308.6300.0000"/>
    <n v="176"/>
    <s v="11"/>
    <s v="6300"/>
    <n v="18755.88"/>
    <n v="176"/>
    <s v="CREDITOR"/>
    <n v="0"/>
    <n v="0"/>
    <n v="0"/>
    <n v="0"/>
    <n v="176"/>
  </r>
  <r>
    <n v="61523279"/>
    <s v="N"/>
    <n v="21321472"/>
    <s v="3000015643440006"/>
    <s v="CIVIL"/>
    <d v="2023-06-29T00:00:00"/>
    <d v="2023-07-03T19:05:17"/>
    <m/>
    <d v="2023-07-03T00:00:00"/>
    <n v="1259"/>
    <n v="18107"/>
    <s v="61523279"/>
    <s v="61523279"/>
    <m/>
    <m/>
    <n v="22787230"/>
    <m/>
    <m/>
    <m/>
    <s v="SOLPOA"/>
    <s v="SOLPOA"/>
    <s v="CCMS"/>
    <n v="21321472"/>
    <n v="311.52"/>
    <m/>
    <s v="N"/>
    <n v="1"/>
    <d v="2023-07-03T19:05:19"/>
    <s v="N"/>
    <s v="Expert Cost"/>
    <s v="Expert Cost"/>
    <s v="Expert Disbursement"/>
    <s v="Sarah Collett"/>
    <s v="N"/>
    <n v="259.6"/>
    <n v="51.92"/>
    <x v="3"/>
    <s v="VALIDATED"/>
    <n v="1"/>
    <s v="01.11.80.308.2012.0000"/>
    <n v="259.6"/>
    <s v="11"/>
    <s v="2012"/>
    <n v="18755.88"/>
    <n v="259.6"/>
    <s v="CREDITOR"/>
    <n v="259.6"/>
    <n v="0"/>
    <n v="0"/>
    <n v="0"/>
    <n v="0"/>
  </r>
  <r>
    <n v="60647908"/>
    <s v="N"/>
    <n v="21349684"/>
    <s v="3000014902640003"/>
    <s v="CIVIL"/>
    <d v="2023-06-29T00:00:00"/>
    <d v="2023-07-10T19:01:40"/>
    <m/>
    <d v="2023-07-10T00:00:00"/>
    <n v="1259"/>
    <n v="18107"/>
    <s v="60647908"/>
    <s v="60647908"/>
    <m/>
    <m/>
    <n v="22789950"/>
    <m/>
    <m/>
    <m/>
    <s v="SOLFIN"/>
    <s v="SOLFIN"/>
    <s v="CCMS"/>
    <n v="21349684"/>
    <n v="6230.53"/>
    <m/>
    <s v="N"/>
    <n v="5"/>
    <d v="2023-07-10T19:01:55"/>
    <s v="Y"/>
    <s v="Advocates Meeting"/>
    <s v="Public Law Children"/>
    <s v="Advocacy"/>
    <s v="KATE PENDLE"/>
    <s v="Y"/>
    <n v="140.99"/>
    <n v="28.2"/>
    <x v="2"/>
    <s v="VALIDATED"/>
    <n v="1"/>
    <s v="01.11.80.308.6100.0000"/>
    <n v="140.99"/>
    <s v="11"/>
    <s v="6100"/>
    <n v="18755.88"/>
    <n v="140.99"/>
    <s v="CREDITOR"/>
    <n v="0"/>
    <n v="0"/>
    <n v="0"/>
    <n v="0"/>
    <n v="140.99"/>
  </r>
  <r>
    <n v="19827631"/>
    <s v="N"/>
    <n v="21349873"/>
    <s v="3000008338190024"/>
    <s v="CIVIL"/>
    <d v="2023-06-24T00:00:00"/>
    <d v="2023-07-10T19:01:40"/>
    <m/>
    <d v="2023-07-10T00:00:00"/>
    <n v="1259"/>
    <n v="18107"/>
    <s v="19827631"/>
    <s v="19827631"/>
    <m/>
    <m/>
    <n v="22756616"/>
    <m/>
    <m/>
    <m/>
    <s v="SOLFIN"/>
    <s v="SOLFIN"/>
    <s v="CCMS"/>
    <n v="21349873"/>
    <n v="26184.3"/>
    <m/>
    <s v="N"/>
    <n v="38"/>
    <d v="2023-07-10T19:02:01"/>
    <s v="Y"/>
    <s v="Hearing Unit 2.31 - 5.00 Hours"/>
    <s v="Public Law Children"/>
    <s v="Advocacy"/>
    <s v="SHARAN GILL"/>
    <s v="Y"/>
    <n v="476.92"/>
    <n v="95.38"/>
    <x v="2"/>
    <s v="VALIDATED"/>
    <n v="1"/>
    <s v="01.11.80.308.6100.0000"/>
    <n v="476.92"/>
    <s v="11"/>
    <s v="6100"/>
    <n v="18755.88"/>
    <n v="476.92"/>
    <s v="CREDITOR"/>
    <n v="0"/>
    <n v="0"/>
    <n v="0"/>
    <n v="0"/>
    <n v="476.92"/>
  </r>
  <r>
    <n v="60647908"/>
    <s v="N"/>
    <n v="21349684"/>
    <s v="3000014902640003"/>
    <s v="CIVIL"/>
    <d v="2023-06-29T00:00:00"/>
    <d v="2023-07-10T19:01:40"/>
    <m/>
    <d v="2023-07-10T00:00:00"/>
    <n v="1259"/>
    <n v="18107"/>
    <s v="60647908"/>
    <s v="60647908"/>
    <m/>
    <m/>
    <n v="22789950"/>
    <m/>
    <m/>
    <m/>
    <s v="SOLFIN"/>
    <s v="SOLFIN"/>
    <s v="CCMS"/>
    <n v="21349684"/>
    <n v="6230.53"/>
    <m/>
    <s v="N"/>
    <n v="3"/>
    <d v="2023-07-10T19:01:55"/>
    <s v="Y"/>
    <s v="Final Hearing Court Bundle/Advocate"/>
    <s v="Public Law Children"/>
    <s v="Advocacy"/>
    <s v="CHRIS PENDLE"/>
    <s v="Y"/>
    <n v="239.4"/>
    <n v="47.88"/>
    <x v="2"/>
    <s v="VALIDATED"/>
    <n v="1"/>
    <s v="01.11.80.308.6100.0000"/>
    <n v="239.4"/>
    <s v="11"/>
    <s v="6100"/>
    <n v="18755.88"/>
    <n v="239.4"/>
    <s v="CREDITOR"/>
    <n v="0"/>
    <n v="0"/>
    <n v="0"/>
    <n v="0"/>
    <n v="239.4"/>
  </r>
  <r>
    <n v="19827631"/>
    <s v="N"/>
    <n v="21349873"/>
    <s v="3000008338190024"/>
    <s v="CIVIL"/>
    <d v="2023-06-24T00:00:00"/>
    <d v="2023-07-10T19:01:40"/>
    <m/>
    <d v="2023-07-10T00:00:00"/>
    <n v="1259"/>
    <n v="18107"/>
    <s v="19827631"/>
    <s v="19827631"/>
    <m/>
    <m/>
    <n v="22756616"/>
    <m/>
    <m/>
    <m/>
    <s v="SOLFIN"/>
    <s v="SOLFIN"/>
    <s v="CCMS"/>
    <n v="21349873"/>
    <n v="26184.3"/>
    <m/>
    <s v="N"/>
    <n v="9"/>
    <d v="2023-07-10T19:02:01"/>
    <s v="Y"/>
    <s v="Toxicologist"/>
    <s v="Public Law Children"/>
    <s v="Expert Disbursement"/>
    <s v="SHARAN GILL"/>
    <s v="Y"/>
    <n v="199.6"/>
    <n v="39.92"/>
    <x v="2"/>
    <s v="VALIDATED"/>
    <n v="1"/>
    <s v="01.11.80.308.6300.0000"/>
    <n v="199.6"/>
    <s v="11"/>
    <s v="6300"/>
    <n v="18755.88"/>
    <n v="199.6"/>
    <s v="CREDITOR"/>
    <n v="0"/>
    <n v="0"/>
    <n v="0"/>
    <n v="0"/>
    <n v="199.6"/>
  </r>
  <r>
    <n v="19827631"/>
    <s v="N"/>
    <n v="21349873"/>
    <s v="3000008338190024"/>
    <s v="CIVIL"/>
    <d v="2023-06-24T00:00:00"/>
    <d v="2023-07-10T19:01:40"/>
    <m/>
    <d v="2023-07-10T00:00:00"/>
    <n v="1259"/>
    <n v="18107"/>
    <s v="19827631"/>
    <s v="19827631"/>
    <m/>
    <m/>
    <n v="22756616"/>
    <m/>
    <m/>
    <m/>
    <s v="SOLFIN"/>
    <s v="SOLFIN"/>
    <s v="CCMS"/>
    <n v="21349873"/>
    <n v="26184.3"/>
    <m/>
    <s v="N"/>
    <n v="45"/>
    <d v="2023-07-10T19:02:01"/>
    <s v="Y"/>
    <s v="Hearing Unit 2.31 - 5.00 Hours"/>
    <s v="Public Law Children"/>
    <s v="Advocacy"/>
    <s v="SHARAN GILL"/>
    <s v="Y"/>
    <n v="476.92"/>
    <n v="95.38"/>
    <x v="2"/>
    <s v="VALIDATED"/>
    <n v="1"/>
    <s v="01.11.80.308.6100.0000"/>
    <n v="476.92"/>
    <s v="11"/>
    <s v="6100"/>
    <n v="18755.88"/>
    <n v="476.92"/>
    <s v="CREDITOR"/>
    <n v="0"/>
    <n v="0"/>
    <n v="0"/>
    <n v="0"/>
    <n v="476.92"/>
  </r>
  <r>
    <n v="55706219"/>
    <s v="N"/>
    <n v="21327970"/>
    <s v="3000013169660002"/>
    <s v="CIVIL"/>
    <d v="2023-06-26T00:00:00"/>
    <d v="2023-07-04T19:00:44"/>
    <m/>
    <d v="2023-07-04T00:00:00"/>
    <n v="1259"/>
    <n v="18107"/>
    <s v="55706219"/>
    <s v="55706219"/>
    <m/>
    <m/>
    <n v="22763380"/>
    <m/>
    <m/>
    <m/>
    <s v="SOLFIN"/>
    <s v="SOLFIN"/>
    <s v="CCMS"/>
    <n v="21327970"/>
    <n v="2578.75"/>
    <m/>
    <s v="N"/>
    <n v="4"/>
    <d v="2023-07-04T19:01:00"/>
    <s v="Y"/>
    <s v="Preparation - other"/>
    <s v="Prescribed Hourly Rates"/>
    <s v="Profit Cost"/>
    <s v="SIMON JONES"/>
    <s v="Y"/>
    <n v="94.7"/>
    <n v="18.94"/>
    <x v="1"/>
    <s v="VALIDATED"/>
    <n v="1"/>
    <s v="01.11.80.305.6100.0000"/>
    <n v="94.7"/>
    <s v="11"/>
    <s v="6100"/>
    <n v="18755.88"/>
    <n v="94.7"/>
    <s v="CREDITOR"/>
    <n v="0"/>
    <n v="0"/>
    <n v="0"/>
    <n v="0"/>
    <n v="94.7"/>
  </r>
  <r>
    <n v="55706219"/>
    <s v="N"/>
    <n v="21327970"/>
    <s v="3000013169660002"/>
    <s v="CIVIL"/>
    <d v="2023-06-26T00:00:00"/>
    <d v="2023-07-04T19:00:44"/>
    <m/>
    <d v="2023-07-04T00:00:00"/>
    <n v="1259"/>
    <n v="18107"/>
    <s v="55706219"/>
    <s v="55706219"/>
    <m/>
    <m/>
    <n v="22763380"/>
    <m/>
    <m/>
    <m/>
    <s v="SOLFIN"/>
    <s v="SOLFIN"/>
    <s v="CCMS"/>
    <n v="21327970"/>
    <n v="2578.75"/>
    <m/>
    <s v="N"/>
    <n v="9"/>
    <d v="2023-07-04T19:01:00"/>
    <s v="Y"/>
    <s v="Preparation - other"/>
    <s v="Prescribed Hourly Rates"/>
    <s v="Profit Cost"/>
    <s v="SIMON JONES"/>
    <s v="Y"/>
    <n v="25.25"/>
    <n v="5.05"/>
    <x v="1"/>
    <s v="VALIDATED"/>
    <n v="1"/>
    <s v="01.11.80.305.6100.0000"/>
    <n v="25.25"/>
    <s v="11"/>
    <s v="6100"/>
    <n v="18755.88"/>
    <n v="25.25"/>
    <s v="CREDITOR"/>
    <n v="0"/>
    <n v="0"/>
    <n v="0"/>
    <n v="0"/>
    <n v="25.25"/>
  </r>
  <r>
    <n v="61718287"/>
    <s v="N"/>
    <n v="21338582"/>
    <s v="3000015800660002"/>
    <s v="CIVIL"/>
    <d v="2023-06-28T00:00:00"/>
    <d v="2023-07-06T19:21:01"/>
    <m/>
    <d v="2023-07-06T00:00:00"/>
    <n v="1261"/>
    <n v="14329"/>
    <s v="61718287"/>
    <s v="61718287"/>
    <m/>
    <m/>
    <n v="22782952"/>
    <m/>
    <m/>
    <m/>
    <s v="SOLFIN"/>
    <s v="SOLFIN"/>
    <s v="CCMS"/>
    <n v="21338582"/>
    <n v="1063.13"/>
    <m/>
    <s v="N"/>
    <n v="3"/>
    <d v="2023-07-06T19:21:29"/>
    <s v="Y"/>
    <s v="Hearing Unit 1.01 - 2.30 Hours"/>
    <s v="Private Law Children"/>
    <s v="Advocacy"/>
    <s v="Angelina Rana"/>
    <s v="Y"/>
    <n v="172.4"/>
    <n v="34.48"/>
    <x v="4"/>
    <s v="VALIDATED"/>
    <n v="1"/>
    <s v="01.11.80.307.6100.0000"/>
    <n v="172.4"/>
    <s v="11"/>
    <s v="6100"/>
    <n v="1652.2"/>
    <n v="172.4"/>
    <s v="CREDITOR"/>
    <n v="0"/>
    <n v="0"/>
    <n v="0"/>
    <n v="0"/>
    <n v="172.4"/>
  </r>
  <r>
    <n v="61718287"/>
    <s v="N"/>
    <n v="21338582"/>
    <s v="3000015800660002"/>
    <s v="CIVIL"/>
    <d v="2023-06-28T00:00:00"/>
    <d v="2023-07-06T19:21:01"/>
    <m/>
    <d v="2023-07-06T00:00:00"/>
    <n v="1261"/>
    <n v="14329"/>
    <s v="61718287"/>
    <s v="61718287"/>
    <m/>
    <m/>
    <n v="22782952"/>
    <m/>
    <m/>
    <m/>
    <s v="SOLFIN"/>
    <s v="SOLFIN"/>
    <s v="CCMS"/>
    <n v="21338582"/>
    <n v="1063.13"/>
    <m/>
    <s v="N"/>
    <n v="2"/>
    <d v="2023-07-06T19:21:29"/>
    <s v="Y"/>
    <s v="Hearing Unit 2.31 - 5.00 Hours"/>
    <s v="Private Law Children"/>
    <s v="Advocacy"/>
    <s v="Dion Calder"/>
    <s v="Y"/>
    <n v="344.8"/>
    <n v="68.95999999999999"/>
    <x v="4"/>
    <s v="VALIDATED"/>
    <n v="1"/>
    <s v="01.11.80.307.6100.0000"/>
    <n v="344.8"/>
    <s v="11"/>
    <s v="6100"/>
    <n v="1652.2"/>
    <n v="344.8"/>
    <s v="CREDITOR"/>
    <n v="0"/>
    <n v="0"/>
    <n v="0"/>
    <n v="0"/>
    <n v="344.8"/>
  </r>
  <r>
    <n v="61347305"/>
    <s v="N"/>
    <n v="21318555"/>
    <s v="3000015496270010"/>
    <s v="CIVIL"/>
    <d v="2023-06-20T00:00:00"/>
    <d v="2023-07-03T19:01:49"/>
    <m/>
    <d v="2023-07-03T00:00:00"/>
    <n v="1261"/>
    <n v="14329"/>
    <s v="61347305"/>
    <s v="61347305"/>
    <m/>
    <m/>
    <n v="22726118"/>
    <m/>
    <m/>
    <m/>
    <s v="SOLPOA"/>
    <s v="SOLPOA"/>
    <s v="CCMS"/>
    <n v="21318555"/>
    <n v="330"/>
    <m/>
    <s v="N"/>
    <n v="1"/>
    <d v="2023-07-03T19:01:59"/>
    <s v="N"/>
    <s v="Expert Cost"/>
    <s v="Expert Cost"/>
    <s v="Expert Disbursement"/>
    <s v="Karen Bailey"/>
    <s v="N"/>
    <n v="275"/>
    <n v="55"/>
    <x v="3"/>
    <s v="VALIDATED"/>
    <n v="1"/>
    <s v="01.11.80.308.2012.0000"/>
    <n v="275"/>
    <s v="11"/>
    <s v="2012"/>
    <n v="1652.2"/>
    <n v="275"/>
    <s v="CREDITOR"/>
    <n v="275"/>
    <n v="0"/>
    <n v="0"/>
    <n v="0"/>
    <n v="0"/>
  </r>
  <r>
    <n v="61718287"/>
    <s v="N"/>
    <n v="21338582"/>
    <s v="3000015800660002"/>
    <s v="CIVIL"/>
    <d v="2023-06-28T00:00:00"/>
    <d v="2023-07-06T19:21:01"/>
    <m/>
    <d v="2023-07-06T00:00:00"/>
    <n v="1261"/>
    <n v="14329"/>
    <s v="61718287"/>
    <s v="61718287"/>
    <m/>
    <m/>
    <n v="22782952"/>
    <m/>
    <m/>
    <m/>
    <s v="SOLFIN"/>
    <s v="SOLFIN"/>
    <s v="CCMS"/>
    <n v="21338582"/>
    <n v="1063.13"/>
    <m/>
    <s v="N"/>
    <n v="4"/>
    <d v="2023-07-06T19:21:29"/>
    <s v="Y"/>
    <s v="Level 3 Fixed Fee"/>
    <s v="Private Law Children"/>
    <s v="Profit Cost"/>
    <s v="Dion Calder"/>
    <s v="Y"/>
    <n v="353"/>
    <n v="70.59999999999999"/>
    <x v="4"/>
    <s v="VALIDATED"/>
    <n v="1"/>
    <s v="01.11.80.307.6100.0000"/>
    <n v="353"/>
    <s v="11"/>
    <s v="6100"/>
    <n v="1652.2"/>
    <n v="353"/>
    <s v="CREDITOR"/>
    <n v="0"/>
    <n v="0"/>
    <n v="0"/>
    <n v="0"/>
    <n v="353"/>
  </r>
  <r>
    <n v="61718287"/>
    <s v="N"/>
    <n v="21338582"/>
    <s v="3000015800660002"/>
    <s v="CIVIL"/>
    <d v="2023-06-28T00:00:00"/>
    <d v="2023-07-06T19:21:01"/>
    <m/>
    <d v="2023-07-06T00:00:00"/>
    <n v="1261"/>
    <n v="14329"/>
    <s v="61718287"/>
    <s v="61718287"/>
    <m/>
    <m/>
    <n v="22782952"/>
    <m/>
    <m/>
    <m/>
    <s v="SOLFIN"/>
    <s v="SOLFIN"/>
    <s v="CCMS"/>
    <n v="21338582"/>
    <n v="1063.13"/>
    <m/>
    <s v="N"/>
    <n v="1"/>
    <d v="2023-07-06T19:21:29"/>
    <s v="Y"/>
    <s v="Solicitor Travel Expenses"/>
    <s v="Private Law Children"/>
    <s v="Non Expert Disbursement"/>
    <s v="Dion Calder"/>
    <s v="Y"/>
    <n v="18.89"/>
    <n v="0"/>
    <x v="4"/>
    <s v="VALIDATED"/>
    <n v="1"/>
    <s v="01.11.80.307.6300.0000"/>
    <n v="18.89"/>
    <s v="11"/>
    <s v="6300"/>
    <n v="1652.2"/>
    <n v="18.89"/>
    <s v="CREDITOR"/>
    <n v="0"/>
    <n v="0"/>
    <n v="0"/>
    <n v="0"/>
    <n v="18.89"/>
  </r>
  <r>
    <n v="61604428"/>
    <s v="N"/>
    <n v="21343245"/>
    <s v="3000015705860002"/>
    <s v="CIVIL"/>
    <d v="2023-06-28T00:00:00"/>
    <d v="2023-07-07T19:03:00"/>
    <m/>
    <d v="2023-07-07T00:00:00"/>
    <n v="1261"/>
    <n v="14329"/>
    <s v="61604428"/>
    <s v="61604428"/>
    <m/>
    <m/>
    <n v="22781428"/>
    <m/>
    <m/>
    <m/>
    <s v="SOLFIN"/>
    <s v="SOLFIN"/>
    <s v="CCMS"/>
    <n v="21343245"/>
    <n v="735.92"/>
    <m/>
    <s v="N"/>
    <n v="2"/>
    <d v="2023-07-07T19:03:05"/>
    <s v="Y"/>
    <s v="Level 4 Fixed Fee"/>
    <s v="Domestic Abuse"/>
    <s v="Profit Cost"/>
    <s v="Dion Calder"/>
    <s v="Y"/>
    <n v="507"/>
    <n v="101.4"/>
    <x v="9"/>
    <s v="VALIDATED"/>
    <n v="1"/>
    <s v="01.11.80.302.6100.0000"/>
    <n v="507"/>
    <s v="11"/>
    <s v="6100"/>
    <n v="1652.2"/>
    <n v="507"/>
    <s v="CREDITOR"/>
    <n v="0"/>
    <n v="0"/>
    <n v="0"/>
    <n v="0"/>
    <n v="507"/>
  </r>
  <r>
    <n v="61604428"/>
    <s v="N"/>
    <n v="21343245"/>
    <s v="3000015705860002"/>
    <s v="CIVIL"/>
    <d v="2023-06-28T00:00:00"/>
    <d v="2023-07-07T19:03:00"/>
    <m/>
    <d v="2023-07-07T00:00:00"/>
    <n v="1261"/>
    <n v="14329"/>
    <s v="61604428"/>
    <s v="61604428"/>
    <m/>
    <m/>
    <n v="22781428"/>
    <m/>
    <m/>
    <m/>
    <s v="SOLFIN"/>
    <s v="SOLFIN"/>
    <s v="CCMS"/>
    <n v="21343245"/>
    <n v="735.92"/>
    <m/>
    <s v="N"/>
    <n v="1"/>
    <d v="2023-07-07T19:03:05"/>
    <s v="Y"/>
    <s v="Process server"/>
    <s v="Domestic Abuse"/>
    <s v="Expert Disbursement"/>
    <s v="Dion Calder"/>
    <s v="Y"/>
    <n v="127.52"/>
    <n v="0"/>
    <x v="9"/>
    <s v="VALIDATED"/>
    <n v="1"/>
    <s v="01.11.80.302.6300.0000"/>
    <n v="127.52"/>
    <s v="11"/>
    <s v="6300"/>
    <n v="1652.2"/>
    <n v="127.52"/>
    <s v="CREDITOR"/>
    <n v="0"/>
    <n v="0"/>
    <n v="0"/>
    <n v="0"/>
    <n v="127.52"/>
  </r>
  <r>
    <n v="61718287"/>
    <s v="N"/>
    <n v="21340054"/>
    <s v="3000015800660001RC"/>
    <s v="CIVIL"/>
    <d v="2023-06-28T00:00:00"/>
    <d v="2023-07-06T19:54:22"/>
    <m/>
    <d v="2023-07-06T00:00:00"/>
    <n v="1261"/>
    <n v="14329"/>
    <s v="61718287"/>
    <s v="61718287"/>
    <m/>
    <m/>
    <m/>
    <m/>
    <m/>
    <m/>
    <s v="SOLRECOUP"/>
    <s v="SOLRECOUP"/>
    <s v="POARECOUP"/>
    <n v="21340054"/>
    <n v="-18.89"/>
    <m/>
    <s v="Y"/>
    <n v="1"/>
    <d v="2023-07-06T19:54:23"/>
    <s v="N"/>
    <m/>
    <m/>
    <s v="Non Expert Disbursement"/>
    <m/>
    <s v="N"/>
    <n v="-18.89"/>
    <n v="0"/>
    <x v="4"/>
    <s v="VALIDATED"/>
    <n v="1"/>
    <s v="01.11.80.307.2013.0000"/>
    <n v="-18.89"/>
    <s v="11"/>
    <s v="2013"/>
    <n v="1652.2"/>
    <n v="-18.89"/>
    <s v="CREDITOR"/>
    <n v="0"/>
    <n v="0"/>
    <n v="-18.89"/>
    <n v="0"/>
    <n v="0"/>
  </r>
  <r>
    <n v="61718287"/>
    <s v="N"/>
    <n v="21340054"/>
    <s v="3000015800660001RC"/>
    <s v="CIVIL"/>
    <d v="2023-06-28T00:00:00"/>
    <d v="2023-07-06T19:54:22"/>
    <m/>
    <d v="2023-07-06T00:00:00"/>
    <n v="1261"/>
    <n v="14329"/>
    <s v="61718287"/>
    <s v="61718287"/>
    <m/>
    <m/>
    <m/>
    <m/>
    <m/>
    <m/>
    <s v="SOLRECOUP"/>
    <s v="SOLRECOUP"/>
    <s v="POARECOUP"/>
    <n v="21340054"/>
    <n v="-18.89"/>
    <m/>
    <s v="Y"/>
    <n v="2"/>
    <d v="2023-07-06T19:54:23"/>
    <s v="N"/>
    <m/>
    <m/>
    <s v="Non Expert Disbursement"/>
    <m/>
    <s v="N"/>
    <n v="0"/>
    <n v="0"/>
    <x v="4"/>
    <s v="VALIDATED"/>
    <n v="1"/>
    <s v="01.11.80.000.0000.0000"/>
    <n v="0"/>
    <s v="11"/>
    <s v="0000"/>
    <n v="1652.2"/>
    <n v="0"/>
    <s v="CREDITOR"/>
    <n v="0"/>
    <n v="0"/>
    <n v="0"/>
    <n v="0"/>
    <n v="0"/>
  </r>
  <r>
    <n v="61604428"/>
    <s v="N"/>
    <n v="21346438"/>
    <s v="3000015705860001RC"/>
    <s v="CIVIL"/>
    <d v="2023-06-28T00:00:00"/>
    <d v="2023-07-07T19:34:21"/>
    <m/>
    <d v="2023-07-07T00:00:00"/>
    <n v="1261"/>
    <n v="14329"/>
    <s v="61604428"/>
    <s v="61604428"/>
    <m/>
    <m/>
    <m/>
    <m/>
    <m/>
    <m/>
    <s v="SOLRECOUP"/>
    <s v="SOLRECOUP"/>
    <s v="POARECOUP"/>
    <n v="21346438"/>
    <n v="-127.52"/>
    <m/>
    <s v="Y"/>
    <n v="1"/>
    <d v="2023-07-07T19:34:23"/>
    <s v="N"/>
    <m/>
    <m/>
    <s v="Non Expert Disbursement"/>
    <m/>
    <s v="N"/>
    <n v="-127.52"/>
    <n v="0"/>
    <x v="9"/>
    <s v="VALIDATED"/>
    <n v="1"/>
    <s v="01.11.80.302.2013.0000"/>
    <n v="-127.52"/>
    <s v="11"/>
    <s v="2013"/>
    <n v="1652.2"/>
    <n v="-127.52"/>
    <s v="CREDITOR"/>
    <n v="0"/>
    <n v="0"/>
    <n v="-127.52"/>
    <n v="0"/>
    <n v="0"/>
  </r>
  <r>
    <n v="61604428"/>
    <s v="N"/>
    <n v="21346438"/>
    <s v="3000015705860001RC"/>
    <s v="CIVIL"/>
    <d v="2023-06-28T00:00:00"/>
    <d v="2023-07-07T19:34:21"/>
    <m/>
    <d v="2023-07-07T00:00:00"/>
    <n v="1261"/>
    <n v="14329"/>
    <s v="61604428"/>
    <s v="61604428"/>
    <m/>
    <m/>
    <m/>
    <m/>
    <m/>
    <m/>
    <s v="SOLRECOUP"/>
    <s v="SOLRECOUP"/>
    <s v="POARECOUP"/>
    <n v="21346438"/>
    <n v="-127.52"/>
    <m/>
    <s v="Y"/>
    <n v="2"/>
    <d v="2023-07-07T19:34:23"/>
    <s v="N"/>
    <m/>
    <m/>
    <s v="Non Expert Disbursement"/>
    <m/>
    <s v="N"/>
    <n v="0"/>
    <n v="0"/>
    <x v="9"/>
    <s v="VALIDATED"/>
    <n v="1"/>
    <s v="01.11.80.000.0000.0000"/>
    <n v="0"/>
    <s v="11"/>
    <s v="0000"/>
    <n v="1652.2"/>
    <n v="0"/>
    <s v="CREDITOR"/>
    <n v="0"/>
    <n v="0"/>
    <n v="0"/>
    <n v="0"/>
    <n v="0"/>
  </r>
  <r>
    <n v="61841989"/>
    <s v="N"/>
    <n v="21360994"/>
    <s v="3000015909120004"/>
    <s v="CIVIL"/>
    <d v="2023-06-30T00:00:00"/>
    <d v="2023-07-11T19:00:25"/>
    <m/>
    <d v="2023-07-11T00:00:00"/>
    <n v="1262"/>
    <n v="19363"/>
    <s v="61841989"/>
    <s v="61841989"/>
    <m/>
    <m/>
    <n v="22800842"/>
    <m/>
    <m/>
    <m/>
    <s v="SOLFIN"/>
    <s v="SOLFIN"/>
    <s v="CCMS"/>
    <n v="21360994"/>
    <n v="2157.87"/>
    <m/>
    <s v="N"/>
    <n v="7"/>
    <d v="2023-07-11T19:00:42"/>
    <s v="Y"/>
    <s v="Preparation - other"/>
    <s v="Prescribed Hourly Rates"/>
    <s v="Profit Cost"/>
    <s v="HB"/>
    <s v="Y"/>
    <n v="18.94"/>
    <n v="3.79"/>
    <x v="7"/>
    <s v="VALIDATED"/>
    <n v="1"/>
    <s v="01.11.80.302.6100.0000"/>
    <n v="18.94"/>
    <s v="11"/>
    <s v="6100"/>
    <n v="6873.01"/>
    <n v="18.94"/>
    <s v="CREDITOR"/>
    <n v="0"/>
    <n v="0"/>
    <n v="0"/>
    <n v="0"/>
    <n v="18.94"/>
  </r>
  <r>
    <n v="61298400"/>
    <s v="N"/>
    <n v="21360574"/>
    <s v="3000015456710010"/>
    <s v="CIVIL"/>
    <d v="2023-06-29T00:00:00"/>
    <d v="2023-07-11T11:50:54"/>
    <m/>
    <d v="2023-07-11T00:00:00"/>
    <n v="1262"/>
    <n v="19363"/>
    <s v="61298400"/>
    <s v="61298400"/>
    <m/>
    <m/>
    <n v="22790952"/>
    <m/>
    <m/>
    <m/>
    <s v="SOLFIN"/>
    <s v="SOLFIN"/>
    <s v="CCMS"/>
    <n v="21360574"/>
    <n v="9615.559999999999"/>
    <m/>
    <s v="N"/>
    <n v="26"/>
    <d v="2023-07-11T11:51:10"/>
    <s v="Y"/>
    <s v="Preparation - other"/>
    <s v="Care Remuneration Hourly Rates"/>
    <s v="Profit Cost"/>
    <s v="HB"/>
    <s v="Y"/>
    <n v="9.07"/>
    <n v="1.81"/>
    <x v="7"/>
    <s v="VALIDATED"/>
    <n v="1"/>
    <s v="01.11.80.308.6100.0000"/>
    <n v="9.07"/>
    <s v="11"/>
    <s v="6100"/>
    <n v="6873.01"/>
    <n v="9.07"/>
    <s v="CREDITOR"/>
    <n v="0"/>
    <n v="0"/>
    <n v="0"/>
    <n v="0"/>
    <n v="9.07"/>
  </r>
  <r>
    <n v="61751806"/>
    <s v="N"/>
    <n v="21363780"/>
    <s v="3000015831670004"/>
    <s v="CIVIL"/>
    <d v="2023-06-29T00:00:00"/>
    <d v="2023-07-12T19:01:49"/>
    <m/>
    <d v="2023-07-12T00:00:00"/>
    <n v="1262"/>
    <n v="19363"/>
    <s v="61751806"/>
    <s v="61751806"/>
    <m/>
    <m/>
    <n v="22793298"/>
    <m/>
    <m/>
    <m/>
    <s v="SOLFIN"/>
    <s v="SOLFIN"/>
    <s v="CCMS"/>
    <n v="21363780"/>
    <n v="1710.88"/>
    <m/>
    <s v="N"/>
    <n v="3"/>
    <d v="2023-07-12T19:02:11"/>
    <s v="Y"/>
    <s v="Court Fee"/>
    <s v="Private Law Children"/>
    <s v="Non Expert Disbursement"/>
    <s v="JLH"/>
    <s v="Y"/>
    <n v="232"/>
    <n v="0"/>
    <x v="0"/>
    <s v="VALIDATED"/>
    <n v="1"/>
    <s v="01.11.80.302.6300.0000"/>
    <n v="232"/>
    <s v="11"/>
    <s v="6300"/>
    <n v="6873.01"/>
    <n v="232"/>
    <s v="CREDITOR"/>
    <n v="0"/>
    <n v="0"/>
    <n v="0"/>
    <n v="0"/>
    <n v="232"/>
  </r>
  <r>
    <n v="61298400"/>
    <s v="N"/>
    <n v="21360574"/>
    <s v="3000015456710010"/>
    <s v="CIVIL"/>
    <d v="2023-06-29T00:00:00"/>
    <d v="2023-07-11T11:50:54"/>
    <m/>
    <d v="2023-07-11T00:00:00"/>
    <n v="1262"/>
    <n v="19363"/>
    <s v="61298400"/>
    <s v="61298400"/>
    <m/>
    <m/>
    <n v="22790952"/>
    <m/>
    <m/>
    <m/>
    <s v="SOLFIN"/>
    <s v="SOLFIN"/>
    <s v="CCMS"/>
    <n v="21360574"/>
    <n v="9615.559999999999"/>
    <m/>
    <s v="N"/>
    <n v="50"/>
    <d v="2023-07-11T11:51:10"/>
    <s v="Y"/>
    <s v="Preparation - drafting instructions"/>
    <s v="Care Remuneration Hourly Rates"/>
    <s v="Profit Cost"/>
    <s v="HB"/>
    <s v="Y"/>
    <n v="30.23"/>
    <n v="6.05"/>
    <x v="7"/>
    <s v="VALIDATED"/>
    <n v="1"/>
    <s v="01.11.80.308.6100.0000"/>
    <n v="30.23"/>
    <s v="11"/>
    <s v="6100"/>
    <n v="6873.01"/>
    <n v="30.23"/>
    <s v="CREDITOR"/>
    <n v="0"/>
    <n v="0"/>
    <n v="0"/>
    <n v="0"/>
    <n v="30.23"/>
  </r>
  <r>
    <n v="61298400"/>
    <s v="N"/>
    <n v="21360574"/>
    <s v="3000015456710010"/>
    <s v="CIVIL"/>
    <d v="2023-06-29T00:00:00"/>
    <d v="2023-07-11T11:50:54"/>
    <m/>
    <d v="2023-07-11T00:00:00"/>
    <n v="1262"/>
    <n v="19363"/>
    <s v="61298400"/>
    <s v="61298400"/>
    <m/>
    <m/>
    <n v="22790952"/>
    <m/>
    <m/>
    <m/>
    <s v="SOLFIN"/>
    <s v="SOLFIN"/>
    <s v="CCMS"/>
    <n v="21360574"/>
    <n v="9615.559999999999"/>
    <m/>
    <s v="N"/>
    <n v="40"/>
    <d v="2023-07-11T11:51:10"/>
    <s v="Y"/>
    <s v="Preparation - other"/>
    <s v="Care Remuneration Hourly Rates"/>
    <s v="Profit Cost"/>
    <s v="HB"/>
    <s v="Y"/>
    <n v="21.16"/>
    <n v="4.23"/>
    <x v="7"/>
    <s v="VALIDATED"/>
    <n v="1"/>
    <s v="01.11.80.308.6100.0000"/>
    <n v="21.16"/>
    <s v="11"/>
    <s v="6100"/>
    <n v="6873.01"/>
    <n v="21.16"/>
    <s v="CREDITOR"/>
    <n v="0"/>
    <n v="0"/>
    <n v="0"/>
    <n v="0"/>
    <n v="21.16"/>
  </r>
  <r>
    <n v="61298400"/>
    <s v="N"/>
    <n v="21361517"/>
    <s v="3000015456710004RC"/>
    <s v="CIVIL"/>
    <d v="2023-06-29T00:00:00"/>
    <d v="2023-07-11T19:38:00"/>
    <m/>
    <d v="2023-07-11T00:00:00"/>
    <n v="1262"/>
    <n v="19363"/>
    <s v="61298400"/>
    <s v="61298400"/>
    <m/>
    <m/>
    <m/>
    <m/>
    <m/>
    <m/>
    <s v="SOLRECOUP"/>
    <s v="SOLRECOUP"/>
    <s v="POARECOUP"/>
    <n v="21361517"/>
    <n v="-23.93"/>
    <m/>
    <s v="Y"/>
    <n v="1"/>
    <d v="2023-07-11T19:38:01"/>
    <s v="N"/>
    <m/>
    <m/>
    <s v="Non Expert Disbursement"/>
    <m/>
    <s v="N"/>
    <n v="-19.94"/>
    <n v="0"/>
    <x v="7"/>
    <s v="VALIDATED"/>
    <n v="1"/>
    <s v="01.11.80.308.2013.0000"/>
    <n v="-19.94"/>
    <s v="11"/>
    <s v="2013"/>
    <n v="6873.01"/>
    <n v="-19.94"/>
    <s v="CREDITOR"/>
    <n v="0"/>
    <n v="0"/>
    <n v="-19.94"/>
    <n v="0"/>
    <n v="0"/>
  </r>
  <r>
    <n v="61298400"/>
    <s v="N"/>
    <n v="21361518"/>
    <s v="3000015456710003RC"/>
    <s v="CIVIL"/>
    <d v="2023-06-29T00:00:00"/>
    <d v="2023-07-11T19:38:00"/>
    <m/>
    <d v="2023-07-11T00:00:00"/>
    <n v="1262"/>
    <n v="19363"/>
    <s v="61298400"/>
    <s v="61298400"/>
    <m/>
    <m/>
    <m/>
    <m/>
    <m/>
    <m/>
    <s v="SOLRECOUP"/>
    <s v="SOLRECOUP"/>
    <s v="POARECOUP"/>
    <n v="21361518"/>
    <n v="-127.98"/>
    <m/>
    <s v="Y"/>
    <n v="2"/>
    <d v="2023-07-11T19:38:01"/>
    <s v="N"/>
    <m/>
    <m/>
    <s v="Expert Disbursement"/>
    <m/>
    <s v="N"/>
    <n v="0"/>
    <n v="-21.33"/>
    <x v="7"/>
    <s v="VALIDATED"/>
    <n v="1"/>
    <s v="01.11.80.308.2013.0000"/>
    <n v="-21.33"/>
    <s v="11"/>
    <s v="2013"/>
    <n v="6873.01"/>
    <n v="-21.33"/>
    <s v="CREDITOR"/>
    <n v="0"/>
    <n v="0"/>
    <n v="-21.33"/>
    <n v="0"/>
    <n v="0"/>
  </r>
  <r>
    <n v="61298400"/>
    <s v="N"/>
    <n v="21361518"/>
    <s v="3000015456710003RC"/>
    <s v="CIVIL"/>
    <d v="2023-06-29T00:00:00"/>
    <d v="2023-07-11T19:38:00"/>
    <m/>
    <d v="2023-07-11T00:00:00"/>
    <n v="1262"/>
    <n v="19363"/>
    <s v="61298400"/>
    <s v="61298400"/>
    <m/>
    <m/>
    <m/>
    <m/>
    <m/>
    <m/>
    <s v="SOLRECOUP"/>
    <s v="SOLRECOUP"/>
    <s v="POARECOUP"/>
    <n v="21361518"/>
    <n v="-127.98"/>
    <m/>
    <s v="Y"/>
    <n v="1"/>
    <d v="2023-07-11T19:38:01"/>
    <s v="N"/>
    <m/>
    <m/>
    <s v="Expert Disbursement"/>
    <m/>
    <s v="N"/>
    <n v="-106.65"/>
    <n v="0"/>
    <x v="7"/>
    <s v="VALIDATED"/>
    <n v="1"/>
    <s v="01.11.80.308.2013.0000"/>
    <n v="-106.65"/>
    <s v="11"/>
    <s v="2013"/>
    <n v="6873.01"/>
    <n v="-106.65"/>
    <s v="CREDITOR"/>
    <n v="0"/>
    <n v="0"/>
    <n v="-106.65"/>
    <n v="0"/>
    <n v="0"/>
  </r>
  <r>
    <n v="61841989"/>
    <s v="N"/>
    <n v="21361519"/>
    <s v="3000015909120003RC"/>
    <s v="CIVIL"/>
    <d v="2023-06-30T00:00:00"/>
    <d v="2023-07-11T19:38:00"/>
    <m/>
    <d v="2023-07-11T00:00:00"/>
    <n v="1262"/>
    <n v="19363"/>
    <s v="61841989"/>
    <s v="61841989"/>
    <m/>
    <m/>
    <m/>
    <m/>
    <m/>
    <m/>
    <s v="SOLRECOUP"/>
    <s v="SOLRECOUP"/>
    <s v="POARECOUP"/>
    <n v="21361519"/>
    <n v="-1110.32"/>
    <m/>
    <s v="Y"/>
    <n v="1"/>
    <d v="2023-07-11T19:38:01"/>
    <s v="N"/>
    <m/>
    <m/>
    <s v="Profit Cost"/>
    <m/>
    <s v="N"/>
    <n v="-925.27"/>
    <n v="0"/>
    <x v="7"/>
    <s v="VALIDATED"/>
    <n v="1"/>
    <s v="01.11.80.302.2013.0000"/>
    <n v="-925.27"/>
    <s v="11"/>
    <s v="2013"/>
    <n v="6873.01"/>
    <n v="-925.27"/>
    <s v="CREDITOR"/>
    <n v="0"/>
    <n v="0"/>
    <n v="-925.27"/>
    <n v="-231.3175"/>
    <n v="0"/>
  </r>
  <r>
    <n v="61841989"/>
    <s v="N"/>
    <n v="21361519"/>
    <s v="3000015909120003RC"/>
    <s v="CIVIL"/>
    <d v="2023-06-30T00:00:00"/>
    <d v="2023-07-11T19:38:00"/>
    <m/>
    <d v="2023-07-11T00:00:00"/>
    <n v="1262"/>
    <n v="19363"/>
    <s v="61841989"/>
    <s v="61841989"/>
    <m/>
    <m/>
    <m/>
    <m/>
    <m/>
    <m/>
    <s v="SOLRECOUP"/>
    <s v="SOLRECOUP"/>
    <s v="POARECOUP"/>
    <n v="21361519"/>
    <n v="-1110.32"/>
    <m/>
    <s v="Y"/>
    <n v="2"/>
    <d v="2023-07-11T19:38:01"/>
    <s v="N"/>
    <m/>
    <m/>
    <s v="Profit Cost"/>
    <m/>
    <s v="N"/>
    <n v="0"/>
    <n v="-185.05"/>
    <x v="7"/>
    <s v="VALIDATED"/>
    <n v="1"/>
    <s v="01.11.80.302.2013.0000"/>
    <n v="-185.05"/>
    <s v="11"/>
    <s v="2013"/>
    <n v="6873.01"/>
    <n v="-185.05"/>
    <s v="CREDITOR"/>
    <n v="0"/>
    <n v="0"/>
    <n v="-185.05"/>
    <n v="-46.2625"/>
    <n v="0"/>
  </r>
  <r>
    <n v="61298400"/>
    <s v="N"/>
    <n v="21361520"/>
    <s v="3000015456710002RC"/>
    <s v="CIVIL"/>
    <d v="2023-06-29T00:00:00"/>
    <d v="2023-07-11T19:38:00"/>
    <m/>
    <d v="2023-07-11T00:00:00"/>
    <n v="1262"/>
    <n v="19363"/>
    <s v="61298400"/>
    <s v="61298400"/>
    <m/>
    <m/>
    <m/>
    <m/>
    <m/>
    <m/>
    <s v="SOLRECOUP"/>
    <s v="SOLRECOUP"/>
    <s v="POARECOUP"/>
    <n v="21361520"/>
    <n v="-294.96"/>
    <m/>
    <s v="Y"/>
    <n v="1"/>
    <d v="2023-07-11T19:38:01"/>
    <s v="N"/>
    <m/>
    <m/>
    <s v="Expert Disbursement"/>
    <m/>
    <s v="N"/>
    <n v="-294.96"/>
    <n v="0"/>
    <x v="7"/>
    <s v="VALIDATED"/>
    <n v="1"/>
    <s v="01.11.80.308.2013.0000"/>
    <n v="-294.96"/>
    <s v="11"/>
    <s v="2013"/>
    <n v="6873.01"/>
    <n v="-294.96"/>
    <s v="CREDITOR"/>
    <n v="0"/>
    <n v="0"/>
    <n v="-294.96"/>
    <n v="0"/>
    <n v="0"/>
  </r>
  <r>
    <n v="61298400"/>
    <s v="N"/>
    <n v="21361520"/>
    <s v="3000015456710002RC"/>
    <s v="CIVIL"/>
    <d v="2023-06-29T00:00:00"/>
    <d v="2023-07-11T19:38:00"/>
    <m/>
    <d v="2023-07-11T00:00:00"/>
    <n v="1262"/>
    <n v="19363"/>
    <s v="61298400"/>
    <s v="61298400"/>
    <m/>
    <m/>
    <m/>
    <m/>
    <m/>
    <m/>
    <s v="SOLRECOUP"/>
    <s v="SOLRECOUP"/>
    <s v="POARECOUP"/>
    <n v="21361520"/>
    <n v="-294.96"/>
    <m/>
    <s v="Y"/>
    <n v="2"/>
    <d v="2023-07-11T19:38:01"/>
    <s v="N"/>
    <m/>
    <m/>
    <s v="Expert Disbursement"/>
    <m/>
    <s v="N"/>
    <n v="0"/>
    <n v="0"/>
    <x v="7"/>
    <s v="VALIDATED"/>
    <n v="1"/>
    <s v="01.11.80.000.0000.0000"/>
    <n v="0"/>
    <s v="11"/>
    <s v="0000"/>
    <n v="6873.01"/>
    <n v="0"/>
    <s v="CREDITOR"/>
    <n v="0"/>
    <n v="0"/>
    <n v="0"/>
    <n v="0"/>
    <n v="0"/>
  </r>
  <r>
    <n v="61841989"/>
    <s v="N"/>
    <n v="21361521"/>
    <s v="3000015909120001RC"/>
    <s v="CIVIL"/>
    <d v="2023-06-30T00:00:00"/>
    <d v="2023-07-11T19:38:00"/>
    <m/>
    <d v="2023-07-11T00:00:00"/>
    <n v="1262"/>
    <n v="19363"/>
    <s v="61841989"/>
    <s v="61841989"/>
    <m/>
    <m/>
    <m/>
    <m/>
    <m/>
    <m/>
    <s v="SOLRECOUP"/>
    <s v="SOLRECOUP"/>
    <s v="POARECOUP"/>
    <n v="21361521"/>
    <n v="-154.44"/>
    <m/>
    <s v="Y"/>
    <n v="1"/>
    <d v="2023-07-11T19:38:01"/>
    <s v="N"/>
    <m/>
    <m/>
    <s v="Expert Disbursement"/>
    <m/>
    <s v="N"/>
    <n v="-128.7"/>
    <n v="0"/>
    <x v="7"/>
    <s v="VALIDATED"/>
    <n v="1"/>
    <s v="01.11.80.302.2013.0000"/>
    <n v="-128.7"/>
    <s v="11"/>
    <s v="2013"/>
    <n v="6873.01"/>
    <n v="-128.7"/>
    <s v="CREDITOR"/>
    <n v="0"/>
    <n v="0"/>
    <n v="-128.7"/>
    <n v="0"/>
    <n v="0"/>
  </r>
  <r>
    <n v="61841989"/>
    <s v="N"/>
    <n v="21361521"/>
    <s v="3000015909120001RC"/>
    <s v="CIVIL"/>
    <d v="2023-06-30T00:00:00"/>
    <d v="2023-07-11T19:38:00"/>
    <m/>
    <d v="2023-07-11T00:00:00"/>
    <n v="1262"/>
    <n v="19363"/>
    <s v="61841989"/>
    <s v="61841989"/>
    <m/>
    <m/>
    <m/>
    <m/>
    <m/>
    <m/>
    <s v="SOLRECOUP"/>
    <s v="SOLRECOUP"/>
    <s v="POARECOUP"/>
    <n v="21361521"/>
    <n v="-154.44"/>
    <m/>
    <s v="Y"/>
    <n v="2"/>
    <d v="2023-07-11T19:38:01"/>
    <s v="N"/>
    <m/>
    <m/>
    <s v="Expert Disbursement"/>
    <m/>
    <s v="N"/>
    <n v="0"/>
    <n v="-25.74"/>
    <x v="7"/>
    <s v="VALIDATED"/>
    <n v="1"/>
    <s v="01.11.80.302.2013.0000"/>
    <n v="-25.74"/>
    <s v="11"/>
    <s v="2013"/>
    <n v="6873.01"/>
    <n v="-25.74"/>
    <s v="CREDITOR"/>
    <n v="0"/>
    <n v="0"/>
    <n v="-25.74"/>
    <n v="0"/>
    <n v="0"/>
  </r>
  <r>
    <n v="61298400"/>
    <s v="N"/>
    <n v="21361522"/>
    <s v="3000015456710007RC"/>
    <s v="CIVIL"/>
    <d v="2023-06-29T00:00:00"/>
    <d v="2023-07-11T19:38:00"/>
    <m/>
    <d v="2023-07-11T00:00:00"/>
    <n v="1262"/>
    <n v="19363"/>
    <s v="61298400"/>
    <s v="61298400"/>
    <m/>
    <m/>
    <m/>
    <m/>
    <m/>
    <m/>
    <s v="SOLRECOUP"/>
    <s v="SOLRECOUP"/>
    <s v="POARECOUP"/>
    <n v="21361522"/>
    <n v="-720"/>
    <m/>
    <s v="Y"/>
    <n v="1"/>
    <d v="2023-07-11T19:38:01"/>
    <s v="N"/>
    <m/>
    <m/>
    <s v="Expert Disbursement"/>
    <m/>
    <s v="N"/>
    <n v="-600"/>
    <n v="0"/>
    <x v="7"/>
    <s v="VALIDATED"/>
    <n v="1"/>
    <s v="01.11.80.308.2013.0000"/>
    <n v="-600"/>
    <s v="11"/>
    <s v="2013"/>
    <n v="6873.01"/>
    <n v="-600"/>
    <s v="CREDITOR"/>
    <n v="0"/>
    <n v="0"/>
    <n v="-600"/>
    <n v="0"/>
    <n v="0"/>
  </r>
  <r>
    <n v="61298400"/>
    <s v="N"/>
    <n v="21361522"/>
    <s v="3000015456710007RC"/>
    <s v="CIVIL"/>
    <d v="2023-06-29T00:00:00"/>
    <d v="2023-07-11T19:38:00"/>
    <m/>
    <d v="2023-07-11T00:00:00"/>
    <n v="1262"/>
    <n v="19363"/>
    <s v="61298400"/>
    <s v="61298400"/>
    <m/>
    <m/>
    <m/>
    <m/>
    <m/>
    <m/>
    <s v="SOLRECOUP"/>
    <s v="SOLRECOUP"/>
    <s v="POARECOUP"/>
    <n v="21361522"/>
    <n v="-720"/>
    <m/>
    <s v="Y"/>
    <n v="2"/>
    <d v="2023-07-11T19:38:01"/>
    <s v="N"/>
    <m/>
    <m/>
    <s v="Expert Disbursement"/>
    <m/>
    <s v="N"/>
    <n v="0"/>
    <n v="-120"/>
    <x v="7"/>
    <s v="VALIDATED"/>
    <n v="1"/>
    <s v="01.11.80.308.2013.0000"/>
    <n v="-120"/>
    <s v="11"/>
    <s v="2013"/>
    <n v="6873.01"/>
    <n v="-120"/>
    <s v="CREDITOR"/>
    <n v="0"/>
    <n v="0"/>
    <n v="-120"/>
    <n v="0"/>
    <n v="0"/>
  </r>
  <r>
    <n v="61298400"/>
    <s v="N"/>
    <n v="21361523"/>
    <s v="3000015456710008RC"/>
    <s v="CIVIL"/>
    <d v="2023-06-29T00:00:00"/>
    <d v="2023-07-11T19:38:00"/>
    <m/>
    <d v="2023-07-11T00:00:00"/>
    <n v="1262"/>
    <n v="19363"/>
    <s v="61298400"/>
    <s v="61298400"/>
    <m/>
    <m/>
    <m/>
    <m/>
    <m/>
    <m/>
    <s v="SOLRECOUP"/>
    <s v="SOLRECOUP"/>
    <s v="POARECOUP"/>
    <n v="21361523"/>
    <n v="-45"/>
    <m/>
    <s v="Y"/>
    <n v="1"/>
    <d v="2023-07-11T19:38:01"/>
    <s v="N"/>
    <m/>
    <m/>
    <s v="Expert Disbursement"/>
    <m/>
    <s v="N"/>
    <n v="-45"/>
    <n v="0"/>
    <x v="7"/>
    <s v="VALIDATED"/>
    <n v="1"/>
    <s v="01.11.80.308.2013.0000"/>
    <n v="-45"/>
    <s v="11"/>
    <s v="2013"/>
    <n v="6873.01"/>
    <n v="-45"/>
    <s v="CREDITOR"/>
    <n v="0"/>
    <n v="0"/>
    <n v="-45"/>
    <n v="0"/>
    <n v="0"/>
  </r>
  <r>
    <n v="61298400"/>
    <s v="N"/>
    <n v="21361523"/>
    <s v="3000015456710008RC"/>
    <s v="CIVIL"/>
    <d v="2023-06-29T00:00:00"/>
    <d v="2023-07-11T19:38:00"/>
    <m/>
    <d v="2023-07-11T00:00:00"/>
    <n v="1262"/>
    <n v="19363"/>
    <s v="61298400"/>
    <s v="61298400"/>
    <m/>
    <m/>
    <m/>
    <m/>
    <m/>
    <m/>
    <s v="SOLRECOUP"/>
    <s v="SOLRECOUP"/>
    <s v="POARECOUP"/>
    <n v="21361523"/>
    <n v="-45"/>
    <m/>
    <s v="Y"/>
    <n v="2"/>
    <d v="2023-07-11T19:38:01"/>
    <s v="N"/>
    <m/>
    <m/>
    <s v="Expert Disbursement"/>
    <m/>
    <s v="N"/>
    <n v="0"/>
    <n v="0"/>
    <x v="7"/>
    <s v="VALIDATED"/>
    <n v="1"/>
    <s v="01.11.80.000.0000.0000"/>
    <n v="0"/>
    <s v="11"/>
    <s v="0000"/>
    <n v="6873.01"/>
    <n v="0"/>
    <s v="CREDITOR"/>
    <n v="0"/>
    <n v="0"/>
    <n v="0"/>
    <n v="0"/>
    <n v="0"/>
  </r>
  <r>
    <n v="61841989"/>
    <s v="N"/>
    <n v="21361524"/>
    <s v="3000015909120002RC"/>
    <s v="CIVIL"/>
    <d v="2023-06-30T00:00:00"/>
    <d v="2023-07-11T19:38:00"/>
    <m/>
    <d v="2023-07-11T00:00:00"/>
    <n v="1262"/>
    <n v="19363"/>
    <s v="61841989"/>
    <s v="61841989"/>
    <m/>
    <m/>
    <m/>
    <m/>
    <m/>
    <m/>
    <s v="SOLRECOUP"/>
    <s v="SOLRECOUP"/>
    <s v="POARECOUP"/>
    <n v="21361524"/>
    <n v="-167"/>
    <m/>
    <s v="Y"/>
    <n v="2"/>
    <d v="2023-07-11T19:38:01"/>
    <s v="N"/>
    <m/>
    <m/>
    <s v="Non Expert Disbursement"/>
    <m/>
    <s v="N"/>
    <n v="0"/>
    <n v="0"/>
    <x v="7"/>
    <s v="VALIDATED"/>
    <n v="1"/>
    <s v="01.11.80.000.0000.0000"/>
    <n v="0"/>
    <s v="11"/>
    <s v="0000"/>
    <n v="6873.01"/>
    <n v="0"/>
    <s v="CREDITOR"/>
    <n v="0"/>
    <n v="0"/>
    <n v="0"/>
    <n v="0"/>
    <n v="0"/>
  </r>
  <r>
    <n v="61841989"/>
    <s v="N"/>
    <n v="21361524"/>
    <s v="3000015909120002RC"/>
    <s v="CIVIL"/>
    <d v="2023-06-30T00:00:00"/>
    <d v="2023-07-11T19:38:00"/>
    <m/>
    <d v="2023-07-11T00:00:00"/>
    <n v="1262"/>
    <n v="19363"/>
    <s v="61841989"/>
    <s v="61841989"/>
    <m/>
    <m/>
    <m/>
    <m/>
    <m/>
    <m/>
    <s v="SOLRECOUP"/>
    <s v="SOLRECOUP"/>
    <s v="POARECOUP"/>
    <n v="21361524"/>
    <n v="-167"/>
    <m/>
    <s v="Y"/>
    <n v="1"/>
    <d v="2023-07-11T19:38:01"/>
    <s v="N"/>
    <m/>
    <m/>
    <s v="Non Expert Disbursement"/>
    <m/>
    <s v="N"/>
    <n v="-167"/>
    <n v="0"/>
    <x v="7"/>
    <s v="VALIDATED"/>
    <n v="1"/>
    <s v="01.11.80.302.2013.0000"/>
    <n v="-167"/>
    <s v="11"/>
    <s v="2013"/>
    <n v="6873.01"/>
    <n v="-167"/>
    <s v="CREDITOR"/>
    <n v="0"/>
    <n v="0"/>
    <n v="-167"/>
    <n v="0"/>
    <n v="0"/>
  </r>
  <r>
    <n v="62133129"/>
    <s v="N"/>
    <n v="21388255"/>
    <s v="3000016155240003RC"/>
    <s v="CIVIL"/>
    <d v="2023-06-29T00:00:00"/>
    <d v="2023-07-17T19:42:13"/>
    <m/>
    <d v="2023-07-17T00:00:00"/>
    <n v="1262"/>
    <n v="19363"/>
    <s v="62133129"/>
    <s v="62133129"/>
    <m/>
    <m/>
    <m/>
    <m/>
    <m/>
    <m/>
    <s v="SOLRECOUP"/>
    <s v="SOLRECOUP"/>
    <s v="POARECOUP"/>
    <n v="21388255"/>
    <n v="-176.4"/>
    <m/>
    <s v="Y"/>
    <n v="2"/>
    <d v="2023-07-17T19:42:15"/>
    <s v="N"/>
    <m/>
    <m/>
    <s v="Expert Disbursement"/>
    <m/>
    <s v="N"/>
    <n v="0"/>
    <n v="-29.4"/>
    <x v="8"/>
    <s v="VALIDATED"/>
    <n v="1"/>
    <s v="01.11.80.302.2013.0000"/>
    <n v="-29.4"/>
    <s v="11"/>
    <s v="2013"/>
    <n v="6873.01"/>
    <n v="-29.4"/>
    <s v="CREDITOR"/>
    <n v="0"/>
    <n v="0"/>
    <n v="-29.4"/>
    <n v="0"/>
    <n v="0"/>
  </r>
  <r>
    <n v="62133129"/>
    <s v="N"/>
    <n v="21388255"/>
    <s v="3000016155240003RC"/>
    <s v="CIVIL"/>
    <d v="2023-06-29T00:00:00"/>
    <d v="2023-07-17T19:42:13"/>
    <m/>
    <d v="2023-07-17T00:00:00"/>
    <n v="1262"/>
    <n v="19363"/>
    <s v="62133129"/>
    <s v="62133129"/>
    <m/>
    <m/>
    <m/>
    <m/>
    <m/>
    <m/>
    <s v="SOLRECOUP"/>
    <s v="SOLRECOUP"/>
    <s v="POARECOUP"/>
    <n v="21388255"/>
    <n v="-176.4"/>
    <m/>
    <s v="Y"/>
    <n v="1"/>
    <d v="2023-07-17T19:42:15"/>
    <s v="N"/>
    <m/>
    <m/>
    <s v="Expert Disbursement"/>
    <m/>
    <s v="N"/>
    <n v="-147"/>
    <n v="0"/>
    <x v="8"/>
    <s v="VALIDATED"/>
    <n v="1"/>
    <s v="01.11.80.302.2013.0000"/>
    <n v="-147"/>
    <s v="11"/>
    <s v="2013"/>
    <n v="6873.01"/>
    <n v="-147"/>
    <s v="CREDITOR"/>
    <n v="0"/>
    <n v="0"/>
    <n v="-147"/>
    <n v="0"/>
    <n v="0"/>
  </r>
  <r>
    <n v="62133129"/>
    <s v="N"/>
    <n v="21388256"/>
    <s v="3000016155240004RC"/>
    <s v="CIVIL"/>
    <d v="2023-06-29T00:00:00"/>
    <d v="2023-07-17T19:42:13"/>
    <m/>
    <d v="2023-07-17T00:00:00"/>
    <n v="1262"/>
    <n v="19363"/>
    <s v="62133129"/>
    <s v="62133129"/>
    <m/>
    <m/>
    <m/>
    <m/>
    <m/>
    <m/>
    <s v="SOLRECOUP"/>
    <s v="SOLRECOUP"/>
    <s v="POARECOUP"/>
    <n v="21388256"/>
    <n v="-162.6"/>
    <m/>
    <s v="Y"/>
    <n v="2"/>
    <d v="2023-07-17T19:42:15"/>
    <s v="N"/>
    <m/>
    <m/>
    <s v="Expert Disbursement"/>
    <m/>
    <s v="N"/>
    <n v="0"/>
    <n v="-27.1"/>
    <x v="8"/>
    <s v="VALIDATED"/>
    <n v="1"/>
    <s v="01.11.80.302.2013.0000"/>
    <n v="-27.1"/>
    <s v="11"/>
    <s v="2013"/>
    <n v="6873.01"/>
    <n v="-27.1"/>
    <s v="CREDITOR"/>
    <n v="0"/>
    <n v="0"/>
    <n v="-27.1"/>
    <n v="0"/>
    <n v="0"/>
  </r>
  <r>
    <n v="62133129"/>
    <s v="N"/>
    <n v="21388256"/>
    <s v="3000016155240004RC"/>
    <s v="CIVIL"/>
    <d v="2023-06-29T00:00:00"/>
    <d v="2023-07-17T19:42:13"/>
    <m/>
    <d v="2023-07-17T00:00:00"/>
    <n v="1262"/>
    <n v="19363"/>
    <s v="62133129"/>
    <s v="62133129"/>
    <m/>
    <m/>
    <m/>
    <m/>
    <m/>
    <m/>
    <s v="SOLRECOUP"/>
    <s v="SOLRECOUP"/>
    <s v="POARECOUP"/>
    <n v="21388256"/>
    <n v="-162.6"/>
    <m/>
    <s v="Y"/>
    <n v="1"/>
    <d v="2023-07-17T19:42:15"/>
    <s v="N"/>
    <m/>
    <m/>
    <s v="Expert Disbursement"/>
    <m/>
    <s v="N"/>
    <n v="-135.5"/>
    <n v="0"/>
    <x v="8"/>
    <s v="VALIDATED"/>
    <n v="1"/>
    <s v="01.11.80.302.2013.0000"/>
    <n v="-135.5"/>
    <s v="11"/>
    <s v="2013"/>
    <n v="6873.01"/>
    <n v="-135.5"/>
    <s v="CREDITOR"/>
    <n v="0"/>
    <n v="0"/>
    <n v="-135.5"/>
    <n v="0"/>
    <n v="0"/>
  </r>
  <r>
    <n v="62133129"/>
    <s v="N"/>
    <n v="21388260"/>
    <s v="3000016155240005RC"/>
    <s v="CIVIL"/>
    <d v="2023-06-29T00:00:00"/>
    <d v="2023-07-17T19:42:13"/>
    <m/>
    <d v="2023-07-17T00:00:00"/>
    <n v="1262"/>
    <n v="19363"/>
    <s v="62133129"/>
    <s v="62133129"/>
    <m/>
    <m/>
    <m/>
    <m/>
    <m/>
    <m/>
    <s v="SOLRECOUP"/>
    <s v="SOLRECOUP"/>
    <s v="POARECOUP"/>
    <n v="21388260"/>
    <n v="-486.72"/>
    <m/>
    <s v="Y"/>
    <n v="2"/>
    <d v="2023-07-17T19:42:15"/>
    <s v="N"/>
    <m/>
    <m/>
    <s v="Profit Cost"/>
    <m/>
    <s v="N"/>
    <n v="0"/>
    <n v="-81.12"/>
    <x v="8"/>
    <s v="VALIDATED"/>
    <n v="1"/>
    <s v="01.11.80.302.2013.0000"/>
    <n v="-81.12"/>
    <s v="11"/>
    <s v="2013"/>
    <n v="6873.01"/>
    <n v="-81.12"/>
    <s v="CREDITOR"/>
    <n v="0"/>
    <n v="0"/>
    <n v="-81.12"/>
    <n v="-20.28"/>
    <n v="0"/>
  </r>
  <r>
    <n v="62133129"/>
    <s v="N"/>
    <n v="21388260"/>
    <s v="3000016155240005RC"/>
    <s v="CIVIL"/>
    <d v="2023-06-29T00:00:00"/>
    <d v="2023-07-17T19:42:13"/>
    <m/>
    <d v="2023-07-17T00:00:00"/>
    <n v="1262"/>
    <n v="19363"/>
    <s v="62133129"/>
    <s v="62133129"/>
    <m/>
    <m/>
    <m/>
    <m/>
    <m/>
    <m/>
    <s v="SOLRECOUP"/>
    <s v="SOLRECOUP"/>
    <s v="POARECOUP"/>
    <n v="21388260"/>
    <n v="-486.72"/>
    <m/>
    <s v="Y"/>
    <n v="1"/>
    <d v="2023-07-17T19:42:15"/>
    <s v="N"/>
    <m/>
    <m/>
    <s v="Profit Cost"/>
    <m/>
    <s v="N"/>
    <n v="-405.6"/>
    <n v="0"/>
    <x v="8"/>
    <s v="VALIDATED"/>
    <n v="1"/>
    <s v="01.11.80.302.2013.0000"/>
    <n v="-405.6"/>
    <s v="11"/>
    <s v="2013"/>
    <n v="6873.01"/>
    <n v="-405.6"/>
    <s v="CREDITOR"/>
    <n v="0"/>
    <n v="0"/>
    <n v="-405.6"/>
    <n v="-101.4"/>
    <n v="0"/>
  </r>
  <r>
    <n v="62133129"/>
    <s v="N"/>
    <n v="21388261"/>
    <s v="3000016155240001RC"/>
    <s v="CIVIL"/>
    <d v="2023-06-29T00:00:00"/>
    <d v="2023-07-17T19:42:13"/>
    <m/>
    <d v="2023-07-17T00:00:00"/>
    <n v="1262"/>
    <n v="19363"/>
    <s v="62133129"/>
    <s v="62133129"/>
    <m/>
    <m/>
    <m/>
    <m/>
    <m/>
    <m/>
    <s v="SOLRECOUP"/>
    <s v="SOLRECOUP"/>
    <s v="POARECOUP"/>
    <n v="21388261"/>
    <n v="-183.9"/>
    <m/>
    <s v="Y"/>
    <n v="1"/>
    <d v="2023-07-17T19:42:15"/>
    <s v="N"/>
    <m/>
    <m/>
    <s v="Expert Disbursement"/>
    <m/>
    <s v="N"/>
    <n v="-153.25"/>
    <n v="0"/>
    <x v="8"/>
    <s v="VALIDATED"/>
    <n v="1"/>
    <s v="01.11.80.302.2013.0000"/>
    <n v="-153.25"/>
    <s v="11"/>
    <s v="2013"/>
    <n v="6873.01"/>
    <n v="-153.25"/>
    <s v="CREDITOR"/>
    <n v="0"/>
    <n v="0"/>
    <n v="-153.25"/>
    <n v="0"/>
    <n v="0"/>
  </r>
  <r>
    <n v="62133129"/>
    <s v="N"/>
    <n v="21388261"/>
    <s v="3000016155240001RC"/>
    <s v="CIVIL"/>
    <d v="2023-06-29T00:00:00"/>
    <d v="2023-07-17T19:42:13"/>
    <m/>
    <d v="2023-07-17T00:00:00"/>
    <n v="1262"/>
    <n v="19363"/>
    <s v="62133129"/>
    <s v="62133129"/>
    <m/>
    <m/>
    <m/>
    <m/>
    <m/>
    <m/>
    <s v="SOLRECOUP"/>
    <s v="SOLRECOUP"/>
    <s v="POARECOUP"/>
    <n v="21388261"/>
    <n v="-183.9"/>
    <m/>
    <s v="Y"/>
    <n v="2"/>
    <d v="2023-07-17T19:42:15"/>
    <s v="N"/>
    <m/>
    <m/>
    <s v="Expert Disbursement"/>
    <m/>
    <s v="N"/>
    <n v="0"/>
    <n v="-30.65"/>
    <x v="8"/>
    <s v="VALIDATED"/>
    <n v="1"/>
    <s v="01.11.80.302.2013.0000"/>
    <n v="-30.65"/>
    <s v="11"/>
    <s v="2013"/>
    <n v="6873.01"/>
    <n v="-30.65"/>
    <s v="CREDITOR"/>
    <n v="0"/>
    <n v="0"/>
    <n v="-30.65"/>
    <n v="0"/>
    <n v="0"/>
  </r>
  <r>
    <n v="61751806"/>
    <s v="N"/>
    <n v="21366438"/>
    <s v="3000015831670003RC"/>
    <s v="CIVIL"/>
    <d v="2023-06-29T00:00:00"/>
    <d v="2023-07-12T19:45:17"/>
    <m/>
    <d v="2023-07-12T00:00:00"/>
    <n v="1262"/>
    <n v="19363"/>
    <s v="61751806"/>
    <s v="61751806"/>
    <m/>
    <m/>
    <m/>
    <m/>
    <m/>
    <m/>
    <s v="SOLRECOUP"/>
    <s v="SOLRECOUP"/>
    <s v="POARECOUP"/>
    <n v="21366438"/>
    <n v="-1033.92"/>
    <m/>
    <s v="Y"/>
    <n v="2"/>
    <d v="2023-07-12T19:45:18"/>
    <s v="N"/>
    <m/>
    <m/>
    <s v="Profit Cost"/>
    <m/>
    <s v="N"/>
    <n v="0"/>
    <n v="-172.32"/>
    <x v="0"/>
    <s v="VALIDATED"/>
    <n v="1"/>
    <s v="01.11.80.302.2013.0000"/>
    <n v="-172.32"/>
    <s v="11"/>
    <s v="2013"/>
    <n v="6873.01"/>
    <n v="-172.32"/>
    <s v="CREDITOR"/>
    <n v="0"/>
    <n v="0"/>
    <n v="-172.32"/>
    <n v="-43.08"/>
    <n v="0"/>
  </r>
  <r>
    <n v="61751806"/>
    <s v="N"/>
    <n v="21366438"/>
    <s v="3000015831670003RC"/>
    <s v="CIVIL"/>
    <d v="2023-06-29T00:00:00"/>
    <d v="2023-07-12T19:45:17"/>
    <m/>
    <d v="2023-07-12T00:00:00"/>
    <n v="1262"/>
    <n v="19363"/>
    <s v="61751806"/>
    <s v="61751806"/>
    <m/>
    <m/>
    <m/>
    <m/>
    <m/>
    <m/>
    <s v="SOLRECOUP"/>
    <s v="SOLRECOUP"/>
    <s v="POARECOUP"/>
    <n v="21366438"/>
    <n v="-1033.92"/>
    <m/>
    <s v="Y"/>
    <n v="1"/>
    <d v="2023-07-12T19:45:18"/>
    <s v="N"/>
    <m/>
    <m/>
    <s v="Profit Cost"/>
    <m/>
    <s v="N"/>
    <n v="-861.6"/>
    <n v="0"/>
    <x v="0"/>
    <s v="VALIDATED"/>
    <n v="1"/>
    <s v="01.11.80.302.2013.0000"/>
    <n v="-861.6"/>
    <s v="11"/>
    <s v="2013"/>
    <n v="6873.01"/>
    <n v="-861.6"/>
    <s v="CREDITOR"/>
    <n v="0"/>
    <n v="0"/>
    <n v="-861.6"/>
    <n v="-215.4"/>
    <n v="0"/>
  </r>
  <r>
    <n v="61751806"/>
    <s v="N"/>
    <n v="21366439"/>
    <s v="3000015831670001RC"/>
    <s v="CIVIL"/>
    <d v="2023-06-29T00:00:00"/>
    <d v="2023-07-12T19:45:17"/>
    <m/>
    <d v="2023-07-12T00:00:00"/>
    <n v="1262"/>
    <n v="19363"/>
    <s v="61751806"/>
    <s v="61751806"/>
    <m/>
    <m/>
    <m/>
    <m/>
    <m/>
    <m/>
    <s v="SOLRECOUP"/>
    <s v="SOLRECOUP"/>
    <s v="POARECOUP"/>
    <n v="21366439"/>
    <n v="-120"/>
    <m/>
    <s v="Y"/>
    <n v="2"/>
    <d v="2023-07-12T19:45:18"/>
    <s v="N"/>
    <m/>
    <m/>
    <s v="Expert Disbursement"/>
    <m/>
    <s v="N"/>
    <n v="0"/>
    <n v="-20"/>
    <x v="0"/>
    <s v="VALIDATED"/>
    <n v="1"/>
    <s v="01.11.80.302.2013.0000"/>
    <n v="-20"/>
    <s v="11"/>
    <s v="2013"/>
    <n v="6873.01"/>
    <n v="-20"/>
    <s v="CREDITOR"/>
    <n v="0"/>
    <n v="0"/>
    <n v="-20"/>
    <n v="0"/>
    <n v="0"/>
  </r>
  <r>
    <n v="61751806"/>
    <s v="N"/>
    <n v="21366439"/>
    <s v="3000015831670001RC"/>
    <s v="CIVIL"/>
    <d v="2023-06-29T00:00:00"/>
    <d v="2023-07-12T19:45:17"/>
    <m/>
    <d v="2023-07-12T00:00:00"/>
    <n v="1262"/>
    <n v="19363"/>
    <s v="61751806"/>
    <s v="61751806"/>
    <m/>
    <m/>
    <m/>
    <m/>
    <m/>
    <m/>
    <s v="SOLRECOUP"/>
    <s v="SOLRECOUP"/>
    <s v="POARECOUP"/>
    <n v="21366439"/>
    <n v="-120"/>
    <m/>
    <s v="Y"/>
    <n v="1"/>
    <d v="2023-07-12T19:45:18"/>
    <s v="N"/>
    <m/>
    <m/>
    <s v="Expert Disbursement"/>
    <m/>
    <s v="N"/>
    <n v="-100"/>
    <n v="0"/>
    <x v="0"/>
    <s v="VALIDATED"/>
    <n v="1"/>
    <s v="01.11.80.302.2013.0000"/>
    <n v="-100"/>
    <s v="11"/>
    <s v="2013"/>
    <n v="6873.01"/>
    <n v="-100"/>
    <s v="CREDITOR"/>
    <n v="0"/>
    <n v="0"/>
    <n v="-100"/>
    <n v="0"/>
    <n v="0"/>
  </r>
  <r>
    <n v="61751806"/>
    <s v="N"/>
    <n v="21366440"/>
    <s v="3000015831670002RC"/>
    <s v="CIVIL"/>
    <d v="2023-06-29T00:00:00"/>
    <d v="2023-07-12T19:45:17"/>
    <m/>
    <d v="2023-07-12T00:00:00"/>
    <n v="1262"/>
    <n v="19363"/>
    <s v="61751806"/>
    <s v="61751806"/>
    <m/>
    <m/>
    <m/>
    <m/>
    <m/>
    <m/>
    <s v="SOLRECOUP"/>
    <s v="SOLRECOUP"/>
    <s v="POARECOUP"/>
    <n v="21366440"/>
    <n v="-120"/>
    <m/>
    <s v="Y"/>
    <n v="2"/>
    <d v="2023-07-12T19:45:18"/>
    <s v="N"/>
    <m/>
    <m/>
    <s v="Expert Disbursement"/>
    <m/>
    <s v="N"/>
    <n v="0"/>
    <n v="-20"/>
    <x v="0"/>
    <s v="VALIDATED"/>
    <n v="1"/>
    <s v="01.11.80.302.2013.0000"/>
    <n v="-20"/>
    <s v="11"/>
    <s v="2013"/>
    <n v="6873.01"/>
    <n v="-20"/>
    <s v="CREDITOR"/>
    <n v="0"/>
    <n v="0"/>
    <n v="-20"/>
    <n v="0"/>
    <n v="0"/>
  </r>
  <r>
    <n v="61751806"/>
    <s v="N"/>
    <n v="21366440"/>
    <s v="3000015831670002RC"/>
    <s v="CIVIL"/>
    <d v="2023-06-29T00:00:00"/>
    <d v="2023-07-12T19:45:17"/>
    <m/>
    <d v="2023-07-12T00:00:00"/>
    <n v="1262"/>
    <n v="19363"/>
    <s v="61751806"/>
    <s v="61751806"/>
    <m/>
    <m/>
    <m/>
    <m/>
    <m/>
    <m/>
    <s v="SOLRECOUP"/>
    <s v="SOLRECOUP"/>
    <s v="POARECOUP"/>
    <n v="21366440"/>
    <n v="-120"/>
    <m/>
    <s v="Y"/>
    <n v="1"/>
    <d v="2023-07-12T19:45:18"/>
    <s v="N"/>
    <m/>
    <m/>
    <s v="Expert Disbursement"/>
    <m/>
    <s v="N"/>
    <n v="-100"/>
    <n v="0"/>
    <x v="0"/>
    <s v="VALIDATED"/>
    <n v="1"/>
    <s v="01.11.80.302.2013.0000"/>
    <n v="-100"/>
    <s v="11"/>
    <s v="2013"/>
    <n v="6873.01"/>
    <n v="-100"/>
    <s v="CREDITOR"/>
    <n v="0"/>
    <n v="0"/>
    <n v="-100"/>
    <n v="0"/>
    <n v="0"/>
  </r>
  <r>
    <n v="61298400"/>
    <s v="N"/>
    <n v="21361515"/>
    <s v="3000015456710006RC"/>
    <s v="CIVIL"/>
    <d v="2023-06-29T00:00:00"/>
    <d v="2023-07-11T19:38:00"/>
    <m/>
    <d v="2023-07-11T00:00:00"/>
    <n v="1262"/>
    <n v="19363"/>
    <s v="61298400"/>
    <s v="61298400"/>
    <m/>
    <m/>
    <m/>
    <m/>
    <m/>
    <m/>
    <s v="SOLRECOUP"/>
    <s v="SOLRECOUP"/>
    <s v="POARECOUP"/>
    <n v="21361515"/>
    <n v="-3168"/>
    <m/>
    <s v="Y"/>
    <n v="1"/>
    <d v="2023-07-11T19:38:01"/>
    <s v="N"/>
    <m/>
    <m/>
    <s v="Profit Cost"/>
    <m/>
    <s v="N"/>
    <n v="-2640"/>
    <n v="0"/>
    <x v="7"/>
    <s v="VALIDATED"/>
    <n v="1"/>
    <s v="01.11.80.308.2013.0000"/>
    <n v="-2640"/>
    <s v="11"/>
    <s v="2013"/>
    <n v="6873.01"/>
    <n v="-2640"/>
    <s v="CREDITOR"/>
    <n v="0"/>
    <n v="0"/>
    <n v="-2640"/>
    <n v="-660"/>
    <n v="0"/>
  </r>
  <r>
    <n v="61298400"/>
    <s v="N"/>
    <n v="21361515"/>
    <s v="3000015456710006RC"/>
    <s v="CIVIL"/>
    <d v="2023-06-29T00:00:00"/>
    <d v="2023-07-11T19:38:00"/>
    <m/>
    <d v="2023-07-11T00:00:00"/>
    <n v="1262"/>
    <n v="19363"/>
    <s v="61298400"/>
    <s v="61298400"/>
    <m/>
    <m/>
    <m/>
    <m/>
    <m/>
    <m/>
    <s v="SOLRECOUP"/>
    <s v="SOLRECOUP"/>
    <s v="POARECOUP"/>
    <n v="21361515"/>
    <n v="-3168"/>
    <m/>
    <s v="Y"/>
    <n v="2"/>
    <d v="2023-07-11T19:38:01"/>
    <s v="N"/>
    <m/>
    <m/>
    <s v="Profit Cost"/>
    <m/>
    <s v="N"/>
    <n v="0"/>
    <n v="-528"/>
    <x v="7"/>
    <s v="VALIDATED"/>
    <n v="1"/>
    <s v="01.11.80.308.2013.0000"/>
    <n v="-528"/>
    <s v="11"/>
    <s v="2013"/>
    <n v="6873.01"/>
    <n v="-528"/>
    <s v="CREDITOR"/>
    <n v="0"/>
    <n v="0"/>
    <n v="-528"/>
    <n v="-132"/>
    <n v="0"/>
  </r>
  <r>
    <n v="61298400"/>
    <s v="N"/>
    <n v="21361516"/>
    <s v="3000015456710001RC"/>
    <s v="CIVIL"/>
    <d v="2023-06-29T00:00:00"/>
    <d v="2023-07-11T19:38:00"/>
    <m/>
    <d v="2023-07-11T00:00:00"/>
    <n v="1262"/>
    <n v="19363"/>
    <s v="61298400"/>
    <s v="61298400"/>
    <m/>
    <m/>
    <m/>
    <m/>
    <m/>
    <m/>
    <s v="SOLRECOUP"/>
    <s v="SOLRECOUP"/>
    <s v="POARECOUP"/>
    <n v="21361516"/>
    <n v="-294.96"/>
    <m/>
    <s v="Y"/>
    <n v="1"/>
    <d v="2023-07-11T19:38:01"/>
    <s v="N"/>
    <m/>
    <m/>
    <s v="Expert Disbursement"/>
    <m/>
    <s v="N"/>
    <n v="-294.96"/>
    <n v="0"/>
    <x v="7"/>
    <s v="VALIDATED"/>
    <n v="1"/>
    <s v="01.11.80.308.2013.0000"/>
    <n v="-294.96"/>
    <s v="11"/>
    <s v="2013"/>
    <n v="6873.01"/>
    <n v="-294.96"/>
    <s v="CREDITOR"/>
    <n v="0"/>
    <n v="0"/>
    <n v="-294.96"/>
    <n v="0"/>
    <n v="0"/>
  </r>
  <r>
    <n v="61298400"/>
    <s v="N"/>
    <n v="21361516"/>
    <s v="3000015456710001RC"/>
    <s v="CIVIL"/>
    <d v="2023-06-29T00:00:00"/>
    <d v="2023-07-11T19:38:00"/>
    <m/>
    <d v="2023-07-11T00:00:00"/>
    <n v="1262"/>
    <n v="19363"/>
    <s v="61298400"/>
    <s v="61298400"/>
    <m/>
    <m/>
    <m/>
    <m/>
    <m/>
    <m/>
    <s v="SOLRECOUP"/>
    <s v="SOLRECOUP"/>
    <s v="POARECOUP"/>
    <n v="21361516"/>
    <n v="-294.96"/>
    <m/>
    <s v="Y"/>
    <n v="2"/>
    <d v="2023-07-11T19:38:01"/>
    <s v="N"/>
    <m/>
    <m/>
    <s v="Expert Disbursement"/>
    <m/>
    <s v="N"/>
    <n v="0"/>
    <n v="0"/>
    <x v="7"/>
    <s v="VALIDATED"/>
    <n v="1"/>
    <s v="01.11.80.000.0000.0000"/>
    <n v="0"/>
    <s v="11"/>
    <s v="0000"/>
    <n v="6873.01"/>
    <n v="0"/>
    <s v="CREDITOR"/>
    <n v="0"/>
    <n v="0"/>
    <n v="0"/>
    <n v="0"/>
    <n v="0"/>
  </r>
  <r>
    <n v="61298400"/>
    <s v="N"/>
    <n v="21361517"/>
    <s v="3000015456710004RC"/>
    <s v="CIVIL"/>
    <d v="2023-06-29T00:00:00"/>
    <d v="2023-07-11T19:38:00"/>
    <m/>
    <d v="2023-07-11T00:00:00"/>
    <n v="1262"/>
    <n v="19363"/>
    <s v="61298400"/>
    <s v="61298400"/>
    <m/>
    <m/>
    <m/>
    <m/>
    <m/>
    <m/>
    <s v="SOLRECOUP"/>
    <s v="SOLRECOUP"/>
    <s v="POARECOUP"/>
    <n v="21361517"/>
    <n v="-23.93"/>
    <m/>
    <s v="Y"/>
    <n v="2"/>
    <d v="2023-07-11T19:38:01"/>
    <s v="N"/>
    <m/>
    <m/>
    <s v="Non Expert Disbursement"/>
    <m/>
    <s v="N"/>
    <n v="0"/>
    <n v="-3.99"/>
    <x v="7"/>
    <s v="VALIDATED"/>
    <n v="1"/>
    <s v="01.11.80.308.2013.0000"/>
    <n v="-3.99"/>
    <s v="11"/>
    <s v="2013"/>
    <n v="6873.01"/>
    <n v="-3.99"/>
    <s v="CREDITOR"/>
    <n v="0"/>
    <n v="0"/>
    <n v="-3.99"/>
    <n v="0"/>
    <n v="0"/>
  </r>
  <r>
    <n v="62133129"/>
    <s v="N"/>
    <n v="21322738"/>
    <s v="3000016155240005"/>
    <s v="CIVIL"/>
    <d v="2023-06-29T00:00:00"/>
    <d v="2023-07-03T19:05:36"/>
    <m/>
    <d v="2023-07-03T00:00:00"/>
    <n v="1262"/>
    <n v="19363"/>
    <s v="62133129"/>
    <s v="62133129"/>
    <m/>
    <m/>
    <n v="22793488"/>
    <m/>
    <m/>
    <m/>
    <s v="SOLPOA"/>
    <s v="SOLPOA"/>
    <s v="CCMS"/>
    <n v="21322738"/>
    <n v="486.72"/>
    <m/>
    <s v="N"/>
    <n v="1"/>
    <d v="2023-07-03T19:05:39"/>
    <s v="N"/>
    <s v="Level 4 Fixed Fee"/>
    <s v="Domestic Abuse"/>
    <s v="Profit Cost"/>
    <s v="JLH"/>
    <s v="N"/>
    <n v="405.6"/>
    <n v="81.12"/>
    <x v="3"/>
    <s v="VALIDATED"/>
    <n v="1"/>
    <s v="01.11.80.302.2012.0000"/>
    <n v="405.6"/>
    <s v="11"/>
    <s v="2012"/>
    <n v="6873.01"/>
    <n v="405.6"/>
    <s v="CREDITOR"/>
    <n v="405.6"/>
    <n v="101.4"/>
    <n v="0"/>
    <n v="0"/>
    <n v="0"/>
  </r>
  <r>
    <n v="61841989"/>
    <s v="N"/>
    <n v="21360994"/>
    <s v="3000015909120004"/>
    <s v="CIVIL"/>
    <d v="2023-06-30T00:00:00"/>
    <d v="2023-07-11T19:00:25"/>
    <m/>
    <d v="2023-07-11T00:00:00"/>
    <n v="1262"/>
    <n v="19363"/>
    <s v="61841989"/>
    <s v="61841989"/>
    <m/>
    <m/>
    <n v="22800842"/>
    <m/>
    <m/>
    <m/>
    <s v="SOLFIN"/>
    <s v="SOLFIN"/>
    <s v="CCMS"/>
    <n v="21360994"/>
    <n v="2157.87"/>
    <m/>
    <s v="N"/>
    <n v="10"/>
    <d v="2023-07-11T19:00:42"/>
    <s v="Y"/>
    <s v="Advocacy - Final Hearing"/>
    <s v="Prescribed Hourly Rates"/>
    <s v="Advocacy"/>
    <s v="HB"/>
    <s v="Y"/>
    <n v="90.72"/>
    <n v="18.14"/>
    <x v="7"/>
    <s v="VALIDATED"/>
    <n v="1"/>
    <s v="01.11.80.302.6100.0000"/>
    <n v="90.72"/>
    <s v="11"/>
    <s v="6100"/>
    <n v="6873.01"/>
    <n v="90.72"/>
    <s v="CREDITOR"/>
    <n v="0"/>
    <n v="0"/>
    <n v="0"/>
    <n v="0"/>
    <n v="90.72"/>
  </r>
  <r>
    <n v="61298400"/>
    <s v="N"/>
    <n v="21360574"/>
    <s v="3000015456710010"/>
    <s v="CIVIL"/>
    <d v="2023-06-29T00:00:00"/>
    <d v="2023-07-11T11:50:54"/>
    <m/>
    <d v="2023-07-11T00:00:00"/>
    <n v="1262"/>
    <n v="19363"/>
    <s v="61298400"/>
    <s v="61298400"/>
    <m/>
    <m/>
    <n v="22790952"/>
    <m/>
    <m/>
    <m/>
    <s v="SOLFIN"/>
    <s v="SOLFIN"/>
    <s v="CCMS"/>
    <n v="21360574"/>
    <n v="9615.559999999999"/>
    <m/>
    <s v="N"/>
    <n v="17"/>
    <d v="2023-07-11T11:51:10"/>
    <s v="Y"/>
    <s v="Preparation - other"/>
    <s v="Care Remuneration Hourly Rates"/>
    <s v="Profit Cost"/>
    <s v="hb"/>
    <s v="Y"/>
    <n v="69.53"/>
    <n v="13.91"/>
    <x v="7"/>
    <s v="VALIDATED"/>
    <n v="1"/>
    <s v="01.11.80.308.6100.0000"/>
    <n v="69.53"/>
    <s v="11"/>
    <s v="6100"/>
    <n v="6873.01"/>
    <n v="69.53"/>
    <s v="CREDITOR"/>
    <n v="0"/>
    <n v="0"/>
    <n v="0"/>
    <n v="0"/>
    <n v="69.53"/>
  </r>
  <r>
    <n v="61298400"/>
    <s v="N"/>
    <n v="21360574"/>
    <s v="3000015456710010"/>
    <s v="CIVIL"/>
    <d v="2023-06-29T00:00:00"/>
    <d v="2023-07-11T11:50:54"/>
    <m/>
    <d v="2023-07-11T00:00:00"/>
    <n v="1262"/>
    <n v="19363"/>
    <s v="61298400"/>
    <s v="61298400"/>
    <m/>
    <m/>
    <n v="22790952"/>
    <m/>
    <m/>
    <m/>
    <s v="SOLFIN"/>
    <s v="SOLFIN"/>
    <s v="CCMS"/>
    <n v="21360574"/>
    <n v="9615.559999999999"/>
    <m/>
    <s v="N"/>
    <n v="27"/>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64"/>
    <d v="2023-07-11T11:51:10"/>
    <s v="Y"/>
    <s v="Preparation - drafting statement"/>
    <s v="Care Remuneration Hourly Rates"/>
    <s v="Profit Cost"/>
    <s v="HB"/>
    <s v="Y"/>
    <n v="60.46"/>
    <n v="12.09"/>
    <x v="7"/>
    <s v="VALIDATED"/>
    <n v="1"/>
    <s v="01.11.80.308.6100.0000"/>
    <n v="60.46"/>
    <s v="11"/>
    <s v="6100"/>
    <n v="6873.01"/>
    <n v="60.46"/>
    <s v="CREDITOR"/>
    <n v="0"/>
    <n v="0"/>
    <n v="0"/>
    <n v="0"/>
    <n v="60.46"/>
  </r>
  <r>
    <n v="61298400"/>
    <s v="N"/>
    <n v="21360574"/>
    <s v="3000015456710010"/>
    <s v="CIVIL"/>
    <d v="2023-06-29T00:00:00"/>
    <d v="2023-07-11T11:50:54"/>
    <m/>
    <d v="2023-07-11T00:00:00"/>
    <n v="1262"/>
    <n v="19363"/>
    <s v="61298400"/>
    <s v="61298400"/>
    <m/>
    <m/>
    <n v="22790952"/>
    <m/>
    <m/>
    <m/>
    <s v="SOLFIN"/>
    <s v="SOLFIN"/>
    <s v="CCMS"/>
    <n v="21360574"/>
    <n v="9615.559999999999"/>
    <m/>
    <s v="N"/>
    <n v="78"/>
    <d v="2023-07-11T11:51:10"/>
    <s v="Y"/>
    <s v="Preparation - other"/>
    <s v="Care Remuneration Hourly Rates"/>
    <s v="Profit Cost"/>
    <s v="hb"/>
    <s v="Y"/>
    <n v="18.14"/>
    <n v="3.63"/>
    <x v="7"/>
    <s v="VALIDATED"/>
    <n v="1"/>
    <s v="01.11.80.308.6100.0000"/>
    <n v="18.14"/>
    <s v="11"/>
    <s v="6100"/>
    <n v="6873.01"/>
    <n v="18.14"/>
    <s v="CREDITOR"/>
    <n v="0"/>
    <n v="0"/>
    <n v="0"/>
    <n v="0"/>
    <n v="18.14"/>
  </r>
  <r>
    <n v="61298400"/>
    <s v="N"/>
    <n v="21360574"/>
    <s v="3000015456710010"/>
    <s v="CIVIL"/>
    <d v="2023-06-29T00:00:00"/>
    <d v="2023-07-11T11:50:54"/>
    <m/>
    <d v="2023-07-11T00:00:00"/>
    <n v="1262"/>
    <n v="19363"/>
    <s v="61298400"/>
    <s v="61298400"/>
    <m/>
    <m/>
    <n v="22790952"/>
    <m/>
    <m/>
    <m/>
    <s v="SOLFIN"/>
    <s v="SOLFIN"/>
    <s v="CCMS"/>
    <n v="21360574"/>
    <n v="9615.559999999999"/>
    <m/>
    <s v="N"/>
    <n v="49"/>
    <d v="2023-07-11T11:51:10"/>
    <s v="Y"/>
    <s v="Attendance upon client"/>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68"/>
    <d v="2023-07-11T11:51:10"/>
    <s v="Y"/>
    <s v="Preparation - other"/>
    <s v="Care Remuneration Hourly Rates"/>
    <s v="Profit Cost"/>
    <s v="HB"/>
    <s v="Y"/>
    <n v="24.18"/>
    <n v="4.84"/>
    <x v="7"/>
    <s v="VALIDATED"/>
    <n v="1"/>
    <s v="01.11.80.308.6100.0000"/>
    <n v="24.18"/>
    <s v="11"/>
    <s v="6100"/>
    <n v="6873.01"/>
    <n v="24.18"/>
    <s v="CREDITOR"/>
    <n v="0"/>
    <n v="0"/>
    <n v="0"/>
    <n v="0"/>
    <n v="24.18"/>
  </r>
  <r>
    <n v="61841989"/>
    <s v="N"/>
    <n v="21360994"/>
    <s v="3000015909120004"/>
    <s v="CIVIL"/>
    <d v="2023-06-30T00:00:00"/>
    <d v="2023-07-11T19:00:25"/>
    <m/>
    <d v="2023-07-11T00:00:00"/>
    <n v="1262"/>
    <n v="19363"/>
    <s v="61841989"/>
    <s v="61841989"/>
    <m/>
    <m/>
    <n v="22800842"/>
    <m/>
    <m/>
    <m/>
    <s v="SOLFIN"/>
    <s v="SOLFIN"/>
    <s v="CCMS"/>
    <n v="21360994"/>
    <n v="2157.87"/>
    <m/>
    <s v="N"/>
    <n v="12"/>
    <d v="2023-07-11T19:00:42"/>
    <s v="Y"/>
    <s v="Advocacy - Directions Hearing"/>
    <s v="Prescribed Hourly Rates"/>
    <s v="Advocacy"/>
    <s v="HB"/>
    <s v="Y"/>
    <n v="75.59999999999999"/>
    <n v="15.12"/>
    <x v="7"/>
    <s v="VALIDATED"/>
    <n v="1"/>
    <s v="01.11.80.302.6100.0000"/>
    <n v="75.59999999999999"/>
    <s v="11"/>
    <s v="6100"/>
    <n v="6873.01"/>
    <n v="75.59999999999999"/>
    <s v="CREDITOR"/>
    <n v="0"/>
    <n v="0"/>
    <n v="0"/>
    <n v="0"/>
    <n v="75.59999999999999"/>
  </r>
  <r>
    <n v="61298400"/>
    <s v="N"/>
    <n v="21360574"/>
    <s v="3000015456710010"/>
    <s v="CIVIL"/>
    <d v="2023-06-29T00:00:00"/>
    <d v="2023-07-11T11:50:54"/>
    <m/>
    <d v="2023-07-11T00:00:00"/>
    <n v="1262"/>
    <n v="19363"/>
    <s v="61298400"/>
    <s v="61298400"/>
    <m/>
    <m/>
    <n v="22790952"/>
    <m/>
    <m/>
    <m/>
    <s v="SOLFIN"/>
    <s v="SOLFIN"/>
    <s v="CCMS"/>
    <n v="21360574"/>
    <n v="9615.559999999999"/>
    <m/>
    <s v="N"/>
    <n v="35"/>
    <d v="2023-07-11T11:51:10"/>
    <s v="Y"/>
    <s v="Preparation - other"/>
    <s v="Care Remuneration Hourly Rates"/>
    <s v="Profit Cost"/>
    <s v="HB"/>
    <s v="Y"/>
    <n v="3.02"/>
    <n v="0.6"/>
    <x v="7"/>
    <s v="VALIDATED"/>
    <n v="1"/>
    <s v="01.11.80.308.6100.0000"/>
    <n v="3.02"/>
    <s v="11"/>
    <s v="6100"/>
    <n v="6873.01"/>
    <n v="3.02"/>
    <s v="CREDITOR"/>
    <n v="0"/>
    <n v="0"/>
    <n v="0"/>
    <n v="0"/>
    <n v="3.02"/>
  </r>
  <r>
    <n v="62125756"/>
    <s v="N"/>
    <n v="21322527"/>
    <s v="3000016148770002"/>
    <s v="CIVIL"/>
    <d v="2023-06-29T00:00:00"/>
    <d v="2023-07-03T19:05:36"/>
    <m/>
    <d v="2023-07-03T00:00:00"/>
    <n v="1262"/>
    <n v="19363"/>
    <s v="62125756"/>
    <s v="62125756"/>
    <m/>
    <m/>
    <n v="22792680"/>
    <m/>
    <m/>
    <m/>
    <s v="SOLPOA"/>
    <s v="SOLPOA"/>
    <s v="CCMS"/>
    <n v="21322527"/>
    <n v="2208"/>
    <m/>
    <s v="N"/>
    <n v="1"/>
    <d v="2023-07-03T19:05:38"/>
    <s v="N"/>
    <s v="Solicitors Fixed Fee"/>
    <s v="Public Law Children"/>
    <s v="Profit Cost"/>
    <s v="AFS"/>
    <s v="N"/>
    <n v="1840"/>
    <n v="368"/>
    <x v="3"/>
    <s v="VALIDATED"/>
    <n v="1"/>
    <s v="01.11.80.308.2012.0000"/>
    <n v="1840"/>
    <s v="11"/>
    <s v="2012"/>
    <n v="6873.01"/>
    <n v="1840"/>
    <s v="CREDITOR"/>
    <n v="1840"/>
    <n v="460"/>
    <n v="0"/>
    <n v="0"/>
    <n v="0"/>
  </r>
  <r>
    <n v="61298400"/>
    <s v="N"/>
    <n v="21360574"/>
    <s v="3000015456710010"/>
    <s v="CIVIL"/>
    <d v="2023-06-29T00:00:00"/>
    <d v="2023-07-11T11:50:54"/>
    <m/>
    <d v="2023-07-11T00:00:00"/>
    <n v="1262"/>
    <n v="19363"/>
    <s v="61298400"/>
    <s v="61298400"/>
    <m/>
    <m/>
    <n v="22790952"/>
    <m/>
    <m/>
    <m/>
    <s v="SOLFIN"/>
    <s v="SOLFIN"/>
    <s v="CCMS"/>
    <n v="21360574"/>
    <n v="9615.559999999999"/>
    <m/>
    <s v="N"/>
    <n v="75"/>
    <d v="2023-07-11T11:51:10"/>
    <s v="Y"/>
    <s v="Preparation - drafting attendance n"/>
    <s v="Care Remuneration Hourly Rates"/>
    <s v="Profit Cost"/>
    <s v="HB"/>
    <s v="Y"/>
    <n v="12.09"/>
    <n v="2.42"/>
    <x v="7"/>
    <s v="VALIDATED"/>
    <n v="1"/>
    <s v="01.11.80.308.6100.0000"/>
    <n v="12.09"/>
    <s v="11"/>
    <s v="6100"/>
    <n v="6873.01"/>
    <n v="12.09"/>
    <s v="CREDITOR"/>
    <n v="0"/>
    <n v="0"/>
    <n v="0"/>
    <n v="0"/>
    <n v="12.09"/>
  </r>
  <r>
    <n v="61841989"/>
    <s v="N"/>
    <n v="21360994"/>
    <s v="3000015909120004"/>
    <s v="CIVIL"/>
    <d v="2023-06-30T00:00:00"/>
    <d v="2023-07-11T19:00:25"/>
    <m/>
    <d v="2023-07-11T00:00:00"/>
    <n v="1262"/>
    <n v="19363"/>
    <s v="61841989"/>
    <s v="61841989"/>
    <m/>
    <m/>
    <n v="22800842"/>
    <m/>
    <m/>
    <m/>
    <s v="SOLFIN"/>
    <s v="SOLFIN"/>
    <s v="CCMS"/>
    <n v="21360994"/>
    <n v="2157.87"/>
    <m/>
    <s v="N"/>
    <n v="1"/>
    <d v="2023-07-11T19:00:42"/>
    <s v="Y"/>
    <s v="Preparation - other"/>
    <s v="Prescribed Hourly Rates"/>
    <s v="Profit Cost"/>
    <s v="HB"/>
    <s v="Y"/>
    <n v="9.48"/>
    <n v="1.9"/>
    <x v="7"/>
    <s v="VALIDATED"/>
    <n v="1"/>
    <s v="01.11.80.302.6100.0000"/>
    <n v="9.48"/>
    <s v="11"/>
    <s v="6100"/>
    <n v="6873.01"/>
    <n v="9.48"/>
    <s v="CREDITOR"/>
    <n v="0"/>
    <n v="0"/>
    <n v="0"/>
    <n v="0"/>
    <n v="9.48"/>
  </r>
  <r>
    <n v="61298400"/>
    <s v="N"/>
    <n v="21360574"/>
    <s v="3000015456710010"/>
    <s v="CIVIL"/>
    <d v="2023-06-29T00:00:00"/>
    <d v="2023-07-11T11:50:54"/>
    <m/>
    <d v="2023-07-11T00:00:00"/>
    <n v="1262"/>
    <n v="19363"/>
    <s v="61298400"/>
    <s v="61298400"/>
    <m/>
    <m/>
    <n v="22790952"/>
    <m/>
    <m/>
    <m/>
    <s v="SOLFIN"/>
    <s v="SOLFIN"/>
    <s v="CCMS"/>
    <n v="21360574"/>
    <n v="9615.559999999999"/>
    <m/>
    <s v="N"/>
    <n v="45"/>
    <d v="2023-07-11T11:51:10"/>
    <s v="Y"/>
    <s v="Preparation - other"/>
    <s v="Care Remuneration Hourly Rates"/>
    <s v="Profit Cost"/>
    <s v="HB"/>
    <s v="Y"/>
    <n v="48.37"/>
    <n v="9.67"/>
    <x v="7"/>
    <s v="VALIDATED"/>
    <n v="1"/>
    <s v="01.11.80.308.6100.0000"/>
    <n v="48.37"/>
    <s v="11"/>
    <s v="6100"/>
    <n v="6873.01"/>
    <n v="48.37"/>
    <s v="CREDITOR"/>
    <n v="0"/>
    <n v="0"/>
    <n v="0"/>
    <n v="0"/>
    <n v="48.37"/>
  </r>
  <r>
    <n v="61298400"/>
    <s v="N"/>
    <n v="21360574"/>
    <s v="3000015456710010"/>
    <s v="CIVIL"/>
    <d v="2023-06-29T00:00:00"/>
    <d v="2023-07-11T11:50:54"/>
    <m/>
    <d v="2023-07-11T00:00:00"/>
    <n v="1262"/>
    <n v="19363"/>
    <s v="61298400"/>
    <s v="61298400"/>
    <m/>
    <m/>
    <n v="22790952"/>
    <m/>
    <m/>
    <m/>
    <s v="SOLFIN"/>
    <s v="SOLFIN"/>
    <s v="CCMS"/>
    <n v="21360574"/>
    <n v="9615.559999999999"/>
    <m/>
    <s v="N"/>
    <n v="92"/>
    <d v="2023-07-11T11:51:10"/>
    <s v="Y"/>
    <s v="Hearing Unit 2.31 - 5.00 Hours"/>
    <s v="Public Law Children"/>
    <s v="Advocacy"/>
    <s v="HB"/>
    <s v="Y"/>
    <n v="596.15"/>
    <n v="119.23"/>
    <x v="7"/>
    <s v="VALIDATED"/>
    <n v="1"/>
    <s v="01.11.80.308.6100.0000"/>
    <n v="596.15"/>
    <s v="11"/>
    <s v="6100"/>
    <n v="6873.01"/>
    <n v="596.15"/>
    <s v="CREDITOR"/>
    <n v="0"/>
    <n v="0"/>
    <n v="0"/>
    <n v="0"/>
    <n v="596.15"/>
  </r>
  <r>
    <n v="61298400"/>
    <s v="N"/>
    <n v="21360574"/>
    <s v="3000015456710010"/>
    <s v="CIVIL"/>
    <d v="2023-06-29T00:00:00"/>
    <d v="2023-07-11T11:50:54"/>
    <m/>
    <d v="2023-07-11T00:00:00"/>
    <n v="1262"/>
    <n v="19363"/>
    <s v="61298400"/>
    <s v="61298400"/>
    <m/>
    <m/>
    <n v="22790952"/>
    <m/>
    <m/>
    <m/>
    <s v="SOLFIN"/>
    <s v="SOLFIN"/>
    <s v="CCMS"/>
    <n v="21360574"/>
    <n v="9615.559999999999"/>
    <m/>
    <s v="N"/>
    <n v="71"/>
    <d v="2023-07-11T11:51:10"/>
    <s v="Y"/>
    <s v="Preparation - drafting attendance n"/>
    <s v="Care Remuneration Hourly Rates"/>
    <s v="Profit Cost"/>
    <s v="HB"/>
    <s v="Y"/>
    <n v="12.09"/>
    <n v="2.42"/>
    <x v="7"/>
    <s v="VALIDATED"/>
    <n v="1"/>
    <s v="01.11.80.308.6100.0000"/>
    <n v="12.09"/>
    <s v="11"/>
    <s v="6100"/>
    <n v="6873.01"/>
    <n v="12.09"/>
    <s v="CREDITOR"/>
    <n v="0"/>
    <n v="0"/>
    <n v="0"/>
    <n v="0"/>
    <n v="12.09"/>
  </r>
  <r>
    <n v="61841989"/>
    <s v="N"/>
    <n v="21360994"/>
    <s v="3000015909120004"/>
    <s v="CIVIL"/>
    <d v="2023-06-30T00:00:00"/>
    <d v="2023-07-11T19:00:25"/>
    <m/>
    <d v="2023-07-11T00:00:00"/>
    <n v="1262"/>
    <n v="19363"/>
    <s v="61841989"/>
    <s v="61841989"/>
    <m/>
    <m/>
    <n v="22800842"/>
    <m/>
    <m/>
    <m/>
    <s v="SOLFIN"/>
    <s v="SOLFIN"/>
    <s v="CCMS"/>
    <n v="21360994"/>
    <n v="2157.87"/>
    <m/>
    <s v="N"/>
    <n v="17"/>
    <d v="2023-07-11T19:00:42"/>
    <s v="Y"/>
    <s v="Preparation - drafting attendance n"/>
    <s v="Prescribed Hourly Rates"/>
    <s v="Profit Cost"/>
    <s v="AFS"/>
    <s v="Y"/>
    <n v="5.49"/>
    <n v="1.1"/>
    <x v="7"/>
    <s v="VALIDATED"/>
    <n v="1"/>
    <s v="01.11.80.302.6100.0000"/>
    <n v="5.49"/>
    <s v="11"/>
    <s v="6100"/>
    <n v="6873.01"/>
    <n v="5.49"/>
    <s v="CREDITOR"/>
    <n v="0"/>
    <n v="0"/>
    <n v="0"/>
    <n v="0"/>
    <n v="5.49"/>
  </r>
  <r>
    <n v="61298400"/>
    <s v="N"/>
    <n v="21360574"/>
    <s v="3000015456710010"/>
    <s v="CIVIL"/>
    <d v="2023-06-29T00:00:00"/>
    <d v="2023-07-11T11:50:54"/>
    <m/>
    <d v="2023-07-11T00:00:00"/>
    <n v="1262"/>
    <n v="19363"/>
    <s v="61298400"/>
    <s v="61298400"/>
    <m/>
    <m/>
    <n v="22790952"/>
    <m/>
    <m/>
    <m/>
    <s v="SOLFIN"/>
    <s v="SOLFIN"/>
    <s v="CCMS"/>
    <n v="21360574"/>
    <n v="9615.559999999999"/>
    <m/>
    <s v="N"/>
    <n v="51"/>
    <d v="2023-07-11T11:51:10"/>
    <s v="Y"/>
    <s v="Preparation - other"/>
    <s v="Care Remuneration Hourly Rates"/>
    <s v="Profit Cost"/>
    <s v="HB"/>
    <s v="Y"/>
    <n v="30.23"/>
    <n v="6.05"/>
    <x v="7"/>
    <s v="VALIDATED"/>
    <n v="1"/>
    <s v="01.11.80.308.6100.0000"/>
    <n v="30.23"/>
    <s v="11"/>
    <s v="6100"/>
    <n v="6873.01"/>
    <n v="30.23"/>
    <s v="CREDITOR"/>
    <n v="0"/>
    <n v="0"/>
    <n v="0"/>
    <n v="0"/>
    <n v="30.23"/>
  </r>
  <r>
    <n v="61751806"/>
    <s v="N"/>
    <n v="21363780"/>
    <s v="3000015831670004"/>
    <s v="CIVIL"/>
    <d v="2023-06-29T00:00:00"/>
    <d v="2023-07-12T19:01:49"/>
    <m/>
    <d v="2023-07-12T00:00:00"/>
    <n v="1262"/>
    <n v="19363"/>
    <s v="61751806"/>
    <s v="61751806"/>
    <m/>
    <m/>
    <n v="22793298"/>
    <m/>
    <m/>
    <m/>
    <s v="SOLFIN"/>
    <s v="SOLFIN"/>
    <s v="CCMS"/>
    <n v="21363780"/>
    <n v="1710.88"/>
    <m/>
    <s v="N"/>
    <n v="1"/>
    <d v="2023-07-12T19:02:11"/>
    <s v="Y"/>
    <s v="Process server"/>
    <s v="Private Law Children"/>
    <s v="Expert Disbursement"/>
    <s v="JLH"/>
    <s v="Y"/>
    <n v="100"/>
    <n v="20"/>
    <x v="0"/>
    <s v="VALIDATED"/>
    <n v="1"/>
    <s v="01.11.80.302.6300.0000"/>
    <n v="100"/>
    <s v="11"/>
    <s v="6300"/>
    <n v="6873.01"/>
    <n v="100"/>
    <s v="CREDITOR"/>
    <n v="0"/>
    <n v="0"/>
    <n v="0"/>
    <n v="0"/>
    <n v="100"/>
  </r>
  <r>
    <n v="61841989"/>
    <s v="N"/>
    <n v="21360994"/>
    <s v="3000015909120004"/>
    <s v="CIVIL"/>
    <d v="2023-06-30T00:00:00"/>
    <d v="2023-07-11T19:00:25"/>
    <m/>
    <d v="2023-07-11T00:00:00"/>
    <n v="1262"/>
    <n v="19363"/>
    <s v="61841989"/>
    <s v="61841989"/>
    <m/>
    <m/>
    <n v="22800842"/>
    <m/>
    <m/>
    <m/>
    <s v="SOLFIN"/>
    <s v="SOLFIN"/>
    <s v="CCMS"/>
    <n v="21360994"/>
    <n v="2157.87"/>
    <m/>
    <s v="N"/>
    <n v="11"/>
    <d v="2023-07-11T19:00:42"/>
    <s v="Y"/>
    <s v="Preparation - other"/>
    <s v="Prescribed Hourly Rates"/>
    <s v="Profit Cost"/>
    <s v="HB"/>
    <s v="Y"/>
    <n v="6.31"/>
    <n v="1.26"/>
    <x v="7"/>
    <s v="VALIDATED"/>
    <n v="1"/>
    <s v="01.11.80.302.6100.0000"/>
    <n v="6.31"/>
    <s v="11"/>
    <s v="6100"/>
    <n v="6873.01"/>
    <n v="6.31"/>
    <s v="CREDITOR"/>
    <n v="0"/>
    <n v="0"/>
    <n v="0"/>
    <n v="0"/>
    <n v="6.31"/>
  </r>
  <r>
    <n v="61298400"/>
    <s v="N"/>
    <n v="21360574"/>
    <s v="3000015456710010"/>
    <s v="CIVIL"/>
    <d v="2023-06-29T00:00:00"/>
    <d v="2023-07-11T11:50:54"/>
    <m/>
    <d v="2023-07-11T00:00:00"/>
    <n v="1262"/>
    <n v="19363"/>
    <s v="61298400"/>
    <s v="61298400"/>
    <m/>
    <m/>
    <n v="22790952"/>
    <m/>
    <m/>
    <m/>
    <s v="SOLFIN"/>
    <s v="SOLFIN"/>
    <s v="CCMS"/>
    <n v="21360574"/>
    <n v="9615.559999999999"/>
    <m/>
    <s v="N"/>
    <n v="85"/>
    <d v="2023-07-11T11:51:10"/>
    <s v="Y"/>
    <s v="Preparation - other"/>
    <s v="Care Remuneration Hourly Rates"/>
    <s v="Profit Cost"/>
    <s v="HB"/>
    <s v="Y"/>
    <n v="205.55"/>
    <n v="41.11"/>
    <x v="7"/>
    <s v="VALIDATED"/>
    <n v="1"/>
    <s v="01.11.80.308.6100.0000"/>
    <n v="205.55"/>
    <s v="11"/>
    <s v="6100"/>
    <n v="6873.01"/>
    <n v="205.55"/>
    <s v="CREDITOR"/>
    <n v="0"/>
    <n v="0"/>
    <n v="0"/>
    <n v="0"/>
    <n v="205.55"/>
  </r>
  <r>
    <n v="61298400"/>
    <s v="N"/>
    <n v="21360574"/>
    <s v="3000015456710010"/>
    <s v="CIVIL"/>
    <d v="2023-06-29T00:00:00"/>
    <d v="2023-07-11T11:50:54"/>
    <m/>
    <d v="2023-07-11T00:00:00"/>
    <n v="1262"/>
    <n v="19363"/>
    <s v="61298400"/>
    <s v="61298400"/>
    <m/>
    <m/>
    <n v="22790952"/>
    <m/>
    <m/>
    <m/>
    <s v="SOLFIN"/>
    <s v="SOLFIN"/>
    <s v="CCMS"/>
    <n v="21360574"/>
    <n v="9615.559999999999"/>
    <m/>
    <s v="N"/>
    <n v="94"/>
    <d v="2023-07-11T11:51:10"/>
    <s v="Y"/>
    <s v="Advocates Meeting"/>
    <s v="Public Law Children"/>
    <s v="Advocacy"/>
    <s v="HB"/>
    <s v="Y"/>
    <n v="140.99"/>
    <n v="28.2"/>
    <x v="7"/>
    <s v="VALIDATED"/>
    <n v="1"/>
    <s v="01.11.80.308.6100.0000"/>
    <n v="140.99"/>
    <s v="11"/>
    <s v="6100"/>
    <n v="6873.01"/>
    <n v="140.99"/>
    <s v="CREDITOR"/>
    <n v="0"/>
    <n v="0"/>
    <n v="0"/>
    <n v="0"/>
    <n v="140.99"/>
  </r>
  <r>
    <n v="61298400"/>
    <s v="N"/>
    <n v="21360574"/>
    <s v="3000015456710010"/>
    <s v="CIVIL"/>
    <d v="2023-06-29T00:00:00"/>
    <d v="2023-07-11T11:50:54"/>
    <m/>
    <d v="2023-07-11T00:00:00"/>
    <n v="1262"/>
    <n v="19363"/>
    <s v="61298400"/>
    <s v="61298400"/>
    <m/>
    <m/>
    <n v="22790952"/>
    <m/>
    <m/>
    <m/>
    <s v="SOLFIN"/>
    <s v="SOLFIN"/>
    <s v="CCMS"/>
    <n v="21360574"/>
    <n v="9615.559999999999"/>
    <m/>
    <s v="N"/>
    <n v="18"/>
    <d v="2023-07-11T11:51:10"/>
    <s v="Y"/>
    <s v="Attendance upon client"/>
    <s v="Care Remuneration Hourly Rates"/>
    <s v="Profit Cost"/>
    <s v="AFS"/>
    <s v="Y"/>
    <n v="52.57"/>
    <n v="10.51"/>
    <x v="7"/>
    <s v="VALIDATED"/>
    <n v="1"/>
    <s v="01.11.80.308.6100.0000"/>
    <n v="52.57"/>
    <s v="11"/>
    <s v="6100"/>
    <n v="6873.01"/>
    <n v="52.57"/>
    <s v="CREDITOR"/>
    <n v="0"/>
    <n v="0"/>
    <n v="0"/>
    <n v="0"/>
    <n v="52.57"/>
  </r>
  <r>
    <n v="61298400"/>
    <s v="N"/>
    <n v="21360574"/>
    <s v="3000015456710010"/>
    <s v="CIVIL"/>
    <d v="2023-06-29T00:00:00"/>
    <d v="2023-07-11T11:50:54"/>
    <m/>
    <d v="2023-07-11T00:00:00"/>
    <n v="1262"/>
    <n v="19363"/>
    <s v="61298400"/>
    <s v="61298400"/>
    <m/>
    <m/>
    <n v="22790952"/>
    <m/>
    <m/>
    <m/>
    <s v="SOLFIN"/>
    <s v="SOLFIN"/>
    <s v="CCMS"/>
    <n v="21360574"/>
    <n v="9615.559999999999"/>
    <m/>
    <s v="N"/>
    <n v="44"/>
    <d v="2023-07-11T11:51:10"/>
    <s v="Y"/>
    <s v="Preparation - other"/>
    <s v="Care Remuneration Hourly Rates"/>
    <s v="Profit Cost"/>
    <s v="HB"/>
    <s v="Y"/>
    <n v="15.11"/>
    <n v="3.02"/>
    <x v="7"/>
    <s v="VALIDATED"/>
    <n v="1"/>
    <s v="01.11.80.308.6100.0000"/>
    <n v="15.11"/>
    <s v="11"/>
    <s v="6100"/>
    <n v="6873.01"/>
    <n v="15.11"/>
    <s v="CREDITOR"/>
    <n v="0"/>
    <n v="0"/>
    <n v="0"/>
    <n v="0"/>
    <n v="15.11"/>
  </r>
  <r>
    <n v="61298400"/>
    <s v="N"/>
    <n v="21360574"/>
    <s v="3000015456710010"/>
    <s v="CIVIL"/>
    <d v="2023-06-29T00:00:00"/>
    <d v="2023-07-11T11:50:54"/>
    <m/>
    <d v="2023-07-11T00:00:00"/>
    <n v="1262"/>
    <n v="19363"/>
    <s v="61298400"/>
    <s v="61298400"/>
    <m/>
    <m/>
    <n v="22790952"/>
    <m/>
    <m/>
    <m/>
    <s v="SOLFIN"/>
    <s v="SOLFIN"/>
    <s v="CCMS"/>
    <n v="21360574"/>
    <n v="9615.559999999999"/>
    <m/>
    <s v="N"/>
    <n v="31"/>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60"/>
    <d v="2023-07-11T11:51:10"/>
    <s v="Y"/>
    <s v="Preparation - other"/>
    <s v="Care Remuneration Hourly Rates"/>
    <s v="Profit Cost"/>
    <s v="HB"/>
    <s v="Y"/>
    <n v="18.14"/>
    <n v="3.63"/>
    <x v="7"/>
    <s v="VALIDATED"/>
    <n v="1"/>
    <s v="01.11.80.308.6100.0000"/>
    <n v="18.14"/>
    <s v="11"/>
    <s v="6100"/>
    <n v="6873.01"/>
    <n v="18.14"/>
    <s v="CREDITOR"/>
    <n v="0"/>
    <n v="0"/>
    <n v="0"/>
    <n v="0"/>
    <n v="18.14"/>
  </r>
  <r>
    <n v="61298400"/>
    <s v="N"/>
    <n v="21360574"/>
    <s v="3000015456710010"/>
    <s v="CIVIL"/>
    <d v="2023-06-29T00:00:00"/>
    <d v="2023-07-11T11:50:54"/>
    <m/>
    <d v="2023-07-11T00:00:00"/>
    <n v="1262"/>
    <n v="19363"/>
    <s v="61298400"/>
    <s v="61298400"/>
    <m/>
    <m/>
    <n v="22790952"/>
    <m/>
    <m/>
    <m/>
    <s v="SOLFIN"/>
    <s v="SOLFIN"/>
    <s v="CCMS"/>
    <n v="21360574"/>
    <n v="9615.559999999999"/>
    <m/>
    <s v="N"/>
    <n v="34"/>
    <d v="2023-07-11T11:51:10"/>
    <s v="Y"/>
    <s v="Preparation - drafting application"/>
    <s v="Care Remuneration Hourly Rates"/>
    <s v="Profit Cost"/>
    <s v="HB"/>
    <s v="Y"/>
    <n v="18.14"/>
    <n v="3.63"/>
    <x v="7"/>
    <s v="VALIDATED"/>
    <n v="1"/>
    <s v="01.11.80.308.6100.0000"/>
    <n v="18.14"/>
    <s v="11"/>
    <s v="6100"/>
    <n v="6873.01"/>
    <n v="18.14"/>
    <s v="CREDITOR"/>
    <n v="0"/>
    <n v="0"/>
    <n v="0"/>
    <n v="0"/>
    <n v="18.14"/>
  </r>
  <r>
    <n v="61751806"/>
    <s v="N"/>
    <n v="21363780"/>
    <s v="3000015831670004"/>
    <s v="CIVIL"/>
    <d v="2023-06-29T00:00:00"/>
    <d v="2023-07-12T19:01:49"/>
    <m/>
    <d v="2023-07-12T00:00:00"/>
    <n v="1262"/>
    <n v="19363"/>
    <s v="61751806"/>
    <s v="61751806"/>
    <m/>
    <m/>
    <n v="22793298"/>
    <m/>
    <m/>
    <m/>
    <s v="SOLFIN"/>
    <s v="SOLFIN"/>
    <s v="CCMS"/>
    <n v="21363780"/>
    <n v="1710.88"/>
    <m/>
    <s v="N"/>
    <n v="6"/>
    <d v="2023-07-12T19:02:11"/>
    <s v="Y"/>
    <s v="Level 3 Fixed Fee"/>
    <s v="Private Law Children"/>
    <s v="Profit Cost"/>
    <s v="JLH"/>
    <s v="Y"/>
    <n v="353"/>
    <n v="70.59999999999999"/>
    <x v="0"/>
    <s v="VALIDATED"/>
    <n v="1"/>
    <s v="01.11.80.302.6100.0000"/>
    <n v="353"/>
    <s v="11"/>
    <s v="6100"/>
    <n v="6873.01"/>
    <n v="353"/>
    <s v="CREDITOR"/>
    <n v="0"/>
    <n v="0"/>
    <n v="0"/>
    <n v="0"/>
    <n v="353"/>
  </r>
  <r>
    <n v="61841989"/>
    <s v="N"/>
    <n v="21360994"/>
    <s v="3000015909120004"/>
    <s v="CIVIL"/>
    <d v="2023-06-30T00:00:00"/>
    <d v="2023-07-11T19:00:25"/>
    <m/>
    <d v="2023-07-11T00:00:00"/>
    <n v="1262"/>
    <n v="19363"/>
    <s v="61841989"/>
    <s v="61841989"/>
    <m/>
    <m/>
    <n v="22800842"/>
    <m/>
    <m/>
    <m/>
    <s v="SOLFIN"/>
    <s v="SOLFIN"/>
    <s v="CCMS"/>
    <n v="21360994"/>
    <n v="2157.87"/>
    <m/>
    <s v="N"/>
    <n v="9"/>
    <d v="2023-07-11T19:00:42"/>
    <s v="Y"/>
    <s v="Preparation - other"/>
    <s v="Prescribed Hourly Rates"/>
    <s v="Profit Cost"/>
    <s v="HB"/>
    <s v="Y"/>
    <n v="34.73"/>
    <n v="6.95"/>
    <x v="7"/>
    <s v="VALIDATED"/>
    <n v="1"/>
    <s v="01.11.80.302.6100.0000"/>
    <n v="34.73"/>
    <s v="11"/>
    <s v="6100"/>
    <n v="6873.01"/>
    <n v="34.73"/>
    <s v="CREDITOR"/>
    <n v="0"/>
    <n v="0"/>
    <n v="0"/>
    <n v="0"/>
    <n v="34.73"/>
  </r>
  <r>
    <n v="61841989"/>
    <s v="N"/>
    <n v="21360994"/>
    <s v="3000015909120004"/>
    <s v="CIVIL"/>
    <d v="2023-06-30T00:00:00"/>
    <d v="2023-07-11T19:00:25"/>
    <m/>
    <d v="2023-07-11T00:00:00"/>
    <n v="1262"/>
    <n v="19363"/>
    <s v="61841989"/>
    <s v="61841989"/>
    <m/>
    <m/>
    <n v="22800842"/>
    <m/>
    <m/>
    <m/>
    <s v="SOLFIN"/>
    <s v="SOLFIN"/>
    <s v="CCMS"/>
    <n v="21360994"/>
    <n v="2157.87"/>
    <m/>
    <s v="N"/>
    <n v="19"/>
    <d v="2023-07-11T19:00:42"/>
    <s v="Y"/>
    <s v="Attendance upon client"/>
    <s v="Prescribed Hourly Rates"/>
    <s v="Profit Cost"/>
    <s v="AFS"/>
    <s v="Y"/>
    <n v="54.9"/>
    <n v="10.98"/>
    <x v="7"/>
    <s v="VALIDATED"/>
    <n v="1"/>
    <s v="01.11.80.302.6100.0000"/>
    <n v="54.9"/>
    <s v="11"/>
    <s v="6100"/>
    <n v="6873.01"/>
    <n v="54.9"/>
    <s v="CREDITOR"/>
    <n v="0"/>
    <n v="0"/>
    <n v="0"/>
    <n v="0"/>
    <n v="54.9"/>
  </r>
  <r>
    <n v="61298400"/>
    <s v="N"/>
    <n v="21360574"/>
    <s v="3000015456710010"/>
    <s v="CIVIL"/>
    <d v="2023-06-29T00:00:00"/>
    <d v="2023-07-11T11:50:54"/>
    <m/>
    <d v="2023-07-11T00:00:00"/>
    <n v="1262"/>
    <n v="19363"/>
    <s v="61298400"/>
    <s v="61298400"/>
    <m/>
    <m/>
    <n v="22790952"/>
    <m/>
    <m/>
    <m/>
    <s v="SOLFIN"/>
    <s v="SOLFIN"/>
    <s v="CCMS"/>
    <n v="21360574"/>
    <n v="9615.559999999999"/>
    <m/>
    <s v="N"/>
    <n v="4"/>
    <d v="2023-07-11T11:51:10"/>
    <s v="Y"/>
    <s v="Psychologist"/>
    <s v="Care Remuneration Hourly Rates"/>
    <s v="Expert Disbursement"/>
    <s v="HB"/>
    <s v="Y"/>
    <n v="294.96"/>
    <n v="0"/>
    <x v="7"/>
    <s v="VALIDATED"/>
    <n v="1"/>
    <s v="01.11.80.308.6300.0000"/>
    <n v="294.96"/>
    <s v="11"/>
    <s v="6300"/>
    <n v="6873.01"/>
    <n v="294.96"/>
    <s v="CREDITOR"/>
    <n v="0"/>
    <n v="0"/>
    <n v="0"/>
    <n v="0"/>
    <n v="294.96"/>
  </r>
  <r>
    <n v="61298400"/>
    <s v="N"/>
    <n v="21360574"/>
    <s v="3000015456710010"/>
    <s v="CIVIL"/>
    <d v="2023-06-29T00:00:00"/>
    <d v="2023-07-11T11:50:54"/>
    <m/>
    <d v="2023-07-11T00:00:00"/>
    <n v="1262"/>
    <n v="19363"/>
    <s v="61298400"/>
    <s v="61298400"/>
    <m/>
    <m/>
    <n v="22790952"/>
    <m/>
    <m/>
    <m/>
    <s v="SOLFIN"/>
    <s v="SOLFIN"/>
    <s v="CCMS"/>
    <n v="21360574"/>
    <n v="9615.559999999999"/>
    <m/>
    <s v="N"/>
    <n v="59"/>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62"/>
    <d v="2023-07-11T11:51:10"/>
    <s v="Y"/>
    <s v="Preparation - other"/>
    <s v="Care Remuneration Hourly Rates"/>
    <s v="Profit Cost"/>
    <s v="hb"/>
    <s v="Y"/>
    <n v="105.8"/>
    <n v="21.16"/>
    <x v="7"/>
    <s v="VALIDATED"/>
    <n v="1"/>
    <s v="01.11.80.308.6100.0000"/>
    <n v="105.8"/>
    <s v="11"/>
    <s v="6100"/>
    <n v="6873.01"/>
    <n v="105.8"/>
    <s v="CREDITOR"/>
    <n v="0"/>
    <n v="0"/>
    <n v="0"/>
    <n v="0"/>
    <n v="105.8"/>
  </r>
  <r>
    <n v="61841989"/>
    <s v="N"/>
    <n v="21360994"/>
    <s v="3000015909120004"/>
    <s v="CIVIL"/>
    <d v="2023-06-30T00:00:00"/>
    <d v="2023-07-11T19:00:25"/>
    <m/>
    <d v="2023-07-11T00:00:00"/>
    <n v="1262"/>
    <n v="19363"/>
    <s v="61841989"/>
    <s v="61841989"/>
    <m/>
    <m/>
    <n v="22800842"/>
    <m/>
    <m/>
    <m/>
    <s v="SOLFIN"/>
    <s v="SOLFIN"/>
    <s v="CCMS"/>
    <n v="21360994"/>
    <n v="2157.87"/>
    <m/>
    <s v="N"/>
    <n v="20"/>
    <d v="2023-07-11T19:00:42"/>
    <s v="Y"/>
    <s v="Preparation - drafting attendance n"/>
    <s v="Prescribed Hourly Rates"/>
    <s v="Profit Cost"/>
    <s v="HB"/>
    <s v="Y"/>
    <n v="12.63"/>
    <n v="2.53"/>
    <x v="7"/>
    <s v="VALIDATED"/>
    <n v="1"/>
    <s v="01.11.80.302.6100.0000"/>
    <n v="12.63"/>
    <s v="11"/>
    <s v="6100"/>
    <n v="6873.01"/>
    <n v="12.63"/>
    <s v="CREDITOR"/>
    <n v="0"/>
    <n v="0"/>
    <n v="0"/>
    <n v="0"/>
    <n v="12.63"/>
  </r>
  <r>
    <n v="61298400"/>
    <s v="N"/>
    <n v="21360574"/>
    <s v="3000015456710010"/>
    <s v="CIVIL"/>
    <d v="2023-06-29T00:00:00"/>
    <d v="2023-07-11T11:50:54"/>
    <m/>
    <d v="2023-07-11T00:00:00"/>
    <n v="1262"/>
    <n v="19363"/>
    <s v="61298400"/>
    <s v="61298400"/>
    <m/>
    <m/>
    <n v="22790952"/>
    <m/>
    <m/>
    <m/>
    <s v="SOLFIN"/>
    <s v="SOLFIN"/>
    <s v="CCMS"/>
    <n v="21360574"/>
    <n v="9615.559999999999"/>
    <m/>
    <s v="N"/>
    <n v="95"/>
    <d v="2023-07-11T11:51:10"/>
    <s v="N"/>
    <s v="Solicitors Fixed Fee"/>
    <s v="Public Law Children"/>
    <s v="Profit Cost"/>
    <s v="HB"/>
    <s v="N"/>
    <n v="0"/>
    <n v="0"/>
    <x v="7"/>
    <s v="VALIDATED"/>
    <n v="1"/>
    <s v="01.11.80.308.6100.0000"/>
    <n v="0"/>
    <s v="11"/>
    <s v="6100"/>
    <n v="6873.01"/>
    <n v="0"/>
    <s v="CREDITOR"/>
    <n v="0"/>
    <n v="0"/>
    <n v="0"/>
    <n v="0"/>
    <n v="0"/>
  </r>
  <r>
    <n v="61298400"/>
    <s v="N"/>
    <n v="21360574"/>
    <s v="3000015456710010"/>
    <s v="CIVIL"/>
    <d v="2023-06-29T00:00:00"/>
    <d v="2023-07-11T11:50:54"/>
    <m/>
    <d v="2023-07-11T00:00:00"/>
    <n v="1262"/>
    <n v="19363"/>
    <s v="61298400"/>
    <s v="61298400"/>
    <m/>
    <m/>
    <n v="22790952"/>
    <m/>
    <m/>
    <m/>
    <s v="SOLFIN"/>
    <s v="SOLFIN"/>
    <s v="CCMS"/>
    <n v="21360574"/>
    <n v="9615.559999999999"/>
    <m/>
    <s v="N"/>
    <n v="10"/>
    <d v="2023-07-11T11:51:10"/>
    <s v="Y"/>
    <s v="Routine Telephone Call"/>
    <s v="Care Remuneration Hourly Rates"/>
    <s v="Profit Cost"/>
    <s v="HB"/>
    <s v="Y"/>
    <n v="118.82"/>
    <n v="23.76"/>
    <x v="7"/>
    <s v="VALIDATED"/>
    <n v="1"/>
    <s v="01.11.80.308.6100.0000"/>
    <n v="118.82"/>
    <s v="11"/>
    <s v="6100"/>
    <n v="6873.01"/>
    <n v="118.82"/>
    <s v="CREDITOR"/>
    <n v="0"/>
    <n v="0"/>
    <n v="0"/>
    <n v="0"/>
    <n v="118.82"/>
  </r>
  <r>
    <n v="61298400"/>
    <s v="N"/>
    <n v="21360574"/>
    <s v="3000015456710010"/>
    <s v="CIVIL"/>
    <d v="2023-06-29T00:00:00"/>
    <d v="2023-07-11T11:50:54"/>
    <m/>
    <d v="2023-07-11T00:00:00"/>
    <n v="1262"/>
    <n v="19363"/>
    <s v="61298400"/>
    <s v="61298400"/>
    <m/>
    <m/>
    <n v="22790952"/>
    <m/>
    <m/>
    <m/>
    <s v="SOLFIN"/>
    <s v="SOLFIN"/>
    <s v="CCMS"/>
    <n v="21360574"/>
    <n v="9615.559999999999"/>
    <m/>
    <s v="N"/>
    <n v="28"/>
    <d v="2023-07-11T11:51:10"/>
    <s v="Y"/>
    <s v="Preparation - drafting instructions"/>
    <s v="Care Remuneration Hourly Rates"/>
    <s v="Profit Cost"/>
    <s v="AFS"/>
    <s v="Y"/>
    <n v="26.29"/>
    <n v="5.26"/>
    <x v="7"/>
    <s v="VALIDATED"/>
    <n v="1"/>
    <s v="01.11.80.308.6100.0000"/>
    <n v="26.29"/>
    <s v="11"/>
    <s v="6100"/>
    <n v="6873.01"/>
    <n v="26.29"/>
    <s v="CREDITOR"/>
    <n v="0"/>
    <n v="0"/>
    <n v="0"/>
    <n v="0"/>
    <n v="26.29"/>
  </r>
  <r>
    <n v="61841989"/>
    <s v="N"/>
    <n v="21360994"/>
    <s v="3000015909120004"/>
    <s v="CIVIL"/>
    <d v="2023-06-30T00:00:00"/>
    <d v="2023-07-11T19:00:25"/>
    <m/>
    <d v="2023-07-11T00:00:00"/>
    <n v="1262"/>
    <n v="19363"/>
    <s v="61841989"/>
    <s v="61841989"/>
    <m/>
    <m/>
    <n v="22800842"/>
    <m/>
    <m/>
    <m/>
    <s v="SOLFIN"/>
    <s v="SOLFIN"/>
    <s v="CCMS"/>
    <n v="21360994"/>
    <n v="2157.87"/>
    <m/>
    <s v="N"/>
    <n v="3"/>
    <d v="2023-07-11T19:00:42"/>
    <s v="Y"/>
    <s v="Preparation - other"/>
    <s v="Prescribed Hourly Rates"/>
    <s v="Profit Cost"/>
    <s v="HB"/>
    <s v="Y"/>
    <n v="6.31"/>
    <n v="1.26"/>
    <x v="7"/>
    <s v="VALIDATED"/>
    <n v="1"/>
    <s v="01.11.80.302.6100.0000"/>
    <n v="6.31"/>
    <s v="11"/>
    <s v="6100"/>
    <n v="6873.01"/>
    <n v="6.31"/>
    <s v="CREDITOR"/>
    <n v="0"/>
    <n v="0"/>
    <n v="0"/>
    <n v="0"/>
    <n v="6.31"/>
  </r>
  <r>
    <n v="61298400"/>
    <s v="N"/>
    <n v="21360574"/>
    <s v="3000015456710010"/>
    <s v="CIVIL"/>
    <d v="2023-06-29T00:00:00"/>
    <d v="2023-07-11T11:50:54"/>
    <m/>
    <d v="2023-07-11T00:00:00"/>
    <n v="1262"/>
    <n v="19363"/>
    <s v="61298400"/>
    <s v="61298400"/>
    <m/>
    <m/>
    <n v="22790952"/>
    <m/>
    <m/>
    <m/>
    <s v="SOLFIN"/>
    <s v="SOLFIN"/>
    <s v="CCMS"/>
    <n v="21360574"/>
    <n v="9615.559999999999"/>
    <m/>
    <s v="N"/>
    <n v="19"/>
    <d v="2023-07-11T11:51:10"/>
    <s v="Y"/>
    <s v="Preparation - other"/>
    <s v="Care Remuneration Hourly Rates"/>
    <s v="Profit Cost"/>
    <s v="HB"/>
    <s v="Y"/>
    <n v="24.18"/>
    <n v="4.84"/>
    <x v="7"/>
    <s v="VALIDATED"/>
    <n v="1"/>
    <s v="01.11.80.308.6100.0000"/>
    <n v="24.18"/>
    <s v="11"/>
    <s v="6100"/>
    <n v="6873.01"/>
    <n v="24.18"/>
    <s v="CREDITOR"/>
    <n v="0"/>
    <n v="0"/>
    <n v="0"/>
    <n v="0"/>
    <n v="24.18"/>
  </r>
  <r>
    <n v="61298400"/>
    <s v="N"/>
    <n v="21360574"/>
    <s v="3000015456710010"/>
    <s v="CIVIL"/>
    <d v="2023-06-29T00:00:00"/>
    <d v="2023-07-11T11:50:54"/>
    <m/>
    <d v="2023-07-11T00:00:00"/>
    <n v="1262"/>
    <n v="19363"/>
    <s v="61298400"/>
    <s v="61298400"/>
    <m/>
    <m/>
    <n v="22790952"/>
    <m/>
    <m/>
    <m/>
    <s v="SOLFIN"/>
    <s v="SOLFIN"/>
    <s v="CCMS"/>
    <n v="21360574"/>
    <n v="9615.559999999999"/>
    <m/>
    <s v="N"/>
    <n v="58"/>
    <d v="2023-07-11T11:51:10"/>
    <s v="Y"/>
    <s v="Preparation - other"/>
    <s v="Care Remuneration Hourly Rates"/>
    <s v="Profit Cost"/>
    <s v="HB"/>
    <s v="Y"/>
    <n v="3.02"/>
    <n v="0.6"/>
    <x v="7"/>
    <s v="VALIDATED"/>
    <n v="1"/>
    <s v="01.11.80.308.6100.0000"/>
    <n v="3.02"/>
    <s v="11"/>
    <s v="6100"/>
    <n v="6873.01"/>
    <n v="3.02"/>
    <s v="CREDITOR"/>
    <n v="0"/>
    <n v="0"/>
    <n v="0"/>
    <n v="0"/>
    <n v="3.02"/>
  </r>
  <r>
    <n v="61298400"/>
    <s v="N"/>
    <n v="21360574"/>
    <s v="3000015456710010"/>
    <s v="CIVIL"/>
    <d v="2023-06-29T00:00:00"/>
    <d v="2023-07-11T11:50:54"/>
    <m/>
    <d v="2023-07-11T00:00:00"/>
    <n v="1262"/>
    <n v="19363"/>
    <s v="61298400"/>
    <s v="61298400"/>
    <m/>
    <m/>
    <n v="22790952"/>
    <m/>
    <m/>
    <m/>
    <s v="SOLFIN"/>
    <s v="SOLFIN"/>
    <s v="CCMS"/>
    <n v="21360574"/>
    <n v="9615.559999999999"/>
    <m/>
    <s v="N"/>
    <n v="76"/>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3"/>
    <d v="2023-07-11T11:51:10"/>
    <s v="Y"/>
    <s v="DNA - preparation of report"/>
    <s v="Care Remuneration Hourly Rates"/>
    <s v="Expert Disbursement"/>
    <s v="HB"/>
    <s v="Y"/>
    <n v="106.65"/>
    <n v="21.33"/>
    <x v="7"/>
    <s v="VALIDATED"/>
    <n v="1"/>
    <s v="01.11.80.308.6300.0000"/>
    <n v="106.65"/>
    <s v="11"/>
    <s v="6300"/>
    <n v="6873.01"/>
    <n v="106.65"/>
    <s v="CREDITOR"/>
    <n v="0"/>
    <n v="0"/>
    <n v="0"/>
    <n v="0"/>
    <n v="106.65"/>
  </r>
  <r>
    <n v="61878527"/>
    <s v="N"/>
    <n v="21322717"/>
    <s v="3000015936900003"/>
    <s v="CIVIL"/>
    <d v="2023-06-29T00:00:00"/>
    <d v="2023-07-03T19:05:36"/>
    <m/>
    <d v="2023-07-03T00:00:00"/>
    <n v="1262"/>
    <n v="19363"/>
    <s v="61878527"/>
    <s v="61878527"/>
    <m/>
    <m/>
    <n v="22789460"/>
    <m/>
    <m/>
    <m/>
    <s v="SOLPOA"/>
    <s v="SOLPOA"/>
    <s v="CCMS"/>
    <n v="21322717"/>
    <n v="943.2"/>
    <m/>
    <s v="N"/>
    <n v="1"/>
    <d v="2023-07-03T19:05:39"/>
    <s v="N"/>
    <s v="Expert Cost - Private Law Children"/>
    <s v="Expert Cost - Private Law Chil"/>
    <s v="Expert Disbursement"/>
    <s v="JLH"/>
    <s v="N"/>
    <n v="786"/>
    <n v="157.2"/>
    <x v="3"/>
    <s v="VALIDATED"/>
    <n v="1"/>
    <s v="01.11.80.307.2012.0000"/>
    <n v="786"/>
    <s v="11"/>
    <s v="2012"/>
    <n v="6873.01"/>
    <n v="786"/>
    <s v="CREDITOR"/>
    <n v="786"/>
    <n v="0"/>
    <n v="0"/>
    <n v="0"/>
    <n v="0"/>
  </r>
  <r>
    <n v="61751806"/>
    <s v="N"/>
    <n v="21363780"/>
    <s v="3000015831670004"/>
    <s v="CIVIL"/>
    <d v="2023-06-29T00:00:00"/>
    <d v="2023-07-12T19:01:49"/>
    <m/>
    <d v="2023-07-12T00:00:00"/>
    <n v="1262"/>
    <n v="19363"/>
    <s v="61751806"/>
    <s v="61751806"/>
    <m/>
    <m/>
    <n v="22793298"/>
    <m/>
    <m/>
    <m/>
    <s v="SOLFIN"/>
    <s v="SOLFIN"/>
    <s v="CCMS"/>
    <n v="21363780"/>
    <n v="1710.88"/>
    <m/>
    <s v="N"/>
    <n v="4"/>
    <d v="2023-07-12T19:02:11"/>
    <s v="Y"/>
    <s v="Hearing Unit 1.01 - 2.30 Hours"/>
    <s v="Private Law Children"/>
    <s v="Advocacy"/>
    <s v="MG"/>
    <s v="Y"/>
    <n v="172.4"/>
    <n v="34.48"/>
    <x v="0"/>
    <s v="VALIDATED"/>
    <n v="1"/>
    <s v="01.11.80.302.6100.0000"/>
    <n v="172.4"/>
    <s v="11"/>
    <s v="6100"/>
    <n v="6873.01"/>
    <n v="172.4"/>
    <s v="CREDITOR"/>
    <n v="0"/>
    <n v="0"/>
    <n v="0"/>
    <n v="0"/>
    <n v="172.4"/>
  </r>
  <r>
    <n v="61841989"/>
    <s v="N"/>
    <n v="21360994"/>
    <s v="3000015909120004"/>
    <s v="CIVIL"/>
    <d v="2023-06-30T00:00:00"/>
    <d v="2023-07-11T19:00:25"/>
    <m/>
    <d v="2023-07-11T00:00:00"/>
    <n v="1262"/>
    <n v="19363"/>
    <s v="61841989"/>
    <s v="61841989"/>
    <m/>
    <m/>
    <n v="22800842"/>
    <m/>
    <m/>
    <m/>
    <s v="SOLFIN"/>
    <s v="SOLFIN"/>
    <s v="CCMS"/>
    <n v="21360994"/>
    <n v="2157.87"/>
    <m/>
    <s v="N"/>
    <n v="4"/>
    <d v="2023-07-11T19:00:42"/>
    <s v="Y"/>
    <s v="Preparation - drafting pleadings"/>
    <s v="Prescribed Hourly Rates"/>
    <s v="Profit Cost"/>
    <s v="AFS"/>
    <s v="Y"/>
    <n v="27.45"/>
    <n v="5.49"/>
    <x v="7"/>
    <s v="VALIDATED"/>
    <n v="1"/>
    <s v="01.11.80.302.6100.0000"/>
    <n v="27.45"/>
    <s v="11"/>
    <s v="6100"/>
    <n v="6873.01"/>
    <n v="27.45"/>
    <s v="CREDITOR"/>
    <n v="0"/>
    <n v="0"/>
    <n v="0"/>
    <n v="0"/>
    <n v="27.45"/>
  </r>
  <r>
    <n v="61841989"/>
    <s v="N"/>
    <n v="21360994"/>
    <s v="3000015909120004"/>
    <s v="CIVIL"/>
    <d v="2023-06-30T00:00:00"/>
    <d v="2023-07-11T19:00:25"/>
    <m/>
    <d v="2023-07-11T00:00:00"/>
    <n v="1262"/>
    <n v="19363"/>
    <s v="61841989"/>
    <s v="61841989"/>
    <m/>
    <m/>
    <n v="22800842"/>
    <m/>
    <m/>
    <m/>
    <s v="SOLFIN"/>
    <s v="SOLFIN"/>
    <s v="CCMS"/>
    <n v="21360994"/>
    <n v="2157.87"/>
    <m/>
    <s v="N"/>
    <n v="16"/>
    <d v="2023-07-11T19:00:42"/>
    <s v="Y"/>
    <s v="Preparation - drafting bill/claim f"/>
    <s v="Prescribed Hourly Rates"/>
    <s v="Profit Cost"/>
    <s v="JLH"/>
    <s v="Y"/>
    <n v="109.8"/>
    <n v="21.96"/>
    <x v="7"/>
    <s v="VALIDATED"/>
    <n v="1"/>
    <s v="01.11.80.302.6100.0000"/>
    <n v="109.8"/>
    <s v="11"/>
    <s v="6100"/>
    <n v="6873.01"/>
    <n v="109.8"/>
    <s v="CREDITOR"/>
    <n v="0"/>
    <n v="0"/>
    <n v="0"/>
    <n v="0"/>
    <n v="109.8"/>
  </r>
  <r>
    <n v="61298400"/>
    <s v="N"/>
    <n v="21360574"/>
    <s v="3000015456710010"/>
    <s v="CIVIL"/>
    <d v="2023-06-29T00:00:00"/>
    <d v="2023-07-11T11:50:54"/>
    <m/>
    <d v="2023-07-11T00:00:00"/>
    <n v="1262"/>
    <n v="19363"/>
    <s v="61298400"/>
    <s v="61298400"/>
    <m/>
    <m/>
    <n v="22790952"/>
    <m/>
    <m/>
    <m/>
    <s v="SOLFIN"/>
    <s v="SOLFIN"/>
    <s v="CCMS"/>
    <n v="21360574"/>
    <n v="9615.559999999999"/>
    <m/>
    <s v="N"/>
    <n v="42"/>
    <d v="2023-07-11T11:51:10"/>
    <s v="Y"/>
    <s v="Preparation - other"/>
    <s v="Care Remuneration Hourly Rates"/>
    <s v="Profit Cost"/>
    <s v="HB"/>
    <s v="Y"/>
    <n v="332.51"/>
    <n v="66.5"/>
    <x v="7"/>
    <s v="VALIDATED"/>
    <n v="1"/>
    <s v="01.11.80.308.6100.0000"/>
    <n v="332.51"/>
    <s v="11"/>
    <s v="6100"/>
    <n v="6873.01"/>
    <n v="332.51"/>
    <s v="CREDITOR"/>
    <n v="0"/>
    <n v="0"/>
    <n v="0"/>
    <n v="0"/>
    <n v="332.51"/>
  </r>
  <r>
    <n v="61841989"/>
    <s v="N"/>
    <n v="21360994"/>
    <s v="3000015909120004"/>
    <s v="CIVIL"/>
    <d v="2023-06-30T00:00:00"/>
    <d v="2023-07-11T19:00:25"/>
    <m/>
    <d v="2023-07-11T00:00:00"/>
    <n v="1262"/>
    <n v="19363"/>
    <s v="61841989"/>
    <s v="61841989"/>
    <m/>
    <m/>
    <n v="22800842"/>
    <m/>
    <m/>
    <m/>
    <s v="SOLFIN"/>
    <s v="SOLFIN"/>
    <s v="CCMS"/>
    <n v="21360994"/>
    <n v="2157.87"/>
    <m/>
    <s v="N"/>
    <n v="21"/>
    <d v="2023-07-11T19:00:42"/>
    <s v="Y"/>
    <s v="Preparation - drafting pleadings"/>
    <s v="Prescribed Hourly Rates"/>
    <s v="Profit Cost"/>
    <s v="HB"/>
    <s v="Y"/>
    <n v="126.27"/>
    <n v="25.25"/>
    <x v="7"/>
    <s v="VALIDATED"/>
    <n v="1"/>
    <s v="01.11.80.302.6100.0000"/>
    <n v="126.27"/>
    <s v="11"/>
    <s v="6100"/>
    <n v="6873.01"/>
    <n v="126.27"/>
    <s v="CREDITOR"/>
    <n v="0"/>
    <n v="0"/>
    <n v="0"/>
    <n v="0"/>
    <n v="126.27"/>
  </r>
  <r>
    <n v="61298400"/>
    <s v="N"/>
    <n v="21360574"/>
    <s v="3000015456710010"/>
    <s v="CIVIL"/>
    <d v="2023-06-29T00:00:00"/>
    <d v="2023-07-11T11:50:54"/>
    <m/>
    <d v="2023-07-11T00:00:00"/>
    <n v="1262"/>
    <n v="19363"/>
    <s v="61298400"/>
    <s v="61298400"/>
    <m/>
    <m/>
    <n v="22790952"/>
    <m/>
    <m/>
    <m/>
    <s v="SOLFIN"/>
    <s v="SOLFIN"/>
    <s v="CCMS"/>
    <n v="21360574"/>
    <n v="9615.559999999999"/>
    <m/>
    <s v="N"/>
    <n v="9"/>
    <d v="2023-07-11T11:51:10"/>
    <s v="Y"/>
    <s v="Routine Letter In"/>
    <s v="Care Remuneration Hourly Rates"/>
    <s v="Profit Cost"/>
    <s v="HB"/>
    <s v="Y"/>
    <n v="1240.33"/>
    <n v="248.04"/>
    <x v="7"/>
    <s v="VALIDATED"/>
    <n v="1"/>
    <s v="01.11.80.308.6100.0000"/>
    <n v="1240.33"/>
    <s v="11"/>
    <s v="6100"/>
    <n v="6873.01"/>
    <n v="1240.33"/>
    <s v="CREDITOR"/>
    <n v="0"/>
    <n v="0"/>
    <n v="0"/>
    <n v="0"/>
    <n v="1240.33"/>
  </r>
  <r>
    <n v="61841989"/>
    <s v="N"/>
    <n v="21360994"/>
    <s v="3000015909120004"/>
    <s v="CIVIL"/>
    <d v="2023-06-30T00:00:00"/>
    <d v="2023-07-11T19:00:25"/>
    <m/>
    <d v="2023-07-11T00:00:00"/>
    <n v="1262"/>
    <n v="19363"/>
    <s v="61841989"/>
    <s v="61841989"/>
    <m/>
    <m/>
    <n v="22800842"/>
    <m/>
    <m/>
    <m/>
    <s v="SOLFIN"/>
    <s v="SOLFIN"/>
    <s v="CCMS"/>
    <n v="21360994"/>
    <n v="2157.87"/>
    <m/>
    <s v="N"/>
    <n v="24"/>
    <d v="2023-07-11T19:00:42"/>
    <s v="Y"/>
    <s v="Court Fee"/>
    <s v="Prescribed Hourly Rates"/>
    <s v="Non Expert Disbursement"/>
    <s v="HB"/>
    <s v="Y"/>
    <n v="167"/>
    <n v="0"/>
    <x v="7"/>
    <s v="VALIDATED"/>
    <n v="1"/>
    <s v="01.11.80.302.6300.0000"/>
    <n v="167"/>
    <s v="11"/>
    <s v="6300"/>
    <n v="6873.01"/>
    <n v="167"/>
    <s v="CREDITOR"/>
    <n v="0"/>
    <n v="0"/>
    <n v="0"/>
    <n v="0"/>
    <n v="167"/>
  </r>
  <r>
    <n v="61841989"/>
    <s v="N"/>
    <n v="21360994"/>
    <s v="3000015909120004"/>
    <s v="CIVIL"/>
    <d v="2023-06-30T00:00:00"/>
    <d v="2023-07-11T19:00:25"/>
    <m/>
    <d v="2023-07-11T00:00:00"/>
    <n v="1262"/>
    <n v="19363"/>
    <s v="61841989"/>
    <s v="61841989"/>
    <m/>
    <m/>
    <n v="22800842"/>
    <m/>
    <m/>
    <m/>
    <s v="SOLFIN"/>
    <s v="SOLFIN"/>
    <s v="CCMS"/>
    <n v="21360994"/>
    <n v="2157.87"/>
    <m/>
    <s v="N"/>
    <n v="18"/>
    <d v="2023-07-11T19:00:42"/>
    <s v="Y"/>
    <s v="Attendance upon client"/>
    <s v="Prescribed Hourly Rates"/>
    <s v="Profit Cost"/>
    <s v="AFS"/>
    <s v="Y"/>
    <n v="27.45"/>
    <n v="5.49"/>
    <x v="7"/>
    <s v="VALIDATED"/>
    <n v="1"/>
    <s v="01.11.80.302.6100.0000"/>
    <n v="27.45"/>
    <s v="11"/>
    <s v="6100"/>
    <n v="6873.01"/>
    <n v="27.45"/>
    <s v="CREDITOR"/>
    <n v="0"/>
    <n v="0"/>
    <n v="0"/>
    <n v="0"/>
    <n v="27.45"/>
  </r>
  <r>
    <n v="61963700"/>
    <s v="N"/>
    <n v="21321807"/>
    <s v="3000016012020003"/>
    <s v="CIVIL"/>
    <d v="2023-06-29T00:00:00"/>
    <d v="2023-07-03T19:05:17"/>
    <m/>
    <d v="2023-07-03T00:00:00"/>
    <n v="1262"/>
    <n v="19363"/>
    <s v="61963700"/>
    <s v="61963700"/>
    <m/>
    <m/>
    <n v="22785488"/>
    <m/>
    <m/>
    <m/>
    <s v="SOLPOA"/>
    <s v="SOLPOA"/>
    <s v="CCMS"/>
    <n v="21321807"/>
    <n v="140.35"/>
    <m/>
    <s v="N"/>
    <n v="1"/>
    <d v="2023-07-03T19:05:21"/>
    <s v="N"/>
    <s v="Non Expert Disbursement - Private L"/>
    <s v="Non Expert Disbursement - Priv"/>
    <s v="Non Expert Disbursement"/>
    <s v="JLH"/>
    <s v="N"/>
    <n v="140.35"/>
    <n v="0"/>
    <x v="3"/>
    <s v="VALIDATED"/>
    <n v="1"/>
    <s v="01.11.80.302.2012.0000"/>
    <n v="140.35"/>
    <s v="11"/>
    <s v="2012"/>
    <n v="6873.01"/>
    <n v="140.35"/>
    <s v="CREDITOR"/>
    <n v="140.35"/>
    <n v="0"/>
    <n v="0"/>
    <n v="0"/>
    <n v="0"/>
  </r>
  <r>
    <n v="61298400"/>
    <s v="N"/>
    <n v="21360574"/>
    <s v="3000015456710010"/>
    <s v="CIVIL"/>
    <d v="2023-06-29T00:00:00"/>
    <d v="2023-07-11T11:50:54"/>
    <m/>
    <d v="2023-07-11T00:00:00"/>
    <n v="1262"/>
    <n v="19363"/>
    <s v="61298400"/>
    <s v="61298400"/>
    <m/>
    <m/>
    <n v="22790952"/>
    <m/>
    <m/>
    <m/>
    <s v="SOLFIN"/>
    <s v="SOLFIN"/>
    <s v="CCMS"/>
    <n v="21360574"/>
    <n v="9615.559999999999"/>
    <m/>
    <s v="N"/>
    <n v="32"/>
    <d v="2023-07-11T11:51:10"/>
    <s v="Y"/>
    <s v="Preparation - other"/>
    <s v="Care Remuneration Hourly Rates"/>
    <s v="Profit Cost"/>
    <s v="HB"/>
    <s v="Y"/>
    <n v="33.25"/>
    <n v="6.65"/>
    <x v="7"/>
    <s v="VALIDATED"/>
    <n v="1"/>
    <s v="01.11.80.308.6100.0000"/>
    <n v="33.25"/>
    <s v="11"/>
    <s v="6100"/>
    <n v="6873.01"/>
    <n v="33.25"/>
    <s v="CREDITOR"/>
    <n v="0"/>
    <n v="0"/>
    <n v="0"/>
    <n v="0"/>
    <n v="33.25"/>
  </r>
  <r>
    <n v="61298400"/>
    <s v="N"/>
    <n v="21360574"/>
    <s v="3000015456710010"/>
    <s v="CIVIL"/>
    <d v="2023-06-29T00:00:00"/>
    <d v="2023-07-11T11:50:54"/>
    <m/>
    <d v="2023-07-11T00:00:00"/>
    <n v="1262"/>
    <n v="19363"/>
    <s v="61298400"/>
    <s v="61298400"/>
    <m/>
    <m/>
    <n v="22790952"/>
    <m/>
    <m/>
    <m/>
    <s v="SOLFIN"/>
    <s v="SOLFIN"/>
    <s v="CCMS"/>
    <n v="21360574"/>
    <n v="9615.559999999999"/>
    <m/>
    <s v="N"/>
    <n v="38"/>
    <d v="2023-07-11T11:51:10"/>
    <s v="Y"/>
    <s v="Preparation - other"/>
    <s v="Care Remuneration Hourly Rates"/>
    <s v="Profit Cost"/>
    <s v="HB"/>
    <s v="Y"/>
    <n v="15.11"/>
    <n v="3.02"/>
    <x v="7"/>
    <s v="VALIDATED"/>
    <n v="1"/>
    <s v="01.11.80.308.6100.0000"/>
    <n v="15.11"/>
    <s v="11"/>
    <s v="6100"/>
    <n v="6873.01"/>
    <n v="15.11"/>
    <s v="CREDITOR"/>
    <n v="0"/>
    <n v="0"/>
    <n v="0"/>
    <n v="0"/>
    <n v="15.11"/>
  </r>
  <r>
    <n v="61298400"/>
    <s v="N"/>
    <n v="21360574"/>
    <s v="3000015456710010"/>
    <s v="CIVIL"/>
    <d v="2023-06-29T00:00:00"/>
    <d v="2023-07-11T11:50:54"/>
    <m/>
    <d v="2023-07-11T00:00:00"/>
    <n v="1262"/>
    <n v="19363"/>
    <s v="61298400"/>
    <s v="61298400"/>
    <m/>
    <m/>
    <n v="22790952"/>
    <m/>
    <m/>
    <m/>
    <s v="SOLFIN"/>
    <s v="SOLFIN"/>
    <s v="CCMS"/>
    <n v="21360574"/>
    <n v="9615.559999999999"/>
    <m/>
    <s v="N"/>
    <n v="21"/>
    <d v="2023-07-11T11:51:10"/>
    <s v="Y"/>
    <s v="Preparation - other"/>
    <s v="Care Remuneration Hourly Rates"/>
    <s v="Profit Cost"/>
    <s v="HB"/>
    <s v="Y"/>
    <n v="57.43"/>
    <n v="11.49"/>
    <x v="7"/>
    <s v="VALIDATED"/>
    <n v="1"/>
    <s v="01.11.80.308.6100.0000"/>
    <n v="57.43"/>
    <s v="11"/>
    <s v="6100"/>
    <n v="6873.01"/>
    <n v="57.43"/>
    <s v="CREDITOR"/>
    <n v="0"/>
    <n v="0"/>
    <n v="0"/>
    <n v="0"/>
    <n v="57.43"/>
  </r>
  <r>
    <n v="61298400"/>
    <s v="N"/>
    <n v="21360574"/>
    <s v="3000015456710010"/>
    <s v="CIVIL"/>
    <d v="2023-06-29T00:00:00"/>
    <d v="2023-07-11T11:50:54"/>
    <m/>
    <d v="2023-07-11T00:00:00"/>
    <n v="1262"/>
    <n v="19363"/>
    <s v="61298400"/>
    <s v="61298400"/>
    <m/>
    <m/>
    <n v="22790952"/>
    <m/>
    <m/>
    <m/>
    <s v="SOLFIN"/>
    <s v="SOLFIN"/>
    <s v="CCMS"/>
    <n v="21360574"/>
    <n v="9615.559999999999"/>
    <m/>
    <s v="N"/>
    <n v="23"/>
    <d v="2023-07-11T11:51:10"/>
    <s v="Y"/>
    <s v="Preparation - other"/>
    <s v="Care Remuneration Hourly Rates"/>
    <s v="Profit Cost"/>
    <s v="HB"/>
    <s v="Y"/>
    <n v="39.3"/>
    <n v="7.86"/>
    <x v="7"/>
    <s v="VALIDATED"/>
    <n v="1"/>
    <s v="01.11.80.308.6100.0000"/>
    <n v="39.3"/>
    <s v="11"/>
    <s v="6100"/>
    <n v="6873.01"/>
    <n v="39.3"/>
    <s v="CREDITOR"/>
    <n v="0"/>
    <n v="0"/>
    <n v="0"/>
    <n v="0"/>
    <n v="39.3"/>
  </r>
  <r>
    <n v="61298400"/>
    <s v="N"/>
    <n v="21360574"/>
    <s v="3000015456710010"/>
    <s v="CIVIL"/>
    <d v="2023-06-29T00:00:00"/>
    <d v="2023-07-11T11:50:54"/>
    <m/>
    <d v="2023-07-11T00:00:00"/>
    <n v="1262"/>
    <n v="19363"/>
    <s v="61298400"/>
    <s v="61298400"/>
    <m/>
    <m/>
    <n v="22790952"/>
    <m/>
    <m/>
    <m/>
    <s v="SOLFIN"/>
    <s v="SOLFIN"/>
    <s v="CCMS"/>
    <n v="21360574"/>
    <n v="9615.559999999999"/>
    <m/>
    <s v="N"/>
    <n v="30"/>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73"/>
    <d v="2023-07-11T11:51:10"/>
    <s v="Y"/>
    <s v="Attendance upon client"/>
    <s v="Care Remuneration Hourly Rates"/>
    <s v="Profit Cost"/>
    <s v="hb"/>
    <s v="Y"/>
    <n v="24.18"/>
    <n v="4.84"/>
    <x v="7"/>
    <s v="VALIDATED"/>
    <n v="1"/>
    <s v="01.11.80.308.6100.0000"/>
    <n v="24.18"/>
    <s v="11"/>
    <s v="6100"/>
    <n v="6873.01"/>
    <n v="24.18"/>
    <s v="CREDITOR"/>
    <n v="0"/>
    <n v="0"/>
    <n v="0"/>
    <n v="0"/>
    <n v="24.18"/>
  </r>
  <r>
    <n v="61298400"/>
    <s v="N"/>
    <n v="21360574"/>
    <s v="3000015456710010"/>
    <s v="CIVIL"/>
    <d v="2023-06-29T00:00:00"/>
    <d v="2023-07-11T11:50:54"/>
    <m/>
    <d v="2023-07-11T00:00:00"/>
    <n v="1262"/>
    <n v="19363"/>
    <s v="61298400"/>
    <s v="61298400"/>
    <m/>
    <m/>
    <n v="22790952"/>
    <m/>
    <m/>
    <m/>
    <s v="SOLFIN"/>
    <s v="SOLFIN"/>
    <s v="CCMS"/>
    <n v="21360574"/>
    <n v="9615.559999999999"/>
    <m/>
    <s v="N"/>
    <n v="84"/>
    <d v="2023-07-11T11:51:10"/>
    <s v="Y"/>
    <s v="Attendance upon client"/>
    <s v="Care Remuneration Hourly Rates"/>
    <s v="Profit Cost"/>
    <s v="HB"/>
    <s v="Y"/>
    <n v="24.18"/>
    <n v="4.84"/>
    <x v="7"/>
    <s v="VALIDATED"/>
    <n v="1"/>
    <s v="01.11.80.308.6100.0000"/>
    <n v="24.18"/>
    <s v="11"/>
    <s v="6100"/>
    <n v="6873.01"/>
    <n v="24.18"/>
    <s v="CREDITOR"/>
    <n v="0"/>
    <n v="0"/>
    <n v="0"/>
    <n v="0"/>
    <n v="24.18"/>
  </r>
  <r>
    <n v="61298400"/>
    <s v="N"/>
    <n v="21360574"/>
    <s v="3000015456710010"/>
    <s v="CIVIL"/>
    <d v="2023-06-29T00:00:00"/>
    <d v="2023-07-11T11:50:54"/>
    <m/>
    <d v="2023-07-11T00:00:00"/>
    <n v="1262"/>
    <n v="19363"/>
    <s v="61298400"/>
    <s v="61298400"/>
    <m/>
    <m/>
    <n v="22790952"/>
    <m/>
    <m/>
    <m/>
    <s v="SOLFIN"/>
    <s v="SOLFIN"/>
    <s v="CCMS"/>
    <n v="21360574"/>
    <n v="9615.559999999999"/>
    <m/>
    <s v="N"/>
    <n v="1"/>
    <d v="2023-07-11T11:51:10"/>
    <s v="Y"/>
    <s v="Telecoms expert"/>
    <s v="Care Remuneration Hourly Rates"/>
    <s v="Expert Disbursement"/>
    <s v="HB"/>
    <s v="Y"/>
    <n v="600"/>
    <n v="120"/>
    <x v="7"/>
    <s v="VALIDATED"/>
    <n v="1"/>
    <s v="01.11.80.308.6300.0000"/>
    <n v="600"/>
    <s v="11"/>
    <s v="6300"/>
    <n v="6873.01"/>
    <n v="600"/>
    <s v="CREDITOR"/>
    <n v="0"/>
    <n v="0"/>
    <n v="0"/>
    <n v="0"/>
    <n v="600"/>
  </r>
  <r>
    <n v="61298400"/>
    <s v="N"/>
    <n v="21360574"/>
    <s v="3000015456710010"/>
    <s v="CIVIL"/>
    <d v="2023-06-29T00:00:00"/>
    <d v="2023-07-11T11:50:54"/>
    <m/>
    <d v="2023-07-11T00:00:00"/>
    <n v="1262"/>
    <n v="19363"/>
    <s v="61298400"/>
    <s v="61298400"/>
    <m/>
    <m/>
    <n v="22790952"/>
    <m/>
    <m/>
    <m/>
    <s v="SOLFIN"/>
    <s v="SOLFIN"/>
    <s v="CCMS"/>
    <n v="21360574"/>
    <n v="9615.559999999999"/>
    <m/>
    <s v="N"/>
    <n v="2"/>
    <d v="2023-07-11T11:51:10"/>
    <s v="Y"/>
    <s v="GP (records report)"/>
    <s v="Care Remuneration Hourly Rates"/>
    <s v="Expert Disbursement"/>
    <s v="HB"/>
    <s v="Y"/>
    <n v="45"/>
    <n v="0"/>
    <x v="7"/>
    <s v="VALIDATED"/>
    <n v="1"/>
    <s v="01.11.80.308.6300.0000"/>
    <n v="45"/>
    <s v="11"/>
    <s v="6300"/>
    <n v="6873.01"/>
    <n v="45"/>
    <s v="CREDITOR"/>
    <n v="0"/>
    <n v="0"/>
    <n v="0"/>
    <n v="0"/>
    <n v="45"/>
  </r>
  <r>
    <n v="62433412"/>
    <s v="N"/>
    <n v="21321804"/>
    <s v="3000016402400001"/>
    <s v="CIVIL"/>
    <d v="2023-06-29T00:00:00"/>
    <d v="2023-07-03T19:05:17"/>
    <m/>
    <d v="2023-07-03T00:00:00"/>
    <n v="1262"/>
    <n v="19363"/>
    <s v="62433412"/>
    <s v="62433412"/>
    <m/>
    <m/>
    <n v="22785582"/>
    <m/>
    <m/>
    <m/>
    <s v="SOLPOA"/>
    <s v="SOLPOA"/>
    <s v="CCMS"/>
    <n v="21321804"/>
    <n v="120"/>
    <m/>
    <s v="N"/>
    <n v="1"/>
    <d v="2023-07-03T19:05:21"/>
    <s v="N"/>
    <s v="Expert Cost"/>
    <s v="Expert Cost"/>
    <s v="Expert Disbursement"/>
    <s v="JLH"/>
    <s v="N"/>
    <n v="100"/>
    <n v="20"/>
    <x v="3"/>
    <s v="VALIDATED"/>
    <n v="1"/>
    <s v="01.11.80.302.2012.0000"/>
    <n v="100"/>
    <s v="11"/>
    <s v="2012"/>
    <n v="6873.01"/>
    <n v="100"/>
    <s v="CREDITOR"/>
    <n v="100"/>
    <n v="0"/>
    <n v="0"/>
    <n v="0"/>
    <n v="0"/>
  </r>
  <r>
    <n v="61298400"/>
    <s v="N"/>
    <n v="21360574"/>
    <s v="3000015456710010"/>
    <s v="CIVIL"/>
    <d v="2023-06-29T00:00:00"/>
    <d v="2023-07-11T11:50:54"/>
    <m/>
    <d v="2023-07-11T00:00:00"/>
    <n v="1262"/>
    <n v="19363"/>
    <s v="61298400"/>
    <s v="61298400"/>
    <m/>
    <m/>
    <n v="22790952"/>
    <m/>
    <m/>
    <m/>
    <s v="SOLFIN"/>
    <s v="SOLFIN"/>
    <s v="CCMS"/>
    <n v="21360574"/>
    <n v="9615.559999999999"/>
    <m/>
    <s v="N"/>
    <n v="56"/>
    <d v="2023-07-11T11:51:10"/>
    <s v="Y"/>
    <s v="Preparation - drafting application"/>
    <s v="Care Remuneration Hourly Rates"/>
    <s v="Profit Cost"/>
    <s v="HB"/>
    <s v="Y"/>
    <n v="12.09"/>
    <n v="2.42"/>
    <x v="7"/>
    <s v="VALIDATED"/>
    <n v="1"/>
    <s v="01.11.80.308.6100.0000"/>
    <n v="12.09"/>
    <s v="11"/>
    <s v="6100"/>
    <n v="6873.01"/>
    <n v="12.09"/>
    <s v="CREDITOR"/>
    <n v="0"/>
    <n v="0"/>
    <n v="0"/>
    <n v="0"/>
    <n v="12.09"/>
  </r>
  <r>
    <n v="61841989"/>
    <s v="N"/>
    <n v="21360994"/>
    <s v="3000015909120004"/>
    <s v="CIVIL"/>
    <d v="2023-06-30T00:00:00"/>
    <d v="2023-07-11T19:00:25"/>
    <m/>
    <d v="2023-07-11T00:00:00"/>
    <n v="1262"/>
    <n v="19363"/>
    <s v="61841989"/>
    <s v="61841989"/>
    <m/>
    <m/>
    <n v="22800842"/>
    <m/>
    <m/>
    <m/>
    <s v="SOLFIN"/>
    <s v="SOLFIN"/>
    <s v="CCMS"/>
    <n v="21360994"/>
    <n v="2157.87"/>
    <m/>
    <s v="N"/>
    <n v="15"/>
    <d v="2023-07-11T19:00:42"/>
    <s v="Y"/>
    <s v="Routine Letter Out"/>
    <s v="Prescribed Hourly Rates"/>
    <s v="Profit Cost"/>
    <s v="HB"/>
    <s v="Y"/>
    <n v="422.28"/>
    <n v="84.45999999999999"/>
    <x v="7"/>
    <s v="VALIDATED"/>
    <n v="1"/>
    <s v="01.11.80.302.6100.0000"/>
    <n v="422.28"/>
    <s v="11"/>
    <s v="6100"/>
    <n v="6873.01"/>
    <n v="422.28"/>
    <s v="CREDITOR"/>
    <n v="0"/>
    <n v="0"/>
    <n v="0"/>
    <n v="0"/>
    <n v="422.28"/>
  </r>
  <r>
    <n v="61298400"/>
    <s v="N"/>
    <n v="21360574"/>
    <s v="3000015456710010"/>
    <s v="CIVIL"/>
    <d v="2023-06-29T00:00:00"/>
    <d v="2023-07-11T11:50:54"/>
    <m/>
    <d v="2023-07-11T00:00:00"/>
    <n v="1262"/>
    <n v="19363"/>
    <s v="61298400"/>
    <s v="61298400"/>
    <m/>
    <m/>
    <n v="22790952"/>
    <m/>
    <m/>
    <m/>
    <s v="SOLFIN"/>
    <s v="SOLFIN"/>
    <s v="CCMS"/>
    <n v="21360574"/>
    <n v="9615.559999999999"/>
    <m/>
    <s v="N"/>
    <n v="53"/>
    <d v="2023-07-11T11:51:10"/>
    <s v="Y"/>
    <s v="Preparation - other"/>
    <s v="Care Remuneration Hourly Rates"/>
    <s v="Profit Cost"/>
    <s v="HB"/>
    <s v="Y"/>
    <n v="6.05"/>
    <n v="1.21"/>
    <x v="7"/>
    <s v="VALIDATED"/>
    <n v="1"/>
    <s v="01.11.80.308.6100.0000"/>
    <n v="6.05"/>
    <s v="11"/>
    <s v="6100"/>
    <n v="6873.01"/>
    <n v="6.05"/>
    <s v="CREDITOR"/>
    <n v="0"/>
    <n v="0"/>
    <n v="0"/>
    <n v="0"/>
    <n v="6.05"/>
  </r>
  <r>
    <n v="61841989"/>
    <s v="N"/>
    <n v="21360994"/>
    <s v="3000015909120004"/>
    <s v="CIVIL"/>
    <d v="2023-06-30T00:00:00"/>
    <d v="2023-07-11T19:00:25"/>
    <m/>
    <d v="2023-07-11T00:00:00"/>
    <n v="1262"/>
    <n v="19363"/>
    <s v="61841989"/>
    <s v="61841989"/>
    <m/>
    <m/>
    <n v="22800842"/>
    <m/>
    <m/>
    <m/>
    <s v="SOLFIN"/>
    <s v="SOLFIN"/>
    <s v="CCMS"/>
    <n v="21360994"/>
    <n v="2157.87"/>
    <m/>
    <s v="N"/>
    <n v="2"/>
    <d v="2023-07-11T19:00:42"/>
    <s v="Y"/>
    <s v="Preparation - drafting application"/>
    <s v="Prescribed Hourly Rates"/>
    <s v="Profit Cost"/>
    <s v="HB"/>
    <s v="Y"/>
    <n v="31.57"/>
    <n v="6.31"/>
    <x v="7"/>
    <s v="VALIDATED"/>
    <n v="1"/>
    <s v="01.11.80.302.6100.0000"/>
    <n v="31.57"/>
    <s v="11"/>
    <s v="6100"/>
    <n v="6873.01"/>
    <n v="31.57"/>
    <s v="CREDITOR"/>
    <n v="0"/>
    <n v="0"/>
    <n v="0"/>
    <n v="0"/>
    <n v="31.57"/>
  </r>
  <r>
    <n v="61298400"/>
    <s v="N"/>
    <n v="21360574"/>
    <s v="3000015456710010"/>
    <s v="CIVIL"/>
    <d v="2023-06-29T00:00:00"/>
    <d v="2023-07-11T11:50:54"/>
    <m/>
    <d v="2023-07-11T00:00:00"/>
    <n v="1262"/>
    <n v="19363"/>
    <s v="61298400"/>
    <s v="61298400"/>
    <m/>
    <m/>
    <n v="22790952"/>
    <m/>
    <m/>
    <m/>
    <s v="SOLFIN"/>
    <s v="SOLFIN"/>
    <s v="CCMS"/>
    <n v="21360574"/>
    <n v="9615.559999999999"/>
    <m/>
    <s v="N"/>
    <n v="14"/>
    <d v="2023-07-11T11:51:10"/>
    <s v="Y"/>
    <s v="Preparation - other"/>
    <s v="Care Remuneration Hourly Rates"/>
    <s v="Profit Cost"/>
    <s v="HB"/>
    <s v="Y"/>
    <n v="145.1"/>
    <n v="29.02"/>
    <x v="7"/>
    <s v="VALIDATED"/>
    <n v="1"/>
    <s v="01.11.80.308.6100.0000"/>
    <n v="145.1"/>
    <s v="11"/>
    <s v="6100"/>
    <n v="6873.01"/>
    <n v="145.1"/>
    <s v="CREDITOR"/>
    <n v="0"/>
    <n v="0"/>
    <n v="0"/>
    <n v="0"/>
    <n v="145.1"/>
  </r>
  <r>
    <n v="61298400"/>
    <s v="N"/>
    <n v="21360574"/>
    <s v="3000015456710010"/>
    <s v="CIVIL"/>
    <d v="2023-06-29T00:00:00"/>
    <d v="2023-07-11T11:50:54"/>
    <m/>
    <d v="2023-07-11T00:00:00"/>
    <n v="1262"/>
    <n v="19363"/>
    <s v="61298400"/>
    <s v="61298400"/>
    <m/>
    <m/>
    <n v="22790952"/>
    <m/>
    <m/>
    <m/>
    <s v="SOLFIN"/>
    <s v="SOLFIN"/>
    <s v="CCMS"/>
    <n v="21360574"/>
    <n v="9615.559999999999"/>
    <m/>
    <s v="N"/>
    <n v="20"/>
    <d v="2023-07-11T11:51:10"/>
    <s v="Y"/>
    <s v="Preparation - drafting statement"/>
    <s v="Care Remuneration Hourly Rates"/>
    <s v="Profit Cost"/>
    <s v="AFSS"/>
    <s v="Y"/>
    <n v="105.14"/>
    <n v="21.03"/>
    <x v="7"/>
    <s v="VALIDATED"/>
    <n v="1"/>
    <s v="01.11.80.308.6100.0000"/>
    <n v="105.14"/>
    <s v="11"/>
    <s v="6100"/>
    <n v="6873.01"/>
    <n v="105.14"/>
    <s v="CREDITOR"/>
    <n v="0"/>
    <n v="0"/>
    <n v="0"/>
    <n v="0"/>
    <n v="105.14"/>
  </r>
  <r>
    <n v="61298400"/>
    <s v="N"/>
    <n v="21360574"/>
    <s v="3000015456710010"/>
    <s v="CIVIL"/>
    <d v="2023-06-29T00:00:00"/>
    <d v="2023-07-11T11:50:54"/>
    <m/>
    <d v="2023-07-11T00:00:00"/>
    <n v="1262"/>
    <n v="19363"/>
    <s v="61298400"/>
    <s v="61298400"/>
    <m/>
    <m/>
    <n v="22790952"/>
    <m/>
    <m/>
    <m/>
    <s v="SOLFIN"/>
    <s v="SOLFIN"/>
    <s v="CCMS"/>
    <n v="21360574"/>
    <n v="9615.559999999999"/>
    <m/>
    <s v="N"/>
    <n v="25"/>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41"/>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70"/>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77"/>
    <d v="2023-07-11T11:51:10"/>
    <s v="Y"/>
    <s v="Preparation - other"/>
    <s v="Care Remuneration Hourly Rates"/>
    <s v="Profit Cost"/>
    <s v="hb"/>
    <s v="Y"/>
    <n v="30.23"/>
    <n v="6.05"/>
    <x v="7"/>
    <s v="VALIDATED"/>
    <n v="1"/>
    <s v="01.11.80.308.6100.0000"/>
    <n v="30.23"/>
    <s v="11"/>
    <s v="6100"/>
    <n v="6873.01"/>
    <n v="30.23"/>
    <s v="CREDITOR"/>
    <n v="0"/>
    <n v="0"/>
    <n v="0"/>
    <n v="0"/>
    <n v="30.23"/>
  </r>
  <r>
    <n v="61298400"/>
    <s v="N"/>
    <n v="21360574"/>
    <s v="3000015456710010"/>
    <s v="CIVIL"/>
    <d v="2023-06-29T00:00:00"/>
    <d v="2023-07-11T11:50:54"/>
    <m/>
    <d v="2023-07-11T00:00:00"/>
    <n v="1262"/>
    <n v="19363"/>
    <s v="61298400"/>
    <s v="61298400"/>
    <m/>
    <m/>
    <n v="22790952"/>
    <m/>
    <m/>
    <m/>
    <s v="SOLFIN"/>
    <s v="SOLFIN"/>
    <s v="CCMS"/>
    <n v="21360574"/>
    <n v="9615.559999999999"/>
    <m/>
    <s v="N"/>
    <n v="79"/>
    <d v="2023-07-11T11:51:10"/>
    <s v="Y"/>
    <s v="Preparation - other"/>
    <s v="Care Remuneration Hourly Rates"/>
    <s v="Profit Cost"/>
    <s v="HB"/>
    <s v="Y"/>
    <n v="6.05"/>
    <n v="1.21"/>
    <x v="7"/>
    <s v="VALIDATED"/>
    <n v="1"/>
    <s v="01.11.80.308.6100.0000"/>
    <n v="6.05"/>
    <s v="11"/>
    <s v="6100"/>
    <n v="6873.01"/>
    <n v="6.05"/>
    <s v="CREDITOR"/>
    <n v="0"/>
    <n v="0"/>
    <n v="0"/>
    <n v="0"/>
    <n v="6.05"/>
  </r>
  <r>
    <n v="61841989"/>
    <s v="N"/>
    <n v="21360994"/>
    <s v="3000015909120004"/>
    <s v="CIVIL"/>
    <d v="2023-06-30T00:00:00"/>
    <d v="2023-07-11T19:00:25"/>
    <m/>
    <d v="2023-07-11T00:00:00"/>
    <n v="1262"/>
    <n v="19363"/>
    <s v="61841989"/>
    <s v="61841989"/>
    <m/>
    <m/>
    <n v="22800842"/>
    <m/>
    <m/>
    <m/>
    <s v="SOLFIN"/>
    <s v="SOLFIN"/>
    <s v="CCMS"/>
    <n v="21360994"/>
    <n v="2157.87"/>
    <m/>
    <s v="N"/>
    <n v="13"/>
    <d v="2023-07-11T19:00:42"/>
    <s v="Y"/>
    <s v="Routine Telephone Call"/>
    <s v="Prescribed Hourly Rates"/>
    <s v="Profit Cost"/>
    <s v="HB"/>
    <s v="Y"/>
    <n v="37.26"/>
    <n v="7.45"/>
    <x v="7"/>
    <s v="VALIDATED"/>
    <n v="1"/>
    <s v="01.11.80.302.6100.0000"/>
    <n v="37.26"/>
    <s v="11"/>
    <s v="6100"/>
    <n v="6873.01"/>
    <n v="37.26"/>
    <s v="CREDITOR"/>
    <n v="0"/>
    <n v="0"/>
    <n v="0"/>
    <n v="0"/>
    <n v="37.26"/>
  </r>
  <r>
    <n v="61298400"/>
    <s v="N"/>
    <n v="21360574"/>
    <s v="3000015456710010"/>
    <s v="CIVIL"/>
    <d v="2023-06-29T00:00:00"/>
    <d v="2023-07-11T11:50:54"/>
    <m/>
    <d v="2023-07-11T00:00:00"/>
    <n v="1262"/>
    <n v="19363"/>
    <s v="61298400"/>
    <s v="61298400"/>
    <m/>
    <m/>
    <n v="22790952"/>
    <m/>
    <m/>
    <m/>
    <s v="SOLFIN"/>
    <s v="SOLFIN"/>
    <s v="CCMS"/>
    <n v="21360574"/>
    <n v="9615.559999999999"/>
    <m/>
    <s v="N"/>
    <n v="91"/>
    <d v="2023-07-11T11:51:10"/>
    <s v="Y"/>
    <s v="Advocates Meeting"/>
    <s v="Public Law Children"/>
    <s v="Advocacy"/>
    <s v="HB"/>
    <s v="Y"/>
    <n v="140.99"/>
    <n v="28.2"/>
    <x v="7"/>
    <s v="VALIDATED"/>
    <n v="1"/>
    <s v="01.11.80.308.6100.0000"/>
    <n v="140.99"/>
    <s v="11"/>
    <s v="6100"/>
    <n v="6873.01"/>
    <n v="140.99"/>
    <s v="CREDITOR"/>
    <n v="0"/>
    <n v="0"/>
    <n v="0"/>
    <n v="0"/>
    <n v="140.99"/>
  </r>
  <r>
    <n v="61298400"/>
    <s v="N"/>
    <n v="21360574"/>
    <s v="3000015456710010"/>
    <s v="CIVIL"/>
    <d v="2023-06-29T00:00:00"/>
    <d v="2023-07-11T11:50:54"/>
    <m/>
    <d v="2023-07-11T00:00:00"/>
    <n v="1262"/>
    <n v="19363"/>
    <s v="61298400"/>
    <s v="61298400"/>
    <m/>
    <m/>
    <n v="22790952"/>
    <m/>
    <m/>
    <m/>
    <s v="SOLFIN"/>
    <s v="SOLFIN"/>
    <s v="CCMS"/>
    <n v="21360574"/>
    <n v="9615.559999999999"/>
    <m/>
    <s v="N"/>
    <n v="15"/>
    <d v="2023-07-11T11:51:10"/>
    <s v="Y"/>
    <s v="Preparation - other"/>
    <s v="Care Remuneration Hourly Rates"/>
    <s v="Profit Cost"/>
    <s v="hb"/>
    <s v="Y"/>
    <n v="24.18"/>
    <n v="4.84"/>
    <x v="7"/>
    <s v="VALIDATED"/>
    <n v="1"/>
    <s v="01.11.80.308.6100.0000"/>
    <n v="24.18"/>
    <s v="11"/>
    <s v="6100"/>
    <n v="6873.01"/>
    <n v="24.18"/>
    <s v="CREDITOR"/>
    <n v="0"/>
    <n v="0"/>
    <n v="0"/>
    <n v="0"/>
    <n v="24.18"/>
  </r>
  <r>
    <n v="61841989"/>
    <s v="N"/>
    <n v="21360994"/>
    <s v="3000015909120004"/>
    <s v="CIVIL"/>
    <d v="2023-06-30T00:00:00"/>
    <d v="2023-07-11T19:00:25"/>
    <m/>
    <d v="2023-07-11T00:00:00"/>
    <n v="1262"/>
    <n v="19363"/>
    <s v="61841989"/>
    <s v="61841989"/>
    <m/>
    <m/>
    <n v="22800842"/>
    <m/>
    <m/>
    <m/>
    <s v="SOLFIN"/>
    <s v="SOLFIN"/>
    <s v="CCMS"/>
    <n v="21360994"/>
    <n v="2157.87"/>
    <m/>
    <s v="N"/>
    <n v="14"/>
    <d v="2023-07-11T19:00:42"/>
    <s v="Y"/>
    <s v="Routine Letter In"/>
    <s v="Prescribed Hourly Rates"/>
    <s v="Profit Cost"/>
    <s v="HB"/>
    <s v="Y"/>
    <n v="139.73"/>
    <n v="27.95"/>
    <x v="7"/>
    <s v="VALIDATED"/>
    <n v="1"/>
    <s v="01.11.80.302.6100.0000"/>
    <n v="139.73"/>
    <s v="11"/>
    <s v="6100"/>
    <n v="6873.01"/>
    <n v="139.73"/>
    <s v="CREDITOR"/>
    <n v="0"/>
    <n v="0"/>
    <n v="0"/>
    <n v="0"/>
    <n v="139.73"/>
  </r>
  <r>
    <n v="61298400"/>
    <s v="N"/>
    <n v="21360574"/>
    <s v="3000015456710010"/>
    <s v="CIVIL"/>
    <d v="2023-06-29T00:00:00"/>
    <d v="2023-07-11T11:50:54"/>
    <m/>
    <d v="2023-07-11T00:00:00"/>
    <n v="1262"/>
    <n v="19363"/>
    <s v="61298400"/>
    <s v="61298400"/>
    <m/>
    <m/>
    <n v="22790952"/>
    <m/>
    <m/>
    <m/>
    <s v="SOLFIN"/>
    <s v="SOLFIN"/>
    <s v="CCMS"/>
    <n v="21360574"/>
    <n v="9615.559999999999"/>
    <m/>
    <s v="N"/>
    <n v="66"/>
    <d v="2023-07-11T11:51:10"/>
    <s v="Y"/>
    <s v="Attendance upon client"/>
    <s v="Care Remuneration Hourly Rates"/>
    <s v="Profit Cost"/>
    <s v="HB"/>
    <s v="Y"/>
    <n v="30.23"/>
    <n v="6.05"/>
    <x v="7"/>
    <s v="VALIDATED"/>
    <n v="1"/>
    <s v="01.11.80.308.6100.0000"/>
    <n v="30.23"/>
    <s v="11"/>
    <s v="6100"/>
    <n v="6873.01"/>
    <n v="30.23"/>
    <s v="CREDITOR"/>
    <n v="0"/>
    <n v="0"/>
    <n v="0"/>
    <n v="0"/>
    <n v="30.23"/>
  </r>
  <r>
    <n v="61298400"/>
    <s v="N"/>
    <n v="21360574"/>
    <s v="3000015456710010"/>
    <s v="CIVIL"/>
    <d v="2023-06-29T00:00:00"/>
    <d v="2023-07-11T11:50:54"/>
    <m/>
    <d v="2023-07-11T00:00:00"/>
    <n v="1262"/>
    <n v="19363"/>
    <s v="61298400"/>
    <s v="61298400"/>
    <m/>
    <m/>
    <n v="22790952"/>
    <m/>
    <m/>
    <m/>
    <s v="SOLFIN"/>
    <s v="SOLFIN"/>
    <s v="CCMS"/>
    <n v="21360574"/>
    <n v="9615.559999999999"/>
    <m/>
    <s v="N"/>
    <n v="86"/>
    <d v="2023-07-11T11:51:10"/>
    <s v="Y"/>
    <s v="Preparation - other"/>
    <s v="Care Remuneration Hourly Rates"/>
    <s v="Profit Cost"/>
    <s v="HB"/>
    <s v="Y"/>
    <n v="45.34"/>
    <n v="9.07"/>
    <x v="7"/>
    <s v="VALIDATED"/>
    <n v="1"/>
    <s v="01.11.80.308.6100.0000"/>
    <n v="45.34"/>
    <s v="11"/>
    <s v="6100"/>
    <n v="6873.01"/>
    <n v="45.34"/>
    <s v="CREDITOR"/>
    <n v="0"/>
    <n v="0"/>
    <n v="0"/>
    <n v="0"/>
    <n v="45.34"/>
  </r>
  <r>
    <n v="61298400"/>
    <s v="N"/>
    <n v="21360574"/>
    <s v="3000015456710010"/>
    <s v="CIVIL"/>
    <d v="2023-06-29T00:00:00"/>
    <d v="2023-07-11T11:50:54"/>
    <m/>
    <d v="2023-07-11T00:00:00"/>
    <n v="1262"/>
    <n v="19363"/>
    <s v="61298400"/>
    <s v="61298400"/>
    <m/>
    <m/>
    <n v="22790952"/>
    <m/>
    <m/>
    <m/>
    <s v="SOLFIN"/>
    <s v="SOLFIN"/>
    <s v="CCMS"/>
    <n v="21360574"/>
    <n v="9615.559999999999"/>
    <m/>
    <s v="N"/>
    <n v="16"/>
    <d v="2023-07-11T11:51:10"/>
    <s v="Y"/>
    <s v="Preparation - other"/>
    <s v="Care Remuneration Hourly Rates"/>
    <s v="Profit Cost"/>
    <s v="HB"/>
    <s v="Y"/>
    <n v="15.11"/>
    <n v="3.02"/>
    <x v="7"/>
    <s v="VALIDATED"/>
    <n v="1"/>
    <s v="01.11.80.308.6100.0000"/>
    <n v="15.11"/>
    <s v="11"/>
    <s v="6100"/>
    <n v="6873.01"/>
    <n v="15.11"/>
    <s v="CREDITOR"/>
    <n v="0"/>
    <n v="0"/>
    <n v="0"/>
    <n v="0"/>
    <n v="15.11"/>
  </r>
  <r>
    <n v="61298400"/>
    <s v="N"/>
    <n v="21360574"/>
    <s v="3000015456710010"/>
    <s v="CIVIL"/>
    <d v="2023-06-29T00:00:00"/>
    <d v="2023-07-11T11:50:54"/>
    <m/>
    <d v="2023-07-11T00:00:00"/>
    <n v="1262"/>
    <n v="19363"/>
    <s v="61298400"/>
    <s v="61298400"/>
    <m/>
    <m/>
    <n v="22790952"/>
    <m/>
    <m/>
    <m/>
    <s v="SOLFIN"/>
    <s v="SOLFIN"/>
    <s v="CCMS"/>
    <n v="21360574"/>
    <n v="9615.559999999999"/>
    <m/>
    <s v="N"/>
    <n v="5"/>
    <d v="2023-07-11T11:51:10"/>
    <s v="Y"/>
    <s v="Expert - Other"/>
    <s v="Care Remuneration Hourly Rates"/>
    <s v="Expert Disbursement"/>
    <s v="HB"/>
    <s v="Y"/>
    <n v="19.94"/>
    <n v="3.99"/>
    <x v="7"/>
    <s v="VALIDATED"/>
    <n v="1"/>
    <s v="01.11.80.308.6300.0000"/>
    <n v="19.94"/>
    <s v="11"/>
    <s v="6300"/>
    <n v="6873.01"/>
    <n v="19.94"/>
    <s v="CREDITOR"/>
    <n v="0"/>
    <n v="0"/>
    <n v="0"/>
    <n v="0"/>
    <n v="19.94"/>
  </r>
  <r>
    <n v="61298400"/>
    <s v="N"/>
    <n v="21360574"/>
    <s v="3000015456710010"/>
    <s v="CIVIL"/>
    <d v="2023-06-29T00:00:00"/>
    <d v="2023-07-11T11:50:54"/>
    <m/>
    <d v="2023-07-11T00:00:00"/>
    <n v="1262"/>
    <n v="19363"/>
    <s v="61298400"/>
    <s v="61298400"/>
    <m/>
    <m/>
    <n v="22790952"/>
    <m/>
    <m/>
    <m/>
    <s v="SOLFIN"/>
    <s v="SOLFIN"/>
    <s v="CCMS"/>
    <n v="21360574"/>
    <n v="9615.559999999999"/>
    <m/>
    <s v="N"/>
    <n v="8"/>
    <d v="2023-07-11T11:51:10"/>
    <s v="Y"/>
    <s v="Routine Letter Out"/>
    <s v="Care Remuneration Hourly Rates"/>
    <s v="Profit Cost"/>
    <s v="HB"/>
    <s v="Y"/>
    <n v="687.45"/>
    <n v="137.5"/>
    <x v="7"/>
    <s v="VALIDATED"/>
    <n v="1"/>
    <s v="01.11.80.308.6100.0000"/>
    <n v="687.45"/>
    <s v="11"/>
    <s v="6100"/>
    <n v="6873.01"/>
    <n v="687.45"/>
    <s v="CREDITOR"/>
    <n v="0"/>
    <n v="0"/>
    <n v="0"/>
    <n v="0"/>
    <n v="687.45"/>
  </r>
  <r>
    <n v="61298400"/>
    <s v="N"/>
    <n v="21360574"/>
    <s v="3000015456710010"/>
    <s v="CIVIL"/>
    <d v="2023-06-29T00:00:00"/>
    <d v="2023-07-11T11:50:54"/>
    <m/>
    <d v="2023-07-11T00:00:00"/>
    <n v="1262"/>
    <n v="19363"/>
    <s v="61298400"/>
    <s v="61298400"/>
    <m/>
    <m/>
    <n v="22790952"/>
    <m/>
    <m/>
    <m/>
    <s v="SOLFIN"/>
    <s v="SOLFIN"/>
    <s v="CCMS"/>
    <n v="21360574"/>
    <n v="9615.559999999999"/>
    <m/>
    <s v="N"/>
    <n v="82"/>
    <d v="2023-07-11T11:51:10"/>
    <s v="Y"/>
    <s v="Preparation - other"/>
    <s v="Care Remuneration Hourly Rates"/>
    <s v="Profit Cost"/>
    <s v="hb"/>
    <s v="Y"/>
    <n v="142.07"/>
    <n v="28.42"/>
    <x v="7"/>
    <s v="VALIDATED"/>
    <n v="1"/>
    <s v="01.11.80.308.6100.0000"/>
    <n v="142.07"/>
    <s v="11"/>
    <s v="6100"/>
    <n v="6873.01"/>
    <n v="142.07"/>
    <s v="CREDITOR"/>
    <n v="0"/>
    <n v="0"/>
    <n v="0"/>
    <n v="0"/>
    <n v="142.07"/>
  </r>
  <r>
    <n v="61751806"/>
    <s v="N"/>
    <n v="21363780"/>
    <s v="3000015831670004"/>
    <s v="CIVIL"/>
    <d v="2023-06-29T00:00:00"/>
    <d v="2023-07-12T19:01:49"/>
    <m/>
    <d v="2023-07-12T00:00:00"/>
    <n v="1262"/>
    <n v="19363"/>
    <s v="61751806"/>
    <s v="61751806"/>
    <m/>
    <m/>
    <n v="22793298"/>
    <m/>
    <m/>
    <m/>
    <s v="SOLFIN"/>
    <s v="SOLFIN"/>
    <s v="CCMS"/>
    <n v="21363780"/>
    <n v="1710.88"/>
    <m/>
    <s v="N"/>
    <n v="5"/>
    <d v="2023-07-12T19:02:11"/>
    <s v="Y"/>
    <s v="Level 4 Fixed Fee"/>
    <s v="Domestic Abuse"/>
    <s v="Profit Cost"/>
    <s v="JLH"/>
    <s v="Y"/>
    <n v="507"/>
    <n v="101.4"/>
    <x v="0"/>
    <s v="VALIDATED"/>
    <n v="1"/>
    <s v="01.11.80.302.6100.0000"/>
    <n v="507"/>
    <s v="11"/>
    <s v="6100"/>
    <n v="6873.01"/>
    <n v="507"/>
    <s v="CREDITOR"/>
    <n v="0"/>
    <n v="0"/>
    <n v="0"/>
    <n v="0"/>
    <n v="507"/>
  </r>
  <r>
    <n v="61864840"/>
    <s v="N"/>
    <n v="21322644"/>
    <s v="3000015889350006"/>
    <s v="CIVIL"/>
    <d v="2023-06-29T00:00:00"/>
    <d v="2023-07-03T19:05:36"/>
    <m/>
    <d v="2023-07-03T00:00:00"/>
    <n v="1262"/>
    <n v="19363"/>
    <s v="61864840"/>
    <s v="61864840"/>
    <m/>
    <m/>
    <n v="22789136"/>
    <m/>
    <m/>
    <m/>
    <s v="SOLPOA"/>
    <s v="SOLPOA"/>
    <s v="CCMS"/>
    <n v="21322644"/>
    <n v="698.4"/>
    <m/>
    <s v="N"/>
    <n v="1"/>
    <d v="2023-07-03T19:05:39"/>
    <s v="N"/>
    <s v="Expert Cost - Private Law Children"/>
    <s v="Expert Cost - Private Law Chil"/>
    <s v="Expert Disbursement"/>
    <s v="JLH"/>
    <s v="N"/>
    <n v="582"/>
    <n v="116.4"/>
    <x v="3"/>
    <s v="VALIDATED"/>
    <n v="1"/>
    <s v="01.11.80.307.2012.0000"/>
    <n v="582"/>
    <s v="11"/>
    <s v="2012"/>
    <n v="6873.01"/>
    <n v="582"/>
    <s v="CREDITOR"/>
    <n v="582"/>
    <n v="0"/>
    <n v="0"/>
    <n v="0"/>
    <n v="0"/>
  </r>
  <r>
    <n v="61298400"/>
    <s v="N"/>
    <n v="21360574"/>
    <s v="3000015456710010"/>
    <s v="CIVIL"/>
    <d v="2023-06-29T00:00:00"/>
    <d v="2023-07-11T11:50:54"/>
    <m/>
    <d v="2023-07-11T00:00:00"/>
    <n v="1262"/>
    <n v="19363"/>
    <s v="61298400"/>
    <s v="61298400"/>
    <m/>
    <m/>
    <n v="22790952"/>
    <m/>
    <m/>
    <m/>
    <s v="SOLFIN"/>
    <s v="SOLFIN"/>
    <s v="CCMS"/>
    <n v="21360574"/>
    <n v="9615.559999999999"/>
    <m/>
    <s v="N"/>
    <n v="83"/>
    <d v="2023-07-11T11:51:10"/>
    <s v="Y"/>
    <s v="Preparation - other"/>
    <s v="Care Remuneration Hourly Rates"/>
    <s v="Profit Cost"/>
    <s v="hb"/>
    <s v="Y"/>
    <n v="72.54000000000001"/>
    <n v="14.51"/>
    <x v="7"/>
    <s v="VALIDATED"/>
    <n v="1"/>
    <s v="01.11.80.308.6100.0000"/>
    <n v="72.54000000000001"/>
    <s v="11"/>
    <s v="6100"/>
    <n v="6873.01"/>
    <n v="72.54000000000001"/>
    <s v="CREDITOR"/>
    <n v="0"/>
    <n v="0"/>
    <n v="0"/>
    <n v="0"/>
    <n v="72.54000000000001"/>
  </r>
  <r>
    <n v="61298400"/>
    <s v="N"/>
    <n v="21360574"/>
    <s v="3000015456710010"/>
    <s v="CIVIL"/>
    <d v="2023-06-29T00:00:00"/>
    <d v="2023-07-11T11:50:54"/>
    <m/>
    <d v="2023-07-11T00:00:00"/>
    <n v="1262"/>
    <n v="19363"/>
    <s v="61298400"/>
    <s v="61298400"/>
    <m/>
    <m/>
    <n v="22790952"/>
    <m/>
    <m/>
    <m/>
    <s v="SOLFIN"/>
    <s v="SOLFIN"/>
    <s v="CCMS"/>
    <n v="21360574"/>
    <n v="9615.559999999999"/>
    <m/>
    <s v="N"/>
    <n v="90"/>
    <d v="2023-07-11T11:51:10"/>
    <s v="Y"/>
    <s v="Preparation - other"/>
    <s v="Care Remuneration Hourly Rates"/>
    <s v="Profit Cost"/>
    <s v="HB"/>
    <s v="Y"/>
    <n v="6.05"/>
    <n v="1.21"/>
    <x v="7"/>
    <s v="VALIDATED"/>
    <n v="1"/>
    <s v="01.11.80.308.6100.0000"/>
    <n v="6.05"/>
    <s v="11"/>
    <s v="6100"/>
    <n v="6873.01"/>
    <n v="6.05"/>
    <s v="CREDITOR"/>
    <n v="0"/>
    <n v="0"/>
    <n v="0"/>
    <n v="0"/>
    <n v="6.05"/>
  </r>
  <r>
    <n v="61841989"/>
    <s v="N"/>
    <n v="21360994"/>
    <s v="3000015909120004"/>
    <s v="CIVIL"/>
    <d v="2023-06-30T00:00:00"/>
    <d v="2023-07-11T19:00:25"/>
    <m/>
    <d v="2023-07-11T00:00:00"/>
    <n v="1262"/>
    <n v="19363"/>
    <s v="61841989"/>
    <s v="61841989"/>
    <m/>
    <m/>
    <n v="22800842"/>
    <m/>
    <m/>
    <m/>
    <s v="SOLFIN"/>
    <s v="SOLFIN"/>
    <s v="CCMS"/>
    <n v="21360994"/>
    <n v="2157.87"/>
    <m/>
    <s v="N"/>
    <n v="8"/>
    <d v="2023-07-11T19:00:42"/>
    <s v="Y"/>
    <s v="Advocacy - Directions Hearing"/>
    <s v="Prescribed Hourly Rates"/>
    <s v="Advocacy"/>
    <s v="HB"/>
    <s v="Y"/>
    <n v="66.15000000000001"/>
    <n v="13.23"/>
    <x v="7"/>
    <s v="VALIDATED"/>
    <n v="1"/>
    <s v="01.11.80.302.6100.0000"/>
    <n v="66.15000000000001"/>
    <s v="11"/>
    <s v="6100"/>
    <n v="6873.01"/>
    <n v="66.15000000000001"/>
    <s v="CREDITOR"/>
    <n v="0"/>
    <n v="0"/>
    <n v="0"/>
    <n v="0"/>
    <n v="66.15000000000001"/>
  </r>
  <r>
    <n v="61298400"/>
    <s v="N"/>
    <n v="21360574"/>
    <s v="3000015456710010"/>
    <s v="CIVIL"/>
    <d v="2023-06-29T00:00:00"/>
    <d v="2023-07-11T11:50:54"/>
    <m/>
    <d v="2023-07-11T00:00:00"/>
    <n v="1262"/>
    <n v="19363"/>
    <s v="61298400"/>
    <s v="61298400"/>
    <m/>
    <m/>
    <n v="22790952"/>
    <m/>
    <m/>
    <m/>
    <s v="SOLFIN"/>
    <s v="SOLFIN"/>
    <s v="CCMS"/>
    <n v="21360574"/>
    <n v="9615.559999999999"/>
    <m/>
    <s v="N"/>
    <n v="6"/>
    <d v="2023-07-11T11:51:10"/>
    <s v="Y"/>
    <s v="Psychologist"/>
    <s v="Care Remuneration Hourly Rates"/>
    <s v="Expert Disbursement"/>
    <s v="HB"/>
    <s v="Y"/>
    <n v="294.96"/>
    <n v="0"/>
    <x v="7"/>
    <s v="VALIDATED"/>
    <n v="1"/>
    <s v="01.11.80.308.6300.0000"/>
    <n v="294.96"/>
    <s v="11"/>
    <s v="6300"/>
    <n v="6873.01"/>
    <n v="294.96"/>
    <s v="CREDITOR"/>
    <n v="0"/>
    <n v="0"/>
    <n v="0"/>
    <n v="0"/>
    <n v="294.96"/>
  </r>
  <r>
    <n v="61298400"/>
    <s v="N"/>
    <n v="21360574"/>
    <s v="3000015456710010"/>
    <s v="CIVIL"/>
    <d v="2023-06-29T00:00:00"/>
    <d v="2023-07-11T11:50:54"/>
    <m/>
    <d v="2023-07-11T00:00:00"/>
    <n v="1262"/>
    <n v="19363"/>
    <s v="61298400"/>
    <s v="61298400"/>
    <m/>
    <m/>
    <n v="22790952"/>
    <m/>
    <m/>
    <m/>
    <s v="SOLFIN"/>
    <s v="SOLFIN"/>
    <s v="CCMS"/>
    <n v="21360574"/>
    <n v="9615.559999999999"/>
    <m/>
    <s v="N"/>
    <n v="11"/>
    <d v="2023-07-11T11:51:10"/>
    <s v="Y"/>
    <s v="Attendance upon client"/>
    <s v="Care Remuneration Hourly Rates"/>
    <s v="Profit Cost"/>
    <s v="HB"/>
    <s v="Y"/>
    <n v="60.46"/>
    <n v="12.09"/>
    <x v="7"/>
    <s v="VALIDATED"/>
    <n v="1"/>
    <s v="01.11.80.308.6100.0000"/>
    <n v="60.46"/>
    <s v="11"/>
    <s v="6100"/>
    <n v="6873.01"/>
    <n v="60.46"/>
    <s v="CREDITOR"/>
    <n v="0"/>
    <n v="0"/>
    <n v="0"/>
    <n v="0"/>
    <n v="60.46"/>
  </r>
  <r>
    <n v="61298400"/>
    <s v="N"/>
    <n v="21360574"/>
    <s v="3000015456710010"/>
    <s v="CIVIL"/>
    <d v="2023-06-29T00:00:00"/>
    <d v="2023-07-11T11:50:54"/>
    <m/>
    <d v="2023-07-11T00:00:00"/>
    <n v="1262"/>
    <n v="19363"/>
    <s v="61298400"/>
    <s v="61298400"/>
    <m/>
    <m/>
    <n v="22790952"/>
    <m/>
    <m/>
    <m/>
    <s v="SOLFIN"/>
    <s v="SOLFIN"/>
    <s v="CCMS"/>
    <n v="21360574"/>
    <n v="9615.559999999999"/>
    <m/>
    <s v="N"/>
    <n v="69"/>
    <d v="2023-07-11T11:51:10"/>
    <s v="Y"/>
    <s v="Preparation - other"/>
    <s v="Care Remuneration Hourly Rates"/>
    <s v="Profit Cost"/>
    <s v="HB"/>
    <s v="Y"/>
    <n v="15.11"/>
    <n v="3.02"/>
    <x v="7"/>
    <s v="VALIDATED"/>
    <n v="1"/>
    <s v="01.11.80.308.6100.0000"/>
    <n v="15.11"/>
    <s v="11"/>
    <s v="6100"/>
    <n v="6873.01"/>
    <n v="15.11"/>
    <s v="CREDITOR"/>
    <n v="0"/>
    <n v="0"/>
    <n v="0"/>
    <n v="0"/>
    <n v="15.11"/>
  </r>
  <r>
    <n v="61298400"/>
    <s v="N"/>
    <n v="21360574"/>
    <s v="3000015456710010"/>
    <s v="CIVIL"/>
    <d v="2023-06-29T00:00:00"/>
    <d v="2023-07-11T11:50:54"/>
    <m/>
    <d v="2023-07-11T00:00:00"/>
    <n v="1262"/>
    <n v="19363"/>
    <s v="61298400"/>
    <s v="61298400"/>
    <m/>
    <m/>
    <n v="22790952"/>
    <m/>
    <m/>
    <m/>
    <s v="SOLFIN"/>
    <s v="SOLFIN"/>
    <s v="CCMS"/>
    <n v="21360574"/>
    <n v="9615.559999999999"/>
    <m/>
    <s v="N"/>
    <n v="47"/>
    <d v="2023-07-11T11:51:10"/>
    <s v="Y"/>
    <s v="Preparation - other"/>
    <s v="Care Remuneration Hourly Rates"/>
    <s v="Profit Cost"/>
    <s v="HB"/>
    <s v="Y"/>
    <n v="21.16"/>
    <n v="4.23"/>
    <x v="7"/>
    <s v="VALIDATED"/>
    <n v="1"/>
    <s v="01.11.80.308.6100.0000"/>
    <n v="21.16"/>
    <s v="11"/>
    <s v="6100"/>
    <n v="6873.01"/>
    <n v="21.16"/>
    <s v="CREDITOR"/>
    <n v="0"/>
    <n v="0"/>
    <n v="0"/>
    <n v="0"/>
    <n v="21.16"/>
  </r>
  <r>
    <n v="61298400"/>
    <s v="N"/>
    <n v="21360574"/>
    <s v="3000015456710010"/>
    <s v="CIVIL"/>
    <d v="2023-06-29T00:00:00"/>
    <d v="2023-07-11T11:50:54"/>
    <m/>
    <d v="2023-07-11T00:00:00"/>
    <n v="1262"/>
    <n v="19363"/>
    <s v="61298400"/>
    <s v="61298400"/>
    <m/>
    <m/>
    <n v="22790952"/>
    <m/>
    <m/>
    <m/>
    <s v="SOLFIN"/>
    <s v="SOLFIN"/>
    <s v="CCMS"/>
    <n v="21360574"/>
    <n v="9615.559999999999"/>
    <m/>
    <s v="N"/>
    <n v="13"/>
    <d v="2023-07-11T11:51:10"/>
    <s v="Y"/>
    <s v="Attendance upon client"/>
    <s v="Care Remuneration Hourly Rates"/>
    <s v="Profit Cost"/>
    <s v="HB"/>
    <s v="Y"/>
    <n v="24.18"/>
    <n v="4.84"/>
    <x v="7"/>
    <s v="VALIDATED"/>
    <n v="1"/>
    <s v="01.11.80.308.6100.0000"/>
    <n v="24.18"/>
    <s v="11"/>
    <s v="6100"/>
    <n v="6873.01"/>
    <n v="24.18"/>
    <s v="CREDITOR"/>
    <n v="0"/>
    <n v="0"/>
    <n v="0"/>
    <n v="0"/>
    <n v="24.18"/>
  </r>
  <r>
    <n v="61298400"/>
    <s v="N"/>
    <n v="21360574"/>
    <s v="3000015456710010"/>
    <s v="CIVIL"/>
    <d v="2023-06-29T00:00:00"/>
    <d v="2023-07-11T11:50:54"/>
    <m/>
    <d v="2023-07-11T00:00:00"/>
    <n v="1262"/>
    <n v="19363"/>
    <s v="61298400"/>
    <s v="61298400"/>
    <m/>
    <m/>
    <n v="22790952"/>
    <m/>
    <m/>
    <m/>
    <s v="SOLFIN"/>
    <s v="SOLFIN"/>
    <s v="CCMS"/>
    <n v="21360574"/>
    <n v="9615.559999999999"/>
    <m/>
    <s v="N"/>
    <n v="39"/>
    <d v="2023-07-11T11:51:10"/>
    <s v="Y"/>
    <s v="Preparation - other"/>
    <s v="Care Remuneration Hourly Rates"/>
    <s v="Profit Cost"/>
    <s v="HB"/>
    <s v="Y"/>
    <n v="18.14"/>
    <n v="3.63"/>
    <x v="7"/>
    <s v="VALIDATED"/>
    <n v="1"/>
    <s v="01.11.80.308.6100.0000"/>
    <n v="18.14"/>
    <s v="11"/>
    <s v="6100"/>
    <n v="6873.01"/>
    <n v="18.14"/>
    <s v="CREDITOR"/>
    <n v="0"/>
    <n v="0"/>
    <n v="0"/>
    <n v="0"/>
    <n v="18.14"/>
  </r>
  <r>
    <n v="61298400"/>
    <s v="N"/>
    <n v="21360574"/>
    <s v="3000015456710010"/>
    <s v="CIVIL"/>
    <d v="2023-06-29T00:00:00"/>
    <d v="2023-07-11T11:50:54"/>
    <m/>
    <d v="2023-07-11T00:00:00"/>
    <n v="1262"/>
    <n v="19363"/>
    <s v="61298400"/>
    <s v="61298400"/>
    <m/>
    <m/>
    <n v="22790952"/>
    <m/>
    <m/>
    <m/>
    <s v="SOLFIN"/>
    <s v="SOLFIN"/>
    <s v="CCMS"/>
    <n v="21360574"/>
    <n v="9615.559999999999"/>
    <m/>
    <s v="N"/>
    <n v="24"/>
    <d v="2023-07-11T11:51:10"/>
    <s v="Y"/>
    <s v="Preparation - other"/>
    <s v="Care Remuneration Hourly Rates"/>
    <s v="Profit Cost"/>
    <s v="AFS"/>
    <s v="Y"/>
    <n v="15.77"/>
    <n v="3.15"/>
    <x v="7"/>
    <s v="VALIDATED"/>
    <n v="1"/>
    <s v="01.11.80.308.6100.0000"/>
    <n v="15.77"/>
    <s v="11"/>
    <s v="6100"/>
    <n v="6873.01"/>
    <n v="15.77"/>
    <s v="CREDITOR"/>
    <n v="0"/>
    <n v="0"/>
    <n v="0"/>
    <n v="0"/>
    <n v="15.77"/>
  </r>
  <r>
    <n v="61841989"/>
    <s v="N"/>
    <n v="21360994"/>
    <s v="3000015909120004"/>
    <s v="CIVIL"/>
    <d v="2023-06-30T00:00:00"/>
    <d v="2023-07-11T19:00:25"/>
    <m/>
    <d v="2023-07-11T00:00:00"/>
    <n v="1262"/>
    <n v="19363"/>
    <s v="61841989"/>
    <s v="61841989"/>
    <m/>
    <m/>
    <n v="22800842"/>
    <m/>
    <m/>
    <m/>
    <s v="SOLFIN"/>
    <s v="SOLFIN"/>
    <s v="CCMS"/>
    <n v="21360994"/>
    <n v="2157.87"/>
    <m/>
    <s v="N"/>
    <n v="6"/>
    <d v="2023-07-11T19:00:42"/>
    <s v="Y"/>
    <s v="Preparation - other"/>
    <s v="Prescribed Hourly Rates"/>
    <s v="Profit Cost"/>
    <s v="HB"/>
    <s v="Y"/>
    <n v="34.73"/>
    <n v="6.95"/>
    <x v="7"/>
    <s v="VALIDATED"/>
    <n v="1"/>
    <s v="01.11.80.302.6100.0000"/>
    <n v="34.73"/>
    <s v="11"/>
    <s v="6100"/>
    <n v="6873.01"/>
    <n v="34.73"/>
    <s v="CREDITOR"/>
    <n v="0"/>
    <n v="0"/>
    <n v="0"/>
    <n v="0"/>
    <n v="34.73"/>
  </r>
  <r>
    <n v="61298400"/>
    <s v="N"/>
    <n v="21360574"/>
    <s v="3000015456710010"/>
    <s v="CIVIL"/>
    <d v="2023-06-29T00:00:00"/>
    <d v="2023-07-11T11:50:54"/>
    <m/>
    <d v="2023-07-11T00:00:00"/>
    <n v="1262"/>
    <n v="19363"/>
    <s v="61298400"/>
    <s v="61298400"/>
    <m/>
    <m/>
    <n v="22790952"/>
    <m/>
    <m/>
    <m/>
    <s v="SOLFIN"/>
    <s v="SOLFIN"/>
    <s v="CCMS"/>
    <n v="21360574"/>
    <n v="9615.559999999999"/>
    <m/>
    <s v="N"/>
    <n v="89"/>
    <d v="2023-07-11T11:51:10"/>
    <s v="Y"/>
    <s v="Preparation - drafting attendance n"/>
    <s v="Care Remuneration Hourly Rates"/>
    <s v="Profit Cost"/>
    <s v="HB"/>
    <s v="Y"/>
    <n v="42.32"/>
    <n v="8.460000000000001"/>
    <x v="7"/>
    <s v="VALIDATED"/>
    <n v="1"/>
    <s v="01.11.80.308.6100.0000"/>
    <n v="42.32"/>
    <s v="11"/>
    <s v="6100"/>
    <n v="6873.01"/>
    <n v="42.32"/>
    <s v="CREDITOR"/>
    <n v="0"/>
    <n v="0"/>
    <n v="0"/>
    <n v="0"/>
    <n v="42.32"/>
  </r>
  <r>
    <n v="61298400"/>
    <s v="N"/>
    <n v="21360574"/>
    <s v="3000015456710010"/>
    <s v="CIVIL"/>
    <d v="2023-06-29T00:00:00"/>
    <d v="2023-07-11T11:50:54"/>
    <m/>
    <d v="2023-07-11T00:00:00"/>
    <n v="1262"/>
    <n v="19363"/>
    <s v="61298400"/>
    <s v="61298400"/>
    <m/>
    <m/>
    <n v="22790952"/>
    <m/>
    <m/>
    <m/>
    <s v="SOLFIN"/>
    <s v="SOLFIN"/>
    <s v="CCMS"/>
    <n v="21360574"/>
    <n v="9615.559999999999"/>
    <m/>
    <s v="N"/>
    <n v="61"/>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74"/>
    <d v="2023-07-11T11:51:10"/>
    <s v="Y"/>
    <s v="Preparation - other"/>
    <s v="Care Remuneration Hourly Rates"/>
    <s v="Profit Cost"/>
    <s v="HB"/>
    <s v="Y"/>
    <n v="9.07"/>
    <n v="1.81"/>
    <x v="7"/>
    <s v="VALIDATED"/>
    <n v="1"/>
    <s v="01.11.80.308.6100.0000"/>
    <n v="9.07"/>
    <s v="11"/>
    <s v="6100"/>
    <n v="6873.01"/>
    <n v="9.07"/>
    <s v="CREDITOR"/>
    <n v="0"/>
    <n v="0"/>
    <n v="0"/>
    <n v="0"/>
    <n v="9.07"/>
  </r>
  <r>
    <n v="61298400"/>
    <s v="N"/>
    <n v="21360574"/>
    <s v="3000015456710010"/>
    <s v="CIVIL"/>
    <d v="2023-06-29T00:00:00"/>
    <d v="2023-07-11T11:50:54"/>
    <m/>
    <d v="2023-07-11T00:00:00"/>
    <n v="1262"/>
    <n v="19363"/>
    <s v="61298400"/>
    <s v="61298400"/>
    <m/>
    <m/>
    <n v="22790952"/>
    <m/>
    <m/>
    <m/>
    <s v="SOLFIN"/>
    <s v="SOLFIN"/>
    <s v="CCMS"/>
    <n v="21360574"/>
    <n v="9615.559999999999"/>
    <m/>
    <s v="N"/>
    <n v="52"/>
    <d v="2023-07-11T11:51:10"/>
    <s v="Y"/>
    <s v="Preparation - other"/>
    <s v="Care Remuneration Hourly Rates"/>
    <s v="Profit Cost"/>
    <s v="HB"/>
    <s v="Y"/>
    <n v="15.11"/>
    <n v="3.02"/>
    <x v="7"/>
    <s v="VALIDATED"/>
    <n v="1"/>
    <s v="01.11.80.308.6100.0000"/>
    <n v="15.11"/>
    <s v="11"/>
    <s v="6100"/>
    <n v="6873.01"/>
    <n v="15.11"/>
    <s v="CREDITOR"/>
    <n v="0"/>
    <n v="0"/>
    <n v="0"/>
    <n v="0"/>
    <n v="15.11"/>
  </r>
  <r>
    <n v="61298400"/>
    <s v="N"/>
    <n v="21360574"/>
    <s v="3000015456710010"/>
    <s v="CIVIL"/>
    <d v="2023-06-29T00:00:00"/>
    <d v="2023-07-11T11:50:54"/>
    <m/>
    <d v="2023-07-11T00:00:00"/>
    <n v="1262"/>
    <n v="19363"/>
    <s v="61298400"/>
    <s v="61298400"/>
    <m/>
    <m/>
    <n v="22790952"/>
    <m/>
    <m/>
    <m/>
    <s v="SOLFIN"/>
    <s v="SOLFIN"/>
    <s v="CCMS"/>
    <n v="21360574"/>
    <n v="9615.559999999999"/>
    <m/>
    <s v="N"/>
    <n v="65"/>
    <d v="2023-07-11T11:51:10"/>
    <s v="Y"/>
    <s v="Preparation - other"/>
    <s v="Care Remuneration Hourly Rates"/>
    <s v="Profit Cost"/>
    <s v="HB"/>
    <s v="Y"/>
    <n v="54.41"/>
    <n v="10.88"/>
    <x v="7"/>
    <s v="VALIDATED"/>
    <n v="1"/>
    <s v="01.11.80.308.6100.0000"/>
    <n v="54.41"/>
    <s v="11"/>
    <s v="6100"/>
    <n v="6873.01"/>
    <n v="54.41"/>
    <s v="CREDITOR"/>
    <n v="0"/>
    <n v="0"/>
    <n v="0"/>
    <n v="0"/>
    <n v="54.41"/>
  </r>
  <r>
    <n v="61298400"/>
    <s v="N"/>
    <n v="21360574"/>
    <s v="3000015456710010"/>
    <s v="CIVIL"/>
    <d v="2023-06-29T00:00:00"/>
    <d v="2023-07-11T11:50:54"/>
    <m/>
    <d v="2023-07-11T00:00:00"/>
    <n v="1262"/>
    <n v="19363"/>
    <s v="61298400"/>
    <s v="61298400"/>
    <m/>
    <m/>
    <n v="22790952"/>
    <m/>
    <m/>
    <m/>
    <s v="SOLFIN"/>
    <s v="SOLFIN"/>
    <s v="CCMS"/>
    <n v="21360574"/>
    <n v="9615.559999999999"/>
    <m/>
    <s v="N"/>
    <n v="67"/>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36"/>
    <d v="2023-07-11T11:51:10"/>
    <s v="Y"/>
    <s v="Preparation - other"/>
    <s v="Care Remuneration Hourly Rates"/>
    <s v="Profit Cost"/>
    <s v="HB"/>
    <s v="Y"/>
    <n v="24.18"/>
    <n v="4.84"/>
    <x v="7"/>
    <s v="VALIDATED"/>
    <n v="1"/>
    <s v="01.11.80.308.6100.0000"/>
    <n v="24.18"/>
    <s v="11"/>
    <s v="6100"/>
    <n v="6873.01"/>
    <n v="24.18"/>
    <s v="CREDITOR"/>
    <n v="0"/>
    <n v="0"/>
    <n v="0"/>
    <n v="0"/>
    <n v="24.18"/>
  </r>
  <r>
    <n v="61841989"/>
    <s v="N"/>
    <n v="21360994"/>
    <s v="3000015909120004"/>
    <s v="CIVIL"/>
    <d v="2023-06-30T00:00:00"/>
    <d v="2023-07-11T19:00:25"/>
    <m/>
    <d v="2023-07-11T00:00:00"/>
    <n v="1262"/>
    <n v="19363"/>
    <s v="61841989"/>
    <s v="61841989"/>
    <m/>
    <m/>
    <n v="22800842"/>
    <m/>
    <m/>
    <m/>
    <s v="SOLFIN"/>
    <s v="SOLFIN"/>
    <s v="CCMS"/>
    <n v="21360994"/>
    <n v="2157.87"/>
    <m/>
    <s v="N"/>
    <n v="22"/>
    <d v="2023-07-11T19:00:42"/>
    <s v="Y"/>
    <s v="Preparation - drafting pleadings"/>
    <s v="Prescribed Hourly Rates"/>
    <s v="Profit Cost"/>
    <s v="HB"/>
    <s v="Y"/>
    <n v="25.25"/>
    <n v="5.05"/>
    <x v="7"/>
    <s v="VALIDATED"/>
    <n v="1"/>
    <s v="01.11.80.302.6100.0000"/>
    <n v="25.25"/>
    <s v="11"/>
    <s v="6100"/>
    <n v="6873.01"/>
    <n v="25.25"/>
    <s v="CREDITOR"/>
    <n v="0"/>
    <n v="0"/>
    <n v="0"/>
    <n v="0"/>
    <n v="25.25"/>
  </r>
  <r>
    <n v="61298400"/>
    <s v="N"/>
    <n v="21360574"/>
    <s v="3000015456710010"/>
    <s v="CIVIL"/>
    <d v="2023-06-29T00:00:00"/>
    <d v="2023-07-11T11:50:54"/>
    <m/>
    <d v="2023-07-11T00:00:00"/>
    <n v="1262"/>
    <n v="19363"/>
    <s v="61298400"/>
    <s v="61298400"/>
    <m/>
    <m/>
    <n v="22790952"/>
    <m/>
    <m/>
    <m/>
    <s v="SOLFIN"/>
    <s v="SOLFIN"/>
    <s v="CCMS"/>
    <n v="21360574"/>
    <n v="9615.559999999999"/>
    <m/>
    <s v="N"/>
    <n v="57"/>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72"/>
    <d v="2023-07-11T11:51:10"/>
    <s v="Y"/>
    <s v="Preparation - other"/>
    <s v="Care Remuneration Hourly Rates"/>
    <s v="Profit Cost"/>
    <s v="HB"/>
    <s v="Y"/>
    <n v="75.56999999999999"/>
    <n v="15.11"/>
    <x v="7"/>
    <s v="VALIDATED"/>
    <n v="1"/>
    <s v="01.11.80.308.6100.0000"/>
    <n v="75.56999999999999"/>
    <s v="11"/>
    <s v="6100"/>
    <n v="6873.01"/>
    <n v="75.56999999999999"/>
    <s v="CREDITOR"/>
    <n v="0"/>
    <n v="0"/>
    <n v="0"/>
    <n v="0"/>
    <n v="75.56999999999999"/>
  </r>
  <r>
    <n v="61841989"/>
    <s v="N"/>
    <n v="21360994"/>
    <s v="3000015909120004"/>
    <s v="CIVIL"/>
    <d v="2023-06-30T00:00:00"/>
    <d v="2023-07-11T19:00:25"/>
    <m/>
    <d v="2023-07-11T00:00:00"/>
    <n v="1262"/>
    <n v="19363"/>
    <s v="61841989"/>
    <s v="61841989"/>
    <m/>
    <m/>
    <n v="22800842"/>
    <m/>
    <m/>
    <m/>
    <s v="SOLFIN"/>
    <s v="SOLFIN"/>
    <s v="CCMS"/>
    <n v="21360994"/>
    <n v="2157.87"/>
    <m/>
    <s v="N"/>
    <n v="5"/>
    <d v="2023-07-11T19:00:42"/>
    <s v="Y"/>
    <s v="Preparation - drafting attendance n"/>
    <s v="Prescribed Hourly Rates"/>
    <s v="Profit Cost"/>
    <s v="HB"/>
    <s v="Y"/>
    <n v="18.94"/>
    <n v="3.79"/>
    <x v="7"/>
    <s v="VALIDATED"/>
    <n v="1"/>
    <s v="01.11.80.302.6100.0000"/>
    <n v="18.94"/>
    <s v="11"/>
    <s v="6100"/>
    <n v="6873.01"/>
    <n v="18.94"/>
    <s v="CREDITOR"/>
    <n v="0"/>
    <n v="0"/>
    <n v="0"/>
    <n v="0"/>
    <n v="18.94"/>
  </r>
  <r>
    <n v="61298400"/>
    <s v="N"/>
    <n v="21360574"/>
    <s v="3000015456710010"/>
    <s v="CIVIL"/>
    <d v="2023-06-29T00:00:00"/>
    <d v="2023-07-11T11:50:54"/>
    <m/>
    <d v="2023-07-11T00:00:00"/>
    <n v="1262"/>
    <n v="19363"/>
    <s v="61298400"/>
    <s v="61298400"/>
    <m/>
    <m/>
    <n v="22790952"/>
    <m/>
    <m/>
    <m/>
    <s v="SOLFIN"/>
    <s v="SOLFIN"/>
    <s v="CCMS"/>
    <n v="21360574"/>
    <n v="9615.559999999999"/>
    <m/>
    <s v="N"/>
    <n v="48"/>
    <d v="2023-07-11T11:51:10"/>
    <s v="Y"/>
    <s v="Attendance upon client"/>
    <s v="Care Remuneration Hourly Rates"/>
    <s v="Profit Cost"/>
    <s v="hb"/>
    <s v="Y"/>
    <n v="24.18"/>
    <n v="4.84"/>
    <x v="7"/>
    <s v="VALIDATED"/>
    <n v="1"/>
    <s v="01.11.80.308.6100.0000"/>
    <n v="24.18"/>
    <s v="11"/>
    <s v="6100"/>
    <n v="6873.01"/>
    <n v="24.18"/>
    <s v="CREDITOR"/>
    <n v="0"/>
    <n v="0"/>
    <n v="0"/>
    <n v="0"/>
    <n v="24.18"/>
  </r>
  <r>
    <n v="61298400"/>
    <s v="N"/>
    <n v="21360574"/>
    <s v="3000015456710010"/>
    <s v="CIVIL"/>
    <d v="2023-06-29T00:00:00"/>
    <d v="2023-07-11T11:50:54"/>
    <m/>
    <d v="2023-07-11T00:00:00"/>
    <n v="1262"/>
    <n v="19363"/>
    <s v="61298400"/>
    <s v="61298400"/>
    <m/>
    <m/>
    <n v="22790952"/>
    <m/>
    <m/>
    <m/>
    <s v="SOLFIN"/>
    <s v="SOLFIN"/>
    <s v="CCMS"/>
    <n v="21360574"/>
    <n v="9615.559999999999"/>
    <m/>
    <s v="N"/>
    <n v="87"/>
    <d v="2023-07-11T11:51:10"/>
    <s v="Y"/>
    <s v="Preparation - other"/>
    <s v="Care Remuneration Hourly Rates"/>
    <s v="Profit Cost"/>
    <s v="HB"/>
    <s v="Y"/>
    <n v="169.28"/>
    <n v="33.86"/>
    <x v="7"/>
    <s v="VALIDATED"/>
    <n v="1"/>
    <s v="01.11.80.308.6100.0000"/>
    <n v="169.28"/>
    <s v="11"/>
    <s v="6100"/>
    <n v="6873.01"/>
    <n v="169.28"/>
    <s v="CREDITOR"/>
    <n v="0"/>
    <n v="0"/>
    <n v="0"/>
    <n v="0"/>
    <n v="169.28"/>
  </r>
  <r>
    <n v="61298400"/>
    <s v="N"/>
    <n v="21360574"/>
    <s v="3000015456710010"/>
    <s v="CIVIL"/>
    <d v="2023-06-29T00:00:00"/>
    <d v="2023-07-11T11:50:54"/>
    <m/>
    <d v="2023-07-11T00:00:00"/>
    <n v="1262"/>
    <n v="19363"/>
    <s v="61298400"/>
    <s v="61298400"/>
    <m/>
    <m/>
    <n v="22790952"/>
    <m/>
    <m/>
    <m/>
    <s v="SOLFIN"/>
    <s v="SOLFIN"/>
    <s v="CCMS"/>
    <n v="21360574"/>
    <n v="9615.559999999999"/>
    <m/>
    <s v="N"/>
    <n v="88"/>
    <d v="2023-07-11T11:51:10"/>
    <s v="Y"/>
    <s v="Preparation - other"/>
    <s v="Care Remuneration Hourly Rates"/>
    <s v="Profit Cost"/>
    <s v="HB"/>
    <s v="Y"/>
    <n v="60.46"/>
    <n v="12.09"/>
    <x v="7"/>
    <s v="VALIDATED"/>
    <n v="1"/>
    <s v="01.11.80.308.6100.0000"/>
    <n v="60.46"/>
    <s v="11"/>
    <s v="6100"/>
    <n v="6873.01"/>
    <n v="60.46"/>
    <s v="CREDITOR"/>
    <n v="0"/>
    <n v="0"/>
    <n v="0"/>
    <n v="0"/>
    <n v="60.46"/>
  </r>
  <r>
    <n v="61298400"/>
    <s v="N"/>
    <n v="21360574"/>
    <s v="3000015456710010"/>
    <s v="CIVIL"/>
    <d v="2023-06-29T00:00:00"/>
    <d v="2023-07-11T11:50:54"/>
    <m/>
    <d v="2023-07-11T00:00:00"/>
    <n v="1262"/>
    <n v="19363"/>
    <s v="61298400"/>
    <s v="61298400"/>
    <m/>
    <m/>
    <n v="22790952"/>
    <m/>
    <m/>
    <m/>
    <s v="SOLFIN"/>
    <s v="SOLFIN"/>
    <s v="CCMS"/>
    <n v="21360574"/>
    <n v="9615.559999999999"/>
    <m/>
    <s v="N"/>
    <n v="55"/>
    <d v="2023-07-11T11:51:10"/>
    <s v="Y"/>
    <s v="Preparation - other"/>
    <s v="Care Remuneration Hourly Rates"/>
    <s v="Profit Cost"/>
    <s v="HB"/>
    <s v="Y"/>
    <n v="6.05"/>
    <n v="1.21"/>
    <x v="7"/>
    <s v="VALIDATED"/>
    <n v="1"/>
    <s v="01.11.80.308.6100.0000"/>
    <n v="6.05"/>
    <s v="11"/>
    <s v="6100"/>
    <n v="6873.01"/>
    <n v="6.05"/>
    <s v="CREDITOR"/>
    <n v="0"/>
    <n v="0"/>
    <n v="0"/>
    <n v="0"/>
    <n v="6.05"/>
  </r>
  <r>
    <n v="61298400"/>
    <s v="N"/>
    <n v="21360574"/>
    <s v="3000015456710010"/>
    <s v="CIVIL"/>
    <d v="2023-06-29T00:00:00"/>
    <d v="2023-07-11T11:50:54"/>
    <m/>
    <d v="2023-07-11T00:00:00"/>
    <n v="1262"/>
    <n v="19363"/>
    <s v="61298400"/>
    <s v="61298400"/>
    <m/>
    <m/>
    <n v="22790952"/>
    <m/>
    <m/>
    <m/>
    <s v="SOLFIN"/>
    <s v="SOLFIN"/>
    <s v="CCMS"/>
    <n v="21360574"/>
    <n v="9615.559999999999"/>
    <m/>
    <s v="N"/>
    <n v="7"/>
    <d v="2023-07-11T11:51:10"/>
    <s v="Y"/>
    <s v="Preparation - drafting bill/claim f"/>
    <s v="Care Remuneration Hourly Rates"/>
    <s v="Profit Cost"/>
    <s v="JLH"/>
    <s v="Y"/>
    <n v="420.56"/>
    <n v="84.12"/>
    <x v="7"/>
    <s v="VALIDATED"/>
    <n v="1"/>
    <s v="01.11.80.308.6100.0000"/>
    <n v="420.56"/>
    <s v="11"/>
    <s v="6100"/>
    <n v="6873.01"/>
    <n v="420.56"/>
    <s v="CREDITOR"/>
    <n v="0"/>
    <n v="0"/>
    <n v="0"/>
    <n v="0"/>
    <n v="420.56"/>
  </r>
  <r>
    <n v="61298400"/>
    <s v="N"/>
    <n v="21360574"/>
    <s v="3000015456710010"/>
    <s v="CIVIL"/>
    <d v="2023-06-29T00:00:00"/>
    <d v="2023-07-11T11:50:54"/>
    <m/>
    <d v="2023-07-11T00:00:00"/>
    <n v="1262"/>
    <n v="19363"/>
    <s v="61298400"/>
    <s v="61298400"/>
    <m/>
    <m/>
    <n v="22790952"/>
    <m/>
    <m/>
    <m/>
    <s v="SOLFIN"/>
    <s v="SOLFIN"/>
    <s v="CCMS"/>
    <n v="21360574"/>
    <n v="9615.559999999999"/>
    <m/>
    <s v="N"/>
    <n v="63"/>
    <d v="2023-07-11T11:51:10"/>
    <s v="Y"/>
    <s v="Preparation - other"/>
    <s v="Care Remuneration Hourly Rates"/>
    <s v="Profit Cost"/>
    <s v="HB"/>
    <s v="Y"/>
    <n v="102.78"/>
    <n v="20.56"/>
    <x v="7"/>
    <s v="VALIDATED"/>
    <n v="1"/>
    <s v="01.11.80.308.6100.0000"/>
    <n v="102.78"/>
    <s v="11"/>
    <s v="6100"/>
    <n v="6873.01"/>
    <n v="102.78"/>
    <s v="CREDITOR"/>
    <n v="0"/>
    <n v="0"/>
    <n v="0"/>
    <n v="0"/>
    <n v="102.78"/>
  </r>
  <r>
    <n v="61751806"/>
    <s v="N"/>
    <n v="21363780"/>
    <s v="3000015831670004"/>
    <s v="CIVIL"/>
    <d v="2023-06-29T00:00:00"/>
    <d v="2023-07-12T19:01:49"/>
    <m/>
    <d v="2023-07-12T00:00:00"/>
    <n v="1262"/>
    <n v="19363"/>
    <s v="61751806"/>
    <s v="61751806"/>
    <m/>
    <m/>
    <n v="22793298"/>
    <m/>
    <m/>
    <m/>
    <s v="SOLFIN"/>
    <s v="SOLFIN"/>
    <s v="CCMS"/>
    <n v="21363780"/>
    <n v="1710.88"/>
    <m/>
    <s v="N"/>
    <n v="2"/>
    <d v="2023-07-12T19:02:11"/>
    <s v="Y"/>
    <s v="Process server"/>
    <s v="Domestic Abuse"/>
    <s v="Expert Disbursement"/>
    <s v="JLH"/>
    <s v="Y"/>
    <n v="100"/>
    <n v="20"/>
    <x v="0"/>
    <s v="VALIDATED"/>
    <n v="1"/>
    <s v="01.11.80.302.6300.0000"/>
    <n v="100"/>
    <s v="11"/>
    <s v="6300"/>
    <n v="6873.01"/>
    <n v="100"/>
    <s v="CREDITOR"/>
    <n v="0"/>
    <n v="0"/>
    <n v="0"/>
    <n v="0"/>
    <n v="100"/>
  </r>
  <r>
    <n v="61841989"/>
    <s v="N"/>
    <n v="21360994"/>
    <s v="3000015909120004"/>
    <s v="CIVIL"/>
    <d v="2023-06-30T00:00:00"/>
    <d v="2023-07-11T19:00:25"/>
    <m/>
    <d v="2023-07-11T00:00:00"/>
    <n v="1262"/>
    <n v="19363"/>
    <s v="61841989"/>
    <s v="61841989"/>
    <m/>
    <m/>
    <n v="22800842"/>
    <m/>
    <m/>
    <m/>
    <s v="SOLFIN"/>
    <s v="SOLFIN"/>
    <s v="CCMS"/>
    <n v="21360994"/>
    <n v="2157.87"/>
    <m/>
    <s v="N"/>
    <n v="26"/>
    <d v="2023-07-11T19:00:42"/>
    <s v="Y"/>
    <s v="Process server"/>
    <s v="Prescribed Hourly Rates"/>
    <s v="Expert Disbursement"/>
    <s v="HB"/>
    <s v="Y"/>
    <n v="128.7"/>
    <n v="25.74"/>
    <x v="7"/>
    <s v="VALIDATED"/>
    <n v="1"/>
    <s v="01.11.80.302.6300.0000"/>
    <n v="128.7"/>
    <s v="11"/>
    <s v="6300"/>
    <n v="6873.01"/>
    <n v="128.7"/>
    <s v="CREDITOR"/>
    <n v="0"/>
    <n v="0"/>
    <n v="0"/>
    <n v="0"/>
    <n v="128.7"/>
  </r>
  <r>
    <n v="61841989"/>
    <s v="N"/>
    <n v="21360994"/>
    <s v="3000015909120004"/>
    <s v="CIVIL"/>
    <d v="2023-06-30T00:00:00"/>
    <d v="2023-07-11T19:00:25"/>
    <m/>
    <d v="2023-07-11T00:00:00"/>
    <n v="1262"/>
    <n v="19363"/>
    <s v="61841989"/>
    <s v="61841989"/>
    <m/>
    <m/>
    <n v="22800842"/>
    <m/>
    <m/>
    <m/>
    <s v="SOLFIN"/>
    <s v="SOLFIN"/>
    <s v="CCMS"/>
    <n v="21360994"/>
    <n v="2157.87"/>
    <m/>
    <s v="N"/>
    <n v="25"/>
    <d v="2023-07-11T19:00:42"/>
    <s v="Y"/>
    <s v="Process server"/>
    <s v="Prescribed Hourly Rates"/>
    <s v="Expert Disbursement"/>
    <s v="HB"/>
    <s v="Y"/>
    <n v="142.05"/>
    <n v="28.41"/>
    <x v="7"/>
    <s v="VALIDATED"/>
    <n v="1"/>
    <s v="01.11.80.302.6300.0000"/>
    <n v="142.05"/>
    <s v="11"/>
    <s v="6300"/>
    <n v="6873.01"/>
    <n v="142.05"/>
    <s v="CREDITOR"/>
    <n v="0"/>
    <n v="0"/>
    <n v="0"/>
    <n v="0"/>
    <n v="142.05"/>
  </r>
  <r>
    <n v="61298400"/>
    <s v="N"/>
    <n v="21360574"/>
    <s v="3000015456710010"/>
    <s v="CIVIL"/>
    <d v="2023-06-29T00:00:00"/>
    <d v="2023-07-11T11:50:54"/>
    <m/>
    <d v="2023-07-11T00:00:00"/>
    <n v="1262"/>
    <n v="19363"/>
    <s v="61298400"/>
    <s v="61298400"/>
    <m/>
    <m/>
    <n v="22790952"/>
    <m/>
    <m/>
    <m/>
    <s v="SOLFIN"/>
    <s v="SOLFIN"/>
    <s v="CCMS"/>
    <n v="21360574"/>
    <n v="9615.559999999999"/>
    <m/>
    <s v="N"/>
    <n v="29"/>
    <d v="2023-07-11T11:51:10"/>
    <s v="Y"/>
    <s v="Preparation - other"/>
    <s v="Care Remuneration Hourly Rates"/>
    <s v="Profit Cost"/>
    <s v="HB"/>
    <s v="Y"/>
    <n v="18.14"/>
    <n v="3.63"/>
    <x v="7"/>
    <s v="VALIDATED"/>
    <n v="1"/>
    <s v="01.11.80.308.6100.0000"/>
    <n v="18.14"/>
    <s v="11"/>
    <s v="6100"/>
    <n v="6873.01"/>
    <n v="18.14"/>
    <s v="CREDITOR"/>
    <n v="0"/>
    <n v="0"/>
    <n v="0"/>
    <n v="0"/>
    <n v="18.14"/>
  </r>
  <r>
    <n v="61298400"/>
    <s v="N"/>
    <n v="21360574"/>
    <s v="3000015456710010"/>
    <s v="CIVIL"/>
    <d v="2023-06-29T00:00:00"/>
    <d v="2023-07-11T11:50:54"/>
    <m/>
    <d v="2023-07-11T00:00:00"/>
    <n v="1262"/>
    <n v="19363"/>
    <s v="61298400"/>
    <s v="61298400"/>
    <m/>
    <m/>
    <n v="22790952"/>
    <m/>
    <m/>
    <m/>
    <s v="SOLFIN"/>
    <s v="SOLFIN"/>
    <s v="CCMS"/>
    <n v="21360574"/>
    <n v="9615.559999999999"/>
    <m/>
    <s v="N"/>
    <n v="93"/>
    <d v="2023-07-11T11:51:10"/>
    <s v="Y"/>
    <s v="Advocates Meeting"/>
    <s v="Public Law Children"/>
    <s v="Advocacy"/>
    <s v="HB"/>
    <s v="Y"/>
    <n v="140.99"/>
    <n v="28.2"/>
    <x v="7"/>
    <s v="VALIDATED"/>
    <n v="1"/>
    <s v="01.11.80.308.6100.0000"/>
    <n v="140.99"/>
    <s v="11"/>
    <s v="6100"/>
    <n v="6873.01"/>
    <n v="140.99"/>
    <s v="CREDITOR"/>
    <n v="0"/>
    <n v="0"/>
    <n v="0"/>
    <n v="0"/>
    <n v="140.99"/>
  </r>
  <r>
    <n v="61298400"/>
    <s v="N"/>
    <n v="21360574"/>
    <s v="3000015456710010"/>
    <s v="CIVIL"/>
    <d v="2023-06-29T00:00:00"/>
    <d v="2023-07-11T11:50:54"/>
    <m/>
    <d v="2023-07-11T00:00:00"/>
    <n v="1262"/>
    <n v="19363"/>
    <s v="61298400"/>
    <s v="61298400"/>
    <m/>
    <m/>
    <n v="22790952"/>
    <m/>
    <m/>
    <m/>
    <s v="SOLFIN"/>
    <s v="SOLFIN"/>
    <s v="CCMS"/>
    <n v="21360574"/>
    <n v="9615.559999999999"/>
    <m/>
    <s v="N"/>
    <n v="81"/>
    <d v="2023-07-11T11:51:10"/>
    <s v="Y"/>
    <s v="Preparation - other"/>
    <s v="Care Remuneration Hourly Rates"/>
    <s v="Profit Cost"/>
    <s v="HB"/>
    <s v="Y"/>
    <n v="12.09"/>
    <n v="2.42"/>
    <x v="7"/>
    <s v="VALIDATED"/>
    <n v="1"/>
    <s v="01.11.80.308.6100.0000"/>
    <n v="12.09"/>
    <s v="11"/>
    <s v="6100"/>
    <n v="6873.01"/>
    <n v="12.09"/>
    <s v="CREDITOR"/>
    <n v="0"/>
    <n v="0"/>
    <n v="0"/>
    <n v="0"/>
    <n v="12.09"/>
  </r>
  <r>
    <n v="61298400"/>
    <s v="N"/>
    <n v="21360574"/>
    <s v="3000015456710010"/>
    <s v="CIVIL"/>
    <d v="2023-06-29T00:00:00"/>
    <d v="2023-07-11T11:50:54"/>
    <m/>
    <d v="2023-07-11T00:00:00"/>
    <n v="1262"/>
    <n v="19363"/>
    <s v="61298400"/>
    <s v="61298400"/>
    <m/>
    <m/>
    <n v="22790952"/>
    <m/>
    <m/>
    <m/>
    <s v="SOLFIN"/>
    <s v="SOLFIN"/>
    <s v="CCMS"/>
    <n v="21360574"/>
    <n v="9615.559999999999"/>
    <m/>
    <s v="N"/>
    <n v="37"/>
    <d v="2023-07-11T11:51:10"/>
    <s v="Y"/>
    <s v="Preparation - other"/>
    <s v="Care Remuneration Hourly Rates"/>
    <s v="Profit Cost"/>
    <s v="HB"/>
    <s v="Y"/>
    <n v="15.11"/>
    <n v="3.02"/>
    <x v="7"/>
    <s v="VALIDATED"/>
    <n v="1"/>
    <s v="01.11.80.308.6100.0000"/>
    <n v="15.11"/>
    <s v="11"/>
    <s v="6100"/>
    <n v="6873.01"/>
    <n v="15.11"/>
    <s v="CREDITOR"/>
    <n v="0"/>
    <n v="0"/>
    <n v="0"/>
    <n v="0"/>
    <n v="15.11"/>
  </r>
  <r>
    <n v="61298400"/>
    <s v="N"/>
    <n v="21360574"/>
    <s v="3000015456710010"/>
    <s v="CIVIL"/>
    <d v="2023-06-29T00:00:00"/>
    <d v="2023-07-11T11:50:54"/>
    <m/>
    <d v="2023-07-11T00:00:00"/>
    <n v="1262"/>
    <n v="19363"/>
    <s v="61298400"/>
    <s v="61298400"/>
    <m/>
    <m/>
    <n v="22790952"/>
    <m/>
    <m/>
    <m/>
    <s v="SOLFIN"/>
    <s v="SOLFIN"/>
    <s v="CCMS"/>
    <n v="21360574"/>
    <n v="9615.559999999999"/>
    <m/>
    <s v="N"/>
    <n v="54"/>
    <d v="2023-07-11T11:51:10"/>
    <s v="Y"/>
    <s v="Attendance upon client"/>
    <s v="Care Remuneration Hourly Rates"/>
    <s v="Profit Cost"/>
    <s v="HB"/>
    <s v="Y"/>
    <n v="120.91"/>
    <n v="24.18"/>
    <x v="7"/>
    <s v="VALIDATED"/>
    <n v="1"/>
    <s v="01.11.80.308.6100.0000"/>
    <n v="120.91"/>
    <s v="11"/>
    <s v="6100"/>
    <n v="6873.01"/>
    <n v="120.91"/>
    <s v="CREDITOR"/>
    <n v="0"/>
    <n v="0"/>
    <n v="0"/>
    <n v="0"/>
    <n v="120.91"/>
  </r>
  <r>
    <n v="61298400"/>
    <s v="N"/>
    <n v="21360574"/>
    <s v="3000015456710010"/>
    <s v="CIVIL"/>
    <d v="2023-06-29T00:00:00"/>
    <d v="2023-07-11T11:50:54"/>
    <m/>
    <d v="2023-07-11T00:00:00"/>
    <n v="1262"/>
    <n v="19363"/>
    <s v="61298400"/>
    <s v="61298400"/>
    <m/>
    <m/>
    <n v="22790952"/>
    <m/>
    <m/>
    <m/>
    <s v="SOLFIN"/>
    <s v="SOLFIN"/>
    <s v="CCMS"/>
    <n v="21360574"/>
    <n v="9615.559999999999"/>
    <m/>
    <s v="N"/>
    <n v="22"/>
    <d v="2023-07-11T11:51:10"/>
    <s v="Y"/>
    <s v="Preparation - other"/>
    <s v="Care Remuneration Hourly Rates"/>
    <s v="Profit Cost"/>
    <s v="HB"/>
    <s v="Y"/>
    <n v="90.69"/>
    <n v="18.14"/>
    <x v="7"/>
    <s v="VALIDATED"/>
    <n v="1"/>
    <s v="01.11.80.308.6100.0000"/>
    <n v="90.69"/>
    <s v="11"/>
    <s v="6100"/>
    <n v="6873.01"/>
    <n v="90.69"/>
    <s v="CREDITOR"/>
    <n v="0"/>
    <n v="0"/>
    <n v="0"/>
    <n v="0"/>
    <n v="90.69"/>
  </r>
  <r>
    <n v="61298400"/>
    <s v="N"/>
    <n v="21360574"/>
    <s v="3000015456710010"/>
    <s v="CIVIL"/>
    <d v="2023-06-29T00:00:00"/>
    <d v="2023-07-11T11:50:54"/>
    <m/>
    <d v="2023-07-11T00:00:00"/>
    <n v="1262"/>
    <n v="19363"/>
    <s v="61298400"/>
    <s v="61298400"/>
    <m/>
    <m/>
    <n v="22790952"/>
    <m/>
    <m/>
    <m/>
    <s v="SOLFIN"/>
    <s v="SOLFIN"/>
    <s v="CCMS"/>
    <n v="21360574"/>
    <n v="9615.559999999999"/>
    <m/>
    <s v="N"/>
    <n v="33"/>
    <d v="2023-07-11T11:51:10"/>
    <s v="Y"/>
    <s v="Preparation - other"/>
    <s v="Care Remuneration Hourly Rates"/>
    <s v="Profit Cost"/>
    <s v="HB"/>
    <s v="Y"/>
    <n v="39.3"/>
    <n v="7.86"/>
    <x v="7"/>
    <s v="VALIDATED"/>
    <n v="1"/>
    <s v="01.11.80.308.6100.0000"/>
    <n v="39.3"/>
    <s v="11"/>
    <s v="6100"/>
    <n v="6873.01"/>
    <n v="39.3"/>
    <s v="CREDITOR"/>
    <n v="0"/>
    <n v="0"/>
    <n v="0"/>
    <n v="0"/>
    <n v="39.3"/>
  </r>
  <r>
    <n v="61298400"/>
    <s v="N"/>
    <n v="21360574"/>
    <s v="3000015456710010"/>
    <s v="CIVIL"/>
    <d v="2023-06-29T00:00:00"/>
    <d v="2023-07-11T11:50:54"/>
    <m/>
    <d v="2023-07-11T00:00:00"/>
    <n v="1262"/>
    <n v="19363"/>
    <s v="61298400"/>
    <s v="61298400"/>
    <m/>
    <m/>
    <n v="22790952"/>
    <m/>
    <m/>
    <m/>
    <s v="SOLFIN"/>
    <s v="SOLFIN"/>
    <s v="CCMS"/>
    <n v="21360574"/>
    <n v="9615.559999999999"/>
    <m/>
    <s v="N"/>
    <n v="43"/>
    <d v="2023-07-11T11:51:10"/>
    <s v="Y"/>
    <s v="Preparation - drafting attendance n"/>
    <s v="Care Remuneration Hourly Rates"/>
    <s v="Profit Cost"/>
    <s v="HB"/>
    <s v="Y"/>
    <n v="12.09"/>
    <n v="2.42"/>
    <x v="7"/>
    <s v="VALIDATED"/>
    <n v="1"/>
    <s v="01.11.80.308.6100.0000"/>
    <n v="12.09"/>
    <s v="11"/>
    <s v="6100"/>
    <n v="6873.01"/>
    <n v="12.09"/>
    <s v="CREDITOR"/>
    <n v="0"/>
    <n v="0"/>
    <n v="0"/>
    <n v="0"/>
    <n v="12.09"/>
  </r>
  <r>
    <n v="61841989"/>
    <s v="N"/>
    <n v="21360994"/>
    <s v="3000015909120004"/>
    <s v="CIVIL"/>
    <d v="2023-06-30T00:00:00"/>
    <d v="2023-07-11T19:00:25"/>
    <m/>
    <d v="2023-07-11T00:00:00"/>
    <n v="1262"/>
    <n v="19363"/>
    <s v="61841989"/>
    <s v="61841989"/>
    <m/>
    <m/>
    <n v="22800842"/>
    <m/>
    <m/>
    <m/>
    <s v="SOLFIN"/>
    <s v="SOLFIN"/>
    <s v="CCMS"/>
    <n v="21360994"/>
    <n v="2157.87"/>
    <m/>
    <s v="N"/>
    <n v="23"/>
    <d v="2023-07-11T19:00:42"/>
    <s v="Y"/>
    <s v="Preparation - other"/>
    <s v="Prescribed Hourly Rates"/>
    <s v="Profit Cost"/>
    <s v="HB"/>
    <s v="Y"/>
    <n v="6.31"/>
    <n v="1.26"/>
    <x v="7"/>
    <s v="VALIDATED"/>
    <n v="1"/>
    <s v="01.11.80.302.6100.0000"/>
    <n v="6.31"/>
    <s v="11"/>
    <s v="6100"/>
    <n v="6873.01"/>
    <n v="6.31"/>
    <s v="CREDITOR"/>
    <n v="0"/>
    <n v="0"/>
    <n v="0"/>
    <n v="0"/>
    <n v="6.31"/>
  </r>
  <r>
    <n v="61298400"/>
    <s v="N"/>
    <n v="21360574"/>
    <s v="3000015456710010"/>
    <s v="CIVIL"/>
    <d v="2023-06-29T00:00:00"/>
    <d v="2023-07-11T11:50:54"/>
    <m/>
    <d v="2023-07-11T00:00:00"/>
    <n v="1262"/>
    <n v="19363"/>
    <s v="61298400"/>
    <s v="61298400"/>
    <m/>
    <m/>
    <n v="22790952"/>
    <m/>
    <m/>
    <m/>
    <s v="SOLFIN"/>
    <s v="SOLFIN"/>
    <s v="CCMS"/>
    <n v="21360574"/>
    <n v="9615.559999999999"/>
    <m/>
    <s v="N"/>
    <n v="46"/>
    <d v="2023-07-11T11:51:10"/>
    <s v="Y"/>
    <s v="Preparation - other"/>
    <s v="Care Remuneration Hourly Rates"/>
    <s v="Profit Cost"/>
    <s v="HB"/>
    <s v="Y"/>
    <n v="39.3"/>
    <n v="7.86"/>
    <x v="7"/>
    <s v="VALIDATED"/>
    <n v="1"/>
    <s v="01.11.80.308.6100.0000"/>
    <n v="39.3"/>
    <s v="11"/>
    <s v="6100"/>
    <n v="6873.01"/>
    <n v="39.3"/>
    <s v="CREDITOR"/>
    <n v="0"/>
    <n v="0"/>
    <n v="0"/>
    <n v="0"/>
    <n v="39.3"/>
  </r>
  <r>
    <n v="61298400"/>
    <s v="N"/>
    <n v="21360574"/>
    <s v="3000015456710010"/>
    <s v="CIVIL"/>
    <d v="2023-06-29T00:00:00"/>
    <d v="2023-07-11T11:50:54"/>
    <m/>
    <d v="2023-07-11T00:00:00"/>
    <n v="1262"/>
    <n v="19363"/>
    <s v="61298400"/>
    <s v="61298400"/>
    <m/>
    <m/>
    <n v="22790952"/>
    <m/>
    <m/>
    <m/>
    <s v="SOLFIN"/>
    <s v="SOLFIN"/>
    <s v="CCMS"/>
    <n v="21360574"/>
    <n v="9615.559999999999"/>
    <m/>
    <s v="N"/>
    <n v="12"/>
    <d v="2023-07-11T11:51:10"/>
    <s v="Y"/>
    <s v="Preparation - drafting attendance n"/>
    <s v="Care Remuneration Hourly Rates"/>
    <s v="Profit Cost"/>
    <s v="HB"/>
    <s v="Y"/>
    <n v="24.18"/>
    <n v="4.84"/>
    <x v="7"/>
    <s v="VALIDATED"/>
    <n v="1"/>
    <s v="01.11.80.308.6100.0000"/>
    <n v="24.18"/>
    <s v="11"/>
    <s v="6100"/>
    <n v="6873.01"/>
    <n v="24.18"/>
    <s v="CREDITOR"/>
    <n v="0"/>
    <n v="0"/>
    <n v="0"/>
    <n v="0"/>
    <n v="24.18"/>
  </r>
  <r>
    <n v="61298400"/>
    <s v="N"/>
    <n v="21360574"/>
    <s v="3000015456710010"/>
    <s v="CIVIL"/>
    <d v="2023-06-29T00:00:00"/>
    <d v="2023-07-11T11:50:54"/>
    <m/>
    <d v="2023-07-11T00:00:00"/>
    <n v="1262"/>
    <n v="19363"/>
    <s v="61298400"/>
    <s v="61298400"/>
    <m/>
    <m/>
    <n v="22790952"/>
    <m/>
    <m/>
    <m/>
    <s v="SOLFIN"/>
    <s v="SOLFIN"/>
    <s v="CCMS"/>
    <n v="21360574"/>
    <n v="9615.559999999999"/>
    <m/>
    <s v="N"/>
    <n v="80"/>
    <d v="2023-07-11T11:51:10"/>
    <s v="Y"/>
    <s v="Attendance upon client"/>
    <s v="Care Remuneration Hourly Rates"/>
    <s v="Profit Cost"/>
    <s v="HB"/>
    <s v="Y"/>
    <n v="42.32"/>
    <n v="8.460000000000001"/>
    <x v="7"/>
    <s v="VALIDATED"/>
    <n v="1"/>
    <s v="01.11.80.308.6100.0000"/>
    <n v="42.32"/>
    <s v="11"/>
    <s v="6100"/>
    <n v="6873.01"/>
    <n v="42.32"/>
    <s v="CREDITOR"/>
    <n v="0"/>
    <n v="0"/>
    <n v="0"/>
    <n v="0"/>
    <n v="42.32"/>
  </r>
  <r>
    <n v="60527221"/>
    <s v="N"/>
    <n v="21330946"/>
    <s v="3000014798750015"/>
    <s v="CIVIL"/>
    <d v="2023-06-22T00:00:00"/>
    <d v="2023-07-05T19:01:47"/>
    <m/>
    <d v="2023-07-05T00:00:00"/>
    <n v="1263"/>
    <n v="19374"/>
    <s v="60527221"/>
    <s v="60527221"/>
    <m/>
    <m/>
    <n v="22744048"/>
    <m/>
    <m/>
    <m/>
    <s v="SOLFIN"/>
    <s v="SOLFIN"/>
    <s v="CCMS"/>
    <n v="21330946"/>
    <n v="22446.61"/>
    <m/>
    <s v="N"/>
    <n v="4"/>
    <d v="2023-07-05T19:01:59"/>
    <s v="Y"/>
    <s v="Disbursements (Summary)"/>
    <s v="Care Remuneration Hourly Rates"/>
    <s v="Non Expert Disbursement"/>
    <s v="BW"/>
    <s v="Y"/>
    <n v="691"/>
    <n v="0"/>
    <x v="6"/>
    <s v="VALIDATED"/>
    <n v="1"/>
    <s v="01.11.80.308.6300.0000"/>
    <n v="691"/>
    <s v="11"/>
    <s v="6300"/>
    <n v="14296.22"/>
    <n v="691"/>
    <s v="CREDITOR"/>
    <n v="0"/>
    <n v="0"/>
    <n v="0"/>
    <n v="0"/>
    <n v="691"/>
  </r>
  <r>
    <n v="61487936"/>
    <s v="N"/>
    <n v="21350059"/>
    <s v="3000015613830006"/>
    <s v="CIVIL"/>
    <d v="2023-06-28T00:00:00"/>
    <d v="2023-07-10T19:01:40"/>
    <m/>
    <d v="2023-07-10T00:00:00"/>
    <n v="1263"/>
    <n v="19374"/>
    <s v="61487936"/>
    <s v="61487936"/>
    <m/>
    <m/>
    <n v="22779688"/>
    <m/>
    <m/>
    <m/>
    <s v="SOLFIN"/>
    <s v="SOLFIN"/>
    <s v="CCMS"/>
    <n v="21350059"/>
    <n v="13664.46"/>
    <m/>
    <s v="N"/>
    <n v="5"/>
    <d v="2023-07-10T19:02:12"/>
    <s v="Y"/>
    <s v="Disbursements (Summary)"/>
    <s v="Care Remuneration Hourly Rates"/>
    <s v="Non Expert Disbursement"/>
    <s v="BW"/>
    <s v="Y"/>
    <n v="42"/>
    <n v="8.4"/>
    <x v="2"/>
    <s v="VALIDATED"/>
    <n v="1"/>
    <s v="01.11.80.308.6300.0000"/>
    <n v="42"/>
    <s v="11"/>
    <s v="6300"/>
    <n v="14296.22"/>
    <n v="42"/>
    <s v="CREDITOR"/>
    <n v="0"/>
    <n v="0"/>
    <n v="0"/>
    <n v="0"/>
    <n v="42"/>
  </r>
  <r>
    <n v="60527221"/>
    <s v="N"/>
    <n v="21330946"/>
    <s v="3000014798750015"/>
    <s v="CIVIL"/>
    <d v="2023-06-22T00:00:00"/>
    <d v="2023-07-05T19:01:47"/>
    <m/>
    <d v="2023-07-05T00:00:00"/>
    <n v="1263"/>
    <n v="19374"/>
    <s v="60527221"/>
    <s v="60527221"/>
    <m/>
    <m/>
    <n v="22744048"/>
    <m/>
    <m/>
    <m/>
    <s v="SOLFIN"/>
    <s v="SOLFIN"/>
    <s v="CCMS"/>
    <n v="21330946"/>
    <n v="22446.61"/>
    <m/>
    <s v="N"/>
    <n v="5"/>
    <d v="2023-07-05T19:01:59"/>
    <s v="Y"/>
    <s v="Disbursements (Summary)"/>
    <s v="Care Remuneration Hourly Rates"/>
    <s v="Non Expert Disbursement"/>
    <s v="BW"/>
    <s v="Y"/>
    <n v="502.97"/>
    <n v="100.59"/>
    <x v="6"/>
    <s v="VALIDATED"/>
    <n v="1"/>
    <s v="01.11.80.308.6300.0000"/>
    <n v="502.97"/>
    <s v="11"/>
    <s v="6300"/>
    <n v="14296.22"/>
    <n v="502.97"/>
    <s v="CREDITOR"/>
    <n v="0"/>
    <n v="0"/>
    <n v="0"/>
    <n v="0"/>
    <n v="502.97"/>
  </r>
  <r>
    <n v="61487936"/>
    <s v="N"/>
    <n v="21350059"/>
    <s v="3000015613830006"/>
    <s v="CIVIL"/>
    <d v="2023-06-28T00:00:00"/>
    <d v="2023-07-10T19:01:40"/>
    <m/>
    <d v="2023-07-10T00:00:00"/>
    <n v="1263"/>
    <n v="19374"/>
    <s v="61487936"/>
    <s v="61487936"/>
    <m/>
    <m/>
    <n v="22779688"/>
    <m/>
    <m/>
    <m/>
    <s v="SOLFIN"/>
    <s v="SOLFIN"/>
    <s v="CCMS"/>
    <n v="21350059"/>
    <n v="13664.46"/>
    <m/>
    <s v="N"/>
    <n v="10"/>
    <d v="2023-07-10T19:02:12"/>
    <s v="Y"/>
    <s v="Advocates Meeting"/>
    <s v="Public Law Children"/>
    <s v="Advocacy"/>
    <s v="BW"/>
    <s v="Y"/>
    <n v="140.99"/>
    <n v="28.2"/>
    <x v="2"/>
    <s v="VALIDATED"/>
    <n v="1"/>
    <s v="01.11.80.308.6100.0000"/>
    <n v="140.99"/>
    <s v="11"/>
    <s v="6100"/>
    <n v="14296.22"/>
    <n v="140.99"/>
    <s v="CREDITOR"/>
    <n v="0"/>
    <n v="0"/>
    <n v="0"/>
    <n v="0"/>
    <n v="140.99"/>
  </r>
  <r>
    <n v="61487936"/>
    <s v="N"/>
    <n v="21350059"/>
    <s v="3000015613830006"/>
    <s v="CIVIL"/>
    <d v="2023-06-28T00:00:00"/>
    <d v="2023-07-10T19:01:40"/>
    <m/>
    <d v="2023-07-10T00:00:00"/>
    <n v="1263"/>
    <n v="19374"/>
    <s v="61487936"/>
    <s v="61487936"/>
    <m/>
    <m/>
    <n v="22779688"/>
    <m/>
    <m/>
    <m/>
    <s v="SOLFIN"/>
    <s v="SOLFIN"/>
    <s v="CCMS"/>
    <n v="21350059"/>
    <n v="13664.46"/>
    <m/>
    <s v="N"/>
    <n v="6"/>
    <d v="2023-07-10T19:02:12"/>
    <s v="Y"/>
    <s v="Advocates Meeting"/>
    <s v="Public Law Children"/>
    <s v="Advocacy"/>
    <s v="SC"/>
    <s v="Y"/>
    <n v="140.99"/>
    <n v="28.2"/>
    <x v="2"/>
    <s v="VALIDATED"/>
    <n v="1"/>
    <s v="01.11.80.308.6100.0000"/>
    <n v="140.99"/>
    <s v="11"/>
    <s v="6100"/>
    <n v="14296.22"/>
    <n v="140.99"/>
    <s v="CREDITOR"/>
    <n v="0"/>
    <n v="0"/>
    <n v="0"/>
    <n v="0"/>
    <n v="140.99"/>
  </r>
  <r>
    <n v="60527221"/>
    <s v="N"/>
    <n v="21330946"/>
    <s v="3000014798750015"/>
    <s v="CIVIL"/>
    <d v="2023-06-22T00:00:00"/>
    <d v="2023-07-05T19:01:47"/>
    <m/>
    <d v="2023-07-05T00:00:00"/>
    <n v="1263"/>
    <n v="19374"/>
    <s v="60527221"/>
    <s v="60527221"/>
    <m/>
    <m/>
    <n v="22744048"/>
    <m/>
    <m/>
    <m/>
    <s v="SOLFIN"/>
    <s v="SOLFIN"/>
    <s v="CCMS"/>
    <n v="21330946"/>
    <n v="22446.61"/>
    <m/>
    <s v="N"/>
    <n v="6"/>
    <d v="2023-07-05T19:01:59"/>
    <s v="Y"/>
    <s v="Disbursements (Summary)"/>
    <s v="Care Remuneration Hourly Rates"/>
    <s v="Non Expert Disbursement"/>
    <s v="BW"/>
    <s v="Y"/>
    <n v="93.33"/>
    <n v="18.67"/>
    <x v="6"/>
    <s v="VALIDATED"/>
    <n v="1"/>
    <s v="01.11.80.308.6300.0000"/>
    <n v="93.33"/>
    <s v="11"/>
    <s v="6300"/>
    <n v="14296.22"/>
    <n v="93.33"/>
    <s v="CREDITOR"/>
    <n v="0"/>
    <n v="0"/>
    <n v="0"/>
    <n v="0"/>
    <n v="93.33"/>
  </r>
  <r>
    <n v="60527221"/>
    <s v="N"/>
    <n v="21330946"/>
    <s v="3000014798750015"/>
    <s v="CIVIL"/>
    <d v="2023-06-22T00:00:00"/>
    <d v="2023-07-05T19:01:47"/>
    <m/>
    <d v="2023-07-05T00:00:00"/>
    <n v="1263"/>
    <n v="19374"/>
    <s v="60527221"/>
    <s v="60527221"/>
    <m/>
    <m/>
    <n v="22744048"/>
    <m/>
    <m/>
    <m/>
    <s v="SOLFIN"/>
    <s v="SOLFIN"/>
    <s v="CCMS"/>
    <n v="21330946"/>
    <n v="22446.61"/>
    <m/>
    <s v="N"/>
    <n v="2"/>
    <d v="2023-07-05T19:01:59"/>
    <s v="Y"/>
    <s v="Profit Costs (Summary)"/>
    <s v="Care Remuneration Hourly Rates"/>
    <s v="Profit Cost"/>
    <s v="BW"/>
    <s v="Y"/>
    <n v="11382.82"/>
    <n v="2276.57"/>
    <x v="6"/>
    <s v="VALIDATED"/>
    <n v="1"/>
    <s v="01.11.80.308.6100.0000"/>
    <n v="11382.82"/>
    <s v="11"/>
    <s v="6100"/>
    <n v="14296.22"/>
    <n v="11382.82"/>
    <s v="CREDITOR"/>
    <n v="0"/>
    <n v="0"/>
    <n v="0"/>
    <n v="0"/>
    <n v="11382.82"/>
  </r>
  <r>
    <n v="61443560"/>
    <s v="N"/>
    <n v="21318606"/>
    <s v="3000015576790012"/>
    <s v="CIVIL"/>
    <d v="2023-06-19T00:00:00"/>
    <d v="2023-07-03T19:01:49"/>
    <m/>
    <d v="2023-07-03T00:00:00"/>
    <n v="1263"/>
    <n v="19374"/>
    <s v="61443560"/>
    <s v="61443560"/>
    <m/>
    <m/>
    <n v="22718160"/>
    <m/>
    <m/>
    <m/>
    <s v="SOLPOA"/>
    <s v="SOLPOA"/>
    <s v="CCMS"/>
    <n v="21318606"/>
    <n v="739.22"/>
    <m/>
    <s v="N"/>
    <n v="1"/>
    <d v="2023-07-03T19:02:00"/>
    <s v="N"/>
    <s v="Expert Cost"/>
    <s v="Expert Cost"/>
    <s v="Expert Disbursement"/>
    <s v="AP"/>
    <s v="N"/>
    <n v="739.22"/>
    <n v="0"/>
    <x v="3"/>
    <s v="VALIDATED"/>
    <n v="1"/>
    <s v="01.11.80.308.2012.0000"/>
    <n v="739.22"/>
    <s v="11"/>
    <s v="2012"/>
    <n v="14296.22"/>
    <n v="739.22"/>
    <s v="CREDITOR"/>
    <n v="739.22"/>
    <n v="0"/>
    <n v="0"/>
    <n v="0"/>
    <n v="0"/>
  </r>
  <r>
    <n v="60527221"/>
    <s v="N"/>
    <n v="21330946"/>
    <s v="3000014798750015"/>
    <s v="CIVIL"/>
    <d v="2023-06-22T00:00:00"/>
    <d v="2023-07-05T19:01:47"/>
    <m/>
    <d v="2023-07-05T00:00:00"/>
    <n v="1263"/>
    <n v="19374"/>
    <s v="60527221"/>
    <s v="60527221"/>
    <m/>
    <m/>
    <n v="22744048"/>
    <m/>
    <m/>
    <m/>
    <s v="SOLFIN"/>
    <s v="SOLFIN"/>
    <s v="CCMS"/>
    <n v="21330946"/>
    <n v="22446.61"/>
    <m/>
    <s v="N"/>
    <n v="7"/>
    <d v="2023-07-05T19:01:59"/>
    <s v="Y"/>
    <s v="Hearing Unit 2.31 - 5.00 Hours"/>
    <s v="Public Law Children"/>
    <s v="Advocacy"/>
    <s v="CS"/>
    <s v="Y"/>
    <n v="476.92"/>
    <n v="95.38"/>
    <x v="6"/>
    <s v="VALIDATED"/>
    <n v="1"/>
    <s v="01.11.80.308.6100.0000"/>
    <n v="476.92"/>
    <s v="11"/>
    <s v="6100"/>
    <n v="14296.22"/>
    <n v="476.92"/>
    <s v="CREDITOR"/>
    <n v="0"/>
    <n v="0"/>
    <n v="0"/>
    <n v="0"/>
    <n v="476.92"/>
  </r>
  <r>
    <n v="60527221"/>
    <s v="N"/>
    <n v="21330946"/>
    <s v="3000014798750015"/>
    <s v="CIVIL"/>
    <d v="2023-06-22T00:00:00"/>
    <d v="2023-07-05T19:01:47"/>
    <m/>
    <d v="2023-07-05T00:00:00"/>
    <n v="1263"/>
    <n v="19374"/>
    <s v="60527221"/>
    <s v="60527221"/>
    <m/>
    <m/>
    <n v="22744048"/>
    <m/>
    <m/>
    <m/>
    <s v="SOLFIN"/>
    <s v="SOLFIN"/>
    <s v="CCMS"/>
    <n v="21330946"/>
    <n v="22446.61"/>
    <m/>
    <s v="N"/>
    <n v="1"/>
    <d v="2023-07-05T19:01:59"/>
    <s v="N"/>
    <s v="Solicitors Fixed Fee"/>
    <s v="Public Law Children"/>
    <s v="Profit Cost"/>
    <s v="BW"/>
    <s v="N"/>
    <n v="0"/>
    <n v="0"/>
    <x v="6"/>
    <s v="VALIDATED"/>
    <n v="1"/>
    <s v="01.11.80.308.6100.0000"/>
    <n v="0"/>
    <s v="11"/>
    <s v="6100"/>
    <n v="14296.22"/>
    <n v="0"/>
    <s v="CREDITOR"/>
    <n v="0"/>
    <n v="0"/>
    <n v="0"/>
    <n v="0"/>
    <n v="0"/>
  </r>
  <r>
    <n v="60891249"/>
    <s v="N"/>
    <n v="21322165"/>
    <s v="3000015114200014"/>
    <s v="CIVIL"/>
    <d v="2023-06-28T00:00:00"/>
    <d v="2023-07-03T19:05:17"/>
    <m/>
    <d v="2023-07-03T00:00:00"/>
    <n v="1263"/>
    <n v="19374"/>
    <s v="60891249"/>
    <s v="60891249"/>
    <m/>
    <m/>
    <n v="22783802"/>
    <m/>
    <m/>
    <m/>
    <s v="SOLPOA"/>
    <s v="SOLPOA"/>
    <s v="CCMS"/>
    <n v="21322165"/>
    <n v="174.6"/>
    <m/>
    <s v="N"/>
    <n v="1"/>
    <d v="2023-07-03T19:05:22"/>
    <s v="N"/>
    <s v="Expert Cost"/>
    <s v="Expert Cost"/>
    <s v="Expert Disbursement"/>
    <s v="JHL"/>
    <s v="N"/>
    <n v="145.5"/>
    <n v="29.1"/>
    <x v="3"/>
    <s v="VALIDATED"/>
    <n v="1"/>
    <s v="01.11.80.308.2012.0000"/>
    <n v="145.5"/>
    <s v="11"/>
    <s v="2012"/>
    <n v="14296.22"/>
    <n v="145.5"/>
    <s v="CREDITOR"/>
    <n v="145.5"/>
    <n v="0"/>
    <n v="0"/>
    <n v="0"/>
    <n v="0"/>
  </r>
  <r>
    <n v="61487936"/>
    <s v="N"/>
    <n v="21350059"/>
    <s v="3000015613830006"/>
    <s v="CIVIL"/>
    <d v="2023-06-28T00:00:00"/>
    <d v="2023-07-10T19:01:40"/>
    <m/>
    <d v="2023-07-10T00:00:00"/>
    <n v="1263"/>
    <n v="19374"/>
    <s v="61487936"/>
    <s v="61487936"/>
    <m/>
    <m/>
    <n v="22779688"/>
    <m/>
    <m/>
    <m/>
    <s v="SOLFIN"/>
    <s v="SOLFIN"/>
    <s v="CCMS"/>
    <n v="21350059"/>
    <n v="13664.46"/>
    <m/>
    <s v="N"/>
    <n v="13"/>
    <d v="2023-07-10T19:02:12"/>
    <s v="Y"/>
    <s v="Final Hearing Court Bundle/Advocate"/>
    <s v="Public Law Children"/>
    <s v="Advocacy"/>
    <s v="CS"/>
    <s v="Y"/>
    <n v="318.6"/>
    <n v="63.72"/>
    <x v="2"/>
    <s v="VALIDATED"/>
    <n v="1"/>
    <s v="01.11.80.308.6100.0000"/>
    <n v="318.6"/>
    <s v="11"/>
    <s v="6100"/>
    <n v="14296.22"/>
    <n v="318.6"/>
    <s v="CREDITOR"/>
    <n v="0"/>
    <n v="0"/>
    <n v="0"/>
    <n v="0"/>
    <n v="318.6"/>
  </r>
  <r>
    <n v="61487936"/>
    <s v="N"/>
    <n v="21350059"/>
    <s v="3000015613830006"/>
    <s v="CIVIL"/>
    <d v="2023-06-28T00:00:00"/>
    <d v="2023-07-10T19:01:40"/>
    <m/>
    <d v="2023-07-10T00:00:00"/>
    <n v="1263"/>
    <n v="19374"/>
    <s v="61487936"/>
    <s v="61487936"/>
    <m/>
    <m/>
    <n v="22779688"/>
    <m/>
    <m/>
    <m/>
    <s v="SOLFIN"/>
    <s v="SOLFIN"/>
    <s v="CCMS"/>
    <n v="21350059"/>
    <n v="13664.46"/>
    <m/>
    <s v="N"/>
    <n v="9"/>
    <d v="2023-07-10T19:02:12"/>
    <s v="Y"/>
    <s v="Hearing Unit 2.31 - 5.00 Hours"/>
    <s v="Public Law Children"/>
    <s v="Advocacy"/>
    <s v="SC"/>
    <s v="Y"/>
    <n v="476.92"/>
    <n v="95.38"/>
    <x v="2"/>
    <s v="VALIDATED"/>
    <n v="1"/>
    <s v="01.11.80.308.6100.0000"/>
    <n v="476.92"/>
    <s v="11"/>
    <s v="6100"/>
    <n v="14296.22"/>
    <n v="476.92"/>
    <s v="CREDITOR"/>
    <n v="0"/>
    <n v="0"/>
    <n v="0"/>
    <n v="0"/>
    <n v="476.92"/>
  </r>
  <r>
    <n v="61487936"/>
    <s v="N"/>
    <n v="21350059"/>
    <s v="3000015613830006"/>
    <s v="CIVIL"/>
    <d v="2023-06-28T00:00:00"/>
    <d v="2023-07-10T19:01:40"/>
    <m/>
    <d v="2023-07-10T00:00:00"/>
    <n v="1263"/>
    <n v="19374"/>
    <s v="61487936"/>
    <s v="61487936"/>
    <m/>
    <m/>
    <n v="22779688"/>
    <m/>
    <m/>
    <m/>
    <s v="SOLFIN"/>
    <s v="SOLFIN"/>
    <s v="CCMS"/>
    <n v="21350059"/>
    <n v="13664.46"/>
    <m/>
    <s v="N"/>
    <n v="4"/>
    <d v="2023-07-10T19:02:12"/>
    <s v="Y"/>
    <s v="Disbursements (Summary)"/>
    <s v="Care Remuneration Hourly Rates"/>
    <s v="Non Expert Disbursement"/>
    <s v="BW"/>
    <s v="Y"/>
    <n v="341"/>
    <n v="0"/>
    <x v="2"/>
    <s v="VALIDATED"/>
    <n v="1"/>
    <s v="01.11.80.308.6300.0000"/>
    <n v="341"/>
    <s v="11"/>
    <s v="6300"/>
    <n v="14296.22"/>
    <n v="341"/>
    <s v="CREDITOR"/>
    <n v="0"/>
    <n v="0"/>
    <n v="0"/>
    <n v="0"/>
    <n v="341"/>
  </r>
  <r>
    <n v="61487936"/>
    <s v="N"/>
    <n v="21350059"/>
    <s v="3000015613830006"/>
    <s v="CIVIL"/>
    <d v="2023-06-28T00:00:00"/>
    <d v="2023-07-10T19:01:40"/>
    <m/>
    <d v="2023-07-10T00:00:00"/>
    <n v="1263"/>
    <n v="19374"/>
    <s v="61487936"/>
    <s v="61487936"/>
    <m/>
    <m/>
    <n v="22779688"/>
    <m/>
    <m/>
    <m/>
    <s v="SOLFIN"/>
    <s v="SOLFIN"/>
    <s v="CCMS"/>
    <n v="21350059"/>
    <n v="13664.46"/>
    <m/>
    <s v="N"/>
    <n v="1"/>
    <d v="2023-07-10T19:02:12"/>
    <s v="N"/>
    <s v="Solicitors Fixed Fee"/>
    <s v="Public Law Children"/>
    <s v="Profit Cost"/>
    <s v="BW"/>
    <s v="N"/>
    <n v="0"/>
    <n v="0"/>
    <x v="2"/>
    <s v="VALIDATED"/>
    <n v="1"/>
    <s v="01.11.80.308.6100.0000"/>
    <n v="0"/>
    <s v="11"/>
    <s v="6100"/>
    <n v="14296.22"/>
    <n v="0"/>
    <s v="CREDITOR"/>
    <n v="0"/>
    <n v="0"/>
    <n v="0"/>
    <n v="0"/>
    <n v="0"/>
  </r>
  <r>
    <n v="61487936"/>
    <s v="N"/>
    <n v="21350059"/>
    <s v="3000015613830006"/>
    <s v="CIVIL"/>
    <d v="2023-06-28T00:00:00"/>
    <d v="2023-07-10T19:01:40"/>
    <m/>
    <d v="2023-07-10T00:00:00"/>
    <n v="1263"/>
    <n v="19374"/>
    <s v="61487936"/>
    <s v="61487936"/>
    <m/>
    <m/>
    <n v="22779688"/>
    <m/>
    <m/>
    <m/>
    <s v="SOLFIN"/>
    <s v="SOLFIN"/>
    <s v="CCMS"/>
    <n v="21350059"/>
    <n v="13664.46"/>
    <m/>
    <s v="N"/>
    <n v="8"/>
    <d v="2023-07-10T19:02:12"/>
    <s v="Y"/>
    <s v="Advocates Meeting"/>
    <s v="Public Law Children"/>
    <s v="Advocacy"/>
    <s v="SC"/>
    <s v="Y"/>
    <n v="140.99"/>
    <n v="28.2"/>
    <x v="2"/>
    <s v="VALIDATED"/>
    <n v="1"/>
    <s v="01.11.80.308.6100.0000"/>
    <n v="140.99"/>
    <s v="11"/>
    <s v="6100"/>
    <n v="14296.22"/>
    <n v="140.99"/>
    <s v="CREDITOR"/>
    <n v="0"/>
    <n v="0"/>
    <n v="0"/>
    <n v="0"/>
    <n v="140.99"/>
  </r>
  <r>
    <n v="62350323"/>
    <s v="N"/>
    <n v="21318585"/>
    <s v="3000016334230004"/>
    <s v="CIVIL"/>
    <d v="2023-06-19T00:00:00"/>
    <d v="2023-07-03T19:01:49"/>
    <m/>
    <d v="2023-07-03T00:00:00"/>
    <n v="1263"/>
    <n v="19374"/>
    <s v="62350323"/>
    <s v="62350323"/>
    <m/>
    <m/>
    <n v="22718396"/>
    <m/>
    <m/>
    <m/>
    <s v="SOLPOA"/>
    <s v="SOLPOA"/>
    <s v="CCMS"/>
    <n v="21318585"/>
    <n v="376.85"/>
    <m/>
    <s v="N"/>
    <n v="1"/>
    <d v="2023-07-03T19:01:59"/>
    <s v="N"/>
    <s v="Expert Cost"/>
    <s v="Expert Cost"/>
    <s v="Expert Disbursement"/>
    <s v="AP"/>
    <s v="N"/>
    <n v="376.85"/>
    <n v="0"/>
    <x v="3"/>
    <s v="VALIDATED"/>
    <n v="1"/>
    <s v="01.11.80.308.2012.0000"/>
    <n v="376.85"/>
    <s v="11"/>
    <s v="2012"/>
    <n v="14296.22"/>
    <n v="376.85"/>
    <s v="CREDITOR"/>
    <n v="376.85"/>
    <n v="0"/>
    <n v="0"/>
    <n v="0"/>
    <n v="0"/>
  </r>
  <r>
    <n v="62350323"/>
    <s v="N"/>
    <n v="21321540"/>
    <s v="3000016334230003"/>
    <s v="CIVIL"/>
    <d v="2023-06-29T00:00:00"/>
    <d v="2023-07-03T19:05:17"/>
    <m/>
    <d v="2023-07-03T00:00:00"/>
    <n v="1263"/>
    <n v="19374"/>
    <s v="62350323"/>
    <s v="62350323"/>
    <m/>
    <m/>
    <n v="22786496"/>
    <m/>
    <m/>
    <m/>
    <s v="SOLPOA"/>
    <s v="SOLPOA"/>
    <s v="CCMS"/>
    <n v="21321540"/>
    <n v="50.4"/>
    <m/>
    <s v="N"/>
    <n v="1"/>
    <d v="2023-07-03T19:05:19"/>
    <s v="N"/>
    <s v="Expert Cost"/>
    <s v="Expert Cost"/>
    <s v="Expert Disbursement"/>
    <s v="AP"/>
    <s v="N"/>
    <n v="50.4"/>
    <n v="0"/>
    <x v="3"/>
    <s v="VALIDATED"/>
    <n v="1"/>
    <s v="01.11.80.308.2012.0000"/>
    <n v="50.4"/>
    <s v="11"/>
    <s v="2012"/>
    <n v="14296.22"/>
    <n v="50.4"/>
    <s v="CREDITOR"/>
    <n v="50.4"/>
    <n v="0"/>
    <n v="0"/>
    <n v="0"/>
    <n v="0"/>
  </r>
  <r>
    <n v="61487936"/>
    <s v="N"/>
    <n v="21350059"/>
    <s v="3000015613830006"/>
    <s v="CIVIL"/>
    <d v="2023-06-28T00:00:00"/>
    <d v="2023-07-10T19:01:40"/>
    <m/>
    <d v="2023-07-10T00:00:00"/>
    <n v="1263"/>
    <n v="19374"/>
    <s v="61487936"/>
    <s v="61487936"/>
    <m/>
    <m/>
    <n v="22779688"/>
    <m/>
    <m/>
    <m/>
    <s v="SOLFIN"/>
    <s v="SOLFIN"/>
    <s v="CCMS"/>
    <n v="21350059"/>
    <n v="13664.46"/>
    <m/>
    <s v="N"/>
    <n v="3"/>
    <d v="2023-07-10T19:02:12"/>
    <s v="Y"/>
    <s v="Profit Costs (Summary)"/>
    <s v="Care Remuneration Hourly Rates"/>
    <s v="Profit Cost"/>
    <s v="BW"/>
    <s v="Y"/>
    <n v="1380.78"/>
    <n v="276.16"/>
    <x v="2"/>
    <s v="VALIDATED"/>
    <n v="1"/>
    <s v="01.11.80.308.6100.0000"/>
    <n v="1380.78"/>
    <s v="11"/>
    <s v="6100"/>
    <n v="14296.22"/>
    <n v="1380.78"/>
    <s v="CREDITOR"/>
    <n v="0"/>
    <n v="0"/>
    <n v="0"/>
    <n v="0"/>
    <n v="1380.78"/>
  </r>
  <r>
    <n v="60527221"/>
    <s v="N"/>
    <n v="21330946"/>
    <s v="3000014798750015"/>
    <s v="CIVIL"/>
    <d v="2023-06-22T00:00:00"/>
    <d v="2023-07-05T19:01:47"/>
    <m/>
    <d v="2023-07-05T00:00:00"/>
    <n v="1263"/>
    <n v="19374"/>
    <s v="60527221"/>
    <s v="60527221"/>
    <m/>
    <m/>
    <n v="22744048"/>
    <m/>
    <m/>
    <m/>
    <s v="SOLFIN"/>
    <s v="SOLFIN"/>
    <s v="CCMS"/>
    <n v="21330946"/>
    <n v="22446.61"/>
    <m/>
    <s v="N"/>
    <n v="3"/>
    <d v="2023-07-05T19:01:59"/>
    <s v="Y"/>
    <s v="Profit Costs (Summary)"/>
    <s v="Care Remuneration Hourly Rates"/>
    <s v="Profit Cost"/>
    <s v="BW"/>
    <s v="Y"/>
    <n v="1775.3"/>
    <n v="355.06"/>
    <x v="6"/>
    <s v="VALIDATED"/>
    <n v="1"/>
    <s v="01.11.80.308.6100.0000"/>
    <n v="1775.3"/>
    <s v="11"/>
    <s v="6100"/>
    <n v="14296.22"/>
    <n v="1775.3"/>
    <s v="CREDITOR"/>
    <n v="0"/>
    <n v="0"/>
    <n v="0"/>
    <n v="0"/>
    <n v="1775.3"/>
  </r>
  <r>
    <n v="60527221"/>
    <s v="N"/>
    <n v="21330946"/>
    <s v="3000014798750015"/>
    <s v="CIVIL"/>
    <d v="2023-06-22T00:00:00"/>
    <d v="2023-07-05T19:01:47"/>
    <m/>
    <d v="2023-07-05T00:00:00"/>
    <n v="1263"/>
    <n v="19374"/>
    <s v="60527221"/>
    <s v="60527221"/>
    <m/>
    <m/>
    <n v="22744048"/>
    <m/>
    <m/>
    <m/>
    <s v="SOLFIN"/>
    <s v="SOLFIN"/>
    <s v="CCMS"/>
    <n v="21330946"/>
    <n v="22446.61"/>
    <m/>
    <s v="N"/>
    <n v="10"/>
    <d v="2023-07-05T19:01:59"/>
    <s v="Y"/>
    <s v="Final Hearing Court Bundle/Advocate"/>
    <s v="Public Law Children"/>
    <s v="Advocacy"/>
    <s v="CS"/>
    <s v="Y"/>
    <n v="318.6"/>
    <n v="63.72"/>
    <x v="6"/>
    <s v="VALIDATED"/>
    <n v="1"/>
    <s v="01.11.80.308.6100.0000"/>
    <n v="318.6"/>
    <s v="11"/>
    <s v="6100"/>
    <n v="14296.22"/>
    <n v="318.6"/>
    <s v="CREDITOR"/>
    <n v="0"/>
    <n v="0"/>
    <n v="0"/>
    <n v="0"/>
    <n v="318.6"/>
  </r>
  <r>
    <n v="61487936"/>
    <s v="N"/>
    <n v="21350059"/>
    <s v="3000015613830006"/>
    <s v="CIVIL"/>
    <d v="2023-06-28T00:00:00"/>
    <d v="2023-07-10T19:01:40"/>
    <m/>
    <d v="2023-07-10T00:00:00"/>
    <n v="1263"/>
    <n v="19374"/>
    <s v="61487936"/>
    <s v="61487936"/>
    <m/>
    <m/>
    <n v="22779688"/>
    <m/>
    <m/>
    <m/>
    <s v="SOLFIN"/>
    <s v="SOLFIN"/>
    <s v="CCMS"/>
    <n v="21350059"/>
    <n v="13664.46"/>
    <m/>
    <s v="N"/>
    <n v="12"/>
    <d v="2023-07-10T19:02:12"/>
    <s v="Y"/>
    <s v="Interim Hearing Court Bundle/Advoca"/>
    <s v="Public Law Children"/>
    <s v="Advocacy"/>
    <s v="SC"/>
    <s v="Y"/>
    <n v="59.4"/>
    <n v="11.88"/>
    <x v="2"/>
    <s v="VALIDATED"/>
    <n v="1"/>
    <s v="01.11.80.308.6100.0000"/>
    <n v="59.4"/>
    <s v="11"/>
    <s v="6100"/>
    <n v="14296.22"/>
    <n v="59.4"/>
    <s v="CREDITOR"/>
    <n v="0"/>
    <n v="0"/>
    <n v="0"/>
    <n v="0"/>
    <n v="59.4"/>
  </r>
  <r>
    <n v="60527221"/>
    <s v="N"/>
    <n v="21330946"/>
    <s v="3000014798750015"/>
    <s v="CIVIL"/>
    <d v="2023-06-22T00:00:00"/>
    <d v="2023-07-05T19:01:47"/>
    <m/>
    <d v="2023-07-05T00:00:00"/>
    <n v="1263"/>
    <n v="19374"/>
    <s v="60527221"/>
    <s v="60527221"/>
    <m/>
    <m/>
    <n v="22744048"/>
    <m/>
    <m/>
    <m/>
    <s v="SOLFIN"/>
    <s v="SOLFIN"/>
    <s v="CCMS"/>
    <n v="21330946"/>
    <n v="22446.61"/>
    <m/>
    <s v="N"/>
    <n v="8"/>
    <d v="2023-07-05T19:01:59"/>
    <s v="Y"/>
    <s v="Hearing Unit 1.01 - 2.30 Hours"/>
    <s v="Public Law Children"/>
    <s v="Advocacy"/>
    <s v="CS"/>
    <s v="Y"/>
    <n v="238.46"/>
    <n v="47.69"/>
    <x v="6"/>
    <s v="VALIDATED"/>
    <n v="1"/>
    <s v="01.11.80.308.6100.0000"/>
    <n v="238.46"/>
    <s v="11"/>
    <s v="6100"/>
    <n v="14296.22"/>
    <n v="238.46"/>
    <s v="CREDITOR"/>
    <n v="0"/>
    <n v="0"/>
    <n v="0"/>
    <n v="0"/>
    <n v="238.46"/>
  </r>
  <r>
    <n v="61487936"/>
    <s v="N"/>
    <n v="21350059"/>
    <s v="3000015613830006"/>
    <s v="CIVIL"/>
    <d v="2023-06-28T00:00:00"/>
    <d v="2023-07-10T19:01:40"/>
    <m/>
    <d v="2023-07-10T00:00:00"/>
    <n v="1263"/>
    <n v="19374"/>
    <s v="61487936"/>
    <s v="61487936"/>
    <m/>
    <m/>
    <n v="22779688"/>
    <m/>
    <m/>
    <m/>
    <s v="SOLFIN"/>
    <s v="SOLFIN"/>
    <s v="CCMS"/>
    <n v="21350059"/>
    <n v="13664.46"/>
    <m/>
    <s v="N"/>
    <n v="11"/>
    <d v="2023-07-10T19:02:12"/>
    <s v="Y"/>
    <s v="Final Hearing - 1 Day"/>
    <s v="Public Law Children"/>
    <s v="Advocacy"/>
    <s v="CS"/>
    <s v="Y"/>
    <n v="556.88"/>
    <n v="111.38"/>
    <x v="2"/>
    <s v="VALIDATED"/>
    <n v="1"/>
    <s v="01.11.80.308.6100.0000"/>
    <n v="556.88"/>
    <s v="11"/>
    <s v="6100"/>
    <n v="14296.22"/>
    <n v="556.88"/>
    <s v="CREDITOR"/>
    <n v="0"/>
    <n v="0"/>
    <n v="0"/>
    <n v="0"/>
    <n v="556.88"/>
  </r>
  <r>
    <n v="61946287"/>
    <s v="N"/>
    <n v="21318574"/>
    <s v="3000015997280007"/>
    <s v="CIVIL"/>
    <d v="2023-06-19T00:00:00"/>
    <d v="2023-07-03T19:01:49"/>
    <m/>
    <d v="2023-07-03T00:00:00"/>
    <n v="1263"/>
    <n v="19374"/>
    <s v="61946287"/>
    <s v="61946287"/>
    <m/>
    <m/>
    <n v="22717982"/>
    <m/>
    <m/>
    <m/>
    <s v="SOLPOA"/>
    <s v="SOLPOA"/>
    <s v="CCMS"/>
    <n v="21318574"/>
    <n v="1008"/>
    <m/>
    <s v="N"/>
    <n v="1"/>
    <d v="2023-07-03T19:01:59"/>
    <s v="N"/>
    <s v="Expert Cost"/>
    <s v="Expert Cost"/>
    <s v="Expert Disbursement"/>
    <s v="AP"/>
    <s v="N"/>
    <n v="840"/>
    <n v="168"/>
    <x v="3"/>
    <s v="VALIDATED"/>
    <n v="1"/>
    <s v="01.11.80.308.2012.0000"/>
    <n v="840"/>
    <s v="11"/>
    <s v="2012"/>
    <n v="14296.22"/>
    <n v="840"/>
    <s v="CREDITOR"/>
    <n v="840"/>
    <n v="0"/>
    <n v="0"/>
    <n v="0"/>
    <n v="0"/>
  </r>
  <r>
    <n v="61487936"/>
    <s v="N"/>
    <n v="21350059"/>
    <s v="3000015613830006"/>
    <s v="CIVIL"/>
    <d v="2023-06-28T00:00:00"/>
    <d v="2023-07-10T19:01:40"/>
    <m/>
    <d v="2023-07-10T00:00:00"/>
    <n v="1263"/>
    <n v="19374"/>
    <s v="61487936"/>
    <s v="61487936"/>
    <m/>
    <m/>
    <n v="22779688"/>
    <m/>
    <m/>
    <m/>
    <s v="SOLFIN"/>
    <s v="SOLFIN"/>
    <s v="CCMS"/>
    <n v="21350059"/>
    <n v="13664.46"/>
    <m/>
    <s v="N"/>
    <n v="2"/>
    <d v="2023-07-10T19:02:12"/>
    <s v="Y"/>
    <s v="Profit Costs (Summary)"/>
    <s v="Care Remuneration Hourly Rates"/>
    <s v="Profit Cost"/>
    <s v="BW"/>
    <s v="Y"/>
    <n v="7129.94"/>
    <n v="1425.99"/>
    <x v="2"/>
    <s v="VALIDATED"/>
    <n v="1"/>
    <s v="01.11.80.308.6100.0000"/>
    <n v="7129.94"/>
    <s v="11"/>
    <s v="6100"/>
    <n v="14296.22"/>
    <n v="7129.94"/>
    <s v="CREDITOR"/>
    <n v="0"/>
    <n v="0"/>
    <n v="0"/>
    <n v="0"/>
    <n v="7129.94"/>
  </r>
  <r>
    <n v="60527221"/>
    <s v="N"/>
    <n v="21330946"/>
    <s v="3000014798750015"/>
    <s v="CIVIL"/>
    <d v="2023-06-22T00:00:00"/>
    <d v="2023-07-05T19:01:47"/>
    <m/>
    <d v="2023-07-05T00:00:00"/>
    <n v="1263"/>
    <n v="19374"/>
    <s v="60527221"/>
    <s v="60527221"/>
    <m/>
    <m/>
    <n v="22744048"/>
    <m/>
    <m/>
    <m/>
    <s v="SOLFIN"/>
    <s v="SOLFIN"/>
    <s v="CCMS"/>
    <n v="21330946"/>
    <n v="22446.61"/>
    <m/>
    <s v="N"/>
    <n v="9"/>
    <d v="2023-07-05T19:01:59"/>
    <s v="Y"/>
    <s v="Final Hearing - 4 Days"/>
    <s v="Public Law Children"/>
    <s v="Advocacy"/>
    <s v="CS"/>
    <s v="Y"/>
    <n v="3341.28"/>
    <n v="668.25"/>
    <x v="6"/>
    <s v="VALIDATED"/>
    <n v="1"/>
    <s v="01.11.80.308.6100.0000"/>
    <n v="3341.28"/>
    <s v="11"/>
    <s v="6100"/>
    <n v="14296.22"/>
    <n v="3341.28"/>
    <s v="CREDITOR"/>
    <n v="0"/>
    <n v="0"/>
    <n v="0"/>
    <n v="0"/>
    <n v="3341.28"/>
  </r>
  <r>
    <n v="60527221"/>
    <s v="N"/>
    <n v="21333964"/>
    <s v="3000014798750002RC"/>
    <s v="CIVIL"/>
    <d v="2023-06-22T00:00:00"/>
    <d v="2023-07-05T19:42:28"/>
    <m/>
    <d v="2023-07-05T00:00:00"/>
    <n v="1263"/>
    <n v="19374"/>
    <s v="60527221"/>
    <s v="60527221"/>
    <m/>
    <m/>
    <m/>
    <m/>
    <m/>
    <m/>
    <s v="SOLRECOUP"/>
    <s v="SOLRECOUP"/>
    <s v="POARECOUP"/>
    <n v="21333964"/>
    <n v="-167"/>
    <m/>
    <s v="Y"/>
    <n v="2"/>
    <d v="2023-07-05T19:42:29"/>
    <s v="N"/>
    <m/>
    <m/>
    <s v="Non Expert Disbursement"/>
    <m/>
    <s v="N"/>
    <n v="0"/>
    <n v="0"/>
    <x v="6"/>
    <s v="VALIDATED"/>
    <n v="1"/>
    <s v="01.11.80.000.0000.0000"/>
    <n v="0"/>
    <s v="11"/>
    <s v="0000"/>
    <n v="14296.22"/>
    <n v="0"/>
    <s v="CREDITOR"/>
    <n v="0"/>
    <n v="0"/>
    <n v="0"/>
    <n v="0"/>
    <n v="0"/>
  </r>
  <r>
    <n v="60527221"/>
    <s v="N"/>
    <n v="21333965"/>
    <s v="3000014798750014RC"/>
    <s v="CIVIL"/>
    <d v="2023-06-22T00:00:00"/>
    <d v="2023-07-05T19:42:28"/>
    <m/>
    <d v="2023-07-05T00:00:00"/>
    <n v="1263"/>
    <n v="19374"/>
    <s v="60527221"/>
    <s v="60527221"/>
    <m/>
    <m/>
    <m/>
    <m/>
    <m/>
    <m/>
    <s v="SOLRECOUP"/>
    <s v="SOLRECOUP"/>
    <s v="POARECOUP"/>
    <n v="21333965"/>
    <n v="-631.16"/>
    <m/>
    <s v="Y"/>
    <n v="1"/>
    <d v="2023-07-05T19:42:29"/>
    <s v="N"/>
    <m/>
    <m/>
    <s v="Non Expert Disbursement"/>
    <m/>
    <s v="N"/>
    <n v="-525.97"/>
    <n v="0"/>
    <x v="6"/>
    <s v="VALIDATED"/>
    <n v="1"/>
    <s v="01.11.80.308.2013.0000"/>
    <n v="-525.97"/>
    <s v="11"/>
    <s v="2013"/>
    <n v="14296.22"/>
    <n v="-525.97"/>
    <s v="CREDITOR"/>
    <n v="0"/>
    <n v="0"/>
    <n v="-525.97"/>
    <n v="0"/>
    <n v="0"/>
  </r>
  <r>
    <n v="60527221"/>
    <s v="N"/>
    <n v="21333965"/>
    <s v="3000014798750014RC"/>
    <s v="CIVIL"/>
    <d v="2023-06-22T00:00:00"/>
    <d v="2023-07-05T19:42:28"/>
    <m/>
    <d v="2023-07-05T00:00:00"/>
    <n v="1263"/>
    <n v="19374"/>
    <s v="60527221"/>
    <s v="60527221"/>
    <m/>
    <m/>
    <m/>
    <m/>
    <m/>
    <m/>
    <s v="SOLRECOUP"/>
    <s v="SOLRECOUP"/>
    <s v="POARECOUP"/>
    <n v="21333965"/>
    <n v="-631.16"/>
    <m/>
    <s v="Y"/>
    <n v="2"/>
    <d v="2023-07-05T19:42:29"/>
    <s v="N"/>
    <m/>
    <m/>
    <s v="Non Expert Disbursement"/>
    <m/>
    <s v="N"/>
    <n v="0"/>
    <n v="-105.19"/>
    <x v="6"/>
    <s v="VALIDATED"/>
    <n v="1"/>
    <s v="01.11.80.308.2013.0000"/>
    <n v="-105.19"/>
    <s v="11"/>
    <s v="2013"/>
    <n v="14296.22"/>
    <n v="-105.19"/>
    <s v="CREDITOR"/>
    <n v="0"/>
    <n v="0"/>
    <n v="-105.19"/>
    <n v="0"/>
    <n v="0"/>
  </r>
  <r>
    <n v="60527221"/>
    <s v="N"/>
    <n v="21333966"/>
    <s v="3000014798750006RC"/>
    <s v="CIVIL"/>
    <d v="2023-06-22T00:00:00"/>
    <d v="2023-07-05T19:42:28"/>
    <m/>
    <d v="2023-07-05T00:00:00"/>
    <n v="1263"/>
    <n v="19374"/>
    <s v="60527221"/>
    <s v="60527221"/>
    <m/>
    <m/>
    <m/>
    <m/>
    <m/>
    <m/>
    <s v="SOLRECOUP"/>
    <s v="SOLRECOUP"/>
    <s v="POARECOUP"/>
    <n v="21333966"/>
    <n v="-2506.4"/>
    <m/>
    <s v="Y"/>
    <n v="1"/>
    <d v="2023-07-05T19:42:29"/>
    <s v="N"/>
    <m/>
    <m/>
    <s v="Profit Cost"/>
    <m/>
    <s v="N"/>
    <n v="-2088.67"/>
    <n v="0"/>
    <x v="6"/>
    <s v="VALIDATED"/>
    <n v="1"/>
    <s v="01.11.80.308.2013.0000"/>
    <n v="-2088.67"/>
    <s v="11"/>
    <s v="2013"/>
    <n v="14296.22"/>
    <n v="-2088.67"/>
    <s v="CREDITOR"/>
    <n v="0"/>
    <n v="0"/>
    <n v="-2088.67"/>
    <n v="-522.1675"/>
    <n v="0"/>
  </r>
  <r>
    <n v="60527221"/>
    <s v="N"/>
    <n v="21333966"/>
    <s v="3000014798750006RC"/>
    <s v="CIVIL"/>
    <d v="2023-06-22T00:00:00"/>
    <d v="2023-07-05T19:42:28"/>
    <m/>
    <d v="2023-07-05T00:00:00"/>
    <n v="1263"/>
    <n v="19374"/>
    <s v="60527221"/>
    <s v="60527221"/>
    <m/>
    <m/>
    <m/>
    <m/>
    <m/>
    <m/>
    <s v="SOLRECOUP"/>
    <s v="SOLRECOUP"/>
    <s v="POARECOUP"/>
    <n v="21333966"/>
    <n v="-2506.4"/>
    <m/>
    <s v="Y"/>
    <n v="2"/>
    <d v="2023-07-05T19:42:29"/>
    <s v="N"/>
    <m/>
    <m/>
    <s v="Profit Cost"/>
    <m/>
    <s v="N"/>
    <n v="0"/>
    <n v="-417.73"/>
    <x v="6"/>
    <s v="VALIDATED"/>
    <n v="1"/>
    <s v="01.11.80.308.2013.0000"/>
    <n v="-417.73"/>
    <s v="11"/>
    <s v="2013"/>
    <n v="14296.22"/>
    <n v="-417.73"/>
    <s v="CREDITOR"/>
    <n v="0"/>
    <n v="0"/>
    <n v="-417.73"/>
    <n v="-104.4325"/>
    <n v="0"/>
  </r>
  <r>
    <n v="60527221"/>
    <s v="N"/>
    <n v="21333967"/>
    <s v="3000014798750007RC"/>
    <s v="CIVIL"/>
    <d v="2023-06-22T00:00:00"/>
    <d v="2023-07-05T19:42:28"/>
    <m/>
    <d v="2023-07-05T00:00:00"/>
    <n v="1263"/>
    <n v="19374"/>
    <s v="60527221"/>
    <s v="60527221"/>
    <m/>
    <m/>
    <m/>
    <m/>
    <m/>
    <m/>
    <s v="SOLRECOUP"/>
    <s v="SOLRECOUP"/>
    <s v="POARECOUP"/>
    <n v="21333967"/>
    <n v="-167"/>
    <m/>
    <s v="Y"/>
    <n v="1"/>
    <d v="2023-07-05T19:42:29"/>
    <s v="N"/>
    <m/>
    <m/>
    <s v="Non Expert Disbursement"/>
    <m/>
    <s v="N"/>
    <n v="-167"/>
    <n v="0"/>
    <x v="6"/>
    <s v="VALIDATED"/>
    <n v="1"/>
    <s v="01.11.80.308.2013.0000"/>
    <n v="-167"/>
    <s v="11"/>
    <s v="2013"/>
    <n v="14296.22"/>
    <n v="-167"/>
    <s v="CREDITOR"/>
    <n v="0"/>
    <n v="0"/>
    <n v="-167"/>
    <n v="0"/>
    <n v="0"/>
  </r>
  <r>
    <n v="60527221"/>
    <s v="N"/>
    <n v="21333967"/>
    <s v="3000014798750007RC"/>
    <s v="CIVIL"/>
    <d v="2023-06-22T00:00:00"/>
    <d v="2023-07-05T19:42:28"/>
    <m/>
    <d v="2023-07-05T00:00:00"/>
    <n v="1263"/>
    <n v="19374"/>
    <s v="60527221"/>
    <s v="60527221"/>
    <m/>
    <m/>
    <m/>
    <m/>
    <m/>
    <m/>
    <s v="SOLRECOUP"/>
    <s v="SOLRECOUP"/>
    <s v="POARECOUP"/>
    <n v="21333967"/>
    <n v="-167"/>
    <m/>
    <s v="Y"/>
    <n v="2"/>
    <d v="2023-07-05T19:42:29"/>
    <s v="N"/>
    <m/>
    <m/>
    <s v="Non Expert Disbursement"/>
    <m/>
    <s v="N"/>
    <n v="0"/>
    <n v="0"/>
    <x v="6"/>
    <s v="VALIDATED"/>
    <n v="1"/>
    <s v="01.11.80.000.0000.0000"/>
    <n v="0"/>
    <s v="11"/>
    <s v="0000"/>
    <n v="14296.22"/>
    <n v="0"/>
    <s v="CREDITOR"/>
    <n v="0"/>
    <n v="0"/>
    <n v="0"/>
    <n v="0"/>
    <n v="0"/>
  </r>
  <r>
    <n v="60527221"/>
    <s v="N"/>
    <n v="21333968"/>
    <s v="3000014798750009RC"/>
    <s v="CIVIL"/>
    <d v="2023-06-22T00:00:00"/>
    <d v="2023-07-05T19:42:28"/>
    <m/>
    <d v="2023-07-05T00:00:00"/>
    <n v="1263"/>
    <n v="19374"/>
    <s v="60527221"/>
    <s v="60527221"/>
    <m/>
    <m/>
    <m/>
    <m/>
    <m/>
    <m/>
    <s v="SOLRECOUP"/>
    <s v="SOLRECOUP"/>
    <s v="POARECOUP"/>
    <n v="21333968"/>
    <n v="-167"/>
    <m/>
    <s v="Y"/>
    <n v="1"/>
    <d v="2023-07-05T19:42:29"/>
    <s v="N"/>
    <m/>
    <m/>
    <s v="Non Expert Disbursement"/>
    <m/>
    <s v="N"/>
    <n v="-167"/>
    <n v="0"/>
    <x v="6"/>
    <s v="VALIDATED"/>
    <n v="1"/>
    <s v="01.11.80.308.2013.0000"/>
    <n v="-167"/>
    <s v="11"/>
    <s v="2013"/>
    <n v="14296.22"/>
    <n v="-167"/>
    <s v="CREDITOR"/>
    <n v="0"/>
    <n v="0"/>
    <n v="-167"/>
    <n v="0"/>
    <n v="0"/>
  </r>
  <r>
    <n v="60527221"/>
    <s v="N"/>
    <n v="21333968"/>
    <s v="3000014798750009RC"/>
    <s v="CIVIL"/>
    <d v="2023-06-22T00:00:00"/>
    <d v="2023-07-05T19:42:28"/>
    <m/>
    <d v="2023-07-05T00:00:00"/>
    <n v="1263"/>
    <n v="19374"/>
    <s v="60527221"/>
    <s v="60527221"/>
    <m/>
    <m/>
    <m/>
    <m/>
    <m/>
    <m/>
    <s v="SOLRECOUP"/>
    <s v="SOLRECOUP"/>
    <s v="POARECOUP"/>
    <n v="21333968"/>
    <n v="-167"/>
    <m/>
    <s v="Y"/>
    <n v="2"/>
    <d v="2023-07-05T19:42:29"/>
    <s v="N"/>
    <m/>
    <m/>
    <s v="Non Expert Disbursement"/>
    <m/>
    <s v="N"/>
    <n v="0"/>
    <n v="0"/>
    <x v="6"/>
    <s v="VALIDATED"/>
    <n v="1"/>
    <s v="01.11.80.000.0000.0000"/>
    <n v="0"/>
    <s v="11"/>
    <s v="0000"/>
    <n v="14296.22"/>
    <n v="0"/>
    <s v="CREDITOR"/>
    <n v="0"/>
    <n v="0"/>
    <n v="0"/>
    <n v="0"/>
    <n v="0"/>
  </r>
  <r>
    <n v="60527221"/>
    <s v="N"/>
    <n v="21333969"/>
    <s v="3000014798750013RC"/>
    <s v="CIVIL"/>
    <d v="2023-06-22T00:00:00"/>
    <d v="2023-07-05T19:42:28"/>
    <m/>
    <d v="2023-07-05T00:00:00"/>
    <n v="1263"/>
    <n v="19374"/>
    <s v="60527221"/>
    <s v="60527221"/>
    <m/>
    <m/>
    <m/>
    <m/>
    <m/>
    <m/>
    <s v="SOLRECOUP"/>
    <s v="SOLRECOUP"/>
    <s v="POARECOUP"/>
    <n v="21333969"/>
    <n v="-112"/>
    <m/>
    <s v="Y"/>
    <n v="1"/>
    <d v="2023-07-05T19:42:29"/>
    <s v="N"/>
    <m/>
    <m/>
    <s v="Expert Disbursement"/>
    <m/>
    <s v="N"/>
    <n v="-93.33"/>
    <n v="0"/>
    <x v="6"/>
    <s v="VALIDATED"/>
    <n v="1"/>
    <s v="01.11.80.308.2013.0000"/>
    <n v="-93.33"/>
    <s v="11"/>
    <s v="2013"/>
    <n v="14296.22"/>
    <n v="-93.33"/>
    <s v="CREDITOR"/>
    <n v="0"/>
    <n v="0"/>
    <n v="-93.33"/>
    <n v="0"/>
    <n v="0"/>
  </r>
  <r>
    <n v="60527221"/>
    <s v="N"/>
    <n v="21333969"/>
    <s v="3000014798750013RC"/>
    <s v="CIVIL"/>
    <d v="2023-06-22T00:00:00"/>
    <d v="2023-07-05T19:42:28"/>
    <m/>
    <d v="2023-07-05T00:00:00"/>
    <n v="1263"/>
    <n v="19374"/>
    <s v="60527221"/>
    <s v="60527221"/>
    <m/>
    <m/>
    <m/>
    <m/>
    <m/>
    <m/>
    <s v="SOLRECOUP"/>
    <s v="SOLRECOUP"/>
    <s v="POARECOUP"/>
    <n v="21333969"/>
    <n v="-112"/>
    <m/>
    <s v="Y"/>
    <n v="2"/>
    <d v="2023-07-05T19:42:29"/>
    <s v="N"/>
    <m/>
    <m/>
    <s v="Expert Disbursement"/>
    <m/>
    <s v="N"/>
    <n v="0"/>
    <n v="-18.67"/>
    <x v="6"/>
    <s v="VALIDATED"/>
    <n v="1"/>
    <s v="01.11.80.308.2013.0000"/>
    <n v="-18.67"/>
    <s v="11"/>
    <s v="2013"/>
    <n v="14296.22"/>
    <n v="-18.67"/>
    <s v="CREDITOR"/>
    <n v="0"/>
    <n v="0"/>
    <n v="-18.67"/>
    <n v="0"/>
    <n v="0"/>
  </r>
  <r>
    <n v="60527221"/>
    <s v="N"/>
    <n v="21333970"/>
    <s v="3000014798750011RC"/>
    <s v="CIVIL"/>
    <d v="2023-06-22T00:00:00"/>
    <d v="2023-07-05T19:42:28"/>
    <m/>
    <d v="2023-07-05T00:00:00"/>
    <n v="1263"/>
    <n v="19374"/>
    <s v="60527221"/>
    <s v="60527221"/>
    <m/>
    <m/>
    <m/>
    <m/>
    <m/>
    <m/>
    <s v="SOLRECOUP"/>
    <s v="SOLRECOUP"/>
    <s v="POARECOUP"/>
    <n v="21333970"/>
    <n v="-167"/>
    <m/>
    <s v="Y"/>
    <n v="1"/>
    <d v="2023-07-05T19:42:29"/>
    <s v="N"/>
    <m/>
    <m/>
    <s v="Non Expert Disbursement"/>
    <m/>
    <s v="N"/>
    <n v="-167"/>
    <n v="0"/>
    <x v="6"/>
    <s v="VALIDATED"/>
    <n v="1"/>
    <s v="01.11.80.308.2013.0000"/>
    <n v="-167"/>
    <s v="11"/>
    <s v="2013"/>
    <n v="14296.22"/>
    <n v="-167"/>
    <s v="CREDITOR"/>
    <n v="0"/>
    <n v="0"/>
    <n v="-167"/>
    <n v="0"/>
    <n v="0"/>
  </r>
  <r>
    <n v="60527221"/>
    <s v="N"/>
    <n v="21333970"/>
    <s v="3000014798750011RC"/>
    <s v="CIVIL"/>
    <d v="2023-06-22T00:00:00"/>
    <d v="2023-07-05T19:42:28"/>
    <m/>
    <d v="2023-07-05T00:00:00"/>
    <n v="1263"/>
    <n v="19374"/>
    <s v="60527221"/>
    <s v="60527221"/>
    <m/>
    <m/>
    <m/>
    <m/>
    <m/>
    <m/>
    <s v="SOLRECOUP"/>
    <s v="SOLRECOUP"/>
    <s v="POARECOUP"/>
    <n v="21333970"/>
    <n v="-167"/>
    <m/>
    <s v="Y"/>
    <n v="2"/>
    <d v="2023-07-05T19:42:29"/>
    <s v="N"/>
    <m/>
    <m/>
    <s v="Non Expert Disbursement"/>
    <m/>
    <s v="N"/>
    <n v="0"/>
    <n v="0"/>
    <x v="6"/>
    <s v="VALIDATED"/>
    <n v="1"/>
    <s v="01.11.80.000.0000.0000"/>
    <n v="0"/>
    <s v="11"/>
    <s v="0000"/>
    <n v="14296.22"/>
    <n v="0"/>
    <s v="CREDITOR"/>
    <n v="0"/>
    <n v="0"/>
    <n v="0"/>
    <n v="0"/>
    <n v="0"/>
  </r>
  <r>
    <n v="60527221"/>
    <s v="N"/>
    <n v="21333971"/>
    <s v="3000014798750012RC"/>
    <s v="CIVIL"/>
    <d v="2023-06-22T00:00:00"/>
    <d v="2023-07-05T19:42:28"/>
    <m/>
    <d v="2023-07-05T00:00:00"/>
    <n v="1263"/>
    <n v="19374"/>
    <s v="60527221"/>
    <s v="60527221"/>
    <m/>
    <m/>
    <m/>
    <m/>
    <m/>
    <m/>
    <s v="SOLRECOUP"/>
    <s v="SOLRECOUP"/>
    <s v="POARECOUP"/>
    <n v="21333971"/>
    <n v="-7225.49"/>
    <m/>
    <s v="Y"/>
    <n v="1"/>
    <d v="2023-07-05T19:42:29"/>
    <s v="N"/>
    <m/>
    <m/>
    <s v="Profit Cost"/>
    <m/>
    <s v="N"/>
    <n v="-6021.24"/>
    <n v="0"/>
    <x v="6"/>
    <s v="VALIDATED"/>
    <n v="1"/>
    <s v="01.11.80.308.2013.0000"/>
    <n v="-6021.24"/>
    <s v="11"/>
    <s v="2013"/>
    <n v="14296.22"/>
    <n v="-6021.24"/>
    <s v="CREDITOR"/>
    <n v="0"/>
    <n v="0"/>
    <n v="-6021.24"/>
    <n v="-1505.31"/>
    <n v="0"/>
  </r>
  <r>
    <n v="60527221"/>
    <s v="N"/>
    <n v="21333971"/>
    <s v="3000014798750012RC"/>
    <s v="CIVIL"/>
    <d v="2023-06-22T00:00:00"/>
    <d v="2023-07-05T19:42:28"/>
    <m/>
    <d v="2023-07-05T00:00:00"/>
    <n v="1263"/>
    <n v="19374"/>
    <s v="60527221"/>
    <s v="60527221"/>
    <m/>
    <m/>
    <m/>
    <m/>
    <m/>
    <m/>
    <s v="SOLRECOUP"/>
    <s v="SOLRECOUP"/>
    <s v="POARECOUP"/>
    <n v="21333971"/>
    <n v="-7225.49"/>
    <m/>
    <s v="Y"/>
    <n v="2"/>
    <d v="2023-07-05T19:42:29"/>
    <s v="N"/>
    <m/>
    <m/>
    <s v="Profit Cost"/>
    <m/>
    <s v="N"/>
    <n v="0"/>
    <n v="-1204.25"/>
    <x v="6"/>
    <s v="VALIDATED"/>
    <n v="1"/>
    <s v="01.11.80.308.2013.0000"/>
    <n v="-1204.25"/>
    <s v="11"/>
    <s v="2013"/>
    <n v="14296.22"/>
    <n v="-1204.25"/>
    <s v="CREDITOR"/>
    <n v="0"/>
    <n v="0"/>
    <n v="-1204.25"/>
    <n v="-301.0625"/>
    <n v="0"/>
  </r>
  <r>
    <n v="61487936"/>
    <s v="N"/>
    <n v="21350059"/>
    <s v="3000015613830006"/>
    <s v="CIVIL"/>
    <d v="2023-06-28T00:00:00"/>
    <d v="2023-07-10T19:01:40"/>
    <m/>
    <d v="2023-07-10T00:00:00"/>
    <n v="1263"/>
    <n v="19374"/>
    <s v="61487936"/>
    <s v="61487936"/>
    <m/>
    <m/>
    <n v="22779688"/>
    <m/>
    <m/>
    <m/>
    <s v="SOLFIN"/>
    <s v="SOLFIN"/>
    <s v="CCMS"/>
    <n v="21350059"/>
    <n v="13664.46"/>
    <m/>
    <s v="N"/>
    <n v="7"/>
    <d v="2023-07-10T19:02:12"/>
    <s v="Y"/>
    <s v="Hearing Unit 5.01 - 7.30 Hours"/>
    <s v="Public Law Children"/>
    <s v="Advocacy"/>
    <s v="SC"/>
    <s v="Y"/>
    <n v="715.38"/>
    <n v="143.08"/>
    <x v="2"/>
    <s v="VALIDATED"/>
    <n v="1"/>
    <s v="01.11.80.308.6100.0000"/>
    <n v="715.38"/>
    <s v="11"/>
    <s v="6100"/>
    <n v="14296.22"/>
    <n v="715.38"/>
    <s v="CREDITOR"/>
    <n v="0"/>
    <n v="0"/>
    <n v="0"/>
    <n v="0"/>
    <n v="715.38"/>
  </r>
  <r>
    <n v="60527221"/>
    <s v="N"/>
    <n v="21333963"/>
    <s v="3000014798750004RC"/>
    <s v="CIVIL"/>
    <d v="2023-06-22T00:00:00"/>
    <d v="2023-07-05T19:42:28"/>
    <m/>
    <d v="2023-07-05T00:00:00"/>
    <n v="1263"/>
    <n v="19374"/>
    <s v="60527221"/>
    <s v="60527221"/>
    <m/>
    <m/>
    <m/>
    <m/>
    <m/>
    <m/>
    <s v="SOLRECOUP"/>
    <s v="SOLRECOUP"/>
    <s v="POARECOUP"/>
    <n v="21333963"/>
    <n v="-2208"/>
    <m/>
    <s v="Y"/>
    <n v="1"/>
    <d v="2023-07-05T19:42:29"/>
    <s v="N"/>
    <m/>
    <m/>
    <s v="Profit Cost"/>
    <m/>
    <s v="N"/>
    <n v="-1840"/>
    <n v="0"/>
    <x v="6"/>
    <s v="VALIDATED"/>
    <n v="1"/>
    <s v="01.11.80.308.2013.0000"/>
    <n v="-1840"/>
    <s v="11"/>
    <s v="2013"/>
    <n v="14296.22"/>
    <n v="-1840"/>
    <s v="CREDITOR"/>
    <n v="0"/>
    <n v="0"/>
    <n v="-1840"/>
    <n v="-460"/>
    <n v="0"/>
  </r>
  <r>
    <n v="60527221"/>
    <s v="N"/>
    <n v="21333963"/>
    <s v="3000014798750004RC"/>
    <s v="CIVIL"/>
    <d v="2023-06-22T00:00:00"/>
    <d v="2023-07-05T19:42:28"/>
    <m/>
    <d v="2023-07-05T00:00:00"/>
    <n v="1263"/>
    <n v="19374"/>
    <s v="60527221"/>
    <s v="60527221"/>
    <m/>
    <m/>
    <m/>
    <m/>
    <m/>
    <m/>
    <s v="SOLRECOUP"/>
    <s v="SOLRECOUP"/>
    <s v="POARECOUP"/>
    <n v="21333963"/>
    <n v="-2208"/>
    <m/>
    <s v="Y"/>
    <n v="2"/>
    <d v="2023-07-05T19:42:29"/>
    <s v="N"/>
    <m/>
    <m/>
    <s v="Profit Cost"/>
    <m/>
    <s v="N"/>
    <n v="0"/>
    <n v="-368"/>
    <x v="6"/>
    <s v="VALIDATED"/>
    <n v="1"/>
    <s v="01.11.80.308.2013.0000"/>
    <n v="-368"/>
    <s v="11"/>
    <s v="2013"/>
    <n v="14296.22"/>
    <n v="-368"/>
    <s v="CREDITOR"/>
    <n v="0"/>
    <n v="0"/>
    <n v="-368"/>
    <n v="-92"/>
    <n v="0"/>
  </r>
  <r>
    <n v="60527221"/>
    <s v="N"/>
    <n v="21333964"/>
    <s v="3000014798750002RC"/>
    <s v="CIVIL"/>
    <d v="2023-06-22T00:00:00"/>
    <d v="2023-07-05T19:42:28"/>
    <m/>
    <d v="2023-07-05T00:00:00"/>
    <n v="1263"/>
    <n v="19374"/>
    <s v="60527221"/>
    <s v="60527221"/>
    <m/>
    <m/>
    <m/>
    <m/>
    <m/>
    <m/>
    <s v="SOLRECOUP"/>
    <s v="SOLRECOUP"/>
    <s v="POARECOUP"/>
    <n v="21333964"/>
    <n v="-167"/>
    <m/>
    <s v="Y"/>
    <n v="1"/>
    <d v="2023-07-05T19:42:29"/>
    <s v="N"/>
    <m/>
    <m/>
    <s v="Non Expert Disbursement"/>
    <m/>
    <s v="N"/>
    <n v="-167"/>
    <n v="0"/>
    <x v="6"/>
    <s v="VALIDATED"/>
    <n v="1"/>
    <s v="01.11.80.308.2013.0000"/>
    <n v="-167"/>
    <s v="11"/>
    <s v="2013"/>
    <n v="14296.22"/>
    <n v="-167"/>
    <s v="CREDITOR"/>
    <n v="0"/>
    <n v="0"/>
    <n v="-167"/>
    <n v="0"/>
    <n v="0"/>
  </r>
  <r>
    <n v="61487936"/>
    <s v="N"/>
    <n v="21356649"/>
    <s v="3000015613830003RC"/>
    <s v="CIVIL"/>
    <d v="2023-06-28T00:00:00"/>
    <d v="2023-07-10T19:47:44"/>
    <m/>
    <d v="2023-07-10T00:00:00"/>
    <n v="1263"/>
    <n v="19374"/>
    <s v="61487936"/>
    <s v="61487936"/>
    <m/>
    <m/>
    <m/>
    <m/>
    <m/>
    <m/>
    <s v="SOLRECOUP"/>
    <s v="SOLRECOUP"/>
    <s v="POARECOUP"/>
    <n v="21356649"/>
    <n v="-50.4"/>
    <m/>
    <s v="Y"/>
    <n v="2"/>
    <d v="2023-07-10T19:47:45"/>
    <s v="N"/>
    <m/>
    <m/>
    <s v="Expert Disbursement"/>
    <m/>
    <s v="N"/>
    <n v="0"/>
    <n v="0"/>
    <x v="2"/>
    <s v="VALIDATED"/>
    <n v="1"/>
    <s v="01.11.80.000.0000.0000"/>
    <n v="0"/>
    <s v="11"/>
    <s v="0000"/>
    <n v="14296.22"/>
    <n v="0"/>
    <s v="CREDITOR"/>
    <n v="0"/>
    <n v="0"/>
    <n v="0"/>
    <n v="0"/>
    <n v="0"/>
  </r>
  <r>
    <n v="61487936"/>
    <s v="N"/>
    <n v="21356649"/>
    <s v="3000015613830003RC"/>
    <s v="CIVIL"/>
    <d v="2023-06-28T00:00:00"/>
    <d v="2023-07-10T19:47:44"/>
    <m/>
    <d v="2023-07-10T00:00:00"/>
    <n v="1263"/>
    <n v="19374"/>
    <s v="61487936"/>
    <s v="61487936"/>
    <m/>
    <m/>
    <m/>
    <m/>
    <m/>
    <m/>
    <s v="SOLRECOUP"/>
    <s v="SOLRECOUP"/>
    <s v="POARECOUP"/>
    <n v="21356649"/>
    <n v="-50.4"/>
    <m/>
    <s v="Y"/>
    <n v="1"/>
    <d v="2023-07-10T19:47:45"/>
    <s v="N"/>
    <m/>
    <m/>
    <s v="Expert Disbursement"/>
    <m/>
    <s v="N"/>
    <n v="-50.4"/>
    <n v="0"/>
    <x v="2"/>
    <s v="VALIDATED"/>
    <n v="1"/>
    <s v="01.11.80.308.2013.0000"/>
    <n v="-50.4"/>
    <s v="11"/>
    <s v="2013"/>
    <n v="14296.22"/>
    <n v="-50.4"/>
    <s v="CREDITOR"/>
    <n v="0"/>
    <n v="0"/>
    <n v="-50.4"/>
    <n v="0"/>
    <n v="0"/>
  </r>
  <r>
    <n v="61487936"/>
    <s v="N"/>
    <n v="21356650"/>
    <s v="3000015613830001RC"/>
    <s v="CIVIL"/>
    <d v="2023-06-28T00:00:00"/>
    <d v="2023-07-10T19:47:44"/>
    <m/>
    <d v="2023-07-10T00:00:00"/>
    <n v="1263"/>
    <n v="19374"/>
    <s v="61487936"/>
    <s v="61487936"/>
    <m/>
    <m/>
    <m/>
    <m/>
    <m/>
    <m/>
    <s v="SOLRECOUP"/>
    <s v="SOLRECOUP"/>
    <s v="POARECOUP"/>
    <n v="21356650"/>
    <n v="-167"/>
    <m/>
    <s v="Y"/>
    <n v="2"/>
    <d v="2023-07-10T19:47:45"/>
    <s v="N"/>
    <m/>
    <m/>
    <s v="Non Expert Disbursement"/>
    <m/>
    <s v="N"/>
    <n v="0"/>
    <n v="0"/>
    <x v="2"/>
    <s v="VALIDATED"/>
    <n v="1"/>
    <s v="01.11.80.000.0000.0000"/>
    <n v="0"/>
    <s v="11"/>
    <s v="0000"/>
    <n v="14296.22"/>
    <n v="0"/>
    <s v="CREDITOR"/>
    <n v="0"/>
    <n v="0"/>
    <n v="0"/>
    <n v="0"/>
    <n v="0"/>
  </r>
  <r>
    <n v="61487936"/>
    <s v="N"/>
    <n v="21356650"/>
    <s v="3000015613830001RC"/>
    <s v="CIVIL"/>
    <d v="2023-06-28T00:00:00"/>
    <d v="2023-07-10T19:47:44"/>
    <m/>
    <d v="2023-07-10T00:00:00"/>
    <n v="1263"/>
    <n v="19374"/>
    <s v="61487936"/>
    <s v="61487936"/>
    <m/>
    <m/>
    <m/>
    <m/>
    <m/>
    <m/>
    <s v="SOLRECOUP"/>
    <s v="SOLRECOUP"/>
    <s v="POARECOUP"/>
    <n v="21356650"/>
    <n v="-167"/>
    <m/>
    <s v="Y"/>
    <n v="1"/>
    <d v="2023-07-10T19:47:45"/>
    <s v="N"/>
    <m/>
    <m/>
    <s v="Non Expert Disbursement"/>
    <m/>
    <s v="N"/>
    <n v="-167"/>
    <n v="0"/>
    <x v="2"/>
    <s v="VALIDATED"/>
    <n v="1"/>
    <s v="01.11.80.308.2013.0000"/>
    <n v="-167"/>
    <s v="11"/>
    <s v="2013"/>
    <n v="14296.22"/>
    <n v="-167"/>
    <s v="CREDITOR"/>
    <n v="0"/>
    <n v="0"/>
    <n v="-167"/>
    <n v="0"/>
    <n v="0"/>
  </r>
  <r>
    <n v="61487936"/>
    <s v="N"/>
    <n v="21356651"/>
    <s v="3000015613830004RC"/>
    <s v="CIVIL"/>
    <d v="2023-06-28T00:00:00"/>
    <d v="2023-07-10T19:47:44"/>
    <m/>
    <d v="2023-07-10T00:00:00"/>
    <n v="1263"/>
    <n v="19374"/>
    <s v="61487936"/>
    <s v="61487936"/>
    <m/>
    <m/>
    <m/>
    <m/>
    <m/>
    <m/>
    <s v="SOLRECOUP"/>
    <s v="SOLRECOUP"/>
    <s v="POARECOUP"/>
    <n v="21356651"/>
    <n v="-3714.89"/>
    <m/>
    <s v="Y"/>
    <n v="2"/>
    <d v="2023-07-10T19:47:45"/>
    <s v="N"/>
    <m/>
    <m/>
    <s v="Profit Cost"/>
    <m/>
    <s v="N"/>
    <n v="0"/>
    <n v="-619.15"/>
    <x v="2"/>
    <s v="VALIDATED"/>
    <n v="1"/>
    <s v="01.11.80.308.2013.0000"/>
    <n v="-619.15"/>
    <s v="11"/>
    <s v="2013"/>
    <n v="14296.22"/>
    <n v="-619.15"/>
    <s v="CREDITOR"/>
    <n v="0"/>
    <n v="0"/>
    <n v="-619.15"/>
    <n v="-154.7875"/>
    <n v="0"/>
  </r>
  <r>
    <n v="61487936"/>
    <s v="N"/>
    <n v="21356651"/>
    <s v="3000015613830004RC"/>
    <s v="CIVIL"/>
    <d v="2023-06-28T00:00:00"/>
    <d v="2023-07-10T19:47:44"/>
    <m/>
    <d v="2023-07-10T00:00:00"/>
    <n v="1263"/>
    <n v="19374"/>
    <s v="61487936"/>
    <s v="61487936"/>
    <m/>
    <m/>
    <m/>
    <m/>
    <m/>
    <m/>
    <s v="SOLRECOUP"/>
    <s v="SOLRECOUP"/>
    <s v="POARECOUP"/>
    <n v="21356651"/>
    <n v="-3714.89"/>
    <m/>
    <s v="Y"/>
    <n v="1"/>
    <d v="2023-07-10T19:47:45"/>
    <s v="N"/>
    <m/>
    <m/>
    <s v="Profit Cost"/>
    <m/>
    <s v="N"/>
    <n v="-3095.74"/>
    <n v="0"/>
    <x v="2"/>
    <s v="VALIDATED"/>
    <n v="1"/>
    <s v="01.11.80.308.2013.0000"/>
    <n v="-3095.74"/>
    <s v="11"/>
    <s v="2013"/>
    <n v="14296.22"/>
    <n v="-3095.74"/>
    <s v="CREDITOR"/>
    <n v="0"/>
    <n v="0"/>
    <n v="-3095.74"/>
    <n v="-773.9349999999999"/>
    <n v="0"/>
  </r>
  <r>
    <n v="61487936"/>
    <s v="N"/>
    <n v="21356652"/>
    <s v="3000015613830002RC"/>
    <s v="CIVIL"/>
    <d v="2023-06-28T00:00:00"/>
    <d v="2023-07-10T19:47:44"/>
    <m/>
    <d v="2023-07-10T00:00:00"/>
    <n v="1263"/>
    <n v="19374"/>
    <s v="61487936"/>
    <s v="61487936"/>
    <m/>
    <m/>
    <m/>
    <m/>
    <m/>
    <m/>
    <s v="SOLRECOUP"/>
    <s v="SOLRECOUP"/>
    <s v="POARECOUP"/>
    <n v="21356652"/>
    <n v="-167"/>
    <m/>
    <s v="Y"/>
    <n v="2"/>
    <d v="2023-07-10T19:47:45"/>
    <s v="N"/>
    <m/>
    <m/>
    <s v="Non Expert Disbursement"/>
    <m/>
    <s v="N"/>
    <n v="0"/>
    <n v="0"/>
    <x v="2"/>
    <s v="VALIDATED"/>
    <n v="1"/>
    <s v="01.11.80.000.0000.0000"/>
    <n v="0"/>
    <s v="11"/>
    <s v="0000"/>
    <n v="14296.22"/>
    <n v="0"/>
    <s v="CREDITOR"/>
    <n v="0"/>
    <n v="0"/>
    <n v="0"/>
    <n v="0"/>
    <n v="0"/>
  </r>
  <r>
    <n v="61487936"/>
    <s v="N"/>
    <n v="21356652"/>
    <s v="3000015613830002RC"/>
    <s v="CIVIL"/>
    <d v="2023-06-28T00:00:00"/>
    <d v="2023-07-10T19:47:44"/>
    <m/>
    <d v="2023-07-10T00:00:00"/>
    <n v="1263"/>
    <n v="19374"/>
    <s v="61487936"/>
    <s v="61487936"/>
    <m/>
    <m/>
    <m/>
    <m/>
    <m/>
    <m/>
    <s v="SOLRECOUP"/>
    <s v="SOLRECOUP"/>
    <s v="POARECOUP"/>
    <n v="21356652"/>
    <n v="-167"/>
    <m/>
    <s v="Y"/>
    <n v="1"/>
    <d v="2023-07-10T19:47:45"/>
    <s v="N"/>
    <m/>
    <m/>
    <s v="Non Expert Disbursement"/>
    <m/>
    <s v="N"/>
    <n v="-167"/>
    <n v="0"/>
    <x v="2"/>
    <s v="VALIDATED"/>
    <n v="1"/>
    <s v="01.11.80.308.2013.0000"/>
    <n v="-167"/>
    <s v="11"/>
    <s v="2013"/>
    <n v="14296.22"/>
    <n v="-167"/>
    <s v="CREDITOR"/>
    <n v="0"/>
    <n v="0"/>
    <n v="-167"/>
    <n v="0"/>
    <n v="0"/>
  </r>
  <r>
    <n v="61487936"/>
    <s v="N"/>
    <n v="21356653"/>
    <s v="3000015613830005RC"/>
    <s v="CIVIL"/>
    <d v="2023-06-28T00:00:00"/>
    <d v="2023-07-10T19:47:44"/>
    <m/>
    <d v="2023-07-10T00:00:00"/>
    <n v="1263"/>
    <n v="19374"/>
    <s v="61487936"/>
    <s v="61487936"/>
    <m/>
    <m/>
    <m/>
    <m/>
    <m/>
    <m/>
    <s v="SOLRECOUP"/>
    <s v="SOLRECOUP"/>
    <s v="POARECOUP"/>
    <n v="21356653"/>
    <n v="-669.96"/>
    <m/>
    <s v="Y"/>
    <n v="1"/>
    <d v="2023-07-10T19:47:45"/>
    <s v="N"/>
    <m/>
    <m/>
    <s v="Profit Cost"/>
    <m/>
    <s v="N"/>
    <n v="-558.3"/>
    <n v="0"/>
    <x v="2"/>
    <s v="VALIDATED"/>
    <n v="1"/>
    <s v="01.11.80.308.2013.0000"/>
    <n v="-558.3"/>
    <s v="11"/>
    <s v="2013"/>
    <n v="14296.22"/>
    <n v="-558.3"/>
    <s v="CREDITOR"/>
    <n v="0"/>
    <n v="0"/>
    <n v="-558.3"/>
    <n v="-139.575"/>
    <n v="0"/>
  </r>
  <r>
    <n v="61487936"/>
    <s v="N"/>
    <n v="21356653"/>
    <s v="3000015613830005RC"/>
    <s v="CIVIL"/>
    <d v="2023-06-28T00:00:00"/>
    <d v="2023-07-10T19:47:44"/>
    <m/>
    <d v="2023-07-10T00:00:00"/>
    <n v="1263"/>
    <n v="19374"/>
    <s v="61487936"/>
    <s v="61487936"/>
    <m/>
    <m/>
    <m/>
    <m/>
    <m/>
    <m/>
    <s v="SOLRECOUP"/>
    <s v="SOLRECOUP"/>
    <s v="POARECOUP"/>
    <n v="21356653"/>
    <n v="-669.96"/>
    <m/>
    <s v="Y"/>
    <n v="2"/>
    <d v="2023-07-10T19:47:45"/>
    <s v="N"/>
    <m/>
    <m/>
    <s v="Profit Cost"/>
    <m/>
    <s v="N"/>
    <n v="0"/>
    <n v="-111.66"/>
    <x v="2"/>
    <s v="VALIDATED"/>
    <n v="1"/>
    <s v="01.11.80.308.2013.0000"/>
    <n v="-111.66"/>
    <s v="11"/>
    <s v="2013"/>
    <n v="14296.22"/>
    <n v="-111.66"/>
    <s v="CREDITOR"/>
    <n v="0"/>
    <n v="0"/>
    <n v="-111.66"/>
    <n v="-27.915"/>
    <n v="0"/>
  </r>
  <r>
    <n v="60973169"/>
    <s v="N"/>
    <n v="21331227"/>
    <s v="3000015184160005"/>
    <s v="CIVIL"/>
    <d v="2023-06-30T00:00:00"/>
    <d v="2023-07-05T19:01:47"/>
    <m/>
    <d v="2023-07-05T00:00:00"/>
    <n v="1264"/>
    <n v="19385"/>
    <s v="60973169"/>
    <s v="60973169"/>
    <m/>
    <m/>
    <n v="22797308"/>
    <m/>
    <m/>
    <m/>
    <s v="SOLFIN"/>
    <s v="SOLFIN"/>
    <s v="CCMS"/>
    <n v="21331227"/>
    <n v="4560.85"/>
    <m/>
    <s v="N"/>
    <n v="4"/>
    <d v="2023-07-05T19:02:11"/>
    <s v="Y"/>
    <s v="Hearing Unit 1.01 - 2.30 Hours"/>
    <s v="Public Law Children"/>
    <s v="Advocacy"/>
    <s v="SM"/>
    <s v="Y"/>
    <n v="238.46"/>
    <n v="47.69"/>
    <x v="6"/>
    <s v="VALIDATED"/>
    <n v="1"/>
    <s v="01.11.80.308.6100.0000"/>
    <n v="238.46"/>
    <s v="11"/>
    <s v="6100"/>
    <n v="302.8"/>
    <n v="238.46"/>
    <s v="CREDITOR"/>
    <n v="0"/>
    <n v="0"/>
    <n v="0"/>
    <n v="0"/>
    <n v="238.46"/>
  </r>
  <r>
    <n v="60973169"/>
    <s v="N"/>
    <n v="21331227"/>
    <s v="3000015184160005"/>
    <s v="CIVIL"/>
    <d v="2023-06-30T00:00:00"/>
    <d v="2023-07-05T19:01:47"/>
    <m/>
    <d v="2023-07-05T00:00:00"/>
    <n v="1264"/>
    <n v="19385"/>
    <s v="60973169"/>
    <s v="60973169"/>
    <m/>
    <m/>
    <n v="22797308"/>
    <m/>
    <m/>
    <m/>
    <s v="SOLFIN"/>
    <s v="SOLFIN"/>
    <s v="CCMS"/>
    <n v="21331227"/>
    <n v="4560.85"/>
    <m/>
    <s v="N"/>
    <n v="2"/>
    <d v="2023-07-05T19:02:11"/>
    <s v="Y"/>
    <s v="Toxicologist"/>
    <s v="Public Law Children"/>
    <s v="Expert Disbursement"/>
    <s v="SM"/>
    <s v="Y"/>
    <n v="743.33"/>
    <n v="148.67"/>
    <x v="6"/>
    <s v="VALIDATED"/>
    <n v="1"/>
    <s v="01.11.80.308.6300.0000"/>
    <n v="743.33"/>
    <s v="11"/>
    <s v="6300"/>
    <n v="302.8"/>
    <n v="743.33"/>
    <s v="CREDITOR"/>
    <n v="0"/>
    <n v="0"/>
    <n v="0"/>
    <n v="0"/>
    <n v="743.33"/>
  </r>
  <r>
    <n v="60973169"/>
    <s v="N"/>
    <n v="21331227"/>
    <s v="3000015184160005"/>
    <s v="CIVIL"/>
    <d v="2023-06-30T00:00:00"/>
    <d v="2023-07-05T19:01:47"/>
    <m/>
    <d v="2023-07-05T00:00:00"/>
    <n v="1264"/>
    <n v="19385"/>
    <s v="60973169"/>
    <s v="60973169"/>
    <m/>
    <m/>
    <n v="22797308"/>
    <m/>
    <m/>
    <m/>
    <s v="SOLFIN"/>
    <s v="SOLFIN"/>
    <s v="CCMS"/>
    <n v="21331227"/>
    <n v="4560.85"/>
    <m/>
    <s v="N"/>
    <n v="5"/>
    <d v="2023-07-05T19:02:11"/>
    <s v="Y"/>
    <s v="Solicitors Fixed Fee"/>
    <s v="Public Law Children"/>
    <s v="Profit Cost"/>
    <s v="sm"/>
    <s v="Y"/>
    <n v="2300"/>
    <n v="460"/>
    <x v="6"/>
    <s v="VALIDATED"/>
    <n v="1"/>
    <s v="01.11.80.308.6100.0000"/>
    <n v="2300"/>
    <s v="11"/>
    <s v="6100"/>
    <n v="302.8"/>
    <n v="2300"/>
    <s v="CREDITOR"/>
    <n v="0"/>
    <n v="0"/>
    <n v="0"/>
    <n v="0"/>
    <n v="2300"/>
  </r>
  <r>
    <n v="61988662"/>
    <s v="N"/>
    <n v="21409483"/>
    <s v="3000016033620003"/>
    <s v="CIVIL"/>
    <d v="2023-06-28T00:00:00"/>
    <d v="2023-07-21T10:00:02"/>
    <m/>
    <d v="2023-07-21T00:00:00"/>
    <n v="1264"/>
    <n v="19385"/>
    <s v="61988662"/>
    <s v="61988662"/>
    <m/>
    <m/>
    <n v="22783688"/>
    <m/>
    <m/>
    <m/>
    <s v="SOLPOA"/>
    <s v="SOLPOA"/>
    <s v="CCMS"/>
    <n v="21409483"/>
    <n v="233.1"/>
    <m/>
    <s v="N"/>
    <n v="1"/>
    <d v="2023-07-21T10:00:16"/>
    <s v="N"/>
    <s v="Expert Cost"/>
    <s v="Expert Cost"/>
    <s v="Expert Disbursement"/>
    <s v="SM"/>
    <s v="N"/>
    <n v="194.25"/>
    <n v="38.85"/>
    <x v="12"/>
    <s v="VALIDATED"/>
    <n v="1"/>
    <s v="01.11.80.308.2012.0000"/>
    <n v="194.25"/>
    <s v="11"/>
    <s v="2012"/>
    <n v="302.8"/>
    <n v="194.25"/>
    <s v="CREDITOR"/>
    <n v="194.25"/>
    <n v="0"/>
    <n v="0"/>
    <n v="0"/>
    <n v="0"/>
  </r>
  <r>
    <n v="60973169"/>
    <s v="N"/>
    <n v="21331227"/>
    <s v="3000015184160005"/>
    <s v="CIVIL"/>
    <d v="2023-06-30T00:00:00"/>
    <d v="2023-07-05T19:01:47"/>
    <m/>
    <d v="2023-07-05T00:00:00"/>
    <n v="1264"/>
    <n v="19385"/>
    <s v="60973169"/>
    <s v="60973169"/>
    <m/>
    <m/>
    <n v="22797308"/>
    <m/>
    <m/>
    <m/>
    <s v="SOLFIN"/>
    <s v="SOLFIN"/>
    <s v="CCMS"/>
    <n v="21331227"/>
    <n v="4560.85"/>
    <m/>
    <s v="N"/>
    <n v="1"/>
    <d v="2023-07-05T19:02:11"/>
    <s v="Y"/>
    <s v="Doctor (GP)"/>
    <s v="Public Law Children"/>
    <s v="Expert Disbursement"/>
    <s v="SM"/>
    <s v="Y"/>
    <n v="50.4"/>
    <n v="0"/>
    <x v="6"/>
    <s v="VALIDATED"/>
    <n v="1"/>
    <s v="01.11.80.308.6300.0000"/>
    <n v="50.4"/>
    <s v="11"/>
    <s v="6300"/>
    <n v="302.8"/>
    <n v="50.4"/>
    <s v="CREDITOR"/>
    <n v="0"/>
    <n v="0"/>
    <n v="0"/>
    <n v="0"/>
    <n v="50.4"/>
  </r>
  <r>
    <n v="60973169"/>
    <s v="N"/>
    <n v="21331227"/>
    <s v="3000015184160005"/>
    <s v="CIVIL"/>
    <d v="2023-06-30T00:00:00"/>
    <d v="2023-07-05T19:01:47"/>
    <m/>
    <d v="2023-07-05T00:00:00"/>
    <n v="1264"/>
    <n v="19385"/>
    <s v="60973169"/>
    <s v="60973169"/>
    <m/>
    <m/>
    <n v="22797308"/>
    <m/>
    <m/>
    <m/>
    <s v="SOLFIN"/>
    <s v="SOLFIN"/>
    <s v="CCMS"/>
    <n v="21331227"/>
    <n v="4560.85"/>
    <m/>
    <s v="N"/>
    <n v="3"/>
    <d v="2023-07-05T19:02:11"/>
    <s v="Y"/>
    <s v="Hearing Unit 2.31 - 5.00 Hours"/>
    <s v="Public Law Children"/>
    <s v="Advocacy"/>
    <s v="SM"/>
    <s v="Y"/>
    <n v="476.92"/>
    <n v="95.38"/>
    <x v="6"/>
    <s v="VALIDATED"/>
    <n v="1"/>
    <s v="01.11.80.308.6100.0000"/>
    <n v="476.92"/>
    <s v="11"/>
    <s v="6100"/>
    <n v="302.8"/>
    <n v="476.92"/>
    <s v="CREDITOR"/>
    <n v="0"/>
    <n v="0"/>
    <n v="0"/>
    <n v="0"/>
    <n v="476.92"/>
  </r>
  <r>
    <n v="60973169"/>
    <s v="N"/>
    <n v="21333972"/>
    <s v="3000015184160004RC"/>
    <s v="CIVIL"/>
    <d v="2023-06-30T00:00:00"/>
    <d v="2023-07-05T19:42:28"/>
    <m/>
    <d v="2023-07-05T00:00:00"/>
    <n v="1264"/>
    <n v="19385"/>
    <s v="60973169"/>
    <s v="60973169"/>
    <m/>
    <m/>
    <m/>
    <m/>
    <m/>
    <m/>
    <s v="SOLRECOUP"/>
    <s v="SOLRECOUP"/>
    <s v="POARECOUP"/>
    <n v="21333972"/>
    <n v="-2808.56"/>
    <m/>
    <s v="Y"/>
    <n v="1"/>
    <d v="2023-07-05T19:42:29"/>
    <s v="N"/>
    <m/>
    <m/>
    <s v="Profit Cost"/>
    <m/>
    <s v="N"/>
    <n v="-2340.47"/>
    <n v="0"/>
    <x v="6"/>
    <s v="VALIDATED"/>
    <n v="1"/>
    <s v="01.11.80.308.2013.0000"/>
    <n v="-2340.47"/>
    <s v="11"/>
    <s v="2013"/>
    <n v="302.8"/>
    <n v="-2340.47"/>
    <s v="CREDITOR"/>
    <n v="0"/>
    <n v="0"/>
    <n v="-2340.47"/>
    <n v="-585.1174999999999"/>
    <n v="0"/>
  </r>
  <r>
    <n v="60973169"/>
    <s v="N"/>
    <n v="21333972"/>
    <s v="3000015184160004RC"/>
    <s v="CIVIL"/>
    <d v="2023-06-30T00:00:00"/>
    <d v="2023-07-05T19:42:28"/>
    <m/>
    <d v="2023-07-05T00:00:00"/>
    <n v="1264"/>
    <n v="19385"/>
    <s v="60973169"/>
    <s v="60973169"/>
    <m/>
    <m/>
    <m/>
    <m/>
    <m/>
    <m/>
    <s v="SOLRECOUP"/>
    <s v="SOLRECOUP"/>
    <s v="POARECOUP"/>
    <n v="21333972"/>
    <n v="-2808.56"/>
    <m/>
    <s v="Y"/>
    <n v="2"/>
    <d v="2023-07-05T19:42:29"/>
    <s v="N"/>
    <m/>
    <m/>
    <s v="Profit Cost"/>
    <m/>
    <s v="N"/>
    <n v="0"/>
    <n v="-468.09"/>
    <x v="6"/>
    <s v="VALIDATED"/>
    <n v="1"/>
    <s v="01.11.80.308.2013.0000"/>
    <n v="-468.09"/>
    <s v="11"/>
    <s v="2013"/>
    <n v="302.8"/>
    <n v="-468.09"/>
    <s v="CREDITOR"/>
    <n v="0"/>
    <n v="0"/>
    <n v="-468.09"/>
    <n v="-117.0225"/>
    <n v="0"/>
  </r>
  <r>
    <n v="60973169"/>
    <s v="N"/>
    <n v="21333973"/>
    <s v="3000015184160002RC"/>
    <s v="CIVIL"/>
    <d v="2023-06-30T00:00:00"/>
    <d v="2023-07-05T19:42:28"/>
    <m/>
    <d v="2023-07-05T00:00:00"/>
    <n v="1264"/>
    <n v="19385"/>
    <s v="60973169"/>
    <s v="60973169"/>
    <m/>
    <m/>
    <m/>
    <m/>
    <m/>
    <m/>
    <s v="SOLRECOUP"/>
    <s v="SOLRECOUP"/>
    <s v="POARECOUP"/>
    <n v="21333973"/>
    <n v="-892"/>
    <m/>
    <s v="Y"/>
    <n v="1"/>
    <d v="2023-07-05T19:42:29"/>
    <s v="N"/>
    <m/>
    <m/>
    <s v="Expert Disbursement"/>
    <m/>
    <s v="N"/>
    <n v="-743.33"/>
    <n v="0"/>
    <x v="6"/>
    <s v="VALIDATED"/>
    <n v="1"/>
    <s v="01.11.80.308.2013.0000"/>
    <n v="-743.33"/>
    <s v="11"/>
    <s v="2013"/>
    <n v="302.8"/>
    <n v="-743.33"/>
    <s v="CREDITOR"/>
    <n v="0"/>
    <n v="0"/>
    <n v="-743.33"/>
    <n v="0"/>
    <n v="0"/>
  </r>
  <r>
    <n v="60973169"/>
    <s v="N"/>
    <n v="21333973"/>
    <s v="3000015184160002RC"/>
    <s v="CIVIL"/>
    <d v="2023-06-30T00:00:00"/>
    <d v="2023-07-05T19:42:28"/>
    <m/>
    <d v="2023-07-05T00:00:00"/>
    <n v="1264"/>
    <n v="19385"/>
    <s v="60973169"/>
    <s v="60973169"/>
    <m/>
    <m/>
    <m/>
    <m/>
    <m/>
    <m/>
    <s v="SOLRECOUP"/>
    <s v="SOLRECOUP"/>
    <s v="POARECOUP"/>
    <n v="21333973"/>
    <n v="-892"/>
    <m/>
    <s v="Y"/>
    <n v="2"/>
    <d v="2023-07-05T19:42:29"/>
    <s v="N"/>
    <m/>
    <m/>
    <s v="Expert Disbursement"/>
    <m/>
    <s v="N"/>
    <n v="0"/>
    <n v="-148.67"/>
    <x v="6"/>
    <s v="VALIDATED"/>
    <n v="1"/>
    <s v="01.11.80.308.2013.0000"/>
    <n v="-148.67"/>
    <s v="11"/>
    <s v="2013"/>
    <n v="302.8"/>
    <n v="-148.67"/>
    <s v="CREDITOR"/>
    <n v="0"/>
    <n v="0"/>
    <n v="-148.67"/>
    <n v="0"/>
    <n v="0"/>
  </r>
  <r>
    <n v="60593071"/>
    <s v="N"/>
    <n v="21363541"/>
    <s v="3000014854910002"/>
    <s v="CIVIL"/>
    <d v="2023-06-29T00:00:00"/>
    <d v="2023-07-12T19:01:49"/>
    <m/>
    <d v="2023-07-12T00:00:00"/>
    <n v="1269"/>
    <n v="19418"/>
    <s v="60593071"/>
    <s v="60593071"/>
    <m/>
    <m/>
    <n v="22790194"/>
    <m/>
    <m/>
    <m/>
    <s v="SOLFIN"/>
    <s v="SOLFIN"/>
    <s v="CCMS"/>
    <n v="21363541"/>
    <n v="3514.55"/>
    <m/>
    <s v="N"/>
    <n v="3"/>
    <d v="2023-07-12T19:02:03"/>
    <s v="Y"/>
    <s v="Final Hearing - 1 Day"/>
    <s v="Public Law Children"/>
    <s v="Advocacy"/>
    <s v="Richard Westley"/>
    <s v="Y"/>
    <n v="556.88"/>
    <n v="111.38"/>
    <x v="0"/>
    <s v="VALIDATED"/>
    <n v="1"/>
    <s v="01.11.80.308.6100.0000"/>
    <n v="556.88"/>
    <s v="11"/>
    <s v="6100"/>
    <n v="1002.88"/>
    <n v="556.88"/>
    <s v="CREDITOR"/>
    <n v="0"/>
    <n v="0"/>
    <n v="0"/>
    <n v="0"/>
    <n v="556.88"/>
  </r>
  <r>
    <n v="9763731"/>
    <s v="N"/>
    <n v="21382502"/>
    <s v="3000005684890010"/>
    <s v="CIVIL"/>
    <d v="2023-06-29T00:00:00"/>
    <d v="2023-07-17T19:01:46"/>
    <m/>
    <d v="2023-07-17T00:00:00"/>
    <n v="1269"/>
    <n v="19418"/>
    <s v="9763731"/>
    <s v="9763731"/>
    <m/>
    <m/>
    <n v="22792700"/>
    <m/>
    <m/>
    <m/>
    <s v="SOLFIN"/>
    <s v="SOLFIN"/>
    <s v="CCMS"/>
    <n v="21382502"/>
    <n v="15004.92"/>
    <m/>
    <s v="N"/>
    <n v="2"/>
    <d v="2023-07-17T19:02:13"/>
    <s v="Y"/>
    <s v="Profit Costs (Summary)"/>
    <s v="Prescribed Hourly Rates"/>
    <s v="Profit Cost"/>
    <s v="Victoria Harvey"/>
    <s v="Y"/>
    <n v="6166.72"/>
    <n v="1233.34"/>
    <x v="8"/>
    <s v="VALIDATED"/>
    <n v="1"/>
    <s v="01.11.80.307.6100.0000"/>
    <n v="6166.72"/>
    <s v="11"/>
    <s v="6100"/>
    <n v="1002.88"/>
    <n v="6166.72"/>
    <s v="CREDITOR"/>
    <n v="0"/>
    <n v="0"/>
    <n v="0"/>
    <n v="0"/>
    <n v="6166.72"/>
  </r>
  <r>
    <n v="10763226"/>
    <s v="N"/>
    <n v="21381742"/>
    <s v="3000006547450006"/>
    <s v="CIVIL"/>
    <d v="2023-06-29T00:00:00"/>
    <d v="2023-07-17T19:01:46"/>
    <m/>
    <d v="2023-07-17T00:00:00"/>
    <n v="1269"/>
    <n v="19418"/>
    <s v="10763226"/>
    <s v="10763226"/>
    <m/>
    <m/>
    <n v="22791884"/>
    <m/>
    <m/>
    <m/>
    <s v="SOLFIN"/>
    <s v="SOLFIN"/>
    <s v="CCMS"/>
    <n v="21381742"/>
    <n v="8189.51"/>
    <m/>
    <s v="N"/>
    <n v="2"/>
    <d v="2023-07-17T19:01:49"/>
    <s v="Y"/>
    <s v="Disbursements (Summary)"/>
    <s v="Prescribed Hourly Rates"/>
    <s v="Non Expert Disbursement"/>
    <s v="Victoria Harvey"/>
    <s v="Y"/>
    <n v="2967.75"/>
    <n v="593.55"/>
    <x v="8"/>
    <s v="VALIDATED"/>
    <n v="1"/>
    <s v="01.11.80.307.6300.0000"/>
    <n v="2967.75"/>
    <s v="11"/>
    <s v="6300"/>
    <n v="1002.88"/>
    <n v="2967.75"/>
    <s v="CREDITOR"/>
    <n v="0"/>
    <n v="0"/>
    <n v="0"/>
    <n v="0"/>
    <n v="2967.75"/>
  </r>
  <r>
    <n v="60593071"/>
    <s v="N"/>
    <n v="21363541"/>
    <s v="3000014854910002"/>
    <s v="CIVIL"/>
    <d v="2023-06-29T00:00:00"/>
    <d v="2023-07-12T19:01:49"/>
    <m/>
    <d v="2023-07-12T00:00:00"/>
    <n v="1269"/>
    <n v="19418"/>
    <s v="60593071"/>
    <s v="60593071"/>
    <m/>
    <m/>
    <n v="22790194"/>
    <m/>
    <m/>
    <m/>
    <s v="SOLFIN"/>
    <s v="SOLFIN"/>
    <s v="CCMS"/>
    <n v="21363541"/>
    <n v="3514.55"/>
    <m/>
    <s v="N"/>
    <n v="5"/>
    <d v="2023-07-12T19:02:03"/>
    <s v="Y"/>
    <s v="Solicitors Fixed Fee"/>
    <s v="Public Law Children"/>
    <s v="Profit Cost"/>
    <s v="Richard Westley"/>
    <s v="Y"/>
    <n v="1754"/>
    <n v="350.8"/>
    <x v="0"/>
    <s v="VALIDATED"/>
    <n v="1"/>
    <s v="01.11.80.308.6100.0000"/>
    <n v="1754"/>
    <s v="11"/>
    <s v="6100"/>
    <n v="1002.88"/>
    <n v="1754"/>
    <s v="CREDITOR"/>
    <n v="0"/>
    <n v="0"/>
    <n v="0"/>
    <n v="0"/>
    <n v="1754"/>
  </r>
  <r>
    <n v="9763753"/>
    <s v="N"/>
    <n v="21381728"/>
    <s v="3000005685370001"/>
    <s v="CIVIL"/>
    <d v="2023-06-29T00:00:00"/>
    <d v="2023-07-17T19:01:46"/>
    <m/>
    <d v="2023-07-17T00:00:00"/>
    <n v="1269"/>
    <n v="19418"/>
    <s v="9763753"/>
    <s v="9763753"/>
    <m/>
    <m/>
    <n v="22792570"/>
    <m/>
    <m/>
    <m/>
    <s v="SOLFIN"/>
    <s v="SOLFIN"/>
    <s v="CCMS"/>
    <n v="21381728"/>
    <n v="0"/>
    <m/>
    <s v="N"/>
    <n v="1"/>
    <d v="2023-07-17T19:01:48"/>
    <s v="N"/>
    <s v="NIL BILL"/>
    <s v="Prescribed Hourly Rates"/>
    <s v="Profit Cost"/>
    <s v="Victoria Harvey"/>
    <s v="N"/>
    <n v="0"/>
    <n v="0"/>
    <x v="8"/>
    <s v="VALIDATED"/>
    <n v="1"/>
    <s v="01.11.80.307.6100.0000"/>
    <n v="0"/>
    <s v="11"/>
    <s v="6100"/>
    <n v="1002.88"/>
    <n v="0"/>
    <s v="CREDITOR"/>
    <n v="0"/>
    <n v="0"/>
    <n v="0"/>
    <n v="0"/>
    <n v="0"/>
  </r>
  <r>
    <n v="10763226"/>
    <s v="N"/>
    <n v="21381742"/>
    <s v="3000006547450006"/>
    <s v="CIVIL"/>
    <d v="2023-06-29T00:00:00"/>
    <d v="2023-07-17T19:01:46"/>
    <m/>
    <d v="2023-07-17T00:00:00"/>
    <n v="1269"/>
    <n v="19418"/>
    <s v="10763226"/>
    <s v="10763226"/>
    <m/>
    <m/>
    <n v="22791884"/>
    <m/>
    <m/>
    <m/>
    <s v="SOLFIN"/>
    <s v="SOLFIN"/>
    <s v="CCMS"/>
    <n v="21381742"/>
    <n v="8189.51"/>
    <m/>
    <s v="N"/>
    <n v="1"/>
    <d v="2023-07-17T19:01:49"/>
    <s v="Y"/>
    <s v="Profit Costs (Summary)"/>
    <s v="Prescribed Hourly Rates"/>
    <s v="Profit Cost"/>
    <s v="Victoria Harvey"/>
    <s v="Y"/>
    <n v="3695.16"/>
    <n v="739.03"/>
    <x v="8"/>
    <s v="VALIDATED"/>
    <n v="1"/>
    <s v="01.11.80.307.6100.0000"/>
    <n v="3695.16"/>
    <s v="11"/>
    <s v="6100"/>
    <n v="1002.88"/>
    <n v="3695.16"/>
    <s v="CREDITOR"/>
    <n v="0"/>
    <n v="0"/>
    <n v="0"/>
    <n v="0"/>
    <n v="3695.16"/>
  </r>
  <r>
    <n v="60593071"/>
    <s v="N"/>
    <n v="21363541"/>
    <s v="3000014854910002"/>
    <s v="CIVIL"/>
    <d v="2023-06-29T00:00:00"/>
    <d v="2023-07-12T19:01:49"/>
    <m/>
    <d v="2023-07-12T00:00:00"/>
    <n v="1269"/>
    <n v="19418"/>
    <s v="60593071"/>
    <s v="60593071"/>
    <m/>
    <m/>
    <n v="22790194"/>
    <m/>
    <m/>
    <m/>
    <s v="SOLFIN"/>
    <s v="SOLFIN"/>
    <s v="CCMS"/>
    <n v="21363541"/>
    <n v="3514.55"/>
    <m/>
    <s v="N"/>
    <n v="2"/>
    <d v="2023-07-12T19:02:03"/>
    <s v="Y"/>
    <s v="Hearing Unit 1.01 - 2.30 Hours"/>
    <s v="Public Law Children"/>
    <s v="Advocacy"/>
    <s v="Richard Westley"/>
    <s v="Y"/>
    <n v="238.46"/>
    <n v="47.69"/>
    <x v="0"/>
    <s v="VALIDATED"/>
    <n v="1"/>
    <s v="01.11.80.308.6100.0000"/>
    <n v="238.46"/>
    <s v="11"/>
    <s v="6100"/>
    <n v="1002.88"/>
    <n v="238.46"/>
    <s v="CREDITOR"/>
    <n v="0"/>
    <n v="0"/>
    <n v="0"/>
    <n v="0"/>
    <n v="238.46"/>
  </r>
  <r>
    <n v="9763731"/>
    <s v="N"/>
    <n v="21382502"/>
    <s v="3000005684890010"/>
    <s v="CIVIL"/>
    <d v="2023-06-29T00:00:00"/>
    <d v="2023-07-17T19:01:46"/>
    <m/>
    <d v="2023-07-17T00:00:00"/>
    <n v="1269"/>
    <n v="19418"/>
    <s v="9763731"/>
    <s v="9763731"/>
    <m/>
    <m/>
    <n v="22792700"/>
    <m/>
    <m/>
    <m/>
    <s v="SOLFIN"/>
    <s v="SOLFIN"/>
    <s v="CCMS"/>
    <n v="21382502"/>
    <n v="15004.92"/>
    <m/>
    <s v="N"/>
    <n v="3"/>
    <d v="2023-07-17T19:02:13"/>
    <s v="Y"/>
    <s v="Disbursements (Summary)"/>
    <s v="Prescribed Hourly Rates"/>
    <s v="Non Expert Disbursement"/>
    <s v="Victoria Harvey"/>
    <s v="Y"/>
    <n v="6259.05"/>
    <n v="1251.81"/>
    <x v="8"/>
    <s v="VALIDATED"/>
    <n v="1"/>
    <s v="01.11.80.307.6300.0000"/>
    <n v="6259.05"/>
    <s v="11"/>
    <s v="6300"/>
    <n v="1002.88"/>
    <n v="6259.05"/>
    <s v="CREDITOR"/>
    <n v="0"/>
    <n v="0"/>
    <n v="0"/>
    <n v="0"/>
    <n v="6259.05"/>
  </r>
  <r>
    <n v="60593071"/>
    <s v="N"/>
    <n v="21363541"/>
    <s v="3000014854910002"/>
    <s v="CIVIL"/>
    <d v="2023-06-29T00:00:00"/>
    <d v="2023-07-12T19:01:49"/>
    <m/>
    <d v="2023-07-12T00:00:00"/>
    <n v="1269"/>
    <n v="19418"/>
    <s v="60593071"/>
    <s v="60593071"/>
    <m/>
    <m/>
    <n v="22790194"/>
    <m/>
    <m/>
    <m/>
    <s v="SOLFIN"/>
    <s v="SOLFIN"/>
    <s v="CCMS"/>
    <n v="21363541"/>
    <n v="3514.55"/>
    <m/>
    <s v="N"/>
    <n v="4"/>
    <d v="2023-07-12T19:02:03"/>
    <s v="Y"/>
    <s v="Advocates Meeting"/>
    <s v="Public Law Children"/>
    <s v="Advocacy"/>
    <s v="Richard Westley"/>
    <s v="Y"/>
    <n v="140.99"/>
    <n v="28.2"/>
    <x v="0"/>
    <s v="VALIDATED"/>
    <n v="1"/>
    <s v="01.11.80.308.6100.0000"/>
    <n v="140.99"/>
    <s v="11"/>
    <s v="6100"/>
    <n v="1002.88"/>
    <n v="140.99"/>
    <s v="CREDITOR"/>
    <n v="0"/>
    <n v="0"/>
    <n v="0"/>
    <n v="0"/>
    <n v="140.99"/>
  </r>
  <r>
    <n v="10763258"/>
    <s v="N"/>
    <n v="21381734"/>
    <s v="3000006547540001"/>
    <s v="CIVIL"/>
    <d v="2023-06-29T00:00:00"/>
    <d v="2023-07-17T19:01:46"/>
    <m/>
    <d v="2023-07-17T00:00:00"/>
    <n v="1269"/>
    <n v="19418"/>
    <s v="10763258"/>
    <s v="10763258"/>
    <m/>
    <m/>
    <n v="22790770"/>
    <m/>
    <m/>
    <m/>
    <s v="SOLFIN"/>
    <s v="SOLFIN"/>
    <s v="CCMS"/>
    <n v="21381734"/>
    <n v="0"/>
    <m/>
    <s v="N"/>
    <n v="1"/>
    <d v="2023-07-17T19:01:49"/>
    <s v="N"/>
    <s v="NIL BILL"/>
    <s v="Prescribed Hourly Rates"/>
    <s v="Profit Cost"/>
    <s v="Victoria Harvey"/>
    <s v="N"/>
    <n v="0"/>
    <n v="0"/>
    <x v="8"/>
    <s v="VALIDATED"/>
    <n v="1"/>
    <s v="01.11.80.307.6100.0000"/>
    <n v="0"/>
    <s v="11"/>
    <s v="6100"/>
    <n v="1002.88"/>
    <n v="0"/>
    <s v="CREDITOR"/>
    <n v="0"/>
    <n v="0"/>
    <n v="0"/>
    <n v="0"/>
    <n v="0"/>
  </r>
  <r>
    <n v="60593071"/>
    <s v="N"/>
    <n v="21363541"/>
    <s v="3000014854910002"/>
    <s v="CIVIL"/>
    <d v="2023-06-29T00:00:00"/>
    <d v="2023-07-12T19:01:49"/>
    <m/>
    <d v="2023-07-12T00:00:00"/>
    <n v="1269"/>
    <n v="19418"/>
    <s v="60593071"/>
    <s v="60593071"/>
    <m/>
    <m/>
    <n v="22790194"/>
    <m/>
    <m/>
    <m/>
    <s v="SOLFIN"/>
    <s v="SOLFIN"/>
    <s v="CCMS"/>
    <n v="21363541"/>
    <n v="3514.55"/>
    <m/>
    <s v="N"/>
    <n v="1"/>
    <d v="2023-07-12T19:02:03"/>
    <s v="Y"/>
    <s v="Hearing Unit 1.01 - 2.30 Hours"/>
    <s v="Public Law Children"/>
    <s v="Advocacy"/>
    <s v="Richard Westley"/>
    <s v="Y"/>
    <n v="238.46"/>
    <n v="47.69"/>
    <x v="0"/>
    <s v="VALIDATED"/>
    <n v="1"/>
    <s v="01.11.80.308.6100.0000"/>
    <n v="238.46"/>
    <s v="11"/>
    <s v="6100"/>
    <n v="1002.88"/>
    <n v="238.46"/>
    <s v="CREDITOR"/>
    <n v="0"/>
    <n v="0"/>
    <n v="0"/>
    <n v="0"/>
    <n v="238.46"/>
  </r>
  <r>
    <n v="10763226"/>
    <s v="N"/>
    <n v="21381742"/>
    <s v="3000006547450006"/>
    <s v="CIVIL"/>
    <d v="2023-06-29T00:00:00"/>
    <d v="2023-07-17T19:01:46"/>
    <m/>
    <d v="2023-07-17T00:00:00"/>
    <n v="1269"/>
    <n v="19418"/>
    <s v="10763226"/>
    <s v="10763226"/>
    <m/>
    <m/>
    <n v="22791884"/>
    <m/>
    <m/>
    <m/>
    <s v="SOLFIN"/>
    <s v="SOLFIN"/>
    <s v="CCMS"/>
    <n v="21381742"/>
    <n v="8189.51"/>
    <m/>
    <s v="N"/>
    <n v="4"/>
    <d v="2023-07-17T19:01:49"/>
    <s v="N"/>
    <s v="Court Assess Cost LA"/>
    <s v="Prescribed Hourly Rates"/>
    <s v="Costs of Assessment"/>
    <s v="Victoria Harvey"/>
    <s v="N"/>
    <n v="94"/>
    <n v="0"/>
    <x v="8"/>
    <s v="VALIDATED"/>
    <n v="1"/>
    <s v="01.11.80.307.6200.0000"/>
    <n v="94"/>
    <s v="11"/>
    <s v="6200"/>
    <n v="1002.88"/>
    <n v="94"/>
    <s v="CREDITOR"/>
    <n v="0"/>
    <n v="0"/>
    <n v="0"/>
    <n v="0"/>
    <n v="94"/>
  </r>
  <r>
    <n v="10763226"/>
    <s v="N"/>
    <n v="21381742"/>
    <s v="3000006547450006"/>
    <s v="CIVIL"/>
    <d v="2023-06-29T00:00:00"/>
    <d v="2023-07-17T19:01:46"/>
    <m/>
    <d v="2023-07-17T00:00:00"/>
    <n v="1269"/>
    <n v="19418"/>
    <s v="10763226"/>
    <s v="10763226"/>
    <m/>
    <m/>
    <n v="22791884"/>
    <m/>
    <m/>
    <m/>
    <s v="SOLFIN"/>
    <s v="SOLFIN"/>
    <s v="CCMS"/>
    <n v="21381742"/>
    <n v="8189.51"/>
    <m/>
    <s v="N"/>
    <n v="3"/>
    <d v="2023-07-17T19:01:49"/>
    <s v="Y"/>
    <s v="Disbursements (Summary)"/>
    <s v="Prescribed Hourly Rates"/>
    <s v="Non Expert Disbursement"/>
    <s v="Victoria Harvey"/>
    <s v="Y"/>
    <n v="100.02"/>
    <n v="0"/>
    <x v="8"/>
    <s v="VALIDATED"/>
    <n v="1"/>
    <s v="01.11.80.307.6300.0000"/>
    <n v="100.02"/>
    <s v="11"/>
    <s v="6300"/>
    <n v="1002.88"/>
    <n v="100.02"/>
    <s v="CREDITOR"/>
    <n v="0"/>
    <n v="0"/>
    <n v="0"/>
    <n v="0"/>
    <n v="100.02"/>
  </r>
  <r>
    <n v="9763731"/>
    <s v="N"/>
    <n v="21382502"/>
    <s v="3000005684890010"/>
    <s v="CIVIL"/>
    <d v="2023-06-29T00:00:00"/>
    <d v="2023-07-17T19:01:46"/>
    <m/>
    <d v="2023-07-17T00:00:00"/>
    <n v="1269"/>
    <n v="19418"/>
    <s v="9763731"/>
    <s v="9763731"/>
    <m/>
    <m/>
    <n v="22792700"/>
    <m/>
    <m/>
    <m/>
    <s v="SOLFIN"/>
    <s v="SOLFIN"/>
    <s v="CCMS"/>
    <n v="21382502"/>
    <n v="15004.92"/>
    <m/>
    <s v="N"/>
    <n v="1"/>
    <d v="2023-07-17T19:02:13"/>
    <s v="N"/>
    <s v="Court Assess Cost LA"/>
    <s v="Prescribed Hourly Rates"/>
    <s v="Costs of Assessment"/>
    <s v="Victoria Harvey"/>
    <s v="N"/>
    <n v="94"/>
    <n v="0"/>
    <x v="8"/>
    <s v="VALIDATED"/>
    <n v="1"/>
    <s v="01.11.80.307.6200.0000"/>
    <n v="94"/>
    <s v="11"/>
    <s v="6200"/>
    <n v="1002.88"/>
    <n v="94"/>
    <s v="CREDITOR"/>
    <n v="0"/>
    <n v="0"/>
    <n v="0"/>
    <n v="0"/>
    <n v="94"/>
  </r>
  <r>
    <n v="10763226"/>
    <s v="N"/>
    <n v="21388276"/>
    <s v="3000006547450003RC"/>
    <s v="CIVIL"/>
    <d v="2023-06-29T00:00:00"/>
    <d v="2023-07-17T19:42:13"/>
    <m/>
    <d v="2023-07-17T00:00:00"/>
    <n v="1269"/>
    <n v="19418"/>
    <s v="10763226"/>
    <s v="10763226"/>
    <m/>
    <m/>
    <m/>
    <m/>
    <m/>
    <m/>
    <s v="SOLRECOUP"/>
    <s v="SOLRECOUP"/>
    <s v="POARECOUP"/>
    <n v="21388276"/>
    <n v="-100"/>
    <m/>
    <s v="Y"/>
    <n v="2"/>
    <d v="2023-07-17T19:42:15"/>
    <s v="N"/>
    <m/>
    <m/>
    <s v="Non Expert Disbursement"/>
    <m/>
    <s v="N"/>
    <n v="0"/>
    <n v="0"/>
    <x v="8"/>
    <s v="VALIDATED"/>
    <n v="1"/>
    <s v="01.11.80.000.0000.0000"/>
    <n v="0"/>
    <s v="11"/>
    <s v="0000"/>
    <n v="1002.88"/>
    <n v="0"/>
    <s v="CREDITOR"/>
    <n v="0"/>
    <n v="0"/>
    <n v="0"/>
    <n v="0"/>
    <n v="0"/>
  </r>
  <r>
    <n v="9763731"/>
    <s v="N"/>
    <n v="21388262"/>
    <s v="3000005684890002RC"/>
    <s v="CIVIL"/>
    <d v="2023-06-29T00:00:00"/>
    <d v="2023-07-17T19:42:13"/>
    <m/>
    <d v="2023-07-17T00:00:00"/>
    <n v="1269"/>
    <n v="19418"/>
    <s v="9763731"/>
    <s v="9763731"/>
    <m/>
    <m/>
    <m/>
    <m/>
    <m/>
    <m/>
    <s v="SOLRECOUP"/>
    <s v="SOLRECOUP"/>
    <s v="POARECOUP"/>
    <n v="21388262"/>
    <n v="-965.9"/>
    <m/>
    <s v="Y"/>
    <n v="1"/>
    <d v="2023-07-17T19:42:15"/>
    <s v="N"/>
    <m/>
    <m/>
    <s v="Profit Cost"/>
    <m/>
    <s v="N"/>
    <n v="-804.92"/>
    <n v="0"/>
    <x v="8"/>
    <s v="VALIDATED"/>
    <n v="1"/>
    <s v="01.11.80.307.2013.0000"/>
    <n v="-804.92"/>
    <s v="11"/>
    <s v="2013"/>
    <n v="1002.88"/>
    <n v="-804.92"/>
    <s v="CREDITOR"/>
    <n v="0"/>
    <n v="0"/>
    <n v="-804.92"/>
    <n v="-201.23"/>
    <n v="0"/>
  </r>
  <r>
    <n v="9763731"/>
    <s v="N"/>
    <n v="21388262"/>
    <s v="3000005684890002RC"/>
    <s v="CIVIL"/>
    <d v="2023-06-29T00:00:00"/>
    <d v="2023-07-17T19:42:13"/>
    <m/>
    <d v="2023-07-17T00:00:00"/>
    <n v="1269"/>
    <n v="19418"/>
    <s v="9763731"/>
    <s v="9763731"/>
    <m/>
    <m/>
    <m/>
    <m/>
    <m/>
    <m/>
    <s v="SOLRECOUP"/>
    <s v="SOLRECOUP"/>
    <s v="POARECOUP"/>
    <n v="21388262"/>
    <n v="-965.9"/>
    <m/>
    <s v="Y"/>
    <n v="2"/>
    <d v="2023-07-17T19:42:15"/>
    <s v="N"/>
    <m/>
    <m/>
    <s v="Profit Cost"/>
    <m/>
    <s v="N"/>
    <n v="0"/>
    <n v="-160.98"/>
    <x v="8"/>
    <s v="VALIDATED"/>
    <n v="1"/>
    <s v="01.11.80.307.2013.0000"/>
    <n v="-160.98"/>
    <s v="11"/>
    <s v="2013"/>
    <n v="1002.88"/>
    <n v="-160.98"/>
    <s v="CREDITOR"/>
    <n v="0"/>
    <n v="0"/>
    <n v="-160.98"/>
    <n v="-40.245"/>
    <n v="0"/>
  </r>
  <r>
    <n v="9763731"/>
    <s v="N"/>
    <n v="21388263"/>
    <s v="3000005684890001RC"/>
    <s v="CIVIL"/>
    <d v="2023-06-29T00:00:00"/>
    <d v="2023-07-17T19:42:13"/>
    <m/>
    <d v="2023-07-17T00:00:00"/>
    <n v="1269"/>
    <n v="19418"/>
    <s v="9763731"/>
    <s v="9763731"/>
    <m/>
    <m/>
    <m/>
    <m/>
    <m/>
    <m/>
    <s v="SOLRECOUP"/>
    <s v="SOLRECOUP"/>
    <s v="POARECOUP"/>
    <n v="21388263"/>
    <n v="-3933.6"/>
    <m/>
    <s v="Y"/>
    <n v="2"/>
    <d v="2023-07-17T19:42:15"/>
    <s v="N"/>
    <m/>
    <m/>
    <s v="Expert Disbursement"/>
    <m/>
    <s v="N"/>
    <n v="0"/>
    <n v="-655.6"/>
    <x v="8"/>
    <s v="VALIDATED"/>
    <n v="1"/>
    <s v="01.11.80.307.2013.0000"/>
    <n v="-655.6"/>
    <s v="11"/>
    <s v="2013"/>
    <n v="1002.88"/>
    <n v="-655.6"/>
    <s v="CREDITOR"/>
    <n v="0"/>
    <n v="0"/>
    <n v="-655.6"/>
    <n v="0"/>
    <n v="0"/>
  </r>
  <r>
    <n v="9763731"/>
    <s v="N"/>
    <n v="21388263"/>
    <s v="3000005684890001RC"/>
    <s v="CIVIL"/>
    <d v="2023-06-29T00:00:00"/>
    <d v="2023-07-17T19:42:13"/>
    <m/>
    <d v="2023-07-17T00:00:00"/>
    <n v="1269"/>
    <n v="19418"/>
    <s v="9763731"/>
    <s v="9763731"/>
    <m/>
    <m/>
    <m/>
    <m/>
    <m/>
    <m/>
    <s v="SOLRECOUP"/>
    <s v="SOLRECOUP"/>
    <s v="POARECOUP"/>
    <n v="21388263"/>
    <n v="-3933.6"/>
    <m/>
    <s v="Y"/>
    <n v="1"/>
    <d v="2023-07-17T19:42:15"/>
    <s v="N"/>
    <m/>
    <m/>
    <s v="Expert Disbursement"/>
    <m/>
    <s v="N"/>
    <n v="-3278"/>
    <n v="0"/>
    <x v="8"/>
    <s v="VALIDATED"/>
    <n v="1"/>
    <s v="01.11.80.307.2013.0000"/>
    <n v="-3278"/>
    <s v="11"/>
    <s v="2013"/>
    <n v="1002.88"/>
    <n v="-3278"/>
    <s v="CREDITOR"/>
    <n v="0"/>
    <n v="0"/>
    <n v="-3278"/>
    <n v="0"/>
    <n v="0"/>
  </r>
  <r>
    <n v="9763731"/>
    <s v="N"/>
    <n v="21388264"/>
    <s v="3000005684890003RC"/>
    <s v="CIVIL"/>
    <d v="2023-06-29T00:00:00"/>
    <d v="2023-07-17T19:42:13"/>
    <m/>
    <d v="2023-07-17T00:00:00"/>
    <n v="1269"/>
    <n v="19418"/>
    <s v="9763731"/>
    <s v="9763731"/>
    <m/>
    <m/>
    <m/>
    <m/>
    <m/>
    <m/>
    <s v="SOLRECOUP"/>
    <s v="SOLRECOUP"/>
    <s v="POARECOUP"/>
    <n v="21388264"/>
    <n v="-3481.92"/>
    <m/>
    <s v="Y"/>
    <n v="2"/>
    <d v="2023-07-17T19:42:15"/>
    <s v="N"/>
    <m/>
    <m/>
    <s v="Expert Disbursement"/>
    <m/>
    <s v="N"/>
    <n v="0"/>
    <n v="-580.3200000000001"/>
    <x v="8"/>
    <s v="VALIDATED"/>
    <n v="1"/>
    <s v="01.11.80.307.2013.0000"/>
    <n v="-580.3200000000001"/>
    <s v="11"/>
    <s v="2013"/>
    <n v="1002.88"/>
    <n v="-580.3200000000001"/>
    <s v="CREDITOR"/>
    <n v="0"/>
    <n v="0"/>
    <n v="-580.3200000000001"/>
    <n v="0"/>
    <n v="0"/>
  </r>
  <r>
    <n v="9763731"/>
    <s v="N"/>
    <n v="21388264"/>
    <s v="3000005684890003RC"/>
    <s v="CIVIL"/>
    <d v="2023-06-29T00:00:00"/>
    <d v="2023-07-17T19:42:13"/>
    <m/>
    <d v="2023-07-17T00:00:00"/>
    <n v="1269"/>
    <n v="19418"/>
    <s v="9763731"/>
    <s v="9763731"/>
    <m/>
    <m/>
    <m/>
    <m/>
    <m/>
    <m/>
    <s v="SOLRECOUP"/>
    <s v="SOLRECOUP"/>
    <s v="POARECOUP"/>
    <n v="21388264"/>
    <n v="-3481.92"/>
    <m/>
    <s v="Y"/>
    <n v="1"/>
    <d v="2023-07-17T19:42:15"/>
    <s v="N"/>
    <m/>
    <m/>
    <s v="Expert Disbursement"/>
    <m/>
    <s v="N"/>
    <n v="-2901.6"/>
    <n v="0"/>
    <x v="8"/>
    <s v="VALIDATED"/>
    <n v="1"/>
    <s v="01.11.80.307.2013.0000"/>
    <n v="-2901.6"/>
    <s v="11"/>
    <s v="2013"/>
    <n v="1002.88"/>
    <n v="-2901.6"/>
    <s v="CREDITOR"/>
    <n v="0"/>
    <n v="0"/>
    <n v="-2901.6"/>
    <n v="0"/>
    <n v="0"/>
  </r>
  <r>
    <n v="9763731"/>
    <s v="N"/>
    <n v="21388265"/>
    <s v="3000005684890004RC"/>
    <s v="CIVIL"/>
    <d v="2023-06-29T00:00:00"/>
    <d v="2023-07-17T19:42:13"/>
    <m/>
    <d v="2023-07-17T00:00:00"/>
    <n v="1269"/>
    <n v="19418"/>
    <s v="9763731"/>
    <s v="9763731"/>
    <m/>
    <m/>
    <m/>
    <m/>
    <m/>
    <m/>
    <s v="SOLRECOUP"/>
    <s v="SOLRECOUP"/>
    <s v="POARECOUP"/>
    <n v="21388265"/>
    <n v="-46.32"/>
    <m/>
    <s v="Y"/>
    <n v="2"/>
    <d v="2023-07-17T19:42:15"/>
    <s v="N"/>
    <m/>
    <m/>
    <s v="Non Expert Disbursement"/>
    <m/>
    <s v="N"/>
    <n v="0"/>
    <n v="-7.72"/>
    <x v="8"/>
    <s v="VALIDATED"/>
    <n v="1"/>
    <s v="01.11.80.307.2013.0000"/>
    <n v="-7.72"/>
    <s v="11"/>
    <s v="2013"/>
    <n v="1002.88"/>
    <n v="-7.72"/>
    <s v="CREDITOR"/>
    <n v="0"/>
    <n v="0"/>
    <n v="-7.72"/>
    <n v="0"/>
    <n v="0"/>
  </r>
  <r>
    <n v="9763731"/>
    <s v="N"/>
    <n v="21388265"/>
    <s v="3000005684890004RC"/>
    <s v="CIVIL"/>
    <d v="2023-06-29T00:00:00"/>
    <d v="2023-07-17T19:42:13"/>
    <m/>
    <d v="2023-07-17T00:00:00"/>
    <n v="1269"/>
    <n v="19418"/>
    <s v="9763731"/>
    <s v="9763731"/>
    <m/>
    <m/>
    <m/>
    <m/>
    <m/>
    <m/>
    <s v="SOLRECOUP"/>
    <s v="SOLRECOUP"/>
    <s v="POARECOUP"/>
    <n v="21388265"/>
    <n v="-46.32"/>
    <m/>
    <s v="Y"/>
    <n v="1"/>
    <d v="2023-07-17T19:42:15"/>
    <s v="N"/>
    <m/>
    <m/>
    <s v="Non Expert Disbursement"/>
    <m/>
    <s v="N"/>
    <n v="-38.6"/>
    <n v="0"/>
    <x v="8"/>
    <s v="VALIDATED"/>
    <n v="1"/>
    <s v="01.11.80.307.2013.0000"/>
    <n v="-38.6"/>
    <s v="11"/>
    <s v="2013"/>
    <n v="1002.88"/>
    <n v="-38.6"/>
    <s v="CREDITOR"/>
    <n v="0"/>
    <n v="0"/>
    <n v="-38.6"/>
    <n v="0"/>
    <n v="0"/>
  </r>
  <r>
    <n v="10763226"/>
    <s v="N"/>
    <n v="21388266"/>
    <s v="3000006547450001RC"/>
    <s v="CIVIL"/>
    <d v="2023-06-29T00:00:00"/>
    <d v="2023-07-17T19:42:13"/>
    <m/>
    <d v="2023-07-17T00:00:00"/>
    <n v="1269"/>
    <n v="19418"/>
    <s v="10763226"/>
    <s v="10763226"/>
    <m/>
    <m/>
    <m/>
    <m/>
    <m/>
    <m/>
    <s v="SOLRECOUP"/>
    <s v="SOLRECOUP"/>
    <s v="POARECOUP"/>
    <n v="21388266"/>
    <n v="-3526.62"/>
    <m/>
    <s v="Y"/>
    <n v="2"/>
    <d v="2023-07-17T19:42:15"/>
    <s v="N"/>
    <m/>
    <m/>
    <s v="Expert Disbursement"/>
    <m/>
    <s v="N"/>
    <n v="0"/>
    <n v="-587.77"/>
    <x v="8"/>
    <s v="VALIDATED"/>
    <n v="1"/>
    <s v="01.11.80.307.2013.0000"/>
    <n v="-587.77"/>
    <s v="11"/>
    <s v="2013"/>
    <n v="1002.88"/>
    <n v="-587.77"/>
    <s v="CREDITOR"/>
    <n v="0"/>
    <n v="0"/>
    <n v="-587.77"/>
    <n v="0"/>
    <n v="0"/>
  </r>
  <r>
    <n v="10763226"/>
    <s v="N"/>
    <n v="21388266"/>
    <s v="3000006547450001RC"/>
    <s v="CIVIL"/>
    <d v="2023-06-29T00:00:00"/>
    <d v="2023-07-17T19:42:13"/>
    <m/>
    <d v="2023-07-17T00:00:00"/>
    <n v="1269"/>
    <n v="19418"/>
    <s v="10763226"/>
    <s v="10763226"/>
    <m/>
    <m/>
    <m/>
    <m/>
    <m/>
    <m/>
    <s v="SOLRECOUP"/>
    <s v="SOLRECOUP"/>
    <s v="POARECOUP"/>
    <n v="21388266"/>
    <n v="-3526.62"/>
    <m/>
    <s v="Y"/>
    <n v="1"/>
    <d v="2023-07-17T19:42:15"/>
    <s v="N"/>
    <m/>
    <m/>
    <s v="Expert Disbursement"/>
    <m/>
    <s v="N"/>
    <n v="-2938.85"/>
    <n v="0"/>
    <x v="8"/>
    <s v="VALIDATED"/>
    <n v="1"/>
    <s v="01.11.80.307.2013.0000"/>
    <n v="-2938.85"/>
    <s v="11"/>
    <s v="2013"/>
    <n v="1002.88"/>
    <n v="-2938.85"/>
    <s v="CREDITOR"/>
    <n v="0"/>
    <n v="0"/>
    <n v="-2938.85"/>
    <n v="0"/>
    <n v="0"/>
  </r>
  <r>
    <n v="10763226"/>
    <s v="N"/>
    <n v="21388267"/>
    <s v="3000006547450002RC"/>
    <s v="CIVIL"/>
    <d v="2023-06-29T00:00:00"/>
    <d v="2023-07-17T19:42:13"/>
    <m/>
    <d v="2023-07-17T00:00:00"/>
    <n v="1269"/>
    <n v="19418"/>
    <s v="10763226"/>
    <s v="10763226"/>
    <m/>
    <m/>
    <m/>
    <m/>
    <m/>
    <m/>
    <s v="SOLRECOUP"/>
    <s v="SOLRECOUP"/>
    <s v="POARECOUP"/>
    <n v="21388267"/>
    <n v="-1636.81"/>
    <m/>
    <s v="Y"/>
    <n v="2"/>
    <d v="2023-07-17T19:42:15"/>
    <s v="N"/>
    <m/>
    <m/>
    <s v="Profit Cost"/>
    <m/>
    <s v="N"/>
    <n v="0"/>
    <n v="-272.8"/>
    <x v="8"/>
    <s v="VALIDATED"/>
    <n v="1"/>
    <s v="01.11.80.307.2013.0000"/>
    <n v="-272.8"/>
    <s v="11"/>
    <s v="2013"/>
    <n v="1002.88"/>
    <n v="-272.8"/>
    <s v="CREDITOR"/>
    <n v="0"/>
    <n v="0"/>
    <n v="-272.8"/>
    <n v="-68.2"/>
    <n v="0"/>
  </r>
  <r>
    <n v="10763226"/>
    <s v="N"/>
    <n v="21388267"/>
    <s v="3000006547450002RC"/>
    <s v="CIVIL"/>
    <d v="2023-06-29T00:00:00"/>
    <d v="2023-07-17T19:42:13"/>
    <m/>
    <d v="2023-07-17T00:00:00"/>
    <n v="1269"/>
    <n v="19418"/>
    <s v="10763226"/>
    <s v="10763226"/>
    <m/>
    <m/>
    <m/>
    <m/>
    <m/>
    <m/>
    <s v="SOLRECOUP"/>
    <s v="SOLRECOUP"/>
    <s v="POARECOUP"/>
    <n v="21388267"/>
    <n v="-1636.81"/>
    <m/>
    <s v="Y"/>
    <n v="1"/>
    <d v="2023-07-17T19:42:15"/>
    <s v="N"/>
    <m/>
    <m/>
    <s v="Profit Cost"/>
    <m/>
    <s v="N"/>
    <n v="-1364.01"/>
    <n v="0"/>
    <x v="8"/>
    <s v="VALIDATED"/>
    <n v="1"/>
    <s v="01.11.80.307.2013.0000"/>
    <n v="-1364.01"/>
    <s v="11"/>
    <s v="2013"/>
    <n v="1002.88"/>
    <n v="-1364.01"/>
    <s v="CREDITOR"/>
    <n v="0"/>
    <n v="0"/>
    <n v="-1364.01"/>
    <n v="-341.0025"/>
    <n v="0"/>
  </r>
  <r>
    <n v="10763226"/>
    <s v="N"/>
    <n v="21388268"/>
    <s v="3000006547450005RC"/>
    <s v="CIVIL"/>
    <d v="2023-06-29T00:00:00"/>
    <d v="2023-07-17T19:42:13"/>
    <m/>
    <d v="2023-07-17T00:00:00"/>
    <n v="1269"/>
    <n v="19418"/>
    <s v="10763226"/>
    <s v="10763226"/>
    <m/>
    <m/>
    <m/>
    <m/>
    <m/>
    <m/>
    <s v="SOLRECOUP"/>
    <s v="SOLRECOUP"/>
    <s v="POARECOUP"/>
    <n v="21388268"/>
    <n v="-1910.54"/>
    <m/>
    <s v="Y"/>
    <n v="2"/>
    <d v="2023-07-17T19:42:15"/>
    <s v="N"/>
    <m/>
    <m/>
    <s v="Profit Cost"/>
    <m/>
    <s v="N"/>
    <n v="0"/>
    <n v="-318.42"/>
    <x v="8"/>
    <s v="VALIDATED"/>
    <n v="1"/>
    <s v="01.11.80.307.2013.0000"/>
    <n v="-318.42"/>
    <s v="11"/>
    <s v="2013"/>
    <n v="1002.88"/>
    <n v="-318.42"/>
    <s v="CREDITOR"/>
    <n v="0"/>
    <n v="0"/>
    <n v="-318.42"/>
    <n v="-79.605"/>
    <n v="0"/>
  </r>
  <r>
    <n v="10763226"/>
    <s v="N"/>
    <n v="21388268"/>
    <s v="3000006547450005RC"/>
    <s v="CIVIL"/>
    <d v="2023-06-29T00:00:00"/>
    <d v="2023-07-17T19:42:13"/>
    <m/>
    <d v="2023-07-17T00:00:00"/>
    <n v="1269"/>
    <n v="19418"/>
    <s v="10763226"/>
    <s v="10763226"/>
    <m/>
    <m/>
    <m/>
    <m/>
    <m/>
    <m/>
    <s v="SOLRECOUP"/>
    <s v="SOLRECOUP"/>
    <s v="POARECOUP"/>
    <n v="21388268"/>
    <n v="-1910.54"/>
    <m/>
    <s v="Y"/>
    <n v="1"/>
    <d v="2023-07-17T19:42:15"/>
    <s v="N"/>
    <m/>
    <m/>
    <s v="Profit Cost"/>
    <m/>
    <s v="N"/>
    <n v="-1592.12"/>
    <n v="0"/>
    <x v="8"/>
    <s v="VALIDATED"/>
    <n v="1"/>
    <s v="01.11.80.307.2013.0000"/>
    <n v="-1592.12"/>
    <s v="11"/>
    <s v="2013"/>
    <n v="1002.88"/>
    <n v="-1592.12"/>
    <s v="CREDITOR"/>
    <n v="0"/>
    <n v="0"/>
    <n v="-1592.12"/>
    <n v="-398.03"/>
    <n v="0"/>
  </r>
  <r>
    <n v="9763731"/>
    <s v="N"/>
    <n v="21388269"/>
    <s v="3000005684890005RC"/>
    <s v="CIVIL"/>
    <d v="2023-06-29T00:00:00"/>
    <d v="2023-07-17T19:42:13"/>
    <m/>
    <d v="2023-07-17T00:00:00"/>
    <n v="1269"/>
    <n v="19418"/>
    <s v="9763731"/>
    <s v="9763731"/>
    <m/>
    <m/>
    <m/>
    <m/>
    <m/>
    <m/>
    <s v="SOLRECOUP"/>
    <s v="SOLRECOUP"/>
    <s v="POARECOUP"/>
    <n v="21388269"/>
    <n v="-947.96"/>
    <m/>
    <s v="Y"/>
    <n v="1"/>
    <d v="2023-07-17T19:42:15"/>
    <s v="N"/>
    <m/>
    <m/>
    <s v="Profit Cost"/>
    <m/>
    <s v="N"/>
    <n v="-789.97"/>
    <n v="0"/>
    <x v="8"/>
    <s v="VALIDATED"/>
    <n v="1"/>
    <s v="01.11.80.307.2013.0000"/>
    <n v="-789.97"/>
    <s v="11"/>
    <s v="2013"/>
    <n v="1002.88"/>
    <n v="-789.97"/>
    <s v="CREDITOR"/>
    <n v="0"/>
    <n v="0"/>
    <n v="-789.97"/>
    <n v="-197.4925"/>
    <n v="0"/>
  </r>
  <r>
    <n v="9763731"/>
    <s v="N"/>
    <n v="21388269"/>
    <s v="3000005684890005RC"/>
    <s v="CIVIL"/>
    <d v="2023-06-29T00:00:00"/>
    <d v="2023-07-17T19:42:13"/>
    <m/>
    <d v="2023-07-17T00:00:00"/>
    <n v="1269"/>
    <n v="19418"/>
    <s v="9763731"/>
    <s v="9763731"/>
    <m/>
    <m/>
    <m/>
    <m/>
    <m/>
    <m/>
    <s v="SOLRECOUP"/>
    <s v="SOLRECOUP"/>
    <s v="POARECOUP"/>
    <n v="21388269"/>
    <n v="-947.96"/>
    <m/>
    <s v="Y"/>
    <n v="2"/>
    <d v="2023-07-17T19:42:15"/>
    <s v="N"/>
    <m/>
    <m/>
    <s v="Profit Cost"/>
    <m/>
    <s v="N"/>
    <n v="0"/>
    <n v="-157.99"/>
    <x v="8"/>
    <s v="VALIDATED"/>
    <n v="1"/>
    <s v="01.11.80.307.2013.0000"/>
    <n v="-157.99"/>
    <s v="11"/>
    <s v="2013"/>
    <n v="1002.88"/>
    <n v="-157.99"/>
    <s v="CREDITOR"/>
    <n v="0"/>
    <n v="0"/>
    <n v="-157.99"/>
    <n v="-39.4975"/>
    <n v="0"/>
  </r>
  <r>
    <n v="9763731"/>
    <s v="N"/>
    <n v="21388270"/>
    <s v="3000005684890009RC"/>
    <s v="CIVIL"/>
    <d v="2023-06-29T00:00:00"/>
    <d v="2023-07-17T19:42:13"/>
    <m/>
    <d v="2023-07-17T00:00:00"/>
    <n v="1269"/>
    <n v="19418"/>
    <s v="9763731"/>
    <s v="9763731"/>
    <m/>
    <m/>
    <m/>
    <m/>
    <m/>
    <m/>
    <s v="SOLRECOUP"/>
    <s v="SOLRECOUP"/>
    <s v="POARECOUP"/>
    <n v="21388270"/>
    <n v="-3109.82"/>
    <m/>
    <s v="Y"/>
    <n v="1"/>
    <d v="2023-07-17T19:42:15"/>
    <s v="N"/>
    <m/>
    <m/>
    <s v="Profit Cost"/>
    <m/>
    <s v="N"/>
    <n v="-2591.52"/>
    <n v="0"/>
    <x v="8"/>
    <s v="VALIDATED"/>
    <n v="1"/>
    <s v="01.11.80.307.2013.0000"/>
    <n v="-2591.52"/>
    <s v="11"/>
    <s v="2013"/>
    <n v="1002.88"/>
    <n v="-2591.52"/>
    <s v="CREDITOR"/>
    <n v="0"/>
    <n v="0"/>
    <n v="-2591.52"/>
    <n v="-647.88"/>
    <n v="0"/>
  </r>
  <r>
    <n v="9763731"/>
    <s v="N"/>
    <n v="21388270"/>
    <s v="3000005684890009RC"/>
    <s v="CIVIL"/>
    <d v="2023-06-29T00:00:00"/>
    <d v="2023-07-17T19:42:13"/>
    <m/>
    <d v="2023-07-17T00:00:00"/>
    <n v="1269"/>
    <n v="19418"/>
    <s v="9763731"/>
    <s v="9763731"/>
    <m/>
    <m/>
    <m/>
    <m/>
    <m/>
    <m/>
    <s v="SOLRECOUP"/>
    <s v="SOLRECOUP"/>
    <s v="POARECOUP"/>
    <n v="21388270"/>
    <n v="-3109.82"/>
    <m/>
    <s v="Y"/>
    <n v="2"/>
    <d v="2023-07-17T19:42:15"/>
    <s v="N"/>
    <m/>
    <m/>
    <s v="Profit Cost"/>
    <m/>
    <s v="N"/>
    <n v="0"/>
    <n v="-518.3"/>
    <x v="8"/>
    <s v="VALIDATED"/>
    <n v="1"/>
    <s v="01.11.80.307.2013.0000"/>
    <n v="-518.3"/>
    <s v="11"/>
    <s v="2013"/>
    <n v="1002.88"/>
    <n v="-518.3"/>
    <s v="CREDITOR"/>
    <n v="0"/>
    <n v="0"/>
    <n v="-518.3"/>
    <n v="-129.575"/>
    <n v="0"/>
  </r>
  <r>
    <n v="9763731"/>
    <s v="N"/>
    <n v="21388272"/>
    <s v="3000005684890007RC"/>
    <s v="CIVIL"/>
    <d v="2023-06-29T00:00:00"/>
    <d v="2023-07-17T19:42:13"/>
    <m/>
    <d v="2023-07-17T00:00:00"/>
    <n v="1269"/>
    <n v="19418"/>
    <s v="9763731"/>
    <s v="9763731"/>
    <m/>
    <m/>
    <m/>
    <m/>
    <m/>
    <m/>
    <s v="SOLRECOUP"/>
    <s v="SOLRECOUP"/>
    <s v="POARECOUP"/>
    <n v="21388272"/>
    <n v="-896.36"/>
    <m/>
    <s v="Y"/>
    <n v="1"/>
    <d v="2023-07-17T19:42:15"/>
    <s v="N"/>
    <m/>
    <m/>
    <s v="Profit Cost"/>
    <m/>
    <s v="N"/>
    <n v="-746.97"/>
    <n v="0"/>
    <x v="8"/>
    <s v="VALIDATED"/>
    <n v="1"/>
    <s v="01.11.80.307.2013.0000"/>
    <n v="-746.97"/>
    <s v="11"/>
    <s v="2013"/>
    <n v="1002.88"/>
    <n v="-746.97"/>
    <s v="CREDITOR"/>
    <n v="0"/>
    <n v="0"/>
    <n v="-746.97"/>
    <n v="-186.7425"/>
    <n v="0"/>
  </r>
  <r>
    <n v="9763731"/>
    <s v="N"/>
    <n v="21388272"/>
    <s v="3000005684890007RC"/>
    <s v="CIVIL"/>
    <d v="2023-06-29T00:00:00"/>
    <d v="2023-07-17T19:42:13"/>
    <m/>
    <d v="2023-07-17T00:00:00"/>
    <n v="1269"/>
    <n v="19418"/>
    <s v="9763731"/>
    <s v="9763731"/>
    <m/>
    <m/>
    <m/>
    <m/>
    <m/>
    <m/>
    <s v="SOLRECOUP"/>
    <s v="SOLRECOUP"/>
    <s v="POARECOUP"/>
    <n v="21388272"/>
    <n v="-896.36"/>
    <m/>
    <s v="Y"/>
    <n v="2"/>
    <d v="2023-07-17T19:42:15"/>
    <s v="N"/>
    <m/>
    <m/>
    <s v="Profit Cost"/>
    <m/>
    <s v="N"/>
    <n v="0"/>
    <n v="-149.39"/>
    <x v="8"/>
    <s v="VALIDATED"/>
    <n v="1"/>
    <s v="01.11.80.307.2013.0000"/>
    <n v="-149.39"/>
    <s v="11"/>
    <s v="2013"/>
    <n v="1002.88"/>
    <n v="-149.39"/>
    <s v="CREDITOR"/>
    <n v="0"/>
    <n v="0"/>
    <n v="-149.39"/>
    <n v="-37.3475"/>
    <n v="0"/>
  </r>
  <r>
    <n v="9763731"/>
    <s v="N"/>
    <n v="21388273"/>
    <s v="3000005684890006RC"/>
    <s v="CIVIL"/>
    <d v="2023-06-29T00:00:00"/>
    <d v="2023-07-17T19:42:13"/>
    <m/>
    <d v="2023-07-17T00:00:00"/>
    <n v="1269"/>
    <n v="19418"/>
    <s v="9763731"/>
    <s v="9763731"/>
    <m/>
    <m/>
    <m/>
    <m/>
    <m/>
    <m/>
    <s v="SOLRECOUP"/>
    <s v="SOLRECOUP"/>
    <s v="POARECOUP"/>
    <n v="21388273"/>
    <n v="-49.02"/>
    <m/>
    <s v="Y"/>
    <n v="2"/>
    <d v="2023-07-17T19:42:15"/>
    <s v="N"/>
    <m/>
    <m/>
    <s v="Non Expert Disbursement"/>
    <m/>
    <s v="N"/>
    <n v="0"/>
    <n v="-8.17"/>
    <x v="8"/>
    <s v="VALIDATED"/>
    <n v="1"/>
    <s v="01.11.80.307.2013.0000"/>
    <n v="-8.17"/>
    <s v="11"/>
    <s v="2013"/>
    <n v="1002.88"/>
    <n v="-8.17"/>
    <s v="CREDITOR"/>
    <n v="0"/>
    <n v="0"/>
    <n v="-8.17"/>
    <n v="0"/>
    <n v="0"/>
  </r>
  <r>
    <n v="9763731"/>
    <s v="N"/>
    <n v="21388273"/>
    <s v="3000005684890006RC"/>
    <s v="CIVIL"/>
    <d v="2023-06-29T00:00:00"/>
    <d v="2023-07-17T19:42:13"/>
    <m/>
    <d v="2023-07-17T00:00:00"/>
    <n v="1269"/>
    <n v="19418"/>
    <s v="9763731"/>
    <s v="9763731"/>
    <m/>
    <m/>
    <m/>
    <m/>
    <m/>
    <m/>
    <s v="SOLRECOUP"/>
    <s v="SOLRECOUP"/>
    <s v="POARECOUP"/>
    <n v="21388273"/>
    <n v="-49.02"/>
    <m/>
    <s v="Y"/>
    <n v="1"/>
    <d v="2023-07-17T19:42:15"/>
    <s v="N"/>
    <m/>
    <m/>
    <s v="Non Expert Disbursement"/>
    <m/>
    <s v="N"/>
    <n v="-40.85"/>
    <n v="0"/>
    <x v="8"/>
    <s v="VALIDATED"/>
    <n v="1"/>
    <s v="01.11.80.307.2013.0000"/>
    <n v="-40.85"/>
    <s v="11"/>
    <s v="2013"/>
    <n v="1002.88"/>
    <n v="-40.85"/>
    <s v="CREDITOR"/>
    <n v="0"/>
    <n v="0"/>
    <n v="-40.85"/>
    <n v="0"/>
    <n v="0"/>
  </r>
  <r>
    <n v="9763731"/>
    <s v="N"/>
    <n v="21388274"/>
    <s v="3000005684890008RC"/>
    <s v="CIVIL"/>
    <d v="2023-06-29T00:00:00"/>
    <d v="2023-07-17T19:42:13"/>
    <m/>
    <d v="2023-07-17T00:00:00"/>
    <n v="1269"/>
    <n v="19418"/>
    <s v="9763731"/>
    <s v="9763731"/>
    <m/>
    <m/>
    <m/>
    <m/>
    <m/>
    <m/>
    <s v="SOLRECOUP"/>
    <s v="SOLRECOUP"/>
    <s v="POARECOUP"/>
    <n v="21388274"/>
    <n v="-51.34"/>
    <m/>
    <s v="Y"/>
    <n v="1"/>
    <d v="2023-07-17T19:42:15"/>
    <s v="N"/>
    <m/>
    <m/>
    <s v="Non Expert Disbursement"/>
    <m/>
    <s v="N"/>
    <n v="-42.78"/>
    <n v="0"/>
    <x v="8"/>
    <s v="VALIDATED"/>
    <n v="1"/>
    <s v="01.11.80.307.2013.0000"/>
    <n v="-42.78"/>
    <s v="11"/>
    <s v="2013"/>
    <n v="1002.88"/>
    <n v="-42.78"/>
    <s v="CREDITOR"/>
    <n v="0"/>
    <n v="0"/>
    <n v="-42.78"/>
    <n v="0"/>
    <n v="0"/>
  </r>
  <r>
    <n v="9763731"/>
    <s v="N"/>
    <n v="21388274"/>
    <s v="3000005684890008RC"/>
    <s v="CIVIL"/>
    <d v="2023-06-29T00:00:00"/>
    <d v="2023-07-17T19:42:13"/>
    <m/>
    <d v="2023-07-17T00:00:00"/>
    <n v="1269"/>
    <n v="19418"/>
    <s v="9763731"/>
    <s v="9763731"/>
    <m/>
    <m/>
    <m/>
    <m/>
    <m/>
    <m/>
    <s v="SOLRECOUP"/>
    <s v="SOLRECOUP"/>
    <s v="POARECOUP"/>
    <n v="21388274"/>
    <n v="-51.34"/>
    <m/>
    <s v="Y"/>
    <n v="2"/>
    <d v="2023-07-17T19:42:15"/>
    <s v="N"/>
    <m/>
    <m/>
    <s v="Non Expert Disbursement"/>
    <m/>
    <s v="N"/>
    <n v="0"/>
    <n v="-8.56"/>
    <x v="8"/>
    <s v="VALIDATED"/>
    <n v="1"/>
    <s v="01.11.80.307.2013.0000"/>
    <n v="-8.56"/>
    <s v="11"/>
    <s v="2013"/>
    <n v="1002.88"/>
    <n v="-8.56"/>
    <s v="CREDITOR"/>
    <n v="0"/>
    <n v="0"/>
    <n v="-8.56"/>
    <n v="0"/>
    <n v="0"/>
  </r>
  <r>
    <n v="10763226"/>
    <s v="N"/>
    <n v="21388275"/>
    <s v="3000006547450004RC"/>
    <s v="CIVIL"/>
    <d v="2023-06-29T00:00:00"/>
    <d v="2023-07-17T19:42:13"/>
    <m/>
    <d v="2023-07-17T00:00:00"/>
    <n v="1269"/>
    <n v="19418"/>
    <s v="10763226"/>
    <s v="10763226"/>
    <m/>
    <m/>
    <m/>
    <m/>
    <m/>
    <m/>
    <s v="SOLRECOUP"/>
    <s v="SOLRECOUP"/>
    <s v="POARECOUP"/>
    <n v="21388275"/>
    <n v="-34.7"/>
    <m/>
    <s v="Y"/>
    <n v="2"/>
    <d v="2023-07-17T19:42:15"/>
    <s v="N"/>
    <m/>
    <m/>
    <s v="Non Expert Disbursement"/>
    <m/>
    <s v="N"/>
    <n v="0"/>
    <n v="-5.78"/>
    <x v="8"/>
    <s v="VALIDATED"/>
    <n v="1"/>
    <s v="01.11.80.307.2013.0000"/>
    <n v="-5.78"/>
    <s v="11"/>
    <s v="2013"/>
    <n v="1002.88"/>
    <n v="-5.78"/>
    <s v="CREDITOR"/>
    <n v="0"/>
    <n v="0"/>
    <n v="-5.78"/>
    <n v="0"/>
    <n v="0"/>
  </r>
  <r>
    <n v="10763226"/>
    <s v="N"/>
    <n v="21388275"/>
    <s v="3000006547450004RC"/>
    <s v="CIVIL"/>
    <d v="2023-06-29T00:00:00"/>
    <d v="2023-07-17T19:42:13"/>
    <m/>
    <d v="2023-07-17T00:00:00"/>
    <n v="1269"/>
    <n v="19418"/>
    <s v="10763226"/>
    <s v="10763226"/>
    <m/>
    <m/>
    <m/>
    <m/>
    <m/>
    <m/>
    <s v="SOLRECOUP"/>
    <s v="SOLRECOUP"/>
    <s v="POARECOUP"/>
    <n v="21388275"/>
    <n v="-34.7"/>
    <m/>
    <s v="Y"/>
    <n v="1"/>
    <d v="2023-07-17T19:42:15"/>
    <s v="N"/>
    <m/>
    <m/>
    <s v="Non Expert Disbursement"/>
    <m/>
    <s v="N"/>
    <n v="-28.92"/>
    <n v="0"/>
    <x v="8"/>
    <s v="VALIDATED"/>
    <n v="1"/>
    <s v="01.11.80.307.2013.0000"/>
    <n v="-28.92"/>
    <s v="11"/>
    <s v="2013"/>
    <n v="1002.88"/>
    <n v="-28.92"/>
    <s v="CREDITOR"/>
    <n v="0"/>
    <n v="0"/>
    <n v="-28.92"/>
    <n v="0"/>
    <n v="0"/>
  </r>
  <r>
    <n v="10763226"/>
    <s v="N"/>
    <n v="21388276"/>
    <s v="3000006547450003RC"/>
    <s v="CIVIL"/>
    <d v="2023-06-29T00:00:00"/>
    <d v="2023-07-17T19:42:13"/>
    <m/>
    <d v="2023-07-17T00:00:00"/>
    <n v="1269"/>
    <n v="19418"/>
    <s v="10763226"/>
    <s v="10763226"/>
    <m/>
    <m/>
    <m/>
    <m/>
    <m/>
    <m/>
    <s v="SOLRECOUP"/>
    <s v="SOLRECOUP"/>
    <s v="POARECOUP"/>
    <n v="21388276"/>
    <n v="-100"/>
    <m/>
    <s v="Y"/>
    <n v="1"/>
    <d v="2023-07-17T19:42:15"/>
    <s v="N"/>
    <m/>
    <m/>
    <s v="Non Expert Disbursement"/>
    <m/>
    <s v="N"/>
    <n v="-100"/>
    <n v="0"/>
    <x v="8"/>
    <s v="VALIDATED"/>
    <n v="1"/>
    <s v="01.11.80.307.2013.0000"/>
    <n v="-100"/>
    <s v="11"/>
    <s v="2013"/>
    <n v="1002.88"/>
    <n v="-100"/>
    <s v="CREDITOR"/>
    <n v="0"/>
    <n v="0"/>
    <n v="-100"/>
    <n v="0"/>
    <n v="0"/>
  </r>
  <r>
    <n v="60593071"/>
    <s v="N"/>
    <n v="21366441"/>
    <s v="3000014854910001RC"/>
    <s v="CIVIL"/>
    <d v="2023-06-29T00:00:00"/>
    <d v="2023-07-12T19:45:17"/>
    <m/>
    <d v="2023-07-12T00:00:00"/>
    <n v="1269"/>
    <n v="19418"/>
    <s v="60593071"/>
    <s v="60593071"/>
    <m/>
    <m/>
    <m/>
    <m/>
    <m/>
    <m/>
    <s v="SOLRECOUP"/>
    <s v="SOLRECOUP"/>
    <s v="POARECOUP"/>
    <n v="21366441"/>
    <n v="-611.7"/>
    <m/>
    <s v="Y"/>
    <n v="1"/>
    <d v="2023-07-12T19:45:18"/>
    <s v="N"/>
    <m/>
    <m/>
    <s v="Profit Cost"/>
    <m/>
    <s v="N"/>
    <n v="-509.75"/>
    <n v="0"/>
    <x v="0"/>
    <s v="VALIDATED"/>
    <n v="1"/>
    <s v="01.11.80.308.2013.0000"/>
    <n v="-509.75"/>
    <s v="11"/>
    <s v="2013"/>
    <n v="1002.88"/>
    <n v="-509.75"/>
    <s v="CREDITOR"/>
    <n v="0"/>
    <n v="0"/>
    <n v="-509.75"/>
    <n v="-127.4375"/>
    <n v="0"/>
  </r>
  <r>
    <n v="60593071"/>
    <s v="N"/>
    <n v="21366441"/>
    <s v="3000014854910001RC"/>
    <s v="CIVIL"/>
    <d v="2023-06-29T00:00:00"/>
    <d v="2023-07-12T19:45:17"/>
    <m/>
    <d v="2023-07-12T00:00:00"/>
    <n v="1269"/>
    <n v="19418"/>
    <s v="60593071"/>
    <s v="60593071"/>
    <m/>
    <m/>
    <m/>
    <m/>
    <m/>
    <m/>
    <s v="SOLRECOUP"/>
    <s v="SOLRECOUP"/>
    <s v="POARECOUP"/>
    <n v="21366441"/>
    <n v="-611.7"/>
    <m/>
    <s v="Y"/>
    <n v="2"/>
    <d v="2023-07-12T19:45:18"/>
    <s v="N"/>
    <m/>
    <m/>
    <s v="Profit Cost"/>
    <m/>
    <s v="N"/>
    <n v="0"/>
    <n v="-101.95"/>
    <x v="0"/>
    <s v="VALIDATED"/>
    <n v="1"/>
    <s v="01.11.80.308.2013.0000"/>
    <n v="-101.95"/>
    <s v="11"/>
    <s v="2013"/>
    <n v="1002.88"/>
    <n v="-101.95"/>
    <s v="CREDITOR"/>
    <n v="0"/>
    <n v="0"/>
    <n v="-101.95"/>
    <n v="-25.4875"/>
    <n v="0"/>
  </r>
  <r>
    <n v="61172052"/>
    <s v="N"/>
    <n v="21349407"/>
    <s v="3000015352700002"/>
    <s v="CIVIL"/>
    <d v="2023-06-23T00:00:00"/>
    <d v="2023-07-10T19:01:40"/>
    <m/>
    <d v="2023-07-10T00:00:00"/>
    <n v="1279"/>
    <n v="15685"/>
    <s v="61172052"/>
    <s v="61172052"/>
    <m/>
    <m/>
    <n v="22749640"/>
    <m/>
    <m/>
    <m/>
    <s v="SOLFIN"/>
    <s v="SOLFIN"/>
    <s v="CCMS"/>
    <n v="21349407"/>
    <n v="2830.52"/>
    <m/>
    <s v="N"/>
    <n v="7"/>
    <d v="2023-07-10T19:01:49"/>
    <s v="Y"/>
    <s v="Preparation - other"/>
    <s v="Prescribed Hourly Rates"/>
    <s v="Profit Cost"/>
    <s v="KB"/>
    <s v="Y"/>
    <n v="126.27"/>
    <n v="25.26"/>
    <x v="2"/>
    <s v="VALIDATED"/>
    <n v="1"/>
    <s v="01.11.80.307.6100.0000"/>
    <n v="126.27"/>
    <s v="11"/>
    <s v="6100"/>
    <n v="7025.3"/>
    <n v="126.27"/>
    <s v="CREDITOR"/>
    <n v="0"/>
    <n v="0"/>
    <n v="0"/>
    <n v="0"/>
    <n v="126.27"/>
  </r>
  <r>
    <n v="61172052"/>
    <s v="N"/>
    <n v="21349407"/>
    <s v="3000015352700002"/>
    <s v="CIVIL"/>
    <d v="2023-06-23T00:00:00"/>
    <d v="2023-07-10T19:01:40"/>
    <m/>
    <d v="2023-07-10T00:00:00"/>
    <n v="1279"/>
    <n v="15685"/>
    <s v="61172052"/>
    <s v="61172052"/>
    <m/>
    <m/>
    <n v="22749640"/>
    <m/>
    <m/>
    <m/>
    <s v="SOLFIN"/>
    <s v="SOLFIN"/>
    <s v="CCMS"/>
    <n v="21349407"/>
    <n v="2830.52"/>
    <m/>
    <s v="N"/>
    <n v="21"/>
    <d v="2023-07-10T19:01:49"/>
    <s v="Y"/>
    <s v="Preparation - other"/>
    <s v="Prescribed Hourly Rates"/>
    <s v="Profit Cost"/>
    <s v="KB"/>
    <s v="Y"/>
    <n v="31.57"/>
    <n v="6.31"/>
    <x v="2"/>
    <s v="VALIDATED"/>
    <n v="1"/>
    <s v="01.11.80.307.6100.0000"/>
    <n v="31.57"/>
    <s v="11"/>
    <s v="6100"/>
    <n v="7025.3"/>
    <n v="31.57"/>
    <s v="CREDITOR"/>
    <n v="0"/>
    <n v="0"/>
    <n v="0"/>
    <n v="0"/>
    <n v="31.57"/>
  </r>
  <r>
    <n v="61172052"/>
    <s v="N"/>
    <n v="21349407"/>
    <s v="3000015352700002"/>
    <s v="CIVIL"/>
    <d v="2023-06-23T00:00:00"/>
    <d v="2023-07-10T19:01:40"/>
    <m/>
    <d v="2023-07-10T00:00:00"/>
    <n v="1279"/>
    <n v="15685"/>
    <s v="61172052"/>
    <s v="61172052"/>
    <m/>
    <m/>
    <n v="22749640"/>
    <m/>
    <m/>
    <m/>
    <s v="SOLFIN"/>
    <s v="SOLFIN"/>
    <s v="CCMS"/>
    <n v="21349407"/>
    <n v="2830.52"/>
    <m/>
    <s v="N"/>
    <n v="31"/>
    <d v="2023-07-10T19:01:49"/>
    <s v="Y"/>
    <s v="Preparation - drafting bill/claim f"/>
    <s v="Prescribed Hourly Rates"/>
    <s v="Profit Cost"/>
    <s v="JJA"/>
    <s v="Y"/>
    <n v="115.29"/>
    <n v="23.06"/>
    <x v="2"/>
    <s v="VALIDATED"/>
    <n v="1"/>
    <s v="01.11.80.307.6100.0000"/>
    <n v="115.29"/>
    <s v="11"/>
    <s v="6100"/>
    <n v="7025.3"/>
    <n v="115.29"/>
    <s v="CREDITOR"/>
    <n v="0"/>
    <n v="0"/>
    <n v="0"/>
    <n v="0"/>
    <n v="115.29"/>
  </r>
  <r>
    <n v="61172052"/>
    <s v="N"/>
    <n v="21349407"/>
    <s v="3000015352700002"/>
    <s v="CIVIL"/>
    <d v="2023-06-23T00:00:00"/>
    <d v="2023-07-10T19:01:40"/>
    <m/>
    <d v="2023-07-10T00:00:00"/>
    <n v="1279"/>
    <n v="15685"/>
    <s v="61172052"/>
    <s v="61172052"/>
    <m/>
    <m/>
    <n v="22749640"/>
    <m/>
    <m/>
    <m/>
    <s v="SOLFIN"/>
    <s v="SOLFIN"/>
    <s v="CCMS"/>
    <n v="21349407"/>
    <n v="2830.52"/>
    <m/>
    <s v="N"/>
    <n v="26"/>
    <d v="2023-07-10T19:01:49"/>
    <s v="Y"/>
    <s v="Preparation - drafting attendance n"/>
    <s v="Prescribed Hourly Rates"/>
    <s v="Profit Cost"/>
    <s v="KB"/>
    <s v="Y"/>
    <n v="6.31"/>
    <n v="1.26"/>
    <x v="2"/>
    <s v="VALIDATED"/>
    <n v="1"/>
    <s v="01.11.80.307.6100.0000"/>
    <n v="6.31"/>
    <s v="11"/>
    <s v="6100"/>
    <n v="7025.3"/>
    <n v="6.31"/>
    <s v="CREDITOR"/>
    <n v="0"/>
    <n v="0"/>
    <n v="0"/>
    <n v="0"/>
    <n v="6.31"/>
  </r>
  <r>
    <n v="59733015"/>
    <s v="N"/>
    <n v="21328107"/>
    <s v="3000014112360002"/>
    <s v="CIVIL"/>
    <d v="2023-06-26T00:00:00"/>
    <d v="2023-07-04T19:00:44"/>
    <m/>
    <d v="2023-07-04T00:00:00"/>
    <n v="1279"/>
    <n v="15685"/>
    <s v="59733015"/>
    <s v="59733015"/>
    <m/>
    <m/>
    <n v="22762112"/>
    <m/>
    <m/>
    <m/>
    <s v="SOLFIN"/>
    <s v="SOLFIN"/>
    <s v="CCMS"/>
    <n v="21328107"/>
    <n v="2689.24"/>
    <m/>
    <s v="N"/>
    <n v="43"/>
    <d v="2023-07-04T19:01:04"/>
    <s v="Y"/>
    <s v="Attendance upon other side"/>
    <s v="Prescribed Hourly Rates"/>
    <s v="Profit Cost"/>
    <s v="NA"/>
    <s v="Y"/>
    <n v="27.45"/>
    <n v="5.49"/>
    <x v="1"/>
    <s v="VALIDATED"/>
    <n v="1"/>
    <s v="01.11.80.303.6100.0000"/>
    <n v="27.45"/>
    <s v="11"/>
    <s v="6100"/>
    <n v="7025.3"/>
    <n v="27.45"/>
    <s v="CREDITOR"/>
    <n v="0"/>
    <n v="0"/>
    <n v="0"/>
    <n v="0"/>
    <n v="27.45"/>
  </r>
  <r>
    <n v="59733015"/>
    <s v="N"/>
    <n v="21328107"/>
    <s v="3000014112360002"/>
    <s v="CIVIL"/>
    <d v="2023-06-26T00:00:00"/>
    <d v="2023-07-04T19:00:44"/>
    <m/>
    <d v="2023-07-04T00:00:00"/>
    <n v="1279"/>
    <n v="15685"/>
    <s v="59733015"/>
    <s v="59733015"/>
    <m/>
    <m/>
    <n v="22762112"/>
    <m/>
    <m/>
    <m/>
    <s v="SOLFIN"/>
    <s v="SOLFIN"/>
    <s v="CCMS"/>
    <n v="21328107"/>
    <n v="2689.24"/>
    <m/>
    <s v="N"/>
    <n v="44"/>
    <d v="2023-07-04T19:01:04"/>
    <s v="Y"/>
    <s v="Routine Letter In"/>
    <s v="Prescribed Hourly Rates"/>
    <s v="Profit Cost"/>
    <s v="NA"/>
    <s v="Y"/>
    <n v="75.59999999999999"/>
    <n v="15.12"/>
    <x v="1"/>
    <s v="VALIDATED"/>
    <n v="1"/>
    <s v="01.11.80.303.6100.0000"/>
    <n v="75.59999999999999"/>
    <s v="11"/>
    <s v="6100"/>
    <n v="7025.3"/>
    <n v="75.59999999999999"/>
    <s v="CREDITOR"/>
    <n v="0"/>
    <n v="0"/>
    <n v="0"/>
    <n v="0"/>
    <n v="75.59999999999999"/>
  </r>
  <r>
    <n v="59733015"/>
    <s v="N"/>
    <n v="21328107"/>
    <s v="3000014112360002"/>
    <s v="CIVIL"/>
    <d v="2023-06-26T00:00:00"/>
    <d v="2023-07-04T19:00:44"/>
    <m/>
    <d v="2023-07-04T00:00:00"/>
    <n v="1279"/>
    <n v="15685"/>
    <s v="59733015"/>
    <s v="59733015"/>
    <m/>
    <m/>
    <n v="22762112"/>
    <m/>
    <m/>
    <m/>
    <s v="SOLFIN"/>
    <s v="SOLFIN"/>
    <s v="CCMS"/>
    <n v="21328107"/>
    <n v="2689.24"/>
    <m/>
    <s v="N"/>
    <n v="30"/>
    <d v="2023-07-04T19:01:04"/>
    <s v="Y"/>
    <s v="Preparation - other"/>
    <s v="Prescribed Hourly Rates"/>
    <s v="Profit Cost"/>
    <s v="NA"/>
    <s v="Y"/>
    <n v="21.96"/>
    <n v="4.39"/>
    <x v="1"/>
    <s v="VALIDATED"/>
    <n v="1"/>
    <s v="01.11.80.303.6100.0000"/>
    <n v="21.96"/>
    <s v="11"/>
    <s v="6100"/>
    <n v="7025.3"/>
    <n v="21.96"/>
    <s v="CREDITOR"/>
    <n v="0"/>
    <n v="0"/>
    <n v="0"/>
    <n v="0"/>
    <n v="21.96"/>
  </r>
  <r>
    <n v="59733015"/>
    <s v="N"/>
    <n v="21328107"/>
    <s v="3000014112360002"/>
    <s v="CIVIL"/>
    <d v="2023-06-26T00:00:00"/>
    <d v="2023-07-04T19:00:44"/>
    <m/>
    <d v="2023-07-04T00:00:00"/>
    <n v="1279"/>
    <n v="15685"/>
    <s v="59733015"/>
    <s v="59733015"/>
    <m/>
    <m/>
    <n v="22762112"/>
    <m/>
    <m/>
    <m/>
    <s v="SOLFIN"/>
    <s v="SOLFIN"/>
    <s v="CCMS"/>
    <n v="21328107"/>
    <n v="2689.24"/>
    <m/>
    <s v="N"/>
    <n v="5"/>
    <d v="2023-07-04T19:01:04"/>
    <s v="Y"/>
    <s v="Preparation - other"/>
    <s v="Prescribed Hourly Rates"/>
    <s v="Profit Cost"/>
    <s v="KB"/>
    <s v="Y"/>
    <n v="12.63"/>
    <n v="2.53"/>
    <x v="1"/>
    <s v="VALIDATED"/>
    <n v="1"/>
    <s v="01.11.80.303.6100.0000"/>
    <n v="12.63"/>
    <s v="11"/>
    <s v="6100"/>
    <n v="7025.3"/>
    <n v="12.63"/>
    <s v="CREDITOR"/>
    <n v="0"/>
    <n v="0"/>
    <n v="0"/>
    <n v="0"/>
    <n v="12.63"/>
  </r>
  <r>
    <n v="59733015"/>
    <s v="N"/>
    <n v="21328107"/>
    <s v="3000014112360002"/>
    <s v="CIVIL"/>
    <d v="2023-06-26T00:00:00"/>
    <d v="2023-07-04T19:00:44"/>
    <m/>
    <d v="2023-07-04T00:00:00"/>
    <n v="1279"/>
    <n v="15685"/>
    <s v="59733015"/>
    <s v="59733015"/>
    <m/>
    <m/>
    <n v="22762112"/>
    <m/>
    <m/>
    <m/>
    <s v="SOLFIN"/>
    <s v="SOLFIN"/>
    <s v="CCMS"/>
    <n v="21328107"/>
    <n v="2689.24"/>
    <m/>
    <s v="N"/>
    <n v="53"/>
    <d v="2023-07-04T19:01:04"/>
    <s v="Y"/>
    <s v="Preparation - other"/>
    <s v="Prescribed Hourly Rates"/>
    <s v="Profit Cost"/>
    <s v="NA"/>
    <s v="Y"/>
    <n v="10.98"/>
    <n v="2.2"/>
    <x v="1"/>
    <s v="VALIDATED"/>
    <n v="1"/>
    <s v="01.11.80.303.6100.0000"/>
    <n v="10.98"/>
    <s v="11"/>
    <s v="6100"/>
    <n v="7025.3"/>
    <n v="10.98"/>
    <s v="CREDITOR"/>
    <n v="0"/>
    <n v="0"/>
    <n v="0"/>
    <n v="0"/>
    <n v="10.98"/>
  </r>
  <r>
    <n v="61172052"/>
    <s v="N"/>
    <n v="21349407"/>
    <s v="3000015352700002"/>
    <s v="CIVIL"/>
    <d v="2023-06-23T00:00:00"/>
    <d v="2023-07-10T19:01:40"/>
    <m/>
    <d v="2023-07-10T00:00:00"/>
    <n v="1279"/>
    <n v="15685"/>
    <s v="61172052"/>
    <s v="61172052"/>
    <m/>
    <m/>
    <n v="22749640"/>
    <m/>
    <m/>
    <m/>
    <s v="SOLFIN"/>
    <s v="SOLFIN"/>
    <s v="CCMS"/>
    <n v="21349407"/>
    <n v="2830.52"/>
    <m/>
    <s v="N"/>
    <n v="20"/>
    <d v="2023-07-10T19:01:49"/>
    <s v="Y"/>
    <s v="Preparation - drafting attendance n"/>
    <s v="Prescribed Hourly Rates"/>
    <s v="Profit Cost"/>
    <s v="KB"/>
    <s v="Y"/>
    <n v="12.63"/>
    <n v="2.53"/>
    <x v="2"/>
    <s v="VALIDATED"/>
    <n v="1"/>
    <s v="01.11.80.307.6100.0000"/>
    <n v="12.63"/>
    <s v="11"/>
    <s v="6100"/>
    <n v="7025.3"/>
    <n v="12.63"/>
    <s v="CREDITOR"/>
    <n v="0"/>
    <n v="0"/>
    <n v="0"/>
    <n v="0"/>
    <n v="12.63"/>
  </r>
  <r>
    <n v="61172052"/>
    <s v="N"/>
    <n v="21349407"/>
    <s v="3000015352700002"/>
    <s v="CIVIL"/>
    <d v="2023-06-23T00:00:00"/>
    <d v="2023-07-10T19:01:40"/>
    <m/>
    <d v="2023-07-10T00:00:00"/>
    <n v="1279"/>
    <n v="15685"/>
    <s v="61172052"/>
    <s v="61172052"/>
    <m/>
    <m/>
    <n v="22749640"/>
    <m/>
    <m/>
    <m/>
    <s v="SOLFIN"/>
    <s v="SOLFIN"/>
    <s v="CCMS"/>
    <n v="21349407"/>
    <n v="2830.52"/>
    <m/>
    <s v="N"/>
    <n v="28"/>
    <d v="2023-07-10T19:01:49"/>
    <s v="Y"/>
    <s v="Preparation - other"/>
    <s v="Prescribed Hourly Rates"/>
    <s v="Profit Cost"/>
    <s v="KB"/>
    <s v="Y"/>
    <n v="12.63"/>
    <n v="2.53"/>
    <x v="2"/>
    <s v="VALIDATED"/>
    <n v="1"/>
    <s v="01.11.80.307.6100.0000"/>
    <n v="12.63"/>
    <s v="11"/>
    <s v="6100"/>
    <n v="7025.3"/>
    <n v="12.63"/>
    <s v="CREDITOR"/>
    <n v="0"/>
    <n v="0"/>
    <n v="0"/>
    <n v="0"/>
    <n v="12.63"/>
  </r>
  <r>
    <n v="59733015"/>
    <s v="N"/>
    <n v="21328107"/>
    <s v="3000014112360002"/>
    <s v="CIVIL"/>
    <d v="2023-06-26T00:00:00"/>
    <d v="2023-07-04T19:00:44"/>
    <m/>
    <d v="2023-07-04T00:00:00"/>
    <n v="1279"/>
    <n v="15685"/>
    <s v="59733015"/>
    <s v="59733015"/>
    <m/>
    <m/>
    <n v="22762112"/>
    <m/>
    <m/>
    <m/>
    <s v="SOLFIN"/>
    <s v="SOLFIN"/>
    <s v="CCMS"/>
    <n v="21328107"/>
    <n v="2689.24"/>
    <m/>
    <s v="N"/>
    <n v="22"/>
    <d v="2023-07-04T19:01:04"/>
    <s v="Y"/>
    <s v="Attendance upon client"/>
    <s v="Prescribed Hourly Rates"/>
    <s v="Profit Cost"/>
    <s v="NA"/>
    <s v="Y"/>
    <n v="43.92"/>
    <n v="8.779999999999999"/>
    <x v="1"/>
    <s v="VALIDATED"/>
    <n v="1"/>
    <s v="01.11.80.303.6100.0000"/>
    <n v="43.92"/>
    <s v="11"/>
    <s v="6100"/>
    <n v="7025.3"/>
    <n v="43.92"/>
    <s v="CREDITOR"/>
    <n v="0"/>
    <n v="0"/>
    <n v="0"/>
    <n v="0"/>
    <n v="43.92"/>
  </r>
  <r>
    <n v="59733015"/>
    <s v="N"/>
    <n v="21328107"/>
    <s v="3000014112360002"/>
    <s v="CIVIL"/>
    <d v="2023-06-26T00:00:00"/>
    <d v="2023-07-04T19:00:44"/>
    <m/>
    <d v="2023-07-04T00:00:00"/>
    <n v="1279"/>
    <n v="15685"/>
    <s v="59733015"/>
    <s v="59733015"/>
    <m/>
    <m/>
    <n v="22762112"/>
    <m/>
    <m/>
    <m/>
    <s v="SOLFIN"/>
    <s v="SOLFIN"/>
    <s v="CCMS"/>
    <n v="21328107"/>
    <n v="2689.24"/>
    <m/>
    <s v="N"/>
    <n v="39"/>
    <d v="2023-07-04T19:01:04"/>
    <s v="Y"/>
    <s v="Preparation - drafting attendance n"/>
    <s v="Prescribed Hourly Rates"/>
    <s v="Profit Cost"/>
    <s v="NA"/>
    <s v="Y"/>
    <n v="5.49"/>
    <n v="1.1"/>
    <x v="1"/>
    <s v="VALIDATED"/>
    <n v="1"/>
    <s v="01.11.80.303.6100.0000"/>
    <n v="5.49"/>
    <s v="11"/>
    <s v="6100"/>
    <n v="7025.3"/>
    <n v="5.49"/>
    <s v="CREDITOR"/>
    <n v="0"/>
    <n v="0"/>
    <n v="0"/>
    <n v="0"/>
    <n v="5.49"/>
  </r>
  <r>
    <n v="61063238"/>
    <s v="N"/>
    <n v="21327986"/>
    <s v="3000015260000002"/>
    <s v="CIVIL"/>
    <d v="2023-06-22T00:00:00"/>
    <d v="2023-07-04T19:00:44"/>
    <m/>
    <d v="2023-07-04T00:00:00"/>
    <n v="1279"/>
    <n v="15685"/>
    <s v="61063238"/>
    <s v="61063238"/>
    <m/>
    <m/>
    <n v="22746204"/>
    <m/>
    <m/>
    <m/>
    <s v="SOLFIN"/>
    <s v="SOLFIN"/>
    <s v="CCMS"/>
    <n v="21327986"/>
    <n v="5250.24"/>
    <m/>
    <s v="N"/>
    <n v="1"/>
    <d v="2023-07-04T19:01:00"/>
    <s v="Y"/>
    <s v="Solicitor Travel Expenses"/>
    <s v="Private Law Children"/>
    <s v="Non Expert Disbursement"/>
    <s v="RM"/>
    <s v="Y"/>
    <n v="1.5"/>
    <n v="0.3"/>
    <x v="1"/>
    <s v="VALIDATED"/>
    <n v="1"/>
    <s v="01.11.80.307.6300.0000"/>
    <n v="1.5"/>
    <s v="11"/>
    <s v="6300"/>
    <n v="7025.3"/>
    <n v="1.5"/>
    <s v="CREDITOR"/>
    <n v="0"/>
    <n v="0"/>
    <n v="0"/>
    <n v="0"/>
    <n v="1.5"/>
  </r>
  <r>
    <n v="61172052"/>
    <s v="N"/>
    <n v="21349407"/>
    <s v="3000015352700002"/>
    <s v="CIVIL"/>
    <d v="2023-06-23T00:00:00"/>
    <d v="2023-07-10T19:01:40"/>
    <m/>
    <d v="2023-07-10T00:00:00"/>
    <n v="1279"/>
    <n v="15685"/>
    <s v="61172052"/>
    <s v="61172052"/>
    <m/>
    <m/>
    <n v="22749640"/>
    <m/>
    <m/>
    <m/>
    <s v="SOLFIN"/>
    <s v="SOLFIN"/>
    <s v="CCMS"/>
    <n v="21349407"/>
    <n v="2830.52"/>
    <m/>
    <s v="N"/>
    <n v="35"/>
    <d v="2023-07-10T19:01:49"/>
    <s v="N"/>
    <s v="Level 3 Fixed Fee"/>
    <s v="Private Law Children"/>
    <s v="Profit Cost"/>
    <s v="KB"/>
    <s v="N"/>
    <n v="0"/>
    <n v="0"/>
    <x v="2"/>
    <s v="VALIDATED"/>
    <n v="1"/>
    <s v="01.11.80.307.6100.0000"/>
    <n v="0"/>
    <s v="11"/>
    <s v="6100"/>
    <n v="7025.3"/>
    <n v="0"/>
    <s v="CREDITOR"/>
    <n v="0"/>
    <n v="0"/>
    <n v="0"/>
    <n v="0"/>
    <n v="0"/>
  </r>
  <r>
    <n v="59733015"/>
    <s v="N"/>
    <n v="21328107"/>
    <s v="3000014112360002"/>
    <s v="CIVIL"/>
    <d v="2023-06-26T00:00:00"/>
    <d v="2023-07-04T19:00:44"/>
    <m/>
    <d v="2023-07-04T00:00:00"/>
    <n v="1279"/>
    <n v="15685"/>
    <s v="59733015"/>
    <s v="59733015"/>
    <m/>
    <m/>
    <n v="22762112"/>
    <m/>
    <m/>
    <m/>
    <s v="SOLFIN"/>
    <s v="SOLFIN"/>
    <s v="CCMS"/>
    <n v="21328107"/>
    <n v="2689.24"/>
    <m/>
    <s v="N"/>
    <n v="20"/>
    <d v="2023-07-04T19:01:04"/>
    <s v="Y"/>
    <s v="Preparation - other"/>
    <s v="Prescribed Hourly Rates"/>
    <s v="Profit Cost"/>
    <s v="NA"/>
    <s v="Y"/>
    <n v="54.9"/>
    <n v="10.98"/>
    <x v="1"/>
    <s v="VALIDATED"/>
    <n v="1"/>
    <s v="01.11.80.303.6100.0000"/>
    <n v="54.9"/>
    <s v="11"/>
    <s v="6100"/>
    <n v="7025.3"/>
    <n v="54.9"/>
    <s v="CREDITOR"/>
    <n v="0"/>
    <n v="0"/>
    <n v="0"/>
    <n v="0"/>
    <n v="54.9"/>
  </r>
  <r>
    <n v="61063238"/>
    <s v="N"/>
    <n v="21327986"/>
    <s v="3000015260000002"/>
    <s v="CIVIL"/>
    <d v="2023-06-22T00:00:00"/>
    <d v="2023-07-04T19:00:44"/>
    <m/>
    <d v="2023-07-04T00:00:00"/>
    <n v="1279"/>
    <n v="15685"/>
    <s v="61063238"/>
    <s v="61063238"/>
    <m/>
    <m/>
    <n v="22746204"/>
    <m/>
    <m/>
    <m/>
    <s v="SOLFIN"/>
    <s v="SOLFIN"/>
    <s v="CCMS"/>
    <n v="21327986"/>
    <n v="5250.24"/>
    <m/>
    <s v="N"/>
    <n v="2"/>
    <d v="2023-07-04T19:01:00"/>
    <s v="Y"/>
    <s v="Profit Costs (Summary)"/>
    <s v="Private Law Children"/>
    <s v="Profit Cost"/>
    <s v="KB"/>
    <s v="Y"/>
    <n v="3370.62"/>
    <n v="674.12"/>
    <x v="1"/>
    <s v="VALIDATED"/>
    <n v="1"/>
    <s v="01.11.80.307.6100.0000"/>
    <n v="3370.62"/>
    <s v="11"/>
    <s v="6100"/>
    <n v="7025.3"/>
    <n v="3370.62"/>
    <s v="CREDITOR"/>
    <n v="0"/>
    <n v="0"/>
    <n v="0"/>
    <n v="0"/>
    <n v="3370.62"/>
  </r>
  <r>
    <n v="59733015"/>
    <s v="N"/>
    <n v="21328107"/>
    <s v="3000014112360002"/>
    <s v="CIVIL"/>
    <d v="2023-06-26T00:00:00"/>
    <d v="2023-07-04T19:00:44"/>
    <m/>
    <d v="2023-07-04T00:00:00"/>
    <n v="1279"/>
    <n v="15685"/>
    <s v="59733015"/>
    <s v="59733015"/>
    <m/>
    <m/>
    <n v="22762112"/>
    <m/>
    <m/>
    <m/>
    <s v="SOLFIN"/>
    <s v="SOLFIN"/>
    <s v="CCMS"/>
    <n v="21328107"/>
    <n v="2689.24"/>
    <m/>
    <s v="N"/>
    <n v="61"/>
    <d v="2023-07-04T19:01:04"/>
    <s v="Y"/>
    <s v="Hearing Unit 2.31 - 5.00 Hours"/>
    <s v="Private Law Finance"/>
    <s v="Advocacy"/>
    <s v="NA"/>
    <s v="Y"/>
    <n v="315.9"/>
    <n v="63.18"/>
    <x v="1"/>
    <s v="VALIDATED"/>
    <n v="1"/>
    <s v="01.11.80.303.6100.0000"/>
    <n v="315.9"/>
    <s v="11"/>
    <s v="6100"/>
    <n v="7025.3"/>
    <n v="315.9"/>
    <s v="CREDITOR"/>
    <n v="0"/>
    <n v="0"/>
    <n v="0"/>
    <n v="0"/>
    <n v="315.9"/>
  </r>
  <r>
    <n v="61172052"/>
    <s v="N"/>
    <n v="21349407"/>
    <s v="3000015352700002"/>
    <s v="CIVIL"/>
    <d v="2023-06-23T00:00:00"/>
    <d v="2023-07-10T19:01:40"/>
    <m/>
    <d v="2023-07-10T00:00:00"/>
    <n v="1279"/>
    <n v="15685"/>
    <s v="61172052"/>
    <s v="61172052"/>
    <m/>
    <m/>
    <n v="22749640"/>
    <m/>
    <m/>
    <m/>
    <s v="SOLFIN"/>
    <s v="SOLFIN"/>
    <s v="CCMS"/>
    <n v="21349407"/>
    <n v="2830.52"/>
    <m/>
    <s v="N"/>
    <n v="18"/>
    <d v="2023-07-10T19:01:49"/>
    <s v="Y"/>
    <s v="Routine Letter In"/>
    <s v="Prescribed Hourly Rates"/>
    <s v="Profit Cost"/>
    <s v="SJ"/>
    <s v="Y"/>
    <n v="10.8"/>
    <n v="2.16"/>
    <x v="2"/>
    <s v="VALIDATED"/>
    <n v="1"/>
    <s v="01.11.80.307.6100.0000"/>
    <n v="10.8"/>
    <s v="11"/>
    <s v="6100"/>
    <n v="7025.3"/>
    <n v="10.8"/>
    <s v="CREDITOR"/>
    <n v="0"/>
    <n v="0"/>
    <n v="0"/>
    <n v="0"/>
    <n v="10.8"/>
  </r>
  <r>
    <n v="61172052"/>
    <s v="N"/>
    <n v="21349407"/>
    <s v="3000015352700002"/>
    <s v="CIVIL"/>
    <d v="2023-06-23T00:00:00"/>
    <d v="2023-07-10T19:01:40"/>
    <m/>
    <d v="2023-07-10T00:00:00"/>
    <n v="1279"/>
    <n v="15685"/>
    <s v="61172052"/>
    <s v="61172052"/>
    <m/>
    <m/>
    <n v="22749640"/>
    <m/>
    <m/>
    <m/>
    <s v="SOLFIN"/>
    <s v="SOLFIN"/>
    <s v="CCMS"/>
    <n v="21349407"/>
    <n v="2830.52"/>
    <m/>
    <s v="N"/>
    <n v="9"/>
    <d v="2023-07-10T19:01:49"/>
    <s v="Y"/>
    <s v="Preparation - other"/>
    <s v="Prescribed Hourly Rates"/>
    <s v="Profit Cost"/>
    <s v="KB"/>
    <s v="Y"/>
    <n v="63.14"/>
    <n v="12.63"/>
    <x v="2"/>
    <s v="VALIDATED"/>
    <n v="1"/>
    <s v="01.11.80.307.6100.0000"/>
    <n v="63.14"/>
    <s v="11"/>
    <s v="6100"/>
    <n v="7025.3"/>
    <n v="63.14"/>
    <s v="CREDITOR"/>
    <n v="0"/>
    <n v="0"/>
    <n v="0"/>
    <n v="0"/>
    <n v="63.14"/>
  </r>
  <r>
    <n v="61063238"/>
    <s v="N"/>
    <n v="21327986"/>
    <s v="3000015260000002"/>
    <s v="CIVIL"/>
    <d v="2023-06-22T00:00:00"/>
    <d v="2023-07-04T19:00:44"/>
    <m/>
    <d v="2023-07-04T00:00:00"/>
    <n v="1279"/>
    <n v="15685"/>
    <s v="61063238"/>
    <s v="61063238"/>
    <m/>
    <m/>
    <n v="22746204"/>
    <m/>
    <m/>
    <m/>
    <s v="SOLFIN"/>
    <s v="SOLFIN"/>
    <s v="CCMS"/>
    <n v="21327986"/>
    <n v="5250.24"/>
    <m/>
    <s v="N"/>
    <n v="6"/>
    <d v="2023-07-04T19:01:00"/>
    <s v="N"/>
    <s v="Level 3 &amp; Level 4 Fixed Fee"/>
    <s v="Private Law Children"/>
    <s v="Profit Cost"/>
    <s v="KB"/>
    <s v="N"/>
    <n v="0"/>
    <n v="0"/>
    <x v="1"/>
    <s v="VALIDATED"/>
    <n v="1"/>
    <s v="01.11.80.307.6100.0000"/>
    <n v="0"/>
    <s v="11"/>
    <s v="6100"/>
    <n v="7025.3"/>
    <n v="0"/>
    <s v="CREDITOR"/>
    <n v="0"/>
    <n v="0"/>
    <n v="0"/>
    <n v="0"/>
    <n v="0"/>
  </r>
  <r>
    <n v="61063238"/>
    <s v="N"/>
    <n v="21327986"/>
    <s v="3000015260000002"/>
    <s v="CIVIL"/>
    <d v="2023-06-22T00:00:00"/>
    <d v="2023-07-04T19:00:44"/>
    <m/>
    <d v="2023-07-04T00:00:00"/>
    <n v="1279"/>
    <n v="15685"/>
    <s v="61063238"/>
    <s v="61063238"/>
    <m/>
    <m/>
    <n v="22746204"/>
    <m/>
    <m/>
    <m/>
    <s v="SOLFIN"/>
    <s v="SOLFIN"/>
    <s v="CCMS"/>
    <n v="21327986"/>
    <n v="5250.24"/>
    <m/>
    <s v="N"/>
    <n v="4"/>
    <d v="2023-07-04T19:01:00"/>
    <s v="Y"/>
    <s v="Hearing Unit 2.31 - 5.00 Hours"/>
    <s v="Private Law Children"/>
    <s v="Advocacy"/>
    <s v="KB"/>
    <s v="Y"/>
    <n v="344.8"/>
    <n v="68.95999999999999"/>
    <x v="1"/>
    <s v="VALIDATED"/>
    <n v="1"/>
    <s v="01.11.80.307.6100.0000"/>
    <n v="344.8"/>
    <s v="11"/>
    <s v="6100"/>
    <n v="7025.3"/>
    <n v="344.8"/>
    <s v="CREDITOR"/>
    <n v="0"/>
    <n v="0"/>
    <n v="0"/>
    <n v="0"/>
    <n v="344.8"/>
  </r>
  <r>
    <n v="61172052"/>
    <s v="N"/>
    <n v="21349407"/>
    <s v="3000015352700002"/>
    <s v="CIVIL"/>
    <d v="2023-06-23T00:00:00"/>
    <d v="2023-07-10T19:01:40"/>
    <m/>
    <d v="2023-07-10T00:00:00"/>
    <n v="1279"/>
    <n v="15685"/>
    <s v="61172052"/>
    <s v="61172052"/>
    <m/>
    <m/>
    <n v="22749640"/>
    <m/>
    <m/>
    <m/>
    <s v="SOLFIN"/>
    <s v="SOLFIN"/>
    <s v="CCMS"/>
    <n v="21349407"/>
    <n v="2830.52"/>
    <m/>
    <s v="N"/>
    <n v="17"/>
    <d v="2023-07-10T19:01:49"/>
    <s v="Y"/>
    <s v="Preparation - other"/>
    <s v="Prescribed Hourly Rates"/>
    <s v="Profit Cost"/>
    <s v="RM"/>
    <s v="Y"/>
    <n v="10.98"/>
    <n v="2.2"/>
    <x v="2"/>
    <s v="VALIDATED"/>
    <n v="1"/>
    <s v="01.11.80.307.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38"/>
    <d v="2023-07-04T19:01:04"/>
    <s v="Y"/>
    <s v="Attendance upon client"/>
    <s v="Prescribed Hourly Rates"/>
    <s v="Profit Cost"/>
    <s v="NA"/>
    <s v="Y"/>
    <n v="27.45"/>
    <n v="5.49"/>
    <x v="1"/>
    <s v="VALIDATED"/>
    <n v="1"/>
    <s v="01.11.80.303.6100.0000"/>
    <n v="27.45"/>
    <s v="11"/>
    <s v="6100"/>
    <n v="7025.3"/>
    <n v="27.45"/>
    <s v="CREDITOR"/>
    <n v="0"/>
    <n v="0"/>
    <n v="0"/>
    <n v="0"/>
    <n v="27.45"/>
  </r>
  <r>
    <n v="59733015"/>
    <s v="N"/>
    <n v="21328107"/>
    <s v="3000014112360002"/>
    <s v="CIVIL"/>
    <d v="2023-06-26T00:00:00"/>
    <d v="2023-07-04T19:00:44"/>
    <m/>
    <d v="2023-07-04T00:00:00"/>
    <n v="1279"/>
    <n v="15685"/>
    <s v="59733015"/>
    <s v="59733015"/>
    <m/>
    <m/>
    <n v="22762112"/>
    <m/>
    <m/>
    <m/>
    <s v="SOLFIN"/>
    <s v="SOLFIN"/>
    <s v="CCMS"/>
    <n v="21328107"/>
    <n v="2689.24"/>
    <m/>
    <s v="N"/>
    <n v="42"/>
    <d v="2023-07-04T19:01:04"/>
    <s v="Y"/>
    <s v="Preparation - drafting attendance n"/>
    <s v="Prescribed Hourly Rates"/>
    <s v="Profit Cost"/>
    <s v="NA"/>
    <s v="Y"/>
    <n v="10.98"/>
    <n v="2.2"/>
    <x v="1"/>
    <s v="VALIDATED"/>
    <n v="1"/>
    <s v="01.11.80.303.6100.0000"/>
    <n v="10.98"/>
    <s v="11"/>
    <s v="6100"/>
    <n v="7025.3"/>
    <n v="10.98"/>
    <s v="CREDITOR"/>
    <n v="0"/>
    <n v="0"/>
    <n v="0"/>
    <n v="0"/>
    <n v="10.98"/>
  </r>
  <r>
    <n v="61172052"/>
    <s v="N"/>
    <n v="21349407"/>
    <s v="3000015352700002"/>
    <s v="CIVIL"/>
    <d v="2023-06-23T00:00:00"/>
    <d v="2023-07-10T19:01:40"/>
    <m/>
    <d v="2023-07-10T00:00:00"/>
    <n v="1279"/>
    <n v="15685"/>
    <s v="61172052"/>
    <s v="61172052"/>
    <m/>
    <m/>
    <n v="22749640"/>
    <m/>
    <m/>
    <m/>
    <s v="SOLFIN"/>
    <s v="SOLFIN"/>
    <s v="CCMS"/>
    <n v="21349407"/>
    <n v="2830.52"/>
    <m/>
    <s v="N"/>
    <n v="34"/>
    <d v="2023-07-10T19:01:49"/>
    <s v="Y"/>
    <s v="Hearing Unit 2.31 - 5.00 Hours"/>
    <s v="Private Law Children"/>
    <s v="Advocacy"/>
    <s v="RM"/>
    <s v="Y"/>
    <n v="313.48"/>
    <n v="62.7"/>
    <x v="2"/>
    <s v="VALIDATED"/>
    <n v="1"/>
    <s v="01.11.80.307.6100.0000"/>
    <n v="313.48"/>
    <s v="11"/>
    <s v="6100"/>
    <n v="7025.3"/>
    <n v="313.48"/>
    <s v="CREDITOR"/>
    <n v="0"/>
    <n v="0"/>
    <n v="0"/>
    <n v="0"/>
    <n v="313.48"/>
  </r>
  <r>
    <n v="59733015"/>
    <s v="N"/>
    <n v="21328107"/>
    <s v="3000014112360002"/>
    <s v="CIVIL"/>
    <d v="2023-06-26T00:00:00"/>
    <d v="2023-07-04T19:00:44"/>
    <m/>
    <d v="2023-07-04T00:00:00"/>
    <n v="1279"/>
    <n v="15685"/>
    <s v="59733015"/>
    <s v="59733015"/>
    <m/>
    <m/>
    <n v="22762112"/>
    <m/>
    <m/>
    <m/>
    <s v="SOLFIN"/>
    <s v="SOLFIN"/>
    <s v="CCMS"/>
    <n v="21328107"/>
    <n v="2689.24"/>
    <m/>
    <s v="N"/>
    <n v="3"/>
    <d v="2023-07-04T19:01:04"/>
    <s v="Y"/>
    <s v="Preparation - other"/>
    <s v="Prescribed Hourly Rates"/>
    <s v="Profit Cost"/>
    <s v="KB"/>
    <s v="Y"/>
    <n v="12.63"/>
    <n v="2.53"/>
    <x v="1"/>
    <s v="VALIDATED"/>
    <n v="1"/>
    <s v="01.11.80.303.6100.0000"/>
    <n v="12.63"/>
    <s v="11"/>
    <s v="6100"/>
    <n v="7025.3"/>
    <n v="12.63"/>
    <s v="CREDITOR"/>
    <n v="0"/>
    <n v="0"/>
    <n v="0"/>
    <n v="0"/>
    <n v="12.63"/>
  </r>
  <r>
    <n v="59733015"/>
    <s v="N"/>
    <n v="21328107"/>
    <s v="3000014112360002"/>
    <s v="CIVIL"/>
    <d v="2023-06-26T00:00:00"/>
    <d v="2023-07-04T19:00:44"/>
    <m/>
    <d v="2023-07-04T00:00:00"/>
    <n v="1279"/>
    <n v="15685"/>
    <s v="59733015"/>
    <s v="59733015"/>
    <m/>
    <m/>
    <n v="22762112"/>
    <m/>
    <m/>
    <m/>
    <s v="SOLFIN"/>
    <s v="SOLFIN"/>
    <s v="CCMS"/>
    <n v="21328107"/>
    <n v="2689.24"/>
    <m/>
    <s v="N"/>
    <n v="17"/>
    <d v="2023-07-04T19:01:04"/>
    <s v="Y"/>
    <s v="Attendance upon other side"/>
    <s v="Prescribed Hourly Rates"/>
    <s v="Profit Cost"/>
    <s v="NA"/>
    <s v="Y"/>
    <n v="16.47"/>
    <n v="3.29"/>
    <x v="1"/>
    <s v="VALIDATED"/>
    <n v="1"/>
    <s v="01.11.80.303.6100.0000"/>
    <n v="16.47"/>
    <s v="11"/>
    <s v="6100"/>
    <n v="7025.3"/>
    <n v="16.47"/>
    <s v="CREDITOR"/>
    <n v="0"/>
    <n v="0"/>
    <n v="0"/>
    <n v="0"/>
    <n v="16.47"/>
  </r>
  <r>
    <n v="61172052"/>
    <s v="N"/>
    <n v="21349407"/>
    <s v="3000015352700002"/>
    <s v="CIVIL"/>
    <d v="2023-06-23T00:00:00"/>
    <d v="2023-07-10T19:01:40"/>
    <m/>
    <d v="2023-07-10T00:00:00"/>
    <n v="1279"/>
    <n v="15685"/>
    <s v="61172052"/>
    <s v="61172052"/>
    <m/>
    <m/>
    <n v="22749640"/>
    <m/>
    <m/>
    <m/>
    <s v="SOLFIN"/>
    <s v="SOLFIN"/>
    <s v="CCMS"/>
    <n v="21349407"/>
    <n v="2830.52"/>
    <m/>
    <s v="N"/>
    <n v="4"/>
    <d v="2023-07-10T19:01:49"/>
    <s v="Y"/>
    <s v="Preparation - other"/>
    <s v="Prescribed Hourly Rates"/>
    <s v="Profit Cost"/>
    <s v="KB"/>
    <s v="Y"/>
    <n v="18.94"/>
    <n v="3.79"/>
    <x v="2"/>
    <s v="VALIDATED"/>
    <n v="1"/>
    <s v="01.11.80.307.6100.0000"/>
    <n v="18.94"/>
    <s v="11"/>
    <s v="6100"/>
    <n v="7025.3"/>
    <n v="18.94"/>
    <s v="CREDITOR"/>
    <n v="0"/>
    <n v="0"/>
    <n v="0"/>
    <n v="0"/>
    <n v="18.94"/>
  </r>
  <r>
    <n v="59733015"/>
    <s v="N"/>
    <n v="21328107"/>
    <s v="3000014112360002"/>
    <s v="CIVIL"/>
    <d v="2023-06-26T00:00:00"/>
    <d v="2023-07-04T19:00:44"/>
    <m/>
    <d v="2023-07-04T00:00:00"/>
    <n v="1279"/>
    <n v="15685"/>
    <s v="59733015"/>
    <s v="59733015"/>
    <m/>
    <m/>
    <n v="22762112"/>
    <m/>
    <m/>
    <m/>
    <s v="SOLFIN"/>
    <s v="SOLFIN"/>
    <s v="CCMS"/>
    <n v="21328107"/>
    <n v="2689.24"/>
    <m/>
    <s v="N"/>
    <n v="16"/>
    <d v="2023-07-04T19:01:04"/>
    <s v="Y"/>
    <s v="Preparation - other"/>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56"/>
    <d v="2023-07-04T19:01:04"/>
    <s v="Y"/>
    <s v="Preparation - drafting attendance n"/>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23"/>
    <d v="2023-07-04T19:01:04"/>
    <s v="Y"/>
    <s v="Preparation - other"/>
    <s v="Prescribed Hourly Rates"/>
    <s v="Profit Cost"/>
    <s v="NA"/>
    <s v="Y"/>
    <n v="16.47"/>
    <n v="3.29"/>
    <x v="1"/>
    <s v="VALIDATED"/>
    <n v="1"/>
    <s v="01.11.80.303.6100.0000"/>
    <n v="16.47"/>
    <s v="11"/>
    <s v="6100"/>
    <n v="7025.3"/>
    <n v="16.47"/>
    <s v="CREDITOR"/>
    <n v="0"/>
    <n v="0"/>
    <n v="0"/>
    <n v="0"/>
    <n v="16.47"/>
  </r>
  <r>
    <n v="59733015"/>
    <s v="N"/>
    <n v="21328107"/>
    <s v="3000014112360002"/>
    <s v="CIVIL"/>
    <d v="2023-06-26T00:00:00"/>
    <d v="2023-07-04T19:00:44"/>
    <m/>
    <d v="2023-07-04T00:00:00"/>
    <n v="1279"/>
    <n v="15685"/>
    <s v="59733015"/>
    <s v="59733015"/>
    <m/>
    <m/>
    <n v="22762112"/>
    <m/>
    <m/>
    <m/>
    <s v="SOLFIN"/>
    <s v="SOLFIN"/>
    <s v="CCMS"/>
    <n v="21328107"/>
    <n v="2689.24"/>
    <m/>
    <s v="N"/>
    <n v="26"/>
    <d v="2023-07-04T19:01:04"/>
    <s v="Y"/>
    <s v="Preparation - other"/>
    <s v="Prescribed Hourly Rates"/>
    <s v="Profit Cost"/>
    <s v="NA"/>
    <s v="Y"/>
    <n v="164.7"/>
    <n v="32.94"/>
    <x v="1"/>
    <s v="VALIDATED"/>
    <n v="1"/>
    <s v="01.11.80.303.6100.0000"/>
    <n v="164.7"/>
    <s v="11"/>
    <s v="6100"/>
    <n v="7025.3"/>
    <n v="164.7"/>
    <s v="CREDITOR"/>
    <n v="0"/>
    <n v="0"/>
    <n v="0"/>
    <n v="0"/>
    <n v="164.7"/>
  </r>
  <r>
    <n v="61172052"/>
    <s v="N"/>
    <n v="21349407"/>
    <s v="3000015352700002"/>
    <s v="CIVIL"/>
    <d v="2023-06-23T00:00:00"/>
    <d v="2023-07-10T19:01:40"/>
    <m/>
    <d v="2023-07-10T00:00:00"/>
    <n v="1279"/>
    <n v="15685"/>
    <s v="61172052"/>
    <s v="61172052"/>
    <m/>
    <m/>
    <n v="22749640"/>
    <m/>
    <m/>
    <m/>
    <s v="SOLFIN"/>
    <s v="SOLFIN"/>
    <s v="CCMS"/>
    <n v="21349407"/>
    <n v="2830.52"/>
    <m/>
    <s v="N"/>
    <n v="1"/>
    <d v="2023-07-10T19:01:49"/>
    <s v="Y"/>
    <s v="Routine Letter In"/>
    <s v="Prescribed Hourly Rates"/>
    <s v="Profit Cost"/>
    <s v="KB"/>
    <s v="Y"/>
    <n v="90.05"/>
    <n v="18.01"/>
    <x v="2"/>
    <s v="VALIDATED"/>
    <n v="1"/>
    <s v="01.11.80.307.6100.0000"/>
    <n v="90.05"/>
    <s v="11"/>
    <s v="6100"/>
    <n v="7025.3"/>
    <n v="90.05"/>
    <s v="CREDITOR"/>
    <n v="0"/>
    <n v="0"/>
    <n v="0"/>
    <n v="0"/>
    <n v="90.05"/>
  </r>
  <r>
    <n v="59733015"/>
    <s v="N"/>
    <n v="21328107"/>
    <s v="3000014112360002"/>
    <s v="CIVIL"/>
    <d v="2023-06-26T00:00:00"/>
    <d v="2023-07-04T19:00:44"/>
    <m/>
    <d v="2023-07-04T00:00:00"/>
    <n v="1279"/>
    <n v="15685"/>
    <s v="59733015"/>
    <s v="59733015"/>
    <m/>
    <m/>
    <n v="22762112"/>
    <m/>
    <m/>
    <m/>
    <s v="SOLFIN"/>
    <s v="SOLFIN"/>
    <s v="CCMS"/>
    <n v="21328107"/>
    <n v="2689.24"/>
    <m/>
    <s v="N"/>
    <n v="18"/>
    <d v="2023-07-04T19:01:04"/>
    <s v="Y"/>
    <s v="Attendance upon client"/>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48"/>
    <d v="2023-07-04T19:01:04"/>
    <s v="Y"/>
    <s v="Attendance upon client"/>
    <s v="Prescribed Hourly Rates"/>
    <s v="Profit Cost"/>
    <s v="NA"/>
    <s v="Y"/>
    <n v="27.45"/>
    <n v="5.49"/>
    <x v="1"/>
    <s v="VALIDATED"/>
    <n v="1"/>
    <s v="01.11.80.303.6100.0000"/>
    <n v="27.45"/>
    <s v="11"/>
    <s v="6100"/>
    <n v="7025.3"/>
    <n v="27.45"/>
    <s v="CREDITOR"/>
    <n v="0"/>
    <n v="0"/>
    <n v="0"/>
    <n v="0"/>
    <n v="27.45"/>
  </r>
  <r>
    <n v="59733015"/>
    <s v="N"/>
    <n v="21328107"/>
    <s v="3000014112360002"/>
    <s v="CIVIL"/>
    <d v="2023-06-26T00:00:00"/>
    <d v="2023-07-04T19:00:44"/>
    <m/>
    <d v="2023-07-04T00:00:00"/>
    <n v="1279"/>
    <n v="15685"/>
    <s v="59733015"/>
    <s v="59733015"/>
    <m/>
    <m/>
    <n v="22762112"/>
    <m/>
    <m/>
    <m/>
    <s v="SOLFIN"/>
    <s v="SOLFIN"/>
    <s v="CCMS"/>
    <n v="21328107"/>
    <n v="2689.24"/>
    <m/>
    <s v="N"/>
    <n v="57"/>
    <d v="2023-07-04T19:01:04"/>
    <s v="Y"/>
    <s v="Preparation - other"/>
    <s v="Prescribed Hourly Rates"/>
    <s v="Profit Cost"/>
    <s v="NA"/>
    <s v="Y"/>
    <n v="16.47"/>
    <n v="3.29"/>
    <x v="1"/>
    <s v="VALIDATED"/>
    <n v="1"/>
    <s v="01.11.80.303.6100.0000"/>
    <n v="16.47"/>
    <s v="11"/>
    <s v="6100"/>
    <n v="7025.3"/>
    <n v="16.47"/>
    <s v="CREDITOR"/>
    <n v="0"/>
    <n v="0"/>
    <n v="0"/>
    <n v="0"/>
    <n v="16.47"/>
  </r>
  <r>
    <n v="59733015"/>
    <s v="N"/>
    <n v="21328107"/>
    <s v="3000014112360002"/>
    <s v="CIVIL"/>
    <d v="2023-06-26T00:00:00"/>
    <d v="2023-07-04T19:00:44"/>
    <m/>
    <d v="2023-07-04T00:00:00"/>
    <n v="1279"/>
    <n v="15685"/>
    <s v="59733015"/>
    <s v="59733015"/>
    <m/>
    <m/>
    <n v="22762112"/>
    <m/>
    <m/>
    <m/>
    <s v="SOLFIN"/>
    <s v="SOLFIN"/>
    <s v="CCMS"/>
    <n v="21328107"/>
    <n v="2689.24"/>
    <m/>
    <s v="N"/>
    <n v="1"/>
    <d v="2023-07-04T19:01:04"/>
    <s v="Y"/>
    <s v="Preparation - other"/>
    <s v="Prescribed Hourly Rates"/>
    <s v="Profit Cost"/>
    <s v="NA"/>
    <s v="Y"/>
    <n v="10.98"/>
    <n v="2.2"/>
    <x v="1"/>
    <s v="VALIDATED"/>
    <n v="1"/>
    <s v="01.11.80.303.6100.0000"/>
    <n v="10.98"/>
    <s v="11"/>
    <s v="6100"/>
    <n v="7025.3"/>
    <n v="10.98"/>
    <s v="CREDITOR"/>
    <n v="0"/>
    <n v="0"/>
    <n v="0"/>
    <n v="0"/>
    <n v="10.98"/>
  </r>
  <r>
    <n v="59733015"/>
    <s v="N"/>
    <n v="21328726"/>
    <s v="3000014112360001RC"/>
    <s v="CIVIL"/>
    <d v="2023-06-26T00:00:00"/>
    <d v="2023-07-04T19:38:21"/>
    <m/>
    <d v="2023-07-04T00:00:00"/>
    <n v="1279"/>
    <n v="15685"/>
    <s v="59733015"/>
    <s v="59733015"/>
    <m/>
    <m/>
    <m/>
    <m/>
    <m/>
    <m/>
    <s v="SOLRECOUP"/>
    <s v="SOLRECOUP"/>
    <s v="POARECOUP"/>
    <n v="21328726"/>
    <n v="-1508.06"/>
    <m/>
    <s v="Y"/>
    <n v="2"/>
    <d v="2023-07-04T19:38:22"/>
    <s v="N"/>
    <m/>
    <m/>
    <s v="Profit Cost"/>
    <m/>
    <s v="N"/>
    <n v="0"/>
    <n v="-251.34"/>
    <x v="1"/>
    <s v="VALIDATED"/>
    <n v="1"/>
    <s v="01.11.80.303.2013.0000"/>
    <n v="-251.34"/>
    <s v="11"/>
    <s v="2013"/>
    <n v="7025.3"/>
    <n v="-251.34"/>
    <s v="CREDITOR"/>
    <n v="0"/>
    <n v="0"/>
    <n v="-251.34"/>
    <n v="-62.835"/>
    <n v="0"/>
  </r>
  <r>
    <n v="59733015"/>
    <s v="N"/>
    <n v="21328726"/>
    <s v="3000014112360001RC"/>
    <s v="CIVIL"/>
    <d v="2023-06-26T00:00:00"/>
    <d v="2023-07-04T19:38:21"/>
    <m/>
    <d v="2023-07-04T00:00:00"/>
    <n v="1279"/>
    <n v="15685"/>
    <s v="59733015"/>
    <s v="59733015"/>
    <m/>
    <m/>
    <m/>
    <m/>
    <m/>
    <m/>
    <s v="SOLRECOUP"/>
    <s v="SOLRECOUP"/>
    <s v="POARECOUP"/>
    <n v="21328726"/>
    <n v="-1508.06"/>
    <m/>
    <s v="Y"/>
    <n v="1"/>
    <d v="2023-07-04T19:38:22"/>
    <s v="N"/>
    <m/>
    <m/>
    <s v="Profit Cost"/>
    <m/>
    <s v="N"/>
    <n v="-1256.72"/>
    <n v="0"/>
    <x v="1"/>
    <s v="VALIDATED"/>
    <n v="1"/>
    <s v="01.11.80.303.2013.0000"/>
    <n v="-1256.72"/>
    <s v="11"/>
    <s v="2013"/>
    <n v="7025.3"/>
    <n v="-1256.72"/>
    <s v="CREDITOR"/>
    <n v="0"/>
    <n v="0"/>
    <n v="-1256.72"/>
    <n v="-314.18"/>
    <n v="0"/>
  </r>
  <r>
    <n v="61172052"/>
    <s v="N"/>
    <n v="21349407"/>
    <s v="3000015352700002"/>
    <s v="CIVIL"/>
    <d v="2023-06-23T00:00:00"/>
    <d v="2023-07-10T19:01:40"/>
    <m/>
    <d v="2023-07-10T00:00:00"/>
    <n v="1279"/>
    <n v="15685"/>
    <s v="61172052"/>
    <s v="61172052"/>
    <m/>
    <m/>
    <n v="22749640"/>
    <m/>
    <m/>
    <m/>
    <s v="SOLFIN"/>
    <s v="SOLFIN"/>
    <s v="CCMS"/>
    <n v="21349407"/>
    <n v="2830.52"/>
    <m/>
    <s v="N"/>
    <n v="15"/>
    <d v="2023-07-10T19:01:49"/>
    <s v="Y"/>
    <s v="Preparation - other"/>
    <s v="Prescribed Hourly Rates"/>
    <s v="Profit Cost"/>
    <s v="KB"/>
    <s v="Y"/>
    <n v="18.94"/>
    <n v="3.79"/>
    <x v="2"/>
    <s v="VALIDATED"/>
    <n v="1"/>
    <s v="01.11.80.307.6100.0000"/>
    <n v="18.94"/>
    <s v="11"/>
    <s v="6100"/>
    <n v="7025.3"/>
    <n v="18.94"/>
    <s v="CREDITOR"/>
    <n v="0"/>
    <n v="0"/>
    <n v="0"/>
    <n v="0"/>
    <n v="18.94"/>
  </r>
  <r>
    <n v="61172052"/>
    <s v="N"/>
    <n v="21356654"/>
    <s v="3000015352700001RC"/>
    <s v="CIVIL"/>
    <d v="2023-06-23T00:00:00"/>
    <d v="2023-07-10T19:47:44"/>
    <m/>
    <d v="2023-07-10T00:00:00"/>
    <n v="1279"/>
    <n v="15685"/>
    <s v="61172052"/>
    <s v="61172052"/>
    <m/>
    <m/>
    <m/>
    <m/>
    <m/>
    <m/>
    <s v="SOLRECOUP"/>
    <s v="SOLRECOUP"/>
    <s v="POARECOUP"/>
    <n v="21356654"/>
    <n v="-441.6"/>
    <m/>
    <s v="Y"/>
    <n v="1"/>
    <d v="2023-07-10T19:47:45"/>
    <s v="N"/>
    <m/>
    <m/>
    <s v="Expert Disbursement"/>
    <m/>
    <s v="N"/>
    <n v="-368"/>
    <n v="0"/>
    <x v="2"/>
    <s v="VALIDATED"/>
    <n v="1"/>
    <s v="01.11.80.307.2013.0000"/>
    <n v="-368"/>
    <s v="11"/>
    <s v="2013"/>
    <n v="7025.3"/>
    <n v="-368"/>
    <s v="CREDITOR"/>
    <n v="0"/>
    <n v="0"/>
    <n v="-368"/>
    <n v="0"/>
    <n v="0"/>
  </r>
  <r>
    <n v="61172052"/>
    <s v="N"/>
    <n v="21356654"/>
    <s v="3000015352700001RC"/>
    <s v="CIVIL"/>
    <d v="2023-06-23T00:00:00"/>
    <d v="2023-07-10T19:47:44"/>
    <m/>
    <d v="2023-07-10T00:00:00"/>
    <n v="1279"/>
    <n v="15685"/>
    <s v="61172052"/>
    <s v="61172052"/>
    <m/>
    <m/>
    <m/>
    <m/>
    <m/>
    <m/>
    <s v="SOLRECOUP"/>
    <s v="SOLRECOUP"/>
    <s v="POARECOUP"/>
    <n v="21356654"/>
    <n v="-441.6"/>
    <m/>
    <s v="Y"/>
    <n v="2"/>
    <d v="2023-07-10T19:47:45"/>
    <s v="N"/>
    <m/>
    <m/>
    <s v="Expert Disbursement"/>
    <m/>
    <s v="N"/>
    <n v="0"/>
    <n v="-73.59999999999999"/>
    <x v="2"/>
    <s v="VALIDATED"/>
    <n v="1"/>
    <s v="01.11.80.307.2013.0000"/>
    <n v="-73.59999999999999"/>
    <s v="11"/>
    <s v="2013"/>
    <n v="7025.3"/>
    <n v="-73.59999999999999"/>
    <s v="CREDITOR"/>
    <n v="0"/>
    <n v="0"/>
    <n v="-73.59999999999999"/>
    <n v="0"/>
    <n v="0"/>
  </r>
  <r>
    <n v="59733015"/>
    <s v="N"/>
    <n v="21328107"/>
    <s v="3000014112360002"/>
    <s v="CIVIL"/>
    <d v="2023-06-26T00:00:00"/>
    <d v="2023-07-04T19:00:44"/>
    <m/>
    <d v="2023-07-04T00:00:00"/>
    <n v="1279"/>
    <n v="15685"/>
    <s v="59733015"/>
    <s v="59733015"/>
    <m/>
    <m/>
    <n v="22762112"/>
    <m/>
    <m/>
    <m/>
    <s v="SOLFIN"/>
    <s v="SOLFIN"/>
    <s v="CCMS"/>
    <n v="21328107"/>
    <n v="2689.24"/>
    <m/>
    <s v="N"/>
    <n v="2"/>
    <d v="2023-07-04T19:01:04"/>
    <s v="Y"/>
    <s v="Preparation - drafting attendance n"/>
    <s v="Prescribed Hourly Rates"/>
    <s v="Profit Cost"/>
    <s v="KB"/>
    <s v="Y"/>
    <n v="6.31"/>
    <n v="1.26"/>
    <x v="1"/>
    <s v="VALIDATED"/>
    <n v="1"/>
    <s v="01.11.80.303.6100.0000"/>
    <n v="6.31"/>
    <s v="11"/>
    <s v="6100"/>
    <n v="7025.3"/>
    <n v="6.31"/>
    <s v="CREDITOR"/>
    <n v="0"/>
    <n v="0"/>
    <n v="0"/>
    <n v="0"/>
    <n v="6.31"/>
  </r>
  <r>
    <n v="61172052"/>
    <s v="N"/>
    <n v="21349407"/>
    <s v="3000015352700002"/>
    <s v="CIVIL"/>
    <d v="2023-06-23T00:00:00"/>
    <d v="2023-07-10T19:01:40"/>
    <m/>
    <d v="2023-07-10T00:00:00"/>
    <n v="1279"/>
    <n v="15685"/>
    <s v="61172052"/>
    <s v="61172052"/>
    <m/>
    <m/>
    <n v="22749640"/>
    <m/>
    <m/>
    <m/>
    <s v="SOLFIN"/>
    <s v="SOLFIN"/>
    <s v="CCMS"/>
    <n v="21349407"/>
    <n v="2830.52"/>
    <m/>
    <s v="N"/>
    <n v="5"/>
    <d v="2023-07-10T19:01:49"/>
    <s v="Y"/>
    <s v="Routine Telephone Call"/>
    <s v="Prescribed Hourly Rates"/>
    <s v="Profit Cost"/>
    <s v="RM"/>
    <s v="Y"/>
    <n v="64.8"/>
    <n v="12.96"/>
    <x v="2"/>
    <s v="VALIDATED"/>
    <n v="1"/>
    <s v="01.11.80.307.6100.0000"/>
    <n v="64.8"/>
    <s v="11"/>
    <s v="6100"/>
    <n v="7025.3"/>
    <n v="64.8"/>
    <s v="CREDITOR"/>
    <n v="0"/>
    <n v="0"/>
    <n v="0"/>
    <n v="0"/>
    <n v="64.8"/>
  </r>
  <r>
    <n v="61172052"/>
    <s v="N"/>
    <n v="21349407"/>
    <s v="3000015352700002"/>
    <s v="CIVIL"/>
    <d v="2023-06-23T00:00:00"/>
    <d v="2023-07-10T19:01:40"/>
    <m/>
    <d v="2023-07-10T00:00:00"/>
    <n v="1279"/>
    <n v="15685"/>
    <s v="61172052"/>
    <s v="61172052"/>
    <m/>
    <m/>
    <n v="22749640"/>
    <m/>
    <m/>
    <m/>
    <s v="SOLFIN"/>
    <s v="SOLFIN"/>
    <s v="CCMS"/>
    <n v="21349407"/>
    <n v="2830.52"/>
    <m/>
    <s v="N"/>
    <n v="8"/>
    <d v="2023-07-10T19:01:49"/>
    <s v="Y"/>
    <s v="Preparation - other"/>
    <s v="Prescribed Hourly Rates"/>
    <s v="Profit Cost"/>
    <s v="KB"/>
    <s v="Y"/>
    <n v="6.31"/>
    <n v="1.26"/>
    <x v="2"/>
    <s v="VALIDATED"/>
    <n v="1"/>
    <s v="01.11.80.307.6100.0000"/>
    <n v="6.31"/>
    <s v="11"/>
    <s v="6100"/>
    <n v="7025.3"/>
    <n v="6.31"/>
    <s v="CREDITOR"/>
    <n v="0"/>
    <n v="0"/>
    <n v="0"/>
    <n v="0"/>
    <n v="6.31"/>
  </r>
  <r>
    <n v="59733015"/>
    <s v="N"/>
    <n v="21328107"/>
    <s v="3000014112360002"/>
    <s v="CIVIL"/>
    <d v="2023-06-26T00:00:00"/>
    <d v="2023-07-04T19:00:44"/>
    <m/>
    <d v="2023-07-04T00:00:00"/>
    <n v="1279"/>
    <n v="15685"/>
    <s v="59733015"/>
    <s v="59733015"/>
    <m/>
    <m/>
    <n v="22762112"/>
    <m/>
    <m/>
    <m/>
    <s v="SOLFIN"/>
    <s v="SOLFIN"/>
    <s v="CCMS"/>
    <n v="21328107"/>
    <n v="2689.24"/>
    <m/>
    <s v="N"/>
    <n v="4"/>
    <d v="2023-07-04T19:01:04"/>
    <s v="Y"/>
    <s v="Preparation - other"/>
    <s v="Prescribed Hourly Rates"/>
    <s v="Profit Cost"/>
    <s v="KB"/>
    <s v="Y"/>
    <n v="18.94"/>
    <n v="3.79"/>
    <x v="1"/>
    <s v="VALIDATED"/>
    <n v="1"/>
    <s v="01.11.80.303.6100.0000"/>
    <n v="18.94"/>
    <s v="11"/>
    <s v="6100"/>
    <n v="7025.3"/>
    <n v="18.94"/>
    <s v="CREDITOR"/>
    <n v="0"/>
    <n v="0"/>
    <n v="0"/>
    <n v="0"/>
    <n v="18.94"/>
  </r>
  <r>
    <n v="61172052"/>
    <s v="N"/>
    <n v="21349407"/>
    <s v="3000015352700002"/>
    <s v="CIVIL"/>
    <d v="2023-06-23T00:00:00"/>
    <d v="2023-07-10T19:01:40"/>
    <m/>
    <d v="2023-07-10T00:00:00"/>
    <n v="1279"/>
    <n v="15685"/>
    <s v="61172052"/>
    <s v="61172052"/>
    <m/>
    <m/>
    <n v="22749640"/>
    <m/>
    <m/>
    <m/>
    <s v="SOLFIN"/>
    <s v="SOLFIN"/>
    <s v="CCMS"/>
    <n v="21349407"/>
    <n v="2830.52"/>
    <m/>
    <s v="N"/>
    <n v="14"/>
    <d v="2023-07-10T19:01:49"/>
    <s v="Y"/>
    <s v="Report - Medical report"/>
    <s v="Prescribed Hourly Rates"/>
    <s v="Profit Cost"/>
    <s v="KB"/>
    <s v="Y"/>
    <n v="50.51"/>
    <n v="10.1"/>
    <x v="2"/>
    <s v="VALIDATED"/>
    <n v="1"/>
    <s v="01.11.80.307.6100.0000"/>
    <n v="50.51"/>
    <s v="11"/>
    <s v="6100"/>
    <n v="7025.3"/>
    <n v="50.51"/>
    <s v="CREDITOR"/>
    <n v="0"/>
    <n v="0"/>
    <n v="0"/>
    <n v="0"/>
    <n v="50.51"/>
  </r>
  <r>
    <n v="61172052"/>
    <s v="N"/>
    <n v="21349407"/>
    <s v="3000015352700002"/>
    <s v="CIVIL"/>
    <d v="2023-06-23T00:00:00"/>
    <d v="2023-07-10T19:01:40"/>
    <m/>
    <d v="2023-07-10T00:00:00"/>
    <n v="1279"/>
    <n v="15685"/>
    <s v="61172052"/>
    <s v="61172052"/>
    <m/>
    <m/>
    <n v="22749640"/>
    <m/>
    <m/>
    <m/>
    <s v="SOLFIN"/>
    <s v="SOLFIN"/>
    <s v="CCMS"/>
    <n v="21349407"/>
    <n v="2830.52"/>
    <m/>
    <s v="N"/>
    <n v="16"/>
    <d v="2023-07-10T19:01:49"/>
    <s v="Y"/>
    <s v="Attendance upon client"/>
    <s v="Prescribed Hourly Rates"/>
    <s v="Profit Cost"/>
    <s v="RM"/>
    <s v="Y"/>
    <n v="54.9"/>
    <n v="10.98"/>
    <x v="2"/>
    <s v="VALIDATED"/>
    <n v="1"/>
    <s v="01.11.80.307.6100.0000"/>
    <n v="54.9"/>
    <s v="11"/>
    <s v="6100"/>
    <n v="7025.3"/>
    <n v="54.9"/>
    <s v="CREDITOR"/>
    <n v="0"/>
    <n v="0"/>
    <n v="0"/>
    <n v="0"/>
    <n v="54.9"/>
  </r>
  <r>
    <n v="59733015"/>
    <s v="N"/>
    <n v="21328107"/>
    <s v="3000014112360002"/>
    <s v="CIVIL"/>
    <d v="2023-06-26T00:00:00"/>
    <d v="2023-07-04T19:00:44"/>
    <m/>
    <d v="2023-07-04T00:00:00"/>
    <n v="1279"/>
    <n v="15685"/>
    <s v="59733015"/>
    <s v="59733015"/>
    <m/>
    <m/>
    <n v="22762112"/>
    <m/>
    <m/>
    <m/>
    <s v="SOLFIN"/>
    <s v="SOLFIN"/>
    <s v="CCMS"/>
    <n v="21328107"/>
    <n v="2689.24"/>
    <m/>
    <s v="N"/>
    <n v="25"/>
    <d v="2023-07-04T19:01:04"/>
    <s v="Y"/>
    <s v="Preparation - other"/>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29"/>
    <d v="2023-07-04T19:01:04"/>
    <s v="Y"/>
    <s v="Attendance upon other side"/>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9"/>
    <d v="2023-07-04T19:01:04"/>
    <s v="Y"/>
    <s v="Preparation - other"/>
    <s v="Prescribed Hourly Rates"/>
    <s v="Profit Cost"/>
    <s v="KB"/>
    <s v="Y"/>
    <n v="12.63"/>
    <n v="2.53"/>
    <x v="1"/>
    <s v="VALIDATED"/>
    <n v="1"/>
    <s v="01.11.80.303.6100.0000"/>
    <n v="12.63"/>
    <s v="11"/>
    <s v="6100"/>
    <n v="7025.3"/>
    <n v="12.63"/>
    <s v="CREDITOR"/>
    <n v="0"/>
    <n v="0"/>
    <n v="0"/>
    <n v="0"/>
    <n v="12.63"/>
  </r>
  <r>
    <n v="59733015"/>
    <s v="N"/>
    <n v="21328107"/>
    <s v="3000014112360002"/>
    <s v="CIVIL"/>
    <d v="2023-06-26T00:00:00"/>
    <d v="2023-07-04T19:00:44"/>
    <m/>
    <d v="2023-07-04T00:00:00"/>
    <n v="1279"/>
    <n v="15685"/>
    <s v="59733015"/>
    <s v="59733015"/>
    <m/>
    <m/>
    <n v="22762112"/>
    <m/>
    <m/>
    <m/>
    <s v="SOLFIN"/>
    <s v="SOLFIN"/>
    <s v="CCMS"/>
    <n v="21328107"/>
    <n v="2689.24"/>
    <m/>
    <s v="N"/>
    <n v="45"/>
    <d v="2023-07-04T19:01:04"/>
    <s v="Y"/>
    <s v="Preparation - drafting attendance n"/>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59"/>
    <d v="2023-07-04T19:01:04"/>
    <s v="Y"/>
    <s v="Preparation - other"/>
    <s v="Prescribed Hourly Rates"/>
    <s v="Profit Cost"/>
    <s v="NA"/>
    <s v="Y"/>
    <n v="27.45"/>
    <n v="5.49"/>
    <x v="1"/>
    <s v="VALIDATED"/>
    <n v="1"/>
    <s v="01.11.80.303.6100.0000"/>
    <n v="27.45"/>
    <s v="11"/>
    <s v="6100"/>
    <n v="7025.3"/>
    <n v="27.45"/>
    <s v="CREDITOR"/>
    <n v="0"/>
    <n v="0"/>
    <n v="0"/>
    <n v="0"/>
    <n v="27.45"/>
  </r>
  <r>
    <n v="59733015"/>
    <s v="N"/>
    <n v="21328107"/>
    <s v="3000014112360002"/>
    <s v="CIVIL"/>
    <d v="2023-06-26T00:00:00"/>
    <d v="2023-07-04T19:00:44"/>
    <m/>
    <d v="2023-07-04T00:00:00"/>
    <n v="1279"/>
    <n v="15685"/>
    <s v="59733015"/>
    <s v="59733015"/>
    <m/>
    <m/>
    <n v="22762112"/>
    <m/>
    <m/>
    <m/>
    <s v="SOLFIN"/>
    <s v="SOLFIN"/>
    <s v="CCMS"/>
    <n v="21328107"/>
    <n v="2689.24"/>
    <m/>
    <s v="N"/>
    <n v="19"/>
    <d v="2023-07-04T19:01:04"/>
    <s v="Y"/>
    <s v="Preparation - other"/>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35"/>
    <d v="2023-07-04T19:01:04"/>
    <s v="Y"/>
    <s v="Preparation - other"/>
    <s v="Prescribed Hourly Rates"/>
    <s v="Profit Cost"/>
    <s v="NA"/>
    <s v="Y"/>
    <n v="82.34999999999999"/>
    <n v="16.47"/>
    <x v="1"/>
    <s v="VALIDATED"/>
    <n v="1"/>
    <s v="01.11.80.303.6100.0000"/>
    <n v="82.34999999999999"/>
    <s v="11"/>
    <s v="6100"/>
    <n v="7025.3"/>
    <n v="82.34999999999999"/>
    <s v="CREDITOR"/>
    <n v="0"/>
    <n v="0"/>
    <n v="0"/>
    <n v="0"/>
    <n v="82.34999999999999"/>
  </r>
  <r>
    <n v="59733015"/>
    <s v="N"/>
    <n v="21328107"/>
    <s v="3000014112360002"/>
    <s v="CIVIL"/>
    <d v="2023-06-26T00:00:00"/>
    <d v="2023-07-04T19:00:44"/>
    <m/>
    <d v="2023-07-04T00:00:00"/>
    <n v="1279"/>
    <n v="15685"/>
    <s v="59733015"/>
    <s v="59733015"/>
    <m/>
    <m/>
    <n v="22762112"/>
    <m/>
    <m/>
    <m/>
    <s v="SOLFIN"/>
    <s v="SOLFIN"/>
    <s v="CCMS"/>
    <n v="21328107"/>
    <n v="2689.24"/>
    <m/>
    <s v="N"/>
    <n v="52"/>
    <d v="2023-07-04T19:01:04"/>
    <s v="Y"/>
    <s v="Preparation - drafting bill/claim f"/>
    <s v="Prescribed Hourly Rates"/>
    <s v="Profit Cost"/>
    <s v="JJA"/>
    <s v="Y"/>
    <n v="164.7"/>
    <n v="32.94"/>
    <x v="1"/>
    <s v="VALIDATED"/>
    <n v="1"/>
    <s v="01.11.80.303.6100.0000"/>
    <n v="164.7"/>
    <s v="11"/>
    <s v="6100"/>
    <n v="7025.3"/>
    <n v="164.7"/>
    <s v="CREDITOR"/>
    <n v="0"/>
    <n v="0"/>
    <n v="0"/>
    <n v="0"/>
    <n v="164.7"/>
  </r>
  <r>
    <n v="61172052"/>
    <s v="N"/>
    <n v="21349407"/>
    <s v="3000015352700002"/>
    <s v="CIVIL"/>
    <d v="2023-06-23T00:00:00"/>
    <d v="2023-07-10T19:01:40"/>
    <m/>
    <d v="2023-07-10T00:00:00"/>
    <n v="1279"/>
    <n v="15685"/>
    <s v="61172052"/>
    <s v="61172052"/>
    <m/>
    <m/>
    <n v="22749640"/>
    <m/>
    <m/>
    <m/>
    <s v="SOLFIN"/>
    <s v="SOLFIN"/>
    <s v="CCMS"/>
    <n v="21349407"/>
    <n v="2830.52"/>
    <m/>
    <s v="N"/>
    <n v="25"/>
    <d v="2023-07-10T19:01:49"/>
    <s v="Y"/>
    <s v="Preparation - other"/>
    <s v="Prescribed Hourly Rates"/>
    <s v="Profit Cost"/>
    <s v="SJ"/>
    <s v="Y"/>
    <n v="10.98"/>
    <n v="2.2"/>
    <x v="2"/>
    <s v="VALIDATED"/>
    <n v="1"/>
    <s v="01.11.80.307.6100.0000"/>
    <n v="10.98"/>
    <s v="11"/>
    <s v="6100"/>
    <n v="7025.3"/>
    <n v="10.98"/>
    <s v="CREDITOR"/>
    <n v="0"/>
    <n v="0"/>
    <n v="0"/>
    <n v="0"/>
    <n v="10.98"/>
  </r>
  <r>
    <n v="61172052"/>
    <s v="N"/>
    <n v="21349407"/>
    <s v="3000015352700002"/>
    <s v="CIVIL"/>
    <d v="2023-06-23T00:00:00"/>
    <d v="2023-07-10T19:01:40"/>
    <m/>
    <d v="2023-07-10T00:00:00"/>
    <n v="1279"/>
    <n v="15685"/>
    <s v="61172052"/>
    <s v="61172052"/>
    <m/>
    <m/>
    <n v="22749640"/>
    <m/>
    <m/>
    <m/>
    <s v="SOLFIN"/>
    <s v="SOLFIN"/>
    <s v="CCMS"/>
    <n v="21349407"/>
    <n v="2830.52"/>
    <m/>
    <s v="N"/>
    <n v="12"/>
    <d v="2023-07-10T19:01:49"/>
    <s v="Y"/>
    <s v="Preparation - other"/>
    <s v="Prescribed Hourly Rates"/>
    <s v="Profit Cost"/>
    <s v="RM"/>
    <s v="Y"/>
    <n v="10.98"/>
    <n v="2.2"/>
    <x v="2"/>
    <s v="VALIDATED"/>
    <n v="1"/>
    <s v="01.11.80.307.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8"/>
    <d v="2023-07-04T19:01:04"/>
    <s v="Y"/>
    <s v="Preparation - drafting application"/>
    <s v="Prescribed Hourly Rates"/>
    <s v="Profit Cost"/>
    <s v="KB"/>
    <s v="Y"/>
    <n v="18.94"/>
    <n v="3.79"/>
    <x v="1"/>
    <s v="VALIDATED"/>
    <n v="1"/>
    <s v="01.11.80.303.6100.0000"/>
    <n v="18.94"/>
    <s v="11"/>
    <s v="6100"/>
    <n v="7025.3"/>
    <n v="18.94"/>
    <s v="CREDITOR"/>
    <n v="0"/>
    <n v="0"/>
    <n v="0"/>
    <n v="0"/>
    <n v="18.94"/>
  </r>
  <r>
    <n v="59733015"/>
    <s v="N"/>
    <n v="21328107"/>
    <s v="3000014112360002"/>
    <s v="CIVIL"/>
    <d v="2023-06-26T00:00:00"/>
    <d v="2023-07-04T19:00:44"/>
    <m/>
    <d v="2023-07-04T00:00:00"/>
    <n v="1279"/>
    <n v="15685"/>
    <s v="59733015"/>
    <s v="59733015"/>
    <m/>
    <m/>
    <n v="22762112"/>
    <m/>
    <m/>
    <m/>
    <s v="SOLFIN"/>
    <s v="SOLFIN"/>
    <s v="CCMS"/>
    <n v="21328107"/>
    <n v="2689.24"/>
    <m/>
    <s v="N"/>
    <n v="62"/>
    <d v="2023-07-04T19:01:04"/>
    <s v="N"/>
    <s v="Level 3 Fixed Fee"/>
    <s v="Finance"/>
    <s v="Profit Cost"/>
    <s v="NA"/>
    <s v="N"/>
    <n v="0"/>
    <n v="0"/>
    <x v="1"/>
    <s v="VALIDATED"/>
    <n v="1"/>
    <s v="01.11.80.303.6100.0000"/>
    <n v="0"/>
    <s v="11"/>
    <s v="6100"/>
    <n v="7025.3"/>
    <n v="0"/>
    <s v="CREDITOR"/>
    <n v="0"/>
    <n v="0"/>
    <n v="0"/>
    <n v="0"/>
    <n v="0"/>
  </r>
  <r>
    <n v="61172052"/>
    <s v="N"/>
    <n v="21349407"/>
    <s v="3000015352700002"/>
    <s v="CIVIL"/>
    <d v="2023-06-23T00:00:00"/>
    <d v="2023-07-10T19:01:40"/>
    <m/>
    <d v="2023-07-10T00:00:00"/>
    <n v="1279"/>
    <n v="15685"/>
    <s v="61172052"/>
    <s v="61172052"/>
    <m/>
    <m/>
    <n v="22749640"/>
    <m/>
    <m/>
    <m/>
    <s v="SOLFIN"/>
    <s v="SOLFIN"/>
    <s v="CCMS"/>
    <n v="21349407"/>
    <n v="2830.52"/>
    <m/>
    <s v="N"/>
    <n v="27"/>
    <d v="2023-07-10T19:01:49"/>
    <s v="Y"/>
    <s v="Attendance upon client"/>
    <s v="Prescribed Hourly Rates"/>
    <s v="Profit Cost"/>
    <s v="KB"/>
    <s v="Y"/>
    <n v="44.19"/>
    <n v="8.84"/>
    <x v="2"/>
    <s v="VALIDATED"/>
    <n v="1"/>
    <s v="01.11.80.307.6100.0000"/>
    <n v="44.19"/>
    <s v="11"/>
    <s v="6100"/>
    <n v="7025.3"/>
    <n v="44.19"/>
    <s v="CREDITOR"/>
    <n v="0"/>
    <n v="0"/>
    <n v="0"/>
    <n v="0"/>
    <n v="44.19"/>
  </r>
  <r>
    <n v="61172052"/>
    <s v="N"/>
    <n v="21349407"/>
    <s v="3000015352700002"/>
    <s v="CIVIL"/>
    <d v="2023-06-23T00:00:00"/>
    <d v="2023-07-10T19:01:40"/>
    <m/>
    <d v="2023-07-10T00:00:00"/>
    <n v="1279"/>
    <n v="15685"/>
    <s v="61172052"/>
    <s v="61172052"/>
    <m/>
    <m/>
    <n v="22749640"/>
    <m/>
    <m/>
    <m/>
    <s v="SOLFIN"/>
    <s v="SOLFIN"/>
    <s v="CCMS"/>
    <n v="21349407"/>
    <n v="2830.52"/>
    <m/>
    <s v="N"/>
    <n v="22"/>
    <d v="2023-07-10T19:01:49"/>
    <s v="Y"/>
    <s v="Preparation - drafting attendance n"/>
    <s v="Prescribed Hourly Rates"/>
    <s v="Profit Cost"/>
    <s v="KB"/>
    <s v="Y"/>
    <n v="6.31"/>
    <n v="1.26"/>
    <x v="2"/>
    <s v="VALIDATED"/>
    <n v="1"/>
    <s v="01.11.80.307.6100.0000"/>
    <n v="6.31"/>
    <s v="11"/>
    <s v="6100"/>
    <n v="7025.3"/>
    <n v="6.31"/>
    <s v="CREDITOR"/>
    <n v="0"/>
    <n v="0"/>
    <n v="0"/>
    <n v="0"/>
    <n v="6.31"/>
  </r>
  <r>
    <n v="61172052"/>
    <s v="N"/>
    <n v="21349407"/>
    <s v="3000015352700002"/>
    <s v="CIVIL"/>
    <d v="2023-06-23T00:00:00"/>
    <d v="2023-07-10T19:01:40"/>
    <m/>
    <d v="2023-07-10T00:00:00"/>
    <n v="1279"/>
    <n v="15685"/>
    <s v="61172052"/>
    <s v="61172052"/>
    <m/>
    <m/>
    <n v="22749640"/>
    <m/>
    <m/>
    <m/>
    <s v="SOLFIN"/>
    <s v="SOLFIN"/>
    <s v="CCMS"/>
    <n v="21349407"/>
    <n v="2830.52"/>
    <m/>
    <s v="N"/>
    <n v="19"/>
    <d v="2023-07-10T19:01:49"/>
    <s v="Y"/>
    <s v="Preparation - drafting attendance n"/>
    <s v="Prescribed Hourly Rates"/>
    <s v="Profit Cost"/>
    <s v="KB"/>
    <s v="Y"/>
    <n v="6.31"/>
    <n v="1.26"/>
    <x v="2"/>
    <s v="VALIDATED"/>
    <n v="1"/>
    <s v="01.11.80.307.6100.0000"/>
    <n v="6.31"/>
    <s v="11"/>
    <s v="6100"/>
    <n v="7025.3"/>
    <n v="6.31"/>
    <s v="CREDITOR"/>
    <n v="0"/>
    <n v="0"/>
    <n v="0"/>
    <n v="0"/>
    <n v="6.31"/>
  </r>
  <r>
    <n v="59733015"/>
    <s v="N"/>
    <n v="21328107"/>
    <s v="3000014112360002"/>
    <s v="CIVIL"/>
    <d v="2023-06-26T00:00:00"/>
    <d v="2023-07-04T19:00:44"/>
    <m/>
    <d v="2023-07-04T00:00:00"/>
    <n v="1279"/>
    <n v="15685"/>
    <s v="59733015"/>
    <s v="59733015"/>
    <m/>
    <m/>
    <n v="22762112"/>
    <m/>
    <m/>
    <m/>
    <s v="SOLFIN"/>
    <s v="SOLFIN"/>
    <s v="CCMS"/>
    <n v="21328107"/>
    <n v="2689.24"/>
    <m/>
    <s v="N"/>
    <n v="27"/>
    <d v="2023-07-04T19:01:04"/>
    <s v="Y"/>
    <s v="Attendance upon client"/>
    <s v="Prescribed Hourly Rates"/>
    <s v="Profit Cost"/>
    <s v="NA"/>
    <s v="Y"/>
    <n v="16.47"/>
    <n v="3.29"/>
    <x v="1"/>
    <s v="VALIDATED"/>
    <n v="1"/>
    <s v="01.11.80.303.6100.0000"/>
    <n v="16.47"/>
    <s v="11"/>
    <s v="6100"/>
    <n v="7025.3"/>
    <n v="16.47"/>
    <s v="CREDITOR"/>
    <n v="0"/>
    <n v="0"/>
    <n v="0"/>
    <n v="0"/>
    <n v="16.47"/>
  </r>
  <r>
    <n v="59733015"/>
    <s v="N"/>
    <n v="21328107"/>
    <s v="3000014112360002"/>
    <s v="CIVIL"/>
    <d v="2023-06-26T00:00:00"/>
    <d v="2023-07-04T19:00:44"/>
    <m/>
    <d v="2023-07-04T00:00:00"/>
    <n v="1279"/>
    <n v="15685"/>
    <s v="59733015"/>
    <s v="59733015"/>
    <m/>
    <m/>
    <n v="22762112"/>
    <m/>
    <m/>
    <m/>
    <s v="SOLFIN"/>
    <s v="SOLFIN"/>
    <s v="CCMS"/>
    <n v="21328107"/>
    <n v="2689.24"/>
    <m/>
    <s v="N"/>
    <n v="33"/>
    <d v="2023-07-04T19:01:04"/>
    <s v="Y"/>
    <s v="Preparation - other"/>
    <s v="Prescribed Hourly Rates"/>
    <s v="Profit Cost"/>
    <s v="NA"/>
    <s v="Y"/>
    <n v="27.45"/>
    <n v="5.49"/>
    <x v="1"/>
    <s v="VALIDATED"/>
    <n v="1"/>
    <s v="01.11.80.303.6100.0000"/>
    <n v="27.45"/>
    <s v="11"/>
    <s v="6100"/>
    <n v="7025.3"/>
    <n v="27.45"/>
    <s v="CREDITOR"/>
    <n v="0"/>
    <n v="0"/>
    <n v="0"/>
    <n v="0"/>
    <n v="27.45"/>
  </r>
  <r>
    <n v="59733015"/>
    <s v="N"/>
    <n v="21328107"/>
    <s v="3000014112360002"/>
    <s v="CIVIL"/>
    <d v="2023-06-26T00:00:00"/>
    <d v="2023-07-04T19:00:44"/>
    <m/>
    <d v="2023-07-04T00:00:00"/>
    <n v="1279"/>
    <n v="15685"/>
    <s v="59733015"/>
    <s v="59733015"/>
    <m/>
    <m/>
    <n v="22762112"/>
    <m/>
    <m/>
    <m/>
    <s v="SOLFIN"/>
    <s v="SOLFIN"/>
    <s v="CCMS"/>
    <n v="21328107"/>
    <n v="2689.24"/>
    <m/>
    <s v="N"/>
    <n v="55"/>
    <d v="2023-07-04T19:01:04"/>
    <s v="Y"/>
    <s v="Attendance upon client"/>
    <s v="Prescribed Hourly Rates"/>
    <s v="Profit Cost"/>
    <s v="NA"/>
    <s v="Y"/>
    <n v="21.96"/>
    <n v="4.39"/>
    <x v="1"/>
    <s v="VALIDATED"/>
    <n v="1"/>
    <s v="01.11.80.303.6100.0000"/>
    <n v="21.96"/>
    <s v="11"/>
    <s v="6100"/>
    <n v="7025.3"/>
    <n v="21.96"/>
    <s v="CREDITOR"/>
    <n v="0"/>
    <n v="0"/>
    <n v="0"/>
    <n v="0"/>
    <n v="21.96"/>
  </r>
  <r>
    <n v="59733015"/>
    <s v="N"/>
    <n v="21328107"/>
    <s v="3000014112360002"/>
    <s v="CIVIL"/>
    <d v="2023-06-26T00:00:00"/>
    <d v="2023-07-04T19:00:44"/>
    <m/>
    <d v="2023-07-04T00:00:00"/>
    <n v="1279"/>
    <n v="15685"/>
    <s v="59733015"/>
    <s v="59733015"/>
    <m/>
    <m/>
    <n v="22762112"/>
    <m/>
    <m/>
    <m/>
    <s v="SOLFIN"/>
    <s v="SOLFIN"/>
    <s v="CCMS"/>
    <n v="21328107"/>
    <n v="2689.24"/>
    <m/>
    <s v="N"/>
    <n v="58"/>
    <d v="2023-07-04T19:01:04"/>
    <s v="Y"/>
    <s v="Preparation - other"/>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7"/>
    <d v="2023-07-04T19:01:04"/>
    <s v="Y"/>
    <s v="Attendance upon client"/>
    <s v="Prescribed Hourly Rates"/>
    <s v="Profit Cost"/>
    <s v="KB"/>
    <s v="Y"/>
    <n v="18.94"/>
    <n v="3.79"/>
    <x v="1"/>
    <s v="VALIDATED"/>
    <n v="1"/>
    <s v="01.11.80.303.6100.0000"/>
    <n v="18.94"/>
    <s v="11"/>
    <s v="6100"/>
    <n v="7025.3"/>
    <n v="18.94"/>
    <s v="CREDITOR"/>
    <n v="0"/>
    <n v="0"/>
    <n v="0"/>
    <n v="0"/>
    <n v="18.94"/>
  </r>
  <r>
    <n v="61172052"/>
    <s v="N"/>
    <n v="21349407"/>
    <s v="3000015352700002"/>
    <s v="CIVIL"/>
    <d v="2023-06-23T00:00:00"/>
    <d v="2023-07-10T19:01:40"/>
    <m/>
    <d v="2023-07-10T00:00:00"/>
    <n v="1279"/>
    <n v="15685"/>
    <s v="61172052"/>
    <s v="61172052"/>
    <m/>
    <m/>
    <n v="22749640"/>
    <m/>
    <m/>
    <m/>
    <s v="SOLFIN"/>
    <s v="SOLFIN"/>
    <s v="CCMS"/>
    <n v="21349407"/>
    <n v="2830.52"/>
    <m/>
    <s v="N"/>
    <n v="23"/>
    <d v="2023-07-10T19:01:49"/>
    <s v="Y"/>
    <s v="Preparation - other"/>
    <s v="Prescribed Hourly Rates"/>
    <s v="Profit Cost"/>
    <s v="KB"/>
    <s v="Y"/>
    <n v="18.94"/>
    <n v="3.79"/>
    <x v="2"/>
    <s v="VALIDATED"/>
    <n v="1"/>
    <s v="01.11.80.307.6100.0000"/>
    <n v="18.94"/>
    <s v="11"/>
    <s v="6100"/>
    <n v="7025.3"/>
    <n v="18.94"/>
    <s v="CREDITOR"/>
    <n v="0"/>
    <n v="0"/>
    <n v="0"/>
    <n v="0"/>
    <n v="18.94"/>
  </r>
  <r>
    <n v="59733015"/>
    <s v="N"/>
    <n v="21328107"/>
    <s v="3000014112360002"/>
    <s v="CIVIL"/>
    <d v="2023-06-26T00:00:00"/>
    <d v="2023-07-04T19:00:44"/>
    <m/>
    <d v="2023-07-04T00:00:00"/>
    <n v="1279"/>
    <n v="15685"/>
    <s v="59733015"/>
    <s v="59733015"/>
    <m/>
    <m/>
    <n v="22762112"/>
    <m/>
    <m/>
    <m/>
    <s v="SOLFIN"/>
    <s v="SOLFIN"/>
    <s v="CCMS"/>
    <n v="21328107"/>
    <n v="2689.24"/>
    <m/>
    <s v="N"/>
    <n v="24"/>
    <d v="2023-07-04T19:01:04"/>
    <s v="Y"/>
    <s v="Preparation - other"/>
    <s v="Prescribed Hourly Rates"/>
    <s v="Profit Cost"/>
    <s v="NA"/>
    <s v="Y"/>
    <n v="16.47"/>
    <n v="3.29"/>
    <x v="1"/>
    <s v="VALIDATED"/>
    <n v="1"/>
    <s v="01.11.80.303.6100.0000"/>
    <n v="16.47"/>
    <s v="11"/>
    <s v="6100"/>
    <n v="7025.3"/>
    <n v="16.47"/>
    <s v="CREDITOR"/>
    <n v="0"/>
    <n v="0"/>
    <n v="0"/>
    <n v="0"/>
    <n v="16.47"/>
  </r>
  <r>
    <n v="59733015"/>
    <s v="N"/>
    <n v="21328107"/>
    <s v="3000014112360002"/>
    <s v="CIVIL"/>
    <d v="2023-06-26T00:00:00"/>
    <d v="2023-07-04T19:00:44"/>
    <m/>
    <d v="2023-07-04T00:00:00"/>
    <n v="1279"/>
    <n v="15685"/>
    <s v="59733015"/>
    <s v="59733015"/>
    <m/>
    <m/>
    <n v="22762112"/>
    <m/>
    <m/>
    <m/>
    <s v="SOLFIN"/>
    <s v="SOLFIN"/>
    <s v="CCMS"/>
    <n v="21328107"/>
    <n v="2689.24"/>
    <m/>
    <s v="N"/>
    <n v="31"/>
    <d v="2023-07-04T19:01:04"/>
    <s v="Y"/>
    <s v="Preparation - other"/>
    <s v="Prescribed Hourly Rates"/>
    <s v="Profit Cost"/>
    <s v="NA"/>
    <s v="Y"/>
    <n v="5.49"/>
    <n v="1.1"/>
    <x v="1"/>
    <s v="VALIDATED"/>
    <n v="1"/>
    <s v="01.11.80.303.6100.0000"/>
    <n v="5.49"/>
    <s v="11"/>
    <s v="6100"/>
    <n v="7025.3"/>
    <n v="5.49"/>
    <s v="CREDITOR"/>
    <n v="0"/>
    <n v="0"/>
    <n v="0"/>
    <n v="0"/>
    <n v="5.49"/>
  </r>
  <r>
    <n v="59733015"/>
    <s v="N"/>
    <n v="21328107"/>
    <s v="3000014112360002"/>
    <s v="CIVIL"/>
    <d v="2023-06-26T00:00:00"/>
    <d v="2023-07-04T19:00:44"/>
    <m/>
    <d v="2023-07-04T00:00:00"/>
    <n v="1279"/>
    <n v="15685"/>
    <s v="59733015"/>
    <s v="59733015"/>
    <m/>
    <m/>
    <n v="22762112"/>
    <m/>
    <m/>
    <m/>
    <s v="SOLFIN"/>
    <s v="SOLFIN"/>
    <s v="CCMS"/>
    <n v="21328107"/>
    <n v="2689.24"/>
    <m/>
    <s v="N"/>
    <n v="50"/>
    <d v="2023-07-04T19:01:04"/>
    <s v="Y"/>
    <s v="Routine Telephone Call"/>
    <s v="Prescribed Hourly Rates"/>
    <s v="Profit Cost"/>
    <s v="NA"/>
    <s v="Y"/>
    <n v="59.4"/>
    <n v="11.88"/>
    <x v="1"/>
    <s v="VALIDATED"/>
    <n v="1"/>
    <s v="01.11.80.303.6100.0000"/>
    <n v="59.4"/>
    <s v="11"/>
    <s v="6100"/>
    <n v="7025.3"/>
    <n v="59.4"/>
    <s v="CREDITOR"/>
    <n v="0"/>
    <n v="0"/>
    <n v="0"/>
    <n v="0"/>
    <n v="59.4"/>
  </r>
  <r>
    <n v="59733015"/>
    <s v="N"/>
    <n v="21328107"/>
    <s v="3000014112360002"/>
    <s v="CIVIL"/>
    <d v="2023-06-26T00:00:00"/>
    <d v="2023-07-04T19:00:44"/>
    <m/>
    <d v="2023-07-04T00:00:00"/>
    <n v="1279"/>
    <n v="15685"/>
    <s v="59733015"/>
    <s v="59733015"/>
    <m/>
    <m/>
    <n v="22762112"/>
    <m/>
    <m/>
    <m/>
    <s v="SOLFIN"/>
    <s v="SOLFIN"/>
    <s v="CCMS"/>
    <n v="21328107"/>
    <n v="2689.24"/>
    <m/>
    <s v="N"/>
    <n v="13"/>
    <d v="2023-07-04T19:01:04"/>
    <s v="Y"/>
    <s v="Attendance upon client"/>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46"/>
    <d v="2023-07-04T19:01:04"/>
    <s v="Y"/>
    <s v="Routine Letter Out"/>
    <s v="Prescribed Hourly Rates"/>
    <s v="Profit Cost"/>
    <s v="KB"/>
    <s v="Y"/>
    <n v="149.04"/>
    <n v="29.81"/>
    <x v="1"/>
    <s v="VALIDATED"/>
    <n v="1"/>
    <s v="01.11.80.303.6100.0000"/>
    <n v="149.04"/>
    <s v="11"/>
    <s v="6100"/>
    <n v="7025.3"/>
    <n v="149.04"/>
    <s v="CREDITOR"/>
    <n v="0"/>
    <n v="0"/>
    <n v="0"/>
    <n v="0"/>
    <n v="149.04"/>
  </r>
  <r>
    <n v="59733015"/>
    <s v="N"/>
    <n v="21328107"/>
    <s v="3000014112360002"/>
    <s v="CIVIL"/>
    <d v="2023-06-26T00:00:00"/>
    <d v="2023-07-04T19:00:44"/>
    <m/>
    <d v="2023-07-04T00:00:00"/>
    <n v="1279"/>
    <n v="15685"/>
    <s v="59733015"/>
    <s v="59733015"/>
    <m/>
    <m/>
    <n v="22762112"/>
    <m/>
    <m/>
    <m/>
    <s v="SOLFIN"/>
    <s v="SOLFIN"/>
    <s v="CCMS"/>
    <n v="21328107"/>
    <n v="2689.24"/>
    <m/>
    <s v="N"/>
    <n v="28"/>
    <d v="2023-07-04T19:01:04"/>
    <s v="Y"/>
    <s v="Preparation - drafting attendance n"/>
    <s v="Prescribed Hourly Rates"/>
    <s v="Profit Cost"/>
    <s v="NA"/>
    <s v="Y"/>
    <n v="5.49"/>
    <n v="1.1"/>
    <x v="1"/>
    <s v="VALIDATED"/>
    <n v="1"/>
    <s v="01.11.80.303.6100.0000"/>
    <n v="5.49"/>
    <s v="11"/>
    <s v="6100"/>
    <n v="7025.3"/>
    <n v="5.49"/>
    <s v="CREDITOR"/>
    <n v="0"/>
    <n v="0"/>
    <n v="0"/>
    <n v="0"/>
    <n v="5.49"/>
  </r>
  <r>
    <n v="59733015"/>
    <s v="N"/>
    <n v="21328107"/>
    <s v="3000014112360002"/>
    <s v="CIVIL"/>
    <d v="2023-06-26T00:00:00"/>
    <d v="2023-07-04T19:00:44"/>
    <m/>
    <d v="2023-07-04T00:00:00"/>
    <n v="1279"/>
    <n v="15685"/>
    <s v="59733015"/>
    <s v="59733015"/>
    <m/>
    <m/>
    <n v="22762112"/>
    <m/>
    <m/>
    <m/>
    <s v="SOLFIN"/>
    <s v="SOLFIN"/>
    <s v="CCMS"/>
    <n v="21328107"/>
    <n v="2689.24"/>
    <m/>
    <s v="N"/>
    <n v="37"/>
    <d v="2023-07-04T19:01:04"/>
    <s v="Y"/>
    <s v="Preparation - other"/>
    <s v="Prescribed Hourly Rates"/>
    <s v="Profit Cost"/>
    <s v="NA"/>
    <s v="Y"/>
    <n v="43.92"/>
    <n v="8.779999999999999"/>
    <x v="1"/>
    <s v="VALIDATED"/>
    <n v="1"/>
    <s v="01.11.80.303.6100.0000"/>
    <n v="43.92"/>
    <s v="11"/>
    <s v="6100"/>
    <n v="7025.3"/>
    <n v="43.92"/>
    <s v="CREDITOR"/>
    <n v="0"/>
    <n v="0"/>
    <n v="0"/>
    <n v="0"/>
    <n v="43.92"/>
  </r>
  <r>
    <n v="59733015"/>
    <s v="N"/>
    <n v="21328107"/>
    <s v="3000014112360002"/>
    <s v="CIVIL"/>
    <d v="2023-06-26T00:00:00"/>
    <d v="2023-07-04T19:00:44"/>
    <m/>
    <d v="2023-07-04T00:00:00"/>
    <n v="1279"/>
    <n v="15685"/>
    <s v="59733015"/>
    <s v="59733015"/>
    <m/>
    <m/>
    <n v="22762112"/>
    <m/>
    <m/>
    <m/>
    <s v="SOLFIN"/>
    <s v="SOLFIN"/>
    <s v="CCMS"/>
    <n v="21328107"/>
    <n v="2689.24"/>
    <m/>
    <s v="N"/>
    <n v="6"/>
    <d v="2023-07-04T19:01:04"/>
    <s v="Y"/>
    <s v="Preparation - drafting attendance n"/>
    <s v="Prescribed Hourly Rates"/>
    <s v="Profit Cost"/>
    <s v="KB"/>
    <s v="Y"/>
    <n v="6.31"/>
    <n v="1.26"/>
    <x v="1"/>
    <s v="VALIDATED"/>
    <n v="1"/>
    <s v="01.11.80.303.6100.0000"/>
    <n v="6.31"/>
    <s v="11"/>
    <s v="6100"/>
    <n v="7025.3"/>
    <n v="6.31"/>
    <s v="CREDITOR"/>
    <n v="0"/>
    <n v="0"/>
    <n v="0"/>
    <n v="0"/>
    <n v="6.31"/>
  </r>
  <r>
    <n v="59733015"/>
    <s v="N"/>
    <n v="21328107"/>
    <s v="3000014112360002"/>
    <s v="CIVIL"/>
    <d v="2023-06-26T00:00:00"/>
    <d v="2023-07-04T19:00:44"/>
    <m/>
    <d v="2023-07-04T00:00:00"/>
    <n v="1279"/>
    <n v="15685"/>
    <s v="59733015"/>
    <s v="59733015"/>
    <m/>
    <m/>
    <n v="22762112"/>
    <m/>
    <m/>
    <m/>
    <s v="SOLFIN"/>
    <s v="SOLFIN"/>
    <s v="CCMS"/>
    <n v="21328107"/>
    <n v="2689.24"/>
    <m/>
    <s v="N"/>
    <n v="32"/>
    <d v="2023-07-04T19:01:04"/>
    <s v="Y"/>
    <s v="Attendance upon client"/>
    <s v="Prescribed Hourly Rates"/>
    <s v="Profit Cost"/>
    <s v="NA"/>
    <s v="Y"/>
    <n v="32.94"/>
    <n v="6.59"/>
    <x v="1"/>
    <s v="VALIDATED"/>
    <n v="1"/>
    <s v="01.11.80.303.6100.0000"/>
    <n v="32.94"/>
    <s v="11"/>
    <s v="6100"/>
    <n v="7025.3"/>
    <n v="32.94"/>
    <s v="CREDITOR"/>
    <n v="0"/>
    <n v="0"/>
    <n v="0"/>
    <n v="0"/>
    <n v="32.94"/>
  </r>
  <r>
    <n v="59733015"/>
    <s v="N"/>
    <n v="21328107"/>
    <s v="3000014112360002"/>
    <s v="CIVIL"/>
    <d v="2023-06-26T00:00:00"/>
    <d v="2023-07-04T19:00:44"/>
    <m/>
    <d v="2023-07-04T00:00:00"/>
    <n v="1279"/>
    <n v="15685"/>
    <s v="59733015"/>
    <s v="59733015"/>
    <m/>
    <m/>
    <n v="22762112"/>
    <m/>
    <m/>
    <m/>
    <s v="SOLFIN"/>
    <s v="SOLFIN"/>
    <s v="CCMS"/>
    <n v="21328107"/>
    <n v="2689.24"/>
    <m/>
    <s v="N"/>
    <n v="34"/>
    <d v="2023-07-04T19:01:04"/>
    <s v="Y"/>
    <s v="Preparation - other"/>
    <s v="Prescribed Hourly Rates"/>
    <s v="Profit Cost"/>
    <s v="NA"/>
    <s v="Y"/>
    <n v="16.47"/>
    <n v="3.29"/>
    <x v="1"/>
    <s v="VALIDATED"/>
    <n v="1"/>
    <s v="01.11.80.303.6100.0000"/>
    <n v="16.47"/>
    <s v="11"/>
    <s v="6100"/>
    <n v="7025.3"/>
    <n v="16.47"/>
    <s v="CREDITOR"/>
    <n v="0"/>
    <n v="0"/>
    <n v="0"/>
    <n v="0"/>
    <n v="16.47"/>
  </r>
  <r>
    <n v="61172052"/>
    <s v="N"/>
    <n v="21349407"/>
    <s v="3000015352700002"/>
    <s v="CIVIL"/>
    <d v="2023-06-23T00:00:00"/>
    <d v="2023-07-10T19:01:40"/>
    <m/>
    <d v="2023-07-10T00:00:00"/>
    <n v="1279"/>
    <n v="15685"/>
    <s v="61172052"/>
    <s v="61172052"/>
    <m/>
    <m/>
    <n v="22749640"/>
    <m/>
    <m/>
    <m/>
    <s v="SOLFIN"/>
    <s v="SOLFIN"/>
    <s v="CCMS"/>
    <n v="21349407"/>
    <n v="2830.52"/>
    <m/>
    <s v="N"/>
    <n v="30"/>
    <d v="2023-07-10T19:01:49"/>
    <s v="Y"/>
    <s v="Preparation - other"/>
    <s v="Prescribed Hourly Rates"/>
    <s v="Profit Cost"/>
    <s v="RM"/>
    <s v="Y"/>
    <n v="10.98"/>
    <n v="2.2"/>
    <x v="2"/>
    <s v="VALIDATED"/>
    <n v="1"/>
    <s v="01.11.80.307.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40"/>
    <d v="2023-07-04T19:01:04"/>
    <s v="Y"/>
    <s v="Routine Letter In"/>
    <s v="Prescribed Hourly Rates"/>
    <s v="Profit Cost"/>
    <s v="KB"/>
    <s v="Y"/>
    <n v="27.95"/>
    <n v="5.59"/>
    <x v="1"/>
    <s v="VALIDATED"/>
    <n v="1"/>
    <s v="01.11.80.303.6100.0000"/>
    <n v="27.95"/>
    <s v="11"/>
    <s v="6100"/>
    <n v="7025.3"/>
    <n v="27.95"/>
    <s v="CREDITOR"/>
    <n v="0"/>
    <n v="0"/>
    <n v="0"/>
    <n v="0"/>
    <n v="27.95"/>
  </r>
  <r>
    <n v="59733015"/>
    <s v="N"/>
    <n v="21328107"/>
    <s v="3000014112360002"/>
    <s v="CIVIL"/>
    <d v="2023-06-26T00:00:00"/>
    <d v="2023-07-04T19:00:44"/>
    <m/>
    <d v="2023-07-04T00:00:00"/>
    <n v="1279"/>
    <n v="15685"/>
    <s v="59733015"/>
    <s v="59733015"/>
    <m/>
    <m/>
    <n v="22762112"/>
    <m/>
    <m/>
    <m/>
    <s v="SOLFIN"/>
    <s v="SOLFIN"/>
    <s v="CCMS"/>
    <n v="21328107"/>
    <n v="2689.24"/>
    <m/>
    <s v="N"/>
    <n v="12"/>
    <d v="2023-07-04T19:01:04"/>
    <s v="Y"/>
    <s v="Preparation - other"/>
    <s v="Prescribed Hourly Rates"/>
    <s v="Profit Cost"/>
    <s v="NA"/>
    <s v="Y"/>
    <n v="27.45"/>
    <n v="5.49"/>
    <x v="1"/>
    <s v="VALIDATED"/>
    <n v="1"/>
    <s v="01.11.80.303.6100.0000"/>
    <n v="27.45"/>
    <s v="11"/>
    <s v="6100"/>
    <n v="7025.3"/>
    <n v="27.45"/>
    <s v="CREDITOR"/>
    <n v="0"/>
    <n v="0"/>
    <n v="0"/>
    <n v="0"/>
    <n v="27.45"/>
  </r>
  <r>
    <n v="59733015"/>
    <s v="N"/>
    <n v="21328107"/>
    <s v="3000014112360002"/>
    <s v="CIVIL"/>
    <d v="2023-06-26T00:00:00"/>
    <d v="2023-07-04T19:00:44"/>
    <m/>
    <d v="2023-07-04T00:00:00"/>
    <n v="1279"/>
    <n v="15685"/>
    <s v="59733015"/>
    <s v="59733015"/>
    <m/>
    <m/>
    <n v="22762112"/>
    <m/>
    <m/>
    <m/>
    <s v="SOLFIN"/>
    <s v="SOLFIN"/>
    <s v="CCMS"/>
    <n v="21328107"/>
    <n v="2689.24"/>
    <m/>
    <s v="N"/>
    <n v="14"/>
    <d v="2023-07-04T19:01:04"/>
    <s v="Y"/>
    <s v="Attendance upon client"/>
    <s v="Prescribed Hourly Rates"/>
    <s v="Profit Cost"/>
    <s v="NA"/>
    <s v="Y"/>
    <n v="16.47"/>
    <n v="3.29"/>
    <x v="1"/>
    <s v="VALIDATED"/>
    <n v="1"/>
    <s v="01.11.80.303.6100.0000"/>
    <n v="16.47"/>
    <s v="11"/>
    <s v="6100"/>
    <n v="7025.3"/>
    <n v="16.47"/>
    <s v="CREDITOR"/>
    <n v="0"/>
    <n v="0"/>
    <n v="0"/>
    <n v="0"/>
    <n v="16.47"/>
  </r>
  <r>
    <n v="61172052"/>
    <s v="N"/>
    <n v="21349407"/>
    <s v="3000015352700002"/>
    <s v="CIVIL"/>
    <d v="2023-06-23T00:00:00"/>
    <d v="2023-07-10T19:01:40"/>
    <m/>
    <d v="2023-07-10T00:00:00"/>
    <n v="1279"/>
    <n v="15685"/>
    <s v="61172052"/>
    <s v="61172052"/>
    <m/>
    <m/>
    <n v="22749640"/>
    <m/>
    <m/>
    <m/>
    <s v="SOLFIN"/>
    <s v="SOLFIN"/>
    <s v="CCMS"/>
    <n v="21349407"/>
    <n v="2830.52"/>
    <m/>
    <s v="N"/>
    <n v="24"/>
    <d v="2023-07-10T19:01:49"/>
    <s v="Y"/>
    <s v="Preparation - other"/>
    <s v="Prescribed Hourly Rates"/>
    <s v="Profit Cost"/>
    <s v="KB"/>
    <s v="Y"/>
    <n v="12.63"/>
    <n v="2.53"/>
    <x v="2"/>
    <s v="VALIDATED"/>
    <n v="1"/>
    <s v="01.11.80.307.6100.0000"/>
    <n v="12.63"/>
    <s v="11"/>
    <s v="6100"/>
    <n v="7025.3"/>
    <n v="12.63"/>
    <s v="CREDITOR"/>
    <n v="0"/>
    <n v="0"/>
    <n v="0"/>
    <n v="0"/>
    <n v="12.63"/>
  </r>
  <r>
    <n v="59733015"/>
    <s v="N"/>
    <n v="21328107"/>
    <s v="3000014112360002"/>
    <s v="CIVIL"/>
    <d v="2023-06-26T00:00:00"/>
    <d v="2023-07-04T19:00:44"/>
    <m/>
    <d v="2023-07-04T00:00:00"/>
    <n v="1279"/>
    <n v="15685"/>
    <s v="59733015"/>
    <s v="59733015"/>
    <m/>
    <m/>
    <n v="22762112"/>
    <m/>
    <m/>
    <m/>
    <s v="SOLFIN"/>
    <s v="SOLFIN"/>
    <s v="CCMS"/>
    <n v="21328107"/>
    <n v="2689.24"/>
    <m/>
    <s v="N"/>
    <n v="36"/>
    <d v="2023-07-04T19:01:04"/>
    <s v="Y"/>
    <s v="Attendance upon client"/>
    <s v="Prescribed Hourly Rates"/>
    <s v="Profit Cost"/>
    <s v="NA"/>
    <s v="Y"/>
    <n v="54.9"/>
    <n v="10.98"/>
    <x v="1"/>
    <s v="VALIDATED"/>
    <n v="1"/>
    <s v="01.11.80.303.6100.0000"/>
    <n v="54.9"/>
    <s v="11"/>
    <s v="6100"/>
    <n v="7025.3"/>
    <n v="54.9"/>
    <s v="CREDITOR"/>
    <n v="0"/>
    <n v="0"/>
    <n v="0"/>
    <n v="0"/>
    <n v="54.9"/>
  </r>
  <r>
    <n v="59733015"/>
    <s v="N"/>
    <n v="21328107"/>
    <s v="3000014112360002"/>
    <s v="CIVIL"/>
    <d v="2023-06-26T00:00:00"/>
    <d v="2023-07-04T19:00:44"/>
    <m/>
    <d v="2023-07-04T00:00:00"/>
    <n v="1279"/>
    <n v="15685"/>
    <s v="59733015"/>
    <s v="59733015"/>
    <m/>
    <m/>
    <n v="22762112"/>
    <m/>
    <m/>
    <m/>
    <s v="SOLFIN"/>
    <s v="SOLFIN"/>
    <s v="CCMS"/>
    <n v="21328107"/>
    <n v="2689.24"/>
    <m/>
    <s v="N"/>
    <n v="60"/>
    <d v="2023-07-04T19:01:04"/>
    <s v="Y"/>
    <s v="Attendance upon client"/>
    <s v="Prescribed Hourly Rates"/>
    <s v="Profit Cost"/>
    <s v="NA"/>
    <s v="Y"/>
    <n v="10.98"/>
    <n v="2.2"/>
    <x v="1"/>
    <s v="VALIDATED"/>
    <n v="1"/>
    <s v="01.11.80.303.6100.0000"/>
    <n v="10.98"/>
    <s v="11"/>
    <s v="6100"/>
    <n v="7025.3"/>
    <n v="10.98"/>
    <s v="CREDITOR"/>
    <n v="0"/>
    <n v="0"/>
    <n v="0"/>
    <n v="0"/>
    <n v="10.98"/>
  </r>
  <r>
    <n v="61172052"/>
    <s v="N"/>
    <n v="21349407"/>
    <s v="3000015352700002"/>
    <s v="CIVIL"/>
    <d v="2023-06-23T00:00:00"/>
    <d v="2023-07-10T19:01:40"/>
    <m/>
    <d v="2023-07-10T00:00:00"/>
    <n v="1279"/>
    <n v="15685"/>
    <s v="61172052"/>
    <s v="61172052"/>
    <m/>
    <m/>
    <n v="22749640"/>
    <m/>
    <m/>
    <m/>
    <s v="SOLFIN"/>
    <s v="SOLFIN"/>
    <s v="CCMS"/>
    <n v="21349407"/>
    <n v="2830.52"/>
    <m/>
    <s v="N"/>
    <n v="11"/>
    <d v="2023-07-10T19:01:49"/>
    <s v="Y"/>
    <s v="Attendance upon client"/>
    <s v="Prescribed Hourly Rates"/>
    <s v="Profit Cost"/>
    <s v="RM"/>
    <s v="Y"/>
    <n v="82.34999999999999"/>
    <n v="16.47"/>
    <x v="2"/>
    <s v="VALIDATED"/>
    <n v="1"/>
    <s v="01.11.80.307.6100.0000"/>
    <n v="82.34999999999999"/>
    <s v="11"/>
    <s v="6100"/>
    <n v="7025.3"/>
    <n v="82.34999999999999"/>
    <s v="CREDITOR"/>
    <n v="0"/>
    <n v="0"/>
    <n v="0"/>
    <n v="0"/>
    <n v="82.34999999999999"/>
  </r>
  <r>
    <n v="59733015"/>
    <s v="N"/>
    <n v="21328107"/>
    <s v="3000014112360002"/>
    <s v="CIVIL"/>
    <d v="2023-06-26T00:00:00"/>
    <d v="2023-07-04T19:00:44"/>
    <m/>
    <d v="2023-07-04T00:00:00"/>
    <n v="1279"/>
    <n v="15685"/>
    <s v="59733015"/>
    <s v="59733015"/>
    <m/>
    <m/>
    <n v="22762112"/>
    <m/>
    <m/>
    <m/>
    <s v="SOLFIN"/>
    <s v="SOLFIN"/>
    <s v="CCMS"/>
    <n v="21328107"/>
    <n v="2689.24"/>
    <m/>
    <s v="N"/>
    <n v="49"/>
    <d v="2023-07-04T19:01:04"/>
    <s v="Y"/>
    <s v="Preparation - drafting attendance n"/>
    <s v="Prescribed Hourly Rates"/>
    <s v="Profit Cost"/>
    <s v="NA"/>
    <s v="Y"/>
    <n v="16.47"/>
    <n v="3.29"/>
    <x v="1"/>
    <s v="VALIDATED"/>
    <n v="1"/>
    <s v="01.11.80.303.6100.0000"/>
    <n v="16.47"/>
    <s v="11"/>
    <s v="6100"/>
    <n v="7025.3"/>
    <n v="16.47"/>
    <s v="CREDITOR"/>
    <n v="0"/>
    <n v="0"/>
    <n v="0"/>
    <n v="0"/>
    <n v="16.47"/>
  </r>
  <r>
    <n v="59733015"/>
    <s v="N"/>
    <n v="21328107"/>
    <s v="3000014112360002"/>
    <s v="CIVIL"/>
    <d v="2023-06-26T00:00:00"/>
    <d v="2023-07-04T19:00:44"/>
    <m/>
    <d v="2023-07-04T00:00:00"/>
    <n v="1279"/>
    <n v="15685"/>
    <s v="59733015"/>
    <s v="59733015"/>
    <m/>
    <m/>
    <n v="22762112"/>
    <m/>
    <m/>
    <m/>
    <s v="SOLFIN"/>
    <s v="SOLFIN"/>
    <s v="CCMS"/>
    <n v="21328107"/>
    <n v="2689.24"/>
    <m/>
    <s v="N"/>
    <n v="15"/>
    <d v="2023-07-04T19:01:04"/>
    <s v="Y"/>
    <s v="Attendance upon client"/>
    <s v="Prescribed Hourly Rates"/>
    <s v="Profit Cost"/>
    <s v="NA"/>
    <s v="Y"/>
    <n v="27.45"/>
    <n v="5.49"/>
    <x v="1"/>
    <s v="VALIDATED"/>
    <n v="1"/>
    <s v="01.11.80.303.6100.0000"/>
    <n v="27.45"/>
    <s v="11"/>
    <s v="6100"/>
    <n v="7025.3"/>
    <n v="27.45"/>
    <s v="CREDITOR"/>
    <n v="0"/>
    <n v="0"/>
    <n v="0"/>
    <n v="0"/>
    <n v="27.45"/>
  </r>
  <r>
    <n v="59733015"/>
    <s v="N"/>
    <n v="21328107"/>
    <s v="3000014112360002"/>
    <s v="CIVIL"/>
    <d v="2023-06-26T00:00:00"/>
    <d v="2023-07-04T19:00:44"/>
    <m/>
    <d v="2023-07-04T00:00:00"/>
    <n v="1279"/>
    <n v="15685"/>
    <s v="59733015"/>
    <s v="59733015"/>
    <m/>
    <m/>
    <n v="22762112"/>
    <m/>
    <m/>
    <m/>
    <s v="SOLFIN"/>
    <s v="SOLFIN"/>
    <s v="CCMS"/>
    <n v="21328107"/>
    <n v="2689.24"/>
    <m/>
    <s v="N"/>
    <n v="54"/>
    <d v="2023-07-04T19:01:04"/>
    <s v="Y"/>
    <s v="Preparation - other"/>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41"/>
    <d v="2023-07-04T19:01:04"/>
    <s v="Y"/>
    <s v="Attendance upon other side"/>
    <s v="Prescribed Hourly Rates"/>
    <s v="Profit Cost"/>
    <s v="NA"/>
    <s v="Y"/>
    <n v="16.47"/>
    <n v="3.29"/>
    <x v="1"/>
    <s v="VALIDATED"/>
    <n v="1"/>
    <s v="01.11.80.303.6100.0000"/>
    <n v="16.47"/>
    <s v="11"/>
    <s v="6100"/>
    <n v="7025.3"/>
    <n v="16.47"/>
    <s v="CREDITOR"/>
    <n v="0"/>
    <n v="0"/>
    <n v="0"/>
    <n v="0"/>
    <n v="16.47"/>
  </r>
  <r>
    <n v="61063238"/>
    <s v="N"/>
    <n v="21327986"/>
    <s v="3000015260000002"/>
    <s v="CIVIL"/>
    <d v="2023-06-22T00:00:00"/>
    <d v="2023-07-04T19:00:44"/>
    <m/>
    <d v="2023-07-04T00:00:00"/>
    <n v="1279"/>
    <n v="15685"/>
    <s v="61063238"/>
    <s v="61063238"/>
    <m/>
    <m/>
    <n v="22746204"/>
    <m/>
    <m/>
    <m/>
    <s v="SOLFIN"/>
    <s v="SOLFIN"/>
    <s v="CCMS"/>
    <n v="21327986"/>
    <n v="5250.24"/>
    <m/>
    <s v="N"/>
    <n v="5"/>
    <d v="2023-07-04T19:01:00"/>
    <s v="Y"/>
    <s v="Hearing Unit 2.31 - 5.00 Hours"/>
    <s v="Private Law Children"/>
    <s v="Advocacy"/>
    <s v="RM"/>
    <s v="Y"/>
    <n v="313.48"/>
    <n v="62.7"/>
    <x v="1"/>
    <s v="VALIDATED"/>
    <n v="1"/>
    <s v="01.11.80.307.6100.0000"/>
    <n v="313.48"/>
    <s v="11"/>
    <s v="6100"/>
    <n v="7025.3"/>
    <n v="313.48"/>
    <s v="CREDITOR"/>
    <n v="0"/>
    <n v="0"/>
    <n v="0"/>
    <n v="0"/>
    <n v="313.48"/>
  </r>
  <r>
    <n v="59733015"/>
    <s v="N"/>
    <n v="21328107"/>
    <s v="3000014112360002"/>
    <s v="CIVIL"/>
    <d v="2023-06-26T00:00:00"/>
    <d v="2023-07-04T19:00:44"/>
    <m/>
    <d v="2023-07-04T00:00:00"/>
    <n v="1279"/>
    <n v="15685"/>
    <s v="59733015"/>
    <s v="59733015"/>
    <m/>
    <m/>
    <n v="22762112"/>
    <m/>
    <m/>
    <m/>
    <s v="SOLFIN"/>
    <s v="SOLFIN"/>
    <s v="CCMS"/>
    <n v="21328107"/>
    <n v="2689.24"/>
    <m/>
    <s v="N"/>
    <n v="10"/>
    <d v="2023-07-04T19:01:04"/>
    <s v="Y"/>
    <s v="Attendance upon client"/>
    <s v="Prescribed Hourly Rates"/>
    <s v="Profit Cost"/>
    <s v="NA"/>
    <s v="Y"/>
    <n v="16.47"/>
    <n v="3.29"/>
    <x v="1"/>
    <s v="VALIDATED"/>
    <n v="1"/>
    <s v="01.11.80.303.6100.0000"/>
    <n v="16.47"/>
    <s v="11"/>
    <s v="6100"/>
    <n v="7025.3"/>
    <n v="16.47"/>
    <s v="CREDITOR"/>
    <n v="0"/>
    <n v="0"/>
    <n v="0"/>
    <n v="0"/>
    <n v="16.47"/>
  </r>
  <r>
    <n v="61172052"/>
    <s v="N"/>
    <n v="21349407"/>
    <s v="3000015352700002"/>
    <s v="CIVIL"/>
    <d v="2023-06-23T00:00:00"/>
    <d v="2023-07-10T19:01:40"/>
    <m/>
    <d v="2023-07-10T00:00:00"/>
    <n v="1279"/>
    <n v="15685"/>
    <s v="61172052"/>
    <s v="61172052"/>
    <m/>
    <m/>
    <n v="22749640"/>
    <m/>
    <m/>
    <m/>
    <s v="SOLFIN"/>
    <s v="SOLFIN"/>
    <s v="CCMS"/>
    <n v="21349407"/>
    <n v="2830.52"/>
    <m/>
    <s v="N"/>
    <n v="33"/>
    <d v="2023-07-10T19:01:49"/>
    <s v="Y"/>
    <s v="Hearing Unit 2.31 - 5.00 Hours"/>
    <s v="Private Law Children"/>
    <s v="Advocacy"/>
    <s v="KB"/>
    <s v="Y"/>
    <n v="344.8"/>
    <n v="68.95999999999999"/>
    <x v="2"/>
    <s v="VALIDATED"/>
    <n v="1"/>
    <s v="01.11.80.307.6100.0000"/>
    <n v="344.8"/>
    <s v="11"/>
    <s v="6100"/>
    <n v="7025.3"/>
    <n v="344.8"/>
    <s v="CREDITOR"/>
    <n v="0"/>
    <n v="0"/>
    <n v="0"/>
    <n v="0"/>
    <n v="344.8"/>
  </r>
  <r>
    <n v="61172052"/>
    <s v="N"/>
    <n v="21349407"/>
    <s v="3000015352700002"/>
    <s v="CIVIL"/>
    <d v="2023-06-23T00:00:00"/>
    <d v="2023-07-10T19:01:40"/>
    <m/>
    <d v="2023-07-10T00:00:00"/>
    <n v="1279"/>
    <n v="15685"/>
    <s v="61172052"/>
    <s v="61172052"/>
    <m/>
    <m/>
    <n v="22749640"/>
    <m/>
    <m/>
    <m/>
    <s v="SOLFIN"/>
    <s v="SOLFIN"/>
    <s v="CCMS"/>
    <n v="21349407"/>
    <n v="2830.52"/>
    <m/>
    <s v="N"/>
    <n v="6"/>
    <d v="2023-07-10T19:01:49"/>
    <s v="Y"/>
    <s v="Preparation - other"/>
    <s v="Prescribed Hourly Rates"/>
    <s v="Profit Cost"/>
    <s v="KB"/>
    <s v="Y"/>
    <n v="63.14"/>
    <n v="12.63"/>
    <x v="2"/>
    <s v="VALIDATED"/>
    <n v="1"/>
    <s v="01.11.80.307.6100.0000"/>
    <n v="63.14"/>
    <s v="11"/>
    <s v="6100"/>
    <n v="7025.3"/>
    <n v="63.14"/>
    <s v="CREDITOR"/>
    <n v="0"/>
    <n v="0"/>
    <n v="0"/>
    <n v="0"/>
    <n v="63.14"/>
  </r>
  <r>
    <n v="61172052"/>
    <s v="N"/>
    <n v="21349407"/>
    <s v="3000015352700002"/>
    <s v="CIVIL"/>
    <d v="2023-06-23T00:00:00"/>
    <d v="2023-07-10T19:01:40"/>
    <m/>
    <d v="2023-07-10T00:00:00"/>
    <n v="1279"/>
    <n v="15685"/>
    <s v="61172052"/>
    <s v="61172052"/>
    <m/>
    <m/>
    <n v="22749640"/>
    <m/>
    <m/>
    <m/>
    <s v="SOLFIN"/>
    <s v="SOLFIN"/>
    <s v="CCMS"/>
    <n v="21349407"/>
    <n v="2830.52"/>
    <m/>
    <s v="N"/>
    <n v="32"/>
    <d v="2023-07-10T19:01:49"/>
    <s v="Y"/>
    <s v="Toxicologist"/>
    <s v="Private Law Children"/>
    <s v="Expert Disbursement"/>
    <s v="KB"/>
    <s v="Y"/>
    <n v="368"/>
    <n v="73.58"/>
    <x v="2"/>
    <s v="VALIDATED"/>
    <n v="1"/>
    <s v="01.11.80.307.6300.0000"/>
    <n v="368"/>
    <s v="11"/>
    <s v="6300"/>
    <n v="7025.3"/>
    <n v="368"/>
    <s v="CREDITOR"/>
    <n v="0"/>
    <n v="0"/>
    <n v="0"/>
    <n v="0"/>
    <n v="368"/>
  </r>
  <r>
    <n v="59733015"/>
    <s v="N"/>
    <n v="21328107"/>
    <s v="3000014112360002"/>
    <s v="CIVIL"/>
    <d v="2023-06-26T00:00:00"/>
    <d v="2023-07-04T19:00:44"/>
    <m/>
    <d v="2023-07-04T00:00:00"/>
    <n v="1279"/>
    <n v="15685"/>
    <s v="59733015"/>
    <s v="59733015"/>
    <m/>
    <m/>
    <n v="22762112"/>
    <m/>
    <m/>
    <m/>
    <s v="SOLFIN"/>
    <s v="SOLFIN"/>
    <s v="CCMS"/>
    <n v="21328107"/>
    <n v="2689.24"/>
    <m/>
    <s v="N"/>
    <n v="47"/>
    <d v="2023-07-04T19:01:04"/>
    <s v="Y"/>
    <s v="Routine Letter Out"/>
    <s v="Prescribed Hourly Rates"/>
    <s v="Profit Cost"/>
    <s v="NA"/>
    <s v="Y"/>
    <n v="237.6"/>
    <n v="47.52"/>
    <x v="1"/>
    <s v="VALIDATED"/>
    <n v="1"/>
    <s v="01.11.80.303.6100.0000"/>
    <n v="237.6"/>
    <s v="11"/>
    <s v="6100"/>
    <n v="7025.3"/>
    <n v="237.6"/>
    <s v="CREDITOR"/>
    <n v="0"/>
    <n v="0"/>
    <n v="0"/>
    <n v="0"/>
    <n v="237.6"/>
  </r>
  <r>
    <n v="59733015"/>
    <s v="N"/>
    <n v="21328107"/>
    <s v="3000014112360002"/>
    <s v="CIVIL"/>
    <d v="2023-06-26T00:00:00"/>
    <d v="2023-07-04T19:00:44"/>
    <m/>
    <d v="2023-07-04T00:00:00"/>
    <n v="1279"/>
    <n v="15685"/>
    <s v="59733015"/>
    <s v="59733015"/>
    <m/>
    <m/>
    <n v="22762112"/>
    <m/>
    <m/>
    <m/>
    <s v="SOLFIN"/>
    <s v="SOLFIN"/>
    <s v="CCMS"/>
    <n v="21328107"/>
    <n v="2689.24"/>
    <m/>
    <s v="N"/>
    <n v="11"/>
    <d v="2023-07-04T19:01:04"/>
    <s v="Y"/>
    <s v="Preparation - other"/>
    <s v="Prescribed Hourly Rates"/>
    <s v="Profit Cost"/>
    <s v="NA"/>
    <s v="Y"/>
    <n v="16.47"/>
    <n v="3.29"/>
    <x v="1"/>
    <s v="VALIDATED"/>
    <n v="1"/>
    <s v="01.11.80.303.6100.0000"/>
    <n v="16.47"/>
    <s v="11"/>
    <s v="6100"/>
    <n v="7025.3"/>
    <n v="16.47"/>
    <s v="CREDITOR"/>
    <n v="0"/>
    <n v="0"/>
    <n v="0"/>
    <n v="0"/>
    <n v="16.47"/>
  </r>
  <r>
    <n v="61172052"/>
    <s v="N"/>
    <n v="21349407"/>
    <s v="3000015352700002"/>
    <s v="CIVIL"/>
    <d v="2023-06-23T00:00:00"/>
    <d v="2023-07-10T19:01:40"/>
    <m/>
    <d v="2023-07-10T00:00:00"/>
    <n v="1279"/>
    <n v="15685"/>
    <s v="61172052"/>
    <s v="61172052"/>
    <m/>
    <m/>
    <n v="22749640"/>
    <m/>
    <m/>
    <m/>
    <s v="SOLFIN"/>
    <s v="SOLFIN"/>
    <s v="CCMS"/>
    <n v="21349407"/>
    <n v="2830.52"/>
    <m/>
    <s v="N"/>
    <n v="29"/>
    <d v="2023-07-10T19:01:49"/>
    <s v="Y"/>
    <s v="Attendance upon client"/>
    <s v="Prescribed Hourly Rates"/>
    <s v="Profit Cost"/>
    <s v="KB"/>
    <s v="Y"/>
    <n v="31.57"/>
    <n v="6.31"/>
    <x v="2"/>
    <s v="VALIDATED"/>
    <n v="1"/>
    <s v="01.11.80.307.6100.0000"/>
    <n v="31.57"/>
    <s v="11"/>
    <s v="6100"/>
    <n v="7025.3"/>
    <n v="31.57"/>
    <s v="CREDITOR"/>
    <n v="0"/>
    <n v="0"/>
    <n v="0"/>
    <n v="0"/>
    <n v="31.57"/>
  </r>
  <r>
    <n v="61172052"/>
    <s v="N"/>
    <n v="21349407"/>
    <s v="3000015352700002"/>
    <s v="CIVIL"/>
    <d v="2023-06-23T00:00:00"/>
    <d v="2023-07-10T19:01:40"/>
    <m/>
    <d v="2023-07-10T00:00:00"/>
    <n v="1279"/>
    <n v="15685"/>
    <s v="61172052"/>
    <s v="61172052"/>
    <m/>
    <m/>
    <n v="22749640"/>
    <m/>
    <m/>
    <m/>
    <s v="SOLFIN"/>
    <s v="SOLFIN"/>
    <s v="CCMS"/>
    <n v="21349407"/>
    <n v="2830.52"/>
    <m/>
    <s v="N"/>
    <n v="10"/>
    <d v="2023-07-10T19:01:49"/>
    <s v="Y"/>
    <s v="Preparation - other"/>
    <s v="Prescribed Hourly Rates"/>
    <s v="Profit Cost"/>
    <s v="RM"/>
    <s v="Y"/>
    <n v="43.92"/>
    <n v="8.779999999999999"/>
    <x v="2"/>
    <s v="VALIDATED"/>
    <n v="1"/>
    <s v="01.11.80.307.6100.0000"/>
    <n v="43.92"/>
    <s v="11"/>
    <s v="6100"/>
    <n v="7025.3"/>
    <n v="43.92"/>
    <s v="CREDITOR"/>
    <n v="0"/>
    <n v="0"/>
    <n v="0"/>
    <n v="0"/>
    <n v="43.92"/>
  </r>
  <r>
    <n v="61172052"/>
    <s v="N"/>
    <n v="21349407"/>
    <s v="3000015352700002"/>
    <s v="CIVIL"/>
    <d v="2023-06-23T00:00:00"/>
    <d v="2023-07-10T19:01:40"/>
    <m/>
    <d v="2023-07-10T00:00:00"/>
    <n v="1279"/>
    <n v="15685"/>
    <s v="61172052"/>
    <s v="61172052"/>
    <m/>
    <m/>
    <n v="22749640"/>
    <m/>
    <m/>
    <m/>
    <s v="SOLFIN"/>
    <s v="SOLFIN"/>
    <s v="CCMS"/>
    <n v="21349407"/>
    <n v="2830.52"/>
    <m/>
    <s v="N"/>
    <n v="13"/>
    <d v="2023-07-10T19:01:49"/>
    <s v="Y"/>
    <s v="Preparation - other"/>
    <s v="Prescribed Hourly Rates"/>
    <s v="Profit Cost"/>
    <s v="RM"/>
    <s v="Y"/>
    <n v="10.98"/>
    <n v="2.2"/>
    <x v="2"/>
    <s v="VALIDATED"/>
    <n v="1"/>
    <s v="01.11.80.307.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21"/>
    <d v="2023-07-04T19:01:04"/>
    <s v="Y"/>
    <s v="Preparation - drafting attendance n"/>
    <s v="Prescribed Hourly Rates"/>
    <s v="Profit Cost"/>
    <s v="NA"/>
    <s v="Y"/>
    <n v="10.98"/>
    <n v="2.2"/>
    <x v="1"/>
    <s v="VALIDATED"/>
    <n v="1"/>
    <s v="01.11.80.303.6100.0000"/>
    <n v="10.98"/>
    <s v="11"/>
    <s v="6100"/>
    <n v="7025.3"/>
    <n v="10.98"/>
    <s v="CREDITOR"/>
    <n v="0"/>
    <n v="0"/>
    <n v="0"/>
    <n v="0"/>
    <n v="10.98"/>
  </r>
  <r>
    <n v="59733015"/>
    <s v="N"/>
    <n v="21328107"/>
    <s v="3000014112360002"/>
    <s v="CIVIL"/>
    <d v="2023-06-26T00:00:00"/>
    <d v="2023-07-04T19:00:44"/>
    <m/>
    <d v="2023-07-04T00:00:00"/>
    <n v="1279"/>
    <n v="15685"/>
    <s v="59733015"/>
    <s v="59733015"/>
    <m/>
    <m/>
    <n v="22762112"/>
    <m/>
    <m/>
    <m/>
    <s v="SOLFIN"/>
    <s v="SOLFIN"/>
    <s v="CCMS"/>
    <n v="21328107"/>
    <n v="2689.24"/>
    <m/>
    <s v="N"/>
    <n v="51"/>
    <d v="2023-07-04T19:01:04"/>
    <s v="Y"/>
    <s v="Attendance upon other side"/>
    <s v="Prescribed Hourly Rates"/>
    <s v="Profit Cost"/>
    <s v="NA"/>
    <s v="Y"/>
    <n v="27.45"/>
    <n v="5.49"/>
    <x v="1"/>
    <s v="VALIDATED"/>
    <n v="1"/>
    <s v="01.11.80.303.6100.0000"/>
    <n v="27.45"/>
    <s v="11"/>
    <s v="6100"/>
    <n v="7025.3"/>
    <n v="27.45"/>
    <s v="CREDITOR"/>
    <n v="0"/>
    <n v="0"/>
    <n v="0"/>
    <n v="0"/>
    <n v="27.45"/>
  </r>
  <r>
    <n v="61063238"/>
    <s v="N"/>
    <n v="21327986"/>
    <s v="3000015260000002"/>
    <s v="CIVIL"/>
    <d v="2023-06-22T00:00:00"/>
    <d v="2023-07-04T19:00:44"/>
    <m/>
    <d v="2023-07-04T00:00:00"/>
    <n v="1279"/>
    <n v="15685"/>
    <s v="61063238"/>
    <s v="61063238"/>
    <m/>
    <m/>
    <n v="22746204"/>
    <m/>
    <m/>
    <m/>
    <s v="SOLFIN"/>
    <s v="SOLFIN"/>
    <s v="CCMS"/>
    <n v="21327986"/>
    <n v="5250.24"/>
    <m/>
    <s v="N"/>
    <n v="3"/>
    <d v="2023-07-04T19:01:00"/>
    <s v="Y"/>
    <s v="Hearing Unit 2.31 - 5.00 Hours"/>
    <s v="Private Law Children"/>
    <s v="Advocacy"/>
    <s v="KB"/>
    <s v="Y"/>
    <n v="344.8"/>
    <n v="68.95999999999999"/>
    <x v="1"/>
    <s v="VALIDATED"/>
    <n v="1"/>
    <s v="01.11.80.307.6100.0000"/>
    <n v="344.8"/>
    <s v="11"/>
    <s v="6100"/>
    <n v="7025.3"/>
    <n v="344.8"/>
    <s v="CREDITOR"/>
    <n v="0"/>
    <n v="0"/>
    <n v="0"/>
    <n v="0"/>
    <n v="344.8"/>
  </r>
  <r>
    <n v="61172052"/>
    <s v="N"/>
    <n v="21349407"/>
    <s v="3000015352700002"/>
    <s v="CIVIL"/>
    <d v="2023-06-23T00:00:00"/>
    <d v="2023-07-10T19:01:40"/>
    <m/>
    <d v="2023-07-10T00:00:00"/>
    <n v="1279"/>
    <n v="15685"/>
    <s v="61172052"/>
    <s v="61172052"/>
    <m/>
    <m/>
    <n v="22749640"/>
    <m/>
    <m/>
    <m/>
    <s v="SOLFIN"/>
    <s v="SOLFIN"/>
    <s v="CCMS"/>
    <n v="21349407"/>
    <n v="2830.52"/>
    <m/>
    <s v="N"/>
    <n v="2"/>
    <d v="2023-07-10T19:01:49"/>
    <s v="Y"/>
    <s v="Routine Letter Out"/>
    <s v="Prescribed Hourly Rates"/>
    <s v="Profit Cost"/>
    <s v="SJ"/>
    <s v="Y"/>
    <n v="86.40000000000001"/>
    <n v="17.28"/>
    <x v="2"/>
    <s v="VALIDATED"/>
    <n v="1"/>
    <s v="01.11.80.307.6100.0000"/>
    <n v="86.40000000000001"/>
    <s v="11"/>
    <s v="6100"/>
    <n v="7025.3"/>
    <n v="86.40000000000001"/>
    <s v="CREDITOR"/>
    <n v="0"/>
    <n v="0"/>
    <n v="0"/>
    <n v="0"/>
    <n v="86.40000000000001"/>
  </r>
  <r>
    <n v="61172052"/>
    <s v="N"/>
    <n v="21349407"/>
    <s v="3000015352700002"/>
    <s v="CIVIL"/>
    <d v="2023-06-23T00:00:00"/>
    <d v="2023-07-10T19:01:40"/>
    <m/>
    <d v="2023-07-10T00:00:00"/>
    <n v="1279"/>
    <n v="15685"/>
    <s v="61172052"/>
    <s v="61172052"/>
    <m/>
    <m/>
    <n v="22749640"/>
    <m/>
    <m/>
    <m/>
    <s v="SOLFIN"/>
    <s v="SOLFIN"/>
    <s v="CCMS"/>
    <n v="21349407"/>
    <n v="2830.52"/>
    <m/>
    <s v="N"/>
    <n v="3"/>
    <d v="2023-07-10T19:01:49"/>
    <s v="Y"/>
    <s v="Routine Letter Out"/>
    <s v="Prescribed Hourly Rates"/>
    <s v="Profit Cost"/>
    <s v="KB"/>
    <s v="Y"/>
    <n v="198.72"/>
    <n v="39.75"/>
    <x v="2"/>
    <s v="VALIDATED"/>
    <n v="1"/>
    <s v="01.11.80.307.6100.0000"/>
    <n v="198.72"/>
    <s v="11"/>
    <s v="6100"/>
    <n v="7025.3"/>
    <n v="198.72"/>
    <s v="CREDITOR"/>
    <n v="0"/>
    <n v="0"/>
    <n v="0"/>
    <n v="0"/>
    <n v="198.72"/>
  </r>
  <r>
    <n v="18861542"/>
    <s v="N"/>
    <n v="21370266"/>
    <s v="3000008158170005"/>
    <s v="CIVIL"/>
    <d v="2023-06-20T00:00:00"/>
    <d v="2023-07-13T19:21:05"/>
    <m/>
    <d v="2023-07-13T00:00:00"/>
    <n v="1298"/>
    <n v="14698"/>
    <s v="18861542"/>
    <s v="18861542"/>
    <m/>
    <m/>
    <n v="22724604"/>
    <m/>
    <m/>
    <m/>
    <s v="SOLFIN"/>
    <s v="SOLFIN"/>
    <s v="CCMS"/>
    <n v="21370266"/>
    <n v="1615.2"/>
    <m/>
    <s v="N"/>
    <n v="1"/>
    <d v="2023-07-13T19:21:18"/>
    <s v="Y"/>
    <s v="Court Fee"/>
    <s v="Domestic Abuse"/>
    <s v="Non Expert Disbursement"/>
    <s v="NJP"/>
    <s v="Y"/>
    <n v="50"/>
    <n v="0"/>
    <x v="11"/>
    <s v="VALIDATED"/>
    <n v="1"/>
    <s v="01.11.80.302.6300.0000"/>
    <n v="50"/>
    <s v="11"/>
    <s v="6300"/>
    <n v="3679.01"/>
    <n v="50"/>
    <s v="CREDITOR"/>
    <n v="0"/>
    <n v="0"/>
    <n v="0"/>
    <n v="0"/>
    <n v="50"/>
  </r>
  <r>
    <n v="40165933"/>
    <s v="N"/>
    <n v="21318510"/>
    <s v="3000010785410018"/>
    <s v="CIVIL"/>
    <d v="2023-06-21T00:00:00"/>
    <d v="2023-07-03T19:01:49"/>
    <m/>
    <d v="2023-07-03T00:00:00"/>
    <n v="1298"/>
    <n v="14698"/>
    <s v="40165933"/>
    <s v="40165933"/>
    <m/>
    <m/>
    <n v="22730608"/>
    <m/>
    <m/>
    <m/>
    <s v="SOLPOA"/>
    <s v="SOLPOA"/>
    <s v="CCMS"/>
    <n v="21318510"/>
    <n v="50"/>
    <m/>
    <s v="N"/>
    <n v="1"/>
    <d v="2023-07-03T19:01:57"/>
    <s v="N"/>
    <s v="Expert Cost"/>
    <s v="Expert Cost"/>
    <s v="Expert Disbursement"/>
    <s v="Ines Fitzsimmons"/>
    <s v="N"/>
    <n v="50"/>
    <n v="0"/>
    <x v="3"/>
    <s v="VALIDATED"/>
    <n v="1"/>
    <s v="01.11.80.308.2012.0000"/>
    <n v="50"/>
    <s v="11"/>
    <s v="2012"/>
    <n v="3679.01"/>
    <n v="50"/>
    <s v="CREDITOR"/>
    <n v="50"/>
    <n v="0"/>
    <n v="0"/>
    <n v="0"/>
    <n v="0"/>
  </r>
  <r>
    <n v="60976800"/>
    <s v="N"/>
    <n v="21321300"/>
    <s v="3000015166740005"/>
    <s v="CIVIL"/>
    <d v="2023-06-29T00:00:00"/>
    <d v="2023-07-03T19:05:17"/>
    <m/>
    <d v="2023-07-03T00:00:00"/>
    <n v="1298"/>
    <n v="14698"/>
    <s v="60976800"/>
    <s v="60976800"/>
    <m/>
    <m/>
    <n v="22785524"/>
    <m/>
    <m/>
    <m/>
    <s v="SOLPOA"/>
    <s v="SOLPOA"/>
    <s v="CCMS"/>
    <n v="21321300"/>
    <n v="495"/>
    <m/>
    <s v="N"/>
    <n v="1"/>
    <d v="2023-07-03T19:05:18"/>
    <s v="N"/>
    <s v="Expert Cost"/>
    <s v="Expert Cost"/>
    <s v="Expert Disbursement"/>
    <s v="Hannah Lowe"/>
    <s v="N"/>
    <n v="412.5"/>
    <n v="82.5"/>
    <x v="3"/>
    <s v="VALIDATED"/>
    <n v="1"/>
    <s v="01.11.80.308.2012.0000"/>
    <n v="412.5"/>
    <s v="11"/>
    <s v="2012"/>
    <n v="3679.01"/>
    <n v="412.5"/>
    <s v="CREDITOR"/>
    <n v="412.5"/>
    <n v="0"/>
    <n v="0"/>
    <n v="0"/>
    <n v="0"/>
  </r>
  <r>
    <n v="60901242"/>
    <s v="N"/>
    <n v="21349872"/>
    <s v="3000015074520003"/>
    <s v="CIVIL"/>
    <d v="2023-06-20T00:00:00"/>
    <d v="2023-07-10T19:01:40"/>
    <m/>
    <d v="2023-07-10T00:00:00"/>
    <n v="1298"/>
    <n v="14698"/>
    <s v="60901242"/>
    <s v="60901242"/>
    <m/>
    <m/>
    <n v="22724456"/>
    <m/>
    <m/>
    <m/>
    <s v="SOLFIN"/>
    <s v="SOLFIN"/>
    <s v="CCMS"/>
    <n v="21349872"/>
    <n v="655.6"/>
    <m/>
    <s v="N"/>
    <n v="2"/>
    <d v="2023-07-10T19:02:01"/>
    <s v="Y"/>
    <s v="Level 3 Fixed Fee"/>
    <s v="Private Law Children"/>
    <s v="Profit Cost"/>
    <s v="NJP"/>
    <s v="Y"/>
    <n v="353"/>
    <n v="70.59999999999999"/>
    <x v="2"/>
    <s v="VALIDATED"/>
    <n v="1"/>
    <s v="01.11.80.307.6100.0000"/>
    <n v="353"/>
    <s v="11"/>
    <s v="6100"/>
    <n v="3679.01"/>
    <n v="353"/>
    <s v="CREDITOR"/>
    <n v="0"/>
    <n v="0"/>
    <n v="0"/>
    <n v="0"/>
    <n v="353"/>
  </r>
  <r>
    <n v="60901242"/>
    <s v="N"/>
    <n v="21349872"/>
    <s v="3000015074520003"/>
    <s v="CIVIL"/>
    <d v="2023-06-20T00:00:00"/>
    <d v="2023-07-10T19:01:40"/>
    <m/>
    <d v="2023-07-10T00:00:00"/>
    <n v="1298"/>
    <n v="14698"/>
    <s v="60901242"/>
    <s v="60901242"/>
    <m/>
    <m/>
    <n v="22724456"/>
    <m/>
    <m/>
    <m/>
    <s v="SOLFIN"/>
    <s v="SOLFIN"/>
    <s v="CCMS"/>
    <n v="21349872"/>
    <n v="655.6"/>
    <m/>
    <s v="N"/>
    <n v="1"/>
    <d v="2023-07-10T19:02:01"/>
    <s v="Y"/>
    <s v="Court Fee"/>
    <s v="Private Law Children"/>
    <s v="Non Expert Disbursement"/>
    <s v="HMCTS"/>
    <s v="Y"/>
    <n v="232"/>
    <n v="0"/>
    <x v="2"/>
    <s v="VALIDATED"/>
    <n v="1"/>
    <s v="01.11.80.307.6300.0000"/>
    <n v="232"/>
    <s v="11"/>
    <s v="6300"/>
    <n v="3679.01"/>
    <n v="232"/>
    <s v="CREDITOR"/>
    <n v="0"/>
    <n v="0"/>
    <n v="0"/>
    <n v="0"/>
    <n v="232"/>
  </r>
  <r>
    <n v="18861542"/>
    <s v="N"/>
    <n v="21370266"/>
    <s v="3000008158170005"/>
    <s v="CIVIL"/>
    <d v="2023-06-20T00:00:00"/>
    <d v="2023-07-13T19:21:05"/>
    <m/>
    <d v="2023-07-13T00:00:00"/>
    <n v="1298"/>
    <n v="14698"/>
    <s v="18861542"/>
    <s v="18861542"/>
    <m/>
    <m/>
    <n v="22724604"/>
    <m/>
    <m/>
    <m/>
    <s v="SOLFIN"/>
    <s v="SOLFIN"/>
    <s v="CCMS"/>
    <n v="21370266"/>
    <n v="1615.2"/>
    <m/>
    <s v="N"/>
    <n v="3"/>
    <d v="2023-07-13T19:21:18"/>
    <s v="Y"/>
    <s v="Level 3 &amp; Level 4 Fixed Fee"/>
    <s v="Private Law Children"/>
    <s v="Profit Cost"/>
    <s v="NJP"/>
    <s v="Y"/>
    <n v="604"/>
    <n v="120.8"/>
    <x v="11"/>
    <s v="VALIDATED"/>
    <n v="1"/>
    <s v="01.11.80.302.6100.0000"/>
    <n v="604"/>
    <s v="11"/>
    <s v="6100"/>
    <n v="3679.01"/>
    <n v="604"/>
    <s v="CREDITOR"/>
    <n v="0"/>
    <n v="0"/>
    <n v="0"/>
    <n v="0"/>
    <n v="604"/>
  </r>
  <r>
    <n v="59407612"/>
    <s v="N"/>
    <n v="21349910"/>
    <s v="3000013850650001"/>
    <s v="CIVIL"/>
    <d v="2023-06-29T00:00:00"/>
    <d v="2023-07-10T19:01:40"/>
    <m/>
    <d v="2023-07-10T00:00:00"/>
    <n v="1298"/>
    <n v="14698"/>
    <s v="59407612"/>
    <s v="59407612"/>
    <m/>
    <m/>
    <n v="22791590"/>
    <m/>
    <m/>
    <m/>
    <s v="SOLINT"/>
    <s v="SOLINT"/>
    <s v="CCMS"/>
    <n v="21349910"/>
    <n v="0"/>
    <m/>
    <s v="N"/>
    <n v="1"/>
    <d v="2023-07-10T19:02:03"/>
    <s v="N"/>
    <s v="NIL BILL"/>
    <s v="Public Law Children"/>
    <s v="Profit Cost"/>
    <s v="Paul Harrison"/>
    <s v="N"/>
    <n v="0"/>
    <n v="0"/>
    <x v="2"/>
    <s v="VALIDATED"/>
    <n v="1"/>
    <s v="01.11.80.308.6100.0000"/>
    <n v="0"/>
    <s v="11"/>
    <s v="6100"/>
    <n v="3679.01"/>
    <n v="0"/>
    <s v="CREDITOR"/>
    <n v="0"/>
    <n v="0"/>
    <n v="0"/>
    <n v="0"/>
    <n v="0"/>
  </r>
  <r>
    <n v="62289137"/>
    <s v="N"/>
    <n v="21319807"/>
    <s v="3000016281200005"/>
    <s v="CIVIL"/>
    <d v="2023-06-28T00:00:00"/>
    <d v="2023-07-03T19:04:24"/>
    <m/>
    <d v="2023-07-03T00:00:00"/>
    <n v="1298"/>
    <n v="14698"/>
    <s v="62289137"/>
    <s v="62289137"/>
    <m/>
    <m/>
    <n v="22776650"/>
    <m/>
    <m/>
    <m/>
    <s v="SOLPOA"/>
    <s v="SOLPOA"/>
    <s v="CCMS"/>
    <n v="21319807"/>
    <n v="340.69"/>
    <m/>
    <s v="N"/>
    <n v="1"/>
    <d v="2023-07-03T19:04:27"/>
    <s v="N"/>
    <s v="Expert Cost"/>
    <s v="Expert Cost"/>
    <s v="Expert Disbursement"/>
    <s v="Jade Phillips"/>
    <s v="N"/>
    <n v="283.91"/>
    <n v="56.78"/>
    <x v="3"/>
    <s v="VALIDATED"/>
    <n v="1"/>
    <s v="01.11.80.308.2012.0000"/>
    <n v="283.91"/>
    <s v="11"/>
    <s v="2012"/>
    <n v="3679.01"/>
    <n v="283.91"/>
    <s v="CREDITOR"/>
    <n v="283.91"/>
    <n v="0"/>
    <n v="0"/>
    <n v="0"/>
    <n v="0"/>
  </r>
  <r>
    <n v="55691917"/>
    <s v="N"/>
    <n v="21318336"/>
    <s v="3000013146920012"/>
    <s v="CIVIL"/>
    <d v="2023-06-21T00:00:00"/>
    <d v="2023-07-03T19:01:49"/>
    <m/>
    <d v="2023-07-03T00:00:00"/>
    <n v="1298"/>
    <n v="14698"/>
    <s v="55691917"/>
    <s v="55691917"/>
    <m/>
    <m/>
    <n v="22730648"/>
    <m/>
    <m/>
    <m/>
    <s v="SOLPOA"/>
    <s v="SOLPOA"/>
    <s v="CCMS"/>
    <n v="21318336"/>
    <n v="189.66"/>
    <m/>
    <s v="N"/>
    <n v="1"/>
    <d v="2023-07-03T19:01:53"/>
    <s v="N"/>
    <s v="Non Expert Disbursement"/>
    <s v="Non Expert Disbursement"/>
    <s v="Non Expert Disbursement"/>
    <s v="Trainline"/>
    <s v="N"/>
    <n v="189.66"/>
    <n v="0"/>
    <x v="3"/>
    <s v="VALIDATED"/>
    <n v="1"/>
    <s v="01.11.80.308.2012.0000"/>
    <n v="189.66"/>
    <s v="11"/>
    <s v="2012"/>
    <n v="3679.01"/>
    <n v="189.66"/>
    <s v="CREDITOR"/>
    <n v="189.66"/>
    <n v="0"/>
    <n v="0"/>
    <n v="0"/>
    <n v="0"/>
  </r>
  <r>
    <n v="59411150"/>
    <s v="N"/>
    <n v="21349888"/>
    <s v="3000013854090001"/>
    <s v="CIVIL"/>
    <d v="2023-06-29T00:00:00"/>
    <d v="2023-07-10T19:01:40"/>
    <m/>
    <d v="2023-07-10T00:00:00"/>
    <n v="1298"/>
    <n v="14698"/>
    <s v="59411150"/>
    <s v="59411150"/>
    <m/>
    <m/>
    <n v="22791238"/>
    <m/>
    <m/>
    <m/>
    <s v="SOLINT"/>
    <s v="SOLINT"/>
    <s v="CCMS"/>
    <n v="21349888"/>
    <n v="0"/>
    <m/>
    <s v="N"/>
    <n v="1"/>
    <d v="2023-07-10T19:02:02"/>
    <s v="N"/>
    <s v="NIL BILL"/>
    <s v="Public Law Children"/>
    <s v="Profit Cost"/>
    <s v="Paul Harrison"/>
    <s v="N"/>
    <n v="0"/>
    <n v="0"/>
    <x v="2"/>
    <s v="VALIDATED"/>
    <n v="1"/>
    <s v="01.11.80.308.6100.0000"/>
    <n v="0"/>
    <s v="11"/>
    <s v="6100"/>
    <n v="3679.01"/>
    <n v="0"/>
    <s v="CREDITOR"/>
    <n v="0"/>
    <n v="0"/>
    <n v="0"/>
    <n v="0"/>
    <n v="0"/>
  </r>
  <r>
    <n v="62289137"/>
    <s v="N"/>
    <n v="21320964"/>
    <s v="3000016281200006"/>
    <s v="CIVIL"/>
    <d v="2023-06-28T00:00:00"/>
    <d v="2023-07-03T19:04:52"/>
    <m/>
    <d v="2023-07-03T00:00:00"/>
    <n v="1298"/>
    <n v="14698"/>
    <s v="62289137"/>
    <s v="62289137"/>
    <m/>
    <m/>
    <n v="22779298"/>
    <m/>
    <m/>
    <m/>
    <s v="SOLPOA"/>
    <s v="SOLPOA"/>
    <s v="CCMS"/>
    <n v="21320964"/>
    <n v="298.5"/>
    <m/>
    <s v="N"/>
    <n v="1"/>
    <d v="2023-07-03T19:04:57"/>
    <s v="N"/>
    <s v="Expert Cost"/>
    <s v="Expert Cost"/>
    <s v="Expert Disbursement"/>
    <s v="Jade Phillips"/>
    <s v="N"/>
    <n v="248.75"/>
    <n v="49.75"/>
    <x v="3"/>
    <s v="VALIDATED"/>
    <n v="1"/>
    <s v="01.11.80.308.2012.0000"/>
    <n v="248.75"/>
    <s v="11"/>
    <s v="2012"/>
    <n v="3679.01"/>
    <n v="248.75"/>
    <s v="CREDITOR"/>
    <n v="248.75"/>
    <n v="0"/>
    <n v="0"/>
    <n v="0"/>
    <n v="0"/>
  </r>
  <r>
    <n v="18861542"/>
    <s v="N"/>
    <n v="21370266"/>
    <s v="3000008158170005"/>
    <s v="CIVIL"/>
    <d v="2023-06-20T00:00:00"/>
    <d v="2023-07-13T19:21:05"/>
    <m/>
    <d v="2023-07-13T00:00:00"/>
    <n v="1298"/>
    <n v="14698"/>
    <s v="18861542"/>
    <s v="18861542"/>
    <m/>
    <m/>
    <n v="22724604"/>
    <m/>
    <m/>
    <m/>
    <s v="SOLFIN"/>
    <s v="SOLFIN"/>
    <s v="CCMS"/>
    <n v="21370266"/>
    <n v="1615.2"/>
    <m/>
    <s v="N"/>
    <n v="4"/>
    <d v="2023-07-13T19:21:18"/>
    <s v="Y"/>
    <s v="Level 4 Fixed Fee"/>
    <s v="Domestic Abuse"/>
    <s v="Profit Cost"/>
    <s v="NJP"/>
    <s v="Y"/>
    <n v="507"/>
    <n v="101.4"/>
    <x v="11"/>
    <s v="VALIDATED"/>
    <n v="1"/>
    <s v="01.11.80.302.6100.0000"/>
    <n v="507"/>
    <s v="11"/>
    <s v="6100"/>
    <n v="3679.01"/>
    <n v="507"/>
    <s v="CREDITOR"/>
    <n v="0"/>
    <n v="0"/>
    <n v="0"/>
    <n v="0"/>
    <n v="507"/>
  </r>
  <r>
    <n v="61696886"/>
    <s v="N"/>
    <n v="21338042"/>
    <s v="3000015786630002"/>
    <s v="CIVIL"/>
    <d v="2023-06-20T00:00:00"/>
    <d v="2023-07-06T19:21:01"/>
    <m/>
    <d v="2023-07-06T00:00:00"/>
    <n v="1298"/>
    <n v="14698"/>
    <s v="61696886"/>
    <s v="61696886"/>
    <m/>
    <m/>
    <n v="22721296"/>
    <m/>
    <m/>
    <m/>
    <s v="SOLPOA"/>
    <s v="SOLPOA"/>
    <s v="CCMS"/>
    <n v="21338042"/>
    <n v="726"/>
    <m/>
    <s v="N"/>
    <n v="1"/>
    <d v="2023-07-06T19:21:11"/>
    <s v="N"/>
    <s v="Expert Cost - Private Law Children"/>
    <s v="Expert Cost - Private Law Chil"/>
    <s v="Expert Disbursement"/>
    <s v="NJP"/>
    <s v="N"/>
    <n v="726"/>
    <n v="0"/>
    <x v="4"/>
    <s v="VALIDATED"/>
    <n v="1"/>
    <s v="01.11.80.307.2012.0000"/>
    <n v="726"/>
    <s v="11"/>
    <s v="2012"/>
    <n v="3679.01"/>
    <n v="726"/>
    <s v="CREDITOR"/>
    <n v="726"/>
    <n v="0"/>
    <n v="0"/>
    <n v="0"/>
    <n v="0"/>
  </r>
  <r>
    <n v="59411258"/>
    <s v="N"/>
    <n v="21349896"/>
    <s v="3000013854260001"/>
    <s v="CIVIL"/>
    <d v="2023-06-29T00:00:00"/>
    <d v="2023-07-10T19:01:40"/>
    <m/>
    <d v="2023-07-10T00:00:00"/>
    <n v="1298"/>
    <n v="14698"/>
    <s v="59411258"/>
    <s v="59411258"/>
    <m/>
    <m/>
    <n v="22791152"/>
    <m/>
    <m/>
    <m/>
    <s v="SOLINT"/>
    <s v="SOLINT"/>
    <s v="CCMS"/>
    <n v="21349896"/>
    <n v="0"/>
    <m/>
    <s v="N"/>
    <n v="1"/>
    <d v="2023-07-10T19:02:02"/>
    <s v="N"/>
    <s v="NIL BILL"/>
    <s v="Public Law Children"/>
    <s v="Profit Cost"/>
    <s v="Paul Harrison"/>
    <s v="N"/>
    <n v="0"/>
    <n v="0"/>
    <x v="2"/>
    <s v="VALIDATED"/>
    <n v="1"/>
    <s v="01.11.80.308.6100.0000"/>
    <n v="0"/>
    <s v="11"/>
    <s v="6100"/>
    <n v="3679.01"/>
    <n v="0"/>
    <s v="CREDITOR"/>
    <n v="0"/>
    <n v="0"/>
    <n v="0"/>
    <n v="0"/>
    <n v="0"/>
  </r>
  <r>
    <n v="16108579"/>
    <s v="N"/>
    <n v="21318484"/>
    <s v="3000007734100029"/>
    <s v="CIVIL"/>
    <d v="2023-06-21T00:00:00"/>
    <d v="2023-07-03T19:01:49"/>
    <m/>
    <d v="2023-07-03T00:00:00"/>
    <n v="1298"/>
    <n v="14698"/>
    <s v="16108579"/>
    <s v="16108579"/>
    <m/>
    <m/>
    <n v="22730576"/>
    <m/>
    <m/>
    <m/>
    <s v="SOLPOA"/>
    <s v="SOLPOA"/>
    <s v="CCMS"/>
    <n v="21318484"/>
    <n v="22.19"/>
    <m/>
    <s v="N"/>
    <n v="1"/>
    <d v="2023-07-03T19:01:57"/>
    <s v="N"/>
    <s v="Non Expert Disbursement"/>
    <s v="Non Expert Disbursement"/>
    <s v="Non Expert Disbursement"/>
    <s v="Trainline"/>
    <s v="N"/>
    <n v="22.19"/>
    <n v="0"/>
    <x v="3"/>
    <s v="VALIDATED"/>
    <n v="1"/>
    <s v="01.11.80.308.2012.0000"/>
    <n v="22.19"/>
    <s v="11"/>
    <s v="2012"/>
    <n v="3679.01"/>
    <n v="22.19"/>
    <s v="CREDITOR"/>
    <n v="22.19"/>
    <n v="0"/>
    <n v="0"/>
    <n v="0"/>
    <n v="0"/>
  </r>
  <r>
    <n v="18861542"/>
    <s v="N"/>
    <n v="21370266"/>
    <s v="3000008158170005"/>
    <s v="CIVIL"/>
    <d v="2023-06-20T00:00:00"/>
    <d v="2023-07-13T19:21:05"/>
    <m/>
    <d v="2023-07-13T00:00:00"/>
    <n v="1298"/>
    <n v="14698"/>
    <s v="18861542"/>
    <s v="18861542"/>
    <m/>
    <m/>
    <n v="22724604"/>
    <m/>
    <m/>
    <m/>
    <s v="SOLFIN"/>
    <s v="SOLFIN"/>
    <s v="CCMS"/>
    <n v="21370266"/>
    <n v="1615.2"/>
    <m/>
    <s v="N"/>
    <n v="2"/>
    <d v="2023-07-13T19:21:18"/>
    <s v="Y"/>
    <s v="Court Fee"/>
    <s v="Private Law Children"/>
    <s v="Non Expert Disbursement"/>
    <s v="NJP"/>
    <s v="Y"/>
    <n v="232"/>
    <n v="0"/>
    <x v="11"/>
    <s v="VALIDATED"/>
    <n v="1"/>
    <s v="01.11.80.302.6300.0000"/>
    <n v="232"/>
    <s v="11"/>
    <s v="6300"/>
    <n v="3679.01"/>
    <n v="232"/>
    <s v="CREDITOR"/>
    <n v="0"/>
    <n v="0"/>
    <n v="0"/>
    <n v="0"/>
    <n v="232"/>
  </r>
  <r>
    <n v="60901242"/>
    <s v="N"/>
    <n v="21356535"/>
    <s v="3000015074520001RC"/>
    <s v="CIVIL"/>
    <d v="2023-06-20T00:00:00"/>
    <d v="2023-07-10T19:47:44"/>
    <m/>
    <d v="2023-07-10T00:00:00"/>
    <n v="1298"/>
    <n v="14698"/>
    <s v="60901242"/>
    <s v="60901242"/>
    <m/>
    <m/>
    <m/>
    <m/>
    <m/>
    <m/>
    <s v="SOLRECOUP"/>
    <s v="SOLRECOUP"/>
    <s v="POARECOUP"/>
    <n v="21356535"/>
    <n v="-232"/>
    <m/>
    <s v="Y"/>
    <n v="1"/>
    <d v="2023-07-10T19:47:45"/>
    <s v="N"/>
    <m/>
    <m/>
    <s v="Non Expert Disbursement"/>
    <m/>
    <s v="N"/>
    <n v="-232"/>
    <n v="0"/>
    <x v="2"/>
    <s v="VALIDATED"/>
    <n v="1"/>
    <s v="01.11.80.307.2013.0000"/>
    <n v="-232"/>
    <s v="11"/>
    <s v="2013"/>
    <n v="3679.01"/>
    <n v="-232"/>
    <s v="CREDITOR"/>
    <n v="0"/>
    <n v="0"/>
    <n v="-232"/>
    <n v="0"/>
    <n v="0"/>
  </r>
  <r>
    <n v="60901242"/>
    <s v="N"/>
    <n v="21356535"/>
    <s v="3000015074520001RC"/>
    <s v="CIVIL"/>
    <d v="2023-06-20T00:00:00"/>
    <d v="2023-07-10T19:47:44"/>
    <m/>
    <d v="2023-07-10T00:00:00"/>
    <n v="1298"/>
    <n v="14698"/>
    <s v="60901242"/>
    <s v="60901242"/>
    <m/>
    <m/>
    <m/>
    <m/>
    <m/>
    <m/>
    <s v="SOLRECOUP"/>
    <s v="SOLRECOUP"/>
    <s v="POARECOUP"/>
    <n v="21356535"/>
    <n v="-232"/>
    <m/>
    <s v="Y"/>
    <n v="2"/>
    <d v="2023-07-10T19:47:45"/>
    <s v="N"/>
    <m/>
    <m/>
    <s v="Non Expert Disbursement"/>
    <m/>
    <s v="N"/>
    <n v="0"/>
    <n v="0"/>
    <x v="2"/>
    <s v="VALIDATED"/>
    <n v="1"/>
    <s v="01.11.80.000.0000.0000"/>
    <n v="0"/>
    <s v="11"/>
    <s v="0000"/>
    <n v="3679.01"/>
    <n v="0"/>
    <s v="CREDITOR"/>
    <n v="0"/>
    <n v="0"/>
    <n v="0"/>
    <n v="0"/>
    <n v="0"/>
  </r>
  <r>
    <n v="59877261"/>
    <s v="N"/>
    <n v="21333853"/>
    <s v="3000014236210007RC"/>
    <s v="CIVIL"/>
    <d v="2023-06-26T00:00:00"/>
    <d v="2023-07-05T19:42:28"/>
    <m/>
    <d v="2023-07-05T00:00:00"/>
    <n v="1303"/>
    <n v="20851"/>
    <s v="59877261"/>
    <s v="59877261"/>
    <m/>
    <m/>
    <m/>
    <m/>
    <m/>
    <m/>
    <s v="SOLRECOUP"/>
    <s v="SOLRECOUP"/>
    <s v="POARECOUP"/>
    <n v="21333853"/>
    <n v="-28.23"/>
    <m/>
    <s v="Y"/>
    <n v="1"/>
    <d v="2023-07-05T19:42:29"/>
    <s v="N"/>
    <m/>
    <m/>
    <s v="Non Expert Disbursement"/>
    <m/>
    <s v="N"/>
    <n v="-28.23"/>
    <n v="0"/>
    <x v="6"/>
    <s v="VALIDATED"/>
    <n v="1"/>
    <s v="01.11.80.307.2013.0000"/>
    <n v="-28.23"/>
    <s v="11"/>
    <s v="2013"/>
    <n v="7141.99"/>
    <n v="-28.23"/>
    <s v="CREDITOR"/>
    <n v="0"/>
    <n v="0"/>
    <n v="-28.23"/>
    <n v="0"/>
    <n v="0"/>
  </r>
  <r>
    <n v="59877261"/>
    <s v="N"/>
    <n v="21333853"/>
    <s v="3000014236210007RC"/>
    <s v="CIVIL"/>
    <d v="2023-06-26T00:00:00"/>
    <d v="2023-07-05T19:42:28"/>
    <m/>
    <d v="2023-07-05T00:00:00"/>
    <n v="1303"/>
    <n v="20851"/>
    <s v="59877261"/>
    <s v="59877261"/>
    <m/>
    <m/>
    <m/>
    <m/>
    <m/>
    <m/>
    <s v="SOLRECOUP"/>
    <s v="SOLRECOUP"/>
    <s v="POARECOUP"/>
    <n v="21333853"/>
    <n v="-28.23"/>
    <m/>
    <s v="Y"/>
    <n v="2"/>
    <d v="2023-07-05T19:42:29"/>
    <s v="N"/>
    <m/>
    <m/>
    <s v="Non Expert Disbursement"/>
    <m/>
    <s v="N"/>
    <n v="0"/>
    <n v="0"/>
    <x v="6"/>
    <s v="VALIDATED"/>
    <n v="1"/>
    <s v="01.11.80.000.0000.0000"/>
    <n v="0"/>
    <s v="11"/>
    <s v="0000"/>
    <n v="7141.99"/>
    <n v="0"/>
    <s v="CREDITOR"/>
    <n v="0"/>
    <n v="0"/>
    <n v="0"/>
    <n v="0"/>
    <n v="0"/>
  </r>
  <r>
    <n v="59877261"/>
    <s v="N"/>
    <n v="21333854"/>
    <s v="3000014236210008RC"/>
    <s v="CIVIL"/>
    <d v="2023-06-26T00:00:00"/>
    <d v="2023-07-05T19:42:28"/>
    <m/>
    <d v="2023-07-05T00:00:00"/>
    <n v="1303"/>
    <n v="20851"/>
    <s v="59877261"/>
    <s v="59877261"/>
    <m/>
    <m/>
    <m/>
    <m/>
    <m/>
    <m/>
    <s v="SOLRECOUP"/>
    <s v="SOLRECOUP"/>
    <s v="POARECOUP"/>
    <n v="21333854"/>
    <n v="-648"/>
    <m/>
    <s v="Y"/>
    <n v="1"/>
    <d v="2023-07-05T19:42:29"/>
    <s v="N"/>
    <m/>
    <m/>
    <s v="Expert Disbursement"/>
    <m/>
    <s v="N"/>
    <n v="-540"/>
    <n v="0"/>
    <x v="6"/>
    <s v="VALIDATED"/>
    <n v="1"/>
    <s v="01.11.80.307.2013.0000"/>
    <n v="-540"/>
    <s v="11"/>
    <s v="2013"/>
    <n v="7141.99"/>
    <n v="-540"/>
    <s v="CREDITOR"/>
    <n v="0"/>
    <n v="0"/>
    <n v="-540"/>
    <n v="0"/>
    <n v="0"/>
  </r>
  <r>
    <n v="59877261"/>
    <s v="N"/>
    <n v="21333854"/>
    <s v="3000014236210008RC"/>
    <s v="CIVIL"/>
    <d v="2023-06-26T00:00:00"/>
    <d v="2023-07-05T19:42:28"/>
    <m/>
    <d v="2023-07-05T00:00:00"/>
    <n v="1303"/>
    <n v="20851"/>
    <s v="59877261"/>
    <s v="59877261"/>
    <m/>
    <m/>
    <m/>
    <m/>
    <m/>
    <m/>
    <s v="SOLRECOUP"/>
    <s v="SOLRECOUP"/>
    <s v="POARECOUP"/>
    <n v="21333854"/>
    <n v="-648"/>
    <m/>
    <s v="Y"/>
    <n v="2"/>
    <d v="2023-07-05T19:42:29"/>
    <s v="N"/>
    <m/>
    <m/>
    <s v="Expert Disbursement"/>
    <m/>
    <s v="N"/>
    <n v="0"/>
    <n v="-108"/>
    <x v="6"/>
    <s v="VALIDATED"/>
    <n v="1"/>
    <s v="01.11.80.307.2013.0000"/>
    <n v="-108"/>
    <s v="11"/>
    <s v="2013"/>
    <n v="7141.99"/>
    <n v="-108"/>
    <s v="CREDITOR"/>
    <n v="0"/>
    <n v="0"/>
    <n v="-108"/>
    <n v="0"/>
    <n v="0"/>
  </r>
  <r>
    <n v="61587711"/>
    <s v="N"/>
    <n v="21339994"/>
    <s v="3000015688980003RC"/>
    <s v="CIVIL"/>
    <d v="2023-06-23T00:00:00"/>
    <d v="2023-07-06T19:54:22"/>
    <m/>
    <d v="2023-07-06T00:00:00"/>
    <n v="1303"/>
    <n v="20851"/>
    <s v="61587711"/>
    <s v="61587711"/>
    <m/>
    <m/>
    <m/>
    <m/>
    <m/>
    <m/>
    <s v="SOLRECOUP"/>
    <s v="SOLRECOUP"/>
    <s v="POARECOUP"/>
    <n v="21339994"/>
    <n v="-903.38"/>
    <m/>
    <s v="Y"/>
    <n v="1"/>
    <d v="2023-07-06T19:54:23"/>
    <s v="N"/>
    <m/>
    <m/>
    <s v="Profit Cost"/>
    <m/>
    <s v="N"/>
    <n v="-752.8200000000001"/>
    <n v="0"/>
    <x v="4"/>
    <s v="VALIDATED"/>
    <n v="1"/>
    <s v="01.11.80.308.2013.0000"/>
    <n v="-752.8200000000001"/>
    <s v="11"/>
    <s v="2013"/>
    <n v="7141.99"/>
    <n v="-752.8200000000001"/>
    <s v="CREDITOR"/>
    <n v="0"/>
    <n v="0"/>
    <n v="-752.8200000000001"/>
    <n v="-188.205"/>
    <n v="0"/>
  </r>
  <r>
    <n v="61587711"/>
    <s v="N"/>
    <n v="21339994"/>
    <s v="3000015688980003RC"/>
    <s v="CIVIL"/>
    <d v="2023-06-23T00:00:00"/>
    <d v="2023-07-06T19:54:22"/>
    <m/>
    <d v="2023-07-06T00:00:00"/>
    <n v="1303"/>
    <n v="20851"/>
    <s v="61587711"/>
    <s v="61587711"/>
    <m/>
    <m/>
    <m/>
    <m/>
    <m/>
    <m/>
    <s v="SOLRECOUP"/>
    <s v="SOLRECOUP"/>
    <s v="POARECOUP"/>
    <n v="21339994"/>
    <n v="-903.38"/>
    <m/>
    <s v="Y"/>
    <n v="2"/>
    <d v="2023-07-06T19:54:23"/>
    <s v="N"/>
    <m/>
    <m/>
    <s v="Profit Cost"/>
    <m/>
    <s v="N"/>
    <n v="0"/>
    <n v="-150.56"/>
    <x v="4"/>
    <s v="VALIDATED"/>
    <n v="1"/>
    <s v="01.11.80.308.2013.0000"/>
    <n v="-150.56"/>
    <s v="11"/>
    <s v="2013"/>
    <n v="7141.99"/>
    <n v="-150.56"/>
    <s v="CREDITOR"/>
    <n v="0"/>
    <n v="0"/>
    <n v="-150.56"/>
    <n v="-37.64"/>
    <n v="0"/>
  </r>
  <r>
    <n v="61587711"/>
    <s v="N"/>
    <n v="21339995"/>
    <s v="3000015688980001RC"/>
    <s v="CIVIL"/>
    <d v="2023-06-23T00:00:00"/>
    <d v="2023-07-06T19:54:22"/>
    <m/>
    <d v="2023-07-06T00:00:00"/>
    <n v="1303"/>
    <n v="20851"/>
    <s v="61587711"/>
    <s v="61587711"/>
    <m/>
    <m/>
    <m/>
    <m/>
    <m/>
    <m/>
    <s v="SOLRECOUP"/>
    <s v="SOLRECOUP"/>
    <s v="POARECOUP"/>
    <n v="21339995"/>
    <n v="-569.16"/>
    <m/>
    <s v="Y"/>
    <n v="1"/>
    <d v="2023-07-06T19:54:23"/>
    <s v="N"/>
    <m/>
    <m/>
    <s v="Expert Disbursement"/>
    <m/>
    <s v="N"/>
    <n v="-474.3"/>
    <n v="0"/>
    <x v="4"/>
    <s v="VALIDATED"/>
    <n v="1"/>
    <s v="01.11.80.308.2013.0000"/>
    <n v="-474.3"/>
    <s v="11"/>
    <s v="2013"/>
    <n v="7141.99"/>
    <n v="-474.3"/>
    <s v="CREDITOR"/>
    <n v="0"/>
    <n v="0"/>
    <n v="-474.3"/>
    <n v="0"/>
    <n v="0"/>
  </r>
  <r>
    <n v="61587711"/>
    <s v="N"/>
    <n v="21339995"/>
    <s v="3000015688980001RC"/>
    <s v="CIVIL"/>
    <d v="2023-06-23T00:00:00"/>
    <d v="2023-07-06T19:54:22"/>
    <m/>
    <d v="2023-07-06T00:00:00"/>
    <n v="1303"/>
    <n v="20851"/>
    <s v="61587711"/>
    <s v="61587711"/>
    <m/>
    <m/>
    <m/>
    <m/>
    <m/>
    <m/>
    <s v="SOLRECOUP"/>
    <s v="SOLRECOUP"/>
    <s v="POARECOUP"/>
    <n v="21339995"/>
    <n v="-569.16"/>
    <m/>
    <s v="Y"/>
    <n v="2"/>
    <d v="2023-07-06T19:54:23"/>
    <s v="N"/>
    <m/>
    <m/>
    <s v="Expert Disbursement"/>
    <m/>
    <s v="N"/>
    <n v="0"/>
    <n v="-94.86"/>
    <x v="4"/>
    <s v="VALIDATED"/>
    <n v="1"/>
    <s v="01.11.80.308.2013.0000"/>
    <n v="-94.86"/>
    <s v="11"/>
    <s v="2013"/>
    <n v="7141.99"/>
    <n v="-94.86"/>
    <s v="CREDITOR"/>
    <n v="0"/>
    <n v="0"/>
    <n v="-94.86"/>
    <n v="0"/>
    <n v="0"/>
  </r>
  <r>
    <n v="61587711"/>
    <s v="N"/>
    <n v="21339996"/>
    <s v="3000015688980002RC"/>
    <s v="CIVIL"/>
    <d v="2023-06-23T00:00:00"/>
    <d v="2023-07-06T19:54:22"/>
    <m/>
    <d v="2023-07-06T00:00:00"/>
    <n v="1303"/>
    <n v="20851"/>
    <s v="61587711"/>
    <s v="61587711"/>
    <m/>
    <m/>
    <m/>
    <m/>
    <m/>
    <m/>
    <s v="SOLRECOUP"/>
    <s v="SOLRECOUP"/>
    <s v="POARECOUP"/>
    <n v="21339996"/>
    <n v="-561.89"/>
    <m/>
    <s v="Y"/>
    <n v="1"/>
    <d v="2023-07-06T19:54:23"/>
    <s v="N"/>
    <m/>
    <m/>
    <s v="Expert Disbursement"/>
    <m/>
    <s v="N"/>
    <n v="-468.24"/>
    <n v="0"/>
    <x v="4"/>
    <s v="VALIDATED"/>
    <n v="1"/>
    <s v="01.11.80.308.2013.0000"/>
    <n v="-468.24"/>
    <s v="11"/>
    <s v="2013"/>
    <n v="7141.99"/>
    <n v="-468.24"/>
    <s v="CREDITOR"/>
    <n v="0"/>
    <n v="0"/>
    <n v="-468.24"/>
    <n v="0"/>
    <n v="0"/>
  </r>
  <r>
    <n v="61587711"/>
    <s v="N"/>
    <n v="21339996"/>
    <s v="3000015688980002RC"/>
    <s v="CIVIL"/>
    <d v="2023-06-23T00:00:00"/>
    <d v="2023-07-06T19:54:22"/>
    <m/>
    <d v="2023-07-06T00:00:00"/>
    <n v="1303"/>
    <n v="20851"/>
    <s v="61587711"/>
    <s v="61587711"/>
    <m/>
    <m/>
    <m/>
    <m/>
    <m/>
    <m/>
    <s v="SOLRECOUP"/>
    <s v="SOLRECOUP"/>
    <s v="POARECOUP"/>
    <n v="21339996"/>
    <n v="-561.89"/>
    <m/>
    <s v="Y"/>
    <n v="2"/>
    <d v="2023-07-06T19:54:23"/>
    <s v="N"/>
    <m/>
    <m/>
    <s v="Expert Disbursement"/>
    <m/>
    <s v="N"/>
    <n v="0"/>
    <n v="-93.65000000000001"/>
    <x v="4"/>
    <s v="VALIDATED"/>
    <n v="1"/>
    <s v="01.11.80.308.2013.0000"/>
    <n v="-93.65000000000001"/>
    <s v="11"/>
    <s v="2013"/>
    <n v="7141.99"/>
    <n v="-93.65000000000001"/>
    <s v="CREDITOR"/>
    <n v="0"/>
    <n v="0"/>
    <n v="-93.65000000000001"/>
    <n v="0"/>
    <n v="0"/>
  </r>
  <r>
    <n v="59877261"/>
    <s v="N"/>
    <n v="21330995"/>
    <s v="3000014236210014"/>
    <s v="CIVIL"/>
    <d v="2023-06-26T00:00:00"/>
    <d v="2023-07-05T19:01:47"/>
    <m/>
    <d v="2023-07-05T00:00:00"/>
    <n v="1303"/>
    <n v="20851"/>
    <s v="59877261"/>
    <s v="59877261"/>
    <m/>
    <m/>
    <n v="22758072"/>
    <m/>
    <m/>
    <m/>
    <s v="SOLFIN"/>
    <s v="SOLFIN"/>
    <s v="CCMS"/>
    <n v="21330995"/>
    <n v="8211.620000000001"/>
    <m/>
    <s v="N"/>
    <n v="27"/>
    <d v="2023-07-05T19:02:01"/>
    <s v="Y"/>
    <s v="Preparation - drafting consent orde"/>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38"/>
    <d v="2023-07-05T19:02:01"/>
    <s v="Y"/>
    <s v="Preparation - other"/>
    <s v="Prescribed Hourly Rates"/>
    <s v="Profit Cost"/>
    <s v="KK"/>
    <s v="Y"/>
    <n v="38.43"/>
    <n v="7.69"/>
    <x v="6"/>
    <s v="VALIDATED"/>
    <n v="1"/>
    <s v="01.11.80.307.6100.0000"/>
    <n v="38.43"/>
    <s v="11"/>
    <s v="6100"/>
    <n v="7141.99"/>
    <n v="38.43"/>
    <s v="CREDITOR"/>
    <n v="0"/>
    <n v="0"/>
    <n v="0"/>
    <n v="0"/>
    <n v="38.43"/>
  </r>
  <r>
    <n v="59877261"/>
    <s v="N"/>
    <n v="21330995"/>
    <s v="3000014236210014"/>
    <s v="CIVIL"/>
    <d v="2023-06-26T00:00:00"/>
    <d v="2023-07-05T19:01:47"/>
    <m/>
    <d v="2023-07-05T00:00:00"/>
    <n v="1303"/>
    <n v="20851"/>
    <s v="59877261"/>
    <s v="59877261"/>
    <m/>
    <m/>
    <n v="22758072"/>
    <m/>
    <m/>
    <m/>
    <s v="SOLFIN"/>
    <s v="SOLFIN"/>
    <s v="CCMS"/>
    <n v="21330995"/>
    <n v="8211.620000000001"/>
    <m/>
    <s v="N"/>
    <n v="89"/>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60"/>
    <d v="2023-07-05T19:02:01"/>
    <s v="Y"/>
    <s v="Preparation - drafting attendance n"/>
    <s v="Prescribed Hourly Rates"/>
    <s v="Profit Cost"/>
    <s v="KK"/>
    <s v="Y"/>
    <n v="32.94"/>
    <n v="6.59"/>
    <x v="6"/>
    <s v="VALIDATED"/>
    <n v="1"/>
    <s v="01.11.80.307.6100.0000"/>
    <n v="32.94"/>
    <s v="11"/>
    <s v="6100"/>
    <n v="7141.99"/>
    <n v="32.94"/>
    <s v="CREDITOR"/>
    <n v="0"/>
    <n v="0"/>
    <n v="0"/>
    <n v="0"/>
    <n v="32.94"/>
  </r>
  <r>
    <n v="59877261"/>
    <s v="N"/>
    <n v="21330995"/>
    <s v="3000014236210014"/>
    <s v="CIVIL"/>
    <d v="2023-06-26T00:00:00"/>
    <d v="2023-07-05T19:01:47"/>
    <m/>
    <d v="2023-07-05T00:00:00"/>
    <n v="1303"/>
    <n v="20851"/>
    <s v="59877261"/>
    <s v="59877261"/>
    <m/>
    <m/>
    <n v="22758072"/>
    <m/>
    <m/>
    <m/>
    <s v="SOLFIN"/>
    <s v="SOLFIN"/>
    <s v="CCMS"/>
    <n v="21330995"/>
    <n v="8211.620000000001"/>
    <m/>
    <s v="N"/>
    <n v="25"/>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8"/>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64"/>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76"/>
    <d v="2023-07-05T19:02:01"/>
    <s v="Y"/>
    <s v="Preparation - other"/>
    <s v="Prescribed Hourly Rates"/>
    <s v="Profit Cost"/>
    <s v="KK"/>
    <s v="Y"/>
    <n v="87.84"/>
    <n v="17.57"/>
    <x v="6"/>
    <s v="VALIDATED"/>
    <n v="1"/>
    <s v="01.11.80.307.6100.0000"/>
    <n v="87.84"/>
    <s v="11"/>
    <s v="6100"/>
    <n v="7141.99"/>
    <n v="87.84"/>
    <s v="CREDITOR"/>
    <n v="0"/>
    <n v="0"/>
    <n v="0"/>
    <n v="0"/>
    <n v="87.84"/>
  </r>
  <r>
    <n v="59877261"/>
    <s v="N"/>
    <n v="21330995"/>
    <s v="3000014236210014"/>
    <s v="CIVIL"/>
    <d v="2023-06-26T00:00:00"/>
    <d v="2023-07-05T19:01:47"/>
    <m/>
    <d v="2023-07-05T00:00:00"/>
    <n v="1303"/>
    <n v="20851"/>
    <s v="59877261"/>
    <s v="59877261"/>
    <m/>
    <m/>
    <n v="22758072"/>
    <m/>
    <m/>
    <m/>
    <s v="SOLFIN"/>
    <s v="SOLFIN"/>
    <s v="CCMS"/>
    <n v="21330995"/>
    <n v="8211.620000000001"/>
    <m/>
    <s v="N"/>
    <n v="95"/>
    <d v="2023-07-05T19:02:01"/>
    <s v="Y"/>
    <s v="Preparation - drafting statement"/>
    <s v="Prescribed Hourly Rates"/>
    <s v="Profit Cost"/>
    <s v="KK"/>
    <s v="Y"/>
    <n v="27.45"/>
    <n v="5.49"/>
    <x v="6"/>
    <s v="VALIDATED"/>
    <n v="1"/>
    <s v="01.11.80.307.6100.0000"/>
    <n v="27.45"/>
    <s v="11"/>
    <s v="6100"/>
    <n v="7141.99"/>
    <n v="27.45"/>
    <s v="CREDITOR"/>
    <n v="0"/>
    <n v="0"/>
    <n v="0"/>
    <n v="0"/>
    <n v="27.45"/>
  </r>
  <r>
    <n v="61587711"/>
    <s v="N"/>
    <n v="21337729"/>
    <s v="3000015688980006"/>
    <s v="CIVIL"/>
    <d v="2023-06-23T00:00:00"/>
    <d v="2023-07-06T19:21:01"/>
    <m/>
    <d v="2023-07-06T00:00:00"/>
    <n v="1303"/>
    <n v="20851"/>
    <s v="61587711"/>
    <s v="61587711"/>
    <m/>
    <m/>
    <n v="22752324"/>
    <m/>
    <m/>
    <m/>
    <s v="SOLFIN"/>
    <s v="SOLFIN"/>
    <s v="CCMS"/>
    <n v="21337729"/>
    <n v="4099.29"/>
    <m/>
    <s v="N"/>
    <n v="1"/>
    <d v="2023-07-06T19:21:06"/>
    <s v="Y"/>
    <s v="Toxicologist"/>
    <s v="Public Law Children"/>
    <s v="Expert Disbursement"/>
    <s v="CEB"/>
    <s v="Y"/>
    <n v="468.24"/>
    <n v="93.65000000000001"/>
    <x v="4"/>
    <s v="VALIDATED"/>
    <n v="1"/>
    <s v="01.11.80.308.6300.0000"/>
    <n v="468.24"/>
    <s v="11"/>
    <s v="6300"/>
    <n v="7141.99"/>
    <n v="468.24"/>
    <s v="CREDITOR"/>
    <n v="0"/>
    <n v="0"/>
    <n v="0"/>
    <n v="0"/>
    <n v="468.24"/>
  </r>
  <r>
    <n v="59877261"/>
    <s v="N"/>
    <n v="21330995"/>
    <s v="3000014236210014"/>
    <s v="CIVIL"/>
    <d v="2023-06-26T00:00:00"/>
    <d v="2023-07-05T19:01:47"/>
    <m/>
    <d v="2023-07-05T00:00:00"/>
    <n v="1303"/>
    <n v="20851"/>
    <s v="59877261"/>
    <s v="59877261"/>
    <m/>
    <m/>
    <n v="22758072"/>
    <m/>
    <m/>
    <m/>
    <s v="SOLFIN"/>
    <s v="SOLFIN"/>
    <s v="CCMS"/>
    <n v="21330995"/>
    <n v="8211.620000000001"/>
    <m/>
    <s v="N"/>
    <n v="80"/>
    <d v="2023-07-05T19:02:01"/>
    <s v="Y"/>
    <s v="Report - Medical report"/>
    <s v="Prescribed Hourly Rates"/>
    <s v="Profit Cost"/>
    <s v="KK"/>
    <s v="Y"/>
    <n v="131.76"/>
    <n v="26.35"/>
    <x v="6"/>
    <s v="VALIDATED"/>
    <n v="1"/>
    <s v="01.11.80.307.6100.0000"/>
    <n v="131.76"/>
    <s v="11"/>
    <s v="6100"/>
    <n v="7141.99"/>
    <n v="131.76"/>
    <s v="CREDITOR"/>
    <n v="0"/>
    <n v="0"/>
    <n v="0"/>
    <n v="0"/>
    <n v="131.76"/>
  </r>
  <r>
    <n v="61926977"/>
    <s v="N"/>
    <n v="21321196"/>
    <s v="3000015980700006"/>
    <s v="CIVIL"/>
    <d v="2023-06-29T00:00:00"/>
    <d v="2023-07-03T19:05:17"/>
    <m/>
    <d v="2023-07-03T00:00:00"/>
    <n v="1303"/>
    <n v="20851"/>
    <s v="61926977"/>
    <s v="61926977"/>
    <m/>
    <m/>
    <n v="22787056"/>
    <m/>
    <m/>
    <m/>
    <s v="SOLPOA"/>
    <s v="SOLPOA"/>
    <s v="CCMS"/>
    <n v="21321196"/>
    <n v="648"/>
    <m/>
    <s v="N"/>
    <n v="1"/>
    <d v="2023-07-03T19:05:17"/>
    <s v="N"/>
    <s v="Expert Cost"/>
    <s v="Expert Cost"/>
    <s v="Expert Disbursement"/>
    <s v="Charlotte Bamber"/>
    <s v="N"/>
    <n v="540"/>
    <n v="108"/>
    <x v="3"/>
    <s v="VALIDATED"/>
    <n v="1"/>
    <s v="01.11.80.308.2012.0000"/>
    <n v="540"/>
    <s v="11"/>
    <s v="2012"/>
    <n v="7141.99"/>
    <n v="540"/>
    <s v="CREDITOR"/>
    <n v="540"/>
    <n v="0"/>
    <n v="0"/>
    <n v="0"/>
    <n v="0"/>
  </r>
  <r>
    <n v="59877261"/>
    <s v="N"/>
    <n v="21330995"/>
    <s v="3000014236210014"/>
    <s v="CIVIL"/>
    <d v="2023-06-26T00:00:00"/>
    <d v="2023-07-05T19:01:47"/>
    <m/>
    <d v="2023-07-05T00:00:00"/>
    <n v="1303"/>
    <n v="20851"/>
    <s v="59877261"/>
    <s v="59877261"/>
    <m/>
    <m/>
    <n v="22758072"/>
    <m/>
    <m/>
    <m/>
    <s v="SOLFIN"/>
    <s v="SOLFIN"/>
    <s v="CCMS"/>
    <n v="21330995"/>
    <n v="8211.620000000001"/>
    <m/>
    <s v="N"/>
    <n v="24"/>
    <d v="2023-07-05T19:02:01"/>
    <s v="Y"/>
    <s v="Preparation - drafting instructions"/>
    <s v="Prescribed Hourly Rates"/>
    <s v="Profit Cost"/>
    <s v="KK"/>
    <s v="Y"/>
    <n v="32.94"/>
    <n v="6.59"/>
    <x v="6"/>
    <s v="VALIDATED"/>
    <n v="1"/>
    <s v="01.11.80.307.6100.0000"/>
    <n v="32.94"/>
    <s v="11"/>
    <s v="6100"/>
    <n v="7141.99"/>
    <n v="32.94"/>
    <s v="CREDITOR"/>
    <n v="0"/>
    <n v="0"/>
    <n v="0"/>
    <n v="0"/>
    <n v="32.94"/>
  </r>
  <r>
    <n v="59877261"/>
    <s v="N"/>
    <n v="21330995"/>
    <s v="3000014236210014"/>
    <s v="CIVIL"/>
    <d v="2023-06-26T00:00:00"/>
    <d v="2023-07-05T19:01:47"/>
    <m/>
    <d v="2023-07-05T00:00:00"/>
    <n v="1303"/>
    <n v="20851"/>
    <s v="59877261"/>
    <s v="59877261"/>
    <m/>
    <m/>
    <n v="22758072"/>
    <m/>
    <m/>
    <m/>
    <s v="SOLFIN"/>
    <s v="SOLFIN"/>
    <s v="CCMS"/>
    <n v="21330995"/>
    <n v="8211.620000000001"/>
    <m/>
    <s v="N"/>
    <n v="31"/>
    <d v="2023-07-05T19:02:01"/>
    <s v="Y"/>
    <s v="Preparation - other"/>
    <s v="Prescribed Hourly Rates"/>
    <s v="Profit Cost"/>
    <s v="KK"/>
    <s v="Y"/>
    <n v="32.94"/>
    <n v="6.59"/>
    <x v="6"/>
    <s v="VALIDATED"/>
    <n v="1"/>
    <s v="01.11.80.307.6100.0000"/>
    <n v="32.94"/>
    <s v="11"/>
    <s v="6100"/>
    <n v="7141.99"/>
    <n v="32.94"/>
    <s v="CREDITOR"/>
    <n v="0"/>
    <n v="0"/>
    <n v="0"/>
    <n v="0"/>
    <n v="32.94"/>
  </r>
  <r>
    <n v="59877261"/>
    <s v="N"/>
    <n v="21330995"/>
    <s v="3000014236210014"/>
    <s v="CIVIL"/>
    <d v="2023-06-26T00:00:00"/>
    <d v="2023-07-05T19:01:47"/>
    <m/>
    <d v="2023-07-05T00:00:00"/>
    <n v="1303"/>
    <n v="20851"/>
    <s v="59877261"/>
    <s v="59877261"/>
    <m/>
    <m/>
    <n v="22758072"/>
    <m/>
    <m/>
    <m/>
    <s v="SOLFIN"/>
    <s v="SOLFIN"/>
    <s v="CCMS"/>
    <n v="21330995"/>
    <n v="8211.620000000001"/>
    <m/>
    <s v="N"/>
    <n v="53"/>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62"/>
    <d v="2023-07-05T19:02:01"/>
    <s v="Y"/>
    <s v="Preparation - other"/>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65"/>
    <d v="2023-07-05T19:02:01"/>
    <s v="Y"/>
    <s v="Preparation - other"/>
    <s v="Prescribed Hourly Rates"/>
    <s v="Profit Cost"/>
    <s v="KK"/>
    <s v="Y"/>
    <n v="43.92"/>
    <n v="8.779999999999999"/>
    <x v="6"/>
    <s v="VALIDATED"/>
    <n v="1"/>
    <s v="01.11.80.307.6100.0000"/>
    <n v="43.92"/>
    <s v="11"/>
    <s v="6100"/>
    <n v="7141.99"/>
    <n v="43.92"/>
    <s v="CREDITOR"/>
    <n v="0"/>
    <n v="0"/>
    <n v="0"/>
    <n v="0"/>
    <n v="43.92"/>
  </r>
  <r>
    <n v="59877261"/>
    <s v="N"/>
    <n v="21330995"/>
    <s v="3000014236210014"/>
    <s v="CIVIL"/>
    <d v="2023-06-26T00:00:00"/>
    <d v="2023-07-05T19:01:47"/>
    <m/>
    <d v="2023-07-05T00:00:00"/>
    <n v="1303"/>
    <n v="20851"/>
    <s v="59877261"/>
    <s v="59877261"/>
    <m/>
    <m/>
    <n v="22758072"/>
    <m/>
    <m/>
    <m/>
    <s v="SOLFIN"/>
    <s v="SOLFIN"/>
    <s v="CCMS"/>
    <n v="21330995"/>
    <n v="8211.620000000001"/>
    <m/>
    <s v="N"/>
    <n v="87"/>
    <d v="2023-07-05T19:02:01"/>
    <s v="Y"/>
    <s v="Preparation - other"/>
    <s v="Prescribed Hourly Rates"/>
    <s v="Profit Cost"/>
    <s v="KK"/>
    <s v="Y"/>
    <n v="93.33"/>
    <n v="18.67"/>
    <x v="6"/>
    <s v="VALIDATED"/>
    <n v="1"/>
    <s v="01.11.80.307.6100.0000"/>
    <n v="93.33"/>
    <s v="11"/>
    <s v="6100"/>
    <n v="7141.99"/>
    <n v="93.33"/>
    <s v="CREDITOR"/>
    <n v="0"/>
    <n v="0"/>
    <n v="0"/>
    <n v="0"/>
    <n v="93.33"/>
  </r>
  <r>
    <n v="59877261"/>
    <s v="N"/>
    <n v="21330995"/>
    <s v="3000014236210014"/>
    <s v="CIVIL"/>
    <d v="2023-06-26T00:00:00"/>
    <d v="2023-07-05T19:01:47"/>
    <m/>
    <d v="2023-07-05T00:00:00"/>
    <n v="1303"/>
    <n v="20851"/>
    <s v="59877261"/>
    <s v="59877261"/>
    <m/>
    <m/>
    <n v="22758072"/>
    <m/>
    <m/>
    <m/>
    <s v="SOLFIN"/>
    <s v="SOLFIN"/>
    <s v="CCMS"/>
    <n v="21330995"/>
    <n v="8211.620000000001"/>
    <m/>
    <s v="N"/>
    <n v="34"/>
    <d v="2023-07-05T19:02:01"/>
    <s v="Y"/>
    <s v="Preparation - drafting statement"/>
    <s v="Prescribed Hourly Rates"/>
    <s v="Profit Cost"/>
    <s v="KK"/>
    <s v="Y"/>
    <n v="38.43"/>
    <n v="7.69"/>
    <x v="6"/>
    <s v="VALIDATED"/>
    <n v="1"/>
    <s v="01.11.80.307.6100.0000"/>
    <n v="38.43"/>
    <s v="11"/>
    <s v="6100"/>
    <n v="7141.99"/>
    <n v="38.43"/>
    <s v="CREDITOR"/>
    <n v="0"/>
    <n v="0"/>
    <n v="0"/>
    <n v="0"/>
    <n v="38.43"/>
  </r>
  <r>
    <n v="59877261"/>
    <s v="N"/>
    <n v="21330995"/>
    <s v="3000014236210014"/>
    <s v="CIVIL"/>
    <d v="2023-06-26T00:00:00"/>
    <d v="2023-07-05T19:01:47"/>
    <m/>
    <d v="2023-07-05T00:00:00"/>
    <n v="1303"/>
    <n v="20851"/>
    <s v="59877261"/>
    <s v="59877261"/>
    <m/>
    <m/>
    <n v="22758072"/>
    <m/>
    <m/>
    <m/>
    <s v="SOLFIN"/>
    <s v="SOLFIN"/>
    <s v="CCMS"/>
    <n v="21330995"/>
    <n v="8211.620000000001"/>
    <m/>
    <s v="N"/>
    <n v="40"/>
    <d v="2023-07-05T19:02:01"/>
    <s v="Y"/>
    <s v="Preparation - other"/>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42"/>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93"/>
    <d v="2023-07-05T19:02:01"/>
    <s v="Y"/>
    <s v="Preparation - drafting statement"/>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15"/>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19"/>
    <d v="2023-07-05T19:02:01"/>
    <s v="Y"/>
    <s v="Preparation - other"/>
    <s v="Prescribed Hourly Rates"/>
    <s v="Profit Cost"/>
    <s v="KK"/>
    <s v="Y"/>
    <n v="60.39"/>
    <n v="12.08"/>
    <x v="6"/>
    <s v="VALIDATED"/>
    <n v="1"/>
    <s v="01.11.80.307.6100.0000"/>
    <n v="60.39"/>
    <s v="11"/>
    <s v="6100"/>
    <n v="7141.99"/>
    <n v="60.39"/>
    <s v="CREDITOR"/>
    <n v="0"/>
    <n v="0"/>
    <n v="0"/>
    <n v="0"/>
    <n v="60.39"/>
  </r>
  <r>
    <n v="59877261"/>
    <s v="N"/>
    <n v="21330995"/>
    <s v="3000014236210014"/>
    <s v="CIVIL"/>
    <d v="2023-06-26T00:00:00"/>
    <d v="2023-07-05T19:01:47"/>
    <m/>
    <d v="2023-07-05T00:00:00"/>
    <n v="1303"/>
    <n v="20851"/>
    <s v="59877261"/>
    <s v="59877261"/>
    <m/>
    <m/>
    <n v="22758072"/>
    <m/>
    <m/>
    <m/>
    <s v="SOLFIN"/>
    <s v="SOLFIN"/>
    <s v="CCMS"/>
    <n v="21330995"/>
    <n v="8211.620000000001"/>
    <m/>
    <s v="N"/>
    <n v="85"/>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6"/>
    <d v="2023-07-05T19:02:01"/>
    <s v="N"/>
    <s v="Level 3 Fixed Fee"/>
    <s v="Private Law Children"/>
    <s v="Profit Cost"/>
    <s v="XXX"/>
    <s v="N"/>
    <n v="0"/>
    <n v="0"/>
    <x v="6"/>
    <s v="VALIDATED"/>
    <n v="1"/>
    <s v="01.11.80.307.6100.0000"/>
    <n v="0"/>
    <s v="11"/>
    <s v="6100"/>
    <n v="7141.99"/>
    <n v="0"/>
    <s v="CREDITOR"/>
    <n v="0"/>
    <n v="0"/>
    <n v="0"/>
    <n v="0"/>
    <n v="0"/>
  </r>
  <r>
    <n v="59877261"/>
    <s v="N"/>
    <n v="21330995"/>
    <s v="3000014236210014"/>
    <s v="CIVIL"/>
    <d v="2023-06-26T00:00:00"/>
    <d v="2023-07-05T19:01:47"/>
    <m/>
    <d v="2023-07-05T00:00:00"/>
    <n v="1303"/>
    <n v="20851"/>
    <s v="59877261"/>
    <s v="59877261"/>
    <m/>
    <m/>
    <n v="22758072"/>
    <m/>
    <m/>
    <m/>
    <s v="SOLFIN"/>
    <s v="SOLFIN"/>
    <s v="CCMS"/>
    <n v="21330995"/>
    <n v="8211.620000000001"/>
    <m/>
    <s v="N"/>
    <n v="66"/>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52"/>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67"/>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29"/>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35"/>
    <d v="2023-07-05T19:02:01"/>
    <s v="Y"/>
    <s v="Preparation - drafting statement"/>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44"/>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104"/>
    <d v="2023-07-05T19:02:01"/>
    <s v="Y"/>
    <s v="Routine Telephone Call"/>
    <s v="Prescribed Hourly Rates"/>
    <s v="Profit Cost"/>
    <s v="KK"/>
    <s v="Y"/>
    <n v="70.2"/>
    <n v="14.04"/>
    <x v="6"/>
    <s v="VALIDATED"/>
    <n v="1"/>
    <s v="01.11.80.307.6100.0000"/>
    <n v="70.2"/>
    <s v="11"/>
    <s v="6100"/>
    <n v="7141.99"/>
    <n v="70.2"/>
    <s v="CREDITOR"/>
    <n v="0"/>
    <n v="0"/>
    <n v="0"/>
    <n v="0"/>
    <n v="70.2"/>
  </r>
  <r>
    <n v="59877261"/>
    <s v="N"/>
    <n v="21330995"/>
    <s v="3000014236210014"/>
    <s v="CIVIL"/>
    <d v="2023-06-26T00:00:00"/>
    <d v="2023-07-05T19:01:47"/>
    <m/>
    <d v="2023-07-05T00:00:00"/>
    <n v="1303"/>
    <n v="20851"/>
    <s v="59877261"/>
    <s v="59877261"/>
    <m/>
    <m/>
    <n v="22758072"/>
    <m/>
    <m/>
    <m/>
    <s v="SOLFIN"/>
    <s v="SOLFIN"/>
    <s v="CCMS"/>
    <n v="21330995"/>
    <n v="8211.620000000001"/>
    <m/>
    <s v="N"/>
    <n v="86"/>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91"/>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69"/>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83"/>
    <d v="2023-07-05T19:02:01"/>
    <s v="Y"/>
    <s v="Preparation - Periodic file review"/>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22"/>
    <d v="2023-07-05T19:02:01"/>
    <s v="Y"/>
    <s v="Preparation - drafting instructions"/>
    <s v="Prescribed Hourly Rates"/>
    <s v="Profit Cost"/>
    <s v="OTH"/>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5"/>
    <d v="2023-07-05T19:02:01"/>
    <s v="Y"/>
    <s v="Child psychologist"/>
    <s v="Prescribed Hourly Rates"/>
    <s v="Expert Disbursement"/>
    <s v="XXX"/>
    <s v="Y"/>
    <n v="1035.07"/>
    <n v="0"/>
    <x v="6"/>
    <s v="VALIDATED"/>
    <n v="1"/>
    <s v="01.11.80.307.6300.0000"/>
    <n v="1035.07"/>
    <s v="11"/>
    <s v="6300"/>
    <n v="7141.99"/>
    <n v="1035.07"/>
    <s v="CREDITOR"/>
    <n v="0"/>
    <n v="0"/>
    <n v="0"/>
    <n v="0"/>
    <n v="1035.07"/>
  </r>
  <r>
    <n v="59877261"/>
    <s v="N"/>
    <n v="21330995"/>
    <s v="3000014236210014"/>
    <s v="CIVIL"/>
    <d v="2023-06-26T00:00:00"/>
    <d v="2023-07-05T19:01:47"/>
    <m/>
    <d v="2023-07-05T00:00:00"/>
    <n v="1303"/>
    <n v="20851"/>
    <s v="59877261"/>
    <s v="59877261"/>
    <m/>
    <m/>
    <n v="22758072"/>
    <m/>
    <m/>
    <m/>
    <s v="SOLFIN"/>
    <s v="SOLFIN"/>
    <s v="CCMS"/>
    <n v="21330995"/>
    <n v="8211.620000000001"/>
    <m/>
    <s v="N"/>
    <n v="82"/>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97"/>
    <d v="2023-07-05T19:02:01"/>
    <s v="Y"/>
    <s v="Preparation - drafting statement"/>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17"/>
    <d v="2023-07-05T19:02:01"/>
    <s v="Y"/>
    <s v="Preparation - other"/>
    <s v="Prescribed Hourly Rates"/>
    <s v="Profit Cost"/>
    <s v="KK"/>
    <s v="Y"/>
    <n v="27.45"/>
    <n v="5.49"/>
    <x v="6"/>
    <s v="VALIDATED"/>
    <n v="1"/>
    <s v="01.11.80.307.6100.0000"/>
    <n v="27.45"/>
    <s v="11"/>
    <s v="6100"/>
    <n v="7141.99"/>
    <n v="27.45"/>
    <s v="CREDITOR"/>
    <n v="0"/>
    <n v="0"/>
    <n v="0"/>
    <n v="0"/>
    <n v="27.45"/>
  </r>
  <r>
    <n v="61587711"/>
    <s v="N"/>
    <n v="21337729"/>
    <s v="3000015688980006"/>
    <s v="CIVIL"/>
    <d v="2023-06-23T00:00:00"/>
    <d v="2023-07-06T19:21:01"/>
    <m/>
    <d v="2023-07-06T00:00:00"/>
    <n v="1303"/>
    <n v="20851"/>
    <s v="61587711"/>
    <s v="61587711"/>
    <m/>
    <m/>
    <n v="22752324"/>
    <m/>
    <m/>
    <m/>
    <s v="SOLFIN"/>
    <s v="SOLFIN"/>
    <s v="CCMS"/>
    <n v="21337729"/>
    <n v="4099.29"/>
    <m/>
    <s v="N"/>
    <n v="3"/>
    <d v="2023-07-06T19:21:06"/>
    <s v="Y"/>
    <s v="Solicitor Travel Mileage"/>
    <s v="Public Law Children"/>
    <s v="Non Expert Disbursement"/>
    <s v="CEB"/>
    <s v="Y"/>
    <n v="48.6"/>
    <n v="0"/>
    <x v="4"/>
    <s v="VALIDATED"/>
    <n v="1"/>
    <s v="01.11.80.308.6300.0000"/>
    <n v="48.6"/>
    <s v="11"/>
    <s v="6300"/>
    <n v="7141.99"/>
    <n v="48.6"/>
    <s v="CREDITOR"/>
    <n v="0"/>
    <n v="0"/>
    <n v="0"/>
    <n v="0"/>
    <n v="48.6"/>
  </r>
  <r>
    <n v="59877261"/>
    <s v="N"/>
    <n v="21330995"/>
    <s v="3000014236210014"/>
    <s v="CIVIL"/>
    <d v="2023-06-26T00:00:00"/>
    <d v="2023-07-05T19:01:47"/>
    <m/>
    <d v="2023-07-05T00:00:00"/>
    <n v="1303"/>
    <n v="20851"/>
    <s v="59877261"/>
    <s v="59877261"/>
    <m/>
    <m/>
    <n v="22758072"/>
    <m/>
    <m/>
    <m/>
    <s v="SOLFIN"/>
    <s v="SOLFIN"/>
    <s v="CCMS"/>
    <n v="21330995"/>
    <n v="8211.620000000001"/>
    <m/>
    <s v="N"/>
    <n v="71"/>
    <d v="2023-07-05T19:02:01"/>
    <s v="Y"/>
    <s v="Preparation - other"/>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75"/>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81"/>
    <d v="2023-07-05T19:02:01"/>
    <s v="Y"/>
    <s v="Preparation - other"/>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30"/>
    <d v="2023-07-05T19:02:01"/>
    <s v="Y"/>
    <s v="Preparation - other"/>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45"/>
    <d v="2023-07-05T19:02:01"/>
    <s v="Y"/>
    <s v="Preparation - drafting instructions"/>
    <s v="Prescribed Hourly Rates"/>
    <s v="Profit Cost"/>
    <s v="OTH"/>
    <s v="Y"/>
    <n v="21.96"/>
    <n v="4.39"/>
    <x v="6"/>
    <s v="VALIDATED"/>
    <n v="1"/>
    <s v="01.11.80.307.6100.0000"/>
    <n v="21.96"/>
    <s v="11"/>
    <s v="6100"/>
    <n v="7141.99"/>
    <n v="21.96"/>
    <s v="CREDITOR"/>
    <n v="0"/>
    <n v="0"/>
    <n v="0"/>
    <n v="0"/>
    <n v="21.96"/>
  </r>
  <r>
    <n v="59877261"/>
    <s v="N"/>
    <n v="21330995"/>
    <s v="3000014236210014"/>
    <s v="CIVIL"/>
    <d v="2023-06-26T00:00:00"/>
    <d v="2023-07-05T19:01:47"/>
    <m/>
    <d v="2023-07-05T00:00:00"/>
    <n v="1303"/>
    <n v="20851"/>
    <s v="59877261"/>
    <s v="59877261"/>
    <m/>
    <m/>
    <n v="22758072"/>
    <m/>
    <m/>
    <m/>
    <s v="SOLFIN"/>
    <s v="SOLFIN"/>
    <s v="CCMS"/>
    <n v="21330995"/>
    <n v="8211.620000000001"/>
    <m/>
    <s v="N"/>
    <n v="47"/>
    <d v="2023-07-05T19:02:01"/>
    <s v="Y"/>
    <s v="Preparation - other"/>
    <s v="Prescribed Hourly Rates"/>
    <s v="Profit Cost"/>
    <s v="KK"/>
    <s v="Y"/>
    <n v="38.43"/>
    <n v="7.69"/>
    <x v="6"/>
    <s v="VALIDATED"/>
    <n v="1"/>
    <s v="01.11.80.307.6100.0000"/>
    <n v="38.43"/>
    <s v="11"/>
    <s v="6100"/>
    <n v="7141.99"/>
    <n v="38.43"/>
    <s v="CREDITOR"/>
    <n v="0"/>
    <n v="0"/>
    <n v="0"/>
    <n v="0"/>
    <n v="38.43"/>
  </r>
  <r>
    <n v="59877261"/>
    <s v="N"/>
    <n v="21330995"/>
    <s v="3000014236210014"/>
    <s v="CIVIL"/>
    <d v="2023-06-26T00:00:00"/>
    <d v="2023-07-05T19:01:47"/>
    <m/>
    <d v="2023-07-05T00:00:00"/>
    <n v="1303"/>
    <n v="20851"/>
    <s v="59877261"/>
    <s v="59877261"/>
    <m/>
    <m/>
    <n v="22758072"/>
    <m/>
    <m/>
    <m/>
    <s v="SOLFIN"/>
    <s v="SOLFIN"/>
    <s v="CCMS"/>
    <n v="21330995"/>
    <n v="8211.620000000001"/>
    <m/>
    <s v="N"/>
    <n v="33"/>
    <d v="2023-07-05T19:02:01"/>
    <s v="Y"/>
    <s v="Preparation - drafting statement"/>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14"/>
    <d v="2023-07-05T19:02:01"/>
    <s v="Y"/>
    <s v="Preparation - other"/>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26"/>
    <d v="2023-07-05T19:02:01"/>
    <s v="Y"/>
    <s v="Preparation - drafting attendance n"/>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63"/>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70"/>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99"/>
    <d v="2023-07-05T19:02:01"/>
    <s v="Y"/>
    <s v="Preparation - drafting statement"/>
    <s v="Prescribed Hourly Rates"/>
    <s v="Profit Cost"/>
    <s v="KK"/>
    <s v="Y"/>
    <n v="60.39"/>
    <n v="12.08"/>
    <x v="6"/>
    <s v="VALIDATED"/>
    <n v="1"/>
    <s v="01.11.80.307.6100.0000"/>
    <n v="60.39"/>
    <s v="11"/>
    <s v="6100"/>
    <n v="7141.99"/>
    <n v="60.39"/>
    <s v="CREDITOR"/>
    <n v="0"/>
    <n v="0"/>
    <n v="0"/>
    <n v="0"/>
    <n v="60.39"/>
  </r>
  <r>
    <n v="59877261"/>
    <s v="N"/>
    <n v="21330995"/>
    <s v="3000014236210014"/>
    <s v="CIVIL"/>
    <d v="2023-06-26T00:00:00"/>
    <d v="2023-07-05T19:01:47"/>
    <m/>
    <d v="2023-07-05T00:00:00"/>
    <n v="1303"/>
    <n v="20851"/>
    <s v="59877261"/>
    <s v="59877261"/>
    <m/>
    <m/>
    <n v="22758072"/>
    <m/>
    <m/>
    <m/>
    <s v="SOLFIN"/>
    <s v="SOLFIN"/>
    <s v="CCMS"/>
    <n v="21330995"/>
    <n v="8211.620000000001"/>
    <m/>
    <s v="N"/>
    <n v="11"/>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46"/>
    <d v="2023-07-05T19:02:01"/>
    <s v="Y"/>
    <s v="Preparation - drafting application"/>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1"/>
    <d v="2023-07-05T19:02:01"/>
    <s v="Y"/>
    <s v="Police Records"/>
    <s v="Prescribed Hourly Rates"/>
    <s v="Non Expert Disbursement"/>
    <s v="XXX"/>
    <s v="Y"/>
    <n v="50"/>
    <n v="0"/>
    <x v="6"/>
    <s v="VALIDATED"/>
    <n v="1"/>
    <s v="01.11.80.307.6300.0000"/>
    <n v="50"/>
    <s v="11"/>
    <s v="6300"/>
    <n v="7141.99"/>
    <n v="50"/>
    <s v="CREDITOR"/>
    <n v="0"/>
    <n v="0"/>
    <n v="0"/>
    <n v="0"/>
    <n v="50"/>
  </r>
  <r>
    <n v="59877261"/>
    <s v="N"/>
    <n v="21333850"/>
    <s v="3000014236210001RC"/>
    <s v="CIVIL"/>
    <d v="2023-06-26T00:00:00"/>
    <d v="2023-07-05T19:42:28"/>
    <m/>
    <d v="2023-07-05T00:00:00"/>
    <n v="1303"/>
    <n v="20851"/>
    <s v="59877261"/>
    <s v="59877261"/>
    <m/>
    <m/>
    <m/>
    <m/>
    <m/>
    <m/>
    <s v="SOLRECOUP"/>
    <s v="SOLRECOUP"/>
    <s v="POARECOUP"/>
    <n v="21333850"/>
    <n v="-50"/>
    <m/>
    <s v="Y"/>
    <n v="1"/>
    <d v="2023-07-05T19:42:29"/>
    <s v="N"/>
    <m/>
    <m/>
    <s v="Non Expert Disbursement"/>
    <m/>
    <s v="N"/>
    <n v="-50"/>
    <n v="0"/>
    <x v="6"/>
    <s v="VALIDATED"/>
    <n v="1"/>
    <s v="01.11.80.307.2013.0000"/>
    <n v="-50"/>
    <s v="11"/>
    <s v="2013"/>
    <n v="7141.99"/>
    <n v="-50"/>
    <s v="CREDITOR"/>
    <n v="0"/>
    <n v="0"/>
    <n v="-50"/>
    <n v="0"/>
    <n v="0"/>
  </r>
  <r>
    <n v="59877261"/>
    <s v="N"/>
    <n v="21333850"/>
    <s v="3000014236210001RC"/>
    <s v="CIVIL"/>
    <d v="2023-06-26T00:00:00"/>
    <d v="2023-07-05T19:42:28"/>
    <m/>
    <d v="2023-07-05T00:00:00"/>
    <n v="1303"/>
    <n v="20851"/>
    <s v="59877261"/>
    <s v="59877261"/>
    <m/>
    <m/>
    <m/>
    <m/>
    <m/>
    <m/>
    <s v="SOLRECOUP"/>
    <s v="SOLRECOUP"/>
    <s v="POARECOUP"/>
    <n v="21333850"/>
    <n v="-50"/>
    <m/>
    <s v="Y"/>
    <n v="2"/>
    <d v="2023-07-05T19:42:29"/>
    <s v="N"/>
    <m/>
    <m/>
    <s v="Non Expert Disbursement"/>
    <m/>
    <s v="N"/>
    <n v="0"/>
    <n v="0"/>
    <x v="6"/>
    <s v="VALIDATED"/>
    <n v="1"/>
    <s v="01.11.80.000.0000.0000"/>
    <n v="0"/>
    <s v="11"/>
    <s v="0000"/>
    <n v="7141.99"/>
    <n v="0"/>
    <s v="CREDITOR"/>
    <n v="0"/>
    <n v="0"/>
    <n v="0"/>
    <n v="0"/>
    <n v="0"/>
  </r>
  <r>
    <n v="59877261"/>
    <s v="N"/>
    <n v="21333851"/>
    <s v="3000014236210004RC"/>
    <s v="CIVIL"/>
    <d v="2023-06-26T00:00:00"/>
    <d v="2023-07-05T19:42:28"/>
    <m/>
    <d v="2023-07-05T00:00:00"/>
    <n v="1303"/>
    <n v="20851"/>
    <s v="59877261"/>
    <s v="59877261"/>
    <m/>
    <m/>
    <m/>
    <m/>
    <m/>
    <m/>
    <s v="SOLRECOUP"/>
    <s v="SOLRECOUP"/>
    <s v="POARECOUP"/>
    <n v="21333851"/>
    <n v="-61.57"/>
    <m/>
    <s v="Y"/>
    <n v="1"/>
    <d v="2023-07-05T19:42:29"/>
    <s v="N"/>
    <m/>
    <m/>
    <s v="Non Expert Disbursement"/>
    <m/>
    <s v="N"/>
    <n v="-61.57"/>
    <n v="0"/>
    <x v="6"/>
    <s v="VALIDATED"/>
    <n v="1"/>
    <s v="01.11.80.307.2013.0000"/>
    <n v="-61.57"/>
    <s v="11"/>
    <s v="2013"/>
    <n v="7141.99"/>
    <n v="-61.57"/>
    <s v="CREDITOR"/>
    <n v="0"/>
    <n v="0"/>
    <n v="-61.57"/>
    <n v="0"/>
    <n v="0"/>
  </r>
  <r>
    <n v="59877261"/>
    <s v="N"/>
    <n v="21333851"/>
    <s v="3000014236210004RC"/>
    <s v="CIVIL"/>
    <d v="2023-06-26T00:00:00"/>
    <d v="2023-07-05T19:42:28"/>
    <m/>
    <d v="2023-07-05T00:00:00"/>
    <n v="1303"/>
    <n v="20851"/>
    <s v="59877261"/>
    <s v="59877261"/>
    <m/>
    <m/>
    <m/>
    <m/>
    <m/>
    <m/>
    <s v="SOLRECOUP"/>
    <s v="SOLRECOUP"/>
    <s v="POARECOUP"/>
    <n v="21333851"/>
    <n v="-61.57"/>
    <m/>
    <s v="Y"/>
    <n v="2"/>
    <d v="2023-07-05T19:42:29"/>
    <s v="N"/>
    <m/>
    <m/>
    <s v="Non Expert Disbursement"/>
    <m/>
    <s v="N"/>
    <n v="0"/>
    <n v="0"/>
    <x v="6"/>
    <s v="VALIDATED"/>
    <n v="1"/>
    <s v="01.11.80.000.0000.0000"/>
    <n v="0"/>
    <s v="11"/>
    <s v="0000"/>
    <n v="7141.99"/>
    <n v="0"/>
    <s v="CREDITOR"/>
    <n v="0"/>
    <n v="0"/>
    <n v="0"/>
    <n v="0"/>
    <n v="0"/>
  </r>
  <r>
    <n v="59877261"/>
    <s v="N"/>
    <n v="21333852"/>
    <s v="3000014236210009RC"/>
    <s v="CIVIL"/>
    <d v="2023-06-26T00:00:00"/>
    <d v="2023-07-05T19:42:28"/>
    <m/>
    <d v="2023-07-05T00:00:00"/>
    <n v="1303"/>
    <n v="20851"/>
    <s v="59877261"/>
    <s v="59877261"/>
    <m/>
    <m/>
    <m/>
    <m/>
    <m/>
    <m/>
    <s v="SOLRECOUP"/>
    <s v="SOLRECOUP"/>
    <s v="POARECOUP"/>
    <n v="21333852"/>
    <n v="-3254.34"/>
    <m/>
    <s v="Y"/>
    <n v="1"/>
    <d v="2023-07-05T19:42:29"/>
    <s v="N"/>
    <m/>
    <m/>
    <s v="Profit Cost"/>
    <m/>
    <s v="N"/>
    <n v="-2711.95"/>
    <n v="0"/>
    <x v="6"/>
    <s v="VALIDATED"/>
    <n v="1"/>
    <s v="01.11.80.307.2013.0000"/>
    <n v="-2711.95"/>
    <s v="11"/>
    <s v="2013"/>
    <n v="7141.99"/>
    <n v="-2711.95"/>
    <s v="CREDITOR"/>
    <n v="0"/>
    <n v="0"/>
    <n v="-2711.95"/>
    <n v="-677.9875"/>
    <n v="0"/>
  </r>
  <r>
    <n v="59877261"/>
    <s v="N"/>
    <n v="21333852"/>
    <s v="3000014236210009RC"/>
    <s v="CIVIL"/>
    <d v="2023-06-26T00:00:00"/>
    <d v="2023-07-05T19:42:28"/>
    <m/>
    <d v="2023-07-05T00:00:00"/>
    <n v="1303"/>
    <n v="20851"/>
    <s v="59877261"/>
    <s v="59877261"/>
    <m/>
    <m/>
    <m/>
    <m/>
    <m/>
    <m/>
    <s v="SOLRECOUP"/>
    <s v="SOLRECOUP"/>
    <s v="POARECOUP"/>
    <n v="21333852"/>
    <n v="-3254.34"/>
    <m/>
    <s v="Y"/>
    <n v="2"/>
    <d v="2023-07-05T19:42:29"/>
    <s v="N"/>
    <m/>
    <m/>
    <s v="Profit Cost"/>
    <m/>
    <s v="N"/>
    <n v="0"/>
    <n v="-542.39"/>
    <x v="6"/>
    <s v="VALIDATED"/>
    <n v="1"/>
    <s v="01.11.80.307.2013.0000"/>
    <n v="-542.39"/>
    <s v="11"/>
    <s v="2013"/>
    <n v="7141.99"/>
    <n v="-542.39"/>
    <s v="CREDITOR"/>
    <n v="0"/>
    <n v="0"/>
    <n v="-542.39"/>
    <n v="-135.5975"/>
    <n v="0"/>
  </r>
  <r>
    <n v="61587711"/>
    <s v="N"/>
    <n v="21337729"/>
    <s v="3000015688980006"/>
    <s v="CIVIL"/>
    <d v="2023-06-23T00:00:00"/>
    <d v="2023-07-06T19:21:01"/>
    <m/>
    <d v="2023-07-06T00:00:00"/>
    <n v="1303"/>
    <n v="20851"/>
    <s v="61587711"/>
    <s v="61587711"/>
    <m/>
    <m/>
    <n v="22752324"/>
    <m/>
    <m/>
    <m/>
    <s v="SOLFIN"/>
    <s v="SOLFIN"/>
    <s v="CCMS"/>
    <n v="21337729"/>
    <n v="4099.29"/>
    <m/>
    <s v="N"/>
    <n v="2"/>
    <d v="2023-07-06T19:21:06"/>
    <s v="Y"/>
    <s v="Solicitor Travel Expenses"/>
    <s v="Public Law Children"/>
    <s v="Non Expert Disbursement"/>
    <s v="CEB"/>
    <s v="Y"/>
    <n v="4.1"/>
    <n v="0"/>
    <x v="4"/>
    <s v="VALIDATED"/>
    <n v="1"/>
    <s v="01.11.80.308.6300.0000"/>
    <n v="4.1"/>
    <s v="11"/>
    <s v="6300"/>
    <n v="7141.99"/>
    <n v="4.1"/>
    <s v="CREDITOR"/>
    <n v="0"/>
    <n v="0"/>
    <n v="0"/>
    <n v="0"/>
    <n v="4.1"/>
  </r>
  <r>
    <n v="59877261"/>
    <s v="N"/>
    <n v="21330995"/>
    <s v="3000014236210014"/>
    <s v="CIVIL"/>
    <d v="2023-06-26T00:00:00"/>
    <d v="2023-07-05T19:01:47"/>
    <m/>
    <d v="2023-07-05T00:00:00"/>
    <n v="1303"/>
    <n v="20851"/>
    <s v="59877261"/>
    <s v="59877261"/>
    <m/>
    <m/>
    <n v="22758072"/>
    <m/>
    <m/>
    <m/>
    <s v="SOLFIN"/>
    <s v="SOLFIN"/>
    <s v="CCMS"/>
    <n v="21330995"/>
    <n v="8211.620000000001"/>
    <m/>
    <s v="N"/>
    <n v="2"/>
    <d v="2023-07-05T19:02:01"/>
    <s v="Y"/>
    <s v="Police Records"/>
    <s v="Prescribed Hourly Rates"/>
    <s v="Non Expert Disbursement"/>
    <s v="XXX"/>
    <s v="Y"/>
    <n v="61.57"/>
    <n v="0"/>
    <x v="6"/>
    <s v="VALIDATED"/>
    <n v="1"/>
    <s v="01.11.80.307.6300.0000"/>
    <n v="61.57"/>
    <s v="11"/>
    <s v="6300"/>
    <n v="7141.99"/>
    <n v="61.57"/>
    <s v="CREDITOR"/>
    <n v="0"/>
    <n v="0"/>
    <n v="0"/>
    <n v="0"/>
    <n v="61.57"/>
  </r>
  <r>
    <n v="59877261"/>
    <s v="N"/>
    <n v="21330995"/>
    <s v="3000014236210014"/>
    <s v="CIVIL"/>
    <d v="2023-06-26T00:00:00"/>
    <d v="2023-07-05T19:01:47"/>
    <m/>
    <d v="2023-07-05T00:00:00"/>
    <n v="1303"/>
    <n v="20851"/>
    <s v="59877261"/>
    <s v="59877261"/>
    <m/>
    <m/>
    <n v="22758072"/>
    <m/>
    <m/>
    <m/>
    <s v="SOLFIN"/>
    <s v="SOLFIN"/>
    <s v="CCMS"/>
    <n v="21330995"/>
    <n v="8211.620000000001"/>
    <m/>
    <s v="N"/>
    <n v="73"/>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51"/>
    <d v="2023-07-05T19:02:01"/>
    <s v="Y"/>
    <s v="Preparation - other"/>
    <s v="Prescribed Hourly Rates"/>
    <s v="Profit Cost"/>
    <s v="KK"/>
    <s v="Y"/>
    <n v="21.96"/>
    <n v="4.39"/>
    <x v="6"/>
    <s v="VALIDATED"/>
    <n v="1"/>
    <s v="01.11.80.307.6100.0000"/>
    <n v="21.96"/>
    <s v="11"/>
    <s v="6100"/>
    <n v="7141.99"/>
    <n v="21.96"/>
    <s v="CREDITOR"/>
    <n v="0"/>
    <n v="0"/>
    <n v="0"/>
    <n v="0"/>
    <n v="21.96"/>
  </r>
  <r>
    <n v="59877261"/>
    <s v="N"/>
    <n v="21330995"/>
    <s v="3000014236210014"/>
    <s v="CIVIL"/>
    <d v="2023-06-26T00:00:00"/>
    <d v="2023-07-05T19:01:47"/>
    <m/>
    <d v="2023-07-05T00:00:00"/>
    <n v="1303"/>
    <n v="20851"/>
    <s v="59877261"/>
    <s v="59877261"/>
    <m/>
    <m/>
    <n v="22758072"/>
    <m/>
    <m/>
    <m/>
    <s v="SOLFIN"/>
    <s v="SOLFIN"/>
    <s v="CCMS"/>
    <n v="21330995"/>
    <n v="8211.620000000001"/>
    <m/>
    <s v="N"/>
    <n v="16"/>
    <d v="2023-07-05T19:02:01"/>
    <s v="Y"/>
    <s v="Preparation - drafting consent orde"/>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3"/>
    <d v="2023-07-05T19:02:01"/>
    <s v="Y"/>
    <s v="Police Records"/>
    <s v="Prescribed Hourly Rates"/>
    <s v="Non Expert Disbursement"/>
    <s v="XXX"/>
    <s v="Y"/>
    <n v="28.23"/>
    <n v="0"/>
    <x v="6"/>
    <s v="VALIDATED"/>
    <n v="1"/>
    <s v="01.11.80.307.6300.0000"/>
    <n v="28.23"/>
    <s v="11"/>
    <s v="6300"/>
    <n v="7141.99"/>
    <n v="28.23"/>
    <s v="CREDITOR"/>
    <n v="0"/>
    <n v="0"/>
    <n v="0"/>
    <n v="0"/>
    <n v="28.23"/>
  </r>
  <r>
    <n v="61587711"/>
    <s v="N"/>
    <n v="21337729"/>
    <s v="3000015688980006"/>
    <s v="CIVIL"/>
    <d v="2023-06-23T00:00:00"/>
    <d v="2023-07-06T19:21:01"/>
    <m/>
    <d v="2023-07-06T00:00:00"/>
    <n v="1303"/>
    <n v="20851"/>
    <s v="61587711"/>
    <s v="61587711"/>
    <m/>
    <m/>
    <n v="22752324"/>
    <m/>
    <m/>
    <m/>
    <s v="SOLFIN"/>
    <s v="SOLFIN"/>
    <s v="CCMS"/>
    <n v="21337729"/>
    <n v="4099.29"/>
    <m/>
    <s v="N"/>
    <n v="6"/>
    <d v="2023-07-06T19:21:06"/>
    <s v="Y"/>
    <s v="Advocates Meeting"/>
    <s v="Public Law Children"/>
    <s v="Advocacy"/>
    <s v="CEB"/>
    <s v="Y"/>
    <n v="140.99"/>
    <n v="28.2"/>
    <x v="4"/>
    <s v="VALIDATED"/>
    <n v="1"/>
    <s v="01.11.80.308.6100.0000"/>
    <n v="140.99"/>
    <s v="11"/>
    <s v="6100"/>
    <n v="7141.99"/>
    <n v="140.99"/>
    <s v="CREDITOR"/>
    <n v="0"/>
    <n v="0"/>
    <n v="0"/>
    <n v="0"/>
    <n v="140.99"/>
  </r>
  <r>
    <n v="59877261"/>
    <s v="N"/>
    <n v="21330995"/>
    <s v="3000014236210014"/>
    <s v="CIVIL"/>
    <d v="2023-06-26T00:00:00"/>
    <d v="2023-07-05T19:01:47"/>
    <m/>
    <d v="2023-07-05T00:00:00"/>
    <n v="1303"/>
    <n v="20851"/>
    <s v="59877261"/>
    <s v="59877261"/>
    <m/>
    <m/>
    <n v="22758072"/>
    <m/>
    <m/>
    <m/>
    <s v="SOLFIN"/>
    <s v="SOLFIN"/>
    <s v="CCMS"/>
    <n v="21330995"/>
    <n v="8211.620000000001"/>
    <m/>
    <s v="N"/>
    <n v="94"/>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105"/>
    <d v="2023-07-05T19:02:01"/>
    <s v="Y"/>
    <s v="Routine Telephone Call"/>
    <s v="Prescribed Hourly Rates"/>
    <s v="Profit Cost"/>
    <s v="OTH"/>
    <s v="Y"/>
    <n v="81"/>
    <n v="16.2"/>
    <x v="6"/>
    <s v="VALIDATED"/>
    <n v="1"/>
    <s v="01.11.80.307.6100.0000"/>
    <n v="81"/>
    <s v="11"/>
    <s v="6100"/>
    <n v="7141.99"/>
    <n v="81"/>
    <s v="CREDITOR"/>
    <n v="0"/>
    <n v="0"/>
    <n v="0"/>
    <n v="0"/>
    <n v="81"/>
  </r>
  <r>
    <n v="61587711"/>
    <s v="N"/>
    <n v="21337729"/>
    <s v="3000015688980006"/>
    <s v="CIVIL"/>
    <d v="2023-06-23T00:00:00"/>
    <d v="2023-07-06T19:21:01"/>
    <m/>
    <d v="2023-07-06T00:00:00"/>
    <n v="1303"/>
    <n v="20851"/>
    <s v="61587711"/>
    <s v="61587711"/>
    <m/>
    <m/>
    <n v="22752324"/>
    <m/>
    <m/>
    <m/>
    <s v="SOLFIN"/>
    <s v="SOLFIN"/>
    <s v="CCMS"/>
    <n v="21337729"/>
    <n v="4099.29"/>
    <m/>
    <s v="N"/>
    <n v="7"/>
    <d v="2023-07-06T19:21:06"/>
    <s v="Y"/>
    <s v="Hearing Unit 1.01 - 2.30 Hours"/>
    <s v="Public Law Children"/>
    <s v="Advocacy"/>
    <s v="CEB"/>
    <s v="Y"/>
    <n v="238.46"/>
    <n v="47.69"/>
    <x v="4"/>
    <s v="VALIDATED"/>
    <n v="1"/>
    <s v="01.11.80.308.6100.0000"/>
    <n v="238.46"/>
    <s v="11"/>
    <s v="6100"/>
    <n v="7141.99"/>
    <n v="238.46"/>
    <s v="CREDITOR"/>
    <n v="0"/>
    <n v="0"/>
    <n v="0"/>
    <n v="0"/>
    <n v="238.46"/>
  </r>
  <r>
    <n v="61587711"/>
    <s v="N"/>
    <n v="21337729"/>
    <s v="3000015688980006"/>
    <s v="CIVIL"/>
    <d v="2023-06-23T00:00:00"/>
    <d v="2023-07-06T19:21:01"/>
    <m/>
    <d v="2023-07-06T00:00:00"/>
    <n v="1303"/>
    <n v="20851"/>
    <s v="61587711"/>
    <s v="61587711"/>
    <m/>
    <m/>
    <n v="22752324"/>
    <m/>
    <m/>
    <m/>
    <s v="SOLFIN"/>
    <s v="SOLFIN"/>
    <s v="CCMS"/>
    <n v="21337729"/>
    <n v="4099.29"/>
    <m/>
    <s v="N"/>
    <n v="4"/>
    <d v="2023-07-06T19:21:06"/>
    <s v="Y"/>
    <s v="Court Fee"/>
    <s v="Public Law Children"/>
    <s v="Non Expert Disbursement"/>
    <s v="CEB"/>
    <s v="Y"/>
    <n v="167"/>
    <n v="0"/>
    <x v="4"/>
    <s v="VALIDATED"/>
    <n v="1"/>
    <s v="01.11.80.308.6300.0000"/>
    <n v="167"/>
    <s v="11"/>
    <s v="6300"/>
    <n v="7141.99"/>
    <n v="167"/>
    <s v="CREDITOR"/>
    <n v="0"/>
    <n v="0"/>
    <n v="0"/>
    <n v="0"/>
    <n v="167"/>
  </r>
  <r>
    <n v="59877261"/>
    <s v="N"/>
    <n v="21330995"/>
    <s v="3000014236210014"/>
    <s v="CIVIL"/>
    <d v="2023-06-26T00:00:00"/>
    <d v="2023-07-05T19:01:47"/>
    <m/>
    <d v="2023-07-05T00:00:00"/>
    <n v="1303"/>
    <n v="20851"/>
    <s v="59877261"/>
    <s v="59877261"/>
    <m/>
    <m/>
    <n v="22758072"/>
    <m/>
    <m/>
    <m/>
    <s v="SOLFIN"/>
    <s v="SOLFIN"/>
    <s v="CCMS"/>
    <n v="21330995"/>
    <n v="8211.620000000001"/>
    <m/>
    <s v="N"/>
    <n v="9"/>
    <d v="2023-07-05T19:02:01"/>
    <s v="Y"/>
    <s v="Preparation - drafting notice(s)"/>
    <s v="Prescribed Hourly Rates"/>
    <s v="Profit Cost"/>
    <s v="OTH"/>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61"/>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78"/>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7"/>
    <d v="2023-07-05T19:02:01"/>
    <s v="Y"/>
    <s v="Preparation - drafting notice(s)"/>
    <s v="Prescribed Hourly Rates"/>
    <s v="Profit Cost"/>
    <s v="OTH"/>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107"/>
    <d v="2023-07-05T19:02:01"/>
    <s v="Y"/>
    <s v="Routine Letter Out"/>
    <s v="Prescribed Hourly Rates"/>
    <s v="Profit Cost"/>
    <s v="OTH"/>
    <s v="Y"/>
    <n v="102.6"/>
    <n v="20.52"/>
    <x v="6"/>
    <s v="VALIDATED"/>
    <n v="1"/>
    <s v="01.11.80.307.6100.0000"/>
    <n v="102.6"/>
    <s v="11"/>
    <s v="6100"/>
    <n v="7141.99"/>
    <n v="102.6"/>
    <s v="CREDITOR"/>
    <n v="0"/>
    <n v="0"/>
    <n v="0"/>
    <n v="0"/>
    <n v="102.6"/>
  </r>
  <r>
    <n v="59877261"/>
    <s v="N"/>
    <n v="21330995"/>
    <s v="3000014236210014"/>
    <s v="CIVIL"/>
    <d v="2023-06-26T00:00:00"/>
    <d v="2023-07-05T19:01:47"/>
    <m/>
    <d v="2023-07-05T00:00:00"/>
    <n v="1303"/>
    <n v="20851"/>
    <s v="59877261"/>
    <s v="59877261"/>
    <m/>
    <m/>
    <n v="22758072"/>
    <m/>
    <m/>
    <m/>
    <s v="SOLFIN"/>
    <s v="SOLFIN"/>
    <s v="CCMS"/>
    <n v="21330995"/>
    <n v="8211.620000000001"/>
    <m/>
    <s v="N"/>
    <n v="10"/>
    <d v="2023-07-05T19:02:01"/>
    <s v="Y"/>
    <s v="Preparation - drafting consent orde"/>
    <s v="Prescribed Hourly Rates"/>
    <s v="Profit Cost"/>
    <s v="KK"/>
    <s v="Y"/>
    <n v="10.98"/>
    <n v="2.2"/>
    <x v="6"/>
    <s v="VALIDATED"/>
    <n v="1"/>
    <s v="01.11.80.307.6100.0000"/>
    <n v="10.98"/>
    <s v="11"/>
    <s v="6100"/>
    <n v="7141.99"/>
    <n v="10.98"/>
    <s v="CREDITOR"/>
    <n v="0"/>
    <n v="0"/>
    <n v="0"/>
    <n v="0"/>
    <n v="10.98"/>
  </r>
  <r>
    <n v="62091593"/>
    <s v="N"/>
    <n v="21323345"/>
    <s v="3000016119530006"/>
    <s v="CIVIL"/>
    <d v="2023-06-30T00:00:00"/>
    <d v="2023-07-03T19:05:56"/>
    <m/>
    <d v="2023-07-03T00:00:00"/>
    <n v="1303"/>
    <n v="20851"/>
    <s v="62091593"/>
    <s v="62091593"/>
    <m/>
    <m/>
    <n v="22800858"/>
    <m/>
    <m/>
    <m/>
    <s v="SOLPOA"/>
    <s v="SOLPOA"/>
    <s v="CCMS"/>
    <n v="21323345"/>
    <n v="1451.26"/>
    <m/>
    <s v="N"/>
    <n v="1"/>
    <d v="2023-07-03T19:05:56"/>
    <s v="N"/>
    <s v="Solicitors Fixed Fee"/>
    <s v="Public Law Children"/>
    <s v="Profit Cost"/>
    <s v="KK"/>
    <s v="N"/>
    <n v="1209.38"/>
    <n v="241.88"/>
    <x v="3"/>
    <s v="VALIDATED"/>
    <n v="1"/>
    <s v="01.11.80.308.2012.0000"/>
    <n v="1209.38"/>
    <s v="11"/>
    <s v="2012"/>
    <n v="7141.99"/>
    <n v="1209.38"/>
    <s v="CREDITOR"/>
    <n v="1209.38"/>
    <n v="302.345"/>
    <n v="0"/>
    <n v="0"/>
    <n v="0"/>
  </r>
  <r>
    <n v="59877261"/>
    <s v="N"/>
    <n v="21330995"/>
    <s v="3000014236210014"/>
    <s v="CIVIL"/>
    <d v="2023-06-26T00:00:00"/>
    <d v="2023-07-05T19:01:47"/>
    <m/>
    <d v="2023-07-05T00:00:00"/>
    <n v="1303"/>
    <n v="20851"/>
    <s v="59877261"/>
    <s v="59877261"/>
    <m/>
    <m/>
    <n v="22758072"/>
    <m/>
    <m/>
    <m/>
    <s v="SOLFIN"/>
    <s v="SOLFIN"/>
    <s v="CCMS"/>
    <n v="21330995"/>
    <n v="8211.620000000001"/>
    <m/>
    <s v="N"/>
    <n v="101"/>
    <d v="2023-07-05T19:02:01"/>
    <s v="Y"/>
    <s v="Preparation - drafting statement"/>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12"/>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72"/>
    <d v="2023-07-05T19:02:01"/>
    <s v="Y"/>
    <s v="Preparation - other"/>
    <s v="Prescribed Hourly Rates"/>
    <s v="Profit Cost"/>
    <s v="KK"/>
    <s v="Y"/>
    <n v="43.92"/>
    <n v="8.779999999999999"/>
    <x v="6"/>
    <s v="VALIDATED"/>
    <n v="1"/>
    <s v="01.11.80.307.6100.0000"/>
    <n v="43.92"/>
    <s v="11"/>
    <s v="6100"/>
    <n v="7141.99"/>
    <n v="43.92"/>
    <s v="CREDITOR"/>
    <n v="0"/>
    <n v="0"/>
    <n v="0"/>
    <n v="0"/>
    <n v="43.92"/>
  </r>
  <r>
    <n v="59877261"/>
    <s v="N"/>
    <n v="21330995"/>
    <s v="3000014236210014"/>
    <s v="CIVIL"/>
    <d v="2023-06-26T00:00:00"/>
    <d v="2023-07-05T19:01:47"/>
    <m/>
    <d v="2023-07-05T00:00:00"/>
    <n v="1303"/>
    <n v="20851"/>
    <s v="59877261"/>
    <s v="59877261"/>
    <m/>
    <m/>
    <n v="22758072"/>
    <m/>
    <m/>
    <m/>
    <s v="SOLFIN"/>
    <s v="SOLFIN"/>
    <s v="CCMS"/>
    <n v="21330995"/>
    <n v="8211.620000000001"/>
    <m/>
    <s v="N"/>
    <n v="49"/>
    <d v="2023-07-05T19:02:01"/>
    <s v="Y"/>
    <s v="Preparation - drafting application"/>
    <s v="Prescribed Hourly Rates"/>
    <s v="Profit Cost"/>
    <s v="KK"/>
    <s v="Y"/>
    <n v="21.96"/>
    <n v="4.39"/>
    <x v="6"/>
    <s v="VALIDATED"/>
    <n v="1"/>
    <s v="01.11.80.307.6100.0000"/>
    <n v="21.96"/>
    <s v="11"/>
    <s v="6100"/>
    <n v="7141.99"/>
    <n v="21.96"/>
    <s v="CREDITOR"/>
    <n v="0"/>
    <n v="0"/>
    <n v="0"/>
    <n v="0"/>
    <n v="21.96"/>
  </r>
  <r>
    <n v="59877261"/>
    <s v="N"/>
    <n v="21330995"/>
    <s v="3000014236210014"/>
    <s v="CIVIL"/>
    <d v="2023-06-26T00:00:00"/>
    <d v="2023-07-05T19:01:47"/>
    <m/>
    <d v="2023-07-05T00:00:00"/>
    <n v="1303"/>
    <n v="20851"/>
    <s v="59877261"/>
    <s v="59877261"/>
    <m/>
    <m/>
    <n v="22758072"/>
    <m/>
    <m/>
    <m/>
    <s v="SOLFIN"/>
    <s v="SOLFIN"/>
    <s v="CCMS"/>
    <n v="21330995"/>
    <n v="8211.620000000001"/>
    <m/>
    <s v="N"/>
    <n v="109"/>
    <d v="2023-07-05T19:02:01"/>
    <s v="Y"/>
    <s v="Routine Letter In"/>
    <s v="Prescribed Hourly Rates"/>
    <s v="Profit Cost"/>
    <s v="OTH"/>
    <s v="Y"/>
    <n v="24.3"/>
    <n v="4.86"/>
    <x v="6"/>
    <s v="VALIDATED"/>
    <n v="1"/>
    <s v="01.11.80.307.6100.0000"/>
    <n v="24.3"/>
    <s v="11"/>
    <s v="6100"/>
    <n v="7141.99"/>
    <n v="24.3"/>
    <s v="CREDITOR"/>
    <n v="0"/>
    <n v="0"/>
    <n v="0"/>
    <n v="0"/>
    <n v="24.3"/>
  </r>
  <r>
    <n v="59877261"/>
    <s v="N"/>
    <n v="21330995"/>
    <s v="3000014236210014"/>
    <s v="CIVIL"/>
    <d v="2023-06-26T00:00:00"/>
    <d v="2023-07-05T19:01:47"/>
    <m/>
    <d v="2023-07-05T00:00:00"/>
    <n v="1303"/>
    <n v="20851"/>
    <s v="59877261"/>
    <s v="59877261"/>
    <m/>
    <m/>
    <n v="22758072"/>
    <m/>
    <m/>
    <m/>
    <s v="SOLFIN"/>
    <s v="SOLFIN"/>
    <s v="CCMS"/>
    <n v="21330995"/>
    <n v="8211.620000000001"/>
    <m/>
    <s v="N"/>
    <n v="4"/>
    <d v="2023-07-05T19:02:01"/>
    <s v="Y"/>
    <s v="Psychiatrist"/>
    <s v="Prescribed Hourly Rates"/>
    <s v="Expert Disbursement"/>
    <s v="XXX"/>
    <s v="Y"/>
    <n v="540"/>
    <n v="108.01"/>
    <x v="6"/>
    <s v="VALIDATED"/>
    <n v="1"/>
    <s v="01.11.80.307.6300.0000"/>
    <n v="540"/>
    <s v="11"/>
    <s v="6300"/>
    <n v="7141.99"/>
    <n v="540"/>
    <s v="CREDITOR"/>
    <n v="0"/>
    <n v="0"/>
    <n v="0"/>
    <n v="0"/>
    <n v="540"/>
  </r>
  <r>
    <n v="59877261"/>
    <s v="N"/>
    <n v="21330995"/>
    <s v="3000014236210014"/>
    <s v="CIVIL"/>
    <d v="2023-06-26T00:00:00"/>
    <d v="2023-07-05T19:01:47"/>
    <m/>
    <d v="2023-07-05T00:00:00"/>
    <n v="1303"/>
    <n v="20851"/>
    <s v="59877261"/>
    <s v="59877261"/>
    <m/>
    <m/>
    <n v="22758072"/>
    <m/>
    <m/>
    <m/>
    <s v="SOLFIN"/>
    <s v="SOLFIN"/>
    <s v="CCMS"/>
    <n v="21330995"/>
    <n v="8211.620000000001"/>
    <m/>
    <s v="N"/>
    <n v="100"/>
    <d v="2023-07-05T19:02:01"/>
    <s v="Y"/>
    <s v="Preparation - drafting statement"/>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59"/>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48"/>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88"/>
    <d v="2023-07-05T19:02:01"/>
    <s v="Y"/>
    <s v="Preparation - other"/>
    <s v="Prescribed Hourly Rates"/>
    <s v="Profit Cost"/>
    <s v="KK"/>
    <s v="Y"/>
    <n v="32.94"/>
    <n v="6.59"/>
    <x v="6"/>
    <s v="VALIDATED"/>
    <n v="1"/>
    <s v="01.11.80.307.6100.0000"/>
    <n v="32.94"/>
    <s v="11"/>
    <s v="6100"/>
    <n v="7141.99"/>
    <n v="32.94"/>
    <s v="CREDITOR"/>
    <n v="0"/>
    <n v="0"/>
    <n v="0"/>
    <n v="0"/>
    <n v="32.94"/>
  </r>
  <r>
    <n v="59877261"/>
    <s v="N"/>
    <n v="21330995"/>
    <s v="3000014236210014"/>
    <s v="CIVIL"/>
    <d v="2023-06-26T00:00:00"/>
    <d v="2023-07-05T19:01:47"/>
    <m/>
    <d v="2023-07-05T00:00:00"/>
    <n v="1303"/>
    <n v="20851"/>
    <s v="59877261"/>
    <s v="59877261"/>
    <m/>
    <m/>
    <n v="22758072"/>
    <m/>
    <m/>
    <m/>
    <s v="SOLFIN"/>
    <s v="SOLFIN"/>
    <s v="CCMS"/>
    <n v="21330995"/>
    <n v="8211.620000000001"/>
    <m/>
    <s v="N"/>
    <n v="74"/>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36"/>
    <d v="2023-07-05T19:02:01"/>
    <s v="Y"/>
    <s v="Preparation - drafting statement"/>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68"/>
    <d v="2023-07-05T19:02:01"/>
    <s v="Y"/>
    <s v="Preparation - other"/>
    <s v="Prescribed Hourly Rates"/>
    <s v="Profit Cost"/>
    <s v="KK"/>
    <s v="Y"/>
    <n v="38.43"/>
    <n v="7.69"/>
    <x v="6"/>
    <s v="VALIDATED"/>
    <n v="1"/>
    <s v="01.11.80.307.6100.0000"/>
    <n v="38.43"/>
    <s v="11"/>
    <s v="6100"/>
    <n v="7141.99"/>
    <n v="38.43"/>
    <s v="CREDITOR"/>
    <n v="0"/>
    <n v="0"/>
    <n v="0"/>
    <n v="0"/>
    <n v="38.43"/>
  </r>
  <r>
    <n v="59877261"/>
    <s v="N"/>
    <n v="21330995"/>
    <s v="3000014236210014"/>
    <s v="CIVIL"/>
    <d v="2023-06-26T00:00:00"/>
    <d v="2023-07-05T19:01:47"/>
    <m/>
    <d v="2023-07-05T00:00:00"/>
    <n v="1303"/>
    <n v="20851"/>
    <s v="59877261"/>
    <s v="59877261"/>
    <m/>
    <m/>
    <n v="22758072"/>
    <m/>
    <m/>
    <m/>
    <s v="SOLFIN"/>
    <s v="SOLFIN"/>
    <s v="CCMS"/>
    <n v="21330995"/>
    <n v="8211.620000000001"/>
    <m/>
    <s v="N"/>
    <n v="90"/>
    <d v="2023-07-05T19:02:01"/>
    <s v="Y"/>
    <s v="Preparation - other"/>
    <s v="Prescribed Hourly Rates"/>
    <s v="Profit Cost"/>
    <s v="KK"/>
    <s v="Y"/>
    <n v="27.45"/>
    <n v="5.49"/>
    <x v="6"/>
    <s v="VALIDATED"/>
    <n v="1"/>
    <s v="01.11.80.307.6100.0000"/>
    <n v="27.45"/>
    <s v="11"/>
    <s v="6100"/>
    <n v="7141.99"/>
    <n v="27.45"/>
    <s v="CREDITOR"/>
    <n v="0"/>
    <n v="0"/>
    <n v="0"/>
    <n v="0"/>
    <n v="27.45"/>
  </r>
  <r>
    <n v="60261982"/>
    <s v="N"/>
    <n v="21320161"/>
    <s v="3000014569690012"/>
    <s v="CIVIL"/>
    <d v="2023-06-27T00:00:00"/>
    <d v="2023-07-03T19:04:24"/>
    <m/>
    <d v="2023-07-03T00:00:00"/>
    <n v="1303"/>
    <n v="20851"/>
    <s v="60261982"/>
    <s v="60261982"/>
    <m/>
    <m/>
    <n v="22766288"/>
    <m/>
    <m/>
    <m/>
    <s v="SOLADJ"/>
    <s v="SOLADJ"/>
    <s v="CCMS"/>
    <n v="21320161"/>
    <n v="147.31"/>
    <m/>
    <s v="N"/>
    <n v="1"/>
    <d v="2023-07-03T19:04:29"/>
    <s v="Y"/>
    <s v="Toxicologist"/>
    <s v="Public Law Children"/>
    <s v="Expert Disbursement"/>
    <s v="K. King"/>
    <s v="Y"/>
    <n v="122.76"/>
    <n v="24.55"/>
    <x v="3"/>
    <s v="VALIDATED"/>
    <n v="1"/>
    <s v="01.11.80.308.6300.0000"/>
    <n v="122.76"/>
    <s v="11"/>
    <s v="6300"/>
    <n v="7141.99"/>
    <n v="122.76"/>
    <s v="CREDITOR"/>
    <n v="0"/>
    <n v="0"/>
    <n v="0"/>
    <n v="0"/>
    <n v="122.76"/>
  </r>
  <r>
    <n v="61587711"/>
    <s v="N"/>
    <n v="21337729"/>
    <s v="3000015688980006"/>
    <s v="CIVIL"/>
    <d v="2023-06-23T00:00:00"/>
    <d v="2023-07-06T19:21:01"/>
    <m/>
    <d v="2023-07-06T00:00:00"/>
    <n v="1303"/>
    <n v="20851"/>
    <s v="61587711"/>
    <s v="61587711"/>
    <m/>
    <m/>
    <n v="22752324"/>
    <m/>
    <m/>
    <m/>
    <s v="SOLFIN"/>
    <s v="SOLFIN"/>
    <s v="CCMS"/>
    <n v="21337729"/>
    <n v="4099.29"/>
    <m/>
    <s v="N"/>
    <n v="5"/>
    <d v="2023-07-06T19:21:06"/>
    <s v="Y"/>
    <s v="Toxicologist"/>
    <s v="Public Law Children"/>
    <s v="Expert Disbursement"/>
    <s v="CEB"/>
    <s v="Y"/>
    <n v="474.3"/>
    <n v="94.86"/>
    <x v="4"/>
    <s v="VALIDATED"/>
    <n v="1"/>
    <s v="01.11.80.308.6300.0000"/>
    <n v="474.3"/>
    <s v="11"/>
    <s v="6300"/>
    <n v="7141.99"/>
    <n v="474.3"/>
    <s v="CREDITOR"/>
    <n v="0"/>
    <n v="0"/>
    <n v="0"/>
    <n v="0"/>
    <n v="474.3"/>
  </r>
  <r>
    <n v="59877261"/>
    <s v="N"/>
    <n v="21330995"/>
    <s v="3000014236210014"/>
    <s v="CIVIL"/>
    <d v="2023-06-26T00:00:00"/>
    <d v="2023-07-05T19:01:47"/>
    <m/>
    <d v="2023-07-05T00:00:00"/>
    <n v="1303"/>
    <n v="20851"/>
    <s v="59877261"/>
    <s v="59877261"/>
    <m/>
    <m/>
    <n v="22758072"/>
    <m/>
    <m/>
    <m/>
    <s v="SOLFIN"/>
    <s v="SOLFIN"/>
    <s v="CCMS"/>
    <n v="21330995"/>
    <n v="8211.620000000001"/>
    <m/>
    <s v="N"/>
    <n v="37"/>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92"/>
    <d v="2023-07-05T19:02:01"/>
    <s v="Y"/>
    <s v="Preparation - drafting statement"/>
    <s v="Prescribed Hourly Rates"/>
    <s v="Profit Cost"/>
    <s v="KK"/>
    <s v="Y"/>
    <n v="38.43"/>
    <n v="7.69"/>
    <x v="6"/>
    <s v="VALIDATED"/>
    <n v="1"/>
    <s v="01.11.80.307.6100.0000"/>
    <n v="38.43"/>
    <s v="11"/>
    <s v="6100"/>
    <n v="7141.99"/>
    <n v="38.43"/>
    <s v="CREDITOR"/>
    <n v="0"/>
    <n v="0"/>
    <n v="0"/>
    <n v="0"/>
    <n v="38.43"/>
  </r>
  <r>
    <n v="61926977"/>
    <s v="N"/>
    <n v="21322204"/>
    <s v="3000015980700007"/>
    <s v="CIVIL"/>
    <d v="2023-06-29T00:00:00"/>
    <d v="2023-07-03T19:05:36"/>
    <m/>
    <d v="2023-07-03T00:00:00"/>
    <n v="1303"/>
    <n v="20851"/>
    <s v="61926977"/>
    <s v="61926977"/>
    <m/>
    <m/>
    <n v="22788874"/>
    <m/>
    <m/>
    <m/>
    <s v="SOLPOA"/>
    <s v="SOLPOA"/>
    <s v="CCMS"/>
    <n v="21322204"/>
    <n v="486"/>
    <m/>
    <s v="N"/>
    <n v="1"/>
    <d v="2023-07-03T19:05:36"/>
    <s v="N"/>
    <s v="Expert Cost"/>
    <s v="Expert Cost"/>
    <s v="Expert Disbursement"/>
    <s v="Charlotte Bamber"/>
    <s v="N"/>
    <n v="405"/>
    <n v="81"/>
    <x v="3"/>
    <s v="VALIDATED"/>
    <n v="1"/>
    <s v="01.11.80.308.2012.0000"/>
    <n v="405"/>
    <s v="11"/>
    <s v="2012"/>
    <n v="7141.99"/>
    <n v="405"/>
    <s v="CREDITOR"/>
    <n v="405"/>
    <n v="0"/>
    <n v="0"/>
    <n v="0"/>
    <n v="0"/>
  </r>
  <r>
    <n v="61926977"/>
    <s v="N"/>
    <n v="21321597"/>
    <s v="3000015980700008"/>
    <s v="CIVIL"/>
    <d v="2023-06-29T00:00:00"/>
    <d v="2023-07-03T19:05:17"/>
    <m/>
    <d v="2023-07-03T00:00:00"/>
    <n v="1303"/>
    <n v="20851"/>
    <s v="61926977"/>
    <s v="61926977"/>
    <m/>
    <m/>
    <n v="22787088"/>
    <m/>
    <m/>
    <m/>
    <s v="SOLPOA"/>
    <s v="SOLPOA"/>
    <s v="CCMS"/>
    <n v="21321597"/>
    <n v="540"/>
    <m/>
    <s v="N"/>
    <n v="1"/>
    <d v="2023-07-03T19:05:19"/>
    <s v="N"/>
    <s v="Expert Cost"/>
    <s v="Expert Cost"/>
    <s v="Expert Disbursement"/>
    <s v="Charlotte Bamber"/>
    <s v="N"/>
    <n v="450"/>
    <n v="90"/>
    <x v="3"/>
    <s v="VALIDATED"/>
    <n v="1"/>
    <s v="01.11.80.308.2012.0000"/>
    <n v="450"/>
    <s v="11"/>
    <s v="2012"/>
    <n v="7141.99"/>
    <n v="450"/>
    <s v="CREDITOR"/>
    <n v="450"/>
    <n v="0"/>
    <n v="0"/>
    <n v="0"/>
    <n v="0"/>
  </r>
  <r>
    <n v="59877261"/>
    <s v="N"/>
    <n v="21330995"/>
    <s v="3000014236210014"/>
    <s v="CIVIL"/>
    <d v="2023-06-26T00:00:00"/>
    <d v="2023-07-05T19:01:47"/>
    <m/>
    <d v="2023-07-05T00:00:00"/>
    <n v="1303"/>
    <n v="20851"/>
    <s v="59877261"/>
    <s v="59877261"/>
    <m/>
    <m/>
    <n v="22758072"/>
    <m/>
    <m/>
    <m/>
    <s v="SOLFIN"/>
    <s v="SOLFIN"/>
    <s v="CCMS"/>
    <n v="21330995"/>
    <n v="8211.620000000001"/>
    <m/>
    <s v="N"/>
    <n v="96"/>
    <d v="2023-07-05T19:02:01"/>
    <s v="Y"/>
    <s v="Preparation - other"/>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108"/>
    <d v="2023-07-05T19:02:01"/>
    <s v="Y"/>
    <s v="Routine Letter In"/>
    <s v="Prescribed Hourly Rates"/>
    <s v="Profit Cost"/>
    <s v="KK"/>
    <s v="Y"/>
    <n v="1004.4"/>
    <n v="200.9"/>
    <x v="6"/>
    <s v="VALIDATED"/>
    <n v="1"/>
    <s v="01.11.80.307.6100.0000"/>
    <n v="1004.4"/>
    <s v="11"/>
    <s v="6100"/>
    <n v="7141.99"/>
    <n v="1004.4"/>
    <s v="CREDITOR"/>
    <n v="0"/>
    <n v="0"/>
    <n v="0"/>
    <n v="0"/>
    <n v="1004.4"/>
  </r>
  <r>
    <n v="59877261"/>
    <s v="N"/>
    <n v="21330995"/>
    <s v="3000014236210014"/>
    <s v="CIVIL"/>
    <d v="2023-06-26T00:00:00"/>
    <d v="2023-07-05T19:01:47"/>
    <m/>
    <d v="2023-07-05T00:00:00"/>
    <n v="1303"/>
    <n v="20851"/>
    <s v="59877261"/>
    <s v="59877261"/>
    <m/>
    <m/>
    <n v="22758072"/>
    <m/>
    <m/>
    <m/>
    <s v="SOLFIN"/>
    <s v="SOLFIN"/>
    <s v="CCMS"/>
    <n v="21330995"/>
    <n v="8211.620000000001"/>
    <m/>
    <s v="N"/>
    <n v="13"/>
    <d v="2023-07-05T19:02:01"/>
    <s v="Y"/>
    <s v="Preparation - other"/>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21"/>
    <d v="2023-07-05T19:02:01"/>
    <s v="Y"/>
    <s v="Preparation - other"/>
    <s v="Prescribed Hourly Rates"/>
    <s v="Profit Cost"/>
    <s v="KK"/>
    <s v="Y"/>
    <n v="32.94"/>
    <n v="6.59"/>
    <x v="6"/>
    <s v="VALIDATED"/>
    <n v="1"/>
    <s v="01.11.80.307.6100.0000"/>
    <n v="32.94"/>
    <s v="11"/>
    <s v="6100"/>
    <n v="7141.99"/>
    <n v="32.94"/>
    <s v="CREDITOR"/>
    <n v="0"/>
    <n v="0"/>
    <n v="0"/>
    <n v="0"/>
    <n v="32.94"/>
  </r>
  <r>
    <n v="59877261"/>
    <s v="N"/>
    <n v="21330995"/>
    <s v="3000014236210014"/>
    <s v="CIVIL"/>
    <d v="2023-06-26T00:00:00"/>
    <d v="2023-07-05T19:01:47"/>
    <m/>
    <d v="2023-07-05T00:00:00"/>
    <n v="1303"/>
    <n v="20851"/>
    <s v="59877261"/>
    <s v="59877261"/>
    <m/>
    <m/>
    <n v="22758072"/>
    <m/>
    <m/>
    <m/>
    <s v="SOLFIN"/>
    <s v="SOLFIN"/>
    <s v="CCMS"/>
    <n v="21330995"/>
    <n v="8211.620000000001"/>
    <m/>
    <s v="N"/>
    <n v="55"/>
    <d v="2023-07-05T19:02:01"/>
    <s v="Y"/>
    <s v="Preparation - other"/>
    <s v="Prescribed Hourly Rates"/>
    <s v="Profit Cost"/>
    <s v="KK"/>
    <s v="Y"/>
    <n v="21.96"/>
    <n v="4.39"/>
    <x v="6"/>
    <s v="VALIDATED"/>
    <n v="1"/>
    <s v="01.11.80.307.6100.0000"/>
    <n v="21.96"/>
    <s v="11"/>
    <s v="6100"/>
    <n v="7141.99"/>
    <n v="21.96"/>
    <s v="CREDITOR"/>
    <n v="0"/>
    <n v="0"/>
    <n v="0"/>
    <n v="0"/>
    <n v="21.96"/>
  </r>
  <r>
    <n v="61587711"/>
    <s v="N"/>
    <n v="21337729"/>
    <s v="3000015688980006"/>
    <s v="CIVIL"/>
    <d v="2023-06-23T00:00:00"/>
    <d v="2023-07-06T19:21:01"/>
    <m/>
    <d v="2023-07-06T00:00:00"/>
    <n v="1303"/>
    <n v="20851"/>
    <s v="61587711"/>
    <s v="61587711"/>
    <m/>
    <m/>
    <n v="22752324"/>
    <m/>
    <m/>
    <m/>
    <s v="SOLFIN"/>
    <s v="SOLFIN"/>
    <s v="CCMS"/>
    <n v="21337729"/>
    <n v="4099.29"/>
    <m/>
    <s v="N"/>
    <n v="8"/>
    <d v="2023-07-06T19:21:06"/>
    <s v="Y"/>
    <s v="Solicitors Fixed Fee"/>
    <s v="Public Law Children"/>
    <s v="Profit Cost"/>
    <s v="CEB"/>
    <s v="Y"/>
    <n v="1911"/>
    <n v="382.2"/>
    <x v="4"/>
    <s v="VALIDATED"/>
    <n v="1"/>
    <s v="01.11.80.308.6100.0000"/>
    <n v="1911"/>
    <s v="11"/>
    <s v="6100"/>
    <n v="7141.99"/>
    <n v="1911"/>
    <s v="CREDITOR"/>
    <n v="0"/>
    <n v="0"/>
    <n v="0"/>
    <n v="0"/>
    <n v="1911"/>
  </r>
  <r>
    <n v="59877261"/>
    <s v="N"/>
    <n v="21330995"/>
    <s v="3000014236210014"/>
    <s v="CIVIL"/>
    <d v="2023-06-26T00:00:00"/>
    <d v="2023-07-05T19:01:47"/>
    <m/>
    <d v="2023-07-05T00:00:00"/>
    <n v="1303"/>
    <n v="20851"/>
    <s v="59877261"/>
    <s v="59877261"/>
    <m/>
    <m/>
    <n v="22758072"/>
    <m/>
    <m/>
    <m/>
    <s v="SOLFIN"/>
    <s v="SOLFIN"/>
    <s v="CCMS"/>
    <n v="21330995"/>
    <n v="8211.620000000001"/>
    <m/>
    <s v="N"/>
    <n v="54"/>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28"/>
    <d v="2023-07-05T19:02:01"/>
    <s v="Y"/>
    <s v="Preparation - other"/>
    <s v="Prescribed Hourly Rates"/>
    <s v="Profit Cost"/>
    <s v="KK"/>
    <s v="Y"/>
    <n v="16.47"/>
    <n v="3.29"/>
    <x v="6"/>
    <s v="VALIDATED"/>
    <n v="1"/>
    <s v="01.11.80.307.6100.0000"/>
    <n v="16.47"/>
    <s v="11"/>
    <s v="6100"/>
    <n v="7141.99"/>
    <n v="16.47"/>
    <s v="CREDITOR"/>
    <n v="0"/>
    <n v="0"/>
    <n v="0"/>
    <n v="0"/>
    <n v="16.47"/>
  </r>
  <r>
    <n v="59877261"/>
    <s v="N"/>
    <n v="21330995"/>
    <s v="3000014236210014"/>
    <s v="CIVIL"/>
    <d v="2023-06-26T00:00:00"/>
    <d v="2023-07-05T19:01:47"/>
    <m/>
    <d v="2023-07-05T00:00:00"/>
    <n v="1303"/>
    <n v="20851"/>
    <s v="59877261"/>
    <s v="59877261"/>
    <m/>
    <m/>
    <n v="22758072"/>
    <m/>
    <m/>
    <m/>
    <s v="SOLFIN"/>
    <s v="SOLFIN"/>
    <s v="CCMS"/>
    <n v="21330995"/>
    <n v="8211.620000000001"/>
    <m/>
    <s v="N"/>
    <n v="58"/>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77"/>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84"/>
    <d v="2023-07-05T19:02:01"/>
    <s v="Y"/>
    <s v="Preparation - drafting statement"/>
    <s v="Prescribed Hourly Rates"/>
    <s v="Profit Cost"/>
    <s v="KK"/>
    <s v="Y"/>
    <n v="21.96"/>
    <n v="4.39"/>
    <x v="6"/>
    <s v="VALIDATED"/>
    <n v="1"/>
    <s v="01.11.80.307.6100.0000"/>
    <n v="21.96"/>
    <s v="11"/>
    <s v="6100"/>
    <n v="7141.99"/>
    <n v="21.96"/>
    <s v="CREDITOR"/>
    <n v="0"/>
    <n v="0"/>
    <n v="0"/>
    <n v="0"/>
    <n v="21.96"/>
  </r>
  <r>
    <n v="59877261"/>
    <s v="N"/>
    <n v="21330995"/>
    <s v="3000014236210014"/>
    <s v="CIVIL"/>
    <d v="2023-06-26T00:00:00"/>
    <d v="2023-07-05T19:01:47"/>
    <m/>
    <d v="2023-07-05T00:00:00"/>
    <n v="1303"/>
    <n v="20851"/>
    <s v="59877261"/>
    <s v="59877261"/>
    <m/>
    <m/>
    <n v="22758072"/>
    <m/>
    <m/>
    <m/>
    <s v="SOLFIN"/>
    <s v="SOLFIN"/>
    <s v="CCMS"/>
    <n v="21330995"/>
    <n v="8211.620000000001"/>
    <m/>
    <s v="N"/>
    <n v="106"/>
    <d v="2023-07-05T19:02:01"/>
    <s v="Y"/>
    <s v="Routine Letter Out"/>
    <s v="Prescribed Hourly Rates"/>
    <s v="Profit Cost"/>
    <s v="KK"/>
    <s v="Y"/>
    <n v="1274.4"/>
    <n v="254.85"/>
    <x v="6"/>
    <s v="VALIDATED"/>
    <n v="1"/>
    <s v="01.11.80.307.6100.0000"/>
    <n v="1274.4"/>
    <s v="11"/>
    <s v="6100"/>
    <n v="7141.99"/>
    <n v="1274.4"/>
    <s v="CREDITOR"/>
    <n v="0"/>
    <n v="0"/>
    <n v="0"/>
    <n v="0"/>
    <n v="1274.4"/>
  </r>
  <r>
    <n v="59877261"/>
    <s v="N"/>
    <n v="21330995"/>
    <s v="3000014236210014"/>
    <s v="CIVIL"/>
    <d v="2023-06-26T00:00:00"/>
    <d v="2023-07-05T19:01:47"/>
    <m/>
    <d v="2023-07-05T00:00:00"/>
    <n v="1303"/>
    <n v="20851"/>
    <s v="59877261"/>
    <s v="59877261"/>
    <m/>
    <m/>
    <n v="22758072"/>
    <m/>
    <m/>
    <m/>
    <s v="SOLFIN"/>
    <s v="SOLFIN"/>
    <s v="CCMS"/>
    <n v="21330995"/>
    <n v="8211.620000000001"/>
    <m/>
    <s v="N"/>
    <n v="57"/>
    <d v="2023-07-05T19:02:01"/>
    <s v="Y"/>
    <s v="Preparation - other"/>
    <s v="Prescribed Hourly Rates"/>
    <s v="Profit Cost"/>
    <s v="KK"/>
    <s v="Y"/>
    <n v="32.94"/>
    <n v="6.59"/>
    <x v="6"/>
    <s v="VALIDATED"/>
    <n v="1"/>
    <s v="01.11.80.307.6100.0000"/>
    <n v="32.94"/>
    <s v="11"/>
    <s v="6100"/>
    <n v="7141.99"/>
    <n v="32.94"/>
    <s v="CREDITOR"/>
    <n v="0"/>
    <n v="0"/>
    <n v="0"/>
    <n v="0"/>
    <n v="32.94"/>
  </r>
  <r>
    <n v="59877261"/>
    <s v="N"/>
    <n v="21330995"/>
    <s v="3000014236210014"/>
    <s v="CIVIL"/>
    <d v="2023-06-26T00:00:00"/>
    <d v="2023-07-05T19:01:47"/>
    <m/>
    <d v="2023-07-05T00:00:00"/>
    <n v="1303"/>
    <n v="20851"/>
    <s v="59877261"/>
    <s v="59877261"/>
    <m/>
    <m/>
    <n v="22758072"/>
    <m/>
    <m/>
    <m/>
    <s v="SOLFIN"/>
    <s v="SOLFIN"/>
    <s v="CCMS"/>
    <n v="21330995"/>
    <n v="8211.620000000001"/>
    <m/>
    <s v="N"/>
    <n v="41"/>
    <d v="2023-07-05T19:02:01"/>
    <s v="Y"/>
    <s v="Preparation - other"/>
    <s v="Prescribed Hourly Rates"/>
    <s v="Profit Cost"/>
    <s v="KK"/>
    <s v="Y"/>
    <n v="60.39"/>
    <n v="12.08"/>
    <x v="6"/>
    <s v="VALIDATED"/>
    <n v="1"/>
    <s v="01.11.80.307.6100.0000"/>
    <n v="60.39"/>
    <s v="11"/>
    <s v="6100"/>
    <n v="7141.99"/>
    <n v="60.39"/>
    <s v="CREDITOR"/>
    <n v="0"/>
    <n v="0"/>
    <n v="0"/>
    <n v="0"/>
    <n v="60.39"/>
  </r>
  <r>
    <n v="59877261"/>
    <s v="N"/>
    <n v="21330995"/>
    <s v="3000014236210014"/>
    <s v="CIVIL"/>
    <d v="2023-06-26T00:00:00"/>
    <d v="2023-07-05T19:01:47"/>
    <m/>
    <d v="2023-07-05T00:00:00"/>
    <n v="1303"/>
    <n v="20851"/>
    <s v="59877261"/>
    <s v="59877261"/>
    <m/>
    <m/>
    <n v="22758072"/>
    <m/>
    <m/>
    <m/>
    <s v="SOLFIN"/>
    <s v="SOLFIN"/>
    <s v="CCMS"/>
    <n v="21330995"/>
    <n v="8211.620000000001"/>
    <m/>
    <s v="N"/>
    <n v="23"/>
    <d v="2023-07-05T19:02:01"/>
    <s v="Y"/>
    <s v="Preparation - drafting attendance n"/>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50"/>
    <d v="2023-07-05T19:02:01"/>
    <s v="Y"/>
    <s v="Preparation - drafting attendance n"/>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98"/>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20"/>
    <d v="2023-07-05T19:02:01"/>
    <s v="Y"/>
    <s v="Preparation - drafting statement"/>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43"/>
    <d v="2023-07-05T19:02:01"/>
    <s v="Y"/>
    <s v="Preparation - other"/>
    <s v="Prescribed Hourly Rates"/>
    <s v="Profit Cost"/>
    <s v="KK"/>
    <s v="Y"/>
    <n v="32.94"/>
    <n v="6.59"/>
    <x v="6"/>
    <s v="VALIDATED"/>
    <n v="1"/>
    <s v="01.11.80.307.6100.0000"/>
    <n v="32.94"/>
    <s v="11"/>
    <s v="6100"/>
    <n v="7141.99"/>
    <n v="32.94"/>
    <s v="CREDITOR"/>
    <n v="0"/>
    <n v="0"/>
    <n v="0"/>
    <n v="0"/>
    <n v="32.94"/>
  </r>
  <r>
    <n v="59877261"/>
    <s v="N"/>
    <n v="21330995"/>
    <s v="3000014236210014"/>
    <s v="CIVIL"/>
    <d v="2023-06-26T00:00:00"/>
    <d v="2023-07-05T19:01:47"/>
    <m/>
    <d v="2023-07-05T00:00:00"/>
    <n v="1303"/>
    <n v="20851"/>
    <s v="59877261"/>
    <s v="59877261"/>
    <m/>
    <m/>
    <n v="22758072"/>
    <m/>
    <m/>
    <m/>
    <s v="SOLFIN"/>
    <s v="SOLFIN"/>
    <s v="CCMS"/>
    <n v="21330995"/>
    <n v="8211.620000000001"/>
    <m/>
    <s v="N"/>
    <n v="56"/>
    <d v="2023-07-05T19:02:01"/>
    <s v="Y"/>
    <s v="Preparation - other"/>
    <s v="Prescribed Hourly Rates"/>
    <s v="Profit Cost"/>
    <s v="KK"/>
    <s v="Y"/>
    <n v="27.45"/>
    <n v="5.49"/>
    <x v="6"/>
    <s v="VALIDATED"/>
    <n v="1"/>
    <s v="01.11.80.307.6100.0000"/>
    <n v="27.45"/>
    <s v="11"/>
    <s v="6100"/>
    <n v="7141.99"/>
    <n v="27.45"/>
    <s v="CREDITOR"/>
    <n v="0"/>
    <n v="0"/>
    <n v="0"/>
    <n v="0"/>
    <n v="27.45"/>
  </r>
  <r>
    <n v="59877261"/>
    <s v="N"/>
    <n v="21330995"/>
    <s v="3000014236210014"/>
    <s v="CIVIL"/>
    <d v="2023-06-26T00:00:00"/>
    <d v="2023-07-05T19:01:47"/>
    <m/>
    <d v="2023-07-05T00:00:00"/>
    <n v="1303"/>
    <n v="20851"/>
    <s v="59877261"/>
    <s v="59877261"/>
    <m/>
    <m/>
    <n v="22758072"/>
    <m/>
    <m/>
    <m/>
    <s v="SOLFIN"/>
    <s v="SOLFIN"/>
    <s v="CCMS"/>
    <n v="21330995"/>
    <n v="8211.620000000001"/>
    <m/>
    <s v="N"/>
    <n v="32"/>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39"/>
    <d v="2023-07-05T19:02:01"/>
    <s v="Y"/>
    <s v="Preparation - drafting attendance n"/>
    <s v="Prescribed Hourly Rates"/>
    <s v="Profit Cost"/>
    <s v="KK"/>
    <s v="Y"/>
    <n v="5.49"/>
    <n v="1.1"/>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103"/>
    <d v="2023-07-05T19:02:01"/>
    <s v="Y"/>
    <s v="Preparation - drafting pleadings"/>
    <s v="Prescribed Hourly Rates"/>
    <s v="Profit Cost"/>
    <s v="KK"/>
    <s v="Y"/>
    <n v="54.9"/>
    <n v="10.98"/>
    <x v="6"/>
    <s v="VALIDATED"/>
    <n v="1"/>
    <s v="01.11.80.307.6100.0000"/>
    <n v="54.9"/>
    <s v="11"/>
    <s v="6100"/>
    <n v="7141.99"/>
    <n v="54.9"/>
    <s v="CREDITOR"/>
    <n v="0"/>
    <n v="0"/>
    <n v="0"/>
    <n v="0"/>
    <n v="54.9"/>
  </r>
  <r>
    <n v="59877261"/>
    <s v="N"/>
    <n v="21330995"/>
    <s v="3000014236210014"/>
    <s v="CIVIL"/>
    <d v="2023-06-26T00:00:00"/>
    <d v="2023-07-05T19:01:47"/>
    <m/>
    <d v="2023-07-05T00:00:00"/>
    <n v="1303"/>
    <n v="20851"/>
    <s v="59877261"/>
    <s v="59877261"/>
    <m/>
    <m/>
    <n v="22758072"/>
    <m/>
    <m/>
    <m/>
    <s v="SOLFIN"/>
    <s v="SOLFIN"/>
    <s v="CCMS"/>
    <n v="21330995"/>
    <n v="8211.620000000001"/>
    <m/>
    <s v="N"/>
    <n v="18"/>
    <d v="2023-07-05T19:02:01"/>
    <s v="Y"/>
    <s v="Preparation - other"/>
    <s v="Prescribed Hourly Rates"/>
    <s v="Profit Cost"/>
    <s v="KK"/>
    <s v="Y"/>
    <n v="10.98"/>
    <n v="2.2"/>
    <x v="6"/>
    <s v="VALIDATED"/>
    <n v="1"/>
    <s v="01.11.80.307.6100.0000"/>
    <n v="10.98"/>
    <s v="11"/>
    <s v="6100"/>
    <n v="7141.99"/>
    <n v="10.98"/>
    <s v="CREDITOR"/>
    <n v="0"/>
    <n v="0"/>
    <n v="0"/>
    <n v="0"/>
    <n v="10.98"/>
  </r>
  <r>
    <n v="59877261"/>
    <s v="N"/>
    <n v="21330995"/>
    <s v="3000014236210014"/>
    <s v="CIVIL"/>
    <d v="2023-06-26T00:00:00"/>
    <d v="2023-07-05T19:01:47"/>
    <m/>
    <d v="2023-07-05T00:00:00"/>
    <n v="1303"/>
    <n v="20851"/>
    <s v="59877261"/>
    <s v="59877261"/>
    <m/>
    <m/>
    <n v="22758072"/>
    <m/>
    <m/>
    <m/>
    <s v="SOLFIN"/>
    <s v="SOLFIN"/>
    <s v="CCMS"/>
    <n v="21330995"/>
    <n v="8211.620000000001"/>
    <m/>
    <s v="N"/>
    <n v="102"/>
    <d v="2023-07-05T19:02:01"/>
    <s v="Y"/>
    <s v="Preparation - drafting pleadings"/>
    <s v="Prescribed Hourly Rates"/>
    <s v="Profit Cost"/>
    <s v="OTH"/>
    <s v="Y"/>
    <n v="367.83"/>
    <n v="73.56999999999999"/>
    <x v="6"/>
    <s v="VALIDATED"/>
    <n v="1"/>
    <s v="01.11.80.307.6100.0000"/>
    <n v="367.83"/>
    <s v="11"/>
    <s v="6100"/>
    <n v="7141.99"/>
    <n v="367.83"/>
    <s v="CREDITOR"/>
    <n v="0"/>
    <n v="0"/>
    <n v="0"/>
    <n v="0"/>
    <n v="367.83"/>
  </r>
  <r>
    <n v="59877261"/>
    <s v="N"/>
    <n v="21330995"/>
    <s v="3000014236210014"/>
    <s v="CIVIL"/>
    <d v="2023-06-26T00:00:00"/>
    <d v="2023-07-05T19:01:47"/>
    <m/>
    <d v="2023-07-05T00:00:00"/>
    <n v="1303"/>
    <n v="20851"/>
    <s v="59877261"/>
    <s v="59877261"/>
    <m/>
    <m/>
    <n v="22758072"/>
    <m/>
    <m/>
    <m/>
    <s v="SOLFIN"/>
    <s v="SOLFIN"/>
    <s v="CCMS"/>
    <n v="21330995"/>
    <n v="8211.620000000001"/>
    <m/>
    <s v="N"/>
    <n v="79"/>
    <d v="2023-07-05T19:02:01"/>
    <s v="Y"/>
    <s v="Preparation - other"/>
    <s v="Prescribed Hourly Rates"/>
    <s v="Profit Cost"/>
    <s v="KK"/>
    <s v="Y"/>
    <n v="10.98"/>
    <n v="2.2"/>
    <x v="6"/>
    <s v="VALIDATED"/>
    <n v="1"/>
    <s v="01.11.80.307.6100.0000"/>
    <n v="10.98"/>
    <s v="11"/>
    <s v="6100"/>
    <n v="7141.99"/>
    <n v="10.98"/>
    <s v="CREDITOR"/>
    <n v="0"/>
    <n v="0"/>
    <n v="0"/>
    <n v="0"/>
    <n v="10.98"/>
  </r>
  <r>
    <n v="62002371"/>
    <s v="N"/>
    <n v="21323350"/>
    <s v="3000015993320003"/>
    <s v="CIVIL"/>
    <d v="2023-06-30T00:00:00"/>
    <d v="2023-07-03T19:05:56"/>
    <m/>
    <d v="2023-07-03T00:00:00"/>
    <n v="1304"/>
    <n v="20851"/>
    <s v="62002371"/>
    <s v="62002371"/>
    <m/>
    <m/>
    <n v="22800746"/>
    <m/>
    <m/>
    <m/>
    <s v="SOLPOA"/>
    <s v="SOLPOA"/>
    <s v="CCMS"/>
    <n v="21323350"/>
    <n v="963.1"/>
    <m/>
    <s v="N"/>
    <n v="1"/>
    <d v="2023-07-03T19:05:56"/>
    <s v="N"/>
    <s v="Solicitors Fixed Fee"/>
    <s v="Public Law Children"/>
    <s v="Profit Cost"/>
    <s v="KK"/>
    <s v="N"/>
    <n v="802.58"/>
    <n v="160.52"/>
    <x v="3"/>
    <s v="VALIDATED"/>
    <n v="1"/>
    <s v="01.11.80.305.2012.0000"/>
    <n v="802.58"/>
    <s v="11"/>
    <s v="2012"/>
    <n v="802.58"/>
    <n v="802.58"/>
    <s v="CREDITOR"/>
    <n v="802.58"/>
    <n v="200.645"/>
    <n v="0"/>
    <n v="0"/>
    <n v="0"/>
  </r>
  <r>
    <n v="60809176"/>
    <s v="N"/>
    <n v="21338518"/>
    <s v="3000015043490012"/>
    <s v="CIVIL"/>
    <d v="2023-06-27T00:00:00"/>
    <d v="2023-07-06T19:21:01"/>
    <m/>
    <d v="2023-07-06T00:00:00"/>
    <n v="1305"/>
    <n v="14703"/>
    <s v="60809176"/>
    <s v="60809176"/>
    <m/>
    <m/>
    <n v="22774766"/>
    <m/>
    <m/>
    <m/>
    <s v="SOLFIN"/>
    <s v="SOLFIN"/>
    <s v="CCMS"/>
    <n v="21338518"/>
    <n v="5823.67"/>
    <m/>
    <s v="N"/>
    <n v="9"/>
    <d v="2023-07-06T19:21:27"/>
    <s v="Y"/>
    <s v="Solicitor Travel Expenses"/>
    <s v="Public Law Children"/>
    <s v="Non Expert Disbursement"/>
    <s v="MH"/>
    <s v="Y"/>
    <n v="15.8"/>
    <n v="0"/>
    <x v="4"/>
    <s v="VALIDATED"/>
    <n v="1"/>
    <s v="01.11.80.308.6300.0000"/>
    <n v="15.8"/>
    <s v="11"/>
    <s v="6300"/>
    <n v="4649.02"/>
    <n v="15.8"/>
    <s v="CREDITOR"/>
    <n v="0"/>
    <n v="0"/>
    <n v="0"/>
    <n v="0"/>
    <n v="15.8"/>
  </r>
  <r>
    <n v="60338024"/>
    <s v="N"/>
    <n v="21318464"/>
    <s v="3000014635590001"/>
    <s v="CIVIL"/>
    <d v="2023-06-26T00:00:00"/>
    <d v="2023-07-03T19:01:49"/>
    <m/>
    <d v="2023-07-03T00:00:00"/>
    <n v="1305"/>
    <n v="14703"/>
    <s v="60338024"/>
    <s v="60338024"/>
    <m/>
    <m/>
    <n v="22757260"/>
    <m/>
    <m/>
    <m/>
    <s v="SOLFIN"/>
    <s v="SOLFIN"/>
    <s v="CCMS"/>
    <n v="21318464"/>
    <n v="1001.77"/>
    <m/>
    <s v="N"/>
    <n v="8"/>
    <d v="2023-07-03T19:01:56"/>
    <s v="Y"/>
    <s v="Preparation - other"/>
    <s v="Care Remuneration Hourly Rates"/>
    <s v="Profit Cost"/>
    <s v="LEE"/>
    <s v="Y"/>
    <n v="11.68"/>
    <n v="2.34"/>
    <x v="3"/>
    <s v="VALIDATED"/>
    <n v="1"/>
    <s v="01.11.80.308.6100.0000"/>
    <n v="11.68"/>
    <s v="11"/>
    <s v="6100"/>
    <n v="4649.02"/>
    <n v="11.68"/>
    <s v="CREDITOR"/>
    <n v="0"/>
    <n v="0"/>
    <n v="0"/>
    <n v="0"/>
    <n v="11.68"/>
  </r>
  <r>
    <n v="60112369"/>
    <s v="N"/>
    <n v="21343604"/>
    <s v="3000014442820005"/>
    <s v="CIVIL"/>
    <d v="2023-06-30T00:00:00"/>
    <d v="2023-07-07T19:03:00"/>
    <m/>
    <d v="2023-07-07T00:00:00"/>
    <n v="1305"/>
    <n v="14703"/>
    <s v="60112369"/>
    <s v="60112369"/>
    <m/>
    <m/>
    <n v="22794942"/>
    <m/>
    <m/>
    <m/>
    <s v="SOLPOA"/>
    <s v="SOLPOA"/>
    <s v="CCMS"/>
    <n v="21343604"/>
    <n v="96.94"/>
    <m/>
    <s v="N"/>
    <n v="1"/>
    <d v="2023-07-07T19:03:11"/>
    <s v="N"/>
    <s v="Non Expert Disbursement"/>
    <s v="Non Expert Disbursement"/>
    <s v="Non Expert Disbursement"/>
    <s v="Sarah Miller"/>
    <s v="N"/>
    <n v="96.94"/>
    <n v="0"/>
    <x v="9"/>
    <s v="VALIDATED"/>
    <n v="1"/>
    <s v="01.11.80.308.2012.0000"/>
    <n v="96.94"/>
    <s v="11"/>
    <s v="2012"/>
    <n v="4649.02"/>
    <n v="96.94"/>
    <s v="CREDITOR"/>
    <n v="96.94"/>
    <n v="0"/>
    <n v="0"/>
    <n v="0"/>
    <n v="0"/>
  </r>
  <r>
    <n v="61697103"/>
    <s v="N"/>
    <n v="21343671"/>
    <s v="3000015790610007"/>
    <s v="CIVIL"/>
    <d v="2023-06-30T00:00:00"/>
    <d v="2023-07-07T19:03:00"/>
    <m/>
    <d v="2023-07-07T00:00:00"/>
    <n v="1305"/>
    <n v="14703"/>
    <s v="61697103"/>
    <s v="61697103"/>
    <m/>
    <m/>
    <n v="22796718"/>
    <m/>
    <m/>
    <m/>
    <s v="SOLPOA"/>
    <s v="SOLPOA"/>
    <s v="CCMS"/>
    <n v="21343671"/>
    <n v="167"/>
    <m/>
    <s v="N"/>
    <n v="1"/>
    <d v="2023-07-07T19:03:12"/>
    <s v="N"/>
    <s v="Non Expert Disbursement"/>
    <s v="Non Expert Disbursement"/>
    <s v="Non Expert Disbursement"/>
    <s v="Georgina Howe"/>
    <s v="N"/>
    <n v="167"/>
    <n v="0"/>
    <x v="9"/>
    <s v="VALIDATED"/>
    <n v="1"/>
    <s v="01.11.80.308.2012.0000"/>
    <n v="167"/>
    <s v="11"/>
    <s v="2012"/>
    <n v="4649.02"/>
    <n v="167"/>
    <s v="CREDITOR"/>
    <n v="167"/>
    <n v="0"/>
    <n v="0"/>
    <n v="0"/>
    <n v="0"/>
  </r>
  <r>
    <n v="60809176"/>
    <s v="N"/>
    <n v="21338518"/>
    <s v="3000015043490012"/>
    <s v="CIVIL"/>
    <d v="2023-06-27T00:00:00"/>
    <d v="2023-07-06T19:21:01"/>
    <m/>
    <d v="2023-07-06T00:00:00"/>
    <n v="1305"/>
    <n v="14703"/>
    <s v="60809176"/>
    <s v="60809176"/>
    <m/>
    <m/>
    <n v="22774766"/>
    <m/>
    <m/>
    <m/>
    <s v="SOLFIN"/>
    <s v="SOLFIN"/>
    <s v="CCMS"/>
    <n v="21338518"/>
    <n v="5823.67"/>
    <m/>
    <s v="N"/>
    <n v="1"/>
    <d v="2023-07-06T19:21:27"/>
    <s v="Y"/>
    <s v="Toxicologist"/>
    <s v="Public Law Children"/>
    <s v="Expert Disbursement"/>
    <s v="GH"/>
    <s v="Y"/>
    <n v="115"/>
    <n v="23"/>
    <x v="4"/>
    <s v="VALIDATED"/>
    <n v="1"/>
    <s v="01.11.80.308.6300.0000"/>
    <n v="115"/>
    <s v="11"/>
    <s v="6300"/>
    <n v="4649.02"/>
    <n v="115"/>
    <s v="CREDITOR"/>
    <n v="0"/>
    <n v="0"/>
    <n v="0"/>
    <n v="0"/>
    <n v="115"/>
  </r>
  <r>
    <n v="60809176"/>
    <s v="N"/>
    <n v="21338518"/>
    <s v="3000015043490012"/>
    <s v="CIVIL"/>
    <d v="2023-06-27T00:00:00"/>
    <d v="2023-07-06T19:21:01"/>
    <m/>
    <d v="2023-07-06T00:00:00"/>
    <n v="1305"/>
    <n v="14703"/>
    <s v="60809176"/>
    <s v="60809176"/>
    <m/>
    <m/>
    <n v="22774766"/>
    <m/>
    <m/>
    <m/>
    <s v="SOLFIN"/>
    <s v="SOLFIN"/>
    <s v="CCMS"/>
    <n v="21338518"/>
    <n v="5823.67"/>
    <m/>
    <s v="N"/>
    <n v="5"/>
    <d v="2023-07-06T19:21:27"/>
    <s v="Y"/>
    <s v="Toxicologist"/>
    <s v="Public Law Children"/>
    <s v="Expert Disbursement"/>
    <s v="GH"/>
    <s v="Y"/>
    <n v="90.01000000000001"/>
    <n v="18"/>
    <x v="4"/>
    <s v="VALIDATED"/>
    <n v="1"/>
    <s v="01.11.80.308.6300.0000"/>
    <n v="90.01000000000001"/>
    <s v="11"/>
    <s v="6300"/>
    <n v="4649.02"/>
    <n v="90.01000000000001"/>
    <s v="CREDITOR"/>
    <n v="0"/>
    <n v="0"/>
    <n v="0"/>
    <n v="0"/>
    <n v="90.01000000000001"/>
  </r>
  <r>
    <n v="60809176"/>
    <s v="N"/>
    <n v="21338518"/>
    <s v="3000015043490012"/>
    <s v="CIVIL"/>
    <d v="2023-06-27T00:00:00"/>
    <d v="2023-07-06T19:21:01"/>
    <m/>
    <d v="2023-07-06T00:00:00"/>
    <n v="1305"/>
    <n v="14703"/>
    <s v="60809176"/>
    <s v="60809176"/>
    <m/>
    <m/>
    <n v="22774766"/>
    <m/>
    <m/>
    <m/>
    <s v="SOLFIN"/>
    <s v="SOLFIN"/>
    <s v="CCMS"/>
    <n v="21338518"/>
    <n v="5823.67"/>
    <m/>
    <s v="N"/>
    <n v="2"/>
    <d v="2023-07-06T19:21:27"/>
    <s v="Y"/>
    <s v="Toxicologist"/>
    <s v="Public Law Children"/>
    <s v="Expert Disbursement"/>
    <s v="GH"/>
    <s v="Y"/>
    <n v="223"/>
    <n v="44.6"/>
    <x v="4"/>
    <s v="VALIDATED"/>
    <n v="1"/>
    <s v="01.11.80.308.6300.0000"/>
    <n v="223"/>
    <s v="11"/>
    <s v="6300"/>
    <n v="4649.02"/>
    <n v="223"/>
    <s v="CREDITOR"/>
    <n v="0"/>
    <n v="0"/>
    <n v="0"/>
    <n v="0"/>
    <n v="223"/>
  </r>
  <r>
    <n v="61953973"/>
    <s v="N"/>
    <n v="21320600"/>
    <s v="3000016002840004"/>
    <s v="CIVIL"/>
    <d v="2023-06-28T00:00:00"/>
    <d v="2023-07-03T19:04:52"/>
    <m/>
    <d v="2023-07-03T00:00:00"/>
    <n v="1305"/>
    <n v="14703"/>
    <s v="61953973"/>
    <s v="61953973"/>
    <m/>
    <m/>
    <n v="22782304"/>
    <m/>
    <m/>
    <m/>
    <s v="SOLPOA"/>
    <s v="SOLPOA"/>
    <s v="CCMS"/>
    <n v="21320600"/>
    <n v="360.36"/>
    <m/>
    <s v="N"/>
    <n v="1"/>
    <d v="2023-07-03T19:04:55"/>
    <s v="N"/>
    <s v="Non Expert Disbursement"/>
    <s v="Non Expert Disbursement"/>
    <s v="Non Expert Disbursement"/>
    <s v="Georgina Howe"/>
    <s v="N"/>
    <n v="300.3"/>
    <n v="60.06"/>
    <x v="3"/>
    <s v="VALIDATED"/>
    <n v="1"/>
    <s v="01.11.80.308.2012.0000"/>
    <n v="300.3"/>
    <s v="11"/>
    <s v="2012"/>
    <n v="4649.02"/>
    <n v="300.3"/>
    <s v="CREDITOR"/>
    <n v="300.3"/>
    <n v="0"/>
    <n v="0"/>
    <n v="0"/>
    <n v="0"/>
  </r>
  <r>
    <n v="60809176"/>
    <s v="N"/>
    <n v="21338518"/>
    <s v="3000015043490012"/>
    <s v="CIVIL"/>
    <d v="2023-06-27T00:00:00"/>
    <d v="2023-07-06T19:21:01"/>
    <m/>
    <d v="2023-07-06T00:00:00"/>
    <n v="1305"/>
    <n v="14703"/>
    <s v="60809176"/>
    <s v="60809176"/>
    <m/>
    <m/>
    <n v="22774766"/>
    <m/>
    <m/>
    <m/>
    <s v="SOLFIN"/>
    <s v="SOLFIN"/>
    <s v="CCMS"/>
    <n v="21338518"/>
    <n v="5823.67"/>
    <m/>
    <s v="N"/>
    <n v="14"/>
    <d v="2023-07-06T19:21:27"/>
    <s v="Y"/>
    <s v="Final Hearing - 1 Day"/>
    <s v="Public Law Children"/>
    <s v="Advocacy"/>
    <s v="SLM"/>
    <s v="Y"/>
    <n v="556.88"/>
    <n v="111.37"/>
    <x v="4"/>
    <s v="VALIDATED"/>
    <n v="1"/>
    <s v="01.11.80.308.6100.0000"/>
    <n v="556.88"/>
    <s v="11"/>
    <s v="6100"/>
    <n v="4649.02"/>
    <n v="556.88"/>
    <s v="CREDITOR"/>
    <n v="0"/>
    <n v="0"/>
    <n v="0"/>
    <n v="0"/>
    <n v="556.88"/>
  </r>
  <r>
    <n v="60809176"/>
    <s v="N"/>
    <n v="21338518"/>
    <s v="3000015043490012"/>
    <s v="CIVIL"/>
    <d v="2023-06-27T00:00:00"/>
    <d v="2023-07-06T19:21:01"/>
    <m/>
    <d v="2023-07-06T00:00:00"/>
    <n v="1305"/>
    <n v="14703"/>
    <s v="60809176"/>
    <s v="60809176"/>
    <m/>
    <m/>
    <n v="22774766"/>
    <m/>
    <m/>
    <m/>
    <s v="SOLFIN"/>
    <s v="SOLFIN"/>
    <s v="CCMS"/>
    <n v="21338518"/>
    <n v="5823.67"/>
    <m/>
    <s v="N"/>
    <n v="13"/>
    <d v="2023-07-06T19:21:27"/>
    <s v="Y"/>
    <s v="Advocates Meeting"/>
    <s v="Public Law Children"/>
    <s v="Advocacy"/>
    <s v="GH"/>
    <s v="Y"/>
    <n v="140.99"/>
    <n v="28.2"/>
    <x v="4"/>
    <s v="VALIDATED"/>
    <n v="1"/>
    <s v="01.11.80.308.6100.0000"/>
    <n v="140.99"/>
    <s v="11"/>
    <s v="6100"/>
    <n v="4649.02"/>
    <n v="140.99"/>
    <s v="CREDITOR"/>
    <n v="0"/>
    <n v="0"/>
    <n v="0"/>
    <n v="0"/>
    <n v="140.99"/>
  </r>
  <r>
    <n v="60809176"/>
    <s v="N"/>
    <n v="21338518"/>
    <s v="3000015043490012"/>
    <s v="CIVIL"/>
    <d v="2023-06-27T00:00:00"/>
    <d v="2023-07-06T19:21:01"/>
    <m/>
    <d v="2023-07-06T00:00:00"/>
    <n v="1305"/>
    <n v="14703"/>
    <s v="60809176"/>
    <s v="60809176"/>
    <m/>
    <m/>
    <n v="22774766"/>
    <m/>
    <m/>
    <m/>
    <s v="SOLFIN"/>
    <s v="SOLFIN"/>
    <s v="CCMS"/>
    <n v="21338518"/>
    <n v="5823.67"/>
    <m/>
    <s v="N"/>
    <n v="7"/>
    <d v="2023-07-06T19:21:27"/>
    <s v="Y"/>
    <s v="Solicitor Travel Expenses"/>
    <s v="Public Law Children"/>
    <s v="Non Expert Disbursement"/>
    <s v="SM"/>
    <s v="Y"/>
    <n v="6.9"/>
    <n v="0"/>
    <x v="4"/>
    <s v="VALIDATED"/>
    <n v="1"/>
    <s v="01.11.80.308.6300.0000"/>
    <n v="6.9"/>
    <s v="11"/>
    <s v="6300"/>
    <n v="4649.02"/>
    <n v="6.9"/>
    <s v="CREDITOR"/>
    <n v="0"/>
    <n v="0"/>
    <n v="0"/>
    <n v="0"/>
    <n v="6.9"/>
  </r>
  <r>
    <n v="61880307"/>
    <s v="N"/>
    <n v="21343379"/>
    <s v="3000015942290003"/>
    <s v="CIVIL"/>
    <d v="2023-06-26T00:00:00"/>
    <d v="2023-07-07T19:03:00"/>
    <m/>
    <d v="2023-07-07T00:00:00"/>
    <n v="1305"/>
    <n v="14703"/>
    <s v="61880307"/>
    <s v="61880307"/>
    <m/>
    <m/>
    <n v="22762898"/>
    <m/>
    <m/>
    <m/>
    <s v="SOLPOA"/>
    <s v="SOLPOA"/>
    <s v="CCMS"/>
    <n v="21343379"/>
    <n v="167"/>
    <m/>
    <s v="N"/>
    <n v="1"/>
    <d v="2023-07-07T19:03:08"/>
    <s v="N"/>
    <s v="Non Expert Disbursement"/>
    <s v="Non Expert Disbursement"/>
    <s v="Non Expert Disbursement"/>
    <s v="Sarah Miller"/>
    <s v="N"/>
    <n v="167"/>
    <n v="0"/>
    <x v="9"/>
    <s v="VALIDATED"/>
    <n v="1"/>
    <s v="01.11.80.308.2012.0000"/>
    <n v="167"/>
    <s v="11"/>
    <s v="2012"/>
    <n v="4649.02"/>
    <n v="167"/>
    <s v="CREDITOR"/>
    <n v="167"/>
    <n v="0"/>
    <n v="0"/>
    <n v="0"/>
    <n v="0"/>
  </r>
  <r>
    <n v="62126071"/>
    <s v="N"/>
    <n v="21319742"/>
    <s v="3000016149020004"/>
    <s v="CIVIL"/>
    <d v="2023-06-28T00:00:00"/>
    <d v="2023-07-03T19:04:24"/>
    <m/>
    <d v="2023-07-03T00:00:00"/>
    <n v="1305"/>
    <n v="14703"/>
    <s v="62126071"/>
    <s v="62126071"/>
    <m/>
    <m/>
    <n v="22776110"/>
    <m/>
    <m/>
    <m/>
    <s v="SOLPOA"/>
    <s v="SOLPOA"/>
    <s v="CCMS"/>
    <n v="21319742"/>
    <n v="405.84"/>
    <m/>
    <s v="N"/>
    <n v="1"/>
    <d v="2023-07-03T19:04:27"/>
    <s v="N"/>
    <s v="Expert Cost"/>
    <s v="Expert Cost"/>
    <s v="Expert Disbursement"/>
    <s v="Lucy Eatough"/>
    <s v="N"/>
    <n v="338.2"/>
    <n v="67.64"/>
    <x v="3"/>
    <s v="VALIDATED"/>
    <n v="1"/>
    <s v="01.11.80.308.2012.0000"/>
    <n v="338.2"/>
    <s v="11"/>
    <s v="2012"/>
    <n v="4649.02"/>
    <n v="338.2"/>
    <s v="CREDITOR"/>
    <n v="338.2"/>
    <n v="0"/>
    <n v="0"/>
    <n v="0"/>
    <n v="0"/>
  </r>
  <r>
    <n v="61647575"/>
    <s v="N"/>
    <n v="21343511"/>
    <s v="3000015749050001"/>
    <s v="CIVIL"/>
    <d v="2023-06-30T00:00:00"/>
    <d v="2023-07-07T19:03:00"/>
    <m/>
    <d v="2023-07-07T00:00:00"/>
    <n v="1305"/>
    <n v="14703"/>
    <s v="61647575"/>
    <s v="61647575"/>
    <m/>
    <m/>
    <n v="22796806"/>
    <m/>
    <m/>
    <m/>
    <s v="SOLPOA"/>
    <s v="SOLPOA"/>
    <s v="CCMS"/>
    <n v="21343511"/>
    <n v="167"/>
    <m/>
    <s v="N"/>
    <n v="1"/>
    <d v="2023-07-07T19:03:10"/>
    <s v="N"/>
    <s v="Non Expert Disbursement"/>
    <s v="Non Expert Disbursement"/>
    <s v="Non Expert Disbursement"/>
    <s v="Sarah Miller"/>
    <s v="N"/>
    <n v="167"/>
    <n v="0"/>
    <x v="9"/>
    <s v="VALIDATED"/>
    <n v="1"/>
    <s v="01.11.80.305.2012.0000"/>
    <n v="167"/>
    <s v="11"/>
    <s v="2012"/>
    <n v="4649.02"/>
    <n v="167"/>
    <s v="CREDITOR"/>
    <n v="167"/>
    <n v="0"/>
    <n v="0"/>
    <n v="0"/>
    <n v="0"/>
  </r>
  <r>
    <n v="60809176"/>
    <s v="N"/>
    <n v="21338518"/>
    <s v="3000015043490012"/>
    <s v="CIVIL"/>
    <d v="2023-06-27T00:00:00"/>
    <d v="2023-07-06T19:21:01"/>
    <m/>
    <d v="2023-07-06T00:00:00"/>
    <n v="1305"/>
    <n v="14703"/>
    <s v="60809176"/>
    <s v="60809176"/>
    <m/>
    <m/>
    <n v="22774766"/>
    <m/>
    <m/>
    <m/>
    <s v="SOLFIN"/>
    <s v="SOLFIN"/>
    <s v="CCMS"/>
    <n v="21338518"/>
    <n v="5823.67"/>
    <m/>
    <s v="N"/>
    <n v="15"/>
    <d v="2023-07-06T19:21:27"/>
    <s v="Y"/>
    <s v="Advocates Meeting"/>
    <s v="Public Law Children"/>
    <s v="Advocacy"/>
    <s v="MAH"/>
    <s v="Y"/>
    <n v="140.99"/>
    <n v="28.2"/>
    <x v="4"/>
    <s v="VALIDATED"/>
    <n v="1"/>
    <s v="01.11.80.308.6100.0000"/>
    <n v="140.99"/>
    <s v="11"/>
    <s v="6100"/>
    <n v="4649.02"/>
    <n v="140.99"/>
    <s v="CREDITOR"/>
    <n v="0"/>
    <n v="0"/>
    <n v="0"/>
    <n v="0"/>
    <n v="140.99"/>
  </r>
  <r>
    <n v="60686328"/>
    <s v="N"/>
    <n v="21324108"/>
    <s v="3000014935040003"/>
    <s v="CIVIL"/>
    <d v="2023-06-30T00:00:00"/>
    <d v="2023-07-03T19:05:56"/>
    <m/>
    <d v="2023-07-03T00:00:00"/>
    <n v="1305"/>
    <n v="14703"/>
    <s v="60686328"/>
    <s v="60686328"/>
    <m/>
    <m/>
    <n v="22794586"/>
    <m/>
    <m/>
    <m/>
    <s v="SOLPOA"/>
    <s v="SOLPOA"/>
    <s v="CCMS"/>
    <n v="21324108"/>
    <n v="199.33"/>
    <m/>
    <s v="N"/>
    <n v="1"/>
    <d v="2023-07-03T19:06:00"/>
    <s v="N"/>
    <s v="Non Expert Disbursement"/>
    <s v="Non Expert Disbursement"/>
    <s v="Non Expert Disbursement"/>
    <s v="Sarah Miller"/>
    <s v="N"/>
    <n v="166.11"/>
    <n v="33.22"/>
    <x v="3"/>
    <s v="VALIDATED"/>
    <n v="1"/>
    <s v="01.11.80.308.2012.0000"/>
    <n v="166.11"/>
    <s v="11"/>
    <s v="2012"/>
    <n v="4649.02"/>
    <n v="166.11"/>
    <s v="CREDITOR"/>
    <n v="166.11"/>
    <n v="0"/>
    <n v="0"/>
    <n v="0"/>
    <n v="0"/>
  </r>
  <r>
    <n v="62422755"/>
    <s v="N"/>
    <n v="21320817"/>
    <s v="3000016393060002"/>
    <s v="CIVIL"/>
    <d v="2023-06-28T00:00:00"/>
    <d v="2023-07-03T19:04:52"/>
    <m/>
    <d v="2023-07-03T00:00:00"/>
    <n v="1305"/>
    <n v="14703"/>
    <s v="62422755"/>
    <s v="62422755"/>
    <m/>
    <m/>
    <n v="22781062"/>
    <m/>
    <m/>
    <m/>
    <s v="SOLPOA"/>
    <s v="SOLPOA"/>
    <s v="CCMS"/>
    <n v="21320817"/>
    <n v="150.96"/>
    <m/>
    <s v="N"/>
    <n v="1"/>
    <d v="2023-07-03T19:04:56"/>
    <s v="N"/>
    <s v="Non Expert Disbursement"/>
    <s v="Non Expert Disbursement"/>
    <s v="Non Expert Disbursement"/>
    <s v="Georgina Howe"/>
    <s v="N"/>
    <n v="125.8"/>
    <n v="25.16"/>
    <x v="3"/>
    <s v="VALIDATED"/>
    <n v="1"/>
    <s v="01.11.80.308.2012.0000"/>
    <n v="125.8"/>
    <s v="11"/>
    <s v="2012"/>
    <n v="4649.02"/>
    <n v="125.8"/>
    <s v="CREDITOR"/>
    <n v="125.8"/>
    <n v="0"/>
    <n v="0"/>
    <n v="0"/>
    <n v="0"/>
  </r>
  <r>
    <n v="60338024"/>
    <s v="N"/>
    <n v="21318464"/>
    <s v="3000014635590001"/>
    <s v="CIVIL"/>
    <d v="2023-06-26T00:00:00"/>
    <d v="2023-07-03T19:01:49"/>
    <m/>
    <d v="2023-07-03T00:00:00"/>
    <n v="1305"/>
    <n v="14703"/>
    <s v="60338024"/>
    <s v="60338024"/>
    <m/>
    <m/>
    <n v="22757260"/>
    <m/>
    <m/>
    <m/>
    <s v="SOLFIN"/>
    <s v="SOLFIN"/>
    <s v="CCMS"/>
    <n v="21318464"/>
    <n v="1001.77"/>
    <m/>
    <s v="N"/>
    <n v="9"/>
    <d v="2023-07-03T19:01:56"/>
    <s v="Y"/>
    <s v="Preparation - other"/>
    <s v="Care Remuneration Hourly Rates"/>
    <s v="Profit Cost"/>
    <s v="LEE"/>
    <s v="Y"/>
    <n v="29.21"/>
    <n v="5.84"/>
    <x v="3"/>
    <s v="VALIDATED"/>
    <n v="1"/>
    <s v="01.11.80.308.6100.0000"/>
    <n v="29.21"/>
    <s v="11"/>
    <s v="6100"/>
    <n v="4649.02"/>
    <n v="29.21"/>
    <s v="CREDITOR"/>
    <n v="0"/>
    <n v="0"/>
    <n v="0"/>
    <n v="0"/>
    <n v="29.21"/>
  </r>
  <r>
    <n v="60338024"/>
    <s v="N"/>
    <n v="21318464"/>
    <s v="3000014635590001"/>
    <s v="CIVIL"/>
    <d v="2023-06-26T00:00:00"/>
    <d v="2023-07-03T19:01:49"/>
    <m/>
    <d v="2023-07-03T00:00:00"/>
    <n v="1305"/>
    <n v="14703"/>
    <s v="60338024"/>
    <s v="60338024"/>
    <m/>
    <m/>
    <n v="22757260"/>
    <m/>
    <m/>
    <m/>
    <s v="SOLFIN"/>
    <s v="SOLFIN"/>
    <s v="CCMS"/>
    <n v="21318464"/>
    <n v="1001.77"/>
    <m/>
    <s v="N"/>
    <n v="2"/>
    <d v="2023-07-03T19:01:56"/>
    <s v="Y"/>
    <s v="Preparation - drafting bill/claim f"/>
    <s v="Care Remuneration Hourly Rates"/>
    <s v="Profit Cost"/>
    <s v="MAH"/>
    <s v="Y"/>
    <n v="23.36"/>
    <n v="4.67"/>
    <x v="3"/>
    <s v="VALIDATED"/>
    <n v="1"/>
    <s v="01.11.80.308.6100.0000"/>
    <n v="23.36"/>
    <s v="11"/>
    <s v="6100"/>
    <n v="4649.02"/>
    <n v="23.36"/>
    <s v="CREDITOR"/>
    <n v="0"/>
    <n v="0"/>
    <n v="0"/>
    <n v="0"/>
    <n v="23.36"/>
  </r>
  <r>
    <n v="60338024"/>
    <s v="N"/>
    <n v="21318464"/>
    <s v="3000014635590001"/>
    <s v="CIVIL"/>
    <d v="2023-06-26T00:00:00"/>
    <d v="2023-07-03T19:01:49"/>
    <m/>
    <d v="2023-07-03T00:00:00"/>
    <n v="1305"/>
    <n v="14703"/>
    <s v="60338024"/>
    <s v="60338024"/>
    <m/>
    <m/>
    <n v="22757260"/>
    <m/>
    <m/>
    <m/>
    <s v="SOLFIN"/>
    <s v="SOLFIN"/>
    <s v="CCMS"/>
    <n v="21318464"/>
    <n v="1001.77"/>
    <m/>
    <s v="N"/>
    <n v="11"/>
    <d v="2023-07-03T19:01:56"/>
    <s v="Y"/>
    <s v="Preparation - other"/>
    <s v="Care Remuneration Hourly Rates"/>
    <s v="Profit Cost"/>
    <s v="LEE"/>
    <s v="Y"/>
    <n v="11.68"/>
    <n v="2.34"/>
    <x v="3"/>
    <s v="VALIDATED"/>
    <n v="1"/>
    <s v="01.11.80.308.6100.0000"/>
    <n v="11.68"/>
    <s v="11"/>
    <s v="6100"/>
    <n v="4649.02"/>
    <n v="11.68"/>
    <s v="CREDITOR"/>
    <n v="0"/>
    <n v="0"/>
    <n v="0"/>
    <n v="0"/>
    <n v="11.68"/>
  </r>
  <r>
    <n v="60338024"/>
    <s v="N"/>
    <n v="21318464"/>
    <s v="3000014635590001"/>
    <s v="CIVIL"/>
    <d v="2023-06-26T00:00:00"/>
    <d v="2023-07-03T19:01:49"/>
    <m/>
    <d v="2023-07-03T00:00:00"/>
    <n v="1305"/>
    <n v="14703"/>
    <s v="60338024"/>
    <s v="60338024"/>
    <m/>
    <m/>
    <n v="22757260"/>
    <m/>
    <m/>
    <m/>
    <s v="SOLFIN"/>
    <s v="SOLFIN"/>
    <s v="CCMS"/>
    <n v="21318464"/>
    <n v="1001.77"/>
    <m/>
    <s v="N"/>
    <n v="5"/>
    <d v="2023-07-03T19:01:56"/>
    <s v="Y"/>
    <s v="Routine Letter In"/>
    <s v="Care Remuneration Hourly Rates"/>
    <s v="Profit Cost"/>
    <s v="LEE"/>
    <s v="Y"/>
    <n v="51.8"/>
    <n v="10.36"/>
    <x v="3"/>
    <s v="VALIDATED"/>
    <n v="1"/>
    <s v="01.11.80.308.6100.0000"/>
    <n v="51.8"/>
    <s v="11"/>
    <s v="6100"/>
    <n v="4649.02"/>
    <n v="51.8"/>
    <s v="CREDITOR"/>
    <n v="0"/>
    <n v="0"/>
    <n v="0"/>
    <n v="0"/>
    <n v="51.8"/>
  </r>
  <r>
    <n v="60338024"/>
    <s v="N"/>
    <n v="21318464"/>
    <s v="3000014635590001"/>
    <s v="CIVIL"/>
    <d v="2023-06-26T00:00:00"/>
    <d v="2023-07-03T19:01:49"/>
    <m/>
    <d v="2023-07-03T00:00:00"/>
    <n v="1305"/>
    <n v="14703"/>
    <s v="60338024"/>
    <s v="60338024"/>
    <m/>
    <m/>
    <n v="22757260"/>
    <m/>
    <m/>
    <m/>
    <s v="SOLFIN"/>
    <s v="SOLFIN"/>
    <s v="CCMS"/>
    <n v="21318464"/>
    <n v="1001.77"/>
    <m/>
    <s v="N"/>
    <n v="12"/>
    <d v="2023-07-03T19:01:56"/>
    <s v="Y"/>
    <s v="Hearing Unit 5.01 - 7.30 Hours"/>
    <s v="Other Public Law Children"/>
    <s v="Advocacy"/>
    <s v="LEE"/>
    <s v="Y"/>
    <n v="625.59"/>
    <n v="125.12"/>
    <x v="3"/>
    <s v="VALIDATED"/>
    <n v="1"/>
    <s v="01.11.80.308.6100.0000"/>
    <n v="625.59"/>
    <s v="11"/>
    <s v="6100"/>
    <n v="4649.02"/>
    <n v="625.59"/>
    <s v="CREDITOR"/>
    <n v="0"/>
    <n v="0"/>
    <n v="0"/>
    <n v="0"/>
    <n v="625.59"/>
  </r>
  <r>
    <n v="60809176"/>
    <s v="N"/>
    <n v="21338518"/>
    <s v="3000015043490012"/>
    <s v="CIVIL"/>
    <d v="2023-06-27T00:00:00"/>
    <d v="2023-07-06T19:21:01"/>
    <m/>
    <d v="2023-07-06T00:00:00"/>
    <n v="1305"/>
    <n v="14703"/>
    <s v="60809176"/>
    <s v="60809176"/>
    <m/>
    <m/>
    <n v="22774766"/>
    <m/>
    <m/>
    <m/>
    <s v="SOLFIN"/>
    <s v="SOLFIN"/>
    <s v="CCMS"/>
    <n v="21338518"/>
    <n v="5823.67"/>
    <m/>
    <s v="N"/>
    <n v="12"/>
    <d v="2023-07-06T19:21:27"/>
    <s v="Y"/>
    <s v="Hearing Unit 2.31 - 5.00 Hours"/>
    <s v="Public Law Children"/>
    <s v="Advocacy"/>
    <s v="MAH"/>
    <s v="Y"/>
    <n v="476.92"/>
    <n v="95.38"/>
    <x v="4"/>
    <s v="VALIDATED"/>
    <n v="1"/>
    <s v="01.11.80.308.6100.0000"/>
    <n v="476.92"/>
    <s v="11"/>
    <s v="6100"/>
    <n v="4649.02"/>
    <n v="476.92"/>
    <s v="CREDITOR"/>
    <n v="0"/>
    <n v="0"/>
    <n v="0"/>
    <n v="0"/>
    <n v="476.92"/>
  </r>
  <r>
    <n v="60809176"/>
    <s v="N"/>
    <n v="21338518"/>
    <s v="3000015043490012"/>
    <s v="CIVIL"/>
    <d v="2023-06-27T00:00:00"/>
    <d v="2023-07-06T19:21:01"/>
    <m/>
    <d v="2023-07-06T00:00:00"/>
    <n v="1305"/>
    <n v="14703"/>
    <s v="60809176"/>
    <s v="60809176"/>
    <m/>
    <m/>
    <n v="22774766"/>
    <m/>
    <m/>
    <m/>
    <s v="SOLFIN"/>
    <s v="SOLFIN"/>
    <s v="CCMS"/>
    <n v="21338518"/>
    <n v="5823.67"/>
    <m/>
    <s v="N"/>
    <n v="8"/>
    <d v="2023-07-06T19:21:27"/>
    <s v="Y"/>
    <s v="Toxicologist"/>
    <s v="Public Law Children"/>
    <s v="Expert Disbursement"/>
    <s v="GH"/>
    <s v="Y"/>
    <n v="136.67"/>
    <n v="27.33"/>
    <x v="4"/>
    <s v="VALIDATED"/>
    <n v="1"/>
    <s v="01.11.80.308.6300.0000"/>
    <n v="136.67"/>
    <s v="11"/>
    <s v="6300"/>
    <n v="4649.02"/>
    <n v="136.67"/>
    <s v="CREDITOR"/>
    <n v="0"/>
    <n v="0"/>
    <n v="0"/>
    <n v="0"/>
    <n v="136.67"/>
  </r>
  <r>
    <n v="60338024"/>
    <s v="N"/>
    <n v="21318464"/>
    <s v="3000014635590001"/>
    <s v="CIVIL"/>
    <d v="2023-06-26T00:00:00"/>
    <d v="2023-07-03T19:01:49"/>
    <m/>
    <d v="2023-07-03T00:00:00"/>
    <n v="1305"/>
    <n v="14703"/>
    <s v="60338024"/>
    <s v="60338024"/>
    <m/>
    <m/>
    <n v="22757260"/>
    <m/>
    <m/>
    <m/>
    <s v="SOLFIN"/>
    <s v="SOLFIN"/>
    <s v="CCMS"/>
    <n v="21318464"/>
    <n v="1001.77"/>
    <m/>
    <s v="N"/>
    <n v="7"/>
    <d v="2023-07-03T19:01:56"/>
    <s v="Y"/>
    <s v="Attendance upon other side"/>
    <s v="Care Remuneration Hourly Rates"/>
    <s v="Profit Cost"/>
    <s v="LEE"/>
    <s v="Y"/>
    <n v="11.68"/>
    <n v="2.34"/>
    <x v="3"/>
    <s v="VALIDATED"/>
    <n v="1"/>
    <s v="01.11.80.308.6100.0000"/>
    <n v="11.68"/>
    <s v="11"/>
    <s v="6100"/>
    <n v="4649.02"/>
    <n v="11.68"/>
    <s v="CREDITOR"/>
    <n v="0"/>
    <n v="0"/>
    <n v="0"/>
    <n v="0"/>
    <n v="11.68"/>
  </r>
  <r>
    <n v="60338024"/>
    <s v="N"/>
    <n v="21318464"/>
    <s v="3000014635590001"/>
    <s v="CIVIL"/>
    <d v="2023-06-26T00:00:00"/>
    <d v="2023-07-03T19:01:49"/>
    <m/>
    <d v="2023-07-03T00:00:00"/>
    <n v="1305"/>
    <n v="14703"/>
    <s v="60338024"/>
    <s v="60338024"/>
    <m/>
    <m/>
    <n v="22757260"/>
    <m/>
    <m/>
    <m/>
    <s v="SOLFIN"/>
    <s v="SOLFIN"/>
    <s v="CCMS"/>
    <n v="21318464"/>
    <n v="1001.77"/>
    <m/>
    <s v="N"/>
    <n v="1"/>
    <d v="2023-07-03T19:01:56"/>
    <s v="Y"/>
    <s v="Preparation - other"/>
    <s v="Care Remuneration Hourly Rates"/>
    <s v="Profit Cost"/>
    <s v="LEE"/>
    <s v="Y"/>
    <n v="11.68"/>
    <n v="2.34"/>
    <x v="3"/>
    <s v="VALIDATED"/>
    <n v="1"/>
    <s v="01.11.80.308.6100.0000"/>
    <n v="11.68"/>
    <s v="11"/>
    <s v="6100"/>
    <n v="4649.02"/>
    <n v="11.68"/>
    <s v="CREDITOR"/>
    <n v="0"/>
    <n v="0"/>
    <n v="0"/>
    <n v="0"/>
    <n v="11.68"/>
  </r>
  <r>
    <n v="60338024"/>
    <s v="N"/>
    <n v="21318464"/>
    <s v="3000014635590001"/>
    <s v="CIVIL"/>
    <d v="2023-06-26T00:00:00"/>
    <d v="2023-07-03T19:01:49"/>
    <m/>
    <d v="2023-07-03T00:00:00"/>
    <n v="1305"/>
    <n v="14703"/>
    <s v="60338024"/>
    <s v="60338024"/>
    <m/>
    <m/>
    <n v="22757260"/>
    <m/>
    <m/>
    <m/>
    <s v="SOLFIN"/>
    <s v="SOLFIN"/>
    <s v="CCMS"/>
    <n v="21318464"/>
    <n v="1001.77"/>
    <m/>
    <s v="N"/>
    <n v="4"/>
    <d v="2023-07-03T19:01:56"/>
    <s v="Y"/>
    <s v="Routine Letter Out"/>
    <s v="Care Remuneration Hourly Rates"/>
    <s v="Profit Cost"/>
    <s v="LEE"/>
    <s v="Y"/>
    <n v="33.21"/>
    <n v="6.64"/>
    <x v="3"/>
    <s v="VALIDATED"/>
    <n v="1"/>
    <s v="01.11.80.308.6100.0000"/>
    <n v="33.21"/>
    <s v="11"/>
    <s v="6100"/>
    <n v="4649.02"/>
    <n v="33.21"/>
    <s v="CREDITOR"/>
    <n v="0"/>
    <n v="0"/>
    <n v="0"/>
    <n v="0"/>
    <n v="33.21"/>
  </r>
  <r>
    <n v="60338024"/>
    <s v="N"/>
    <n v="21318464"/>
    <s v="3000014635590001"/>
    <s v="CIVIL"/>
    <d v="2023-06-26T00:00:00"/>
    <d v="2023-07-03T19:01:49"/>
    <m/>
    <d v="2023-07-03T00:00:00"/>
    <n v="1305"/>
    <n v="14703"/>
    <s v="60338024"/>
    <s v="60338024"/>
    <m/>
    <m/>
    <n v="22757260"/>
    <m/>
    <m/>
    <m/>
    <s v="SOLFIN"/>
    <s v="SOLFIN"/>
    <s v="CCMS"/>
    <n v="21318464"/>
    <n v="1001.77"/>
    <m/>
    <s v="N"/>
    <n v="10"/>
    <d v="2023-07-03T19:01:56"/>
    <s v="Y"/>
    <s v="Preparation - drafting notice(s)"/>
    <s v="Care Remuneration Hourly Rates"/>
    <s v="Profit Cost"/>
    <s v="LEE"/>
    <s v="Y"/>
    <n v="5.84"/>
    <n v="1.17"/>
    <x v="3"/>
    <s v="VALIDATED"/>
    <n v="1"/>
    <s v="01.11.80.308.6100.0000"/>
    <n v="5.84"/>
    <s v="11"/>
    <s v="6100"/>
    <n v="4649.02"/>
    <n v="5.84"/>
    <s v="CREDITOR"/>
    <n v="0"/>
    <n v="0"/>
    <n v="0"/>
    <n v="0"/>
    <n v="5.84"/>
  </r>
  <r>
    <n v="60809176"/>
    <s v="N"/>
    <n v="21338518"/>
    <s v="3000015043490012"/>
    <s v="CIVIL"/>
    <d v="2023-06-27T00:00:00"/>
    <d v="2023-07-06T19:21:01"/>
    <m/>
    <d v="2023-07-06T00:00:00"/>
    <n v="1305"/>
    <n v="14703"/>
    <s v="60809176"/>
    <s v="60809176"/>
    <m/>
    <m/>
    <n v="22774766"/>
    <m/>
    <m/>
    <m/>
    <s v="SOLFIN"/>
    <s v="SOLFIN"/>
    <s v="CCMS"/>
    <n v="21338518"/>
    <n v="5823.67"/>
    <m/>
    <s v="N"/>
    <n v="6"/>
    <d v="2023-07-06T19:21:27"/>
    <s v="Y"/>
    <s v="Toxicologist"/>
    <s v="Public Law Children"/>
    <s v="Expert Disbursement"/>
    <s v="GH"/>
    <s v="Y"/>
    <n v="156.67"/>
    <n v="31.33"/>
    <x v="4"/>
    <s v="VALIDATED"/>
    <n v="1"/>
    <s v="01.11.80.308.6300.0000"/>
    <n v="156.67"/>
    <s v="11"/>
    <s v="6300"/>
    <n v="4649.02"/>
    <n v="156.67"/>
    <s v="CREDITOR"/>
    <n v="0"/>
    <n v="0"/>
    <n v="0"/>
    <n v="0"/>
    <n v="156.67"/>
  </r>
  <r>
    <n v="60809176"/>
    <s v="N"/>
    <n v="21338518"/>
    <s v="3000015043490012"/>
    <s v="CIVIL"/>
    <d v="2023-06-27T00:00:00"/>
    <d v="2023-07-06T19:21:01"/>
    <m/>
    <d v="2023-07-06T00:00:00"/>
    <n v="1305"/>
    <n v="14703"/>
    <s v="60809176"/>
    <s v="60809176"/>
    <m/>
    <m/>
    <n v="22774766"/>
    <m/>
    <m/>
    <m/>
    <s v="SOLFIN"/>
    <s v="SOLFIN"/>
    <s v="CCMS"/>
    <n v="21338518"/>
    <n v="5823.67"/>
    <m/>
    <s v="N"/>
    <n v="3"/>
    <d v="2023-07-06T19:21:27"/>
    <s v="Y"/>
    <s v="Toxicologist"/>
    <s v="Public Law Children"/>
    <s v="Expert Disbursement"/>
    <s v="GH"/>
    <s v="Y"/>
    <n v="254.67"/>
    <n v="50.93"/>
    <x v="4"/>
    <s v="VALIDATED"/>
    <n v="1"/>
    <s v="01.11.80.308.6300.0000"/>
    <n v="254.67"/>
    <s v="11"/>
    <s v="6300"/>
    <n v="4649.02"/>
    <n v="254.67"/>
    <s v="CREDITOR"/>
    <n v="0"/>
    <n v="0"/>
    <n v="0"/>
    <n v="0"/>
    <n v="254.67"/>
  </r>
  <r>
    <n v="60809176"/>
    <s v="N"/>
    <n v="21338518"/>
    <s v="3000015043490012"/>
    <s v="CIVIL"/>
    <d v="2023-06-27T00:00:00"/>
    <d v="2023-07-06T19:21:01"/>
    <m/>
    <d v="2023-07-06T00:00:00"/>
    <n v="1305"/>
    <n v="14703"/>
    <s v="60809176"/>
    <s v="60809176"/>
    <m/>
    <m/>
    <n v="22774766"/>
    <m/>
    <m/>
    <m/>
    <s v="SOLFIN"/>
    <s v="SOLFIN"/>
    <s v="CCMS"/>
    <n v="21338518"/>
    <n v="5823.67"/>
    <m/>
    <s v="N"/>
    <n v="11"/>
    <d v="2023-07-06T19:21:27"/>
    <s v="Y"/>
    <s v="Toxicologist"/>
    <s v="Public Law Children"/>
    <s v="Expert Disbursement"/>
    <s v="GH"/>
    <s v="Y"/>
    <n v="188.34"/>
    <n v="37.67"/>
    <x v="4"/>
    <s v="VALIDATED"/>
    <n v="1"/>
    <s v="01.11.80.308.6300.0000"/>
    <n v="188.34"/>
    <s v="11"/>
    <s v="6300"/>
    <n v="4649.02"/>
    <n v="188.34"/>
    <s v="CREDITOR"/>
    <n v="0"/>
    <n v="0"/>
    <n v="0"/>
    <n v="0"/>
    <n v="188.34"/>
  </r>
  <r>
    <n v="61581675"/>
    <s v="N"/>
    <n v="21322162"/>
    <s v="3000015692960012"/>
    <s v="CIVIL"/>
    <d v="2023-06-29T00:00:00"/>
    <d v="2023-07-03T19:05:17"/>
    <m/>
    <d v="2023-07-03T00:00:00"/>
    <n v="1305"/>
    <n v="14703"/>
    <s v="61581675"/>
    <s v="61581675"/>
    <m/>
    <m/>
    <n v="22787162"/>
    <m/>
    <m/>
    <m/>
    <s v="SOLPOA"/>
    <s v="SOLPOA"/>
    <s v="CCMS"/>
    <n v="21322162"/>
    <n v="167"/>
    <m/>
    <s v="N"/>
    <n v="1"/>
    <d v="2023-07-03T19:05:22"/>
    <s v="N"/>
    <s v="Non Expert Disbursement"/>
    <s v="Non Expert Disbursement"/>
    <s v="Non Expert Disbursement"/>
    <s v="Lucy Eatough"/>
    <s v="N"/>
    <n v="167"/>
    <n v="0"/>
    <x v="3"/>
    <s v="VALIDATED"/>
    <n v="1"/>
    <s v="01.11.80.308.2012.0000"/>
    <n v="167"/>
    <s v="11"/>
    <s v="2012"/>
    <n v="4649.02"/>
    <n v="167"/>
    <s v="CREDITOR"/>
    <n v="167"/>
    <n v="0"/>
    <n v="0"/>
    <n v="0"/>
    <n v="0"/>
  </r>
  <r>
    <n v="62095109"/>
    <s v="N"/>
    <n v="21343545"/>
    <s v="3000016122220005"/>
    <s v="CIVIL"/>
    <d v="2023-06-26T00:00:00"/>
    <d v="2023-07-07T19:03:00"/>
    <m/>
    <d v="2023-07-07T00:00:00"/>
    <n v="1305"/>
    <n v="14703"/>
    <s v="62095109"/>
    <s v="62095109"/>
    <m/>
    <m/>
    <n v="22762944"/>
    <m/>
    <m/>
    <m/>
    <s v="SOLPOA"/>
    <s v="SOLPOA"/>
    <s v="CCMS"/>
    <n v="21343545"/>
    <n v="167"/>
    <m/>
    <s v="N"/>
    <n v="1"/>
    <d v="2023-07-07T19:03:10"/>
    <s v="N"/>
    <s v="Non Expert Disbursement"/>
    <s v="Non Expert Disbursement"/>
    <s v="Non Expert Disbursement"/>
    <s v="Sarah Miller"/>
    <s v="N"/>
    <n v="167"/>
    <n v="0"/>
    <x v="9"/>
    <s v="VALIDATED"/>
    <n v="1"/>
    <s v="01.11.80.308.2012.0000"/>
    <n v="167"/>
    <s v="11"/>
    <s v="2012"/>
    <n v="4649.02"/>
    <n v="167"/>
    <s v="CREDITOR"/>
    <n v="167"/>
    <n v="0"/>
    <n v="0"/>
    <n v="0"/>
    <n v="0"/>
  </r>
  <r>
    <n v="60809176"/>
    <s v="N"/>
    <n v="21338518"/>
    <s v="3000015043490012"/>
    <s v="CIVIL"/>
    <d v="2023-06-27T00:00:00"/>
    <d v="2023-07-06T19:21:01"/>
    <m/>
    <d v="2023-07-06T00:00:00"/>
    <n v="1305"/>
    <n v="14703"/>
    <s v="60809176"/>
    <s v="60809176"/>
    <m/>
    <m/>
    <n v="22774766"/>
    <m/>
    <m/>
    <m/>
    <s v="SOLFIN"/>
    <s v="SOLFIN"/>
    <s v="CCMS"/>
    <n v="21338518"/>
    <n v="5823.67"/>
    <m/>
    <s v="N"/>
    <n v="4"/>
    <d v="2023-07-06T19:21:27"/>
    <s v="Y"/>
    <s v="Toxicologist"/>
    <s v="Public Law Children"/>
    <s v="Expert Disbursement"/>
    <s v="GH"/>
    <s v="Y"/>
    <n v="254.67"/>
    <n v="50.93"/>
    <x v="4"/>
    <s v="VALIDATED"/>
    <n v="1"/>
    <s v="01.11.80.308.6300.0000"/>
    <n v="254.67"/>
    <s v="11"/>
    <s v="6300"/>
    <n v="4649.02"/>
    <n v="254.67"/>
    <s v="CREDITOR"/>
    <n v="0"/>
    <n v="0"/>
    <n v="0"/>
    <n v="0"/>
    <n v="254.67"/>
  </r>
  <r>
    <n v="61900887"/>
    <s v="N"/>
    <n v="21343795"/>
    <s v="3000015954370007"/>
    <s v="CIVIL"/>
    <d v="2023-06-30T00:00:00"/>
    <d v="2023-07-07T19:03:00"/>
    <m/>
    <d v="2023-07-07T00:00:00"/>
    <n v="1305"/>
    <n v="14703"/>
    <s v="61900887"/>
    <s v="61900887"/>
    <m/>
    <m/>
    <n v="22796750"/>
    <m/>
    <m/>
    <m/>
    <s v="SOLPOA"/>
    <s v="SOLPOA"/>
    <s v="CCMS"/>
    <n v="21343795"/>
    <n v="167"/>
    <m/>
    <s v="N"/>
    <n v="1"/>
    <d v="2023-07-07T19:03:13"/>
    <s v="N"/>
    <s v="Non Expert Disbursement - Private L"/>
    <s v="Non Expert Disbursement - Priv"/>
    <s v="Non Expert Disbursement"/>
    <s v="Georgina Howe"/>
    <s v="N"/>
    <n v="167"/>
    <n v="0"/>
    <x v="9"/>
    <s v="VALIDATED"/>
    <n v="1"/>
    <s v="01.11.80.307.2012.0000"/>
    <n v="167"/>
    <s v="11"/>
    <s v="2012"/>
    <n v="4649.02"/>
    <n v="167"/>
    <s v="CREDITOR"/>
    <n v="167"/>
    <n v="0"/>
    <n v="0"/>
    <n v="0"/>
    <n v="0"/>
  </r>
  <r>
    <n v="60338024"/>
    <s v="N"/>
    <n v="21318464"/>
    <s v="3000014635590001"/>
    <s v="CIVIL"/>
    <d v="2023-06-26T00:00:00"/>
    <d v="2023-07-03T19:01:49"/>
    <m/>
    <d v="2023-07-03T00:00:00"/>
    <n v="1305"/>
    <n v="14703"/>
    <s v="60338024"/>
    <s v="60338024"/>
    <m/>
    <m/>
    <n v="22757260"/>
    <m/>
    <m/>
    <m/>
    <s v="SOLFIN"/>
    <s v="SOLFIN"/>
    <s v="CCMS"/>
    <n v="21318464"/>
    <n v="1001.77"/>
    <m/>
    <s v="N"/>
    <n v="6"/>
    <d v="2023-07-03T19:01:56"/>
    <s v="Y"/>
    <s v="Attendance upon client"/>
    <s v="Care Remuneration Hourly Rates"/>
    <s v="Profit Cost"/>
    <s v="LEE"/>
    <s v="Y"/>
    <n v="11.68"/>
    <n v="2.34"/>
    <x v="3"/>
    <s v="VALIDATED"/>
    <n v="1"/>
    <s v="01.11.80.308.6100.0000"/>
    <n v="11.68"/>
    <s v="11"/>
    <s v="6100"/>
    <n v="4649.02"/>
    <n v="11.68"/>
    <s v="CREDITOR"/>
    <n v="0"/>
    <n v="0"/>
    <n v="0"/>
    <n v="0"/>
    <n v="11.68"/>
  </r>
  <r>
    <n v="60809176"/>
    <s v="N"/>
    <n v="21338518"/>
    <s v="3000015043490012"/>
    <s v="CIVIL"/>
    <d v="2023-06-27T00:00:00"/>
    <d v="2023-07-06T19:21:01"/>
    <m/>
    <d v="2023-07-06T00:00:00"/>
    <n v="1305"/>
    <n v="14703"/>
    <s v="60809176"/>
    <s v="60809176"/>
    <m/>
    <m/>
    <n v="22774766"/>
    <m/>
    <m/>
    <m/>
    <s v="SOLFIN"/>
    <s v="SOLFIN"/>
    <s v="CCMS"/>
    <n v="21338518"/>
    <n v="5823.67"/>
    <m/>
    <s v="N"/>
    <n v="10"/>
    <d v="2023-07-06T19:21:27"/>
    <s v="Y"/>
    <s v="Toxicologist"/>
    <s v="Public Law Children"/>
    <s v="Expert Disbursement"/>
    <s v="GH"/>
    <s v="Y"/>
    <n v="188.34"/>
    <n v="37.67"/>
    <x v="4"/>
    <s v="VALIDATED"/>
    <n v="1"/>
    <s v="01.11.80.308.6300.0000"/>
    <n v="188.34"/>
    <s v="11"/>
    <s v="6300"/>
    <n v="4649.02"/>
    <n v="188.34"/>
    <s v="CREDITOR"/>
    <n v="0"/>
    <n v="0"/>
    <n v="0"/>
    <n v="0"/>
    <n v="188.34"/>
  </r>
  <r>
    <n v="60338024"/>
    <s v="N"/>
    <n v="21318464"/>
    <s v="3000014635590001"/>
    <s v="CIVIL"/>
    <d v="2023-06-26T00:00:00"/>
    <d v="2023-07-03T19:01:49"/>
    <m/>
    <d v="2023-07-03T00:00:00"/>
    <n v="1305"/>
    <n v="14703"/>
    <s v="60338024"/>
    <s v="60338024"/>
    <m/>
    <m/>
    <n v="22757260"/>
    <m/>
    <m/>
    <m/>
    <s v="SOLFIN"/>
    <s v="SOLFIN"/>
    <s v="CCMS"/>
    <n v="21318464"/>
    <n v="1001.77"/>
    <m/>
    <s v="N"/>
    <n v="3"/>
    <d v="2023-07-03T19:01:56"/>
    <s v="Y"/>
    <s v="Routine Telephone Call"/>
    <s v="Care Remuneration Hourly Rates"/>
    <s v="Profit Cost"/>
    <s v="LEE"/>
    <s v="Y"/>
    <n v="7.38"/>
    <n v="1.48"/>
    <x v="3"/>
    <s v="VALIDATED"/>
    <n v="1"/>
    <s v="01.11.80.308.6100.0000"/>
    <n v="7.38"/>
    <s v="11"/>
    <s v="6100"/>
    <n v="4649.02"/>
    <n v="7.38"/>
    <s v="CREDITOR"/>
    <n v="0"/>
    <n v="0"/>
    <n v="0"/>
    <n v="0"/>
    <n v="7.38"/>
  </r>
  <r>
    <n v="60809176"/>
    <s v="N"/>
    <n v="21338518"/>
    <s v="3000015043490012"/>
    <s v="CIVIL"/>
    <d v="2023-06-27T00:00:00"/>
    <d v="2023-07-06T19:21:01"/>
    <m/>
    <d v="2023-07-06T00:00:00"/>
    <n v="1305"/>
    <n v="14703"/>
    <s v="60809176"/>
    <s v="60809176"/>
    <m/>
    <m/>
    <n v="22774766"/>
    <m/>
    <m/>
    <m/>
    <s v="SOLFIN"/>
    <s v="SOLFIN"/>
    <s v="CCMS"/>
    <n v="21338518"/>
    <n v="5823.67"/>
    <m/>
    <s v="N"/>
    <n v="16"/>
    <d v="2023-07-06T19:21:27"/>
    <s v="Y"/>
    <s v="Solicitors Fixed Fee"/>
    <s v="Public Law Children"/>
    <s v="Profit Cost"/>
    <s v="GH"/>
    <s v="Y"/>
    <n v="1911"/>
    <n v="382.21"/>
    <x v="4"/>
    <s v="VALIDATED"/>
    <n v="1"/>
    <s v="01.11.80.308.6100.0000"/>
    <n v="1911"/>
    <s v="11"/>
    <s v="6100"/>
    <n v="4649.02"/>
    <n v="1911"/>
    <s v="CREDITOR"/>
    <n v="0"/>
    <n v="0"/>
    <n v="0"/>
    <n v="0"/>
    <n v="1911"/>
  </r>
  <r>
    <n v="62422755"/>
    <s v="N"/>
    <n v="21343836"/>
    <s v="3000016393060003"/>
    <s v="CIVIL"/>
    <d v="2023-06-30T00:00:00"/>
    <d v="2023-07-07T19:03:00"/>
    <m/>
    <d v="2023-07-07T00:00:00"/>
    <n v="1305"/>
    <n v="14703"/>
    <s v="62422755"/>
    <s v="62422755"/>
    <m/>
    <m/>
    <n v="22796698"/>
    <m/>
    <m/>
    <m/>
    <s v="SOLPOA"/>
    <s v="SOLPOA"/>
    <s v="CCMS"/>
    <n v="21343836"/>
    <n v="167"/>
    <m/>
    <s v="N"/>
    <n v="1"/>
    <d v="2023-07-07T19:03:13"/>
    <s v="N"/>
    <s v="Non Expert Disbursement"/>
    <s v="Non Expert Disbursement"/>
    <s v="Non Expert Disbursement"/>
    <s v="Georgina Howe"/>
    <s v="N"/>
    <n v="167"/>
    <n v="0"/>
    <x v="9"/>
    <s v="VALIDATED"/>
    <n v="1"/>
    <s v="01.11.80.308.2012.0000"/>
    <n v="167"/>
    <s v="11"/>
    <s v="2012"/>
    <n v="4649.02"/>
    <n v="167"/>
    <s v="CREDITOR"/>
    <n v="167"/>
    <n v="0"/>
    <n v="0"/>
    <n v="0"/>
    <n v="0"/>
  </r>
  <r>
    <n v="60809176"/>
    <s v="N"/>
    <n v="21339997"/>
    <s v="3000015043490010RC"/>
    <s v="CIVIL"/>
    <d v="2023-06-27T00:00:00"/>
    <d v="2023-07-06T19:54:22"/>
    <m/>
    <d v="2023-07-06T00:00:00"/>
    <n v="1305"/>
    <n v="14703"/>
    <s v="60809176"/>
    <s v="60809176"/>
    <m/>
    <m/>
    <m/>
    <m/>
    <m/>
    <m/>
    <s v="SOLRECOUP"/>
    <s v="SOLRECOUP"/>
    <s v="POARECOUP"/>
    <n v="21339997"/>
    <n v="-305.6"/>
    <m/>
    <s v="Y"/>
    <n v="1"/>
    <d v="2023-07-06T19:54:23"/>
    <s v="N"/>
    <m/>
    <m/>
    <s v="Non Expert Disbursement"/>
    <m/>
    <s v="N"/>
    <n v="-254.67"/>
    <n v="0"/>
    <x v="4"/>
    <s v="VALIDATED"/>
    <n v="1"/>
    <s v="01.11.80.308.2013.0000"/>
    <n v="-254.67"/>
    <s v="11"/>
    <s v="2013"/>
    <n v="4649.02"/>
    <n v="-254.67"/>
    <s v="CREDITOR"/>
    <n v="0"/>
    <n v="0"/>
    <n v="-254.67"/>
    <n v="0"/>
    <n v="0"/>
  </r>
  <r>
    <n v="60809176"/>
    <s v="N"/>
    <n v="21339997"/>
    <s v="3000015043490010RC"/>
    <s v="CIVIL"/>
    <d v="2023-06-27T00:00:00"/>
    <d v="2023-07-06T19:54:22"/>
    <m/>
    <d v="2023-07-06T00:00:00"/>
    <n v="1305"/>
    <n v="14703"/>
    <s v="60809176"/>
    <s v="60809176"/>
    <m/>
    <m/>
    <m/>
    <m/>
    <m/>
    <m/>
    <s v="SOLRECOUP"/>
    <s v="SOLRECOUP"/>
    <s v="POARECOUP"/>
    <n v="21339997"/>
    <n v="-305.6"/>
    <m/>
    <s v="Y"/>
    <n v="2"/>
    <d v="2023-07-06T19:54:23"/>
    <s v="N"/>
    <m/>
    <m/>
    <s v="Non Expert Disbursement"/>
    <m/>
    <s v="N"/>
    <n v="0"/>
    <n v="-50.93"/>
    <x v="4"/>
    <s v="VALIDATED"/>
    <n v="1"/>
    <s v="01.11.80.308.2013.0000"/>
    <n v="-50.93"/>
    <s v="11"/>
    <s v="2013"/>
    <n v="4649.02"/>
    <n v="-50.93"/>
    <s v="CREDITOR"/>
    <n v="0"/>
    <n v="0"/>
    <n v="-50.93"/>
    <n v="0"/>
    <n v="0"/>
  </r>
  <r>
    <n v="60809176"/>
    <s v="N"/>
    <n v="21339998"/>
    <s v="3000015043490011RC"/>
    <s v="CIVIL"/>
    <d v="2023-06-27T00:00:00"/>
    <d v="2023-07-06T19:54:22"/>
    <m/>
    <d v="2023-07-06T00:00:00"/>
    <n v="1305"/>
    <n v="14703"/>
    <s v="60809176"/>
    <s v="60809176"/>
    <m/>
    <m/>
    <m/>
    <m/>
    <m/>
    <m/>
    <s v="SOLRECOUP"/>
    <s v="SOLRECOUP"/>
    <s v="POARECOUP"/>
    <n v="21339998"/>
    <n v="-188"/>
    <m/>
    <s v="Y"/>
    <n v="1"/>
    <d v="2023-07-06T19:54:23"/>
    <s v="N"/>
    <m/>
    <m/>
    <s v="Non Expert Disbursement"/>
    <m/>
    <s v="N"/>
    <n v="-156.67"/>
    <n v="0"/>
    <x v="4"/>
    <s v="VALIDATED"/>
    <n v="1"/>
    <s v="01.11.80.308.2013.0000"/>
    <n v="-156.67"/>
    <s v="11"/>
    <s v="2013"/>
    <n v="4649.02"/>
    <n v="-156.67"/>
    <s v="CREDITOR"/>
    <n v="0"/>
    <n v="0"/>
    <n v="-156.67"/>
    <n v="0"/>
    <n v="0"/>
  </r>
  <r>
    <n v="60809176"/>
    <s v="N"/>
    <n v="21339998"/>
    <s v="3000015043490011RC"/>
    <s v="CIVIL"/>
    <d v="2023-06-27T00:00:00"/>
    <d v="2023-07-06T19:54:22"/>
    <m/>
    <d v="2023-07-06T00:00:00"/>
    <n v="1305"/>
    <n v="14703"/>
    <s v="60809176"/>
    <s v="60809176"/>
    <m/>
    <m/>
    <m/>
    <m/>
    <m/>
    <m/>
    <s v="SOLRECOUP"/>
    <s v="SOLRECOUP"/>
    <s v="POARECOUP"/>
    <n v="21339998"/>
    <n v="-188"/>
    <m/>
    <s v="Y"/>
    <n v="2"/>
    <d v="2023-07-06T19:54:23"/>
    <s v="N"/>
    <m/>
    <m/>
    <s v="Non Expert Disbursement"/>
    <m/>
    <s v="N"/>
    <n v="0"/>
    <n v="-31.33"/>
    <x v="4"/>
    <s v="VALIDATED"/>
    <n v="1"/>
    <s v="01.11.80.308.2013.0000"/>
    <n v="-31.33"/>
    <s v="11"/>
    <s v="2013"/>
    <n v="4649.02"/>
    <n v="-31.33"/>
    <s v="CREDITOR"/>
    <n v="0"/>
    <n v="0"/>
    <n v="-31.33"/>
    <n v="0"/>
    <n v="0"/>
  </r>
  <r>
    <n v="60809176"/>
    <s v="N"/>
    <n v="21339999"/>
    <s v="3000015043490009RC"/>
    <s v="CIVIL"/>
    <d v="2023-06-27T00:00:00"/>
    <d v="2023-07-06T19:54:22"/>
    <m/>
    <d v="2023-07-06T00:00:00"/>
    <n v="1305"/>
    <n v="14703"/>
    <s v="60809176"/>
    <s v="60809176"/>
    <m/>
    <m/>
    <m/>
    <m/>
    <m/>
    <m/>
    <s v="SOLRECOUP"/>
    <s v="SOLRECOUP"/>
    <s v="POARECOUP"/>
    <n v="21339999"/>
    <n v="-108.01"/>
    <m/>
    <s v="Y"/>
    <n v="1"/>
    <d v="2023-07-06T19:54:23"/>
    <s v="N"/>
    <m/>
    <m/>
    <s v="Non Expert Disbursement"/>
    <m/>
    <s v="N"/>
    <n v="-90.01000000000001"/>
    <n v="0"/>
    <x v="4"/>
    <s v="VALIDATED"/>
    <n v="1"/>
    <s v="01.11.80.308.2013.0000"/>
    <n v="-90.01000000000001"/>
    <s v="11"/>
    <s v="2013"/>
    <n v="4649.02"/>
    <n v="-90.01000000000001"/>
    <s v="CREDITOR"/>
    <n v="0"/>
    <n v="0"/>
    <n v="-90.01000000000001"/>
    <n v="0"/>
    <n v="0"/>
  </r>
  <r>
    <n v="60809176"/>
    <s v="N"/>
    <n v="21339999"/>
    <s v="3000015043490009RC"/>
    <s v="CIVIL"/>
    <d v="2023-06-27T00:00:00"/>
    <d v="2023-07-06T19:54:22"/>
    <m/>
    <d v="2023-07-06T00:00:00"/>
    <n v="1305"/>
    <n v="14703"/>
    <s v="60809176"/>
    <s v="60809176"/>
    <m/>
    <m/>
    <m/>
    <m/>
    <m/>
    <m/>
    <s v="SOLRECOUP"/>
    <s v="SOLRECOUP"/>
    <s v="POARECOUP"/>
    <n v="21339999"/>
    <n v="-108.01"/>
    <m/>
    <s v="Y"/>
    <n v="2"/>
    <d v="2023-07-06T19:54:23"/>
    <s v="N"/>
    <m/>
    <m/>
    <s v="Non Expert Disbursement"/>
    <m/>
    <s v="N"/>
    <n v="0"/>
    <n v="-18"/>
    <x v="4"/>
    <s v="VALIDATED"/>
    <n v="1"/>
    <s v="01.11.80.308.2013.0000"/>
    <n v="-18"/>
    <s v="11"/>
    <s v="2013"/>
    <n v="4649.02"/>
    <n v="-18"/>
    <s v="CREDITOR"/>
    <n v="0"/>
    <n v="0"/>
    <n v="-18"/>
    <n v="0"/>
    <n v="0"/>
  </r>
  <r>
    <n v="60809176"/>
    <s v="N"/>
    <n v="21340000"/>
    <s v="3000015043490001RC"/>
    <s v="CIVIL"/>
    <d v="2023-06-27T00:00:00"/>
    <d v="2023-07-06T19:54:22"/>
    <m/>
    <d v="2023-07-06T00:00:00"/>
    <n v="1305"/>
    <n v="14703"/>
    <s v="60809176"/>
    <s v="60809176"/>
    <m/>
    <m/>
    <m/>
    <m/>
    <m/>
    <m/>
    <s v="SOLRECOUP"/>
    <s v="SOLRECOUP"/>
    <s v="POARECOUP"/>
    <n v="21340000"/>
    <n v="-164"/>
    <m/>
    <s v="Y"/>
    <n v="1"/>
    <d v="2023-07-06T19:54:23"/>
    <s v="N"/>
    <m/>
    <m/>
    <s v="Non Expert Disbursement"/>
    <m/>
    <s v="N"/>
    <n v="-136.67"/>
    <n v="0"/>
    <x v="4"/>
    <s v="VALIDATED"/>
    <n v="1"/>
    <s v="01.11.80.308.2013.0000"/>
    <n v="-136.67"/>
    <s v="11"/>
    <s v="2013"/>
    <n v="4649.02"/>
    <n v="-136.67"/>
    <s v="CREDITOR"/>
    <n v="0"/>
    <n v="0"/>
    <n v="-136.67"/>
    <n v="0"/>
    <n v="0"/>
  </r>
  <r>
    <n v="60809176"/>
    <s v="N"/>
    <n v="21340000"/>
    <s v="3000015043490001RC"/>
    <s v="CIVIL"/>
    <d v="2023-06-27T00:00:00"/>
    <d v="2023-07-06T19:54:22"/>
    <m/>
    <d v="2023-07-06T00:00:00"/>
    <n v="1305"/>
    <n v="14703"/>
    <s v="60809176"/>
    <s v="60809176"/>
    <m/>
    <m/>
    <m/>
    <m/>
    <m/>
    <m/>
    <s v="SOLRECOUP"/>
    <s v="SOLRECOUP"/>
    <s v="POARECOUP"/>
    <n v="21340000"/>
    <n v="-164"/>
    <m/>
    <s v="Y"/>
    <n v="2"/>
    <d v="2023-07-06T19:54:23"/>
    <s v="N"/>
    <m/>
    <m/>
    <s v="Non Expert Disbursement"/>
    <m/>
    <s v="N"/>
    <n v="0"/>
    <n v="-27.33"/>
    <x v="4"/>
    <s v="VALIDATED"/>
    <n v="1"/>
    <s v="01.11.80.308.2013.0000"/>
    <n v="-27.33"/>
    <s v="11"/>
    <s v="2013"/>
    <n v="4649.02"/>
    <n v="-27.33"/>
    <s v="CREDITOR"/>
    <n v="0"/>
    <n v="0"/>
    <n v="-27.33"/>
    <n v="0"/>
    <n v="0"/>
  </r>
  <r>
    <n v="60809176"/>
    <s v="N"/>
    <n v="21340001"/>
    <s v="3000015043490005RC"/>
    <s v="CIVIL"/>
    <d v="2023-06-27T00:00:00"/>
    <d v="2023-07-06T19:54:22"/>
    <m/>
    <d v="2023-07-06T00:00:00"/>
    <n v="1305"/>
    <n v="14703"/>
    <s v="60809176"/>
    <s v="60809176"/>
    <m/>
    <m/>
    <m/>
    <m/>
    <m/>
    <m/>
    <s v="SOLRECOUP"/>
    <s v="SOLRECOUP"/>
    <s v="POARECOUP"/>
    <n v="21340001"/>
    <n v="-138"/>
    <m/>
    <s v="Y"/>
    <n v="1"/>
    <d v="2023-07-06T19:54:23"/>
    <s v="N"/>
    <m/>
    <m/>
    <s v="Non Expert Disbursement"/>
    <m/>
    <s v="N"/>
    <n v="-115"/>
    <n v="0"/>
    <x v="4"/>
    <s v="VALIDATED"/>
    <n v="1"/>
    <s v="01.11.80.308.2013.0000"/>
    <n v="-115"/>
    <s v="11"/>
    <s v="2013"/>
    <n v="4649.02"/>
    <n v="-115"/>
    <s v="CREDITOR"/>
    <n v="0"/>
    <n v="0"/>
    <n v="-115"/>
    <n v="0"/>
    <n v="0"/>
  </r>
  <r>
    <n v="60809176"/>
    <s v="N"/>
    <n v="21340001"/>
    <s v="3000015043490005RC"/>
    <s v="CIVIL"/>
    <d v="2023-06-27T00:00:00"/>
    <d v="2023-07-06T19:54:22"/>
    <m/>
    <d v="2023-07-06T00:00:00"/>
    <n v="1305"/>
    <n v="14703"/>
    <s v="60809176"/>
    <s v="60809176"/>
    <m/>
    <m/>
    <m/>
    <m/>
    <m/>
    <m/>
    <s v="SOLRECOUP"/>
    <s v="SOLRECOUP"/>
    <s v="POARECOUP"/>
    <n v="21340001"/>
    <n v="-138"/>
    <m/>
    <s v="Y"/>
    <n v="2"/>
    <d v="2023-07-06T19:54:23"/>
    <s v="N"/>
    <m/>
    <m/>
    <s v="Non Expert Disbursement"/>
    <m/>
    <s v="N"/>
    <n v="0"/>
    <n v="-23"/>
    <x v="4"/>
    <s v="VALIDATED"/>
    <n v="1"/>
    <s v="01.11.80.308.2013.0000"/>
    <n v="-23"/>
    <s v="11"/>
    <s v="2013"/>
    <n v="4649.02"/>
    <n v="-23"/>
    <s v="CREDITOR"/>
    <n v="0"/>
    <n v="0"/>
    <n v="-23"/>
    <n v="0"/>
    <n v="0"/>
  </r>
  <r>
    <n v="60809176"/>
    <s v="N"/>
    <n v="21340002"/>
    <s v="3000015043490008RC"/>
    <s v="CIVIL"/>
    <d v="2023-06-27T00:00:00"/>
    <d v="2023-07-06T19:54:22"/>
    <m/>
    <d v="2023-07-06T00:00:00"/>
    <n v="1305"/>
    <n v="14703"/>
    <s v="60809176"/>
    <s v="60809176"/>
    <m/>
    <m/>
    <m/>
    <m/>
    <m/>
    <m/>
    <s v="SOLRECOUP"/>
    <s v="SOLRECOUP"/>
    <s v="POARECOUP"/>
    <n v="21340002"/>
    <n v="-305.6"/>
    <m/>
    <s v="Y"/>
    <n v="1"/>
    <d v="2023-07-06T19:54:23"/>
    <s v="N"/>
    <m/>
    <m/>
    <s v="Non Expert Disbursement"/>
    <m/>
    <s v="N"/>
    <n v="-254.67"/>
    <n v="0"/>
    <x v="4"/>
    <s v="VALIDATED"/>
    <n v="1"/>
    <s v="01.11.80.308.2013.0000"/>
    <n v="-254.67"/>
    <s v="11"/>
    <s v="2013"/>
    <n v="4649.02"/>
    <n v="-254.67"/>
    <s v="CREDITOR"/>
    <n v="0"/>
    <n v="0"/>
    <n v="-254.67"/>
    <n v="0"/>
    <n v="0"/>
  </r>
  <r>
    <n v="60809176"/>
    <s v="N"/>
    <n v="21340002"/>
    <s v="3000015043490008RC"/>
    <s v="CIVIL"/>
    <d v="2023-06-27T00:00:00"/>
    <d v="2023-07-06T19:54:22"/>
    <m/>
    <d v="2023-07-06T00:00:00"/>
    <n v="1305"/>
    <n v="14703"/>
    <s v="60809176"/>
    <s v="60809176"/>
    <m/>
    <m/>
    <m/>
    <m/>
    <m/>
    <m/>
    <s v="SOLRECOUP"/>
    <s v="SOLRECOUP"/>
    <s v="POARECOUP"/>
    <n v="21340002"/>
    <n v="-305.6"/>
    <m/>
    <s v="Y"/>
    <n v="2"/>
    <d v="2023-07-06T19:54:23"/>
    <s v="N"/>
    <m/>
    <m/>
    <s v="Non Expert Disbursement"/>
    <m/>
    <s v="N"/>
    <n v="0"/>
    <n v="-50.93"/>
    <x v="4"/>
    <s v="VALIDATED"/>
    <n v="1"/>
    <s v="01.11.80.308.2013.0000"/>
    <n v="-50.93"/>
    <s v="11"/>
    <s v="2013"/>
    <n v="4649.02"/>
    <n v="-50.93"/>
    <s v="CREDITOR"/>
    <n v="0"/>
    <n v="0"/>
    <n v="-50.93"/>
    <n v="0"/>
    <n v="0"/>
  </r>
  <r>
    <n v="60809176"/>
    <s v="N"/>
    <n v="21340003"/>
    <s v="3000015043490002RC"/>
    <s v="CIVIL"/>
    <d v="2023-06-27T00:00:00"/>
    <d v="2023-07-06T19:54:22"/>
    <m/>
    <d v="2023-07-06T00:00:00"/>
    <n v="1305"/>
    <n v="14703"/>
    <s v="60809176"/>
    <s v="60809176"/>
    <m/>
    <m/>
    <m/>
    <m/>
    <m/>
    <m/>
    <s v="SOLRECOUP"/>
    <s v="SOLRECOUP"/>
    <s v="POARECOUP"/>
    <n v="21340003"/>
    <n v="-226.01"/>
    <m/>
    <s v="Y"/>
    <n v="1"/>
    <d v="2023-07-06T19:54:23"/>
    <s v="N"/>
    <m/>
    <m/>
    <s v="Non Expert Disbursement"/>
    <m/>
    <s v="N"/>
    <n v="-188.34"/>
    <n v="0"/>
    <x v="4"/>
    <s v="VALIDATED"/>
    <n v="1"/>
    <s v="01.11.80.308.2013.0000"/>
    <n v="-188.34"/>
    <s v="11"/>
    <s v="2013"/>
    <n v="4649.02"/>
    <n v="-188.34"/>
    <s v="CREDITOR"/>
    <n v="0"/>
    <n v="0"/>
    <n v="-188.34"/>
    <n v="0"/>
    <n v="0"/>
  </r>
  <r>
    <n v="60809176"/>
    <s v="N"/>
    <n v="21340003"/>
    <s v="3000015043490002RC"/>
    <s v="CIVIL"/>
    <d v="2023-06-27T00:00:00"/>
    <d v="2023-07-06T19:54:22"/>
    <m/>
    <d v="2023-07-06T00:00:00"/>
    <n v="1305"/>
    <n v="14703"/>
    <s v="60809176"/>
    <s v="60809176"/>
    <m/>
    <m/>
    <m/>
    <m/>
    <m/>
    <m/>
    <s v="SOLRECOUP"/>
    <s v="SOLRECOUP"/>
    <s v="POARECOUP"/>
    <n v="21340003"/>
    <n v="-226.01"/>
    <m/>
    <s v="Y"/>
    <n v="2"/>
    <d v="2023-07-06T19:54:23"/>
    <s v="N"/>
    <m/>
    <m/>
    <s v="Non Expert Disbursement"/>
    <m/>
    <s v="N"/>
    <n v="0"/>
    <n v="-37.67"/>
    <x v="4"/>
    <s v="VALIDATED"/>
    <n v="1"/>
    <s v="01.11.80.308.2013.0000"/>
    <n v="-37.67"/>
    <s v="11"/>
    <s v="2013"/>
    <n v="4649.02"/>
    <n v="-37.67"/>
    <s v="CREDITOR"/>
    <n v="0"/>
    <n v="0"/>
    <n v="-37.67"/>
    <n v="0"/>
    <n v="0"/>
  </r>
  <r>
    <n v="60809176"/>
    <s v="N"/>
    <n v="21340004"/>
    <s v="3000015043490003RC"/>
    <s v="CIVIL"/>
    <d v="2023-06-27T00:00:00"/>
    <d v="2023-07-06T19:54:22"/>
    <m/>
    <d v="2023-07-06T00:00:00"/>
    <n v="1305"/>
    <n v="14703"/>
    <s v="60809176"/>
    <s v="60809176"/>
    <m/>
    <m/>
    <m/>
    <m/>
    <m/>
    <m/>
    <s v="SOLRECOUP"/>
    <s v="SOLRECOUP"/>
    <s v="POARECOUP"/>
    <n v="21340004"/>
    <n v="-226"/>
    <m/>
    <s v="Y"/>
    <n v="2"/>
    <d v="2023-07-06T19:54:23"/>
    <s v="N"/>
    <m/>
    <m/>
    <s v="Non Expert Disbursement"/>
    <m/>
    <s v="N"/>
    <n v="0"/>
    <n v="0"/>
    <x v="4"/>
    <s v="VALIDATED"/>
    <n v="1"/>
    <s v="01.11.80.000.0000.0000"/>
    <n v="0"/>
    <s v="11"/>
    <s v="0000"/>
    <n v="4649.02"/>
    <n v="0"/>
    <s v="CREDITOR"/>
    <n v="0"/>
    <n v="0"/>
    <n v="0"/>
    <n v="0"/>
    <n v="0"/>
  </r>
  <r>
    <n v="60809176"/>
    <s v="N"/>
    <n v="21340004"/>
    <s v="3000015043490003RC"/>
    <s v="CIVIL"/>
    <d v="2023-06-27T00:00:00"/>
    <d v="2023-07-06T19:54:22"/>
    <m/>
    <d v="2023-07-06T00:00:00"/>
    <n v="1305"/>
    <n v="14703"/>
    <s v="60809176"/>
    <s v="60809176"/>
    <m/>
    <m/>
    <m/>
    <m/>
    <m/>
    <m/>
    <s v="SOLRECOUP"/>
    <s v="SOLRECOUP"/>
    <s v="POARECOUP"/>
    <n v="21340004"/>
    <n v="-226"/>
    <m/>
    <s v="Y"/>
    <n v="1"/>
    <d v="2023-07-06T19:54:23"/>
    <s v="N"/>
    <m/>
    <m/>
    <s v="Non Expert Disbursement"/>
    <m/>
    <s v="N"/>
    <n v="-226"/>
    <n v="0"/>
    <x v="4"/>
    <s v="VALIDATED"/>
    <n v="1"/>
    <s v="01.11.80.308.2013.0000"/>
    <n v="-226"/>
    <s v="11"/>
    <s v="2013"/>
    <n v="4649.02"/>
    <n v="-226"/>
    <s v="CREDITOR"/>
    <n v="0"/>
    <n v="0"/>
    <n v="-226"/>
    <n v="0"/>
    <n v="0"/>
  </r>
  <r>
    <n v="60809176"/>
    <s v="N"/>
    <n v="21340005"/>
    <s v="3000015043490004RC"/>
    <s v="CIVIL"/>
    <d v="2023-06-27T00:00:00"/>
    <d v="2023-07-06T19:54:22"/>
    <m/>
    <d v="2023-07-06T00:00:00"/>
    <n v="1305"/>
    <n v="14703"/>
    <s v="60809176"/>
    <s v="60809176"/>
    <m/>
    <m/>
    <m/>
    <m/>
    <m/>
    <m/>
    <s v="SOLRECOUP"/>
    <s v="SOLRECOUP"/>
    <s v="POARECOUP"/>
    <n v="21340005"/>
    <n v="-1310.15"/>
    <m/>
    <s v="Y"/>
    <n v="2"/>
    <d v="2023-07-06T19:54:23"/>
    <s v="N"/>
    <m/>
    <m/>
    <s v="Profit Cost"/>
    <m/>
    <s v="N"/>
    <n v="0"/>
    <n v="-218.36"/>
    <x v="4"/>
    <s v="VALIDATED"/>
    <n v="1"/>
    <s v="01.11.80.308.2013.0000"/>
    <n v="-218.36"/>
    <s v="11"/>
    <s v="2013"/>
    <n v="4649.02"/>
    <n v="-218.36"/>
    <s v="CREDITOR"/>
    <n v="0"/>
    <n v="0"/>
    <n v="-218.36"/>
    <n v="-54.59"/>
    <n v="0"/>
  </r>
  <r>
    <n v="60809176"/>
    <s v="N"/>
    <n v="21340005"/>
    <s v="3000015043490004RC"/>
    <s v="CIVIL"/>
    <d v="2023-06-27T00:00:00"/>
    <d v="2023-07-06T19:54:22"/>
    <m/>
    <d v="2023-07-06T00:00:00"/>
    <n v="1305"/>
    <n v="14703"/>
    <s v="60809176"/>
    <s v="60809176"/>
    <m/>
    <m/>
    <m/>
    <m/>
    <m/>
    <m/>
    <s v="SOLRECOUP"/>
    <s v="SOLRECOUP"/>
    <s v="POARECOUP"/>
    <n v="21340005"/>
    <n v="-1310.15"/>
    <m/>
    <s v="Y"/>
    <n v="1"/>
    <d v="2023-07-06T19:54:23"/>
    <s v="N"/>
    <m/>
    <m/>
    <s v="Profit Cost"/>
    <m/>
    <s v="N"/>
    <n v="-1091.79"/>
    <n v="0"/>
    <x v="4"/>
    <s v="VALIDATED"/>
    <n v="1"/>
    <s v="01.11.80.308.2013.0000"/>
    <n v="-1091.79"/>
    <s v="11"/>
    <s v="2013"/>
    <n v="4649.02"/>
    <n v="-1091.79"/>
    <s v="CREDITOR"/>
    <n v="0"/>
    <n v="0"/>
    <n v="-1091.79"/>
    <n v="-272.9475"/>
    <n v="0"/>
  </r>
  <r>
    <n v="60809176"/>
    <s v="N"/>
    <n v="21340006"/>
    <s v="3000015043490006RC"/>
    <s v="CIVIL"/>
    <d v="2023-06-27T00:00:00"/>
    <d v="2023-07-06T19:54:22"/>
    <m/>
    <d v="2023-07-06T00:00:00"/>
    <n v="1305"/>
    <n v="14703"/>
    <s v="60809176"/>
    <s v="60809176"/>
    <m/>
    <m/>
    <m/>
    <m/>
    <m/>
    <m/>
    <s v="SOLRECOUP"/>
    <s v="SOLRECOUP"/>
    <s v="POARECOUP"/>
    <n v="21340006"/>
    <n v="-267.6"/>
    <m/>
    <s v="Y"/>
    <n v="2"/>
    <d v="2023-07-06T19:54:23"/>
    <s v="N"/>
    <m/>
    <m/>
    <s v="Non Expert Disbursement"/>
    <m/>
    <s v="N"/>
    <n v="0"/>
    <n v="-44.6"/>
    <x v="4"/>
    <s v="VALIDATED"/>
    <n v="1"/>
    <s v="01.11.80.308.2013.0000"/>
    <n v="-44.6"/>
    <s v="11"/>
    <s v="2013"/>
    <n v="4649.02"/>
    <n v="-44.6"/>
    <s v="CREDITOR"/>
    <n v="0"/>
    <n v="0"/>
    <n v="-44.6"/>
    <n v="0"/>
    <n v="0"/>
  </r>
  <r>
    <n v="60809176"/>
    <s v="N"/>
    <n v="21340006"/>
    <s v="3000015043490006RC"/>
    <s v="CIVIL"/>
    <d v="2023-06-27T00:00:00"/>
    <d v="2023-07-06T19:54:22"/>
    <m/>
    <d v="2023-07-06T00:00:00"/>
    <n v="1305"/>
    <n v="14703"/>
    <s v="60809176"/>
    <s v="60809176"/>
    <m/>
    <m/>
    <m/>
    <m/>
    <m/>
    <m/>
    <s v="SOLRECOUP"/>
    <s v="SOLRECOUP"/>
    <s v="POARECOUP"/>
    <n v="21340006"/>
    <n v="-267.6"/>
    <m/>
    <s v="Y"/>
    <n v="1"/>
    <d v="2023-07-06T19:54:23"/>
    <s v="N"/>
    <m/>
    <m/>
    <s v="Non Expert Disbursement"/>
    <m/>
    <s v="N"/>
    <n v="-223"/>
    <n v="0"/>
    <x v="4"/>
    <s v="VALIDATED"/>
    <n v="1"/>
    <s v="01.11.80.308.2013.0000"/>
    <n v="-223"/>
    <s v="11"/>
    <s v="2013"/>
    <n v="4649.02"/>
    <n v="-223"/>
    <s v="CREDITOR"/>
    <n v="0"/>
    <n v="0"/>
    <n v="-223"/>
    <n v="0"/>
    <n v="0"/>
  </r>
  <r>
    <n v="61326434"/>
    <s v="N"/>
    <n v="21367193"/>
    <s v="3000015479000003RC"/>
    <s v="CIVIL"/>
    <d v="2023-06-29T00:00:00"/>
    <d v="2023-07-12T19:45:33"/>
    <m/>
    <d v="2023-07-12T00:00:00"/>
    <n v="1317"/>
    <n v="20907"/>
    <s v="61326434"/>
    <s v="61326434"/>
    <m/>
    <m/>
    <m/>
    <m/>
    <m/>
    <m/>
    <s v="SOLRECOUP"/>
    <s v="SOLRECOUP"/>
    <s v="POARECOUP"/>
    <n v="21367193"/>
    <n v="-89.2"/>
    <m/>
    <s v="Y"/>
    <n v="1"/>
    <d v="2023-07-12T19:45:33"/>
    <s v="N"/>
    <m/>
    <m/>
    <s v="Non Expert Disbursement"/>
    <m/>
    <s v="N"/>
    <n v="-89.2"/>
    <n v="0"/>
    <x v="0"/>
    <s v="VALIDATED"/>
    <n v="1"/>
    <s v="01.11.80.307.2013.0000"/>
    <n v="-89.2"/>
    <s v="11"/>
    <s v="2013"/>
    <n v="3350.14"/>
    <n v="-89.2"/>
    <s v="CREDITOR"/>
    <n v="0"/>
    <n v="0"/>
    <n v="-89.2"/>
    <n v="0"/>
    <n v="0"/>
  </r>
  <r>
    <n v="61326434"/>
    <s v="N"/>
    <n v="21367194"/>
    <s v="3000015479000004RC"/>
    <s v="CIVIL"/>
    <d v="2023-06-29T00:00:00"/>
    <d v="2023-07-12T19:45:33"/>
    <m/>
    <d v="2023-07-12T00:00:00"/>
    <n v="1317"/>
    <n v="20907"/>
    <s v="61326434"/>
    <s v="61326434"/>
    <m/>
    <m/>
    <m/>
    <m/>
    <m/>
    <m/>
    <s v="SOLRECOUP"/>
    <s v="SOLRECOUP"/>
    <s v="POARECOUP"/>
    <n v="21367194"/>
    <n v="-13.14"/>
    <m/>
    <s v="Y"/>
    <n v="2"/>
    <d v="2023-07-12T19:45:33"/>
    <s v="N"/>
    <m/>
    <m/>
    <s v="Non Expert Disbursement"/>
    <m/>
    <s v="N"/>
    <n v="0"/>
    <n v="0"/>
    <x v="0"/>
    <s v="VALIDATED"/>
    <n v="1"/>
    <s v="01.11.80.000.0000.0000"/>
    <n v="0"/>
    <s v="11"/>
    <s v="0000"/>
    <n v="3350.14"/>
    <n v="0"/>
    <s v="CREDITOR"/>
    <n v="0"/>
    <n v="0"/>
    <n v="0"/>
    <n v="0"/>
    <n v="0"/>
  </r>
  <r>
    <n v="61326434"/>
    <s v="N"/>
    <n v="21367194"/>
    <s v="3000015479000004RC"/>
    <s v="CIVIL"/>
    <d v="2023-06-29T00:00:00"/>
    <d v="2023-07-12T19:45:33"/>
    <m/>
    <d v="2023-07-12T00:00:00"/>
    <n v="1317"/>
    <n v="20907"/>
    <s v="61326434"/>
    <s v="61326434"/>
    <m/>
    <m/>
    <m/>
    <m/>
    <m/>
    <m/>
    <s v="SOLRECOUP"/>
    <s v="SOLRECOUP"/>
    <s v="POARECOUP"/>
    <n v="21367194"/>
    <n v="-13.14"/>
    <m/>
    <s v="Y"/>
    <n v="1"/>
    <d v="2023-07-12T19:45:33"/>
    <s v="N"/>
    <m/>
    <m/>
    <s v="Non Expert Disbursement"/>
    <m/>
    <s v="N"/>
    <n v="-13.14"/>
    <n v="0"/>
    <x v="0"/>
    <s v="VALIDATED"/>
    <n v="1"/>
    <s v="01.11.80.307.2013.0000"/>
    <n v="-13.14"/>
    <s v="11"/>
    <s v="2013"/>
    <n v="3350.14"/>
    <n v="-13.14"/>
    <s v="CREDITOR"/>
    <n v="0"/>
    <n v="0"/>
    <n v="-13.14"/>
    <n v="0"/>
    <n v="0"/>
  </r>
  <r>
    <n v="61326434"/>
    <s v="N"/>
    <n v="21367195"/>
    <s v="3000015479000002RC"/>
    <s v="CIVIL"/>
    <d v="2023-06-29T00:00:00"/>
    <d v="2023-07-12T19:45:33"/>
    <m/>
    <d v="2023-07-12T00:00:00"/>
    <n v="1317"/>
    <n v="20907"/>
    <s v="61326434"/>
    <s v="61326434"/>
    <m/>
    <m/>
    <m/>
    <m/>
    <m/>
    <m/>
    <s v="SOLRECOUP"/>
    <s v="SOLRECOUP"/>
    <s v="POARECOUP"/>
    <n v="21367195"/>
    <n v="-338.88"/>
    <m/>
    <s v="Y"/>
    <n v="2"/>
    <d v="2023-07-12T19:45:33"/>
    <s v="N"/>
    <m/>
    <m/>
    <s v="Profit Cost"/>
    <m/>
    <s v="N"/>
    <n v="0"/>
    <n v="-56.48"/>
    <x v="0"/>
    <s v="VALIDATED"/>
    <n v="1"/>
    <s v="01.11.80.307.2013.0000"/>
    <n v="-56.48"/>
    <s v="11"/>
    <s v="2013"/>
    <n v="3350.14"/>
    <n v="-56.48"/>
    <s v="CREDITOR"/>
    <n v="0"/>
    <n v="0"/>
    <n v="-56.48"/>
    <n v="-14.12"/>
    <n v="0"/>
  </r>
  <r>
    <n v="61326434"/>
    <s v="N"/>
    <n v="21367195"/>
    <s v="3000015479000002RC"/>
    <s v="CIVIL"/>
    <d v="2023-06-29T00:00:00"/>
    <d v="2023-07-12T19:45:33"/>
    <m/>
    <d v="2023-07-12T00:00:00"/>
    <n v="1317"/>
    <n v="20907"/>
    <s v="61326434"/>
    <s v="61326434"/>
    <m/>
    <m/>
    <m/>
    <m/>
    <m/>
    <m/>
    <s v="SOLRECOUP"/>
    <s v="SOLRECOUP"/>
    <s v="POARECOUP"/>
    <n v="21367195"/>
    <n v="-338.88"/>
    <m/>
    <s v="Y"/>
    <n v="1"/>
    <d v="2023-07-12T19:45:33"/>
    <s v="N"/>
    <m/>
    <m/>
    <s v="Profit Cost"/>
    <m/>
    <s v="N"/>
    <n v="-282.4"/>
    <n v="0"/>
    <x v="0"/>
    <s v="VALIDATED"/>
    <n v="1"/>
    <s v="01.11.80.307.2013.0000"/>
    <n v="-282.4"/>
    <s v="11"/>
    <s v="2013"/>
    <n v="3350.14"/>
    <n v="-282.4"/>
    <s v="CREDITOR"/>
    <n v="0"/>
    <n v="0"/>
    <n v="-282.4"/>
    <n v="-70.59999999999999"/>
    <n v="0"/>
  </r>
  <r>
    <n v="61100683"/>
    <s v="N"/>
    <n v="21412610"/>
    <s v="3000015282670006RC"/>
    <s v="CIVIL"/>
    <d v="2023-06-30T00:00:00"/>
    <d v="2023-07-21T19:28:22"/>
    <m/>
    <d v="2023-07-21T00:00:00"/>
    <n v="1317"/>
    <n v="20907"/>
    <s v="61100683"/>
    <s v="61100683"/>
    <m/>
    <m/>
    <m/>
    <m/>
    <m/>
    <m/>
    <s v="SOLRECOUP"/>
    <s v="SOLRECOUP"/>
    <s v="POARECOUP"/>
    <n v="21412610"/>
    <n v="-1358.03"/>
    <m/>
    <s v="Y"/>
    <n v="1"/>
    <d v="2023-07-21T19:28:25"/>
    <s v="N"/>
    <m/>
    <m/>
    <s v="Profit Cost"/>
    <m/>
    <s v="N"/>
    <n v="-1131.69"/>
    <n v="0"/>
    <x v="12"/>
    <s v="VALIDATED"/>
    <n v="1"/>
    <s v="01.11.80.307.2013.0000"/>
    <n v="-1131.69"/>
    <s v="11"/>
    <s v="2013"/>
    <n v="3350.14"/>
    <n v="-1131.69"/>
    <s v="CREDITOR"/>
    <n v="0"/>
    <n v="0"/>
    <n v="-1131.69"/>
    <n v="-282.9225"/>
    <n v="0"/>
  </r>
  <r>
    <n v="61100683"/>
    <s v="N"/>
    <n v="21412610"/>
    <s v="3000015282670006RC"/>
    <s v="CIVIL"/>
    <d v="2023-06-30T00:00:00"/>
    <d v="2023-07-21T19:28:22"/>
    <m/>
    <d v="2023-07-21T00:00:00"/>
    <n v="1317"/>
    <n v="20907"/>
    <s v="61100683"/>
    <s v="61100683"/>
    <m/>
    <m/>
    <m/>
    <m/>
    <m/>
    <m/>
    <s v="SOLRECOUP"/>
    <s v="SOLRECOUP"/>
    <s v="POARECOUP"/>
    <n v="21412610"/>
    <n v="-1358.03"/>
    <m/>
    <s v="Y"/>
    <n v="2"/>
    <d v="2023-07-21T19:28:25"/>
    <s v="N"/>
    <m/>
    <m/>
    <s v="Profit Cost"/>
    <m/>
    <s v="N"/>
    <n v="0"/>
    <n v="-226.34"/>
    <x v="12"/>
    <s v="VALIDATED"/>
    <n v="1"/>
    <s v="01.11.80.307.2013.0000"/>
    <n v="-226.34"/>
    <s v="11"/>
    <s v="2013"/>
    <n v="3350.14"/>
    <n v="-226.34"/>
    <s v="CREDITOR"/>
    <n v="0"/>
    <n v="0"/>
    <n v="-226.34"/>
    <n v="-56.585"/>
    <n v="0"/>
  </r>
  <r>
    <n v="61100683"/>
    <s v="N"/>
    <n v="21412762"/>
    <s v="3000015282670010RC"/>
    <s v="CIVIL"/>
    <d v="2023-06-30T00:00:00"/>
    <d v="2023-07-21T19:28:22"/>
    <m/>
    <d v="2023-07-21T00:00:00"/>
    <n v="1317"/>
    <n v="20907"/>
    <s v="61100683"/>
    <s v="61100683"/>
    <m/>
    <m/>
    <m/>
    <m/>
    <m/>
    <m/>
    <s v="SOLRECOUP"/>
    <s v="SOLRECOUP"/>
    <s v="POARECOUP"/>
    <n v="21412762"/>
    <n v="-53"/>
    <m/>
    <s v="Y"/>
    <n v="1"/>
    <d v="2023-07-21T19:28:25"/>
    <s v="N"/>
    <m/>
    <m/>
    <s v="Non Expert Disbursement"/>
    <m/>
    <s v="N"/>
    <n v="-53"/>
    <n v="0"/>
    <x v="12"/>
    <s v="VALIDATED"/>
    <n v="1"/>
    <s v="01.11.80.307.2013.0000"/>
    <n v="-53"/>
    <s v="11"/>
    <s v="2013"/>
    <n v="3350.14"/>
    <n v="-53"/>
    <s v="CREDITOR"/>
    <n v="0"/>
    <n v="0"/>
    <n v="-53"/>
    <n v="0"/>
    <n v="0"/>
  </r>
  <r>
    <n v="61100683"/>
    <s v="N"/>
    <n v="21412762"/>
    <s v="3000015282670010RC"/>
    <s v="CIVIL"/>
    <d v="2023-06-30T00:00:00"/>
    <d v="2023-07-21T19:28:22"/>
    <m/>
    <d v="2023-07-21T00:00:00"/>
    <n v="1317"/>
    <n v="20907"/>
    <s v="61100683"/>
    <s v="61100683"/>
    <m/>
    <m/>
    <m/>
    <m/>
    <m/>
    <m/>
    <s v="SOLRECOUP"/>
    <s v="SOLRECOUP"/>
    <s v="POARECOUP"/>
    <n v="21412762"/>
    <n v="-53"/>
    <m/>
    <s v="Y"/>
    <n v="2"/>
    <d v="2023-07-21T19:28:25"/>
    <s v="N"/>
    <m/>
    <m/>
    <s v="Non Expert Disbursement"/>
    <m/>
    <s v="N"/>
    <n v="0"/>
    <n v="0"/>
    <x v="12"/>
    <s v="VALIDATED"/>
    <n v="1"/>
    <s v="01.11.80.000.0000.0000"/>
    <n v="0"/>
    <s v="11"/>
    <s v="0000"/>
    <n v="3350.14"/>
    <n v="0"/>
    <s v="CREDITOR"/>
    <n v="0"/>
    <n v="0"/>
    <n v="0"/>
    <n v="0"/>
    <n v="0"/>
  </r>
  <r>
    <n v="61100683"/>
    <s v="N"/>
    <n v="21412796"/>
    <s v="3000015282670012RC"/>
    <s v="CIVIL"/>
    <d v="2023-06-30T00:00:00"/>
    <d v="2023-07-21T19:28:22"/>
    <m/>
    <d v="2023-07-21T00:00:00"/>
    <n v="1317"/>
    <n v="20907"/>
    <s v="61100683"/>
    <s v="61100683"/>
    <m/>
    <m/>
    <m/>
    <m/>
    <m/>
    <m/>
    <s v="SOLRECOUP"/>
    <s v="SOLRECOUP"/>
    <s v="POARECOUP"/>
    <n v="21412796"/>
    <n v="-770.59"/>
    <m/>
    <s v="Y"/>
    <n v="2"/>
    <d v="2023-07-21T19:28:26"/>
    <s v="N"/>
    <m/>
    <m/>
    <s v="Profit Cost"/>
    <m/>
    <s v="N"/>
    <n v="0"/>
    <n v="-128.43"/>
    <x v="12"/>
    <s v="VALIDATED"/>
    <n v="1"/>
    <s v="01.11.80.307.2013.0000"/>
    <n v="-128.43"/>
    <s v="11"/>
    <s v="2013"/>
    <n v="3350.14"/>
    <n v="-128.43"/>
    <s v="CREDITOR"/>
    <n v="0"/>
    <n v="0"/>
    <n v="-128.43"/>
    <n v="-32.1075"/>
    <n v="0"/>
  </r>
  <r>
    <n v="61100683"/>
    <s v="N"/>
    <n v="21412796"/>
    <s v="3000015282670012RC"/>
    <s v="CIVIL"/>
    <d v="2023-06-30T00:00:00"/>
    <d v="2023-07-21T19:28:22"/>
    <m/>
    <d v="2023-07-21T00:00:00"/>
    <n v="1317"/>
    <n v="20907"/>
    <s v="61100683"/>
    <s v="61100683"/>
    <m/>
    <m/>
    <m/>
    <m/>
    <m/>
    <m/>
    <s v="SOLRECOUP"/>
    <s v="SOLRECOUP"/>
    <s v="POARECOUP"/>
    <n v="21412796"/>
    <n v="-770.59"/>
    <m/>
    <s v="Y"/>
    <n v="1"/>
    <d v="2023-07-21T19:28:26"/>
    <s v="N"/>
    <m/>
    <m/>
    <s v="Profit Cost"/>
    <m/>
    <s v="N"/>
    <n v="-642.16"/>
    <n v="0"/>
    <x v="12"/>
    <s v="VALIDATED"/>
    <n v="1"/>
    <s v="01.11.80.307.2013.0000"/>
    <n v="-642.16"/>
    <s v="11"/>
    <s v="2013"/>
    <n v="3350.14"/>
    <n v="-642.16"/>
    <s v="CREDITOR"/>
    <n v="0"/>
    <n v="0"/>
    <n v="-642.16"/>
    <n v="-160.54"/>
    <n v="0"/>
  </r>
  <r>
    <n v="61100683"/>
    <s v="N"/>
    <n v="21412430"/>
    <s v="3000015282670001RC"/>
    <s v="CIVIL"/>
    <d v="2023-06-30T00:00:00"/>
    <d v="2023-07-21T19:28:22"/>
    <m/>
    <d v="2023-07-21T00:00:00"/>
    <n v="1317"/>
    <n v="20907"/>
    <s v="61100683"/>
    <s v="61100683"/>
    <m/>
    <m/>
    <m/>
    <m/>
    <m/>
    <m/>
    <s v="SOLRECOUP"/>
    <s v="SOLRECOUP"/>
    <s v="POARECOUP"/>
    <n v="21412430"/>
    <n v="-100"/>
    <m/>
    <s v="Y"/>
    <n v="2"/>
    <d v="2023-07-21T19:28:24"/>
    <s v="N"/>
    <m/>
    <m/>
    <s v="Non Expert Disbursement"/>
    <m/>
    <s v="N"/>
    <n v="0"/>
    <n v="0"/>
    <x v="12"/>
    <s v="VALIDATED"/>
    <n v="1"/>
    <s v="01.11.80.000.0000.0000"/>
    <n v="0"/>
    <s v="11"/>
    <s v="0000"/>
    <n v="3350.14"/>
    <n v="0"/>
    <s v="CREDITOR"/>
    <n v="0"/>
    <n v="0"/>
    <n v="0"/>
    <n v="0"/>
    <n v="0"/>
  </r>
  <r>
    <n v="61100683"/>
    <s v="N"/>
    <n v="21412430"/>
    <s v="3000015282670001RC"/>
    <s v="CIVIL"/>
    <d v="2023-06-30T00:00:00"/>
    <d v="2023-07-21T19:28:22"/>
    <m/>
    <d v="2023-07-21T00:00:00"/>
    <n v="1317"/>
    <n v="20907"/>
    <s v="61100683"/>
    <s v="61100683"/>
    <m/>
    <m/>
    <m/>
    <m/>
    <m/>
    <m/>
    <s v="SOLRECOUP"/>
    <s v="SOLRECOUP"/>
    <s v="POARECOUP"/>
    <n v="21412430"/>
    <n v="-100"/>
    <m/>
    <s v="Y"/>
    <n v="1"/>
    <d v="2023-07-21T19:28:24"/>
    <s v="N"/>
    <m/>
    <m/>
    <s v="Non Expert Disbursement"/>
    <m/>
    <s v="N"/>
    <n v="-100"/>
    <n v="0"/>
    <x v="12"/>
    <s v="VALIDATED"/>
    <n v="1"/>
    <s v="01.11.80.307.2013.0000"/>
    <n v="-100"/>
    <s v="11"/>
    <s v="2013"/>
    <n v="3350.14"/>
    <n v="-100"/>
    <s v="CREDITOR"/>
    <n v="0"/>
    <n v="0"/>
    <n v="-100"/>
    <n v="0"/>
    <n v="0"/>
  </r>
  <r>
    <n v="61100683"/>
    <s v="N"/>
    <n v="21412450"/>
    <s v="3000015282670003RC"/>
    <s v="CIVIL"/>
    <d v="2023-06-30T00:00:00"/>
    <d v="2023-07-21T19:28:22"/>
    <m/>
    <d v="2023-07-21T00:00:00"/>
    <n v="1317"/>
    <n v="20907"/>
    <s v="61100683"/>
    <s v="61100683"/>
    <m/>
    <m/>
    <m/>
    <m/>
    <m/>
    <m/>
    <s v="SOLRECOUP"/>
    <s v="SOLRECOUP"/>
    <s v="POARECOUP"/>
    <n v="21412450"/>
    <n v="-232"/>
    <m/>
    <s v="Y"/>
    <n v="2"/>
    <d v="2023-07-21T19:28:24"/>
    <s v="N"/>
    <m/>
    <m/>
    <s v="Non Expert Disbursement"/>
    <m/>
    <s v="N"/>
    <n v="0"/>
    <n v="0"/>
    <x v="12"/>
    <s v="VALIDATED"/>
    <n v="1"/>
    <s v="01.11.80.000.0000.0000"/>
    <n v="0"/>
    <s v="11"/>
    <s v="0000"/>
    <n v="3350.14"/>
    <n v="0"/>
    <s v="CREDITOR"/>
    <n v="0"/>
    <n v="0"/>
    <n v="0"/>
    <n v="0"/>
    <n v="0"/>
  </r>
  <r>
    <n v="61100683"/>
    <s v="N"/>
    <n v="21412450"/>
    <s v="3000015282670003RC"/>
    <s v="CIVIL"/>
    <d v="2023-06-30T00:00:00"/>
    <d v="2023-07-21T19:28:22"/>
    <m/>
    <d v="2023-07-21T00:00:00"/>
    <n v="1317"/>
    <n v="20907"/>
    <s v="61100683"/>
    <s v="61100683"/>
    <m/>
    <m/>
    <m/>
    <m/>
    <m/>
    <m/>
    <s v="SOLRECOUP"/>
    <s v="SOLRECOUP"/>
    <s v="POARECOUP"/>
    <n v="21412450"/>
    <n v="-232"/>
    <m/>
    <s v="Y"/>
    <n v="1"/>
    <d v="2023-07-21T19:28:24"/>
    <s v="N"/>
    <m/>
    <m/>
    <s v="Non Expert Disbursement"/>
    <m/>
    <s v="N"/>
    <n v="-232"/>
    <n v="0"/>
    <x v="12"/>
    <s v="VALIDATED"/>
    <n v="1"/>
    <s v="01.11.80.307.2013.0000"/>
    <n v="-232"/>
    <s v="11"/>
    <s v="2013"/>
    <n v="3350.14"/>
    <n v="-232"/>
    <s v="CREDITOR"/>
    <n v="0"/>
    <n v="0"/>
    <n v="-232"/>
    <n v="0"/>
    <n v="0"/>
  </r>
  <r>
    <n v="61100683"/>
    <s v="N"/>
    <n v="21412471"/>
    <s v="3000015282670004RC"/>
    <s v="CIVIL"/>
    <d v="2023-06-30T00:00:00"/>
    <d v="2023-07-21T19:28:22"/>
    <m/>
    <d v="2023-07-21T00:00:00"/>
    <n v="1317"/>
    <n v="20907"/>
    <s v="61100683"/>
    <s v="61100683"/>
    <m/>
    <m/>
    <m/>
    <m/>
    <m/>
    <m/>
    <s v="SOLRECOUP"/>
    <s v="SOLRECOUP"/>
    <s v="POARECOUP"/>
    <n v="21412471"/>
    <n v="-1836.44"/>
    <m/>
    <s v="Y"/>
    <n v="1"/>
    <d v="2023-07-21T19:28:24"/>
    <s v="N"/>
    <m/>
    <m/>
    <s v="Profit Cost"/>
    <m/>
    <s v="N"/>
    <n v="-1530.37"/>
    <n v="0"/>
    <x v="12"/>
    <s v="VALIDATED"/>
    <n v="1"/>
    <s v="01.11.80.307.2013.0000"/>
    <n v="-1530.37"/>
    <s v="11"/>
    <s v="2013"/>
    <n v="3350.14"/>
    <n v="-1530.37"/>
    <s v="CREDITOR"/>
    <n v="0"/>
    <n v="0"/>
    <n v="-1530.37"/>
    <n v="-382.5925"/>
    <n v="0"/>
  </r>
  <r>
    <n v="61100683"/>
    <s v="N"/>
    <n v="21412471"/>
    <s v="3000015282670004RC"/>
    <s v="CIVIL"/>
    <d v="2023-06-30T00:00:00"/>
    <d v="2023-07-21T19:28:22"/>
    <m/>
    <d v="2023-07-21T00:00:00"/>
    <n v="1317"/>
    <n v="20907"/>
    <s v="61100683"/>
    <s v="61100683"/>
    <m/>
    <m/>
    <m/>
    <m/>
    <m/>
    <m/>
    <s v="SOLRECOUP"/>
    <s v="SOLRECOUP"/>
    <s v="POARECOUP"/>
    <n v="21412471"/>
    <n v="-1836.44"/>
    <m/>
    <s v="Y"/>
    <n v="2"/>
    <d v="2023-07-21T19:28:24"/>
    <s v="N"/>
    <m/>
    <m/>
    <s v="Profit Cost"/>
    <m/>
    <s v="N"/>
    <n v="0"/>
    <n v="-306.07"/>
    <x v="12"/>
    <s v="VALIDATED"/>
    <n v="1"/>
    <s v="01.11.80.307.2013.0000"/>
    <n v="-306.07"/>
    <s v="11"/>
    <s v="2013"/>
    <n v="3350.14"/>
    <n v="-306.07"/>
    <s v="CREDITOR"/>
    <n v="0"/>
    <n v="0"/>
    <n v="-306.07"/>
    <n v="-76.5175"/>
    <n v="0"/>
  </r>
  <r>
    <n v="60990368"/>
    <s v="N"/>
    <n v="21371673"/>
    <s v="3000015032540001RC"/>
    <s v="CIVIL"/>
    <d v="2023-06-30T00:00:00"/>
    <d v="2023-07-13T19:53:16"/>
    <m/>
    <d v="2023-07-13T00:00:00"/>
    <n v="1317"/>
    <n v="20907"/>
    <s v="60990368"/>
    <s v="60990368"/>
    <m/>
    <m/>
    <m/>
    <m/>
    <m/>
    <m/>
    <s v="SOLRECOUP"/>
    <s v="SOLRECOUP"/>
    <s v="POARECOUP"/>
    <n v="21371673"/>
    <n v="-237.64"/>
    <m/>
    <s v="Y"/>
    <n v="2"/>
    <d v="2023-07-13T19:53:17"/>
    <s v="N"/>
    <m/>
    <m/>
    <s v="Non Expert Disbursement"/>
    <m/>
    <s v="N"/>
    <n v="0"/>
    <n v="-39.61"/>
    <x v="11"/>
    <s v="VALIDATED"/>
    <n v="1"/>
    <s v="01.11.80.307.2013.0000"/>
    <n v="-39.61"/>
    <s v="11"/>
    <s v="2013"/>
    <n v="3350.14"/>
    <n v="-39.61"/>
    <s v="CREDITOR"/>
    <n v="0"/>
    <n v="0"/>
    <n v="-39.61"/>
    <n v="0"/>
    <n v="0"/>
  </r>
  <r>
    <n v="60990368"/>
    <s v="N"/>
    <n v="21371673"/>
    <s v="3000015032540001RC"/>
    <s v="CIVIL"/>
    <d v="2023-06-30T00:00:00"/>
    <d v="2023-07-13T19:53:16"/>
    <m/>
    <d v="2023-07-13T00:00:00"/>
    <n v="1317"/>
    <n v="20907"/>
    <s v="60990368"/>
    <s v="60990368"/>
    <m/>
    <m/>
    <m/>
    <m/>
    <m/>
    <m/>
    <s v="SOLRECOUP"/>
    <s v="SOLRECOUP"/>
    <s v="POARECOUP"/>
    <n v="21371673"/>
    <n v="-237.64"/>
    <m/>
    <s v="Y"/>
    <n v="1"/>
    <d v="2023-07-13T19:53:17"/>
    <s v="N"/>
    <m/>
    <m/>
    <s v="Non Expert Disbursement"/>
    <m/>
    <s v="N"/>
    <n v="-198.03"/>
    <n v="0"/>
    <x v="11"/>
    <s v="VALIDATED"/>
    <n v="1"/>
    <s v="01.11.80.307.2013.0000"/>
    <n v="-198.03"/>
    <s v="11"/>
    <s v="2013"/>
    <n v="3350.14"/>
    <n v="-198.03"/>
    <s v="CREDITOR"/>
    <n v="0"/>
    <n v="0"/>
    <n v="-198.03"/>
    <n v="0"/>
    <n v="0"/>
  </r>
  <r>
    <n v="60990368"/>
    <s v="N"/>
    <n v="21371674"/>
    <s v="3000015032540002RC"/>
    <s v="CIVIL"/>
    <d v="2023-06-30T00:00:00"/>
    <d v="2023-07-13T19:53:16"/>
    <m/>
    <d v="2023-07-13T00:00:00"/>
    <n v="1317"/>
    <n v="20907"/>
    <s v="60990368"/>
    <s v="60990368"/>
    <m/>
    <m/>
    <m/>
    <m/>
    <m/>
    <m/>
    <s v="SOLRECOUP"/>
    <s v="SOLRECOUP"/>
    <s v="POARECOUP"/>
    <n v="21371674"/>
    <n v="-504.38"/>
    <m/>
    <s v="Y"/>
    <n v="2"/>
    <d v="2023-07-13T19:53:17"/>
    <s v="N"/>
    <m/>
    <m/>
    <s v="Profit Cost"/>
    <m/>
    <s v="N"/>
    <n v="0"/>
    <n v="-84.06"/>
    <x v="11"/>
    <s v="VALIDATED"/>
    <n v="1"/>
    <s v="01.11.80.307.2013.0000"/>
    <n v="-84.06"/>
    <s v="11"/>
    <s v="2013"/>
    <n v="3350.14"/>
    <n v="-84.06"/>
    <s v="CREDITOR"/>
    <n v="0"/>
    <n v="0"/>
    <n v="-84.06"/>
    <n v="-21.015"/>
    <n v="0"/>
  </r>
  <r>
    <n v="60990368"/>
    <s v="N"/>
    <n v="21371674"/>
    <s v="3000015032540002RC"/>
    <s v="CIVIL"/>
    <d v="2023-06-30T00:00:00"/>
    <d v="2023-07-13T19:53:16"/>
    <m/>
    <d v="2023-07-13T00:00:00"/>
    <n v="1317"/>
    <n v="20907"/>
    <s v="60990368"/>
    <s v="60990368"/>
    <m/>
    <m/>
    <m/>
    <m/>
    <m/>
    <m/>
    <s v="SOLRECOUP"/>
    <s v="SOLRECOUP"/>
    <s v="POARECOUP"/>
    <n v="21371674"/>
    <n v="-504.38"/>
    <m/>
    <s v="Y"/>
    <n v="1"/>
    <d v="2023-07-13T19:53:17"/>
    <s v="N"/>
    <m/>
    <m/>
    <s v="Profit Cost"/>
    <m/>
    <s v="N"/>
    <n v="-420.32"/>
    <n v="0"/>
    <x v="11"/>
    <s v="VALIDATED"/>
    <n v="1"/>
    <s v="01.11.80.307.2013.0000"/>
    <n v="-420.32"/>
    <s v="11"/>
    <s v="2013"/>
    <n v="3350.14"/>
    <n v="-420.32"/>
    <s v="CREDITOR"/>
    <n v="0"/>
    <n v="0"/>
    <n v="-420.32"/>
    <n v="-105.08"/>
    <n v="0"/>
  </r>
  <r>
    <n v="60990368"/>
    <s v="N"/>
    <n v="21371675"/>
    <s v="3000015032540005RC"/>
    <s v="CIVIL"/>
    <d v="2023-06-30T00:00:00"/>
    <d v="2023-07-13T19:53:16"/>
    <m/>
    <d v="2023-07-13T00:00:00"/>
    <n v="1317"/>
    <n v="20907"/>
    <s v="60990368"/>
    <s v="60990368"/>
    <m/>
    <m/>
    <m/>
    <m/>
    <m/>
    <m/>
    <s v="SOLRECOUP"/>
    <s v="SOLRECOUP"/>
    <s v="POARECOUP"/>
    <n v="21371675"/>
    <n v="-204.37"/>
    <m/>
    <s v="Y"/>
    <n v="2"/>
    <d v="2023-07-13T19:53:17"/>
    <s v="N"/>
    <m/>
    <m/>
    <s v="Non Expert Disbursement"/>
    <m/>
    <s v="N"/>
    <n v="0"/>
    <n v="-34.06"/>
    <x v="11"/>
    <s v="VALIDATED"/>
    <n v="1"/>
    <s v="01.11.80.307.2013.0000"/>
    <n v="-34.06"/>
    <s v="11"/>
    <s v="2013"/>
    <n v="3350.14"/>
    <n v="-34.06"/>
    <s v="CREDITOR"/>
    <n v="0"/>
    <n v="0"/>
    <n v="-34.06"/>
    <n v="0"/>
    <n v="0"/>
  </r>
  <r>
    <n v="60990368"/>
    <s v="N"/>
    <n v="21371675"/>
    <s v="3000015032540005RC"/>
    <s v="CIVIL"/>
    <d v="2023-06-30T00:00:00"/>
    <d v="2023-07-13T19:53:16"/>
    <m/>
    <d v="2023-07-13T00:00:00"/>
    <n v="1317"/>
    <n v="20907"/>
    <s v="60990368"/>
    <s v="60990368"/>
    <m/>
    <m/>
    <m/>
    <m/>
    <m/>
    <m/>
    <s v="SOLRECOUP"/>
    <s v="SOLRECOUP"/>
    <s v="POARECOUP"/>
    <n v="21371675"/>
    <n v="-204.37"/>
    <m/>
    <s v="Y"/>
    <n v="1"/>
    <d v="2023-07-13T19:53:17"/>
    <s v="N"/>
    <m/>
    <m/>
    <s v="Non Expert Disbursement"/>
    <m/>
    <s v="N"/>
    <n v="-170.31"/>
    <n v="0"/>
    <x v="11"/>
    <s v="VALIDATED"/>
    <n v="1"/>
    <s v="01.11.80.307.2013.0000"/>
    <n v="-170.31"/>
    <s v="11"/>
    <s v="2013"/>
    <n v="3350.14"/>
    <n v="-170.31"/>
    <s v="CREDITOR"/>
    <n v="0"/>
    <n v="0"/>
    <n v="-170.31"/>
    <n v="0"/>
    <n v="0"/>
  </r>
  <r>
    <n v="60990368"/>
    <s v="N"/>
    <n v="21371676"/>
    <s v="3000015032540003RC"/>
    <s v="CIVIL"/>
    <d v="2023-06-30T00:00:00"/>
    <d v="2023-07-13T19:53:16"/>
    <m/>
    <d v="2023-07-13T00:00:00"/>
    <n v="1317"/>
    <n v="20907"/>
    <s v="60990368"/>
    <s v="60990368"/>
    <m/>
    <m/>
    <m/>
    <m/>
    <m/>
    <m/>
    <s v="SOLRECOUP"/>
    <s v="SOLRECOUP"/>
    <s v="POARECOUP"/>
    <n v="21371676"/>
    <n v="-232"/>
    <m/>
    <s v="Y"/>
    <n v="1"/>
    <d v="2023-07-13T19:53:17"/>
    <s v="N"/>
    <m/>
    <m/>
    <s v="Non Expert Disbursement"/>
    <m/>
    <s v="N"/>
    <n v="-232"/>
    <n v="0"/>
    <x v="11"/>
    <s v="VALIDATED"/>
    <n v="1"/>
    <s v="01.11.80.307.2013.0000"/>
    <n v="-232"/>
    <s v="11"/>
    <s v="2013"/>
    <n v="3350.14"/>
    <n v="-232"/>
    <s v="CREDITOR"/>
    <n v="0"/>
    <n v="0"/>
    <n v="-232"/>
    <n v="0"/>
    <n v="0"/>
  </r>
  <r>
    <n v="60990368"/>
    <s v="N"/>
    <n v="21371676"/>
    <s v="3000015032540003RC"/>
    <s v="CIVIL"/>
    <d v="2023-06-30T00:00:00"/>
    <d v="2023-07-13T19:53:16"/>
    <m/>
    <d v="2023-07-13T00:00:00"/>
    <n v="1317"/>
    <n v="20907"/>
    <s v="60990368"/>
    <s v="60990368"/>
    <m/>
    <m/>
    <m/>
    <m/>
    <m/>
    <m/>
    <s v="SOLRECOUP"/>
    <s v="SOLRECOUP"/>
    <s v="POARECOUP"/>
    <n v="21371676"/>
    <n v="-232"/>
    <m/>
    <s v="Y"/>
    <n v="2"/>
    <d v="2023-07-13T19:53:17"/>
    <s v="N"/>
    <m/>
    <m/>
    <s v="Non Expert Disbursement"/>
    <m/>
    <s v="N"/>
    <n v="0"/>
    <n v="0"/>
    <x v="11"/>
    <s v="VALIDATED"/>
    <n v="1"/>
    <s v="01.11.80.000.0000.0000"/>
    <n v="0"/>
    <s v="11"/>
    <s v="0000"/>
    <n v="3350.14"/>
    <n v="0"/>
    <s v="CREDITOR"/>
    <n v="0"/>
    <n v="0"/>
    <n v="0"/>
    <n v="0"/>
    <n v="0"/>
  </r>
  <r>
    <n v="59969012"/>
    <s v="N"/>
    <n v="21333881"/>
    <s v="3000014316120004RC"/>
    <s v="CIVIL"/>
    <d v="2023-06-28T00:00:00"/>
    <d v="2023-07-05T19:42:28"/>
    <m/>
    <d v="2023-07-05T00:00:00"/>
    <n v="1317"/>
    <n v="20907"/>
    <s v="59969012"/>
    <s v="59969012"/>
    <m/>
    <m/>
    <m/>
    <m/>
    <m/>
    <m/>
    <s v="SOLRECOUP"/>
    <s v="SOLRECOUP"/>
    <s v="POARECOUP"/>
    <n v="21333881"/>
    <n v="-232"/>
    <m/>
    <s v="Y"/>
    <n v="2"/>
    <d v="2023-07-05T19:42:29"/>
    <s v="N"/>
    <m/>
    <m/>
    <s v="Non Expert Disbursement"/>
    <m/>
    <s v="N"/>
    <n v="0"/>
    <n v="0"/>
    <x v="6"/>
    <s v="VALIDATED"/>
    <n v="1"/>
    <s v="01.11.80.000.0000.0000"/>
    <n v="0"/>
    <s v="11"/>
    <s v="0000"/>
    <n v="3350.14"/>
    <n v="0"/>
    <s v="CREDITOR"/>
    <n v="0"/>
    <n v="0"/>
    <n v="0"/>
    <n v="0"/>
    <n v="0"/>
  </r>
  <r>
    <n v="59969012"/>
    <s v="N"/>
    <n v="21333882"/>
    <s v="3000014316120006RC"/>
    <s v="CIVIL"/>
    <d v="2023-06-28T00:00:00"/>
    <d v="2023-07-05T19:42:28"/>
    <m/>
    <d v="2023-07-05T00:00:00"/>
    <n v="1317"/>
    <n v="20907"/>
    <s v="59969012"/>
    <s v="59969012"/>
    <m/>
    <m/>
    <m/>
    <m/>
    <m/>
    <m/>
    <s v="SOLRECOUP"/>
    <s v="SOLRECOUP"/>
    <s v="POARECOUP"/>
    <n v="21333882"/>
    <n v="-92"/>
    <m/>
    <s v="Y"/>
    <n v="1"/>
    <d v="2023-07-05T19:42:29"/>
    <s v="N"/>
    <m/>
    <m/>
    <s v="Non Expert Disbursement"/>
    <m/>
    <s v="N"/>
    <n v="-92"/>
    <n v="0"/>
    <x v="6"/>
    <s v="VALIDATED"/>
    <n v="1"/>
    <s v="01.11.80.302.2013.0000"/>
    <n v="-92"/>
    <s v="11"/>
    <s v="2013"/>
    <n v="3350.14"/>
    <n v="-92"/>
    <s v="CREDITOR"/>
    <n v="0"/>
    <n v="0"/>
    <n v="-92"/>
    <n v="0"/>
    <n v="0"/>
  </r>
  <r>
    <n v="59969012"/>
    <s v="N"/>
    <n v="21333882"/>
    <s v="3000014316120006RC"/>
    <s v="CIVIL"/>
    <d v="2023-06-28T00:00:00"/>
    <d v="2023-07-05T19:42:28"/>
    <m/>
    <d v="2023-07-05T00:00:00"/>
    <n v="1317"/>
    <n v="20907"/>
    <s v="59969012"/>
    <s v="59969012"/>
    <m/>
    <m/>
    <m/>
    <m/>
    <m/>
    <m/>
    <s v="SOLRECOUP"/>
    <s v="SOLRECOUP"/>
    <s v="POARECOUP"/>
    <n v="21333882"/>
    <n v="-92"/>
    <m/>
    <s v="Y"/>
    <n v="2"/>
    <d v="2023-07-05T19:42:29"/>
    <s v="N"/>
    <m/>
    <m/>
    <s v="Non Expert Disbursement"/>
    <m/>
    <s v="N"/>
    <n v="0"/>
    <n v="0"/>
    <x v="6"/>
    <s v="VALIDATED"/>
    <n v="1"/>
    <s v="01.11.80.000.0000.0000"/>
    <n v="0"/>
    <s v="11"/>
    <s v="0000"/>
    <n v="3350.14"/>
    <n v="0"/>
    <s v="CREDITOR"/>
    <n v="0"/>
    <n v="0"/>
    <n v="0"/>
    <n v="0"/>
    <n v="0"/>
  </r>
  <r>
    <n v="16236873"/>
    <s v="N"/>
    <n v="21333883"/>
    <s v="3000007820110024RC"/>
    <s v="CIVIL"/>
    <d v="2023-06-25T00:00:00"/>
    <d v="2023-07-05T19:42:28"/>
    <m/>
    <d v="2023-07-05T00:00:00"/>
    <n v="1317"/>
    <n v="20907"/>
    <s v="16236873"/>
    <s v="16236873"/>
    <m/>
    <m/>
    <m/>
    <m/>
    <m/>
    <m/>
    <s v="SOLRECOUP"/>
    <s v="SOLRECOUP"/>
    <s v="POARECOUP"/>
    <n v="21333883"/>
    <n v="-1441.33"/>
    <m/>
    <s v="Y"/>
    <n v="1"/>
    <d v="2023-07-05T19:42:29"/>
    <s v="N"/>
    <m/>
    <m/>
    <s v="Profit Cost"/>
    <m/>
    <s v="N"/>
    <n v="-1201.11"/>
    <n v="0"/>
    <x v="6"/>
    <s v="VALIDATED"/>
    <n v="1"/>
    <s v="01.11.80.307.2013.0000"/>
    <n v="-1201.11"/>
    <s v="11"/>
    <s v="2013"/>
    <n v="3350.14"/>
    <n v="-1201.11"/>
    <s v="CREDITOR"/>
    <n v="0"/>
    <n v="0"/>
    <n v="-1201.11"/>
    <n v="-300.2775"/>
    <n v="0"/>
  </r>
  <r>
    <n v="16236873"/>
    <s v="N"/>
    <n v="21333883"/>
    <s v="3000007820110024RC"/>
    <s v="CIVIL"/>
    <d v="2023-06-25T00:00:00"/>
    <d v="2023-07-05T19:42:28"/>
    <m/>
    <d v="2023-07-05T00:00:00"/>
    <n v="1317"/>
    <n v="20907"/>
    <s v="16236873"/>
    <s v="16236873"/>
    <m/>
    <m/>
    <m/>
    <m/>
    <m/>
    <m/>
    <s v="SOLRECOUP"/>
    <s v="SOLRECOUP"/>
    <s v="POARECOUP"/>
    <n v="21333883"/>
    <n v="-1441.33"/>
    <m/>
    <s v="Y"/>
    <n v="2"/>
    <d v="2023-07-05T19:42:29"/>
    <s v="N"/>
    <m/>
    <m/>
    <s v="Profit Cost"/>
    <m/>
    <s v="N"/>
    <n v="0"/>
    <n v="-240.22"/>
    <x v="6"/>
    <s v="VALIDATED"/>
    <n v="1"/>
    <s v="01.11.80.307.2013.0000"/>
    <n v="-240.22"/>
    <s v="11"/>
    <s v="2013"/>
    <n v="3350.14"/>
    <n v="-240.22"/>
    <s v="CREDITOR"/>
    <n v="0"/>
    <n v="0"/>
    <n v="-240.22"/>
    <n v="-60.055"/>
    <n v="0"/>
  </r>
  <r>
    <n v="60811304"/>
    <s v="N"/>
    <n v="21333884"/>
    <s v="3000015042280007RC"/>
    <s v="CIVIL"/>
    <d v="2023-06-26T00:00:00"/>
    <d v="2023-07-05T19:42:28"/>
    <m/>
    <d v="2023-07-05T00:00:00"/>
    <n v="1317"/>
    <n v="20907"/>
    <s v="60811304"/>
    <s v="60811304"/>
    <m/>
    <m/>
    <m/>
    <m/>
    <m/>
    <m/>
    <s v="SOLRECOUP"/>
    <s v="SOLRECOUP"/>
    <s v="POARECOUP"/>
    <n v="21333884"/>
    <n v="-13.05"/>
    <m/>
    <s v="Y"/>
    <n v="1"/>
    <d v="2023-07-05T19:42:29"/>
    <s v="N"/>
    <m/>
    <m/>
    <s v="Non Expert Disbursement"/>
    <m/>
    <s v="N"/>
    <n v="-13.05"/>
    <n v="0"/>
    <x v="6"/>
    <s v="VALIDATED"/>
    <n v="1"/>
    <s v="01.11.80.307.2013.0000"/>
    <n v="-13.05"/>
    <s v="11"/>
    <s v="2013"/>
    <n v="3350.14"/>
    <n v="-13.05"/>
    <s v="CREDITOR"/>
    <n v="0"/>
    <n v="0"/>
    <n v="-13.05"/>
    <n v="0"/>
    <n v="0"/>
  </r>
  <r>
    <n v="60811304"/>
    <s v="N"/>
    <n v="21333884"/>
    <s v="3000015042280007RC"/>
    <s v="CIVIL"/>
    <d v="2023-06-26T00:00:00"/>
    <d v="2023-07-05T19:42:28"/>
    <m/>
    <d v="2023-07-05T00:00:00"/>
    <n v="1317"/>
    <n v="20907"/>
    <s v="60811304"/>
    <s v="60811304"/>
    <m/>
    <m/>
    <m/>
    <m/>
    <m/>
    <m/>
    <s v="SOLRECOUP"/>
    <s v="SOLRECOUP"/>
    <s v="POARECOUP"/>
    <n v="21333884"/>
    <n v="-13.05"/>
    <m/>
    <s v="Y"/>
    <n v="2"/>
    <d v="2023-07-05T19:42:29"/>
    <s v="N"/>
    <m/>
    <m/>
    <s v="Non Expert Disbursement"/>
    <m/>
    <s v="N"/>
    <n v="0"/>
    <n v="0"/>
    <x v="6"/>
    <s v="VALIDATED"/>
    <n v="1"/>
    <s v="01.11.80.000.0000.0000"/>
    <n v="0"/>
    <s v="11"/>
    <s v="0000"/>
    <n v="3350.14"/>
    <n v="0"/>
    <s v="CREDITOR"/>
    <n v="0"/>
    <n v="0"/>
    <n v="0"/>
    <n v="0"/>
    <n v="0"/>
  </r>
  <r>
    <n v="60811304"/>
    <s v="N"/>
    <n v="21333885"/>
    <s v="3000015042280008RC"/>
    <s v="CIVIL"/>
    <d v="2023-06-26T00:00:00"/>
    <d v="2023-07-05T19:42:28"/>
    <m/>
    <d v="2023-07-05T00:00:00"/>
    <n v="1317"/>
    <n v="20907"/>
    <s v="60811304"/>
    <s v="60811304"/>
    <m/>
    <m/>
    <m/>
    <m/>
    <m/>
    <m/>
    <s v="SOLRECOUP"/>
    <s v="SOLRECOUP"/>
    <s v="POARECOUP"/>
    <n v="21333885"/>
    <n v="-2060.4"/>
    <m/>
    <s v="Y"/>
    <n v="1"/>
    <d v="2023-07-05T19:42:29"/>
    <s v="N"/>
    <m/>
    <m/>
    <s v="Expert Disbursement"/>
    <m/>
    <s v="N"/>
    <n v="-1717"/>
    <n v="0"/>
    <x v="6"/>
    <s v="VALIDATED"/>
    <n v="1"/>
    <s v="01.11.80.307.2013.0000"/>
    <n v="-1717"/>
    <s v="11"/>
    <s v="2013"/>
    <n v="3350.14"/>
    <n v="-1717"/>
    <s v="CREDITOR"/>
    <n v="0"/>
    <n v="0"/>
    <n v="-1717"/>
    <n v="0"/>
    <n v="0"/>
  </r>
  <r>
    <n v="60811304"/>
    <s v="N"/>
    <n v="21333885"/>
    <s v="3000015042280008RC"/>
    <s v="CIVIL"/>
    <d v="2023-06-26T00:00:00"/>
    <d v="2023-07-05T19:42:28"/>
    <m/>
    <d v="2023-07-05T00:00:00"/>
    <n v="1317"/>
    <n v="20907"/>
    <s v="60811304"/>
    <s v="60811304"/>
    <m/>
    <m/>
    <m/>
    <m/>
    <m/>
    <m/>
    <s v="SOLRECOUP"/>
    <s v="SOLRECOUP"/>
    <s v="POARECOUP"/>
    <n v="21333885"/>
    <n v="-2060.4"/>
    <m/>
    <s v="Y"/>
    <n v="2"/>
    <d v="2023-07-05T19:42:29"/>
    <s v="N"/>
    <m/>
    <m/>
    <s v="Expert Disbursement"/>
    <m/>
    <s v="N"/>
    <n v="0"/>
    <n v="-343.4"/>
    <x v="6"/>
    <s v="VALIDATED"/>
    <n v="1"/>
    <s v="01.11.80.307.2013.0000"/>
    <n v="-343.4"/>
    <s v="11"/>
    <s v="2013"/>
    <n v="3350.14"/>
    <n v="-343.4"/>
    <s v="CREDITOR"/>
    <n v="0"/>
    <n v="0"/>
    <n v="-343.4"/>
    <n v="0"/>
    <n v="0"/>
  </r>
  <r>
    <n v="16236873"/>
    <s v="N"/>
    <n v="21333886"/>
    <s v="3000007820110027RC"/>
    <s v="CIVIL"/>
    <d v="2023-06-25T00:00:00"/>
    <d v="2023-07-05T19:42:28"/>
    <m/>
    <d v="2023-07-05T00:00:00"/>
    <n v="1317"/>
    <n v="20907"/>
    <s v="16236873"/>
    <s v="16236873"/>
    <m/>
    <m/>
    <m/>
    <m/>
    <m/>
    <m/>
    <s v="SOLRECOUP"/>
    <s v="SOLRECOUP"/>
    <s v="POARECOUP"/>
    <n v="21333886"/>
    <n v="-193.57"/>
    <m/>
    <s v="Y"/>
    <n v="1"/>
    <d v="2023-07-05T19:42:29"/>
    <s v="N"/>
    <m/>
    <m/>
    <s v="Non Expert Disbursement"/>
    <m/>
    <s v="N"/>
    <n v="-161.31"/>
    <n v="0"/>
    <x v="6"/>
    <s v="VALIDATED"/>
    <n v="1"/>
    <s v="01.11.80.307.2013.0000"/>
    <n v="-161.31"/>
    <s v="11"/>
    <s v="2013"/>
    <n v="3350.14"/>
    <n v="-161.31"/>
    <s v="CREDITOR"/>
    <n v="0"/>
    <n v="0"/>
    <n v="-161.31"/>
    <n v="0"/>
    <n v="0"/>
  </r>
  <r>
    <n v="16236873"/>
    <s v="N"/>
    <n v="21333886"/>
    <s v="3000007820110027RC"/>
    <s v="CIVIL"/>
    <d v="2023-06-25T00:00:00"/>
    <d v="2023-07-05T19:42:28"/>
    <m/>
    <d v="2023-07-05T00:00:00"/>
    <n v="1317"/>
    <n v="20907"/>
    <s v="16236873"/>
    <s v="16236873"/>
    <m/>
    <m/>
    <m/>
    <m/>
    <m/>
    <m/>
    <s v="SOLRECOUP"/>
    <s v="SOLRECOUP"/>
    <s v="POARECOUP"/>
    <n v="21333886"/>
    <n v="-193.57"/>
    <m/>
    <s v="Y"/>
    <n v="2"/>
    <d v="2023-07-05T19:42:29"/>
    <s v="N"/>
    <m/>
    <m/>
    <s v="Non Expert Disbursement"/>
    <m/>
    <s v="N"/>
    <n v="0"/>
    <n v="-32.26"/>
    <x v="6"/>
    <s v="VALIDATED"/>
    <n v="1"/>
    <s v="01.11.80.307.2013.0000"/>
    <n v="-32.26"/>
    <s v="11"/>
    <s v="2013"/>
    <n v="3350.14"/>
    <n v="-32.26"/>
    <s v="CREDITOR"/>
    <n v="0"/>
    <n v="0"/>
    <n v="-32.26"/>
    <n v="0"/>
    <n v="0"/>
  </r>
  <r>
    <n v="16236873"/>
    <s v="N"/>
    <n v="21333887"/>
    <s v="3000007820110028RC"/>
    <s v="CIVIL"/>
    <d v="2023-06-25T00:00:00"/>
    <d v="2023-07-05T19:42:28"/>
    <m/>
    <d v="2023-07-05T00:00:00"/>
    <n v="1317"/>
    <n v="20907"/>
    <s v="16236873"/>
    <s v="16236873"/>
    <m/>
    <m/>
    <m/>
    <m/>
    <m/>
    <m/>
    <s v="SOLRECOUP"/>
    <s v="SOLRECOUP"/>
    <s v="POARECOUP"/>
    <n v="21333887"/>
    <n v="-167"/>
    <m/>
    <s v="Y"/>
    <n v="1"/>
    <d v="2023-07-05T19:42:29"/>
    <s v="N"/>
    <m/>
    <m/>
    <s v="Non Expert Disbursement"/>
    <m/>
    <s v="N"/>
    <n v="-167"/>
    <n v="0"/>
    <x v="6"/>
    <s v="VALIDATED"/>
    <n v="1"/>
    <s v="01.11.80.307.2013.0000"/>
    <n v="-167"/>
    <s v="11"/>
    <s v="2013"/>
    <n v="3350.14"/>
    <n v="-167"/>
    <s v="CREDITOR"/>
    <n v="0"/>
    <n v="0"/>
    <n v="-167"/>
    <n v="0"/>
    <n v="0"/>
  </r>
  <r>
    <n v="16236873"/>
    <s v="N"/>
    <n v="21333887"/>
    <s v="3000007820110028RC"/>
    <s v="CIVIL"/>
    <d v="2023-06-25T00:00:00"/>
    <d v="2023-07-05T19:42:28"/>
    <m/>
    <d v="2023-07-05T00:00:00"/>
    <n v="1317"/>
    <n v="20907"/>
    <s v="16236873"/>
    <s v="16236873"/>
    <m/>
    <m/>
    <m/>
    <m/>
    <m/>
    <m/>
    <s v="SOLRECOUP"/>
    <s v="SOLRECOUP"/>
    <s v="POARECOUP"/>
    <n v="21333887"/>
    <n v="-167"/>
    <m/>
    <s v="Y"/>
    <n v="2"/>
    <d v="2023-07-05T19:42:29"/>
    <s v="N"/>
    <m/>
    <m/>
    <s v="Non Expert Disbursement"/>
    <m/>
    <s v="N"/>
    <n v="0"/>
    <n v="0"/>
    <x v="6"/>
    <s v="VALIDATED"/>
    <n v="1"/>
    <s v="01.11.80.000.0000.0000"/>
    <n v="0"/>
    <s v="11"/>
    <s v="0000"/>
    <n v="3350.14"/>
    <n v="0"/>
    <s v="CREDITOR"/>
    <n v="0"/>
    <n v="0"/>
    <n v="0"/>
    <n v="0"/>
    <n v="0"/>
  </r>
  <r>
    <n v="60811304"/>
    <s v="N"/>
    <n v="21333888"/>
    <s v="3000015042280010RC"/>
    <s v="CIVIL"/>
    <d v="2023-06-26T00:00:00"/>
    <d v="2023-07-05T19:42:28"/>
    <m/>
    <d v="2023-07-05T00:00:00"/>
    <n v="1317"/>
    <n v="20907"/>
    <s v="60811304"/>
    <s v="60811304"/>
    <m/>
    <m/>
    <m/>
    <m/>
    <m/>
    <m/>
    <s v="SOLRECOUP"/>
    <s v="SOLRECOUP"/>
    <s v="POARECOUP"/>
    <n v="21333888"/>
    <n v="-1410.8"/>
    <m/>
    <s v="Y"/>
    <n v="1"/>
    <d v="2023-07-05T19:42:29"/>
    <s v="N"/>
    <m/>
    <m/>
    <s v="Profit Cost"/>
    <m/>
    <s v="N"/>
    <n v="-1175.67"/>
    <n v="0"/>
    <x v="6"/>
    <s v="VALIDATED"/>
    <n v="1"/>
    <s v="01.11.80.302.2013.0000"/>
    <n v="-1175.67"/>
    <s v="11"/>
    <s v="2013"/>
    <n v="3350.14"/>
    <n v="-1175.67"/>
    <s v="CREDITOR"/>
    <n v="0"/>
    <n v="0"/>
    <n v="-1175.67"/>
    <n v="-293.9175"/>
    <n v="0"/>
  </r>
  <r>
    <n v="60811304"/>
    <s v="N"/>
    <n v="21333888"/>
    <s v="3000015042280010RC"/>
    <s v="CIVIL"/>
    <d v="2023-06-26T00:00:00"/>
    <d v="2023-07-05T19:42:28"/>
    <m/>
    <d v="2023-07-05T00:00:00"/>
    <n v="1317"/>
    <n v="20907"/>
    <s v="60811304"/>
    <s v="60811304"/>
    <m/>
    <m/>
    <m/>
    <m/>
    <m/>
    <m/>
    <s v="SOLRECOUP"/>
    <s v="SOLRECOUP"/>
    <s v="POARECOUP"/>
    <n v="21333888"/>
    <n v="-1410.8"/>
    <m/>
    <s v="Y"/>
    <n v="2"/>
    <d v="2023-07-05T19:42:29"/>
    <s v="N"/>
    <m/>
    <m/>
    <s v="Profit Cost"/>
    <m/>
    <s v="N"/>
    <n v="0"/>
    <n v="-235.13"/>
    <x v="6"/>
    <s v="VALIDATED"/>
    <n v="1"/>
    <s v="01.11.80.302.2013.0000"/>
    <n v="-235.13"/>
    <s v="11"/>
    <s v="2013"/>
    <n v="3350.14"/>
    <n v="-235.13"/>
    <s v="CREDITOR"/>
    <n v="0"/>
    <n v="0"/>
    <n v="-235.13"/>
    <n v="-58.7825"/>
    <n v="0"/>
  </r>
  <r>
    <n v="16236873"/>
    <s v="N"/>
    <n v="21333889"/>
    <s v="3000007820110026RC"/>
    <s v="CIVIL"/>
    <d v="2023-06-25T00:00:00"/>
    <d v="2023-07-05T19:42:28"/>
    <m/>
    <d v="2023-07-05T00:00:00"/>
    <n v="1317"/>
    <n v="20907"/>
    <s v="16236873"/>
    <s v="16236873"/>
    <m/>
    <m/>
    <m/>
    <m/>
    <m/>
    <m/>
    <s v="SOLRECOUP"/>
    <s v="SOLRECOUP"/>
    <s v="POARECOUP"/>
    <n v="21333889"/>
    <n v="-198.2"/>
    <m/>
    <s v="Y"/>
    <n v="1"/>
    <d v="2023-07-05T19:42:29"/>
    <s v="N"/>
    <m/>
    <m/>
    <s v="Non Expert Disbursement"/>
    <m/>
    <s v="N"/>
    <n v="-198.2"/>
    <n v="0"/>
    <x v="6"/>
    <s v="VALIDATED"/>
    <n v="1"/>
    <s v="01.11.80.307.2013.0000"/>
    <n v="-198.2"/>
    <s v="11"/>
    <s v="2013"/>
    <n v="3350.14"/>
    <n v="-198.2"/>
    <s v="CREDITOR"/>
    <n v="0"/>
    <n v="0"/>
    <n v="-198.2"/>
    <n v="0"/>
    <n v="0"/>
  </r>
  <r>
    <n v="16236873"/>
    <s v="N"/>
    <n v="21333889"/>
    <s v="3000007820110026RC"/>
    <s v="CIVIL"/>
    <d v="2023-06-25T00:00:00"/>
    <d v="2023-07-05T19:42:28"/>
    <m/>
    <d v="2023-07-05T00:00:00"/>
    <n v="1317"/>
    <n v="20907"/>
    <s v="16236873"/>
    <s v="16236873"/>
    <m/>
    <m/>
    <m/>
    <m/>
    <m/>
    <m/>
    <s v="SOLRECOUP"/>
    <s v="SOLRECOUP"/>
    <s v="POARECOUP"/>
    <n v="21333889"/>
    <n v="-198.2"/>
    <m/>
    <s v="Y"/>
    <n v="2"/>
    <d v="2023-07-05T19:42:29"/>
    <s v="N"/>
    <m/>
    <m/>
    <s v="Non Expert Disbursement"/>
    <m/>
    <s v="N"/>
    <n v="0"/>
    <n v="0"/>
    <x v="6"/>
    <s v="VALIDATED"/>
    <n v="1"/>
    <s v="01.11.80.000.0000.0000"/>
    <n v="0"/>
    <s v="11"/>
    <s v="0000"/>
    <n v="3350.14"/>
    <n v="0"/>
    <s v="CREDITOR"/>
    <n v="0"/>
    <n v="0"/>
    <n v="0"/>
    <n v="0"/>
    <n v="0"/>
  </r>
  <r>
    <n v="60811304"/>
    <s v="N"/>
    <n v="21333890"/>
    <s v="3000015042280013RC"/>
    <s v="CIVIL"/>
    <d v="2023-06-26T00:00:00"/>
    <d v="2023-07-05T19:42:28"/>
    <m/>
    <d v="2023-07-05T00:00:00"/>
    <n v="1317"/>
    <n v="20907"/>
    <s v="60811304"/>
    <s v="60811304"/>
    <m/>
    <m/>
    <m/>
    <m/>
    <m/>
    <m/>
    <s v="SOLRECOUP"/>
    <s v="SOLRECOUP"/>
    <s v="POARECOUP"/>
    <n v="21333890"/>
    <n v="-574.8"/>
    <m/>
    <s v="Y"/>
    <n v="1"/>
    <d v="2023-07-05T19:42:29"/>
    <s v="N"/>
    <m/>
    <m/>
    <s v="Non Expert Disbursement"/>
    <m/>
    <s v="N"/>
    <n v="-574.8"/>
    <n v="0"/>
    <x v="6"/>
    <s v="VALIDATED"/>
    <n v="1"/>
    <s v="01.11.80.307.2013.0000"/>
    <n v="-574.8"/>
    <s v="11"/>
    <s v="2013"/>
    <n v="3350.14"/>
    <n v="-574.8"/>
    <s v="CREDITOR"/>
    <n v="0"/>
    <n v="0"/>
    <n v="-574.8"/>
    <n v="0"/>
    <n v="0"/>
  </r>
  <r>
    <n v="60811304"/>
    <s v="N"/>
    <n v="21333890"/>
    <s v="3000015042280013RC"/>
    <s v="CIVIL"/>
    <d v="2023-06-26T00:00:00"/>
    <d v="2023-07-05T19:42:28"/>
    <m/>
    <d v="2023-07-05T00:00:00"/>
    <n v="1317"/>
    <n v="20907"/>
    <s v="60811304"/>
    <s v="60811304"/>
    <m/>
    <m/>
    <m/>
    <m/>
    <m/>
    <m/>
    <s v="SOLRECOUP"/>
    <s v="SOLRECOUP"/>
    <s v="POARECOUP"/>
    <n v="21333890"/>
    <n v="-574.8"/>
    <m/>
    <s v="Y"/>
    <n v="2"/>
    <d v="2023-07-05T19:42:29"/>
    <s v="N"/>
    <m/>
    <m/>
    <s v="Non Expert Disbursement"/>
    <m/>
    <s v="N"/>
    <n v="0"/>
    <n v="0"/>
    <x v="6"/>
    <s v="VALIDATED"/>
    <n v="1"/>
    <s v="01.11.80.000.0000.0000"/>
    <n v="0"/>
    <s v="11"/>
    <s v="0000"/>
    <n v="3350.14"/>
    <n v="0"/>
    <s v="CREDITOR"/>
    <n v="0"/>
    <n v="0"/>
    <n v="0"/>
    <n v="0"/>
    <n v="0"/>
  </r>
  <r>
    <n v="60960601"/>
    <s v="N"/>
    <n v="21333891"/>
    <s v="3000015169070005RC"/>
    <s v="CIVIL"/>
    <d v="2023-06-27T00:00:00"/>
    <d v="2023-07-05T19:42:28"/>
    <m/>
    <d v="2023-07-05T00:00:00"/>
    <n v="1317"/>
    <n v="20907"/>
    <s v="60960601"/>
    <s v="60960601"/>
    <m/>
    <m/>
    <m/>
    <m/>
    <m/>
    <m/>
    <s v="SOLRECOUP"/>
    <s v="SOLRECOUP"/>
    <s v="POARECOUP"/>
    <n v="21333891"/>
    <n v="-882.54"/>
    <m/>
    <s v="Y"/>
    <n v="1"/>
    <d v="2023-07-05T19:42:29"/>
    <s v="N"/>
    <m/>
    <m/>
    <s v="Profit Cost"/>
    <m/>
    <s v="N"/>
    <n v="-735.45"/>
    <n v="0"/>
    <x v="6"/>
    <s v="VALIDATED"/>
    <n v="1"/>
    <s v="01.11.80.307.2013.0000"/>
    <n v="-735.45"/>
    <s v="11"/>
    <s v="2013"/>
    <n v="3350.14"/>
    <n v="-735.45"/>
    <s v="CREDITOR"/>
    <n v="0"/>
    <n v="0"/>
    <n v="-735.45"/>
    <n v="-183.8625"/>
    <n v="0"/>
  </r>
  <r>
    <n v="60960601"/>
    <s v="N"/>
    <n v="21333891"/>
    <s v="3000015169070005RC"/>
    <s v="CIVIL"/>
    <d v="2023-06-27T00:00:00"/>
    <d v="2023-07-05T19:42:28"/>
    <m/>
    <d v="2023-07-05T00:00:00"/>
    <n v="1317"/>
    <n v="20907"/>
    <s v="60960601"/>
    <s v="60960601"/>
    <m/>
    <m/>
    <m/>
    <m/>
    <m/>
    <m/>
    <s v="SOLRECOUP"/>
    <s v="SOLRECOUP"/>
    <s v="POARECOUP"/>
    <n v="21333891"/>
    <n v="-882.54"/>
    <m/>
    <s v="Y"/>
    <n v="2"/>
    <d v="2023-07-05T19:42:29"/>
    <s v="N"/>
    <m/>
    <m/>
    <s v="Profit Cost"/>
    <m/>
    <s v="N"/>
    <n v="0"/>
    <n v="-147.09"/>
    <x v="6"/>
    <s v="VALIDATED"/>
    <n v="1"/>
    <s v="01.11.80.307.2013.0000"/>
    <n v="-147.09"/>
    <s v="11"/>
    <s v="2013"/>
    <n v="3350.14"/>
    <n v="-147.09"/>
    <s v="CREDITOR"/>
    <n v="0"/>
    <n v="0"/>
    <n v="-147.09"/>
    <n v="-36.7725"/>
    <n v="0"/>
  </r>
  <r>
    <n v="16236873"/>
    <s v="N"/>
    <n v="21333892"/>
    <s v="3000007820110031RC"/>
    <s v="CIVIL"/>
    <d v="2023-06-25T00:00:00"/>
    <d v="2023-07-05T19:42:28"/>
    <m/>
    <d v="2023-07-05T00:00:00"/>
    <n v="1317"/>
    <n v="20907"/>
    <s v="16236873"/>
    <s v="16236873"/>
    <m/>
    <m/>
    <m/>
    <m/>
    <m/>
    <m/>
    <s v="SOLRECOUP"/>
    <s v="SOLRECOUP"/>
    <s v="POARECOUP"/>
    <n v="21333892"/>
    <n v="-1751.44"/>
    <m/>
    <s v="Y"/>
    <n v="1"/>
    <d v="2023-07-05T19:42:29"/>
    <s v="N"/>
    <m/>
    <m/>
    <s v="Non Expert Disbursement"/>
    <m/>
    <s v="N"/>
    <n v="-1459.53"/>
    <n v="0"/>
    <x v="6"/>
    <s v="VALIDATED"/>
    <n v="1"/>
    <s v="01.11.80.307.2013.0000"/>
    <n v="-1459.53"/>
    <s v="11"/>
    <s v="2013"/>
    <n v="3350.14"/>
    <n v="-1459.53"/>
    <s v="CREDITOR"/>
    <n v="0"/>
    <n v="0"/>
    <n v="-1459.53"/>
    <n v="0"/>
    <n v="0"/>
  </r>
  <r>
    <n v="16236873"/>
    <s v="N"/>
    <n v="21333892"/>
    <s v="3000007820110031RC"/>
    <s v="CIVIL"/>
    <d v="2023-06-25T00:00:00"/>
    <d v="2023-07-05T19:42:28"/>
    <m/>
    <d v="2023-07-05T00:00:00"/>
    <n v="1317"/>
    <n v="20907"/>
    <s v="16236873"/>
    <s v="16236873"/>
    <m/>
    <m/>
    <m/>
    <m/>
    <m/>
    <m/>
    <s v="SOLRECOUP"/>
    <s v="SOLRECOUP"/>
    <s v="POARECOUP"/>
    <n v="21333892"/>
    <n v="-1751.44"/>
    <m/>
    <s v="Y"/>
    <n v="2"/>
    <d v="2023-07-05T19:42:29"/>
    <s v="N"/>
    <m/>
    <m/>
    <s v="Non Expert Disbursement"/>
    <m/>
    <s v="N"/>
    <n v="0"/>
    <n v="-291.91"/>
    <x v="6"/>
    <s v="VALIDATED"/>
    <n v="1"/>
    <s v="01.11.80.307.2013.0000"/>
    <n v="-291.91"/>
    <s v="11"/>
    <s v="2013"/>
    <n v="3350.14"/>
    <n v="-291.91"/>
    <s v="CREDITOR"/>
    <n v="0"/>
    <n v="0"/>
    <n v="-291.91"/>
    <n v="0"/>
    <n v="0"/>
  </r>
  <r>
    <n v="60392480"/>
    <s v="N"/>
    <n v="21340007"/>
    <s v="3000014681540004RC"/>
    <s v="CIVIL"/>
    <d v="2023-06-28T00:00:00"/>
    <d v="2023-07-06T19:54:22"/>
    <m/>
    <d v="2023-07-06T00:00:00"/>
    <n v="1317"/>
    <n v="20907"/>
    <s v="60392480"/>
    <s v="60392480"/>
    <m/>
    <m/>
    <m/>
    <m/>
    <m/>
    <m/>
    <s v="SOLRECOUP"/>
    <s v="SOLRECOUP"/>
    <s v="POARECOUP"/>
    <n v="21340007"/>
    <n v="-1518.13"/>
    <m/>
    <s v="Y"/>
    <n v="2"/>
    <d v="2023-07-06T19:54:23"/>
    <s v="N"/>
    <m/>
    <m/>
    <s v="Profit Cost"/>
    <m/>
    <s v="N"/>
    <n v="0"/>
    <n v="-253.02"/>
    <x v="4"/>
    <s v="VALIDATED"/>
    <n v="1"/>
    <s v="01.11.80.302.2013.0000"/>
    <n v="-253.02"/>
    <s v="11"/>
    <s v="2013"/>
    <n v="3350.14"/>
    <n v="-253.02"/>
    <s v="CREDITOR"/>
    <n v="0"/>
    <n v="0"/>
    <n v="-253.02"/>
    <n v="-63.255"/>
    <n v="0"/>
  </r>
  <r>
    <n v="60392480"/>
    <s v="N"/>
    <n v="21340007"/>
    <s v="3000014681540004RC"/>
    <s v="CIVIL"/>
    <d v="2023-06-28T00:00:00"/>
    <d v="2023-07-06T19:54:22"/>
    <m/>
    <d v="2023-07-06T00:00:00"/>
    <n v="1317"/>
    <n v="20907"/>
    <s v="60392480"/>
    <s v="60392480"/>
    <m/>
    <m/>
    <m/>
    <m/>
    <m/>
    <m/>
    <s v="SOLRECOUP"/>
    <s v="SOLRECOUP"/>
    <s v="POARECOUP"/>
    <n v="21340007"/>
    <n v="-1518.13"/>
    <m/>
    <s v="Y"/>
    <n v="1"/>
    <d v="2023-07-06T19:54:23"/>
    <s v="N"/>
    <m/>
    <m/>
    <s v="Profit Cost"/>
    <m/>
    <s v="N"/>
    <n v="-1265.11"/>
    <n v="0"/>
    <x v="4"/>
    <s v="VALIDATED"/>
    <n v="1"/>
    <s v="01.11.80.302.2013.0000"/>
    <n v="-1265.11"/>
    <s v="11"/>
    <s v="2013"/>
    <n v="3350.14"/>
    <n v="-1265.11"/>
    <s v="CREDITOR"/>
    <n v="0"/>
    <n v="0"/>
    <n v="-1265.11"/>
    <n v="-316.2775"/>
    <n v="0"/>
  </r>
  <r>
    <n v="60723628"/>
    <s v="N"/>
    <n v="21340008"/>
    <s v="3000014967630003RC"/>
    <s v="CIVIL"/>
    <d v="2023-06-29T00:00:00"/>
    <d v="2023-07-06T19:54:22"/>
    <m/>
    <d v="2023-07-06T00:00:00"/>
    <n v="1317"/>
    <n v="20907"/>
    <s v="60723628"/>
    <s v="60723628"/>
    <m/>
    <m/>
    <m/>
    <m/>
    <m/>
    <m/>
    <s v="SOLRECOUP"/>
    <s v="SOLRECOUP"/>
    <s v="POARECOUP"/>
    <n v="21340008"/>
    <n v="-475.92"/>
    <m/>
    <s v="Y"/>
    <n v="2"/>
    <d v="2023-07-06T19:54:23"/>
    <s v="N"/>
    <m/>
    <m/>
    <s v="Expert Disbursement"/>
    <m/>
    <s v="N"/>
    <n v="0"/>
    <n v="-79.31999999999999"/>
    <x v="4"/>
    <s v="VALIDATED"/>
    <n v="1"/>
    <s v="01.11.80.308.2013.0000"/>
    <n v="-79.31999999999999"/>
    <s v="11"/>
    <s v="2013"/>
    <n v="3350.14"/>
    <n v="-79.31999999999999"/>
    <s v="CREDITOR"/>
    <n v="0"/>
    <n v="0"/>
    <n v="-79.31999999999999"/>
    <n v="0"/>
    <n v="0"/>
  </r>
  <r>
    <n v="60723628"/>
    <s v="N"/>
    <n v="21340008"/>
    <s v="3000014967630003RC"/>
    <s v="CIVIL"/>
    <d v="2023-06-29T00:00:00"/>
    <d v="2023-07-06T19:54:22"/>
    <m/>
    <d v="2023-07-06T00:00:00"/>
    <n v="1317"/>
    <n v="20907"/>
    <s v="60723628"/>
    <s v="60723628"/>
    <m/>
    <m/>
    <m/>
    <m/>
    <m/>
    <m/>
    <s v="SOLRECOUP"/>
    <s v="SOLRECOUP"/>
    <s v="POARECOUP"/>
    <n v="21340008"/>
    <n v="-475.92"/>
    <m/>
    <s v="Y"/>
    <n v="1"/>
    <d v="2023-07-06T19:54:23"/>
    <s v="N"/>
    <m/>
    <m/>
    <s v="Expert Disbursement"/>
    <m/>
    <s v="N"/>
    <n v="-396.6"/>
    <n v="0"/>
    <x v="4"/>
    <s v="VALIDATED"/>
    <n v="1"/>
    <s v="01.11.80.308.2013.0000"/>
    <n v="-396.6"/>
    <s v="11"/>
    <s v="2013"/>
    <n v="3350.14"/>
    <n v="-396.6"/>
    <s v="CREDITOR"/>
    <n v="0"/>
    <n v="0"/>
    <n v="-396.6"/>
    <n v="0"/>
    <n v="0"/>
  </r>
  <r>
    <n v="60392480"/>
    <s v="N"/>
    <n v="21340009"/>
    <s v="3000014681540003RC"/>
    <s v="CIVIL"/>
    <d v="2023-06-28T00:00:00"/>
    <d v="2023-07-06T19:54:22"/>
    <m/>
    <d v="2023-07-06T00:00:00"/>
    <n v="1317"/>
    <n v="20907"/>
    <s v="60392480"/>
    <s v="60392480"/>
    <m/>
    <m/>
    <m/>
    <m/>
    <m/>
    <m/>
    <s v="SOLRECOUP"/>
    <s v="SOLRECOUP"/>
    <s v="POARECOUP"/>
    <n v="21340009"/>
    <n v="-232"/>
    <m/>
    <s v="Y"/>
    <n v="2"/>
    <d v="2023-07-06T19:54:23"/>
    <s v="N"/>
    <m/>
    <m/>
    <s v="Non Expert Disbursement"/>
    <m/>
    <s v="N"/>
    <n v="0"/>
    <n v="0"/>
    <x v="4"/>
    <s v="VALIDATED"/>
    <n v="1"/>
    <s v="01.11.80.000.0000.0000"/>
    <n v="0"/>
    <s v="11"/>
    <s v="0000"/>
    <n v="3350.14"/>
    <n v="0"/>
    <s v="CREDITOR"/>
    <n v="0"/>
    <n v="0"/>
    <n v="0"/>
    <n v="0"/>
    <n v="0"/>
  </r>
  <r>
    <n v="60392480"/>
    <s v="N"/>
    <n v="21340009"/>
    <s v="3000014681540003RC"/>
    <s v="CIVIL"/>
    <d v="2023-06-28T00:00:00"/>
    <d v="2023-07-06T19:54:22"/>
    <m/>
    <d v="2023-07-06T00:00:00"/>
    <n v="1317"/>
    <n v="20907"/>
    <s v="60392480"/>
    <s v="60392480"/>
    <m/>
    <m/>
    <m/>
    <m/>
    <m/>
    <m/>
    <s v="SOLRECOUP"/>
    <s v="SOLRECOUP"/>
    <s v="POARECOUP"/>
    <n v="21340009"/>
    <n v="-232"/>
    <m/>
    <s v="Y"/>
    <n v="1"/>
    <d v="2023-07-06T19:54:23"/>
    <s v="N"/>
    <m/>
    <m/>
    <s v="Non Expert Disbursement"/>
    <m/>
    <s v="N"/>
    <n v="-232"/>
    <n v="0"/>
    <x v="4"/>
    <s v="VALIDATED"/>
    <n v="1"/>
    <s v="01.11.80.302.2013.0000"/>
    <n v="-232"/>
    <s v="11"/>
    <s v="2013"/>
    <n v="3350.14"/>
    <n v="-232"/>
    <s v="CREDITOR"/>
    <n v="0"/>
    <n v="0"/>
    <n v="-232"/>
    <n v="0"/>
    <n v="0"/>
  </r>
  <r>
    <n v="60723628"/>
    <s v="N"/>
    <n v="21340010"/>
    <s v="3000014967630004RC"/>
    <s v="CIVIL"/>
    <d v="2023-06-29T00:00:00"/>
    <d v="2023-07-06T19:54:22"/>
    <m/>
    <d v="2023-07-06T00:00:00"/>
    <n v="1317"/>
    <n v="20907"/>
    <s v="60723628"/>
    <s v="60723628"/>
    <m/>
    <m/>
    <m/>
    <m/>
    <m/>
    <m/>
    <s v="SOLRECOUP"/>
    <s v="SOLRECOUP"/>
    <s v="POARECOUP"/>
    <n v="21340010"/>
    <n v="-908.24"/>
    <m/>
    <s v="Y"/>
    <n v="2"/>
    <d v="2023-07-06T19:54:23"/>
    <s v="N"/>
    <m/>
    <m/>
    <s v="Profit Cost"/>
    <m/>
    <s v="N"/>
    <n v="0"/>
    <n v="-151.37"/>
    <x v="4"/>
    <s v="VALIDATED"/>
    <n v="1"/>
    <s v="01.11.80.308.2013.0000"/>
    <n v="-151.37"/>
    <s v="11"/>
    <s v="2013"/>
    <n v="3350.14"/>
    <n v="-151.37"/>
    <s v="CREDITOR"/>
    <n v="0"/>
    <n v="0"/>
    <n v="-151.37"/>
    <n v="-37.8425"/>
    <n v="0"/>
  </r>
  <r>
    <n v="60723628"/>
    <s v="N"/>
    <n v="21340010"/>
    <s v="3000014967630004RC"/>
    <s v="CIVIL"/>
    <d v="2023-06-29T00:00:00"/>
    <d v="2023-07-06T19:54:22"/>
    <m/>
    <d v="2023-07-06T00:00:00"/>
    <n v="1317"/>
    <n v="20907"/>
    <s v="60723628"/>
    <s v="60723628"/>
    <m/>
    <m/>
    <m/>
    <m/>
    <m/>
    <m/>
    <s v="SOLRECOUP"/>
    <s v="SOLRECOUP"/>
    <s v="POARECOUP"/>
    <n v="21340010"/>
    <n v="-908.24"/>
    <m/>
    <s v="Y"/>
    <n v="1"/>
    <d v="2023-07-06T19:54:23"/>
    <s v="N"/>
    <m/>
    <m/>
    <s v="Profit Cost"/>
    <m/>
    <s v="N"/>
    <n v="-756.87"/>
    <n v="0"/>
    <x v="4"/>
    <s v="VALIDATED"/>
    <n v="1"/>
    <s v="01.11.80.308.2013.0000"/>
    <n v="-756.87"/>
    <s v="11"/>
    <s v="2013"/>
    <n v="3350.14"/>
    <n v="-756.87"/>
    <s v="CREDITOR"/>
    <n v="0"/>
    <n v="0"/>
    <n v="-756.87"/>
    <n v="-189.2175"/>
    <n v="0"/>
  </r>
  <r>
    <n v="60723628"/>
    <s v="N"/>
    <n v="21340011"/>
    <s v="3000014967630007RC"/>
    <s v="CIVIL"/>
    <d v="2023-06-29T00:00:00"/>
    <d v="2023-07-06T19:54:22"/>
    <m/>
    <d v="2023-07-06T00:00:00"/>
    <n v="1317"/>
    <n v="20907"/>
    <s v="60723628"/>
    <s v="60723628"/>
    <m/>
    <m/>
    <m/>
    <m/>
    <m/>
    <m/>
    <s v="SOLRECOUP"/>
    <s v="SOLRECOUP"/>
    <s v="POARECOUP"/>
    <n v="21340011"/>
    <n v="-512.4"/>
    <m/>
    <s v="Y"/>
    <n v="2"/>
    <d v="2023-07-06T19:54:23"/>
    <s v="N"/>
    <m/>
    <m/>
    <s v="Non Expert Disbursement"/>
    <m/>
    <s v="N"/>
    <n v="0"/>
    <n v="-85.40000000000001"/>
    <x v="4"/>
    <s v="VALIDATED"/>
    <n v="1"/>
    <s v="01.11.80.308.2013.0000"/>
    <n v="-85.40000000000001"/>
    <s v="11"/>
    <s v="2013"/>
    <n v="3350.14"/>
    <n v="-85.40000000000001"/>
    <s v="CREDITOR"/>
    <n v="0"/>
    <n v="0"/>
    <n v="-85.40000000000001"/>
    <n v="0"/>
    <n v="0"/>
  </r>
  <r>
    <n v="60723628"/>
    <s v="N"/>
    <n v="21340011"/>
    <s v="3000014967630007RC"/>
    <s v="CIVIL"/>
    <d v="2023-06-29T00:00:00"/>
    <d v="2023-07-06T19:54:22"/>
    <m/>
    <d v="2023-07-06T00:00:00"/>
    <n v="1317"/>
    <n v="20907"/>
    <s v="60723628"/>
    <s v="60723628"/>
    <m/>
    <m/>
    <m/>
    <m/>
    <m/>
    <m/>
    <s v="SOLRECOUP"/>
    <s v="SOLRECOUP"/>
    <s v="POARECOUP"/>
    <n v="21340011"/>
    <n v="-512.4"/>
    <m/>
    <s v="Y"/>
    <n v="1"/>
    <d v="2023-07-06T19:54:23"/>
    <s v="N"/>
    <m/>
    <m/>
    <s v="Non Expert Disbursement"/>
    <m/>
    <s v="N"/>
    <n v="-427"/>
    <n v="0"/>
    <x v="4"/>
    <s v="VALIDATED"/>
    <n v="1"/>
    <s v="01.11.80.308.2013.0000"/>
    <n v="-427"/>
    <s v="11"/>
    <s v="2013"/>
    <n v="3350.14"/>
    <n v="-427"/>
    <s v="CREDITOR"/>
    <n v="0"/>
    <n v="0"/>
    <n v="-427"/>
    <n v="0"/>
    <n v="0"/>
  </r>
  <r>
    <n v="60392480"/>
    <s v="N"/>
    <n v="21340012"/>
    <s v="3000014681540006RC"/>
    <s v="CIVIL"/>
    <d v="2023-06-28T00:00:00"/>
    <d v="2023-07-06T19:54:22"/>
    <m/>
    <d v="2023-07-06T00:00:00"/>
    <n v="1317"/>
    <n v="20907"/>
    <s v="60392480"/>
    <s v="60392480"/>
    <m/>
    <m/>
    <m/>
    <m/>
    <m/>
    <m/>
    <s v="SOLRECOUP"/>
    <s v="SOLRECOUP"/>
    <s v="POARECOUP"/>
    <n v="21340012"/>
    <n v="-504"/>
    <m/>
    <s v="Y"/>
    <n v="2"/>
    <d v="2023-07-06T19:54:23"/>
    <s v="N"/>
    <m/>
    <m/>
    <s v="Non Expert Disbursement"/>
    <m/>
    <s v="N"/>
    <n v="0"/>
    <n v="-84"/>
    <x v="4"/>
    <s v="VALIDATED"/>
    <n v="1"/>
    <s v="01.11.80.302.2013.0000"/>
    <n v="-84"/>
    <s v="11"/>
    <s v="2013"/>
    <n v="3350.14"/>
    <n v="-84"/>
    <s v="CREDITOR"/>
    <n v="0"/>
    <n v="0"/>
    <n v="-84"/>
    <n v="0"/>
    <n v="0"/>
  </r>
  <r>
    <n v="60392480"/>
    <s v="N"/>
    <n v="21340012"/>
    <s v="3000014681540006RC"/>
    <s v="CIVIL"/>
    <d v="2023-06-28T00:00:00"/>
    <d v="2023-07-06T19:54:22"/>
    <m/>
    <d v="2023-07-06T00:00:00"/>
    <n v="1317"/>
    <n v="20907"/>
    <s v="60392480"/>
    <s v="60392480"/>
    <m/>
    <m/>
    <m/>
    <m/>
    <m/>
    <m/>
    <s v="SOLRECOUP"/>
    <s v="SOLRECOUP"/>
    <s v="POARECOUP"/>
    <n v="21340012"/>
    <n v="-504"/>
    <m/>
    <s v="Y"/>
    <n v="1"/>
    <d v="2023-07-06T19:54:23"/>
    <s v="N"/>
    <m/>
    <m/>
    <s v="Non Expert Disbursement"/>
    <m/>
    <s v="N"/>
    <n v="-420"/>
    <n v="0"/>
    <x v="4"/>
    <s v="VALIDATED"/>
    <n v="1"/>
    <s v="01.11.80.302.2013.0000"/>
    <n v="-420"/>
    <s v="11"/>
    <s v="2013"/>
    <n v="3350.14"/>
    <n v="-420"/>
    <s v="CREDITOR"/>
    <n v="0"/>
    <n v="0"/>
    <n v="-420"/>
    <n v="0"/>
    <n v="0"/>
  </r>
  <r>
    <n v="60723628"/>
    <s v="N"/>
    <n v="21340013"/>
    <s v="3000014967630009RC"/>
    <s v="CIVIL"/>
    <d v="2023-06-29T00:00:00"/>
    <d v="2023-07-06T19:54:22"/>
    <m/>
    <d v="2023-07-06T00:00:00"/>
    <n v="1317"/>
    <n v="20907"/>
    <s v="60723628"/>
    <s v="60723628"/>
    <m/>
    <m/>
    <m/>
    <m/>
    <m/>
    <m/>
    <s v="SOLRECOUP"/>
    <s v="SOLRECOUP"/>
    <s v="POARECOUP"/>
    <n v="21340013"/>
    <n v="-496.37"/>
    <m/>
    <s v="Y"/>
    <n v="2"/>
    <d v="2023-07-06T19:54:23"/>
    <s v="N"/>
    <m/>
    <m/>
    <s v="Profit Cost"/>
    <m/>
    <s v="N"/>
    <n v="0"/>
    <n v="-82.73"/>
    <x v="4"/>
    <s v="VALIDATED"/>
    <n v="1"/>
    <s v="01.11.80.308.2013.0000"/>
    <n v="-82.73"/>
    <s v="11"/>
    <s v="2013"/>
    <n v="3350.14"/>
    <n v="-82.73"/>
    <s v="CREDITOR"/>
    <n v="0"/>
    <n v="0"/>
    <n v="-82.73"/>
    <n v="-20.6825"/>
    <n v="0"/>
  </r>
  <r>
    <n v="60723628"/>
    <s v="N"/>
    <n v="21340013"/>
    <s v="3000014967630009RC"/>
    <s v="CIVIL"/>
    <d v="2023-06-29T00:00:00"/>
    <d v="2023-07-06T19:54:22"/>
    <m/>
    <d v="2023-07-06T00:00:00"/>
    <n v="1317"/>
    <n v="20907"/>
    <s v="60723628"/>
    <s v="60723628"/>
    <m/>
    <m/>
    <m/>
    <m/>
    <m/>
    <m/>
    <s v="SOLRECOUP"/>
    <s v="SOLRECOUP"/>
    <s v="POARECOUP"/>
    <n v="21340013"/>
    <n v="-496.37"/>
    <m/>
    <s v="Y"/>
    <n v="1"/>
    <d v="2023-07-06T19:54:23"/>
    <s v="N"/>
    <m/>
    <m/>
    <s v="Profit Cost"/>
    <m/>
    <s v="N"/>
    <n v="-413.64"/>
    <n v="0"/>
    <x v="4"/>
    <s v="VALIDATED"/>
    <n v="1"/>
    <s v="01.11.80.308.2013.0000"/>
    <n v="-413.64"/>
    <s v="11"/>
    <s v="2013"/>
    <n v="3350.14"/>
    <n v="-413.64"/>
    <s v="CREDITOR"/>
    <n v="0"/>
    <n v="0"/>
    <n v="-413.64"/>
    <n v="-103.41"/>
    <n v="0"/>
  </r>
  <r>
    <n v="60723628"/>
    <s v="N"/>
    <n v="21340014"/>
    <s v="3000014967630008RC"/>
    <s v="CIVIL"/>
    <d v="2023-06-29T00:00:00"/>
    <d v="2023-07-06T19:54:22"/>
    <m/>
    <d v="2023-07-06T00:00:00"/>
    <n v="1317"/>
    <n v="20907"/>
    <s v="60723628"/>
    <s v="60723628"/>
    <m/>
    <m/>
    <m/>
    <m/>
    <m/>
    <m/>
    <s v="SOLRECOUP"/>
    <s v="SOLRECOUP"/>
    <s v="POARECOUP"/>
    <n v="21340014"/>
    <n v="-397.92"/>
    <m/>
    <s v="Y"/>
    <n v="2"/>
    <d v="2023-07-06T19:54:23"/>
    <s v="N"/>
    <m/>
    <m/>
    <s v="Expert Disbursement"/>
    <m/>
    <s v="N"/>
    <n v="0"/>
    <n v="-66.31999999999999"/>
    <x v="4"/>
    <s v="VALIDATED"/>
    <n v="1"/>
    <s v="01.11.80.308.2013.0000"/>
    <n v="-66.31999999999999"/>
    <s v="11"/>
    <s v="2013"/>
    <n v="3350.14"/>
    <n v="-66.31999999999999"/>
    <s v="CREDITOR"/>
    <n v="0"/>
    <n v="0"/>
    <n v="-66.31999999999999"/>
    <n v="0"/>
    <n v="0"/>
  </r>
  <r>
    <n v="60723628"/>
    <s v="N"/>
    <n v="21340014"/>
    <s v="3000014967630008RC"/>
    <s v="CIVIL"/>
    <d v="2023-06-29T00:00:00"/>
    <d v="2023-07-06T19:54:22"/>
    <m/>
    <d v="2023-07-06T00:00:00"/>
    <n v="1317"/>
    <n v="20907"/>
    <s v="60723628"/>
    <s v="60723628"/>
    <m/>
    <m/>
    <m/>
    <m/>
    <m/>
    <m/>
    <s v="SOLRECOUP"/>
    <s v="SOLRECOUP"/>
    <s v="POARECOUP"/>
    <n v="21340014"/>
    <n v="-397.92"/>
    <m/>
    <s v="Y"/>
    <n v="1"/>
    <d v="2023-07-06T19:54:23"/>
    <s v="N"/>
    <m/>
    <m/>
    <s v="Expert Disbursement"/>
    <m/>
    <s v="N"/>
    <n v="-331.6"/>
    <n v="0"/>
    <x v="4"/>
    <s v="VALIDATED"/>
    <n v="1"/>
    <s v="01.11.80.308.2013.0000"/>
    <n v="-331.6"/>
    <s v="11"/>
    <s v="2013"/>
    <n v="3350.14"/>
    <n v="-331.6"/>
    <s v="CREDITOR"/>
    <n v="0"/>
    <n v="0"/>
    <n v="-331.6"/>
    <n v="0"/>
    <n v="0"/>
  </r>
  <r>
    <n v="60392480"/>
    <s v="N"/>
    <n v="21340015"/>
    <s v="3000014681540007RC"/>
    <s v="CIVIL"/>
    <d v="2023-06-28T00:00:00"/>
    <d v="2023-07-06T19:54:22"/>
    <m/>
    <d v="2023-07-06T00:00:00"/>
    <n v="1317"/>
    <n v="20907"/>
    <s v="60392480"/>
    <s v="60392480"/>
    <m/>
    <m/>
    <m/>
    <m/>
    <m/>
    <m/>
    <s v="SOLRECOUP"/>
    <s v="SOLRECOUP"/>
    <s v="POARECOUP"/>
    <n v="21340015"/>
    <n v="-1056.78"/>
    <m/>
    <s v="Y"/>
    <n v="2"/>
    <d v="2023-07-06T19:54:23"/>
    <s v="N"/>
    <m/>
    <m/>
    <s v="Profit Cost"/>
    <m/>
    <s v="N"/>
    <n v="0"/>
    <n v="-176.13"/>
    <x v="4"/>
    <s v="VALIDATED"/>
    <n v="1"/>
    <s v="01.11.80.302.2013.0000"/>
    <n v="-176.13"/>
    <s v="11"/>
    <s v="2013"/>
    <n v="3350.14"/>
    <n v="-176.13"/>
    <s v="CREDITOR"/>
    <n v="0"/>
    <n v="0"/>
    <n v="-176.13"/>
    <n v="-44.0325"/>
    <n v="0"/>
  </r>
  <r>
    <n v="60392480"/>
    <s v="N"/>
    <n v="21340015"/>
    <s v="3000014681540007RC"/>
    <s v="CIVIL"/>
    <d v="2023-06-28T00:00:00"/>
    <d v="2023-07-06T19:54:22"/>
    <m/>
    <d v="2023-07-06T00:00:00"/>
    <n v="1317"/>
    <n v="20907"/>
    <s v="60392480"/>
    <s v="60392480"/>
    <m/>
    <m/>
    <m/>
    <m/>
    <m/>
    <m/>
    <s v="SOLRECOUP"/>
    <s v="SOLRECOUP"/>
    <s v="POARECOUP"/>
    <n v="21340015"/>
    <n v="-1056.78"/>
    <m/>
    <s v="Y"/>
    <n v="1"/>
    <d v="2023-07-06T19:54:23"/>
    <s v="N"/>
    <m/>
    <m/>
    <s v="Profit Cost"/>
    <m/>
    <s v="N"/>
    <n v="-880.65"/>
    <n v="0"/>
    <x v="4"/>
    <s v="VALIDATED"/>
    <n v="1"/>
    <s v="01.11.80.302.2013.0000"/>
    <n v="-880.65"/>
    <s v="11"/>
    <s v="2013"/>
    <n v="3350.14"/>
    <n v="-880.65"/>
    <s v="CREDITOR"/>
    <n v="0"/>
    <n v="0"/>
    <n v="-880.65"/>
    <n v="-220.1625"/>
    <n v="0"/>
  </r>
  <r>
    <n v="61022629"/>
    <s v="N"/>
    <n v="21340016"/>
    <s v="3000015152050004RC"/>
    <s v="CIVIL"/>
    <d v="2023-06-28T00:00:00"/>
    <d v="2023-07-06T19:54:22"/>
    <m/>
    <d v="2023-07-06T00:00:00"/>
    <n v="1317"/>
    <n v="20907"/>
    <s v="61022629"/>
    <s v="61022629"/>
    <m/>
    <m/>
    <m/>
    <m/>
    <m/>
    <m/>
    <s v="SOLRECOUP"/>
    <s v="SOLRECOUP"/>
    <s v="POARECOUP"/>
    <n v="21340016"/>
    <n v="-167"/>
    <m/>
    <s v="Y"/>
    <n v="2"/>
    <d v="2023-07-06T19:54:23"/>
    <s v="N"/>
    <m/>
    <m/>
    <s v="Non Expert Disbursement"/>
    <m/>
    <s v="N"/>
    <n v="0"/>
    <n v="0"/>
    <x v="4"/>
    <s v="VALIDATED"/>
    <n v="1"/>
    <s v="01.11.80.000.0000.0000"/>
    <n v="0"/>
    <s v="11"/>
    <s v="0000"/>
    <n v="3350.14"/>
    <n v="0"/>
    <s v="CREDITOR"/>
    <n v="0"/>
    <n v="0"/>
    <n v="0"/>
    <n v="0"/>
    <n v="0"/>
  </r>
  <r>
    <n v="61022629"/>
    <s v="N"/>
    <n v="21340016"/>
    <s v="3000015152050004RC"/>
    <s v="CIVIL"/>
    <d v="2023-06-28T00:00:00"/>
    <d v="2023-07-06T19:54:22"/>
    <m/>
    <d v="2023-07-06T00:00:00"/>
    <n v="1317"/>
    <n v="20907"/>
    <s v="61022629"/>
    <s v="61022629"/>
    <m/>
    <m/>
    <m/>
    <m/>
    <m/>
    <m/>
    <s v="SOLRECOUP"/>
    <s v="SOLRECOUP"/>
    <s v="POARECOUP"/>
    <n v="21340016"/>
    <n v="-167"/>
    <m/>
    <s v="Y"/>
    <n v="1"/>
    <d v="2023-07-06T19:54:23"/>
    <s v="N"/>
    <m/>
    <m/>
    <s v="Non Expert Disbursement"/>
    <m/>
    <s v="N"/>
    <n v="-167"/>
    <n v="0"/>
    <x v="4"/>
    <s v="VALIDATED"/>
    <n v="1"/>
    <s v="01.11.80.307.2013.0000"/>
    <n v="-167"/>
    <s v="11"/>
    <s v="2013"/>
    <n v="3350.14"/>
    <n v="-167"/>
    <s v="CREDITOR"/>
    <n v="0"/>
    <n v="0"/>
    <n v="-167"/>
    <n v="0"/>
    <n v="0"/>
  </r>
  <r>
    <n v="60213489"/>
    <s v="N"/>
    <n v="21356542"/>
    <s v="3000014527140004RC"/>
    <s v="CIVIL"/>
    <d v="2023-06-29T00:00:00"/>
    <d v="2023-07-10T19:47:44"/>
    <m/>
    <d v="2023-07-10T00:00:00"/>
    <n v="1317"/>
    <n v="20907"/>
    <s v="60213489"/>
    <s v="60213489"/>
    <m/>
    <m/>
    <m/>
    <m/>
    <m/>
    <m/>
    <s v="SOLRECOUP"/>
    <s v="SOLRECOUP"/>
    <s v="POARECOUP"/>
    <n v="21356542"/>
    <n v="-596.74"/>
    <m/>
    <s v="Y"/>
    <n v="1"/>
    <d v="2023-07-10T19:47:45"/>
    <s v="N"/>
    <m/>
    <m/>
    <s v="Profit Cost"/>
    <m/>
    <s v="N"/>
    <n v="-497.28"/>
    <n v="0"/>
    <x v="2"/>
    <s v="VALIDATED"/>
    <n v="1"/>
    <s v="01.11.80.308.2013.0000"/>
    <n v="-497.28"/>
    <s v="11"/>
    <s v="2013"/>
    <n v="3350.14"/>
    <n v="-497.28"/>
    <s v="CREDITOR"/>
    <n v="0"/>
    <n v="0"/>
    <n v="-497.28"/>
    <n v="-124.32"/>
    <n v="0"/>
  </r>
  <r>
    <n v="60213489"/>
    <s v="N"/>
    <n v="21356542"/>
    <s v="3000014527140004RC"/>
    <s v="CIVIL"/>
    <d v="2023-06-29T00:00:00"/>
    <d v="2023-07-10T19:47:44"/>
    <m/>
    <d v="2023-07-10T00:00:00"/>
    <n v="1317"/>
    <n v="20907"/>
    <s v="60213489"/>
    <s v="60213489"/>
    <m/>
    <m/>
    <m/>
    <m/>
    <m/>
    <m/>
    <s v="SOLRECOUP"/>
    <s v="SOLRECOUP"/>
    <s v="POARECOUP"/>
    <n v="21356542"/>
    <n v="-596.74"/>
    <m/>
    <s v="Y"/>
    <n v="2"/>
    <d v="2023-07-10T19:47:45"/>
    <s v="N"/>
    <m/>
    <m/>
    <s v="Profit Cost"/>
    <m/>
    <s v="N"/>
    <n v="0"/>
    <n v="-99.45999999999999"/>
    <x v="2"/>
    <s v="VALIDATED"/>
    <n v="1"/>
    <s v="01.11.80.308.2013.0000"/>
    <n v="-99.45999999999999"/>
    <s v="11"/>
    <s v="2013"/>
    <n v="3350.14"/>
    <n v="-99.45999999999999"/>
    <s v="CREDITOR"/>
    <n v="0"/>
    <n v="0"/>
    <n v="-99.45999999999999"/>
    <n v="-24.865"/>
    <n v="0"/>
  </r>
  <r>
    <n v="60213489"/>
    <s v="N"/>
    <n v="21356543"/>
    <s v="3000014527140006RC"/>
    <s v="CIVIL"/>
    <d v="2023-06-29T00:00:00"/>
    <d v="2023-07-10T19:47:44"/>
    <m/>
    <d v="2023-07-10T00:00:00"/>
    <n v="1317"/>
    <n v="20907"/>
    <s v="60213489"/>
    <s v="60213489"/>
    <m/>
    <m/>
    <m/>
    <m/>
    <m/>
    <m/>
    <s v="SOLRECOUP"/>
    <s v="SOLRECOUP"/>
    <s v="POARECOUP"/>
    <n v="21356543"/>
    <n v="-47.6"/>
    <m/>
    <s v="Y"/>
    <n v="1"/>
    <d v="2023-07-10T19:47:45"/>
    <s v="N"/>
    <m/>
    <m/>
    <s v="Expert Disbursement"/>
    <m/>
    <s v="N"/>
    <n v="-47.6"/>
    <n v="0"/>
    <x v="2"/>
    <s v="VALIDATED"/>
    <n v="1"/>
    <s v="01.11.80.308.2013.0000"/>
    <n v="-47.6"/>
    <s v="11"/>
    <s v="2013"/>
    <n v="3350.14"/>
    <n v="-47.6"/>
    <s v="CREDITOR"/>
    <n v="0"/>
    <n v="0"/>
    <n v="-47.6"/>
    <n v="0"/>
    <n v="0"/>
  </r>
  <r>
    <n v="60213489"/>
    <s v="N"/>
    <n v="21356543"/>
    <s v="3000014527140006RC"/>
    <s v="CIVIL"/>
    <d v="2023-06-29T00:00:00"/>
    <d v="2023-07-10T19:47:44"/>
    <m/>
    <d v="2023-07-10T00:00:00"/>
    <n v="1317"/>
    <n v="20907"/>
    <s v="60213489"/>
    <s v="60213489"/>
    <m/>
    <m/>
    <m/>
    <m/>
    <m/>
    <m/>
    <s v="SOLRECOUP"/>
    <s v="SOLRECOUP"/>
    <s v="POARECOUP"/>
    <n v="21356543"/>
    <n v="-47.6"/>
    <m/>
    <s v="Y"/>
    <n v="2"/>
    <d v="2023-07-10T19:47:45"/>
    <s v="N"/>
    <m/>
    <m/>
    <s v="Expert Disbursement"/>
    <m/>
    <s v="N"/>
    <n v="0"/>
    <n v="0"/>
    <x v="2"/>
    <s v="VALIDATED"/>
    <n v="1"/>
    <s v="01.11.80.000.0000.0000"/>
    <n v="0"/>
    <s v="11"/>
    <s v="0000"/>
    <n v="3350.14"/>
    <n v="0"/>
    <s v="CREDITOR"/>
    <n v="0"/>
    <n v="0"/>
    <n v="0"/>
    <n v="0"/>
    <n v="0"/>
  </r>
  <r>
    <n v="60213489"/>
    <s v="N"/>
    <n v="21356544"/>
    <s v="3000014527140005RC"/>
    <s v="CIVIL"/>
    <d v="2023-06-29T00:00:00"/>
    <d v="2023-07-10T19:47:44"/>
    <m/>
    <d v="2023-07-10T00:00:00"/>
    <n v="1317"/>
    <n v="20907"/>
    <s v="60213489"/>
    <s v="60213489"/>
    <m/>
    <m/>
    <m/>
    <m/>
    <m/>
    <m/>
    <s v="SOLRECOUP"/>
    <s v="SOLRECOUP"/>
    <s v="POARECOUP"/>
    <n v="21356544"/>
    <n v="-648"/>
    <m/>
    <s v="Y"/>
    <n v="1"/>
    <d v="2023-07-10T19:47:45"/>
    <s v="N"/>
    <m/>
    <m/>
    <s v="Non Expert Disbursement"/>
    <m/>
    <s v="N"/>
    <n v="-540"/>
    <n v="0"/>
    <x v="2"/>
    <s v="VALIDATED"/>
    <n v="1"/>
    <s v="01.11.80.308.2013.0000"/>
    <n v="-540"/>
    <s v="11"/>
    <s v="2013"/>
    <n v="3350.14"/>
    <n v="-540"/>
    <s v="CREDITOR"/>
    <n v="0"/>
    <n v="0"/>
    <n v="-540"/>
    <n v="0"/>
    <n v="0"/>
  </r>
  <r>
    <n v="60213489"/>
    <s v="N"/>
    <n v="21356544"/>
    <s v="3000014527140005RC"/>
    <s v="CIVIL"/>
    <d v="2023-06-29T00:00:00"/>
    <d v="2023-07-10T19:47:44"/>
    <m/>
    <d v="2023-07-10T00:00:00"/>
    <n v="1317"/>
    <n v="20907"/>
    <s v="60213489"/>
    <s v="60213489"/>
    <m/>
    <m/>
    <m/>
    <m/>
    <m/>
    <m/>
    <s v="SOLRECOUP"/>
    <s v="SOLRECOUP"/>
    <s v="POARECOUP"/>
    <n v="21356544"/>
    <n v="-648"/>
    <m/>
    <s v="Y"/>
    <n v="2"/>
    <d v="2023-07-10T19:47:45"/>
    <s v="N"/>
    <m/>
    <m/>
    <s v="Non Expert Disbursement"/>
    <m/>
    <s v="N"/>
    <n v="0"/>
    <n v="-108"/>
    <x v="2"/>
    <s v="VALIDATED"/>
    <n v="1"/>
    <s v="01.11.80.308.2013.0000"/>
    <n v="-108"/>
    <s v="11"/>
    <s v="2013"/>
    <n v="3350.14"/>
    <n v="-108"/>
    <s v="CREDITOR"/>
    <n v="0"/>
    <n v="0"/>
    <n v="-108"/>
    <n v="0"/>
    <n v="0"/>
  </r>
  <r>
    <n v="60213489"/>
    <s v="N"/>
    <n v="21356545"/>
    <s v="3000014527140007RC"/>
    <s v="CIVIL"/>
    <d v="2023-06-29T00:00:00"/>
    <d v="2023-07-10T19:47:44"/>
    <m/>
    <d v="2023-07-10T00:00:00"/>
    <n v="1317"/>
    <n v="20907"/>
    <s v="60213489"/>
    <s v="60213489"/>
    <m/>
    <m/>
    <m/>
    <m/>
    <m/>
    <m/>
    <s v="SOLRECOUP"/>
    <s v="SOLRECOUP"/>
    <s v="POARECOUP"/>
    <n v="21356545"/>
    <n v="-377.96"/>
    <m/>
    <s v="Y"/>
    <n v="1"/>
    <d v="2023-07-10T19:47:45"/>
    <s v="N"/>
    <m/>
    <m/>
    <s v="Expert Disbursement"/>
    <m/>
    <s v="N"/>
    <n v="-314.97"/>
    <n v="0"/>
    <x v="2"/>
    <s v="VALIDATED"/>
    <n v="1"/>
    <s v="01.11.80.308.2013.0000"/>
    <n v="-314.97"/>
    <s v="11"/>
    <s v="2013"/>
    <n v="3350.14"/>
    <n v="-314.97"/>
    <s v="CREDITOR"/>
    <n v="0"/>
    <n v="0"/>
    <n v="-314.97"/>
    <n v="0"/>
    <n v="0"/>
  </r>
  <r>
    <n v="60213489"/>
    <s v="N"/>
    <n v="21356545"/>
    <s v="3000014527140007RC"/>
    <s v="CIVIL"/>
    <d v="2023-06-29T00:00:00"/>
    <d v="2023-07-10T19:47:44"/>
    <m/>
    <d v="2023-07-10T00:00:00"/>
    <n v="1317"/>
    <n v="20907"/>
    <s v="60213489"/>
    <s v="60213489"/>
    <m/>
    <m/>
    <m/>
    <m/>
    <m/>
    <m/>
    <s v="SOLRECOUP"/>
    <s v="SOLRECOUP"/>
    <s v="POARECOUP"/>
    <n v="21356545"/>
    <n v="-377.96"/>
    <m/>
    <s v="Y"/>
    <n v="2"/>
    <d v="2023-07-10T19:47:45"/>
    <s v="N"/>
    <m/>
    <m/>
    <s v="Expert Disbursement"/>
    <m/>
    <s v="N"/>
    <n v="0"/>
    <n v="-62.99"/>
    <x v="2"/>
    <s v="VALIDATED"/>
    <n v="1"/>
    <s v="01.11.80.308.2013.0000"/>
    <n v="-62.99"/>
    <s v="11"/>
    <s v="2013"/>
    <n v="3350.14"/>
    <n v="-62.99"/>
    <s v="CREDITOR"/>
    <n v="0"/>
    <n v="0"/>
    <n v="-62.99"/>
    <n v="0"/>
    <n v="0"/>
  </r>
  <r>
    <n v="60213489"/>
    <s v="N"/>
    <n v="21356546"/>
    <s v="3000014527140002RC"/>
    <s v="CIVIL"/>
    <d v="2023-06-29T00:00:00"/>
    <d v="2023-07-10T19:47:44"/>
    <m/>
    <d v="2023-07-10T00:00:00"/>
    <n v="1317"/>
    <n v="20907"/>
    <s v="60213489"/>
    <s v="60213489"/>
    <m/>
    <m/>
    <m/>
    <m/>
    <m/>
    <m/>
    <s v="SOLRECOUP"/>
    <s v="SOLRECOUP"/>
    <s v="POARECOUP"/>
    <n v="21356546"/>
    <n v="-343.6"/>
    <m/>
    <s v="Y"/>
    <n v="1"/>
    <d v="2023-07-10T19:47:45"/>
    <s v="N"/>
    <m/>
    <m/>
    <s v="Non Expert Disbursement"/>
    <m/>
    <s v="N"/>
    <n v="-286.33"/>
    <n v="0"/>
    <x v="2"/>
    <s v="VALIDATED"/>
    <n v="1"/>
    <s v="01.11.80.308.2013.0000"/>
    <n v="-286.33"/>
    <s v="11"/>
    <s v="2013"/>
    <n v="3350.14"/>
    <n v="-286.33"/>
    <s v="CREDITOR"/>
    <n v="0"/>
    <n v="0"/>
    <n v="-286.33"/>
    <n v="0"/>
    <n v="0"/>
  </r>
  <r>
    <n v="60213489"/>
    <s v="N"/>
    <n v="21356546"/>
    <s v="3000014527140002RC"/>
    <s v="CIVIL"/>
    <d v="2023-06-29T00:00:00"/>
    <d v="2023-07-10T19:47:44"/>
    <m/>
    <d v="2023-07-10T00:00:00"/>
    <n v="1317"/>
    <n v="20907"/>
    <s v="60213489"/>
    <s v="60213489"/>
    <m/>
    <m/>
    <m/>
    <m/>
    <m/>
    <m/>
    <s v="SOLRECOUP"/>
    <s v="SOLRECOUP"/>
    <s v="POARECOUP"/>
    <n v="21356546"/>
    <n v="-343.6"/>
    <m/>
    <s v="Y"/>
    <n v="2"/>
    <d v="2023-07-10T19:47:45"/>
    <s v="N"/>
    <m/>
    <m/>
    <s v="Non Expert Disbursement"/>
    <m/>
    <s v="N"/>
    <n v="0"/>
    <n v="-57.27"/>
    <x v="2"/>
    <s v="VALIDATED"/>
    <n v="1"/>
    <s v="01.11.80.308.2013.0000"/>
    <n v="-57.27"/>
    <s v="11"/>
    <s v="2013"/>
    <n v="3350.14"/>
    <n v="-57.27"/>
    <s v="CREDITOR"/>
    <n v="0"/>
    <n v="0"/>
    <n v="-57.27"/>
    <n v="0"/>
    <n v="0"/>
  </r>
  <r>
    <n v="60213489"/>
    <s v="N"/>
    <n v="21356547"/>
    <s v="3000014527140008RC"/>
    <s v="CIVIL"/>
    <d v="2023-06-29T00:00:00"/>
    <d v="2023-07-10T19:47:44"/>
    <m/>
    <d v="2023-07-10T00:00:00"/>
    <n v="1317"/>
    <n v="20907"/>
    <s v="60213489"/>
    <s v="60213489"/>
    <m/>
    <m/>
    <m/>
    <m/>
    <m/>
    <m/>
    <s v="SOLRECOUP"/>
    <s v="SOLRECOUP"/>
    <s v="POARECOUP"/>
    <n v="21356547"/>
    <n v="-613.91"/>
    <m/>
    <s v="Y"/>
    <n v="1"/>
    <d v="2023-07-10T19:47:45"/>
    <s v="N"/>
    <m/>
    <m/>
    <s v="Profit Cost"/>
    <m/>
    <s v="N"/>
    <n v="-511.59"/>
    <n v="0"/>
    <x v="2"/>
    <s v="VALIDATED"/>
    <n v="1"/>
    <s v="01.11.80.308.2013.0000"/>
    <n v="-511.59"/>
    <s v="11"/>
    <s v="2013"/>
    <n v="3350.14"/>
    <n v="-511.59"/>
    <s v="CREDITOR"/>
    <n v="0"/>
    <n v="0"/>
    <n v="-511.59"/>
    <n v="-127.8975"/>
    <n v="0"/>
  </r>
  <r>
    <n v="60213489"/>
    <s v="N"/>
    <n v="21356547"/>
    <s v="3000014527140008RC"/>
    <s v="CIVIL"/>
    <d v="2023-06-29T00:00:00"/>
    <d v="2023-07-10T19:47:44"/>
    <m/>
    <d v="2023-07-10T00:00:00"/>
    <n v="1317"/>
    <n v="20907"/>
    <s v="60213489"/>
    <s v="60213489"/>
    <m/>
    <m/>
    <m/>
    <m/>
    <m/>
    <m/>
    <s v="SOLRECOUP"/>
    <s v="SOLRECOUP"/>
    <s v="POARECOUP"/>
    <n v="21356547"/>
    <n v="-613.91"/>
    <m/>
    <s v="Y"/>
    <n v="2"/>
    <d v="2023-07-10T19:47:45"/>
    <s v="N"/>
    <m/>
    <m/>
    <s v="Profit Cost"/>
    <m/>
    <s v="N"/>
    <n v="0"/>
    <n v="-102.32"/>
    <x v="2"/>
    <s v="VALIDATED"/>
    <n v="1"/>
    <s v="01.11.80.308.2013.0000"/>
    <n v="-102.32"/>
    <s v="11"/>
    <s v="2013"/>
    <n v="3350.14"/>
    <n v="-102.32"/>
    <s v="CREDITOR"/>
    <n v="0"/>
    <n v="0"/>
    <n v="-102.32"/>
    <n v="-25.58"/>
    <n v="0"/>
  </r>
  <r>
    <n v="60213489"/>
    <s v="N"/>
    <n v="21356548"/>
    <s v="3000014527140010RC"/>
    <s v="CIVIL"/>
    <d v="2023-06-29T00:00:00"/>
    <d v="2023-07-10T19:47:44"/>
    <m/>
    <d v="2023-07-10T00:00:00"/>
    <n v="1317"/>
    <n v="20907"/>
    <s v="60213489"/>
    <s v="60213489"/>
    <m/>
    <m/>
    <m/>
    <m/>
    <m/>
    <m/>
    <s v="SOLRECOUP"/>
    <s v="SOLRECOUP"/>
    <s v="POARECOUP"/>
    <n v="21356548"/>
    <n v="-285.56"/>
    <m/>
    <s v="Y"/>
    <n v="1"/>
    <d v="2023-07-10T19:47:45"/>
    <s v="N"/>
    <m/>
    <m/>
    <s v="Expert Disbursement"/>
    <m/>
    <s v="N"/>
    <n v="-237.97"/>
    <n v="0"/>
    <x v="2"/>
    <s v="VALIDATED"/>
    <n v="1"/>
    <s v="01.11.80.308.2013.0000"/>
    <n v="-237.97"/>
    <s v="11"/>
    <s v="2013"/>
    <n v="3350.14"/>
    <n v="-237.97"/>
    <s v="CREDITOR"/>
    <n v="0"/>
    <n v="0"/>
    <n v="-237.97"/>
    <n v="0"/>
    <n v="0"/>
  </r>
  <r>
    <n v="60213489"/>
    <s v="N"/>
    <n v="21356548"/>
    <s v="3000014527140010RC"/>
    <s v="CIVIL"/>
    <d v="2023-06-29T00:00:00"/>
    <d v="2023-07-10T19:47:44"/>
    <m/>
    <d v="2023-07-10T00:00:00"/>
    <n v="1317"/>
    <n v="20907"/>
    <s v="60213489"/>
    <s v="60213489"/>
    <m/>
    <m/>
    <m/>
    <m/>
    <m/>
    <m/>
    <s v="SOLRECOUP"/>
    <s v="SOLRECOUP"/>
    <s v="POARECOUP"/>
    <n v="21356548"/>
    <n v="-285.56"/>
    <m/>
    <s v="Y"/>
    <n v="2"/>
    <d v="2023-07-10T19:47:45"/>
    <s v="N"/>
    <m/>
    <m/>
    <s v="Expert Disbursement"/>
    <m/>
    <s v="N"/>
    <n v="0"/>
    <n v="-47.59"/>
    <x v="2"/>
    <s v="VALIDATED"/>
    <n v="1"/>
    <s v="01.11.80.308.2013.0000"/>
    <n v="-47.59"/>
    <s v="11"/>
    <s v="2013"/>
    <n v="3350.14"/>
    <n v="-47.59"/>
    <s v="CREDITOR"/>
    <n v="0"/>
    <n v="0"/>
    <n v="-47.59"/>
    <n v="0"/>
    <n v="0"/>
  </r>
  <r>
    <n v="60213489"/>
    <s v="N"/>
    <n v="21356549"/>
    <s v="3000014527140011RC"/>
    <s v="CIVIL"/>
    <d v="2023-06-29T00:00:00"/>
    <d v="2023-07-10T19:47:44"/>
    <m/>
    <d v="2023-07-10T00:00:00"/>
    <n v="1317"/>
    <n v="20907"/>
    <s v="60213489"/>
    <s v="60213489"/>
    <m/>
    <m/>
    <m/>
    <m/>
    <m/>
    <m/>
    <s v="SOLRECOUP"/>
    <s v="SOLRECOUP"/>
    <s v="POARECOUP"/>
    <n v="21356549"/>
    <n v="-1081.76"/>
    <m/>
    <s v="Y"/>
    <n v="1"/>
    <d v="2023-07-10T19:47:45"/>
    <s v="N"/>
    <m/>
    <m/>
    <s v="Profit Cost"/>
    <m/>
    <s v="N"/>
    <n v="-901.47"/>
    <n v="0"/>
    <x v="2"/>
    <s v="VALIDATED"/>
    <n v="1"/>
    <s v="01.11.80.308.2013.0000"/>
    <n v="-901.47"/>
    <s v="11"/>
    <s v="2013"/>
    <n v="3350.14"/>
    <n v="-901.47"/>
    <s v="CREDITOR"/>
    <n v="0"/>
    <n v="0"/>
    <n v="-901.47"/>
    <n v="-225.3675"/>
    <n v="0"/>
  </r>
  <r>
    <n v="60213489"/>
    <s v="N"/>
    <n v="21356549"/>
    <s v="3000014527140011RC"/>
    <s v="CIVIL"/>
    <d v="2023-06-29T00:00:00"/>
    <d v="2023-07-10T19:47:44"/>
    <m/>
    <d v="2023-07-10T00:00:00"/>
    <n v="1317"/>
    <n v="20907"/>
    <s v="60213489"/>
    <s v="60213489"/>
    <m/>
    <m/>
    <m/>
    <m/>
    <m/>
    <m/>
    <s v="SOLRECOUP"/>
    <s v="SOLRECOUP"/>
    <s v="POARECOUP"/>
    <n v="21356549"/>
    <n v="-1081.76"/>
    <m/>
    <s v="Y"/>
    <n v="2"/>
    <d v="2023-07-10T19:47:45"/>
    <s v="N"/>
    <m/>
    <m/>
    <s v="Profit Cost"/>
    <m/>
    <s v="N"/>
    <n v="0"/>
    <n v="-180.29"/>
    <x v="2"/>
    <s v="VALIDATED"/>
    <n v="1"/>
    <s v="01.11.80.308.2013.0000"/>
    <n v="-180.29"/>
    <s v="11"/>
    <s v="2013"/>
    <n v="3350.14"/>
    <n v="-180.29"/>
    <s v="CREDITOR"/>
    <n v="0"/>
    <n v="0"/>
    <n v="-180.29"/>
    <n v="-45.0725"/>
    <n v="0"/>
  </r>
  <r>
    <n v="60990368"/>
    <s v="N"/>
    <n v="21371677"/>
    <s v="3000015032540006RC"/>
    <s v="CIVIL"/>
    <d v="2023-06-30T00:00:00"/>
    <d v="2023-07-13T19:53:16"/>
    <m/>
    <d v="2023-07-13T00:00:00"/>
    <n v="1317"/>
    <n v="20907"/>
    <s v="60990368"/>
    <s v="60990368"/>
    <m/>
    <m/>
    <m/>
    <m/>
    <m/>
    <m/>
    <s v="SOLRECOUP"/>
    <s v="SOLRECOUP"/>
    <s v="POARECOUP"/>
    <n v="21371677"/>
    <n v="-21.16"/>
    <m/>
    <s v="Y"/>
    <n v="1"/>
    <d v="2023-07-13T19:53:17"/>
    <s v="N"/>
    <m/>
    <m/>
    <s v="Non Expert Disbursement"/>
    <m/>
    <s v="N"/>
    <n v="-21.16"/>
    <n v="0"/>
    <x v="11"/>
    <s v="VALIDATED"/>
    <n v="1"/>
    <s v="01.11.80.307.2013.0000"/>
    <n v="-21.16"/>
    <s v="11"/>
    <s v="2013"/>
    <n v="3350.14"/>
    <n v="-21.16"/>
    <s v="CREDITOR"/>
    <n v="0"/>
    <n v="0"/>
    <n v="-21.16"/>
    <n v="0"/>
    <n v="0"/>
  </r>
  <r>
    <n v="60990368"/>
    <s v="N"/>
    <n v="21371677"/>
    <s v="3000015032540006RC"/>
    <s v="CIVIL"/>
    <d v="2023-06-30T00:00:00"/>
    <d v="2023-07-13T19:53:16"/>
    <m/>
    <d v="2023-07-13T00:00:00"/>
    <n v="1317"/>
    <n v="20907"/>
    <s v="60990368"/>
    <s v="60990368"/>
    <m/>
    <m/>
    <m/>
    <m/>
    <m/>
    <m/>
    <s v="SOLRECOUP"/>
    <s v="SOLRECOUP"/>
    <s v="POARECOUP"/>
    <n v="21371677"/>
    <n v="-21.16"/>
    <m/>
    <s v="Y"/>
    <n v="2"/>
    <d v="2023-07-13T19:53:17"/>
    <s v="N"/>
    <m/>
    <m/>
    <s v="Non Expert Disbursement"/>
    <m/>
    <s v="N"/>
    <n v="0"/>
    <n v="0"/>
    <x v="11"/>
    <s v="VALIDATED"/>
    <n v="1"/>
    <s v="01.11.80.000.0000.0000"/>
    <n v="0"/>
    <s v="11"/>
    <s v="0000"/>
    <n v="3350.14"/>
    <n v="0"/>
    <s v="CREDITOR"/>
    <n v="0"/>
    <n v="0"/>
    <n v="0"/>
    <n v="0"/>
    <n v="0"/>
  </r>
  <r>
    <n v="61326434"/>
    <s v="N"/>
    <n v="21367186"/>
    <s v="3000015479000005RC"/>
    <s v="CIVIL"/>
    <d v="2023-06-29T00:00:00"/>
    <d v="2023-07-12T19:45:33"/>
    <m/>
    <d v="2023-07-12T00:00:00"/>
    <n v="1317"/>
    <n v="20907"/>
    <s v="61326434"/>
    <s v="61326434"/>
    <m/>
    <m/>
    <m/>
    <m/>
    <m/>
    <m/>
    <s v="SOLRECOUP"/>
    <s v="SOLRECOUP"/>
    <s v="POARECOUP"/>
    <n v="21367186"/>
    <n v="-13.14"/>
    <m/>
    <s v="Y"/>
    <n v="2"/>
    <d v="2023-07-12T19:45:33"/>
    <s v="N"/>
    <m/>
    <m/>
    <s v="Non Expert Disbursement"/>
    <m/>
    <s v="N"/>
    <n v="0"/>
    <n v="0"/>
    <x v="0"/>
    <s v="VALIDATED"/>
    <n v="1"/>
    <s v="01.11.80.000.0000.0000"/>
    <n v="0"/>
    <s v="11"/>
    <s v="0000"/>
    <n v="3350.14"/>
    <n v="0"/>
    <s v="CREDITOR"/>
    <n v="0"/>
    <n v="0"/>
    <n v="0"/>
    <n v="0"/>
    <n v="0"/>
  </r>
  <r>
    <n v="61326434"/>
    <s v="N"/>
    <n v="21367186"/>
    <s v="3000015479000005RC"/>
    <s v="CIVIL"/>
    <d v="2023-06-29T00:00:00"/>
    <d v="2023-07-12T19:45:33"/>
    <m/>
    <d v="2023-07-12T00:00:00"/>
    <n v="1317"/>
    <n v="20907"/>
    <s v="61326434"/>
    <s v="61326434"/>
    <m/>
    <m/>
    <m/>
    <m/>
    <m/>
    <m/>
    <s v="SOLRECOUP"/>
    <s v="SOLRECOUP"/>
    <s v="POARECOUP"/>
    <n v="21367186"/>
    <n v="-13.14"/>
    <m/>
    <s v="Y"/>
    <n v="1"/>
    <d v="2023-07-12T19:45:33"/>
    <s v="N"/>
    <m/>
    <m/>
    <s v="Non Expert Disbursement"/>
    <m/>
    <s v="N"/>
    <n v="-13.14"/>
    <n v="0"/>
    <x v="0"/>
    <s v="VALIDATED"/>
    <n v="1"/>
    <s v="01.11.80.307.2013.0000"/>
    <n v="-13.14"/>
    <s v="11"/>
    <s v="2013"/>
    <n v="3350.14"/>
    <n v="-13.14"/>
    <s v="CREDITOR"/>
    <n v="0"/>
    <n v="0"/>
    <n v="-13.14"/>
    <n v="0"/>
    <n v="0"/>
  </r>
  <r>
    <n v="61326434"/>
    <s v="N"/>
    <n v="21367193"/>
    <s v="3000015479000003RC"/>
    <s v="CIVIL"/>
    <d v="2023-06-29T00:00:00"/>
    <d v="2023-07-12T19:45:33"/>
    <m/>
    <d v="2023-07-12T00:00:00"/>
    <n v="1317"/>
    <n v="20907"/>
    <s v="61326434"/>
    <s v="61326434"/>
    <m/>
    <m/>
    <m/>
    <m/>
    <m/>
    <m/>
    <s v="SOLRECOUP"/>
    <s v="SOLRECOUP"/>
    <s v="POARECOUP"/>
    <n v="21367193"/>
    <n v="-89.2"/>
    <m/>
    <s v="Y"/>
    <n v="2"/>
    <d v="2023-07-12T19:45:33"/>
    <s v="N"/>
    <m/>
    <m/>
    <s v="Non Expert Disbursement"/>
    <m/>
    <s v="N"/>
    <n v="0"/>
    <n v="0"/>
    <x v="0"/>
    <s v="VALIDATED"/>
    <n v="1"/>
    <s v="01.11.80.000.0000.0000"/>
    <n v="0"/>
    <s v="11"/>
    <s v="0000"/>
    <n v="3350.14"/>
    <n v="0"/>
    <s v="CREDITOR"/>
    <n v="0"/>
    <n v="0"/>
    <n v="0"/>
    <n v="0"/>
    <n v="0"/>
  </r>
  <r>
    <n v="60960601"/>
    <s v="N"/>
    <n v="21330914"/>
    <s v="3000015169070006"/>
    <s v="CIVIL"/>
    <d v="2023-06-27T00:00:00"/>
    <d v="2023-07-05T19:01:47"/>
    <m/>
    <d v="2023-07-05T00:00:00"/>
    <n v="1317"/>
    <n v="20907"/>
    <s v="60960601"/>
    <s v="60960601"/>
    <m/>
    <m/>
    <n v="22772056"/>
    <m/>
    <m/>
    <m/>
    <s v="SOLFIN"/>
    <s v="SOLFIN"/>
    <s v="CCMS"/>
    <n v="21330914"/>
    <n v="4873.01"/>
    <m/>
    <s v="N"/>
    <n v="15"/>
    <d v="2023-07-05T19:01:56"/>
    <s v="Y"/>
    <s v="Preparation - drafting attendance n"/>
    <s v="Prescribed Hourly Rates"/>
    <s v="Profit Cost"/>
    <s v="AH"/>
    <s v="Y"/>
    <n v="5.49"/>
    <n v="1.1"/>
    <x v="6"/>
    <s v="VALIDATED"/>
    <n v="1"/>
    <s v="01.11.80.307.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16"/>
    <d v="2023-07-05T19:01:56"/>
    <s v="Y"/>
    <s v="Attendance upon client"/>
    <s v="Prescribed Hourly Rates"/>
    <s v="Profit Cost"/>
    <s v="AH"/>
    <s v="Y"/>
    <n v="13.73"/>
    <n v="2.75"/>
    <x v="6"/>
    <s v="VALIDATED"/>
    <n v="1"/>
    <s v="01.11.80.307.6100.0000"/>
    <n v="13.73"/>
    <s v="11"/>
    <s v="6100"/>
    <n v="3350.14"/>
    <n v="13.73"/>
    <s v="CREDITOR"/>
    <n v="0"/>
    <n v="0"/>
    <n v="0"/>
    <n v="0"/>
    <n v="13.73"/>
  </r>
  <r>
    <n v="60960601"/>
    <s v="N"/>
    <n v="21330914"/>
    <s v="3000015169070006"/>
    <s v="CIVIL"/>
    <d v="2023-06-27T00:00:00"/>
    <d v="2023-07-05T19:01:47"/>
    <m/>
    <d v="2023-07-05T00:00:00"/>
    <n v="1317"/>
    <n v="20907"/>
    <s v="60960601"/>
    <s v="60960601"/>
    <m/>
    <m/>
    <n v="22772056"/>
    <m/>
    <m/>
    <m/>
    <s v="SOLFIN"/>
    <s v="SOLFIN"/>
    <s v="CCMS"/>
    <n v="21330914"/>
    <n v="4873.01"/>
    <m/>
    <s v="N"/>
    <n v="51"/>
    <d v="2023-07-05T19:01:56"/>
    <s v="Y"/>
    <s v="Police Records"/>
    <s v="Prescribed Hourly Rates"/>
    <s v="Non Expert Disbursement"/>
    <s v="Haris Qureshi"/>
    <s v="Y"/>
    <n v="100"/>
    <n v="0"/>
    <x v="6"/>
    <s v="VALIDATED"/>
    <n v="1"/>
    <s v="01.11.80.307.6300.0000"/>
    <n v="100"/>
    <s v="11"/>
    <s v="6300"/>
    <n v="3350.14"/>
    <n v="100"/>
    <s v="CREDITOR"/>
    <n v="0"/>
    <n v="0"/>
    <n v="0"/>
    <n v="0"/>
    <n v="100"/>
  </r>
  <r>
    <n v="62002932"/>
    <s v="N"/>
    <n v="21337989"/>
    <s v="3000016031180003"/>
    <s v="CIVIL"/>
    <d v="2023-06-29T00:00:00"/>
    <d v="2023-07-06T19:21:01"/>
    <m/>
    <d v="2023-07-06T00:00:00"/>
    <n v="1317"/>
    <n v="20907"/>
    <s v="62002932"/>
    <s v="62002932"/>
    <m/>
    <m/>
    <n v="22789086"/>
    <m/>
    <m/>
    <m/>
    <s v="SOLPOA"/>
    <s v="SOLPOA"/>
    <s v="CCMS"/>
    <n v="21337989"/>
    <n v="115.95"/>
    <m/>
    <s v="N"/>
    <n v="1"/>
    <d v="2023-07-06T19:21:11"/>
    <s v="N"/>
    <s v="Non Expert Disbursement - Domestic "/>
    <s v="Non Expert Disbursement - Dome"/>
    <s v="Non Expert Disbursement"/>
    <s v="wendy wharton"/>
    <s v="N"/>
    <n v="115.95"/>
    <n v="0"/>
    <x v="4"/>
    <s v="VALIDATED"/>
    <n v="1"/>
    <s v="01.11.80.302.2012.0000"/>
    <n v="115.95"/>
    <s v="11"/>
    <s v="2012"/>
    <n v="3350.14"/>
    <n v="115.95"/>
    <s v="CREDITOR"/>
    <n v="115.95"/>
    <n v="0"/>
    <n v="0"/>
    <n v="0"/>
    <n v="0"/>
  </r>
  <r>
    <n v="60392480"/>
    <s v="N"/>
    <n v="21338275"/>
    <s v="3000014681540010"/>
    <s v="CIVIL"/>
    <d v="2023-06-28T00:00:00"/>
    <d v="2023-07-06T19:21:01"/>
    <m/>
    <d v="2023-07-06T00:00:00"/>
    <n v="1317"/>
    <n v="20907"/>
    <s v="60392480"/>
    <s v="60392480"/>
    <m/>
    <m/>
    <n v="22780928"/>
    <m/>
    <m/>
    <m/>
    <s v="SOLFIN"/>
    <s v="SOLFIN"/>
    <s v="CCMS"/>
    <n v="21338275"/>
    <n v="3817.37"/>
    <m/>
    <s v="N"/>
    <n v="45"/>
    <d v="2023-07-06T19:21:16"/>
    <s v="Y"/>
    <s v="Routine Telephone Call"/>
    <s v="Prescribed Hourly Rates"/>
    <s v="Profit Cost"/>
    <s v="KPL"/>
    <s v="Y"/>
    <n v="64.8"/>
    <n v="12.96"/>
    <x v="4"/>
    <s v="VALIDATED"/>
    <n v="1"/>
    <s v="01.11.80.302.6100.0000"/>
    <n v="64.8"/>
    <s v="11"/>
    <s v="6100"/>
    <n v="3350.14"/>
    <n v="64.8"/>
    <s v="CREDITOR"/>
    <n v="0"/>
    <n v="0"/>
    <n v="0"/>
    <n v="0"/>
    <n v="64.8"/>
  </r>
  <r>
    <n v="60960601"/>
    <s v="N"/>
    <n v="21330914"/>
    <s v="3000015169070006"/>
    <s v="CIVIL"/>
    <d v="2023-06-27T00:00:00"/>
    <d v="2023-07-05T19:01:47"/>
    <m/>
    <d v="2023-07-05T00:00:00"/>
    <n v="1317"/>
    <n v="20907"/>
    <s v="60960601"/>
    <s v="60960601"/>
    <m/>
    <m/>
    <n v="22772056"/>
    <m/>
    <m/>
    <m/>
    <s v="SOLFIN"/>
    <s v="SOLFIN"/>
    <s v="CCMS"/>
    <n v="21330914"/>
    <n v="4873.01"/>
    <m/>
    <s v="N"/>
    <n v="1"/>
    <d v="2023-07-05T19:01:56"/>
    <s v="Y"/>
    <s v="Preparation - other"/>
    <s v="Prescribed Hourly Rates"/>
    <s v="Profit Cost"/>
    <s v="Hazel Walmsley"/>
    <s v="Y"/>
    <n v="10.98"/>
    <n v="2.2"/>
    <x v="6"/>
    <s v="VALIDATED"/>
    <n v="1"/>
    <s v="01.11.80.307.6100.0000"/>
    <n v="10.98"/>
    <s v="11"/>
    <s v="6100"/>
    <n v="3350.14"/>
    <n v="10.98"/>
    <s v="CREDITOR"/>
    <n v="0"/>
    <n v="0"/>
    <n v="0"/>
    <n v="0"/>
    <n v="10.98"/>
  </r>
  <r>
    <n v="60960601"/>
    <s v="N"/>
    <n v="21330914"/>
    <s v="3000015169070006"/>
    <s v="CIVIL"/>
    <d v="2023-06-27T00:00:00"/>
    <d v="2023-07-05T19:01:47"/>
    <m/>
    <d v="2023-07-05T00:00:00"/>
    <n v="1317"/>
    <n v="20907"/>
    <s v="60960601"/>
    <s v="60960601"/>
    <m/>
    <m/>
    <n v="22772056"/>
    <m/>
    <m/>
    <m/>
    <s v="SOLFIN"/>
    <s v="SOLFIN"/>
    <s v="CCMS"/>
    <n v="21330914"/>
    <n v="4873.01"/>
    <m/>
    <s v="N"/>
    <n v="2"/>
    <d v="2023-07-05T19:01:56"/>
    <s v="Y"/>
    <s v="Routine Telephone Call"/>
    <s v="Prescribed Hourly Rates"/>
    <s v="Profit Cost"/>
    <s v="AH"/>
    <s v="Y"/>
    <n v="97.2"/>
    <n v="19.44"/>
    <x v="6"/>
    <s v="VALIDATED"/>
    <n v="1"/>
    <s v="01.11.80.307.6100.0000"/>
    <n v="97.2"/>
    <s v="11"/>
    <s v="6100"/>
    <n v="3350.14"/>
    <n v="97.2"/>
    <s v="CREDITOR"/>
    <n v="0"/>
    <n v="0"/>
    <n v="0"/>
    <n v="0"/>
    <n v="97.2"/>
  </r>
  <r>
    <n v="60213489"/>
    <s v="N"/>
    <n v="21349415"/>
    <s v="3000014527140013"/>
    <s v="CIVIL"/>
    <d v="2023-06-29T00:00:00"/>
    <d v="2023-07-10T19:01:40"/>
    <m/>
    <d v="2023-07-10T00:00:00"/>
    <n v="1317"/>
    <n v="20907"/>
    <s v="60213489"/>
    <s v="60213489"/>
    <m/>
    <m/>
    <n v="22788384"/>
    <m/>
    <m/>
    <m/>
    <s v="SOLFIN"/>
    <s v="SOLFIN"/>
    <s v="CCMS"/>
    <n v="21349415"/>
    <n v="4568.22"/>
    <m/>
    <s v="N"/>
    <n v="3"/>
    <d v="2023-07-10T19:01:49"/>
    <s v="Y"/>
    <s v="Paediatrician"/>
    <s v="Public Law Children"/>
    <s v="Expert Disbursement"/>
    <s v="KHANSA TAHA"/>
    <s v="Y"/>
    <n v="540"/>
    <n v="108"/>
    <x v="2"/>
    <s v="VALIDATED"/>
    <n v="1"/>
    <s v="01.11.80.308.6300.0000"/>
    <n v="540"/>
    <s v="11"/>
    <s v="6300"/>
    <n v="3350.14"/>
    <n v="540"/>
    <s v="CREDITOR"/>
    <n v="0"/>
    <n v="0"/>
    <n v="0"/>
    <n v="0"/>
    <n v="540"/>
  </r>
  <r>
    <n v="60392480"/>
    <s v="N"/>
    <n v="21338275"/>
    <s v="3000014681540010"/>
    <s v="CIVIL"/>
    <d v="2023-06-28T00:00:00"/>
    <d v="2023-07-06T19:21:01"/>
    <m/>
    <d v="2023-07-06T00:00:00"/>
    <n v="1317"/>
    <n v="20907"/>
    <s v="60392480"/>
    <s v="60392480"/>
    <m/>
    <m/>
    <n v="22780928"/>
    <m/>
    <m/>
    <m/>
    <s v="SOLFIN"/>
    <s v="SOLFIN"/>
    <s v="CCMS"/>
    <n v="21338275"/>
    <n v="3817.37"/>
    <m/>
    <s v="N"/>
    <n v="64"/>
    <d v="2023-07-06T19:21:16"/>
    <s v="Y"/>
    <s v="Hearing Unit 2.31 - 5.00 Hours"/>
    <s v="Private Law Children"/>
    <s v="Advocacy"/>
    <s v="Curtis Booth"/>
    <s v="Y"/>
    <n v="313.48"/>
    <n v="62.71"/>
    <x v="4"/>
    <s v="VALIDATED"/>
    <n v="1"/>
    <s v="01.11.80.302.6100.0000"/>
    <n v="313.48"/>
    <s v="11"/>
    <s v="6100"/>
    <n v="3350.14"/>
    <n v="313.48"/>
    <s v="CREDITOR"/>
    <n v="0"/>
    <n v="0"/>
    <n v="0"/>
    <n v="0"/>
    <n v="313.48"/>
  </r>
  <r>
    <n v="62168623"/>
    <s v="N"/>
    <n v="21318556"/>
    <s v="3000016183510004"/>
    <s v="CIVIL"/>
    <d v="2023-06-26T00:00:00"/>
    <d v="2023-07-03T19:01:49"/>
    <m/>
    <d v="2023-07-03T00:00:00"/>
    <n v="1317"/>
    <n v="20907"/>
    <s v="62168623"/>
    <s v="62168623"/>
    <m/>
    <m/>
    <n v="22758544"/>
    <m/>
    <m/>
    <m/>
    <s v="SOLPOA"/>
    <s v="SOLPOA"/>
    <s v="CCMS"/>
    <n v="21318556"/>
    <n v="120.46"/>
    <m/>
    <s v="N"/>
    <n v="1"/>
    <d v="2023-07-03T19:01:59"/>
    <s v="N"/>
    <s v="Non Expert Disbursement - Domestic "/>
    <s v="Non Expert Disbursement - Dome"/>
    <s v="Non Expert Disbursement"/>
    <s v="S HAWKER"/>
    <s v="N"/>
    <n v="100.38"/>
    <n v="20.08"/>
    <x v="3"/>
    <s v="VALIDATED"/>
    <n v="1"/>
    <s v="01.11.80.302.2012.0000"/>
    <n v="100.38"/>
    <s v="11"/>
    <s v="2012"/>
    <n v="3350.14"/>
    <n v="100.38"/>
    <s v="CREDITOR"/>
    <n v="100.38"/>
    <n v="0"/>
    <n v="0"/>
    <n v="0"/>
    <n v="0"/>
  </r>
  <r>
    <n v="62191698"/>
    <s v="N"/>
    <n v="21320095"/>
    <s v="3000016144070001"/>
    <s v="CIVIL"/>
    <d v="2023-06-26T00:00:00"/>
    <d v="2023-07-03T19:04:24"/>
    <m/>
    <d v="2023-07-03T00:00:00"/>
    <n v="1317"/>
    <n v="20907"/>
    <s v="62191698"/>
    <s v="62191698"/>
    <m/>
    <m/>
    <n v="22765274"/>
    <m/>
    <m/>
    <m/>
    <s v="SOLPOA"/>
    <s v="SOLPOA"/>
    <s v="CCMS"/>
    <n v="21320095"/>
    <n v="232"/>
    <m/>
    <s v="N"/>
    <n v="1"/>
    <d v="2023-07-03T19:04:29"/>
    <s v="N"/>
    <s v="Non Expert Disbursement - Private L"/>
    <s v="Non Expert Disbursement - Priv"/>
    <s v="Non Expert Disbursement"/>
    <s v="Zoe Allen"/>
    <s v="N"/>
    <n v="232"/>
    <n v="0"/>
    <x v="3"/>
    <s v="VALIDATED"/>
    <n v="1"/>
    <s v="01.11.80.307.2012.0000"/>
    <n v="232"/>
    <s v="11"/>
    <s v="2012"/>
    <n v="3350.14"/>
    <n v="232"/>
    <s v="CREDITOR"/>
    <n v="232"/>
    <n v="0"/>
    <n v="0"/>
    <n v="0"/>
    <n v="0"/>
  </r>
  <r>
    <n v="60960601"/>
    <s v="N"/>
    <n v="21333867"/>
    <s v="3000015169070001RC"/>
    <s v="CIVIL"/>
    <d v="2023-06-27T00:00:00"/>
    <d v="2023-07-05T19:42:28"/>
    <m/>
    <d v="2023-07-05T00:00:00"/>
    <n v="1317"/>
    <n v="20907"/>
    <s v="60960601"/>
    <s v="60960601"/>
    <m/>
    <m/>
    <m/>
    <m/>
    <m/>
    <m/>
    <s v="SOLRECOUP"/>
    <s v="SOLRECOUP"/>
    <s v="POARECOUP"/>
    <n v="21333867"/>
    <n v="-100"/>
    <m/>
    <s v="Y"/>
    <n v="2"/>
    <d v="2023-07-05T19:42:29"/>
    <s v="N"/>
    <m/>
    <m/>
    <s v="Non Expert Disbursement"/>
    <m/>
    <s v="N"/>
    <n v="0"/>
    <n v="0"/>
    <x v="6"/>
    <s v="VALIDATED"/>
    <n v="1"/>
    <s v="01.11.80.000.0000.0000"/>
    <n v="0"/>
    <s v="11"/>
    <s v="0000"/>
    <n v="3350.14"/>
    <n v="0"/>
    <s v="CREDITOR"/>
    <n v="0"/>
    <n v="0"/>
    <n v="0"/>
    <n v="0"/>
    <n v="0"/>
  </r>
  <r>
    <n v="60811304"/>
    <s v="N"/>
    <n v="21333868"/>
    <s v="3000015042280015RC"/>
    <s v="CIVIL"/>
    <d v="2023-06-26T00:00:00"/>
    <d v="2023-07-05T19:42:28"/>
    <m/>
    <d v="2023-07-05T00:00:00"/>
    <n v="1317"/>
    <n v="20907"/>
    <s v="60811304"/>
    <s v="60811304"/>
    <m/>
    <m/>
    <m/>
    <m/>
    <m/>
    <m/>
    <s v="SOLRECOUP"/>
    <s v="SOLRECOUP"/>
    <s v="POARECOUP"/>
    <n v="21333868"/>
    <n v="-702.95"/>
    <m/>
    <s v="Y"/>
    <n v="1"/>
    <d v="2023-07-05T19:42:29"/>
    <s v="N"/>
    <m/>
    <m/>
    <s v="Profit Cost"/>
    <m/>
    <s v="N"/>
    <n v="-585.79"/>
    <n v="0"/>
    <x v="6"/>
    <s v="VALIDATED"/>
    <n v="1"/>
    <s v="01.11.80.307.2013.0000"/>
    <n v="-585.79"/>
    <s v="11"/>
    <s v="2013"/>
    <n v="3350.14"/>
    <n v="-585.79"/>
    <s v="CREDITOR"/>
    <n v="0"/>
    <n v="0"/>
    <n v="-585.79"/>
    <n v="-146.4475"/>
    <n v="0"/>
  </r>
  <r>
    <n v="60811304"/>
    <s v="N"/>
    <n v="21333868"/>
    <s v="3000015042280015RC"/>
    <s v="CIVIL"/>
    <d v="2023-06-26T00:00:00"/>
    <d v="2023-07-05T19:42:28"/>
    <m/>
    <d v="2023-07-05T00:00:00"/>
    <n v="1317"/>
    <n v="20907"/>
    <s v="60811304"/>
    <s v="60811304"/>
    <m/>
    <m/>
    <m/>
    <m/>
    <m/>
    <m/>
    <s v="SOLRECOUP"/>
    <s v="SOLRECOUP"/>
    <s v="POARECOUP"/>
    <n v="21333868"/>
    <n v="-702.95"/>
    <m/>
    <s v="Y"/>
    <n v="2"/>
    <d v="2023-07-05T19:42:29"/>
    <s v="N"/>
    <m/>
    <m/>
    <s v="Profit Cost"/>
    <m/>
    <s v="N"/>
    <n v="0"/>
    <n v="-117.16"/>
    <x v="6"/>
    <s v="VALIDATED"/>
    <n v="1"/>
    <s v="01.11.80.307.2013.0000"/>
    <n v="-117.16"/>
    <s v="11"/>
    <s v="2013"/>
    <n v="3350.14"/>
    <n v="-117.16"/>
    <s v="CREDITOR"/>
    <n v="0"/>
    <n v="0"/>
    <n v="-117.16"/>
    <n v="-29.29"/>
    <n v="0"/>
  </r>
  <r>
    <n v="16236873"/>
    <s v="N"/>
    <n v="21333869"/>
    <s v="3000007820110014RC"/>
    <s v="CIVIL"/>
    <d v="2023-06-25T00:00:00"/>
    <d v="2023-07-05T19:42:28"/>
    <m/>
    <d v="2023-07-05T00:00:00"/>
    <n v="1317"/>
    <n v="20907"/>
    <s v="16236873"/>
    <s v="16236873"/>
    <m/>
    <m/>
    <m/>
    <m/>
    <m/>
    <m/>
    <s v="SOLRECOUP"/>
    <s v="SOLRECOUP"/>
    <s v="POARECOUP"/>
    <n v="21333869"/>
    <n v="-657.85"/>
    <m/>
    <s v="Y"/>
    <n v="1"/>
    <d v="2023-07-05T19:42:29"/>
    <s v="N"/>
    <m/>
    <m/>
    <s v="Profit Cost"/>
    <m/>
    <s v="N"/>
    <n v="-548.21"/>
    <n v="0"/>
    <x v="6"/>
    <s v="VALIDATED"/>
    <n v="1"/>
    <s v="01.11.80.307.2013.0000"/>
    <n v="-548.21"/>
    <s v="11"/>
    <s v="2013"/>
    <n v="3350.14"/>
    <n v="-548.21"/>
    <s v="CREDITOR"/>
    <n v="0"/>
    <n v="0"/>
    <n v="-548.21"/>
    <n v="-137.0525"/>
    <n v="0"/>
  </r>
  <r>
    <n v="16236873"/>
    <s v="N"/>
    <n v="21333869"/>
    <s v="3000007820110014RC"/>
    <s v="CIVIL"/>
    <d v="2023-06-25T00:00:00"/>
    <d v="2023-07-05T19:42:28"/>
    <m/>
    <d v="2023-07-05T00:00:00"/>
    <n v="1317"/>
    <n v="20907"/>
    <s v="16236873"/>
    <s v="16236873"/>
    <m/>
    <m/>
    <m/>
    <m/>
    <m/>
    <m/>
    <s v="SOLRECOUP"/>
    <s v="SOLRECOUP"/>
    <s v="POARECOUP"/>
    <n v="21333869"/>
    <n v="-657.85"/>
    <m/>
    <s v="Y"/>
    <n v="2"/>
    <d v="2023-07-05T19:42:29"/>
    <s v="N"/>
    <m/>
    <m/>
    <s v="Profit Cost"/>
    <m/>
    <s v="N"/>
    <n v="0"/>
    <n v="-109.64"/>
    <x v="6"/>
    <s v="VALIDATED"/>
    <n v="1"/>
    <s v="01.11.80.307.2013.0000"/>
    <n v="-109.64"/>
    <s v="11"/>
    <s v="2013"/>
    <n v="3350.14"/>
    <n v="-109.64"/>
    <s v="CREDITOR"/>
    <n v="0"/>
    <n v="0"/>
    <n v="-109.64"/>
    <n v="-27.41"/>
    <n v="0"/>
  </r>
  <r>
    <n v="16236873"/>
    <s v="N"/>
    <n v="21333870"/>
    <s v="3000007820110019RC"/>
    <s v="CIVIL"/>
    <d v="2023-06-25T00:00:00"/>
    <d v="2023-07-05T19:42:28"/>
    <m/>
    <d v="2023-07-05T00:00:00"/>
    <n v="1317"/>
    <n v="20907"/>
    <s v="16236873"/>
    <s v="16236873"/>
    <m/>
    <m/>
    <m/>
    <m/>
    <m/>
    <m/>
    <s v="SOLRECOUP"/>
    <s v="SOLRECOUP"/>
    <s v="POARECOUP"/>
    <n v="21333870"/>
    <n v="-28.61"/>
    <m/>
    <s v="Y"/>
    <n v="1"/>
    <d v="2023-07-05T19:42:29"/>
    <s v="N"/>
    <m/>
    <m/>
    <s v="Non Expert Disbursement"/>
    <m/>
    <s v="N"/>
    <n v="-23.84"/>
    <n v="0"/>
    <x v="6"/>
    <s v="VALIDATED"/>
    <n v="1"/>
    <s v="01.11.80.307.2013.0000"/>
    <n v="-23.84"/>
    <s v="11"/>
    <s v="2013"/>
    <n v="3350.14"/>
    <n v="-23.84"/>
    <s v="CREDITOR"/>
    <n v="0"/>
    <n v="0"/>
    <n v="-23.84"/>
    <n v="0"/>
    <n v="0"/>
  </r>
  <r>
    <n v="16236873"/>
    <s v="N"/>
    <n v="21333870"/>
    <s v="3000007820110019RC"/>
    <s v="CIVIL"/>
    <d v="2023-06-25T00:00:00"/>
    <d v="2023-07-05T19:42:28"/>
    <m/>
    <d v="2023-07-05T00:00:00"/>
    <n v="1317"/>
    <n v="20907"/>
    <s v="16236873"/>
    <s v="16236873"/>
    <m/>
    <m/>
    <m/>
    <m/>
    <m/>
    <m/>
    <s v="SOLRECOUP"/>
    <s v="SOLRECOUP"/>
    <s v="POARECOUP"/>
    <n v="21333870"/>
    <n v="-28.61"/>
    <m/>
    <s v="Y"/>
    <n v="2"/>
    <d v="2023-07-05T19:42:29"/>
    <s v="N"/>
    <m/>
    <m/>
    <s v="Non Expert Disbursement"/>
    <m/>
    <s v="N"/>
    <n v="0"/>
    <n v="-4.77"/>
    <x v="6"/>
    <s v="VALIDATED"/>
    <n v="1"/>
    <s v="01.11.80.307.2013.0000"/>
    <n v="-4.77"/>
    <s v="11"/>
    <s v="2013"/>
    <n v="3350.14"/>
    <n v="-4.77"/>
    <s v="CREDITOR"/>
    <n v="0"/>
    <n v="0"/>
    <n v="-4.77"/>
    <n v="0"/>
    <n v="0"/>
  </r>
  <r>
    <n v="60960601"/>
    <s v="N"/>
    <n v="21333871"/>
    <s v="3000015169070002RC"/>
    <s v="CIVIL"/>
    <d v="2023-06-27T00:00:00"/>
    <d v="2023-07-05T19:42:28"/>
    <m/>
    <d v="2023-07-05T00:00:00"/>
    <n v="1317"/>
    <n v="20907"/>
    <s v="60960601"/>
    <s v="60960601"/>
    <m/>
    <m/>
    <m/>
    <m/>
    <m/>
    <m/>
    <s v="SOLRECOUP"/>
    <s v="SOLRECOUP"/>
    <s v="POARECOUP"/>
    <n v="21333871"/>
    <n v="-1569.84"/>
    <m/>
    <s v="Y"/>
    <n v="1"/>
    <d v="2023-07-05T19:42:29"/>
    <s v="N"/>
    <m/>
    <m/>
    <s v="Non Expert Disbursement"/>
    <m/>
    <s v="N"/>
    <n v="-1308.2"/>
    <n v="0"/>
    <x v="6"/>
    <s v="VALIDATED"/>
    <n v="1"/>
    <s v="01.11.80.307.2013.0000"/>
    <n v="-1308.2"/>
    <s v="11"/>
    <s v="2013"/>
    <n v="3350.14"/>
    <n v="-1308.2"/>
    <s v="CREDITOR"/>
    <n v="0"/>
    <n v="0"/>
    <n v="-1308.2"/>
    <n v="0"/>
    <n v="0"/>
  </r>
  <r>
    <n v="60960601"/>
    <s v="N"/>
    <n v="21333871"/>
    <s v="3000015169070002RC"/>
    <s v="CIVIL"/>
    <d v="2023-06-27T00:00:00"/>
    <d v="2023-07-05T19:42:28"/>
    <m/>
    <d v="2023-07-05T00:00:00"/>
    <n v="1317"/>
    <n v="20907"/>
    <s v="60960601"/>
    <s v="60960601"/>
    <m/>
    <m/>
    <m/>
    <m/>
    <m/>
    <m/>
    <s v="SOLRECOUP"/>
    <s v="SOLRECOUP"/>
    <s v="POARECOUP"/>
    <n v="21333871"/>
    <n v="-1569.84"/>
    <m/>
    <s v="Y"/>
    <n v="2"/>
    <d v="2023-07-05T19:42:29"/>
    <s v="N"/>
    <m/>
    <m/>
    <s v="Non Expert Disbursement"/>
    <m/>
    <s v="N"/>
    <n v="0"/>
    <n v="-261.64"/>
    <x v="6"/>
    <s v="VALIDATED"/>
    <n v="1"/>
    <s v="01.11.80.307.2013.0000"/>
    <n v="-261.64"/>
    <s v="11"/>
    <s v="2013"/>
    <n v="3350.14"/>
    <n v="-261.64"/>
    <s v="CREDITOR"/>
    <n v="0"/>
    <n v="0"/>
    <n v="-261.64"/>
    <n v="0"/>
    <n v="0"/>
  </r>
  <r>
    <n v="16236873"/>
    <s v="N"/>
    <n v="21333872"/>
    <s v="3000007820110016RC"/>
    <s v="CIVIL"/>
    <d v="2023-06-25T00:00:00"/>
    <d v="2023-07-05T19:42:28"/>
    <m/>
    <d v="2023-07-05T00:00:00"/>
    <n v="1317"/>
    <n v="20907"/>
    <s v="16236873"/>
    <s v="16236873"/>
    <m/>
    <m/>
    <m/>
    <m/>
    <m/>
    <m/>
    <s v="SOLRECOUP"/>
    <s v="SOLRECOUP"/>
    <s v="POARECOUP"/>
    <n v="21333872"/>
    <n v="-2165.15"/>
    <m/>
    <s v="Y"/>
    <n v="1"/>
    <d v="2023-07-05T19:42:29"/>
    <s v="N"/>
    <m/>
    <m/>
    <s v="Profit Cost"/>
    <m/>
    <s v="N"/>
    <n v="-1804.29"/>
    <n v="0"/>
    <x v="6"/>
    <s v="VALIDATED"/>
    <n v="1"/>
    <s v="01.11.80.307.2013.0000"/>
    <n v="-1804.29"/>
    <s v="11"/>
    <s v="2013"/>
    <n v="3350.14"/>
    <n v="-1804.29"/>
    <s v="CREDITOR"/>
    <n v="0"/>
    <n v="0"/>
    <n v="-1804.29"/>
    <n v="-451.0725"/>
    <n v="0"/>
  </r>
  <r>
    <n v="16236873"/>
    <s v="N"/>
    <n v="21333872"/>
    <s v="3000007820110016RC"/>
    <s v="CIVIL"/>
    <d v="2023-06-25T00:00:00"/>
    <d v="2023-07-05T19:42:28"/>
    <m/>
    <d v="2023-07-05T00:00:00"/>
    <n v="1317"/>
    <n v="20907"/>
    <s v="16236873"/>
    <s v="16236873"/>
    <m/>
    <m/>
    <m/>
    <m/>
    <m/>
    <m/>
    <s v="SOLRECOUP"/>
    <s v="SOLRECOUP"/>
    <s v="POARECOUP"/>
    <n v="21333872"/>
    <n v="-2165.15"/>
    <m/>
    <s v="Y"/>
    <n v="2"/>
    <d v="2023-07-05T19:42:29"/>
    <s v="N"/>
    <m/>
    <m/>
    <s v="Profit Cost"/>
    <m/>
    <s v="N"/>
    <n v="0"/>
    <n v="-360.86"/>
    <x v="6"/>
    <s v="VALIDATED"/>
    <n v="1"/>
    <s v="01.11.80.307.2013.0000"/>
    <n v="-360.86"/>
    <s v="11"/>
    <s v="2013"/>
    <n v="3350.14"/>
    <n v="-360.86"/>
    <s v="CREDITOR"/>
    <n v="0"/>
    <n v="0"/>
    <n v="-360.86"/>
    <n v="-90.215"/>
    <n v="0"/>
  </r>
  <r>
    <n v="16236873"/>
    <s v="N"/>
    <n v="21333873"/>
    <s v="3000007820110022RC"/>
    <s v="CIVIL"/>
    <d v="2023-06-25T00:00:00"/>
    <d v="2023-07-05T19:42:28"/>
    <m/>
    <d v="2023-07-05T00:00:00"/>
    <n v="1317"/>
    <n v="20907"/>
    <s v="16236873"/>
    <s v="16236873"/>
    <m/>
    <m/>
    <m/>
    <m/>
    <m/>
    <m/>
    <s v="SOLRECOUP"/>
    <s v="SOLRECOUP"/>
    <s v="POARECOUP"/>
    <n v="21333873"/>
    <n v="-118.75"/>
    <m/>
    <s v="Y"/>
    <n v="1"/>
    <d v="2023-07-05T19:42:29"/>
    <s v="N"/>
    <m/>
    <m/>
    <s v="Non Expert Disbursement"/>
    <m/>
    <s v="N"/>
    <n v="-98.95999999999999"/>
    <n v="0"/>
    <x v="6"/>
    <s v="VALIDATED"/>
    <n v="1"/>
    <s v="01.11.80.307.2013.0000"/>
    <n v="-98.95999999999999"/>
    <s v="11"/>
    <s v="2013"/>
    <n v="3350.14"/>
    <n v="-98.95999999999999"/>
    <s v="CREDITOR"/>
    <n v="0"/>
    <n v="0"/>
    <n v="-98.95999999999999"/>
    <n v="0"/>
    <n v="0"/>
  </r>
  <r>
    <n v="16236873"/>
    <s v="N"/>
    <n v="21333873"/>
    <s v="3000007820110022RC"/>
    <s v="CIVIL"/>
    <d v="2023-06-25T00:00:00"/>
    <d v="2023-07-05T19:42:28"/>
    <m/>
    <d v="2023-07-05T00:00:00"/>
    <n v="1317"/>
    <n v="20907"/>
    <s v="16236873"/>
    <s v="16236873"/>
    <m/>
    <m/>
    <m/>
    <m/>
    <m/>
    <m/>
    <s v="SOLRECOUP"/>
    <s v="SOLRECOUP"/>
    <s v="POARECOUP"/>
    <n v="21333873"/>
    <n v="-118.75"/>
    <m/>
    <s v="Y"/>
    <n v="2"/>
    <d v="2023-07-05T19:42:29"/>
    <s v="N"/>
    <m/>
    <m/>
    <s v="Non Expert Disbursement"/>
    <m/>
    <s v="N"/>
    <n v="0"/>
    <n v="-19.79"/>
    <x v="6"/>
    <s v="VALIDATED"/>
    <n v="1"/>
    <s v="01.11.80.307.2013.0000"/>
    <n v="-19.79"/>
    <s v="11"/>
    <s v="2013"/>
    <n v="3350.14"/>
    <n v="-19.79"/>
    <s v="CREDITOR"/>
    <n v="0"/>
    <n v="0"/>
    <n v="-19.79"/>
    <n v="0"/>
    <n v="0"/>
  </r>
  <r>
    <n v="59969012"/>
    <s v="N"/>
    <n v="21333874"/>
    <s v="3000014316120005RC"/>
    <s v="CIVIL"/>
    <d v="2023-06-28T00:00:00"/>
    <d v="2023-07-05T19:42:28"/>
    <m/>
    <d v="2023-07-05T00:00:00"/>
    <n v="1317"/>
    <n v="20907"/>
    <s v="59969012"/>
    <s v="59969012"/>
    <m/>
    <m/>
    <m/>
    <m/>
    <m/>
    <m/>
    <s v="SOLRECOUP"/>
    <s v="SOLRECOUP"/>
    <s v="POARECOUP"/>
    <n v="21333874"/>
    <n v="-98.40000000000001"/>
    <m/>
    <s v="Y"/>
    <n v="1"/>
    <d v="2023-07-05T19:42:29"/>
    <s v="N"/>
    <m/>
    <m/>
    <s v="Non Expert Disbursement"/>
    <m/>
    <s v="N"/>
    <n v="-98.40000000000001"/>
    <n v="0"/>
    <x v="6"/>
    <s v="VALIDATED"/>
    <n v="1"/>
    <s v="01.11.80.302.2013.0000"/>
    <n v="-98.40000000000001"/>
    <s v="11"/>
    <s v="2013"/>
    <n v="3350.14"/>
    <n v="-98.40000000000001"/>
    <s v="CREDITOR"/>
    <n v="0"/>
    <n v="0"/>
    <n v="-98.40000000000001"/>
    <n v="0"/>
    <n v="0"/>
  </r>
  <r>
    <n v="59969012"/>
    <s v="N"/>
    <n v="21333874"/>
    <s v="3000014316120005RC"/>
    <s v="CIVIL"/>
    <d v="2023-06-28T00:00:00"/>
    <d v="2023-07-05T19:42:28"/>
    <m/>
    <d v="2023-07-05T00:00:00"/>
    <n v="1317"/>
    <n v="20907"/>
    <s v="59969012"/>
    <s v="59969012"/>
    <m/>
    <m/>
    <m/>
    <m/>
    <m/>
    <m/>
    <s v="SOLRECOUP"/>
    <s v="SOLRECOUP"/>
    <s v="POARECOUP"/>
    <n v="21333874"/>
    <n v="-98.40000000000001"/>
    <m/>
    <s v="Y"/>
    <n v="2"/>
    <d v="2023-07-05T19:42:29"/>
    <s v="N"/>
    <m/>
    <m/>
    <s v="Non Expert Disbursement"/>
    <m/>
    <s v="N"/>
    <n v="0"/>
    <n v="0"/>
    <x v="6"/>
    <s v="VALIDATED"/>
    <n v="1"/>
    <s v="01.11.80.000.0000.0000"/>
    <n v="0"/>
    <s v="11"/>
    <s v="0000"/>
    <n v="3350.14"/>
    <n v="0"/>
    <s v="CREDITOR"/>
    <n v="0"/>
    <n v="0"/>
    <n v="0"/>
    <n v="0"/>
    <n v="0"/>
  </r>
  <r>
    <n v="60811304"/>
    <s v="N"/>
    <n v="21333875"/>
    <s v="3000015042280005RC"/>
    <s v="CIVIL"/>
    <d v="2023-06-26T00:00:00"/>
    <d v="2023-07-05T19:42:28"/>
    <m/>
    <d v="2023-07-05T00:00:00"/>
    <n v="1317"/>
    <n v="20907"/>
    <s v="60811304"/>
    <s v="60811304"/>
    <m/>
    <m/>
    <m/>
    <m/>
    <m/>
    <m/>
    <s v="SOLRECOUP"/>
    <s v="SOLRECOUP"/>
    <s v="POARECOUP"/>
    <n v="21333875"/>
    <n v="-1898.82"/>
    <m/>
    <s v="Y"/>
    <n v="1"/>
    <d v="2023-07-05T19:42:29"/>
    <s v="N"/>
    <m/>
    <m/>
    <s v="Profit Cost"/>
    <m/>
    <s v="N"/>
    <n v="-1582.35"/>
    <n v="0"/>
    <x v="6"/>
    <s v="VALIDATED"/>
    <n v="1"/>
    <s v="01.11.80.307.2013.0000"/>
    <n v="-1582.35"/>
    <s v="11"/>
    <s v="2013"/>
    <n v="3350.14"/>
    <n v="-1582.35"/>
    <s v="CREDITOR"/>
    <n v="0"/>
    <n v="0"/>
    <n v="-1582.35"/>
    <n v="-395.5875"/>
    <n v="0"/>
  </r>
  <r>
    <n v="60811304"/>
    <s v="N"/>
    <n v="21333875"/>
    <s v="3000015042280005RC"/>
    <s v="CIVIL"/>
    <d v="2023-06-26T00:00:00"/>
    <d v="2023-07-05T19:42:28"/>
    <m/>
    <d v="2023-07-05T00:00:00"/>
    <n v="1317"/>
    <n v="20907"/>
    <s v="60811304"/>
    <s v="60811304"/>
    <m/>
    <m/>
    <m/>
    <m/>
    <m/>
    <m/>
    <s v="SOLRECOUP"/>
    <s v="SOLRECOUP"/>
    <s v="POARECOUP"/>
    <n v="21333875"/>
    <n v="-1898.82"/>
    <m/>
    <s v="Y"/>
    <n v="2"/>
    <d v="2023-07-05T19:42:29"/>
    <s v="N"/>
    <m/>
    <m/>
    <s v="Profit Cost"/>
    <m/>
    <s v="N"/>
    <n v="0"/>
    <n v="-316.47"/>
    <x v="6"/>
    <s v="VALIDATED"/>
    <n v="1"/>
    <s v="01.11.80.307.2013.0000"/>
    <n v="-316.47"/>
    <s v="11"/>
    <s v="2013"/>
    <n v="3350.14"/>
    <n v="-316.47"/>
    <s v="CREDITOR"/>
    <n v="0"/>
    <n v="0"/>
    <n v="-316.47"/>
    <n v="-79.11750000000001"/>
    <n v="0"/>
  </r>
  <r>
    <n v="60960601"/>
    <s v="N"/>
    <n v="21333876"/>
    <s v="3000015169070003RC"/>
    <s v="CIVIL"/>
    <d v="2023-06-27T00:00:00"/>
    <d v="2023-07-05T19:42:28"/>
    <m/>
    <d v="2023-07-05T00:00:00"/>
    <n v="1317"/>
    <n v="20907"/>
    <s v="60960601"/>
    <s v="60960601"/>
    <m/>
    <m/>
    <m/>
    <m/>
    <m/>
    <m/>
    <s v="SOLRECOUP"/>
    <s v="SOLRECOUP"/>
    <s v="POARECOUP"/>
    <n v="21333876"/>
    <n v="-1542.55"/>
    <m/>
    <s v="Y"/>
    <n v="1"/>
    <d v="2023-07-05T19:42:29"/>
    <s v="N"/>
    <m/>
    <m/>
    <s v="Profit Cost"/>
    <m/>
    <s v="N"/>
    <n v="-1285.46"/>
    <n v="0"/>
    <x v="6"/>
    <s v="VALIDATED"/>
    <n v="1"/>
    <s v="01.11.80.307.2013.0000"/>
    <n v="-1285.46"/>
    <s v="11"/>
    <s v="2013"/>
    <n v="3350.14"/>
    <n v="-1285.46"/>
    <s v="CREDITOR"/>
    <n v="0"/>
    <n v="0"/>
    <n v="-1285.46"/>
    <n v="-321.365"/>
    <n v="0"/>
  </r>
  <r>
    <n v="60960601"/>
    <s v="N"/>
    <n v="21333876"/>
    <s v="3000015169070003RC"/>
    <s v="CIVIL"/>
    <d v="2023-06-27T00:00:00"/>
    <d v="2023-07-05T19:42:28"/>
    <m/>
    <d v="2023-07-05T00:00:00"/>
    <n v="1317"/>
    <n v="20907"/>
    <s v="60960601"/>
    <s v="60960601"/>
    <m/>
    <m/>
    <m/>
    <m/>
    <m/>
    <m/>
    <s v="SOLRECOUP"/>
    <s v="SOLRECOUP"/>
    <s v="POARECOUP"/>
    <n v="21333876"/>
    <n v="-1542.55"/>
    <m/>
    <s v="Y"/>
    <n v="2"/>
    <d v="2023-07-05T19:42:29"/>
    <s v="N"/>
    <m/>
    <m/>
    <s v="Profit Cost"/>
    <m/>
    <s v="N"/>
    <n v="0"/>
    <n v="-257.09"/>
    <x v="6"/>
    <s v="VALIDATED"/>
    <n v="1"/>
    <s v="01.11.80.307.2013.0000"/>
    <n v="-257.09"/>
    <s v="11"/>
    <s v="2013"/>
    <n v="3350.14"/>
    <n v="-257.09"/>
    <s v="CREDITOR"/>
    <n v="0"/>
    <n v="0"/>
    <n v="-257.09"/>
    <n v="-64.27249999999999"/>
    <n v="0"/>
  </r>
  <r>
    <n v="60960601"/>
    <s v="N"/>
    <n v="21333877"/>
    <s v="3000015169070004RC"/>
    <s v="CIVIL"/>
    <d v="2023-06-27T00:00:00"/>
    <d v="2023-07-05T19:42:28"/>
    <m/>
    <d v="2023-07-05T00:00:00"/>
    <n v="1317"/>
    <n v="20907"/>
    <s v="60960601"/>
    <s v="60960601"/>
    <m/>
    <m/>
    <m/>
    <m/>
    <m/>
    <m/>
    <s v="SOLRECOUP"/>
    <s v="SOLRECOUP"/>
    <s v="POARECOUP"/>
    <n v="21333877"/>
    <n v="-237"/>
    <m/>
    <s v="Y"/>
    <n v="1"/>
    <d v="2023-07-05T19:42:29"/>
    <s v="N"/>
    <m/>
    <m/>
    <s v="Non Expert Disbursement"/>
    <m/>
    <s v="N"/>
    <n v="-197.5"/>
    <n v="0"/>
    <x v="6"/>
    <s v="VALIDATED"/>
    <n v="1"/>
    <s v="01.11.80.307.2013.0000"/>
    <n v="-197.5"/>
    <s v="11"/>
    <s v="2013"/>
    <n v="3350.14"/>
    <n v="-197.5"/>
    <s v="CREDITOR"/>
    <n v="0"/>
    <n v="0"/>
    <n v="-197.5"/>
    <n v="0"/>
    <n v="0"/>
  </r>
  <r>
    <n v="16236873"/>
    <s v="N"/>
    <n v="21333855"/>
    <s v="3000007820110003RC"/>
    <s v="CIVIL"/>
    <d v="2023-06-25T00:00:00"/>
    <d v="2023-07-05T19:42:28"/>
    <m/>
    <d v="2023-07-05T00:00:00"/>
    <n v="1317"/>
    <n v="20907"/>
    <s v="16236873"/>
    <s v="16236873"/>
    <m/>
    <m/>
    <m/>
    <m/>
    <m/>
    <m/>
    <s v="SOLRECOUP"/>
    <s v="SOLRECOUP"/>
    <s v="POARECOUP"/>
    <n v="21333855"/>
    <n v="-2122.85"/>
    <m/>
    <s v="Y"/>
    <n v="1"/>
    <d v="2023-07-05T19:42:29"/>
    <s v="N"/>
    <m/>
    <m/>
    <s v="Profit Cost"/>
    <m/>
    <s v="N"/>
    <n v="-1769.04"/>
    <n v="0"/>
    <x v="6"/>
    <s v="VALIDATED"/>
    <n v="1"/>
    <s v="01.11.80.307.2013.0000"/>
    <n v="-1769.04"/>
    <s v="11"/>
    <s v="2013"/>
    <n v="3350.14"/>
    <n v="-1769.04"/>
    <s v="CREDITOR"/>
    <n v="0"/>
    <n v="0"/>
    <n v="-1769.04"/>
    <n v="-442.26"/>
    <n v="0"/>
  </r>
  <r>
    <n v="16236873"/>
    <s v="N"/>
    <n v="21333855"/>
    <s v="3000007820110003RC"/>
    <s v="CIVIL"/>
    <d v="2023-06-25T00:00:00"/>
    <d v="2023-07-05T19:42:28"/>
    <m/>
    <d v="2023-07-05T00:00:00"/>
    <n v="1317"/>
    <n v="20907"/>
    <s v="16236873"/>
    <s v="16236873"/>
    <m/>
    <m/>
    <m/>
    <m/>
    <m/>
    <m/>
    <s v="SOLRECOUP"/>
    <s v="SOLRECOUP"/>
    <s v="POARECOUP"/>
    <n v="21333855"/>
    <n v="-2122.85"/>
    <m/>
    <s v="Y"/>
    <n v="2"/>
    <d v="2023-07-05T19:42:29"/>
    <s v="N"/>
    <m/>
    <m/>
    <s v="Profit Cost"/>
    <m/>
    <s v="N"/>
    <n v="0"/>
    <n v="-353.81"/>
    <x v="6"/>
    <s v="VALIDATED"/>
    <n v="1"/>
    <s v="01.11.80.307.2013.0000"/>
    <n v="-353.81"/>
    <s v="11"/>
    <s v="2013"/>
    <n v="3350.14"/>
    <n v="-353.81"/>
    <s v="CREDITOR"/>
    <n v="0"/>
    <n v="0"/>
    <n v="-353.81"/>
    <n v="-88.4525"/>
    <n v="0"/>
  </r>
  <r>
    <n v="16236873"/>
    <s v="N"/>
    <n v="21333856"/>
    <s v="3000007820110004RC"/>
    <s v="CIVIL"/>
    <d v="2023-06-25T00:00:00"/>
    <d v="2023-07-05T19:42:28"/>
    <m/>
    <d v="2023-07-05T00:00:00"/>
    <n v="1317"/>
    <n v="20907"/>
    <s v="16236873"/>
    <s v="16236873"/>
    <m/>
    <m/>
    <m/>
    <m/>
    <m/>
    <m/>
    <s v="SOLRECOUP"/>
    <s v="SOLRECOUP"/>
    <s v="POARECOUP"/>
    <n v="21333856"/>
    <n v="-155"/>
    <m/>
    <s v="Y"/>
    <n v="1"/>
    <d v="2023-07-05T19:42:29"/>
    <s v="N"/>
    <m/>
    <m/>
    <s v="Non Expert Disbursement"/>
    <m/>
    <s v="N"/>
    <n v="-155"/>
    <n v="0"/>
    <x v="6"/>
    <s v="VALIDATED"/>
    <n v="1"/>
    <s v="01.11.80.307.2013.0000"/>
    <n v="-155"/>
    <s v="11"/>
    <s v="2013"/>
    <n v="3350.14"/>
    <n v="-155"/>
    <s v="CREDITOR"/>
    <n v="0"/>
    <n v="0"/>
    <n v="-155"/>
    <n v="0"/>
    <n v="0"/>
  </r>
  <r>
    <n v="16236873"/>
    <s v="N"/>
    <n v="21333856"/>
    <s v="3000007820110004RC"/>
    <s v="CIVIL"/>
    <d v="2023-06-25T00:00:00"/>
    <d v="2023-07-05T19:42:28"/>
    <m/>
    <d v="2023-07-05T00:00:00"/>
    <n v="1317"/>
    <n v="20907"/>
    <s v="16236873"/>
    <s v="16236873"/>
    <m/>
    <m/>
    <m/>
    <m/>
    <m/>
    <m/>
    <s v="SOLRECOUP"/>
    <s v="SOLRECOUP"/>
    <s v="POARECOUP"/>
    <n v="21333856"/>
    <n v="-155"/>
    <m/>
    <s v="Y"/>
    <n v="2"/>
    <d v="2023-07-05T19:42:29"/>
    <s v="N"/>
    <m/>
    <m/>
    <s v="Non Expert Disbursement"/>
    <m/>
    <s v="N"/>
    <n v="0"/>
    <n v="0"/>
    <x v="6"/>
    <s v="VALIDATED"/>
    <n v="1"/>
    <s v="01.11.80.000.0000.0000"/>
    <n v="0"/>
    <s v="11"/>
    <s v="0000"/>
    <n v="3350.14"/>
    <n v="0"/>
    <s v="CREDITOR"/>
    <n v="0"/>
    <n v="0"/>
    <n v="0"/>
    <n v="0"/>
    <n v="0"/>
  </r>
  <r>
    <n v="16236873"/>
    <s v="N"/>
    <n v="21333857"/>
    <s v="3000007820110005RC"/>
    <s v="CIVIL"/>
    <d v="2023-06-25T00:00:00"/>
    <d v="2023-07-05T19:42:28"/>
    <m/>
    <d v="2023-07-05T00:00:00"/>
    <n v="1317"/>
    <n v="20907"/>
    <s v="16236873"/>
    <s v="16236873"/>
    <m/>
    <m/>
    <m/>
    <m/>
    <m/>
    <m/>
    <s v="SOLRECOUP"/>
    <s v="SOLRECOUP"/>
    <s v="POARECOUP"/>
    <n v="21333857"/>
    <n v="-114.4"/>
    <m/>
    <s v="Y"/>
    <n v="1"/>
    <d v="2023-07-05T19:42:29"/>
    <s v="N"/>
    <m/>
    <m/>
    <s v="Non Expert Disbursement"/>
    <m/>
    <s v="N"/>
    <n v="-114.4"/>
    <n v="0"/>
    <x v="6"/>
    <s v="VALIDATED"/>
    <n v="1"/>
    <s v="01.11.80.307.2013.0000"/>
    <n v="-114.4"/>
    <s v="11"/>
    <s v="2013"/>
    <n v="3350.14"/>
    <n v="-114.4"/>
    <s v="CREDITOR"/>
    <n v="0"/>
    <n v="0"/>
    <n v="-114.4"/>
    <n v="0"/>
    <n v="0"/>
  </r>
  <r>
    <n v="16236873"/>
    <s v="N"/>
    <n v="21333857"/>
    <s v="3000007820110005RC"/>
    <s v="CIVIL"/>
    <d v="2023-06-25T00:00:00"/>
    <d v="2023-07-05T19:42:28"/>
    <m/>
    <d v="2023-07-05T00:00:00"/>
    <n v="1317"/>
    <n v="20907"/>
    <s v="16236873"/>
    <s v="16236873"/>
    <m/>
    <m/>
    <m/>
    <m/>
    <m/>
    <m/>
    <s v="SOLRECOUP"/>
    <s v="SOLRECOUP"/>
    <s v="POARECOUP"/>
    <n v="21333857"/>
    <n v="-114.4"/>
    <m/>
    <s v="Y"/>
    <n v="2"/>
    <d v="2023-07-05T19:42:29"/>
    <s v="N"/>
    <m/>
    <m/>
    <s v="Non Expert Disbursement"/>
    <m/>
    <s v="N"/>
    <n v="0"/>
    <n v="0"/>
    <x v="6"/>
    <s v="VALIDATED"/>
    <n v="1"/>
    <s v="01.11.80.000.0000.0000"/>
    <n v="0"/>
    <s v="11"/>
    <s v="0000"/>
    <n v="3350.14"/>
    <n v="0"/>
    <s v="CREDITOR"/>
    <n v="0"/>
    <n v="0"/>
    <n v="0"/>
    <n v="0"/>
    <n v="0"/>
  </r>
  <r>
    <n v="16236873"/>
    <s v="N"/>
    <n v="21333858"/>
    <s v="3000007820110006RC"/>
    <s v="CIVIL"/>
    <d v="2023-06-25T00:00:00"/>
    <d v="2023-07-05T19:42:28"/>
    <m/>
    <d v="2023-07-05T00:00:00"/>
    <n v="1317"/>
    <n v="20907"/>
    <s v="16236873"/>
    <s v="16236873"/>
    <m/>
    <m/>
    <m/>
    <m/>
    <m/>
    <m/>
    <s v="SOLRECOUP"/>
    <s v="SOLRECOUP"/>
    <s v="POARECOUP"/>
    <n v="21333858"/>
    <n v="-2704.32"/>
    <m/>
    <s v="Y"/>
    <n v="1"/>
    <d v="2023-07-05T19:42:29"/>
    <s v="N"/>
    <m/>
    <m/>
    <s v="Profit Cost"/>
    <m/>
    <s v="N"/>
    <n v="-2253.6"/>
    <n v="0"/>
    <x v="6"/>
    <s v="VALIDATED"/>
    <n v="1"/>
    <s v="01.11.80.307.2013.0000"/>
    <n v="-2253.6"/>
    <s v="11"/>
    <s v="2013"/>
    <n v="3350.14"/>
    <n v="-2253.6"/>
    <s v="CREDITOR"/>
    <n v="0"/>
    <n v="0"/>
    <n v="-2253.6"/>
    <n v="-563.4"/>
    <n v="0"/>
  </r>
  <r>
    <n v="16236873"/>
    <s v="N"/>
    <n v="21333858"/>
    <s v="3000007820110006RC"/>
    <s v="CIVIL"/>
    <d v="2023-06-25T00:00:00"/>
    <d v="2023-07-05T19:42:28"/>
    <m/>
    <d v="2023-07-05T00:00:00"/>
    <n v="1317"/>
    <n v="20907"/>
    <s v="16236873"/>
    <s v="16236873"/>
    <m/>
    <m/>
    <m/>
    <m/>
    <m/>
    <m/>
    <s v="SOLRECOUP"/>
    <s v="SOLRECOUP"/>
    <s v="POARECOUP"/>
    <n v="21333858"/>
    <n v="-2704.32"/>
    <m/>
    <s v="Y"/>
    <n v="2"/>
    <d v="2023-07-05T19:42:29"/>
    <s v="N"/>
    <m/>
    <m/>
    <s v="Profit Cost"/>
    <m/>
    <s v="N"/>
    <n v="0"/>
    <n v="-450.72"/>
    <x v="6"/>
    <s v="VALIDATED"/>
    <n v="1"/>
    <s v="01.11.80.307.2013.0000"/>
    <n v="-450.72"/>
    <s v="11"/>
    <s v="2013"/>
    <n v="3350.14"/>
    <n v="-450.72"/>
    <s v="CREDITOR"/>
    <n v="0"/>
    <n v="0"/>
    <n v="-450.72"/>
    <n v="-112.68"/>
    <n v="0"/>
  </r>
  <r>
    <n v="16236873"/>
    <s v="N"/>
    <n v="21333859"/>
    <s v="3000007820110009RC"/>
    <s v="CIVIL"/>
    <d v="2023-06-25T00:00:00"/>
    <d v="2023-07-05T19:42:28"/>
    <m/>
    <d v="2023-07-05T00:00:00"/>
    <n v="1317"/>
    <n v="20907"/>
    <s v="16236873"/>
    <s v="16236873"/>
    <m/>
    <m/>
    <m/>
    <m/>
    <m/>
    <m/>
    <s v="SOLRECOUP"/>
    <s v="SOLRECOUP"/>
    <s v="POARECOUP"/>
    <n v="21333859"/>
    <n v="-1464.49"/>
    <m/>
    <s v="Y"/>
    <n v="1"/>
    <d v="2023-07-05T19:42:29"/>
    <s v="N"/>
    <m/>
    <m/>
    <s v="Profit Cost"/>
    <m/>
    <s v="N"/>
    <n v="-1220.41"/>
    <n v="0"/>
    <x v="6"/>
    <s v="VALIDATED"/>
    <n v="1"/>
    <s v="01.11.80.307.2013.0000"/>
    <n v="-1220.41"/>
    <s v="11"/>
    <s v="2013"/>
    <n v="3350.14"/>
    <n v="-1220.41"/>
    <s v="CREDITOR"/>
    <n v="0"/>
    <n v="0"/>
    <n v="-1220.41"/>
    <n v="-305.1025"/>
    <n v="0"/>
  </r>
  <r>
    <n v="16236873"/>
    <s v="N"/>
    <n v="21333859"/>
    <s v="3000007820110009RC"/>
    <s v="CIVIL"/>
    <d v="2023-06-25T00:00:00"/>
    <d v="2023-07-05T19:42:28"/>
    <m/>
    <d v="2023-07-05T00:00:00"/>
    <n v="1317"/>
    <n v="20907"/>
    <s v="16236873"/>
    <s v="16236873"/>
    <m/>
    <m/>
    <m/>
    <m/>
    <m/>
    <m/>
    <s v="SOLRECOUP"/>
    <s v="SOLRECOUP"/>
    <s v="POARECOUP"/>
    <n v="21333859"/>
    <n v="-1464.49"/>
    <m/>
    <s v="Y"/>
    <n v="2"/>
    <d v="2023-07-05T19:42:29"/>
    <s v="N"/>
    <m/>
    <m/>
    <s v="Profit Cost"/>
    <m/>
    <s v="N"/>
    <n v="0"/>
    <n v="-244.08"/>
    <x v="6"/>
    <s v="VALIDATED"/>
    <n v="1"/>
    <s v="01.11.80.307.2013.0000"/>
    <n v="-244.08"/>
    <s v="11"/>
    <s v="2013"/>
    <n v="3350.14"/>
    <n v="-244.08"/>
    <s v="CREDITOR"/>
    <n v="0"/>
    <n v="0"/>
    <n v="-244.08"/>
    <n v="-61.02"/>
    <n v="0"/>
  </r>
  <r>
    <n v="16236873"/>
    <s v="N"/>
    <n v="21333860"/>
    <s v="3000007820110010RC"/>
    <s v="CIVIL"/>
    <d v="2023-06-25T00:00:00"/>
    <d v="2023-07-05T19:42:28"/>
    <m/>
    <d v="2023-07-05T00:00:00"/>
    <n v="1317"/>
    <n v="20907"/>
    <s v="16236873"/>
    <s v="16236873"/>
    <m/>
    <m/>
    <m/>
    <m/>
    <m/>
    <m/>
    <s v="SOLRECOUP"/>
    <s v="SOLRECOUP"/>
    <s v="POARECOUP"/>
    <n v="21333860"/>
    <n v="-100"/>
    <m/>
    <s v="Y"/>
    <n v="1"/>
    <d v="2023-07-05T19:42:29"/>
    <s v="N"/>
    <m/>
    <m/>
    <s v="Non Expert Disbursement"/>
    <m/>
    <s v="N"/>
    <n v="-100"/>
    <n v="0"/>
    <x v="6"/>
    <s v="VALIDATED"/>
    <n v="1"/>
    <s v="01.11.80.307.2013.0000"/>
    <n v="-100"/>
    <s v="11"/>
    <s v="2013"/>
    <n v="3350.14"/>
    <n v="-100"/>
    <s v="CREDITOR"/>
    <n v="0"/>
    <n v="0"/>
    <n v="-100"/>
    <n v="0"/>
    <n v="0"/>
  </r>
  <r>
    <n v="16236873"/>
    <s v="N"/>
    <n v="21333860"/>
    <s v="3000007820110010RC"/>
    <s v="CIVIL"/>
    <d v="2023-06-25T00:00:00"/>
    <d v="2023-07-05T19:42:28"/>
    <m/>
    <d v="2023-07-05T00:00:00"/>
    <n v="1317"/>
    <n v="20907"/>
    <s v="16236873"/>
    <s v="16236873"/>
    <m/>
    <m/>
    <m/>
    <m/>
    <m/>
    <m/>
    <s v="SOLRECOUP"/>
    <s v="SOLRECOUP"/>
    <s v="POARECOUP"/>
    <n v="21333860"/>
    <n v="-100"/>
    <m/>
    <s v="Y"/>
    <n v="2"/>
    <d v="2023-07-05T19:42:29"/>
    <s v="N"/>
    <m/>
    <m/>
    <s v="Non Expert Disbursement"/>
    <m/>
    <s v="N"/>
    <n v="0"/>
    <n v="0"/>
    <x v="6"/>
    <s v="VALIDATED"/>
    <n v="1"/>
    <s v="01.11.80.000.0000.0000"/>
    <n v="0"/>
    <s v="11"/>
    <s v="0000"/>
    <n v="3350.14"/>
    <n v="0"/>
    <s v="CREDITOR"/>
    <n v="0"/>
    <n v="0"/>
    <n v="0"/>
    <n v="0"/>
    <n v="0"/>
  </r>
  <r>
    <n v="16236873"/>
    <s v="N"/>
    <n v="21333861"/>
    <s v="3000007820110011RC"/>
    <s v="CIVIL"/>
    <d v="2023-06-25T00:00:00"/>
    <d v="2023-07-05T19:42:28"/>
    <m/>
    <d v="2023-07-05T00:00:00"/>
    <n v="1317"/>
    <n v="20907"/>
    <s v="16236873"/>
    <s v="16236873"/>
    <m/>
    <m/>
    <m/>
    <m/>
    <m/>
    <m/>
    <s v="SOLRECOUP"/>
    <s v="SOLRECOUP"/>
    <s v="POARECOUP"/>
    <n v="21333861"/>
    <n v="-123.6"/>
    <m/>
    <s v="Y"/>
    <n v="1"/>
    <d v="2023-07-05T19:42:29"/>
    <s v="N"/>
    <m/>
    <m/>
    <s v="Non Expert Disbursement"/>
    <m/>
    <s v="N"/>
    <n v="-123.6"/>
    <n v="0"/>
    <x v="6"/>
    <s v="VALIDATED"/>
    <n v="1"/>
    <s v="01.11.80.307.2013.0000"/>
    <n v="-123.6"/>
    <s v="11"/>
    <s v="2013"/>
    <n v="3350.14"/>
    <n v="-123.6"/>
    <s v="CREDITOR"/>
    <n v="0"/>
    <n v="0"/>
    <n v="-123.6"/>
    <n v="0"/>
    <n v="0"/>
  </r>
  <r>
    <n v="16236873"/>
    <s v="N"/>
    <n v="21333861"/>
    <s v="3000007820110011RC"/>
    <s v="CIVIL"/>
    <d v="2023-06-25T00:00:00"/>
    <d v="2023-07-05T19:42:28"/>
    <m/>
    <d v="2023-07-05T00:00:00"/>
    <n v="1317"/>
    <n v="20907"/>
    <s v="16236873"/>
    <s v="16236873"/>
    <m/>
    <m/>
    <m/>
    <m/>
    <m/>
    <m/>
    <s v="SOLRECOUP"/>
    <s v="SOLRECOUP"/>
    <s v="POARECOUP"/>
    <n v="21333861"/>
    <n v="-123.6"/>
    <m/>
    <s v="Y"/>
    <n v="2"/>
    <d v="2023-07-05T19:42:29"/>
    <s v="N"/>
    <m/>
    <m/>
    <s v="Non Expert Disbursement"/>
    <m/>
    <s v="N"/>
    <n v="0"/>
    <n v="0"/>
    <x v="6"/>
    <s v="VALIDATED"/>
    <n v="1"/>
    <s v="01.11.80.000.0000.0000"/>
    <n v="0"/>
    <s v="11"/>
    <s v="0000"/>
    <n v="3350.14"/>
    <n v="0"/>
    <s v="CREDITOR"/>
    <n v="0"/>
    <n v="0"/>
    <n v="0"/>
    <n v="0"/>
    <n v="0"/>
  </r>
  <r>
    <n v="16236873"/>
    <s v="N"/>
    <n v="21333862"/>
    <s v="3000007820110013RC"/>
    <s v="CIVIL"/>
    <d v="2023-06-25T00:00:00"/>
    <d v="2023-07-05T19:42:28"/>
    <m/>
    <d v="2023-07-05T00:00:00"/>
    <n v="1317"/>
    <n v="20907"/>
    <s v="16236873"/>
    <s v="16236873"/>
    <m/>
    <m/>
    <m/>
    <m/>
    <m/>
    <m/>
    <s v="SOLRECOUP"/>
    <s v="SOLRECOUP"/>
    <s v="POARECOUP"/>
    <n v="21333862"/>
    <n v="-3006.6"/>
    <m/>
    <s v="Y"/>
    <n v="2"/>
    <d v="2023-07-05T19:42:29"/>
    <s v="N"/>
    <m/>
    <m/>
    <s v="Profit Cost"/>
    <m/>
    <s v="N"/>
    <n v="0"/>
    <n v="-501.1"/>
    <x v="6"/>
    <s v="VALIDATED"/>
    <n v="1"/>
    <s v="01.11.80.307.2013.0000"/>
    <n v="-501.1"/>
    <s v="11"/>
    <s v="2013"/>
    <n v="3350.14"/>
    <n v="-501.1"/>
    <s v="CREDITOR"/>
    <n v="0"/>
    <n v="0"/>
    <n v="-501.1"/>
    <n v="-125.275"/>
    <n v="0"/>
  </r>
  <r>
    <n v="16236873"/>
    <s v="N"/>
    <n v="21333862"/>
    <s v="3000007820110013RC"/>
    <s v="CIVIL"/>
    <d v="2023-06-25T00:00:00"/>
    <d v="2023-07-05T19:42:28"/>
    <m/>
    <d v="2023-07-05T00:00:00"/>
    <n v="1317"/>
    <n v="20907"/>
    <s v="16236873"/>
    <s v="16236873"/>
    <m/>
    <m/>
    <m/>
    <m/>
    <m/>
    <m/>
    <s v="SOLRECOUP"/>
    <s v="SOLRECOUP"/>
    <s v="POARECOUP"/>
    <n v="21333862"/>
    <n v="-3006.6"/>
    <m/>
    <s v="Y"/>
    <n v="1"/>
    <d v="2023-07-05T19:42:29"/>
    <s v="N"/>
    <m/>
    <m/>
    <s v="Profit Cost"/>
    <m/>
    <s v="N"/>
    <n v="-2505.5"/>
    <n v="0"/>
    <x v="6"/>
    <s v="VALIDATED"/>
    <n v="1"/>
    <s v="01.11.80.307.2013.0000"/>
    <n v="-2505.5"/>
    <s v="11"/>
    <s v="2013"/>
    <n v="3350.14"/>
    <n v="-2505.5"/>
    <s v="CREDITOR"/>
    <n v="0"/>
    <n v="0"/>
    <n v="-2505.5"/>
    <n v="-626.375"/>
    <n v="0"/>
  </r>
  <r>
    <n v="16236873"/>
    <s v="N"/>
    <n v="21333863"/>
    <s v="3000007820110017RC"/>
    <s v="CIVIL"/>
    <d v="2023-06-25T00:00:00"/>
    <d v="2023-07-05T19:42:28"/>
    <m/>
    <d v="2023-07-05T00:00:00"/>
    <n v="1317"/>
    <n v="20907"/>
    <s v="16236873"/>
    <s v="16236873"/>
    <m/>
    <m/>
    <m/>
    <m/>
    <m/>
    <m/>
    <s v="SOLRECOUP"/>
    <s v="SOLRECOUP"/>
    <s v="POARECOUP"/>
    <n v="21333863"/>
    <n v="-43.58"/>
    <m/>
    <s v="Y"/>
    <n v="2"/>
    <d v="2023-07-05T19:42:29"/>
    <s v="N"/>
    <m/>
    <m/>
    <s v="Non Expert Disbursement"/>
    <m/>
    <s v="N"/>
    <n v="0"/>
    <n v="-7.26"/>
    <x v="6"/>
    <s v="VALIDATED"/>
    <n v="1"/>
    <s v="01.11.80.307.2013.0000"/>
    <n v="-7.26"/>
    <s v="11"/>
    <s v="2013"/>
    <n v="3350.14"/>
    <n v="-7.26"/>
    <s v="CREDITOR"/>
    <n v="0"/>
    <n v="0"/>
    <n v="-7.26"/>
    <n v="0"/>
    <n v="0"/>
  </r>
  <r>
    <n v="16236873"/>
    <s v="N"/>
    <n v="21333863"/>
    <s v="3000007820110017RC"/>
    <s v="CIVIL"/>
    <d v="2023-06-25T00:00:00"/>
    <d v="2023-07-05T19:42:28"/>
    <m/>
    <d v="2023-07-05T00:00:00"/>
    <n v="1317"/>
    <n v="20907"/>
    <s v="16236873"/>
    <s v="16236873"/>
    <m/>
    <m/>
    <m/>
    <m/>
    <m/>
    <m/>
    <s v="SOLRECOUP"/>
    <s v="SOLRECOUP"/>
    <s v="POARECOUP"/>
    <n v="21333863"/>
    <n v="-43.58"/>
    <m/>
    <s v="Y"/>
    <n v="1"/>
    <d v="2023-07-05T19:42:29"/>
    <s v="N"/>
    <m/>
    <m/>
    <s v="Non Expert Disbursement"/>
    <m/>
    <s v="N"/>
    <n v="-36.32"/>
    <n v="0"/>
    <x v="6"/>
    <s v="VALIDATED"/>
    <n v="1"/>
    <s v="01.11.80.307.2013.0000"/>
    <n v="-36.32"/>
    <s v="11"/>
    <s v="2013"/>
    <n v="3350.14"/>
    <n v="-36.32"/>
    <s v="CREDITOR"/>
    <n v="0"/>
    <n v="0"/>
    <n v="-36.32"/>
    <n v="0"/>
    <n v="0"/>
  </r>
  <r>
    <n v="16236873"/>
    <s v="N"/>
    <n v="21333864"/>
    <s v="3000007820110020RC"/>
    <s v="CIVIL"/>
    <d v="2023-06-25T00:00:00"/>
    <d v="2023-07-05T19:42:28"/>
    <m/>
    <d v="2023-07-05T00:00:00"/>
    <n v="1317"/>
    <n v="20907"/>
    <s v="16236873"/>
    <s v="16236873"/>
    <m/>
    <m/>
    <m/>
    <m/>
    <m/>
    <m/>
    <s v="SOLRECOUP"/>
    <s v="SOLRECOUP"/>
    <s v="POARECOUP"/>
    <n v="21333864"/>
    <n v="-15.7"/>
    <m/>
    <s v="Y"/>
    <n v="2"/>
    <d v="2023-07-05T19:42:29"/>
    <s v="N"/>
    <m/>
    <m/>
    <s v="Non Expert Disbursement"/>
    <m/>
    <s v="N"/>
    <n v="0"/>
    <n v="0"/>
    <x v="6"/>
    <s v="VALIDATED"/>
    <n v="1"/>
    <s v="01.11.80.000.0000.0000"/>
    <n v="0"/>
    <s v="11"/>
    <s v="0000"/>
    <n v="3350.14"/>
    <n v="0"/>
    <s v="CREDITOR"/>
    <n v="0"/>
    <n v="0"/>
    <n v="0"/>
    <n v="0"/>
    <n v="0"/>
  </r>
  <r>
    <n v="16236873"/>
    <s v="N"/>
    <n v="21333864"/>
    <s v="3000007820110020RC"/>
    <s v="CIVIL"/>
    <d v="2023-06-25T00:00:00"/>
    <d v="2023-07-05T19:42:28"/>
    <m/>
    <d v="2023-07-05T00:00:00"/>
    <n v="1317"/>
    <n v="20907"/>
    <s v="16236873"/>
    <s v="16236873"/>
    <m/>
    <m/>
    <m/>
    <m/>
    <m/>
    <m/>
    <s v="SOLRECOUP"/>
    <s v="SOLRECOUP"/>
    <s v="POARECOUP"/>
    <n v="21333864"/>
    <n v="-15.7"/>
    <m/>
    <s v="Y"/>
    <n v="1"/>
    <d v="2023-07-05T19:42:29"/>
    <s v="N"/>
    <m/>
    <m/>
    <s v="Non Expert Disbursement"/>
    <m/>
    <s v="N"/>
    <n v="-15.7"/>
    <n v="0"/>
    <x v="6"/>
    <s v="VALIDATED"/>
    <n v="1"/>
    <s v="01.11.80.307.2013.0000"/>
    <n v="-15.7"/>
    <s v="11"/>
    <s v="2013"/>
    <n v="3350.14"/>
    <n v="-15.7"/>
    <s v="CREDITOR"/>
    <n v="0"/>
    <n v="0"/>
    <n v="-15.7"/>
    <n v="0"/>
    <n v="0"/>
  </r>
  <r>
    <n v="59969012"/>
    <s v="N"/>
    <n v="21333865"/>
    <s v="3000014316120003RC"/>
    <s v="CIVIL"/>
    <d v="2023-06-28T00:00:00"/>
    <d v="2023-07-05T19:42:28"/>
    <m/>
    <d v="2023-07-05T00:00:00"/>
    <n v="1317"/>
    <n v="20907"/>
    <s v="59969012"/>
    <s v="59969012"/>
    <m/>
    <m/>
    <m/>
    <m/>
    <m/>
    <m/>
    <s v="SOLRECOUP"/>
    <s v="SOLRECOUP"/>
    <s v="POARECOUP"/>
    <n v="21333865"/>
    <n v="-100.2"/>
    <m/>
    <s v="Y"/>
    <n v="2"/>
    <d v="2023-07-05T19:42:29"/>
    <s v="N"/>
    <m/>
    <m/>
    <s v="Non Expert Disbursement"/>
    <m/>
    <s v="N"/>
    <n v="0"/>
    <n v="0"/>
    <x v="6"/>
    <s v="VALIDATED"/>
    <n v="1"/>
    <s v="01.11.80.000.0000.0000"/>
    <n v="0"/>
    <s v="11"/>
    <s v="0000"/>
    <n v="3350.14"/>
    <n v="0"/>
    <s v="CREDITOR"/>
    <n v="0"/>
    <n v="0"/>
    <n v="0"/>
    <n v="0"/>
    <n v="0"/>
  </r>
  <r>
    <n v="59969012"/>
    <s v="N"/>
    <n v="21333865"/>
    <s v="3000014316120003RC"/>
    <s v="CIVIL"/>
    <d v="2023-06-28T00:00:00"/>
    <d v="2023-07-05T19:42:28"/>
    <m/>
    <d v="2023-07-05T00:00:00"/>
    <n v="1317"/>
    <n v="20907"/>
    <s v="59969012"/>
    <s v="59969012"/>
    <m/>
    <m/>
    <m/>
    <m/>
    <m/>
    <m/>
    <s v="SOLRECOUP"/>
    <s v="SOLRECOUP"/>
    <s v="POARECOUP"/>
    <n v="21333865"/>
    <n v="-100.2"/>
    <m/>
    <s v="Y"/>
    <n v="1"/>
    <d v="2023-07-05T19:42:29"/>
    <s v="N"/>
    <m/>
    <m/>
    <s v="Non Expert Disbursement"/>
    <m/>
    <s v="N"/>
    <n v="-100.2"/>
    <n v="0"/>
    <x v="6"/>
    <s v="VALIDATED"/>
    <n v="1"/>
    <s v="01.11.80.302.2013.0000"/>
    <n v="-100.2"/>
    <s v="11"/>
    <s v="2013"/>
    <n v="3350.14"/>
    <n v="-100.2"/>
    <s v="CREDITOR"/>
    <n v="0"/>
    <n v="0"/>
    <n v="-100.2"/>
    <n v="0"/>
    <n v="0"/>
  </r>
  <r>
    <n v="16236873"/>
    <s v="N"/>
    <n v="21333866"/>
    <s v="3000007820110021RC"/>
    <s v="CIVIL"/>
    <d v="2023-06-25T00:00:00"/>
    <d v="2023-07-05T19:42:28"/>
    <m/>
    <d v="2023-07-05T00:00:00"/>
    <n v="1317"/>
    <n v="20907"/>
    <s v="16236873"/>
    <s v="16236873"/>
    <m/>
    <m/>
    <m/>
    <m/>
    <m/>
    <m/>
    <s v="SOLRECOUP"/>
    <s v="SOLRECOUP"/>
    <s v="POARECOUP"/>
    <n v="21333866"/>
    <n v="-59.38"/>
    <m/>
    <s v="Y"/>
    <n v="1"/>
    <d v="2023-07-05T19:42:29"/>
    <s v="N"/>
    <m/>
    <m/>
    <s v="Non Expert Disbursement"/>
    <m/>
    <s v="N"/>
    <n v="-49.48"/>
    <n v="0"/>
    <x v="6"/>
    <s v="VALIDATED"/>
    <n v="1"/>
    <s v="01.11.80.307.2013.0000"/>
    <n v="-49.48"/>
    <s v="11"/>
    <s v="2013"/>
    <n v="3350.14"/>
    <n v="-49.48"/>
    <s v="CREDITOR"/>
    <n v="0"/>
    <n v="0"/>
    <n v="-49.48"/>
    <n v="0"/>
    <n v="0"/>
  </r>
  <r>
    <n v="16236873"/>
    <s v="N"/>
    <n v="21333866"/>
    <s v="3000007820110021RC"/>
    <s v="CIVIL"/>
    <d v="2023-06-25T00:00:00"/>
    <d v="2023-07-05T19:42:28"/>
    <m/>
    <d v="2023-07-05T00:00:00"/>
    <n v="1317"/>
    <n v="20907"/>
    <s v="16236873"/>
    <s v="16236873"/>
    <m/>
    <m/>
    <m/>
    <m/>
    <m/>
    <m/>
    <s v="SOLRECOUP"/>
    <s v="SOLRECOUP"/>
    <s v="POARECOUP"/>
    <n v="21333866"/>
    <n v="-59.38"/>
    <m/>
    <s v="Y"/>
    <n v="2"/>
    <d v="2023-07-05T19:42:29"/>
    <s v="N"/>
    <m/>
    <m/>
    <s v="Non Expert Disbursement"/>
    <m/>
    <s v="N"/>
    <n v="0"/>
    <n v="-9.9"/>
    <x v="6"/>
    <s v="VALIDATED"/>
    <n v="1"/>
    <s v="01.11.80.307.2013.0000"/>
    <n v="-9.9"/>
    <s v="11"/>
    <s v="2013"/>
    <n v="3350.14"/>
    <n v="-9.9"/>
    <s v="CREDITOR"/>
    <n v="0"/>
    <n v="0"/>
    <n v="-9.9"/>
    <n v="0"/>
    <n v="0"/>
  </r>
  <r>
    <n v="60960601"/>
    <s v="N"/>
    <n v="21333867"/>
    <s v="3000015169070001RC"/>
    <s v="CIVIL"/>
    <d v="2023-06-27T00:00:00"/>
    <d v="2023-07-05T19:42:28"/>
    <m/>
    <d v="2023-07-05T00:00:00"/>
    <n v="1317"/>
    <n v="20907"/>
    <s v="60960601"/>
    <s v="60960601"/>
    <m/>
    <m/>
    <m/>
    <m/>
    <m/>
    <m/>
    <s v="SOLRECOUP"/>
    <s v="SOLRECOUP"/>
    <s v="POARECOUP"/>
    <n v="21333867"/>
    <n v="-100"/>
    <m/>
    <s v="Y"/>
    <n v="1"/>
    <d v="2023-07-05T19:42:29"/>
    <s v="N"/>
    <m/>
    <m/>
    <s v="Non Expert Disbursement"/>
    <m/>
    <s v="N"/>
    <n v="-100"/>
    <n v="0"/>
    <x v="6"/>
    <s v="VALIDATED"/>
    <n v="1"/>
    <s v="01.11.80.307.2013.0000"/>
    <n v="-100"/>
    <s v="11"/>
    <s v="2013"/>
    <n v="3350.14"/>
    <n v="-100"/>
    <s v="CREDITOR"/>
    <n v="0"/>
    <n v="0"/>
    <n v="-100"/>
    <n v="0"/>
    <n v="0"/>
  </r>
  <r>
    <n v="60960601"/>
    <s v="N"/>
    <n v="21333877"/>
    <s v="3000015169070004RC"/>
    <s v="CIVIL"/>
    <d v="2023-06-27T00:00:00"/>
    <d v="2023-07-05T19:42:28"/>
    <m/>
    <d v="2023-07-05T00:00:00"/>
    <n v="1317"/>
    <n v="20907"/>
    <s v="60960601"/>
    <s v="60960601"/>
    <m/>
    <m/>
    <m/>
    <m/>
    <m/>
    <m/>
    <s v="SOLRECOUP"/>
    <s v="SOLRECOUP"/>
    <s v="POARECOUP"/>
    <n v="21333877"/>
    <n v="-237"/>
    <m/>
    <s v="Y"/>
    <n v="2"/>
    <d v="2023-07-05T19:42:29"/>
    <s v="N"/>
    <m/>
    <m/>
    <s v="Non Expert Disbursement"/>
    <m/>
    <s v="N"/>
    <n v="0"/>
    <n v="-39.5"/>
    <x v="6"/>
    <s v="VALIDATED"/>
    <n v="1"/>
    <s v="01.11.80.307.2013.0000"/>
    <n v="-39.5"/>
    <s v="11"/>
    <s v="2013"/>
    <n v="3350.14"/>
    <n v="-39.5"/>
    <s v="CREDITOR"/>
    <n v="0"/>
    <n v="0"/>
    <n v="-39.5"/>
    <n v="0"/>
    <n v="0"/>
  </r>
  <r>
    <n v="16236873"/>
    <s v="N"/>
    <n v="21333878"/>
    <s v="3000007820110025RC"/>
    <s v="CIVIL"/>
    <d v="2023-06-25T00:00:00"/>
    <d v="2023-07-05T19:42:28"/>
    <m/>
    <d v="2023-07-05T00:00:00"/>
    <n v="1317"/>
    <n v="20907"/>
    <s v="16236873"/>
    <s v="16236873"/>
    <m/>
    <m/>
    <m/>
    <m/>
    <m/>
    <m/>
    <s v="SOLRECOUP"/>
    <s v="SOLRECOUP"/>
    <s v="POARECOUP"/>
    <n v="21333878"/>
    <n v="-13.56"/>
    <m/>
    <s v="Y"/>
    <n v="1"/>
    <d v="2023-07-05T19:42:29"/>
    <s v="N"/>
    <m/>
    <m/>
    <s v="Non Expert Disbursement"/>
    <m/>
    <s v="N"/>
    <n v="-13.56"/>
    <n v="0"/>
    <x v="6"/>
    <s v="VALIDATED"/>
    <n v="1"/>
    <s v="01.11.80.307.2013.0000"/>
    <n v="-13.56"/>
    <s v="11"/>
    <s v="2013"/>
    <n v="3350.14"/>
    <n v="-13.56"/>
    <s v="CREDITOR"/>
    <n v="0"/>
    <n v="0"/>
    <n v="-13.56"/>
    <n v="0"/>
    <n v="0"/>
  </r>
  <r>
    <n v="16236873"/>
    <s v="N"/>
    <n v="21333878"/>
    <s v="3000007820110025RC"/>
    <s v="CIVIL"/>
    <d v="2023-06-25T00:00:00"/>
    <d v="2023-07-05T19:42:28"/>
    <m/>
    <d v="2023-07-05T00:00:00"/>
    <n v="1317"/>
    <n v="20907"/>
    <s v="16236873"/>
    <s v="16236873"/>
    <m/>
    <m/>
    <m/>
    <m/>
    <m/>
    <m/>
    <s v="SOLRECOUP"/>
    <s v="SOLRECOUP"/>
    <s v="POARECOUP"/>
    <n v="21333878"/>
    <n v="-13.56"/>
    <m/>
    <s v="Y"/>
    <n v="2"/>
    <d v="2023-07-05T19:42:29"/>
    <s v="N"/>
    <m/>
    <m/>
    <s v="Non Expert Disbursement"/>
    <m/>
    <s v="N"/>
    <n v="0"/>
    <n v="0"/>
    <x v="6"/>
    <s v="VALIDATED"/>
    <n v="1"/>
    <s v="01.11.80.000.0000.0000"/>
    <n v="0"/>
    <s v="11"/>
    <s v="0000"/>
    <n v="3350.14"/>
    <n v="0"/>
    <s v="CREDITOR"/>
    <n v="0"/>
    <n v="0"/>
    <n v="0"/>
    <n v="0"/>
    <n v="0"/>
  </r>
  <r>
    <n v="60811304"/>
    <s v="N"/>
    <n v="21333879"/>
    <s v="3000015042280011RC"/>
    <s v="CIVIL"/>
    <d v="2023-06-26T00:00:00"/>
    <d v="2023-07-05T19:42:28"/>
    <m/>
    <d v="2023-07-05T00:00:00"/>
    <n v="1317"/>
    <n v="20907"/>
    <s v="60811304"/>
    <s v="60811304"/>
    <m/>
    <m/>
    <m/>
    <m/>
    <m/>
    <m/>
    <s v="SOLRECOUP"/>
    <s v="SOLRECOUP"/>
    <s v="POARECOUP"/>
    <n v="21333879"/>
    <n v="-100"/>
    <m/>
    <s v="Y"/>
    <n v="1"/>
    <d v="2023-07-05T19:42:29"/>
    <s v="N"/>
    <m/>
    <m/>
    <s v="Non Expert Disbursement"/>
    <m/>
    <s v="N"/>
    <n v="-100"/>
    <n v="0"/>
    <x v="6"/>
    <s v="VALIDATED"/>
    <n v="1"/>
    <s v="01.11.80.307.2013.0000"/>
    <n v="-100"/>
    <s v="11"/>
    <s v="2013"/>
    <n v="3350.14"/>
    <n v="-100"/>
    <s v="CREDITOR"/>
    <n v="0"/>
    <n v="0"/>
    <n v="-100"/>
    <n v="0"/>
    <n v="0"/>
  </r>
  <r>
    <n v="60811304"/>
    <s v="N"/>
    <n v="21333879"/>
    <s v="3000015042280011RC"/>
    <s v="CIVIL"/>
    <d v="2023-06-26T00:00:00"/>
    <d v="2023-07-05T19:42:28"/>
    <m/>
    <d v="2023-07-05T00:00:00"/>
    <n v="1317"/>
    <n v="20907"/>
    <s v="60811304"/>
    <s v="60811304"/>
    <m/>
    <m/>
    <m/>
    <m/>
    <m/>
    <m/>
    <s v="SOLRECOUP"/>
    <s v="SOLRECOUP"/>
    <s v="POARECOUP"/>
    <n v="21333879"/>
    <n v="-100"/>
    <m/>
    <s v="Y"/>
    <n v="2"/>
    <d v="2023-07-05T19:42:29"/>
    <s v="N"/>
    <m/>
    <m/>
    <s v="Non Expert Disbursement"/>
    <m/>
    <s v="N"/>
    <n v="0"/>
    <n v="0"/>
    <x v="6"/>
    <s v="VALIDATED"/>
    <n v="1"/>
    <s v="01.11.80.000.0000.0000"/>
    <n v="0"/>
    <s v="11"/>
    <s v="0000"/>
    <n v="3350.14"/>
    <n v="0"/>
    <s v="CREDITOR"/>
    <n v="0"/>
    <n v="0"/>
    <n v="0"/>
    <n v="0"/>
    <n v="0"/>
  </r>
  <r>
    <n v="16236873"/>
    <s v="N"/>
    <n v="21333880"/>
    <s v="3000007820110018RC"/>
    <s v="CIVIL"/>
    <d v="2023-06-25T00:00:00"/>
    <d v="2023-07-05T19:42:28"/>
    <m/>
    <d v="2023-07-05T00:00:00"/>
    <n v="1317"/>
    <n v="20907"/>
    <s v="16236873"/>
    <s v="16236873"/>
    <m/>
    <m/>
    <m/>
    <m/>
    <m/>
    <m/>
    <s v="SOLRECOUP"/>
    <s v="SOLRECOUP"/>
    <s v="POARECOUP"/>
    <n v="21333880"/>
    <n v="-166.18"/>
    <m/>
    <s v="Y"/>
    <n v="1"/>
    <d v="2023-07-05T19:42:29"/>
    <s v="N"/>
    <m/>
    <m/>
    <s v="Non Expert Disbursement"/>
    <m/>
    <s v="N"/>
    <n v="-138.48"/>
    <n v="0"/>
    <x v="6"/>
    <s v="VALIDATED"/>
    <n v="1"/>
    <s v="01.11.80.307.2013.0000"/>
    <n v="-138.48"/>
    <s v="11"/>
    <s v="2013"/>
    <n v="3350.14"/>
    <n v="-138.48"/>
    <s v="CREDITOR"/>
    <n v="0"/>
    <n v="0"/>
    <n v="-138.48"/>
    <n v="0"/>
    <n v="0"/>
  </r>
  <r>
    <n v="16236873"/>
    <s v="N"/>
    <n v="21333880"/>
    <s v="3000007820110018RC"/>
    <s v="CIVIL"/>
    <d v="2023-06-25T00:00:00"/>
    <d v="2023-07-05T19:42:28"/>
    <m/>
    <d v="2023-07-05T00:00:00"/>
    <n v="1317"/>
    <n v="20907"/>
    <s v="16236873"/>
    <s v="16236873"/>
    <m/>
    <m/>
    <m/>
    <m/>
    <m/>
    <m/>
    <s v="SOLRECOUP"/>
    <s v="SOLRECOUP"/>
    <s v="POARECOUP"/>
    <n v="21333880"/>
    <n v="-166.18"/>
    <m/>
    <s v="Y"/>
    <n v="2"/>
    <d v="2023-07-05T19:42:29"/>
    <s v="N"/>
    <m/>
    <m/>
    <s v="Non Expert Disbursement"/>
    <m/>
    <s v="N"/>
    <n v="0"/>
    <n v="-27.7"/>
    <x v="6"/>
    <s v="VALIDATED"/>
    <n v="1"/>
    <s v="01.11.80.307.2013.0000"/>
    <n v="-27.7"/>
    <s v="11"/>
    <s v="2013"/>
    <n v="3350.14"/>
    <n v="-27.7"/>
    <s v="CREDITOR"/>
    <n v="0"/>
    <n v="0"/>
    <n v="-27.7"/>
    <n v="0"/>
    <n v="0"/>
  </r>
  <r>
    <n v="59969012"/>
    <s v="N"/>
    <n v="21333881"/>
    <s v="3000014316120004RC"/>
    <s v="CIVIL"/>
    <d v="2023-06-28T00:00:00"/>
    <d v="2023-07-05T19:42:28"/>
    <m/>
    <d v="2023-07-05T00:00:00"/>
    <n v="1317"/>
    <n v="20907"/>
    <s v="59969012"/>
    <s v="59969012"/>
    <m/>
    <m/>
    <m/>
    <m/>
    <m/>
    <m/>
    <s v="SOLRECOUP"/>
    <s v="SOLRECOUP"/>
    <s v="POARECOUP"/>
    <n v="21333881"/>
    <n v="-232"/>
    <m/>
    <s v="Y"/>
    <n v="1"/>
    <d v="2023-07-05T19:42:29"/>
    <s v="N"/>
    <m/>
    <m/>
    <s v="Non Expert Disbursement"/>
    <m/>
    <s v="N"/>
    <n v="-232"/>
    <n v="0"/>
    <x v="6"/>
    <s v="VALIDATED"/>
    <n v="1"/>
    <s v="01.11.80.302.2013.0000"/>
    <n v="-232"/>
    <s v="11"/>
    <s v="2013"/>
    <n v="3350.14"/>
    <n v="-232"/>
    <s v="CREDITOR"/>
    <n v="0"/>
    <n v="0"/>
    <n v="-232"/>
    <n v="0"/>
    <n v="0"/>
  </r>
  <r>
    <n v="60392480"/>
    <s v="N"/>
    <n v="21338275"/>
    <s v="3000014681540010"/>
    <s v="CIVIL"/>
    <d v="2023-06-28T00:00:00"/>
    <d v="2023-07-06T19:21:01"/>
    <m/>
    <d v="2023-07-06T00:00:00"/>
    <n v="1317"/>
    <n v="20907"/>
    <s v="60392480"/>
    <s v="60392480"/>
    <m/>
    <m/>
    <n v="22780928"/>
    <m/>
    <m/>
    <m/>
    <s v="SOLFIN"/>
    <s v="SOLFIN"/>
    <s v="CCMS"/>
    <n v="21338275"/>
    <n v="3817.37"/>
    <m/>
    <s v="N"/>
    <n v="33"/>
    <d v="2023-07-06T19:21:16"/>
    <s v="Y"/>
    <s v="Preparation - drafting application"/>
    <s v="Prescribed Hourly Rates"/>
    <s v="Profit Cost"/>
    <s v="Kalya Parker-Livesey"/>
    <s v="Y"/>
    <n v="39.53"/>
    <n v="7.91"/>
    <x v="4"/>
    <s v="VALIDATED"/>
    <n v="1"/>
    <s v="01.11.80.302.6100.0000"/>
    <n v="39.53"/>
    <s v="11"/>
    <s v="6100"/>
    <n v="3350.14"/>
    <n v="39.53"/>
    <s v="CREDITOR"/>
    <n v="0"/>
    <n v="0"/>
    <n v="0"/>
    <n v="0"/>
    <n v="39.53"/>
  </r>
  <r>
    <n v="60960601"/>
    <s v="N"/>
    <n v="21330914"/>
    <s v="3000015169070006"/>
    <s v="CIVIL"/>
    <d v="2023-06-27T00:00:00"/>
    <d v="2023-07-05T19:01:47"/>
    <m/>
    <d v="2023-07-05T00:00:00"/>
    <n v="1317"/>
    <n v="20907"/>
    <s v="60960601"/>
    <s v="60960601"/>
    <m/>
    <m/>
    <n v="22772056"/>
    <m/>
    <m/>
    <m/>
    <s v="SOLFIN"/>
    <s v="SOLFIN"/>
    <s v="CCMS"/>
    <n v="21330914"/>
    <n v="4873.01"/>
    <m/>
    <s v="N"/>
    <n v="3"/>
    <d v="2023-07-05T19:01:56"/>
    <s v="Y"/>
    <s v="Routine Letter In"/>
    <s v="Prescribed Hourly Rates"/>
    <s v="Profit Cost"/>
    <s v="SN"/>
    <s v="Y"/>
    <n v="248.4"/>
    <n v="49.69"/>
    <x v="6"/>
    <s v="VALIDATED"/>
    <n v="1"/>
    <s v="01.11.80.307.6100.0000"/>
    <n v="248.4"/>
    <s v="11"/>
    <s v="6100"/>
    <n v="3350.14"/>
    <n v="248.4"/>
    <s v="CREDITOR"/>
    <n v="0"/>
    <n v="0"/>
    <n v="0"/>
    <n v="0"/>
    <n v="248.4"/>
  </r>
  <r>
    <n v="60960601"/>
    <s v="N"/>
    <n v="21330914"/>
    <s v="3000015169070006"/>
    <s v="CIVIL"/>
    <d v="2023-06-27T00:00:00"/>
    <d v="2023-07-05T19:01:47"/>
    <m/>
    <d v="2023-07-05T00:00:00"/>
    <n v="1317"/>
    <n v="20907"/>
    <s v="60960601"/>
    <s v="60960601"/>
    <m/>
    <m/>
    <n v="22772056"/>
    <m/>
    <m/>
    <m/>
    <s v="SOLFIN"/>
    <s v="SOLFIN"/>
    <s v="CCMS"/>
    <n v="21330914"/>
    <n v="4873.01"/>
    <m/>
    <s v="N"/>
    <n v="28"/>
    <d v="2023-07-05T19:01:56"/>
    <s v="Y"/>
    <s v="Preparation - drafting attendance n"/>
    <s v="Prescribed Hourly Rates"/>
    <s v="Profit Cost"/>
    <s v="Samantha Norse"/>
    <s v="Y"/>
    <n v="5.49"/>
    <n v="1.1"/>
    <x v="6"/>
    <s v="VALIDATED"/>
    <n v="1"/>
    <s v="01.11.80.307.6100.0000"/>
    <n v="5.49"/>
    <s v="11"/>
    <s v="6100"/>
    <n v="3350.14"/>
    <n v="5.49"/>
    <s v="CREDITOR"/>
    <n v="0"/>
    <n v="0"/>
    <n v="0"/>
    <n v="0"/>
    <n v="5.49"/>
  </r>
  <r>
    <n v="61638788"/>
    <s v="N"/>
    <n v="21323844"/>
    <s v="3000015733080005"/>
    <s v="CIVIL"/>
    <d v="2023-06-30T00:00:00"/>
    <d v="2023-07-03T19:05:56"/>
    <m/>
    <d v="2023-07-03T00:00:00"/>
    <n v="1317"/>
    <n v="20907"/>
    <s v="61638788"/>
    <s v="61638788"/>
    <m/>
    <m/>
    <n v="22800466"/>
    <m/>
    <m/>
    <m/>
    <s v="SOLPOA"/>
    <s v="SOLPOA"/>
    <s v="CCMS"/>
    <n v="21323844"/>
    <n v="90.8"/>
    <m/>
    <s v="N"/>
    <n v="1"/>
    <d v="2023-07-03T19:05:59"/>
    <s v="N"/>
    <s v="Non Expert Disbursement - Private L"/>
    <s v="Non Expert Disbursement - Priv"/>
    <s v="Non Expert Disbursement"/>
    <s v="JOELYROBERTS"/>
    <s v="N"/>
    <n v="90.8"/>
    <n v="0"/>
    <x v="3"/>
    <s v="VALIDATED"/>
    <n v="1"/>
    <s v="01.11.80.307.2012.0000"/>
    <n v="90.8"/>
    <s v="11"/>
    <s v="2012"/>
    <n v="3350.14"/>
    <n v="90.8"/>
    <s v="CREDITOR"/>
    <n v="90.8"/>
    <n v="0"/>
    <n v="0"/>
    <n v="0"/>
    <n v="0"/>
  </r>
  <r>
    <n v="60392480"/>
    <s v="N"/>
    <n v="21338275"/>
    <s v="3000014681540010"/>
    <s v="CIVIL"/>
    <d v="2023-06-28T00:00:00"/>
    <d v="2023-07-06T19:21:01"/>
    <m/>
    <d v="2023-07-06T00:00:00"/>
    <n v="1317"/>
    <n v="20907"/>
    <s v="60392480"/>
    <s v="60392480"/>
    <m/>
    <m/>
    <n v="22780928"/>
    <m/>
    <m/>
    <m/>
    <s v="SOLFIN"/>
    <s v="SOLFIN"/>
    <s v="CCMS"/>
    <n v="21338275"/>
    <n v="3817.37"/>
    <m/>
    <s v="N"/>
    <n v="47"/>
    <d v="2023-07-06T19:21:16"/>
    <s v="Y"/>
    <s v="Routine Letter In"/>
    <s v="Prescribed Hourly Rates"/>
    <s v="Profit Cost"/>
    <s v="KPL"/>
    <s v="Y"/>
    <n v="402.3"/>
    <n v="80.47"/>
    <x v="4"/>
    <s v="VALIDATED"/>
    <n v="1"/>
    <s v="01.11.80.302.6100.0000"/>
    <n v="402.3"/>
    <s v="11"/>
    <s v="6100"/>
    <n v="3350.14"/>
    <n v="402.3"/>
    <s v="CREDITOR"/>
    <n v="0"/>
    <n v="0"/>
    <n v="0"/>
    <n v="0"/>
    <n v="402.3"/>
  </r>
  <r>
    <n v="60960601"/>
    <s v="N"/>
    <n v="21330914"/>
    <s v="3000015169070006"/>
    <s v="CIVIL"/>
    <d v="2023-06-27T00:00:00"/>
    <d v="2023-07-05T19:01:47"/>
    <m/>
    <d v="2023-07-05T00:00:00"/>
    <n v="1317"/>
    <n v="20907"/>
    <s v="60960601"/>
    <s v="60960601"/>
    <m/>
    <m/>
    <n v="22772056"/>
    <m/>
    <m/>
    <m/>
    <s v="SOLFIN"/>
    <s v="SOLFIN"/>
    <s v="CCMS"/>
    <n v="21330914"/>
    <n v="4873.01"/>
    <m/>
    <s v="N"/>
    <n v="39"/>
    <d v="2023-07-05T19:01:56"/>
    <s v="Y"/>
    <s v="Attendance upon client"/>
    <s v="Prescribed Hourly Rates"/>
    <s v="Profit Cost"/>
    <s v="Haris Qureshi"/>
    <s v="Y"/>
    <n v="10.98"/>
    <n v="2.2"/>
    <x v="6"/>
    <s v="VALIDATED"/>
    <n v="1"/>
    <s v="01.11.80.307.6100.0000"/>
    <n v="10.98"/>
    <s v="11"/>
    <s v="6100"/>
    <n v="3350.14"/>
    <n v="10.98"/>
    <s v="CREDITOR"/>
    <n v="0"/>
    <n v="0"/>
    <n v="0"/>
    <n v="0"/>
    <n v="10.98"/>
  </r>
  <r>
    <n v="61326434"/>
    <s v="N"/>
    <n v="21363004"/>
    <s v="3000015479000006"/>
    <s v="CIVIL"/>
    <d v="2023-06-29T00:00:00"/>
    <d v="2023-07-12T19:01:49"/>
    <m/>
    <d v="2023-07-12T00:00:00"/>
    <n v="1317"/>
    <n v="20907"/>
    <s v="61326434"/>
    <s v="61326434"/>
    <m/>
    <m/>
    <n v="22791814"/>
    <m/>
    <m/>
    <m/>
    <s v="SOLFIN"/>
    <s v="SOLFIN"/>
    <s v="CCMS"/>
    <n v="21363004"/>
    <n v="1071.12"/>
    <m/>
    <s v="N"/>
    <n v="4"/>
    <d v="2023-07-12T19:01:53"/>
    <s v="Y"/>
    <s v="Hearing Unit 1.01 - 2.30 Hours"/>
    <s v="Private Law Children"/>
    <s v="Advocacy"/>
    <s v="Rachael Pyke"/>
    <s v="Y"/>
    <n v="156.74"/>
    <n v="31.35"/>
    <x v="0"/>
    <s v="VALIDATED"/>
    <n v="1"/>
    <s v="01.11.80.307.6100.0000"/>
    <n v="156.74"/>
    <s v="11"/>
    <s v="6100"/>
    <n v="3350.14"/>
    <n v="156.74"/>
    <s v="CREDITOR"/>
    <n v="0"/>
    <n v="0"/>
    <n v="0"/>
    <n v="0"/>
    <n v="156.74"/>
  </r>
  <r>
    <n v="60392480"/>
    <s v="N"/>
    <n v="21338275"/>
    <s v="3000014681540010"/>
    <s v="CIVIL"/>
    <d v="2023-06-28T00:00:00"/>
    <d v="2023-07-06T19:21:01"/>
    <m/>
    <d v="2023-07-06T00:00:00"/>
    <n v="1317"/>
    <n v="20907"/>
    <s v="60392480"/>
    <s v="60392480"/>
    <m/>
    <m/>
    <n v="22780928"/>
    <m/>
    <m/>
    <m/>
    <s v="SOLFIN"/>
    <s v="SOLFIN"/>
    <s v="CCMS"/>
    <n v="21338275"/>
    <n v="3817.37"/>
    <m/>
    <s v="N"/>
    <n v="15"/>
    <d v="2023-07-06T19:21:16"/>
    <s v="Y"/>
    <s v="Preparation - Periodic file review"/>
    <s v="Prescribed Hourly Rates"/>
    <s v="Profit Cost"/>
    <s v="CB"/>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28"/>
    <d v="2023-07-06T19:21:16"/>
    <s v="Y"/>
    <s v="Attendance upon client"/>
    <s v="Prescribed Hourly Rates"/>
    <s v="Profit Cost"/>
    <s v="Curtis Booth"/>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3"/>
    <d v="2023-07-06T19:21:16"/>
    <s v="Y"/>
    <s v="Preparation - other"/>
    <s v="Prescribed Hourly Rates"/>
    <s v="Profit Cost"/>
    <s v="KPL"/>
    <s v="Y"/>
    <n v="10.98"/>
    <n v="2.2"/>
    <x v="4"/>
    <s v="VALIDATED"/>
    <n v="1"/>
    <s v="01.11.80.302.6100.0000"/>
    <n v="10.98"/>
    <s v="11"/>
    <s v="6100"/>
    <n v="3350.14"/>
    <n v="10.98"/>
    <s v="CREDITOR"/>
    <n v="0"/>
    <n v="0"/>
    <n v="0"/>
    <n v="0"/>
    <n v="10.98"/>
  </r>
  <r>
    <n v="16236873"/>
    <s v="N"/>
    <n v="21331379"/>
    <s v="3000007820110032"/>
    <s v="CIVIL"/>
    <d v="2023-06-25T00:00:00"/>
    <d v="2023-07-05T19:01:47"/>
    <m/>
    <d v="2023-07-05T00:00:00"/>
    <n v="1317"/>
    <n v="20907"/>
    <s v="16236873"/>
    <s v="16236873"/>
    <m/>
    <m/>
    <n v="22756904"/>
    <m/>
    <m/>
    <m/>
    <s v="SOLFIN"/>
    <s v="SOLFIN"/>
    <s v="CCMS"/>
    <n v="21331379"/>
    <n v="23746"/>
    <m/>
    <s v="N"/>
    <n v="12"/>
    <d v="2023-07-05T19:02:17"/>
    <s v="Y"/>
    <s v="Solicitor Travel Mileage"/>
    <s v="Domestic Abuse"/>
    <s v="Non Expert Disbursement"/>
    <s v="Carrie Hyde"/>
    <s v="Y"/>
    <n v="9.359999999999999"/>
    <n v="1.87"/>
    <x v="6"/>
    <s v="VALIDATED"/>
    <n v="1"/>
    <s v="01.11.80.307.6300.0000"/>
    <n v="9.359999999999999"/>
    <s v="11"/>
    <s v="6300"/>
    <n v="3350.14"/>
    <n v="9.359999999999999"/>
    <s v="CREDITOR"/>
    <n v="0"/>
    <n v="0"/>
    <n v="0"/>
    <n v="0"/>
    <n v="9.359999999999999"/>
  </r>
  <r>
    <n v="16236873"/>
    <s v="N"/>
    <n v="21331379"/>
    <s v="3000007820110032"/>
    <s v="CIVIL"/>
    <d v="2023-06-25T00:00:00"/>
    <d v="2023-07-05T19:01:47"/>
    <m/>
    <d v="2023-07-05T00:00:00"/>
    <n v="1317"/>
    <n v="20907"/>
    <s v="16236873"/>
    <s v="16236873"/>
    <m/>
    <m/>
    <n v="22756904"/>
    <m/>
    <m/>
    <m/>
    <s v="SOLFIN"/>
    <s v="SOLFIN"/>
    <s v="CCMS"/>
    <n v="21331379"/>
    <n v="23746"/>
    <m/>
    <s v="N"/>
    <n v="2"/>
    <d v="2023-07-05T19:02:17"/>
    <s v="Y"/>
    <s v="Other"/>
    <s v="Domestic Abuse"/>
    <s v="Non Expert Disbursement"/>
    <s v="RHB"/>
    <s v="Y"/>
    <n v="95.04000000000001"/>
    <n v="19.01"/>
    <x v="6"/>
    <s v="VALIDATED"/>
    <n v="1"/>
    <s v="01.11.80.307.6300.0000"/>
    <n v="95.04000000000001"/>
    <s v="11"/>
    <s v="6300"/>
    <n v="3350.14"/>
    <n v="95.04000000000001"/>
    <s v="CREDITOR"/>
    <n v="0"/>
    <n v="0"/>
    <n v="0"/>
    <n v="0"/>
    <n v="95.04000000000001"/>
  </r>
  <r>
    <n v="60392480"/>
    <s v="N"/>
    <n v="21338275"/>
    <s v="3000014681540010"/>
    <s v="CIVIL"/>
    <d v="2023-06-28T00:00:00"/>
    <d v="2023-07-06T19:21:01"/>
    <m/>
    <d v="2023-07-06T00:00:00"/>
    <n v="1317"/>
    <n v="20907"/>
    <s v="60392480"/>
    <s v="60392480"/>
    <m/>
    <m/>
    <n v="22780928"/>
    <m/>
    <m/>
    <m/>
    <s v="SOLFIN"/>
    <s v="SOLFIN"/>
    <s v="CCMS"/>
    <n v="21338275"/>
    <n v="3817.37"/>
    <m/>
    <s v="N"/>
    <n v="44"/>
    <d v="2023-07-06T19:21:16"/>
    <s v="Y"/>
    <s v="Preparation - other"/>
    <s v="Prescribed Hourly Rates"/>
    <s v="Profit Cost"/>
    <s v="Curtis Booth"/>
    <s v="Y"/>
    <n v="16.47"/>
    <n v="3.29"/>
    <x v="4"/>
    <s v="VALIDATED"/>
    <n v="1"/>
    <s v="01.11.80.302.6100.0000"/>
    <n v="16.47"/>
    <s v="11"/>
    <s v="6100"/>
    <n v="3350.14"/>
    <n v="16.47"/>
    <s v="CREDITOR"/>
    <n v="0"/>
    <n v="0"/>
    <n v="0"/>
    <n v="0"/>
    <n v="16.47"/>
  </r>
  <r>
    <n v="61832895"/>
    <s v="N"/>
    <n v="21318350"/>
    <s v="3000015901230009"/>
    <s v="CIVIL"/>
    <d v="2023-06-15T00:00:00"/>
    <d v="2023-07-03T19:01:49"/>
    <m/>
    <d v="2023-07-03T00:00:00"/>
    <n v="1317"/>
    <n v="20907"/>
    <s v="61832895"/>
    <s v="61832895"/>
    <m/>
    <m/>
    <n v="22702032"/>
    <m/>
    <m/>
    <m/>
    <s v="SOLPOA"/>
    <s v="SOLPOA"/>
    <s v="CCMS"/>
    <n v="21318350"/>
    <n v="497.83"/>
    <m/>
    <s v="N"/>
    <n v="1"/>
    <d v="2023-07-03T19:01:54"/>
    <s v="N"/>
    <s v="Non Expert Disbursement - Private L"/>
    <s v="Non Expert Disbursement - Priv"/>
    <s v="Non Expert Disbursement"/>
    <s v="Zoe Allen"/>
    <s v="N"/>
    <n v="414.86"/>
    <n v="82.97"/>
    <x v="3"/>
    <s v="VALIDATED"/>
    <n v="1"/>
    <s v="01.11.80.302.2012.0000"/>
    <n v="414.86"/>
    <s v="11"/>
    <s v="2012"/>
    <n v="3350.14"/>
    <n v="414.86"/>
    <s v="CREDITOR"/>
    <n v="414.86"/>
    <n v="0"/>
    <n v="0"/>
    <n v="0"/>
    <n v="0"/>
  </r>
  <r>
    <n v="61382291"/>
    <s v="N"/>
    <n v="21318651"/>
    <s v="3000015527520012"/>
    <s v="CIVIL"/>
    <d v="2023-06-15T00:00:00"/>
    <d v="2023-07-03T19:01:49"/>
    <m/>
    <d v="2023-07-03T00:00:00"/>
    <n v="1317"/>
    <n v="20907"/>
    <s v="61382291"/>
    <s v="61382291"/>
    <m/>
    <m/>
    <n v="22702014"/>
    <m/>
    <m/>
    <m/>
    <s v="SOLPOA"/>
    <s v="SOLPOA"/>
    <s v="CCMS"/>
    <n v="21318651"/>
    <n v="107.84"/>
    <m/>
    <s v="N"/>
    <n v="1"/>
    <d v="2023-07-03T19:02:00"/>
    <s v="N"/>
    <s v="Non Expert Disbursement - Domestic "/>
    <s v="Non Expert Disbursement - Dome"/>
    <s v="Non Expert Disbursement"/>
    <s v="Zoe Allen"/>
    <s v="N"/>
    <n v="89.87"/>
    <n v="17.97"/>
    <x v="3"/>
    <s v="VALIDATED"/>
    <n v="1"/>
    <s v="01.11.80.302.2012.0000"/>
    <n v="89.87"/>
    <s v="11"/>
    <s v="2012"/>
    <n v="3350.14"/>
    <n v="89.87"/>
    <s v="CREDITOR"/>
    <n v="89.87"/>
    <n v="0"/>
    <n v="0"/>
    <n v="0"/>
    <n v="0"/>
  </r>
  <r>
    <n v="60392480"/>
    <s v="N"/>
    <n v="21338275"/>
    <s v="3000014681540010"/>
    <s v="CIVIL"/>
    <d v="2023-06-28T00:00:00"/>
    <d v="2023-07-06T19:21:01"/>
    <m/>
    <d v="2023-07-06T00:00:00"/>
    <n v="1317"/>
    <n v="20907"/>
    <s v="60392480"/>
    <s v="60392480"/>
    <m/>
    <m/>
    <n v="22780928"/>
    <m/>
    <m/>
    <m/>
    <s v="SOLFIN"/>
    <s v="SOLFIN"/>
    <s v="CCMS"/>
    <n v="21338275"/>
    <n v="3817.37"/>
    <m/>
    <s v="N"/>
    <n v="30"/>
    <d v="2023-07-06T19:21:16"/>
    <s v="Y"/>
    <s v="Preparation - drafting statement"/>
    <s v="Prescribed Hourly Rates"/>
    <s v="Profit Cost"/>
    <s v="Kalya Parker-Livesey"/>
    <s v="Y"/>
    <n v="6.59"/>
    <n v="1.32"/>
    <x v="4"/>
    <s v="VALIDATED"/>
    <n v="1"/>
    <s v="01.11.80.302.6100.0000"/>
    <n v="6.59"/>
    <s v="11"/>
    <s v="6100"/>
    <n v="3350.14"/>
    <n v="6.59"/>
    <s v="CREDITOR"/>
    <n v="0"/>
    <n v="0"/>
    <n v="0"/>
    <n v="0"/>
    <n v="6.59"/>
  </r>
  <r>
    <n v="60392480"/>
    <s v="N"/>
    <n v="21338275"/>
    <s v="3000014681540010"/>
    <s v="CIVIL"/>
    <d v="2023-06-28T00:00:00"/>
    <d v="2023-07-06T19:21:01"/>
    <m/>
    <d v="2023-07-06T00:00:00"/>
    <n v="1317"/>
    <n v="20907"/>
    <s v="60392480"/>
    <s v="60392480"/>
    <m/>
    <m/>
    <n v="22780928"/>
    <m/>
    <m/>
    <m/>
    <s v="SOLFIN"/>
    <s v="SOLFIN"/>
    <s v="CCMS"/>
    <n v="21338275"/>
    <n v="3817.37"/>
    <m/>
    <s v="N"/>
    <n v="43"/>
    <d v="2023-07-06T19:21:16"/>
    <s v="Y"/>
    <s v="Preparation - drafting bill/claim f"/>
    <s v="Prescribed Hourly Rates"/>
    <s v="Profit Cost"/>
    <s v="KPL"/>
    <s v="Y"/>
    <n v="10.98"/>
    <n v="2.2"/>
    <x v="4"/>
    <s v="VALIDATED"/>
    <n v="1"/>
    <s v="01.11.80.302.6100.0000"/>
    <n v="10.98"/>
    <s v="11"/>
    <s v="6100"/>
    <n v="3350.14"/>
    <n v="10.98"/>
    <s v="CREDITOR"/>
    <n v="0"/>
    <n v="0"/>
    <n v="0"/>
    <n v="0"/>
    <n v="10.98"/>
  </r>
  <r>
    <n v="62062219"/>
    <s v="N"/>
    <n v="21323192"/>
    <s v="3000016095760004"/>
    <s v="CIVIL"/>
    <d v="2023-06-30T00:00:00"/>
    <d v="2023-07-03T19:05:56"/>
    <m/>
    <d v="2023-07-03T00:00:00"/>
    <n v="1317"/>
    <n v="20907"/>
    <s v="62062219"/>
    <s v="62062219"/>
    <m/>
    <m/>
    <n v="22801178"/>
    <m/>
    <m/>
    <m/>
    <s v="SOLPOA"/>
    <s v="SOLPOA"/>
    <s v="CCMS"/>
    <n v="21323192"/>
    <n v="10.36"/>
    <m/>
    <s v="N"/>
    <n v="1"/>
    <d v="2023-07-03T19:05:56"/>
    <s v="N"/>
    <s v="Non Expert Disbursement - Domestic "/>
    <s v="Non Expert Disbursement - Dome"/>
    <s v="Non Expert Disbursement"/>
    <s v="Sumayya Patel"/>
    <s v="N"/>
    <n v="10.36"/>
    <n v="0"/>
    <x v="3"/>
    <s v="VALIDATED"/>
    <n v="1"/>
    <s v="01.11.80.302.2012.0000"/>
    <n v="10.36"/>
    <s v="11"/>
    <s v="2012"/>
    <n v="3350.14"/>
    <n v="10.36"/>
    <s v="CREDITOR"/>
    <n v="10.36"/>
    <n v="0"/>
    <n v="0"/>
    <n v="0"/>
    <n v="0"/>
  </r>
  <r>
    <n v="60392480"/>
    <s v="N"/>
    <n v="21338275"/>
    <s v="3000014681540010"/>
    <s v="CIVIL"/>
    <d v="2023-06-28T00:00:00"/>
    <d v="2023-07-06T19:21:01"/>
    <m/>
    <d v="2023-07-06T00:00:00"/>
    <n v="1317"/>
    <n v="20907"/>
    <s v="60392480"/>
    <s v="60392480"/>
    <m/>
    <m/>
    <n v="22780928"/>
    <m/>
    <m/>
    <m/>
    <s v="SOLFIN"/>
    <s v="SOLFIN"/>
    <s v="CCMS"/>
    <n v="21338275"/>
    <n v="3817.37"/>
    <m/>
    <s v="N"/>
    <n v="60"/>
    <d v="2023-07-06T19:21:16"/>
    <s v="Y"/>
    <s v="Preparation - drafting bill/claim f"/>
    <s v="Prescribed Hourly Rates"/>
    <s v="Profit Cost"/>
    <s v="HW"/>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29"/>
    <d v="2023-07-06T19:21:16"/>
    <s v="Y"/>
    <s v="Preparation - other"/>
    <s v="Prescribed Hourly Rates"/>
    <s v="Profit Cost"/>
    <s v="Curtis Booth"/>
    <s v="Y"/>
    <n v="52.7"/>
    <n v="10.54"/>
    <x v="4"/>
    <s v="VALIDATED"/>
    <n v="1"/>
    <s v="01.11.80.302.6100.0000"/>
    <n v="52.7"/>
    <s v="11"/>
    <s v="6100"/>
    <n v="3350.14"/>
    <n v="52.7"/>
    <s v="CREDITOR"/>
    <n v="0"/>
    <n v="0"/>
    <n v="0"/>
    <n v="0"/>
    <n v="52.7"/>
  </r>
  <r>
    <n v="16236873"/>
    <s v="N"/>
    <n v="21331379"/>
    <s v="3000007820110032"/>
    <s v="CIVIL"/>
    <d v="2023-06-25T00:00:00"/>
    <d v="2023-07-05T19:01:47"/>
    <m/>
    <d v="2023-07-05T00:00:00"/>
    <n v="1317"/>
    <n v="20907"/>
    <s v="16236873"/>
    <s v="16236873"/>
    <m/>
    <m/>
    <n v="22756904"/>
    <m/>
    <m/>
    <m/>
    <s v="SOLFIN"/>
    <s v="SOLFIN"/>
    <s v="CCMS"/>
    <n v="21331379"/>
    <n v="23746"/>
    <m/>
    <s v="N"/>
    <n v="9"/>
    <d v="2023-07-05T19:02:17"/>
    <s v="Y"/>
    <s v="Police Records"/>
    <s v="Domestic Abuse"/>
    <s v="Non Expert Disbursement"/>
    <s v="RHB"/>
    <s v="Y"/>
    <n v="100"/>
    <n v="0"/>
    <x v="6"/>
    <s v="VALIDATED"/>
    <n v="1"/>
    <s v="01.11.80.307.6300.0000"/>
    <n v="100"/>
    <s v="11"/>
    <s v="6300"/>
    <n v="3350.14"/>
    <n v="100"/>
    <s v="CREDITOR"/>
    <n v="0"/>
    <n v="0"/>
    <n v="0"/>
    <n v="0"/>
    <n v="100"/>
  </r>
  <r>
    <n v="16236873"/>
    <s v="N"/>
    <n v="21331379"/>
    <s v="3000007820110032"/>
    <s v="CIVIL"/>
    <d v="2023-06-25T00:00:00"/>
    <d v="2023-07-05T19:01:47"/>
    <m/>
    <d v="2023-07-05T00:00:00"/>
    <n v="1317"/>
    <n v="20907"/>
    <s v="16236873"/>
    <s v="16236873"/>
    <m/>
    <m/>
    <n v="22756904"/>
    <m/>
    <m/>
    <m/>
    <s v="SOLFIN"/>
    <s v="SOLFIN"/>
    <s v="CCMS"/>
    <n v="21331379"/>
    <n v="23746"/>
    <m/>
    <s v="N"/>
    <n v="6"/>
    <d v="2023-07-05T19:02:17"/>
    <s v="Y"/>
    <s v="Photocopying"/>
    <s v="Domestic Abuse"/>
    <s v="Non Expert Disbursement"/>
    <s v="RHB"/>
    <s v="Y"/>
    <n v="49.48"/>
    <n v="9.9"/>
    <x v="6"/>
    <s v="VALIDATED"/>
    <n v="1"/>
    <s v="01.11.80.307.6300.0000"/>
    <n v="49.48"/>
    <s v="11"/>
    <s v="6300"/>
    <n v="3350.14"/>
    <n v="49.48"/>
    <s v="CREDITOR"/>
    <n v="0"/>
    <n v="0"/>
    <n v="0"/>
    <n v="0"/>
    <n v="49.48"/>
  </r>
  <r>
    <n v="61998983"/>
    <s v="N"/>
    <n v="21320073"/>
    <s v="3000016026110005"/>
    <s v="CIVIL"/>
    <d v="2023-06-27T00:00:00"/>
    <d v="2023-07-03T19:04:24"/>
    <m/>
    <d v="2023-07-03T00:00:00"/>
    <n v="1317"/>
    <n v="20907"/>
    <s v="61998983"/>
    <s v="61998983"/>
    <m/>
    <m/>
    <n v="22766740"/>
    <m/>
    <m/>
    <m/>
    <s v="SOLPOA"/>
    <s v="SOLPOA"/>
    <s v="CCMS"/>
    <n v="21320073"/>
    <n v="167"/>
    <m/>
    <s v="N"/>
    <n v="1"/>
    <d v="2023-07-03T19:04:29"/>
    <s v="N"/>
    <s v="Non Expert Disbursement - Private L"/>
    <s v="Non Expert Disbursement - Priv"/>
    <s v="Non Expert Disbursement"/>
    <s v="Rachael Pyke"/>
    <s v="N"/>
    <n v="167"/>
    <n v="0"/>
    <x v="3"/>
    <s v="VALIDATED"/>
    <n v="1"/>
    <s v="01.11.80.307.2012.0000"/>
    <n v="167"/>
    <s v="11"/>
    <s v="2012"/>
    <n v="3350.14"/>
    <n v="167"/>
    <s v="CREDITOR"/>
    <n v="167"/>
    <n v="0"/>
    <n v="0"/>
    <n v="0"/>
    <n v="0"/>
  </r>
  <r>
    <n v="60990368"/>
    <s v="N"/>
    <n v="21370125"/>
    <s v="3000015032540007"/>
    <s v="CIVIL"/>
    <d v="2023-06-30T00:00:00"/>
    <d v="2023-07-13T19:21:05"/>
    <m/>
    <d v="2023-07-13T00:00:00"/>
    <n v="1317"/>
    <n v="20907"/>
    <s v="60990368"/>
    <s v="60990368"/>
    <m/>
    <m/>
    <n v="22799366"/>
    <m/>
    <m/>
    <m/>
    <s v="SOLFIN"/>
    <s v="SOLFIN"/>
    <s v="CCMS"/>
    <n v="21370125"/>
    <n v="1536.76"/>
    <m/>
    <s v="N"/>
    <n v="4"/>
    <d v="2023-07-13T19:21:15"/>
    <s v="Y"/>
    <s v="Solicitor Travel Mileage"/>
    <s v="Private Law Children"/>
    <s v="Non Expert Disbursement"/>
    <s v="RP"/>
    <s v="Y"/>
    <n v="21.16"/>
    <n v="4.23"/>
    <x v="11"/>
    <s v="VALIDATED"/>
    <n v="1"/>
    <s v="01.11.80.307.6300.0000"/>
    <n v="21.16"/>
    <s v="11"/>
    <s v="6300"/>
    <n v="3350.14"/>
    <n v="21.16"/>
    <s v="CREDITOR"/>
    <n v="0"/>
    <n v="0"/>
    <n v="0"/>
    <n v="0"/>
    <n v="21.16"/>
  </r>
  <r>
    <n v="60392480"/>
    <s v="N"/>
    <n v="21338275"/>
    <s v="3000014681540010"/>
    <s v="CIVIL"/>
    <d v="2023-06-28T00:00:00"/>
    <d v="2023-07-06T19:21:01"/>
    <m/>
    <d v="2023-07-06T00:00:00"/>
    <n v="1317"/>
    <n v="20907"/>
    <s v="60392480"/>
    <s v="60392480"/>
    <m/>
    <m/>
    <n v="22780928"/>
    <m/>
    <m/>
    <m/>
    <s v="SOLFIN"/>
    <s v="SOLFIN"/>
    <s v="CCMS"/>
    <n v="21338275"/>
    <n v="3817.37"/>
    <m/>
    <s v="N"/>
    <n v="37"/>
    <d v="2023-07-06T19:21:16"/>
    <s v="Y"/>
    <s v="Attendance upon client"/>
    <s v="Prescribed Hourly Rates"/>
    <s v="Profit Cost"/>
    <s v="Kalya parker-Livesey"/>
    <s v="Y"/>
    <n v="26.35"/>
    <n v="5.27"/>
    <x v="4"/>
    <s v="VALIDATED"/>
    <n v="1"/>
    <s v="01.11.80.302.6100.0000"/>
    <n v="26.35"/>
    <s v="11"/>
    <s v="6100"/>
    <n v="3350.14"/>
    <n v="26.35"/>
    <s v="CREDITOR"/>
    <n v="0"/>
    <n v="0"/>
    <n v="0"/>
    <n v="0"/>
    <n v="26.35"/>
  </r>
  <r>
    <n v="60392480"/>
    <s v="N"/>
    <n v="21338275"/>
    <s v="3000014681540010"/>
    <s v="CIVIL"/>
    <d v="2023-06-28T00:00:00"/>
    <d v="2023-07-06T19:21:01"/>
    <m/>
    <d v="2023-07-06T00:00:00"/>
    <n v="1317"/>
    <n v="20907"/>
    <s v="60392480"/>
    <s v="60392480"/>
    <m/>
    <m/>
    <n v="22780928"/>
    <m/>
    <m/>
    <m/>
    <s v="SOLFIN"/>
    <s v="SOLFIN"/>
    <s v="CCMS"/>
    <n v="21338275"/>
    <n v="3817.37"/>
    <m/>
    <s v="N"/>
    <n v="8"/>
    <d v="2023-07-06T19:21:16"/>
    <s v="Y"/>
    <s v="Preparation - drafting application"/>
    <s v="Prescribed Hourly Rates"/>
    <s v="Profit Cost"/>
    <s v="KPL"/>
    <s v="Y"/>
    <n v="16.47"/>
    <n v="3.29"/>
    <x v="4"/>
    <s v="VALIDATED"/>
    <n v="1"/>
    <s v="01.11.80.302.6100.0000"/>
    <n v="16.47"/>
    <s v="11"/>
    <s v="6100"/>
    <n v="3350.14"/>
    <n v="16.47"/>
    <s v="CREDITOR"/>
    <n v="0"/>
    <n v="0"/>
    <n v="0"/>
    <n v="0"/>
    <n v="16.47"/>
  </r>
  <r>
    <n v="60960601"/>
    <s v="N"/>
    <n v="21330914"/>
    <s v="3000015169070006"/>
    <s v="CIVIL"/>
    <d v="2023-06-27T00:00:00"/>
    <d v="2023-07-05T19:01:47"/>
    <m/>
    <d v="2023-07-05T00:00:00"/>
    <n v="1317"/>
    <n v="20907"/>
    <s v="60960601"/>
    <s v="60960601"/>
    <m/>
    <m/>
    <n v="22772056"/>
    <m/>
    <m/>
    <m/>
    <s v="SOLFIN"/>
    <s v="SOLFIN"/>
    <s v="CCMS"/>
    <n v="21330914"/>
    <n v="4873.01"/>
    <m/>
    <s v="N"/>
    <n v="26"/>
    <d v="2023-07-05T19:01:56"/>
    <s v="Y"/>
    <s v="Attendance upon client"/>
    <s v="Prescribed Hourly Rates"/>
    <s v="Profit Cost"/>
    <s v="Haris Qureshi"/>
    <s v="Y"/>
    <n v="20.59"/>
    <n v="4.12"/>
    <x v="6"/>
    <s v="VALIDATED"/>
    <n v="1"/>
    <s v="01.11.80.307.6100.0000"/>
    <n v="20.59"/>
    <s v="11"/>
    <s v="6100"/>
    <n v="3350.14"/>
    <n v="20.59"/>
    <s v="CREDITOR"/>
    <n v="0"/>
    <n v="0"/>
    <n v="0"/>
    <n v="0"/>
    <n v="20.59"/>
  </r>
  <r>
    <n v="60960601"/>
    <s v="N"/>
    <n v="21330914"/>
    <s v="3000015169070006"/>
    <s v="CIVIL"/>
    <d v="2023-06-27T00:00:00"/>
    <d v="2023-07-05T19:01:47"/>
    <m/>
    <d v="2023-07-05T00:00:00"/>
    <n v="1317"/>
    <n v="20907"/>
    <s v="60960601"/>
    <s v="60960601"/>
    <m/>
    <m/>
    <n v="22772056"/>
    <m/>
    <m/>
    <m/>
    <s v="SOLFIN"/>
    <s v="SOLFIN"/>
    <s v="CCMS"/>
    <n v="21330914"/>
    <n v="4873.01"/>
    <m/>
    <s v="N"/>
    <n v="31"/>
    <d v="2023-07-05T19:01:56"/>
    <s v="Y"/>
    <s v="Preparation - other"/>
    <s v="Prescribed Hourly Rates"/>
    <s v="Profit Cost"/>
    <s v="Anthony Nurney"/>
    <s v="Y"/>
    <n v="5.49"/>
    <n v="1.1"/>
    <x v="6"/>
    <s v="VALIDATED"/>
    <n v="1"/>
    <s v="01.11.80.307.6100.0000"/>
    <n v="5.49"/>
    <s v="11"/>
    <s v="6100"/>
    <n v="3350.14"/>
    <n v="5.49"/>
    <s v="CREDITOR"/>
    <n v="0"/>
    <n v="0"/>
    <n v="0"/>
    <n v="0"/>
    <n v="5.49"/>
  </r>
  <r>
    <n v="61326434"/>
    <s v="N"/>
    <n v="21363004"/>
    <s v="3000015479000006"/>
    <s v="CIVIL"/>
    <d v="2023-06-29T00:00:00"/>
    <d v="2023-07-12T19:01:49"/>
    <m/>
    <d v="2023-07-12T00:00:00"/>
    <n v="1317"/>
    <n v="20907"/>
    <s v="61326434"/>
    <s v="61326434"/>
    <m/>
    <m/>
    <n v="22791814"/>
    <m/>
    <m/>
    <m/>
    <s v="SOLFIN"/>
    <s v="SOLFIN"/>
    <s v="CCMS"/>
    <n v="21363004"/>
    <n v="1071.12"/>
    <m/>
    <s v="N"/>
    <n v="6"/>
    <d v="2023-07-12T19:01:53"/>
    <s v="Y"/>
    <s v="Level 3 &amp; Enforcement Fixed Fee"/>
    <s v="Private Law Children"/>
    <s v="Profit Cost"/>
    <s v="Rachael Pyke"/>
    <s v="Y"/>
    <n v="478.5"/>
    <n v="95.7"/>
    <x v="0"/>
    <s v="VALIDATED"/>
    <n v="1"/>
    <s v="01.11.80.307.6100.0000"/>
    <n v="478.5"/>
    <s v="11"/>
    <s v="6100"/>
    <n v="3350.14"/>
    <n v="478.5"/>
    <s v="CREDITOR"/>
    <n v="0"/>
    <n v="0"/>
    <n v="0"/>
    <n v="0"/>
    <n v="478.5"/>
  </r>
  <r>
    <n v="61398658"/>
    <s v="N"/>
    <n v="21322409"/>
    <s v="3000015540630017"/>
    <s v="CIVIL"/>
    <d v="2023-06-29T00:00:00"/>
    <d v="2023-07-03T19:05:36"/>
    <m/>
    <d v="2023-07-03T00:00:00"/>
    <n v="1317"/>
    <n v="20907"/>
    <s v="61398658"/>
    <s v="61398658"/>
    <m/>
    <m/>
    <n v="22791520"/>
    <m/>
    <m/>
    <m/>
    <s v="SOLPOA"/>
    <s v="SOLPOA"/>
    <s v="CCMS"/>
    <n v="21322409"/>
    <n v="100.8"/>
    <m/>
    <s v="N"/>
    <n v="1"/>
    <d v="2023-07-03T19:05:37"/>
    <s v="N"/>
    <s v="Non Expert Disbursement"/>
    <s v="Non Expert Disbursement"/>
    <s v="Non Expert Disbursement"/>
    <s v="Rachael Pyke"/>
    <s v="N"/>
    <n v="100.8"/>
    <n v="0"/>
    <x v="3"/>
    <s v="VALIDATED"/>
    <n v="1"/>
    <s v="01.11.80.308.2012.0000"/>
    <n v="100.8"/>
    <s v="11"/>
    <s v="2012"/>
    <n v="3350.14"/>
    <n v="100.8"/>
    <s v="CREDITOR"/>
    <n v="100.8"/>
    <n v="0"/>
    <n v="0"/>
    <n v="0"/>
    <n v="0"/>
  </r>
  <r>
    <n v="60392480"/>
    <s v="N"/>
    <n v="21338275"/>
    <s v="3000014681540010"/>
    <s v="CIVIL"/>
    <d v="2023-06-28T00:00:00"/>
    <d v="2023-07-06T19:21:01"/>
    <m/>
    <d v="2023-07-06T00:00:00"/>
    <n v="1317"/>
    <n v="20907"/>
    <s v="60392480"/>
    <s v="60392480"/>
    <m/>
    <m/>
    <n v="22780928"/>
    <m/>
    <m/>
    <m/>
    <s v="SOLFIN"/>
    <s v="SOLFIN"/>
    <s v="CCMS"/>
    <n v="21338275"/>
    <n v="3817.37"/>
    <m/>
    <s v="N"/>
    <n v="46"/>
    <d v="2023-07-06T19:21:16"/>
    <s v="Y"/>
    <s v="Preparation - drafting attendance n"/>
    <s v="Prescribed Hourly Rates"/>
    <s v="Profit Cost"/>
    <s v="Anthon Nurney"/>
    <s v="Y"/>
    <n v="5.49"/>
    <n v="1.1"/>
    <x v="4"/>
    <s v="VALIDATED"/>
    <n v="1"/>
    <s v="01.11.80.302.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12"/>
    <d v="2023-07-05T19:01:56"/>
    <s v="Y"/>
    <s v="Preparation - drafting attendance n"/>
    <s v="Prescribed Hourly Rates"/>
    <s v="Profit Cost"/>
    <s v="AH"/>
    <s v="Y"/>
    <n v="5.49"/>
    <n v="1.1"/>
    <x v="6"/>
    <s v="VALIDATED"/>
    <n v="1"/>
    <s v="01.11.80.307.6100.0000"/>
    <n v="5.49"/>
    <s v="11"/>
    <s v="6100"/>
    <n v="3350.14"/>
    <n v="5.49"/>
    <s v="CREDITOR"/>
    <n v="0"/>
    <n v="0"/>
    <n v="0"/>
    <n v="0"/>
    <n v="5.49"/>
  </r>
  <r>
    <n v="16236873"/>
    <s v="N"/>
    <n v="21331379"/>
    <s v="3000007820110032"/>
    <s v="CIVIL"/>
    <d v="2023-06-25T00:00:00"/>
    <d v="2023-07-05T19:01:47"/>
    <m/>
    <d v="2023-07-05T00:00:00"/>
    <n v="1317"/>
    <n v="20907"/>
    <s v="16236873"/>
    <s v="16236873"/>
    <m/>
    <m/>
    <n v="22756904"/>
    <m/>
    <m/>
    <m/>
    <s v="SOLFIN"/>
    <s v="SOLFIN"/>
    <s v="CCMS"/>
    <n v="21331379"/>
    <n v="23746"/>
    <m/>
    <s v="N"/>
    <n v="10"/>
    <d v="2023-07-05T19:02:17"/>
    <s v="Y"/>
    <s v="Solicitor Travel Expenses"/>
    <s v="Domestic Abuse"/>
    <s v="Non Expert Disbursement"/>
    <s v="CLH"/>
    <s v="Y"/>
    <n v="4.2"/>
    <n v="0.84"/>
    <x v="6"/>
    <s v="VALIDATED"/>
    <n v="1"/>
    <s v="01.11.80.307.6300.0000"/>
    <n v="4.2"/>
    <s v="11"/>
    <s v="6300"/>
    <n v="3350.14"/>
    <n v="4.2"/>
    <s v="CREDITOR"/>
    <n v="0"/>
    <n v="0"/>
    <n v="0"/>
    <n v="0"/>
    <n v="4.2"/>
  </r>
  <r>
    <n v="16236873"/>
    <s v="N"/>
    <n v="21331379"/>
    <s v="3000007820110032"/>
    <s v="CIVIL"/>
    <d v="2023-06-25T00:00:00"/>
    <d v="2023-07-05T19:01:47"/>
    <m/>
    <d v="2023-07-05T00:00:00"/>
    <n v="1317"/>
    <n v="20907"/>
    <s v="16236873"/>
    <s v="16236873"/>
    <m/>
    <m/>
    <n v="22756904"/>
    <m/>
    <m/>
    <m/>
    <s v="SOLFIN"/>
    <s v="SOLFIN"/>
    <s v="CCMS"/>
    <n v="21331379"/>
    <n v="23746"/>
    <m/>
    <s v="N"/>
    <n v="13"/>
    <d v="2023-07-05T19:02:17"/>
    <s v="Y"/>
    <s v="Photocopying"/>
    <s v="Domestic Abuse"/>
    <s v="Non Expert Disbursement"/>
    <s v="RHB"/>
    <s v="Y"/>
    <n v="23.84"/>
    <n v="4.77"/>
    <x v="6"/>
    <s v="VALIDATED"/>
    <n v="1"/>
    <s v="01.11.80.307.6300.0000"/>
    <n v="23.84"/>
    <s v="11"/>
    <s v="6300"/>
    <n v="3350.14"/>
    <n v="23.84"/>
    <s v="CREDITOR"/>
    <n v="0"/>
    <n v="0"/>
    <n v="0"/>
    <n v="0"/>
    <n v="23.84"/>
  </r>
  <r>
    <n v="60392480"/>
    <s v="N"/>
    <n v="21338275"/>
    <s v="3000014681540010"/>
    <s v="CIVIL"/>
    <d v="2023-06-28T00:00:00"/>
    <d v="2023-07-06T19:21:01"/>
    <m/>
    <d v="2023-07-06T00:00:00"/>
    <n v="1317"/>
    <n v="20907"/>
    <s v="60392480"/>
    <s v="60392480"/>
    <m/>
    <m/>
    <n v="22780928"/>
    <m/>
    <m/>
    <m/>
    <s v="SOLFIN"/>
    <s v="SOLFIN"/>
    <s v="CCMS"/>
    <n v="21338275"/>
    <n v="3817.37"/>
    <m/>
    <s v="N"/>
    <n v="34"/>
    <d v="2023-07-06T19:21:16"/>
    <s v="Y"/>
    <s v="Preparation - drafting notice(s)"/>
    <s v="Prescribed Hourly Rates"/>
    <s v="Profit Cost"/>
    <s v="KPL"/>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2"/>
    <d v="2023-07-06T19:21:16"/>
    <s v="Y"/>
    <s v="Preparation - drafting consent orde"/>
    <s v="Prescribed Hourly Rates"/>
    <s v="Profit Cost"/>
    <s v="KPL"/>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6"/>
    <d v="2023-07-06T19:21:16"/>
    <s v="Y"/>
    <s v="Preparation - drafting attendance n"/>
    <s v="Prescribed Hourly Rates"/>
    <s v="Profit Cost"/>
    <s v="KPL"/>
    <s v="Y"/>
    <n v="10.98"/>
    <n v="2.2"/>
    <x v="4"/>
    <s v="VALIDATED"/>
    <n v="1"/>
    <s v="01.11.80.302.6100.0000"/>
    <n v="10.98"/>
    <s v="11"/>
    <s v="6100"/>
    <n v="3350.14"/>
    <n v="10.98"/>
    <s v="CREDITOR"/>
    <n v="0"/>
    <n v="0"/>
    <n v="0"/>
    <n v="0"/>
    <n v="10.98"/>
  </r>
  <r>
    <n v="60960601"/>
    <s v="N"/>
    <n v="21330914"/>
    <s v="3000015169070006"/>
    <s v="CIVIL"/>
    <d v="2023-06-27T00:00:00"/>
    <d v="2023-07-05T19:01:47"/>
    <m/>
    <d v="2023-07-05T00:00:00"/>
    <n v="1317"/>
    <n v="20907"/>
    <s v="60960601"/>
    <s v="60960601"/>
    <m/>
    <m/>
    <n v="22772056"/>
    <m/>
    <m/>
    <m/>
    <s v="SOLFIN"/>
    <s v="SOLFIN"/>
    <s v="CCMS"/>
    <n v="21330914"/>
    <n v="4873.01"/>
    <m/>
    <s v="N"/>
    <n v="58"/>
    <d v="2023-07-05T19:01:56"/>
    <s v="N"/>
    <s v="Level 3 &amp; Enforcement Fixed Fee"/>
    <s v="Private Law Children"/>
    <s v="Profit Cost"/>
    <s v="Amanda Hodgson"/>
    <s v="N"/>
    <n v="0"/>
    <n v="0"/>
    <x v="6"/>
    <s v="VALIDATED"/>
    <n v="1"/>
    <s v="01.11.80.307.6100.0000"/>
    <n v="0"/>
    <s v="11"/>
    <s v="6100"/>
    <n v="3350.14"/>
    <n v="0"/>
    <s v="CREDITOR"/>
    <n v="0"/>
    <n v="0"/>
    <n v="0"/>
    <n v="0"/>
    <n v="0"/>
  </r>
  <r>
    <n v="60960601"/>
    <s v="N"/>
    <n v="21330914"/>
    <s v="3000015169070006"/>
    <s v="CIVIL"/>
    <d v="2023-06-27T00:00:00"/>
    <d v="2023-07-05T19:01:47"/>
    <m/>
    <d v="2023-07-05T00:00:00"/>
    <n v="1317"/>
    <n v="20907"/>
    <s v="60960601"/>
    <s v="60960601"/>
    <m/>
    <m/>
    <n v="22772056"/>
    <m/>
    <m/>
    <m/>
    <s v="SOLFIN"/>
    <s v="SOLFIN"/>
    <s v="CCMS"/>
    <n v="21330914"/>
    <n v="4873.01"/>
    <m/>
    <s v="N"/>
    <n v="8"/>
    <d v="2023-07-05T19:01:56"/>
    <s v="Y"/>
    <s v="Preparation - other"/>
    <s v="Prescribed Hourly Rates"/>
    <s v="Profit Cost"/>
    <s v="AH"/>
    <s v="Y"/>
    <n v="5.49"/>
    <n v="1.1"/>
    <x v="6"/>
    <s v="VALIDATED"/>
    <n v="1"/>
    <s v="01.11.80.307.6100.0000"/>
    <n v="5.49"/>
    <s v="11"/>
    <s v="6100"/>
    <n v="3350.14"/>
    <n v="5.49"/>
    <s v="CREDITOR"/>
    <n v="0"/>
    <n v="0"/>
    <n v="0"/>
    <n v="0"/>
    <n v="5.49"/>
  </r>
  <r>
    <n v="62419201"/>
    <s v="N"/>
    <n v="21322734"/>
    <s v="3000016389920001"/>
    <s v="CIVIL"/>
    <d v="2023-06-29T00:00:00"/>
    <d v="2023-07-03T19:05:36"/>
    <m/>
    <d v="2023-07-03T00:00:00"/>
    <n v="1317"/>
    <n v="20907"/>
    <s v="62419201"/>
    <s v="62419201"/>
    <m/>
    <m/>
    <n v="22789850"/>
    <m/>
    <m/>
    <m/>
    <s v="SOLPOA"/>
    <s v="SOLPOA"/>
    <s v="CCMS"/>
    <n v="21322734"/>
    <n v="215.75"/>
    <m/>
    <s v="N"/>
    <n v="1"/>
    <d v="2023-07-03T19:05:39"/>
    <s v="N"/>
    <s v="Non Expert Disbursement - Domestic "/>
    <s v="Non Expert Disbursement - Dome"/>
    <s v="Non Expert Disbursement"/>
    <s v="Rachael Pyke"/>
    <s v="N"/>
    <n v="179.79"/>
    <n v="35.96"/>
    <x v="3"/>
    <s v="VALIDATED"/>
    <n v="1"/>
    <s v="01.11.80.302.2012.0000"/>
    <n v="179.79"/>
    <s v="11"/>
    <s v="2012"/>
    <n v="3350.14"/>
    <n v="179.79"/>
    <s v="CREDITOR"/>
    <n v="179.79"/>
    <n v="0"/>
    <n v="0"/>
    <n v="0"/>
    <n v="0"/>
  </r>
  <r>
    <n v="61963218"/>
    <s v="N"/>
    <n v="21349457"/>
    <s v="3000016011610003"/>
    <s v="CIVIL"/>
    <d v="2023-06-26T00:00:00"/>
    <d v="2023-07-10T19:01:40"/>
    <m/>
    <d v="2023-07-10T00:00:00"/>
    <n v="1317"/>
    <n v="20907"/>
    <s v="61963218"/>
    <s v="61963218"/>
    <m/>
    <m/>
    <n v="22760000"/>
    <m/>
    <m/>
    <m/>
    <s v="SOLPOA"/>
    <s v="SOLPOA"/>
    <s v="CCMS"/>
    <n v="21349457"/>
    <n v="25.6"/>
    <m/>
    <s v="N"/>
    <n v="1"/>
    <d v="2023-07-10T19:01:50"/>
    <s v="N"/>
    <s v="Non Expert Disbursement - Domestic "/>
    <s v="Non Expert Disbursement - Dome"/>
    <s v="Non Expert Disbursement"/>
    <s v="S HAWKER"/>
    <s v="N"/>
    <n v="25.6"/>
    <n v="0"/>
    <x v="2"/>
    <s v="VALIDATED"/>
    <n v="1"/>
    <s v="01.11.80.302.2012.0000"/>
    <n v="25.6"/>
    <s v="11"/>
    <s v="2012"/>
    <n v="3350.14"/>
    <n v="25.6"/>
    <s v="CREDITOR"/>
    <n v="25.6"/>
    <n v="0"/>
    <n v="0"/>
    <n v="0"/>
    <n v="0"/>
  </r>
  <r>
    <n v="60392480"/>
    <s v="N"/>
    <n v="21338275"/>
    <s v="3000014681540010"/>
    <s v="CIVIL"/>
    <d v="2023-06-28T00:00:00"/>
    <d v="2023-07-06T19:21:01"/>
    <m/>
    <d v="2023-07-06T00:00:00"/>
    <n v="1317"/>
    <n v="20907"/>
    <s v="60392480"/>
    <s v="60392480"/>
    <m/>
    <m/>
    <n v="22780928"/>
    <m/>
    <m/>
    <m/>
    <s v="SOLFIN"/>
    <s v="SOLFIN"/>
    <s v="CCMS"/>
    <n v="21338275"/>
    <n v="3817.37"/>
    <m/>
    <s v="N"/>
    <n v="22"/>
    <d v="2023-07-06T19:21:16"/>
    <s v="Y"/>
    <s v="Preparation - other"/>
    <s v="Prescribed Hourly Rates"/>
    <s v="Profit Cost"/>
    <s v="KPL"/>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39"/>
    <d v="2023-07-06T19:21:16"/>
    <s v="Y"/>
    <s v="Preparation - drafting attendance n"/>
    <s v="Prescribed Hourly Rates"/>
    <s v="Profit Cost"/>
    <s v="Curtis Booth"/>
    <s v="Y"/>
    <n v="5.49"/>
    <n v="1.1"/>
    <x v="4"/>
    <s v="VALIDATED"/>
    <n v="1"/>
    <s v="01.11.80.302.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27"/>
    <d v="2023-07-05T19:01:56"/>
    <s v="Y"/>
    <s v="Preparation - other"/>
    <s v="Prescribed Hourly Rates"/>
    <s v="Profit Cost"/>
    <s v="Haris Qureshi"/>
    <s v="Y"/>
    <n v="34.31"/>
    <n v="6.86"/>
    <x v="6"/>
    <s v="VALIDATED"/>
    <n v="1"/>
    <s v="01.11.80.307.6100.0000"/>
    <n v="34.31"/>
    <s v="11"/>
    <s v="6100"/>
    <n v="3350.14"/>
    <n v="34.31"/>
    <s v="CREDITOR"/>
    <n v="0"/>
    <n v="0"/>
    <n v="0"/>
    <n v="0"/>
    <n v="34.31"/>
  </r>
  <r>
    <n v="60960601"/>
    <s v="N"/>
    <n v="21330914"/>
    <s v="3000015169070006"/>
    <s v="CIVIL"/>
    <d v="2023-06-27T00:00:00"/>
    <d v="2023-07-05T19:01:47"/>
    <m/>
    <d v="2023-07-05T00:00:00"/>
    <n v="1317"/>
    <n v="20907"/>
    <s v="60960601"/>
    <s v="60960601"/>
    <m/>
    <m/>
    <n v="22772056"/>
    <m/>
    <m/>
    <m/>
    <s v="SOLFIN"/>
    <s v="SOLFIN"/>
    <s v="CCMS"/>
    <n v="21330914"/>
    <n v="4873.01"/>
    <m/>
    <s v="N"/>
    <n v="50"/>
    <d v="2023-07-05T19:01:56"/>
    <s v="Y"/>
    <s v="Preparation - drafting bill/claim f"/>
    <s v="Prescribed Hourly Rates"/>
    <s v="Profit Cost"/>
    <s v="HW"/>
    <s v="Y"/>
    <n v="109.8"/>
    <n v="21.96"/>
    <x v="6"/>
    <s v="VALIDATED"/>
    <n v="1"/>
    <s v="01.11.80.307.6100.0000"/>
    <n v="109.8"/>
    <s v="11"/>
    <s v="6100"/>
    <n v="3350.14"/>
    <n v="109.8"/>
    <s v="CREDITOR"/>
    <n v="0"/>
    <n v="0"/>
    <n v="0"/>
    <n v="0"/>
    <n v="109.8"/>
  </r>
  <r>
    <n v="62287555"/>
    <s v="N"/>
    <n v="21320006"/>
    <s v="3000016280330005"/>
    <s v="CIVIL"/>
    <d v="2023-06-27T00:00:00"/>
    <d v="2023-07-03T19:04:24"/>
    <m/>
    <d v="2023-07-03T00:00:00"/>
    <n v="1317"/>
    <n v="20907"/>
    <s v="62287555"/>
    <s v="62287555"/>
    <m/>
    <m/>
    <n v="22770924"/>
    <m/>
    <m/>
    <m/>
    <s v="SOLPOA"/>
    <s v="SOLPOA"/>
    <s v="CCMS"/>
    <n v="21320006"/>
    <n v="167"/>
    <m/>
    <s v="N"/>
    <n v="1"/>
    <d v="2023-07-03T19:04:28"/>
    <s v="N"/>
    <s v="Non Expert Disbursement - Private L"/>
    <s v="Non Expert Disbursement - Priv"/>
    <s v="Non Expert Disbursement"/>
    <s v="Amanda Hodgson"/>
    <s v="N"/>
    <n v="167"/>
    <n v="0"/>
    <x v="3"/>
    <s v="VALIDATED"/>
    <n v="1"/>
    <s v="01.11.80.302.2012.0000"/>
    <n v="167"/>
    <s v="11"/>
    <s v="2012"/>
    <n v="3350.14"/>
    <n v="167"/>
    <s v="CREDITOR"/>
    <n v="167"/>
    <n v="0"/>
    <n v="0"/>
    <n v="0"/>
    <n v="0"/>
  </r>
  <r>
    <n v="62047950"/>
    <s v="N"/>
    <n v="21322906"/>
    <s v="3000016082870002"/>
    <s v="CIVIL"/>
    <d v="2023-06-29T00:00:00"/>
    <d v="2023-07-03T19:05:36"/>
    <m/>
    <d v="2023-07-03T00:00:00"/>
    <n v="1317"/>
    <n v="20907"/>
    <s v="62047950"/>
    <s v="62047950"/>
    <m/>
    <m/>
    <n v="22793962"/>
    <m/>
    <m/>
    <m/>
    <s v="SOLPOA"/>
    <s v="SOLPOA"/>
    <s v="CCMS"/>
    <n v="21322906"/>
    <n v="512.14"/>
    <m/>
    <s v="N"/>
    <n v="1"/>
    <d v="2023-07-03T19:05:40"/>
    <s v="N"/>
    <s v="Level 3 &amp; Level 4 Fixed Fee"/>
    <s v="Private Law Children"/>
    <s v="Profit Cost"/>
    <s v="Zoe Allen"/>
    <s v="N"/>
    <n v="426.78"/>
    <n v="85.36"/>
    <x v="3"/>
    <s v="VALIDATED"/>
    <n v="1"/>
    <s v="01.11.80.307.2012.0000"/>
    <n v="426.78"/>
    <s v="11"/>
    <s v="2012"/>
    <n v="3350.14"/>
    <n v="426.78"/>
    <s v="CREDITOR"/>
    <n v="426.78"/>
    <n v="106.695"/>
    <n v="0"/>
    <n v="0"/>
    <n v="0"/>
  </r>
  <r>
    <n v="60392480"/>
    <s v="N"/>
    <n v="21338275"/>
    <s v="3000014681540010"/>
    <s v="CIVIL"/>
    <d v="2023-06-28T00:00:00"/>
    <d v="2023-07-06T19:21:01"/>
    <m/>
    <d v="2023-07-06T00:00:00"/>
    <n v="1317"/>
    <n v="20907"/>
    <s v="60392480"/>
    <s v="60392480"/>
    <m/>
    <m/>
    <n v="22780928"/>
    <m/>
    <m/>
    <m/>
    <s v="SOLFIN"/>
    <s v="SOLFIN"/>
    <s v="CCMS"/>
    <n v="21338275"/>
    <n v="3817.37"/>
    <m/>
    <s v="N"/>
    <n v="35"/>
    <d v="2023-07-06T19:21:16"/>
    <s v="Y"/>
    <s v="Preparation - drafting statement"/>
    <s v="Prescribed Hourly Rates"/>
    <s v="Profit Cost"/>
    <s v="Kalya Parker-Livesey"/>
    <s v="Y"/>
    <n v="32.94"/>
    <n v="6.59"/>
    <x v="4"/>
    <s v="VALIDATED"/>
    <n v="1"/>
    <s v="01.11.80.302.6100.0000"/>
    <n v="32.94"/>
    <s v="11"/>
    <s v="6100"/>
    <n v="3350.14"/>
    <n v="32.94"/>
    <s v="CREDITOR"/>
    <n v="0"/>
    <n v="0"/>
    <n v="0"/>
    <n v="0"/>
    <n v="32.94"/>
  </r>
  <r>
    <n v="60960601"/>
    <s v="N"/>
    <n v="21330914"/>
    <s v="3000015169070006"/>
    <s v="CIVIL"/>
    <d v="2023-06-27T00:00:00"/>
    <d v="2023-07-05T19:01:47"/>
    <m/>
    <d v="2023-07-05T00:00:00"/>
    <n v="1317"/>
    <n v="20907"/>
    <s v="60960601"/>
    <s v="60960601"/>
    <m/>
    <m/>
    <n v="22772056"/>
    <m/>
    <m/>
    <m/>
    <s v="SOLFIN"/>
    <s v="SOLFIN"/>
    <s v="CCMS"/>
    <n v="21330914"/>
    <n v="4873.01"/>
    <m/>
    <s v="N"/>
    <n v="6"/>
    <d v="2023-07-05T19:01:56"/>
    <s v="Y"/>
    <s v="Attendance upon client"/>
    <s v="Prescribed Hourly Rates"/>
    <s v="Profit Cost"/>
    <s v="AH"/>
    <s v="Y"/>
    <n v="27.45"/>
    <n v="5.49"/>
    <x v="6"/>
    <s v="VALIDATED"/>
    <n v="1"/>
    <s v="01.11.80.307.6100.0000"/>
    <n v="27.45"/>
    <s v="11"/>
    <s v="6100"/>
    <n v="3350.14"/>
    <n v="27.45"/>
    <s v="CREDITOR"/>
    <n v="0"/>
    <n v="0"/>
    <n v="0"/>
    <n v="0"/>
    <n v="27.45"/>
  </r>
  <r>
    <n v="61326434"/>
    <s v="N"/>
    <n v="21363004"/>
    <s v="3000015479000006"/>
    <s v="CIVIL"/>
    <d v="2023-06-29T00:00:00"/>
    <d v="2023-07-12T19:01:49"/>
    <m/>
    <d v="2023-07-12T00:00:00"/>
    <n v="1317"/>
    <n v="20907"/>
    <s v="61326434"/>
    <s v="61326434"/>
    <m/>
    <m/>
    <n v="22791814"/>
    <m/>
    <m/>
    <m/>
    <s v="SOLFIN"/>
    <s v="SOLFIN"/>
    <s v="CCMS"/>
    <n v="21363004"/>
    <n v="1071.12"/>
    <m/>
    <s v="N"/>
    <n v="5"/>
    <d v="2023-07-12T19:01:53"/>
    <s v="Y"/>
    <s v="Hearing Unit 1.01 - 2.30 Hours"/>
    <s v="Private Law Children"/>
    <s v="Advocacy"/>
    <s v="Rachael Pyke"/>
    <s v="Y"/>
    <n v="156.74"/>
    <n v="31.35"/>
    <x v="0"/>
    <s v="VALIDATED"/>
    <n v="1"/>
    <s v="01.11.80.307.6100.0000"/>
    <n v="156.74"/>
    <s v="11"/>
    <s v="6100"/>
    <n v="3350.14"/>
    <n v="156.74"/>
    <s v="CREDITOR"/>
    <n v="0"/>
    <n v="0"/>
    <n v="0"/>
    <n v="0"/>
    <n v="156.74"/>
  </r>
  <r>
    <n v="60960601"/>
    <s v="N"/>
    <n v="21330914"/>
    <s v="3000015169070006"/>
    <s v="CIVIL"/>
    <d v="2023-06-27T00:00:00"/>
    <d v="2023-07-05T19:01:47"/>
    <m/>
    <d v="2023-07-05T00:00:00"/>
    <n v="1317"/>
    <n v="20907"/>
    <s v="60960601"/>
    <s v="60960601"/>
    <m/>
    <m/>
    <n v="22772056"/>
    <m/>
    <m/>
    <m/>
    <s v="SOLFIN"/>
    <s v="SOLFIN"/>
    <s v="CCMS"/>
    <n v="21330914"/>
    <n v="4873.01"/>
    <m/>
    <s v="N"/>
    <n v="36"/>
    <d v="2023-07-05T19:01:56"/>
    <s v="Y"/>
    <s v="Preparation - drafting attendance n"/>
    <s v="Prescribed Hourly Rates"/>
    <s v="Profit Cost"/>
    <s v="Samantha Norse"/>
    <s v="Y"/>
    <n v="10.98"/>
    <n v="2.2"/>
    <x v="6"/>
    <s v="VALIDATED"/>
    <n v="1"/>
    <s v="01.11.80.307.6100.0000"/>
    <n v="10.98"/>
    <s v="11"/>
    <s v="6100"/>
    <n v="3350.14"/>
    <n v="10.98"/>
    <s v="CREDITOR"/>
    <n v="0"/>
    <n v="0"/>
    <n v="0"/>
    <n v="0"/>
    <n v="10.98"/>
  </r>
  <r>
    <n v="60811304"/>
    <s v="N"/>
    <n v="21331156"/>
    <s v="3000015042280019"/>
    <s v="CIVIL"/>
    <d v="2023-06-26T00:00:00"/>
    <d v="2023-07-05T19:01:47"/>
    <m/>
    <d v="2023-07-05T00:00:00"/>
    <n v="1317"/>
    <n v="20907"/>
    <s v="60811304"/>
    <s v="60811304"/>
    <m/>
    <m/>
    <n v="22759586"/>
    <m/>
    <m/>
    <m/>
    <s v="SOLINT"/>
    <s v="SOLINT"/>
    <s v="CCMS"/>
    <n v="21331156"/>
    <n v="9076.25"/>
    <m/>
    <s v="N"/>
    <n v="10"/>
    <d v="2023-07-05T19:02:08"/>
    <s v="Y"/>
    <s v="Hearing Unit 2.31 - 5.00 Hours"/>
    <s v="Private Law Children"/>
    <s v="Advocacy"/>
    <s v="Curtis Booth"/>
    <s v="Y"/>
    <n v="344.8"/>
    <n v="68.95999999999999"/>
    <x v="6"/>
    <s v="VALIDATED"/>
    <n v="1"/>
    <s v="01.11.80.307.6100.0000"/>
    <n v="344.8"/>
    <s v="11"/>
    <s v="6100"/>
    <n v="3350.14"/>
    <n v="344.8"/>
    <s v="CREDITOR"/>
    <n v="0"/>
    <n v="0"/>
    <n v="0"/>
    <n v="0"/>
    <n v="344.8"/>
  </r>
  <r>
    <n v="60960601"/>
    <s v="N"/>
    <n v="21330914"/>
    <s v="3000015169070006"/>
    <s v="CIVIL"/>
    <d v="2023-06-27T00:00:00"/>
    <d v="2023-07-05T19:01:47"/>
    <m/>
    <d v="2023-07-05T00:00:00"/>
    <n v="1317"/>
    <n v="20907"/>
    <s v="60960601"/>
    <s v="60960601"/>
    <m/>
    <m/>
    <n v="22772056"/>
    <m/>
    <m/>
    <m/>
    <s v="SOLFIN"/>
    <s v="SOLFIN"/>
    <s v="CCMS"/>
    <n v="21330914"/>
    <n v="4873.01"/>
    <m/>
    <s v="N"/>
    <n v="48"/>
    <d v="2023-07-05T19:01:56"/>
    <s v="Y"/>
    <s v="Preparation - drafting pleadings"/>
    <s v="Prescribed Hourly Rates"/>
    <s v="Profit Cost"/>
    <s v="Samantha Norse"/>
    <s v="Y"/>
    <n v="65.88"/>
    <n v="13.18"/>
    <x v="6"/>
    <s v="VALIDATED"/>
    <n v="1"/>
    <s v="01.11.80.307.6100.0000"/>
    <n v="65.88"/>
    <s v="11"/>
    <s v="6100"/>
    <n v="3350.14"/>
    <n v="65.88"/>
    <s v="CREDITOR"/>
    <n v="0"/>
    <n v="0"/>
    <n v="0"/>
    <n v="0"/>
    <n v="65.88"/>
  </r>
  <r>
    <n v="60392480"/>
    <s v="N"/>
    <n v="21338275"/>
    <s v="3000014681540010"/>
    <s v="CIVIL"/>
    <d v="2023-06-28T00:00:00"/>
    <d v="2023-07-06T19:21:01"/>
    <m/>
    <d v="2023-07-06T00:00:00"/>
    <n v="1317"/>
    <n v="20907"/>
    <s v="60392480"/>
    <s v="60392480"/>
    <m/>
    <m/>
    <n v="22780928"/>
    <m/>
    <m/>
    <m/>
    <s v="SOLFIN"/>
    <s v="SOLFIN"/>
    <s v="CCMS"/>
    <n v="21338275"/>
    <n v="3817.37"/>
    <m/>
    <s v="N"/>
    <n v="59"/>
    <d v="2023-07-06T19:21:16"/>
    <s v="Y"/>
    <s v="Preparation - drafting consent orde"/>
    <s v="Prescribed Hourly Rates"/>
    <s v="Profit Cost"/>
    <s v="KPL"/>
    <s v="Y"/>
    <n v="16.47"/>
    <n v="3.29"/>
    <x v="4"/>
    <s v="VALIDATED"/>
    <n v="1"/>
    <s v="01.11.80.302.6100.0000"/>
    <n v="16.47"/>
    <s v="11"/>
    <s v="6100"/>
    <n v="3350.14"/>
    <n v="16.47"/>
    <s v="CREDITOR"/>
    <n v="0"/>
    <n v="0"/>
    <n v="0"/>
    <n v="0"/>
    <n v="16.47"/>
  </r>
  <r>
    <n v="60392480"/>
    <s v="N"/>
    <n v="21338275"/>
    <s v="3000014681540010"/>
    <s v="CIVIL"/>
    <d v="2023-06-28T00:00:00"/>
    <d v="2023-07-06T19:21:01"/>
    <m/>
    <d v="2023-07-06T00:00:00"/>
    <n v="1317"/>
    <n v="20907"/>
    <s v="60392480"/>
    <s v="60392480"/>
    <m/>
    <m/>
    <n v="22780928"/>
    <m/>
    <m/>
    <m/>
    <s v="SOLFIN"/>
    <s v="SOLFIN"/>
    <s v="CCMS"/>
    <n v="21338275"/>
    <n v="3817.37"/>
    <m/>
    <s v="N"/>
    <n v="10"/>
    <d v="2023-07-06T19:21:16"/>
    <s v="Y"/>
    <s v="Preparation - other"/>
    <s v="Prescribed Hourly Rates"/>
    <s v="Profit Cost"/>
    <s v="KPL"/>
    <s v="Y"/>
    <n v="16.47"/>
    <n v="3.29"/>
    <x v="4"/>
    <s v="VALIDATED"/>
    <n v="1"/>
    <s v="01.11.80.302.6100.0000"/>
    <n v="16.47"/>
    <s v="11"/>
    <s v="6100"/>
    <n v="3350.14"/>
    <n v="16.47"/>
    <s v="CREDITOR"/>
    <n v="0"/>
    <n v="0"/>
    <n v="0"/>
    <n v="0"/>
    <n v="16.47"/>
  </r>
  <r>
    <n v="60960601"/>
    <s v="N"/>
    <n v="21330914"/>
    <s v="3000015169070006"/>
    <s v="CIVIL"/>
    <d v="2023-06-27T00:00:00"/>
    <d v="2023-07-05T19:01:47"/>
    <m/>
    <d v="2023-07-05T00:00:00"/>
    <n v="1317"/>
    <n v="20907"/>
    <s v="60960601"/>
    <s v="60960601"/>
    <m/>
    <m/>
    <n v="22772056"/>
    <m/>
    <m/>
    <m/>
    <s v="SOLFIN"/>
    <s v="SOLFIN"/>
    <s v="CCMS"/>
    <n v="21330914"/>
    <n v="4873.01"/>
    <m/>
    <s v="N"/>
    <n v="35"/>
    <d v="2023-07-05T19:01:56"/>
    <s v="Y"/>
    <s v="Preparation - drafting statement"/>
    <s v="Prescribed Hourly Rates"/>
    <s v="Profit Cost"/>
    <s v="Samantha Norse"/>
    <s v="Y"/>
    <n v="13.73"/>
    <n v="2.75"/>
    <x v="6"/>
    <s v="VALIDATED"/>
    <n v="1"/>
    <s v="01.11.80.307.6100.0000"/>
    <n v="13.73"/>
    <s v="11"/>
    <s v="6100"/>
    <n v="3350.14"/>
    <n v="13.73"/>
    <s v="CREDITOR"/>
    <n v="0"/>
    <n v="0"/>
    <n v="0"/>
    <n v="0"/>
    <n v="13.73"/>
  </r>
  <r>
    <n v="60811304"/>
    <s v="N"/>
    <n v="21331156"/>
    <s v="3000015042280019"/>
    <s v="CIVIL"/>
    <d v="2023-06-26T00:00:00"/>
    <d v="2023-07-05T19:01:47"/>
    <m/>
    <d v="2023-07-05T00:00:00"/>
    <n v="1317"/>
    <n v="20907"/>
    <s v="60811304"/>
    <s v="60811304"/>
    <m/>
    <m/>
    <n v="22759586"/>
    <m/>
    <m/>
    <m/>
    <s v="SOLINT"/>
    <s v="SOLINT"/>
    <s v="CCMS"/>
    <n v="21331156"/>
    <n v="9076.25"/>
    <m/>
    <s v="N"/>
    <n v="8"/>
    <d v="2023-07-05T19:02:08"/>
    <s v="Y"/>
    <s v="Hearing Unit 2.31 - 5.00 Hours"/>
    <s v="Private Law Children"/>
    <s v="Advocacy"/>
    <s v="Curtis Booth"/>
    <s v="Y"/>
    <n v="344.8"/>
    <n v="68.95999999999999"/>
    <x v="6"/>
    <s v="VALIDATED"/>
    <n v="1"/>
    <s v="01.11.80.307.6100.0000"/>
    <n v="344.8"/>
    <s v="11"/>
    <s v="6100"/>
    <n v="3350.14"/>
    <n v="344.8"/>
    <s v="CREDITOR"/>
    <n v="0"/>
    <n v="0"/>
    <n v="0"/>
    <n v="0"/>
    <n v="344.8"/>
  </r>
  <r>
    <n v="62336235"/>
    <s v="N"/>
    <n v="21323670"/>
    <s v="3000016322950002"/>
    <s v="CIVIL"/>
    <d v="2023-06-30T00:00:00"/>
    <d v="2023-07-03T19:05:56"/>
    <m/>
    <d v="2023-07-03T00:00:00"/>
    <n v="1317"/>
    <n v="20907"/>
    <s v="62336235"/>
    <s v="62336235"/>
    <m/>
    <m/>
    <n v="22798914"/>
    <m/>
    <m/>
    <m/>
    <s v="SOLPOA"/>
    <s v="SOLPOA"/>
    <s v="CCMS"/>
    <n v="21323670"/>
    <n v="92"/>
    <m/>
    <s v="N"/>
    <n v="1"/>
    <d v="2023-07-03T19:05:58"/>
    <s v="N"/>
    <s v="Non Expert Disbursement - Domestic "/>
    <s v="Non Expert Disbursement - Dome"/>
    <s v="Non Expert Disbursement"/>
    <s v="R Horman-Brown"/>
    <s v="N"/>
    <n v="92"/>
    <n v="0"/>
    <x v="3"/>
    <s v="VALIDATED"/>
    <n v="1"/>
    <s v="01.11.80.302.2012.0000"/>
    <n v="92"/>
    <s v="11"/>
    <s v="2012"/>
    <n v="3350.14"/>
    <n v="92"/>
    <s v="CREDITOR"/>
    <n v="92"/>
    <n v="0"/>
    <n v="0"/>
    <n v="0"/>
    <n v="0"/>
  </r>
  <r>
    <n v="60990368"/>
    <s v="N"/>
    <n v="21370125"/>
    <s v="3000015032540007"/>
    <s v="CIVIL"/>
    <d v="2023-06-30T00:00:00"/>
    <d v="2023-07-13T19:21:05"/>
    <m/>
    <d v="2023-07-13T00:00:00"/>
    <n v="1317"/>
    <n v="20907"/>
    <s v="60990368"/>
    <s v="60990368"/>
    <m/>
    <m/>
    <n v="22799366"/>
    <m/>
    <m/>
    <m/>
    <s v="SOLFIN"/>
    <s v="SOLFIN"/>
    <s v="CCMS"/>
    <n v="21370125"/>
    <n v="1536.76"/>
    <m/>
    <s v="N"/>
    <n v="6"/>
    <d v="2023-07-13T19:21:15"/>
    <s v="Y"/>
    <s v="Hearing Unit 1.01 - 2.30 Hours"/>
    <s v="Private Law Children"/>
    <s v="Advocacy"/>
    <s v="Rachael Pyke"/>
    <s v="Y"/>
    <n v="172.4"/>
    <n v="34.48"/>
    <x v="11"/>
    <s v="VALIDATED"/>
    <n v="1"/>
    <s v="01.11.80.307.6100.0000"/>
    <n v="172.4"/>
    <s v="11"/>
    <s v="6100"/>
    <n v="3350.14"/>
    <n v="172.4"/>
    <s v="CREDITOR"/>
    <n v="0"/>
    <n v="0"/>
    <n v="0"/>
    <n v="0"/>
    <n v="172.4"/>
  </r>
  <r>
    <n v="16236873"/>
    <s v="N"/>
    <n v="21331379"/>
    <s v="3000007820110032"/>
    <s v="CIVIL"/>
    <d v="2023-06-25T00:00:00"/>
    <d v="2023-07-05T19:01:47"/>
    <m/>
    <d v="2023-07-05T00:00:00"/>
    <n v="1317"/>
    <n v="20907"/>
    <s v="16236873"/>
    <s v="16236873"/>
    <m/>
    <m/>
    <n v="22756904"/>
    <m/>
    <m/>
    <m/>
    <s v="SOLFIN"/>
    <s v="SOLFIN"/>
    <s v="CCMS"/>
    <n v="21331379"/>
    <n v="23746"/>
    <m/>
    <s v="N"/>
    <n v="5"/>
    <d v="2023-07-05T19:02:17"/>
    <s v="Y"/>
    <s v="Court Fee"/>
    <s v="Domestic Abuse"/>
    <s v="Non Expert Disbursement"/>
    <s v="RHB"/>
    <s v="Y"/>
    <n v="155"/>
    <n v="0"/>
    <x v="6"/>
    <s v="VALIDATED"/>
    <n v="1"/>
    <s v="01.11.80.307.6300.0000"/>
    <n v="155"/>
    <s v="11"/>
    <s v="6300"/>
    <n v="3350.14"/>
    <n v="155"/>
    <s v="CREDITOR"/>
    <n v="0"/>
    <n v="0"/>
    <n v="0"/>
    <n v="0"/>
    <n v="155"/>
  </r>
  <r>
    <n v="60392480"/>
    <s v="N"/>
    <n v="21338275"/>
    <s v="3000014681540010"/>
    <s v="CIVIL"/>
    <d v="2023-06-28T00:00:00"/>
    <d v="2023-07-06T19:21:01"/>
    <m/>
    <d v="2023-07-06T00:00:00"/>
    <n v="1317"/>
    <n v="20907"/>
    <s v="60392480"/>
    <s v="60392480"/>
    <m/>
    <m/>
    <n v="22780928"/>
    <m/>
    <m/>
    <m/>
    <s v="SOLFIN"/>
    <s v="SOLFIN"/>
    <s v="CCMS"/>
    <n v="21338275"/>
    <n v="3817.37"/>
    <m/>
    <s v="N"/>
    <n v="20"/>
    <d v="2023-07-06T19:21:16"/>
    <s v="Y"/>
    <s v="Preparation - drafting bill/claim f"/>
    <s v="Prescribed Hourly Rates"/>
    <s v="Profit Cost"/>
    <s v="Hazel Walmsley"/>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31"/>
    <d v="2023-07-06T19:21:16"/>
    <s v="Y"/>
    <s v="Preparation - drafting statement"/>
    <s v="Prescribed Hourly Rates"/>
    <s v="Profit Cost"/>
    <s v="Kalya Parker-Livesey"/>
    <s v="Y"/>
    <n v="13.18"/>
    <n v="2.64"/>
    <x v="4"/>
    <s v="VALIDATED"/>
    <n v="1"/>
    <s v="01.11.80.302.6100.0000"/>
    <n v="13.18"/>
    <s v="11"/>
    <s v="6100"/>
    <n v="3350.14"/>
    <n v="13.18"/>
    <s v="CREDITOR"/>
    <n v="0"/>
    <n v="0"/>
    <n v="0"/>
    <n v="0"/>
    <n v="13.18"/>
  </r>
  <r>
    <n v="60960601"/>
    <s v="N"/>
    <n v="21330914"/>
    <s v="3000015169070006"/>
    <s v="CIVIL"/>
    <d v="2023-06-27T00:00:00"/>
    <d v="2023-07-05T19:01:47"/>
    <m/>
    <d v="2023-07-05T00:00:00"/>
    <n v="1317"/>
    <n v="20907"/>
    <s v="60960601"/>
    <s v="60960601"/>
    <m/>
    <m/>
    <n v="22772056"/>
    <m/>
    <m/>
    <m/>
    <s v="SOLFIN"/>
    <s v="SOLFIN"/>
    <s v="CCMS"/>
    <n v="21330914"/>
    <n v="4873.01"/>
    <m/>
    <s v="N"/>
    <n v="23"/>
    <d v="2023-07-05T19:01:56"/>
    <s v="Y"/>
    <s v="Preparation - drafting consent orde"/>
    <s v="Prescribed Hourly Rates"/>
    <s v="Profit Cost"/>
    <s v="Haris Qureshi"/>
    <s v="Y"/>
    <n v="5.49"/>
    <n v="1.1"/>
    <x v="6"/>
    <s v="VALIDATED"/>
    <n v="1"/>
    <s v="01.11.80.307.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37"/>
    <d v="2023-07-05T19:01:56"/>
    <s v="Y"/>
    <s v="Attendance upon client"/>
    <s v="Prescribed Hourly Rates"/>
    <s v="Profit Cost"/>
    <s v="Samantha Norse"/>
    <s v="Y"/>
    <n v="27.45"/>
    <n v="5.49"/>
    <x v="6"/>
    <s v="VALIDATED"/>
    <n v="1"/>
    <s v="01.11.80.307.6100.0000"/>
    <n v="27.45"/>
    <s v="11"/>
    <s v="6100"/>
    <n v="3350.14"/>
    <n v="27.45"/>
    <s v="CREDITOR"/>
    <n v="0"/>
    <n v="0"/>
    <n v="0"/>
    <n v="0"/>
    <n v="27.45"/>
  </r>
  <r>
    <n v="60392480"/>
    <s v="N"/>
    <n v="21338275"/>
    <s v="3000014681540010"/>
    <s v="CIVIL"/>
    <d v="2023-06-28T00:00:00"/>
    <d v="2023-07-06T19:21:01"/>
    <m/>
    <d v="2023-07-06T00:00:00"/>
    <n v="1317"/>
    <n v="20907"/>
    <s v="60392480"/>
    <s v="60392480"/>
    <m/>
    <m/>
    <n v="22780928"/>
    <m/>
    <m/>
    <m/>
    <s v="SOLFIN"/>
    <s v="SOLFIN"/>
    <s v="CCMS"/>
    <n v="21338275"/>
    <n v="3817.37"/>
    <m/>
    <s v="N"/>
    <n v="5"/>
    <d v="2023-07-06T19:21:16"/>
    <s v="Y"/>
    <s v="Preparation - drafting pleadings"/>
    <s v="Prescribed Hourly Rates"/>
    <s v="Profit Cost"/>
    <s v="KPL"/>
    <s v="Y"/>
    <n v="10.98"/>
    <n v="2.2"/>
    <x v="4"/>
    <s v="VALIDATED"/>
    <n v="1"/>
    <s v="01.11.80.302.6100.0000"/>
    <n v="10.98"/>
    <s v="11"/>
    <s v="6100"/>
    <n v="3350.14"/>
    <n v="10.98"/>
    <s v="CREDITOR"/>
    <n v="0"/>
    <n v="0"/>
    <n v="0"/>
    <n v="0"/>
    <n v="10.98"/>
  </r>
  <r>
    <n v="16236873"/>
    <s v="N"/>
    <n v="21331379"/>
    <s v="3000007820110032"/>
    <s v="CIVIL"/>
    <d v="2023-06-25T00:00:00"/>
    <d v="2023-07-05T19:01:47"/>
    <m/>
    <d v="2023-07-05T00:00:00"/>
    <n v="1317"/>
    <n v="20907"/>
    <s v="16236873"/>
    <s v="16236873"/>
    <m/>
    <m/>
    <n v="22756904"/>
    <m/>
    <m/>
    <m/>
    <s v="SOLFIN"/>
    <s v="SOLFIN"/>
    <s v="CCMS"/>
    <n v="21331379"/>
    <n v="23746"/>
    <m/>
    <s v="N"/>
    <n v="14"/>
    <d v="2023-07-05T19:02:17"/>
    <s v="Y"/>
    <s v="Photocopying"/>
    <s v="Domestic Abuse"/>
    <s v="Non Expert Disbursement"/>
    <s v="RHB"/>
    <s v="Y"/>
    <n v="36.32"/>
    <n v="7.26"/>
    <x v="6"/>
    <s v="VALIDATED"/>
    <n v="1"/>
    <s v="01.11.80.307.6300.0000"/>
    <n v="36.32"/>
    <s v="11"/>
    <s v="6300"/>
    <n v="3350.14"/>
    <n v="36.32"/>
    <s v="CREDITOR"/>
    <n v="0"/>
    <n v="0"/>
    <n v="0"/>
    <n v="0"/>
    <n v="36.32"/>
  </r>
  <r>
    <n v="16236873"/>
    <s v="N"/>
    <n v="21331379"/>
    <s v="3000007820110032"/>
    <s v="CIVIL"/>
    <d v="2023-06-25T00:00:00"/>
    <d v="2023-07-05T19:01:47"/>
    <m/>
    <d v="2023-07-05T00:00:00"/>
    <n v="1317"/>
    <n v="20907"/>
    <s v="16236873"/>
    <s v="16236873"/>
    <m/>
    <m/>
    <n v="22756904"/>
    <m/>
    <m/>
    <m/>
    <s v="SOLFIN"/>
    <s v="SOLFIN"/>
    <s v="CCMS"/>
    <n v="21331379"/>
    <n v="23746"/>
    <m/>
    <s v="N"/>
    <n v="7"/>
    <d v="2023-07-05T19:02:17"/>
    <s v="Y"/>
    <s v="Process server"/>
    <s v="Domestic Abuse"/>
    <s v="Expert Disbursement"/>
    <s v="RHB"/>
    <s v="Y"/>
    <n v="114.4"/>
    <n v="0"/>
    <x v="6"/>
    <s v="VALIDATED"/>
    <n v="1"/>
    <s v="01.11.80.307.6300.0000"/>
    <n v="114.4"/>
    <s v="11"/>
    <s v="6300"/>
    <n v="3350.14"/>
    <n v="114.4"/>
    <s v="CREDITOR"/>
    <n v="0"/>
    <n v="0"/>
    <n v="0"/>
    <n v="0"/>
    <n v="114.4"/>
  </r>
  <r>
    <n v="60392480"/>
    <s v="N"/>
    <n v="21338275"/>
    <s v="3000014681540010"/>
    <s v="CIVIL"/>
    <d v="2023-06-28T00:00:00"/>
    <d v="2023-07-06T19:21:01"/>
    <m/>
    <d v="2023-07-06T00:00:00"/>
    <n v="1317"/>
    <n v="20907"/>
    <s v="60392480"/>
    <s v="60392480"/>
    <m/>
    <m/>
    <n v="22780928"/>
    <m/>
    <m/>
    <m/>
    <s v="SOLFIN"/>
    <s v="SOLFIN"/>
    <s v="CCMS"/>
    <n v="21338275"/>
    <n v="3817.37"/>
    <m/>
    <s v="N"/>
    <n v="27"/>
    <d v="2023-07-06T19:21:16"/>
    <s v="Y"/>
    <s v="Report - Welfare report"/>
    <s v="Prescribed Hourly Rates"/>
    <s v="Profit Cost"/>
    <s v="KPL"/>
    <s v="Y"/>
    <n v="16.47"/>
    <n v="3.29"/>
    <x v="4"/>
    <s v="VALIDATED"/>
    <n v="1"/>
    <s v="01.11.80.302.6100.0000"/>
    <n v="16.47"/>
    <s v="11"/>
    <s v="6100"/>
    <n v="3350.14"/>
    <n v="16.47"/>
    <s v="CREDITOR"/>
    <n v="0"/>
    <n v="0"/>
    <n v="0"/>
    <n v="0"/>
    <n v="16.47"/>
  </r>
  <r>
    <n v="60811304"/>
    <s v="N"/>
    <n v="21331156"/>
    <s v="3000015042280019"/>
    <s v="CIVIL"/>
    <d v="2023-06-26T00:00:00"/>
    <d v="2023-07-05T19:01:47"/>
    <m/>
    <d v="2023-07-05T00:00:00"/>
    <n v="1317"/>
    <n v="20907"/>
    <s v="60811304"/>
    <s v="60811304"/>
    <m/>
    <m/>
    <n v="22759586"/>
    <m/>
    <m/>
    <m/>
    <s v="SOLINT"/>
    <s v="SOLINT"/>
    <s v="CCMS"/>
    <n v="21331156"/>
    <n v="9076.25"/>
    <m/>
    <s v="N"/>
    <n v="4"/>
    <d v="2023-07-05T19:02:08"/>
    <s v="Y"/>
    <s v="Toxicologist"/>
    <s v="Private Law Children"/>
    <s v="Expert Disbursement"/>
    <s v="Curtis Booth"/>
    <s v="Y"/>
    <n v="479"/>
    <n v="95.8"/>
    <x v="6"/>
    <s v="VALIDATED"/>
    <n v="1"/>
    <s v="01.11.80.307.6300.0000"/>
    <n v="479"/>
    <s v="11"/>
    <s v="6300"/>
    <n v="3350.14"/>
    <n v="479"/>
    <s v="CREDITOR"/>
    <n v="0"/>
    <n v="0"/>
    <n v="0"/>
    <n v="0"/>
    <n v="479"/>
  </r>
  <r>
    <n v="16236873"/>
    <s v="N"/>
    <n v="21331379"/>
    <s v="3000007820110032"/>
    <s v="CIVIL"/>
    <d v="2023-06-25T00:00:00"/>
    <d v="2023-07-05T19:01:47"/>
    <m/>
    <d v="2023-07-05T00:00:00"/>
    <n v="1317"/>
    <n v="20907"/>
    <s v="16236873"/>
    <s v="16236873"/>
    <m/>
    <m/>
    <n v="22756904"/>
    <m/>
    <m/>
    <m/>
    <s v="SOLFIN"/>
    <s v="SOLFIN"/>
    <s v="CCMS"/>
    <n v="21331379"/>
    <n v="23746"/>
    <m/>
    <s v="N"/>
    <n v="8"/>
    <d v="2023-07-05T19:02:17"/>
    <s v="Y"/>
    <s v="Solicitor Travel Expenses"/>
    <s v="Domestic Abuse"/>
    <s v="Non Expert Disbursement"/>
    <s v="RHB"/>
    <s v="Y"/>
    <n v="4"/>
    <n v="0.8"/>
    <x v="6"/>
    <s v="VALIDATED"/>
    <n v="1"/>
    <s v="01.11.80.307.6300.0000"/>
    <n v="4"/>
    <s v="11"/>
    <s v="6300"/>
    <n v="3350.14"/>
    <n v="4"/>
    <s v="CREDITOR"/>
    <n v="0"/>
    <n v="0"/>
    <n v="0"/>
    <n v="0"/>
    <n v="4"/>
  </r>
  <r>
    <n v="16236873"/>
    <s v="N"/>
    <n v="21331379"/>
    <s v="3000007820110032"/>
    <s v="CIVIL"/>
    <d v="2023-06-25T00:00:00"/>
    <d v="2023-07-05T19:01:47"/>
    <m/>
    <d v="2023-07-05T00:00:00"/>
    <n v="1317"/>
    <n v="20907"/>
    <s v="16236873"/>
    <s v="16236873"/>
    <m/>
    <m/>
    <n v="22756904"/>
    <m/>
    <m/>
    <m/>
    <s v="SOLFIN"/>
    <s v="SOLFIN"/>
    <s v="CCMS"/>
    <n v="21331379"/>
    <n v="23746"/>
    <m/>
    <s v="N"/>
    <n v="4"/>
    <d v="2023-07-05T19:02:17"/>
    <s v="Y"/>
    <s v="Court Fee"/>
    <s v="Domestic Abuse"/>
    <s v="Non Expert Disbursement"/>
    <s v="RHB"/>
    <s v="Y"/>
    <n v="167"/>
    <n v="0"/>
    <x v="6"/>
    <s v="VALIDATED"/>
    <n v="1"/>
    <s v="01.11.80.307.6300.0000"/>
    <n v="167"/>
    <s v="11"/>
    <s v="6300"/>
    <n v="3350.14"/>
    <n v="167"/>
    <s v="CREDITOR"/>
    <n v="0"/>
    <n v="0"/>
    <n v="0"/>
    <n v="0"/>
    <n v="167"/>
  </r>
  <r>
    <n v="60960601"/>
    <s v="N"/>
    <n v="21330914"/>
    <s v="3000015169070006"/>
    <s v="CIVIL"/>
    <d v="2023-06-27T00:00:00"/>
    <d v="2023-07-05T19:01:47"/>
    <m/>
    <d v="2023-07-05T00:00:00"/>
    <n v="1317"/>
    <n v="20907"/>
    <s v="60960601"/>
    <s v="60960601"/>
    <m/>
    <m/>
    <n v="22772056"/>
    <m/>
    <m/>
    <m/>
    <s v="SOLFIN"/>
    <s v="SOLFIN"/>
    <s v="CCMS"/>
    <n v="21330914"/>
    <n v="4873.01"/>
    <m/>
    <s v="N"/>
    <n v="34"/>
    <d v="2023-07-05T19:01:56"/>
    <s v="Y"/>
    <s v="Preparation - drafting bill/claim f"/>
    <s v="Prescribed Hourly Rates"/>
    <s v="Profit Cost"/>
    <s v="Samantha Norse"/>
    <s v="Y"/>
    <n v="10.98"/>
    <n v="2.2"/>
    <x v="6"/>
    <s v="VALIDATED"/>
    <n v="1"/>
    <s v="01.11.80.307.6100.0000"/>
    <n v="10.98"/>
    <s v="11"/>
    <s v="6100"/>
    <n v="3350.14"/>
    <n v="10.98"/>
    <s v="CREDITOR"/>
    <n v="0"/>
    <n v="0"/>
    <n v="0"/>
    <n v="0"/>
    <n v="10.98"/>
  </r>
  <r>
    <n v="60960601"/>
    <s v="N"/>
    <n v="21330914"/>
    <s v="3000015169070006"/>
    <s v="CIVIL"/>
    <d v="2023-06-27T00:00:00"/>
    <d v="2023-07-05T19:01:47"/>
    <m/>
    <d v="2023-07-05T00:00:00"/>
    <n v="1317"/>
    <n v="20907"/>
    <s v="60960601"/>
    <s v="60960601"/>
    <m/>
    <m/>
    <n v="22772056"/>
    <m/>
    <m/>
    <m/>
    <s v="SOLFIN"/>
    <s v="SOLFIN"/>
    <s v="CCMS"/>
    <n v="21330914"/>
    <n v="4873.01"/>
    <m/>
    <s v="N"/>
    <n v="44"/>
    <d v="2023-07-05T19:01:56"/>
    <s v="Y"/>
    <s v="Preparation - other"/>
    <s v="Prescribed Hourly Rates"/>
    <s v="Profit Cost"/>
    <s v="Samantha Norse"/>
    <s v="Y"/>
    <n v="27.45"/>
    <n v="5.49"/>
    <x v="6"/>
    <s v="VALIDATED"/>
    <n v="1"/>
    <s v="01.11.80.307.6100.0000"/>
    <n v="27.45"/>
    <s v="11"/>
    <s v="6100"/>
    <n v="3350.14"/>
    <n v="27.45"/>
    <s v="CREDITOR"/>
    <n v="0"/>
    <n v="0"/>
    <n v="0"/>
    <n v="0"/>
    <n v="27.45"/>
  </r>
  <r>
    <n v="60990368"/>
    <s v="N"/>
    <n v="21370125"/>
    <s v="3000015032540007"/>
    <s v="CIVIL"/>
    <d v="2023-06-30T00:00:00"/>
    <d v="2023-07-13T19:21:05"/>
    <m/>
    <d v="2023-07-13T00:00:00"/>
    <n v="1317"/>
    <n v="20907"/>
    <s v="60990368"/>
    <s v="60990368"/>
    <m/>
    <m/>
    <n v="22799366"/>
    <m/>
    <m/>
    <m/>
    <s v="SOLFIN"/>
    <s v="SOLFIN"/>
    <s v="CCMS"/>
    <n v="21370125"/>
    <n v="1536.76"/>
    <m/>
    <s v="N"/>
    <n v="2"/>
    <d v="2023-07-13T19:21:15"/>
    <s v="Y"/>
    <s v="Process server"/>
    <s v="Private Law Children"/>
    <s v="Expert Disbursement"/>
    <s v="RP"/>
    <s v="Y"/>
    <n v="198.03"/>
    <n v="39.61"/>
    <x v="11"/>
    <s v="VALIDATED"/>
    <n v="1"/>
    <s v="01.11.80.307.6300.0000"/>
    <n v="198.03"/>
    <s v="11"/>
    <s v="6300"/>
    <n v="3350.14"/>
    <n v="198.03"/>
    <s v="CREDITOR"/>
    <n v="0"/>
    <n v="0"/>
    <n v="0"/>
    <n v="0"/>
    <n v="198.03"/>
  </r>
  <r>
    <n v="60392480"/>
    <s v="N"/>
    <n v="21338275"/>
    <s v="3000014681540010"/>
    <s v="CIVIL"/>
    <d v="2023-06-28T00:00:00"/>
    <d v="2023-07-06T19:21:01"/>
    <m/>
    <d v="2023-07-06T00:00:00"/>
    <n v="1317"/>
    <n v="20907"/>
    <s v="60392480"/>
    <s v="60392480"/>
    <m/>
    <m/>
    <n v="22780928"/>
    <m/>
    <m/>
    <m/>
    <s v="SOLFIN"/>
    <s v="SOLFIN"/>
    <s v="CCMS"/>
    <n v="21338275"/>
    <n v="3817.37"/>
    <m/>
    <s v="N"/>
    <n v="52"/>
    <d v="2023-07-06T19:21:16"/>
    <s v="Y"/>
    <s v="Preparation - other"/>
    <s v="Prescribed Hourly Rates"/>
    <s v="Profit Cost"/>
    <s v="KPL"/>
    <s v="Y"/>
    <n v="10.98"/>
    <n v="2.2"/>
    <x v="4"/>
    <s v="VALIDATED"/>
    <n v="1"/>
    <s v="01.11.80.302.6100.0000"/>
    <n v="10.98"/>
    <s v="11"/>
    <s v="6100"/>
    <n v="3350.14"/>
    <n v="10.98"/>
    <s v="CREDITOR"/>
    <n v="0"/>
    <n v="0"/>
    <n v="0"/>
    <n v="0"/>
    <n v="10.98"/>
  </r>
  <r>
    <n v="61326434"/>
    <s v="N"/>
    <n v="21363004"/>
    <s v="3000015479000006"/>
    <s v="CIVIL"/>
    <d v="2023-06-29T00:00:00"/>
    <d v="2023-07-12T19:01:49"/>
    <m/>
    <d v="2023-07-12T00:00:00"/>
    <n v="1317"/>
    <n v="20907"/>
    <s v="61326434"/>
    <s v="61326434"/>
    <m/>
    <m/>
    <n v="22791814"/>
    <m/>
    <m/>
    <m/>
    <s v="SOLFIN"/>
    <s v="SOLFIN"/>
    <s v="CCMS"/>
    <n v="21363004"/>
    <n v="1071.12"/>
    <m/>
    <s v="N"/>
    <n v="1"/>
    <d v="2023-07-12T19:01:53"/>
    <s v="Y"/>
    <s v="Process server"/>
    <s v="Private Law Children"/>
    <s v="Expert Disbursement"/>
    <s v="Rachael Pyke"/>
    <s v="Y"/>
    <n v="89.2"/>
    <n v="0"/>
    <x v="0"/>
    <s v="VALIDATED"/>
    <n v="1"/>
    <s v="01.11.80.307.6300.0000"/>
    <n v="89.2"/>
    <s v="11"/>
    <s v="6300"/>
    <n v="3350.14"/>
    <n v="89.2"/>
    <s v="CREDITOR"/>
    <n v="0"/>
    <n v="0"/>
    <n v="0"/>
    <n v="0"/>
    <n v="89.2"/>
  </r>
  <r>
    <n v="60392480"/>
    <s v="N"/>
    <n v="21338275"/>
    <s v="3000014681540010"/>
    <s v="CIVIL"/>
    <d v="2023-06-28T00:00:00"/>
    <d v="2023-07-06T19:21:01"/>
    <m/>
    <d v="2023-07-06T00:00:00"/>
    <n v="1317"/>
    <n v="20907"/>
    <s v="60392480"/>
    <s v="60392480"/>
    <m/>
    <m/>
    <n v="22780928"/>
    <m/>
    <m/>
    <m/>
    <s v="SOLFIN"/>
    <s v="SOLFIN"/>
    <s v="CCMS"/>
    <n v="21338275"/>
    <n v="3817.37"/>
    <m/>
    <s v="N"/>
    <n v="1"/>
    <d v="2023-07-06T19:21:16"/>
    <s v="Y"/>
    <s v="Preparation - drafting instructions"/>
    <s v="Prescribed Hourly Rates"/>
    <s v="Profit Cost"/>
    <s v="KPL"/>
    <s v="Y"/>
    <n v="27.45"/>
    <n v="5.49"/>
    <x v="4"/>
    <s v="VALIDATED"/>
    <n v="1"/>
    <s v="01.11.80.302.6100.0000"/>
    <n v="27.45"/>
    <s v="11"/>
    <s v="6100"/>
    <n v="3350.14"/>
    <n v="27.45"/>
    <s v="CREDITOR"/>
    <n v="0"/>
    <n v="0"/>
    <n v="0"/>
    <n v="0"/>
    <n v="27.45"/>
  </r>
  <r>
    <n v="60392480"/>
    <s v="N"/>
    <n v="21338275"/>
    <s v="3000014681540010"/>
    <s v="CIVIL"/>
    <d v="2023-06-28T00:00:00"/>
    <d v="2023-07-06T19:21:01"/>
    <m/>
    <d v="2023-07-06T00:00:00"/>
    <n v="1317"/>
    <n v="20907"/>
    <s v="60392480"/>
    <s v="60392480"/>
    <m/>
    <m/>
    <n v="22780928"/>
    <m/>
    <m/>
    <m/>
    <s v="SOLFIN"/>
    <s v="SOLFIN"/>
    <s v="CCMS"/>
    <n v="21338275"/>
    <n v="3817.37"/>
    <m/>
    <s v="N"/>
    <n v="17"/>
    <d v="2023-07-06T19:21:16"/>
    <s v="Y"/>
    <s v="Attendance upon other"/>
    <s v="Prescribed Hourly Rates"/>
    <s v="Profit Cost"/>
    <s v="Samantha Norse"/>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36"/>
    <d v="2023-07-06T19:21:16"/>
    <s v="Y"/>
    <s v="Preparation - drafting attendance n"/>
    <s v="Prescribed Hourly Rates"/>
    <s v="Profit Cost"/>
    <s v="KPL"/>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9"/>
    <d v="2023-07-06T19:21:16"/>
    <s v="Y"/>
    <s v="Preparation - other"/>
    <s v="Prescribed Hourly Rates"/>
    <s v="Profit Cost"/>
    <s v="KPL"/>
    <s v="Y"/>
    <n v="5.49"/>
    <n v="1.1"/>
    <x v="4"/>
    <s v="VALIDATED"/>
    <n v="1"/>
    <s v="01.11.80.302.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7"/>
    <d v="2023-07-05T19:01:56"/>
    <s v="Y"/>
    <s v="Preparation - other"/>
    <s v="Prescribed Hourly Rates"/>
    <s v="Profit Cost"/>
    <s v="AH"/>
    <s v="Y"/>
    <n v="10.98"/>
    <n v="2.2"/>
    <x v="6"/>
    <s v="VALIDATED"/>
    <n v="1"/>
    <s v="01.11.80.307.6100.0000"/>
    <n v="10.98"/>
    <s v="11"/>
    <s v="6100"/>
    <n v="3350.14"/>
    <n v="10.98"/>
    <s v="CREDITOR"/>
    <n v="0"/>
    <n v="0"/>
    <n v="0"/>
    <n v="0"/>
    <n v="10.98"/>
  </r>
  <r>
    <n v="59969012"/>
    <s v="N"/>
    <n v="21331369"/>
    <s v="3000014316120012"/>
    <s v="CIVIL"/>
    <d v="2023-06-28T00:00:00"/>
    <d v="2023-07-05T19:01:47"/>
    <m/>
    <d v="2023-07-05T00:00:00"/>
    <n v="1317"/>
    <n v="20907"/>
    <s v="59969012"/>
    <s v="59969012"/>
    <m/>
    <m/>
    <n v="22776156"/>
    <m/>
    <m/>
    <m/>
    <s v="SOLINT"/>
    <s v="SOLINT"/>
    <s v="CCMS"/>
    <n v="21331369"/>
    <n v="0"/>
    <m/>
    <s v="N"/>
    <n v="1"/>
    <d v="2023-07-05T19:02:16"/>
    <s v="N"/>
    <s v="NIL BILL"/>
    <s v="Private Law Children"/>
    <s v="Profit Cost"/>
    <s v="Sophia Isa"/>
    <s v="N"/>
    <n v="0"/>
    <n v="0"/>
    <x v="6"/>
    <s v="VALIDATED"/>
    <n v="1"/>
    <s v="01.11.80.302.6100.0000"/>
    <n v="0"/>
    <s v="11"/>
    <s v="6100"/>
    <n v="3350.14"/>
    <n v="0"/>
    <s v="CREDITOR"/>
    <n v="0"/>
    <n v="0"/>
    <n v="0"/>
    <n v="0"/>
    <n v="0"/>
  </r>
  <r>
    <n v="60213489"/>
    <s v="N"/>
    <n v="21349415"/>
    <s v="3000014527140013"/>
    <s v="CIVIL"/>
    <d v="2023-06-29T00:00:00"/>
    <d v="2023-07-10T19:01:40"/>
    <m/>
    <d v="2023-07-10T00:00:00"/>
    <n v="1317"/>
    <n v="20907"/>
    <s v="60213489"/>
    <s v="60213489"/>
    <m/>
    <m/>
    <n v="22788384"/>
    <m/>
    <m/>
    <m/>
    <s v="SOLFIN"/>
    <s v="SOLFIN"/>
    <s v="CCMS"/>
    <n v="21349415"/>
    <n v="4568.22"/>
    <m/>
    <s v="N"/>
    <n v="5"/>
    <d v="2023-07-10T19:01:49"/>
    <s v="Y"/>
    <s v="Toxicologist"/>
    <s v="Public Law Children"/>
    <s v="Expert Disbursement"/>
    <s v="KHANSA TAHA"/>
    <s v="Y"/>
    <n v="314.97"/>
    <n v="62.99"/>
    <x v="2"/>
    <s v="VALIDATED"/>
    <n v="1"/>
    <s v="01.11.80.308.6300.0000"/>
    <n v="314.97"/>
    <s v="11"/>
    <s v="6300"/>
    <n v="3350.14"/>
    <n v="314.97"/>
    <s v="CREDITOR"/>
    <n v="0"/>
    <n v="0"/>
    <n v="0"/>
    <n v="0"/>
    <n v="314.97"/>
  </r>
  <r>
    <n v="60392480"/>
    <s v="N"/>
    <n v="21338275"/>
    <s v="3000014681540010"/>
    <s v="CIVIL"/>
    <d v="2023-06-28T00:00:00"/>
    <d v="2023-07-06T19:21:01"/>
    <m/>
    <d v="2023-07-06T00:00:00"/>
    <n v="1317"/>
    <n v="20907"/>
    <s v="60392480"/>
    <s v="60392480"/>
    <m/>
    <m/>
    <n v="22780928"/>
    <m/>
    <m/>
    <m/>
    <s v="SOLFIN"/>
    <s v="SOLFIN"/>
    <s v="CCMS"/>
    <n v="21338275"/>
    <n v="3817.37"/>
    <m/>
    <s v="N"/>
    <n v="42"/>
    <d v="2023-07-06T19:21:16"/>
    <s v="Y"/>
    <s v="Preparation - drafting consent orde"/>
    <s v="Prescribed Hourly Rates"/>
    <s v="Profit Cost"/>
    <s v="Curtis Booth"/>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18"/>
    <d v="2023-07-06T19:21:16"/>
    <s v="Y"/>
    <s v="Preparation - drafting instructions"/>
    <s v="Prescribed Hourly Rates"/>
    <s v="Profit Cost"/>
    <s v="CB"/>
    <s v="Y"/>
    <n v="21.96"/>
    <n v="4.39"/>
    <x v="4"/>
    <s v="VALIDATED"/>
    <n v="1"/>
    <s v="01.11.80.302.6100.0000"/>
    <n v="21.96"/>
    <s v="11"/>
    <s v="6100"/>
    <n v="3350.14"/>
    <n v="21.96"/>
    <s v="CREDITOR"/>
    <n v="0"/>
    <n v="0"/>
    <n v="0"/>
    <n v="0"/>
    <n v="21.96"/>
  </r>
  <r>
    <n v="60811304"/>
    <s v="N"/>
    <n v="21331156"/>
    <s v="3000015042280019"/>
    <s v="CIVIL"/>
    <d v="2023-06-26T00:00:00"/>
    <d v="2023-07-05T19:01:47"/>
    <m/>
    <d v="2023-07-05T00:00:00"/>
    <n v="1317"/>
    <n v="20907"/>
    <s v="60811304"/>
    <s v="60811304"/>
    <m/>
    <m/>
    <n v="22759586"/>
    <m/>
    <m/>
    <m/>
    <s v="SOLINT"/>
    <s v="SOLINT"/>
    <s v="CCMS"/>
    <n v="21331156"/>
    <n v="9076.25"/>
    <m/>
    <s v="N"/>
    <n v="2"/>
    <d v="2023-07-05T19:02:08"/>
    <s v="Y"/>
    <s v="Profit Costs (Summary)"/>
    <s v="Private Law Children"/>
    <s v="Profit Cost"/>
    <s v="Curtis Booth"/>
    <s v="Y"/>
    <n v="3891.96"/>
    <n v="778.39"/>
    <x v="6"/>
    <s v="VALIDATED"/>
    <n v="1"/>
    <s v="01.11.80.307.6100.0000"/>
    <n v="3891.96"/>
    <s v="11"/>
    <s v="6100"/>
    <n v="3350.14"/>
    <n v="3891.96"/>
    <s v="CREDITOR"/>
    <n v="0"/>
    <n v="0"/>
    <n v="0"/>
    <n v="0"/>
    <n v="3891.96"/>
  </r>
  <r>
    <n v="60811304"/>
    <s v="N"/>
    <n v="21331156"/>
    <s v="3000015042280019"/>
    <s v="CIVIL"/>
    <d v="2023-06-26T00:00:00"/>
    <d v="2023-07-05T19:01:47"/>
    <m/>
    <d v="2023-07-05T00:00:00"/>
    <n v="1317"/>
    <n v="20907"/>
    <s v="60811304"/>
    <s v="60811304"/>
    <m/>
    <m/>
    <n v="22759586"/>
    <m/>
    <m/>
    <m/>
    <s v="SOLINT"/>
    <s v="SOLINT"/>
    <s v="CCMS"/>
    <n v="21331156"/>
    <n v="9076.25"/>
    <m/>
    <s v="N"/>
    <n v="9"/>
    <d v="2023-07-05T19:02:08"/>
    <s v="Y"/>
    <s v="Hearing Unit 1.01 - 2.30 Hours"/>
    <s v="Private Law Children"/>
    <s v="Advocacy"/>
    <s v="Curtis Booth"/>
    <s v="Y"/>
    <n v="172.4"/>
    <n v="34.48"/>
    <x v="6"/>
    <s v="VALIDATED"/>
    <n v="1"/>
    <s v="01.11.80.307.6100.0000"/>
    <n v="172.4"/>
    <s v="11"/>
    <s v="6100"/>
    <n v="3350.14"/>
    <n v="172.4"/>
    <s v="CREDITOR"/>
    <n v="0"/>
    <n v="0"/>
    <n v="0"/>
    <n v="0"/>
    <n v="172.4"/>
  </r>
  <r>
    <n v="60960601"/>
    <s v="N"/>
    <n v="21330914"/>
    <s v="3000015169070006"/>
    <s v="CIVIL"/>
    <d v="2023-06-27T00:00:00"/>
    <d v="2023-07-05T19:01:47"/>
    <m/>
    <d v="2023-07-05T00:00:00"/>
    <n v="1317"/>
    <n v="20907"/>
    <s v="60960601"/>
    <s v="60960601"/>
    <m/>
    <m/>
    <n v="22772056"/>
    <m/>
    <m/>
    <m/>
    <s v="SOLFIN"/>
    <s v="SOLFIN"/>
    <s v="CCMS"/>
    <n v="21330914"/>
    <n v="4873.01"/>
    <m/>
    <s v="N"/>
    <n v="21"/>
    <d v="2023-07-05T19:01:56"/>
    <s v="Y"/>
    <s v="Preparation - drafting pleadings"/>
    <s v="Prescribed Hourly Rates"/>
    <s v="Profit Cost"/>
    <s v="Haris Qureshi"/>
    <s v="Y"/>
    <n v="32.94"/>
    <n v="6.59"/>
    <x v="6"/>
    <s v="VALIDATED"/>
    <n v="1"/>
    <s v="01.11.80.307.6100.0000"/>
    <n v="32.94"/>
    <s v="11"/>
    <s v="6100"/>
    <n v="3350.14"/>
    <n v="32.94"/>
    <s v="CREDITOR"/>
    <n v="0"/>
    <n v="0"/>
    <n v="0"/>
    <n v="0"/>
    <n v="32.94"/>
  </r>
  <r>
    <n v="60960601"/>
    <s v="N"/>
    <n v="21330914"/>
    <s v="3000015169070006"/>
    <s v="CIVIL"/>
    <d v="2023-06-27T00:00:00"/>
    <d v="2023-07-05T19:01:47"/>
    <m/>
    <d v="2023-07-05T00:00:00"/>
    <n v="1317"/>
    <n v="20907"/>
    <s v="60960601"/>
    <s v="60960601"/>
    <m/>
    <m/>
    <n v="22772056"/>
    <m/>
    <m/>
    <m/>
    <s v="SOLFIN"/>
    <s v="SOLFIN"/>
    <s v="CCMS"/>
    <n v="21330914"/>
    <n v="4873.01"/>
    <m/>
    <s v="N"/>
    <n v="33"/>
    <d v="2023-07-05T19:01:56"/>
    <s v="Y"/>
    <s v="Preparation - other"/>
    <s v="Prescribed Hourly Rates"/>
    <s v="Profit Cost"/>
    <s v="Anthony Nurney"/>
    <s v="Y"/>
    <n v="65.88"/>
    <n v="13.18"/>
    <x v="6"/>
    <s v="VALIDATED"/>
    <n v="1"/>
    <s v="01.11.80.307.6100.0000"/>
    <n v="65.88"/>
    <s v="11"/>
    <s v="6100"/>
    <n v="3350.14"/>
    <n v="65.88"/>
    <s v="CREDITOR"/>
    <n v="0"/>
    <n v="0"/>
    <n v="0"/>
    <n v="0"/>
    <n v="65.88"/>
  </r>
  <r>
    <n v="60811304"/>
    <s v="N"/>
    <n v="21331156"/>
    <s v="3000015042280019"/>
    <s v="CIVIL"/>
    <d v="2023-06-26T00:00:00"/>
    <d v="2023-07-05T19:01:47"/>
    <m/>
    <d v="2023-07-05T00:00:00"/>
    <n v="1317"/>
    <n v="20907"/>
    <s v="60811304"/>
    <s v="60811304"/>
    <m/>
    <m/>
    <n v="22759586"/>
    <m/>
    <m/>
    <m/>
    <s v="SOLINT"/>
    <s v="SOLINT"/>
    <s v="CCMS"/>
    <n v="21331156"/>
    <n v="9076.25"/>
    <m/>
    <s v="N"/>
    <n v="7"/>
    <d v="2023-07-05T19:02:08"/>
    <s v="Y"/>
    <s v="Hearing Unit 1.01 - 2.30 Hours"/>
    <s v="Private Law Children"/>
    <s v="Advocacy"/>
    <s v="Curtis Booth"/>
    <s v="Y"/>
    <n v="172.4"/>
    <n v="34.48"/>
    <x v="6"/>
    <s v="VALIDATED"/>
    <n v="1"/>
    <s v="01.11.80.307.6100.0000"/>
    <n v="172.4"/>
    <s v="11"/>
    <s v="6100"/>
    <n v="3350.14"/>
    <n v="172.4"/>
    <s v="CREDITOR"/>
    <n v="0"/>
    <n v="0"/>
    <n v="0"/>
    <n v="0"/>
    <n v="172.4"/>
  </r>
  <r>
    <n v="16236873"/>
    <s v="N"/>
    <n v="21331379"/>
    <s v="3000007820110032"/>
    <s v="CIVIL"/>
    <d v="2023-06-25T00:00:00"/>
    <d v="2023-07-05T19:01:47"/>
    <m/>
    <d v="2023-07-05T00:00:00"/>
    <n v="1317"/>
    <n v="20907"/>
    <s v="16236873"/>
    <s v="16236873"/>
    <m/>
    <m/>
    <n v="22756904"/>
    <m/>
    <m/>
    <m/>
    <s v="SOLFIN"/>
    <s v="SOLFIN"/>
    <s v="CCMS"/>
    <n v="21331379"/>
    <n v="23746"/>
    <m/>
    <s v="N"/>
    <n v="15"/>
    <d v="2023-07-05T19:02:17"/>
    <s v="Y"/>
    <s v="Photocopying"/>
    <s v="Domestic Abuse"/>
    <s v="Non Expert Disbursement"/>
    <s v="RHB"/>
    <s v="Y"/>
    <n v="138.48"/>
    <n v="27.7"/>
    <x v="6"/>
    <s v="VALIDATED"/>
    <n v="1"/>
    <s v="01.11.80.307.6300.0000"/>
    <n v="138.48"/>
    <s v="11"/>
    <s v="6300"/>
    <n v="3350.14"/>
    <n v="138.48"/>
    <s v="CREDITOR"/>
    <n v="0"/>
    <n v="0"/>
    <n v="0"/>
    <n v="0"/>
    <n v="138.48"/>
  </r>
  <r>
    <n v="60960601"/>
    <s v="N"/>
    <n v="21330914"/>
    <s v="3000015169070006"/>
    <s v="CIVIL"/>
    <d v="2023-06-27T00:00:00"/>
    <d v="2023-07-05T19:01:47"/>
    <m/>
    <d v="2023-07-05T00:00:00"/>
    <n v="1317"/>
    <n v="20907"/>
    <s v="60960601"/>
    <s v="60960601"/>
    <m/>
    <m/>
    <n v="22772056"/>
    <m/>
    <m/>
    <m/>
    <s v="SOLFIN"/>
    <s v="SOLFIN"/>
    <s v="CCMS"/>
    <n v="21330914"/>
    <n v="4873.01"/>
    <m/>
    <s v="N"/>
    <n v="54"/>
    <d v="2023-07-05T19:01:56"/>
    <s v="Y"/>
    <s v="Solicitor Travel Mileage"/>
    <s v="Prescribed Hourly Rates"/>
    <s v="Non Expert Disbursement"/>
    <s v="Amanda Hodgson"/>
    <s v="Y"/>
    <n v="13.5"/>
    <n v="2.7"/>
    <x v="6"/>
    <s v="VALIDATED"/>
    <n v="1"/>
    <s v="01.11.80.307.6300.0000"/>
    <n v="13.5"/>
    <s v="11"/>
    <s v="6300"/>
    <n v="3350.14"/>
    <n v="13.5"/>
    <s v="CREDITOR"/>
    <n v="0"/>
    <n v="0"/>
    <n v="0"/>
    <n v="0"/>
    <n v="13.5"/>
  </r>
  <r>
    <n v="60990368"/>
    <s v="N"/>
    <n v="21370125"/>
    <s v="3000015032540007"/>
    <s v="CIVIL"/>
    <d v="2023-06-30T00:00:00"/>
    <d v="2023-07-13T19:21:05"/>
    <m/>
    <d v="2023-07-13T00:00:00"/>
    <n v="1317"/>
    <n v="20907"/>
    <s v="60990368"/>
    <s v="60990368"/>
    <m/>
    <m/>
    <n v="22799366"/>
    <m/>
    <m/>
    <m/>
    <s v="SOLFIN"/>
    <s v="SOLFIN"/>
    <s v="CCMS"/>
    <n v="21370125"/>
    <n v="1536.76"/>
    <m/>
    <s v="N"/>
    <n v="1"/>
    <d v="2023-07-13T19:21:15"/>
    <s v="Y"/>
    <s v="Court Fee"/>
    <s v="Private Law Children"/>
    <s v="Non Expert Disbursement"/>
    <s v="Rachael Pyke"/>
    <s v="Y"/>
    <n v="232"/>
    <n v="0"/>
    <x v="11"/>
    <s v="VALIDATED"/>
    <n v="1"/>
    <s v="01.11.80.307.6300.0000"/>
    <n v="232"/>
    <s v="11"/>
    <s v="6300"/>
    <n v="3350.14"/>
    <n v="232"/>
    <s v="CREDITOR"/>
    <n v="0"/>
    <n v="0"/>
    <n v="0"/>
    <n v="0"/>
    <n v="232"/>
  </r>
  <r>
    <n v="60392480"/>
    <s v="N"/>
    <n v="21338275"/>
    <s v="3000014681540010"/>
    <s v="CIVIL"/>
    <d v="2023-06-28T00:00:00"/>
    <d v="2023-07-06T19:21:01"/>
    <m/>
    <d v="2023-07-06T00:00:00"/>
    <n v="1317"/>
    <n v="20907"/>
    <s v="60392480"/>
    <s v="60392480"/>
    <m/>
    <m/>
    <n v="22780928"/>
    <m/>
    <m/>
    <m/>
    <s v="SOLFIN"/>
    <s v="SOLFIN"/>
    <s v="CCMS"/>
    <n v="21338275"/>
    <n v="3817.37"/>
    <m/>
    <s v="N"/>
    <n v="63"/>
    <d v="2023-07-06T19:21:16"/>
    <s v="Y"/>
    <s v="DNA - preparation of report"/>
    <s v="Prescribed Hourly Rates"/>
    <s v="Expert Disbursement"/>
    <s v="KPL"/>
    <s v="Y"/>
    <n v="420"/>
    <n v="84.01000000000001"/>
    <x v="4"/>
    <s v="VALIDATED"/>
    <n v="1"/>
    <s v="01.11.80.302.6300.0000"/>
    <n v="420"/>
    <s v="11"/>
    <s v="6300"/>
    <n v="3350.14"/>
    <n v="420"/>
    <s v="CREDITOR"/>
    <n v="0"/>
    <n v="0"/>
    <n v="0"/>
    <n v="0"/>
    <n v="420"/>
  </r>
  <r>
    <n v="60960601"/>
    <s v="N"/>
    <n v="21330914"/>
    <s v="3000015169070006"/>
    <s v="CIVIL"/>
    <d v="2023-06-27T00:00:00"/>
    <d v="2023-07-05T19:01:47"/>
    <m/>
    <d v="2023-07-05T00:00:00"/>
    <n v="1317"/>
    <n v="20907"/>
    <s v="60960601"/>
    <s v="60960601"/>
    <m/>
    <m/>
    <n v="22772056"/>
    <m/>
    <m/>
    <m/>
    <s v="SOLFIN"/>
    <s v="SOLFIN"/>
    <s v="CCMS"/>
    <n v="21330914"/>
    <n v="4873.01"/>
    <m/>
    <s v="N"/>
    <n v="11"/>
    <d v="2023-07-05T19:01:56"/>
    <s v="Y"/>
    <s v="Preparation - other"/>
    <s v="Prescribed Hourly Rates"/>
    <s v="Profit Cost"/>
    <s v="AH"/>
    <s v="Y"/>
    <n v="5.49"/>
    <n v="1.1"/>
    <x v="6"/>
    <s v="VALIDATED"/>
    <n v="1"/>
    <s v="01.11.80.307.6100.0000"/>
    <n v="5.49"/>
    <s v="11"/>
    <s v="6100"/>
    <n v="3350.14"/>
    <n v="5.49"/>
    <s v="CREDITOR"/>
    <n v="0"/>
    <n v="0"/>
    <n v="0"/>
    <n v="0"/>
    <n v="5.49"/>
  </r>
  <r>
    <n v="16236873"/>
    <s v="N"/>
    <n v="21331379"/>
    <s v="3000007820110032"/>
    <s v="CIVIL"/>
    <d v="2023-06-25T00:00:00"/>
    <d v="2023-07-05T19:01:47"/>
    <m/>
    <d v="2023-07-05T00:00:00"/>
    <n v="1317"/>
    <n v="20907"/>
    <s v="16236873"/>
    <s v="16236873"/>
    <m/>
    <m/>
    <n v="22756904"/>
    <m/>
    <m/>
    <m/>
    <s v="SOLFIN"/>
    <s v="SOLFIN"/>
    <s v="CCMS"/>
    <n v="21331379"/>
    <n v="23746"/>
    <m/>
    <s v="N"/>
    <n v="1"/>
    <d v="2023-07-05T19:02:17"/>
    <s v="Y"/>
    <s v="Process server"/>
    <s v="Domestic Abuse"/>
    <s v="Expert Disbursement"/>
    <s v="RHB"/>
    <s v="Y"/>
    <n v="198.2"/>
    <n v="0"/>
    <x v="6"/>
    <s v="VALIDATED"/>
    <n v="1"/>
    <s v="01.11.80.307.6300.0000"/>
    <n v="198.2"/>
    <s v="11"/>
    <s v="6300"/>
    <n v="3350.14"/>
    <n v="198.2"/>
    <s v="CREDITOR"/>
    <n v="0"/>
    <n v="0"/>
    <n v="0"/>
    <n v="0"/>
    <n v="198.2"/>
  </r>
  <r>
    <n v="61326434"/>
    <s v="N"/>
    <n v="21363004"/>
    <s v="3000015479000006"/>
    <s v="CIVIL"/>
    <d v="2023-06-29T00:00:00"/>
    <d v="2023-07-12T19:01:49"/>
    <m/>
    <d v="2023-07-12T00:00:00"/>
    <n v="1317"/>
    <n v="20907"/>
    <s v="61326434"/>
    <s v="61326434"/>
    <m/>
    <m/>
    <n v="22791814"/>
    <m/>
    <m/>
    <m/>
    <s v="SOLFIN"/>
    <s v="SOLFIN"/>
    <s v="CCMS"/>
    <n v="21363004"/>
    <n v="1071.12"/>
    <m/>
    <s v="N"/>
    <n v="3"/>
    <d v="2023-07-12T19:01:53"/>
    <s v="Y"/>
    <s v="Solicitor Travel Mileage"/>
    <s v="Private Law Children"/>
    <s v="Non Expert Disbursement"/>
    <s v="Rachael Pyke"/>
    <s v="Y"/>
    <n v="13.14"/>
    <n v="2.63"/>
    <x v="0"/>
    <s v="VALIDATED"/>
    <n v="1"/>
    <s v="01.11.80.307.6300.0000"/>
    <n v="13.14"/>
    <s v="11"/>
    <s v="6300"/>
    <n v="3350.14"/>
    <n v="13.14"/>
    <s v="CREDITOR"/>
    <n v="0"/>
    <n v="0"/>
    <n v="0"/>
    <n v="0"/>
    <n v="13.14"/>
  </r>
  <r>
    <n v="60392480"/>
    <s v="N"/>
    <n v="21338275"/>
    <s v="3000014681540010"/>
    <s v="CIVIL"/>
    <d v="2023-06-28T00:00:00"/>
    <d v="2023-07-06T19:21:01"/>
    <m/>
    <d v="2023-07-06T00:00:00"/>
    <n v="1317"/>
    <n v="20907"/>
    <s v="60392480"/>
    <s v="60392480"/>
    <m/>
    <m/>
    <n v="22780928"/>
    <m/>
    <m/>
    <m/>
    <s v="SOLFIN"/>
    <s v="SOLFIN"/>
    <s v="CCMS"/>
    <n v="21338275"/>
    <n v="3817.37"/>
    <m/>
    <s v="N"/>
    <n v="32"/>
    <d v="2023-07-06T19:21:16"/>
    <s v="Y"/>
    <s v="Preparation - drafting application"/>
    <s v="Prescribed Hourly Rates"/>
    <s v="Profit Cost"/>
    <s v="Kalya Parker-Livesey"/>
    <s v="Y"/>
    <n v="46.12"/>
    <n v="9.23"/>
    <x v="4"/>
    <s v="VALIDATED"/>
    <n v="1"/>
    <s v="01.11.80.302.6100.0000"/>
    <n v="46.12"/>
    <s v="11"/>
    <s v="6100"/>
    <n v="3350.14"/>
    <n v="46.12"/>
    <s v="CREDITOR"/>
    <n v="0"/>
    <n v="0"/>
    <n v="0"/>
    <n v="0"/>
    <n v="46.12"/>
  </r>
  <r>
    <n v="60960601"/>
    <s v="N"/>
    <n v="21330914"/>
    <s v="3000015169070006"/>
    <s v="CIVIL"/>
    <d v="2023-06-27T00:00:00"/>
    <d v="2023-07-05T19:01:47"/>
    <m/>
    <d v="2023-07-05T00:00:00"/>
    <n v="1317"/>
    <n v="20907"/>
    <s v="60960601"/>
    <s v="60960601"/>
    <m/>
    <m/>
    <n v="22772056"/>
    <m/>
    <m/>
    <m/>
    <s v="SOLFIN"/>
    <s v="SOLFIN"/>
    <s v="CCMS"/>
    <n v="21330914"/>
    <n v="4873.01"/>
    <m/>
    <s v="N"/>
    <n v="56"/>
    <d v="2023-07-05T19:01:56"/>
    <s v="Y"/>
    <s v="Hearing Unit 1.01 - 2.30 Hours"/>
    <s v="Private Law Children"/>
    <s v="Advocacy"/>
    <s v="Haris Qureshi"/>
    <s v="Y"/>
    <n v="156.74"/>
    <n v="31.35"/>
    <x v="6"/>
    <s v="VALIDATED"/>
    <n v="1"/>
    <s v="01.11.80.307.6100.0000"/>
    <n v="156.74"/>
    <s v="11"/>
    <s v="6100"/>
    <n v="3350.14"/>
    <n v="156.74"/>
    <s v="CREDITOR"/>
    <n v="0"/>
    <n v="0"/>
    <n v="0"/>
    <n v="0"/>
    <n v="156.74"/>
  </r>
  <r>
    <n v="60960601"/>
    <s v="N"/>
    <n v="21330914"/>
    <s v="3000015169070006"/>
    <s v="CIVIL"/>
    <d v="2023-06-27T00:00:00"/>
    <d v="2023-07-05T19:01:47"/>
    <m/>
    <d v="2023-07-05T00:00:00"/>
    <n v="1317"/>
    <n v="20907"/>
    <s v="60960601"/>
    <s v="60960601"/>
    <m/>
    <m/>
    <n v="22772056"/>
    <m/>
    <m/>
    <m/>
    <s v="SOLFIN"/>
    <s v="SOLFIN"/>
    <s v="CCMS"/>
    <n v="21330914"/>
    <n v="4873.01"/>
    <m/>
    <s v="N"/>
    <n v="49"/>
    <d v="2023-07-05T19:01:56"/>
    <s v="Y"/>
    <s v="Attendance upon client"/>
    <s v="Prescribed Hourly Rates"/>
    <s v="Profit Cost"/>
    <s v="Samantha Norse"/>
    <s v="Y"/>
    <n v="10.98"/>
    <n v="2.2"/>
    <x v="6"/>
    <s v="VALIDATED"/>
    <n v="1"/>
    <s v="01.11.80.307.6100.0000"/>
    <n v="10.98"/>
    <s v="11"/>
    <s v="6100"/>
    <n v="3350.14"/>
    <n v="10.98"/>
    <s v="CREDITOR"/>
    <n v="0"/>
    <n v="0"/>
    <n v="0"/>
    <n v="0"/>
    <n v="10.98"/>
  </r>
  <r>
    <n v="60811304"/>
    <s v="N"/>
    <n v="21331156"/>
    <s v="3000015042280019"/>
    <s v="CIVIL"/>
    <d v="2023-06-26T00:00:00"/>
    <d v="2023-07-05T19:01:47"/>
    <m/>
    <d v="2023-07-05T00:00:00"/>
    <n v="1317"/>
    <n v="20907"/>
    <s v="60811304"/>
    <s v="60811304"/>
    <m/>
    <m/>
    <n v="22759586"/>
    <m/>
    <m/>
    <m/>
    <s v="SOLINT"/>
    <s v="SOLINT"/>
    <s v="CCMS"/>
    <n v="21331156"/>
    <n v="9076.25"/>
    <m/>
    <s v="N"/>
    <n v="6"/>
    <d v="2023-07-05T19:02:08"/>
    <s v="Y"/>
    <s v="Police Records"/>
    <s v="Private Law Children"/>
    <s v="Non Expert Disbursement"/>
    <s v="Curtis Booth"/>
    <s v="Y"/>
    <n v="100"/>
    <n v="0"/>
    <x v="6"/>
    <s v="VALIDATED"/>
    <n v="1"/>
    <s v="01.11.80.307.6300.0000"/>
    <n v="100"/>
    <s v="11"/>
    <s v="6300"/>
    <n v="3350.14"/>
    <n v="100"/>
    <s v="CREDITOR"/>
    <n v="0"/>
    <n v="0"/>
    <n v="0"/>
    <n v="0"/>
    <n v="100"/>
  </r>
  <r>
    <n v="16236873"/>
    <s v="N"/>
    <n v="21331379"/>
    <s v="3000007820110032"/>
    <s v="CIVIL"/>
    <d v="2023-06-25T00:00:00"/>
    <d v="2023-07-05T19:01:47"/>
    <m/>
    <d v="2023-07-05T00:00:00"/>
    <n v="1317"/>
    <n v="20907"/>
    <s v="16236873"/>
    <s v="16236873"/>
    <m/>
    <m/>
    <n v="22756904"/>
    <m/>
    <m/>
    <m/>
    <s v="SOLFIN"/>
    <s v="SOLFIN"/>
    <s v="CCMS"/>
    <n v="21331379"/>
    <n v="23746"/>
    <m/>
    <s v="N"/>
    <n v="17"/>
    <d v="2023-07-05T19:02:17"/>
    <s v="Y"/>
    <s v="Solicitor Travel Mileage"/>
    <s v="Domestic Abuse"/>
    <s v="Non Expert Disbursement"/>
    <s v="RHB"/>
    <s v="Y"/>
    <n v="11.7"/>
    <n v="2.34"/>
    <x v="6"/>
    <s v="VALIDATED"/>
    <n v="1"/>
    <s v="01.11.80.307.6300.0000"/>
    <n v="11.7"/>
    <s v="11"/>
    <s v="6300"/>
    <n v="3350.14"/>
    <n v="11.7"/>
    <s v="CREDITOR"/>
    <n v="0"/>
    <n v="0"/>
    <n v="0"/>
    <n v="0"/>
    <n v="11.7"/>
  </r>
  <r>
    <n v="61600686"/>
    <s v="N"/>
    <n v="21327564"/>
    <s v="3000015682430008"/>
    <s v="CIVIL"/>
    <d v="2023-06-30T00:00:00"/>
    <d v="2023-07-04T19:00:44"/>
    <m/>
    <d v="2023-07-04T00:00:00"/>
    <n v="1317"/>
    <n v="20907"/>
    <s v="61600686"/>
    <s v="61600686"/>
    <m/>
    <m/>
    <n v="22801342"/>
    <m/>
    <m/>
    <m/>
    <s v="SOLPOA"/>
    <s v="SOLPOA"/>
    <s v="CCMS"/>
    <n v="21327564"/>
    <n v="508.3"/>
    <m/>
    <s v="N"/>
    <n v="1"/>
    <d v="2023-07-04T19:00:50"/>
    <s v="N"/>
    <s v="Level 3 Fixed Fee"/>
    <s v="Private Law Children"/>
    <s v="Profit Cost"/>
    <s v="Kalya Parker-Livesey"/>
    <s v="N"/>
    <n v="423.58"/>
    <n v="84.72"/>
    <x v="1"/>
    <s v="VALIDATED"/>
    <n v="1"/>
    <s v="01.11.80.307.2012.0000"/>
    <n v="423.58"/>
    <s v="11"/>
    <s v="2012"/>
    <n v="3350.14"/>
    <n v="423.58"/>
    <s v="CREDITOR"/>
    <n v="423.58"/>
    <n v="105.895"/>
    <n v="0"/>
    <n v="0"/>
    <n v="0"/>
  </r>
  <r>
    <n v="60213489"/>
    <s v="N"/>
    <n v="21349415"/>
    <s v="3000014527140013"/>
    <s v="CIVIL"/>
    <d v="2023-06-29T00:00:00"/>
    <d v="2023-07-10T19:01:40"/>
    <m/>
    <d v="2023-07-10T00:00:00"/>
    <n v="1317"/>
    <n v="20907"/>
    <s v="60213489"/>
    <s v="60213489"/>
    <m/>
    <m/>
    <n v="22788384"/>
    <m/>
    <m/>
    <m/>
    <s v="SOLFIN"/>
    <s v="SOLFIN"/>
    <s v="CCMS"/>
    <n v="21349415"/>
    <n v="4568.22"/>
    <m/>
    <s v="N"/>
    <n v="2"/>
    <d v="2023-07-10T19:01:49"/>
    <s v="Y"/>
    <s v="Toxicologist"/>
    <s v="Public Law Children"/>
    <s v="Expert Disbursement"/>
    <s v="KHANSA TAHA"/>
    <s v="Y"/>
    <n v="286.33"/>
    <n v="57.27"/>
    <x v="2"/>
    <s v="VALIDATED"/>
    <n v="1"/>
    <s v="01.11.80.308.6300.0000"/>
    <n v="286.33"/>
    <s v="11"/>
    <s v="6300"/>
    <n v="3350.14"/>
    <n v="286.33"/>
    <s v="CREDITOR"/>
    <n v="0"/>
    <n v="0"/>
    <n v="0"/>
    <n v="0"/>
    <n v="286.33"/>
  </r>
  <r>
    <n v="60392480"/>
    <s v="N"/>
    <n v="21338275"/>
    <s v="3000014681540010"/>
    <s v="CIVIL"/>
    <d v="2023-06-28T00:00:00"/>
    <d v="2023-07-06T19:21:01"/>
    <m/>
    <d v="2023-07-06T00:00:00"/>
    <n v="1317"/>
    <n v="20907"/>
    <s v="60392480"/>
    <s v="60392480"/>
    <m/>
    <m/>
    <n v="22780928"/>
    <m/>
    <m/>
    <m/>
    <s v="SOLFIN"/>
    <s v="SOLFIN"/>
    <s v="CCMS"/>
    <n v="21338275"/>
    <n v="3817.37"/>
    <m/>
    <s v="N"/>
    <n v="24"/>
    <d v="2023-07-06T19:21:16"/>
    <s v="Y"/>
    <s v="Preparation - drafting notice(s)"/>
    <s v="Prescribed Hourly Rates"/>
    <s v="Profit Cost"/>
    <s v="KPL"/>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11"/>
    <d v="2023-07-06T19:21:16"/>
    <s v="Y"/>
    <s v="Preparation - drafting consent orde"/>
    <s v="Prescribed Hourly Rates"/>
    <s v="Profit Cost"/>
    <s v="CB"/>
    <s v="Y"/>
    <n v="5.49"/>
    <n v="1.1"/>
    <x v="4"/>
    <s v="VALIDATED"/>
    <n v="1"/>
    <s v="01.11.80.302.6100.0000"/>
    <n v="5.49"/>
    <s v="11"/>
    <s v="6100"/>
    <n v="3350.14"/>
    <n v="5.49"/>
    <s v="CREDITOR"/>
    <n v="0"/>
    <n v="0"/>
    <n v="0"/>
    <n v="0"/>
    <n v="5.49"/>
  </r>
  <r>
    <n v="60723628"/>
    <s v="N"/>
    <n v="21338585"/>
    <s v="3000014967630011"/>
    <s v="CIVIL"/>
    <d v="2023-06-29T00:00:00"/>
    <d v="2023-07-06T19:21:01"/>
    <m/>
    <d v="2023-07-06T00:00:00"/>
    <n v="1317"/>
    <n v="20907"/>
    <s v="60723628"/>
    <s v="60723628"/>
    <m/>
    <m/>
    <n v="22790072"/>
    <m/>
    <m/>
    <m/>
    <s v="SOLFIN"/>
    <s v="SOLFIN"/>
    <s v="CCMS"/>
    <n v="21338585"/>
    <n v="3167.04"/>
    <m/>
    <s v="N"/>
    <n v="3"/>
    <d v="2023-07-06T19:21:29"/>
    <s v="Y"/>
    <s v="Solicitors Fixed Fee"/>
    <s v="Public Law Children"/>
    <s v="Profit Cost"/>
    <s v="Khansa Taha"/>
    <s v="Y"/>
    <n v="1911"/>
    <n v="382.2"/>
    <x v="4"/>
    <s v="VALIDATED"/>
    <n v="1"/>
    <s v="01.11.80.308.6100.0000"/>
    <n v="1911"/>
    <s v="11"/>
    <s v="6100"/>
    <n v="3350.14"/>
    <n v="1911"/>
    <s v="CREDITOR"/>
    <n v="0"/>
    <n v="0"/>
    <n v="0"/>
    <n v="0"/>
    <n v="1911"/>
  </r>
  <r>
    <n v="60960601"/>
    <s v="N"/>
    <n v="21330914"/>
    <s v="3000015169070006"/>
    <s v="CIVIL"/>
    <d v="2023-06-27T00:00:00"/>
    <d v="2023-07-05T19:01:47"/>
    <m/>
    <d v="2023-07-05T00:00:00"/>
    <n v="1317"/>
    <n v="20907"/>
    <s v="60960601"/>
    <s v="60960601"/>
    <m/>
    <m/>
    <n v="22772056"/>
    <m/>
    <m/>
    <m/>
    <s v="SOLFIN"/>
    <s v="SOLFIN"/>
    <s v="CCMS"/>
    <n v="21330914"/>
    <n v="4873.01"/>
    <m/>
    <s v="N"/>
    <n v="29"/>
    <d v="2023-07-05T19:01:56"/>
    <s v="Y"/>
    <s v="Preparation - drafting bill/claim f"/>
    <s v="Prescribed Hourly Rates"/>
    <s v="Profit Cost"/>
    <s v="Hazel Walmsley"/>
    <s v="Y"/>
    <n v="10.98"/>
    <n v="2.2"/>
    <x v="6"/>
    <s v="VALIDATED"/>
    <n v="1"/>
    <s v="01.11.80.307.6100.0000"/>
    <n v="10.98"/>
    <s v="11"/>
    <s v="6100"/>
    <n v="3350.14"/>
    <n v="10.98"/>
    <s v="CREDITOR"/>
    <n v="0"/>
    <n v="0"/>
    <n v="0"/>
    <n v="0"/>
    <n v="10.98"/>
  </r>
  <r>
    <n v="16236873"/>
    <s v="N"/>
    <n v="21331379"/>
    <s v="3000007820110032"/>
    <s v="CIVIL"/>
    <d v="2023-06-25T00:00:00"/>
    <d v="2023-07-05T19:01:47"/>
    <m/>
    <d v="2023-07-05T00:00:00"/>
    <n v="1317"/>
    <n v="20907"/>
    <s v="16236873"/>
    <s v="16236873"/>
    <m/>
    <m/>
    <n v="22756904"/>
    <m/>
    <m/>
    <m/>
    <s v="SOLFIN"/>
    <s v="SOLFIN"/>
    <s v="CCMS"/>
    <n v="21331379"/>
    <n v="23746"/>
    <m/>
    <s v="N"/>
    <n v="16"/>
    <d v="2023-07-05T19:02:17"/>
    <s v="Y"/>
    <s v="Photocopying"/>
    <s v="Domestic Abuse"/>
    <s v="Non Expert Disbursement"/>
    <s v="RHB"/>
    <s v="Y"/>
    <n v="98.95999999999999"/>
    <n v="19.79"/>
    <x v="6"/>
    <s v="VALIDATED"/>
    <n v="1"/>
    <s v="01.11.80.307.6300.0000"/>
    <n v="98.95999999999999"/>
    <s v="11"/>
    <s v="6300"/>
    <n v="3350.14"/>
    <n v="98.95999999999999"/>
    <s v="CREDITOR"/>
    <n v="0"/>
    <n v="0"/>
    <n v="0"/>
    <n v="0"/>
    <n v="98.95999999999999"/>
  </r>
  <r>
    <n v="60392480"/>
    <s v="N"/>
    <n v="21338275"/>
    <s v="3000014681540010"/>
    <s v="CIVIL"/>
    <d v="2023-06-28T00:00:00"/>
    <d v="2023-07-06T19:21:01"/>
    <m/>
    <d v="2023-07-06T00:00:00"/>
    <n v="1317"/>
    <n v="20907"/>
    <s v="60392480"/>
    <s v="60392480"/>
    <m/>
    <m/>
    <n v="22780928"/>
    <m/>
    <m/>
    <m/>
    <s v="SOLFIN"/>
    <s v="SOLFIN"/>
    <s v="CCMS"/>
    <n v="21338275"/>
    <n v="3817.37"/>
    <m/>
    <s v="N"/>
    <n v="61"/>
    <d v="2023-07-06T19:21:16"/>
    <s v="Y"/>
    <s v="Preparation - drafting pleadings"/>
    <s v="Prescribed Hourly Rates"/>
    <s v="Profit Cost"/>
    <s v="KPL"/>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65"/>
    <d v="2023-07-06T19:21:16"/>
    <s v="N"/>
    <s v="Level 3 Fixed Fee"/>
    <s v="Private Law Children"/>
    <s v="Profit Cost"/>
    <s v="Kalya Parker-Livesey"/>
    <s v="N"/>
    <n v="0"/>
    <n v="0"/>
    <x v="4"/>
    <s v="VALIDATED"/>
    <n v="1"/>
    <s v="01.11.80.302.6100.0000"/>
    <n v="0"/>
    <s v="11"/>
    <s v="6100"/>
    <n v="3350.14"/>
    <n v="0"/>
    <s v="CREDITOR"/>
    <n v="0"/>
    <n v="0"/>
    <n v="0"/>
    <n v="0"/>
    <n v="0"/>
  </r>
  <r>
    <n v="60960601"/>
    <s v="N"/>
    <n v="21330914"/>
    <s v="3000015169070006"/>
    <s v="CIVIL"/>
    <d v="2023-06-27T00:00:00"/>
    <d v="2023-07-05T19:01:47"/>
    <m/>
    <d v="2023-07-05T00:00:00"/>
    <n v="1317"/>
    <n v="20907"/>
    <s v="60960601"/>
    <s v="60960601"/>
    <m/>
    <m/>
    <n v="22772056"/>
    <m/>
    <m/>
    <m/>
    <s v="SOLFIN"/>
    <s v="SOLFIN"/>
    <s v="CCMS"/>
    <n v="21330914"/>
    <n v="4873.01"/>
    <m/>
    <s v="N"/>
    <n v="55"/>
    <d v="2023-07-05T19:01:56"/>
    <s v="Y"/>
    <s v="Hearing Unit 1.01 - 2.30 Hours"/>
    <s v="Private Law Children"/>
    <s v="Advocacy"/>
    <s v="Amanda Hodgson"/>
    <s v="Y"/>
    <n v="156.74"/>
    <n v="31.35"/>
    <x v="6"/>
    <s v="VALIDATED"/>
    <n v="1"/>
    <s v="01.11.80.307.6100.0000"/>
    <n v="156.74"/>
    <s v="11"/>
    <s v="6100"/>
    <n v="3350.14"/>
    <n v="156.74"/>
    <s v="CREDITOR"/>
    <n v="0"/>
    <n v="0"/>
    <n v="0"/>
    <n v="0"/>
    <n v="156.74"/>
  </r>
  <r>
    <n v="60960601"/>
    <s v="N"/>
    <n v="21330914"/>
    <s v="3000015169070006"/>
    <s v="CIVIL"/>
    <d v="2023-06-27T00:00:00"/>
    <d v="2023-07-05T19:01:47"/>
    <m/>
    <d v="2023-07-05T00:00:00"/>
    <n v="1317"/>
    <n v="20907"/>
    <s v="60960601"/>
    <s v="60960601"/>
    <m/>
    <m/>
    <n v="22772056"/>
    <m/>
    <m/>
    <m/>
    <s v="SOLFIN"/>
    <s v="SOLFIN"/>
    <s v="CCMS"/>
    <n v="21330914"/>
    <n v="4873.01"/>
    <m/>
    <s v="N"/>
    <n v="18"/>
    <d v="2023-07-05T19:01:56"/>
    <s v="Y"/>
    <s v="Attendance upon client"/>
    <s v="Prescribed Hourly Rates"/>
    <s v="Profit Cost"/>
    <s v="AH"/>
    <s v="Y"/>
    <n v="10.98"/>
    <n v="2.2"/>
    <x v="6"/>
    <s v="VALIDATED"/>
    <n v="1"/>
    <s v="01.11.80.307.6100.0000"/>
    <n v="10.98"/>
    <s v="11"/>
    <s v="6100"/>
    <n v="3350.14"/>
    <n v="10.98"/>
    <s v="CREDITOR"/>
    <n v="0"/>
    <n v="0"/>
    <n v="0"/>
    <n v="0"/>
    <n v="10.98"/>
  </r>
  <r>
    <n v="60960601"/>
    <s v="N"/>
    <n v="21330914"/>
    <s v="3000015169070006"/>
    <s v="CIVIL"/>
    <d v="2023-06-27T00:00:00"/>
    <d v="2023-07-05T19:01:47"/>
    <m/>
    <d v="2023-07-05T00:00:00"/>
    <n v="1317"/>
    <n v="20907"/>
    <s v="60960601"/>
    <s v="60960601"/>
    <m/>
    <m/>
    <n v="22772056"/>
    <m/>
    <m/>
    <m/>
    <s v="SOLFIN"/>
    <s v="SOLFIN"/>
    <s v="CCMS"/>
    <n v="21330914"/>
    <n v="4873.01"/>
    <m/>
    <s v="N"/>
    <n v="41"/>
    <d v="2023-07-05T19:01:56"/>
    <s v="Y"/>
    <s v="Preparation - drafting attendance n"/>
    <s v="Prescribed Hourly Rates"/>
    <s v="Profit Cost"/>
    <s v="Samantha Norse"/>
    <s v="Y"/>
    <n v="10.98"/>
    <n v="2.2"/>
    <x v="6"/>
    <s v="VALIDATED"/>
    <n v="1"/>
    <s v="01.11.80.307.6100.0000"/>
    <n v="10.98"/>
    <s v="11"/>
    <s v="6100"/>
    <n v="3350.14"/>
    <n v="10.98"/>
    <s v="CREDITOR"/>
    <n v="0"/>
    <n v="0"/>
    <n v="0"/>
    <n v="0"/>
    <n v="10.98"/>
  </r>
  <r>
    <n v="61861096"/>
    <s v="N"/>
    <n v="21324038"/>
    <s v="3000015922120013"/>
    <s v="CIVIL"/>
    <d v="2023-06-30T00:00:00"/>
    <d v="2023-07-03T19:05:56"/>
    <m/>
    <d v="2023-07-03T00:00:00"/>
    <n v="1317"/>
    <n v="20907"/>
    <s v="61861096"/>
    <s v="61861096"/>
    <m/>
    <m/>
    <n v="22800706"/>
    <m/>
    <m/>
    <m/>
    <s v="SOLPOA"/>
    <s v="SOLPOA"/>
    <s v="CCMS"/>
    <n v="21324038"/>
    <n v="547.2"/>
    <m/>
    <s v="N"/>
    <n v="1"/>
    <d v="2023-07-03T19:06:00"/>
    <s v="N"/>
    <s v="Non Expert Disbursement"/>
    <s v="Non Expert Disbursement"/>
    <s v="Non Expert Disbursement"/>
    <s v="JOELYROBERTS"/>
    <s v="N"/>
    <n v="547.2"/>
    <n v="0"/>
    <x v="3"/>
    <s v="VALIDATED"/>
    <n v="1"/>
    <s v="01.11.80.308.2012.0000"/>
    <n v="547.2"/>
    <s v="11"/>
    <s v="2012"/>
    <n v="3350.14"/>
    <n v="547.2"/>
    <s v="CREDITOR"/>
    <n v="547.2"/>
    <n v="0"/>
    <n v="0"/>
    <n v="0"/>
    <n v="0"/>
  </r>
  <r>
    <n v="60960601"/>
    <s v="N"/>
    <n v="21330914"/>
    <s v="3000015169070006"/>
    <s v="CIVIL"/>
    <d v="2023-06-27T00:00:00"/>
    <d v="2023-07-05T19:01:47"/>
    <m/>
    <d v="2023-07-05T00:00:00"/>
    <n v="1317"/>
    <n v="20907"/>
    <s v="60960601"/>
    <s v="60960601"/>
    <m/>
    <m/>
    <n v="22772056"/>
    <m/>
    <m/>
    <m/>
    <s v="SOLFIN"/>
    <s v="SOLFIN"/>
    <s v="CCMS"/>
    <n v="21330914"/>
    <n v="4873.01"/>
    <m/>
    <s v="N"/>
    <n v="4"/>
    <d v="2023-07-05T19:01:56"/>
    <s v="Y"/>
    <s v="Routine Letter Out"/>
    <s v="Prescribed Hourly Rates"/>
    <s v="Profit Cost"/>
    <s v="AH"/>
    <s v="Y"/>
    <n v="442.8"/>
    <n v="88.56999999999999"/>
    <x v="6"/>
    <s v="VALIDATED"/>
    <n v="1"/>
    <s v="01.11.80.307.6100.0000"/>
    <n v="442.8"/>
    <s v="11"/>
    <s v="6100"/>
    <n v="3350.14"/>
    <n v="442.8"/>
    <s v="CREDITOR"/>
    <n v="0"/>
    <n v="0"/>
    <n v="0"/>
    <n v="0"/>
    <n v="442.8"/>
  </r>
  <r>
    <n v="60960601"/>
    <s v="N"/>
    <n v="21330914"/>
    <s v="3000015169070006"/>
    <s v="CIVIL"/>
    <d v="2023-06-27T00:00:00"/>
    <d v="2023-07-05T19:01:47"/>
    <m/>
    <d v="2023-07-05T00:00:00"/>
    <n v="1317"/>
    <n v="20907"/>
    <s v="60960601"/>
    <s v="60960601"/>
    <m/>
    <m/>
    <n v="22772056"/>
    <m/>
    <m/>
    <m/>
    <s v="SOLFIN"/>
    <s v="SOLFIN"/>
    <s v="CCMS"/>
    <n v="21330914"/>
    <n v="4873.01"/>
    <m/>
    <s v="N"/>
    <n v="5"/>
    <d v="2023-07-05T19:01:56"/>
    <s v="Y"/>
    <s v="Preparation - drafting attendance n"/>
    <s v="Prescribed Hourly Rates"/>
    <s v="Profit Cost"/>
    <s v="AH"/>
    <s v="Y"/>
    <n v="5.49"/>
    <n v="1.1"/>
    <x v="6"/>
    <s v="VALIDATED"/>
    <n v="1"/>
    <s v="01.11.80.307.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20"/>
    <d v="2023-07-05T19:01:56"/>
    <s v="Y"/>
    <s v="Preparation - drafting pleadings"/>
    <s v="Prescribed Hourly Rates"/>
    <s v="Profit Cost"/>
    <s v="Amanda Hodgson"/>
    <s v="Y"/>
    <n v="27.45"/>
    <n v="5.49"/>
    <x v="6"/>
    <s v="VALIDATED"/>
    <n v="1"/>
    <s v="01.11.80.307.6100.0000"/>
    <n v="27.45"/>
    <s v="11"/>
    <s v="6100"/>
    <n v="3350.14"/>
    <n v="27.45"/>
    <s v="CREDITOR"/>
    <n v="0"/>
    <n v="0"/>
    <n v="0"/>
    <n v="0"/>
    <n v="27.45"/>
  </r>
  <r>
    <n v="60990368"/>
    <s v="N"/>
    <n v="21370125"/>
    <s v="3000015032540007"/>
    <s v="CIVIL"/>
    <d v="2023-06-30T00:00:00"/>
    <d v="2023-07-13T19:21:05"/>
    <m/>
    <d v="2023-07-13T00:00:00"/>
    <n v="1317"/>
    <n v="20907"/>
    <s v="60990368"/>
    <s v="60990368"/>
    <m/>
    <m/>
    <n v="22799366"/>
    <m/>
    <m/>
    <m/>
    <s v="SOLFIN"/>
    <s v="SOLFIN"/>
    <s v="CCMS"/>
    <n v="21370125"/>
    <n v="1536.76"/>
    <m/>
    <s v="N"/>
    <n v="3"/>
    <d v="2023-07-13T19:21:15"/>
    <s v="Y"/>
    <s v="Process server"/>
    <s v="Private Law Children"/>
    <s v="Expert Disbursement"/>
    <s v="RP"/>
    <s v="Y"/>
    <n v="170.31"/>
    <n v="34.06"/>
    <x v="11"/>
    <s v="VALIDATED"/>
    <n v="1"/>
    <s v="01.11.80.307.6300.0000"/>
    <n v="170.31"/>
    <s v="11"/>
    <s v="6300"/>
    <n v="3350.14"/>
    <n v="170.31"/>
    <s v="CREDITOR"/>
    <n v="0"/>
    <n v="0"/>
    <n v="0"/>
    <n v="0"/>
    <n v="170.31"/>
  </r>
  <r>
    <n v="60392480"/>
    <s v="N"/>
    <n v="21338275"/>
    <s v="3000014681540010"/>
    <s v="CIVIL"/>
    <d v="2023-06-28T00:00:00"/>
    <d v="2023-07-06T19:21:01"/>
    <m/>
    <d v="2023-07-06T00:00:00"/>
    <n v="1317"/>
    <n v="20907"/>
    <s v="60392480"/>
    <s v="60392480"/>
    <m/>
    <m/>
    <n v="22780928"/>
    <m/>
    <m/>
    <m/>
    <s v="SOLFIN"/>
    <s v="SOLFIN"/>
    <s v="CCMS"/>
    <n v="21338275"/>
    <n v="3817.37"/>
    <m/>
    <s v="N"/>
    <n v="25"/>
    <d v="2023-07-06T19:21:16"/>
    <s v="Y"/>
    <s v="Preparation - drafting attendance n"/>
    <s v="Prescribed Hourly Rates"/>
    <s v="Profit Cost"/>
    <s v="KPL"/>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40"/>
    <d v="2023-07-06T19:21:16"/>
    <s v="Y"/>
    <s v="Preparation - drafting bill/claim f"/>
    <s v="Prescribed Hourly Rates"/>
    <s v="Profit Cost"/>
    <s v="HW"/>
    <s v="Y"/>
    <n v="137.25"/>
    <n v="27.45"/>
    <x v="4"/>
    <s v="VALIDATED"/>
    <n v="1"/>
    <s v="01.11.80.302.6100.0000"/>
    <n v="137.25"/>
    <s v="11"/>
    <s v="6100"/>
    <n v="3350.14"/>
    <n v="137.25"/>
    <s v="CREDITOR"/>
    <n v="0"/>
    <n v="0"/>
    <n v="0"/>
    <n v="0"/>
    <n v="137.25"/>
  </r>
  <r>
    <n v="61061386"/>
    <s v="N"/>
    <n v="21338165"/>
    <s v="3000015259200017"/>
    <s v="CIVIL"/>
    <d v="2023-06-30T00:00:00"/>
    <d v="2023-07-06T19:21:01"/>
    <m/>
    <d v="2023-07-06T00:00:00"/>
    <n v="1317"/>
    <n v="20907"/>
    <s v="61061386"/>
    <s v="61061386"/>
    <m/>
    <m/>
    <n v="22799870"/>
    <m/>
    <m/>
    <m/>
    <s v="SOLPOA"/>
    <s v="SOLPOA"/>
    <s v="CCMS"/>
    <n v="21338165"/>
    <n v="100"/>
    <m/>
    <s v="N"/>
    <n v="1"/>
    <d v="2023-07-06T19:21:12"/>
    <s v="N"/>
    <s v="Non Expert Disbursement"/>
    <s v="Non Expert Disbursement"/>
    <s v="Non Expert Disbursement"/>
    <s v="Miss Pollitt"/>
    <s v="N"/>
    <n v="83.33"/>
    <n v="16.67"/>
    <x v="4"/>
    <s v="VALIDATED"/>
    <n v="1"/>
    <s v="01.11.80.308.2012.0000"/>
    <n v="83.33"/>
    <s v="11"/>
    <s v="2012"/>
    <n v="3350.14"/>
    <n v="83.33"/>
    <s v="CREDITOR"/>
    <n v="83.33"/>
    <n v="0"/>
    <n v="0"/>
    <n v="0"/>
    <n v="0"/>
  </r>
  <r>
    <n v="60960601"/>
    <s v="N"/>
    <n v="21330914"/>
    <s v="3000015169070006"/>
    <s v="CIVIL"/>
    <d v="2023-06-27T00:00:00"/>
    <d v="2023-07-05T19:01:47"/>
    <m/>
    <d v="2023-07-05T00:00:00"/>
    <n v="1317"/>
    <n v="20907"/>
    <s v="60960601"/>
    <s v="60960601"/>
    <m/>
    <m/>
    <n v="22772056"/>
    <m/>
    <m/>
    <m/>
    <s v="SOLFIN"/>
    <s v="SOLFIN"/>
    <s v="CCMS"/>
    <n v="21330914"/>
    <n v="4873.01"/>
    <m/>
    <s v="N"/>
    <n v="13"/>
    <d v="2023-07-05T19:01:56"/>
    <s v="Y"/>
    <s v="Preparation - drafting attendance n"/>
    <s v="Prescribed Hourly Rates"/>
    <s v="Profit Cost"/>
    <s v="AN"/>
    <s v="Y"/>
    <n v="5.49"/>
    <n v="1.1"/>
    <x v="6"/>
    <s v="VALIDATED"/>
    <n v="1"/>
    <s v="01.11.80.307.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32"/>
    <d v="2023-07-05T19:01:56"/>
    <s v="Y"/>
    <s v="Preparation - drafting statement"/>
    <s v="Prescribed Hourly Rates"/>
    <s v="Profit Cost"/>
    <s v="Samantha Norse"/>
    <s v="Y"/>
    <n v="102.94"/>
    <n v="20.59"/>
    <x v="6"/>
    <s v="VALIDATED"/>
    <n v="1"/>
    <s v="01.11.80.307.6100.0000"/>
    <n v="102.94"/>
    <s v="11"/>
    <s v="6100"/>
    <n v="3350.14"/>
    <n v="102.94"/>
    <s v="CREDITOR"/>
    <n v="0"/>
    <n v="0"/>
    <n v="0"/>
    <n v="0"/>
    <n v="102.94"/>
  </r>
  <r>
    <n v="60990368"/>
    <s v="N"/>
    <n v="21370125"/>
    <s v="3000015032540007"/>
    <s v="CIVIL"/>
    <d v="2023-06-30T00:00:00"/>
    <d v="2023-07-13T19:21:05"/>
    <m/>
    <d v="2023-07-13T00:00:00"/>
    <n v="1317"/>
    <n v="20907"/>
    <s v="60990368"/>
    <s v="60990368"/>
    <m/>
    <m/>
    <n v="22799366"/>
    <m/>
    <m/>
    <m/>
    <s v="SOLFIN"/>
    <s v="SOLFIN"/>
    <s v="CCMS"/>
    <n v="21370125"/>
    <n v="1536.76"/>
    <m/>
    <s v="N"/>
    <n v="7"/>
    <d v="2023-07-13T19:21:15"/>
    <s v="Y"/>
    <s v="Level 3 Fixed Fee"/>
    <s v="Private Law Children"/>
    <s v="Profit Cost"/>
    <s v="Rachael Pyke"/>
    <s v="Y"/>
    <n v="353"/>
    <n v="70.59999999999999"/>
    <x v="11"/>
    <s v="VALIDATED"/>
    <n v="1"/>
    <s v="01.11.80.307.6100.0000"/>
    <n v="353"/>
    <s v="11"/>
    <s v="6100"/>
    <n v="3350.14"/>
    <n v="353"/>
    <s v="CREDITOR"/>
    <n v="0"/>
    <n v="0"/>
    <n v="0"/>
    <n v="0"/>
    <n v="353"/>
  </r>
  <r>
    <n v="60392480"/>
    <s v="N"/>
    <n v="21338275"/>
    <s v="3000014681540010"/>
    <s v="CIVIL"/>
    <d v="2023-06-28T00:00:00"/>
    <d v="2023-07-06T19:21:01"/>
    <m/>
    <d v="2023-07-06T00:00:00"/>
    <n v="1317"/>
    <n v="20907"/>
    <s v="60392480"/>
    <s v="60392480"/>
    <m/>
    <m/>
    <n v="22780928"/>
    <m/>
    <m/>
    <m/>
    <s v="SOLFIN"/>
    <s v="SOLFIN"/>
    <s v="CCMS"/>
    <n v="21338275"/>
    <n v="3817.37"/>
    <m/>
    <s v="N"/>
    <n v="23"/>
    <d v="2023-07-06T19:21:16"/>
    <s v="Y"/>
    <s v="Preparation - drafting statement"/>
    <s v="Prescribed Hourly Rates"/>
    <s v="Profit Cost"/>
    <s v="KPL"/>
    <s v="Y"/>
    <n v="10.98"/>
    <n v="2.2"/>
    <x v="4"/>
    <s v="VALIDATED"/>
    <n v="1"/>
    <s v="01.11.80.302.6100.0000"/>
    <n v="10.98"/>
    <s v="11"/>
    <s v="6100"/>
    <n v="3350.14"/>
    <n v="10.98"/>
    <s v="CREDITOR"/>
    <n v="0"/>
    <n v="0"/>
    <n v="0"/>
    <n v="0"/>
    <n v="10.98"/>
  </r>
  <r>
    <n v="62057185"/>
    <s v="N"/>
    <n v="21323932"/>
    <s v="3000016091360007"/>
    <s v="CIVIL"/>
    <d v="2023-06-30T00:00:00"/>
    <d v="2023-07-03T19:05:56"/>
    <m/>
    <d v="2023-07-03T00:00:00"/>
    <n v="1317"/>
    <n v="20907"/>
    <s v="62057185"/>
    <s v="62057185"/>
    <m/>
    <m/>
    <n v="22799534"/>
    <m/>
    <m/>
    <m/>
    <s v="SOLPOA"/>
    <s v="SOLPOA"/>
    <s v="CCMS"/>
    <n v="21323932"/>
    <n v="23.94"/>
    <m/>
    <s v="N"/>
    <n v="1"/>
    <d v="2023-07-03T19:05:59"/>
    <s v="N"/>
    <s v="Non Expert Disbursement - Private L"/>
    <s v="Non Expert Disbursement - Priv"/>
    <s v="Non Expert Disbursement"/>
    <s v="JOELYROBERTS"/>
    <s v="N"/>
    <n v="23.94"/>
    <n v="0"/>
    <x v="3"/>
    <s v="VALIDATED"/>
    <n v="1"/>
    <s v="01.11.80.307.2012.0000"/>
    <n v="23.94"/>
    <s v="11"/>
    <s v="2012"/>
    <n v="3350.14"/>
    <n v="23.94"/>
    <s v="CREDITOR"/>
    <n v="23.94"/>
    <n v="0"/>
    <n v="0"/>
    <n v="0"/>
    <n v="0"/>
  </r>
  <r>
    <n v="60392480"/>
    <s v="N"/>
    <n v="21338275"/>
    <s v="3000014681540010"/>
    <s v="CIVIL"/>
    <d v="2023-06-28T00:00:00"/>
    <d v="2023-07-06T19:21:01"/>
    <m/>
    <d v="2023-07-06T00:00:00"/>
    <n v="1317"/>
    <n v="20907"/>
    <s v="60392480"/>
    <s v="60392480"/>
    <m/>
    <m/>
    <n v="22780928"/>
    <m/>
    <m/>
    <m/>
    <s v="SOLFIN"/>
    <s v="SOLFIN"/>
    <s v="CCMS"/>
    <n v="21338275"/>
    <n v="3817.37"/>
    <m/>
    <s v="N"/>
    <n v="26"/>
    <d v="2023-07-06T19:21:16"/>
    <s v="Y"/>
    <s v="Attendance upon client"/>
    <s v="Prescribed Hourly Rates"/>
    <s v="Profit Cost"/>
    <s v="KPL"/>
    <s v="Y"/>
    <n v="32.94"/>
    <n v="6.59"/>
    <x v="4"/>
    <s v="VALIDATED"/>
    <n v="1"/>
    <s v="01.11.80.302.6100.0000"/>
    <n v="32.94"/>
    <s v="11"/>
    <s v="6100"/>
    <n v="3350.14"/>
    <n v="32.94"/>
    <s v="CREDITOR"/>
    <n v="0"/>
    <n v="0"/>
    <n v="0"/>
    <n v="0"/>
    <n v="32.94"/>
  </r>
  <r>
    <n v="60392480"/>
    <s v="N"/>
    <n v="21338275"/>
    <s v="3000014681540010"/>
    <s v="CIVIL"/>
    <d v="2023-06-28T00:00:00"/>
    <d v="2023-07-06T19:21:01"/>
    <m/>
    <d v="2023-07-06T00:00:00"/>
    <n v="1317"/>
    <n v="20907"/>
    <s v="60392480"/>
    <s v="60392480"/>
    <m/>
    <m/>
    <n v="22780928"/>
    <m/>
    <m/>
    <m/>
    <s v="SOLFIN"/>
    <s v="SOLFIN"/>
    <s v="CCMS"/>
    <n v="21338275"/>
    <n v="3817.37"/>
    <m/>
    <s v="N"/>
    <n v="57"/>
    <d v="2023-07-06T19:21:16"/>
    <s v="Y"/>
    <s v="Preparation - drafting consent orde"/>
    <s v="Prescribed Hourly Rates"/>
    <s v="Profit Cost"/>
    <s v="Curtis Booth"/>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7"/>
    <d v="2023-07-06T19:21:16"/>
    <s v="Y"/>
    <s v="Attendance upon client"/>
    <s v="Prescribed Hourly Rates"/>
    <s v="Profit Cost"/>
    <s v="KPL"/>
    <s v="Y"/>
    <n v="16.47"/>
    <n v="3.29"/>
    <x v="4"/>
    <s v="VALIDATED"/>
    <n v="1"/>
    <s v="01.11.80.302.6100.0000"/>
    <n v="16.47"/>
    <s v="11"/>
    <s v="6100"/>
    <n v="3350.14"/>
    <n v="16.47"/>
    <s v="CREDITOR"/>
    <n v="0"/>
    <n v="0"/>
    <n v="0"/>
    <n v="0"/>
    <n v="16.47"/>
  </r>
  <r>
    <n v="60392480"/>
    <s v="N"/>
    <n v="21338275"/>
    <s v="3000014681540010"/>
    <s v="CIVIL"/>
    <d v="2023-06-28T00:00:00"/>
    <d v="2023-07-06T19:21:01"/>
    <m/>
    <d v="2023-07-06T00:00:00"/>
    <n v="1317"/>
    <n v="20907"/>
    <s v="60392480"/>
    <s v="60392480"/>
    <m/>
    <m/>
    <n v="22780928"/>
    <m/>
    <m/>
    <m/>
    <s v="SOLFIN"/>
    <s v="SOLFIN"/>
    <s v="CCMS"/>
    <n v="21338275"/>
    <n v="3817.37"/>
    <m/>
    <s v="N"/>
    <n v="16"/>
    <d v="2023-07-06T19:21:16"/>
    <s v="Y"/>
    <s v="Preparation - drafting attendance n"/>
    <s v="Prescribed Hourly Rates"/>
    <s v="Profit Cost"/>
    <s v="Samantha Norse"/>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50"/>
    <d v="2023-07-06T19:21:16"/>
    <s v="Y"/>
    <s v="Preparation - drafting attendance n"/>
    <s v="Prescribed Hourly Rates"/>
    <s v="Profit Cost"/>
    <s v="Curtis Booth"/>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14"/>
    <d v="2023-07-06T19:21:16"/>
    <s v="Y"/>
    <s v="Preparation - drafting consent orde"/>
    <s v="Prescribed Hourly Rates"/>
    <s v="Profit Cost"/>
    <s v="CB"/>
    <s v="Y"/>
    <n v="5.49"/>
    <n v="1.1"/>
    <x v="4"/>
    <s v="VALIDATED"/>
    <n v="1"/>
    <s v="01.11.80.302.6100.0000"/>
    <n v="5.49"/>
    <s v="11"/>
    <s v="6100"/>
    <n v="3350.14"/>
    <n v="5.49"/>
    <s v="CREDITOR"/>
    <n v="0"/>
    <n v="0"/>
    <n v="0"/>
    <n v="0"/>
    <n v="5.49"/>
  </r>
  <r>
    <n v="16236873"/>
    <s v="N"/>
    <n v="21331379"/>
    <s v="3000007820110032"/>
    <s v="CIVIL"/>
    <d v="2023-06-25T00:00:00"/>
    <d v="2023-07-05T19:01:47"/>
    <m/>
    <d v="2023-07-05T00:00:00"/>
    <n v="1317"/>
    <n v="20907"/>
    <s v="16236873"/>
    <s v="16236873"/>
    <m/>
    <m/>
    <n v="22756904"/>
    <m/>
    <m/>
    <m/>
    <s v="SOLFIN"/>
    <s v="SOLFIN"/>
    <s v="CCMS"/>
    <n v="21331379"/>
    <n v="23746"/>
    <m/>
    <s v="N"/>
    <n v="3"/>
    <d v="2023-07-05T19:02:17"/>
    <s v="Y"/>
    <s v="Profit Costs (Summary)"/>
    <s v="Domestic Abuse"/>
    <s v="Profit Cost"/>
    <s v="RHB"/>
    <s v="Y"/>
    <n v="18601.78"/>
    <n v="3720.36"/>
    <x v="6"/>
    <s v="VALIDATED"/>
    <n v="1"/>
    <s v="01.11.80.307.6100.0000"/>
    <n v="18601.78"/>
    <s v="11"/>
    <s v="6100"/>
    <n v="3350.14"/>
    <n v="18601.78"/>
    <s v="CREDITOR"/>
    <n v="0"/>
    <n v="0"/>
    <n v="0"/>
    <n v="0"/>
    <n v="18601.78"/>
  </r>
  <r>
    <n v="62032107"/>
    <s v="N"/>
    <n v="21322424"/>
    <s v="3000016070400004"/>
    <s v="CIVIL"/>
    <d v="2023-06-29T00:00:00"/>
    <d v="2023-07-03T19:05:36"/>
    <m/>
    <d v="2023-07-03T00:00:00"/>
    <n v="1317"/>
    <n v="20907"/>
    <s v="62032107"/>
    <s v="62032107"/>
    <m/>
    <m/>
    <n v="22791676"/>
    <m/>
    <m/>
    <m/>
    <s v="SOLPOA"/>
    <s v="SOLPOA"/>
    <s v="CCMS"/>
    <n v="21322424"/>
    <n v="59.3"/>
    <m/>
    <s v="N"/>
    <n v="1"/>
    <d v="2023-07-03T19:05:38"/>
    <s v="N"/>
    <s v="Non Expert Disbursement - Private L"/>
    <s v="Non Expert Disbursement - Priv"/>
    <s v="Non Expert Disbursement"/>
    <s v="Rachael Pyke"/>
    <s v="N"/>
    <n v="59.3"/>
    <n v="0"/>
    <x v="3"/>
    <s v="VALIDATED"/>
    <n v="1"/>
    <s v="01.11.80.302.2012.0000"/>
    <n v="59.3"/>
    <s v="11"/>
    <s v="2012"/>
    <n v="3350.14"/>
    <n v="59.3"/>
    <s v="CREDITOR"/>
    <n v="59.3"/>
    <n v="0"/>
    <n v="0"/>
    <n v="0"/>
    <n v="0"/>
  </r>
  <r>
    <n v="60392480"/>
    <s v="N"/>
    <n v="21338275"/>
    <s v="3000014681540010"/>
    <s v="CIVIL"/>
    <d v="2023-06-28T00:00:00"/>
    <d v="2023-07-06T19:21:01"/>
    <m/>
    <d v="2023-07-06T00:00:00"/>
    <n v="1317"/>
    <n v="20907"/>
    <s v="60392480"/>
    <s v="60392480"/>
    <m/>
    <m/>
    <n v="22780928"/>
    <m/>
    <m/>
    <m/>
    <s v="SOLFIN"/>
    <s v="SOLFIN"/>
    <s v="CCMS"/>
    <n v="21338275"/>
    <n v="3817.37"/>
    <m/>
    <s v="N"/>
    <n v="41"/>
    <d v="2023-07-06T19:21:16"/>
    <s v="Y"/>
    <s v="Preparation - other"/>
    <s v="Prescribed Hourly Rates"/>
    <s v="Profit Cost"/>
    <s v="HW"/>
    <s v="Y"/>
    <n v="10.98"/>
    <n v="2.2"/>
    <x v="4"/>
    <s v="VALIDATED"/>
    <n v="1"/>
    <s v="01.11.80.302.6100.0000"/>
    <n v="10.98"/>
    <s v="11"/>
    <s v="6100"/>
    <n v="3350.14"/>
    <n v="10.98"/>
    <s v="CREDITOR"/>
    <n v="0"/>
    <n v="0"/>
    <n v="0"/>
    <n v="0"/>
    <n v="10.98"/>
  </r>
  <r>
    <n v="60960601"/>
    <s v="N"/>
    <n v="21330914"/>
    <s v="3000015169070006"/>
    <s v="CIVIL"/>
    <d v="2023-06-27T00:00:00"/>
    <d v="2023-07-05T19:01:47"/>
    <m/>
    <d v="2023-07-05T00:00:00"/>
    <n v="1317"/>
    <n v="20907"/>
    <s v="60960601"/>
    <s v="60960601"/>
    <m/>
    <m/>
    <n v="22772056"/>
    <m/>
    <m/>
    <m/>
    <s v="SOLFIN"/>
    <s v="SOLFIN"/>
    <s v="CCMS"/>
    <n v="21330914"/>
    <n v="4873.01"/>
    <m/>
    <s v="N"/>
    <n v="57"/>
    <d v="2023-07-05T19:01:56"/>
    <s v="Y"/>
    <s v="Hearing Unit 1.01 - 2.30 Hours"/>
    <s v="Private Law Children"/>
    <s v="Advocacy"/>
    <s v="Haris Qureshi"/>
    <s v="Y"/>
    <n v="156.74"/>
    <n v="31.35"/>
    <x v="6"/>
    <s v="VALIDATED"/>
    <n v="1"/>
    <s v="01.11.80.307.6100.0000"/>
    <n v="156.74"/>
    <s v="11"/>
    <s v="6100"/>
    <n v="3350.14"/>
    <n v="156.74"/>
    <s v="CREDITOR"/>
    <n v="0"/>
    <n v="0"/>
    <n v="0"/>
    <n v="0"/>
    <n v="156.74"/>
  </r>
  <r>
    <n v="60960601"/>
    <s v="N"/>
    <n v="21330914"/>
    <s v="3000015169070006"/>
    <s v="CIVIL"/>
    <d v="2023-06-27T00:00:00"/>
    <d v="2023-07-05T19:01:47"/>
    <m/>
    <d v="2023-07-05T00:00:00"/>
    <n v="1317"/>
    <n v="20907"/>
    <s v="60960601"/>
    <s v="60960601"/>
    <m/>
    <m/>
    <n v="22772056"/>
    <m/>
    <m/>
    <m/>
    <s v="SOLFIN"/>
    <s v="SOLFIN"/>
    <s v="CCMS"/>
    <n v="21330914"/>
    <n v="4873.01"/>
    <m/>
    <s v="N"/>
    <n v="24"/>
    <d v="2023-07-05T19:01:56"/>
    <s v="Y"/>
    <s v="Preparation - drafting bill/claim f"/>
    <s v="Prescribed Hourly Rates"/>
    <s v="Profit Cost"/>
    <s v="Samantha Norton"/>
    <s v="Y"/>
    <n v="10.98"/>
    <n v="2.2"/>
    <x v="6"/>
    <s v="VALIDATED"/>
    <n v="1"/>
    <s v="01.11.80.307.6100.0000"/>
    <n v="10.98"/>
    <s v="11"/>
    <s v="6100"/>
    <n v="3350.14"/>
    <n v="10.98"/>
    <s v="CREDITOR"/>
    <n v="0"/>
    <n v="0"/>
    <n v="0"/>
    <n v="0"/>
    <n v="10.98"/>
  </r>
  <r>
    <n v="60990368"/>
    <s v="N"/>
    <n v="21370125"/>
    <s v="3000015032540007"/>
    <s v="CIVIL"/>
    <d v="2023-06-30T00:00:00"/>
    <d v="2023-07-13T19:21:05"/>
    <m/>
    <d v="2023-07-13T00:00:00"/>
    <n v="1317"/>
    <n v="20907"/>
    <s v="60990368"/>
    <s v="60990368"/>
    <m/>
    <m/>
    <n v="22799366"/>
    <m/>
    <m/>
    <m/>
    <s v="SOLFIN"/>
    <s v="SOLFIN"/>
    <s v="CCMS"/>
    <n v="21370125"/>
    <n v="1536.76"/>
    <m/>
    <s v="N"/>
    <n v="5"/>
    <d v="2023-07-13T19:21:15"/>
    <s v="Y"/>
    <s v="Hearing Unit 1.01 - 2.30 Hours"/>
    <s v="Private Law Children"/>
    <s v="Advocacy"/>
    <s v="Rachael Pyke"/>
    <s v="Y"/>
    <n v="172.4"/>
    <n v="34.48"/>
    <x v="11"/>
    <s v="VALIDATED"/>
    <n v="1"/>
    <s v="01.11.80.307.6100.0000"/>
    <n v="172.4"/>
    <s v="11"/>
    <s v="6100"/>
    <n v="3350.14"/>
    <n v="172.4"/>
    <s v="CREDITOR"/>
    <n v="0"/>
    <n v="0"/>
    <n v="0"/>
    <n v="0"/>
    <n v="172.4"/>
  </r>
  <r>
    <n v="60392480"/>
    <s v="N"/>
    <n v="21338275"/>
    <s v="3000014681540010"/>
    <s v="CIVIL"/>
    <d v="2023-06-28T00:00:00"/>
    <d v="2023-07-06T19:21:01"/>
    <m/>
    <d v="2023-07-06T00:00:00"/>
    <n v="1317"/>
    <n v="20907"/>
    <s v="60392480"/>
    <s v="60392480"/>
    <m/>
    <m/>
    <n v="22780928"/>
    <m/>
    <m/>
    <m/>
    <s v="SOLFIN"/>
    <s v="SOLFIN"/>
    <s v="CCMS"/>
    <n v="21338275"/>
    <n v="3817.37"/>
    <m/>
    <s v="N"/>
    <n v="55"/>
    <d v="2023-07-06T19:21:16"/>
    <s v="Y"/>
    <s v="Preparation - drafting attendance n"/>
    <s v="Prescribed Hourly Rates"/>
    <s v="Profit Cost"/>
    <s v="KPL"/>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12"/>
    <d v="2023-07-06T19:21:16"/>
    <s v="Y"/>
    <s v="Preparation - drafting attendance n"/>
    <s v="Prescribed Hourly Rates"/>
    <s v="Profit Cost"/>
    <s v="KPL"/>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49"/>
    <d v="2023-07-06T19:21:16"/>
    <s v="Y"/>
    <s v="Routine Letter Out"/>
    <s v="Prescribed Hourly Rates"/>
    <s v="Profit Cost"/>
    <s v="KPL"/>
    <s v="Y"/>
    <n v="783"/>
    <n v="156.56"/>
    <x v="4"/>
    <s v="VALIDATED"/>
    <n v="1"/>
    <s v="01.11.80.302.6100.0000"/>
    <n v="783"/>
    <s v="11"/>
    <s v="6100"/>
    <n v="3350.14"/>
    <n v="783"/>
    <s v="CREDITOR"/>
    <n v="0"/>
    <n v="0"/>
    <n v="0"/>
    <n v="0"/>
    <n v="783"/>
  </r>
  <r>
    <n v="60392480"/>
    <s v="N"/>
    <n v="21338275"/>
    <s v="3000014681540010"/>
    <s v="CIVIL"/>
    <d v="2023-06-28T00:00:00"/>
    <d v="2023-07-06T19:21:01"/>
    <m/>
    <d v="2023-07-06T00:00:00"/>
    <n v="1317"/>
    <n v="20907"/>
    <s v="60392480"/>
    <s v="60392480"/>
    <m/>
    <m/>
    <n v="22780928"/>
    <m/>
    <m/>
    <m/>
    <s v="SOLFIN"/>
    <s v="SOLFIN"/>
    <s v="CCMS"/>
    <n v="21338275"/>
    <n v="3817.37"/>
    <m/>
    <s v="N"/>
    <n v="54"/>
    <d v="2023-07-06T19:21:16"/>
    <s v="Y"/>
    <s v="Attendance upon client"/>
    <s v="Prescribed Hourly Rates"/>
    <s v="Profit Cost"/>
    <s v="KPL"/>
    <s v="Y"/>
    <n v="79.06"/>
    <n v="15.81"/>
    <x v="4"/>
    <s v="VALIDATED"/>
    <n v="1"/>
    <s v="01.11.80.302.6100.0000"/>
    <n v="79.06"/>
    <s v="11"/>
    <s v="6100"/>
    <n v="3350.14"/>
    <n v="79.06"/>
    <s v="CREDITOR"/>
    <n v="0"/>
    <n v="0"/>
    <n v="0"/>
    <n v="0"/>
    <n v="79.06"/>
  </r>
  <r>
    <n v="60392480"/>
    <s v="N"/>
    <n v="21338275"/>
    <s v="3000014681540010"/>
    <s v="CIVIL"/>
    <d v="2023-06-28T00:00:00"/>
    <d v="2023-07-06T19:21:01"/>
    <m/>
    <d v="2023-07-06T00:00:00"/>
    <n v="1317"/>
    <n v="20907"/>
    <s v="60392480"/>
    <s v="60392480"/>
    <m/>
    <m/>
    <n v="22780928"/>
    <m/>
    <m/>
    <m/>
    <s v="SOLFIN"/>
    <s v="SOLFIN"/>
    <s v="CCMS"/>
    <n v="21338275"/>
    <n v="3817.37"/>
    <m/>
    <s v="N"/>
    <n v="19"/>
    <d v="2023-07-06T19:21:16"/>
    <s v="Y"/>
    <s v="Preparation - drafting instructions"/>
    <s v="Prescribed Hourly Rates"/>
    <s v="Profit Cost"/>
    <s v="KPL"/>
    <s v="Y"/>
    <n v="27.45"/>
    <n v="5.49"/>
    <x v="4"/>
    <s v="VALIDATED"/>
    <n v="1"/>
    <s v="01.11.80.302.6100.0000"/>
    <n v="27.45"/>
    <s v="11"/>
    <s v="6100"/>
    <n v="3350.14"/>
    <n v="27.45"/>
    <s v="CREDITOR"/>
    <n v="0"/>
    <n v="0"/>
    <n v="0"/>
    <n v="0"/>
    <n v="27.45"/>
  </r>
  <r>
    <n v="60960601"/>
    <s v="N"/>
    <n v="21330914"/>
    <s v="3000015169070006"/>
    <s v="CIVIL"/>
    <d v="2023-06-27T00:00:00"/>
    <d v="2023-07-05T19:01:47"/>
    <m/>
    <d v="2023-07-05T00:00:00"/>
    <n v="1317"/>
    <n v="20907"/>
    <s v="60960601"/>
    <s v="60960601"/>
    <m/>
    <m/>
    <n v="22772056"/>
    <m/>
    <m/>
    <m/>
    <s v="SOLFIN"/>
    <s v="SOLFIN"/>
    <s v="CCMS"/>
    <n v="21330914"/>
    <n v="4873.01"/>
    <m/>
    <s v="N"/>
    <n v="14"/>
    <d v="2023-07-05T19:01:56"/>
    <s v="Y"/>
    <s v="Preparation - drafting consent orde"/>
    <s v="Prescribed Hourly Rates"/>
    <s v="Profit Cost"/>
    <s v="AH"/>
    <s v="Y"/>
    <n v="10.98"/>
    <n v="2.2"/>
    <x v="6"/>
    <s v="VALIDATED"/>
    <n v="1"/>
    <s v="01.11.80.307.6100.0000"/>
    <n v="10.98"/>
    <s v="11"/>
    <s v="6100"/>
    <n v="3350.14"/>
    <n v="10.98"/>
    <s v="CREDITOR"/>
    <n v="0"/>
    <n v="0"/>
    <n v="0"/>
    <n v="0"/>
    <n v="10.98"/>
  </r>
  <r>
    <n v="62057185"/>
    <s v="N"/>
    <n v="21323228"/>
    <s v="3000016091360006"/>
    <s v="CIVIL"/>
    <d v="2023-06-30T00:00:00"/>
    <d v="2023-07-03T19:05:56"/>
    <m/>
    <d v="2023-07-03T00:00:00"/>
    <n v="1317"/>
    <n v="20907"/>
    <s v="62057185"/>
    <s v="62057185"/>
    <m/>
    <m/>
    <n v="22799442"/>
    <m/>
    <m/>
    <m/>
    <s v="SOLPOA"/>
    <s v="SOLPOA"/>
    <s v="CCMS"/>
    <n v="21323228"/>
    <n v="7.9"/>
    <m/>
    <s v="N"/>
    <n v="1"/>
    <d v="2023-07-03T19:05:56"/>
    <s v="N"/>
    <s v="Non Expert Disbursement - Private L"/>
    <s v="Non Expert Disbursement - Priv"/>
    <s v="Non Expert Disbursement"/>
    <s v="JOELYROBERTS"/>
    <s v="N"/>
    <n v="7.9"/>
    <n v="0"/>
    <x v="3"/>
    <s v="VALIDATED"/>
    <n v="1"/>
    <s v="01.11.80.307.2012.0000"/>
    <n v="7.9"/>
    <s v="11"/>
    <s v="2012"/>
    <n v="3350.14"/>
    <n v="7.9"/>
    <s v="CREDITOR"/>
    <n v="7.9"/>
    <n v="0"/>
    <n v="0"/>
    <n v="0"/>
    <n v="0"/>
  </r>
  <r>
    <n v="61100683"/>
    <s v="N"/>
    <n v="21350018"/>
    <s v="3000015282670013"/>
    <s v="CIVIL"/>
    <d v="2023-06-30T00:00:00"/>
    <d v="2023-07-10T19:01:40"/>
    <m/>
    <d v="2023-07-10T00:00:00"/>
    <n v="1317"/>
    <n v="20907"/>
    <s v="61100683"/>
    <s v="61100683"/>
    <m/>
    <m/>
    <n v="22798738"/>
    <m/>
    <m/>
    <m/>
    <s v="SOLINT"/>
    <s v="SOLINT"/>
    <s v="CCMS"/>
    <n v="21350018"/>
    <n v="608.4"/>
    <m/>
    <s v="N"/>
    <n v="1"/>
    <d v="2023-07-10T19:02:09"/>
    <s v="Y"/>
    <s v="Level 4 Fixed Fee"/>
    <s v="Domestic Abuse"/>
    <s v="Profit Cost"/>
    <s v="Kalya Parker-Livesey"/>
    <s v="Y"/>
    <n v="507"/>
    <n v="101.4"/>
    <x v="2"/>
    <s v="VALIDATED"/>
    <n v="1"/>
    <s v="01.11.80.307.6100.0000"/>
    <n v="507"/>
    <s v="11"/>
    <s v="6100"/>
    <n v="3350.14"/>
    <n v="507"/>
    <s v="CREDITOR"/>
    <n v="0"/>
    <n v="0"/>
    <n v="0"/>
    <n v="0"/>
    <n v="507"/>
  </r>
  <r>
    <n v="60723628"/>
    <s v="N"/>
    <n v="21338585"/>
    <s v="3000014967630011"/>
    <s v="CIVIL"/>
    <d v="2023-06-29T00:00:00"/>
    <d v="2023-07-06T19:21:01"/>
    <m/>
    <d v="2023-07-06T00:00:00"/>
    <n v="1317"/>
    <n v="20907"/>
    <s v="60723628"/>
    <s v="60723628"/>
    <m/>
    <m/>
    <n v="22790072"/>
    <m/>
    <m/>
    <m/>
    <s v="SOLFIN"/>
    <s v="SOLFIN"/>
    <s v="CCMS"/>
    <n v="21338585"/>
    <n v="3167.04"/>
    <m/>
    <s v="N"/>
    <n v="1"/>
    <d v="2023-07-06T19:21:29"/>
    <s v="Y"/>
    <s v="Toxicologist"/>
    <s v="Public Law Children"/>
    <s v="Expert Disbursement"/>
    <s v="Khansa Taha"/>
    <s v="Y"/>
    <n v="396.6"/>
    <n v="79.31999999999999"/>
    <x v="4"/>
    <s v="VALIDATED"/>
    <n v="1"/>
    <s v="01.11.80.308.6300.0000"/>
    <n v="396.6"/>
    <s v="11"/>
    <s v="6300"/>
    <n v="3350.14"/>
    <n v="396.6"/>
    <s v="CREDITOR"/>
    <n v="0"/>
    <n v="0"/>
    <n v="0"/>
    <n v="0"/>
    <n v="396.6"/>
  </r>
  <r>
    <n v="60392480"/>
    <s v="N"/>
    <n v="21338275"/>
    <s v="3000014681540010"/>
    <s v="CIVIL"/>
    <d v="2023-06-28T00:00:00"/>
    <d v="2023-07-06T19:21:01"/>
    <m/>
    <d v="2023-07-06T00:00:00"/>
    <n v="1317"/>
    <n v="20907"/>
    <s v="60392480"/>
    <s v="60392480"/>
    <m/>
    <m/>
    <n v="22780928"/>
    <m/>
    <m/>
    <m/>
    <s v="SOLFIN"/>
    <s v="SOLFIN"/>
    <s v="CCMS"/>
    <n v="21338275"/>
    <n v="3817.37"/>
    <m/>
    <s v="N"/>
    <n v="51"/>
    <d v="2023-07-06T19:21:16"/>
    <s v="Y"/>
    <s v="Preparation - other"/>
    <s v="Prescribed Hourly Rates"/>
    <s v="Profit Cost"/>
    <s v="KPL"/>
    <s v="Y"/>
    <n v="12.63"/>
    <n v="2.53"/>
    <x v="4"/>
    <s v="VALIDATED"/>
    <n v="1"/>
    <s v="01.11.80.302.6100.0000"/>
    <n v="12.63"/>
    <s v="11"/>
    <s v="6100"/>
    <n v="3350.14"/>
    <n v="12.63"/>
    <s v="CREDITOR"/>
    <n v="0"/>
    <n v="0"/>
    <n v="0"/>
    <n v="0"/>
    <n v="12.63"/>
  </r>
  <r>
    <n v="60392480"/>
    <s v="N"/>
    <n v="21338275"/>
    <s v="3000014681540010"/>
    <s v="CIVIL"/>
    <d v="2023-06-28T00:00:00"/>
    <d v="2023-07-06T19:21:01"/>
    <m/>
    <d v="2023-07-06T00:00:00"/>
    <n v="1317"/>
    <n v="20907"/>
    <s v="60392480"/>
    <s v="60392480"/>
    <m/>
    <m/>
    <n v="22780928"/>
    <m/>
    <m/>
    <m/>
    <s v="SOLFIN"/>
    <s v="SOLFIN"/>
    <s v="CCMS"/>
    <n v="21338275"/>
    <n v="3817.37"/>
    <m/>
    <s v="N"/>
    <n v="21"/>
    <d v="2023-07-06T19:21:16"/>
    <s v="Y"/>
    <s v="Preparation - drafting pleadings"/>
    <s v="Prescribed Hourly Rates"/>
    <s v="Profit Cost"/>
    <s v="Samantha Norse"/>
    <s v="Y"/>
    <n v="10.98"/>
    <n v="2.2"/>
    <x v="4"/>
    <s v="VALIDATED"/>
    <n v="1"/>
    <s v="01.11.80.302.6100.0000"/>
    <n v="10.98"/>
    <s v="11"/>
    <s v="6100"/>
    <n v="3350.14"/>
    <n v="10.98"/>
    <s v="CREDITOR"/>
    <n v="0"/>
    <n v="0"/>
    <n v="0"/>
    <n v="0"/>
    <n v="10.98"/>
  </r>
  <r>
    <n v="60960601"/>
    <s v="N"/>
    <n v="21330914"/>
    <s v="3000015169070006"/>
    <s v="CIVIL"/>
    <d v="2023-06-27T00:00:00"/>
    <d v="2023-07-05T19:01:47"/>
    <m/>
    <d v="2023-07-05T00:00:00"/>
    <n v="1317"/>
    <n v="20907"/>
    <s v="60960601"/>
    <s v="60960601"/>
    <m/>
    <m/>
    <n v="22772056"/>
    <m/>
    <m/>
    <m/>
    <s v="SOLFIN"/>
    <s v="SOLFIN"/>
    <s v="CCMS"/>
    <n v="21330914"/>
    <n v="4873.01"/>
    <m/>
    <s v="N"/>
    <n v="10"/>
    <d v="2023-07-05T19:01:56"/>
    <s v="Y"/>
    <s v="Preparation - other"/>
    <s v="Prescribed Hourly Rates"/>
    <s v="Profit Cost"/>
    <s v="AH"/>
    <s v="Y"/>
    <n v="5.49"/>
    <n v="1.1"/>
    <x v="6"/>
    <s v="VALIDATED"/>
    <n v="1"/>
    <s v="01.11.80.307.6100.0000"/>
    <n v="5.49"/>
    <s v="11"/>
    <s v="6100"/>
    <n v="3350.14"/>
    <n v="5.49"/>
    <s v="CREDITOR"/>
    <n v="0"/>
    <n v="0"/>
    <n v="0"/>
    <n v="0"/>
    <n v="5.49"/>
  </r>
  <r>
    <n v="60960601"/>
    <s v="N"/>
    <n v="21330914"/>
    <s v="3000015169070006"/>
    <s v="CIVIL"/>
    <d v="2023-06-27T00:00:00"/>
    <d v="2023-07-05T19:01:47"/>
    <m/>
    <d v="2023-07-05T00:00:00"/>
    <n v="1317"/>
    <n v="20907"/>
    <s v="60960601"/>
    <s v="60960601"/>
    <m/>
    <m/>
    <n v="22772056"/>
    <m/>
    <m/>
    <m/>
    <s v="SOLFIN"/>
    <s v="SOLFIN"/>
    <s v="CCMS"/>
    <n v="21330914"/>
    <n v="4873.01"/>
    <m/>
    <s v="N"/>
    <n v="40"/>
    <d v="2023-07-05T19:01:56"/>
    <s v="Y"/>
    <s v="Preparation - drafting bill/claim f"/>
    <s v="Prescribed Hourly Rates"/>
    <s v="Profit Cost"/>
    <s v="Samantha Norse"/>
    <s v="Y"/>
    <n v="10.98"/>
    <n v="2.2"/>
    <x v="6"/>
    <s v="VALIDATED"/>
    <n v="1"/>
    <s v="01.11.80.307.6100.0000"/>
    <n v="10.98"/>
    <s v="11"/>
    <s v="6100"/>
    <n v="3350.14"/>
    <n v="10.98"/>
    <s v="CREDITOR"/>
    <n v="0"/>
    <n v="0"/>
    <n v="0"/>
    <n v="0"/>
    <n v="10.98"/>
  </r>
  <r>
    <n v="61362497"/>
    <s v="N"/>
    <n v="21318523"/>
    <s v="3000015510680014"/>
    <s v="CIVIL"/>
    <d v="2023-06-23T00:00:00"/>
    <d v="2023-07-03T19:01:49"/>
    <m/>
    <d v="2023-07-03T00:00:00"/>
    <n v="1317"/>
    <n v="20907"/>
    <s v="61362497"/>
    <s v="61362497"/>
    <m/>
    <m/>
    <n v="22751612"/>
    <m/>
    <m/>
    <m/>
    <s v="SOLPOA"/>
    <s v="SOLPOA"/>
    <s v="CCMS"/>
    <n v="21318523"/>
    <n v="53"/>
    <m/>
    <s v="N"/>
    <n v="1"/>
    <d v="2023-07-03T19:01:58"/>
    <s v="N"/>
    <s v="Non Expert Disbursement - Private L"/>
    <s v="Non Expert Disbursement - Priv"/>
    <s v="Non Expert Disbursement"/>
    <s v="Beth Hothersall"/>
    <s v="N"/>
    <n v="53"/>
    <n v="0"/>
    <x v="3"/>
    <s v="VALIDATED"/>
    <n v="1"/>
    <s v="01.11.80.302.2012.0000"/>
    <n v="53"/>
    <s v="11"/>
    <s v="2012"/>
    <n v="3350.14"/>
    <n v="53"/>
    <s v="CREDITOR"/>
    <n v="53"/>
    <n v="0"/>
    <n v="0"/>
    <n v="0"/>
    <n v="0"/>
  </r>
  <r>
    <n v="60392480"/>
    <s v="N"/>
    <n v="21338275"/>
    <s v="3000014681540010"/>
    <s v="CIVIL"/>
    <d v="2023-06-28T00:00:00"/>
    <d v="2023-07-06T19:21:01"/>
    <m/>
    <d v="2023-07-06T00:00:00"/>
    <n v="1317"/>
    <n v="20907"/>
    <s v="60392480"/>
    <s v="60392480"/>
    <m/>
    <m/>
    <n v="22780928"/>
    <m/>
    <m/>
    <m/>
    <s v="SOLFIN"/>
    <s v="SOLFIN"/>
    <s v="CCMS"/>
    <n v="21338275"/>
    <n v="3817.37"/>
    <m/>
    <s v="N"/>
    <n v="56"/>
    <d v="2023-07-06T19:21:16"/>
    <s v="Y"/>
    <s v="Attendance upon client"/>
    <s v="Prescribed Hourly Rates"/>
    <s v="Profit Cost"/>
    <s v="Curtis Booth"/>
    <s v="Y"/>
    <n v="39.53"/>
    <n v="7.91"/>
    <x v="4"/>
    <s v="VALIDATED"/>
    <n v="1"/>
    <s v="01.11.80.302.6100.0000"/>
    <n v="39.53"/>
    <s v="11"/>
    <s v="6100"/>
    <n v="3350.14"/>
    <n v="39.53"/>
    <s v="CREDITOR"/>
    <n v="0"/>
    <n v="0"/>
    <n v="0"/>
    <n v="0"/>
    <n v="39.53"/>
  </r>
  <r>
    <n v="16236873"/>
    <s v="N"/>
    <n v="21331379"/>
    <s v="3000007820110032"/>
    <s v="CIVIL"/>
    <d v="2023-06-25T00:00:00"/>
    <d v="2023-07-05T19:01:47"/>
    <m/>
    <d v="2023-07-05T00:00:00"/>
    <n v="1317"/>
    <n v="20907"/>
    <s v="16236873"/>
    <s v="16236873"/>
    <m/>
    <m/>
    <n v="22756904"/>
    <m/>
    <m/>
    <m/>
    <s v="SOLFIN"/>
    <s v="SOLFIN"/>
    <s v="CCMS"/>
    <n v="21331379"/>
    <n v="23746"/>
    <m/>
    <s v="N"/>
    <n v="11"/>
    <d v="2023-07-05T19:02:17"/>
    <s v="Y"/>
    <s v="Process server"/>
    <s v="Domestic Abuse"/>
    <s v="Expert Disbursement"/>
    <s v="RHB"/>
    <s v="Y"/>
    <n v="123.6"/>
    <n v="0"/>
    <x v="6"/>
    <s v="VALIDATED"/>
    <n v="1"/>
    <s v="01.11.80.307.6300.0000"/>
    <n v="123.6"/>
    <s v="11"/>
    <s v="6300"/>
    <n v="3350.14"/>
    <n v="123.6"/>
    <s v="CREDITOR"/>
    <n v="0"/>
    <n v="0"/>
    <n v="0"/>
    <n v="0"/>
    <n v="123.6"/>
  </r>
  <r>
    <n v="60811304"/>
    <s v="N"/>
    <n v="21331156"/>
    <s v="3000015042280019"/>
    <s v="CIVIL"/>
    <d v="2023-06-26T00:00:00"/>
    <d v="2023-07-05T19:01:47"/>
    <m/>
    <d v="2023-07-05T00:00:00"/>
    <n v="1317"/>
    <n v="20907"/>
    <s v="60811304"/>
    <s v="60811304"/>
    <m/>
    <m/>
    <n v="22759586"/>
    <m/>
    <m/>
    <m/>
    <s v="SOLINT"/>
    <s v="SOLINT"/>
    <s v="CCMS"/>
    <n v="21331156"/>
    <n v="9076.25"/>
    <m/>
    <s v="N"/>
    <n v="11"/>
    <d v="2023-07-05T19:02:08"/>
    <s v="Y"/>
    <s v="Hearing Unit 2.31 - 5.00 Hours"/>
    <s v="Private Law Children"/>
    <s v="Advocacy"/>
    <s v="Curtis Booth"/>
    <s v="Y"/>
    <n v="344.8"/>
    <n v="68.95999999999999"/>
    <x v="6"/>
    <s v="VALIDATED"/>
    <n v="1"/>
    <s v="01.11.80.307.6100.0000"/>
    <n v="344.8"/>
    <s v="11"/>
    <s v="6100"/>
    <n v="3350.14"/>
    <n v="344.8"/>
    <s v="CREDITOR"/>
    <n v="0"/>
    <n v="0"/>
    <n v="0"/>
    <n v="0"/>
    <n v="344.8"/>
  </r>
  <r>
    <n v="61022629"/>
    <s v="N"/>
    <n v="21338418"/>
    <s v="3000015152050011"/>
    <s v="CIVIL"/>
    <d v="2023-06-28T00:00:00"/>
    <d v="2023-07-06T19:21:01"/>
    <m/>
    <d v="2023-07-06T00:00:00"/>
    <n v="1317"/>
    <n v="20907"/>
    <s v="61022629"/>
    <s v="61022629"/>
    <m/>
    <m/>
    <n v="22776434"/>
    <m/>
    <m/>
    <m/>
    <s v="SOLINT"/>
    <s v="SOLINT"/>
    <s v="CCMS"/>
    <n v="21338418"/>
    <n v="0"/>
    <m/>
    <s v="N"/>
    <n v="1"/>
    <d v="2023-07-06T19:21:24"/>
    <s v="N"/>
    <s v="NIL BILL"/>
    <s v="Domestic Abuse"/>
    <s v="Profit Cost"/>
    <s v="Zoe Allen"/>
    <s v="N"/>
    <n v="0"/>
    <n v="0"/>
    <x v="4"/>
    <s v="VALIDATED"/>
    <n v="1"/>
    <s v="01.11.80.307.6100.0000"/>
    <n v="0"/>
    <s v="11"/>
    <s v="6100"/>
    <n v="3350.14"/>
    <n v="0"/>
    <s v="CREDITOR"/>
    <n v="0"/>
    <n v="0"/>
    <n v="0"/>
    <n v="0"/>
    <n v="0"/>
  </r>
  <r>
    <n v="60960601"/>
    <s v="N"/>
    <n v="21330914"/>
    <s v="3000015169070006"/>
    <s v="CIVIL"/>
    <d v="2023-06-27T00:00:00"/>
    <d v="2023-07-05T19:01:47"/>
    <m/>
    <d v="2023-07-05T00:00:00"/>
    <n v="1317"/>
    <n v="20907"/>
    <s v="60960601"/>
    <s v="60960601"/>
    <m/>
    <m/>
    <n v="22772056"/>
    <m/>
    <m/>
    <m/>
    <s v="SOLFIN"/>
    <s v="SOLFIN"/>
    <s v="CCMS"/>
    <n v="21330914"/>
    <n v="4873.01"/>
    <m/>
    <s v="N"/>
    <n v="52"/>
    <d v="2023-07-05T19:01:56"/>
    <s v="Y"/>
    <s v="Toxicologist"/>
    <s v="Prescribed Hourly Rates"/>
    <s v="Expert Disbursement"/>
    <s v="Haris Qureshi"/>
    <s v="Y"/>
    <n v="1308.2"/>
    <n v="261.61"/>
    <x v="6"/>
    <s v="VALIDATED"/>
    <n v="1"/>
    <s v="01.11.80.307.6300.0000"/>
    <n v="1308.2"/>
    <s v="11"/>
    <s v="6300"/>
    <n v="3350.14"/>
    <n v="1308.2"/>
    <s v="CREDITOR"/>
    <n v="0"/>
    <n v="0"/>
    <n v="0"/>
    <n v="0"/>
    <n v="1308.2"/>
  </r>
  <r>
    <n v="60960601"/>
    <s v="N"/>
    <n v="21330914"/>
    <s v="3000015169070006"/>
    <s v="CIVIL"/>
    <d v="2023-06-27T00:00:00"/>
    <d v="2023-07-05T19:01:47"/>
    <m/>
    <d v="2023-07-05T00:00:00"/>
    <n v="1317"/>
    <n v="20907"/>
    <s v="60960601"/>
    <s v="60960601"/>
    <m/>
    <m/>
    <n v="22772056"/>
    <m/>
    <m/>
    <m/>
    <s v="SOLFIN"/>
    <s v="SOLFIN"/>
    <s v="CCMS"/>
    <n v="21330914"/>
    <n v="4873.01"/>
    <m/>
    <s v="N"/>
    <n v="19"/>
    <d v="2023-07-05T19:01:56"/>
    <s v="Y"/>
    <s v="Preparation - drafting pleadings"/>
    <s v="Prescribed Hourly Rates"/>
    <s v="Profit Cost"/>
    <s v="AH"/>
    <s v="Y"/>
    <n v="13.73"/>
    <n v="2.75"/>
    <x v="6"/>
    <s v="VALIDATED"/>
    <n v="1"/>
    <s v="01.11.80.307.6100.0000"/>
    <n v="13.73"/>
    <s v="11"/>
    <s v="6100"/>
    <n v="3350.14"/>
    <n v="13.73"/>
    <s v="CREDITOR"/>
    <n v="0"/>
    <n v="0"/>
    <n v="0"/>
    <n v="0"/>
    <n v="13.73"/>
  </r>
  <r>
    <n v="60960601"/>
    <s v="N"/>
    <n v="21330914"/>
    <s v="3000015169070006"/>
    <s v="CIVIL"/>
    <d v="2023-06-27T00:00:00"/>
    <d v="2023-07-05T19:01:47"/>
    <m/>
    <d v="2023-07-05T00:00:00"/>
    <n v="1317"/>
    <n v="20907"/>
    <s v="60960601"/>
    <s v="60960601"/>
    <m/>
    <m/>
    <n v="22772056"/>
    <m/>
    <m/>
    <m/>
    <s v="SOLFIN"/>
    <s v="SOLFIN"/>
    <s v="CCMS"/>
    <n v="21330914"/>
    <n v="4873.01"/>
    <m/>
    <s v="N"/>
    <n v="45"/>
    <d v="2023-07-05T19:01:56"/>
    <s v="Y"/>
    <s v="Preparation - other"/>
    <s v="Prescribed Hourly Rates"/>
    <s v="Profit Cost"/>
    <s v="Katie Cook"/>
    <s v="Y"/>
    <n v="27.45"/>
    <n v="5.49"/>
    <x v="6"/>
    <s v="VALIDATED"/>
    <n v="1"/>
    <s v="01.11.80.307.6100.0000"/>
    <n v="27.45"/>
    <s v="11"/>
    <s v="6100"/>
    <n v="3350.14"/>
    <n v="27.45"/>
    <s v="CREDITOR"/>
    <n v="0"/>
    <n v="0"/>
    <n v="0"/>
    <n v="0"/>
    <n v="27.45"/>
  </r>
  <r>
    <n v="60811304"/>
    <s v="N"/>
    <n v="21331156"/>
    <s v="3000015042280019"/>
    <s v="CIVIL"/>
    <d v="2023-06-26T00:00:00"/>
    <d v="2023-07-05T19:01:47"/>
    <m/>
    <d v="2023-07-05T00:00:00"/>
    <n v="1317"/>
    <n v="20907"/>
    <s v="60811304"/>
    <s v="60811304"/>
    <m/>
    <m/>
    <n v="22759586"/>
    <m/>
    <m/>
    <m/>
    <s v="SOLINT"/>
    <s v="SOLINT"/>
    <s v="CCMS"/>
    <n v="21331156"/>
    <n v="9076.25"/>
    <m/>
    <s v="N"/>
    <n v="3"/>
    <d v="2023-07-05T19:02:08"/>
    <s v="Y"/>
    <s v="Toxicologist"/>
    <s v="Private Law Children"/>
    <s v="Expert Disbursement"/>
    <s v="Curtis Booth"/>
    <s v="Y"/>
    <n v="1717"/>
    <n v="343.4"/>
    <x v="6"/>
    <s v="VALIDATED"/>
    <n v="1"/>
    <s v="01.11.80.307.6300.0000"/>
    <n v="1717"/>
    <s v="11"/>
    <s v="6300"/>
    <n v="3350.14"/>
    <n v="1717"/>
    <s v="CREDITOR"/>
    <n v="0"/>
    <n v="0"/>
    <n v="0"/>
    <n v="0"/>
    <n v="1717"/>
  </r>
  <r>
    <n v="61061544"/>
    <s v="N"/>
    <n v="21322015"/>
    <s v="3000015259480012"/>
    <s v="CIVIL"/>
    <d v="2023-06-28T00:00:00"/>
    <d v="2023-07-03T19:05:17"/>
    <m/>
    <d v="2023-07-03T00:00:00"/>
    <n v="1317"/>
    <n v="20907"/>
    <s v="61061544"/>
    <s v="61061544"/>
    <m/>
    <m/>
    <n v="22783696"/>
    <m/>
    <m/>
    <m/>
    <s v="SOLPOA"/>
    <s v="SOLPOA"/>
    <s v="CCMS"/>
    <n v="21322015"/>
    <n v="339.82"/>
    <m/>
    <s v="N"/>
    <n v="1"/>
    <d v="2023-07-03T19:05:22"/>
    <s v="N"/>
    <s v="Expert Cost"/>
    <s v="Expert Cost"/>
    <s v="Expert Disbursement"/>
    <s v="Khansa Taha"/>
    <s v="N"/>
    <n v="339.82"/>
    <n v="0"/>
    <x v="3"/>
    <s v="VALIDATED"/>
    <n v="1"/>
    <s v="01.11.80.308.2012.0000"/>
    <n v="339.82"/>
    <s v="11"/>
    <s v="2012"/>
    <n v="3350.14"/>
    <n v="339.82"/>
    <s v="CREDITOR"/>
    <n v="339.82"/>
    <n v="0"/>
    <n v="0"/>
    <n v="0"/>
    <n v="0"/>
  </r>
  <r>
    <n v="60392480"/>
    <s v="N"/>
    <n v="21338275"/>
    <s v="3000014681540010"/>
    <s v="CIVIL"/>
    <d v="2023-06-28T00:00:00"/>
    <d v="2023-07-06T19:21:01"/>
    <m/>
    <d v="2023-07-06T00:00:00"/>
    <n v="1317"/>
    <n v="20907"/>
    <s v="60392480"/>
    <s v="60392480"/>
    <m/>
    <m/>
    <n v="22780928"/>
    <m/>
    <m/>
    <m/>
    <s v="SOLFIN"/>
    <s v="SOLFIN"/>
    <s v="CCMS"/>
    <n v="21338275"/>
    <n v="3817.37"/>
    <m/>
    <s v="N"/>
    <n v="38"/>
    <d v="2023-07-06T19:21:16"/>
    <s v="Y"/>
    <s v="Preparation - drafting attendance n"/>
    <s v="Prescribed Hourly Rates"/>
    <s v="Profit Cost"/>
    <s v="KPL"/>
    <s v="Y"/>
    <n v="5.49"/>
    <n v="1.1"/>
    <x v="4"/>
    <s v="VALIDATED"/>
    <n v="1"/>
    <s v="01.11.80.302.6100.0000"/>
    <n v="5.49"/>
    <s v="11"/>
    <s v="6100"/>
    <n v="3350.14"/>
    <n v="5.49"/>
    <s v="CREDITOR"/>
    <n v="0"/>
    <n v="0"/>
    <n v="0"/>
    <n v="0"/>
    <n v="5.49"/>
  </r>
  <r>
    <n v="60723628"/>
    <s v="N"/>
    <n v="21338585"/>
    <s v="3000014967630011"/>
    <s v="CIVIL"/>
    <d v="2023-06-29T00:00:00"/>
    <d v="2023-07-06T19:21:01"/>
    <m/>
    <d v="2023-07-06T00:00:00"/>
    <n v="1317"/>
    <n v="20907"/>
    <s v="60723628"/>
    <s v="60723628"/>
    <m/>
    <m/>
    <n v="22790072"/>
    <m/>
    <m/>
    <m/>
    <s v="SOLFIN"/>
    <s v="SOLFIN"/>
    <s v="CCMS"/>
    <n v="21338585"/>
    <n v="3167.04"/>
    <m/>
    <s v="N"/>
    <n v="2"/>
    <d v="2023-07-06T19:21:29"/>
    <s v="Y"/>
    <s v="Toxicologist"/>
    <s v="Public Law Children"/>
    <s v="Expert Disbursement"/>
    <s v="Khansa Taha"/>
    <s v="Y"/>
    <n v="331.6"/>
    <n v="66.31999999999999"/>
    <x v="4"/>
    <s v="VALIDATED"/>
    <n v="1"/>
    <s v="01.11.80.308.6300.0000"/>
    <n v="331.6"/>
    <s v="11"/>
    <s v="6300"/>
    <n v="3350.14"/>
    <n v="331.6"/>
    <s v="CREDITOR"/>
    <n v="0"/>
    <n v="0"/>
    <n v="0"/>
    <n v="0"/>
    <n v="331.6"/>
  </r>
  <r>
    <n v="60960601"/>
    <s v="N"/>
    <n v="21330914"/>
    <s v="3000015169070006"/>
    <s v="CIVIL"/>
    <d v="2023-06-27T00:00:00"/>
    <d v="2023-07-05T19:01:47"/>
    <m/>
    <d v="2023-07-05T00:00:00"/>
    <n v="1317"/>
    <n v="20907"/>
    <s v="60960601"/>
    <s v="60960601"/>
    <m/>
    <m/>
    <n v="22772056"/>
    <m/>
    <m/>
    <m/>
    <s v="SOLFIN"/>
    <s v="SOLFIN"/>
    <s v="CCMS"/>
    <n v="21330914"/>
    <n v="4873.01"/>
    <m/>
    <s v="N"/>
    <n v="53"/>
    <d v="2023-07-05T19:01:56"/>
    <s v="Y"/>
    <s v="Toxicologist"/>
    <s v="Prescribed Hourly Rates"/>
    <s v="Expert Disbursement"/>
    <s v="Haris Qureshi"/>
    <s v="Y"/>
    <n v="197.5"/>
    <n v="39.51"/>
    <x v="6"/>
    <s v="VALIDATED"/>
    <n v="1"/>
    <s v="01.11.80.307.6300.0000"/>
    <n v="197.5"/>
    <s v="11"/>
    <s v="6300"/>
    <n v="3350.14"/>
    <n v="197.5"/>
    <s v="CREDITOR"/>
    <n v="0"/>
    <n v="0"/>
    <n v="0"/>
    <n v="0"/>
    <n v="197.5"/>
  </r>
  <r>
    <n v="60960601"/>
    <s v="N"/>
    <n v="21330914"/>
    <s v="3000015169070006"/>
    <s v="CIVIL"/>
    <d v="2023-06-27T00:00:00"/>
    <d v="2023-07-05T19:01:47"/>
    <m/>
    <d v="2023-07-05T00:00:00"/>
    <n v="1317"/>
    <n v="20907"/>
    <s v="60960601"/>
    <s v="60960601"/>
    <m/>
    <m/>
    <n v="22772056"/>
    <m/>
    <m/>
    <m/>
    <s v="SOLFIN"/>
    <s v="SOLFIN"/>
    <s v="CCMS"/>
    <n v="21330914"/>
    <n v="4873.01"/>
    <m/>
    <s v="N"/>
    <n v="30"/>
    <d v="2023-07-05T19:01:56"/>
    <s v="Y"/>
    <s v="Preparation - other"/>
    <s v="Prescribed Hourly Rates"/>
    <s v="Profit Cost"/>
    <s v="Anthony Nurney"/>
    <s v="Y"/>
    <n v="10.98"/>
    <n v="2.2"/>
    <x v="6"/>
    <s v="VALIDATED"/>
    <n v="1"/>
    <s v="01.11.80.307.6100.0000"/>
    <n v="10.98"/>
    <s v="11"/>
    <s v="6100"/>
    <n v="3350.14"/>
    <n v="10.98"/>
    <s v="CREDITOR"/>
    <n v="0"/>
    <n v="0"/>
    <n v="0"/>
    <n v="0"/>
    <n v="10.98"/>
  </r>
  <r>
    <n v="60960601"/>
    <s v="N"/>
    <n v="21330914"/>
    <s v="3000015169070006"/>
    <s v="CIVIL"/>
    <d v="2023-06-27T00:00:00"/>
    <d v="2023-07-05T19:01:47"/>
    <m/>
    <d v="2023-07-05T00:00:00"/>
    <n v="1317"/>
    <n v="20907"/>
    <s v="60960601"/>
    <s v="60960601"/>
    <m/>
    <m/>
    <n v="22772056"/>
    <m/>
    <m/>
    <m/>
    <s v="SOLFIN"/>
    <s v="SOLFIN"/>
    <s v="CCMS"/>
    <n v="21330914"/>
    <n v="4873.01"/>
    <m/>
    <s v="N"/>
    <n v="43"/>
    <d v="2023-07-05T19:01:56"/>
    <s v="Y"/>
    <s v="Preparation - other"/>
    <s v="Prescribed Hourly Rates"/>
    <s v="Profit Cost"/>
    <s v="Haris Qureshi"/>
    <s v="Y"/>
    <n v="34.31"/>
    <n v="6.86"/>
    <x v="6"/>
    <s v="VALIDATED"/>
    <n v="1"/>
    <s v="01.11.80.307.6100.0000"/>
    <n v="34.31"/>
    <s v="11"/>
    <s v="6100"/>
    <n v="3350.14"/>
    <n v="34.31"/>
    <s v="CREDITOR"/>
    <n v="0"/>
    <n v="0"/>
    <n v="0"/>
    <n v="0"/>
    <n v="34.31"/>
  </r>
  <r>
    <n v="60213489"/>
    <s v="N"/>
    <n v="21349415"/>
    <s v="3000014527140013"/>
    <s v="CIVIL"/>
    <d v="2023-06-29T00:00:00"/>
    <d v="2023-07-10T19:01:40"/>
    <m/>
    <d v="2023-07-10T00:00:00"/>
    <n v="1317"/>
    <n v="20907"/>
    <s v="60213489"/>
    <s v="60213489"/>
    <m/>
    <m/>
    <n v="22788384"/>
    <m/>
    <m/>
    <m/>
    <s v="SOLFIN"/>
    <s v="SOLFIN"/>
    <s v="CCMS"/>
    <n v="21349415"/>
    <n v="4568.22"/>
    <m/>
    <s v="N"/>
    <n v="4"/>
    <d v="2023-07-10T19:01:49"/>
    <s v="Y"/>
    <s v="Expert - Other"/>
    <s v="Public Law Children"/>
    <s v="Expert Disbursement"/>
    <s v="KHANSA TAHA"/>
    <s v="Y"/>
    <n v="47.6"/>
    <n v="0"/>
    <x v="2"/>
    <s v="VALIDATED"/>
    <n v="1"/>
    <s v="01.11.80.308.6300.0000"/>
    <n v="47.6"/>
    <s v="11"/>
    <s v="6300"/>
    <n v="3350.14"/>
    <n v="47.6"/>
    <s v="CREDITOR"/>
    <n v="0"/>
    <n v="0"/>
    <n v="0"/>
    <n v="0"/>
    <n v="47.6"/>
  </r>
  <r>
    <n v="60811304"/>
    <s v="N"/>
    <n v="21331156"/>
    <s v="3000015042280019"/>
    <s v="CIVIL"/>
    <d v="2023-06-26T00:00:00"/>
    <d v="2023-07-05T19:01:47"/>
    <m/>
    <d v="2023-07-05T00:00:00"/>
    <n v="1317"/>
    <n v="20907"/>
    <s v="60811304"/>
    <s v="60811304"/>
    <m/>
    <m/>
    <n v="22759586"/>
    <m/>
    <m/>
    <m/>
    <s v="SOLINT"/>
    <s v="SOLINT"/>
    <s v="CCMS"/>
    <n v="21331156"/>
    <n v="9076.25"/>
    <m/>
    <s v="N"/>
    <n v="5"/>
    <d v="2023-07-05T19:02:08"/>
    <s v="N"/>
    <s v="Process server"/>
    <s v="Private Law Children"/>
    <s v="Expert Disbursement"/>
    <s v="Curtis Booth"/>
    <s v="N"/>
    <n v="0"/>
    <n v="0"/>
    <x v="6"/>
    <s v="VALIDATED"/>
    <n v="1"/>
    <s v="01.11.80.307.6300.0000"/>
    <n v="0"/>
    <s v="11"/>
    <s v="6300"/>
    <n v="3350.14"/>
    <n v="0"/>
    <s v="CREDITOR"/>
    <n v="0"/>
    <n v="0"/>
    <n v="0"/>
    <n v="0"/>
    <n v="0"/>
  </r>
  <r>
    <n v="60960601"/>
    <s v="N"/>
    <n v="21330914"/>
    <s v="3000015169070006"/>
    <s v="CIVIL"/>
    <d v="2023-06-27T00:00:00"/>
    <d v="2023-07-05T19:01:47"/>
    <m/>
    <d v="2023-07-05T00:00:00"/>
    <n v="1317"/>
    <n v="20907"/>
    <s v="60960601"/>
    <s v="60960601"/>
    <m/>
    <m/>
    <n v="22772056"/>
    <m/>
    <m/>
    <m/>
    <s v="SOLFIN"/>
    <s v="SOLFIN"/>
    <s v="CCMS"/>
    <n v="21330914"/>
    <n v="4873.01"/>
    <m/>
    <s v="N"/>
    <n v="9"/>
    <d v="2023-07-05T19:01:56"/>
    <s v="Y"/>
    <s v="Preparation - drafting application"/>
    <s v="Prescribed Hourly Rates"/>
    <s v="Profit Cost"/>
    <s v="SN"/>
    <s v="Y"/>
    <n v="32.94"/>
    <n v="6.59"/>
    <x v="6"/>
    <s v="VALIDATED"/>
    <n v="1"/>
    <s v="01.11.80.307.6100.0000"/>
    <n v="32.94"/>
    <s v="11"/>
    <s v="6100"/>
    <n v="3350.14"/>
    <n v="32.94"/>
    <s v="CREDITOR"/>
    <n v="0"/>
    <n v="0"/>
    <n v="0"/>
    <n v="0"/>
    <n v="32.94"/>
  </r>
  <r>
    <n v="60960601"/>
    <s v="N"/>
    <n v="21330914"/>
    <s v="3000015169070006"/>
    <s v="CIVIL"/>
    <d v="2023-06-27T00:00:00"/>
    <d v="2023-07-05T19:01:47"/>
    <m/>
    <d v="2023-07-05T00:00:00"/>
    <n v="1317"/>
    <n v="20907"/>
    <s v="60960601"/>
    <s v="60960601"/>
    <m/>
    <m/>
    <n v="22772056"/>
    <m/>
    <m/>
    <m/>
    <s v="SOLFIN"/>
    <s v="SOLFIN"/>
    <s v="CCMS"/>
    <n v="21330914"/>
    <n v="4873.01"/>
    <m/>
    <s v="N"/>
    <n v="38"/>
    <d v="2023-07-05T19:01:56"/>
    <s v="Y"/>
    <s v="Attendance upon client"/>
    <s v="Prescribed Hourly Rates"/>
    <s v="Profit Cost"/>
    <s v="Haris Qureshi"/>
    <s v="Y"/>
    <n v="20.59"/>
    <n v="4.12"/>
    <x v="6"/>
    <s v="VALIDATED"/>
    <n v="1"/>
    <s v="01.11.80.307.6100.0000"/>
    <n v="20.59"/>
    <s v="11"/>
    <s v="6100"/>
    <n v="3350.14"/>
    <n v="20.59"/>
    <s v="CREDITOR"/>
    <n v="0"/>
    <n v="0"/>
    <n v="0"/>
    <n v="0"/>
    <n v="20.59"/>
  </r>
  <r>
    <n v="60960601"/>
    <s v="N"/>
    <n v="21330914"/>
    <s v="3000015169070006"/>
    <s v="CIVIL"/>
    <d v="2023-06-27T00:00:00"/>
    <d v="2023-07-05T19:01:47"/>
    <m/>
    <d v="2023-07-05T00:00:00"/>
    <n v="1317"/>
    <n v="20907"/>
    <s v="60960601"/>
    <s v="60960601"/>
    <m/>
    <m/>
    <n v="22772056"/>
    <m/>
    <m/>
    <m/>
    <s v="SOLFIN"/>
    <s v="SOLFIN"/>
    <s v="CCMS"/>
    <n v="21330914"/>
    <n v="4873.01"/>
    <m/>
    <s v="N"/>
    <n v="47"/>
    <d v="2023-07-05T19:01:56"/>
    <s v="Y"/>
    <s v="Preparation - drafting attendance n"/>
    <s v="Prescribed Hourly Rates"/>
    <s v="Profit Cost"/>
    <s v="Anthoney Nurney"/>
    <s v="Y"/>
    <n v="5.49"/>
    <n v="1.1"/>
    <x v="6"/>
    <s v="VALIDATED"/>
    <n v="1"/>
    <s v="01.11.80.307.6100.0000"/>
    <n v="5.49"/>
    <s v="11"/>
    <s v="6100"/>
    <n v="3350.14"/>
    <n v="5.49"/>
    <s v="CREDITOR"/>
    <n v="0"/>
    <n v="0"/>
    <n v="0"/>
    <n v="0"/>
    <n v="5.49"/>
  </r>
  <r>
    <n v="62287555"/>
    <s v="N"/>
    <n v="21319965"/>
    <s v="3000016280330004"/>
    <s v="CIVIL"/>
    <d v="2023-06-27T00:00:00"/>
    <d v="2023-07-03T19:04:24"/>
    <m/>
    <d v="2023-07-03T00:00:00"/>
    <n v="1317"/>
    <n v="20907"/>
    <s v="62287555"/>
    <s v="62287555"/>
    <m/>
    <m/>
    <n v="22770962"/>
    <m/>
    <m/>
    <m/>
    <s v="SOLPOA"/>
    <s v="SOLPOA"/>
    <s v="CCMS"/>
    <n v="21319965"/>
    <n v="91.09999999999999"/>
    <m/>
    <s v="N"/>
    <n v="1"/>
    <d v="2023-07-03T19:04:28"/>
    <s v="N"/>
    <s v="Non Expert Disbursement - Private L"/>
    <s v="Non Expert Disbursement - Priv"/>
    <s v="Non Expert Disbursement"/>
    <s v="Amanda Hodgson"/>
    <s v="N"/>
    <n v="91.09999999999999"/>
    <n v="0"/>
    <x v="3"/>
    <s v="VALIDATED"/>
    <n v="1"/>
    <s v="01.11.80.302.2012.0000"/>
    <n v="91.09999999999999"/>
    <s v="11"/>
    <s v="2012"/>
    <n v="3350.14"/>
    <n v="91.09999999999999"/>
    <s v="CREDITOR"/>
    <n v="91.09999999999999"/>
    <n v="0"/>
    <n v="0"/>
    <n v="0"/>
    <n v="0"/>
  </r>
  <r>
    <n v="60811304"/>
    <s v="N"/>
    <n v="21331156"/>
    <s v="3000015042280019"/>
    <s v="CIVIL"/>
    <d v="2023-06-26T00:00:00"/>
    <d v="2023-07-05T19:01:47"/>
    <m/>
    <d v="2023-07-05T00:00:00"/>
    <n v="1317"/>
    <n v="20907"/>
    <s v="60811304"/>
    <s v="60811304"/>
    <m/>
    <m/>
    <n v="22759586"/>
    <m/>
    <m/>
    <m/>
    <s v="SOLINT"/>
    <s v="SOLINT"/>
    <s v="CCMS"/>
    <n v="21331156"/>
    <n v="9076.25"/>
    <m/>
    <s v="N"/>
    <n v="1"/>
    <d v="2023-07-05T19:02:08"/>
    <s v="Y"/>
    <s v="Solicitor Travel Mileage"/>
    <s v="Private Law Children"/>
    <s v="Non Expert Disbursement"/>
    <s v="Curtis Booth"/>
    <s v="Y"/>
    <n v="13.05"/>
    <n v="2.61"/>
    <x v="6"/>
    <s v="VALIDATED"/>
    <n v="1"/>
    <s v="01.11.80.307.6300.0000"/>
    <n v="13.05"/>
    <s v="11"/>
    <s v="6300"/>
    <n v="3350.14"/>
    <n v="13.05"/>
    <s v="CREDITOR"/>
    <n v="0"/>
    <n v="0"/>
    <n v="0"/>
    <n v="0"/>
    <n v="13.05"/>
  </r>
  <r>
    <n v="60960601"/>
    <s v="N"/>
    <n v="21330914"/>
    <s v="3000015169070006"/>
    <s v="CIVIL"/>
    <d v="2023-06-27T00:00:00"/>
    <d v="2023-07-05T19:01:47"/>
    <m/>
    <d v="2023-07-05T00:00:00"/>
    <n v="1317"/>
    <n v="20907"/>
    <s v="60960601"/>
    <s v="60960601"/>
    <m/>
    <m/>
    <n v="22772056"/>
    <m/>
    <m/>
    <m/>
    <s v="SOLFIN"/>
    <s v="SOLFIN"/>
    <s v="CCMS"/>
    <n v="21330914"/>
    <n v="4873.01"/>
    <m/>
    <s v="N"/>
    <n v="22"/>
    <d v="2023-07-05T19:01:56"/>
    <s v="Y"/>
    <s v="Report - Welfare report"/>
    <s v="Prescribed Hourly Rates"/>
    <s v="Profit Cost"/>
    <s v="Haris Qureshi"/>
    <s v="Y"/>
    <n v="48.04"/>
    <n v="9.609999999999999"/>
    <x v="6"/>
    <s v="VALIDATED"/>
    <n v="1"/>
    <s v="01.11.80.307.6100.0000"/>
    <n v="48.04"/>
    <s v="11"/>
    <s v="6100"/>
    <n v="3350.14"/>
    <n v="48.04"/>
    <s v="CREDITOR"/>
    <n v="0"/>
    <n v="0"/>
    <n v="0"/>
    <n v="0"/>
    <n v="48.04"/>
  </r>
  <r>
    <n v="60960601"/>
    <s v="N"/>
    <n v="21330914"/>
    <s v="3000015169070006"/>
    <s v="CIVIL"/>
    <d v="2023-06-27T00:00:00"/>
    <d v="2023-07-05T19:01:47"/>
    <m/>
    <d v="2023-07-05T00:00:00"/>
    <n v="1317"/>
    <n v="20907"/>
    <s v="60960601"/>
    <s v="60960601"/>
    <m/>
    <m/>
    <n v="22772056"/>
    <m/>
    <m/>
    <m/>
    <s v="SOLFIN"/>
    <s v="SOLFIN"/>
    <s v="CCMS"/>
    <n v="21330914"/>
    <n v="4873.01"/>
    <m/>
    <s v="N"/>
    <n v="25"/>
    <d v="2023-07-05T19:01:56"/>
    <s v="Y"/>
    <s v="Attendance upon client"/>
    <s v="Prescribed Hourly Rates"/>
    <s v="Profit Cost"/>
    <s v="Anthony Nurney"/>
    <s v="Y"/>
    <n v="10.98"/>
    <n v="2.2"/>
    <x v="6"/>
    <s v="VALIDATED"/>
    <n v="1"/>
    <s v="01.11.80.307.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48"/>
    <d v="2023-07-06T19:21:16"/>
    <s v="Y"/>
    <s v="Attendance upon other side"/>
    <s v="Prescribed Hourly Rates"/>
    <s v="Profit Cost"/>
    <s v="Anthony Nurney"/>
    <s v="Y"/>
    <n v="13.18"/>
    <n v="2.64"/>
    <x v="4"/>
    <s v="VALIDATED"/>
    <n v="1"/>
    <s v="01.11.80.302.6100.0000"/>
    <n v="13.18"/>
    <s v="11"/>
    <s v="6100"/>
    <n v="3350.14"/>
    <n v="13.18"/>
    <s v="CREDITOR"/>
    <n v="0"/>
    <n v="0"/>
    <n v="0"/>
    <n v="0"/>
    <n v="13.18"/>
  </r>
  <r>
    <n v="60392480"/>
    <s v="N"/>
    <n v="21338275"/>
    <s v="3000014681540010"/>
    <s v="CIVIL"/>
    <d v="2023-06-28T00:00:00"/>
    <d v="2023-07-06T19:21:01"/>
    <m/>
    <d v="2023-07-06T00:00:00"/>
    <n v="1317"/>
    <n v="20907"/>
    <s v="60392480"/>
    <s v="60392480"/>
    <m/>
    <m/>
    <n v="22780928"/>
    <m/>
    <m/>
    <m/>
    <s v="SOLFIN"/>
    <s v="SOLFIN"/>
    <s v="CCMS"/>
    <n v="21338275"/>
    <n v="3817.37"/>
    <m/>
    <s v="N"/>
    <n v="4"/>
    <d v="2023-07-06T19:21:16"/>
    <s v="Y"/>
    <s v="Preparation - drafting attendance n"/>
    <s v="Prescribed Hourly Rates"/>
    <s v="Profit Cost"/>
    <s v="KPL"/>
    <s v="Y"/>
    <n v="5.49"/>
    <n v="1.1"/>
    <x v="4"/>
    <s v="VALIDATED"/>
    <n v="1"/>
    <s v="01.11.80.302.6100.0000"/>
    <n v="5.49"/>
    <s v="11"/>
    <s v="6100"/>
    <n v="3350.14"/>
    <n v="5.49"/>
    <s v="CREDITOR"/>
    <n v="0"/>
    <n v="0"/>
    <n v="0"/>
    <n v="0"/>
    <n v="5.49"/>
  </r>
  <r>
    <n v="60213489"/>
    <s v="N"/>
    <n v="21349415"/>
    <s v="3000014527140013"/>
    <s v="CIVIL"/>
    <d v="2023-06-29T00:00:00"/>
    <d v="2023-07-10T19:01:40"/>
    <m/>
    <d v="2023-07-10T00:00:00"/>
    <n v="1317"/>
    <n v="20907"/>
    <s v="60213489"/>
    <s v="60213489"/>
    <m/>
    <m/>
    <n v="22788384"/>
    <m/>
    <m/>
    <m/>
    <s v="SOLFIN"/>
    <s v="SOLFIN"/>
    <s v="CCMS"/>
    <n v="21349415"/>
    <n v="4568.22"/>
    <m/>
    <s v="N"/>
    <n v="7"/>
    <d v="2023-07-10T19:01:49"/>
    <s v="Y"/>
    <s v="Solicitors Fixed Fee"/>
    <s v="Public Law Children"/>
    <s v="Profit Cost"/>
    <s v="KHANSA TAHA"/>
    <s v="Y"/>
    <n v="1911"/>
    <n v="382.2"/>
    <x v="2"/>
    <s v="VALIDATED"/>
    <n v="1"/>
    <s v="01.11.80.308.6100.0000"/>
    <n v="1911"/>
    <s v="11"/>
    <s v="6100"/>
    <n v="3350.14"/>
    <n v="1911"/>
    <s v="CREDITOR"/>
    <n v="0"/>
    <n v="0"/>
    <n v="0"/>
    <n v="0"/>
    <n v="1911"/>
  </r>
  <r>
    <n v="60960601"/>
    <s v="N"/>
    <n v="21330914"/>
    <s v="3000015169070006"/>
    <s v="CIVIL"/>
    <d v="2023-06-27T00:00:00"/>
    <d v="2023-07-05T19:01:47"/>
    <m/>
    <d v="2023-07-05T00:00:00"/>
    <n v="1317"/>
    <n v="20907"/>
    <s v="60960601"/>
    <s v="60960601"/>
    <m/>
    <m/>
    <n v="22772056"/>
    <m/>
    <m/>
    <m/>
    <s v="SOLFIN"/>
    <s v="SOLFIN"/>
    <s v="CCMS"/>
    <n v="21330914"/>
    <n v="4873.01"/>
    <m/>
    <s v="N"/>
    <n v="42"/>
    <d v="2023-07-05T19:01:56"/>
    <s v="Y"/>
    <s v="Attendance upon client"/>
    <s v="Prescribed Hourly Rates"/>
    <s v="Profit Cost"/>
    <s v="Samantha Norse"/>
    <s v="Y"/>
    <n v="27.45"/>
    <n v="5.49"/>
    <x v="6"/>
    <s v="VALIDATED"/>
    <n v="1"/>
    <s v="01.11.80.307.6100.0000"/>
    <n v="27.45"/>
    <s v="11"/>
    <s v="6100"/>
    <n v="3350.14"/>
    <n v="27.45"/>
    <s v="CREDITOR"/>
    <n v="0"/>
    <n v="0"/>
    <n v="0"/>
    <n v="0"/>
    <n v="27.45"/>
  </r>
  <r>
    <n v="60960601"/>
    <s v="N"/>
    <n v="21330914"/>
    <s v="3000015169070006"/>
    <s v="CIVIL"/>
    <d v="2023-06-27T00:00:00"/>
    <d v="2023-07-05T19:01:47"/>
    <m/>
    <d v="2023-07-05T00:00:00"/>
    <n v="1317"/>
    <n v="20907"/>
    <s v="60960601"/>
    <s v="60960601"/>
    <m/>
    <m/>
    <n v="22772056"/>
    <m/>
    <m/>
    <m/>
    <s v="SOLFIN"/>
    <s v="SOLFIN"/>
    <s v="CCMS"/>
    <n v="21330914"/>
    <n v="4873.01"/>
    <m/>
    <s v="N"/>
    <n v="46"/>
    <d v="2023-07-05T19:01:56"/>
    <s v="Y"/>
    <s v="Preparation - other"/>
    <s v="Prescribed Hourly Rates"/>
    <s v="Profit Cost"/>
    <s v="Katie Cook"/>
    <s v="Y"/>
    <n v="205.88"/>
    <n v="41.18"/>
    <x v="6"/>
    <s v="VALIDATED"/>
    <n v="1"/>
    <s v="01.11.80.307.6100.0000"/>
    <n v="205.88"/>
    <s v="11"/>
    <s v="6100"/>
    <n v="3350.14"/>
    <n v="205.88"/>
    <s v="CREDITOR"/>
    <n v="0"/>
    <n v="0"/>
    <n v="0"/>
    <n v="0"/>
    <n v="205.88"/>
  </r>
  <r>
    <n v="62281468"/>
    <s v="N"/>
    <n v="21343742"/>
    <s v="3000016276470001"/>
    <s v="CIVIL"/>
    <d v="2023-06-30T00:00:00"/>
    <d v="2023-07-07T19:03:00"/>
    <m/>
    <d v="2023-07-07T00:00:00"/>
    <n v="1317"/>
    <n v="20907"/>
    <s v="62281468"/>
    <s v="62281468"/>
    <m/>
    <m/>
    <n v="22799070"/>
    <m/>
    <m/>
    <m/>
    <s v="SOLPOA"/>
    <s v="SOLPOA"/>
    <s v="CCMS"/>
    <n v="21343742"/>
    <n v="96.5"/>
    <m/>
    <s v="N"/>
    <n v="1"/>
    <d v="2023-07-07T19:03:13"/>
    <s v="N"/>
    <s v="Non Expert Disbursement - Domestic "/>
    <s v="Non Expert Disbursement - Dome"/>
    <s v="Non Expert Disbursement"/>
    <s v="M Jamil"/>
    <s v="N"/>
    <n v="96.5"/>
    <n v="0"/>
    <x v="9"/>
    <s v="VALIDATED"/>
    <n v="1"/>
    <s v="01.11.80.302.2012.0000"/>
    <n v="96.5"/>
    <s v="11"/>
    <s v="2012"/>
    <n v="3350.14"/>
    <n v="96.5"/>
    <s v="CREDITOR"/>
    <n v="96.5"/>
    <n v="0"/>
    <n v="0"/>
    <n v="0"/>
    <n v="0"/>
  </r>
  <r>
    <n v="60960601"/>
    <s v="N"/>
    <n v="21330914"/>
    <s v="3000015169070006"/>
    <s v="CIVIL"/>
    <d v="2023-06-27T00:00:00"/>
    <d v="2023-07-05T19:01:47"/>
    <m/>
    <d v="2023-07-05T00:00:00"/>
    <n v="1317"/>
    <n v="20907"/>
    <s v="60960601"/>
    <s v="60960601"/>
    <m/>
    <m/>
    <n v="22772056"/>
    <m/>
    <m/>
    <m/>
    <s v="SOLFIN"/>
    <s v="SOLFIN"/>
    <s v="CCMS"/>
    <n v="21330914"/>
    <n v="4873.01"/>
    <m/>
    <s v="N"/>
    <n v="17"/>
    <d v="2023-07-05T19:01:56"/>
    <s v="Y"/>
    <s v="Preparation - drafting attendance n"/>
    <s v="Prescribed Hourly Rates"/>
    <s v="Profit Cost"/>
    <s v="AH"/>
    <s v="Y"/>
    <n v="5.49"/>
    <n v="1.1"/>
    <x v="6"/>
    <s v="VALIDATED"/>
    <n v="1"/>
    <s v="01.11.80.307.6100.0000"/>
    <n v="5.49"/>
    <s v="11"/>
    <s v="6100"/>
    <n v="3350.14"/>
    <n v="5.49"/>
    <s v="CREDITOR"/>
    <n v="0"/>
    <n v="0"/>
    <n v="0"/>
    <n v="0"/>
    <n v="5.49"/>
  </r>
  <r>
    <n v="50310545"/>
    <s v="N"/>
    <n v="21321361"/>
    <s v="3000012415110049"/>
    <s v="CIVIL"/>
    <d v="2023-06-29T00:00:00"/>
    <d v="2023-07-03T19:05:17"/>
    <m/>
    <d v="2023-07-03T00:00:00"/>
    <n v="1317"/>
    <n v="20907"/>
    <s v="50310545"/>
    <s v="50310545"/>
    <m/>
    <m/>
    <n v="22786996"/>
    <m/>
    <m/>
    <m/>
    <s v="SOLPOA"/>
    <s v="SOLPOA"/>
    <s v="CCMS"/>
    <n v="21321361"/>
    <n v="50.4"/>
    <m/>
    <s v="N"/>
    <n v="1"/>
    <d v="2023-07-03T19:05:18"/>
    <s v="N"/>
    <s v="Non Expert Disbursement - Private L"/>
    <s v="Non Expert Disbursement - Priv"/>
    <s v="Non Expert Disbursement"/>
    <s v="Sophia Isa"/>
    <s v="N"/>
    <n v="42"/>
    <n v="8.4"/>
    <x v="3"/>
    <s v="VALIDATED"/>
    <n v="1"/>
    <s v="01.11.80.307.2012.0000"/>
    <n v="42"/>
    <s v="11"/>
    <s v="2012"/>
    <n v="3350.14"/>
    <n v="42"/>
    <s v="CREDITOR"/>
    <n v="42"/>
    <n v="0"/>
    <n v="0"/>
    <n v="0"/>
    <n v="0"/>
  </r>
  <r>
    <n v="62168623"/>
    <s v="N"/>
    <n v="21349770"/>
    <s v="3000016183510005"/>
    <s v="CIVIL"/>
    <d v="2023-06-29T00:00:00"/>
    <d v="2023-07-10T19:01:40"/>
    <m/>
    <d v="2023-07-10T00:00:00"/>
    <n v="1317"/>
    <n v="20907"/>
    <s v="62168623"/>
    <s v="62168623"/>
    <m/>
    <m/>
    <n v="22793244"/>
    <m/>
    <m/>
    <m/>
    <s v="SOLPOA"/>
    <s v="SOLPOA"/>
    <s v="CCMS"/>
    <n v="21349770"/>
    <n v="81.12"/>
    <m/>
    <s v="N"/>
    <n v="1"/>
    <d v="2023-07-10T19:01:57"/>
    <s v="N"/>
    <s v="Non Expert Disbursement - Domestic "/>
    <s v="Non Expert Disbursement - Dome"/>
    <s v="Non Expert Disbursement"/>
    <s v="S HAWKER"/>
    <s v="N"/>
    <n v="67.59999999999999"/>
    <n v="13.52"/>
    <x v="2"/>
    <s v="VALIDATED"/>
    <n v="1"/>
    <s v="01.11.80.302.2012.0000"/>
    <n v="67.59999999999999"/>
    <s v="11"/>
    <s v="2012"/>
    <n v="3350.14"/>
    <n v="67.59999999999999"/>
    <s v="CREDITOR"/>
    <n v="67.59999999999999"/>
    <n v="0"/>
    <n v="0"/>
    <n v="0"/>
    <n v="0"/>
  </r>
  <r>
    <n v="60392480"/>
    <s v="N"/>
    <n v="21338275"/>
    <s v="3000014681540010"/>
    <s v="CIVIL"/>
    <d v="2023-06-28T00:00:00"/>
    <d v="2023-07-06T19:21:01"/>
    <m/>
    <d v="2023-07-06T00:00:00"/>
    <n v="1317"/>
    <n v="20907"/>
    <s v="60392480"/>
    <s v="60392480"/>
    <m/>
    <m/>
    <n v="22780928"/>
    <m/>
    <m/>
    <m/>
    <s v="SOLFIN"/>
    <s v="SOLFIN"/>
    <s v="CCMS"/>
    <n v="21338275"/>
    <n v="3817.37"/>
    <m/>
    <s v="N"/>
    <n v="62"/>
    <d v="2023-07-06T19:21:16"/>
    <s v="Y"/>
    <s v="Court Fee"/>
    <s v="Prescribed Hourly Rates"/>
    <s v="Non Expert Disbursement"/>
    <s v="KPL"/>
    <s v="Y"/>
    <n v="232"/>
    <n v="0"/>
    <x v="4"/>
    <s v="VALIDATED"/>
    <n v="1"/>
    <s v="01.11.80.302.6300.0000"/>
    <n v="232"/>
    <s v="11"/>
    <s v="6300"/>
    <n v="3350.14"/>
    <n v="232"/>
    <s v="CREDITOR"/>
    <n v="0"/>
    <n v="0"/>
    <n v="0"/>
    <n v="0"/>
    <n v="232"/>
  </r>
  <r>
    <n v="60392480"/>
    <s v="N"/>
    <n v="21338275"/>
    <s v="3000014681540010"/>
    <s v="CIVIL"/>
    <d v="2023-06-28T00:00:00"/>
    <d v="2023-07-06T19:21:01"/>
    <m/>
    <d v="2023-07-06T00:00:00"/>
    <n v="1317"/>
    <n v="20907"/>
    <s v="60392480"/>
    <s v="60392480"/>
    <m/>
    <m/>
    <n v="22780928"/>
    <m/>
    <m/>
    <m/>
    <s v="SOLFIN"/>
    <s v="SOLFIN"/>
    <s v="CCMS"/>
    <n v="21338275"/>
    <n v="3817.37"/>
    <m/>
    <s v="N"/>
    <n v="53"/>
    <d v="2023-07-06T19:21:16"/>
    <s v="Y"/>
    <s v="Preparation - drafting attendance n"/>
    <s v="Prescribed Hourly Rates"/>
    <s v="Profit Cost"/>
    <s v="KPL"/>
    <s v="Y"/>
    <n v="10.98"/>
    <n v="2.2"/>
    <x v="4"/>
    <s v="VALIDATED"/>
    <n v="1"/>
    <s v="01.11.80.302.6100.0000"/>
    <n v="10.98"/>
    <s v="11"/>
    <s v="6100"/>
    <n v="3350.14"/>
    <n v="10.98"/>
    <s v="CREDITOR"/>
    <n v="0"/>
    <n v="0"/>
    <n v="0"/>
    <n v="0"/>
    <n v="10.98"/>
  </r>
  <r>
    <n v="60392480"/>
    <s v="N"/>
    <n v="21338275"/>
    <s v="3000014681540010"/>
    <s v="CIVIL"/>
    <d v="2023-06-28T00:00:00"/>
    <d v="2023-07-06T19:21:01"/>
    <m/>
    <d v="2023-07-06T00:00:00"/>
    <n v="1317"/>
    <n v="20907"/>
    <s v="60392480"/>
    <s v="60392480"/>
    <m/>
    <m/>
    <n v="22780928"/>
    <m/>
    <m/>
    <m/>
    <s v="SOLFIN"/>
    <s v="SOLFIN"/>
    <s v="CCMS"/>
    <n v="21338275"/>
    <n v="3817.37"/>
    <m/>
    <s v="N"/>
    <n v="58"/>
    <d v="2023-07-06T19:21:16"/>
    <s v="Y"/>
    <s v="Preparation - drafting attendance n"/>
    <s v="Prescribed Hourly Rates"/>
    <s v="Profit Cost"/>
    <s v="KPL"/>
    <s v="Y"/>
    <n v="5.49"/>
    <n v="1.1"/>
    <x v="4"/>
    <s v="VALIDATED"/>
    <n v="1"/>
    <s v="01.11.80.302.6100.0000"/>
    <n v="5.49"/>
    <s v="11"/>
    <s v="6100"/>
    <n v="3350.14"/>
    <n v="5.49"/>
    <s v="CREDITOR"/>
    <n v="0"/>
    <n v="0"/>
    <n v="0"/>
    <n v="0"/>
    <n v="5.49"/>
  </r>
  <r>
    <n v="60392480"/>
    <s v="N"/>
    <n v="21338275"/>
    <s v="3000014681540010"/>
    <s v="CIVIL"/>
    <d v="2023-06-28T00:00:00"/>
    <d v="2023-07-06T19:21:01"/>
    <m/>
    <d v="2023-07-06T00:00:00"/>
    <n v="1317"/>
    <n v="20907"/>
    <s v="60392480"/>
    <s v="60392480"/>
    <m/>
    <m/>
    <n v="22780928"/>
    <m/>
    <m/>
    <m/>
    <s v="SOLFIN"/>
    <s v="SOLFIN"/>
    <s v="CCMS"/>
    <n v="21338275"/>
    <n v="3817.37"/>
    <m/>
    <s v="N"/>
    <n v="13"/>
    <d v="2023-07-06T19:21:16"/>
    <s v="Y"/>
    <s v="Preparation - drafting attendance n"/>
    <s v="Prescribed Hourly Rates"/>
    <s v="Profit Cost"/>
    <s v="CB"/>
    <s v="Y"/>
    <n v="5.49"/>
    <n v="1.1"/>
    <x v="4"/>
    <s v="VALIDATED"/>
    <n v="1"/>
    <s v="01.11.80.302.6100.0000"/>
    <n v="5.49"/>
    <s v="11"/>
    <s v="6100"/>
    <n v="3350.14"/>
    <n v="5.49"/>
    <s v="CREDITOR"/>
    <n v="0"/>
    <n v="0"/>
    <n v="0"/>
    <n v="0"/>
    <n v="5.49"/>
  </r>
  <r>
    <n v="61326434"/>
    <s v="N"/>
    <n v="21363004"/>
    <s v="3000015479000006"/>
    <s v="CIVIL"/>
    <d v="2023-06-29T00:00:00"/>
    <d v="2023-07-12T19:01:49"/>
    <m/>
    <d v="2023-07-12T00:00:00"/>
    <n v="1317"/>
    <n v="20907"/>
    <s v="61326434"/>
    <s v="61326434"/>
    <m/>
    <m/>
    <n v="22791814"/>
    <m/>
    <m/>
    <m/>
    <s v="SOLFIN"/>
    <s v="SOLFIN"/>
    <s v="CCMS"/>
    <n v="21363004"/>
    <n v="1071.12"/>
    <m/>
    <s v="N"/>
    <n v="2"/>
    <d v="2023-07-12T19:01:53"/>
    <s v="Y"/>
    <s v="Solicitor Travel Mileage"/>
    <s v="Private Law Children"/>
    <s v="Non Expert Disbursement"/>
    <s v="Rachael Pyke"/>
    <s v="Y"/>
    <n v="13.14"/>
    <n v="2.63"/>
    <x v="0"/>
    <s v="VALIDATED"/>
    <n v="1"/>
    <s v="01.11.80.307.6300.0000"/>
    <n v="13.14"/>
    <s v="11"/>
    <s v="6300"/>
    <n v="3350.14"/>
    <n v="13.14"/>
    <s v="CREDITOR"/>
    <n v="0"/>
    <n v="0"/>
    <n v="0"/>
    <n v="0"/>
    <n v="13.14"/>
  </r>
  <r>
    <n v="60213489"/>
    <s v="N"/>
    <n v="21349415"/>
    <s v="3000014527140013"/>
    <s v="CIVIL"/>
    <d v="2023-06-29T00:00:00"/>
    <d v="2023-07-10T19:01:40"/>
    <m/>
    <d v="2023-07-10T00:00:00"/>
    <n v="1317"/>
    <n v="20907"/>
    <s v="60213489"/>
    <s v="60213489"/>
    <m/>
    <m/>
    <n v="22788384"/>
    <m/>
    <m/>
    <m/>
    <s v="SOLFIN"/>
    <s v="SOLFIN"/>
    <s v="CCMS"/>
    <n v="21349415"/>
    <n v="4568.22"/>
    <m/>
    <s v="N"/>
    <n v="1"/>
    <d v="2023-07-10T19:01:49"/>
    <s v="Y"/>
    <s v="Toxicologist"/>
    <s v="Public Law Children"/>
    <s v="Expert Disbursement"/>
    <s v="KHANSA TAHA"/>
    <s v="Y"/>
    <n v="237.97"/>
    <n v="47.59"/>
    <x v="2"/>
    <s v="VALIDATED"/>
    <n v="1"/>
    <s v="01.11.80.308.6300.0000"/>
    <n v="237.97"/>
    <s v="11"/>
    <s v="6300"/>
    <n v="3350.14"/>
    <n v="237.97"/>
    <s v="CREDITOR"/>
    <n v="0"/>
    <n v="0"/>
    <n v="0"/>
    <n v="0"/>
    <n v="237.97"/>
  </r>
  <r>
    <n v="60213489"/>
    <s v="N"/>
    <n v="21349415"/>
    <s v="3000014527140013"/>
    <s v="CIVIL"/>
    <d v="2023-06-29T00:00:00"/>
    <d v="2023-07-10T19:01:40"/>
    <m/>
    <d v="2023-07-10T00:00:00"/>
    <n v="1317"/>
    <n v="20907"/>
    <s v="60213489"/>
    <s v="60213489"/>
    <m/>
    <m/>
    <n v="22788384"/>
    <m/>
    <m/>
    <m/>
    <s v="SOLFIN"/>
    <s v="SOLFIN"/>
    <s v="CCMS"/>
    <n v="21349415"/>
    <n v="4568.22"/>
    <m/>
    <s v="N"/>
    <n v="6"/>
    <d v="2023-07-10T19:01:49"/>
    <s v="Y"/>
    <s v="Hearing Unit 2.31 - 5.00 Hours"/>
    <s v="Public Law Children"/>
    <s v="Advocacy"/>
    <s v="KHANSA TAHA"/>
    <s v="Y"/>
    <n v="476.92"/>
    <n v="95.38"/>
    <x v="2"/>
    <s v="VALIDATED"/>
    <n v="1"/>
    <s v="01.11.80.308.6100.0000"/>
    <n v="476.92"/>
    <s v="11"/>
    <s v="6100"/>
    <n v="3350.14"/>
    <n v="476.92"/>
    <s v="CREDITOR"/>
    <n v="0"/>
    <n v="0"/>
    <n v="0"/>
    <n v="0"/>
    <n v="476.92"/>
  </r>
  <r>
    <n v="60393396"/>
    <s v="N"/>
    <n v="21320647"/>
    <s v="3000014682370035"/>
    <s v="CIVIL"/>
    <d v="2023-06-28T00:00:00"/>
    <d v="2023-07-03T19:04:52"/>
    <m/>
    <d v="2023-07-03T00:00:00"/>
    <n v="1330"/>
    <n v="20985"/>
    <s v="60393396"/>
    <s v="60393396"/>
    <m/>
    <m/>
    <n v="22780712"/>
    <m/>
    <m/>
    <m/>
    <s v="SOLPOA"/>
    <s v="SOLPOA"/>
    <s v="CCMS"/>
    <n v="21320647"/>
    <n v="6440.28"/>
    <m/>
    <s v="N"/>
    <n v="1"/>
    <d v="2023-07-03T19:04:55"/>
    <s v="N"/>
    <s v="Solicitors Fixed Fee"/>
    <s v="Public Law Children"/>
    <s v="Profit Cost"/>
    <s v="NS"/>
    <s v="N"/>
    <n v="5366.9"/>
    <n v="1073.38"/>
    <x v="3"/>
    <s v="VALIDATED"/>
    <n v="1"/>
    <s v="01.11.80.308.2012.0000"/>
    <n v="5366.9"/>
    <s v="11"/>
    <s v="2012"/>
    <n v="6004.73"/>
    <n v="5366.9"/>
    <s v="CREDITOR"/>
    <n v="5366.9"/>
    <n v="1341.725"/>
    <n v="0"/>
    <n v="0"/>
    <n v="0"/>
  </r>
  <r>
    <n v="61967470"/>
    <s v="N"/>
    <n v="21337764"/>
    <s v="3000016015200005"/>
    <s v="CIVIL"/>
    <d v="2023-06-30T00:00:00"/>
    <d v="2023-07-06T19:21:01"/>
    <m/>
    <d v="2023-07-06T00:00:00"/>
    <n v="1330"/>
    <n v="20985"/>
    <s v="61967470"/>
    <s v="61967470"/>
    <m/>
    <m/>
    <n v="22794368"/>
    <m/>
    <m/>
    <m/>
    <s v="SOLPOA"/>
    <s v="SOLPOA"/>
    <s v="CCMS"/>
    <n v="21337764"/>
    <n v="525.9400000000001"/>
    <m/>
    <s v="N"/>
    <n v="1"/>
    <d v="2023-07-06T19:21:07"/>
    <s v="N"/>
    <s v="Non Expert Disbursement"/>
    <s v="Non Expert Disbursement"/>
    <s v="Non Expert Disbursement"/>
    <s v="Joe Kerrigan"/>
    <s v="N"/>
    <n v="438.28"/>
    <n v="87.66"/>
    <x v="4"/>
    <s v="VALIDATED"/>
    <n v="1"/>
    <s v="01.11.80.308.2012.0000"/>
    <n v="438.28"/>
    <s v="11"/>
    <s v="2012"/>
    <n v="6004.73"/>
    <n v="438.28"/>
    <s v="CREDITOR"/>
    <n v="438.28"/>
    <n v="0"/>
    <n v="0"/>
    <n v="0"/>
    <n v="0"/>
  </r>
  <r>
    <n v="62186156"/>
    <s v="N"/>
    <n v="21321172"/>
    <s v="3000016197340002"/>
    <s v="CIVIL"/>
    <d v="2023-06-28T00:00:00"/>
    <d v="2023-07-03T19:04:52"/>
    <m/>
    <d v="2023-07-03T00:00:00"/>
    <n v="1330"/>
    <n v="20985"/>
    <s v="62186156"/>
    <s v="62186156"/>
    <m/>
    <m/>
    <n v="22781708"/>
    <m/>
    <m/>
    <m/>
    <s v="SOLPOA"/>
    <s v="SOLPOA"/>
    <s v="CCMS"/>
    <n v="21321172"/>
    <n v="72.90000000000001"/>
    <m/>
    <s v="N"/>
    <n v="1"/>
    <d v="2023-07-03T19:04:58"/>
    <s v="N"/>
    <s v="Non Expert Disbursement"/>
    <s v="Non Expert Disbursement"/>
    <s v="Non Expert Disbursement"/>
    <s v="Matt Cannan"/>
    <s v="N"/>
    <n v="60.75"/>
    <n v="12.15"/>
    <x v="3"/>
    <s v="VALIDATED"/>
    <n v="1"/>
    <s v="01.11.80.308.2012.0000"/>
    <n v="60.75"/>
    <s v="11"/>
    <s v="2012"/>
    <n v="6004.73"/>
    <n v="60.75"/>
    <s v="CREDITOR"/>
    <n v="60.75"/>
    <n v="0"/>
    <n v="0"/>
    <n v="0"/>
    <n v="0"/>
  </r>
  <r>
    <n v="62130829"/>
    <s v="N"/>
    <n v="21321160"/>
    <s v="3000016152850004"/>
    <s v="CIVIL"/>
    <d v="2023-06-28T00:00:00"/>
    <d v="2023-07-03T19:04:52"/>
    <m/>
    <d v="2023-07-03T00:00:00"/>
    <n v="1330"/>
    <n v="20985"/>
    <s v="62130829"/>
    <s v="62130829"/>
    <m/>
    <m/>
    <n v="22781646"/>
    <m/>
    <m/>
    <m/>
    <s v="SOLPOA"/>
    <s v="SOLPOA"/>
    <s v="CCMS"/>
    <n v="21321160"/>
    <n v="166.56"/>
    <m/>
    <s v="N"/>
    <n v="1"/>
    <d v="2023-07-03T19:04:58"/>
    <s v="N"/>
    <s v="Non Expert Disbursement"/>
    <s v="Non Expert Disbursement"/>
    <s v="Non Expert Disbursement"/>
    <s v="Matt Cannan"/>
    <s v="N"/>
    <n v="138.8"/>
    <n v="27.76"/>
    <x v="3"/>
    <s v="VALIDATED"/>
    <n v="1"/>
    <s v="01.11.80.308.2012.0000"/>
    <n v="138.8"/>
    <s v="11"/>
    <s v="2012"/>
    <n v="6004.73"/>
    <n v="138.8"/>
    <s v="CREDITOR"/>
    <n v="138.8"/>
    <n v="0"/>
    <n v="0"/>
    <n v="0"/>
    <n v="0"/>
  </r>
  <r>
    <n v="60690661"/>
    <s v="N"/>
    <n v="21403353"/>
    <s v="3000014939460002"/>
    <s v="CIVIL"/>
    <d v="2022-07-29T00:00:00"/>
    <d v="2023-07-20T19:22:20"/>
    <m/>
    <d v="2023-07-20T00:00:00"/>
    <n v="1335"/>
    <n v="15385"/>
    <s v="60690661"/>
    <s v="60690661"/>
    <m/>
    <m/>
    <n v="20720298"/>
    <m/>
    <m/>
    <m/>
    <s v="SOLPOA"/>
    <s v="SOLPOA"/>
    <s v="CCMS"/>
    <n v="21403353"/>
    <n v="167"/>
    <m/>
    <s v="N"/>
    <n v="1"/>
    <d v="2023-07-20T19:22:36"/>
    <s v="N"/>
    <s v="Non Expert Disbursement"/>
    <s v="Non Expert Disbursement"/>
    <s v="Non Expert Disbursement"/>
    <s v="JBK"/>
    <s v="N"/>
    <n v="167"/>
    <n v="0"/>
    <x v="13"/>
    <s v="VALIDATED"/>
    <n v="1"/>
    <s v="01.11.80.308.2012.0000"/>
    <n v="167"/>
    <s v="11"/>
    <s v="2012"/>
    <n v="167"/>
    <n v="167"/>
    <s v="CREDITOR"/>
    <n v="167"/>
    <n v="0"/>
    <n v="0"/>
    <n v="0"/>
    <n v="0"/>
  </r>
  <r>
    <n v="59933086"/>
    <s v="N"/>
    <n v="21318699"/>
    <s v="3000014286640024"/>
    <s v="CIVIL"/>
    <d v="2023-06-20T00:00:00"/>
    <d v="2023-07-03T19:01:49"/>
    <m/>
    <d v="2023-07-03T00:00:00"/>
    <n v="1337"/>
    <n v="15396"/>
    <s v="59933086"/>
    <s v="59933086"/>
    <m/>
    <m/>
    <n v="22727454"/>
    <m/>
    <m/>
    <m/>
    <s v="SOLFIN"/>
    <s v="SOLFIN"/>
    <s v="CCMS"/>
    <n v="21318699"/>
    <n v="15529.07"/>
    <m/>
    <s v="N"/>
    <n v="60"/>
    <d v="2023-07-03T19:02:01"/>
    <s v="Y"/>
    <s v="Preparation - other"/>
    <s v="Care Remuneration Hourly Rates"/>
    <s v="Profit Cost"/>
    <s v="MQ"/>
    <s v="Y"/>
    <n v="58.88"/>
    <n v="11.78"/>
    <x v="3"/>
    <s v="VALIDATED"/>
    <n v="1"/>
    <s v="01.11.80.308.6100.0000"/>
    <n v="58.88"/>
    <s v="11"/>
    <s v="6100"/>
    <n v="12645.15"/>
    <n v="58.88"/>
    <s v="CREDITOR"/>
    <n v="0"/>
    <n v="0"/>
    <n v="0"/>
    <n v="0"/>
    <n v="58.88"/>
  </r>
  <r>
    <n v="59933086"/>
    <s v="N"/>
    <n v="21318699"/>
    <s v="3000014286640024"/>
    <s v="CIVIL"/>
    <d v="2023-06-20T00:00:00"/>
    <d v="2023-07-03T19:01:49"/>
    <m/>
    <d v="2023-07-03T00:00:00"/>
    <n v="1337"/>
    <n v="15396"/>
    <s v="59933086"/>
    <s v="59933086"/>
    <m/>
    <m/>
    <n v="22727454"/>
    <m/>
    <m/>
    <m/>
    <s v="SOLFIN"/>
    <s v="SOLFIN"/>
    <s v="CCMS"/>
    <n v="21318699"/>
    <n v="15529.07"/>
    <m/>
    <s v="N"/>
    <n v="108"/>
    <d v="2023-07-03T19:02:01"/>
    <s v="Y"/>
    <s v="Attendance upon client"/>
    <s v="Care Remuneration Hourly Rates"/>
    <s v="Profit Cost"/>
    <s v="MQ"/>
    <s v="Y"/>
    <n v="110.4"/>
    <n v="22.08"/>
    <x v="3"/>
    <s v="VALIDATED"/>
    <n v="1"/>
    <s v="01.11.80.308.6100.0000"/>
    <n v="110.4"/>
    <s v="11"/>
    <s v="6100"/>
    <n v="12645.15"/>
    <n v="110.4"/>
    <s v="CREDITOR"/>
    <n v="0"/>
    <n v="0"/>
    <n v="0"/>
    <n v="0"/>
    <n v="110.4"/>
  </r>
  <r>
    <n v="60201209"/>
    <s v="N"/>
    <n v="21331293"/>
    <s v="3000014517580013"/>
    <s v="CIVIL"/>
    <d v="2023-06-26T00:00:00"/>
    <d v="2023-07-05T19:01:47"/>
    <m/>
    <d v="2023-07-05T00:00:00"/>
    <n v="1337"/>
    <n v="15396"/>
    <s v="60201209"/>
    <s v="60201209"/>
    <m/>
    <m/>
    <n v="22759208"/>
    <m/>
    <m/>
    <m/>
    <s v="SOLFIN"/>
    <s v="SOLFIN"/>
    <s v="CCMS"/>
    <n v="21331293"/>
    <n v="11995.24"/>
    <m/>
    <s v="N"/>
    <n v="54"/>
    <d v="2023-07-05T19:02:13"/>
    <s v="Y"/>
    <s v="Preparation - drafting bill/claim f"/>
    <s v="Care Remuneration Hourly Rates"/>
    <s v="Profit Cost"/>
    <s v="EW"/>
    <s v="Y"/>
    <n v="5.26"/>
    <n v="1.05"/>
    <x v="6"/>
    <s v="VALIDATED"/>
    <n v="1"/>
    <s v="01.11.80.308.6100.0000"/>
    <n v="5.26"/>
    <s v="11"/>
    <s v="6100"/>
    <n v="12645.15"/>
    <n v="5.26"/>
    <s v="CREDITOR"/>
    <n v="0"/>
    <n v="0"/>
    <n v="0"/>
    <n v="0"/>
    <n v="5.26"/>
  </r>
  <r>
    <n v="59933086"/>
    <s v="N"/>
    <n v="21324485"/>
    <s v="3000014286640022RC"/>
    <s v="CIVIL"/>
    <d v="2023-06-20T00:00:00"/>
    <d v="2023-07-03T19:42:50"/>
    <m/>
    <d v="2023-07-03T00:00:00"/>
    <n v="1337"/>
    <n v="15396"/>
    <s v="59933086"/>
    <s v="59933086"/>
    <m/>
    <m/>
    <m/>
    <m/>
    <m/>
    <m/>
    <s v="SOLRECOUP"/>
    <s v="SOLRECOUP"/>
    <s v="POARECOUP"/>
    <n v="21324485"/>
    <n v="-119.34"/>
    <m/>
    <s v="Y"/>
    <n v="1"/>
    <d v="2023-07-03T19:42:51"/>
    <s v="N"/>
    <m/>
    <m/>
    <s v="Expert Disbursement"/>
    <m/>
    <s v="N"/>
    <n v="-119.34"/>
    <n v="0"/>
    <x v="3"/>
    <s v="VALIDATED"/>
    <n v="1"/>
    <s v="01.11.80.308.2013.0000"/>
    <n v="-119.34"/>
    <s v="11"/>
    <s v="2013"/>
    <n v="12645.15"/>
    <n v="-119.34"/>
    <s v="CREDITOR"/>
    <n v="0"/>
    <n v="0"/>
    <n v="-119.34"/>
    <n v="0"/>
    <n v="0"/>
  </r>
  <r>
    <n v="59933086"/>
    <s v="N"/>
    <n v="21324486"/>
    <s v="3000014286640020RC"/>
    <s v="CIVIL"/>
    <d v="2023-06-20T00:00:00"/>
    <d v="2023-07-03T19:42:50"/>
    <m/>
    <d v="2023-07-03T00:00:00"/>
    <n v="1337"/>
    <n v="15396"/>
    <s v="59933086"/>
    <s v="59933086"/>
    <m/>
    <m/>
    <m/>
    <m/>
    <m/>
    <m/>
    <s v="SOLRECOUP"/>
    <s v="SOLRECOUP"/>
    <s v="POARECOUP"/>
    <n v="21324486"/>
    <n v="-529.2"/>
    <m/>
    <s v="Y"/>
    <n v="1"/>
    <d v="2023-07-03T19:42:51"/>
    <s v="N"/>
    <m/>
    <m/>
    <s v="Expert Disbursement"/>
    <m/>
    <s v="N"/>
    <n v="-529.2"/>
    <n v="0"/>
    <x v="3"/>
    <s v="VALIDATED"/>
    <n v="1"/>
    <s v="01.11.80.308.2013.0000"/>
    <n v="-529.2"/>
    <s v="11"/>
    <s v="2013"/>
    <n v="12645.15"/>
    <n v="-529.2"/>
    <s v="CREDITOR"/>
    <n v="0"/>
    <n v="0"/>
    <n v="-529.2"/>
    <n v="0"/>
    <n v="0"/>
  </r>
  <r>
    <n v="59933086"/>
    <s v="N"/>
    <n v="21324486"/>
    <s v="3000014286640020RC"/>
    <s v="CIVIL"/>
    <d v="2023-06-20T00:00:00"/>
    <d v="2023-07-03T19:42:50"/>
    <m/>
    <d v="2023-07-03T00:00:00"/>
    <n v="1337"/>
    <n v="15396"/>
    <s v="59933086"/>
    <s v="59933086"/>
    <m/>
    <m/>
    <m/>
    <m/>
    <m/>
    <m/>
    <s v="SOLRECOUP"/>
    <s v="SOLRECOUP"/>
    <s v="POARECOUP"/>
    <n v="21324486"/>
    <n v="-529.2"/>
    <m/>
    <s v="Y"/>
    <n v="2"/>
    <d v="2023-07-03T19:42:51"/>
    <s v="N"/>
    <m/>
    <m/>
    <s v="Expert Disbursement"/>
    <m/>
    <s v="N"/>
    <n v="0"/>
    <n v="0"/>
    <x v="3"/>
    <s v="VALIDATED"/>
    <n v="1"/>
    <s v="01.11.80.000.0000.0000"/>
    <n v="0"/>
    <s v="11"/>
    <s v="0000"/>
    <n v="12645.15"/>
    <n v="0"/>
    <s v="CREDITOR"/>
    <n v="0"/>
    <n v="0"/>
    <n v="0"/>
    <n v="0"/>
    <n v="0"/>
  </r>
  <r>
    <n v="59933086"/>
    <s v="N"/>
    <n v="21324470"/>
    <s v="3000014286640002RC"/>
    <s v="CIVIL"/>
    <d v="2023-06-20T00:00:00"/>
    <d v="2023-07-03T19:42:50"/>
    <m/>
    <d v="2023-07-03T00:00:00"/>
    <n v="1337"/>
    <n v="15396"/>
    <s v="59933086"/>
    <s v="59933086"/>
    <m/>
    <m/>
    <m/>
    <m/>
    <m/>
    <m/>
    <s v="SOLRECOUP"/>
    <s v="SOLRECOUP"/>
    <s v="POARECOUP"/>
    <n v="21324470"/>
    <n v="-31.5"/>
    <m/>
    <s v="Y"/>
    <n v="2"/>
    <d v="2023-07-03T19:42:51"/>
    <s v="N"/>
    <m/>
    <m/>
    <s v="Expert Disbursement"/>
    <m/>
    <s v="N"/>
    <n v="0"/>
    <n v="0"/>
    <x v="3"/>
    <s v="VALIDATED"/>
    <n v="1"/>
    <s v="01.11.80.000.0000.0000"/>
    <n v="0"/>
    <s v="11"/>
    <s v="0000"/>
    <n v="12645.15"/>
    <n v="0"/>
    <s v="CREDITOR"/>
    <n v="0"/>
    <n v="0"/>
    <n v="0"/>
    <n v="0"/>
    <n v="0"/>
  </r>
  <r>
    <n v="59933086"/>
    <s v="N"/>
    <n v="21324470"/>
    <s v="3000014286640002RC"/>
    <s v="CIVIL"/>
    <d v="2023-06-20T00:00:00"/>
    <d v="2023-07-03T19:42:50"/>
    <m/>
    <d v="2023-07-03T00:00:00"/>
    <n v="1337"/>
    <n v="15396"/>
    <s v="59933086"/>
    <s v="59933086"/>
    <m/>
    <m/>
    <m/>
    <m/>
    <m/>
    <m/>
    <s v="SOLRECOUP"/>
    <s v="SOLRECOUP"/>
    <s v="POARECOUP"/>
    <n v="21324470"/>
    <n v="-31.5"/>
    <m/>
    <s v="Y"/>
    <n v="1"/>
    <d v="2023-07-03T19:42:51"/>
    <s v="N"/>
    <m/>
    <m/>
    <s v="Expert Disbursement"/>
    <m/>
    <s v="N"/>
    <n v="-31.5"/>
    <n v="0"/>
    <x v="3"/>
    <s v="VALIDATED"/>
    <n v="1"/>
    <s v="01.11.80.308.2013.0000"/>
    <n v="-31.5"/>
    <s v="11"/>
    <s v="2013"/>
    <n v="12645.15"/>
    <n v="-31.5"/>
    <s v="CREDITOR"/>
    <n v="0"/>
    <n v="0"/>
    <n v="-31.5"/>
    <n v="0"/>
    <n v="0"/>
  </r>
  <r>
    <n v="59933086"/>
    <s v="N"/>
    <n v="21324471"/>
    <s v="3000014286640011RC"/>
    <s v="CIVIL"/>
    <d v="2023-06-20T00:00:00"/>
    <d v="2023-07-03T19:42:50"/>
    <m/>
    <d v="2023-07-03T00:00:00"/>
    <n v="1337"/>
    <n v="15396"/>
    <s v="59933086"/>
    <s v="59933086"/>
    <m/>
    <m/>
    <m/>
    <m/>
    <m/>
    <m/>
    <s v="SOLRECOUP"/>
    <s v="SOLRECOUP"/>
    <s v="POARECOUP"/>
    <n v="21324471"/>
    <n v="-731.28"/>
    <m/>
    <s v="Y"/>
    <n v="1"/>
    <d v="2023-07-03T19:42:51"/>
    <s v="N"/>
    <m/>
    <m/>
    <s v="Expert Disbursement"/>
    <m/>
    <s v="N"/>
    <n v="-731.28"/>
    <n v="0"/>
    <x v="3"/>
    <s v="VALIDATED"/>
    <n v="1"/>
    <s v="01.11.80.308.2013.0000"/>
    <n v="-731.28"/>
    <s v="11"/>
    <s v="2013"/>
    <n v="12645.15"/>
    <n v="-731.28"/>
    <s v="CREDITOR"/>
    <n v="0"/>
    <n v="0"/>
    <n v="-731.28"/>
    <n v="0"/>
    <n v="0"/>
  </r>
  <r>
    <n v="59933086"/>
    <s v="N"/>
    <n v="21324471"/>
    <s v="3000014286640011RC"/>
    <s v="CIVIL"/>
    <d v="2023-06-20T00:00:00"/>
    <d v="2023-07-03T19:42:50"/>
    <m/>
    <d v="2023-07-03T00:00:00"/>
    <n v="1337"/>
    <n v="15396"/>
    <s v="59933086"/>
    <s v="59933086"/>
    <m/>
    <m/>
    <m/>
    <m/>
    <m/>
    <m/>
    <s v="SOLRECOUP"/>
    <s v="SOLRECOUP"/>
    <s v="POARECOUP"/>
    <n v="21324471"/>
    <n v="-731.28"/>
    <m/>
    <s v="Y"/>
    <n v="2"/>
    <d v="2023-07-03T19:42:51"/>
    <s v="N"/>
    <m/>
    <m/>
    <s v="Expert Disbursement"/>
    <m/>
    <s v="N"/>
    <n v="0"/>
    <n v="0"/>
    <x v="3"/>
    <s v="VALIDATED"/>
    <n v="1"/>
    <s v="01.11.80.000.0000.0000"/>
    <n v="0"/>
    <s v="11"/>
    <s v="0000"/>
    <n v="12645.15"/>
    <n v="0"/>
    <s v="CREDITOR"/>
    <n v="0"/>
    <n v="0"/>
    <n v="0"/>
    <n v="0"/>
    <n v="0"/>
  </r>
  <r>
    <n v="59933086"/>
    <s v="N"/>
    <n v="21324472"/>
    <s v="3000014286640010RC"/>
    <s v="CIVIL"/>
    <d v="2023-06-20T00:00:00"/>
    <d v="2023-07-03T19:42:50"/>
    <m/>
    <d v="2023-07-03T00:00:00"/>
    <n v="1337"/>
    <n v="15396"/>
    <s v="59933086"/>
    <s v="59933086"/>
    <m/>
    <m/>
    <m/>
    <m/>
    <m/>
    <m/>
    <s v="SOLRECOUP"/>
    <s v="SOLRECOUP"/>
    <s v="POARECOUP"/>
    <n v="21324472"/>
    <n v="-167"/>
    <m/>
    <s v="Y"/>
    <n v="1"/>
    <d v="2023-07-03T19:42:51"/>
    <s v="N"/>
    <m/>
    <m/>
    <s v="Expert Disbursement"/>
    <m/>
    <s v="N"/>
    <n v="-167"/>
    <n v="0"/>
    <x v="3"/>
    <s v="VALIDATED"/>
    <n v="1"/>
    <s v="01.11.80.308.2013.0000"/>
    <n v="-167"/>
    <s v="11"/>
    <s v="2013"/>
    <n v="12645.15"/>
    <n v="-167"/>
    <s v="CREDITOR"/>
    <n v="0"/>
    <n v="0"/>
    <n v="-167"/>
    <n v="0"/>
    <n v="0"/>
  </r>
  <r>
    <n v="59933086"/>
    <s v="N"/>
    <n v="21324472"/>
    <s v="3000014286640010RC"/>
    <s v="CIVIL"/>
    <d v="2023-06-20T00:00:00"/>
    <d v="2023-07-03T19:42:50"/>
    <m/>
    <d v="2023-07-03T00:00:00"/>
    <n v="1337"/>
    <n v="15396"/>
    <s v="59933086"/>
    <s v="59933086"/>
    <m/>
    <m/>
    <m/>
    <m/>
    <m/>
    <m/>
    <s v="SOLRECOUP"/>
    <s v="SOLRECOUP"/>
    <s v="POARECOUP"/>
    <n v="21324472"/>
    <n v="-167"/>
    <m/>
    <s v="Y"/>
    <n v="2"/>
    <d v="2023-07-03T19:42:51"/>
    <s v="N"/>
    <m/>
    <m/>
    <s v="Expert Disbursement"/>
    <m/>
    <s v="N"/>
    <n v="0"/>
    <n v="0"/>
    <x v="3"/>
    <s v="VALIDATED"/>
    <n v="1"/>
    <s v="01.11.80.000.0000.0000"/>
    <n v="0"/>
    <s v="11"/>
    <s v="0000"/>
    <n v="12645.15"/>
    <n v="0"/>
    <s v="CREDITOR"/>
    <n v="0"/>
    <n v="0"/>
    <n v="0"/>
    <n v="0"/>
    <n v="0"/>
  </r>
  <r>
    <n v="59933086"/>
    <s v="N"/>
    <n v="21324473"/>
    <s v="3000014286640005RC"/>
    <s v="CIVIL"/>
    <d v="2023-06-20T00:00:00"/>
    <d v="2023-07-03T19:42:50"/>
    <m/>
    <d v="2023-07-03T00:00:00"/>
    <n v="1337"/>
    <n v="15396"/>
    <s v="59933086"/>
    <s v="59933086"/>
    <m/>
    <m/>
    <m/>
    <m/>
    <m/>
    <m/>
    <s v="SOLRECOUP"/>
    <s v="SOLRECOUP"/>
    <s v="POARECOUP"/>
    <n v="21324473"/>
    <n v="-103.8"/>
    <m/>
    <s v="Y"/>
    <n v="1"/>
    <d v="2023-07-03T19:42:51"/>
    <s v="N"/>
    <m/>
    <m/>
    <s v="Expert Disbursement"/>
    <m/>
    <s v="N"/>
    <n v="-103.8"/>
    <n v="0"/>
    <x v="3"/>
    <s v="VALIDATED"/>
    <n v="1"/>
    <s v="01.11.80.308.2013.0000"/>
    <n v="-103.8"/>
    <s v="11"/>
    <s v="2013"/>
    <n v="12645.15"/>
    <n v="-103.8"/>
    <s v="CREDITOR"/>
    <n v="0"/>
    <n v="0"/>
    <n v="-103.8"/>
    <n v="0"/>
    <n v="0"/>
  </r>
  <r>
    <n v="59933086"/>
    <s v="N"/>
    <n v="21324473"/>
    <s v="3000014286640005RC"/>
    <s v="CIVIL"/>
    <d v="2023-06-20T00:00:00"/>
    <d v="2023-07-03T19:42:50"/>
    <m/>
    <d v="2023-07-03T00:00:00"/>
    <n v="1337"/>
    <n v="15396"/>
    <s v="59933086"/>
    <s v="59933086"/>
    <m/>
    <m/>
    <m/>
    <m/>
    <m/>
    <m/>
    <s v="SOLRECOUP"/>
    <s v="SOLRECOUP"/>
    <s v="POARECOUP"/>
    <n v="21324473"/>
    <n v="-103.8"/>
    <m/>
    <s v="Y"/>
    <n v="2"/>
    <d v="2023-07-03T19:42:51"/>
    <s v="N"/>
    <m/>
    <m/>
    <s v="Expert Disbursement"/>
    <m/>
    <s v="N"/>
    <n v="0"/>
    <n v="0"/>
    <x v="3"/>
    <s v="VALIDATED"/>
    <n v="1"/>
    <s v="01.11.80.000.0000.0000"/>
    <n v="0"/>
    <s v="11"/>
    <s v="0000"/>
    <n v="12645.15"/>
    <n v="0"/>
    <s v="CREDITOR"/>
    <n v="0"/>
    <n v="0"/>
    <n v="0"/>
    <n v="0"/>
    <n v="0"/>
  </r>
  <r>
    <n v="59933086"/>
    <s v="N"/>
    <n v="21324474"/>
    <s v="3000014286640006RC"/>
    <s v="CIVIL"/>
    <d v="2023-06-20T00:00:00"/>
    <d v="2023-07-03T19:42:50"/>
    <m/>
    <d v="2023-07-03T00:00:00"/>
    <n v="1337"/>
    <n v="15396"/>
    <s v="59933086"/>
    <s v="59933086"/>
    <m/>
    <m/>
    <m/>
    <m/>
    <m/>
    <m/>
    <s v="SOLRECOUP"/>
    <s v="SOLRECOUP"/>
    <s v="POARECOUP"/>
    <n v="21324474"/>
    <n v="-633.48"/>
    <m/>
    <s v="Y"/>
    <n v="1"/>
    <d v="2023-07-03T19:42:51"/>
    <s v="N"/>
    <m/>
    <m/>
    <s v="Expert Disbursement"/>
    <m/>
    <s v="N"/>
    <n v="-633.48"/>
    <n v="0"/>
    <x v="3"/>
    <s v="VALIDATED"/>
    <n v="1"/>
    <s v="01.11.80.308.2013.0000"/>
    <n v="-633.48"/>
    <s v="11"/>
    <s v="2013"/>
    <n v="12645.15"/>
    <n v="-633.48"/>
    <s v="CREDITOR"/>
    <n v="0"/>
    <n v="0"/>
    <n v="-633.48"/>
    <n v="0"/>
    <n v="0"/>
  </r>
  <r>
    <n v="59933086"/>
    <s v="N"/>
    <n v="21324474"/>
    <s v="3000014286640006RC"/>
    <s v="CIVIL"/>
    <d v="2023-06-20T00:00:00"/>
    <d v="2023-07-03T19:42:50"/>
    <m/>
    <d v="2023-07-03T00:00:00"/>
    <n v="1337"/>
    <n v="15396"/>
    <s v="59933086"/>
    <s v="59933086"/>
    <m/>
    <m/>
    <m/>
    <m/>
    <m/>
    <m/>
    <s v="SOLRECOUP"/>
    <s v="SOLRECOUP"/>
    <s v="POARECOUP"/>
    <n v="21324474"/>
    <n v="-633.48"/>
    <m/>
    <s v="Y"/>
    <n v="2"/>
    <d v="2023-07-03T19:42:51"/>
    <s v="N"/>
    <m/>
    <m/>
    <s v="Expert Disbursement"/>
    <m/>
    <s v="N"/>
    <n v="0"/>
    <n v="0"/>
    <x v="3"/>
    <s v="VALIDATED"/>
    <n v="1"/>
    <s v="01.11.80.000.0000.0000"/>
    <n v="0"/>
    <s v="11"/>
    <s v="0000"/>
    <n v="12645.15"/>
    <n v="0"/>
    <s v="CREDITOR"/>
    <n v="0"/>
    <n v="0"/>
    <n v="0"/>
    <n v="0"/>
    <n v="0"/>
  </r>
  <r>
    <n v="59933086"/>
    <s v="N"/>
    <n v="21324475"/>
    <s v="3000014286640007RC"/>
    <s v="CIVIL"/>
    <d v="2023-06-20T00:00:00"/>
    <d v="2023-07-03T19:42:50"/>
    <m/>
    <d v="2023-07-03T00:00:00"/>
    <n v="1337"/>
    <n v="15396"/>
    <s v="59933086"/>
    <s v="59933086"/>
    <m/>
    <m/>
    <m/>
    <m/>
    <m/>
    <m/>
    <s v="SOLRECOUP"/>
    <s v="SOLRECOUP"/>
    <s v="POARECOUP"/>
    <n v="21324475"/>
    <n v="-182.68"/>
    <m/>
    <s v="Y"/>
    <n v="1"/>
    <d v="2023-07-03T19:42:51"/>
    <s v="N"/>
    <m/>
    <m/>
    <s v="Expert Disbursement"/>
    <m/>
    <s v="N"/>
    <n v="-182.68"/>
    <n v="0"/>
    <x v="3"/>
    <s v="VALIDATED"/>
    <n v="1"/>
    <s v="01.11.80.308.2013.0000"/>
    <n v="-182.68"/>
    <s v="11"/>
    <s v="2013"/>
    <n v="12645.15"/>
    <n v="-182.68"/>
    <s v="CREDITOR"/>
    <n v="0"/>
    <n v="0"/>
    <n v="-182.68"/>
    <n v="0"/>
    <n v="0"/>
  </r>
  <r>
    <n v="59933086"/>
    <s v="N"/>
    <n v="21324475"/>
    <s v="3000014286640007RC"/>
    <s v="CIVIL"/>
    <d v="2023-06-20T00:00:00"/>
    <d v="2023-07-03T19:42:50"/>
    <m/>
    <d v="2023-07-03T00:00:00"/>
    <n v="1337"/>
    <n v="15396"/>
    <s v="59933086"/>
    <s v="59933086"/>
    <m/>
    <m/>
    <m/>
    <m/>
    <m/>
    <m/>
    <s v="SOLRECOUP"/>
    <s v="SOLRECOUP"/>
    <s v="POARECOUP"/>
    <n v="21324475"/>
    <n v="-182.68"/>
    <m/>
    <s v="Y"/>
    <n v="2"/>
    <d v="2023-07-03T19:42:51"/>
    <s v="N"/>
    <m/>
    <m/>
    <s v="Expert Disbursement"/>
    <m/>
    <s v="N"/>
    <n v="0"/>
    <n v="0"/>
    <x v="3"/>
    <s v="VALIDATED"/>
    <n v="1"/>
    <s v="01.11.80.000.0000.0000"/>
    <n v="0"/>
    <s v="11"/>
    <s v="0000"/>
    <n v="12645.15"/>
    <n v="0"/>
    <s v="CREDITOR"/>
    <n v="0"/>
    <n v="0"/>
    <n v="0"/>
    <n v="0"/>
    <n v="0"/>
  </r>
  <r>
    <n v="59933086"/>
    <s v="N"/>
    <n v="21324476"/>
    <s v="3000014286640004RC"/>
    <s v="CIVIL"/>
    <d v="2023-06-20T00:00:00"/>
    <d v="2023-07-03T19:42:50"/>
    <m/>
    <d v="2023-07-03T00:00:00"/>
    <n v="1337"/>
    <n v="15396"/>
    <s v="59933086"/>
    <s v="59933086"/>
    <m/>
    <m/>
    <m/>
    <m/>
    <m/>
    <m/>
    <s v="SOLRECOUP"/>
    <s v="SOLRECOUP"/>
    <s v="POARECOUP"/>
    <n v="21324476"/>
    <n v="-33"/>
    <m/>
    <s v="Y"/>
    <n v="1"/>
    <d v="2023-07-03T19:42:51"/>
    <s v="N"/>
    <m/>
    <m/>
    <s v="Expert Disbursement"/>
    <m/>
    <s v="N"/>
    <n v="-33"/>
    <n v="0"/>
    <x v="3"/>
    <s v="VALIDATED"/>
    <n v="1"/>
    <s v="01.11.80.308.2013.0000"/>
    <n v="-33"/>
    <s v="11"/>
    <s v="2013"/>
    <n v="12645.15"/>
    <n v="-33"/>
    <s v="CREDITOR"/>
    <n v="0"/>
    <n v="0"/>
    <n v="-33"/>
    <n v="0"/>
    <n v="0"/>
  </r>
  <r>
    <n v="59933086"/>
    <s v="N"/>
    <n v="21324476"/>
    <s v="3000014286640004RC"/>
    <s v="CIVIL"/>
    <d v="2023-06-20T00:00:00"/>
    <d v="2023-07-03T19:42:50"/>
    <m/>
    <d v="2023-07-03T00:00:00"/>
    <n v="1337"/>
    <n v="15396"/>
    <s v="59933086"/>
    <s v="59933086"/>
    <m/>
    <m/>
    <m/>
    <m/>
    <m/>
    <m/>
    <s v="SOLRECOUP"/>
    <s v="SOLRECOUP"/>
    <s v="POARECOUP"/>
    <n v="21324476"/>
    <n v="-33"/>
    <m/>
    <s v="Y"/>
    <n v="2"/>
    <d v="2023-07-03T19:42:51"/>
    <s v="N"/>
    <m/>
    <m/>
    <s v="Expert Disbursement"/>
    <m/>
    <s v="N"/>
    <n v="0"/>
    <n v="0"/>
    <x v="3"/>
    <s v="VALIDATED"/>
    <n v="1"/>
    <s v="01.11.80.000.0000.0000"/>
    <n v="0"/>
    <s v="11"/>
    <s v="0000"/>
    <n v="12645.15"/>
    <n v="0"/>
    <s v="CREDITOR"/>
    <n v="0"/>
    <n v="0"/>
    <n v="0"/>
    <n v="0"/>
    <n v="0"/>
  </r>
  <r>
    <n v="59933086"/>
    <s v="N"/>
    <n v="21324477"/>
    <s v="3000014286640012RC"/>
    <s v="CIVIL"/>
    <d v="2023-06-20T00:00:00"/>
    <d v="2023-07-03T19:42:50"/>
    <m/>
    <d v="2023-07-03T00:00:00"/>
    <n v="1337"/>
    <n v="15396"/>
    <s v="59933086"/>
    <s v="59933086"/>
    <m/>
    <m/>
    <m/>
    <m/>
    <m/>
    <m/>
    <s v="SOLRECOUP"/>
    <s v="SOLRECOUP"/>
    <s v="POARECOUP"/>
    <n v="21324477"/>
    <n v="-387.36"/>
    <m/>
    <s v="Y"/>
    <n v="1"/>
    <d v="2023-07-03T19:42:51"/>
    <s v="N"/>
    <m/>
    <m/>
    <s v="Expert Disbursement"/>
    <m/>
    <s v="N"/>
    <n v="-387.36"/>
    <n v="0"/>
    <x v="3"/>
    <s v="VALIDATED"/>
    <n v="1"/>
    <s v="01.11.80.308.2013.0000"/>
    <n v="-387.36"/>
    <s v="11"/>
    <s v="2013"/>
    <n v="12645.15"/>
    <n v="-387.36"/>
    <s v="CREDITOR"/>
    <n v="0"/>
    <n v="0"/>
    <n v="-387.36"/>
    <n v="0"/>
    <n v="0"/>
  </r>
  <r>
    <n v="59933086"/>
    <s v="N"/>
    <n v="21324477"/>
    <s v="3000014286640012RC"/>
    <s v="CIVIL"/>
    <d v="2023-06-20T00:00:00"/>
    <d v="2023-07-03T19:42:50"/>
    <m/>
    <d v="2023-07-03T00:00:00"/>
    <n v="1337"/>
    <n v="15396"/>
    <s v="59933086"/>
    <s v="59933086"/>
    <m/>
    <m/>
    <m/>
    <m/>
    <m/>
    <m/>
    <s v="SOLRECOUP"/>
    <s v="SOLRECOUP"/>
    <s v="POARECOUP"/>
    <n v="21324477"/>
    <n v="-387.36"/>
    <m/>
    <s v="Y"/>
    <n v="2"/>
    <d v="2023-07-03T19:42:51"/>
    <s v="N"/>
    <m/>
    <m/>
    <s v="Expert Disbursement"/>
    <m/>
    <s v="N"/>
    <n v="0"/>
    <n v="0"/>
    <x v="3"/>
    <s v="VALIDATED"/>
    <n v="1"/>
    <s v="01.11.80.000.0000.0000"/>
    <n v="0"/>
    <s v="11"/>
    <s v="0000"/>
    <n v="12645.15"/>
    <n v="0"/>
    <s v="CREDITOR"/>
    <n v="0"/>
    <n v="0"/>
    <n v="0"/>
    <n v="0"/>
    <n v="0"/>
  </r>
  <r>
    <n v="59933086"/>
    <s v="N"/>
    <n v="21324478"/>
    <s v="3000014286640021RC"/>
    <s v="CIVIL"/>
    <d v="2023-06-20T00:00:00"/>
    <d v="2023-07-03T19:42:50"/>
    <m/>
    <d v="2023-07-03T00:00:00"/>
    <n v="1337"/>
    <n v="15396"/>
    <s v="59933086"/>
    <s v="59933086"/>
    <m/>
    <m/>
    <m/>
    <m/>
    <m/>
    <m/>
    <s v="SOLRECOUP"/>
    <s v="SOLRECOUP"/>
    <s v="POARECOUP"/>
    <n v="21324478"/>
    <n v="-214.5"/>
    <m/>
    <s v="Y"/>
    <n v="2"/>
    <d v="2023-07-03T19:42:51"/>
    <s v="N"/>
    <m/>
    <m/>
    <s v="Expert Disbursement"/>
    <m/>
    <s v="N"/>
    <n v="0"/>
    <n v="0"/>
    <x v="3"/>
    <s v="VALIDATED"/>
    <n v="1"/>
    <s v="01.11.80.000.0000.0000"/>
    <n v="0"/>
    <s v="11"/>
    <s v="0000"/>
    <n v="12645.15"/>
    <n v="0"/>
    <s v="CREDITOR"/>
    <n v="0"/>
    <n v="0"/>
    <n v="0"/>
    <n v="0"/>
    <n v="0"/>
  </r>
  <r>
    <n v="59933086"/>
    <s v="N"/>
    <n v="21324478"/>
    <s v="3000014286640021RC"/>
    <s v="CIVIL"/>
    <d v="2023-06-20T00:00:00"/>
    <d v="2023-07-03T19:42:50"/>
    <m/>
    <d v="2023-07-03T00:00:00"/>
    <n v="1337"/>
    <n v="15396"/>
    <s v="59933086"/>
    <s v="59933086"/>
    <m/>
    <m/>
    <m/>
    <m/>
    <m/>
    <m/>
    <s v="SOLRECOUP"/>
    <s v="SOLRECOUP"/>
    <s v="POARECOUP"/>
    <n v="21324478"/>
    <n v="-214.5"/>
    <m/>
    <s v="Y"/>
    <n v="1"/>
    <d v="2023-07-03T19:42:51"/>
    <s v="N"/>
    <m/>
    <m/>
    <s v="Expert Disbursement"/>
    <m/>
    <s v="N"/>
    <n v="-214.5"/>
    <n v="0"/>
    <x v="3"/>
    <s v="VALIDATED"/>
    <n v="1"/>
    <s v="01.11.80.308.2013.0000"/>
    <n v="-214.5"/>
    <s v="11"/>
    <s v="2013"/>
    <n v="12645.15"/>
    <n v="-214.5"/>
    <s v="CREDITOR"/>
    <n v="0"/>
    <n v="0"/>
    <n v="-214.5"/>
    <n v="0"/>
    <n v="0"/>
  </r>
  <r>
    <n v="59933086"/>
    <s v="N"/>
    <n v="21324479"/>
    <s v="3000014286640015RC"/>
    <s v="CIVIL"/>
    <d v="2023-06-20T00:00:00"/>
    <d v="2023-07-03T19:42:50"/>
    <m/>
    <d v="2023-07-03T00:00:00"/>
    <n v="1337"/>
    <n v="15396"/>
    <s v="59933086"/>
    <s v="59933086"/>
    <m/>
    <m/>
    <m/>
    <m/>
    <m/>
    <m/>
    <s v="SOLRECOUP"/>
    <s v="SOLRECOUP"/>
    <s v="POARECOUP"/>
    <n v="21324479"/>
    <n v="-425.72"/>
    <m/>
    <s v="Y"/>
    <n v="2"/>
    <d v="2023-07-03T19:42:51"/>
    <s v="N"/>
    <m/>
    <m/>
    <s v="Expert Disbursement"/>
    <m/>
    <s v="N"/>
    <n v="0"/>
    <n v="0"/>
    <x v="3"/>
    <s v="VALIDATED"/>
    <n v="1"/>
    <s v="01.11.80.000.0000.0000"/>
    <n v="0"/>
    <s v="11"/>
    <s v="0000"/>
    <n v="12645.15"/>
    <n v="0"/>
    <s v="CREDITOR"/>
    <n v="0"/>
    <n v="0"/>
    <n v="0"/>
    <n v="0"/>
    <n v="0"/>
  </r>
  <r>
    <n v="59933086"/>
    <s v="N"/>
    <n v="21324479"/>
    <s v="3000014286640015RC"/>
    <s v="CIVIL"/>
    <d v="2023-06-20T00:00:00"/>
    <d v="2023-07-03T19:42:50"/>
    <m/>
    <d v="2023-07-03T00:00:00"/>
    <n v="1337"/>
    <n v="15396"/>
    <s v="59933086"/>
    <s v="59933086"/>
    <m/>
    <m/>
    <m/>
    <m/>
    <m/>
    <m/>
    <s v="SOLRECOUP"/>
    <s v="SOLRECOUP"/>
    <s v="POARECOUP"/>
    <n v="21324479"/>
    <n v="-425.72"/>
    <m/>
    <s v="Y"/>
    <n v="1"/>
    <d v="2023-07-03T19:42:51"/>
    <s v="N"/>
    <m/>
    <m/>
    <s v="Expert Disbursement"/>
    <m/>
    <s v="N"/>
    <n v="-425.72"/>
    <n v="0"/>
    <x v="3"/>
    <s v="VALIDATED"/>
    <n v="1"/>
    <s v="01.11.80.308.2013.0000"/>
    <n v="-425.72"/>
    <s v="11"/>
    <s v="2013"/>
    <n v="12645.15"/>
    <n v="-425.72"/>
    <s v="CREDITOR"/>
    <n v="0"/>
    <n v="0"/>
    <n v="-425.72"/>
    <n v="0"/>
    <n v="0"/>
  </r>
  <r>
    <n v="59933086"/>
    <s v="N"/>
    <n v="21324480"/>
    <s v="3000014286640017RC"/>
    <s v="CIVIL"/>
    <d v="2023-06-20T00:00:00"/>
    <d v="2023-07-03T19:42:50"/>
    <m/>
    <d v="2023-07-03T00:00:00"/>
    <n v="1337"/>
    <n v="15396"/>
    <s v="59933086"/>
    <s v="59933086"/>
    <m/>
    <m/>
    <m/>
    <m/>
    <m/>
    <m/>
    <s v="SOLRECOUP"/>
    <s v="SOLRECOUP"/>
    <s v="POARECOUP"/>
    <n v="21324480"/>
    <n v="-731.9400000000001"/>
    <m/>
    <s v="Y"/>
    <n v="1"/>
    <d v="2023-07-03T19:42:51"/>
    <s v="N"/>
    <m/>
    <m/>
    <s v="Expert Disbursement"/>
    <m/>
    <s v="N"/>
    <n v="-731.9400000000001"/>
    <n v="0"/>
    <x v="3"/>
    <s v="VALIDATED"/>
    <n v="1"/>
    <s v="01.11.80.308.2013.0000"/>
    <n v="-731.9400000000001"/>
    <s v="11"/>
    <s v="2013"/>
    <n v="12645.15"/>
    <n v="-731.9400000000001"/>
    <s v="CREDITOR"/>
    <n v="0"/>
    <n v="0"/>
    <n v="-731.9400000000001"/>
    <n v="0"/>
    <n v="0"/>
  </r>
  <r>
    <n v="59933086"/>
    <s v="N"/>
    <n v="21324480"/>
    <s v="3000014286640017RC"/>
    <s v="CIVIL"/>
    <d v="2023-06-20T00:00:00"/>
    <d v="2023-07-03T19:42:50"/>
    <m/>
    <d v="2023-07-03T00:00:00"/>
    <n v="1337"/>
    <n v="15396"/>
    <s v="59933086"/>
    <s v="59933086"/>
    <m/>
    <m/>
    <m/>
    <m/>
    <m/>
    <m/>
    <s v="SOLRECOUP"/>
    <s v="SOLRECOUP"/>
    <s v="POARECOUP"/>
    <n v="21324480"/>
    <n v="-731.9400000000001"/>
    <m/>
    <s v="Y"/>
    <n v="2"/>
    <d v="2023-07-03T19:42:51"/>
    <s v="N"/>
    <m/>
    <m/>
    <s v="Expert Disbursement"/>
    <m/>
    <s v="N"/>
    <n v="0"/>
    <n v="0"/>
    <x v="3"/>
    <s v="VALIDATED"/>
    <n v="1"/>
    <s v="01.11.80.000.0000.0000"/>
    <n v="0"/>
    <s v="11"/>
    <s v="0000"/>
    <n v="12645.15"/>
    <n v="0"/>
    <s v="CREDITOR"/>
    <n v="0"/>
    <n v="0"/>
    <n v="0"/>
    <n v="0"/>
    <n v="0"/>
  </r>
  <r>
    <n v="59933086"/>
    <s v="N"/>
    <n v="21324481"/>
    <s v="3000014286640013RC"/>
    <s v="CIVIL"/>
    <d v="2023-06-20T00:00:00"/>
    <d v="2023-07-03T19:42:50"/>
    <m/>
    <d v="2023-07-03T00:00:00"/>
    <n v="1337"/>
    <n v="15396"/>
    <s v="59933086"/>
    <s v="59933086"/>
    <m/>
    <m/>
    <m/>
    <m/>
    <m/>
    <m/>
    <s v="SOLRECOUP"/>
    <s v="SOLRECOUP"/>
    <s v="POARECOUP"/>
    <n v="21324481"/>
    <n v="-276"/>
    <m/>
    <s v="Y"/>
    <n v="1"/>
    <d v="2023-07-03T19:42:51"/>
    <s v="N"/>
    <m/>
    <m/>
    <s v="Expert Disbursement"/>
    <m/>
    <s v="N"/>
    <n v="-276"/>
    <n v="0"/>
    <x v="3"/>
    <s v="VALIDATED"/>
    <n v="1"/>
    <s v="01.11.80.308.2013.0000"/>
    <n v="-276"/>
    <s v="11"/>
    <s v="2013"/>
    <n v="12645.15"/>
    <n v="-276"/>
    <s v="CREDITOR"/>
    <n v="0"/>
    <n v="0"/>
    <n v="-276"/>
    <n v="0"/>
    <n v="0"/>
  </r>
  <r>
    <n v="59933086"/>
    <s v="N"/>
    <n v="21324481"/>
    <s v="3000014286640013RC"/>
    <s v="CIVIL"/>
    <d v="2023-06-20T00:00:00"/>
    <d v="2023-07-03T19:42:50"/>
    <m/>
    <d v="2023-07-03T00:00:00"/>
    <n v="1337"/>
    <n v="15396"/>
    <s v="59933086"/>
    <s v="59933086"/>
    <m/>
    <m/>
    <m/>
    <m/>
    <m/>
    <m/>
    <s v="SOLRECOUP"/>
    <s v="SOLRECOUP"/>
    <s v="POARECOUP"/>
    <n v="21324481"/>
    <n v="-276"/>
    <m/>
    <s v="Y"/>
    <n v="2"/>
    <d v="2023-07-03T19:42:51"/>
    <s v="N"/>
    <m/>
    <m/>
    <s v="Expert Disbursement"/>
    <m/>
    <s v="N"/>
    <n v="0"/>
    <n v="0"/>
    <x v="3"/>
    <s v="VALIDATED"/>
    <n v="1"/>
    <s v="01.11.80.000.0000.0000"/>
    <n v="0"/>
    <s v="11"/>
    <s v="0000"/>
    <n v="12645.15"/>
    <n v="0"/>
    <s v="CREDITOR"/>
    <n v="0"/>
    <n v="0"/>
    <n v="0"/>
    <n v="0"/>
    <n v="0"/>
  </r>
  <r>
    <n v="59933086"/>
    <s v="N"/>
    <n v="21324482"/>
    <s v="3000014286640014RC"/>
    <s v="CIVIL"/>
    <d v="2023-06-20T00:00:00"/>
    <d v="2023-07-03T19:42:50"/>
    <m/>
    <d v="2023-07-03T00:00:00"/>
    <n v="1337"/>
    <n v="15396"/>
    <s v="59933086"/>
    <s v="59933086"/>
    <m/>
    <m/>
    <m/>
    <m/>
    <m/>
    <m/>
    <s v="SOLRECOUP"/>
    <s v="SOLRECOUP"/>
    <s v="POARECOUP"/>
    <n v="21324482"/>
    <n v="-1920"/>
    <m/>
    <s v="Y"/>
    <n v="2"/>
    <d v="2023-07-03T19:42:51"/>
    <s v="N"/>
    <m/>
    <m/>
    <s v="Profit Cost"/>
    <m/>
    <s v="N"/>
    <n v="0"/>
    <n v="-320"/>
    <x v="3"/>
    <s v="VALIDATED"/>
    <n v="1"/>
    <s v="01.11.80.308.2013.0000"/>
    <n v="-320"/>
    <s v="11"/>
    <s v="2013"/>
    <n v="12645.15"/>
    <n v="-320"/>
    <s v="CREDITOR"/>
    <n v="0"/>
    <n v="0"/>
    <n v="-320"/>
    <n v="-80"/>
    <n v="0"/>
  </r>
  <r>
    <n v="59933086"/>
    <s v="N"/>
    <n v="21324482"/>
    <s v="3000014286640014RC"/>
    <s v="CIVIL"/>
    <d v="2023-06-20T00:00:00"/>
    <d v="2023-07-03T19:42:50"/>
    <m/>
    <d v="2023-07-03T00:00:00"/>
    <n v="1337"/>
    <n v="15396"/>
    <s v="59933086"/>
    <s v="59933086"/>
    <m/>
    <m/>
    <m/>
    <m/>
    <m/>
    <m/>
    <s v="SOLRECOUP"/>
    <s v="SOLRECOUP"/>
    <s v="POARECOUP"/>
    <n v="21324482"/>
    <n v="-1920"/>
    <m/>
    <s v="Y"/>
    <n v="1"/>
    <d v="2023-07-03T19:42:51"/>
    <s v="N"/>
    <m/>
    <m/>
    <s v="Profit Cost"/>
    <m/>
    <s v="N"/>
    <n v="-1600"/>
    <n v="0"/>
    <x v="3"/>
    <s v="VALIDATED"/>
    <n v="1"/>
    <s v="01.11.80.308.2013.0000"/>
    <n v="-1600"/>
    <s v="11"/>
    <s v="2013"/>
    <n v="12645.15"/>
    <n v="-1600"/>
    <s v="CREDITOR"/>
    <n v="0"/>
    <n v="0"/>
    <n v="-1600"/>
    <n v="-400"/>
    <n v="0"/>
  </r>
  <r>
    <n v="59933086"/>
    <s v="N"/>
    <n v="21324483"/>
    <s v="3000014286640018RC"/>
    <s v="CIVIL"/>
    <d v="2023-06-20T00:00:00"/>
    <d v="2023-07-03T19:42:50"/>
    <m/>
    <d v="2023-07-03T00:00:00"/>
    <n v="1337"/>
    <n v="15396"/>
    <s v="59933086"/>
    <s v="59933086"/>
    <m/>
    <m/>
    <m/>
    <m/>
    <m/>
    <m/>
    <s v="SOLRECOUP"/>
    <s v="SOLRECOUP"/>
    <s v="POARECOUP"/>
    <n v="21324483"/>
    <n v="-442.14"/>
    <m/>
    <s v="Y"/>
    <n v="1"/>
    <d v="2023-07-03T19:42:51"/>
    <s v="N"/>
    <m/>
    <m/>
    <s v="Expert Disbursement"/>
    <m/>
    <s v="N"/>
    <n v="-442.14"/>
    <n v="0"/>
    <x v="3"/>
    <s v="VALIDATED"/>
    <n v="1"/>
    <s v="01.11.80.308.2013.0000"/>
    <n v="-442.14"/>
    <s v="11"/>
    <s v="2013"/>
    <n v="12645.15"/>
    <n v="-442.14"/>
    <s v="CREDITOR"/>
    <n v="0"/>
    <n v="0"/>
    <n v="-442.14"/>
    <n v="0"/>
    <n v="0"/>
  </r>
  <r>
    <n v="59933086"/>
    <s v="N"/>
    <n v="21324483"/>
    <s v="3000014286640018RC"/>
    <s v="CIVIL"/>
    <d v="2023-06-20T00:00:00"/>
    <d v="2023-07-03T19:42:50"/>
    <m/>
    <d v="2023-07-03T00:00:00"/>
    <n v="1337"/>
    <n v="15396"/>
    <s v="59933086"/>
    <s v="59933086"/>
    <m/>
    <m/>
    <m/>
    <m/>
    <m/>
    <m/>
    <s v="SOLRECOUP"/>
    <s v="SOLRECOUP"/>
    <s v="POARECOUP"/>
    <n v="21324483"/>
    <n v="-442.14"/>
    <m/>
    <s v="Y"/>
    <n v="2"/>
    <d v="2023-07-03T19:42:51"/>
    <s v="N"/>
    <m/>
    <m/>
    <s v="Expert Disbursement"/>
    <m/>
    <s v="N"/>
    <n v="0"/>
    <n v="0"/>
    <x v="3"/>
    <s v="VALIDATED"/>
    <n v="1"/>
    <s v="01.11.80.000.0000.0000"/>
    <n v="0"/>
    <s v="11"/>
    <s v="0000"/>
    <n v="12645.15"/>
    <n v="0"/>
    <s v="CREDITOR"/>
    <n v="0"/>
    <n v="0"/>
    <n v="0"/>
    <n v="0"/>
    <n v="0"/>
  </r>
  <r>
    <n v="59933086"/>
    <s v="N"/>
    <n v="21324484"/>
    <s v="3000014286640019RC"/>
    <s v="CIVIL"/>
    <d v="2023-06-20T00:00:00"/>
    <d v="2023-07-03T19:42:50"/>
    <m/>
    <d v="2023-07-03T00:00:00"/>
    <n v="1337"/>
    <n v="15396"/>
    <s v="59933086"/>
    <s v="59933086"/>
    <m/>
    <m/>
    <m/>
    <m/>
    <m/>
    <m/>
    <s v="SOLRECOUP"/>
    <s v="SOLRECOUP"/>
    <s v="POARECOUP"/>
    <n v="21324484"/>
    <n v="-458.4"/>
    <m/>
    <s v="Y"/>
    <n v="2"/>
    <d v="2023-07-03T19:42:51"/>
    <s v="N"/>
    <m/>
    <m/>
    <s v="Expert Disbursement"/>
    <m/>
    <s v="N"/>
    <n v="0"/>
    <n v="0"/>
    <x v="3"/>
    <s v="VALIDATED"/>
    <n v="1"/>
    <s v="01.11.80.000.0000.0000"/>
    <n v="0"/>
    <s v="11"/>
    <s v="0000"/>
    <n v="12645.15"/>
    <n v="0"/>
    <s v="CREDITOR"/>
    <n v="0"/>
    <n v="0"/>
    <n v="0"/>
    <n v="0"/>
    <n v="0"/>
  </r>
  <r>
    <n v="59933086"/>
    <s v="N"/>
    <n v="21324484"/>
    <s v="3000014286640019RC"/>
    <s v="CIVIL"/>
    <d v="2023-06-20T00:00:00"/>
    <d v="2023-07-03T19:42:50"/>
    <m/>
    <d v="2023-07-03T00:00:00"/>
    <n v="1337"/>
    <n v="15396"/>
    <s v="59933086"/>
    <s v="59933086"/>
    <m/>
    <m/>
    <m/>
    <m/>
    <m/>
    <m/>
    <s v="SOLRECOUP"/>
    <s v="SOLRECOUP"/>
    <s v="POARECOUP"/>
    <n v="21324484"/>
    <n v="-458.4"/>
    <m/>
    <s v="Y"/>
    <n v="1"/>
    <d v="2023-07-03T19:42:51"/>
    <s v="N"/>
    <m/>
    <m/>
    <s v="Expert Disbursement"/>
    <m/>
    <s v="N"/>
    <n v="-458.4"/>
    <n v="0"/>
    <x v="3"/>
    <s v="VALIDATED"/>
    <n v="1"/>
    <s v="01.11.80.308.2013.0000"/>
    <n v="-458.4"/>
    <s v="11"/>
    <s v="2013"/>
    <n v="12645.15"/>
    <n v="-458.4"/>
    <s v="CREDITOR"/>
    <n v="0"/>
    <n v="0"/>
    <n v="-458.4"/>
    <n v="0"/>
    <n v="0"/>
  </r>
  <r>
    <n v="59933086"/>
    <s v="N"/>
    <n v="21324485"/>
    <s v="3000014286640022RC"/>
    <s v="CIVIL"/>
    <d v="2023-06-20T00:00:00"/>
    <d v="2023-07-03T19:42:50"/>
    <m/>
    <d v="2023-07-03T00:00:00"/>
    <n v="1337"/>
    <n v="15396"/>
    <s v="59933086"/>
    <s v="59933086"/>
    <m/>
    <m/>
    <m/>
    <m/>
    <m/>
    <m/>
    <s v="SOLRECOUP"/>
    <s v="SOLRECOUP"/>
    <s v="POARECOUP"/>
    <n v="21324485"/>
    <n v="-119.34"/>
    <m/>
    <s v="Y"/>
    <n v="2"/>
    <d v="2023-07-03T19:42:51"/>
    <s v="N"/>
    <m/>
    <m/>
    <s v="Expert Disbursement"/>
    <m/>
    <s v="N"/>
    <n v="0"/>
    <n v="0"/>
    <x v="3"/>
    <s v="VALIDATED"/>
    <n v="1"/>
    <s v="01.11.80.000.0000.0000"/>
    <n v="0"/>
    <s v="11"/>
    <s v="0000"/>
    <n v="12645.15"/>
    <n v="0"/>
    <s v="CREDITOR"/>
    <n v="0"/>
    <n v="0"/>
    <n v="0"/>
    <n v="0"/>
    <n v="0"/>
  </r>
  <r>
    <n v="60201209"/>
    <s v="N"/>
    <n v="21333900"/>
    <s v="3000014517580002RC"/>
    <s v="CIVIL"/>
    <d v="2023-06-26T00:00:00"/>
    <d v="2023-07-05T19:42:28"/>
    <m/>
    <d v="2023-07-05T00:00:00"/>
    <n v="1337"/>
    <n v="15396"/>
    <s v="60201209"/>
    <s v="60201209"/>
    <m/>
    <m/>
    <m/>
    <m/>
    <m/>
    <m/>
    <s v="SOLRECOUP"/>
    <s v="SOLRECOUP"/>
    <s v="POARECOUP"/>
    <n v="21333900"/>
    <n v="-232"/>
    <m/>
    <s v="Y"/>
    <n v="2"/>
    <d v="2023-07-05T19:42:29"/>
    <s v="N"/>
    <m/>
    <m/>
    <s v="Expert Disbursement"/>
    <m/>
    <s v="N"/>
    <n v="0"/>
    <n v="0"/>
    <x v="6"/>
    <s v="VALIDATED"/>
    <n v="1"/>
    <s v="01.11.80.000.0000.0000"/>
    <n v="0"/>
    <s v="11"/>
    <s v="0000"/>
    <n v="12645.15"/>
    <n v="0"/>
    <s v="CREDITOR"/>
    <n v="0"/>
    <n v="0"/>
    <n v="0"/>
    <n v="0"/>
    <n v="0"/>
  </r>
  <r>
    <n v="60201209"/>
    <s v="N"/>
    <n v="21333900"/>
    <s v="3000014517580002RC"/>
    <s v="CIVIL"/>
    <d v="2023-06-26T00:00:00"/>
    <d v="2023-07-05T19:42:28"/>
    <m/>
    <d v="2023-07-05T00:00:00"/>
    <n v="1337"/>
    <n v="15396"/>
    <s v="60201209"/>
    <s v="60201209"/>
    <m/>
    <m/>
    <m/>
    <m/>
    <m/>
    <m/>
    <s v="SOLRECOUP"/>
    <s v="SOLRECOUP"/>
    <s v="POARECOUP"/>
    <n v="21333900"/>
    <n v="-232"/>
    <m/>
    <s v="Y"/>
    <n v="1"/>
    <d v="2023-07-05T19:42:29"/>
    <s v="N"/>
    <m/>
    <m/>
    <s v="Expert Disbursement"/>
    <m/>
    <s v="N"/>
    <n v="-232"/>
    <n v="0"/>
    <x v="6"/>
    <s v="VALIDATED"/>
    <n v="1"/>
    <s v="01.11.80.308.2013.0000"/>
    <n v="-232"/>
    <s v="11"/>
    <s v="2013"/>
    <n v="12645.15"/>
    <n v="-232"/>
    <s v="CREDITOR"/>
    <n v="0"/>
    <n v="0"/>
    <n v="-232"/>
    <n v="0"/>
    <n v="0"/>
  </r>
  <r>
    <n v="60201209"/>
    <s v="N"/>
    <n v="21333901"/>
    <s v="3000014517580001RC"/>
    <s v="CIVIL"/>
    <d v="2023-06-26T00:00:00"/>
    <d v="2023-07-05T19:42:28"/>
    <m/>
    <d v="2023-07-05T00:00:00"/>
    <n v="1337"/>
    <n v="15396"/>
    <s v="60201209"/>
    <s v="60201209"/>
    <m/>
    <m/>
    <m/>
    <m/>
    <m/>
    <m/>
    <s v="SOLRECOUP"/>
    <s v="SOLRECOUP"/>
    <s v="POARECOUP"/>
    <n v="21333901"/>
    <n v="-6.57"/>
    <m/>
    <s v="Y"/>
    <n v="2"/>
    <d v="2023-07-05T19:42:29"/>
    <s v="N"/>
    <m/>
    <m/>
    <s v="Non Expert Disbursement"/>
    <m/>
    <s v="N"/>
    <n v="0"/>
    <n v="0"/>
    <x v="6"/>
    <s v="VALIDATED"/>
    <n v="1"/>
    <s v="01.11.80.000.0000.0000"/>
    <n v="0"/>
    <s v="11"/>
    <s v="0000"/>
    <n v="12645.15"/>
    <n v="0"/>
    <s v="CREDITOR"/>
    <n v="0"/>
    <n v="0"/>
    <n v="0"/>
    <n v="0"/>
    <n v="0"/>
  </r>
  <r>
    <n v="60201209"/>
    <s v="N"/>
    <n v="21333901"/>
    <s v="3000014517580001RC"/>
    <s v="CIVIL"/>
    <d v="2023-06-26T00:00:00"/>
    <d v="2023-07-05T19:42:28"/>
    <m/>
    <d v="2023-07-05T00:00:00"/>
    <n v="1337"/>
    <n v="15396"/>
    <s v="60201209"/>
    <s v="60201209"/>
    <m/>
    <m/>
    <m/>
    <m/>
    <m/>
    <m/>
    <s v="SOLRECOUP"/>
    <s v="SOLRECOUP"/>
    <s v="POARECOUP"/>
    <n v="21333901"/>
    <n v="-6.57"/>
    <m/>
    <s v="Y"/>
    <n v="1"/>
    <d v="2023-07-05T19:42:29"/>
    <s v="N"/>
    <m/>
    <m/>
    <s v="Non Expert Disbursement"/>
    <m/>
    <s v="N"/>
    <n v="-6.57"/>
    <n v="0"/>
    <x v="6"/>
    <s v="VALIDATED"/>
    <n v="1"/>
    <s v="01.11.80.308.2013.0000"/>
    <n v="-6.57"/>
    <s v="11"/>
    <s v="2013"/>
    <n v="12645.15"/>
    <n v="-6.57"/>
    <s v="CREDITOR"/>
    <n v="0"/>
    <n v="0"/>
    <n v="-6.57"/>
    <n v="0"/>
    <n v="0"/>
  </r>
  <r>
    <n v="60201209"/>
    <s v="N"/>
    <n v="21333902"/>
    <s v="3000014517580003RC"/>
    <s v="CIVIL"/>
    <d v="2023-06-26T00:00:00"/>
    <d v="2023-07-05T19:42:28"/>
    <m/>
    <d v="2023-07-05T00:00:00"/>
    <n v="1337"/>
    <n v="15396"/>
    <s v="60201209"/>
    <s v="60201209"/>
    <m/>
    <m/>
    <m/>
    <m/>
    <m/>
    <m/>
    <s v="SOLRECOUP"/>
    <s v="SOLRECOUP"/>
    <s v="POARECOUP"/>
    <n v="21333902"/>
    <n v="-238.92"/>
    <m/>
    <s v="Y"/>
    <n v="2"/>
    <d v="2023-07-05T19:42:29"/>
    <s v="N"/>
    <m/>
    <m/>
    <s v="Expert Disbursement"/>
    <m/>
    <s v="N"/>
    <n v="0"/>
    <n v="0"/>
    <x v="6"/>
    <s v="VALIDATED"/>
    <n v="1"/>
    <s v="01.11.80.000.0000.0000"/>
    <n v="0"/>
    <s v="11"/>
    <s v="0000"/>
    <n v="12645.15"/>
    <n v="0"/>
    <s v="CREDITOR"/>
    <n v="0"/>
    <n v="0"/>
    <n v="0"/>
    <n v="0"/>
    <n v="0"/>
  </r>
  <r>
    <n v="60201209"/>
    <s v="N"/>
    <n v="21333902"/>
    <s v="3000014517580003RC"/>
    <s v="CIVIL"/>
    <d v="2023-06-26T00:00:00"/>
    <d v="2023-07-05T19:42:28"/>
    <m/>
    <d v="2023-07-05T00:00:00"/>
    <n v="1337"/>
    <n v="15396"/>
    <s v="60201209"/>
    <s v="60201209"/>
    <m/>
    <m/>
    <m/>
    <m/>
    <m/>
    <m/>
    <s v="SOLRECOUP"/>
    <s v="SOLRECOUP"/>
    <s v="POARECOUP"/>
    <n v="21333902"/>
    <n v="-238.92"/>
    <m/>
    <s v="Y"/>
    <n v="1"/>
    <d v="2023-07-05T19:42:29"/>
    <s v="N"/>
    <m/>
    <m/>
    <s v="Expert Disbursement"/>
    <m/>
    <s v="N"/>
    <n v="-238.92"/>
    <n v="0"/>
    <x v="6"/>
    <s v="VALIDATED"/>
    <n v="1"/>
    <s v="01.11.80.308.2013.0000"/>
    <n v="-238.92"/>
    <s v="11"/>
    <s v="2013"/>
    <n v="12645.15"/>
    <n v="-238.92"/>
    <s v="CREDITOR"/>
    <n v="0"/>
    <n v="0"/>
    <n v="-238.92"/>
    <n v="0"/>
    <n v="0"/>
  </r>
  <r>
    <n v="60201209"/>
    <s v="N"/>
    <n v="21333903"/>
    <s v="3000014517580011RC"/>
    <s v="CIVIL"/>
    <d v="2023-06-26T00:00:00"/>
    <d v="2023-07-05T19:42:28"/>
    <m/>
    <d v="2023-07-05T00:00:00"/>
    <n v="1337"/>
    <n v="15396"/>
    <s v="60201209"/>
    <s v="60201209"/>
    <m/>
    <m/>
    <m/>
    <m/>
    <m/>
    <m/>
    <s v="SOLRECOUP"/>
    <s v="SOLRECOUP"/>
    <s v="POARECOUP"/>
    <n v="21333903"/>
    <n v="-422"/>
    <m/>
    <s v="Y"/>
    <n v="2"/>
    <d v="2023-07-05T19:42:29"/>
    <s v="N"/>
    <m/>
    <m/>
    <s v="Expert Disbursement"/>
    <m/>
    <s v="N"/>
    <n v="0"/>
    <n v="0"/>
    <x v="6"/>
    <s v="VALIDATED"/>
    <n v="1"/>
    <s v="01.11.80.000.0000.0000"/>
    <n v="0"/>
    <s v="11"/>
    <s v="0000"/>
    <n v="12645.15"/>
    <n v="0"/>
    <s v="CREDITOR"/>
    <n v="0"/>
    <n v="0"/>
    <n v="0"/>
    <n v="0"/>
    <n v="0"/>
  </r>
  <r>
    <n v="60201209"/>
    <s v="N"/>
    <n v="21333903"/>
    <s v="3000014517580011RC"/>
    <s v="CIVIL"/>
    <d v="2023-06-26T00:00:00"/>
    <d v="2023-07-05T19:42:28"/>
    <m/>
    <d v="2023-07-05T00:00:00"/>
    <n v="1337"/>
    <n v="15396"/>
    <s v="60201209"/>
    <s v="60201209"/>
    <m/>
    <m/>
    <m/>
    <m/>
    <m/>
    <m/>
    <s v="SOLRECOUP"/>
    <s v="SOLRECOUP"/>
    <s v="POARECOUP"/>
    <n v="21333903"/>
    <n v="-422"/>
    <m/>
    <s v="Y"/>
    <n v="1"/>
    <d v="2023-07-05T19:42:29"/>
    <s v="N"/>
    <m/>
    <m/>
    <s v="Expert Disbursement"/>
    <m/>
    <s v="N"/>
    <n v="-422"/>
    <n v="0"/>
    <x v="6"/>
    <s v="VALIDATED"/>
    <n v="1"/>
    <s v="01.11.80.308.2013.0000"/>
    <n v="-422"/>
    <s v="11"/>
    <s v="2013"/>
    <n v="12645.15"/>
    <n v="-422"/>
    <s v="CREDITOR"/>
    <n v="0"/>
    <n v="0"/>
    <n v="-422"/>
    <n v="0"/>
    <n v="0"/>
  </r>
  <r>
    <n v="60201209"/>
    <s v="N"/>
    <n v="21333904"/>
    <s v="3000014517580005RC"/>
    <s v="CIVIL"/>
    <d v="2023-06-26T00:00:00"/>
    <d v="2023-07-05T19:42:28"/>
    <m/>
    <d v="2023-07-05T00:00:00"/>
    <n v="1337"/>
    <n v="15396"/>
    <s v="60201209"/>
    <s v="60201209"/>
    <m/>
    <m/>
    <m/>
    <m/>
    <m/>
    <m/>
    <s v="SOLRECOUP"/>
    <s v="SOLRECOUP"/>
    <s v="POARECOUP"/>
    <n v="21333904"/>
    <n v="-972"/>
    <m/>
    <s v="Y"/>
    <n v="2"/>
    <d v="2023-07-05T19:42:29"/>
    <s v="N"/>
    <m/>
    <m/>
    <s v="Expert Disbursement"/>
    <m/>
    <s v="N"/>
    <n v="0"/>
    <n v="0"/>
    <x v="6"/>
    <s v="VALIDATED"/>
    <n v="1"/>
    <s v="01.11.80.000.0000.0000"/>
    <n v="0"/>
    <s v="11"/>
    <s v="0000"/>
    <n v="12645.15"/>
    <n v="0"/>
    <s v="CREDITOR"/>
    <n v="0"/>
    <n v="0"/>
    <n v="0"/>
    <n v="0"/>
    <n v="0"/>
  </r>
  <r>
    <n v="60201209"/>
    <s v="N"/>
    <n v="21333904"/>
    <s v="3000014517580005RC"/>
    <s v="CIVIL"/>
    <d v="2023-06-26T00:00:00"/>
    <d v="2023-07-05T19:42:28"/>
    <m/>
    <d v="2023-07-05T00:00:00"/>
    <n v="1337"/>
    <n v="15396"/>
    <s v="60201209"/>
    <s v="60201209"/>
    <m/>
    <m/>
    <m/>
    <m/>
    <m/>
    <m/>
    <s v="SOLRECOUP"/>
    <s v="SOLRECOUP"/>
    <s v="POARECOUP"/>
    <n v="21333904"/>
    <n v="-972"/>
    <m/>
    <s v="Y"/>
    <n v="1"/>
    <d v="2023-07-05T19:42:29"/>
    <s v="N"/>
    <m/>
    <m/>
    <s v="Expert Disbursement"/>
    <m/>
    <s v="N"/>
    <n v="-972"/>
    <n v="0"/>
    <x v="6"/>
    <s v="VALIDATED"/>
    <n v="1"/>
    <s v="01.11.80.308.2013.0000"/>
    <n v="-972"/>
    <s v="11"/>
    <s v="2013"/>
    <n v="12645.15"/>
    <n v="-972"/>
    <s v="CREDITOR"/>
    <n v="0"/>
    <n v="0"/>
    <n v="-972"/>
    <n v="0"/>
    <n v="0"/>
  </r>
  <r>
    <n v="60201209"/>
    <s v="N"/>
    <n v="21333905"/>
    <s v="3000014517580006RC"/>
    <s v="CIVIL"/>
    <d v="2023-06-26T00:00:00"/>
    <d v="2023-07-05T19:42:28"/>
    <m/>
    <d v="2023-07-05T00:00:00"/>
    <n v="1337"/>
    <n v="15396"/>
    <s v="60201209"/>
    <s v="60201209"/>
    <m/>
    <m/>
    <m/>
    <m/>
    <m/>
    <m/>
    <s v="SOLRECOUP"/>
    <s v="SOLRECOUP"/>
    <s v="POARECOUP"/>
    <n v="21333905"/>
    <n v="-162"/>
    <m/>
    <s v="Y"/>
    <n v="2"/>
    <d v="2023-07-05T19:42:29"/>
    <s v="N"/>
    <m/>
    <m/>
    <s v="Expert Disbursement"/>
    <m/>
    <s v="N"/>
    <n v="0"/>
    <n v="0"/>
    <x v="6"/>
    <s v="VALIDATED"/>
    <n v="1"/>
    <s v="01.11.80.000.0000.0000"/>
    <n v="0"/>
    <s v="11"/>
    <s v="0000"/>
    <n v="12645.15"/>
    <n v="0"/>
    <s v="CREDITOR"/>
    <n v="0"/>
    <n v="0"/>
    <n v="0"/>
    <n v="0"/>
    <n v="0"/>
  </r>
  <r>
    <n v="60201209"/>
    <s v="N"/>
    <n v="21333905"/>
    <s v="3000014517580006RC"/>
    <s v="CIVIL"/>
    <d v="2023-06-26T00:00:00"/>
    <d v="2023-07-05T19:42:28"/>
    <m/>
    <d v="2023-07-05T00:00:00"/>
    <n v="1337"/>
    <n v="15396"/>
    <s v="60201209"/>
    <s v="60201209"/>
    <m/>
    <m/>
    <m/>
    <m/>
    <m/>
    <m/>
    <s v="SOLRECOUP"/>
    <s v="SOLRECOUP"/>
    <s v="POARECOUP"/>
    <n v="21333905"/>
    <n v="-162"/>
    <m/>
    <s v="Y"/>
    <n v="1"/>
    <d v="2023-07-05T19:42:29"/>
    <s v="N"/>
    <m/>
    <m/>
    <s v="Expert Disbursement"/>
    <m/>
    <s v="N"/>
    <n v="-162"/>
    <n v="0"/>
    <x v="6"/>
    <s v="VALIDATED"/>
    <n v="1"/>
    <s v="01.11.80.308.2013.0000"/>
    <n v="-162"/>
    <s v="11"/>
    <s v="2013"/>
    <n v="12645.15"/>
    <n v="-162"/>
    <s v="CREDITOR"/>
    <n v="0"/>
    <n v="0"/>
    <n v="-162"/>
    <n v="0"/>
    <n v="0"/>
  </r>
  <r>
    <n v="60201209"/>
    <s v="N"/>
    <n v="21333906"/>
    <s v="3000014517580007RC"/>
    <s v="CIVIL"/>
    <d v="2023-06-26T00:00:00"/>
    <d v="2023-07-05T19:42:28"/>
    <m/>
    <d v="2023-07-05T00:00:00"/>
    <n v="1337"/>
    <n v="15396"/>
    <s v="60201209"/>
    <s v="60201209"/>
    <m/>
    <m/>
    <m/>
    <m/>
    <m/>
    <m/>
    <s v="SOLRECOUP"/>
    <s v="SOLRECOUP"/>
    <s v="POARECOUP"/>
    <n v="21333906"/>
    <n v="-162"/>
    <m/>
    <s v="Y"/>
    <n v="2"/>
    <d v="2023-07-05T19:42:29"/>
    <s v="N"/>
    <m/>
    <m/>
    <s v="Expert Disbursement"/>
    <m/>
    <s v="N"/>
    <n v="0"/>
    <n v="0"/>
    <x v="6"/>
    <s v="VALIDATED"/>
    <n v="1"/>
    <s v="01.11.80.000.0000.0000"/>
    <n v="0"/>
    <s v="11"/>
    <s v="0000"/>
    <n v="12645.15"/>
    <n v="0"/>
    <s v="CREDITOR"/>
    <n v="0"/>
    <n v="0"/>
    <n v="0"/>
    <n v="0"/>
    <n v="0"/>
  </r>
  <r>
    <n v="60201209"/>
    <s v="N"/>
    <n v="21333906"/>
    <s v="3000014517580007RC"/>
    <s v="CIVIL"/>
    <d v="2023-06-26T00:00:00"/>
    <d v="2023-07-05T19:42:28"/>
    <m/>
    <d v="2023-07-05T00:00:00"/>
    <n v="1337"/>
    <n v="15396"/>
    <s v="60201209"/>
    <s v="60201209"/>
    <m/>
    <m/>
    <m/>
    <m/>
    <m/>
    <m/>
    <s v="SOLRECOUP"/>
    <s v="SOLRECOUP"/>
    <s v="POARECOUP"/>
    <n v="21333906"/>
    <n v="-162"/>
    <m/>
    <s v="Y"/>
    <n v="1"/>
    <d v="2023-07-05T19:42:29"/>
    <s v="N"/>
    <m/>
    <m/>
    <s v="Expert Disbursement"/>
    <m/>
    <s v="N"/>
    <n v="-162"/>
    <n v="0"/>
    <x v="6"/>
    <s v="VALIDATED"/>
    <n v="1"/>
    <s v="01.11.80.308.2013.0000"/>
    <n v="-162"/>
    <s v="11"/>
    <s v="2013"/>
    <n v="12645.15"/>
    <n v="-162"/>
    <s v="CREDITOR"/>
    <n v="0"/>
    <n v="0"/>
    <n v="-162"/>
    <n v="0"/>
    <n v="0"/>
  </r>
  <r>
    <n v="60201209"/>
    <s v="N"/>
    <n v="21333907"/>
    <s v="3000014517580004RC"/>
    <s v="CIVIL"/>
    <d v="2023-06-26T00:00:00"/>
    <d v="2023-07-05T19:42:28"/>
    <m/>
    <d v="2023-07-05T00:00:00"/>
    <n v="1337"/>
    <n v="15396"/>
    <s v="60201209"/>
    <s v="60201209"/>
    <m/>
    <m/>
    <m/>
    <m/>
    <m/>
    <m/>
    <s v="SOLRECOUP"/>
    <s v="SOLRECOUP"/>
    <s v="POARECOUP"/>
    <n v="21333907"/>
    <n v="-1920"/>
    <m/>
    <s v="Y"/>
    <n v="2"/>
    <d v="2023-07-05T19:42:29"/>
    <s v="N"/>
    <m/>
    <m/>
    <s v="Profit Cost"/>
    <m/>
    <s v="N"/>
    <n v="0"/>
    <n v="-320"/>
    <x v="6"/>
    <s v="VALIDATED"/>
    <n v="1"/>
    <s v="01.11.80.308.2013.0000"/>
    <n v="-320"/>
    <s v="11"/>
    <s v="2013"/>
    <n v="12645.15"/>
    <n v="-320"/>
    <s v="CREDITOR"/>
    <n v="0"/>
    <n v="0"/>
    <n v="-320"/>
    <n v="-80"/>
    <n v="0"/>
  </r>
  <r>
    <n v="60201209"/>
    <s v="N"/>
    <n v="21333907"/>
    <s v="3000014517580004RC"/>
    <s v="CIVIL"/>
    <d v="2023-06-26T00:00:00"/>
    <d v="2023-07-05T19:42:28"/>
    <m/>
    <d v="2023-07-05T00:00:00"/>
    <n v="1337"/>
    <n v="15396"/>
    <s v="60201209"/>
    <s v="60201209"/>
    <m/>
    <m/>
    <m/>
    <m/>
    <m/>
    <m/>
    <s v="SOLRECOUP"/>
    <s v="SOLRECOUP"/>
    <s v="POARECOUP"/>
    <n v="21333907"/>
    <n v="-1920"/>
    <m/>
    <s v="Y"/>
    <n v="1"/>
    <d v="2023-07-05T19:42:29"/>
    <s v="N"/>
    <m/>
    <m/>
    <s v="Profit Cost"/>
    <m/>
    <s v="N"/>
    <n v="-1600"/>
    <n v="0"/>
    <x v="6"/>
    <s v="VALIDATED"/>
    <n v="1"/>
    <s v="01.11.80.308.2013.0000"/>
    <n v="-1600"/>
    <s v="11"/>
    <s v="2013"/>
    <n v="12645.15"/>
    <n v="-1600"/>
    <s v="CREDITOR"/>
    <n v="0"/>
    <n v="0"/>
    <n v="-1600"/>
    <n v="-400"/>
    <n v="0"/>
  </r>
  <r>
    <n v="60201209"/>
    <s v="N"/>
    <n v="21333908"/>
    <s v="3000014517580009RC"/>
    <s v="CIVIL"/>
    <d v="2023-06-26T00:00:00"/>
    <d v="2023-07-05T19:42:28"/>
    <m/>
    <d v="2023-07-05T00:00:00"/>
    <n v="1337"/>
    <n v="15396"/>
    <s v="60201209"/>
    <s v="60201209"/>
    <m/>
    <m/>
    <m/>
    <m/>
    <m/>
    <m/>
    <s v="SOLRECOUP"/>
    <s v="SOLRECOUP"/>
    <s v="POARECOUP"/>
    <n v="21333908"/>
    <n v="-238.92"/>
    <m/>
    <s v="Y"/>
    <n v="2"/>
    <d v="2023-07-05T19:42:29"/>
    <s v="N"/>
    <m/>
    <m/>
    <s v="Expert Disbursement"/>
    <m/>
    <s v="N"/>
    <n v="0"/>
    <n v="0"/>
    <x v="6"/>
    <s v="VALIDATED"/>
    <n v="1"/>
    <s v="01.11.80.000.0000.0000"/>
    <n v="0"/>
    <s v="11"/>
    <s v="0000"/>
    <n v="12645.15"/>
    <n v="0"/>
    <s v="CREDITOR"/>
    <n v="0"/>
    <n v="0"/>
    <n v="0"/>
    <n v="0"/>
    <n v="0"/>
  </r>
  <r>
    <n v="60201209"/>
    <s v="N"/>
    <n v="21333908"/>
    <s v="3000014517580009RC"/>
    <s v="CIVIL"/>
    <d v="2023-06-26T00:00:00"/>
    <d v="2023-07-05T19:42:28"/>
    <m/>
    <d v="2023-07-05T00:00:00"/>
    <n v="1337"/>
    <n v="15396"/>
    <s v="60201209"/>
    <s v="60201209"/>
    <m/>
    <m/>
    <m/>
    <m/>
    <m/>
    <m/>
    <s v="SOLRECOUP"/>
    <s v="SOLRECOUP"/>
    <s v="POARECOUP"/>
    <n v="21333908"/>
    <n v="-238.92"/>
    <m/>
    <s v="Y"/>
    <n v="1"/>
    <d v="2023-07-05T19:42:29"/>
    <s v="N"/>
    <m/>
    <m/>
    <s v="Expert Disbursement"/>
    <m/>
    <s v="N"/>
    <n v="-238.92"/>
    <n v="0"/>
    <x v="6"/>
    <s v="VALIDATED"/>
    <n v="1"/>
    <s v="01.11.80.308.2013.0000"/>
    <n v="-238.92"/>
    <s v="11"/>
    <s v="2013"/>
    <n v="12645.15"/>
    <n v="-238.92"/>
    <s v="CREDITOR"/>
    <n v="0"/>
    <n v="0"/>
    <n v="-238.92"/>
    <n v="0"/>
    <n v="0"/>
  </r>
  <r>
    <n v="61504747"/>
    <s v="N"/>
    <n v="21388227"/>
    <s v="3000015612050001RC"/>
    <s v="CIVIL"/>
    <d v="2023-06-29T00:00:00"/>
    <d v="2023-07-17T19:42:13"/>
    <m/>
    <d v="2023-07-17T00:00:00"/>
    <n v="1337"/>
    <n v="15396"/>
    <s v="61504747"/>
    <s v="61504747"/>
    <m/>
    <m/>
    <m/>
    <m/>
    <m/>
    <m/>
    <s v="SOLRECOUP"/>
    <s v="SOLRECOUP"/>
    <s v="POARECOUP"/>
    <n v="21388227"/>
    <n v="-232"/>
    <m/>
    <s v="Y"/>
    <n v="1"/>
    <d v="2023-07-17T19:42:15"/>
    <s v="N"/>
    <m/>
    <m/>
    <s v="Expert Disbursement"/>
    <m/>
    <s v="N"/>
    <n v="-232"/>
    <n v="0"/>
    <x v="8"/>
    <s v="VALIDATED"/>
    <n v="1"/>
    <s v="01.11.80.302.2013.0000"/>
    <n v="-232"/>
    <s v="11"/>
    <s v="2013"/>
    <n v="12645.15"/>
    <n v="-232"/>
    <s v="CREDITOR"/>
    <n v="0"/>
    <n v="0"/>
    <n v="-232"/>
    <n v="0"/>
    <n v="0"/>
  </r>
  <r>
    <n v="61504747"/>
    <s v="N"/>
    <n v="21388227"/>
    <s v="3000015612050001RC"/>
    <s v="CIVIL"/>
    <d v="2023-06-29T00:00:00"/>
    <d v="2023-07-17T19:42:13"/>
    <m/>
    <d v="2023-07-17T00:00:00"/>
    <n v="1337"/>
    <n v="15396"/>
    <s v="61504747"/>
    <s v="61504747"/>
    <m/>
    <m/>
    <m/>
    <m/>
    <m/>
    <m/>
    <s v="SOLRECOUP"/>
    <s v="SOLRECOUP"/>
    <s v="POARECOUP"/>
    <n v="21388227"/>
    <n v="-232"/>
    <m/>
    <s v="Y"/>
    <n v="2"/>
    <d v="2023-07-17T19:42:15"/>
    <s v="N"/>
    <m/>
    <m/>
    <s v="Expert Disbursement"/>
    <m/>
    <s v="N"/>
    <n v="0"/>
    <n v="0"/>
    <x v="8"/>
    <s v="VALIDATED"/>
    <n v="1"/>
    <s v="01.11.80.000.0000.0000"/>
    <n v="0"/>
    <s v="11"/>
    <s v="0000"/>
    <n v="12645.15"/>
    <n v="0"/>
    <s v="CREDITOR"/>
    <n v="0"/>
    <n v="0"/>
    <n v="0"/>
    <n v="0"/>
    <n v="0"/>
  </r>
  <r>
    <n v="61504747"/>
    <s v="N"/>
    <n v="21388228"/>
    <s v="3000015612050002RC"/>
    <s v="CIVIL"/>
    <d v="2023-06-29T00:00:00"/>
    <d v="2023-07-17T19:42:13"/>
    <m/>
    <d v="2023-07-17T00:00:00"/>
    <n v="1337"/>
    <n v="15396"/>
    <s v="61504747"/>
    <s v="61504747"/>
    <m/>
    <m/>
    <m/>
    <m/>
    <m/>
    <m/>
    <s v="SOLRECOUP"/>
    <s v="SOLRECOUP"/>
    <s v="POARECOUP"/>
    <n v="21388228"/>
    <n v="-120"/>
    <m/>
    <s v="Y"/>
    <n v="1"/>
    <d v="2023-07-17T19:42:15"/>
    <s v="N"/>
    <m/>
    <m/>
    <s v="Expert Disbursement"/>
    <m/>
    <s v="N"/>
    <n v="-120"/>
    <n v="0"/>
    <x v="8"/>
    <s v="VALIDATED"/>
    <n v="1"/>
    <s v="01.11.80.302.2013.0000"/>
    <n v="-120"/>
    <s v="11"/>
    <s v="2013"/>
    <n v="12645.15"/>
    <n v="-120"/>
    <s v="CREDITOR"/>
    <n v="0"/>
    <n v="0"/>
    <n v="-120"/>
    <n v="0"/>
    <n v="0"/>
  </r>
  <r>
    <n v="61504747"/>
    <s v="N"/>
    <n v="21388228"/>
    <s v="3000015612050002RC"/>
    <s v="CIVIL"/>
    <d v="2023-06-29T00:00:00"/>
    <d v="2023-07-17T19:42:13"/>
    <m/>
    <d v="2023-07-17T00:00:00"/>
    <n v="1337"/>
    <n v="15396"/>
    <s v="61504747"/>
    <s v="61504747"/>
    <m/>
    <m/>
    <m/>
    <m/>
    <m/>
    <m/>
    <s v="SOLRECOUP"/>
    <s v="SOLRECOUP"/>
    <s v="POARECOUP"/>
    <n v="21388228"/>
    <n v="-120"/>
    <m/>
    <s v="Y"/>
    <n v="2"/>
    <d v="2023-07-17T19:42:15"/>
    <s v="N"/>
    <m/>
    <m/>
    <s v="Expert Disbursement"/>
    <m/>
    <s v="N"/>
    <n v="0"/>
    <n v="0"/>
    <x v="8"/>
    <s v="VALIDATED"/>
    <n v="1"/>
    <s v="01.11.80.000.0000.0000"/>
    <n v="0"/>
    <s v="11"/>
    <s v="0000"/>
    <n v="12645.15"/>
    <n v="0"/>
    <s v="CREDITOR"/>
    <n v="0"/>
    <n v="0"/>
    <n v="0"/>
    <n v="0"/>
    <n v="0"/>
  </r>
  <r>
    <n v="59933086"/>
    <s v="N"/>
    <n v="21318699"/>
    <s v="3000014286640024"/>
    <s v="CIVIL"/>
    <d v="2023-06-20T00:00:00"/>
    <d v="2023-07-03T19:01:49"/>
    <m/>
    <d v="2023-07-03T00:00:00"/>
    <n v="1337"/>
    <n v="15396"/>
    <s v="59933086"/>
    <s v="59933086"/>
    <m/>
    <m/>
    <n v="22727454"/>
    <m/>
    <m/>
    <m/>
    <s v="SOLFIN"/>
    <s v="SOLFIN"/>
    <s v="CCMS"/>
    <n v="21318699"/>
    <n v="15529.07"/>
    <m/>
    <s v="N"/>
    <n v="27"/>
    <d v="2023-07-03T19:02:01"/>
    <s v="Y"/>
    <s v="Preparation - other"/>
    <s v="Care Remuneration Hourly Rates"/>
    <s v="Profit Cost"/>
    <s v="MQ"/>
    <s v="Y"/>
    <n v="6.05"/>
    <n v="1.21"/>
    <x v="3"/>
    <s v="VALIDATED"/>
    <n v="1"/>
    <s v="01.11.80.308.6100.0000"/>
    <n v="6.05"/>
    <s v="11"/>
    <s v="6100"/>
    <n v="12645.15"/>
    <n v="6.05"/>
    <s v="CREDITOR"/>
    <n v="0"/>
    <n v="0"/>
    <n v="0"/>
    <n v="0"/>
    <n v="6.05"/>
  </r>
  <r>
    <n v="60201209"/>
    <s v="N"/>
    <n v="21331293"/>
    <s v="3000014517580013"/>
    <s v="CIVIL"/>
    <d v="2023-06-26T00:00:00"/>
    <d v="2023-07-05T19:01:47"/>
    <m/>
    <d v="2023-07-05T00:00:00"/>
    <n v="1337"/>
    <n v="15396"/>
    <s v="60201209"/>
    <s v="60201209"/>
    <m/>
    <m/>
    <n v="22759208"/>
    <m/>
    <m/>
    <m/>
    <s v="SOLFIN"/>
    <s v="SOLFIN"/>
    <s v="CCMS"/>
    <n v="21331293"/>
    <n v="11995.24"/>
    <m/>
    <s v="N"/>
    <n v="10"/>
    <d v="2023-07-05T19:02:13"/>
    <s v="Y"/>
    <s v="Attendance upon client"/>
    <s v="Care Remuneration Hourly Rates"/>
    <s v="Profit Cost"/>
    <s v="MQ"/>
    <s v="Y"/>
    <n v="36.81"/>
    <n v="7.36"/>
    <x v="6"/>
    <s v="VALIDATED"/>
    <n v="1"/>
    <s v="01.11.80.308.6100.0000"/>
    <n v="36.81"/>
    <s v="11"/>
    <s v="6100"/>
    <n v="12645.15"/>
    <n v="36.81"/>
    <s v="CREDITOR"/>
    <n v="0"/>
    <n v="0"/>
    <n v="0"/>
    <n v="0"/>
    <n v="36.81"/>
  </r>
  <r>
    <n v="60201209"/>
    <s v="N"/>
    <n v="21331293"/>
    <s v="3000014517580013"/>
    <s v="CIVIL"/>
    <d v="2023-06-26T00:00:00"/>
    <d v="2023-07-05T19:01:47"/>
    <m/>
    <d v="2023-07-05T00:00:00"/>
    <n v="1337"/>
    <n v="15396"/>
    <s v="60201209"/>
    <s v="60201209"/>
    <m/>
    <m/>
    <n v="22759208"/>
    <m/>
    <m/>
    <m/>
    <s v="SOLFIN"/>
    <s v="SOLFIN"/>
    <s v="CCMS"/>
    <n v="21331293"/>
    <n v="11995.24"/>
    <m/>
    <s v="N"/>
    <n v="14"/>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68"/>
    <d v="2023-07-03T19:02:01"/>
    <s v="Y"/>
    <s v="Preparation - other"/>
    <s v="Care Remuneration Hourly Rates"/>
    <s v="Profit Cost"/>
    <s v="MQ"/>
    <s v="Y"/>
    <n v="36.81"/>
    <n v="7.36"/>
    <x v="3"/>
    <s v="VALIDATED"/>
    <n v="1"/>
    <s v="01.11.80.308.6100.0000"/>
    <n v="36.81"/>
    <s v="11"/>
    <s v="6100"/>
    <n v="12645.15"/>
    <n v="36.81"/>
    <s v="CREDITOR"/>
    <n v="0"/>
    <n v="0"/>
    <n v="0"/>
    <n v="0"/>
    <n v="36.81"/>
  </r>
  <r>
    <n v="59933086"/>
    <s v="N"/>
    <n v="21318699"/>
    <s v="3000014286640024"/>
    <s v="CIVIL"/>
    <d v="2023-06-20T00:00:00"/>
    <d v="2023-07-03T19:01:49"/>
    <m/>
    <d v="2023-07-03T00:00:00"/>
    <n v="1337"/>
    <n v="15396"/>
    <s v="59933086"/>
    <s v="59933086"/>
    <m/>
    <m/>
    <n v="22727454"/>
    <m/>
    <m/>
    <m/>
    <s v="SOLFIN"/>
    <s v="SOLFIN"/>
    <s v="CCMS"/>
    <n v="21318699"/>
    <n v="15529.07"/>
    <m/>
    <s v="N"/>
    <n v="38"/>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23"/>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33"/>
    <d v="2023-07-03T19:02:01"/>
    <s v="Y"/>
    <s v="Toxicologist"/>
    <s v="Care Remuneration Hourly Rates"/>
    <s v="Expert Disbursement"/>
    <s v="XXX"/>
    <s v="Y"/>
    <n v="86.5"/>
    <n v="17.3"/>
    <x v="3"/>
    <s v="VALIDATED"/>
    <n v="1"/>
    <s v="01.11.80.308.6300.0000"/>
    <n v="86.5"/>
    <s v="11"/>
    <s v="6300"/>
    <n v="12645.15"/>
    <n v="86.5"/>
    <s v="CREDITOR"/>
    <n v="0"/>
    <n v="0"/>
    <n v="0"/>
    <n v="0"/>
    <n v="86.5"/>
  </r>
  <r>
    <n v="59933086"/>
    <s v="N"/>
    <n v="21318699"/>
    <s v="3000014286640024"/>
    <s v="CIVIL"/>
    <d v="2023-06-20T00:00:00"/>
    <d v="2023-07-03T19:01:49"/>
    <m/>
    <d v="2023-07-03T00:00:00"/>
    <n v="1337"/>
    <n v="15396"/>
    <s v="59933086"/>
    <s v="59933086"/>
    <m/>
    <m/>
    <n v="22727454"/>
    <m/>
    <m/>
    <m/>
    <s v="SOLFIN"/>
    <s v="SOLFIN"/>
    <s v="CCMS"/>
    <n v="21318699"/>
    <n v="15529.07"/>
    <m/>
    <s v="N"/>
    <n v="147"/>
    <d v="2023-07-03T19:02:01"/>
    <s v="Y"/>
    <s v="Advocates Meeting"/>
    <s v="Public Law Children"/>
    <s v="Advocacy"/>
    <s v="MQ"/>
    <s v="Y"/>
    <n v="140.99"/>
    <n v="28.2"/>
    <x v="3"/>
    <s v="VALIDATED"/>
    <n v="1"/>
    <s v="01.11.80.308.6100.0000"/>
    <n v="140.99"/>
    <s v="11"/>
    <s v="6100"/>
    <n v="12645.15"/>
    <n v="140.99"/>
    <s v="CREDITOR"/>
    <n v="0"/>
    <n v="0"/>
    <n v="0"/>
    <n v="0"/>
    <n v="140.99"/>
  </r>
  <r>
    <n v="59933086"/>
    <s v="N"/>
    <n v="21318699"/>
    <s v="3000014286640024"/>
    <s v="CIVIL"/>
    <d v="2023-06-20T00:00:00"/>
    <d v="2023-07-03T19:01:49"/>
    <m/>
    <d v="2023-07-03T00:00:00"/>
    <n v="1337"/>
    <n v="15396"/>
    <s v="59933086"/>
    <s v="59933086"/>
    <m/>
    <m/>
    <n v="22727454"/>
    <m/>
    <m/>
    <m/>
    <s v="SOLFIN"/>
    <s v="SOLFIN"/>
    <s v="CCMS"/>
    <n v="21318699"/>
    <n v="15529.07"/>
    <m/>
    <s v="N"/>
    <n v="69"/>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41"/>
    <d v="2023-07-05T19:02:13"/>
    <s v="Y"/>
    <s v="Preparation - drafting instructions"/>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88"/>
    <d v="2023-07-03T19:02:01"/>
    <s v="Y"/>
    <s v="Preparation - other"/>
    <s v="Care Remuneration Hourly Rates"/>
    <s v="Profit Cost"/>
    <s v="MQ"/>
    <s v="Y"/>
    <n v="80.95999999999999"/>
    <n v="16.19"/>
    <x v="3"/>
    <s v="VALIDATED"/>
    <n v="1"/>
    <s v="01.11.80.308.6100.0000"/>
    <n v="80.95999999999999"/>
    <s v="11"/>
    <s v="6100"/>
    <n v="12645.15"/>
    <n v="80.95999999999999"/>
    <s v="CREDITOR"/>
    <n v="0"/>
    <n v="0"/>
    <n v="0"/>
    <n v="0"/>
    <n v="80.95999999999999"/>
  </r>
  <r>
    <n v="59933086"/>
    <s v="N"/>
    <n v="21318699"/>
    <s v="3000014286640024"/>
    <s v="CIVIL"/>
    <d v="2023-06-20T00:00:00"/>
    <d v="2023-07-03T19:01:49"/>
    <m/>
    <d v="2023-07-03T00:00:00"/>
    <n v="1337"/>
    <n v="15396"/>
    <s v="59933086"/>
    <s v="59933086"/>
    <m/>
    <m/>
    <n v="22727454"/>
    <m/>
    <m/>
    <m/>
    <s v="SOLFIN"/>
    <s v="SOLFIN"/>
    <s v="CCMS"/>
    <n v="21318699"/>
    <n v="15529.07"/>
    <m/>
    <s v="N"/>
    <n v="30"/>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5"/>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132"/>
    <d v="2023-07-03T19:02:01"/>
    <s v="Y"/>
    <s v="Toxicologist"/>
    <s v="Care Remuneration Hourly Rates"/>
    <s v="Expert Disbursement"/>
    <s v="XXX"/>
    <s v="Y"/>
    <n v="27.5"/>
    <n v="5.5"/>
    <x v="3"/>
    <s v="VALIDATED"/>
    <n v="1"/>
    <s v="01.11.80.308.6300.0000"/>
    <n v="27.5"/>
    <s v="11"/>
    <s v="6300"/>
    <n v="12645.15"/>
    <n v="27.5"/>
    <s v="CREDITOR"/>
    <n v="0"/>
    <n v="0"/>
    <n v="0"/>
    <n v="0"/>
    <n v="27.5"/>
  </r>
  <r>
    <n v="60201209"/>
    <s v="N"/>
    <n v="21331293"/>
    <s v="3000014517580013"/>
    <s v="CIVIL"/>
    <d v="2023-06-26T00:00:00"/>
    <d v="2023-07-05T19:01:47"/>
    <m/>
    <d v="2023-07-05T00:00:00"/>
    <n v="1337"/>
    <n v="15396"/>
    <s v="60201209"/>
    <s v="60201209"/>
    <m/>
    <m/>
    <n v="22759208"/>
    <m/>
    <m/>
    <m/>
    <s v="SOLFIN"/>
    <s v="SOLFIN"/>
    <s v="CCMS"/>
    <n v="21331293"/>
    <n v="11995.24"/>
    <m/>
    <s v="N"/>
    <n v="60"/>
    <d v="2023-07-05T19:02:13"/>
    <s v="Y"/>
    <s v="Preparation - drafting instructions"/>
    <s v="Care Remuneration Hourly Rates"/>
    <s v="Profit Cost"/>
    <s v="MQ"/>
    <s v="Y"/>
    <n v="22.08"/>
    <n v="4.42"/>
    <x v="6"/>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148"/>
    <d v="2023-07-03T19:02:01"/>
    <s v="Y"/>
    <s v="Advocates Meeting"/>
    <s v="Public Law Children"/>
    <s v="Advocacy"/>
    <s v="MQ"/>
    <s v="Y"/>
    <n v="140.99"/>
    <n v="28.2"/>
    <x v="3"/>
    <s v="VALIDATED"/>
    <n v="1"/>
    <s v="01.11.80.308.6100.0000"/>
    <n v="140.99"/>
    <s v="11"/>
    <s v="6100"/>
    <n v="12645.15"/>
    <n v="140.99"/>
    <s v="CREDITOR"/>
    <n v="0"/>
    <n v="0"/>
    <n v="0"/>
    <n v="0"/>
    <n v="140.99"/>
  </r>
  <r>
    <n v="60201209"/>
    <s v="N"/>
    <n v="21331293"/>
    <s v="3000014517580013"/>
    <s v="CIVIL"/>
    <d v="2023-06-26T00:00:00"/>
    <d v="2023-07-05T19:01:47"/>
    <m/>
    <d v="2023-07-05T00:00:00"/>
    <n v="1337"/>
    <n v="15396"/>
    <s v="60201209"/>
    <s v="60201209"/>
    <m/>
    <m/>
    <n v="22759208"/>
    <m/>
    <m/>
    <m/>
    <s v="SOLFIN"/>
    <s v="SOLFIN"/>
    <s v="CCMS"/>
    <n v="21331293"/>
    <n v="11995.24"/>
    <m/>
    <s v="N"/>
    <n v="31"/>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106"/>
    <d v="2023-07-03T19:02:01"/>
    <s v="Y"/>
    <s v="Preparation - other"/>
    <s v="Care Remuneration Hourly Rates"/>
    <s v="Profit Cost"/>
    <s v="CD"/>
    <s v="Y"/>
    <n v="5.26"/>
    <n v="1.05"/>
    <x v="3"/>
    <s v="VALIDATED"/>
    <n v="1"/>
    <s v="01.11.80.308.6100.0000"/>
    <n v="5.26"/>
    <s v="11"/>
    <s v="6100"/>
    <n v="12645.15"/>
    <n v="5.26"/>
    <s v="CREDITOR"/>
    <n v="0"/>
    <n v="0"/>
    <n v="0"/>
    <n v="0"/>
    <n v="5.26"/>
  </r>
  <r>
    <n v="59933086"/>
    <s v="N"/>
    <n v="21318699"/>
    <s v="3000014286640024"/>
    <s v="CIVIL"/>
    <d v="2023-06-20T00:00:00"/>
    <d v="2023-07-03T19:01:49"/>
    <m/>
    <d v="2023-07-03T00:00:00"/>
    <n v="1337"/>
    <n v="15396"/>
    <s v="59933086"/>
    <s v="59933086"/>
    <m/>
    <m/>
    <n v="22727454"/>
    <m/>
    <m/>
    <m/>
    <s v="SOLFIN"/>
    <s v="SOLFIN"/>
    <s v="CCMS"/>
    <n v="21318699"/>
    <n v="15529.07"/>
    <m/>
    <s v="N"/>
    <n v="146"/>
    <d v="2023-07-03T19:02:01"/>
    <s v="Y"/>
    <s v="Hearing Unit 1.01 - 2.30 Hours"/>
    <s v="Public Law Children"/>
    <s v="Advocacy"/>
    <s v="MQ"/>
    <s v="Y"/>
    <n v="238.46"/>
    <n v="47.69"/>
    <x v="3"/>
    <s v="VALIDATED"/>
    <n v="1"/>
    <s v="01.11.80.308.6100.0000"/>
    <n v="238.46"/>
    <s v="11"/>
    <s v="6100"/>
    <n v="12645.15"/>
    <n v="238.46"/>
    <s v="CREDITOR"/>
    <n v="0"/>
    <n v="0"/>
    <n v="0"/>
    <n v="0"/>
    <n v="238.46"/>
  </r>
  <r>
    <n v="60201209"/>
    <s v="N"/>
    <n v="21331293"/>
    <s v="3000014517580013"/>
    <s v="CIVIL"/>
    <d v="2023-06-26T00:00:00"/>
    <d v="2023-07-05T19:01:47"/>
    <m/>
    <d v="2023-07-05T00:00:00"/>
    <n v="1337"/>
    <n v="15396"/>
    <s v="60201209"/>
    <s v="60201209"/>
    <m/>
    <m/>
    <n v="22759208"/>
    <m/>
    <m/>
    <m/>
    <s v="SOLFIN"/>
    <s v="SOLFIN"/>
    <s v="CCMS"/>
    <n v="21331293"/>
    <n v="11995.24"/>
    <m/>
    <s v="N"/>
    <n v="86"/>
    <d v="2023-07-05T19:02:13"/>
    <s v="Y"/>
    <s v="Routine Telephone Call"/>
    <s v="Care Remuneration Hourly Rates"/>
    <s v="Profit Cost"/>
    <s v="HR"/>
    <s v="Y"/>
    <n v="11.07"/>
    <n v="2.21"/>
    <x v="6"/>
    <s v="VALIDATED"/>
    <n v="1"/>
    <s v="01.11.80.308.6100.0000"/>
    <n v="11.07"/>
    <s v="11"/>
    <s v="6100"/>
    <n v="12645.15"/>
    <n v="11.07"/>
    <s v="CREDITOR"/>
    <n v="0"/>
    <n v="0"/>
    <n v="0"/>
    <n v="0"/>
    <n v="11.07"/>
  </r>
  <r>
    <n v="60201209"/>
    <s v="N"/>
    <n v="21331293"/>
    <s v="3000014517580013"/>
    <s v="CIVIL"/>
    <d v="2023-06-26T00:00:00"/>
    <d v="2023-07-05T19:01:47"/>
    <m/>
    <d v="2023-07-05T00:00:00"/>
    <n v="1337"/>
    <n v="15396"/>
    <s v="60201209"/>
    <s v="60201209"/>
    <m/>
    <m/>
    <n v="22759208"/>
    <m/>
    <m/>
    <m/>
    <s v="SOLFIN"/>
    <s v="SOLFIN"/>
    <s v="CCMS"/>
    <n v="21331293"/>
    <n v="11995.24"/>
    <m/>
    <s v="N"/>
    <n v="24"/>
    <d v="2023-07-05T19:02:13"/>
    <s v="Y"/>
    <s v="Preparation - drafting application"/>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51"/>
    <d v="2023-07-05T19:02:13"/>
    <s v="Y"/>
    <s v="Preparation - other"/>
    <s v="Care Remuneration Hourly Rates"/>
    <s v="Profit Cost"/>
    <s v="MQ"/>
    <s v="Y"/>
    <n v="22.08"/>
    <n v="4.42"/>
    <x v="6"/>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74"/>
    <d v="2023-07-05T19:02:13"/>
    <s v="Y"/>
    <s v="Preparation - other"/>
    <s v="Care Remuneration Hourly Rates"/>
    <s v="Profit Cost"/>
    <s v="MQ"/>
    <s v="Y"/>
    <n v="44.16"/>
    <n v="8.83"/>
    <x v="6"/>
    <s v="VALIDATED"/>
    <n v="1"/>
    <s v="01.11.80.308.6100.0000"/>
    <n v="44.16"/>
    <s v="11"/>
    <s v="6100"/>
    <n v="12645.15"/>
    <n v="44.16"/>
    <s v="CREDITOR"/>
    <n v="0"/>
    <n v="0"/>
    <n v="0"/>
    <n v="0"/>
    <n v="44.16"/>
  </r>
  <r>
    <n v="59933086"/>
    <s v="N"/>
    <n v="21318699"/>
    <s v="3000014286640024"/>
    <s v="CIVIL"/>
    <d v="2023-06-20T00:00:00"/>
    <d v="2023-07-03T19:01:49"/>
    <m/>
    <d v="2023-07-03T00:00:00"/>
    <n v="1337"/>
    <n v="15396"/>
    <s v="59933086"/>
    <s v="59933086"/>
    <m/>
    <m/>
    <n v="22727454"/>
    <m/>
    <m/>
    <m/>
    <s v="SOLFIN"/>
    <s v="SOLFIN"/>
    <s v="CCMS"/>
    <n v="21318699"/>
    <n v="15529.07"/>
    <m/>
    <s v="N"/>
    <n v="47"/>
    <d v="2023-07-03T19:02:01"/>
    <s v="Y"/>
    <s v="Preparation - other"/>
    <s v="Care Remuneration Hourly Rates"/>
    <s v="Profit Cost"/>
    <s v="MQ"/>
    <s v="Y"/>
    <n v="58.88"/>
    <n v="11.78"/>
    <x v="3"/>
    <s v="VALIDATED"/>
    <n v="1"/>
    <s v="01.11.80.308.6100.0000"/>
    <n v="58.88"/>
    <s v="11"/>
    <s v="6100"/>
    <n v="12645.15"/>
    <n v="58.88"/>
    <s v="CREDITOR"/>
    <n v="0"/>
    <n v="0"/>
    <n v="0"/>
    <n v="0"/>
    <n v="58.88"/>
  </r>
  <r>
    <n v="59933086"/>
    <s v="N"/>
    <n v="21318699"/>
    <s v="3000014286640024"/>
    <s v="CIVIL"/>
    <d v="2023-06-20T00:00:00"/>
    <d v="2023-07-03T19:01:49"/>
    <m/>
    <d v="2023-07-03T00:00:00"/>
    <n v="1337"/>
    <n v="15396"/>
    <s v="59933086"/>
    <s v="59933086"/>
    <m/>
    <m/>
    <n v="22727454"/>
    <m/>
    <m/>
    <m/>
    <s v="SOLFIN"/>
    <s v="SOLFIN"/>
    <s v="CCMS"/>
    <n v="21318699"/>
    <n v="15529.07"/>
    <m/>
    <s v="N"/>
    <n v="52"/>
    <d v="2023-07-03T19:02:01"/>
    <s v="Y"/>
    <s v="Preparation - drafting instructions"/>
    <s v="Care Remuneration Hourly Rates"/>
    <s v="Profit Cost"/>
    <s v="MQ"/>
    <s v="Y"/>
    <n v="66.23"/>
    <n v="13.25"/>
    <x v="3"/>
    <s v="VALIDATED"/>
    <n v="1"/>
    <s v="01.11.80.308.6100.0000"/>
    <n v="66.23"/>
    <s v="11"/>
    <s v="6100"/>
    <n v="12645.15"/>
    <n v="66.23"/>
    <s v="CREDITOR"/>
    <n v="0"/>
    <n v="0"/>
    <n v="0"/>
    <n v="0"/>
    <n v="66.23"/>
  </r>
  <r>
    <n v="59933086"/>
    <s v="N"/>
    <n v="21318699"/>
    <s v="3000014286640024"/>
    <s v="CIVIL"/>
    <d v="2023-06-20T00:00:00"/>
    <d v="2023-07-03T19:01:49"/>
    <m/>
    <d v="2023-07-03T00:00:00"/>
    <n v="1337"/>
    <n v="15396"/>
    <s v="59933086"/>
    <s v="59933086"/>
    <m/>
    <m/>
    <n v="22727454"/>
    <m/>
    <m/>
    <m/>
    <s v="SOLFIN"/>
    <s v="SOLFIN"/>
    <s v="CCMS"/>
    <n v="21318699"/>
    <n v="15529.07"/>
    <m/>
    <s v="N"/>
    <n v="59"/>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111"/>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45"/>
    <d v="2023-07-03T19:02:01"/>
    <s v="Y"/>
    <s v="Psychologist"/>
    <s v="Care Remuneration Hourly Rates"/>
    <s v="Expert Disbursement"/>
    <s v="XXX"/>
    <s v="Y"/>
    <n v="99.45"/>
    <n v="19.89"/>
    <x v="3"/>
    <s v="VALIDATED"/>
    <n v="1"/>
    <s v="01.11.80.308.6300.0000"/>
    <n v="99.45"/>
    <s v="11"/>
    <s v="6300"/>
    <n v="12645.15"/>
    <n v="99.45"/>
    <s v="CREDITOR"/>
    <n v="0"/>
    <n v="0"/>
    <n v="0"/>
    <n v="0"/>
    <n v="99.45"/>
  </r>
  <r>
    <n v="60201209"/>
    <s v="N"/>
    <n v="21331293"/>
    <s v="3000014517580013"/>
    <s v="CIVIL"/>
    <d v="2023-06-26T00:00:00"/>
    <d v="2023-07-05T19:01:47"/>
    <m/>
    <d v="2023-07-05T00:00:00"/>
    <n v="1337"/>
    <n v="15396"/>
    <s v="60201209"/>
    <s v="60201209"/>
    <m/>
    <m/>
    <n v="22759208"/>
    <m/>
    <m/>
    <m/>
    <s v="SOLFIN"/>
    <s v="SOLFIN"/>
    <s v="CCMS"/>
    <n v="21331293"/>
    <n v="11995.24"/>
    <m/>
    <s v="N"/>
    <n v="32"/>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69"/>
    <d v="2023-07-05T19:02:13"/>
    <s v="Y"/>
    <s v="Preparation - other"/>
    <s v="Care Remuneration Hourly Rates"/>
    <s v="Profit Cost"/>
    <s v="MQ"/>
    <s v="Y"/>
    <n v="147.2"/>
    <n v="29.44"/>
    <x v="6"/>
    <s v="VALIDATED"/>
    <n v="1"/>
    <s v="01.11.80.308.6100.0000"/>
    <n v="147.2"/>
    <s v="11"/>
    <s v="6100"/>
    <n v="12645.15"/>
    <n v="147.2"/>
    <s v="CREDITOR"/>
    <n v="0"/>
    <n v="0"/>
    <n v="0"/>
    <n v="0"/>
    <n v="147.2"/>
  </r>
  <r>
    <n v="59933086"/>
    <s v="N"/>
    <n v="21318699"/>
    <s v="3000014286640024"/>
    <s v="CIVIL"/>
    <d v="2023-06-20T00:00:00"/>
    <d v="2023-07-03T19:01:49"/>
    <m/>
    <d v="2023-07-03T00:00:00"/>
    <n v="1337"/>
    <n v="15396"/>
    <s v="59933086"/>
    <s v="59933086"/>
    <m/>
    <m/>
    <n v="22727454"/>
    <m/>
    <m/>
    <m/>
    <s v="SOLFIN"/>
    <s v="SOLFIN"/>
    <s v="CCMS"/>
    <n v="21318699"/>
    <n v="15529.07"/>
    <m/>
    <s v="N"/>
    <n v="74"/>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144"/>
    <d v="2023-07-03T19:02:01"/>
    <s v="Y"/>
    <s v="Independent Social Worker"/>
    <s v="Care Remuneration Hourly Rates"/>
    <s v="Expert Disbursement"/>
    <s v="XXX"/>
    <s v="Y"/>
    <n v="53.63"/>
    <n v="10.73"/>
    <x v="3"/>
    <s v="VALIDATED"/>
    <n v="1"/>
    <s v="01.11.80.308.6300.0000"/>
    <n v="53.63"/>
    <s v="11"/>
    <s v="6300"/>
    <n v="12645.15"/>
    <n v="53.63"/>
    <s v="CREDITOR"/>
    <n v="0"/>
    <n v="0"/>
    <n v="0"/>
    <n v="0"/>
    <n v="53.63"/>
  </r>
  <r>
    <n v="59933086"/>
    <s v="N"/>
    <n v="21318699"/>
    <s v="3000014286640024"/>
    <s v="CIVIL"/>
    <d v="2023-06-20T00:00:00"/>
    <d v="2023-07-03T19:01:49"/>
    <m/>
    <d v="2023-07-03T00:00:00"/>
    <n v="1337"/>
    <n v="15396"/>
    <s v="59933086"/>
    <s v="59933086"/>
    <m/>
    <m/>
    <n v="22727454"/>
    <m/>
    <m/>
    <m/>
    <s v="SOLFIN"/>
    <s v="SOLFIN"/>
    <s v="CCMS"/>
    <n v="21318699"/>
    <n v="15529.07"/>
    <m/>
    <s v="N"/>
    <n v="16"/>
    <d v="2023-07-03T19:02:01"/>
    <s v="Y"/>
    <s v="Attendance upon/with Counsel at Con"/>
    <s v="Care Remuneration Hourly Rates"/>
    <s v="Profit Cost"/>
    <s v="MQ"/>
    <s v="Y"/>
    <n v="6.76"/>
    <n v="1.35"/>
    <x v="3"/>
    <s v="VALIDATED"/>
    <n v="1"/>
    <s v="01.11.80.308.6100.0000"/>
    <n v="6.76"/>
    <s v="11"/>
    <s v="6100"/>
    <n v="12645.15"/>
    <n v="6.76"/>
    <s v="CREDITOR"/>
    <n v="0"/>
    <n v="0"/>
    <n v="0"/>
    <n v="0"/>
    <n v="6.76"/>
  </r>
  <r>
    <n v="59933086"/>
    <s v="N"/>
    <n v="21318699"/>
    <s v="3000014286640024"/>
    <s v="CIVIL"/>
    <d v="2023-06-20T00:00:00"/>
    <d v="2023-07-03T19:01:49"/>
    <m/>
    <d v="2023-07-03T00:00:00"/>
    <n v="1337"/>
    <n v="15396"/>
    <s v="59933086"/>
    <s v="59933086"/>
    <m/>
    <m/>
    <n v="22727454"/>
    <m/>
    <m/>
    <m/>
    <s v="SOLFIN"/>
    <s v="SOLFIN"/>
    <s v="CCMS"/>
    <n v="21318699"/>
    <n v="15529.07"/>
    <m/>
    <s v="N"/>
    <n v="117"/>
    <d v="2023-07-03T19:02:01"/>
    <s v="Y"/>
    <s v="Preparation - other"/>
    <s v="Care Remuneration Hourly Rates"/>
    <s v="Profit Cost"/>
    <s v="CD"/>
    <s v="Y"/>
    <n v="5.26"/>
    <n v="1.05"/>
    <x v="3"/>
    <s v="VALIDATED"/>
    <n v="1"/>
    <s v="01.11.80.308.6100.0000"/>
    <n v="5.26"/>
    <s v="11"/>
    <s v="6100"/>
    <n v="12645.15"/>
    <n v="5.26"/>
    <s v="CREDITOR"/>
    <n v="0"/>
    <n v="0"/>
    <n v="0"/>
    <n v="0"/>
    <n v="5.26"/>
  </r>
  <r>
    <n v="59933086"/>
    <s v="N"/>
    <n v="21318699"/>
    <s v="3000014286640024"/>
    <s v="CIVIL"/>
    <d v="2023-06-20T00:00:00"/>
    <d v="2023-07-03T19:01:49"/>
    <m/>
    <d v="2023-07-03T00:00:00"/>
    <n v="1337"/>
    <n v="15396"/>
    <s v="59933086"/>
    <s v="59933086"/>
    <m/>
    <m/>
    <n v="22727454"/>
    <m/>
    <m/>
    <m/>
    <s v="SOLFIN"/>
    <s v="SOLFIN"/>
    <s v="CCMS"/>
    <n v="21318699"/>
    <n v="15529.07"/>
    <m/>
    <s v="N"/>
    <n v="85"/>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11"/>
    <d v="2023-07-05T19:02:13"/>
    <s v="Y"/>
    <s v="Preparation - other"/>
    <s v="Care Remuneration Hourly Rates"/>
    <s v="Profit Cost"/>
    <s v="MQ"/>
    <s v="Y"/>
    <n v="184"/>
    <n v="36.8"/>
    <x v="6"/>
    <s v="VALIDATED"/>
    <n v="1"/>
    <s v="01.11.80.308.6100.0000"/>
    <n v="184"/>
    <s v="11"/>
    <s v="6100"/>
    <n v="12645.15"/>
    <n v="184"/>
    <s v="CREDITOR"/>
    <n v="0"/>
    <n v="0"/>
    <n v="0"/>
    <n v="0"/>
    <n v="184"/>
  </r>
  <r>
    <n v="60201209"/>
    <s v="N"/>
    <n v="21331293"/>
    <s v="3000014517580013"/>
    <s v="CIVIL"/>
    <d v="2023-06-26T00:00:00"/>
    <d v="2023-07-05T19:01:47"/>
    <m/>
    <d v="2023-07-05T00:00:00"/>
    <n v="1337"/>
    <n v="15396"/>
    <s v="60201209"/>
    <s v="60201209"/>
    <m/>
    <m/>
    <n v="22759208"/>
    <m/>
    <m/>
    <m/>
    <s v="SOLFIN"/>
    <s v="SOLFIN"/>
    <s v="CCMS"/>
    <n v="21331293"/>
    <n v="11995.24"/>
    <m/>
    <s v="N"/>
    <n v="72"/>
    <d v="2023-07-05T19:02:13"/>
    <s v="Y"/>
    <s v="Preparation - drafting statement"/>
    <s v="Care Remuneration Hourly Rates"/>
    <s v="Profit Cost"/>
    <s v="MQ"/>
    <s v="Y"/>
    <n v="51.52"/>
    <n v="10.3"/>
    <x v="6"/>
    <s v="VALIDATED"/>
    <n v="1"/>
    <s v="01.11.80.308.6100.0000"/>
    <n v="51.52"/>
    <s v="11"/>
    <s v="6100"/>
    <n v="12645.15"/>
    <n v="51.52"/>
    <s v="CREDITOR"/>
    <n v="0"/>
    <n v="0"/>
    <n v="0"/>
    <n v="0"/>
    <n v="51.52"/>
  </r>
  <r>
    <n v="59933086"/>
    <s v="N"/>
    <n v="21318699"/>
    <s v="3000014286640024"/>
    <s v="CIVIL"/>
    <d v="2023-06-20T00:00:00"/>
    <d v="2023-07-03T19:01:49"/>
    <m/>
    <d v="2023-07-03T00:00:00"/>
    <n v="1337"/>
    <n v="15396"/>
    <s v="59933086"/>
    <s v="59933086"/>
    <m/>
    <m/>
    <n v="22727454"/>
    <m/>
    <m/>
    <m/>
    <s v="SOLFIN"/>
    <s v="SOLFIN"/>
    <s v="CCMS"/>
    <n v="21318699"/>
    <n v="15529.07"/>
    <m/>
    <s v="N"/>
    <n v="36"/>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112"/>
    <d v="2023-07-03T19:02:01"/>
    <s v="Y"/>
    <s v="Preparation - other"/>
    <s v="Care Remuneration Hourly Rates"/>
    <s v="Profit Cost"/>
    <s v="MQ"/>
    <s v="Y"/>
    <n v="36.81"/>
    <n v="7.36"/>
    <x v="3"/>
    <s v="VALIDATED"/>
    <n v="1"/>
    <s v="01.11.80.308.6100.0000"/>
    <n v="36.81"/>
    <s v="11"/>
    <s v="6100"/>
    <n v="12645.15"/>
    <n v="36.81"/>
    <s v="CREDITOR"/>
    <n v="0"/>
    <n v="0"/>
    <n v="0"/>
    <n v="0"/>
    <n v="36.81"/>
  </r>
  <r>
    <n v="59933086"/>
    <s v="N"/>
    <n v="21318699"/>
    <s v="3000014286640024"/>
    <s v="CIVIL"/>
    <d v="2023-06-20T00:00:00"/>
    <d v="2023-07-03T19:01:49"/>
    <m/>
    <d v="2023-07-03T00:00:00"/>
    <n v="1337"/>
    <n v="15396"/>
    <s v="59933086"/>
    <s v="59933086"/>
    <m/>
    <m/>
    <n v="22727454"/>
    <m/>
    <m/>
    <m/>
    <s v="SOLFIN"/>
    <s v="SOLFIN"/>
    <s v="CCMS"/>
    <n v="21318699"/>
    <n v="15529.07"/>
    <m/>
    <s v="N"/>
    <n v="20"/>
    <d v="2023-07-03T19:02:01"/>
    <s v="Y"/>
    <s v="Report - Medical report"/>
    <s v="Care Remuneration Hourly Rates"/>
    <s v="Profit Cost"/>
    <s v="MQ"/>
    <s v="Y"/>
    <n v="110.4"/>
    <n v="22.08"/>
    <x v="3"/>
    <s v="VALIDATED"/>
    <n v="1"/>
    <s v="01.11.80.308.6100.0000"/>
    <n v="110.4"/>
    <s v="11"/>
    <s v="6100"/>
    <n v="12645.15"/>
    <n v="110.4"/>
    <s v="CREDITOR"/>
    <n v="0"/>
    <n v="0"/>
    <n v="0"/>
    <n v="0"/>
    <n v="110.4"/>
  </r>
  <r>
    <n v="59933086"/>
    <s v="N"/>
    <n v="21318699"/>
    <s v="3000014286640024"/>
    <s v="CIVIL"/>
    <d v="2023-06-20T00:00:00"/>
    <d v="2023-07-03T19:01:49"/>
    <m/>
    <d v="2023-07-03T00:00:00"/>
    <n v="1337"/>
    <n v="15396"/>
    <s v="59933086"/>
    <s v="59933086"/>
    <m/>
    <m/>
    <n v="22727454"/>
    <m/>
    <m/>
    <m/>
    <s v="SOLFIN"/>
    <s v="SOLFIN"/>
    <s v="CCMS"/>
    <n v="21318699"/>
    <n v="15529.07"/>
    <m/>
    <s v="N"/>
    <n v="107"/>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95"/>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84"/>
    <d v="2023-07-03T19:02:01"/>
    <s v="Y"/>
    <s v="Preparation - other"/>
    <s v="Care Remuneration Hourly Rates"/>
    <s v="Profit Cost"/>
    <s v="MQ"/>
    <s v="Y"/>
    <n v="6.05"/>
    <n v="1.21"/>
    <x v="3"/>
    <s v="VALIDATED"/>
    <n v="1"/>
    <s v="01.11.80.308.6100.0000"/>
    <n v="6.05"/>
    <s v="11"/>
    <s v="6100"/>
    <n v="12645.15"/>
    <n v="6.05"/>
    <s v="CREDITOR"/>
    <n v="0"/>
    <n v="0"/>
    <n v="0"/>
    <n v="0"/>
    <n v="6.05"/>
  </r>
  <r>
    <n v="60201209"/>
    <s v="N"/>
    <n v="21331293"/>
    <s v="3000014517580013"/>
    <s v="CIVIL"/>
    <d v="2023-06-26T00:00:00"/>
    <d v="2023-07-05T19:01:47"/>
    <m/>
    <d v="2023-07-05T00:00:00"/>
    <n v="1337"/>
    <n v="15396"/>
    <s v="60201209"/>
    <s v="60201209"/>
    <m/>
    <m/>
    <n v="22759208"/>
    <m/>
    <m/>
    <m/>
    <s v="SOLFIN"/>
    <s v="SOLFIN"/>
    <s v="CCMS"/>
    <n v="21331293"/>
    <n v="11995.24"/>
    <m/>
    <s v="N"/>
    <n v="5"/>
    <d v="2023-07-05T19:02:13"/>
    <s v="Y"/>
    <s v="Attendance upon client"/>
    <s v="Care Remuneration Hourly Rates"/>
    <s v="Profit Cost"/>
    <s v="MQ"/>
    <s v="Y"/>
    <n v="58.88"/>
    <n v="11.78"/>
    <x v="6"/>
    <s v="VALIDATED"/>
    <n v="1"/>
    <s v="01.11.80.308.6100.0000"/>
    <n v="58.88"/>
    <s v="11"/>
    <s v="6100"/>
    <n v="12645.15"/>
    <n v="58.88"/>
    <s v="CREDITOR"/>
    <n v="0"/>
    <n v="0"/>
    <n v="0"/>
    <n v="0"/>
    <n v="58.88"/>
  </r>
  <r>
    <n v="59933086"/>
    <s v="N"/>
    <n v="21318699"/>
    <s v="3000014286640024"/>
    <s v="CIVIL"/>
    <d v="2023-06-20T00:00:00"/>
    <d v="2023-07-03T19:01:49"/>
    <m/>
    <d v="2023-07-03T00:00:00"/>
    <n v="1337"/>
    <n v="15396"/>
    <s v="59933086"/>
    <s v="59933086"/>
    <m/>
    <m/>
    <n v="22727454"/>
    <m/>
    <m/>
    <m/>
    <s v="SOLFIN"/>
    <s v="SOLFIN"/>
    <s v="CCMS"/>
    <n v="21318699"/>
    <n v="15529.07"/>
    <m/>
    <s v="N"/>
    <n v="78"/>
    <d v="2023-07-03T19:02:01"/>
    <s v="Y"/>
    <s v="Preparation - other"/>
    <s v="Care Remuneration Hourly Rates"/>
    <s v="Profit Cost"/>
    <s v="MQ"/>
    <s v="Y"/>
    <n v="6.05"/>
    <n v="1.21"/>
    <x v="3"/>
    <s v="VALIDATED"/>
    <n v="1"/>
    <s v="01.11.80.308.6100.0000"/>
    <n v="6.05"/>
    <s v="11"/>
    <s v="6100"/>
    <n v="12645.15"/>
    <n v="6.05"/>
    <s v="CREDITOR"/>
    <n v="0"/>
    <n v="0"/>
    <n v="0"/>
    <n v="0"/>
    <n v="6.05"/>
  </r>
  <r>
    <n v="60201209"/>
    <s v="N"/>
    <n v="21331293"/>
    <s v="3000014517580013"/>
    <s v="CIVIL"/>
    <d v="2023-06-26T00:00:00"/>
    <d v="2023-07-05T19:01:47"/>
    <m/>
    <d v="2023-07-05T00:00:00"/>
    <n v="1337"/>
    <n v="15396"/>
    <s v="60201209"/>
    <s v="60201209"/>
    <m/>
    <m/>
    <n v="22759208"/>
    <m/>
    <m/>
    <m/>
    <s v="SOLFIN"/>
    <s v="SOLFIN"/>
    <s v="CCMS"/>
    <n v="21331293"/>
    <n v="11995.24"/>
    <m/>
    <s v="N"/>
    <n v="43"/>
    <d v="2023-07-05T19:02:13"/>
    <s v="Y"/>
    <s v="Preparation - other"/>
    <s v="Care Remuneration Hourly Rates"/>
    <s v="Profit Cost"/>
    <s v="MQ"/>
    <s v="Y"/>
    <n v="22.08"/>
    <n v="4.42"/>
    <x v="6"/>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87"/>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35"/>
    <d v="2023-07-03T19:02:01"/>
    <s v="Y"/>
    <s v="Psychologist"/>
    <s v="Care Remuneration Hourly Rates"/>
    <s v="Expert Disbursement"/>
    <s v="XXX"/>
    <s v="Y"/>
    <n v="152.24"/>
    <n v="30.45"/>
    <x v="3"/>
    <s v="VALIDATED"/>
    <n v="1"/>
    <s v="01.11.80.308.6300.0000"/>
    <n v="152.24"/>
    <s v="11"/>
    <s v="6300"/>
    <n v="12645.15"/>
    <n v="152.24"/>
    <s v="CREDITOR"/>
    <n v="0"/>
    <n v="0"/>
    <n v="0"/>
    <n v="0"/>
    <n v="152.24"/>
  </r>
  <r>
    <n v="59933086"/>
    <s v="N"/>
    <n v="21318699"/>
    <s v="3000014286640024"/>
    <s v="CIVIL"/>
    <d v="2023-06-20T00:00:00"/>
    <d v="2023-07-03T19:01:49"/>
    <m/>
    <d v="2023-07-03T00:00:00"/>
    <n v="1337"/>
    <n v="15396"/>
    <s v="59933086"/>
    <s v="59933086"/>
    <m/>
    <m/>
    <n v="22727454"/>
    <m/>
    <m/>
    <m/>
    <s v="SOLFIN"/>
    <s v="SOLFIN"/>
    <s v="CCMS"/>
    <n v="21318699"/>
    <n v="15529.07"/>
    <m/>
    <s v="N"/>
    <n v="129"/>
    <d v="2023-07-03T19:02:01"/>
    <s v="N"/>
    <s v="Solicitors Fixed Fee"/>
    <s v="Public Law Children"/>
    <s v="Profit Cost"/>
    <s v="XXX"/>
    <s v="N"/>
    <n v="0"/>
    <n v="0"/>
    <x v="3"/>
    <s v="VALIDATED"/>
    <n v="1"/>
    <s v="01.11.80.308.6100.0000"/>
    <n v="0"/>
    <s v="11"/>
    <s v="6100"/>
    <n v="12645.15"/>
    <n v="0"/>
    <s v="CREDITOR"/>
    <n v="0"/>
    <n v="0"/>
    <n v="0"/>
    <n v="0"/>
    <n v="0"/>
  </r>
  <r>
    <n v="59933086"/>
    <s v="N"/>
    <n v="21318699"/>
    <s v="3000014286640024"/>
    <s v="CIVIL"/>
    <d v="2023-06-20T00:00:00"/>
    <d v="2023-07-03T19:01:49"/>
    <m/>
    <d v="2023-07-03T00:00:00"/>
    <n v="1337"/>
    <n v="15396"/>
    <s v="59933086"/>
    <s v="59933086"/>
    <m/>
    <m/>
    <n v="22727454"/>
    <m/>
    <m/>
    <m/>
    <s v="SOLFIN"/>
    <s v="SOLFIN"/>
    <s v="CCMS"/>
    <n v="21318699"/>
    <n v="15529.07"/>
    <m/>
    <s v="N"/>
    <n v="65"/>
    <d v="2023-07-03T19:02:01"/>
    <s v="Y"/>
    <s v="Preparation - drafting attendance n"/>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66"/>
    <d v="2023-07-03T19:02:01"/>
    <s v="Y"/>
    <s v="Preparation - drafting statement"/>
    <s v="Care Remuneration Hourly Rates"/>
    <s v="Profit Cost"/>
    <s v="MQ"/>
    <s v="Y"/>
    <n v="29.44"/>
    <n v="5.89"/>
    <x v="3"/>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33"/>
    <d v="2023-07-05T19:02:13"/>
    <s v="Y"/>
    <s v="Attendance upon client"/>
    <s v="Care Remuneration Hourly Rates"/>
    <s v="Profit Cost"/>
    <s v="MQ"/>
    <s v="Y"/>
    <n v="29.44"/>
    <n v="5.89"/>
    <x v="6"/>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45"/>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95"/>
    <d v="2023-07-05T19:02:13"/>
    <s v="Y"/>
    <s v="Paediatrician"/>
    <s v="Care Remuneration Hourly Rates"/>
    <s v="Expert Disbursement"/>
    <s v="XXX"/>
    <s v="Y"/>
    <n v="135"/>
    <n v="27"/>
    <x v="6"/>
    <s v="VALIDATED"/>
    <n v="1"/>
    <s v="01.11.80.308.6300.0000"/>
    <n v="135"/>
    <s v="11"/>
    <s v="6300"/>
    <n v="12645.15"/>
    <n v="135"/>
    <s v="CREDITOR"/>
    <n v="0"/>
    <n v="0"/>
    <n v="0"/>
    <n v="0"/>
    <n v="135"/>
  </r>
  <r>
    <n v="59933086"/>
    <s v="N"/>
    <n v="21318699"/>
    <s v="3000014286640024"/>
    <s v="CIVIL"/>
    <d v="2023-06-20T00:00:00"/>
    <d v="2023-07-03T19:01:49"/>
    <m/>
    <d v="2023-07-03T00:00:00"/>
    <n v="1337"/>
    <n v="15396"/>
    <s v="59933086"/>
    <s v="59933086"/>
    <m/>
    <m/>
    <n v="22727454"/>
    <m/>
    <m/>
    <m/>
    <s v="SOLFIN"/>
    <s v="SOLFIN"/>
    <s v="CCMS"/>
    <n v="21318699"/>
    <n v="15529.07"/>
    <m/>
    <s v="N"/>
    <n v="26"/>
    <d v="2023-07-03T19:02:01"/>
    <s v="Y"/>
    <s v="Attendance upon client"/>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110"/>
    <d v="2023-07-03T19:02:01"/>
    <s v="Y"/>
    <s v="Preparation - drafting statement"/>
    <s v="Care Remuneration Hourly Rates"/>
    <s v="Profit Cost"/>
    <s v="MQ"/>
    <s v="Y"/>
    <n v="58.88"/>
    <n v="11.78"/>
    <x v="3"/>
    <s v="VALIDATED"/>
    <n v="1"/>
    <s v="01.11.80.308.6100.0000"/>
    <n v="58.88"/>
    <s v="11"/>
    <s v="6100"/>
    <n v="12645.15"/>
    <n v="58.88"/>
    <s v="CREDITOR"/>
    <n v="0"/>
    <n v="0"/>
    <n v="0"/>
    <n v="0"/>
    <n v="58.88"/>
  </r>
  <r>
    <n v="59933086"/>
    <s v="N"/>
    <n v="21318699"/>
    <s v="3000014286640024"/>
    <s v="CIVIL"/>
    <d v="2023-06-20T00:00:00"/>
    <d v="2023-07-03T19:01:49"/>
    <m/>
    <d v="2023-07-03T00:00:00"/>
    <n v="1337"/>
    <n v="15396"/>
    <s v="59933086"/>
    <s v="59933086"/>
    <m/>
    <m/>
    <n v="22727454"/>
    <m/>
    <m/>
    <m/>
    <s v="SOLFIN"/>
    <s v="SOLFIN"/>
    <s v="CCMS"/>
    <n v="21318699"/>
    <n v="15529.07"/>
    <m/>
    <s v="N"/>
    <n v="115"/>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142"/>
    <d v="2023-07-03T19:02:01"/>
    <s v="Y"/>
    <s v="Toxicologist"/>
    <s v="Care Remuneration Hourly Rates"/>
    <s v="Expert Disbursement"/>
    <s v="XXX"/>
    <s v="Y"/>
    <n v="382"/>
    <n v="76.40000000000001"/>
    <x v="3"/>
    <s v="VALIDATED"/>
    <n v="1"/>
    <s v="01.11.80.308.6300.0000"/>
    <n v="382"/>
    <s v="11"/>
    <s v="6300"/>
    <n v="12645.15"/>
    <n v="382"/>
    <s v="CREDITOR"/>
    <n v="0"/>
    <n v="0"/>
    <n v="0"/>
    <n v="0"/>
    <n v="382"/>
  </r>
  <r>
    <n v="60201209"/>
    <s v="N"/>
    <n v="21331293"/>
    <s v="3000014517580013"/>
    <s v="CIVIL"/>
    <d v="2023-06-26T00:00:00"/>
    <d v="2023-07-05T19:01:47"/>
    <m/>
    <d v="2023-07-05T00:00:00"/>
    <n v="1337"/>
    <n v="15396"/>
    <s v="60201209"/>
    <s v="60201209"/>
    <m/>
    <m/>
    <n v="22759208"/>
    <m/>
    <m/>
    <m/>
    <s v="SOLFIN"/>
    <s v="SOLFIN"/>
    <s v="CCMS"/>
    <n v="21331293"/>
    <n v="11995.24"/>
    <m/>
    <s v="N"/>
    <n v="34"/>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75"/>
    <d v="2023-07-05T19:02:13"/>
    <s v="Y"/>
    <s v="Preparation - drafting instructions"/>
    <s v="Care Remuneration Hourly Rates"/>
    <s v="Profit Cost"/>
    <s v="MQ"/>
    <s v="Y"/>
    <n v="36.81"/>
    <n v="7.36"/>
    <x v="6"/>
    <s v="VALIDATED"/>
    <n v="1"/>
    <s v="01.11.80.308.6100.0000"/>
    <n v="36.81"/>
    <s v="11"/>
    <s v="6100"/>
    <n v="12645.15"/>
    <n v="36.81"/>
    <s v="CREDITOR"/>
    <n v="0"/>
    <n v="0"/>
    <n v="0"/>
    <n v="0"/>
    <n v="36.81"/>
  </r>
  <r>
    <n v="60201209"/>
    <s v="N"/>
    <n v="21331293"/>
    <s v="3000014517580013"/>
    <s v="CIVIL"/>
    <d v="2023-06-26T00:00:00"/>
    <d v="2023-07-05T19:01:47"/>
    <m/>
    <d v="2023-07-05T00:00:00"/>
    <n v="1337"/>
    <n v="15396"/>
    <s v="60201209"/>
    <s v="60201209"/>
    <m/>
    <m/>
    <n v="22759208"/>
    <m/>
    <m/>
    <m/>
    <s v="SOLFIN"/>
    <s v="SOLFIN"/>
    <s v="CCMS"/>
    <n v="21331293"/>
    <n v="11995.24"/>
    <m/>
    <s v="N"/>
    <n v="71"/>
    <d v="2023-07-05T19:02:13"/>
    <s v="Y"/>
    <s v="Attendance upon client"/>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93"/>
    <d v="2023-07-05T19:02:13"/>
    <s v="Y"/>
    <s v="Psychologist"/>
    <s v="Care Remuneration Hourly Rates"/>
    <s v="Expert Disbursement"/>
    <s v="XXX"/>
    <s v="Y"/>
    <n v="238.92"/>
    <n v="0"/>
    <x v="6"/>
    <s v="VALIDATED"/>
    <n v="1"/>
    <s v="01.11.80.308.6300.0000"/>
    <n v="238.92"/>
    <s v="11"/>
    <s v="6300"/>
    <n v="12645.15"/>
    <n v="238.92"/>
    <s v="CREDITOR"/>
    <n v="0"/>
    <n v="0"/>
    <n v="0"/>
    <n v="0"/>
    <n v="238.92"/>
  </r>
  <r>
    <n v="59933086"/>
    <s v="N"/>
    <n v="21318699"/>
    <s v="3000014286640024"/>
    <s v="CIVIL"/>
    <d v="2023-06-20T00:00:00"/>
    <d v="2023-07-03T19:01:49"/>
    <m/>
    <d v="2023-07-03T00:00:00"/>
    <n v="1337"/>
    <n v="15396"/>
    <s v="59933086"/>
    <s v="59933086"/>
    <m/>
    <m/>
    <n v="22727454"/>
    <m/>
    <m/>
    <m/>
    <s v="SOLFIN"/>
    <s v="SOLFIN"/>
    <s v="CCMS"/>
    <n v="21318699"/>
    <n v="15529.07"/>
    <m/>
    <s v="N"/>
    <n v="4"/>
    <d v="2023-07-03T19:02:01"/>
    <s v="Y"/>
    <s v="Preparation - other"/>
    <s v="Care Remuneration Hourly Rates"/>
    <s v="Profit Cost"/>
    <s v="MQ"/>
    <s v="Y"/>
    <n v="110.4"/>
    <n v="22.08"/>
    <x v="3"/>
    <s v="VALIDATED"/>
    <n v="1"/>
    <s v="01.11.80.308.6100.0000"/>
    <n v="110.4"/>
    <s v="11"/>
    <s v="6100"/>
    <n v="12645.15"/>
    <n v="110.4"/>
    <s v="CREDITOR"/>
    <n v="0"/>
    <n v="0"/>
    <n v="0"/>
    <n v="0"/>
    <n v="110.4"/>
  </r>
  <r>
    <n v="60201209"/>
    <s v="N"/>
    <n v="21331293"/>
    <s v="3000014517580013"/>
    <s v="CIVIL"/>
    <d v="2023-06-26T00:00:00"/>
    <d v="2023-07-05T19:01:47"/>
    <m/>
    <d v="2023-07-05T00:00:00"/>
    <n v="1337"/>
    <n v="15396"/>
    <s v="60201209"/>
    <s v="60201209"/>
    <m/>
    <m/>
    <n v="22759208"/>
    <m/>
    <m/>
    <m/>
    <s v="SOLFIN"/>
    <s v="SOLFIN"/>
    <s v="CCMS"/>
    <n v="21331293"/>
    <n v="11995.24"/>
    <m/>
    <s v="N"/>
    <n v="49"/>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125"/>
    <d v="2023-07-03T19:02:01"/>
    <s v="Y"/>
    <s v="Routine Letter Out"/>
    <s v="Care Remuneration Hourly Rates"/>
    <s v="Profit Cost"/>
    <s v="MQ"/>
    <s v="Y"/>
    <n v="814.75"/>
    <n v="162.95"/>
    <x v="3"/>
    <s v="VALIDATED"/>
    <n v="1"/>
    <s v="01.11.80.308.6100.0000"/>
    <n v="814.75"/>
    <s v="11"/>
    <s v="6100"/>
    <n v="12645.15"/>
    <n v="814.75"/>
    <s v="CREDITOR"/>
    <n v="0"/>
    <n v="0"/>
    <n v="0"/>
    <n v="0"/>
    <n v="814.75"/>
  </r>
  <r>
    <n v="59933086"/>
    <s v="N"/>
    <n v="21318699"/>
    <s v="3000014286640024"/>
    <s v="CIVIL"/>
    <d v="2023-06-20T00:00:00"/>
    <d v="2023-07-03T19:01:49"/>
    <m/>
    <d v="2023-07-03T00:00:00"/>
    <n v="1337"/>
    <n v="15396"/>
    <s v="59933086"/>
    <s v="59933086"/>
    <m/>
    <m/>
    <n v="22727454"/>
    <m/>
    <m/>
    <m/>
    <s v="SOLFIN"/>
    <s v="SOLFIN"/>
    <s v="CCMS"/>
    <n v="21318699"/>
    <n v="15529.07"/>
    <m/>
    <s v="N"/>
    <n v="90"/>
    <d v="2023-07-03T19:02:01"/>
    <s v="Y"/>
    <s v="Attendance upon/with Counsel at Con"/>
    <s v="Care Remuneration Hourly Rates"/>
    <s v="Profit Cost"/>
    <s v="MQ"/>
    <s v="Y"/>
    <n v="13.52"/>
    <n v="2.7"/>
    <x v="3"/>
    <s v="VALIDATED"/>
    <n v="1"/>
    <s v="01.11.80.308.6100.0000"/>
    <n v="13.52"/>
    <s v="11"/>
    <s v="6100"/>
    <n v="12645.15"/>
    <n v="13.52"/>
    <s v="CREDITOR"/>
    <n v="0"/>
    <n v="0"/>
    <n v="0"/>
    <n v="0"/>
    <n v="13.52"/>
  </r>
  <r>
    <n v="60201209"/>
    <s v="N"/>
    <n v="21331293"/>
    <s v="3000014517580013"/>
    <s v="CIVIL"/>
    <d v="2023-06-26T00:00:00"/>
    <d v="2023-07-05T19:01:47"/>
    <m/>
    <d v="2023-07-05T00:00:00"/>
    <n v="1337"/>
    <n v="15396"/>
    <s v="60201209"/>
    <s v="60201209"/>
    <m/>
    <m/>
    <n v="22759208"/>
    <m/>
    <m/>
    <m/>
    <s v="SOLFIN"/>
    <s v="SOLFIN"/>
    <s v="CCMS"/>
    <n v="21331293"/>
    <n v="11995.24"/>
    <m/>
    <s v="N"/>
    <n v="97"/>
    <d v="2023-07-05T19:02:13"/>
    <s v="Y"/>
    <s v="Paediatrician"/>
    <s v="Care Remuneration Hourly Rates"/>
    <s v="Expert Disbursement"/>
    <s v="XXX"/>
    <s v="Y"/>
    <n v="135"/>
    <n v="27"/>
    <x v="6"/>
    <s v="VALIDATED"/>
    <n v="1"/>
    <s v="01.11.80.308.6300.0000"/>
    <n v="135"/>
    <s v="11"/>
    <s v="6300"/>
    <n v="12645.15"/>
    <n v="135"/>
    <s v="CREDITOR"/>
    <n v="0"/>
    <n v="0"/>
    <n v="0"/>
    <n v="0"/>
    <n v="135"/>
  </r>
  <r>
    <n v="60201209"/>
    <s v="N"/>
    <n v="21331293"/>
    <s v="3000014517580013"/>
    <s v="CIVIL"/>
    <d v="2023-06-26T00:00:00"/>
    <d v="2023-07-05T19:01:47"/>
    <m/>
    <d v="2023-07-05T00:00:00"/>
    <n v="1337"/>
    <n v="15396"/>
    <s v="60201209"/>
    <s v="60201209"/>
    <m/>
    <m/>
    <n v="22759208"/>
    <m/>
    <m/>
    <m/>
    <s v="SOLFIN"/>
    <s v="SOLFIN"/>
    <s v="CCMS"/>
    <n v="21331293"/>
    <n v="11995.24"/>
    <m/>
    <s v="N"/>
    <n v="82"/>
    <d v="2023-07-05T19:02:13"/>
    <s v="Y"/>
    <s v="Preparation - drafting bill/claim f"/>
    <s v="Care Remuneration Hourly Rates"/>
    <s v="Profit Cost"/>
    <s v="CD"/>
    <s v="Y"/>
    <n v="536.21"/>
    <n v="107.24"/>
    <x v="6"/>
    <s v="VALIDATED"/>
    <n v="1"/>
    <s v="01.11.80.308.6100.0000"/>
    <n v="536.21"/>
    <s v="11"/>
    <s v="6100"/>
    <n v="12645.15"/>
    <n v="536.21"/>
    <s v="CREDITOR"/>
    <n v="0"/>
    <n v="0"/>
    <n v="0"/>
    <n v="0"/>
    <n v="536.21"/>
  </r>
  <r>
    <n v="59933086"/>
    <s v="N"/>
    <n v="21318699"/>
    <s v="3000014286640024"/>
    <s v="CIVIL"/>
    <d v="2023-06-20T00:00:00"/>
    <d v="2023-07-03T19:01:49"/>
    <m/>
    <d v="2023-07-03T00:00:00"/>
    <n v="1337"/>
    <n v="15396"/>
    <s v="59933086"/>
    <s v="59933086"/>
    <m/>
    <m/>
    <n v="22727454"/>
    <m/>
    <m/>
    <m/>
    <s v="SOLFIN"/>
    <s v="SOLFIN"/>
    <s v="CCMS"/>
    <n v="21318699"/>
    <n v="15529.07"/>
    <m/>
    <s v="N"/>
    <n v="100"/>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41"/>
    <d v="2023-07-03T19:02:01"/>
    <s v="Y"/>
    <s v="Independent Social Worker"/>
    <s v="Care Remuneration Hourly Rates"/>
    <s v="Expert Disbursement"/>
    <s v="XXX"/>
    <s v="Y"/>
    <n v="368.45"/>
    <n v="73.69"/>
    <x v="3"/>
    <s v="VALIDATED"/>
    <n v="1"/>
    <s v="01.11.80.308.6300.0000"/>
    <n v="368.45"/>
    <s v="11"/>
    <s v="6300"/>
    <n v="12645.15"/>
    <n v="368.45"/>
    <s v="CREDITOR"/>
    <n v="0"/>
    <n v="0"/>
    <n v="0"/>
    <n v="0"/>
    <n v="368.45"/>
  </r>
  <r>
    <n v="59933086"/>
    <s v="N"/>
    <n v="21318699"/>
    <s v="3000014286640024"/>
    <s v="CIVIL"/>
    <d v="2023-06-20T00:00:00"/>
    <d v="2023-07-03T19:01:49"/>
    <m/>
    <d v="2023-07-03T00:00:00"/>
    <n v="1337"/>
    <n v="15396"/>
    <s v="59933086"/>
    <s v="59933086"/>
    <m/>
    <m/>
    <n v="22727454"/>
    <m/>
    <m/>
    <m/>
    <s v="SOLFIN"/>
    <s v="SOLFIN"/>
    <s v="CCMS"/>
    <n v="21318699"/>
    <n v="15529.07"/>
    <m/>
    <s v="N"/>
    <n v="138"/>
    <d v="2023-07-03T19:02:01"/>
    <s v="Y"/>
    <s v="Toxicologist"/>
    <s v="Care Remuneration Hourly Rates"/>
    <s v="Expert Disbursement"/>
    <s v="XXX"/>
    <s v="Y"/>
    <n v="230"/>
    <n v="46"/>
    <x v="3"/>
    <s v="VALIDATED"/>
    <n v="1"/>
    <s v="01.11.80.308.6300.0000"/>
    <n v="230"/>
    <s v="11"/>
    <s v="6300"/>
    <n v="12645.15"/>
    <n v="230"/>
    <s v="CREDITOR"/>
    <n v="0"/>
    <n v="0"/>
    <n v="0"/>
    <n v="0"/>
    <n v="230"/>
  </r>
  <r>
    <n v="59933086"/>
    <s v="N"/>
    <n v="21318699"/>
    <s v="3000014286640024"/>
    <s v="CIVIL"/>
    <d v="2023-06-20T00:00:00"/>
    <d v="2023-07-03T19:01:49"/>
    <m/>
    <d v="2023-07-03T00:00:00"/>
    <n v="1337"/>
    <n v="15396"/>
    <s v="59933086"/>
    <s v="59933086"/>
    <m/>
    <m/>
    <n v="22727454"/>
    <m/>
    <m/>
    <m/>
    <s v="SOLFIN"/>
    <s v="SOLFIN"/>
    <s v="CCMS"/>
    <n v="21318699"/>
    <n v="15529.07"/>
    <m/>
    <s v="N"/>
    <n v="103"/>
    <d v="2023-07-03T19:02:01"/>
    <s v="Y"/>
    <s v="Preparation - drafting instructions"/>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89"/>
    <d v="2023-07-03T19:02:01"/>
    <s v="Y"/>
    <s v="Preparation - other"/>
    <s v="Care Remuneration Hourly Rates"/>
    <s v="Profit Cost"/>
    <s v="MQ"/>
    <s v="Y"/>
    <n v="18.14"/>
    <n v="3.63"/>
    <x v="3"/>
    <s v="VALIDATED"/>
    <n v="1"/>
    <s v="01.11.80.308.6100.0000"/>
    <n v="18.14"/>
    <s v="11"/>
    <s v="6100"/>
    <n v="12645.15"/>
    <n v="18.14"/>
    <s v="CREDITOR"/>
    <n v="0"/>
    <n v="0"/>
    <n v="0"/>
    <n v="0"/>
    <n v="18.14"/>
  </r>
  <r>
    <n v="61504747"/>
    <s v="N"/>
    <n v="21349766"/>
    <s v="3000015612050004"/>
    <s v="CIVIL"/>
    <d v="2023-06-29T00:00:00"/>
    <d v="2023-07-10T19:01:40"/>
    <m/>
    <d v="2023-07-10T00:00:00"/>
    <n v="1337"/>
    <n v="15396"/>
    <s v="61504747"/>
    <s v="61504747"/>
    <m/>
    <m/>
    <n v="22784842"/>
    <m/>
    <m/>
    <m/>
    <s v="SOLINT"/>
    <s v="SOLINT"/>
    <s v="CCMS"/>
    <n v="21349766"/>
    <n v="1161.8"/>
    <m/>
    <s v="N"/>
    <n v="3"/>
    <d v="2023-07-10T19:01:57"/>
    <s v="Y"/>
    <s v="Level 4 Fixed Fee"/>
    <s v="Domestic Abuse"/>
    <s v="Profit Cost"/>
    <s v="XXX"/>
    <s v="Y"/>
    <n v="507"/>
    <n v="101.4"/>
    <x v="2"/>
    <s v="VALIDATED"/>
    <n v="1"/>
    <s v="01.11.80.302.6100.0000"/>
    <n v="507"/>
    <s v="11"/>
    <s v="6100"/>
    <n v="12645.15"/>
    <n v="507"/>
    <s v="CREDITOR"/>
    <n v="0"/>
    <n v="0"/>
    <n v="0"/>
    <n v="0"/>
    <n v="507"/>
  </r>
  <r>
    <n v="60201209"/>
    <s v="N"/>
    <n v="21331293"/>
    <s v="3000014517580013"/>
    <s v="CIVIL"/>
    <d v="2023-06-26T00:00:00"/>
    <d v="2023-07-05T19:01:47"/>
    <m/>
    <d v="2023-07-05T00:00:00"/>
    <n v="1337"/>
    <n v="15396"/>
    <s v="60201209"/>
    <s v="60201209"/>
    <m/>
    <m/>
    <n v="22759208"/>
    <m/>
    <m/>
    <m/>
    <s v="SOLFIN"/>
    <s v="SOLFIN"/>
    <s v="CCMS"/>
    <n v="21331293"/>
    <n v="11995.24"/>
    <m/>
    <s v="N"/>
    <n v="62"/>
    <d v="2023-07-05T19:02:13"/>
    <s v="Y"/>
    <s v="Preparation - other"/>
    <s v="Care Remuneration Hourly Rates"/>
    <s v="Profit Cost"/>
    <s v="MQ"/>
    <s v="Y"/>
    <n v="44.16"/>
    <n v="8.83"/>
    <x v="6"/>
    <s v="VALIDATED"/>
    <n v="1"/>
    <s v="01.11.80.308.6100.0000"/>
    <n v="44.16"/>
    <s v="11"/>
    <s v="6100"/>
    <n v="12645.15"/>
    <n v="44.16"/>
    <s v="CREDITOR"/>
    <n v="0"/>
    <n v="0"/>
    <n v="0"/>
    <n v="0"/>
    <n v="44.16"/>
  </r>
  <r>
    <n v="60201209"/>
    <s v="N"/>
    <n v="21331293"/>
    <s v="3000014517580013"/>
    <s v="CIVIL"/>
    <d v="2023-06-26T00:00:00"/>
    <d v="2023-07-05T19:01:47"/>
    <m/>
    <d v="2023-07-05T00:00:00"/>
    <n v="1337"/>
    <n v="15396"/>
    <s v="60201209"/>
    <s v="60201209"/>
    <m/>
    <m/>
    <n v="22759208"/>
    <m/>
    <m/>
    <m/>
    <s v="SOLFIN"/>
    <s v="SOLFIN"/>
    <s v="CCMS"/>
    <n v="21331293"/>
    <n v="11995.24"/>
    <m/>
    <s v="N"/>
    <n v="88"/>
    <d v="2023-07-05T19:02:13"/>
    <s v="Y"/>
    <s v="Routine Letter Out"/>
    <s v="Care Remuneration Hourly Rates"/>
    <s v="Profit Cost"/>
    <s v="CD"/>
    <s v="Y"/>
    <n v="476.01"/>
    <n v="95.2"/>
    <x v="6"/>
    <s v="VALIDATED"/>
    <n v="1"/>
    <s v="01.11.80.308.6100.0000"/>
    <n v="476.01"/>
    <s v="11"/>
    <s v="6100"/>
    <n v="12645.15"/>
    <n v="476.01"/>
    <s v="CREDITOR"/>
    <n v="0"/>
    <n v="0"/>
    <n v="0"/>
    <n v="0"/>
    <n v="476.01"/>
  </r>
  <r>
    <n v="60201209"/>
    <s v="N"/>
    <n v="21331293"/>
    <s v="3000014517580013"/>
    <s v="CIVIL"/>
    <d v="2023-06-26T00:00:00"/>
    <d v="2023-07-05T19:01:47"/>
    <m/>
    <d v="2023-07-05T00:00:00"/>
    <n v="1337"/>
    <n v="15396"/>
    <s v="60201209"/>
    <s v="60201209"/>
    <m/>
    <m/>
    <n v="22759208"/>
    <m/>
    <m/>
    <m/>
    <s v="SOLFIN"/>
    <s v="SOLFIN"/>
    <s v="CCMS"/>
    <n v="21331293"/>
    <n v="11995.24"/>
    <m/>
    <s v="N"/>
    <n v="2"/>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23"/>
    <d v="2023-07-05T19:02:13"/>
    <s v="Y"/>
    <s v="Preparation - other"/>
    <s v="Care Remuneration Hourly Rates"/>
    <s v="Profit Cost"/>
    <s v="MQ"/>
    <s v="Y"/>
    <n v="22.08"/>
    <n v="4.42"/>
    <x v="6"/>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40"/>
    <d v="2023-07-05T19:02:13"/>
    <s v="Y"/>
    <s v="Preparation - other"/>
    <s v="Care Remuneration Hourly Rates"/>
    <s v="Profit Cost"/>
    <s v="MQ"/>
    <s v="Y"/>
    <n v="29.44"/>
    <n v="5.89"/>
    <x v="6"/>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55"/>
    <d v="2023-07-05T19:02:13"/>
    <s v="Y"/>
    <s v="Preparation - other"/>
    <s v="Care Remuneration Hourly Rates"/>
    <s v="Profit Cost"/>
    <s v="MQ"/>
    <s v="Y"/>
    <n v="147.2"/>
    <n v="29.44"/>
    <x v="6"/>
    <s v="VALIDATED"/>
    <n v="1"/>
    <s v="01.11.80.308.6100.0000"/>
    <n v="147.2"/>
    <s v="11"/>
    <s v="6100"/>
    <n v="12645.15"/>
    <n v="147.2"/>
    <s v="CREDITOR"/>
    <n v="0"/>
    <n v="0"/>
    <n v="0"/>
    <n v="0"/>
    <n v="147.2"/>
  </r>
  <r>
    <n v="59933086"/>
    <s v="N"/>
    <n v="21318699"/>
    <s v="3000014286640024"/>
    <s v="CIVIL"/>
    <d v="2023-06-20T00:00:00"/>
    <d v="2023-07-03T19:01:49"/>
    <m/>
    <d v="2023-07-03T00:00:00"/>
    <n v="1337"/>
    <n v="15396"/>
    <s v="59933086"/>
    <s v="59933086"/>
    <m/>
    <m/>
    <n v="22727454"/>
    <m/>
    <m/>
    <m/>
    <s v="SOLFIN"/>
    <s v="SOLFIN"/>
    <s v="CCMS"/>
    <n v="21318699"/>
    <n v="15529.07"/>
    <m/>
    <s v="N"/>
    <n v="57"/>
    <d v="2023-07-03T19:02:01"/>
    <s v="Y"/>
    <s v="Preparation - other"/>
    <s v="Care Remuneration Hourly Rates"/>
    <s v="Profit Cost"/>
    <s v="MQ"/>
    <s v="Y"/>
    <n v="12.09"/>
    <n v="2.42"/>
    <x v="3"/>
    <s v="VALIDATED"/>
    <n v="1"/>
    <s v="01.11.80.308.6100.0000"/>
    <n v="12.09"/>
    <s v="11"/>
    <s v="6100"/>
    <n v="12645.15"/>
    <n v="12.09"/>
    <s v="CREDITOR"/>
    <n v="0"/>
    <n v="0"/>
    <n v="0"/>
    <n v="0"/>
    <n v="12.09"/>
  </r>
  <r>
    <n v="59933086"/>
    <s v="N"/>
    <n v="21318699"/>
    <s v="3000014286640024"/>
    <s v="CIVIL"/>
    <d v="2023-06-20T00:00:00"/>
    <d v="2023-07-03T19:01:49"/>
    <m/>
    <d v="2023-07-03T00:00:00"/>
    <n v="1337"/>
    <n v="15396"/>
    <s v="59933086"/>
    <s v="59933086"/>
    <m/>
    <m/>
    <n v="22727454"/>
    <m/>
    <m/>
    <m/>
    <s v="SOLFIN"/>
    <s v="SOLFIN"/>
    <s v="CCMS"/>
    <n v="21318699"/>
    <n v="15529.07"/>
    <m/>
    <s v="N"/>
    <n v="18"/>
    <d v="2023-07-03T19:02:01"/>
    <s v="Y"/>
    <s v="Preparation - drafting instructions"/>
    <s v="Care Remuneration Hourly Rates"/>
    <s v="Profit Cost"/>
    <s v="MQ"/>
    <s v="Y"/>
    <n v="12.09"/>
    <n v="2.42"/>
    <x v="3"/>
    <s v="VALIDATED"/>
    <n v="1"/>
    <s v="01.11.80.308.6100.0000"/>
    <n v="12.09"/>
    <s v="11"/>
    <s v="6100"/>
    <n v="12645.15"/>
    <n v="12.09"/>
    <s v="CREDITOR"/>
    <n v="0"/>
    <n v="0"/>
    <n v="0"/>
    <n v="0"/>
    <n v="12.09"/>
  </r>
  <r>
    <n v="59933086"/>
    <s v="N"/>
    <n v="21318699"/>
    <s v="3000014286640024"/>
    <s v="CIVIL"/>
    <d v="2023-06-20T00:00:00"/>
    <d v="2023-07-03T19:01:49"/>
    <m/>
    <d v="2023-07-03T00:00:00"/>
    <n v="1337"/>
    <n v="15396"/>
    <s v="59933086"/>
    <s v="59933086"/>
    <m/>
    <m/>
    <n v="22727454"/>
    <m/>
    <m/>
    <m/>
    <s v="SOLFIN"/>
    <s v="SOLFIN"/>
    <s v="CCMS"/>
    <n v="21318699"/>
    <n v="15529.07"/>
    <m/>
    <s v="N"/>
    <n v="76"/>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134"/>
    <d v="2023-07-03T19:02:01"/>
    <s v="Y"/>
    <s v="Toxicologist"/>
    <s v="Care Remuneration Hourly Rates"/>
    <s v="Expert Disbursement"/>
    <s v="XXX"/>
    <s v="Y"/>
    <n v="527.9"/>
    <n v="105.58"/>
    <x v="3"/>
    <s v="VALIDATED"/>
    <n v="1"/>
    <s v="01.11.80.308.6300.0000"/>
    <n v="527.9"/>
    <s v="11"/>
    <s v="6300"/>
    <n v="12645.15"/>
    <n v="527.9"/>
    <s v="CREDITOR"/>
    <n v="0"/>
    <n v="0"/>
    <n v="0"/>
    <n v="0"/>
    <n v="527.9"/>
  </r>
  <r>
    <n v="59933086"/>
    <s v="N"/>
    <n v="21318699"/>
    <s v="3000014286640024"/>
    <s v="CIVIL"/>
    <d v="2023-06-20T00:00:00"/>
    <d v="2023-07-03T19:01:49"/>
    <m/>
    <d v="2023-07-03T00:00:00"/>
    <n v="1337"/>
    <n v="15396"/>
    <s v="59933086"/>
    <s v="59933086"/>
    <m/>
    <m/>
    <n v="22727454"/>
    <m/>
    <m/>
    <m/>
    <s v="SOLFIN"/>
    <s v="SOLFIN"/>
    <s v="CCMS"/>
    <n v="21318699"/>
    <n v="15529.07"/>
    <m/>
    <s v="N"/>
    <n v="99"/>
    <d v="2023-07-03T19:02:01"/>
    <s v="Y"/>
    <s v="Preparation - other"/>
    <s v="Care Remuneration Hourly Rates"/>
    <s v="Profit Cost"/>
    <s v="MQ"/>
    <s v="Y"/>
    <n v="147.2"/>
    <n v="29.44"/>
    <x v="3"/>
    <s v="VALIDATED"/>
    <n v="1"/>
    <s v="01.11.80.308.6100.0000"/>
    <n v="147.2"/>
    <s v="11"/>
    <s v="6100"/>
    <n v="12645.15"/>
    <n v="147.2"/>
    <s v="CREDITOR"/>
    <n v="0"/>
    <n v="0"/>
    <n v="0"/>
    <n v="0"/>
    <n v="147.2"/>
  </r>
  <r>
    <n v="59933086"/>
    <s v="N"/>
    <n v="21318699"/>
    <s v="3000014286640024"/>
    <s v="CIVIL"/>
    <d v="2023-06-20T00:00:00"/>
    <d v="2023-07-03T19:01:49"/>
    <m/>
    <d v="2023-07-03T00:00:00"/>
    <n v="1337"/>
    <n v="15396"/>
    <s v="59933086"/>
    <s v="59933086"/>
    <m/>
    <m/>
    <n v="22727454"/>
    <m/>
    <m/>
    <m/>
    <s v="SOLFIN"/>
    <s v="SOLFIN"/>
    <s v="CCMS"/>
    <n v="21318699"/>
    <n v="15529.07"/>
    <m/>
    <s v="N"/>
    <n v="109"/>
    <d v="2023-07-03T19:02:01"/>
    <s v="Y"/>
    <s v="Preparation - other"/>
    <s v="Care Remuneration Hourly Rates"/>
    <s v="Profit Cost"/>
    <s v="CD"/>
    <s v="Y"/>
    <n v="5.26"/>
    <n v="1.05"/>
    <x v="3"/>
    <s v="VALIDATED"/>
    <n v="1"/>
    <s v="01.11.80.308.6100.0000"/>
    <n v="5.26"/>
    <s v="11"/>
    <s v="6100"/>
    <n v="12645.15"/>
    <n v="5.26"/>
    <s v="CREDITOR"/>
    <n v="0"/>
    <n v="0"/>
    <n v="0"/>
    <n v="0"/>
    <n v="5.26"/>
  </r>
  <r>
    <n v="59933086"/>
    <s v="N"/>
    <n v="21318699"/>
    <s v="3000014286640024"/>
    <s v="CIVIL"/>
    <d v="2023-06-20T00:00:00"/>
    <d v="2023-07-03T19:01:49"/>
    <m/>
    <d v="2023-07-03T00:00:00"/>
    <n v="1337"/>
    <n v="15396"/>
    <s v="59933086"/>
    <s v="59933086"/>
    <m/>
    <m/>
    <n v="22727454"/>
    <m/>
    <m/>
    <m/>
    <s v="SOLFIN"/>
    <s v="SOLFIN"/>
    <s v="CCMS"/>
    <n v="21318699"/>
    <n v="15529.07"/>
    <m/>
    <s v="N"/>
    <n v="119"/>
    <d v="2023-07-03T19:02:01"/>
    <s v="Y"/>
    <s v="Preparation - other"/>
    <s v="Care Remuneration Hourly Rates"/>
    <s v="Profit Cost"/>
    <s v="MQ"/>
    <s v="Y"/>
    <n v="14.71"/>
    <n v="2.94"/>
    <x v="3"/>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101"/>
    <d v="2023-07-05T19:02:13"/>
    <s v="Y"/>
    <s v="Advocates Meeting"/>
    <s v="Public Law Children"/>
    <s v="Advocacy"/>
    <s v="MQ"/>
    <s v="Y"/>
    <n v="140.99"/>
    <n v="28.2"/>
    <x v="6"/>
    <s v="VALIDATED"/>
    <n v="1"/>
    <s v="01.11.80.308.6100.0000"/>
    <n v="140.99"/>
    <s v="11"/>
    <s v="6100"/>
    <n v="12645.15"/>
    <n v="140.99"/>
    <s v="CREDITOR"/>
    <n v="0"/>
    <n v="0"/>
    <n v="0"/>
    <n v="0"/>
    <n v="140.99"/>
  </r>
  <r>
    <n v="60201209"/>
    <s v="N"/>
    <n v="21331293"/>
    <s v="3000014517580013"/>
    <s v="CIVIL"/>
    <d v="2023-06-26T00:00:00"/>
    <d v="2023-07-05T19:01:47"/>
    <m/>
    <d v="2023-07-05T00:00:00"/>
    <n v="1337"/>
    <n v="15396"/>
    <s v="60201209"/>
    <s v="60201209"/>
    <m/>
    <m/>
    <n v="22759208"/>
    <m/>
    <m/>
    <m/>
    <s v="SOLFIN"/>
    <s v="SOLFIN"/>
    <s v="CCMS"/>
    <n v="21331293"/>
    <n v="11995.24"/>
    <m/>
    <s v="N"/>
    <n v="29"/>
    <d v="2023-07-05T19:02:13"/>
    <s v="Y"/>
    <s v="Preparation - other"/>
    <s v="Care Remuneration Hourly Rates"/>
    <s v="Profit Cost"/>
    <s v="MQ"/>
    <s v="Y"/>
    <n v="29.44"/>
    <n v="5.89"/>
    <x v="6"/>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35"/>
    <d v="2023-07-05T19:02:13"/>
    <s v="Y"/>
    <s v="Preparation - other"/>
    <s v="Care Remuneration Hourly Rates"/>
    <s v="Profit Cost"/>
    <s v="MQ"/>
    <s v="Y"/>
    <n v="110.4"/>
    <n v="22.08"/>
    <x v="6"/>
    <s v="VALIDATED"/>
    <n v="1"/>
    <s v="01.11.80.308.6100.0000"/>
    <n v="110.4"/>
    <s v="11"/>
    <s v="6100"/>
    <n v="12645.15"/>
    <n v="110.4"/>
    <s v="CREDITOR"/>
    <n v="0"/>
    <n v="0"/>
    <n v="0"/>
    <n v="0"/>
    <n v="110.4"/>
  </r>
  <r>
    <n v="60201209"/>
    <s v="N"/>
    <n v="21331293"/>
    <s v="3000014517580013"/>
    <s v="CIVIL"/>
    <d v="2023-06-26T00:00:00"/>
    <d v="2023-07-05T19:01:47"/>
    <m/>
    <d v="2023-07-05T00:00:00"/>
    <n v="1337"/>
    <n v="15396"/>
    <s v="60201209"/>
    <s v="60201209"/>
    <m/>
    <m/>
    <n v="22759208"/>
    <m/>
    <m/>
    <m/>
    <s v="SOLFIN"/>
    <s v="SOLFIN"/>
    <s v="CCMS"/>
    <n v="21331293"/>
    <n v="11995.24"/>
    <m/>
    <s v="N"/>
    <n v="76"/>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75"/>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56"/>
    <d v="2023-07-03T19:02:01"/>
    <s v="Y"/>
    <s v="Preparation - other"/>
    <s v="Care Remuneration Hourly Rates"/>
    <s v="Profit Cost"/>
    <s v="MQ"/>
    <s v="Y"/>
    <n v="12.09"/>
    <n v="2.42"/>
    <x v="3"/>
    <s v="VALIDATED"/>
    <n v="1"/>
    <s v="01.11.80.308.6100.0000"/>
    <n v="12.09"/>
    <s v="11"/>
    <s v="6100"/>
    <n v="12645.15"/>
    <n v="12.09"/>
    <s v="CREDITOR"/>
    <n v="0"/>
    <n v="0"/>
    <n v="0"/>
    <n v="0"/>
    <n v="12.09"/>
  </r>
  <r>
    <n v="60201209"/>
    <s v="N"/>
    <n v="21331293"/>
    <s v="3000014517580013"/>
    <s v="CIVIL"/>
    <d v="2023-06-26T00:00:00"/>
    <d v="2023-07-05T19:01:47"/>
    <m/>
    <d v="2023-07-05T00:00:00"/>
    <n v="1337"/>
    <n v="15396"/>
    <s v="60201209"/>
    <s v="60201209"/>
    <m/>
    <m/>
    <n v="22759208"/>
    <m/>
    <m/>
    <m/>
    <s v="SOLFIN"/>
    <s v="SOLFIN"/>
    <s v="CCMS"/>
    <n v="21331293"/>
    <n v="11995.24"/>
    <m/>
    <s v="N"/>
    <n v="39"/>
    <d v="2023-07-05T19:02:13"/>
    <s v="Y"/>
    <s v="Preparation - other"/>
    <s v="Care Remuneration Hourly Rates"/>
    <s v="Profit Cost"/>
    <s v="MQ"/>
    <s v="Y"/>
    <n v="29.44"/>
    <n v="5.89"/>
    <x v="6"/>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67"/>
    <d v="2023-07-05T19:02:13"/>
    <s v="Y"/>
    <s v="Preparation - other"/>
    <s v="Care Remuneration Hourly Rates"/>
    <s v="Profit Cost"/>
    <s v="MQ"/>
    <s v="Y"/>
    <n v="22.08"/>
    <n v="4.42"/>
    <x v="6"/>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91"/>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42"/>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77"/>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98"/>
    <d v="2023-07-03T19:02:01"/>
    <s v="Y"/>
    <s v="Preparation - other"/>
    <s v="Care Remuneration Hourly Rates"/>
    <s v="Profit Cost"/>
    <s v="CD"/>
    <s v="Y"/>
    <n v="5.26"/>
    <n v="1.05"/>
    <x v="3"/>
    <s v="VALIDATED"/>
    <n v="1"/>
    <s v="01.11.80.308.6100.0000"/>
    <n v="5.26"/>
    <s v="11"/>
    <s v="6100"/>
    <n v="12645.15"/>
    <n v="5.26"/>
    <s v="CREDITOR"/>
    <n v="0"/>
    <n v="0"/>
    <n v="0"/>
    <n v="0"/>
    <n v="5.26"/>
  </r>
  <r>
    <n v="59933086"/>
    <s v="N"/>
    <n v="21318699"/>
    <s v="3000014286640024"/>
    <s v="CIVIL"/>
    <d v="2023-06-20T00:00:00"/>
    <d v="2023-07-03T19:01:49"/>
    <m/>
    <d v="2023-07-03T00:00:00"/>
    <n v="1337"/>
    <n v="15396"/>
    <s v="59933086"/>
    <s v="59933086"/>
    <m/>
    <m/>
    <n v="22727454"/>
    <m/>
    <m/>
    <m/>
    <s v="SOLFIN"/>
    <s v="SOLFIN"/>
    <s v="CCMS"/>
    <n v="21318699"/>
    <n v="15529.07"/>
    <m/>
    <s v="N"/>
    <n v="123"/>
    <d v="2023-07-03T19:02:01"/>
    <s v="N"/>
    <s v="Preparation - drafting bill/claim f"/>
    <s v="Care Remuneration Hourly Rates"/>
    <s v="Profit Cost"/>
    <s v="MQ"/>
    <s v="N"/>
    <n v="0"/>
    <n v="0"/>
    <x v="3"/>
    <s v="VALIDATED"/>
    <n v="1"/>
    <s v="01.11.80.308.6100.0000"/>
    <n v="0"/>
    <s v="11"/>
    <s v="6100"/>
    <n v="12645.15"/>
    <n v="0"/>
    <s v="CREDITOR"/>
    <n v="0"/>
    <n v="0"/>
    <n v="0"/>
    <n v="0"/>
    <n v="0"/>
  </r>
  <r>
    <n v="59933086"/>
    <s v="N"/>
    <n v="21318699"/>
    <s v="3000014286640024"/>
    <s v="CIVIL"/>
    <d v="2023-06-20T00:00:00"/>
    <d v="2023-07-03T19:01:49"/>
    <m/>
    <d v="2023-07-03T00:00:00"/>
    <n v="1337"/>
    <n v="15396"/>
    <s v="59933086"/>
    <s v="59933086"/>
    <m/>
    <m/>
    <n v="22727454"/>
    <m/>
    <m/>
    <m/>
    <s v="SOLFIN"/>
    <s v="SOLFIN"/>
    <s v="CCMS"/>
    <n v="21318699"/>
    <n v="15529.07"/>
    <m/>
    <s v="N"/>
    <n v="149"/>
    <d v="2023-07-03T19:02:01"/>
    <s v="Y"/>
    <s v="Hearing Unit 1.01 - 2.30 Hours"/>
    <s v="Public Law Children"/>
    <s v="Advocacy"/>
    <s v="MQ"/>
    <s v="Y"/>
    <n v="238.46"/>
    <n v="47.69"/>
    <x v="3"/>
    <s v="VALIDATED"/>
    <n v="1"/>
    <s v="01.11.80.308.6100.0000"/>
    <n v="238.46"/>
    <s v="11"/>
    <s v="6100"/>
    <n v="12645.15"/>
    <n v="238.46"/>
    <s v="CREDITOR"/>
    <n v="0"/>
    <n v="0"/>
    <n v="0"/>
    <n v="0"/>
    <n v="238.46"/>
  </r>
  <r>
    <n v="60201209"/>
    <s v="N"/>
    <n v="21331293"/>
    <s v="3000014517580013"/>
    <s v="CIVIL"/>
    <d v="2023-06-26T00:00:00"/>
    <d v="2023-07-05T19:01:47"/>
    <m/>
    <d v="2023-07-05T00:00:00"/>
    <n v="1337"/>
    <n v="15396"/>
    <s v="60201209"/>
    <s v="60201209"/>
    <m/>
    <m/>
    <n v="22759208"/>
    <m/>
    <m/>
    <m/>
    <s v="SOLFIN"/>
    <s v="SOLFIN"/>
    <s v="CCMS"/>
    <n v="21331293"/>
    <n v="11995.24"/>
    <m/>
    <s v="N"/>
    <n v="87"/>
    <d v="2023-07-05T19:02:13"/>
    <s v="Y"/>
    <s v="Routine Letter Out"/>
    <s v="Care Remuneration Hourly Rates"/>
    <s v="Profit Cost"/>
    <s v="MQ"/>
    <s v="Y"/>
    <n v="140.04"/>
    <n v="28.01"/>
    <x v="6"/>
    <s v="VALIDATED"/>
    <n v="1"/>
    <s v="01.11.80.308.6100.0000"/>
    <n v="140.04"/>
    <s v="11"/>
    <s v="6100"/>
    <n v="12645.15"/>
    <n v="140.04"/>
    <s v="CREDITOR"/>
    <n v="0"/>
    <n v="0"/>
    <n v="0"/>
    <n v="0"/>
    <n v="140.04"/>
  </r>
  <r>
    <n v="59933086"/>
    <s v="N"/>
    <n v="21318699"/>
    <s v="3000014286640024"/>
    <s v="CIVIL"/>
    <d v="2023-06-20T00:00:00"/>
    <d v="2023-07-03T19:01:49"/>
    <m/>
    <d v="2023-07-03T00:00:00"/>
    <n v="1337"/>
    <n v="15396"/>
    <s v="59933086"/>
    <s v="59933086"/>
    <m/>
    <m/>
    <n v="22727454"/>
    <m/>
    <m/>
    <m/>
    <s v="SOLFIN"/>
    <s v="SOLFIN"/>
    <s v="CCMS"/>
    <n v="21318699"/>
    <n v="15529.07"/>
    <m/>
    <s v="N"/>
    <n v="79"/>
    <d v="2023-07-03T19:02:01"/>
    <s v="Y"/>
    <s v="Preparation - other"/>
    <s v="Care Remuneration Hourly Rates"/>
    <s v="Profit Cost"/>
    <s v="MQ"/>
    <s v="Y"/>
    <n v="213.43"/>
    <n v="42.69"/>
    <x v="3"/>
    <s v="VALIDATED"/>
    <n v="1"/>
    <s v="01.11.80.308.6100.0000"/>
    <n v="213.43"/>
    <s v="11"/>
    <s v="6100"/>
    <n v="12645.15"/>
    <n v="213.43"/>
    <s v="CREDITOR"/>
    <n v="0"/>
    <n v="0"/>
    <n v="0"/>
    <n v="0"/>
    <n v="213.43"/>
  </r>
  <r>
    <n v="59933086"/>
    <s v="N"/>
    <n v="21318699"/>
    <s v="3000014286640024"/>
    <s v="CIVIL"/>
    <d v="2023-06-20T00:00:00"/>
    <d v="2023-07-03T19:01:49"/>
    <m/>
    <d v="2023-07-03T00:00:00"/>
    <n v="1337"/>
    <n v="15396"/>
    <s v="59933086"/>
    <s v="59933086"/>
    <m/>
    <m/>
    <n v="22727454"/>
    <m/>
    <m/>
    <m/>
    <s v="SOLFIN"/>
    <s v="SOLFIN"/>
    <s v="CCMS"/>
    <n v="21318699"/>
    <n v="15529.07"/>
    <m/>
    <s v="N"/>
    <n v="14"/>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121"/>
    <d v="2023-07-03T19:02:01"/>
    <s v="Y"/>
    <s v="Preparation - other"/>
    <s v="Care Remuneration Hourly Rates"/>
    <s v="Profit Cost"/>
    <s v="MQ"/>
    <s v="Y"/>
    <n v="12.09"/>
    <n v="2.42"/>
    <x v="3"/>
    <s v="VALIDATED"/>
    <n v="1"/>
    <s v="01.11.80.308.6100.0000"/>
    <n v="12.09"/>
    <s v="11"/>
    <s v="6100"/>
    <n v="12645.15"/>
    <n v="12.09"/>
    <s v="CREDITOR"/>
    <n v="0"/>
    <n v="0"/>
    <n v="0"/>
    <n v="0"/>
    <n v="12.09"/>
  </r>
  <r>
    <n v="60201209"/>
    <s v="N"/>
    <n v="21331293"/>
    <s v="3000014517580013"/>
    <s v="CIVIL"/>
    <d v="2023-06-26T00:00:00"/>
    <d v="2023-07-05T19:01:47"/>
    <m/>
    <d v="2023-07-05T00:00:00"/>
    <n v="1337"/>
    <n v="15396"/>
    <s v="60201209"/>
    <s v="60201209"/>
    <m/>
    <m/>
    <n v="22759208"/>
    <m/>
    <m/>
    <m/>
    <s v="SOLFIN"/>
    <s v="SOLFIN"/>
    <s v="CCMS"/>
    <n v="21331293"/>
    <n v="11995.24"/>
    <m/>
    <s v="N"/>
    <n v="73"/>
    <d v="2023-07-05T19:02:13"/>
    <s v="Y"/>
    <s v="Preparation - drafting bill/claim f"/>
    <s v="Care Remuneration Hourly Rates"/>
    <s v="Profit Cost"/>
    <s v="CD"/>
    <s v="Y"/>
    <n v="5.26"/>
    <n v="1.05"/>
    <x v="6"/>
    <s v="VALIDATED"/>
    <n v="1"/>
    <s v="01.11.80.308.6100.0000"/>
    <n v="5.26"/>
    <s v="11"/>
    <s v="6100"/>
    <n v="12645.15"/>
    <n v="5.26"/>
    <s v="CREDITOR"/>
    <n v="0"/>
    <n v="0"/>
    <n v="0"/>
    <n v="0"/>
    <n v="5.26"/>
  </r>
  <r>
    <n v="59933086"/>
    <s v="N"/>
    <n v="21318699"/>
    <s v="3000014286640024"/>
    <s v="CIVIL"/>
    <d v="2023-06-20T00:00:00"/>
    <d v="2023-07-03T19:01:49"/>
    <m/>
    <d v="2023-07-03T00:00:00"/>
    <n v="1337"/>
    <n v="15396"/>
    <s v="59933086"/>
    <s v="59933086"/>
    <m/>
    <m/>
    <n v="22727454"/>
    <m/>
    <m/>
    <m/>
    <s v="SOLFIN"/>
    <s v="SOLFIN"/>
    <s v="CCMS"/>
    <n v="21318699"/>
    <n v="15529.07"/>
    <m/>
    <s v="N"/>
    <n v="35"/>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93"/>
    <d v="2023-07-03T19:02:01"/>
    <s v="Y"/>
    <s v="Preparation - other"/>
    <s v="Care Remuneration Hourly Rates"/>
    <s v="Profit Cost"/>
    <s v="MQ"/>
    <s v="Y"/>
    <n v="80.95999999999999"/>
    <n v="16.19"/>
    <x v="3"/>
    <s v="VALIDATED"/>
    <n v="1"/>
    <s v="01.11.80.308.6100.0000"/>
    <n v="80.95999999999999"/>
    <s v="11"/>
    <s v="6100"/>
    <n v="12645.15"/>
    <n v="80.95999999999999"/>
    <s v="CREDITOR"/>
    <n v="0"/>
    <n v="0"/>
    <n v="0"/>
    <n v="0"/>
    <n v="80.95999999999999"/>
  </r>
  <r>
    <n v="59933086"/>
    <s v="N"/>
    <n v="21318699"/>
    <s v="3000014286640024"/>
    <s v="CIVIL"/>
    <d v="2023-06-20T00:00:00"/>
    <d v="2023-07-03T19:01:49"/>
    <m/>
    <d v="2023-07-03T00:00:00"/>
    <n v="1337"/>
    <n v="15396"/>
    <s v="59933086"/>
    <s v="59933086"/>
    <m/>
    <m/>
    <n v="22727454"/>
    <m/>
    <m/>
    <m/>
    <s v="SOLFIN"/>
    <s v="SOLFIN"/>
    <s v="CCMS"/>
    <n v="21318699"/>
    <n v="15529.07"/>
    <m/>
    <s v="N"/>
    <n v="54"/>
    <d v="2023-07-03T19:02:01"/>
    <s v="Y"/>
    <s v="Preparation - other"/>
    <s v="Care Remuneration Hourly Rates"/>
    <s v="Profit Cost"/>
    <s v="MQ"/>
    <s v="Y"/>
    <n v="14.71"/>
    <n v="2.94"/>
    <x v="3"/>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1"/>
    <d v="2023-07-05T19:02:13"/>
    <s v="Y"/>
    <s v="Preparation - other"/>
    <s v="Care Remuneration Hourly Rates"/>
    <s v="Profit Cost"/>
    <s v="EW"/>
    <s v="Y"/>
    <n v="26.29"/>
    <n v="5.26"/>
    <x v="6"/>
    <s v="VALIDATED"/>
    <n v="1"/>
    <s v="01.11.80.308.6100.0000"/>
    <n v="26.29"/>
    <s v="11"/>
    <s v="6100"/>
    <n v="12645.15"/>
    <n v="26.29"/>
    <s v="CREDITOR"/>
    <n v="0"/>
    <n v="0"/>
    <n v="0"/>
    <n v="0"/>
    <n v="26.29"/>
  </r>
  <r>
    <n v="60201209"/>
    <s v="N"/>
    <n v="21331293"/>
    <s v="3000014517580013"/>
    <s v="CIVIL"/>
    <d v="2023-06-26T00:00:00"/>
    <d v="2023-07-05T19:01:47"/>
    <m/>
    <d v="2023-07-05T00:00:00"/>
    <n v="1337"/>
    <n v="15396"/>
    <s v="60201209"/>
    <s v="60201209"/>
    <m/>
    <m/>
    <n v="22759208"/>
    <m/>
    <m/>
    <m/>
    <s v="SOLFIN"/>
    <s v="SOLFIN"/>
    <s v="CCMS"/>
    <n v="21331293"/>
    <n v="11995.24"/>
    <m/>
    <s v="N"/>
    <n v="9"/>
    <d v="2023-07-05T19:02:13"/>
    <s v="Y"/>
    <s v="Preparation - other"/>
    <s v="Care Remuneration Hourly Rates"/>
    <s v="Profit Cost"/>
    <s v="MQ"/>
    <s v="Y"/>
    <n v="29.44"/>
    <n v="5.89"/>
    <x v="6"/>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19"/>
    <d v="2023-07-05T19:02:13"/>
    <s v="Y"/>
    <s v="Preparation - other"/>
    <s v="Care Remuneration Hourly Rates"/>
    <s v="Profit Cost"/>
    <s v="MQ"/>
    <s v="Y"/>
    <n v="147.2"/>
    <n v="29.44"/>
    <x v="6"/>
    <s v="VALIDATED"/>
    <n v="1"/>
    <s v="01.11.80.308.6100.0000"/>
    <n v="147.2"/>
    <s v="11"/>
    <s v="6100"/>
    <n v="12645.15"/>
    <n v="147.2"/>
    <s v="CREDITOR"/>
    <n v="0"/>
    <n v="0"/>
    <n v="0"/>
    <n v="0"/>
    <n v="147.2"/>
  </r>
  <r>
    <n v="60201209"/>
    <s v="N"/>
    <n v="21331293"/>
    <s v="3000014517580013"/>
    <s v="CIVIL"/>
    <d v="2023-06-26T00:00:00"/>
    <d v="2023-07-05T19:01:47"/>
    <m/>
    <d v="2023-07-05T00:00:00"/>
    <n v="1337"/>
    <n v="15396"/>
    <s v="60201209"/>
    <s v="60201209"/>
    <m/>
    <m/>
    <n v="22759208"/>
    <m/>
    <m/>
    <m/>
    <s v="SOLFIN"/>
    <s v="SOLFIN"/>
    <s v="CCMS"/>
    <n v="21331293"/>
    <n v="11995.24"/>
    <m/>
    <s v="N"/>
    <n v="57"/>
    <d v="2023-07-05T19:02:13"/>
    <s v="Y"/>
    <s v="Preparation - other"/>
    <s v="Care Remuneration Hourly Rates"/>
    <s v="Profit Cost"/>
    <s v="MQ"/>
    <s v="Y"/>
    <n v="44.16"/>
    <n v="8.83"/>
    <x v="6"/>
    <s v="VALIDATED"/>
    <n v="1"/>
    <s v="01.11.80.308.6100.0000"/>
    <n v="44.16"/>
    <s v="11"/>
    <s v="6100"/>
    <n v="12645.15"/>
    <n v="44.16"/>
    <s v="CREDITOR"/>
    <n v="0"/>
    <n v="0"/>
    <n v="0"/>
    <n v="0"/>
    <n v="44.16"/>
  </r>
  <r>
    <n v="60201209"/>
    <s v="N"/>
    <n v="21331293"/>
    <s v="3000014517580013"/>
    <s v="CIVIL"/>
    <d v="2023-06-26T00:00:00"/>
    <d v="2023-07-05T19:01:47"/>
    <m/>
    <d v="2023-07-05T00:00:00"/>
    <n v="1337"/>
    <n v="15396"/>
    <s v="60201209"/>
    <s v="60201209"/>
    <m/>
    <m/>
    <n v="22759208"/>
    <m/>
    <m/>
    <m/>
    <s v="SOLFIN"/>
    <s v="SOLFIN"/>
    <s v="CCMS"/>
    <n v="21331293"/>
    <n v="11995.24"/>
    <m/>
    <s v="N"/>
    <n v="58"/>
    <d v="2023-07-05T19:02:13"/>
    <s v="Y"/>
    <s v="Preparation - other"/>
    <s v="Care Remuneration Hourly Rates"/>
    <s v="Profit Cost"/>
    <s v="MQ"/>
    <s v="Y"/>
    <n v="22.08"/>
    <n v="4.42"/>
    <x v="6"/>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39"/>
    <d v="2023-07-03T19:02:01"/>
    <s v="Y"/>
    <s v="Preparation - other"/>
    <s v="Care Remuneration Hourly Rates"/>
    <s v="Profit Cost"/>
    <s v="MQ"/>
    <s v="Y"/>
    <n v="147.2"/>
    <n v="29.44"/>
    <x v="3"/>
    <s v="VALIDATED"/>
    <n v="1"/>
    <s v="01.11.80.308.6100.0000"/>
    <n v="147.2"/>
    <s v="11"/>
    <s v="6100"/>
    <n v="12645.15"/>
    <n v="147.2"/>
    <s v="CREDITOR"/>
    <n v="0"/>
    <n v="0"/>
    <n v="0"/>
    <n v="0"/>
    <n v="147.2"/>
  </r>
  <r>
    <n v="59933086"/>
    <s v="N"/>
    <n v="21318699"/>
    <s v="3000014286640024"/>
    <s v="CIVIL"/>
    <d v="2023-06-20T00:00:00"/>
    <d v="2023-07-03T19:01:49"/>
    <m/>
    <d v="2023-07-03T00:00:00"/>
    <n v="1337"/>
    <n v="15396"/>
    <s v="59933086"/>
    <s v="59933086"/>
    <m/>
    <m/>
    <n v="22727454"/>
    <m/>
    <m/>
    <m/>
    <s v="SOLFIN"/>
    <s v="SOLFIN"/>
    <s v="CCMS"/>
    <n v="21318699"/>
    <n v="15529.07"/>
    <m/>
    <s v="N"/>
    <n v="45"/>
    <d v="2023-07-03T19:02:01"/>
    <s v="Y"/>
    <s v="Preparation - other"/>
    <s v="Care Remuneration Hourly Rates"/>
    <s v="Profit Cost"/>
    <s v="MQ"/>
    <s v="Y"/>
    <n v="44.16"/>
    <n v="8.83"/>
    <x v="3"/>
    <s v="VALIDATED"/>
    <n v="1"/>
    <s v="01.11.80.308.6100.0000"/>
    <n v="44.16"/>
    <s v="11"/>
    <s v="6100"/>
    <n v="12645.15"/>
    <n v="44.16"/>
    <s v="CREDITOR"/>
    <n v="0"/>
    <n v="0"/>
    <n v="0"/>
    <n v="0"/>
    <n v="44.16"/>
  </r>
  <r>
    <n v="60201209"/>
    <s v="N"/>
    <n v="21331293"/>
    <s v="3000014517580013"/>
    <s v="CIVIL"/>
    <d v="2023-06-26T00:00:00"/>
    <d v="2023-07-05T19:01:47"/>
    <m/>
    <d v="2023-07-05T00:00:00"/>
    <n v="1337"/>
    <n v="15396"/>
    <s v="60201209"/>
    <s v="60201209"/>
    <m/>
    <m/>
    <n v="22759208"/>
    <m/>
    <m/>
    <m/>
    <s v="SOLFIN"/>
    <s v="SOLFIN"/>
    <s v="CCMS"/>
    <n v="21331293"/>
    <n v="11995.24"/>
    <m/>
    <s v="N"/>
    <n v="96"/>
    <d v="2023-07-05T19:02:13"/>
    <s v="Y"/>
    <s v="Psychiatrist"/>
    <s v="Care Remuneration Hourly Rates"/>
    <s v="Expert Disbursement"/>
    <s v="XXX"/>
    <s v="Y"/>
    <n v="422"/>
    <n v="0"/>
    <x v="6"/>
    <s v="VALIDATED"/>
    <n v="1"/>
    <s v="01.11.80.308.6300.0000"/>
    <n v="422"/>
    <s v="11"/>
    <s v="6300"/>
    <n v="12645.15"/>
    <n v="422"/>
    <s v="CREDITOR"/>
    <n v="0"/>
    <n v="0"/>
    <n v="0"/>
    <n v="0"/>
    <n v="422"/>
  </r>
  <r>
    <n v="60201209"/>
    <s v="N"/>
    <n v="21331293"/>
    <s v="3000014517580013"/>
    <s v="CIVIL"/>
    <d v="2023-06-26T00:00:00"/>
    <d v="2023-07-05T19:01:47"/>
    <m/>
    <d v="2023-07-05T00:00:00"/>
    <n v="1337"/>
    <n v="15396"/>
    <s v="60201209"/>
    <s v="60201209"/>
    <m/>
    <m/>
    <n v="22759208"/>
    <m/>
    <m/>
    <m/>
    <s v="SOLFIN"/>
    <s v="SOLFIN"/>
    <s v="CCMS"/>
    <n v="21331293"/>
    <n v="11995.24"/>
    <m/>
    <s v="N"/>
    <n v="102"/>
    <d v="2023-07-05T19:02:13"/>
    <s v="Y"/>
    <s v="Hearing Unit 2.31 - 5.00 Hours"/>
    <s v="Public Law Children"/>
    <s v="Advocacy"/>
    <s v="MQ"/>
    <s v="Y"/>
    <n v="476.92"/>
    <n v="95.38"/>
    <x v="6"/>
    <s v="VALIDATED"/>
    <n v="1"/>
    <s v="01.11.80.308.6100.0000"/>
    <n v="476.92"/>
    <s v="11"/>
    <s v="6100"/>
    <n v="12645.15"/>
    <n v="476.92"/>
    <s v="CREDITOR"/>
    <n v="0"/>
    <n v="0"/>
    <n v="0"/>
    <n v="0"/>
    <n v="476.92"/>
  </r>
  <r>
    <n v="60201209"/>
    <s v="N"/>
    <n v="21331293"/>
    <s v="3000014517580013"/>
    <s v="CIVIL"/>
    <d v="2023-06-26T00:00:00"/>
    <d v="2023-07-05T19:01:47"/>
    <m/>
    <d v="2023-07-05T00:00:00"/>
    <n v="1337"/>
    <n v="15396"/>
    <s v="60201209"/>
    <s v="60201209"/>
    <m/>
    <m/>
    <n v="22759208"/>
    <m/>
    <m/>
    <m/>
    <s v="SOLFIN"/>
    <s v="SOLFIN"/>
    <s v="CCMS"/>
    <n v="21331293"/>
    <n v="11995.24"/>
    <m/>
    <s v="N"/>
    <n v="59"/>
    <d v="2023-07-05T19:02:13"/>
    <s v="Y"/>
    <s v="Preparation - other"/>
    <s v="Care Remuneration Hourly Rates"/>
    <s v="Profit Cost"/>
    <s v="MQ"/>
    <s v="Y"/>
    <n v="29.44"/>
    <n v="5.89"/>
    <x v="6"/>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3"/>
    <d v="2023-07-03T19:02:01"/>
    <s v="Y"/>
    <s v="Attendance upon client"/>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31"/>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18"/>
    <d v="2023-07-03T19:02:01"/>
    <s v="Y"/>
    <s v="Preparation - drafting instructions"/>
    <s v="Care Remuneration Hourly Rates"/>
    <s v="Profit Cost"/>
    <s v="MQ"/>
    <s v="Y"/>
    <n v="24.18"/>
    <n v="4.84"/>
    <x v="3"/>
    <s v="VALIDATED"/>
    <n v="1"/>
    <s v="01.11.80.308.6100.0000"/>
    <n v="24.18"/>
    <s v="11"/>
    <s v="6100"/>
    <n v="12645.15"/>
    <n v="24.18"/>
    <s v="CREDITOR"/>
    <n v="0"/>
    <n v="0"/>
    <n v="0"/>
    <n v="0"/>
    <n v="24.18"/>
  </r>
  <r>
    <n v="59933086"/>
    <s v="N"/>
    <n v="21318699"/>
    <s v="3000014286640024"/>
    <s v="CIVIL"/>
    <d v="2023-06-20T00:00:00"/>
    <d v="2023-07-03T19:01:49"/>
    <m/>
    <d v="2023-07-03T00:00:00"/>
    <n v="1337"/>
    <n v="15396"/>
    <s v="59933086"/>
    <s v="59933086"/>
    <m/>
    <m/>
    <n v="22727454"/>
    <m/>
    <m/>
    <m/>
    <s v="SOLFIN"/>
    <s v="SOLFIN"/>
    <s v="CCMS"/>
    <n v="21318699"/>
    <n v="15529.07"/>
    <m/>
    <s v="N"/>
    <n v="136"/>
    <d v="2023-07-03T19:02:01"/>
    <s v="Y"/>
    <s v="Expert - Other"/>
    <s v="Care Remuneration Hourly Rates"/>
    <s v="Expert Disbursement"/>
    <s v="XXX"/>
    <s v="Y"/>
    <n v="609.4"/>
    <n v="121.88"/>
    <x v="3"/>
    <s v="VALIDATED"/>
    <n v="1"/>
    <s v="01.11.80.308.6300.0000"/>
    <n v="609.4"/>
    <s v="11"/>
    <s v="6300"/>
    <n v="12645.15"/>
    <n v="609.4"/>
    <s v="CREDITOR"/>
    <n v="0"/>
    <n v="0"/>
    <n v="0"/>
    <n v="0"/>
    <n v="609.4"/>
  </r>
  <r>
    <n v="59933086"/>
    <s v="N"/>
    <n v="21318699"/>
    <s v="3000014286640024"/>
    <s v="CIVIL"/>
    <d v="2023-06-20T00:00:00"/>
    <d v="2023-07-03T19:01:49"/>
    <m/>
    <d v="2023-07-03T00:00:00"/>
    <n v="1337"/>
    <n v="15396"/>
    <s v="59933086"/>
    <s v="59933086"/>
    <m/>
    <m/>
    <n v="22727454"/>
    <m/>
    <m/>
    <m/>
    <s v="SOLFIN"/>
    <s v="SOLFIN"/>
    <s v="CCMS"/>
    <n v="21318699"/>
    <n v="15529.07"/>
    <m/>
    <s v="N"/>
    <n v="25"/>
    <d v="2023-07-03T19:02:01"/>
    <s v="Y"/>
    <s v="Preparation - drafting consent orde"/>
    <s v="Care Remuneration Hourly Rates"/>
    <s v="Profit Cost"/>
    <s v="MQ"/>
    <s v="Y"/>
    <n v="18.14"/>
    <n v="3.63"/>
    <x v="3"/>
    <s v="VALIDATED"/>
    <n v="1"/>
    <s v="01.11.80.308.6100.0000"/>
    <n v="18.14"/>
    <s v="11"/>
    <s v="6100"/>
    <n v="12645.15"/>
    <n v="18.14"/>
    <s v="CREDITOR"/>
    <n v="0"/>
    <n v="0"/>
    <n v="0"/>
    <n v="0"/>
    <n v="18.14"/>
  </r>
  <r>
    <n v="59933086"/>
    <s v="N"/>
    <n v="21318699"/>
    <s v="3000014286640024"/>
    <s v="CIVIL"/>
    <d v="2023-06-20T00:00:00"/>
    <d v="2023-07-03T19:01:49"/>
    <m/>
    <d v="2023-07-03T00:00:00"/>
    <n v="1337"/>
    <n v="15396"/>
    <s v="59933086"/>
    <s v="59933086"/>
    <m/>
    <m/>
    <n v="22727454"/>
    <m/>
    <m/>
    <m/>
    <s v="SOLFIN"/>
    <s v="SOLFIN"/>
    <s v="CCMS"/>
    <n v="21318699"/>
    <n v="15529.07"/>
    <m/>
    <s v="N"/>
    <n v="15"/>
    <d v="2023-07-03T19:02:01"/>
    <s v="Y"/>
    <s v="Preparation - other"/>
    <s v="Care Remuneration Hourly Rates"/>
    <s v="Profit Cost"/>
    <s v="MQ"/>
    <s v="Y"/>
    <n v="22.08"/>
    <n v="4.42"/>
    <x v="3"/>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25"/>
    <d v="2023-07-05T19:02:13"/>
    <s v="Y"/>
    <s v="Attendance upon client"/>
    <s v="Care Remuneration Hourly Rates"/>
    <s v="Profit Cost"/>
    <s v="MQ"/>
    <s v="Y"/>
    <n v="14.71"/>
    <n v="2.94"/>
    <x v="6"/>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80"/>
    <d v="2023-07-05T19:02:13"/>
    <s v="Y"/>
    <s v="Preparation - other"/>
    <s v="Care Remuneration Hourly Rates"/>
    <s v="Profit Cost"/>
    <s v="MQ"/>
    <s v="Y"/>
    <n v="12.09"/>
    <n v="2.42"/>
    <x v="6"/>
    <s v="VALIDATED"/>
    <n v="1"/>
    <s v="01.11.80.308.6100.0000"/>
    <n v="12.09"/>
    <s v="11"/>
    <s v="6100"/>
    <n v="12645.15"/>
    <n v="12.09"/>
    <s v="CREDITOR"/>
    <n v="0"/>
    <n v="0"/>
    <n v="0"/>
    <n v="0"/>
    <n v="12.09"/>
  </r>
  <r>
    <n v="59933086"/>
    <s v="N"/>
    <n v="21318699"/>
    <s v="3000014286640024"/>
    <s v="CIVIL"/>
    <d v="2023-06-20T00:00:00"/>
    <d v="2023-07-03T19:01:49"/>
    <m/>
    <d v="2023-07-03T00:00:00"/>
    <n v="1337"/>
    <n v="15396"/>
    <s v="59933086"/>
    <s v="59933086"/>
    <m/>
    <m/>
    <n v="22727454"/>
    <m/>
    <m/>
    <m/>
    <s v="SOLFIN"/>
    <s v="SOLFIN"/>
    <s v="CCMS"/>
    <n v="21318699"/>
    <n v="15529.07"/>
    <m/>
    <s v="N"/>
    <n v="37"/>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83"/>
    <d v="2023-07-03T19:02:01"/>
    <s v="Y"/>
    <s v="Preparation - other"/>
    <s v="Care Remuneration Hourly Rates"/>
    <s v="Profit Cost"/>
    <s v="MQ"/>
    <s v="Y"/>
    <n v="44.16"/>
    <n v="8.83"/>
    <x v="3"/>
    <s v="VALIDATED"/>
    <n v="1"/>
    <s v="01.11.80.308.6100.0000"/>
    <n v="44.16"/>
    <s v="11"/>
    <s v="6100"/>
    <n v="12645.15"/>
    <n v="44.16"/>
    <s v="CREDITOR"/>
    <n v="0"/>
    <n v="0"/>
    <n v="0"/>
    <n v="0"/>
    <n v="44.16"/>
  </r>
  <r>
    <n v="60201209"/>
    <s v="N"/>
    <n v="21331293"/>
    <s v="3000014517580013"/>
    <s v="CIVIL"/>
    <d v="2023-06-26T00:00:00"/>
    <d v="2023-07-05T19:01:47"/>
    <m/>
    <d v="2023-07-05T00:00:00"/>
    <n v="1337"/>
    <n v="15396"/>
    <s v="60201209"/>
    <s v="60201209"/>
    <m/>
    <m/>
    <n v="22759208"/>
    <m/>
    <m/>
    <m/>
    <s v="SOLFIN"/>
    <s v="SOLFIN"/>
    <s v="CCMS"/>
    <n v="21331293"/>
    <n v="11995.24"/>
    <m/>
    <s v="N"/>
    <n v="63"/>
    <d v="2023-07-05T19:02:13"/>
    <s v="Y"/>
    <s v="Preparation - drafting bill/claim f"/>
    <s v="Care Remuneration Hourly Rates"/>
    <s v="Profit Cost"/>
    <s v="CD"/>
    <s v="Y"/>
    <n v="5.26"/>
    <n v="1.05"/>
    <x v="6"/>
    <s v="VALIDATED"/>
    <n v="1"/>
    <s v="01.11.80.308.6100.0000"/>
    <n v="5.26"/>
    <s v="11"/>
    <s v="6100"/>
    <n v="12645.15"/>
    <n v="5.26"/>
    <s v="CREDITOR"/>
    <n v="0"/>
    <n v="0"/>
    <n v="0"/>
    <n v="0"/>
    <n v="5.26"/>
  </r>
  <r>
    <n v="60201209"/>
    <s v="N"/>
    <n v="21331293"/>
    <s v="3000014517580013"/>
    <s v="CIVIL"/>
    <d v="2023-06-26T00:00:00"/>
    <d v="2023-07-05T19:01:47"/>
    <m/>
    <d v="2023-07-05T00:00:00"/>
    <n v="1337"/>
    <n v="15396"/>
    <s v="60201209"/>
    <s v="60201209"/>
    <m/>
    <m/>
    <n v="22759208"/>
    <m/>
    <m/>
    <m/>
    <s v="SOLFIN"/>
    <s v="SOLFIN"/>
    <s v="CCMS"/>
    <n v="21331293"/>
    <n v="11995.24"/>
    <m/>
    <s v="N"/>
    <n v="17"/>
    <d v="2023-07-05T19:02:13"/>
    <s v="Y"/>
    <s v="Preparation - other"/>
    <s v="Care Remuneration Hourly Rates"/>
    <s v="Profit Cost"/>
    <s v="MQ"/>
    <s v="Y"/>
    <n v="12.09"/>
    <n v="2.42"/>
    <x v="6"/>
    <s v="VALIDATED"/>
    <n v="1"/>
    <s v="01.11.80.308.6100.0000"/>
    <n v="12.09"/>
    <s v="11"/>
    <s v="6100"/>
    <n v="12645.15"/>
    <n v="12.09"/>
    <s v="CREDITOR"/>
    <n v="0"/>
    <n v="0"/>
    <n v="0"/>
    <n v="0"/>
    <n v="12.09"/>
  </r>
  <r>
    <n v="60201209"/>
    <s v="N"/>
    <n v="21331293"/>
    <s v="3000014517580013"/>
    <s v="CIVIL"/>
    <d v="2023-06-26T00:00:00"/>
    <d v="2023-07-05T19:01:47"/>
    <m/>
    <d v="2023-07-05T00:00:00"/>
    <n v="1337"/>
    <n v="15396"/>
    <s v="60201209"/>
    <s v="60201209"/>
    <m/>
    <m/>
    <n v="22759208"/>
    <m/>
    <m/>
    <m/>
    <s v="SOLFIN"/>
    <s v="SOLFIN"/>
    <s v="CCMS"/>
    <n v="21331293"/>
    <n v="11995.24"/>
    <m/>
    <s v="N"/>
    <n v="30"/>
    <d v="2023-07-05T19:02:13"/>
    <s v="Y"/>
    <s v="Preparation - other"/>
    <s v="Care Remuneration Hourly Rates"/>
    <s v="Profit Cost"/>
    <s v="MQ"/>
    <s v="Y"/>
    <n v="22.08"/>
    <n v="4.42"/>
    <x v="6"/>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71"/>
    <d v="2023-07-03T19:02:01"/>
    <s v="Y"/>
    <s v="Preparation - other"/>
    <s v="Care Remuneration Hourly Rates"/>
    <s v="Profit Cost"/>
    <s v="MQ"/>
    <s v="Y"/>
    <n v="51.52"/>
    <n v="10.3"/>
    <x v="3"/>
    <s v="VALIDATED"/>
    <n v="1"/>
    <s v="01.11.80.308.6100.0000"/>
    <n v="51.52"/>
    <s v="11"/>
    <s v="6100"/>
    <n v="12645.15"/>
    <n v="51.52"/>
    <s v="CREDITOR"/>
    <n v="0"/>
    <n v="0"/>
    <n v="0"/>
    <n v="0"/>
    <n v="51.52"/>
  </r>
  <r>
    <n v="59933086"/>
    <s v="N"/>
    <n v="21318699"/>
    <s v="3000014286640024"/>
    <s v="CIVIL"/>
    <d v="2023-06-20T00:00:00"/>
    <d v="2023-07-03T19:01:49"/>
    <m/>
    <d v="2023-07-03T00:00:00"/>
    <n v="1337"/>
    <n v="15396"/>
    <s v="59933086"/>
    <s v="59933086"/>
    <m/>
    <m/>
    <n v="22727454"/>
    <m/>
    <m/>
    <m/>
    <s v="SOLFIN"/>
    <s v="SOLFIN"/>
    <s v="CCMS"/>
    <n v="21318699"/>
    <n v="15529.07"/>
    <m/>
    <s v="N"/>
    <n v="17"/>
    <d v="2023-07-03T19:02:01"/>
    <s v="Y"/>
    <s v="Preparation - other"/>
    <s v="Care Remuneration Hourly Rates"/>
    <s v="Profit Cost"/>
    <s v="MQ"/>
    <s v="Y"/>
    <n v="51.52"/>
    <n v="10.3"/>
    <x v="3"/>
    <s v="VALIDATED"/>
    <n v="1"/>
    <s v="01.11.80.308.6100.0000"/>
    <n v="51.52"/>
    <s v="11"/>
    <s v="6100"/>
    <n v="12645.15"/>
    <n v="51.52"/>
    <s v="CREDITOR"/>
    <n v="0"/>
    <n v="0"/>
    <n v="0"/>
    <n v="0"/>
    <n v="51.52"/>
  </r>
  <r>
    <n v="59933086"/>
    <s v="N"/>
    <n v="21318699"/>
    <s v="3000014286640024"/>
    <s v="CIVIL"/>
    <d v="2023-06-20T00:00:00"/>
    <d v="2023-07-03T19:01:49"/>
    <m/>
    <d v="2023-07-03T00:00:00"/>
    <n v="1337"/>
    <n v="15396"/>
    <s v="59933086"/>
    <s v="59933086"/>
    <m/>
    <m/>
    <n v="22727454"/>
    <m/>
    <m/>
    <m/>
    <s v="SOLFIN"/>
    <s v="SOLFIN"/>
    <s v="CCMS"/>
    <n v="21318699"/>
    <n v="15529.07"/>
    <m/>
    <s v="N"/>
    <n v="113"/>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114"/>
    <d v="2023-07-03T19:02:01"/>
    <s v="Y"/>
    <s v="Preparation - other"/>
    <s v="Care Remuneration Hourly Rates"/>
    <s v="Profit Cost"/>
    <s v="MQ"/>
    <s v="Y"/>
    <n v="12.09"/>
    <n v="2.42"/>
    <x v="3"/>
    <s v="VALIDATED"/>
    <n v="1"/>
    <s v="01.11.80.308.6100.0000"/>
    <n v="12.09"/>
    <s v="11"/>
    <s v="6100"/>
    <n v="12645.15"/>
    <n v="12.09"/>
    <s v="CREDITOR"/>
    <n v="0"/>
    <n v="0"/>
    <n v="0"/>
    <n v="0"/>
    <n v="12.09"/>
  </r>
  <r>
    <n v="60201209"/>
    <s v="N"/>
    <n v="21331293"/>
    <s v="3000014517580013"/>
    <s v="CIVIL"/>
    <d v="2023-06-26T00:00:00"/>
    <d v="2023-07-05T19:01:47"/>
    <m/>
    <d v="2023-07-05T00:00:00"/>
    <n v="1337"/>
    <n v="15396"/>
    <s v="60201209"/>
    <s v="60201209"/>
    <m/>
    <m/>
    <n v="22759208"/>
    <m/>
    <m/>
    <m/>
    <s v="SOLFIN"/>
    <s v="SOLFIN"/>
    <s v="CCMS"/>
    <n v="21331293"/>
    <n v="11995.24"/>
    <m/>
    <s v="N"/>
    <n v="47"/>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79"/>
    <d v="2023-07-05T19:02:13"/>
    <s v="Y"/>
    <s v="Preparation - other"/>
    <s v="Care Remuneration Hourly Rates"/>
    <s v="Profit Cost"/>
    <s v="CD"/>
    <s v="Y"/>
    <n v="15.77"/>
    <n v="3.15"/>
    <x v="6"/>
    <s v="VALIDATED"/>
    <n v="1"/>
    <s v="01.11.80.308.6100.0000"/>
    <n v="15.77"/>
    <s v="11"/>
    <s v="6100"/>
    <n v="12645.15"/>
    <n v="15.77"/>
    <s v="CREDITOR"/>
    <n v="0"/>
    <n v="0"/>
    <n v="0"/>
    <n v="0"/>
    <n v="15.77"/>
  </r>
  <r>
    <n v="60201209"/>
    <s v="N"/>
    <n v="21331293"/>
    <s v="3000014517580013"/>
    <s v="CIVIL"/>
    <d v="2023-06-26T00:00:00"/>
    <d v="2023-07-05T19:01:47"/>
    <m/>
    <d v="2023-07-05T00:00:00"/>
    <n v="1337"/>
    <n v="15396"/>
    <s v="60201209"/>
    <s v="60201209"/>
    <m/>
    <m/>
    <n v="22759208"/>
    <m/>
    <m/>
    <m/>
    <s v="SOLFIN"/>
    <s v="SOLFIN"/>
    <s v="CCMS"/>
    <n v="21331293"/>
    <n v="11995.24"/>
    <m/>
    <s v="N"/>
    <n v="85"/>
    <d v="2023-07-05T19:02:13"/>
    <s v="Y"/>
    <s v="Routine Telephone Call"/>
    <s v="Care Remuneration Hourly Rates"/>
    <s v="Profit Cost"/>
    <s v="MQ"/>
    <s v="Y"/>
    <n v="12.73"/>
    <n v="2.55"/>
    <x v="6"/>
    <s v="VALIDATED"/>
    <n v="1"/>
    <s v="01.11.80.308.6100.0000"/>
    <n v="12.73"/>
    <s v="11"/>
    <s v="6100"/>
    <n v="12645.15"/>
    <n v="12.73"/>
    <s v="CREDITOR"/>
    <n v="0"/>
    <n v="0"/>
    <n v="0"/>
    <n v="0"/>
    <n v="12.73"/>
  </r>
  <r>
    <n v="59933086"/>
    <s v="N"/>
    <n v="21318699"/>
    <s v="3000014286640024"/>
    <s v="CIVIL"/>
    <d v="2023-06-20T00:00:00"/>
    <d v="2023-07-03T19:01:49"/>
    <m/>
    <d v="2023-07-03T00:00:00"/>
    <n v="1337"/>
    <n v="15396"/>
    <s v="59933086"/>
    <s v="59933086"/>
    <m/>
    <m/>
    <n v="22727454"/>
    <m/>
    <m/>
    <m/>
    <s v="SOLFIN"/>
    <s v="SOLFIN"/>
    <s v="CCMS"/>
    <n v="21318699"/>
    <n v="15529.07"/>
    <m/>
    <s v="N"/>
    <n v="139"/>
    <d v="2023-07-03T19:02:01"/>
    <s v="Y"/>
    <s v="Toxicologist"/>
    <s v="Care Remuneration Hourly Rates"/>
    <s v="Expert Disbursement"/>
    <s v="XXX"/>
    <s v="Y"/>
    <n v="354.76"/>
    <n v="70.95"/>
    <x v="3"/>
    <s v="VALIDATED"/>
    <n v="1"/>
    <s v="01.11.80.308.6300.0000"/>
    <n v="354.76"/>
    <s v="11"/>
    <s v="6300"/>
    <n v="12645.15"/>
    <n v="354.76"/>
    <s v="CREDITOR"/>
    <n v="0"/>
    <n v="0"/>
    <n v="0"/>
    <n v="0"/>
    <n v="354.76"/>
  </r>
  <r>
    <n v="59933086"/>
    <s v="N"/>
    <n v="21318699"/>
    <s v="3000014286640024"/>
    <s v="CIVIL"/>
    <d v="2023-06-20T00:00:00"/>
    <d v="2023-07-03T19:01:49"/>
    <m/>
    <d v="2023-07-03T00:00:00"/>
    <n v="1337"/>
    <n v="15396"/>
    <s v="59933086"/>
    <s v="59933086"/>
    <m/>
    <m/>
    <n v="22727454"/>
    <m/>
    <m/>
    <m/>
    <s v="SOLFIN"/>
    <s v="SOLFIN"/>
    <s v="CCMS"/>
    <n v="21318699"/>
    <n v="15529.07"/>
    <m/>
    <s v="N"/>
    <n v="120"/>
    <d v="2023-07-03T19:02:01"/>
    <s v="Y"/>
    <s v="Preparation - other"/>
    <s v="Care Remuneration Hourly Rates"/>
    <s v="Profit Cost"/>
    <s v="MQ"/>
    <s v="Y"/>
    <n v="12.09"/>
    <n v="2.42"/>
    <x v="3"/>
    <s v="VALIDATED"/>
    <n v="1"/>
    <s v="01.11.80.308.6100.0000"/>
    <n v="12.09"/>
    <s v="11"/>
    <s v="6100"/>
    <n v="12645.15"/>
    <n v="12.09"/>
    <s v="CREDITOR"/>
    <n v="0"/>
    <n v="0"/>
    <n v="0"/>
    <n v="0"/>
    <n v="12.09"/>
  </r>
  <r>
    <n v="60201209"/>
    <s v="N"/>
    <n v="21331293"/>
    <s v="3000014517580013"/>
    <s v="CIVIL"/>
    <d v="2023-06-26T00:00:00"/>
    <d v="2023-07-05T19:01:47"/>
    <m/>
    <d v="2023-07-05T00:00:00"/>
    <n v="1337"/>
    <n v="15396"/>
    <s v="60201209"/>
    <s v="60201209"/>
    <m/>
    <m/>
    <n v="22759208"/>
    <m/>
    <m/>
    <m/>
    <s v="SOLFIN"/>
    <s v="SOLFIN"/>
    <s v="CCMS"/>
    <n v="21331293"/>
    <n v="11995.24"/>
    <m/>
    <s v="N"/>
    <n v="99"/>
    <d v="2023-07-05T19:02:13"/>
    <s v="Y"/>
    <s v="Advocates Meeting"/>
    <s v="Public Law Children"/>
    <s v="Advocacy"/>
    <s v="MQ"/>
    <s v="Y"/>
    <n v="140.99"/>
    <n v="28.2"/>
    <x v="6"/>
    <s v="VALIDATED"/>
    <n v="1"/>
    <s v="01.11.80.308.6100.0000"/>
    <n v="140.99"/>
    <s v="11"/>
    <s v="6100"/>
    <n v="12645.15"/>
    <n v="140.99"/>
    <s v="CREDITOR"/>
    <n v="0"/>
    <n v="0"/>
    <n v="0"/>
    <n v="0"/>
    <n v="140.99"/>
  </r>
  <r>
    <n v="60201209"/>
    <s v="N"/>
    <n v="21331293"/>
    <s v="3000014517580013"/>
    <s v="CIVIL"/>
    <d v="2023-06-26T00:00:00"/>
    <d v="2023-07-05T19:01:47"/>
    <m/>
    <d v="2023-07-05T00:00:00"/>
    <n v="1337"/>
    <n v="15396"/>
    <s v="60201209"/>
    <s v="60201209"/>
    <m/>
    <m/>
    <n v="22759208"/>
    <m/>
    <m/>
    <m/>
    <s v="SOLFIN"/>
    <s v="SOLFIN"/>
    <s v="CCMS"/>
    <n v="21331293"/>
    <n v="11995.24"/>
    <m/>
    <s v="N"/>
    <n v="89"/>
    <d v="2023-07-05T19:02:13"/>
    <s v="Y"/>
    <s v="Routine Letter In"/>
    <s v="Care Remuneration Hourly Rates"/>
    <s v="Profit Cost"/>
    <s v="MQ"/>
    <s v="Y"/>
    <n v="223.39"/>
    <n v="44.68"/>
    <x v="6"/>
    <s v="VALIDATED"/>
    <n v="1"/>
    <s v="01.11.80.308.6100.0000"/>
    <n v="223.39"/>
    <s v="11"/>
    <s v="6100"/>
    <n v="12645.15"/>
    <n v="223.39"/>
    <s v="CREDITOR"/>
    <n v="0"/>
    <n v="0"/>
    <n v="0"/>
    <n v="0"/>
    <n v="223.39"/>
  </r>
  <r>
    <n v="60201209"/>
    <s v="N"/>
    <n v="21331293"/>
    <s v="3000014517580013"/>
    <s v="CIVIL"/>
    <d v="2023-06-26T00:00:00"/>
    <d v="2023-07-05T19:01:47"/>
    <m/>
    <d v="2023-07-05T00:00:00"/>
    <n v="1337"/>
    <n v="15396"/>
    <s v="60201209"/>
    <s v="60201209"/>
    <m/>
    <m/>
    <n v="22759208"/>
    <m/>
    <m/>
    <m/>
    <s v="SOLFIN"/>
    <s v="SOLFIN"/>
    <s v="CCMS"/>
    <n v="21331293"/>
    <n v="11995.24"/>
    <m/>
    <s v="N"/>
    <n v="8"/>
    <d v="2023-07-05T19:02:13"/>
    <s v="Y"/>
    <s v="Preparation - other"/>
    <s v="Care Remuneration Hourly Rates"/>
    <s v="Profit Cost"/>
    <s v="EW"/>
    <s v="Y"/>
    <n v="147.2"/>
    <n v="29.44"/>
    <x v="6"/>
    <s v="VALIDATED"/>
    <n v="1"/>
    <s v="01.11.80.308.6100.0000"/>
    <n v="147.2"/>
    <s v="11"/>
    <s v="6100"/>
    <n v="12645.15"/>
    <n v="147.2"/>
    <s v="CREDITOR"/>
    <n v="0"/>
    <n v="0"/>
    <n v="0"/>
    <n v="0"/>
    <n v="147.2"/>
  </r>
  <r>
    <n v="60201209"/>
    <s v="N"/>
    <n v="21331293"/>
    <s v="3000014517580013"/>
    <s v="CIVIL"/>
    <d v="2023-06-26T00:00:00"/>
    <d v="2023-07-05T19:01:47"/>
    <m/>
    <d v="2023-07-05T00:00:00"/>
    <n v="1337"/>
    <n v="15396"/>
    <s v="60201209"/>
    <s v="60201209"/>
    <m/>
    <m/>
    <n v="22759208"/>
    <m/>
    <m/>
    <m/>
    <s v="SOLFIN"/>
    <s v="SOLFIN"/>
    <s v="CCMS"/>
    <n v="21331293"/>
    <n v="11995.24"/>
    <m/>
    <s v="N"/>
    <n v="83"/>
    <d v="2023-07-05T19:02:13"/>
    <s v="Y"/>
    <s v="Preparation - drafting pleadings"/>
    <s v="Care Remuneration Hourly Rates"/>
    <s v="Profit Cost"/>
    <s v="MQ"/>
    <s v="Y"/>
    <n v="30.23"/>
    <n v="6.05"/>
    <x v="6"/>
    <s v="VALIDATED"/>
    <n v="1"/>
    <s v="01.11.80.308.6100.0000"/>
    <n v="30.23"/>
    <s v="11"/>
    <s v="6100"/>
    <n v="12645.15"/>
    <n v="30.23"/>
    <s v="CREDITOR"/>
    <n v="0"/>
    <n v="0"/>
    <n v="0"/>
    <n v="0"/>
    <n v="30.23"/>
  </r>
  <r>
    <n v="59933086"/>
    <s v="N"/>
    <n v="21318699"/>
    <s v="3000014286640024"/>
    <s v="CIVIL"/>
    <d v="2023-06-20T00:00:00"/>
    <d v="2023-07-03T19:01:49"/>
    <m/>
    <d v="2023-07-03T00:00:00"/>
    <n v="1337"/>
    <n v="15396"/>
    <s v="59933086"/>
    <s v="59933086"/>
    <m/>
    <m/>
    <n v="22727454"/>
    <m/>
    <m/>
    <m/>
    <s v="SOLFIN"/>
    <s v="SOLFIN"/>
    <s v="CCMS"/>
    <n v="21318699"/>
    <n v="15529.07"/>
    <m/>
    <s v="N"/>
    <n v="44"/>
    <d v="2023-07-03T19:02:01"/>
    <s v="Y"/>
    <s v="Preparation - drafting instructions"/>
    <s v="Care Remuneration Hourly Rates"/>
    <s v="Profit Cost"/>
    <s v="MQ"/>
    <s v="Y"/>
    <n v="29.44"/>
    <n v="5.89"/>
    <x v="3"/>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38"/>
    <d v="2023-07-05T19:02:13"/>
    <s v="Y"/>
    <s v="Preparation - other"/>
    <s v="Care Remuneration Hourly Rates"/>
    <s v="Profit Cost"/>
    <s v="MQ"/>
    <s v="Y"/>
    <n v="14.71"/>
    <n v="2.94"/>
    <x v="6"/>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4"/>
    <d v="2023-07-05T19:02:13"/>
    <s v="Y"/>
    <s v="Preparation - other"/>
    <s v="Care Remuneration Hourly Rates"/>
    <s v="Profit Cost"/>
    <s v="MQ"/>
    <s v="Y"/>
    <n v="110.4"/>
    <n v="22.08"/>
    <x v="6"/>
    <s v="VALIDATED"/>
    <n v="1"/>
    <s v="01.11.80.308.6100.0000"/>
    <n v="110.4"/>
    <s v="11"/>
    <s v="6100"/>
    <n v="12645.15"/>
    <n v="110.4"/>
    <s v="CREDITOR"/>
    <n v="0"/>
    <n v="0"/>
    <n v="0"/>
    <n v="0"/>
    <n v="110.4"/>
  </r>
  <r>
    <n v="60201209"/>
    <s v="N"/>
    <n v="21331293"/>
    <s v="3000014517580013"/>
    <s v="CIVIL"/>
    <d v="2023-06-26T00:00:00"/>
    <d v="2023-07-05T19:01:47"/>
    <m/>
    <d v="2023-07-05T00:00:00"/>
    <n v="1337"/>
    <n v="15396"/>
    <s v="60201209"/>
    <s v="60201209"/>
    <m/>
    <m/>
    <n v="22759208"/>
    <m/>
    <m/>
    <m/>
    <s v="SOLFIN"/>
    <s v="SOLFIN"/>
    <s v="CCMS"/>
    <n v="21331293"/>
    <n v="11995.24"/>
    <m/>
    <s v="N"/>
    <n v="90"/>
    <d v="2023-07-05T19:02:13"/>
    <s v="Y"/>
    <s v="Routine Letter In"/>
    <s v="Care Remuneration Hourly Rates"/>
    <s v="Profit Cost"/>
    <s v="CD"/>
    <s v="Y"/>
    <n v="75.84999999999999"/>
    <n v="15.17"/>
    <x v="6"/>
    <s v="VALIDATED"/>
    <n v="1"/>
    <s v="01.11.80.308.6100.0000"/>
    <n v="75.84999999999999"/>
    <s v="11"/>
    <s v="6100"/>
    <n v="12645.15"/>
    <n v="75.84999999999999"/>
    <s v="CREDITOR"/>
    <n v="0"/>
    <n v="0"/>
    <n v="0"/>
    <n v="0"/>
    <n v="75.84999999999999"/>
  </r>
  <r>
    <n v="60201209"/>
    <s v="N"/>
    <n v="21331293"/>
    <s v="3000014517580013"/>
    <s v="CIVIL"/>
    <d v="2023-06-26T00:00:00"/>
    <d v="2023-07-05T19:01:47"/>
    <m/>
    <d v="2023-07-05T00:00:00"/>
    <n v="1337"/>
    <n v="15396"/>
    <s v="60201209"/>
    <s v="60201209"/>
    <m/>
    <m/>
    <n v="22759208"/>
    <m/>
    <m/>
    <m/>
    <s v="SOLFIN"/>
    <s v="SOLFIN"/>
    <s v="CCMS"/>
    <n v="21331293"/>
    <n v="11995.24"/>
    <m/>
    <s v="N"/>
    <n v="15"/>
    <d v="2023-07-05T19:02:13"/>
    <s v="Y"/>
    <s v="Preparation - other"/>
    <s v="Care Remuneration Hourly Rates"/>
    <s v="Profit Cost"/>
    <s v="MQ"/>
    <s v="Y"/>
    <n v="36.81"/>
    <n v="7.36"/>
    <x v="6"/>
    <s v="VALIDATED"/>
    <n v="1"/>
    <s v="01.11.80.308.6100.0000"/>
    <n v="36.81"/>
    <s v="11"/>
    <s v="6100"/>
    <n v="12645.15"/>
    <n v="36.81"/>
    <s v="CREDITOR"/>
    <n v="0"/>
    <n v="0"/>
    <n v="0"/>
    <n v="0"/>
    <n v="36.81"/>
  </r>
  <r>
    <n v="59933086"/>
    <s v="N"/>
    <n v="21318699"/>
    <s v="3000014286640024"/>
    <s v="CIVIL"/>
    <d v="2023-06-20T00:00:00"/>
    <d v="2023-07-03T19:01:49"/>
    <m/>
    <d v="2023-07-03T00:00:00"/>
    <n v="1337"/>
    <n v="15396"/>
    <s v="59933086"/>
    <s v="59933086"/>
    <m/>
    <m/>
    <n v="22727454"/>
    <m/>
    <m/>
    <m/>
    <s v="SOLFIN"/>
    <s v="SOLFIN"/>
    <s v="CCMS"/>
    <n v="21318699"/>
    <n v="15529.07"/>
    <m/>
    <s v="N"/>
    <n v="13"/>
    <d v="2023-07-03T19:02:01"/>
    <s v="Y"/>
    <s v="Preparation - other"/>
    <s v="Care Remuneration Hourly Rates"/>
    <s v="Profit Cost"/>
    <s v="MQ"/>
    <s v="Y"/>
    <n v="29.44"/>
    <n v="5.89"/>
    <x v="3"/>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30"/>
    <d v="2023-07-03T19:02:01"/>
    <s v="Y"/>
    <s v="Court Fee"/>
    <s v="Care Remuneration Hourly Rates"/>
    <s v="Non Expert Disbursement"/>
    <s v="XXX"/>
    <s v="Y"/>
    <n v="167"/>
    <n v="0"/>
    <x v="3"/>
    <s v="VALIDATED"/>
    <n v="1"/>
    <s v="01.11.80.308.6300.0000"/>
    <n v="167"/>
    <s v="11"/>
    <s v="6300"/>
    <n v="12645.15"/>
    <n v="167"/>
    <s v="CREDITOR"/>
    <n v="0"/>
    <n v="0"/>
    <n v="0"/>
    <n v="0"/>
    <n v="167"/>
  </r>
  <r>
    <n v="59933086"/>
    <s v="N"/>
    <n v="21318699"/>
    <s v="3000014286640024"/>
    <s v="CIVIL"/>
    <d v="2023-06-20T00:00:00"/>
    <d v="2023-07-03T19:01:49"/>
    <m/>
    <d v="2023-07-03T00:00:00"/>
    <n v="1337"/>
    <n v="15396"/>
    <s v="59933086"/>
    <s v="59933086"/>
    <m/>
    <m/>
    <n v="22727454"/>
    <m/>
    <m/>
    <m/>
    <s v="SOLFIN"/>
    <s v="SOLFIN"/>
    <s v="CCMS"/>
    <n v="21318699"/>
    <n v="15529.07"/>
    <m/>
    <s v="N"/>
    <n v="124"/>
    <d v="2023-07-03T19:02:01"/>
    <s v="Y"/>
    <s v="Routine Telephone Call"/>
    <s v="Care Remuneration Hourly Rates"/>
    <s v="Profit Cost"/>
    <s v="MQ"/>
    <s v="Y"/>
    <n v="59.41"/>
    <n v="11.88"/>
    <x v="3"/>
    <s v="VALIDATED"/>
    <n v="1"/>
    <s v="01.11.80.308.6100.0000"/>
    <n v="59.41"/>
    <s v="11"/>
    <s v="6100"/>
    <n v="12645.15"/>
    <n v="59.41"/>
    <s v="CREDITOR"/>
    <n v="0"/>
    <n v="0"/>
    <n v="0"/>
    <n v="0"/>
    <n v="59.41"/>
  </r>
  <r>
    <n v="59933086"/>
    <s v="N"/>
    <n v="21318699"/>
    <s v="3000014286640024"/>
    <s v="CIVIL"/>
    <d v="2023-06-20T00:00:00"/>
    <d v="2023-07-03T19:01:49"/>
    <m/>
    <d v="2023-07-03T00:00:00"/>
    <n v="1337"/>
    <n v="15396"/>
    <s v="59933086"/>
    <s v="59933086"/>
    <m/>
    <m/>
    <n v="22727454"/>
    <m/>
    <m/>
    <m/>
    <s v="SOLFIN"/>
    <s v="SOLFIN"/>
    <s v="CCMS"/>
    <n v="21318699"/>
    <n v="15529.07"/>
    <m/>
    <s v="N"/>
    <n v="94"/>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80"/>
    <d v="2023-07-03T19:02:01"/>
    <s v="Y"/>
    <s v="Preparation - drafting instructions"/>
    <s v="Care Remuneration Hourly Rates"/>
    <s v="Profit Cost"/>
    <s v="MQ"/>
    <s v="Y"/>
    <n v="22.08"/>
    <n v="4.42"/>
    <x v="3"/>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16"/>
    <d v="2023-07-05T19:02:13"/>
    <s v="Y"/>
    <s v="Preparation - other"/>
    <s v="Care Remuneration Hourly Rates"/>
    <s v="Profit Cost"/>
    <s v="MQ"/>
    <s v="Y"/>
    <n v="29.44"/>
    <n v="5.89"/>
    <x v="6"/>
    <s v="VALIDATED"/>
    <n v="1"/>
    <s v="01.11.80.308.6100.0000"/>
    <n v="29.44"/>
    <s v="11"/>
    <s v="6100"/>
    <n v="12645.15"/>
    <n v="29.44"/>
    <s v="CREDITOR"/>
    <n v="0"/>
    <n v="0"/>
    <n v="0"/>
    <n v="0"/>
    <n v="29.44"/>
  </r>
  <r>
    <n v="60201209"/>
    <s v="N"/>
    <n v="21331293"/>
    <s v="3000014517580013"/>
    <s v="CIVIL"/>
    <d v="2023-06-26T00:00:00"/>
    <d v="2023-07-05T19:01:47"/>
    <m/>
    <d v="2023-07-05T00:00:00"/>
    <n v="1337"/>
    <n v="15396"/>
    <s v="60201209"/>
    <s v="60201209"/>
    <m/>
    <m/>
    <n v="22759208"/>
    <m/>
    <m/>
    <m/>
    <s v="SOLFIN"/>
    <s v="SOLFIN"/>
    <s v="CCMS"/>
    <n v="21331293"/>
    <n v="11995.24"/>
    <m/>
    <s v="N"/>
    <n v="98"/>
    <d v="2023-07-05T19:02:13"/>
    <s v="Y"/>
    <s v="Hearing Unit 2.31 - 5.00 Hours"/>
    <s v="Public Law Children"/>
    <s v="Advocacy"/>
    <s v="MQ"/>
    <s v="Y"/>
    <n v="476.92"/>
    <n v="95.38"/>
    <x v="6"/>
    <s v="VALIDATED"/>
    <n v="1"/>
    <s v="01.11.80.308.6100.0000"/>
    <n v="476.92"/>
    <s v="11"/>
    <s v="6100"/>
    <n v="12645.15"/>
    <n v="476.92"/>
    <s v="CREDITOR"/>
    <n v="0"/>
    <n v="0"/>
    <n v="0"/>
    <n v="0"/>
    <n v="476.92"/>
  </r>
  <r>
    <n v="60201209"/>
    <s v="N"/>
    <n v="21331293"/>
    <s v="3000014517580013"/>
    <s v="CIVIL"/>
    <d v="2023-06-26T00:00:00"/>
    <d v="2023-07-05T19:01:47"/>
    <m/>
    <d v="2023-07-05T00:00:00"/>
    <n v="1337"/>
    <n v="15396"/>
    <s v="60201209"/>
    <s v="60201209"/>
    <m/>
    <m/>
    <n v="22759208"/>
    <m/>
    <m/>
    <m/>
    <s v="SOLFIN"/>
    <s v="SOLFIN"/>
    <s v="CCMS"/>
    <n v="21331293"/>
    <n v="11995.24"/>
    <m/>
    <s v="N"/>
    <n v="56"/>
    <d v="2023-07-05T19:02:13"/>
    <s v="Y"/>
    <s v="Preparation - other"/>
    <s v="Care Remuneration Hourly Rates"/>
    <s v="Profit Cost"/>
    <s v="MQ"/>
    <s v="Y"/>
    <n v="36.81"/>
    <n v="7.36"/>
    <x v="6"/>
    <s v="VALIDATED"/>
    <n v="1"/>
    <s v="01.11.80.308.6100.0000"/>
    <n v="36.81"/>
    <s v="11"/>
    <s v="6100"/>
    <n v="12645.15"/>
    <n v="36.81"/>
    <s v="CREDITOR"/>
    <n v="0"/>
    <n v="0"/>
    <n v="0"/>
    <n v="0"/>
    <n v="36.81"/>
  </r>
  <r>
    <n v="60201209"/>
    <s v="N"/>
    <n v="21331293"/>
    <s v="3000014517580013"/>
    <s v="CIVIL"/>
    <d v="2023-06-26T00:00:00"/>
    <d v="2023-07-05T19:01:47"/>
    <m/>
    <d v="2023-07-05T00:00:00"/>
    <n v="1337"/>
    <n v="15396"/>
    <s v="60201209"/>
    <s v="60201209"/>
    <m/>
    <m/>
    <n v="22759208"/>
    <m/>
    <m/>
    <m/>
    <s v="SOLFIN"/>
    <s v="SOLFIN"/>
    <s v="CCMS"/>
    <n v="21331293"/>
    <n v="11995.24"/>
    <m/>
    <s v="N"/>
    <n v="61"/>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116"/>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40"/>
    <d v="2023-07-03T19:02:01"/>
    <s v="Y"/>
    <s v="Attendance upon client"/>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58"/>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61"/>
    <d v="2023-07-03T19:02:01"/>
    <s v="Y"/>
    <s v="Preparation - other"/>
    <s v="Care Remuneration Hourly Rates"/>
    <s v="Profit Cost"/>
    <s v="MQ"/>
    <s v="Y"/>
    <n v="110.4"/>
    <n v="22.08"/>
    <x v="3"/>
    <s v="VALIDATED"/>
    <n v="1"/>
    <s v="01.11.80.308.6100.0000"/>
    <n v="110.4"/>
    <s v="11"/>
    <s v="6100"/>
    <n v="12645.15"/>
    <n v="110.4"/>
    <s v="CREDITOR"/>
    <n v="0"/>
    <n v="0"/>
    <n v="0"/>
    <n v="0"/>
    <n v="110.4"/>
  </r>
  <r>
    <n v="59933086"/>
    <s v="N"/>
    <n v="21318699"/>
    <s v="3000014286640024"/>
    <s v="CIVIL"/>
    <d v="2023-06-20T00:00:00"/>
    <d v="2023-07-03T19:01:49"/>
    <m/>
    <d v="2023-07-03T00:00:00"/>
    <n v="1337"/>
    <n v="15396"/>
    <s v="59933086"/>
    <s v="59933086"/>
    <m/>
    <m/>
    <n v="22727454"/>
    <m/>
    <m/>
    <m/>
    <s v="SOLFIN"/>
    <s v="SOLFIN"/>
    <s v="CCMS"/>
    <n v="21318699"/>
    <n v="15529.07"/>
    <m/>
    <s v="N"/>
    <n v="46"/>
    <d v="2023-07-03T19:02:01"/>
    <s v="Y"/>
    <s v="Preparation - drafting notice(s)"/>
    <s v="Care Remuneration Hourly Rates"/>
    <s v="Profit Cost"/>
    <s v="MQ"/>
    <s v="Y"/>
    <n v="6.05"/>
    <n v="1.21"/>
    <x v="3"/>
    <s v="VALIDATED"/>
    <n v="1"/>
    <s v="01.11.80.308.6100.0000"/>
    <n v="6.05"/>
    <s v="11"/>
    <s v="6100"/>
    <n v="12645.15"/>
    <n v="6.05"/>
    <s v="CREDITOR"/>
    <n v="0"/>
    <n v="0"/>
    <n v="0"/>
    <n v="0"/>
    <n v="6.05"/>
  </r>
  <r>
    <n v="60201209"/>
    <s v="N"/>
    <n v="21331293"/>
    <s v="3000014517580013"/>
    <s v="CIVIL"/>
    <d v="2023-06-26T00:00:00"/>
    <d v="2023-07-05T19:01:47"/>
    <m/>
    <d v="2023-07-05T00:00:00"/>
    <n v="1337"/>
    <n v="15396"/>
    <s v="60201209"/>
    <s v="60201209"/>
    <m/>
    <m/>
    <n v="22759208"/>
    <m/>
    <m/>
    <m/>
    <s v="SOLFIN"/>
    <s v="SOLFIN"/>
    <s v="CCMS"/>
    <n v="21331293"/>
    <n v="11995.24"/>
    <m/>
    <s v="N"/>
    <n v="26"/>
    <d v="2023-07-05T19:02:13"/>
    <s v="Y"/>
    <s v="Preparation - other"/>
    <s v="Care Remuneration Hourly Rates"/>
    <s v="Profit Cost"/>
    <s v="MQ"/>
    <s v="Y"/>
    <n v="29.44"/>
    <n v="5.89"/>
    <x v="6"/>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05"/>
    <d v="2023-07-03T19:02:01"/>
    <s v="Y"/>
    <s v="Preparation - other"/>
    <s v="Care Remuneration Hourly Rates"/>
    <s v="Profit Cost"/>
    <s v="MQ"/>
    <s v="Y"/>
    <n v="110.4"/>
    <n v="22.08"/>
    <x v="3"/>
    <s v="VALIDATED"/>
    <n v="1"/>
    <s v="01.11.80.308.6100.0000"/>
    <n v="110.4"/>
    <s v="11"/>
    <s v="6100"/>
    <n v="12645.15"/>
    <n v="110.4"/>
    <s v="CREDITOR"/>
    <n v="0"/>
    <n v="0"/>
    <n v="0"/>
    <n v="0"/>
    <n v="110.4"/>
  </r>
  <r>
    <n v="59933086"/>
    <s v="N"/>
    <n v="21318699"/>
    <s v="3000014286640024"/>
    <s v="CIVIL"/>
    <d v="2023-06-20T00:00:00"/>
    <d v="2023-07-03T19:01:49"/>
    <m/>
    <d v="2023-07-03T00:00:00"/>
    <n v="1337"/>
    <n v="15396"/>
    <s v="59933086"/>
    <s v="59933086"/>
    <m/>
    <m/>
    <n v="22727454"/>
    <m/>
    <m/>
    <m/>
    <s v="SOLFIN"/>
    <s v="SOLFIN"/>
    <s v="CCMS"/>
    <n v="21318699"/>
    <n v="15529.07"/>
    <m/>
    <s v="N"/>
    <n v="50"/>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12"/>
    <d v="2023-07-03T19:02:01"/>
    <s v="Y"/>
    <s v="Attendance upon client"/>
    <s v="Care Remuneration Hourly Rates"/>
    <s v="Profit Cost"/>
    <s v="MQ"/>
    <s v="Y"/>
    <n v="14.71"/>
    <n v="2.94"/>
    <x v="3"/>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37"/>
    <d v="2023-07-05T19:02:13"/>
    <s v="Y"/>
    <s v="Preparation - other"/>
    <s v="Care Remuneration Hourly Rates"/>
    <s v="Profit Cost"/>
    <s v="MQ"/>
    <s v="Y"/>
    <n v="22.08"/>
    <n v="4.42"/>
    <x v="6"/>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21"/>
    <d v="2023-07-05T19:02:13"/>
    <s v="Y"/>
    <s v="Preparation - other"/>
    <s v="Care Remuneration Hourly Rates"/>
    <s v="Profit Cost"/>
    <s v="MQ"/>
    <s v="Y"/>
    <n v="44.16"/>
    <n v="8.83"/>
    <x v="6"/>
    <s v="VALIDATED"/>
    <n v="1"/>
    <s v="01.11.80.308.6100.0000"/>
    <n v="44.16"/>
    <s v="11"/>
    <s v="6100"/>
    <n v="12645.15"/>
    <n v="44.16"/>
    <s v="CREDITOR"/>
    <n v="0"/>
    <n v="0"/>
    <n v="0"/>
    <n v="0"/>
    <n v="44.16"/>
  </r>
  <r>
    <n v="59933086"/>
    <s v="N"/>
    <n v="21318699"/>
    <s v="3000014286640024"/>
    <s v="CIVIL"/>
    <d v="2023-06-20T00:00:00"/>
    <d v="2023-07-03T19:01:49"/>
    <m/>
    <d v="2023-07-03T00:00:00"/>
    <n v="1337"/>
    <n v="15396"/>
    <s v="59933086"/>
    <s v="59933086"/>
    <m/>
    <m/>
    <n v="22727454"/>
    <m/>
    <m/>
    <m/>
    <s v="SOLFIN"/>
    <s v="SOLFIN"/>
    <s v="CCMS"/>
    <n v="21318699"/>
    <n v="15529.07"/>
    <m/>
    <s v="N"/>
    <n v="53"/>
    <d v="2023-07-03T19:02:01"/>
    <s v="Y"/>
    <s v="Preparation - other"/>
    <s v="Care Remuneration Hourly Rates"/>
    <s v="Profit Cost"/>
    <s v="MQ"/>
    <s v="Y"/>
    <n v="36.81"/>
    <n v="7.36"/>
    <x v="3"/>
    <s v="VALIDATED"/>
    <n v="1"/>
    <s v="01.11.80.308.6100.0000"/>
    <n v="36.81"/>
    <s v="11"/>
    <s v="6100"/>
    <n v="12645.15"/>
    <n v="36.81"/>
    <s v="CREDITOR"/>
    <n v="0"/>
    <n v="0"/>
    <n v="0"/>
    <n v="0"/>
    <n v="36.81"/>
  </r>
  <r>
    <n v="59933086"/>
    <s v="N"/>
    <n v="21318699"/>
    <s v="3000014286640024"/>
    <s v="CIVIL"/>
    <d v="2023-06-20T00:00:00"/>
    <d v="2023-07-03T19:01:49"/>
    <m/>
    <d v="2023-07-03T00:00:00"/>
    <n v="1337"/>
    <n v="15396"/>
    <s v="59933086"/>
    <s v="59933086"/>
    <m/>
    <m/>
    <n v="22727454"/>
    <m/>
    <m/>
    <m/>
    <s v="SOLFIN"/>
    <s v="SOLFIN"/>
    <s v="CCMS"/>
    <n v="21318699"/>
    <n v="15529.07"/>
    <m/>
    <s v="N"/>
    <n v="67"/>
    <d v="2023-07-03T19:02:01"/>
    <s v="Y"/>
    <s v="Preparation - other"/>
    <s v="Care Remuneration Hourly Rates"/>
    <s v="Profit Cost"/>
    <s v="MQ"/>
    <s v="Y"/>
    <n v="14.71"/>
    <n v="2.94"/>
    <x v="3"/>
    <s v="VALIDATED"/>
    <n v="1"/>
    <s v="01.11.80.308.6100.0000"/>
    <n v="14.71"/>
    <s v="11"/>
    <s v="6100"/>
    <n v="12645.15"/>
    <n v="14.71"/>
    <s v="CREDITOR"/>
    <n v="0"/>
    <n v="0"/>
    <n v="0"/>
    <n v="0"/>
    <n v="14.71"/>
  </r>
  <r>
    <n v="60942422"/>
    <s v="N"/>
    <n v="21343351"/>
    <s v="3000015158060009"/>
    <s v="CIVIL"/>
    <d v="2023-06-26T00:00:00"/>
    <d v="2023-07-07T19:03:00"/>
    <m/>
    <d v="2023-07-07T00:00:00"/>
    <n v="1337"/>
    <n v="15396"/>
    <s v="60942422"/>
    <s v="60942422"/>
    <m/>
    <m/>
    <n v="22761596"/>
    <m/>
    <m/>
    <m/>
    <s v="SOLPOA"/>
    <s v="SOLPOA"/>
    <s v="CCMS"/>
    <n v="21343351"/>
    <n v="130.2"/>
    <m/>
    <s v="N"/>
    <n v="1"/>
    <d v="2023-07-07T19:03:08"/>
    <s v="N"/>
    <s v="Expert Cost"/>
    <s v="Expert Cost"/>
    <s v="Expert Disbursement"/>
    <s v="MQ"/>
    <s v="N"/>
    <n v="130.2"/>
    <n v="0"/>
    <x v="9"/>
    <s v="VALIDATED"/>
    <n v="1"/>
    <s v="01.11.80.308.2012.0000"/>
    <n v="130.2"/>
    <s v="11"/>
    <s v="2012"/>
    <n v="12645.15"/>
    <n v="130.2"/>
    <s v="CREDITOR"/>
    <n v="130.2"/>
    <n v="0"/>
    <n v="0"/>
    <n v="0"/>
    <n v="0"/>
  </r>
  <r>
    <n v="60201209"/>
    <s v="N"/>
    <n v="21331293"/>
    <s v="3000014517580013"/>
    <s v="CIVIL"/>
    <d v="2023-06-26T00:00:00"/>
    <d v="2023-07-05T19:01:47"/>
    <m/>
    <d v="2023-07-05T00:00:00"/>
    <n v="1337"/>
    <n v="15396"/>
    <s v="60201209"/>
    <s v="60201209"/>
    <m/>
    <m/>
    <n v="22759208"/>
    <m/>
    <m/>
    <m/>
    <s v="SOLFIN"/>
    <s v="SOLFIN"/>
    <s v="CCMS"/>
    <n v="21331293"/>
    <n v="11995.24"/>
    <m/>
    <s v="N"/>
    <n v="66"/>
    <d v="2023-07-05T19:02:13"/>
    <s v="Y"/>
    <s v="Preparation - other"/>
    <s v="Care Remuneration Hourly Rates"/>
    <s v="Profit Cost"/>
    <s v="MQ"/>
    <s v="Y"/>
    <n v="29.44"/>
    <n v="5.89"/>
    <x v="6"/>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
    <d v="2023-07-03T19:02:01"/>
    <s v="Y"/>
    <s v="Preparation - other"/>
    <s v="Care Remuneration Hourly Rates"/>
    <s v="Profit Cost"/>
    <s v="MQ"/>
    <s v="Y"/>
    <n v="12.09"/>
    <n v="2.42"/>
    <x v="3"/>
    <s v="VALIDATED"/>
    <n v="1"/>
    <s v="01.11.80.308.6100.0000"/>
    <n v="12.09"/>
    <s v="11"/>
    <s v="6100"/>
    <n v="12645.15"/>
    <n v="12.09"/>
    <s v="CREDITOR"/>
    <n v="0"/>
    <n v="0"/>
    <n v="0"/>
    <n v="0"/>
    <n v="12.09"/>
  </r>
  <r>
    <n v="59933086"/>
    <s v="N"/>
    <n v="21318699"/>
    <s v="3000014286640024"/>
    <s v="CIVIL"/>
    <d v="2023-06-20T00:00:00"/>
    <d v="2023-07-03T19:01:49"/>
    <m/>
    <d v="2023-07-03T00:00:00"/>
    <n v="1337"/>
    <n v="15396"/>
    <s v="59933086"/>
    <s v="59933086"/>
    <m/>
    <m/>
    <n v="22727454"/>
    <m/>
    <m/>
    <m/>
    <s v="SOLFIN"/>
    <s v="SOLFIN"/>
    <s v="CCMS"/>
    <n v="21318699"/>
    <n v="15529.07"/>
    <m/>
    <s v="N"/>
    <n v="24"/>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97"/>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91"/>
    <d v="2023-07-05T19:02:13"/>
    <s v="N"/>
    <s v="Solicitors Fixed Fee"/>
    <s v="Public Law Children"/>
    <s v="Profit Cost"/>
    <s v="XXX"/>
    <s v="N"/>
    <n v="0"/>
    <n v="0"/>
    <x v="6"/>
    <s v="VALIDATED"/>
    <n v="1"/>
    <s v="01.11.80.308.6100.0000"/>
    <n v="0"/>
    <s v="11"/>
    <s v="6100"/>
    <n v="12645.15"/>
    <n v="0"/>
    <s v="CREDITOR"/>
    <n v="0"/>
    <n v="0"/>
    <n v="0"/>
    <n v="0"/>
    <n v="0"/>
  </r>
  <r>
    <n v="60201209"/>
    <s v="N"/>
    <n v="21331293"/>
    <s v="3000014517580013"/>
    <s v="CIVIL"/>
    <d v="2023-06-26T00:00:00"/>
    <d v="2023-07-05T19:01:47"/>
    <m/>
    <d v="2023-07-05T00:00:00"/>
    <n v="1337"/>
    <n v="15396"/>
    <s v="60201209"/>
    <s v="60201209"/>
    <m/>
    <m/>
    <n v="22759208"/>
    <m/>
    <m/>
    <m/>
    <s v="SOLFIN"/>
    <s v="SOLFIN"/>
    <s v="CCMS"/>
    <n v="21331293"/>
    <n v="11995.24"/>
    <m/>
    <s v="N"/>
    <n v="64"/>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32"/>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34"/>
    <d v="2023-07-03T19:02:01"/>
    <s v="Y"/>
    <s v="Preparation - other"/>
    <s v="Care Remuneration Hourly Rates"/>
    <s v="Profit Cost"/>
    <s v="MQ"/>
    <s v="Y"/>
    <n v="14.71"/>
    <n v="2.94"/>
    <x v="3"/>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7"/>
    <d v="2023-07-05T19:02:13"/>
    <s v="Y"/>
    <s v="Preparation - other"/>
    <s v="Care Remuneration Hourly Rates"/>
    <s v="Profit Cost"/>
    <s v="MQ"/>
    <s v="Y"/>
    <n v="147.2"/>
    <n v="29.44"/>
    <x v="6"/>
    <s v="VALIDATED"/>
    <n v="1"/>
    <s v="01.11.80.308.6100.0000"/>
    <n v="147.2"/>
    <s v="11"/>
    <s v="6100"/>
    <n v="12645.15"/>
    <n v="147.2"/>
    <s v="CREDITOR"/>
    <n v="0"/>
    <n v="0"/>
    <n v="0"/>
    <n v="0"/>
    <n v="147.2"/>
  </r>
  <r>
    <n v="60201209"/>
    <s v="N"/>
    <n v="21331293"/>
    <s v="3000014517580013"/>
    <s v="CIVIL"/>
    <d v="2023-06-26T00:00:00"/>
    <d v="2023-07-05T19:01:47"/>
    <m/>
    <d v="2023-07-05T00:00:00"/>
    <n v="1337"/>
    <n v="15396"/>
    <s v="60201209"/>
    <s v="60201209"/>
    <m/>
    <m/>
    <n v="22759208"/>
    <m/>
    <m/>
    <m/>
    <s v="SOLFIN"/>
    <s v="SOLFIN"/>
    <s v="CCMS"/>
    <n v="21331293"/>
    <n v="11995.24"/>
    <m/>
    <s v="N"/>
    <n v="20"/>
    <d v="2023-07-05T19:02:13"/>
    <s v="Y"/>
    <s v="Preparation - other"/>
    <s v="Care Remuneration Hourly Rates"/>
    <s v="Profit Cost"/>
    <s v="MQ"/>
    <s v="Y"/>
    <n v="147.2"/>
    <n v="29.44"/>
    <x v="6"/>
    <s v="VALIDATED"/>
    <n v="1"/>
    <s v="01.11.80.308.6100.0000"/>
    <n v="147.2"/>
    <s v="11"/>
    <s v="6100"/>
    <n v="12645.15"/>
    <n v="147.2"/>
    <s v="CREDITOR"/>
    <n v="0"/>
    <n v="0"/>
    <n v="0"/>
    <n v="0"/>
    <n v="147.2"/>
  </r>
  <r>
    <n v="59933086"/>
    <s v="N"/>
    <n v="21318699"/>
    <s v="3000014286640024"/>
    <s v="CIVIL"/>
    <d v="2023-06-20T00:00:00"/>
    <d v="2023-07-03T19:01:49"/>
    <m/>
    <d v="2023-07-03T00:00:00"/>
    <n v="1337"/>
    <n v="15396"/>
    <s v="59933086"/>
    <s v="59933086"/>
    <m/>
    <m/>
    <n v="22727454"/>
    <m/>
    <m/>
    <m/>
    <s v="SOLFIN"/>
    <s v="SOLFIN"/>
    <s v="CCMS"/>
    <n v="21318699"/>
    <n v="15529.07"/>
    <m/>
    <s v="N"/>
    <n v="92"/>
    <d v="2023-07-03T19:02:01"/>
    <s v="Y"/>
    <s v="Preparation - other"/>
    <s v="Care Remuneration Hourly Rates"/>
    <s v="Profit Cost"/>
    <s v="MQ"/>
    <s v="Y"/>
    <n v="22.08"/>
    <n v="4.42"/>
    <x v="3"/>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27"/>
    <d v="2023-07-05T19:02:13"/>
    <s v="Y"/>
    <s v="Preparation - other"/>
    <s v="Care Remuneration Hourly Rates"/>
    <s v="Profit Cost"/>
    <s v="MQ"/>
    <s v="Y"/>
    <n v="22.08"/>
    <n v="4.42"/>
    <x v="6"/>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21"/>
    <d v="2023-07-03T19:02:01"/>
    <s v="Y"/>
    <s v="Preparation - other"/>
    <s v="Care Remuneration Hourly Rates"/>
    <s v="Profit Cost"/>
    <s v="MQ"/>
    <s v="Y"/>
    <n v="7.36"/>
    <n v="1.47"/>
    <x v="3"/>
    <s v="VALIDATED"/>
    <n v="1"/>
    <s v="01.11.80.308.6100.0000"/>
    <n v="7.36"/>
    <s v="11"/>
    <s v="6100"/>
    <n v="12645.15"/>
    <n v="7.36"/>
    <s v="CREDITOR"/>
    <n v="0"/>
    <n v="0"/>
    <n v="0"/>
    <n v="0"/>
    <n v="7.36"/>
  </r>
  <r>
    <n v="59933086"/>
    <s v="N"/>
    <n v="21318699"/>
    <s v="3000014286640024"/>
    <s v="CIVIL"/>
    <d v="2023-06-20T00:00:00"/>
    <d v="2023-07-03T19:01:49"/>
    <m/>
    <d v="2023-07-03T00:00:00"/>
    <n v="1337"/>
    <n v="15396"/>
    <s v="59933086"/>
    <s v="59933086"/>
    <m/>
    <m/>
    <n v="22727454"/>
    <m/>
    <m/>
    <m/>
    <s v="SOLFIN"/>
    <s v="SOLFIN"/>
    <s v="CCMS"/>
    <n v="21318699"/>
    <n v="15529.07"/>
    <m/>
    <s v="N"/>
    <n v="10"/>
    <d v="2023-07-03T19:02:01"/>
    <s v="Y"/>
    <s v="Attendance upon client"/>
    <s v="Care Remuneration Hourly Rates"/>
    <s v="Profit Cost"/>
    <s v="MQ"/>
    <s v="Y"/>
    <n v="44.16"/>
    <n v="8.83"/>
    <x v="3"/>
    <s v="VALIDATED"/>
    <n v="1"/>
    <s v="01.11.80.308.6100.0000"/>
    <n v="44.16"/>
    <s v="11"/>
    <s v="6100"/>
    <n v="12645.15"/>
    <n v="44.16"/>
    <s v="CREDITOR"/>
    <n v="0"/>
    <n v="0"/>
    <n v="0"/>
    <n v="0"/>
    <n v="44.16"/>
  </r>
  <r>
    <n v="59933086"/>
    <s v="N"/>
    <n v="21318699"/>
    <s v="3000014286640024"/>
    <s v="CIVIL"/>
    <d v="2023-06-20T00:00:00"/>
    <d v="2023-07-03T19:01:49"/>
    <m/>
    <d v="2023-07-03T00:00:00"/>
    <n v="1337"/>
    <n v="15396"/>
    <s v="59933086"/>
    <s v="59933086"/>
    <m/>
    <m/>
    <n v="22727454"/>
    <m/>
    <m/>
    <m/>
    <s v="SOLFIN"/>
    <s v="SOLFIN"/>
    <s v="CCMS"/>
    <n v="21318699"/>
    <n v="15529.07"/>
    <m/>
    <s v="N"/>
    <n v="128"/>
    <d v="2023-07-03T19:02:01"/>
    <s v="Y"/>
    <s v="Routine Letter In"/>
    <s v="Care Remuneration Hourly Rates"/>
    <s v="Profit Cost"/>
    <s v="CD"/>
    <s v="Y"/>
    <n v="72.15000000000001"/>
    <n v="14.43"/>
    <x v="3"/>
    <s v="VALIDATED"/>
    <n v="1"/>
    <s v="01.11.80.308.6100.0000"/>
    <n v="72.15000000000001"/>
    <s v="11"/>
    <s v="6100"/>
    <n v="12645.15"/>
    <n v="72.15000000000001"/>
    <s v="CREDITOR"/>
    <n v="0"/>
    <n v="0"/>
    <n v="0"/>
    <n v="0"/>
    <n v="72.15000000000001"/>
  </r>
  <r>
    <n v="59933086"/>
    <s v="N"/>
    <n v="21318699"/>
    <s v="3000014286640024"/>
    <s v="CIVIL"/>
    <d v="2023-06-20T00:00:00"/>
    <d v="2023-07-03T19:01:49"/>
    <m/>
    <d v="2023-07-03T00:00:00"/>
    <n v="1337"/>
    <n v="15396"/>
    <s v="59933086"/>
    <s v="59933086"/>
    <m/>
    <m/>
    <n v="22727454"/>
    <m/>
    <m/>
    <m/>
    <s v="SOLFIN"/>
    <s v="SOLFIN"/>
    <s v="CCMS"/>
    <n v="21318699"/>
    <n v="15529.07"/>
    <m/>
    <s v="N"/>
    <n v="86"/>
    <d v="2023-07-03T19:02:01"/>
    <s v="Y"/>
    <s v="Attendance upon client"/>
    <s v="Care Remuneration Hourly Rates"/>
    <s v="Profit Cost"/>
    <s v="MQ"/>
    <s v="Y"/>
    <n v="14.71"/>
    <n v="2.94"/>
    <x v="3"/>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94"/>
    <d v="2023-07-05T19:02:13"/>
    <s v="Y"/>
    <s v="Court Fee"/>
    <s v="Care Remuneration Hourly Rates"/>
    <s v="Non Expert Disbursement"/>
    <s v="XXX"/>
    <s v="Y"/>
    <n v="232"/>
    <n v="0"/>
    <x v="6"/>
    <s v="VALIDATED"/>
    <n v="1"/>
    <s v="01.11.80.308.6300.0000"/>
    <n v="232"/>
    <s v="11"/>
    <s v="6300"/>
    <n v="12645.15"/>
    <n v="232"/>
    <s v="CREDITOR"/>
    <n v="0"/>
    <n v="0"/>
    <n v="0"/>
    <n v="0"/>
    <n v="232"/>
  </r>
  <r>
    <n v="60201209"/>
    <s v="N"/>
    <n v="21331293"/>
    <s v="3000014517580013"/>
    <s v="CIVIL"/>
    <d v="2023-06-26T00:00:00"/>
    <d v="2023-07-05T19:01:47"/>
    <m/>
    <d v="2023-07-05T00:00:00"/>
    <n v="1337"/>
    <n v="15396"/>
    <s v="60201209"/>
    <s v="60201209"/>
    <m/>
    <m/>
    <n v="22759208"/>
    <m/>
    <m/>
    <m/>
    <s v="SOLFIN"/>
    <s v="SOLFIN"/>
    <s v="CCMS"/>
    <n v="21331293"/>
    <n v="11995.24"/>
    <m/>
    <s v="N"/>
    <n v="78"/>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104"/>
    <d v="2023-07-03T19:02:01"/>
    <s v="Y"/>
    <s v="Preparation - other"/>
    <s v="Care Remuneration Hourly Rates"/>
    <s v="Profit Cost"/>
    <s v="MQ"/>
    <s v="Y"/>
    <n v="14.71"/>
    <n v="2.94"/>
    <x v="3"/>
    <s v="VALIDATED"/>
    <n v="1"/>
    <s v="01.11.80.308.6100.0000"/>
    <n v="14.71"/>
    <s v="11"/>
    <s v="6100"/>
    <n v="12645.15"/>
    <n v="14.71"/>
    <s v="CREDITOR"/>
    <n v="0"/>
    <n v="0"/>
    <n v="0"/>
    <n v="0"/>
    <n v="14.71"/>
  </r>
  <r>
    <n v="60201209"/>
    <s v="N"/>
    <n v="21331293"/>
    <s v="3000014517580013"/>
    <s v="CIVIL"/>
    <d v="2023-06-26T00:00:00"/>
    <d v="2023-07-05T19:01:47"/>
    <m/>
    <d v="2023-07-05T00:00:00"/>
    <n v="1337"/>
    <n v="15396"/>
    <s v="60201209"/>
    <s v="60201209"/>
    <m/>
    <m/>
    <n v="22759208"/>
    <m/>
    <m/>
    <m/>
    <s v="SOLFIN"/>
    <s v="SOLFIN"/>
    <s v="CCMS"/>
    <n v="21331293"/>
    <n v="11995.24"/>
    <m/>
    <s v="N"/>
    <n v="104"/>
    <d v="2023-07-05T19:02:13"/>
    <s v="Y"/>
    <s v="Hearing Unit 2.31 - 5.00 Hours"/>
    <s v="Public Law Children"/>
    <s v="Advocacy"/>
    <s v="MQ"/>
    <s v="Y"/>
    <n v="476.92"/>
    <n v="95.38"/>
    <x v="6"/>
    <s v="VALIDATED"/>
    <n v="1"/>
    <s v="01.11.80.308.6100.0000"/>
    <n v="476.92"/>
    <s v="11"/>
    <s v="6100"/>
    <n v="12645.15"/>
    <n v="476.92"/>
    <s v="CREDITOR"/>
    <n v="0"/>
    <n v="0"/>
    <n v="0"/>
    <n v="0"/>
    <n v="476.92"/>
  </r>
  <r>
    <n v="60201209"/>
    <s v="N"/>
    <n v="21331293"/>
    <s v="3000014517580013"/>
    <s v="CIVIL"/>
    <d v="2023-06-26T00:00:00"/>
    <d v="2023-07-05T19:01:47"/>
    <m/>
    <d v="2023-07-05T00:00:00"/>
    <n v="1337"/>
    <n v="15396"/>
    <s v="60201209"/>
    <s v="60201209"/>
    <m/>
    <m/>
    <n v="22759208"/>
    <m/>
    <m/>
    <m/>
    <s v="SOLFIN"/>
    <s v="SOLFIN"/>
    <s v="CCMS"/>
    <n v="21331293"/>
    <n v="11995.24"/>
    <m/>
    <s v="N"/>
    <n v="84"/>
    <d v="2023-07-05T19:02:13"/>
    <s v="Y"/>
    <s v="Preparation - drafting bill/claim f"/>
    <s v="Care Remuneration Hourly Rates"/>
    <s v="Profit Cost"/>
    <s v="MQ"/>
    <s v="Y"/>
    <n v="30.23"/>
    <n v="6.05"/>
    <x v="6"/>
    <s v="VALIDATED"/>
    <n v="1"/>
    <s v="01.11.80.308.6100.0000"/>
    <n v="30.23"/>
    <s v="11"/>
    <s v="6100"/>
    <n v="12645.15"/>
    <n v="30.23"/>
    <s v="CREDITOR"/>
    <n v="0"/>
    <n v="0"/>
    <n v="0"/>
    <n v="0"/>
    <n v="30.23"/>
  </r>
  <r>
    <n v="59933086"/>
    <s v="N"/>
    <n v="21318699"/>
    <s v="3000014286640024"/>
    <s v="CIVIL"/>
    <d v="2023-06-20T00:00:00"/>
    <d v="2023-07-03T19:01:49"/>
    <m/>
    <d v="2023-07-03T00:00:00"/>
    <n v="1337"/>
    <n v="15396"/>
    <s v="59933086"/>
    <s v="59933086"/>
    <m/>
    <m/>
    <n v="22727454"/>
    <m/>
    <m/>
    <m/>
    <s v="SOLFIN"/>
    <s v="SOLFIN"/>
    <s v="CCMS"/>
    <n v="21318699"/>
    <n v="15529.07"/>
    <m/>
    <s v="N"/>
    <n v="43"/>
    <d v="2023-07-03T19:02:01"/>
    <s v="Y"/>
    <s v="Attendance upon client"/>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48"/>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126"/>
    <d v="2023-07-03T19:02:01"/>
    <s v="Y"/>
    <s v="Routine Letter Out"/>
    <s v="Care Remuneration Hourly Rates"/>
    <s v="Profit Cost"/>
    <s v="CD"/>
    <s v="Y"/>
    <n v="217.71"/>
    <n v="43.54"/>
    <x v="3"/>
    <s v="VALIDATED"/>
    <n v="1"/>
    <s v="01.11.80.308.6100.0000"/>
    <n v="217.71"/>
    <s v="11"/>
    <s v="6100"/>
    <n v="12645.15"/>
    <n v="217.71"/>
    <s v="CREDITOR"/>
    <n v="0"/>
    <n v="0"/>
    <n v="0"/>
    <n v="0"/>
    <n v="217.71"/>
  </r>
  <r>
    <n v="59933086"/>
    <s v="N"/>
    <n v="21318699"/>
    <s v="3000014286640024"/>
    <s v="CIVIL"/>
    <d v="2023-06-20T00:00:00"/>
    <d v="2023-07-03T19:01:49"/>
    <m/>
    <d v="2023-07-03T00:00:00"/>
    <n v="1337"/>
    <n v="15396"/>
    <s v="59933086"/>
    <s v="59933086"/>
    <m/>
    <m/>
    <n v="22727454"/>
    <m/>
    <m/>
    <m/>
    <s v="SOLFIN"/>
    <s v="SOLFIN"/>
    <s v="CCMS"/>
    <n v="21318699"/>
    <n v="15529.07"/>
    <m/>
    <s v="N"/>
    <n v="101"/>
    <d v="2023-07-03T19:02:01"/>
    <s v="Y"/>
    <s v="Preparation - other"/>
    <s v="Care Remuneration Hourly Rates"/>
    <s v="Profit Cost"/>
    <s v="MQ"/>
    <s v="Y"/>
    <n v="147.2"/>
    <n v="29.44"/>
    <x v="3"/>
    <s v="VALIDATED"/>
    <n v="1"/>
    <s v="01.11.80.308.6100.0000"/>
    <n v="147.2"/>
    <s v="11"/>
    <s v="6100"/>
    <n v="12645.15"/>
    <n v="147.2"/>
    <s v="CREDITOR"/>
    <n v="0"/>
    <n v="0"/>
    <n v="0"/>
    <n v="0"/>
    <n v="147.2"/>
  </r>
  <r>
    <n v="60201209"/>
    <s v="N"/>
    <n v="21331293"/>
    <s v="3000014517580013"/>
    <s v="CIVIL"/>
    <d v="2023-06-26T00:00:00"/>
    <d v="2023-07-05T19:01:47"/>
    <m/>
    <d v="2023-07-05T00:00:00"/>
    <n v="1337"/>
    <n v="15396"/>
    <s v="60201209"/>
    <s v="60201209"/>
    <m/>
    <m/>
    <n v="22759208"/>
    <m/>
    <m/>
    <m/>
    <s v="SOLFIN"/>
    <s v="SOLFIN"/>
    <s v="CCMS"/>
    <n v="21331293"/>
    <n v="11995.24"/>
    <m/>
    <s v="N"/>
    <n v="92"/>
    <d v="2023-07-05T19:02:13"/>
    <s v="Y"/>
    <s v="Paediatrician"/>
    <s v="Care Remuneration Hourly Rates"/>
    <s v="Expert Disbursement"/>
    <s v="XXX"/>
    <s v="Y"/>
    <n v="810"/>
    <n v="162"/>
    <x v="6"/>
    <s v="VALIDATED"/>
    <n v="1"/>
    <s v="01.11.80.308.6300.0000"/>
    <n v="810"/>
    <s v="11"/>
    <s v="6300"/>
    <n v="12645.15"/>
    <n v="810"/>
    <s v="CREDITOR"/>
    <n v="0"/>
    <n v="0"/>
    <n v="0"/>
    <n v="0"/>
    <n v="810"/>
  </r>
  <r>
    <n v="60201209"/>
    <s v="N"/>
    <n v="21331293"/>
    <s v="3000014517580013"/>
    <s v="CIVIL"/>
    <d v="2023-06-26T00:00:00"/>
    <d v="2023-07-05T19:01:47"/>
    <m/>
    <d v="2023-07-05T00:00:00"/>
    <n v="1337"/>
    <n v="15396"/>
    <s v="60201209"/>
    <s v="60201209"/>
    <m/>
    <m/>
    <n v="22759208"/>
    <m/>
    <m/>
    <m/>
    <s v="SOLFIN"/>
    <s v="SOLFIN"/>
    <s v="CCMS"/>
    <n v="21331293"/>
    <n v="11995.24"/>
    <m/>
    <s v="N"/>
    <n v="36"/>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63"/>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62"/>
    <d v="2023-07-03T19:02:01"/>
    <s v="Y"/>
    <s v="Preparation - other"/>
    <s v="Care Remuneration Hourly Rates"/>
    <s v="Profit Cost"/>
    <s v="MQ"/>
    <s v="Y"/>
    <n v="95.68000000000001"/>
    <n v="19.14"/>
    <x v="3"/>
    <s v="VALIDATED"/>
    <n v="1"/>
    <s v="01.11.80.308.6100.0000"/>
    <n v="95.68000000000001"/>
    <s v="11"/>
    <s v="6100"/>
    <n v="12645.15"/>
    <n v="95.68000000000001"/>
    <s v="CREDITOR"/>
    <n v="0"/>
    <n v="0"/>
    <n v="0"/>
    <n v="0"/>
    <n v="95.68000000000001"/>
  </r>
  <r>
    <n v="59933086"/>
    <s v="N"/>
    <n v="21318699"/>
    <s v="3000014286640024"/>
    <s v="CIVIL"/>
    <d v="2023-06-20T00:00:00"/>
    <d v="2023-07-03T19:01:49"/>
    <m/>
    <d v="2023-07-03T00:00:00"/>
    <n v="1337"/>
    <n v="15396"/>
    <s v="59933086"/>
    <s v="59933086"/>
    <m/>
    <m/>
    <n v="22727454"/>
    <m/>
    <m/>
    <m/>
    <s v="SOLFIN"/>
    <s v="SOLFIN"/>
    <s v="CCMS"/>
    <n v="21318699"/>
    <n v="15529.07"/>
    <m/>
    <s v="N"/>
    <n v="81"/>
    <d v="2023-07-03T19:02:01"/>
    <s v="Y"/>
    <s v="Attendance upon/with Counsel at Con"/>
    <s v="Care Remuneration Hourly Rates"/>
    <s v="Profit Cost"/>
    <s v="MQ"/>
    <s v="Y"/>
    <n v="50.72"/>
    <n v="10.14"/>
    <x v="3"/>
    <s v="VALIDATED"/>
    <n v="1"/>
    <s v="01.11.80.308.6100.0000"/>
    <n v="50.72"/>
    <s v="11"/>
    <s v="6100"/>
    <n v="12645.15"/>
    <n v="50.72"/>
    <s v="CREDITOR"/>
    <n v="0"/>
    <n v="0"/>
    <n v="0"/>
    <n v="0"/>
    <n v="50.72"/>
  </r>
  <r>
    <n v="59933086"/>
    <s v="N"/>
    <n v="21318699"/>
    <s v="3000014286640024"/>
    <s v="CIVIL"/>
    <d v="2023-06-20T00:00:00"/>
    <d v="2023-07-03T19:01:49"/>
    <m/>
    <d v="2023-07-03T00:00:00"/>
    <n v="1337"/>
    <n v="15396"/>
    <s v="59933086"/>
    <s v="59933086"/>
    <m/>
    <m/>
    <n v="22727454"/>
    <m/>
    <m/>
    <m/>
    <s v="SOLFIN"/>
    <s v="SOLFIN"/>
    <s v="CCMS"/>
    <n v="21318699"/>
    <n v="15529.07"/>
    <m/>
    <s v="N"/>
    <n v="137"/>
    <d v="2023-07-03T19:02:01"/>
    <s v="Y"/>
    <s v="Toxicologist"/>
    <s v="Care Remuneration Hourly Rates"/>
    <s v="Expert Disbursement"/>
    <s v="XXX"/>
    <s v="Y"/>
    <n v="322.8"/>
    <n v="64.56"/>
    <x v="3"/>
    <s v="VALIDATED"/>
    <n v="1"/>
    <s v="01.11.80.308.6300.0000"/>
    <n v="322.8"/>
    <s v="11"/>
    <s v="6300"/>
    <n v="12645.15"/>
    <n v="322.8"/>
    <s v="CREDITOR"/>
    <n v="0"/>
    <n v="0"/>
    <n v="0"/>
    <n v="0"/>
    <n v="322.8"/>
  </r>
  <r>
    <n v="60201209"/>
    <s v="N"/>
    <n v="21331293"/>
    <s v="3000014517580013"/>
    <s v="CIVIL"/>
    <d v="2023-06-26T00:00:00"/>
    <d v="2023-07-05T19:01:47"/>
    <m/>
    <d v="2023-07-05T00:00:00"/>
    <n v="1337"/>
    <n v="15396"/>
    <s v="60201209"/>
    <s v="60201209"/>
    <m/>
    <m/>
    <n v="22759208"/>
    <m/>
    <m/>
    <m/>
    <s v="SOLFIN"/>
    <s v="SOLFIN"/>
    <s v="CCMS"/>
    <n v="21331293"/>
    <n v="11995.24"/>
    <m/>
    <s v="N"/>
    <n v="3"/>
    <d v="2023-07-05T19:02:13"/>
    <s v="Y"/>
    <s v="Preparation - other"/>
    <s v="Care Remuneration Hourly Rates"/>
    <s v="Profit Cost"/>
    <s v="MQ"/>
    <s v="Y"/>
    <n v="110.4"/>
    <n v="22.08"/>
    <x v="6"/>
    <s v="VALIDATED"/>
    <n v="1"/>
    <s v="01.11.80.308.6100.0000"/>
    <n v="110.4"/>
    <s v="11"/>
    <s v="6100"/>
    <n v="12645.15"/>
    <n v="110.4"/>
    <s v="CREDITOR"/>
    <n v="0"/>
    <n v="0"/>
    <n v="0"/>
    <n v="0"/>
    <n v="110.4"/>
  </r>
  <r>
    <n v="59933086"/>
    <s v="N"/>
    <n v="21318699"/>
    <s v="3000014286640024"/>
    <s v="CIVIL"/>
    <d v="2023-06-20T00:00:00"/>
    <d v="2023-07-03T19:01:49"/>
    <m/>
    <d v="2023-07-03T00:00:00"/>
    <n v="1337"/>
    <n v="15396"/>
    <s v="59933086"/>
    <s v="59933086"/>
    <m/>
    <m/>
    <n v="22727454"/>
    <m/>
    <m/>
    <m/>
    <s v="SOLFIN"/>
    <s v="SOLFIN"/>
    <s v="CCMS"/>
    <n v="21318699"/>
    <n v="15529.07"/>
    <m/>
    <s v="N"/>
    <n v="8"/>
    <d v="2023-07-03T19:02:01"/>
    <s v="Y"/>
    <s v="Preparation - other"/>
    <s v="Care Remuneration Hourly Rates"/>
    <s v="Profit Cost"/>
    <s v="MQ"/>
    <s v="Y"/>
    <n v="12.09"/>
    <n v="2.42"/>
    <x v="3"/>
    <s v="VALIDATED"/>
    <n v="1"/>
    <s v="01.11.80.308.6100.0000"/>
    <n v="12.09"/>
    <s v="11"/>
    <s v="6100"/>
    <n v="12645.15"/>
    <n v="12.09"/>
    <s v="CREDITOR"/>
    <n v="0"/>
    <n v="0"/>
    <n v="0"/>
    <n v="0"/>
    <n v="12.09"/>
  </r>
  <r>
    <n v="60201209"/>
    <s v="N"/>
    <n v="21331293"/>
    <s v="3000014517580013"/>
    <s v="CIVIL"/>
    <d v="2023-06-26T00:00:00"/>
    <d v="2023-07-05T19:01:47"/>
    <m/>
    <d v="2023-07-05T00:00:00"/>
    <n v="1337"/>
    <n v="15396"/>
    <s v="60201209"/>
    <s v="60201209"/>
    <m/>
    <m/>
    <n v="22759208"/>
    <m/>
    <m/>
    <m/>
    <s v="SOLFIN"/>
    <s v="SOLFIN"/>
    <s v="CCMS"/>
    <n v="21331293"/>
    <n v="11995.24"/>
    <m/>
    <s v="N"/>
    <n v="28"/>
    <d v="2023-07-05T19:02:13"/>
    <s v="Y"/>
    <s v="Attendance upon client"/>
    <s v="Care Remuneration Hourly Rates"/>
    <s v="Profit Cost"/>
    <s v="MQ"/>
    <s v="Y"/>
    <n v="22.08"/>
    <n v="4.42"/>
    <x v="6"/>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100"/>
    <d v="2023-07-05T19:02:13"/>
    <s v="Y"/>
    <s v="Hearing Unit 2.31 - 5.00 Hours"/>
    <s v="Public Law Children"/>
    <s v="Advocacy"/>
    <s v="MQ"/>
    <s v="Y"/>
    <n v="476.92"/>
    <n v="95.38"/>
    <x v="6"/>
    <s v="VALIDATED"/>
    <n v="1"/>
    <s v="01.11.80.308.6100.0000"/>
    <n v="476.92"/>
    <s v="11"/>
    <s v="6100"/>
    <n v="12645.15"/>
    <n v="476.92"/>
    <s v="CREDITOR"/>
    <n v="0"/>
    <n v="0"/>
    <n v="0"/>
    <n v="0"/>
    <n v="476.92"/>
  </r>
  <r>
    <n v="60201209"/>
    <s v="N"/>
    <n v="21331293"/>
    <s v="3000014517580013"/>
    <s v="CIVIL"/>
    <d v="2023-06-26T00:00:00"/>
    <d v="2023-07-05T19:01:47"/>
    <m/>
    <d v="2023-07-05T00:00:00"/>
    <n v="1337"/>
    <n v="15396"/>
    <s v="60201209"/>
    <s v="60201209"/>
    <m/>
    <m/>
    <n v="22759208"/>
    <m/>
    <m/>
    <m/>
    <s v="SOLFIN"/>
    <s v="SOLFIN"/>
    <s v="CCMS"/>
    <n v="21331293"/>
    <n v="11995.24"/>
    <m/>
    <s v="N"/>
    <n v="46"/>
    <d v="2023-07-05T19:02:13"/>
    <s v="Y"/>
    <s v="Preparation - other"/>
    <s v="Care Remuneration Hourly Rates"/>
    <s v="Profit Cost"/>
    <s v="MQ"/>
    <s v="Y"/>
    <n v="110.4"/>
    <n v="22.08"/>
    <x v="6"/>
    <s v="VALIDATED"/>
    <n v="1"/>
    <s v="01.11.80.308.6100.0000"/>
    <n v="110.4"/>
    <s v="11"/>
    <s v="6100"/>
    <n v="12645.15"/>
    <n v="110.4"/>
    <s v="CREDITOR"/>
    <n v="0"/>
    <n v="0"/>
    <n v="0"/>
    <n v="0"/>
    <n v="110.4"/>
  </r>
  <r>
    <n v="61566983"/>
    <s v="N"/>
    <n v="21327773"/>
    <s v="3000015660730002"/>
    <s v="CIVIL"/>
    <d v="2023-05-25T00:00:00"/>
    <d v="2023-07-04T19:00:44"/>
    <m/>
    <d v="2023-07-04T00:00:00"/>
    <n v="1337"/>
    <n v="15396"/>
    <s v="61566983"/>
    <s v="61566983"/>
    <m/>
    <m/>
    <n v="22571516"/>
    <m/>
    <m/>
    <m/>
    <s v="SOLFIN"/>
    <s v="SOLFIN"/>
    <s v="CCMS"/>
    <n v="21327773"/>
    <n v="608.4"/>
    <m/>
    <s v="N"/>
    <n v="1"/>
    <d v="2023-07-04T19:00:54"/>
    <s v="Y"/>
    <s v="Level 4 Fixed Fee"/>
    <s v="Domestic Abuse"/>
    <s v="Profit Cost"/>
    <s v="MQ"/>
    <s v="Y"/>
    <n v="507"/>
    <n v="101.4"/>
    <x v="1"/>
    <s v="VALIDATED"/>
    <n v="1"/>
    <s v="01.11.80.302.6100.0000"/>
    <n v="507"/>
    <s v="11"/>
    <s v="6100"/>
    <n v="12645.15"/>
    <n v="507"/>
    <s v="CREDITOR"/>
    <n v="0"/>
    <n v="0"/>
    <n v="0"/>
    <n v="0"/>
    <n v="507"/>
  </r>
  <r>
    <n v="59933086"/>
    <s v="N"/>
    <n v="21318699"/>
    <s v="3000014286640024"/>
    <s v="CIVIL"/>
    <d v="2023-06-20T00:00:00"/>
    <d v="2023-07-03T19:01:49"/>
    <m/>
    <d v="2023-07-03T00:00:00"/>
    <n v="1337"/>
    <n v="15396"/>
    <s v="59933086"/>
    <s v="59933086"/>
    <m/>
    <m/>
    <n v="22727454"/>
    <m/>
    <m/>
    <m/>
    <s v="SOLFIN"/>
    <s v="SOLFIN"/>
    <s v="CCMS"/>
    <n v="21318699"/>
    <n v="15529.07"/>
    <m/>
    <s v="N"/>
    <n v="140"/>
    <d v="2023-07-03T19:02:01"/>
    <s v="Y"/>
    <s v="Psychologist"/>
    <s v="Care Remuneration Hourly Rates"/>
    <s v="Expert Disbursement"/>
    <s v="XXX"/>
    <s v="Y"/>
    <n v="609.95"/>
    <n v="121.99"/>
    <x v="3"/>
    <s v="VALIDATED"/>
    <n v="1"/>
    <s v="01.11.80.308.6300.0000"/>
    <n v="609.95"/>
    <s v="11"/>
    <s v="6300"/>
    <n v="12645.15"/>
    <n v="609.95"/>
    <s v="CREDITOR"/>
    <n v="0"/>
    <n v="0"/>
    <n v="0"/>
    <n v="0"/>
    <n v="609.95"/>
  </r>
  <r>
    <n v="61504747"/>
    <s v="N"/>
    <n v="21349766"/>
    <s v="3000015612050004"/>
    <s v="CIVIL"/>
    <d v="2023-06-29T00:00:00"/>
    <d v="2023-07-10T19:01:40"/>
    <m/>
    <d v="2023-07-10T00:00:00"/>
    <n v="1337"/>
    <n v="15396"/>
    <s v="61504747"/>
    <s v="61504747"/>
    <m/>
    <m/>
    <n v="22784842"/>
    <m/>
    <m/>
    <m/>
    <s v="SOLINT"/>
    <s v="SOLINT"/>
    <s v="CCMS"/>
    <n v="21349766"/>
    <n v="1161.8"/>
    <m/>
    <s v="N"/>
    <n v="1"/>
    <d v="2023-07-10T19:01:57"/>
    <s v="Y"/>
    <s v="Courier"/>
    <s v="Domestic Abuse"/>
    <s v="Non Expert Disbursement"/>
    <s v="XXX"/>
    <s v="Y"/>
    <n v="120"/>
    <n v="0"/>
    <x v="2"/>
    <s v="VALIDATED"/>
    <n v="1"/>
    <s v="01.11.80.302.6300.0000"/>
    <n v="120"/>
    <s v="11"/>
    <s v="6300"/>
    <n v="12645.15"/>
    <n v="120"/>
    <s v="CREDITOR"/>
    <n v="0"/>
    <n v="0"/>
    <n v="0"/>
    <n v="0"/>
    <n v="120"/>
  </r>
  <r>
    <n v="59933086"/>
    <s v="N"/>
    <n v="21318699"/>
    <s v="3000014286640024"/>
    <s v="CIVIL"/>
    <d v="2023-06-20T00:00:00"/>
    <d v="2023-07-03T19:01:49"/>
    <m/>
    <d v="2023-07-03T00:00:00"/>
    <n v="1337"/>
    <n v="15396"/>
    <s v="59933086"/>
    <s v="59933086"/>
    <m/>
    <m/>
    <n v="22727454"/>
    <m/>
    <m/>
    <m/>
    <s v="SOLFIN"/>
    <s v="SOLFIN"/>
    <s v="CCMS"/>
    <n v="21318699"/>
    <n v="15529.07"/>
    <m/>
    <s v="N"/>
    <n v="22"/>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11"/>
    <d v="2023-07-03T19:02:01"/>
    <s v="Y"/>
    <s v="Preparation - drafting statement"/>
    <s v="Care Remuneration Hourly Rates"/>
    <s v="Profit Cost"/>
    <s v="MQ"/>
    <s v="Y"/>
    <n v="22.08"/>
    <n v="4.42"/>
    <x v="3"/>
    <s v="VALIDATED"/>
    <n v="1"/>
    <s v="01.11.80.308.6100.0000"/>
    <n v="22.08"/>
    <s v="11"/>
    <s v="6100"/>
    <n v="12645.15"/>
    <n v="22.08"/>
    <s v="CREDITOR"/>
    <n v="0"/>
    <n v="0"/>
    <n v="0"/>
    <n v="0"/>
    <n v="22.08"/>
  </r>
  <r>
    <n v="61504747"/>
    <s v="N"/>
    <n v="21349766"/>
    <s v="3000015612050004"/>
    <s v="CIVIL"/>
    <d v="2023-06-29T00:00:00"/>
    <d v="2023-07-10T19:01:40"/>
    <m/>
    <d v="2023-07-10T00:00:00"/>
    <n v="1337"/>
    <n v="15396"/>
    <s v="61504747"/>
    <s v="61504747"/>
    <m/>
    <m/>
    <n v="22784842"/>
    <m/>
    <m/>
    <m/>
    <s v="SOLINT"/>
    <s v="SOLINT"/>
    <s v="CCMS"/>
    <n v="21349766"/>
    <n v="1161.8"/>
    <m/>
    <s v="N"/>
    <n v="2"/>
    <d v="2023-07-10T19:01:57"/>
    <s v="Y"/>
    <s v="Final Hearing - 1 Day"/>
    <s v="Domestic Abuse"/>
    <s v="Advocacy"/>
    <s v="SW"/>
    <s v="Y"/>
    <n v="361.17"/>
    <n v="72.23"/>
    <x v="2"/>
    <s v="VALIDATED"/>
    <n v="1"/>
    <s v="01.11.80.302.6100.0000"/>
    <n v="361.17"/>
    <s v="11"/>
    <s v="6100"/>
    <n v="12645.15"/>
    <n v="361.17"/>
    <s v="CREDITOR"/>
    <n v="0"/>
    <n v="0"/>
    <n v="0"/>
    <n v="0"/>
    <n v="361.17"/>
  </r>
  <r>
    <n v="59933086"/>
    <s v="N"/>
    <n v="21318699"/>
    <s v="3000014286640024"/>
    <s v="CIVIL"/>
    <d v="2023-06-20T00:00:00"/>
    <d v="2023-07-03T19:01:49"/>
    <m/>
    <d v="2023-07-03T00:00:00"/>
    <n v="1337"/>
    <n v="15396"/>
    <s v="59933086"/>
    <s v="59933086"/>
    <m/>
    <m/>
    <n v="22727454"/>
    <m/>
    <m/>
    <m/>
    <s v="SOLFIN"/>
    <s v="SOLFIN"/>
    <s v="CCMS"/>
    <n v="21318699"/>
    <n v="15529.07"/>
    <m/>
    <s v="N"/>
    <n v="29"/>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49"/>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103"/>
    <d v="2023-07-05T19:02:13"/>
    <s v="Y"/>
    <s v="Advocates Meeting"/>
    <s v="Public Law Children"/>
    <s v="Advocacy"/>
    <s v="MQ"/>
    <s v="Y"/>
    <n v="140.99"/>
    <n v="28.2"/>
    <x v="6"/>
    <s v="VALIDATED"/>
    <n v="1"/>
    <s v="01.11.80.308.6100.0000"/>
    <n v="140.99"/>
    <s v="11"/>
    <s v="6100"/>
    <n v="12645.15"/>
    <n v="140.99"/>
    <s v="CREDITOR"/>
    <n v="0"/>
    <n v="0"/>
    <n v="0"/>
    <n v="0"/>
    <n v="140.99"/>
  </r>
  <r>
    <n v="60201209"/>
    <s v="N"/>
    <n v="21331293"/>
    <s v="3000014517580013"/>
    <s v="CIVIL"/>
    <d v="2023-06-26T00:00:00"/>
    <d v="2023-07-05T19:01:47"/>
    <m/>
    <d v="2023-07-05T00:00:00"/>
    <n v="1337"/>
    <n v="15396"/>
    <s v="60201209"/>
    <s v="60201209"/>
    <m/>
    <m/>
    <n v="22759208"/>
    <m/>
    <m/>
    <m/>
    <s v="SOLFIN"/>
    <s v="SOLFIN"/>
    <s v="CCMS"/>
    <n v="21331293"/>
    <n v="11995.24"/>
    <m/>
    <s v="N"/>
    <n v="50"/>
    <d v="2023-07-05T19:02:13"/>
    <s v="Y"/>
    <s v="Preparation - other"/>
    <s v="Care Remuneration Hourly Rates"/>
    <s v="Profit Cost"/>
    <s v="MQ"/>
    <s v="Y"/>
    <n v="147.2"/>
    <n v="29.44"/>
    <x v="6"/>
    <s v="VALIDATED"/>
    <n v="1"/>
    <s v="01.11.80.308.6100.0000"/>
    <n v="147.2"/>
    <s v="11"/>
    <s v="6100"/>
    <n v="12645.15"/>
    <n v="147.2"/>
    <s v="CREDITOR"/>
    <n v="0"/>
    <n v="0"/>
    <n v="0"/>
    <n v="0"/>
    <n v="147.2"/>
  </r>
  <r>
    <n v="60201209"/>
    <s v="N"/>
    <n v="21331293"/>
    <s v="3000014517580013"/>
    <s v="CIVIL"/>
    <d v="2023-06-26T00:00:00"/>
    <d v="2023-07-05T19:01:47"/>
    <m/>
    <d v="2023-07-05T00:00:00"/>
    <n v="1337"/>
    <n v="15396"/>
    <s v="60201209"/>
    <s v="60201209"/>
    <m/>
    <m/>
    <n v="22759208"/>
    <m/>
    <m/>
    <m/>
    <s v="SOLFIN"/>
    <s v="SOLFIN"/>
    <s v="CCMS"/>
    <n v="21331293"/>
    <n v="11995.24"/>
    <m/>
    <s v="N"/>
    <n v="65"/>
    <d v="2023-07-05T19:02:13"/>
    <s v="Y"/>
    <s v="Preparation - other"/>
    <s v="Care Remuneration Hourly Rates"/>
    <s v="Profit Cost"/>
    <s v="MQ"/>
    <s v="Y"/>
    <n v="36.81"/>
    <n v="7.36"/>
    <x v="6"/>
    <s v="VALIDATED"/>
    <n v="1"/>
    <s v="01.11.80.308.6100.0000"/>
    <n v="36.81"/>
    <s v="11"/>
    <s v="6100"/>
    <n v="12645.15"/>
    <n v="36.81"/>
    <s v="CREDITOR"/>
    <n v="0"/>
    <n v="0"/>
    <n v="0"/>
    <n v="0"/>
    <n v="36.81"/>
  </r>
  <r>
    <n v="59933086"/>
    <s v="N"/>
    <n v="21318699"/>
    <s v="3000014286640024"/>
    <s v="CIVIL"/>
    <d v="2023-06-20T00:00:00"/>
    <d v="2023-07-03T19:01:49"/>
    <m/>
    <d v="2023-07-03T00:00:00"/>
    <n v="1337"/>
    <n v="15396"/>
    <s v="59933086"/>
    <s v="59933086"/>
    <m/>
    <m/>
    <n v="22727454"/>
    <m/>
    <m/>
    <m/>
    <s v="SOLFIN"/>
    <s v="SOLFIN"/>
    <s v="CCMS"/>
    <n v="21318699"/>
    <n v="15529.07"/>
    <m/>
    <s v="N"/>
    <n v="64"/>
    <d v="2023-07-03T19:02:01"/>
    <s v="Y"/>
    <s v="Attendance upon client"/>
    <s v="Care Remuneration Hourly Rates"/>
    <s v="Profit Cost"/>
    <s v="MQ"/>
    <s v="Y"/>
    <n v="73.59999999999999"/>
    <n v="14.72"/>
    <x v="3"/>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96"/>
    <d v="2023-07-03T19:02:01"/>
    <s v="Y"/>
    <s v="Preparation - other"/>
    <s v="Care Remuneration Hourly Rates"/>
    <s v="Profit Cost"/>
    <s v="MQ"/>
    <s v="Y"/>
    <n v="110.4"/>
    <n v="22.08"/>
    <x v="3"/>
    <s v="VALIDATED"/>
    <n v="1"/>
    <s v="01.11.80.308.6100.0000"/>
    <n v="110.4"/>
    <s v="11"/>
    <s v="6100"/>
    <n v="12645.15"/>
    <n v="110.4"/>
    <s v="CREDITOR"/>
    <n v="0"/>
    <n v="0"/>
    <n v="0"/>
    <n v="0"/>
    <n v="110.4"/>
  </r>
  <r>
    <n v="60201209"/>
    <s v="N"/>
    <n v="21331293"/>
    <s v="3000014517580013"/>
    <s v="CIVIL"/>
    <d v="2023-06-26T00:00:00"/>
    <d v="2023-07-05T19:01:47"/>
    <m/>
    <d v="2023-07-05T00:00:00"/>
    <n v="1337"/>
    <n v="15396"/>
    <s v="60201209"/>
    <s v="60201209"/>
    <m/>
    <m/>
    <n v="22759208"/>
    <m/>
    <m/>
    <m/>
    <s v="SOLFIN"/>
    <s v="SOLFIN"/>
    <s v="CCMS"/>
    <n v="21331293"/>
    <n v="11995.24"/>
    <m/>
    <s v="N"/>
    <n v="44"/>
    <d v="2023-07-05T19:02:13"/>
    <s v="Y"/>
    <s v="Preparation - other"/>
    <s v="Care Remuneration Hourly Rates"/>
    <s v="Profit Cost"/>
    <s v="MQ"/>
    <s v="Y"/>
    <n v="22.08"/>
    <n v="4.42"/>
    <x v="6"/>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82"/>
    <d v="2023-07-03T19:02:01"/>
    <s v="Y"/>
    <s v="Preparation - other"/>
    <s v="Care Remuneration Hourly Rates"/>
    <s v="Profit Cost"/>
    <s v="MQ"/>
    <s v="Y"/>
    <n v="6.05"/>
    <n v="1.21"/>
    <x v="3"/>
    <s v="VALIDATED"/>
    <n v="1"/>
    <s v="01.11.80.308.6100.0000"/>
    <n v="6.05"/>
    <s v="11"/>
    <s v="6100"/>
    <n v="12645.15"/>
    <n v="6.05"/>
    <s v="CREDITOR"/>
    <n v="0"/>
    <n v="0"/>
    <n v="0"/>
    <n v="0"/>
    <n v="6.05"/>
  </r>
  <r>
    <n v="59933086"/>
    <s v="N"/>
    <n v="21318699"/>
    <s v="3000014286640024"/>
    <s v="CIVIL"/>
    <d v="2023-06-20T00:00:00"/>
    <d v="2023-07-03T19:01:49"/>
    <m/>
    <d v="2023-07-03T00:00:00"/>
    <n v="1337"/>
    <n v="15396"/>
    <s v="59933086"/>
    <s v="59933086"/>
    <m/>
    <m/>
    <n v="22727454"/>
    <m/>
    <m/>
    <m/>
    <s v="SOLFIN"/>
    <s v="SOLFIN"/>
    <s v="CCMS"/>
    <n v="21318699"/>
    <n v="15529.07"/>
    <m/>
    <s v="N"/>
    <n v="51"/>
    <d v="2023-07-03T19:02:01"/>
    <s v="Y"/>
    <s v="Preparation - other"/>
    <s v="Care Remuneration Hourly Rates"/>
    <s v="Profit Cost"/>
    <s v="MQ"/>
    <s v="Y"/>
    <n v="73.59999999999999"/>
    <n v="14.72"/>
    <x v="3"/>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68"/>
    <d v="2023-07-05T19:02:13"/>
    <s v="Y"/>
    <s v="Preparation - other"/>
    <s v="Care Remuneration Hourly Rates"/>
    <s v="Profit Cost"/>
    <s v="CD"/>
    <s v="Y"/>
    <n v="15.77"/>
    <n v="3.15"/>
    <x v="6"/>
    <s v="VALIDATED"/>
    <n v="1"/>
    <s v="01.11.80.308.6100.0000"/>
    <n v="15.77"/>
    <s v="11"/>
    <s v="6100"/>
    <n v="12645.15"/>
    <n v="15.77"/>
    <s v="CREDITOR"/>
    <n v="0"/>
    <n v="0"/>
    <n v="0"/>
    <n v="0"/>
    <n v="15.77"/>
  </r>
  <r>
    <n v="59933086"/>
    <s v="N"/>
    <n v="21318699"/>
    <s v="3000014286640024"/>
    <s v="CIVIL"/>
    <d v="2023-06-20T00:00:00"/>
    <d v="2023-07-03T19:01:49"/>
    <m/>
    <d v="2023-07-03T00:00:00"/>
    <n v="1337"/>
    <n v="15396"/>
    <s v="59933086"/>
    <s v="59933086"/>
    <m/>
    <m/>
    <n v="22727454"/>
    <m/>
    <m/>
    <m/>
    <s v="SOLFIN"/>
    <s v="SOLFIN"/>
    <s v="CCMS"/>
    <n v="21318699"/>
    <n v="15529.07"/>
    <m/>
    <s v="N"/>
    <n v="131"/>
    <d v="2023-07-03T19:02:01"/>
    <s v="Y"/>
    <s v="Toxicologist"/>
    <s v="Care Remuneration Hourly Rates"/>
    <s v="Expert Disbursement"/>
    <s v="XXX"/>
    <s v="Y"/>
    <n v="26.25"/>
    <n v="5.25"/>
    <x v="3"/>
    <s v="VALIDATED"/>
    <n v="1"/>
    <s v="01.11.80.308.6300.0000"/>
    <n v="26.25"/>
    <s v="11"/>
    <s v="6300"/>
    <n v="12645.15"/>
    <n v="26.25"/>
    <s v="CREDITOR"/>
    <n v="0"/>
    <n v="0"/>
    <n v="0"/>
    <n v="0"/>
    <n v="26.25"/>
  </r>
  <r>
    <n v="59933086"/>
    <s v="N"/>
    <n v="21318699"/>
    <s v="3000014286640024"/>
    <s v="CIVIL"/>
    <d v="2023-06-20T00:00:00"/>
    <d v="2023-07-03T19:01:49"/>
    <m/>
    <d v="2023-07-03T00:00:00"/>
    <n v="1337"/>
    <n v="15396"/>
    <s v="59933086"/>
    <s v="59933086"/>
    <m/>
    <m/>
    <n v="22727454"/>
    <m/>
    <m/>
    <m/>
    <s v="SOLFIN"/>
    <s v="SOLFIN"/>
    <s v="CCMS"/>
    <n v="21318699"/>
    <n v="15529.07"/>
    <m/>
    <s v="N"/>
    <n v="122"/>
    <d v="2023-07-03T19:02:01"/>
    <s v="Y"/>
    <s v="Preparation - drafting bill/claim f"/>
    <s v="Care Remuneration Hourly Rates"/>
    <s v="Profit Cost"/>
    <s v="CD"/>
    <s v="Y"/>
    <n v="394.28"/>
    <n v="78.86"/>
    <x v="3"/>
    <s v="VALIDATED"/>
    <n v="1"/>
    <s v="01.11.80.308.6100.0000"/>
    <n v="394.28"/>
    <s v="11"/>
    <s v="6100"/>
    <n v="12645.15"/>
    <n v="394.28"/>
    <s v="CREDITOR"/>
    <n v="0"/>
    <n v="0"/>
    <n v="0"/>
    <n v="0"/>
    <n v="394.28"/>
  </r>
  <r>
    <n v="59933086"/>
    <s v="N"/>
    <n v="21318699"/>
    <s v="3000014286640024"/>
    <s v="CIVIL"/>
    <d v="2023-06-20T00:00:00"/>
    <d v="2023-07-03T19:01:49"/>
    <m/>
    <d v="2023-07-03T00:00:00"/>
    <n v="1337"/>
    <n v="15396"/>
    <s v="59933086"/>
    <s v="59933086"/>
    <m/>
    <m/>
    <n v="22727454"/>
    <m/>
    <m/>
    <m/>
    <s v="SOLFIN"/>
    <s v="SOLFIN"/>
    <s v="CCMS"/>
    <n v="21318699"/>
    <n v="15529.07"/>
    <m/>
    <s v="N"/>
    <n v="72"/>
    <d v="2023-07-03T19:02:01"/>
    <s v="Y"/>
    <s v="Preparation - other"/>
    <s v="Care Remuneration Hourly Rates"/>
    <s v="Profit Cost"/>
    <s v="MQ"/>
    <s v="Y"/>
    <n v="7.36"/>
    <n v="1.47"/>
    <x v="3"/>
    <s v="VALIDATED"/>
    <n v="1"/>
    <s v="01.11.80.308.6100.0000"/>
    <n v="7.36"/>
    <s v="11"/>
    <s v="6100"/>
    <n v="12645.15"/>
    <n v="7.36"/>
    <s v="CREDITOR"/>
    <n v="0"/>
    <n v="0"/>
    <n v="0"/>
    <n v="0"/>
    <n v="7.36"/>
  </r>
  <r>
    <n v="60201209"/>
    <s v="N"/>
    <n v="21331293"/>
    <s v="3000014517580013"/>
    <s v="CIVIL"/>
    <d v="2023-06-26T00:00:00"/>
    <d v="2023-07-05T19:01:47"/>
    <m/>
    <d v="2023-07-05T00:00:00"/>
    <n v="1337"/>
    <n v="15396"/>
    <s v="60201209"/>
    <s v="60201209"/>
    <m/>
    <m/>
    <n v="22759208"/>
    <m/>
    <m/>
    <m/>
    <s v="SOLFIN"/>
    <s v="SOLFIN"/>
    <s v="CCMS"/>
    <n v="21331293"/>
    <n v="11995.24"/>
    <m/>
    <s v="N"/>
    <n v="12"/>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60201209"/>
    <s v="N"/>
    <n v="21331293"/>
    <s v="3000014517580013"/>
    <s v="CIVIL"/>
    <d v="2023-06-26T00:00:00"/>
    <d v="2023-07-05T19:01:47"/>
    <m/>
    <d v="2023-07-05T00:00:00"/>
    <n v="1337"/>
    <n v="15396"/>
    <s v="60201209"/>
    <s v="60201209"/>
    <m/>
    <m/>
    <n v="22759208"/>
    <m/>
    <m/>
    <m/>
    <s v="SOLFIN"/>
    <s v="SOLFIN"/>
    <s v="CCMS"/>
    <n v="21331293"/>
    <n v="11995.24"/>
    <m/>
    <s v="N"/>
    <n v="13"/>
    <d v="2023-07-05T19:02:13"/>
    <s v="Y"/>
    <s v="Preparation - other"/>
    <s v="Care Remuneration Hourly Rates"/>
    <s v="Profit Cost"/>
    <s v="MQ"/>
    <s v="Y"/>
    <n v="220.79"/>
    <n v="44.16"/>
    <x v="6"/>
    <s v="VALIDATED"/>
    <n v="1"/>
    <s v="01.11.80.308.6100.0000"/>
    <n v="220.79"/>
    <s v="11"/>
    <s v="6100"/>
    <n v="12645.15"/>
    <n v="220.79"/>
    <s v="CREDITOR"/>
    <n v="0"/>
    <n v="0"/>
    <n v="0"/>
    <n v="0"/>
    <n v="220.79"/>
  </r>
  <r>
    <n v="60201209"/>
    <s v="N"/>
    <n v="21331293"/>
    <s v="3000014517580013"/>
    <s v="CIVIL"/>
    <d v="2023-06-26T00:00:00"/>
    <d v="2023-07-05T19:01:47"/>
    <m/>
    <d v="2023-07-05T00:00:00"/>
    <n v="1337"/>
    <n v="15396"/>
    <s v="60201209"/>
    <s v="60201209"/>
    <m/>
    <m/>
    <n v="22759208"/>
    <m/>
    <m/>
    <m/>
    <s v="SOLFIN"/>
    <s v="SOLFIN"/>
    <s v="CCMS"/>
    <n v="21331293"/>
    <n v="11995.24"/>
    <m/>
    <s v="N"/>
    <n v="22"/>
    <d v="2023-07-05T19:02:13"/>
    <s v="Y"/>
    <s v="Preparation - other"/>
    <s v="Care Remuneration Hourly Rates"/>
    <s v="Profit Cost"/>
    <s v="MQ"/>
    <s v="Y"/>
    <n v="220.79"/>
    <n v="44.16"/>
    <x v="6"/>
    <s v="VALIDATED"/>
    <n v="1"/>
    <s v="01.11.80.308.6100.0000"/>
    <n v="220.79"/>
    <s v="11"/>
    <s v="6100"/>
    <n v="12645.15"/>
    <n v="220.79"/>
    <s v="CREDITOR"/>
    <n v="0"/>
    <n v="0"/>
    <n v="0"/>
    <n v="0"/>
    <n v="220.79"/>
  </r>
  <r>
    <n v="60201209"/>
    <s v="N"/>
    <n v="21331293"/>
    <s v="3000014517580013"/>
    <s v="CIVIL"/>
    <d v="2023-06-26T00:00:00"/>
    <d v="2023-07-05T19:01:47"/>
    <m/>
    <d v="2023-07-05T00:00:00"/>
    <n v="1337"/>
    <n v="15396"/>
    <s v="60201209"/>
    <s v="60201209"/>
    <m/>
    <m/>
    <n v="22759208"/>
    <m/>
    <m/>
    <m/>
    <s v="SOLFIN"/>
    <s v="SOLFIN"/>
    <s v="CCMS"/>
    <n v="21331293"/>
    <n v="11995.24"/>
    <m/>
    <s v="N"/>
    <n v="105"/>
    <d v="2023-07-05T19:02:13"/>
    <s v="Y"/>
    <s v="Interim Hearing Court Bundle/Advoca"/>
    <s v="Public Law Children"/>
    <s v="Advocacy"/>
    <s v="MQ"/>
    <s v="Y"/>
    <n v="59.4"/>
    <n v="11.88"/>
    <x v="6"/>
    <s v="VALIDATED"/>
    <n v="1"/>
    <s v="01.11.80.308.6100.0000"/>
    <n v="59.4"/>
    <s v="11"/>
    <s v="6100"/>
    <n v="12645.15"/>
    <n v="59.4"/>
    <s v="CREDITOR"/>
    <n v="0"/>
    <n v="0"/>
    <n v="0"/>
    <n v="0"/>
    <n v="59.4"/>
  </r>
  <r>
    <n v="60201209"/>
    <s v="N"/>
    <n v="21331293"/>
    <s v="3000014517580013"/>
    <s v="CIVIL"/>
    <d v="2023-06-26T00:00:00"/>
    <d v="2023-07-05T19:01:47"/>
    <m/>
    <d v="2023-07-05T00:00:00"/>
    <n v="1337"/>
    <n v="15396"/>
    <s v="60201209"/>
    <s v="60201209"/>
    <m/>
    <m/>
    <n v="22759208"/>
    <m/>
    <m/>
    <m/>
    <s v="SOLFIN"/>
    <s v="SOLFIN"/>
    <s v="CCMS"/>
    <n v="21331293"/>
    <n v="11995.24"/>
    <m/>
    <s v="N"/>
    <n v="53"/>
    <d v="2023-07-05T19:02:13"/>
    <s v="Y"/>
    <s v="Preparation - other"/>
    <s v="Care Remuneration Hourly Rates"/>
    <s v="Profit Cost"/>
    <s v="MQ"/>
    <s v="Y"/>
    <n v="7.36"/>
    <n v="1.47"/>
    <x v="6"/>
    <s v="VALIDATED"/>
    <n v="1"/>
    <s v="01.11.80.308.6100.0000"/>
    <n v="7.36"/>
    <s v="11"/>
    <s v="6100"/>
    <n v="12645.15"/>
    <n v="7.36"/>
    <s v="CREDITOR"/>
    <n v="0"/>
    <n v="0"/>
    <n v="0"/>
    <n v="0"/>
    <n v="7.36"/>
  </r>
  <r>
    <n v="60201209"/>
    <s v="N"/>
    <n v="21331293"/>
    <s v="3000014517580013"/>
    <s v="CIVIL"/>
    <d v="2023-06-26T00:00:00"/>
    <d v="2023-07-05T19:01:47"/>
    <m/>
    <d v="2023-07-05T00:00:00"/>
    <n v="1337"/>
    <n v="15396"/>
    <s v="60201209"/>
    <s v="60201209"/>
    <m/>
    <m/>
    <n v="22759208"/>
    <m/>
    <m/>
    <m/>
    <s v="SOLFIN"/>
    <s v="SOLFIN"/>
    <s v="CCMS"/>
    <n v="21331293"/>
    <n v="11995.24"/>
    <m/>
    <s v="N"/>
    <n v="81"/>
    <d v="2023-07-05T19:02:13"/>
    <s v="Y"/>
    <s v="Preparation - other"/>
    <s v="Care Remuneration Hourly Rates"/>
    <s v="Profit Cost"/>
    <s v="MQ"/>
    <s v="Y"/>
    <n v="12.09"/>
    <n v="2.42"/>
    <x v="6"/>
    <s v="VALIDATED"/>
    <n v="1"/>
    <s v="01.11.80.308.6100.0000"/>
    <n v="12.09"/>
    <s v="11"/>
    <s v="6100"/>
    <n v="12645.15"/>
    <n v="12.09"/>
    <s v="CREDITOR"/>
    <n v="0"/>
    <n v="0"/>
    <n v="0"/>
    <n v="0"/>
    <n v="12.09"/>
  </r>
  <r>
    <n v="60201209"/>
    <s v="N"/>
    <n v="21331293"/>
    <s v="3000014517580013"/>
    <s v="CIVIL"/>
    <d v="2023-06-26T00:00:00"/>
    <d v="2023-07-05T19:01:47"/>
    <m/>
    <d v="2023-07-05T00:00:00"/>
    <n v="1337"/>
    <n v="15396"/>
    <s v="60201209"/>
    <s v="60201209"/>
    <m/>
    <m/>
    <n v="22759208"/>
    <m/>
    <m/>
    <m/>
    <s v="SOLFIN"/>
    <s v="SOLFIN"/>
    <s v="CCMS"/>
    <n v="21331293"/>
    <n v="11995.24"/>
    <m/>
    <s v="N"/>
    <n v="6"/>
    <d v="2023-07-05T19:02:13"/>
    <s v="Y"/>
    <s v="Preparation - drafting statement"/>
    <s v="Care Remuneration Hourly Rates"/>
    <s v="Profit Cost"/>
    <s v="MQ"/>
    <s v="Y"/>
    <n v="29.44"/>
    <n v="5.89"/>
    <x v="6"/>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2"/>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7"/>
    <d v="2023-07-03T19:02:01"/>
    <s v="Y"/>
    <s v="Preparation - drafting instructions"/>
    <s v="Care Remuneration Hourly Rates"/>
    <s v="Profit Cost"/>
    <s v="MQ"/>
    <s v="Y"/>
    <n v="22.08"/>
    <n v="4.42"/>
    <x v="3"/>
    <s v="VALIDATED"/>
    <n v="1"/>
    <s v="01.11.80.308.6100.0000"/>
    <n v="22.08"/>
    <s v="11"/>
    <s v="6100"/>
    <n v="12645.15"/>
    <n v="22.08"/>
    <s v="CREDITOR"/>
    <n v="0"/>
    <n v="0"/>
    <n v="0"/>
    <n v="0"/>
    <n v="22.08"/>
  </r>
  <r>
    <n v="60201209"/>
    <s v="N"/>
    <n v="21331293"/>
    <s v="3000014517580013"/>
    <s v="CIVIL"/>
    <d v="2023-06-26T00:00:00"/>
    <d v="2023-07-05T19:01:47"/>
    <m/>
    <d v="2023-07-05T00:00:00"/>
    <n v="1337"/>
    <n v="15396"/>
    <s v="60201209"/>
    <s v="60201209"/>
    <m/>
    <m/>
    <n v="22759208"/>
    <m/>
    <m/>
    <m/>
    <s v="SOLFIN"/>
    <s v="SOLFIN"/>
    <s v="CCMS"/>
    <n v="21331293"/>
    <n v="11995.24"/>
    <m/>
    <s v="N"/>
    <n v="70"/>
    <d v="2023-07-05T19:02:13"/>
    <s v="Y"/>
    <s v="Attendance upon client"/>
    <s v="Care Remuneration Hourly Rates"/>
    <s v="Profit Cost"/>
    <s v="MQ"/>
    <s v="Y"/>
    <n v="51.52"/>
    <n v="10.3"/>
    <x v="6"/>
    <s v="VALIDATED"/>
    <n v="1"/>
    <s v="01.11.80.308.6100.0000"/>
    <n v="51.52"/>
    <s v="11"/>
    <s v="6100"/>
    <n v="12645.15"/>
    <n v="51.52"/>
    <s v="CREDITOR"/>
    <n v="0"/>
    <n v="0"/>
    <n v="0"/>
    <n v="0"/>
    <n v="51.52"/>
  </r>
  <r>
    <n v="59933086"/>
    <s v="N"/>
    <n v="21318699"/>
    <s v="3000014286640024"/>
    <s v="CIVIL"/>
    <d v="2023-06-20T00:00:00"/>
    <d v="2023-07-03T19:01:49"/>
    <m/>
    <d v="2023-07-03T00:00:00"/>
    <n v="1337"/>
    <n v="15396"/>
    <s v="59933086"/>
    <s v="59933086"/>
    <m/>
    <m/>
    <n v="22727454"/>
    <m/>
    <m/>
    <m/>
    <s v="SOLFIN"/>
    <s v="SOLFIN"/>
    <s v="CCMS"/>
    <n v="21318699"/>
    <n v="15529.07"/>
    <m/>
    <s v="N"/>
    <n v="55"/>
    <d v="2023-07-03T19:02:01"/>
    <s v="Y"/>
    <s v="Preparation - other"/>
    <s v="Care Remuneration Hourly Rates"/>
    <s v="Profit Cost"/>
    <s v="MQ"/>
    <s v="Y"/>
    <n v="44.16"/>
    <n v="8.83"/>
    <x v="3"/>
    <s v="VALIDATED"/>
    <n v="1"/>
    <s v="01.11.80.308.6100.0000"/>
    <n v="44.16"/>
    <s v="11"/>
    <s v="6100"/>
    <n v="12645.15"/>
    <n v="44.16"/>
    <s v="CREDITOR"/>
    <n v="0"/>
    <n v="0"/>
    <n v="0"/>
    <n v="0"/>
    <n v="44.16"/>
  </r>
  <r>
    <n v="60201209"/>
    <s v="N"/>
    <n v="21331293"/>
    <s v="3000014517580013"/>
    <s v="CIVIL"/>
    <d v="2023-06-26T00:00:00"/>
    <d v="2023-07-05T19:01:47"/>
    <m/>
    <d v="2023-07-05T00:00:00"/>
    <n v="1337"/>
    <n v="15396"/>
    <s v="60201209"/>
    <s v="60201209"/>
    <m/>
    <m/>
    <n v="22759208"/>
    <m/>
    <m/>
    <m/>
    <s v="SOLFIN"/>
    <s v="SOLFIN"/>
    <s v="CCMS"/>
    <n v="21331293"/>
    <n v="11995.24"/>
    <m/>
    <s v="N"/>
    <n v="18"/>
    <d v="2023-07-05T19:02:13"/>
    <s v="Y"/>
    <s v="Preparation - other"/>
    <s v="Care Remuneration Hourly Rates"/>
    <s v="Profit Cost"/>
    <s v="MQ"/>
    <s v="Y"/>
    <n v="29.44"/>
    <n v="5.89"/>
    <x v="6"/>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33"/>
    <d v="2023-07-03T19:02:01"/>
    <s v="Y"/>
    <s v="Preparation - other"/>
    <s v="Care Remuneration Hourly Rates"/>
    <s v="Profit Cost"/>
    <s v="MQ"/>
    <s v="Y"/>
    <n v="7.36"/>
    <n v="1.47"/>
    <x v="3"/>
    <s v="VALIDATED"/>
    <n v="1"/>
    <s v="01.11.80.308.6100.0000"/>
    <n v="7.36"/>
    <s v="11"/>
    <s v="6100"/>
    <n v="12645.15"/>
    <n v="7.36"/>
    <s v="CREDITOR"/>
    <n v="0"/>
    <n v="0"/>
    <n v="0"/>
    <n v="0"/>
    <n v="7.36"/>
  </r>
  <r>
    <n v="60201209"/>
    <s v="N"/>
    <n v="21331293"/>
    <s v="3000014517580013"/>
    <s v="CIVIL"/>
    <d v="2023-06-26T00:00:00"/>
    <d v="2023-07-05T19:01:47"/>
    <m/>
    <d v="2023-07-05T00:00:00"/>
    <n v="1337"/>
    <n v="15396"/>
    <s v="60201209"/>
    <s v="60201209"/>
    <m/>
    <m/>
    <n v="22759208"/>
    <m/>
    <m/>
    <m/>
    <s v="SOLFIN"/>
    <s v="SOLFIN"/>
    <s v="CCMS"/>
    <n v="21331293"/>
    <n v="11995.24"/>
    <m/>
    <s v="N"/>
    <n v="52"/>
    <d v="2023-07-05T19:02:13"/>
    <s v="Y"/>
    <s v="Preparation - other"/>
    <s v="Care Remuneration Hourly Rates"/>
    <s v="Profit Cost"/>
    <s v="MQ"/>
    <s v="Y"/>
    <n v="29.44"/>
    <n v="5.89"/>
    <x v="6"/>
    <s v="VALIDATED"/>
    <n v="1"/>
    <s v="01.11.80.308.6100.0000"/>
    <n v="29.44"/>
    <s v="11"/>
    <s v="6100"/>
    <n v="12645.15"/>
    <n v="29.44"/>
    <s v="CREDITOR"/>
    <n v="0"/>
    <n v="0"/>
    <n v="0"/>
    <n v="0"/>
    <n v="29.44"/>
  </r>
  <r>
    <n v="59933086"/>
    <s v="N"/>
    <n v="21318699"/>
    <s v="3000014286640024"/>
    <s v="CIVIL"/>
    <d v="2023-06-20T00:00:00"/>
    <d v="2023-07-03T19:01:49"/>
    <m/>
    <d v="2023-07-03T00:00:00"/>
    <n v="1337"/>
    <n v="15396"/>
    <s v="59933086"/>
    <s v="59933086"/>
    <m/>
    <m/>
    <n v="22727454"/>
    <m/>
    <m/>
    <m/>
    <s v="SOLFIN"/>
    <s v="SOLFIN"/>
    <s v="CCMS"/>
    <n v="21318699"/>
    <n v="15529.07"/>
    <m/>
    <s v="N"/>
    <n v="19"/>
    <d v="2023-07-03T19:02:01"/>
    <s v="Y"/>
    <s v="Attendance upon client"/>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70"/>
    <d v="2023-07-03T19:02:01"/>
    <s v="Y"/>
    <s v="Preparation - other"/>
    <s v="Care Remuneration Hourly Rates"/>
    <s v="Profit Cost"/>
    <s v="MQ"/>
    <s v="Y"/>
    <n v="169.27"/>
    <n v="33.85"/>
    <x v="3"/>
    <s v="VALIDATED"/>
    <n v="1"/>
    <s v="01.11.80.308.6100.0000"/>
    <n v="169.27"/>
    <s v="11"/>
    <s v="6100"/>
    <n v="12645.15"/>
    <n v="169.27"/>
    <s v="CREDITOR"/>
    <n v="0"/>
    <n v="0"/>
    <n v="0"/>
    <n v="0"/>
    <n v="169.27"/>
  </r>
  <r>
    <n v="60201209"/>
    <s v="N"/>
    <n v="21331293"/>
    <s v="3000014517580013"/>
    <s v="CIVIL"/>
    <d v="2023-06-26T00:00:00"/>
    <d v="2023-07-05T19:01:47"/>
    <m/>
    <d v="2023-07-05T00:00:00"/>
    <n v="1337"/>
    <n v="15396"/>
    <s v="60201209"/>
    <s v="60201209"/>
    <m/>
    <m/>
    <n v="22759208"/>
    <m/>
    <m/>
    <m/>
    <s v="SOLFIN"/>
    <s v="SOLFIN"/>
    <s v="CCMS"/>
    <n v="21331293"/>
    <n v="11995.24"/>
    <m/>
    <s v="N"/>
    <n v="42"/>
    <d v="2023-07-05T19:02:13"/>
    <s v="Y"/>
    <s v="Preparation - other"/>
    <s v="Care Remuneration Hourly Rates"/>
    <s v="Profit Cost"/>
    <s v="MQ"/>
    <s v="Y"/>
    <n v="73.59999999999999"/>
    <n v="14.72"/>
    <x v="6"/>
    <s v="VALIDATED"/>
    <n v="1"/>
    <s v="01.11.80.308.6100.0000"/>
    <n v="73.59999999999999"/>
    <s v="11"/>
    <s v="6100"/>
    <n v="12645.15"/>
    <n v="73.59999999999999"/>
    <s v="CREDITOR"/>
    <n v="0"/>
    <n v="0"/>
    <n v="0"/>
    <n v="0"/>
    <n v="73.59999999999999"/>
  </r>
  <r>
    <n v="59933086"/>
    <s v="N"/>
    <n v="21318699"/>
    <s v="3000014286640024"/>
    <s v="CIVIL"/>
    <d v="2023-06-20T00:00:00"/>
    <d v="2023-07-03T19:01:49"/>
    <m/>
    <d v="2023-07-03T00:00:00"/>
    <n v="1337"/>
    <n v="15396"/>
    <s v="59933086"/>
    <s v="59933086"/>
    <m/>
    <m/>
    <n v="22727454"/>
    <m/>
    <m/>
    <m/>
    <s v="SOLFIN"/>
    <s v="SOLFIN"/>
    <s v="CCMS"/>
    <n v="21318699"/>
    <n v="15529.07"/>
    <m/>
    <s v="N"/>
    <n v="6"/>
    <d v="2023-07-03T19:02:01"/>
    <s v="Y"/>
    <s v="Preparation - other"/>
    <s v="Care Remuneration Hourly Rates"/>
    <s v="Profit Cost"/>
    <s v="MQ"/>
    <s v="Y"/>
    <n v="44.16"/>
    <n v="8.83"/>
    <x v="3"/>
    <s v="VALIDATED"/>
    <n v="1"/>
    <s v="01.11.80.308.6100.0000"/>
    <n v="44.16"/>
    <s v="11"/>
    <s v="6100"/>
    <n v="12645.15"/>
    <n v="44.16"/>
    <s v="CREDITOR"/>
    <n v="0"/>
    <n v="0"/>
    <n v="0"/>
    <n v="0"/>
    <n v="44.16"/>
  </r>
  <r>
    <n v="59933086"/>
    <s v="N"/>
    <n v="21318699"/>
    <s v="3000014286640024"/>
    <s v="CIVIL"/>
    <d v="2023-06-20T00:00:00"/>
    <d v="2023-07-03T19:01:49"/>
    <m/>
    <d v="2023-07-03T00:00:00"/>
    <n v="1337"/>
    <n v="15396"/>
    <s v="59933086"/>
    <s v="59933086"/>
    <m/>
    <m/>
    <n v="22727454"/>
    <m/>
    <m/>
    <m/>
    <s v="SOLFIN"/>
    <s v="SOLFIN"/>
    <s v="CCMS"/>
    <n v="21318699"/>
    <n v="15529.07"/>
    <m/>
    <s v="N"/>
    <n v="9"/>
    <d v="2023-07-03T19:02:01"/>
    <s v="Y"/>
    <s v="Preparation - other"/>
    <s v="Care Remuneration Hourly Rates"/>
    <s v="Profit Cost"/>
    <s v="MQ"/>
    <s v="Y"/>
    <n v="191.35"/>
    <n v="38.27"/>
    <x v="3"/>
    <s v="VALIDATED"/>
    <n v="1"/>
    <s v="01.11.80.308.6100.0000"/>
    <n v="191.35"/>
    <s v="11"/>
    <s v="6100"/>
    <n v="12645.15"/>
    <n v="191.35"/>
    <s v="CREDITOR"/>
    <n v="0"/>
    <n v="0"/>
    <n v="0"/>
    <n v="0"/>
    <n v="191.35"/>
  </r>
  <r>
    <n v="59933086"/>
    <s v="N"/>
    <n v="21318699"/>
    <s v="3000014286640024"/>
    <s v="CIVIL"/>
    <d v="2023-06-20T00:00:00"/>
    <d v="2023-07-03T19:01:49"/>
    <m/>
    <d v="2023-07-03T00:00:00"/>
    <n v="1337"/>
    <n v="15396"/>
    <s v="59933086"/>
    <s v="59933086"/>
    <m/>
    <m/>
    <n v="22727454"/>
    <m/>
    <m/>
    <m/>
    <s v="SOLFIN"/>
    <s v="SOLFIN"/>
    <s v="CCMS"/>
    <n v="21318699"/>
    <n v="15529.07"/>
    <m/>
    <s v="N"/>
    <n v="127"/>
    <d v="2023-07-03T19:02:01"/>
    <s v="Y"/>
    <s v="Routine Letter In"/>
    <s v="Care Remuneration Hourly Rates"/>
    <s v="Profit Cost"/>
    <s v="MQ"/>
    <s v="Y"/>
    <n v="1191.4"/>
    <n v="238.28"/>
    <x v="3"/>
    <s v="VALIDATED"/>
    <n v="1"/>
    <s v="01.11.80.308.6100.0000"/>
    <n v="1191.4"/>
    <s v="11"/>
    <s v="6100"/>
    <n v="12645.15"/>
    <n v="1191.4"/>
    <s v="CREDITOR"/>
    <n v="0"/>
    <n v="0"/>
    <n v="0"/>
    <n v="0"/>
    <n v="1191.4"/>
  </r>
  <r>
    <n v="60201209"/>
    <s v="N"/>
    <n v="21331293"/>
    <s v="3000014517580013"/>
    <s v="CIVIL"/>
    <d v="2023-06-26T00:00:00"/>
    <d v="2023-07-05T19:01:47"/>
    <m/>
    <d v="2023-07-05T00:00:00"/>
    <n v="1337"/>
    <n v="15396"/>
    <s v="60201209"/>
    <s v="60201209"/>
    <m/>
    <m/>
    <n v="22759208"/>
    <m/>
    <m/>
    <m/>
    <s v="SOLFIN"/>
    <s v="SOLFIN"/>
    <s v="CCMS"/>
    <n v="21331293"/>
    <n v="11995.24"/>
    <m/>
    <s v="N"/>
    <n v="77"/>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28"/>
    <d v="2023-07-03T19:02:01"/>
    <s v="Y"/>
    <s v="Preparation - other"/>
    <s v="Care Remuneration Hourly Rates"/>
    <s v="Profit Cost"/>
    <s v="MQ"/>
    <s v="Y"/>
    <n v="14.71"/>
    <n v="2.94"/>
    <x v="3"/>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102"/>
    <d v="2023-07-03T19:02:01"/>
    <s v="Y"/>
    <s v="Preparation - other"/>
    <s v="Care Remuneration Hourly Rates"/>
    <s v="Profit Cost"/>
    <s v="MQ"/>
    <s v="Y"/>
    <n v="22.08"/>
    <n v="4.42"/>
    <x v="3"/>
    <s v="VALIDATED"/>
    <n v="1"/>
    <s v="01.11.80.308.6100.0000"/>
    <n v="22.08"/>
    <s v="11"/>
    <s v="6100"/>
    <n v="12645.15"/>
    <n v="22.08"/>
    <s v="CREDITOR"/>
    <n v="0"/>
    <n v="0"/>
    <n v="0"/>
    <n v="0"/>
    <n v="22.08"/>
  </r>
  <r>
    <n v="59933086"/>
    <s v="N"/>
    <n v="21318699"/>
    <s v="3000014286640024"/>
    <s v="CIVIL"/>
    <d v="2023-06-20T00:00:00"/>
    <d v="2023-07-03T19:01:49"/>
    <m/>
    <d v="2023-07-03T00:00:00"/>
    <n v="1337"/>
    <n v="15396"/>
    <s v="59933086"/>
    <s v="59933086"/>
    <m/>
    <m/>
    <n v="22727454"/>
    <m/>
    <m/>
    <m/>
    <s v="SOLFIN"/>
    <s v="SOLFIN"/>
    <s v="CCMS"/>
    <n v="21318699"/>
    <n v="15529.07"/>
    <m/>
    <s v="N"/>
    <n v="143"/>
    <d v="2023-07-03T19:02:01"/>
    <s v="Y"/>
    <s v="Toxicologist"/>
    <s v="Care Remuneration Hourly Rates"/>
    <s v="Expert Disbursement"/>
    <s v="XXX"/>
    <s v="Y"/>
    <n v="440.99"/>
    <n v="88.2"/>
    <x v="3"/>
    <s v="VALIDATED"/>
    <n v="1"/>
    <s v="01.11.80.308.6300.0000"/>
    <n v="440.99"/>
    <s v="11"/>
    <s v="6300"/>
    <n v="12645.15"/>
    <n v="440.99"/>
    <s v="CREDITOR"/>
    <n v="0"/>
    <n v="0"/>
    <n v="0"/>
    <n v="0"/>
    <n v="440.99"/>
  </r>
  <r>
    <n v="59933086"/>
    <s v="N"/>
    <n v="21318699"/>
    <s v="3000014286640024"/>
    <s v="CIVIL"/>
    <d v="2023-06-20T00:00:00"/>
    <d v="2023-07-03T19:01:49"/>
    <m/>
    <d v="2023-07-03T00:00:00"/>
    <n v="1337"/>
    <n v="15396"/>
    <s v="59933086"/>
    <s v="59933086"/>
    <m/>
    <m/>
    <n v="22727454"/>
    <m/>
    <m/>
    <m/>
    <s v="SOLFIN"/>
    <s v="SOLFIN"/>
    <s v="CCMS"/>
    <n v="21318699"/>
    <n v="15529.07"/>
    <m/>
    <s v="N"/>
    <n v="41"/>
    <d v="2023-07-03T19:02:01"/>
    <s v="Y"/>
    <s v="Preparation - other"/>
    <s v="Care Remuneration Hourly Rates"/>
    <s v="Profit Cost"/>
    <s v="MQ"/>
    <s v="Y"/>
    <n v="147.2"/>
    <n v="29.44"/>
    <x v="3"/>
    <s v="VALIDATED"/>
    <n v="1"/>
    <s v="01.11.80.308.6100.0000"/>
    <n v="147.2"/>
    <s v="11"/>
    <s v="6100"/>
    <n v="12645.15"/>
    <n v="147.2"/>
    <s v="CREDITOR"/>
    <n v="0"/>
    <n v="0"/>
    <n v="0"/>
    <n v="0"/>
    <n v="147.2"/>
  </r>
  <r>
    <n v="60201209"/>
    <s v="N"/>
    <n v="21331293"/>
    <s v="3000014517580013"/>
    <s v="CIVIL"/>
    <d v="2023-06-26T00:00:00"/>
    <d v="2023-07-05T19:01:47"/>
    <m/>
    <d v="2023-07-05T00:00:00"/>
    <n v="1337"/>
    <n v="15396"/>
    <s v="60201209"/>
    <s v="60201209"/>
    <m/>
    <m/>
    <n v="22759208"/>
    <m/>
    <m/>
    <m/>
    <s v="SOLFIN"/>
    <s v="SOLFIN"/>
    <s v="CCMS"/>
    <n v="21331293"/>
    <n v="11995.24"/>
    <m/>
    <s v="N"/>
    <n v="48"/>
    <d v="2023-07-05T19:02:13"/>
    <s v="Y"/>
    <s v="Preparation - other"/>
    <s v="Care Remuneration Hourly Rates"/>
    <s v="Profit Cost"/>
    <s v="MQ"/>
    <s v="Y"/>
    <n v="14.71"/>
    <n v="2.94"/>
    <x v="6"/>
    <s v="VALIDATED"/>
    <n v="1"/>
    <s v="01.11.80.308.6100.0000"/>
    <n v="14.71"/>
    <s v="11"/>
    <s v="6100"/>
    <n v="12645.15"/>
    <n v="14.71"/>
    <s v="CREDITOR"/>
    <n v="0"/>
    <n v="0"/>
    <n v="0"/>
    <n v="0"/>
    <n v="14.71"/>
  </r>
  <r>
    <n v="59933086"/>
    <s v="N"/>
    <n v="21318699"/>
    <s v="3000014286640024"/>
    <s v="CIVIL"/>
    <d v="2023-06-20T00:00:00"/>
    <d v="2023-07-03T19:01:49"/>
    <m/>
    <d v="2023-07-03T00:00:00"/>
    <n v="1337"/>
    <n v="15396"/>
    <s v="59933086"/>
    <s v="59933086"/>
    <m/>
    <m/>
    <n v="22727454"/>
    <m/>
    <m/>
    <m/>
    <s v="SOLFIN"/>
    <s v="SOLFIN"/>
    <s v="CCMS"/>
    <n v="21318699"/>
    <n v="15529.07"/>
    <m/>
    <s v="N"/>
    <n v="73"/>
    <d v="2023-07-03T19:02:01"/>
    <s v="Y"/>
    <s v="Preparation - other"/>
    <s v="Care Remuneration Hourly Rates"/>
    <s v="Profit Cost"/>
    <s v="MQ"/>
    <s v="Y"/>
    <n v="88.31"/>
    <n v="17.66"/>
    <x v="3"/>
    <s v="VALIDATED"/>
    <n v="1"/>
    <s v="01.11.80.308.6100.0000"/>
    <n v="88.31"/>
    <s v="11"/>
    <s v="6100"/>
    <n v="12645.15"/>
    <n v="88.31"/>
    <s v="CREDITOR"/>
    <n v="0"/>
    <n v="0"/>
    <n v="0"/>
    <n v="0"/>
    <n v="88.31"/>
  </r>
  <r>
    <n v="59913492"/>
    <s v="N"/>
    <n v="21349994"/>
    <s v="3000014257360012"/>
    <s v="CIVIL"/>
    <d v="2023-06-30T00:00:00"/>
    <d v="2023-07-10T19:01:40"/>
    <m/>
    <d v="2023-07-10T00:00:00"/>
    <n v="1339"/>
    <n v="14314"/>
    <s v="59913492"/>
    <s v="59913492"/>
    <m/>
    <m/>
    <n v="22800744"/>
    <m/>
    <m/>
    <m/>
    <s v="SOLFIN"/>
    <s v="SOLFIN"/>
    <s v="CCMS"/>
    <n v="21349994"/>
    <n v="3703.78"/>
    <m/>
    <s v="N"/>
    <n v="52"/>
    <d v="2023-07-10T19:02:08"/>
    <s v="Y"/>
    <s v="Preparation - drafting instructions"/>
    <s v="Prescribed Hourly Rates"/>
    <s v="Profit Cost"/>
    <s v="JEB(25%)"/>
    <s v="Y"/>
    <n v="34.31"/>
    <n v="6.86"/>
    <x v="2"/>
    <s v="VALIDATED"/>
    <n v="1"/>
    <s v="01.11.80.302.6100.0000"/>
    <n v="34.31"/>
    <s v="11"/>
    <s v="6100"/>
    <n v="2797.09"/>
    <n v="34.31"/>
    <s v="CREDITOR"/>
    <n v="0"/>
    <n v="0"/>
    <n v="0"/>
    <n v="0"/>
    <n v="34.31"/>
  </r>
  <r>
    <n v="59825089"/>
    <s v="N"/>
    <n v="21338284"/>
    <s v="3000014136560016"/>
    <s v="CIVIL"/>
    <d v="2023-06-28T00:00:00"/>
    <d v="2023-07-06T19:21:01"/>
    <m/>
    <d v="2023-07-06T00:00:00"/>
    <n v="1339"/>
    <n v="14314"/>
    <s v="59825089"/>
    <s v="59825089"/>
    <m/>
    <m/>
    <n v="22781486"/>
    <m/>
    <m/>
    <m/>
    <s v="SOLINT"/>
    <s v="SOLINT"/>
    <s v="CCMS"/>
    <n v="21338284"/>
    <n v="6837.19"/>
    <m/>
    <s v="N"/>
    <n v="16"/>
    <d v="2023-07-06T19:21:17"/>
    <s v="Y"/>
    <s v="Preparation - other"/>
    <s v="Prescribed Hourly Rates"/>
    <s v="Profit Cost"/>
    <s v="PH"/>
    <s v="Y"/>
    <n v="10.98"/>
    <n v="2.2"/>
    <x v="4"/>
    <s v="VALIDATED"/>
    <n v="1"/>
    <s v="01.11.80.307.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39"/>
    <d v="2023-07-10T19:02:08"/>
    <s v="Y"/>
    <s v="Preparation - drafting statement"/>
    <s v="Prescribed Hourly Rates"/>
    <s v="Profit Cost"/>
    <s v="JEB(25%)"/>
    <s v="Y"/>
    <n v="13.73"/>
    <n v="2.75"/>
    <x v="2"/>
    <s v="VALIDATED"/>
    <n v="1"/>
    <s v="01.11.80.302.6100.0000"/>
    <n v="13.73"/>
    <s v="11"/>
    <s v="6100"/>
    <n v="2797.09"/>
    <n v="13.73"/>
    <s v="CREDITOR"/>
    <n v="0"/>
    <n v="0"/>
    <n v="0"/>
    <n v="0"/>
    <n v="13.73"/>
  </r>
  <r>
    <n v="59913492"/>
    <s v="N"/>
    <n v="21349994"/>
    <s v="3000014257360012"/>
    <s v="CIVIL"/>
    <d v="2023-06-30T00:00:00"/>
    <d v="2023-07-10T19:01:40"/>
    <m/>
    <d v="2023-07-10T00:00:00"/>
    <n v="1339"/>
    <n v="14314"/>
    <s v="59913492"/>
    <s v="59913492"/>
    <m/>
    <m/>
    <n v="22800744"/>
    <m/>
    <m/>
    <m/>
    <s v="SOLFIN"/>
    <s v="SOLFIN"/>
    <s v="CCMS"/>
    <n v="21349994"/>
    <n v="3703.78"/>
    <m/>
    <s v="N"/>
    <n v="45"/>
    <d v="2023-07-10T19:02:08"/>
    <s v="Y"/>
    <s v="Preparation - other"/>
    <s v="Prescribed Hourly Rates"/>
    <s v="Profit Cost"/>
    <s v="MW"/>
    <s v="Y"/>
    <n v="16.47"/>
    <n v="3.29"/>
    <x v="2"/>
    <s v="VALIDATED"/>
    <n v="1"/>
    <s v="01.11.80.302.6100.0000"/>
    <n v="16.47"/>
    <s v="11"/>
    <s v="6100"/>
    <n v="2797.09"/>
    <n v="16.47"/>
    <s v="CREDITOR"/>
    <n v="0"/>
    <n v="0"/>
    <n v="0"/>
    <n v="0"/>
    <n v="16.47"/>
  </r>
  <r>
    <n v="59825089"/>
    <s v="N"/>
    <n v="21338284"/>
    <s v="3000014136560016"/>
    <s v="CIVIL"/>
    <d v="2023-06-28T00:00:00"/>
    <d v="2023-07-06T19:21:01"/>
    <m/>
    <d v="2023-07-06T00:00:00"/>
    <n v="1339"/>
    <n v="14314"/>
    <s v="59825089"/>
    <s v="59825089"/>
    <m/>
    <m/>
    <n v="22781486"/>
    <m/>
    <m/>
    <m/>
    <s v="SOLINT"/>
    <s v="SOLINT"/>
    <s v="CCMS"/>
    <n v="21338284"/>
    <n v="6837.19"/>
    <m/>
    <s v="N"/>
    <n v="75"/>
    <d v="2023-07-06T19:21:17"/>
    <s v="Y"/>
    <s v="Routine Telephone Call"/>
    <s v="Prescribed Hourly Rates"/>
    <s v="Profit Cost"/>
    <s v="GMK"/>
    <s v="Y"/>
    <n v="6.21"/>
    <n v="1.24"/>
    <x v="4"/>
    <s v="VALIDATED"/>
    <n v="1"/>
    <s v="01.11.80.307.6100.0000"/>
    <n v="6.21"/>
    <s v="11"/>
    <s v="6100"/>
    <n v="2797.09"/>
    <n v="6.21"/>
    <s v="CREDITOR"/>
    <n v="0"/>
    <n v="0"/>
    <n v="0"/>
    <n v="0"/>
    <n v="6.21"/>
  </r>
  <r>
    <n v="59825089"/>
    <s v="N"/>
    <n v="21338284"/>
    <s v="3000014136560016"/>
    <s v="CIVIL"/>
    <d v="2023-06-28T00:00:00"/>
    <d v="2023-07-06T19:21:01"/>
    <m/>
    <d v="2023-07-06T00:00:00"/>
    <n v="1339"/>
    <n v="14314"/>
    <s v="59825089"/>
    <s v="59825089"/>
    <m/>
    <m/>
    <n v="22781486"/>
    <m/>
    <m/>
    <m/>
    <s v="SOLINT"/>
    <s v="SOLINT"/>
    <s v="CCMS"/>
    <n v="21338284"/>
    <n v="6837.19"/>
    <m/>
    <s v="N"/>
    <n v="92"/>
    <d v="2023-07-06T19:21:17"/>
    <s v="Y"/>
    <s v="Routine Letter In"/>
    <s v="Prescribed Hourly Rates"/>
    <s v="Profit Cost"/>
    <s v="GMK"/>
    <s v="Y"/>
    <n v="652.05"/>
    <n v="130.42"/>
    <x v="4"/>
    <s v="VALIDATED"/>
    <n v="1"/>
    <s v="01.11.80.307.6100.0000"/>
    <n v="652.05"/>
    <s v="11"/>
    <s v="6100"/>
    <n v="2797.09"/>
    <n v="652.05"/>
    <s v="CREDITOR"/>
    <n v="0"/>
    <n v="0"/>
    <n v="0"/>
    <n v="0"/>
    <n v="652.05"/>
  </r>
  <r>
    <n v="59825089"/>
    <s v="N"/>
    <n v="21338284"/>
    <s v="3000014136560016"/>
    <s v="CIVIL"/>
    <d v="2023-06-28T00:00:00"/>
    <d v="2023-07-06T19:21:01"/>
    <m/>
    <d v="2023-07-06T00:00:00"/>
    <n v="1339"/>
    <n v="14314"/>
    <s v="59825089"/>
    <s v="59825089"/>
    <m/>
    <m/>
    <n v="22781486"/>
    <m/>
    <m/>
    <m/>
    <s v="SOLINT"/>
    <s v="SOLINT"/>
    <s v="CCMS"/>
    <n v="21338284"/>
    <n v="6837.19"/>
    <m/>
    <s v="N"/>
    <n v="41"/>
    <d v="2023-07-06T19:21:17"/>
    <s v="Y"/>
    <s v="Preparation - other"/>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58"/>
    <d v="2023-07-06T19:21:17"/>
    <s v="Y"/>
    <s v="Preparation - other"/>
    <s v="Prescribed Hourly Rates"/>
    <s v="Profit Cost"/>
    <s v="PH"/>
    <s v="Y"/>
    <n v="27.45"/>
    <n v="5.49"/>
    <x v="4"/>
    <s v="VALIDATED"/>
    <n v="1"/>
    <s v="01.11.80.307.6100.0000"/>
    <n v="27.45"/>
    <s v="11"/>
    <s v="6100"/>
    <n v="2797.09"/>
    <n v="27.45"/>
    <s v="CREDITOR"/>
    <n v="0"/>
    <n v="0"/>
    <n v="0"/>
    <n v="0"/>
    <n v="27.45"/>
  </r>
  <r>
    <n v="59825089"/>
    <s v="N"/>
    <n v="21338284"/>
    <s v="3000014136560016"/>
    <s v="CIVIL"/>
    <d v="2023-06-28T00:00:00"/>
    <d v="2023-07-06T19:21:01"/>
    <m/>
    <d v="2023-07-06T00:00:00"/>
    <n v="1339"/>
    <n v="14314"/>
    <s v="59825089"/>
    <s v="59825089"/>
    <m/>
    <m/>
    <n v="22781486"/>
    <m/>
    <m/>
    <m/>
    <s v="SOLINT"/>
    <s v="SOLINT"/>
    <s v="CCMS"/>
    <n v="21338284"/>
    <n v="6837.19"/>
    <m/>
    <s v="N"/>
    <n v="80"/>
    <d v="2023-07-06T19:21:17"/>
    <s v="Y"/>
    <s v="Attendance upon client"/>
    <s v="Prescribed Hourly Rates"/>
    <s v="Profit Cost"/>
    <s v="PH"/>
    <s v="Y"/>
    <n v="10.98"/>
    <n v="2.2"/>
    <x v="4"/>
    <s v="VALIDATED"/>
    <n v="1"/>
    <s v="01.11.80.307.6100.0000"/>
    <n v="10.98"/>
    <s v="11"/>
    <s v="6100"/>
    <n v="2797.09"/>
    <n v="10.98"/>
    <s v="CREDITOR"/>
    <n v="0"/>
    <n v="0"/>
    <n v="0"/>
    <n v="0"/>
    <n v="10.98"/>
  </r>
  <r>
    <n v="59825089"/>
    <s v="N"/>
    <n v="21338284"/>
    <s v="3000014136560016"/>
    <s v="CIVIL"/>
    <d v="2023-06-28T00:00:00"/>
    <d v="2023-07-06T19:21:01"/>
    <m/>
    <d v="2023-07-06T00:00:00"/>
    <n v="1339"/>
    <n v="14314"/>
    <s v="59825089"/>
    <s v="59825089"/>
    <m/>
    <m/>
    <n v="22781486"/>
    <m/>
    <m/>
    <m/>
    <s v="SOLINT"/>
    <s v="SOLINT"/>
    <s v="CCMS"/>
    <n v="21338284"/>
    <n v="6837.19"/>
    <m/>
    <s v="N"/>
    <n v="93"/>
    <d v="2023-07-06T19:21:17"/>
    <s v="Y"/>
    <s v="Routine Letter In"/>
    <s v="Prescribed Hourly Rates"/>
    <s v="Profit Cost"/>
    <s v="PH"/>
    <s v="Y"/>
    <n v="291.6"/>
    <n v="58.33"/>
    <x v="4"/>
    <s v="VALIDATED"/>
    <n v="1"/>
    <s v="01.11.80.307.6100.0000"/>
    <n v="291.6"/>
    <s v="11"/>
    <s v="6100"/>
    <n v="2797.09"/>
    <n v="291.6"/>
    <s v="CREDITOR"/>
    <n v="0"/>
    <n v="0"/>
    <n v="0"/>
    <n v="0"/>
    <n v="291.6"/>
  </r>
  <r>
    <n v="59913492"/>
    <s v="N"/>
    <n v="21349994"/>
    <s v="3000014257360012"/>
    <s v="CIVIL"/>
    <d v="2023-06-30T00:00:00"/>
    <d v="2023-07-10T19:01:40"/>
    <m/>
    <d v="2023-07-10T00:00:00"/>
    <n v="1339"/>
    <n v="14314"/>
    <s v="59913492"/>
    <s v="59913492"/>
    <m/>
    <m/>
    <n v="22800744"/>
    <m/>
    <m/>
    <m/>
    <s v="SOLFIN"/>
    <s v="SOLFIN"/>
    <s v="CCMS"/>
    <n v="21349994"/>
    <n v="3703.78"/>
    <m/>
    <s v="N"/>
    <n v="40"/>
    <d v="2023-07-10T19:02:08"/>
    <s v="Y"/>
    <s v="Preparation - other"/>
    <s v="Prescribed Hourly Rates"/>
    <s v="Profit Cost"/>
    <s v="JEB(25%)"/>
    <s v="Y"/>
    <n v="13.73"/>
    <n v="2.75"/>
    <x v="2"/>
    <s v="VALIDATED"/>
    <n v="1"/>
    <s v="01.11.80.302.6100.0000"/>
    <n v="13.73"/>
    <s v="11"/>
    <s v="6100"/>
    <n v="2797.09"/>
    <n v="13.73"/>
    <s v="CREDITOR"/>
    <n v="0"/>
    <n v="0"/>
    <n v="0"/>
    <n v="0"/>
    <n v="13.73"/>
  </r>
  <r>
    <n v="59825089"/>
    <s v="N"/>
    <n v="21338284"/>
    <s v="3000014136560016"/>
    <s v="CIVIL"/>
    <d v="2023-06-28T00:00:00"/>
    <d v="2023-07-06T19:21:01"/>
    <m/>
    <d v="2023-07-06T00:00:00"/>
    <n v="1339"/>
    <n v="14314"/>
    <s v="59825089"/>
    <s v="59825089"/>
    <m/>
    <m/>
    <n v="22781486"/>
    <m/>
    <m/>
    <m/>
    <s v="SOLINT"/>
    <s v="SOLINT"/>
    <s v="CCMS"/>
    <n v="21338284"/>
    <n v="6837.19"/>
    <m/>
    <s v="N"/>
    <n v="94"/>
    <d v="2023-07-06T19:21:17"/>
    <s v="Y"/>
    <s v="Attendance upon/with Counsel at Con"/>
    <s v="Prescribed Hourly Rates"/>
    <s v="Profit Cost"/>
    <s v="GMK"/>
    <s v="Y"/>
    <n v="55.89"/>
    <n v="11.18"/>
    <x v="4"/>
    <s v="VALIDATED"/>
    <n v="1"/>
    <s v="01.11.80.307.6100.0000"/>
    <n v="55.89"/>
    <s v="11"/>
    <s v="6100"/>
    <n v="2797.09"/>
    <n v="55.89"/>
    <s v="CREDITOR"/>
    <n v="0"/>
    <n v="0"/>
    <n v="0"/>
    <n v="0"/>
    <n v="55.89"/>
  </r>
  <r>
    <n v="59825089"/>
    <s v="N"/>
    <n v="21338284"/>
    <s v="3000014136560016"/>
    <s v="CIVIL"/>
    <d v="2023-06-28T00:00:00"/>
    <d v="2023-07-06T19:21:01"/>
    <m/>
    <d v="2023-07-06T00:00:00"/>
    <n v="1339"/>
    <n v="14314"/>
    <s v="59825089"/>
    <s v="59825089"/>
    <m/>
    <m/>
    <n v="22781486"/>
    <m/>
    <m/>
    <m/>
    <s v="SOLINT"/>
    <s v="SOLINT"/>
    <s v="CCMS"/>
    <n v="21338284"/>
    <n v="6837.19"/>
    <m/>
    <s v="N"/>
    <n v="67"/>
    <d v="2023-07-06T19:21:17"/>
    <s v="Y"/>
    <s v="Preparation - other"/>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88"/>
    <d v="2023-07-06T19:21:17"/>
    <s v="Y"/>
    <s v="Preparation - other"/>
    <s v="Prescribed Hourly Rates"/>
    <s v="Profit Cost"/>
    <s v="PH"/>
    <s v="Y"/>
    <n v="21.96"/>
    <n v="4.39"/>
    <x v="4"/>
    <s v="VALIDATED"/>
    <n v="1"/>
    <s v="01.11.80.307.6100.0000"/>
    <n v="21.96"/>
    <s v="11"/>
    <s v="6100"/>
    <n v="2797.09"/>
    <n v="21.96"/>
    <s v="CREDITOR"/>
    <n v="0"/>
    <n v="0"/>
    <n v="0"/>
    <n v="0"/>
    <n v="21.96"/>
  </r>
  <r>
    <n v="59825089"/>
    <s v="N"/>
    <n v="21340033"/>
    <s v="3000014136560012RC"/>
    <s v="CIVIL"/>
    <d v="2023-06-28T00:00:00"/>
    <d v="2023-07-06T19:54:22"/>
    <m/>
    <d v="2023-07-06T00:00:00"/>
    <n v="1339"/>
    <n v="14314"/>
    <s v="59825089"/>
    <s v="59825089"/>
    <m/>
    <m/>
    <m/>
    <m/>
    <m/>
    <m/>
    <s v="SOLRECOUP"/>
    <s v="SOLRECOUP"/>
    <s v="POARECOUP"/>
    <n v="21340033"/>
    <n v="-1511.4"/>
    <m/>
    <s v="Y"/>
    <n v="2"/>
    <d v="2023-07-06T19:54:23"/>
    <s v="N"/>
    <m/>
    <m/>
    <s v="Profit Cost"/>
    <m/>
    <s v="N"/>
    <n v="0"/>
    <n v="-251.9"/>
    <x v="4"/>
    <s v="VALIDATED"/>
    <n v="1"/>
    <s v="01.11.80.307.2013.0000"/>
    <n v="-251.9"/>
    <s v="11"/>
    <s v="2013"/>
    <n v="2797.09"/>
    <n v="-251.9"/>
    <s v="CREDITOR"/>
    <n v="0"/>
    <n v="0"/>
    <n v="-251.9"/>
    <n v="-62.975"/>
    <n v="0"/>
  </r>
  <r>
    <n v="60937315"/>
    <s v="N"/>
    <n v="21340034"/>
    <s v="3000015153840004RC"/>
    <s v="CIVIL"/>
    <d v="2023-06-27T00:00:00"/>
    <d v="2023-07-06T19:54:22"/>
    <m/>
    <d v="2023-07-06T00:00:00"/>
    <n v="1339"/>
    <n v="14314"/>
    <s v="60937315"/>
    <s v="60937315"/>
    <m/>
    <m/>
    <m/>
    <m/>
    <m/>
    <m/>
    <s v="SOLRECOUP"/>
    <s v="SOLRECOUP"/>
    <s v="POARECOUP"/>
    <n v="21340034"/>
    <n v="-912.9"/>
    <m/>
    <s v="Y"/>
    <n v="1"/>
    <d v="2023-07-06T19:54:23"/>
    <s v="N"/>
    <m/>
    <m/>
    <s v="Profit Cost"/>
    <m/>
    <s v="N"/>
    <n v="-760.75"/>
    <n v="0"/>
    <x v="4"/>
    <s v="VALIDATED"/>
    <n v="1"/>
    <s v="01.11.80.308.2013.0000"/>
    <n v="-760.75"/>
    <s v="11"/>
    <s v="2013"/>
    <n v="2797.09"/>
    <n v="-760.75"/>
    <s v="CREDITOR"/>
    <n v="0"/>
    <n v="0"/>
    <n v="-760.75"/>
    <n v="-190.1875"/>
    <n v="0"/>
  </r>
  <r>
    <n v="60937315"/>
    <s v="N"/>
    <n v="21340034"/>
    <s v="3000015153840004RC"/>
    <s v="CIVIL"/>
    <d v="2023-06-27T00:00:00"/>
    <d v="2023-07-06T19:54:22"/>
    <m/>
    <d v="2023-07-06T00:00:00"/>
    <n v="1339"/>
    <n v="14314"/>
    <s v="60937315"/>
    <s v="60937315"/>
    <m/>
    <m/>
    <m/>
    <m/>
    <m/>
    <m/>
    <s v="SOLRECOUP"/>
    <s v="SOLRECOUP"/>
    <s v="POARECOUP"/>
    <n v="21340034"/>
    <n v="-912.9"/>
    <m/>
    <s v="Y"/>
    <n v="2"/>
    <d v="2023-07-06T19:54:23"/>
    <s v="N"/>
    <m/>
    <m/>
    <s v="Profit Cost"/>
    <m/>
    <s v="N"/>
    <n v="0"/>
    <n v="-152.15"/>
    <x v="4"/>
    <s v="VALIDATED"/>
    <n v="1"/>
    <s v="01.11.80.308.2013.0000"/>
    <n v="-152.15"/>
    <s v="11"/>
    <s v="2013"/>
    <n v="2797.09"/>
    <n v="-152.15"/>
    <s v="CREDITOR"/>
    <n v="0"/>
    <n v="0"/>
    <n v="-152.15"/>
    <n v="-38.0375"/>
    <n v="0"/>
  </r>
  <r>
    <n v="60937315"/>
    <s v="N"/>
    <n v="21340035"/>
    <s v="3000015153840008RC"/>
    <s v="CIVIL"/>
    <d v="2023-06-27T00:00:00"/>
    <d v="2023-07-06T19:54:22"/>
    <m/>
    <d v="2023-07-06T00:00:00"/>
    <n v="1339"/>
    <n v="14314"/>
    <s v="60937315"/>
    <s v="60937315"/>
    <m/>
    <m/>
    <m/>
    <m/>
    <m/>
    <m/>
    <s v="SOLRECOUP"/>
    <s v="SOLRECOUP"/>
    <s v="POARECOUP"/>
    <n v="21340035"/>
    <n v="-71.28"/>
    <m/>
    <s v="Y"/>
    <n v="1"/>
    <d v="2023-07-06T19:54:23"/>
    <s v="N"/>
    <m/>
    <m/>
    <s v="Non Expert Disbursement"/>
    <m/>
    <s v="N"/>
    <n v="-59.4"/>
    <n v="0"/>
    <x v="4"/>
    <s v="VALIDATED"/>
    <n v="1"/>
    <s v="01.11.80.308.2013.0000"/>
    <n v="-59.4"/>
    <s v="11"/>
    <s v="2013"/>
    <n v="2797.09"/>
    <n v="-59.4"/>
    <s v="CREDITOR"/>
    <n v="0"/>
    <n v="0"/>
    <n v="-59.4"/>
    <n v="0"/>
    <n v="0"/>
  </r>
  <r>
    <n v="60937315"/>
    <s v="N"/>
    <n v="21340035"/>
    <s v="3000015153840008RC"/>
    <s v="CIVIL"/>
    <d v="2023-06-27T00:00:00"/>
    <d v="2023-07-06T19:54:22"/>
    <m/>
    <d v="2023-07-06T00:00:00"/>
    <n v="1339"/>
    <n v="14314"/>
    <s v="60937315"/>
    <s v="60937315"/>
    <m/>
    <m/>
    <m/>
    <m/>
    <m/>
    <m/>
    <s v="SOLRECOUP"/>
    <s v="SOLRECOUP"/>
    <s v="POARECOUP"/>
    <n v="21340035"/>
    <n v="-71.28"/>
    <m/>
    <s v="Y"/>
    <n v="2"/>
    <d v="2023-07-06T19:54:23"/>
    <s v="N"/>
    <m/>
    <m/>
    <s v="Non Expert Disbursement"/>
    <m/>
    <s v="N"/>
    <n v="0"/>
    <n v="-11.88"/>
    <x v="4"/>
    <s v="VALIDATED"/>
    <n v="1"/>
    <s v="01.11.80.308.2013.0000"/>
    <n v="-11.88"/>
    <s v="11"/>
    <s v="2013"/>
    <n v="2797.09"/>
    <n v="-11.88"/>
    <s v="CREDITOR"/>
    <n v="0"/>
    <n v="0"/>
    <n v="-11.88"/>
    <n v="0"/>
    <n v="0"/>
  </r>
  <r>
    <n v="60937315"/>
    <s v="N"/>
    <n v="21340036"/>
    <s v="3000015153840007RC"/>
    <s v="CIVIL"/>
    <d v="2023-06-27T00:00:00"/>
    <d v="2023-07-06T19:54:22"/>
    <m/>
    <d v="2023-07-06T00:00:00"/>
    <n v="1339"/>
    <n v="14314"/>
    <s v="60937315"/>
    <s v="60937315"/>
    <m/>
    <m/>
    <m/>
    <m/>
    <m/>
    <m/>
    <s v="SOLRECOUP"/>
    <s v="SOLRECOUP"/>
    <s v="POARECOUP"/>
    <n v="21340036"/>
    <n v="-402.52"/>
    <m/>
    <s v="Y"/>
    <n v="1"/>
    <d v="2023-07-06T19:54:23"/>
    <s v="N"/>
    <m/>
    <m/>
    <s v="Expert Disbursement"/>
    <m/>
    <s v="N"/>
    <n v="-335.43"/>
    <n v="0"/>
    <x v="4"/>
    <s v="VALIDATED"/>
    <n v="1"/>
    <s v="01.11.80.308.2013.0000"/>
    <n v="-335.43"/>
    <s v="11"/>
    <s v="2013"/>
    <n v="2797.09"/>
    <n v="-335.43"/>
    <s v="CREDITOR"/>
    <n v="0"/>
    <n v="0"/>
    <n v="-335.43"/>
    <n v="0"/>
    <n v="0"/>
  </r>
  <r>
    <n v="60937315"/>
    <s v="N"/>
    <n v="21340036"/>
    <s v="3000015153840007RC"/>
    <s v="CIVIL"/>
    <d v="2023-06-27T00:00:00"/>
    <d v="2023-07-06T19:54:22"/>
    <m/>
    <d v="2023-07-06T00:00:00"/>
    <n v="1339"/>
    <n v="14314"/>
    <s v="60937315"/>
    <s v="60937315"/>
    <m/>
    <m/>
    <m/>
    <m/>
    <m/>
    <m/>
    <s v="SOLRECOUP"/>
    <s v="SOLRECOUP"/>
    <s v="POARECOUP"/>
    <n v="21340036"/>
    <n v="-402.52"/>
    <m/>
    <s v="Y"/>
    <n v="2"/>
    <d v="2023-07-06T19:54:23"/>
    <s v="N"/>
    <m/>
    <m/>
    <s v="Expert Disbursement"/>
    <m/>
    <s v="N"/>
    <n v="0"/>
    <n v="-67.09"/>
    <x v="4"/>
    <s v="VALIDATED"/>
    <n v="1"/>
    <s v="01.11.80.308.2013.0000"/>
    <n v="-67.09"/>
    <s v="11"/>
    <s v="2013"/>
    <n v="2797.09"/>
    <n v="-67.09"/>
    <s v="CREDITOR"/>
    <n v="0"/>
    <n v="0"/>
    <n v="-67.09"/>
    <n v="0"/>
    <n v="0"/>
  </r>
  <r>
    <n v="59913492"/>
    <s v="N"/>
    <n v="21356558"/>
    <s v="3000014257360001RC"/>
    <s v="CIVIL"/>
    <d v="2023-06-30T00:00:00"/>
    <d v="2023-07-10T19:47:44"/>
    <m/>
    <d v="2023-07-10T00:00:00"/>
    <n v="1339"/>
    <n v="14314"/>
    <s v="59913492"/>
    <s v="59913492"/>
    <m/>
    <m/>
    <m/>
    <m/>
    <m/>
    <m/>
    <s v="SOLRECOUP"/>
    <s v="SOLRECOUP"/>
    <s v="POARECOUP"/>
    <n v="21356558"/>
    <n v="-89.25"/>
    <m/>
    <s v="Y"/>
    <n v="1"/>
    <d v="2023-07-10T19:47:45"/>
    <s v="N"/>
    <m/>
    <m/>
    <s v="Expert Disbursement"/>
    <m/>
    <s v="N"/>
    <n v="-89.25"/>
    <n v="0"/>
    <x v="2"/>
    <s v="VALIDATED"/>
    <n v="1"/>
    <s v="01.11.80.302.2013.0000"/>
    <n v="-89.25"/>
    <s v="11"/>
    <s v="2013"/>
    <n v="2797.09"/>
    <n v="-89.25"/>
    <s v="CREDITOR"/>
    <n v="0"/>
    <n v="0"/>
    <n v="-89.25"/>
    <n v="0"/>
    <n v="0"/>
  </r>
  <r>
    <n v="59913492"/>
    <s v="N"/>
    <n v="21356558"/>
    <s v="3000014257360001RC"/>
    <s v="CIVIL"/>
    <d v="2023-06-30T00:00:00"/>
    <d v="2023-07-10T19:47:44"/>
    <m/>
    <d v="2023-07-10T00:00:00"/>
    <n v="1339"/>
    <n v="14314"/>
    <s v="59913492"/>
    <s v="59913492"/>
    <m/>
    <m/>
    <m/>
    <m/>
    <m/>
    <m/>
    <s v="SOLRECOUP"/>
    <s v="SOLRECOUP"/>
    <s v="POARECOUP"/>
    <n v="21356558"/>
    <n v="-89.25"/>
    <m/>
    <s v="Y"/>
    <n v="2"/>
    <d v="2023-07-10T19:47:45"/>
    <s v="N"/>
    <m/>
    <m/>
    <s v="Expert Disbursement"/>
    <m/>
    <s v="N"/>
    <n v="0"/>
    <n v="0"/>
    <x v="2"/>
    <s v="VALIDATED"/>
    <n v="1"/>
    <s v="01.11.80.000.0000.0000"/>
    <n v="0"/>
    <s v="11"/>
    <s v="0000"/>
    <n v="2797.09"/>
    <n v="0"/>
    <s v="CREDITOR"/>
    <n v="0"/>
    <n v="0"/>
    <n v="0"/>
    <n v="0"/>
    <n v="0"/>
  </r>
  <r>
    <n v="59913492"/>
    <s v="N"/>
    <n v="21356559"/>
    <s v="3000014257360004RC"/>
    <s v="CIVIL"/>
    <d v="2023-06-30T00:00:00"/>
    <d v="2023-07-10T19:47:44"/>
    <m/>
    <d v="2023-07-10T00:00:00"/>
    <n v="1339"/>
    <n v="14314"/>
    <s v="59913492"/>
    <s v="59913492"/>
    <m/>
    <m/>
    <m/>
    <m/>
    <m/>
    <m/>
    <s v="SOLRECOUP"/>
    <s v="SOLRECOUP"/>
    <s v="POARECOUP"/>
    <n v="21356559"/>
    <n v="-486.72"/>
    <m/>
    <s v="Y"/>
    <n v="1"/>
    <d v="2023-07-10T19:47:45"/>
    <s v="N"/>
    <m/>
    <m/>
    <s v="Profit Cost"/>
    <m/>
    <s v="N"/>
    <n v="-405.6"/>
    <n v="0"/>
    <x v="2"/>
    <s v="VALIDATED"/>
    <n v="1"/>
    <s v="01.11.80.302.2013.0000"/>
    <n v="-405.6"/>
    <s v="11"/>
    <s v="2013"/>
    <n v="2797.09"/>
    <n v="-405.6"/>
    <s v="CREDITOR"/>
    <n v="0"/>
    <n v="0"/>
    <n v="-405.6"/>
    <n v="-101.4"/>
    <n v="0"/>
  </r>
  <r>
    <n v="59913492"/>
    <s v="N"/>
    <n v="21356559"/>
    <s v="3000014257360004RC"/>
    <s v="CIVIL"/>
    <d v="2023-06-30T00:00:00"/>
    <d v="2023-07-10T19:47:44"/>
    <m/>
    <d v="2023-07-10T00:00:00"/>
    <n v="1339"/>
    <n v="14314"/>
    <s v="59913492"/>
    <s v="59913492"/>
    <m/>
    <m/>
    <m/>
    <m/>
    <m/>
    <m/>
    <s v="SOLRECOUP"/>
    <s v="SOLRECOUP"/>
    <s v="POARECOUP"/>
    <n v="21356559"/>
    <n v="-486.72"/>
    <m/>
    <s v="Y"/>
    <n v="2"/>
    <d v="2023-07-10T19:47:45"/>
    <s v="N"/>
    <m/>
    <m/>
    <s v="Profit Cost"/>
    <m/>
    <s v="N"/>
    <n v="0"/>
    <n v="-81.12"/>
    <x v="2"/>
    <s v="VALIDATED"/>
    <n v="1"/>
    <s v="01.11.80.302.2013.0000"/>
    <n v="-81.12"/>
    <s v="11"/>
    <s v="2013"/>
    <n v="2797.09"/>
    <n v="-81.12"/>
    <s v="CREDITOR"/>
    <n v="0"/>
    <n v="0"/>
    <n v="-81.12"/>
    <n v="-20.28"/>
    <n v="0"/>
  </r>
  <r>
    <n v="59913492"/>
    <s v="N"/>
    <n v="21356560"/>
    <s v="3000014257360002RC"/>
    <s v="CIVIL"/>
    <d v="2023-06-30T00:00:00"/>
    <d v="2023-07-10T19:47:44"/>
    <m/>
    <d v="2023-07-10T00:00:00"/>
    <n v="1339"/>
    <n v="14314"/>
    <s v="59913492"/>
    <s v="59913492"/>
    <m/>
    <m/>
    <m/>
    <m/>
    <m/>
    <m/>
    <s v="SOLRECOUP"/>
    <s v="SOLRECOUP"/>
    <s v="POARECOUP"/>
    <n v="21356560"/>
    <n v="-232"/>
    <m/>
    <s v="Y"/>
    <n v="1"/>
    <d v="2023-07-10T19:47:45"/>
    <s v="N"/>
    <m/>
    <m/>
    <s v="Non Expert Disbursement"/>
    <m/>
    <s v="N"/>
    <n v="-232"/>
    <n v="0"/>
    <x v="2"/>
    <s v="VALIDATED"/>
    <n v="1"/>
    <s v="01.11.80.302.2013.0000"/>
    <n v="-232"/>
    <s v="11"/>
    <s v="2013"/>
    <n v="2797.09"/>
    <n v="-232"/>
    <s v="CREDITOR"/>
    <n v="0"/>
    <n v="0"/>
    <n v="-232"/>
    <n v="0"/>
    <n v="0"/>
  </r>
  <r>
    <n v="59825089"/>
    <s v="N"/>
    <n v="21340022"/>
    <s v="3000014136560009RC"/>
    <s v="CIVIL"/>
    <d v="2023-06-28T00:00:00"/>
    <d v="2023-07-06T19:54:22"/>
    <m/>
    <d v="2023-07-06T00:00:00"/>
    <n v="1339"/>
    <n v="14314"/>
    <s v="59825089"/>
    <s v="59825089"/>
    <m/>
    <m/>
    <m/>
    <m/>
    <m/>
    <m/>
    <s v="SOLRECOUP"/>
    <s v="SOLRECOUP"/>
    <s v="POARECOUP"/>
    <n v="21340022"/>
    <n v="-571.79"/>
    <m/>
    <s v="Y"/>
    <n v="2"/>
    <d v="2023-07-06T19:54:23"/>
    <s v="N"/>
    <m/>
    <m/>
    <s v="Profit Cost"/>
    <m/>
    <s v="N"/>
    <n v="0"/>
    <n v="-95.3"/>
    <x v="4"/>
    <s v="VALIDATED"/>
    <n v="1"/>
    <s v="01.11.80.307.2013.0000"/>
    <n v="-95.3"/>
    <s v="11"/>
    <s v="2013"/>
    <n v="2797.09"/>
    <n v="-95.3"/>
    <s v="CREDITOR"/>
    <n v="0"/>
    <n v="0"/>
    <n v="-95.3"/>
    <n v="-23.825"/>
    <n v="0"/>
  </r>
  <r>
    <n v="59825089"/>
    <s v="N"/>
    <n v="21340022"/>
    <s v="3000014136560009RC"/>
    <s v="CIVIL"/>
    <d v="2023-06-28T00:00:00"/>
    <d v="2023-07-06T19:54:22"/>
    <m/>
    <d v="2023-07-06T00:00:00"/>
    <n v="1339"/>
    <n v="14314"/>
    <s v="59825089"/>
    <s v="59825089"/>
    <m/>
    <m/>
    <m/>
    <m/>
    <m/>
    <m/>
    <s v="SOLRECOUP"/>
    <s v="SOLRECOUP"/>
    <s v="POARECOUP"/>
    <n v="21340022"/>
    <n v="-571.79"/>
    <m/>
    <s v="Y"/>
    <n v="1"/>
    <d v="2023-07-06T19:54:23"/>
    <s v="N"/>
    <m/>
    <m/>
    <s v="Profit Cost"/>
    <m/>
    <s v="N"/>
    <n v="-476.49"/>
    <n v="0"/>
    <x v="4"/>
    <s v="VALIDATED"/>
    <n v="1"/>
    <s v="01.11.80.307.2013.0000"/>
    <n v="-476.49"/>
    <s v="11"/>
    <s v="2013"/>
    <n v="2797.09"/>
    <n v="-476.49"/>
    <s v="CREDITOR"/>
    <n v="0"/>
    <n v="0"/>
    <n v="-476.49"/>
    <n v="-119.1225"/>
    <n v="0"/>
  </r>
  <r>
    <n v="59825089"/>
    <s v="N"/>
    <n v="21340023"/>
    <s v="3000014136560002RC"/>
    <s v="CIVIL"/>
    <d v="2023-06-28T00:00:00"/>
    <d v="2023-07-06T19:54:22"/>
    <m/>
    <d v="2023-07-06T00:00:00"/>
    <n v="1339"/>
    <n v="14314"/>
    <s v="59825089"/>
    <s v="59825089"/>
    <m/>
    <m/>
    <m/>
    <m/>
    <m/>
    <m/>
    <s v="SOLRECOUP"/>
    <s v="SOLRECOUP"/>
    <s v="POARECOUP"/>
    <n v="21340023"/>
    <n v="-338.88"/>
    <m/>
    <s v="Y"/>
    <n v="2"/>
    <d v="2023-07-06T19:54:23"/>
    <s v="N"/>
    <m/>
    <m/>
    <s v="Profit Cost"/>
    <m/>
    <s v="N"/>
    <n v="0"/>
    <n v="-56.48"/>
    <x v="4"/>
    <s v="VALIDATED"/>
    <n v="1"/>
    <s v="01.11.80.307.2013.0000"/>
    <n v="-56.48"/>
    <s v="11"/>
    <s v="2013"/>
    <n v="2797.09"/>
    <n v="-56.48"/>
    <s v="CREDITOR"/>
    <n v="0"/>
    <n v="0"/>
    <n v="-56.48"/>
    <n v="-14.12"/>
    <n v="0"/>
  </r>
  <r>
    <n v="59825089"/>
    <s v="N"/>
    <n v="21340023"/>
    <s v="3000014136560002RC"/>
    <s v="CIVIL"/>
    <d v="2023-06-28T00:00:00"/>
    <d v="2023-07-06T19:54:22"/>
    <m/>
    <d v="2023-07-06T00:00:00"/>
    <n v="1339"/>
    <n v="14314"/>
    <s v="59825089"/>
    <s v="59825089"/>
    <m/>
    <m/>
    <m/>
    <m/>
    <m/>
    <m/>
    <s v="SOLRECOUP"/>
    <s v="SOLRECOUP"/>
    <s v="POARECOUP"/>
    <n v="21340023"/>
    <n v="-338.88"/>
    <m/>
    <s v="Y"/>
    <n v="1"/>
    <d v="2023-07-06T19:54:23"/>
    <s v="N"/>
    <m/>
    <m/>
    <s v="Profit Cost"/>
    <m/>
    <s v="N"/>
    <n v="-282.4"/>
    <n v="0"/>
    <x v="4"/>
    <s v="VALIDATED"/>
    <n v="1"/>
    <s v="01.11.80.307.2013.0000"/>
    <n v="-282.4"/>
    <s v="11"/>
    <s v="2013"/>
    <n v="2797.09"/>
    <n v="-282.4"/>
    <s v="CREDITOR"/>
    <n v="0"/>
    <n v="0"/>
    <n v="-282.4"/>
    <n v="-70.59999999999999"/>
    <n v="0"/>
  </r>
  <r>
    <n v="59825089"/>
    <s v="N"/>
    <n v="21340024"/>
    <s v="3000014136560003RC"/>
    <s v="CIVIL"/>
    <d v="2023-06-28T00:00:00"/>
    <d v="2023-07-06T19:54:22"/>
    <m/>
    <d v="2023-07-06T00:00:00"/>
    <n v="1339"/>
    <n v="14314"/>
    <s v="59825089"/>
    <s v="59825089"/>
    <m/>
    <m/>
    <m/>
    <m/>
    <m/>
    <m/>
    <s v="SOLRECOUP"/>
    <s v="SOLRECOUP"/>
    <s v="POARECOUP"/>
    <n v="21340024"/>
    <n v="-167"/>
    <m/>
    <s v="Y"/>
    <n v="2"/>
    <d v="2023-07-06T19:54:23"/>
    <s v="N"/>
    <m/>
    <m/>
    <s v="Non Expert Disbursement"/>
    <m/>
    <s v="N"/>
    <n v="0"/>
    <n v="0"/>
    <x v="4"/>
    <s v="VALIDATED"/>
    <n v="1"/>
    <s v="01.11.80.000.0000.0000"/>
    <n v="0"/>
    <s v="11"/>
    <s v="0000"/>
    <n v="2797.09"/>
    <n v="0"/>
    <s v="CREDITOR"/>
    <n v="0"/>
    <n v="0"/>
    <n v="0"/>
    <n v="0"/>
    <n v="0"/>
  </r>
  <r>
    <n v="59825089"/>
    <s v="N"/>
    <n v="21340024"/>
    <s v="3000014136560003RC"/>
    <s v="CIVIL"/>
    <d v="2023-06-28T00:00:00"/>
    <d v="2023-07-06T19:54:22"/>
    <m/>
    <d v="2023-07-06T00:00:00"/>
    <n v="1339"/>
    <n v="14314"/>
    <s v="59825089"/>
    <s v="59825089"/>
    <m/>
    <m/>
    <m/>
    <m/>
    <m/>
    <m/>
    <s v="SOLRECOUP"/>
    <s v="SOLRECOUP"/>
    <s v="POARECOUP"/>
    <n v="21340024"/>
    <n v="-167"/>
    <m/>
    <s v="Y"/>
    <n v="1"/>
    <d v="2023-07-06T19:54:23"/>
    <s v="N"/>
    <m/>
    <m/>
    <s v="Non Expert Disbursement"/>
    <m/>
    <s v="N"/>
    <n v="-167"/>
    <n v="0"/>
    <x v="4"/>
    <s v="VALIDATED"/>
    <n v="1"/>
    <s v="01.11.80.307.2013.0000"/>
    <n v="-167"/>
    <s v="11"/>
    <s v="2013"/>
    <n v="2797.09"/>
    <n v="-167"/>
    <s v="CREDITOR"/>
    <n v="0"/>
    <n v="0"/>
    <n v="-167"/>
    <n v="0"/>
    <n v="0"/>
  </r>
  <r>
    <n v="59825089"/>
    <s v="N"/>
    <n v="21340025"/>
    <s v="3000014136560004RC"/>
    <s v="CIVIL"/>
    <d v="2023-06-28T00:00:00"/>
    <d v="2023-07-06T19:54:22"/>
    <m/>
    <d v="2023-07-06T00:00:00"/>
    <n v="1339"/>
    <n v="14314"/>
    <s v="59825089"/>
    <s v="59825089"/>
    <m/>
    <m/>
    <m/>
    <m/>
    <m/>
    <m/>
    <s v="SOLRECOUP"/>
    <s v="SOLRECOUP"/>
    <s v="POARECOUP"/>
    <n v="21340025"/>
    <n v="-402"/>
    <m/>
    <s v="Y"/>
    <n v="2"/>
    <d v="2023-07-06T19:54:23"/>
    <s v="N"/>
    <m/>
    <m/>
    <s v="Expert Disbursement"/>
    <m/>
    <s v="N"/>
    <n v="0"/>
    <n v="-67"/>
    <x v="4"/>
    <s v="VALIDATED"/>
    <n v="1"/>
    <s v="01.11.80.307.2013.0000"/>
    <n v="-67"/>
    <s v="11"/>
    <s v="2013"/>
    <n v="2797.09"/>
    <n v="-67"/>
    <s v="CREDITOR"/>
    <n v="0"/>
    <n v="0"/>
    <n v="-67"/>
    <n v="0"/>
    <n v="0"/>
  </r>
  <r>
    <n v="59825089"/>
    <s v="N"/>
    <n v="21340025"/>
    <s v="3000014136560004RC"/>
    <s v="CIVIL"/>
    <d v="2023-06-28T00:00:00"/>
    <d v="2023-07-06T19:54:22"/>
    <m/>
    <d v="2023-07-06T00:00:00"/>
    <n v="1339"/>
    <n v="14314"/>
    <s v="59825089"/>
    <s v="59825089"/>
    <m/>
    <m/>
    <m/>
    <m/>
    <m/>
    <m/>
    <s v="SOLRECOUP"/>
    <s v="SOLRECOUP"/>
    <s v="POARECOUP"/>
    <n v="21340025"/>
    <n v="-402"/>
    <m/>
    <s v="Y"/>
    <n v="1"/>
    <d v="2023-07-06T19:54:23"/>
    <s v="N"/>
    <m/>
    <m/>
    <s v="Expert Disbursement"/>
    <m/>
    <s v="N"/>
    <n v="-335"/>
    <n v="0"/>
    <x v="4"/>
    <s v="VALIDATED"/>
    <n v="1"/>
    <s v="01.11.80.307.2013.0000"/>
    <n v="-335"/>
    <s v="11"/>
    <s v="2013"/>
    <n v="2797.09"/>
    <n v="-335"/>
    <s v="CREDITOR"/>
    <n v="0"/>
    <n v="0"/>
    <n v="-335"/>
    <n v="0"/>
    <n v="0"/>
  </r>
  <r>
    <n v="60937315"/>
    <s v="N"/>
    <n v="21340026"/>
    <s v="3000015153840005RC"/>
    <s v="CIVIL"/>
    <d v="2023-06-27T00:00:00"/>
    <d v="2023-07-06T19:54:22"/>
    <m/>
    <d v="2023-07-06T00:00:00"/>
    <n v="1339"/>
    <n v="14314"/>
    <s v="60937315"/>
    <s v="60937315"/>
    <m/>
    <m/>
    <m/>
    <m/>
    <m/>
    <m/>
    <s v="SOLRECOUP"/>
    <s v="SOLRECOUP"/>
    <s v="POARECOUP"/>
    <n v="21340026"/>
    <n v="-167"/>
    <m/>
    <s v="Y"/>
    <n v="2"/>
    <d v="2023-07-06T19:54:23"/>
    <s v="N"/>
    <m/>
    <m/>
    <s v="Non Expert Disbursement"/>
    <m/>
    <s v="N"/>
    <n v="0"/>
    <n v="0"/>
    <x v="4"/>
    <s v="VALIDATED"/>
    <n v="1"/>
    <s v="01.11.80.000.0000.0000"/>
    <n v="0"/>
    <s v="11"/>
    <s v="0000"/>
    <n v="2797.09"/>
    <n v="0"/>
    <s v="CREDITOR"/>
    <n v="0"/>
    <n v="0"/>
    <n v="0"/>
    <n v="0"/>
    <n v="0"/>
  </r>
  <r>
    <n v="60937315"/>
    <s v="N"/>
    <n v="21340026"/>
    <s v="3000015153840005RC"/>
    <s v="CIVIL"/>
    <d v="2023-06-27T00:00:00"/>
    <d v="2023-07-06T19:54:22"/>
    <m/>
    <d v="2023-07-06T00:00:00"/>
    <n v="1339"/>
    <n v="14314"/>
    <s v="60937315"/>
    <s v="60937315"/>
    <m/>
    <m/>
    <m/>
    <m/>
    <m/>
    <m/>
    <s v="SOLRECOUP"/>
    <s v="SOLRECOUP"/>
    <s v="POARECOUP"/>
    <n v="21340026"/>
    <n v="-167"/>
    <m/>
    <s v="Y"/>
    <n v="1"/>
    <d v="2023-07-06T19:54:23"/>
    <s v="N"/>
    <m/>
    <m/>
    <s v="Non Expert Disbursement"/>
    <m/>
    <s v="N"/>
    <n v="-167"/>
    <n v="0"/>
    <x v="4"/>
    <s v="VALIDATED"/>
    <n v="1"/>
    <s v="01.11.80.308.2013.0000"/>
    <n v="-167"/>
    <s v="11"/>
    <s v="2013"/>
    <n v="2797.09"/>
    <n v="-167"/>
    <s v="CREDITOR"/>
    <n v="0"/>
    <n v="0"/>
    <n v="-167"/>
    <n v="0"/>
    <n v="0"/>
  </r>
  <r>
    <n v="59825089"/>
    <s v="N"/>
    <n v="21340027"/>
    <s v="3000014136560005RC"/>
    <s v="CIVIL"/>
    <d v="2023-06-28T00:00:00"/>
    <d v="2023-07-06T19:54:22"/>
    <m/>
    <d v="2023-07-06T00:00:00"/>
    <n v="1339"/>
    <n v="14314"/>
    <s v="59825089"/>
    <s v="59825089"/>
    <m/>
    <m/>
    <m/>
    <m/>
    <m/>
    <m/>
    <s v="SOLRECOUP"/>
    <s v="SOLRECOUP"/>
    <s v="POARECOUP"/>
    <n v="21340027"/>
    <n v="-1320.78"/>
    <m/>
    <s v="Y"/>
    <n v="2"/>
    <d v="2023-07-06T19:54:23"/>
    <s v="N"/>
    <m/>
    <m/>
    <s v="Profit Cost"/>
    <m/>
    <s v="N"/>
    <n v="0"/>
    <n v="-220.13"/>
    <x v="4"/>
    <s v="VALIDATED"/>
    <n v="1"/>
    <s v="01.11.80.307.2013.0000"/>
    <n v="-220.13"/>
    <s v="11"/>
    <s v="2013"/>
    <n v="2797.09"/>
    <n v="-220.13"/>
    <s v="CREDITOR"/>
    <n v="0"/>
    <n v="0"/>
    <n v="-220.13"/>
    <n v="-55.0325"/>
    <n v="0"/>
  </r>
  <r>
    <n v="59825089"/>
    <s v="N"/>
    <n v="21340027"/>
    <s v="3000014136560005RC"/>
    <s v="CIVIL"/>
    <d v="2023-06-28T00:00:00"/>
    <d v="2023-07-06T19:54:22"/>
    <m/>
    <d v="2023-07-06T00:00:00"/>
    <n v="1339"/>
    <n v="14314"/>
    <s v="59825089"/>
    <s v="59825089"/>
    <m/>
    <m/>
    <m/>
    <m/>
    <m/>
    <m/>
    <s v="SOLRECOUP"/>
    <s v="SOLRECOUP"/>
    <s v="POARECOUP"/>
    <n v="21340027"/>
    <n v="-1320.78"/>
    <m/>
    <s v="Y"/>
    <n v="1"/>
    <d v="2023-07-06T19:54:23"/>
    <s v="N"/>
    <m/>
    <m/>
    <s v="Profit Cost"/>
    <m/>
    <s v="N"/>
    <n v="-1100.65"/>
    <n v="0"/>
    <x v="4"/>
    <s v="VALIDATED"/>
    <n v="1"/>
    <s v="01.11.80.307.2013.0000"/>
    <n v="-1100.65"/>
    <s v="11"/>
    <s v="2013"/>
    <n v="2797.09"/>
    <n v="-1100.65"/>
    <s v="CREDITOR"/>
    <n v="0"/>
    <n v="0"/>
    <n v="-1100.65"/>
    <n v="-275.1625"/>
    <n v="0"/>
  </r>
  <r>
    <n v="59825089"/>
    <s v="N"/>
    <n v="21340028"/>
    <s v="3000014136560014RC"/>
    <s v="CIVIL"/>
    <d v="2023-06-28T00:00:00"/>
    <d v="2023-07-06T19:54:22"/>
    <m/>
    <d v="2023-07-06T00:00:00"/>
    <n v="1339"/>
    <n v="14314"/>
    <s v="59825089"/>
    <s v="59825089"/>
    <m/>
    <m/>
    <m/>
    <m/>
    <m/>
    <m/>
    <s v="SOLRECOUP"/>
    <s v="SOLRECOUP"/>
    <s v="POARECOUP"/>
    <n v="21340028"/>
    <n v="-211.6"/>
    <m/>
    <s v="Y"/>
    <n v="2"/>
    <d v="2023-07-06T19:54:23"/>
    <s v="N"/>
    <m/>
    <m/>
    <s v="Profit Cost"/>
    <m/>
    <s v="N"/>
    <n v="0"/>
    <n v="-35.27"/>
    <x v="4"/>
    <s v="VALIDATED"/>
    <n v="1"/>
    <s v="01.11.80.307.2013.0000"/>
    <n v="-35.27"/>
    <s v="11"/>
    <s v="2013"/>
    <n v="2797.09"/>
    <n v="-35.27"/>
    <s v="CREDITOR"/>
    <n v="0"/>
    <n v="0"/>
    <n v="-35.27"/>
    <n v="-8.817500000000001"/>
    <n v="0"/>
  </r>
  <r>
    <n v="59825089"/>
    <s v="N"/>
    <n v="21340028"/>
    <s v="3000014136560014RC"/>
    <s v="CIVIL"/>
    <d v="2023-06-28T00:00:00"/>
    <d v="2023-07-06T19:54:22"/>
    <m/>
    <d v="2023-07-06T00:00:00"/>
    <n v="1339"/>
    <n v="14314"/>
    <s v="59825089"/>
    <s v="59825089"/>
    <m/>
    <m/>
    <m/>
    <m/>
    <m/>
    <m/>
    <s v="SOLRECOUP"/>
    <s v="SOLRECOUP"/>
    <s v="POARECOUP"/>
    <n v="21340028"/>
    <n v="-211.6"/>
    <m/>
    <s v="Y"/>
    <n v="1"/>
    <d v="2023-07-06T19:54:23"/>
    <s v="N"/>
    <m/>
    <m/>
    <s v="Profit Cost"/>
    <m/>
    <s v="N"/>
    <n v="-176.33"/>
    <n v="0"/>
    <x v="4"/>
    <s v="VALIDATED"/>
    <n v="1"/>
    <s v="01.11.80.307.2013.0000"/>
    <n v="-176.33"/>
    <s v="11"/>
    <s v="2013"/>
    <n v="2797.09"/>
    <n v="-176.33"/>
    <s v="CREDITOR"/>
    <n v="0"/>
    <n v="0"/>
    <n v="-176.33"/>
    <n v="-44.0825"/>
    <n v="0"/>
  </r>
  <r>
    <n v="59825089"/>
    <s v="N"/>
    <n v="21340029"/>
    <s v="3000014136560007RC"/>
    <s v="CIVIL"/>
    <d v="2023-06-28T00:00:00"/>
    <d v="2023-07-06T19:54:22"/>
    <m/>
    <d v="2023-07-06T00:00:00"/>
    <n v="1339"/>
    <n v="14314"/>
    <s v="59825089"/>
    <s v="59825089"/>
    <m/>
    <m/>
    <m/>
    <m/>
    <m/>
    <m/>
    <s v="SOLRECOUP"/>
    <s v="SOLRECOUP"/>
    <s v="POARECOUP"/>
    <n v="21340029"/>
    <n v="-402"/>
    <m/>
    <s v="Y"/>
    <n v="2"/>
    <d v="2023-07-06T19:54:23"/>
    <s v="N"/>
    <m/>
    <m/>
    <s v="Expert Disbursement"/>
    <m/>
    <s v="N"/>
    <n v="0"/>
    <n v="-67"/>
    <x v="4"/>
    <s v="VALIDATED"/>
    <n v="1"/>
    <s v="01.11.80.307.2013.0000"/>
    <n v="-67"/>
    <s v="11"/>
    <s v="2013"/>
    <n v="2797.09"/>
    <n v="-67"/>
    <s v="CREDITOR"/>
    <n v="0"/>
    <n v="0"/>
    <n v="-67"/>
    <n v="0"/>
    <n v="0"/>
  </r>
  <r>
    <n v="59825089"/>
    <s v="N"/>
    <n v="21340029"/>
    <s v="3000014136560007RC"/>
    <s v="CIVIL"/>
    <d v="2023-06-28T00:00:00"/>
    <d v="2023-07-06T19:54:22"/>
    <m/>
    <d v="2023-07-06T00:00:00"/>
    <n v="1339"/>
    <n v="14314"/>
    <s v="59825089"/>
    <s v="59825089"/>
    <m/>
    <m/>
    <m/>
    <m/>
    <m/>
    <m/>
    <s v="SOLRECOUP"/>
    <s v="SOLRECOUP"/>
    <s v="POARECOUP"/>
    <n v="21340029"/>
    <n v="-402"/>
    <m/>
    <s v="Y"/>
    <n v="1"/>
    <d v="2023-07-06T19:54:23"/>
    <s v="N"/>
    <m/>
    <m/>
    <s v="Expert Disbursement"/>
    <m/>
    <s v="N"/>
    <n v="-335"/>
    <n v="0"/>
    <x v="4"/>
    <s v="VALIDATED"/>
    <n v="1"/>
    <s v="01.11.80.307.2013.0000"/>
    <n v="-335"/>
    <s v="11"/>
    <s v="2013"/>
    <n v="2797.09"/>
    <n v="-335"/>
    <s v="CREDITOR"/>
    <n v="0"/>
    <n v="0"/>
    <n v="-335"/>
    <n v="0"/>
    <n v="0"/>
  </r>
  <r>
    <n v="60937315"/>
    <s v="N"/>
    <n v="21340030"/>
    <s v="3000015153840003RC"/>
    <s v="CIVIL"/>
    <d v="2023-06-27T00:00:00"/>
    <d v="2023-07-06T19:54:22"/>
    <m/>
    <d v="2023-07-06T00:00:00"/>
    <n v="1339"/>
    <n v="14314"/>
    <s v="60937315"/>
    <s v="60937315"/>
    <m/>
    <m/>
    <m/>
    <m/>
    <m/>
    <m/>
    <s v="SOLRECOUP"/>
    <s v="SOLRECOUP"/>
    <s v="POARECOUP"/>
    <n v="21340030"/>
    <n v="-732.55"/>
    <m/>
    <s v="Y"/>
    <n v="2"/>
    <d v="2023-07-06T19:54:23"/>
    <s v="N"/>
    <m/>
    <m/>
    <s v="Profit Cost"/>
    <m/>
    <s v="N"/>
    <n v="0"/>
    <n v="-122.09"/>
    <x v="4"/>
    <s v="VALIDATED"/>
    <n v="1"/>
    <s v="01.11.80.308.2013.0000"/>
    <n v="-122.09"/>
    <s v="11"/>
    <s v="2013"/>
    <n v="2797.09"/>
    <n v="-122.09"/>
    <s v="CREDITOR"/>
    <n v="0"/>
    <n v="0"/>
    <n v="-122.09"/>
    <n v="-30.5225"/>
    <n v="0"/>
  </r>
  <r>
    <n v="60937315"/>
    <s v="N"/>
    <n v="21340030"/>
    <s v="3000015153840003RC"/>
    <s v="CIVIL"/>
    <d v="2023-06-27T00:00:00"/>
    <d v="2023-07-06T19:54:22"/>
    <m/>
    <d v="2023-07-06T00:00:00"/>
    <n v="1339"/>
    <n v="14314"/>
    <s v="60937315"/>
    <s v="60937315"/>
    <m/>
    <m/>
    <m/>
    <m/>
    <m/>
    <m/>
    <s v="SOLRECOUP"/>
    <s v="SOLRECOUP"/>
    <s v="POARECOUP"/>
    <n v="21340030"/>
    <n v="-732.55"/>
    <m/>
    <s v="Y"/>
    <n v="1"/>
    <d v="2023-07-06T19:54:23"/>
    <s v="N"/>
    <m/>
    <m/>
    <s v="Profit Cost"/>
    <m/>
    <s v="N"/>
    <n v="-610.46"/>
    <n v="0"/>
    <x v="4"/>
    <s v="VALIDATED"/>
    <n v="1"/>
    <s v="01.11.80.308.2013.0000"/>
    <n v="-610.46"/>
    <s v="11"/>
    <s v="2013"/>
    <n v="2797.09"/>
    <n v="-610.46"/>
    <s v="CREDITOR"/>
    <n v="0"/>
    <n v="0"/>
    <n v="-610.46"/>
    <n v="-152.615"/>
    <n v="0"/>
  </r>
  <r>
    <n v="60937315"/>
    <s v="N"/>
    <n v="21340031"/>
    <s v="3000015153840002RC"/>
    <s v="CIVIL"/>
    <d v="2023-06-27T00:00:00"/>
    <d v="2023-07-06T19:54:22"/>
    <m/>
    <d v="2023-07-06T00:00:00"/>
    <n v="1339"/>
    <n v="14314"/>
    <s v="60937315"/>
    <s v="60937315"/>
    <m/>
    <m/>
    <m/>
    <m/>
    <m/>
    <m/>
    <s v="SOLRECOUP"/>
    <s v="SOLRECOUP"/>
    <s v="POARECOUP"/>
    <n v="21340031"/>
    <n v="-2054.51"/>
    <m/>
    <s v="Y"/>
    <n v="1"/>
    <d v="2023-07-06T19:54:23"/>
    <s v="N"/>
    <m/>
    <m/>
    <s v="Profit Cost"/>
    <m/>
    <s v="N"/>
    <n v="-1712.09"/>
    <n v="0"/>
    <x v="4"/>
    <s v="VALIDATED"/>
    <n v="1"/>
    <s v="01.11.80.308.2013.0000"/>
    <n v="-1712.09"/>
    <s v="11"/>
    <s v="2013"/>
    <n v="2797.09"/>
    <n v="-1712.09"/>
    <s v="CREDITOR"/>
    <n v="0"/>
    <n v="0"/>
    <n v="-1712.09"/>
    <n v="-428.0225"/>
    <n v="0"/>
  </r>
  <r>
    <n v="60937315"/>
    <s v="N"/>
    <n v="21340031"/>
    <s v="3000015153840002RC"/>
    <s v="CIVIL"/>
    <d v="2023-06-27T00:00:00"/>
    <d v="2023-07-06T19:54:22"/>
    <m/>
    <d v="2023-07-06T00:00:00"/>
    <n v="1339"/>
    <n v="14314"/>
    <s v="60937315"/>
    <s v="60937315"/>
    <m/>
    <m/>
    <m/>
    <m/>
    <m/>
    <m/>
    <s v="SOLRECOUP"/>
    <s v="SOLRECOUP"/>
    <s v="POARECOUP"/>
    <n v="21340031"/>
    <n v="-2054.51"/>
    <m/>
    <s v="Y"/>
    <n v="2"/>
    <d v="2023-07-06T19:54:23"/>
    <s v="N"/>
    <m/>
    <m/>
    <s v="Profit Cost"/>
    <m/>
    <s v="N"/>
    <n v="0"/>
    <n v="-342.42"/>
    <x v="4"/>
    <s v="VALIDATED"/>
    <n v="1"/>
    <s v="01.11.80.308.2013.0000"/>
    <n v="-342.42"/>
    <s v="11"/>
    <s v="2013"/>
    <n v="2797.09"/>
    <n v="-342.42"/>
    <s v="CREDITOR"/>
    <n v="0"/>
    <n v="0"/>
    <n v="-342.42"/>
    <n v="-85.605"/>
    <n v="0"/>
  </r>
  <r>
    <n v="59825089"/>
    <s v="N"/>
    <n v="21340032"/>
    <s v="3000014136560011RC"/>
    <s v="CIVIL"/>
    <d v="2023-06-28T00:00:00"/>
    <d v="2023-07-06T19:54:22"/>
    <m/>
    <d v="2023-07-06T00:00:00"/>
    <n v="1339"/>
    <n v="14314"/>
    <s v="59825089"/>
    <s v="59825089"/>
    <m/>
    <m/>
    <m/>
    <m/>
    <m/>
    <m/>
    <s v="SOLRECOUP"/>
    <s v="SOLRECOUP"/>
    <s v="POARECOUP"/>
    <n v="21340032"/>
    <n v="-232"/>
    <m/>
    <s v="Y"/>
    <n v="1"/>
    <d v="2023-07-06T19:54:23"/>
    <s v="N"/>
    <m/>
    <m/>
    <s v="Non Expert Disbursement"/>
    <m/>
    <s v="N"/>
    <n v="-232"/>
    <n v="0"/>
    <x v="4"/>
    <s v="VALIDATED"/>
    <n v="1"/>
    <s v="01.11.80.307.2013.0000"/>
    <n v="-232"/>
    <s v="11"/>
    <s v="2013"/>
    <n v="2797.09"/>
    <n v="-232"/>
    <s v="CREDITOR"/>
    <n v="0"/>
    <n v="0"/>
    <n v="-232"/>
    <n v="0"/>
    <n v="0"/>
  </r>
  <r>
    <n v="59825089"/>
    <s v="N"/>
    <n v="21340032"/>
    <s v="3000014136560011RC"/>
    <s v="CIVIL"/>
    <d v="2023-06-28T00:00:00"/>
    <d v="2023-07-06T19:54:22"/>
    <m/>
    <d v="2023-07-06T00:00:00"/>
    <n v="1339"/>
    <n v="14314"/>
    <s v="59825089"/>
    <s v="59825089"/>
    <m/>
    <m/>
    <m/>
    <m/>
    <m/>
    <m/>
    <s v="SOLRECOUP"/>
    <s v="SOLRECOUP"/>
    <s v="POARECOUP"/>
    <n v="21340032"/>
    <n v="-232"/>
    <m/>
    <s v="Y"/>
    <n v="2"/>
    <d v="2023-07-06T19:54:23"/>
    <s v="N"/>
    <m/>
    <m/>
    <s v="Non Expert Disbursement"/>
    <m/>
    <s v="N"/>
    <n v="0"/>
    <n v="0"/>
    <x v="4"/>
    <s v="VALIDATED"/>
    <n v="1"/>
    <s v="01.11.80.000.0000.0000"/>
    <n v="0"/>
    <s v="11"/>
    <s v="0000"/>
    <n v="2797.09"/>
    <n v="0"/>
    <s v="CREDITOR"/>
    <n v="0"/>
    <n v="0"/>
    <n v="0"/>
    <n v="0"/>
    <n v="0"/>
  </r>
  <r>
    <n v="59825089"/>
    <s v="N"/>
    <n v="21340033"/>
    <s v="3000014136560012RC"/>
    <s v="CIVIL"/>
    <d v="2023-06-28T00:00:00"/>
    <d v="2023-07-06T19:54:22"/>
    <m/>
    <d v="2023-07-06T00:00:00"/>
    <n v="1339"/>
    <n v="14314"/>
    <s v="59825089"/>
    <s v="59825089"/>
    <m/>
    <m/>
    <m/>
    <m/>
    <m/>
    <m/>
    <s v="SOLRECOUP"/>
    <s v="SOLRECOUP"/>
    <s v="POARECOUP"/>
    <n v="21340033"/>
    <n v="-1511.4"/>
    <m/>
    <s v="Y"/>
    <n v="1"/>
    <d v="2023-07-06T19:54:23"/>
    <s v="N"/>
    <m/>
    <m/>
    <s v="Profit Cost"/>
    <m/>
    <s v="N"/>
    <n v="-1259.5"/>
    <n v="0"/>
    <x v="4"/>
    <s v="VALIDATED"/>
    <n v="1"/>
    <s v="01.11.80.307.2013.0000"/>
    <n v="-1259.5"/>
    <s v="11"/>
    <s v="2013"/>
    <n v="2797.09"/>
    <n v="-1259.5"/>
    <s v="CREDITOR"/>
    <n v="0"/>
    <n v="0"/>
    <n v="-1259.5"/>
    <n v="-314.875"/>
    <n v="0"/>
  </r>
  <r>
    <n v="59913492"/>
    <s v="N"/>
    <n v="21356560"/>
    <s v="3000014257360002RC"/>
    <s v="CIVIL"/>
    <d v="2023-06-30T00:00:00"/>
    <d v="2023-07-10T19:47:44"/>
    <m/>
    <d v="2023-07-10T00:00:00"/>
    <n v="1339"/>
    <n v="14314"/>
    <s v="59913492"/>
    <s v="59913492"/>
    <m/>
    <m/>
    <m/>
    <m/>
    <m/>
    <m/>
    <s v="SOLRECOUP"/>
    <s v="SOLRECOUP"/>
    <s v="POARECOUP"/>
    <n v="21356560"/>
    <n v="-232"/>
    <m/>
    <s v="Y"/>
    <n v="2"/>
    <d v="2023-07-10T19:47:45"/>
    <s v="N"/>
    <m/>
    <m/>
    <s v="Non Expert Disbursement"/>
    <m/>
    <s v="N"/>
    <n v="0"/>
    <n v="0"/>
    <x v="2"/>
    <s v="VALIDATED"/>
    <n v="1"/>
    <s v="01.11.80.000.0000.0000"/>
    <n v="0"/>
    <s v="11"/>
    <s v="0000"/>
    <n v="2797.09"/>
    <n v="0"/>
    <s v="CREDITOR"/>
    <n v="0"/>
    <n v="0"/>
    <n v="0"/>
    <n v="0"/>
    <n v="0"/>
  </r>
  <r>
    <n v="59913492"/>
    <s v="N"/>
    <n v="21356561"/>
    <s v="3000014257360005RC"/>
    <s v="CIVIL"/>
    <d v="2023-06-30T00:00:00"/>
    <d v="2023-07-10T19:47:44"/>
    <m/>
    <d v="2023-07-10T00:00:00"/>
    <n v="1339"/>
    <n v="14314"/>
    <s v="59913492"/>
    <s v="59913492"/>
    <m/>
    <m/>
    <m/>
    <m/>
    <m/>
    <m/>
    <s v="SOLRECOUP"/>
    <s v="SOLRECOUP"/>
    <s v="POARECOUP"/>
    <n v="21356561"/>
    <n v="-700.85"/>
    <m/>
    <s v="Y"/>
    <n v="1"/>
    <d v="2023-07-10T19:47:45"/>
    <s v="N"/>
    <m/>
    <m/>
    <s v="Profit Cost"/>
    <m/>
    <s v="N"/>
    <n v="-584.04"/>
    <n v="0"/>
    <x v="2"/>
    <s v="VALIDATED"/>
    <n v="1"/>
    <s v="01.11.80.302.2013.0000"/>
    <n v="-584.04"/>
    <s v="11"/>
    <s v="2013"/>
    <n v="2797.09"/>
    <n v="-584.04"/>
    <s v="CREDITOR"/>
    <n v="0"/>
    <n v="0"/>
    <n v="-584.04"/>
    <n v="-146.01"/>
    <n v="0"/>
  </r>
  <r>
    <n v="59913492"/>
    <s v="N"/>
    <n v="21356561"/>
    <s v="3000014257360005RC"/>
    <s v="CIVIL"/>
    <d v="2023-06-30T00:00:00"/>
    <d v="2023-07-10T19:47:44"/>
    <m/>
    <d v="2023-07-10T00:00:00"/>
    <n v="1339"/>
    <n v="14314"/>
    <s v="59913492"/>
    <s v="59913492"/>
    <m/>
    <m/>
    <m/>
    <m/>
    <m/>
    <m/>
    <s v="SOLRECOUP"/>
    <s v="SOLRECOUP"/>
    <s v="POARECOUP"/>
    <n v="21356561"/>
    <n v="-700.85"/>
    <m/>
    <s v="Y"/>
    <n v="2"/>
    <d v="2023-07-10T19:47:45"/>
    <s v="N"/>
    <m/>
    <m/>
    <s v="Profit Cost"/>
    <m/>
    <s v="N"/>
    <n v="0"/>
    <n v="-116.81"/>
    <x v="2"/>
    <s v="VALIDATED"/>
    <n v="1"/>
    <s v="01.11.80.302.2013.0000"/>
    <n v="-116.81"/>
    <s v="11"/>
    <s v="2013"/>
    <n v="2797.09"/>
    <n v="-116.81"/>
    <s v="CREDITOR"/>
    <n v="0"/>
    <n v="0"/>
    <n v="-116.81"/>
    <n v="-29.2025"/>
    <n v="0"/>
  </r>
  <r>
    <n v="59913492"/>
    <s v="N"/>
    <n v="21356562"/>
    <s v="3000014257360007RC"/>
    <s v="CIVIL"/>
    <d v="2023-06-30T00:00:00"/>
    <d v="2023-07-10T19:47:44"/>
    <m/>
    <d v="2023-07-10T00:00:00"/>
    <n v="1339"/>
    <n v="14314"/>
    <s v="59913492"/>
    <s v="59913492"/>
    <m/>
    <m/>
    <m/>
    <m/>
    <m/>
    <m/>
    <s v="SOLRECOUP"/>
    <s v="SOLRECOUP"/>
    <s v="POARECOUP"/>
    <n v="21356562"/>
    <n v="-756.4299999999999"/>
    <m/>
    <s v="Y"/>
    <n v="1"/>
    <d v="2023-07-10T19:47:45"/>
    <s v="N"/>
    <m/>
    <m/>
    <s v="Profit Cost"/>
    <m/>
    <s v="N"/>
    <n v="-630.36"/>
    <n v="0"/>
    <x v="2"/>
    <s v="VALIDATED"/>
    <n v="1"/>
    <s v="01.11.80.302.2013.0000"/>
    <n v="-630.36"/>
    <s v="11"/>
    <s v="2013"/>
    <n v="2797.09"/>
    <n v="-630.36"/>
    <s v="CREDITOR"/>
    <n v="0"/>
    <n v="0"/>
    <n v="-630.36"/>
    <n v="-157.59"/>
    <n v="0"/>
  </r>
  <r>
    <n v="59913492"/>
    <s v="N"/>
    <n v="21356562"/>
    <s v="3000014257360007RC"/>
    <s v="CIVIL"/>
    <d v="2023-06-30T00:00:00"/>
    <d v="2023-07-10T19:47:44"/>
    <m/>
    <d v="2023-07-10T00:00:00"/>
    <n v="1339"/>
    <n v="14314"/>
    <s v="59913492"/>
    <s v="59913492"/>
    <m/>
    <m/>
    <m/>
    <m/>
    <m/>
    <m/>
    <s v="SOLRECOUP"/>
    <s v="SOLRECOUP"/>
    <s v="POARECOUP"/>
    <n v="21356562"/>
    <n v="-756.4299999999999"/>
    <m/>
    <s v="Y"/>
    <n v="2"/>
    <d v="2023-07-10T19:47:45"/>
    <s v="N"/>
    <m/>
    <m/>
    <s v="Profit Cost"/>
    <m/>
    <s v="N"/>
    <n v="0"/>
    <n v="-126.07"/>
    <x v="2"/>
    <s v="VALIDATED"/>
    <n v="1"/>
    <s v="01.11.80.302.2013.0000"/>
    <n v="-126.07"/>
    <s v="11"/>
    <s v="2013"/>
    <n v="2797.09"/>
    <n v="-126.07"/>
    <s v="CREDITOR"/>
    <n v="0"/>
    <n v="0"/>
    <n v="-126.07"/>
    <n v="-31.5175"/>
    <n v="0"/>
  </r>
  <r>
    <n v="59913492"/>
    <s v="N"/>
    <n v="21356563"/>
    <s v="3000014257360008RC"/>
    <s v="CIVIL"/>
    <d v="2023-06-30T00:00:00"/>
    <d v="2023-07-10T19:47:44"/>
    <m/>
    <d v="2023-07-10T00:00:00"/>
    <n v="1339"/>
    <n v="14314"/>
    <s v="59913492"/>
    <s v="59913492"/>
    <m/>
    <m/>
    <m/>
    <m/>
    <m/>
    <m/>
    <s v="SOLRECOUP"/>
    <s v="SOLRECOUP"/>
    <s v="POARECOUP"/>
    <n v="21356563"/>
    <n v="-438.83"/>
    <m/>
    <s v="Y"/>
    <n v="1"/>
    <d v="2023-07-10T19:47:45"/>
    <s v="N"/>
    <m/>
    <m/>
    <s v="Profit Cost"/>
    <m/>
    <s v="N"/>
    <n v="-365.69"/>
    <n v="0"/>
    <x v="2"/>
    <s v="VALIDATED"/>
    <n v="1"/>
    <s v="01.11.80.302.2013.0000"/>
    <n v="-365.69"/>
    <s v="11"/>
    <s v="2013"/>
    <n v="2797.09"/>
    <n v="-365.69"/>
    <s v="CREDITOR"/>
    <n v="0"/>
    <n v="0"/>
    <n v="-365.69"/>
    <n v="-91.4225"/>
    <n v="0"/>
  </r>
  <r>
    <n v="59913492"/>
    <s v="N"/>
    <n v="21356563"/>
    <s v="3000014257360008RC"/>
    <s v="CIVIL"/>
    <d v="2023-06-30T00:00:00"/>
    <d v="2023-07-10T19:47:44"/>
    <m/>
    <d v="2023-07-10T00:00:00"/>
    <n v="1339"/>
    <n v="14314"/>
    <s v="59913492"/>
    <s v="59913492"/>
    <m/>
    <m/>
    <m/>
    <m/>
    <m/>
    <m/>
    <s v="SOLRECOUP"/>
    <s v="SOLRECOUP"/>
    <s v="POARECOUP"/>
    <n v="21356563"/>
    <n v="-438.83"/>
    <m/>
    <s v="Y"/>
    <n v="2"/>
    <d v="2023-07-10T19:47:45"/>
    <s v="N"/>
    <m/>
    <m/>
    <s v="Profit Cost"/>
    <m/>
    <s v="N"/>
    <n v="0"/>
    <n v="-73.14"/>
    <x v="2"/>
    <s v="VALIDATED"/>
    <n v="1"/>
    <s v="01.11.80.302.2013.0000"/>
    <n v="-73.14"/>
    <s v="11"/>
    <s v="2013"/>
    <n v="2797.09"/>
    <n v="-73.14"/>
    <s v="CREDITOR"/>
    <n v="0"/>
    <n v="0"/>
    <n v="-73.14"/>
    <n v="-18.285"/>
    <n v="0"/>
  </r>
  <r>
    <n v="59913492"/>
    <s v="N"/>
    <n v="21356564"/>
    <s v="3000014257360010RC"/>
    <s v="CIVIL"/>
    <d v="2023-06-30T00:00:00"/>
    <d v="2023-07-10T19:47:44"/>
    <m/>
    <d v="2023-07-10T00:00:00"/>
    <n v="1339"/>
    <n v="14314"/>
    <s v="59913492"/>
    <s v="59913492"/>
    <m/>
    <m/>
    <m/>
    <m/>
    <m/>
    <m/>
    <s v="SOLRECOUP"/>
    <s v="SOLRECOUP"/>
    <s v="POARECOUP"/>
    <n v="21356564"/>
    <n v="-30"/>
    <m/>
    <s v="Y"/>
    <n v="1"/>
    <d v="2023-07-10T19:47:45"/>
    <s v="N"/>
    <m/>
    <m/>
    <s v="Expert Disbursement"/>
    <m/>
    <s v="N"/>
    <n v="-30"/>
    <n v="0"/>
    <x v="2"/>
    <s v="VALIDATED"/>
    <n v="1"/>
    <s v="01.11.80.302.2013.0000"/>
    <n v="-30"/>
    <s v="11"/>
    <s v="2013"/>
    <n v="2797.09"/>
    <n v="-30"/>
    <s v="CREDITOR"/>
    <n v="0"/>
    <n v="0"/>
    <n v="-30"/>
    <n v="0"/>
    <n v="0"/>
  </r>
  <r>
    <n v="59913492"/>
    <s v="N"/>
    <n v="21356564"/>
    <s v="3000014257360010RC"/>
    <s v="CIVIL"/>
    <d v="2023-06-30T00:00:00"/>
    <d v="2023-07-10T19:47:44"/>
    <m/>
    <d v="2023-07-10T00:00:00"/>
    <n v="1339"/>
    <n v="14314"/>
    <s v="59913492"/>
    <s v="59913492"/>
    <m/>
    <m/>
    <m/>
    <m/>
    <m/>
    <m/>
    <s v="SOLRECOUP"/>
    <s v="SOLRECOUP"/>
    <s v="POARECOUP"/>
    <n v="21356564"/>
    <n v="-30"/>
    <m/>
    <s v="Y"/>
    <n v="2"/>
    <d v="2023-07-10T19:47:45"/>
    <s v="N"/>
    <m/>
    <m/>
    <s v="Expert Disbursement"/>
    <m/>
    <s v="N"/>
    <n v="0"/>
    <n v="0"/>
    <x v="2"/>
    <s v="VALIDATED"/>
    <n v="1"/>
    <s v="01.11.80.000.0000.0000"/>
    <n v="0"/>
    <s v="11"/>
    <s v="0000"/>
    <n v="2797.09"/>
    <n v="0"/>
    <s v="CREDITOR"/>
    <n v="0"/>
    <n v="0"/>
    <n v="0"/>
    <n v="0"/>
    <n v="0"/>
  </r>
  <r>
    <n v="59825089"/>
    <s v="N"/>
    <n v="21338284"/>
    <s v="3000014136560016"/>
    <s v="CIVIL"/>
    <d v="2023-06-28T00:00:00"/>
    <d v="2023-07-06T19:21:01"/>
    <m/>
    <d v="2023-07-06T00:00:00"/>
    <n v="1339"/>
    <n v="14314"/>
    <s v="59825089"/>
    <s v="59825089"/>
    <m/>
    <m/>
    <n v="22781486"/>
    <m/>
    <m/>
    <m/>
    <s v="SOLINT"/>
    <s v="SOLINT"/>
    <s v="CCMS"/>
    <n v="21338284"/>
    <n v="6837.19"/>
    <m/>
    <s v="N"/>
    <n v="45"/>
    <d v="2023-07-06T19:21:17"/>
    <s v="Y"/>
    <s v="Preparation - other"/>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77"/>
    <d v="2023-07-06T19:21:17"/>
    <s v="Y"/>
    <s v="Preparation - drafting bill/claim f"/>
    <s v="Prescribed Hourly Rates"/>
    <s v="Profit Cost"/>
    <s v="DK"/>
    <s v="Y"/>
    <n v="49.41"/>
    <n v="9.880000000000001"/>
    <x v="4"/>
    <s v="VALIDATED"/>
    <n v="1"/>
    <s v="01.11.80.307.6100.0000"/>
    <n v="49.41"/>
    <s v="11"/>
    <s v="6100"/>
    <n v="2797.09"/>
    <n v="49.41"/>
    <s v="CREDITOR"/>
    <n v="0"/>
    <n v="0"/>
    <n v="0"/>
    <n v="0"/>
    <n v="49.41"/>
  </r>
  <r>
    <n v="59825089"/>
    <s v="N"/>
    <n v="21338284"/>
    <s v="3000014136560016"/>
    <s v="CIVIL"/>
    <d v="2023-06-28T00:00:00"/>
    <d v="2023-07-06T19:21:01"/>
    <m/>
    <d v="2023-07-06T00:00:00"/>
    <n v="1339"/>
    <n v="14314"/>
    <s v="59825089"/>
    <s v="59825089"/>
    <m/>
    <m/>
    <n v="22781486"/>
    <m/>
    <m/>
    <m/>
    <s v="SOLINT"/>
    <s v="SOLINT"/>
    <s v="CCMS"/>
    <n v="21338284"/>
    <n v="6837.19"/>
    <m/>
    <s v="N"/>
    <n v="12"/>
    <d v="2023-07-06T19:21:17"/>
    <s v="Y"/>
    <s v="Preparation - drafting application"/>
    <s v="Prescribed Hourly Rates"/>
    <s v="Profit Cost"/>
    <s v="PH"/>
    <s v="Y"/>
    <n v="27.45"/>
    <n v="5.49"/>
    <x v="4"/>
    <s v="VALIDATED"/>
    <n v="1"/>
    <s v="01.11.80.307.6100.0000"/>
    <n v="27.45"/>
    <s v="11"/>
    <s v="6100"/>
    <n v="2797.09"/>
    <n v="27.45"/>
    <s v="CREDITOR"/>
    <n v="0"/>
    <n v="0"/>
    <n v="0"/>
    <n v="0"/>
    <n v="27.45"/>
  </r>
  <r>
    <n v="59825089"/>
    <s v="N"/>
    <n v="21338284"/>
    <s v="3000014136560016"/>
    <s v="CIVIL"/>
    <d v="2023-06-28T00:00:00"/>
    <d v="2023-07-06T19:21:01"/>
    <m/>
    <d v="2023-07-06T00:00:00"/>
    <n v="1339"/>
    <n v="14314"/>
    <s v="59825089"/>
    <s v="59825089"/>
    <m/>
    <m/>
    <n v="22781486"/>
    <m/>
    <m/>
    <m/>
    <s v="SOLINT"/>
    <s v="SOLINT"/>
    <s v="CCMS"/>
    <n v="21338284"/>
    <n v="6837.19"/>
    <m/>
    <s v="N"/>
    <n v="23"/>
    <d v="2023-07-06T19:21:17"/>
    <s v="Y"/>
    <s v="Preparation - other"/>
    <s v="Prescribed Hourly Rates"/>
    <s v="Profit Cost"/>
    <s v="PH"/>
    <s v="Y"/>
    <n v="65.88"/>
    <n v="13.18"/>
    <x v="4"/>
    <s v="VALIDATED"/>
    <n v="1"/>
    <s v="01.11.80.307.6100.0000"/>
    <n v="65.88"/>
    <s v="11"/>
    <s v="6100"/>
    <n v="2797.09"/>
    <n v="65.88"/>
    <s v="CREDITOR"/>
    <n v="0"/>
    <n v="0"/>
    <n v="0"/>
    <n v="0"/>
    <n v="65.88"/>
  </r>
  <r>
    <n v="59825089"/>
    <s v="N"/>
    <n v="21338284"/>
    <s v="3000014136560016"/>
    <s v="CIVIL"/>
    <d v="2023-06-28T00:00:00"/>
    <d v="2023-07-06T19:21:01"/>
    <m/>
    <d v="2023-07-06T00:00:00"/>
    <n v="1339"/>
    <n v="14314"/>
    <s v="59825089"/>
    <s v="59825089"/>
    <m/>
    <m/>
    <n v="22781486"/>
    <m/>
    <m/>
    <m/>
    <s v="SOLINT"/>
    <s v="SOLINT"/>
    <s v="CCMS"/>
    <n v="21338284"/>
    <n v="6837.19"/>
    <m/>
    <s v="N"/>
    <n v="99"/>
    <d v="2023-07-06T19:21:17"/>
    <s v="Y"/>
    <s v="Attendance upon client"/>
    <s v="Prescribed Hourly Rates"/>
    <s v="Profit Cost"/>
    <s v="GMK"/>
    <s v="Y"/>
    <n v="31.57"/>
    <n v="6.31"/>
    <x v="4"/>
    <s v="VALIDATED"/>
    <n v="1"/>
    <s v="01.11.80.307.6100.0000"/>
    <n v="31.57"/>
    <s v="11"/>
    <s v="6100"/>
    <n v="2797.09"/>
    <n v="31.57"/>
    <s v="CREDITOR"/>
    <n v="0"/>
    <n v="0"/>
    <n v="0"/>
    <n v="0"/>
    <n v="31.57"/>
  </r>
  <r>
    <n v="59825089"/>
    <s v="N"/>
    <n v="21338284"/>
    <s v="3000014136560016"/>
    <s v="CIVIL"/>
    <d v="2023-06-28T00:00:00"/>
    <d v="2023-07-06T19:21:01"/>
    <m/>
    <d v="2023-07-06T00:00:00"/>
    <n v="1339"/>
    <n v="14314"/>
    <s v="59825089"/>
    <s v="59825089"/>
    <m/>
    <m/>
    <n v="22781486"/>
    <m/>
    <m/>
    <m/>
    <s v="SOLINT"/>
    <s v="SOLINT"/>
    <s v="CCMS"/>
    <n v="21338284"/>
    <n v="6837.19"/>
    <m/>
    <s v="N"/>
    <n v="106"/>
    <d v="2023-07-06T19:21:17"/>
    <s v="Y"/>
    <s v="Preparation - other"/>
    <s v="Prescribed Hourly Rates"/>
    <s v="Profit Cost"/>
    <s v="GMK"/>
    <s v="Y"/>
    <n v="44.19"/>
    <n v="8.84"/>
    <x v="4"/>
    <s v="VALIDATED"/>
    <n v="1"/>
    <s v="01.11.80.307.6100.0000"/>
    <n v="44.19"/>
    <s v="11"/>
    <s v="6100"/>
    <n v="2797.09"/>
    <n v="44.19"/>
    <s v="CREDITOR"/>
    <n v="0"/>
    <n v="0"/>
    <n v="0"/>
    <n v="0"/>
    <n v="44.19"/>
  </r>
  <r>
    <n v="60937315"/>
    <s v="N"/>
    <n v="21338315"/>
    <s v="3000015153840010"/>
    <s v="CIVIL"/>
    <d v="2023-06-27T00:00:00"/>
    <d v="2023-07-06T19:21:01"/>
    <m/>
    <d v="2023-07-06T00:00:00"/>
    <n v="1339"/>
    <n v="14314"/>
    <s v="60937315"/>
    <s v="60937315"/>
    <m/>
    <m/>
    <n v="22773572"/>
    <m/>
    <m/>
    <m/>
    <s v="SOLFIN"/>
    <s v="SOLFIN"/>
    <s v="CCMS"/>
    <n v="21338315"/>
    <n v="6159.62"/>
    <m/>
    <s v="N"/>
    <n v="2"/>
    <d v="2023-07-06T19:21:18"/>
    <s v="Y"/>
    <s v="Court Fee"/>
    <s v="Public Law Children"/>
    <s v="Non Expert Disbursement"/>
    <s v="BB"/>
    <s v="Y"/>
    <n v="167"/>
    <n v="0"/>
    <x v="4"/>
    <s v="VALIDATED"/>
    <n v="1"/>
    <s v="01.11.80.308.6300.0000"/>
    <n v="167"/>
    <s v="11"/>
    <s v="6300"/>
    <n v="2797.09"/>
    <n v="167"/>
    <s v="CREDITOR"/>
    <n v="0"/>
    <n v="0"/>
    <n v="0"/>
    <n v="0"/>
    <n v="167"/>
  </r>
  <r>
    <n v="59825089"/>
    <s v="N"/>
    <n v="21338284"/>
    <s v="3000014136560016"/>
    <s v="CIVIL"/>
    <d v="2023-06-28T00:00:00"/>
    <d v="2023-07-06T19:21:01"/>
    <m/>
    <d v="2023-07-06T00:00:00"/>
    <n v="1339"/>
    <n v="14314"/>
    <s v="59825089"/>
    <s v="59825089"/>
    <m/>
    <m/>
    <n v="22781486"/>
    <m/>
    <m/>
    <m/>
    <s v="SOLINT"/>
    <s v="SOLINT"/>
    <s v="CCMS"/>
    <n v="21338284"/>
    <n v="6837.19"/>
    <m/>
    <s v="N"/>
    <n v="55"/>
    <d v="2023-07-06T19:21:17"/>
    <s v="Y"/>
    <s v="Preparation - other"/>
    <s v="Prescribed Hourly Rates"/>
    <s v="Profit Cost"/>
    <s v="GMK"/>
    <s v="Y"/>
    <n v="31.57"/>
    <n v="6.31"/>
    <x v="4"/>
    <s v="VALIDATED"/>
    <n v="1"/>
    <s v="01.11.80.307.6100.0000"/>
    <n v="31.57"/>
    <s v="11"/>
    <s v="6100"/>
    <n v="2797.09"/>
    <n v="31.57"/>
    <s v="CREDITOR"/>
    <n v="0"/>
    <n v="0"/>
    <n v="0"/>
    <n v="0"/>
    <n v="31.57"/>
  </r>
  <r>
    <n v="59825089"/>
    <s v="N"/>
    <n v="21338284"/>
    <s v="3000014136560016"/>
    <s v="CIVIL"/>
    <d v="2023-06-28T00:00:00"/>
    <d v="2023-07-06T19:21:01"/>
    <m/>
    <d v="2023-07-06T00:00:00"/>
    <n v="1339"/>
    <n v="14314"/>
    <s v="59825089"/>
    <s v="59825089"/>
    <m/>
    <m/>
    <n v="22781486"/>
    <m/>
    <m/>
    <m/>
    <s v="SOLINT"/>
    <s v="SOLINT"/>
    <s v="CCMS"/>
    <n v="21338284"/>
    <n v="6837.19"/>
    <m/>
    <s v="N"/>
    <n v="4"/>
    <d v="2023-07-06T19:21:17"/>
    <s v="Y"/>
    <s v="Preparation - other"/>
    <s v="Prescribed Hourly Rates"/>
    <s v="Profit Cost"/>
    <s v="PH"/>
    <s v="Y"/>
    <n v="16.47"/>
    <n v="3.29"/>
    <x v="4"/>
    <s v="VALIDATED"/>
    <n v="1"/>
    <s v="01.11.80.307.6100.0000"/>
    <n v="16.47"/>
    <s v="11"/>
    <s v="6100"/>
    <n v="2797.09"/>
    <n v="16.47"/>
    <s v="CREDITOR"/>
    <n v="0"/>
    <n v="0"/>
    <n v="0"/>
    <n v="0"/>
    <n v="16.47"/>
  </r>
  <r>
    <n v="59913492"/>
    <s v="N"/>
    <n v="21349994"/>
    <s v="3000014257360012"/>
    <s v="CIVIL"/>
    <d v="2023-06-30T00:00:00"/>
    <d v="2023-07-10T19:01:40"/>
    <m/>
    <d v="2023-07-10T00:00:00"/>
    <n v="1339"/>
    <n v="14314"/>
    <s v="59913492"/>
    <s v="59913492"/>
    <m/>
    <m/>
    <n v="22800744"/>
    <m/>
    <m/>
    <m/>
    <s v="SOLFIN"/>
    <s v="SOLFIN"/>
    <s v="CCMS"/>
    <n v="21349994"/>
    <n v="3703.78"/>
    <m/>
    <s v="N"/>
    <n v="56"/>
    <d v="2023-07-10T19:02:08"/>
    <s v="Y"/>
    <s v="Preparation - other"/>
    <s v="Prescribed Hourly Rates"/>
    <s v="Profit Cost"/>
    <s v="JEB(25%)"/>
    <s v="Y"/>
    <n v="6.86"/>
    <n v="1.37"/>
    <x v="2"/>
    <s v="VALIDATED"/>
    <n v="1"/>
    <s v="01.11.80.302.6100.0000"/>
    <n v="6.86"/>
    <s v="11"/>
    <s v="6100"/>
    <n v="2797.09"/>
    <n v="6.86"/>
    <s v="CREDITOR"/>
    <n v="0"/>
    <n v="0"/>
    <n v="0"/>
    <n v="0"/>
    <n v="6.86"/>
  </r>
  <r>
    <n v="59913492"/>
    <s v="N"/>
    <n v="21349994"/>
    <s v="3000014257360012"/>
    <s v="CIVIL"/>
    <d v="2023-06-30T00:00:00"/>
    <d v="2023-07-10T19:01:40"/>
    <m/>
    <d v="2023-07-10T00:00:00"/>
    <n v="1339"/>
    <n v="14314"/>
    <s v="59913492"/>
    <s v="59913492"/>
    <m/>
    <m/>
    <n v="22800744"/>
    <m/>
    <m/>
    <m/>
    <s v="SOLFIN"/>
    <s v="SOLFIN"/>
    <s v="CCMS"/>
    <n v="21349994"/>
    <n v="3703.78"/>
    <m/>
    <s v="N"/>
    <n v="6"/>
    <d v="2023-07-10T19:02:08"/>
    <s v="Y"/>
    <s v="Preparation - other"/>
    <s v="Prescribed Hourly Rates"/>
    <s v="Profit Cost"/>
    <s v="AJ(25%)"/>
    <s v="Y"/>
    <n v="13.73"/>
    <n v="2.75"/>
    <x v="2"/>
    <s v="VALIDATED"/>
    <n v="1"/>
    <s v="01.11.80.302.6100.0000"/>
    <n v="13.73"/>
    <s v="11"/>
    <s v="6100"/>
    <n v="2797.09"/>
    <n v="13.73"/>
    <s v="CREDITOR"/>
    <n v="0"/>
    <n v="0"/>
    <n v="0"/>
    <n v="0"/>
    <n v="13.73"/>
  </r>
  <r>
    <n v="60937315"/>
    <s v="N"/>
    <n v="21338315"/>
    <s v="3000015153840010"/>
    <s v="CIVIL"/>
    <d v="2023-06-27T00:00:00"/>
    <d v="2023-07-06T19:21:01"/>
    <m/>
    <d v="2023-07-06T00:00:00"/>
    <n v="1339"/>
    <n v="14314"/>
    <s v="60937315"/>
    <s v="60937315"/>
    <m/>
    <m/>
    <n v="22773572"/>
    <m/>
    <m/>
    <m/>
    <s v="SOLFIN"/>
    <s v="SOLFIN"/>
    <s v="CCMS"/>
    <n v="21338315"/>
    <n v="6159.62"/>
    <m/>
    <s v="N"/>
    <n v="9"/>
    <d v="2023-07-06T19:21:18"/>
    <s v="Y"/>
    <s v="Advocates Meeting"/>
    <s v="Public Law Children"/>
    <s v="Advocacy"/>
    <s v="MCM"/>
    <s v="Y"/>
    <n v="140.99"/>
    <n v="28.2"/>
    <x v="4"/>
    <s v="VALIDATED"/>
    <n v="1"/>
    <s v="01.11.80.308.6100.0000"/>
    <n v="140.99"/>
    <s v="11"/>
    <s v="6100"/>
    <n v="2797.09"/>
    <n v="140.99"/>
    <s v="CREDITOR"/>
    <n v="0"/>
    <n v="0"/>
    <n v="0"/>
    <n v="0"/>
    <n v="140.99"/>
  </r>
  <r>
    <n v="59825089"/>
    <s v="N"/>
    <n v="21338284"/>
    <s v="3000014136560016"/>
    <s v="CIVIL"/>
    <d v="2023-06-28T00:00:00"/>
    <d v="2023-07-06T19:21:01"/>
    <m/>
    <d v="2023-07-06T00:00:00"/>
    <n v="1339"/>
    <n v="14314"/>
    <s v="59825089"/>
    <s v="59825089"/>
    <m/>
    <m/>
    <n v="22781486"/>
    <m/>
    <m/>
    <m/>
    <s v="SOLINT"/>
    <s v="SOLINT"/>
    <s v="CCMS"/>
    <n v="21338284"/>
    <n v="6837.19"/>
    <m/>
    <s v="N"/>
    <n v="26"/>
    <d v="2023-07-06T19:21:17"/>
    <s v="Y"/>
    <s v="Preparation - other"/>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32"/>
    <d v="2023-07-06T19:21:17"/>
    <s v="Y"/>
    <s v="Attendance upon client"/>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1"/>
    <d v="2023-07-06T19:21:17"/>
    <s v="Y"/>
    <s v="Preparation - drafting statement"/>
    <s v="Prescribed Hourly Rates"/>
    <s v="Profit Cost"/>
    <s v="GMK"/>
    <s v="Y"/>
    <n v="31.57"/>
    <n v="6.31"/>
    <x v="4"/>
    <s v="VALIDATED"/>
    <n v="1"/>
    <s v="01.11.80.307.6100.0000"/>
    <n v="31.57"/>
    <s v="11"/>
    <s v="6100"/>
    <n v="2797.09"/>
    <n v="31.57"/>
    <s v="CREDITOR"/>
    <n v="0"/>
    <n v="0"/>
    <n v="0"/>
    <n v="0"/>
    <n v="31.57"/>
  </r>
  <r>
    <n v="59825089"/>
    <s v="N"/>
    <n v="21338284"/>
    <s v="3000014136560016"/>
    <s v="CIVIL"/>
    <d v="2023-06-28T00:00:00"/>
    <d v="2023-07-06T19:21:01"/>
    <m/>
    <d v="2023-07-06T00:00:00"/>
    <n v="1339"/>
    <n v="14314"/>
    <s v="59825089"/>
    <s v="59825089"/>
    <m/>
    <m/>
    <n v="22781486"/>
    <m/>
    <m/>
    <m/>
    <s v="SOLINT"/>
    <s v="SOLINT"/>
    <s v="CCMS"/>
    <n v="21338284"/>
    <n v="6837.19"/>
    <m/>
    <s v="N"/>
    <n v="3"/>
    <d v="2023-07-06T19:21:17"/>
    <s v="Y"/>
    <s v="Preparation - drafting instructions"/>
    <s v="Prescribed Hourly Rates"/>
    <s v="Profit Cost"/>
    <s v="GMK"/>
    <s v="Y"/>
    <n v="63.14"/>
    <n v="12.63"/>
    <x v="4"/>
    <s v="VALIDATED"/>
    <n v="1"/>
    <s v="01.11.80.307.6100.0000"/>
    <n v="63.14"/>
    <s v="11"/>
    <s v="6100"/>
    <n v="2797.09"/>
    <n v="63.14"/>
    <s v="CREDITOR"/>
    <n v="0"/>
    <n v="0"/>
    <n v="0"/>
    <n v="0"/>
    <n v="63.14"/>
  </r>
  <r>
    <n v="59825089"/>
    <s v="N"/>
    <n v="21338284"/>
    <s v="3000014136560016"/>
    <s v="CIVIL"/>
    <d v="2023-06-28T00:00:00"/>
    <d v="2023-07-06T19:21:01"/>
    <m/>
    <d v="2023-07-06T00:00:00"/>
    <n v="1339"/>
    <n v="14314"/>
    <s v="59825089"/>
    <s v="59825089"/>
    <m/>
    <m/>
    <n v="22781486"/>
    <m/>
    <m/>
    <m/>
    <s v="SOLINT"/>
    <s v="SOLINT"/>
    <s v="CCMS"/>
    <n v="21338284"/>
    <n v="6837.19"/>
    <m/>
    <s v="N"/>
    <n v="89"/>
    <d v="2023-07-06T19:21:17"/>
    <s v="Y"/>
    <s v="Preparation - drafting bill/claim f"/>
    <s v="Prescribed Hourly Rates"/>
    <s v="Profit Cost"/>
    <s v="TSH"/>
    <s v="Y"/>
    <n v="120.78"/>
    <n v="24.16"/>
    <x v="4"/>
    <s v="VALIDATED"/>
    <n v="1"/>
    <s v="01.11.80.307.6100.0000"/>
    <n v="120.78"/>
    <s v="11"/>
    <s v="6100"/>
    <n v="2797.09"/>
    <n v="120.78"/>
    <s v="CREDITOR"/>
    <n v="0"/>
    <n v="0"/>
    <n v="0"/>
    <n v="0"/>
    <n v="120.78"/>
  </r>
  <r>
    <n v="59825089"/>
    <s v="N"/>
    <n v="21338284"/>
    <s v="3000014136560016"/>
    <s v="CIVIL"/>
    <d v="2023-06-28T00:00:00"/>
    <d v="2023-07-06T19:21:01"/>
    <m/>
    <d v="2023-07-06T00:00:00"/>
    <n v="1339"/>
    <n v="14314"/>
    <s v="59825089"/>
    <s v="59825089"/>
    <m/>
    <m/>
    <n v="22781486"/>
    <m/>
    <m/>
    <m/>
    <s v="SOLINT"/>
    <s v="SOLINT"/>
    <s v="CCMS"/>
    <n v="21338284"/>
    <n v="6837.19"/>
    <m/>
    <s v="N"/>
    <n v="10"/>
    <d v="2023-07-06T19:21:17"/>
    <s v="Y"/>
    <s v="Preparation - drafting application"/>
    <s v="Prescribed Hourly Rates"/>
    <s v="Profit Cost"/>
    <s v="PH"/>
    <s v="Y"/>
    <n v="5.49"/>
    <n v="1.1"/>
    <x v="4"/>
    <s v="VALIDATED"/>
    <n v="1"/>
    <s v="01.11.80.307.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44"/>
    <d v="2023-07-10T19:02:08"/>
    <s v="Y"/>
    <s v="Preparation - other"/>
    <s v="Prescribed Hourly Rates"/>
    <s v="Profit Cost"/>
    <s v="MW(25%)"/>
    <s v="Y"/>
    <n v="27.45"/>
    <n v="5.49"/>
    <x v="2"/>
    <s v="VALIDATED"/>
    <n v="1"/>
    <s v="01.11.80.302.6100.0000"/>
    <n v="27.45"/>
    <s v="11"/>
    <s v="6100"/>
    <n v="2797.09"/>
    <n v="27.45"/>
    <s v="CREDITOR"/>
    <n v="0"/>
    <n v="0"/>
    <n v="0"/>
    <n v="0"/>
    <n v="27.45"/>
  </r>
  <r>
    <n v="59913492"/>
    <s v="N"/>
    <n v="21349994"/>
    <s v="3000014257360012"/>
    <s v="CIVIL"/>
    <d v="2023-06-30T00:00:00"/>
    <d v="2023-07-10T19:01:40"/>
    <m/>
    <d v="2023-07-10T00:00:00"/>
    <n v="1339"/>
    <n v="14314"/>
    <s v="59913492"/>
    <s v="59913492"/>
    <m/>
    <m/>
    <n v="22800744"/>
    <m/>
    <m/>
    <m/>
    <s v="SOLFIN"/>
    <s v="SOLFIN"/>
    <s v="CCMS"/>
    <n v="21349994"/>
    <n v="3703.78"/>
    <m/>
    <s v="N"/>
    <n v="49"/>
    <d v="2023-07-10T19:02:08"/>
    <s v="Y"/>
    <s v="Preparation - other"/>
    <s v="Prescribed Hourly Rates"/>
    <s v="Profit Cost"/>
    <s v="JEB(25%)"/>
    <s v="Y"/>
    <n v="6.86"/>
    <n v="1.37"/>
    <x v="2"/>
    <s v="VALIDATED"/>
    <n v="1"/>
    <s v="01.11.80.302.6100.0000"/>
    <n v="6.86"/>
    <s v="11"/>
    <s v="6100"/>
    <n v="2797.09"/>
    <n v="6.86"/>
    <s v="CREDITOR"/>
    <n v="0"/>
    <n v="0"/>
    <n v="0"/>
    <n v="0"/>
    <n v="6.86"/>
  </r>
  <r>
    <n v="59913492"/>
    <s v="N"/>
    <n v="21349994"/>
    <s v="3000014257360012"/>
    <s v="CIVIL"/>
    <d v="2023-06-30T00:00:00"/>
    <d v="2023-07-10T19:01:40"/>
    <m/>
    <d v="2023-07-10T00:00:00"/>
    <n v="1339"/>
    <n v="14314"/>
    <s v="59913492"/>
    <s v="59913492"/>
    <m/>
    <m/>
    <n v="22800744"/>
    <m/>
    <m/>
    <m/>
    <s v="SOLFIN"/>
    <s v="SOLFIN"/>
    <s v="CCMS"/>
    <n v="21349994"/>
    <n v="3703.78"/>
    <m/>
    <s v="N"/>
    <n v="71"/>
    <d v="2023-07-10T19:02:08"/>
    <s v="Y"/>
    <s v="Routine Letter Out"/>
    <s v="Prescribed Hourly Rates"/>
    <s v="Profit Cost"/>
    <s v="CL"/>
    <s v="Y"/>
    <n v="928.8"/>
    <n v="185.74"/>
    <x v="2"/>
    <s v="VALIDATED"/>
    <n v="1"/>
    <s v="01.11.80.302.6100.0000"/>
    <n v="928.8"/>
    <s v="11"/>
    <s v="6100"/>
    <n v="2797.09"/>
    <n v="928.8"/>
    <s v="CREDITOR"/>
    <n v="0"/>
    <n v="0"/>
    <n v="0"/>
    <n v="0"/>
    <n v="928.8"/>
  </r>
  <r>
    <n v="59913492"/>
    <s v="N"/>
    <n v="21349994"/>
    <s v="3000014257360012"/>
    <s v="CIVIL"/>
    <d v="2023-06-30T00:00:00"/>
    <d v="2023-07-10T19:01:40"/>
    <m/>
    <d v="2023-07-10T00:00:00"/>
    <n v="1339"/>
    <n v="14314"/>
    <s v="59913492"/>
    <s v="59913492"/>
    <m/>
    <m/>
    <n v="22800744"/>
    <m/>
    <m/>
    <m/>
    <s v="SOLFIN"/>
    <s v="SOLFIN"/>
    <s v="CCMS"/>
    <n v="21349994"/>
    <n v="3703.78"/>
    <m/>
    <s v="N"/>
    <n v="19"/>
    <d v="2023-07-10T19:02:08"/>
    <s v="Y"/>
    <s v="Preparation - other"/>
    <s v="Prescribed Hourly Rates"/>
    <s v="Profit Cost"/>
    <s v="JEB"/>
    <s v="Y"/>
    <n v="21.96"/>
    <n v="4.39"/>
    <x v="2"/>
    <s v="VALIDATED"/>
    <n v="1"/>
    <s v="01.11.80.302.6100.0000"/>
    <n v="21.96"/>
    <s v="11"/>
    <s v="6100"/>
    <n v="2797.09"/>
    <n v="21.96"/>
    <s v="CREDITOR"/>
    <n v="0"/>
    <n v="0"/>
    <n v="0"/>
    <n v="0"/>
    <n v="21.96"/>
  </r>
  <r>
    <n v="59825089"/>
    <s v="N"/>
    <n v="21338284"/>
    <s v="3000014136560016"/>
    <s v="CIVIL"/>
    <d v="2023-06-28T00:00:00"/>
    <d v="2023-07-06T19:21:01"/>
    <m/>
    <d v="2023-07-06T00:00:00"/>
    <n v="1339"/>
    <n v="14314"/>
    <s v="59825089"/>
    <s v="59825089"/>
    <m/>
    <m/>
    <n v="22781486"/>
    <m/>
    <m/>
    <m/>
    <s v="SOLINT"/>
    <s v="SOLINT"/>
    <s v="CCMS"/>
    <n v="21338284"/>
    <n v="6837.19"/>
    <m/>
    <s v="N"/>
    <n v="69"/>
    <d v="2023-07-06T19:21:17"/>
    <s v="Y"/>
    <s v="Preparation - drafting attendance n"/>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84"/>
    <d v="2023-07-06T19:21:17"/>
    <s v="Y"/>
    <s v="Preparation - other"/>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21"/>
    <d v="2023-07-06T19:21:17"/>
    <s v="Y"/>
    <s v="Attendance upon client"/>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91"/>
    <d v="2023-07-06T19:21:17"/>
    <s v="Y"/>
    <s v="Routine Letter Out"/>
    <s v="Prescribed Hourly Rates"/>
    <s v="Profit Cost"/>
    <s v="GMK"/>
    <s v="Y"/>
    <n v="701.73"/>
    <n v="140.28"/>
    <x v="4"/>
    <s v="VALIDATED"/>
    <n v="1"/>
    <s v="01.11.80.307.6100.0000"/>
    <n v="701.73"/>
    <s v="11"/>
    <s v="6100"/>
    <n v="2797.09"/>
    <n v="701.73"/>
    <s v="CREDITOR"/>
    <n v="0"/>
    <n v="0"/>
    <n v="0"/>
    <n v="0"/>
    <n v="701.73"/>
  </r>
  <r>
    <n v="59825089"/>
    <s v="N"/>
    <n v="21338284"/>
    <s v="3000014136560016"/>
    <s v="CIVIL"/>
    <d v="2023-06-28T00:00:00"/>
    <d v="2023-07-06T19:21:01"/>
    <m/>
    <d v="2023-07-06T00:00:00"/>
    <n v="1339"/>
    <n v="14314"/>
    <s v="59825089"/>
    <s v="59825089"/>
    <m/>
    <m/>
    <n v="22781486"/>
    <m/>
    <m/>
    <m/>
    <s v="SOLINT"/>
    <s v="SOLINT"/>
    <s v="CCMS"/>
    <n v="21338284"/>
    <n v="6837.19"/>
    <m/>
    <s v="N"/>
    <n v="18"/>
    <d v="2023-07-06T19:21:17"/>
    <s v="Y"/>
    <s v="Preparation - other"/>
    <s v="Prescribed Hourly Rates"/>
    <s v="Profit Cost"/>
    <s v="GMK"/>
    <s v="Y"/>
    <n v="18.94"/>
    <n v="3.79"/>
    <x v="4"/>
    <s v="VALIDATED"/>
    <n v="1"/>
    <s v="01.11.80.307.6100.0000"/>
    <n v="18.94"/>
    <s v="11"/>
    <s v="6100"/>
    <n v="2797.09"/>
    <n v="18.94"/>
    <s v="CREDITOR"/>
    <n v="0"/>
    <n v="0"/>
    <n v="0"/>
    <n v="0"/>
    <n v="18.94"/>
  </r>
  <r>
    <n v="59825089"/>
    <s v="N"/>
    <n v="21338284"/>
    <s v="3000014136560016"/>
    <s v="CIVIL"/>
    <d v="2023-06-28T00:00:00"/>
    <d v="2023-07-06T19:21:01"/>
    <m/>
    <d v="2023-07-06T00:00:00"/>
    <n v="1339"/>
    <n v="14314"/>
    <s v="59825089"/>
    <s v="59825089"/>
    <m/>
    <m/>
    <n v="22781486"/>
    <m/>
    <m/>
    <m/>
    <s v="SOLINT"/>
    <s v="SOLINT"/>
    <s v="CCMS"/>
    <n v="21338284"/>
    <n v="6837.19"/>
    <m/>
    <s v="N"/>
    <n v="24"/>
    <d v="2023-07-06T19:21:17"/>
    <s v="Y"/>
    <s v="Report - Welfare report"/>
    <s v="Prescribed Hourly Rates"/>
    <s v="Profit Cost"/>
    <s v="GMK"/>
    <s v="Y"/>
    <n v="18.94"/>
    <n v="3.79"/>
    <x v="4"/>
    <s v="VALIDATED"/>
    <n v="1"/>
    <s v="01.11.80.307.6100.0000"/>
    <n v="18.94"/>
    <s v="11"/>
    <s v="6100"/>
    <n v="2797.09"/>
    <n v="18.94"/>
    <s v="CREDITOR"/>
    <n v="0"/>
    <n v="0"/>
    <n v="0"/>
    <n v="0"/>
    <n v="18.94"/>
  </r>
  <r>
    <n v="59825089"/>
    <s v="N"/>
    <n v="21338284"/>
    <s v="3000014136560016"/>
    <s v="CIVIL"/>
    <d v="2023-06-28T00:00:00"/>
    <d v="2023-07-06T19:21:01"/>
    <m/>
    <d v="2023-07-06T00:00:00"/>
    <n v="1339"/>
    <n v="14314"/>
    <s v="59825089"/>
    <s v="59825089"/>
    <m/>
    <m/>
    <n v="22781486"/>
    <m/>
    <m/>
    <m/>
    <s v="SOLINT"/>
    <s v="SOLINT"/>
    <s v="CCMS"/>
    <n v="21338284"/>
    <n v="6837.19"/>
    <m/>
    <s v="N"/>
    <n v="103"/>
    <d v="2023-07-06T19:21:17"/>
    <s v="Y"/>
    <s v="Preparation - other"/>
    <s v="Prescribed Hourly Rates"/>
    <s v="Profit Cost"/>
    <s v="LYS"/>
    <s v="Y"/>
    <n v="10.98"/>
    <n v="2.2"/>
    <x v="4"/>
    <s v="VALIDATED"/>
    <n v="1"/>
    <s v="01.11.80.307.6100.0000"/>
    <n v="10.98"/>
    <s v="11"/>
    <s v="6100"/>
    <n v="2797.09"/>
    <n v="10.98"/>
    <s v="CREDITOR"/>
    <n v="0"/>
    <n v="0"/>
    <n v="0"/>
    <n v="0"/>
    <n v="10.98"/>
  </r>
  <r>
    <n v="59825089"/>
    <s v="N"/>
    <n v="21338284"/>
    <s v="3000014136560016"/>
    <s v="CIVIL"/>
    <d v="2023-06-28T00:00:00"/>
    <d v="2023-07-06T19:21:01"/>
    <m/>
    <d v="2023-07-06T00:00:00"/>
    <n v="1339"/>
    <n v="14314"/>
    <s v="59825089"/>
    <s v="59825089"/>
    <m/>
    <m/>
    <n v="22781486"/>
    <m/>
    <m/>
    <m/>
    <s v="SOLINT"/>
    <s v="SOLINT"/>
    <s v="CCMS"/>
    <n v="21338284"/>
    <n v="6837.19"/>
    <m/>
    <s v="N"/>
    <n v="70"/>
    <d v="2023-07-06T19:21:17"/>
    <s v="Y"/>
    <s v="Preparation - other"/>
    <s v="Prescribed Hourly Rates"/>
    <s v="Profit Cost"/>
    <s v="KVN"/>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82"/>
    <d v="2023-07-06T19:21:17"/>
    <s v="Y"/>
    <s v="Attendance upon client"/>
    <s v="Prescribed Hourly Rates"/>
    <s v="Profit Cost"/>
    <s v="PH"/>
    <s v="Y"/>
    <n v="10.98"/>
    <n v="2.2"/>
    <x v="4"/>
    <s v="VALIDATED"/>
    <n v="1"/>
    <s v="01.11.80.307.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36"/>
    <d v="2023-07-10T19:02:08"/>
    <s v="Y"/>
    <s v="Preparation - drafting statement"/>
    <s v="Prescribed Hourly Rates"/>
    <s v="Profit Cost"/>
    <s v="JEB(25%)"/>
    <s v="Y"/>
    <n v="68.63"/>
    <n v="13.73"/>
    <x v="2"/>
    <s v="VALIDATED"/>
    <n v="1"/>
    <s v="01.11.80.302.6100.0000"/>
    <n v="68.63"/>
    <s v="11"/>
    <s v="6100"/>
    <n v="2797.09"/>
    <n v="68.63"/>
    <s v="CREDITOR"/>
    <n v="0"/>
    <n v="0"/>
    <n v="0"/>
    <n v="0"/>
    <n v="68.63"/>
  </r>
  <r>
    <n v="59913492"/>
    <s v="N"/>
    <n v="21349994"/>
    <s v="3000014257360012"/>
    <s v="CIVIL"/>
    <d v="2023-06-30T00:00:00"/>
    <d v="2023-07-10T19:01:40"/>
    <m/>
    <d v="2023-07-10T00:00:00"/>
    <n v="1339"/>
    <n v="14314"/>
    <s v="59913492"/>
    <s v="59913492"/>
    <m/>
    <m/>
    <n v="22800744"/>
    <m/>
    <m/>
    <m/>
    <s v="SOLFIN"/>
    <s v="SOLFIN"/>
    <s v="CCMS"/>
    <n v="21349994"/>
    <n v="3703.78"/>
    <m/>
    <s v="N"/>
    <n v="61"/>
    <d v="2023-07-10T19:02:08"/>
    <s v="Y"/>
    <s v="Preparation - other"/>
    <s v="Prescribed Hourly Rates"/>
    <s v="Profit Cost"/>
    <s v="JEB(25%)"/>
    <s v="Y"/>
    <n v="13.73"/>
    <n v="2.75"/>
    <x v="2"/>
    <s v="VALIDATED"/>
    <n v="1"/>
    <s v="01.11.80.302.6100.0000"/>
    <n v="13.73"/>
    <s v="11"/>
    <s v="6100"/>
    <n v="2797.09"/>
    <n v="13.73"/>
    <s v="CREDITOR"/>
    <n v="0"/>
    <n v="0"/>
    <n v="0"/>
    <n v="0"/>
    <n v="13.73"/>
  </r>
  <r>
    <n v="60937315"/>
    <s v="N"/>
    <n v="21338315"/>
    <s v="3000015153840010"/>
    <s v="CIVIL"/>
    <d v="2023-06-27T00:00:00"/>
    <d v="2023-07-06T19:21:01"/>
    <m/>
    <d v="2023-07-06T00:00:00"/>
    <n v="1339"/>
    <n v="14314"/>
    <s v="60937315"/>
    <s v="60937315"/>
    <m/>
    <m/>
    <n v="22773572"/>
    <m/>
    <m/>
    <m/>
    <s v="SOLFIN"/>
    <s v="SOLFIN"/>
    <s v="CCMS"/>
    <n v="21338315"/>
    <n v="6159.62"/>
    <m/>
    <s v="N"/>
    <n v="5"/>
    <d v="2023-07-06T19:21:18"/>
    <s v="Y"/>
    <s v="Hearing Unit 2.31 - 5.00 Hours"/>
    <s v="Public Law Children"/>
    <s v="Advocacy"/>
    <s v="BB"/>
    <s v="Y"/>
    <n v="476.92"/>
    <n v="95.38"/>
    <x v="4"/>
    <s v="VALIDATED"/>
    <n v="1"/>
    <s v="01.11.80.308.6100.0000"/>
    <n v="476.92"/>
    <s v="11"/>
    <s v="6100"/>
    <n v="2797.09"/>
    <n v="476.92"/>
    <s v="CREDITOR"/>
    <n v="0"/>
    <n v="0"/>
    <n v="0"/>
    <n v="0"/>
    <n v="476.92"/>
  </r>
  <r>
    <n v="59825089"/>
    <s v="N"/>
    <n v="21338284"/>
    <s v="3000014136560016"/>
    <s v="CIVIL"/>
    <d v="2023-06-28T00:00:00"/>
    <d v="2023-07-06T19:21:01"/>
    <m/>
    <d v="2023-07-06T00:00:00"/>
    <n v="1339"/>
    <n v="14314"/>
    <s v="59825089"/>
    <s v="59825089"/>
    <m/>
    <m/>
    <n v="22781486"/>
    <m/>
    <m/>
    <m/>
    <s v="SOLINT"/>
    <s v="SOLINT"/>
    <s v="CCMS"/>
    <n v="21338284"/>
    <n v="6837.19"/>
    <m/>
    <s v="N"/>
    <n v="107"/>
    <d v="2023-07-06T19:21:17"/>
    <s v="Y"/>
    <s v="Preparation - drafting attendance n"/>
    <s v="Prescribed Hourly Rates"/>
    <s v="Profit Cost"/>
    <s v="GMK"/>
    <s v="Y"/>
    <n v="6.31"/>
    <n v="1.26"/>
    <x v="4"/>
    <s v="VALIDATED"/>
    <n v="1"/>
    <s v="01.11.80.307.6100.0000"/>
    <n v="6.31"/>
    <s v="11"/>
    <s v="6100"/>
    <n v="2797.09"/>
    <n v="6.31"/>
    <s v="CREDITOR"/>
    <n v="0"/>
    <n v="0"/>
    <n v="0"/>
    <n v="0"/>
    <n v="6.31"/>
  </r>
  <r>
    <n v="59825089"/>
    <s v="N"/>
    <n v="21338284"/>
    <s v="3000014136560016"/>
    <s v="CIVIL"/>
    <d v="2023-06-28T00:00:00"/>
    <d v="2023-07-06T19:21:01"/>
    <m/>
    <d v="2023-07-06T00:00:00"/>
    <n v="1339"/>
    <n v="14314"/>
    <s v="59825089"/>
    <s v="59825089"/>
    <m/>
    <m/>
    <n v="22781486"/>
    <m/>
    <m/>
    <m/>
    <s v="SOLINT"/>
    <s v="SOLINT"/>
    <s v="CCMS"/>
    <n v="21338284"/>
    <n v="6837.19"/>
    <m/>
    <s v="N"/>
    <n v="76"/>
    <d v="2023-07-06T19:21:17"/>
    <s v="Y"/>
    <s v="Preparation - drafting attendance n"/>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13"/>
    <d v="2023-07-06T19:21:17"/>
    <s v="Y"/>
    <s v="Preparation - other"/>
    <s v="Prescribed Hourly Rates"/>
    <s v="Profit Cost"/>
    <s v="AXJ"/>
    <s v="Y"/>
    <n v="6.31"/>
    <n v="1.26"/>
    <x v="4"/>
    <s v="VALIDATED"/>
    <n v="1"/>
    <s v="01.11.80.307.6100.0000"/>
    <n v="6.31"/>
    <s v="11"/>
    <s v="6100"/>
    <n v="2797.09"/>
    <n v="6.31"/>
    <s v="CREDITOR"/>
    <n v="0"/>
    <n v="0"/>
    <n v="0"/>
    <n v="0"/>
    <n v="6.31"/>
  </r>
  <r>
    <n v="59913492"/>
    <s v="N"/>
    <n v="21349994"/>
    <s v="3000014257360012"/>
    <s v="CIVIL"/>
    <d v="2023-06-30T00:00:00"/>
    <d v="2023-07-10T19:01:40"/>
    <m/>
    <d v="2023-07-10T00:00:00"/>
    <n v="1339"/>
    <n v="14314"/>
    <s v="59913492"/>
    <s v="59913492"/>
    <m/>
    <m/>
    <n v="22800744"/>
    <m/>
    <m/>
    <m/>
    <s v="SOLFIN"/>
    <s v="SOLFIN"/>
    <s v="CCMS"/>
    <n v="21349994"/>
    <n v="3703.78"/>
    <m/>
    <s v="N"/>
    <n v="54"/>
    <d v="2023-07-10T19:02:08"/>
    <s v="Y"/>
    <s v="Attendance upon/with Counsel at Con"/>
    <s v="Prescribed Hourly Rates"/>
    <s v="Profit Cost"/>
    <s v="JEB"/>
    <s v="Y"/>
    <n v="9.720000000000001"/>
    <n v="1.94"/>
    <x v="2"/>
    <s v="VALIDATED"/>
    <n v="1"/>
    <s v="01.11.80.302.6100.0000"/>
    <n v="9.720000000000001"/>
    <s v="11"/>
    <s v="6100"/>
    <n v="2797.09"/>
    <n v="9.720000000000001"/>
    <s v="CREDITOR"/>
    <n v="0"/>
    <n v="0"/>
    <n v="0"/>
    <n v="0"/>
    <n v="9.720000000000001"/>
  </r>
  <r>
    <n v="59913492"/>
    <s v="N"/>
    <n v="21349994"/>
    <s v="3000014257360012"/>
    <s v="CIVIL"/>
    <d v="2023-06-30T00:00:00"/>
    <d v="2023-07-10T19:01:40"/>
    <m/>
    <d v="2023-07-10T00:00:00"/>
    <n v="1339"/>
    <n v="14314"/>
    <s v="59913492"/>
    <s v="59913492"/>
    <m/>
    <m/>
    <n v="22800744"/>
    <m/>
    <m/>
    <m/>
    <s v="SOLFIN"/>
    <s v="SOLFIN"/>
    <s v="CCMS"/>
    <n v="21349994"/>
    <n v="3703.78"/>
    <m/>
    <s v="N"/>
    <n v="9"/>
    <d v="2023-07-10T19:02:08"/>
    <s v="Y"/>
    <s v="Preparation - other"/>
    <s v="Prescribed Hourly Rates"/>
    <s v="Profit Cost"/>
    <s v="AJ(25%)"/>
    <s v="Y"/>
    <n v="6.86"/>
    <n v="1.37"/>
    <x v="2"/>
    <s v="VALIDATED"/>
    <n v="1"/>
    <s v="01.11.80.302.6100.0000"/>
    <n v="6.86"/>
    <s v="11"/>
    <s v="6100"/>
    <n v="2797.09"/>
    <n v="6.86"/>
    <s v="CREDITOR"/>
    <n v="0"/>
    <n v="0"/>
    <n v="0"/>
    <n v="0"/>
    <n v="6.86"/>
  </r>
  <r>
    <n v="59913492"/>
    <s v="N"/>
    <n v="21344112"/>
    <s v="3000014257360011"/>
    <s v="CIVIL"/>
    <d v="2023-06-30T00:00:00"/>
    <d v="2023-07-07T19:03:00"/>
    <m/>
    <d v="2023-07-07T00:00:00"/>
    <n v="1339"/>
    <n v="14314"/>
    <s v="59913492"/>
    <s v="59913492"/>
    <m/>
    <m/>
    <n v="22800128"/>
    <m/>
    <m/>
    <m/>
    <s v="SOLINT"/>
    <s v="SOLINT"/>
    <s v="CCMS"/>
    <n v="21344112"/>
    <n v="692.65"/>
    <m/>
    <s v="N"/>
    <n v="2"/>
    <d v="2023-07-07T19:03:23"/>
    <s v="Y"/>
    <s v="Level 4 Fixed Fee"/>
    <s v="Domestic Abuse"/>
    <s v="Profit Cost"/>
    <s v="JEB"/>
    <s v="Y"/>
    <n v="507"/>
    <n v="101.4"/>
    <x v="9"/>
    <s v="VALIDATED"/>
    <n v="1"/>
    <s v="01.11.80.302.6100.0000"/>
    <n v="507"/>
    <s v="11"/>
    <s v="6100"/>
    <n v="2797.09"/>
    <n v="507"/>
    <s v="CREDITOR"/>
    <n v="0"/>
    <n v="0"/>
    <n v="0"/>
    <n v="0"/>
    <n v="507"/>
  </r>
  <r>
    <n v="59825089"/>
    <s v="N"/>
    <n v="21338284"/>
    <s v="3000014136560016"/>
    <s v="CIVIL"/>
    <d v="2023-06-28T00:00:00"/>
    <d v="2023-07-06T19:21:01"/>
    <m/>
    <d v="2023-07-06T00:00:00"/>
    <n v="1339"/>
    <n v="14314"/>
    <s v="59825089"/>
    <s v="59825089"/>
    <m/>
    <m/>
    <n v="22781486"/>
    <m/>
    <m/>
    <m/>
    <s v="SOLINT"/>
    <s v="SOLINT"/>
    <s v="CCMS"/>
    <n v="21338284"/>
    <n v="6837.19"/>
    <m/>
    <s v="N"/>
    <n v="104"/>
    <d v="2023-07-06T19:21:17"/>
    <s v="Y"/>
    <s v="Preparation - other"/>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40"/>
    <d v="2023-07-06T19:21:17"/>
    <s v="Y"/>
    <s v="Preparation - drafting consent orde"/>
    <s v="Prescribed Hourly Rates"/>
    <s v="Profit Cost"/>
    <s v="PH"/>
    <s v="Y"/>
    <n v="10.98"/>
    <n v="2.2"/>
    <x v="4"/>
    <s v="VALIDATED"/>
    <n v="1"/>
    <s v="01.11.80.307.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26"/>
    <d v="2023-07-10T19:02:08"/>
    <s v="Y"/>
    <s v="Preparation - other"/>
    <s v="Prescribed Hourly Rates"/>
    <s v="Profit Cost"/>
    <s v="JEB(25%)"/>
    <s v="Y"/>
    <n v="6.86"/>
    <n v="1.37"/>
    <x v="2"/>
    <s v="VALIDATED"/>
    <n v="1"/>
    <s v="01.11.80.302.6100.0000"/>
    <n v="6.86"/>
    <s v="11"/>
    <s v="6100"/>
    <n v="2797.09"/>
    <n v="6.86"/>
    <s v="CREDITOR"/>
    <n v="0"/>
    <n v="0"/>
    <n v="0"/>
    <n v="0"/>
    <n v="6.86"/>
  </r>
  <r>
    <n v="59825089"/>
    <s v="N"/>
    <n v="21338284"/>
    <s v="3000014136560016"/>
    <s v="CIVIL"/>
    <d v="2023-06-28T00:00:00"/>
    <d v="2023-07-06T19:21:01"/>
    <m/>
    <d v="2023-07-06T00:00:00"/>
    <n v="1339"/>
    <n v="14314"/>
    <s v="59825089"/>
    <s v="59825089"/>
    <m/>
    <m/>
    <n v="22781486"/>
    <m/>
    <m/>
    <m/>
    <s v="SOLINT"/>
    <s v="SOLINT"/>
    <s v="CCMS"/>
    <n v="21338284"/>
    <n v="6837.19"/>
    <m/>
    <s v="N"/>
    <n v="95"/>
    <d v="2023-07-06T19:21:17"/>
    <s v="Y"/>
    <s v="Attendance upon client"/>
    <s v="Prescribed Hourly Rates"/>
    <s v="Profit Cost"/>
    <s v="PH"/>
    <s v="Y"/>
    <n v="10.98"/>
    <n v="2.2"/>
    <x v="4"/>
    <s v="VALIDATED"/>
    <n v="1"/>
    <s v="01.11.80.307.6100.0000"/>
    <n v="10.98"/>
    <s v="11"/>
    <s v="6100"/>
    <n v="2797.09"/>
    <n v="10.98"/>
    <s v="CREDITOR"/>
    <n v="0"/>
    <n v="0"/>
    <n v="0"/>
    <n v="0"/>
    <n v="10.98"/>
  </r>
  <r>
    <n v="62133677"/>
    <s v="N"/>
    <n v="21321398"/>
    <s v="3000016155780003"/>
    <s v="CIVIL"/>
    <d v="2023-06-29T00:00:00"/>
    <d v="2023-07-03T19:05:17"/>
    <m/>
    <d v="2023-07-03T00:00:00"/>
    <n v="1339"/>
    <n v="14314"/>
    <s v="62133677"/>
    <s v="62133677"/>
    <m/>
    <m/>
    <n v="22786874"/>
    <m/>
    <m/>
    <m/>
    <s v="SOLPOA"/>
    <s v="SOLPOA"/>
    <s v="CCMS"/>
    <n v="21321398"/>
    <n v="96.5"/>
    <m/>
    <s v="N"/>
    <n v="1"/>
    <d v="2023-07-03T19:05:18"/>
    <s v="N"/>
    <s v="Expert Cost - Domestic Abuse"/>
    <s v="Expert Cost - Domestic Abuse"/>
    <s v="Expert Disbursement"/>
    <s v="PG"/>
    <s v="N"/>
    <n v="96.5"/>
    <n v="0"/>
    <x v="3"/>
    <s v="VALIDATED"/>
    <n v="1"/>
    <s v="01.11.80.302.2012.0000"/>
    <n v="96.5"/>
    <s v="11"/>
    <s v="2012"/>
    <n v="2797.09"/>
    <n v="96.5"/>
    <s v="CREDITOR"/>
    <n v="96.5"/>
    <n v="0"/>
    <n v="0"/>
    <n v="0"/>
    <n v="0"/>
  </r>
  <r>
    <n v="59913492"/>
    <s v="N"/>
    <n v="21344112"/>
    <s v="3000014257360011"/>
    <s v="CIVIL"/>
    <d v="2023-06-30T00:00:00"/>
    <d v="2023-07-07T19:03:00"/>
    <m/>
    <d v="2023-07-07T00:00:00"/>
    <n v="1339"/>
    <n v="14314"/>
    <s v="59913492"/>
    <s v="59913492"/>
    <m/>
    <m/>
    <n v="22800128"/>
    <m/>
    <m/>
    <m/>
    <s v="SOLINT"/>
    <s v="SOLINT"/>
    <s v="CCMS"/>
    <n v="21344112"/>
    <n v="692.65"/>
    <m/>
    <s v="N"/>
    <n v="1"/>
    <d v="2023-07-07T19:03:23"/>
    <s v="Y"/>
    <s v="Process server"/>
    <s v="Domestic Abuse"/>
    <s v="Expert Disbursement"/>
    <s v="JEB"/>
    <s v="Y"/>
    <n v="84.25"/>
    <n v="0"/>
    <x v="9"/>
    <s v="VALIDATED"/>
    <n v="1"/>
    <s v="01.11.80.302.6300.0000"/>
    <n v="84.25"/>
    <s v="11"/>
    <s v="6300"/>
    <n v="2797.09"/>
    <n v="84.25"/>
    <s v="CREDITOR"/>
    <n v="0"/>
    <n v="0"/>
    <n v="0"/>
    <n v="0"/>
    <n v="84.25"/>
  </r>
  <r>
    <n v="60937315"/>
    <s v="N"/>
    <n v="21338315"/>
    <s v="3000015153840010"/>
    <s v="CIVIL"/>
    <d v="2023-06-27T00:00:00"/>
    <d v="2023-07-06T19:21:01"/>
    <m/>
    <d v="2023-07-06T00:00:00"/>
    <n v="1339"/>
    <n v="14314"/>
    <s v="60937315"/>
    <s v="60937315"/>
    <m/>
    <m/>
    <n v="22773572"/>
    <m/>
    <m/>
    <m/>
    <s v="SOLFIN"/>
    <s v="SOLFIN"/>
    <s v="CCMS"/>
    <n v="21338315"/>
    <n v="6159.62"/>
    <m/>
    <s v="N"/>
    <n v="3"/>
    <d v="2023-07-06T19:21:18"/>
    <s v="Y"/>
    <s v="Psychologist"/>
    <s v="Public Law Children"/>
    <s v="Expert Disbursement"/>
    <s v="BB"/>
    <s v="Y"/>
    <n v="307.55"/>
    <n v="61.51"/>
    <x v="4"/>
    <s v="VALIDATED"/>
    <n v="1"/>
    <s v="01.11.80.308.6300.0000"/>
    <n v="307.55"/>
    <s v="11"/>
    <s v="6300"/>
    <n v="2797.09"/>
    <n v="307.55"/>
    <s v="CREDITOR"/>
    <n v="0"/>
    <n v="0"/>
    <n v="0"/>
    <n v="0"/>
    <n v="307.55"/>
  </r>
  <r>
    <n v="59913492"/>
    <s v="N"/>
    <n v="21349994"/>
    <s v="3000014257360012"/>
    <s v="CIVIL"/>
    <d v="2023-06-30T00:00:00"/>
    <d v="2023-07-10T19:01:40"/>
    <m/>
    <d v="2023-07-10T00:00:00"/>
    <n v="1339"/>
    <n v="14314"/>
    <s v="59913492"/>
    <s v="59913492"/>
    <m/>
    <m/>
    <n v="22800744"/>
    <m/>
    <m/>
    <m/>
    <s v="SOLFIN"/>
    <s v="SOLFIN"/>
    <s v="CCMS"/>
    <n v="21349994"/>
    <n v="3703.78"/>
    <m/>
    <s v="N"/>
    <n v="37"/>
    <d v="2023-07-10T19:02:08"/>
    <s v="Y"/>
    <s v="Preparation - other"/>
    <s v="Prescribed Hourly Rates"/>
    <s v="Profit Cost"/>
    <s v="JEB(25%)"/>
    <s v="Y"/>
    <n v="6.86"/>
    <n v="1.37"/>
    <x v="2"/>
    <s v="VALIDATED"/>
    <n v="1"/>
    <s v="01.11.80.302.6100.0000"/>
    <n v="6.86"/>
    <s v="11"/>
    <s v="6100"/>
    <n v="2797.09"/>
    <n v="6.86"/>
    <s v="CREDITOR"/>
    <n v="0"/>
    <n v="0"/>
    <n v="0"/>
    <n v="0"/>
    <n v="6.86"/>
  </r>
  <r>
    <n v="59913492"/>
    <s v="N"/>
    <n v="21349994"/>
    <s v="3000014257360012"/>
    <s v="CIVIL"/>
    <d v="2023-06-30T00:00:00"/>
    <d v="2023-07-10T19:01:40"/>
    <m/>
    <d v="2023-07-10T00:00:00"/>
    <n v="1339"/>
    <n v="14314"/>
    <s v="59913492"/>
    <s v="59913492"/>
    <m/>
    <m/>
    <n v="22800744"/>
    <m/>
    <m/>
    <m/>
    <s v="SOLFIN"/>
    <s v="SOLFIN"/>
    <s v="CCMS"/>
    <n v="21349994"/>
    <n v="3703.78"/>
    <m/>
    <s v="N"/>
    <n v="65"/>
    <d v="2023-07-10T19:02:08"/>
    <s v="Y"/>
    <s v="Preparation - other"/>
    <s v="Prescribed Hourly Rates"/>
    <s v="Profit Cost"/>
    <s v="JEB"/>
    <s v="Y"/>
    <n v="10.98"/>
    <n v="2.2"/>
    <x v="2"/>
    <s v="VALIDATED"/>
    <n v="1"/>
    <s v="01.11.80.302.6100.0000"/>
    <n v="10.98"/>
    <s v="11"/>
    <s v="6100"/>
    <n v="2797.09"/>
    <n v="10.98"/>
    <s v="CREDITOR"/>
    <n v="0"/>
    <n v="0"/>
    <n v="0"/>
    <n v="0"/>
    <n v="10.98"/>
  </r>
  <r>
    <n v="60937315"/>
    <s v="N"/>
    <n v="21338315"/>
    <s v="3000015153840010"/>
    <s v="CIVIL"/>
    <d v="2023-06-27T00:00:00"/>
    <d v="2023-07-06T19:21:01"/>
    <m/>
    <d v="2023-07-06T00:00:00"/>
    <n v="1339"/>
    <n v="14314"/>
    <s v="60937315"/>
    <s v="60937315"/>
    <m/>
    <m/>
    <n v="22773572"/>
    <m/>
    <m/>
    <m/>
    <s v="SOLFIN"/>
    <s v="SOLFIN"/>
    <s v="CCMS"/>
    <n v="21338315"/>
    <n v="6159.62"/>
    <m/>
    <s v="N"/>
    <n v="1"/>
    <d v="2023-07-06T19:21:18"/>
    <s v="Y"/>
    <s v="Interim Hearing Court Bundle/Advoca"/>
    <s v="Public Law Children"/>
    <s v="Advocacy"/>
    <s v="BB"/>
    <s v="Y"/>
    <n v="89.09999999999999"/>
    <n v="17.82"/>
    <x v="4"/>
    <s v="VALIDATED"/>
    <n v="1"/>
    <s v="01.11.80.308.6100.0000"/>
    <n v="89.09999999999999"/>
    <s v="11"/>
    <s v="6100"/>
    <n v="2797.09"/>
    <n v="89.09999999999999"/>
    <s v="CREDITOR"/>
    <n v="0"/>
    <n v="0"/>
    <n v="0"/>
    <n v="0"/>
    <n v="89.09999999999999"/>
  </r>
  <r>
    <n v="59825089"/>
    <s v="N"/>
    <n v="21338284"/>
    <s v="3000014136560016"/>
    <s v="CIVIL"/>
    <d v="2023-06-28T00:00:00"/>
    <d v="2023-07-06T19:21:01"/>
    <m/>
    <d v="2023-07-06T00:00:00"/>
    <n v="1339"/>
    <n v="14314"/>
    <s v="59825089"/>
    <s v="59825089"/>
    <m/>
    <m/>
    <n v="22781486"/>
    <m/>
    <m/>
    <m/>
    <s v="SOLINT"/>
    <s v="SOLINT"/>
    <s v="CCMS"/>
    <n v="21338284"/>
    <n v="6837.19"/>
    <m/>
    <s v="N"/>
    <n v="71"/>
    <d v="2023-07-06T19:21:17"/>
    <s v="Y"/>
    <s v="Preparation - other"/>
    <s v="Prescribed Hourly Rates"/>
    <s v="Profit Cost"/>
    <s v="PH"/>
    <s v="Y"/>
    <n v="21.96"/>
    <n v="4.39"/>
    <x v="4"/>
    <s v="VALIDATED"/>
    <n v="1"/>
    <s v="01.11.80.307.6100.0000"/>
    <n v="21.96"/>
    <s v="11"/>
    <s v="6100"/>
    <n v="2797.09"/>
    <n v="21.96"/>
    <s v="CREDITOR"/>
    <n v="0"/>
    <n v="0"/>
    <n v="0"/>
    <n v="0"/>
    <n v="21.96"/>
  </r>
  <r>
    <n v="59825089"/>
    <s v="N"/>
    <n v="21338284"/>
    <s v="3000014136560016"/>
    <s v="CIVIL"/>
    <d v="2023-06-28T00:00:00"/>
    <d v="2023-07-06T19:21:01"/>
    <m/>
    <d v="2023-07-06T00:00:00"/>
    <n v="1339"/>
    <n v="14314"/>
    <s v="59825089"/>
    <s v="59825089"/>
    <m/>
    <m/>
    <n v="22781486"/>
    <m/>
    <m/>
    <m/>
    <s v="SOLINT"/>
    <s v="SOLINT"/>
    <s v="CCMS"/>
    <n v="21338284"/>
    <n v="6837.19"/>
    <m/>
    <s v="N"/>
    <n v="87"/>
    <d v="2023-07-06T19:21:17"/>
    <s v="Y"/>
    <s v="Preparation - other"/>
    <s v="Prescribed Hourly Rates"/>
    <s v="Profit Cost"/>
    <s v="GMK"/>
    <s v="Y"/>
    <n v="31.57"/>
    <n v="6.31"/>
    <x v="4"/>
    <s v="VALIDATED"/>
    <n v="1"/>
    <s v="01.11.80.307.6100.0000"/>
    <n v="31.57"/>
    <s v="11"/>
    <s v="6100"/>
    <n v="2797.09"/>
    <n v="31.57"/>
    <s v="CREDITOR"/>
    <n v="0"/>
    <n v="0"/>
    <n v="0"/>
    <n v="0"/>
    <n v="31.57"/>
  </r>
  <r>
    <n v="59913492"/>
    <s v="N"/>
    <n v="21349994"/>
    <s v="3000014257360012"/>
    <s v="CIVIL"/>
    <d v="2023-06-30T00:00:00"/>
    <d v="2023-07-10T19:01:40"/>
    <m/>
    <d v="2023-07-10T00:00:00"/>
    <n v="1339"/>
    <n v="14314"/>
    <s v="59913492"/>
    <s v="59913492"/>
    <m/>
    <m/>
    <n v="22800744"/>
    <m/>
    <m/>
    <m/>
    <s v="SOLFIN"/>
    <s v="SOLFIN"/>
    <s v="CCMS"/>
    <n v="21349994"/>
    <n v="3703.78"/>
    <m/>
    <s v="N"/>
    <n v="23"/>
    <d v="2023-07-10T19:02:08"/>
    <s v="Y"/>
    <s v="Preparation - other"/>
    <s v="Prescribed Hourly Rates"/>
    <s v="Profit Cost"/>
    <s v="JEB(25%)"/>
    <s v="Y"/>
    <n v="41.18"/>
    <n v="8.24"/>
    <x v="2"/>
    <s v="VALIDATED"/>
    <n v="1"/>
    <s v="01.11.80.302.6100.0000"/>
    <n v="41.18"/>
    <s v="11"/>
    <s v="6100"/>
    <n v="2797.09"/>
    <n v="41.18"/>
    <s v="CREDITOR"/>
    <n v="0"/>
    <n v="0"/>
    <n v="0"/>
    <n v="0"/>
    <n v="41.18"/>
  </r>
  <r>
    <n v="59913492"/>
    <s v="N"/>
    <n v="21349994"/>
    <s v="3000014257360012"/>
    <s v="CIVIL"/>
    <d v="2023-06-30T00:00:00"/>
    <d v="2023-07-10T19:01:40"/>
    <m/>
    <d v="2023-07-10T00:00:00"/>
    <n v="1339"/>
    <n v="14314"/>
    <s v="59913492"/>
    <s v="59913492"/>
    <m/>
    <m/>
    <n v="22800744"/>
    <m/>
    <m/>
    <m/>
    <s v="SOLFIN"/>
    <s v="SOLFIN"/>
    <s v="CCMS"/>
    <n v="21349994"/>
    <n v="3703.78"/>
    <m/>
    <s v="N"/>
    <n v="29"/>
    <d v="2023-07-10T19:02:08"/>
    <s v="Y"/>
    <s v="Preparation - other"/>
    <s v="Prescribed Hourly Rates"/>
    <s v="Profit Cost"/>
    <s v="JEB"/>
    <s v="Y"/>
    <n v="10.98"/>
    <n v="2.2"/>
    <x v="2"/>
    <s v="VALIDATED"/>
    <n v="1"/>
    <s v="01.11.80.302.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33"/>
    <d v="2023-07-10T19:02:08"/>
    <s v="Y"/>
    <s v="Preparation - drafting statement"/>
    <s v="Prescribed Hourly Rates"/>
    <s v="Profit Cost"/>
    <s v="JEB(25%)"/>
    <s v="Y"/>
    <n v="82.34999999999999"/>
    <n v="16.47"/>
    <x v="2"/>
    <s v="VALIDATED"/>
    <n v="1"/>
    <s v="01.11.80.302.6100.0000"/>
    <n v="82.34999999999999"/>
    <s v="11"/>
    <s v="6100"/>
    <n v="2797.09"/>
    <n v="82.34999999999999"/>
    <s v="CREDITOR"/>
    <n v="0"/>
    <n v="0"/>
    <n v="0"/>
    <n v="0"/>
    <n v="82.34999999999999"/>
  </r>
  <r>
    <n v="59825089"/>
    <s v="N"/>
    <n v="21338284"/>
    <s v="3000014136560016"/>
    <s v="CIVIL"/>
    <d v="2023-06-28T00:00:00"/>
    <d v="2023-07-06T19:21:01"/>
    <m/>
    <d v="2023-07-06T00:00:00"/>
    <n v="1339"/>
    <n v="14314"/>
    <s v="59825089"/>
    <s v="59825089"/>
    <m/>
    <m/>
    <n v="22781486"/>
    <m/>
    <m/>
    <m/>
    <s v="SOLINT"/>
    <s v="SOLINT"/>
    <s v="CCMS"/>
    <n v="21338284"/>
    <n v="6837.19"/>
    <m/>
    <s v="N"/>
    <n v="57"/>
    <d v="2023-07-06T19:21:17"/>
    <s v="Y"/>
    <s v="Preparation - other"/>
    <s v="Prescribed Hourly Rates"/>
    <s v="Profit Cost"/>
    <s v="GMK"/>
    <s v="Y"/>
    <n v="18.94"/>
    <n v="3.79"/>
    <x v="4"/>
    <s v="VALIDATED"/>
    <n v="1"/>
    <s v="01.11.80.307.6100.0000"/>
    <n v="18.94"/>
    <s v="11"/>
    <s v="6100"/>
    <n v="2797.09"/>
    <n v="18.94"/>
    <s v="CREDITOR"/>
    <n v="0"/>
    <n v="0"/>
    <n v="0"/>
    <n v="0"/>
    <n v="18.94"/>
  </r>
  <r>
    <n v="59825089"/>
    <s v="N"/>
    <n v="21338284"/>
    <s v="3000014136560016"/>
    <s v="CIVIL"/>
    <d v="2023-06-28T00:00:00"/>
    <d v="2023-07-06T19:21:01"/>
    <m/>
    <d v="2023-07-06T00:00:00"/>
    <n v="1339"/>
    <n v="14314"/>
    <s v="59825089"/>
    <s v="59825089"/>
    <m/>
    <m/>
    <n v="22781486"/>
    <m/>
    <m/>
    <m/>
    <s v="SOLINT"/>
    <s v="SOLINT"/>
    <s v="CCMS"/>
    <n v="21338284"/>
    <n v="6837.19"/>
    <m/>
    <s v="N"/>
    <n v="5"/>
    <d v="2023-07-06T19:21:17"/>
    <s v="Y"/>
    <s v="Report - Welfare report"/>
    <s v="Prescribed Hourly Rates"/>
    <s v="Profit Cost"/>
    <s v="GMK"/>
    <s v="Y"/>
    <n v="31.57"/>
    <n v="6.31"/>
    <x v="4"/>
    <s v="VALIDATED"/>
    <n v="1"/>
    <s v="01.11.80.307.6100.0000"/>
    <n v="31.57"/>
    <s v="11"/>
    <s v="6100"/>
    <n v="2797.09"/>
    <n v="31.57"/>
    <s v="CREDITOR"/>
    <n v="0"/>
    <n v="0"/>
    <n v="0"/>
    <n v="0"/>
    <n v="31.57"/>
  </r>
  <r>
    <n v="59825089"/>
    <s v="N"/>
    <n v="21338284"/>
    <s v="3000014136560016"/>
    <s v="CIVIL"/>
    <d v="2023-06-28T00:00:00"/>
    <d v="2023-07-06T19:21:01"/>
    <m/>
    <d v="2023-07-06T00:00:00"/>
    <n v="1339"/>
    <n v="14314"/>
    <s v="59825089"/>
    <s v="59825089"/>
    <m/>
    <m/>
    <n v="22781486"/>
    <m/>
    <m/>
    <m/>
    <s v="SOLINT"/>
    <s v="SOLINT"/>
    <s v="CCMS"/>
    <n v="21338284"/>
    <n v="6837.19"/>
    <m/>
    <s v="N"/>
    <n v="7"/>
    <d v="2023-07-06T19:21:17"/>
    <s v="Y"/>
    <s v="Preparation - other"/>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112"/>
    <d v="2023-07-06T19:21:17"/>
    <s v="Y"/>
    <s v="Court Fee"/>
    <s v="Prescribed Hourly Rates"/>
    <s v="Non Expert Disbursement"/>
    <s v="GMK"/>
    <s v="Y"/>
    <n v="167"/>
    <n v="0"/>
    <x v="4"/>
    <s v="VALIDATED"/>
    <n v="1"/>
    <s v="01.11.80.307.6300.0000"/>
    <n v="167"/>
    <s v="11"/>
    <s v="6300"/>
    <n v="2797.09"/>
    <n v="167"/>
    <s v="CREDITOR"/>
    <n v="0"/>
    <n v="0"/>
    <n v="0"/>
    <n v="0"/>
    <n v="167"/>
  </r>
  <r>
    <n v="59825089"/>
    <s v="N"/>
    <n v="21338284"/>
    <s v="3000014136560016"/>
    <s v="CIVIL"/>
    <d v="2023-06-28T00:00:00"/>
    <d v="2023-07-06T19:21:01"/>
    <m/>
    <d v="2023-07-06T00:00:00"/>
    <n v="1339"/>
    <n v="14314"/>
    <s v="59825089"/>
    <s v="59825089"/>
    <m/>
    <m/>
    <n v="22781486"/>
    <m/>
    <m/>
    <m/>
    <s v="SOLINT"/>
    <s v="SOLINT"/>
    <s v="CCMS"/>
    <n v="21338284"/>
    <n v="6837.19"/>
    <m/>
    <s v="N"/>
    <n v="48"/>
    <d v="2023-07-06T19:21:17"/>
    <s v="Y"/>
    <s v="Preparation - drafting statement"/>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49"/>
    <d v="2023-07-06T19:21:17"/>
    <s v="Y"/>
    <s v="Preparation - drafting attendance n"/>
    <s v="Prescribed Hourly Rates"/>
    <s v="Profit Cost"/>
    <s v="PH"/>
    <s v="Y"/>
    <n v="5.49"/>
    <n v="1.1"/>
    <x v="4"/>
    <s v="VALIDATED"/>
    <n v="1"/>
    <s v="01.11.80.307.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69"/>
    <d v="2023-07-10T19:02:08"/>
    <s v="Y"/>
    <s v="Preparation - other"/>
    <s v="Prescribed Hourly Rates"/>
    <s v="Profit Cost"/>
    <s v="JEB"/>
    <s v="Y"/>
    <n v="16.47"/>
    <n v="3.29"/>
    <x v="2"/>
    <s v="VALIDATED"/>
    <n v="1"/>
    <s v="01.11.80.302.6100.0000"/>
    <n v="16.47"/>
    <s v="11"/>
    <s v="6100"/>
    <n v="2797.09"/>
    <n v="16.47"/>
    <s v="CREDITOR"/>
    <n v="0"/>
    <n v="0"/>
    <n v="0"/>
    <n v="0"/>
    <n v="16.47"/>
  </r>
  <r>
    <n v="59825089"/>
    <s v="N"/>
    <n v="21338284"/>
    <s v="3000014136560016"/>
    <s v="CIVIL"/>
    <d v="2023-06-28T00:00:00"/>
    <d v="2023-07-06T19:21:01"/>
    <m/>
    <d v="2023-07-06T00:00:00"/>
    <n v="1339"/>
    <n v="14314"/>
    <s v="59825089"/>
    <s v="59825089"/>
    <m/>
    <m/>
    <n v="22781486"/>
    <m/>
    <m/>
    <m/>
    <s v="SOLINT"/>
    <s v="SOLINT"/>
    <s v="CCMS"/>
    <n v="21338284"/>
    <n v="6837.19"/>
    <m/>
    <s v="N"/>
    <n v="61"/>
    <d v="2023-07-06T19:21:17"/>
    <s v="Y"/>
    <s v="Report - other"/>
    <s v="Prescribed Hourly Rates"/>
    <s v="Profit Cost"/>
    <s v="GMK"/>
    <s v="Y"/>
    <n v="63.14"/>
    <n v="12.63"/>
    <x v="4"/>
    <s v="VALIDATED"/>
    <n v="1"/>
    <s v="01.11.80.307.6100.0000"/>
    <n v="63.14"/>
    <s v="11"/>
    <s v="6100"/>
    <n v="2797.09"/>
    <n v="63.14"/>
    <s v="CREDITOR"/>
    <n v="0"/>
    <n v="0"/>
    <n v="0"/>
    <n v="0"/>
    <n v="63.14"/>
  </r>
  <r>
    <n v="59913492"/>
    <s v="N"/>
    <n v="21349994"/>
    <s v="3000014257360012"/>
    <s v="CIVIL"/>
    <d v="2023-06-30T00:00:00"/>
    <d v="2023-07-10T19:01:40"/>
    <m/>
    <d v="2023-07-10T00:00:00"/>
    <n v="1339"/>
    <n v="14314"/>
    <s v="59913492"/>
    <s v="59913492"/>
    <m/>
    <m/>
    <n v="22800744"/>
    <m/>
    <m/>
    <m/>
    <s v="SOLFIN"/>
    <s v="SOLFIN"/>
    <s v="CCMS"/>
    <n v="21349994"/>
    <n v="3703.78"/>
    <m/>
    <s v="N"/>
    <n v="24"/>
    <d v="2023-07-10T19:02:08"/>
    <s v="Y"/>
    <s v="Preparation - other"/>
    <s v="Prescribed Hourly Rates"/>
    <s v="Profit Cost"/>
    <s v="JEB(25%)"/>
    <s v="Y"/>
    <n v="34.31"/>
    <n v="6.86"/>
    <x v="2"/>
    <s v="VALIDATED"/>
    <n v="1"/>
    <s v="01.11.80.302.6100.0000"/>
    <n v="34.31"/>
    <s v="11"/>
    <s v="6100"/>
    <n v="2797.09"/>
    <n v="34.31"/>
    <s v="CREDITOR"/>
    <n v="0"/>
    <n v="0"/>
    <n v="0"/>
    <n v="0"/>
    <n v="34.31"/>
  </r>
  <r>
    <n v="59825089"/>
    <s v="N"/>
    <n v="21338284"/>
    <s v="3000014136560016"/>
    <s v="CIVIL"/>
    <d v="2023-06-28T00:00:00"/>
    <d v="2023-07-06T19:21:01"/>
    <m/>
    <d v="2023-07-06T00:00:00"/>
    <n v="1339"/>
    <n v="14314"/>
    <s v="59825089"/>
    <s v="59825089"/>
    <m/>
    <m/>
    <n v="22781486"/>
    <m/>
    <m/>
    <m/>
    <s v="SOLINT"/>
    <s v="SOLINT"/>
    <s v="CCMS"/>
    <n v="21338284"/>
    <n v="6837.19"/>
    <m/>
    <s v="N"/>
    <n v="78"/>
    <d v="2023-07-06T19:21:17"/>
    <s v="Y"/>
    <s v="Preparation - other"/>
    <s v="Prescribed Hourly Rates"/>
    <s v="Profit Cost"/>
    <s v="GMK"/>
    <s v="Y"/>
    <n v="18.94"/>
    <n v="3.79"/>
    <x v="4"/>
    <s v="VALIDATED"/>
    <n v="1"/>
    <s v="01.11.80.307.6100.0000"/>
    <n v="18.94"/>
    <s v="11"/>
    <s v="6100"/>
    <n v="2797.09"/>
    <n v="18.94"/>
    <s v="CREDITOR"/>
    <n v="0"/>
    <n v="0"/>
    <n v="0"/>
    <n v="0"/>
    <n v="18.94"/>
  </r>
  <r>
    <n v="59825089"/>
    <s v="N"/>
    <n v="21338284"/>
    <s v="3000014136560016"/>
    <s v="CIVIL"/>
    <d v="2023-06-28T00:00:00"/>
    <d v="2023-07-06T19:21:01"/>
    <m/>
    <d v="2023-07-06T00:00:00"/>
    <n v="1339"/>
    <n v="14314"/>
    <s v="59825089"/>
    <s v="59825089"/>
    <m/>
    <m/>
    <n v="22781486"/>
    <m/>
    <m/>
    <m/>
    <s v="SOLINT"/>
    <s v="SOLINT"/>
    <s v="CCMS"/>
    <n v="21338284"/>
    <n v="6837.19"/>
    <m/>
    <s v="N"/>
    <n v="22"/>
    <d v="2023-07-06T19:21:17"/>
    <s v="Y"/>
    <s v="Preparation - drafting attendance n"/>
    <s v="Prescribed Hourly Rates"/>
    <s v="Profit Cost"/>
    <s v="PH"/>
    <s v="Y"/>
    <n v="5.49"/>
    <n v="1.1"/>
    <x v="4"/>
    <s v="VALIDATED"/>
    <n v="1"/>
    <s v="01.11.80.307.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13"/>
    <d v="2023-07-10T19:02:08"/>
    <s v="Y"/>
    <s v="Preparation - other"/>
    <s v="Prescribed Hourly Rates"/>
    <s v="Profit Cost"/>
    <s v="AJ(25%)"/>
    <s v="Y"/>
    <n v="6.86"/>
    <n v="1.37"/>
    <x v="2"/>
    <s v="VALIDATED"/>
    <n v="1"/>
    <s v="01.11.80.302.6100.0000"/>
    <n v="6.86"/>
    <s v="11"/>
    <s v="6100"/>
    <n v="2797.09"/>
    <n v="6.86"/>
    <s v="CREDITOR"/>
    <n v="0"/>
    <n v="0"/>
    <n v="0"/>
    <n v="0"/>
    <n v="6.86"/>
  </r>
  <r>
    <n v="59825089"/>
    <s v="N"/>
    <n v="21338284"/>
    <s v="3000014136560016"/>
    <s v="CIVIL"/>
    <d v="2023-06-28T00:00:00"/>
    <d v="2023-07-06T19:21:01"/>
    <m/>
    <d v="2023-07-06T00:00:00"/>
    <n v="1339"/>
    <n v="14314"/>
    <s v="59825089"/>
    <s v="59825089"/>
    <m/>
    <m/>
    <n v="22781486"/>
    <m/>
    <m/>
    <m/>
    <s v="SOLINT"/>
    <s v="SOLINT"/>
    <s v="CCMS"/>
    <n v="21338284"/>
    <n v="6837.19"/>
    <m/>
    <s v="N"/>
    <n v="34"/>
    <d v="2023-07-06T19:21:17"/>
    <s v="Y"/>
    <s v="Attendance upon client"/>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64"/>
    <d v="2023-07-06T19:21:17"/>
    <s v="Y"/>
    <s v="Preparation - drafting statement"/>
    <s v="Prescribed Hourly Rates"/>
    <s v="Profit Cost"/>
    <s v="GMK"/>
    <s v="Y"/>
    <n v="63.14"/>
    <n v="12.63"/>
    <x v="4"/>
    <s v="VALIDATED"/>
    <n v="1"/>
    <s v="01.11.80.307.6100.0000"/>
    <n v="63.14"/>
    <s v="11"/>
    <s v="6100"/>
    <n v="2797.09"/>
    <n v="63.14"/>
    <s v="CREDITOR"/>
    <n v="0"/>
    <n v="0"/>
    <n v="0"/>
    <n v="0"/>
    <n v="63.14"/>
  </r>
  <r>
    <n v="59825089"/>
    <s v="N"/>
    <n v="21338284"/>
    <s v="3000014136560016"/>
    <s v="CIVIL"/>
    <d v="2023-06-28T00:00:00"/>
    <d v="2023-07-06T19:21:01"/>
    <m/>
    <d v="2023-07-06T00:00:00"/>
    <n v="1339"/>
    <n v="14314"/>
    <s v="59825089"/>
    <s v="59825089"/>
    <m/>
    <m/>
    <n v="22781486"/>
    <m/>
    <m/>
    <m/>
    <s v="SOLINT"/>
    <s v="SOLINT"/>
    <s v="CCMS"/>
    <n v="21338284"/>
    <n v="6837.19"/>
    <m/>
    <s v="N"/>
    <n v="2"/>
    <d v="2023-07-06T19:21:17"/>
    <s v="Y"/>
    <s v="Preparation - drafting pleadings"/>
    <s v="Prescribed Hourly Rates"/>
    <s v="Profit Cost"/>
    <s v="GMK"/>
    <s v="Y"/>
    <n v="44.19"/>
    <n v="8.84"/>
    <x v="4"/>
    <s v="VALIDATED"/>
    <n v="1"/>
    <s v="01.11.80.307.6100.0000"/>
    <n v="44.19"/>
    <s v="11"/>
    <s v="6100"/>
    <n v="2797.09"/>
    <n v="44.19"/>
    <s v="CREDITOR"/>
    <n v="0"/>
    <n v="0"/>
    <n v="0"/>
    <n v="0"/>
    <n v="44.19"/>
  </r>
  <r>
    <n v="59825089"/>
    <s v="N"/>
    <n v="21338284"/>
    <s v="3000014136560016"/>
    <s v="CIVIL"/>
    <d v="2023-06-28T00:00:00"/>
    <d v="2023-07-06T19:21:01"/>
    <m/>
    <d v="2023-07-06T00:00:00"/>
    <n v="1339"/>
    <n v="14314"/>
    <s v="59825089"/>
    <s v="59825089"/>
    <m/>
    <m/>
    <n v="22781486"/>
    <m/>
    <m/>
    <m/>
    <s v="SOLINT"/>
    <s v="SOLINT"/>
    <s v="CCMS"/>
    <n v="21338284"/>
    <n v="6837.19"/>
    <m/>
    <s v="N"/>
    <n v="28"/>
    <d v="2023-07-06T19:21:17"/>
    <s v="Y"/>
    <s v="Attendance upon client"/>
    <s v="Prescribed Hourly Rates"/>
    <s v="Profit Cost"/>
    <s v="GMK"/>
    <s v="Y"/>
    <n v="56.82"/>
    <n v="11.37"/>
    <x v="4"/>
    <s v="VALIDATED"/>
    <n v="1"/>
    <s v="01.11.80.307.6100.0000"/>
    <n v="56.82"/>
    <s v="11"/>
    <s v="6100"/>
    <n v="2797.09"/>
    <n v="56.82"/>
    <s v="CREDITOR"/>
    <n v="0"/>
    <n v="0"/>
    <n v="0"/>
    <n v="0"/>
    <n v="56.82"/>
  </r>
  <r>
    <n v="59913492"/>
    <s v="N"/>
    <n v="21349994"/>
    <s v="3000014257360012"/>
    <s v="CIVIL"/>
    <d v="2023-06-30T00:00:00"/>
    <d v="2023-07-10T19:01:40"/>
    <m/>
    <d v="2023-07-10T00:00:00"/>
    <n v="1339"/>
    <n v="14314"/>
    <s v="59913492"/>
    <s v="59913492"/>
    <m/>
    <m/>
    <n v="22800744"/>
    <m/>
    <m/>
    <m/>
    <s v="SOLFIN"/>
    <s v="SOLFIN"/>
    <s v="CCMS"/>
    <n v="21349994"/>
    <n v="3703.78"/>
    <m/>
    <s v="N"/>
    <n v="48"/>
    <d v="2023-07-10T19:02:08"/>
    <s v="Y"/>
    <s v="Preparation - other"/>
    <s v="Prescribed Hourly Rates"/>
    <s v="Profit Cost"/>
    <s v="JEB(25%)"/>
    <s v="Y"/>
    <n v="13.73"/>
    <n v="2.75"/>
    <x v="2"/>
    <s v="VALIDATED"/>
    <n v="1"/>
    <s v="01.11.80.302.6100.0000"/>
    <n v="13.73"/>
    <s v="11"/>
    <s v="6100"/>
    <n v="2797.09"/>
    <n v="13.73"/>
    <s v="CREDITOR"/>
    <n v="0"/>
    <n v="0"/>
    <n v="0"/>
    <n v="0"/>
    <n v="13.73"/>
  </r>
  <r>
    <n v="59913492"/>
    <s v="N"/>
    <n v="21349994"/>
    <s v="3000014257360012"/>
    <s v="CIVIL"/>
    <d v="2023-06-30T00:00:00"/>
    <d v="2023-07-10T19:01:40"/>
    <m/>
    <d v="2023-07-10T00:00:00"/>
    <n v="1339"/>
    <n v="14314"/>
    <s v="59913492"/>
    <s v="59913492"/>
    <m/>
    <m/>
    <n v="22800744"/>
    <m/>
    <m/>
    <m/>
    <s v="SOLFIN"/>
    <s v="SOLFIN"/>
    <s v="CCMS"/>
    <n v="21349994"/>
    <n v="3703.78"/>
    <m/>
    <s v="N"/>
    <n v="51"/>
    <d v="2023-07-10T19:02:08"/>
    <s v="Y"/>
    <s v="Preparation - other"/>
    <s v="Prescribed Hourly Rates"/>
    <s v="Profit Cost"/>
    <s v="JEB(25%)"/>
    <s v="Y"/>
    <n v="27.45"/>
    <n v="5.49"/>
    <x v="2"/>
    <s v="VALIDATED"/>
    <n v="1"/>
    <s v="01.11.80.302.6100.0000"/>
    <n v="27.45"/>
    <s v="11"/>
    <s v="6100"/>
    <n v="2797.09"/>
    <n v="27.45"/>
    <s v="CREDITOR"/>
    <n v="0"/>
    <n v="0"/>
    <n v="0"/>
    <n v="0"/>
    <n v="27.45"/>
  </r>
  <r>
    <n v="59913492"/>
    <s v="N"/>
    <n v="21349994"/>
    <s v="3000014257360012"/>
    <s v="CIVIL"/>
    <d v="2023-06-30T00:00:00"/>
    <d v="2023-07-10T19:01:40"/>
    <m/>
    <d v="2023-07-10T00:00:00"/>
    <n v="1339"/>
    <n v="14314"/>
    <s v="59913492"/>
    <s v="59913492"/>
    <m/>
    <m/>
    <n v="22800744"/>
    <m/>
    <m/>
    <m/>
    <s v="SOLFIN"/>
    <s v="SOLFIN"/>
    <s v="CCMS"/>
    <n v="21349994"/>
    <n v="3703.78"/>
    <m/>
    <s v="N"/>
    <n v="72"/>
    <d v="2023-07-10T19:02:08"/>
    <s v="Y"/>
    <s v="Routine Letter In"/>
    <s v="Prescribed Hourly Rates"/>
    <s v="Profit Cost"/>
    <s v="CL"/>
    <s v="Y"/>
    <n v="399.6"/>
    <n v="79.94"/>
    <x v="2"/>
    <s v="VALIDATED"/>
    <n v="1"/>
    <s v="01.11.80.302.6100.0000"/>
    <n v="399.6"/>
    <s v="11"/>
    <s v="6100"/>
    <n v="2797.09"/>
    <n v="399.6"/>
    <s v="CREDITOR"/>
    <n v="0"/>
    <n v="0"/>
    <n v="0"/>
    <n v="0"/>
    <n v="399.6"/>
  </r>
  <r>
    <n v="59825089"/>
    <s v="N"/>
    <n v="21338284"/>
    <s v="3000014136560016"/>
    <s v="CIVIL"/>
    <d v="2023-06-28T00:00:00"/>
    <d v="2023-07-06T19:21:01"/>
    <m/>
    <d v="2023-07-06T00:00:00"/>
    <n v="1339"/>
    <n v="14314"/>
    <s v="59825089"/>
    <s v="59825089"/>
    <m/>
    <m/>
    <n v="22781486"/>
    <m/>
    <m/>
    <m/>
    <s v="SOLINT"/>
    <s v="SOLINT"/>
    <s v="CCMS"/>
    <n v="21338284"/>
    <n v="6837.19"/>
    <m/>
    <s v="N"/>
    <n v="79"/>
    <d v="2023-07-06T19:21:17"/>
    <s v="Y"/>
    <s v="Preparation - drafting instructions"/>
    <s v="Prescribed Hourly Rates"/>
    <s v="Profit Cost"/>
    <s v="GMK"/>
    <s v="Y"/>
    <n v="63.14"/>
    <n v="12.63"/>
    <x v="4"/>
    <s v="VALIDATED"/>
    <n v="1"/>
    <s v="01.11.80.307.6100.0000"/>
    <n v="63.14"/>
    <s v="11"/>
    <s v="6100"/>
    <n v="2797.09"/>
    <n v="63.14"/>
    <s v="CREDITOR"/>
    <n v="0"/>
    <n v="0"/>
    <n v="0"/>
    <n v="0"/>
    <n v="63.14"/>
  </r>
  <r>
    <n v="59825089"/>
    <s v="N"/>
    <n v="21338284"/>
    <s v="3000014136560016"/>
    <s v="CIVIL"/>
    <d v="2023-06-28T00:00:00"/>
    <d v="2023-07-06T19:21:01"/>
    <m/>
    <d v="2023-07-06T00:00:00"/>
    <n v="1339"/>
    <n v="14314"/>
    <s v="59825089"/>
    <s v="59825089"/>
    <m/>
    <m/>
    <n v="22781486"/>
    <m/>
    <m/>
    <m/>
    <s v="SOLINT"/>
    <s v="SOLINT"/>
    <s v="CCMS"/>
    <n v="21338284"/>
    <n v="6837.19"/>
    <m/>
    <s v="N"/>
    <n v="15"/>
    <d v="2023-07-06T19:21:17"/>
    <s v="Y"/>
    <s v="Preparation - other"/>
    <s v="Prescribed Hourly Rates"/>
    <s v="Profit Cost"/>
    <s v="PH"/>
    <s v="Y"/>
    <n v="5.49"/>
    <n v="1.1"/>
    <x v="4"/>
    <s v="VALIDATED"/>
    <n v="1"/>
    <s v="01.11.80.307.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57"/>
    <d v="2023-07-10T19:02:08"/>
    <s v="Y"/>
    <s v="Attendance upon/with Counsel at Con"/>
    <s v="Prescribed Hourly Rates"/>
    <s v="Profit Cost"/>
    <s v="JEB"/>
    <s v="Y"/>
    <n v="6.48"/>
    <n v="1.3"/>
    <x v="2"/>
    <s v="VALIDATED"/>
    <n v="1"/>
    <s v="01.11.80.302.6100.0000"/>
    <n v="6.48"/>
    <s v="11"/>
    <s v="6100"/>
    <n v="2797.09"/>
    <n v="6.48"/>
    <s v="CREDITOR"/>
    <n v="0"/>
    <n v="0"/>
    <n v="0"/>
    <n v="0"/>
    <n v="6.48"/>
  </r>
  <r>
    <n v="59825089"/>
    <s v="N"/>
    <n v="21338284"/>
    <s v="3000014136560016"/>
    <s v="CIVIL"/>
    <d v="2023-06-28T00:00:00"/>
    <d v="2023-07-06T19:21:01"/>
    <m/>
    <d v="2023-07-06T00:00:00"/>
    <n v="1339"/>
    <n v="14314"/>
    <s v="59825089"/>
    <s v="59825089"/>
    <m/>
    <m/>
    <n v="22781486"/>
    <m/>
    <m/>
    <m/>
    <s v="SOLINT"/>
    <s v="SOLINT"/>
    <s v="CCMS"/>
    <n v="21338284"/>
    <n v="6837.19"/>
    <m/>
    <s v="N"/>
    <n v="27"/>
    <d v="2023-07-06T19:21:17"/>
    <s v="Y"/>
    <s v="Attendance upon client"/>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98"/>
    <d v="2023-07-06T19:21:17"/>
    <s v="Y"/>
    <s v="Preparation - drafting attendance n"/>
    <s v="Prescribed Hourly Rates"/>
    <s v="Profit Cost"/>
    <s v="GMK"/>
    <s v="Y"/>
    <n v="6.31"/>
    <n v="1.26"/>
    <x v="4"/>
    <s v="VALIDATED"/>
    <n v="1"/>
    <s v="01.11.80.307.6100.0000"/>
    <n v="6.31"/>
    <s v="11"/>
    <s v="6100"/>
    <n v="2797.09"/>
    <n v="6.31"/>
    <s v="CREDITOR"/>
    <n v="0"/>
    <n v="0"/>
    <n v="0"/>
    <n v="0"/>
    <n v="6.31"/>
  </r>
  <r>
    <n v="59825089"/>
    <s v="N"/>
    <n v="21338284"/>
    <s v="3000014136560016"/>
    <s v="CIVIL"/>
    <d v="2023-06-28T00:00:00"/>
    <d v="2023-07-06T19:21:01"/>
    <m/>
    <d v="2023-07-06T00:00:00"/>
    <n v="1339"/>
    <n v="14314"/>
    <s v="59825089"/>
    <s v="59825089"/>
    <m/>
    <m/>
    <n v="22781486"/>
    <m/>
    <m/>
    <m/>
    <s v="SOLINT"/>
    <s v="SOLINT"/>
    <s v="CCMS"/>
    <n v="21338284"/>
    <n v="6837.19"/>
    <m/>
    <s v="N"/>
    <n v="111"/>
    <d v="2023-07-06T19:21:17"/>
    <s v="Y"/>
    <s v="Toxicologist"/>
    <s v="Prescribed Hourly Rates"/>
    <s v="Expert Disbursement"/>
    <s v="GMK"/>
    <s v="Y"/>
    <n v="335"/>
    <n v="67.01000000000001"/>
    <x v="4"/>
    <s v="VALIDATED"/>
    <n v="1"/>
    <s v="01.11.80.307.6300.0000"/>
    <n v="335"/>
    <s v="11"/>
    <s v="6300"/>
    <n v="2797.09"/>
    <n v="335"/>
    <s v="CREDITOR"/>
    <n v="0"/>
    <n v="0"/>
    <n v="0"/>
    <n v="0"/>
    <n v="335"/>
  </r>
  <r>
    <n v="59756040"/>
    <s v="N"/>
    <n v="21319177"/>
    <s v="3000014130760001"/>
    <s v="CIVIL"/>
    <d v="2023-06-26T00:00:00"/>
    <d v="2023-07-03T19:01:49"/>
    <m/>
    <d v="2023-07-03T00:00:00"/>
    <n v="1339"/>
    <n v="14314"/>
    <s v="59756040"/>
    <s v="59756040"/>
    <m/>
    <m/>
    <n v="22758688"/>
    <m/>
    <m/>
    <m/>
    <s v="SOLFIN"/>
    <s v="SOLFIN"/>
    <s v="CCMS"/>
    <n v="21319177"/>
    <n v="0"/>
    <m/>
    <s v="N"/>
    <n v="1"/>
    <d v="2023-07-03T19:02:14"/>
    <s v="N"/>
    <s v="NIL BILL"/>
    <s v="Prescribed Hourly Rates"/>
    <s v="Profit Cost"/>
    <s v="BB"/>
    <s v="N"/>
    <n v="0"/>
    <n v="0"/>
    <x v="3"/>
    <s v="VALIDATED"/>
    <n v="1"/>
    <s v="01.11.80.307.6100.0000"/>
    <n v="0"/>
    <s v="11"/>
    <s v="6100"/>
    <n v="2797.09"/>
    <n v="0"/>
    <s v="CREDITOR"/>
    <n v="0"/>
    <n v="0"/>
    <n v="0"/>
    <n v="0"/>
    <n v="0"/>
  </r>
  <r>
    <n v="59913492"/>
    <s v="N"/>
    <n v="21349994"/>
    <s v="3000014257360012"/>
    <s v="CIVIL"/>
    <d v="2023-06-30T00:00:00"/>
    <d v="2023-07-10T19:01:40"/>
    <m/>
    <d v="2023-07-10T00:00:00"/>
    <n v="1339"/>
    <n v="14314"/>
    <s v="59913492"/>
    <s v="59913492"/>
    <m/>
    <m/>
    <n v="22800744"/>
    <m/>
    <m/>
    <m/>
    <s v="SOLFIN"/>
    <s v="SOLFIN"/>
    <s v="CCMS"/>
    <n v="21349994"/>
    <n v="3703.78"/>
    <m/>
    <s v="N"/>
    <n v="22"/>
    <d v="2023-07-10T19:02:08"/>
    <s v="Y"/>
    <s v="Preparation - other"/>
    <s v="Prescribed Hourly Rates"/>
    <s v="Profit Cost"/>
    <s v="JEB(25%)"/>
    <s v="Y"/>
    <n v="20.59"/>
    <n v="4.12"/>
    <x v="2"/>
    <s v="VALIDATED"/>
    <n v="1"/>
    <s v="01.11.80.302.6100.0000"/>
    <n v="20.59"/>
    <s v="11"/>
    <s v="6100"/>
    <n v="2797.09"/>
    <n v="20.59"/>
    <s v="CREDITOR"/>
    <n v="0"/>
    <n v="0"/>
    <n v="0"/>
    <n v="0"/>
    <n v="20.59"/>
  </r>
  <r>
    <n v="59825089"/>
    <s v="N"/>
    <n v="21338284"/>
    <s v="3000014136560016"/>
    <s v="CIVIL"/>
    <d v="2023-06-28T00:00:00"/>
    <d v="2023-07-06T19:21:01"/>
    <m/>
    <d v="2023-07-06T00:00:00"/>
    <n v="1339"/>
    <n v="14314"/>
    <s v="59825089"/>
    <s v="59825089"/>
    <m/>
    <m/>
    <n v="22781486"/>
    <m/>
    <m/>
    <m/>
    <s v="SOLINT"/>
    <s v="SOLINT"/>
    <s v="CCMS"/>
    <n v="21338284"/>
    <n v="6837.19"/>
    <m/>
    <s v="N"/>
    <n v="30"/>
    <d v="2023-07-06T19:21:17"/>
    <s v="Y"/>
    <s v="Attendance upon client"/>
    <s v="Prescribed Hourly Rates"/>
    <s v="Profit Cost"/>
    <s v="GMK"/>
    <s v="Y"/>
    <n v="56.82"/>
    <n v="11.37"/>
    <x v="4"/>
    <s v="VALIDATED"/>
    <n v="1"/>
    <s v="01.11.80.307.6100.0000"/>
    <n v="56.82"/>
    <s v="11"/>
    <s v="6100"/>
    <n v="2797.09"/>
    <n v="56.82"/>
    <s v="CREDITOR"/>
    <n v="0"/>
    <n v="0"/>
    <n v="0"/>
    <n v="0"/>
    <n v="56.82"/>
  </r>
  <r>
    <n v="59913492"/>
    <s v="N"/>
    <n v="21349994"/>
    <s v="3000014257360012"/>
    <s v="CIVIL"/>
    <d v="2023-06-30T00:00:00"/>
    <d v="2023-07-10T19:01:40"/>
    <m/>
    <d v="2023-07-10T00:00:00"/>
    <n v="1339"/>
    <n v="14314"/>
    <s v="59913492"/>
    <s v="59913492"/>
    <m/>
    <m/>
    <n v="22800744"/>
    <m/>
    <m/>
    <m/>
    <s v="SOLFIN"/>
    <s v="SOLFIN"/>
    <s v="CCMS"/>
    <n v="21349994"/>
    <n v="3703.78"/>
    <m/>
    <s v="N"/>
    <n v="64"/>
    <d v="2023-07-10T19:02:08"/>
    <s v="Y"/>
    <s v="Preparation - other"/>
    <s v="Prescribed Hourly Rates"/>
    <s v="Profit Cost"/>
    <s v="JEB"/>
    <s v="Y"/>
    <n v="5.49"/>
    <n v="1.1"/>
    <x v="2"/>
    <s v="VALIDATED"/>
    <n v="1"/>
    <s v="01.11.80.302.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15"/>
    <d v="2023-07-10T19:02:08"/>
    <s v="Y"/>
    <s v="Preparation - drafting notice(s)"/>
    <s v="Prescribed Hourly Rates"/>
    <s v="Profit Cost"/>
    <s v="JEB"/>
    <s v="Y"/>
    <n v="5.49"/>
    <n v="1.1"/>
    <x v="2"/>
    <s v="VALIDATED"/>
    <n v="1"/>
    <s v="01.11.80.302.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35"/>
    <d v="2023-07-06T19:21:17"/>
    <s v="Y"/>
    <s v="Preparation - drafting attendance n"/>
    <s v="Prescribed Hourly Rates"/>
    <s v="Profit Cost"/>
    <s v="GMK"/>
    <s v="Y"/>
    <n v="6.31"/>
    <n v="1.26"/>
    <x v="4"/>
    <s v="VALIDATED"/>
    <n v="1"/>
    <s v="01.11.80.307.6100.0000"/>
    <n v="6.31"/>
    <s v="11"/>
    <s v="6100"/>
    <n v="2797.09"/>
    <n v="6.31"/>
    <s v="CREDITOR"/>
    <n v="0"/>
    <n v="0"/>
    <n v="0"/>
    <n v="0"/>
    <n v="6.31"/>
  </r>
  <r>
    <n v="59825089"/>
    <s v="N"/>
    <n v="21338284"/>
    <s v="3000014136560016"/>
    <s v="CIVIL"/>
    <d v="2023-06-28T00:00:00"/>
    <d v="2023-07-06T19:21:01"/>
    <m/>
    <d v="2023-07-06T00:00:00"/>
    <n v="1339"/>
    <n v="14314"/>
    <s v="59825089"/>
    <s v="59825089"/>
    <m/>
    <m/>
    <n v="22781486"/>
    <m/>
    <m/>
    <m/>
    <s v="SOLINT"/>
    <s v="SOLINT"/>
    <s v="CCMS"/>
    <n v="21338284"/>
    <n v="6837.19"/>
    <m/>
    <s v="N"/>
    <n v="59"/>
    <d v="2023-07-06T19:21:17"/>
    <s v="Y"/>
    <s v="Preparation - drafting statement"/>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105"/>
    <d v="2023-07-06T19:21:17"/>
    <s v="Y"/>
    <s v="Preparation - other"/>
    <s v="Prescribed Hourly Rates"/>
    <s v="Profit Cost"/>
    <s v="GMK"/>
    <s v="Y"/>
    <n v="18.94"/>
    <n v="3.79"/>
    <x v="4"/>
    <s v="VALIDATED"/>
    <n v="1"/>
    <s v="01.11.80.307.6100.0000"/>
    <n v="18.94"/>
    <s v="11"/>
    <s v="6100"/>
    <n v="2797.09"/>
    <n v="18.94"/>
    <s v="CREDITOR"/>
    <n v="0"/>
    <n v="0"/>
    <n v="0"/>
    <n v="0"/>
    <n v="18.94"/>
  </r>
  <r>
    <n v="59825089"/>
    <s v="N"/>
    <n v="21338284"/>
    <s v="3000014136560016"/>
    <s v="CIVIL"/>
    <d v="2023-06-28T00:00:00"/>
    <d v="2023-07-06T19:21:01"/>
    <m/>
    <d v="2023-07-06T00:00:00"/>
    <n v="1339"/>
    <n v="14314"/>
    <s v="59825089"/>
    <s v="59825089"/>
    <m/>
    <m/>
    <n v="22781486"/>
    <m/>
    <m/>
    <m/>
    <s v="SOLINT"/>
    <s v="SOLINT"/>
    <s v="CCMS"/>
    <n v="21338284"/>
    <n v="6837.19"/>
    <m/>
    <s v="N"/>
    <n v="6"/>
    <d v="2023-07-06T19:21:17"/>
    <s v="Y"/>
    <s v="Preparation - other"/>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110"/>
    <d v="2023-07-06T19:21:17"/>
    <s v="Y"/>
    <s v="Preparation - other"/>
    <s v="Prescribed Hourly Rates"/>
    <s v="Profit Cost"/>
    <s v="PH"/>
    <s v="Y"/>
    <n v="16.47"/>
    <n v="3.29"/>
    <x v="4"/>
    <s v="VALIDATED"/>
    <n v="1"/>
    <s v="01.11.80.307.6100.0000"/>
    <n v="16.47"/>
    <s v="11"/>
    <s v="6100"/>
    <n v="2797.09"/>
    <n v="16.47"/>
    <s v="CREDITOR"/>
    <n v="0"/>
    <n v="0"/>
    <n v="0"/>
    <n v="0"/>
    <n v="16.47"/>
  </r>
  <r>
    <n v="59825089"/>
    <s v="N"/>
    <n v="21338284"/>
    <s v="3000014136560016"/>
    <s v="CIVIL"/>
    <d v="2023-06-28T00:00:00"/>
    <d v="2023-07-06T19:21:01"/>
    <m/>
    <d v="2023-07-06T00:00:00"/>
    <n v="1339"/>
    <n v="14314"/>
    <s v="59825089"/>
    <s v="59825089"/>
    <m/>
    <m/>
    <n v="22781486"/>
    <m/>
    <m/>
    <m/>
    <s v="SOLINT"/>
    <s v="SOLINT"/>
    <s v="CCMS"/>
    <n v="21338284"/>
    <n v="6837.19"/>
    <m/>
    <s v="N"/>
    <n v="47"/>
    <d v="2023-07-06T19:21:17"/>
    <s v="Y"/>
    <s v="Preparation - drafting statement"/>
    <s v="Prescribed Hourly Rates"/>
    <s v="Profit Cost"/>
    <s v="GMK"/>
    <s v="Y"/>
    <n v="31.57"/>
    <n v="6.31"/>
    <x v="4"/>
    <s v="VALIDATED"/>
    <n v="1"/>
    <s v="01.11.80.307.6100.0000"/>
    <n v="31.57"/>
    <s v="11"/>
    <s v="6100"/>
    <n v="2797.09"/>
    <n v="31.57"/>
    <s v="CREDITOR"/>
    <n v="0"/>
    <n v="0"/>
    <n v="0"/>
    <n v="0"/>
    <n v="31.57"/>
  </r>
  <r>
    <n v="59913492"/>
    <s v="N"/>
    <n v="21349994"/>
    <s v="3000014257360012"/>
    <s v="CIVIL"/>
    <d v="2023-06-30T00:00:00"/>
    <d v="2023-07-10T19:01:40"/>
    <m/>
    <d v="2023-07-10T00:00:00"/>
    <n v="1339"/>
    <n v="14314"/>
    <s v="59913492"/>
    <s v="59913492"/>
    <m/>
    <m/>
    <n v="22800744"/>
    <m/>
    <m/>
    <m/>
    <s v="SOLFIN"/>
    <s v="SOLFIN"/>
    <s v="CCMS"/>
    <n v="21349994"/>
    <n v="3703.78"/>
    <m/>
    <s v="N"/>
    <n v="46"/>
    <d v="2023-07-10T19:02:08"/>
    <s v="Y"/>
    <s v="Preparation - other"/>
    <s v="Prescribed Hourly Rates"/>
    <s v="Profit Cost"/>
    <s v="JEB(25%)"/>
    <s v="Y"/>
    <n v="20.59"/>
    <n v="4.12"/>
    <x v="2"/>
    <s v="VALIDATED"/>
    <n v="1"/>
    <s v="01.11.80.302.6100.0000"/>
    <n v="20.59"/>
    <s v="11"/>
    <s v="6100"/>
    <n v="2797.09"/>
    <n v="20.59"/>
    <s v="CREDITOR"/>
    <n v="0"/>
    <n v="0"/>
    <n v="0"/>
    <n v="0"/>
    <n v="20.59"/>
  </r>
  <r>
    <n v="59825089"/>
    <s v="N"/>
    <n v="21338284"/>
    <s v="3000014136560016"/>
    <s v="CIVIL"/>
    <d v="2023-06-28T00:00:00"/>
    <d v="2023-07-06T19:21:01"/>
    <m/>
    <d v="2023-07-06T00:00:00"/>
    <n v="1339"/>
    <n v="14314"/>
    <s v="59825089"/>
    <s v="59825089"/>
    <m/>
    <m/>
    <n v="22781486"/>
    <m/>
    <m/>
    <m/>
    <s v="SOLINT"/>
    <s v="SOLINT"/>
    <s v="CCMS"/>
    <n v="21338284"/>
    <n v="6837.19"/>
    <m/>
    <s v="N"/>
    <n v="36"/>
    <d v="2023-07-06T19:21:17"/>
    <s v="Y"/>
    <s v="Preparation - drafting pleadings"/>
    <s v="Prescribed Hourly Rates"/>
    <s v="Profit Cost"/>
    <s v="PH"/>
    <s v="Y"/>
    <n v="27.45"/>
    <n v="5.49"/>
    <x v="4"/>
    <s v="VALIDATED"/>
    <n v="1"/>
    <s v="01.11.80.307.6100.0000"/>
    <n v="27.45"/>
    <s v="11"/>
    <s v="6100"/>
    <n v="2797.09"/>
    <n v="27.45"/>
    <s v="CREDITOR"/>
    <n v="0"/>
    <n v="0"/>
    <n v="0"/>
    <n v="0"/>
    <n v="27.45"/>
  </r>
  <r>
    <n v="59825089"/>
    <s v="N"/>
    <n v="21338284"/>
    <s v="3000014136560016"/>
    <s v="CIVIL"/>
    <d v="2023-06-28T00:00:00"/>
    <d v="2023-07-06T19:21:01"/>
    <m/>
    <d v="2023-07-06T00:00:00"/>
    <n v="1339"/>
    <n v="14314"/>
    <s v="59825089"/>
    <s v="59825089"/>
    <m/>
    <m/>
    <n v="22781486"/>
    <m/>
    <m/>
    <m/>
    <s v="SOLINT"/>
    <s v="SOLINT"/>
    <s v="CCMS"/>
    <n v="21338284"/>
    <n v="6837.19"/>
    <m/>
    <s v="N"/>
    <n v="38"/>
    <d v="2023-07-06T19:21:17"/>
    <s v="Y"/>
    <s v="Preparation - other"/>
    <s v="Prescribed Hourly Rates"/>
    <s v="Profit Cost"/>
    <s v="PH"/>
    <s v="Y"/>
    <n v="10.98"/>
    <n v="2.2"/>
    <x v="4"/>
    <s v="VALIDATED"/>
    <n v="1"/>
    <s v="01.11.80.307.6100.0000"/>
    <n v="10.98"/>
    <s v="11"/>
    <s v="6100"/>
    <n v="2797.09"/>
    <n v="10.98"/>
    <s v="CREDITOR"/>
    <n v="0"/>
    <n v="0"/>
    <n v="0"/>
    <n v="0"/>
    <n v="10.98"/>
  </r>
  <r>
    <n v="60465057"/>
    <s v="N"/>
    <n v="21321713"/>
    <s v="3000014664300010"/>
    <s v="CIVIL"/>
    <d v="2023-06-29T00:00:00"/>
    <d v="2023-07-03T19:05:17"/>
    <m/>
    <d v="2023-07-03T00:00:00"/>
    <n v="1339"/>
    <n v="14314"/>
    <s v="60465057"/>
    <s v="60465057"/>
    <m/>
    <m/>
    <n v="22786664"/>
    <m/>
    <m/>
    <m/>
    <s v="SOLPOA"/>
    <s v="SOLPOA"/>
    <s v="CCMS"/>
    <n v="21321713"/>
    <n v="247.72"/>
    <m/>
    <s v="N"/>
    <n v="1"/>
    <d v="2023-07-03T19:05:20"/>
    <s v="N"/>
    <s v="Level 3 Fixed Fee"/>
    <s v="Private Law Children"/>
    <s v="Profit Cost"/>
    <s v="PCH"/>
    <s v="N"/>
    <n v="206.43"/>
    <n v="41.29"/>
    <x v="3"/>
    <s v="VALIDATED"/>
    <n v="1"/>
    <s v="01.11.80.307.2012.0000"/>
    <n v="206.43"/>
    <s v="11"/>
    <s v="2012"/>
    <n v="2797.09"/>
    <n v="206.43"/>
    <s v="CREDITOR"/>
    <n v="206.43"/>
    <n v="51.6075"/>
    <n v="0"/>
    <n v="0"/>
    <n v="0"/>
  </r>
  <r>
    <n v="59913492"/>
    <s v="N"/>
    <n v="21349994"/>
    <s v="3000014257360012"/>
    <s v="CIVIL"/>
    <d v="2023-06-30T00:00:00"/>
    <d v="2023-07-10T19:01:40"/>
    <m/>
    <d v="2023-07-10T00:00:00"/>
    <n v="1339"/>
    <n v="14314"/>
    <s v="59913492"/>
    <s v="59913492"/>
    <m/>
    <m/>
    <n v="22800744"/>
    <m/>
    <m/>
    <m/>
    <s v="SOLFIN"/>
    <s v="SOLFIN"/>
    <s v="CCMS"/>
    <n v="21349994"/>
    <n v="3703.78"/>
    <m/>
    <s v="N"/>
    <n v="59"/>
    <d v="2023-07-10T19:02:08"/>
    <s v="Y"/>
    <s v="Preparation - other"/>
    <s v="Prescribed Hourly Rates"/>
    <s v="Profit Cost"/>
    <s v="JEB(25%)"/>
    <s v="Y"/>
    <n v="13.73"/>
    <n v="2.75"/>
    <x v="2"/>
    <s v="VALIDATED"/>
    <n v="1"/>
    <s v="01.11.80.302.6100.0000"/>
    <n v="13.73"/>
    <s v="11"/>
    <s v="6100"/>
    <n v="2797.09"/>
    <n v="13.73"/>
    <s v="CREDITOR"/>
    <n v="0"/>
    <n v="0"/>
    <n v="0"/>
    <n v="0"/>
    <n v="13.73"/>
  </r>
  <r>
    <n v="59825089"/>
    <s v="N"/>
    <n v="21338284"/>
    <s v="3000014136560016"/>
    <s v="CIVIL"/>
    <d v="2023-06-28T00:00:00"/>
    <d v="2023-07-06T19:21:01"/>
    <m/>
    <d v="2023-07-06T00:00:00"/>
    <n v="1339"/>
    <n v="14314"/>
    <s v="59825089"/>
    <s v="59825089"/>
    <m/>
    <m/>
    <n v="22781486"/>
    <m/>
    <m/>
    <m/>
    <s v="SOLINT"/>
    <s v="SOLINT"/>
    <s v="CCMS"/>
    <n v="21338284"/>
    <n v="6837.19"/>
    <m/>
    <s v="N"/>
    <n v="56"/>
    <d v="2023-07-06T19:21:17"/>
    <s v="Y"/>
    <s v="Preparation - drafting instructions"/>
    <s v="Prescribed Hourly Rates"/>
    <s v="Profit Cost"/>
    <s v="GMK"/>
    <s v="Y"/>
    <n v="63.14"/>
    <n v="12.63"/>
    <x v="4"/>
    <s v="VALIDATED"/>
    <n v="1"/>
    <s v="01.11.80.307.6100.0000"/>
    <n v="63.14"/>
    <s v="11"/>
    <s v="6100"/>
    <n v="2797.09"/>
    <n v="63.14"/>
    <s v="CREDITOR"/>
    <n v="0"/>
    <n v="0"/>
    <n v="0"/>
    <n v="0"/>
    <n v="63.14"/>
  </r>
  <r>
    <n v="59825089"/>
    <s v="N"/>
    <n v="21338284"/>
    <s v="3000014136560016"/>
    <s v="CIVIL"/>
    <d v="2023-06-28T00:00:00"/>
    <d v="2023-07-06T19:21:01"/>
    <m/>
    <d v="2023-07-06T00:00:00"/>
    <n v="1339"/>
    <n v="14314"/>
    <s v="59825089"/>
    <s v="59825089"/>
    <m/>
    <m/>
    <n v="22781486"/>
    <m/>
    <m/>
    <m/>
    <s v="SOLINT"/>
    <s v="SOLINT"/>
    <s v="CCMS"/>
    <n v="21338284"/>
    <n v="6837.19"/>
    <m/>
    <s v="N"/>
    <n v="42"/>
    <d v="2023-07-06T19:21:17"/>
    <s v="Y"/>
    <s v="Preparation - other"/>
    <s v="Prescribed Hourly Rates"/>
    <s v="Profit Cost"/>
    <s v="GMK"/>
    <s v="Y"/>
    <n v="12.63"/>
    <n v="2.53"/>
    <x v="4"/>
    <s v="VALIDATED"/>
    <n v="1"/>
    <s v="01.11.80.307.6100.0000"/>
    <n v="12.63"/>
    <s v="11"/>
    <s v="6100"/>
    <n v="2797.09"/>
    <n v="12.63"/>
    <s v="CREDITOR"/>
    <n v="0"/>
    <n v="0"/>
    <n v="0"/>
    <n v="0"/>
    <n v="12.63"/>
  </r>
  <r>
    <n v="59913492"/>
    <s v="N"/>
    <n v="21349994"/>
    <s v="3000014257360012"/>
    <s v="CIVIL"/>
    <d v="2023-06-30T00:00:00"/>
    <d v="2023-07-10T19:01:40"/>
    <m/>
    <d v="2023-07-10T00:00:00"/>
    <n v="1339"/>
    <n v="14314"/>
    <s v="59913492"/>
    <s v="59913492"/>
    <m/>
    <m/>
    <n v="22800744"/>
    <m/>
    <m/>
    <m/>
    <s v="SOLFIN"/>
    <s v="SOLFIN"/>
    <s v="CCMS"/>
    <n v="21349994"/>
    <n v="3703.78"/>
    <m/>
    <s v="N"/>
    <n v="62"/>
    <d v="2023-07-10T19:02:08"/>
    <s v="Y"/>
    <s v="Preparation - other"/>
    <s v="Prescribed Hourly Rates"/>
    <s v="Profit Cost"/>
    <s v="JEB"/>
    <s v="Y"/>
    <n v="10.98"/>
    <n v="2.2"/>
    <x v="2"/>
    <s v="VALIDATED"/>
    <n v="1"/>
    <s v="01.11.80.302.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66"/>
    <d v="2023-07-10T19:02:08"/>
    <s v="Y"/>
    <s v="Preparation - other"/>
    <s v="Prescribed Hourly Rates"/>
    <s v="Profit Cost"/>
    <s v="JEB"/>
    <s v="Y"/>
    <n v="10.98"/>
    <n v="2.2"/>
    <x v="2"/>
    <s v="VALIDATED"/>
    <n v="1"/>
    <s v="01.11.80.302.6100.0000"/>
    <n v="10.98"/>
    <s v="11"/>
    <s v="6100"/>
    <n v="2797.09"/>
    <n v="10.98"/>
    <s v="CREDITOR"/>
    <n v="0"/>
    <n v="0"/>
    <n v="0"/>
    <n v="0"/>
    <n v="10.98"/>
  </r>
  <r>
    <n v="60937353"/>
    <s v="N"/>
    <n v="21338289"/>
    <s v="3000015154280001"/>
    <s v="CIVIL"/>
    <d v="2023-06-27T00:00:00"/>
    <d v="2023-07-06T19:21:01"/>
    <m/>
    <d v="2023-07-06T00:00:00"/>
    <n v="1339"/>
    <n v="14314"/>
    <s v="60937353"/>
    <s v="60937353"/>
    <m/>
    <m/>
    <n v="22773728"/>
    <m/>
    <m/>
    <m/>
    <s v="SOLFIN"/>
    <s v="SOLFIN"/>
    <s v="CCMS"/>
    <n v="21338289"/>
    <n v="0"/>
    <m/>
    <s v="N"/>
    <n v="1"/>
    <d v="2023-07-06T19:21:17"/>
    <s v="N"/>
    <s v="NIL BILL"/>
    <s v="Public Law Children"/>
    <s v="Profit Cost"/>
    <s v="BB"/>
    <s v="N"/>
    <n v="0"/>
    <n v="0"/>
    <x v="4"/>
    <s v="VALIDATED"/>
    <n v="1"/>
    <s v="01.11.80.308.6100.0000"/>
    <n v="0"/>
    <s v="11"/>
    <s v="6100"/>
    <n v="2797.09"/>
    <n v="0"/>
    <s v="CREDITOR"/>
    <n v="0"/>
    <n v="0"/>
    <n v="0"/>
    <n v="0"/>
    <n v="0"/>
  </r>
  <r>
    <n v="60937315"/>
    <s v="N"/>
    <n v="21338315"/>
    <s v="3000015153840010"/>
    <s v="CIVIL"/>
    <d v="2023-06-27T00:00:00"/>
    <d v="2023-07-06T19:21:01"/>
    <m/>
    <d v="2023-07-06T00:00:00"/>
    <n v="1339"/>
    <n v="14314"/>
    <s v="60937315"/>
    <s v="60937315"/>
    <m/>
    <m/>
    <n v="22773572"/>
    <m/>
    <m/>
    <m/>
    <s v="SOLFIN"/>
    <s v="SOLFIN"/>
    <s v="CCMS"/>
    <n v="21338315"/>
    <n v="6159.62"/>
    <m/>
    <s v="N"/>
    <n v="7"/>
    <d v="2023-07-06T19:21:18"/>
    <s v="Y"/>
    <s v="Advocates Meeting"/>
    <s v="Public Law Children"/>
    <s v="Advocacy"/>
    <s v="BB"/>
    <s v="Y"/>
    <n v="140.99"/>
    <n v="28.2"/>
    <x v="4"/>
    <s v="VALIDATED"/>
    <n v="1"/>
    <s v="01.11.80.308.6100.0000"/>
    <n v="140.99"/>
    <s v="11"/>
    <s v="6100"/>
    <n v="2797.09"/>
    <n v="140.99"/>
    <s v="CREDITOR"/>
    <n v="0"/>
    <n v="0"/>
    <n v="0"/>
    <n v="0"/>
    <n v="140.99"/>
  </r>
  <r>
    <n v="59913492"/>
    <s v="N"/>
    <n v="21349994"/>
    <s v="3000014257360012"/>
    <s v="CIVIL"/>
    <d v="2023-06-30T00:00:00"/>
    <d v="2023-07-10T19:01:40"/>
    <m/>
    <d v="2023-07-10T00:00:00"/>
    <n v="1339"/>
    <n v="14314"/>
    <s v="59913492"/>
    <s v="59913492"/>
    <m/>
    <m/>
    <n v="22800744"/>
    <m/>
    <m/>
    <m/>
    <s v="SOLFIN"/>
    <s v="SOLFIN"/>
    <s v="CCMS"/>
    <n v="21349994"/>
    <n v="3703.78"/>
    <m/>
    <s v="N"/>
    <n v="4"/>
    <d v="2023-07-10T19:02:08"/>
    <s v="Y"/>
    <s v="Preparation - drafting application"/>
    <s v="Prescribed Hourly Rates"/>
    <s v="Profit Cost"/>
    <s v="AJ(25%)"/>
    <s v="Y"/>
    <n v="54.9"/>
    <n v="10.98"/>
    <x v="2"/>
    <s v="VALIDATED"/>
    <n v="1"/>
    <s v="01.11.80.302.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1"/>
    <d v="2023-07-10T19:02:08"/>
    <s v="Y"/>
    <s v="Court Fee"/>
    <s v="Prescribed Hourly Rates"/>
    <s v="Non Expert Disbursement"/>
    <s v="JEB"/>
    <s v="Y"/>
    <n v="232"/>
    <n v="0"/>
    <x v="2"/>
    <s v="VALIDATED"/>
    <n v="1"/>
    <s v="01.11.80.302.6300.0000"/>
    <n v="232"/>
    <s v="11"/>
    <s v="6300"/>
    <n v="2797.09"/>
    <n v="232"/>
    <s v="CREDITOR"/>
    <n v="0"/>
    <n v="0"/>
    <n v="0"/>
    <n v="0"/>
    <n v="232"/>
  </r>
  <r>
    <n v="60937315"/>
    <s v="N"/>
    <n v="21338315"/>
    <s v="3000015153840010"/>
    <s v="CIVIL"/>
    <d v="2023-06-27T00:00:00"/>
    <d v="2023-07-06T19:21:01"/>
    <m/>
    <d v="2023-07-06T00:00:00"/>
    <n v="1339"/>
    <n v="14314"/>
    <s v="60937315"/>
    <s v="60937315"/>
    <m/>
    <m/>
    <n v="22773572"/>
    <m/>
    <m/>
    <m/>
    <s v="SOLFIN"/>
    <s v="SOLFIN"/>
    <s v="CCMS"/>
    <n v="21338315"/>
    <n v="6159.62"/>
    <m/>
    <s v="N"/>
    <n v="6"/>
    <d v="2023-07-06T19:21:18"/>
    <s v="Y"/>
    <s v="Advocates Meeting"/>
    <s v="Public Law Children"/>
    <s v="Advocacy"/>
    <s v="BB"/>
    <s v="Y"/>
    <n v="140.99"/>
    <n v="28.2"/>
    <x v="4"/>
    <s v="VALIDATED"/>
    <n v="1"/>
    <s v="01.11.80.308.6100.0000"/>
    <n v="140.99"/>
    <s v="11"/>
    <s v="6100"/>
    <n v="2797.09"/>
    <n v="140.99"/>
    <s v="CREDITOR"/>
    <n v="0"/>
    <n v="0"/>
    <n v="0"/>
    <n v="0"/>
    <n v="140.99"/>
  </r>
  <r>
    <n v="59825089"/>
    <s v="N"/>
    <n v="21338284"/>
    <s v="3000014136560016"/>
    <s v="CIVIL"/>
    <d v="2023-06-28T00:00:00"/>
    <d v="2023-07-06T19:21:01"/>
    <m/>
    <d v="2023-07-06T00:00:00"/>
    <n v="1339"/>
    <n v="14314"/>
    <s v="59825089"/>
    <s v="59825089"/>
    <m/>
    <m/>
    <n v="22781486"/>
    <m/>
    <m/>
    <m/>
    <s v="SOLINT"/>
    <s v="SOLINT"/>
    <s v="CCMS"/>
    <n v="21338284"/>
    <n v="6837.19"/>
    <m/>
    <s v="N"/>
    <n v="100"/>
    <d v="2023-07-06T19:21:17"/>
    <s v="Y"/>
    <s v="Preparation - other"/>
    <s v="Prescribed Hourly Rates"/>
    <s v="Profit Cost"/>
    <s v="GMK"/>
    <s v="Y"/>
    <n v="31.57"/>
    <n v="6.31"/>
    <x v="4"/>
    <s v="VALIDATED"/>
    <n v="1"/>
    <s v="01.11.80.307.6100.0000"/>
    <n v="31.57"/>
    <s v="11"/>
    <s v="6100"/>
    <n v="2797.09"/>
    <n v="31.57"/>
    <s v="CREDITOR"/>
    <n v="0"/>
    <n v="0"/>
    <n v="0"/>
    <n v="0"/>
    <n v="31.57"/>
  </r>
  <r>
    <n v="59913492"/>
    <s v="N"/>
    <n v="21349994"/>
    <s v="3000014257360012"/>
    <s v="CIVIL"/>
    <d v="2023-06-30T00:00:00"/>
    <d v="2023-07-10T19:01:40"/>
    <m/>
    <d v="2023-07-10T00:00:00"/>
    <n v="1339"/>
    <n v="14314"/>
    <s v="59913492"/>
    <s v="59913492"/>
    <m/>
    <m/>
    <n v="22800744"/>
    <m/>
    <m/>
    <m/>
    <s v="SOLFIN"/>
    <s v="SOLFIN"/>
    <s v="CCMS"/>
    <n v="21349994"/>
    <n v="3703.78"/>
    <m/>
    <s v="N"/>
    <n v="63"/>
    <d v="2023-07-10T19:02:08"/>
    <s v="Y"/>
    <s v="Preparation - other"/>
    <s v="Prescribed Hourly Rates"/>
    <s v="Profit Cost"/>
    <s v="JEB"/>
    <s v="Y"/>
    <n v="10.98"/>
    <n v="2.2"/>
    <x v="2"/>
    <s v="VALIDATED"/>
    <n v="1"/>
    <s v="01.11.80.302.6100.0000"/>
    <n v="10.98"/>
    <s v="11"/>
    <s v="6100"/>
    <n v="2797.09"/>
    <n v="10.98"/>
    <s v="CREDITOR"/>
    <n v="0"/>
    <n v="0"/>
    <n v="0"/>
    <n v="0"/>
    <n v="10.98"/>
  </r>
  <r>
    <n v="59825089"/>
    <s v="N"/>
    <n v="21338284"/>
    <s v="3000014136560016"/>
    <s v="CIVIL"/>
    <d v="2023-06-28T00:00:00"/>
    <d v="2023-07-06T19:21:01"/>
    <m/>
    <d v="2023-07-06T00:00:00"/>
    <n v="1339"/>
    <n v="14314"/>
    <s v="59825089"/>
    <s v="59825089"/>
    <m/>
    <m/>
    <n v="22781486"/>
    <m/>
    <m/>
    <m/>
    <s v="SOLINT"/>
    <s v="SOLINT"/>
    <s v="CCMS"/>
    <n v="21338284"/>
    <n v="6837.19"/>
    <m/>
    <s v="N"/>
    <n v="63"/>
    <d v="2023-07-06T19:21:17"/>
    <s v="Y"/>
    <s v="Preparation - drafting statement"/>
    <s v="Prescribed Hourly Rates"/>
    <s v="Profit Cost"/>
    <s v="PH"/>
    <s v="Y"/>
    <n v="27.45"/>
    <n v="5.49"/>
    <x v="4"/>
    <s v="VALIDATED"/>
    <n v="1"/>
    <s v="01.11.80.307.6100.0000"/>
    <n v="27.45"/>
    <s v="11"/>
    <s v="6100"/>
    <n v="2797.09"/>
    <n v="27.45"/>
    <s v="CREDITOR"/>
    <n v="0"/>
    <n v="0"/>
    <n v="0"/>
    <n v="0"/>
    <n v="27.45"/>
  </r>
  <r>
    <n v="59825089"/>
    <s v="N"/>
    <n v="21338284"/>
    <s v="3000014136560016"/>
    <s v="CIVIL"/>
    <d v="2023-06-28T00:00:00"/>
    <d v="2023-07-06T19:21:01"/>
    <m/>
    <d v="2023-07-06T00:00:00"/>
    <n v="1339"/>
    <n v="14314"/>
    <s v="59825089"/>
    <s v="59825089"/>
    <m/>
    <m/>
    <n v="22781486"/>
    <m/>
    <m/>
    <m/>
    <s v="SOLINT"/>
    <s v="SOLINT"/>
    <s v="CCMS"/>
    <n v="21338284"/>
    <n v="6837.19"/>
    <m/>
    <s v="N"/>
    <n v="90"/>
    <d v="2023-07-06T19:21:17"/>
    <s v="Y"/>
    <s v="Preparation - other"/>
    <s v="Prescribed Hourly Rates"/>
    <s v="Profit Cost"/>
    <s v="PH"/>
    <s v="Y"/>
    <n v="32.94"/>
    <n v="6.59"/>
    <x v="4"/>
    <s v="VALIDATED"/>
    <n v="1"/>
    <s v="01.11.80.307.6100.0000"/>
    <n v="32.94"/>
    <s v="11"/>
    <s v="6100"/>
    <n v="2797.09"/>
    <n v="32.94"/>
    <s v="CREDITOR"/>
    <n v="0"/>
    <n v="0"/>
    <n v="0"/>
    <n v="0"/>
    <n v="32.94"/>
  </r>
  <r>
    <n v="59913492"/>
    <s v="N"/>
    <n v="21349994"/>
    <s v="3000014257360012"/>
    <s v="CIVIL"/>
    <d v="2023-06-30T00:00:00"/>
    <d v="2023-07-10T19:01:40"/>
    <m/>
    <d v="2023-07-10T00:00:00"/>
    <n v="1339"/>
    <n v="14314"/>
    <s v="59913492"/>
    <s v="59913492"/>
    <m/>
    <m/>
    <n v="22800744"/>
    <m/>
    <m/>
    <m/>
    <s v="SOLFIN"/>
    <s v="SOLFIN"/>
    <s v="CCMS"/>
    <n v="21349994"/>
    <n v="3703.78"/>
    <m/>
    <s v="N"/>
    <n v="8"/>
    <d v="2023-07-10T19:02:08"/>
    <s v="Y"/>
    <s v="Preparation - other"/>
    <s v="Prescribed Hourly Rates"/>
    <s v="Profit Cost"/>
    <s v="AJ"/>
    <s v="Y"/>
    <n v="5.49"/>
    <n v="1.1"/>
    <x v="2"/>
    <s v="VALIDATED"/>
    <n v="1"/>
    <s v="01.11.80.302.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44"/>
    <d v="2023-07-06T19:21:17"/>
    <s v="Y"/>
    <s v="Preparation - other"/>
    <s v="Prescribed Hourly Rates"/>
    <s v="Profit Cost"/>
    <s v="PH"/>
    <s v="Y"/>
    <n v="10.98"/>
    <n v="2.2"/>
    <x v="4"/>
    <s v="VALIDATED"/>
    <n v="1"/>
    <s v="01.11.80.307.6100.0000"/>
    <n v="10.98"/>
    <s v="11"/>
    <s v="6100"/>
    <n v="2797.09"/>
    <n v="10.98"/>
    <s v="CREDITOR"/>
    <n v="0"/>
    <n v="0"/>
    <n v="0"/>
    <n v="0"/>
    <n v="10.98"/>
  </r>
  <r>
    <n v="59825089"/>
    <s v="N"/>
    <n v="21338284"/>
    <s v="3000014136560016"/>
    <s v="CIVIL"/>
    <d v="2023-06-28T00:00:00"/>
    <d v="2023-07-06T19:21:01"/>
    <m/>
    <d v="2023-07-06T00:00:00"/>
    <n v="1339"/>
    <n v="14314"/>
    <s v="59825089"/>
    <s v="59825089"/>
    <m/>
    <m/>
    <n v="22781486"/>
    <m/>
    <m/>
    <m/>
    <s v="SOLINT"/>
    <s v="SOLINT"/>
    <s v="CCMS"/>
    <n v="21338284"/>
    <n v="6837.19"/>
    <m/>
    <s v="N"/>
    <n v="96"/>
    <d v="2023-07-06T19:21:17"/>
    <s v="Y"/>
    <s v="Attendance upon client"/>
    <s v="Prescribed Hourly Rates"/>
    <s v="Profit Cost"/>
    <s v="GMK"/>
    <s v="Y"/>
    <n v="63.14"/>
    <n v="12.63"/>
    <x v="4"/>
    <s v="VALIDATED"/>
    <n v="1"/>
    <s v="01.11.80.307.6100.0000"/>
    <n v="63.14"/>
    <s v="11"/>
    <s v="6100"/>
    <n v="2797.09"/>
    <n v="63.14"/>
    <s v="CREDITOR"/>
    <n v="0"/>
    <n v="0"/>
    <n v="0"/>
    <n v="0"/>
    <n v="63.14"/>
  </r>
  <r>
    <n v="59913492"/>
    <s v="N"/>
    <n v="21349994"/>
    <s v="3000014257360012"/>
    <s v="CIVIL"/>
    <d v="2023-06-30T00:00:00"/>
    <d v="2023-07-10T19:01:40"/>
    <m/>
    <d v="2023-07-10T00:00:00"/>
    <n v="1339"/>
    <n v="14314"/>
    <s v="59913492"/>
    <s v="59913492"/>
    <m/>
    <m/>
    <n v="22800744"/>
    <m/>
    <m/>
    <m/>
    <s v="SOLFIN"/>
    <s v="SOLFIN"/>
    <s v="CCMS"/>
    <n v="21349994"/>
    <n v="3703.78"/>
    <m/>
    <s v="N"/>
    <n v="60"/>
    <d v="2023-07-10T19:02:08"/>
    <s v="Y"/>
    <s v="Preparation - other"/>
    <s v="Prescribed Hourly Rates"/>
    <s v="Profit Cost"/>
    <s v="JEB(25%)"/>
    <s v="Y"/>
    <n v="20.59"/>
    <n v="4.12"/>
    <x v="2"/>
    <s v="VALIDATED"/>
    <n v="1"/>
    <s v="01.11.80.302.6100.0000"/>
    <n v="20.59"/>
    <s v="11"/>
    <s v="6100"/>
    <n v="2797.09"/>
    <n v="20.59"/>
    <s v="CREDITOR"/>
    <n v="0"/>
    <n v="0"/>
    <n v="0"/>
    <n v="0"/>
    <n v="20.59"/>
  </r>
  <r>
    <n v="59913492"/>
    <s v="N"/>
    <n v="21349994"/>
    <s v="3000014257360012"/>
    <s v="CIVIL"/>
    <d v="2023-06-30T00:00:00"/>
    <d v="2023-07-10T19:01:40"/>
    <m/>
    <d v="2023-07-10T00:00:00"/>
    <n v="1339"/>
    <n v="14314"/>
    <s v="59913492"/>
    <s v="59913492"/>
    <m/>
    <m/>
    <n v="22800744"/>
    <m/>
    <m/>
    <m/>
    <s v="SOLFIN"/>
    <s v="SOLFIN"/>
    <s v="CCMS"/>
    <n v="21349994"/>
    <n v="3703.78"/>
    <m/>
    <s v="N"/>
    <n v="10"/>
    <d v="2023-07-10T19:02:08"/>
    <s v="Y"/>
    <s v="Preparation - other"/>
    <s v="Prescribed Hourly Rates"/>
    <s v="Profit Cost"/>
    <s v="AJ(25%)"/>
    <s v="Y"/>
    <n v="6.86"/>
    <n v="1.37"/>
    <x v="2"/>
    <s v="VALIDATED"/>
    <n v="1"/>
    <s v="01.11.80.302.6100.0000"/>
    <n v="6.86"/>
    <s v="11"/>
    <s v="6100"/>
    <n v="2797.09"/>
    <n v="6.86"/>
    <s v="CREDITOR"/>
    <n v="0"/>
    <n v="0"/>
    <n v="0"/>
    <n v="0"/>
    <n v="6.86"/>
  </r>
  <r>
    <n v="59913492"/>
    <s v="N"/>
    <n v="21349994"/>
    <s v="3000014257360012"/>
    <s v="CIVIL"/>
    <d v="2023-06-30T00:00:00"/>
    <d v="2023-07-10T19:01:40"/>
    <m/>
    <d v="2023-07-10T00:00:00"/>
    <n v="1339"/>
    <n v="14314"/>
    <s v="59913492"/>
    <s v="59913492"/>
    <m/>
    <m/>
    <n v="22800744"/>
    <m/>
    <m/>
    <m/>
    <s v="SOLFIN"/>
    <s v="SOLFIN"/>
    <s v="CCMS"/>
    <n v="21349994"/>
    <n v="3703.78"/>
    <m/>
    <s v="N"/>
    <n v="25"/>
    <d v="2023-07-10T19:02:08"/>
    <s v="Y"/>
    <s v="Preparation - other"/>
    <s v="Prescribed Hourly Rates"/>
    <s v="Profit Cost"/>
    <s v="JEB"/>
    <s v="Y"/>
    <n v="32.94"/>
    <n v="6.59"/>
    <x v="2"/>
    <s v="VALIDATED"/>
    <n v="1"/>
    <s v="01.11.80.302.6100.0000"/>
    <n v="32.94"/>
    <s v="11"/>
    <s v="6100"/>
    <n v="2797.09"/>
    <n v="32.94"/>
    <s v="CREDITOR"/>
    <n v="0"/>
    <n v="0"/>
    <n v="0"/>
    <n v="0"/>
    <n v="32.94"/>
  </r>
  <r>
    <n v="60937315"/>
    <s v="N"/>
    <n v="21338315"/>
    <s v="3000015153840010"/>
    <s v="CIVIL"/>
    <d v="2023-06-27T00:00:00"/>
    <d v="2023-07-06T19:21:01"/>
    <m/>
    <d v="2023-07-06T00:00:00"/>
    <n v="1339"/>
    <n v="14314"/>
    <s v="60937315"/>
    <s v="60937315"/>
    <m/>
    <m/>
    <n v="22773572"/>
    <m/>
    <m/>
    <m/>
    <s v="SOLFIN"/>
    <s v="SOLFIN"/>
    <s v="CCMS"/>
    <n v="21338315"/>
    <n v="6159.62"/>
    <m/>
    <s v="N"/>
    <n v="11"/>
    <d v="2023-07-06T19:21:18"/>
    <s v="Y"/>
    <s v="Solicitors Fixed Fee"/>
    <s v="Public Law Children"/>
    <s v="Profit Cost"/>
    <s v="BB"/>
    <s v="Y"/>
    <n v="3020"/>
    <n v="604"/>
    <x v="4"/>
    <s v="VALIDATED"/>
    <n v="1"/>
    <s v="01.11.80.308.6100.0000"/>
    <n v="3020"/>
    <s v="11"/>
    <s v="6100"/>
    <n v="2797.09"/>
    <n v="3020"/>
    <s v="CREDITOR"/>
    <n v="0"/>
    <n v="0"/>
    <n v="0"/>
    <n v="0"/>
    <n v="3020"/>
  </r>
  <r>
    <n v="59825089"/>
    <s v="N"/>
    <n v="21338284"/>
    <s v="3000014136560016"/>
    <s v="CIVIL"/>
    <d v="2023-06-28T00:00:00"/>
    <d v="2023-07-06T19:21:01"/>
    <m/>
    <d v="2023-07-06T00:00:00"/>
    <n v="1339"/>
    <n v="14314"/>
    <s v="59825089"/>
    <s v="59825089"/>
    <m/>
    <m/>
    <n v="22781486"/>
    <m/>
    <m/>
    <m/>
    <s v="SOLINT"/>
    <s v="SOLINT"/>
    <s v="CCMS"/>
    <n v="21338284"/>
    <n v="6837.19"/>
    <m/>
    <s v="N"/>
    <n v="68"/>
    <d v="2023-07-06T19:21:17"/>
    <s v="Y"/>
    <s v="Preparation - other"/>
    <s v="Prescribed Hourly Rates"/>
    <s v="Profit Cost"/>
    <s v="PH"/>
    <s v="Y"/>
    <n v="16.47"/>
    <n v="3.29"/>
    <x v="4"/>
    <s v="VALIDATED"/>
    <n v="1"/>
    <s v="01.11.80.307.6100.0000"/>
    <n v="16.47"/>
    <s v="11"/>
    <s v="6100"/>
    <n v="2797.09"/>
    <n v="16.47"/>
    <s v="CREDITOR"/>
    <n v="0"/>
    <n v="0"/>
    <n v="0"/>
    <n v="0"/>
    <n v="16.47"/>
  </r>
  <r>
    <n v="59825089"/>
    <s v="N"/>
    <n v="21338284"/>
    <s v="3000014136560016"/>
    <s v="CIVIL"/>
    <d v="2023-06-28T00:00:00"/>
    <d v="2023-07-06T19:21:01"/>
    <m/>
    <d v="2023-07-06T00:00:00"/>
    <n v="1339"/>
    <n v="14314"/>
    <s v="59825089"/>
    <s v="59825089"/>
    <m/>
    <m/>
    <n v="22781486"/>
    <m/>
    <m/>
    <m/>
    <s v="SOLINT"/>
    <s v="SOLINT"/>
    <s v="CCMS"/>
    <n v="21338284"/>
    <n v="6837.19"/>
    <m/>
    <s v="N"/>
    <n v="72"/>
    <d v="2023-07-06T19:21:17"/>
    <s v="Y"/>
    <s v="Preparation - other"/>
    <s v="Prescribed Hourly Rates"/>
    <s v="Profit Cost"/>
    <s v="PH"/>
    <s v="Y"/>
    <n v="5.49"/>
    <n v="1.1"/>
    <x v="4"/>
    <s v="VALIDATED"/>
    <n v="1"/>
    <s v="01.11.80.307.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68"/>
    <d v="2023-07-10T19:02:08"/>
    <s v="Y"/>
    <s v="Preparation - drafting bill/claim f"/>
    <s v="Prescribed Hourly Rates"/>
    <s v="Profit Cost"/>
    <s v="CD"/>
    <s v="Y"/>
    <n v="175.68"/>
    <n v="35.14"/>
    <x v="2"/>
    <s v="VALIDATED"/>
    <n v="1"/>
    <s v="01.11.80.302.6100.0000"/>
    <n v="175.68"/>
    <s v="11"/>
    <s v="6100"/>
    <n v="2797.09"/>
    <n v="175.68"/>
    <s v="CREDITOR"/>
    <n v="0"/>
    <n v="0"/>
    <n v="0"/>
    <n v="0"/>
    <n v="175.68"/>
  </r>
  <r>
    <n v="59913492"/>
    <s v="N"/>
    <n v="21349994"/>
    <s v="3000014257360012"/>
    <s v="CIVIL"/>
    <d v="2023-06-30T00:00:00"/>
    <d v="2023-07-10T19:01:40"/>
    <m/>
    <d v="2023-07-10T00:00:00"/>
    <n v="1339"/>
    <n v="14314"/>
    <s v="59913492"/>
    <s v="59913492"/>
    <m/>
    <m/>
    <n v="22800744"/>
    <m/>
    <m/>
    <m/>
    <s v="SOLFIN"/>
    <s v="SOLFIN"/>
    <s v="CCMS"/>
    <n v="21349994"/>
    <n v="3703.78"/>
    <m/>
    <s v="N"/>
    <n v="35"/>
    <d v="2023-07-10T19:02:08"/>
    <s v="Y"/>
    <s v="Preparation - drafting statement"/>
    <s v="Prescribed Hourly Rates"/>
    <s v="Profit Cost"/>
    <s v="JEB(25%)"/>
    <s v="Y"/>
    <n v="41.18"/>
    <n v="8.24"/>
    <x v="2"/>
    <s v="VALIDATED"/>
    <n v="1"/>
    <s v="01.11.80.302.6100.0000"/>
    <n v="41.18"/>
    <s v="11"/>
    <s v="6100"/>
    <n v="2797.09"/>
    <n v="41.18"/>
    <s v="CREDITOR"/>
    <n v="0"/>
    <n v="0"/>
    <n v="0"/>
    <n v="0"/>
    <n v="41.18"/>
  </r>
  <r>
    <n v="59825089"/>
    <s v="N"/>
    <n v="21338284"/>
    <s v="3000014136560016"/>
    <s v="CIVIL"/>
    <d v="2023-06-28T00:00:00"/>
    <d v="2023-07-06T19:21:01"/>
    <m/>
    <d v="2023-07-06T00:00:00"/>
    <n v="1339"/>
    <n v="14314"/>
    <s v="59825089"/>
    <s v="59825089"/>
    <m/>
    <m/>
    <n v="22781486"/>
    <m/>
    <m/>
    <m/>
    <s v="SOLINT"/>
    <s v="SOLINT"/>
    <s v="CCMS"/>
    <n v="21338284"/>
    <n v="6837.19"/>
    <m/>
    <s v="N"/>
    <n v="20"/>
    <d v="2023-07-06T19:21:17"/>
    <s v="Y"/>
    <s v="Preparation - other"/>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52"/>
    <d v="2023-07-06T19:21:17"/>
    <s v="Y"/>
    <s v="Preparation - research"/>
    <s v="Prescribed Hourly Rates"/>
    <s v="Profit Cost"/>
    <s v="PH"/>
    <s v="Y"/>
    <n v="54.9"/>
    <n v="10.98"/>
    <x v="4"/>
    <s v="VALIDATED"/>
    <n v="1"/>
    <s v="01.11.80.307.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67"/>
    <d v="2023-07-10T19:02:08"/>
    <s v="Y"/>
    <s v="Preparation - other"/>
    <s v="Prescribed Hourly Rates"/>
    <s v="Profit Cost"/>
    <s v="JEB"/>
    <s v="Y"/>
    <n v="5.49"/>
    <n v="1.1"/>
    <x v="2"/>
    <s v="VALIDATED"/>
    <n v="1"/>
    <s v="01.11.80.302.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20"/>
    <d v="2023-07-10T19:02:08"/>
    <s v="Y"/>
    <s v="Preparation - other"/>
    <s v="Prescribed Hourly Rates"/>
    <s v="Profit Cost"/>
    <s v="JEB(25%)"/>
    <s v="Y"/>
    <n v="41.18"/>
    <n v="8.24"/>
    <x v="2"/>
    <s v="VALIDATED"/>
    <n v="1"/>
    <s v="01.11.80.302.6100.0000"/>
    <n v="41.18"/>
    <s v="11"/>
    <s v="6100"/>
    <n v="2797.09"/>
    <n v="41.18"/>
    <s v="CREDITOR"/>
    <n v="0"/>
    <n v="0"/>
    <n v="0"/>
    <n v="0"/>
    <n v="41.18"/>
  </r>
  <r>
    <n v="59913492"/>
    <s v="N"/>
    <n v="21349994"/>
    <s v="3000014257360012"/>
    <s v="CIVIL"/>
    <d v="2023-06-30T00:00:00"/>
    <d v="2023-07-10T19:01:40"/>
    <m/>
    <d v="2023-07-10T00:00:00"/>
    <n v="1339"/>
    <n v="14314"/>
    <s v="59913492"/>
    <s v="59913492"/>
    <m/>
    <m/>
    <n v="22800744"/>
    <m/>
    <m/>
    <m/>
    <s v="SOLFIN"/>
    <s v="SOLFIN"/>
    <s v="CCMS"/>
    <n v="21349994"/>
    <n v="3703.78"/>
    <m/>
    <s v="N"/>
    <n v="32"/>
    <d v="2023-07-10T19:02:08"/>
    <s v="Y"/>
    <s v="Attendance upon client"/>
    <s v="Prescribed Hourly Rates"/>
    <s v="Profit Cost"/>
    <s v="JEB(25%)"/>
    <s v="Y"/>
    <n v="54.9"/>
    <n v="10.98"/>
    <x v="2"/>
    <s v="VALIDATED"/>
    <n v="1"/>
    <s v="01.11.80.302.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31"/>
    <d v="2023-07-06T19:21:17"/>
    <s v="Y"/>
    <s v="Attendance upon client"/>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37"/>
    <d v="2023-07-06T19:21:17"/>
    <s v="Y"/>
    <s v="Preparation - drafting instructions"/>
    <s v="Prescribed Hourly Rates"/>
    <s v="Profit Cost"/>
    <s v="PH"/>
    <s v="Y"/>
    <n v="16.47"/>
    <n v="3.29"/>
    <x v="4"/>
    <s v="VALIDATED"/>
    <n v="1"/>
    <s v="01.11.80.307.6100.0000"/>
    <n v="16.47"/>
    <s v="11"/>
    <s v="6100"/>
    <n v="2797.09"/>
    <n v="16.47"/>
    <s v="CREDITOR"/>
    <n v="0"/>
    <n v="0"/>
    <n v="0"/>
    <n v="0"/>
    <n v="16.47"/>
  </r>
  <r>
    <n v="59825089"/>
    <s v="N"/>
    <n v="21338284"/>
    <s v="3000014136560016"/>
    <s v="CIVIL"/>
    <d v="2023-06-28T00:00:00"/>
    <d v="2023-07-06T19:21:01"/>
    <m/>
    <d v="2023-07-06T00:00:00"/>
    <n v="1339"/>
    <n v="14314"/>
    <s v="59825089"/>
    <s v="59825089"/>
    <m/>
    <m/>
    <n v="22781486"/>
    <m/>
    <m/>
    <m/>
    <s v="SOLINT"/>
    <s v="SOLINT"/>
    <s v="CCMS"/>
    <n v="21338284"/>
    <n v="6837.19"/>
    <m/>
    <s v="N"/>
    <n v="53"/>
    <d v="2023-07-06T19:21:17"/>
    <s v="Y"/>
    <s v="Preparation - other"/>
    <s v="Prescribed Hourly Rates"/>
    <s v="Profit Cost"/>
    <s v="GMK"/>
    <s v="Y"/>
    <n v="6.31"/>
    <n v="1.26"/>
    <x v="4"/>
    <s v="VALIDATED"/>
    <n v="1"/>
    <s v="01.11.80.307.6100.0000"/>
    <n v="6.31"/>
    <s v="11"/>
    <s v="6100"/>
    <n v="2797.09"/>
    <n v="6.31"/>
    <s v="CREDITOR"/>
    <n v="0"/>
    <n v="0"/>
    <n v="0"/>
    <n v="0"/>
    <n v="6.31"/>
  </r>
  <r>
    <n v="59825089"/>
    <s v="N"/>
    <n v="21338284"/>
    <s v="3000014136560016"/>
    <s v="CIVIL"/>
    <d v="2023-06-28T00:00:00"/>
    <d v="2023-07-06T19:21:01"/>
    <m/>
    <d v="2023-07-06T00:00:00"/>
    <n v="1339"/>
    <n v="14314"/>
    <s v="59825089"/>
    <s v="59825089"/>
    <m/>
    <m/>
    <n v="22781486"/>
    <m/>
    <m/>
    <m/>
    <s v="SOLINT"/>
    <s v="SOLINT"/>
    <s v="CCMS"/>
    <n v="21338284"/>
    <n v="6837.19"/>
    <m/>
    <s v="N"/>
    <n v="113"/>
    <d v="2023-07-06T19:21:17"/>
    <s v="Y"/>
    <s v="Toxicologist"/>
    <s v="Prescribed Hourly Rates"/>
    <s v="Expert Disbursement"/>
    <s v="GMK"/>
    <s v="Y"/>
    <n v="335"/>
    <n v="67.01000000000001"/>
    <x v="4"/>
    <s v="VALIDATED"/>
    <n v="1"/>
    <s v="01.11.80.307.6300.0000"/>
    <n v="335"/>
    <s v="11"/>
    <s v="6300"/>
    <n v="2797.09"/>
    <n v="335"/>
    <s v="CREDITOR"/>
    <n v="0"/>
    <n v="0"/>
    <n v="0"/>
    <n v="0"/>
    <n v="335"/>
  </r>
  <r>
    <n v="59825089"/>
    <s v="N"/>
    <n v="21338284"/>
    <s v="3000014136560016"/>
    <s v="CIVIL"/>
    <d v="2023-06-28T00:00:00"/>
    <d v="2023-07-06T19:21:01"/>
    <m/>
    <d v="2023-07-06T00:00:00"/>
    <n v="1339"/>
    <n v="14314"/>
    <s v="59825089"/>
    <s v="59825089"/>
    <m/>
    <m/>
    <n v="22781486"/>
    <m/>
    <m/>
    <m/>
    <s v="SOLINT"/>
    <s v="SOLINT"/>
    <s v="CCMS"/>
    <n v="21338284"/>
    <n v="6837.19"/>
    <m/>
    <s v="N"/>
    <n v="60"/>
    <d v="2023-07-06T19:21:17"/>
    <s v="Y"/>
    <s v="Preparation - drafting statement"/>
    <s v="Prescribed Hourly Rates"/>
    <s v="Profit Cost"/>
    <s v="GMK"/>
    <s v="Y"/>
    <n v="50.51"/>
    <n v="10.1"/>
    <x v="4"/>
    <s v="VALIDATED"/>
    <n v="1"/>
    <s v="01.11.80.307.6100.0000"/>
    <n v="50.51"/>
    <s v="11"/>
    <s v="6100"/>
    <n v="2797.09"/>
    <n v="50.51"/>
    <s v="CREDITOR"/>
    <n v="0"/>
    <n v="0"/>
    <n v="0"/>
    <n v="0"/>
    <n v="50.51"/>
  </r>
  <r>
    <n v="59913492"/>
    <s v="N"/>
    <n v="21349994"/>
    <s v="3000014257360012"/>
    <s v="CIVIL"/>
    <d v="2023-06-30T00:00:00"/>
    <d v="2023-07-10T19:01:40"/>
    <m/>
    <d v="2023-07-10T00:00:00"/>
    <n v="1339"/>
    <n v="14314"/>
    <s v="59913492"/>
    <s v="59913492"/>
    <m/>
    <m/>
    <n v="22800744"/>
    <m/>
    <m/>
    <m/>
    <s v="SOLFIN"/>
    <s v="SOLFIN"/>
    <s v="CCMS"/>
    <n v="21349994"/>
    <n v="3703.78"/>
    <m/>
    <s v="N"/>
    <n v="50"/>
    <d v="2023-07-10T19:02:08"/>
    <s v="Y"/>
    <s v="Preparation - other"/>
    <s v="Prescribed Hourly Rates"/>
    <s v="Profit Cost"/>
    <s v="MW"/>
    <s v="Y"/>
    <n v="10.98"/>
    <n v="2.2"/>
    <x v="2"/>
    <s v="VALIDATED"/>
    <n v="1"/>
    <s v="01.11.80.302.6100.0000"/>
    <n v="10.98"/>
    <s v="11"/>
    <s v="6100"/>
    <n v="2797.09"/>
    <n v="10.98"/>
    <s v="CREDITOR"/>
    <n v="0"/>
    <n v="0"/>
    <n v="0"/>
    <n v="0"/>
    <n v="10.98"/>
  </r>
  <r>
    <n v="59825089"/>
    <s v="N"/>
    <n v="21338284"/>
    <s v="3000014136560016"/>
    <s v="CIVIL"/>
    <d v="2023-06-28T00:00:00"/>
    <d v="2023-07-06T19:21:01"/>
    <m/>
    <d v="2023-07-06T00:00:00"/>
    <n v="1339"/>
    <n v="14314"/>
    <s v="59825089"/>
    <s v="59825089"/>
    <m/>
    <m/>
    <n v="22781486"/>
    <m/>
    <m/>
    <m/>
    <s v="SOLINT"/>
    <s v="SOLINT"/>
    <s v="CCMS"/>
    <n v="21338284"/>
    <n v="6837.19"/>
    <m/>
    <s v="N"/>
    <n v="25"/>
    <d v="2023-07-06T19:21:17"/>
    <s v="Y"/>
    <s v="Preparation - other"/>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97"/>
    <d v="2023-07-06T19:21:17"/>
    <s v="Y"/>
    <s v="Attendance upon client"/>
    <s v="Prescribed Hourly Rates"/>
    <s v="Profit Cost"/>
    <s v="GMK"/>
    <s v="Y"/>
    <n v="25.25"/>
    <n v="5.05"/>
    <x v="4"/>
    <s v="VALIDATED"/>
    <n v="1"/>
    <s v="01.11.80.307.6100.0000"/>
    <n v="25.25"/>
    <s v="11"/>
    <s v="6100"/>
    <n v="2797.09"/>
    <n v="25.25"/>
    <s v="CREDITOR"/>
    <n v="0"/>
    <n v="0"/>
    <n v="0"/>
    <n v="0"/>
    <n v="25.25"/>
  </r>
  <r>
    <n v="59913492"/>
    <s v="N"/>
    <n v="21349994"/>
    <s v="3000014257360012"/>
    <s v="CIVIL"/>
    <d v="2023-06-30T00:00:00"/>
    <d v="2023-07-10T19:01:40"/>
    <m/>
    <d v="2023-07-10T00:00:00"/>
    <n v="1339"/>
    <n v="14314"/>
    <s v="59913492"/>
    <s v="59913492"/>
    <m/>
    <m/>
    <n v="22800744"/>
    <m/>
    <m/>
    <m/>
    <s v="SOLFIN"/>
    <s v="SOLFIN"/>
    <s v="CCMS"/>
    <n v="21349994"/>
    <n v="3703.78"/>
    <m/>
    <s v="N"/>
    <n v="21"/>
    <d v="2023-07-10T19:02:08"/>
    <s v="Y"/>
    <s v="Attendance upon other"/>
    <s v="Prescribed Hourly Rates"/>
    <s v="Profit Cost"/>
    <s v="CL(25%)"/>
    <s v="Y"/>
    <n v="13.73"/>
    <n v="2.75"/>
    <x v="2"/>
    <s v="VALIDATED"/>
    <n v="1"/>
    <s v="01.11.80.302.6100.0000"/>
    <n v="13.73"/>
    <s v="11"/>
    <s v="6100"/>
    <n v="2797.09"/>
    <n v="13.73"/>
    <s v="CREDITOR"/>
    <n v="0"/>
    <n v="0"/>
    <n v="0"/>
    <n v="0"/>
    <n v="13.73"/>
  </r>
  <r>
    <n v="59913492"/>
    <s v="N"/>
    <n v="21349994"/>
    <s v="3000014257360012"/>
    <s v="CIVIL"/>
    <d v="2023-06-30T00:00:00"/>
    <d v="2023-07-10T19:01:40"/>
    <m/>
    <d v="2023-07-10T00:00:00"/>
    <n v="1339"/>
    <n v="14314"/>
    <s v="59913492"/>
    <s v="59913492"/>
    <m/>
    <m/>
    <n v="22800744"/>
    <m/>
    <m/>
    <m/>
    <s v="SOLFIN"/>
    <s v="SOLFIN"/>
    <s v="CCMS"/>
    <n v="21349994"/>
    <n v="3703.78"/>
    <m/>
    <s v="N"/>
    <n v="28"/>
    <d v="2023-07-10T19:02:08"/>
    <s v="Y"/>
    <s v="Preparation - other"/>
    <s v="Prescribed Hourly Rates"/>
    <s v="Profit Cost"/>
    <s v="JEB"/>
    <s v="Y"/>
    <n v="10.98"/>
    <n v="2.2"/>
    <x v="2"/>
    <s v="VALIDATED"/>
    <n v="1"/>
    <s v="01.11.80.302.6100.0000"/>
    <n v="10.98"/>
    <s v="11"/>
    <s v="6100"/>
    <n v="2797.09"/>
    <n v="10.98"/>
    <s v="CREDITOR"/>
    <n v="0"/>
    <n v="0"/>
    <n v="0"/>
    <n v="0"/>
    <n v="10.98"/>
  </r>
  <r>
    <n v="59825089"/>
    <s v="N"/>
    <n v="21338284"/>
    <s v="3000014136560016"/>
    <s v="CIVIL"/>
    <d v="2023-06-28T00:00:00"/>
    <d v="2023-07-06T19:21:01"/>
    <m/>
    <d v="2023-07-06T00:00:00"/>
    <n v="1339"/>
    <n v="14314"/>
    <s v="59825089"/>
    <s v="59825089"/>
    <m/>
    <m/>
    <n v="22781486"/>
    <m/>
    <m/>
    <m/>
    <s v="SOLINT"/>
    <s v="SOLINT"/>
    <s v="CCMS"/>
    <n v="21338284"/>
    <n v="6837.19"/>
    <m/>
    <s v="N"/>
    <n v="66"/>
    <d v="2023-07-06T19:21:17"/>
    <s v="Y"/>
    <s v="Preparation - drafting attendance n"/>
    <s v="Prescribed Hourly Rates"/>
    <s v="Profit Cost"/>
    <s v="GMK"/>
    <s v="Y"/>
    <n v="6.31"/>
    <n v="1.26"/>
    <x v="4"/>
    <s v="VALIDATED"/>
    <n v="1"/>
    <s v="01.11.80.307.6100.0000"/>
    <n v="6.31"/>
    <s v="11"/>
    <s v="6100"/>
    <n v="2797.09"/>
    <n v="6.31"/>
    <s v="CREDITOR"/>
    <n v="0"/>
    <n v="0"/>
    <n v="0"/>
    <n v="0"/>
    <n v="6.31"/>
  </r>
  <r>
    <n v="59825089"/>
    <s v="N"/>
    <n v="21338284"/>
    <s v="3000014136560016"/>
    <s v="CIVIL"/>
    <d v="2023-06-28T00:00:00"/>
    <d v="2023-07-06T19:21:01"/>
    <m/>
    <d v="2023-07-06T00:00:00"/>
    <n v="1339"/>
    <n v="14314"/>
    <s v="59825089"/>
    <s v="59825089"/>
    <m/>
    <m/>
    <n v="22781486"/>
    <m/>
    <m/>
    <m/>
    <s v="SOLINT"/>
    <s v="SOLINT"/>
    <s v="CCMS"/>
    <n v="21338284"/>
    <n v="6837.19"/>
    <m/>
    <s v="N"/>
    <n v="43"/>
    <d v="2023-07-06T19:21:17"/>
    <s v="Y"/>
    <s v="Preparation - other"/>
    <s v="Prescribed Hourly Rates"/>
    <s v="Profit Cost"/>
    <s v="GMK"/>
    <s v="Y"/>
    <n v="18.94"/>
    <n v="3.79"/>
    <x v="4"/>
    <s v="VALIDATED"/>
    <n v="1"/>
    <s v="01.11.80.307.6100.0000"/>
    <n v="18.94"/>
    <s v="11"/>
    <s v="6100"/>
    <n v="2797.09"/>
    <n v="18.94"/>
    <s v="CREDITOR"/>
    <n v="0"/>
    <n v="0"/>
    <n v="0"/>
    <n v="0"/>
    <n v="18.94"/>
  </r>
  <r>
    <n v="59913492"/>
    <s v="N"/>
    <n v="21349994"/>
    <s v="3000014257360012"/>
    <s v="CIVIL"/>
    <d v="2023-06-30T00:00:00"/>
    <d v="2023-07-10T19:01:40"/>
    <m/>
    <d v="2023-07-10T00:00:00"/>
    <n v="1339"/>
    <n v="14314"/>
    <s v="59913492"/>
    <s v="59913492"/>
    <m/>
    <m/>
    <n v="22800744"/>
    <m/>
    <m/>
    <m/>
    <s v="SOLFIN"/>
    <s v="SOLFIN"/>
    <s v="CCMS"/>
    <n v="21349994"/>
    <n v="3703.78"/>
    <m/>
    <s v="N"/>
    <n v="34"/>
    <d v="2023-07-10T19:02:08"/>
    <s v="Y"/>
    <s v="Preparation - drafting statement"/>
    <s v="Prescribed Hourly Rates"/>
    <s v="Profit Cost"/>
    <s v="JEB(25%)"/>
    <s v="Y"/>
    <n v="75.48999999999999"/>
    <n v="15.1"/>
    <x v="2"/>
    <s v="VALIDATED"/>
    <n v="1"/>
    <s v="01.11.80.302.6100.0000"/>
    <n v="75.48999999999999"/>
    <s v="11"/>
    <s v="6100"/>
    <n v="2797.09"/>
    <n v="75.48999999999999"/>
    <s v="CREDITOR"/>
    <n v="0"/>
    <n v="0"/>
    <n v="0"/>
    <n v="0"/>
    <n v="75.48999999999999"/>
  </r>
  <r>
    <n v="59913492"/>
    <s v="N"/>
    <n v="21349994"/>
    <s v="3000014257360012"/>
    <s v="CIVIL"/>
    <d v="2023-06-30T00:00:00"/>
    <d v="2023-07-10T19:01:40"/>
    <m/>
    <d v="2023-07-10T00:00:00"/>
    <n v="1339"/>
    <n v="14314"/>
    <s v="59913492"/>
    <s v="59913492"/>
    <m/>
    <m/>
    <n v="22800744"/>
    <m/>
    <m/>
    <m/>
    <s v="SOLFIN"/>
    <s v="SOLFIN"/>
    <s v="CCMS"/>
    <n v="21349994"/>
    <n v="3703.78"/>
    <m/>
    <s v="N"/>
    <n v="27"/>
    <d v="2023-07-10T19:02:08"/>
    <s v="Y"/>
    <s v="Preparation - other"/>
    <s v="Prescribed Hourly Rates"/>
    <s v="Profit Cost"/>
    <s v="JEB"/>
    <s v="Y"/>
    <n v="5.49"/>
    <n v="1.1"/>
    <x v="2"/>
    <s v="VALIDATED"/>
    <n v="1"/>
    <s v="01.11.80.302.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109"/>
    <d v="2023-07-06T19:21:17"/>
    <s v="Y"/>
    <s v="Preparation - other"/>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74"/>
    <d v="2023-07-06T19:21:17"/>
    <s v="Y"/>
    <s v="Preparation - other"/>
    <s v="Prescribed Hourly Rates"/>
    <s v="Profit Cost"/>
    <s v="PH"/>
    <s v="Y"/>
    <n v="49.41"/>
    <n v="9.880000000000001"/>
    <x v="4"/>
    <s v="VALIDATED"/>
    <n v="1"/>
    <s v="01.11.80.307.6100.0000"/>
    <n v="49.41"/>
    <s v="11"/>
    <s v="6100"/>
    <n v="2797.09"/>
    <n v="49.41"/>
    <s v="CREDITOR"/>
    <n v="0"/>
    <n v="0"/>
    <n v="0"/>
    <n v="0"/>
    <n v="49.41"/>
  </r>
  <r>
    <n v="59913492"/>
    <s v="N"/>
    <n v="21349994"/>
    <s v="3000014257360012"/>
    <s v="CIVIL"/>
    <d v="2023-06-30T00:00:00"/>
    <d v="2023-07-10T19:01:40"/>
    <m/>
    <d v="2023-07-10T00:00:00"/>
    <n v="1339"/>
    <n v="14314"/>
    <s v="59913492"/>
    <s v="59913492"/>
    <m/>
    <m/>
    <n v="22800744"/>
    <m/>
    <m/>
    <m/>
    <s v="SOLFIN"/>
    <s v="SOLFIN"/>
    <s v="CCMS"/>
    <n v="21349994"/>
    <n v="3703.78"/>
    <m/>
    <s v="N"/>
    <n v="38"/>
    <d v="2023-07-10T19:02:08"/>
    <s v="Y"/>
    <s v="Attendance upon other"/>
    <s v="Prescribed Hourly Rates"/>
    <s v="Profit Cost"/>
    <s v="JEB(25%)"/>
    <s v="Y"/>
    <n v="13.73"/>
    <n v="2.75"/>
    <x v="2"/>
    <s v="VALIDATED"/>
    <n v="1"/>
    <s v="01.11.80.302.6100.0000"/>
    <n v="13.73"/>
    <s v="11"/>
    <s v="6100"/>
    <n v="2797.09"/>
    <n v="13.73"/>
    <s v="CREDITOR"/>
    <n v="0"/>
    <n v="0"/>
    <n v="0"/>
    <n v="0"/>
    <n v="13.73"/>
  </r>
  <r>
    <n v="59913492"/>
    <s v="N"/>
    <n v="21349994"/>
    <s v="3000014257360012"/>
    <s v="CIVIL"/>
    <d v="2023-06-30T00:00:00"/>
    <d v="2023-07-10T19:01:40"/>
    <m/>
    <d v="2023-07-10T00:00:00"/>
    <n v="1339"/>
    <n v="14314"/>
    <s v="59913492"/>
    <s v="59913492"/>
    <m/>
    <m/>
    <n v="22800744"/>
    <m/>
    <m/>
    <m/>
    <s v="SOLFIN"/>
    <s v="SOLFIN"/>
    <s v="CCMS"/>
    <n v="21349994"/>
    <n v="3703.78"/>
    <m/>
    <s v="N"/>
    <n v="42"/>
    <d v="2023-07-10T19:02:08"/>
    <s v="Y"/>
    <s v="Preparation - other"/>
    <s v="Prescribed Hourly Rates"/>
    <s v="Profit Cost"/>
    <s v="CL(25%)"/>
    <s v="Y"/>
    <n v="20.59"/>
    <n v="4.12"/>
    <x v="2"/>
    <s v="VALIDATED"/>
    <n v="1"/>
    <s v="01.11.80.302.6100.0000"/>
    <n v="20.59"/>
    <s v="11"/>
    <s v="6100"/>
    <n v="2797.09"/>
    <n v="20.59"/>
    <s v="CREDITOR"/>
    <n v="0"/>
    <n v="0"/>
    <n v="0"/>
    <n v="0"/>
    <n v="20.59"/>
  </r>
  <r>
    <n v="60937329"/>
    <s v="N"/>
    <n v="21338294"/>
    <s v="3000015154010001"/>
    <s v="CIVIL"/>
    <d v="2023-06-27T00:00:00"/>
    <d v="2023-07-06T19:21:01"/>
    <m/>
    <d v="2023-07-06T00:00:00"/>
    <n v="1339"/>
    <n v="14314"/>
    <s v="60937329"/>
    <s v="60937329"/>
    <m/>
    <m/>
    <n v="22773664"/>
    <m/>
    <m/>
    <m/>
    <s v="SOLFIN"/>
    <s v="SOLFIN"/>
    <s v="CCMS"/>
    <n v="21338294"/>
    <n v="0"/>
    <m/>
    <s v="N"/>
    <n v="1"/>
    <d v="2023-07-06T19:21:17"/>
    <s v="N"/>
    <s v="NIL BILL"/>
    <s v="Public Law Children"/>
    <s v="Profit Cost"/>
    <s v="BB"/>
    <s v="N"/>
    <n v="0"/>
    <n v="0"/>
    <x v="4"/>
    <s v="VALIDATED"/>
    <n v="1"/>
    <s v="01.11.80.308.6100.0000"/>
    <n v="0"/>
    <s v="11"/>
    <s v="6100"/>
    <n v="2797.09"/>
    <n v="0"/>
    <s v="CREDITOR"/>
    <n v="0"/>
    <n v="0"/>
    <n v="0"/>
    <n v="0"/>
    <n v="0"/>
  </r>
  <r>
    <n v="59825089"/>
    <s v="N"/>
    <n v="21338284"/>
    <s v="3000014136560016"/>
    <s v="CIVIL"/>
    <d v="2023-06-28T00:00:00"/>
    <d v="2023-07-06T19:21:01"/>
    <m/>
    <d v="2023-07-06T00:00:00"/>
    <n v="1339"/>
    <n v="14314"/>
    <s v="59825089"/>
    <s v="59825089"/>
    <m/>
    <m/>
    <n v="22781486"/>
    <m/>
    <m/>
    <m/>
    <s v="SOLINT"/>
    <s v="SOLINT"/>
    <s v="CCMS"/>
    <n v="21338284"/>
    <n v="6837.19"/>
    <m/>
    <s v="N"/>
    <n v="85"/>
    <d v="2023-07-06T19:21:17"/>
    <s v="Y"/>
    <s v="Preparation - drafting attendance n"/>
    <s v="Prescribed Hourly Rates"/>
    <s v="Profit Cost"/>
    <s v="PH"/>
    <s v="Y"/>
    <n v="5.49"/>
    <n v="1.1"/>
    <x v="4"/>
    <s v="VALIDATED"/>
    <n v="1"/>
    <s v="01.11.80.307.6100.0000"/>
    <n v="5.49"/>
    <s v="11"/>
    <s v="6100"/>
    <n v="2797.09"/>
    <n v="5.49"/>
    <s v="CREDITOR"/>
    <n v="0"/>
    <n v="0"/>
    <n v="0"/>
    <n v="0"/>
    <n v="5.49"/>
  </r>
  <r>
    <n v="59756053"/>
    <s v="N"/>
    <n v="21319169"/>
    <s v="3000014130650001"/>
    <s v="CIVIL"/>
    <d v="2023-06-26T00:00:00"/>
    <d v="2023-07-03T19:01:49"/>
    <m/>
    <d v="2023-07-03T00:00:00"/>
    <n v="1339"/>
    <n v="14314"/>
    <s v="59756053"/>
    <s v="59756053"/>
    <m/>
    <m/>
    <n v="22758786"/>
    <m/>
    <m/>
    <m/>
    <s v="SOLFIN"/>
    <s v="SOLFIN"/>
    <s v="CCMS"/>
    <n v="21319169"/>
    <n v="0"/>
    <m/>
    <s v="N"/>
    <n v="1"/>
    <d v="2023-07-03T19:02:13"/>
    <s v="N"/>
    <s v="NIL BILL"/>
    <s v="Prescribed Hourly Rates"/>
    <s v="Profit Cost"/>
    <s v="BB"/>
    <s v="N"/>
    <n v="0"/>
    <n v="0"/>
    <x v="3"/>
    <s v="VALIDATED"/>
    <n v="1"/>
    <s v="01.11.80.307.6100.0000"/>
    <n v="0"/>
    <s v="11"/>
    <s v="6100"/>
    <n v="2797.09"/>
    <n v="0"/>
    <s v="CREDITOR"/>
    <n v="0"/>
    <n v="0"/>
    <n v="0"/>
    <n v="0"/>
    <n v="0"/>
  </r>
  <r>
    <n v="59913492"/>
    <s v="N"/>
    <n v="21349994"/>
    <s v="3000014257360012"/>
    <s v="CIVIL"/>
    <d v="2023-06-30T00:00:00"/>
    <d v="2023-07-10T19:01:40"/>
    <m/>
    <d v="2023-07-10T00:00:00"/>
    <n v="1339"/>
    <n v="14314"/>
    <s v="59913492"/>
    <s v="59913492"/>
    <m/>
    <m/>
    <n v="22800744"/>
    <m/>
    <m/>
    <m/>
    <s v="SOLFIN"/>
    <s v="SOLFIN"/>
    <s v="CCMS"/>
    <n v="21349994"/>
    <n v="3703.78"/>
    <m/>
    <s v="N"/>
    <n v="11"/>
    <d v="2023-07-10T19:02:08"/>
    <s v="Y"/>
    <s v="Preparation - other"/>
    <s v="Prescribed Hourly Rates"/>
    <s v="Profit Cost"/>
    <s v="AJ(25%)"/>
    <s v="Y"/>
    <n v="34.31"/>
    <n v="6.86"/>
    <x v="2"/>
    <s v="VALIDATED"/>
    <n v="1"/>
    <s v="01.11.80.302.6100.0000"/>
    <n v="34.31"/>
    <s v="11"/>
    <s v="6100"/>
    <n v="2797.09"/>
    <n v="34.31"/>
    <s v="CREDITOR"/>
    <n v="0"/>
    <n v="0"/>
    <n v="0"/>
    <n v="0"/>
    <n v="34.31"/>
  </r>
  <r>
    <n v="59913492"/>
    <s v="N"/>
    <n v="21349994"/>
    <s v="3000014257360012"/>
    <s v="CIVIL"/>
    <d v="2023-06-30T00:00:00"/>
    <d v="2023-07-10T19:01:40"/>
    <m/>
    <d v="2023-07-10T00:00:00"/>
    <n v="1339"/>
    <n v="14314"/>
    <s v="59913492"/>
    <s v="59913492"/>
    <m/>
    <m/>
    <n v="22800744"/>
    <m/>
    <m/>
    <m/>
    <s v="SOLFIN"/>
    <s v="SOLFIN"/>
    <s v="CCMS"/>
    <n v="21349994"/>
    <n v="3703.78"/>
    <m/>
    <s v="N"/>
    <n v="12"/>
    <d v="2023-07-10T19:02:08"/>
    <s v="Y"/>
    <s v="Preparation - other"/>
    <s v="Prescribed Hourly Rates"/>
    <s v="Profit Cost"/>
    <s v="AJ(25%)"/>
    <s v="Y"/>
    <n v="13.73"/>
    <n v="2.75"/>
    <x v="2"/>
    <s v="VALIDATED"/>
    <n v="1"/>
    <s v="01.11.80.302.6100.0000"/>
    <n v="13.73"/>
    <s v="11"/>
    <s v="6100"/>
    <n v="2797.09"/>
    <n v="13.73"/>
    <s v="CREDITOR"/>
    <n v="0"/>
    <n v="0"/>
    <n v="0"/>
    <n v="0"/>
    <n v="13.73"/>
  </r>
  <r>
    <n v="59825089"/>
    <s v="N"/>
    <n v="21338284"/>
    <s v="3000014136560016"/>
    <s v="CIVIL"/>
    <d v="2023-06-28T00:00:00"/>
    <d v="2023-07-06T19:21:01"/>
    <m/>
    <d v="2023-07-06T00:00:00"/>
    <n v="1339"/>
    <n v="14314"/>
    <s v="59825089"/>
    <s v="59825089"/>
    <m/>
    <m/>
    <n v="22781486"/>
    <m/>
    <m/>
    <m/>
    <s v="SOLINT"/>
    <s v="SOLINT"/>
    <s v="CCMS"/>
    <n v="21338284"/>
    <n v="6837.19"/>
    <m/>
    <s v="N"/>
    <n v="33"/>
    <d v="2023-07-06T19:21:17"/>
    <s v="Y"/>
    <s v="Attendance upon client"/>
    <s v="Prescribed Hourly Rates"/>
    <s v="Profit Cost"/>
    <s v="GMK"/>
    <s v="Y"/>
    <n v="44.19"/>
    <n v="8.84"/>
    <x v="4"/>
    <s v="VALIDATED"/>
    <n v="1"/>
    <s v="01.11.80.307.6100.0000"/>
    <n v="44.19"/>
    <s v="11"/>
    <s v="6100"/>
    <n v="2797.09"/>
    <n v="44.19"/>
    <s v="CREDITOR"/>
    <n v="0"/>
    <n v="0"/>
    <n v="0"/>
    <n v="0"/>
    <n v="44.19"/>
  </r>
  <r>
    <n v="59825089"/>
    <s v="N"/>
    <n v="21338284"/>
    <s v="3000014136560016"/>
    <s v="CIVIL"/>
    <d v="2023-06-28T00:00:00"/>
    <d v="2023-07-06T19:21:01"/>
    <m/>
    <d v="2023-07-06T00:00:00"/>
    <n v="1339"/>
    <n v="14314"/>
    <s v="59825089"/>
    <s v="59825089"/>
    <m/>
    <m/>
    <n v="22781486"/>
    <m/>
    <m/>
    <m/>
    <s v="SOLINT"/>
    <s v="SOLINT"/>
    <s v="CCMS"/>
    <n v="21338284"/>
    <n v="6837.19"/>
    <m/>
    <s v="N"/>
    <n v="19"/>
    <d v="2023-07-06T19:21:17"/>
    <s v="Y"/>
    <s v="Preparation - other"/>
    <s v="Prescribed Hourly Rates"/>
    <s v="Profit Cost"/>
    <s v="GMK"/>
    <s v="Y"/>
    <n v="31.57"/>
    <n v="6.31"/>
    <x v="4"/>
    <s v="VALIDATED"/>
    <n v="1"/>
    <s v="01.11.80.307.6100.0000"/>
    <n v="31.57"/>
    <s v="11"/>
    <s v="6100"/>
    <n v="2797.09"/>
    <n v="31.57"/>
    <s v="CREDITOR"/>
    <n v="0"/>
    <n v="0"/>
    <n v="0"/>
    <n v="0"/>
    <n v="31.57"/>
  </r>
  <r>
    <n v="59913492"/>
    <s v="N"/>
    <n v="21349994"/>
    <s v="3000014257360012"/>
    <s v="CIVIL"/>
    <d v="2023-06-30T00:00:00"/>
    <d v="2023-07-10T19:01:40"/>
    <m/>
    <d v="2023-07-10T00:00:00"/>
    <n v="1339"/>
    <n v="14314"/>
    <s v="59913492"/>
    <s v="59913492"/>
    <m/>
    <m/>
    <n v="22800744"/>
    <m/>
    <m/>
    <m/>
    <s v="SOLFIN"/>
    <s v="SOLFIN"/>
    <s v="CCMS"/>
    <n v="21349994"/>
    <n v="3703.78"/>
    <m/>
    <s v="N"/>
    <n v="14"/>
    <d v="2023-07-10T19:02:08"/>
    <s v="Y"/>
    <s v="Preparation - other"/>
    <s v="Prescribed Hourly Rates"/>
    <s v="Profit Cost"/>
    <s v="AJ"/>
    <s v="Y"/>
    <n v="10.98"/>
    <n v="2.2"/>
    <x v="2"/>
    <s v="VALIDATED"/>
    <n v="1"/>
    <s v="01.11.80.302.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18"/>
    <d v="2023-07-10T19:02:08"/>
    <s v="Y"/>
    <s v="Preparation - drafting instructions"/>
    <s v="Prescribed Hourly Rates"/>
    <s v="Profit Cost"/>
    <s v="JEB(25%)"/>
    <s v="Y"/>
    <n v="68.63"/>
    <n v="13.73"/>
    <x v="2"/>
    <s v="VALIDATED"/>
    <n v="1"/>
    <s v="01.11.80.302.6100.0000"/>
    <n v="68.63"/>
    <s v="11"/>
    <s v="6100"/>
    <n v="2797.09"/>
    <n v="68.63"/>
    <s v="CREDITOR"/>
    <n v="0"/>
    <n v="0"/>
    <n v="0"/>
    <n v="0"/>
    <n v="68.63"/>
  </r>
  <r>
    <n v="59825089"/>
    <s v="N"/>
    <n v="21338284"/>
    <s v="3000014136560016"/>
    <s v="CIVIL"/>
    <d v="2023-06-28T00:00:00"/>
    <d v="2023-07-06T19:21:01"/>
    <m/>
    <d v="2023-07-06T00:00:00"/>
    <n v="1339"/>
    <n v="14314"/>
    <s v="59825089"/>
    <s v="59825089"/>
    <m/>
    <m/>
    <n v="22781486"/>
    <m/>
    <m/>
    <m/>
    <s v="SOLINT"/>
    <s v="SOLINT"/>
    <s v="CCMS"/>
    <n v="21338284"/>
    <n v="6837.19"/>
    <m/>
    <s v="N"/>
    <n v="83"/>
    <d v="2023-07-06T19:21:17"/>
    <s v="Y"/>
    <s v="Routine Telephone Call"/>
    <s v="Prescribed Hourly Rates"/>
    <s v="Profit Cost"/>
    <s v="PH"/>
    <s v="Y"/>
    <n v="81"/>
    <n v="16.2"/>
    <x v="4"/>
    <s v="VALIDATED"/>
    <n v="1"/>
    <s v="01.11.80.307.6100.0000"/>
    <n v="81"/>
    <s v="11"/>
    <s v="6100"/>
    <n v="2797.09"/>
    <n v="81"/>
    <s v="CREDITOR"/>
    <n v="0"/>
    <n v="0"/>
    <n v="0"/>
    <n v="0"/>
    <n v="81"/>
  </r>
  <r>
    <n v="59913492"/>
    <s v="N"/>
    <n v="21349994"/>
    <s v="3000014257360012"/>
    <s v="CIVIL"/>
    <d v="2023-06-30T00:00:00"/>
    <d v="2023-07-10T19:01:40"/>
    <m/>
    <d v="2023-07-10T00:00:00"/>
    <n v="1339"/>
    <n v="14314"/>
    <s v="59913492"/>
    <s v="59913492"/>
    <m/>
    <m/>
    <n v="22800744"/>
    <m/>
    <m/>
    <m/>
    <s v="SOLFIN"/>
    <s v="SOLFIN"/>
    <s v="CCMS"/>
    <n v="21349994"/>
    <n v="3703.78"/>
    <m/>
    <s v="N"/>
    <n v="53"/>
    <d v="2023-07-10T19:02:08"/>
    <s v="Y"/>
    <s v="Preparation - other"/>
    <s v="Prescribed Hourly Rates"/>
    <s v="Profit Cost"/>
    <s v="JEB(25%)"/>
    <s v="Y"/>
    <n v="68.63"/>
    <n v="13.73"/>
    <x v="2"/>
    <s v="VALIDATED"/>
    <n v="1"/>
    <s v="01.11.80.302.6100.0000"/>
    <n v="68.63"/>
    <s v="11"/>
    <s v="6100"/>
    <n v="2797.09"/>
    <n v="68.63"/>
    <s v="CREDITOR"/>
    <n v="0"/>
    <n v="0"/>
    <n v="0"/>
    <n v="0"/>
    <n v="68.63"/>
  </r>
  <r>
    <n v="59913492"/>
    <s v="N"/>
    <n v="21349994"/>
    <s v="3000014257360012"/>
    <s v="CIVIL"/>
    <d v="2023-06-30T00:00:00"/>
    <d v="2023-07-10T19:01:40"/>
    <m/>
    <d v="2023-07-10T00:00:00"/>
    <n v="1339"/>
    <n v="14314"/>
    <s v="59913492"/>
    <s v="59913492"/>
    <m/>
    <m/>
    <n v="22800744"/>
    <m/>
    <m/>
    <m/>
    <s v="SOLFIN"/>
    <s v="SOLFIN"/>
    <s v="CCMS"/>
    <n v="21349994"/>
    <n v="3703.78"/>
    <m/>
    <s v="N"/>
    <n v="70"/>
    <d v="2023-07-10T19:02:08"/>
    <s v="Y"/>
    <s v="Routine Telephone Call"/>
    <s v="Prescribed Hourly Rates"/>
    <s v="Profit Cost"/>
    <s v="CL"/>
    <s v="Y"/>
    <n v="5.4"/>
    <n v="1.08"/>
    <x v="2"/>
    <s v="VALIDATED"/>
    <n v="1"/>
    <s v="01.11.80.302.6100.0000"/>
    <n v="5.4"/>
    <s v="11"/>
    <s v="6100"/>
    <n v="2797.09"/>
    <n v="5.4"/>
    <s v="CREDITOR"/>
    <n v="0"/>
    <n v="0"/>
    <n v="0"/>
    <n v="0"/>
    <n v="5.4"/>
  </r>
  <r>
    <n v="59913492"/>
    <s v="N"/>
    <n v="21349994"/>
    <s v="3000014257360012"/>
    <s v="CIVIL"/>
    <d v="2023-06-30T00:00:00"/>
    <d v="2023-07-10T19:01:40"/>
    <m/>
    <d v="2023-07-10T00:00:00"/>
    <n v="1339"/>
    <n v="14314"/>
    <s v="59913492"/>
    <s v="59913492"/>
    <m/>
    <m/>
    <n v="22800744"/>
    <m/>
    <m/>
    <m/>
    <s v="SOLFIN"/>
    <s v="SOLFIN"/>
    <s v="CCMS"/>
    <n v="21349994"/>
    <n v="3703.78"/>
    <m/>
    <s v="N"/>
    <n v="5"/>
    <d v="2023-07-10T19:02:08"/>
    <s v="Y"/>
    <s v="Preparation - other"/>
    <s v="Prescribed Hourly Rates"/>
    <s v="Profit Cost"/>
    <s v="AJ(25%)"/>
    <s v="Y"/>
    <n v="13.73"/>
    <n v="2.75"/>
    <x v="2"/>
    <s v="VALIDATED"/>
    <n v="1"/>
    <s v="01.11.80.302.6100.0000"/>
    <n v="13.73"/>
    <s v="11"/>
    <s v="6100"/>
    <n v="2797.09"/>
    <n v="13.73"/>
    <s v="CREDITOR"/>
    <n v="0"/>
    <n v="0"/>
    <n v="0"/>
    <n v="0"/>
    <n v="13.73"/>
  </r>
  <r>
    <n v="59913492"/>
    <s v="N"/>
    <n v="21349994"/>
    <s v="3000014257360012"/>
    <s v="CIVIL"/>
    <d v="2023-06-30T00:00:00"/>
    <d v="2023-07-10T19:01:40"/>
    <m/>
    <d v="2023-07-10T00:00:00"/>
    <n v="1339"/>
    <n v="14314"/>
    <s v="59913492"/>
    <s v="59913492"/>
    <m/>
    <m/>
    <n v="22800744"/>
    <m/>
    <m/>
    <m/>
    <s v="SOLFIN"/>
    <s v="SOLFIN"/>
    <s v="CCMS"/>
    <n v="21349994"/>
    <n v="3703.78"/>
    <m/>
    <s v="N"/>
    <n v="16"/>
    <d v="2023-07-10T19:02:08"/>
    <s v="Y"/>
    <s v="Attendance upon client"/>
    <s v="Prescribed Hourly Rates"/>
    <s v="Profit Cost"/>
    <s v="JEB(25%)"/>
    <s v="Y"/>
    <n v="13.73"/>
    <n v="2.75"/>
    <x v="2"/>
    <s v="VALIDATED"/>
    <n v="1"/>
    <s v="01.11.80.302.6100.0000"/>
    <n v="13.73"/>
    <s v="11"/>
    <s v="6100"/>
    <n v="2797.09"/>
    <n v="13.73"/>
    <s v="CREDITOR"/>
    <n v="0"/>
    <n v="0"/>
    <n v="0"/>
    <n v="0"/>
    <n v="13.73"/>
  </r>
  <r>
    <n v="59913492"/>
    <s v="N"/>
    <n v="21349994"/>
    <s v="3000014257360012"/>
    <s v="CIVIL"/>
    <d v="2023-06-30T00:00:00"/>
    <d v="2023-07-10T19:01:40"/>
    <m/>
    <d v="2023-07-10T00:00:00"/>
    <n v="1339"/>
    <n v="14314"/>
    <s v="59913492"/>
    <s v="59913492"/>
    <m/>
    <m/>
    <n v="22800744"/>
    <m/>
    <m/>
    <m/>
    <s v="SOLFIN"/>
    <s v="SOLFIN"/>
    <s v="CCMS"/>
    <n v="21349994"/>
    <n v="3703.78"/>
    <m/>
    <s v="N"/>
    <n v="17"/>
    <d v="2023-07-10T19:02:08"/>
    <s v="Y"/>
    <s v="Preparation - other"/>
    <s v="Prescribed Hourly Rates"/>
    <s v="Profit Cost"/>
    <s v="JEB"/>
    <s v="Y"/>
    <n v="5.49"/>
    <n v="1.1"/>
    <x v="2"/>
    <s v="VALIDATED"/>
    <n v="1"/>
    <s v="01.11.80.302.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55"/>
    <d v="2023-07-10T19:02:08"/>
    <s v="Y"/>
    <s v="Preparation - other"/>
    <s v="Prescribed Hourly Rates"/>
    <s v="Profit Cost"/>
    <s v="JEB"/>
    <s v="Y"/>
    <n v="5.49"/>
    <n v="1.1"/>
    <x v="2"/>
    <s v="VALIDATED"/>
    <n v="1"/>
    <s v="01.11.80.302.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65"/>
    <d v="2023-07-06T19:21:17"/>
    <s v="Y"/>
    <s v="Preparation - other"/>
    <s v="Prescribed Hourly Rates"/>
    <s v="Profit Cost"/>
    <s v="GMK"/>
    <s v="Y"/>
    <n v="63.14"/>
    <n v="12.63"/>
    <x v="4"/>
    <s v="VALIDATED"/>
    <n v="1"/>
    <s v="01.11.80.307.6100.0000"/>
    <n v="63.14"/>
    <s v="11"/>
    <s v="6100"/>
    <n v="2797.09"/>
    <n v="63.14"/>
    <s v="CREDITOR"/>
    <n v="0"/>
    <n v="0"/>
    <n v="0"/>
    <n v="0"/>
    <n v="63.14"/>
  </r>
  <r>
    <n v="59825089"/>
    <s v="N"/>
    <n v="21338284"/>
    <s v="3000014136560016"/>
    <s v="CIVIL"/>
    <d v="2023-06-28T00:00:00"/>
    <d v="2023-07-06T19:21:01"/>
    <m/>
    <d v="2023-07-06T00:00:00"/>
    <n v="1339"/>
    <n v="14314"/>
    <s v="59825089"/>
    <s v="59825089"/>
    <m/>
    <m/>
    <n v="22781486"/>
    <m/>
    <m/>
    <m/>
    <s v="SOLINT"/>
    <s v="SOLINT"/>
    <s v="CCMS"/>
    <n v="21338284"/>
    <n v="6837.19"/>
    <m/>
    <s v="N"/>
    <n v="114"/>
    <d v="2023-07-06T19:21:17"/>
    <s v="N"/>
    <s v="Level 3 &amp; Level 4 Fixed Fee"/>
    <s v="Private Law Children"/>
    <s v="Profit Cost"/>
    <s v="GMK"/>
    <s v="N"/>
    <n v="0"/>
    <n v="0"/>
    <x v="4"/>
    <s v="VALIDATED"/>
    <n v="1"/>
    <s v="01.11.80.307.6100.0000"/>
    <n v="0"/>
    <s v="11"/>
    <s v="6100"/>
    <n v="2797.09"/>
    <n v="0"/>
    <s v="CREDITOR"/>
    <n v="0"/>
    <n v="0"/>
    <n v="0"/>
    <n v="0"/>
    <n v="0"/>
  </r>
  <r>
    <n v="59825089"/>
    <s v="N"/>
    <n v="21338284"/>
    <s v="3000014136560016"/>
    <s v="CIVIL"/>
    <d v="2023-06-28T00:00:00"/>
    <d v="2023-07-06T19:21:01"/>
    <m/>
    <d v="2023-07-06T00:00:00"/>
    <n v="1339"/>
    <n v="14314"/>
    <s v="59825089"/>
    <s v="59825089"/>
    <m/>
    <m/>
    <n v="22781486"/>
    <m/>
    <m/>
    <m/>
    <s v="SOLINT"/>
    <s v="SOLINT"/>
    <s v="CCMS"/>
    <n v="21338284"/>
    <n v="6837.19"/>
    <m/>
    <s v="N"/>
    <n v="54"/>
    <d v="2023-07-06T19:21:17"/>
    <s v="Y"/>
    <s v="Preparation - drafting attendance n"/>
    <s v="Prescribed Hourly Rates"/>
    <s v="Profit Cost"/>
    <s v="PH"/>
    <s v="Y"/>
    <n v="38.43"/>
    <n v="7.69"/>
    <x v="4"/>
    <s v="VALIDATED"/>
    <n v="1"/>
    <s v="01.11.80.307.6100.0000"/>
    <n v="38.43"/>
    <s v="11"/>
    <s v="6100"/>
    <n v="2797.09"/>
    <n v="38.43"/>
    <s v="CREDITOR"/>
    <n v="0"/>
    <n v="0"/>
    <n v="0"/>
    <n v="0"/>
    <n v="38.43"/>
  </r>
  <r>
    <n v="59825089"/>
    <s v="N"/>
    <n v="21338284"/>
    <s v="3000014136560016"/>
    <s v="CIVIL"/>
    <d v="2023-06-28T00:00:00"/>
    <d v="2023-07-06T19:21:01"/>
    <m/>
    <d v="2023-07-06T00:00:00"/>
    <n v="1339"/>
    <n v="14314"/>
    <s v="59825089"/>
    <s v="59825089"/>
    <m/>
    <m/>
    <n v="22781486"/>
    <m/>
    <m/>
    <m/>
    <s v="SOLINT"/>
    <s v="SOLINT"/>
    <s v="CCMS"/>
    <n v="21338284"/>
    <n v="6837.19"/>
    <m/>
    <s v="N"/>
    <n v="62"/>
    <d v="2023-07-06T19:21:17"/>
    <s v="Y"/>
    <s v="Preparation - drafting attendance n"/>
    <s v="Prescribed Hourly Rates"/>
    <s v="Profit Cost"/>
    <s v="GMK"/>
    <s v="Y"/>
    <n v="6.31"/>
    <n v="1.26"/>
    <x v="4"/>
    <s v="VALIDATED"/>
    <n v="1"/>
    <s v="01.11.80.307.6100.0000"/>
    <n v="6.31"/>
    <s v="11"/>
    <s v="6100"/>
    <n v="2797.09"/>
    <n v="6.31"/>
    <s v="CREDITOR"/>
    <n v="0"/>
    <n v="0"/>
    <n v="0"/>
    <n v="0"/>
    <n v="6.31"/>
  </r>
  <r>
    <n v="59825089"/>
    <s v="N"/>
    <n v="21338284"/>
    <s v="3000014136560016"/>
    <s v="CIVIL"/>
    <d v="2023-06-28T00:00:00"/>
    <d v="2023-07-06T19:21:01"/>
    <m/>
    <d v="2023-07-06T00:00:00"/>
    <n v="1339"/>
    <n v="14314"/>
    <s v="59825089"/>
    <s v="59825089"/>
    <m/>
    <m/>
    <n v="22781486"/>
    <m/>
    <m/>
    <m/>
    <s v="SOLINT"/>
    <s v="SOLINT"/>
    <s v="CCMS"/>
    <n v="21338284"/>
    <n v="6837.19"/>
    <m/>
    <s v="N"/>
    <n v="9"/>
    <d v="2023-07-06T19:21:17"/>
    <s v="Y"/>
    <s v="Preparation - Periodic file review"/>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102"/>
    <d v="2023-07-06T19:21:17"/>
    <s v="Y"/>
    <s v="Routine Letter Out"/>
    <s v="Prescribed Hourly Rates"/>
    <s v="Profit Cost"/>
    <s v="PH"/>
    <s v="Y"/>
    <n v="556.2"/>
    <n v="111.25"/>
    <x v="4"/>
    <s v="VALIDATED"/>
    <n v="1"/>
    <s v="01.11.80.307.6100.0000"/>
    <n v="556.2"/>
    <s v="11"/>
    <s v="6100"/>
    <n v="2797.09"/>
    <n v="556.2"/>
    <s v="CREDITOR"/>
    <n v="0"/>
    <n v="0"/>
    <n v="0"/>
    <n v="0"/>
    <n v="556.2"/>
  </r>
  <r>
    <n v="59825089"/>
    <s v="N"/>
    <n v="21338284"/>
    <s v="3000014136560016"/>
    <s v="CIVIL"/>
    <d v="2023-06-28T00:00:00"/>
    <d v="2023-07-06T19:21:01"/>
    <m/>
    <d v="2023-07-06T00:00:00"/>
    <n v="1339"/>
    <n v="14314"/>
    <s v="59825089"/>
    <s v="59825089"/>
    <m/>
    <m/>
    <n v="22781486"/>
    <m/>
    <m/>
    <m/>
    <s v="SOLINT"/>
    <s v="SOLINT"/>
    <s v="CCMS"/>
    <n v="21338284"/>
    <n v="6837.19"/>
    <m/>
    <s v="N"/>
    <n v="81"/>
    <d v="2023-07-06T19:21:17"/>
    <s v="Y"/>
    <s v="Attendance upon/with Counsel at Con"/>
    <s v="Prescribed Hourly Rates"/>
    <s v="Profit Cost"/>
    <s v="PH"/>
    <s v="Y"/>
    <n v="6.48"/>
    <n v="1.3"/>
    <x v="4"/>
    <s v="VALIDATED"/>
    <n v="1"/>
    <s v="01.11.80.307.6100.0000"/>
    <n v="6.48"/>
    <s v="11"/>
    <s v="6100"/>
    <n v="2797.09"/>
    <n v="6.48"/>
    <s v="CREDITOR"/>
    <n v="0"/>
    <n v="0"/>
    <n v="0"/>
    <n v="0"/>
    <n v="6.48"/>
  </r>
  <r>
    <n v="60937315"/>
    <s v="N"/>
    <n v="21338315"/>
    <s v="3000015153840010"/>
    <s v="CIVIL"/>
    <d v="2023-06-27T00:00:00"/>
    <d v="2023-07-06T19:21:01"/>
    <m/>
    <d v="2023-07-06T00:00:00"/>
    <n v="1339"/>
    <n v="14314"/>
    <s v="60937315"/>
    <s v="60937315"/>
    <m/>
    <m/>
    <n v="22773572"/>
    <m/>
    <m/>
    <m/>
    <s v="SOLFIN"/>
    <s v="SOLFIN"/>
    <s v="CCMS"/>
    <n v="21338315"/>
    <n v="6159.62"/>
    <m/>
    <s v="N"/>
    <n v="10"/>
    <d v="2023-07-06T19:21:18"/>
    <s v="Y"/>
    <s v="Advocates Meeting"/>
    <s v="Public Law Children"/>
    <s v="Advocacy"/>
    <s v="BB"/>
    <s v="Y"/>
    <n v="140.99"/>
    <n v="28.2"/>
    <x v="4"/>
    <s v="VALIDATED"/>
    <n v="1"/>
    <s v="01.11.80.308.6100.0000"/>
    <n v="140.99"/>
    <s v="11"/>
    <s v="6100"/>
    <n v="2797.09"/>
    <n v="140.99"/>
    <s v="CREDITOR"/>
    <n v="0"/>
    <n v="0"/>
    <n v="0"/>
    <n v="0"/>
    <n v="140.99"/>
  </r>
  <r>
    <n v="59825089"/>
    <s v="N"/>
    <n v="21338284"/>
    <s v="3000014136560016"/>
    <s v="CIVIL"/>
    <d v="2023-06-28T00:00:00"/>
    <d v="2023-07-06T19:21:01"/>
    <m/>
    <d v="2023-07-06T00:00:00"/>
    <n v="1339"/>
    <n v="14314"/>
    <s v="59825089"/>
    <s v="59825089"/>
    <m/>
    <m/>
    <n v="22781486"/>
    <m/>
    <m/>
    <m/>
    <s v="SOLINT"/>
    <s v="SOLINT"/>
    <s v="CCMS"/>
    <n v="21338284"/>
    <n v="6837.19"/>
    <m/>
    <s v="N"/>
    <n v="17"/>
    <d v="2023-07-06T19:21:17"/>
    <s v="Y"/>
    <s v="Preparation - other"/>
    <s v="Prescribed Hourly Rates"/>
    <s v="Profit Cost"/>
    <s v="GMK"/>
    <s v="Y"/>
    <n v="18.94"/>
    <n v="3.79"/>
    <x v="4"/>
    <s v="VALIDATED"/>
    <n v="1"/>
    <s v="01.11.80.307.6100.0000"/>
    <n v="18.94"/>
    <s v="11"/>
    <s v="6100"/>
    <n v="2797.09"/>
    <n v="18.94"/>
    <s v="CREDITOR"/>
    <n v="0"/>
    <n v="0"/>
    <n v="0"/>
    <n v="0"/>
    <n v="18.94"/>
  </r>
  <r>
    <n v="60937315"/>
    <s v="N"/>
    <n v="21338315"/>
    <s v="3000015153840010"/>
    <s v="CIVIL"/>
    <d v="2023-06-27T00:00:00"/>
    <d v="2023-07-06T19:21:01"/>
    <m/>
    <d v="2023-07-06T00:00:00"/>
    <n v="1339"/>
    <n v="14314"/>
    <s v="60937315"/>
    <s v="60937315"/>
    <m/>
    <m/>
    <n v="22773572"/>
    <m/>
    <m/>
    <m/>
    <s v="SOLFIN"/>
    <s v="SOLFIN"/>
    <s v="CCMS"/>
    <n v="21338315"/>
    <n v="6159.62"/>
    <m/>
    <s v="N"/>
    <n v="4"/>
    <d v="2023-07-06T19:21:18"/>
    <s v="Y"/>
    <s v="Solicitor Travel Mileage"/>
    <s v="Public Law Children"/>
    <s v="Non Expert Disbursement"/>
    <s v="BB"/>
    <s v="Y"/>
    <n v="59.4"/>
    <n v="11.88"/>
    <x v="4"/>
    <s v="VALIDATED"/>
    <n v="1"/>
    <s v="01.11.80.308.6300.0000"/>
    <n v="59.4"/>
    <s v="11"/>
    <s v="6300"/>
    <n v="2797.09"/>
    <n v="59.4"/>
    <s v="CREDITOR"/>
    <n v="0"/>
    <n v="0"/>
    <n v="0"/>
    <n v="0"/>
    <n v="59.4"/>
  </r>
  <r>
    <n v="59913492"/>
    <s v="N"/>
    <n v="21349994"/>
    <s v="3000014257360012"/>
    <s v="CIVIL"/>
    <d v="2023-06-30T00:00:00"/>
    <d v="2023-07-10T19:01:40"/>
    <m/>
    <d v="2023-07-10T00:00:00"/>
    <n v="1339"/>
    <n v="14314"/>
    <s v="59913492"/>
    <s v="59913492"/>
    <m/>
    <m/>
    <n v="22800744"/>
    <m/>
    <m/>
    <m/>
    <s v="SOLFIN"/>
    <s v="SOLFIN"/>
    <s v="CCMS"/>
    <n v="21349994"/>
    <n v="3703.78"/>
    <m/>
    <s v="N"/>
    <n v="7"/>
    <d v="2023-07-10T19:02:08"/>
    <s v="Y"/>
    <s v="Preparation - other"/>
    <s v="Prescribed Hourly Rates"/>
    <s v="Profit Cost"/>
    <s v="AJ(25%)"/>
    <s v="Y"/>
    <n v="13.73"/>
    <n v="2.75"/>
    <x v="2"/>
    <s v="VALIDATED"/>
    <n v="1"/>
    <s v="01.11.80.302.6100.0000"/>
    <n v="13.73"/>
    <s v="11"/>
    <s v="6100"/>
    <n v="2797.09"/>
    <n v="13.73"/>
    <s v="CREDITOR"/>
    <n v="0"/>
    <n v="0"/>
    <n v="0"/>
    <n v="0"/>
    <n v="13.73"/>
  </r>
  <r>
    <n v="59825089"/>
    <s v="N"/>
    <n v="21338284"/>
    <s v="3000014136560016"/>
    <s v="CIVIL"/>
    <d v="2023-06-28T00:00:00"/>
    <d v="2023-07-06T19:21:01"/>
    <m/>
    <d v="2023-07-06T00:00:00"/>
    <n v="1339"/>
    <n v="14314"/>
    <s v="59825089"/>
    <s v="59825089"/>
    <m/>
    <m/>
    <n v="22781486"/>
    <m/>
    <m/>
    <m/>
    <s v="SOLINT"/>
    <s v="SOLINT"/>
    <s v="CCMS"/>
    <n v="21338284"/>
    <n v="6837.19"/>
    <m/>
    <s v="N"/>
    <n v="46"/>
    <d v="2023-07-06T19:21:17"/>
    <s v="Y"/>
    <s v="Preparation - other"/>
    <s v="Prescribed Hourly Rates"/>
    <s v="Profit Cost"/>
    <s v="GMK"/>
    <s v="Y"/>
    <n v="12.63"/>
    <n v="2.53"/>
    <x v="4"/>
    <s v="VALIDATED"/>
    <n v="1"/>
    <s v="01.11.80.307.6100.0000"/>
    <n v="12.63"/>
    <s v="11"/>
    <s v="6100"/>
    <n v="2797.09"/>
    <n v="12.63"/>
    <s v="CREDITOR"/>
    <n v="0"/>
    <n v="0"/>
    <n v="0"/>
    <n v="0"/>
    <n v="12.63"/>
  </r>
  <r>
    <n v="59825089"/>
    <s v="N"/>
    <n v="21338284"/>
    <s v="3000014136560016"/>
    <s v="CIVIL"/>
    <d v="2023-06-28T00:00:00"/>
    <d v="2023-07-06T19:21:01"/>
    <m/>
    <d v="2023-07-06T00:00:00"/>
    <n v="1339"/>
    <n v="14314"/>
    <s v="59825089"/>
    <s v="59825089"/>
    <m/>
    <m/>
    <n v="22781486"/>
    <m/>
    <m/>
    <m/>
    <s v="SOLINT"/>
    <s v="SOLINT"/>
    <s v="CCMS"/>
    <n v="21338284"/>
    <n v="6837.19"/>
    <m/>
    <s v="N"/>
    <n v="51"/>
    <d v="2023-07-06T19:21:17"/>
    <s v="Y"/>
    <s v="Preparation - drafting attendance n"/>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108"/>
    <d v="2023-07-06T19:21:17"/>
    <s v="Y"/>
    <s v="Preparation - other"/>
    <s v="Prescribed Hourly Rates"/>
    <s v="Profit Cost"/>
    <s v="PH"/>
    <s v="Y"/>
    <n v="10.98"/>
    <n v="2.2"/>
    <x v="4"/>
    <s v="VALIDATED"/>
    <n v="1"/>
    <s v="01.11.80.307.6100.0000"/>
    <n v="10.98"/>
    <s v="11"/>
    <s v="6100"/>
    <n v="2797.09"/>
    <n v="10.98"/>
    <s v="CREDITOR"/>
    <n v="0"/>
    <n v="0"/>
    <n v="0"/>
    <n v="0"/>
    <n v="10.98"/>
  </r>
  <r>
    <n v="59825089"/>
    <s v="N"/>
    <n v="21338284"/>
    <s v="3000014136560016"/>
    <s v="CIVIL"/>
    <d v="2023-06-28T00:00:00"/>
    <d v="2023-07-06T19:21:01"/>
    <m/>
    <d v="2023-07-06T00:00:00"/>
    <n v="1339"/>
    <n v="14314"/>
    <s v="59825089"/>
    <s v="59825089"/>
    <m/>
    <m/>
    <n v="22781486"/>
    <m/>
    <m/>
    <m/>
    <s v="SOLINT"/>
    <s v="SOLINT"/>
    <s v="CCMS"/>
    <n v="21338284"/>
    <n v="6837.19"/>
    <m/>
    <s v="N"/>
    <n v="50"/>
    <d v="2023-07-06T19:21:17"/>
    <s v="Y"/>
    <s v="Preparation - drafting instructions"/>
    <s v="Prescribed Hourly Rates"/>
    <s v="Profit Cost"/>
    <s v="PH"/>
    <s v="Y"/>
    <n v="21.96"/>
    <n v="4.39"/>
    <x v="4"/>
    <s v="VALIDATED"/>
    <n v="1"/>
    <s v="01.11.80.307.6100.0000"/>
    <n v="21.96"/>
    <s v="11"/>
    <s v="6100"/>
    <n v="2797.09"/>
    <n v="21.96"/>
    <s v="CREDITOR"/>
    <n v="0"/>
    <n v="0"/>
    <n v="0"/>
    <n v="0"/>
    <n v="21.96"/>
  </r>
  <r>
    <n v="9040080"/>
    <s v="N"/>
    <n v="21321456"/>
    <s v="3000005045220067"/>
    <s v="CIVIL"/>
    <d v="2023-06-29T00:00:00"/>
    <d v="2023-07-03T19:05:17"/>
    <m/>
    <d v="2023-07-03T00:00:00"/>
    <n v="1339"/>
    <n v="14314"/>
    <s v="9040080"/>
    <s v="9040080"/>
    <m/>
    <m/>
    <n v="22786966"/>
    <m/>
    <m/>
    <m/>
    <s v="SOLPOA"/>
    <s v="SOLPOA"/>
    <s v="CCMS"/>
    <n v="21321456"/>
    <n v="142.68"/>
    <m/>
    <s v="N"/>
    <n v="1"/>
    <d v="2023-07-03T19:05:19"/>
    <s v="N"/>
    <s v="Expert Cost - Domestic Abuse"/>
    <s v="Expert Cost - Domestic Abuse"/>
    <s v="Expert Disbursement"/>
    <s v="GMK"/>
    <s v="N"/>
    <n v="118.9"/>
    <n v="23.78"/>
    <x v="3"/>
    <s v="VALIDATED"/>
    <n v="1"/>
    <s v="01.11.80.307.2012.0000"/>
    <n v="118.9"/>
    <s v="11"/>
    <s v="2012"/>
    <n v="2797.09"/>
    <n v="118.9"/>
    <s v="CREDITOR"/>
    <n v="118.9"/>
    <n v="0"/>
    <n v="0"/>
    <n v="0"/>
    <n v="0"/>
  </r>
  <r>
    <n v="59825089"/>
    <s v="N"/>
    <n v="21338284"/>
    <s v="3000014136560016"/>
    <s v="CIVIL"/>
    <d v="2023-06-28T00:00:00"/>
    <d v="2023-07-06T19:21:01"/>
    <m/>
    <d v="2023-07-06T00:00:00"/>
    <n v="1339"/>
    <n v="14314"/>
    <s v="59825089"/>
    <s v="59825089"/>
    <m/>
    <m/>
    <n v="22781486"/>
    <m/>
    <m/>
    <m/>
    <s v="SOLINT"/>
    <s v="SOLINT"/>
    <s v="CCMS"/>
    <n v="21338284"/>
    <n v="6837.19"/>
    <m/>
    <s v="N"/>
    <n v="29"/>
    <d v="2023-07-06T19:21:17"/>
    <s v="Y"/>
    <s v="Attendance upon client"/>
    <s v="Prescribed Hourly Rates"/>
    <s v="Profit Cost"/>
    <s v="GMK"/>
    <s v="Y"/>
    <n v="37.88"/>
    <n v="7.58"/>
    <x v="4"/>
    <s v="VALIDATED"/>
    <n v="1"/>
    <s v="01.11.80.307.6100.0000"/>
    <n v="37.88"/>
    <s v="11"/>
    <s v="6100"/>
    <n v="2797.09"/>
    <n v="37.88"/>
    <s v="CREDITOR"/>
    <n v="0"/>
    <n v="0"/>
    <n v="0"/>
    <n v="0"/>
    <n v="37.88"/>
  </r>
  <r>
    <n v="59825089"/>
    <s v="N"/>
    <n v="21338284"/>
    <s v="3000014136560016"/>
    <s v="CIVIL"/>
    <d v="2023-06-28T00:00:00"/>
    <d v="2023-07-06T19:21:01"/>
    <m/>
    <d v="2023-07-06T00:00:00"/>
    <n v="1339"/>
    <n v="14314"/>
    <s v="59825089"/>
    <s v="59825089"/>
    <m/>
    <m/>
    <n v="22781486"/>
    <m/>
    <m/>
    <m/>
    <s v="SOLINT"/>
    <s v="SOLINT"/>
    <s v="CCMS"/>
    <n v="21338284"/>
    <n v="6837.19"/>
    <m/>
    <s v="N"/>
    <n v="39"/>
    <d v="2023-07-06T19:21:17"/>
    <s v="Y"/>
    <s v="Preparation - drafting attendance n"/>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101"/>
    <d v="2023-07-06T19:21:17"/>
    <s v="Y"/>
    <s v="Preparation - drafting application"/>
    <s v="Prescribed Hourly Rates"/>
    <s v="Profit Cost"/>
    <s v="PH"/>
    <s v="Y"/>
    <n v="38.43"/>
    <n v="7.69"/>
    <x v="4"/>
    <s v="VALIDATED"/>
    <n v="1"/>
    <s v="01.11.80.307.6100.0000"/>
    <n v="38.43"/>
    <s v="11"/>
    <s v="6100"/>
    <n v="2797.09"/>
    <n v="38.43"/>
    <s v="CREDITOR"/>
    <n v="0"/>
    <n v="0"/>
    <n v="0"/>
    <n v="0"/>
    <n v="38.43"/>
  </r>
  <r>
    <n v="59825089"/>
    <s v="N"/>
    <n v="21338284"/>
    <s v="3000014136560016"/>
    <s v="CIVIL"/>
    <d v="2023-06-28T00:00:00"/>
    <d v="2023-07-06T19:21:01"/>
    <m/>
    <d v="2023-07-06T00:00:00"/>
    <n v="1339"/>
    <n v="14314"/>
    <s v="59825089"/>
    <s v="59825089"/>
    <m/>
    <m/>
    <n v="22781486"/>
    <m/>
    <m/>
    <m/>
    <s v="SOLINT"/>
    <s v="SOLINT"/>
    <s v="CCMS"/>
    <n v="21338284"/>
    <n v="6837.19"/>
    <m/>
    <s v="N"/>
    <n v="14"/>
    <d v="2023-07-06T19:21:17"/>
    <s v="Y"/>
    <s v="Preparation - other"/>
    <s v="Prescribed Hourly Rates"/>
    <s v="Profit Cost"/>
    <s v="GMK"/>
    <s v="Y"/>
    <n v="6.31"/>
    <n v="1.26"/>
    <x v="4"/>
    <s v="VALIDATED"/>
    <n v="1"/>
    <s v="01.11.80.307.6100.0000"/>
    <n v="6.31"/>
    <s v="11"/>
    <s v="6100"/>
    <n v="2797.09"/>
    <n v="6.31"/>
    <s v="CREDITOR"/>
    <n v="0"/>
    <n v="0"/>
    <n v="0"/>
    <n v="0"/>
    <n v="6.31"/>
  </r>
  <r>
    <n v="59913492"/>
    <s v="N"/>
    <n v="21349994"/>
    <s v="3000014257360012"/>
    <s v="CIVIL"/>
    <d v="2023-06-30T00:00:00"/>
    <d v="2023-07-10T19:01:40"/>
    <m/>
    <d v="2023-07-10T00:00:00"/>
    <n v="1339"/>
    <n v="14314"/>
    <s v="59913492"/>
    <s v="59913492"/>
    <m/>
    <m/>
    <n v="22800744"/>
    <m/>
    <m/>
    <m/>
    <s v="SOLFIN"/>
    <s v="SOLFIN"/>
    <s v="CCMS"/>
    <n v="21349994"/>
    <n v="3703.78"/>
    <m/>
    <s v="N"/>
    <n v="41"/>
    <d v="2023-07-10T19:02:08"/>
    <s v="Y"/>
    <s v="Preparation - other"/>
    <s v="Prescribed Hourly Rates"/>
    <s v="Profit Cost"/>
    <s v="JEB"/>
    <s v="Y"/>
    <n v="5.49"/>
    <n v="1.1"/>
    <x v="2"/>
    <s v="VALIDATED"/>
    <n v="1"/>
    <s v="01.11.80.302.6100.0000"/>
    <n v="5.49"/>
    <s v="11"/>
    <s v="6100"/>
    <n v="2797.09"/>
    <n v="5.49"/>
    <s v="CREDITOR"/>
    <n v="0"/>
    <n v="0"/>
    <n v="0"/>
    <n v="0"/>
    <n v="5.49"/>
  </r>
  <r>
    <n v="59913492"/>
    <s v="N"/>
    <n v="21349994"/>
    <s v="3000014257360012"/>
    <s v="CIVIL"/>
    <d v="2023-06-30T00:00:00"/>
    <d v="2023-07-10T19:01:40"/>
    <m/>
    <d v="2023-07-10T00:00:00"/>
    <n v="1339"/>
    <n v="14314"/>
    <s v="59913492"/>
    <s v="59913492"/>
    <m/>
    <m/>
    <n v="22800744"/>
    <m/>
    <m/>
    <m/>
    <s v="SOLFIN"/>
    <s v="SOLFIN"/>
    <s v="CCMS"/>
    <n v="21349994"/>
    <n v="3703.78"/>
    <m/>
    <s v="N"/>
    <n v="47"/>
    <d v="2023-07-10T19:02:08"/>
    <s v="Y"/>
    <s v="Preparation - other"/>
    <s v="Prescribed Hourly Rates"/>
    <s v="Profit Cost"/>
    <s v="JEB(25%)"/>
    <s v="Y"/>
    <n v="6.86"/>
    <n v="1.37"/>
    <x v="2"/>
    <s v="VALIDATED"/>
    <n v="1"/>
    <s v="01.11.80.302.6100.0000"/>
    <n v="6.86"/>
    <s v="11"/>
    <s v="6100"/>
    <n v="2797.09"/>
    <n v="6.86"/>
    <s v="CREDITOR"/>
    <n v="0"/>
    <n v="0"/>
    <n v="0"/>
    <n v="0"/>
    <n v="6.86"/>
  </r>
  <r>
    <n v="59913492"/>
    <s v="N"/>
    <n v="21349994"/>
    <s v="3000014257360012"/>
    <s v="CIVIL"/>
    <d v="2023-06-30T00:00:00"/>
    <d v="2023-07-10T19:01:40"/>
    <m/>
    <d v="2023-07-10T00:00:00"/>
    <n v="1339"/>
    <n v="14314"/>
    <s v="59913492"/>
    <s v="59913492"/>
    <m/>
    <m/>
    <n v="22800744"/>
    <m/>
    <m/>
    <m/>
    <s v="SOLFIN"/>
    <s v="SOLFIN"/>
    <s v="CCMS"/>
    <n v="21349994"/>
    <n v="3703.78"/>
    <m/>
    <s v="N"/>
    <n v="2"/>
    <d v="2023-07-10T19:02:08"/>
    <s v="Y"/>
    <s v="GP (records report)"/>
    <s v="Prescribed Hourly Rates"/>
    <s v="Expert Disbursement"/>
    <s v="JEB"/>
    <s v="Y"/>
    <n v="30"/>
    <n v="0"/>
    <x v="2"/>
    <s v="VALIDATED"/>
    <n v="1"/>
    <s v="01.11.80.302.6300.0000"/>
    <n v="30"/>
    <s v="11"/>
    <s v="6300"/>
    <n v="2797.09"/>
    <n v="30"/>
    <s v="CREDITOR"/>
    <n v="0"/>
    <n v="0"/>
    <n v="0"/>
    <n v="0"/>
    <n v="30"/>
  </r>
  <r>
    <n v="59825089"/>
    <s v="N"/>
    <n v="21338284"/>
    <s v="3000014136560016"/>
    <s v="CIVIL"/>
    <d v="2023-06-28T00:00:00"/>
    <d v="2023-07-06T19:21:01"/>
    <m/>
    <d v="2023-07-06T00:00:00"/>
    <n v="1339"/>
    <n v="14314"/>
    <s v="59825089"/>
    <s v="59825089"/>
    <m/>
    <m/>
    <n v="22781486"/>
    <m/>
    <m/>
    <m/>
    <s v="SOLINT"/>
    <s v="SOLINT"/>
    <s v="CCMS"/>
    <n v="21338284"/>
    <n v="6837.19"/>
    <m/>
    <s v="N"/>
    <n v="11"/>
    <d v="2023-07-06T19:21:17"/>
    <s v="Y"/>
    <s v="Preparation - drafting attendance n"/>
    <s v="Prescribed Hourly Rates"/>
    <s v="Profit Cost"/>
    <s v="PH"/>
    <s v="Y"/>
    <n v="5.49"/>
    <n v="1.1"/>
    <x v="4"/>
    <s v="VALIDATED"/>
    <n v="1"/>
    <s v="01.11.80.307.6100.0000"/>
    <n v="5.49"/>
    <s v="11"/>
    <s v="6100"/>
    <n v="2797.09"/>
    <n v="5.49"/>
    <s v="CREDITOR"/>
    <n v="0"/>
    <n v="0"/>
    <n v="0"/>
    <n v="0"/>
    <n v="5.49"/>
  </r>
  <r>
    <n v="59825089"/>
    <s v="N"/>
    <n v="21338284"/>
    <s v="3000014136560016"/>
    <s v="CIVIL"/>
    <d v="2023-06-28T00:00:00"/>
    <d v="2023-07-06T19:21:01"/>
    <m/>
    <d v="2023-07-06T00:00:00"/>
    <n v="1339"/>
    <n v="14314"/>
    <s v="59825089"/>
    <s v="59825089"/>
    <m/>
    <m/>
    <n v="22781486"/>
    <m/>
    <m/>
    <m/>
    <s v="SOLINT"/>
    <s v="SOLINT"/>
    <s v="CCMS"/>
    <n v="21338284"/>
    <n v="6837.19"/>
    <m/>
    <s v="N"/>
    <n v="86"/>
    <d v="2023-07-06T19:21:17"/>
    <s v="Y"/>
    <s v="Preparation - other"/>
    <s v="Prescribed Hourly Rates"/>
    <s v="Profit Cost"/>
    <s v="PH"/>
    <s v="Y"/>
    <n v="10.98"/>
    <n v="2.2"/>
    <x v="4"/>
    <s v="VALIDATED"/>
    <n v="1"/>
    <s v="01.11.80.307.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43"/>
    <d v="2023-07-10T19:02:08"/>
    <s v="Y"/>
    <s v="Preparation - other"/>
    <s v="Prescribed Hourly Rates"/>
    <s v="Profit Cost"/>
    <s v="JEB(25%)"/>
    <s v="Y"/>
    <n v="6.86"/>
    <n v="1.37"/>
    <x v="2"/>
    <s v="VALIDATED"/>
    <n v="1"/>
    <s v="01.11.80.302.6100.0000"/>
    <n v="6.86"/>
    <s v="11"/>
    <s v="6100"/>
    <n v="2797.09"/>
    <n v="6.86"/>
    <s v="CREDITOR"/>
    <n v="0"/>
    <n v="0"/>
    <n v="0"/>
    <n v="0"/>
    <n v="6.86"/>
  </r>
  <r>
    <n v="59825089"/>
    <s v="N"/>
    <n v="21338284"/>
    <s v="3000014136560016"/>
    <s v="CIVIL"/>
    <d v="2023-06-28T00:00:00"/>
    <d v="2023-07-06T19:21:01"/>
    <m/>
    <d v="2023-07-06T00:00:00"/>
    <n v="1339"/>
    <n v="14314"/>
    <s v="59825089"/>
    <s v="59825089"/>
    <m/>
    <m/>
    <n v="22781486"/>
    <m/>
    <m/>
    <m/>
    <s v="SOLINT"/>
    <s v="SOLINT"/>
    <s v="CCMS"/>
    <n v="21338284"/>
    <n v="6837.19"/>
    <m/>
    <s v="N"/>
    <n v="8"/>
    <d v="2023-07-06T19:21:17"/>
    <s v="Y"/>
    <s v="Preparation - drafting attendance n"/>
    <s v="Prescribed Hourly Rates"/>
    <s v="Profit Cost"/>
    <s v="GMK"/>
    <s v="Y"/>
    <n v="6.31"/>
    <n v="1.26"/>
    <x v="4"/>
    <s v="VALIDATED"/>
    <n v="1"/>
    <s v="01.11.80.307.6100.0000"/>
    <n v="6.31"/>
    <s v="11"/>
    <s v="6100"/>
    <n v="2797.09"/>
    <n v="6.31"/>
    <s v="CREDITOR"/>
    <n v="0"/>
    <n v="0"/>
    <n v="0"/>
    <n v="0"/>
    <n v="6.31"/>
  </r>
  <r>
    <n v="59913492"/>
    <s v="N"/>
    <n v="21349994"/>
    <s v="3000014257360012"/>
    <s v="CIVIL"/>
    <d v="2023-06-30T00:00:00"/>
    <d v="2023-07-10T19:01:40"/>
    <m/>
    <d v="2023-07-10T00:00:00"/>
    <n v="1339"/>
    <n v="14314"/>
    <s v="59913492"/>
    <s v="59913492"/>
    <m/>
    <m/>
    <n v="22800744"/>
    <m/>
    <m/>
    <m/>
    <s v="SOLFIN"/>
    <s v="SOLFIN"/>
    <s v="CCMS"/>
    <n v="21349994"/>
    <n v="3703.78"/>
    <m/>
    <s v="N"/>
    <n v="30"/>
    <d v="2023-07-10T19:02:08"/>
    <s v="Y"/>
    <s v="Preparation - other"/>
    <s v="Prescribed Hourly Rates"/>
    <s v="Profit Cost"/>
    <s v="JEB"/>
    <s v="Y"/>
    <n v="10.98"/>
    <n v="2.2"/>
    <x v="2"/>
    <s v="VALIDATED"/>
    <n v="1"/>
    <s v="01.11.80.302.6100.0000"/>
    <n v="10.98"/>
    <s v="11"/>
    <s v="6100"/>
    <n v="2797.09"/>
    <n v="10.98"/>
    <s v="CREDITOR"/>
    <n v="0"/>
    <n v="0"/>
    <n v="0"/>
    <n v="0"/>
    <n v="10.98"/>
  </r>
  <r>
    <n v="59913492"/>
    <s v="N"/>
    <n v="21349994"/>
    <s v="3000014257360012"/>
    <s v="CIVIL"/>
    <d v="2023-06-30T00:00:00"/>
    <d v="2023-07-10T19:01:40"/>
    <m/>
    <d v="2023-07-10T00:00:00"/>
    <n v="1339"/>
    <n v="14314"/>
    <s v="59913492"/>
    <s v="59913492"/>
    <m/>
    <m/>
    <n v="22800744"/>
    <m/>
    <m/>
    <m/>
    <s v="SOLFIN"/>
    <s v="SOLFIN"/>
    <s v="CCMS"/>
    <n v="21349994"/>
    <n v="3703.78"/>
    <m/>
    <s v="N"/>
    <n v="31"/>
    <d v="2023-07-10T19:02:08"/>
    <s v="Y"/>
    <s v="Preparation - drafting statement"/>
    <s v="Prescribed Hourly Rates"/>
    <s v="Profit Cost"/>
    <s v="JEB(25%)"/>
    <s v="Y"/>
    <n v="34.31"/>
    <n v="6.86"/>
    <x v="2"/>
    <s v="VALIDATED"/>
    <n v="1"/>
    <s v="01.11.80.302.6100.0000"/>
    <n v="34.31"/>
    <s v="11"/>
    <s v="6100"/>
    <n v="2797.09"/>
    <n v="34.31"/>
    <s v="CREDITOR"/>
    <n v="0"/>
    <n v="0"/>
    <n v="0"/>
    <n v="0"/>
    <n v="34.31"/>
  </r>
  <r>
    <n v="59913492"/>
    <s v="N"/>
    <n v="21349994"/>
    <s v="3000014257360012"/>
    <s v="CIVIL"/>
    <d v="2023-06-30T00:00:00"/>
    <d v="2023-07-10T19:01:40"/>
    <m/>
    <d v="2023-07-10T00:00:00"/>
    <n v="1339"/>
    <n v="14314"/>
    <s v="59913492"/>
    <s v="59913492"/>
    <m/>
    <m/>
    <n v="22800744"/>
    <m/>
    <m/>
    <m/>
    <s v="SOLFIN"/>
    <s v="SOLFIN"/>
    <s v="CCMS"/>
    <n v="21349994"/>
    <n v="3703.78"/>
    <m/>
    <s v="N"/>
    <n v="3"/>
    <d v="2023-07-10T19:02:08"/>
    <s v="N"/>
    <s v="Level 3 &amp; Level 4 Fixed Fee"/>
    <s v="Private Law Children"/>
    <s v="Profit Cost"/>
    <s v="JEB"/>
    <s v="N"/>
    <n v="0"/>
    <n v="0"/>
    <x v="2"/>
    <s v="VALIDATED"/>
    <n v="1"/>
    <s v="01.11.80.302.6100.0000"/>
    <n v="0"/>
    <s v="11"/>
    <s v="6100"/>
    <n v="2797.09"/>
    <n v="0"/>
    <s v="CREDITOR"/>
    <n v="0"/>
    <n v="0"/>
    <n v="0"/>
    <n v="0"/>
    <n v="0"/>
  </r>
  <r>
    <n v="59825089"/>
    <s v="N"/>
    <n v="21338284"/>
    <s v="3000014136560016"/>
    <s v="CIVIL"/>
    <d v="2023-06-28T00:00:00"/>
    <d v="2023-07-06T19:21:01"/>
    <m/>
    <d v="2023-07-06T00:00:00"/>
    <n v="1339"/>
    <n v="14314"/>
    <s v="59825089"/>
    <s v="59825089"/>
    <m/>
    <m/>
    <n v="22781486"/>
    <m/>
    <m/>
    <m/>
    <s v="SOLINT"/>
    <s v="SOLINT"/>
    <s v="CCMS"/>
    <n v="21338284"/>
    <n v="6837.19"/>
    <m/>
    <s v="N"/>
    <n v="73"/>
    <d v="2023-07-06T19:21:17"/>
    <s v="Y"/>
    <s v="Preparation - other"/>
    <s v="Prescribed Hourly Rates"/>
    <s v="Profit Cost"/>
    <s v="PH"/>
    <s v="Y"/>
    <n v="5.49"/>
    <n v="1.1"/>
    <x v="4"/>
    <s v="VALIDATED"/>
    <n v="1"/>
    <s v="01.11.80.307.6100.0000"/>
    <n v="5.49"/>
    <s v="11"/>
    <s v="6100"/>
    <n v="2797.09"/>
    <n v="5.49"/>
    <s v="CREDITOR"/>
    <n v="0"/>
    <n v="0"/>
    <n v="0"/>
    <n v="0"/>
    <n v="5.49"/>
  </r>
  <r>
    <n v="60937315"/>
    <s v="N"/>
    <n v="21338315"/>
    <s v="3000015153840010"/>
    <s v="CIVIL"/>
    <d v="2023-06-27T00:00:00"/>
    <d v="2023-07-06T19:21:01"/>
    <m/>
    <d v="2023-07-06T00:00:00"/>
    <n v="1339"/>
    <n v="14314"/>
    <s v="60937315"/>
    <s v="60937315"/>
    <m/>
    <m/>
    <n v="22773572"/>
    <m/>
    <m/>
    <m/>
    <s v="SOLFIN"/>
    <s v="SOLFIN"/>
    <s v="CCMS"/>
    <n v="21338315"/>
    <n v="6159.62"/>
    <m/>
    <s v="N"/>
    <n v="8"/>
    <d v="2023-07-06T19:21:18"/>
    <s v="Y"/>
    <s v="Hearing Unit 2.31 - 5.00 Hours"/>
    <s v="Public Law Children"/>
    <s v="Advocacy"/>
    <s v="MCM"/>
    <s v="Y"/>
    <n v="476.92"/>
    <n v="95.38"/>
    <x v="4"/>
    <s v="VALIDATED"/>
    <n v="1"/>
    <s v="01.11.80.308.6100.0000"/>
    <n v="476.92"/>
    <s v="11"/>
    <s v="6100"/>
    <n v="2797.09"/>
    <n v="476.92"/>
    <s v="CREDITOR"/>
    <n v="0"/>
    <n v="0"/>
    <n v="0"/>
    <n v="0"/>
    <n v="476.92"/>
  </r>
  <r>
    <n v="59913492"/>
    <s v="N"/>
    <n v="21349994"/>
    <s v="3000014257360012"/>
    <s v="CIVIL"/>
    <d v="2023-06-30T00:00:00"/>
    <d v="2023-07-10T19:01:40"/>
    <m/>
    <d v="2023-07-10T00:00:00"/>
    <n v="1339"/>
    <n v="14314"/>
    <s v="59913492"/>
    <s v="59913492"/>
    <m/>
    <m/>
    <n v="22800744"/>
    <m/>
    <m/>
    <m/>
    <s v="SOLFIN"/>
    <s v="SOLFIN"/>
    <s v="CCMS"/>
    <n v="21349994"/>
    <n v="3703.78"/>
    <m/>
    <s v="N"/>
    <n v="58"/>
    <d v="2023-07-10T19:02:08"/>
    <s v="Y"/>
    <s v="Preparation - other"/>
    <s v="Prescribed Hourly Rates"/>
    <s v="Profit Cost"/>
    <s v="JEB(25%)"/>
    <s v="Y"/>
    <n v="13.73"/>
    <n v="2.75"/>
    <x v="2"/>
    <s v="VALIDATED"/>
    <n v="1"/>
    <s v="01.11.80.302.6100.0000"/>
    <n v="13.73"/>
    <s v="11"/>
    <s v="6100"/>
    <n v="2797.09"/>
    <n v="13.73"/>
    <s v="CREDITOR"/>
    <n v="0"/>
    <n v="0"/>
    <n v="0"/>
    <n v="0"/>
    <n v="13.73"/>
  </r>
  <r>
    <n v="61010761"/>
    <s v="N"/>
    <n v="21328119"/>
    <s v="3000015215810003"/>
    <s v="CIVIL"/>
    <d v="2023-06-26T00:00:00"/>
    <d v="2023-07-04T19:00:44"/>
    <m/>
    <d v="2023-07-04T00:00:00"/>
    <n v="1340"/>
    <n v="18319"/>
    <s v="61010761"/>
    <s v="61010761"/>
    <m/>
    <m/>
    <n v="22765008"/>
    <m/>
    <m/>
    <m/>
    <s v="SOLFIN"/>
    <s v="SOLFIN"/>
    <s v="CCMS"/>
    <n v="21328119"/>
    <n v="4795.07"/>
    <m/>
    <s v="N"/>
    <n v="4"/>
    <d v="2023-07-04T19:01:05"/>
    <s v="Y"/>
    <s v="Preparation - other"/>
    <s v="Care Remuneration Hourly Rates"/>
    <s v="Profit Cost"/>
    <s v="P. Carvill"/>
    <s v="Y"/>
    <n v="40.31"/>
    <n v="8.06"/>
    <x v="1"/>
    <s v="VALIDATED"/>
    <n v="1"/>
    <s v="01.11.80.305.6100.0000"/>
    <n v="40.31"/>
    <s v="11"/>
    <s v="6100"/>
    <n v="12428.1"/>
    <n v="40.31"/>
    <s v="CREDITOR"/>
    <n v="0"/>
    <n v="0"/>
    <n v="0"/>
    <n v="0"/>
    <n v="40.31"/>
  </r>
  <r>
    <n v="60285114"/>
    <s v="N"/>
    <n v="21328270"/>
    <s v="3000014590820013"/>
    <s v="CIVIL"/>
    <d v="2023-06-22T00:00:00"/>
    <d v="2023-07-04T19:00:44"/>
    <m/>
    <d v="2023-07-04T00:00:00"/>
    <n v="1340"/>
    <n v="18319"/>
    <s v="60285114"/>
    <s v="60285114"/>
    <m/>
    <m/>
    <n v="22747042"/>
    <m/>
    <m/>
    <m/>
    <s v="SOLFIN"/>
    <s v="SOLFIN"/>
    <s v="CCMS"/>
    <n v="21328270"/>
    <n v="9208.41"/>
    <m/>
    <s v="N"/>
    <n v="1"/>
    <d v="2023-07-04T19:01:11"/>
    <s v="Y"/>
    <s v="Final Hearing Court Bundle/Advocate"/>
    <s v="Public Law Children"/>
    <s v="Advocacy"/>
    <s v="P. Carvill"/>
    <s v="Y"/>
    <n v="159.3"/>
    <n v="31.86"/>
    <x v="1"/>
    <s v="VALIDATED"/>
    <n v="1"/>
    <s v="01.11.80.308.6100.0000"/>
    <n v="159.3"/>
    <s v="11"/>
    <s v="6100"/>
    <n v="12428.1"/>
    <n v="159.3"/>
    <s v="CREDITOR"/>
    <n v="0"/>
    <n v="0"/>
    <n v="0"/>
    <n v="0"/>
    <n v="159.3"/>
  </r>
  <r>
    <n v="60285114"/>
    <s v="N"/>
    <n v="21328270"/>
    <s v="3000014590820013"/>
    <s v="CIVIL"/>
    <d v="2023-06-22T00:00:00"/>
    <d v="2023-07-04T19:00:44"/>
    <m/>
    <d v="2023-07-04T00:00:00"/>
    <n v="1340"/>
    <n v="18319"/>
    <s v="60285114"/>
    <s v="60285114"/>
    <m/>
    <m/>
    <n v="22747042"/>
    <m/>
    <m/>
    <m/>
    <s v="SOLFIN"/>
    <s v="SOLFIN"/>
    <s v="CCMS"/>
    <n v="21328270"/>
    <n v="9208.41"/>
    <m/>
    <s v="N"/>
    <n v="13"/>
    <d v="2023-07-04T19:01:11"/>
    <s v="Y"/>
    <s v="Hearing Unit 5.01 - 7.30 Hours"/>
    <s v="Public Law Children"/>
    <s v="Advocacy"/>
    <s v="P. Carvill"/>
    <s v="Y"/>
    <n v="894.23"/>
    <n v="178.85"/>
    <x v="1"/>
    <s v="VALIDATED"/>
    <n v="1"/>
    <s v="01.11.80.308.6100.0000"/>
    <n v="894.23"/>
    <s v="11"/>
    <s v="6100"/>
    <n v="12428.1"/>
    <n v="894.23"/>
    <s v="CREDITOR"/>
    <n v="0"/>
    <n v="0"/>
    <n v="0"/>
    <n v="0"/>
    <n v="894.23"/>
  </r>
  <r>
    <n v="61010761"/>
    <s v="N"/>
    <n v="21328119"/>
    <s v="3000015215810003"/>
    <s v="CIVIL"/>
    <d v="2023-06-26T00:00:00"/>
    <d v="2023-07-04T19:00:44"/>
    <m/>
    <d v="2023-07-04T00:00:00"/>
    <n v="1340"/>
    <n v="18319"/>
    <s v="61010761"/>
    <s v="61010761"/>
    <m/>
    <m/>
    <n v="22765008"/>
    <m/>
    <m/>
    <m/>
    <s v="SOLFIN"/>
    <s v="SOLFIN"/>
    <s v="CCMS"/>
    <n v="21328119"/>
    <n v="4795.07"/>
    <m/>
    <s v="N"/>
    <n v="18"/>
    <d v="2023-07-04T19:01:05"/>
    <s v="Y"/>
    <s v="Preparation - other"/>
    <s v="Care Remuneration Hourly Rates"/>
    <s v="Profit Cost"/>
    <s v="P. Carvill"/>
    <s v="Y"/>
    <n v="40.31"/>
    <n v="8.06"/>
    <x v="1"/>
    <s v="VALIDATED"/>
    <n v="1"/>
    <s v="01.11.80.305.6100.0000"/>
    <n v="40.31"/>
    <s v="11"/>
    <s v="6100"/>
    <n v="12428.1"/>
    <n v="40.31"/>
    <s v="CREDITOR"/>
    <n v="0"/>
    <n v="0"/>
    <n v="0"/>
    <n v="0"/>
    <n v="40.31"/>
  </r>
  <r>
    <n v="61010761"/>
    <s v="N"/>
    <n v="21328119"/>
    <s v="3000015215810003"/>
    <s v="CIVIL"/>
    <d v="2023-06-26T00:00:00"/>
    <d v="2023-07-04T19:00:44"/>
    <m/>
    <d v="2023-07-04T00:00:00"/>
    <n v="1340"/>
    <n v="18319"/>
    <s v="61010761"/>
    <s v="61010761"/>
    <m/>
    <m/>
    <n v="22765008"/>
    <m/>
    <m/>
    <m/>
    <s v="SOLFIN"/>
    <s v="SOLFIN"/>
    <s v="CCMS"/>
    <n v="21328119"/>
    <n v="4795.07"/>
    <m/>
    <s v="N"/>
    <n v="22"/>
    <d v="2023-07-04T19:01:05"/>
    <s v="Y"/>
    <s v="Preparation - other"/>
    <s v="Care Remuneration Hourly Rates"/>
    <s v="Profit Cost"/>
    <s v="P. Carvill"/>
    <s v="Y"/>
    <n v="13.43"/>
    <n v="2.69"/>
    <x v="1"/>
    <s v="VALIDATED"/>
    <n v="1"/>
    <s v="01.11.80.305.6100.0000"/>
    <n v="13.43"/>
    <s v="11"/>
    <s v="6100"/>
    <n v="12428.1"/>
    <n v="13.43"/>
    <s v="CREDITOR"/>
    <n v="0"/>
    <n v="0"/>
    <n v="0"/>
    <n v="0"/>
    <n v="13.43"/>
  </r>
  <r>
    <n v="61069832"/>
    <s v="N"/>
    <n v="21331052"/>
    <s v="3000015266470018"/>
    <s v="CIVIL"/>
    <d v="2023-06-26T00:00:00"/>
    <d v="2023-07-05T19:01:47"/>
    <m/>
    <d v="2023-07-05T00:00:00"/>
    <n v="1340"/>
    <n v="18319"/>
    <s v="61069832"/>
    <s v="61069832"/>
    <m/>
    <m/>
    <n v="22764930"/>
    <m/>
    <m/>
    <m/>
    <s v="SOLFIN"/>
    <s v="SOLFIN"/>
    <s v="CCMS"/>
    <n v="21331052"/>
    <n v="10281.54"/>
    <m/>
    <s v="N"/>
    <n v="7"/>
    <d v="2023-07-05T19:02:03"/>
    <s v="Y"/>
    <s v="Interpreter"/>
    <s v="Public Law Children"/>
    <s v="Expert Disbursement"/>
    <s v="P Carvill"/>
    <s v="Y"/>
    <n v="224"/>
    <n v="0"/>
    <x v="6"/>
    <s v="VALIDATED"/>
    <n v="1"/>
    <s v="01.11.80.308.6300.0000"/>
    <n v="224"/>
    <s v="11"/>
    <s v="6300"/>
    <n v="12428.1"/>
    <n v="224"/>
    <s v="CREDITOR"/>
    <n v="0"/>
    <n v="0"/>
    <n v="0"/>
    <n v="0"/>
    <n v="224"/>
  </r>
  <r>
    <n v="60285114"/>
    <s v="N"/>
    <n v="21328270"/>
    <s v="3000014590820013"/>
    <s v="CIVIL"/>
    <d v="2023-06-22T00:00:00"/>
    <d v="2023-07-04T19:00:44"/>
    <m/>
    <d v="2023-07-04T00:00:00"/>
    <n v="1340"/>
    <n v="18319"/>
    <s v="60285114"/>
    <s v="60285114"/>
    <m/>
    <m/>
    <n v="22747042"/>
    <m/>
    <m/>
    <m/>
    <s v="SOLFIN"/>
    <s v="SOLFIN"/>
    <s v="CCMS"/>
    <n v="21328270"/>
    <n v="9208.41"/>
    <m/>
    <s v="N"/>
    <n v="8"/>
    <d v="2023-07-04T19:01:11"/>
    <s v="Y"/>
    <s v="Psychologist"/>
    <s v="Public Law Children"/>
    <s v="Expert Disbursement"/>
    <s v="P. Carvill"/>
    <s v="Y"/>
    <n v="215.21"/>
    <n v="0"/>
    <x v="1"/>
    <s v="VALIDATED"/>
    <n v="1"/>
    <s v="01.11.80.308.6300.0000"/>
    <n v="215.21"/>
    <s v="11"/>
    <s v="6300"/>
    <n v="12428.1"/>
    <n v="215.21"/>
    <s v="CREDITOR"/>
    <n v="0"/>
    <n v="0"/>
    <n v="0"/>
    <n v="0"/>
    <n v="215.21"/>
  </r>
  <r>
    <n v="61010761"/>
    <s v="N"/>
    <n v="21328119"/>
    <s v="3000015215810003"/>
    <s v="CIVIL"/>
    <d v="2023-06-26T00:00:00"/>
    <d v="2023-07-04T19:00:44"/>
    <m/>
    <d v="2023-07-04T00:00:00"/>
    <n v="1340"/>
    <n v="18319"/>
    <s v="61010761"/>
    <s v="61010761"/>
    <m/>
    <m/>
    <n v="22765008"/>
    <m/>
    <m/>
    <m/>
    <s v="SOLFIN"/>
    <s v="SOLFIN"/>
    <s v="CCMS"/>
    <n v="21328119"/>
    <n v="4795.07"/>
    <m/>
    <s v="N"/>
    <n v="15"/>
    <d v="2023-07-04T19:01:05"/>
    <s v="Y"/>
    <s v="Preparation - other"/>
    <s v="Care Remuneration Hourly Rates"/>
    <s v="Profit Cost"/>
    <s v="P. Carvill"/>
    <s v="Y"/>
    <n v="47.02"/>
    <n v="9.4"/>
    <x v="1"/>
    <s v="VALIDATED"/>
    <n v="1"/>
    <s v="01.11.80.305.6100.0000"/>
    <n v="47.02"/>
    <s v="11"/>
    <s v="6100"/>
    <n v="12428.1"/>
    <n v="47.02"/>
    <s v="CREDITOR"/>
    <n v="0"/>
    <n v="0"/>
    <n v="0"/>
    <n v="0"/>
    <n v="47.02"/>
  </r>
  <r>
    <n v="61010761"/>
    <s v="N"/>
    <n v="21328119"/>
    <s v="3000015215810003"/>
    <s v="CIVIL"/>
    <d v="2023-06-26T00:00:00"/>
    <d v="2023-07-04T19:00:44"/>
    <m/>
    <d v="2023-07-04T00:00:00"/>
    <n v="1340"/>
    <n v="18319"/>
    <s v="61010761"/>
    <s v="61010761"/>
    <m/>
    <m/>
    <n v="22765008"/>
    <m/>
    <m/>
    <m/>
    <s v="SOLFIN"/>
    <s v="SOLFIN"/>
    <s v="CCMS"/>
    <n v="21328119"/>
    <n v="4795.07"/>
    <m/>
    <s v="N"/>
    <n v="30"/>
    <d v="2023-07-04T19:01:05"/>
    <s v="Y"/>
    <s v="Routine Telephone Call"/>
    <s v="Care Remuneration Hourly Rates"/>
    <s v="Profit Cost"/>
    <s v="D. Baker"/>
    <s v="Y"/>
    <n v="7.38"/>
    <n v="1.48"/>
    <x v="1"/>
    <s v="VALIDATED"/>
    <n v="1"/>
    <s v="01.11.80.305.6100.0000"/>
    <n v="7.38"/>
    <s v="11"/>
    <s v="6100"/>
    <n v="12428.1"/>
    <n v="7.38"/>
    <s v="CREDITOR"/>
    <n v="0"/>
    <n v="0"/>
    <n v="0"/>
    <n v="0"/>
    <n v="7.38"/>
  </r>
  <r>
    <n v="61069832"/>
    <s v="N"/>
    <n v="21331052"/>
    <s v="3000015266470018"/>
    <s v="CIVIL"/>
    <d v="2023-06-26T00:00:00"/>
    <d v="2023-07-05T19:01:47"/>
    <m/>
    <d v="2023-07-05T00:00:00"/>
    <n v="1340"/>
    <n v="18319"/>
    <s v="61069832"/>
    <s v="61069832"/>
    <m/>
    <m/>
    <n v="22764930"/>
    <m/>
    <m/>
    <m/>
    <s v="SOLFIN"/>
    <s v="SOLFIN"/>
    <s v="CCMS"/>
    <n v="21331052"/>
    <n v="10281.54"/>
    <m/>
    <s v="N"/>
    <n v="6"/>
    <d v="2023-07-05T19:02:03"/>
    <s v="Y"/>
    <s v="Interpreter"/>
    <s v="Public Law Children"/>
    <s v="Expert Disbursement"/>
    <s v="P Carvill"/>
    <s v="Y"/>
    <n v="93.08"/>
    <n v="18.62"/>
    <x v="6"/>
    <s v="VALIDATED"/>
    <n v="1"/>
    <s v="01.11.80.308.6300.0000"/>
    <n v="93.08"/>
    <s v="11"/>
    <s v="6300"/>
    <n v="12428.1"/>
    <n v="93.08"/>
    <s v="CREDITOR"/>
    <n v="0"/>
    <n v="0"/>
    <n v="0"/>
    <n v="0"/>
    <n v="93.08"/>
  </r>
  <r>
    <n v="60285114"/>
    <s v="N"/>
    <n v="21328270"/>
    <s v="3000014590820013"/>
    <s v="CIVIL"/>
    <d v="2023-06-22T00:00:00"/>
    <d v="2023-07-04T19:00:44"/>
    <m/>
    <d v="2023-07-04T00:00:00"/>
    <n v="1340"/>
    <n v="18319"/>
    <s v="60285114"/>
    <s v="60285114"/>
    <m/>
    <m/>
    <n v="22747042"/>
    <m/>
    <m/>
    <m/>
    <s v="SOLFIN"/>
    <s v="SOLFIN"/>
    <s v="CCMS"/>
    <n v="21328270"/>
    <n v="9208.41"/>
    <m/>
    <s v="N"/>
    <n v="18"/>
    <d v="2023-07-04T19:01:11"/>
    <s v="Y"/>
    <s v="Solicitors Fixed Fee"/>
    <s v="Public Law Children"/>
    <s v="Profit Cost"/>
    <s v="P. Carvill"/>
    <s v="Y"/>
    <n v="2300"/>
    <n v="460"/>
    <x v="1"/>
    <s v="VALIDATED"/>
    <n v="1"/>
    <s v="01.11.80.308.6100.0000"/>
    <n v="2300"/>
    <s v="11"/>
    <s v="6100"/>
    <n v="12428.1"/>
    <n v="2300"/>
    <s v="CREDITOR"/>
    <n v="0"/>
    <n v="0"/>
    <n v="0"/>
    <n v="0"/>
    <n v="2300"/>
  </r>
  <r>
    <n v="60085802"/>
    <s v="N"/>
    <n v="21320743"/>
    <s v="3000014418680016"/>
    <s v="CIVIL"/>
    <d v="2023-06-28T00:00:00"/>
    <d v="2023-07-03T19:04:52"/>
    <m/>
    <d v="2023-07-03T00:00:00"/>
    <n v="1340"/>
    <n v="18319"/>
    <s v="60085802"/>
    <s v="60085802"/>
    <m/>
    <m/>
    <n v="22782490"/>
    <m/>
    <m/>
    <m/>
    <s v="SOLPOA"/>
    <s v="SOLPOA"/>
    <s v="CCMS"/>
    <n v="21320743"/>
    <n v="300"/>
    <m/>
    <s v="N"/>
    <n v="1"/>
    <d v="2023-07-03T19:04:56"/>
    <s v="N"/>
    <s v="Expert Cost - Private Law Children"/>
    <s v="Expert Cost - Private Law Chil"/>
    <s v="Expert Disbursement"/>
    <s v="HS/69012"/>
    <s v="N"/>
    <n v="250"/>
    <n v="50"/>
    <x v="3"/>
    <s v="VALIDATED"/>
    <n v="1"/>
    <s v="01.11.80.307.2012.0000"/>
    <n v="250"/>
    <s v="11"/>
    <s v="2012"/>
    <n v="12428.1"/>
    <n v="250"/>
    <s v="CREDITOR"/>
    <n v="250"/>
    <n v="0"/>
    <n v="0"/>
    <n v="0"/>
    <n v="0"/>
  </r>
  <r>
    <n v="61069832"/>
    <s v="N"/>
    <n v="21331052"/>
    <s v="3000015266470018"/>
    <s v="CIVIL"/>
    <d v="2023-06-26T00:00:00"/>
    <d v="2023-07-05T19:01:47"/>
    <m/>
    <d v="2023-07-05T00:00:00"/>
    <n v="1340"/>
    <n v="18319"/>
    <s v="61069832"/>
    <s v="61069832"/>
    <m/>
    <m/>
    <n v="22764930"/>
    <m/>
    <m/>
    <m/>
    <s v="SOLFIN"/>
    <s v="SOLFIN"/>
    <s v="CCMS"/>
    <n v="21331052"/>
    <n v="10281.54"/>
    <m/>
    <s v="N"/>
    <n v="18"/>
    <d v="2023-07-05T19:02:03"/>
    <s v="Y"/>
    <s v="Hearing Unit 2.31 - 5.00 Hours"/>
    <s v="Public Law Children"/>
    <s v="Advocacy"/>
    <s v="P Carvill"/>
    <s v="Y"/>
    <n v="476.92"/>
    <n v="95.38"/>
    <x v="6"/>
    <s v="VALIDATED"/>
    <n v="1"/>
    <s v="01.11.80.308.6100.0000"/>
    <n v="476.92"/>
    <s v="11"/>
    <s v="6100"/>
    <n v="12428.1"/>
    <n v="476.92"/>
    <s v="CREDITOR"/>
    <n v="0"/>
    <n v="0"/>
    <n v="0"/>
    <n v="0"/>
    <n v="476.92"/>
  </r>
  <r>
    <n v="61069832"/>
    <s v="N"/>
    <n v="21331052"/>
    <s v="3000015266470018"/>
    <s v="CIVIL"/>
    <d v="2023-06-26T00:00:00"/>
    <d v="2023-07-05T19:01:47"/>
    <m/>
    <d v="2023-07-05T00:00:00"/>
    <n v="1340"/>
    <n v="18319"/>
    <s v="61069832"/>
    <s v="61069832"/>
    <m/>
    <m/>
    <n v="22764930"/>
    <m/>
    <m/>
    <m/>
    <s v="SOLFIN"/>
    <s v="SOLFIN"/>
    <s v="CCMS"/>
    <n v="21331052"/>
    <n v="10281.54"/>
    <m/>
    <s v="N"/>
    <n v="13"/>
    <d v="2023-07-05T19:02:03"/>
    <s v="Y"/>
    <s v="Psychologist"/>
    <s v="Public Law Children"/>
    <s v="Expert Disbursement"/>
    <s v="P Carvill"/>
    <s v="Y"/>
    <n v="312"/>
    <n v="0"/>
    <x v="6"/>
    <s v="VALIDATED"/>
    <n v="1"/>
    <s v="01.11.80.308.6300.0000"/>
    <n v="312"/>
    <s v="11"/>
    <s v="6300"/>
    <n v="12428.1"/>
    <n v="312"/>
    <s v="CREDITOR"/>
    <n v="0"/>
    <n v="0"/>
    <n v="0"/>
    <n v="0"/>
    <n v="312"/>
  </r>
  <r>
    <n v="61069832"/>
    <s v="N"/>
    <n v="21331052"/>
    <s v="3000015266470018"/>
    <s v="CIVIL"/>
    <d v="2023-06-26T00:00:00"/>
    <d v="2023-07-05T19:01:47"/>
    <m/>
    <d v="2023-07-05T00:00:00"/>
    <n v="1340"/>
    <n v="18319"/>
    <s v="61069832"/>
    <s v="61069832"/>
    <m/>
    <m/>
    <n v="22764930"/>
    <m/>
    <m/>
    <m/>
    <s v="SOLFIN"/>
    <s v="SOLFIN"/>
    <s v="CCMS"/>
    <n v="21331052"/>
    <n v="10281.54"/>
    <m/>
    <s v="N"/>
    <n v="22"/>
    <d v="2023-07-05T19:02:03"/>
    <s v="Y"/>
    <s v="Hearing Unit 2.31 - 5.00 Hours"/>
    <s v="Public Law Children"/>
    <s v="Advocacy"/>
    <s v="P Carvill"/>
    <s v="Y"/>
    <n v="476.92"/>
    <n v="95.38"/>
    <x v="6"/>
    <s v="VALIDATED"/>
    <n v="1"/>
    <s v="01.11.80.308.6100.0000"/>
    <n v="476.92"/>
    <s v="11"/>
    <s v="6100"/>
    <n v="12428.1"/>
    <n v="476.92"/>
    <s v="CREDITOR"/>
    <n v="0"/>
    <n v="0"/>
    <n v="0"/>
    <n v="0"/>
    <n v="476.92"/>
  </r>
  <r>
    <n v="61010761"/>
    <s v="N"/>
    <n v="21328119"/>
    <s v="3000015215810003"/>
    <s v="CIVIL"/>
    <d v="2023-06-26T00:00:00"/>
    <d v="2023-07-04T19:00:44"/>
    <m/>
    <d v="2023-07-04T00:00:00"/>
    <n v="1340"/>
    <n v="18319"/>
    <s v="61010761"/>
    <s v="61010761"/>
    <m/>
    <m/>
    <n v="22765008"/>
    <m/>
    <m/>
    <m/>
    <s v="SOLFIN"/>
    <s v="SOLFIN"/>
    <s v="CCMS"/>
    <n v="21328119"/>
    <n v="4795.07"/>
    <m/>
    <s v="N"/>
    <n v="31"/>
    <d v="2023-07-04T19:01:05"/>
    <s v="Y"/>
    <s v="Preparation - drafting bill/claim f"/>
    <s v="Care Remuneration Hourly Rates"/>
    <s v="Profit Cost"/>
    <s v="M. Keegan"/>
    <s v="Y"/>
    <n v="87.62"/>
    <n v="17.52"/>
    <x v="1"/>
    <s v="VALIDATED"/>
    <n v="1"/>
    <s v="01.11.80.305.6100.0000"/>
    <n v="87.62"/>
    <s v="11"/>
    <s v="6100"/>
    <n v="12428.1"/>
    <n v="87.62"/>
    <s v="CREDITOR"/>
    <n v="0"/>
    <n v="0"/>
    <n v="0"/>
    <n v="0"/>
    <n v="87.62"/>
  </r>
  <r>
    <n v="61010761"/>
    <s v="N"/>
    <n v="21328119"/>
    <s v="3000015215810003"/>
    <s v="CIVIL"/>
    <d v="2023-06-26T00:00:00"/>
    <d v="2023-07-04T19:00:44"/>
    <m/>
    <d v="2023-07-04T00:00:00"/>
    <n v="1340"/>
    <n v="18319"/>
    <s v="61010761"/>
    <s v="61010761"/>
    <m/>
    <m/>
    <n v="22765008"/>
    <m/>
    <m/>
    <m/>
    <s v="SOLFIN"/>
    <s v="SOLFIN"/>
    <s v="CCMS"/>
    <n v="21328119"/>
    <n v="4795.07"/>
    <m/>
    <s v="N"/>
    <n v="35"/>
    <d v="2023-07-04T19:01:05"/>
    <s v="Y"/>
    <s v="Hearing Unit 2.31 - 5.00 Hours"/>
    <s v="Other Public Law Children"/>
    <s v="Advocacy"/>
    <s v="P. Carvill"/>
    <s v="Y"/>
    <n v="417.06"/>
    <n v="83.41"/>
    <x v="1"/>
    <s v="VALIDATED"/>
    <n v="1"/>
    <s v="01.11.80.305.6100.0000"/>
    <n v="417.06"/>
    <s v="11"/>
    <s v="6100"/>
    <n v="12428.1"/>
    <n v="417.06"/>
    <s v="CREDITOR"/>
    <n v="0"/>
    <n v="0"/>
    <n v="0"/>
    <n v="0"/>
    <n v="417.06"/>
  </r>
  <r>
    <n v="61282141"/>
    <s v="N"/>
    <n v="21331053"/>
    <s v="3000015444600004"/>
    <s v="CIVIL"/>
    <d v="2023-06-26T00:00:00"/>
    <d v="2023-07-05T19:01:47"/>
    <m/>
    <d v="2023-07-05T00:00:00"/>
    <n v="1340"/>
    <n v="18319"/>
    <s v="61282141"/>
    <s v="61282141"/>
    <m/>
    <m/>
    <n v="22761144"/>
    <m/>
    <m/>
    <m/>
    <s v="SOLFIN"/>
    <s v="SOLFIN"/>
    <s v="CCMS"/>
    <n v="21331053"/>
    <n v="5522.59"/>
    <m/>
    <s v="N"/>
    <n v="10"/>
    <d v="2023-07-05T19:02:03"/>
    <s v="Y"/>
    <s v="Hearing Unit 2.31 - 5.00 Hours"/>
    <s v="Public Law Children"/>
    <s v="Advocacy"/>
    <s v="L Allen"/>
    <s v="Y"/>
    <n v="476.92"/>
    <n v="95.38"/>
    <x v="6"/>
    <s v="VALIDATED"/>
    <n v="1"/>
    <s v="01.11.80.308.6100.0000"/>
    <n v="476.92"/>
    <s v="11"/>
    <s v="6100"/>
    <n v="12428.1"/>
    <n v="476.92"/>
    <s v="CREDITOR"/>
    <n v="0"/>
    <n v="0"/>
    <n v="0"/>
    <n v="0"/>
    <n v="476.92"/>
  </r>
  <r>
    <n v="61069994"/>
    <s v="N"/>
    <n v="21330998"/>
    <s v="3000015266710001"/>
    <s v="CIVIL"/>
    <d v="2023-06-26T00:00:00"/>
    <d v="2023-07-05T19:01:47"/>
    <m/>
    <d v="2023-07-05T00:00:00"/>
    <n v="1340"/>
    <n v="18319"/>
    <s v="61069994"/>
    <s v="61069994"/>
    <m/>
    <m/>
    <n v="22764958"/>
    <m/>
    <m/>
    <m/>
    <s v="SOLFIN"/>
    <s v="SOLFIN"/>
    <s v="CCMS"/>
    <n v="21330998"/>
    <n v="0"/>
    <m/>
    <s v="N"/>
    <n v="1"/>
    <d v="2023-07-05T19:02:01"/>
    <s v="N"/>
    <s v="NIL BILL"/>
    <s v="Public Law Children"/>
    <s v="Profit Cost"/>
    <s v="P Carvill"/>
    <s v="N"/>
    <n v="0"/>
    <n v="0"/>
    <x v="6"/>
    <s v="VALIDATED"/>
    <n v="1"/>
    <s v="01.11.80.308.6100.0000"/>
    <n v="0"/>
    <s v="11"/>
    <s v="6100"/>
    <n v="12428.1"/>
    <n v="0"/>
    <s v="CREDITOR"/>
    <n v="0"/>
    <n v="0"/>
    <n v="0"/>
    <n v="0"/>
    <n v="0"/>
  </r>
  <r>
    <n v="61010761"/>
    <s v="N"/>
    <n v="21328119"/>
    <s v="3000015215810003"/>
    <s v="CIVIL"/>
    <d v="2023-06-26T00:00:00"/>
    <d v="2023-07-04T19:00:44"/>
    <m/>
    <d v="2023-07-04T00:00:00"/>
    <n v="1340"/>
    <n v="18319"/>
    <s v="61010761"/>
    <s v="61010761"/>
    <m/>
    <m/>
    <n v="22765008"/>
    <m/>
    <m/>
    <m/>
    <s v="SOLFIN"/>
    <s v="SOLFIN"/>
    <s v="CCMS"/>
    <n v="21328119"/>
    <n v="4795.07"/>
    <m/>
    <s v="N"/>
    <n v="8"/>
    <d v="2023-07-04T19:01:05"/>
    <s v="Y"/>
    <s v="Preparation - other"/>
    <s v="Care Remuneration Hourly Rates"/>
    <s v="Profit Cost"/>
    <s v="P. Carvill"/>
    <s v="Y"/>
    <n v="33.59"/>
    <n v="6.72"/>
    <x v="1"/>
    <s v="VALIDATED"/>
    <n v="1"/>
    <s v="01.11.80.305.6100.0000"/>
    <n v="33.59"/>
    <s v="11"/>
    <s v="6100"/>
    <n v="12428.1"/>
    <n v="33.59"/>
    <s v="CREDITOR"/>
    <n v="0"/>
    <n v="0"/>
    <n v="0"/>
    <n v="0"/>
    <n v="33.59"/>
  </r>
  <r>
    <n v="61160840"/>
    <s v="N"/>
    <n v="21330656"/>
    <s v="3000015343680003"/>
    <s v="CIVIL"/>
    <d v="2023-06-26T00:00:00"/>
    <d v="2023-07-05T19:01:47"/>
    <m/>
    <d v="2023-07-05T00:00:00"/>
    <n v="1340"/>
    <n v="18319"/>
    <s v="61160840"/>
    <s v="61160840"/>
    <m/>
    <m/>
    <n v="22761364"/>
    <m/>
    <m/>
    <m/>
    <s v="SOLFIN"/>
    <s v="SOLFIN"/>
    <s v="CCMS"/>
    <n v="21330656"/>
    <n v="5719.17"/>
    <m/>
    <s v="N"/>
    <n v="1"/>
    <d v="2023-07-05T19:01:52"/>
    <s v="Y"/>
    <s v="Final Hearing Court Bundle/Advocate"/>
    <s v="Public Law Children"/>
    <s v="Advocacy"/>
    <s v="P Carvill"/>
    <s v="Y"/>
    <n v="159.3"/>
    <n v="31.86"/>
    <x v="6"/>
    <s v="VALIDATED"/>
    <n v="1"/>
    <s v="01.11.80.308.6100.0000"/>
    <n v="159.3"/>
    <s v="11"/>
    <s v="6100"/>
    <n v="12428.1"/>
    <n v="159.3"/>
    <s v="CREDITOR"/>
    <n v="0"/>
    <n v="0"/>
    <n v="0"/>
    <n v="0"/>
    <n v="159.3"/>
  </r>
  <r>
    <n v="61010761"/>
    <s v="N"/>
    <n v="21328119"/>
    <s v="3000015215810003"/>
    <s v="CIVIL"/>
    <d v="2023-06-26T00:00:00"/>
    <d v="2023-07-04T19:00:44"/>
    <m/>
    <d v="2023-07-04T00:00:00"/>
    <n v="1340"/>
    <n v="18319"/>
    <s v="61010761"/>
    <s v="61010761"/>
    <m/>
    <m/>
    <n v="22765008"/>
    <m/>
    <m/>
    <m/>
    <s v="SOLFIN"/>
    <s v="SOLFIN"/>
    <s v="CCMS"/>
    <n v="21328119"/>
    <n v="4795.07"/>
    <m/>
    <s v="N"/>
    <n v="28"/>
    <d v="2023-07-04T19:01:05"/>
    <s v="Y"/>
    <s v="Report - Welfare report"/>
    <s v="Care Remuneration Hourly Rates"/>
    <s v="Profit Cost"/>
    <s v="P. Carvill"/>
    <s v="Y"/>
    <n v="26.86"/>
    <n v="5.37"/>
    <x v="1"/>
    <s v="VALIDATED"/>
    <n v="1"/>
    <s v="01.11.80.305.6100.0000"/>
    <n v="26.86"/>
    <s v="11"/>
    <s v="6100"/>
    <n v="12428.1"/>
    <n v="26.86"/>
    <s v="CREDITOR"/>
    <n v="0"/>
    <n v="0"/>
    <n v="0"/>
    <n v="0"/>
    <n v="26.86"/>
  </r>
  <r>
    <n v="61010761"/>
    <s v="N"/>
    <n v="21328119"/>
    <s v="3000015215810003"/>
    <s v="CIVIL"/>
    <d v="2023-06-26T00:00:00"/>
    <d v="2023-07-04T19:00:44"/>
    <m/>
    <d v="2023-07-04T00:00:00"/>
    <n v="1340"/>
    <n v="18319"/>
    <s v="61010761"/>
    <s v="61010761"/>
    <m/>
    <m/>
    <n v="22765008"/>
    <m/>
    <m/>
    <m/>
    <s v="SOLFIN"/>
    <s v="SOLFIN"/>
    <s v="CCMS"/>
    <n v="21328119"/>
    <n v="4795.07"/>
    <m/>
    <s v="N"/>
    <n v="17"/>
    <d v="2023-07-04T19:01:05"/>
    <s v="Y"/>
    <s v="Preparation - other"/>
    <s v="Care Remuneration Hourly Rates"/>
    <s v="Profit Cost"/>
    <s v="P. Carvill"/>
    <s v="Y"/>
    <n v="13.43"/>
    <n v="2.69"/>
    <x v="1"/>
    <s v="VALIDATED"/>
    <n v="1"/>
    <s v="01.11.80.305.6100.0000"/>
    <n v="13.43"/>
    <s v="11"/>
    <s v="6100"/>
    <n v="12428.1"/>
    <n v="13.43"/>
    <s v="CREDITOR"/>
    <n v="0"/>
    <n v="0"/>
    <n v="0"/>
    <n v="0"/>
    <n v="13.43"/>
  </r>
  <r>
    <n v="60285114"/>
    <s v="N"/>
    <n v="21328270"/>
    <s v="3000014590820013"/>
    <s v="CIVIL"/>
    <d v="2023-06-22T00:00:00"/>
    <d v="2023-07-04T19:00:44"/>
    <m/>
    <d v="2023-07-04T00:00:00"/>
    <n v="1340"/>
    <n v="18319"/>
    <s v="60285114"/>
    <s v="60285114"/>
    <m/>
    <m/>
    <n v="22747042"/>
    <m/>
    <m/>
    <m/>
    <s v="SOLFIN"/>
    <s v="SOLFIN"/>
    <s v="CCMS"/>
    <n v="21328270"/>
    <n v="9208.41"/>
    <m/>
    <s v="N"/>
    <n v="16"/>
    <d v="2023-07-04T19:01:11"/>
    <s v="Y"/>
    <s v="Advocates Meeting"/>
    <s v="Public Law Children"/>
    <s v="Advocacy"/>
    <s v="L. Allen"/>
    <s v="Y"/>
    <n v="140.99"/>
    <n v="28.2"/>
    <x v="1"/>
    <s v="VALIDATED"/>
    <n v="1"/>
    <s v="01.11.80.308.6100.0000"/>
    <n v="140.99"/>
    <s v="11"/>
    <s v="6100"/>
    <n v="12428.1"/>
    <n v="140.99"/>
    <s v="CREDITOR"/>
    <n v="0"/>
    <n v="0"/>
    <n v="0"/>
    <n v="0"/>
    <n v="140.99"/>
  </r>
  <r>
    <n v="61069832"/>
    <s v="N"/>
    <n v="21331052"/>
    <s v="3000015266470018"/>
    <s v="CIVIL"/>
    <d v="2023-06-26T00:00:00"/>
    <d v="2023-07-05T19:01:47"/>
    <m/>
    <d v="2023-07-05T00:00:00"/>
    <n v="1340"/>
    <n v="18319"/>
    <s v="61069832"/>
    <s v="61069832"/>
    <m/>
    <m/>
    <n v="22764930"/>
    <m/>
    <m/>
    <m/>
    <s v="SOLFIN"/>
    <s v="SOLFIN"/>
    <s v="CCMS"/>
    <n v="21331052"/>
    <n v="10281.54"/>
    <m/>
    <s v="N"/>
    <n v="15"/>
    <d v="2023-07-05T19:02:03"/>
    <s v="Y"/>
    <s v="Interpreter"/>
    <s v="Public Law Children"/>
    <s v="Expert Disbursement"/>
    <s v="P Carvill"/>
    <s v="Y"/>
    <n v="201.26"/>
    <n v="0"/>
    <x v="6"/>
    <s v="VALIDATED"/>
    <n v="1"/>
    <s v="01.11.80.308.6300.0000"/>
    <n v="201.26"/>
    <s v="11"/>
    <s v="6300"/>
    <n v="12428.1"/>
    <n v="201.26"/>
    <s v="CREDITOR"/>
    <n v="0"/>
    <n v="0"/>
    <n v="0"/>
    <n v="0"/>
    <n v="201.26"/>
  </r>
  <r>
    <n v="60285114"/>
    <s v="N"/>
    <n v="21328270"/>
    <s v="3000014590820013"/>
    <s v="CIVIL"/>
    <d v="2023-06-22T00:00:00"/>
    <d v="2023-07-04T19:00:44"/>
    <m/>
    <d v="2023-07-04T00:00:00"/>
    <n v="1340"/>
    <n v="18319"/>
    <s v="60285114"/>
    <s v="60285114"/>
    <m/>
    <m/>
    <n v="22747042"/>
    <m/>
    <m/>
    <m/>
    <s v="SOLFIN"/>
    <s v="SOLFIN"/>
    <s v="CCMS"/>
    <n v="21328270"/>
    <n v="9208.41"/>
    <m/>
    <s v="N"/>
    <n v="15"/>
    <d v="2023-07-04T19:01:11"/>
    <s v="Y"/>
    <s v="Hearing Unit 2.31 - 5.00 Hours"/>
    <s v="Public Law Children"/>
    <s v="Advocacy"/>
    <s v="L. Allen"/>
    <s v="Y"/>
    <n v="596.15"/>
    <n v="119.23"/>
    <x v="1"/>
    <s v="VALIDATED"/>
    <n v="1"/>
    <s v="01.11.80.308.6100.0000"/>
    <n v="596.15"/>
    <s v="11"/>
    <s v="6100"/>
    <n v="12428.1"/>
    <n v="596.15"/>
    <s v="CREDITOR"/>
    <n v="0"/>
    <n v="0"/>
    <n v="0"/>
    <n v="0"/>
    <n v="596.15"/>
  </r>
  <r>
    <n v="61069832"/>
    <s v="N"/>
    <n v="21331052"/>
    <s v="3000015266470018"/>
    <s v="CIVIL"/>
    <d v="2023-06-26T00:00:00"/>
    <d v="2023-07-05T19:01:47"/>
    <m/>
    <d v="2023-07-05T00:00:00"/>
    <n v="1340"/>
    <n v="18319"/>
    <s v="61069832"/>
    <s v="61069832"/>
    <m/>
    <m/>
    <n v="22764930"/>
    <m/>
    <m/>
    <m/>
    <s v="SOLFIN"/>
    <s v="SOLFIN"/>
    <s v="CCMS"/>
    <n v="21331052"/>
    <n v="10281.54"/>
    <m/>
    <s v="N"/>
    <n v="11"/>
    <d v="2023-07-05T19:02:03"/>
    <s v="Y"/>
    <s v="Interpreter"/>
    <s v="Public Law Children"/>
    <s v="Expert Disbursement"/>
    <s v="P Carvill"/>
    <s v="Y"/>
    <n v="204"/>
    <n v="40.8"/>
    <x v="6"/>
    <s v="VALIDATED"/>
    <n v="1"/>
    <s v="01.11.80.308.6300.0000"/>
    <n v="204"/>
    <s v="11"/>
    <s v="6300"/>
    <n v="12428.1"/>
    <n v="204"/>
    <s v="CREDITOR"/>
    <n v="0"/>
    <n v="0"/>
    <n v="0"/>
    <n v="0"/>
    <n v="204"/>
  </r>
  <r>
    <n v="61010761"/>
    <s v="N"/>
    <n v="21328119"/>
    <s v="3000015215810003"/>
    <s v="CIVIL"/>
    <d v="2023-06-26T00:00:00"/>
    <d v="2023-07-04T19:00:44"/>
    <m/>
    <d v="2023-07-04T00:00:00"/>
    <n v="1340"/>
    <n v="18319"/>
    <s v="61010761"/>
    <s v="61010761"/>
    <m/>
    <m/>
    <n v="22765008"/>
    <m/>
    <m/>
    <m/>
    <s v="SOLFIN"/>
    <s v="SOLFIN"/>
    <s v="CCMS"/>
    <n v="21328119"/>
    <n v="4795.07"/>
    <m/>
    <s v="N"/>
    <n v="26"/>
    <d v="2023-07-04T19:01:05"/>
    <s v="Y"/>
    <s v="Routine Letter In"/>
    <s v="Care Remuneration Hourly Rates"/>
    <s v="Profit Cost"/>
    <s v="P. Carvill"/>
    <s v="Y"/>
    <n v="163.82"/>
    <n v="32.76"/>
    <x v="1"/>
    <s v="VALIDATED"/>
    <n v="1"/>
    <s v="01.11.80.305.6100.0000"/>
    <n v="163.82"/>
    <s v="11"/>
    <s v="6100"/>
    <n v="12428.1"/>
    <n v="163.82"/>
    <s v="CREDITOR"/>
    <n v="0"/>
    <n v="0"/>
    <n v="0"/>
    <n v="0"/>
    <n v="163.82"/>
  </r>
  <r>
    <n v="61010761"/>
    <s v="N"/>
    <n v="21328119"/>
    <s v="3000015215810003"/>
    <s v="CIVIL"/>
    <d v="2023-06-26T00:00:00"/>
    <d v="2023-07-04T19:00:44"/>
    <m/>
    <d v="2023-07-04T00:00:00"/>
    <n v="1340"/>
    <n v="18319"/>
    <s v="61010761"/>
    <s v="61010761"/>
    <m/>
    <m/>
    <n v="22765008"/>
    <m/>
    <m/>
    <m/>
    <s v="SOLFIN"/>
    <s v="SOLFIN"/>
    <s v="CCMS"/>
    <n v="21328119"/>
    <n v="4795.07"/>
    <m/>
    <s v="N"/>
    <n v="32"/>
    <d v="2023-07-04T19:01:05"/>
    <s v="Y"/>
    <s v="Advocates Meeting"/>
    <s v="Other Public Law Children"/>
    <s v="Advocacy"/>
    <s v="P. Carvill"/>
    <s v="Y"/>
    <n v="140.99"/>
    <n v="28.2"/>
    <x v="1"/>
    <s v="VALIDATED"/>
    <n v="1"/>
    <s v="01.11.80.305.6100.0000"/>
    <n v="140.99"/>
    <s v="11"/>
    <s v="6100"/>
    <n v="12428.1"/>
    <n v="140.99"/>
    <s v="CREDITOR"/>
    <n v="0"/>
    <n v="0"/>
    <n v="0"/>
    <n v="0"/>
    <n v="140.99"/>
  </r>
  <r>
    <n v="61010761"/>
    <s v="N"/>
    <n v="21328119"/>
    <s v="3000015215810003"/>
    <s v="CIVIL"/>
    <d v="2023-06-26T00:00:00"/>
    <d v="2023-07-04T19:00:44"/>
    <m/>
    <d v="2023-07-04T00:00:00"/>
    <n v="1340"/>
    <n v="18319"/>
    <s v="61010761"/>
    <s v="61010761"/>
    <m/>
    <m/>
    <n v="22765008"/>
    <m/>
    <m/>
    <m/>
    <s v="SOLFIN"/>
    <s v="SOLFIN"/>
    <s v="CCMS"/>
    <n v="21328119"/>
    <n v="4795.07"/>
    <m/>
    <s v="N"/>
    <n v="11"/>
    <d v="2023-07-04T19:01:05"/>
    <s v="Y"/>
    <s v="Preparation - other"/>
    <s v="Care Remuneration Hourly Rates"/>
    <s v="Profit Cost"/>
    <s v="P. Carvill"/>
    <s v="Y"/>
    <n v="40.31"/>
    <n v="8.06"/>
    <x v="1"/>
    <s v="VALIDATED"/>
    <n v="1"/>
    <s v="01.11.80.305.6100.0000"/>
    <n v="40.31"/>
    <s v="11"/>
    <s v="6100"/>
    <n v="12428.1"/>
    <n v="40.31"/>
    <s v="CREDITOR"/>
    <n v="0"/>
    <n v="0"/>
    <n v="0"/>
    <n v="0"/>
    <n v="40.31"/>
  </r>
  <r>
    <n v="61069832"/>
    <s v="N"/>
    <n v="21331052"/>
    <s v="3000015266470018"/>
    <s v="CIVIL"/>
    <d v="2023-06-26T00:00:00"/>
    <d v="2023-07-05T19:01:47"/>
    <m/>
    <d v="2023-07-05T00:00:00"/>
    <n v="1340"/>
    <n v="18319"/>
    <s v="61069832"/>
    <s v="61069832"/>
    <m/>
    <m/>
    <n v="22764930"/>
    <m/>
    <m/>
    <m/>
    <s v="SOLFIN"/>
    <s v="SOLFIN"/>
    <s v="CCMS"/>
    <n v="21331052"/>
    <n v="10281.54"/>
    <m/>
    <s v="N"/>
    <n v="3"/>
    <d v="2023-07-05T19:02:03"/>
    <s v="Y"/>
    <s v="Interpreter"/>
    <s v="Public Law Children"/>
    <s v="Expert Disbursement"/>
    <s v="P Carvill"/>
    <s v="Y"/>
    <n v="105"/>
    <n v="21"/>
    <x v="6"/>
    <s v="VALIDATED"/>
    <n v="1"/>
    <s v="01.11.80.308.6300.0000"/>
    <n v="105"/>
    <s v="11"/>
    <s v="6300"/>
    <n v="12428.1"/>
    <n v="105"/>
    <s v="CREDITOR"/>
    <n v="0"/>
    <n v="0"/>
    <n v="0"/>
    <n v="0"/>
    <n v="105"/>
  </r>
  <r>
    <n v="61010761"/>
    <s v="N"/>
    <n v="21328119"/>
    <s v="3000015215810003"/>
    <s v="CIVIL"/>
    <d v="2023-06-26T00:00:00"/>
    <d v="2023-07-04T19:00:44"/>
    <m/>
    <d v="2023-07-04T00:00:00"/>
    <n v="1340"/>
    <n v="18319"/>
    <s v="61010761"/>
    <s v="61010761"/>
    <m/>
    <m/>
    <n v="22765008"/>
    <m/>
    <m/>
    <m/>
    <s v="SOLFIN"/>
    <s v="SOLFIN"/>
    <s v="CCMS"/>
    <n v="21328119"/>
    <n v="4795.07"/>
    <m/>
    <s v="N"/>
    <n v="3"/>
    <d v="2023-07-04T19:01:05"/>
    <s v="Y"/>
    <s v="Toxicologist"/>
    <s v="Care Remuneration Hourly Rates"/>
    <s v="Expert Disbursement"/>
    <s v="P. Carvill"/>
    <s v="Y"/>
    <n v="262.71"/>
    <n v="52.54"/>
    <x v="1"/>
    <s v="VALIDATED"/>
    <n v="1"/>
    <s v="01.11.80.305.6300.0000"/>
    <n v="262.71"/>
    <s v="11"/>
    <s v="6300"/>
    <n v="12428.1"/>
    <n v="262.71"/>
    <s v="CREDITOR"/>
    <n v="0"/>
    <n v="0"/>
    <n v="0"/>
    <n v="0"/>
    <n v="262.71"/>
  </r>
  <r>
    <n v="61010761"/>
    <s v="N"/>
    <n v="21328119"/>
    <s v="3000015215810003"/>
    <s v="CIVIL"/>
    <d v="2023-06-26T00:00:00"/>
    <d v="2023-07-04T19:00:44"/>
    <m/>
    <d v="2023-07-04T00:00:00"/>
    <n v="1340"/>
    <n v="18319"/>
    <s v="61010761"/>
    <s v="61010761"/>
    <m/>
    <m/>
    <n v="22765008"/>
    <m/>
    <m/>
    <m/>
    <s v="SOLFIN"/>
    <s v="SOLFIN"/>
    <s v="CCMS"/>
    <n v="21328119"/>
    <n v="4795.07"/>
    <m/>
    <s v="N"/>
    <n v="16"/>
    <d v="2023-07-04T19:01:05"/>
    <s v="Y"/>
    <s v="Preparation - other"/>
    <s v="Care Remuneration Hourly Rates"/>
    <s v="Profit Cost"/>
    <s v="P. Carvill"/>
    <s v="Y"/>
    <n v="20.15"/>
    <n v="4.03"/>
    <x v="1"/>
    <s v="VALIDATED"/>
    <n v="1"/>
    <s v="01.11.80.305.6100.0000"/>
    <n v="20.15"/>
    <s v="11"/>
    <s v="6100"/>
    <n v="12428.1"/>
    <n v="20.15"/>
    <s v="CREDITOR"/>
    <n v="0"/>
    <n v="0"/>
    <n v="0"/>
    <n v="0"/>
    <n v="20.15"/>
  </r>
  <r>
    <n v="60285114"/>
    <s v="N"/>
    <n v="21328270"/>
    <s v="3000014590820013"/>
    <s v="CIVIL"/>
    <d v="2023-06-22T00:00:00"/>
    <d v="2023-07-04T19:00:44"/>
    <m/>
    <d v="2023-07-04T00:00:00"/>
    <n v="1340"/>
    <n v="18319"/>
    <s v="60285114"/>
    <s v="60285114"/>
    <m/>
    <m/>
    <n v="22747042"/>
    <m/>
    <m/>
    <m/>
    <s v="SOLFIN"/>
    <s v="SOLFIN"/>
    <s v="CCMS"/>
    <n v="21328270"/>
    <n v="9208.41"/>
    <m/>
    <s v="N"/>
    <n v="11"/>
    <d v="2023-07-04T19:01:11"/>
    <s v="Y"/>
    <s v="Final Hearing - 1 Day"/>
    <s v="Public Law Children"/>
    <s v="Advocacy"/>
    <s v="P. Carvill"/>
    <s v="Y"/>
    <n v="696.1"/>
    <n v="139.22"/>
    <x v="1"/>
    <s v="VALIDATED"/>
    <n v="1"/>
    <s v="01.11.80.308.6100.0000"/>
    <n v="696.1"/>
    <s v="11"/>
    <s v="6100"/>
    <n v="12428.1"/>
    <n v="696.1"/>
    <s v="CREDITOR"/>
    <n v="0"/>
    <n v="0"/>
    <n v="0"/>
    <n v="0"/>
    <n v="696.1"/>
  </r>
  <r>
    <n v="61069832"/>
    <s v="N"/>
    <n v="21331052"/>
    <s v="3000015266470018"/>
    <s v="CIVIL"/>
    <d v="2023-06-26T00:00:00"/>
    <d v="2023-07-05T19:01:47"/>
    <m/>
    <d v="2023-07-05T00:00:00"/>
    <n v="1340"/>
    <n v="18319"/>
    <s v="61069832"/>
    <s v="61069832"/>
    <m/>
    <m/>
    <n v="22764930"/>
    <m/>
    <m/>
    <m/>
    <s v="SOLFIN"/>
    <s v="SOLFIN"/>
    <s v="CCMS"/>
    <n v="21331052"/>
    <n v="10281.54"/>
    <m/>
    <s v="N"/>
    <n v="10"/>
    <d v="2023-07-05T19:02:03"/>
    <s v="Y"/>
    <s v="Psychologist"/>
    <s v="Public Law Children"/>
    <s v="Expert Disbursement"/>
    <s v="P Carvill"/>
    <s v="Y"/>
    <n v="232.5"/>
    <n v="0"/>
    <x v="6"/>
    <s v="VALIDATED"/>
    <n v="1"/>
    <s v="01.11.80.308.6300.0000"/>
    <n v="232.5"/>
    <s v="11"/>
    <s v="6300"/>
    <n v="12428.1"/>
    <n v="232.5"/>
    <s v="CREDITOR"/>
    <n v="0"/>
    <n v="0"/>
    <n v="0"/>
    <n v="0"/>
    <n v="232.5"/>
  </r>
  <r>
    <n v="61069832"/>
    <s v="N"/>
    <n v="21331052"/>
    <s v="3000015266470018"/>
    <s v="CIVIL"/>
    <d v="2023-06-26T00:00:00"/>
    <d v="2023-07-05T19:01:47"/>
    <m/>
    <d v="2023-07-05T00:00:00"/>
    <n v="1340"/>
    <n v="18319"/>
    <s v="61069832"/>
    <s v="61069832"/>
    <m/>
    <m/>
    <n v="22764930"/>
    <m/>
    <m/>
    <m/>
    <s v="SOLFIN"/>
    <s v="SOLFIN"/>
    <s v="CCMS"/>
    <n v="21331052"/>
    <n v="10281.54"/>
    <m/>
    <s v="N"/>
    <n v="14"/>
    <d v="2023-07-05T19:02:03"/>
    <s v="Y"/>
    <s v="Psychologist"/>
    <s v="Public Law Children"/>
    <s v="Expert Disbursement"/>
    <s v="P Carvill"/>
    <s v="Y"/>
    <n v="374.4"/>
    <n v="0"/>
    <x v="6"/>
    <s v="VALIDATED"/>
    <n v="1"/>
    <s v="01.11.80.308.6300.0000"/>
    <n v="374.4"/>
    <s v="11"/>
    <s v="6300"/>
    <n v="12428.1"/>
    <n v="374.4"/>
    <s v="CREDITOR"/>
    <n v="0"/>
    <n v="0"/>
    <n v="0"/>
    <n v="0"/>
    <n v="374.4"/>
  </r>
  <r>
    <n v="61010761"/>
    <s v="N"/>
    <n v="21328119"/>
    <s v="3000015215810003"/>
    <s v="CIVIL"/>
    <d v="2023-06-26T00:00:00"/>
    <d v="2023-07-04T19:00:44"/>
    <m/>
    <d v="2023-07-04T00:00:00"/>
    <n v="1340"/>
    <n v="18319"/>
    <s v="61010761"/>
    <s v="61010761"/>
    <m/>
    <m/>
    <n v="22765008"/>
    <m/>
    <m/>
    <m/>
    <s v="SOLFIN"/>
    <s v="SOLFIN"/>
    <s v="CCMS"/>
    <n v="21328119"/>
    <n v="4795.07"/>
    <m/>
    <s v="N"/>
    <n v="5"/>
    <d v="2023-07-04T19:01:05"/>
    <s v="Y"/>
    <s v="Preparation - other"/>
    <s v="Care Remuneration Hourly Rates"/>
    <s v="Profit Cost"/>
    <s v="P. Carvill"/>
    <s v="Y"/>
    <n v="67.17"/>
    <n v="13.43"/>
    <x v="1"/>
    <s v="VALIDATED"/>
    <n v="1"/>
    <s v="01.11.80.305.6100.0000"/>
    <n v="67.17"/>
    <s v="11"/>
    <s v="6100"/>
    <n v="12428.1"/>
    <n v="67.17"/>
    <s v="CREDITOR"/>
    <n v="0"/>
    <n v="0"/>
    <n v="0"/>
    <n v="0"/>
    <n v="67.17"/>
  </r>
  <r>
    <n v="61161067"/>
    <s v="N"/>
    <n v="21330966"/>
    <s v="3000015343870001"/>
    <s v="CIVIL"/>
    <d v="2023-06-26T00:00:00"/>
    <d v="2023-07-05T19:01:47"/>
    <m/>
    <d v="2023-07-05T00:00:00"/>
    <n v="1340"/>
    <n v="18319"/>
    <s v="61161067"/>
    <s v="61161067"/>
    <m/>
    <m/>
    <n v="22761430"/>
    <m/>
    <m/>
    <m/>
    <s v="SOLFIN"/>
    <s v="SOLFIN"/>
    <s v="CCMS"/>
    <n v="21330966"/>
    <n v="0"/>
    <m/>
    <s v="N"/>
    <n v="1"/>
    <d v="2023-07-05T19:02:00"/>
    <s v="N"/>
    <s v="NIL BILL"/>
    <s v="Public Law Children"/>
    <s v="Profit Cost"/>
    <s v="P Carvill"/>
    <s v="N"/>
    <n v="0"/>
    <n v="0"/>
    <x v="6"/>
    <s v="VALIDATED"/>
    <n v="1"/>
    <s v="01.11.80.308.6100.0000"/>
    <n v="0"/>
    <s v="11"/>
    <s v="6100"/>
    <n v="12428.1"/>
    <n v="0"/>
    <s v="CREDITOR"/>
    <n v="0"/>
    <n v="0"/>
    <n v="0"/>
    <n v="0"/>
    <n v="0"/>
  </r>
  <r>
    <n v="61010761"/>
    <s v="N"/>
    <n v="21328119"/>
    <s v="3000015215810003"/>
    <s v="CIVIL"/>
    <d v="2023-06-26T00:00:00"/>
    <d v="2023-07-04T19:00:44"/>
    <m/>
    <d v="2023-07-04T00:00:00"/>
    <n v="1340"/>
    <n v="18319"/>
    <s v="61010761"/>
    <s v="61010761"/>
    <m/>
    <m/>
    <n v="22765008"/>
    <m/>
    <m/>
    <m/>
    <s v="SOLFIN"/>
    <s v="SOLFIN"/>
    <s v="CCMS"/>
    <n v="21328119"/>
    <n v="4795.07"/>
    <m/>
    <s v="N"/>
    <n v="9"/>
    <d v="2023-07-04T19:01:05"/>
    <s v="Y"/>
    <s v="Preparation - other"/>
    <s v="Care Remuneration Hourly Rates"/>
    <s v="Profit Cost"/>
    <s v="P. Carvill"/>
    <s v="Y"/>
    <n v="13.43"/>
    <n v="2.69"/>
    <x v="1"/>
    <s v="VALIDATED"/>
    <n v="1"/>
    <s v="01.11.80.305.6100.0000"/>
    <n v="13.43"/>
    <s v="11"/>
    <s v="6100"/>
    <n v="12428.1"/>
    <n v="13.43"/>
    <s v="CREDITOR"/>
    <n v="0"/>
    <n v="0"/>
    <n v="0"/>
    <n v="0"/>
    <n v="13.43"/>
  </r>
  <r>
    <n v="61069832"/>
    <s v="N"/>
    <n v="21331052"/>
    <s v="3000015266470018"/>
    <s v="CIVIL"/>
    <d v="2023-06-26T00:00:00"/>
    <d v="2023-07-05T19:01:47"/>
    <m/>
    <d v="2023-07-05T00:00:00"/>
    <n v="1340"/>
    <n v="18319"/>
    <s v="61069832"/>
    <s v="61069832"/>
    <m/>
    <m/>
    <n v="22764930"/>
    <m/>
    <m/>
    <m/>
    <s v="SOLFIN"/>
    <s v="SOLFIN"/>
    <s v="CCMS"/>
    <n v="21331052"/>
    <n v="10281.54"/>
    <m/>
    <s v="N"/>
    <n v="8"/>
    <d v="2023-07-05T19:02:03"/>
    <s v="Y"/>
    <s v="Psychologist"/>
    <s v="Public Law Children"/>
    <s v="Expert Disbursement"/>
    <s v="P Carvill"/>
    <s v="Y"/>
    <n v="232.5"/>
    <n v="0"/>
    <x v="6"/>
    <s v="VALIDATED"/>
    <n v="1"/>
    <s v="01.11.80.308.6300.0000"/>
    <n v="232.5"/>
    <s v="11"/>
    <s v="6300"/>
    <n v="12428.1"/>
    <n v="232.5"/>
    <s v="CREDITOR"/>
    <n v="0"/>
    <n v="0"/>
    <n v="0"/>
    <n v="0"/>
    <n v="232.5"/>
  </r>
  <r>
    <n v="61282141"/>
    <s v="N"/>
    <n v="21331053"/>
    <s v="3000015444600004"/>
    <s v="CIVIL"/>
    <d v="2023-06-26T00:00:00"/>
    <d v="2023-07-05T19:01:47"/>
    <m/>
    <d v="2023-07-05T00:00:00"/>
    <n v="1340"/>
    <n v="18319"/>
    <s v="61282141"/>
    <s v="61282141"/>
    <m/>
    <m/>
    <n v="22761144"/>
    <m/>
    <m/>
    <m/>
    <s v="SOLFIN"/>
    <s v="SOLFIN"/>
    <s v="CCMS"/>
    <n v="21331053"/>
    <n v="5522.59"/>
    <m/>
    <s v="N"/>
    <n v="1"/>
    <d v="2023-07-05T19:02:03"/>
    <s v="Y"/>
    <s v="Final Hearing Court Bundle/Advocate"/>
    <s v="Public Law Children"/>
    <s v="Advocacy"/>
    <s v="H Styles"/>
    <s v="Y"/>
    <n v="159.3"/>
    <n v="31.86"/>
    <x v="6"/>
    <s v="VALIDATED"/>
    <n v="1"/>
    <s v="01.11.80.308.6100.0000"/>
    <n v="159.3"/>
    <s v="11"/>
    <s v="6100"/>
    <n v="12428.1"/>
    <n v="159.3"/>
    <s v="CREDITOR"/>
    <n v="0"/>
    <n v="0"/>
    <n v="0"/>
    <n v="0"/>
    <n v="159.3"/>
  </r>
  <r>
    <n v="61069832"/>
    <s v="N"/>
    <n v="21331052"/>
    <s v="3000015266470018"/>
    <s v="CIVIL"/>
    <d v="2023-06-26T00:00:00"/>
    <d v="2023-07-05T19:01:47"/>
    <m/>
    <d v="2023-07-05T00:00:00"/>
    <n v="1340"/>
    <n v="18319"/>
    <s v="61069832"/>
    <s v="61069832"/>
    <m/>
    <m/>
    <n v="22764930"/>
    <m/>
    <m/>
    <m/>
    <s v="SOLFIN"/>
    <s v="SOLFIN"/>
    <s v="CCMS"/>
    <n v="21331052"/>
    <n v="10281.54"/>
    <m/>
    <s v="N"/>
    <n v="16"/>
    <d v="2023-07-05T19:02:03"/>
    <s v="Y"/>
    <s v="Final Hearing - 1 Day"/>
    <s v="Public Law Children"/>
    <s v="Advocacy"/>
    <s v="P Carvill"/>
    <s v="Y"/>
    <n v="556.88"/>
    <n v="111.38"/>
    <x v="6"/>
    <s v="VALIDATED"/>
    <n v="1"/>
    <s v="01.11.80.308.6100.0000"/>
    <n v="556.88"/>
    <s v="11"/>
    <s v="6100"/>
    <n v="12428.1"/>
    <n v="556.88"/>
    <s v="CREDITOR"/>
    <n v="0"/>
    <n v="0"/>
    <n v="0"/>
    <n v="0"/>
    <n v="556.88"/>
  </r>
  <r>
    <n v="61282141"/>
    <s v="N"/>
    <n v="21331053"/>
    <s v="3000015444600004"/>
    <s v="CIVIL"/>
    <d v="2023-06-26T00:00:00"/>
    <d v="2023-07-05T19:01:47"/>
    <m/>
    <d v="2023-07-05T00:00:00"/>
    <n v="1340"/>
    <n v="18319"/>
    <s v="61282141"/>
    <s v="61282141"/>
    <m/>
    <m/>
    <n v="22761144"/>
    <m/>
    <m/>
    <m/>
    <s v="SOLFIN"/>
    <s v="SOLFIN"/>
    <s v="CCMS"/>
    <n v="21331053"/>
    <n v="5522.59"/>
    <m/>
    <s v="N"/>
    <n v="3"/>
    <d v="2023-07-05T19:02:03"/>
    <s v="Y"/>
    <s v="GP (records report)"/>
    <s v="Public Law Children"/>
    <s v="Expert Disbursement"/>
    <s v="L Allen"/>
    <s v="Y"/>
    <n v="42"/>
    <n v="0"/>
    <x v="6"/>
    <s v="VALIDATED"/>
    <n v="1"/>
    <s v="01.11.80.308.6300.0000"/>
    <n v="42"/>
    <s v="11"/>
    <s v="6300"/>
    <n v="12428.1"/>
    <n v="42"/>
    <s v="CREDITOR"/>
    <n v="0"/>
    <n v="0"/>
    <n v="0"/>
    <n v="0"/>
    <n v="42"/>
  </r>
  <r>
    <n v="61282141"/>
    <s v="N"/>
    <n v="21331053"/>
    <s v="3000015444600004"/>
    <s v="CIVIL"/>
    <d v="2023-06-26T00:00:00"/>
    <d v="2023-07-05T19:01:47"/>
    <m/>
    <d v="2023-07-05T00:00:00"/>
    <n v="1340"/>
    <n v="18319"/>
    <s v="61282141"/>
    <s v="61282141"/>
    <m/>
    <m/>
    <n v="22761144"/>
    <m/>
    <m/>
    <m/>
    <s v="SOLFIN"/>
    <s v="SOLFIN"/>
    <s v="CCMS"/>
    <n v="21331053"/>
    <n v="5522.59"/>
    <m/>
    <s v="N"/>
    <n v="9"/>
    <d v="2023-07-05T19:02:03"/>
    <s v="Y"/>
    <s v="Advocates Meeting"/>
    <s v="Public Law Children"/>
    <s v="Advocacy"/>
    <s v="L Allen"/>
    <s v="Y"/>
    <n v="140.99"/>
    <n v="28.2"/>
    <x v="6"/>
    <s v="VALIDATED"/>
    <n v="1"/>
    <s v="01.11.80.308.6100.0000"/>
    <n v="140.99"/>
    <s v="11"/>
    <s v="6100"/>
    <n v="12428.1"/>
    <n v="140.99"/>
    <s v="CREDITOR"/>
    <n v="0"/>
    <n v="0"/>
    <n v="0"/>
    <n v="0"/>
    <n v="140.99"/>
  </r>
  <r>
    <n v="61282141"/>
    <s v="N"/>
    <n v="21331053"/>
    <s v="3000015444600004"/>
    <s v="CIVIL"/>
    <d v="2023-06-26T00:00:00"/>
    <d v="2023-07-05T19:01:47"/>
    <m/>
    <d v="2023-07-05T00:00:00"/>
    <n v="1340"/>
    <n v="18319"/>
    <s v="61282141"/>
    <s v="61282141"/>
    <m/>
    <m/>
    <n v="22761144"/>
    <m/>
    <m/>
    <m/>
    <s v="SOLFIN"/>
    <s v="SOLFIN"/>
    <s v="CCMS"/>
    <n v="21331053"/>
    <n v="5522.59"/>
    <m/>
    <s v="N"/>
    <n v="8"/>
    <d v="2023-07-05T19:02:03"/>
    <s v="Y"/>
    <s v="Final Hearing - 1 Day"/>
    <s v="Public Law Children"/>
    <s v="Advocacy"/>
    <s v="H Styles"/>
    <s v="Y"/>
    <n v="556.88"/>
    <n v="111.38"/>
    <x v="6"/>
    <s v="VALIDATED"/>
    <n v="1"/>
    <s v="01.11.80.308.6100.0000"/>
    <n v="556.88"/>
    <s v="11"/>
    <s v="6100"/>
    <n v="12428.1"/>
    <n v="556.88"/>
    <s v="CREDITOR"/>
    <n v="0"/>
    <n v="0"/>
    <n v="0"/>
    <n v="0"/>
    <n v="556.88"/>
  </r>
  <r>
    <n v="61010761"/>
    <s v="N"/>
    <n v="21328119"/>
    <s v="3000015215810003"/>
    <s v="CIVIL"/>
    <d v="2023-06-26T00:00:00"/>
    <d v="2023-07-04T19:00:44"/>
    <m/>
    <d v="2023-07-04T00:00:00"/>
    <n v="1340"/>
    <n v="18319"/>
    <s v="61010761"/>
    <s v="61010761"/>
    <m/>
    <m/>
    <n v="22765008"/>
    <m/>
    <m/>
    <m/>
    <s v="SOLFIN"/>
    <s v="SOLFIN"/>
    <s v="CCMS"/>
    <n v="21328119"/>
    <n v="4795.07"/>
    <m/>
    <s v="N"/>
    <n v="1"/>
    <d v="2023-07-04T19:01:05"/>
    <s v="Y"/>
    <s v="Final Hearing Court Bundle/Advocate"/>
    <s v="Other Public Law Children"/>
    <s v="Advocacy"/>
    <s v="P. Carvill"/>
    <s v="Y"/>
    <n v="159.3"/>
    <n v="31.86"/>
    <x v="1"/>
    <s v="VALIDATED"/>
    <n v="1"/>
    <s v="01.11.80.305.6100.0000"/>
    <n v="159.3"/>
    <s v="11"/>
    <s v="6100"/>
    <n v="12428.1"/>
    <n v="159.3"/>
    <s v="CREDITOR"/>
    <n v="0"/>
    <n v="0"/>
    <n v="0"/>
    <n v="0"/>
    <n v="159.3"/>
  </r>
  <r>
    <n v="61010761"/>
    <s v="N"/>
    <n v="21328119"/>
    <s v="3000015215810003"/>
    <s v="CIVIL"/>
    <d v="2023-06-26T00:00:00"/>
    <d v="2023-07-04T19:00:44"/>
    <m/>
    <d v="2023-07-04T00:00:00"/>
    <n v="1340"/>
    <n v="18319"/>
    <s v="61010761"/>
    <s v="61010761"/>
    <m/>
    <m/>
    <n v="22765008"/>
    <m/>
    <m/>
    <m/>
    <s v="SOLFIN"/>
    <s v="SOLFIN"/>
    <s v="CCMS"/>
    <n v="21328119"/>
    <n v="4795.07"/>
    <m/>
    <s v="N"/>
    <n v="14"/>
    <d v="2023-07-04T19:01:05"/>
    <s v="Y"/>
    <s v="Attendance upon client"/>
    <s v="Care Remuneration Hourly Rates"/>
    <s v="Profit Cost"/>
    <s v="P. Carvill"/>
    <s v="Y"/>
    <n v="20.15"/>
    <n v="4.03"/>
    <x v="1"/>
    <s v="VALIDATED"/>
    <n v="1"/>
    <s v="01.11.80.305.6100.0000"/>
    <n v="20.15"/>
    <s v="11"/>
    <s v="6100"/>
    <n v="12428.1"/>
    <n v="20.15"/>
    <s v="CREDITOR"/>
    <n v="0"/>
    <n v="0"/>
    <n v="0"/>
    <n v="0"/>
    <n v="20.15"/>
  </r>
  <r>
    <n v="61069832"/>
    <s v="N"/>
    <n v="21331052"/>
    <s v="3000015266470018"/>
    <s v="CIVIL"/>
    <d v="2023-06-26T00:00:00"/>
    <d v="2023-07-05T19:01:47"/>
    <m/>
    <d v="2023-07-05T00:00:00"/>
    <n v="1340"/>
    <n v="18319"/>
    <s v="61069832"/>
    <s v="61069832"/>
    <m/>
    <m/>
    <n v="22764930"/>
    <m/>
    <m/>
    <m/>
    <s v="SOLFIN"/>
    <s v="SOLFIN"/>
    <s v="CCMS"/>
    <n v="21331052"/>
    <n v="10281.54"/>
    <m/>
    <s v="N"/>
    <n v="4"/>
    <d v="2023-07-05T19:02:03"/>
    <s v="Y"/>
    <s v="Interpreter"/>
    <s v="Public Law Children"/>
    <s v="Expert Disbursement"/>
    <s v="P Carvill"/>
    <s v="Y"/>
    <n v="210.86"/>
    <n v="0"/>
    <x v="6"/>
    <s v="VALIDATED"/>
    <n v="1"/>
    <s v="01.11.80.308.6300.0000"/>
    <n v="210.86"/>
    <s v="11"/>
    <s v="6300"/>
    <n v="12428.1"/>
    <n v="210.86"/>
    <s v="CREDITOR"/>
    <n v="0"/>
    <n v="0"/>
    <n v="0"/>
    <n v="0"/>
    <n v="210.86"/>
  </r>
  <r>
    <n v="61069832"/>
    <s v="N"/>
    <n v="21331052"/>
    <s v="3000015266470018"/>
    <s v="CIVIL"/>
    <d v="2023-06-26T00:00:00"/>
    <d v="2023-07-05T19:01:47"/>
    <m/>
    <d v="2023-07-05T00:00:00"/>
    <n v="1340"/>
    <n v="18319"/>
    <s v="61069832"/>
    <s v="61069832"/>
    <m/>
    <m/>
    <n v="22764930"/>
    <m/>
    <m/>
    <m/>
    <s v="SOLFIN"/>
    <s v="SOLFIN"/>
    <s v="CCMS"/>
    <n v="21331052"/>
    <n v="10281.54"/>
    <m/>
    <s v="N"/>
    <n v="1"/>
    <d v="2023-07-05T19:02:03"/>
    <s v="Y"/>
    <s v="Expert - Other"/>
    <s v="Public Law Children"/>
    <s v="Expert Disbursement"/>
    <s v="P Carvill"/>
    <s v="Y"/>
    <n v="473.77"/>
    <n v="94.75"/>
    <x v="6"/>
    <s v="VALIDATED"/>
    <n v="1"/>
    <s v="01.11.80.308.6300.0000"/>
    <n v="473.77"/>
    <s v="11"/>
    <s v="6300"/>
    <n v="12428.1"/>
    <n v="473.77"/>
    <s v="CREDITOR"/>
    <n v="0"/>
    <n v="0"/>
    <n v="0"/>
    <n v="0"/>
    <n v="473.77"/>
  </r>
  <r>
    <n v="60285114"/>
    <s v="N"/>
    <n v="21328270"/>
    <s v="3000014590820013"/>
    <s v="CIVIL"/>
    <d v="2023-06-22T00:00:00"/>
    <d v="2023-07-04T19:00:44"/>
    <m/>
    <d v="2023-07-04T00:00:00"/>
    <n v="1340"/>
    <n v="18319"/>
    <s v="60285114"/>
    <s v="60285114"/>
    <m/>
    <m/>
    <n v="22747042"/>
    <m/>
    <m/>
    <m/>
    <s v="SOLFIN"/>
    <s v="SOLFIN"/>
    <s v="CCMS"/>
    <n v="21328270"/>
    <n v="9208.41"/>
    <m/>
    <s v="N"/>
    <n v="3"/>
    <d v="2023-07-04T19:01:11"/>
    <s v="Y"/>
    <s v="Toxicologist"/>
    <s v="Public Law Children"/>
    <s v="Expert Disbursement"/>
    <s v="P. Carvill"/>
    <s v="Y"/>
    <n v="128"/>
    <n v="25.6"/>
    <x v="1"/>
    <s v="VALIDATED"/>
    <n v="1"/>
    <s v="01.11.80.308.6300.0000"/>
    <n v="128"/>
    <s v="11"/>
    <s v="6300"/>
    <n v="12428.1"/>
    <n v="128"/>
    <s v="CREDITOR"/>
    <n v="0"/>
    <n v="0"/>
    <n v="0"/>
    <n v="0"/>
    <n v="128"/>
  </r>
  <r>
    <n v="61010761"/>
    <s v="N"/>
    <n v="21328119"/>
    <s v="3000015215810003"/>
    <s v="CIVIL"/>
    <d v="2023-06-26T00:00:00"/>
    <d v="2023-07-04T19:00:44"/>
    <m/>
    <d v="2023-07-04T00:00:00"/>
    <n v="1340"/>
    <n v="18319"/>
    <s v="61010761"/>
    <s v="61010761"/>
    <m/>
    <m/>
    <n v="22765008"/>
    <m/>
    <m/>
    <m/>
    <s v="SOLFIN"/>
    <s v="SOLFIN"/>
    <s v="CCMS"/>
    <n v="21328119"/>
    <n v="4795.07"/>
    <m/>
    <s v="N"/>
    <n v="21"/>
    <d v="2023-07-04T19:01:05"/>
    <s v="Y"/>
    <s v="Preparation - other"/>
    <s v="Care Remuneration Hourly Rates"/>
    <s v="Profit Cost"/>
    <s v="P. Carvill"/>
    <s v="Y"/>
    <n v="6.72"/>
    <n v="1.34"/>
    <x v="1"/>
    <s v="VALIDATED"/>
    <n v="1"/>
    <s v="01.11.80.305.6100.0000"/>
    <n v="6.72"/>
    <s v="11"/>
    <s v="6100"/>
    <n v="12428.1"/>
    <n v="6.72"/>
    <s v="CREDITOR"/>
    <n v="0"/>
    <n v="0"/>
    <n v="0"/>
    <n v="0"/>
    <n v="6.72"/>
  </r>
  <r>
    <n v="61069832"/>
    <s v="N"/>
    <n v="21331052"/>
    <s v="3000015266470018"/>
    <s v="CIVIL"/>
    <d v="2023-06-26T00:00:00"/>
    <d v="2023-07-05T19:01:47"/>
    <m/>
    <d v="2023-07-05T00:00:00"/>
    <n v="1340"/>
    <n v="18319"/>
    <s v="61069832"/>
    <s v="61069832"/>
    <m/>
    <m/>
    <n v="22764930"/>
    <m/>
    <m/>
    <m/>
    <s v="SOLFIN"/>
    <s v="SOLFIN"/>
    <s v="CCMS"/>
    <n v="21331052"/>
    <n v="10281.54"/>
    <m/>
    <s v="N"/>
    <n v="9"/>
    <d v="2023-07-05T19:02:03"/>
    <s v="Y"/>
    <s v="Interpreter"/>
    <s v="Public Law Children"/>
    <s v="Expert Disbursement"/>
    <s v="P Carvill"/>
    <s v="Y"/>
    <n v="213.13"/>
    <n v="0"/>
    <x v="6"/>
    <s v="VALIDATED"/>
    <n v="1"/>
    <s v="01.11.80.308.6300.0000"/>
    <n v="213.13"/>
    <s v="11"/>
    <s v="6300"/>
    <n v="12428.1"/>
    <n v="213.13"/>
    <s v="CREDITOR"/>
    <n v="0"/>
    <n v="0"/>
    <n v="0"/>
    <n v="0"/>
    <n v="213.13"/>
  </r>
  <r>
    <n v="61160840"/>
    <s v="N"/>
    <n v="21330656"/>
    <s v="3000015343680003"/>
    <s v="CIVIL"/>
    <d v="2023-06-26T00:00:00"/>
    <d v="2023-07-05T19:01:47"/>
    <m/>
    <d v="2023-07-05T00:00:00"/>
    <n v="1340"/>
    <n v="18319"/>
    <s v="61160840"/>
    <s v="61160840"/>
    <m/>
    <m/>
    <n v="22761364"/>
    <m/>
    <m/>
    <m/>
    <s v="SOLFIN"/>
    <s v="SOLFIN"/>
    <s v="CCMS"/>
    <n v="21330656"/>
    <n v="5719.17"/>
    <m/>
    <s v="N"/>
    <n v="2"/>
    <d v="2023-07-05T19:01:52"/>
    <s v="Y"/>
    <s v="Child psychologist"/>
    <s v="Public Law Children"/>
    <s v="Expert Disbursement"/>
    <s v="P Carvill"/>
    <s v="Y"/>
    <n v="836.25"/>
    <n v="0"/>
    <x v="6"/>
    <s v="VALIDATED"/>
    <n v="1"/>
    <s v="01.11.80.308.6300.0000"/>
    <n v="836.25"/>
    <s v="11"/>
    <s v="6300"/>
    <n v="12428.1"/>
    <n v="836.25"/>
    <s v="CREDITOR"/>
    <n v="0"/>
    <n v="0"/>
    <n v="0"/>
    <n v="0"/>
    <n v="836.25"/>
  </r>
  <r>
    <n v="61160840"/>
    <s v="N"/>
    <n v="21330656"/>
    <s v="3000015343680003"/>
    <s v="CIVIL"/>
    <d v="2023-06-26T00:00:00"/>
    <d v="2023-07-05T19:01:47"/>
    <m/>
    <d v="2023-07-05T00:00:00"/>
    <n v="1340"/>
    <n v="18319"/>
    <s v="61160840"/>
    <s v="61160840"/>
    <m/>
    <m/>
    <n v="22761364"/>
    <m/>
    <m/>
    <m/>
    <s v="SOLFIN"/>
    <s v="SOLFIN"/>
    <s v="CCMS"/>
    <n v="21330656"/>
    <n v="5719.17"/>
    <m/>
    <s v="N"/>
    <n v="3"/>
    <d v="2023-07-05T19:01:52"/>
    <s v="Y"/>
    <s v="Final Hearing - 1 Day"/>
    <s v="Public Law Children"/>
    <s v="Advocacy"/>
    <s v="P Carivll"/>
    <s v="Y"/>
    <n v="556.88"/>
    <n v="111.38"/>
    <x v="6"/>
    <s v="VALIDATED"/>
    <n v="1"/>
    <s v="01.11.80.308.6100.0000"/>
    <n v="556.88"/>
    <s v="11"/>
    <s v="6100"/>
    <n v="12428.1"/>
    <n v="556.88"/>
    <s v="CREDITOR"/>
    <n v="0"/>
    <n v="0"/>
    <n v="0"/>
    <n v="0"/>
    <n v="556.88"/>
  </r>
  <r>
    <n v="61282141"/>
    <s v="N"/>
    <n v="21331053"/>
    <s v="3000015444600004"/>
    <s v="CIVIL"/>
    <d v="2023-06-26T00:00:00"/>
    <d v="2023-07-05T19:01:47"/>
    <m/>
    <d v="2023-07-05T00:00:00"/>
    <n v="1340"/>
    <n v="18319"/>
    <s v="61282141"/>
    <s v="61282141"/>
    <m/>
    <m/>
    <n v="22761144"/>
    <m/>
    <m/>
    <m/>
    <s v="SOLFIN"/>
    <s v="SOLFIN"/>
    <s v="CCMS"/>
    <n v="21331053"/>
    <n v="5522.59"/>
    <m/>
    <s v="N"/>
    <n v="4"/>
    <d v="2023-07-05T19:02:03"/>
    <s v="Y"/>
    <s v="Toxicologist"/>
    <s v="Public Law Children"/>
    <s v="Expert Disbursement"/>
    <s v="L Allen"/>
    <s v="Y"/>
    <n v="244.25"/>
    <n v="48.85"/>
    <x v="6"/>
    <s v="VALIDATED"/>
    <n v="1"/>
    <s v="01.11.80.308.6300.0000"/>
    <n v="244.25"/>
    <s v="11"/>
    <s v="6300"/>
    <n v="12428.1"/>
    <n v="244.25"/>
    <s v="CREDITOR"/>
    <n v="0"/>
    <n v="0"/>
    <n v="0"/>
    <n v="0"/>
    <n v="244.25"/>
  </r>
  <r>
    <n v="61010761"/>
    <s v="N"/>
    <n v="21328119"/>
    <s v="3000015215810003"/>
    <s v="CIVIL"/>
    <d v="2023-06-26T00:00:00"/>
    <d v="2023-07-04T19:00:44"/>
    <m/>
    <d v="2023-07-04T00:00:00"/>
    <n v="1340"/>
    <n v="18319"/>
    <s v="61010761"/>
    <s v="61010761"/>
    <m/>
    <m/>
    <n v="22765008"/>
    <m/>
    <m/>
    <m/>
    <s v="SOLFIN"/>
    <s v="SOLFIN"/>
    <s v="CCMS"/>
    <n v="21328119"/>
    <n v="4795.07"/>
    <m/>
    <s v="N"/>
    <n v="7"/>
    <d v="2023-07-04T19:01:05"/>
    <s v="Y"/>
    <s v="Preparation - drafting notice(s)"/>
    <s v="Care Remuneration Hourly Rates"/>
    <s v="Profit Cost"/>
    <s v="D. Baker"/>
    <s v="Y"/>
    <n v="5.84"/>
    <n v="1.17"/>
    <x v="1"/>
    <s v="VALIDATED"/>
    <n v="1"/>
    <s v="01.11.80.305.6100.0000"/>
    <n v="5.84"/>
    <s v="11"/>
    <s v="6100"/>
    <n v="12428.1"/>
    <n v="5.84"/>
    <s v="CREDITOR"/>
    <n v="0"/>
    <n v="0"/>
    <n v="0"/>
    <n v="0"/>
    <n v="5.84"/>
  </r>
  <r>
    <n v="61010761"/>
    <s v="N"/>
    <n v="21328119"/>
    <s v="3000015215810003"/>
    <s v="CIVIL"/>
    <d v="2023-06-26T00:00:00"/>
    <d v="2023-07-04T19:00:44"/>
    <m/>
    <d v="2023-07-04T00:00:00"/>
    <n v="1340"/>
    <n v="18319"/>
    <s v="61010761"/>
    <s v="61010761"/>
    <m/>
    <m/>
    <n v="22765008"/>
    <m/>
    <m/>
    <m/>
    <s v="SOLFIN"/>
    <s v="SOLFIN"/>
    <s v="CCMS"/>
    <n v="21328119"/>
    <n v="4795.07"/>
    <m/>
    <s v="N"/>
    <n v="20"/>
    <d v="2023-07-04T19:01:05"/>
    <s v="Y"/>
    <s v="Preparation - other"/>
    <s v="Care Remuneration Hourly Rates"/>
    <s v="Profit Cost"/>
    <s v="P. Carvill"/>
    <s v="Y"/>
    <n v="13.43"/>
    <n v="2.69"/>
    <x v="1"/>
    <s v="VALIDATED"/>
    <n v="1"/>
    <s v="01.11.80.305.6100.0000"/>
    <n v="13.43"/>
    <s v="11"/>
    <s v="6100"/>
    <n v="12428.1"/>
    <n v="13.43"/>
    <s v="CREDITOR"/>
    <n v="0"/>
    <n v="0"/>
    <n v="0"/>
    <n v="0"/>
    <n v="13.43"/>
  </r>
  <r>
    <n v="61010761"/>
    <s v="N"/>
    <n v="21328119"/>
    <s v="3000015215810003"/>
    <s v="CIVIL"/>
    <d v="2023-06-26T00:00:00"/>
    <d v="2023-07-04T19:00:44"/>
    <m/>
    <d v="2023-07-04T00:00:00"/>
    <n v="1340"/>
    <n v="18319"/>
    <s v="61010761"/>
    <s v="61010761"/>
    <m/>
    <m/>
    <n v="22765008"/>
    <m/>
    <m/>
    <m/>
    <s v="SOLFIN"/>
    <s v="SOLFIN"/>
    <s v="CCMS"/>
    <n v="21328119"/>
    <n v="4795.07"/>
    <m/>
    <s v="N"/>
    <n v="25"/>
    <d v="2023-07-04T19:01:05"/>
    <s v="Y"/>
    <s v="Preparation - other"/>
    <s v="Care Remuneration Hourly Rates"/>
    <s v="Profit Cost"/>
    <s v="P. Carvill"/>
    <s v="Y"/>
    <n v="47.02"/>
    <n v="9.4"/>
    <x v="1"/>
    <s v="VALIDATED"/>
    <n v="1"/>
    <s v="01.11.80.305.6100.0000"/>
    <n v="47.02"/>
    <s v="11"/>
    <s v="6100"/>
    <n v="12428.1"/>
    <n v="47.02"/>
    <s v="CREDITOR"/>
    <n v="0"/>
    <n v="0"/>
    <n v="0"/>
    <n v="0"/>
    <n v="47.02"/>
  </r>
  <r>
    <n v="61160840"/>
    <s v="N"/>
    <n v="21330656"/>
    <s v="3000015343680003"/>
    <s v="CIVIL"/>
    <d v="2023-06-26T00:00:00"/>
    <d v="2023-07-05T19:01:47"/>
    <m/>
    <d v="2023-07-05T00:00:00"/>
    <n v="1340"/>
    <n v="18319"/>
    <s v="61160840"/>
    <s v="61160840"/>
    <m/>
    <m/>
    <n v="22761364"/>
    <m/>
    <m/>
    <m/>
    <s v="SOLFIN"/>
    <s v="SOLFIN"/>
    <s v="CCMS"/>
    <n v="21330656"/>
    <n v="5719.17"/>
    <m/>
    <s v="N"/>
    <n v="4"/>
    <d v="2023-07-05T19:01:52"/>
    <s v="Y"/>
    <s v="Hearing Unit 2.31 - 5.00 Hours"/>
    <s v="Public Law Children"/>
    <s v="Advocacy"/>
    <s v="H Styles"/>
    <s v="Y"/>
    <n v="476.92"/>
    <n v="95.38"/>
    <x v="6"/>
    <s v="VALIDATED"/>
    <n v="1"/>
    <s v="01.11.80.308.6100.0000"/>
    <n v="476.92"/>
    <s v="11"/>
    <s v="6100"/>
    <n v="12428.1"/>
    <n v="476.92"/>
    <s v="CREDITOR"/>
    <n v="0"/>
    <n v="0"/>
    <n v="0"/>
    <n v="0"/>
    <n v="476.92"/>
  </r>
  <r>
    <n v="60285114"/>
    <s v="N"/>
    <n v="21328270"/>
    <s v="3000014590820013"/>
    <s v="CIVIL"/>
    <d v="2023-06-22T00:00:00"/>
    <d v="2023-07-04T19:00:44"/>
    <m/>
    <d v="2023-07-04T00:00:00"/>
    <n v="1340"/>
    <n v="18319"/>
    <s v="60285114"/>
    <s v="60285114"/>
    <m/>
    <m/>
    <n v="22747042"/>
    <m/>
    <m/>
    <m/>
    <s v="SOLFIN"/>
    <s v="SOLFIN"/>
    <s v="CCMS"/>
    <n v="21328270"/>
    <n v="9208.41"/>
    <m/>
    <s v="N"/>
    <n v="7"/>
    <d v="2023-07-04T19:01:11"/>
    <s v="Y"/>
    <s v="GP (records report)"/>
    <s v="Public Law Children"/>
    <s v="Expert Disbursement"/>
    <s v="P. Carvill"/>
    <s v="Y"/>
    <n v="50.4"/>
    <n v="0"/>
    <x v="1"/>
    <s v="VALIDATED"/>
    <n v="1"/>
    <s v="01.11.80.308.6300.0000"/>
    <n v="50.4"/>
    <s v="11"/>
    <s v="6300"/>
    <n v="12428.1"/>
    <n v="50.4"/>
    <s v="CREDITOR"/>
    <n v="0"/>
    <n v="0"/>
    <n v="0"/>
    <n v="0"/>
    <n v="50.4"/>
  </r>
  <r>
    <n v="61282141"/>
    <s v="N"/>
    <n v="21331053"/>
    <s v="3000015444600004"/>
    <s v="CIVIL"/>
    <d v="2023-06-26T00:00:00"/>
    <d v="2023-07-05T19:01:47"/>
    <m/>
    <d v="2023-07-05T00:00:00"/>
    <n v="1340"/>
    <n v="18319"/>
    <s v="61282141"/>
    <s v="61282141"/>
    <m/>
    <m/>
    <n v="22761144"/>
    <m/>
    <m/>
    <m/>
    <s v="SOLFIN"/>
    <s v="SOLFIN"/>
    <s v="CCMS"/>
    <n v="21331053"/>
    <n v="5522.59"/>
    <m/>
    <s v="N"/>
    <n v="11"/>
    <d v="2023-07-05T19:02:03"/>
    <s v="Y"/>
    <s v="Solicitors Fixed Fee"/>
    <s v="Public Law Children"/>
    <s v="Profit Cost"/>
    <s v="H Styles"/>
    <s v="Y"/>
    <n v="2300"/>
    <n v="460"/>
    <x v="6"/>
    <s v="VALIDATED"/>
    <n v="1"/>
    <s v="01.11.80.308.6100.0000"/>
    <n v="2300"/>
    <s v="11"/>
    <s v="6100"/>
    <n v="12428.1"/>
    <n v="2300"/>
    <s v="CREDITOR"/>
    <n v="0"/>
    <n v="0"/>
    <n v="0"/>
    <n v="0"/>
    <n v="2300"/>
  </r>
  <r>
    <n v="61069832"/>
    <s v="N"/>
    <n v="21331052"/>
    <s v="3000015266470018"/>
    <s v="CIVIL"/>
    <d v="2023-06-26T00:00:00"/>
    <d v="2023-07-05T19:01:47"/>
    <m/>
    <d v="2023-07-05T00:00:00"/>
    <n v="1340"/>
    <n v="18319"/>
    <s v="61069832"/>
    <s v="61069832"/>
    <m/>
    <m/>
    <n v="22764930"/>
    <m/>
    <m/>
    <m/>
    <s v="SOLFIN"/>
    <s v="SOLFIN"/>
    <s v="CCMS"/>
    <n v="21331052"/>
    <n v="10281.54"/>
    <m/>
    <s v="N"/>
    <n v="17"/>
    <d v="2023-07-05T19:02:03"/>
    <s v="Y"/>
    <s v="Advocates Meeting"/>
    <s v="Public Law Children"/>
    <s v="Advocacy"/>
    <s v="P Carvill"/>
    <s v="Y"/>
    <n v="140.99"/>
    <n v="28.2"/>
    <x v="6"/>
    <s v="VALIDATED"/>
    <n v="1"/>
    <s v="01.11.80.308.6100.0000"/>
    <n v="140.99"/>
    <s v="11"/>
    <s v="6100"/>
    <n v="12428.1"/>
    <n v="140.99"/>
    <s v="CREDITOR"/>
    <n v="0"/>
    <n v="0"/>
    <n v="0"/>
    <n v="0"/>
    <n v="140.99"/>
  </r>
  <r>
    <n v="61010761"/>
    <s v="N"/>
    <n v="21328119"/>
    <s v="3000015215810003"/>
    <s v="CIVIL"/>
    <d v="2023-06-26T00:00:00"/>
    <d v="2023-07-04T19:00:44"/>
    <m/>
    <d v="2023-07-04T00:00:00"/>
    <n v="1340"/>
    <n v="18319"/>
    <s v="61010761"/>
    <s v="61010761"/>
    <m/>
    <m/>
    <n v="22765008"/>
    <m/>
    <m/>
    <m/>
    <s v="SOLFIN"/>
    <s v="SOLFIN"/>
    <s v="CCMS"/>
    <n v="21328119"/>
    <n v="4795.07"/>
    <m/>
    <s v="N"/>
    <n v="27"/>
    <d v="2023-07-04T19:01:05"/>
    <s v="Y"/>
    <s v="Routine Letter Out"/>
    <s v="Care Remuneration Hourly Rates"/>
    <s v="Profit Cost"/>
    <s v="P. Carvill"/>
    <s v="Y"/>
    <n v="216.42"/>
    <n v="43.28"/>
    <x v="1"/>
    <s v="VALIDATED"/>
    <n v="1"/>
    <s v="01.11.80.305.6100.0000"/>
    <n v="216.42"/>
    <s v="11"/>
    <s v="6100"/>
    <n v="12428.1"/>
    <n v="216.42"/>
    <s v="CREDITOR"/>
    <n v="0"/>
    <n v="0"/>
    <n v="0"/>
    <n v="0"/>
    <n v="216.42"/>
  </r>
  <r>
    <n v="61069832"/>
    <s v="N"/>
    <n v="21331052"/>
    <s v="3000015266470018"/>
    <s v="CIVIL"/>
    <d v="2023-06-26T00:00:00"/>
    <d v="2023-07-05T19:01:47"/>
    <m/>
    <d v="2023-07-05T00:00:00"/>
    <n v="1340"/>
    <n v="18319"/>
    <s v="61069832"/>
    <s v="61069832"/>
    <m/>
    <m/>
    <n v="22764930"/>
    <m/>
    <m/>
    <m/>
    <s v="SOLFIN"/>
    <s v="SOLFIN"/>
    <s v="CCMS"/>
    <n v="21331052"/>
    <n v="10281.54"/>
    <m/>
    <s v="N"/>
    <n v="5"/>
    <d v="2023-07-05T19:02:03"/>
    <s v="Y"/>
    <s v="Interpreter"/>
    <s v="Public Law Children"/>
    <s v="Expert Disbursement"/>
    <s v="P Carvill"/>
    <s v="Y"/>
    <n v="292.53"/>
    <n v="0"/>
    <x v="6"/>
    <s v="VALIDATED"/>
    <n v="1"/>
    <s v="01.11.80.308.6300.0000"/>
    <n v="292.53"/>
    <s v="11"/>
    <s v="6300"/>
    <n v="12428.1"/>
    <n v="292.53"/>
    <s v="CREDITOR"/>
    <n v="0"/>
    <n v="0"/>
    <n v="0"/>
    <n v="0"/>
    <n v="292.53"/>
  </r>
  <r>
    <n v="60285114"/>
    <s v="N"/>
    <n v="21328270"/>
    <s v="3000014590820013"/>
    <s v="CIVIL"/>
    <d v="2023-06-22T00:00:00"/>
    <d v="2023-07-04T19:00:44"/>
    <m/>
    <d v="2023-07-04T00:00:00"/>
    <n v="1340"/>
    <n v="18319"/>
    <s v="60285114"/>
    <s v="60285114"/>
    <m/>
    <m/>
    <n v="22747042"/>
    <m/>
    <m/>
    <m/>
    <s v="SOLFIN"/>
    <s v="SOLFIN"/>
    <s v="CCMS"/>
    <n v="21328270"/>
    <n v="9208.41"/>
    <m/>
    <s v="N"/>
    <n v="5"/>
    <d v="2023-07-04T19:01:11"/>
    <s v="Y"/>
    <s v="Independent Social Worker"/>
    <s v="Public Law Children"/>
    <s v="Expert Disbursement"/>
    <s v="P. Carvill"/>
    <s v="Y"/>
    <n v="432"/>
    <n v="0"/>
    <x v="1"/>
    <s v="VALIDATED"/>
    <n v="1"/>
    <s v="01.11.80.308.6300.0000"/>
    <n v="432"/>
    <s v="11"/>
    <s v="6300"/>
    <n v="12428.1"/>
    <n v="432"/>
    <s v="CREDITOR"/>
    <n v="0"/>
    <n v="0"/>
    <n v="0"/>
    <n v="0"/>
    <n v="432"/>
  </r>
  <r>
    <n v="61069832"/>
    <s v="N"/>
    <n v="21331052"/>
    <s v="3000015266470018"/>
    <s v="CIVIL"/>
    <d v="2023-06-26T00:00:00"/>
    <d v="2023-07-05T19:01:47"/>
    <m/>
    <d v="2023-07-05T00:00:00"/>
    <n v="1340"/>
    <n v="18319"/>
    <s v="61069832"/>
    <s v="61069832"/>
    <m/>
    <m/>
    <n v="22764930"/>
    <m/>
    <m/>
    <m/>
    <s v="SOLFIN"/>
    <s v="SOLFIN"/>
    <s v="CCMS"/>
    <n v="21331052"/>
    <n v="10281.54"/>
    <m/>
    <s v="N"/>
    <n v="19"/>
    <d v="2023-07-05T19:02:03"/>
    <s v="Y"/>
    <s v="Advocates Meeting"/>
    <s v="Public Law Children"/>
    <s v="Advocacy"/>
    <s v="P Carvill"/>
    <s v="Y"/>
    <n v="140.99"/>
    <n v="28.2"/>
    <x v="6"/>
    <s v="VALIDATED"/>
    <n v="1"/>
    <s v="01.11.80.308.6100.0000"/>
    <n v="140.99"/>
    <s v="11"/>
    <s v="6100"/>
    <n v="12428.1"/>
    <n v="140.99"/>
    <s v="CREDITOR"/>
    <n v="0"/>
    <n v="0"/>
    <n v="0"/>
    <n v="0"/>
    <n v="140.99"/>
  </r>
  <r>
    <n v="61010761"/>
    <s v="N"/>
    <n v="21328119"/>
    <s v="3000015215810003"/>
    <s v="CIVIL"/>
    <d v="2023-06-26T00:00:00"/>
    <d v="2023-07-04T19:00:44"/>
    <m/>
    <d v="2023-07-04T00:00:00"/>
    <n v="1340"/>
    <n v="18319"/>
    <s v="61010761"/>
    <s v="61010761"/>
    <m/>
    <m/>
    <n v="22765008"/>
    <m/>
    <m/>
    <m/>
    <s v="SOLFIN"/>
    <s v="SOLFIN"/>
    <s v="CCMS"/>
    <n v="21328119"/>
    <n v="4795.07"/>
    <m/>
    <s v="N"/>
    <n v="36"/>
    <d v="2023-07-04T19:01:05"/>
    <s v="Y"/>
    <s v="Hearing Unit 2.31 - 5.00 Hours"/>
    <s v="Other Public Law Children"/>
    <s v="Advocacy"/>
    <s v="P. Carvill"/>
    <s v="Y"/>
    <n v="417.06"/>
    <n v="83.41"/>
    <x v="1"/>
    <s v="VALIDATED"/>
    <n v="1"/>
    <s v="01.11.80.305.6100.0000"/>
    <n v="417.06"/>
    <s v="11"/>
    <s v="6100"/>
    <n v="12428.1"/>
    <n v="417.06"/>
    <s v="CREDITOR"/>
    <n v="0"/>
    <n v="0"/>
    <n v="0"/>
    <n v="0"/>
    <n v="417.06"/>
  </r>
  <r>
    <n v="61069832"/>
    <s v="N"/>
    <n v="21331052"/>
    <s v="3000015266470018"/>
    <s v="CIVIL"/>
    <d v="2023-06-26T00:00:00"/>
    <d v="2023-07-05T19:01:47"/>
    <m/>
    <d v="2023-07-05T00:00:00"/>
    <n v="1340"/>
    <n v="18319"/>
    <s v="61069832"/>
    <s v="61069832"/>
    <m/>
    <m/>
    <n v="22764930"/>
    <m/>
    <m/>
    <m/>
    <s v="SOLFIN"/>
    <s v="SOLFIN"/>
    <s v="CCMS"/>
    <n v="21331052"/>
    <n v="10281.54"/>
    <m/>
    <s v="N"/>
    <n v="23"/>
    <d v="2023-07-05T19:02:03"/>
    <s v="Y"/>
    <s v="Solicitors Fixed Fee"/>
    <s v="Public Law Children"/>
    <s v="Profit Cost"/>
    <s v="P Carvill"/>
    <s v="Y"/>
    <n v="2876"/>
    <n v="575.2"/>
    <x v="6"/>
    <s v="VALIDATED"/>
    <n v="1"/>
    <s v="01.11.80.308.6100.0000"/>
    <n v="2876"/>
    <s v="11"/>
    <s v="6100"/>
    <n v="12428.1"/>
    <n v="2876"/>
    <s v="CREDITOR"/>
    <n v="0"/>
    <n v="0"/>
    <n v="0"/>
    <n v="0"/>
    <n v="2876"/>
  </r>
  <r>
    <n v="60285114"/>
    <s v="N"/>
    <n v="21328270"/>
    <s v="3000014590820013"/>
    <s v="CIVIL"/>
    <d v="2023-06-22T00:00:00"/>
    <d v="2023-07-04T19:00:44"/>
    <m/>
    <d v="2023-07-04T00:00:00"/>
    <n v="1340"/>
    <n v="18319"/>
    <s v="60285114"/>
    <s v="60285114"/>
    <m/>
    <m/>
    <n v="22747042"/>
    <m/>
    <m/>
    <m/>
    <s v="SOLFIN"/>
    <s v="SOLFIN"/>
    <s v="CCMS"/>
    <n v="21328270"/>
    <n v="9208.41"/>
    <m/>
    <s v="N"/>
    <n v="9"/>
    <d v="2023-07-04T19:01:11"/>
    <s v="Y"/>
    <s v="Toxicologist"/>
    <s v="Public Law Children"/>
    <s v="Expert Disbursement"/>
    <s v="P. Carvill"/>
    <s v="Y"/>
    <n v="128"/>
    <n v="25.6"/>
    <x v="1"/>
    <s v="VALIDATED"/>
    <n v="1"/>
    <s v="01.11.80.308.6300.0000"/>
    <n v="128"/>
    <s v="11"/>
    <s v="6300"/>
    <n v="12428.1"/>
    <n v="128"/>
    <s v="CREDITOR"/>
    <n v="0"/>
    <n v="0"/>
    <n v="0"/>
    <n v="0"/>
    <n v="128"/>
  </r>
  <r>
    <n v="60285114"/>
    <s v="N"/>
    <n v="21328270"/>
    <s v="3000014590820013"/>
    <s v="CIVIL"/>
    <d v="2023-06-22T00:00:00"/>
    <d v="2023-07-04T19:00:44"/>
    <m/>
    <d v="2023-07-04T00:00:00"/>
    <n v="1340"/>
    <n v="18319"/>
    <s v="60285114"/>
    <s v="60285114"/>
    <m/>
    <m/>
    <n v="22747042"/>
    <m/>
    <m/>
    <m/>
    <s v="SOLFIN"/>
    <s v="SOLFIN"/>
    <s v="CCMS"/>
    <n v="21328270"/>
    <n v="9208.41"/>
    <m/>
    <s v="N"/>
    <n v="17"/>
    <d v="2023-07-04T19:01:11"/>
    <s v="Y"/>
    <s v="Hearing Unit 5.01 - 7.30 Hours"/>
    <s v="Public Law Children"/>
    <s v="Advocacy"/>
    <s v="P. Carvill"/>
    <s v="Y"/>
    <n v="715.38"/>
    <n v="143.08"/>
    <x v="1"/>
    <s v="VALIDATED"/>
    <n v="1"/>
    <s v="01.11.80.308.6100.0000"/>
    <n v="715.38"/>
    <s v="11"/>
    <s v="6100"/>
    <n v="12428.1"/>
    <n v="715.38"/>
    <s v="CREDITOR"/>
    <n v="0"/>
    <n v="0"/>
    <n v="0"/>
    <n v="0"/>
    <n v="715.38"/>
  </r>
  <r>
    <n v="61010761"/>
    <s v="N"/>
    <n v="21328119"/>
    <s v="3000015215810003"/>
    <s v="CIVIL"/>
    <d v="2023-06-26T00:00:00"/>
    <d v="2023-07-04T19:00:44"/>
    <m/>
    <d v="2023-07-04T00:00:00"/>
    <n v="1340"/>
    <n v="18319"/>
    <s v="61010761"/>
    <s v="61010761"/>
    <m/>
    <m/>
    <n v="22765008"/>
    <m/>
    <m/>
    <m/>
    <s v="SOLFIN"/>
    <s v="SOLFIN"/>
    <s v="CCMS"/>
    <n v="21328119"/>
    <n v="4795.07"/>
    <m/>
    <s v="N"/>
    <n v="2"/>
    <d v="2023-07-04T19:01:05"/>
    <s v="Y"/>
    <s v="Interim Hearing Court Bundle/Advoca"/>
    <s v="Other Public Law Children"/>
    <s v="Advocacy"/>
    <s v="P. Carvill"/>
    <s v="Y"/>
    <n v="59.4"/>
    <n v="11.88"/>
    <x v="1"/>
    <s v="VALIDATED"/>
    <n v="1"/>
    <s v="01.11.80.305.6100.0000"/>
    <n v="59.4"/>
    <s v="11"/>
    <s v="6100"/>
    <n v="12428.1"/>
    <n v="59.4"/>
    <s v="CREDITOR"/>
    <n v="0"/>
    <n v="0"/>
    <n v="0"/>
    <n v="0"/>
    <n v="59.4"/>
  </r>
  <r>
    <n v="61010761"/>
    <s v="N"/>
    <n v="21328119"/>
    <s v="3000015215810003"/>
    <s v="CIVIL"/>
    <d v="2023-06-26T00:00:00"/>
    <d v="2023-07-04T19:00:44"/>
    <m/>
    <d v="2023-07-04T00:00:00"/>
    <n v="1340"/>
    <n v="18319"/>
    <s v="61010761"/>
    <s v="61010761"/>
    <m/>
    <m/>
    <n v="22765008"/>
    <m/>
    <m/>
    <m/>
    <s v="SOLFIN"/>
    <s v="SOLFIN"/>
    <s v="CCMS"/>
    <n v="21328119"/>
    <n v="4795.07"/>
    <m/>
    <s v="N"/>
    <n v="6"/>
    <d v="2023-07-04T19:01:05"/>
    <s v="Y"/>
    <s v="Preparation - other"/>
    <s v="Care Remuneration Hourly Rates"/>
    <s v="Profit Cost"/>
    <s v="P. Carvill"/>
    <s v="Y"/>
    <n v="13.43"/>
    <n v="2.69"/>
    <x v="1"/>
    <s v="VALIDATED"/>
    <n v="1"/>
    <s v="01.11.80.305.6100.0000"/>
    <n v="13.43"/>
    <s v="11"/>
    <s v="6100"/>
    <n v="12428.1"/>
    <n v="13.43"/>
    <s v="CREDITOR"/>
    <n v="0"/>
    <n v="0"/>
    <n v="0"/>
    <n v="0"/>
    <n v="13.43"/>
  </r>
  <r>
    <n v="60285114"/>
    <s v="N"/>
    <n v="21328270"/>
    <s v="3000014590820013"/>
    <s v="CIVIL"/>
    <d v="2023-06-22T00:00:00"/>
    <d v="2023-07-04T19:00:44"/>
    <m/>
    <d v="2023-07-04T00:00:00"/>
    <n v="1340"/>
    <n v="18319"/>
    <s v="60285114"/>
    <s v="60285114"/>
    <m/>
    <m/>
    <n v="22747042"/>
    <m/>
    <m/>
    <m/>
    <s v="SOLFIN"/>
    <s v="SOLFIN"/>
    <s v="CCMS"/>
    <n v="21328270"/>
    <n v="9208.41"/>
    <m/>
    <s v="N"/>
    <n v="2"/>
    <d v="2023-07-04T19:01:11"/>
    <s v="Y"/>
    <s v="Interim Hearing Court Bundle/Advoca"/>
    <s v="Public Law Children"/>
    <s v="Advocacy"/>
    <s v="P. Carvill"/>
    <s v="Y"/>
    <n v="89.09999999999999"/>
    <n v="17.82"/>
    <x v="1"/>
    <s v="VALIDATED"/>
    <n v="1"/>
    <s v="01.11.80.308.6100.0000"/>
    <n v="89.09999999999999"/>
    <s v="11"/>
    <s v="6100"/>
    <n v="12428.1"/>
    <n v="89.09999999999999"/>
    <s v="CREDITOR"/>
    <n v="0"/>
    <n v="0"/>
    <n v="0"/>
    <n v="0"/>
    <n v="89.09999999999999"/>
  </r>
  <r>
    <n v="60285114"/>
    <s v="N"/>
    <n v="21328270"/>
    <s v="3000014590820013"/>
    <s v="CIVIL"/>
    <d v="2023-06-22T00:00:00"/>
    <d v="2023-07-04T19:00:44"/>
    <m/>
    <d v="2023-07-04T00:00:00"/>
    <n v="1340"/>
    <n v="18319"/>
    <s v="60285114"/>
    <s v="60285114"/>
    <m/>
    <m/>
    <n v="22747042"/>
    <m/>
    <m/>
    <m/>
    <s v="SOLFIN"/>
    <s v="SOLFIN"/>
    <s v="CCMS"/>
    <n v="21328270"/>
    <n v="9208.41"/>
    <m/>
    <s v="N"/>
    <n v="14"/>
    <d v="2023-07-04T19:01:11"/>
    <s v="Y"/>
    <s v="Advocates Meeting"/>
    <s v="Public Law Children"/>
    <s v="Advocacy"/>
    <s v="P. Carvill"/>
    <s v="Y"/>
    <n v="140.99"/>
    <n v="28.2"/>
    <x v="1"/>
    <s v="VALIDATED"/>
    <n v="1"/>
    <s v="01.11.80.308.6100.0000"/>
    <n v="140.99"/>
    <s v="11"/>
    <s v="6100"/>
    <n v="12428.1"/>
    <n v="140.99"/>
    <s v="CREDITOR"/>
    <n v="0"/>
    <n v="0"/>
    <n v="0"/>
    <n v="0"/>
    <n v="140.99"/>
  </r>
  <r>
    <n v="60285114"/>
    <s v="N"/>
    <n v="21328270"/>
    <s v="3000014590820013"/>
    <s v="CIVIL"/>
    <d v="2023-06-22T00:00:00"/>
    <d v="2023-07-04T19:00:44"/>
    <m/>
    <d v="2023-07-04T00:00:00"/>
    <n v="1340"/>
    <n v="18319"/>
    <s v="60285114"/>
    <s v="60285114"/>
    <m/>
    <m/>
    <n v="22747042"/>
    <m/>
    <m/>
    <m/>
    <s v="SOLFIN"/>
    <s v="SOLFIN"/>
    <s v="CCMS"/>
    <n v="21328270"/>
    <n v="9208.41"/>
    <m/>
    <s v="N"/>
    <n v="6"/>
    <d v="2023-07-04T19:01:11"/>
    <s v="Y"/>
    <s v="Independent Social Worker"/>
    <s v="Public Law Children"/>
    <s v="Expert Disbursement"/>
    <s v="P. Carvill"/>
    <s v="Y"/>
    <n v="432"/>
    <n v="0"/>
    <x v="1"/>
    <s v="VALIDATED"/>
    <n v="1"/>
    <s v="01.11.80.308.6300.0000"/>
    <n v="432"/>
    <s v="11"/>
    <s v="6300"/>
    <n v="12428.1"/>
    <n v="432"/>
    <s v="CREDITOR"/>
    <n v="0"/>
    <n v="0"/>
    <n v="0"/>
    <n v="0"/>
    <n v="432"/>
  </r>
  <r>
    <n v="61069832"/>
    <s v="N"/>
    <n v="21331052"/>
    <s v="3000015266470018"/>
    <s v="CIVIL"/>
    <d v="2023-06-26T00:00:00"/>
    <d v="2023-07-05T19:01:47"/>
    <m/>
    <d v="2023-07-05T00:00:00"/>
    <n v="1340"/>
    <n v="18319"/>
    <s v="61069832"/>
    <s v="61069832"/>
    <m/>
    <m/>
    <n v="22764930"/>
    <m/>
    <m/>
    <m/>
    <s v="SOLFIN"/>
    <s v="SOLFIN"/>
    <s v="CCMS"/>
    <n v="21331052"/>
    <n v="10281.54"/>
    <m/>
    <s v="N"/>
    <n v="12"/>
    <d v="2023-07-05T19:02:03"/>
    <s v="Y"/>
    <s v="Interpreter"/>
    <s v="Public Law Children"/>
    <s v="Expert Disbursement"/>
    <s v="P Carvill"/>
    <s v="Y"/>
    <n v="245.53"/>
    <n v="0"/>
    <x v="6"/>
    <s v="VALIDATED"/>
    <n v="1"/>
    <s v="01.11.80.308.6300.0000"/>
    <n v="245.53"/>
    <s v="11"/>
    <s v="6300"/>
    <n v="12428.1"/>
    <n v="245.53"/>
    <s v="CREDITOR"/>
    <n v="0"/>
    <n v="0"/>
    <n v="0"/>
    <n v="0"/>
    <n v="245.53"/>
  </r>
  <r>
    <n v="61010761"/>
    <s v="N"/>
    <n v="21328119"/>
    <s v="3000015215810003"/>
    <s v="CIVIL"/>
    <d v="2023-06-26T00:00:00"/>
    <d v="2023-07-04T19:00:44"/>
    <m/>
    <d v="2023-07-04T00:00:00"/>
    <n v="1340"/>
    <n v="18319"/>
    <s v="61010761"/>
    <s v="61010761"/>
    <m/>
    <m/>
    <n v="22765008"/>
    <m/>
    <m/>
    <m/>
    <s v="SOLFIN"/>
    <s v="SOLFIN"/>
    <s v="CCMS"/>
    <n v="21328119"/>
    <n v="4795.07"/>
    <m/>
    <s v="N"/>
    <n v="10"/>
    <d v="2023-07-04T19:01:05"/>
    <s v="Y"/>
    <s v="Report - other report"/>
    <s v="Care Remuneration Hourly Rates"/>
    <s v="Profit Cost"/>
    <s v="P. Carvill"/>
    <s v="Y"/>
    <n v="33.59"/>
    <n v="6.72"/>
    <x v="1"/>
    <s v="VALIDATED"/>
    <n v="1"/>
    <s v="01.11.80.305.6100.0000"/>
    <n v="33.59"/>
    <s v="11"/>
    <s v="6100"/>
    <n v="12428.1"/>
    <n v="33.59"/>
    <s v="CREDITOR"/>
    <n v="0"/>
    <n v="0"/>
    <n v="0"/>
    <n v="0"/>
    <n v="33.59"/>
  </r>
  <r>
    <n v="61010761"/>
    <s v="N"/>
    <n v="21328119"/>
    <s v="3000015215810003"/>
    <s v="CIVIL"/>
    <d v="2023-06-26T00:00:00"/>
    <d v="2023-07-04T19:00:44"/>
    <m/>
    <d v="2023-07-04T00:00:00"/>
    <n v="1340"/>
    <n v="18319"/>
    <s v="61010761"/>
    <s v="61010761"/>
    <m/>
    <m/>
    <n v="22765008"/>
    <m/>
    <m/>
    <m/>
    <s v="SOLFIN"/>
    <s v="SOLFIN"/>
    <s v="CCMS"/>
    <n v="21328119"/>
    <n v="4795.07"/>
    <m/>
    <s v="N"/>
    <n v="24"/>
    <d v="2023-07-04T19:01:05"/>
    <s v="Y"/>
    <s v="Preparation - other"/>
    <s v="Care Remuneration Hourly Rates"/>
    <s v="Profit Cost"/>
    <s v="P. Carvill"/>
    <s v="Y"/>
    <n v="33.59"/>
    <n v="6.72"/>
    <x v="1"/>
    <s v="VALIDATED"/>
    <n v="1"/>
    <s v="01.11.80.305.6100.0000"/>
    <n v="33.59"/>
    <s v="11"/>
    <s v="6100"/>
    <n v="12428.1"/>
    <n v="33.59"/>
    <s v="CREDITOR"/>
    <n v="0"/>
    <n v="0"/>
    <n v="0"/>
    <n v="0"/>
    <n v="33.59"/>
  </r>
  <r>
    <n v="60285114"/>
    <s v="N"/>
    <n v="21328270"/>
    <s v="3000014590820013"/>
    <s v="CIVIL"/>
    <d v="2023-06-22T00:00:00"/>
    <d v="2023-07-04T19:00:44"/>
    <m/>
    <d v="2023-07-04T00:00:00"/>
    <n v="1340"/>
    <n v="18319"/>
    <s v="60285114"/>
    <s v="60285114"/>
    <m/>
    <m/>
    <n v="22747042"/>
    <m/>
    <m/>
    <m/>
    <s v="SOLFIN"/>
    <s v="SOLFIN"/>
    <s v="CCMS"/>
    <n v="21328270"/>
    <n v="9208.41"/>
    <m/>
    <s v="N"/>
    <n v="12"/>
    <d v="2023-07-04T19:01:11"/>
    <s v="Y"/>
    <s v="Hearing Unit 2.31 - 5.00 Hours"/>
    <s v="Public Law Children"/>
    <s v="Advocacy"/>
    <s v="P. Carvill"/>
    <s v="Y"/>
    <n v="476.92"/>
    <n v="95.38"/>
    <x v="1"/>
    <s v="VALIDATED"/>
    <n v="1"/>
    <s v="01.11.80.308.6100.0000"/>
    <n v="476.92"/>
    <s v="11"/>
    <s v="6100"/>
    <n v="12428.1"/>
    <n v="476.92"/>
    <s v="CREDITOR"/>
    <n v="0"/>
    <n v="0"/>
    <n v="0"/>
    <n v="0"/>
    <n v="476.92"/>
  </r>
  <r>
    <n v="61282141"/>
    <s v="N"/>
    <n v="21331053"/>
    <s v="3000015444600004"/>
    <s v="CIVIL"/>
    <d v="2023-06-26T00:00:00"/>
    <d v="2023-07-05T19:01:47"/>
    <m/>
    <d v="2023-07-05T00:00:00"/>
    <n v="1340"/>
    <n v="18319"/>
    <s v="61282141"/>
    <s v="61282141"/>
    <m/>
    <m/>
    <n v="22761144"/>
    <m/>
    <m/>
    <m/>
    <s v="SOLFIN"/>
    <s v="SOLFIN"/>
    <s v="CCMS"/>
    <n v="21331053"/>
    <n v="5522.59"/>
    <m/>
    <s v="N"/>
    <n v="5"/>
    <d v="2023-07-05T19:02:03"/>
    <s v="Y"/>
    <s v="Solicitor Travel Expenses"/>
    <s v="Public Law Children"/>
    <s v="Non Expert Disbursement"/>
    <s v="H Styles"/>
    <s v="Y"/>
    <n v="11.51"/>
    <n v="2.3"/>
    <x v="6"/>
    <s v="VALIDATED"/>
    <n v="1"/>
    <s v="01.11.80.308.6300.0000"/>
    <n v="11.51"/>
    <s v="11"/>
    <s v="6300"/>
    <n v="12428.1"/>
    <n v="11.51"/>
    <s v="CREDITOR"/>
    <n v="0"/>
    <n v="0"/>
    <n v="0"/>
    <n v="0"/>
    <n v="11.51"/>
  </r>
  <r>
    <n v="61010761"/>
    <s v="N"/>
    <n v="21328119"/>
    <s v="3000015215810003"/>
    <s v="CIVIL"/>
    <d v="2023-06-26T00:00:00"/>
    <d v="2023-07-04T19:00:44"/>
    <m/>
    <d v="2023-07-04T00:00:00"/>
    <n v="1340"/>
    <n v="18319"/>
    <s v="61010761"/>
    <s v="61010761"/>
    <m/>
    <m/>
    <n v="22765008"/>
    <m/>
    <m/>
    <m/>
    <s v="SOLFIN"/>
    <s v="SOLFIN"/>
    <s v="CCMS"/>
    <n v="21328119"/>
    <n v="4795.07"/>
    <m/>
    <s v="N"/>
    <n v="29"/>
    <d v="2023-07-04T19:01:05"/>
    <s v="Y"/>
    <s v="Routine Telephone Call"/>
    <s v="Care Remuneration Hourly Rates"/>
    <s v="Profit Cost"/>
    <s v="P. Carvill"/>
    <s v="Y"/>
    <n v="8.49"/>
    <n v="1.7"/>
    <x v="1"/>
    <s v="VALIDATED"/>
    <n v="1"/>
    <s v="01.11.80.305.6100.0000"/>
    <n v="8.49"/>
    <s v="11"/>
    <s v="6100"/>
    <n v="12428.1"/>
    <n v="8.49"/>
    <s v="CREDITOR"/>
    <n v="0"/>
    <n v="0"/>
    <n v="0"/>
    <n v="0"/>
    <n v="8.49"/>
  </r>
  <r>
    <n v="61069832"/>
    <s v="N"/>
    <n v="21331052"/>
    <s v="3000015266470018"/>
    <s v="CIVIL"/>
    <d v="2023-06-26T00:00:00"/>
    <d v="2023-07-05T19:01:47"/>
    <m/>
    <d v="2023-07-05T00:00:00"/>
    <n v="1340"/>
    <n v="18319"/>
    <s v="61069832"/>
    <s v="61069832"/>
    <m/>
    <m/>
    <n v="22764930"/>
    <m/>
    <m/>
    <m/>
    <s v="SOLFIN"/>
    <s v="SOLFIN"/>
    <s v="CCMS"/>
    <n v="21331052"/>
    <n v="10281.54"/>
    <m/>
    <s v="N"/>
    <n v="2"/>
    <d v="2023-07-05T19:02:03"/>
    <s v="Y"/>
    <s v="Expert - Other"/>
    <s v="Public Law Children"/>
    <s v="Expert Disbursement"/>
    <s v="P Carvill"/>
    <s v="Y"/>
    <n v="289.9"/>
    <n v="57.98"/>
    <x v="6"/>
    <s v="VALIDATED"/>
    <n v="1"/>
    <s v="01.11.80.308.6300.0000"/>
    <n v="289.9"/>
    <s v="11"/>
    <s v="6300"/>
    <n v="12428.1"/>
    <n v="289.9"/>
    <s v="CREDITOR"/>
    <n v="0"/>
    <n v="0"/>
    <n v="0"/>
    <n v="0"/>
    <n v="289.9"/>
  </r>
  <r>
    <n v="61010761"/>
    <s v="N"/>
    <n v="21328119"/>
    <s v="3000015215810003"/>
    <s v="CIVIL"/>
    <d v="2023-06-26T00:00:00"/>
    <d v="2023-07-04T19:00:44"/>
    <m/>
    <d v="2023-07-04T00:00:00"/>
    <n v="1340"/>
    <n v="18319"/>
    <s v="61010761"/>
    <s v="61010761"/>
    <m/>
    <m/>
    <n v="22765008"/>
    <m/>
    <m/>
    <m/>
    <s v="SOLFIN"/>
    <s v="SOLFIN"/>
    <s v="CCMS"/>
    <n v="21328119"/>
    <n v="4795.07"/>
    <m/>
    <s v="N"/>
    <n v="19"/>
    <d v="2023-07-04T19:01:05"/>
    <s v="Y"/>
    <s v="Preparation - other"/>
    <s v="Care Remuneration Hourly Rates"/>
    <s v="Profit Cost"/>
    <s v="P. Carvill"/>
    <s v="Y"/>
    <n v="47.02"/>
    <n v="9.4"/>
    <x v="1"/>
    <s v="VALIDATED"/>
    <n v="1"/>
    <s v="01.11.80.305.6100.0000"/>
    <n v="47.02"/>
    <s v="11"/>
    <s v="6100"/>
    <n v="12428.1"/>
    <n v="47.02"/>
    <s v="CREDITOR"/>
    <n v="0"/>
    <n v="0"/>
    <n v="0"/>
    <n v="0"/>
    <n v="47.02"/>
  </r>
  <r>
    <n v="61282141"/>
    <s v="N"/>
    <n v="21331053"/>
    <s v="3000015444600004"/>
    <s v="CIVIL"/>
    <d v="2023-06-26T00:00:00"/>
    <d v="2023-07-05T19:01:47"/>
    <m/>
    <d v="2023-07-05T00:00:00"/>
    <n v="1340"/>
    <n v="18319"/>
    <s v="61282141"/>
    <s v="61282141"/>
    <m/>
    <m/>
    <n v="22761144"/>
    <m/>
    <m/>
    <m/>
    <s v="SOLFIN"/>
    <s v="SOLFIN"/>
    <s v="CCMS"/>
    <n v="21331053"/>
    <n v="5522.59"/>
    <m/>
    <s v="N"/>
    <n v="6"/>
    <d v="2023-07-05T19:02:03"/>
    <s v="Y"/>
    <s v="Hearing Unit 2.31 - 5.00 Hours"/>
    <s v="Public Law Children"/>
    <s v="Advocacy"/>
    <s v="L Allen"/>
    <s v="Y"/>
    <n v="476.92"/>
    <n v="95.38"/>
    <x v="6"/>
    <s v="VALIDATED"/>
    <n v="1"/>
    <s v="01.11.80.308.6100.0000"/>
    <n v="476.92"/>
    <s v="11"/>
    <s v="6100"/>
    <n v="12428.1"/>
    <n v="476.92"/>
    <s v="CREDITOR"/>
    <n v="0"/>
    <n v="0"/>
    <n v="0"/>
    <n v="0"/>
    <n v="476.92"/>
  </r>
  <r>
    <n v="61010761"/>
    <s v="N"/>
    <n v="21328119"/>
    <s v="3000015215810003"/>
    <s v="CIVIL"/>
    <d v="2023-06-26T00:00:00"/>
    <d v="2023-07-04T19:00:44"/>
    <m/>
    <d v="2023-07-04T00:00:00"/>
    <n v="1340"/>
    <n v="18319"/>
    <s v="61010761"/>
    <s v="61010761"/>
    <m/>
    <m/>
    <n v="22765008"/>
    <m/>
    <m/>
    <m/>
    <s v="SOLFIN"/>
    <s v="SOLFIN"/>
    <s v="CCMS"/>
    <n v="21328119"/>
    <n v="4795.07"/>
    <m/>
    <s v="N"/>
    <n v="12"/>
    <d v="2023-07-04T19:01:05"/>
    <s v="Y"/>
    <s v="Preparation - other"/>
    <s v="Care Remuneration Hourly Rates"/>
    <s v="Profit Cost"/>
    <s v="P. Carvill"/>
    <s v="Y"/>
    <n v="6.72"/>
    <n v="1.34"/>
    <x v="1"/>
    <s v="VALIDATED"/>
    <n v="1"/>
    <s v="01.11.80.305.6100.0000"/>
    <n v="6.72"/>
    <s v="11"/>
    <s v="6100"/>
    <n v="12428.1"/>
    <n v="6.72"/>
    <s v="CREDITOR"/>
    <n v="0"/>
    <n v="0"/>
    <n v="0"/>
    <n v="0"/>
    <n v="6.72"/>
  </r>
  <r>
    <n v="61010761"/>
    <s v="N"/>
    <n v="21328119"/>
    <s v="3000015215810003"/>
    <s v="CIVIL"/>
    <d v="2023-06-26T00:00:00"/>
    <d v="2023-07-04T19:00:44"/>
    <m/>
    <d v="2023-07-04T00:00:00"/>
    <n v="1340"/>
    <n v="18319"/>
    <s v="61010761"/>
    <s v="61010761"/>
    <m/>
    <m/>
    <n v="22765008"/>
    <m/>
    <m/>
    <m/>
    <s v="SOLFIN"/>
    <s v="SOLFIN"/>
    <s v="CCMS"/>
    <n v="21328119"/>
    <n v="4795.07"/>
    <m/>
    <s v="N"/>
    <n v="23"/>
    <d v="2023-07-04T19:01:05"/>
    <s v="Y"/>
    <s v="Preparation - other"/>
    <s v="Care Remuneration Hourly Rates"/>
    <s v="Profit Cost"/>
    <s v="P. Carvill"/>
    <s v="Y"/>
    <n v="6.72"/>
    <n v="1.34"/>
    <x v="1"/>
    <s v="VALIDATED"/>
    <n v="1"/>
    <s v="01.11.80.305.6100.0000"/>
    <n v="6.72"/>
    <s v="11"/>
    <s v="6100"/>
    <n v="12428.1"/>
    <n v="6.72"/>
    <s v="CREDITOR"/>
    <n v="0"/>
    <n v="0"/>
    <n v="0"/>
    <n v="0"/>
    <n v="6.72"/>
  </r>
  <r>
    <n v="61160840"/>
    <s v="N"/>
    <n v="21330656"/>
    <s v="3000015343680003"/>
    <s v="CIVIL"/>
    <d v="2023-06-26T00:00:00"/>
    <d v="2023-07-05T19:01:47"/>
    <m/>
    <d v="2023-07-05T00:00:00"/>
    <n v="1340"/>
    <n v="18319"/>
    <s v="61160840"/>
    <s v="61160840"/>
    <m/>
    <m/>
    <n v="22761364"/>
    <m/>
    <m/>
    <m/>
    <s v="SOLFIN"/>
    <s v="SOLFIN"/>
    <s v="CCMS"/>
    <n v="21330656"/>
    <n v="5719.17"/>
    <m/>
    <s v="N"/>
    <n v="5"/>
    <d v="2023-07-05T19:01:52"/>
    <s v="Y"/>
    <s v="Solicitors Fixed Fee"/>
    <s v="Public Law Children"/>
    <s v="Profit Cost"/>
    <s v="P Carvill"/>
    <s v="Y"/>
    <n v="2876"/>
    <n v="575.2"/>
    <x v="6"/>
    <s v="VALIDATED"/>
    <n v="1"/>
    <s v="01.11.80.308.6100.0000"/>
    <n v="2876"/>
    <s v="11"/>
    <s v="6100"/>
    <n v="12428.1"/>
    <n v="2876"/>
    <s v="CREDITOR"/>
    <n v="0"/>
    <n v="0"/>
    <n v="0"/>
    <n v="0"/>
    <n v="2876"/>
  </r>
  <r>
    <n v="61069832"/>
    <s v="N"/>
    <n v="21331052"/>
    <s v="3000015266470018"/>
    <s v="CIVIL"/>
    <d v="2023-06-26T00:00:00"/>
    <d v="2023-07-05T19:01:47"/>
    <m/>
    <d v="2023-07-05T00:00:00"/>
    <n v="1340"/>
    <n v="18319"/>
    <s v="61069832"/>
    <s v="61069832"/>
    <m/>
    <m/>
    <n v="22764930"/>
    <m/>
    <m/>
    <m/>
    <s v="SOLFIN"/>
    <s v="SOLFIN"/>
    <s v="CCMS"/>
    <n v="21331052"/>
    <n v="10281.54"/>
    <m/>
    <s v="N"/>
    <n v="20"/>
    <d v="2023-07-05T19:02:03"/>
    <s v="Y"/>
    <s v="Hearing Unit 2.31 - 5.00 Hours"/>
    <s v="Public Law Children"/>
    <s v="Advocacy"/>
    <s v="P Carvill"/>
    <s v="Y"/>
    <n v="476.92"/>
    <n v="95.38"/>
    <x v="6"/>
    <s v="VALIDATED"/>
    <n v="1"/>
    <s v="01.11.80.308.6100.0000"/>
    <n v="476.92"/>
    <s v="11"/>
    <s v="6100"/>
    <n v="12428.1"/>
    <n v="476.92"/>
    <s v="CREDITOR"/>
    <n v="0"/>
    <n v="0"/>
    <n v="0"/>
    <n v="0"/>
    <n v="476.92"/>
  </r>
  <r>
    <n v="60285114"/>
    <s v="N"/>
    <n v="21328270"/>
    <s v="3000014590820013"/>
    <s v="CIVIL"/>
    <d v="2023-06-22T00:00:00"/>
    <d v="2023-07-04T19:00:44"/>
    <m/>
    <d v="2023-07-04T00:00:00"/>
    <n v="1340"/>
    <n v="18319"/>
    <s v="60285114"/>
    <s v="60285114"/>
    <m/>
    <m/>
    <n v="22747042"/>
    <m/>
    <m/>
    <m/>
    <s v="SOLFIN"/>
    <s v="SOLFIN"/>
    <s v="CCMS"/>
    <n v="21328270"/>
    <n v="9208.41"/>
    <m/>
    <s v="N"/>
    <n v="10"/>
    <d v="2023-07-04T19:01:11"/>
    <s v="Y"/>
    <s v="Court Fee"/>
    <s v="Public Law Children"/>
    <s v="Non Expert Disbursement"/>
    <s v="P. Carvill"/>
    <s v="Y"/>
    <n v="167"/>
    <n v="0"/>
    <x v="1"/>
    <s v="VALIDATED"/>
    <n v="1"/>
    <s v="01.11.80.308.6300.0000"/>
    <n v="167"/>
    <s v="11"/>
    <s v="6300"/>
    <n v="12428.1"/>
    <n v="167"/>
    <s v="CREDITOR"/>
    <n v="0"/>
    <n v="0"/>
    <n v="0"/>
    <n v="0"/>
    <n v="167"/>
  </r>
  <r>
    <n v="61010761"/>
    <s v="N"/>
    <n v="21328119"/>
    <s v="3000015215810003"/>
    <s v="CIVIL"/>
    <d v="2023-06-26T00:00:00"/>
    <d v="2023-07-04T19:00:44"/>
    <m/>
    <d v="2023-07-04T00:00:00"/>
    <n v="1340"/>
    <n v="18319"/>
    <s v="61010761"/>
    <s v="61010761"/>
    <m/>
    <m/>
    <n v="22765008"/>
    <m/>
    <m/>
    <m/>
    <s v="SOLFIN"/>
    <s v="SOLFIN"/>
    <s v="CCMS"/>
    <n v="21328119"/>
    <n v="4795.07"/>
    <m/>
    <s v="N"/>
    <n v="33"/>
    <d v="2023-07-04T19:01:05"/>
    <s v="Y"/>
    <s v="Hearing Unit 2.31 - 5.00 Hours"/>
    <s v="Other Public Law Children"/>
    <s v="Advocacy"/>
    <s v="P. Carvill"/>
    <s v="Y"/>
    <n v="417.06"/>
    <n v="83.41"/>
    <x v="1"/>
    <s v="VALIDATED"/>
    <n v="1"/>
    <s v="01.11.80.305.6100.0000"/>
    <n v="417.06"/>
    <s v="11"/>
    <s v="6100"/>
    <n v="12428.1"/>
    <n v="417.06"/>
    <s v="CREDITOR"/>
    <n v="0"/>
    <n v="0"/>
    <n v="0"/>
    <n v="0"/>
    <n v="417.06"/>
  </r>
  <r>
    <n v="61010761"/>
    <s v="N"/>
    <n v="21328119"/>
    <s v="3000015215810003"/>
    <s v="CIVIL"/>
    <d v="2023-06-26T00:00:00"/>
    <d v="2023-07-04T19:00:44"/>
    <m/>
    <d v="2023-07-04T00:00:00"/>
    <n v="1340"/>
    <n v="18319"/>
    <s v="61010761"/>
    <s v="61010761"/>
    <m/>
    <m/>
    <n v="22765008"/>
    <m/>
    <m/>
    <m/>
    <s v="SOLFIN"/>
    <s v="SOLFIN"/>
    <s v="CCMS"/>
    <n v="21328119"/>
    <n v="4795.07"/>
    <m/>
    <s v="N"/>
    <n v="13"/>
    <d v="2023-07-04T19:01:05"/>
    <s v="Y"/>
    <s v="Preparation - other"/>
    <s v="Care Remuneration Hourly Rates"/>
    <s v="Profit Cost"/>
    <s v="P. Carvill"/>
    <s v="Y"/>
    <n v="26.86"/>
    <n v="5.37"/>
    <x v="1"/>
    <s v="VALIDATED"/>
    <n v="1"/>
    <s v="01.11.80.305.6100.0000"/>
    <n v="26.86"/>
    <s v="11"/>
    <s v="6100"/>
    <n v="12428.1"/>
    <n v="26.86"/>
    <s v="CREDITOR"/>
    <n v="0"/>
    <n v="0"/>
    <n v="0"/>
    <n v="0"/>
    <n v="26.86"/>
  </r>
  <r>
    <n v="61069832"/>
    <s v="N"/>
    <n v="21331052"/>
    <s v="3000015266470018"/>
    <s v="CIVIL"/>
    <d v="2023-06-26T00:00:00"/>
    <d v="2023-07-05T19:01:47"/>
    <m/>
    <d v="2023-07-05T00:00:00"/>
    <n v="1340"/>
    <n v="18319"/>
    <s v="61069832"/>
    <s v="61069832"/>
    <m/>
    <m/>
    <n v="22764930"/>
    <m/>
    <m/>
    <m/>
    <s v="SOLFIN"/>
    <s v="SOLFIN"/>
    <s v="CCMS"/>
    <n v="21331052"/>
    <n v="10281.54"/>
    <m/>
    <s v="N"/>
    <n v="21"/>
    <d v="2023-07-05T19:02:03"/>
    <s v="Y"/>
    <s v="Advocates Meeting"/>
    <s v="Public Law Children"/>
    <s v="Advocacy"/>
    <s v="P Carvill"/>
    <s v="Y"/>
    <n v="140.99"/>
    <n v="28.2"/>
    <x v="6"/>
    <s v="VALIDATED"/>
    <n v="1"/>
    <s v="01.11.80.308.6100.0000"/>
    <n v="140.99"/>
    <s v="11"/>
    <s v="6100"/>
    <n v="12428.1"/>
    <n v="140.99"/>
    <s v="CREDITOR"/>
    <n v="0"/>
    <n v="0"/>
    <n v="0"/>
    <n v="0"/>
    <n v="140.99"/>
  </r>
  <r>
    <n v="61282141"/>
    <s v="N"/>
    <n v="21331053"/>
    <s v="3000015444600004"/>
    <s v="CIVIL"/>
    <d v="2023-06-26T00:00:00"/>
    <d v="2023-07-05T19:01:47"/>
    <m/>
    <d v="2023-07-05T00:00:00"/>
    <n v="1340"/>
    <n v="18319"/>
    <s v="61282141"/>
    <s v="61282141"/>
    <m/>
    <m/>
    <n v="22761144"/>
    <m/>
    <m/>
    <m/>
    <s v="SOLFIN"/>
    <s v="SOLFIN"/>
    <s v="CCMS"/>
    <n v="21331053"/>
    <n v="5522.59"/>
    <m/>
    <s v="N"/>
    <n v="2"/>
    <d v="2023-07-05T19:02:03"/>
    <s v="Y"/>
    <s v="Interim Hearing Court Bundle/Advoca"/>
    <s v="Public Law Children"/>
    <s v="Advocacy"/>
    <s v="L Allen"/>
    <s v="Y"/>
    <n v="59.4"/>
    <n v="11.88"/>
    <x v="6"/>
    <s v="VALIDATED"/>
    <n v="1"/>
    <s v="01.11.80.308.6100.0000"/>
    <n v="59.4"/>
    <s v="11"/>
    <s v="6100"/>
    <n v="12428.1"/>
    <n v="59.4"/>
    <s v="CREDITOR"/>
    <n v="0"/>
    <n v="0"/>
    <n v="0"/>
    <n v="0"/>
    <n v="59.4"/>
  </r>
  <r>
    <n v="61282141"/>
    <s v="N"/>
    <n v="21331053"/>
    <s v="3000015444600004"/>
    <s v="CIVIL"/>
    <d v="2023-06-26T00:00:00"/>
    <d v="2023-07-05T19:01:47"/>
    <m/>
    <d v="2023-07-05T00:00:00"/>
    <n v="1340"/>
    <n v="18319"/>
    <s v="61282141"/>
    <s v="61282141"/>
    <m/>
    <m/>
    <n v="22761144"/>
    <m/>
    <m/>
    <m/>
    <s v="SOLFIN"/>
    <s v="SOLFIN"/>
    <s v="CCMS"/>
    <n v="21331053"/>
    <n v="5522.59"/>
    <m/>
    <s v="N"/>
    <n v="7"/>
    <d v="2023-07-05T19:02:03"/>
    <s v="Y"/>
    <s v="Advocates Meeting"/>
    <s v="Public Law Children"/>
    <s v="Advocacy"/>
    <s v="L Allen"/>
    <s v="Y"/>
    <n v="140.99"/>
    <n v="28.2"/>
    <x v="6"/>
    <s v="VALIDATED"/>
    <n v="1"/>
    <s v="01.11.80.308.6100.0000"/>
    <n v="140.99"/>
    <s v="11"/>
    <s v="6100"/>
    <n v="12428.1"/>
    <n v="140.99"/>
    <s v="CREDITOR"/>
    <n v="0"/>
    <n v="0"/>
    <n v="0"/>
    <n v="0"/>
    <n v="140.99"/>
  </r>
  <r>
    <n v="61010761"/>
    <s v="N"/>
    <n v="21328119"/>
    <s v="3000015215810003"/>
    <s v="CIVIL"/>
    <d v="2023-06-26T00:00:00"/>
    <d v="2023-07-04T19:00:44"/>
    <m/>
    <d v="2023-07-04T00:00:00"/>
    <n v="1340"/>
    <n v="18319"/>
    <s v="61010761"/>
    <s v="61010761"/>
    <m/>
    <m/>
    <n v="22765008"/>
    <m/>
    <m/>
    <m/>
    <s v="SOLFIN"/>
    <s v="SOLFIN"/>
    <s v="CCMS"/>
    <n v="21328119"/>
    <n v="4795.07"/>
    <m/>
    <s v="N"/>
    <n v="34"/>
    <d v="2023-07-04T19:01:05"/>
    <s v="Y"/>
    <s v="Final Hearing - 2 Days"/>
    <s v="Other Public Law Children"/>
    <s v="Advocacy"/>
    <s v="P. Carvill"/>
    <s v="Y"/>
    <n v="1021.5"/>
    <n v="204.3"/>
    <x v="1"/>
    <s v="VALIDATED"/>
    <n v="1"/>
    <s v="01.11.80.305.6100.0000"/>
    <n v="1021.5"/>
    <s v="11"/>
    <s v="6100"/>
    <n v="12428.1"/>
    <n v="1021.5"/>
    <s v="CREDITOR"/>
    <n v="0"/>
    <n v="0"/>
    <n v="0"/>
    <n v="0"/>
    <n v="1021.5"/>
  </r>
  <r>
    <n v="60285114"/>
    <s v="N"/>
    <n v="21328270"/>
    <s v="3000014590820013"/>
    <s v="CIVIL"/>
    <d v="2023-06-22T00:00:00"/>
    <d v="2023-07-04T19:00:44"/>
    <m/>
    <d v="2023-07-04T00:00:00"/>
    <n v="1340"/>
    <n v="18319"/>
    <s v="60285114"/>
    <s v="60285114"/>
    <m/>
    <m/>
    <n v="22747042"/>
    <m/>
    <m/>
    <m/>
    <s v="SOLFIN"/>
    <s v="SOLFIN"/>
    <s v="CCMS"/>
    <n v="21328270"/>
    <n v="9208.41"/>
    <m/>
    <s v="N"/>
    <n v="4"/>
    <d v="2023-07-04T19:01:11"/>
    <s v="Y"/>
    <s v="Toxicologist"/>
    <s v="Public Law Children"/>
    <s v="Expert Disbursement"/>
    <s v="P. Carvill"/>
    <s v="Y"/>
    <n v="128"/>
    <n v="25.6"/>
    <x v="1"/>
    <s v="VALIDATED"/>
    <n v="1"/>
    <s v="01.11.80.308.6300.0000"/>
    <n v="128"/>
    <s v="11"/>
    <s v="6300"/>
    <n v="12428.1"/>
    <n v="128"/>
    <s v="CREDITOR"/>
    <n v="0"/>
    <n v="0"/>
    <n v="0"/>
    <n v="0"/>
    <n v="128"/>
  </r>
  <r>
    <n v="60285114"/>
    <s v="N"/>
    <n v="21328704"/>
    <s v="3000014590820006RC"/>
    <s v="CIVIL"/>
    <d v="2023-06-22T00:00:00"/>
    <d v="2023-07-04T19:38:21"/>
    <m/>
    <d v="2023-07-04T00:00:00"/>
    <n v="1340"/>
    <n v="18319"/>
    <s v="60285114"/>
    <s v="60285114"/>
    <m/>
    <m/>
    <m/>
    <m/>
    <m/>
    <m/>
    <s v="SOLRECOUP"/>
    <s v="SOLRECOUP"/>
    <s v="POARECOUP"/>
    <n v="21328704"/>
    <n v="-167"/>
    <m/>
    <s v="Y"/>
    <n v="2"/>
    <d v="2023-07-04T19:38:22"/>
    <s v="N"/>
    <m/>
    <m/>
    <s v="Non Expert Disbursement"/>
    <m/>
    <s v="N"/>
    <n v="0"/>
    <n v="0"/>
    <x v="1"/>
    <s v="VALIDATED"/>
    <n v="1"/>
    <s v="01.11.80.000.0000.0000"/>
    <n v="0"/>
    <s v="11"/>
    <s v="0000"/>
    <n v="12428.1"/>
    <n v="0"/>
    <s v="CREDITOR"/>
    <n v="0"/>
    <n v="0"/>
    <n v="0"/>
    <n v="0"/>
    <n v="0"/>
  </r>
  <r>
    <n v="60285114"/>
    <s v="N"/>
    <n v="21328704"/>
    <s v="3000014590820006RC"/>
    <s v="CIVIL"/>
    <d v="2023-06-22T00:00:00"/>
    <d v="2023-07-04T19:38:21"/>
    <m/>
    <d v="2023-07-04T00:00:00"/>
    <n v="1340"/>
    <n v="18319"/>
    <s v="60285114"/>
    <s v="60285114"/>
    <m/>
    <m/>
    <m/>
    <m/>
    <m/>
    <m/>
    <s v="SOLRECOUP"/>
    <s v="SOLRECOUP"/>
    <s v="POARECOUP"/>
    <n v="21328704"/>
    <n v="-167"/>
    <m/>
    <s v="Y"/>
    <n v="1"/>
    <d v="2023-07-04T19:38:22"/>
    <s v="N"/>
    <m/>
    <m/>
    <s v="Non Expert Disbursement"/>
    <m/>
    <s v="N"/>
    <n v="-167"/>
    <n v="0"/>
    <x v="1"/>
    <s v="VALIDATED"/>
    <n v="1"/>
    <s v="01.11.80.308.2013.0000"/>
    <n v="-167"/>
    <s v="11"/>
    <s v="2013"/>
    <n v="12428.1"/>
    <n v="-167"/>
    <s v="CREDITOR"/>
    <n v="0"/>
    <n v="0"/>
    <n v="-167"/>
    <n v="0"/>
    <n v="0"/>
  </r>
  <r>
    <n v="60285114"/>
    <s v="N"/>
    <n v="21328705"/>
    <s v="3000014590820004RC"/>
    <s v="CIVIL"/>
    <d v="2023-06-22T00:00:00"/>
    <d v="2023-07-04T19:38:21"/>
    <m/>
    <d v="2023-07-04T00:00:00"/>
    <n v="1340"/>
    <n v="18319"/>
    <s v="60285114"/>
    <s v="60285114"/>
    <m/>
    <m/>
    <m/>
    <m/>
    <m/>
    <m/>
    <s v="SOLRECOUP"/>
    <s v="SOLRECOUP"/>
    <s v="POARECOUP"/>
    <n v="21328705"/>
    <n v="-153.6"/>
    <m/>
    <s v="Y"/>
    <n v="2"/>
    <d v="2023-07-04T19:38:22"/>
    <s v="N"/>
    <m/>
    <m/>
    <s v="Expert Disbursement"/>
    <m/>
    <s v="N"/>
    <n v="0"/>
    <n v="-25.6"/>
    <x v="1"/>
    <s v="VALIDATED"/>
    <n v="1"/>
    <s v="01.11.80.308.2013.0000"/>
    <n v="-25.6"/>
    <s v="11"/>
    <s v="2013"/>
    <n v="12428.1"/>
    <n v="-25.6"/>
    <s v="CREDITOR"/>
    <n v="0"/>
    <n v="0"/>
    <n v="-25.6"/>
    <n v="0"/>
    <n v="0"/>
  </r>
  <r>
    <n v="60285114"/>
    <s v="N"/>
    <n v="21328705"/>
    <s v="3000014590820004RC"/>
    <s v="CIVIL"/>
    <d v="2023-06-22T00:00:00"/>
    <d v="2023-07-04T19:38:21"/>
    <m/>
    <d v="2023-07-04T00:00:00"/>
    <n v="1340"/>
    <n v="18319"/>
    <s v="60285114"/>
    <s v="60285114"/>
    <m/>
    <m/>
    <m/>
    <m/>
    <m/>
    <m/>
    <s v="SOLRECOUP"/>
    <s v="SOLRECOUP"/>
    <s v="POARECOUP"/>
    <n v="21328705"/>
    <n v="-153.6"/>
    <m/>
    <s v="Y"/>
    <n v="1"/>
    <d v="2023-07-04T19:38:22"/>
    <s v="N"/>
    <m/>
    <m/>
    <s v="Expert Disbursement"/>
    <m/>
    <s v="N"/>
    <n v="-128"/>
    <n v="0"/>
    <x v="1"/>
    <s v="VALIDATED"/>
    <n v="1"/>
    <s v="01.11.80.308.2013.0000"/>
    <n v="-128"/>
    <s v="11"/>
    <s v="2013"/>
    <n v="12428.1"/>
    <n v="-128"/>
    <s v="CREDITOR"/>
    <n v="0"/>
    <n v="0"/>
    <n v="-128"/>
    <n v="0"/>
    <n v="0"/>
  </r>
  <r>
    <n v="60285114"/>
    <s v="N"/>
    <n v="21328706"/>
    <s v="3000014590820001RC"/>
    <s v="CIVIL"/>
    <d v="2023-06-22T00:00:00"/>
    <d v="2023-07-04T19:38:21"/>
    <m/>
    <d v="2023-07-04T00:00:00"/>
    <n v="1340"/>
    <n v="18319"/>
    <s v="60285114"/>
    <s v="60285114"/>
    <m/>
    <m/>
    <m/>
    <m/>
    <m/>
    <m/>
    <s v="SOLRECOUP"/>
    <s v="SOLRECOUP"/>
    <s v="POARECOUP"/>
    <n v="21328706"/>
    <n v="-50.4"/>
    <m/>
    <s v="Y"/>
    <n v="2"/>
    <d v="2023-07-04T19:38:22"/>
    <s v="N"/>
    <m/>
    <m/>
    <s v="Expert Disbursement"/>
    <m/>
    <s v="N"/>
    <n v="0"/>
    <n v="0"/>
    <x v="1"/>
    <s v="VALIDATED"/>
    <n v="1"/>
    <s v="01.11.80.000.0000.0000"/>
    <n v="0"/>
    <s v="11"/>
    <s v="0000"/>
    <n v="12428.1"/>
    <n v="0"/>
    <s v="CREDITOR"/>
    <n v="0"/>
    <n v="0"/>
    <n v="0"/>
    <n v="0"/>
    <n v="0"/>
  </r>
  <r>
    <n v="60285114"/>
    <s v="N"/>
    <n v="21328706"/>
    <s v="3000014590820001RC"/>
    <s v="CIVIL"/>
    <d v="2023-06-22T00:00:00"/>
    <d v="2023-07-04T19:38:21"/>
    <m/>
    <d v="2023-07-04T00:00:00"/>
    <n v="1340"/>
    <n v="18319"/>
    <s v="60285114"/>
    <s v="60285114"/>
    <m/>
    <m/>
    <m/>
    <m/>
    <m/>
    <m/>
    <s v="SOLRECOUP"/>
    <s v="SOLRECOUP"/>
    <s v="POARECOUP"/>
    <n v="21328706"/>
    <n v="-50.4"/>
    <m/>
    <s v="Y"/>
    <n v="1"/>
    <d v="2023-07-04T19:38:22"/>
    <s v="N"/>
    <m/>
    <m/>
    <s v="Expert Disbursement"/>
    <m/>
    <s v="N"/>
    <n v="-50.4"/>
    <n v="0"/>
    <x v="1"/>
    <s v="VALIDATED"/>
    <n v="1"/>
    <s v="01.11.80.308.2013.0000"/>
    <n v="-50.4"/>
    <s v="11"/>
    <s v="2013"/>
    <n v="12428.1"/>
    <n v="-50.4"/>
    <s v="CREDITOR"/>
    <n v="0"/>
    <n v="0"/>
    <n v="-50.4"/>
    <n v="0"/>
    <n v="0"/>
  </r>
  <r>
    <n v="60285114"/>
    <s v="N"/>
    <n v="21328707"/>
    <s v="3000014590820002RC"/>
    <s v="CIVIL"/>
    <d v="2023-06-22T00:00:00"/>
    <d v="2023-07-04T19:38:21"/>
    <m/>
    <d v="2023-07-04T00:00:00"/>
    <n v="1340"/>
    <n v="18319"/>
    <s v="60285114"/>
    <s v="60285114"/>
    <m/>
    <m/>
    <m/>
    <m/>
    <m/>
    <m/>
    <s v="SOLRECOUP"/>
    <s v="SOLRECOUP"/>
    <s v="POARECOUP"/>
    <n v="21328707"/>
    <n v="-215.21"/>
    <m/>
    <s v="Y"/>
    <n v="2"/>
    <d v="2023-07-04T19:38:22"/>
    <s v="N"/>
    <m/>
    <m/>
    <s v="Expert Disbursement"/>
    <m/>
    <s v="N"/>
    <n v="0"/>
    <n v="0"/>
    <x v="1"/>
    <s v="VALIDATED"/>
    <n v="1"/>
    <s v="01.11.80.000.0000.0000"/>
    <n v="0"/>
    <s v="11"/>
    <s v="0000"/>
    <n v="12428.1"/>
    <n v="0"/>
    <s v="CREDITOR"/>
    <n v="0"/>
    <n v="0"/>
    <n v="0"/>
    <n v="0"/>
    <n v="0"/>
  </r>
  <r>
    <n v="60285114"/>
    <s v="N"/>
    <n v="21328707"/>
    <s v="3000014590820002RC"/>
    <s v="CIVIL"/>
    <d v="2023-06-22T00:00:00"/>
    <d v="2023-07-04T19:38:21"/>
    <m/>
    <d v="2023-07-04T00:00:00"/>
    <n v="1340"/>
    <n v="18319"/>
    <s v="60285114"/>
    <s v="60285114"/>
    <m/>
    <m/>
    <m/>
    <m/>
    <m/>
    <m/>
    <s v="SOLRECOUP"/>
    <s v="SOLRECOUP"/>
    <s v="POARECOUP"/>
    <n v="21328707"/>
    <n v="-215.21"/>
    <m/>
    <s v="Y"/>
    <n v="1"/>
    <d v="2023-07-04T19:38:22"/>
    <s v="N"/>
    <m/>
    <m/>
    <s v="Expert Disbursement"/>
    <m/>
    <s v="N"/>
    <n v="-215.21"/>
    <n v="0"/>
    <x v="1"/>
    <s v="VALIDATED"/>
    <n v="1"/>
    <s v="01.11.80.308.2013.0000"/>
    <n v="-215.21"/>
    <s v="11"/>
    <s v="2013"/>
    <n v="12428.1"/>
    <n v="-215.21"/>
    <s v="CREDITOR"/>
    <n v="0"/>
    <n v="0"/>
    <n v="-215.21"/>
    <n v="0"/>
    <n v="0"/>
  </r>
  <r>
    <n v="60285114"/>
    <s v="N"/>
    <n v="21328708"/>
    <s v="3000014590820005RC"/>
    <s v="CIVIL"/>
    <d v="2023-06-22T00:00:00"/>
    <d v="2023-07-04T19:38:21"/>
    <m/>
    <d v="2023-07-04T00:00:00"/>
    <n v="1340"/>
    <n v="18319"/>
    <s v="60285114"/>
    <s v="60285114"/>
    <m/>
    <m/>
    <m/>
    <m/>
    <m/>
    <m/>
    <s v="SOLRECOUP"/>
    <s v="SOLRECOUP"/>
    <s v="POARECOUP"/>
    <n v="21328708"/>
    <n v="-1916.52"/>
    <m/>
    <s v="Y"/>
    <n v="1"/>
    <d v="2023-07-04T19:38:22"/>
    <s v="N"/>
    <m/>
    <m/>
    <s v="Profit Cost"/>
    <m/>
    <s v="N"/>
    <n v="-1597.1"/>
    <n v="0"/>
    <x v="1"/>
    <s v="VALIDATED"/>
    <n v="1"/>
    <s v="01.11.80.308.2013.0000"/>
    <n v="-1597.1"/>
    <s v="11"/>
    <s v="2013"/>
    <n v="12428.1"/>
    <n v="-1597.1"/>
    <s v="CREDITOR"/>
    <n v="0"/>
    <n v="0"/>
    <n v="-1597.1"/>
    <n v="-399.275"/>
    <n v="0"/>
  </r>
  <r>
    <n v="60285114"/>
    <s v="N"/>
    <n v="21328708"/>
    <s v="3000014590820005RC"/>
    <s v="CIVIL"/>
    <d v="2023-06-22T00:00:00"/>
    <d v="2023-07-04T19:38:21"/>
    <m/>
    <d v="2023-07-04T00:00:00"/>
    <n v="1340"/>
    <n v="18319"/>
    <s v="60285114"/>
    <s v="60285114"/>
    <m/>
    <m/>
    <m/>
    <m/>
    <m/>
    <m/>
    <s v="SOLRECOUP"/>
    <s v="SOLRECOUP"/>
    <s v="POARECOUP"/>
    <n v="21328708"/>
    <n v="-1916.52"/>
    <m/>
    <s v="Y"/>
    <n v="2"/>
    <d v="2023-07-04T19:38:22"/>
    <s v="N"/>
    <m/>
    <m/>
    <s v="Profit Cost"/>
    <m/>
    <s v="N"/>
    <n v="0"/>
    <n v="-319.42"/>
    <x v="1"/>
    <s v="VALIDATED"/>
    <n v="1"/>
    <s v="01.11.80.308.2013.0000"/>
    <n v="-319.42"/>
    <s v="11"/>
    <s v="2013"/>
    <n v="12428.1"/>
    <n v="-319.42"/>
    <s v="CREDITOR"/>
    <n v="0"/>
    <n v="0"/>
    <n v="-319.42"/>
    <n v="-79.855"/>
    <n v="0"/>
  </r>
  <r>
    <n v="60285114"/>
    <s v="N"/>
    <n v="21328709"/>
    <s v="3000014590820008RC"/>
    <s v="CIVIL"/>
    <d v="2023-06-22T00:00:00"/>
    <d v="2023-07-04T19:38:21"/>
    <m/>
    <d v="2023-07-04T00:00:00"/>
    <n v="1340"/>
    <n v="18319"/>
    <s v="60285114"/>
    <s v="60285114"/>
    <m/>
    <m/>
    <m/>
    <m/>
    <m/>
    <m/>
    <s v="SOLRECOUP"/>
    <s v="SOLRECOUP"/>
    <s v="POARECOUP"/>
    <n v="21328709"/>
    <n v="-153.6"/>
    <m/>
    <s v="Y"/>
    <n v="1"/>
    <d v="2023-07-04T19:38:22"/>
    <s v="N"/>
    <m/>
    <m/>
    <s v="Expert Disbursement"/>
    <m/>
    <s v="N"/>
    <n v="-128"/>
    <n v="0"/>
    <x v="1"/>
    <s v="VALIDATED"/>
    <n v="1"/>
    <s v="01.11.80.308.2013.0000"/>
    <n v="-128"/>
    <s v="11"/>
    <s v="2013"/>
    <n v="12428.1"/>
    <n v="-128"/>
    <s v="CREDITOR"/>
    <n v="0"/>
    <n v="0"/>
    <n v="-128"/>
    <n v="0"/>
    <n v="0"/>
  </r>
  <r>
    <n v="60285114"/>
    <s v="N"/>
    <n v="21328709"/>
    <s v="3000014590820008RC"/>
    <s v="CIVIL"/>
    <d v="2023-06-22T00:00:00"/>
    <d v="2023-07-04T19:38:21"/>
    <m/>
    <d v="2023-07-04T00:00:00"/>
    <n v="1340"/>
    <n v="18319"/>
    <s v="60285114"/>
    <s v="60285114"/>
    <m/>
    <m/>
    <m/>
    <m/>
    <m/>
    <m/>
    <s v="SOLRECOUP"/>
    <s v="SOLRECOUP"/>
    <s v="POARECOUP"/>
    <n v="21328709"/>
    <n v="-153.6"/>
    <m/>
    <s v="Y"/>
    <n v="2"/>
    <d v="2023-07-04T19:38:22"/>
    <s v="N"/>
    <m/>
    <m/>
    <s v="Expert Disbursement"/>
    <m/>
    <s v="N"/>
    <n v="0"/>
    <n v="-25.6"/>
    <x v="1"/>
    <s v="VALIDATED"/>
    <n v="1"/>
    <s v="01.11.80.308.2013.0000"/>
    <n v="-25.6"/>
    <s v="11"/>
    <s v="2013"/>
    <n v="12428.1"/>
    <n v="-25.6"/>
    <s v="CREDITOR"/>
    <n v="0"/>
    <n v="0"/>
    <n v="-25.6"/>
    <n v="0"/>
    <n v="0"/>
  </r>
  <r>
    <n v="60285114"/>
    <s v="N"/>
    <n v="21328710"/>
    <s v="3000014590820009RC"/>
    <s v="CIVIL"/>
    <d v="2023-06-22T00:00:00"/>
    <d v="2023-07-04T19:38:21"/>
    <m/>
    <d v="2023-07-04T00:00:00"/>
    <n v="1340"/>
    <n v="18319"/>
    <s v="60285114"/>
    <s v="60285114"/>
    <m/>
    <m/>
    <m/>
    <m/>
    <m/>
    <m/>
    <s v="SOLRECOUP"/>
    <s v="SOLRECOUP"/>
    <s v="POARECOUP"/>
    <n v="21328710"/>
    <n v="-432"/>
    <m/>
    <s v="Y"/>
    <n v="2"/>
    <d v="2023-07-04T19:38:22"/>
    <s v="N"/>
    <m/>
    <m/>
    <s v="Expert Disbursement"/>
    <m/>
    <s v="N"/>
    <n v="0"/>
    <n v="0"/>
    <x v="1"/>
    <s v="VALIDATED"/>
    <n v="1"/>
    <s v="01.11.80.000.0000.0000"/>
    <n v="0"/>
    <s v="11"/>
    <s v="0000"/>
    <n v="12428.1"/>
    <n v="0"/>
    <s v="CREDITOR"/>
    <n v="0"/>
    <n v="0"/>
    <n v="0"/>
    <n v="0"/>
    <n v="0"/>
  </r>
  <r>
    <n v="60285114"/>
    <s v="N"/>
    <n v="21328710"/>
    <s v="3000014590820009RC"/>
    <s v="CIVIL"/>
    <d v="2023-06-22T00:00:00"/>
    <d v="2023-07-04T19:38:21"/>
    <m/>
    <d v="2023-07-04T00:00:00"/>
    <n v="1340"/>
    <n v="18319"/>
    <s v="60285114"/>
    <s v="60285114"/>
    <m/>
    <m/>
    <m/>
    <m/>
    <m/>
    <m/>
    <s v="SOLRECOUP"/>
    <s v="SOLRECOUP"/>
    <s v="POARECOUP"/>
    <n v="21328710"/>
    <n v="-432"/>
    <m/>
    <s v="Y"/>
    <n v="1"/>
    <d v="2023-07-04T19:38:22"/>
    <s v="N"/>
    <m/>
    <m/>
    <s v="Expert Disbursement"/>
    <m/>
    <s v="N"/>
    <n v="-432"/>
    <n v="0"/>
    <x v="1"/>
    <s v="VALIDATED"/>
    <n v="1"/>
    <s v="01.11.80.308.2013.0000"/>
    <n v="-432"/>
    <s v="11"/>
    <s v="2013"/>
    <n v="12428.1"/>
    <n v="-432"/>
    <s v="CREDITOR"/>
    <n v="0"/>
    <n v="0"/>
    <n v="-432"/>
    <n v="0"/>
    <n v="0"/>
  </r>
  <r>
    <n v="61010761"/>
    <s v="N"/>
    <n v="21328711"/>
    <s v="3000015215810002RC"/>
    <s v="CIVIL"/>
    <d v="2023-06-26T00:00:00"/>
    <d v="2023-07-04T19:38:21"/>
    <m/>
    <d v="2023-07-04T00:00:00"/>
    <n v="1340"/>
    <n v="18319"/>
    <s v="61010761"/>
    <s v="61010761"/>
    <m/>
    <m/>
    <m/>
    <m/>
    <m/>
    <m/>
    <s v="SOLRECOUP"/>
    <s v="SOLRECOUP"/>
    <s v="POARECOUP"/>
    <n v="21328711"/>
    <n v="-1688.53"/>
    <m/>
    <s v="Y"/>
    <n v="2"/>
    <d v="2023-07-04T19:38:22"/>
    <s v="N"/>
    <m/>
    <m/>
    <s v="Profit Cost"/>
    <m/>
    <s v="N"/>
    <n v="0"/>
    <n v="-281.42"/>
    <x v="1"/>
    <s v="VALIDATED"/>
    <n v="1"/>
    <s v="01.11.80.305.2013.0000"/>
    <n v="-281.42"/>
    <s v="11"/>
    <s v="2013"/>
    <n v="12428.1"/>
    <n v="-281.42"/>
    <s v="CREDITOR"/>
    <n v="0"/>
    <n v="0"/>
    <n v="-281.42"/>
    <n v="-70.355"/>
    <n v="0"/>
  </r>
  <r>
    <n v="61010761"/>
    <s v="N"/>
    <n v="21328711"/>
    <s v="3000015215810002RC"/>
    <s v="CIVIL"/>
    <d v="2023-06-26T00:00:00"/>
    <d v="2023-07-04T19:38:21"/>
    <m/>
    <d v="2023-07-04T00:00:00"/>
    <n v="1340"/>
    <n v="18319"/>
    <s v="61010761"/>
    <s v="61010761"/>
    <m/>
    <m/>
    <m/>
    <m/>
    <m/>
    <m/>
    <s v="SOLRECOUP"/>
    <s v="SOLRECOUP"/>
    <s v="POARECOUP"/>
    <n v="21328711"/>
    <n v="-1688.53"/>
    <m/>
    <s v="Y"/>
    <n v="1"/>
    <d v="2023-07-04T19:38:22"/>
    <s v="N"/>
    <m/>
    <m/>
    <s v="Profit Cost"/>
    <m/>
    <s v="N"/>
    <n v="-1407.11"/>
    <n v="0"/>
    <x v="1"/>
    <s v="VALIDATED"/>
    <n v="1"/>
    <s v="01.11.80.305.2013.0000"/>
    <n v="-1407.11"/>
    <s v="11"/>
    <s v="2013"/>
    <n v="12428.1"/>
    <n v="-1407.11"/>
    <s v="CREDITOR"/>
    <n v="0"/>
    <n v="0"/>
    <n v="-1407.11"/>
    <n v="-351.7775"/>
    <n v="0"/>
  </r>
  <r>
    <n v="61010761"/>
    <s v="N"/>
    <n v="21328712"/>
    <s v="3000015215810001RC"/>
    <s v="CIVIL"/>
    <d v="2023-06-26T00:00:00"/>
    <d v="2023-07-04T19:38:21"/>
    <m/>
    <d v="2023-07-04T00:00:00"/>
    <n v="1340"/>
    <n v="18319"/>
    <s v="61010761"/>
    <s v="61010761"/>
    <m/>
    <m/>
    <m/>
    <m/>
    <m/>
    <m/>
    <s v="SOLRECOUP"/>
    <s v="SOLRECOUP"/>
    <s v="POARECOUP"/>
    <n v="21328712"/>
    <n v="-315.25"/>
    <m/>
    <s v="Y"/>
    <n v="2"/>
    <d v="2023-07-04T19:38:22"/>
    <s v="N"/>
    <m/>
    <m/>
    <s v="Expert Disbursement"/>
    <m/>
    <s v="N"/>
    <n v="0"/>
    <n v="-52.54"/>
    <x v="1"/>
    <s v="VALIDATED"/>
    <n v="1"/>
    <s v="01.11.80.305.2013.0000"/>
    <n v="-52.54"/>
    <s v="11"/>
    <s v="2013"/>
    <n v="12428.1"/>
    <n v="-52.54"/>
    <s v="CREDITOR"/>
    <n v="0"/>
    <n v="0"/>
    <n v="-52.54"/>
    <n v="0"/>
    <n v="0"/>
  </r>
  <r>
    <n v="61010761"/>
    <s v="N"/>
    <n v="21328712"/>
    <s v="3000015215810001RC"/>
    <s v="CIVIL"/>
    <d v="2023-06-26T00:00:00"/>
    <d v="2023-07-04T19:38:21"/>
    <m/>
    <d v="2023-07-04T00:00:00"/>
    <n v="1340"/>
    <n v="18319"/>
    <s v="61010761"/>
    <s v="61010761"/>
    <m/>
    <m/>
    <m/>
    <m/>
    <m/>
    <m/>
    <s v="SOLRECOUP"/>
    <s v="SOLRECOUP"/>
    <s v="POARECOUP"/>
    <n v="21328712"/>
    <n v="-315.25"/>
    <m/>
    <s v="Y"/>
    <n v="1"/>
    <d v="2023-07-04T19:38:22"/>
    <s v="N"/>
    <m/>
    <m/>
    <s v="Expert Disbursement"/>
    <m/>
    <s v="N"/>
    <n v="-262.71"/>
    <n v="0"/>
    <x v="1"/>
    <s v="VALIDATED"/>
    <n v="1"/>
    <s v="01.11.80.305.2013.0000"/>
    <n v="-262.71"/>
    <s v="11"/>
    <s v="2013"/>
    <n v="12428.1"/>
    <n v="-262.71"/>
    <s v="CREDITOR"/>
    <n v="0"/>
    <n v="0"/>
    <n v="-262.71"/>
    <n v="0"/>
    <n v="0"/>
  </r>
  <r>
    <n v="60285114"/>
    <s v="N"/>
    <n v="21328713"/>
    <s v="3000014590820010RC"/>
    <s v="CIVIL"/>
    <d v="2023-06-22T00:00:00"/>
    <d v="2023-07-04T19:38:21"/>
    <m/>
    <d v="2023-07-04T00:00:00"/>
    <n v="1340"/>
    <n v="18319"/>
    <s v="60285114"/>
    <s v="60285114"/>
    <m/>
    <m/>
    <m/>
    <m/>
    <m/>
    <m/>
    <s v="SOLRECOUP"/>
    <s v="SOLRECOUP"/>
    <s v="POARECOUP"/>
    <n v="21328713"/>
    <n v="-432"/>
    <m/>
    <s v="Y"/>
    <n v="1"/>
    <d v="2023-07-04T19:38:22"/>
    <s v="N"/>
    <m/>
    <m/>
    <s v="Expert Disbursement"/>
    <m/>
    <s v="N"/>
    <n v="-432"/>
    <n v="0"/>
    <x v="1"/>
    <s v="VALIDATED"/>
    <n v="1"/>
    <s v="01.11.80.308.2013.0000"/>
    <n v="-432"/>
    <s v="11"/>
    <s v="2013"/>
    <n v="12428.1"/>
    <n v="-432"/>
    <s v="CREDITOR"/>
    <n v="0"/>
    <n v="0"/>
    <n v="-432"/>
    <n v="0"/>
    <n v="0"/>
  </r>
  <r>
    <n v="60285114"/>
    <s v="N"/>
    <n v="21328713"/>
    <s v="3000014590820010RC"/>
    <s v="CIVIL"/>
    <d v="2023-06-22T00:00:00"/>
    <d v="2023-07-04T19:38:21"/>
    <m/>
    <d v="2023-07-04T00:00:00"/>
    <n v="1340"/>
    <n v="18319"/>
    <s v="60285114"/>
    <s v="60285114"/>
    <m/>
    <m/>
    <m/>
    <m/>
    <m/>
    <m/>
    <s v="SOLRECOUP"/>
    <s v="SOLRECOUP"/>
    <s v="POARECOUP"/>
    <n v="21328713"/>
    <n v="-432"/>
    <m/>
    <s v="Y"/>
    <n v="2"/>
    <d v="2023-07-04T19:38:22"/>
    <s v="N"/>
    <m/>
    <m/>
    <s v="Expert Disbursement"/>
    <m/>
    <s v="N"/>
    <n v="0"/>
    <n v="0"/>
    <x v="1"/>
    <s v="VALIDATED"/>
    <n v="1"/>
    <s v="01.11.80.000.0000.0000"/>
    <n v="0"/>
    <s v="11"/>
    <s v="0000"/>
    <n v="12428.1"/>
    <n v="0"/>
    <s v="CREDITOR"/>
    <n v="0"/>
    <n v="0"/>
    <n v="0"/>
    <n v="0"/>
    <n v="0"/>
  </r>
  <r>
    <n v="60285114"/>
    <s v="N"/>
    <n v="21328714"/>
    <s v="3000014590820011RC"/>
    <s v="CIVIL"/>
    <d v="2023-06-22T00:00:00"/>
    <d v="2023-07-04T19:38:21"/>
    <m/>
    <d v="2023-07-04T00:00:00"/>
    <n v="1340"/>
    <n v="18319"/>
    <s v="60285114"/>
    <s v="60285114"/>
    <m/>
    <m/>
    <m/>
    <m/>
    <m/>
    <m/>
    <s v="SOLRECOUP"/>
    <s v="SOLRECOUP"/>
    <s v="POARECOUP"/>
    <n v="21328714"/>
    <n v="-153.6"/>
    <m/>
    <s v="Y"/>
    <n v="1"/>
    <d v="2023-07-04T19:38:22"/>
    <s v="N"/>
    <m/>
    <m/>
    <s v="Expert Disbursement"/>
    <m/>
    <s v="N"/>
    <n v="-128"/>
    <n v="0"/>
    <x v="1"/>
    <s v="VALIDATED"/>
    <n v="1"/>
    <s v="01.11.80.308.2013.0000"/>
    <n v="-128"/>
    <s v="11"/>
    <s v="2013"/>
    <n v="12428.1"/>
    <n v="-128"/>
    <s v="CREDITOR"/>
    <n v="0"/>
    <n v="0"/>
    <n v="-128"/>
    <n v="0"/>
    <n v="0"/>
  </r>
  <r>
    <n v="60285114"/>
    <s v="N"/>
    <n v="21328714"/>
    <s v="3000014590820011RC"/>
    <s v="CIVIL"/>
    <d v="2023-06-22T00:00:00"/>
    <d v="2023-07-04T19:38:21"/>
    <m/>
    <d v="2023-07-04T00:00:00"/>
    <n v="1340"/>
    <n v="18319"/>
    <s v="60285114"/>
    <s v="60285114"/>
    <m/>
    <m/>
    <m/>
    <m/>
    <m/>
    <m/>
    <s v="SOLRECOUP"/>
    <s v="SOLRECOUP"/>
    <s v="POARECOUP"/>
    <n v="21328714"/>
    <n v="-153.6"/>
    <m/>
    <s v="Y"/>
    <n v="2"/>
    <d v="2023-07-04T19:38:22"/>
    <s v="N"/>
    <m/>
    <m/>
    <s v="Expert Disbursement"/>
    <m/>
    <s v="N"/>
    <n v="0"/>
    <n v="-25.6"/>
    <x v="1"/>
    <s v="VALIDATED"/>
    <n v="1"/>
    <s v="01.11.80.308.2013.0000"/>
    <n v="-25.6"/>
    <s v="11"/>
    <s v="2013"/>
    <n v="12428.1"/>
    <n v="-25.6"/>
    <s v="CREDITOR"/>
    <n v="0"/>
    <n v="0"/>
    <n v="-25.6"/>
    <n v="0"/>
    <n v="0"/>
  </r>
  <r>
    <n v="60285114"/>
    <s v="N"/>
    <n v="21328715"/>
    <s v="3000014590820012RC"/>
    <s v="CIVIL"/>
    <d v="2023-06-22T00:00:00"/>
    <d v="2023-07-04T19:38:21"/>
    <m/>
    <d v="2023-07-04T00:00:00"/>
    <n v="1340"/>
    <n v="18319"/>
    <s v="60285114"/>
    <s v="60285114"/>
    <m/>
    <m/>
    <m/>
    <m/>
    <m/>
    <m/>
    <s v="SOLRECOUP"/>
    <s v="SOLRECOUP"/>
    <s v="POARECOUP"/>
    <n v="21328715"/>
    <n v="-1131.19"/>
    <m/>
    <s v="Y"/>
    <n v="1"/>
    <d v="2023-07-04T19:38:22"/>
    <s v="N"/>
    <m/>
    <m/>
    <s v="Profit Cost"/>
    <m/>
    <s v="N"/>
    <n v="-942.66"/>
    <n v="0"/>
    <x v="1"/>
    <s v="VALIDATED"/>
    <n v="1"/>
    <s v="01.11.80.308.2013.0000"/>
    <n v="-942.66"/>
    <s v="11"/>
    <s v="2013"/>
    <n v="12428.1"/>
    <n v="-942.66"/>
    <s v="CREDITOR"/>
    <n v="0"/>
    <n v="0"/>
    <n v="-942.66"/>
    <n v="-235.665"/>
    <n v="0"/>
  </r>
  <r>
    <n v="60285114"/>
    <s v="N"/>
    <n v="21328715"/>
    <s v="3000014590820012RC"/>
    <s v="CIVIL"/>
    <d v="2023-06-22T00:00:00"/>
    <d v="2023-07-04T19:38:21"/>
    <m/>
    <d v="2023-07-04T00:00:00"/>
    <n v="1340"/>
    <n v="18319"/>
    <s v="60285114"/>
    <s v="60285114"/>
    <m/>
    <m/>
    <m/>
    <m/>
    <m/>
    <m/>
    <s v="SOLRECOUP"/>
    <s v="SOLRECOUP"/>
    <s v="POARECOUP"/>
    <n v="21328715"/>
    <n v="-1131.19"/>
    <m/>
    <s v="Y"/>
    <n v="2"/>
    <d v="2023-07-04T19:38:22"/>
    <s v="N"/>
    <m/>
    <m/>
    <s v="Profit Cost"/>
    <m/>
    <s v="N"/>
    <n v="0"/>
    <n v="-188.53"/>
    <x v="1"/>
    <s v="VALIDATED"/>
    <n v="1"/>
    <s v="01.11.80.308.2013.0000"/>
    <n v="-188.53"/>
    <s v="11"/>
    <s v="2013"/>
    <n v="12428.1"/>
    <n v="-188.53"/>
    <s v="CREDITOR"/>
    <n v="0"/>
    <n v="0"/>
    <n v="-188.53"/>
    <n v="-47.1325"/>
    <n v="0"/>
  </r>
  <r>
    <n v="61069832"/>
    <s v="N"/>
    <n v="21333909"/>
    <s v="3000015266470002RC"/>
    <s v="CIVIL"/>
    <d v="2023-06-26T00:00:00"/>
    <d v="2023-07-05T19:42:28"/>
    <m/>
    <d v="2023-07-05T00:00:00"/>
    <n v="1340"/>
    <n v="18319"/>
    <s v="61069832"/>
    <s v="61069832"/>
    <m/>
    <m/>
    <m/>
    <m/>
    <m/>
    <m/>
    <s v="SOLRECOUP"/>
    <s v="SOLRECOUP"/>
    <s v="POARECOUP"/>
    <n v="21333909"/>
    <n v="-126"/>
    <m/>
    <s v="Y"/>
    <n v="2"/>
    <d v="2023-07-05T19:42:29"/>
    <s v="N"/>
    <m/>
    <m/>
    <s v="Expert Disbursement"/>
    <m/>
    <s v="N"/>
    <n v="0"/>
    <n v="-21"/>
    <x v="6"/>
    <s v="VALIDATED"/>
    <n v="1"/>
    <s v="01.11.80.308.2013.0000"/>
    <n v="-21"/>
    <s v="11"/>
    <s v="2013"/>
    <n v="12428.1"/>
    <n v="-21"/>
    <s v="CREDITOR"/>
    <n v="0"/>
    <n v="0"/>
    <n v="-21"/>
    <n v="0"/>
    <n v="0"/>
  </r>
  <r>
    <n v="61069832"/>
    <s v="N"/>
    <n v="21333917"/>
    <s v="3000015266470010RC"/>
    <s v="CIVIL"/>
    <d v="2023-06-26T00:00:00"/>
    <d v="2023-07-05T19:42:28"/>
    <m/>
    <d v="2023-07-05T00:00:00"/>
    <n v="1340"/>
    <n v="18319"/>
    <s v="61069832"/>
    <s v="61069832"/>
    <m/>
    <m/>
    <m/>
    <m/>
    <m/>
    <m/>
    <s v="SOLRECOUP"/>
    <s v="SOLRECOUP"/>
    <s v="POARECOUP"/>
    <n v="21333917"/>
    <n v="-320.53"/>
    <m/>
    <s v="Y"/>
    <n v="1"/>
    <d v="2023-07-05T19:42:29"/>
    <s v="N"/>
    <m/>
    <m/>
    <s v="Expert Disbursement"/>
    <m/>
    <s v="N"/>
    <n v="-320.53"/>
    <n v="0"/>
    <x v="6"/>
    <s v="VALIDATED"/>
    <n v="1"/>
    <s v="01.11.80.308.2013.0000"/>
    <n v="-320.53"/>
    <s v="11"/>
    <s v="2013"/>
    <n v="12428.1"/>
    <n v="-320.53"/>
    <s v="CREDITOR"/>
    <n v="0"/>
    <n v="0"/>
    <n v="-320.53"/>
    <n v="0"/>
    <n v="0"/>
  </r>
  <r>
    <n v="61160840"/>
    <s v="N"/>
    <n v="21333918"/>
    <s v="3000015343680001RC"/>
    <s v="CIVIL"/>
    <d v="2023-06-26T00:00:00"/>
    <d v="2023-07-05T19:42:28"/>
    <m/>
    <d v="2023-07-05T00:00:00"/>
    <n v="1340"/>
    <n v="18319"/>
    <s v="61160840"/>
    <s v="61160840"/>
    <m/>
    <m/>
    <m/>
    <m/>
    <m/>
    <m/>
    <s v="SOLRECOUP"/>
    <s v="SOLRECOUP"/>
    <s v="POARECOUP"/>
    <n v="21333918"/>
    <n v="-836.25"/>
    <m/>
    <s v="Y"/>
    <n v="1"/>
    <d v="2023-07-05T19:42:29"/>
    <s v="N"/>
    <m/>
    <m/>
    <s v="Expert Disbursement"/>
    <m/>
    <s v="N"/>
    <n v="-836.25"/>
    <n v="0"/>
    <x v="6"/>
    <s v="VALIDATED"/>
    <n v="1"/>
    <s v="01.11.80.308.2013.0000"/>
    <n v="-836.25"/>
    <s v="11"/>
    <s v="2013"/>
    <n v="12428.1"/>
    <n v="-836.25"/>
    <s v="CREDITOR"/>
    <n v="0"/>
    <n v="0"/>
    <n v="-836.25"/>
    <n v="0"/>
    <n v="0"/>
  </r>
  <r>
    <n v="61160840"/>
    <s v="N"/>
    <n v="21333918"/>
    <s v="3000015343680001RC"/>
    <s v="CIVIL"/>
    <d v="2023-06-26T00:00:00"/>
    <d v="2023-07-05T19:42:28"/>
    <m/>
    <d v="2023-07-05T00:00:00"/>
    <n v="1340"/>
    <n v="18319"/>
    <s v="61160840"/>
    <s v="61160840"/>
    <m/>
    <m/>
    <m/>
    <m/>
    <m/>
    <m/>
    <s v="SOLRECOUP"/>
    <s v="SOLRECOUP"/>
    <s v="POARECOUP"/>
    <n v="21333918"/>
    <n v="-836.25"/>
    <m/>
    <s v="Y"/>
    <n v="2"/>
    <d v="2023-07-05T19:42:29"/>
    <s v="N"/>
    <m/>
    <m/>
    <s v="Expert Disbursement"/>
    <m/>
    <s v="N"/>
    <n v="0"/>
    <n v="0"/>
    <x v="6"/>
    <s v="VALIDATED"/>
    <n v="1"/>
    <s v="01.11.80.000.0000.0000"/>
    <n v="0"/>
    <s v="11"/>
    <s v="0000"/>
    <n v="12428.1"/>
    <n v="0"/>
    <s v="CREDITOR"/>
    <n v="0"/>
    <n v="0"/>
    <n v="0"/>
    <n v="0"/>
    <n v="0"/>
  </r>
  <r>
    <n v="61069832"/>
    <s v="N"/>
    <n v="21333919"/>
    <s v="3000015266470011RC"/>
    <s v="CIVIL"/>
    <d v="2023-06-26T00:00:00"/>
    <d v="2023-07-05T19:42:28"/>
    <m/>
    <d v="2023-07-05T00:00:00"/>
    <n v="1340"/>
    <n v="18319"/>
    <s v="61069832"/>
    <s v="61069832"/>
    <m/>
    <m/>
    <m/>
    <m/>
    <m/>
    <m/>
    <s v="SOLRECOUP"/>
    <s v="SOLRECOUP"/>
    <s v="POARECOUP"/>
    <n v="21333919"/>
    <n v="-3368.93"/>
    <m/>
    <s v="Y"/>
    <n v="1"/>
    <d v="2023-07-05T19:42:29"/>
    <s v="N"/>
    <m/>
    <m/>
    <s v="Profit Cost"/>
    <m/>
    <s v="N"/>
    <n v="-2807.44"/>
    <n v="0"/>
    <x v="6"/>
    <s v="VALIDATED"/>
    <n v="1"/>
    <s v="01.11.80.308.2013.0000"/>
    <n v="-2807.44"/>
    <s v="11"/>
    <s v="2013"/>
    <n v="12428.1"/>
    <n v="-2807.44"/>
    <s v="CREDITOR"/>
    <n v="0"/>
    <n v="0"/>
    <n v="-2807.44"/>
    <n v="-701.86"/>
    <n v="0"/>
  </r>
  <r>
    <n v="61069832"/>
    <s v="N"/>
    <n v="21333919"/>
    <s v="3000015266470011RC"/>
    <s v="CIVIL"/>
    <d v="2023-06-26T00:00:00"/>
    <d v="2023-07-05T19:42:28"/>
    <m/>
    <d v="2023-07-05T00:00:00"/>
    <n v="1340"/>
    <n v="18319"/>
    <s v="61069832"/>
    <s v="61069832"/>
    <m/>
    <m/>
    <m/>
    <m/>
    <m/>
    <m/>
    <s v="SOLRECOUP"/>
    <s v="SOLRECOUP"/>
    <s v="POARECOUP"/>
    <n v="21333919"/>
    <n v="-3368.93"/>
    <m/>
    <s v="Y"/>
    <n v="2"/>
    <d v="2023-07-05T19:42:29"/>
    <s v="N"/>
    <m/>
    <m/>
    <s v="Profit Cost"/>
    <m/>
    <s v="N"/>
    <n v="0"/>
    <n v="-561.49"/>
    <x v="6"/>
    <s v="VALIDATED"/>
    <n v="1"/>
    <s v="01.11.80.308.2013.0000"/>
    <n v="-561.49"/>
    <s v="11"/>
    <s v="2013"/>
    <n v="12428.1"/>
    <n v="-561.49"/>
    <s v="CREDITOR"/>
    <n v="0"/>
    <n v="0"/>
    <n v="-561.49"/>
    <n v="-140.3725"/>
    <n v="0"/>
  </r>
  <r>
    <n v="61160840"/>
    <s v="N"/>
    <n v="21333920"/>
    <s v="3000015343680002RC"/>
    <s v="CIVIL"/>
    <d v="2023-06-26T00:00:00"/>
    <d v="2023-07-05T19:42:28"/>
    <m/>
    <d v="2023-07-05T00:00:00"/>
    <n v="1340"/>
    <n v="18319"/>
    <s v="61160840"/>
    <s v="61160840"/>
    <m/>
    <m/>
    <m/>
    <m/>
    <m/>
    <m/>
    <s v="SOLRECOUP"/>
    <s v="SOLRECOUP"/>
    <s v="POARECOUP"/>
    <n v="21333920"/>
    <n v="-905.77"/>
    <m/>
    <s v="Y"/>
    <n v="1"/>
    <d v="2023-07-05T19:42:29"/>
    <s v="N"/>
    <m/>
    <m/>
    <s v="Profit Cost"/>
    <m/>
    <s v="N"/>
    <n v="-754.8099999999999"/>
    <n v="0"/>
    <x v="6"/>
    <s v="VALIDATED"/>
    <n v="1"/>
    <s v="01.11.80.308.2013.0000"/>
    <n v="-754.8099999999999"/>
    <s v="11"/>
    <s v="2013"/>
    <n v="12428.1"/>
    <n v="-754.8099999999999"/>
    <s v="CREDITOR"/>
    <n v="0"/>
    <n v="0"/>
    <n v="-754.8099999999999"/>
    <n v="-188.7025"/>
    <n v="0"/>
  </r>
  <r>
    <n v="61160840"/>
    <s v="N"/>
    <n v="21333920"/>
    <s v="3000015343680002RC"/>
    <s v="CIVIL"/>
    <d v="2023-06-26T00:00:00"/>
    <d v="2023-07-05T19:42:28"/>
    <m/>
    <d v="2023-07-05T00:00:00"/>
    <n v="1340"/>
    <n v="18319"/>
    <s v="61160840"/>
    <s v="61160840"/>
    <m/>
    <m/>
    <m/>
    <m/>
    <m/>
    <m/>
    <s v="SOLRECOUP"/>
    <s v="SOLRECOUP"/>
    <s v="POARECOUP"/>
    <n v="21333920"/>
    <n v="-905.77"/>
    <m/>
    <s v="Y"/>
    <n v="2"/>
    <d v="2023-07-05T19:42:29"/>
    <s v="N"/>
    <m/>
    <m/>
    <s v="Profit Cost"/>
    <m/>
    <s v="N"/>
    <n v="0"/>
    <n v="-150.96"/>
    <x v="6"/>
    <s v="VALIDATED"/>
    <n v="1"/>
    <s v="01.11.80.308.2013.0000"/>
    <n v="-150.96"/>
    <s v="11"/>
    <s v="2013"/>
    <n v="12428.1"/>
    <n v="-150.96"/>
    <s v="CREDITOR"/>
    <n v="0"/>
    <n v="0"/>
    <n v="-150.96"/>
    <n v="-37.74"/>
    <n v="0"/>
  </r>
  <r>
    <n v="61069832"/>
    <s v="N"/>
    <n v="21333921"/>
    <s v="3000015266470005RC"/>
    <s v="CIVIL"/>
    <d v="2023-06-26T00:00:00"/>
    <d v="2023-07-05T19:42:28"/>
    <m/>
    <d v="2023-07-05T00:00:00"/>
    <n v="1340"/>
    <n v="18319"/>
    <s v="61069832"/>
    <s v="61069832"/>
    <m/>
    <m/>
    <m/>
    <m/>
    <m/>
    <m/>
    <s v="SOLRECOUP"/>
    <s v="SOLRECOUP"/>
    <s v="POARECOUP"/>
    <n v="21333921"/>
    <n v="-312"/>
    <m/>
    <s v="Y"/>
    <n v="1"/>
    <d v="2023-07-05T19:42:29"/>
    <s v="N"/>
    <m/>
    <m/>
    <s v="Expert Disbursement"/>
    <m/>
    <s v="N"/>
    <n v="-312"/>
    <n v="0"/>
    <x v="6"/>
    <s v="VALIDATED"/>
    <n v="1"/>
    <s v="01.11.80.308.2013.0000"/>
    <n v="-312"/>
    <s v="11"/>
    <s v="2013"/>
    <n v="12428.1"/>
    <n v="-312"/>
    <s v="CREDITOR"/>
    <n v="0"/>
    <n v="0"/>
    <n v="-312"/>
    <n v="0"/>
    <n v="0"/>
  </r>
  <r>
    <n v="61069832"/>
    <s v="N"/>
    <n v="21333921"/>
    <s v="3000015266470005RC"/>
    <s v="CIVIL"/>
    <d v="2023-06-26T00:00:00"/>
    <d v="2023-07-05T19:42:28"/>
    <m/>
    <d v="2023-07-05T00:00:00"/>
    <n v="1340"/>
    <n v="18319"/>
    <s v="61069832"/>
    <s v="61069832"/>
    <m/>
    <m/>
    <m/>
    <m/>
    <m/>
    <m/>
    <s v="SOLRECOUP"/>
    <s v="SOLRECOUP"/>
    <s v="POARECOUP"/>
    <n v="21333921"/>
    <n v="-312"/>
    <m/>
    <s v="Y"/>
    <n v="2"/>
    <d v="2023-07-05T19:42:29"/>
    <s v="N"/>
    <m/>
    <m/>
    <s v="Expert Disbursement"/>
    <m/>
    <s v="N"/>
    <n v="0"/>
    <n v="0"/>
    <x v="6"/>
    <s v="VALIDATED"/>
    <n v="1"/>
    <s v="01.11.80.000.0000.0000"/>
    <n v="0"/>
    <s v="11"/>
    <s v="0000"/>
    <n v="12428.1"/>
    <n v="0"/>
    <s v="CREDITOR"/>
    <n v="0"/>
    <n v="0"/>
    <n v="0"/>
    <n v="0"/>
    <n v="0"/>
  </r>
  <r>
    <n v="61069832"/>
    <s v="N"/>
    <n v="21333922"/>
    <s v="3000015266470007RC"/>
    <s v="CIVIL"/>
    <d v="2023-06-26T00:00:00"/>
    <d v="2023-07-05T19:42:28"/>
    <m/>
    <d v="2023-07-05T00:00:00"/>
    <n v="1340"/>
    <n v="18319"/>
    <s v="61069832"/>
    <s v="61069832"/>
    <m/>
    <m/>
    <m/>
    <m/>
    <m/>
    <m/>
    <s v="SOLRECOUP"/>
    <s v="SOLRECOUP"/>
    <s v="POARECOUP"/>
    <n v="21333922"/>
    <n v="-201.26"/>
    <m/>
    <s v="Y"/>
    <n v="1"/>
    <d v="2023-07-05T19:42:29"/>
    <s v="N"/>
    <m/>
    <m/>
    <s v="Expert Disbursement"/>
    <m/>
    <s v="N"/>
    <n v="-201.26"/>
    <n v="0"/>
    <x v="6"/>
    <s v="VALIDATED"/>
    <n v="1"/>
    <s v="01.11.80.308.2013.0000"/>
    <n v="-201.26"/>
    <s v="11"/>
    <s v="2013"/>
    <n v="12428.1"/>
    <n v="-201.26"/>
    <s v="CREDITOR"/>
    <n v="0"/>
    <n v="0"/>
    <n v="-201.26"/>
    <n v="0"/>
    <n v="0"/>
  </r>
  <r>
    <n v="61069832"/>
    <s v="N"/>
    <n v="21333922"/>
    <s v="3000015266470007RC"/>
    <s v="CIVIL"/>
    <d v="2023-06-26T00:00:00"/>
    <d v="2023-07-05T19:42:28"/>
    <m/>
    <d v="2023-07-05T00:00:00"/>
    <n v="1340"/>
    <n v="18319"/>
    <s v="61069832"/>
    <s v="61069832"/>
    <m/>
    <m/>
    <m/>
    <m/>
    <m/>
    <m/>
    <s v="SOLRECOUP"/>
    <s v="SOLRECOUP"/>
    <s v="POARECOUP"/>
    <n v="21333922"/>
    <n v="-201.26"/>
    <m/>
    <s v="Y"/>
    <n v="2"/>
    <d v="2023-07-05T19:42:29"/>
    <s v="N"/>
    <m/>
    <m/>
    <s v="Expert Disbursement"/>
    <m/>
    <s v="N"/>
    <n v="0"/>
    <n v="0"/>
    <x v="6"/>
    <s v="VALIDATED"/>
    <n v="1"/>
    <s v="01.11.80.000.0000.0000"/>
    <n v="0"/>
    <s v="11"/>
    <s v="0000"/>
    <n v="12428.1"/>
    <n v="0"/>
    <s v="CREDITOR"/>
    <n v="0"/>
    <n v="0"/>
    <n v="0"/>
    <n v="0"/>
    <n v="0"/>
  </r>
  <r>
    <n v="61069832"/>
    <s v="N"/>
    <n v="21333923"/>
    <s v="3000015266470004RC"/>
    <s v="CIVIL"/>
    <d v="2023-06-26T00:00:00"/>
    <d v="2023-07-05T19:42:28"/>
    <m/>
    <d v="2023-07-05T00:00:00"/>
    <n v="1340"/>
    <n v="18319"/>
    <s v="61069832"/>
    <s v="61069832"/>
    <m/>
    <m/>
    <m/>
    <m/>
    <m/>
    <m/>
    <s v="SOLRECOUP"/>
    <s v="SOLRECOUP"/>
    <s v="POARECOUP"/>
    <n v="21333923"/>
    <n v="-232.5"/>
    <m/>
    <s v="Y"/>
    <n v="1"/>
    <d v="2023-07-05T19:42:29"/>
    <s v="N"/>
    <m/>
    <m/>
    <s v="Expert Disbursement"/>
    <m/>
    <s v="N"/>
    <n v="-232.5"/>
    <n v="0"/>
    <x v="6"/>
    <s v="VALIDATED"/>
    <n v="1"/>
    <s v="01.11.80.308.2013.0000"/>
    <n v="-232.5"/>
    <s v="11"/>
    <s v="2013"/>
    <n v="12428.1"/>
    <n v="-232.5"/>
    <s v="CREDITOR"/>
    <n v="0"/>
    <n v="0"/>
    <n v="-232.5"/>
    <n v="0"/>
    <n v="0"/>
  </r>
  <r>
    <n v="61069832"/>
    <s v="N"/>
    <n v="21333923"/>
    <s v="3000015266470004RC"/>
    <s v="CIVIL"/>
    <d v="2023-06-26T00:00:00"/>
    <d v="2023-07-05T19:42:28"/>
    <m/>
    <d v="2023-07-05T00:00:00"/>
    <n v="1340"/>
    <n v="18319"/>
    <s v="61069832"/>
    <s v="61069832"/>
    <m/>
    <m/>
    <m/>
    <m/>
    <m/>
    <m/>
    <s v="SOLRECOUP"/>
    <s v="SOLRECOUP"/>
    <s v="POARECOUP"/>
    <n v="21333923"/>
    <n v="-232.5"/>
    <m/>
    <s v="Y"/>
    <n v="2"/>
    <d v="2023-07-05T19:42:29"/>
    <s v="N"/>
    <m/>
    <m/>
    <s v="Expert Disbursement"/>
    <m/>
    <s v="N"/>
    <n v="0"/>
    <n v="0"/>
    <x v="6"/>
    <s v="VALIDATED"/>
    <n v="1"/>
    <s v="01.11.80.000.0000.0000"/>
    <n v="0"/>
    <s v="11"/>
    <s v="0000"/>
    <n v="12428.1"/>
    <n v="0"/>
    <s v="CREDITOR"/>
    <n v="0"/>
    <n v="0"/>
    <n v="0"/>
    <n v="0"/>
    <n v="0"/>
  </r>
  <r>
    <n v="61069832"/>
    <s v="N"/>
    <n v="21333924"/>
    <s v="3000015266470003RC"/>
    <s v="CIVIL"/>
    <d v="2023-06-26T00:00:00"/>
    <d v="2023-07-05T19:42:28"/>
    <m/>
    <d v="2023-07-05T00:00:00"/>
    <n v="1340"/>
    <n v="18319"/>
    <s v="61069832"/>
    <s v="61069832"/>
    <m/>
    <m/>
    <m/>
    <m/>
    <m/>
    <m/>
    <s v="SOLRECOUP"/>
    <s v="SOLRECOUP"/>
    <s v="POARECOUP"/>
    <n v="21333924"/>
    <n v="-232.5"/>
    <m/>
    <s v="Y"/>
    <n v="2"/>
    <d v="2023-07-05T19:42:29"/>
    <s v="N"/>
    <m/>
    <m/>
    <s v="Expert Disbursement"/>
    <m/>
    <s v="N"/>
    <n v="0"/>
    <n v="0"/>
    <x v="6"/>
    <s v="VALIDATED"/>
    <n v="1"/>
    <s v="01.11.80.000.0000.0000"/>
    <n v="0"/>
    <s v="11"/>
    <s v="0000"/>
    <n v="12428.1"/>
    <n v="0"/>
    <s v="CREDITOR"/>
    <n v="0"/>
    <n v="0"/>
    <n v="0"/>
    <n v="0"/>
    <n v="0"/>
  </r>
  <r>
    <n v="61069832"/>
    <s v="N"/>
    <n v="21333924"/>
    <s v="3000015266470003RC"/>
    <s v="CIVIL"/>
    <d v="2023-06-26T00:00:00"/>
    <d v="2023-07-05T19:42:28"/>
    <m/>
    <d v="2023-07-05T00:00:00"/>
    <n v="1340"/>
    <n v="18319"/>
    <s v="61069832"/>
    <s v="61069832"/>
    <m/>
    <m/>
    <m/>
    <m/>
    <m/>
    <m/>
    <s v="SOLRECOUP"/>
    <s v="SOLRECOUP"/>
    <s v="POARECOUP"/>
    <n v="21333924"/>
    <n v="-232.5"/>
    <m/>
    <s v="Y"/>
    <n v="1"/>
    <d v="2023-07-05T19:42:29"/>
    <s v="N"/>
    <m/>
    <m/>
    <s v="Expert Disbursement"/>
    <m/>
    <s v="N"/>
    <n v="-232.5"/>
    <n v="0"/>
    <x v="6"/>
    <s v="VALIDATED"/>
    <n v="1"/>
    <s v="01.11.80.308.2013.0000"/>
    <n v="-232.5"/>
    <s v="11"/>
    <s v="2013"/>
    <n v="12428.1"/>
    <n v="-232.5"/>
    <s v="CREDITOR"/>
    <n v="0"/>
    <n v="0"/>
    <n v="-232.5"/>
    <n v="0"/>
    <n v="0"/>
  </r>
  <r>
    <n v="61282141"/>
    <s v="N"/>
    <n v="21333925"/>
    <s v="3000015444600002RC"/>
    <s v="CIVIL"/>
    <d v="2023-06-26T00:00:00"/>
    <d v="2023-07-05T19:42:28"/>
    <m/>
    <d v="2023-07-05T00:00:00"/>
    <n v="1340"/>
    <n v="18319"/>
    <s v="61282141"/>
    <s v="61282141"/>
    <m/>
    <m/>
    <m/>
    <m/>
    <m/>
    <m/>
    <s v="SOLRECOUP"/>
    <s v="SOLRECOUP"/>
    <s v="POARECOUP"/>
    <n v="21333925"/>
    <n v="-337.8"/>
    <m/>
    <s v="Y"/>
    <n v="2"/>
    <d v="2023-07-05T19:42:29"/>
    <s v="N"/>
    <m/>
    <m/>
    <s v="Expert Disbursement"/>
    <m/>
    <s v="N"/>
    <n v="0"/>
    <n v="0"/>
    <x v="6"/>
    <s v="VALIDATED"/>
    <n v="1"/>
    <s v="01.11.80.000.0000.0000"/>
    <n v="0"/>
    <s v="11"/>
    <s v="0000"/>
    <n v="12428.1"/>
    <n v="0"/>
    <s v="CREDITOR"/>
    <n v="0"/>
    <n v="0"/>
    <n v="0"/>
    <n v="0"/>
    <n v="0"/>
  </r>
  <r>
    <n v="61282141"/>
    <s v="N"/>
    <n v="21333925"/>
    <s v="3000015444600002RC"/>
    <s v="CIVIL"/>
    <d v="2023-06-26T00:00:00"/>
    <d v="2023-07-05T19:42:28"/>
    <m/>
    <d v="2023-07-05T00:00:00"/>
    <n v="1340"/>
    <n v="18319"/>
    <s v="61282141"/>
    <s v="61282141"/>
    <m/>
    <m/>
    <m/>
    <m/>
    <m/>
    <m/>
    <s v="SOLRECOUP"/>
    <s v="SOLRECOUP"/>
    <s v="POARECOUP"/>
    <n v="21333925"/>
    <n v="-337.8"/>
    <m/>
    <s v="Y"/>
    <n v="1"/>
    <d v="2023-07-05T19:42:29"/>
    <s v="N"/>
    <m/>
    <m/>
    <s v="Expert Disbursement"/>
    <m/>
    <s v="N"/>
    <n v="-337.8"/>
    <n v="0"/>
    <x v="6"/>
    <s v="VALIDATED"/>
    <n v="1"/>
    <s v="01.11.80.308.2013.0000"/>
    <n v="-337.8"/>
    <s v="11"/>
    <s v="2013"/>
    <n v="12428.1"/>
    <n v="-337.8"/>
    <s v="CREDITOR"/>
    <n v="0"/>
    <n v="0"/>
    <n v="-337.8"/>
    <n v="0"/>
    <n v="0"/>
  </r>
  <r>
    <n v="61069832"/>
    <s v="N"/>
    <n v="21333926"/>
    <s v="3000015266470014RC"/>
    <s v="CIVIL"/>
    <d v="2023-06-26T00:00:00"/>
    <d v="2023-07-05T19:42:28"/>
    <m/>
    <d v="2023-07-05T00:00:00"/>
    <n v="1340"/>
    <n v="18319"/>
    <s v="61069832"/>
    <s v="61069832"/>
    <m/>
    <m/>
    <m/>
    <m/>
    <m/>
    <m/>
    <s v="SOLRECOUP"/>
    <s v="SOLRECOUP"/>
    <s v="POARECOUP"/>
    <n v="21333926"/>
    <n v="-224"/>
    <m/>
    <s v="Y"/>
    <n v="2"/>
    <d v="2023-07-05T19:42:29"/>
    <s v="N"/>
    <m/>
    <m/>
    <s v="Expert Disbursement"/>
    <m/>
    <s v="N"/>
    <n v="0"/>
    <n v="0"/>
    <x v="6"/>
    <s v="VALIDATED"/>
    <n v="1"/>
    <s v="01.11.80.000.0000.0000"/>
    <n v="0"/>
    <s v="11"/>
    <s v="0000"/>
    <n v="12428.1"/>
    <n v="0"/>
    <s v="CREDITOR"/>
    <n v="0"/>
    <n v="0"/>
    <n v="0"/>
    <n v="0"/>
    <n v="0"/>
  </r>
  <r>
    <n v="61069832"/>
    <s v="N"/>
    <n v="21333926"/>
    <s v="3000015266470014RC"/>
    <s v="CIVIL"/>
    <d v="2023-06-26T00:00:00"/>
    <d v="2023-07-05T19:42:28"/>
    <m/>
    <d v="2023-07-05T00:00:00"/>
    <n v="1340"/>
    <n v="18319"/>
    <s v="61069832"/>
    <s v="61069832"/>
    <m/>
    <m/>
    <m/>
    <m/>
    <m/>
    <m/>
    <s v="SOLRECOUP"/>
    <s v="SOLRECOUP"/>
    <s v="POARECOUP"/>
    <n v="21333926"/>
    <n v="-224"/>
    <m/>
    <s v="Y"/>
    <n v="1"/>
    <d v="2023-07-05T19:42:29"/>
    <s v="N"/>
    <m/>
    <m/>
    <s v="Expert Disbursement"/>
    <m/>
    <s v="N"/>
    <n v="-224"/>
    <n v="0"/>
    <x v="6"/>
    <s v="VALIDATED"/>
    <n v="1"/>
    <s v="01.11.80.308.2013.0000"/>
    <n v="-224"/>
    <s v="11"/>
    <s v="2013"/>
    <n v="12428.1"/>
    <n v="-224"/>
    <s v="CREDITOR"/>
    <n v="0"/>
    <n v="0"/>
    <n v="-224"/>
    <n v="0"/>
    <n v="0"/>
  </r>
  <r>
    <n v="61069832"/>
    <s v="N"/>
    <n v="21333927"/>
    <s v="3000015266470013RC"/>
    <s v="CIVIL"/>
    <d v="2023-06-26T00:00:00"/>
    <d v="2023-07-05T19:42:28"/>
    <m/>
    <d v="2023-07-05T00:00:00"/>
    <n v="1340"/>
    <n v="18319"/>
    <s v="61069832"/>
    <s v="61069832"/>
    <m/>
    <m/>
    <m/>
    <m/>
    <m/>
    <m/>
    <s v="SOLRECOUP"/>
    <s v="SOLRECOUP"/>
    <s v="POARECOUP"/>
    <n v="21333927"/>
    <n v="-210.86"/>
    <m/>
    <s v="Y"/>
    <n v="2"/>
    <d v="2023-07-05T19:42:29"/>
    <s v="N"/>
    <m/>
    <m/>
    <s v="Expert Disbursement"/>
    <m/>
    <s v="N"/>
    <n v="0"/>
    <n v="0"/>
    <x v="6"/>
    <s v="VALIDATED"/>
    <n v="1"/>
    <s v="01.11.80.000.0000.0000"/>
    <n v="0"/>
    <s v="11"/>
    <s v="0000"/>
    <n v="12428.1"/>
    <n v="0"/>
    <s v="CREDITOR"/>
    <n v="0"/>
    <n v="0"/>
    <n v="0"/>
    <n v="0"/>
    <n v="0"/>
  </r>
  <r>
    <n v="61069832"/>
    <s v="N"/>
    <n v="21333927"/>
    <s v="3000015266470013RC"/>
    <s v="CIVIL"/>
    <d v="2023-06-26T00:00:00"/>
    <d v="2023-07-05T19:42:28"/>
    <m/>
    <d v="2023-07-05T00:00:00"/>
    <n v="1340"/>
    <n v="18319"/>
    <s v="61069832"/>
    <s v="61069832"/>
    <m/>
    <m/>
    <m/>
    <m/>
    <m/>
    <m/>
    <s v="SOLRECOUP"/>
    <s v="SOLRECOUP"/>
    <s v="POARECOUP"/>
    <n v="21333927"/>
    <n v="-210.86"/>
    <m/>
    <s v="Y"/>
    <n v="1"/>
    <d v="2023-07-05T19:42:29"/>
    <s v="N"/>
    <m/>
    <m/>
    <s v="Expert Disbursement"/>
    <m/>
    <s v="N"/>
    <n v="-210.86"/>
    <n v="0"/>
    <x v="6"/>
    <s v="VALIDATED"/>
    <n v="1"/>
    <s v="01.11.80.308.2013.0000"/>
    <n v="-210.86"/>
    <s v="11"/>
    <s v="2013"/>
    <n v="12428.1"/>
    <n v="-210.86"/>
    <s v="CREDITOR"/>
    <n v="0"/>
    <n v="0"/>
    <n v="-210.86"/>
    <n v="0"/>
    <n v="0"/>
  </r>
  <r>
    <n v="61069832"/>
    <s v="N"/>
    <n v="21333928"/>
    <s v="3000015266470017RC"/>
    <s v="CIVIL"/>
    <d v="2023-06-26T00:00:00"/>
    <d v="2023-07-05T19:42:28"/>
    <m/>
    <d v="2023-07-05T00:00:00"/>
    <n v="1340"/>
    <n v="18319"/>
    <s v="61069832"/>
    <s v="61069832"/>
    <m/>
    <m/>
    <m/>
    <m/>
    <m/>
    <m/>
    <s v="SOLRECOUP"/>
    <s v="SOLRECOUP"/>
    <s v="POARECOUP"/>
    <n v="21333928"/>
    <n v="-347.88"/>
    <m/>
    <s v="Y"/>
    <n v="1"/>
    <d v="2023-07-05T19:42:29"/>
    <s v="N"/>
    <m/>
    <m/>
    <s v="Expert Disbursement"/>
    <m/>
    <s v="N"/>
    <n v="-289.9"/>
    <n v="0"/>
    <x v="6"/>
    <s v="VALIDATED"/>
    <n v="1"/>
    <s v="01.11.80.308.2013.0000"/>
    <n v="-289.9"/>
    <s v="11"/>
    <s v="2013"/>
    <n v="12428.1"/>
    <n v="-289.9"/>
    <s v="CREDITOR"/>
    <n v="0"/>
    <n v="0"/>
    <n v="-289.9"/>
    <n v="0"/>
    <n v="0"/>
  </r>
  <r>
    <n v="61069832"/>
    <s v="N"/>
    <n v="21333928"/>
    <s v="3000015266470017RC"/>
    <s v="CIVIL"/>
    <d v="2023-06-26T00:00:00"/>
    <d v="2023-07-05T19:42:28"/>
    <m/>
    <d v="2023-07-05T00:00:00"/>
    <n v="1340"/>
    <n v="18319"/>
    <s v="61069832"/>
    <s v="61069832"/>
    <m/>
    <m/>
    <m/>
    <m/>
    <m/>
    <m/>
    <s v="SOLRECOUP"/>
    <s v="SOLRECOUP"/>
    <s v="POARECOUP"/>
    <n v="21333928"/>
    <n v="-347.88"/>
    <m/>
    <s v="Y"/>
    <n v="2"/>
    <d v="2023-07-05T19:42:29"/>
    <s v="N"/>
    <m/>
    <m/>
    <s v="Expert Disbursement"/>
    <m/>
    <s v="N"/>
    <n v="0"/>
    <n v="-57.98"/>
    <x v="6"/>
    <s v="VALIDATED"/>
    <n v="1"/>
    <s v="01.11.80.308.2013.0000"/>
    <n v="-57.98"/>
    <s v="11"/>
    <s v="2013"/>
    <n v="12428.1"/>
    <n v="-57.98"/>
    <s v="CREDITOR"/>
    <n v="0"/>
    <n v="0"/>
    <n v="-57.98"/>
    <n v="0"/>
    <n v="0"/>
  </r>
  <r>
    <n v="61069832"/>
    <s v="N"/>
    <n v="21333929"/>
    <s v="3000015266470016RC"/>
    <s v="CIVIL"/>
    <d v="2023-06-26T00:00:00"/>
    <d v="2023-07-05T19:42:28"/>
    <m/>
    <d v="2023-07-05T00:00:00"/>
    <n v="1340"/>
    <n v="18319"/>
    <s v="61069832"/>
    <s v="61069832"/>
    <m/>
    <m/>
    <m/>
    <m/>
    <m/>
    <m/>
    <s v="SOLRECOUP"/>
    <s v="SOLRECOUP"/>
    <s v="POARECOUP"/>
    <n v="21333929"/>
    <n v="-568.52"/>
    <m/>
    <s v="Y"/>
    <n v="1"/>
    <d v="2023-07-05T19:42:29"/>
    <s v="N"/>
    <m/>
    <m/>
    <s v="Expert Disbursement"/>
    <m/>
    <s v="N"/>
    <n v="-473.77"/>
    <n v="0"/>
    <x v="6"/>
    <s v="VALIDATED"/>
    <n v="1"/>
    <s v="01.11.80.308.2013.0000"/>
    <n v="-473.77"/>
    <s v="11"/>
    <s v="2013"/>
    <n v="12428.1"/>
    <n v="-473.77"/>
    <s v="CREDITOR"/>
    <n v="0"/>
    <n v="0"/>
    <n v="-473.77"/>
    <n v="0"/>
    <n v="0"/>
  </r>
  <r>
    <n v="61069832"/>
    <s v="N"/>
    <n v="21333929"/>
    <s v="3000015266470016RC"/>
    <s v="CIVIL"/>
    <d v="2023-06-26T00:00:00"/>
    <d v="2023-07-05T19:42:28"/>
    <m/>
    <d v="2023-07-05T00:00:00"/>
    <n v="1340"/>
    <n v="18319"/>
    <s v="61069832"/>
    <s v="61069832"/>
    <m/>
    <m/>
    <m/>
    <m/>
    <m/>
    <m/>
    <s v="SOLRECOUP"/>
    <s v="SOLRECOUP"/>
    <s v="POARECOUP"/>
    <n v="21333929"/>
    <n v="-568.52"/>
    <m/>
    <s v="Y"/>
    <n v="2"/>
    <d v="2023-07-05T19:42:29"/>
    <s v="N"/>
    <m/>
    <m/>
    <s v="Expert Disbursement"/>
    <m/>
    <s v="N"/>
    <n v="0"/>
    <n v="-94.75"/>
    <x v="6"/>
    <s v="VALIDATED"/>
    <n v="1"/>
    <s v="01.11.80.308.2013.0000"/>
    <n v="-94.75"/>
    <s v="11"/>
    <s v="2013"/>
    <n v="12428.1"/>
    <n v="-94.75"/>
    <s v="CREDITOR"/>
    <n v="0"/>
    <n v="0"/>
    <n v="-94.75"/>
    <n v="0"/>
    <n v="0"/>
  </r>
  <r>
    <n v="61069832"/>
    <s v="N"/>
    <n v="21333909"/>
    <s v="3000015266470002RC"/>
    <s v="CIVIL"/>
    <d v="2023-06-26T00:00:00"/>
    <d v="2023-07-05T19:42:28"/>
    <m/>
    <d v="2023-07-05T00:00:00"/>
    <n v="1340"/>
    <n v="18319"/>
    <s v="61069832"/>
    <s v="61069832"/>
    <m/>
    <m/>
    <m/>
    <m/>
    <m/>
    <m/>
    <s v="SOLRECOUP"/>
    <s v="SOLRECOUP"/>
    <s v="POARECOUP"/>
    <n v="21333909"/>
    <n v="-126"/>
    <m/>
    <s v="Y"/>
    <n v="1"/>
    <d v="2023-07-05T19:42:29"/>
    <s v="N"/>
    <m/>
    <m/>
    <s v="Expert Disbursement"/>
    <m/>
    <s v="N"/>
    <n v="-105"/>
    <n v="0"/>
    <x v="6"/>
    <s v="VALIDATED"/>
    <n v="1"/>
    <s v="01.11.80.308.2013.0000"/>
    <n v="-105"/>
    <s v="11"/>
    <s v="2013"/>
    <n v="12428.1"/>
    <n v="-105"/>
    <s v="CREDITOR"/>
    <n v="0"/>
    <n v="0"/>
    <n v="-105"/>
    <n v="0"/>
    <n v="0"/>
  </r>
  <r>
    <n v="61282141"/>
    <s v="N"/>
    <n v="21333910"/>
    <s v="3000015444600003RC"/>
    <s v="CIVIL"/>
    <d v="2023-06-26T00:00:00"/>
    <d v="2023-07-05T19:42:28"/>
    <m/>
    <d v="2023-07-05T00:00:00"/>
    <n v="1340"/>
    <n v="18319"/>
    <s v="61282141"/>
    <s v="61282141"/>
    <m/>
    <m/>
    <m/>
    <m/>
    <m/>
    <m/>
    <s v="SOLRECOUP"/>
    <s v="SOLRECOUP"/>
    <s v="POARECOUP"/>
    <n v="21333910"/>
    <n v="-1939.5"/>
    <m/>
    <s v="Y"/>
    <n v="2"/>
    <d v="2023-07-05T19:42:29"/>
    <s v="N"/>
    <m/>
    <m/>
    <s v="Profit Cost"/>
    <m/>
    <s v="N"/>
    <n v="0"/>
    <n v="-323.25"/>
    <x v="6"/>
    <s v="VALIDATED"/>
    <n v="1"/>
    <s v="01.11.80.308.2013.0000"/>
    <n v="-323.25"/>
    <s v="11"/>
    <s v="2013"/>
    <n v="12428.1"/>
    <n v="-323.25"/>
    <s v="CREDITOR"/>
    <n v="0"/>
    <n v="0"/>
    <n v="-323.25"/>
    <n v="-80.8125"/>
    <n v="0"/>
  </r>
  <r>
    <n v="61282141"/>
    <s v="N"/>
    <n v="21333910"/>
    <s v="3000015444600003RC"/>
    <s v="CIVIL"/>
    <d v="2023-06-26T00:00:00"/>
    <d v="2023-07-05T19:42:28"/>
    <m/>
    <d v="2023-07-05T00:00:00"/>
    <n v="1340"/>
    <n v="18319"/>
    <s v="61282141"/>
    <s v="61282141"/>
    <m/>
    <m/>
    <m/>
    <m/>
    <m/>
    <m/>
    <s v="SOLRECOUP"/>
    <s v="SOLRECOUP"/>
    <s v="POARECOUP"/>
    <n v="21333910"/>
    <n v="-1939.5"/>
    <m/>
    <s v="Y"/>
    <n v="1"/>
    <d v="2023-07-05T19:42:29"/>
    <s v="N"/>
    <m/>
    <m/>
    <s v="Profit Cost"/>
    <m/>
    <s v="N"/>
    <n v="-1616.25"/>
    <n v="0"/>
    <x v="6"/>
    <s v="VALIDATED"/>
    <n v="1"/>
    <s v="01.11.80.308.2013.0000"/>
    <n v="-1616.25"/>
    <s v="11"/>
    <s v="2013"/>
    <n v="12428.1"/>
    <n v="-1616.25"/>
    <s v="CREDITOR"/>
    <n v="0"/>
    <n v="0"/>
    <n v="-1616.25"/>
    <n v="-404.0625"/>
    <n v="0"/>
  </r>
  <r>
    <n v="61069832"/>
    <s v="N"/>
    <n v="21333911"/>
    <s v="3000015266470001RC"/>
    <s v="CIVIL"/>
    <d v="2023-06-26T00:00:00"/>
    <d v="2023-07-05T19:42:28"/>
    <m/>
    <d v="2023-07-05T00:00:00"/>
    <n v="1340"/>
    <n v="18319"/>
    <s v="61069832"/>
    <s v="61069832"/>
    <m/>
    <m/>
    <m/>
    <m/>
    <m/>
    <m/>
    <s v="SOLRECOUP"/>
    <s v="SOLRECOUP"/>
    <s v="POARECOUP"/>
    <n v="21333911"/>
    <n v="-111.7"/>
    <m/>
    <s v="Y"/>
    <n v="2"/>
    <d v="2023-07-05T19:42:29"/>
    <s v="N"/>
    <m/>
    <m/>
    <s v="Expert Disbursement"/>
    <m/>
    <s v="N"/>
    <n v="0"/>
    <n v="-18.62"/>
    <x v="6"/>
    <s v="VALIDATED"/>
    <n v="1"/>
    <s v="01.11.80.308.2013.0000"/>
    <n v="-18.62"/>
    <s v="11"/>
    <s v="2013"/>
    <n v="12428.1"/>
    <n v="-18.62"/>
    <s v="CREDITOR"/>
    <n v="0"/>
    <n v="0"/>
    <n v="-18.62"/>
    <n v="0"/>
    <n v="0"/>
  </r>
  <r>
    <n v="61069832"/>
    <s v="N"/>
    <n v="21333911"/>
    <s v="3000015266470001RC"/>
    <s v="CIVIL"/>
    <d v="2023-06-26T00:00:00"/>
    <d v="2023-07-05T19:42:28"/>
    <m/>
    <d v="2023-07-05T00:00:00"/>
    <n v="1340"/>
    <n v="18319"/>
    <s v="61069832"/>
    <s v="61069832"/>
    <m/>
    <m/>
    <m/>
    <m/>
    <m/>
    <m/>
    <s v="SOLRECOUP"/>
    <s v="SOLRECOUP"/>
    <s v="POARECOUP"/>
    <n v="21333911"/>
    <n v="-111.7"/>
    <m/>
    <s v="Y"/>
    <n v="1"/>
    <d v="2023-07-05T19:42:29"/>
    <s v="N"/>
    <m/>
    <m/>
    <s v="Expert Disbursement"/>
    <m/>
    <s v="N"/>
    <n v="-93.08"/>
    <n v="0"/>
    <x v="6"/>
    <s v="VALIDATED"/>
    <n v="1"/>
    <s v="01.11.80.308.2013.0000"/>
    <n v="-93.08"/>
    <s v="11"/>
    <s v="2013"/>
    <n v="12428.1"/>
    <n v="-93.08"/>
    <s v="CREDITOR"/>
    <n v="0"/>
    <n v="0"/>
    <n v="-93.08"/>
    <n v="0"/>
    <n v="0"/>
  </r>
  <r>
    <n v="61069832"/>
    <s v="N"/>
    <n v="21333912"/>
    <s v="3000015266470015RC"/>
    <s v="CIVIL"/>
    <d v="2023-06-26T00:00:00"/>
    <d v="2023-07-05T19:42:28"/>
    <m/>
    <d v="2023-07-05T00:00:00"/>
    <n v="1340"/>
    <n v="18319"/>
    <s v="61069832"/>
    <s v="61069832"/>
    <m/>
    <m/>
    <m/>
    <m/>
    <m/>
    <m/>
    <s v="SOLRECOUP"/>
    <s v="SOLRECOUP"/>
    <s v="POARECOUP"/>
    <n v="21333912"/>
    <n v="-213.13"/>
    <m/>
    <s v="Y"/>
    <n v="2"/>
    <d v="2023-07-05T19:42:29"/>
    <s v="N"/>
    <m/>
    <m/>
    <s v="Expert Disbursement"/>
    <m/>
    <s v="N"/>
    <n v="0"/>
    <n v="0"/>
    <x v="6"/>
    <s v="VALIDATED"/>
    <n v="1"/>
    <s v="01.11.80.000.0000.0000"/>
    <n v="0"/>
    <s v="11"/>
    <s v="0000"/>
    <n v="12428.1"/>
    <n v="0"/>
    <s v="CREDITOR"/>
    <n v="0"/>
    <n v="0"/>
    <n v="0"/>
    <n v="0"/>
    <n v="0"/>
  </r>
  <r>
    <n v="61069832"/>
    <s v="N"/>
    <n v="21333912"/>
    <s v="3000015266470015RC"/>
    <s v="CIVIL"/>
    <d v="2023-06-26T00:00:00"/>
    <d v="2023-07-05T19:42:28"/>
    <m/>
    <d v="2023-07-05T00:00:00"/>
    <n v="1340"/>
    <n v="18319"/>
    <s v="61069832"/>
    <s v="61069832"/>
    <m/>
    <m/>
    <m/>
    <m/>
    <m/>
    <m/>
    <s v="SOLRECOUP"/>
    <s v="SOLRECOUP"/>
    <s v="POARECOUP"/>
    <n v="21333912"/>
    <n v="-213.13"/>
    <m/>
    <s v="Y"/>
    <n v="1"/>
    <d v="2023-07-05T19:42:29"/>
    <s v="N"/>
    <m/>
    <m/>
    <s v="Expert Disbursement"/>
    <m/>
    <s v="N"/>
    <n v="-213.13"/>
    <n v="0"/>
    <x v="6"/>
    <s v="VALIDATED"/>
    <n v="1"/>
    <s v="01.11.80.308.2013.0000"/>
    <n v="-213.13"/>
    <s v="11"/>
    <s v="2013"/>
    <n v="12428.1"/>
    <n v="-213.13"/>
    <s v="CREDITOR"/>
    <n v="0"/>
    <n v="0"/>
    <n v="-213.13"/>
    <n v="0"/>
    <n v="0"/>
  </r>
  <r>
    <n v="61069832"/>
    <s v="N"/>
    <n v="21333913"/>
    <s v="3000015266470006RC"/>
    <s v="CIVIL"/>
    <d v="2023-06-26T00:00:00"/>
    <d v="2023-07-05T19:42:28"/>
    <m/>
    <d v="2023-07-05T00:00:00"/>
    <n v="1340"/>
    <n v="18319"/>
    <s v="61069832"/>
    <s v="61069832"/>
    <m/>
    <m/>
    <m/>
    <m/>
    <m/>
    <m/>
    <s v="SOLRECOUP"/>
    <s v="SOLRECOUP"/>
    <s v="POARECOUP"/>
    <n v="21333913"/>
    <n v="-374.4"/>
    <m/>
    <s v="Y"/>
    <n v="2"/>
    <d v="2023-07-05T19:42:29"/>
    <s v="N"/>
    <m/>
    <m/>
    <s v="Expert Disbursement"/>
    <m/>
    <s v="N"/>
    <n v="0"/>
    <n v="0"/>
    <x v="6"/>
    <s v="VALIDATED"/>
    <n v="1"/>
    <s v="01.11.80.000.0000.0000"/>
    <n v="0"/>
    <s v="11"/>
    <s v="0000"/>
    <n v="12428.1"/>
    <n v="0"/>
    <s v="CREDITOR"/>
    <n v="0"/>
    <n v="0"/>
    <n v="0"/>
    <n v="0"/>
    <n v="0"/>
  </r>
  <r>
    <n v="61069832"/>
    <s v="N"/>
    <n v="21333913"/>
    <s v="3000015266470006RC"/>
    <s v="CIVIL"/>
    <d v="2023-06-26T00:00:00"/>
    <d v="2023-07-05T19:42:28"/>
    <m/>
    <d v="2023-07-05T00:00:00"/>
    <n v="1340"/>
    <n v="18319"/>
    <s v="61069832"/>
    <s v="61069832"/>
    <m/>
    <m/>
    <m/>
    <m/>
    <m/>
    <m/>
    <s v="SOLRECOUP"/>
    <s v="SOLRECOUP"/>
    <s v="POARECOUP"/>
    <n v="21333913"/>
    <n v="-374.4"/>
    <m/>
    <s v="Y"/>
    <n v="1"/>
    <d v="2023-07-05T19:42:29"/>
    <s v="N"/>
    <m/>
    <m/>
    <s v="Expert Disbursement"/>
    <m/>
    <s v="N"/>
    <n v="-374.4"/>
    <n v="0"/>
    <x v="6"/>
    <s v="VALIDATED"/>
    <n v="1"/>
    <s v="01.11.80.308.2013.0000"/>
    <n v="-374.4"/>
    <s v="11"/>
    <s v="2013"/>
    <n v="12428.1"/>
    <n v="-374.4"/>
    <s v="CREDITOR"/>
    <n v="0"/>
    <n v="0"/>
    <n v="-374.4"/>
    <n v="0"/>
    <n v="0"/>
  </r>
  <r>
    <n v="61069832"/>
    <s v="N"/>
    <n v="21333914"/>
    <s v="3000015266470008RC"/>
    <s v="CIVIL"/>
    <d v="2023-06-26T00:00:00"/>
    <d v="2023-07-05T19:42:28"/>
    <m/>
    <d v="2023-07-05T00:00:00"/>
    <n v="1340"/>
    <n v="18319"/>
    <s v="61069832"/>
    <s v="61069832"/>
    <m/>
    <m/>
    <m/>
    <m/>
    <m/>
    <m/>
    <s v="SOLRECOUP"/>
    <s v="SOLRECOUP"/>
    <s v="POARECOUP"/>
    <n v="21333914"/>
    <n v="-245.53"/>
    <m/>
    <s v="Y"/>
    <n v="2"/>
    <d v="2023-07-05T19:42:29"/>
    <s v="N"/>
    <m/>
    <m/>
    <s v="Expert Disbursement"/>
    <m/>
    <s v="N"/>
    <n v="0"/>
    <n v="0"/>
    <x v="6"/>
    <s v="VALIDATED"/>
    <n v="1"/>
    <s v="01.11.80.000.0000.0000"/>
    <n v="0"/>
    <s v="11"/>
    <s v="0000"/>
    <n v="12428.1"/>
    <n v="0"/>
    <s v="CREDITOR"/>
    <n v="0"/>
    <n v="0"/>
    <n v="0"/>
    <n v="0"/>
    <n v="0"/>
  </r>
  <r>
    <n v="61069832"/>
    <s v="N"/>
    <n v="21333914"/>
    <s v="3000015266470008RC"/>
    <s v="CIVIL"/>
    <d v="2023-06-26T00:00:00"/>
    <d v="2023-07-05T19:42:28"/>
    <m/>
    <d v="2023-07-05T00:00:00"/>
    <n v="1340"/>
    <n v="18319"/>
    <s v="61069832"/>
    <s v="61069832"/>
    <m/>
    <m/>
    <m/>
    <m/>
    <m/>
    <m/>
    <s v="SOLRECOUP"/>
    <s v="SOLRECOUP"/>
    <s v="POARECOUP"/>
    <n v="21333914"/>
    <n v="-245.53"/>
    <m/>
    <s v="Y"/>
    <n v="1"/>
    <d v="2023-07-05T19:42:29"/>
    <s v="N"/>
    <m/>
    <m/>
    <s v="Expert Disbursement"/>
    <m/>
    <s v="N"/>
    <n v="-245.53"/>
    <n v="0"/>
    <x v="6"/>
    <s v="VALIDATED"/>
    <n v="1"/>
    <s v="01.11.80.308.2013.0000"/>
    <n v="-245.53"/>
    <s v="11"/>
    <s v="2013"/>
    <n v="12428.1"/>
    <n v="-245.53"/>
    <s v="CREDITOR"/>
    <n v="0"/>
    <n v="0"/>
    <n v="-245.53"/>
    <n v="0"/>
    <n v="0"/>
  </r>
  <r>
    <n v="61069832"/>
    <s v="N"/>
    <n v="21333915"/>
    <s v="3000015266470009RC"/>
    <s v="CIVIL"/>
    <d v="2023-06-26T00:00:00"/>
    <d v="2023-07-05T19:42:28"/>
    <m/>
    <d v="2023-07-05T00:00:00"/>
    <n v="1340"/>
    <n v="18319"/>
    <s v="61069832"/>
    <s v="61069832"/>
    <m/>
    <m/>
    <m/>
    <m/>
    <m/>
    <m/>
    <s v="SOLRECOUP"/>
    <s v="SOLRECOUP"/>
    <s v="POARECOUP"/>
    <n v="21333915"/>
    <n v="-253.2"/>
    <m/>
    <s v="Y"/>
    <n v="2"/>
    <d v="2023-07-05T19:42:29"/>
    <s v="N"/>
    <m/>
    <m/>
    <s v="Expert Disbursement"/>
    <m/>
    <s v="N"/>
    <n v="0"/>
    <n v="-42.2"/>
    <x v="6"/>
    <s v="VALIDATED"/>
    <n v="1"/>
    <s v="01.11.80.308.2013.0000"/>
    <n v="-42.2"/>
    <s v="11"/>
    <s v="2013"/>
    <n v="12428.1"/>
    <n v="-42.2"/>
    <s v="CREDITOR"/>
    <n v="0"/>
    <n v="0"/>
    <n v="-42.2"/>
    <n v="0"/>
    <n v="0"/>
  </r>
  <r>
    <n v="61069832"/>
    <s v="N"/>
    <n v="21333915"/>
    <s v="3000015266470009RC"/>
    <s v="CIVIL"/>
    <d v="2023-06-26T00:00:00"/>
    <d v="2023-07-05T19:42:28"/>
    <m/>
    <d v="2023-07-05T00:00:00"/>
    <n v="1340"/>
    <n v="18319"/>
    <s v="61069832"/>
    <s v="61069832"/>
    <m/>
    <m/>
    <m/>
    <m/>
    <m/>
    <m/>
    <s v="SOLRECOUP"/>
    <s v="SOLRECOUP"/>
    <s v="POARECOUP"/>
    <n v="21333915"/>
    <n v="-253.2"/>
    <m/>
    <s v="Y"/>
    <n v="1"/>
    <d v="2023-07-05T19:42:29"/>
    <s v="N"/>
    <m/>
    <m/>
    <s v="Expert Disbursement"/>
    <m/>
    <s v="N"/>
    <n v="-211"/>
    <n v="0"/>
    <x v="6"/>
    <s v="VALIDATED"/>
    <n v="1"/>
    <s v="01.11.80.308.2013.0000"/>
    <n v="-211"/>
    <s v="11"/>
    <s v="2013"/>
    <n v="12428.1"/>
    <n v="-211"/>
    <s v="CREDITOR"/>
    <n v="0"/>
    <n v="0"/>
    <n v="-211"/>
    <n v="0"/>
    <n v="0"/>
  </r>
  <r>
    <n v="61282141"/>
    <s v="N"/>
    <n v="21333916"/>
    <s v="3000015444600001RC"/>
    <s v="CIVIL"/>
    <d v="2023-06-26T00:00:00"/>
    <d v="2023-07-05T19:42:28"/>
    <m/>
    <d v="2023-07-05T00:00:00"/>
    <n v="1340"/>
    <n v="18319"/>
    <s v="61282141"/>
    <s v="61282141"/>
    <m/>
    <m/>
    <m/>
    <m/>
    <m/>
    <m/>
    <s v="SOLRECOUP"/>
    <s v="SOLRECOUP"/>
    <s v="POARECOUP"/>
    <n v="21333916"/>
    <n v="-42"/>
    <m/>
    <s v="Y"/>
    <n v="2"/>
    <d v="2023-07-05T19:42:29"/>
    <s v="N"/>
    <m/>
    <m/>
    <s v="Expert Disbursement"/>
    <m/>
    <s v="N"/>
    <n v="0"/>
    <n v="0"/>
    <x v="6"/>
    <s v="VALIDATED"/>
    <n v="1"/>
    <s v="01.11.80.000.0000.0000"/>
    <n v="0"/>
    <s v="11"/>
    <s v="0000"/>
    <n v="12428.1"/>
    <n v="0"/>
    <s v="CREDITOR"/>
    <n v="0"/>
    <n v="0"/>
    <n v="0"/>
    <n v="0"/>
    <n v="0"/>
  </r>
  <r>
    <n v="61282141"/>
    <s v="N"/>
    <n v="21333916"/>
    <s v="3000015444600001RC"/>
    <s v="CIVIL"/>
    <d v="2023-06-26T00:00:00"/>
    <d v="2023-07-05T19:42:28"/>
    <m/>
    <d v="2023-07-05T00:00:00"/>
    <n v="1340"/>
    <n v="18319"/>
    <s v="61282141"/>
    <s v="61282141"/>
    <m/>
    <m/>
    <m/>
    <m/>
    <m/>
    <m/>
    <s v="SOLRECOUP"/>
    <s v="SOLRECOUP"/>
    <s v="POARECOUP"/>
    <n v="21333916"/>
    <n v="-42"/>
    <m/>
    <s v="Y"/>
    <n v="1"/>
    <d v="2023-07-05T19:42:29"/>
    <s v="N"/>
    <m/>
    <m/>
    <s v="Expert Disbursement"/>
    <m/>
    <s v="N"/>
    <n v="-42"/>
    <n v="0"/>
    <x v="6"/>
    <s v="VALIDATED"/>
    <n v="1"/>
    <s v="01.11.80.308.2013.0000"/>
    <n v="-42"/>
    <s v="11"/>
    <s v="2013"/>
    <n v="12428.1"/>
    <n v="-42"/>
    <s v="CREDITOR"/>
    <n v="0"/>
    <n v="0"/>
    <n v="-42"/>
    <n v="0"/>
    <n v="0"/>
  </r>
  <r>
    <n v="61069832"/>
    <s v="N"/>
    <n v="21333917"/>
    <s v="3000015266470010RC"/>
    <s v="CIVIL"/>
    <d v="2023-06-26T00:00:00"/>
    <d v="2023-07-05T19:42:28"/>
    <m/>
    <d v="2023-07-05T00:00:00"/>
    <n v="1340"/>
    <n v="18319"/>
    <s v="61069832"/>
    <s v="61069832"/>
    <m/>
    <m/>
    <m/>
    <m/>
    <m/>
    <m/>
    <s v="SOLRECOUP"/>
    <s v="SOLRECOUP"/>
    <s v="POARECOUP"/>
    <n v="21333917"/>
    <n v="-320.53"/>
    <m/>
    <s v="Y"/>
    <n v="2"/>
    <d v="2023-07-05T19:42:29"/>
    <s v="N"/>
    <m/>
    <m/>
    <s v="Expert Disbursement"/>
    <m/>
    <s v="N"/>
    <n v="0"/>
    <n v="0"/>
    <x v="6"/>
    <s v="VALIDATED"/>
    <n v="1"/>
    <s v="01.11.80.000.0000.0000"/>
    <n v="0"/>
    <s v="11"/>
    <s v="0000"/>
    <n v="12428.1"/>
    <n v="0"/>
    <s v="CREDITOR"/>
    <n v="0"/>
    <n v="0"/>
    <n v="0"/>
    <n v="0"/>
    <n v="0"/>
  </r>
  <r>
    <n v="60069597"/>
    <s v="N"/>
    <n v="21349725"/>
    <s v="3000014405440010"/>
    <s v="CIVIL"/>
    <d v="2023-06-28T00:00:00"/>
    <d v="2023-07-10T19:01:40"/>
    <m/>
    <d v="2023-07-10T00:00:00"/>
    <n v="1342"/>
    <n v="18341"/>
    <s v="60069597"/>
    <s v="60069597"/>
    <m/>
    <m/>
    <n v="22781918"/>
    <m/>
    <m/>
    <m/>
    <s v="SOLFIN"/>
    <s v="SOLFIN"/>
    <s v="CCMS"/>
    <n v="21349725"/>
    <n v="6951.61"/>
    <m/>
    <s v="N"/>
    <n v="10"/>
    <d v="2023-07-10T19:01:56"/>
    <s v="Y"/>
    <s v="Solicitors Fixed Fee"/>
    <s v="Public Law Children"/>
    <s v="Profit Cost"/>
    <s v="JP"/>
    <s v="Y"/>
    <n v="2300"/>
    <n v="460"/>
    <x v="2"/>
    <s v="VALIDATED"/>
    <n v="1"/>
    <s v="01.11.80.308.6100.0000"/>
    <n v="2300"/>
    <s v="11"/>
    <s v="6100"/>
    <n v="2365.45"/>
    <n v="2300"/>
    <s v="CREDITOR"/>
    <n v="0"/>
    <n v="0"/>
    <n v="0"/>
    <n v="0"/>
    <n v="2300"/>
  </r>
  <r>
    <n v="60069597"/>
    <s v="N"/>
    <n v="21349725"/>
    <s v="3000014405440010"/>
    <s v="CIVIL"/>
    <d v="2023-06-28T00:00:00"/>
    <d v="2023-07-10T19:01:40"/>
    <m/>
    <d v="2023-07-10T00:00:00"/>
    <n v="1342"/>
    <n v="18341"/>
    <s v="60069597"/>
    <s v="60069597"/>
    <m/>
    <m/>
    <n v="22781918"/>
    <m/>
    <m/>
    <m/>
    <s v="SOLFIN"/>
    <s v="SOLFIN"/>
    <s v="CCMS"/>
    <n v="21349725"/>
    <n v="6951.61"/>
    <m/>
    <s v="N"/>
    <n v="7"/>
    <d v="2023-07-10T19:01:56"/>
    <s v="Y"/>
    <s v="Toxicologist"/>
    <s v="Public Law Children"/>
    <s v="Expert Disbursement"/>
    <s v="JP"/>
    <s v="Y"/>
    <n v="803.75"/>
    <n v="160.75"/>
    <x v="2"/>
    <s v="VALIDATED"/>
    <n v="1"/>
    <s v="01.11.80.308.6300.0000"/>
    <n v="803.75"/>
    <s v="11"/>
    <s v="6300"/>
    <n v="2365.45"/>
    <n v="803.75"/>
    <s v="CREDITOR"/>
    <n v="0"/>
    <n v="0"/>
    <n v="0"/>
    <n v="0"/>
    <n v="803.75"/>
  </r>
  <r>
    <n v="60069597"/>
    <s v="N"/>
    <n v="21349725"/>
    <s v="3000014405440010"/>
    <s v="CIVIL"/>
    <d v="2023-06-28T00:00:00"/>
    <d v="2023-07-10T19:01:40"/>
    <m/>
    <d v="2023-07-10T00:00:00"/>
    <n v="1342"/>
    <n v="18341"/>
    <s v="60069597"/>
    <s v="60069597"/>
    <m/>
    <m/>
    <n v="22781918"/>
    <m/>
    <m/>
    <m/>
    <s v="SOLFIN"/>
    <s v="SOLFIN"/>
    <s v="CCMS"/>
    <n v="21349725"/>
    <n v="6951.61"/>
    <m/>
    <s v="N"/>
    <n v="2"/>
    <d v="2023-07-10T19:01:56"/>
    <s v="Y"/>
    <s v="Toxicologist"/>
    <s v="Public Law Children"/>
    <s v="Expert Disbursement"/>
    <s v="JP"/>
    <s v="Y"/>
    <n v="403.5"/>
    <n v="80.7"/>
    <x v="2"/>
    <s v="VALIDATED"/>
    <n v="1"/>
    <s v="01.11.80.308.6300.0000"/>
    <n v="403.5"/>
    <s v="11"/>
    <s v="6300"/>
    <n v="2365.45"/>
    <n v="403.5"/>
    <s v="CREDITOR"/>
    <n v="0"/>
    <n v="0"/>
    <n v="0"/>
    <n v="0"/>
    <n v="403.5"/>
  </r>
  <r>
    <n v="60875561"/>
    <s v="N"/>
    <n v="21338583"/>
    <s v="3000014995040004"/>
    <s v="CIVIL"/>
    <d v="2023-06-28T00:00:00"/>
    <d v="2023-07-06T19:21:01"/>
    <m/>
    <d v="2023-07-06T00:00:00"/>
    <n v="1342"/>
    <n v="18341"/>
    <s v="60875561"/>
    <s v="60875561"/>
    <m/>
    <m/>
    <n v="22783178"/>
    <m/>
    <m/>
    <m/>
    <s v="SOLFIN"/>
    <s v="SOLFIN"/>
    <s v="CCMS"/>
    <n v="21338583"/>
    <n v="423.6"/>
    <m/>
    <s v="N"/>
    <n v="1"/>
    <d v="2023-07-06T19:21:29"/>
    <s v="Y"/>
    <s v="Level 3 Fixed Fee"/>
    <s v="Private Law Children"/>
    <s v="Profit Cost"/>
    <s v="JP"/>
    <s v="Y"/>
    <n v="353"/>
    <n v="70.59999999999999"/>
    <x v="4"/>
    <s v="VALIDATED"/>
    <n v="1"/>
    <s v="01.11.80.307.6100.0000"/>
    <n v="353"/>
    <s v="11"/>
    <s v="6100"/>
    <n v="2365.45"/>
    <n v="353"/>
    <s v="CREDITOR"/>
    <n v="0"/>
    <n v="0"/>
    <n v="0"/>
    <n v="0"/>
    <n v="353"/>
  </r>
  <r>
    <n v="60069597"/>
    <s v="N"/>
    <n v="21349725"/>
    <s v="3000014405440010"/>
    <s v="CIVIL"/>
    <d v="2023-06-28T00:00:00"/>
    <d v="2023-07-10T19:01:40"/>
    <m/>
    <d v="2023-07-10T00:00:00"/>
    <n v="1342"/>
    <n v="18341"/>
    <s v="60069597"/>
    <s v="60069597"/>
    <m/>
    <m/>
    <n v="22781918"/>
    <m/>
    <m/>
    <m/>
    <s v="SOLFIN"/>
    <s v="SOLFIN"/>
    <s v="CCMS"/>
    <n v="21349725"/>
    <n v="6951.61"/>
    <m/>
    <s v="N"/>
    <n v="3"/>
    <d v="2023-07-10T19:01:56"/>
    <s v="Y"/>
    <s v="Toxicologist"/>
    <s v="Public Law Children"/>
    <s v="Expert Disbursement"/>
    <s v="JP"/>
    <s v="Y"/>
    <n v="533.24"/>
    <n v="106.65"/>
    <x v="2"/>
    <s v="VALIDATED"/>
    <n v="1"/>
    <s v="01.11.80.308.6300.0000"/>
    <n v="533.24"/>
    <s v="11"/>
    <s v="6300"/>
    <n v="2365.45"/>
    <n v="533.24"/>
    <s v="CREDITOR"/>
    <n v="0"/>
    <n v="0"/>
    <n v="0"/>
    <n v="0"/>
    <n v="533.24"/>
  </r>
  <r>
    <n v="60069597"/>
    <s v="N"/>
    <n v="21349725"/>
    <s v="3000014405440010"/>
    <s v="CIVIL"/>
    <d v="2023-06-28T00:00:00"/>
    <d v="2023-07-10T19:01:40"/>
    <m/>
    <d v="2023-07-10T00:00:00"/>
    <n v="1342"/>
    <n v="18341"/>
    <s v="60069597"/>
    <s v="60069597"/>
    <m/>
    <m/>
    <n v="22781918"/>
    <m/>
    <m/>
    <m/>
    <s v="SOLFIN"/>
    <s v="SOLFIN"/>
    <s v="CCMS"/>
    <n v="21349725"/>
    <n v="6951.61"/>
    <m/>
    <s v="N"/>
    <n v="9"/>
    <d v="2023-07-10T19:01:56"/>
    <s v="Y"/>
    <s v="Hearing Unit 1.01 - 2.30 Hours"/>
    <s v="Public Law Children"/>
    <s v="Advocacy"/>
    <s v="JP"/>
    <s v="Y"/>
    <n v="238.46"/>
    <n v="47.69"/>
    <x v="2"/>
    <s v="VALIDATED"/>
    <n v="1"/>
    <s v="01.11.80.308.6100.0000"/>
    <n v="238.46"/>
    <s v="11"/>
    <s v="6100"/>
    <n v="2365.45"/>
    <n v="238.46"/>
    <s v="CREDITOR"/>
    <n v="0"/>
    <n v="0"/>
    <n v="0"/>
    <n v="0"/>
    <n v="238.46"/>
  </r>
  <r>
    <n v="60069597"/>
    <s v="N"/>
    <n v="21349725"/>
    <s v="3000014405440010"/>
    <s v="CIVIL"/>
    <d v="2023-06-28T00:00:00"/>
    <d v="2023-07-10T19:01:40"/>
    <m/>
    <d v="2023-07-10T00:00:00"/>
    <n v="1342"/>
    <n v="18341"/>
    <s v="60069597"/>
    <s v="60069597"/>
    <m/>
    <m/>
    <n v="22781918"/>
    <m/>
    <m/>
    <m/>
    <s v="SOLFIN"/>
    <s v="SOLFIN"/>
    <s v="CCMS"/>
    <n v="21349725"/>
    <n v="6951.61"/>
    <m/>
    <s v="N"/>
    <n v="8"/>
    <d v="2023-07-10T19:01:56"/>
    <s v="Y"/>
    <s v="Advocates Meeting"/>
    <s v="Public Law Children"/>
    <s v="Advocacy"/>
    <s v="JP"/>
    <s v="Y"/>
    <n v="140.99"/>
    <n v="28.2"/>
    <x v="2"/>
    <s v="VALIDATED"/>
    <n v="1"/>
    <s v="01.11.80.308.6100.0000"/>
    <n v="140.99"/>
    <s v="11"/>
    <s v="6100"/>
    <n v="2365.45"/>
    <n v="140.99"/>
    <s v="CREDITOR"/>
    <n v="0"/>
    <n v="0"/>
    <n v="0"/>
    <n v="0"/>
    <n v="140.99"/>
  </r>
  <r>
    <n v="60069597"/>
    <s v="N"/>
    <n v="21349725"/>
    <s v="3000014405440010"/>
    <s v="CIVIL"/>
    <d v="2023-06-28T00:00:00"/>
    <d v="2023-07-10T19:01:40"/>
    <m/>
    <d v="2023-07-10T00:00:00"/>
    <n v="1342"/>
    <n v="18341"/>
    <s v="60069597"/>
    <s v="60069597"/>
    <m/>
    <m/>
    <n v="22781918"/>
    <m/>
    <m/>
    <m/>
    <s v="SOLFIN"/>
    <s v="SOLFIN"/>
    <s v="CCMS"/>
    <n v="21349725"/>
    <n v="6951.61"/>
    <m/>
    <s v="N"/>
    <n v="1"/>
    <d v="2023-07-10T19:01:56"/>
    <s v="Y"/>
    <s v="Interim Hearing Court Bundle/Advoca"/>
    <s v="Public Law Children"/>
    <s v="Advocacy"/>
    <s v="JP"/>
    <s v="Y"/>
    <n v="59.4"/>
    <n v="11.88"/>
    <x v="2"/>
    <s v="VALIDATED"/>
    <n v="1"/>
    <s v="01.11.80.308.6100.0000"/>
    <n v="59.4"/>
    <s v="11"/>
    <s v="6100"/>
    <n v="2365.45"/>
    <n v="59.4"/>
    <s v="CREDITOR"/>
    <n v="0"/>
    <n v="0"/>
    <n v="0"/>
    <n v="0"/>
    <n v="59.4"/>
  </r>
  <r>
    <n v="60069597"/>
    <s v="N"/>
    <n v="21349725"/>
    <s v="3000014405440010"/>
    <s v="CIVIL"/>
    <d v="2023-06-28T00:00:00"/>
    <d v="2023-07-10T19:01:40"/>
    <m/>
    <d v="2023-07-10T00:00:00"/>
    <n v="1342"/>
    <n v="18341"/>
    <s v="60069597"/>
    <s v="60069597"/>
    <m/>
    <m/>
    <n v="22781918"/>
    <m/>
    <m/>
    <m/>
    <s v="SOLFIN"/>
    <s v="SOLFIN"/>
    <s v="CCMS"/>
    <n v="21349725"/>
    <n v="6951.61"/>
    <m/>
    <s v="N"/>
    <n v="5"/>
    <d v="2023-07-10T19:01:56"/>
    <s v="Y"/>
    <s v="Toxicologist"/>
    <s v="Public Law Children"/>
    <s v="Expert Disbursement"/>
    <s v="JP"/>
    <s v="Y"/>
    <n v="636"/>
    <n v="127.2"/>
    <x v="2"/>
    <s v="VALIDATED"/>
    <n v="1"/>
    <s v="01.11.80.308.6300.0000"/>
    <n v="636"/>
    <s v="11"/>
    <s v="6300"/>
    <n v="2365.45"/>
    <n v="636"/>
    <s v="CREDITOR"/>
    <n v="0"/>
    <n v="0"/>
    <n v="0"/>
    <n v="0"/>
    <n v="636"/>
  </r>
  <r>
    <n v="60069597"/>
    <s v="N"/>
    <n v="21349725"/>
    <s v="3000014405440010"/>
    <s v="CIVIL"/>
    <d v="2023-06-28T00:00:00"/>
    <d v="2023-07-10T19:01:40"/>
    <m/>
    <d v="2023-07-10T00:00:00"/>
    <n v="1342"/>
    <n v="18341"/>
    <s v="60069597"/>
    <s v="60069597"/>
    <m/>
    <m/>
    <n v="22781918"/>
    <m/>
    <m/>
    <m/>
    <s v="SOLFIN"/>
    <s v="SOLFIN"/>
    <s v="CCMS"/>
    <n v="21349725"/>
    <n v="6951.61"/>
    <m/>
    <s v="N"/>
    <n v="4"/>
    <d v="2023-07-10T19:01:56"/>
    <s v="Y"/>
    <s v="Doctor (GP)"/>
    <s v="Public Law Children"/>
    <s v="Expert Disbursement"/>
    <s v="JP"/>
    <s v="Y"/>
    <n v="50"/>
    <n v="0"/>
    <x v="2"/>
    <s v="VALIDATED"/>
    <n v="1"/>
    <s v="01.11.80.308.6300.0000"/>
    <n v="50"/>
    <s v="11"/>
    <s v="6300"/>
    <n v="2365.45"/>
    <n v="50"/>
    <s v="CREDITOR"/>
    <n v="0"/>
    <n v="0"/>
    <n v="0"/>
    <n v="0"/>
    <n v="50"/>
  </r>
  <r>
    <n v="60069597"/>
    <s v="N"/>
    <n v="21349725"/>
    <s v="3000014405440010"/>
    <s v="CIVIL"/>
    <d v="2023-06-28T00:00:00"/>
    <d v="2023-07-10T19:01:40"/>
    <m/>
    <d v="2023-07-10T00:00:00"/>
    <n v="1342"/>
    <n v="18341"/>
    <s v="60069597"/>
    <s v="60069597"/>
    <m/>
    <m/>
    <n v="22781918"/>
    <m/>
    <m/>
    <m/>
    <s v="SOLFIN"/>
    <s v="SOLFIN"/>
    <s v="CCMS"/>
    <n v="21349725"/>
    <n v="6951.61"/>
    <m/>
    <s v="N"/>
    <n v="6"/>
    <d v="2023-07-10T19:01:56"/>
    <s v="Y"/>
    <s v="Toxicologist"/>
    <s v="Public Law Children"/>
    <s v="Expert Disbursement"/>
    <s v="JP"/>
    <s v="Y"/>
    <n v="636"/>
    <n v="127.2"/>
    <x v="2"/>
    <s v="VALIDATED"/>
    <n v="1"/>
    <s v="01.11.80.308.6300.0000"/>
    <n v="636"/>
    <s v="11"/>
    <s v="6300"/>
    <n v="2365.45"/>
    <n v="636"/>
    <s v="CREDITOR"/>
    <n v="0"/>
    <n v="0"/>
    <n v="0"/>
    <n v="0"/>
    <n v="636"/>
  </r>
  <r>
    <n v="60069597"/>
    <s v="N"/>
    <n v="21356568"/>
    <s v="3000014405440004RC"/>
    <s v="CIVIL"/>
    <d v="2023-06-28T00:00:00"/>
    <d v="2023-07-10T19:47:44"/>
    <m/>
    <d v="2023-07-10T00:00:00"/>
    <n v="1342"/>
    <n v="18341"/>
    <s v="60069597"/>
    <s v="60069597"/>
    <m/>
    <m/>
    <m/>
    <m/>
    <m/>
    <m/>
    <s v="SOLRECOUP"/>
    <s v="SOLRECOUP"/>
    <s v="POARECOUP"/>
    <n v="21356568"/>
    <n v="-964.5"/>
    <m/>
    <s v="Y"/>
    <n v="2"/>
    <d v="2023-07-10T19:47:45"/>
    <s v="N"/>
    <m/>
    <m/>
    <s v="Expert Disbursement"/>
    <m/>
    <s v="N"/>
    <n v="0"/>
    <n v="-160.75"/>
    <x v="2"/>
    <s v="VALIDATED"/>
    <n v="1"/>
    <s v="01.11.80.308.2013.0000"/>
    <n v="-160.75"/>
    <s v="11"/>
    <s v="2013"/>
    <n v="2365.45"/>
    <n v="-160.75"/>
    <s v="CREDITOR"/>
    <n v="0"/>
    <n v="0"/>
    <n v="-160.75"/>
    <n v="0"/>
    <n v="0"/>
  </r>
  <r>
    <n v="60069597"/>
    <s v="N"/>
    <n v="21356569"/>
    <s v="3000014405440008RC"/>
    <s v="CIVIL"/>
    <d v="2023-06-28T00:00:00"/>
    <d v="2023-07-10T19:47:44"/>
    <m/>
    <d v="2023-07-10T00:00:00"/>
    <n v="1342"/>
    <n v="18341"/>
    <s v="60069597"/>
    <s v="60069597"/>
    <m/>
    <m/>
    <m/>
    <m/>
    <m/>
    <m/>
    <s v="SOLRECOUP"/>
    <s v="SOLRECOUP"/>
    <s v="POARECOUP"/>
    <n v="21356569"/>
    <n v="-639.89"/>
    <m/>
    <s v="Y"/>
    <n v="1"/>
    <d v="2023-07-10T19:47:45"/>
    <s v="N"/>
    <m/>
    <m/>
    <s v="Expert Disbursement"/>
    <m/>
    <s v="N"/>
    <n v="-533.24"/>
    <n v="0"/>
    <x v="2"/>
    <s v="VALIDATED"/>
    <n v="1"/>
    <s v="01.11.80.308.2013.0000"/>
    <n v="-533.24"/>
    <s v="11"/>
    <s v="2013"/>
    <n v="2365.45"/>
    <n v="-533.24"/>
    <s v="CREDITOR"/>
    <n v="0"/>
    <n v="0"/>
    <n v="-533.24"/>
    <n v="0"/>
    <n v="0"/>
  </r>
  <r>
    <n v="60069597"/>
    <s v="N"/>
    <n v="21356569"/>
    <s v="3000014405440008RC"/>
    <s v="CIVIL"/>
    <d v="2023-06-28T00:00:00"/>
    <d v="2023-07-10T19:47:44"/>
    <m/>
    <d v="2023-07-10T00:00:00"/>
    <n v="1342"/>
    <n v="18341"/>
    <s v="60069597"/>
    <s v="60069597"/>
    <m/>
    <m/>
    <m/>
    <m/>
    <m/>
    <m/>
    <s v="SOLRECOUP"/>
    <s v="SOLRECOUP"/>
    <s v="POARECOUP"/>
    <n v="21356569"/>
    <n v="-639.89"/>
    <m/>
    <s v="Y"/>
    <n v="2"/>
    <d v="2023-07-10T19:47:45"/>
    <s v="N"/>
    <m/>
    <m/>
    <s v="Expert Disbursement"/>
    <m/>
    <s v="N"/>
    <n v="0"/>
    <n v="-106.65"/>
    <x v="2"/>
    <s v="VALIDATED"/>
    <n v="1"/>
    <s v="01.11.80.308.2013.0000"/>
    <n v="-106.65"/>
    <s v="11"/>
    <s v="2013"/>
    <n v="2365.45"/>
    <n v="-106.65"/>
    <s v="CREDITOR"/>
    <n v="0"/>
    <n v="0"/>
    <n v="-106.65"/>
    <n v="0"/>
    <n v="0"/>
  </r>
  <r>
    <n v="60069597"/>
    <s v="N"/>
    <n v="21356570"/>
    <s v="3000014405440005RC"/>
    <s v="CIVIL"/>
    <d v="2023-06-28T00:00:00"/>
    <d v="2023-07-10T19:47:44"/>
    <m/>
    <d v="2023-07-10T00:00:00"/>
    <n v="1342"/>
    <n v="18341"/>
    <s v="60069597"/>
    <s v="60069597"/>
    <m/>
    <m/>
    <m/>
    <m/>
    <m/>
    <m/>
    <s v="SOLRECOUP"/>
    <s v="SOLRECOUP"/>
    <s v="POARECOUP"/>
    <n v="21356570"/>
    <n v="-484.2"/>
    <m/>
    <s v="Y"/>
    <n v="1"/>
    <d v="2023-07-10T19:47:45"/>
    <s v="N"/>
    <m/>
    <m/>
    <s v="Expert Disbursement"/>
    <m/>
    <s v="N"/>
    <n v="-403.5"/>
    <n v="0"/>
    <x v="2"/>
    <s v="VALIDATED"/>
    <n v="1"/>
    <s v="01.11.80.308.2013.0000"/>
    <n v="-403.5"/>
    <s v="11"/>
    <s v="2013"/>
    <n v="2365.45"/>
    <n v="-403.5"/>
    <s v="CREDITOR"/>
    <n v="0"/>
    <n v="0"/>
    <n v="-403.5"/>
    <n v="0"/>
    <n v="0"/>
  </r>
  <r>
    <n v="60069597"/>
    <s v="N"/>
    <n v="21356570"/>
    <s v="3000014405440005RC"/>
    <s v="CIVIL"/>
    <d v="2023-06-28T00:00:00"/>
    <d v="2023-07-10T19:47:44"/>
    <m/>
    <d v="2023-07-10T00:00:00"/>
    <n v="1342"/>
    <n v="18341"/>
    <s v="60069597"/>
    <s v="60069597"/>
    <m/>
    <m/>
    <m/>
    <m/>
    <m/>
    <m/>
    <s v="SOLRECOUP"/>
    <s v="SOLRECOUP"/>
    <s v="POARECOUP"/>
    <n v="21356570"/>
    <n v="-484.2"/>
    <m/>
    <s v="Y"/>
    <n v="2"/>
    <d v="2023-07-10T19:47:45"/>
    <s v="N"/>
    <m/>
    <m/>
    <s v="Expert Disbursement"/>
    <m/>
    <s v="N"/>
    <n v="0"/>
    <n v="-80.7"/>
    <x v="2"/>
    <s v="VALIDATED"/>
    <n v="1"/>
    <s v="01.11.80.308.2013.0000"/>
    <n v="-80.7"/>
    <s v="11"/>
    <s v="2013"/>
    <n v="2365.45"/>
    <n v="-80.7"/>
    <s v="CREDITOR"/>
    <n v="0"/>
    <n v="0"/>
    <n v="-80.7"/>
    <n v="0"/>
    <n v="0"/>
  </r>
  <r>
    <n v="60069597"/>
    <s v="N"/>
    <n v="21356571"/>
    <s v="3000014405440006RC"/>
    <s v="CIVIL"/>
    <d v="2023-06-28T00:00:00"/>
    <d v="2023-07-10T19:47:44"/>
    <m/>
    <d v="2023-07-10T00:00:00"/>
    <n v="1342"/>
    <n v="18341"/>
    <s v="60069597"/>
    <s v="60069597"/>
    <m/>
    <m/>
    <m/>
    <m/>
    <m/>
    <m/>
    <s v="SOLRECOUP"/>
    <s v="SOLRECOUP"/>
    <s v="POARECOUP"/>
    <n v="21356571"/>
    <n v="-123.9"/>
    <m/>
    <s v="Y"/>
    <n v="1"/>
    <d v="2023-07-10T19:47:45"/>
    <s v="N"/>
    <m/>
    <m/>
    <s v="Expert Disbursement"/>
    <m/>
    <s v="N"/>
    <n v="-103.25"/>
    <n v="0"/>
    <x v="2"/>
    <s v="VALIDATED"/>
    <n v="1"/>
    <s v="01.11.80.308.2013.0000"/>
    <n v="-103.25"/>
    <s v="11"/>
    <s v="2013"/>
    <n v="2365.45"/>
    <n v="-103.25"/>
    <s v="CREDITOR"/>
    <n v="0"/>
    <n v="0"/>
    <n v="-103.25"/>
    <n v="0"/>
    <n v="0"/>
  </r>
  <r>
    <n v="60069597"/>
    <s v="N"/>
    <n v="21356571"/>
    <s v="3000014405440006RC"/>
    <s v="CIVIL"/>
    <d v="2023-06-28T00:00:00"/>
    <d v="2023-07-10T19:47:44"/>
    <m/>
    <d v="2023-07-10T00:00:00"/>
    <n v="1342"/>
    <n v="18341"/>
    <s v="60069597"/>
    <s v="60069597"/>
    <m/>
    <m/>
    <m/>
    <m/>
    <m/>
    <m/>
    <s v="SOLRECOUP"/>
    <s v="SOLRECOUP"/>
    <s v="POARECOUP"/>
    <n v="21356571"/>
    <n v="-123.9"/>
    <m/>
    <s v="Y"/>
    <n v="2"/>
    <d v="2023-07-10T19:47:45"/>
    <s v="N"/>
    <m/>
    <m/>
    <s v="Expert Disbursement"/>
    <m/>
    <s v="N"/>
    <n v="0"/>
    <n v="-20.65"/>
    <x v="2"/>
    <s v="VALIDATED"/>
    <n v="1"/>
    <s v="01.11.80.308.2013.0000"/>
    <n v="-20.65"/>
    <s v="11"/>
    <s v="2013"/>
    <n v="2365.45"/>
    <n v="-20.65"/>
    <s v="CREDITOR"/>
    <n v="0"/>
    <n v="0"/>
    <n v="-20.65"/>
    <n v="0"/>
    <n v="0"/>
  </r>
  <r>
    <n v="60069597"/>
    <s v="N"/>
    <n v="21356565"/>
    <s v="3000014405440001RC"/>
    <s v="CIVIL"/>
    <d v="2023-06-28T00:00:00"/>
    <d v="2023-07-10T19:47:44"/>
    <m/>
    <d v="2023-07-10T00:00:00"/>
    <n v="1342"/>
    <n v="18341"/>
    <s v="60069597"/>
    <s v="60069597"/>
    <m/>
    <m/>
    <m/>
    <m/>
    <m/>
    <m/>
    <s v="SOLRECOUP"/>
    <s v="SOLRECOUP"/>
    <s v="POARECOUP"/>
    <n v="21356565"/>
    <n v="-50"/>
    <m/>
    <s v="Y"/>
    <n v="1"/>
    <d v="2023-07-10T19:47:45"/>
    <s v="N"/>
    <m/>
    <m/>
    <s v="Expert Disbursement"/>
    <m/>
    <s v="N"/>
    <n v="-50"/>
    <n v="0"/>
    <x v="2"/>
    <s v="VALIDATED"/>
    <n v="1"/>
    <s v="01.11.80.308.2013.0000"/>
    <n v="-50"/>
    <s v="11"/>
    <s v="2013"/>
    <n v="2365.45"/>
    <n v="-50"/>
    <s v="CREDITOR"/>
    <n v="0"/>
    <n v="0"/>
    <n v="-50"/>
    <n v="0"/>
    <n v="0"/>
  </r>
  <r>
    <n v="60069597"/>
    <s v="N"/>
    <n v="21356565"/>
    <s v="3000014405440001RC"/>
    <s v="CIVIL"/>
    <d v="2023-06-28T00:00:00"/>
    <d v="2023-07-10T19:47:44"/>
    <m/>
    <d v="2023-07-10T00:00:00"/>
    <n v="1342"/>
    <n v="18341"/>
    <s v="60069597"/>
    <s v="60069597"/>
    <m/>
    <m/>
    <m/>
    <m/>
    <m/>
    <m/>
    <s v="SOLRECOUP"/>
    <s v="SOLRECOUP"/>
    <s v="POARECOUP"/>
    <n v="21356565"/>
    <n v="-50"/>
    <m/>
    <s v="Y"/>
    <n v="2"/>
    <d v="2023-07-10T19:47:45"/>
    <s v="N"/>
    <m/>
    <m/>
    <s v="Expert Disbursement"/>
    <m/>
    <s v="N"/>
    <n v="0"/>
    <n v="0"/>
    <x v="2"/>
    <s v="VALIDATED"/>
    <n v="1"/>
    <s v="01.11.80.000.0000.0000"/>
    <n v="0"/>
    <s v="11"/>
    <s v="0000"/>
    <n v="2365.45"/>
    <n v="0"/>
    <s v="CREDITOR"/>
    <n v="0"/>
    <n v="0"/>
    <n v="0"/>
    <n v="0"/>
    <n v="0"/>
  </r>
  <r>
    <n v="60069597"/>
    <s v="N"/>
    <n v="21356566"/>
    <s v="3000014405440002RC"/>
    <s v="CIVIL"/>
    <d v="2023-06-28T00:00:00"/>
    <d v="2023-07-10T19:47:44"/>
    <m/>
    <d v="2023-07-10T00:00:00"/>
    <n v="1342"/>
    <n v="18341"/>
    <s v="60069597"/>
    <s v="60069597"/>
    <m/>
    <m/>
    <m/>
    <m/>
    <m/>
    <m/>
    <s v="SOLRECOUP"/>
    <s v="SOLRECOUP"/>
    <s v="POARECOUP"/>
    <n v="21356566"/>
    <n v="-763.2"/>
    <m/>
    <s v="Y"/>
    <n v="1"/>
    <d v="2023-07-10T19:47:45"/>
    <s v="N"/>
    <m/>
    <m/>
    <s v="Expert Disbursement"/>
    <m/>
    <s v="N"/>
    <n v="-636"/>
    <n v="0"/>
    <x v="2"/>
    <s v="VALIDATED"/>
    <n v="1"/>
    <s v="01.11.80.308.2013.0000"/>
    <n v="-636"/>
    <s v="11"/>
    <s v="2013"/>
    <n v="2365.45"/>
    <n v="-636"/>
    <s v="CREDITOR"/>
    <n v="0"/>
    <n v="0"/>
    <n v="-636"/>
    <n v="0"/>
    <n v="0"/>
  </r>
  <r>
    <n v="60069597"/>
    <s v="N"/>
    <n v="21356566"/>
    <s v="3000014405440002RC"/>
    <s v="CIVIL"/>
    <d v="2023-06-28T00:00:00"/>
    <d v="2023-07-10T19:47:44"/>
    <m/>
    <d v="2023-07-10T00:00:00"/>
    <n v="1342"/>
    <n v="18341"/>
    <s v="60069597"/>
    <s v="60069597"/>
    <m/>
    <m/>
    <m/>
    <m/>
    <m/>
    <m/>
    <s v="SOLRECOUP"/>
    <s v="SOLRECOUP"/>
    <s v="POARECOUP"/>
    <n v="21356566"/>
    <n v="-763.2"/>
    <m/>
    <s v="Y"/>
    <n v="2"/>
    <d v="2023-07-10T19:47:45"/>
    <s v="N"/>
    <m/>
    <m/>
    <s v="Expert Disbursement"/>
    <m/>
    <s v="N"/>
    <n v="0"/>
    <n v="-127.2"/>
    <x v="2"/>
    <s v="VALIDATED"/>
    <n v="1"/>
    <s v="01.11.80.308.2013.0000"/>
    <n v="-127.2"/>
    <s v="11"/>
    <s v="2013"/>
    <n v="2365.45"/>
    <n v="-127.2"/>
    <s v="CREDITOR"/>
    <n v="0"/>
    <n v="0"/>
    <n v="-127.2"/>
    <n v="0"/>
    <n v="0"/>
  </r>
  <r>
    <n v="60069597"/>
    <s v="N"/>
    <n v="21356567"/>
    <s v="3000014405440003RC"/>
    <s v="CIVIL"/>
    <d v="2023-06-28T00:00:00"/>
    <d v="2023-07-10T19:47:44"/>
    <m/>
    <d v="2023-07-10T00:00:00"/>
    <n v="1342"/>
    <n v="18341"/>
    <s v="60069597"/>
    <s v="60069597"/>
    <m/>
    <m/>
    <m/>
    <m/>
    <m/>
    <m/>
    <s v="SOLRECOUP"/>
    <s v="SOLRECOUP"/>
    <s v="POARECOUP"/>
    <n v="21356567"/>
    <n v="-763.2"/>
    <m/>
    <s v="Y"/>
    <n v="1"/>
    <d v="2023-07-10T19:47:45"/>
    <s v="N"/>
    <m/>
    <m/>
    <s v="Expert Disbursement"/>
    <m/>
    <s v="N"/>
    <n v="-636"/>
    <n v="0"/>
    <x v="2"/>
    <s v="VALIDATED"/>
    <n v="1"/>
    <s v="01.11.80.308.2013.0000"/>
    <n v="-636"/>
    <s v="11"/>
    <s v="2013"/>
    <n v="2365.45"/>
    <n v="-636"/>
    <s v="CREDITOR"/>
    <n v="0"/>
    <n v="0"/>
    <n v="-636"/>
    <n v="0"/>
    <n v="0"/>
  </r>
  <r>
    <n v="60069597"/>
    <s v="N"/>
    <n v="21356567"/>
    <s v="3000014405440003RC"/>
    <s v="CIVIL"/>
    <d v="2023-06-28T00:00:00"/>
    <d v="2023-07-10T19:47:44"/>
    <m/>
    <d v="2023-07-10T00:00:00"/>
    <n v="1342"/>
    <n v="18341"/>
    <s v="60069597"/>
    <s v="60069597"/>
    <m/>
    <m/>
    <m/>
    <m/>
    <m/>
    <m/>
    <s v="SOLRECOUP"/>
    <s v="SOLRECOUP"/>
    <s v="POARECOUP"/>
    <n v="21356567"/>
    <n v="-763.2"/>
    <m/>
    <s v="Y"/>
    <n v="2"/>
    <d v="2023-07-10T19:47:45"/>
    <s v="N"/>
    <m/>
    <m/>
    <s v="Expert Disbursement"/>
    <m/>
    <s v="N"/>
    <n v="0"/>
    <n v="-127.2"/>
    <x v="2"/>
    <s v="VALIDATED"/>
    <n v="1"/>
    <s v="01.11.80.308.2013.0000"/>
    <n v="-127.2"/>
    <s v="11"/>
    <s v="2013"/>
    <n v="2365.45"/>
    <n v="-127.2"/>
    <s v="CREDITOR"/>
    <n v="0"/>
    <n v="0"/>
    <n v="-127.2"/>
    <n v="0"/>
    <n v="0"/>
  </r>
  <r>
    <n v="60069597"/>
    <s v="N"/>
    <n v="21356568"/>
    <s v="3000014405440004RC"/>
    <s v="CIVIL"/>
    <d v="2023-06-28T00:00:00"/>
    <d v="2023-07-10T19:47:44"/>
    <m/>
    <d v="2023-07-10T00:00:00"/>
    <n v="1342"/>
    <n v="18341"/>
    <s v="60069597"/>
    <s v="60069597"/>
    <m/>
    <m/>
    <m/>
    <m/>
    <m/>
    <m/>
    <s v="SOLRECOUP"/>
    <s v="SOLRECOUP"/>
    <s v="POARECOUP"/>
    <n v="21356568"/>
    <n v="-964.5"/>
    <m/>
    <s v="Y"/>
    <n v="1"/>
    <d v="2023-07-10T19:47:45"/>
    <s v="N"/>
    <m/>
    <m/>
    <s v="Expert Disbursement"/>
    <m/>
    <s v="N"/>
    <n v="-803.75"/>
    <n v="0"/>
    <x v="2"/>
    <s v="VALIDATED"/>
    <n v="1"/>
    <s v="01.11.80.308.2013.0000"/>
    <n v="-803.75"/>
    <s v="11"/>
    <s v="2013"/>
    <n v="2365.45"/>
    <n v="-803.75"/>
    <s v="CREDITOR"/>
    <n v="0"/>
    <n v="0"/>
    <n v="-803.75"/>
    <n v="0"/>
    <n v="0"/>
  </r>
  <r>
    <n v="60509031"/>
    <s v="N"/>
    <n v="21349662"/>
    <s v="3000014783760003"/>
    <s v="CIVIL"/>
    <d v="2023-06-29T00:00:00"/>
    <d v="2023-07-10T19:01:40"/>
    <m/>
    <d v="2023-07-10T00:00:00"/>
    <n v="1349"/>
    <n v="18396"/>
    <s v="60509031"/>
    <s v="60509031"/>
    <m/>
    <m/>
    <n v="22789932"/>
    <m/>
    <m/>
    <m/>
    <s v="SOLFIN"/>
    <s v="SOLFIN"/>
    <s v="CCMS"/>
    <n v="21349662"/>
    <n v="5933.71"/>
    <m/>
    <s v="N"/>
    <n v="7"/>
    <d v="2023-07-10T19:01:55"/>
    <s v="Y"/>
    <s v="Final Hearing - 1 Day"/>
    <s v="Public Law Children"/>
    <s v="Advocacy"/>
    <s v="PNG"/>
    <s v="Y"/>
    <n v="556.88"/>
    <n v="111.38"/>
    <x v="2"/>
    <s v="VALIDATED"/>
    <n v="1"/>
    <s v="01.11.80.308.6100.0000"/>
    <n v="556.88"/>
    <s v="11"/>
    <s v="6100"/>
    <n v="57523.75"/>
    <n v="556.88"/>
    <s v="CREDITOR"/>
    <n v="0"/>
    <n v="0"/>
    <n v="0"/>
    <n v="0"/>
    <n v="556.88"/>
  </r>
  <r>
    <n v="61134985"/>
    <s v="N"/>
    <n v="21344072"/>
    <s v="3000015320960002"/>
    <s v="CIVIL"/>
    <d v="2023-06-29T00:00:00"/>
    <d v="2023-07-07T19:03:00"/>
    <m/>
    <d v="2023-07-07T00:00:00"/>
    <n v="1349"/>
    <n v="18396"/>
    <s v="61134985"/>
    <s v="61134985"/>
    <m/>
    <m/>
    <n v="22790046"/>
    <m/>
    <m/>
    <m/>
    <s v="SOLFIN"/>
    <s v="SOLFIN"/>
    <s v="CCMS"/>
    <n v="21344072"/>
    <n v="5565.08"/>
    <m/>
    <s v="N"/>
    <n v="8"/>
    <d v="2023-07-07T19:03:22"/>
    <s v="Y"/>
    <s v="Hearing Unit 2.31 - 5.00 Hours"/>
    <s v="Public Law Children"/>
    <s v="Advocacy"/>
    <s v="PNG"/>
    <s v="Y"/>
    <n v="476.92"/>
    <n v="95.38"/>
    <x v="9"/>
    <s v="VALIDATED"/>
    <n v="1"/>
    <s v="01.11.80.308.6100.0000"/>
    <n v="476.92"/>
    <s v="11"/>
    <s v="6100"/>
    <n v="57523.75"/>
    <n v="476.92"/>
    <s v="CREDITOR"/>
    <n v="0"/>
    <n v="0"/>
    <n v="0"/>
    <n v="0"/>
    <n v="476.92"/>
  </r>
  <r>
    <n v="60509031"/>
    <s v="N"/>
    <n v="21349662"/>
    <s v="3000014783760003"/>
    <s v="CIVIL"/>
    <d v="2023-06-29T00:00:00"/>
    <d v="2023-07-10T19:01:40"/>
    <m/>
    <d v="2023-07-10T00:00:00"/>
    <n v="1349"/>
    <n v="18396"/>
    <s v="60509031"/>
    <s v="60509031"/>
    <m/>
    <m/>
    <n v="22789932"/>
    <m/>
    <m/>
    <m/>
    <s v="SOLFIN"/>
    <s v="SOLFIN"/>
    <s v="CCMS"/>
    <n v="21349662"/>
    <n v="5933.71"/>
    <m/>
    <s v="N"/>
    <n v="1"/>
    <d v="2023-07-10T19:01:55"/>
    <s v="Y"/>
    <s v="Final Hearing Court Bundle/Advocate"/>
    <s v="Public Law Children"/>
    <s v="Advocacy"/>
    <s v="PNG"/>
    <s v="Y"/>
    <n v="159.3"/>
    <n v="31.86"/>
    <x v="2"/>
    <s v="VALIDATED"/>
    <n v="1"/>
    <s v="01.11.80.308.6100.0000"/>
    <n v="159.3"/>
    <s v="11"/>
    <s v="6100"/>
    <n v="57523.75"/>
    <n v="159.3"/>
    <s v="CREDITOR"/>
    <n v="0"/>
    <n v="0"/>
    <n v="0"/>
    <n v="0"/>
    <n v="159.3"/>
  </r>
  <r>
    <n v="61377901"/>
    <s v="N"/>
    <n v="21350028"/>
    <s v="3000015523270006"/>
    <s v="CIVIL"/>
    <d v="2023-06-29T00:00:00"/>
    <d v="2023-07-10T19:01:40"/>
    <m/>
    <d v="2023-07-10T00:00:00"/>
    <n v="1349"/>
    <n v="18396"/>
    <s v="61377901"/>
    <s v="61377901"/>
    <m/>
    <m/>
    <n v="22791256"/>
    <m/>
    <m/>
    <m/>
    <s v="SOLFIN"/>
    <s v="SOLFIN"/>
    <s v="CCMS"/>
    <n v="21350028"/>
    <n v="5161.6"/>
    <m/>
    <s v="N"/>
    <n v="4"/>
    <d v="2023-07-10T19:02:10"/>
    <s v="Y"/>
    <s v="Toxicologist"/>
    <s v="Public Law Children"/>
    <s v="Expert Disbursement"/>
    <s v="SM"/>
    <s v="Y"/>
    <n v="89"/>
    <n v="17.8"/>
    <x v="2"/>
    <s v="VALIDATED"/>
    <n v="1"/>
    <s v="01.11.80.308.6300.0000"/>
    <n v="89"/>
    <s v="11"/>
    <s v="6300"/>
    <n v="57523.75"/>
    <n v="89"/>
    <s v="CREDITOR"/>
    <n v="0"/>
    <n v="0"/>
    <n v="0"/>
    <n v="0"/>
    <n v="89"/>
  </r>
  <r>
    <n v="61536154"/>
    <s v="N"/>
    <n v="21349322"/>
    <s v="3000015655120005"/>
    <s v="CIVIL"/>
    <d v="2023-06-29T00:00:00"/>
    <d v="2023-07-10T19:01:40"/>
    <m/>
    <d v="2023-07-10T00:00:00"/>
    <n v="1349"/>
    <n v="18396"/>
    <s v="61536154"/>
    <s v="61536154"/>
    <m/>
    <m/>
    <n v="22790166"/>
    <m/>
    <m/>
    <m/>
    <s v="SOLFIN"/>
    <s v="SOLFIN"/>
    <s v="CCMS"/>
    <n v="21349322"/>
    <n v="5666.21"/>
    <m/>
    <s v="N"/>
    <n v="1"/>
    <d v="2023-07-10T19:01:47"/>
    <s v="Y"/>
    <s v="Final Hearing Court Bundle/Advocate"/>
    <s v="Public Law Children"/>
    <s v="Advocacy"/>
    <s v="PNG"/>
    <s v="Y"/>
    <n v="159.3"/>
    <n v="31.86"/>
    <x v="2"/>
    <s v="VALIDATED"/>
    <n v="1"/>
    <s v="01.11.80.308.6100.0000"/>
    <n v="159.3"/>
    <s v="11"/>
    <s v="6100"/>
    <n v="57523.75"/>
    <n v="159.3"/>
    <s v="CREDITOR"/>
    <n v="0"/>
    <n v="0"/>
    <n v="0"/>
    <n v="0"/>
    <n v="159.3"/>
  </r>
  <r>
    <n v="61319164"/>
    <s v="N"/>
    <n v="21349317"/>
    <s v="3000015474570003"/>
    <s v="CIVIL"/>
    <d v="2023-06-29T00:00:00"/>
    <d v="2023-07-10T19:01:40"/>
    <m/>
    <d v="2023-07-10T00:00:00"/>
    <n v="1349"/>
    <n v="18396"/>
    <s v="61319164"/>
    <s v="61319164"/>
    <m/>
    <m/>
    <n v="22790416"/>
    <m/>
    <m/>
    <m/>
    <s v="SOLFIN"/>
    <s v="SOLFIN"/>
    <s v="CCMS"/>
    <n v="21349317"/>
    <n v="4990.14"/>
    <m/>
    <s v="N"/>
    <n v="3"/>
    <d v="2023-07-10T19:01:46"/>
    <s v="Y"/>
    <s v="Toxicologist"/>
    <s v="Public Law Children"/>
    <s v="Expert Disbursement"/>
    <s v="PNG"/>
    <s v="Y"/>
    <n v="164"/>
    <n v="32.8"/>
    <x v="2"/>
    <s v="VALIDATED"/>
    <n v="1"/>
    <s v="01.11.80.308.6300.0000"/>
    <n v="164"/>
    <s v="11"/>
    <s v="6300"/>
    <n v="57523.75"/>
    <n v="164"/>
    <s v="CREDITOR"/>
    <n v="0"/>
    <n v="0"/>
    <n v="0"/>
    <n v="0"/>
    <n v="164"/>
  </r>
  <r>
    <n v="61302125"/>
    <s v="N"/>
    <n v="21331250"/>
    <s v="3000015459840001"/>
    <s v="CIVIL"/>
    <d v="2023-06-27T00:00:00"/>
    <d v="2023-07-05T19:01:47"/>
    <m/>
    <d v="2023-07-05T00:00:00"/>
    <n v="1349"/>
    <n v="18396"/>
    <s v="61302125"/>
    <s v="61302125"/>
    <m/>
    <m/>
    <n v="22771050"/>
    <m/>
    <m/>
    <m/>
    <s v="SOLFIN"/>
    <s v="SOLFIN"/>
    <s v="CCMS"/>
    <n v="21331250"/>
    <n v="5715.31"/>
    <m/>
    <s v="N"/>
    <n v="5"/>
    <d v="2023-07-05T19:02:11"/>
    <s v="Y"/>
    <s v="Final Hearing - 1 Day"/>
    <s v="Public Law Children"/>
    <s v="Advocacy"/>
    <s v="PNG"/>
    <s v="Y"/>
    <n v="556.88"/>
    <n v="111.38"/>
    <x v="6"/>
    <s v="VALIDATED"/>
    <n v="1"/>
    <s v="01.11.80.308.6100.0000"/>
    <n v="556.88"/>
    <s v="11"/>
    <s v="6100"/>
    <n v="57523.75"/>
    <n v="556.88"/>
    <s v="CREDITOR"/>
    <n v="0"/>
    <n v="0"/>
    <n v="0"/>
    <n v="0"/>
    <n v="556.88"/>
  </r>
  <r>
    <n v="61143046"/>
    <s v="N"/>
    <n v="21350110"/>
    <s v="3000015328180002"/>
    <s v="CIVIL"/>
    <d v="2023-06-30T00:00:00"/>
    <d v="2023-07-10T19:01:40"/>
    <m/>
    <d v="2023-07-10T00:00:00"/>
    <n v="1349"/>
    <n v="18396"/>
    <s v="61143046"/>
    <s v="61143046"/>
    <m/>
    <m/>
    <n v="22798350"/>
    <m/>
    <m/>
    <m/>
    <s v="SOLFIN"/>
    <s v="SOLFIN"/>
    <s v="CCMS"/>
    <n v="21350110"/>
    <n v="6778.2"/>
    <m/>
    <s v="N"/>
    <n v="11"/>
    <d v="2023-07-10T19:02:14"/>
    <s v="Y"/>
    <s v="Hearing Unit 2.31 - 5.00 Hours"/>
    <s v="Public Law Children"/>
    <s v="Advocacy"/>
    <s v="PNG"/>
    <s v="Y"/>
    <n v="476.92"/>
    <n v="95.38"/>
    <x v="2"/>
    <s v="VALIDATED"/>
    <n v="1"/>
    <s v="01.11.80.308.6100.0000"/>
    <n v="476.92"/>
    <s v="11"/>
    <s v="6100"/>
    <n v="57523.75"/>
    <n v="476.92"/>
    <s v="CREDITOR"/>
    <n v="0"/>
    <n v="0"/>
    <n v="0"/>
    <n v="0"/>
    <n v="476.92"/>
  </r>
  <r>
    <n v="61246704"/>
    <s v="N"/>
    <n v="21349925"/>
    <s v="3000015413860003"/>
    <s v="CIVIL"/>
    <d v="2023-06-30T00:00:00"/>
    <d v="2023-07-10T19:01:40"/>
    <m/>
    <d v="2023-07-10T00:00:00"/>
    <n v="1349"/>
    <n v="18396"/>
    <s v="61246704"/>
    <s v="61246704"/>
    <m/>
    <m/>
    <n v="22796418"/>
    <m/>
    <m/>
    <m/>
    <s v="SOLFIN"/>
    <s v="SOLFIN"/>
    <s v="CCMS"/>
    <n v="21349925"/>
    <n v="5187.25"/>
    <m/>
    <s v="N"/>
    <n v="11"/>
    <d v="2023-07-10T19:02:03"/>
    <s v="Y"/>
    <s v="Solicitors Fixed Fee"/>
    <s v="Public Law Children"/>
    <s v="Profit Cost"/>
    <s v="SM"/>
    <s v="Y"/>
    <n v="2300"/>
    <n v="460"/>
    <x v="2"/>
    <s v="VALIDATED"/>
    <n v="1"/>
    <s v="01.11.80.308.6100.0000"/>
    <n v="2300"/>
    <s v="11"/>
    <s v="6100"/>
    <n v="57523.75"/>
    <n v="2300"/>
    <s v="CREDITOR"/>
    <n v="0"/>
    <n v="0"/>
    <n v="0"/>
    <n v="0"/>
    <n v="2300"/>
  </r>
  <r>
    <n v="61246704"/>
    <s v="N"/>
    <n v="21349925"/>
    <s v="3000015413860003"/>
    <s v="CIVIL"/>
    <d v="2023-06-30T00:00:00"/>
    <d v="2023-07-10T19:01:40"/>
    <m/>
    <d v="2023-07-10T00:00:00"/>
    <n v="1349"/>
    <n v="18396"/>
    <s v="61246704"/>
    <s v="61246704"/>
    <m/>
    <m/>
    <n v="22796418"/>
    <m/>
    <m/>
    <m/>
    <s v="SOLFIN"/>
    <s v="SOLFIN"/>
    <s v="CCMS"/>
    <n v="21349925"/>
    <n v="5187.25"/>
    <m/>
    <s v="N"/>
    <n v="7"/>
    <d v="2023-07-10T19:02:03"/>
    <s v="Y"/>
    <s v="Advocates Meeting"/>
    <s v="Public Law Children"/>
    <s v="Advocacy"/>
    <s v="SM"/>
    <s v="Y"/>
    <n v="140.99"/>
    <n v="28.2"/>
    <x v="2"/>
    <s v="VALIDATED"/>
    <n v="1"/>
    <s v="01.11.80.308.6100.0000"/>
    <n v="140.99"/>
    <s v="11"/>
    <s v="6100"/>
    <n v="57523.75"/>
    <n v="140.99"/>
    <s v="CREDITOR"/>
    <n v="0"/>
    <n v="0"/>
    <n v="0"/>
    <n v="0"/>
    <n v="140.99"/>
  </r>
  <r>
    <n v="61302125"/>
    <s v="N"/>
    <n v="21331250"/>
    <s v="3000015459840001"/>
    <s v="CIVIL"/>
    <d v="2023-06-27T00:00:00"/>
    <d v="2023-07-05T19:01:47"/>
    <m/>
    <d v="2023-07-05T00:00:00"/>
    <n v="1349"/>
    <n v="18396"/>
    <s v="61302125"/>
    <s v="61302125"/>
    <m/>
    <m/>
    <n v="22771050"/>
    <m/>
    <m/>
    <m/>
    <s v="SOLFIN"/>
    <s v="SOLFIN"/>
    <s v="CCMS"/>
    <n v="21331250"/>
    <n v="5715.31"/>
    <m/>
    <s v="N"/>
    <n v="8"/>
    <d v="2023-07-05T19:02:11"/>
    <s v="Y"/>
    <s v="Advocates Meeting"/>
    <s v="Public Law Children"/>
    <s v="Advocacy"/>
    <s v="PNG"/>
    <s v="Y"/>
    <n v="140.99"/>
    <n v="28.2"/>
    <x v="6"/>
    <s v="VALIDATED"/>
    <n v="1"/>
    <s v="01.11.80.308.6100.0000"/>
    <n v="140.99"/>
    <s v="11"/>
    <s v="6100"/>
    <n v="57523.75"/>
    <n v="140.99"/>
    <s v="CREDITOR"/>
    <n v="0"/>
    <n v="0"/>
    <n v="0"/>
    <n v="0"/>
    <n v="140.99"/>
  </r>
  <r>
    <n v="61436518"/>
    <s v="N"/>
    <n v="21349784"/>
    <s v="3000015570790001"/>
    <s v="CIVIL"/>
    <d v="2023-06-29T00:00:00"/>
    <d v="2023-07-10T19:01:40"/>
    <m/>
    <d v="2023-07-10T00:00:00"/>
    <n v="1349"/>
    <n v="18396"/>
    <s v="61436518"/>
    <s v="61436518"/>
    <m/>
    <m/>
    <n v="22791150"/>
    <m/>
    <m/>
    <m/>
    <s v="SOLFIN"/>
    <s v="SOLFIN"/>
    <s v="CCMS"/>
    <n v="21349784"/>
    <n v="4447.2"/>
    <m/>
    <s v="N"/>
    <n v="2"/>
    <d v="2023-07-10T19:01:57"/>
    <s v="Y"/>
    <s v="Hearing Unit 2.31 - 5.00 Hours"/>
    <s v="Public Law Children"/>
    <s v="Advocacy"/>
    <s v="SM"/>
    <s v="Y"/>
    <n v="476.92"/>
    <n v="95.38"/>
    <x v="2"/>
    <s v="VALIDATED"/>
    <n v="1"/>
    <s v="01.11.80.308.6100.0000"/>
    <n v="476.92"/>
    <s v="11"/>
    <s v="6100"/>
    <n v="57523.75"/>
    <n v="476.92"/>
    <s v="CREDITOR"/>
    <n v="0"/>
    <n v="0"/>
    <n v="0"/>
    <n v="0"/>
    <n v="476.92"/>
  </r>
  <r>
    <n v="61134985"/>
    <s v="N"/>
    <n v="21344072"/>
    <s v="3000015320960002"/>
    <s v="CIVIL"/>
    <d v="2023-06-29T00:00:00"/>
    <d v="2023-07-07T19:03:00"/>
    <m/>
    <d v="2023-07-07T00:00:00"/>
    <n v="1349"/>
    <n v="18396"/>
    <s v="61134985"/>
    <s v="61134985"/>
    <m/>
    <m/>
    <n v="22790046"/>
    <m/>
    <m/>
    <m/>
    <s v="SOLFIN"/>
    <s v="SOLFIN"/>
    <s v="CCMS"/>
    <n v="21344072"/>
    <n v="5565.08"/>
    <m/>
    <s v="N"/>
    <n v="7"/>
    <d v="2023-07-07T19:03:22"/>
    <s v="Y"/>
    <s v="Hearing Unit 2.31 - 5.00 Hours"/>
    <s v="Public Law Children"/>
    <s v="Advocacy"/>
    <s v="PNG"/>
    <s v="Y"/>
    <n v="476.92"/>
    <n v="95.38"/>
    <x v="9"/>
    <s v="VALIDATED"/>
    <n v="1"/>
    <s v="01.11.80.308.6100.0000"/>
    <n v="476.92"/>
    <s v="11"/>
    <s v="6100"/>
    <n v="57523.75"/>
    <n v="476.92"/>
    <s v="CREDITOR"/>
    <n v="0"/>
    <n v="0"/>
    <n v="0"/>
    <n v="0"/>
    <n v="476.92"/>
  </r>
  <r>
    <n v="61143046"/>
    <s v="N"/>
    <n v="21350110"/>
    <s v="3000015328180002"/>
    <s v="CIVIL"/>
    <d v="2023-06-30T00:00:00"/>
    <d v="2023-07-10T19:01:40"/>
    <m/>
    <d v="2023-07-10T00:00:00"/>
    <n v="1349"/>
    <n v="18396"/>
    <s v="61143046"/>
    <s v="61143046"/>
    <m/>
    <m/>
    <n v="22798350"/>
    <m/>
    <m/>
    <m/>
    <s v="SOLFIN"/>
    <s v="SOLFIN"/>
    <s v="CCMS"/>
    <n v="21350110"/>
    <n v="6778.2"/>
    <m/>
    <s v="N"/>
    <n v="10"/>
    <d v="2023-07-10T19:02:14"/>
    <s v="Y"/>
    <s v="Hearing Unit 2.31 - 5.00 Hours"/>
    <s v="Public Law Children"/>
    <s v="Advocacy"/>
    <s v="PNG"/>
    <s v="Y"/>
    <n v="476.92"/>
    <n v="95.38"/>
    <x v="2"/>
    <s v="VALIDATED"/>
    <n v="1"/>
    <s v="01.11.80.308.6100.0000"/>
    <n v="476.92"/>
    <s v="11"/>
    <s v="6100"/>
    <n v="57523.75"/>
    <n v="476.92"/>
    <s v="CREDITOR"/>
    <n v="0"/>
    <n v="0"/>
    <n v="0"/>
    <n v="0"/>
    <n v="476.92"/>
  </r>
  <r>
    <n v="61536154"/>
    <s v="N"/>
    <n v="21349322"/>
    <s v="3000015655120005"/>
    <s v="CIVIL"/>
    <d v="2023-06-29T00:00:00"/>
    <d v="2023-07-10T19:01:40"/>
    <m/>
    <d v="2023-07-10T00:00:00"/>
    <n v="1349"/>
    <n v="18396"/>
    <s v="61536154"/>
    <s v="61536154"/>
    <m/>
    <m/>
    <n v="22790166"/>
    <m/>
    <m/>
    <m/>
    <s v="SOLFIN"/>
    <s v="SOLFIN"/>
    <s v="CCMS"/>
    <n v="21349322"/>
    <n v="5666.21"/>
    <m/>
    <s v="N"/>
    <n v="9"/>
    <d v="2023-07-10T19:01:47"/>
    <s v="Y"/>
    <s v="Hearing Unit 1.01 - 2.30 Hours"/>
    <s v="Public Law Children"/>
    <s v="Advocacy"/>
    <s v="PNG"/>
    <s v="Y"/>
    <n v="238.46"/>
    <n v="47.69"/>
    <x v="2"/>
    <s v="VALIDATED"/>
    <n v="1"/>
    <s v="01.11.80.308.6100.0000"/>
    <n v="238.46"/>
    <s v="11"/>
    <s v="6100"/>
    <n v="57523.75"/>
    <n v="238.46"/>
    <s v="CREDITOR"/>
    <n v="0"/>
    <n v="0"/>
    <n v="0"/>
    <n v="0"/>
    <n v="238.46"/>
  </r>
  <r>
    <n v="60817830"/>
    <s v="N"/>
    <n v="21333930"/>
    <s v="3000015050730002RC"/>
    <s v="CIVIL"/>
    <d v="2023-06-27T00:00:00"/>
    <d v="2023-07-05T19:42:28"/>
    <m/>
    <d v="2023-07-05T00:00:00"/>
    <n v="1349"/>
    <n v="18396"/>
    <s v="60817830"/>
    <s v="60817830"/>
    <m/>
    <m/>
    <m/>
    <m/>
    <m/>
    <m/>
    <s v="SOLRECOUP"/>
    <s v="SOLRECOUP"/>
    <s v="POARECOUP"/>
    <n v="21333930"/>
    <n v="-33"/>
    <m/>
    <s v="Y"/>
    <n v="1"/>
    <d v="2023-07-05T19:42:29"/>
    <s v="N"/>
    <m/>
    <m/>
    <s v="Non Expert Disbursement"/>
    <m/>
    <s v="N"/>
    <n v="-33"/>
    <n v="0"/>
    <x v="6"/>
    <s v="VALIDATED"/>
    <n v="1"/>
    <s v="01.11.80.308.2013.0000"/>
    <n v="-33"/>
    <s v="11"/>
    <s v="2013"/>
    <n v="57523.75"/>
    <n v="-33"/>
    <s v="CREDITOR"/>
    <n v="0"/>
    <n v="0"/>
    <n v="-33"/>
    <n v="0"/>
    <n v="0"/>
  </r>
  <r>
    <n v="60817830"/>
    <s v="N"/>
    <n v="21333930"/>
    <s v="3000015050730002RC"/>
    <s v="CIVIL"/>
    <d v="2023-06-27T00:00:00"/>
    <d v="2023-07-05T19:42:28"/>
    <m/>
    <d v="2023-07-05T00:00:00"/>
    <n v="1349"/>
    <n v="18396"/>
    <s v="60817830"/>
    <s v="60817830"/>
    <m/>
    <m/>
    <m/>
    <m/>
    <m/>
    <m/>
    <s v="SOLRECOUP"/>
    <s v="SOLRECOUP"/>
    <s v="POARECOUP"/>
    <n v="21333930"/>
    <n v="-33"/>
    <m/>
    <s v="Y"/>
    <n v="2"/>
    <d v="2023-07-05T19:42:29"/>
    <s v="N"/>
    <m/>
    <m/>
    <s v="Non Expert Disbursement"/>
    <m/>
    <s v="N"/>
    <n v="0"/>
    <n v="0"/>
    <x v="6"/>
    <s v="VALIDATED"/>
    <n v="1"/>
    <s v="01.11.80.000.0000.0000"/>
    <n v="0"/>
    <s v="11"/>
    <s v="0000"/>
    <n v="57523.75"/>
    <n v="0"/>
    <s v="CREDITOR"/>
    <n v="0"/>
    <n v="0"/>
    <n v="0"/>
    <n v="0"/>
    <n v="0"/>
  </r>
  <r>
    <n v="61085543"/>
    <s v="N"/>
    <n v="21333931"/>
    <s v="3000015278940001RC"/>
    <s v="CIVIL"/>
    <d v="2023-06-27T00:00:00"/>
    <d v="2023-07-05T19:42:28"/>
    <m/>
    <d v="2023-07-05T00:00:00"/>
    <n v="1349"/>
    <n v="18396"/>
    <s v="61085543"/>
    <s v="61085543"/>
    <m/>
    <m/>
    <m/>
    <m/>
    <m/>
    <m/>
    <s v="SOLRECOUP"/>
    <s v="SOLRECOUP"/>
    <s v="POARECOUP"/>
    <n v="21333931"/>
    <n v="-48"/>
    <m/>
    <s v="Y"/>
    <n v="1"/>
    <d v="2023-07-05T19:42:29"/>
    <s v="N"/>
    <m/>
    <m/>
    <s v="Expert Disbursement"/>
    <m/>
    <s v="N"/>
    <n v="-40"/>
    <n v="0"/>
    <x v="6"/>
    <s v="VALIDATED"/>
    <n v="1"/>
    <s v="01.11.80.308.2013.0000"/>
    <n v="-40"/>
    <s v="11"/>
    <s v="2013"/>
    <n v="57523.75"/>
    <n v="-40"/>
    <s v="CREDITOR"/>
    <n v="0"/>
    <n v="0"/>
    <n v="-40"/>
    <n v="0"/>
    <n v="0"/>
  </r>
  <r>
    <n v="61085543"/>
    <s v="N"/>
    <n v="21333931"/>
    <s v="3000015278940001RC"/>
    <s v="CIVIL"/>
    <d v="2023-06-27T00:00:00"/>
    <d v="2023-07-05T19:42:28"/>
    <m/>
    <d v="2023-07-05T00:00:00"/>
    <n v="1349"/>
    <n v="18396"/>
    <s v="61085543"/>
    <s v="61085543"/>
    <m/>
    <m/>
    <m/>
    <m/>
    <m/>
    <m/>
    <s v="SOLRECOUP"/>
    <s v="SOLRECOUP"/>
    <s v="POARECOUP"/>
    <n v="21333931"/>
    <n v="-48"/>
    <m/>
    <s v="Y"/>
    <n v="2"/>
    <d v="2023-07-05T19:42:29"/>
    <s v="N"/>
    <m/>
    <m/>
    <s v="Expert Disbursement"/>
    <m/>
    <s v="N"/>
    <n v="0"/>
    <n v="-8"/>
    <x v="6"/>
    <s v="VALIDATED"/>
    <n v="1"/>
    <s v="01.11.80.308.2013.0000"/>
    <n v="-8"/>
    <s v="11"/>
    <s v="2013"/>
    <n v="57523.75"/>
    <n v="-8"/>
    <s v="CREDITOR"/>
    <n v="0"/>
    <n v="0"/>
    <n v="-8"/>
    <n v="0"/>
    <n v="0"/>
  </r>
  <r>
    <n v="61134985"/>
    <s v="N"/>
    <n v="21346412"/>
    <s v="3000015320960001RC"/>
    <s v="CIVIL"/>
    <d v="2023-06-29T00:00:00"/>
    <d v="2023-07-07T19:34:21"/>
    <m/>
    <d v="2023-07-07T00:00:00"/>
    <n v="1349"/>
    <n v="18396"/>
    <s v="61134985"/>
    <s v="61134985"/>
    <m/>
    <m/>
    <m/>
    <m/>
    <m/>
    <m/>
    <s v="SOLRECOUP"/>
    <s v="SOLRECOUP"/>
    <s v="POARECOUP"/>
    <n v="21346412"/>
    <n v="-474.3"/>
    <m/>
    <s v="Y"/>
    <n v="1"/>
    <d v="2023-07-07T19:34:23"/>
    <s v="N"/>
    <m/>
    <m/>
    <s v="Expert Disbursement"/>
    <m/>
    <s v="N"/>
    <n v="-395.25"/>
    <n v="0"/>
    <x v="9"/>
    <s v="VALIDATED"/>
    <n v="1"/>
    <s v="01.11.80.308.2013.0000"/>
    <n v="-395.25"/>
    <s v="11"/>
    <s v="2013"/>
    <n v="57523.75"/>
    <n v="-395.25"/>
    <s v="CREDITOR"/>
    <n v="0"/>
    <n v="0"/>
    <n v="-395.25"/>
    <n v="0"/>
    <n v="0"/>
  </r>
  <r>
    <n v="61134985"/>
    <s v="N"/>
    <n v="21346412"/>
    <s v="3000015320960001RC"/>
    <s v="CIVIL"/>
    <d v="2023-06-29T00:00:00"/>
    <d v="2023-07-07T19:34:21"/>
    <m/>
    <d v="2023-07-07T00:00:00"/>
    <n v="1349"/>
    <n v="18396"/>
    <s v="61134985"/>
    <s v="61134985"/>
    <m/>
    <m/>
    <m/>
    <m/>
    <m/>
    <m/>
    <s v="SOLRECOUP"/>
    <s v="SOLRECOUP"/>
    <s v="POARECOUP"/>
    <n v="21346412"/>
    <n v="-474.3"/>
    <m/>
    <s v="Y"/>
    <n v="2"/>
    <d v="2023-07-07T19:34:23"/>
    <s v="N"/>
    <m/>
    <m/>
    <s v="Expert Disbursement"/>
    <m/>
    <s v="N"/>
    <n v="0"/>
    <n v="-79.05"/>
    <x v="9"/>
    <s v="VALIDATED"/>
    <n v="1"/>
    <s v="01.11.80.308.2013.0000"/>
    <n v="-79.05"/>
    <s v="11"/>
    <s v="2013"/>
    <n v="57523.75"/>
    <n v="-79.05"/>
    <s v="CREDITOR"/>
    <n v="0"/>
    <n v="0"/>
    <n v="-79.05"/>
    <n v="0"/>
    <n v="0"/>
  </r>
  <r>
    <n v="60509031"/>
    <s v="N"/>
    <n v="21356572"/>
    <s v="3000014783760001RC"/>
    <s v="CIVIL"/>
    <d v="2023-06-29T00:00:00"/>
    <d v="2023-07-10T19:47:44"/>
    <m/>
    <d v="2023-07-10T00:00:00"/>
    <n v="1349"/>
    <n v="18396"/>
    <s v="60509031"/>
    <s v="60509031"/>
    <m/>
    <m/>
    <m/>
    <m/>
    <m/>
    <m/>
    <s v="SOLRECOUP"/>
    <s v="SOLRECOUP"/>
    <s v="POARECOUP"/>
    <n v="21356572"/>
    <n v="-77.40000000000001"/>
    <m/>
    <s v="Y"/>
    <n v="1"/>
    <d v="2023-07-10T19:47:45"/>
    <s v="N"/>
    <m/>
    <m/>
    <s v="Expert Disbursement"/>
    <m/>
    <s v="N"/>
    <n v="-64.5"/>
    <n v="0"/>
    <x v="2"/>
    <s v="VALIDATED"/>
    <n v="1"/>
    <s v="01.11.80.308.2013.0000"/>
    <n v="-64.5"/>
    <s v="11"/>
    <s v="2013"/>
    <n v="57523.75"/>
    <n v="-64.5"/>
    <s v="CREDITOR"/>
    <n v="0"/>
    <n v="0"/>
    <n v="-64.5"/>
    <n v="0"/>
    <n v="0"/>
  </r>
  <r>
    <n v="60509031"/>
    <s v="N"/>
    <n v="21356572"/>
    <s v="3000014783760001RC"/>
    <s v="CIVIL"/>
    <d v="2023-06-29T00:00:00"/>
    <d v="2023-07-10T19:47:44"/>
    <m/>
    <d v="2023-07-10T00:00:00"/>
    <n v="1349"/>
    <n v="18396"/>
    <s v="60509031"/>
    <s v="60509031"/>
    <m/>
    <m/>
    <m/>
    <m/>
    <m/>
    <m/>
    <s v="SOLRECOUP"/>
    <s v="SOLRECOUP"/>
    <s v="POARECOUP"/>
    <n v="21356572"/>
    <n v="-77.40000000000001"/>
    <m/>
    <s v="Y"/>
    <n v="2"/>
    <d v="2023-07-10T19:47:45"/>
    <s v="N"/>
    <m/>
    <m/>
    <s v="Expert Disbursement"/>
    <m/>
    <s v="N"/>
    <n v="0"/>
    <n v="-12.9"/>
    <x v="2"/>
    <s v="VALIDATED"/>
    <n v="1"/>
    <s v="01.11.80.308.2013.0000"/>
    <n v="-12.9"/>
    <s v="11"/>
    <s v="2013"/>
    <n v="57523.75"/>
    <n v="-12.9"/>
    <s v="CREDITOR"/>
    <n v="0"/>
    <n v="0"/>
    <n v="-12.9"/>
    <n v="0"/>
    <n v="0"/>
  </r>
  <r>
    <n v="60509031"/>
    <s v="N"/>
    <n v="21356573"/>
    <s v="3000014783760002RC"/>
    <s v="CIVIL"/>
    <d v="2023-06-29T00:00:00"/>
    <d v="2023-07-10T19:47:44"/>
    <m/>
    <d v="2023-07-10T00:00:00"/>
    <n v="1349"/>
    <n v="18396"/>
    <s v="60509031"/>
    <s v="60509031"/>
    <m/>
    <m/>
    <m/>
    <m/>
    <m/>
    <m/>
    <s v="SOLRECOUP"/>
    <s v="SOLRECOUP"/>
    <s v="POARECOUP"/>
    <n v="21356573"/>
    <n v="-141"/>
    <m/>
    <s v="Y"/>
    <n v="1"/>
    <d v="2023-07-10T19:47:45"/>
    <s v="N"/>
    <m/>
    <m/>
    <s v="Expert Disbursement"/>
    <m/>
    <s v="N"/>
    <n v="-117.5"/>
    <n v="0"/>
    <x v="2"/>
    <s v="VALIDATED"/>
    <n v="1"/>
    <s v="01.11.80.308.2013.0000"/>
    <n v="-117.5"/>
    <s v="11"/>
    <s v="2013"/>
    <n v="57523.75"/>
    <n v="-117.5"/>
    <s v="CREDITOR"/>
    <n v="0"/>
    <n v="0"/>
    <n v="-117.5"/>
    <n v="0"/>
    <n v="0"/>
  </r>
  <r>
    <n v="60509031"/>
    <s v="N"/>
    <n v="21356573"/>
    <s v="3000014783760002RC"/>
    <s v="CIVIL"/>
    <d v="2023-06-29T00:00:00"/>
    <d v="2023-07-10T19:47:44"/>
    <m/>
    <d v="2023-07-10T00:00:00"/>
    <n v="1349"/>
    <n v="18396"/>
    <s v="60509031"/>
    <s v="60509031"/>
    <m/>
    <m/>
    <m/>
    <m/>
    <m/>
    <m/>
    <s v="SOLRECOUP"/>
    <s v="SOLRECOUP"/>
    <s v="POARECOUP"/>
    <n v="21356573"/>
    <n v="-141"/>
    <m/>
    <s v="Y"/>
    <n v="2"/>
    <d v="2023-07-10T19:47:45"/>
    <s v="N"/>
    <m/>
    <m/>
    <s v="Expert Disbursement"/>
    <m/>
    <s v="N"/>
    <n v="0"/>
    <n v="-23.5"/>
    <x v="2"/>
    <s v="VALIDATED"/>
    <n v="1"/>
    <s v="01.11.80.308.2013.0000"/>
    <n v="-23.5"/>
    <s v="11"/>
    <s v="2013"/>
    <n v="57523.75"/>
    <n v="-23.5"/>
    <s v="CREDITOR"/>
    <n v="0"/>
    <n v="0"/>
    <n v="-23.5"/>
    <n v="0"/>
    <n v="0"/>
  </r>
  <r>
    <n v="61143046"/>
    <s v="N"/>
    <n v="21356574"/>
    <s v="3000015328180001RC"/>
    <s v="CIVIL"/>
    <d v="2023-06-30T00:00:00"/>
    <d v="2023-07-10T19:47:44"/>
    <m/>
    <d v="2023-07-10T00:00:00"/>
    <n v="1349"/>
    <n v="18396"/>
    <s v="61143046"/>
    <s v="61143046"/>
    <m/>
    <m/>
    <m/>
    <m/>
    <m/>
    <m/>
    <s v="SOLRECOUP"/>
    <s v="SOLRECOUP"/>
    <s v="POARECOUP"/>
    <n v="21356574"/>
    <n v="-179.6"/>
    <m/>
    <s v="Y"/>
    <n v="1"/>
    <d v="2023-07-10T19:47:45"/>
    <s v="N"/>
    <m/>
    <m/>
    <s v="Expert Disbursement"/>
    <m/>
    <s v="N"/>
    <n v="-149.67"/>
    <n v="0"/>
    <x v="2"/>
    <s v="VALIDATED"/>
    <n v="1"/>
    <s v="01.11.80.308.2013.0000"/>
    <n v="-149.67"/>
    <s v="11"/>
    <s v="2013"/>
    <n v="57523.75"/>
    <n v="-149.67"/>
    <s v="CREDITOR"/>
    <n v="0"/>
    <n v="0"/>
    <n v="-149.67"/>
    <n v="0"/>
    <n v="0"/>
  </r>
  <r>
    <n v="61143046"/>
    <s v="N"/>
    <n v="21356574"/>
    <s v="3000015328180001RC"/>
    <s v="CIVIL"/>
    <d v="2023-06-30T00:00:00"/>
    <d v="2023-07-10T19:47:44"/>
    <m/>
    <d v="2023-07-10T00:00:00"/>
    <n v="1349"/>
    <n v="18396"/>
    <s v="61143046"/>
    <s v="61143046"/>
    <m/>
    <m/>
    <m/>
    <m/>
    <m/>
    <m/>
    <s v="SOLRECOUP"/>
    <s v="SOLRECOUP"/>
    <s v="POARECOUP"/>
    <n v="21356574"/>
    <n v="-179.6"/>
    <m/>
    <s v="Y"/>
    <n v="2"/>
    <d v="2023-07-10T19:47:45"/>
    <s v="N"/>
    <m/>
    <m/>
    <s v="Expert Disbursement"/>
    <m/>
    <s v="N"/>
    <n v="0"/>
    <n v="-29.93"/>
    <x v="2"/>
    <s v="VALIDATED"/>
    <n v="1"/>
    <s v="01.11.80.308.2013.0000"/>
    <n v="-29.93"/>
    <s v="11"/>
    <s v="2013"/>
    <n v="57523.75"/>
    <n v="-29.93"/>
    <s v="CREDITOR"/>
    <n v="0"/>
    <n v="0"/>
    <n v="-29.93"/>
    <n v="0"/>
    <n v="0"/>
  </r>
  <r>
    <n v="61377901"/>
    <s v="N"/>
    <n v="21356575"/>
    <s v="3000015523270002RC"/>
    <s v="CIVIL"/>
    <d v="2023-06-29T00:00:00"/>
    <d v="2023-07-10T19:47:44"/>
    <m/>
    <d v="2023-07-10T00:00:00"/>
    <n v="1349"/>
    <n v="18396"/>
    <s v="61377901"/>
    <s v="61377901"/>
    <m/>
    <m/>
    <m/>
    <m/>
    <m/>
    <m/>
    <s v="SOLRECOUP"/>
    <s v="SOLRECOUP"/>
    <s v="POARECOUP"/>
    <n v="21356575"/>
    <n v="-314.7"/>
    <m/>
    <s v="Y"/>
    <n v="1"/>
    <d v="2023-07-10T19:47:45"/>
    <s v="N"/>
    <m/>
    <m/>
    <s v="Expert Disbursement"/>
    <m/>
    <s v="N"/>
    <n v="-262.25"/>
    <n v="0"/>
    <x v="2"/>
    <s v="VALIDATED"/>
    <n v="1"/>
    <s v="01.11.80.308.2013.0000"/>
    <n v="-262.25"/>
    <s v="11"/>
    <s v="2013"/>
    <n v="57523.75"/>
    <n v="-262.25"/>
    <s v="CREDITOR"/>
    <n v="0"/>
    <n v="0"/>
    <n v="-262.25"/>
    <n v="0"/>
    <n v="0"/>
  </r>
  <r>
    <n v="61377901"/>
    <s v="N"/>
    <n v="21356575"/>
    <s v="3000015523270002RC"/>
    <s v="CIVIL"/>
    <d v="2023-06-29T00:00:00"/>
    <d v="2023-07-10T19:47:44"/>
    <m/>
    <d v="2023-07-10T00:00:00"/>
    <n v="1349"/>
    <n v="18396"/>
    <s v="61377901"/>
    <s v="61377901"/>
    <m/>
    <m/>
    <m/>
    <m/>
    <m/>
    <m/>
    <s v="SOLRECOUP"/>
    <s v="SOLRECOUP"/>
    <s v="POARECOUP"/>
    <n v="21356575"/>
    <n v="-314.7"/>
    <m/>
    <s v="Y"/>
    <n v="2"/>
    <d v="2023-07-10T19:47:45"/>
    <s v="N"/>
    <m/>
    <m/>
    <s v="Expert Disbursement"/>
    <m/>
    <s v="N"/>
    <n v="0"/>
    <n v="-52.45"/>
    <x v="2"/>
    <s v="VALIDATED"/>
    <n v="1"/>
    <s v="01.11.80.308.2013.0000"/>
    <n v="-52.45"/>
    <s v="11"/>
    <s v="2013"/>
    <n v="57523.75"/>
    <n v="-52.45"/>
    <s v="CREDITOR"/>
    <n v="0"/>
    <n v="0"/>
    <n v="-52.45"/>
    <n v="0"/>
    <n v="0"/>
  </r>
  <r>
    <n v="61536154"/>
    <s v="N"/>
    <n v="21356576"/>
    <s v="3000015655120002RC"/>
    <s v="CIVIL"/>
    <d v="2023-06-29T00:00:00"/>
    <d v="2023-07-10T19:47:44"/>
    <m/>
    <d v="2023-07-10T00:00:00"/>
    <n v="1349"/>
    <n v="18396"/>
    <s v="61536154"/>
    <s v="61536154"/>
    <m/>
    <m/>
    <m/>
    <m/>
    <m/>
    <m/>
    <s v="SOLRECOUP"/>
    <s v="SOLRECOUP"/>
    <s v="POARECOUP"/>
    <n v="21356576"/>
    <n v="-52.01"/>
    <m/>
    <s v="Y"/>
    <n v="1"/>
    <d v="2023-07-10T19:47:45"/>
    <s v="N"/>
    <m/>
    <m/>
    <s v="Expert Disbursement"/>
    <m/>
    <s v="N"/>
    <n v="-43.34"/>
    <n v="0"/>
    <x v="2"/>
    <s v="VALIDATED"/>
    <n v="1"/>
    <s v="01.11.80.308.2013.0000"/>
    <n v="-43.34"/>
    <s v="11"/>
    <s v="2013"/>
    <n v="57523.75"/>
    <n v="-43.34"/>
    <s v="CREDITOR"/>
    <n v="0"/>
    <n v="0"/>
    <n v="-43.34"/>
    <n v="0"/>
    <n v="0"/>
  </r>
  <r>
    <n v="61536154"/>
    <s v="N"/>
    <n v="21356576"/>
    <s v="3000015655120002RC"/>
    <s v="CIVIL"/>
    <d v="2023-06-29T00:00:00"/>
    <d v="2023-07-10T19:47:44"/>
    <m/>
    <d v="2023-07-10T00:00:00"/>
    <n v="1349"/>
    <n v="18396"/>
    <s v="61536154"/>
    <s v="61536154"/>
    <m/>
    <m/>
    <m/>
    <m/>
    <m/>
    <m/>
    <s v="SOLRECOUP"/>
    <s v="SOLRECOUP"/>
    <s v="POARECOUP"/>
    <n v="21356576"/>
    <n v="-52.01"/>
    <m/>
    <s v="Y"/>
    <n v="2"/>
    <d v="2023-07-10T19:47:45"/>
    <s v="N"/>
    <m/>
    <m/>
    <s v="Expert Disbursement"/>
    <m/>
    <s v="N"/>
    <n v="0"/>
    <n v="-8.67"/>
    <x v="2"/>
    <s v="VALIDATED"/>
    <n v="1"/>
    <s v="01.11.80.308.2013.0000"/>
    <n v="-8.67"/>
    <s v="11"/>
    <s v="2013"/>
    <n v="57523.75"/>
    <n v="-8.67"/>
    <s v="CREDITOR"/>
    <n v="0"/>
    <n v="0"/>
    <n v="-8.67"/>
    <n v="0"/>
    <n v="0"/>
  </r>
  <r>
    <n v="61536154"/>
    <s v="N"/>
    <n v="21356577"/>
    <s v="3000015655120003RC"/>
    <s v="CIVIL"/>
    <d v="2023-06-29T00:00:00"/>
    <d v="2023-07-10T19:47:44"/>
    <m/>
    <d v="2023-07-10T00:00:00"/>
    <n v="1349"/>
    <n v="18396"/>
    <s v="61536154"/>
    <s v="61536154"/>
    <m/>
    <m/>
    <m/>
    <m/>
    <m/>
    <m/>
    <s v="SOLRECOUP"/>
    <s v="SOLRECOUP"/>
    <s v="POARECOUP"/>
    <n v="21356577"/>
    <n v="-103.97"/>
    <m/>
    <s v="Y"/>
    <n v="1"/>
    <d v="2023-07-10T19:47:45"/>
    <s v="N"/>
    <m/>
    <m/>
    <s v="Expert Disbursement"/>
    <m/>
    <s v="N"/>
    <n v="-86.64"/>
    <n v="0"/>
    <x v="2"/>
    <s v="VALIDATED"/>
    <n v="1"/>
    <s v="01.11.80.308.2013.0000"/>
    <n v="-86.64"/>
    <s v="11"/>
    <s v="2013"/>
    <n v="57523.75"/>
    <n v="-86.64"/>
    <s v="CREDITOR"/>
    <n v="0"/>
    <n v="0"/>
    <n v="-86.64"/>
    <n v="0"/>
    <n v="0"/>
  </r>
  <r>
    <n v="61536154"/>
    <s v="N"/>
    <n v="21356577"/>
    <s v="3000015655120003RC"/>
    <s v="CIVIL"/>
    <d v="2023-06-29T00:00:00"/>
    <d v="2023-07-10T19:47:44"/>
    <m/>
    <d v="2023-07-10T00:00:00"/>
    <n v="1349"/>
    <n v="18396"/>
    <s v="61536154"/>
    <s v="61536154"/>
    <m/>
    <m/>
    <m/>
    <m/>
    <m/>
    <m/>
    <s v="SOLRECOUP"/>
    <s v="SOLRECOUP"/>
    <s v="POARECOUP"/>
    <n v="21356577"/>
    <n v="-103.97"/>
    <m/>
    <s v="Y"/>
    <n v="2"/>
    <d v="2023-07-10T19:47:45"/>
    <s v="N"/>
    <m/>
    <m/>
    <s v="Expert Disbursement"/>
    <m/>
    <s v="N"/>
    <n v="0"/>
    <n v="-17.33"/>
    <x v="2"/>
    <s v="VALIDATED"/>
    <n v="1"/>
    <s v="01.11.80.308.2013.0000"/>
    <n v="-17.33"/>
    <s v="11"/>
    <s v="2013"/>
    <n v="57523.75"/>
    <n v="-17.33"/>
    <s v="CREDITOR"/>
    <n v="0"/>
    <n v="0"/>
    <n v="-17.33"/>
    <n v="0"/>
    <n v="0"/>
  </r>
  <r>
    <n v="61319164"/>
    <s v="N"/>
    <n v="21356578"/>
    <s v="3000015474570001RC"/>
    <s v="CIVIL"/>
    <d v="2023-06-29T00:00:00"/>
    <d v="2023-07-10T19:47:44"/>
    <m/>
    <d v="2023-07-10T00:00:00"/>
    <n v="1349"/>
    <n v="18396"/>
    <s v="61319164"/>
    <s v="61319164"/>
    <m/>
    <m/>
    <m/>
    <m/>
    <m/>
    <m/>
    <s v="SOLRECOUP"/>
    <s v="SOLRECOUP"/>
    <s v="POARECOUP"/>
    <n v="21356578"/>
    <n v="-196.8"/>
    <m/>
    <s v="Y"/>
    <n v="1"/>
    <d v="2023-07-10T19:47:45"/>
    <s v="N"/>
    <m/>
    <m/>
    <s v="Expert Disbursement"/>
    <m/>
    <s v="N"/>
    <n v="-164"/>
    <n v="0"/>
    <x v="2"/>
    <s v="VALIDATED"/>
    <n v="1"/>
    <s v="01.11.80.308.2013.0000"/>
    <n v="-164"/>
    <s v="11"/>
    <s v="2013"/>
    <n v="57523.75"/>
    <n v="-164"/>
    <s v="CREDITOR"/>
    <n v="0"/>
    <n v="0"/>
    <n v="-164"/>
    <n v="0"/>
    <n v="0"/>
  </r>
  <r>
    <n v="61319164"/>
    <s v="N"/>
    <n v="21356578"/>
    <s v="3000015474570001RC"/>
    <s v="CIVIL"/>
    <d v="2023-06-29T00:00:00"/>
    <d v="2023-07-10T19:47:44"/>
    <m/>
    <d v="2023-07-10T00:00:00"/>
    <n v="1349"/>
    <n v="18396"/>
    <s v="61319164"/>
    <s v="61319164"/>
    <m/>
    <m/>
    <m/>
    <m/>
    <m/>
    <m/>
    <s v="SOLRECOUP"/>
    <s v="SOLRECOUP"/>
    <s v="POARECOUP"/>
    <n v="21356578"/>
    <n v="-196.8"/>
    <m/>
    <s v="Y"/>
    <n v="2"/>
    <d v="2023-07-10T19:47:45"/>
    <s v="N"/>
    <m/>
    <m/>
    <s v="Expert Disbursement"/>
    <m/>
    <s v="N"/>
    <n v="0"/>
    <n v="-32.8"/>
    <x v="2"/>
    <s v="VALIDATED"/>
    <n v="1"/>
    <s v="01.11.80.308.2013.0000"/>
    <n v="-32.8"/>
    <s v="11"/>
    <s v="2013"/>
    <n v="57523.75"/>
    <n v="-32.8"/>
    <s v="CREDITOR"/>
    <n v="0"/>
    <n v="0"/>
    <n v="-32.8"/>
    <n v="0"/>
    <n v="0"/>
  </r>
  <r>
    <n v="61377901"/>
    <s v="N"/>
    <n v="21356579"/>
    <s v="3000015523270003RC"/>
    <s v="CIVIL"/>
    <d v="2023-06-29T00:00:00"/>
    <d v="2023-07-10T19:47:44"/>
    <m/>
    <d v="2023-07-10T00:00:00"/>
    <n v="1349"/>
    <n v="18396"/>
    <s v="61377901"/>
    <s v="61377901"/>
    <m/>
    <m/>
    <m/>
    <m/>
    <m/>
    <m/>
    <s v="SOLRECOUP"/>
    <s v="SOLRECOUP"/>
    <s v="POARECOUP"/>
    <n v="21356579"/>
    <n v="-103.2"/>
    <m/>
    <s v="Y"/>
    <n v="1"/>
    <d v="2023-07-10T19:47:45"/>
    <s v="N"/>
    <m/>
    <m/>
    <s v="Expert Disbursement"/>
    <m/>
    <s v="N"/>
    <n v="-86"/>
    <n v="0"/>
    <x v="2"/>
    <s v="VALIDATED"/>
    <n v="1"/>
    <s v="01.11.80.308.2013.0000"/>
    <n v="-86"/>
    <s v="11"/>
    <s v="2013"/>
    <n v="57523.75"/>
    <n v="-86"/>
    <s v="CREDITOR"/>
    <n v="0"/>
    <n v="0"/>
    <n v="-86"/>
    <n v="0"/>
    <n v="0"/>
  </r>
  <r>
    <n v="61377901"/>
    <s v="N"/>
    <n v="21356579"/>
    <s v="3000015523270003RC"/>
    <s v="CIVIL"/>
    <d v="2023-06-29T00:00:00"/>
    <d v="2023-07-10T19:47:44"/>
    <m/>
    <d v="2023-07-10T00:00:00"/>
    <n v="1349"/>
    <n v="18396"/>
    <s v="61377901"/>
    <s v="61377901"/>
    <m/>
    <m/>
    <m/>
    <m/>
    <m/>
    <m/>
    <s v="SOLRECOUP"/>
    <s v="SOLRECOUP"/>
    <s v="POARECOUP"/>
    <n v="21356579"/>
    <n v="-103.2"/>
    <m/>
    <s v="Y"/>
    <n v="2"/>
    <d v="2023-07-10T19:47:45"/>
    <s v="N"/>
    <m/>
    <m/>
    <s v="Expert Disbursement"/>
    <m/>
    <s v="N"/>
    <n v="0"/>
    <n v="-17.2"/>
    <x v="2"/>
    <s v="VALIDATED"/>
    <n v="1"/>
    <s v="01.11.80.308.2013.0000"/>
    <n v="-17.2"/>
    <s v="11"/>
    <s v="2013"/>
    <n v="57523.75"/>
    <n v="-17.2"/>
    <s v="CREDITOR"/>
    <n v="0"/>
    <n v="0"/>
    <n v="-17.2"/>
    <n v="0"/>
    <n v="0"/>
  </r>
  <r>
    <n v="61246704"/>
    <s v="N"/>
    <n v="21356580"/>
    <s v="3000015413860001RC"/>
    <s v="CIVIL"/>
    <d v="2023-06-30T00:00:00"/>
    <d v="2023-07-10T19:47:44"/>
    <m/>
    <d v="2023-07-10T00:00:00"/>
    <n v="1349"/>
    <n v="18396"/>
    <s v="61246704"/>
    <s v="61246704"/>
    <m/>
    <m/>
    <m/>
    <m/>
    <m/>
    <m/>
    <s v="SOLRECOUP"/>
    <s v="SOLRECOUP"/>
    <s v="POARECOUP"/>
    <n v="21356580"/>
    <n v="-18"/>
    <m/>
    <s v="Y"/>
    <n v="1"/>
    <d v="2023-07-10T19:47:45"/>
    <s v="N"/>
    <m/>
    <m/>
    <s v="Expert Disbursement"/>
    <m/>
    <s v="N"/>
    <n v="-15"/>
    <n v="0"/>
    <x v="2"/>
    <s v="VALIDATED"/>
    <n v="1"/>
    <s v="01.11.80.308.2013.0000"/>
    <n v="-15"/>
    <s v="11"/>
    <s v="2013"/>
    <n v="57523.75"/>
    <n v="-15"/>
    <s v="CREDITOR"/>
    <n v="0"/>
    <n v="0"/>
    <n v="-15"/>
    <n v="0"/>
    <n v="0"/>
  </r>
  <r>
    <n v="61246704"/>
    <s v="N"/>
    <n v="21356580"/>
    <s v="3000015413860001RC"/>
    <s v="CIVIL"/>
    <d v="2023-06-30T00:00:00"/>
    <d v="2023-07-10T19:47:44"/>
    <m/>
    <d v="2023-07-10T00:00:00"/>
    <n v="1349"/>
    <n v="18396"/>
    <s v="61246704"/>
    <s v="61246704"/>
    <m/>
    <m/>
    <m/>
    <m/>
    <m/>
    <m/>
    <s v="SOLRECOUP"/>
    <s v="SOLRECOUP"/>
    <s v="POARECOUP"/>
    <n v="21356580"/>
    <n v="-18"/>
    <m/>
    <s v="Y"/>
    <n v="2"/>
    <d v="2023-07-10T19:47:45"/>
    <s v="N"/>
    <m/>
    <m/>
    <s v="Expert Disbursement"/>
    <m/>
    <s v="N"/>
    <n v="0"/>
    <n v="-3"/>
    <x v="2"/>
    <s v="VALIDATED"/>
    <n v="1"/>
    <s v="01.11.80.308.2013.0000"/>
    <n v="-3"/>
    <s v="11"/>
    <s v="2013"/>
    <n v="57523.75"/>
    <n v="-3"/>
    <s v="CREDITOR"/>
    <n v="0"/>
    <n v="0"/>
    <n v="-3"/>
    <n v="0"/>
    <n v="0"/>
  </r>
  <r>
    <n v="61319164"/>
    <s v="N"/>
    <n v="21356581"/>
    <s v="3000015474570002RC"/>
    <s v="CIVIL"/>
    <d v="2023-06-29T00:00:00"/>
    <d v="2023-07-10T19:47:44"/>
    <m/>
    <d v="2023-07-10T00:00:00"/>
    <n v="1349"/>
    <n v="18396"/>
    <s v="61319164"/>
    <s v="61319164"/>
    <m/>
    <m/>
    <m/>
    <m/>
    <m/>
    <m/>
    <s v="SOLRECOUP"/>
    <s v="SOLRECOUP"/>
    <s v="POARECOUP"/>
    <n v="21356581"/>
    <n v="-75.59999999999999"/>
    <m/>
    <s v="Y"/>
    <n v="1"/>
    <d v="2023-07-10T19:47:45"/>
    <s v="N"/>
    <m/>
    <m/>
    <s v="Non Expert Disbursement"/>
    <m/>
    <s v="N"/>
    <n v="-75.59999999999999"/>
    <n v="0"/>
    <x v="2"/>
    <s v="VALIDATED"/>
    <n v="1"/>
    <s v="01.11.80.308.2013.0000"/>
    <n v="-75.59999999999999"/>
    <s v="11"/>
    <s v="2013"/>
    <n v="57523.75"/>
    <n v="-75.59999999999999"/>
    <s v="CREDITOR"/>
    <n v="0"/>
    <n v="0"/>
    <n v="-75.59999999999999"/>
    <n v="0"/>
    <n v="0"/>
  </r>
  <r>
    <n v="61319164"/>
    <s v="N"/>
    <n v="21356581"/>
    <s v="3000015474570002RC"/>
    <s v="CIVIL"/>
    <d v="2023-06-29T00:00:00"/>
    <d v="2023-07-10T19:47:44"/>
    <m/>
    <d v="2023-07-10T00:00:00"/>
    <n v="1349"/>
    <n v="18396"/>
    <s v="61319164"/>
    <s v="61319164"/>
    <m/>
    <m/>
    <m/>
    <m/>
    <m/>
    <m/>
    <s v="SOLRECOUP"/>
    <s v="SOLRECOUP"/>
    <s v="POARECOUP"/>
    <n v="21356581"/>
    <n v="-75.59999999999999"/>
    <m/>
    <s v="Y"/>
    <n v="2"/>
    <d v="2023-07-10T19:47:45"/>
    <s v="N"/>
    <m/>
    <m/>
    <s v="Non Expert Disbursement"/>
    <m/>
    <s v="N"/>
    <n v="0"/>
    <n v="0"/>
    <x v="2"/>
    <s v="VALIDATED"/>
    <n v="1"/>
    <s v="01.11.80.000.0000.0000"/>
    <n v="0"/>
    <s v="11"/>
    <s v="0000"/>
    <n v="57523.75"/>
    <n v="0"/>
    <s v="CREDITOR"/>
    <n v="0"/>
    <n v="0"/>
    <n v="0"/>
    <n v="0"/>
    <n v="0"/>
  </r>
  <r>
    <n v="61246704"/>
    <s v="N"/>
    <n v="21356582"/>
    <s v="3000015413860002RC"/>
    <s v="CIVIL"/>
    <d v="2023-06-30T00:00:00"/>
    <d v="2023-07-10T19:47:44"/>
    <m/>
    <d v="2023-07-10T00:00:00"/>
    <n v="1349"/>
    <n v="18396"/>
    <s v="61246704"/>
    <s v="61246704"/>
    <m/>
    <m/>
    <m/>
    <m/>
    <m/>
    <m/>
    <s v="SOLRECOUP"/>
    <s v="SOLRECOUP"/>
    <s v="POARECOUP"/>
    <n v="21356582"/>
    <n v="-224.48"/>
    <m/>
    <s v="Y"/>
    <n v="1"/>
    <d v="2023-07-10T19:47:45"/>
    <s v="N"/>
    <m/>
    <m/>
    <s v="Expert Disbursement"/>
    <m/>
    <s v="N"/>
    <n v="-224.48"/>
    <n v="0"/>
    <x v="2"/>
    <s v="VALIDATED"/>
    <n v="1"/>
    <s v="01.11.80.308.2013.0000"/>
    <n v="-224.48"/>
    <s v="11"/>
    <s v="2013"/>
    <n v="57523.75"/>
    <n v="-224.48"/>
    <s v="CREDITOR"/>
    <n v="0"/>
    <n v="0"/>
    <n v="-224.48"/>
    <n v="0"/>
    <n v="0"/>
  </r>
  <r>
    <n v="61246704"/>
    <s v="N"/>
    <n v="21356582"/>
    <s v="3000015413860002RC"/>
    <s v="CIVIL"/>
    <d v="2023-06-30T00:00:00"/>
    <d v="2023-07-10T19:47:44"/>
    <m/>
    <d v="2023-07-10T00:00:00"/>
    <n v="1349"/>
    <n v="18396"/>
    <s v="61246704"/>
    <s v="61246704"/>
    <m/>
    <m/>
    <m/>
    <m/>
    <m/>
    <m/>
    <s v="SOLRECOUP"/>
    <s v="SOLRECOUP"/>
    <s v="POARECOUP"/>
    <n v="21356582"/>
    <n v="-224.48"/>
    <m/>
    <s v="Y"/>
    <n v="2"/>
    <d v="2023-07-10T19:47:45"/>
    <s v="N"/>
    <m/>
    <m/>
    <s v="Expert Disbursement"/>
    <m/>
    <s v="N"/>
    <n v="0"/>
    <n v="0"/>
    <x v="2"/>
    <s v="VALIDATED"/>
    <n v="1"/>
    <s v="01.11.80.000.0000.0000"/>
    <n v="0"/>
    <s v="11"/>
    <s v="0000"/>
    <n v="57523.75"/>
    <n v="0"/>
    <s v="CREDITOR"/>
    <n v="0"/>
    <n v="0"/>
    <n v="0"/>
    <n v="0"/>
    <n v="0"/>
  </r>
  <r>
    <n v="61536154"/>
    <s v="N"/>
    <n v="21356583"/>
    <s v="3000015655120001RC"/>
    <s v="CIVIL"/>
    <d v="2023-06-29T00:00:00"/>
    <d v="2023-07-10T19:47:44"/>
    <m/>
    <d v="2023-07-10T00:00:00"/>
    <n v="1349"/>
    <n v="18396"/>
    <s v="61536154"/>
    <s v="61536154"/>
    <m/>
    <m/>
    <m/>
    <m/>
    <m/>
    <m/>
    <s v="SOLRECOUP"/>
    <s v="SOLRECOUP"/>
    <s v="POARECOUP"/>
    <n v="21356583"/>
    <n v="-50.4"/>
    <m/>
    <s v="Y"/>
    <n v="1"/>
    <d v="2023-07-10T19:47:45"/>
    <s v="N"/>
    <m/>
    <m/>
    <s v="Expert Disbursement"/>
    <m/>
    <s v="N"/>
    <n v="-50.4"/>
    <n v="0"/>
    <x v="2"/>
    <s v="VALIDATED"/>
    <n v="1"/>
    <s v="01.11.80.308.2013.0000"/>
    <n v="-50.4"/>
    <s v="11"/>
    <s v="2013"/>
    <n v="57523.75"/>
    <n v="-50.4"/>
    <s v="CREDITOR"/>
    <n v="0"/>
    <n v="0"/>
    <n v="-50.4"/>
    <n v="0"/>
    <n v="0"/>
  </r>
  <r>
    <n v="61536154"/>
    <s v="N"/>
    <n v="21356583"/>
    <s v="3000015655120001RC"/>
    <s v="CIVIL"/>
    <d v="2023-06-29T00:00:00"/>
    <d v="2023-07-10T19:47:44"/>
    <m/>
    <d v="2023-07-10T00:00:00"/>
    <n v="1349"/>
    <n v="18396"/>
    <s v="61536154"/>
    <s v="61536154"/>
    <m/>
    <m/>
    <m/>
    <m/>
    <m/>
    <m/>
    <s v="SOLRECOUP"/>
    <s v="SOLRECOUP"/>
    <s v="POARECOUP"/>
    <n v="21356583"/>
    <n v="-50.4"/>
    <m/>
    <s v="Y"/>
    <n v="2"/>
    <d v="2023-07-10T19:47:45"/>
    <s v="N"/>
    <m/>
    <m/>
    <s v="Expert Disbursement"/>
    <m/>
    <s v="N"/>
    <n v="0"/>
    <n v="0"/>
    <x v="2"/>
    <s v="VALIDATED"/>
    <n v="1"/>
    <s v="01.11.80.000.0000.0000"/>
    <n v="0"/>
    <s v="11"/>
    <s v="0000"/>
    <n v="57523.75"/>
    <n v="0"/>
    <s v="CREDITOR"/>
    <n v="0"/>
    <n v="0"/>
    <n v="0"/>
    <n v="0"/>
    <n v="0"/>
  </r>
  <r>
    <n v="61377901"/>
    <s v="N"/>
    <n v="21356584"/>
    <s v="3000015523270004RC"/>
    <s v="CIVIL"/>
    <d v="2023-06-29T00:00:00"/>
    <d v="2023-07-10T19:47:44"/>
    <m/>
    <d v="2023-07-10T00:00:00"/>
    <n v="1349"/>
    <n v="18396"/>
    <s v="61377901"/>
    <s v="61377901"/>
    <m/>
    <m/>
    <m/>
    <m/>
    <m/>
    <m/>
    <s v="SOLRECOUP"/>
    <s v="SOLRECOUP"/>
    <s v="POARECOUP"/>
    <n v="21356584"/>
    <n v="-106.8"/>
    <m/>
    <s v="Y"/>
    <n v="1"/>
    <d v="2023-07-10T19:47:45"/>
    <s v="N"/>
    <m/>
    <m/>
    <s v="Expert Disbursement"/>
    <m/>
    <s v="N"/>
    <n v="-89"/>
    <n v="0"/>
    <x v="2"/>
    <s v="VALIDATED"/>
    <n v="1"/>
    <s v="01.11.80.308.2013.0000"/>
    <n v="-89"/>
    <s v="11"/>
    <s v="2013"/>
    <n v="57523.75"/>
    <n v="-89"/>
    <s v="CREDITOR"/>
    <n v="0"/>
    <n v="0"/>
    <n v="-89"/>
    <n v="0"/>
    <n v="0"/>
  </r>
  <r>
    <n v="61377901"/>
    <s v="N"/>
    <n v="21356584"/>
    <s v="3000015523270004RC"/>
    <s v="CIVIL"/>
    <d v="2023-06-29T00:00:00"/>
    <d v="2023-07-10T19:47:44"/>
    <m/>
    <d v="2023-07-10T00:00:00"/>
    <n v="1349"/>
    <n v="18396"/>
    <s v="61377901"/>
    <s v="61377901"/>
    <m/>
    <m/>
    <m/>
    <m/>
    <m/>
    <m/>
    <s v="SOLRECOUP"/>
    <s v="SOLRECOUP"/>
    <s v="POARECOUP"/>
    <n v="21356584"/>
    <n v="-106.8"/>
    <m/>
    <s v="Y"/>
    <n v="2"/>
    <d v="2023-07-10T19:47:45"/>
    <s v="N"/>
    <m/>
    <m/>
    <s v="Expert Disbursement"/>
    <m/>
    <s v="N"/>
    <n v="0"/>
    <n v="-17.8"/>
    <x v="2"/>
    <s v="VALIDATED"/>
    <n v="1"/>
    <s v="01.11.80.308.2013.0000"/>
    <n v="-17.8"/>
    <s v="11"/>
    <s v="2013"/>
    <n v="57523.75"/>
    <n v="-17.8"/>
    <s v="CREDITOR"/>
    <n v="0"/>
    <n v="0"/>
    <n v="-17.8"/>
    <n v="0"/>
    <n v="0"/>
  </r>
  <r>
    <n v="61377901"/>
    <s v="N"/>
    <n v="21356585"/>
    <s v="3000015523270005RC"/>
    <s v="CIVIL"/>
    <d v="2023-06-29T00:00:00"/>
    <d v="2023-07-10T19:47:44"/>
    <m/>
    <d v="2023-07-10T00:00:00"/>
    <n v="1349"/>
    <n v="18396"/>
    <s v="61377901"/>
    <s v="61377901"/>
    <m/>
    <m/>
    <m/>
    <m/>
    <m/>
    <m/>
    <s v="SOLRECOUP"/>
    <s v="SOLRECOUP"/>
    <s v="POARECOUP"/>
    <n v="21356585"/>
    <n v="-106.8"/>
    <m/>
    <s v="Y"/>
    <n v="1"/>
    <d v="2023-07-10T19:47:45"/>
    <s v="N"/>
    <m/>
    <m/>
    <s v="Expert Disbursement"/>
    <m/>
    <s v="N"/>
    <n v="-89"/>
    <n v="0"/>
    <x v="2"/>
    <s v="VALIDATED"/>
    <n v="1"/>
    <s v="01.11.80.308.2013.0000"/>
    <n v="-89"/>
    <s v="11"/>
    <s v="2013"/>
    <n v="57523.75"/>
    <n v="-89"/>
    <s v="CREDITOR"/>
    <n v="0"/>
    <n v="0"/>
    <n v="-89"/>
    <n v="0"/>
    <n v="0"/>
  </r>
  <r>
    <n v="61377901"/>
    <s v="N"/>
    <n v="21356585"/>
    <s v="3000015523270005RC"/>
    <s v="CIVIL"/>
    <d v="2023-06-29T00:00:00"/>
    <d v="2023-07-10T19:47:44"/>
    <m/>
    <d v="2023-07-10T00:00:00"/>
    <n v="1349"/>
    <n v="18396"/>
    <s v="61377901"/>
    <s v="61377901"/>
    <m/>
    <m/>
    <m/>
    <m/>
    <m/>
    <m/>
    <s v="SOLRECOUP"/>
    <s v="SOLRECOUP"/>
    <s v="POARECOUP"/>
    <n v="21356585"/>
    <n v="-106.8"/>
    <m/>
    <s v="Y"/>
    <n v="2"/>
    <d v="2023-07-10T19:47:45"/>
    <s v="N"/>
    <m/>
    <m/>
    <s v="Expert Disbursement"/>
    <m/>
    <s v="N"/>
    <n v="0"/>
    <n v="-17.8"/>
    <x v="2"/>
    <s v="VALIDATED"/>
    <n v="1"/>
    <s v="01.11.80.308.2013.0000"/>
    <n v="-17.8"/>
    <s v="11"/>
    <s v="2013"/>
    <n v="57523.75"/>
    <n v="-17.8"/>
    <s v="CREDITOR"/>
    <n v="0"/>
    <n v="0"/>
    <n v="-17.8"/>
    <n v="0"/>
    <n v="0"/>
  </r>
  <r>
    <n v="60509031"/>
    <s v="N"/>
    <n v="21349662"/>
    <s v="3000014783760003"/>
    <s v="CIVIL"/>
    <d v="2023-06-29T00:00:00"/>
    <d v="2023-07-10T19:01:40"/>
    <m/>
    <d v="2023-07-10T00:00:00"/>
    <n v="1349"/>
    <n v="18396"/>
    <s v="60509031"/>
    <s v="60509031"/>
    <m/>
    <m/>
    <n v="22789932"/>
    <m/>
    <m/>
    <m/>
    <s v="SOLFIN"/>
    <s v="SOLFIN"/>
    <s v="CCMS"/>
    <n v="21349662"/>
    <n v="5933.71"/>
    <m/>
    <s v="N"/>
    <n v="3"/>
    <d v="2023-07-10T19:01:55"/>
    <s v="Y"/>
    <s v="Toxicologist"/>
    <s v="Public Law Children"/>
    <s v="Expert Disbursement"/>
    <s v="PNG"/>
    <s v="Y"/>
    <n v="64.5"/>
    <n v="12.9"/>
    <x v="2"/>
    <s v="VALIDATED"/>
    <n v="1"/>
    <s v="01.11.80.308.6300.0000"/>
    <n v="64.5"/>
    <s v="11"/>
    <s v="6300"/>
    <n v="57523.75"/>
    <n v="64.5"/>
    <s v="CREDITOR"/>
    <n v="0"/>
    <n v="0"/>
    <n v="0"/>
    <n v="0"/>
    <n v="64.5"/>
  </r>
  <r>
    <n v="61134985"/>
    <s v="N"/>
    <n v="21344072"/>
    <s v="3000015320960002"/>
    <s v="CIVIL"/>
    <d v="2023-06-29T00:00:00"/>
    <d v="2023-07-07T19:03:00"/>
    <m/>
    <d v="2023-07-07T00:00:00"/>
    <n v="1349"/>
    <n v="18396"/>
    <s v="61134985"/>
    <s v="61134985"/>
    <m/>
    <m/>
    <n v="22790046"/>
    <m/>
    <m/>
    <m/>
    <s v="SOLFIN"/>
    <s v="SOLFIN"/>
    <s v="CCMS"/>
    <n v="21344072"/>
    <n v="5565.08"/>
    <m/>
    <s v="N"/>
    <n v="6"/>
    <d v="2023-07-07T19:03:22"/>
    <s v="Y"/>
    <s v="Hearing Unit 2.31 - 5.00 Hours"/>
    <s v="Public Law Children"/>
    <s v="Advocacy"/>
    <s v="PNG"/>
    <s v="Y"/>
    <n v="476.92"/>
    <n v="95.38"/>
    <x v="9"/>
    <s v="VALIDATED"/>
    <n v="1"/>
    <s v="01.11.80.308.6100.0000"/>
    <n v="476.92"/>
    <s v="11"/>
    <s v="6100"/>
    <n v="57523.75"/>
    <n v="476.92"/>
    <s v="CREDITOR"/>
    <n v="0"/>
    <n v="0"/>
    <n v="0"/>
    <n v="0"/>
    <n v="476.92"/>
  </r>
  <r>
    <n v="61700322"/>
    <s v="N"/>
    <n v="21338422"/>
    <s v="3000015784600001"/>
    <s v="CIVIL"/>
    <d v="2023-06-30T00:00:00"/>
    <d v="2023-07-06T19:21:01"/>
    <m/>
    <d v="2023-07-06T00:00:00"/>
    <n v="1349"/>
    <n v="18396"/>
    <s v="61700322"/>
    <s v="61700322"/>
    <m/>
    <m/>
    <n v="22796162"/>
    <m/>
    <m/>
    <m/>
    <s v="SOLFIN"/>
    <s v="SOLFIN"/>
    <s v="CCMS"/>
    <n v="21338422"/>
    <n v="4280.17"/>
    <m/>
    <s v="N"/>
    <n v="7"/>
    <d v="2023-07-06T19:21:24"/>
    <s v="Y"/>
    <s v="Solicitors Fixed Fee"/>
    <s v="Public Law Children"/>
    <s v="Profit Cost"/>
    <s v="SM"/>
    <s v="Y"/>
    <n v="1754"/>
    <n v="350.8"/>
    <x v="4"/>
    <s v="VALIDATED"/>
    <n v="1"/>
    <s v="01.11.80.308.6100.0000"/>
    <n v="1754"/>
    <s v="11"/>
    <s v="6100"/>
    <n v="57523.75"/>
    <n v="1754"/>
    <s v="CREDITOR"/>
    <n v="0"/>
    <n v="0"/>
    <n v="0"/>
    <n v="0"/>
    <n v="1754"/>
  </r>
  <r>
    <n v="60817830"/>
    <s v="N"/>
    <n v="21331208"/>
    <s v="3000015050730003"/>
    <s v="CIVIL"/>
    <d v="2023-06-27T00:00:00"/>
    <d v="2023-07-05T19:01:47"/>
    <m/>
    <d v="2023-07-05T00:00:00"/>
    <n v="1349"/>
    <n v="18396"/>
    <s v="60817830"/>
    <s v="60817830"/>
    <m/>
    <m/>
    <n v="22771214"/>
    <m/>
    <m/>
    <m/>
    <s v="SOLFIN"/>
    <s v="SOLFIN"/>
    <s v="CCMS"/>
    <n v="21331208"/>
    <n v="4692.24"/>
    <m/>
    <s v="N"/>
    <n v="4"/>
    <d v="2023-07-05T19:02:10"/>
    <s v="Y"/>
    <s v="Solicitor Travel Expenses"/>
    <s v="Public Law Children"/>
    <s v="Non Expert Disbursement"/>
    <s v="PNG"/>
    <s v="Y"/>
    <n v="5"/>
    <n v="0"/>
    <x v="6"/>
    <s v="VALIDATED"/>
    <n v="1"/>
    <s v="01.11.80.308.6300.0000"/>
    <n v="5"/>
    <s v="11"/>
    <s v="6300"/>
    <n v="57523.75"/>
    <n v="5"/>
    <s v="CREDITOR"/>
    <n v="0"/>
    <n v="0"/>
    <n v="0"/>
    <n v="0"/>
    <n v="5"/>
  </r>
  <r>
    <n v="61436518"/>
    <s v="N"/>
    <n v="21349784"/>
    <s v="3000015570790001"/>
    <s v="CIVIL"/>
    <d v="2023-06-29T00:00:00"/>
    <d v="2023-07-10T19:01:40"/>
    <m/>
    <d v="2023-07-10T00:00:00"/>
    <n v="1349"/>
    <n v="18396"/>
    <s v="61436518"/>
    <s v="61436518"/>
    <m/>
    <m/>
    <n v="22791150"/>
    <m/>
    <m/>
    <m/>
    <s v="SOLFIN"/>
    <s v="SOLFIN"/>
    <s v="CCMS"/>
    <n v="21349784"/>
    <n v="4447.2"/>
    <m/>
    <s v="N"/>
    <n v="3"/>
    <d v="2023-07-10T19:01:57"/>
    <s v="Y"/>
    <s v="Advocates Meeting"/>
    <s v="Public Law Children"/>
    <s v="Advocacy"/>
    <s v="SM"/>
    <s v="Y"/>
    <n v="140.99"/>
    <n v="28.2"/>
    <x v="2"/>
    <s v="VALIDATED"/>
    <n v="1"/>
    <s v="01.11.80.308.6100.0000"/>
    <n v="140.99"/>
    <s v="11"/>
    <s v="6100"/>
    <n v="57523.75"/>
    <n v="140.99"/>
    <s v="CREDITOR"/>
    <n v="0"/>
    <n v="0"/>
    <n v="0"/>
    <n v="0"/>
    <n v="140.99"/>
  </r>
  <r>
    <n v="61143046"/>
    <s v="N"/>
    <n v="21350110"/>
    <s v="3000015328180002"/>
    <s v="CIVIL"/>
    <d v="2023-06-30T00:00:00"/>
    <d v="2023-07-10T19:01:40"/>
    <m/>
    <d v="2023-07-10T00:00:00"/>
    <n v="1349"/>
    <n v="18396"/>
    <s v="61143046"/>
    <s v="61143046"/>
    <m/>
    <m/>
    <n v="22798350"/>
    <m/>
    <m/>
    <m/>
    <s v="SOLFIN"/>
    <s v="SOLFIN"/>
    <s v="CCMS"/>
    <n v="21350110"/>
    <n v="6778.2"/>
    <m/>
    <s v="N"/>
    <n v="9"/>
    <d v="2023-07-10T19:02:14"/>
    <s v="Y"/>
    <s v="Advocates Meeting"/>
    <s v="Public Law Children"/>
    <s v="Advocacy"/>
    <s v="PNG"/>
    <s v="Y"/>
    <n v="140.99"/>
    <n v="28.2"/>
    <x v="2"/>
    <s v="VALIDATED"/>
    <n v="1"/>
    <s v="01.11.80.308.6100.0000"/>
    <n v="140.99"/>
    <s v="11"/>
    <s v="6100"/>
    <n v="57523.75"/>
    <n v="140.99"/>
    <s v="CREDITOR"/>
    <n v="0"/>
    <n v="0"/>
    <n v="0"/>
    <n v="0"/>
    <n v="140.99"/>
  </r>
  <r>
    <n v="60509031"/>
    <s v="N"/>
    <n v="21349662"/>
    <s v="3000014783760003"/>
    <s v="CIVIL"/>
    <d v="2023-06-29T00:00:00"/>
    <d v="2023-07-10T19:01:40"/>
    <m/>
    <d v="2023-07-10T00:00:00"/>
    <n v="1349"/>
    <n v="18396"/>
    <s v="60509031"/>
    <s v="60509031"/>
    <m/>
    <m/>
    <n v="22789932"/>
    <m/>
    <m/>
    <m/>
    <s v="SOLFIN"/>
    <s v="SOLFIN"/>
    <s v="CCMS"/>
    <n v="21349662"/>
    <n v="5933.71"/>
    <m/>
    <s v="N"/>
    <n v="5"/>
    <d v="2023-07-10T19:01:55"/>
    <s v="Y"/>
    <s v="Advocates Meeting"/>
    <s v="Public Law Children"/>
    <s v="Advocacy"/>
    <s v="PNG"/>
    <s v="Y"/>
    <n v="140.99"/>
    <n v="28.2"/>
    <x v="2"/>
    <s v="VALIDATED"/>
    <n v="1"/>
    <s v="01.11.80.308.6100.0000"/>
    <n v="140.99"/>
    <s v="11"/>
    <s v="6100"/>
    <n v="57523.75"/>
    <n v="140.99"/>
    <s v="CREDITOR"/>
    <n v="0"/>
    <n v="0"/>
    <n v="0"/>
    <n v="0"/>
    <n v="140.99"/>
  </r>
  <r>
    <n v="61085543"/>
    <s v="N"/>
    <n v="21331028"/>
    <s v="3000015278940002"/>
    <s v="CIVIL"/>
    <d v="2023-06-27T00:00:00"/>
    <d v="2023-07-05T19:01:47"/>
    <m/>
    <d v="2023-07-05T00:00:00"/>
    <n v="1349"/>
    <n v="18396"/>
    <s v="61085543"/>
    <s v="61085543"/>
    <m/>
    <m/>
    <n v="22769996"/>
    <m/>
    <m/>
    <m/>
    <s v="SOLFIN"/>
    <s v="SOLFIN"/>
    <s v="CCMS"/>
    <n v="21331028"/>
    <n v="7903.45"/>
    <m/>
    <s v="N"/>
    <n v="5"/>
    <d v="2023-07-05T19:02:03"/>
    <s v="Y"/>
    <s v="Toxicologist"/>
    <s v="Public Law Children"/>
    <s v="Expert Disbursement"/>
    <s v="PNG"/>
    <s v="Y"/>
    <n v="145.75"/>
    <n v="29.15"/>
    <x v="6"/>
    <s v="VALIDATED"/>
    <n v="1"/>
    <s v="01.11.80.308.6300.0000"/>
    <n v="145.75"/>
    <s v="11"/>
    <s v="6300"/>
    <n v="57523.75"/>
    <n v="145.75"/>
    <s v="CREDITOR"/>
    <n v="0"/>
    <n v="0"/>
    <n v="0"/>
    <n v="0"/>
    <n v="145.75"/>
  </r>
  <r>
    <n v="60817830"/>
    <s v="N"/>
    <n v="21331208"/>
    <s v="3000015050730003"/>
    <s v="CIVIL"/>
    <d v="2023-06-27T00:00:00"/>
    <d v="2023-07-05T19:01:47"/>
    <m/>
    <d v="2023-07-05T00:00:00"/>
    <n v="1349"/>
    <n v="18396"/>
    <s v="60817830"/>
    <s v="60817830"/>
    <m/>
    <m/>
    <n v="22771214"/>
    <m/>
    <m/>
    <m/>
    <s v="SOLFIN"/>
    <s v="SOLFIN"/>
    <s v="CCMS"/>
    <n v="21331208"/>
    <n v="4692.24"/>
    <m/>
    <s v="N"/>
    <n v="6"/>
    <d v="2023-07-05T19:02:10"/>
    <s v="Y"/>
    <s v="Hearing Unit 2.31 - 5.00 Hours"/>
    <s v="Public Law Children"/>
    <s v="Advocacy"/>
    <s v="SM"/>
    <s v="Y"/>
    <n v="476.92"/>
    <n v="95.38"/>
    <x v="6"/>
    <s v="VALIDATED"/>
    <n v="1"/>
    <s v="01.11.80.308.6100.0000"/>
    <n v="476.92"/>
    <s v="11"/>
    <s v="6100"/>
    <n v="57523.75"/>
    <n v="476.92"/>
    <s v="CREDITOR"/>
    <n v="0"/>
    <n v="0"/>
    <n v="0"/>
    <n v="0"/>
    <n v="476.92"/>
  </r>
  <r>
    <n v="61302125"/>
    <s v="N"/>
    <n v="21331250"/>
    <s v="3000015459840001"/>
    <s v="CIVIL"/>
    <d v="2023-06-27T00:00:00"/>
    <d v="2023-07-05T19:01:47"/>
    <m/>
    <d v="2023-07-05T00:00:00"/>
    <n v="1349"/>
    <n v="18396"/>
    <s v="61302125"/>
    <s v="61302125"/>
    <m/>
    <m/>
    <n v="22771050"/>
    <m/>
    <m/>
    <m/>
    <s v="SOLFIN"/>
    <s v="SOLFIN"/>
    <s v="CCMS"/>
    <n v="21331250"/>
    <n v="5715.31"/>
    <m/>
    <s v="N"/>
    <n v="12"/>
    <d v="2023-07-05T19:02:11"/>
    <s v="Y"/>
    <s v="Solicitors Fixed Fee"/>
    <s v="Public Law Children"/>
    <s v="Profit Cost"/>
    <s v="PNG"/>
    <s v="Y"/>
    <n v="1754"/>
    <n v="350.8"/>
    <x v="6"/>
    <s v="VALIDATED"/>
    <n v="1"/>
    <s v="01.11.80.308.6100.0000"/>
    <n v="1754"/>
    <s v="11"/>
    <s v="6100"/>
    <n v="57523.75"/>
    <n v="1754"/>
    <s v="CREDITOR"/>
    <n v="0"/>
    <n v="0"/>
    <n v="0"/>
    <n v="0"/>
    <n v="1754"/>
  </r>
  <r>
    <n v="61246704"/>
    <s v="N"/>
    <n v="21349925"/>
    <s v="3000015413860003"/>
    <s v="CIVIL"/>
    <d v="2023-06-30T00:00:00"/>
    <d v="2023-07-10T19:01:40"/>
    <m/>
    <d v="2023-07-10T00:00:00"/>
    <n v="1349"/>
    <n v="18396"/>
    <s v="61246704"/>
    <s v="61246704"/>
    <m/>
    <m/>
    <n v="22796418"/>
    <m/>
    <m/>
    <m/>
    <s v="SOLFIN"/>
    <s v="SOLFIN"/>
    <s v="CCMS"/>
    <n v="21349925"/>
    <n v="5187.25"/>
    <m/>
    <s v="N"/>
    <n v="10"/>
    <d v="2023-07-10T19:02:03"/>
    <s v="Y"/>
    <s v="Hearing Unit 2.31 - 5.00 Hours"/>
    <s v="Public Law Children"/>
    <s v="Advocacy"/>
    <s v="FLH"/>
    <s v="Y"/>
    <n v="476.92"/>
    <n v="95.38"/>
    <x v="2"/>
    <s v="VALIDATED"/>
    <n v="1"/>
    <s v="01.11.80.308.6100.0000"/>
    <n v="476.92"/>
    <s v="11"/>
    <s v="6100"/>
    <n v="57523.75"/>
    <n v="476.92"/>
    <s v="CREDITOR"/>
    <n v="0"/>
    <n v="0"/>
    <n v="0"/>
    <n v="0"/>
    <n v="476.92"/>
  </r>
  <r>
    <n v="61700322"/>
    <s v="N"/>
    <n v="21338422"/>
    <s v="3000015784600001"/>
    <s v="CIVIL"/>
    <d v="2023-06-30T00:00:00"/>
    <d v="2023-07-06T19:21:01"/>
    <m/>
    <d v="2023-07-06T00:00:00"/>
    <n v="1349"/>
    <n v="18396"/>
    <s v="61700322"/>
    <s v="61700322"/>
    <m/>
    <m/>
    <n v="22796162"/>
    <m/>
    <m/>
    <m/>
    <s v="SOLFIN"/>
    <s v="SOLFIN"/>
    <s v="CCMS"/>
    <n v="21338422"/>
    <n v="4280.17"/>
    <m/>
    <s v="N"/>
    <n v="4"/>
    <d v="2023-07-06T19:21:24"/>
    <s v="Y"/>
    <s v="Advocates Meeting"/>
    <s v="Public Law Children"/>
    <s v="Advocacy"/>
    <s v="SM"/>
    <s v="Y"/>
    <n v="140.99"/>
    <n v="28.2"/>
    <x v="4"/>
    <s v="VALIDATED"/>
    <n v="1"/>
    <s v="01.11.80.308.6100.0000"/>
    <n v="140.99"/>
    <s v="11"/>
    <s v="6100"/>
    <n v="57523.75"/>
    <n v="140.99"/>
    <s v="CREDITOR"/>
    <n v="0"/>
    <n v="0"/>
    <n v="0"/>
    <n v="0"/>
    <n v="140.99"/>
  </r>
  <r>
    <n v="61536154"/>
    <s v="N"/>
    <n v="21349322"/>
    <s v="3000015655120005"/>
    <s v="CIVIL"/>
    <d v="2023-06-29T00:00:00"/>
    <d v="2023-07-10T19:01:40"/>
    <m/>
    <d v="2023-07-10T00:00:00"/>
    <n v="1349"/>
    <n v="18396"/>
    <s v="61536154"/>
    <s v="61536154"/>
    <m/>
    <m/>
    <n v="22790166"/>
    <m/>
    <m/>
    <m/>
    <s v="SOLFIN"/>
    <s v="SOLFIN"/>
    <s v="CCMS"/>
    <n v="21349322"/>
    <n v="5666.21"/>
    <m/>
    <s v="N"/>
    <n v="5"/>
    <d v="2023-07-10T19:01:47"/>
    <s v="Y"/>
    <s v="Final Hearing - 1 Day"/>
    <s v="Public Law Children"/>
    <s v="Advocacy"/>
    <s v="PNG"/>
    <s v="Y"/>
    <n v="556.88"/>
    <n v="111.38"/>
    <x v="2"/>
    <s v="VALIDATED"/>
    <n v="1"/>
    <s v="01.11.80.308.6100.0000"/>
    <n v="556.88"/>
    <s v="11"/>
    <s v="6100"/>
    <n v="57523.75"/>
    <n v="556.88"/>
    <s v="CREDITOR"/>
    <n v="0"/>
    <n v="0"/>
    <n v="0"/>
    <n v="0"/>
    <n v="556.88"/>
  </r>
  <r>
    <n v="61143046"/>
    <s v="N"/>
    <n v="21350110"/>
    <s v="3000015328180002"/>
    <s v="CIVIL"/>
    <d v="2023-06-30T00:00:00"/>
    <d v="2023-07-10T19:01:40"/>
    <m/>
    <d v="2023-07-10T00:00:00"/>
    <n v="1349"/>
    <n v="18396"/>
    <s v="61143046"/>
    <s v="61143046"/>
    <m/>
    <m/>
    <n v="22798350"/>
    <m/>
    <m/>
    <m/>
    <s v="SOLFIN"/>
    <s v="SOLFIN"/>
    <s v="CCMS"/>
    <n v="21350110"/>
    <n v="6778.2"/>
    <m/>
    <s v="N"/>
    <n v="12"/>
    <d v="2023-07-10T19:02:14"/>
    <s v="Y"/>
    <s v="Final Hearing - 1 Day"/>
    <s v="Public Law Children"/>
    <s v="Advocacy"/>
    <s v="PNG"/>
    <s v="Y"/>
    <n v="556.88"/>
    <n v="111.37"/>
    <x v="2"/>
    <s v="VALIDATED"/>
    <n v="1"/>
    <s v="01.11.80.308.6100.0000"/>
    <n v="556.88"/>
    <s v="11"/>
    <s v="6100"/>
    <n v="57523.75"/>
    <n v="556.88"/>
    <s v="CREDITOR"/>
    <n v="0"/>
    <n v="0"/>
    <n v="0"/>
    <n v="0"/>
    <n v="556.88"/>
  </r>
  <r>
    <n v="61143046"/>
    <s v="N"/>
    <n v="21350110"/>
    <s v="3000015328180002"/>
    <s v="CIVIL"/>
    <d v="2023-06-30T00:00:00"/>
    <d v="2023-07-10T19:01:40"/>
    <m/>
    <d v="2023-07-10T00:00:00"/>
    <n v="1349"/>
    <n v="18396"/>
    <s v="61143046"/>
    <s v="61143046"/>
    <m/>
    <m/>
    <n v="22798350"/>
    <m/>
    <m/>
    <m/>
    <s v="SOLFIN"/>
    <s v="SOLFIN"/>
    <s v="CCMS"/>
    <n v="21350110"/>
    <n v="6778.2"/>
    <m/>
    <s v="N"/>
    <n v="7"/>
    <d v="2023-07-10T19:02:14"/>
    <s v="Y"/>
    <s v="Hearing Unit 2.31 - 5.00 Hours"/>
    <s v="Public Law Children"/>
    <s v="Advocacy"/>
    <s v="PNG"/>
    <s v="Y"/>
    <n v="476.92"/>
    <n v="95.38"/>
    <x v="2"/>
    <s v="VALIDATED"/>
    <n v="1"/>
    <s v="01.11.80.308.6100.0000"/>
    <n v="476.92"/>
    <s v="11"/>
    <s v="6100"/>
    <n v="57523.75"/>
    <n v="476.92"/>
    <s v="CREDITOR"/>
    <n v="0"/>
    <n v="0"/>
    <n v="0"/>
    <n v="0"/>
    <n v="476.92"/>
  </r>
  <r>
    <n v="61246704"/>
    <s v="N"/>
    <n v="21349925"/>
    <s v="3000015413860003"/>
    <s v="CIVIL"/>
    <d v="2023-06-30T00:00:00"/>
    <d v="2023-07-10T19:01:40"/>
    <m/>
    <d v="2023-07-10T00:00:00"/>
    <n v="1349"/>
    <n v="18396"/>
    <s v="61246704"/>
    <s v="61246704"/>
    <m/>
    <m/>
    <n v="22796418"/>
    <m/>
    <m/>
    <m/>
    <s v="SOLFIN"/>
    <s v="SOLFIN"/>
    <s v="CCMS"/>
    <n v="21349925"/>
    <n v="5187.25"/>
    <m/>
    <s v="N"/>
    <n v="1"/>
    <d v="2023-07-10T19:02:03"/>
    <s v="Y"/>
    <s v="Final Hearing Court Bundle/Advocate"/>
    <s v="Public Law Children"/>
    <s v="Advocacy"/>
    <s v="SM"/>
    <s v="Y"/>
    <n v="239.4"/>
    <n v="47.88"/>
    <x v="2"/>
    <s v="VALIDATED"/>
    <n v="1"/>
    <s v="01.11.80.308.6100.0000"/>
    <n v="239.4"/>
    <s v="11"/>
    <s v="6100"/>
    <n v="57523.75"/>
    <n v="239.4"/>
    <s v="CREDITOR"/>
    <n v="0"/>
    <n v="0"/>
    <n v="0"/>
    <n v="0"/>
    <n v="239.4"/>
  </r>
  <r>
    <n v="61536154"/>
    <s v="N"/>
    <n v="21349322"/>
    <s v="3000015655120005"/>
    <s v="CIVIL"/>
    <d v="2023-06-29T00:00:00"/>
    <d v="2023-07-10T19:01:40"/>
    <m/>
    <d v="2023-07-10T00:00:00"/>
    <n v="1349"/>
    <n v="18396"/>
    <s v="61536154"/>
    <s v="61536154"/>
    <m/>
    <m/>
    <n v="22790166"/>
    <m/>
    <m/>
    <m/>
    <s v="SOLFIN"/>
    <s v="SOLFIN"/>
    <s v="CCMS"/>
    <n v="21349322"/>
    <n v="5666.21"/>
    <m/>
    <s v="N"/>
    <n v="6"/>
    <d v="2023-07-10T19:01:47"/>
    <s v="Y"/>
    <s v="Advocates Meeting"/>
    <s v="Public Law Children"/>
    <s v="Advocacy"/>
    <s v="PNG"/>
    <s v="Y"/>
    <n v="140.99"/>
    <n v="28.2"/>
    <x v="2"/>
    <s v="VALIDATED"/>
    <n v="1"/>
    <s v="01.11.80.308.6100.0000"/>
    <n v="140.99"/>
    <s v="11"/>
    <s v="6100"/>
    <n v="57523.75"/>
    <n v="140.99"/>
    <s v="CREDITOR"/>
    <n v="0"/>
    <n v="0"/>
    <n v="0"/>
    <n v="0"/>
    <n v="140.99"/>
  </r>
  <r>
    <n v="61143046"/>
    <s v="N"/>
    <n v="21350110"/>
    <s v="3000015328180002"/>
    <s v="CIVIL"/>
    <d v="2023-06-30T00:00:00"/>
    <d v="2023-07-10T19:01:40"/>
    <m/>
    <d v="2023-07-10T00:00:00"/>
    <n v="1349"/>
    <n v="18396"/>
    <s v="61143046"/>
    <s v="61143046"/>
    <m/>
    <m/>
    <n v="22798350"/>
    <m/>
    <m/>
    <m/>
    <s v="SOLFIN"/>
    <s v="SOLFIN"/>
    <s v="CCMS"/>
    <n v="21350110"/>
    <n v="6778.2"/>
    <m/>
    <s v="N"/>
    <n v="13"/>
    <d v="2023-07-10T19:02:14"/>
    <s v="Y"/>
    <s v="Solicitors Fixed Fee"/>
    <s v="Public Law Children"/>
    <s v="Profit Cost"/>
    <s v="PNG"/>
    <s v="Y"/>
    <n v="1754"/>
    <n v="350.81"/>
    <x v="2"/>
    <s v="VALIDATED"/>
    <n v="1"/>
    <s v="01.11.80.308.6100.0000"/>
    <n v="1754"/>
    <s v="11"/>
    <s v="6100"/>
    <n v="57523.75"/>
    <n v="1754"/>
    <s v="CREDITOR"/>
    <n v="0"/>
    <n v="0"/>
    <n v="0"/>
    <n v="0"/>
    <n v="1754"/>
  </r>
  <r>
    <n v="60817830"/>
    <s v="N"/>
    <n v="21331208"/>
    <s v="3000015050730003"/>
    <s v="CIVIL"/>
    <d v="2023-06-27T00:00:00"/>
    <d v="2023-07-05T19:01:47"/>
    <m/>
    <d v="2023-07-05T00:00:00"/>
    <n v="1349"/>
    <n v="18396"/>
    <s v="60817830"/>
    <s v="60817830"/>
    <m/>
    <m/>
    <n v="22771214"/>
    <m/>
    <m/>
    <m/>
    <s v="SOLFIN"/>
    <s v="SOLFIN"/>
    <s v="CCMS"/>
    <n v="21331208"/>
    <n v="4692.24"/>
    <m/>
    <s v="N"/>
    <n v="10"/>
    <d v="2023-07-05T19:02:10"/>
    <s v="Y"/>
    <s v="Hearing Unit 2.31 - 5.00 Hours"/>
    <s v="Public Law Children"/>
    <s v="Advocacy"/>
    <s v="PNG"/>
    <s v="Y"/>
    <n v="476.92"/>
    <n v="95.38"/>
    <x v="6"/>
    <s v="VALIDATED"/>
    <n v="1"/>
    <s v="01.11.80.308.6100.0000"/>
    <n v="476.92"/>
    <s v="11"/>
    <s v="6100"/>
    <n v="57523.75"/>
    <n v="476.92"/>
    <s v="CREDITOR"/>
    <n v="0"/>
    <n v="0"/>
    <n v="0"/>
    <n v="0"/>
    <n v="476.92"/>
  </r>
  <r>
    <n v="60817830"/>
    <s v="N"/>
    <n v="21331208"/>
    <s v="3000015050730003"/>
    <s v="CIVIL"/>
    <d v="2023-06-27T00:00:00"/>
    <d v="2023-07-05T19:01:47"/>
    <m/>
    <d v="2023-07-05T00:00:00"/>
    <n v="1349"/>
    <n v="18396"/>
    <s v="60817830"/>
    <s v="60817830"/>
    <m/>
    <m/>
    <n v="22771214"/>
    <m/>
    <m/>
    <m/>
    <s v="SOLFIN"/>
    <s v="SOLFIN"/>
    <s v="CCMS"/>
    <n v="21331208"/>
    <n v="4692.24"/>
    <m/>
    <s v="N"/>
    <n v="2"/>
    <d v="2023-07-05T19:02:10"/>
    <s v="Y"/>
    <s v="Final Hearing Court Bundle/Advocate"/>
    <s v="Public Law Children"/>
    <s v="Advocacy"/>
    <s v="PNG"/>
    <s v="Y"/>
    <n v="159.3"/>
    <n v="31.86"/>
    <x v="6"/>
    <s v="VALIDATED"/>
    <n v="1"/>
    <s v="01.11.80.308.6100.0000"/>
    <n v="159.3"/>
    <s v="11"/>
    <s v="6100"/>
    <n v="57523.75"/>
    <n v="159.3"/>
    <s v="CREDITOR"/>
    <n v="0"/>
    <n v="0"/>
    <n v="0"/>
    <n v="0"/>
    <n v="159.3"/>
  </r>
  <r>
    <n v="61536154"/>
    <s v="N"/>
    <n v="21349322"/>
    <s v="3000015655120005"/>
    <s v="CIVIL"/>
    <d v="2023-06-29T00:00:00"/>
    <d v="2023-07-10T19:01:40"/>
    <m/>
    <d v="2023-07-10T00:00:00"/>
    <n v="1349"/>
    <n v="18396"/>
    <s v="61536154"/>
    <s v="61536154"/>
    <m/>
    <m/>
    <n v="22790166"/>
    <m/>
    <m/>
    <m/>
    <s v="SOLFIN"/>
    <s v="SOLFIN"/>
    <s v="CCMS"/>
    <n v="21349322"/>
    <n v="5666.21"/>
    <m/>
    <s v="N"/>
    <n v="3"/>
    <d v="2023-07-10T19:01:47"/>
    <s v="Y"/>
    <s v="Toxicologist"/>
    <s v="Public Law Children"/>
    <s v="Expert Disbursement"/>
    <s v="PNG"/>
    <s v="Y"/>
    <n v="129.98"/>
    <n v="26"/>
    <x v="2"/>
    <s v="VALIDATED"/>
    <n v="1"/>
    <s v="01.11.80.308.6300.0000"/>
    <n v="129.98"/>
    <s v="11"/>
    <s v="6300"/>
    <n v="57523.75"/>
    <n v="129.98"/>
    <s v="CREDITOR"/>
    <n v="0"/>
    <n v="0"/>
    <n v="0"/>
    <n v="0"/>
    <n v="129.98"/>
  </r>
  <r>
    <n v="61143046"/>
    <s v="N"/>
    <n v="21350110"/>
    <s v="3000015328180002"/>
    <s v="CIVIL"/>
    <d v="2023-06-30T00:00:00"/>
    <d v="2023-07-10T19:01:40"/>
    <m/>
    <d v="2023-07-10T00:00:00"/>
    <n v="1349"/>
    <n v="18396"/>
    <s v="61143046"/>
    <s v="61143046"/>
    <m/>
    <m/>
    <n v="22798350"/>
    <m/>
    <m/>
    <m/>
    <s v="SOLFIN"/>
    <s v="SOLFIN"/>
    <s v="CCMS"/>
    <n v="21350110"/>
    <n v="6778.2"/>
    <m/>
    <s v="N"/>
    <n v="3"/>
    <d v="2023-07-10T19:02:14"/>
    <s v="Y"/>
    <s v="Advocates Meeting"/>
    <s v="Public Law Children"/>
    <s v="Advocacy"/>
    <s v="PNG"/>
    <s v="Y"/>
    <n v="140.99"/>
    <n v="28.2"/>
    <x v="2"/>
    <s v="VALIDATED"/>
    <n v="1"/>
    <s v="01.11.80.308.6100.0000"/>
    <n v="140.99"/>
    <s v="11"/>
    <s v="6100"/>
    <n v="57523.75"/>
    <n v="140.99"/>
    <s v="CREDITOR"/>
    <n v="0"/>
    <n v="0"/>
    <n v="0"/>
    <n v="0"/>
    <n v="140.99"/>
  </r>
  <r>
    <n v="61246704"/>
    <s v="N"/>
    <n v="21349925"/>
    <s v="3000015413860003"/>
    <s v="CIVIL"/>
    <d v="2023-06-30T00:00:00"/>
    <d v="2023-07-10T19:01:40"/>
    <m/>
    <d v="2023-07-10T00:00:00"/>
    <n v="1349"/>
    <n v="18396"/>
    <s v="61246704"/>
    <s v="61246704"/>
    <m/>
    <m/>
    <n v="22796418"/>
    <m/>
    <m/>
    <m/>
    <s v="SOLFIN"/>
    <s v="SOLFIN"/>
    <s v="CCMS"/>
    <n v="21349925"/>
    <n v="5187.25"/>
    <m/>
    <s v="N"/>
    <n v="2"/>
    <d v="2023-07-10T19:02:03"/>
    <s v="Y"/>
    <s v="GP (records report)"/>
    <s v="Public Law Children"/>
    <s v="Expert Disbursement"/>
    <s v="SM"/>
    <s v="Y"/>
    <n v="15"/>
    <n v="3"/>
    <x v="2"/>
    <s v="VALIDATED"/>
    <n v="1"/>
    <s v="01.11.80.308.6300.0000"/>
    <n v="15"/>
    <s v="11"/>
    <s v="6300"/>
    <n v="57523.75"/>
    <n v="15"/>
    <s v="CREDITOR"/>
    <n v="0"/>
    <n v="0"/>
    <n v="0"/>
    <n v="0"/>
    <n v="15"/>
  </r>
  <r>
    <n v="61085543"/>
    <s v="N"/>
    <n v="21331028"/>
    <s v="3000015278940002"/>
    <s v="CIVIL"/>
    <d v="2023-06-27T00:00:00"/>
    <d v="2023-07-05T19:01:47"/>
    <m/>
    <d v="2023-07-05T00:00:00"/>
    <n v="1349"/>
    <n v="18396"/>
    <s v="61085543"/>
    <s v="61085543"/>
    <m/>
    <m/>
    <n v="22769996"/>
    <m/>
    <m/>
    <m/>
    <s v="SOLFIN"/>
    <s v="SOLFIN"/>
    <s v="CCMS"/>
    <n v="21331028"/>
    <n v="7903.45"/>
    <m/>
    <s v="N"/>
    <n v="7"/>
    <d v="2023-07-05T19:02:03"/>
    <s v="Y"/>
    <s v="Hearing Unit 2.31 - 5.00 Hours"/>
    <s v="Public Law Children"/>
    <s v="Advocacy"/>
    <s v="PNG"/>
    <s v="Y"/>
    <n v="476.92"/>
    <n v="95.38"/>
    <x v="6"/>
    <s v="VALIDATED"/>
    <n v="1"/>
    <s v="01.11.80.308.6100.0000"/>
    <n v="476.92"/>
    <s v="11"/>
    <s v="6100"/>
    <n v="57523.75"/>
    <n v="476.92"/>
    <s v="CREDITOR"/>
    <n v="0"/>
    <n v="0"/>
    <n v="0"/>
    <n v="0"/>
    <n v="476.92"/>
  </r>
  <r>
    <n v="60817830"/>
    <s v="N"/>
    <n v="21331208"/>
    <s v="3000015050730003"/>
    <s v="CIVIL"/>
    <d v="2023-06-27T00:00:00"/>
    <d v="2023-07-05T19:01:47"/>
    <m/>
    <d v="2023-07-05T00:00:00"/>
    <n v="1349"/>
    <n v="18396"/>
    <s v="60817830"/>
    <s v="60817830"/>
    <m/>
    <m/>
    <n v="22771214"/>
    <m/>
    <m/>
    <m/>
    <s v="SOLFIN"/>
    <s v="SOLFIN"/>
    <s v="CCMS"/>
    <n v="21331208"/>
    <n v="4692.24"/>
    <m/>
    <s v="N"/>
    <n v="5"/>
    <d v="2023-07-05T19:02:10"/>
    <s v="Y"/>
    <s v="Final Hearing - 1 Day"/>
    <s v="Public Law Children"/>
    <s v="Advocacy"/>
    <s v="PNG"/>
    <s v="Y"/>
    <n v="556.88"/>
    <n v="111.38"/>
    <x v="6"/>
    <s v="VALIDATED"/>
    <n v="1"/>
    <s v="01.11.80.308.6100.0000"/>
    <n v="556.88"/>
    <s v="11"/>
    <s v="6100"/>
    <n v="57523.75"/>
    <n v="556.88"/>
    <s v="CREDITOR"/>
    <n v="0"/>
    <n v="0"/>
    <n v="0"/>
    <n v="0"/>
    <n v="556.88"/>
  </r>
  <r>
    <n v="61377901"/>
    <s v="N"/>
    <n v="21350028"/>
    <s v="3000015523270006"/>
    <s v="CIVIL"/>
    <d v="2023-06-29T00:00:00"/>
    <d v="2023-07-10T19:01:40"/>
    <m/>
    <d v="2023-07-10T00:00:00"/>
    <n v="1349"/>
    <n v="18396"/>
    <s v="61377901"/>
    <s v="61377901"/>
    <m/>
    <m/>
    <n v="22791256"/>
    <m/>
    <m/>
    <m/>
    <s v="SOLFIN"/>
    <s v="SOLFIN"/>
    <s v="CCMS"/>
    <n v="21350028"/>
    <n v="5161.6"/>
    <m/>
    <s v="N"/>
    <n v="3"/>
    <d v="2023-07-10T19:02:10"/>
    <s v="Y"/>
    <s v="Toxicologist"/>
    <s v="Public Law Children"/>
    <s v="Expert Disbursement"/>
    <s v="SM"/>
    <s v="Y"/>
    <n v="86"/>
    <n v="17.2"/>
    <x v="2"/>
    <s v="VALIDATED"/>
    <n v="1"/>
    <s v="01.11.80.308.6300.0000"/>
    <n v="86"/>
    <s v="11"/>
    <s v="6300"/>
    <n v="57523.75"/>
    <n v="86"/>
    <s v="CREDITOR"/>
    <n v="0"/>
    <n v="0"/>
    <n v="0"/>
    <n v="0"/>
    <n v="86"/>
  </r>
  <r>
    <n v="61134985"/>
    <s v="N"/>
    <n v="21344072"/>
    <s v="3000015320960002"/>
    <s v="CIVIL"/>
    <d v="2023-06-29T00:00:00"/>
    <d v="2023-07-07T19:03:00"/>
    <m/>
    <d v="2023-07-07T00:00:00"/>
    <n v="1349"/>
    <n v="18396"/>
    <s v="61134985"/>
    <s v="61134985"/>
    <m/>
    <m/>
    <n v="22790046"/>
    <m/>
    <m/>
    <m/>
    <s v="SOLFIN"/>
    <s v="SOLFIN"/>
    <s v="CCMS"/>
    <n v="21344072"/>
    <n v="5565.08"/>
    <m/>
    <s v="N"/>
    <n v="1"/>
    <d v="2023-07-07T19:03:22"/>
    <s v="Y"/>
    <s v="Final Hearing Court Bundle/Advocate"/>
    <s v="Public Law Children"/>
    <s v="Advocacy"/>
    <s v="PNG"/>
    <s v="Y"/>
    <n v="159.3"/>
    <n v="31.86"/>
    <x v="9"/>
    <s v="VALIDATED"/>
    <n v="1"/>
    <s v="01.11.80.308.6100.0000"/>
    <n v="159.3"/>
    <s v="11"/>
    <s v="6100"/>
    <n v="57523.75"/>
    <n v="159.3"/>
    <s v="CREDITOR"/>
    <n v="0"/>
    <n v="0"/>
    <n v="0"/>
    <n v="0"/>
    <n v="159.3"/>
  </r>
  <r>
    <n v="61436518"/>
    <s v="N"/>
    <n v="21349784"/>
    <s v="3000015570790001"/>
    <s v="CIVIL"/>
    <d v="2023-06-29T00:00:00"/>
    <d v="2023-07-10T19:01:40"/>
    <m/>
    <d v="2023-07-10T00:00:00"/>
    <n v="1349"/>
    <n v="18396"/>
    <s v="61436518"/>
    <s v="61436518"/>
    <m/>
    <m/>
    <n v="22791150"/>
    <m/>
    <m/>
    <m/>
    <s v="SOLFIN"/>
    <s v="SOLFIN"/>
    <s v="CCMS"/>
    <n v="21349784"/>
    <n v="4447.2"/>
    <m/>
    <s v="N"/>
    <n v="4"/>
    <d v="2023-07-10T19:01:57"/>
    <s v="Y"/>
    <s v="Final Hearing - 1 Day"/>
    <s v="Public Law Children"/>
    <s v="Advocacy"/>
    <s v="SM"/>
    <s v="Y"/>
    <n v="556.88"/>
    <n v="111.38"/>
    <x v="2"/>
    <s v="VALIDATED"/>
    <n v="1"/>
    <s v="01.11.80.308.6100.0000"/>
    <n v="556.88"/>
    <s v="11"/>
    <s v="6100"/>
    <n v="57523.75"/>
    <n v="556.88"/>
    <s v="CREDITOR"/>
    <n v="0"/>
    <n v="0"/>
    <n v="0"/>
    <n v="0"/>
    <n v="556.88"/>
  </r>
  <r>
    <n v="60509031"/>
    <s v="N"/>
    <n v="21349662"/>
    <s v="3000014783760003"/>
    <s v="CIVIL"/>
    <d v="2023-06-29T00:00:00"/>
    <d v="2023-07-10T19:01:40"/>
    <m/>
    <d v="2023-07-10T00:00:00"/>
    <n v="1349"/>
    <n v="18396"/>
    <s v="60509031"/>
    <s v="60509031"/>
    <m/>
    <m/>
    <n v="22789932"/>
    <m/>
    <m/>
    <m/>
    <s v="SOLFIN"/>
    <s v="SOLFIN"/>
    <s v="CCMS"/>
    <n v="21349662"/>
    <n v="5933.71"/>
    <m/>
    <s v="N"/>
    <n v="14"/>
    <d v="2023-07-10T19:01:55"/>
    <s v="Y"/>
    <s v="Solicitors Fixed Fee"/>
    <s v="Public Law Children"/>
    <s v="Profit Cost"/>
    <s v="PNG"/>
    <s v="Y"/>
    <n v="1754"/>
    <n v="350.8"/>
    <x v="2"/>
    <s v="VALIDATED"/>
    <n v="1"/>
    <s v="01.11.80.308.6100.0000"/>
    <n v="1754"/>
    <s v="11"/>
    <s v="6100"/>
    <n v="57523.75"/>
    <n v="1754"/>
    <s v="CREDITOR"/>
    <n v="0"/>
    <n v="0"/>
    <n v="0"/>
    <n v="0"/>
    <n v="1754"/>
  </r>
  <r>
    <n v="61377901"/>
    <s v="N"/>
    <n v="21350028"/>
    <s v="3000015523270006"/>
    <s v="CIVIL"/>
    <d v="2023-06-29T00:00:00"/>
    <d v="2023-07-10T19:01:40"/>
    <m/>
    <d v="2023-07-10T00:00:00"/>
    <n v="1349"/>
    <n v="18396"/>
    <s v="61377901"/>
    <s v="61377901"/>
    <m/>
    <m/>
    <n v="22791256"/>
    <m/>
    <m/>
    <m/>
    <s v="SOLFIN"/>
    <s v="SOLFIN"/>
    <s v="CCMS"/>
    <n v="21350028"/>
    <n v="5161.6"/>
    <m/>
    <s v="N"/>
    <n v="1"/>
    <d v="2023-07-10T19:02:10"/>
    <s v="Y"/>
    <s v="Final Hearing Court Bundle/Advocate"/>
    <s v="Public Law Children"/>
    <s v="Advocacy"/>
    <s v="SM"/>
    <s v="Y"/>
    <n v="159.3"/>
    <n v="31.86"/>
    <x v="2"/>
    <s v="VALIDATED"/>
    <n v="1"/>
    <s v="01.11.80.308.6100.0000"/>
    <n v="159.3"/>
    <s v="11"/>
    <s v="6100"/>
    <n v="57523.75"/>
    <n v="159.3"/>
    <s v="CREDITOR"/>
    <n v="0"/>
    <n v="0"/>
    <n v="0"/>
    <n v="0"/>
    <n v="159.3"/>
  </r>
  <r>
    <n v="61246704"/>
    <s v="N"/>
    <n v="21349925"/>
    <s v="3000015413860003"/>
    <s v="CIVIL"/>
    <d v="2023-06-30T00:00:00"/>
    <d v="2023-07-10T19:01:40"/>
    <m/>
    <d v="2023-07-10T00:00:00"/>
    <n v="1349"/>
    <n v="18396"/>
    <s v="61246704"/>
    <s v="61246704"/>
    <m/>
    <m/>
    <n v="22796418"/>
    <m/>
    <m/>
    <m/>
    <s v="SOLFIN"/>
    <s v="SOLFIN"/>
    <s v="CCMS"/>
    <n v="21349925"/>
    <n v="5187.25"/>
    <m/>
    <s v="N"/>
    <n v="3"/>
    <d v="2023-07-10T19:02:03"/>
    <s v="Y"/>
    <s v="Psychologist"/>
    <s v="Public Law Children"/>
    <s v="Expert Disbursement"/>
    <s v="SM"/>
    <s v="Y"/>
    <n v="224.48"/>
    <n v="0"/>
    <x v="2"/>
    <s v="VALIDATED"/>
    <n v="1"/>
    <s v="01.11.80.308.6300.0000"/>
    <n v="224.48"/>
    <s v="11"/>
    <s v="6300"/>
    <n v="57523.75"/>
    <n v="224.48"/>
    <s v="CREDITOR"/>
    <n v="0"/>
    <n v="0"/>
    <n v="0"/>
    <n v="0"/>
    <n v="224.48"/>
  </r>
  <r>
    <n v="61134985"/>
    <s v="N"/>
    <n v="21344072"/>
    <s v="3000015320960002"/>
    <s v="CIVIL"/>
    <d v="2023-06-29T00:00:00"/>
    <d v="2023-07-07T19:03:00"/>
    <m/>
    <d v="2023-07-07T00:00:00"/>
    <n v="1349"/>
    <n v="18396"/>
    <s v="61134985"/>
    <s v="61134985"/>
    <m/>
    <m/>
    <n v="22790046"/>
    <m/>
    <m/>
    <m/>
    <s v="SOLFIN"/>
    <s v="SOLFIN"/>
    <s v="CCMS"/>
    <n v="21344072"/>
    <n v="5565.08"/>
    <m/>
    <s v="N"/>
    <n v="5"/>
    <d v="2023-07-07T19:03:22"/>
    <s v="Y"/>
    <s v="Advocates Meeting"/>
    <s v="Public Law Children"/>
    <s v="Advocacy"/>
    <s v="PNG"/>
    <s v="Y"/>
    <n v="140.99"/>
    <n v="28.2"/>
    <x v="9"/>
    <s v="VALIDATED"/>
    <n v="1"/>
    <s v="01.11.80.308.6100.0000"/>
    <n v="140.99"/>
    <s v="11"/>
    <s v="6100"/>
    <n v="57523.75"/>
    <n v="140.99"/>
    <s v="CREDITOR"/>
    <n v="0"/>
    <n v="0"/>
    <n v="0"/>
    <n v="0"/>
    <n v="140.99"/>
  </r>
  <r>
    <n v="61143046"/>
    <s v="N"/>
    <n v="21350110"/>
    <s v="3000015328180002"/>
    <s v="CIVIL"/>
    <d v="2023-06-30T00:00:00"/>
    <d v="2023-07-10T19:01:40"/>
    <m/>
    <d v="2023-07-10T00:00:00"/>
    <n v="1349"/>
    <n v="18396"/>
    <s v="61143046"/>
    <s v="61143046"/>
    <m/>
    <m/>
    <n v="22798350"/>
    <m/>
    <m/>
    <m/>
    <s v="SOLFIN"/>
    <s v="SOLFIN"/>
    <s v="CCMS"/>
    <n v="21350110"/>
    <n v="6778.2"/>
    <m/>
    <s v="N"/>
    <n v="4"/>
    <d v="2023-07-10T19:02:14"/>
    <s v="Y"/>
    <s v="Hearing Unit 2.31 - 5.00 Hours"/>
    <s v="Public Law Children"/>
    <s v="Advocacy"/>
    <s v="PNG"/>
    <s v="Y"/>
    <n v="476.92"/>
    <n v="95.38"/>
    <x v="2"/>
    <s v="VALIDATED"/>
    <n v="1"/>
    <s v="01.11.80.308.6100.0000"/>
    <n v="476.92"/>
    <s v="11"/>
    <s v="6100"/>
    <n v="57523.75"/>
    <n v="476.92"/>
    <s v="CREDITOR"/>
    <n v="0"/>
    <n v="0"/>
    <n v="0"/>
    <n v="0"/>
    <n v="476.92"/>
  </r>
  <r>
    <n v="61246704"/>
    <s v="N"/>
    <n v="21349925"/>
    <s v="3000015413860003"/>
    <s v="CIVIL"/>
    <d v="2023-06-30T00:00:00"/>
    <d v="2023-07-10T19:01:40"/>
    <m/>
    <d v="2023-07-10T00:00:00"/>
    <n v="1349"/>
    <n v="18396"/>
    <s v="61246704"/>
    <s v="61246704"/>
    <m/>
    <m/>
    <n v="22796418"/>
    <m/>
    <m/>
    <m/>
    <s v="SOLFIN"/>
    <s v="SOLFIN"/>
    <s v="CCMS"/>
    <n v="21349925"/>
    <n v="5187.25"/>
    <m/>
    <s v="N"/>
    <n v="8"/>
    <d v="2023-07-10T19:02:03"/>
    <s v="Y"/>
    <s v="Final Hearing - 1 Day"/>
    <s v="Public Law Children"/>
    <s v="Advocacy"/>
    <s v="SM"/>
    <s v="Y"/>
    <n v="556.88"/>
    <n v="111.38"/>
    <x v="2"/>
    <s v="VALIDATED"/>
    <n v="1"/>
    <s v="01.11.80.308.6100.0000"/>
    <n v="556.88"/>
    <s v="11"/>
    <s v="6100"/>
    <n v="57523.75"/>
    <n v="556.88"/>
    <s v="CREDITOR"/>
    <n v="0"/>
    <n v="0"/>
    <n v="0"/>
    <n v="0"/>
    <n v="556.88"/>
  </r>
  <r>
    <n v="61085543"/>
    <s v="N"/>
    <n v="21331028"/>
    <s v="3000015278940002"/>
    <s v="CIVIL"/>
    <d v="2023-06-27T00:00:00"/>
    <d v="2023-07-05T19:01:47"/>
    <m/>
    <d v="2023-07-05T00:00:00"/>
    <n v="1349"/>
    <n v="18396"/>
    <s v="61085543"/>
    <s v="61085543"/>
    <m/>
    <m/>
    <n v="22769996"/>
    <m/>
    <m/>
    <m/>
    <s v="SOLFIN"/>
    <s v="SOLFIN"/>
    <s v="CCMS"/>
    <n v="21331028"/>
    <n v="7903.45"/>
    <m/>
    <s v="N"/>
    <n v="12"/>
    <d v="2023-07-05T19:02:03"/>
    <s v="Y"/>
    <s v="Hearing Unit 1.01 - 2.30 Hours"/>
    <s v="Public Law Children"/>
    <s v="Advocacy"/>
    <s v="PNG"/>
    <s v="Y"/>
    <n v="238.46"/>
    <n v="47.69"/>
    <x v="6"/>
    <s v="VALIDATED"/>
    <n v="1"/>
    <s v="01.11.80.308.6100.0000"/>
    <n v="238.46"/>
    <s v="11"/>
    <s v="6100"/>
    <n v="57523.75"/>
    <n v="238.46"/>
    <s v="CREDITOR"/>
    <n v="0"/>
    <n v="0"/>
    <n v="0"/>
    <n v="0"/>
    <n v="238.46"/>
  </r>
  <r>
    <n v="61302125"/>
    <s v="N"/>
    <n v="21331250"/>
    <s v="3000015459840001"/>
    <s v="CIVIL"/>
    <d v="2023-06-27T00:00:00"/>
    <d v="2023-07-05T19:01:47"/>
    <m/>
    <d v="2023-07-05T00:00:00"/>
    <n v="1349"/>
    <n v="18396"/>
    <s v="61302125"/>
    <s v="61302125"/>
    <m/>
    <m/>
    <n v="22771050"/>
    <m/>
    <m/>
    <m/>
    <s v="SOLFIN"/>
    <s v="SOLFIN"/>
    <s v="CCMS"/>
    <n v="21331250"/>
    <n v="5715.31"/>
    <m/>
    <s v="N"/>
    <n v="4"/>
    <d v="2023-07-05T19:02:11"/>
    <s v="Y"/>
    <s v="Advocates Meeting"/>
    <s v="Public Law Children"/>
    <s v="Advocacy"/>
    <s v="PNG"/>
    <s v="Y"/>
    <n v="140.99"/>
    <n v="28.2"/>
    <x v="6"/>
    <s v="VALIDATED"/>
    <n v="1"/>
    <s v="01.11.80.308.6100.0000"/>
    <n v="140.99"/>
    <s v="11"/>
    <s v="6100"/>
    <n v="57523.75"/>
    <n v="140.99"/>
    <s v="CREDITOR"/>
    <n v="0"/>
    <n v="0"/>
    <n v="0"/>
    <n v="0"/>
    <n v="140.99"/>
  </r>
  <r>
    <n v="61436518"/>
    <s v="N"/>
    <n v="21349784"/>
    <s v="3000015570790001"/>
    <s v="CIVIL"/>
    <d v="2023-06-29T00:00:00"/>
    <d v="2023-07-10T19:01:40"/>
    <m/>
    <d v="2023-07-10T00:00:00"/>
    <n v="1349"/>
    <n v="18396"/>
    <s v="61436518"/>
    <s v="61436518"/>
    <m/>
    <m/>
    <n v="22791150"/>
    <m/>
    <m/>
    <m/>
    <s v="SOLFIN"/>
    <s v="SOLFIN"/>
    <s v="CCMS"/>
    <n v="21349784"/>
    <n v="4447.2"/>
    <m/>
    <s v="N"/>
    <n v="1"/>
    <d v="2023-07-10T19:01:57"/>
    <s v="Y"/>
    <s v="Final Hearing Court Bundle/Advocate"/>
    <s v="Public Law Children"/>
    <s v="Advocacy"/>
    <s v="SM"/>
    <s v="Y"/>
    <n v="159.3"/>
    <n v="31.86"/>
    <x v="2"/>
    <s v="VALIDATED"/>
    <n v="1"/>
    <s v="01.11.80.308.6100.0000"/>
    <n v="159.3"/>
    <s v="11"/>
    <s v="6100"/>
    <n v="57523.75"/>
    <n v="159.3"/>
    <s v="CREDITOR"/>
    <n v="0"/>
    <n v="0"/>
    <n v="0"/>
    <n v="0"/>
    <n v="159.3"/>
  </r>
  <r>
    <n v="61085543"/>
    <s v="N"/>
    <n v="21331028"/>
    <s v="3000015278940002"/>
    <s v="CIVIL"/>
    <d v="2023-06-27T00:00:00"/>
    <d v="2023-07-05T19:01:47"/>
    <m/>
    <d v="2023-07-05T00:00:00"/>
    <n v="1349"/>
    <n v="18396"/>
    <s v="61085543"/>
    <s v="61085543"/>
    <m/>
    <m/>
    <n v="22769996"/>
    <m/>
    <m/>
    <m/>
    <s v="SOLFIN"/>
    <s v="SOLFIN"/>
    <s v="CCMS"/>
    <n v="21331028"/>
    <n v="7903.45"/>
    <m/>
    <s v="N"/>
    <n v="10"/>
    <d v="2023-07-05T19:02:03"/>
    <s v="Y"/>
    <s v="Advocates Meeting"/>
    <s v="Public Law Children"/>
    <s v="Advocacy"/>
    <s v="PNG"/>
    <s v="Y"/>
    <n v="140.99"/>
    <n v="28.2"/>
    <x v="6"/>
    <s v="VALIDATED"/>
    <n v="1"/>
    <s v="01.11.80.308.6100.0000"/>
    <n v="140.99"/>
    <s v="11"/>
    <s v="6100"/>
    <n v="57523.75"/>
    <n v="140.99"/>
    <s v="CREDITOR"/>
    <n v="0"/>
    <n v="0"/>
    <n v="0"/>
    <n v="0"/>
    <n v="140.99"/>
  </r>
  <r>
    <n v="61536154"/>
    <s v="N"/>
    <n v="21349322"/>
    <s v="3000015655120005"/>
    <s v="CIVIL"/>
    <d v="2023-06-29T00:00:00"/>
    <d v="2023-07-10T19:01:40"/>
    <m/>
    <d v="2023-07-10T00:00:00"/>
    <n v="1349"/>
    <n v="18396"/>
    <s v="61536154"/>
    <s v="61536154"/>
    <m/>
    <m/>
    <n v="22790166"/>
    <m/>
    <m/>
    <m/>
    <s v="SOLFIN"/>
    <s v="SOLFIN"/>
    <s v="CCMS"/>
    <n v="21349322"/>
    <n v="5666.21"/>
    <m/>
    <s v="N"/>
    <n v="2"/>
    <d v="2023-07-10T19:01:47"/>
    <s v="Y"/>
    <s v="Interim Hearing Court Bundle/Advoca"/>
    <s v="Public Law Children"/>
    <s v="Advocacy"/>
    <s v="PNG"/>
    <s v="Y"/>
    <n v="59.4"/>
    <n v="11.88"/>
    <x v="2"/>
    <s v="VALIDATED"/>
    <n v="1"/>
    <s v="01.11.80.308.6100.0000"/>
    <n v="59.4"/>
    <s v="11"/>
    <s v="6100"/>
    <n v="57523.75"/>
    <n v="59.4"/>
    <s v="CREDITOR"/>
    <n v="0"/>
    <n v="0"/>
    <n v="0"/>
    <n v="0"/>
    <n v="59.4"/>
  </r>
  <r>
    <n v="60817830"/>
    <s v="N"/>
    <n v="21331208"/>
    <s v="3000015050730003"/>
    <s v="CIVIL"/>
    <d v="2023-06-27T00:00:00"/>
    <d v="2023-07-05T19:01:47"/>
    <m/>
    <d v="2023-07-05T00:00:00"/>
    <n v="1349"/>
    <n v="18396"/>
    <s v="60817830"/>
    <s v="60817830"/>
    <m/>
    <m/>
    <n v="22771214"/>
    <m/>
    <m/>
    <m/>
    <s v="SOLFIN"/>
    <s v="SOLFIN"/>
    <s v="CCMS"/>
    <n v="21331208"/>
    <n v="4692.24"/>
    <m/>
    <s v="N"/>
    <n v="3"/>
    <d v="2023-07-05T19:02:10"/>
    <s v="Y"/>
    <s v="Solicitor Travel Mileage"/>
    <s v="Public Law Children"/>
    <s v="Non Expert Disbursement"/>
    <s v="PNG"/>
    <s v="Y"/>
    <n v="27"/>
    <n v="5.4"/>
    <x v="6"/>
    <s v="VALIDATED"/>
    <n v="1"/>
    <s v="01.11.80.308.6300.0000"/>
    <n v="27"/>
    <s v="11"/>
    <s v="6300"/>
    <n v="57523.75"/>
    <n v="27"/>
    <s v="CREDITOR"/>
    <n v="0"/>
    <n v="0"/>
    <n v="0"/>
    <n v="0"/>
    <n v="27"/>
  </r>
  <r>
    <n v="61377901"/>
    <s v="N"/>
    <n v="21350028"/>
    <s v="3000015523270006"/>
    <s v="CIVIL"/>
    <d v="2023-06-29T00:00:00"/>
    <d v="2023-07-10T19:01:40"/>
    <m/>
    <d v="2023-07-10T00:00:00"/>
    <n v="1349"/>
    <n v="18396"/>
    <s v="61377901"/>
    <s v="61377901"/>
    <m/>
    <m/>
    <n v="22791256"/>
    <m/>
    <m/>
    <m/>
    <s v="SOLFIN"/>
    <s v="SOLFIN"/>
    <s v="CCMS"/>
    <n v="21350028"/>
    <n v="5161.6"/>
    <m/>
    <s v="N"/>
    <n v="5"/>
    <d v="2023-07-10T19:02:10"/>
    <s v="Y"/>
    <s v="Toxicologist"/>
    <s v="Public Law Children"/>
    <s v="Expert Disbursement"/>
    <s v="SM"/>
    <s v="Y"/>
    <n v="89"/>
    <n v="17.8"/>
    <x v="2"/>
    <s v="VALIDATED"/>
    <n v="1"/>
    <s v="01.11.80.308.6300.0000"/>
    <n v="89"/>
    <s v="11"/>
    <s v="6300"/>
    <n v="57523.75"/>
    <n v="89"/>
    <s v="CREDITOR"/>
    <n v="0"/>
    <n v="0"/>
    <n v="0"/>
    <n v="0"/>
    <n v="89"/>
  </r>
  <r>
    <n v="61319164"/>
    <s v="N"/>
    <n v="21349317"/>
    <s v="3000015474570003"/>
    <s v="CIVIL"/>
    <d v="2023-06-29T00:00:00"/>
    <d v="2023-07-10T19:01:40"/>
    <m/>
    <d v="2023-07-10T00:00:00"/>
    <n v="1349"/>
    <n v="18396"/>
    <s v="61319164"/>
    <s v="61319164"/>
    <m/>
    <m/>
    <n v="22790416"/>
    <m/>
    <m/>
    <m/>
    <s v="SOLFIN"/>
    <s v="SOLFIN"/>
    <s v="CCMS"/>
    <n v="21349317"/>
    <n v="4990.14"/>
    <m/>
    <s v="N"/>
    <n v="11"/>
    <d v="2023-07-10T19:01:46"/>
    <s v="Y"/>
    <s v="Advocates Meeting"/>
    <s v="Public Law Children"/>
    <s v="Advocacy"/>
    <s v="PNG"/>
    <s v="Y"/>
    <n v="140.99"/>
    <n v="28.2"/>
    <x v="2"/>
    <s v="VALIDATED"/>
    <n v="1"/>
    <s v="01.11.80.308.6100.0000"/>
    <n v="140.99"/>
    <s v="11"/>
    <s v="6100"/>
    <n v="57523.75"/>
    <n v="140.99"/>
    <s v="CREDITOR"/>
    <n v="0"/>
    <n v="0"/>
    <n v="0"/>
    <n v="0"/>
    <n v="140.99"/>
  </r>
  <r>
    <n v="61302125"/>
    <s v="N"/>
    <n v="21331250"/>
    <s v="3000015459840001"/>
    <s v="CIVIL"/>
    <d v="2023-06-27T00:00:00"/>
    <d v="2023-07-05T19:01:47"/>
    <m/>
    <d v="2023-07-05T00:00:00"/>
    <n v="1349"/>
    <n v="18396"/>
    <s v="61302125"/>
    <s v="61302125"/>
    <m/>
    <m/>
    <n v="22771050"/>
    <m/>
    <m/>
    <m/>
    <s v="SOLFIN"/>
    <s v="SOLFIN"/>
    <s v="CCMS"/>
    <n v="21331250"/>
    <n v="5715.31"/>
    <m/>
    <s v="N"/>
    <n v="10"/>
    <d v="2023-07-05T19:02:11"/>
    <s v="Y"/>
    <s v="Advocates Meeting"/>
    <s v="Public Law Children"/>
    <s v="Advocacy"/>
    <s v="SM"/>
    <s v="Y"/>
    <n v="140.99"/>
    <n v="28.2"/>
    <x v="6"/>
    <s v="VALIDATED"/>
    <n v="1"/>
    <s v="01.11.80.308.6100.0000"/>
    <n v="140.99"/>
    <s v="11"/>
    <s v="6100"/>
    <n v="57523.75"/>
    <n v="140.99"/>
    <s v="CREDITOR"/>
    <n v="0"/>
    <n v="0"/>
    <n v="0"/>
    <n v="0"/>
    <n v="140.99"/>
  </r>
  <r>
    <n v="61319164"/>
    <s v="N"/>
    <n v="21349317"/>
    <s v="3000015474570003"/>
    <s v="CIVIL"/>
    <d v="2023-06-29T00:00:00"/>
    <d v="2023-07-10T19:01:40"/>
    <m/>
    <d v="2023-07-10T00:00:00"/>
    <n v="1349"/>
    <n v="18396"/>
    <s v="61319164"/>
    <s v="61319164"/>
    <m/>
    <m/>
    <n v="22790416"/>
    <m/>
    <m/>
    <m/>
    <s v="SOLFIN"/>
    <s v="SOLFIN"/>
    <s v="CCMS"/>
    <n v="21349317"/>
    <n v="4990.14"/>
    <m/>
    <s v="N"/>
    <n v="12"/>
    <d v="2023-07-10T19:01:46"/>
    <s v="Y"/>
    <s v="Hearing Unit 2.31 - 5.00 Hours"/>
    <s v="Public Law Children"/>
    <s v="Advocacy"/>
    <s v="PNG"/>
    <s v="Y"/>
    <n v="476.92"/>
    <n v="95.39"/>
    <x v="2"/>
    <s v="VALIDATED"/>
    <n v="1"/>
    <s v="01.11.80.308.6100.0000"/>
    <n v="476.92"/>
    <s v="11"/>
    <s v="6100"/>
    <n v="57523.75"/>
    <n v="476.92"/>
    <s v="CREDITOR"/>
    <n v="0"/>
    <n v="0"/>
    <n v="0"/>
    <n v="0"/>
    <n v="476.92"/>
  </r>
  <r>
    <n v="61246704"/>
    <s v="N"/>
    <n v="21349925"/>
    <s v="3000015413860003"/>
    <s v="CIVIL"/>
    <d v="2023-06-30T00:00:00"/>
    <d v="2023-07-10T19:01:40"/>
    <m/>
    <d v="2023-07-10T00:00:00"/>
    <n v="1349"/>
    <n v="18396"/>
    <s v="61246704"/>
    <s v="61246704"/>
    <m/>
    <m/>
    <n v="22796418"/>
    <m/>
    <m/>
    <m/>
    <s v="SOLFIN"/>
    <s v="SOLFIN"/>
    <s v="CCMS"/>
    <n v="21349925"/>
    <n v="5187.25"/>
    <m/>
    <s v="N"/>
    <n v="4"/>
    <d v="2023-07-10T19:02:03"/>
    <s v="Y"/>
    <s v="Solicitor Travel Mileage"/>
    <s v="Public Law Children"/>
    <s v="Non Expert Disbursement"/>
    <s v="SM"/>
    <s v="Y"/>
    <n v="22.5"/>
    <n v="4.5"/>
    <x v="2"/>
    <s v="VALIDATED"/>
    <n v="1"/>
    <s v="01.11.80.308.6300.0000"/>
    <n v="22.5"/>
    <s v="11"/>
    <s v="6300"/>
    <n v="57523.75"/>
    <n v="22.5"/>
    <s v="CREDITOR"/>
    <n v="0"/>
    <n v="0"/>
    <n v="0"/>
    <n v="0"/>
    <n v="22.5"/>
  </r>
  <r>
    <n v="61134985"/>
    <s v="N"/>
    <n v="21344072"/>
    <s v="3000015320960002"/>
    <s v="CIVIL"/>
    <d v="2023-06-29T00:00:00"/>
    <d v="2023-07-07T19:03:00"/>
    <m/>
    <d v="2023-07-07T00:00:00"/>
    <n v="1349"/>
    <n v="18396"/>
    <s v="61134985"/>
    <s v="61134985"/>
    <m/>
    <m/>
    <n v="22790046"/>
    <m/>
    <m/>
    <m/>
    <s v="SOLFIN"/>
    <s v="SOLFIN"/>
    <s v="CCMS"/>
    <n v="21344072"/>
    <n v="5565.08"/>
    <m/>
    <s v="N"/>
    <n v="4"/>
    <d v="2023-07-07T19:03:22"/>
    <s v="Y"/>
    <s v="Final Hearing - 1 Day"/>
    <s v="Public Law Children"/>
    <s v="Advocacy"/>
    <s v="PNG"/>
    <s v="Y"/>
    <n v="556.88"/>
    <n v="111.38"/>
    <x v="9"/>
    <s v="VALIDATED"/>
    <n v="1"/>
    <s v="01.11.80.308.6100.0000"/>
    <n v="556.88"/>
    <s v="11"/>
    <s v="6100"/>
    <n v="57523.75"/>
    <n v="556.88"/>
    <s v="CREDITOR"/>
    <n v="0"/>
    <n v="0"/>
    <n v="0"/>
    <n v="0"/>
    <n v="556.88"/>
  </r>
  <r>
    <n v="61302125"/>
    <s v="N"/>
    <n v="21331250"/>
    <s v="3000015459840001"/>
    <s v="CIVIL"/>
    <d v="2023-06-27T00:00:00"/>
    <d v="2023-07-05T19:01:47"/>
    <m/>
    <d v="2023-07-05T00:00:00"/>
    <n v="1349"/>
    <n v="18396"/>
    <s v="61302125"/>
    <s v="61302125"/>
    <m/>
    <m/>
    <n v="22771050"/>
    <m/>
    <m/>
    <m/>
    <s v="SOLFIN"/>
    <s v="SOLFIN"/>
    <s v="CCMS"/>
    <n v="21331250"/>
    <n v="5715.31"/>
    <m/>
    <s v="N"/>
    <n v="11"/>
    <d v="2023-07-05T19:02:11"/>
    <s v="Y"/>
    <s v="Hearing Unit 1.01 - 2.30 Hours"/>
    <s v="Public Law Children"/>
    <s v="Advocacy"/>
    <s v="PNG"/>
    <s v="Y"/>
    <n v="238.46"/>
    <n v="47.69"/>
    <x v="6"/>
    <s v="VALIDATED"/>
    <n v="1"/>
    <s v="01.11.80.308.6100.0000"/>
    <n v="238.46"/>
    <s v="11"/>
    <s v="6100"/>
    <n v="57523.75"/>
    <n v="238.46"/>
    <s v="CREDITOR"/>
    <n v="0"/>
    <n v="0"/>
    <n v="0"/>
    <n v="0"/>
    <n v="238.46"/>
  </r>
  <r>
    <n v="61377901"/>
    <s v="N"/>
    <n v="21350028"/>
    <s v="3000015523270006"/>
    <s v="CIVIL"/>
    <d v="2023-06-29T00:00:00"/>
    <d v="2023-07-10T19:01:40"/>
    <m/>
    <d v="2023-07-10T00:00:00"/>
    <n v="1349"/>
    <n v="18396"/>
    <s v="61377901"/>
    <s v="61377901"/>
    <m/>
    <m/>
    <n v="22791256"/>
    <m/>
    <m/>
    <m/>
    <s v="SOLFIN"/>
    <s v="SOLFIN"/>
    <s v="CCMS"/>
    <n v="21350028"/>
    <n v="5161.6"/>
    <m/>
    <s v="N"/>
    <n v="9"/>
    <d v="2023-07-10T19:02:10"/>
    <s v="Y"/>
    <s v="Advocates Meeting"/>
    <s v="Public Law Children"/>
    <s v="Advocacy"/>
    <s v="SM"/>
    <s v="Y"/>
    <n v="140.99"/>
    <n v="28.2"/>
    <x v="2"/>
    <s v="VALIDATED"/>
    <n v="1"/>
    <s v="01.11.80.308.6100.0000"/>
    <n v="140.99"/>
    <s v="11"/>
    <s v="6100"/>
    <n v="57523.75"/>
    <n v="140.99"/>
    <s v="CREDITOR"/>
    <n v="0"/>
    <n v="0"/>
    <n v="0"/>
    <n v="0"/>
    <n v="140.99"/>
  </r>
  <r>
    <n v="61302125"/>
    <s v="N"/>
    <n v="21331250"/>
    <s v="3000015459840001"/>
    <s v="CIVIL"/>
    <d v="2023-06-27T00:00:00"/>
    <d v="2023-07-05T19:01:47"/>
    <m/>
    <d v="2023-07-05T00:00:00"/>
    <n v="1349"/>
    <n v="18396"/>
    <s v="61302125"/>
    <s v="61302125"/>
    <m/>
    <m/>
    <n v="22771050"/>
    <m/>
    <m/>
    <m/>
    <s v="SOLFIN"/>
    <s v="SOLFIN"/>
    <s v="CCMS"/>
    <n v="21331250"/>
    <n v="5715.31"/>
    <m/>
    <s v="N"/>
    <n v="7"/>
    <d v="2023-07-05T19:02:11"/>
    <s v="Y"/>
    <s v="Hearing Unit 2.31 - 5.00 Hours"/>
    <s v="Public Law Children"/>
    <s v="Advocacy"/>
    <s v="PNG"/>
    <s v="Y"/>
    <n v="476.92"/>
    <n v="95.38"/>
    <x v="6"/>
    <s v="VALIDATED"/>
    <n v="1"/>
    <s v="01.11.80.308.6100.0000"/>
    <n v="476.92"/>
    <s v="11"/>
    <s v="6100"/>
    <n v="57523.75"/>
    <n v="476.92"/>
    <s v="CREDITOR"/>
    <n v="0"/>
    <n v="0"/>
    <n v="0"/>
    <n v="0"/>
    <n v="476.92"/>
  </r>
  <r>
    <n v="60509031"/>
    <s v="N"/>
    <n v="21349662"/>
    <s v="3000014783760003"/>
    <s v="CIVIL"/>
    <d v="2023-06-29T00:00:00"/>
    <d v="2023-07-10T19:01:40"/>
    <m/>
    <d v="2023-07-10T00:00:00"/>
    <n v="1349"/>
    <n v="18396"/>
    <s v="60509031"/>
    <s v="60509031"/>
    <m/>
    <m/>
    <n v="22789932"/>
    <m/>
    <m/>
    <m/>
    <s v="SOLFIN"/>
    <s v="SOLFIN"/>
    <s v="CCMS"/>
    <n v="21349662"/>
    <n v="5933.71"/>
    <m/>
    <s v="N"/>
    <n v="10"/>
    <d v="2023-07-10T19:01:55"/>
    <s v="Y"/>
    <s v="Hearing Unit 2.31 - 5.00 Hours"/>
    <s v="Public Law Children"/>
    <s v="Advocacy"/>
    <s v="PNG"/>
    <s v="Y"/>
    <n v="476.92"/>
    <n v="95.38"/>
    <x v="2"/>
    <s v="VALIDATED"/>
    <n v="1"/>
    <s v="01.11.80.308.6100.0000"/>
    <n v="476.92"/>
    <s v="11"/>
    <s v="6100"/>
    <n v="57523.75"/>
    <n v="476.92"/>
    <s v="CREDITOR"/>
    <n v="0"/>
    <n v="0"/>
    <n v="0"/>
    <n v="0"/>
    <n v="476.92"/>
  </r>
  <r>
    <n v="61700322"/>
    <s v="N"/>
    <n v="21338422"/>
    <s v="3000015784600001"/>
    <s v="CIVIL"/>
    <d v="2023-06-30T00:00:00"/>
    <d v="2023-07-06T19:21:01"/>
    <m/>
    <d v="2023-07-06T00:00:00"/>
    <n v="1349"/>
    <n v="18396"/>
    <s v="61700322"/>
    <s v="61700322"/>
    <m/>
    <m/>
    <n v="22796162"/>
    <m/>
    <m/>
    <m/>
    <s v="SOLFIN"/>
    <s v="SOLFIN"/>
    <s v="CCMS"/>
    <n v="21338422"/>
    <n v="4280.17"/>
    <m/>
    <s v="N"/>
    <n v="5"/>
    <d v="2023-07-06T19:21:24"/>
    <s v="Y"/>
    <s v="Final Hearing - 1 Day"/>
    <s v="Public Law Children"/>
    <s v="Advocacy"/>
    <s v="SM"/>
    <s v="Y"/>
    <n v="556.88"/>
    <n v="111.38"/>
    <x v="4"/>
    <s v="VALIDATED"/>
    <n v="1"/>
    <s v="01.11.80.308.6100.0000"/>
    <n v="556.88"/>
    <s v="11"/>
    <s v="6100"/>
    <n v="57523.75"/>
    <n v="556.88"/>
    <s v="CREDITOR"/>
    <n v="0"/>
    <n v="0"/>
    <n v="0"/>
    <n v="0"/>
    <n v="556.88"/>
  </r>
  <r>
    <n v="61085543"/>
    <s v="N"/>
    <n v="21331028"/>
    <s v="3000015278940002"/>
    <s v="CIVIL"/>
    <d v="2023-06-27T00:00:00"/>
    <d v="2023-07-05T19:01:47"/>
    <m/>
    <d v="2023-07-05T00:00:00"/>
    <n v="1349"/>
    <n v="18396"/>
    <s v="61085543"/>
    <s v="61085543"/>
    <m/>
    <m/>
    <n v="22769996"/>
    <m/>
    <m/>
    <m/>
    <s v="SOLFIN"/>
    <s v="SOLFIN"/>
    <s v="CCMS"/>
    <n v="21331028"/>
    <n v="7903.45"/>
    <m/>
    <s v="N"/>
    <n v="13"/>
    <d v="2023-07-05T19:02:03"/>
    <s v="Y"/>
    <s v="Hearing Unit 2.31 - 5.00 Hours"/>
    <s v="Public Law Children"/>
    <s v="Advocacy"/>
    <s v="PNG"/>
    <s v="Y"/>
    <n v="476.92"/>
    <n v="95.38"/>
    <x v="6"/>
    <s v="VALIDATED"/>
    <n v="1"/>
    <s v="01.11.80.308.6100.0000"/>
    <n v="476.92"/>
    <s v="11"/>
    <s v="6100"/>
    <n v="57523.75"/>
    <n v="476.92"/>
    <s v="CREDITOR"/>
    <n v="0"/>
    <n v="0"/>
    <n v="0"/>
    <n v="0"/>
    <n v="476.92"/>
  </r>
  <r>
    <n v="61302125"/>
    <s v="N"/>
    <n v="21331250"/>
    <s v="3000015459840001"/>
    <s v="CIVIL"/>
    <d v="2023-06-27T00:00:00"/>
    <d v="2023-07-05T19:01:47"/>
    <m/>
    <d v="2023-07-05T00:00:00"/>
    <n v="1349"/>
    <n v="18396"/>
    <s v="61302125"/>
    <s v="61302125"/>
    <m/>
    <m/>
    <n v="22771050"/>
    <m/>
    <m/>
    <m/>
    <s v="SOLFIN"/>
    <s v="SOLFIN"/>
    <s v="CCMS"/>
    <n v="21331250"/>
    <n v="5715.31"/>
    <m/>
    <s v="N"/>
    <n v="3"/>
    <d v="2023-07-05T19:02:11"/>
    <s v="Y"/>
    <s v="Hearing Unit 2.31 - 5.00 Hours"/>
    <s v="Public Law Children"/>
    <s v="Advocacy"/>
    <s v="SM"/>
    <s v="Y"/>
    <n v="476.92"/>
    <n v="95.38"/>
    <x v="6"/>
    <s v="VALIDATED"/>
    <n v="1"/>
    <s v="01.11.80.308.6100.0000"/>
    <n v="476.92"/>
    <s v="11"/>
    <s v="6100"/>
    <n v="57523.75"/>
    <n v="476.92"/>
    <s v="CREDITOR"/>
    <n v="0"/>
    <n v="0"/>
    <n v="0"/>
    <n v="0"/>
    <n v="476.92"/>
  </r>
  <r>
    <n v="61332410"/>
    <s v="N"/>
    <n v="21349983"/>
    <s v="3000015484690002"/>
    <s v="CIVIL"/>
    <d v="2023-06-30T00:00:00"/>
    <d v="2023-07-10T19:01:40"/>
    <m/>
    <d v="2023-07-10T00:00:00"/>
    <n v="1349"/>
    <n v="18396"/>
    <s v="61332410"/>
    <s v="61332410"/>
    <m/>
    <m/>
    <n v="22796642"/>
    <m/>
    <m/>
    <m/>
    <s v="SOLFIN"/>
    <s v="SOLFIN"/>
    <s v="CCMS"/>
    <n v="21349983"/>
    <n v="3588.75"/>
    <m/>
    <s v="N"/>
    <n v="4"/>
    <d v="2023-07-10T19:02:06"/>
    <s v="Y"/>
    <s v="Final Hearing - 1 Day"/>
    <s v="Public Law Children"/>
    <s v="Advocacy"/>
    <s v="SM"/>
    <s v="Y"/>
    <n v="556.88"/>
    <n v="111.38"/>
    <x v="2"/>
    <s v="VALIDATED"/>
    <n v="1"/>
    <s v="01.11.80.308.6100.0000"/>
    <n v="556.88"/>
    <s v="11"/>
    <s v="6100"/>
    <n v="57523.75"/>
    <n v="556.88"/>
    <s v="CREDITOR"/>
    <n v="0"/>
    <n v="0"/>
    <n v="0"/>
    <n v="0"/>
    <n v="556.88"/>
  </r>
  <r>
    <n v="61085543"/>
    <s v="N"/>
    <n v="21331028"/>
    <s v="3000015278940002"/>
    <s v="CIVIL"/>
    <d v="2023-06-27T00:00:00"/>
    <d v="2023-07-05T19:01:47"/>
    <m/>
    <d v="2023-07-05T00:00:00"/>
    <n v="1349"/>
    <n v="18396"/>
    <s v="61085543"/>
    <s v="61085543"/>
    <m/>
    <m/>
    <n v="22769996"/>
    <m/>
    <m/>
    <m/>
    <s v="SOLFIN"/>
    <s v="SOLFIN"/>
    <s v="CCMS"/>
    <n v="21331028"/>
    <n v="7903.45"/>
    <m/>
    <s v="N"/>
    <n v="8"/>
    <d v="2023-07-05T19:02:03"/>
    <s v="Y"/>
    <s v="Final Hearing - 2 Days"/>
    <s v="Public Law Children"/>
    <s v="Advocacy"/>
    <s v="PNG"/>
    <s v="Y"/>
    <n v="1113.76"/>
    <n v="222.75"/>
    <x v="6"/>
    <s v="VALIDATED"/>
    <n v="1"/>
    <s v="01.11.80.308.6100.0000"/>
    <n v="1113.76"/>
    <s v="11"/>
    <s v="6100"/>
    <n v="57523.75"/>
    <n v="1113.76"/>
    <s v="CREDITOR"/>
    <n v="0"/>
    <n v="0"/>
    <n v="0"/>
    <n v="0"/>
    <n v="1113.76"/>
  </r>
  <r>
    <n v="61085543"/>
    <s v="N"/>
    <n v="21331028"/>
    <s v="3000015278940002"/>
    <s v="CIVIL"/>
    <d v="2023-06-27T00:00:00"/>
    <d v="2023-07-05T19:01:47"/>
    <m/>
    <d v="2023-07-05T00:00:00"/>
    <n v="1349"/>
    <n v="18396"/>
    <s v="61085543"/>
    <s v="61085543"/>
    <m/>
    <m/>
    <n v="22769996"/>
    <m/>
    <m/>
    <m/>
    <s v="SOLFIN"/>
    <s v="SOLFIN"/>
    <s v="CCMS"/>
    <n v="21331028"/>
    <n v="7903.45"/>
    <m/>
    <s v="N"/>
    <n v="3"/>
    <d v="2023-07-05T19:02:03"/>
    <s v="Y"/>
    <s v="Interim Hearing Court Bundle/Advoca"/>
    <s v="Public Law Children"/>
    <s v="Advocacy"/>
    <s v="PNG"/>
    <s v="Y"/>
    <n v="89.09999999999999"/>
    <n v="17.82"/>
    <x v="6"/>
    <s v="VALIDATED"/>
    <n v="1"/>
    <s v="01.11.80.308.6100.0000"/>
    <n v="89.09999999999999"/>
    <s v="11"/>
    <s v="6100"/>
    <n v="57523.75"/>
    <n v="89.09999999999999"/>
    <s v="CREDITOR"/>
    <n v="0"/>
    <n v="0"/>
    <n v="0"/>
    <n v="0"/>
    <n v="89.09999999999999"/>
  </r>
  <r>
    <n v="60509031"/>
    <s v="N"/>
    <n v="21349662"/>
    <s v="3000014783760003"/>
    <s v="CIVIL"/>
    <d v="2023-06-29T00:00:00"/>
    <d v="2023-07-10T19:01:40"/>
    <m/>
    <d v="2023-07-10T00:00:00"/>
    <n v="1349"/>
    <n v="18396"/>
    <s v="60509031"/>
    <s v="60509031"/>
    <m/>
    <m/>
    <n v="22789932"/>
    <m/>
    <m/>
    <m/>
    <s v="SOLFIN"/>
    <s v="SOLFIN"/>
    <s v="CCMS"/>
    <n v="21349662"/>
    <n v="5933.71"/>
    <m/>
    <s v="N"/>
    <n v="2"/>
    <d v="2023-07-10T19:01:55"/>
    <s v="Y"/>
    <s v="Interim Hearing Court Bundle/Advoca"/>
    <s v="Public Law Children"/>
    <s v="Advocacy"/>
    <s v="PNG"/>
    <s v="Y"/>
    <n v="59.4"/>
    <n v="11.88"/>
    <x v="2"/>
    <s v="VALIDATED"/>
    <n v="1"/>
    <s v="01.11.80.308.6100.0000"/>
    <n v="59.4"/>
    <s v="11"/>
    <s v="6100"/>
    <n v="57523.75"/>
    <n v="59.4"/>
    <s v="CREDITOR"/>
    <n v="0"/>
    <n v="0"/>
    <n v="0"/>
    <n v="0"/>
    <n v="59.4"/>
  </r>
  <r>
    <n v="61536154"/>
    <s v="N"/>
    <n v="21349322"/>
    <s v="3000015655120005"/>
    <s v="CIVIL"/>
    <d v="2023-06-29T00:00:00"/>
    <d v="2023-07-10T19:01:40"/>
    <m/>
    <d v="2023-07-10T00:00:00"/>
    <n v="1349"/>
    <n v="18396"/>
    <s v="61536154"/>
    <s v="61536154"/>
    <m/>
    <m/>
    <n v="22790166"/>
    <m/>
    <m/>
    <m/>
    <s v="SOLFIN"/>
    <s v="SOLFIN"/>
    <s v="CCMS"/>
    <n v="21349322"/>
    <n v="5666.21"/>
    <m/>
    <s v="N"/>
    <n v="8"/>
    <d v="2023-07-10T19:01:47"/>
    <s v="Y"/>
    <s v="Hearing Unit 2.31 - 5.00 Hours"/>
    <s v="Public Law Children"/>
    <s v="Advocacy"/>
    <s v="PNG"/>
    <s v="Y"/>
    <n v="476.92"/>
    <n v="95.38"/>
    <x v="2"/>
    <s v="VALIDATED"/>
    <n v="1"/>
    <s v="01.11.80.308.6100.0000"/>
    <n v="476.92"/>
    <s v="11"/>
    <s v="6100"/>
    <n v="57523.75"/>
    <n v="476.92"/>
    <s v="CREDITOR"/>
    <n v="0"/>
    <n v="0"/>
    <n v="0"/>
    <n v="0"/>
    <n v="476.92"/>
  </r>
  <r>
    <n v="61700322"/>
    <s v="N"/>
    <n v="21338422"/>
    <s v="3000015784600001"/>
    <s v="CIVIL"/>
    <d v="2023-06-30T00:00:00"/>
    <d v="2023-07-06T19:21:01"/>
    <m/>
    <d v="2023-07-06T00:00:00"/>
    <n v="1349"/>
    <n v="18396"/>
    <s v="61700322"/>
    <s v="61700322"/>
    <m/>
    <m/>
    <n v="22796162"/>
    <m/>
    <m/>
    <m/>
    <s v="SOLFIN"/>
    <s v="SOLFIN"/>
    <s v="CCMS"/>
    <n v="21338422"/>
    <n v="4280.17"/>
    <m/>
    <s v="N"/>
    <n v="2"/>
    <d v="2023-07-06T19:21:24"/>
    <s v="Y"/>
    <s v="Solicitor Travel Mileage"/>
    <s v="Public Law Children"/>
    <s v="Non Expert Disbursement"/>
    <s v="SM"/>
    <s v="Y"/>
    <n v="101.7"/>
    <n v="20.34"/>
    <x v="4"/>
    <s v="VALIDATED"/>
    <n v="1"/>
    <s v="01.11.80.308.6300.0000"/>
    <n v="101.7"/>
    <s v="11"/>
    <s v="6300"/>
    <n v="57523.75"/>
    <n v="101.7"/>
    <s v="CREDITOR"/>
    <n v="0"/>
    <n v="0"/>
    <n v="0"/>
    <n v="0"/>
    <n v="101.7"/>
  </r>
  <r>
    <n v="61332410"/>
    <s v="N"/>
    <n v="21349983"/>
    <s v="3000015484690002"/>
    <s v="CIVIL"/>
    <d v="2023-06-30T00:00:00"/>
    <d v="2023-07-10T19:01:40"/>
    <m/>
    <d v="2023-07-10T00:00:00"/>
    <n v="1349"/>
    <n v="18396"/>
    <s v="61332410"/>
    <s v="61332410"/>
    <m/>
    <m/>
    <n v="22796642"/>
    <m/>
    <m/>
    <m/>
    <s v="SOLFIN"/>
    <s v="SOLFIN"/>
    <s v="CCMS"/>
    <n v="21349983"/>
    <n v="3588.75"/>
    <m/>
    <s v="N"/>
    <n v="2"/>
    <d v="2023-07-10T19:02:06"/>
    <s v="Y"/>
    <s v="Advocates Meeting"/>
    <s v="Public Law Children"/>
    <s v="Advocacy"/>
    <s v="SM"/>
    <s v="Y"/>
    <n v="140.99"/>
    <n v="28.2"/>
    <x v="2"/>
    <s v="VALIDATED"/>
    <n v="1"/>
    <s v="01.11.80.308.6100.0000"/>
    <n v="140.99"/>
    <s v="11"/>
    <s v="6100"/>
    <n v="57523.75"/>
    <n v="140.99"/>
    <s v="CREDITOR"/>
    <n v="0"/>
    <n v="0"/>
    <n v="0"/>
    <n v="0"/>
    <n v="140.99"/>
  </r>
  <r>
    <n v="61700322"/>
    <s v="N"/>
    <n v="21338422"/>
    <s v="3000015784600001"/>
    <s v="CIVIL"/>
    <d v="2023-06-30T00:00:00"/>
    <d v="2023-07-06T19:21:01"/>
    <m/>
    <d v="2023-07-06T00:00:00"/>
    <n v="1349"/>
    <n v="18396"/>
    <s v="61700322"/>
    <s v="61700322"/>
    <m/>
    <m/>
    <n v="22796162"/>
    <m/>
    <m/>
    <m/>
    <s v="SOLFIN"/>
    <s v="SOLFIN"/>
    <s v="CCMS"/>
    <n v="21338422"/>
    <n v="4280.17"/>
    <m/>
    <s v="N"/>
    <n v="1"/>
    <d v="2023-07-06T19:21:24"/>
    <s v="Y"/>
    <s v="Interim Hearing Court Bundle/Advoca"/>
    <s v="Public Law Children"/>
    <s v="Advocacy"/>
    <s v="SM"/>
    <s v="Y"/>
    <n v="59.4"/>
    <n v="11.88"/>
    <x v="4"/>
    <s v="VALIDATED"/>
    <n v="1"/>
    <s v="01.11.80.308.6100.0000"/>
    <n v="59.4"/>
    <s v="11"/>
    <s v="6100"/>
    <n v="57523.75"/>
    <n v="59.4"/>
    <s v="CREDITOR"/>
    <n v="0"/>
    <n v="0"/>
    <n v="0"/>
    <n v="0"/>
    <n v="59.4"/>
  </r>
  <r>
    <n v="61134985"/>
    <s v="N"/>
    <n v="21344072"/>
    <s v="3000015320960002"/>
    <s v="CIVIL"/>
    <d v="2023-06-29T00:00:00"/>
    <d v="2023-07-07T19:03:00"/>
    <m/>
    <d v="2023-07-07T00:00:00"/>
    <n v="1349"/>
    <n v="18396"/>
    <s v="61134985"/>
    <s v="61134985"/>
    <m/>
    <m/>
    <n v="22790046"/>
    <m/>
    <m/>
    <m/>
    <s v="SOLFIN"/>
    <s v="SOLFIN"/>
    <s v="CCMS"/>
    <n v="21344072"/>
    <n v="5565.08"/>
    <m/>
    <s v="N"/>
    <n v="2"/>
    <d v="2023-07-07T19:03:22"/>
    <s v="Y"/>
    <s v="Interim Hearing Court Bundle/Advoca"/>
    <s v="Public Law Children"/>
    <s v="Advocacy"/>
    <s v="PNG"/>
    <s v="Y"/>
    <n v="59.4"/>
    <n v="11.88"/>
    <x v="9"/>
    <s v="VALIDATED"/>
    <n v="1"/>
    <s v="01.11.80.308.6100.0000"/>
    <n v="59.4"/>
    <s v="11"/>
    <s v="6100"/>
    <n v="57523.75"/>
    <n v="59.4"/>
    <s v="CREDITOR"/>
    <n v="0"/>
    <n v="0"/>
    <n v="0"/>
    <n v="0"/>
    <n v="59.4"/>
  </r>
  <r>
    <n v="62100350"/>
    <s v="N"/>
    <n v="21320357"/>
    <s v="3000016127120003"/>
    <s v="CIVIL"/>
    <d v="2023-06-28T00:00:00"/>
    <d v="2023-07-03T19:04:52"/>
    <m/>
    <d v="2023-07-03T00:00:00"/>
    <n v="1349"/>
    <n v="18396"/>
    <s v="62100350"/>
    <s v="62100350"/>
    <m/>
    <m/>
    <n v="22778498"/>
    <m/>
    <m/>
    <m/>
    <s v="SOLPOA"/>
    <s v="SOLPOA"/>
    <s v="CCMS"/>
    <n v="21320357"/>
    <n v="53"/>
    <m/>
    <s v="N"/>
    <n v="1"/>
    <d v="2023-07-03T19:04:53"/>
    <s v="N"/>
    <s v="Non Expert Disbursement"/>
    <s v="Non Expert Disbursement"/>
    <s v="Non Expert Disbursement"/>
    <s v="HPK/P0013/1"/>
    <s v="N"/>
    <n v="53"/>
    <n v="0"/>
    <x v="3"/>
    <s v="VALIDATED"/>
    <n v="1"/>
    <s v="01.11.80.308.2012.0000"/>
    <n v="53"/>
    <s v="11"/>
    <s v="2012"/>
    <n v="57523.75"/>
    <n v="53"/>
    <s v="CREDITOR"/>
    <n v="53"/>
    <n v="0"/>
    <n v="0"/>
    <n v="0"/>
    <n v="0"/>
  </r>
  <r>
    <n v="60509031"/>
    <s v="N"/>
    <n v="21349662"/>
    <s v="3000014783760003"/>
    <s v="CIVIL"/>
    <d v="2023-06-29T00:00:00"/>
    <d v="2023-07-10T19:01:40"/>
    <m/>
    <d v="2023-07-10T00:00:00"/>
    <n v="1349"/>
    <n v="18396"/>
    <s v="60509031"/>
    <s v="60509031"/>
    <m/>
    <m/>
    <n v="22789932"/>
    <m/>
    <m/>
    <m/>
    <s v="SOLFIN"/>
    <s v="SOLFIN"/>
    <s v="CCMS"/>
    <n v="21349662"/>
    <n v="5933.71"/>
    <m/>
    <s v="N"/>
    <n v="4"/>
    <d v="2023-07-10T19:01:55"/>
    <s v="Y"/>
    <s v="Toxicologist"/>
    <s v="Public Law Children"/>
    <s v="Expert Disbursement"/>
    <s v="PNG"/>
    <s v="Y"/>
    <n v="117.5"/>
    <n v="23.5"/>
    <x v="2"/>
    <s v="VALIDATED"/>
    <n v="1"/>
    <s v="01.11.80.308.6300.0000"/>
    <n v="117.5"/>
    <s v="11"/>
    <s v="6300"/>
    <n v="57523.75"/>
    <n v="117.5"/>
    <s v="CREDITOR"/>
    <n v="0"/>
    <n v="0"/>
    <n v="0"/>
    <n v="0"/>
    <n v="117.5"/>
  </r>
  <r>
    <n v="61332410"/>
    <s v="N"/>
    <n v="21349983"/>
    <s v="3000015484690002"/>
    <s v="CIVIL"/>
    <d v="2023-06-30T00:00:00"/>
    <d v="2023-07-10T19:01:40"/>
    <m/>
    <d v="2023-07-10T00:00:00"/>
    <n v="1349"/>
    <n v="18396"/>
    <s v="61332410"/>
    <s v="61332410"/>
    <m/>
    <m/>
    <n v="22796642"/>
    <m/>
    <m/>
    <m/>
    <s v="SOLFIN"/>
    <s v="SOLFIN"/>
    <s v="CCMS"/>
    <n v="21349983"/>
    <n v="3588.75"/>
    <m/>
    <s v="N"/>
    <n v="6"/>
    <d v="2023-07-10T19:02:06"/>
    <s v="Y"/>
    <s v="Solicitors Fixed Fee"/>
    <s v="Public Law Children"/>
    <s v="Profit Cost"/>
    <s v="SM"/>
    <s v="Y"/>
    <n v="1754"/>
    <n v="350.8"/>
    <x v="2"/>
    <s v="VALIDATED"/>
    <n v="1"/>
    <s v="01.11.80.308.6100.0000"/>
    <n v="1754"/>
    <s v="11"/>
    <s v="6100"/>
    <n v="57523.75"/>
    <n v="1754"/>
    <s v="CREDITOR"/>
    <n v="0"/>
    <n v="0"/>
    <n v="0"/>
    <n v="0"/>
    <n v="1754"/>
  </r>
  <r>
    <n v="60509031"/>
    <s v="N"/>
    <n v="21349662"/>
    <s v="3000014783760003"/>
    <s v="CIVIL"/>
    <d v="2023-06-29T00:00:00"/>
    <d v="2023-07-10T19:01:40"/>
    <m/>
    <d v="2023-07-10T00:00:00"/>
    <n v="1349"/>
    <n v="18396"/>
    <s v="60509031"/>
    <s v="60509031"/>
    <m/>
    <m/>
    <n v="22789932"/>
    <m/>
    <m/>
    <m/>
    <s v="SOLFIN"/>
    <s v="SOLFIN"/>
    <s v="CCMS"/>
    <n v="21349662"/>
    <n v="5933.71"/>
    <m/>
    <s v="N"/>
    <n v="9"/>
    <d v="2023-07-10T19:01:55"/>
    <s v="Y"/>
    <s v="Hearing Unit 2.31 - 5.00 Hours"/>
    <s v="Public Law Children"/>
    <s v="Advocacy"/>
    <s v="PNG"/>
    <s v="Y"/>
    <n v="476.92"/>
    <n v="95.38"/>
    <x v="2"/>
    <s v="VALIDATED"/>
    <n v="1"/>
    <s v="01.11.80.308.6100.0000"/>
    <n v="476.92"/>
    <s v="11"/>
    <s v="6100"/>
    <n v="57523.75"/>
    <n v="476.92"/>
    <s v="CREDITOR"/>
    <n v="0"/>
    <n v="0"/>
    <n v="0"/>
    <n v="0"/>
    <n v="476.92"/>
  </r>
  <r>
    <n v="61319164"/>
    <s v="N"/>
    <n v="21349317"/>
    <s v="3000015474570003"/>
    <s v="CIVIL"/>
    <d v="2023-06-29T00:00:00"/>
    <d v="2023-07-10T19:01:40"/>
    <m/>
    <d v="2023-07-10T00:00:00"/>
    <n v="1349"/>
    <n v="18396"/>
    <s v="61319164"/>
    <s v="61319164"/>
    <m/>
    <m/>
    <n v="22790416"/>
    <m/>
    <m/>
    <m/>
    <s v="SOLFIN"/>
    <s v="SOLFIN"/>
    <s v="CCMS"/>
    <n v="21349317"/>
    <n v="4990.14"/>
    <m/>
    <s v="N"/>
    <n v="7"/>
    <d v="2023-07-10T19:01:46"/>
    <s v="Y"/>
    <s v="Solicitor Travel Expenses"/>
    <s v="Public Law Children"/>
    <s v="Non Expert Disbursement"/>
    <s v="PNG"/>
    <s v="Y"/>
    <n v="18"/>
    <n v="0"/>
    <x v="2"/>
    <s v="VALIDATED"/>
    <n v="1"/>
    <s v="01.11.80.308.6300.0000"/>
    <n v="18"/>
    <s v="11"/>
    <s v="6300"/>
    <n v="57523.75"/>
    <n v="18"/>
    <s v="CREDITOR"/>
    <n v="0"/>
    <n v="0"/>
    <n v="0"/>
    <n v="0"/>
    <n v="18"/>
  </r>
  <r>
    <n v="61319164"/>
    <s v="N"/>
    <n v="21349317"/>
    <s v="3000015474570003"/>
    <s v="CIVIL"/>
    <d v="2023-06-29T00:00:00"/>
    <d v="2023-07-10T19:01:40"/>
    <m/>
    <d v="2023-07-10T00:00:00"/>
    <n v="1349"/>
    <n v="18396"/>
    <s v="61319164"/>
    <s v="61319164"/>
    <m/>
    <m/>
    <n v="22790416"/>
    <m/>
    <m/>
    <m/>
    <s v="SOLFIN"/>
    <s v="SOLFIN"/>
    <s v="CCMS"/>
    <n v="21349317"/>
    <n v="4990.14"/>
    <m/>
    <s v="N"/>
    <n v="9"/>
    <d v="2023-07-10T19:01:46"/>
    <s v="Y"/>
    <s v="Advocates Meeting"/>
    <s v="Public Law Children"/>
    <s v="Advocacy"/>
    <s v="PNG"/>
    <s v="Y"/>
    <n v="140.99"/>
    <n v="28.2"/>
    <x v="2"/>
    <s v="VALIDATED"/>
    <n v="1"/>
    <s v="01.11.80.308.6100.0000"/>
    <n v="140.99"/>
    <s v="11"/>
    <s v="6100"/>
    <n v="57523.75"/>
    <n v="140.99"/>
    <s v="CREDITOR"/>
    <n v="0"/>
    <n v="0"/>
    <n v="0"/>
    <n v="0"/>
    <n v="140.99"/>
  </r>
  <r>
    <n v="61085543"/>
    <s v="N"/>
    <n v="21331028"/>
    <s v="3000015278940002"/>
    <s v="CIVIL"/>
    <d v="2023-06-27T00:00:00"/>
    <d v="2023-07-05T19:01:47"/>
    <m/>
    <d v="2023-07-05T00:00:00"/>
    <n v="1349"/>
    <n v="18396"/>
    <s v="61085543"/>
    <s v="61085543"/>
    <m/>
    <m/>
    <n v="22769996"/>
    <m/>
    <m/>
    <m/>
    <s v="SOLFIN"/>
    <s v="SOLFIN"/>
    <s v="CCMS"/>
    <n v="21331028"/>
    <n v="7903.45"/>
    <m/>
    <s v="N"/>
    <n v="4"/>
    <d v="2023-07-05T19:02:03"/>
    <s v="Y"/>
    <s v="Toxicologist"/>
    <s v="Public Law Children"/>
    <s v="Expert Disbursement"/>
    <s v="PNG"/>
    <s v="Y"/>
    <n v="40"/>
    <n v="8"/>
    <x v="6"/>
    <s v="VALIDATED"/>
    <n v="1"/>
    <s v="01.11.80.308.6300.0000"/>
    <n v="40"/>
    <s v="11"/>
    <s v="6300"/>
    <n v="57523.75"/>
    <n v="40"/>
    <s v="CREDITOR"/>
    <n v="0"/>
    <n v="0"/>
    <n v="0"/>
    <n v="0"/>
    <n v="40"/>
  </r>
  <r>
    <n v="61085543"/>
    <s v="N"/>
    <n v="21331028"/>
    <s v="3000015278940002"/>
    <s v="CIVIL"/>
    <d v="2023-06-27T00:00:00"/>
    <d v="2023-07-05T19:01:47"/>
    <m/>
    <d v="2023-07-05T00:00:00"/>
    <n v="1349"/>
    <n v="18396"/>
    <s v="61085543"/>
    <s v="61085543"/>
    <m/>
    <m/>
    <n v="22769996"/>
    <m/>
    <m/>
    <m/>
    <s v="SOLFIN"/>
    <s v="SOLFIN"/>
    <s v="CCMS"/>
    <n v="21331028"/>
    <n v="7903.45"/>
    <m/>
    <s v="N"/>
    <n v="15"/>
    <d v="2023-07-05T19:02:03"/>
    <s v="Y"/>
    <s v="Solicitors Fixed Fee"/>
    <s v="Public Law Children"/>
    <s v="Profit Cost"/>
    <s v="PNG"/>
    <s v="Y"/>
    <n v="2300"/>
    <n v="460"/>
    <x v="6"/>
    <s v="VALIDATED"/>
    <n v="1"/>
    <s v="01.11.80.308.6100.0000"/>
    <n v="2300"/>
    <s v="11"/>
    <s v="6100"/>
    <n v="57523.75"/>
    <n v="2300"/>
    <s v="CREDITOR"/>
    <n v="0"/>
    <n v="0"/>
    <n v="0"/>
    <n v="0"/>
    <n v="2300"/>
  </r>
  <r>
    <n v="61246704"/>
    <s v="N"/>
    <n v="21349925"/>
    <s v="3000015413860003"/>
    <s v="CIVIL"/>
    <d v="2023-06-30T00:00:00"/>
    <d v="2023-07-10T19:01:40"/>
    <m/>
    <d v="2023-07-10T00:00:00"/>
    <n v="1349"/>
    <n v="18396"/>
    <s v="61246704"/>
    <s v="61246704"/>
    <m/>
    <m/>
    <n v="22796418"/>
    <m/>
    <m/>
    <m/>
    <s v="SOLFIN"/>
    <s v="SOLFIN"/>
    <s v="CCMS"/>
    <n v="21349925"/>
    <n v="5187.25"/>
    <m/>
    <s v="N"/>
    <n v="6"/>
    <d v="2023-07-10T19:02:03"/>
    <s v="Y"/>
    <s v="Hearing Unit 1.01 - 2.30 Hours"/>
    <s v="Public Law Children"/>
    <s v="Advocacy"/>
    <s v="SM"/>
    <s v="Y"/>
    <n v="238.46"/>
    <n v="47.69"/>
    <x v="2"/>
    <s v="VALIDATED"/>
    <n v="1"/>
    <s v="01.11.80.308.6100.0000"/>
    <n v="238.46"/>
    <s v="11"/>
    <s v="6100"/>
    <n v="57523.75"/>
    <n v="238.46"/>
    <s v="CREDITOR"/>
    <n v="0"/>
    <n v="0"/>
    <n v="0"/>
    <n v="0"/>
    <n v="238.46"/>
  </r>
  <r>
    <n v="61319164"/>
    <s v="N"/>
    <n v="21349317"/>
    <s v="3000015474570003"/>
    <s v="CIVIL"/>
    <d v="2023-06-29T00:00:00"/>
    <d v="2023-07-10T19:01:40"/>
    <m/>
    <d v="2023-07-10T00:00:00"/>
    <n v="1349"/>
    <n v="18396"/>
    <s v="61319164"/>
    <s v="61319164"/>
    <m/>
    <m/>
    <n v="22790416"/>
    <m/>
    <m/>
    <m/>
    <s v="SOLFIN"/>
    <s v="SOLFIN"/>
    <s v="CCMS"/>
    <n v="21349317"/>
    <n v="4990.14"/>
    <m/>
    <s v="N"/>
    <n v="5"/>
    <d v="2023-07-10T19:01:46"/>
    <s v="Y"/>
    <s v="Solicitor Travel Expenses"/>
    <s v="Public Law Children"/>
    <s v="Non Expert Disbursement"/>
    <s v="PNG"/>
    <s v="Y"/>
    <n v="18"/>
    <n v="0"/>
    <x v="2"/>
    <s v="VALIDATED"/>
    <n v="1"/>
    <s v="01.11.80.308.6300.0000"/>
    <n v="18"/>
    <s v="11"/>
    <s v="6300"/>
    <n v="57523.75"/>
    <n v="18"/>
    <s v="CREDITOR"/>
    <n v="0"/>
    <n v="0"/>
    <n v="0"/>
    <n v="0"/>
    <n v="18"/>
  </r>
  <r>
    <n v="61536154"/>
    <s v="N"/>
    <n v="21349322"/>
    <s v="3000015655120005"/>
    <s v="CIVIL"/>
    <d v="2023-06-29T00:00:00"/>
    <d v="2023-07-10T19:01:40"/>
    <m/>
    <d v="2023-07-10T00:00:00"/>
    <n v="1349"/>
    <n v="18396"/>
    <s v="61536154"/>
    <s v="61536154"/>
    <m/>
    <m/>
    <n v="22790166"/>
    <m/>
    <m/>
    <m/>
    <s v="SOLFIN"/>
    <s v="SOLFIN"/>
    <s v="CCMS"/>
    <n v="21349322"/>
    <n v="5666.21"/>
    <m/>
    <s v="N"/>
    <n v="4"/>
    <d v="2023-07-10T19:01:47"/>
    <s v="Y"/>
    <s v="GP (records report)"/>
    <s v="Public Law Children"/>
    <s v="Expert Disbursement"/>
    <s v="PNG"/>
    <s v="Y"/>
    <n v="50.4"/>
    <n v="0"/>
    <x v="2"/>
    <s v="VALIDATED"/>
    <n v="1"/>
    <s v="01.11.80.308.6300.0000"/>
    <n v="50.4"/>
    <s v="11"/>
    <s v="6300"/>
    <n v="57523.75"/>
    <n v="50.4"/>
    <s v="CREDITOR"/>
    <n v="0"/>
    <n v="0"/>
    <n v="0"/>
    <n v="0"/>
    <n v="50.4"/>
  </r>
  <r>
    <n v="61085543"/>
    <s v="N"/>
    <n v="21331028"/>
    <s v="3000015278940002"/>
    <s v="CIVIL"/>
    <d v="2023-06-27T00:00:00"/>
    <d v="2023-07-05T19:01:47"/>
    <m/>
    <d v="2023-07-05T00:00:00"/>
    <n v="1349"/>
    <n v="18396"/>
    <s v="61085543"/>
    <s v="61085543"/>
    <m/>
    <m/>
    <n v="22769996"/>
    <m/>
    <m/>
    <m/>
    <s v="SOLFIN"/>
    <s v="SOLFIN"/>
    <s v="CCMS"/>
    <n v="21331028"/>
    <n v="7903.45"/>
    <m/>
    <s v="N"/>
    <n v="14"/>
    <d v="2023-07-05T19:02:03"/>
    <s v="Y"/>
    <s v="Advocates Meeting"/>
    <s v="Public Law Children"/>
    <s v="Advocacy"/>
    <s v="PNG"/>
    <s v="Y"/>
    <n v="140.99"/>
    <n v="28.2"/>
    <x v="6"/>
    <s v="VALIDATED"/>
    <n v="1"/>
    <s v="01.11.80.308.6100.0000"/>
    <n v="140.99"/>
    <s v="11"/>
    <s v="6100"/>
    <n v="57523.75"/>
    <n v="140.99"/>
    <s v="CREDITOR"/>
    <n v="0"/>
    <n v="0"/>
    <n v="0"/>
    <n v="0"/>
    <n v="140.99"/>
  </r>
  <r>
    <n v="60936928"/>
    <s v="N"/>
    <n v="21370045"/>
    <s v="3000015153660002"/>
    <s v="CIVIL"/>
    <d v="2023-06-30T00:00:00"/>
    <d v="2023-07-13T19:21:05"/>
    <m/>
    <d v="2023-07-13T00:00:00"/>
    <n v="1349"/>
    <n v="18396"/>
    <s v="60936928"/>
    <s v="60936928"/>
    <m/>
    <m/>
    <n v="22795604"/>
    <m/>
    <m/>
    <m/>
    <s v="SOLPOA"/>
    <s v="SOLPOA"/>
    <s v="CCMS"/>
    <n v="21370045"/>
    <n v="642.6"/>
    <m/>
    <s v="N"/>
    <n v="1"/>
    <d v="2023-07-13T19:21:14"/>
    <s v="N"/>
    <s v="Expert Cost"/>
    <s v="Expert Cost"/>
    <s v="Expert Disbursement"/>
    <s v="S Mason"/>
    <s v="N"/>
    <n v="535.5"/>
    <n v="107.1"/>
    <x v="11"/>
    <s v="VALIDATED"/>
    <n v="1"/>
    <s v="01.11.80.308.2012.0000"/>
    <n v="535.5"/>
    <s v="11"/>
    <s v="2012"/>
    <n v="57523.75"/>
    <n v="535.5"/>
    <s v="CREDITOR"/>
    <n v="535.5"/>
    <n v="0"/>
    <n v="0"/>
    <n v="0"/>
    <n v="0"/>
  </r>
  <r>
    <n v="61302125"/>
    <s v="N"/>
    <n v="21331250"/>
    <s v="3000015459840001"/>
    <s v="CIVIL"/>
    <d v="2023-06-27T00:00:00"/>
    <d v="2023-07-05T19:01:47"/>
    <m/>
    <d v="2023-07-05T00:00:00"/>
    <n v="1349"/>
    <n v="18396"/>
    <s v="61302125"/>
    <s v="61302125"/>
    <m/>
    <m/>
    <n v="22771050"/>
    <m/>
    <m/>
    <m/>
    <s v="SOLFIN"/>
    <s v="SOLFIN"/>
    <s v="CCMS"/>
    <n v="21331250"/>
    <n v="5715.31"/>
    <m/>
    <s v="N"/>
    <n v="2"/>
    <d v="2023-07-05T19:02:11"/>
    <s v="Y"/>
    <s v="Interim Hearing Court Bundle/Advoca"/>
    <s v="Public Law Children"/>
    <s v="Advocacy"/>
    <s v="PNG"/>
    <s v="Y"/>
    <n v="59.4"/>
    <n v="11.88"/>
    <x v="6"/>
    <s v="VALIDATED"/>
    <n v="1"/>
    <s v="01.11.80.308.6100.0000"/>
    <n v="59.4"/>
    <s v="11"/>
    <s v="6100"/>
    <n v="57523.75"/>
    <n v="59.4"/>
    <s v="CREDITOR"/>
    <n v="0"/>
    <n v="0"/>
    <n v="0"/>
    <n v="0"/>
    <n v="59.4"/>
  </r>
  <r>
    <n v="60509031"/>
    <s v="N"/>
    <n v="21349662"/>
    <s v="3000014783760003"/>
    <s v="CIVIL"/>
    <d v="2023-06-29T00:00:00"/>
    <d v="2023-07-10T19:01:40"/>
    <m/>
    <d v="2023-07-10T00:00:00"/>
    <n v="1349"/>
    <n v="18396"/>
    <s v="60509031"/>
    <s v="60509031"/>
    <m/>
    <m/>
    <n v="22789932"/>
    <m/>
    <m/>
    <m/>
    <s v="SOLFIN"/>
    <s v="SOLFIN"/>
    <s v="CCMS"/>
    <n v="21349662"/>
    <n v="5933.71"/>
    <m/>
    <s v="N"/>
    <n v="11"/>
    <d v="2023-07-10T19:01:55"/>
    <s v="Y"/>
    <s v="Advocates Meeting"/>
    <s v="Public Law Children"/>
    <s v="Advocacy"/>
    <s v="PNG"/>
    <s v="Y"/>
    <n v="140.99"/>
    <n v="28.2"/>
    <x v="2"/>
    <s v="VALIDATED"/>
    <n v="1"/>
    <s v="01.11.80.308.6100.0000"/>
    <n v="140.99"/>
    <s v="11"/>
    <s v="6100"/>
    <n v="57523.75"/>
    <n v="140.99"/>
    <s v="CREDITOR"/>
    <n v="0"/>
    <n v="0"/>
    <n v="0"/>
    <n v="0"/>
    <n v="140.99"/>
  </r>
  <r>
    <n v="61085543"/>
    <s v="N"/>
    <n v="21331028"/>
    <s v="3000015278940002"/>
    <s v="CIVIL"/>
    <d v="2023-06-27T00:00:00"/>
    <d v="2023-07-05T19:01:47"/>
    <m/>
    <d v="2023-07-05T00:00:00"/>
    <n v="1349"/>
    <n v="18396"/>
    <s v="61085543"/>
    <s v="61085543"/>
    <m/>
    <m/>
    <n v="22769996"/>
    <m/>
    <m/>
    <m/>
    <s v="SOLFIN"/>
    <s v="SOLFIN"/>
    <s v="CCMS"/>
    <n v="21331028"/>
    <n v="7903.45"/>
    <m/>
    <s v="N"/>
    <n v="1"/>
    <d v="2023-07-05T19:02:03"/>
    <s v="Y"/>
    <s v="Interim Hearing Court Bundle/Advoca"/>
    <s v="Public Law Children"/>
    <s v="Advocacy"/>
    <s v="PNG"/>
    <s v="Y"/>
    <n v="89.09999999999999"/>
    <n v="17.82"/>
    <x v="6"/>
    <s v="VALIDATED"/>
    <n v="1"/>
    <s v="01.11.80.308.6100.0000"/>
    <n v="89.09999999999999"/>
    <s v="11"/>
    <s v="6100"/>
    <n v="57523.75"/>
    <n v="89.09999999999999"/>
    <s v="CREDITOR"/>
    <n v="0"/>
    <n v="0"/>
    <n v="0"/>
    <n v="0"/>
    <n v="89.09999999999999"/>
  </r>
  <r>
    <n v="60817830"/>
    <s v="N"/>
    <n v="21331208"/>
    <s v="3000015050730003"/>
    <s v="CIVIL"/>
    <d v="2023-06-27T00:00:00"/>
    <d v="2023-07-05T19:01:47"/>
    <m/>
    <d v="2023-07-05T00:00:00"/>
    <n v="1349"/>
    <n v="18396"/>
    <s v="60817830"/>
    <s v="60817830"/>
    <m/>
    <m/>
    <n v="22771214"/>
    <m/>
    <m/>
    <m/>
    <s v="SOLFIN"/>
    <s v="SOLFIN"/>
    <s v="CCMS"/>
    <n v="21331208"/>
    <n v="4692.24"/>
    <m/>
    <s v="N"/>
    <n v="8"/>
    <d v="2023-07-05T19:02:10"/>
    <s v="Y"/>
    <s v="Advocates Meeting"/>
    <s v="Public Law Children"/>
    <s v="Advocacy"/>
    <s v="PNG"/>
    <s v="Y"/>
    <n v="140.99"/>
    <n v="28.2"/>
    <x v="6"/>
    <s v="VALIDATED"/>
    <n v="1"/>
    <s v="01.11.80.308.6100.0000"/>
    <n v="140.99"/>
    <s v="11"/>
    <s v="6100"/>
    <n v="57523.75"/>
    <n v="140.99"/>
    <s v="CREDITOR"/>
    <n v="0"/>
    <n v="0"/>
    <n v="0"/>
    <n v="0"/>
    <n v="140.99"/>
  </r>
  <r>
    <n v="60817830"/>
    <s v="N"/>
    <n v="21331208"/>
    <s v="3000015050730003"/>
    <s v="CIVIL"/>
    <d v="2023-06-27T00:00:00"/>
    <d v="2023-07-05T19:01:47"/>
    <m/>
    <d v="2023-07-05T00:00:00"/>
    <n v="1349"/>
    <n v="18396"/>
    <s v="60817830"/>
    <s v="60817830"/>
    <m/>
    <m/>
    <n v="22771214"/>
    <m/>
    <m/>
    <m/>
    <s v="SOLFIN"/>
    <s v="SOLFIN"/>
    <s v="CCMS"/>
    <n v="21331208"/>
    <n v="4692.24"/>
    <m/>
    <s v="N"/>
    <n v="1"/>
    <d v="2023-07-05T19:02:10"/>
    <s v="Y"/>
    <s v="Exceptional Travel"/>
    <s v="Public Law Children"/>
    <s v="Advocacy"/>
    <s v="PNG"/>
    <s v="Y"/>
    <n v="32.04"/>
    <n v="6.41"/>
    <x v="6"/>
    <s v="VALIDATED"/>
    <n v="1"/>
    <s v="01.11.80.308.6100.0000"/>
    <n v="32.04"/>
    <s v="11"/>
    <s v="6100"/>
    <n v="57523.75"/>
    <n v="32.04"/>
    <s v="CREDITOR"/>
    <n v="0"/>
    <n v="0"/>
    <n v="0"/>
    <n v="0"/>
    <n v="32.04"/>
  </r>
  <r>
    <n v="61332410"/>
    <s v="N"/>
    <n v="21349983"/>
    <s v="3000015484690002"/>
    <s v="CIVIL"/>
    <d v="2023-06-30T00:00:00"/>
    <d v="2023-07-10T19:01:40"/>
    <m/>
    <d v="2023-07-10T00:00:00"/>
    <n v="1349"/>
    <n v="18396"/>
    <s v="61332410"/>
    <s v="61332410"/>
    <m/>
    <m/>
    <n v="22796642"/>
    <m/>
    <m/>
    <m/>
    <s v="SOLFIN"/>
    <s v="SOLFIN"/>
    <s v="CCMS"/>
    <n v="21349983"/>
    <n v="3588.75"/>
    <m/>
    <s v="N"/>
    <n v="5"/>
    <d v="2023-07-10T19:02:06"/>
    <s v="Y"/>
    <s v="Advocates Meeting"/>
    <s v="Public Law Children"/>
    <s v="Advocacy"/>
    <s v="SM"/>
    <s v="Y"/>
    <n v="140.99"/>
    <n v="28.2"/>
    <x v="2"/>
    <s v="VALIDATED"/>
    <n v="1"/>
    <s v="01.11.80.308.6100.0000"/>
    <n v="140.99"/>
    <s v="11"/>
    <s v="6100"/>
    <n v="57523.75"/>
    <n v="140.99"/>
    <s v="CREDITOR"/>
    <n v="0"/>
    <n v="0"/>
    <n v="0"/>
    <n v="0"/>
    <n v="140.99"/>
  </r>
  <r>
    <n v="61377901"/>
    <s v="N"/>
    <n v="21350028"/>
    <s v="3000015523270006"/>
    <s v="CIVIL"/>
    <d v="2023-06-29T00:00:00"/>
    <d v="2023-07-10T19:01:40"/>
    <m/>
    <d v="2023-07-10T00:00:00"/>
    <n v="1349"/>
    <n v="18396"/>
    <s v="61377901"/>
    <s v="61377901"/>
    <m/>
    <m/>
    <n v="22791256"/>
    <m/>
    <m/>
    <m/>
    <s v="SOLFIN"/>
    <s v="SOLFIN"/>
    <s v="CCMS"/>
    <n v="21350028"/>
    <n v="5161.6"/>
    <m/>
    <s v="N"/>
    <n v="7"/>
    <d v="2023-07-10T19:02:10"/>
    <s v="Y"/>
    <s v="Hearing Unit 2.31 - 5.00 Hours"/>
    <s v="Public Law Children"/>
    <s v="Advocacy"/>
    <s v="SM"/>
    <s v="Y"/>
    <n v="476.92"/>
    <n v="95.38"/>
    <x v="2"/>
    <s v="VALIDATED"/>
    <n v="1"/>
    <s v="01.11.80.308.6100.0000"/>
    <n v="476.92"/>
    <s v="11"/>
    <s v="6100"/>
    <n v="57523.75"/>
    <n v="476.92"/>
    <s v="CREDITOR"/>
    <n v="0"/>
    <n v="0"/>
    <n v="0"/>
    <n v="0"/>
    <n v="476.92"/>
  </r>
  <r>
    <n v="61319164"/>
    <s v="N"/>
    <n v="21349317"/>
    <s v="3000015474570003"/>
    <s v="CIVIL"/>
    <d v="2023-06-29T00:00:00"/>
    <d v="2023-07-10T19:01:40"/>
    <m/>
    <d v="2023-07-10T00:00:00"/>
    <n v="1349"/>
    <n v="18396"/>
    <s v="61319164"/>
    <s v="61319164"/>
    <m/>
    <m/>
    <n v="22790416"/>
    <m/>
    <m/>
    <m/>
    <s v="SOLFIN"/>
    <s v="SOLFIN"/>
    <s v="CCMS"/>
    <n v="21349317"/>
    <n v="4990.14"/>
    <m/>
    <s v="N"/>
    <n v="13"/>
    <d v="2023-07-10T19:01:46"/>
    <s v="Y"/>
    <s v="Solicitors Fixed Fee"/>
    <s v="Public Law Children"/>
    <s v="Profit Cost"/>
    <s v="PNG"/>
    <s v="Y"/>
    <n v="1754"/>
    <n v="350.79"/>
    <x v="2"/>
    <s v="VALIDATED"/>
    <n v="1"/>
    <s v="01.11.80.308.6100.0000"/>
    <n v="1754"/>
    <s v="11"/>
    <s v="6100"/>
    <n v="57523.75"/>
    <n v="1754"/>
    <s v="CREDITOR"/>
    <n v="0"/>
    <n v="0"/>
    <n v="0"/>
    <n v="0"/>
    <n v="1754"/>
  </r>
  <r>
    <n v="61085543"/>
    <s v="N"/>
    <n v="21331028"/>
    <s v="3000015278940002"/>
    <s v="CIVIL"/>
    <d v="2023-06-27T00:00:00"/>
    <d v="2023-07-05T19:01:47"/>
    <m/>
    <d v="2023-07-05T00:00:00"/>
    <n v="1349"/>
    <n v="18396"/>
    <s v="61085543"/>
    <s v="61085543"/>
    <m/>
    <m/>
    <n v="22769996"/>
    <m/>
    <m/>
    <m/>
    <s v="SOLFIN"/>
    <s v="SOLFIN"/>
    <s v="CCMS"/>
    <n v="21331028"/>
    <n v="7903.45"/>
    <m/>
    <s v="N"/>
    <n v="11"/>
    <d v="2023-07-05T19:02:03"/>
    <s v="Y"/>
    <s v="Hearing Unit 2.31 - 5.00 Hours"/>
    <s v="Public Law Children"/>
    <s v="Advocacy"/>
    <s v="PNG"/>
    <s v="Y"/>
    <n v="476.92"/>
    <n v="95.38"/>
    <x v="6"/>
    <s v="VALIDATED"/>
    <n v="1"/>
    <s v="01.11.80.308.6100.0000"/>
    <n v="476.92"/>
    <s v="11"/>
    <s v="6100"/>
    <n v="57523.75"/>
    <n v="476.92"/>
    <s v="CREDITOR"/>
    <n v="0"/>
    <n v="0"/>
    <n v="0"/>
    <n v="0"/>
    <n v="476.92"/>
  </r>
  <r>
    <n v="61377901"/>
    <s v="N"/>
    <n v="21350028"/>
    <s v="3000015523270006"/>
    <s v="CIVIL"/>
    <d v="2023-06-29T00:00:00"/>
    <d v="2023-07-10T19:01:40"/>
    <m/>
    <d v="2023-07-10T00:00:00"/>
    <n v="1349"/>
    <n v="18396"/>
    <s v="61377901"/>
    <s v="61377901"/>
    <m/>
    <m/>
    <n v="22791256"/>
    <m/>
    <m/>
    <m/>
    <s v="SOLFIN"/>
    <s v="SOLFIN"/>
    <s v="CCMS"/>
    <n v="21350028"/>
    <n v="5161.6"/>
    <m/>
    <s v="N"/>
    <n v="10"/>
    <d v="2023-07-10T19:02:10"/>
    <s v="Y"/>
    <s v="Solicitors Fixed Fee"/>
    <s v="Public Law Children"/>
    <s v="Profit Cost"/>
    <s v="SM"/>
    <s v="Y"/>
    <n v="2300"/>
    <n v="460"/>
    <x v="2"/>
    <s v="VALIDATED"/>
    <n v="1"/>
    <s v="01.11.80.308.6100.0000"/>
    <n v="2300"/>
    <s v="11"/>
    <s v="6100"/>
    <n v="57523.75"/>
    <n v="2300"/>
    <s v="CREDITOR"/>
    <n v="0"/>
    <n v="0"/>
    <n v="0"/>
    <n v="0"/>
    <n v="2300"/>
  </r>
  <r>
    <n v="61143046"/>
    <s v="N"/>
    <n v="21350110"/>
    <s v="3000015328180002"/>
    <s v="CIVIL"/>
    <d v="2023-06-30T00:00:00"/>
    <d v="2023-07-10T19:01:40"/>
    <m/>
    <d v="2023-07-10T00:00:00"/>
    <n v="1349"/>
    <n v="18396"/>
    <s v="61143046"/>
    <s v="61143046"/>
    <m/>
    <m/>
    <n v="22798350"/>
    <m/>
    <m/>
    <m/>
    <s v="SOLFIN"/>
    <s v="SOLFIN"/>
    <s v="CCMS"/>
    <n v="21350110"/>
    <n v="6778.2"/>
    <m/>
    <s v="N"/>
    <n v="6"/>
    <d v="2023-07-10T19:02:14"/>
    <s v="Y"/>
    <s v="Hearing Unit 2.31 - 5.00 Hours"/>
    <s v="Public Law Children"/>
    <s v="Advocacy"/>
    <s v="PNG"/>
    <s v="Y"/>
    <n v="476.92"/>
    <n v="95.38"/>
    <x v="2"/>
    <s v="VALIDATED"/>
    <n v="1"/>
    <s v="01.11.80.308.6100.0000"/>
    <n v="476.92"/>
    <s v="11"/>
    <s v="6100"/>
    <n v="57523.75"/>
    <n v="476.92"/>
    <s v="CREDITOR"/>
    <n v="0"/>
    <n v="0"/>
    <n v="0"/>
    <n v="0"/>
    <n v="476.92"/>
  </r>
  <r>
    <n v="61700322"/>
    <s v="N"/>
    <n v="21338422"/>
    <s v="3000015784600001"/>
    <s v="CIVIL"/>
    <d v="2023-06-30T00:00:00"/>
    <d v="2023-07-06T19:21:01"/>
    <m/>
    <d v="2023-07-06T00:00:00"/>
    <n v="1349"/>
    <n v="18396"/>
    <s v="61700322"/>
    <s v="61700322"/>
    <m/>
    <m/>
    <n v="22796162"/>
    <m/>
    <m/>
    <m/>
    <s v="SOLFIN"/>
    <s v="SOLFIN"/>
    <s v="CCMS"/>
    <n v="21338422"/>
    <n v="4280.17"/>
    <m/>
    <s v="N"/>
    <n v="6"/>
    <d v="2023-07-06T19:21:24"/>
    <s v="Y"/>
    <s v="Hearing Unit 2.31 - 5.00 Hours"/>
    <s v="Public Law Children"/>
    <s v="Advocacy"/>
    <s v="SM"/>
    <s v="Y"/>
    <n v="476.92"/>
    <n v="95.38"/>
    <x v="4"/>
    <s v="VALIDATED"/>
    <n v="1"/>
    <s v="01.11.80.308.6100.0000"/>
    <n v="476.92"/>
    <s v="11"/>
    <s v="6100"/>
    <n v="57523.75"/>
    <n v="476.92"/>
    <s v="CREDITOR"/>
    <n v="0"/>
    <n v="0"/>
    <n v="0"/>
    <n v="0"/>
    <n v="476.92"/>
  </r>
  <r>
    <n v="61436518"/>
    <s v="N"/>
    <n v="21349784"/>
    <s v="3000015570790001"/>
    <s v="CIVIL"/>
    <d v="2023-06-29T00:00:00"/>
    <d v="2023-07-10T19:01:40"/>
    <m/>
    <d v="2023-07-10T00:00:00"/>
    <n v="1349"/>
    <n v="18396"/>
    <s v="61436518"/>
    <s v="61436518"/>
    <m/>
    <m/>
    <n v="22791150"/>
    <m/>
    <m/>
    <m/>
    <s v="SOLFIN"/>
    <s v="SOLFIN"/>
    <s v="CCMS"/>
    <n v="21349784"/>
    <n v="4447.2"/>
    <m/>
    <s v="N"/>
    <n v="5"/>
    <d v="2023-07-10T19:01:57"/>
    <s v="Y"/>
    <s v="Advocates Meeting"/>
    <s v="Public Law Children"/>
    <s v="Advocacy"/>
    <s v="SM"/>
    <s v="Y"/>
    <n v="140.99"/>
    <n v="28.2"/>
    <x v="2"/>
    <s v="VALIDATED"/>
    <n v="1"/>
    <s v="01.11.80.308.6100.0000"/>
    <n v="140.99"/>
    <s v="11"/>
    <s v="6100"/>
    <n v="57523.75"/>
    <n v="140.99"/>
    <s v="CREDITOR"/>
    <n v="0"/>
    <n v="0"/>
    <n v="0"/>
    <n v="0"/>
    <n v="140.99"/>
  </r>
  <r>
    <n v="60509031"/>
    <s v="N"/>
    <n v="21349662"/>
    <s v="3000014783760003"/>
    <s v="CIVIL"/>
    <d v="2023-06-29T00:00:00"/>
    <d v="2023-07-10T19:01:40"/>
    <m/>
    <d v="2023-07-10T00:00:00"/>
    <n v="1349"/>
    <n v="18396"/>
    <s v="60509031"/>
    <s v="60509031"/>
    <m/>
    <m/>
    <n v="22789932"/>
    <m/>
    <m/>
    <m/>
    <s v="SOLFIN"/>
    <s v="SOLFIN"/>
    <s v="CCMS"/>
    <n v="21349662"/>
    <n v="5933.71"/>
    <m/>
    <s v="N"/>
    <n v="12"/>
    <d v="2023-07-10T19:01:55"/>
    <s v="Y"/>
    <s v="Hearing Unit 2.31 - 5.00 Hours"/>
    <s v="Public Law Children"/>
    <s v="Advocacy"/>
    <s v="PNG"/>
    <s v="Y"/>
    <n v="476.92"/>
    <n v="95.38"/>
    <x v="2"/>
    <s v="VALIDATED"/>
    <n v="1"/>
    <s v="01.11.80.308.6100.0000"/>
    <n v="476.92"/>
    <s v="11"/>
    <s v="6100"/>
    <n v="57523.75"/>
    <n v="476.92"/>
    <s v="CREDITOR"/>
    <n v="0"/>
    <n v="0"/>
    <n v="0"/>
    <n v="0"/>
    <n v="476.92"/>
  </r>
  <r>
    <n v="61319164"/>
    <s v="N"/>
    <n v="21349317"/>
    <s v="3000015474570003"/>
    <s v="CIVIL"/>
    <d v="2023-06-29T00:00:00"/>
    <d v="2023-07-10T19:01:40"/>
    <m/>
    <d v="2023-07-10T00:00:00"/>
    <n v="1349"/>
    <n v="18396"/>
    <s v="61319164"/>
    <s v="61319164"/>
    <m/>
    <m/>
    <n v="22790416"/>
    <m/>
    <m/>
    <m/>
    <s v="SOLFIN"/>
    <s v="SOLFIN"/>
    <s v="CCMS"/>
    <n v="21349317"/>
    <n v="4990.14"/>
    <m/>
    <s v="N"/>
    <n v="2"/>
    <d v="2023-07-10T19:01:46"/>
    <s v="Y"/>
    <s v="Exceptional Travel"/>
    <s v="Public Law Children"/>
    <s v="Advocacy"/>
    <s v="PNG"/>
    <s v="Y"/>
    <n v="32.04"/>
    <n v="6.41"/>
    <x v="2"/>
    <s v="VALIDATED"/>
    <n v="1"/>
    <s v="01.11.80.308.6100.0000"/>
    <n v="32.04"/>
    <s v="11"/>
    <s v="6100"/>
    <n v="57523.75"/>
    <n v="32.04"/>
    <s v="CREDITOR"/>
    <n v="0"/>
    <n v="0"/>
    <n v="0"/>
    <n v="0"/>
    <n v="32.04"/>
  </r>
  <r>
    <n v="61085543"/>
    <s v="N"/>
    <n v="21331028"/>
    <s v="3000015278940002"/>
    <s v="CIVIL"/>
    <d v="2023-06-27T00:00:00"/>
    <d v="2023-07-05T19:01:47"/>
    <m/>
    <d v="2023-07-05T00:00:00"/>
    <n v="1349"/>
    <n v="18396"/>
    <s v="61085543"/>
    <s v="61085543"/>
    <m/>
    <m/>
    <n v="22769996"/>
    <m/>
    <m/>
    <m/>
    <s v="SOLFIN"/>
    <s v="SOLFIN"/>
    <s v="CCMS"/>
    <n v="21331028"/>
    <n v="7903.45"/>
    <m/>
    <s v="N"/>
    <n v="9"/>
    <d v="2023-07-05T19:02:03"/>
    <s v="Y"/>
    <s v="Hearing Unit 2.31 - 5.00 Hours"/>
    <s v="Public Law Children"/>
    <s v="Advocacy"/>
    <s v="SM"/>
    <s v="Y"/>
    <n v="476.92"/>
    <n v="95.38"/>
    <x v="6"/>
    <s v="VALIDATED"/>
    <n v="1"/>
    <s v="01.11.80.308.6100.0000"/>
    <n v="476.92"/>
    <s v="11"/>
    <s v="6100"/>
    <n v="57523.75"/>
    <n v="476.92"/>
    <s v="CREDITOR"/>
    <n v="0"/>
    <n v="0"/>
    <n v="0"/>
    <n v="0"/>
    <n v="476.92"/>
  </r>
  <r>
    <n v="61332410"/>
    <s v="N"/>
    <n v="21349983"/>
    <s v="3000015484690002"/>
    <s v="CIVIL"/>
    <d v="2023-06-30T00:00:00"/>
    <d v="2023-07-10T19:01:40"/>
    <m/>
    <d v="2023-07-10T00:00:00"/>
    <n v="1349"/>
    <n v="18396"/>
    <s v="61332410"/>
    <s v="61332410"/>
    <m/>
    <m/>
    <n v="22796642"/>
    <m/>
    <m/>
    <m/>
    <s v="SOLFIN"/>
    <s v="SOLFIN"/>
    <s v="CCMS"/>
    <n v="21349983"/>
    <n v="3588.75"/>
    <m/>
    <s v="N"/>
    <n v="1"/>
    <d v="2023-07-10T19:02:06"/>
    <s v="Y"/>
    <s v="Final Hearing Court Bundle/Advocate"/>
    <s v="Public Law Children"/>
    <s v="Advocacy"/>
    <s v="SM"/>
    <s v="Y"/>
    <n v="159.3"/>
    <n v="31.86"/>
    <x v="2"/>
    <s v="VALIDATED"/>
    <n v="1"/>
    <s v="01.11.80.308.6100.0000"/>
    <n v="159.3"/>
    <s v="11"/>
    <s v="6100"/>
    <n v="57523.75"/>
    <n v="159.3"/>
    <s v="CREDITOR"/>
    <n v="0"/>
    <n v="0"/>
    <n v="0"/>
    <n v="0"/>
    <n v="159.3"/>
  </r>
  <r>
    <n v="61319164"/>
    <s v="N"/>
    <n v="21349317"/>
    <s v="3000015474570003"/>
    <s v="CIVIL"/>
    <d v="2023-06-29T00:00:00"/>
    <d v="2023-07-10T19:01:40"/>
    <m/>
    <d v="2023-07-10T00:00:00"/>
    <n v="1349"/>
    <n v="18396"/>
    <s v="61319164"/>
    <s v="61319164"/>
    <m/>
    <m/>
    <n v="22790416"/>
    <m/>
    <m/>
    <m/>
    <s v="SOLFIN"/>
    <s v="SOLFIN"/>
    <s v="CCMS"/>
    <n v="21349317"/>
    <n v="4990.14"/>
    <m/>
    <s v="N"/>
    <n v="1"/>
    <d v="2023-07-10T19:01:46"/>
    <s v="Y"/>
    <s v="Exceptional Travel"/>
    <s v="Public Law Children"/>
    <s v="Advocacy"/>
    <s v="PNG"/>
    <s v="Y"/>
    <n v="32.04"/>
    <n v="6.41"/>
    <x v="2"/>
    <s v="VALIDATED"/>
    <n v="1"/>
    <s v="01.11.80.308.6100.0000"/>
    <n v="32.04"/>
    <s v="11"/>
    <s v="6100"/>
    <n v="57523.75"/>
    <n v="32.04"/>
    <s v="CREDITOR"/>
    <n v="0"/>
    <n v="0"/>
    <n v="0"/>
    <n v="0"/>
    <n v="32.04"/>
  </r>
  <r>
    <n v="61319164"/>
    <s v="N"/>
    <n v="21349317"/>
    <s v="3000015474570003"/>
    <s v="CIVIL"/>
    <d v="2023-06-29T00:00:00"/>
    <d v="2023-07-10T19:01:40"/>
    <m/>
    <d v="2023-07-10T00:00:00"/>
    <n v="1349"/>
    <n v="18396"/>
    <s v="61319164"/>
    <s v="61319164"/>
    <m/>
    <m/>
    <n v="22790416"/>
    <m/>
    <m/>
    <m/>
    <s v="SOLFIN"/>
    <s v="SOLFIN"/>
    <s v="CCMS"/>
    <n v="21349317"/>
    <n v="4990.14"/>
    <m/>
    <s v="N"/>
    <n v="4"/>
    <d v="2023-07-10T19:01:46"/>
    <s v="Y"/>
    <s v="Solicitor Travel Mileage"/>
    <s v="Public Law Children"/>
    <s v="Non Expert Disbursement"/>
    <s v="PNG"/>
    <s v="Y"/>
    <n v="57.6"/>
    <n v="11.52"/>
    <x v="2"/>
    <s v="VALIDATED"/>
    <n v="1"/>
    <s v="01.11.80.308.6300.0000"/>
    <n v="57.6"/>
    <s v="11"/>
    <s v="6300"/>
    <n v="57523.75"/>
    <n v="57.6"/>
    <s v="CREDITOR"/>
    <n v="0"/>
    <n v="0"/>
    <n v="0"/>
    <n v="0"/>
    <n v="57.6"/>
  </r>
  <r>
    <n v="61143046"/>
    <s v="N"/>
    <n v="21350110"/>
    <s v="3000015328180002"/>
    <s v="CIVIL"/>
    <d v="2023-06-30T00:00:00"/>
    <d v="2023-07-10T19:01:40"/>
    <m/>
    <d v="2023-07-10T00:00:00"/>
    <n v="1349"/>
    <n v="18396"/>
    <s v="61143046"/>
    <s v="61143046"/>
    <m/>
    <m/>
    <n v="22798350"/>
    <m/>
    <m/>
    <m/>
    <s v="SOLFIN"/>
    <s v="SOLFIN"/>
    <s v="CCMS"/>
    <n v="21350110"/>
    <n v="6778.2"/>
    <m/>
    <s v="N"/>
    <n v="2"/>
    <d v="2023-07-10T19:02:14"/>
    <s v="Y"/>
    <s v="DNA - preparation of report"/>
    <s v="Public Law Children"/>
    <s v="Expert Disbursement"/>
    <s v="PNG"/>
    <s v="Y"/>
    <n v="149.67"/>
    <n v="29.93"/>
    <x v="2"/>
    <s v="VALIDATED"/>
    <n v="1"/>
    <s v="01.11.80.308.6300.0000"/>
    <n v="149.67"/>
    <s v="11"/>
    <s v="6300"/>
    <n v="57523.75"/>
    <n v="149.67"/>
    <s v="CREDITOR"/>
    <n v="0"/>
    <n v="0"/>
    <n v="0"/>
    <n v="0"/>
    <n v="149.67"/>
  </r>
  <r>
    <n v="61436518"/>
    <s v="N"/>
    <n v="21349784"/>
    <s v="3000015570790001"/>
    <s v="CIVIL"/>
    <d v="2023-06-29T00:00:00"/>
    <d v="2023-07-10T19:01:40"/>
    <m/>
    <d v="2023-07-10T00:00:00"/>
    <n v="1349"/>
    <n v="18396"/>
    <s v="61436518"/>
    <s v="61436518"/>
    <m/>
    <m/>
    <n v="22791150"/>
    <m/>
    <m/>
    <m/>
    <s v="SOLFIN"/>
    <s v="SOLFIN"/>
    <s v="CCMS"/>
    <n v="21349784"/>
    <n v="4447.2"/>
    <m/>
    <s v="N"/>
    <n v="6"/>
    <d v="2023-07-10T19:01:57"/>
    <s v="Y"/>
    <s v="Hearing Unit 2.31 - 5.00 Hours"/>
    <s v="Public Law Children"/>
    <s v="Advocacy"/>
    <s v="SM"/>
    <s v="Y"/>
    <n v="476.92"/>
    <n v="95.38"/>
    <x v="2"/>
    <s v="VALIDATED"/>
    <n v="1"/>
    <s v="01.11.80.308.6100.0000"/>
    <n v="476.92"/>
    <s v="11"/>
    <s v="6100"/>
    <n v="57523.75"/>
    <n v="476.92"/>
    <s v="CREDITOR"/>
    <n v="0"/>
    <n v="0"/>
    <n v="0"/>
    <n v="0"/>
    <n v="476.92"/>
  </r>
  <r>
    <n v="61536154"/>
    <s v="N"/>
    <n v="21349322"/>
    <s v="3000015655120005"/>
    <s v="CIVIL"/>
    <d v="2023-06-29T00:00:00"/>
    <d v="2023-07-10T19:01:40"/>
    <m/>
    <d v="2023-07-10T00:00:00"/>
    <n v="1349"/>
    <n v="18396"/>
    <s v="61536154"/>
    <s v="61536154"/>
    <m/>
    <m/>
    <n v="22790166"/>
    <m/>
    <m/>
    <m/>
    <s v="SOLFIN"/>
    <s v="SOLFIN"/>
    <s v="CCMS"/>
    <n v="21349322"/>
    <n v="5666.21"/>
    <m/>
    <s v="N"/>
    <n v="10"/>
    <d v="2023-07-10T19:01:47"/>
    <s v="Y"/>
    <s v="Hearing Unit 2.31 - 5.00 Hours"/>
    <s v="Public Law Children"/>
    <s v="Advocacy"/>
    <s v="PNG"/>
    <s v="Y"/>
    <n v="476.92"/>
    <n v="95.38"/>
    <x v="2"/>
    <s v="VALIDATED"/>
    <n v="1"/>
    <s v="01.11.80.308.6100.0000"/>
    <n v="476.92"/>
    <s v="11"/>
    <s v="6100"/>
    <n v="57523.75"/>
    <n v="476.92"/>
    <s v="CREDITOR"/>
    <n v="0"/>
    <n v="0"/>
    <n v="0"/>
    <n v="0"/>
    <n v="476.92"/>
  </r>
  <r>
    <n v="61377901"/>
    <s v="N"/>
    <n v="21350028"/>
    <s v="3000015523270006"/>
    <s v="CIVIL"/>
    <d v="2023-06-29T00:00:00"/>
    <d v="2023-07-10T19:01:40"/>
    <m/>
    <d v="2023-07-10T00:00:00"/>
    <n v="1349"/>
    <n v="18396"/>
    <s v="61377901"/>
    <s v="61377901"/>
    <m/>
    <m/>
    <n v="22791256"/>
    <m/>
    <m/>
    <m/>
    <s v="SOLFIN"/>
    <s v="SOLFIN"/>
    <s v="CCMS"/>
    <n v="21350028"/>
    <n v="5161.6"/>
    <m/>
    <s v="N"/>
    <n v="2"/>
    <d v="2023-07-10T19:02:10"/>
    <s v="Y"/>
    <s v="Toxicologist"/>
    <s v="Public Law Children"/>
    <s v="Expert Disbursement"/>
    <s v="SM"/>
    <s v="Y"/>
    <n v="262.25"/>
    <n v="52.45"/>
    <x v="2"/>
    <s v="VALIDATED"/>
    <n v="1"/>
    <s v="01.11.80.308.6300.0000"/>
    <n v="262.25"/>
    <s v="11"/>
    <s v="6300"/>
    <n v="57523.75"/>
    <n v="262.25"/>
    <s v="CREDITOR"/>
    <n v="0"/>
    <n v="0"/>
    <n v="0"/>
    <n v="0"/>
    <n v="262.25"/>
  </r>
  <r>
    <n v="61134985"/>
    <s v="N"/>
    <n v="21344072"/>
    <s v="3000015320960002"/>
    <s v="CIVIL"/>
    <d v="2023-06-29T00:00:00"/>
    <d v="2023-07-07T19:03:00"/>
    <m/>
    <d v="2023-07-07T00:00:00"/>
    <n v="1349"/>
    <n v="18396"/>
    <s v="61134985"/>
    <s v="61134985"/>
    <m/>
    <m/>
    <n v="22790046"/>
    <m/>
    <m/>
    <m/>
    <s v="SOLFIN"/>
    <s v="SOLFIN"/>
    <s v="CCMS"/>
    <n v="21344072"/>
    <n v="5565.08"/>
    <m/>
    <s v="N"/>
    <n v="9"/>
    <d v="2023-07-07T19:03:22"/>
    <s v="Y"/>
    <s v="Advocates Meeting"/>
    <s v="Public Law Children"/>
    <s v="Advocacy"/>
    <s v="PNG"/>
    <s v="Y"/>
    <n v="140.99"/>
    <n v="28.2"/>
    <x v="9"/>
    <s v="VALIDATED"/>
    <n v="1"/>
    <s v="01.11.80.308.6100.0000"/>
    <n v="140.99"/>
    <s v="11"/>
    <s v="6100"/>
    <n v="57523.75"/>
    <n v="140.99"/>
    <s v="CREDITOR"/>
    <n v="0"/>
    <n v="0"/>
    <n v="0"/>
    <n v="0"/>
    <n v="140.99"/>
  </r>
  <r>
    <n v="61332410"/>
    <s v="N"/>
    <n v="21349983"/>
    <s v="3000015484690002"/>
    <s v="CIVIL"/>
    <d v="2023-06-30T00:00:00"/>
    <d v="2023-07-10T19:01:40"/>
    <m/>
    <d v="2023-07-10T00:00:00"/>
    <n v="1349"/>
    <n v="18396"/>
    <s v="61332410"/>
    <s v="61332410"/>
    <m/>
    <m/>
    <n v="22796642"/>
    <m/>
    <m/>
    <m/>
    <s v="SOLFIN"/>
    <s v="SOLFIN"/>
    <s v="CCMS"/>
    <n v="21349983"/>
    <n v="3588.75"/>
    <m/>
    <s v="N"/>
    <n v="3"/>
    <d v="2023-07-10T19:02:06"/>
    <s v="Y"/>
    <s v="Hearing Unit 1.01 - 2.30 Hours"/>
    <s v="Public Law Children"/>
    <s v="Advocacy"/>
    <s v="SM"/>
    <s v="Y"/>
    <n v="238.46"/>
    <n v="47.69"/>
    <x v="2"/>
    <s v="VALIDATED"/>
    <n v="1"/>
    <s v="01.11.80.308.6100.0000"/>
    <n v="238.46"/>
    <s v="11"/>
    <s v="6100"/>
    <n v="57523.75"/>
    <n v="238.46"/>
    <s v="CREDITOR"/>
    <n v="0"/>
    <n v="0"/>
    <n v="0"/>
    <n v="0"/>
    <n v="238.46"/>
  </r>
  <r>
    <n v="61436518"/>
    <s v="N"/>
    <n v="21349784"/>
    <s v="3000015570790001"/>
    <s v="CIVIL"/>
    <d v="2023-06-29T00:00:00"/>
    <d v="2023-07-10T19:01:40"/>
    <m/>
    <d v="2023-07-10T00:00:00"/>
    <n v="1349"/>
    <n v="18396"/>
    <s v="61436518"/>
    <s v="61436518"/>
    <m/>
    <m/>
    <n v="22791150"/>
    <m/>
    <m/>
    <m/>
    <s v="SOLFIN"/>
    <s v="SOLFIN"/>
    <s v="CCMS"/>
    <n v="21349784"/>
    <n v="4447.2"/>
    <m/>
    <s v="N"/>
    <n v="7"/>
    <d v="2023-07-10T19:01:57"/>
    <s v="Y"/>
    <s v="Solicitors Fixed Fee"/>
    <s v="Public Law Children"/>
    <s v="Profit Cost"/>
    <s v="SM"/>
    <s v="Y"/>
    <n v="1754"/>
    <n v="350.8"/>
    <x v="2"/>
    <s v="VALIDATED"/>
    <n v="1"/>
    <s v="01.11.80.308.6100.0000"/>
    <n v="1754"/>
    <s v="11"/>
    <s v="6100"/>
    <n v="57523.75"/>
    <n v="1754"/>
    <s v="CREDITOR"/>
    <n v="0"/>
    <n v="0"/>
    <n v="0"/>
    <n v="0"/>
    <n v="1754"/>
  </r>
  <r>
    <n v="61536154"/>
    <s v="N"/>
    <n v="21349322"/>
    <s v="3000015655120005"/>
    <s v="CIVIL"/>
    <d v="2023-06-29T00:00:00"/>
    <d v="2023-07-10T19:01:40"/>
    <m/>
    <d v="2023-07-10T00:00:00"/>
    <n v="1349"/>
    <n v="18396"/>
    <s v="61536154"/>
    <s v="61536154"/>
    <m/>
    <m/>
    <n v="22790166"/>
    <m/>
    <m/>
    <m/>
    <s v="SOLFIN"/>
    <s v="SOLFIN"/>
    <s v="CCMS"/>
    <n v="21349322"/>
    <n v="5666.21"/>
    <m/>
    <s v="N"/>
    <n v="11"/>
    <d v="2023-07-10T19:01:47"/>
    <s v="Y"/>
    <s v="Solicitors Fixed Fee"/>
    <s v="Public Law Children"/>
    <s v="Profit Cost"/>
    <s v="PNG"/>
    <s v="Y"/>
    <n v="2300"/>
    <n v="460"/>
    <x v="2"/>
    <s v="VALIDATED"/>
    <n v="1"/>
    <s v="01.11.80.308.6100.0000"/>
    <n v="2300"/>
    <s v="11"/>
    <s v="6100"/>
    <n v="57523.75"/>
    <n v="2300"/>
    <s v="CREDITOR"/>
    <n v="0"/>
    <n v="0"/>
    <n v="0"/>
    <n v="0"/>
    <n v="2300"/>
  </r>
  <r>
    <n v="61134985"/>
    <s v="N"/>
    <n v="21344072"/>
    <s v="3000015320960002"/>
    <s v="CIVIL"/>
    <d v="2023-06-29T00:00:00"/>
    <d v="2023-07-07T19:03:00"/>
    <m/>
    <d v="2023-07-07T00:00:00"/>
    <n v="1349"/>
    <n v="18396"/>
    <s v="61134985"/>
    <s v="61134985"/>
    <m/>
    <m/>
    <n v="22790046"/>
    <m/>
    <m/>
    <m/>
    <s v="SOLFIN"/>
    <s v="SOLFIN"/>
    <s v="CCMS"/>
    <n v="21344072"/>
    <n v="5565.08"/>
    <m/>
    <s v="N"/>
    <n v="10"/>
    <d v="2023-07-07T19:03:22"/>
    <s v="Y"/>
    <s v="Solicitors Fixed Fee"/>
    <s v="Public Law Children"/>
    <s v="Profit Cost"/>
    <s v="PNG"/>
    <s v="Y"/>
    <n v="1754"/>
    <n v="350.8"/>
    <x v="9"/>
    <s v="VALIDATED"/>
    <n v="1"/>
    <s v="01.11.80.308.6100.0000"/>
    <n v="1754"/>
    <s v="11"/>
    <s v="6100"/>
    <n v="57523.75"/>
    <n v="1754"/>
    <s v="CREDITOR"/>
    <n v="0"/>
    <n v="0"/>
    <n v="0"/>
    <n v="0"/>
    <n v="1754"/>
  </r>
  <r>
    <n v="60817830"/>
    <s v="N"/>
    <n v="21331208"/>
    <s v="3000015050730003"/>
    <s v="CIVIL"/>
    <d v="2023-06-27T00:00:00"/>
    <d v="2023-07-05T19:01:47"/>
    <m/>
    <d v="2023-07-05T00:00:00"/>
    <n v="1349"/>
    <n v="18396"/>
    <s v="60817830"/>
    <s v="60817830"/>
    <m/>
    <m/>
    <n v="22771214"/>
    <m/>
    <m/>
    <m/>
    <s v="SOLFIN"/>
    <s v="SOLFIN"/>
    <s v="CCMS"/>
    <n v="21331208"/>
    <n v="4692.24"/>
    <m/>
    <s v="N"/>
    <n v="7"/>
    <d v="2023-07-05T19:02:10"/>
    <s v="Y"/>
    <s v="Advocates Meeting"/>
    <s v="Public Law Children"/>
    <s v="Advocacy"/>
    <s v="PNG"/>
    <s v="Y"/>
    <n v="140.99"/>
    <n v="28.2"/>
    <x v="6"/>
    <s v="VALIDATED"/>
    <n v="1"/>
    <s v="01.11.80.308.6100.0000"/>
    <n v="140.99"/>
    <s v="11"/>
    <s v="6100"/>
    <n v="57523.75"/>
    <n v="140.99"/>
    <s v="CREDITOR"/>
    <n v="0"/>
    <n v="0"/>
    <n v="0"/>
    <n v="0"/>
    <n v="140.99"/>
  </r>
  <r>
    <n v="61302125"/>
    <s v="N"/>
    <n v="21331250"/>
    <s v="3000015459840001"/>
    <s v="CIVIL"/>
    <d v="2023-06-27T00:00:00"/>
    <d v="2023-07-05T19:01:47"/>
    <m/>
    <d v="2023-07-05T00:00:00"/>
    <n v="1349"/>
    <n v="18396"/>
    <s v="61302125"/>
    <s v="61302125"/>
    <m/>
    <m/>
    <n v="22771050"/>
    <m/>
    <m/>
    <m/>
    <s v="SOLFIN"/>
    <s v="SOLFIN"/>
    <s v="CCMS"/>
    <n v="21331250"/>
    <n v="5715.31"/>
    <m/>
    <s v="N"/>
    <n v="9"/>
    <d v="2023-07-05T19:02:11"/>
    <s v="Y"/>
    <s v="Hearing Unit 2.31 - 5.00 Hours"/>
    <s v="Public Law Children"/>
    <s v="Advocacy"/>
    <s v="SM"/>
    <s v="Y"/>
    <n v="476.92"/>
    <n v="95.38"/>
    <x v="6"/>
    <s v="VALIDATED"/>
    <n v="1"/>
    <s v="01.11.80.308.6100.0000"/>
    <n v="476.92"/>
    <s v="11"/>
    <s v="6100"/>
    <n v="57523.75"/>
    <n v="476.92"/>
    <s v="CREDITOR"/>
    <n v="0"/>
    <n v="0"/>
    <n v="0"/>
    <n v="0"/>
    <n v="476.92"/>
  </r>
  <r>
    <n v="61085543"/>
    <s v="N"/>
    <n v="21331028"/>
    <s v="3000015278940002"/>
    <s v="CIVIL"/>
    <d v="2023-06-27T00:00:00"/>
    <d v="2023-07-05T19:01:47"/>
    <m/>
    <d v="2023-07-05T00:00:00"/>
    <n v="1349"/>
    <n v="18396"/>
    <s v="61085543"/>
    <s v="61085543"/>
    <m/>
    <m/>
    <n v="22769996"/>
    <m/>
    <m/>
    <m/>
    <s v="SOLFIN"/>
    <s v="SOLFIN"/>
    <s v="CCMS"/>
    <n v="21331028"/>
    <n v="7903.45"/>
    <m/>
    <s v="N"/>
    <n v="2"/>
    <d v="2023-07-05T19:02:03"/>
    <s v="Y"/>
    <s v="Final Hearing Court Bundle/Advocate"/>
    <s v="Public Law Children"/>
    <s v="Advocacy"/>
    <s v="PNG"/>
    <s v="Y"/>
    <n v="239.4"/>
    <n v="47.88"/>
    <x v="6"/>
    <s v="VALIDATED"/>
    <n v="1"/>
    <s v="01.11.80.308.6100.0000"/>
    <n v="239.4"/>
    <s v="11"/>
    <s v="6100"/>
    <n v="57523.75"/>
    <n v="239.4"/>
    <s v="CREDITOR"/>
    <n v="0"/>
    <n v="0"/>
    <n v="0"/>
    <n v="0"/>
    <n v="239.4"/>
  </r>
  <r>
    <n v="61134985"/>
    <s v="N"/>
    <n v="21344072"/>
    <s v="3000015320960002"/>
    <s v="CIVIL"/>
    <d v="2023-06-29T00:00:00"/>
    <d v="2023-07-07T19:03:00"/>
    <m/>
    <d v="2023-07-07T00:00:00"/>
    <n v="1349"/>
    <n v="18396"/>
    <s v="61134985"/>
    <s v="61134985"/>
    <m/>
    <m/>
    <n v="22790046"/>
    <m/>
    <m/>
    <m/>
    <s v="SOLFIN"/>
    <s v="SOLFIN"/>
    <s v="CCMS"/>
    <n v="21344072"/>
    <n v="5565.08"/>
    <m/>
    <s v="N"/>
    <n v="3"/>
    <d v="2023-07-07T19:03:22"/>
    <s v="Y"/>
    <s v="Toxicologist"/>
    <s v="Public Law Children"/>
    <s v="Expert Disbursement"/>
    <s v="PNG"/>
    <s v="Y"/>
    <n v="395.25"/>
    <n v="79.05"/>
    <x v="9"/>
    <s v="VALIDATED"/>
    <n v="1"/>
    <s v="01.11.80.308.6300.0000"/>
    <n v="395.25"/>
    <s v="11"/>
    <s v="6300"/>
    <n v="57523.75"/>
    <n v="395.25"/>
    <s v="CREDITOR"/>
    <n v="0"/>
    <n v="0"/>
    <n v="0"/>
    <n v="0"/>
    <n v="395.25"/>
  </r>
  <r>
    <n v="61085543"/>
    <s v="N"/>
    <n v="21331028"/>
    <s v="3000015278940002"/>
    <s v="CIVIL"/>
    <d v="2023-06-27T00:00:00"/>
    <d v="2023-07-05T19:01:47"/>
    <m/>
    <d v="2023-07-05T00:00:00"/>
    <n v="1349"/>
    <n v="18396"/>
    <s v="61085543"/>
    <s v="61085543"/>
    <m/>
    <m/>
    <n v="22769996"/>
    <m/>
    <m/>
    <m/>
    <s v="SOLFIN"/>
    <s v="SOLFIN"/>
    <s v="CCMS"/>
    <n v="21331028"/>
    <n v="7903.45"/>
    <m/>
    <s v="N"/>
    <n v="6"/>
    <d v="2023-07-05T19:02:03"/>
    <s v="Y"/>
    <s v="Advocates Meeting"/>
    <s v="Public Law Children"/>
    <s v="Advocacy"/>
    <s v="PNG"/>
    <s v="Y"/>
    <n v="140.99"/>
    <n v="28.2"/>
    <x v="6"/>
    <s v="VALIDATED"/>
    <n v="1"/>
    <s v="01.11.80.308.6100.0000"/>
    <n v="140.99"/>
    <s v="11"/>
    <s v="6100"/>
    <n v="57523.75"/>
    <n v="140.99"/>
    <s v="CREDITOR"/>
    <n v="0"/>
    <n v="0"/>
    <n v="0"/>
    <n v="0"/>
    <n v="140.99"/>
  </r>
  <r>
    <n v="61377901"/>
    <s v="N"/>
    <n v="21350028"/>
    <s v="3000015523270006"/>
    <s v="CIVIL"/>
    <d v="2023-06-29T00:00:00"/>
    <d v="2023-07-10T19:01:40"/>
    <m/>
    <d v="2023-07-10T00:00:00"/>
    <n v="1349"/>
    <n v="18396"/>
    <s v="61377901"/>
    <s v="61377901"/>
    <m/>
    <m/>
    <n v="22791256"/>
    <m/>
    <m/>
    <m/>
    <s v="SOLFIN"/>
    <s v="SOLFIN"/>
    <s v="CCMS"/>
    <n v="21350028"/>
    <n v="5161.6"/>
    <m/>
    <s v="N"/>
    <n v="8"/>
    <d v="2023-07-10T19:02:10"/>
    <s v="Y"/>
    <s v="Final Hearing - 1 Day"/>
    <s v="Public Law Children"/>
    <s v="Advocacy"/>
    <s v="SM"/>
    <s v="Y"/>
    <n v="556.88"/>
    <n v="111.38"/>
    <x v="2"/>
    <s v="VALIDATED"/>
    <n v="1"/>
    <s v="01.11.80.308.6100.0000"/>
    <n v="556.88"/>
    <s v="11"/>
    <s v="6100"/>
    <n v="57523.75"/>
    <n v="556.88"/>
    <s v="CREDITOR"/>
    <n v="0"/>
    <n v="0"/>
    <n v="0"/>
    <n v="0"/>
    <n v="556.88"/>
  </r>
  <r>
    <n v="61535870"/>
    <s v="N"/>
    <n v="21350093"/>
    <s v="3000015644710003"/>
    <s v="CIVIL"/>
    <d v="2023-06-30T00:00:00"/>
    <d v="2023-07-10T19:01:40"/>
    <m/>
    <d v="2023-07-10T00:00:00"/>
    <n v="1349"/>
    <n v="18396"/>
    <s v="61535870"/>
    <s v="61535870"/>
    <m/>
    <m/>
    <n v="22796548"/>
    <m/>
    <m/>
    <m/>
    <s v="SOLFIN"/>
    <s v="SOLFIN"/>
    <s v="CCMS"/>
    <n v="21350093"/>
    <n v="1116"/>
    <m/>
    <s v="N"/>
    <n v="1"/>
    <d v="2023-07-10T19:02:13"/>
    <s v="Y"/>
    <s v="Solicitors Fixed Fee"/>
    <s v="Public Law Children"/>
    <s v="Profit Cost"/>
    <s v="SM"/>
    <s v="Y"/>
    <n v="930"/>
    <n v="186"/>
    <x v="2"/>
    <s v="VALIDATED"/>
    <n v="1"/>
    <s v="01.11.80.305.6100.0000"/>
    <n v="930"/>
    <s v="11"/>
    <s v="6100"/>
    <n v="57523.75"/>
    <n v="930"/>
    <s v="CREDITOR"/>
    <n v="0"/>
    <n v="0"/>
    <n v="0"/>
    <n v="0"/>
    <n v="930"/>
  </r>
  <r>
    <n v="60509031"/>
    <s v="N"/>
    <n v="21349662"/>
    <s v="3000014783760003"/>
    <s v="CIVIL"/>
    <d v="2023-06-29T00:00:00"/>
    <d v="2023-07-10T19:01:40"/>
    <m/>
    <d v="2023-07-10T00:00:00"/>
    <n v="1349"/>
    <n v="18396"/>
    <s v="60509031"/>
    <s v="60509031"/>
    <m/>
    <m/>
    <n v="22789932"/>
    <m/>
    <m/>
    <m/>
    <s v="SOLFIN"/>
    <s v="SOLFIN"/>
    <s v="CCMS"/>
    <n v="21349662"/>
    <n v="5933.71"/>
    <m/>
    <s v="N"/>
    <n v="6"/>
    <d v="2023-07-10T19:01:55"/>
    <s v="Y"/>
    <s v="Hearing Unit 1.01 - 2.30 Hours"/>
    <s v="Public Law Children"/>
    <s v="Advocacy"/>
    <s v="PNG"/>
    <s v="Y"/>
    <n v="238.46"/>
    <n v="47.69"/>
    <x v="2"/>
    <s v="VALIDATED"/>
    <n v="1"/>
    <s v="01.11.80.308.6100.0000"/>
    <n v="238.46"/>
    <s v="11"/>
    <s v="6100"/>
    <n v="57523.75"/>
    <n v="238.46"/>
    <s v="CREDITOR"/>
    <n v="0"/>
    <n v="0"/>
    <n v="0"/>
    <n v="0"/>
    <n v="238.46"/>
  </r>
  <r>
    <n v="60817830"/>
    <s v="N"/>
    <n v="21331208"/>
    <s v="3000015050730003"/>
    <s v="CIVIL"/>
    <d v="2023-06-27T00:00:00"/>
    <d v="2023-07-05T19:01:47"/>
    <m/>
    <d v="2023-07-05T00:00:00"/>
    <n v="1349"/>
    <n v="18396"/>
    <s v="60817830"/>
    <s v="60817830"/>
    <m/>
    <m/>
    <n v="22771214"/>
    <m/>
    <m/>
    <m/>
    <s v="SOLFIN"/>
    <s v="SOLFIN"/>
    <s v="CCMS"/>
    <n v="21331208"/>
    <n v="4692.24"/>
    <m/>
    <s v="N"/>
    <n v="11"/>
    <d v="2023-07-05T19:02:10"/>
    <s v="Y"/>
    <s v="Solicitors Fixed Fee"/>
    <s v="Public Law Children"/>
    <s v="Profit Cost"/>
    <s v="PNG"/>
    <s v="Y"/>
    <n v="1754"/>
    <n v="350.8"/>
    <x v="6"/>
    <s v="VALIDATED"/>
    <n v="1"/>
    <s v="01.11.80.308.6100.0000"/>
    <n v="1754"/>
    <s v="11"/>
    <s v="6100"/>
    <n v="57523.75"/>
    <n v="1754"/>
    <s v="CREDITOR"/>
    <n v="0"/>
    <n v="0"/>
    <n v="0"/>
    <n v="0"/>
    <n v="1754"/>
  </r>
  <r>
    <n v="61302125"/>
    <s v="N"/>
    <n v="21331250"/>
    <s v="3000015459840001"/>
    <s v="CIVIL"/>
    <d v="2023-06-27T00:00:00"/>
    <d v="2023-07-05T19:01:47"/>
    <m/>
    <d v="2023-07-05T00:00:00"/>
    <n v="1349"/>
    <n v="18396"/>
    <s v="61302125"/>
    <s v="61302125"/>
    <m/>
    <m/>
    <n v="22771050"/>
    <m/>
    <m/>
    <m/>
    <s v="SOLFIN"/>
    <s v="SOLFIN"/>
    <s v="CCMS"/>
    <n v="21331250"/>
    <n v="5715.31"/>
    <m/>
    <s v="N"/>
    <n v="1"/>
    <d v="2023-07-05T19:02:11"/>
    <s v="Y"/>
    <s v="Final Hearing Court Bundle/Advocate"/>
    <s v="Public Law Children"/>
    <s v="Advocacy"/>
    <s v="PNG"/>
    <s v="Y"/>
    <n v="159.3"/>
    <n v="31.86"/>
    <x v="6"/>
    <s v="VALIDATED"/>
    <n v="1"/>
    <s v="01.11.80.308.6100.0000"/>
    <n v="159.3"/>
    <s v="11"/>
    <s v="6100"/>
    <n v="57523.75"/>
    <n v="159.3"/>
    <s v="CREDITOR"/>
    <n v="0"/>
    <n v="0"/>
    <n v="0"/>
    <n v="0"/>
    <n v="159.3"/>
  </r>
  <r>
    <n v="60509031"/>
    <s v="N"/>
    <n v="21349662"/>
    <s v="3000014783760003"/>
    <s v="CIVIL"/>
    <d v="2023-06-29T00:00:00"/>
    <d v="2023-07-10T19:01:40"/>
    <m/>
    <d v="2023-07-10T00:00:00"/>
    <n v="1349"/>
    <n v="18396"/>
    <s v="60509031"/>
    <s v="60509031"/>
    <m/>
    <m/>
    <n v="22789932"/>
    <m/>
    <m/>
    <m/>
    <s v="SOLFIN"/>
    <s v="SOLFIN"/>
    <s v="CCMS"/>
    <n v="21349662"/>
    <n v="5933.71"/>
    <m/>
    <s v="N"/>
    <n v="13"/>
    <d v="2023-07-10T19:01:55"/>
    <s v="Y"/>
    <s v="Advocates Meeting"/>
    <s v="Public Law Children"/>
    <s v="Advocacy"/>
    <s v="PNG"/>
    <s v="Y"/>
    <n v="140.99"/>
    <n v="28.2"/>
    <x v="2"/>
    <s v="VALIDATED"/>
    <n v="1"/>
    <s v="01.11.80.308.6100.0000"/>
    <n v="140.99"/>
    <s v="11"/>
    <s v="6100"/>
    <n v="57523.75"/>
    <n v="140.99"/>
    <s v="CREDITOR"/>
    <n v="0"/>
    <n v="0"/>
    <n v="0"/>
    <n v="0"/>
    <n v="140.99"/>
  </r>
  <r>
    <n v="61319164"/>
    <s v="N"/>
    <n v="21349317"/>
    <s v="3000015474570003"/>
    <s v="CIVIL"/>
    <d v="2023-06-29T00:00:00"/>
    <d v="2023-07-10T19:01:40"/>
    <m/>
    <d v="2023-07-10T00:00:00"/>
    <n v="1349"/>
    <n v="18396"/>
    <s v="61319164"/>
    <s v="61319164"/>
    <m/>
    <m/>
    <n v="22790416"/>
    <m/>
    <m/>
    <m/>
    <s v="SOLFIN"/>
    <s v="SOLFIN"/>
    <s v="CCMS"/>
    <n v="21349317"/>
    <n v="4990.14"/>
    <m/>
    <s v="N"/>
    <n v="10"/>
    <d v="2023-07-10T19:01:46"/>
    <s v="Y"/>
    <s v="Final Hearing - 1 Day"/>
    <s v="Public Law Children"/>
    <s v="Advocacy"/>
    <s v="PNG"/>
    <s v="Y"/>
    <n v="556.88"/>
    <n v="111.38"/>
    <x v="2"/>
    <s v="VALIDATED"/>
    <n v="1"/>
    <s v="01.11.80.308.6100.0000"/>
    <n v="556.88"/>
    <s v="11"/>
    <s v="6100"/>
    <n v="57523.75"/>
    <n v="556.88"/>
    <s v="CREDITOR"/>
    <n v="0"/>
    <n v="0"/>
    <n v="0"/>
    <n v="0"/>
    <n v="556.88"/>
  </r>
  <r>
    <n v="61143046"/>
    <s v="N"/>
    <n v="21350110"/>
    <s v="3000015328180002"/>
    <s v="CIVIL"/>
    <d v="2023-06-30T00:00:00"/>
    <d v="2023-07-10T19:01:40"/>
    <m/>
    <d v="2023-07-10T00:00:00"/>
    <n v="1349"/>
    <n v="18396"/>
    <s v="61143046"/>
    <s v="61143046"/>
    <m/>
    <m/>
    <n v="22798350"/>
    <m/>
    <m/>
    <m/>
    <s v="SOLFIN"/>
    <s v="SOLFIN"/>
    <s v="CCMS"/>
    <n v="21350110"/>
    <n v="6778.2"/>
    <m/>
    <s v="N"/>
    <n v="1"/>
    <d v="2023-07-10T19:02:14"/>
    <s v="Y"/>
    <s v="Final Hearing Court Bundle/Advocate"/>
    <s v="Public Law Children"/>
    <s v="Advocacy"/>
    <s v="PNG"/>
    <s v="Y"/>
    <n v="239.4"/>
    <n v="47.88"/>
    <x v="2"/>
    <s v="VALIDATED"/>
    <n v="1"/>
    <s v="01.11.80.308.6100.0000"/>
    <n v="239.4"/>
    <s v="11"/>
    <s v="6100"/>
    <n v="57523.75"/>
    <n v="239.4"/>
    <s v="CREDITOR"/>
    <n v="0"/>
    <n v="0"/>
    <n v="0"/>
    <n v="0"/>
    <n v="239.4"/>
  </r>
  <r>
    <n v="61700322"/>
    <s v="N"/>
    <n v="21338422"/>
    <s v="3000015784600001"/>
    <s v="CIVIL"/>
    <d v="2023-06-30T00:00:00"/>
    <d v="2023-07-06T19:21:01"/>
    <m/>
    <d v="2023-07-06T00:00:00"/>
    <n v="1349"/>
    <n v="18396"/>
    <s v="61700322"/>
    <s v="61700322"/>
    <m/>
    <m/>
    <n v="22796162"/>
    <m/>
    <m/>
    <m/>
    <s v="SOLFIN"/>
    <s v="SOLFIN"/>
    <s v="CCMS"/>
    <n v="21338422"/>
    <n v="4280.17"/>
    <m/>
    <s v="N"/>
    <n v="3"/>
    <d v="2023-07-06T19:21:24"/>
    <s v="Y"/>
    <s v="Hearing Unit 2.31 - 5.00 Hours"/>
    <s v="Public Law Children"/>
    <s v="Advocacy"/>
    <s v="SM"/>
    <s v="Y"/>
    <n v="476.92"/>
    <n v="95.38"/>
    <x v="4"/>
    <s v="VALIDATED"/>
    <n v="1"/>
    <s v="01.11.80.308.6100.0000"/>
    <n v="476.92"/>
    <s v="11"/>
    <s v="6100"/>
    <n v="57523.75"/>
    <n v="476.92"/>
    <s v="CREDITOR"/>
    <n v="0"/>
    <n v="0"/>
    <n v="0"/>
    <n v="0"/>
    <n v="476.92"/>
  </r>
  <r>
    <n v="61536154"/>
    <s v="N"/>
    <n v="21349322"/>
    <s v="3000015655120005"/>
    <s v="CIVIL"/>
    <d v="2023-06-29T00:00:00"/>
    <d v="2023-07-10T19:01:40"/>
    <m/>
    <d v="2023-07-10T00:00:00"/>
    <n v="1349"/>
    <n v="18396"/>
    <s v="61536154"/>
    <s v="61536154"/>
    <m/>
    <m/>
    <n v="22790166"/>
    <m/>
    <m/>
    <m/>
    <s v="SOLFIN"/>
    <s v="SOLFIN"/>
    <s v="CCMS"/>
    <n v="21349322"/>
    <n v="5666.21"/>
    <m/>
    <s v="N"/>
    <n v="7"/>
    <d v="2023-07-10T19:01:47"/>
    <s v="Y"/>
    <s v="Advocates Meeting"/>
    <s v="Public Law Children"/>
    <s v="Advocacy"/>
    <s v="PNG"/>
    <s v="Y"/>
    <n v="140.99"/>
    <n v="28.2"/>
    <x v="2"/>
    <s v="VALIDATED"/>
    <n v="1"/>
    <s v="01.11.80.308.6100.0000"/>
    <n v="140.99"/>
    <s v="11"/>
    <s v="6100"/>
    <n v="57523.75"/>
    <n v="140.99"/>
    <s v="CREDITOR"/>
    <n v="0"/>
    <n v="0"/>
    <n v="0"/>
    <n v="0"/>
    <n v="140.99"/>
  </r>
  <r>
    <n v="60509031"/>
    <s v="N"/>
    <n v="21349662"/>
    <s v="3000014783760003"/>
    <s v="CIVIL"/>
    <d v="2023-06-29T00:00:00"/>
    <d v="2023-07-10T19:01:40"/>
    <m/>
    <d v="2023-07-10T00:00:00"/>
    <n v="1349"/>
    <n v="18396"/>
    <s v="60509031"/>
    <s v="60509031"/>
    <m/>
    <m/>
    <n v="22789932"/>
    <m/>
    <m/>
    <m/>
    <s v="SOLFIN"/>
    <s v="SOLFIN"/>
    <s v="CCMS"/>
    <n v="21349662"/>
    <n v="5933.71"/>
    <m/>
    <s v="N"/>
    <n v="8"/>
    <d v="2023-07-10T19:01:55"/>
    <s v="Y"/>
    <s v="Advocates Meeting"/>
    <s v="Public Law Children"/>
    <s v="Advocacy"/>
    <s v="PNG"/>
    <s v="Y"/>
    <n v="140.99"/>
    <n v="28.2"/>
    <x v="2"/>
    <s v="VALIDATED"/>
    <n v="1"/>
    <s v="01.11.80.308.6100.0000"/>
    <n v="140.99"/>
    <s v="11"/>
    <s v="6100"/>
    <n v="57523.75"/>
    <n v="140.99"/>
    <s v="CREDITOR"/>
    <n v="0"/>
    <n v="0"/>
    <n v="0"/>
    <n v="0"/>
    <n v="140.99"/>
  </r>
  <r>
    <n v="60817830"/>
    <s v="N"/>
    <n v="21331208"/>
    <s v="3000015050730003"/>
    <s v="CIVIL"/>
    <d v="2023-06-27T00:00:00"/>
    <d v="2023-07-05T19:01:47"/>
    <m/>
    <d v="2023-07-05T00:00:00"/>
    <n v="1349"/>
    <n v="18396"/>
    <s v="60817830"/>
    <s v="60817830"/>
    <m/>
    <m/>
    <n v="22771214"/>
    <m/>
    <m/>
    <m/>
    <s v="SOLFIN"/>
    <s v="SOLFIN"/>
    <s v="CCMS"/>
    <n v="21331208"/>
    <n v="4692.24"/>
    <m/>
    <s v="N"/>
    <n v="9"/>
    <d v="2023-07-05T19:02:10"/>
    <s v="Y"/>
    <s v="Advocates Meeting"/>
    <s v="Public Law Children"/>
    <s v="Advocacy"/>
    <s v="PNG"/>
    <s v="Y"/>
    <n v="140.99"/>
    <n v="28.2"/>
    <x v="6"/>
    <s v="VALIDATED"/>
    <n v="1"/>
    <s v="01.11.80.308.6100.0000"/>
    <n v="140.99"/>
    <s v="11"/>
    <s v="6100"/>
    <n v="57523.75"/>
    <n v="140.99"/>
    <s v="CREDITOR"/>
    <n v="0"/>
    <n v="0"/>
    <n v="0"/>
    <n v="0"/>
    <n v="140.99"/>
  </r>
  <r>
    <n v="61246704"/>
    <s v="N"/>
    <n v="21349925"/>
    <s v="3000015413860003"/>
    <s v="CIVIL"/>
    <d v="2023-06-30T00:00:00"/>
    <d v="2023-07-10T19:01:40"/>
    <m/>
    <d v="2023-07-10T00:00:00"/>
    <n v="1349"/>
    <n v="18396"/>
    <s v="61246704"/>
    <s v="61246704"/>
    <m/>
    <m/>
    <n v="22796418"/>
    <m/>
    <m/>
    <m/>
    <s v="SOLFIN"/>
    <s v="SOLFIN"/>
    <s v="CCMS"/>
    <n v="21349925"/>
    <n v="5187.25"/>
    <m/>
    <s v="N"/>
    <n v="5"/>
    <d v="2023-07-10T19:02:03"/>
    <s v="Y"/>
    <s v="Solicitor Travel Expenses"/>
    <s v="Public Law Children"/>
    <s v="Non Expert Disbursement"/>
    <s v="SM"/>
    <s v="Y"/>
    <n v="5.4"/>
    <n v="0"/>
    <x v="2"/>
    <s v="VALIDATED"/>
    <n v="1"/>
    <s v="01.11.80.308.6300.0000"/>
    <n v="5.4"/>
    <s v="11"/>
    <s v="6300"/>
    <n v="57523.75"/>
    <n v="5.4"/>
    <s v="CREDITOR"/>
    <n v="0"/>
    <n v="0"/>
    <n v="0"/>
    <n v="0"/>
    <n v="5.4"/>
  </r>
  <r>
    <n v="61302125"/>
    <s v="N"/>
    <n v="21331250"/>
    <s v="3000015459840001"/>
    <s v="CIVIL"/>
    <d v="2023-06-27T00:00:00"/>
    <d v="2023-07-05T19:01:47"/>
    <m/>
    <d v="2023-07-05T00:00:00"/>
    <n v="1349"/>
    <n v="18396"/>
    <s v="61302125"/>
    <s v="61302125"/>
    <m/>
    <m/>
    <n v="22771050"/>
    <m/>
    <m/>
    <m/>
    <s v="SOLFIN"/>
    <s v="SOLFIN"/>
    <s v="CCMS"/>
    <n v="21331250"/>
    <n v="5715.31"/>
    <m/>
    <s v="N"/>
    <n v="6"/>
    <d v="2023-07-05T19:02:11"/>
    <s v="Y"/>
    <s v="Advocates Meeting"/>
    <s v="Public Law Children"/>
    <s v="Advocacy"/>
    <s v="PNG"/>
    <s v="Y"/>
    <n v="140.99"/>
    <n v="28.2"/>
    <x v="6"/>
    <s v="VALIDATED"/>
    <n v="1"/>
    <s v="01.11.80.308.6100.0000"/>
    <n v="140.99"/>
    <s v="11"/>
    <s v="6100"/>
    <n v="57523.75"/>
    <n v="140.99"/>
    <s v="CREDITOR"/>
    <n v="0"/>
    <n v="0"/>
    <n v="0"/>
    <n v="0"/>
    <n v="140.99"/>
  </r>
  <r>
    <n v="61246704"/>
    <s v="N"/>
    <n v="21349925"/>
    <s v="3000015413860003"/>
    <s v="CIVIL"/>
    <d v="2023-06-30T00:00:00"/>
    <d v="2023-07-10T19:01:40"/>
    <m/>
    <d v="2023-07-10T00:00:00"/>
    <n v="1349"/>
    <n v="18396"/>
    <s v="61246704"/>
    <s v="61246704"/>
    <m/>
    <m/>
    <n v="22796418"/>
    <m/>
    <m/>
    <m/>
    <s v="SOLFIN"/>
    <s v="SOLFIN"/>
    <s v="CCMS"/>
    <n v="21349925"/>
    <n v="5187.25"/>
    <m/>
    <s v="N"/>
    <n v="9"/>
    <d v="2023-07-10T19:02:03"/>
    <s v="Y"/>
    <s v="Advocates Meeting"/>
    <s v="Public Law Children"/>
    <s v="Advocacy"/>
    <s v="SM"/>
    <s v="Y"/>
    <n v="140.99"/>
    <n v="28.2"/>
    <x v="2"/>
    <s v="VALIDATED"/>
    <n v="1"/>
    <s v="01.11.80.308.6100.0000"/>
    <n v="140.99"/>
    <s v="11"/>
    <s v="6100"/>
    <n v="57523.75"/>
    <n v="140.99"/>
    <s v="CREDITOR"/>
    <n v="0"/>
    <n v="0"/>
    <n v="0"/>
    <n v="0"/>
    <n v="140.99"/>
  </r>
  <r>
    <n v="61377901"/>
    <s v="N"/>
    <n v="21350028"/>
    <s v="3000015523270006"/>
    <s v="CIVIL"/>
    <d v="2023-06-29T00:00:00"/>
    <d v="2023-07-10T19:01:40"/>
    <m/>
    <d v="2023-07-10T00:00:00"/>
    <n v="1349"/>
    <n v="18396"/>
    <s v="61377901"/>
    <s v="61377901"/>
    <m/>
    <m/>
    <n v="22791256"/>
    <m/>
    <m/>
    <m/>
    <s v="SOLFIN"/>
    <s v="SOLFIN"/>
    <s v="CCMS"/>
    <n v="21350028"/>
    <n v="5161.6"/>
    <m/>
    <s v="N"/>
    <n v="6"/>
    <d v="2023-07-10T19:02:10"/>
    <s v="Y"/>
    <s v="Advocates Meeting"/>
    <s v="Public Law Children"/>
    <s v="Advocacy"/>
    <s v="SM"/>
    <s v="Y"/>
    <n v="140.99"/>
    <n v="28.2"/>
    <x v="2"/>
    <s v="VALIDATED"/>
    <n v="1"/>
    <s v="01.11.80.308.6100.0000"/>
    <n v="140.99"/>
    <s v="11"/>
    <s v="6100"/>
    <n v="57523.75"/>
    <n v="140.99"/>
    <s v="CREDITOR"/>
    <n v="0"/>
    <n v="0"/>
    <n v="0"/>
    <n v="0"/>
    <n v="140.99"/>
  </r>
  <r>
    <n v="61319164"/>
    <s v="N"/>
    <n v="21349317"/>
    <s v="3000015474570003"/>
    <s v="CIVIL"/>
    <d v="2023-06-29T00:00:00"/>
    <d v="2023-07-10T19:01:40"/>
    <m/>
    <d v="2023-07-10T00:00:00"/>
    <n v="1349"/>
    <n v="18396"/>
    <s v="61319164"/>
    <s v="61319164"/>
    <m/>
    <m/>
    <n v="22790416"/>
    <m/>
    <m/>
    <m/>
    <s v="SOLFIN"/>
    <s v="SOLFIN"/>
    <s v="CCMS"/>
    <n v="21349317"/>
    <n v="4990.14"/>
    <m/>
    <s v="N"/>
    <n v="6"/>
    <d v="2023-07-10T19:01:46"/>
    <s v="Y"/>
    <s v="Solicitor Travel Mileage"/>
    <s v="Public Law Children"/>
    <s v="Non Expert Disbursement"/>
    <s v="PNG"/>
    <s v="Y"/>
    <n v="57.6"/>
    <n v="11.52"/>
    <x v="2"/>
    <s v="VALIDATED"/>
    <n v="1"/>
    <s v="01.11.80.308.6300.0000"/>
    <n v="57.6"/>
    <s v="11"/>
    <s v="6300"/>
    <n v="57523.75"/>
    <n v="57.6"/>
    <s v="CREDITOR"/>
    <n v="0"/>
    <n v="0"/>
    <n v="0"/>
    <n v="0"/>
    <n v="57.6"/>
  </r>
  <r>
    <n v="61319164"/>
    <s v="N"/>
    <n v="21349317"/>
    <s v="3000015474570003"/>
    <s v="CIVIL"/>
    <d v="2023-06-29T00:00:00"/>
    <d v="2023-07-10T19:01:40"/>
    <m/>
    <d v="2023-07-10T00:00:00"/>
    <n v="1349"/>
    <n v="18396"/>
    <s v="61319164"/>
    <s v="61319164"/>
    <m/>
    <m/>
    <n v="22790416"/>
    <m/>
    <m/>
    <m/>
    <s v="SOLFIN"/>
    <s v="SOLFIN"/>
    <s v="CCMS"/>
    <n v="21349317"/>
    <n v="4990.14"/>
    <m/>
    <s v="N"/>
    <n v="8"/>
    <d v="2023-07-10T19:01:46"/>
    <s v="Y"/>
    <s v="Hearing Unit 5.01 - 7.30 Hours"/>
    <s v="Public Law Children"/>
    <s v="Advocacy"/>
    <s v="PNG"/>
    <s v="Y"/>
    <n v="715.38"/>
    <n v="143.08"/>
    <x v="2"/>
    <s v="VALIDATED"/>
    <n v="1"/>
    <s v="01.11.80.308.6100.0000"/>
    <n v="715.38"/>
    <s v="11"/>
    <s v="6100"/>
    <n v="57523.75"/>
    <n v="715.38"/>
    <s v="CREDITOR"/>
    <n v="0"/>
    <n v="0"/>
    <n v="0"/>
    <n v="0"/>
    <n v="715.38"/>
  </r>
  <r>
    <n v="61143046"/>
    <s v="N"/>
    <n v="21350110"/>
    <s v="3000015328180002"/>
    <s v="CIVIL"/>
    <d v="2023-06-30T00:00:00"/>
    <d v="2023-07-10T19:01:40"/>
    <m/>
    <d v="2023-07-10T00:00:00"/>
    <n v="1349"/>
    <n v="18396"/>
    <s v="61143046"/>
    <s v="61143046"/>
    <m/>
    <m/>
    <n v="22798350"/>
    <m/>
    <m/>
    <m/>
    <s v="SOLFIN"/>
    <s v="SOLFIN"/>
    <s v="CCMS"/>
    <n v="21350110"/>
    <n v="6778.2"/>
    <m/>
    <s v="N"/>
    <n v="5"/>
    <d v="2023-07-10T19:02:14"/>
    <s v="Y"/>
    <s v="Advocates Meeting"/>
    <s v="Public Law Children"/>
    <s v="Advocacy"/>
    <s v="PNG"/>
    <s v="Y"/>
    <n v="140.99"/>
    <n v="28.2"/>
    <x v="2"/>
    <s v="VALIDATED"/>
    <n v="1"/>
    <s v="01.11.80.308.6100.0000"/>
    <n v="140.99"/>
    <s v="11"/>
    <s v="6100"/>
    <n v="57523.75"/>
    <n v="140.99"/>
    <s v="CREDITOR"/>
    <n v="0"/>
    <n v="0"/>
    <n v="0"/>
    <n v="0"/>
    <n v="140.99"/>
  </r>
  <r>
    <n v="61143046"/>
    <s v="N"/>
    <n v="21350110"/>
    <s v="3000015328180002"/>
    <s v="CIVIL"/>
    <d v="2023-06-30T00:00:00"/>
    <d v="2023-07-10T19:01:40"/>
    <m/>
    <d v="2023-07-10T00:00:00"/>
    <n v="1349"/>
    <n v="18396"/>
    <s v="61143046"/>
    <s v="61143046"/>
    <m/>
    <m/>
    <n v="22798350"/>
    <m/>
    <m/>
    <m/>
    <s v="SOLFIN"/>
    <s v="SOLFIN"/>
    <s v="CCMS"/>
    <n v="21350110"/>
    <n v="6778.2"/>
    <m/>
    <s v="N"/>
    <n v="8"/>
    <d v="2023-07-10T19:02:14"/>
    <s v="Y"/>
    <s v="Advocates Meeting"/>
    <s v="Public Law Children"/>
    <s v="Advocacy"/>
    <s v="PNG"/>
    <s v="Y"/>
    <n v="140.99"/>
    <n v="28.2"/>
    <x v="2"/>
    <s v="VALIDATED"/>
    <n v="1"/>
    <s v="01.11.80.308.6100.0000"/>
    <n v="140.99"/>
    <s v="11"/>
    <s v="6100"/>
    <n v="57523.75"/>
    <n v="140.99"/>
    <s v="CREDITOR"/>
    <n v="0"/>
    <n v="0"/>
    <n v="0"/>
    <n v="0"/>
    <n v="140.99"/>
  </r>
  <r>
    <n v="60821524"/>
    <s v="N"/>
    <n v="21350053"/>
    <s v="3000015053520009"/>
    <s v="CIVIL"/>
    <d v="2023-06-30T00:00:00"/>
    <d v="2023-07-10T19:01:40"/>
    <m/>
    <d v="2023-07-10T00:00:00"/>
    <n v="1360"/>
    <n v="18463"/>
    <s v="60821524"/>
    <s v="60821524"/>
    <m/>
    <m/>
    <n v="22801596"/>
    <m/>
    <m/>
    <m/>
    <s v="SOLFIN"/>
    <s v="SOLFIN"/>
    <s v="CCMS"/>
    <n v="21350053"/>
    <n v="3323.2"/>
    <m/>
    <s v="N"/>
    <n v="2"/>
    <d v="2023-07-10T19:02:11"/>
    <s v="Y"/>
    <s v="DNA - test of sample"/>
    <s v="Public Law Children"/>
    <s v="Expert Disbursement"/>
    <s v="Danielle Northall"/>
    <s v="Y"/>
    <n v="144.67"/>
    <n v="28.93"/>
    <x v="2"/>
    <s v="VALIDATED"/>
    <n v="1"/>
    <s v="01.11.80.308.6300.0000"/>
    <n v="144.67"/>
    <s v="11"/>
    <s v="6300"/>
    <n v="2781.03"/>
    <n v="144.67"/>
    <s v="CREDITOR"/>
    <n v="0"/>
    <n v="0"/>
    <n v="0"/>
    <n v="0"/>
    <n v="144.67"/>
  </r>
  <r>
    <n v="62293209"/>
    <s v="N"/>
    <n v="21360374"/>
    <s v="3000016285470002"/>
    <s v="CIVIL"/>
    <d v="2023-06-29T00:00:00"/>
    <d v="2023-07-11T11:50:54"/>
    <m/>
    <d v="2023-07-11T00:00:00"/>
    <n v="1360"/>
    <n v="18463"/>
    <s v="62293209"/>
    <s v="62293209"/>
    <m/>
    <m/>
    <n v="22793784"/>
    <m/>
    <m/>
    <m/>
    <s v="SOLFIN"/>
    <s v="SOLFIN"/>
    <s v="CCMS"/>
    <n v="21360374"/>
    <n v="804.96"/>
    <m/>
    <s v="N"/>
    <n v="2"/>
    <d v="2023-07-11T11:51:03"/>
    <s v="Y"/>
    <s v="Level 4 Fixed Fee"/>
    <s v="Domestic Abuse"/>
    <s v="Profit Cost"/>
    <s v="DANIELLE NORTHALL"/>
    <s v="Y"/>
    <n v="507"/>
    <n v="101.4"/>
    <x v="7"/>
    <s v="VALIDATED"/>
    <n v="1"/>
    <s v="01.11.80.302.6100.0000"/>
    <n v="507"/>
    <s v="11"/>
    <s v="6100"/>
    <n v="2781.03"/>
    <n v="507"/>
    <s v="CREDITOR"/>
    <n v="0"/>
    <n v="0"/>
    <n v="0"/>
    <n v="0"/>
    <n v="507"/>
  </r>
  <r>
    <n v="61994456"/>
    <s v="N"/>
    <n v="21319721"/>
    <s v="3000016035690009"/>
    <s v="CIVIL"/>
    <d v="2023-06-28T00:00:00"/>
    <d v="2023-07-03T19:04:24"/>
    <m/>
    <d v="2023-07-03T00:00:00"/>
    <n v="1360"/>
    <n v="18463"/>
    <s v="61994456"/>
    <s v="61994456"/>
    <m/>
    <m/>
    <n v="22776686"/>
    <m/>
    <m/>
    <m/>
    <s v="SOLPOA"/>
    <s v="SOLPOA"/>
    <s v="CCMS"/>
    <n v="21319721"/>
    <n v="302.38"/>
    <m/>
    <s v="N"/>
    <n v="1"/>
    <d v="2023-07-03T19:04:27"/>
    <s v="N"/>
    <s v="Expert Cost"/>
    <s v="Expert Cost"/>
    <s v="Expert Disbursement"/>
    <s v="Danielle Northall"/>
    <s v="N"/>
    <n v="251.98"/>
    <n v="50.4"/>
    <x v="3"/>
    <s v="VALIDATED"/>
    <n v="1"/>
    <s v="01.11.80.308.2012.0000"/>
    <n v="251.98"/>
    <s v="11"/>
    <s v="2012"/>
    <n v="2781.03"/>
    <n v="251.98"/>
    <s v="CREDITOR"/>
    <n v="251.98"/>
    <n v="0"/>
    <n v="0"/>
    <n v="0"/>
    <n v="0"/>
  </r>
  <r>
    <n v="11136280"/>
    <s v="N"/>
    <n v="21320125"/>
    <s v="3000006682070040"/>
    <s v="CIVIL"/>
    <d v="2023-06-27T00:00:00"/>
    <d v="2023-07-03T19:04:24"/>
    <m/>
    <d v="2023-07-03T00:00:00"/>
    <n v="1360"/>
    <n v="18463"/>
    <s v="11136280"/>
    <s v="11136280"/>
    <m/>
    <m/>
    <n v="22766832"/>
    <m/>
    <m/>
    <m/>
    <s v="SOLFIN"/>
    <s v="SOLFIN"/>
    <s v="CCMS"/>
    <n v="21320125"/>
    <n v="2313.82"/>
    <m/>
    <s v="N"/>
    <n v="2"/>
    <d v="2023-07-03T19:04:29"/>
    <s v="N"/>
    <s v="Profit Costs (Summary)"/>
    <s v="VHCC"/>
    <s v="Profit Cost"/>
    <s v="DANIELLE NORTHALL"/>
    <s v="N"/>
    <n v="1252.5"/>
    <n v="250.5"/>
    <x v="3"/>
    <s v="VALIDATED"/>
    <n v="1"/>
    <s v="01.11.80.307.6100.0000"/>
    <n v="1252.5"/>
    <s v="11"/>
    <s v="6100"/>
    <n v="2781.03"/>
    <n v="1252.5"/>
    <s v="CREDITOR"/>
    <n v="0"/>
    <n v="0"/>
    <n v="0"/>
    <n v="0"/>
    <n v="1252.5"/>
  </r>
  <r>
    <n v="60821524"/>
    <s v="N"/>
    <n v="21350053"/>
    <s v="3000015053520009"/>
    <s v="CIVIL"/>
    <d v="2023-06-30T00:00:00"/>
    <d v="2023-07-10T19:01:40"/>
    <m/>
    <d v="2023-07-10T00:00:00"/>
    <n v="1360"/>
    <n v="18463"/>
    <s v="60821524"/>
    <s v="60821524"/>
    <m/>
    <m/>
    <n v="22801596"/>
    <m/>
    <m/>
    <m/>
    <s v="SOLFIN"/>
    <s v="SOLFIN"/>
    <s v="CCMS"/>
    <n v="21350053"/>
    <n v="3323.2"/>
    <m/>
    <s v="N"/>
    <n v="1"/>
    <d v="2023-07-10T19:02:11"/>
    <s v="Y"/>
    <s v="Doctor (GP)"/>
    <s v="Public Law Children"/>
    <s v="Expert Disbursement"/>
    <s v="Danielle Northall"/>
    <s v="Y"/>
    <n v="50.4"/>
    <n v="0"/>
    <x v="2"/>
    <s v="VALIDATED"/>
    <n v="1"/>
    <s v="01.11.80.308.6300.0000"/>
    <n v="50.4"/>
    <s v="11"/>
    <s v="6300"/>
    <n v="2781.03"/>
    <n v="50.4"/>
    <s v="CREDITOR"/>
    <n v="0"/>
    <n v="0"/>
    <n v="0"/>
    <n v="0"/>
    <n v="50.4"/>
  </r>
  <r>
    <n v="60821524"/>
    <s v="N"/>
    <n v="21350053"/>
    <s v="3000015053520009"/>
    <s v="CIVIL"/>
    <d v="2023-06-30T00:00:00"/>
    <d v="2023-07-10T19:01:40"/>
    <m/>
    <d v="2023-07-10T00:00:00"/>
    <n v="1360"/>
    <n v="18463"/>
    <s v="60821524"/>
    <s v="60821524"/>
    <m/>
    <m/>
    <n v="22801596"/>
    <m/>
    <m/>
    <m/>
    <s v="SOLFIN"/>
    <s v="SOLFIN"/>
    <s v="CCMS"/>
    <n v="21350053"/>
    <n v="3323.2"/>
    <m/>
    <s v="N"/>
    <n v="3"/>
    <d v="2023-07-10T19:02:11"/>
    <s v="Y"/>
    <s v="DNA - test of sample"/>
    <s v="Public Law Children"/>
    <s v="Expert Disbursement"/>
    <s v="Danielle Northall"/>
    <s v="Y"/>
    <n v="138"/>
    <n v="27.6"/>
    <x v="2"/>
    <s v="VALIDATED"/>
    <n v="1"/>
    <s v="01.11.80.308.6300.0000"/>
    <n v="138"/>
    <s v="11"/>
    <s v="6300"/>
    <n v="2781.03"/>
    <n v="138"/>
    <s v="CREDITOR"/>
    <n v="0"/>
    <n v="0"/>
    <n v="0"/>
    <n v="0"/>
    <n v="138"/>
  </r>
  <r>
    <n v="60821524"/>
    <s v="N"/>
    <n v="21350053"/>
    <s v="3000015053520009"/>
    <s v="CIVIL"/>
    <d v="2023-06-30T00:00:00"/>
    <d v="2023-07-10T19:01:40"/>
    <m/>
    <d v="2023-07-10T00:00:00"/>
    <n v="1360"/>
    <n v="18463"/>
    <s v="60821524"/>
    <s v="60821524"/>
    <m/>
    <m/>
    <n v="22801596"/>
    <m/>
    <m/>
    <m/>
    <s v="SOLFIN"/>
    <s v="SOLFIN"/>
    <s v="CCMS"/>
    <n v="21350053"/>
    <n v="3323.2"/>
    <m/>
    <s v="N"/>
    <n v="4"/>
    <d v="2023-07-10T19:02:11"/>
    <s v="Y"/>
    <s v="Toxicologist"/>
    <s v="Public Law Children"/>
    <s v="Expert Disbursement"/>
    <s v="DANIELLE NORTHALL"/>
    <s v="Y"/>
    <n v="144.67"/>
    <n v="28.93"/>
    <x v="2"/>
    <s v="VALIDATED"/>
    <n v="1"/>
    <s v="01.11.80.308.6300.0000"/>
    <n v="144.67"/>
    <s v="11"/>
    <s v="6300"/>
    <n v="2781.03"/>
    <n v="144.67"/>
    <s v="CREDITOR"/>
    <n v="0"/>
    <n v="0"/>
    <n v="0"/>
    <n v="0"/>
    <n v="144.67"/>
  </r>
  <r>
    <n v="11136280"/>
    <s v="N"/>
    <n v="21320125"/>
    <s v="3000006682070040"/>
    <s v="CIVIL"/>
    <d v="2023-06-27T00:00:00"/>
    <d v="2023-07-03T19:04:24"/>
    <m/>
    <d v="2023-07-03T00:00:00"/>
    <n v="1360"/>
    <n v="18463"/>
    <s v="11136280"/>
    <s v="11136280"/>
    <m/>
    <m/>
    <n v="22766832"/>
    <m/>
    <m/>
    <m/>
    <s v="SOLFIN"/>
    <s v="SOLFIN"/>
    <s v="CCMS"/>
    <n v="21320125"/>
    <n v="2313.82"/>
    <m/>
    <s v="N"/>
    <n v="3"/>
    <d v="2023-07-03T19:04:29"/>
    <s v="N"/>
    <m/>
    <m/>
    <s v="Overall Adjustment"/>
    <m/>
    <s v="N"/>
    <n v="-1252.5"/>
    <n v="-250.5"/>
    <x v="3"/>
    <s v="VALIDATED"/>
    <n v="1"/>
    <s v="01.11.80.307.6100.0000"/>
    <n v="-1252.5"/>
    <s v="11"/>
    <s v="6100"/>
    <n v="2781.03"/>
    <n v="-1252.5"/>
    <s v="CREDITOR"/>
    <n v="0"/>
    <n v="0"/>
    <n v="0"/>
    <n v="0"/>
    <n v="-1252.5"/>
  </r>
  <r>
    <n v="11136280"/>
    <s v="N"/>
    <n v="21320125"/>
    <s v="3000006682070040"/>
    <s v="CIVIL"/>
    <d v="2023-06-27T00:00:00"/>
    <d v="2023-07-03T19:04:24"/>
    <m/>
    <d v="2023-07-03T00:00:00"/>
    <n v="1360"/>
    <n v="18463"/>
    <s v="11136280"/>
    <s v="11136280"/>
    <m/>
    <m/>
    <n v="22766832"/>
    <m/>
    <m/>
    <m/>
    <s v="SOLFIN"/>
    <s v="SOLFIN"/>
    <s v="CCMS"/>
    <n v="21320125"/>
    <n v="2313.82"/>
    <m/>
    <s v="N"/>
    <n v="1"/>
    <d v="2023-07-03T19:04:29"/>
    <s v="Y"/>
    <s v="Profit Costs (Summary)"/>
    <s v="VHCC"/>
    <s v="Profit Cost"/>
    <s v="DANIELLE NORTHALL"/>
    <s v="Y"/>
    <n v="1928.18"/>
    <n v="385.64"/>
    <x v="3"/>
    <s v="VALIDATED"/>
    <n v="1"/>
    <s v="01.11.80.307.6100.0000"/>
    <n v="1928.18"/>
    <s v="11"/>
    <s v="6100"/>
    <n v="2781.03"/>
    <n v="1928.18"/>
    <s v="CREDITOR"/>
    <n v="0"/>
    <n v="0"/>
    <n v="0"/>
    <n v="0"/>
    <n v="1928.18"/>
  </r>
  <r>
    <n v="62293209"/>
    <s v="N"/>
    <n v="21360374"/>
    <s v="3000016285470002"/>
    <s v="CIVIL"/>
    <d v="2023-06-29T00:00:00"/>
    <d v="2023-07-11T11:50:54"/>
    <m/>
    <d v="2023-07-11T00:00:00"/>
    <n v="1360"/>
    <n v="18463"/>
    <s v="62293209"/>
    <s v="62293209"/>
    <m/>
    <m/>
    <n v="22793784"/>
    <m/>
    <m/>
    <m/>
    <s v="SOLFIN"/>
    <s v="SOLFIN"/>
    <s v="CCMS"/>
    <n v="21360374"/>
    <n v="804.96"/>
    <m/>
    <s v="N"/>
    <n v="1"/>
    <d v="2023-07-11T11:51:03"/>
    <s v="Y"/>
    <s v="Process server"/>
    <s v="Domestic Abuse"/>
    <s v="Expert Disbursement"/>
    <s v="DANIELLE NORTHALL"/>
    <s v="Y"/>
    <n v="163.8"/>
    <n v="32.76"/>
    <x v="7"/>
    <s v="VALIDATED"/>
    <n v="1"/>
    <s v="01.11.80.302.6300.0000"/>
    <n v="163.8"/>
    <s v="11"/>
    <s v="6300"/>
    <n v="2781.03"/>
    <n v="163.8"/>
    <s v="CREDITOR"/>
    <n v="0"/>
    <n v="0"/>
    <n v="0"/>
    <n v="0"/>
    <n v="163.8"/>
  </r>
  <r>
    <n v="60821524"/>
    <s v="N"/>
    <n v="21350053"/>
    <s v="3000015053520009"/>
    <s v="CIVIL"/>
    <d v="2023-06-30T00:00:00"/>
    <d v="2023-07-10T19:01:40"/>
    <m/>
    <d v="2023-07-10T00:00:00"/>
    <n v="1360"/>
    <n v="18463"/>
    <s v="60821524"/>
    <s v="60821524"/>
    <m/>
    <m/>
    <n v="22801596"/>
    <m/>
    <m/>
    <m/>
    <s v="SOLFIN"/>
    <s v="SOLFIN"/>
    <s v="CCMS"/>
    <n v="21350053"/>
    <n v="3323.2"/>
    <m/>
    <s v="N"/>
    <n v="5"/>
    <d v="2023-07-10T19:02:11"/>
    <s v="Y"/>
    <s v="Solicitors Fixed Fee"/>
    <s v="Public Law Children"/>
    <s v="Profit Cost"/>
    <s v="Danielle Northall"/>
    <s v="Y"/>
    <n v="2300"/>
    <n v="460"/>
    <x v="2"/>
    <s v="VALIDATED"/>
    <n v="1"/>
    <s v="01.11.80.308.6100.0000"/>
    <n v="2300"/>
    <s v="11"/>
    <s v="6100"/>
    <n v="2781.03"/>
    <n v="2300"/>
    <s v="CREDITOR"/>
    <n v="0"/>
    <n v="0"/>
    <n v="0"/>
    <n v="0"/>
    <n v="2300"/>
  </r>
  <r>
    <n v="60821524"/>
    <s v="N"/>
    <n v="21356550"/>
    <s v="3000015053520001RC"/>
    <s v="CIVIL"/>
    <d v="2023-06-30T00:00:00"/>
    <d v="2023-07-10T19:47:44"/>
    <m/>
    <d v="2023-07-10T00:00:00"/>
    <n v="1360"/>
    <n v="18463"/>
    <s v="60821524"/>
    <s v="60821524"/>
    <m/>
    <m/>
    <m/>
    <m/>
    <m/>
    <m/>
    <s v="SOLRECOUP"/>
    <s v="SOLRECOUP"/>
    <s v="POARECOUP"/>
    <n v="21356550"/>
    <n v="-50.4"/>
    <m/>
    <s v="Y"/>
    <n v="1"/>
    <d v="2023-07-10T19:47:45"/>
    <s v="N"/>
    <m/>
    <m/>
    <s v="Non Expert Disbursement"/>
    <m/>
    <s v="N"/>
    <n v="-50.4"/>
    <n v="0"/>
    <x v="2"/>
    <s v="VALIDATED"/>
    <n v="1"/>
    <s v="01.11.80.308.2013.0000"/>
    <n v="-50.4"/>
    <s v="11"/>
    <s v="2013"/>
    <n v="2781.03"/>
    <n v="-50.4"/>
    <s v="CREDITOR"/>
    <n v="0"/>
    <n v="0"/>
    <n v="-50.4"/>
    <n v="0"/>
    <n v="0"/>
  </r>
  <r>
    <n v="60821524"/>
    <s v="N"/>
    <n v="21356550"/>
    <s v="3000015053520001RC"/>
    <s v="CIVIL"/>
    <d v="2023-06-30T00:00:00"/>
    <d v="2023-07-10T19:47:44"/>
    <m/>
    <d v="2023-07-10T00:00:00"/>
    <n v="1360"/>
    <n v="18463"/>
    <s v="60821524"/>
    <s v="60821524"/>
    <m/>
    <m/>
    <m/>
    <m/>
    <m/>
    <m/>
    <s v="SOLRECOUP"/>
    <s v="SOLRECOUP"/>
    <s v="POARECOUP"/>
    <n v="21356550"/>
    <n v="-50.4"/>
    <m/>
    <s v="Y"/>
    <n v="2"/>
    <d v="2023-07-10T19:47:45"/>
    <s v="N"/>
    <m/>
    <m/>
    <s v="Non Expert Disbursement"/>
    <m/>
    <s v="N"/>
    <n v="0"/>
    <n v="0"/>
    <x v="2"/>
    <s v="VALIDATED"/>
    <n v="1"/>
    <s v="01.11.80.000.0000.0000"/>
    <n v="0"/>
    <s v="11"/>
    <s v="0000"/>
    <n v="2781.03"/>
    <n v="0"/>
    <s v="CREDITOR"/>
    <n v="0"/>
    <n v="0"/>
    <n v="0"/>
    <n v="0"/>
    <n v="0"/>
  </r>
  <r>
    <n v="60821524"/>
    <s v="N"/>
    <n v="21356551"/>
    <s v="3000015053520003RC"/>
    <s v="CIVIL"/>
    <d v="2023-06-30T00:00:00"/>
    <d v="2023-07-10T19:47:44"/>
    <m/>
    <d v="2023-07-10T00:00:00"/>
    <n v="1360"/>
    <n v="18463"/>
    <s v="60821524"/>
    <s v="60821524"/>
    <m/>
    <m/>
    <m/>
    <m/>
    <m/>
    <m/>
    <s v="SOLRECOUP"/>
    <s v="SOLRECOUP"/>
    <s v="POARECOUP"/>
    <n v="21356551"/>
    <n v="-173.6"/>
    <m/>
    <s v="Y"/>
    <n v="1"/>
    <d v="2023-07-10T19:47:45"/>
    <s v="N"/>
    <m/>
    <m/>
    <s v="Expert Disbursement"/>
    <m/>
    <s v="N"/>
    <n v="-144.67"/>
    <n v="0"/>
    <x v="2"/>
    <s v="VALIDATED"/>
    <n v="1"/>
    <s v="01.11.80.308.2013.0000"/>
    <n v="-144.67"/>
    <s v="11"/>
    <s v="2013"/>
    <n v="2781.03"/>
    <n v="-144.67"/>
    <s v="CREDITOR"/>
    <n v="0"/>
    <n v="0"/>
    <n v="-144.67"/>
    <n v="0"/>
    <n v="0"/>
  </r>
  <r>
    <n v="60821524"/>
    <s v="N"/>
    <n v="21356551"/>
    <s v="3000015053520003RC"/>
    <s v="CIVIL"/>
    <d v="2023-06-30T00:00:00"/>
    <d v="2023-07-10T19:47:44"/>
    <m/>
    <d v="2023-07-10T00:00:00"/>
    <n v="1360"/>
    <n v="18463"/>
    <s v="60821524"/>
    <s v="60821524"/>
    <m/>
    <m/>
    <m/>
    <m/>
    <m/>
    <m/>
    <s v="SOLRECOUP"/>
    <s v="SOLRECOUP"/>
    <s v="POARECOUP"/>
    <n v="21356551"/>
    <n v="-173.6"/>
    <m/>
    <s v="Y"/>
    <n v="2"/>
    <d v="2023-07-10T19:47:45"/>
    <s v="N"/>
    <m/>
    <m/>
    <s v="Expert Disbursement"/>
    <m/>
    <s v="N"/>
    <n v="0"/>
    <n v="-28.93"/>
    <x v="2"/>
    <s v="VALIDATED"/>
    <n v="1"/>
    <s v="01.11.80.308.2013.0000"/>
    <n v="-28.93"/>
    <s v="11"/>
    <s v="2013"/>
    <n v="2781.03"/>
    <n v="-28.93"/>
    <s v="CREDITOR"/>
    <n v="0"/>
    <n v="0"/>
    <n v="-28.93"/>
    <n v="0"/>
    <n v="0"/>
  </r>
  <r>
    <n v="60821524"/>
    <s v="N"/>
    <n v="21356552"/>
    <s v="3000015053520004RC"/>
    <s v="CIVIL"/>
    <d v="2023-06-30T00:00:00"/>
    <d v="2023-07-10T19:47:44"/>
    <m/>
    <d v="2023-07-10T00:00:00"/>
    <n v="1360"/>
    <n v="18463"/>
    <s v="60821524"/>
    <s v="60821524"/>
    <m/>
    <m/>
    <m/>
    <m/>
    <m/>
    <m/>
    <s v="SOLRECOUP"/>
    <s v="SOLRECOUP"/>
    <s v="POARECOUP"/>
    <n v="21356552"/>
    <n v="-228.8"/>
    <m/>
    <s v="Y"/>
    <n v="1"/>
    <d v="2023-07-10T19:47:45"/>
    <s v="N"/>
    <m/>
    <m/>
    <s v="Expert Disbursement"/>
    <m/>
    <s v="N"/>
    <n v="-190.67"/>
    <n v="0"/>
    <x v="2"/>
    <s v="VALIDATED"/>
    <n v="1"/>
    <s v="01.11.80.308.2013.0000"/>
    <n v="-190.67"/>
    <s v="11"/>
    <s v="2013"/>
    <n v="2781.03"/>
    <n v="-190.67"/>
    <s v="CREDITOR"/>
    <n v="0"/>
    <n v="0"/>
    <n v="-190.67"/>
    <n v="0"/>
    <n v="0"/>
  </r>
  <r>
    <n v="60821524"/>
    <s v="N"/>
    <n v="21356552"/>
    <s v="3000015053520004RC"/>
    <s v="CIVIL"/>
    <d v="2023-06-30T00:00:00"/>
    <d v="2023-07-10T19:47:44"/>
    <m/>
    <d v="2023-07-10T00:00:00"/>
    <n v="1360"/>
    <n v="18463"/>
    <s v="60821524"/>
    <s v="60821524"/>
    <m/>
    <m/>
    <m/>
    <m/>
    <m/>
    <m/>
    <s v="SOLRECOUP"/>
    <s v="SOLRECOUP"/>
    <s v="POARECOUP"/>
    <n v="21356552"/>
    <n v="-228.8"/>
    <m/>
    <s v="Y"/>
    <n v="2"/>
    <d v="2023-07-10T19:47:45"/>
    <s v="N"/>
    <m/>
    <m/>
    <s v="Expert Disbursement"/>
    <m/>
    <s v="N"/>
    <n v="0"/>
    <n v="-38.13"/>
    <x v="2"/>
    <s v="VALIDATED"/>
    <n v="1"/>
    <s v="01.11.80.308.2013.0000"/>
    <n v="-38.13"/>
    <s v="11"/>
    <s v="2013"/>
    <n v="2781.03"/>
    <n v="-38.13"/>
    <s v="CREDITOR"/>
    <n v="0"/>
    <n v="0"/>
    <n v="-38.13"/>
    <n v="0"/>
    <n v="0"/>
  </r>
  <r>
    <n v="60821524"/>
    <s v="N"/>
    <n v="21356553"/>
    <s v="3000015053520005RC"/>
    <s v="CIVIL"/>
    <d v="2023-06-30T00:00:00"/>
    <d v="2023-07-10T19:47:44"/>
    <m/>
    <d v="2023-07-10T00:00:00"/>
    <n v="1360"/>
    <n v="18463"/>
    <s v="60821524"/>
    <s v="60821524"/>
    <m/>
    <m/>
    <m/>
    <m/>
    <m/>
    <m/>
    <s v="SOLRECOUP"/>
    <s v="SOLRECOUP"/>
    <s v="POARECOUP"/>
    <n v="21356553"/>
    <n v="-2024.71"/>
    <m/>
    <s v="Y"/>
    <n v="1"/>
    <d v="2023-07-10T19:47:45"/>
    <s v="N"/>
    <m/>
    <m/>
    <s v="Profit Cost"/>
    <m/>
    <s v="N"/>
    <n v="-1687.26"/>
    <n v="0"/>
    <x v="2"/>
    <s v="VALIDATED"/>
    <n v="1"/>
    <s v="01.11.80.308.2013.0000"/>
    <n v="-1687.26"/>
    <s v="11"/>
    <s v="2013"/>
    <n v="2781.03"/>
    <n v="-1687.26"/>
    <s v="CREDITOR"/>
    <n v="0"/>
    <n v="0"/>
    <n v="-1687.26"/>
    <n v="-421.815"/>
    <n v="0"/>
  </r>
  <r>
    <n v="60821524"/>
    <s v="N"/>
    <n v="21356553"/>
    <s v="3000015053520005RC"/>
    <s v="CIVIL"/>
    <d v="2023-06-30T00:00:00"/>
    <d v="2023-07-10T19:47:44"/>
    <m/>
    <d v="2023-07-10T00:00:00"/>
    <n v="1360"/>
    <n v="18463"/>
    <s v="60821524"/>
    <s v="60821524"/>
    <m/>
    <m/>
    <m/>
    <m/>
    <m/>
    <m/>
    <s v="SOLRECOUP"/>
    <s v="SOLRECOUP"/>
    <s v="POARECOUP"/>
    <n v="21356553"/>
    <n v="-2024.71"/>
    <m/>
    <s v="Y"/>
    <n v="2"/>
    <d v="2023-07-10T19:47:45"/>
    <s v="N"/>
    <m/>
    <m/>
    <s v="Profit Cost"/>
    <m/>
    <s v="N"/>
    <n v="0"/>
    <n v="-337.45"/>
    <x v="2"/>
    <s v="VALIDATED"/>
    <n v="1"/>
    <s v="01.11.80.308.2013.0000"/>
    <n v="-337.45"/>
    <s v="11"/>
    <s v="2013"/>
    <n v="2781.03"/>
    <n v="-337.45"/>
    <s v="CREDITOR"/>
    <n v="0"/>
    <n v="0"/>
    <n v="-337.45"/>
    <n v="-84.3625"/>
    <n v="0"/>
  </r>
  <r>
    <n v="60821524"/>
    <s v="N"/>
    <n v="21356554"/>
    <s v="3000015053520007RC"/>
    <s v="CIVIL"/>
    <d v="2023-06-30T00:00:00"/>
    <d v="2023-07-10T19:47:44"/>
    <m/>
    <d v="2023-07-10T00:00:00"/>
    <n v="1360"/>
    <n v="18463"/>
    <s v="60821524"/>
    <s v="60821524"/>
    <m/>
    <m/>
    <m/>
    <m/>
    <m/>
    <m/>
    <s v="SOLRECOUP"/>
    <s v="SOLRECOUP"/>
    <s v="POARECOUP"/>
    <n v="21356554"/>
    <n v="-173.6"/>
    <m/>
    <s v="Y"/>
    <n v="1"/>
    <d v="2023-07-10T19:47:45"/>
    <s v="N"/>
    <m/>
    <m/>
    <s v="Expert Disbursement"/>
    <m/>
    <s v="N"/>
    <n v="-144.67"/>
    <n v="0"/>
    <x v="2"/>
    <s v="VALIDATED"/>
    <n v="1"/>
    <s v="01.11.80.308.2013.0000"/>
    <n v="-144.67"/>
    <s v="11"/>
    <s v="2013"/>
    <n v="2781.03"/>
    <n v="-144.67"/>
    <s v="CREDITOR"/>
    <n v="0"/>
    <n v="0"/>
    <n v="-144.67"/>
    <n v="0"/>
    <n v="0"/>
  </r>
  <r>
    <n v="60821524"/>
    <s v="N"/>
    <n v="21356554"/>
    <s v="3000015053520007RC"/>
    <s v="CIVIL"/>
    <d v="2023-06-30T00:00:00"/>
    <d v="2023-07-10T19:47:44"/>
    <m/>
    <d v="2023-07-10T00:00:00"/>
    <n v="1360"/>
    <n v="18463"/>
    <s v="60821524"/>
    <s v="60821524"/>
    <m/>
    <m/>
    <m/>
    <m/>
    <m/>
    <m/>
    <s v="SOLRECOUP"/>
    <s v="SOLRECOUP"/>
    <s v="POARECOUP"/>
    <n v="21356554"/>
    <n v="-173.6"/>
    <m/>
    <s v="Y"/>
    <n v="2"/>
    <d v="2023-07-10T19:47:45"/>
    <s v="N"/>
    <m/>
    <m/>
    <s v="Expert Disbursement"/>
    <m/>
    <s v="N"/>
    <n v="0"/>
    <n v="-28.93"/>
    <x v="2"/>
    <s v="VALIDATED"/>
    <n v="1"/>
    <s v="01.11.80.308.2013.0000"/>
    <n v="-28.93"/>
    <s v="11"/>
    <s v="2013"/>
    <n v="2781.03"/>
    <n v="-28.93"/>
    <s v="CREDITOR"/>
    <n v="0"/>
    <n v="0"/>
    <n v="-28.93"/>
    <n v="0"/>
    <n v="0"/>
  </r>
  <r>
    <n v="62293209"/>
    <s v="N"/>
    <n v="21361470"/>
    <s v="3000016285470001RC"/>
    <s v="CIVIL"/>
    <d v="2023-06-29T00:00:00"/>
    <d v="2023-07-11T19:38:00"/>
    <m/>
    <d v="2023-07-11T00:00:00"/>
    <n v="1360"/>
    <n v="18463"/>
    <s v="62293209"/>
    <s v="62293209"/>
    <m/>
    <m/>
    <m/>
    <m/>
    <m/>
    <m/>
    <s v="SOLRECOUP"/>
    <s v="SOLRECOUP"/>
    <s v="POARECOUP"/>
    <n v="21361470"/>
    <n v="-196.56"/>
    <m/>
    <s v="Y"/>
    <n v="2"/>
    <d v="2023-07-11T19:38:01"/>
    <s v="N"/>
    <m/>
    <m/>
    <s v="Non Expert Disbursement"/>
    <m/>
    <s v="N"/>
    <n v="0"/>
    <n v="-32.76"/>
    <x v="7"/>
    <s v="VALIDATED"/>
    <n v="1"/>
    <s v="01.11.80.302.2013.0000"/>
    <n v="-32.76"/>
    <s v="11"/>
    <s v="2013"/>
    <n v="2781.03"/>
    <n v="-32.76"/>
    <s v="CREDITOR"/>
    <n v="0"/>
    <n v="0"/>
    <n v="-32.76"/>
    <n v="0"/>
    <n v="0"/>
  </r>
  <r>
    <n v="62293209"/>
    <s v="N"/>
    <n v="21361470"/>
    <s v="3000016285470001RC"/>
    <s v="CIVIL"/>
    <d v="2023-06-29T00:00:00"/>
    <d v="2023-07-11T19:38:00"/>
    <m/>
    <d v="2023-07-11T00:00:00"/>
    <n v="1360"/>
    <n v="18463"/>
    <s v="62293209"/>
    <s v="62293209"/>
    <m/>
    <m/>
    <m/>
    <m/>
    <m/>
    <m/>
    <s v="SOLRECOUP"/>
    <s v="SOLRECOUP"/>
    <s v="POARECOUP"/>
    <n v="21361470"/>
    <n v="-196.56"/>
    <m/>
    <s v="Y"/>
    <n v="1"/>
    <d v="2023-07-11T19:38:01"/>
    <s v="N"/>
    <m/>
    <m/>
    <s v="Non Expert Disbursement"/>
    <m/>
    <s v="N"/>
    <n v="-163.8"/>
    <n v="0"/>
    <x v="7"/>
    <s v="VALIDATED"/>
    <n v="1"/>
    <s v="01.11.80.302.2013.0000"/>
    <n v="-163.8"/>
    <s v="11"/>
    <s v="2013"/>
    <n v="2781.03"/>
    <n v="-163.8"/>
    <s v="CREDITOR"/>
    <n v="0"/>
    <n v="0"/>
    <n v="-163.8"/>
    <n v="0"/>
    <n v="0"/>
  </r>
  <r>
    <n v="10289393"/>
    <s v="N"/>
    <n v="21338278"/>
    <s v="3000006154410012"/>
    <s v="CIVIL"/>
    <d v="2023-06-27T00:00:00"/>
    <d v="2023-07-06T19:21:01"/>
    <m/>
    <d v="2023-07-06T00:00:00"/>
    <n v="1367"/>
    <n v="18507"/>
    <s v="10289393"/>
    <s v="10289393"/>
    <m/>
    <m/>
    <n v="22767498"/>
    <m/>
    <m/>
    <m/>
    <s v="SOLFIN"/>
    <s v="SOLFIN"/>
    <s v="CCMS"/>
    <n v="21338278"/>
    <n v="6851.03"/>
    <m/>
    <s v="N"/>
    <n v="73"/>
    <d v="2023-07-06T19:21:16"/>
    <s v="Y"/>
    <s v="Preparation - other"/>
    <s v="Prescribed Hourly Rates"/>
    <s v="Profit Cost"/>
    <s v="Jonathan Cunningham"/>
    <s v="Y"/>
    <n v="54.9"/>
    <n v="10.98"/>
    <x v="4"/>
    <s v="VALIDATED"/>
    <n v="1"/>
    <s v="01.11.80.307.6100.0000"/>
    <n v="54.9"/>
    <s v="11"/>
    <s v="6100"/>
    <n v="8557.450000000001"/>
    <n v="54.9"/>
    <s v="CREDITOR"/>
    <n v="0"/>
    <n v="0"/>
    <n v="0"/>
    <n v="0"/>
    <n v="54.9"/>
  </r>
  <r>
    <n v="10289393"/>
    <s v="N"/>
    <n v="21338278"/>
    <s v="3000006154410012"/>
    <s v="CIVIL"/>
    <d v="2023-06-27T00:00:00"/>
    <d v="2023-07-06T19:21:01"/>
    <m/>
    <d v="2023-07-06T00:00:00"/>
    <n v="1367"/>
    <n v="18507"/>
    <s v="10289393"/>
    <s v="10289393"/>
    <m/>
    <m/>
    <n v="22767498"/>
    <m/>
    <m/>
    <m/>
    <s v="SOLFIN"/>
    <s v="SOLFIN"/>
    <s v="CCMS"/>
    <n v="21338278"/>
    <n v="6851.03"/>
    <m/>
    <s v="N"/>
    <n v="25"/>
    <d v="2023-07-06T19:21:16"/>
    <s v="Y"/>
    <s v="Preparation - other"/>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70"/>
    <d v="2023-07-06T19:21:16"/>
    <s v="Y"/>
    <s v="Preparation - drafting statement"/>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21"/>
    <d v="2023-07-06T19:21:16"/>
    <s v="Y"/>
    <s v="Preparation - drafting bill/claim f"/>
    <s v="Prescribed Hourly Rates"/>
    <s v="Profit Cost"/>
    <s v="James Birch"/>
    <s v="Y"/>
    <n v="164.7"/>
    <n v="32.94"/>
    <x v="4"/>
    <s v="VALIDATED"/>
    <n v="1"/>
    <s v="01.11.80.307.6100.0000"/>
    <n v="164.7"/>
    <s v="11"/>
    <s v="6100"/>
    <n v="8557.450000000001"/>
    <n v="164.7"/>
    <s v="CREDITOR"/>
    <n v="0"/>
    <n v="0"/>
    <n v="0"/>
    <n v="0"/>
    <n v="164.7"/>
  </r>
  <r>
    <n v="10289393"/>
    <s v="N"/>
    <n v="21338278"/>
    <s v="3000006154410012"/>
    <s v="CIVIL"/>
    <d v="2023-06-27T00:00:00"/>
    <d v="2023-07-06T19:21:01"/>
    <m/>
    <d v="2023-07-06T00:00:00"/>
    <n v="1367"/>
    <n v="18507"/>
    <s v="10289393"/>
    <s v="10289393"/>
    <m/>
    <m/>
    <n v="22767498"/>
    <m/>
    <m/>
    <m/>
    <s v="SOLFIN"/>
    <s v="SOLFIN"/>
    <s v="CCMS"/>
    <n v="21338278"/>
    <n v="6851.03"/>
    <m/>
    <s v="N"/>
    <n v="49"/>
    <d v="2023-07-06T19:21:16"/>
    <s v="Y"/>
    <s v="Preparation - other"/>
    <s v="Prescribed Hourly Rates"/>
    <s v="Profit Cost"/>
    <s v="Jonathan Cunningham"/>
    <s v="Y"/>
    <n v="89.20999999999999"/>
    <n v="17.84"/>
    <x v="4"/>
    <s v="VALIDATED"/>
    <n v="1"/>
    <s v="01.11.80.307.6100.0000"/>
    <n v="89.20999999999999"/>
    <s v="11"/>
    <s v="6100"/>
    <n v="8557.450000000001"/>
    <n v="89.20999999999999"/>
    <s v="CREDITOR"/>
    <n v="0"/>
    <n v="0"/>
    <n v="0"/>
    <n v="0"/>
    <n v="89.20999999999999"/>
  </r>
  <r>
    <n v="10289393"/>
    <s v="N"/>
    <n v="21338278"/>
    <s v="3000006154410012"/>
    <s v="CIVIL"/>
    <d v="2023-06-27T00:00:00"/>
    <d v="2023-07-06T19:21:01"/>
    <m/>
    <d v="2023-07-06T00:00:00"/>
    <n v="1367"/>
    <n v="18507"/>
    <s v="10289393"/>
    <s v="10289393"/>
    <m/>
    <m/>
    <n v="22767498"/>
    <m/>
    <m/>
    <m/>
    <s v="SOLFIN"/>
    <s v="SOLFIN"/>
    <s v="CCMS"/>
    <n v="21338278"/>
    <n v="6851.03"/>
    <m/>
    <s v="N"/>
    <n v="61"/>
    <d v="2023-07-06T19:21:16"/>
    <s v="Y"/>
    <s v="Preparation - other"/>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19"/>
    <d v="2023-07-06T19:21:16"/>
    <s v="Y"/>
    <s v="Preparation - drafting instructions"/>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63"/>
    <d v="2023-07-06T19:21:16"/>
    <s v="Y"/>
    <s v="Preparation - other"/>
    <s v="Prescribed Hourly Rates"/>
    <s v="Profit Cost"/>
    <s v="Jonathan Cunningham"/>
    <s v="Y"/>
    <n v="22.88"/>
    <n v="4.58"/>
    <x v="4"/>
    <s v="VALIDATED"/>
    <n v="1"/>
    <s v="01.11.80.307.6100.0000"/>
    <n v="22.88"/>
    <s v="11"/>
    <s v="6100"/>
    <n v="8557.450000000001"/>
    <n v="22.88"/>
    <s v="CREDITOR"/>
    <n v="0"/>
    <n v="0"/>
    <n v="0"/>
    <n v="0"/>
    <n v="22.88"/>
  </r>
  <r>
    <n v="10289393"/>
    <s v="N"/>
    <n v="21338278"/>
    <s v="3000006154410012"/>
    <s v="CIVIL"/>
    <d v="2023-06-27T00:00:00"/>
    <d v="2023-07-06T19:21:01"/>
    <m/>
    <d v="2023-07-06T00:00:00"/>
    <n v="1367"/>
    <n v="18507"/>
    <s v="10289393"/>
    <s v="10289393"/>
    <m/>
    <m/>
    <n v="22767498"/>
    <m/>
    <m/>
    <m/>
    <s v="SOLFIN"/>
    <s v="SOLFIN"/>
    <s v="CCMS"/>
    <n v="21338278"/>
    <n v="6851.03"/>
    <m/>
    <s v="N"/>
    <n v="36"/>
    <d v="2023-07-06T19:21:16"/>
    <s v="Y"/>
    <s v="Preparation - other"/>
    <s v="Prescribed Hourly Rates"/>
    <s v="Profit Cost"/>
    <s v="Jonathan Cunningham"/>
    <s v="Y"/>
    <n v="54.9"/>
    <n v="10.98"/>
    <x v="4"/>
    <s v="VALIDATED"/>
    <n v="1"/>
    <s v="01.11.80.307.6100.0000"/>
    <n v="54.9"/>
    <s v="11"/>
    <s v="6100"/>
    <n v="8557.450000000001"/>
    <n v="54.9"/>
    <s v="CREDITOR"/>
    <n v="0"/>
    <n v="0"/>
    <n v="0"/>
    <n v="0"/>
    <n v="54.9"/>
  </r>
  <r>
    <n v="10289393"/>
    <s v="N"/>
    <n v="21338278"/>
    <s v="3000006154410012"/>
    <s v="CIVIL"/>
    <d v="2023-06-27T00:00:00"/>
    <d v="2023-07-06T19:21:01"/>
    <m/>
    <d v="2023-07-06T00:00:00"/>
    <n v="1367"/>
    <n v="18507"/>
    <s v="10289393"/>
    <s v="10289393"/>
    <m/>
    <m/>
    <n v="22767498"/>
    <m/>
    <m/>
    <m/>
    <s v="SOLFIN"/>
    <s v="SOLFIN"/>
    <s v="CCMS"/>
    <n v="21338278"/>
    <n v="6851.03"/>
    <m/>
    <s v="N"/>
    <n v="56"/>
    <d v="2023-07-06T19:21:16"/>
    <s v="Y"/>
    <s v="Preparation - other"/>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59"/>
    <d v="2023-07-06T19:21:16"/>
    <s v="Y"/>
    <s v="Preparation - other"/>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4"/>
    <d v="2023-07-06T19:21:16"/>
    <s v="Y"/>
    <s v="Preparation - drafting application"/>
    <s v="Prescribed Hourly Rates"/>
    <s v="Profit Cost"/>
    <s v="Jonathan Cunningham"/>
    <s v="Y"/>
    <n v="20.59"/>
    <n v="4.12"/>
    <x v="4"/>
    <s v="VALIDATED"/>
    <n v="1"/>
    <s v="01.11.80.307.6100.0000"/>
    <n v="20.59"/>
    <s v="11"/>
    <s v="6100"/>
    <n v="8557.450000000001"/>
    <n v="20.59"/>
    <s v="CREDITOR"/>
    <n v="0"/>
    <n v="0"/>
    <n v="0"/>
    <n v="0"/>
    <n v="20.59"/>
  </r>
  <r>
    <n v="60669019"/>
    <s v="N"/>
    <n v="21319116"/>
    <s v="3000014920700005"/>
    <s v="CIVIL"/>
    <d v="2023-06-23T00:00:00"/>
    <d v="2023-07-03T19:01:49"/>
    <m/>
    <d v="2023-07-03T00:00:00"/>
    <n v="1367"/>
    <n v="18507"/>
    <s v="60669019"/>
    <s v="60669019"/>
    <m/>
    <m/>
    <n v="22755706"/>
    <m/>
    <m/>
    <m/>
    <s v="SOLFIN"/>
    <s v="SOLFIN"/>
    <s v="CCMS"/>
    <n v="21319116"/>
    <n v="8051.91"/>
    <m/>
    <s v="N"/>
    <n v="2"/>
    <d v="2023-07-03T19:02:11"/>
    <s v="Y"/>
    <s v="Interim Hearing Court Bundle/Advoca"/>
    <s v="Public Law Children"/>
    <s v="Advocacy"/>
    <s v="Jane Hayward"/>
    <s v="Y"/>
    <n v="89.09999999999999"/>
    <n v="17.82"/>
    <x v="3"/>
    <s v="VALIDATED"/>
    <n v="1"/>
    <s v="01.11.80.308.6100.0000"/>
    <n v="89.09999999999999"/>
    <s v="11"/>
    <s v="6100"/>
    <n v="8557.450000000001"/>
    <n v="89.09999999999999"/>
    <s v="CREDITOR"/>
    <n v="0"/>
    <n v="0"/>
    <n v="0"/>
    <n v="0"/>
    <n v="89.09999999999999"/>
  </r>
  <r>
    <n v="10289393"/>
    <s v="N"/>
    <n v="21338278"/>
    <s v="3000006154410012"/>
    <s v="CIVIL"/>
    <d v="2023-06-27T00:00:00"/>
    <d v="2023-07-06T19:21:01"/>
    <m/>
    <d v="2023-07-06T00:00:00"/>
    <n v="1367"/>
    <n v="18507"/>
    <s v="10289393"/>
    <s v="10289393"/>
    <m/>
    <m/>
    <n v="22767498"/>
    <m/>
    <m/>
    <m/>
    <s v="SOLFIN"/>
    <s v="SOLFIN"/>
    <s v="CCMS"/>
    <n v="21338278"/>
    <n v="6851.03"/>
    <m/>
    <s v="N"/>
    <n v="69"/>
    <d v="2023-07-06T19:21:16"/>
    <s v="Y"/>
    <s v="Preparation - other"/>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66"/>
    <d v="2023-07-06T19:21:16"/>
    <s v="Y"/>
    <s v="Report - other report"/>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30"/>
    <d v="2023-07-06T19:21:16"/>
    <s v="Y"/>
    <s v="Preparation - other"/>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76"/>
    <d v="2023-07-06T19:21:16"/>
    <s v="Y"/>
    <s v="Other"/>
    <s v="Prescribed Hourly Rates"/>
    <s v="Non Expert Disbursement"/>
    <s v="Jonathan Cunningham"/>
    <s v="Y"/>
    <n v="420.19"/>
    <n v="84.04000000000001"/>
    <x v="4"/>
    <s v="VALIDATED"/>
    <n v="1"/>
    <s v="01.11.80.307.6300.0000"/>
    <n v="420.19"/>
    <s v="11"/>
    <s v="6300"/>
    <n v="8557.450000000001"/>
    <n v="420.19"/>
    <s v="CREDITOR"/>
    <n v="0"/>
    <n v="0"/>
    <n v="0"/>
    <n v="0"/>
    <n v="420.19"/>
  </r>
  <r>
    <n v="10289393"/>
    <s v="N"/>
    <n v="21338278"/>
    <s v="3000006154410012"/>
    <s v="CIVIL"/>
    <d v="2023-06-27T00:00:00"/>
    <d v="2023-07-06T19:21:01"/>
    <m/>
    <d v="2023-07-06T00:00:00"/>
    <n v="1367"/>
    <n v="18507"/>
    <s v="10289393"/>
    <s v="10289393"/>
    <m/>
    <m/>
    <n v="22767498"/>
    <m/>
    <m/>
    <m/>
    <s v="SOLFIN"/>
    <s v="SOLFIN"/>
    <s v="CCMS"/>
    <n v="21338278"/>
    <n v="6851.03"/>
    <m/>
    <s v="N"/>
    <n v="22"/>
    <d v="2023-07-06T19:21:16"/>
    <s v="Y"/>
    <s v="Preparation - other"/>
    <s v="Prescribed Hourly Rates"/>
    <s v="Profit Cost"/>
    <s v="James Birch"/>
    <s v="Y"/>
    <n v="10.98"/>
    <n v="2.2"/>
    <x v="4"/>
    <s v="VALIDATED"/>
    <n v="1"/>
    <s v="01.11.80.307.6100.0000"/>
    <n v="10.98"/>
    <s v="11"/>
    <s v="6100"/>
    <n v="8557.450000000001"/>
    <n v="10.98"/>
    <s v="CREDITOR"/>
    <n v="0"/>
    <n v="0"/>
    <n v="0"/>
    <n v="0"/>
    <n v="10.98"/>
  </r>
  <r>
    <n v="10289393"/>
    <s v="N"/>
    <n v="21338278"/>
    <s v="3000006154410012"/>
    <s v="CIVIL"/>
    <d v="2023-06-27T00:00:00"/>
    <d v="2023-07-06T19:21:01"/>
    <m/>
    <d v="2023-07-06T00:00:00"/>
    <n v="1367"/>
    <n v="18507"/>
    <s v="10289393"/>
    <s v="10289393"/>
    <m/>
    <m/>
    <n v="22767498"/>
    <m/>
    <m/>
    <m/>
    <s v="SOLFIN"/>
    <s v="SOLFIN"/>
    <s v="CCMS"/>
    <n v="21338278"/>
    <n v="6851.03"/>
    <m/>
    <s v="N"/>
    <n v="53"/>
    <d v="2023-07-06T19:21:16"/>
    <s v="Y"/>
    <s v="Preparation - other"/>
    <s v="Prescribed Hourly Rates"/>
    <s v="Profit Cost"/>
    <s v="Jonathan Cunningham"/>
    <s v="Y"/>
    <n v="20.59"/>
    <n v="4.12"/>
    <x v="4"/>
    <s v="VALIDATED"/>
    <n v="1"/>
    <s v="01.11.80.307.6100.0000"/>
    <n v="20.59"/>
    <s v="11"/>
    <s v="6100"/>
    <n v="8557.450000000001"/>
    <n v="20.59"/>
    <s v="CREDITOR"/>
    <n v="0"/>
    <n v="0"/>
    <n v="0"/>
    <n v="0"/>
    <n v="20.59"/>
  </r>
  <r>
    <n v="60669019"/>
    <s v="N"/>
    <n v="21319116"/>
    <s v="3000014920700005"/>
    <s v="CIVIL"/>
    <d v="2023-06-23T00:00:00"/>
    <d v="2023-07-03T19:01:49"/>
    <m/>
    <d v="2023-07-03T00:00:00"/>
    <n v="1367"/>
    <n v="18507"/>
    <s v="60669019"/>
    <s v="60669019"/>
    <m/>
    <m/>
    <n v="22755706"/>
    <m/>
    <m/>
    <m/>
    <s v="SOLFIN"/>
    <s v="SOLFIN"/>
    <s v="CCMS"/>
    <n v="21319116"/>
    <n v="8051.91"/>
    <m/>
    <s v="N"/>
    <n v="13"/>
    <d v="2023-07-03T19:02:11"/>
    <s v="Y"/>
    <s v="Final Hearing - 1 Day"/>
    <s v="Public Law Children"/>
    <s v="Advocacy"/>
    <s v="Jane Hayward"/>
    <s v="Y"/>
    <n v="556.88"/>
    <n v="111.38"/>
    <x v="3"/>
    <s v="VALIDATED"/>
    <n v="1"/>
    <s v="01.11.80.308.6100.0000"/>
    <n v="556.88"/>
    <s v="11"/>
    <s v="6100"/>
    <n v="8557.450000000001"/>
    <n v="556.88"/>
    <s v="CREDITOR"/>
    <n v="0"/>
    <n v="0"/>
    <n v="0"/>
    <n v="0"/>
    <n v="556.88"/>
  </r>
  <r>
    <n v="10289393"/>
    <s v="N"/>
    <n v="21338278"/>
    <s v="3000006154410012"/>
    <s v="CIVIL"/>
    <d v="2023-06-27T00:00:00"/>
    <d v="2023-07-06T19:21:01"/>
    <m/>
    <d v="2023-07-06T00:00:00"/>
    <n v="1367"/>
    <n v="18507"/>
    <s v="10289393"/>
    <s v="10289393"/>
    <m/>
    <m/>
    <n v="22767498"/>
    <m/>
    <m/>
    <m/>
    <s v="SOLFIN"/>
    <s v="SOLFIN"/>
    <s v="CCMS"/>
    <n v="21338278"/>
    <n v="6851.03"/>
    <m/>
    <s v="N"/>
    <n v="12"/>
    <d v="2023-07-06T19:21:16"/>
    <s v="Y"/>
    <s v="Preparation - other"/>
    <s v="Prescribed Hourly Rates"/>
    <s v="Profit Cost"/>
    <s v="Jonathan Cunningham"/>
    <s v="Y"/>
    <n v="27.45"/>
    <n v="5.49"/>
    <x v="4"/>
    <s v="VALIDATED"/>
    <n v="1"/>
    <s v="01.11.80.307.6100.0000"/>
    <n v="27.45"/>
    <s v="11"/>
    <s v="6100"/>
    <n v="8557.450000000001"/>
    <n v="27.45"/>
    <s v="CREDITOR"/>
    <n v="0"/>
    <n v="0"/>
    <n v="0"/>
    <n v="0"/>
    <n v="27.45"/>
  </r>
  <r>
    <n v="10289393"/>
    <s v="N"/>
    <n v="21338278"/>
    <s v="3000006154410012"/>
    <s v="CIVIL"/>
    <d v="2023-06-27T00:00:00"/>
    <d v="2023-07-06T19:21:01"/>
    <m/>
    <d v="2023-07-06T00:00:00"/>
    <n v="1367"/>
    <n v="18507"/>
    <s v="10289393"/>
    <s v="10289393"/>
    <m/>
    <m/>
    <n v="22767498"/>
    <m/>
    <m/>
    <m/>
    <s v="SOLFIN"/>
    <s v="SOLFIN"/>
    <s v="CCMS"/>
    <n v="21338278"/>
    <n v="6851.03"/>
    <m/>
    <s v="N"/>
    <n v="35"/>
    <d v="2023-07-06T19:21:16"/>
    <s v="Y"/>
    <s v="Report - other report"/>
    <s v="Prescribed Hourly Rates"/>
    <s v="Profit Cost"/>
    <s v="Jonathan Cunningham"/>
    <s v="Y"/>
    <n v="27.45"/>
    <n v="5.49"/>
    <x v="4"/>
    <s v="VALIDATED"/>
    <n v="1"/>
    <s v="01.11.80.307.6100.0000"/>
    <n v="27.45"/>
    <s v="11"/>
    <s v="6100"/>
    <n v="8557.450000000001"/>
    <n v="27.45"/>
    <s v="CREDITOR"/>
    <n v="0"/>
    <n v="0"/>
    <n v="0"/>
    <n v="0"/>
    <n v="27.45"/>
  </r>
  <r>
    <n v="10289393"/>
    <s v="N"/>
    <n v="21338278"/>
    <s v="3000006154410012"/>
    <s v="CIVIL"/>
    <d v="2023-06-27T00:00:00"/>
    <d v="2023-07-06T19:21:01"/>
    <m/>
    <d v="2023-07-06T00:00:00"/>
    <n v="1367"/>
    <n v="18507"/>
    <s v="10289393"/>
    <s v="10289393"/>
    <m/>
    <m/>
    <n v="22767498"/>
    <m/>
    <m/>
    <m/>
    <s v="SOLFIN"/>
    <s v="SOLFIN"/>
    <s v="CCMS"/>
    <n v="21338278"/>
    <n v="6851.03"/>
    <m/>
    <s v="N"/>
    <n v="33"/>
    <d v="2023-07-06T19:21:16"/>
    <s v="Y"/>
    <s v="Attendance upon client"/>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50"/>
    <d v="2023-07-06T19:21:16"/>
    <s v="Y"/>
    <s v="Preparation - other"/>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34"/>
    <d v="2023-07-06T19:21:16"/>
    <s v="Y"/>
    <s v="Preparation - other"/>
    <s v="Prescribed Hourly Rates"/>
    <s v="Profit Cost"/>
    <s v="Jonathan Cunningham"/>
    <s v="Y"/>
    <n v="68.63"/>
    <n v="13.73"/>
    <x v="4"/>
    <s v="VALIDATED"/>
    <n v="1"/>
    <s v="01.11.80.307.6100.0000"/>
    <n v="68.63"/>
    <s v="11"/>
    <s v="6100"/>
    <n v="8557.450000000001"/>
    <n v="68.63"/>
    <s v="CREDITOR"/>
    <n v="0"/>
    <n v="0"/>
    <n v="0"/>
    <n v="0"/>
    <n v="68.63"/>
  </r>
  <r>
    <n v="10289393"/>
    <s v="N"/>
    <n v="21338278"/>
    <s v="3000006154410012"/>
    <s v="CIVIL"/>
    <d v="2023-06-27T00:00:00"/>
    <d v="2023-07-06T19:21:01"/>
    <m/>
    <d v="2023-07-06T00:00:00"/>
    <n v="1367"/>
    <n v="18507"/>
    <s v="10289393"/>
    <s v="10289393"/>
    <m/>
    <m/>
    <n v="22767498"/>
    <m/>
    <m/>
    <m/>
    <s v="SOLFIN"/>
    <s v="SOLFIN"/>
    <s v="CCMS"/>
    <n v="21338278"/>
    <n v="6851.03"/>
    <m/>
    <s v="N"/>
    <n v="27"/>
    <d v="2023-07-06T19:21:16"/>
    <s v="Y"/>
    <s v="Report - other report"/>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32"/>
    <d v="2023-07-06T19:21:16"/>
    <s v="Y"/>
    <s v="Preparation - other"/>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46"/>
    <d v="2023-07-06T19:21:16"/>
    <s v="Y"/>
    <s v="Report - other report"/>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51"/>
    <d v="2023-07-06T19:21:16"/>
    <s v="Y"/>
    <s v="Preparation - drafting statement"/>
    <s v="Prescribed Hourly Rates"/>
    <s v="Profit Cost"/>
    <s v="Jonathan Cunningham"/>
    <s v="Y"/>
    <n v="54.9"/>
    <n v="10.98"/>
    <x v="4"/>
    <s v="VALIDATED"/>
    <n v="1"/>
    <s v="01.11.80.307.6100.0000"/>
    <n v="54.9"/>
    <s v="11"/>
    <s v="6100"/>
    <n v="8557.450000000001"/>
    <n v="54.9"/>
    <s v="CREDITOR"/>
    <n v="0"/>
    <n v="0"/>
    <n v="0"/>
    <n v="0"/>
    <n v="54.9"/>
  </r>
  <r>
    <n v="60669019"/>
    <s v="N"/>
    <n v="21319116"/>
    <s v="3000014920700005"/>
    <s v="CIVIL"/>
    <d v="2023-06-23T00:00:00"/>
    <d v="2023-07-03T19:01:49"/>
    <m/>
    <d v="2023-07-03T00:00:00"/>
    <n v="1367"/>
    <n v="18507"/>
    <s v="60669019"/>
    <s v="60669019"/>
    <m/>
    <m/>
    <n v="22755706"/>
    <m/>
    <m/>
    <m/>
    <s v="SOLFIN"/>
    <s v="SOLFIN"/>
    <s v="CCMS"/>
    <n v="21319116"/>
    <n v="8051.91"/>
    <m/>
    <s v="N"/>
    <n v="15"/>
    <d v="2023-07-03T19:02:11"/>
    <s v="Y"/>
    <s v="Hearing Unit 2.31 - 5.00 Hours"/>
    <s v="Public Law Children"/>
    <s v="Advocacy"/>
    <s v="Jane Hayward"/>
    <s v="Y"/>
    <n v="476.92"/>
    <n v="95.38"/>
    <x v="3"/>
    <s v="VALIDATED"/>
    <n v="1"/>
    <s v="01.11.80.308.6100.0000"/>
    <n v="476.92"/>
    <s v="11"/>
    <s v="6100"/>
    <n v="8557.450000000001"/>
    <n v="476.92"/>
    <s v="CREDITOR"/>
    <n v="0"/>
    <n v="0"/>
    <n v="0"/>
    <n v="0"/>
    <n v="476.92"/>
  </r>
  <r>
    <n v="10289393"/>
    <s v="N"/>
    <n v="21338278"/>
    <s v="3000006154410012"/>
    <s v="CIVIL"/>
    <d v="2023-06-27T00:00:00"/>
    <d v="2023-07-06T19:21:01"/>
    <m/>
    <d v="2023-07-06T00:00:00"/>
    <n v="1367"/>
    <n v="18507"/>
    <s v="10289393"/>
    <s v="10289393"/>
    <m/>
    <m/>
    <n v="22767498"/>
    <m/>
    <m/>
    <m/>
    <s v="SOLFIN"/>
    <s v="SOLFIN"/>
    <s v="CCMS"/>
    <n v="21338278"/>
    <n v="6851.03"/>
    <m/>
    <s v="N"/>
    <n v="41"/>
    <d v="2023-07-06T19:21:16"/>
    <s v="Y"/>
    <s v="Routine Letter In"/>
    <s v="Prescribed Hourly Rates"/>
    <s v="Profit Cost"/>
    <s v="Jonathan Cunningham"/>
    <s v="Y"/>
    <n v="600.75"/>
    <n v="120.16"/>
    <x v="4"/>
    <s v="VALIDATED"/>
    <n v="1"/>
    <s v="01.11.80.307.6100.0000"/>
    <n v="600.75"/>
    <s v="11"/>
    <s v="6100"/>
    <n v="8557.450000000001"/>
    <n v="600.75"/>
    <s v="CREDITOR"/>
    <n v="0"/>
    <n v="0"/>
    <n v="0"/>
    <n v="0"/>
    <n v="600.75"/>
  </r>
  <r>
    <n v="60796059"/>
    <s v="N"/>
    <n v="21343264"/>
    <s v="3000015031840006"/>
    <s v="CIVIL"/>
    <d v="2023-06-30T00:00:00"/>
    <d v="2023-07-07T19:03:00"/>
    <m/>
    <d v="2023-07-07T00:00:00"/>
    <n v="1367"/>
    <n v="18507"/>
    <s v="60796059"/>
    <s v="60796059"/>
    <m/>
    <m/>
    <n v="22799934"/>
    <m/>
    <m/>
    <m/>
    <s v="SOLADJ"/>
    <s v="SOLADJ"/>
    <s v="CCMS"/>
    <n v="21343264"/>
    <n v="486"/>
    <m/>
    <s v="N"/>
    <n v="1"/>
    <d v="2023-07-07T19:03:05"/>
    <s v="Y"/>
    <s v="Dermatologist"/>
    <s v="Public Law Children"/>
    <s v="Expert Disbursement"/>
    <s v="Jane Hayward"/>
    <s v="Y"/>
    <n v="405"/>
    <n v="81"/>
    <x v="9"/>
    <s v="VALIDATED"/>
    <n v="1"/>
    <s v="01.11.80.308.6300.0000"/>
    <n v="405"/>
    <s v="11"/>
    <s v="6300"/>
    <n v="8557.450000000001"/>
    <n v="405"/>
    <s v="CREDITOR"/>
    <n v="0"/>
    <n v="0"/>
    <n v="0"/>
    <n v="0"/>
    <n v="405"/>
  </r>
  <r>
    <n v="62238022"/>
    <s v="N"/>
    <n v="21323502"/>
    <s v="3000016239850003"/>
    <s v="CIVIL"/>
    <d v="2023-06-30T00:00:00"/>
    <d v="2023-07-03T19:05:56"/>
    <m/>
    <d v="2023-07-03T00:00:00"/>
    <n v="1367"/>
    <n v="18507"/>
    <s v="62238022"/>
    <s v="62238022"/>
    <m/>
    <m/>
    <n v="22798178"/>
    <m/>
    <m/>
    <m/>
    <s v="SOLPOA"/>
    <s v="SOLPOA"/>
    <s v="CCMS"/>
    <n v="21323502"/>
    <n v="255"/>
    <m/>
    <s v="N"/>
    <n v="1"/>
    <d v="2023-07-03T19:05:57"/>
    <s v="N"/>
    <s v="Expert Cost"/>
    <s v="Expert Cost"/>
    <s v="Expert Disbursement"/>
    <s v="Charlotte Clark"/>
    <s v="N"/>
    <n v="212.5"/>
    <n v="42.5"/>
    <x v="3"/>
    <s v="VALIDATED"/>
    <n v="1"/>
    <s v="01.11.80.308.2012.0000"/>
    <n v="212.5"/>
    <s v="11"/>
    <s v="2012"/>
    <n v="8557.450000000001"/>
    <n v="212.5"/>
    <s v="CREDITOR"/>
    <n v="212.5"/>
    <n v="0"/>
    <n v="0"/>
    <n v="0"/>
    <n v="0"/>
  </r>
  <r>
    <n v="10289393"/>
    <s v="N"/>
    <n v="21338278"/>
    <s v="3000006154410012"/>
    <s v="CIVIL"/>
    <d v="2023-06-27T00:00:00"/>
    <d v="2023-07-06T19:21:01"/>
    <m/>
    <d v="2023-07-06T00:00:00"/>
    <n v="1367"/>
    <n v="18507"/>
    <s v="10289393"/>
    <s v="10289393"/>
    <m/>
    <m/>
    <n v="22767498"/>
    <m/>
    <m/>
    <m/>
    <s v="SOLFIN"/>
    <s v="SOLFIN"/>
    <s v="CCMS"/>
    <n v="21338278"/>
    <n v="6851.03"/>
    <m/>
    <s v="N"/>
    <n v="17"/>
    <d v="2023-07-06T19:21:16"/>
    <s v="Y"/>
    <s v="Preparation - other"/>
    <s v="Prescribed Hourly Rates"/>
    <s v="Profit Cost"/>
    <s v="Jonathan Cunningham"/>
    <s v="Y"/>
    <n v="137.25"/>
    <n v="27.45"/>
    <x v="4"/>
    <s v="VALIDATED"/>
    <n v="1"/>
    <s v="01.11.80.307.6100.0000"/>
    <n v="137.25"/>
    <s v="11"/>
    <s v="6100"/>
    <n v="8557.450000000001"/>
    <n v="137.25"/>
    <s v="CREDITOR"/>
    <n v="0"/>
    <n v="0"/>
    <n v="0"/>
    <n v="0"/>
    <n v="137.25"/>
  </r>
  <r>
    <n v="10289393"/>
    <s v="N"/>
    <n v="21338278"/>
    <s v="3000006154410012"/>
    <s v="CIVIL"/>
    <d v="2023-06-27T00:00:00"/>
    <d v="2023-07-06T19:21:01"/>
    <m/>
    <d v="2023-07-06T00:00:00"/>
    <n v="1367"/>
    <n v="18507"/>
    <s v="10289393"/>
    <s v="10289393"/>
    <m/>
    <m/>
    <n v="22767498"/>
    <m/>
    <m/>
    <m/>
    <s v="SOLFIN"/>
    <s v="SOLFIN"/>
    <s v="CCMS"/>
    <n v="21338278"/>
    <n v="6851.03"/>
    <m/>
    <s v="N"/>
    <n v="43"/>
    <d v="2023-07-06T19:21:16"/>
    <s v="Y"/>
    <s v="Report - Welfare report"/>
    <s v="Prescribed Hourly Rates"/>
    <s v="Profit Cost"/>
    <s v="Jonathan Cunningham"/>
    <s v="Y"/>
    <n v="13.73"/>
    <n v="2.75"/>
    <x v="4"/>
    <s v="VALIDATED"/>
    <n v="1"/>
    <s v="01.11.80.307.6100.0000"/>
    <n v="13.73"/>
    <s v="11"/>
    <s v="6100"/>
    <n v="8557.450000000001"/>
    <n v="13.73"/>
    <s v="CREDITOR"/>
    <n v="0"/>
    <n v="0"/>
    <n v="0"/>
    <n v="0"/>
    <n v="13.73"/>
  </r>
  <r>
    <n v="60669019"/>
    <s v="N"/>
    <n v="21319116"/>
    <s v="3000014920700005"/>
    <s v="CIVIL"/>
    <d v="2023-06-23T00:00:00"/>
    <d v="2023-07-03T19:01:49"/>
    <m/>
    <d v="2023-07-03T00:00:00"/>
    <n v="1367"/>
    <n v="18507"/>
    <s v="60669019"/>
    <s v="60669019"/>
    <m/>
    <m/>
    <n v="22755706"/>
    <m/>
    <m/>
    <m/>
    <s v="SOLFIN"/>
    <s v="SOLFIN"/>
    <s v="CCMS"/>
    <n v="21319116"/>
    <n v="8051.91"/>
    <m/>
    <s v="N"/>
    <n v="11"/>
    <d v="2023-07-03T19:02:11"/>
    <s v="Y"/>
    <s v="Solicitor Travel Expenses"/>
    <s v="Public Law Children"/>
    <s v="Non Expert Disbursement"/>
    <s v="Jane Hayward"/>
    <s v="Y"/>
    <n v="3.35"/>
    <n v="0.67"/>
    <x v="3"/>
    <s v="VALIDATED"/>
    <n v="1"/>
    <s v="01.11.80.308.6300.0000"/>
    <n v="3.35"/>
    <s v="11"/>
    <s v="6300"/>
    <n v="8557.450000000001"/>
    <n v="3.35"/>
    <s v="CREDITOR"/>
    <n v="0"/>
    <n v="0"/>
    <n v="0"/>
    <n v="0"/>
    <n v="3.35"/>
  </r>
  <r>
    <n v="60669019"/>
    <s v="N"/>
    <n v="21324467"/>
    <s v="3000014920700001RC"/>
    <s v="CIVIL"/>
    <d v="2023-06-23T00:00:00"/>
    <d v="2023-07-03T19:42:50"/>
    <m/>
    <d v="2023-07-03T00:00:00"/>
    <n v="1367"/>
    <n v="18507"/>
    <s v="60669019"/>
    <s v="60669019"/>
    <m/>
    <m/>
    <m/>
    <m/>
    <m/>
    <m/>
    <s v="SOLRECOUP"/>
    <s v="SOLRECOUP"/>
    <s v="POARECOUP"/>
    <n v="21324467"/>
    <n v="-3118"/>
    <m/>
    <s v="Y"/>
    <n v="1"/>
    <d v="2023-07-03T19:42:51"/>
    <s v="N"/>
    <m/>
    <m/>
    <s v="Profit Cost"/>
    <m/>
    <s v="N"/>
    <n v="-2598.33"/>
    <n v="0"/>
    <x v="3"/>
    <s v="VALIDATED"/>
    <n v="1"/>
    <s v="01.11.80.308.2013.0000"/>
    <n v="-2598.33"/>
    <s v="11"/>
    <s v="2013"/>
    <n v="8557.450000000001"/>
    <n v="-2598.33"/>
    <s v="CREDITOR"/>
    <n v="0"/>
    <n v="0"/>
    <n v="-2598.33"/>
    <n v="-649.5825"/>
    <n v="0"/>
  </r>
  <r>
    <n v="60669019"/>
    <s v="N"/>
    <n v="21324467"/>
    <s v="3000014920700001RC"/>
    <s v="CIVIL"/>
    <d v="2023-06-23T00:00:00"/>
    <d v="2023-07-03T19:42:50"/>
    <m/>
    <d v="2023-07-03T00:00:00"/>
    <n v="1367"/>
    <n v="18507"/>
    <s v="60669019"/>
    <s v="60669019"/>
    <m/>
    <m/>
    <m/>
    <m/>
    <m/>
    <m/>
    <s v="SOLRECOUP"/>
    <s v="SOLRECOUP"/>
    <s v="POARECOUP"/>
    <n v="21324467"/>
    <n v="-3118"/>
    <m/>
    <s v="Y"/>
    <n v="2"/>
    <d v="2023-07-03T19:42:51"/>
    <s v="N"/>
    <m/>
    <m/>
    <s v="Profit Cost"/>
    <m/>
    <s v="N"/>
    <n v="0"/>
    <n v="-519.67"/>
    <x v="3"/>
    <s v="VALIDATED"/>
    <n v="1"/>
    <s v="01.11.80.308.2013.0000"/>
    <n v="-519.67"/>
    <s v="11"/>
    <s v="2013"/>
    <n v="8557.450000000001"/>
    <n v="-519.67"/>
    <s v="CREDITOR"/>
    <n v="0"/>
    <n v="0"/>
    <n v="-519.67"/>
    <n v="-129.9175"/>
    <n v="0"/>
  </r>
  <r>
    <n v="60669019"/>
    <s v="N"/>
    <n v="21324468"/>
    <s v="3000014920700003RC"/>
    <s v="CIVIL"/>
    <d v="2023-06-23T00:00:00"/>
    <d v="2023-07-03T19:42:50"/>
    <m/>
    <d v="2023-07-03T00:00:00"/>
    <n v="1367"/>
    <n v="18507"/>
    <s v="60669019"/>
    <s v="60669019"/>
    <m/>
    <m/>
    <m/>
    <m/>
    <m/>
    <m/>
    <s v="SOLRECOUP"/>
    <s v="SOLRECOUP"/>
    <s v="POARECOUP"/>
    <n v="21324468"/>
    <n v="-541.71"/>
    <m/>
    <s v="Y"/>
    <n v="2"/>
    <d v="2023-07-03T19:42:51"/>
    <s v="N"/>
    <m/>
    <m/>
    <s v="Expert Disbursement"/>
    <m/>
    <s v="N"/>
    <n v="0"/>
    <n v="0"/>
    <x v="3"/>
    <s v="VALIDATED"/>
    <n v="1"/>
    <s v="01.11.80.000.0000.0000"/>
    <n v="0"/>
    <s v="11"/>
    <s v="0000"/>
    <n v="8557.450000000001"/>
    <n v="0"/>
    <s v="CREDITOR"/>
    <n v="0"/>
    <n v="0"/>
    <n v="0"/>
    <n v="0"/>
    <n v="0"/>
  </r>
  <r>
    <n v="60669019"/>
    <s v="N"/>
    <n v="21324468"/>
    <s v="3000014920700003RC"/>
    <s v="CIVIL"/>
    <d v="2023-06-23T00:00:00"/>
    <d v="2023-07-03T19:42:50"/>
    <m/>
    <d v="2023-07-03T00:00:00"/>
    <n v="1367"/>
    <n v="18507"/>
    <s v="60669019"/>
    <s v="60669019"/>
    <m/>
    <m/>
    <m/>
    <m/>
    <m/>
    <m/>
    <s v="SOLRECOUP"/>
    <s v="SOLRECOUP"/>
    <s v="POARECOUP"/>
    <n v="21324468"/>
    <n v="-541.71"/>
    <m/>
    <s v="Y"/>
    <n v="1"/>
    <d v="2023-07-03T19:42:51"/>
    <s v="N"/>
    <m/>
    <m/>
    <s v="Expert Disbursement"/>
    <m/>
    <s v="N"/>
    <n v="-541.71"/>
    <n v="0"/>
    <x v="3"/>
    <s v="VALIDATED"/>
    <n v="1"/>
    <s v="01.11.80.308.2013.0000"/>
    <n v="-541.71"/>
    <s v="11"/>
    <s v="2013"/>
    <n v="8557.450000000001"/>
    <n v="-541.71"/>
    <s v="CREDITOR"/>
    <n v="0"/>
    <n v="0"/>
    <n v="-541.71"/>
    <n v="0"/>
    <n v="0"/>
  </r>
  <r>
    <n v="60669019"/>
    <s v="N"/>
    <n v="21324469"/>
    <s v="3000014920700004RC"/>
    <s v="CIVIL"/>
    <d v="2023-06-23T00:00:00"/>
    <d v="2023-07-03T19:42:50"/>
    <m/>
    <d v="2023-07-03T00:00:00"/>
    <n v="1367"/>
    <n v="18507"/>
    <s v="60669019"/>
    <s v="60669019"/>
    <m/>
    <m/>
    <m/>
    <m/>
    <m/>
    <m/>
    <s v="SOLRECOUP"/>
    <s v="SOLRECOUP"/>
    <s v="POARECOUP"/>
    <n v="21324469"/>
    <n v="-451.99"/>
    <m/>
    <s v="Y"/>
    <n v="2"/>
    <d v="2023-07-03T19:42:51"/>
    <s v="N"/>
    <m/>
    <m/>
    <s v="Expert Disbursement"/>
    <m/>
    <s v="N"/>
    <n v="0"/>
    <n v="-75.33"/>
    <x v="3"/>
    <s v="VALIDATED"/>
    <n v="1"/>
    <s v="01.11.80.308.2013.0000"/>
    <n v="-75.33"/>
    <s v="11"/>
    <s v="2013"/>
    <n v="8557.450000000001"/>
    <n v="-75.33"/>
    <s v="CREDITOR"/>
    <n v="0"/>
    <n v="0"/>
    <n v="-75.33"/>
    <n v="0"/>
    <n v="0"/>
  </r>
  <r>
    <n v="60669019"/>
    <s v="N"/>
    <n v="21324469"/>
    <s v="3000014920700004RC"/>
    <s v="CIVIL"/>
    <d v="2023-06-23T00:00:00"/>
    <d v="2023-07-03T19:42:50"/>
    <m/>
    <d v="2023-07-03T00:00:00"/>
    <n v="1367"/>
    <n v="18507"/>
    <s v="60669019"/>
    <s v="60669019"/>
    <m/>
    <m/>
    <m/>
    <m/>
    <m/>
    <m/>
    <s v="SOLRECOUP"/>
    <s v="SOLRECOUP"/>
    <s v="POARECOUP"/>
    <n v="21324469"/>
    <n v="-451.99"/>
    <m/>
    <s v="Y"/>
    <n v="1"/>
    <d v="2023-07-03T19:42:51"/>
    <s v="N"/>
    <m/>
    <m/>
    <s v="Expert Disbursement"/>
    <m/>
    <s v="N"/>
    <n v="-376.66"/>
    <n v="0"/>
    <x v="3"/>
    <s v="VALIDATED"/>
    <n v="1"/>
    <s v="01.11.80.308.2013.0000"/>
    <n v="-376.66"/>
    <s v="11"/>
    <s v="2013"/>
    <n v="8557.450000000001"/>
    <n v="-376.66"/>
    <s v="CREDITOR"/>
    <n v="0"/>
    <n v="0"/>
    <n v="-376.66"/>
    <n v="0"/>
    <n v="0"/>
  </r>
  <r>
    <n v="10289393"/>
    <s v="N"/>
    <n v="21338278"/>
    <s v="3000006154410012"/>
    <s v="CIVIL"/>
    <d v="2023-06-27T00:00:00"/>
    <d v="2023-07-06T19:21:01"/>
    <m/>
    <d v="2023-07-06T00:00:00"/>
    <n v="1367"/>
    <n v="18507"/>
    <s v="10289393"/>
    <s v="10289393"/>
    <m/>
    <m/>
    <n v="22767498"/>
    <m/>
    <m/>
    <m/>
    <s v="SOLFIN"/>
    <s v="SOLFIN"/>
    <s v="CCMS"/>
    <n v="21338278"/>
    <n v="6851.03"/>
    <m/>
    <s v="N"/>
    <n v="16"/>
    <d v="2023-07-06T19:21:16"/>
    <s v="Y"/>
    <s v="Preparation - drafting statement"/>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48"/>
    <d v="2023-07-06T19:21:16"/>
    <s v="Y"/>
    <s v="Report - other report"/>
    <s v="Prescribed Hourly Rates"/>
    <s v="Profit Cost"/>
    <s v="Jonathan Cunningham"/>
    <s v="Y"/>
    <n v="6.86"/>
    <n v="1.37"/>
    <x v="4"/>
    <s v="VALIDATED"/>
    <n v="1"/>
    <s v="01.11.80.307.6100.0000"/>
    <n v="6.86"/>
    <s v="11"/>
    <s v="6100"/>
    <n v="8557.450000000001"/>
    <n v="6.86"/>
    <s v="CREDITOR"/>
    <n v="0"/>
    <n v="0"/>
    <n v="0"/>
    <n v="0"/>
    <n v="6.86"/>
  </r>
  <r>
    <n v="10289393"/>
    <s v="N"/>
    <n v="21340017"/>
    <s v="3000006154410001RC"/>
    <s v="CIVIL"/>
    <d v="2023-06-27T00:00:00"/>
    <d v="2023-07-06T19:54:22"/>
    <m/>
    <d v="2023-07-06T00:00:00"/>
    <n v="1367"/>
    <n v="18507"/>
    <s v="10289393"/>
    <s v="10289393"/>
    <m/>
    <m/>
    <m/>
    <m/>
    <m/>
    <m/>
    <s v="SOLRECOUP"/>
    <s v="SOLRECOUP"/>
    <s v="POARECOUP"/>
    <n v="21340017"/>
    <n v="-215"/>
    <m/>
    <s v="Y"/>
    <n v="2"/>
    <d v="2023-07-06T19:54:23"/>
    <s v="N"/>
    <m/>
    <m/>
    <s v="Non Expert Disbursement"/>
    <m/>
    <s v="N"/>
    <n v="0"/>
    <n v="0"/>
    <x v="4"/>
    <s v="VALIDATED"/>
    <n v="1"/>
    <s v="01.11.80.000.0000.0000"/>
    <n v="0"/>
    <s v="11"/>
    <s v="0000"/>
    <n v="8557.450000000001"/>
    <n v="0"/>
    <s v="CREDITOR"/>
    <n v="0"/>
    <n v="0"/>
    <n v="0"/>
    <n v="0"/>
    <n v="0"/>
  </r>
  <r>
    <n v="10289393"/>
    <s v="N"/>
    <n v="21340017"/>
    <s v="3000006154410001RC"/>
    <s v="CIVIL"/>
    <d v="2023-06-27T00:00:00"/>
    <d v="2023-07-06T19:54:22"/>
    <m/>
    <d v="2023-07-06T00:00:00"/>
    <n v="1367"/>
    <n v="18507"/>
    <s v="10289393"/>
    <s v="10289393"/>
    <m/>
    <m/>
    <m/>
    <m/>
    <m/>
    <m/>
    <s v="SOLRECOUP"/>
    <s v="SOLRECOUP"/>
    <s v="POARECOUP"/>
    <n v="21340017"/>
    <n v="-215"/>
    <m/>
    <s v="Y"/>
    <n v="1"/>
    <d v="2023-07-06T19:54:23"/>
    <s v="N"/>
    <m/>
    <m/>
    <s v="Non Expert Disbursement"/>
    <m/>
    <s v="N"/>
    <n v="-215"/>
    <n v="0"/>
    <x v="4"/>
    <s v="VALIDATED"/>
    <n v="1"/>
    <s v="01.11.80.307.2013.0000"/>
    <n v="-215"/>
    <s v="11"/>
    <s v="2013"/>
    <n v="8557.450000000001"/>
    <n v="-215"/>
    <s v="CREDITOR"/>
    <n v="0"/>
    <n v="0"/>
    <n v="-215"/>
    <n v="0"/>
    <n v="0"/>
  </r>
  <r>
    <n v="10289393"/>
    <s v="N"/>
    <n v="21340018"/>
    <s v="3000006154410010RC"/>
    <s v="CIVIL"/>
    <d v="2023-06-27T00:00:00"/>
    <d v="2023-07-06T19:54:22"/>
    <m/>
    <d v="2023-07-06T00:00:00"/>
    <n v="1367"/>
    <n v="18507"/>
    <s v="10289393"/>
    <s v="10289393"/>
    <m/>
    <m/>
    <m/>
    <m/>
    <m/>
    <m/>
    <s v="SOLRECOUP"/>
    <s v="SOLRECOUP"/>
    <s v="POARECOUP"/>
    <n v="21340018"/>
    <n v="-504.23"/>
    <m/>
    <s v="Y"/>
    <n v="2"/>
    <d v="2023-07-06T19:54:23"/>
    <s v="N"/>
    <m/>
    <m/>
    <s v="Non Expert Disbursement"/>
    <m/>
    <s v="N"/>
    <n v="0"/>
    <n v="-84.04000000000001"/>
    <x v="4"/>
    <s v="VALIDATED"/>
    <n v="1"/>
    <s v="01.11.80.307.2013.0000"/>
    <n v="-84.04000000000001"/>
    <s v="11"/>
    <s v="2013"/>
    <n v="8557.450000000001"/>
    <n v="-84.04000000000001"/>
    <s v="CREDITOR"/>
    <n v="0"/>
    <n v="0"/>
    <n v="-84.04000000000001"/>
    <n v="0"/>
    <n v="0"/>
  </r>
  <r>
    <n v="10289393"/>
    <s v="N"/>
    <n v="21340018"/>
    <s v="3000006154410010RC"/>
    <s v="CIVIL"/>
    <d v="2023-06-27T00:00:00"/>
    <d v="2023-07-06T19:54:22"/>
    <m/>
    <d v="2023-07-06T00:00:00"/>
    <n v="1367"/>
    <n v="18507"/>
    <s v="10289393"/>
    <s v="10289393"/>
    <m/>
    <m/>
    <m/>
    <m/>
    <m/>
    <m/>
    <s v="SOLRECOUP"/>
    <s v="SOLRECOUP"/>
    <s v="POARECOUP"/>
    <n v="21340018"/>
    <n v="-504.23"/>
    <m/>
    <s v="Y"/>
    <n v="1"/>
    <d v="2023-07-06T19:54:23"/>
    <s v="N"/>
    <m/>
    <m/>
    <s v="Non Expert Disbursement"/>
    <m/>
    <s v="N"/>
    <n v="-420.19"/>
    <n v="0"/>
    <x v="4"/>
    <s v="VALIDATED"/>
    <n v="1"/>
    <s v="01.11.80.307.2013.0000"/>
    <n v="-420.19"/>
    <s v="11"/>
    <s v="2013"/>
    <n v="8557.450000000001"/>
    <n v="-420.19"/>
    <s v="CREDITOR"/>
    <n v="0"/>
    <n v="0"/>
    <n v="-420.19"/>
    <n v="0"/>
    <n v="0"/>
  </r>
  <r>
    <n v="10289393"/>
    <s v="N"/>
    <n v="21340019"/>
    <s v="3000006154410008RC"/>
    <s v="CIVIL"/>
    <d v="2023-06-27T00:00:00"/>
    <d v="2023-07-06T19:54:22"/>
    <m/>
    <d v="2023-07-06T00:00:00"/>
    <n v="1367"/>
    <n v="18507"/>
    <s v="10289393"/>
    <s v="10289393"/>
    <m/>
    <m/>
    <m/>
    <m/>
    <m/>
    <m/>
    <s v="SOLRECOUP"/>
    <s v="SOLRECOUP"/>
    <s v="POARECOUP"/>
    <n v="21340019"/>
    <n v="-167"/>
    <m/>
    <s v="Y"/>
    <n v="2"/>
    <d v="2023-07-06T19:54:23"/>
    <s v="N"/>
    <m/>
    <m/>
    <s v="Non Expert Disbursement"/>
    <m/>
    <s v="N"/>
    <n v="0"/>
    <n v="0"/>
    <x v="4"/>
    <s v="VALIDATED"/>
    <n v="1"/>
    <s v="01.11.80.000.0000.0000"/>
    <n v="0"/>
    <s v="11"/>
    <s v="0000"/>
    <n v="8557.450000000001"/>
    <n v="0"/>
    <s v="CREDITOR"/>
    <n v="0"/>
    <n v="0"/>
    <n v="0"/>
    <n v="0"/>
    <n v="0"/>
  </r>
  <r>
    <n v="10289393"/>
    <s v="N"/>
    <n v="21340019"/>
    <s v="3000006154410008RC"/>
    <s v="CIVIL"/>
    <d v="2023-06-27T00:00:00"/>
    <d v="2023-07-06T19:54:22"/>
    <m/>
    <d v="2023-07-06T00:00:00"/>
    <n v="1367"/>
    <n v="18507"/>
    <s v="10289393"/>
    <s v="10289393"/>
    <m/>
    <m/>
    <m/>
    <m/>
    <m/>
    <m/>
    <s v="SOLRECOUP"/>
    <s v="SOLRECOUP"/>
    <s v="POARECOUP"/>
    <n v="21340019"/>
    <n v="-167"/>
    <m/>
    <s v="Y"/>
    <n v="1"/>
    <d v="2023-07-06T19:54:23"/>
    <s v="N"/>
    <m/>
    <m/>
    <s v="Non Expert Disbursement"/>
    <m/>
    <s v="N"/>
    <n v="-167"/>
    <n v="0"/>
    <x v="4"/>
    <s v="VALIDATED"/>
    <n v="1"/>
    <s v="01.11.80.307.2013.0000"/>
    <n v="-167"/>
    <s v="11"/>
    <s v="2013"/>
    <n v="8557.450000000001"/>
    <n v="-167"/>
    <s v="CREDITOR"/>
    <n v="0"/>
    <n v="0"/>
    <n v="-167"/>
    <n v="0"/>
    <n v="0"/>
  </r>
  <r>
    <n v="10289393"/>
    <s v="N"/>
    <n v="21338278"/>
    <s v="3000006154410012"/>
    <s v="CIVIL"/>
    <d v="2023-06-27T00:00:00"/>
    <d v="2023-07-06T19:21:01"/>
    <m/>
    <d v="2023-07-06T00:00:00"/>
    <n v="1367"/>
    <n v="18507"/>
    <s v="10289393"/>
    <s v="10289393"/>
    <m/>
    <m/>
    <n v="22767498"/>
    <m/>
    <m/>
    <m/>
    <s v="SOLFIN"/>
    <s v="SOLFIN"/>
    <s v="CCMS"/>
    <n v="21338278"/>
    <n v="6851.03"/>
    <m/>
    <s v="N"/>
    <n v="77"/>
    <d v="2023-07-06T19:21:16"/>
    <s v="N"/>
    <s v="Level 3 &amp; Level 4 Fixed Fee"/>
    <s v="Private Law Children"/>
    <s v="Profit Cost"/>
    <s v="Jonathan Cunningham"/>
    <s v="N"/>
    <n v="0"/>
    <n v="0"/>
    <x v="4"/>
    <s v="VALIDATED"/>
    <n v="1"/>
    <s v="01.11.80.307.6100.0000"/>
    <n v="0"/>
    <s v="11"/>
    <s v="6100"/>
    <n v="8557.450000000001"/>
    <n v="0"/>
    <s v="CREDITOR"/>
    <n v="0"/>
    <n v="0"/>
    <n v="0"/>
    <n v="0"/>
    <n v="0"/>
  </r>
  <r>
    <n v="10289393"/>
    <s v="N"/>
    <n v="21338278"/>
    <s v="3000006154410012"/>
    <s v="CIVIL"/>
    <d v="2023-06-27T00:00:00"/>
    <d v="2023-07-06T19:21:01"/>
    <m/>
    <d v="2023-07-06T00:00:00"/>
    <n v="1367"/>
    <n v="18507"/>
    <s v="10289393"/>
    <s v="10289393"/>
    <m/>
    <m/>
    <n v="22767498"/>
    <m/>
    <m/>
    <m/>
    <s v="SOLFIN"/>
    <s v="SOLFIN"/>
    <s v="CCMS"/>
    <n v="21338278"/>
    <n v="6851.03"/>
    <m/>
    <s v="N"/>
    <n v="5"/>
    <d v="2023-07-06T19:21:16"/>
    <s v="Y"/>
    <s v="Preparation - drafting statement"/>
    <s v="Prescribed Hourly Rates"/>
    <s v="Profit Cost"/>
    <s v="Jonathan Cunningham"/>
    <s v="Y"/>
    <n v="41.18"/>
    <n v="8.24"/>
    <x v="4"/>
    <s v="VALIDATED"/>
    <n v="1"/>
    <s v="01.11.80.307.6100.0000"/>
    <n v="41.18"/>
    <s v="11"/>
    <s v="6100"/>
    <n v="8557.450000000001"/>
    <n v="41.18"/>
    <s v="CREDITOR"/>
    <n v="0"/>
    <n v="0"/>
    <n v="0"/>
    <n v="0"/>
    <n v="41.18"/>
  </r>
  <r>
    <n v="10289393"/>
    <s v="N"/>
    <n v="21338278"/>
    <s v="3000006154410012"/>
    <s v="CIVIL"/>
    <d v="2023-06-27T00:00:00"/>
    <d v="2023-07-06T19:21:01"/>
    <m/>
    <d v="2023-07-06T00:00:00"/>
    <n v="1367"/>
    <n v="18507"/>
    <s v="10289393"/>
    <s v="10289393"/>
    <m/>
    <m/>
    <n v="22767498"/>
    <m/>
    <m/>
    <m/>
    <s v="SOLFIN"/>
    <s v="SOLFIN"/>
    <s v="CCMS"/>
    <n v="21338278"/>
    <n v="6851.03"/>
    <m/>
    <s v="N"/>
    <n v="38"/>
    <d v="2023-07-06T19:21:16"/>
    <s v="Y"/>
    <s v="Preparation - other"/>
    <s v="Prescribed Hourly Rates"/>
    <s v="Profit Cost"/>
    <s v="Jonathan Cunningham"/>
    <s v="Y"/>
    <n v="68.63"/>
    <n v="13.73"/>
    <x v="4"/>
    <s v="VALIDATED"/>
    <n v="1"/>
    <s v="01.11.80.307.6100.0000"/>
    <n v="68.63"/>
    <s v="11"/>
    <s v="6100"/>
    <n v="8557.450000000001"/>
    <n v="68.63"/>
    <s v="CREDITOR"/>
    <n v="0"/>
    <n v="0"/>
    <n v="0"/>
    <n v="0"/>
    <n v="68.63"/>
  </r>
  <r>
    <n v="10289393"/>
    <s v="N"/>
    <n v="21338278"/>
    <s v="3000006154410012"/>
    <s v="CIVIL"/>
    <d v="2023-06-27T00:00:00"/>
    <d v="2023-07-06T19:21:01"/>
    <m/>
    <d v="2023-07-06T00:00:00"/>
    <n v="1367"/>
    <n v="18507"/>
    <s v="10289393"/>
    <s v="10289393"/>
    <m/>
    <m/>
    <n v="22767498"/>
    <m/>
    <m/>
    <m/>
    <s v="SOLFIN"/>
    <s v="SOLFIN"/>
    <s v="CCMS"/>
    <n v="21338278"/>
    <n v="6851.03"/>
    <m/>
    <s v="N"/>
    <n v="45"/>
    <d v="2023-07-06T19:21:16"/>
    <s v="Y"/>
    <s v="Report - other report"/>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39"/>
    <d v="2023-07-06T19:21:16"/>
    <s v="Y"/>
    <s v="Attendance upon client"/>
    <s v="Prescribed Hourly Rates"/>
    <s v="Profit Cost"/>
    <s v="Jonathan Cunningham"/>
    <s v="Y"/>
    <n v="48.04"/>
    <n v="9.609999999999999"/>
    <x v="4"/>
    <s v="VALIDATED"/>
    <n v="1"/>
    <s v="01.11.80.307.6100.0000"/>
    <n v="48.04"/>
    <s v="11"/>
    <s v="6100"/>
    <n v="8557.450000000001"/>
    <n v="48.04"/>
    <s v="CREDITOR"/>
    <n v="0"/>
    <n v="0"/>
    <n v="0"/>
    <n v="0"/>
    <n v="48.04"/>
  </r>
  <r>
    <n v="10289393"/>
    <s v="N"/>
    <n v="21338278"/>
    <s v="3000006154410012"/>
    <s v="CIVIL"/>
    <d v="2023-06-27T00:00:00"/>
    <d v="2023-07-06T19:21:01"/>
    <m/>
    <d v="2023-07-06T00:00:00"/>
    <n v="1367"/>
    <n v="18507"/>
    <s v="10289393"/>
    <s v="10289393"/>
    <m/>
    <m/>
    <n v="22767498"/>
    <m/>
    <m/>
    <m/>
    <s v="SOLFIN"/>
    <s v="SOLFIN"/>
    <s v="CCMS"/>
    <n v="21338278"/>
    <n v="6851.03"/>
    <m/>
    <s v="N"/>
    <n v="42"/>
    <d v="2023-07-06T19:21:16"/>
    <s v="Y"/>
    <s v="Routine Letter Out"/>
    <s v="Prescribed Hourly Rates"/>
    <s v="Profit Cost"/>
    <s v="Jonathan Cunningham"/>
    <s v="Y"/>
    <n v="1917"/>
    <n v="383.39"/>
    <x v="4"/>
    <s v="VALIDATED"/>
    <n v="1"/>
    <s v="01.11.80.307.6100.0000"/>
    <n v="1917"/>
    <s v="11"/>
    <s v="6100"/>
    <n v="8557.450000000001"/>
    <n v="1917"/>
    <s v="CREDITOR"/>
    <n v="0"/>
    <n v="0"/>
    <n v="0"/>
    <n v="0"/>
    <n v="1917"/>
  </r>
  <r>
    <n v="61716851"/>
    <s v="N"/>
    <n v="21323428"/>
    <s v="3000015805300011"/>
    <s v="CIVIL"/>
    <d v="2023-06-30T00:00:00"/>
    <d v="2023-07-03T19:05:56"/>
    <m/>
    <d v="2023-07-03T00:00:00"/>
    <n v="1367"/>
    <n v="18507"/>
    <s v="61716851"/>
    <s v="61716851"/>
    <m/>
    <m/>
    <n v="22796970"/>
    <m/>
    <m/>
    <m/>
    <s v="SOLPOA"/>
    <s v="SOLPOA"/>
    <s v="CCMS"/>
    <n v="21323428"/>
    <n v="206.88"/>
    <m/>
    <s v="N"/>
    <n v="1"/>
    <d v="2023-07-03T19:05:57"/>
    <s v="N"/>
    <s v="Expert Cost"/>
    <s v="Expert Cost"/>
    <s v="Expert Disbursement"/>
    <s v="Charlotte Clark"/>
    <s v="N"/>
    <n v="172.4"/>
    <n v="34.48"/>
    <x v="3"/>
    <s v="VALIDATED"/>
    <n v="1"/>
    <s v="01.11.80.308.2012.0000"/>
    <n v="172.4"/>
    <s v="11"/>
    <s v="2012"/>
    <n v="8557.450000000001"/>
    <n v="172.4"/>
    <s v="CREDITOR"/>
    <n v="172.4"/>
    <n v="0"/>
    <n v="0"/>
    <n v="0"/>
    <n v="0"/>
  </r>
  <r>
    <n v="10289393"/>
    <s v="N"/>
    <n v="21338278"/>
    <s v="3000006154410012"/>
    <s v="CIVIL"/>
    <d v="2023-06-27T00:00:00"/>
    <d v="2023-07-06T19:21:01"/>
    <m/>
    <d v="2023-07-06T00:00:00"/>
    <n v="1367"/>
    <n v="18507"/>
    <s v="10289393"/>
    <s v="10289393"/>
    <m/>
    <m/>
    <n v="22767498"/>
    <m/>
    <m/>
    <m/>
    <s v="SOLFIN"/>
    <s v="SOLFIN"/>
    <s v="CCMS"/>
    <n v="21338278"/>
    <n v="6851.03"/>
    <m/>
    <s v="N"/>
    <n v="20"/>
    <d v="2023-07-06T19:21:16"/>
    <s v="Y"/>
    <s v="Report - other report"/>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52"/>
    <d v="2023-07-06T19:21:16"/>
    <s v="Y"/>
    <s v="Preparation - drafting application"/>
    <s v="Prescribed Hourly Rates"/>
    <s v="Profit Cost"/>
    <s v="Jonathan Cunningham"/>
    <s v="Y"/>
    <n v="27.45"/>
    <n v="5.49"/>
    <x v="4"/>
    <s v="VALIDATED"/>
    <n v="1"/>
    <s v="01.11.80.307.6100.0000"/>
    <n v="27.45"/>
    <s v="11"/>
    <s v="6100"/>
    <n v="8557.450000000001"/>
    <n v="27.45"/>
    <s v="CREDITOR"/>
    <n v="0"/>
    <n v="0"/>
    <n v="0"/>
    <n v="0"/>
    <n v="27.45"/>
  </r>
  <r>
    <n v="60669042"/>
    <s v="N"/>
    <n v="21319074"/>
    <s v="3000014920730001"/>
    <s v="CIVIL"/>
    <d v="2023-06-23T00:00:00"/>
    <d v="2023-07-03T19:01:49"/>
    <m/>
    <d v="2023-07-03T00:00:00"/>
    <n v="1367"/>
    <n v="18507"/>
    <s v="60669042"/>
    <s v="60669042"/>
    <m/>
    <m/>
    <n v="22755754"/>
    <m/>
    <m/>
    <m/>
    <s v="SOLFIN"/>
    <s v="SOLFIN"/>
    <s v="CCMS"/>
    <n v="21319074"/>
    <n v="0"/>
    <m/>
    <s v="N"/>
    <n v="1"/>
    <d v="2023-07-03T19:02:10"/>
    <s v="N"/>
    <s v="NIL BILL"/>
    <s v="Public Law Children"/>
    <s v="Profit Cost"/>
    <s v="Jane Hayward"/>
    <s v="N"/>
    <n v="0"/>
    <n v="0"/>
    <x v="3"/>
    <s v="VALIDATED"/>
    <n v="1"/>
    <s v="01.11.80.308.6100.0000"/>
    <n v="0"/>
    <s v="11"/>
    <s v="6100"/>
    <n v="8557.450000000001"/>
    <n v="0"/>
    <s v="CREDITOR"/>
    <n v="0"/>
    <n v="0"/>
    <n v="0"/>
    <n v="0"/>
    <n v="0"/>
  </r>
  <r>
    <n v="10289393"/>
    <s v="N"/>
    <n v="21338278"/>
    <s v="3000006154410012"/>
    <s v="CIVIL"/>
    <d v="2023-06-27T00:00:00"/>
    <d v="2023-07-06T19:21:01"/>
    <m/>
    <d v="2023-07-06T00:00:00"/>
    <n v="1367"/>
    <n v="18507"/>
    <s v="10289393"/>
    <s v="10289393"/>
    <m/>
    <m/>
    <n v="22767498"/>
    <m/>
    <m/>
    <m/>
    <s v="SOLFIN"/>
    <s v="SOLFIN"/>
    <s v="CCMS"/>
    <n v="21338278"/>
    <n v="6851.03"/>
    <m/>
    <s v="N"/>
    <n v="26"/>
    <d v="2023-07-06T19:21:16"/>
    <s v="Y"/>
    <s v="Preparation - other"/>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71"/>
    <d v="2023-07-06T19:21:16"/>
    <s v="Y"/>
    <s v="Preparation - drafting application"/>
    <s v="Prescribed Hourly Rates"/>
    <s v="Profit Cost"/>
    <s v="Jonathan Cunningham"/>
    <s v="Y"/>
    <n v="13.73"/>
    <n v="2.75"/>
    <x v="4"/>
    <s v="VALIDATED"/>
    <n v="1"/>
    <s v="01.11.80.307.6100.0000"/>
    <n v="13.73"/>
    <s v="11"/>
    <s v="6100"/>
    <n v="8557.450000000001"/>
    <n v="13.73"/>
    <s v="CREDITOR"/>
    <n v="0"/>
    <n v="0"/>
    <n v="0"/>
    <n v="0"/>
    <n v="13.73"/>
  </r>
  <r>
    <n v="60669019"/>
    <s v="N"/>
    <n v="21319116"/>
    <s v="3000014920700005"/>
    <s v="CIVIL"/>
    <d v="2023-06-23T00:00:00"/>
    <d v="2023-07-03T19:01:49"/>
    <m/>
    <d v="2023-07-03T00:00:00"/>
    <n v="1367"/>
    <n v="18507"/>
    <s v="60669019"/>
    <s v="60669019"/>
    <m/>
    <m/>
    <n v="22755706"/>
    <m/>
    <m/>
    <m/>
    <s v="SOLFIN"/>
    <s v="SOLFIN"/>
    <s v="CCMS"/>
    <n v="21319116"/>
    <n v="8051.91"/>
    <m/>
    <s v="N"/>
    <n v="9"/>
    <d v="2023-07-03T19:02:11"/>
    <s v="Y"/>
    <s v="Solicitor Travel Mileage"/>
    <s v="Public Law Children"/>
    <s v="Non Expert Disbursement"/>
    <s v="Jane Hayward"/>
    <s v="Y"/>
    <n v="16.2"/>
    <n v="3.24"/>
    <x v="3"/>
    <s v="VALIDATED"/>
    <n v="1"/>
    <s v="01.11.80.308.6300.0000"/>
    <n v="16.2"/>
    <s v="11"/>
    <s v="6300"/>
    <n v="8557.450000000001"/>
    <n v="16.2"/>
    <s v="CREDITOR"/>
    <n v="0"/>
    <n v="0"/>
    <n v="0"/>
    <n v="0"/>
    <n v="16.2"/>
  </r>
  <r>
    <n v="10289393"/>
    <s v="N"/>
    <n v="21338278"/>
    <s v="3000006154410012"/>
    <s v="CIVIL"/>
    <d v="2023-06-27T00:00:00"/>
    <d v="2023-07-06T19:21:01"/>
    <m/>
    <d v="2023-07-06T00:00:00"/>
    <n v="1367"/>
    <n v="18507"/>
    <s v="10289393"/>
    <s v="10289393"/>
    <m/>
    <m/>
    <n v="22767498"/>
    <m/>
    <m/>
    <m/>
    <s v="SOLFIN"/>
    <s v="SOLFIN"/>
    <s v="CCMS"/>
    <n v="21338278"/>
    <n v="6851.03"/>
    <m/>
    <s v="N"/>
    <n v="11"/>
    <d v="2023-07-06T19:21:16"/>
    <s v="Y"/>
    <s v="Preparation - drafting instructions"/>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57"/>
    <d v="2023-07-06T19:21:16"/>
    <s v="Y"/>
    <s v="Preparation - drafting instructions"/>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7"/>
    <d v="2023-07-06T19:21:16"/>
    <s v="Y"/>
    <s v="Preparation - other"/>
    <s v="Prescribed Hourly Rates"/>
    <s v="Profit Cost"/>
    <s v="Jonathan Cunningham"/>
    <s v="Y"/>
    <n v="89.20999999999999"/>
    <n v="17.84"/>
    <x v="4"/>
    <s v="VALIDATED"/>
    <n v="1"/>
    <s v="01.11.80.307.6100.0000"/>
    <n v="89.20999999999999"/>
    <s v="11"/>
    <s v="6100"/>
    <n v="8557.450000000001"/>
    <n v="89.20999999999999"/>
    <s v="CREDITOR"/>
    <n v="0"/>
    <n v="0"/>
    <n v="0"/>
    <n v="0"/>
    <n v="89.20999999999999"/>
  </r>
  <r>
    <n v="60669019"/>
    <s v="N"/>
    <n v="21319116"/>
    <s v="3000014920700005"/>
    <s v="CIVIL"/>
    <d v="2023-06-23T00:00:00"/>
    <d v="2023-07-03T19:01:49"/>
    <m/>
    <d v="2023-07-03T00:00:00"/>
    <n v="1367"/>
    <n v="18507"/>
    <s v="60669019"/>
    <s v="60669019"/>
    <m/>
    <m/>
    <n v="22755706"/>
    <m/>
    <m/>
    <m/>
    <s v="SOLFIN"/>
    <s v="SOLFIN"/>
    <s v="CCMS"/>
    <n v="21319116"/>
    <n v="8051.91"/>
    <m/>
    <s v="N"/>
    <n v="5"/>
    <d v="2023-07-03T19:02:11"/>
    <s v="Y"/>
    <s v="Solicitor Travel Mileage"/>
    <s v="Public Law Children"/>
    <s v="Non Expert Disbursement"/>
    <s v="Jane Hayward"/>
    <s v="Y"/>
    <n v="16.2"/>
    <n v="3.24"/>
    <x v="3"/>
    <s v="VALIDATED"/>
    <n v="1"/>
    <s v="01.11.80.308.6300.0000"/>
    <n v="16.2"/>
    <s v="11"/>
    <s v="6300"/>
    <n v="8557.450000000001"/>
    <n v="16.2"/>
    <s v="CREDITOR"/>
    <n v="0"/>
    <n v="0"/>
    <n v="0"/>
    <n v="0"/>
    <n v="16.2"/>
  </r>
  <r>
    <n v="60669019"/>
    <s v="N"/>
    <n v="21319116"/>
    <s v="3000014920700005"/>
    <s v="CIVIL"/>
    <d v="2023-06-23T00:00:00"/>
    <d v="2023-07-03T19:01:49"/>
    <m/>
    <d v="2023-07-03T00:00:00"/>
    <n v="1367"/>
    <n v="18507"/>
    <s v="60669019"/>
    <s v="60669019"/>
    <m/>
    <m/>
    <n v="22755706"/>
    <m/>
    <m/>
    <m/>
    <s v="SOLFIN"/>
    <s v="SOLFIN"/>
    <s v="CCMS"/>
    <n v="21319116"/>
    <n v="8051.91"/>
    <m/>
    <s v="N"/>
    <n v="6"/>
    <d v="2023-07-03T19:02:11"/>
    <s v="Y"/>
    <s v="Solicitor Travel Expenses"/>
    <s v="Public Law Children"/>
    <s v="Non Expert Disbursement"/>
    <s v="Jane Hayward"/>
    <s v="Y"/>
    <n v="5.2"/>
    <n v="1.04"/>
    <x v="3"/>
    <s v="VALIDATED"/>
    <n v="1"/>
    <s v="01.11.80.308.6300.0000"/>
    <n v="5.2"/>
    <s v="11"/>
    <s v="6300"/>
    <n v="8557.450000000001"/>
    <n v="5.2"/>
    <s v="CREDITOR"/>
    <n v="0"/>
    <n v="0"/>
    <n v="0"/>
    <n v="0"/>
    <n v="5.2"/>
  </r>
  <r>
    <n v="10289393"/>
    <s v="N"/>
    <n v="21338278"/>
    <s v="3000006154410012"/>
    <s v="CIVIL"/>
    <d v="2023-06-27T00:00:00"/>
    <d v="2023-07-06T19:21:01"/>
    <m/>
    <d v="2023-07-06T00:00:00"/>
    <n v="1367"/>
    <n v="18507"/>
    <s v="10289393"/>
    <s v="10289393"/>
    <m/>
    <m/>
    <n v="22767498"/>
    <m/>
    <m/>
    <m/>
    <s v="SOLFIN"/>
    <s v="SOLFIN"/>
    <s v="CCMS"/>
    <n v="21338278"/>
    <n v="6851.03"/>
    <m/>
    <s v="N"/>
    <n v="10"/>
    <d v="2023-07-06T19:21:16"/>
    <s v="Y"/>
    <s v="Preparation - other"/>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60"/>
    <d v="2023-07-06T19:21:16"/>
    <s v="Y"/>
    <s v="Preparation - drafting bill/claim f"/>
    <s v="Prescribed Hourly Rates"/>
    <s v="Profit Cost"/>
    <s v="James Birch"/>
    <s v="Y"/>
    <n v="5.49"/>
    <n v="1.1"/>
    <x v="4"/>
    <s v="VALIDATED"/>
    <n v="1"/>
    <s v="01.11.80.307.6100.0000"/>
    <n v="5.49"/>
    <s v="11"/>
    <s v="6100"/>
    <n v="8557.450000000001"/>
    <n v="5.49"/>
    <s v="CREDITOR"/>
    <n v="0"/>
    <n v="0"/>
    <n v="0"/>
    <n v="0"/>
    <n v="5.49"/>
  </r>
  <r>
    <n v="10289393"/>
    <s v="N"/>
    <n v="21338278"/>
    <s v="3000006154410012"/>
    <s v="CIVIL"/>
    <d v="2023-06-27T00:00:00"/>
    <d v="2023-07-06T19:21:01"/>
    <m/>
    <d v="2023-07-06T00:00:00"/>
    <n v="1367"/>
    <n v="18507"/>
    <s v="10289393"/>
    <s v="10289393"/>
    <m/>
    <m/>
    <n v="22767498"/>
    <m/>
    <m/>
    <m/>
    <s v="SOLFIN"/>
    <s v="SOLFIN"/>
    <s v="CCMS"/>
    <n v="21338278"/>
    <n v="6851.03"/>
    <m/>
    <s v="N"/>
    <n v="62"/>
    <d v="2023-07-06T19:21:16"/>
    <s v="Y"/>
    <s v="Report - other report"/>
    <s v="Prescribed Hourly Rates"/>
    <s v="Profit Cost"/>
    <s v="Jonathan Cunningham"/>
    <s v="Y"/>
    <n v="6.86"/>
    <n v="1.37"/>
    <x v="4"/>
    <s v="VALIDATED"/>
    <n v="1"/>
    <s v="01.11.80.307.6100.0000"/>
    <n v="6.86"/>
    <s v="11"/>
    <s v="6100"/>
    <n v="8557.450000000001"/>
    <n v="6.86"/>
    <s v="CREDITOR"/>
    <n v="0"/>
    <n v="0"/>
    <n v="0"/>
    <n v="0"/>
    <n v="6.86"/>
  </r>
  <r>
    <n v="60669019"/>
    <s v="N"/>
    <n v="21319116"/>
    <s v="3000014920700005"/>
    <s v="CIVIL"/>
    <d v="2023-06-23T00:00:00"/>
    <d v="2023-07-03T19:01:49"/>
    <m/>
    <d v="2023-07-03T00:00:00"/>
    <n v="1367"/>
    <n v="18507"/>
    <s v="60669019"/>
    <s v="60669019"/>
    <m/>
    <m/>
    <n v="22755706"/>
    <m/>
    <m/>
    <m/>
    <s v="SOLFIN"/>
    <s v="SOLFIN"/>
    <s v="CCMS"/>
    <n v="21319116"/>
    <n v="8051.91"/>
    <m/>
    <s v="N"/>
    <n v="1"/>
    <d v="2023-07-03T19:02:11"/>
    <s v="Y"/>
    <s v="Final Hearing Court Bundle/Advocate"/>
    <s v="Public Law Children"/>
    <s v="Advocacy"/>
    <s v="Jane Hayward"/>
    <s v="Y"/>
    <n v="318.6"/>
    <n v="63.72"/>
    <x v="3"/>
    <s v="VALIDATED"/>
    <n v="1"/>
    <s v="01.11.80.308.6100.0000"/>
    <n v="318.6"/>
    <s v="11"/>
    <s v="6100"/>
    <n v="8557.450000000001"/>
    <n v="318.6"/>
    <s v="CREDITOR"/>
    <n v="0"/>
    <n v="0"/>
    <n v="0"/>
    <n v="0"/>
    <n v="318.6"/>
  </r>
  <r>
    <n v="60669019"/>
    <s v="N"/>
    <n v="21319116"/>
    <s v="3000014920700005"/>
    <s v="CIVIL"/>
    <d v="2023-06-23T00:00:00"/>
    <d v="2023-07-03T19:01:49"/>
    <m/>
    <d v="2023-07-03T00:00:00"/>
    <n v="1367"/>
    <n v="18507"/>
    <s v="60669019"/>
    <s v="60669019"/>
    <m/>
    <m/>
    <n v="22755706"/>
    <m/>
    <m/>
    <m/>
    <s v="SOLFIN"/>
    <s v="SOLFIN"/>
    <s v="CCMS"/>
    <n v="21319116"/>
    <n v="8051.91"/>
    <m/>
    <s v="N"/>
    <n v="4"/>
    <d v="2023-07-03T19:02:11"/>
    <s v="Y"/>
    <s v="Independent Social Worker"/>
    <s v="Public Law Children"/>
    <s v="Expert Disbursement"/>
    <s v="Jane Hayward"/>
    <s v="Y"/>
    <n v="376.66"/>
    <n v="75.33"/>
    <x v="3"/>
    <s v="VALIDATED"/>
    <n v="1"/>
    <s v="01.11.80.308.6300.0000"/>
    <n v="376.66"/>
    <s v="11"/>
    <s v="6300"/>
    <n v="8557.450000000001"/>
    <n v="376.66"/>
    <s v="CREDITOR"/>
    <n v="0"/>
    <n v="0"/>
    <n v="0"/>
    <n v="0"/>
    <n v="376.66"/>
  </r>
  <r>
    <n v="10289393"/>
    <s v="N"/>
    <n v="21338278"/>
    <s v="3000006154410012"/>
    <s v="CIVIL"/>
    <d v="2023-06-27T00:00:00"/>
    <d v="2023-07-06T19:21:01"/>
    <m/>
    <d v="2023-07-06T00:00:00"/>
    <n v="1367"/>
    <n v="18507"/>
    <s v="10289393"/>
    <s v="10289393"/>
    <m/>
    <m/>
    <n v="22767498"/>
    <m/>
    <m/>
    <m/>
    <s v="SOLFIN"/>
    <s v="SOLFIN"/>
    <s v="CCMS"/>
    <n v="21338278"/>
    <n v="6851.03"/>
    <m/>
    <s v="N"/>
    <n v="6"/>
    <d v="2023-07-06T19:21:16"/>
    <s v="Y"/>
    <s v="Preparation - other"/>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58"/>
    <d v="2023-07-06T19:21:16"/>
    <s v="Y"/>
    <s v="Report - Welfare report"/>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72"/>
    <d v="2023-07-06T19:21:16"/>
    <s v="Y"/>
    <s v="Preparation - other"/>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2"/>
    <d v="2023-07-06T19:21:16"/>
    <s v="Y"/>
    <s v="Preparation - other"/>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8"/>
    <d v="2023-07-06T19:21:16"/>
    <s v="Y"/>
    <s v="Preparation - drafting statement"/>
    <s v="Prescribed Hourly Rates"/>
    <s v="Profit Cost"/>
    <s v="Jonathan Cunningham"/>
    <s v="Y"/>
    <n v="48.04"/>
    <n v="9.609999999999999"/>
    <x v="4"/>
    <s v="VALIDATED"/>
    <n v="1"/>
    <s v="01.11.80.307.6100.0000"/>
    <n v="48.04"/>
    <s v="11"/>
    <s v="6100"/>
    <n v="8557.450000000001"/>
    <n v="48.04"/>
    <s v="CREDITOR"/>
    <n v="0"/>
    <n v="0"/>
    <n v="0"/>
    <n v="0"/>
    <n v="48.04"/>
  </r>
  <r>
    <n v="10289393"/>
    <s v="N"/>
    <n v="21338278"/>
    <s v="3000006154410012"/>
    <s v="CIVIL"/>
    <d v="2023-06-27T00:00:00"/>
    <d v="2023-07-06T19:21:01"/>
    <m/>
    <d v="2023-07-06T00:00:00"/>
    <n v="1367"/>
    <n v="18507"/>
    <s v="10289393"/>
    <s v="10289393"/>
    <m/>
    <m/>
    <n v="22767498"/>
    <m/>
    <m/>
    <m/>
    <s v="SOLFIN"/>
    <s v="SOLFIN"/>
    <s v="CCMS"/>
    <n v="21338278"/>
    <n v="6851.03"/>
    <m/>
    <s v="N"/>
    <n v="28"/>
    <d v="2023-07-06T19:21:16"/>
    <s v="Y"/>
    <s v="Preparation - drafting instructions"/>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68"/>
    <d v="2023-07-06T19:21:16"/>
    <s v="Y"/>
    <s v="Preparation - other"/>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9"/>
    <d v="2023-07-06T19:21:16"/>
    <s v="Y"/>
    <s v="Preparation - other"/>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14"/>
    <d v="2023-07-06T19:21:16"/>
    <s v="Y"/>
    <s v="Report - other report"/>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13"/>
    <d v="2023-07-06T19:21:16"/>
    <s v="Y"/>
    <s v="Preparation - drafting statement"/>
    <s v="Prescribed Hourly Rates"/>
    <s v="Profit Cost"/>
    <s v="Jonathan Cunningham"/>
    <s v="Y"/>
    <n v="20.59"/>
    <n v="4.12"/>
    <x v="4"/>
    <s v="VALIDATED"/>
    <n v="1"/>
    <s v="01.11.80.307.6100.0000"/>
    <n v="20.59"/>
    <s v="11"/>
    <s v="6100"/>
    <n v="8557.450000000001"/>
    <n v="20.59"/>
    <s v="CREDITOR"/>
    <n v="0"/>
    <n v="0"/>
    <n v="0"/>
    <n v="0"/>
    <n v="20.59"/>
  </r>
  <r>
    <n v="10289393"/>
    <s v="N"/>
    <n v="21338278"/>
    <s v="3000006154410012"/>
    <s v="CIVIL"/>
    <d v="2023-06-27T00:00:00"/>
    <d v="2023-07-06T19:21:01"/>
    <m/>
    <d v="2023-07-06T00:00:00"/>
    <n v="1367"/>
    <n v="18507"/>
    <s v="10289393"/>
    <s v="10289393"/>
    <m/>
    <m/>
    <n v="22767498"/>
    <m/>
    <m/>
    <m/>
    <s v="SOLFIN"/>
    <s v="SOLFIN"/>
    <s v="CCMS"/>
    <n v="21338278"/>
    <n v="6851.03"/>
    <m/>
    <s v="N"/>
    <n v="54"/>
    <d v="2023-07-06T19:21:16"/>
    <s v="Y"/>
    <s v="Preparation - drafting instructions"/>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55"/>
    <d v="2023-07-06T19:21:16"/>
    <s v="Y"/>
    <s v="Preparation - other"/>
    <s v="Prescribed Hourly Rates"/>
    <s v="Profit Cost"/>
    <s v="Jonathan Cunningham"/>
    <s v="Y"/>
    <n v="34.31"/>
    <n v="6.86"/>
    <x v="4"/>
    <s v="VALIDATED"/>
    <n v="1"/>
    <s v="01.11.80.307.6100.0000"/>
    <n v="34.31"/>
    <s v="11"/>
    <s v="6100"/>
    <n v="8557.450000000001"/>
    <n v="34.31"/>
    <s v="CREDITOR"/>
    <n v="0"/>
    <n v="0"/>
    <n v="0"/>
    <n v="0"/>
    <n v="34.31"/>
  </r>
  <r>
    <n v="60669019"/>
    <s v="N"/>
    <n v="21319116"/>
    <s v="3000014920700005"/>
    <s v="CIVIL"/>
    <d v="2023-06-23T00:00:00"/>
    <d v="2023-07-03T19:01:49"/>
    <m/>
    <d v="2023-07-03T00:00:00"/>
    <n v="1367"/>
    <n v="18507"/>
    <s v="60669019"/>
    <s v="60669019"/>
    <m/>
    <m/>
    <n v="22755706"/>
    <m/>
    <m/>
    <m/>
    <s v="SOLFIN"/>
    <s v="SOLFIN"/>
    <s v="CCMS"/>
    <n v="21319116"/>
    <n v="8051.91"/>
    <m/>
    <s v="N"/>
    <n v="20"/>
    <d v="2023-07-03T19:02:11"/>
    <s v="Y"/>
    <s v="Solicitors Fixed Fee"/>
    <s v="Public Law Children"/>
    <s v="Profit Cost"/>
    <s v="Jane Hayward"/>
    <s v="Y"/>
    <n v="2630"/>
    <n v="526"/>
    <x v="3"/>
    <s v="VALIDATED"/>
    <n v="1"/>
    <s v="01.11.80.308.6100.0000"/>
    <n v="2630"/>
    <s v="11"/>
    <s v="6100"/>
    <n v="8557.450000000001"/>
    <n v="2630"/>
    <s v="CREDITOR"/>
    <n v="0"/>
    <n v="0"/>
    <n v="0"/>
    <n v="0"/>
    <n v="2630"/>
  </r>
  <r>
    <n v="60669019"/>
    <s v="N"/>
    <n v="21319116"/>
    <s v="3000014920700005"/>
    <s v="CIVIL"/>
    <d v="2023-06-23T00:00:00"/>
    <d v="2023-07-03T19:01:49"/>
    <m/>
    <d v="2023-07-03T00:00:00"/>
    <n v="1367"/>
    <n v="18507"/>
    <s v="60669019"/>
    <s v="60669019"/>
    <m/>
    <m/>
    <n v="22755706"/>
    <m/>
    <m/>
    <m/>
    <s v="SOLFIN"/>
    <s v="SOLFIN"/>
    <s v="CCMS"/>
    <n v="21319116"/>
    <n v="8051.91"/>
    <m/>
    <s v="N"/>
    <n v="10"/>
    <d v="2023-07-03T19:02:11"/>
    <s v="Y"/>
    <s v="Solicitor Travel Expenses"/>
    <s v="Public Law Children"/>
    <s v="Non Expert Disbursement"/>
    <s v="Jane Hayward"/>
    <s v="Y"/>
    <n v="5"/>
    <n v="1"/>
    <x v="3"/>
    <s v="VALIDATED"/>
    <n v="1"/>
    <s v="01.11.80.308.6300.0000"/>
    <n v="5"/>
    <s v="11"/>
    <s v="6300"/>
    <n v="8557.450000000001"/>
    <n v="5"/>
    <s v="CREDITOR"/>
    <n v="0"/>
    <n v="0"/>
    <n v="0"/>
    <n v="0"/>
    <n v="5"/>
  </r>
  <r>
    <n v="60669019"/>
    <s v="N"/>
    <n v="21319116"/>
    <s v="3000014920700005"/>
    <s v="CIVIL"/>
    <d v="2023-06-23T00:00:00"/>
    <d v="2023-07-03T19:01:49"/>
    <m/>
    <d v="2023-07-03T00:00:00"/>
    <n v="1367"/>
    <n v="18507"/>
    <s v="60669019"/>
    <s v="60669019"/>
    <m/>
    <m/>
    <n v="22755706"/>
    <m/>
    <m/>
    <m/>
    <s v="SOLFIN"/>
    <s v="SOLFIN"/>
    <s v="CCMS"/>
    <n v="21319116"/>
    <n v="8051.91"/>
    <m/>
    <s v="N"/>
    <n v="18"/>
    <d v="2023-07-03T19:02:11"/>
    <s v="Y"/>
    <s v="Advocates Meeting"/>
    <s v="Public Law Children"/>
    <s v="Advocacy"/>
    <s v="Jane Hayward"/>
    <s v="Y"/>
    <n v="140.99"/>
    <n v="28.2"/>
    <x v="3"/>
    <s v="VALIDATED"/>
    <n v="1"/>
    <s v="01.11.80.308.6100.0000"/>
    <n v="140.99"/>
    <s v="11"/>
    <s v="6100"/>
    <n v="8557.450000000001"/>
    <n v="140.99"/>
    <s v="CREDITOR"/>
    <n v="0"/>
    <n v="0"/>
    <n v="0"/>
    <n v="0"/>
    <n v="140.99"/>
  </r>
  <r>
    <n v="10289393"/>
    <s v="N"/>
    <n v="21338278"/>
    <s v="3000006154410012"/>
    <s v="CIVIL"/>
    <d v="2023-06-27T00:00:00"/>
    <d v="2023-07-06T19:21:01"/>
    <m/>
    <d v="2023-07-06T00:00:00"/>
    <n v="1367"/>
    <n v="18507"/>
    <s v="10289393"/>
    <s v="10289393"/>
    <m/>
    <m/>
    <n v="22767498"/>
    <m/>
    <m/>
    <m/>
    <s v="SOLFIN"/>
    <s v="SOLFIN"/>
    <s v="CCMS"/>
    <n v="21338278"/>
    <n v="6851.03"/>
    <m/>
    <s v="N"/>
    <n v="29"/>
    <d v="2023-07-06T19:21:16"/>
    <s v="Y"/>
    <s v="Preparation - other"/>
    <s v="Prescribed Hourly Rates"/>
    <s v="Profit Cost"/>
    <s v="Jonathan Cunningham"/>
    <s v="Y"/>
    <n v="171.56"/>
    <n v="34.31"/>
    <x v="4"/>
    <s v="VALIDATED"/>
    <n v="1"/>
    <s v="01.11.80.307.6100.0000"/>
    <n v="171.56"/>
    <s v="11"/>
    <s v="6100"/>
    <n v="8557.450000000001"/>
    <n v="171.56"/>
    <s v="CREDITOR"/>
    <n v="0"/>
    <n v="0"/>
    <n v="0"/>
    <n v="0"/>
    <n v="171.56"/>
  </r>
  <r>
    <n v="10289393"/>
    <s v="N"/>
    <n v="21338278"/>
    <s v="3000006154410012"/>
    <s v="CIVIL"/>
    <d v="2023-06-27T00:00:00"/>
    <d v="2023-07-06T19:21:01"/>
    <m/>
    <d v="2023-07-06T00:00:00"/>
    <n v="1367"/>
    <n v="18507"/>
    <s v="10289393"/>
    <s v="10289393"/>
    <m/>
    <m/>
    <n v="22767498"/>
    <m/>
    <m/>
    <m/>
    <s v="SOLFIN"/>
    <s v="SOLFIN"/>
    <s v="CCMS"/>
    <n v="21338278"/>
    <n v="6851.03"/>
    <m/>
    <s v="N"/>
    <n v="31"/>
    <d v="2023-07-06T19:21:16"/>
    <s v="Y"/>
    <s v="Preparation - other"/>
    <s v="Prescribed Hourly Rates"/>
    <s v="Profit Cost"/>
    <s v="Jonathan Cunningham"/>
    <s v="Y"/>
    <n v="68.63"/>
    <n v="13.73"/>
    <x v="4"/>
    <s v="VALIDATED"/>
    <n v="1"/>
    <s v="01.11.80.307.6100.0000"/>
    <n v="68.63"/>
    <s v="11"/>
    <s v="6100"/>
    <n v="8557.450000000001"/>
    <n v="68.63"/>
    <s v="CREDITOR"/>
    <n v="0"/>
    <n v="0"/>
    <n v="0"/>
    <n v="0"/>
    <n v="68.63"/>
  </r>
  <r>
    <n v="60669019"/>
    <s v="N"/>
    <n v="21319116"/>
    <s v="3000014920700005"/>
    <s v="CIVIL"/>
    <d v="2023-06-23T00:00:00"/>
    <d v="2023-07-03T19:01:49"/>
    <m/>
    <d v="2023-07-03T00:00:00"/>
    <n v="1367"/>
    <n v="18507"/>
    <s v="60669019"/>
    <s v="60669019"/>
    <m/>
    <m/>
    <n v="22755706"/>
    <m/>
    <m/>
    <m/>
    <s v="SOLFIN"/>
    <s v="SOLFIN"/>
    <s v="CCMS"/>
    <n v="21319116"/>
    <n v="8051.91"/>
    <m/>
    <s v="N"/>
    <n v="3"/>
    <d v="2023-07-03T19:02:11"/>
    <s v="Y"/>
    <s v="Solicitor Travel Expenses"/>
    <s v="Public Law Children"/>
    <s v="Non Expert Disbursement"/>
    <s v="Jane Hayward"/>
    <s v="Y"/>
    <n v="6.65"/>
    <n v="1.33"/>
    <x v="3"/>
    <s v="VALIDATED"/>
    <n v="1"/>
    <s v="01.11.80.308.6300.0000"/>
    <n v="6.65"/>
    <s v="11"/>
    <s v="6300"/>
    <n v="8557.450000000001"/>
    <n v="6.65"/>
    <s v="CREDITOR"/>
    <n v="0"/>
    <n v="0"/>
    <n v="0"/>
    <n v="0"/>
    <n v="6.65"/>
  </r>
  <r>
    <n v="10289393"/>
    <s v="N"/>
    <n v="21338278"/>
    <s v="3000006154410012"/>
    <s v="CIVIL"/>
    <d v="2023-06-27T00:00:00"/>
    <d v="2023-07-06T19:21:01"/>
    <m/>
    <d v="2023-07-06T00:00:00"/>
    <n v="1367"/>
    <n v="18507"/>
    <s v="10289393"/>
    <s v="10289393"/>
    <m/>
    <m/>
    <n v="22767498"/>
    <m/>
    <m/>
    <m/>
    <s v="SOLFIN"/>
    <s v="SOLFIN"/>
    <s v="CCMS"/>
    <n v="21338278"/>
    <n v="6851.03"/>
    <m/>
    <s v="N"/>
    <n v="24"/>
    <d v="2023-07-06T19:21:16"/>
    <s v="Y"/>
    <s v="Preparation - drafting instructions"/>
    <s v="Prescribed Hourly Rates"/>
    <s v="Profit Cost"/>
    <s v="Jonathan Cunningham"/>
    <s v="Y"/>
    <n v="48.04"/>
    <n v="9.609999999999999"/>
    <x v="4"/>
    <s v="VALIDATED"/>
    <n v="1"/>
    <s v="01.11.80.307.6100.0000"/>
    <n v="48.04"/>
    <s v="11"/>
    <s v="6100"/>
    <n v="8557.450000000001"/>
    <n v="48.04"/>
    <s v="CREDITOR"/>
    <n v="0"/>
    <n v="0"/>
    <n v="0"/>
    <n v="0"/>
    <n v="48.04"/>
  </r>
  <r>
    <n v="10289393"/>
    <s v="N"/>
    <n v="21338278"/>
    <s v="3000006154410012"/>
    <s v="CIVIL"/>
    <d v="2023-06-27T00:00:00"/>
    <d v="2023-07-06T19:21:01"/>
    <m/>
    <d v="2023-07-06T00:00:00"/>
    <n v="1367"/>
    <n v="18507"/>
    <s v="10289393"/>
    <s v="10289393"/>
    <m/>
    <m/>
    <n v="22767498"/>
    <m/>
    <m/>
    <m/>
    <s v="SOLFIN"/>
    <s v="SOLFIN"/>
    <s v="CCMS"/>
    <n v="21338278"/>
    <n v="6851.03"/>
    <m/>
    <s v="N"/>
    <n v="18"/>
    <d v="2023-07-06T19:21:16"/>
    <s v="Y"/>
    <s v="Preparation - other"/>
    <s v="Prescribed Hourly Rates"/>
    <s v="Profit Cost"/>
    <s v="Jonathan Cunningham"/>
    <s v="Y"/>
    <n v="68.63"/>
    <n v="13.73"/>
    <x v="4"/>
    <s v="VALIDATED"/>
    <n v="1"/>
    <s v="01.11.80.307.6100.0000"/>
    <n v="68.63"/>
    <s v="11"/>
    <s v="6100"/>
    <n v="8557.450000000001"/>
    <n v="68.63"/>
    <s v="CREDITOR"/>
    <n v="0"/>
    <n v="0"/>
    <n v="0"/>
    <n v="0"/>
    <n v="68.63"/>
  </r>
  <r>
    <n v="60669019"/>
    <s v="N"/>
    <n v="21319116"/>
    <s v="3000014920700005"/>
    <s v="CIVIL"/>
    <d v="2023-06-23T00:00:00"/>
    <d v="2023-07-03T19:01:49"/>
    <m/>
    <d v="2023-07-03T00:00:00"/>
    <n v="1367"/>
    <n v="18507"/>
    <s v="60669019"/>
    <s v="60669019"/>
    <m/>
    <m/>
    <n v="22755706"/>
    <m/>
    <m/>
    <m/>
    <s v="SOLFIN"/>
    <s v="SOLFIN"/>
    <s v="CCMS"/>
    <n v="21319116"/>
    <n v="8051.91"/>
    <m/>
    <s v="N"/>
    <n v="16"/>
    <d v="2023-07-03T19:02:11"/>
    <s v="Y"/>
    <s v="Hearing Unit 2.31 - 5.00 Hours"/>
    <s v="Public Law Children"/>
    <s v="Advocacy"/>
    <s v="Jane Hayward"/>
    <s v="Y"/>
    <n v="476.92"/>
    <n v="95.38"/>
    <x v="3"/>
    <s v="VALIDATED"/>
    <n v="1"/>
    <s v="01.11.80.308.6100.0000"/>
    <n v="476.92"/>
    <s v="11"/>
    <s v="6100"/>
    <n v="8557.450000000001"/>
    <n v="476.92"/>
    <s v="CREDITOR"/>
    <n v="0"/>
    <n v="0"/>
    <n v="0"/>
    <n v="0"/>
    <n v="476.92"/>
  </r>
  <r>
    <n v="10289393"/>
    <s v="N"/>
    <n v="21338278"/>
    <s v="3000006154410012"/>
    <s v="CIVIL"/>
    <d v="2023-06-27T00:00:00"/>
    <d v="2023-07-06T19:21:01"/>
    <m/>
    <d v="2023-07-06T00:00:00"/>
    <n v="1367"/>
    <n v="18507"/>
    <s v="10289393"/>
    <s v="10289393"/>
    <m/>
    <m/>
    <n v="22767498"/>
    <m/>
    <m/>
    <m/>
    <s v="SOLFIN"/>
    <s v="SOLFIN"/>
    <s v="CCMS"/>
    <n v="21338278"/>
    <n v="6851.03"/>
    <m/>
    <s v="N"/>
    <n v="44"/>
    <d v="2023-07-06T19:21:16"/>
    <s v="Y"/>
    <s v="Preparation - drafting instructions"/>
    <s v="Prescribed Hourly Rates"/>
    <s v="Profit Cost"/>
    <s v="Jonathan Cunningham"/>
    <s v="Y"/>
    <n v="34.31"/>
    <n v="6.86"/>
    <x v="4"/>
    <s v="VALIDATED"/>
    <n v="1"/>
    <s v="01.11.80.307.6100.0000"/>
    <n v="34.31"/>
    <s v="11"/>
    <s v="6100"/>
    <n v="8557.450000000001"/>
    <n v="34.31"/>
    <s v="CREDITOR"/>
    <n v="0"/>
    <n v="0"/>
    <n v="0"/>
    <n v="0"/>
    <n v="34.31"/>
  </r>
  <r>
    <n v="10289393"/>
    <s v="N"/>
    <n v="21338278"/>
    <s v="3000006154410012"/>
    <s v="CIVIL"/>
    <d v="2023-06-27T00:00:00"/>
    <d v="2023-07-06T19:21:01"/>
    <m/>
    <d v="2023-07-06T00:00:00"/>
    <n v="1367"/>
    <n v="18507"/>
    <s v="10289393"/>
    <s v="10289393"/>
    <m/>
    <m/>
    <n v="22767498"/>
    <m/>
    <m/>
    <m/>
    <s v="SOLFIN"/>
    <s v="SOLFIN"/>
    <s v="CCMS"/>
    <n v="21338278"/>
    <n v="6851.03"/>
    <m/>
    <s v="N"/>
    <n v="64"/>
    <d v="2023-07-06T19:21:16"/>
    <s v="Y"/>
    <s v="Report - other report"/>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3"/>
    <d v="2023-07-06T19:21:16"/>
    <s v="Y"/>
    <s v="Report - other report"/>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15"/>
    <d v="2023-07-06T19:21:16"/>
    <s v="Y"/>
    <s v="Attendance upon client"/>
    <s v="Prescribed Hourly Rates"/>
    <s v="Profit Cost"/>
    <s v="Jonathan Cunningham"/>
    <s v="Y"/>
    <n v="27.45"/>
    <n v="5.49"/>
    <x v="4"/>
    <s v="VALIDATED"/>
    <n v="1"/>
    <s v="01.11.80.307.6100.0000"/>
    <n v="27.45"/>
    <s v="11"/>
    <s v="6100"/>
    <n v="8557.450000000001"/>
    <n v="27.45"/>
    <s v="CREDITOR"/>
    <n v="0"/>
    <n v="0"/>
    <n v="0"/>
    <n v="0"/>
    <n v="27.45"/>
  </r>
  <r>
    <n v="10289393"/>
    <s v="N"/>
    <n v="21338278"/>
    <s v="3000006154410012"/>
    <s v="CIVIL"/>
    <d v="2023-06-27T00:00:00"/>
    <d v="2023-07-06T19:21:01"/>
    <m/>
    <d v="2023-07-06T00:00:00"/>
    <n v="1367"/>
    <n v="18507"/>
    <s v="10289393"/>
    <s v="10289393"/>
    <m/>
    <m/>
    <n v="22767498"/>
    <m/>
    <m/>
    <m/>
    <s v="SOLFIN"/>
    <s v="SOLFIN"/>
    <s v="CCMS"/>
    <n v="21338278"/>
    <n v="6851.03"/>
    <m/>
    <s v="N"/>
    <n v="23"/>
    <d v="2023-07-06T19:21:16"/>
    <s v="Y"/>
    <s v="Preparation - other"/>
    <s v="Prescribed Hourly Rates"/>
    <s v="Profit Cost"/>
    <s v="Jonathan Cunningham"/>
    <s v="Y"/>
    <n v="34.31"/>
    <n v="6.86"/>
    <x v="4"/>
    <s v="VALIDATED"/>
    <n v="1"/>
    <s v="01.11.80.307.6100.0000"/>
    <n v="34.31"/>
    <s v="11"/>
    <s v="6100"/>
    <n v="8557.450000000001"/>
    <n v="34.31"/>
    <s v="CREDITOR"/>
    <n v="0"/>
    <n v="0"/>
    <n v="0"/>
    <n v="0"/>
    <n v="34.31"/>
  </r>
  <r>
    <n v="60669019"/>
    <s v="N"/>
    <n v="21319116"/>
    <s v="3000014920700005"/>
    <s v="CIVIL"/>
    <d v="2023-06-23T00:00:00"/>
    <d v="2023-07-03T19:01:49"/>
    <m/>
    <d v="2023-07-03T00:00:00"/>
    <n v="1367"/>
    <n v="18507"/>
    <s v="60669019"/>
    <s v="60669019"/>
    <m/>
    <m/>
    <n v="22755706"/>
    <m/>
    <m/>
    <m/>
    <s v="SOLFIN"/>
    <s v="SOLFIN"/>
    <s v="CCMS"/>
    <n v="21319116"/>
    <n v="8051.91"/>
    <m/>
    <s v="N"/>
    <n v="17"/>
    <d v="2023-07-03T19:02:11"/>
    <s v="Y"/>
    <s v="Hearing Unit 2.31 - 5.00 Hours"/>
    <s v="Public Law Children"/>
    <s v="Advocacy"/>
    <s v="Jane Hayward"/>
    <s v="Y"/>
    <n v="476.92"/>
    <n v="95.38"/>
    <x v="3"/>
    <s v="VALIDATED"/>
    <n v="1"/>
    <s v="01.11.80.308.6100.0000"/>
    <n v="476.92"/>
    <s v="11"/>
    <s v="6100"/>
    <n v="8557.450000000001"/>
    <n v="476.92"/>
    <s v="CREDITOR"/>
    <n v="0"/>
    <n v="0"/>
    <n v="0"/>
    <n v="0"/>
    <n v="476.92"/>
  </r>
  <r>
    <n v="10289393"/>
    <s v="N"/>
    <n v="21338278"/>
    <s v="3000006154410012"/>
    <s v="CIVIL"/>
    <d v="2023-06-27T00:00:00"/>
    <d v="2023-07-06T19:21:01"/>
    <m/>
    <d v="2023-07-06T00:00:00"/>
    <n v="1367"/>
    <n v="18507"/>
    <s v="10289393"/>
    <s v="10289393"/>
    <m/>
    <m/>
    <n v="22767498"/>
    <m/>
    <m/>
    <m/>
    <s v="SOLFIN"/>
    <s v="SOLFIN"/>
    <s v="CCMS"/>
    <n v="21338278"/>
    <n v="6851.03"/>
    <m/>
    <s v="N"/>
    <n v="75"/>
    <d v="2023-07-06T19:21:16"/>
    <s v="Y"/>
    <s v="Court Fee"/>
    <s v="Prescribed Hourly Rates"/>
    <s v="Non Expert Disbursement"/>
    <s v="Jonathan Cunningham"/>
    <s v="Y"/>
    <n v="167"/>
    <n v="0"/>
    <x v="4"/>
    <s v="VALIDATED"/>
    <n v="1"/>
    <s v="01.11.80.307.6300.0000"/>
    <n v="167"/>
    <s v="11"/>
    <s v="6300"/>
    <n v="8557.450000000001"/>
    <n v="167"/>
    <s v="CREDITOR"/>
    <n v="0"/>
    <n v="0"/>
    <n v="0"/>
    <n v="0"/>
    <n v="167"/>
  </r>
  <r>
    <n v="60669019"/>
    <s v="N"/>
    <n v="21319116"/>
    <s v="3000014920700005"/>
    <s v="CIVIL"/>
    <d v="2023-06-23T00:00:00"/>
    <d v="2023-07-03T19:01:49"/>
    <m/>
    <d v="2023-07-03T00:00:00"/>
    <n v="1367"/>
    <n v="18507"/>
    <s v="60669019"/>
    <s v="60669019"/>
    <m/>
    <m/>
    <n v="22755706"/>
    <m/>
    <m/>
    <m/>
    <s v="SOLFIN"/>
    <s v="SOLFIN"/>
    <s v="CCMS"/>
    <n v="21319116"/>
    <n v="8051.91"/>
    <m/>
    <s v="N"/>
    <n v="19"/>
    <d v="2023-07-03T19:02:11"/>
    <s v="Y"/>
    <s v="Advocates Meeting"/>
    <s v="Public Law Children"/>
    <s v="Advocacy"/>
    <s v="Jane Hayward"/>
    <s v="Y"/>
    <n v="140.99"/>
    <n v="28.2"/>
    <x v="3"/>
    <s v="VALIDATED"/>
    <n v="1"/>
    <s v="01.11.80.308.6100.0000"/>
    <n v="140.99"/>
    <s v="11"/>
    <s v="6100"/>
    <n v="8557.450000000001"/>
    <n v="140.99"/>
    <s v="CREDITOR"/>
    <n v="0"/>
    <n v="0"/>
    <n v="0"/>
    <n v="0"/>
    <n v="140.99"/>
  </r>
  <r>
    <n v="62036748"/>
    <s v="N"/>
    <n v="21322482"/>
    <s v="3000016061390004"/>
    <s v="CIVIL"/>
    <d v="2023-06-29T00:00:00"/>
    <d v="2023-07-03T19:05:36"/>
    <m/>
    <d v="2023-07-03T00:00:00"/>
    <n v="1367"/>
    <n v="18507"/>
    <s v="62036748"/>
    <s v="62036748"/>
    <m/>
    <m/>
    <n v="22789822"/>
    <m/>
    <m/>
    <m/>
    <s v="SOLPOA"/>
    <s v="SOLPOA"/>
    <s v="CCMS"/>
    <n v="21322482"/>
    <n v="282.75"/>
    <m/>
    <s v="N"/>
    <n v="1"/>
    <d v="2023-07-03T19:05:38"/>
    <s v="N"/>
    <s v="Non Expert Disbursement - Private L"/>
    <s v="Non Expert Disbursement - Priv"/>
    <s v="Non Expert Disbursement"/>
    <s v="Charlotte Clark"/>
    <s v="N"/>
    <n v="282.75"/>
    <n v="0"/>
    <x v="3"/>
    <s v="VALIDATED"/>
    <n v="1"/>
    <s v="01.11.80.307.2012.0000"/>
    <n v="282.75"/>
    <s v="11"/>
    <s v="2012"/>
    <n v="8557.450000000001"/>
    <n v="282.75"/>
    <s v="CREDITOR"/>
    <n v="282.75"/>
    <n v="0"/>
    <n v="0"/>
    <n v="0"/>
    <n v="0"/>
  </r>
  <r>
    <n v="60669019"/>
    <s v="N"/>
    <n v="21319116"/>
    <s v="3000014920700005"/>
    <s v="CIVIL"/>
    <d v="2023-06-23T00:00:00"/>
    <d v="2023-07-03T19:01:49"/>
    <m/>
    <d v="2023-07-03T00:00:00"/>
    <n v="1367"/>
    <n v="18507"/>
    <s v="60669019"/>
    <s v="60669019"/>
    <m/>
    <m/>
    <n v="22755706"/>
    <m/>
    <m/>
    <m/>
    <s v="SOLFIN"/>
    <s v="SOLFIN"/>
    <s v="CCMS"/>
    <n v="21319116"/>
    <n v="8051.91"/>
    <m/>
    <s v="N"/>
    <n v="14"/>
    <d v="2023-07-03T19:02:11"/>
    <s v="Y"/>
    <s v="Hearing Unit 2.31 - 5.00 Hours"/>
    <s v="Public Law Children"/>
    <s v="Advocacy"/>
    <s v="Jane Hayward"/>
    <s v="Y"/>
    <n v="476.92"/>
    <n v="95.38"/>
    <x v="3"/>
    <s v="VALIDATED"/>
    <n v="1"/>
    <s v="01.11.80.308.6100.0000"/>
    <n v="476.92"/>
    <s v="11"/>
    <s v="6100"/>
    <n v="8557.450000000001"/>
    <n v="476.92"/>
    <s v="CREDITOR"/>
    <n v="0"/>
    <n v="0"/>
    <n v="0"/>
    <n v="0"/>
    <n v="476.92"/>
  </r>
  <r>
    <n v="10289393"/>
    <s v="N"/>
    <n v="21338278"/>
    <s v="3000006154410012"/>
    <s v="CIVIL"/>
    <d v="2023-06-27T00:00:00"/>
    <d v="2023-07-06T19:21:01"/>
    <m/>
    <d v="2023-07-06T00:00:00"/>
    <n v="1367"/>
    <n v="18507"/>
    <s v="10289393"/>
    <s v="10289393"/>
    <m/>
    <m/>
    <n v="22767498"/>
    <m/>
    <m/>
    <m/>
    <s v="SOLFIN"/>
    <s v="SOLFIN"/>
    <s v="CCMS"/>
    <n v="21338278"/>
    <n v="6851.03"/>
    <m/>
    <s v="N"/>
    <n v="47"/>
    <d v="2023-07-06T19:21:16"/>
    <s v="Y"/>
    <s v="Preparation - drafting application"/>
    <s v="Prescribed Hourly Rates"/>
    <s v="Profit Cost"/>
    <s v="Jonathan Cunningham"/>
    <s v="Y"/>
    <n v="102.94"/>
    <n v="20.59"/>
    <x v="4"/>
    <s v="VALIDATED"/>
    <n v="1"/>
    <s v="01.11.80.307.6100.0000"/>
    <n v="102.94"/>
    <s v="11"/>
    <s v="6100"/>
    <n v="8557.450000000001"/>
    <n v="102.94"/>
    <s v="CREDITOR"/>
    <n v="0"/>
    <n v="0"/>
    <n v="0"/>
    <n v="0"/>
    <n v="102.94"/>
  </r>
  <r>
    <n v="10289393"/>
    <s v="N"/>
    <n v="21338278"/>
    <s v="3000006154410012"/>
    <s v="CIVIL"/>
    <d v="2023-06-27T00:00:00"/>
    <d v="2023-07-06T19:21:01"/>
    <m/>
    <d v="2023-07-06T00:00:00"/>
    <n v="1367"/>
    <n v="18507"/>
    <s v="10289393"/>
    <s v="10289393"/>
    <m/>
    <m/>
    <n v="22767498"/>
    <m/>
    <m/>
    <m/>
    <s v="SOLFIN"/>
    <s v="SOLFIN"/>
    <s v="CCMS"/>
    <n v="21338278"/>
    <n v="6851.03"/>
    <m/>
    <s v="N"/>
    <n v="65"/>
    <d v="2023-07-06T19:21:16"/>
    <s v="Y"/>
    <s v="Preparation - drafting instructions"/>
    <s v="Prescribed Hourly Rates"/>
    <s v="Profit Cost"/>
    <s v="Jonathan Cunningham"/>
    <s v="Y"/>
    <n v="13.73"/>
    <n v="2.75"/>
    <x v="4"/>
    <s v="VALIDATED"/>
    <n v="1"/>
    <s v="01.11.80.307.6100.0000"/>
    <n v="13.73"/>
    <s v="11"/>
    <s v="6100"/>
    <n v="8557.450000000001"/>
    <n v="13.73"/>
    <s v="CREDITOR"/>
    <n v="0"/>
    <n v="0"/>
    <n v="0"/>
    <n v="0"/>
    <n v="13.73"/>
  </r>
  <r>
    <n v="10289393"/>
    <s v="N"/>
    <n v="21338278"/>
    <s v="3000006154410012"/>
    <s v="CIVIL"/>
    <d v="2023-06-27T00:00:00"/>
    <d v="2023-07-06T19:21:01"/>
    <m/>
    <d v="2023-07-06T00:00:00"/>
    <n v="1367"/>
    <n v="18507"/>
    <s v="10289393"/>
    <s v="10289393"/>
    <m/>
    <m/>
    <n v="22767498"/>
    <m/>
    <m/>
    <m/>
    <s v="SOLFIN"/>
    <s v="SOLFIN"/>
    <s v="CCMS"/>
    <n v="21338278"/>
    <n v="6851.03"/>
    <m/>
    <s v="N"/>
    <n v="67"/>
    <d v="2023-07-06T19:21:16"/>
    <s v="Y"/>
    <s v="Preparation - drafting bill/claim f"/>
    <s v="Prescribed Hourly Rates"/>
    <s v="Profit Cost"/>
    <s v="James Birch"/>
    <s v="Y"/>
    <n v="5.49"/>
    <n v="1.1"/>
    <x v="4"/>
    <s v="VALIDATED"/>
    <n v="1"/>
    <s v="01.11.80.307.6100.0000"/>
    <n v="5.49"/>
    <s v="11"/>
    <s v="6100"/>
    <n v="8557.450000000001"/>
    <n v="5.49"/>
    <s v="CREDITOR"/>
    <n v="0"/>
    <n v="0"/>
    <n v="0"/>
    <n v="0"/>
    <n v="5.49"/>
  </r>
  <r>
    <n v="10289393"/>
    <s v="N"/>
    <n v="21338278"/>
    <s v="3000006154410012"/>
    <s v="CIVIL"/>
    <d v="2023-06-27T00:00:00"/>
    <d v="2023-07-06T19:21:01"/>
    <m/>
    <d v="2023-07-06T00:00:00"/>
    <n v="1367"/>
    <n v="18507"/>
    <s v="10289393"/>
    <s v="10289393"/>
    <m/>
    <m/>
    <n v="22767498"/>
    <m/>
    <m/>
    <m/>
    <s v="SOLFIN"/>
    <s v="SOLFIN"/>
    <s v="CCMS"/>
    <n v="21338278"/>
    <n v="6851.03"/>
    <m/>
    <s v="N"/>
    <n v="74"/>
    <d v="2023-07-06T19:21:16"/>
    <s v="Y"/>
    <s v="Court Fee"/>
    <s v="Prescribed Hourly Rates"/>
    <s v="Non Expert Disbursement"/>
    <s v="Jonathan Cunningham"/>
    <s v="Y"/>
    <n v="215"/>
    <n v="0"/>
    <x v="4"/>
    <s v="VALIDATED"/>
    <n v="1"/>
    <s v="01.11.80.307.6300.0000"/>
    <n v="215"/>
    <s v="11"/>
    <s v="6300"/>
    <n v="8557.450000000001"/>
    <n v="215"/>
    <s v="CREDITOR"/>
    <n v="0"/>
    <n v="0"/>
    <n v="0"/>
    <n v="0"/>
    <n v="215"/>
  </r>
  <r>
    <n v="10289393"/>
    <s v="N"/>
    <n v="21338278"/>
    <s v="3000006154410012"/>
    <s v="CIVIL"/>
    <d v="2023-06-27T00:00:00"/>
    <d v="2023-07-06T19:21:01"/>
    <m/>
    <d v="2023-07-06T00:00:00"/>
    <n v="1367"/>
    <n v="18507"/>
    <s v="10289393"/>
    <s v="10289393"/>
    <m/>
    <m/>
    <n v="22767498"/>
    <m/>
    <m/>
    <m/>
    <s v="SOLFIN"/>
    <s v="SOLFIN"/>
    <s v="CCMS"/>
    <n v="21338278"/>
    <n v="6851.03"/>
    <m/>
    <s v="N"/>
    <n v="1"/>
    <d v="2023-07-06T19:21:16"/>
    <s v="Y"/>
    <s v="Preparation - drafting instructions"/>
    <s v="Prescribed Hourly Rates"/>
    <s v="Profit Cost"/>
    <s v="Jonathan Cunningham"/>
    <s v="Y"/>
    <n v="41.18"/>
    <n v="8.24"/>
    <x v="4"/>
    <s v="VALIDATED"/>
    <n v="1"/>
    <s v="01.11.80.307.6100.0000"/>
    <n v="41.18"/>
    <s v="11"/>
    <s v="6100"/>
    <n v="8557.450000000001"/>
    <n v="41.18"/>
    <s v="CREDITOR"/>
    <n v="0"/>
    <n v="0"/>
    <n v="0"/>
    <n v="0"/>
    <n v="41.18"/>
  </r>
  <r>
    <n v="10289393"/>
    <s v="N"/>
    <n v="21338278"/>
    <s v="3000006154410012"/>
    <s v="CIVIL"/>
    <d v="2023-06-27T00:00:00"/>
    <d v="2023-07-06T19:21:01"/>
    <m/>
    <d v="2023-07-06T00:00:00"/>
    <n v="1367"/>
    <n v="18507"/>
    <s v="10289393"/>
    <s v="10289393"/>
    <m/>
    <m/>
    <n v="22767498"/>
    <m/>
    <m/>
    <m/>
    <s v="SOLFIN"/>
    <s v="SOLFIN"/>
    <s v="CCMS"/>
    <n v="21338278"/>
    <n v="6851.03"/>
    <m/>
    <s v="N"/>
    <n v="37"/>
    <d v="2023-07-06T19:21:16"/>
    <s v="Y"/>
    <s v="Report - other expert's report"/>
    <s v="Prescribed Hourly Rates"/>
    <s v="Profit Cost"/>
    <s v="Jonathan Cunningham"/>
    <s v="Y"/>
    <n v="6.86"/>
    <n v="1.37"/>
    <x v="4"/>
    <s v="VALIDATED"/>
    <n v="1"/>
    <s v="01.11.80.307.6100.0000"/>
    <n v="6.86"/>
    <s v="11"/>
    <s v="6100"/>
    <n v="8557.450000000001"/>
    <n v="6.86"/>
    <s v="CREDITOR"/>
    <n v="0"/>
    <n v="0"/>
    <n v="0"/>
    <n v="0"/>
    <n v="6.86"/>
  </r>
  <r>
    <n v="10289393"/>
    <s v="N"/>
    <n v="21338278"/>
    <s v="3000006154410012"/>
    <s v="CIVIL"/>
    <d v="2023-06-27T00:00:00"/>
    <d v="2023-07-06T19:21:01"/>
    <m/>
    <d v="2023-07-06T00:00:00"/>
    <n v="1367"/>
    <n v="18507"/>
    <s v="10289393"/>
    <s v="10289393"/>
    <m/>
    <m/>
    <n v="22767498"/>
    <m/>
    <m/>
    <m/>
    <s v="SOLFIN"/>
    <s v="SOLFIN"/>
    <s v="CCMS"/>
    <n v="21338278"/>
    <n v="6851.03"/>
    <m/>
    <s v="N"/>
    <n v="40"/>
    <d v="2023-07-06T19:21:16"/>
    <s v="Y"/>
    <s v="Routine Telephone Call"/>
    <s v="Prescribed Hourly Rates"/>
    <s v="Profit Cost"/>
    <s v="Jonathan Cunningham"/>
    <s v="Y"/>
    <n v="47.25"/>
    <n v="9.449999999999999"/>
    <x v="4"/>
    <s v="VALIDATED"/>
    <n v="1"/>
    <s v="01.11.80.307.6100.0000"/>
    <n v="47.25"/>
    <s v="11"/>
    <s v="6100"/>
    <n v="8557.450000000001"/>
    <n v="47.25"/>
    <s v="CREDITOR"/>
    <n v="0"/>
    <n v="0"/>
    <n v="0"/>
    <n v="0"/>
    <n v="47.25"/>
  </r>
  <r>
    <n v="60669019"/>
    <s v="N"/>
    <n v="21319116"/>
    <s v="3000014920700005"/>
    <s v="CIVIL"/>
    <d v="2023-06-23T00:00:00"/>
    <d v="2023-07-03T19:01:49"/>
    <m/>
    <d v="2023-07-03T00:00:00"/>
    <n v="1367"/>
    <n v="18507"/>
    <s v="60669019"/>
    <s v="60669019"/>
    <m/>
    <m/>
    <n v="22755706"/>
    <m/>
    <m/>
    <m/>
    <s v="SOLFIN"/>
    <s v="SOLFIN"/>
    <s v="CCMS"/>
    <n v="21319116"/>
    <n v="8051.91"/>
    <m/>
    <s v="N"/>
    <n v="12"/>
    <d v="2023-07-03T19:02:11"/>
    <s v="Y"/>
    <s v="Solicitor Travel Mileage"/>
    <s v="Public Law Children"/>
    <s v="Non Expert Disbursement"/>
    <s v="Jane Hayward"/>
    <s v="Y"/>
    <n v="16.2"/>
    <n v="3.24"/>
    <x v="3"/>
    <s v="VALIDATED"/>
    <n v="1"/>
    <s v="01.11.80.308.6300.0000"/>
    <n v="16.2"/>
    <s v="11"/>
    <s v="6300"/>
    <n v="8557.450000000001"/>
    <n v="16.2"/>
    <s v="CREDITOR"/>
    <n v="0"/>
    <n v="0"/>
    <n v="0"/>
    <n v="0"/>
    <n v="16.2"/>
  </r>
  <r>
    <n v="60669019"/>
    <s v="N"/>
    <n v="21319116"/>
    <s v="3000014920700005"/>
    <s v="CIVIL"/>
    <d v="2023-06-23T00:00:00"/>
    <d v="2023-07-03T19:01:49"/>
    <m/>
    <d v="2023-07-03T00:00:00"/>
    <n v="1367"/>
    <n v="18507"/>
    <s v="60669019"/>
    <s v="60669019"/>
    <m/>
    <m/>
    <n v="22755706"/>
    <m/>
    <m/>
    <m/>
    <s v="SOLFIN"/>
    <s v="SOLFIN"/>
    <s v="CCMS"/>
    <n v="21319116"/>
    <n v="8051.91"/>
    <m/>
    <s v="N"/>
    <n v="7"/>
    <d v="2023-07-03T19:02:11"/>
    <s v="Y"/>
    <s v="Solicitor Travel Mileage"/>
    <s v="Public Law Children"/>
    <s v="Non Expert Disbursement"/>
    <s v="Jane Hayward"/>
    <s v="Y"/>
    <n v="28.8"/>
    <n v="5.76"/>
    <x v="3"/>
    <s v="VALIDATED"/>
    <n v="1"/>
    <s v="01.11.80.308.6300.0000"/>
    <n v="28.8"/>
    <s v="11"/>
    <s v="6300"/>
    <n v="8557.450000000001"/>
    <n v="28.8"/>
    <s v="CREDITOR"/>
    <n v="0"/>
    <n v="0"/>
    <n v="0"/>
    <n v="0"/>
    <n v="28.8"/>
  </r>
  <r>
    <n v="60669019"/>
    <s v="N"/>
    <n v="21319116"/>
    <s v="3000014920700005"/>
    <s v="CIVIL"/>
    <d v="2023-06-23T00:00:00"/>
    <d v="2023-07-03T19:01:49"/>
    <m/>
    <d v="2023-07-03T00:00:00"/>
    <n v="1367"/>
    <n v="18507"/>
    <s v="60669019"/>
    <s v="60669019"/>
    <m/>
    <m/>
    <n v="22755706"/>
    <m/>
    <m/>
    <m/>
    <s v="SOLFIN"/>
    <s v="SOLFIN"/>
    <s v="CCMS"/>
    <n v="21319116"/>
    <n v="8051.91"/>
    <m/>
    <s v="N"/>
    <n v="8"/>
    <d v="2023-07-03T19:02:11"/>
    <s v="Y"/>
    <s v="Psychiatrist"/>
    <s v="Public Law Children"/>
    <s v="Expert Disbursement"/>
    <s v="Jane Hayward"/>
    <s v="Y"/>
    <n v="451.43"/>
    <n v="90.29000000000001"/>
    <x v="3"/>
    <s v="VALIDATED"/>
    <n v="1"/>
    <s v="01.11.80.308.6300.0000"/>
    <n v="451.43"/>
    <s v="11"/>
    <s v="6300"/>
    <n v="8557.450000000001"/>
    <n v="451.43"/>
    <s v="CREDITOR"/>
    <n v="0"/>
    <n v="0"/>
    <n v="0"/>
    <n v="0"/>
    <n v="451.43"/>
  </r>
  <r>
    <n v="7485078"/>
    <s v="N"/>
    <n v="21409232"/>
    <s v="3000003543340022"/>
    <s v="CIVIL"/>
    <d v="2023-06-06T00:00:00"/>
    <d v="2023-07-21T10:00:02"/>
    <m/>
    <d v="2023-07-21T00:00:00"/>
    <n v="1370"/>
    <n v="18529"/>
    <s v="7485078"/>
    <s v="7485078"/>
    <m/>
    <m/>
    <n v="22631308"/>
    <m/>
    <m/>
    <m/>
    <s v="SOLPOA"/>
    <s v="SOLPOA"/>
    <s v="CCMS"/>
    <n v="21409232"/>
    <n v="144"/>
    <m/>
    <s v="N"/>
    <n v="1"/>
    <d v="2023-07-21T10:00:14"/>
    <s v="N"/>
    <s v="Non Expert Disbursement"/>
    <s v="Non Expert Disbursement"/>
    <s v="Non Expert Disbursement"/>
    <s v="Emma Broomfield"/>
    <s v="N"/>
    <n v="120"/>
    <n v="24"/>
    <x v="12"/>
    <s v="VALIDATED"/>
    <n v="1"/>
    <s v="01.11.80.202.2012.0000"/>
    <n v="120"/>
    <s v="11"/>
    <s v="2012"/>
    <n v="120"/>
    <n v="120"/>
    <s v="CREDITOR"/>
    <n v="120"/>
    <n v="0"/>
    <n v="0"/>
    <n v="0"/>
    <n v="0"/>
  </r>
  <r>
    <n v="59628712"/>
    <s v="N"/>
    <n v="21360478"/>
    <s v="3000014024730004"/>
    <s v="CIVIL"/>
    <d v="2023-06-19T00:00:00"/>
    <d v="2023-07-11T11:50:54"/>
    <m/>
    <d v="2023-07-11T00:00:00"/>
    <n v="1377"/>
    <n v="18585"/>
    <s v="59628712"/>
    <s v="59628712"/>
    <m/>
    <m/>
    <n v="22715976"/>
    <m/>
    <m/>
    <m/>
    <s v="SOLFIN"/>
    <s v="SOLFIN"/>
    <s v="CCMS"/>
    <n v="21360478"/>
    <n v="3183.66"/>
    <m/>
    <s v="N"/>
    <n v="34"/>
    <d v="2023-07-11T11:51:06"/>
    <s v="Y"/>
    <s v="Preparation - drafting statement"/>
    <s v="Prescribed Hourly Rates"/>
    <s v="Profit Cost"/>
    <s v="BS"/>
    <s v="Y"/>
    <n v="94.7"/>
    <n v="18.94"/>
    <x v="7"/>
    <s v="VALIDATED"/>
    <n v="1"/>
    <s v="01.11.80.307.6100.0000"/>
    <n v="94.7"/>
    <s v="11"/>
    <s v="6100"/>
    <n v="1391.81"/>
    <n v="94.7"/>
    <s v="CREDITOR"/>
    <n v="0"/>
    <n v="0"/>
    <n v="0"/>
    <n v="0"/>
    <n v="94.7"/>
  </r>
  <r>
    <n v="59628712"/>
    <s v="N"/>
    <n v="21360478"/>
    <s v="3000014024730004"/>
    <s v="CIVIL"/>
    <d v="2023-06-19T00:00:00"/>
    <d v="2023-07-11T11:50:54"/>
    <m/>
    <d v="2023-07-11T00:00:00"/>
    <n v="1377"/>
    <n v="18585"/>
    <s v="59628712"/>
    <s v="59628712"/>
    <m/>
    <m/>
    <n v="22715976"/>
    <m/>
    <m/>
    <m/>
    <s v="SOLFIN"/>
    <s v="SOLFIN"/>
    <s v="CCMS"/>
    <n v="21360478"/>
    <n v="3183.66"/>
    <m/>
    <s v="N"/>
    <n v="8"/>
    <d v="2023-07-11T11:51:06"/>
    <s v="Y"/>
    <s v="Attendance upon client"/>
    <s v="Prescribed Hourly Rates"/>
    <s v="Profit Cost"/>
    <s v="BS"/>
    <s v="Y"/>
    <n v="31.57"/>
    <n v="6.31"/>
    <x v="7"/>
    <s v="VALIDATED"/>
    <n v="1"/>
    <s v="01.11.80.307.6100.0000"/>
    <n v="31.57"/>
    <s v="11"/>
    <s v="6100"/>
    <n v="1391.81"/>
    <n v="31.57"/>
    <s v="CREDITOR"/>
    <n v="0"/>
    <n v="0"/>
    <n v="0"/>
    <n v="0"/>
    <n v="31.57"/>
  </r>
  <r>
    <n v="59628712"/>
    <s v="N"/>
    <n v="21360478"/>
    <s v="3000014024730004"/>
    <s v="CIVIL"/>
    <d v="2023-06-19T00:00:00"/>
    <d v="2023-07-11T11:50:54"/>
    <m/>
    <d v="2023-07-11T00:00:00"/>
    <n v="1377"/>
    <n v="18585"/>
    <s v="59628712"/>
    <s v="59628712"/>
    <m/>
    <m/>
    <n v="22715976"/>
    <m/>
    <m/>
    <m/>
    <s v="SOLFIN"/>
    <s v="SOLFIN"/>
    <s v="CCMS"/>
    <n v="21360478"/>
    <n v="3183.66"/>
    <m/>
    <s v="N"/>
    <n v="7"/>
    <d v="2023-07-11T11:51:06"/>
    <s v="Y"/>
    <s v="Preparation - other"/>
    <s v="Prescribed Hourly Rates"/>
    <s v="Profit Cost"/>
    <s v="BS"/>
    <s v="Y"/>
    <n v="63.14"/>
    <n v="12.63"/>
    <x v="7"/>
    <s v="VALIDATED"/>
    <n v="1"/>
    <s v="01.11.80.307.6100.0000"/>
    <n v="63.14"/>
    <s v="11"/>
    <s v="6100"/>
    <n v="1391.81"/>
    <n v="63.14"/>
    <s v="CREDITOR"/>
    <n v="0"/>
    <n v="0"/>
    <n v="0"/>
    <n v="0"/>
    <n v="63.14"/>
  </r>
  <r>
    <n v="60487783"/>
    <s v="N"/>
    <n v="21338214"/>
    <s v="3000014742560006"/>
    <s v="CIVIL"/>
    <d v="2023-06-26T00:00:00"/>
    <d v="2023-07-06T19:21:01"/>
    <m/>
    <d v="2023-07-06T00:00:00"/>
    <n v="1377"/>
    <n v="18585"/>
    <s v="60487783"/>
    <s v="60487783"/>
    <m/>
    <m/>
    <n v="22759322"/>
    <m/>
    <m/>
    <m/>
    <s v="SOLPOA"/>
    <s v="SOLPOA"/>
    <s v="CCMS"/>
    <n v="21338214"/>
    <n v="622.5599999999999"/>
    <m/>
    <s v="N"/>
    <n v="1"/>
    <d v="2023-07-06T19:21:12"/>
    <s v="N"/>
    <s v="Level 3 &amp; Level 4 Fixed Fee"/>
    <s v="Private Law Children"/>
    <s v="Profit Cost"/>
    <s v="James Rogers"/>
    <s v="N"/>
    <n v="518.8"/>
    <n v="103.76"/>
    <x v="4"/>
    <s v="VALIDATED"/>
    <n v="1"/>
    <s v="01.11.80.302.2012.0000"/>
    <n v="518.8"/>
    <s v="11"/>
    <s v="2012"/>
    <n v="1391.81"/>
    <n v="518.8"/>
    <s v="CREDITOR"/>
    <n v="518.8"/>
    <n v="129.7"/>
    <n v="0"/>
    <n v="0"/>
    <n v="0"/>
  </r>
  <r>
    <n v="59628712"/>
    <s v="N"/>
    <n v="21360478"/>
    <s v="3000014024730004"/>
    <s v="CIVIL"/>
    <d v="2023-06-19T00:00:00"/>
    <d v="2023-07-11T11:50:54"/>
    <m/>
    <d v="2023-07-11T00:00:00"/>
    <n v="1377"/>
    <n v="18585"/>
    <s v="59628712"/>
    <s v="59628712"/>
    <m/>
    <m/>
    <n v="22715976"/>
    <m/>
    <m/>
    <m/>
    <s v="SOLFIN"/>
    <s v="SOLFIN"/>
    <s v="CCMS"/>
    <n v="21360478"/>
    <n v="3183.66"/>
    <m/>
    <s v="N"/>
    <n v="22"/>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29"/>
    <d v="2023-07-11T11:51:06"/>
    <s v="Y"/>
    <s v="Routine Telephone Call"/>
    <s v="Prescribed Hourly Rates"/>
    <s v="Profit Cost"/>
    <s v="BS"/>
    <s v="Y"/>
    <n v="99.36"/>
    <n v="19.87"/>
    <x v="7"/>
    <s v="VALIDATED"/>
    <n v="1"/>
    <s v="01.11.80.307.6100.0000"/>
    <n v="99.36"/>
    <s v="11"/>
    <s v="6100"/>
    <n v="1391.81"/>
    <n v="99.36"/>
    <s v="CREDITOR"/>
    <n v="0"/>
    <n v="0"/>
    <n v="0"/>
    <n v="0"/>
    <n v="99.36"/>
  </r>
  <r>
    <n v="59628712"/>
    <s v="N"/>
    <n v="21360478"/>
    <s v="3000014024730004"/>
    <s v="CIVIL"/>
    <d v="2023-06-19T00:00:00"/>
    <d v="2023-07-11T11:50:54"/>
    <m/>
    <d v="2023-07-11T00:00:00"/>
    <n v="1377"/>
    <n v="18585"/>
    <s v="59628712"/>
    <s v="59628712"/>
    <m/>
    <m/>
    <n v="22715976"/>
    <m/>
    <m/>
    <m/>
    <s v="SOLFIN"/>
    <s v="SOLFIN"/>
    <s v="CCMS"/>
    <n v="21360478"/>
    <n v="3183.66"/>
    <m/>
    <s v="N"/>
    <n v="9"/>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32"/>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19"/>
    <d v="2023-07-11T11:51:06"/>
    <s v="Y"/>
    <s v="Preparation - drafting statement"/>
    <s v="Prescribed Hourly Rates"/>
    <s v="Profit Cost"/>
    <s v="BS"/>
    <s v="Y"/>
    <n v="31.57"/>
    <n v="6.31"/>
    <x v="7"/>
    <s v="VALIDATED"/>
    <n v="1"/>
    <s v="01.11.80.307.6100.0000"/>
    <n v="31.57"/>
    <s v="11"/>
    <s v="6100"/>
    <n v="1391.81"/>
    <n v="31.57"/>
    <s v="CREDITOR"/>
    <n v="0"/>
    <n v="0"/>
    <n v="0"/>
    <n v="0"/>
    <n v="31.57"/>
  </r>
  <r>
    <n v="59628712"/>
    <s v="N"/>
    <n v="21360478"/>
    <s v="3000014024730004"/>
    <s v="CIVIL"/>
    <d v="2023-06-19T00:00:00"/>
    <d v="2023-07-11T11:50:54"/>
    <m/>
    <d v="2023-07-11T00:00:00"/>
    <n v="1377"/>
    <n v="18585"/>
    <s v="59628712"/>
    <s v="59628712"/>
    <m/>
    <m/>
    <n v="22715976"/>
    <m/>
    <m/>
    <m/>
    <s v="SOLFIN"/>
    <s v="SOLFIN"/>
    <s v="CCMS"/>
    <n v="21360478"/>
    <n v="3183.66"/>
    <m/>
    <s v="N"/>
    <n v="41"/>
    <d v="2023-07-11T11:51:06"/>
    <s v="Y"/>
    <s v="Preparation - other"/>
    <s v="Prescribed Hourly Rates"/>
    <s v="Profit Cost"/>
    <s v="BS"/>
    <s v="Y"/>
    <n v="31.57"/>
    <n v="6.31"/>
    <x v="7"/>
    <s v="VALIDATED"/>
    <n v="1"/>
    <s v="01.11.80.307.6100.0000"/>
    <n v="31.57"/>
    <s v="11"/>
    <s v="6100"/>
    <n v="1391.81"/>
    <n v="31.57"/>
    <s v="CREDITOR"/>
    <n v="0"/>
    <n v="0"/>
    <n v="0"/>
    <n v="0"/>
    <n v="31.57"/>
  </r>
  <r>
    <n v="59628712"/>
    <s v="N"/>
    <n v="21360478"/>
    <s v="3000014024730004"/>
    <s v="CIVIL"/>
    <d v="2023-06-19T00:00:00"/>
    <d v="2023-07-11T11:50:54"/>
    <m/>
    <d v="2023-07-11T00:00:00"/>
    <n v="1377"/>
    <n v="18585"/>
    <s v="59628712"/>
    <s v="59628712"/>
    <m/>
    <m/>
    <n v="22715976"/>
    <m/>
    <m/>
    <m/>
    <s v="SOLFIN"/>
    <s v="SOLFIN"/>
    <s v="CCMS"/>
    <n v="21360478"/>
    <n v="3183.66"/>
    <m/>
    <s v="N"/>
    <n v="18"/>
    <d v="2023-07-11T11:51:06"/>
    <s v="Y"/>
    <s v="Preparation - other"/>
    <s v="Prescribed Hourly Rates"/>
    <s v="Profit Cost"/>
    <s v="BS"/>
    <s v="Y"/>
    <n v="25.25"/>
    <n v="5.05"/>
    <x v="7"/>
    <s v="VALIDATED"/>
    <n v="1"/>
    <s v="01.11.80.307.6100.0000"/>
    <n v="25.25"/>
    <s v="11"/>
    <s v="6100"/>
    <n v="1391.81"/>
    <n v="25.25"/>
    <s v="CREDITOR"/>
    <n v="0"/>
    <n v="0"/>
    <n v="0"/>
    <n v="0"/>
    <n v="25.25"/>
  </r>
  <r>
    <n v="59628712"/>
    <s v="N"/>
    <n v="21360478"/>
    <s v="3000014024730004"/>
    <s v="CIVIL"/>
    <d v="2023-06-19T00:00:00"/>
    <d v="2023-07-11T11:50:54"/>
    <m/>
    <d v="2023-07-11T00:00:00"/>
    <n v="1377"/>
    <n v="18585"/>
    <s v="59628712"/>
    <s v="59628712"/>
    <m/>
    <m/>
    <n v="22715976"/>
    <m/>
    <m/>
    <m/>
    <s v="SOLFIN"/>
    <s v="SOLFIN"/>
    <s v="CCMS"/>
    <n v="21360478"/>
    <n v="3183.66"/>
    <m/>
    <s v="N"/>
    <n v="45"/>
    <d v="2023-07-11T11:51:06"/>
    <s v="N"/>
    <s v="Level 3 &amp; Level 4 Fixed Fee"/>
    <s v="Private Law Children"/>
    <s v="Profit Cost"/>
    <s v="BS"/>
    <s v="N"/>
    <n v="0"/>
    <n v="0"/>
    <x v="7"/>
    <s v="VALIDATED"/>
    <n v="1"/>
    <s v="01.11.80.307.6100.0000"/>
    <n v="0"/>
    <s v="11"/>
    <s v="6100"/>
    <n v="1391.81"/>
    <n v="0"/>
    <s v="CREDITOR"/>
    <n v="0"/>
    <n v="0"/>
    <n v="0"/>
    <n v="0"/>
    <n v="0"/>
  </r>
  <r>
    <n v="59628712"/>
    <s v="N"/>
    <n v="21360478"/>
    <s v="3000014024730004"/>
    <s v="CIVIL"/>
    <d v="2023-06-19T00:00:00"/>
    <d v="2023-07-11T11:50:54"/>
    <m/>
    <d v="2023-07-11T00:00:00"/>
    <n v="1377"/>
    <n v="18585"/>
    <s v="59628712"/>
    <s v="59628712"/>
    <m/>
    <m/>
    <n v="22715976"/>
    <m/>
    <m/>
    <m/>
    <s v="SOLFIN"/>
    <s v="SOLFIN"/>
    <s v="CCMS"/>
    <n v="21360478"/>
    <n v="3183.66"/>
    <m/>
    <s v="N"/>
    <n v="4"/>
    <d v="2023-07-11T11:51:06"/>
    <s v="Y"/>
    <s v="Preparation - other"/>
    <s v="Prescribed Hourly Rates"/>
    <s v="Profit Cost"/>
    <s v="BS"/>
    <s v="Y"/>
    <n v="18.94"/>
    <n v="3.79"/>
    <x v="7"/>
    <s v="VALIDATED"/>
    <n v="1"/>
    <s v="01.11.80.307.6100.0000"/>
    <n v="18.94"/>
    <s v="11"/>
    <s v="6100"/>
    <n v="1391.81"/>
    <n v="18.94"/>
    <s v="CREDITOR"/>
    <n v="0"/>
    <n v="0"/>
    <n v="0"/>
    <n v="0"/>
    <n v="18.94"/>
  </r>
  <r>
    <n v="59628712"/>
    <s v="N"/>
    <n v="21360478"/>
    <s v="3000014024730004"/>
    <s v="CIVIL"/>
    <d v="2023-06-19T00:00:00"/>
    <d v="2023-07-11T11:50:54"/>
    <m/>
    <d v="2023-07-11T00:00:00"/>
    <n v="1377"/>
    <n v="18585"/>
    <s v="59628712"/>
    <s v="59628712"/>
    <m/>
    <m/>
    <n v="22715976"/>
    <m/>
    <m/>
    <m/>
    <s v="SOLFIN"/>
    <s v="SOLFIN"/>
    <s v="CCMS"/>
    <n v="21360478"/>
    <n v="3183.66"/>
    <m/>
    <s v="N"/>
    <n v="24"/>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16"/>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3"/>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35"/>
    <d v="2023-07-11T11:51:06"/>
    <s v="Y"/>
    <s v="Preparation - drafting statement"/>
    <s v="Prescribed Hourly Rates"/>
    <s v="Profit Cost"/>
    <s v="BS"/>
    <s v="Y"/>
    <n v="31.57"/>
    <n v="6.31"/>
    <x v="7"/>
    <s v="VALIDATED"/>
    <n v="1"/>
    <s v="01.11.80.307.6100.0000"/>
    <n v="31.57"/>
    <s v="11"/>
    <s v="6100"/>
    <n v="1391.81"/>
    <n v="31.57"/>
    <s v="CREDITOR"/>
    <n v="0"/>
    <n v="0"/>
    <n v="0"/>
    <n v="0"/>
    <n v="31.57"/>
  </r>
  <r>
    <n v="59628712"/>
    <s v="N"/>
    <n v="21360478"/>
    <s v="3000014024730004"/>
    <s v="CIVIL"/>
    <d v="2023-06-19T00:00:00"/>
    <d v="2023-07-11T11:50:54"/>
    <m/>
    <d v="2023-07-11T00:00:00"/>
    <n v="1377"/>
    <n v="18585"/>
    <s v="59628712"/>
    <s v="59628712"/>
    <m/>
    <m/>
    <n v="22715976"/>
    <m/>
    <m/>
    <m/>
    <s v="SOLFIN"/>
    <s v="SOLFIN"/>
    <s v="CCMS"/>
    <n v="21360478"/>
    <n v="3183.66"/>
    <m/>
    <s v="N"/>
    <n v="13"/>
    <d v="2023-07-11T11:51:06"/>
    <s v="Y"/>
    <s v="Attendance upon client"/>
    <s v="Prescribed Hourly Rates"/>
    <s v="Profit Cost"/>
    <s v="BS"/>
    <s v="Y"/>
    <n v="25.25"/>
    <n v="5.05"/>
    <x v="7"/>
    <s v="VALIDATED"/>
    <n v="1"/>
    <s v="01.11.80.307.6100.0000"/>
    <n v="25.25"/>
    <s v="11"/>
    <s v="6100"/>
    <n v="1391.81"/>
    <n v="25.25"/>
    <s v="CREDITOR"/>
    <n v="0"/>
    <n v="0"/>
    <n v="0"/>
    <n v="0"/>
    <n v="25.25"/>
  </r>
  <r>
    <n v="59628712"/>
    <s v="N"/>
    <n v="21360478"/>
    <s v="3000014024730004"/>
    <s v="CIVIL"/>
    <d v="2023-06-19T00:00:00"/>
    <d v="2023-07-11T11:50:54"/>
    <m/>
    <d v="2023-07-11T00:00:00"/>
    <n v="1377"/>
    <n v="18585"/>
    <s v="59628712"/>
    <s v="59628712"/>
    <m/>
    <m/>
    <n v="22715976"/>
    <m/>
    <m/>
    <m/>
    <s v="SOLFIN"/>
    <s v="SOLFIN"/>
    <s v="CCMS"/>
    <n v="21360478"/>
    <n v="3183.66"/>
    <m/>
    <s v="N"/>
    <n v="1"/>
    <d v="2023-07-11T11:51:06"/>
    <s v="Y"/>
    <s v="Attendance upon client"/>
    <s v="Prescribed Hourly Rates"/>
    <s v="Profit Cost"/>
    <s v="BS"/>
    <s v="Y"/>
    <n v="37.88"/>
    <n v="7.58"/>
    <x v="7"/>
    <s v="VALIDATED"/>
    <n v="1"/>
    <s v="01.11.80.307.6100.0000"/>
    <n v="37.88"/>
    <s v="11"/>
    <s v="6100"/>
    <n v="1391.81"/>
    <n v="37.88"/>
    <s v="CREDITOR"/>
    <n v="0"/>
    <n v="0"/>
    <n v="0"/>
    <n v="0"/>
    <n v="37.88"/>
  </r>
  <r>
    <n v="59628712"/>
    <s v="N"/>
    <n v="21360478"/>
    <s v="3000014024730004"/>
    <s v="CIVIL"/>
    <d v="2023-06-19T00:00:00"/>
    <d v="2023-07-11T11:50:54"/>
    <m/>
    <d v="2023-07-11T00:00:00"/>
    <n v="1377"/>
    <n v="18585"/>
    <s v="59628712"/>
    <s v="59628712"/>
    <m/>
    <m/>
    <n v="22715976"/>
    <m/>
    <m/>
    <m/>
    <s v="SOLFIN"/>
    <s v="SOLFIN"/>
    <s v="CCMS"/>
    <n v="21360478"/>
    <n v="3183.66"/>
    <m/>
    <s v="N"/>
    <n v="23"/>
    <d v="2023-07-11T11:51:06"/>
    <s v="Y"/>
    <s v="Routine Letter In"/>
    <s v="Prescribed Hourly Rates"/>
    <s v="Profit Cost"/>
    <s v="BS"/>
    <s v="Y"/>
    <n v="161.46"/>
    <n v="32.29"/>
    <x v="7"/>
    <s v="VALIDATED"/>
    <n v="1"/>
    <s v="01.11.80.307.6100.0000"/>
    <n v="161.46"/>
    <s v="11"/>
    <s v="6100"/>
    <n v="1391.81"/>
    <n v="161.46"/>
    <s v="CREDITOR"/>
    <n v="0"/>
    <n v="0"/>
    <n v="0"/>
    <n v="0"/>
    <n v="161.46"/>
  </r>
  <r>
    <n v="59628712"/>
    <s v="N"/>
    <n v="21360478"/>
    <s v="3000014024730004"/>
    <s v="CIVIL"/>
    <d v="2023-06-19T00:00:00"/>
    <d v="2023-07-11T11:50:54"/>
    <m/>
    <d v="2023-07-11T00:00:00"/>
    <n v="1377"/>
    <n v="18585"/>
    <s v="59628712"/>
    <s v="59628712"/>
    <m/>
    <m/>
    <n v="22715976"/>
    <m/>
    <m/>
    <m/>
    <s v="SOLFIN"/>
    <s v="SOLFIN"/>
    <s v="CCMS"/>
    <n v="21360478"/>
    <n v="3183.66"/>
    <m/>
    <s v="N"/>
    <n v="17"/>
    <d v="2023-07-11T11:51:06"/>
    <s v="Y"/>
    <s v="Preparation - drafting instructions"/>
    <s v="Prescribed Hourly Rates"/>
    <s v="Profit Cost"/>
    <s v="BS"/>
    <s v="Y"/>
    <n v="63.14"/>
    <n v="12.63"/>
    <x v="7"/>
    <s v="VALIDATED"/>
    <n v="1"/>
    <s v="01.11.80.307.6100.0000"/>
    <n v="63.14"/>
    <s v="11"/>
    <s v="6100"/>
    <n v="1391.81"/>
    <n v="63.14"/>
    <s v="CREDITOR"/>
    <n v="0"/>
    <n v="0"/>
    <n v="0"/>
    <n v="0"/>
    <n v="63.14"/>
  </r>
  <r>
    <n v="59628712"/>
    <s v="N"/>
    <n v="21360478"/>
    <s v="3000014024730004"/>
    <s v="CIVIL"/>
    <d v="2023-06-19T00:00:00"/>
    <d v="2023-07-11T11:50:54"/>
    <m/>
    <d v="2023-07-11T00:00:00"/>
    <n v="1377"/>
    <n v="18585"/>
    <s v="59628712"/>
    <s v="59628712"/>
    <m/>
    <m/>
    <n v="22715976"/>
    <m/>
    <m/>
    <m/>
    <s v="SOLFIN"/>
    <s v="SOLFIN"/>
    <s v="CCMS"/>
    <n v="21360478"/>
    <n v="3183.66"/>
    <m/>
    <s v="N"/>
    <n v="43"/>
    <d v="2023-07-11T11:51:06"/>
    <s v="Y"/>
    <s v="Police Records"/>
    <s v="Private Law Children"/>
    <s v="Non Expert Disbursement"/>
    <s v="SB"/>
    <s v="Y"/>
    <n v="404.9"/>
    <n v="0"/>
    <x v="7"/>
    <s v="VALIDATED"/>
    <n v="1"/>
    <s v="01.11.80.307.6300.0000"/>
    <n v="404.9"/>
    <s v="11"/>
    <s v="6300"/>
    <n v="1391.81"/>
    <n v="404.9"/>
    <s v="CREDITOR"/>
    <n v="0"/>
    <n v="0"/>
    <n v="0"/>
    <n v="0"/>
    <n v="404.9"/>
  </r>
  <r>
    <n v="59628712"/>
    <s v="N"/>
    <n v="21360478"/>
    <s v="3000014024730004"/>
    <s v="CIVIL"/>
    <d v="2023-06-19T00:00:00"/>
    <d v="2023-07-11T11:50:54"/>
    <m/>
    <d v="2023-07-11T00:00:00"/>
    <n v="1377"/>
    <n v="18585"/>
    <s v="59628712"/>
    <s v="59628712"/>
    <m/>
    <m/>
    <n v="22715976"/>
    <m/>
    <m/>
    <m/>
    <s v="SOLFIN"/>
    <s v="SOLFIN"/>
    <s v="CCMS"/>
    <n v="21360478"/>
    <n v="3183.66"/>
    <m/>
    <s v="N"/>
    <n v="36"/>
    <d v="2023-07-11T11:51:06"/>
    <s v="Y"/>
    <s v="Attendance upon client"/>
    <s v="Prescribed Hourly Rates"/>
    <s v="Profit Cost"/>
    <s v="BS"/>
    <s v="Y"/>
    <n v="157.84"/>
    <n v="31.57"/>
    <x v="7"/>
    <s v="VALIDATED"/>
    <n v="1"/>
    <s v="01.11.80.307.6100.0000"/>
    <n v="157.84"/>
    <s v="11"/>
    <s v="6100"/>
    <n v="1391.81"/>
    <n v="157.84"/>
    <s v="CREDITOR"/>
    <n v="0"/>
    <n v="0"/>
    <n v="0"/>
    <n v="0"/>
    <n v="157.84"/>
  </r>
  <r>
    <n v="59628712"/>
    <s v="N"/>
    <n v="21360478"/>
    <s v="3000014024730004"/>
    <s v="CIVIL"/>
    <d v="2023-06-19T00:00:00"/>
    <d v="2023-07-11T11:50:54"/>
    <m/>
    <d v="2023-07-11T00:00:00"/>
    <n v="1377"/>
    <n v="18585"/>
    <s v="59628712"/>
    <s v="59628712"/>
    <m/>
    <m/>
    <n v="22715976"/>
    <m/>
    <m/>
    <m/>
    <s v="SOLFIN"/>
    <s v="SOLFIN"/>
    <s v="CCMS"/>
    <n v="21360478"/>
    <n v="3183.66"/>
    <m/>
    <s v="N"/>
    <n v="5"/>
    <d v="2023-07-11T11:51:06"/>
    <s v="Y"/>
    <s v="Preparation - drafting notice(s)"/>
    <s v="Prescribed Hourly Rates"/>
    <s v="Profit Cost"/>
    <s v="BS"/>
    <s v="Y"/>
    <n v="6.31"/>
    <n v="1.26"/>
    <x v="7"/>
    <s v="VALIDATED"/>
    <n v="1"/>
    <s v="01.11.80.307.6100.0000"/>
    <n v="6.31"/>
    <s v="11"/>
    <s v="6100"/>
    <n v="1391.81"/>
    <n v="6.31"/>
    <s v="CREDITOR"/>
    <n v="0"/>
    <n v="0"/>
    <n v="0"/>
    <n v="0"/>
    <n v="6.31"/>
  </r>
  <r>
    <n v="59628712"/>
    <s v="N"/>
    <n v="21360478"/>
    <s v="3000014024730004"/>
    <s v="CIVIL"/>
    <d v="2023-06-19T00:00:00"/>
    <d v="2023-07-11T11:50:54"/>
    <m/>
    <d v="2023-07-11T00:00:00"/>
    <n v="1377"/>
    <n v="18585"/>
    <s v="59628712"/>
    <s v="59628712"/>
    <m/>
    <m/>
    <n v="22715976"/>
    <m/>
    <m/>
    <m/>
    <s v="SOLFIN"/>
    <s v="SOLFIN"/>
    <s v="CCMS"/>
    <n v="21360478"/>
    <n v="3183.66"/>
    <m/>
    <s v="N"/>
    <n v="25"/>
    <d v="2023-07-11T11:51:06"/>
    <s v="Y"/>
    <s v="Routine Letter Out"/>
    <s v="Prescribed Hourly Rates"/>
    <s v="Profit Cost"/>
    <s v="KM"/>
    <s v="Y"/>
    <n v="313.2"/>
    <n v="62.64"/>
    <x v="7"/>
    <s v="VALIDATED"/>
    <n v="1"/>
    <s v="01.11.80.307.6100.0000"/>
    <n v="313.2"/>
    <s v="11"/>
    <s v="6100"/>
    <n v="1391.81"/>
    <n v="313.2"/>
    <s v="CREDITOR"/>
    <n v="0"/>
    <n v="0"/>
    <n v="0"/>
    <n v="0"/>
    <n v="313.2"/>
  </r>
  <r>
    <n v="59628712"/>
    <s v="N"/>
    <n v="21360478"/>
    <s v="3000014024730004"/>
    <s v="CIVIL"/>
    <d v="2023-06-19T00:00:00"/>
    <d v="2023-07-11T11:50:54"/>
    <m/>
    <d v="2023-07-11T00:00:00"/>
    <n v="1377"/>
    <n v="18585"/>
    <s v="59628712"/>
    <s v="59628712"/>
    <m/>
    <m/>
    <n v="22715976"/>
    <m/>
    <m/>
    <m/>
    <s v="SOLFIN"/>
    <s v="SOLFIN"/>
    <s v="CCMS"/>
    <n v="21360478"/>
    <n v="3183.66"/>
    <m/>
    <s v="N"/>
    <n v="11"/>
    <d v="2023-07-11T11:51:06"/>
    <s v="Y"/>
    <s v="Preparation - other"/>
    <s v="Prescribed Hourly Rates"/>
    <s v="Profit Cost"/>
    <s v="BS"/>
    <s v="Y"/>
    <n v="31.57"/>
    <n v="6.31"/>
    <x v="7"/>
    <s v="VALIDATED"/>
    <n v="1"/>
    <s v="01.11.80.307.6100.0000"/>
    <n v="31.57"/>
    <s v="11"/>
    <s v="6100"/>
    <n v="1391.81"/>
    <n v="31.57"/>
    <s v="CREDITOR"/>
    <n v="0"/>
    <n v="0"/>
    <n v="0"/>
    <n v="0"/>
    <n v="31.57"/>
  </r>
  <r>
    <n v="59628712"/>
    <s v="N"/>
    <n v="21360478"/>
    <s v="3000014024730004"/>
    <s v="CIVIL"/>
    <d v="2023-06-19T00:00:00"/>
    <d v="2023-07-11T11:50:54"/>
    <m/>
    <d v="2023-07-11T00:00:00"/>
    <n v="1377"/>
    <n v="18585"/>
    <s v="59628712"/>
    <s v="59628712"/>
    <m/>
    <m/>
    <n v="22715976"/>
    <m/>
    <m/>
    <m/>
    <s v="SOLFIN"/>
    <s v="SOLFIN"/>
    <s v="CCMS"/>
    <n v="21360478"/>
    <n v="3183.66"/>
    <m/>
    <s v="N"/>
    <n v="31"/>
    <d v="2023-07-11T11:51:06"/>
    <s v="Y"/>
    <s v="Preparation - drafting bill/claim f"/>
    <s v="Prescribed Hourly Rates"/>
    <s v="Profit Cost"/>
    <s v="LR"/>
    <s v="Y"/>
    <n v="137.25"/>
    <n v="27.45"/>
    <x v="7"/>
    <s v="VALIDATED"/>
    <n v="1"/>
    <s v="01.11.80.307.6100.0000"/>
    <n v="137.25"/>
    <s v="11"/>
    <s v="6100"/>
    <n v="1391.81"/>
    <n v="137.25"/>
    <s v="CREDITOR"/>
    <n v="0"/>
    <n v="0"/>
    <n v="0"/>
    <n v="0"/>
    <n v="137.25"/>
  </r>
  <r>
    <n v="59628712"/>
    <s v="N"/>
    <n v="21360478"/>
    <s v="3000014024730004"/>
    <s v="CIVIL"/>
    <d v="2023-06-19T00:00:00"/>
    <d v="2023-07-11T11:50:54"/>
    <m/>
    <d v="2023-07-11T00:00:00"/>
    <n v="1377"/>
    <n v="18585"/>
    <s v="59628712"/>
    <s v="59628712"/>
    <m/>
    <m/>
    <n v="22715976"/>
    <m/>
    <m/>
    <m/>
    <s v="SOLFIN"/>
    <s v="SOLFIN"/>
    <s v="CCMS"/>
    <n v="21360478"/>
    <n v="3183.66"/>
    <m/>
    <s v="N"/>
    <n v="40"/>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44"/>
    <d v="2023-07-11T11:51:06"/>
    <s v="Y"/>
    <s v="Hearing Unit 0.00 - 1.00 Hours"/>
    <s v="Private Law Children"/>
    <s v="Advocacy"/>
    <s v="SB"/>
    <s v="Y"/>
    <n v="62.69"/>
    <n v="12.54"/>
    <x v="7"/>
    <s v="VALIDATED"/>
    <n v="1"/>
    <s v="01.11.80.307.6100.0000"/>
    <n v="62.69"/>
    <s v="11"/>
    <s v="6100"/>
    <n v="1391.81"/>
    <n v="62.69"/>
    <s v="CREDITOR"/>
    <n v="0"/>
    <n v="0"/>
    <n v="0"/>
    <n v="0"/>
    <n v="62.69"/>
  </r>
  <r>
    <n v="59628712"/>
    <s v="N"/>
    <n v="21360478"/>
    <s v="3000014024730004"/>
    <s v="CIVIL"/>
    <d v="2023-06-19T00:00:00"/>
    <d v="2023-07-11T11:50:54"/>
    <m/>
    <d v="2023-07-11T00:00:00"/>
    <n v="1377"/>
    <n v="18585"/>
    <s v="59628712"/>
    <s v="59628712"/>
    <m/>
    <m/>
    <n v="22715976"/>
    <m/>
    <m/>
    <m/>
    <s v="SOLFIN"/>
    <s v="SOLFIN"/>
    <s v="CCMS"/>
    <n v="21360478"/>
    <n v="3183.66"/>
    <m/>
    <s v="N"/>
    <n v="42"/>
    <d v="2023-07-11T11:51:06"/>
    <s v="Y"/>
    <s v="Police Records"/>
    <s v="Private Law Children"/>
    <s v="Non Expert Disbursement"/>
    <s v="SB"/>
    <s v="Y"/>
    <n v="59.25"/>
    <n v="11.85"/>
    <x v="7"/>
    <s v="VALIDATED"/>
    <n v="1"/>
    <s v="01.11.80.307.6300.0000"/>
    <n v="59.25"/>
    <s v="11"/>
    <s v="6300"/>
    <n v="1391.81"/>
    <n v="59.25"/>
    <s v="CREDITOR"/>
    <n v="0"/>
    <n v="0"/>
    <n v="0"/>
    <n v="0"/>
    <n v="59.25"/>
  </r>
  <r>
    <n v="59628712"/>
    <s v="N"/>
    <n v="21360478"/>
    <s v="3000014024730004"/>
    <s v="CIVIL"/>
    <d v="2023-06-19T00:00:00"/>
    <d v="2023-07-11T11:50:54"/>
    <m/>
    <d v="2023-07-11T00:00:00"/>
    <n v="1377"/>
    <n v="18585"/>
    <s v="59628712"/>
    <s v="59628712"/>
    <m/>
    <m/>
    <n v="22715976"/>
    <m/>
    <m/>
    <m/>
    <s v="SOLFIN"/>
    <s v="SOLFIN"/>
    <s v="CCMS"/>
    <n v="21360478"/>
    <n v="3183.66"/>
    <m/>
    <s v="N"/>
    <n v="30"/>
    <d v="2023-07-11T11:51:06"/>
    <s v="Y"/>
    <s v="Preparation - other"/>
    <s v="Prescribed Hourly Rates"/>
    <s v="Profit Cost"/>
    <s v="BS"/>
    <s v="Y"/>
    <n v="25.25"/>
    <n v="5.05"/>
    <x v="7"/>
    <s v="VALIDATED"/>
    <n v="1"/>
    <s v="01.11.80.307.6100.0000"/>
    <n v="25.25"/>
    <s v="11"/>
    <s v="6100"/>
    <n v="1391.81"/>
    <n v="25.25"/>
    <s v="CREDITOR"/>
    <n v="0"/>
    <n v="0"/>
    <n v="0"/>
    <n v="0"/>
    <n v="25.25"/>
  </r>
  <r>
    <n v="59628712"/>
    <s v="N"/>
    <n v="21360478"/>
    <s v="3000014024730004"/>
    <s v="CIVIL"/>
    <d v="2023-06-19T00:00:00"/>
    <d v="2023-07-11T11:50:54"/>
    <m/>
    <d v="2023-07-11T00:00:00"/>
    <n v="1377"/>
    <n v="18585"/>
    <s v="59628712"/>
    <s v="59628712"/>
    <m/>
    <m/>
    <n v="22715976"/>
    <m/>
    <m/>
    <m/>
    <s v="SOLFIN"/>
    <s v="SOLFIN"/>
    <s v="CCMS"/>
    <n v="21360478"/>
    <n v="3183.66"/>
    <m/>
    <s v="N"/>
    <n v="38"/>
    <d v="2023-07-11T11:51:06"/>
    <s v="Y"/>
    <s v="Attendance upon client"/>
    <s v="Prescribed Hourly Rates"/>
    <s v="Profit Cost"/>
    <s v="BS"/>
    <s v="Y"/>
    <n v="63.14"/>
    <n v="12.63"/>
    <x v="7"/>
    <s v="VALIDATED"/>
    <n v="1"/>
    <s v="01.11.80.307.6100.0000"/>
    <n v="63.14"/>
    <s v="11"/>
    <s v="6100"/>
    <n v="1391.81"/>
    <n v="63.14"/>
    <s v="CREDITOR"/>
    <n v="0"/>
    <n v="0"/>
    <n v="0"/>
    <n v="0"/>
    <n v="63.14"/>
  </r>
  <r>
    <n v="59628712"/>
    <s v="N"/>
    <n v="21360478"/>
    <s v="3000014024730004"/>
    <s v="CIVIL"/>
    <d v="2023-06-19T00:00:00"/>
    <d v="2023-07-11T11:50:54"/>
    <m/>
    <d v="2023-07-11T00:00:00"/>
    <n v="1377"/>
    <n v="18585"/>
    <s v="59628712"/>
    <s v="59628712"/>
    <m/>
    <m/>
    <n v="22715976"/>
    <m/>
    <m/>
    <m/>
    <s v="SOLFIN"/>
    <s v="SOLFIN"/>
    <s v="CCMS"/>
    <n v="21360478"/>
    <n v="3183.66"/>
    <m/>
    <s v="N"/>
    <n v="33"/>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26"/>
    <d v="2023-07-11T11:51:06"/>
    <s v="Y"/>
    <s v="Preparation - other"/>
    <s v="Prescribed Hourly Rates"/>
    <s v="Profit Cost"/>
    <s v="BS"/>
    <s v="Y"/>
    <n v="31.57"/>
    <n v="6.31"/>
    <x v="7"/>
    <s v="VALIDATED"/>
    <n v="1"/>
    <s v="01.11.80.307.6100.0000"/>
    <n v="31.57"/>
    <s v="11"/>
    <s v="6100"/>
    <n v="1391.81"/>
    <n v="31.57"/>
    <s v="CREDITOR"/>
    <n v="0"/>
    <n v="0"/>
    <n v="0"/>
    <n v="0"/>
    <n v="31.57"/>
  </r>
  <r>
    <n v="59628712"/>
    <s v="N"/>
    <n v="21360478"/>
    <s v="3000014024730004"/>
    <s v="CIVIL"/>
    <d v="2023-06-19T00:00:00"/>
    <d v="2023-07-11T11:50:54"/>
    <m/>
    <d v="2023-07-11T00:00:00"/>
    <n v="1377"/>
    <n v="18585"/>
    <s v="59628712"/>
    <s v="59628712"/>
    <m/>
    <m/>
    <n v="22715976"/>
    <m/>
    <m/>
    <m/>
    <s v="SOLFIN"/>
    <s v="SOLFIN"/>
    <s v="CCMS"/>
    <n v="21360478"/>
    <n v="3183.66"/>
    <m/>
    <s v="N"/>
    <n v="14"/>
    <d v="2023-07-11T11:51:06"/>
    <s v="Y"/>
    <s v="Preparation - other"/>
    <s v="Prescribed Hourly Rates"/>
    <s v="Profit Cost"/>
    <s v="BS"/>
    <s v="Y"/>
    <n v="37.88"/>
    <n v="7.58"/>
    <x v="7"/>
    <s v="VALIDATED"/>
    <n v="1"/>
    <s v="01.11.80.307.6100.0000"/>
    <n v="37.88"/>
    <s v="11"/>
    <s v="6100"/>
    <n v="1391.81"/>
    <n v="37.88"/>
    <s v="CREDITOR"/>
    <n v="0"/>
    <n v="0"/>
    <n v="0"/>
    <n v="0"/>
    <n v="37.88"/>
  </r>
  <r>
    <n v="59628712"/>
    <s v="N"/>
    <n v="21360478"/>
    <s v="3000014024730004"/>
    <s v="CIVIL"/>
    <d v="2023-06-19T00:00:00"/>
    <d v="2023-07-11T11:50:54"/>
    <m/>
    <d v="2023-07-11T00:00:00"/>
    <n v="1377"/>
    <n v="18585"/>
    <s v="59628712"/>
    <s v="59628712"/>
    <m/>
    <m/>
    <n v="22715976"/>
    <m/>
    <m/>
    <m/>
    <s v="SOLFIN"/>
    <s v="SOLFIN"/>
    <s v="CCMS"/>
    <n v="21360478"/>
    <n v="3183.66"/>
    <m/>
    <s v="N"/>
    <n v="15"/>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12"/>
    <d v="2023-07-11T11:51:06"/>
    <s v="Y"/>
    <s v="Preparation - drafting application"/>
    <s v="Prescribed Hourly Rates"/>
    <s v="Profit Cost"/>
    <s v="BS"/>
    <s v="Y"/>
    <n v="37.88"/>
    <n v="7.58"/>
    <x v="7"/>
    <s v="VALIDATED"/>
    <n v="1"/>
    <s v="01.11.80.307.6100.0000"/>
    <n v="37.88"/>
    <s v="11"/>
    <s v="6100"/>
    <n v="1391.81"/>
    <n v="37.88"/>
    <s v="CREDITOR"/>
    <n v="0"/>
    <n v="0"/>
    <n v="0"/>
    <n v="0"/>
    <n v="37.88"/>
  </r>
  <r>
    <n v="59628712"/>
    <s v="N"/>
    <n v="21360478"/>
    <s v="3000014024730004"/>
    <s v="CIVIL"/>
    <d v="2023-06-19T00:00:00"/>
    <d v="2023-07-11T11:50:54"/>
    <m/>
    <d v="2023-07-11T00:00:00"/>
    <n v="1377"/>
    <n v="18585"/>
    <s v="59628712"/>
    <s v="59628712"/>
    <m/>
    <m/>
    <n v="22715976"/>
    <m/>
    <m/>
    <m/>
    <s v="SOLFIN"/>
    <s v="SOLFIN"/>
    <s v="CCMS"/>
    <n v="21360478"/>
    <n v="3183.66"/>
    <m/>
    <s v="N"/>
    <n v="2"/>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28"/>
    <d v="2023-07-11T11:51:06"/>
    <s v="Y"/>
    <s v="Preparation - other"/>
    <s v="Prescribed Hourly Rates"/>
    <s v="Profit Cost"/>
    <s v="BS"/>
    <s v="Y"/>
    <n v="25.25"/>
    <n v="5.05"/>
    <x v="7"/>
    <s v="VALIDATED"/>
    <n v="1"/>
    <s v="01.11.80.307.6100.0000"/>
    <n v="25.25"/>
    <s v="11"/>
    <s v="6100"/>
    <n v="1391.81"/>
    <n v="25.25"/>
    <s v="CREDITOR"/>
    <n v="0"/>
    <n v="0"/>
    <n v="0"/>
    <n v="0"/>
    <n v="25.25"/>
  </r>
  <r>
    <n v="59628712"/>
    <s v="N"/>
    <n v="21360478"/>
    <s v="3000014024730004"/>
    <s v="CIVIL"/>
    <d v="2023-06-19T00:00:00"/>
    <d v="2023-07-11T11:50:54"/>
    <m/>
    <d v="2023-07-11T00:00:00"/>
    <n v="1377"/>
    <n v="18585"/>
    <s v="59628712"/>
    <s v="59628712"/>
    <m/>
    <m/>
    <n v="22715976"/>
    <m/>
    <m/>
    <m/>
    <s v="SOLFIN"/>
    <s v="SOLFIN"/>
    <s v="CCMS"/>
    <n v="21360478"/>
    <n v="3183.66"/>
    <m/>
    <s v="N"/>
    <n v="20"/>
    <d v="2023-07-11T11:51:06"/>
    <s v="Y"/>
    <s v="Attendance upon client"/>
    <s v="Prescribed Hourly Rates"/>
    <s v="Profit Cost"/>
    <s v="BS"/>
    <s v="Y"/>
    <n v="31.57"/>
    <n v="6.31"/>
    <x v="7"/>
    <s v="VALIDATED"/>
    <n v="1"/>
    <s v="01.11.80.307.6100.0000"/>
    <n v="31.57"/>
    <s v="11"/>
    <s v="6100"/>
    <n v="1391.81"/>
    <n v="31.57"/>
    <s v="CREDITOR"/>
    <n v="0"/>
    <n v="0"/>
    <n v="0"/>
    <n v="0"/>
    <n v="31.57"/>
  </r>
  <r>
    <n v="59628712"/>
    <s v="N"/>
    <n v="21360478"/>
    <s v="3000014024730004"/>
    <s v="CIVIL"/>
    <d v="2023-06-19T00:00:00"/>
    <d v="2023-07-11T11:50:54"/>
    <m/>
    <d v="2023-07-11T00:00:00"/>
    <n v="1377"/>
    <n v="18585"/>
    <s v="59628712"/>
    <s v="59628712"/>
    <m/>
    <m/>
    <n v="22715976"/>
    <m/>
    <m/>
    <m/>
    <s v="SOLFIN"/>
    <s v="SOLFIN"/>
    <s v="CCMS"/>
    <n v="21360478"/>
    <n v="3183.66"/>
    <m/>
    <s v="N"/>
    <n v="21"/>
    <d v="2023-07-11T11:51:06"/>
    <s v="Y"/>
    <s v="Routine Letter In"/>
    <s v="Prescribed Hourly Rates"/>
    <s v="Profit Cost"/>
    <s v="BS"/>
    <s v="Y"/>
    <n v="129.6"/>
    <n v="25.92"/>
    <x v="7"/>
    <s v="VALIDATED"/>
    <n v="1"/>
    <s v="01.11.80.307.6100.0000"/>
    <n v="129.6"/>
    <s v="11"/>
    <s v="6100"/>
    <n v="1391.81"/>
    <n v="129.6"/>
    <s v="CREDITOR"/>
    <n v="0"/>
    <n v="0"/>
    <n v="0"/>
    <n v="0"/>
    <n v="129.6"/>
  </r>
  <r>
    <n v="59628712"/>
    <s v="N"/>
    <n v="21360478"/>
    <s v="3000014024730004"/>
    <s v="CIVIL"/>
    <d v="2023-06-19T00:00:00"/>
    <d v="2023-07-11T11:50:54"/>
    <m/>
    <d v="2023-07-11T00:00:00"/>
    <n v="1377"/>
    <n v="18585"/>
    <s v="59628712"/>
    <s v="59628712"/>
    <m/>
    <m/>
    <n v="22715976"/>
    <m/>
    <m/>
    <m/>
    <s v="SOLFIN"/>
    <s v="SOLFIN"/>
    <s v="CCMS"/>
    <n v="21360478"/>
    <n v="3183.66"/>
    <m/>
    <s v="N"/>
    <n v="37"/>
    <d v="2023-07-11T11:51:06"/>
    <s v="Y"/>
    <s v="Preparation - other"/>
    <s v="Prescribed Hourly Rates"/>
    <s v="Profit Cost"/>
    <s v="BS"/>
    <s v="Y"/>
    <n v="6.31"/>
    <n v="1.26"/>
    <x v="7"/>
    <s v="VALIDATED"/>
    <n v="1"/>
    <s v="01.11.80.307.6100.0000"/>
    <n v="6.31"/>
    <s v="11"/>
    <s v="6100"/>
    <n v="1391.81"/>
    <n v="6.31"/>
    <s v="CREDITOR"/>
    <n v="0"/>
    <n v="0"/>
    <n v="0"/>
    <n v="0"/>
    <n v="6.31"/>
  </r>
  <r>
    <n v="59628712"/>
    <s v="N"/>
    <n v="21360478"/>
    <s v="3000014024730004"/>
    <s v="CIVIL"/>
    <d v="2023-06-19T00:00:00"/>
    <d v="2023-07-11T11:50:54"/>
    <m/>
    <d v="2023-07-11T00:00:00"/>
    <n v="1377"/>
    <n v="18585"/>
    <s v="59628712"/>
    <s v="59628712"/>
    <m/>
    <m/>
    <n v="22715976"/>
    <m/>
    <m/>
    <m/>
    <s v="SOLFIN"/>
    <s v="SOLFIN"/>
    <s v="CCMS"/>
    <n v="21360478"/>
    <n v="3183.66"/>
    <m/>
    <s v="N"/>
    <n v="10"/>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6"/>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39"/>
    <d v="2023-07-11T11:51:06"/>
    <s v="Y"/>
    <s v="Preparation - other"/>
    <s v="Prescribed Hourly Rates"/>
    <s v="Profit Cost"/>
    <s v="BS"/>
    <s v="Y"/>
    <n v="12.63"/>
    <n v="2.53"/>
    <x v="7"/>
    <s v="VALIDATED"/>
    <n v="1"/>
    <s v="01.11.80.307.6100.0000"/>
    <n v="12.63"/>
    <s v="11"/>
    <s v="6100"/>
    <n v="1391.81"/>
    <n v="12.63"/>
    <s v="CREDITOR"/>
    <n v="0"/>
    <n v="0"/>
    <n v="0"/>
    <n v="0"/>
    <n v="12.63"/>
  </r>
  <r>
    <n v="59628712"/>
    <s v="N"/>
    <n v="21360478"/>
    <s v="3000014024730004"/>
    <s v="CIVIL"/>
    <d v="2023-06-19T00:00:00"/>
    <d v="2023-07-11T11:50:54"/>
    <m/>
    <d v="2023-07-11T00:00:00"/>
    <n v="1377"/>
    <n v="18585"/>
    <s v="59628712"/>
    <s v="59628712"/>
    <m/>
    <m/>
    <n v="22715976"/>
    <m/>
    <m/>
    <m/>
    <s v="SOLFIN"/>
    <s v="SOLFIN"/>
    <s v="CCMS"/>
    <n v="21360478"/>
    <n v="3183.66"/>
    <m/>
    <s v="N"/>
    <n v="27"/>
    <d v="2023-07-11T11:51:06"/>
    <s v="Y"/>
    <s v="Routine Letter Out"/>
    <s v="Prescribed Hourly Rates"/>
    <s v="Profit Cost"/>
    <s v="BS"/>
    <s v="Y"/>
    <n v="279.45"/>
    <n v="55.89"/>
    <x v="7"/>
    <s v="VALIDATED"/>
    <n v="1"/>
    <s v="01.11.80.307.6100.0000"/>
    <n v="279.45"/>
    <s v="11"/>
    <s v="6100"/>
    <n v="1391.81"/>
    <n v="279.45"/>
    <s v="CREDITOR"/>
    <n v="0"/>
    <n v="0"/>
    <n v="0"/>
    <n v="0"/>
    <n v="279.45"/>
  </r>
  <r>
    <n v="59628712"/>
    <s v="N"/>
    <n v="21361471"/>
    <s v="3000014024730001RC"/>
    <s v="CIVIL"/>
    <d v="2023-06-19T00:00:00"/>
    <d v="2023-07-11T19:38:00"/>
    <m/>
    <d v="2023-07-11T00:00:00"/>
    <n v="1377"/>
    <n v="18585"/>
    <s v="59628712"/>
    <s v="59628712"/>
    <m/>
    <m/>
    <m/>
    <m/>
    <m/>
    <m/>
    <s v="SOLRECOUP"/>
    <s v="SOLRECOUP"/>
    <s v="POARECOUP"/>
    <n v="21361471"/>
    <n v="-1442.59"/>
    <m/>
    <s v="Y"/>
    <n v="2"/>
    <d v="2023-07-11T19:38:01"/>
    <s v="N"/>
    <m/>
    <m/>
    <s v="Profit Cost"/>
    <m/>
    <s v="N"/>
    <n v="0"/>
    <n v="-240.43"/>
    <x v="7"/>
    <s v="VALIDATED"/>
    <n v="1"/>
    <s v="01.11.80.307.2013.0000"/>
    <n v="-240.43"/>
    <s v="11"/>
    <s v="2013"/>
    <n v="1391.81"/>
    <n v="-240.43"/>
    <s v="CREDITOR"/>
    <n v="0"/>
    <n v="0"/>
    <n v="-240.43"/>
    <n v="-60.1075"/>
    <n v="0"/>
  </r>
  <r>
    <n v="59628712"/>
    <s v="N"/>
    <n v="21361471"/>
    <s v="3000014024730001RC"/>
    <s v="CIVIL"/>
    <d v="2023-06-19T00:00:00"/>
    <d v="2023-07-11T19:38:00"/>
    <m/>
    <d v="2023-07-11T00:00:00"/>
    <n v="1377"/>
    <n v="18585"/>
    <s v="59628712"/>
    <s v="59628712"/>
    <m/>
    <m/>
    <m/>
    <m/>
    <m/>
    <m/>
    <s v="SOLRECOUP"/>
    <s v="SOLRECOUP"/>
    <s v="POARECOUP"/>
    <n v="21361471"/>
    <n v="-1442.59"/>
    <m/>
    <s v="Y"/>
    <n v="1"/>
    <d v="2023-07-11T19:38:01"/>
    <s v="N"/>
    <m/>
    <m/>
    <s v="Profit Cost"/>
    <m/>
    <s v="N"/>
    <n v="-1202.16"/>
    <n v="0"/>
    <x v="7"/>
    <s v="VALIDATED"/>
    <n v="1"/>
    <s v="01.11.80.307.2013.0000"/>
    <n v="-1202.16"/>
    <s v="11"/>
    <s v="2013"/>
    <n v="1391.81"/>
    <n v="-1202.16"/>
    <s v="CREDITOR"/>
    <n v="0"/>
    <n v="0"/>
    <n v="-1202.16"/>
    <n v="-300.54"/>
    <n v="0"/>
  </r>
  <r>
    <n v="59628712"/>
    <s v="N"/>
    <n v="21361472"/>
    <s v="3000014024730003RC"/>
    <s v="CIVIL"/>
    <d v="2023-06-19T00:00:00"/>
    <d v="2023-07-11T19:38:00"/>
    <m/>
    <d v="2023-07-11T00:00:00"/>
    <n v="1377"/>
    <n v="18585"/>
    <s v="59628712"/>
    <s v="59628712"/>
    <m/>
    <m/>
    <m/>
    <m/>
    <m/>
    <m/>
    <s v="SOLRECOUP"/>
    <s v="SOLRECOUP"/>
    <s v="POARECOUP"/>
    <n v="21361472"/>
    <n v="-404.9"/>
    <m/>
    <s v="Y"/>
    <n v="2"/>
    <d v="2023-07-11T19:38:01"/>
    <s v="N"/>
    <m/>
    <m/>
    <s v="Expert Disbursement"/>
    <m/>
    <s v="N"/>
    <n v="0"/>
    <n v="0"/>
    <x v="7"/>
    <s v="VALIDATED"/>
    <n v="1"/>
    <s v="01.11.80.000.0000.0000"/>
    <n v="0"/>
    <s v="11"/>
    <s v="0000"/>
    <n v="1391.81"/>
    <n v="0"/>
    <s v="CREDITOR"/>
    <n v="0"/>
    <n v="0"/>
    <n v="0"/>
    <n v="0"/>
    <n v="0"/>
  </r>
  <r>
    <n v="59628712"/>
    <s v="N"/>
    <n v="21361472"/>
    <s v="3000014024730003RC"/>
    <s v="CIVIL"/>
    <d v="2023-06-19T00:00:00"/>
    <d v="2023-07-11T19:38:00"/>
    <m/>
    <d v="2023-07-11T00:00:00"/>
    <n v="1377"/>
    <n v="18585"/>
    <s v="59628712"/>
    <s v="59628712"/>
    <m/>
    <m/>
    <m/>
    <m/>
    <m/>
    <m/>
    <s v="SOLRECOUP"/>
    <s v="SOLRECOUP"/>
    <s v="POARECOUP"/>
    <n v="21361472"/>
    <n v="-404.9"/>
    <m/>
    <s v="Y"/>
    <n v="1"/>
    <d v="2023-07-11T19:38:01"/>
    <s v="N"/>
    <m/>
    <m/>
    <s v="Expert Disbursement"/>
    <m/>
    <s v="N"/>
    <n v="-404.9"/>
    <n v="0"/>
    <x v="7"/>
    <s v="VALIDATED"/>
    <n v="1"/>
    <s v="01.11.80.307.2013.0000"/>
    <n v="-404.9"/>
    <s v="11"/>
    <s v="2013"/>
    <n v="1391.81"/>
    <n v="-404.9"/>
    <s v="CREDITOR"/>
    <n v="0"/>
    <n v="0"/>
    <n v="-404.9"/>
    <n v="0"/>
    <n v="0"/>
  </r>
  <r>
    <n v="62439027"/>
    <s v="N"/>
    <n v="21338107"/>
    <s v="3000016406640003"/>
    <s v="CIVIL"/>
    <d v="2023-06-29T00:00:00"/>
    <d v="2023-07-06T19:21:01"/>
    <m/>
    <d v="2023-07-06T00:00:00"/>
    <n v="1378"/>
    <n v="18596"/>
    <s v="62439027"/>
    <s v="62439027"/>
    <m/>
    <m/>
    <n v="22791548"/>
    <m/>
    <m/>
    <m/>
    <s v="SOLPOA"/>
    <s v="SOLPOA"/>
    <s v="CCMS"/>
    <n v="21338107"/>
    <n v="70.40000000000001"/>
    <m/>
    <s v="N"/>
    <n v="1"/>
    <d v="2023-07-06T19:21:11"/>
    <s v="N"/>
    <s v="Non Expert Disbursement"/>
    <s v="Non Expert Disbursement"/>
    <s v="Non Expert Disbursement"/>
    <s v="EAD"/>
    <s v="N"/>
    <n v="58.67"/>
    <n v="11.73"/>
    <x v="4"/>
    <s v="VALIDATED"/>
    <n v="1"/>
    <s v="01.11.80.308.2012.0000"/>
    <n v="58.67"/>
    <s v="11"/>
    <s v="2012"/>
    <n v="58.67"/>
    <n v="58.67"/>
    <s v="CREDITOR"/>
    <n v="58.67"/>
    <n v="0"/>
    <n v="0"/>
    <n v="0"/>
    <n v="0"/>
  </r>
  <r>
    <n v="60803951"/>
    <s v="N"/>
    <n v="21331283"/>
    <s v="3000015038670010"/>
    <s v="CIVIL"/>
    <d v="2023-06-21T00:00:00"/>
    <d v="2023-07-05T19:01:47"/>
    <m/>
    <d v="2023-07-05T00:00:00"/>
    <n v="1379"/>
    <n v="14317"/>
    <s v="60803951"/>
    <s v="60803951"/>
    <m/>
    <m/>
    <n v="22736842"/>
    <m/>
    <m/>
    <m/>
    <s v="SOLFIN"/>
    <s v="SOLFIN"/>
    <s v="CCMS"/>
    <n v="21331283"/>
    <n v="12906.78"/>
    <m/>
    <s v="N"/>
    <n v="14"/>
    <d v="2023-07-05T19:02:13"/>
    <s v="Y"/>
    <s v="Advocates Meeting"/>
    <s v="Public Law Children"/>
    <s v="Advocacy"/>
    <s v="Ros Greig"/>
    <s v="Y"/>
    <n v="140.99"/>
    <n v="28.2"/>
    <x v="6"/>
    <s v="VALIDATED"/>
    <n v="1"/>
    <s v="01.11.80.308.6100.0000"/>
    <n v="140.99"/>
    <s v="11"/>
    <s v="6100"/>
    <n v="5740.08"/>
    <n v="140.99"/>
    <s v="CREDITOR"/>
    <n v="0"/>
    <n v="0"/>
    <n v="0"/>
    <n v="0"/>
    <n v="140.99"/>
  </r>
  <r>
    <n v="10178002"/>
    <s v="N"/>
    <n v="21360708"/>
    <s v="3000006053950013"/>
    <s v="CIVIL"/>
    <d v="2023-06-26T00:00:00"/>
    <d v="2023-07-11T19:00:25"/>
    <m/>
    <d v="2023-07-11T00:00:00"/>
    <n v="1379"/>
    <n v="14317"/>
    <s v="10178002"/>
    <s v="10178002"/>
    <m/>
    <m/>
    <n v="22764416"/>
    <m/>
    <m/>
    <m/>
    <s v="SOLFIN"/>
    <s v="SOLFIN"/>
    <s v="CCMS"/>
    <n v="21360708"/>
    <n v="4859.46"/>
    <m/>
    <s v="N"/>
    <n v="14"/>
    <d v="2023-07-11T19:00:31"/>
    <s v="Y"/>
    <s v="Hearing Unit 1.01 - 2.30 Hours"/>
    <s v="Public Law Children"/>
    <s v="Advocacy"/>
    <s v="Ros Greig"/>
    <s v="Y"/>
    <n v="238.46"/>
    <n v="47.69"/>
    <x v="7"/>
    <s v="VALIDATED"/>
    <n v="1"/>
    <s v="01.11.80.308.6100.0000"/>
    <n v="238.46"/>
    <s v="11"/>
    <s v="6100"/>
    <n v="5740.08"/>
    <n v="238.46"/>
    <s v="CREDITOR"/>
    <n v="0"/>
    <n v="0"/>
    <n v="0"/>
    <n v="0"/>
    <n v="238.46"/>
  </r>
  <r>
    <n v="10178002"/>
    <s v="N"/>
    <n v="21360708"/>
    <s v="3000006053950013"/>
    <s v="CIVIL"/>
    <d v="2023-06-26T00:00:00"/>
    <d v="2023-07-11T19:00:25"/>
    <m/>
    <d v="2023-07-11T00:00:00"/>
    <n v="1379"/>
    <n v="14317"/>
    <s v="10178002"/>
    <s v="10178002"/>
    <m/>
    <m/>
    <n v="22764416"/>
    <m/>
    <m/>
    <m/>
    <s v="SOLFIN"/>
    <s v="SOLFIN"/>
    <s v="CCMS"/>
    <n v="21360708"/>
    <n v="4859.46"/>
    <m/>
    <s v="N"/>
    <n v="8"/>
    <d v="2023-07-11T19:00:31"/>
    <s v="Y"/>
    <s v="Solicitor Travel Mileage"/>
    <s v="Public Law Children"/>
    <s v="Non Expert Disbursement"/>
    <s v="Ros Greig"/>
    <s v="Y"/>
    <n v="10.8"/>
    <n v="2.16"/>
    <x v="7"/>
    <s v="VALIDATED"/>
    <n v="1"/>
    <s v="01.11.80.308.6300.0000"/>
    <n v="10.8"/>
    <s v="11"/>
    <s v="6300"/>
    <n v="5740.08"/>
    <n v="10.8"/>
    <s v="CREDITOR"/>
    <n v="0"/>
    <n v="0"/>
    <n v="0"/>
    <n v="0"/>
    <n v="10.8"/>
  </r>
  <r>
    <n v="10178002"/>
    <s v="N"/>
    <n v="21360708"/>
    <s v="3000006053950013"/>
    <s v="CIVIL"/>
    <d v="2023-06-26T00:00:00"/>
    <d v="2023-07-11T19:00:25"/>
    <m/>
    <d v="2023-07-11T00:00:00"/>
    <n v="1379"/>
    <n v="14317"/>
    <s v="10178002"/>
    <s v="10178002"/>
    <m/>
    <m/>
    <n v="22764416"/>
    <m/>
    <m/>
    <m/>
    <s v="SOLFIN"/>
    <s v="SOLFIN"/>
    <s v="CCMS"/>
    <n v="21360708"/>
    <n v="4859.46"/>
    <m/>
    <s v="N"/>
    <n v="10"/>
    <d v="2023-07-11T19:00:31"/>
    <s v="Y"/>
    <s v="Advocates Meeting"/>
    <s v="Public Law Children"/>
    <s v="Advocacy"/>
    <s v="Ros Greig"/>
    <s v="Y"/>
    <n v="140.99"/>
    <n v="28.2"/>
    <x v="7"/>
    <s v="VALIDATED"/>
    <n v="1"/>
    <s v="01.11.80.308.6100.0000"/>
    <n v="140.99"/>
    <s v="11"/>
    <s v="6100"/>
    <n v="5740.08"/>
    <n v="140.99"/>
    <s v="CREDITOR"/>
    <n v="0"/>
    <n v="0"/>
    <n v="0"/>
    <n v="0"/>
    <n v="140.99"/>
  </r>
  <r>
    <n v="10178002"/>
    <s v="N"/>
    <n v="21360708"/>
    <s v="3000006053950013"/>
    <s v="CIVIL"/>
    <d v="2023-06-26T00:00:00"/>
    <d v="2023-07-11T19:00:25"/>
    <m/>
    <d v="2023-07-11T00:00:00"/>
    <n v="1379"/>
    <n v="14317"/>
    <s v="10178002"/>
    <s v="10178002"/>
    <m/>
    <m/>
    <n v="22764416"/>
    <m/>
    <m/>
    <m/>
    <s v="SOLFIN"/>
    <s v="SOLFIN"/>
    <s v="CCMS"/>
    <n v="21360708"/>
    <n v="4859.46"/>
    <m/>
    <s v="N"/>
    <n v="13"/>
    <d v="2023-07-11T19:00:31"/>
    <s v="Y"/>
    <s v="Hearing Unit 1.01 - 2.30 Hours"/>
    <s v="Public Law Children"/>
    <s v="Advocacy"/>
    <s v="Ros Greig"/>
    <s v="Y"/>
    <n v="238.46"/>
    <n v="47.69"/>
    <x v="7"/>
    <s v="VALIDATED"/>
    <n v="1"/>
    <s v="01.11.80.308.6100.0000"/>
    <n v="238.46"/>
    <s v="11"/>
    <s v="6100"/>
    <n v="5740.08"/>
    <n v="238.46"/>
    <s v="CREDITOR"/>
    <n v="0"/>
    <n v="0"/>
    <n v="0"/>
    <n v="0"/>
    <n v="238.46"/>
  </r>
  <r>
    <n v="60803951"/>
    <s v="N"/>
    <n v="21331283"/>
    <s v="3000015038670010"/>
    <s v="CIVIL"/>
    <d v="2023-06-21T00:00:00"/>
    <d v="2023-07-05T19:01:47"/>
    <m/>
    <d v="2023-07-05T00:00:00"/>
    <n v="1379"/>
    <n v="14317"/>
    <s v="60803951"/>
    <s v="60803951"/>
    <m/>
    <m/>
    <n v="22736842"/>
    <m/>
    <m/>
    <m/>
    <s v="SOLFIN"/>
    <s v="SOLFIN"/>
    <s v="CCMS"/>
    <n v="21331283"/>
    <n v="12906.78"/>
    <m/>
    <s v="N"/>
    <n v="12"/>
    <d v="2023-07-05T19:02:13"/>
    <s v="Y"/>
    <s v="Hearing Unit 2.31 - 5.00 Hours"/>
    <s v="Public Law Children"/>
    <s v="Advocacy"/>
    <s v="Ros Greig"/>
    <s v="Y"/>
    <n v="596.15"/>
    <n v="119.23"/>
    <x v="6"/>
    <s v="VALIDATED"/>
    <n v="1"/>
    <s v="01.11.80.308.6100.0000"/>
    <n v="596.15"/>
    <s v="11"/>
    <s v="6100"/>
    <n v="5740.08"/>
    <n v="596.15"/>
    <s v="CREDITOR"/>
    <n v="0"/>
    <n v="0"/>
    <n v="0"/>
    <n v="0"/>
    <n v="596.15"/>
  </r>
  <r>
    <n v="60803951"/>
    <s v="N"/>
    <n v="21331283"/>
    <s v="3000015038670010"/>
    <s v="CIVIL"/>
    <d v="2023-06-21T00:00:00"/>
    <d v="2023-07-05T19:01:47"/>
    <m/>
    <d v="2023-07-05T00:00:00"/>
    <n v="1379"/>
    <n v="14317"/>
    <s v="60803951"/>
    <s v="60803951"/>
    <m/>
    <m/>
    <n v="22736842"/>
    <m/>
    <m/>
    <m/>
    <s v="SOLFIN"/>
    <s v="SOLFIN"/>
    <s v="CCMS"/>
    <n v="21331283"/>
    <n v="12906.78"/>
    <m/>
    <s v="N"/>
    <n v="5"/>
    <d v="2023-07-05T19:02:13"/>
    <s v="Y"/>
    <s v="Disbursements (Summary)"/>
    <s v="Public Law Children"/>
    <s v="Non Expert Disbursement"/>
    <s v="Ros Greig"/>
    <s v="Y"/>
    <n v="220"/>
    <n v="0"/>
    <x v="6"/>
    <s v="VALIDATED"/>
    <n v="1"/>
    <s v="01.11.80.308.6300.0000"/>
    <n v="220"/>
    <s v="11"/>
    <s v="6300"/>
    <n v="5740.08"/>
    <n v="220"/>
    <s v="CREDITOR"/>
    <n v="0"/>
    <n v="0"/>
    <n v="0"/>
    <n v="0"/>
    <n v="220"/>
  </r>
  <r>
    <n v="10178002"/>
    <s v="N"/>
    <n v="21360708"/>
    <s v="3000006053950013"/>
    <s v="CIVIL"/>
    <d v="2023-06-26T00:00:00"/>
    <d v="2023-07-11T19:00:25"/>
    <m/>
    <d v="2023-07-11T00:00:00"/>
    <n v="1379"/>
    <n v="14317"/>
    <s v="10178002"/>
    <s v="10178002"/>
    <m/>
    <m/>
    <n v="22764416"/>
    <m/>
    <m/>
    <m/>
    <s v="SOLFIN"/>
    <s v="SOLFIN"/>
    <s v="CCMS"/>
    <n v="21360708"/>
    <n v="4859.46"/>
    <m/>
    <s v="N"/>
    <n v="7"/>
    <d v="2023-07-11T19:00:31"/>
    <s v="Y"/>
    <s v="Solicitor Travel Expenses"/>
    <s v="Public Law Children"/>
    <s v="Non Expert Disbursement"/>
    <s v="Ros Greig"/>
    <s v="Y"/>
    <n v="3.75"/>
    <n v="0.75"/>
    <x v="7"/>
    <s v="VALIDATED"/>
    <n v="1"/>
    <s v="01.11.80.308.6300.0000"/>
    <n v="3.75"/>
    <s v="11"/>
    <s v="6300"/>
    <n v="5740.08"/>
    <n v="3.75"/>
    <s v="CREDITOR"/>
    <n v="0"/>
    <n v="0"/>
    <n v="0"/>
    <n v="0"/>
    <n v="3.75"/>
  </r>
  <r>
    <n v="60803951"/>
    <s v="N"/>
    <n v="21331283"/>
    <s v="3000015038670010"/>
    <s v="CIVIL"/>
    <d v="2023-06-21T00:00:00"/>
    <d v="2023-07-05T19:01:47"/>
    <m/>
    <d v="2023-07-05T00:00:00"/>
    <n v="1379"/>
    <n v="14317"/>
    <s v="60803951"/>
    <s v="60803951"/>
    <m/>
    <m/>
    <n v="22736842"/>
    <m/>
    <m/>
    <m/>
    <s v="SOLFIN"/>
    <s v="SOLFIN"/>
    <s v="CCMS"/>
    <n v="21331283"/>
    <n v="12906.78"/>
    <m/>
    <s v="N"/>
    <n v="4"/>
    <d v="2023-07-05T19:02:13"/>
    <s v="Y"/>
    <s v="Profit Costs (Summary)"/>
    <s v="Public Law Children"/>
    <s v="Profit Cost"/>
    <s v="Ros Greig"/>
    <s v="Y"/>
    <n v="7247.71"/>
    <n v="1449.54"/>
    <x v="6"/>
    <s v="VALIDATED"/>
    <n v="1"/>
    <s v="01.11.80.308.6100.0000"/>
    <n v="7247.71"/>
    <s v="11"/>
    <s v="6100"/>
    <n v="5740.08"/>
    <n v="7247.71"/>
    <s v="CREDITOR"/>
    <n v="0"/>
    <n v="0"/>
    <n v="0"/>
    <n v="0"/>
    <n v="7247.71"/>
  </r>
  <r>
    <n v="60803951"/>
    <s v="N"/>
    <n v="21331283"/>
    <s v="3000015038670010"/>
    <s v="CIVIL"/>
    <d v="2023-06-21T00:00:00"/>
    <d v="2023-07-05T19:01:47"/>
    <m/>
    <d v="2023-07-05T00:00:00"/>
    <n v="1379"/>
    <n v="14317"/>
    <s v="60803951"/>
    <s v="60803951"/>
    <m/>
    <m/>
    <n v="22736842"/>
    <m/>
    <m/>
    <m/>
    <s v="SOLFIN"/>
    <s v="SOLFIN"/>
    <s v="CCMS"/>
    <n v="21331283"/>
    <n v="12906.78"/>
    <m/>
    <s v="N"/>
    <n v="9"/>
    <d v="2023-07-05T19:02:13"/>
    <s v="Y"/>
    <s v="Advocates Meeting"/>
    <s v="Public Law Children"/>
    <s v="Advocacy"/>
    <s v="Ros Greig"/>
    <s v="Y"/>
    <n v="140.99"/>
    <n v="28.2"/>
    <x v="6"/>
    <s v="VALIDATED"/>
    <n v="1"/>
    <s v="01.11.80.308.6100.0000"/>
    <n v="140.99"/>
    <s v="11"/>
    <s v="6100"/>
    <n v="5740.08"/>
    <n v="140.99"/>
    <s v="CREDITOR"/>
    <n v="0"/>
    <n v="0"/>
    <n v="0"/>
    <n v="0"/>
    <n v="140.99"/>
  </r>
  <r>
    <n v="60803951"/>
    <s v="N"/>
    <n v="21331283"/>
    <s v="3000015038670010"/>
    <s v="CIVIL"/>
    <d v="2023-06-21T00:00:00"/>
    <d v="2023-07-05T19:01:47"/>
    <m/>
    <d v="2023-07-05T00:00:00"/>
    <n v="1379"/>
    <n v="14317"/>
    <s v="60803951"/>
    <s v="60803951"/>
    <m/>
    <m/>
    <n v="22736842"/>
    <m/>
    <m/>
    <m/>
    <s v="SOLFIN"/>
    <s v="SOLFIN"/>
    <s v="CCMS"/>
    <n v="21331283"/>
    <n v="12906.78"/>
    <m/>
    <s v="N"/>
    <n v="3"/>
    <d v="2023-07-05T19:02:13"/>
    <s v="Y"/>
    <s v="Interim Hearing Court Bundle/Advoca"/>
    <s v="Public Law Children"/>
    <s v="Advocacy"/>
    <s v="Ros Greig"/>
    <s v="Y"/>
    <n v="89.09999999999999"/>
    <n v="17.82"/>
    <x v="6"/>
    <s v="VALIDATED"/>
    <n v="1"/>
    <s v="01.11.80.308.6100.0000"/>
    <n v="89.09999999999999"/>
    <s v="11"/>
    <s v="6100"/>
    <n v="5740.08"/>
    <n v="89.09999999999999"/>
    <s v="CREDITOR"/>
    <n v="0"/>
    <n v="0"/>
    <n v="0"/>
    <n v="0"/>
    <n v="89.09999999999999"/>
  </r>
  <r>
    <n v="60803951"/>
    <s v="N"/>
    <n v="21331283"/>
    <s v="3000015038670010"/>
    <s v="CIVIL"/>
    <d v="2023-06-21T00:00:00"/>
    <d v="2023-07-05T19:01:47"/>
    <m/>
    <d v="2023-07-05T00:00:00"/>
    <n v="1379"/>
    <n v="14317"/>
    <s v="60803951"/>
    <s v="60803951"/>
    <m/>
    <m/>
    <n v="22736842"/>
    <m/>
    <m/>
    <m/>
    <s v="SOLFIN"/>
    <s v="SOLFIN"/>
    <s v="CCMS"/>
    <n v="21331283"/>
    <n v="12906.78"/>
    <m/>
    <s v="N"/>
    <n v="7"/>
    <d v="2023-07-05T19:02:13"/>
    <s v="N"/>
    <s v="Court Assess Cost LA"/>
    <s v="Public Law Children"/>
    <s v="Costs of Assessment"/>
    <s v="Ros Greig"/>
    <s v="N"/>
    <n v="94"/>
    <n v="0"/>
    <x v="6"/>
    <s v="VALIDATED"/>
    <n v="1"/>
    <s v="01.11.80.308.6200.0000"/>
    <n v="94"/>
    <s v="11"/>
    <s v="6200"/>
    <n v="5740.08"/>
    <n v="94"/>
    <s v="CREDITOR"/>
    <n v="0"/>
    <n v="0"/>
    <n v="0"/>
    <n v="0"/>
    <n v="94"/>
  </r>
  <r>
    <n v="60803951"/>
    <s v="N"/>
    <n v="21331283"/>
    <s v="3000015038670010"/>
    <s v="CIVIL"/>
    <d v="2023-06-21T00:00:00"/>
    <d v="2023-07-05T19:01:47"/>
    <m/>
    <d v="2023-07-05T00:00:00"/>
    <n v="1379"/>
    <n v="14317"/>
    <s v="60803951"/>
    <s v="60803951"/>
    <m/>
    <m/>
    <n v="22736842"/>
    <m/>
    <m/>
    <m/>
    <s v="SOLFIN"/>
    <s v="SOLFIN"/>
    <s v="CCMS"/>
    <n v="21331283"/>
    <n v="12906.78"/>
    <m/>
    <s v="N"/>
    <n v="2"/>
    <d v="2023-07-05T19:02:13"/>
    <s v="N"/>
    <s v="Final Hearing Court Bundle/Advocate"/>
    <s v="Public Law Children"/>
    <s v="Advocacy"/>
    <s v="Ros Greig"/>
    <s v="N"/>
    <n v="10.09"/>
    <n v="2.02"/>
    <x v="6"/>
    <s v="VALIDATED"/>
    <n v="1"/>
    <s v="01.11.80.308.6100.0000"/>
    <n v="10.09"/>
    <s v="11"/>
    <s v="6100"/>
    <n v="5740.08"/>
    <n v="10.09"/>
    <s v="CREDITOR"/>
    <n v="0"/>
    <n v="0"/>
    <n v="0"/>
    <n v="0"/>
    <n v="10.09"/>
  </r>
  <r>
    <n v="60803951"/>
    <s v="N"/>
    <n v="21331283"/>
    <s v="3000015038670010"/>
    <s v="CIVIL"/>
    <d v="2023-06-21T00:00:00"/>
    <d v="2023-07-05T19:01:47"/>
    <m/>
    <d v="2023-07-05T00:00:00"/>
    <n v="1379"/>
    <n v="14317"/>
    <s v="60803951"/>
    <s v="60803951"/>
    <m/>
    <m/>
    <n v="22736842"/>
    <m/>
    <m/>
    <m/>
    <s v="SOLFIN"/>
    <s v="SOLFIN"/>
    <s v="CCMS"/>
    <n v="21331283"/>
    <n v="12906.78"/>
    <m/>
    <s v="N"/>
    <n v="1"/>
    <d v="2023-07-05T19:02:13"/>
    <s v="Y"/>
    <s v="Final Hearing Court Bundle/Advocate"/>
    <s v="Public Law Children"/>
    <s v="Advocacy"/>
    <s v="Ros Greig"/>
    <s v="Y"/>
    <n v="229.31"/>
    <n v="45.86"/>
    <x v="6"/>
    <s v="VALIDATED"/>
    <n v="1"/>
    <s v="01.11.80.308.6100.0000"/>
    <n v="229.31"/>
    <s v="11"/>
    <s v="6100"/>
    <n v="5740.08"/>
    <n v="229.31"/>
    <s v="CREDITOR"/>
    <n v="0"/>
    <n v="0"/>
    <n v="0"/>
    <n v="0"/>
    <n v="229.31"/>
  </r>
  <r>
    <n v="60803951"/>
    <s v="N"/>
    <n v="21331283"/>
    <s v="3000015038670010"/>
    <s v="CIVIL"/>
    <d v="2023-06-21T00:00:00"/>
    <d v="2023-07-05T19:01:47"/>
    <m/>
    <d v="2023-07-05T00:00:00"/>
    <n v="1379"/>
    <n v="14317"/>
    <s v="60803951"/>
    <s v="60803951"/>
    <m/>
    <m/>
    <n v="22736842"/>
    <m/>
    <m/>
    <m/>
    <s v="SOLFIN"/>
    <s v="SOLFIN"/>
    <s v="CCMS"/>
    <n v="21331283"/>
    <n v="12906.78"/>
    <m/>
    <s v="N"/>
    <n v="8"/>
    <d v="2023-07-05T19:02:13"/>
    <s v="Y"/>
    <s v="Final Hearing - 1 Day"/>
    <s v="Public Law Children"/>
    <s v="Advocacy"/>
    <s v="Ros Greig"/>
    <s v="Y"/>
    <n v="696.1"/>
    <n v="139.22"/>
    <x v="6"/>
    <s v="VALIDATED"/>
    <n v="1"/>
    <s v="01.11.80.308.6100.0000"/>
    <n v="696.1"/>
    <s v="11"/>
    <s v="6100"/>
    <n v="5740.08"/>
    <n v="696.1"/>
    <s v="CREDITOR"/>
    <n v="0"/>
    <n v="0"/>
    <n v="0"/>
    <n v="0"/>
    <n v="696.1"/>
  </r>
  <r>
    <n v="10178002"/>
    <s v="N"/>
    <n v="21360708"/>
    <s v="3000006053950013"/>
    <s v="CIVIL"/>
    <d v="2023-06-26T00:00:00"/>
    <d v="2023-07-11T19:00:25"/>
    <m/>
    <d v="2023-07-11T00:00:00"/>
    <n v="1379"/>
    <n v="14317"/>
    <s v="10178002"/>
    <s v="10178002"/>
    <m/>
    <m/>
    <n v="22764416"/>
    <m/>
    <m/>
    <m/>
    <s v="SOLFIN"/>
    <s v="SOLFIN"/>
    <s v="CCMS"/>
    <n v="21360708"/>
    <n v="4859.46"/>
    <m/>
    <s v="N"/>
    <n v="1"/>
    <d v="2023-07-11T19:00:31"/>
    <s v="Y"/>
    <s v="Interim Hearing Court Bundle/Advoca"/>
    <s v="Public Law Children"/>
    <s v="Advocacy"/>
    <s v="Ros Greig"/>
    <s v="Y"/>
    <n v="89.09999999999999"/>
    <n v="17.82"/>
    <x v="7"/>
    <s v="VALIDATED"/>
    <n v="1"/>
    <s v="01.11.80.308.6100.0000"/>
    <n v="89.09999999999999"/>
    <s v="11"/>
    <s v="6100"/>
    <n v="5740.08"/>
    <n v="89.09999999999999"/>
    <s v="CREDITOR"/>
    <n v="0"/>
    <n v="0"/>
    <n v="0"/>
    <n v="0"/>
    <n v="89.09999999999999"/>
  </r>
  <r>
    <n v="10178002"/>
    <s v="N"/>
    <n v="21360708"/>
    <s v="3000006053950013"/>
    <s v="CIVIL"/>
    <d v="2023-06-26T00:00:00"/>
    <d v="2023-07-11T19:00:25"/>
    <m/>
    <d v="2023-07-11T00:00:00"/>
    <n v="1379"/>
    <n v="14317"/>
    <s v="10178002"/>
    <s v="10178002"/>
    <m/>
    <m/>
    <n v="22764416"/>
    <m/>
    <m/>
    <m/>
    <s v="SOLFIN"/>
    <s v="SOLFIN"/>
    <s v="CCMS"/>
    <n v="21360708"/>
    <n v="4859.46"/>
    <m/>
    <s v="N"/>
    <n v="9"/>
    <d v="2023-07-11T19:00:31"/>
    <s v="Y"/>
    <s v="Hearing Unit 2.31 - 5.00 Hours"/>
    <s v="Public Law Children"/>
    <s v="Advocacy"/>
    <s v="Ros Greig"/>
    <s v="Y"/>
    <n v="476.92"/>
    <n v="95.38"/>
    <x v="7"/>
    <s v="VALIDATED"/>
    <n v="1"/>
    <s v="01.11.80.308.6100.0000"/>
    <n v="476.92"/>
    <s v="11"/>
    <s v="6100"/>
    <n v="5740.08"/>
    <n v="476.92"/>
    <s v="CREDITOR"/>
    <n v="0"/>
    <n v="0"/>
    <n v="0"/>
    <n v="0"/>
    <n v="476.92"/>
  </r>
  <r>
    <n v="10178002"/>
    <s v="N"/>
    <n v="21360708"/>
    <s v="3000006053950013"/>
    <s v="CIVIL"/>
    <d v="2023-06-26T00:00:00"/>
    <d v="2023-07-11T19:00:25"/>
    <m/>
    <d v="2023-07-11T00:00:00"/>
    <n v="1379"/>
    <n v="14317"/>
    <s v="10178002"/>
    <s v="10178002"/>
    <m/>
    <m/>
    <n v="22764416"/>
    <m/>
    <m/>
    <m/>
    <s v="SOLFIN"/>
    <s v="SOLFIN"/>
    <s v="CCMS"/>
    <n v="21360708"/>
    <n v="4859.46"/>
    <m/>
    <s v="N"/>
    <n v="5"/>
    <d v="2023-07-11T19:00:31"/>
    <s v="Y"/>
    <s v="Solicitor Travel Expenses"/>
    <s v="Public Law Children"/>
    <s v="Non Expert Disbursement"/>
    <s v="Ros Greig"/>
    <s v="Y"/>
    <n v="1.88"/>
    <n v="0.38"/>
    <x v="7"/>
    <s v="VALIDATED"/>
    <n v="1"/>
    <s v="01.11.80.308.6300.0000"/>
    <n v="1.88"/>
    <s v="11"/>
    <s v="6300"/>
    <n v="5740.08"/>
    <n v="1.88"/>
    <s v="CREDITOR"/>
    <n v="0"/>
    <n v="0"/>
    <n v="0"/>
    <n v="0"/>
    <n v="1.88"/>
  </r>
  <r>
    <n v="60803951"/>
    <s v="N"/>
    <n v="21331283"/>
    <s v="3000015038670010"/>
    <s v="CIVIL"/>
    <d v="2023-06-21T00:00:00"/>
    <d v="2023-07-05T19:01:47"/>
    <m/>
    <d v="2023-07-05T00:00:00"/>
    <n v="1379"/>
    <n v="14317"/>
    <s v="60803951"/>
    <s v="60803951"/>
    <m/>
    <m/>
    <n v="22736842"/>
    <m/>
    <m/>
    <m/>
    <s v="SOLFIN"/>
    <s v="SOLFIN"/>
    <s v="CCMS"/>
    <n v="21331283"/>
    <n v="12906.78"/>
    <m/>
    <s v="N"/>
    <n v="13"/>
    <d v="2023-07-05T19:02:13"/>
    <s v="Y"/>
    <s v="Advocates Meeting"/>
    <s v="Public Law Children"/>
    <s v="Advocacy"/>
    <s v="Ros Greig"/>
    <s v="Y"/>
    <n v="140.99"/>
    <n v="28.2"/>
    <x v="6"/>
    <s v="VALIDATED"/>
    <n v="1"/>
    <s v="01.11.80.308.6100.0000"/>
    <n v="140.99"/>
    <s v="11"/>
    <s v="6100"/>
    <n v="5740.08"/>
    <n v="140.99"/>
    <s v="CREDITOR"/>
    <n v="0"/>
    <n v="0"/>
    <n v="0"/>
    <n v="0"/>
    <n v="140.99"/>
  </r>
  <r>
    <n v="10178002"/>
    <s v="N"/>
    <n v="21360708"/>
    <s v="3000006053950013"/>
    <s v="CIVIL"/>
    <d v="2023-06-26T00:00:00"/>
    <d v="2023-07-11T19:00:25"/>
    <m/>
    <d v="2023-07-11T00:00:00"/>
    <n v="1379"/>
    <n v="14317"/>
    <s v="10178002"/>
    <s v="10178002"/>
    <m/>
    <m/>
    <n v="22764416"/>
    <m/>
    <m/>
    <m/>
    <s v="SOLFIN"/>
    <s v="SOLFIN"/>
    <s v="CCMS"/>
    <n v="21360708"/>
    <n v="4859.46"/>
    <m/>
    <s v="N"/>
    <n v="6"/>
    <d v="2023-07-11T19:00:31"/>
    <s v="Y"/>
    <s v="Solicitor Travel Mileage"/>
    <s v="Public Law Children"/>
    <s v="Non Expert Disbursement"/>
    <s v="Ros Greig"/>
    <s v="Y"/>
    <n v="10.8"/>
    <n v="2.16"/>
    <x v="7"/>
    <s v="VALIDATED"/>
    <n v="1"/>
    <s v="01.11.80.308.6300.0000"/>
    <n v="10.8"/>
    <s v="11"/>
    <s v="6300"/>
    <n v="5740.08"/>
    <n v="10.8"/>
    <s v="CREDITOR"/>
    <n v="0"/>
    <n v="0"/>
    <n v="0"/>
    <n v="0"/>
    <n v="10.8"/>
  </r>
  <r>
    <n v="10178002"/>
    <s v="N"/>
    <n v="21360708"/>
    <s v="3000006053950013"/>
    <s v="CIVIL"/>
    <d v="2023-06-26T00:00:00"/>
    <d v="2023-07-11T19:00:25"/>
    <m/>
    <d v="2023-07-11T00:00:00"/>
    <n v="1379"/>
    <n v="14317"/>
    <s v="10178002"/>
    <s v="10178002"/>
    <m/>
    <m/>
    <n v="22764416"/>
    <m/>
    <m/>
    <m/>
    <s v="SOLFIN"/>
    <s v="SOLFIN"/>
    <s v="CCMS"/>
    <n v="21360708"/>
    <n v="4859.46"/>
    <m/>
    <s v="N"/>
    <n v="15"/>
    <d v="2023-07-11T19:00:31"/>
    <s v="Y"/>
    <s v="Solicitors Fixed Fee"/>
    <s v="Public Law Children"/>
    <s v="Profit Cost"/>
    <s v="Ros Greig"/>
    <s v="Y"/>
    <n v="2300"/>
    <n v="460"/>
    <x v="7"/>
    <s v="VALIDATED"/>
    <n v="1"/>
    <s v="01.11.80.308.6100.0000"/>
    <n v="2300"/>
    <s v="11"/>
    <s v="6100"/>
    <n v="5740.08"/>
    <n v="2300"/>
    <s v="CREDITOR"/>
    <n v="0"/>
    <n v="0"/>
    <n v="0"/>
    <n v="0"/>
    <n v="2300"/>
  </r>
  <r>
    <n v="60803951"/>
    <s v="N"/>
    <n v="21331283"/>
    <s v="3000015038670010"/>
    <s v="CIVIL"/>
    <d v="2023-06-21T00:00:00"/>
    <d v="2023-07-05T19:01:47"/>
    <m/>
    <d v="2023-07-05T00:00:00"/>
    <n v="1379"/>
    <n v="14317"/>
    <s v="60803951"/>
    <s v="60803951"/>
    <m/>
    <m/>
    <n v="22736842"/>
    <m/>
    <m/>
    <m/>
    <s v="SOLFIN"/>
    <s v="SOLFIN"/>
    <s v="CCMS"/>
    <n v="21331283"/>
    <n v="12906.78"/>
    <m/>
    <s v="N"/>
    <n v="11"/>
    <d v="2023-07-05T19:02:13"/>
    <s v="Y"/>
    <s v="Hearing Unit 1.01 - 2.30 Hours"/>
    <s v="Public Law Children"/>
    <s v="Advocacy"/>
    <s v="Ros Greig"/>
    <s v="Y"/>
    <n v="298.08"/>
    <n v="59.62"/>
    <x v="6"/>
    <s v="VALIDATED"/>
    <n v="1"/>
    <s v="01.11.80.308.6100.0000"/>
    <n v="298.08"/>
    <s v="11"/>
    <s v="6100"/>
    <n v="5740.08"/>
    <n v="298.08"/>
    <s v="CREDITOR"/>
    <n v="0"/>
    <n v="0"/>
    <n v="0"/>
    <n v="0"/>
    <n v="298.08"/>
  </r>
  <r>
    <n v="10178002"/>
    <s v="N"/>
    <n v="21360708"/>
    <s v="3000006053950013"/>
    <s v="CIVIL"/>
    <d v="2023-06-26T00:00:00"/>
    <d v="2023-07-11T19:00:25"/>
    <m/>
    <d v="2023-07-11T00:00:00"/>
    <n v="1379"/>
    <n v="14317"/>
    <s v="10178002"/>
    <s v="10178002"/>
    <m/>
    <m/>
    <n v="22764416"/>
    <m/>
    <m/>
    <m/>
    <s v="SOLFIN"/>
    <s v="SOLFIN"/>
    <s v="CCMS"/>
    <n v="21360708"/>
    <n v="4859.46"/>
    <m/>
    <s v="N"/>
    <n v="2"/>
    <d v="2023-07-11T19:00:31"/>
    <s v="Y"/>
    <s v="Psychologist"/>
    <s v="Public Law Children"/>
    <s v="Expert Disbursement"/>
    <s v="Ros Greig"/>
    <s v="Y"/>
    <n v="150.41"/>
    <n v="30.08"/>
    <x v="7"/>
    <s v="VALIDATED"/>
    <n v="1"/>
    <s v="01.11.80.308.6300.0000"/>
    <n v="150.41"/>
    <s v="11"/>
    <s v="6300"/>
    <n v="5740.08"/>
    <n v="150.41"/>
    <s v="CREDITOR"/>
    <n v="0"/>
    <n v="0"/>
    <n v="0"/>
    <n v="0"/>
    <n v="150.41"/>
  </r>
  <r>
    <n v="10178002"/>
    <s v="N"/>
    <n v="21360708"/>
    <s v="3000006053950013"/>
    <s v="CIVIL"/>
    <d v="2023-06-26T00:00:00"/>
    <d v="2023-07-11T19:00:25"/>
    <m/>
    <d v="2023-07-11T00:00:00"/>
    <n v="1379"/>
    <n v="14317"/>
    <s v="10178002"/>
    <s v="10178002"/>
    <m/>
    <m/>
    <n v="22764416"/>
    <m/>
    <m/>
    <m/>
    <s v="SOLFIN"/>
    <s v="SOLFIN"/>
    <s v="CCMS"/>
    <n v="21360708"/>
    <n v="4859.46"/>
    <m/>
    <s v="N"/>
    <n v="4"/>
    <d v="2023-07-11T19:00:31"/>
    <s v="Y"/>
    <s v="Solicitor Travel Mileage"/>
    <s v="Public Law Children"/>
    <s v="Non Expert Disbursement"/>
    <s v="Ros Greig"/>
    <s v="Y"/>
    <n v="7.2"/>
    <n v="1.44"/>
    <x v="7"/>
    <s v="VALIDATED"/>
    <n v="1"/>
    <s v="01.11.80.308.6300.0000"/>
    <n v="7.2"/>
    <s v="11"/>
    <s v="6300"/>
    <n v="5740.08"/>
    <n v="7.2"/>
    <s v="CREDITOR"/>
    <n v="0"/>
    <n v="0"/>
    <n v="0"/>
    <n v="0"/>
    <n v="7.2"/>
  </r>
  <r>
    <n v="10178002"/>
    <s v="N"/>
    <n v="21360708"/>
    <s v="3000006053950013"/>
    <s v="CIVIL"/>
    <d v="2023-06-26T00:00:00"/>
    <d v="2023-07-11T19:00:25"/>
    <m/>
    <d v="2023-07-11T00:00:00"/>
    <n v="1379"/>
    <n v="14317"/>
    <s v="10178002"/>
    <s v="10178002"/>
    <m/>
    <m/>
    <n v="22764416"/>
    <m/>
    <m/>
    <m/>
    <s v="SOLFIN"/>
    <s v="SOLFIN"/>
    <s v="CCMS"/>
    <n v="21360708"/>
    <n v="4859.46"/>
    <m/>
    <s v="N"/>
    <n v="11"/>
    <d v="2023-07-11T19:00:31"/>
    <s v="Y"/>
    <s v="Hearing Unit 1.01 - 2.30 Hours"/>
    <s v="Public Law Children"/>
    <s v="Advocacy"/>
    <s v="Ros Greig"/>
    <s v="Y"/>
    <n v="238.46"/>
    <n v="47.69"/>
    <x v="7"/>
    <s v="VALIDATED"/>
    <n v="1"/>
    <s v="01.11.80.308.6100.0000"/>
    <n v="238.46"/>
    <s v="11"/>
    <s v="6100"/>
    <n v="5740.08"/>
    <n v="238.46"/>
    <s v="CREDITOR"/>
    <n v="0"/>
    <n v="0"/>
    <n v="0"/>
    <n v="0"/>
    <n v="238.46"/>
  </r>
  <r>
    <n v="61989323"/>
    <s v="N"/>
    <n v="21323190"/>
    <s v="3000016034200007"/>
    <s v="CIVIL"/>
    <d v="2023-06-30T00:00:00"/>
    <d v="2023-07-03T19:05:56"/>
    <m/>
    <d v="2023-07-03T00:00:00"/>
    <n v="1379"/>
    <n v="14317"/>
    <s v="61989323"/>
    <s v="61989323"/>
    <m/>
    <m/>
    <n v="22796926"/>
    <m/>
    <m/>
    <m/>
    <s v="SOLPOA"/>
    <s v="SOLPOA"/>
    <s v="CCMS"/>
    <n v="21323190"/>
    <n v="3852.23"/>
    <m/>
    <s v="N"/>
    <n v="1"/>
    <d v="2023-07-03T19:05:56"/>
    <s v="N"/>
    <s v="Solicitors Fixed Fee"/>
    <s v="Public Law Children"/>
    <s v="Profit Cost"/>
    <s v="Ros Greig"/>
    <s v="N"/>
    <n v="3210.19"/>
    <n v="642.04"/>
    <x v="3"/>
    <s v="VALIDATED"/>
    <n v="1"/>
    <s v="01.11.80.308.2012.0000"/>
    <n v="3210.19"/>
    <s v="11"/>
    <s v="2012"/>
    <n v="5740.08"/>
    <n v="3210.19"/>
    <s v="CREDITOR"/>
    <n v="3210.19"/>
    <n v="802.5475"/>
    <n v="0"/>
    <n v="0"/>
    <n v="0"/>
  </r>
  <r>
    <n v="10178002"/>
    <s v="N"/>
    <n v="21360708"/>
    <s v="3000006053950013"/>
    <s v="CIVIL"/>
    <d v="2023-06-26T00:00:00"/>
    <d v="2023-07-11T19:00:25"/>
    <m/>
    <d v="2023-07-11T00:00:00"/>
    <n v="1379"/>
    <n v="14317"/>
    <s v="10178002"/>
    <s v="10178002"/>
    <m/>
    <m/>
    <n v="22764416"/>
    <m/>
    <m/>
    <m/>
    <s v="SOLFIN"/>
    <s v="SOLFIN"/>
    <s v="CCMS"/>
    <n v="21360708"/>
    <n v="4859.46"/>
    <m/>
    <s v="N"/>
    <n v="3"/>
    <d v="2023-07-11T19:00:31"/>
    <s v="Y"/>
    <s v="Solicitor Travel Expenses"/>
    <s v="Public Law Children"/>
    <s v="Non Expert Disbursement"/>
    <s v="Ros Greig"/>
    <s v="Y"/>
    <n v="1.33"/>
    <n v="0.27"/>
    <x v="7"/>
    <s v="VALIDATED"/>
    <n v="1"/>
    <s v="01.11.80.308.6300.0000"/>
    <n v="1.33"/>
    <s v="11"/>
    <s v="6300"/>
    <n v="5740.08"/>
    <n v="1.33"/>
    <s v="CREDITOR"/>
    <n v="0"/>
    <n v="0"/>
    <n v="0"/>
    <n v="0"/>
    <n v="1.33"/>
  </r>
  <r>
    <n v="60803951"/>
    <s v="N"/>
    <n v="21331283"/>
    <s v="3000015038670010"/>
    <s v="CIVIL"/>
    <d v="2023-06-21T00:00:00"/>
    <d v="2023-07-05T19:01:47"/>
    <m/>
    <d v="2023-07-05T00:00:00"/>
    <n v="1379"/>
    <n v="14317"/>
    <s v="60803951"/>
    <s v="60803951"/>
    <m/>
    <m/>
    <n v="22736842"/>
    <m/>
    <m/>
    <m/>
    <s v="SOLFIN"/>
    <s v="SOLFIN"/>
    <s v="CCMS"/>
    <n v="21331283"/>
    <n v="12906.78"/>
    <m/>
    <s v="N"/>
    <n v="10"/>
    <d v="2023-07-05T19:02:13"/>
    <s v="Y"/>
    <s v="Advocates Meeting"/>
    <s v="Public Law Children"/>
    <s v="Advocacy"/>
    <s v="Ros Greig"/>
    <s v="Y"/>
    <n v="140.99"/>
    <n v="28.2"/>
    <x v="6"/>
    <s v="VALIDATED"/>
    <n v="1"/>
    <s v="01.11.80.308.6100.0000"/>
    <n v="140.99"/>
    <s v="11"/>
    <s v="6100"/>
    <n v="5740.08"/>
    <n v="140.99"/>
    <s v="CREDITOR"/>
    <n v="0"/>
    <n v="0"/>
    <n v="0"/>
    <n v="0"/>
    <n v="140.99"/>
  </r>
  <r>
    <n v="60803951"/>
    <s v="N"/>
    <n v="21331283"/>
    <s v="3000015038670010"/>
    <s v="CIVIL"/>
    <d v="2023-06-21T00:00:00"/>
    <d v="2023-07-05T19:01:47"/>
    <m/>
    <d v="2023-07-05T00:00:00"/>
    <n v="1379"/>
    <n v="14317"/>
    <s v="60803951"/>
    <s v="60803951"/>
    <m/>
    <m/>
    <n v="22736842"/>
    <m/>
    <m/>
    <m/>
    <s v="SOLFIN"/>
    <s v="SOLFIN"/>
    <s v="CCMS"/>
    <n v="21331283"/>
    <n v="12906.78"/>
    <m/>
    <s v="N"/>
    <n v="6"/>
    <d v="2023-07-05T19:02:13"/>
    <s v="Y"/>
    <s v="Disbursements (Summary)"/>
    <s v="Public Law Children"/>
    <s v="Non Expert Disbursement"/>
    <s v="Ros Greig"/>
    <s v="Y"/>
    <n v="771.88"/>
    <n v="154.38"/>
    <x v="6"/>
    <s v="VALIDATED"/>
    <n v="1"/>
    <s v="01.11.80.308.6300.0000"/>
    <n v="771.88"/>
    <s v="11"/>
    <s v="6300"/>
    <n v="5740.08"/>
    <n v="771.88"/>
    <s v="CREDITOR"/>
    <n v="0"/>
    <n v="0"/>
    <n v="0"/>
    <n v="0"/>
    <n v="771.88"/>
  </r>
  <r>
    <n v="60803951"/>
    <s v="N"/>
    <n v="21331283"/>
    <s v="3000015038670010"/>
    <s v="CIVIL"/>
    <d v="2023-06-21T00:00:00"/>
    <d v="2023-07-05T19:01:47"/>
    <m/>
    <d v="2023-07-05T00:00:00"/>
    <n v="1379"/>
    <n v="14317"/>
    <s v="60803951"/>
    <s v="60803951"/>
    <m/>
    <m/>
    <n v="22736842"/>
    <m/>
    <m/>
    <m/>
    <s v="SOLFIN"/>
    <s v="SOLFIN"/>
    <s v="CCMS"/>
    <n v="21331283"/>
    <n v="12906.78"/>
    <m/>
    <s v="N"/>
    <n v="15"/>
    <d v="2023-07-05T19:02:13"/>
    <s v="N"/>
    <m/>
    <m/>
    <s v="Overall Adjustment"/>
    <m/>
    <s v="N"/>
    <n v="-10.09"/>
    <n v="0"/>
    <x v="6"/>
    <s v="VALIDATED"/>
    <n v="1"/>
    <s v="01.11.80.308.6100.0000"/>
    <n v="-10.09"/>
    <s v="11"/>
    <s v="6100"/>
    <n v="5740.08"/>
    <n v="-10.09"/>
    <s v="CREDITOR"/>
    <n v="0"/>
    <n v="0"/>
    <n v="0"/>
    <n v="0"/>
    <n v="-10.09"/>
  </r>
  <r>
    <n v="10178002"/>
    <s v="N"/>
    <n v="21360708"/>
    <s v="3000006053950013"/>
    <s v="CIVIL"/>
    <d v="2023-06-26T00:00:00"/>
    <d v="2023-07-11T19:00:25"/>
    <m/>
    <d v="2023-07-11T00:00:00"/>
    <n v="1379"/>
    <n v="14317"/>
    <s v="10178002"/>
    <s v="10178002"/>
    <m/>
    <m/>
    <n v="22764416"/>
    <m/>
    <m/>
    <m/>
    <s v="SOLFIN"/>
    <s v="SOLFIN"/>
    <s v="CCMS"/>
    <n v="21360708"/>
    <n v="4859.46"/>
    <m/>
    <s v="N"/>
    <n v="12"/>
    <d v="2023-07-11T19:00:31"/>
    <s v="Y"/>
    <s v="Advocates Meeting"/>
    <s v="Public Law Children"/>
    <s v="Advocacy"/>
    <s v="Ros Greig"/>
    <s v="Y"/>
    <n v="140.99"/>
    <n v="28.2"/>
    <x v="7"/>
    <s v="VALIDATED"/>
    <n v="1"/>
    <s v="01.11.80.308.6100.0000"/>
    <n v="140.99"/>
    <s v="11"/>
    <s v="6100"/>
    <n v="5740.08"/>
    <n v="140.99"/>
    <s v="CREDITOR"/>
    <n v="0"/>
    <n v="0"/>
    <n v="0"/>
    <n v="0"/>
    <n v="140.99"/>
  </r>
  <r>
    <n v="60803951"/>
    <s v="N"/>
    <n v="21333895"/>
    <s v="3000015038670005RC"/>
    <s v="CIVIL"/>
    <d v="2023-06-21T00:00:00"/>
    <d v="2023-07-05T19:42:28"/>
    <m/>
    <d v="2023-07-05T00:00:00"/>
    <n v="1379"/>
    <n v="14317"/>
    <s v="60803951"/>
    <s v="60803951"/>
    <m/>
    <m/>
    <m/>
    <m/>
    <m/>
    <m/>
    <s v="SOLRECOUP"/>
    <s v="SOLRECOUP"/>
    <s v="POARECOUP"/>
    <n v="21333895"/>
    <n v="-2764.85"/>
    <m/>
    <s v="Y"/>
    <n v="1"/>
    <d v="2023-07-05T19:42:29"/>
    <s v="N"/>
    <m/>
    <m/>
    <s v="Profit Cost"/>
    <m/>
    <s v="N"/>
    <n v="-2304.04"/>
    <n v="0"/>
    <x v="6"/>
    <s v="VALIDATED"/>
    <n v="1"/>
    <s v="01.11.80.308.2013.0000"/>
    <n v="-2304.04"/>
    <s v="11"/>
    <s v="2013"/>
    <n v="5740.08"/>
    <n v="-2304.04"/>
    <s v="CREDITOR"/>
    <n v="0"/>
    <n v="0"/>
    <n v="-2304.04"/>
    <n v="-576.01"/>
    <n v="0"/>
  </r>
  <r>
    <n v="60803951"/>
    <s v="N"/>
    <n v="21333895"/>
    <s v="3000015038670005RC"/>
    <s v="CIVIL"/>
    <d v="2023-06-21T00:00:00"/>
    <d v="2023-07-05T19:42:28"/>
    <m/>
    <d v="2023-07-05T00:00:00"/>
    <n v="1379"/>
    <n v="14317"/>
    <s v="60803951"/>
    <s v="60803951"/>
    <m/>
    <m/>
    <m/>
    <m/>
    <m/>
    <m/>
    <s v="SOLRECOUP"/>
    <s v="SOLRECOUP"/>
    <s v="POARECOUP"/>
    <n v="21333895"/>
    <n v="-2764.85"/>
    <m/>
    <s v="Y"/>
    <n v="2"/>
    <d v="2023-07-05T19:42:29"/>
    <s v="N"/>
    <m/>
    <m/>
    <s v="Profit Cost"/>
    <m/>
    <s v="N"/>
    <n v="0"/>
    <n v="-460.81"/>
    <x v="6"/>
    <s v="VALIDATED"/>
    <n v="1"/>
    <s v="01.11.80.308.2013.0000"/>
    <n v="-460.81"/>
    <s v="11"/>
    <s v="2013"/>
    <n v="5740.08"/>
    <n v="-460.81"/>
    <s v="CREDITOR"/>
    <n v="0"/>
    <n v="0"/>
    <n v="-460.81"/>
    <n v="-115.2025"/>
    <n v="0"/>
  </r>
  <r>
    <n v="60803951"/>
    <s v="N"/>
    <n v="21333896"/>
    <s v="3000015038670001RC"/>
    <s v="CIVIL"/>
    <d v="2023-06-21T00:00:00"/>
    <d v="2023-07-05T19:42:28"/>
    <m/>
    <d v="2023-07-05T00:00:00"/>
    <n v="1379"/>
    <n v="14317"/>
    <s v="60803951"/>
    <s v="60803951"/>
    <m/>
    <m/>
    <m/>
    <m/>
    <m/>
    <m/>
    <s v="SOLRECOUP"/>
    <s v="SOLRECOUP"/>
    <s v="POARECOUP"/>
    <n v="21333896"/>
    <n v="-167"/>
    <m/>
    <s v="Y"/>
    <n v="1"/>
    <d v="2023-07-05T19:42:29"/>
    <s v="N"/>
    <m/>
    <m/>
    <s v="Non Expert Disbursement"/>
    <m/>
    <s v="N"/>
    <n v="-167"/>
    <n v="0"/>
    <x v="6"/>
    <s v="VALIDATED"/>
    <n v="1"/>
    <s v="01.11.80.308.2013.0000"/>
    <n v="-167"/>
    <s v="11"/>
    <s v="2013"/>
    <n v="5740.08"/>
    <n v="-167"/>
    <s v="CREDITOR"/>
    <n v="0"/>
    <n v="0"/>
    <n v="-167"/>
    <n v="0"/>
    <n v="0"/>
  </r>
  <r>
    <n v="60803951"/>
    <s v="N"/>
    <n v="21333896"/>
    <s v="3000015038670001RC"/>
    <s v="CIVIL"/>
    <d v="2023-06-21T00:00:00"/>
    <d v="2023-07-05T19:42:28"/>
    <m/>
    <d v="2023-07-05T00:00:00"/>
    <n v="1379"/>
    <n v="14317"/>
    <s v="60803951"/>
    <s v="60803951"/>
    <m/>
    <m/>
    <m/>
    <m/>
    <m/>
    <m/>
    <s v="SOLRECOUP"/>
    <s v="SOLRECOUP"/>
    <s v="POARECOUP"/>
    <n v="21333896"/>
    <n v="-167"/>
    <m/>
    <s v="Y"/>
    <n v="2"/>
    <d v="2023-07-05T19:42:29"/>
    <s v="N"/>
    <m/>
    <m/>
    <s v="Non Expert Disbursement"/>
    <m/>
    <s v="N"/>
    <n v="0"/>
    <n v="0"/>
    <x v="6"/>
    <s v="VALIDATED"/>
    <n v="1"/>
    <s v="01.11.80.000.0000.0000"/>
    <n v="0"/>
    <s v="11"/>
    <s v="0000"/>
    <n v="5740.08"/>
    <n v="0"/>
    <s v="CREDITOR"/>
    <n v="0"/>
    <n v="0"/>
    <n v="0"/>
    <n v="0"/>
    <n v="0"/>
  </r>
  <r>
    <n v="60803951"/>
    <s v="N"/>
    <n v="21333897"/>
    <s v="3000015038670004RC"/>
    <s v="CIVIL"/>
    <d v="2023-06-21T00:00:00"/>
    <d v="2023-07-05T19:42:28"/>
    <m/>
    <d v="2023-07-05T00:00:00"/>
    <n v="1379"/>
    <n v="14317"/>
    <s v="60803951"/>
    <s v="60803951"/>
    <m/>
    <m/>
    <m/>
    <m/>
    <m/>
    <m/>
    <s v="SOLRECOUP"/>
    <s v="SOLRECOUP"/>
    <s v="POARECOUP"/>
    <n v="21333897"/>
    <n v="-53"/>
    <m/>
    <s v="Y"/>
    <n v="1"/>
    <d v="2023-07-05T19:42:29"/>
    <s v="N"/>
    <m/>
    <m/>
    <s v="Non Expert Disbursement"/>
    <m/>
    <s v="N"/>
    <n v="-53"/>
    <n v="0"/>
    <x v="6"/>
    <s v="VALIDATED"/>
    <n v="1"/>
    <s v="01.11.80.308.2013.0000"/>
    <n v="-53"/>
    <s v="11"/>
    <s v="2013"/>
    <n v="5740.08"/>
    <n v="-53"/>
    <s v="CREDITOR"/>
    <n v="0"/>
    <n v="0"/>
    <n v="-53"/>
    <n v="0"/>
    <n v="0"/>
  </r>
  <r>
    <n v="60803951"/>
    <s v="N"/>
    <n v="21333897"/>
    <s v="3000015038670004RC"/>
    <s v="CIVIL"/>
    <d v="2023-06-21T00:00:00"/>
    <d v="2023-07-05T19:42:28"/>
    <m/>
    <d v="2023-07-05T00:00:00"/>
    <n v="1379"/>
    <n v="14317"/>
    <s v="60803951"/>
    <s v="60803951"/>
    <m/>
    <m/>
    <m/>
    <m/>
    <m/>
    <m/>
    <s v="SOLRECOUP"/>
    <s v="SOLRECOUP"/>
    <s v="POARECOUP"/>
    <n v="21333897"/>
    <n v="-53"/>
    <m/>
    <s v="Y"/>
    <n v="2"/>
    <d v="2023-07-05T19:42:29"/>
    <s v="N"/>
    <m/>
    <m/>
    <s v="Non Expert Disbursement"/>
    <m/>
    <s v="N"/>
    <n v="0"/>
    <n v="0"/>
    <x v="6"/>
    <s v="VALIDATED"/>
    <n v="1"/>
    <s v="01.11.80.000.0000.0000"/>
    <n v="0"/>
    <s v="11"/>
    <s v="0000"/>
    <n v="5740.08"/>
    <n v="0"/>
    <s v="CREDITOR"/>
    <n v="0"/>
    <n v="0"/>
    <n v="0"/>
    <n v="0"/>
    <n v="0"/>
  </r>
  <r>
    <n v="60803951"/>
    <s v="N"/>
    <n v="21333898"/>
    <s v="3000015038670006RC"/>
    <s v="CIVIL"/>
    <d v="2023-06-21T00:00:00"/>
    <d v="2023-07-05T19:42:28"/>
    <m/>
    <d v="2023-07-05T00:00:00"/>
    <n v="1379"/>
    <n v="14317"/>
    <s v="60803951"/>
    <s v="60803951"/>
    <m/>
    <m/>
    <m/>
    <m/>
    <m/>
    <m/>
    <s v="SOLRECOUP"/>
    <s v="SOLRECOUP"/>
    <s v="POARECOUP"/>
    <n v="21333898"/>
    <n v="-848.5"/>
    <m/>
    <s v="Y"/>
    <n v="1"/>
    <d v="2023-07-05T19:42:29"/>
    <s v="N"/>
    <m/>
    <m/>
    <s v="Expert Disbursement"/>
    <m/>
    <s v="N"/>
    <n v="-707.08"/>
    <n v="0"/>
    <x v="6"/>
    <s v="VALIDATED"/>
    <n v="1"/>
    <s v="01.11.80.308.2013.0000"/>
    <n v="-707.08"/>
    <s v="11"/>
    <s v="2013"/>
    <n v="5740.08"/>
    <n v="-707.08"/>
    <s v="CREDITOR"/>
    <n v="0"/>
    <n v="0"/>
    <n v="-707.08"/>
    <n v="0"/>
    <n v="0"/>
  </r>
  <r>
    <n v="60803951"/>
    <s v="N"/>
    <n v="21333898"/>
    <s v="3000015038670006RC"/>
    <s v="CIVIL"/>
    <d v="2023-06-21T00:00:00"/>
    <d v="2023-07-05T19:42:28"/>
    <m/>
    <d v="2023-07-05T00:00:00"/>
    <n v="1379"/>
    <n v="14317"/>
    <s v="60803951"/>
    <s v="60803951"/>
    <m/>
    <m/>
    <m/>
    <m/>
    <m/>
    <m/>
    <s v="SOLRECOUP"/>
    <s v="SOLRECOUP"/>
    <s v="POARECOUP"/>
    <n v="21333898"/>
    <n v="-848.5"/>
    <m/>
    <s v="Y"/>
    <n v="2"/>
    <d v="2023-07-05T19:42:29"/>
    <s v="N"/>
    <m/>
    <m/>
    <s v="Expert Disbursement"/>
    <m/>
    <s v="N"/>
    <n v="0"/>
    <n v="-141.42"/>
    <x v="6"/>
    <s v="VALIDATED"/>
    <n v="1"/>
    <s v="01.11.80.308.2013.0000"/>
    <n v="-141.42"/>
    <s v="11"/>
    <s v="2013"/>
    <n v="5740.08"/>
    <n v="-141.42"/>
    <s v="CREDITOR"/>
    <n v="0"/>
    <n v="0"/>
    <n v="-141.42"/>
    <n v="0"/>
    <n v="0"/>
  </r>
  <r>
    <n v="60803951"/>
    <s v="N"/>
    <n v="21333899"/>
    <s v="3000015038670009RC"/>
    <s v="CIVIL"/>
    <d v="2023-06-21T00:00:00"/>
    <d v="2023-07-05T19:42:28"/>
    <m/>
    <d v="2023-07-05T00:00:00"/>
    <n v="1379"/>
    <n v="14317"/>
    <s v="60803951"/>
    <s v="60803951"/>
    <m/>
    <m/>
    <m/>
    <m/>
    <m/>
    <m/>
    <s v="SOLRECOUP"/>
    <s v="SOLRECOUP"/>
    <s v="POARECOUP"/>
    <n v="21333899"/>
    <n v="-6576.43"/>
    <m/>
    <s v="Y"/>
    <n v="1"/>
    <d v="2023-07-05T19:42:29"/>
    <s v="N"/>
    <m/>
    <m/>
    <s v="Profit Cost"/>
    <m/>
    <s v="N"/>
    <n v="-5480.36"/>
    <n v="0"/>
    <x v="6"/>
    <s v="VALIDATED"/>
    <n v="1"/>
    <s v="01.11.80.308.2013.0000"/>
    <n v="-5480.36"/>
    <s v="11"/>
    <s v="2013"/>
    <n v="5740.08"/>
    <n v="-5480.36"/>
    <s v="CREDITOR"/>
    <n v="0"/>
    <n v="0"/>
    <n v="-5480.36"/>
    <n v="-1370.09"/>
    <n v="0"/>
  </r>
  <r>
    <n v="60803951"/>
    <s v="N"/>
    <n v="21333899"/>
    <s v="3000015038670009RC"/>
    <s v="CIVIL"/>
    <d v="2023-06-21T00:00:00"/>
    <d v="2023-07-05T19:42:28"/>
    <m/>
    <d v="2023-07-05T00:00:00"/>
    <n v="1379"/>
    <n v="14317"/>
    <s v="60803951"/>
    <s v="60803951"/>
    <m/>
    <m/>
    <m/>
    <m/>
    <m/>
    <m/>
    <s v="SOLRECOUP"/>
    <s v="SOLRECOUP"/>
    <s v="POARECOUP"/>
    <n v="21333899"/>
    <n v="-6576.43"/>
    <m/>
    <s v="Y"/>
    <n v="2"/>
    <d v="2023-07-05T19:42:29"/>
    <s v="N"/>
    <m/>
    <m/>
    <s v="Profit Cost"/>
    <m/>
    <s v="N"/>
    <n v="0"/>
    <n v="-1096.07"/>
    <x v="6"/>
    <s v="VALIDATED"/>
    <n v="1"/>
    <s v="01.11.80.308.2013.0000"/>
    <n v="-1096.07"/>
    <s v="11"/>
    <s v="2013"/>
    <n v="5740.08"/>
    <n v="-1096.07"/>
    <s v="CREDITOR"/>
    <n v="0"/>
    <n v="0"/>
    <n v="-1096.07"/>
    <n v="-274.0175"/>
    <n v="0"/>
  </r>
  <r>
    <n v="60803951"/>
    <s v="N"/>
    <n v="21333893"/>
    <s v="3000015038670002RC"/>
    <s v="CIVIL"/>
    <d v="2023-06-21T00:00:00"/>
    <d v="2023-07-05T19:42:28"/>
    <m/>
    <d v="2023-07-05T00:00:00"/>
    <n v="1379"/>
    <n v="14317"/>
    <s v="60803951"/>
    <s v="60803951"/>
    <m/>
    <m/>
    <m/>
    <m/>
    <m/>
    <m/>
    <s v="SOLRECOUP"/>
    <s v="SOLRECOUP"/>
    <s v="POARECOUP"/>
    <n v="21333893"/>
    <n v="-50.4"/>
    <m/>
    <s v="Y"/>
    <n v="1"/>
    <d v="2023-07-05T19:42:29"/>
    <s v="N"/>
    <m/>
    <m/>
    <s v="Expert Disbursement"/>
    <m/>
    <s v="N"/>
    <n v="-50.4"/>
    <n v="0"/>
    <x v="6"/>
    <s v="VALIDATED"/>
    <n v="1"/>
    <s v="01.11.80.308.2013.0000"/>
    <n v="-50.4"/>
    <s v="11"/>
    <s v="2013"/>
    <n v="5740.08"/>
    <n v="-50.4"/>
    <s v="CREDITOR"/>
    <n v="0"/>
    <n v="0"/>
    <n v="-50.4"/>
    <n v="0"/>
    <n v="0"/>
  </r>
  <r>
    <n v="60803951"/>
    <s v="N"/>
    <n v="21333893"/>
    <s v="3000015038670002RC"/>
    <s v="CIVIL"/>
    <d v="2023-06-21T00:00:00"/>
    <d v="2023-07-05T19:42:28"/>
    <m/>
    <d v="2023-07-05T00:00:00"/>
    <n v="1379"/>
    <n v="14317"/>
    <s v="60803951"/>
    <s v="60803951"/>
    <m/>
    <m/>
    <m/>
    <m/>
    <m/>
    <m/>
    <s v="SOLRECOUP"/>
    <s v="SOLRECOUP"/>
    <s v="POARECOUP"/>
    <n v="21333893"/>
    <n v="-50.4"/>
    <m/>
    <s v="Y"/>
    <n v="2"/>
    <d v="2023-07-05T19:42:29"/>
    <s v="N"/>
    <m/>
    <m/>
    <s v="Expert Disbursement"/>
    <m/>
    <s v="N"/>
    <n v="0"/>
    <n v="0"/>
    <x v="6"/>
    <s v="VALIDATED"/>
    <n v="1"/>
    <s v="01.11.80.000.0000.0000"/>
    <n v="0"/>
    <s v="11"/>
    <s v="0000"/>
    <n v="5740.08"/>
    <n v="0"/>
    <s v="CREDITOR"/>
    <n v="0"/>
    <n v="0"/>
    <n v="0"/>
    <n v="0"/>
    <n v="0"/>
  </r>
  <r>
    <n v="60803951"/>
    <s v="N"/>
    <n v="21333894"/>
    <s v="3000015038670003RC"/>
    <s v="CIVIL"/>
    <d v="2023-06-21T00:00:00"/>
    <d v="2023-07-05T19:42:28"/>
    <m/>
    <d v="2023-07-05T00:00:00"/>
    <n v="1379"/>
    <n v="14317"/>
    <s v="60803951"/>
    <s v="60803951"/>
    <m/>
    <m/>
    <m/>
    <m/>
    <m/>
    <m/>
    <s v="SOLRECOUP"/>
    <s v="SOLRECOUP"/>
    <s v="POARECOUP"/>
    <n v="21333894"/>
    <n v="-17.28"/>
    <m/>
    <s v="Y"/>
    <n v="1"/>
    <d v="2023-07-05T19:42:29"/>
    <s v="N"/>
    <m/>
    <m/>
    <s v="Non Expert Disbursement"/>
    <m/>
    <s v="N"/>
    <n v="-14.4"/>
    <n v="0"/>
    <x v="6"/>
    <s v="VALIDATED"/>
    <n v="1"/>
    <s v="01.11.80.308.2013.0000"/>
    <n v="-14.4"/>
    <s v="11"/>
    <s v="2013"/>
    <n v="5740.08"/>
    <n v="-14.4"/>
    <s v="CREDITOR"/>
    <n v="0"/>
    <n v="0"/>
    <n v="-14.4"/>
    <n v="0"/>
    <n v="0"/>
  </r>
  <r>
    <n v="60803951"/>
    <s v="N"/>
    <n v="21333894"/>
    <s v="3000015038670003RC"/>
    <s v="CIVIL"/>
    <d v="2023-06-21T00:00:00"/>
    <d v="2023-07-05T19:42:28"/>
    <m/>
    <d v="2023-07-05T00:00:00"/>
    <n v="1379"/>
    <n v="14317"/>
    <s v="60803951"/>
    <s v="60803951"/>
    <m/>
    <m/>
    <m/>
    <m/>
    <m/>
    <m/>
    <s v="SOLRECOUP"/>
    <s v="SOLRECOUP"/>
    <s v="POARECOUP"/>
    <n v="21333894"/>
    <n v="-17.28"/>
    <m/>
    <s v="Y"/>
    <n v="2"/>
    <d v="2023-07-05T19:42:29"/>
    <s v="N"/>
    <m/>
    <m/>
    <s v="Non Expert Disbursement"/>
    <m/>
    <s v="N"/>
    <n v="0"/>
    <n v="-2.88"/>
    <x v="6"/>
    <s v="VALIDATED"/>
    <n v="1"/>
    <s v="01.11.80.308.2013.0000"/>
    <n v="-2.88"/>
    <s v="11"/>
    <s v="2013"/>
    <n v="5740.08"/>
    <n v="-2.88"/>
    <s v="CREDITOR"/>
    <n v="0"/>
    <n v="0"/>
    <n v="-2.88"/>
    <n v="0"/>
    <n v="0"/>
  </r>
  <r>
    <n v="10178002"/>
    <s v="N"/>
    <n v="21361473"/>
    <s v="3000006053950001RC"/>
    <s v="CIVIL"/>
    <d v="2023-06-26T00:00:00"/>
    <d v="2023-07-11T19:38:00"/>
    <m/>
    <d v="2023-07-11T00:00:00"/>
    <n v="1379"/>
    <n v="14317"/>
    <s v="10178002"/>
    <s v="10178002"/>
    <m/>
    <m/>
    <m/>
    <m/>
    <m/>
    <m/>
    <s v="SOLRECOUP"/>
    <s v="SOLRECOUP"/>
    <s v="POARECOUP"/>
    <n v="21361473"/>
    <n v="-17.28"/>
    <m/>
    <s v="Y"/>
    <n v="2"/>
    <d v="2023-07-11T19:38:01"/>
    <s v="N"/>
    <m/>
    <m/>
    <s v="Non Expert Disbursement"/>
    <m/>
    <s v="N"/>
    <n v="0"/>
    <n v="-2.88"/>
    <x v="7"/>
    <s v="VALIDATED"/>
    <n v="1"/>
    <s v="01.11.80.308.2013.0000"/>
    <n v="-2.88"/>
    <s v="11"/>
    <s v="2013"/>
    <n v="5740.08"/>
    <n v="-2.88"/>
    <s v="CREDITOR"/>
    <n v="0"/>
    <n v="0"/>
    <n v="-2.88"/>
    <n v="0"/>
    <n v="0"/>
  </r>
  <r>
    <n v="10178002"/>
    <s v="N"/>
    <n v="21361473"/>
    <s v="3000006053950001RC"/>
    <s v="CIVIL"/>
    <d v="2023-06-26T00:00:00"/>
    <d v="2023-07-11T19:38:00"/>
    <m/>
    <d v="2023-07-11T00:00:00"/>
    <n v="1379"/>
    <n v="14317"/>
    <s v="10178002"/>
    <s v="10178002"/>
    <m/>
    <m/>
    <m/>
    <m/>
    <m/>
    <m/>
    <s v="SOLRECOUP"/>
    <s v="SOLRECOUP"/>
    <s v="POARECOUP"/>
    <n v="21361473"/>
    <n v="-17.28"/>
    <m/>
    <s v="Y"/>
    <n v="1"/>
    <d v="2023-07-11T19:38:01"/>
    <s v="N"/>
    <m/>
    <m/>
    <s v="Non Expert Disbursement"/>
    <m/>
    <s v="N"/>
    <n v="-14.4"/>
    <n v="0"/>
    <x v="7"/>
    <s v="VALIDATED"/>
    <n v="1"/>
    <s v="01.11.80.308.2013.0000"/>
    <n v="-14.4"/>
    <s v="11"/>
    <s v="2013"/>
    <n v="5740.08"/>
    <n v="-14.4"/>
    <s v="CREDITOR"/>
    <n v="0"/>
    <n v="0"/>
    <n v="-14.4"/>
    <n v="0"/>
    <n v="0"/>
  </r>
  <r>
    <n v="10178002"/>
    <s v="N"/>
    <n v="21361474"/>
    <s v="3000006053950002RC"/>
    <s v="CIVIL"/>
    <d v="2023-06-26T00:00:00"/>
    <d v="2023-07-11T19:38:00"/>
    <m/>
    <d v="2023-07-11T00:00:00"/>
    <n v="1379"/>
    <n v="14317"/>
    <s v="10178002"/>
    <s v="10178002"/>
    <m/>
    <m/>
    <m/>
    <m/>
    <m/>
    <m/>
    <s v="SOLRECOUP"/>
    <s v="SOLRECOUP"/>
    <s v="POARECOUP"/>
    <n v="21361474"/>
    <n v="-2.26"/>
    <m/>
    <s v="Y"/>
    <n v="2"/>
    <d v="2023-07-11T19:38:01"/>
    <s v="N"/>
    <m/>
    <m/>
    <s v="Non Expert Disbursement"/>
    <m/>
    <s v="N"/>
    <n v="0"/>
    <n v="-0.38"/>
    <x v="7"/>
    <s v="VALIDATED"/>
    <n v="1"/>
    <s v="01.11.80.308.2013.0000"/>
    <n v="-0.38"/>
    <s v="11"/>
    <s v="2013"/>
    <n v="5740.08"/>
    <n v="-0.38"/>
    <s v="CREDITOR"/>
    <n v="0"/>
    <n v="0"/>
    <n v="-0.38"/>
    <n v="0"/>
    <n v="0"/>
  </r>
  <r>
    <n v="10178002"/>
    <s v="N"/>
    <n v="21361474"/>
    <s v="3000006053950002RC"/>
    <s v="CIVIL"/>
    <d v="2023-06-26T00:00:00"/>
    <d v="2023-07-11T19:38:00"/>
    <m/>
    <d v="2023-07-11T00:00:00"/>
    <n v="1379"/>
    <n v="14317"/>
    <s v="10178002"/>
    <s v="10178002"/>
    <m/>
    <m/>
    <m/>
    <m/>
    <m/>
    <m/>
    <s v="SOLRECOUP"/>
    <s v="SOLRECOUP"/>
    <s v="POARECOUP"/>
    <n v="21361474"/>
    <n v="-2.26"/>
    <m/>
    <s v="Y"/>
    <n v="1"/>
    <d v="2023-07-11T19:38:01"/>
    <s v="N"/>
    <m/>
    <m/>
    <s v="Non Expert Disbursement"/>
    <m/>
    <s v="N"/>
    <n v="-1.88"/>
    <n v="0"/>
    <x v="7"/>
    <s v="VALIDATED"/>
    <n v="1"/>
    <s v="01.11.80.308.2013.0000"/>
    <n v="-1.88"/>
    <s v="11"/>
    <s v="2013"/>
    <n v="5740.08"/>
    <n v="-1.88"/>
    <s v="CREDITOR"/>
    <n v="0"/>
    <n v="0"/>
    <n v="-1.88"/>
    <n v="0"/>
    <n v="0"/>
  </r>
  <r>
    <n v="10178002"/>
    <s v="N"/>
    <n v="21361475"/>
    <s v="3000006053950003RC"/>
    <s v="CIVIL"/>
    <d v="2023-06-26T00:00:00"/>
    <d v="2023-07-11T19:38:00"/>
    <m/>
    <d v="2023-07-11T00:00:00"/>
    <n v="1379"/>
    <n v="14317"/>
    <s v="10178002"/>
    <s v="10178002"/>
    <m/>
    <m/>
    <m/>
    <m/>
    <m/>
    <m/>
    <s v="SOLRECOUP"/>
    <s v="SOLRECOUP"/>
    <s v="POARECOUP"/>
    <n v="21361475"/>
    <n v="-180.49"/>
    <m/>
    <s v="Y"/>
    <n v="2"/>
    <d v="2023-07-11T19:38:01"/>
    <s v="N"/>
    <m/>
    <m/>
    <s v="Expert Disbursement"/>
    <m/>
    <s v="N"/>
    <n v="0"/>
    <n v="-30.08"/>
    <x v="7"/>
    <s v="VALIDATED"/>
    <n v="1"/>
    <s v="01.11.80.308.2013.0000"/>
    <n v="-30.08"/>
    <s v="11"/>
    <s v="2013"/>
    <n v="5740.08"/>
    <n v="-30.08"/>
    <s v="CREDITOR"/>
    <n v="0"/>
    <n v="0"/>
    <n v="-30.08"/>
    <n v="0"/>
    <n v="0"/>
  </r>
  <r>
    <n v="10178002"/>
    <s v="N"/>
    <n v="21361475"/>
    <s v="3000006053950003RC"/>
    <s v="CIVIL"/>
    <d v="2023-06-26T00:00:00"/>
    <d v="2023-07-11T19:38:00"/>
    <m/>
    <d v="2023-07-11T00:00:00"/>
    <n v="1379"/>
    <n v="14317"/>
    <s v="10178002"/>
    <s v="10178002"/>
    <m/>
    <m/>
    <m/>
    <m/>
    <m/>
    <m/>
    <s v="SOLRECOUP"/>
    <s v="SOLRECOUP"/>
    <s v="POARECOUP"/>
    <n v="21361475"/>
    <n v="-180.49"/>
    <m/>
    <s v="Y"/>
    <n v="1"/>
    <d v="2023-07-11T19:38:01"/>
    <s v="N"/>
    <m/>
    <m/>
    <s v="Expert Disbursement"/>
    <m/>
    <s v="N"/>
    <n v="-150.41"/>
    <n v="0"/>
    <x v="7"/>
    <s v="VALIDATED"/>
    <n v="1"/>
    <s v="01.11.80.308.2013.0000"/>
    <n v="-150.41"/>
    <s v="11"/>
    <s v="2013"/>
    <n v="5740.08"/>
    <n v="-150.41"/>
    <s v="CREDITOR"/>
    <n v="0"/>
    <n v="0"/>
    <n v="-150.41"/>
    <n v="0"/>
    <n v="0"/>
  </r>
  <r>
    <n v="10178002"/>
    <s v="N"/>
    <n v="21361476"/>
    <s v="3000006053950005RC"/>
    <s v="CIVIL"/>
    <d v="2023-06-26T00:00:00"/>
    <d v="2023-07-11T19:38:00"/>
    <m/>
    <d v="2023-07-11T00:00:00"/>
    <n v="1379"/>
    <n v="14317"/>
    <s v="10178002"/>
    <s v="10178002"/>
    <m/>
    <m/>
    <m/>
    <m/>
    <m/>
    <m/>
    <s v="SOLRECOUP"/>
    <s v="SOLRECOUP"/>
    <s v="POARECOUP"/>
    <n v="21361476"/>
    <n v="-17.28"/>
    <m/>
    <s v="Y"/>
    <n v="2"/>
    <d v="2023-07-11T19:38:01"/>
    <s v="N"/>
    <m/>
    <m/>
    <s v="Non Expert Disbursement"/>
    <m/>
    <s v="N"/>
    <n v="0"/>
    <n v="-2.88"/>
    <x v="7"/>
    <s v="VALIDATED"/>
    <n v="1"/>
    <s v="01.11.80.308.2013.0000"/>
    <n v="-2.88"/>
    <s v="11"/>
    <s v="2013"/>
    <n v="5740.08"/>
    <n v="-2.88"/>
    <s v="CREDITOR"/>
    <n v="0"/>
    <n v="0"/>
    <n v="-2.88"/>
    <n v="0"/>
    <n v="0"/>
  </r>
  <r>
    <n v="10178002"/>
    <s v="N"/>
    <n v="21361476"/>
    <s v="3000006053950005RC"/>
    <s v="CIVIL"/>
    <d v="2023-06-26T00:00:00"/>
    <d v="2023-07-11T19:38:00"/>
    <m/>
    <d v="2023-07-11T00:00:00"/>
    <n v="1379"/>
    <n v="14317"/>
    <s v="10178002"/>
    <s v="10178002"/>
    <m/>
    <m/>
    <m/>
    <m/>
    <m/>
    <m/>
    <s v="SOLRECOUP"/>
    <s v="SOLRECOUP"/>
    <s v="POARECOUP"/>
    <n v="21361476"/>
    <n v="-17.28"/>
    <m/>
    <s v="Y"/>
    <n v="1"/>
    <d v="2023-07-11T19:38:01"/>
    <s v="N"/>
    <m/>
    <m/>
    <s v="Non Expert Disbursement"/>
    <m/>
    <s v="N"/>
    <n v="-14.4"/>
    <n v="0"/>
    <x v="7"/>
    <s v="VALIDATED"/>
    <n v="1"/>
    <s v="01.11.80.308.2013.0000"/>
    <n v="-14.4"/>
    <s v="11"/>
    <s v="2013"/>
    <n v="5740.08"/>
    <n v="-14.4"/>
    <s v="CREDITOR"/>
    <n v="0"/>
    <n v="0"/>
    <n v="-14.4"/>
    <n v="0"/>
    <n v="0"/>
  </r>
  <r>
    <n v="10178002"/>
    <s v="N"/>
    <n v="21361477"/>
    <s v="3000006053950004RC"/>
    <s v="CIVIL"/>
    <d v="2023-06-26T00:00:00"/>
    <d v="2023-07-11T19:38:00"/>
    <m/>
    <d v="2023-07-11T00:00:00"/>
    <n v="1379"/>
    <n v="14317"/>
    <s v="10178002"/>
    <s v="10178002"/>
    <m/>
    <m/>
    <m/>
    <m/>
    <m/>
    <m/>
    <s v="SOLRECOUP"/>
    <s v="SOLRECOUP"/>
    <s v="POARECOUP"/>
    <n v="21361477"/>
    <n v="-4.5"/>
    <m/>
    <s v="Y"/>
    <n v="2"/>
    <d v="2023-07-11T19:38:01"/>
    <s v="N"/>
    <m/>
    <m/>
    <s v="Non Expert Disbursement"/>
    <m/>
    <s v="N"/>
    <n v="0"/>
    <n v="-0.75"/>
    <x v="7"/>
    <s v="VALIDATED"/>
    <n v="1"/>
    <s v="01.11.80.308.2013.0000"/>
    <n v="-0.75"/>
    <s v="11"/>
    <s v="2013"/>
    <n v="5740.08"/>
    <n v="-0.75"/>
    <s v="CREDITOR"/>
    <n v="0"/>
    <n v="0"/>
    <n v="-0.75"/>
    <n v="0"/>
    <n v="0"/>
  </r>
  <r>
    <n v="10178002"/>
    <s v="N"/>
    <n v="21361477"/>
    <s v="3000006053950004RC"/>
    <s v="CIVIL"/>
    <d v="2023-06-26T00:00:00"/>
    <d v="2023-07-11T19:38:00"/>
    <m/>
    <d v="2023-07-11T00:00:00"/>
    <n v="1379"/>
    <n v="14317"/>
    <s v="10178002"/>
    <s v="10178002"/>
    <m/>
    <m/>
    <m/>
    <m/>
    <m/>
    <m/>
    <s v="SOLRECOUP"/>
    <s v="SOLRECOUP"/>
    <s v="POARECOUP"/>
    <n v="21361477"/>
    <n v="-4.5"/>
    <m/>
    <s v="Y"/>
    <n v="1"/>
    <d v="2023-07-11T19:38:01"/>
    <s v="N"/>
    <m/>
    <m/>
    <s v="Non Expert Disbursement"/>
    <m/>
    <s v="N"/>
    <n v="-3.75"/>
    <n v="0"/>
    <x v="7"/>
    <s v="VALIDATED"/>
    <n v="1"/>
    <s v="01.11.80.308.2013.0000"/>
    <n v="-3.75"/>
    <s v="11"/>
    <s v="2013"/>
    <n v="5740.08"/>
    <n v="-3.75"/>
    <s v="CREDITOR"/>
    <n v="0"/>
    <n v="0"/>
    <n v="-3.75"/>
    <n v="0"/>
    <n v="0"/>
  </r>
  <r>
    <n v="10178002"/>
    <s v="N"/>
    <n v="21361478"/>
    <s v="3000006053950006RC"/>
    <s v="CIVIL"/>
    <d v="2023-06-26T00:00:00"/>
    <d v="2023-07-11T19:38:00"/>
    <m/>
    <d v="2023-07-11T00:00:00"/>
    <n v="1379"/>
    <n v="14317"/>
    <s v="10178002"/>
    <s v="10178002"/>
    <m/>
    <m/>
    <m/>
    <m/>
    <m/>
    <m/>
    <s v="SOLRECOUP"/>
    <s v="SOLRECOUP"/>
    <s v="POARECOUP"/>
    <n v="21361478"/>
    <n v="-1605.64"/>
    <m/>
    <s v="Y"/>
    <n v="2"/>
    <d v="2023-07-11T19:38:01"/>
    <s v="N"/>
    <m/>
    <m/>
    <s v="Profit Cost"/>
    <m/>
    <s v="N"/>
    <n v="0"/>
    <n v="-267.61"/>
    <x v="7"/>
    <s v="VALIDATED"/>
    <n v="1"/>
    <s v="01.11.80.308.2013.0000"/>
    <n v="-267.61"/>
    <s v="11"/>
    <s v="2013"/>
    <n v="5740.08"/>
    <n v="-267.61"/>
    <s v="CREDITOR"/>
    <n v="0"/>
    <n v="0"/>
    <n v="-267.61"/>
    <n v="-66.9025"/>
    <n v="0"/>
  </r>
  <r>
    <n v="10178002"/>
    <s v="N"/>
    <n v="21361478"/>
    <s v="3000006053950006RC"/>
    <s v="CIVIL"/>
    <d v="2023-06-26T00:00:00"/>
    <d v="2023-07-11T19:38:00"/>
    <m/>
    <d v="2023-07-11T00:00:00"/>
    <n v="1379"/>
    <n v="14317"/>
    <s v="10178002"/>
    <s v="10178002"/>
    <m/>
    <m/>
    <m/>
    <m/>
    <m/>
    <m/>
    <s v="SOLRECOUP"/>
    <s v="SOLRECOUP"/>
    <s v="POARECOUP"/>
    <n v="21361478"/>
    <n v="-1605.64"/>
    <m/>
    <s v="Y"/>
    <n v="1"/>
    <d v="2023-07-11T19:38:01"/>
    <s v="N"/>
    <m/>
    <m/>
    <s v="Profit Cost"/>
    <m/>
    <s v="N"/>
    <n v="-1338.03"/>
    <n v="0"/>
    <x v="7"/>
    <s v="VALIDATED"/>
    <n v="1"/>
    <s v="01.11.80.308.2013.0000"/>
    <n v="-1338.03"/>
    <s v="11"/>
    <s v="2013"/>
    <n v="5740.08"/>
    <n v="-1338.03"/>
    <s v="CREDITOR"/>
    <n v="0"/>
    <n v="0"/>
    <n v="-1338.03"/>
    <n v="-334.5075"/>
    <n v="0"/>
  </r>
  <r>
    <n v="10178002"/>
    <s v="N"/>
    <n v="21361479"/>
    <s v="3000006053950007RC"/>
    <s v="CIVIL"/>
    <d v="2023-06-26T00:00:00"/>
    <d v="2023-07-11T19:38:00"/>
    <m/>
    <d v="2023-07-11T00:00:00"/>
    <n v="1379"/>
    <n v="14317"/>
    <s v="10178002"/>
    <s v="10178002"/>
    <m/>
    <m/>
    <m/>
    <m/>
    <m/>
    <m/>
    <s v="SOLRECOUP"/>
    <s v="SOLRECOUP"/>
    <s v="POARECOUP"/>
    <n v="21361479"/>
    <n v="-10.8"/>
    <m/>
    <s v="Y"/>
    <n v="2"/>
    <d v="2023-07-11T19:38:01"/>
    <s v="N"/>
    <m/>
    <m/>
    <s v="Non Expert Disbursement"/>
    <m/>
    <s v="N"/>
    <n v="0"/>
    <n v="-1.8"/>
    <x v="7"/>
    <s v="VALIDATED"/>
    <n v="1"/>
    <s v="01.11.80.308.2013.0000"/>
    <n v="-1.8"/>
    <s v="11"/>
    <s v="2013"/>
    <n v="5740.08"/>
    <n v="-1.8"/>
    <s v="CREDITOR"/>
    <n v="0"/>
    <n v="0"/>
    <n v="-1.8"/>
    <n v="0"/>
    <n v="0"/>
  </r>
  <r>
    <n v="10178002"/>
    <s v="N"/>
    <n v="21361479"/>
    <s v="3000006053950007RC"/>
    <s v="CIVIL"/>
    <d v="2023-06-26T00:00:00"/>
    <d v="2023-07-11T19:38:00"/>
    <m/>
    <d v="2023-07-11T00:00:00"/>
    <n v="1379"/>
    <n v="14317"/>
    <s v="10178002"/>
    <s v="10178002"/>
    <m/>
    <m/>
    <m/>
    <m/>
    <m/>
    <m/>
    <s v="SOLRECOUP"/>
    <s v="SOLRECOUP"/>
    <s v="POARECOUP"/>
    <n v="21361479"/>
    <n v="-10.8"/>
    <m/>
    <s v="Y"/>
    <n v="1"/>
    <d v="2023-07-11T19:38:01"/>
    <s v="N"/>
    <m/>
    <m/>
    <s v="Non Expert Disbursement"/>
    <m/>
    <s v="N"/>
    <n v="-9"/>
    <n v="0"/>
    <x v="7"/>
    <s v="VALIDATED"/>
    <n v="1"/>
    <s v="01.11.80.308.2013.0000"/>
    <n v="-9"/>
    <s v="11"/>
    <s v="2013"/>
    <n v="5740.08"/>
    <n v="-9"/>
    <s v="CREDITOR"/>
    <n v="0"/>
    <n v="0"/>
    <n v="-9"/>
    <n v="0"/>
    <n v="0"/>
  </r>
  <r>
    <n v="10178002"/>
    <s v="N"/>
    <n v="21361480"/>
    <s v="3000006053950010RC"/>
    <s v="CIVIL"/>
    <d v="2023-06-26T00:00:00"/>
    <d v="2023-07-11T19:38:00"/>
    <m/>
    <d v="2023-07-11T00:00:00"/>
    <n v="1379"/>
    <n v="14317"/>
    <s v="10178002"/>
    <s v="10178002"/>
    <m/>
    <m/>
    <m/>
    <m/>
    <m/>
    <m/>
    <s v="SOLRECOUP"/>
    <s v="SOLRECOUP"/>
    <s v="POARECOUP"/>
    <n v="21361480"/>
    <n v="-8.640000000000001"/>
    <m/>
    <s v="Y"/>
    <n v="2"/>
    <d v="2023-07-11T19:38:01"/>
    <s v="N"/>
    <m/>
    <m/>
    <s v="Non Expert Disbursement"/>
    <m/>
    <s v="N"/>
    <n v="0"/>
    <n v="-1.44"/>
    <x v="7"/>
    <s v="VALIDATED"/>
    <n v="1"/>
    <s v="01.11.80.308.2013.0000"/>
    <n v="-1.44"/>
    <s v="11"/>
    <s v="2013"/>
    <n v="5740.08"/>
    <n v="-1.44"/>
    <s v="CREDITOR"/>
    <n v="0"/>
    <n v="0"/>
    <n v="-1.44"/>
    <n v="0"/>
    <n v="0"/>
  </r>
  <r>
    <n v="10178002"/>
    <s v="N"/>
    <n v="21361480"/>
    <s v="3000006053950010RC"/>
    <s v="CIVIL"/>
    <d v="2023-06-26T00:00:00"/>
    <d v="2023-07-11T19:38:00"/>
    <m/>
    <d v="2023-07-11T00:00:00"/>
    <n v="1379"/>
    <n v="14317"/>
    <s v="10178002"/>
    <s v="10178002"/>
    <m/>
    <m/>
    <m/>
    <m/>
    <m/>
    <m/>
    <s v="SOLRECOUP"/>
    <s v="SOLRECOUP"/>
    <s v="POARECOUP"/>
    <n v="21361480"/>
    <n v="-8.640000000000001"/>
    <m/>
    <s v="Y"/>
    <n v="1"/>
    <d v="2023-07-11T19:38:01"/>
    <s v="N"/>
    <m/>
    <m/>
    <s v="Non Expert Disbursement"/>
    <m/>
    <s v="N"/>
    <n v="-7.2"/>
    <n v="0"/>
    <x v="7"/>
    <s v="VALIDATED"/>
    <n v="1"/>
    <s v="01.11.80.308.2013.0000"/>
    <n v="-7.2"/>
    <s v="11"/>
    <s v="2013"/>
    <n v="5740.08"/>
    <n v="-7.2"/>
    <s v="CREDITOR"/>
    <n v="0"/>
    <n v="0"/>
    <n v="-7.2"/>
    <n v="0"/>
    <n v="0"/>
  </r>
  <r>
    <n v="10178002"/>
    <s v="N"/>
    <n v="21361481"/>
    <s v="3000006053950009RC"/>
    <s v="CIVIL"/>
    <d v="2023-06-26T00:00:00"/>
    <d v="2023-07-11T19:38:00"/>
    <m/>
    <d v="2023-07-11T00:00:00"/>
    <n v="1379"/>
    <n v="14317"/>
    <s v="10178002"/>
    <s v="10178002"/>
    <m/>
    <m/>
    <m/>
    <m/>
    <m/>
    <m/>
    <s v="SOLRECOUP"/>
    <s v="SOLRECOUP"/>
    <s v="POARECOUP"/>
    <n v="21361481"/>
    <n v="-1.6"/>
    <m/>
    <s v="Y"/>
    <n v="2"/>
    <d v="2023-07-11T19:38:01"/>
    <s v="N"/>
    <m/>
    <m/>
    <s v="Non Expert Disbursement"/>
    <m/>
    <s v="N"/>
    <n v="0"/>
    <n v="-0.27"/>
    <x v="7"/>
    <s v="VALIDATED"/>
    <n v="1"/>
    <s v="01.11.80.308.2013.0000"/>
    <n v="-0.27"/>
    <s v="11"/>
    <s v="2013"/>
    <n v="5740.08"/>
    <n v="-0.27"/>
    <s v="CREDITOR"/>
    <n v="0"/>
    <n v="0"/>
    <n v="-0.27"/>
    <n v="0"/>
    <n v="0"/>
  </r>
  <r>
    <n v="10178002"/>
    <s v="N"/>
    <n v="21361481"/>
    <s v="3000006053950009RC"/>
    <s v="CIVIL"/>
    <d v="2023-06-26T00:00:00"/>
    <d v="2023-07-11T19:38:00"/>
    <m/>
    <d v="2023-07-11T00:00:00"/>
    <n v="1379"/>
    <n v="14317"/>
    <s v="10178002"/>
    <s v="10178002"/>
    <m/>
    <m/>
    <m/>
    <m/>
    <m/>
    <m/>
    <s v="SOLRECOUP"/>
    <s v="SOLRECOUP"/>
    <s v="POARECOUP"/>
    <n v="21361481"/>
    <n v="-1.6"/>
    <m/>
    <s v="Y"/>
    <n v="1"/>
    <d v="2023-07-11T19:38:01"/>
    <s v="N"/>
    <m/>
    <m/>
    <s v="Non Expert Disbursement"/>
    <m/>
    <s v="N"/>
    <n v="-1.33"/>
    <n v="0"/>
    <x v="7"/>
    <s v="VALIDATED"/>
    <n v="1"/>
    <s v="01.11.80.308.2013.0000"/>
    <n v="-1.33"/>
    <s v="11"/>
    <s v="2013"/>
    <n v="5740.08"/>
    <n v="-1.33"/>
    <s v="CREDITOR"/>
    <n v="0"/>
    <n v="0"/>
    <n v="-1.33"/>
    <n v="0"/>
    <n v="0"/>
  </r>
  <r>
    <n v="61113356"/>
    <s v="N"/>
    <n v="21338438"/>
    <s v="3000015303330004"/>
    <s v="CIVIL"/>
    <d v="2023-06-14T00:00:00"/>
    <d v="2023-07-06T19:21:01"/>
    <m/>
    <d v="2023-07-06T00:00:00"/>
    <n v="1380"/>
    <n v="14317"/>
    <s v="61113356"/>
    <s v="61113356"/>
    <m/>
    <m/>
    <n v="22687856"/>
    <m/>
    <m/>
    <m/>
    <s v="SOLFIN"/>
    <s v="SOLFIN"/>
    <s v="CCMS"/>
    <n v="21338438"/>
    <n v="808.42"/>
    <m/>
    <s v="N"/>
    <n v="2"/>
    <d v="2023-07-06T19:21:25"/>
    <s v="Y"/>
    <s v="Hearing Unit 1.01 - 2.30 Hours"/>
    <s v="Private Law Children"/>
    <s v="Advocacy"/>
    <s v="Angela Newlan"/>
    <s v="Y"/>
    <n v="156.74"/>
    <n v="31.35"/>
    <x v="4"/>
    <s v="VALIDATED"/>
    <n v="1"/>
    <s v="01.11.80.302.6100.0000"/>
    <n v="156.74"/>
    <s v="11"/>
    <s v="6100"/>
    <n v="2668.77"/>
    <n v="156.74"/>
    <s v="CREDITOR"/>
    <n v="0"/>
    <n v="0"/>
    <n v="0"/>
    <n v="0"/>
    <n v="156.74"/>
  </r>
  <r>
    <n v="54251757"/>
    <s v="N"/>
    <n v="21395303"/>
    <s v="3000012927550002"/>
    <s v="CIVIL"/>
    <d v="2023-06-23T00:00:00"/>
    <d v="2023-07-19T19:02:01"/>
    <m/>
    <d v="2023-07-19T00:00:00"/>
    <n v="1380"/>
    <n v="14317"/>
    <s v="54251757"/>
    <s v="54251757"/>
    <m/>
    <m/>
    <n v="22751144"/>
    <m/>
    <m/>
    <m/>
    <s v="SOLFIN"/>
    <s v="SOLFIN"/>
    <s v="CCMS"/>
    <n v="21395303"/>
    <n v="728.4"/>
    <m/>
    <s v="N"/>
    <n v="2"/>
    <d v="2023-07-19T19:02:22"/>
    <s v="Y"/>
    <s v="Level 4 Fixed Fee"/>
    <s v="Domestic Abuse"/>
    <s v="Profit Cost"/>
    <s v="Jodie Billings"/>
    <s v="Y"/>
    <n v="507"/>
    <n v="101.4"/>
    <x v="5"/>
    <s v="VALIDATED"/>
    <n v="1"/>
    <s v="01.11.80.302.6100.0000"/>
    <n v="507"/>
    <s v="11"/>
    <s v="6100"/>
    <n v="2668.77"/>
    <n v="507"/>
    <s v="CREDITOR"/>
    <n v="0"/>
    <n v="0"/>
    <n v="0"/>
    <n v="0"/>
    <n v="507"/>
  </r>
  <r>
    <n v="61113356"/>
    <s v="N"/>
    <n v="21338438"/>
    <s v="3000015303330004"/>
    <s v="CIVIL"/>
    <d v="2023-06-14T00:00:00"/>
    <d v="2023-07-06T19:21:01"/>
    <m/>
    <d v="2023-07-06T00:00:00"/>
    <n v="1380"/>
    <n v="14317"/>
    <s v="61113356"/>
    <s v="61113356"/>
    <m/>
    <m/>
    <n v="22687856"/>
    <m/>
    <m/>
    <m/>
    <s v="SOLFIN"/>
    <s v="SOLFIN"/>
    <s v="CCMS"/>
    <n v="21338438"/>
    <n v="808.42"/>
    <m/>
    <s v="N"/>
    <n v="1"/>
    <d v="2023-07-06T19:21:25"/>
    <s v="Y"/>
    <s v="Solicitor Travel Mileage"/>
    <s v="Private Law Children"/>
    <s v="Non Expert Disbursement"/>
    <s v="Angela Newlan"/>
    <s v="Y"/>
    <n v="7.2"/>
    <n v="1.44"/>
    <x v="4"/>
    <s v="VALIDATED"/>
    <n v="1"/>
    <s v="01.11.80.302.6300.0000"/>
    <n v="7.2"/>
    <s v="11"/>
    <s v="6300"/>
    <n v="2668.77"/>
    <n v="7.2"/>
    <s v="CREDITOR"/>
    <n v="0"/>
    <n v="0"/>
    <n v="0"/>
    <n v="0"/>
    <n v="7.2"/>
  </r>
  <r>
    <n v="54251757"/>
    <s v="N"/>
    <n v="21395303"/>
    <s v="3000012927550002"/>
    <s v="CIVIL"/>
    <d v="2023-06-23T00:00:00"/>
    <d v="2023-07-19T19:02:01"/>
    <m/>
    <d v="2023-07-19T00:00:00"/>
    <n v="1380"/>
    <n v="14317"/>
    <s v="54251757"/>
    <s v="54251757"/>
    <m/>
    <m/>
    <n v="22751144"/>
    <m/>
    <m/>
    <m/>
    <s v="SOLFIN"/>
    <s v="SOLFIN"/>
    <s v="CCMS"/>
    <n v="21395303"/>
    <n v="728.4"/>
    <m/>
    <s v="N"/>
    <n v="1"/>
    <d v="2023-07-19T19:02:22"/>
    <s v="Y"/>
    <s v="Process server"/>
    <s v="Domestic Abuse"/>
    <s v="Expert Disbursement"/>
    <s v="Jodie Billings"/>
    <s v="Y"/>
    <n v="100"/>
    <n v="20"/>
    <x v="5"/>
    <s v="VALIDATED"/>
    <n v="1"/>
    <s v="01.11.80.302.6300.0000"/>
    <n v="100"/>
    <s v="11"/>
    <s v="6300"/>
    <n v="2668.77"/>
    <n v="100"/>
    <s v="CREDITOR"/>
    <n v="0"/>
    <n v="0"/>
    <n v="0"/>
    <n v="0"/>
    <n v="100"/>
  </r>
  <r>
    <n v="59691613"/>
    <s v="N"/>
    <n v="21350075"/>
    <s v="3000014076510006"/>
    <s v="CIVIL"/>
    <d v="2023-06-22T00:00:00"/>
    <d v="2023-07-10T19:01:40"/>
    <m/>
    <d v="2023-07-10T00:00:00"/>
    <n v="1380"/>
    <n v="14317"/>
    <s v="59691613"/>
    <s v="59691613"/>
    <m/>
    <m/>
    <n v="22739978"/>
    <m/>
    <m/>
    <m/>
    <s v="SOLFIN"/>
    <s v="SOLFIN"/>
    <s v="CCMS"/>
    <n v="21350075"/>
    <n v="655.6"/>
    <m/>
    <s v="N"/>
    <n v="2"/>
    <d v="2023-07-10T19:02:12"/>
    <s v="Y"/>
    <s v="Level 3 Fixed Fee"/>
    <s v="Private Law Children"/>
    <s v="Profit Cost"/>
    <s v="Angela Newlan"/>
    <s v="Y"/>
    <n v="353"/>
    <n v="70.59999999999999"/>
    <x v="2"/>
    <s v="VALIDATED"/>
    <n v="1"/>
    <s v="01.11.80.302.6100.0000"/>
    <n v="353"/>
    <s v="11"/>
    <s v="6100"/>
    <n v="2668.77"/>
    <n v="353"/>
    <s v="CREDITOR"/>
    <n v="0"/>
    <n v="0"/>
    <n v="0"/>
    <n v="0"/>
    <n v="353"/>
  </r>
  <r>
    <n v="62312696"/>
    <s v="N"/>
    <n v="21322120"/>
    <s v="3000016301290002"/>
    <s v="CIVIL"/>
    <d v="2023-06-29T00:00:00"/>
    <d v="2023-07-03T19:05:17"/>
    <m/>
    <d v="2023-07-03T00:00:00"/>
    <n v="1380"/>
    <n v="14317"/>
    <s v="62312696"/>
    <s v="62312696"/>
    <m/>
    <m/>
    <n v="22785660"/>
    <m/>
    <m/>
    <m/>
    <s v="SOLPOA"/>
    <s v="SOLPOA"/>
    <s v="CCMS"/>
    <n v="21322120"/>
    <n v="50.4"/>
    <m/>
    <s v="N"/>
    <n v="1"/>
    <d v="2023-07-03T19:05:22"/>
    <s v="N"/>
    <s v="Expert Cost"/>
    <s v="Expert Cost"/>
    <s v="Expert Disbursement"/>
    <s v="Katie Jagger"/>
    <s v="N"/>
    <n v="50.4"/>
    <n v="0"/>
    <x v="3"/>
    <s v="VALIDATED"/>
    <n v="1"/>
    <s v="01.11.80.308.2012.0000"/>
    <n v="50.4"/>
    <s v="11"/>
    <s v="2012"/>
    <n v="2668.77"/>
    <n v="50.4"/>
    <s v="CREDITOR"/>
    <n v="50.4"/>
    <n v="0"/>
    <n v="0"/>
    <n v="0"/>
    <n v="0"/>
  </r>
  <r>
    <n v="59691613"/>
    <s v="N"/>
    <n v="21350075"/>
    <s v="3000014076510006"/>
    <s v="CIVIL"/>
    <d v="2023-06-22T00:00:00"/>
    <d v="2023-07-10T19:01:40"/>
    <m/>
    <d v="2023-07-10T00:00:00"/>
    <n v="1380"/>
    <n v="14317"/>
    <s v="59691613"/>
    <s v="59691613"/>
    <m/>
    <m/>
    <n v="22739978"/>
    <m/>
    <m/>
    <m/>
    <s v="SOLFIN"/>
    <s v="SOLFIN"/>
    <s v="CCMS"/>
    <n v="21350075"/>
    <n v="655.6"/>
    <m/>
    <s v="N"/>
    <n v="1"/>
    <d v="2023-07-10T19:02:12"/>
    <s v="Y"/>
    <s v="Court Fee"/>
    <s v="Private Law Children"/>
    <s v="Non Expert Disbursement"/>
    <s v="Angela Newlan"/>
    <s v="Y"/>
    <n v="232"/>
    <n v="0"/>
    <x v="2"/>
    <s v="VALIDATED"/>
    <n v="1"/>
    <s v="01.11.80.302.6300.0000"/>
    <n v="232"/>
    <s v="11"/>
    <s v="6300"/>
    <n v="2668.77"/>
    <n v="232"/>
    <s v="CREDITOR"/>
    <n v="0"/>
    <n v="0"/>
    <n v="0"/>
    <n v="0"/>
    <n v="232"/>
  </r>
  <r>
    <n v="61629983"/>
    <s v="N"/>
    <n v="21322962"/>
    <s v="3000015733750004"/>
    <s v="CIVIL"/>
    <d v="2023-06-29T00:00:00"/>
    <d v="2023-07-03T19:05:36"/>
    <m/>
    <d v="2023-07-03T00:00:00"/>
    <n v="1380"/>
    <n v="14317"/>
    <s v="61629983"/>
    <s v="61629983"/>
    <m/>
    <m/>
    <n v="22789398"/>
    <m/>
    <m/>
    <m/>
    <s v="SOLPOA"/>
    <s v="SOLPOA"/>
    <s v="CCMS"/>
    <n v="21322962"/>
    <n v="1966.4"/>
    <m/>
    <s v="N"/>
    <n v="1"/>
    <d v="2023-07-03T19:05:41"/>
    <s v="N"/>
    <s v="Non Expert Disbursement - Private L"/>
    <s v="Non Expert Disbursement - Priv"/>
    <s v="Non Expert Disbursement"/>
    <s v="lc"/>
    <s v="N"/>
    <n v="1966.4"/>
    <n v="0"/>
    <x v="3"/>
    <s v="VALIDATED"/>
    <n v="1"/>
    <s v="01.11.80.307.2012.0000"/>
    <n v="1966.4"/>
    <s v="11"/>
    <s v="2012"/>
    <n v="2668.77"/>
    <n v="1966.4"/>
    <s v="CREDITOR"/>
    <n v="1966.4"/>
    <n v="0"/>
    <n v="0"/>
    <n v="0"/>
    <n v="0"/>
  </r>
  <r>
    <n v="61113356"/>
    <s v="N"/>
    <n v="21338438"/>
    <s v="3000015303330004"/>
    <s v="CIVIL"/>
    <d v="2023-06-14T00:00:00"/>
    <d v="2023-07-06T19:21:01"/>
    <m/>
    <d v="2023-07-06T00:00:00"/>
    <n v="1380"/>
    <n v="14317"/>
    <s v="61113356"/>
    <s v="61113356"/>
    <m/>
    <m/>
    <n v="22687856"/>
    <m/>
    <m/>
    <m/>
    <s v="SOLFIN"/>
    <s v="SOLFIN"/>
    <s v="CCMS"/>
    <n v="21338438"/>
    <n v="808.42"/>
    <m/>
    <s v="N"/>
    <n v="3"/>
    <d v="2023-07-06T19:21:25"/>
    <s v="Y"/>
    <s v="Hearing Unit 1.01 - 2.30 Hours"/>
    <s v="Private Law Children"/>
    <s v="Advocacy"/>
    <s v="Angela Newlan"/>
    <s v="Y"/>
    <n v="156.74"/>
    <n v="31.35"/>
    <x v="4"/>
    <s v="VALIDATED"/>
    <n v="1"/>
    <s v="01.11.80.302.6100.0000"/>
    <n v="156.74"/>
    <s v="11"/>
    <s v="6100"/>
    <n v="2668.77"/>
    <n v="156.74"/>
    <s v="CREDITOR"/>
    <n v="0"/>
    <n v="0"/>
    <n v="0"/>
    <n v="0"/>
    <n v="156.74"/>
  </r>
  <r>
    <n v="61113356"/>
    <s v="N"/>
    <n v="21338438"/>
    <s v="3000015303330004"/>
    <s v="CIVIL"/>
    <d v="2023-06-14T00:00:00"/>
    <d v="2023-07-06T19:21:01"/>
    <m/>
    <d v="2023-07-06T00:00:00"/>
    <n v="1380"/>
    <n v="14317"/>
    <s v="61113356"/>
    <s v="61113356"/>
    <m/>
    <m/>
    <n v="22687856"/>
    <m/>
    <m/>
    <m/>
    <s v="SOLFIN"/>
    <s v="SOLFIN"/>
    <s v="CCMS"/>
    <n v="21338438"/>
    <n v="808.42"/>
    <m/>
    <s v="N"/>
    <n v="4"/>
    <d v="2023-07-06T19:21:25"/>
    <s v="Y"/>
    <s v="Level 3 Fixed Fee"/>
    <s v="Private Law Children"/>
    <s v="Profit Cost"/>
    <s v="Angela Newlan"/>
    <s v="Y"/>
    <n v="353"/>
    <n v="70.59999999999999"/>
    <x v="4"/>
    <s v="VALIDATED"/>
    <n v="1"/>
    <s v="01.11.80.302.6100.0000"/>
    <n v="353"/>
    <s v="11"/>
    <s v="6100"/>
    <n v="2668.77"/>
    <n v="353"/>
    <s v="CREDITOR"/>
    <n v="0"/>
    <n v="0"/>
    <n v="0"/>
    <n v="0"/>
    <n v="353"/>
  </r>
  <r>
    <n v="59691613"/>
    <s v="N"/>
    <n v="21356556"/>
    <s v="3000014076510002RC"/>
    <s v="CIVIL"/>
    <d v="2023-06-22T00:00:00"/>
    <d v="2023-07-10T19:47:44"/>
    <m/>
    <d v="2023-07-10T00:00:00"/>
    <n v="1380"/>
    <n v="14317"/>
    <s v="59691613"/>
    <s v="59691613"/>
    <m/>
    <m/>
    <m/>
    <m/>
    <m/>
    <m/>
    <s v="SOLRECOUP"/>
    <s v="SOLRECOUP"/>
    <s v="POARECOUP"/>
    <n v="21356556"/>
    <n v="-232"/>
    <m/>
    <s v="Y"/>
    <n v="2"/>
    <d v="2023-07-10T19:47:45"/>
    <s v="N"/>
    <m/>
    <m/>
    <s v="Non Expert Disbursement"/>
    <m/>
    <s v="N"/>
    <n v="0"/>
    <n v="0"/>
    <x v="2"/>
    <s v="VALIDATED"/>
    <n v="1"/>
    <s v="01.11.80.000.0000.0000"/>
    <n v="0"/>
    <s v="11"/>
    <s v="0000"/>
    <n v="2668.77"/>
    <n v="0"/>
    <s v="CREDITOR"/>
    <n v="0"/>
    <n v="0"/>
    <n v="0"/>
    <n v="0"/>
    <n v="0"/>
  </r>
  <r>
    <n v="61113356"/>
    <s v="N"/>
    <n v="21340020"/>
    <s v="3000015303330001RC"/>
    <s v="CIVIL"/>
    <d v="2023-06-14T00:00:00"/>
    <d v="2023-07-06T19:54:22"/>
    <m/>
    <d v="2023-07-06T00:00:00"/>
    <n v="1380"/>
    <n v="14317"/>
    <s v="61113356"/>
    <s v="61113356"/>
    <m/>
    <m/>
    <m/>
    <m/>
    <m/>
    <m/>
    <s v="SOLRECOUP"/>
    <s v="SOLRECOUP"/>
    <s v="POARECOUP"/>
    <n v="21340020"/>
    <n v="-120"/>
    <m/>
    <s v="Y"/>
    <n v="2"/>
    <d v="2023-07-06T19:54:23"/>
    <s v="N"/>
    <m/>
    <m/>
    <s v="Non Expert Disbursement"/>
    <m/>
    <s v="N"/>
    <n v="0"/>
    <n v="-20"/>
    <x v="4"/>
    <s v="VALIDATED"/>
    <n v="1"/>
    <s v="01.11.80.302.2013.0000"/>
    <n v="-20"/>
    <s v="11"/>
    <s v="2013"/>
    <n v="2668.77"/>
    <n v="-20"/>
    <s v="CREDITOR"/>
    <n v="0"/>
    <n v="0"/>
    <n v="-20"/>
    <n v="0"/>
    <n v="0"/>
  </r>
  <r>
    <n v="61113356"/>
    <s v="N"/>
    <n v="21340020"/>
    <s v="3000015303330001RC"/>
    <s v="CIVIL"/>
    <d v="2023-06-14T00:00:00"/>
    <d v="2023-07-06T19:54:22"/>
    <m/>
    <d v="2023-07-06T00:00:00"/>
    <n v="1380"/>
    <n v="14317"/>
    <s v="61113356"/>
    <s v="61113356"/>
    <m/>
    <m/>
    <m/>
    <m/>
    <m/>
    <m/>
    <s v="SOLRECOUP"/>
    <s v="SOLRECOUP"/>
    <s v="POARECOUP"/>
    <n v="21340020"/>
    <n v="-120"/>
    <m/>
    <s v="Y"/>
    <n v="1"/>
    <d v="2023-07-06T19:54:23"/>
    <s v="N"/>
    <m/>
    <m/>
    <s v="Non Expert Disbursement"/>
    <m/>
    <s v="N"/>
    <n v="-100"/>
    <n v="0"/>
    <x v="4"/>
    <s v="VALIDATED"/>
    <n v="1"/>
    <s v="01.11.80.302.2013.0000"/>
    <n v="-100"/>
    <s v="11"/>
    <s v="2013"/>
    <n v="2668.77"/>
    <n v="-100"/>
    <s v="CREDITOR"/>
    <n v="0"/>
    <n v="0"/>
    <n v="-100"/>
    <n v="0"/>
    <n v="0"/>
  </r>
  <r>
    <n v="61113356"/>
    <s v="N"/>
    <n v="21340021"/>
    <s v="3000015303330002RC"/>
    <s v="CIVIL"/>
    <d v="2023-06-14T00:00:00"/>
    <d v="2023-07-06T19:54:22"/>
    <m/>
    <d v="2023-07-06T00:00:00"/>
    <n v="1380"/>
    <n v="14317"/>
    <s v="61113356"/>
    <s v="61113356"/>
    <m/>
    <m/>
    <m/>
    <m/>
    <m/>
    <m/>
    <s v="SOLRECOUP"/>
    <s v="SOLRECOUP"/>
    <s v="POARECOUP"/>
    <n v="21340021"/>
    <n v="-422.03"/>
    <m/>
    <s v="Y"/>
    <n v="2"/>
    <d v="2023-07-06T19:54:23"/>
    <s v="N"/>
    <m/>
    <m/>
    <s v="Profit Cost"/>
    <m/>
    <s v="N"/>
    <n v="0"/>
    <n v="-70.34"/>
    <x v="4"/>
    <s v="VALIDATED"/>
    <n v="1"/>
    <s v="01.11.80.302.2013.0000"/>
    <n v="-70.34"/>
    <s v="11"/>
    <s v="2013"/>
    <n v="2668.77"/>
    <n v="-70.34"/>
    <s v="CREDITOR"/>
    <n v="0"/>
    <n v="0"/>
    <n v="-70.34"/>
    <n v="-17.585"/>
    <n v="0"/>
  </r>
  <r>
    <n v="61113356"/>
    <s v="N"/>
    <n v="21340021"/>
    <s v="3000015303330002RC"/>
    <s v="CIVIL"/>
    <d v="2023-06-14T00:00:00"/>
    <d v="2023-07-06T19:54:22"/>
    <m/>
    <d v="2023-07-06T00:00:00"/>
    <n v="1380"/>
    <n v="14317"/>
    <s v="61113356"/>
    <s v="61113356"/>
    <m/>
    <m/>
    <m/>
    <m/>
    <m/>
    <m/>
    <s v="SOLRECOUP"/>
    <s v="SOLRECOUP"/>
    <s v="POARECOUP"/>
    <n v="21340021"/>
    <n v="-422.03"/>
    <m/>
    <s v="Y"/>
    <n v="1"/>
    <d v="2023-07-06T19:54:23"/>
    <s v="N"/>
    <m/>
    <m/>
    <s v="Profit Cost"/>
    <m/>
    <s v="N"/>
    <n v="-351.69"/>
    <n v="0"/>
    <x v="4"/>
    <s v="VALIDATED"/>
    <n v="1"/>
    <s v="01.11.80.302.2013.0000"/>
    <n v="-351.69"/>
    <s v="11"/>
    <s v="2013"/>
    <n v="2668.77"/>
    <n v="-351.69"/>
    <s v="CREDITOR"/>
    <n v="0"/>
    <n v="0"/>
    <n v="-351.69"/>
    <n v="-87.9225"/>
    <n v="0"/>
  </r>
  <r>
    <n v="59691613"/>
    <s v="N"/>
    <n v="21356555"/>
    <s v="3000014076510004RC"/>
    <s v="CIVIL"/>
    <d v="2023-06-22T00:00:00"/>
    <d v="2023-07-10T19:47:44"/>
    <m/>
    <d v="2023-07-10T00:00:00"/>
    <n v="1380"/>
    <n v="14317"/>
    <s v="59691613"/>
    <s v="59691613"/>
    <m/>
    <m/>
    <m/>
    <m/>
    <m/>
    <m/>
    <s v="SOLRECOUP"/>
    <s v="SOLRECOUP"/>
    <s v="POARECOUP"/>
    <n v="21356555"/>
    <n v="-319.68"/>
    <m/>
    <s v="Y"/>
    <n v="1"/>
    <d v="2023-07-10T19:47:45"/>
    <s v="N"/>
    <m/>
    <m/>
    <s v="Profit Cost"/>
    <m/>
    <s v="N"/>
    <n v="-266.4"/>
    <n v="0"/>
    <x v="2"/>
    <s v="VALIDATED"/>
    <n v="1"/>
    <s v="01.11.80.302.2013.0000"/>
    <n v="-266.4"/>
    <s v="11"/>
    <s v="2013"/>
    <n v="2668.77"/>
    <n v="-266.4"/>
    <s v="CREDITOR"/>
    <n v="0"/>
    <n v="0"/>
    <n v="-266.4"/>
    <n v="-66.59999999999999"/>
    <n v="0"/>
  </r>
  <r>
    <n v="59691613"/>
    <s v="N"/>
    <n v="21356555"/>
    <s v="3000014076510004RC"/>
    <s v="CIVIL"/>
    <d v="2023-06-22T00:00:00"/>
    <d v="2023-07-10T19:47:44"/>
    <m/>
    <d v="2023-07-10T00:00:00"/>
    <n v="1380"/>
    <n v="14317"/>
    <s v="59691613"/>
    <s v="59691613"/>
    <m/>
    <m/>
    <m/>
    <m/>
    <m/>
    <m/>
    <s v="SOLRECOUP"/>
    <s v="SOLRECOUP"/>
    <s v="POARECOUP"/>
    <n v="21356555"/>
    <n v="-319.68"/>
    <m/>
    <s v="Y"/>
    <n v="2"/>
    <d v="2023-07-10T19:47:45"/>
    <s v="N"/>
    <m/>
    <m/>
    <s v="Profit Cost"/>
    <m/>
    <s v="N"/>
    <n v="0"/>
    <n v="-53.28"/>
    <x v="2"/>
    <s v="VALIDATED"/>
    <n v="1"/>
    <s v="01.11.80.302.2013.0000"/>
    <n v="-53.28"/>
    <s v="11"/>
    <s v="2013"/>
    <n v="2668.77"/>
    <n v="-53.28"/>
    <s v="CREDITOR"/>
    <n v="0"/>
    <n v="0"/>
    <n v="-53.28"/>
    <n v="-13.32"/>
    <n v="0"/>
  </r>
  <r>
    <n v="59691613"/>
    <s v="N"/>
    <n v="21356556"/>
    <s v="3000014076510002RC"/>
    <s v="CIVIL"/>
    <d v="2023-06-22T00:00:00"/>
    <d v="2023-07-10T19:47:44"/>
    <m/>
    <d v="2023-07-10T00:00:00"/>
    <n v="1380"/>
    <n v="14317"/>
    <s v="59691613"/>
    <s v="59691613"/>
    <m/>
    <m/>
    <m/>
    <m/>
    <m/>
    <m/>
    <s v="SOLRECOUP"/>
    <s v="SOLRECOUP"/>
    <s v="POARECOUP"/>
    <n v="21356556"/>
    <n v="-232"/>
    <m/>
    <s v="Y"/>
    <n v="1"/>
    <d v="2023-07-10T19:47:45"/>
    <s v="N"/>
    <m/>
    <m/>
    <s v="Non Expert Disbursement"/>
    <m/>
    <s v="N"/>
    <n v="-232"/>
    <n v="0"/>
    <x v="2"/>
    <s v="VALIDATED"/>
    <n v="1"/>
    <s v="01.11.80.302.2013.0000"/>
    <n v="-232"/>
    <s v="11"/>
    <s v="2013"/>
    <n v="2668.77"/>
    <n v="-232"/>
    <s v="CREDITOR"/>
    <n v="0"/>
    <n v="0"/>
    <n v="-232"/>
    <n v="0"/>
    <n v="0"/>
  </r>
  <r>
    <n v="54251757"/>
    <s v="N"/>
    <n v="21398549"/>
    <s v="3000012927550001RC"/>
    <s v="CIVIL"/>
    <d v="2023-06-23T00:00:00"/>
    <d v="2023-07-19T19:43:58"/>
    <m/>
    <d v="2023-07-19T00:00:00"/>
    <n v="1380"/>
    <n v="14317"/>
    <s v="54251757"/>
    <s v="54251757"/>
    <m/>
    <m/>
    <m/>
    <m/>
    <m/>
    <m/>
    <s v="SOLRECOUP"/>
    <s v="SOLRECOUP"/>
    <s v="POARECOUP"/>
    <n v="21398549"/>
    <n v="-120"/>
    <m/>
    <s v="Y"/>
    <n v="2"/>
    <d v="2023-07-19T19:43:59"/>
    <s v="N"/>
    <m/>
    <m/>
    <s v="Non Expert Disbursement"/>
    <m/>
    <s v="N"/>
    <n v="0"/>
    <n v="-20"/>
    <x v="5"/>
    <s v="VALIDATED"/>
    <n v="1"/>
    <s v="01.11.80.302.2013.0000"/>
    <n v="-20"/>
    <s v="11"/>
    <s v="2013"/>
    <n v="2668.77"/>
    <n v="-20"/>
    <s v="CREDITOR"/>
    <n v="0"/>
    <n v="0"/>
    <n v="-20"/>
    <n v="0"/>
    <n v="0"/>
  </r>
  <r>
    <n v="54251757"/>
    <s v="N"/>
    <n v="21398549"/>
    <s v="3000012927550001RC"/>
    <s v="CIVIL"/>
    <d v="2023-06-23T00:00:00"/>
    <d v="2023-07-19T19:43:58"/>
    <m/>
    <d v="2023-07-19T00:00:00"/>
    <n v="1380"/>
    <n v="14317"/>
    <s v="54251757"/>
    <s v="54251757"/>
    <m/>
    <m/>
    <m/>
    <m/>
    <m/>
    <m/>
    <s v="SOLRECOUP"/>
    <s v="SOLRECOUP"/>
    <s v="POARECOUP"/>
    <n v="21398549"/>
    <n v="-120"/>
    <m/>
    <s v="Y"/>
    <n v="1"/>
    <d v="2023-07-19T19:43:59"/>
    <s v="N"/>
    <m/>
    <m/>
    <s v="Non Expert Disbursement"/>
    <m/>
    <s v="N"/>
    <n v="-100"/>
    <n v="0"/>
    <x v="5"/>
    <s v="VALIDATED"/>
    <n v="1"/>
    <s v="01.11.80.302.2013.0000"/>
    <n v="-100"/>
    <s v="11"/>
    <s v="2013"/>
    <n v="2668.77"/>
    <n v="-100"/>
    <s v="CREDITOR"/>
    <n v="0"/>
    <n v="0"/>
    <n v="-100"/>
    <n v="0"/>
    <n v="0"/>
  </r>
  <r>
    <n v="60903504"/>
    <s v="N"/>
    <n v="21327974"/>
    <s v="3000015124210002"/>
    <s v="CIVIL"/>
    <d v="2023-06-26T00:00:00"/>
    <d v="2023-07-04T19:00:44"/>
    <m/>
    <d v="2023-07-04T00:00:00"/>
    <n v="1381"/>
    <n v="18607"/>
    <s v="60903504"/>
    <s v="60903504"/>
    <m/>
    <m/>
    <n v="22760184"/>
    <m/>
    <m/>
    <m/>
    <s v="SOLFIN"/>
    <s v="SOLFIN"/>
    <s v="CCMS"/>
    <n v="21327974"/>
    <n v="4854.55"/>
    <m/>
    <s v="N"/>
    <n v="3"/>
    <d v="2023-07-04T19:01:00"/>
    <s v="Y"/>
    <s v="Expert - Other"/>
    <s v="Public Law Children"/>
    <s v="Expert Disbursement"/>
    <s v="MARTINA DUTTON"/>
    <s v="Y"/>
    <n v="369.33"/>
    <n v="73.87"/>
    <x v="1"/>
    <s v="VALIDATED"/>
    <n v="1"/>
    <s v="01.11.80.308.6300.0000"/>
    <n v="369.33"/>
    <s v="11"/>
    <s v="6300"/>
    <n v="3602.25"/>
    <n v="369.33"/>
    <s v="CREDITOR"/>
    <n v="0"/>
    <n v="0"/>
    <n v="0"/>
    <n v="0"/>
    <n v="369.33"/>
  </r>
  <r>
    <n v="60903504"/>
    <s v="N"/>
    <n v="21327974"/>
    <s v="3000015124210002"/>
    <s v="CIVIL"/>
    <d v="2023-06-26T00:00:00"/>
    <d v="2023-07-04T19:00:44"/>
    <m/>
    <d v="2023-07-04T00:00:00"/>
    <n v="1381"/>
    <n v="18607"/>
    <s v="60903504"/>
    <s v="60903504"/>
    <m/>
    <m/>
    <n v="22760184"/>
    <m/>
    <m/>
    <m/>
    <s v="SOLFIN"/>
    <s v="SOLFIN"/>
    <s v="CCMS"/>
    <n v="21327974"/>
    <n v="4854.55"/>
    <m/>
    <s v="N"/>
    <n v="8"/>
    <d v="2023-07-04T19:01:00"/>
    <s v="Y"/>
    <s v="Solicitors Fixed Fee"/>
    <s v="Public Law Children"/>
    <s v="Profit Cost"/>
    <s v="MARTINA DUTTON"/>
    <s v="Y"/>
    <n v="2300"/>
    <n v="460"/>
    <x v="1"/>
    <s v="VALIDATED"/>
    <n v="1"/>
    <s v="01.11.80.308.6100.0000"/>
    <n v="2300"/>
    <s v="11"/>
    <s v="6100"/>
    <n v="3602.25"/>
    <n v="2300"/>
    <s v="CREDITOR"/>
    <n v="0"/>
    <n v="0"/>
    <n v="0"/>
    <n v="0"/>
    <n v="2300"/>
  </r>
  <r>
    <n v="60903504"/>
    <s v="N"/>
    <n v="21327974"/>
    <s v="3000015124210002"/>
    <s v="CIVIL"/>
    <d v="2023-06-26T00:00:00"/>
    <d v="2023-07-04T19:00:44"/>
    <m/>
    <d v="2023-07-04T00:00:00"/>
    <n v="1381"/>
    <n v="18607"/>
    <s v="60903504"/>
    <s v="60903504"/>
    <m/>
    <m/>
    <n v="22760184"/>
    <m/>
    <m/>
    <m/>
    <s v="SOLFIN"/>
    <s v="SOLFIN"/>
    <s v="CCMS"/>
    <n v="21327974"/>
    <n v="4854.55"/>
    <m/>
    <s v="N"/>
    <n v="4"/>
    <d v="2023-07-04T19:01:00"/>
    <s v="Y"/>
    <s v="Advocates Meeting"/>
    <s v="Public Law Children"/>
    <s v="Advocacy"/>
    <s v="MARTINA DUTTON"/>
    <s v="Y"/>
    <n v="140.99"/>
    <n v="28.2"/>
    <x v="1"/>
    <s v="VALIDATED"/>
    <n v="1"/>
    <s v="01.11.80.308.6100.0000"/>
    <n v="140.99"/>
    <s v="11"/>
    <s v="6100"/>
    <n v="3602.25"/>
    <n v="140.99"/>
    <s v="CREDITOR"/>
    <n v="0"/>
    <n v="0"/>
    <n v="0"/>
    <n v="0"/>
    <n v="140.99"/>
  </r>
  <r>
    <n v="60903504"/>
    <s v="N"/>
    <n v="21327974"/>
    <s v="3000015124210002"/>
    <s v="CIVIL"/>
    <d v="2023-06-26T00:00:00"/>
    <d v="2023-07-04T19:00:44"/>
    <m/>
    <d v="2023-07-04T00:00:00"/>
    <n v="1381"/>
    <n v="18607"/>
    <s v="60903504"/>
    <s v="60903504"/>
    <m/>
    <m/>
    <n v="22760184"/>
    <m/>
    <m/>
    <m/>
    <s v="SOLFIN"/>
    <s v="SOLFIN"/>
    <s v="CCMS"/>
    <n v="21327974"/>
    <n v="4854.55"/>
    <m/>
    <s v="N"/>
    <n v="1"/>
    <d v="2023-07-04T19:01:00"/>
    <s v="Y"/>
    <s v="Final Hearing Court Bundle/Advocate"/>
    <s v="Public Law Children"/>
    <s v="Advocacy"/>
    <s v="MARTINA DUTTON"/>
    <s v="Y"/>
    <n v="239.4"/>
    <n v="47.88"/>
    <x v="1"/>
    <s v="VALIDATED"/>
    <n v="1"/>
    <s v="01.11.80.308.6100.0000"/>
    <n v="239.4"/>
    <s v="11"/>
    <s v="6100"/>
    <n v="3602.25"/>
    <n v="239.4"/>
    <s v="CREDITOR"/>
    <n v="0"/>
    <n v="0"/>
    <n v="0"/>
    <n v="0"/>
    <n v="239.4"/>
  </r>
  <r>
    <n v="60903504"/>
    <s v="N"/>
    <n v="21327974"/>
    <s v="3000015124210002"/>
    <s v="CIVIL"/>
    <d v="2023-06-26T00:00:00"/>
    <d v="2023-07-04T19:00:44"/>
    <m/>
    <d v="2023-07-04T00:00:00"/>
    <n v="1381"/>
    <n v="18607"/>
    <s v="60903504"/>
    <s v="60903504"/>
    <m/>
    <m/>
    <n v="22760184"/>
    <m/>
    <m/>
    <m/>
    <s v="SOLFIN"/>
    <s v="SOLFIN"/>
    <s v="CCMS"/>
    <n v="21327974"/>
    <n v="4854.55"/>
    <m/>
    <s v="N"/>
    <n v="5"/>
    <d v="2023-07-04T19:01:00"/>
    <s v="Y"/>
    <s v="Hearing Unit 1.01 - 2.30 Hours"/>
    <s v="Public Law Children"/>
    <s v="Advocacy"/>
    <s v="MARTINA DUTTON"/>
    <s v="Y"/>
    <n v="238.46"/>
    <n v="47.69"/>
    <x v="1"/>
    <s v="VALIDATED"/>
    <n v="1"/>
    <s v="01.11.80.308.6100.0000"/>
    <n v="238.46"/>
    <s v="11"/>
    <s v="6100"/>
    <n v="3602.25"/>
    <n v="238.46"/>
    <s v="CREDITOR"/>
    <n v="0"/>
    <n v="0"/>
    <n v="0"/>
    <n v="0"/>
    <n v="238.46"/>
  </r>
  <r>
    <n v="60903504"/>
    <s v="N"/>
    <n v="21327974"/>
    <s v="3000015124210002"/>
    <s v="CIVIL"/>
    <d v="2023-06-26T00:00:00"/>
    <d v="2023-07-04T19:00:44"/>
    <m/>
    <d v="2023-07-04T00:00:00"/>
    <n v="1381"/>
    <n v="18607"/>
    <s v="60903504"/>
    <s v="60903504"/>
    <m/>
    <m/>
    <n v="22760184"/>
    <m/>
    <m/>
    <m/>
    <s v="SOLFIN"/>
    <s v="SOLFIN"/>
    <s v="CCMS"/>
    <n v="21327974"/>
    <n v="4854.55"/>
    <m/>
    <s v="N"/>
    <n v="6"/>
    <d v="2023-07-04T19:01:00"/>
    <s v="Y"/>
    <s v="Final Hearing - 1 Day"/>
    <s v="Public Law Children"/>
    <s v="Advocacy"/>
    <s v="MARTINA DUTTON"/>
    <s v="Y"/>
    <n v="556.88"/>
    <n v="111.38"/>
    <x v="1"/>
    <s v="VALIDATED"/>
    <n v="1"/>
    <s v="01.11.80.308.6100.0000"/>
    <n v="556.88"/>
    <s v="11"/>
    <s v="6100"/>
    <n v="3602.25"/>
    <n v="556.88"/>
    <s v="CREDITOR"/>
    <n v="0"/>
    <n v="0"/>
    <n v="0"/>
    <n v="0"/>
    <n v="556.88"/>
  </r>
  <r>
    <n v="60903504"/>
    <s v="N"/>
    <n v="21327974"/>
    <s v="3000015124210002"/>
    <s v="CIVIL"/>
    <d v="2023-06-26T00:00:00"/>
    <d v="2023-07-04T19:00:44"/>
    <m/>
    <d v="2023-07-04T00:00:00"/>
    <n v="1381"/>
    <n v="18607"/>
    <s v="60903504"/>
    <s v="60903504"/>
    <m/>
    <m/>
    <n v="22760184"/>
    <m/>
    <m/>
    <m/>
    <s v="SOLFIN"/>
    <s v="SOLFIN"/>
    <s v="CCMS"/>
    <n v="21327974"/>
    <n v="4854.55"/>
    <m/>
    <s v="N"/>
    <n v="2"/>
    <d v="2023-07-04T19:01:00"/>
    <s v="Y"/>
    <s v="Interim Hearing Court Bundle/Advoca"/>
    <s v="Public Law Children"/>
    <s v="Advocacy"/>
    <s v="MARTINA DUTTON"/>
    <s v="Y"/>
    <n v="59.4"/>
    <n v="11.88"/>
    <x v="1"/>
    <s v="VALIDATED"/>
    <n v="1"/>
    <s v="01.11.80.308.6100.0000"/>
    <n v="59.4"/>
    <s v="11"/>
    <s v="6100"/>
    <n v="3602.25"/>
    <n v="59.4"/>
    <s v="CREDITOR"/>
    <n v="0"/>
    <n v="0"/>
    <n v="0"/>
    <n v="0"/>
    <n v="59.4"/>
  </r>
  <r>
    <n v="60903504"/>
    <s v="N"/>
    <n v="21327974"/>
    <s v="3000015124210002"/>
    <s v="CIVIL"/>
    <d v="2023-06-26T00:00:00"/>
    <d v="2023-07-04T19:00:44"/>
    <m/>
    <d v="2023-07-04T00:00:00"/>
    <n v="1381"/>
    <n v="18607"/>
    <s v="60903504"/>
    <s v="60903504"/>
    <m/>
    <m/>
    <n v="22760184"/>
    <m/>
    <m/>
    <m/>
    <s v="SOLFIN"/>
    <s v="SOLFIN"/>
    <s v="CCMS"/>
    <n v="21327974"/>
    <n v="4854.55"/>
    <m/>
    <s v="N"/>
    <n v="7"/>
    <d v="2023-07-04T19:01:00"/>
    <s v="Y"/>
    <s v="Advocates Meeting"/>
    <s v="Public Law Children"/>
    <s v="Advocacy"/>
    <s v="MARTINA DUTTON"/>
    <s v="Y"/>
    <n v="140.99"/>
    <n v="28.2"/>
    <x v="1"/>
    <s v="VALIDATED"/>
    <n v="1"/>
    <s v="01.11.80.308.6100.0000"/>
    <n v="140.99"/>
    <s v="11"/>
    <s v="6100"/>
    <n v="3602.25"/>
    <n v="140.99"/>
    <s v="CREDITOR"/>
    <n v="0"/>
    <n v="0"/>
    <n v="0"/>
    <n v="0"/>
    <n v="140.99"/>
  </r>
  <r>
    <n v="60903504"/>
    <s v="N"/>
    <n v="21328703"/>
    <s v="3000015124210001RC"/>
    <s v="CIVIL"/>
    <d v="2023-06-26T00:00:00"/>
    <d v="2023-07-04T19:38:21"/>
    <m/>
    <d v="2023-07-04T00:00:00"/>
    <n v="1381"/>
    <n v="18607"/>
    <s v="60903504"/>
    <s v="60903504"/>
    <m/>
    <m/>
    <m/>
    <m/>
    <m/>
    <m/>
    <s v="SOLRECOUP"/>
    <s v="SOLRECOUP"/>
    <s v="POARECOUP"/>
    <n v="21328703"/>
    <n v="-443.2"/>
    <m/>
    <s v="Y"/>
    <n v="2"/>
    <d v="2023-07-04T19:38:22"/>
    <s v="N"/>
    <m/>
    <m/>
    <s v="Expert Disbursement"/>
    <m/>
    <s v="N"/>
    <n v="0"/>
    <n v="-73.87"/>
    <x v="1"/>
    <s v="VALIDATED"/>
    <n v="1"/>
    <s v="01.11.80.308.2013.0000"/>
    <n v="-73.87"/>
    <s v="11"/>
    <s v="2013"/>
    <n v="3602.25"/>
    <n v="-73.87"/>
    <s v="CREDITOR"/>
    <n v="0"/>
    <n v="0"/>
    <n v="-73.87"/>
    <n v="0"/>
    <n v="0"/>
  </r>
  <r>
    <n v="60903504"/>
    <s v="N"/>
    <n v="21328703"/>
    <s v="3000015124210001RC"/>
    <s v="CIVIL"/>
    <d v="2023-06-26T00:00:00"/>
    <d v="2023-07-04T19:38:21"/>
    <m/>
    <d v="2023-07-04T00:00:00"/>
    <n v="1381"/>
    <n v="18607"/>
    <s v="60903504"/>
    <s v="60903504"/>
    <m/>
    <m/>
    <m/>
    <m/>
    <m/>
    <m/>
    <s v="SOLRECOUP"/>
    <s v="SOLRECOUP"/>
    <s v="POARECOUP"/>
    <n v="21328703"/>
    <n v="-443.2"/>
    <m/>
    <s v="Y"/>
    <n v="1"/>
    <d v="2023-07-04T19:38:22"/>
    <s v="N"/>
    <m/>
    <m/>
    <s v="Expert Disbursement"/>
    <m/>
    <s v="N"/>
    <n v="-369.33"/>
    <n v="0"/>
    <x v="1"/>
    <s v="VALIDATED"/>
    <n v="1"/>
    <s v="01.11.80.308.2013.0000"/>
    <n v="-369.33"/>
    <s v="11"/>
    <s v="2013"/>
    <n v="3602.25"/>
    <n v="-369.33"/>
    <s v="CREDITOR"/>
    <n v="0"/>
    <n v="0"/>
    <n v="-369.33"/>
    <n v="0"/>
    <n v="0"/>
  </r>
  <r>
    <n v="61970882"/>
    <s v="N"/>
    <n v="21318551"/>
    <s v="3000016005560001"/>
    <s v="CIVIL"/>
    <d v="2023-06-23T00:00:00"/>
    <d v="2023-07-03T19:01:49"/>
    <m/>
    <d v="2023-07-03T00:00:00"/>
    <n v="1382"/>
    <n v="18618"/>
    <s v="61970882"/>
    <s v="61970882"/>
    <m/>
    <m/>
    <n v="22751244"/>
    <m/>
    <m/>
    <m/>
    <s v="SOLFIN"/>
    <s v="SOLFIN"/>
    <s v="CCMS"/>
    <n v="21318551"/>
    <n v="3049.13"/>
    <m/>
    <s v="N"/>
    <n v="17"/>
    <d v="2023-07-03T19:01:59"/>
    <s v="Y"/>
    <s v="Travel to attend client"/>
    <s v="Care Remuneration Hourly Rates"/>
    <s v="Profit Cost"/>
    <s v="MR"/>
    <s v="Y"/>
    <n v="67.18000000000001"/>
    <n v="13.44"/>
    <x v="3"/>
    <s v="VALIDATED"/>
    <n v="1"/>
    <s v="01.11.80.305.6100.0000"/>
    <n v="67.18000000000001"/>
    <s v="11"/>
    <s v="6100"/>
    <n v="27221.68"/>
    <n v="67.18000000000001"/>
    <s v="CREDITOR"/>
    <n v="0"/>
    <n v="0"/>
    <n v="0"/>
    <n v="0"/>
    <n v="67.18000000000001"/>
  </r>
  <r>
    <n v="61852376"/>
    <s v="N"/>
    <n v="21360811"/>
    <s v="3000015917590001"/>
    <s v="CIVIL"/>
    <d v="2023-06-30T00:00:00"/>
    <d v="2023-07-11T19:00:25"/>
    <m/>
    <d v="2023-07-11T00:00:00"/>
    <n v="1382"/>
    <n v="18618"/>
    <s v="61852376"/>
    <s v="61852376"/>
    <m/>
    <m/>
    <n v="22798804"/>
    <m/>
    <m/>
    <m/>
    <s v="SOLFIN"/>
    <s v="SOLFIN"/>
    <s v="CCMS"/>
    <n v="21360811"/>
    <n v="6625.66"/>
    <m/>
    <s v="N"/>
    <n v="3"/>
    <d v="2023-07-11T19:00:35"/>
    <s v="Y"/>
    <s v="Advocates Meeting"/>
    <s v="Public Law Children"/>
    <s v="Advocacy"/>
    <s v="MR"/>
    <s v="Y"/>
    <n v="140.99"/>
    <n v="28.2"/>
    <x v="7"/>
    <s v="VALIDATED"/>
    <n v="1"/>
    <s v="01.11.80.308.6100.0000"/>
    <n v="140.99"/>
    <s v="11"/>
    <s v="6100"/>
    <n v="27221.68"/>
    <n v="140.99"/>
    <s v="CREDITOR"/>
    <n v="0"/>
    <n v="0"/>
    <n v="0"/>
    <n v="0"/>
    <n v="140.99"/>
  </r>
  <r>
    <n v="61970882"/>
    <s v="N"/>
    <n v="21318551"/>
    <s v="3000016005560001"/>
    <s v="CIVIL"/>
    <d v="2023-06-23T00:00:00"/>
    <d v="2023-07-03T19:01:49"/>
    <m/>
    <d v="2023-07-03T00:00:00"/>
    <n v="1382"/>
    <n v="18618"/>
    <s v="61970882"/>
    <s v="61970882"/>
    <m/>
    <m/>
    <n v="22751244"/>
    <m/>
    <m/>
    <m/>
    <s v="SOLFIN"/>
    <s v="SOLFIN"/>
    <s v="CCMS"/>
    <n v="21318551"/>
    <n v="3049.13"/>
    <m/>
    <s v="N"/>
    <n v="3"/>
    <d v="2023-07-03T19:01:59"/>
    <s v="Y"/>
    <s v="Attendance upon other"/>
    <s v="Care Remuneration Hourly Rates"/>
    <s v="Profit Cost"/>
    <s v="MR"/>
    <s v="Y"/>
    <n v="13.43"/>
    <n v="2.69"/>
    <x v="3"/>
    <s v="VALIDATED"/>
    <n v="1"/>
    <s v="01.11.80.305.6100.0000"/>
    <n v="13.43"/>
    <s v="11"/>
    <s v="6100"/>
    <n v="27221.68"/>
    <n v="13.43"/>
    <s v="CREDITOR"/>
    <n v="0"/>
    <n v="0"/>
    <n v="0"/>
    <n v="0"/>
    <n v="13.43"/>
  </r>
  <r>
    <n v="61970882"/>
    <s v="N"/>
    <n v="21318551"/>
    <s v="3000016005560001"/>
    <s v="CIVIL"/>
    <d v="2023-06-23T00:00:00"/>
    <d v="2023-07-03T19:01:49"/>
    <m/>
    <d v="2023-07-03T00:00:00"/>
    <n v="1382"/>
    <n v="18618"/>
    <s v="61970882"/>
    <s v="61970882"/>
    <m/>
    <m/>
    <n v="22751244"/>
    <m/>
    <m/>
    <m/>
    <s v="SOLFIN"/>
    <s v="SOLFIN"/>
    <s v="CCMS"/>
    <n v="21318551"/>
    <n v="3049.13"/>
    <m/>
    <s v="N"/>
    <n v="21"/>
    <d v="2023-07-03T19:01:59"/>
    <s v="Y"/>
    <s v="Preparation - other"/>
    <s v="Care Remuneration Hourly Rates"/>
    <s v="Profit Cost"/>
    <s v="MR"/>
    <s v="Y"/>
    <n v="33.59"/>
    <n v="6.72"/>
    <x v="3"/>
    <s v="VALIDATED"/>
    <n v="1"/>
    <s v="01.11.80.305.6100.0000"/>
    <n v="33.59"/>
    <s v="11"/>
    <s v="6100"/>
    <n v="27221.68"/>
    <n v="33.59"/>
    <s v="CREDITOR"/>
    <n v="0"/>
    <n v="0"/>
    <n v="0"/>
    <n v="0"/>
    <n v="33.59"/>
  </r>
  <r>
    <n v="61768583"/>
    <s v="N"/>
    <n v="21338467"/>
    <s v="3000015846360001"/>
    <s v="CIVIL"/>
    <d v="2023-06-26T00:00:00"/>
    <d v="2023-07-06T19:21:01"/>
    <m/>
    <d v="2023-07-06T00:00:00"/>
    <n v="1382"/>
    <n v="18618"/>
    <s v="61768583"/>
    <s v="61768583"/>
    <m/>
    <m/>
    <n v="22762802"/>
    <m/>
    <m/>
    <m/>
    <s v="SOLFIN"/>
    <s v="SOLFIN"/>
    <s v="CCMS"/>
    <n v="21338467"/>
    <n v="6476.74"/>
    <m/>
    <s v="N"/>
    <n v="5"/>
    <d v="2023-07-06T19:21:26"/>
    <s v="Y"/>
    <s v="Solicitor Travel Expenses"/>
    <s v="Public Law Children"/>
    <s v="Non Expert Disbursement"/>
    <s v="KG"/>
    <s v="Y"/>
    <n v="5.6"/>
    <n v="0"/>
    <x v="4"/>
    <s v="VALIDATED"/>
    <n v="1"/>
    <s v="01.11.80.308.6300.0000"/>
    <n v="5.6"/>
    <s v="11"/>
    <s v="6300"/>
    <n v="27221.68"/>
    <n v="5.6"/>
    <s v="CREDITOR"/>
    <n v="0"/>
    <n v="0"/>
    <n v="0"/>
    <n v="0"/>
    <n v="5.6"/>
  </r>
  <r>
    <n v="61768583"/>
    <s v="N"/>
    <n v="21338467"/>
    <s v="3000015846360001"/>
    <s v="CIVIL"/>
    <d v="2023-06-26T00:00:00"/>
    <d v="2023-07-06T19:21:01"/>
    <m/>
    <d v="2023-07-06T00:00:00"/>
    <n v="1382"/>
    <n v="18618"/>
    <s v="61768583"/>
    <s v="61768583"/>
    <m/>
    <m/>
    <n v="22762802"/>
    <m/>
    <m/>
    <m/>
    <s v="SOLFIN"/>
    <s v="SOLFIN"/>
    <s v="CCMS"/>
    <n v="21338467"/>
    <n v="6476.74"/>
    <m/>
    <s v="N"/>
    <n v="7"/>
    <d v="2023-07-06T19:21:26"/>
    <s v="Y"/>
    <s v="Final Hearing - 1 Day"/>
    <s v="Public Law Children"/>
    <s v="Advocacy"/>
    <s v="KG"/>
    <s v="Y"/>
    <n v="556.88"/>
    <n v="111.38"/>
    <x v="4"/>
    <s v="VALIDATED"/>
    <n v="1"/>
    <s v="01.11.80.308.6100.0000"/>
    <n v="556.88"/>
    <s v="11"/>
    <s v="6100"/>
    <n v="27221.68"/>
    <n v="556.88"/>
    <s v="CREDITOR"/>
    <n v="0"/>
    <n v="0"/>
    <n v="0"/>
    <n v="0"/>
    <n v="556.88"/>
  </r>
  <r>
    <n v="61970882"/>
    <s v="N"/>
    <n v="21318551"/>
    <s v="3000016005560001"/>
    <s v="CIVIL"/>
    <d v="2023-06-23T00:00:00"/>
    <d v="2023-07-03T19:01:49"/>
    <m/>
    <d v="2023-07-03T00:00:00"/>
    <n v="1382"/>
    <n v="18618"/>
    <s v="61970882"/>
    <s v="61970882"/>
    <m/>
    <m/>
    <n v="22751244"/>
    <m/>
    <m/>
    <m/>
    <s v="SOLFIN"/>
    <s v="SOLFIN"/>
    <s v="CCMS"/>
    <n v="21318551"/>
    <n v="3049.13"/>
    <m/>
    <s v="N"/>
    <n v="39"/>
    <d v="2023-07-03T19:01:59"/>
    <s v="Y"/>
    <s v="Advocates Meeting"/>
    <s v="Other Public Law Children"/>
    <s v="Advocacy"/>
    <s v="MR"/>
    <s v="Y"/>
    <n v="140.99"/>
    <n v="28.2"/>
    <x v="3"/>
    <s v="VALIDATED"/>
    <n v="1"/>
    <s v="01.11.80.305.6100.0000"/>
    <n v="140.99"/>
    <s v="11"/>
    <s v="6100"/>
    <n v="27221.68"/>
    <n v="140.99"/>
    <s v="CREDITOR"/>
    <n v="0"/>
    <n v="0"/>
    <n v="0"/>
    <n v="0"/>
    <n v="140.99"/>
  </r>
  <r>
    <n v="61970882"/>
    <s v="N"/>
    <n v="21318551"/>
    <s v="3000016005560001"/>
    <s v="CIVIL"/>
    <d v="2023-06-23T00:00:00"/>
    <d v="2023-07-03T19:01:49"/>
    <m/>
    <d v="2023-07-03T00:00:00"/>
    <n v="1382"/>
    <n v="18618"/>
    <s v="61970882"/>
    <s v="61970882"/>
    <m/>
    <m/>
    <n v="22751244"/>
    <m/>
    <m/>
    <m/>
    <s v="SOLFIN"/>
    <s v="SOLFIN"/>
    <s v="CCMS"/>
    <n v="21318551"/>
    <n v="3049.13"/>
    <m/>
    <s v="N"/>
    <n v="16"/>
    <d v="2023-07-03T19:01:59"/>
    <s v="Y"/>
    <s v="Attendance upon client"/>
    <s v="Care Remuneration Hourly Rates"/>
    <s v="Profit Cost"/>
    <s v="MR"/>
    <s v="Y"/>
    <n v="20.15"/>
    <n v="4.03"/>
    <x v="3"/>
    <s v="VALIDATED"/>
    <n v="1"/>
    <s v="01.11.80.305.6100.0000"/>
    <n v="20.15"/>
    <s v="11"/>
    <s v="6100"/>
    <n v="27221.68"/>
    <n v="20.15"/>
    <s v="CREDITOR"/>
    <n v="0"/>
    <n v="0"/>
    <n v="0"/>
    <n v="0"/>
    <n v="20.15"/>
  </r>
  <r>
    <n v="60417029"/>
    <s v="N"/>
    <n v="21349877"/>
    <s v="3000014703840003"/>
    <s v="CIVIL"/>
    <d v="2023-06-28T00:00:00"/>
    <d v="2023-07-10T19:01:40"/>
    <m/>
    <d v="2023-07-10T00:00:00"/>
    <n v="1382"/>
    <n v="18618"/>
    <s v="60417029"/>
    <s v="60417029"/>
    <m/>
    <m/>
    <n v="22777852"/>
    <m/>
    <m/>
    <m/>
    <s v="SOLFIN"/>
    <s v="SOLFIN"/>
    <s v="CCMS"/>
    <n v="21349877"/>
    <n v="11702.19"/>
    <m/>
    <s v="N"/>
    <n v="17"/>
    <d v="2023-07-10T19:02:01"/>
    <s v="Y"/>
    <s v="Advocates Meeting"/>
    <s v="Public Law Children"/>
    <s v="Advocacy"/>
    <s v="MR"/>
    <s v="Y"/>
    <n v="140.99"/>
    <n v="28.2"/>
    <x v="2"/>
    <s v="VALIDATED"/>
    <n v="1"/>
    <s v="01.11.80.308.6100.0000"/>
    <n v="140.99"/>
    <s v="11"/>
    <s v="6100"/>
    <n v="27221.68"/>
    <n v="140.99"/>
    <s v="CREDITOR"/>
    <n v="0"/>
    <n v="0"/>
    <n v="0"/>
    <n v="0"/>
    <n v="140.99"/>
  </r>
  <r>
    <n v="60417029"/>
    <s v="N"/>
    <n v="21349877"/>
    <s v="3000014703840003"/>
    <s v="CIVIL"/>
    <d v="2023-06-28T00:00:00"/>
    <d v="2023-07-10T19:01:40"/>
    <m/>
    <d v="2023-07-10T00:00:00"/>
    <n v="1382"/>
    <n v="18618"/>
    <s v="60417029"/>
    <s v="60417029"/>
    <m/>
    <m/>
    <n v="22777852"/>
    <m/>
    <m/>
    <m/>
    <s v="SOLFIN"/>
    <s v="SOLFIN"/>
    <s v="CCMS"/>
    <n v="21349877"/>
    <n v="11702.19"/>
    <m/>
    <s v="N"/>
    <n v="13"/>
    <d v="2023-07-10T19:02:01"/>
    <s v="Y"/>
    <s v="Advocates Meeting"/>
    <s v="Public Law Children"/>
    <s v="Advocacy"/>
    <s v="MR"/>
    <s v="Y"/>
    <n v="140.99"/>
    <n v="28.2"/>
    <x v="2"/>
    <s v="VALIDATED"/>
    <n v="1"/>
    <s v="01.11.80.308.6100.0000"/>
    <n v="140.99"/>
    <s v="11"/>
    <s v="6100"/>
    <n v="27221.68"/>
    <n v="140.99"/>
    <s v="CREDITOR"/>
    <n v="0"/>
    <n v="0"/>
    <n v="0"/>
    <n v="0"/>
    <n v="140.99"/>
  </r>
  <r>
    <n v="61852376"/>
    <s v="N"/>
    <n v="21360811"/>
    <s v="3000015917590001"/>
    <s v="CIVIL"/>
    <d v="2023-06-30T00:00:00"/>
    <d v="2023-07-11T19:00:25"/>
    <m/>
    <d v="2023-07-11T00:00:00"/>
    <n v="1382"/>
    <n v="18618"/>
    <s v="61852376"/>
    <s v="61852376"/>
    <m/>
    <m/>
    <n v="22798804"/>
    <m/>
    <m/>
    <m/>
    <s v="SOLFIN"/>
    <s v="SOLFIN"/>
    <s v="CCMS"/>
    <n v="21360811"/>
    <n v="6625.66"/>
    <m/>
    <s v="N"/>
    <n v="6"/>
    <d v="2023-07-11T19:00:35"/>
    <s v="Y"/>
    <s v="Advocates Meeting"/>
    <s v="Public Law Children"/>
    <s v="Advocacy"/>
    <s v="MR"/>
    <s v="Y"/>
    <n v="140.99"/>
    <n v="28.2"/>
    <x v="7"/>
    <s v="VALIDATED"/>
    <n v="1"/>
    <s v="01.11.80.308.6100.0000"/>
    <n v="140.99"/>
    <s v="11"/>
    <s v="6100"/>
    <n v="27221.68"/>
    <n v="140.99"/>
    <s v="CREDITOR"/>
    <n v="0"/>
    <n v="0"/>
    <n v="0"/>
    <n v="0"/>
    <n v="140.99"/>
  </r>
  <r>
    <n v="60417029"/>
    <s v="N"/>
    <n v="21349877"/>
    <s v="3000014703840003"/>
    <s v="CIVIL"/>
    <d v="2023-06-28T00:00:00"/>
    <d v="2023-07-10T19:01:40"/>
    <m/>
    <d v="2023-07-10T00:00:00"/>
    <n v="1382"/>
    <n v="18618"/>
    <s v="60417029"/>
    <s v="60417029"/>
    <m/>
    <m/>
    <n v="22777852"/>
    <m/>
    <m/>
    <m/>
    <s v="SOLFIN"/>
    <s v="SOLFIN"/>
    <s v="CCMS"/>
    <n v="21349877"/>
    <n v="11702.19"/>
    <m/>
    <s v="N"/>
    <n v="10"/>
    <d v="2023-07-10T19:02:01"/>
    <s v="Y"/>
    <s v="Final Hearing - 1 Day"/>
    <s v="Public Law Children"/>
    <s v="Advocacy"/>
    <s v="MR"/>
    <s v="Y"/>
    <n v="556.88"/>
    <n v="111.38"/>
    <x v="2"/>
    <s v="VALIDATED"/>
    <n v="1"/>
    <s v="01.11.80.308.6100.0000"/>
    <n v="556.88"/>
    <s v="11"/>
    <s v="6100"/>
    <n v="27221.68"/>
    <n v="556.88"/>
    <s v="CREDITOR"/>
    <n v="0"/>
    <n v="0"/>
    <n v="0"/>
    <n v="0"/>
    <n v="556.88"/>
  </r>
  <r>
    <n v="60417029"/>
    <s v="N"/>
    <n v="21349877"/>
    <s v="3000014703840003"/>
    <s v="CIVIL"/>
    <d v="2023-06-28T00:00:00"/>
    <d v="2023-07-10T19:01:40"/>
    <m/>
    <d v="2023-07-10T00:00:00"/>
    <n v="1382"/>
    <n v="18618"/>
    <s v="60417029"/>
    <s v="60417029"/>
    <m/>
    <m/>
    <n v="22777852"/>
    <m/>
    <m/>
    <m/>
    <s v="SOLFIN"/>
    <s v="SOLFIN"/>
    <s v="CCMS"/>
    <n v="21349877"/>
    <n v="11702.19"/>
    <m/>
    <s v="N"/>
    <n v="18"/>
    <d v="2023-07-10T19:02:01"/>
    <s v="Y"/>
    <s v="Final Hearing - 1 Day"/>
    <s v="Public Law Children"/>
    <s v="Advocacy"/>
    <s v="MR"/>
    <s v="Y"/>
    <n v="556.88"/>
    <n v="111.38"/>
    <x v="2"/>
    <s v="VALIDATED"/>
    <n v="1"/>
    <s v="01.11.80.308.6100.0000"/>
    <n v="556.88"/>
    <s v="11"/>
    <s v="6100"/>
    <n v="27221.68"/>
    <n v="556.88"/>
    <s v="CREDITOR"/>
    <n v="0"/>
    <n v="0"/>
    <n v="0"/>
    <n v="0"/>
    <n v="556.88"/>
  </r>
  <r>
    <n v="60417029"/>
    <s v="N"/>
    <n v="21349877"/>
    <s v="3000014703840003"/>
    <s v="CIVIL"/>
    <d v="2023-06-28T00:00:00"/>
    <d v="2023-07-10T19:01:40"/>
    <m/>
    <d v="2023-07-10T00:00:00"/>
    <n v="1382"/>
    <n v="18618"/>
    <s v="60417029"/>
    <s v="60417029"/>
    <m/>
    <m/>
    <n v="22777852"/>
    <m/>
    <m/>
    <m/>
    <s v="SOLFIN"/>
    <s v="SOLFIN"/>
    <s v="CCMS"/>
    <n v="21349877"/>
    <n v="11702.19"/>
    <m/>
    <s v="N"/>
    <n v="19"/>
    <d v="2023-07-10T19:02:01"/>
    <s v="Y"/>
    <s v="Hearing Unit 2.31 - 5.00 Hours"/>
    <s v="Public Law Children"/>
    <s v="Advocacy"/>
    <s v="MR"/>
    <s v="Y"/>
    <n v="476.92"/>
    <n v="95.38"/>
    <x v="2"/>
    <s v="VALIDATED"/>
    <n v="1"/>
    <s v="01.11.80.308.6100.0000"/>
    <n v="476.92"/>
    <s v="11"/>
    <s v="6100"/>
    <n v="27221.68"/>
    <n v="476.92"/>
    <s v="CREDITOR"/>
    <n v="0"/>
    <n v="0"/>
    <n v="0"/>
    <n v="0"/>
    <n v="476.92"/>
  </r>
  <r>
    <n v="61970882"/>
    <s v="N"/>
    <n v="21318551"/>
    <s v="3000016005560001"/>
    <s v="CIVIL"/>
    <d v="2023-06-23T00:00:00"/>
    <d v="2023-07-03T19:01:49"/>
    <m/>
    <d v="2023-07-03T00:00:00"/>
    <n v="1382"/>
    <n v="18618"/>
    <s v="61970882"/>
    <s v="61970882"/>
    <m/>
    <m/>
    <n v="22751244"/>
    <m/>
    <m/>
    <m/>
    <s v="SOLFIN"/>
    <s v="SOLFIN"/>
    <s v="CCMS"/>
    <n v="21318551"/>
    <n v="3049.13"/>
    <m/>
    <s v="N"/>
    <n v="33"/>
    <d v="2023-07-03T19:01:59"/>
    <s v="Y"/>
    <s v="Attendance upon client"/>
    <s v="Care Remuneration Hourly Rates"/>
    <s v="Profit Cost"/>
    <s v="MR"/>
    <s v="Y"/>
    <n v="13.43"/>
    <n v="2.69"/>
    <x v="3"/>
    <s v="VALIDATED"/>
    <n v="1"/>
    <s v="01.11.80.305.6100.0000"/>
    <n v="13.43"/>
    <s v="11"/>
    <s v="6100"/>
    <n v="27221.68"/>
    <n v="13.43"/>
    <s v="CREDITOR"/>
    <n v="0"/>
    <n v="0"/>
    <n v="0"/>
    <n v="0"/>
    <n v="13.43"/>
  </r>
  <r>
    <n v="61852376"/>
    <s v="N"/>
    <n v="21360811"/>
    <s v="3000015917590001"/>
    <s v="CIVIL"/>
    <d v="2023-06-30T00:00:00"/>
    <d v="2023-07-11T19:00:25"/>
    <m/>
    <d v="2023-07-11T00:00:00"/>
    <n v="1382"/>
    <n v="18618"/>
    <s v="61852376"/>
    <s v="61852376"/>
    <m/>
    <m/>
    <n v="22798804"/>
    <m/>
    <m/>
    <m/>
    <s v="SOLFIN"/>
    <s v="SOLFIN"/>
    <s v="CCMS"/>
    <n v="21360811"/>
    <n v="6625.66"/>
    <m/>
    <s v="N"/>
    <n v="1"/>
    <d v="2023-07-11T19:00:35"/>
    <s v="Y"/>
    <s v="Final Hearing Court Bundle/Advocate"/>
    <s v="Public Law Children"/>
    <s v="Advocacy"/>
    <s v="MR"/>
    <s v="Y"/>
    <n v="239.4"/>
    <n v="47.88"/>
    <x v="7"/>
    <s v="VALIDATED"/>
    <n v="1"/>
    <s v="01.11.80.308.6100.0000"/>
    <n v="239.4"/>
    <s v="11"/>
    <s v="6100"/>
    <n v="27221.68"/>
    <n v="239.4"/>
    <s v="CREDITOR"/>
    <n v="0"/>
    <n v="0"/>
    <n v="0"/>
    <n v="0"/>
    <n v="239.4"/>
  </r>
  <r>
    <n v="61931093"/>
    <s v="N"/>
    <n v="21330965"/>
    <s v="3000015982270001"/>
    <s v="CIVIL"/>
    <d v="2023-06-26T00:00:00"/>
    <d v="2023-07-05T19:01:47"/>
    <m/>
    <d v="2023-07-05T00:00:00"/>
    <n v="1382"/>
    <n v="18618"/>
    <s v="61931093"/>
    <s v="61931093"/>
    <m/>
    <m/>
    <n v="22760292"/>
    <m/>
    <m/>
    <m/>
    <s v="SOLFIN"/>
    <s v="SOLFIN"/>
    <s v="CCMS"/>
    <n v="21330965"/>
    <n v="5488.43"/>
    <m/>
    <s v="N"/>
    <n v="7"/>
    <d v="2023-07-05T19:02:00"/>
    <s v="Y"/>
    <s v="Hearing Unit 2.31 - 5.00 Hours"/>
    <s v="Public Law Children"/>
    <s v="Advocacy"/>
    <s v="MR"/>
    <s v="Y"/>
    <n v="476.92"/>
    <n v="95.38"/>
    <x v="6"/>
    <s v="VALIDATED"/>
    <n v="1"/>
    <s v="01.11.80.308.6100.0000"/>
    <n v="476.92"/>
    <s v="11"/>
    <s v="6100"/>
    <n v="27221.68"/>
    <n v="476.92"/>
    <s v="CREDITOR"/>
    <n v="0"/>
    <n v="0"/>
    <n v="0"/>
    <n v="0"/>
    <n v="476.92"/>
  </r>
  <r>
    <n v="61970882"/>
    <s v="N"/>
    <n v="21318551"/>
    <s v="3000016005560001"/>
    <s v="CIVIL"/>
    <d v="2023-06-23T00:00:00"/>
    <d v="2023-07-03T19:01:49"/>
    <m/>
    <d v="2023-07-03T00:00:00"/>
    <n v="1382"/>
    <n v="18618"/>
    <s v="61970882"/>
    <s v="61970882"/>
    <m/>
    <m/>
    <n v="22751244"/>
    <m/>
    <m/>
    <m/>
    <s v="SOLFIN"/>
    <s v="SOLFIN"/>
    <s v="CCMS"/>
    <n v="21318551"/>
    <n v="3049.13"/>
    <m/>
    <s v="N"/>
    <n v="32"/>
    <d v="2023-07-03T19:01:59"/>
    <s v="Y"/>
    <s v="Attendance upon client"/>
    <s v="Care Remuneration Hourly Rates"/>
    <s v="Profit Cost"/>
    <s v="MR"/>
    <s v="Y"/>
    <n v="13.43"/>
    <n v="2.69"/>
    <x v="3"/>
    <s v="VALIDATED"/>
    <n v="1"/>
    <s v="01.11.80.305.6100.0000"/>
    <n v="13.43"/>
    <s v="11"/>
    <s v="6100"/>
    <n v="27221.68"/>
    <n v="13.43"/>
    <s v="CREDITOR"/>
    <n v="0"/>
    <n v="0"/>
    <n v="0"/>
    <n v="0"/>
    <n v="13.43"/>
  </r>
  <r>
    <n v="60417029"/>
    <s v="N"/>
    <n v="21349877"/>
    <s v="3000014703840003"/>
    <s v="CIVIL"/>
    <d v="2023-06-28T00:00:00"/>
    <d v="2023-07-10T19:01:40"/>
    <m/>
    <d v="2023-07-10T00:00:00"/>
    <n v="1382"/>
    <n v="18618"/>
    <s v="60417029"/>
    <s v="60417029"/>
    <m/>
    <m/>
    <n v="22777852"/>
    <m/>
    <m/>
    <m/>
    <s v="SOLFIN"/>
    <s v="SOLFIN"/>
    <s v="CCMS"/>
    <n v="21349877"/>
    <n v="11702.19"/>
    <m/>
    <s v="N"/>
    <n v="15"/>
    <d v="2023-07-10T19:02:01"/>
    <s v="Y"/>
    <s v="Hearing Unit 2.31 - 5.00 Hours"/>
    <s v="Public Law Children"/>
    <s v="Advocacy"/>
    <s v="MR"/>
    <s v="Y"/>
    <n v="476.92"/>
    <n v="95.38"/>
    <x v="2"/>
    <s v="VALIDATED"/>
    <n v="1"/>
    <s v="01.11.80.308.6100.0000"/>
    <n v="476.92"/>
    <s v="11"/>
    <s v="6100"/>
    <n v="27221.68"/>
    <n v="476.92"/>
    <s v="CREDITOR"/>
    <n v="0"/>
    <n v="0"/>
    <n v="0"/>
    <n v="0"/>
    <n v="476.92"/>
  </r>
  <r>
    <n v="61970882"/>
    <s v="N"/>
    <n v="21318551"/>
    <s v="3000016005560001"/>
    <s v="CIVIL"/>
    <d v="2023-06-23T00:00:00"/>
    <d v="2023-07-03T19:01:49"/>
    <m/>
    <d v="2023-07-03T00:00:00"/>
    <n v="1382"/>
    <n v="18618"/>
    <s v="61970882"/>
    <s v="61970882"/>
    <m/>
    <m/>
    <n v="22751244"/>
    <m/>
    <m/>
    <m/>
    <s v="SOLFIN"/>
    <s v="SOLFIN"/>
    <s v="CCMS"/>
    <n v="21318551"/>
    <n v="3049.13"/>
    <m/>
    <s v="N"/>
    <n v="27"/>
    <d v="2023-07-03T19:01:59"/>
    <s v="Y"/>
    <s v="Preparation - other"/>
    <s v="Care Remuneration Hourly Rates"/>
    <s v="Profit Cost"/>
    <s v="MR"/>
    <s v="Y"/>
    <n v="6.72"/>
    <n v="1.34"/>
    <x v="3"/>
    <s v="VALIDATED"/>
    <n v="1"/>
    <s v="01.11.80.305.6100.0000"/>
    <n v="6.72"/>
    <s v="11"/>
    <s v="6100"/>
    <n v="27221.68"/>
    <n v="6.72"/>
    <s v="CREDITOR"/>
    <n v="0"/>
    <n v="0"/>
    <n v="0"/>
    <n v="0"/>
    <n v="6.72"/>
  </r>
  <r>
    <n v="60417029"/>
    <s v="N"/>
    <n v="21349877"/>
    <s v="3000014703840003"/>
    <s v="CIVIL"/>
    <d v="2023-06-28T00:00:00"/>
    <d v="2023-07-10T19:01:40"/>
    <m/>
    <d v="2023-07-10T00:00:00"/>
    <n v="1382"/>
    <n v="18618"/>
    <s v="60417029"/>
    <s v="60417029"/>
    <m/>
    <m/>
    <n v="22777852"/>
    <m/>
    <m/>
    <m/>
    <s v="SOLFIN"/>
    <s v="SOLFIN"/>
    <s v="CCMS"/>
    <n v="21349877"/>
    <n v="11702.19"/>
    <m/>
    <s v="N"/>
    <n v="14"/>
    <d v="2023-07-10T19:02:01"/>
    <s v="Y"/>
    <s v="Hearing Unit 2.31 - 5.00 Hours"/>
    <s v="Public Law Children"/>
    <s v="Advocacy"/>
    <s v="MR"/>
    <s v="Y"/>
    <n v="476.92"/>
    <n v="95.38"/>
    <x v="2"/>
    <s v="VALIDATED"/>
    <n v="1"/>
    <s v="01.11.80.308.6100.0000"/>
    <n v="476.92"/>
    <s v="11"/>
    <s v="6100"/>
    <n v="27221.68"/>
    <n v="476.92"/>
    <s v="CREDITOR"/>
    <n v="0"/>
    <n v="0"/>
    <n v="0"/>
    <n v="0"/>
    <n v="476.92"/>
  </r>
  <r>
    <n v="61768583"/>
    <s v="N"/>
    <n v="21338467"/>
    <s v="3000015846360001"/>
    <s v="CIVIL"/>
    <d v="2023-06-26T00:00:00"/>
    <d v="2023-07-06T19:21:01"/>
    <m/>
    <d v="2023-07-06T00:00:00"/>
    <n v="1382"/>
    <n v="18618"/>
    <s v="61768583"/>
    <s v="61768583"/>
    <m/>
    <m/>
    <n v="22762802"/>
    <m/>
    <m/>
    <m/>
    <s v="SOLFIN"/>
    <s v="SOLFIN"/>
    <s v="CCMS"/>
    <n v="21338467"/>
    <n v="6476.74"/>
    <m/>
    <s v="N"/>
    <n v="12"/>
    <d v="2023-07-06T19:21:26"/>
    <s v="Y"/>
    <s v="Hearing Unit 5.01 - 7.30 Hours"/>
    <s v="Public Law Children"/>
    <s v="Advocacy"/>
    <s v="KG"/>
    <s v="Y"/>
    <n v="715.38"/>
    <n v="143.08"/>
    <x v="4"/>
    <s v="VALIDATED"/>
    <n v="1"/>
    <s v="01.11.80.308.6100.0000"/>
    <n v="715.38"/>
    <s v="11"/>
    <s v="6100"/>
    <n v="27221.68"/>
    <n v="715.38"/>
    <s v="CREDITOR"/>
    <n v="0"/>
    <n v="0"/>
    <n v="0"/>
    <n v="0"/>
    <n v="715.38"/>
  </r>
  <r>
    <n v="60417029"/>
    <s v="N"/>
    <n v="21349877"/>
    <s v="3000014703840003"/>
    <s v="CIVIL"/>
    <d v="2023-06-28T00:00:00"/>
    <d v="2023-07-10T19:01:40"/>
    <m/>
    <d v="2023-07-10T00:00:00"/>
    <n v="1382"/>
    <n v="18618"/>
    <s v="60417029"/>
    <s v="60417029"/>
    <m/>
    <m/>
    <n v="22777852"/>
    <m/>
    <m/>
    <m/>
    <s v="SOLFIN"/>
    <s v="SOLFIN"/>
    <s v="CCMS"/>
    <n v="21349877"/>
    <n v="11702.19"/>
    <m/>
    <s v="N"/>
    <n v="5"/>
    <d v="2023-07-10T19:02:01"/>
    <s v="Y"/>
    <s v="Independent Social Worker"/>
    <s v="Public Law Children"/>
    <s v="Expert Disbursement"/>
    <s v="MR"/>
    <s v="Y"/>
    <n v="775"/>
    <n v="0"/>
    <x v="2"/>
    <s v="VALIDATED"/>
    <n v="1"/>
    <s v="01.11.80.308.6300.0000"/>
    <n v="775"/>
    <s v="11"/>
    <s v="6300"/>
    <n v="27221.68"/>
    <n v="775"/>
    <s v="CREDITOR"/>
    <n v="0"/>
    <n v="0"/>
    <n v="0"/>
    <n v="0"/>
    <n v="775"/>
  </r>
  <r>
    <n v="60417029"/>
    <s v="N"/>
    <n v="21349877"/>
    <s v="3000014703840003"/>
    <s v="CIVIL"/>
    <d v="2023-06-28T00:00:00"/>
    <d v="2023-07-10T19:01:40"/>
    <m/>
    <d v="2023-07-10T00:00:00"/>
    <n v="1382"/>
    <n v="18618"/>
    <s v="60417029"/>
    <s v="60417029"/>
    <m/>
    <m/>
    <n v="22777852"/>
    <m/>
    <m/>
    <m/>
    <s v="SOLFIN"/>
    <s v="SOLFIN"/>
    <s v="CCMS"/>
    <n v="21349877"/>
    <n v="11702.19"/>
    <m/>
    <s v="N"/>
    <n v="9"/>
    <d v="2023-07-10T19:02:01"/>
    <s v="Y"/>
    <s v="Hearing Unit 2.31 - 5.00 Hours"/>
    <s v="Public Law Children"/>
    <s v="Advocacy"/>
    <s v="MR"/>
    <s v="Y"/>
    <n v="476.92"/>
    <n v="95.38"/>
    <x v="2"/>
    <s v="VALIDATED"/>
    <n v="1"/>
    <s v="01.11.80.308.6100.0000"/>
    <n v="476.92"/>
    <s v="11"/>
    <s v="6100"/>
    <n v="27221.68"/>
    <n v="476.92"/>
    <s v="CREDITOR"/>
    <n v="0"/>
    <n v="0"/>
    <n v="0"/>
    <n v="0"/>
    <n v="476.92"/>
  </r>
  <r>
    <n v="61970882"/>
    <s v="N"/>
    <n v="21318551"/>
    <s v="3000016005560001"/>
    <s v="CIVIL"/>
    <d v="2023-06-23T00:00:00"/>
    <d v="2023-07-03T19:01:49"/>
    <m/>
    <d v="2023-07-03T00:00:00"/>
    <n v="1382"/>
    <n v="18618"/>
    <s v="61970882"/>
    <s v="61970882"/>
    <m/>
    <m/>
    <n v="22751244"/>
    <m/>
    <m/>
    <m/>
    <s v="SOLFIN"/>
    <s v="SOLFIN"/>
    <s v="CCMS"/>
    <n v="21318551"/>
    <n v="3049.13"/>
    <m/>
    <s v="N"/>
    <n v="2"/>
    <d v="2023-07-03T19:01:59"/>
    <s v="Y"/>
    <s v="Solicitor Travel Mileage"/>
    <s v="Care Remuneration Hourly Rates"/>
    <s v="Non Expert Disbursement"/>
    <s v="MR"/>
    <s v="Y"/>
    <n v="20.97"/>
    <n v="4.19"/>
    <x v="3"/>
    <s v="VALIDATED"/>
    <n v="1"/>
    <s v="01.11.80.305.6300.0000"/>
    <n v="20.97"/>
    <s v="11"/>
    <s v="6300"/>
    <n v="27221.68"/>
    <n v="20.97"/>
    <s v="CREDITOR"/>
    <n v="0"/>
    <n v="0"/>
    <n v="0"/>
    <n v="0"/>
    <n v="20.97"/>
  </r>
  <r>
    <n v="60417029"/>
    <s v="N"/>
    <n v="21349877"/>
    <s v="3000014703840003"/>
    <s v="CIVIL"/>
    <d v="2023-06-28T00:00:00"/>
    <d v="2023-07-10T19:01:40"/>
    <m/>
    <d v="2023-07-10T00:00:00"/>
    <n v="1382"/>
    <n v="18618"/>
    <s v="60417029"/>
    <s v="60417029"/>
    <m/>
    <m/>
    <n v="22777852"/>
    <m/>
    <m/>
    <m/>
    <s v="SOLFIN"/>
    <s v="SOLFIN"/>
    <s v="CCMS"/>
    <n v="21349877"/>
    <n v="11702.19"/>
    <m/>
    <s v="N"/>
    <n v="3"/>
    <d v="2023-07-10T19:02:01"/>
    <s v="Y"/>
    <s v="Solicitor Travel Expenses"/>
    <s v="Public Law Children"/>
    <s v="Non Expert Disbursement"/>
    <s v="MR"/>
    <s v="Y"/>
    <n v="6"/>
    <n v="0"/>
    <x v="2"/>
    <s v="VALIDATED"/>
    <n v="1"/>
    <s v="01.11.80.308.6300.0000"/>
    <n v="6"/>
    <s v="11"/>
    <s v="6300"/>
    <n v="27221.68"/>
    <n v="6"/>
    <s v="CREDITOR"/>
    <n v="0"/>
    <n v="0"/>
    <n v="0"/>
    <n v="0"/>
    <n v="6"/>
  </r>
  <r>
    <n v="61970882"/>
    <s v="N"/>
    <n v="21318551"/>
    <s v="3000016005560001"/>
    <s v="CIVIL"/>
    <d v="2023-06-23T00:00:00"/>
    <d v="2023-07-03T19:01:49"/>
    <m/>
    <d v="2023-07-03T00:00:00"/>
    <n v="1382"/>
    <n v="18618"/>
    <s v="61970882"/>
    <s v="61970882"/>
    <m/>
    <m/>
    <n v="22751244"/>
    <m/>
    <m/>
    <m/>
    <s v="SOLFIN"/>
    <s v="SOLFIN"/>
    <s v="CCMS"/>
    <n v="21318551"/>
    <n v="3049.13"/>
    <m/>
    <s v="N"/>
    <n v="8"/>
    <d v="2023-07-03T19:01:59"/>
    <s v="Y"/>
    <s v="Attendance upon other"/>
    <s v="Care Remuneration Hourly Rates"/>
    <s v="Profit Cost"/>
    <s v="MR"/>
    <s v="Y"/>
    <n v="13.43"/>
    <n v="2.69"/>
    <x v="3"/>
    <s v="VALIDATED"/>
    <n v="1"/>
    <s v="01.11.80.305.6100.0000"/>
    <n v="13.43"/>
    <s v="11"/>
    <s v="6100"/>
    <n v="27221.68"/>
    <n v="13.43"/>
    <s v="CREDITOR"/>
    <n v="0"/>
    <n v="0"/>
    <n v="0"/>
    <n v="0"/>
    <n v="13.43"/>
  </r>
  <r>
    <n v="60417029"/>
    <s v="N"/>
    <n v="21349877"/>
    <s v="3000014703840003"/>
    <s v="CIVIL"/>
    <d v="2023-06-28T00:00:00"/>
    <d v="2023-07-10T19:01:40"/>
    <m/>
    <d v="2023-07-10T00:00:00"/>
    <n v="1382"/>
    <n v="18618"/>
    <s v="60417029"/>
    <s v="60417029"/>
    <m/>
    <m/>
    <n v="22777852"/>
    <m/>
    <m/>
    <m/>
    <s v="SOLFIN"/>
    <s v="SOLFIN"/>
    <s v="CCMS"/>
    <n v="21349877"/>
    <n v="11702.19"/>
    <m/>
    <s v="N"/>
    <n v="27"/>
    <d v="2023-07-10T19:02:01"/>
    <s v="Y"/>
    <s v="Hearing Unit 2.31 - 5.00 Hours"/>
    <s v="Public Law Children"/>
    <s v="Advocacy"/>
    <s v="MR"/>
    <s v="Y"/>
    <n v="476.92"/>
    <n v="95.38"/>
    <x v="2"/>
    <s v="VALIDATED"/>
    <n v="1"/>
    <s v="01.11.80.308.6100.0000"/>
    <n v="476.92"/>
    <s v="11"/>
    <s v="6100"/>
    <n v="27221.68"/>
    <n v="476.92"/>
    <s v="CREDITOR"/>
    <n v="0"/>
    <n v="0"/>
    <n v="0"/>
    <n v="0"/>
    <n v="476.92"/>
  </r>
  <r>
    <n v="61768583"/>
    <s v="N"/>
    <n v="21338467"/>
    <s v="3000015846360001"/>
    <s v="CIVIL"/>
    <d v="2023-06-26T00:00:00"/>
    <d v="2023-07-06T19:21:01"/>
    <m/>
    <d v="2023-07-06T00:00:00"/>
    <n v="1382"/>
    <n v="18618"/>
    <s v="61768583"/>
    <s v="61768583"/>
    <m/>
    <m/>
    <n v="22762802"/>
    <m/>
    <m/>
    <m/>
    <s v="SOLFIN"/>
    <s v="SOLFIN"/>
    <s v="CCMS"/>
    <n v="21338467"/>
    <n v="6476.74"/>
    <m/>
    <s v="N"/>
    <n v="11"/>
    <d v="2023-07-06T19:21:26"/>
    <s v="Y"/>
    <s v="Hearing Unit 2.31 - 5.00 Hours"/>
    <s v="Public Law Children"/>
    <s v="Advocacy"/>
    <s v="KG"/>
    <s v="Y"/>
    <n v="476.92"/>
    <n v="95.38"/>
    <x v="4"/>
    <s v="VALIDATED"/>
    <n v="1"/>
    <s v="01.11.80.308.6100.0000"/>
    <n v="476.92"/>
    <s v="11"/>
    <s v="6100"/>
    <n v="27221.68"/>
    <n v="476.92"/>
    <s v="CREDITOR"/>
    <n v="0"/>
    <n v="0"/>
    <n v="0"/>
    <n v="0"/>
    <n v="476.92"/>
  </r>
  <r>
    <n v="61970882"/>
    <s v="N"/>
    <n v="21318551"/>
    <s v="3000016005560001"/>
    <s v="CIVIL"/>
    <d v="2023-06-23T00:00:00"/>
    <d v="2023-07-03T19:01:49"/>
    <m/>
    <d v="2023-07-03T00:00:00"/>
    <n v="1382"/>
    <n v="18618"/>
    <s v="61970882"/>
    <s v="61970882"/>
    <m/>
    <m/>
    <n v="22751244"/>
    <m/>
    <m/>
    <m/>
    <s v="SOLFIN"/>
    <s v="SOLFIN"/>
    <s v="CCMS"/>
    <n v="21318551"/>
    <n v="3049.13"/>
    <m/>
    <s v="N"/>
    <n v="23"/>
    <d v="2023-07-03T19:01:59"/>
    <s v="Y"/>
    <s v="Attendance upon client"/>
    <s v="Care Remuneration Hourly Rates"/>
    <s v="Profit Cost"/>
    <s v="MR"/>
    <s v="Y"/>
    <n v="13.43"/>
    <n v="2.69"/>
    <x v="3"/>
    <s v="VALIDATED"/>
    <n v="1"/>
    <s v="01.11.80.305.6100.0000"/>
    <n v="13.43"/>
    <s v="11"/>
    <s v="6100"/>
    <n v="27221.68"/>
    <n v="13.43"/>
    <s v="CREDITOR"/>
    <n v="0"/>
    <n v="0"/>
    <n v="0"/>
    <n v="0"/>
    <n v="13.43"/>
  </r>
  <r>
    <n v="60417029"/>
    <s v="N"/>
    <n v="21349877"/>
    <s v="3000014703840003"/>
    <s v="CIVIL"/>
    <d v="2023-06-28T00:00:00"/>
    <d v="2023-07-10T19:01:40"/>
    <m/>
    <d v="2023-07-10T00:00:00"/>
    <n v="1382"/>
    <n v="18618"/>
    <s v="60417029"/>
    <s v="60417029"/>
    <m/>
    <m/>
    <n v="22777852"/>
    <m/>
    <m/>
    <m/>
    <s v="SOLFIN"/>
    <s v="SOLFIN"/>
    <s v="CCMS"/>
    <n v="21349877"/>
    <n v="11702.19"/>
    <m/>
    <s v="N"/>
    <n v="6"/>
    <d v="2023-07-10T19:02:01"/>
    <s v="Y"/>
    <s v="Court Fee"/>
    <s v="Public Law Children"/>
    <s v="Non Expert Disbursement"/>
    <s v="MR"/>
    <s v="Y"/>
    <n v="167"/>
    <n v="0"/>
    <x v="2"/>
    <s v="VALIDATED"/>
    <n v="1"/>
    <s v="01.11.80.308.6300.0000"/>
    <n v="167"/>
    <s v="11"/>
    <s v="6300"/>
    <n v="27221.68"/>
    <n v="167"/>
    <s v="CREDITOR"/>
    <n v="0"/>
    <n v="0"/>
    <n v="0"/>
    <n v="0"/>
    <n v="167"/>
  </r>
  <r>
    <n v="61768583"/>
    <s v="N"/>
    <n v="21338467"/>
    <s v="3000015846360001"/>
    <s v="CIVIL"/>
    <d v="2023-06-26T00:00:00"/>
    <d v="2023-07-06T19:21:01"/>
    <m/>
    <d v="2023-07-06T00:00:00"/>
    <n v="1382"/>
    <n v="18618"/>
    <s v="61768583"/>
    <s v="61768583"/>
    <m/>
    <m/>
    <n v="22762802"/>
    <m/>
    <m/>
    <m/>
    <s v="SOLFIN"/>
    <s v="SOLFIN"/>
    <s v="CCMS"/>
    <n v="21338467"/>
    <n v="6476.74"/>
    <m/>
    <s v="N"/>
    <n v="1"/>
    <d v="2023-07-06T19:21:26"/>
    <s v="Y"/>
    <s v="Interim Hearing Court Bundle/Advoca"/>
    <s v="Public Law Children"/>
    <s v="Advocacy"/>
    <s v="KG"/>
    <s v="Y"/>
    <n v="89.09999999999999"/>
    <n v="17.82"/>
    <x v="4"/>
    <s v="VALIDATED"/>
    <n v="1"/>
    <s v="01.11.80.308.6100.0000"/>
    <n v="89.09999999999999"/>
    <s v="11"/>
    <s v="6100"/>
    <n v="27221.68"/>
    <n v="89.09999999999999"/>
    <s v="CREDITOR"/>
    <n v="0"/>
    <n v="0"/>
    <n v="0"/>
    <n v="0"/>
    <n v="89.09999999999999"/>
  </r>
  <r>
    <n v="61970882"/>
    <s v="N"/>
    <n v="21318551"/>
    <s v="3000016005560001"/>
    <s v="CIVIL"/>
    <d v="2023-06-23T00:00:00"/>
    <d v="2023-07-03T19:01:49"/>
    <m/>
    <d v="2023-07-03T00:00:00"/>
    <n v="1382"/>
    <n v="18618"/>
    <s v="61970882"/>
    <s v="61970882"/>
    <m/>
    <m/>
    <n v="22751244"/>
    <m/>
    <m/>
    <m/>
    <s v="SOLFIN"/>
    <s v="SOLFIN"/>
    <s v="CCMS"/>
    <n v="21318551"/>
    <n v="3049.13"/>
    <m/>
    <s v="N"/>
    <n v="10"/>
    <d v="2023-07-03T19:01:59"/>
    <s v="Y"/>
    <s v="Preparation - drafting bill/claim f"/>
    <s v="Care Remuneration Hourly Rates"/>
    <s v="Profit Cost"/>
    <s v="MR"/>
    <s v="Y"/>
    <n v="29.21"/>
    <n v="5.84"/>
    <x v="3"/>
    <s v="VALIDATED"/>
    <n v="1"/>
    <s v="01.11.80.305.6100.0000"/>
    <n v="29.21"/>
    <s v="11"/>
    <s v="6100"/>
    <n v="27221.68"/>
    <n v="29.21"/>
    <s v="CREDITOR"/>
    <n v="0"/>
    <n v="0"/>
    <n v="0"/>
    <n v="0"/>
    <n v="29.21"/>
  </r>
  <r>
    <n v="61970882"/>
    <s v="N"/>
    <n v="21318551"/>
    <s v="3000016005560001"/>
    <s v="CIVIL"/>
    <d v="2023-06-23T00:00:00"/>
    <d v="2023-07-03T19:01:49"/>
    <m/>
    <d v="2023-07-03T00:00:00"/>
    <n v="1382"/>
    <n v="18618"/>
    <s v="61970882"/>
    <s v="61970882"/>
    <m/>
    <m/>
    <n v="22751244"/>
    <m/>
    <m/>
    <m/>
    <s v="SOLFIN"/>
    <s v="SOLFIN"/>
    <s v="CCMS"/>
    <n v="21318551"/>
    <n v="3049.13"/>
    <m/>
    <s v="N"/>
    <n v="26"/>
    <d v="2023-07-03T19:01:59"/>
    <s v="Y"/>
    <s v="Preparation - other"/>
    <s v="Care Remuneration Hourly Rates"/>
    <s v="Profit Cost"/>
    <s v="MR"/>
    <s v="Y"/>
    <n v="20.15"/>
    <n v="4.03"/>
    <x v="3"/>
    <s v="VALIDATED"/>
    <n v="1"/>
    <s v="01.11.80.305.6100.0000"/>
    <n v="20.15"/>
    <s v="11"/>
    <s v="6100"/>
    <n v="27221.68"/>
    <n v="20.15"/>
    <s v="CREDITOR"/>
    <n v="0"/>
    <n v="0"/>
    <n v="0"/>
    <n v="0"/>
    <n v="20.15"/>
  </r>
  <r>
    <n v="60417029"/>
    <s v="N"/>
    <n v="21349877"/>
    <s v="3000014703840003"/>
    <s v="CIVIL"/>
    <d v="2023-06-28T00:00:00"/>
    <d v="2023-07-10T19:01:40"/>
    <m/>
    <d v="2023-07-10T00:00:00"/>
    <n v="1382"/>
    <n v="18618"/>
    <s v="60417029"/>
    <s v="60417029"/>
    <m/>
    <m/>
    <n v="22777852"/>
    <m/>
    <m/>
    <m/>
    <s v="SOLFIN"/>
    <s v="SOLFIN"/>
    <s v="CCMS"/>
    <n v="21349877"/>
    <n v="11702.19"/>
    <m/>
    <s v="N"/>
    <n v="2"/>
    <d v="2023-07-10T19:02:01"/>
    <s v="Y"/>
    <s v="Interim Hearing Court Bundle/Advoca"/>
    <s v="Public Law Children"/>
    <s v="Advocacy"/>
    <s v="MR"/>
    <s v="Y"/>
    <n v="59.4"/>
    <n v="11.88"/>
    <x v="2"/>
    <s v="VALIDATED"/>
    <n v="1"/>
    <s v="01.11.80.308.6100.0000"/>
    <n v="59.4"/>
    <s v="11"/>
    <s v="6100"/>
    <n v="27221.68"/>
    <n v="59.4"/>
    <s v="CREDITOR"/>
    <n v="0"/>
    <n v="0"/>
    <n v="0"/>
    <n v="0"/>
    <n v="59.4"/>
  </r>
  <r>
    <n v="61768583"/>
    <s v="N"/>
    <n v="21338467"/>
    <s v="3000015846360001"/>
    <s v="CIVIL"/>
    <d v="2023-06-26T00:00:00"/>
    <d v="2023-07-06T19:21:01"/>
    <m/>
    <d v="2023-07-06T00:00:00"/>
    <n v="1382"/>
    <n v="18618"/>
    <s v="61768583"/>
    <s v="61768583"/>
    <m/>
    <m/>
    <n v="22762802"/>
    <m/>
    <m/>
    <m/>
    <s v="SOLFIN"/>
    <s v="SOLFIN"/>
    <s v="CCMS"/>
    <n v="21338467"/>
    <n v="6476.74"/>
    <m/>
    <s v="N"/>
    <n v="4"/>
    <d v="2023-07-06T19:21:26"/>
    <s v="Y"/>
    <s v="Court Fee"/>
    <s v="Public Law Children"/>
    <s v="Non Expert Disbursement"/>
    <s v="KG"/>
    <s v="Y"/>
    <n v="232"/>
    <n v="0"/>
    <x v="4"/>
    <s v="VALIDATED"/>
    <n v="1"/>
    <s v="01.11.80.308.6300.0000"/>
    <n v="232"/>
    <s v="11"/>
    <s v="6300"/>
    <n v="27221.68"/>
    <n v="232"/>
    <s v="CREDITOR"/>
    <n v="0"/>
    <n v="0"/>
    <n v="0"/>
    <n v="0"/>
    <n v="232"/>
  </r>
  <r>
    <n v="60417029"/>
    <s v="N"/>
    <n v="21349877"/>
    <s v="3000014703840003"/>
    <s v="CIVIL"/>
    <d v="2023-06-28T00:00:00"/>
    <d v="2023-07-10T19:01:40"/>
    <m/>
    <d v="2023-07-10T00:00:00"/>
    <n v="1382"/>
    <n v="18618"/>
    <s v="60417029"/>
    <s v="60417029"/>
    <m/>
    <m/>
    <n v="22777852"/>
    <m/>
    <m/>
    <m/>
    <s v="SOLFIN"/>
    <s v="SOLFIN"/>
    <s v="CCMS"/>
    <n v="21349877"/>
    <n v="11702.19"/>
    <m/>
    <s v="N"/>
    <n v="16"/>
    <d v="2023-07-10T19:02:01"/>
    <s v="Y"/>
    <s v="Advocates Meeting"/>
    <s v="Public Law Children"/>
    <s v="Advocacy"/>
    <s v="MR"/>
    <s v="Y"/>
    <n v="140.99"/>
    <n v="28.2"/>
    <x v="2"/>
    <s v="VALIDATED"/>
    <n v="1"/>
    <s v="01.11.80.308.6100.0000"/>
    <n v="140.99"/>
    <s v="11"/>
    <s v="6100"/>
    <n v="27221.68"/>
    <n v="140.99"/>
    <s v="CREDITOR"/>
    <n v="0"/>
    <n v="0"/>
    <n v="0"/>
    <n v="0"/>
    <n v="140.99"/>
  </r>
  <r>
    <n v="60417029"/>
    <s v="N"/>
    <n v="21349877"/>
    <s v="3000014703840003"/>
    <s v="CIVIL"/>
    <d v="2023-06-28T00:00:00"/>
    <d v="2023-07-10T19:01:40"/>
    <m/>
    <d v="2023-07-10T00:00:00"/>
    <n v="1382"/>
    <n v="18618"/>
    <s v="60417029"/>
    <s v="60417029"/>
    <m/>
    <m/>
    <n v="22777852"/>
    <m/>
    <m/>
    <m/>
    <s v="SOLFIN"/>
    <s v="SOLFIN"/>
    <s v="CCMS"/>
    <n v="21349877"/>
    <n v="11702.19"/>
    <m/>
    <s v="N"/>
    <n v="22"/>
    <d v="2023-07-10T19:02:01"/>
    <s v="Y"/>
    <s v="Advocates Meeting"/>
    <s v="Public Law Children"/>
    <s v="Advocacy"/>
    <s v="MR"/>
    <s v="Y"/>
    <n v="140.99"/>
    <n v="28.2"/>
    <x v="2"/>
    <s v="VALIDATED"/>
    <n v="1"/>
    <s v="01.11.80.308.6100.0000"/>
    <n v="140.99"/>
    <s v="11"/>
    <s v="6100"/>
    <n v="27221.68"/>
    <n v="140.99"/>
    <s v="CREDITOR"/>
    <n v="0"/>
    <n v="0"/>
    <n v="0"/>
    <n v="0"/>
    <n v="140.99"/>
  </r>
  <r>
    <n v="61970882"/>
    <s v="N"/>
    <n v="21318551"/>
    <s v="3000016005560001"/>
    <s v="CIVIL"/>
    <d v="2023-06-23T00:00:00"/>
    <d v="2023-07-03T19:01:49"/>
    <m/>
    <d v="2023-07-03T00:00:00"/>
    <n v="1382"/>
    <n v="18618"/>
    <s v="61970882"/>
    <s v="61970882"/>
    <m/>
    <m/>
    <n v="22751244"/>
    <m/>
    <m/>
    <m/>
    <s v="SOLFIN"/>
    <s v="SOLFIN"/>
    <s v="CCMS"/>
    <n v="21318551"/>
    <n v="3049.13"/>
    <m/>
    <s v="N"/>
    <n v="28"/>
    <d v="2023-07-03T19:01:59"/>
    <s v="Y"/>
    <s v="Attendance upon client"/>
    <s v="Care Remuneration Hourly Rates"/>
    <s v="Profit Cost"/>
    <s v="MR"/>
    <s v="Y"/>
    <n v="13.43"/>
    <n v="2.69"/>
    <x v="3"/>
    <s v="VALIDATED"/>
    <n v="1"/>
    <s v="01.11.80.305.6100.0000"/>
    <n v="13.43"/>
    <s v="11"/>
    <s v="6100"/>
    <n v="27221.68"/>
    <n v="13.43"/>
    <s v="CREDITOR"/>
    <n v="0"/>
    <n v="0"/>
    <n v="0"/>
    <n v="0"/>
    <n v="13.43"/>
  </r>
  <r>
    <n v="61931257"/>
    <s v="N"/>
    <n v="21330979"/>
    <s v="3000015984290001"/>
    <s v="CIVIL"/>
    <d v="2023-06-26T00:00:00"/>
    <d v="2023-07-05T19:01:47"/>
    <m/>
    <d v="2023-07-05T00:00:00"/>
    <n v="1382"/>
    <n v="18618"/>
    <s v="61931257"/>
    <s v="61931257"/>
    <m/>
    <m/>
    <n v="22760058"/>
    <m/>
    <m/>
    <m/>
    <s v="SOLFIN"/>
    <s v="SOLFIN"/>
    <s v="CCMS"/>
    <n v="21330979"/>
    <n v="0"/>
    <m/>
    <s v="N"/>
    <n v="1"/>
    <d v="2023-07-05T19:02:00"/>
    <s v="N"/>
    <s v="NIL BILL"/>
    <s v="Public Law Children"/>
    <s v="Profit Cost"/>
    <s v="MR"/>
    <s v="N"/>
    <n v="0"/>
    <n v="0"/>
    <x v="6"/>
    <s v="VALIDATED"/>
    <n v="1"/>
    <s v="01.11.80.308.6100.0000"/>
    <n v="0"/>
    <s v="11"/>
    <s v="6100"/>
    <n v="27221.68"/>
    <n v="0"/>
    <s v="CREDITOR"/>
    <n v="0"/>
    <n v="0"/>
    <n v="0"/>
    <n v="0"/>
    <n v="0"/>
  </r>
  <r>
    <n v="60417029"/>
    <s v="N"/>
    <n v="21356557"/>
    <s v="3000014703840002RC"/>
    <s v="CIVIL"/>
    <d v="2023-06-28T00:00:00"/>
    <d v="2023-07-10T19:47:44"/>
    <m/>
    <d v="2023-07-10T00:00:00"/>
    <n v="1382"/>
    <n v="18618"/>
    <s v="60417029"/>
    <s v="60417029"/>
    <m/>
    <m/>
    <m/>
    <m/>
    <m/>
    <m/>
    <s v="SOLRECOUP"/>
    <s v="SOLRECOUP"/>
    <s v="POARECOUP"/>
    <n v="21356557"/>
    <n v="-775"/>
    <m/>
    <s v="Y"/>
    <n v="1"/>
    <d v="2023-07-10T19:47:45"/>
    <s v="N"/>
    <m/>
    <m/>
    <s v="Expert Disbursement"/>
    <m/>
    <s v="N"/>
    <n v="-775"/>
    <n v="0"/>
    <x v="2"/>
    <s v="VALIDATED"/>
    <n v="1"/>
    <s v="01.11.80.308.2013.0000"/>
    <n v="-775"/>
    <s v="11"/>
    <s v="2013"/>
    <n v="27221.68"/>
    <n v="-775"/>
    <s v="CREDITOR"/>
    <n v="0"/>
    <n v="0"/>
    <n v="-775"/>
    <n v="0"/>
    <n v="0"/>
  </r>
  <r>
    <n v="60417029"/>
    <s v="N"/>
    <n v="21356557"/>
    <s v="3000014703840002RC"/>
    <s v="CIVIL"/>
    <d v="2023-06-28T00:00:00"/>
    <d v="2023-07-10T19:47:44"/>
    <m/>
    <d v="2023-07-10T00:00:00"/>
    <n v="1382"/>
    <n v="18618"/>
    <s v="60417029"/>
    <s v="60417029"/>
    <m/>
    <m/>
    <m/>
    <m/>
    <m/>
    <m/>
    <s v="SOLRECOUP"/>
    <s v="SOLRECOUP"/>
    <s v="POARECOUP"/>
    <n v="21356557"/>
    <n v="-775"/>
    <m/>
    <s v="Y"/>
    <n v="2"/>
    <d v="2023-07-10T19:47:45"/>
    <s v="N"/>
    <m/>
    <m/>
    <s v="Expert Disbursement"/>
    <m/>
    <s v="N"/>
    <n v="0"/>
    <n v="0"/>
    <x v="2"/>
    <s v="VALIDATED"/>
    <n v="1"/>
    <s v="01.11.80.000.0000.0000"/>
    <n v="0"/>
    <s v="11"/>
    <s v="0000"/>
    <n v="27221.68"/>
    <n v="0"/>
    <s v="CREDITOR"/>
    <n v="0"/>
    <n v="0"/>
    <n v="0"/>
    <n v="0"/>
    <n v="0"/>
  </r>
  <r>
    <n v="61852376"/>
    <s v="N"/>
    <n v="21360811"/>
    <s v="3000015917590001"/>
    <s v="CIVIL"/>
    <d v="2023-06-30T00:00:00"/>
    <d v="2023-07-11T19:00:25"/>
    <m/>
    <d v="2023-07-11T00:00:00"/>
    <n v="1382"/>
    <n v="18618"/>
    <s v="61852376"/>
    <s v="61852376"/>
    <m/>
    <m/>
    <n v="22798804"/>
    <m/>
    <m/>
    <m/>
    <s v="SOLFIN"/>
    <s v="SOLFIN"/>
    <s v="CCMS"/>
    <n v="21360811"/>
    <n v="6625.66"/>
    <m/>
    <s v="N"/>
    <n v="10"/>
    <d v="2023-07-11T19:00:35"/>
    <s v="Y"/>
    <s v="Advocates Meeting"/>
    <s v="Public Law Children"/>
    <s v="Advocacy"/>
    <s v="MR"/>
    <s v="Y"/>
    <n v="140.99"/>
    <n v="28.2"/>
    <x v="7"/>
    <s v="VALIDATED"/>
    <n v="1"/>
    <s v="01.11.80.308.6100.0000"/>
    <n v="140.99"/>
    <s v="11"/>
    <s v="6100"/>
    <n v="27221.68"/>
    <n v="140.99"/>
    <s v="CREDITOR"/>
    <n v="0"/>
    <n v="0"/>
    <n v="0"/>
    <n v="0"/>
    <n v="140.99"/>
  </r>
  <r>
    <n v="60417029"/>
    <s v="N"/>
    <n v="21349877"/>
    <s v="3000014703840003"/>
    <s v="CIVIL"/>
    <d v="2023-06-28T00:00:00"/>
    <d v="2023-07-10T19:01:40"/>
    <m/>
    <d v="2023-07-10T00:00:00"/>
    <n v="1382"/>
    <n v="18618"/>
    <s v="60417029"/>
    <s v="60417029"/>
    <m/>
    <m/>
    <n v="22777852"/>
    <m/>
    <m/>
    <m/>
    <s v="SOLFIN"/>
    <s v="SOLFIN"/>
    <s v="CCMS"/>
    <n v="21349877"/>
    <n v="11702.19"/>
    <m/>
    <s v="N"/>
    <n v="4"/>
    <d v="2023-07-10T19:02:01"/>
    <s v="Y"/>
    <s v="Solicitor Travel Expenses"/>
    <s v="Public Law Children"/>
    <s v="Non Expert Disbursement"/>
    <s v="MR"/>
    <s v="Y"/>
    <n v="6"/>
    <n v="0"/>
    <x v="2"/>
    <s v="VALIDATED"/>
    <n v="1"/>
    <s v="01.11.80.308.6300.0000"/>
    <n v="6"/>
    <s v="11"/>
    <s v="6300"/>
    <n v="27221.68"/>
    <n v="6"/>
    <s v="CREDITOR"/>
    <n v="0"/>
    <n v="0"/>
    <n v="0"/>
    <n v="0"/>
    <n v="6"/>
  </r>
  <r>
    <n v="61970882"/>
    <s v="N"/>
    <n v="21318551"/>
    <s v="3000016005560001"/>
    <s v="CIVIL"/>
    <d v="2023-06-23T00:00:00"/>
    <d v="2023-07-03T19:01:49"/>
    <m/>
    <d v="2023-07-03T00:00:00"/>
    <n v="1382"/>
    <n v="18618"/>
    <s v="61970882"/>
    <s v="61970882"/>
    <m/>
    <m/>
    <n v="22751244"/>
    <m/>
    <m/>
    <m/>
    <s v="SOLFIN"/>
    <s v="SOLFIN"/>
    <s v="CCMS"/>
    <n v="21318551"/>
    <n v="3049.13"/>
    <m/>
    <s v="N"/>
    <n v="5"/>
    <d v="2023-07-03T19:01:59"/>
    <s v="Y"/>
    <s v="Preparation - drafting notice(s)"/>
    <s v="Care Remuneration Hourly Rates"/>
    <s v="Profit Cost"/>
    <s v="MR"/>
    <s v="Y"/>
    <n v="13.43"/>
    <n v="2.69"/>
    <x v="3"/>
    <s v="VALIDATED"/>
    <n v="1"/>
    <s v="01.11.80.305.6100.0000"/>
    <n v="13.43"/>
    <s v="11"/>
    <s v="6100"/>
    <n v="27221.68"/>
    <n v="13.43"/>
    <s v="CREDITOR"/>
    <n v="0"/>
    <n v="0"/>
    <n v="0"/>
    <n v="0"/>
    <n v="13.43"/>
  </r>
  <r>
    <n v="61970882"/>
    <s v="N"/>
    <n v="21318551"/>
    <s v="3000016005560001"/>
    <s v="CIVIL"/>
    <d v="2023-06-23T00:00:00"/>
    <d v="2023-07-03T19:01:49"/>
    <m/>
    <d v="2023-07-03T00:00:00"/>
    <n v="1382"/>
    <n v="18618"/>
    <s v="61970882"/>
    <s v="61970882"/>
    <m/>
    <m/>
    <n v="22751244"/>
    <m/>
    <m/>
    <m/>
    <s v="SOLFIN"/>
    <s v="SOLFIN"/>
    <s v="CCMS"/>
    <n v="21318551"/>
    <n v="3049.13"/>
    <m/>
    <s v="N"/>
    <n v="19"/>
    <d v="2023-07-03T19:01:59"/>
    <s v="Y"/>
    <s v="Attendance upon client"/>
    <s v="Care Remuneration Hourly Rates"/>
    <s v="Profit Cost"/>
    <s v="MR"/>
    <s v="Y"/>
    <n v="33.59"/>
    <n v="6.72"/>
    <x v="3"/>
    <s v="VALIDATED"/>
    <n v="1"/>
    <s v="01.11.80.305.6100.0000"/>
    <n v="33.59"/>
    <s v="11"/>
    <s v="6100"/>
    <n v="27221.68"/>
    <n v="33.59"/>
    <s v="CREDITOR"/>
    <n v="0"/>
    <n v="0"/>
    <n v="0"/>
    <n v="0"/>
    <n v="33.59"/>
  </r>
  <r>
    <n v="61852376"/>
    <s v="N"/>
    <n v="21360811"/>
    <s v="3000015917590001"/>
    <s v="CIVIL"/>
    <d v="2023-06-30T00:00:00"/>
    <d v="2023-07-11T19:00:25"/>
    <m/>
    <d v="2023-07-11T00:00:00"/>
    <n v="1382"/>
    <n v="18618"/>
    <s v="61852376"/>
    <s v="61852376"/>
    <m/>
    <m/>
    <n v="22798804"/>
    <m/>
    <m/>
    <m/>
    <s v="SOLFIN"/>
    <s v="SOLFIN"/>
    <s v="CCMS"/>
    <n v="21360811"/>
    <n v="6625.66"/>
    <m/>
    <s v="N"/>
    <n v="9"/>
    <d v="2023-07-11T19:00:35"/>
    <s v="Y"/>
    <s v="Hearing Unit 2.31 - 5.00 Hours"/>
    <s v="Public Law Children"/>
    <s v="Advocacy"/>
    <s v="MR"/>
    <s v="Y"/>
    <n v="476.92"/>
    <n v="95.38"/>
    <x v="7"/>
    <s v="VALIDATED"/>
    <n v="1"/>
    <s v="01.11.80.308.6100.0000"/>
    <n v="476.92"/>
    <s v="11"/>
    <s v="6100"/>
    <n v="27221.68"/>
    <n v="476.92"/>
    <s v="CREDITOR"/>
    <n v="0"/>
    <n v="0"/>
    <n v="0"/>
    <n v="0"/>
    <n v="476.92"/>
  </r>
  <r>
    <n v="61931093"/>
    <s v="N"/>
    <n v="21330965"/>
    <s v="3000015982270001"/>
    <s v="CIVIL"/>
    <d v="2023-06-26T00:00:00"/>
    <d v="2023-07-05T19:01:47"/>
    <m/>
    <d v="2023-07-05T00:00:00"/>
    <n v="1382"/>
    <n v="18618"/>
    <s v="61931093"/>
    <s v="61931093"/>
    <m/>
    <m/>
    <n v="22760292"/>
    <m/>
    <m/>
    <m/>
    <s v="SOLFIN"/>
    <s v="SOLFIN"/>
    <s v="CCMS"/>
    <n v="21330965"/>
    <n v="5488.43"/>
    <m/>
    <s v="N"/>
    <n v="8"/>
    <d v="2023-07-05T19:02:00"/>
    <s v="Y"/>
    <s v="Advocates Meeting"/>
    <s v="Public Law Children"/>
    <s v="Advocacy"/>
    <s v="KG"/>
    <s v="Y"/>
    <n v="140.99"/>
    <n v="28.2"/>
    <x v="6"/>
    <s v="VALIDATED"/>
    <n v="1"/>
    <s v="01.11.80.308.6100.0000"/>
    <n v="140.99"/>
    <s v="11"/>
    <s v="6100"/>
    <n v="27221.68"/>
    <n v="140.99"/>
    <s v="CREDITOR"/>
    <n v="0"/>
    <n v="0"/>
    <n v="0"/>
    <n v="0"/>
    <n v="140.99"/>
  </r>
  <r>
    <n v="61970882"/>
    <s v="N"/>
    <n v="21318551"/>
    <s v="3000016005560001"/>
    <s v="CIVIL"/>
    <d v="2023-06-23T00:00:00"/>
    <d v="2023-07-03T19:01:49"/>
    <m/>
    <d v="2023-07-03T00:00:00"/>
    <n v="1382"/>
    <n v="18618"/>
    <s v="61970882"/>
    <s v="61970882"/>
    <m/>
    <m/>
    <n v="22751244"/>
    <m/>
    <m/>
    <m/>
    <s v="SOLFIN"/>
    <s v="SOLFIN"/>
    <s v="CCMS"/>
    <n v="21318551"/>
    <n v="3049.13"/>
    <m/>
    <s v="N"/>
    <n v="25"/>
    <d v="2023-07-03T19:01:59"/>
    <s v="Y"/>
    <s v="Preparation - drafting notice(s)"/>
    <s v="Care Remuneration Hourly Rates"/>
    <s v="Profit Cost"/>
    <s v="MR"/>
    <s v="Y"/>
    <n v="6.72"/>
    <n v="1.34"/>
    <x v="3"/>
    <s v="VALIDATED"/>
    <n v="1"/>
    <s v="01.11.80.305.6100.0000"/>
    <n v="6.72"/>
    <s v="11"/>
    <s v="6100"/>
    <n v="27221.68"/>
    <n v="6.72"/>
    <s v="CREDITOR"/>
    <n v="0"/>
    <n v="0"/>
    <n v="0"/>
    <n v="0"/>
    <n v="6.72"/>
  </r>
  <r>
    <n v="60417029"/>
    <s v="N"/>
    <n v="21349877"/>
    <s v="3000014703840003"/>
    <s v="CIVIL"/>
    <d v="2023-06-28T00:00:00"/>
    <d v="2023-07-10T19:01:40"/>
    <m/>
    <d v="2023-07-10T00:00:00"/>
    <n v="1382"/>
    <n v="18618"/>
    <s v="60417029"/>
    <s v="60417029"/>
    <m/>
    <m/>
    <n v="22777852"/>
    <m/>
    <m/>
    <m/>
    <s v="SOLFIN"/>
    <s v="SOLFIN"/>
    <s v="CCMS"/>
    <n v="21349877"/>
    <n v="11702.19"/>
    <m/>
    <s v="N"/>
    <n v="20"/>
    <d v="2023-07-10T19:02:01"/>
    <s v="Y"/>
    <s v="Advocates Meeting"/>
    <s v="Public Law Children"/>
    <s v="Advocacy"/>
    <s v="MR"/>
    <s v="Y"/>
    <n v="140.99"/>
    <n v="28.2"/>
    <x v="2"/>
    <s v="VALIDATED"/>
    <n v="1"/>
    <s v="01.11.80.308.6100.0000"/>
    <n v="140.99"/>
    <s v="11"/>
    <s v="6100"/>
    <n v="27221.68"/>
    <n v="140.99"/>
    <s v="CREDITOR"/>
    <n v="0"/>
    <n v="0"/>
    <n v="0"/>
    <n v="0"/>
    <n v="140.99"/>
  </r>
  <r>
    <n v="61970882"/>
    <s v="N"/>
    <n v="21318551"/>
    <s v="3000016005560001"/>
    <s v="CIVIL"/>
    <d v="2023-06-23T00:00:00"/>
    <d v="2023-07-03T19:01:49"/>
    <m/>
    <d v="2023-07-03T00:00:00"/>
    <n v="1382"/>
    <n v="18618"/>
    <s v="61970882"/>
    <s v="61970882"/>
    <m/>
    <m/>
    <n v="22751244"/>
    <m/>
    <m/>
    <m/>
    <s v="SOLFIN"/>
    <s v="SOLFIN"/>
    <s v="CCMS"/>
    <n v="21318551"/>
    <n v="3049.13"/>
    <m/>
    <s v="N"/>
    <n v="14"/>
    <d v="2023-07-03T19:01:59"/>
    <s v="Y"/>
    <s v="Report - Welfare report"/>
    <s v="Care Remuneration Hourly Rates"/>
    <s v="Profit Cost"/>
    <s v="MR"/>
    <s v="Y"/>
    <n v="33.59"/>
    <n v="6.72"/>
    <x v="3"/>
    <s v="VALIDATED"/>
    <n v="1"/>
    <s v="01.11.80.305.6100.0000"/>
    <n v="33.59"/>
    <s v="11"/>
    <s v="6100"/>
    <n v="27221.68"/>
    <n v="33.59"/>
    <s v="CREDITOR"/>
    <n v="0"/>
    <n v="0"/>
    <n v="0"/>
    <n v="0"/>
    <n v="33.59"/>
  </r>
  <r>
    <n v="60417029"/>
    <s v="N"/>
    <n v="21349877"/>
    <s v="3000014703840003"/>
    <s v="CIVIL"/>
    <d v="2023-06-28T00:00:00"/>
    <d v="2023-07-10T19:01:40"/>
    <m/>
    <d v="2023-07-10T00:00:00"/>
    <n v="1382"/>
    <n v="18618"/>
    <s v="60417029"/>
    <s v="60417029"/>
    <m/>
    <m/>
    <n v="22777852"/>
    <m/>
    <m/>
    <m/>
    <s v="SOLFIN"/>
    <s v="SOLFIN"/>
    <s v="CCMS"/>
    <n v="21349877"/>
    <n v="11702.19"/>
    <m/>
    <s v="N"/>
    <n v="7"/>
    <d v="2023-07-10T19:02:01"/>
    <s v="Y"/>
    <s v="Solicitor Travel Expenses"/>
    <s v="Public Law Children"/>
    <s v="Non Expert Disbursement"/>
    <s v="MR"/>
    <s v="Y"/>
    <n v="6"/>
    <n v="0"/>
    <x v="2"/>
    <s v="VALIDATED"/>
    <n v="1"/>
    <s v="01.11.80.308.6300.0000"/>
    <n v="6"/>
    <s v="11"/>
    <s v="6300"/>
    <n v="27221.68"/>
    <n v="6"/>
    <s v="CREDITOR"/>
    <n v="0"/>
    <n v="0"/>
    <n v="0"/>
    <n v="0"/>
    <n v="6"/>
  </r>
  <r>
    <n v="61768583"/>
    <s v="N"/>
    <n v="21338467"/>
    <s v="3000015846360001"/>
    <s v="CIVIL"/>
    <d v="2023-06-26T00:00:00"/>
    <d v="2023-07-06T19:21:01"/>
    <m/>
    <d v="2023-07-06T00:00:00"/>
    <n v="1382"/>
    <n v="18618"/>
    <s v="61768583"/>
    <s v="61768583"/>
    <m/>
    <m/>
    <n v="22762802"/>
    <m/>
    <m/>
    <m/>
    <s v="SOLFIN"/>
    <s v="SOLFIN"/>
    <s v="CCMS"/>
    <n v="21338467"/>
    <n v="6476.74"/>
    <m/>
    <s v="N"/>
    <n v="10"/>
    <d v="2023-07-06T19:21:26"/>
    <s v="Y"/>
    <s v="Advocates Meeting"/>
    <s v="Public Law Children"/>
    <s v="Advocacy"/>
    <s v="KG"/>
    <s v="Y"/>
    <n v="140.99"/>
    <n v="28.2"/>
    <x v="4"/>
    <s v="VALIDATED"/>
    <n v="1"/>
    <s v="01.11.80.308.6100.0000"/>
    <n v="140.99"/>
    <s v="11"/>
    <s v="6100"/>
    <n v="27221.68"/>
    <n v="140.99"/>
    <s v="CREDITOR"/>
    <n v="0"/>
    <n v="0"/>
    <n v="0"/>
    <n v="0"/>
    <n v="140.99"/>
  </r>
  <r>
    <n v="61931093"/>
    <s v="N"/>
    <n v="21330965"/>
    <s v="3000015982270001"/>
    <s v="CIVIL"/>
    <d v="2023-06-26T00:00:00"/>
    <d v="2023-07-05T19:01:47"/>
    <m/>
    <d v="2023-07-05T00:00:00"/>
    <n v="1382"/>
    <n v="18618"/>
    <s v="61931093"/>
    <s v="61931093"/>
    <m/>
    <m/>
    <n v="22760292"/>
    <m/>
    <m/>
    <m/>
    <s v="SOLFIN"/>
    <s v="SOLFIN"/>
    <s v="CCMS"/>
    <n v="21330965"/>
    <n v="5488.43"/>
    <m/>
    <s v="N"/>
    <n v="1"/>
    <d v="2023-07-05T19:02:00"/>
    <s v="Y"/>
    <s v="Solicitor Travel Expenses"/>
    <s v="Public Law Children"/>
    <s v="Non Expert Disbursement"/>
    <s v="MR"/>
    <s v="Y"/>
    <n v="6"/>
    <n v="0"/>
    <x v="6"/>
    <s v="VALIDATED"/>
    <n v="1"/>
    <s v="01.11.80.308.6300.0000"/>
    <n v="6"/>
    <s v="11"/>
    <s v="6300"/>
    <n v="27221.68"/>
    <n v="6"/>
    <s v="CREDITOR"/>
    <n v="0"/>
    <n v="0"/>
    <n v="0"/>
    <n v="0"/>
    <n v="6"/>
  </r>
  <r>
    <n v="61852376"/>
    <s v="N"/>
    <n v="21360811"/>
    <s v="3000015917590001"/>
    <s v="CIVIL"/>
    <d v="2023-06-30T00:00:00"/>
    <d v="2023-07-11T19:00:25"/>
    <m/>
    <d v="2023-07-11T00:00:00"/>
    <n v="1382"/>
    <n v="18618"/>
    <s v="61852376"/>
    <s v="61852376"/>
    <m/>
    <m/>
    <n v="22798804"/>
    <m/>
    <m/>
    <m/>
    <s v="SOLFIN"/>
    <s v="SOLFIN"/>
    <s v="CCMS"/>
    <n v="21360811"/>
    <n v="6625.66"/>
    <m/>
    <s v="N"/>
    <n v="11"/>
    <d v="2023-07-11T19:00:35"/>
    <s v="Y"/>
    <s v="Solicitors Fixed Fee"/>
    <s v="Public Law Children"/>
    <s v="Profit Cost"/>
    <s v="MR"/>
    <s v="Y"/>
    <n v="2630"/>
    <n v="526"/>
    <x v="7"/>
    <s v="VALIDATED"/>
    <n v="1"/>
    <s v="01.11.80.308.6100.0000"/>
    <n v="2630"/>
    <s v="11"/>
    <s v="6100"/>
    <n v="27221.68"/>
    <n v="2630"/>
    <s v="CREDITOR"/>
    <n v="0"/>
    <n v="0"/>
    <n v="0"/>
    <n v="0"/>
    <n v="2630"/>
  </r>
  <r>
    <n v="61852376"/>
    <s v="N"/>
    <n v="21360811"/>
    <s v="3000015917590001"/>
    <s v="CIVIL"/>
    <d v="2023-06-30T00:00:00"/>
    <d v="2023-07-11T19:00:25"/>
    <m/>
    <d v="2023-07-11T00:00:00"/>
    <n v="1382"/>
    <n v="18618"/>
    <s v="61852376"/>
    <s v="61852376"/>
    <m/>
    <m/>
    <n v="22798804"/>
    <m/>
    <m/>
    <m/>
    <s v="SOLFIN"/>
    <s v="SOLFIN"/>
    <s v="CCMS"/>
    <n v="21360811"/>
    <n v="6625.66"/>
    <m/>
    <s v="N"/>
    <n v="8"/>
    <d v="2023-07-11T19:00:35"/>
    <s v="Y"/>
    <s v="Hearing Unit 2.31 - 5.00 Hours"/>
    <s v="Public Law Children"/>
    <s v="Advocacy"/>
    <s v="MR"/>
    <s v="Y"/>
    <n v="476.92"/>
    <n v="95.38"/>
    <x v="7"/>
    <s v="VALIDATED"/>
    <n v="1"/>
    <s v="01.11.80.308.6100.0000"/>
    <n v="476.92"/>
    <s v="11"/>
    <s v="6100"/>
    <n v="27221.68"/>
    <n v="476.92"/>
    <s v="CREDITOR"/>
    <n v="0"/>
    <n v="0"/>
    <n v="0"/>
    <n v="0"/>
    <n v="476.92"/>
  </r>
  <r>
    <n v="61768583"/>
    <s v="N"/>
    <n v="21338467"/>
    <s v="3000015846360001"/>
    <s v="CIVIL"/>
    <d v="2023-06-26T00:00:00"/>
    <d v="2023-07-06T19:21:01"/>
    <m/>
    <d v="2023-07-06T00:00:00"/>
    <n v="1382"/>
    <n v="18618"/>
    <s v="61768583"/>
    <s v="61768583"/>
    <m/>
    <m/>
    <n v="22762802"/>
    <m/>
    <m/>
    <m/>
    <s v="SOLFIN"/>
    <s v="SOLFIN"/>
    <s v="CCMS"/>
    <n v="21338467"/>
    <n v="6476.74"/>
    <m/>
    <s v="N"/>
    <n v="13"/>
    <d v="2023-07-06T19:21:26"/>
    <s v="Y"/>
    <s v="Solicitors Fixed Fee"/>
    <s v="Public Law Children"/>
    <s v="Profit Cost"/>
    <s v="KG"/>
    <s v="Y"/>
    <n v="2300"/>
    <n v="460"/>
    <x v="4"/>
    <s v="VALIDATED"/>
    <n v="1"/>
    <s v="01.11.80.308.6100.0000"/>
    <n v="2300"/>
    <s v="11"/>
    <s v="6100"/>
    <n v="27221.68"/>
    <n v="2300"/>
    <s v="CREDITOR"/>
    <n v="0"/>
    <n v="0"/>
    <n v="0"/>
    <n v="0"/>
    <n v="2300"/>
  </r>
  <r>
    <n v="61852376"/>
    <s v="N"/>
    <n v="21360811"/>
    <s v="3000015917590001"/>
    <s v="CIVIL"/>
    <d v="2023-06-30T00:00:00"/>
    <d v="2023-07-11T19:00:25"/>
    <m/>
    <d v="2023-07-11T00:00:00"/>
    <n v="1382"/>
    <n v="18618"/>
    <s v="61852376"/>
    <s v="61852376"/>
    <m/>
    <m/>
    <n v="22798804"/>
    <m/>
    <m/>
    <m/>
    <s v="SOLFIN"/>
    <s v="SOLFIN"/>
    <s v="CCMS"/>
    <n v="21360811"/>
    <n v="6625.66"/>
    <m/>
    <s v="N"/>
    <n v="5"/>
    <d v="2023-07-11T19:00:35"/>
    <s v="Y"/>
    <s v="Final Hearing - 1 Day"/>
    <s v="Public Law Children"/>
    <s v="Advocacy"/>
    <s v="MR"/>
    <s v="Y"/>
    <n v="556.88"/>
    <n v="111.38"/>
    <x v="7"/>
    <s v="VALIDATED"/>
    <n v="1"/>
    <s v="01.11.80.308.6100.0000"/>
    <n v="556.88"/>
    <s v="11"/>
    <s v="6100"/>
    <n v="27221.68"/>
    <n v="556.88"/>
    <s v="CREDITOR"/>
    <n v="0"/>
    <n v="0"/>
    <n v="0"/>
    <n v="0"/>
    <n v="556.88"/>
  </r>
  <r>
    <n v="61970882"/>
    <s v="N"/>
    <n v="21318551"/>
    <s v="3000016005560001"/>
    <s v="CIVIL"/>
    <d v="2023-06-23T00:00:00"/>
    <d v="2023-07-03T19:01:49"/>
    <m/>
    <d v="2023-07-03T00:00:00"/>
    <n v="1382"/>
    <n v="18618"/>
    <s v="61970882"/>
    <s v="61970882"/>
    <m/>
    <m/>
    <n v="22751244"/>
    <m/>
    <m/>
    <m/>
    <s v="SOLFIN"/>
    <s v="SOLFIN"/>
    <s v="CCMS"/>
    <n v="21318551"/>
    <n v="3049.13"/>
    <m/>
    <s v="N"/>
    <n v="38"/>
    <d v="2023-07-03T19:01:59"/>
    <s v="Y"/>
    <s v="Final Hearing - 1 Day"/>
    <s v="Other Public Law Children"/>
    <s v="Advocacy"/>
    <s v="MR"/>
    <s v="Y"/>
    <n v="510.75"/>
    <n v="102.14"/>
    <x v="3"/>
    <s v="VALIDATED"/>
    <n v="1"/>
    <s v="01.11.80.305.6100.0000"/>
    <n v="510.75"/>
    <s v="11"/>
    <s v="6100"/>
    <n v="27221.68"/>
    <n v="510.75"/>
    <s v="CREDITOR"/>
    <n v="0"/>
    <n v="0"/>
    <n v="0"/>
    <n v="0"/>
    <n v="510.75"/>
  </r>
  <r>
    <n v="61970882"/>
    <s v="N"/>
    <n v="21318551"/>
    <s v="3000016005560001"/>
    <s v="CIVIL"/>
    <d v="2023-06-23T00:00:00"/>
    <d v="2023-07-03T19:01:49"/>
    <m/>
    <d v="2023-07-03T00:00:00"/>
    <n v="1382"/>
    <n v="18618"/>
    <s v="61970882"/>
    <s v="61970882"/>
    <m/>
    <m/>
    <n v="22751244"/>
    <m/>
    <m/>
    <m/>
    <s v="SOLFIN"/>
    <s v="SOLFIN"/>
    <s v="CCMS"/>
    <n v="21318551"/>
    <n v="3049.13"/>
    <m/>
    <s v="N"/>
    <n v="29"/>
    <d v="2023-07-03T19:01:59"/>
    <s v="Y"/>
    <s v="Preparation - other"/>
    <s v="Care Remuneration Hourly Rates"/>
    <s v="Profit Cost"/>
    <s v="MR"/>
    <s v="Y"/>
    <n v="53.74"/>
    <n v="10.75"/>
    <x v="3"/>
    <s v="VALIDATED"/>
    <n v="1"/>
    <s v="01.11.80.305.6100.0000"/>
    <n v="53.74"/>
    <s v="11"/>
    <s v="6100"/>
    <n v="27221.68"/>
    <n v="53.74"/>
    <s v="CREDITOR"/>
    <n v="0"/>
    <n v="0"/>
    <n v="0"/>
    <n v="0"/>
    <n v="53.74"/>
  </r>
  <r>
    <n v="61931093"/>
    <s v="N"/>
    <n v="21330965"/>
    <s v="3000015982270001"/>
    <s v="CIVIL"/>
    <d v="2023-06-26T00:00:00"/>
    <d v="2023-07-05T19:01:47"/>
    <m/>
    <d v="2023-07-05T00:00:00"/>
    <n v="1382"/>
    <n v="18618"/>
    <s v="61931093"/>
    <s v="61931093"/>
    <m/>
    <m/>
    <n v="22760292"/>
    <m/>
    <m/>
    <m/>
    <s v="SOLFIN"/>
    <s v="SOLFIN"/>
    <s v="CCMS"/>
    <n v="21330965"/>
    <n v="5488.43"/>
    <m/>
    <s v="N"/>
    <n v="6"/>
    <d v="2023-07-05T19:02:00"/>
    <s v="Y"/>
    <s v="Advocates Meeting"/>
    <s v="Public Law Children"/>
    <s v="Advocacy"/>
    <s v="MR"/>
    <s v="Y"/>
    <n v="140.99"/>
    <n v="28.2"/>
    <x v="6"/>
    <s v="VALIDATED"/>
    <n v="1"/>
    <s v="01.11.80.308.6100.0000"/>
    <n v="140.99"/>
    <s v="11"/>
    <s v="6100"/>
    <n v="27221.68"/>
    <n v="140.99"/>
    <s v="CREDITOR"/>
    <n v="0"/>
    <n v="0"/>
    <n v="0"/>
    <n v="0"/>
    <n v="140.99"/>
  </r>
  <r>
    <n v="60417029"/>
    <s v="N"/>
    <n v="21349877"/>
    <s v="3000014703840003"/>
    <s v="CIVIL"/>
    <d v="2023-06-28T00:00:00"/>
    <d v="2023-07-10T19:01:40"/>
    <m/>
    <d v="2023-07-10T00:00:00"/>
    <n v="1382"/>
    <n v="18618"/>
    <s v="60417029"/>
    <s v="60417029"/>
    <m/>
    <m/>
    <n v="22777852"/>
    <m/>
    <m/>
    <m/>
    <s v="SOLFIN"/>
    <s v="SOLFIN"/>
    <s v="CCMS"/>
    <n v="21349877"/>
    <n v="11702.19"/>
    <m/>
    <s v="N"/>
    <n v="28"/>
    <d v="2023-07-10T19:02:01"/>
    <s v="Y"/>
    <s v="Solicitors Fixed Fee"/>
    <s v="Public Law Children"/>
    <s v="Profit Cost"/>
    <s v="MR"/>
    <s v="Y"/>
    <n v="2630"/>
    <n v="526"/>
    <x v="2"/>
    <s v="VALIDATED"/>
    <n v="1"/>
    <s v="01.11.80.308.6100.0000"/>
    <n v="2630"/>
    <s v="11"/>
    <s v="6100"/>
    <n v="27221.68"/>
    <n v="2630"/>
    <s v="CREDITOR"/>
    <n v="0"/>
    <n v="0"/>
    <n v="0"/>
    <n v="0"/>
    <n v="2630"/>
  </r>
  <r>
    <n v="61768583"/>
    <s v="N"/>
    <n v="21338467"/>
    <s v="3000015846360001"/>
    <s v="CIVIL"/>
    <d v="2023-06-26T00:00:00"/>
    <d v="2023-07-06T19:21:01"/>
    <m/>
    <d v="2023-07-06T00:00:00"/>
    <n v="1382"/>
    <n v="18618"/>
    <s v="61768583"/>
    <s v="61768583"/>
    <m/>
    <m/>
    <n v="22762802"/>
    <m/>
    <m/>
    <m/>
    <s v="SOLFIN"/>
    <s v="SOLFIN"/>
    <s v="CCMS"/>
    <n v="21338467"/>
    <n v="6476.74"/>
    <m/>
    <s v="N"/>
    <n v="6"/>
    <d v="2023-07-06T19:21:26"/>
    <s v="Y"/>
    <s v="Solicitor Travel Mileage"/>
    <s v="Public Law Children"/>
    <s v="Non Expert Disbursement"/>
    <s v="KG"/>
    <s v="Y"/>
    <n v="20.7"/>
    <n v="4.14"/>
    <x v="4"/>
    <s v="VALIDATED"/>
    <n v="1"/>
    <s v="01.11.80.308.6300.0000"/>
    <n v="20.7"/>
    <s v="11"/>
    <s v="6300"/>
    <n v="27221.68"/>
    <n v="20.7"/>
    <s v="CREDITOR"/>
    <n v="0"/>
    <n v="0"/>
    <n v="0"/>
    <n v="0"/>
    <n v="20.7"/>
  </r>
  <r>
    <n v="61931093"/>
    <s v="N"/>
    <n v="21330965"/>
    <s v="3000015982270001"/>
    <s v="CIVIL"/>
    <d v="2023-06-26T00:00:00"/>
    <d v="2023-07-05T19:01:47"/>
    <m/>
    <d v="2023-07-05T00:00:00"/>
    <n v="1382"/>
    <n v="18618"/>
    <s v="61931093"/>
    <s v="61931093"/>
    <m/>
    <m/>
    <n v="22760292"/>
    <m/>
    <m/>
    <m/>
    <s v="SOLFIN"/>
    <s v="SOLFIN"/>
    <s v="CCMS"/>
    <n v="21330965"/>
    <n v="5488.43"/>
    <m/>
    <s v="N"/>
    <n v="4"/>
    <d v="2023-07-05T19:02:00"/>
    <s v="Y"/>
    <s v="Advocates Meeting"/>
    <s v="Public Law Children"/>
    <s v="Advocacy"/>
    <s v="MR"/>
    <s v="Y"/>
    <n v="140.99"/>
    <n v="28.2"/>
    <x v="6"/>
    <s v="VALIDATED"/>
    <n v="1"/>
    <s v="01.11.80.308.6100.0000"/>
    <n v="140.99"/>
    <s v="11"/>
    <s v="6100"/>
    <n v="27221.68"/>
    <n v="140.99"/>
    <s v="CREDITOR"/>
    <n v="0"/>
    <n v="0"/>
    <n v="0"/>
    <n v="0"/>
    <n v="140.99"/>
  </r>
  <r>
    <n v="61931093"/>
    <s v="N"/>
    <n v="21330965"/>
    <s v="3000015982270001"/>
    <s v="CIVIL"/>
    <d v="2023-06-26T00:00:00"/>
    <d v="2023-07-05T19:01:47"/>
    <m/>
    <d v="2023-07-05T00:00:00"/>
    <n v="1382"/>
    <n v="18618"/>
    <s v="61931093"/>
    <s v="61931093"/>
    <m/>
    <m/>
    <n v="22760292"/>
    <m/>
    <m/>
    <m/>
    <s v="SOLFIN"/>
    <s v="SOLFIN"/>
    <s v="CCMS"/>
    <n v="21330965"/>
    <n v="5488.43"/>
    <m/>
    <s v="N"/>
    <n v="9"/>
    <d v="2023-07-05T19:02:00"/>
    <s v="Y"/>
    <s v="Solicitors Fixed Fee"/>
    <s v="Public Law Children"/>
    <s v="Profit Cost"/>
    <s v="MR"/>
    <s v="Y"/>
    <n v="2630"/>
    <n v="526"/>
    <x v="6"/>
    <s v="VALIDATED"/>
    <n v="1"/>
    <s v="01.11.80.308.6100.0000"/>
    <n v="2630"/>
    <s v="11"/>
    <s v="6100"/>
    <n v="27221.68"/>
    <n v="2630"/>
    <s v="CREDITOR"/>
    <n v="0"/>
    <n v="0"/>
    <n v="0"/>
    <n v="0"/>
    <n v="2630"/>
  </r>
  <r>
    <n v="61970882"/>
    <s v="N"/>
    <n v="21318551"/>
    <s v="3000016005560001"/>
    <s v="CIVIL"/>
    <d v="2023-06-23T00:00:00"/>
    <d v="2023-07-03T19:01:49"/>
    <m/>
    <d v="2023-07-03T00:00:00"/>
    <n v="1382"/>
    <n v="18618"/>
    <s v="61970882"/>
    <s v="61970882"/>
    <m/>
    <m/>
    <n v="22751244"/>
    <m/>
    <m/>
    <m/>
    <s v="SOLFIN"/>
    <s v="SOLFIN"/>
    <s v="CCMS"/>
    <n v="21318551"/>
    <n v="3049.13"/>
    <m/>
    <s v="N"/>
    <n v="34"/>
    <d v="2023-07-03T19:01:59"/>
    <s v="Y"/>
    <s v="Attendance upon other side"/>
    <s v="Care Remuneration Hourly Rates"/>
    <s v="Profit Cost"/>
    <s v="MR"/>
    <s v="Y"/>
    <n v="13.43"/>
    <n v="2.69"/>
    <x v="3"/>
    <s v="VALIDATED"/>
    <n v="1"/>
    <s v="01.11.80.305.6100.0000"/>
    <n v="13.43"/>
    <s v="11"/>
    <s v="6100"/>
    <n v="27221.68"/>
    <n v="13.43"/>
    <s v="CREDITOR"/>
    <n v="0"/>
    <n v="0"/>
    <n v="0"/>
    <n v="0"/>
    <n v="13.43"/>
  </r>
  <r>
    <n v="61970882"/>
    <s v="N"/>
    <n v="21318551"/>
    <s v="3000016005560001"/>
    <s v="CIVIL"/>
    <d v="2023-06-23T00:00:00"/>
    <d v="2023-07-03T19:01:49"/>
    <m/>
    <d v="2023-07-03T00:00:00"/>
    <n v="1382"/>
    <n v="18618"/>
    <s v="61970882"/>
    <s v="61970882"/>
    <m/>
    <m/>
    <n v="22751244"/>
    <m/>
    <m/>
    <m/>
    <s v="SOLFIN"/>
    <s v="SOLFIN"/>
    <s v="CCMS"/>
    <n v="21318551"/>
    <n v="3049.13"/>
    <m/>
    <s v="N"/>
    <n v="20"/>
    <d v="2023-07-03T19:01:59"/>
    <s v="Y"/>
    <s v="Routine Telephone Call"/>
    <s v="Care Remuneration Hourly Rates"/>
    <s v="Profit Cost"/>
    <s v="MR"/>
    <s v="Y"/>
    <n v="33.95"/>
    <n v="6.79"/>
    <x v="3"/>
    <s v="VALIDATED"/>
    <n v="1"/>
    <s v="01.11.80.305.6100.0000"/>
    <n v="33.95"/>
    <s v="11"/>
    <s v="6100"/>
    <n v="27221.68"/>
    <n v="33.95"/>
    <s v="CREDITOR"/>
    <n v="0"/>
    <n v="0"/>
    <n v="0"/>
    <n v="0"/>
    <n v="33.95"/>
  </r>
  <r>
    <n v="60417029"/>
    <s v="N"/>
    <n v="21349877"/>
    <s v="3000014703840003"/>
    <s v="CIVIL"/>
    <d v="2023-06-28T00:00:00"/>
    <d v="2023-07-10T19:01:40"/>
    <m/>
    <d v="2023-07-10T00:00:00"/>
    <n v="1382"/>
    <n v="18618"/>
    <s v="60417029"/>
    <s v="60417029"/>
    <m/>
    <m/>
    <n v="22777852"/>
    <m/>
    <m/>
    <m/>
    <s v="SOLFIN"/>
    <s v="SOLFIN"/>
    <s v="CCMS"/>
    <n v="21349877"/>
    <n v="11702.19"/>
    <m/>
    <s v="N"/>
    <n v="12"/>
    <d v="2023-07-10T19:02:01"/>
    <s v="Y"/>
    <s v="Hearing Unit 2.31 - 5.00 Hours"/>
    <s v="Public Law Children"/>
    <s v="Advocacy"/>
    <s v="MR"/>
    <s v="Y"/>
    <n v="476.92"/>
    <n v="95.38"/>
    <x v="2"/>
    <s v="VALIDATED"/>
    <n v="1"/>
    <s v="01.11.80.308.6100.0000"/>
    <n v="476.92"/>
    <s v="11"/>
    <s v="6100"/>
    <n v="27221.68"/>
    <n v="476.92"/>
    <s v="CREDITOR"/>
    <n v="0"/>
    <n v="0"/>
    <n v="0"/>
    <n v="0"/>
    <n v="476.92"/>
  </r>
  <r>
    <n v="61768583"/>
    <s v="N"/>
    <n v="21338467"/>
    <s v="3000015846360001"/>
    <s v="CIVIL"/>
    <d v="2023-06-26T00:00:00"/>
    <d v="2023-07-06T19:21:01"/>
    <m/>
    <d v="2023-07-06T00:00:00"/>
    <n v="1382"/>
    <n v="18618"/>
    <s v="61768583"/>
    <s v="61768583"/>
    <m/>
    <m/>
    <n v="22762802"/>
    <m/>
    <m/>
    <m/>
    <s v="SOLFIN"/>
    <s v="SOLFIN"/>
    <s v="CCMS"/>
    <n v="21338467"/>
    <n v="6476.74"/>
    <m/>
    <s v="N"/>
    <n v="2"/>
    <d v="2023-07-06T19:21:26"/>
    <s v="Y"/>
    <s v="Final Hearing Court Bundle/Advocate"/>
    <s v="Public Law Children"/>
    <s v="Advocacy"/>
    <s v="KG"/>
    <s v="Y"/>
    <n v="239.4"/>
    <n v="47.88"/>
    <x v="4"/>
    <s v="VALIDATED"/>
    <n v="1"/>
    <s v="01.11.80.308.6100.0000"/>
    <n v="239.4"/>
    <s v="11"/>
    <s v="6100"/>
    <n v="27221.68"/>
    <n v="239.4"/>
    <s v="CREDITOR"/>
    <n v="0"/>
    <n v="0"/>
    <n v="0"/>
    <n v="0"/>
    <n v="239.4"/>
  </r>
  <r>
    <n v="61970882"/>
    <s v="N"/>
    <n v="21318551"/>
    <s v="3000016005560001"/>
    <s v="CIVIL"/>
    <d v="2023-06-23T00:00:00"/>
    <d v="2023-07-03T19:01:49"/>
    <m/>
    <d v="2023-07-03T00:00:00"/>
    <n v="1382"/>
    <n v="18618"/>
    <s v="61970882"/>
    <s v="61970882"/>
    <m/>
    <m/>
    <n v="22751244"/>
    <m/>
    <m/>
    <m/>
    <s v="SOLFIN"/>
    <s v="SOLFIN"/>
    <s v="CCMS"/>
    <n v="21318551"/>
    <n v="3049.13"/>
    <m/>
    <s v="N"/>
    <n v="15"/>
    <d v="2023-07-03T19:01:59"/>
    <s v="Y"/>
    <s v="Attendance upon other side"/>
    <s v="Care Remuneration Hourly Rates"/>
    <s v="Profit Cost"/>
    <s v="MR"/>
    <s v="Y"/>
    <n v="26.86"/>
    <n v="5.37"/>
    <x v="3"/>
    <s v="VALIDATED"/>
    <n v="1"/>
    <s v="01.11.80.305.6100.0000"/>
    <n v="26.86"/>
    <s v="11"/>
    <s v="6100"/>
    <n v="27221.68"/>
    <n v="26.86"/>
    <s v="CREDITOR"/>
    <n v="0"/>
    <n v="0"/>
    <n v="0"/>
    <n v="0"/>
    <n v="26.86"/>
  </r>
  <r>
    <n v="61852558"/>
    <s v="N"/>
    <n v="21360780"/>
    <s v="3000015917850001"/>
    <s v="CIVIL"/>
    <d v="2023-06-30T00:00:00"/>
    <d v="2023-07-11T19:00:25"/>
    <m/>
    <d v="2023-07-11T00:00:00"/>
    <n v="1382"/>
    <n v="18618"/>
    <s v="61852558"/>
    <s v="61852558"/>
    <m/>
    <m/>
    <n v="22798704"/>
    <m/>
    <m/>
    <m/>
    <s v="SOLFIN"/>
    <s v="SOLFIN"/>
    <s v="CCMS"/>
    <n v="21360780"/>
    <n v="0"/>
    <m/>
    <s v="N"/>
    <n v="1"/>
    <d v="2023-07-11T19:00:34"/>
    <s v="N"/>
    <s v="NIL BILL"/>
    <s v="Public Law Children"/>
    <s v="Profit Cost"/>
    <s v="MR"/>
    <s v="N"/>
    <n v="0"/>
    <n v="0"/>
    <x v="7"/>
    <s v="VALIDATED"/>
    <n v="1"/>
    <s v="01.11.80.308.6100.0000"/>
    <n v="0"/>
    <s v="11"/>
    <s v="6100"/>
    <n v="27221.68"/>
    <n v="0"/>
    <s v="CREDITOR"/>
    <n v="0"/>
    <n v="0"/>
    <n v="0"/>
    <n v="0"/>
    <n v="0"/>
  </r>
  <r>
    <n v="61931093"/>
    <s v="N"/>
    <n v="21330965"/>
    <s v="3000015982270001"/>
    <s v="CIVIL"/>
    <d v="2023-06-26T00:00:00"/>
    <d v="2023-07-05T19:01:47"/>
    <m/>
    <d v="2023-07-05T00:00:00"/>
    <n v="1382"/>
    <n v="18618"/>
    <s v="61931093"/>
    <s v="61931093"/>
    <m/>
    <m/>
    <n v="22760292"/>
    <m/>
    <m/>
    <m/>
    <s v="SOLFIN"/>
    <s v="SOLFIN"/>
    <s v="CCMS"/>
    <n v="21330965"/>
    <n v="5488.43"/>
    <m/>
    <s v="N"/>
    <n v="5"/>
    <d v="2023-07-05T19:02:00"/>
    <s v="Y"/>
    <s v="Hearing Unit 2.31 - 5.00 Hours"/>
    <s v="Public Law Children"/>
    <s v="Advocacy"/>
    <s v="MR"/>
    <s v="Y"/>
    <n v="476.92"/>
    <n v="95.38"/>
    <x v="6"/>
    <s v="VALIDATED"/>
    <n v="1"/>
    <s v="01.11.80.308.6100.0000"/>
    <n v="476.92"/>
    <s v="11"/>
    <s v="6100"/>
    <n v="27221.68"/>
    <n v="476.92"/>
    <s v="CREDITOR"/>
    <n v="0"/>
    <n v="0"/>
    <n v="0"/>
    <n v="0"/>
    <n v="476.92"/>
  </r>
  <r>
    <n v="61852376"/>
    <s v="N"/>
    <n v="21360811"/>
    <s v="3000015917590001"/>
    <s v="CIVIL"/>
    <d v="2023-06-30T00:00:00"/>
    <d v="2023-07-11T19:00:25"/>
    <m/>
    <d v="2023-07-11T00:00:00"/>
    <n v="1382"/>
    <n v="18618"/>
    <s v="61852376"/>
    <s v="61852376"/>
    <m/>
    <m/>
    <n v="22798804"/>
    <m/>
    <m/>
    <m/>
    <s v="SOLFIN"/>
    <s v="SOLFIN"/>
    <s v="CCMS"/>
    <n v="21360811"/>
    <n v="6625.66"/>
    <m/>
    <s v="N"/>
    <n v="2"/>
    <d v="2023-07-11T19:00:35"/>
    <s v="Y"/>
    <s v="Solicitor Travel Expenses"/>
    <s v="Public Law Children"/>
    <s v="Non Expert Disbursement"/>
    <s v="MR"/>
    <s v="Y"/>
    <n v="3.5"/>
    <n v="0"/>
    <x v="7"/>
    <s v="VALIDATED"/>
    <n v="1"/>
    <s v="01.11.80.308.6300.0000"/>
    <n v="3.5"/>
    <s v="11"/>
    <s v="6300"/>
    <n v="27221.68"/>
    <n v="3.5"/>
    <s v="CREDITOR"/>
    <n v="0"/>
    <n v="0"/>
    <n v="0"/>
    <n v="0"/>
    <n v="3.5"/>
  </r>
  <r>
    <n v="61931093"/>
    <s v="N"/>
    <n v="21330965"/>
    <s v="3000015982270001"/>
    <s v="CIVIL"/>
    <d v="2023-06-26T00:00:00"/>
    <d v="2023-07-05T19:01:47"/>
    <m/>
    <d v="2023-07-05T00:00:00"/>
    <n v="1382"/>
    <n v="18618"/>
    <s v="61931093"/>
    <s v="61931093"/>
    <m/>
    <m/>
    <n v="22760292"/>
    <m/>
    <m/>
    <m/>
    <s v="SOLFIN"/>
    <s v="SOLFIN"/>
    <s v="CCMS"/>
    <n v="21330965"/>
    <n v="5488.43"/>
    <m/>
    <s v="N"/>
    <n v="2"/>
    <d v="2023-07-05T19:02:00"/>
    <s v="Y"/>
    <s v="Solicitor Travel Expenses"/>
    <s v="Public Law Children"/>
    <s v="Non Expert Disbursement"/>
    <s v="MR"/>
    <s v="Y"/>
    <n v="6"/>
    <n v="0"/>
    <x v="6"/>
    <s v="VALIDATED"/>
    <n v="1"/>
    <s v="01.11.80.308.6300.0000"/>
    <n v="6"/>
    <s v="11"/>
    <s v="6300"/>
    <n v="27221.68"/>
    <n v="6"/>
    <s v="CREDITOR"/>
    <n v="0"/>
    <n v="0"/>
    <n v="0"/>
    <n v="0"/>
    <n v="6"/>
  </r>
  <r>
    <n v="61970882"/>
    <s v="N"/>
    <n v="21318551"/>
    <s v="3000016005560001"/>
    <s v="CIVIL"/>
    <d v="2023-06-23T00:00:00"/>
    <d v="2023-07-03T19:01:49"/>
    <m/>
    <d v="2023-07-03T00:00:00"/>
    <n v="1382"/>
    <n v="18618"/>
    <s v="61970882"/>
    <s v="61970882"/>
    <m/>
    <m/>
    <n v="22751244"/>
    <m/>
    <m/>
    <m/>
    <s v="SOLFIN"/>
    <s v="SOLFIN"/>
    <s v="CCMS"/>
    <n v="21318551"/>
    <n v="3049.13"/>
    <m/>
    <s v="N"/>
    <n v="11"/>
    <d v="2023-07-03T19:01:59"/>
    <s v="Y"/>
    <s v="Attendance upon client"/>
    <s v="Care Remuneration Hourly Rates"/>
    <s v="Profit Cost"/>
    <s v="MR"/>
    <s v="Y"/>
    <n v="161.21"/>
    <n v="32.24"/>
    <x v="3"/>
    <s v="VALIDATED"/>
    <n v="1"/>
    <s v="01.11.80.305.6100.0000"/>
    <n v="161.21"/>
    <s v="11"/>
    <s v="6100"/>
    <n v="27221.68"/>
    <n v="161.21"/>
    <s v="CREDITOR"/>
    <n v="0"/>
    <n v="0"/>
    <n v="0"/>
    <n v="0"/>
    <n v="161.21"/>
  </r>
  <r>
    <n v="61970882"/>
    <s v="N"/>
    <n v="21318551"/>
    <s v="3000016005560001"/>
    <s v="CIVIL"/>
    <d v="2023-06-23T00:00:00"/>
    <d v="2023-07-03T19:01:49"/>
    <m/>
    <d v="2023-07-03T00:00:00"/>
    <n v="1382"/>
    <n v="18618"/>
    <s v="61970882"/>
    <s v="61970882"/>
    <m/>
    <m/>
    <n v="22751244"/>
    <m/>
    <m/>
    <m/>
    <s v="SOLFIN"/>
    <s v="SOLFIN"/>
    <s v="CCMS"/>
    <n v="21318551"/>
    <n v="3049.13"/>
    <m/>
    <s v="N"/>
    <n v="30"/>
    <d v="2023-07-03T19:01:59"/>
    <s v="Y"/>
    <s v="Attendance upon client"/>
    <s v="Care Remuneration Hourly Rates"/>
    <s v="Profit Cost"/>
    <s v="MR"/>
    <s v="Y"/>
    <n v="13.43"/>
    <n v="2.69"/>
    <x v="3"/>
    <s v="VALIDATED"/>
    <n v="1"/>
    <s v="01.11.80.305.6100.0000"/>
    <n v="13.43"/>
    <s v="11"/>
    <s v="6100"/>
    <n v="27221.68"/>
    <n v="13.43"/>
    <s v="CREDITOR"/>
    <n v="0"/>
    <n v="0"/>
    <n v="0"/>
    <n v="0"/>
    <n v="13.43"/>
  </r>
  <r>
    <n v="61970882"/>
    <s v="N"/>
    <n v="21318551"/>
    <s v="3000016005560001"/>
    <s v="CIVIL"/>
    <d v="2023-06-23T00:00:00"/>
    <d v="2023-07-03T19:01:49"/>
    <m/>
    <d v="2023-07-03T00:00:00"/>
    <n v="1382"/>
    <n v="18618"/>
    <s v="61970882"/>
    <s v="61970882"/>
    <m/>
    <m/>
    <n v="22751244"/>
    <m/>
    <m/>
    <m/>
    <s v="SOLFIN"/>
    <s v="SOLFIN"/>
    <s v="CCMS"/>
    <n v="21318551"/>
    <n v="3049.13"/>
    <m/>
    <s v="N"/>
    <n v="7"/>
    <d v="2023-07-03T19:01:59"/>
    <s v="Y"/>
    <s v="Attendance upon client"/>
    <s v="Care Remuneration Hourly Rates"/>
    <s v="Profit Cost"/>
    <s v="MR"/>
    <s v="Y"/>
    <n v="13.43"/>
    <n v="2.69"/>
    <x v="3"/>
    <s v="VALIDATED"/>
    <n v="1"/>
    <s v="01.11.80.305.6100.0000"/>
    <n v="13.43"/>
    <s v="11"/>
    <s v="6100"/>
    <n v="27221.68"/>
    <n v="13.43"/>
    <s v="CREDITOR"/>
    <n v="0"/>
    <n v="0"/>
    <n v="0"/>
    <n v="0"/>
    <n v="13.43"/>
  </r>
  <r>
    <n v="61970882"/>
    <s v="N"/>
    <n v="21318551"/>
    <s v="3000016005560001"/>
    <s v="CIVIL"/>
    <d v="2023-06-23T00:00:00"/>
    <d v="2023-07-03T19:01:49"/>
    <m/>
    <d v="2023-07-03T00:00:00"/>
    <n v="1382"/>
    <n v="18618"/>
    <s v="61970882"/>
    <s v="61970882"/>
    <m/>
    <m/>
    <n v="22751244"/>
    <m/>
    <m/>
    <m/>
    <s v="SOLFIN"/>
    <s v="SOLFIN"/>
    <s v="CCMS"/>
    <n v="21318551"/>
    <n v="3049.13"/>
    <m/>
    <s v="N"/>
    <n v="18"/>
    <d v="2023-07-03T19:01:59"/>
    <s v="Y"/>
    <s v="Routine Letter In"/>
    <s v="Care Remuneration Hourly Rates"/>
    <s v="Profit Cost"/>
    <s v="MR"/>
    <s v="Y"/>
    <n v="144.67"/>
    <n v="28.94"/>
    <x v="3"/>
    <s v="VALIDATED"/>
    <n v="1"/>
    <s v="01.11.80.305.6100.0000"/>
    <n v="144.67"/>
    <s v="11"/>
    <s v="6100"/>
    <n v="27221.68"/>
    <n v="144.67"/>
    <s v="CREDITOR"/>
    <n v="0"/>
    <n v="0"/>
    <n v="0"/>
    <n v="0"/>
    <n v="144.67"/>
  </r>
  <r>
    <n v="61970882"/>
    <s v="N"/>
    <n v="21318551"/>
    <s v="3000016005560001"/>
    <s v="CIVIL"/>
    <d v="2023-06-23T00:00:00"/>
    <d v="2023-07-03T19:01:49"/>
    <m/>
    <d v="2023-07-03T00:00:00"/>
    <n v="1382"/>
    <n v="18618"/>
    <s v="61970882"/>
    <s v="61970882"/>
    <m/>
    <m/>
    <n v="22751244"/>
    <m/>
    <m/>
    <m/>
    <s v="SOLFIN"/>
    <s v="SOLFIN"/>
    <s v="CCMS"/>
    <n v="21318551"/>
    <n v="3049.13"/>
    <m/>
    <s v="N"/>
    <n v="22"/>
    <d v="2023-07-03T19:01:59"/>
    <s v="Y"/>
    <s v="Preparation - drafting statement"/>
    <s v="Care Remuneration Hourly Rates"/>
    <s v="Profit Cost"/>
    <s v="MR"/>
    <s v="Y"/>
    <n v="100.76"/>
    <n v="20.15"/>
    <x v="3"/>
    <s v="VALIDATED"/>
    <n v="1"/>
    <s v="01.11.80.305.6100.0000"/>
    <n v="100.76"/>
    <s v="11"/>
    <s v="6100"/>
    <n v="27221.68"/>
    <n v="100.76"/>
    <s v="CREDITOR"/>
    <n v="0"/>
    <n v="0"/>
    <n v="0"/>
    <n v="0"/>
    <n v="100.76"/>
  </r>
  <r>
    <n v="61970882"/>
    <s v="N"/>
    <n v="21318551"/>
    <s v="3000016005560001"/>
    <s v="CIVIL"/>
    <d v="2023-06-23T00:00:00"/>
    <d v="2023-07-03T19:01:49"/>
    <m/>
    <d v="2023-07-03T00:00:00"/>
    <n v="1382"/>
    <n v="18618"/>
    <s v="61970882"/>
    <s v="61970882"/>
    <m/>
    <m/>
    <n v="22751244"/>
    <m/>
    <m/>
    <m/>
    <s v="SOLFIN"/>
    <s v="SOLFIN"/>
    <s v="CCMS"/>
    <n v="21318551"/>
    <n v="3049.13"/>
    <m/>
    <s v="N"/>
    <n v="13"/>
    <d v="2023-07-03T19:01:59"/>
    <s v="Y"/>
    <s v="Attendance upon client"/>
    <s v="Care Remuneration Hourly Rates"/>
    <s v="Profit Cost"/>
    <s v="MR"/>
    <s v="Y"/>
    <n v="13.43"/>
    <n v="2.69"/>
    <x v="3"/>
    <s v="VALIDATED"/>
    <n v="1"/>
    <s v="01.11.80.305.6100.0000"/>
    <n v="13.43"/>
    <s v="11"/>
    <s v="6100"/>
    <n v="27221.68"/>
    <n v="13.43"/>
    <s v="CREDITOR"/>
    <n v="0"/>
    <n v="0"/>
    <n v="0"/>
    <n v="0"/>
    <n v="13.43"/>
  </r>
  <r>
    <n v="61970882"/>
    <s v="N"/>
    <n v="21318551"/>
    <s v="3000016005560001"/>
    <s v="CIVIL"/>
    <d v="2023-06-23T00:00:00"/>
    <d v="2023-07-03T19:01:49"/>
    <m/>
    <d v="2023-07-03T00:00:00"/>
    <n v="1382"/>
    <n v="18618"/>
    <s v="61970882"/>
    <s v="61970882"/>
    <m/>
    <m/>
    <n v="22751244"/>
    <m/>
    <m/>
    <m/>
    <s v="SOLFIN"/>
    <s v="SOLFIN"/>
    <s v="CCMS"/>
    <n v="21318551"/>
    <n v="3049.13"/>
    <m/>
    <s v="N"/>
    <n v="6"/>
    <d v="2023-07-03T19:01:59"/>
    <s v="Y"/>
    <s v="Preparation - other"/>
    <s v="Care Remuneration Hourly Rates"/>
    <s v="Profit Cost"/>
    <s v="MR"/>
    <s v="Y"/>
    <n v="188.08"/>
    <n v="37.62"/>
    <x v="3"/>
    <s v="VALIDATED"/>
    <n v="1"/>
    <s v="01.11.80.305.6100.0000"/>
    <n v="188.08"/>
    <s v="11"/>
    <s v="6100"/>
    <n v="27221.68"/>
    <n v="188.08"/>
    <s v="CREDITOR"/>
    <n v="0"/>
    <n v="0"/>
    <n v="0"/>
    <n v="0"/>
    <n v="188.08"/>
  </r>
  <r>
    <n v="61768583"/>
    <s v="N"/>
    <n v="21338467"/>
    <s v="3000015846360001"/>
    <s v="CIVIL"/>
    <d v="2023-06-26T00:00:00"/>
    <d v="2023-07-06T19:21:01"/>
    <m/>
    <d v="2023-07-06T00:00:00"/>
    <n v="1382"/>
    <n v="18618"/>
    <s v="61768583"/>
    <s v="61768583"/>
    <m/>
    <m/>
    <n v="22762802"/>
    <m/>
    <m/>
    <m/>
    <s v="SOLFIN"/>
    <s v="SOLFIN"/>
    <s v="CCMS"/>
    <n v="21338467"/>
    <n v="6476.74"/>
    <m/>
    <s v="N"/>
    <n v="3"/>
    <d v="2023-07-06T19:21:26"/>
    <s v="Y"/>
    <s v="Medical Records"/>
    <s v="Public Law Children"/>
    <s v="Non Expert Disbursement"/>
    <s v="KG"/>
    <s v="Y"/>
    <n v="50.4"/>
    <n v="0"/>
    <x v="4"/>
    <s v="VALIDATED"/>
    <n v="1"/>
    <s v="01.11.80.308.6300.0000"/>
    <n v="50.4"/>
    <s v="11"/>
    <s v="6300"/>
    <n v="27221.68"/>
    <n v="50.4"/>
    <s v="CREDITOR"/>
    <n v="0"/>
    <n v="0"/>
    <n v="0"/>
    <n v="0"/>
    <n v="50.4"/>
  </r>
  <r>
    <n v="61931093"/>
    <s v="N"/>
    <n v="21330965"/>
    <s v="3000015982270001"/>
    <s v="CIVIL"/>
    <d v="2023-06-26T00:00:00"/>
    <d v="2023-07-05T19:01:47"/>
    <m/>
    <d v="2023-07-05T00:00:00"/>
    <n v="1382"/>
    <n v="18618"/>
    <s v="61931093"/>
    <s v="61931093"/>
    <m/>
    <m/>
    <n v="22760292"/>
    <m/>
    <m/>
    <m/>
    <s v="SOLFIN"/>
    <s v="SOLFIN"/>
    <s v="CCMS"/>
    <n v="21330965"/>
    <n v="5488.43"/>
    <m/>
    <s v="N"/>
    <n v="3"/>
    <d v="2023-07-05T19:02:00"/>
    <s v="Y"/>
    <s v="Final Hearing - 1 Day"/>
    <s v="Public Law Children"/>
    <s v="Advocacy"/>
    <s v="MR"/>
    <s v="Y"/>
    <n v="556.88"/>
    <n v="111.38"/>
    <x v="6"/>
    <s v="VALIDATED"/>
    <n v="1"/>
    <s v="01.11.80.308.6100.0000"/>
    <n v="556.88"/>
    <s v="11"/>
    <s v="6100"/>
    <n v="27221.68"/>
    <n v="556.88"/>
    <s v="CREDITOR"/>
    <n v="0"/>
    <n v="0"/>
    <n v="0"/>
    <n v="0"/>
    <n v="556.88"/>
  </r>
  <r>
    <n v="61970882"/>
    <s v="N"/>
    <n v="21318551"/>
    <s v="3000016005560001"/>
    <s v="CIVIL"/>
    <d v="2023-06-23T00:00:00"/>
    <d v="2023-07-03T19:01:49"/>
    <m/>
    <d v="2023-07-03T00:00:00"/>
    <n v="1382"/>
    <n v="18618"/>
    <s v="61970882"/>
    <s v="61970882"/>
    <m/>
    <m/>
    <n v="22751244"/>
    <m/>
    <m/>
    <m/>
    <s v="SOLFIN"/>
    <s v="SOLFIN"/>
    <s v="CCMS"/>
    <n v="21318551"/>
    <n v="3049.13"/>
    <m/>
    <s v="N"/>
    <n v="24"/>
    <d v="2023-07-03T19:01:59"/>
    <s v="Y"/>
    <s v="Attendance upon other side"/>
    <s v="Care Remuneration Hourly Rates"/>
    <s v="Profit Cost"/>
    <s v="MR"/>
    <s v="Y"/>
    <n v="26.86"/>
    <n v="5.37"/>
    <x v="3"/>
    <s v="VALIDATED"/>
    <n v="1"/>
    <s v="01.11.80.305.6100.0000"/>
    <n v="26.86"/>
    <s v="11"/>
    <s v="6100"/>
    <n v="27221.68"/>
    <n v="26.86"/>
    <s v="CREDITOR"/>
    <n v="0"/>
    <n v="0"/>
    <n v="0"/>
    <n v="0"/>
    <n v="26.86"/>
  </r>
  <r>
    <n v="60417029"/>
    <s v="N"/>
    <n v="21349877"/>
    <s v="3000014703840003"/>
    <s v="CIVIL"/>
    <d v="2023-06-28T00:00:00"/>
    <d v="2023-07-10T19:01:40"/>
    <m/>
    <d v="2023-07-10T00:00:00"/>
    <n v="1382"/>
    <n v="18618"/>
    <s v="60417029"/>
    <s v="60417029"/>
    <m/>
    <m/>
    <n v="22777852"/>
    <m/>
    <m/>
    <m/>
    <s v="SOLFIN"/>
    <s v="SOLFIN"/>
    <s v="CCMS"/>
    <n v="21349877"/>
    <n v="11702.19"/>
    <m/>
    <s v="N"/>
    <n v="21"/>
    <d v="2023-07-10T19:02:01"/>
    <s v="Y"/>
    <s v="Advocates Meeting"/>
    <s v="Public Law Children"/>
    <s v="Advocacy"/>
    <s v="MR"/>
    <s v="Y"/>
    <n v="140.99"/>
    <n v="28.2"/>
    <x v="2"/>
    <s v="VALIDATED"/>
    <n v="1"/>
    <s v="01.11.80.308.6100.0000"/>
    <n v="140.99"/>
    <s v="11"/>
    <s v="6100"/>
    <n v="27221.68"/>
    <n v="140.99"/>
    <s v="CREDITOR"/>
    <n v="0"/>
    <n v="0"/>
    <n v="0"/>
    <n v="0"/>
    <n v="140.99"/>
  </r>
  <r>
    <n v="60417116"/>
    <s v="N"/>
    <n v="21343890"/>
    <s v="3000014703880001"/>
    <s v="CIVIL"/>
    <d v="2023-06-28T00:00:00"/>
    <d v="2023-07-07T19:03:00"/>
    <m/>
    <d v="2023-07-07T00:00:00"/>
    <n v="1382"/>
    <n v="18618"/>
    <s v="60417116"/>
    <s v="60417116"/>
    <m/>
    <m/>
    <n v="22777008"/>
    <m/>
    <m/>
    <m/>
    <s v="SOLFIN"/>
    <s v="SOLFIN"/>
    <s v="CCMS"/>
    <n v="21343890"/>
    <n v="0"/>
    <m/>
    <s v="N"/>
    <n v="1"/>
    <d v="2023-07-07T19:03:16"/>
    <s v="N"/>
    <s v="NIL BILL"/>
    <s v="Public Law Children"/>
    <s v="Profit Cost"/>
    <s v="MR"/>
    <s v="N"/>
    <n v="0"/>
    <n v="0"/>
    <x v="9"/>
    <s v="VALIDATED"/>
    <n v="1"/>
    <s v="01.11.80.308.6100.0000"/>
    <n v="0"/>
    <s v="11"/>
    <s v="6100"/>
    <n v="27221.68"/>
    <n v="0"/>
    <s v="CREDITOR"/>
    <n v="0"/>
    <n v="0"/>
    <n v="0"/>
    <n v="0"/>
    <n v="0"/>
  </r>
  <r>
    <n v="61970882"/>
    <s v="N"/>
    <n v="21318551"/>
    <s v="3000016005560001"/>
    <s v="CIVIL"/>
    <d v="2023-06-23T00:00:00"/>
    <d v="2023-07-03T19:01:49"/>
    <m/>
    <d v="2023-07-03T00:00:00"/>
    <n v="1382"/>
    <n v="18618"/>
    <s v="61970882"/>
    <s v="61970882"/>
    <m/>
    <m/>
    <n v="22751244"/>
    <m/>
    <m/>
    <m/>
    <s v="SOLFIN"/>
    <s v="SOLFIN"/>
    <s v="CCMS"/>
    <n v="21318551"/>
    <n v="3049.13"/>
    <m/>
    <s v="N"/>
    <n v="1"/>
    <d v="2023-07-03T19:01:59"/>
    <s v="Y"/>
    <s v="Final Hearing Court Bundle/Advocate"/>
    <s v="Other Public Law Children"/>
    <s v="Advocacy"/>
    <s v="MR"/>
    <s v="Y"/>
    <n v="159.3"/>
    <n v="31.86"/>
    <x v="3"/>
    <s v="VALIDATED"/>
    <n v="1"/>
    <s v="01.11.80.305.6100.0000"/>
    <n v="159.3"/>
    <s v="11"/>
    <s v="6100"/>
    <n v="27221.68"/>
    <n v="159.3"/>
    <s v="CREDITOR"/>
    <n v="0"/>
    <n v="0"/>
    <n v="0"/>
    <n v="0"/>
    <n v="159.3"/>
  </r>
  <r>
    <n v="61970882"/>
    <s v="N"/>
    <n v="21318551"/>
    <s v="3000016005560001"/>
    <s v="CIVIL"/>
    <d v="2023-06-23T00:00:00"/>
    <d v="2023-07-03T19:01:49"/>
    <m/>
    <d v="2023-07-03T00:00:00"/>
    <n v="1382"/>
    <n v="18618"/>
    <s v="61970882"/>
    <s v="61970882"/>
    <m/>
    <m/>
    <n v="22751244"/>
    <m/>
    <m/>
    <m/>
    <s v="SOLFIN"/>
    <s v="SOLFIN"/>
    <s v="CCMS"/>
    <n v="21318551"/>
    <n v="3049.13"/>
    <m/>
    <s v="N"/>
    <n v="4"/>
    <d v="2023-07-03T19:01:59"/>
    <s v="Y"/>
    <s v="Preparation - drafting application"/>
    <s v="Care Remuneration Hourly Rates"/>
    <s v="Profit Cost"/>
    <s v="MR"/>
    <s v="Y"/>
    <n v="33.59"/>
    <n v="6.72"/>
    <x v="3"/>
    <s v="VALIDATED"/>
    <n v="1"/>
    <s v="01.11.80.305.6100.0000"/>
    <n v="33.59"/>
    <s v="11"/>
    <s v="6100"/>
    <n v="27221.68"/>
    <n v="33.59"/>
    <s v="CREDITOR"/>
    <n v="0"/>
    <n v="0"/>
    <n v="0"/>
    <n v="0"/>
    <n v="33.59"/>
  </r>
  <r>
    <n v="60417029"/>
    <s v="N"/>
    <n v="21349877"/>
    <s v="3000014703840003"/>
    <s v="CIVIL"/>
    <d v="2023-06-28T00:00:00"/>
    <d v="2023-07-10T19:01:40"/>
    <m/>
    <d v="2023-07-10T00:00:00"/>
    <n v="1382"/>
    <n v="18618"/>
    <s v="60417029"/>
    <s v="60417029"/>
    <m/>
    <m/>
    <n v="22777852"/>
    <m/>
    <m/>
    <m/>
    <s v="SOLFIN"/>
    <s v="SOLFIN"/>
    <s v="CCMS"/>
    <n v="21349877"/>
    <n v="11702.19"/>
    <m/>
    <s v="N"/>
    <n v="1"/>
    <d v="2023-07-10T19:02:01"/>
    <s v="Y"/>
    <s v="Interim Hearing Court Bundle/Advoca"/>
    <s v="Public Law Children"/>
    <s v="Advocacy"/>
    <s v="MR"/>
    <s v="Y"/>
    <n v="59.4"/>
    <n v="11.88"/>
    <x v="2"/>
    <s v="VALIDATED"/>
    <n v="1"/>
    <s v="01.11.80.308.6100.0000"/>
    <n v="59.4"/>
    <s v="11"/>
    <s v="6100"/>
    <n v="27221.68"/>
    <n v="59.4"/>
    <s v="CREDITOR"/>
    <n v="0"/>
    <n v="0"/>
    <n v="0"/>
    <n v="0"/>
    <n v="59.4"/>
  </r>
  <r>
    <n v="60417029"/>
    <s v="N"/>
    <n v="21349877"/>
    <s v="3000014703840003"/>
    <s v="CIVIL"/>
    <d v="2023-06-28T00:00:00"/>
    <d v="2023-07-10T19:01:40"/>
    <m/>
    <d v="2023-07-10T00:00:00"/>
    <n v="1382"/>
    <n v="18618"/>
    <s v="60417029"/>
    <s v="60417029"/>
    <m/>
    <m/>
    <n v="22777852"/>
    <m/>
    <m/>
    <m/>
    <s v="SOLFIN"/>
    <s v="SOLFIN"/>
    <s v="CCMS"/>
    <n v="21349877"/>
    <n v="11702.19"/>
    <m/>
    <s v="N"/>
    <n v="11"/>
    <d v="2023-07-10T19:02:01"/>
    <s v="Y"/>
    <s v="Advocates Meeting"/>
    <s v="Public Law Children"/>
    <s v="Advocacy"/>
    <s v="MR"/>
    <s v="Y"/>
    <n v="140.99"/>
    <n v="28.2"/>
    <x v="2"/>
    <s v="VALIDATED"/>
    <n v="1"/>
    <s v="01.11.80.308.6100.0000"/>
    <n v="140.99"/>
    <s v="11"/>
    <s v="6100"/>
    <n v="27221.68"/>
    <n v="140.99"/>
    <s v="CREDITOR"/>
    <n v="0"/>
    <n v="0"/>
    <n v="0"/>
    <n v="0"/>
    <n v="140.99"/>
  </r>
  <r>
    <n v="61852376"/>
    <s v="N"/>
    <n v="21360811"/>
    <s v="3000015917590001"/>
    <s v="CIVIL"/>
    <d v="2023-06-30T00:00:00"/>
    <d v="2023-07-11T19:00:25"/>
    <m/>
    <d v="2023-07-11T00:00:00"/>
    <n v="1382"/>
    <n v="18618"/>
    <s v="61852376"/>
    <s v="61852376"/>
    <m/>
    <m/>
    <n v="22798804"/>
    <m/>
    <m/>
    <m/>
    <s v="SOLFIN"/>
    <s v="SOLFIN"/>
    <s v="CCMS"/>
    <n v="21360811"/>
    <n v="6625.66"/>
    <m/>
    <s v="N"/>
    <n v="4"/>
    <d v="2023-07-11T19:00:35"/>
    <s v="Y"/>
    <s v="Hearing Unit 1.01 - 2.30 Hours"/>
    <s v="Public Law Children"/>
    <s v="Advocacy"/>
    <s v="MR"/>
    <s v="Y"/>
    <n v="238.46"/>
    <n v="47.69"/>
    <x v="7"/>
    <s v="VALIDATED"/>
    <n v="1"/>
    <s v="01.11.80.308.6100.0000"/>
    <n v="238.46"/>
    <s v="11"/>
    <s v="6100"/>
    <n v="27221.68"/>
    <n v="238.46"/>
    <s v="CREDITOR"/>
    <n v="0"/>
    <n v="0"/>
    <n v="0"/>
    <n v="0"/>
    <n v="238.46"/>
  </r>
  <r>
    <n v="61970882"/>
    <s v="N"/>
    <n v="21318551"/>
    <s v="3000016005560001"/>
    <s v="CIVIL"/>
    <d v="2023-06-23T00:00:00"/>
    <d v="2023-07-03T19:01:49"/>
    <m/>
    <d v="2023-07-03T00:00:00"/>
    <n v="1382"/>
    <n v="18618"/>
    <s v="61970882"/>
    <s v="61970882"/>
    <m/>
    <m/>
    <n v="22751244"/>
    <m/>
    <m/>
    <m/>
    <s v="SOLFIN"/>
    <s v="SOLFIN"/>
    <s v="CCMS"/>
    <n v="21318551"/>
    <n v="3049.13"/>
    <m/>
    <s v="N"/>
    <n v="40"/>
    <d v="2023-07-03T19:01:59"/>
    <s v="Y"/>
    <s v="Hearing Unit 1.01 - 2.30 Hours"/>
    <s v="Other Public Law Children"/>
    <s v="Advocacy"/>
    <s v="MR"/>
    <s v="Y"/>
    <n v="208.53"/>
    <n v="41.71"/>
    <x v="3"/>
    <s v="VALIDATED"/>
    <n v="1"/>
    <s v="01.11.80.305.6100.0000"/>
    <n v="208.53"/>
    <s v="11"/>
    <s v="6100"/>
    <n v="27221.68"/>
    <n v="208.53"/>
    <s v="CREDITOR"/>
    <n v="0"/>
    <n v="0"/>
    <n v="0"/>
    <n v="0"/>
    <n v="208.53"/>
  </r>
  <r>
    <n v="61970882"/>
    <s v="N"/>
    <n v="21318551"/>
    <s v="3000016005560001"/>
    <s v="CIVIL"/>
    <d v="2023-06-23T00:00:00"/>
    <d v="2023-07-03T19:01:49"/>
    <m/>
    <d v="2023-07-03T00:00:00"/>
    <n v="1382"/>
    <n v="18618"/>
    <s v="61970882"/>
    <s v="61970882"/>
    <m/>
    <m/>
    <n v="22751244"/>
    <m/>
    <m/>
    <m/>
    <s v="SOLFIN"/>
    <s v="SOLFIN"/>
    <s v="CCMS"/>
    <n v="21318551"/>
    <n v="3049.13"/>
    <m/>
    <s v="N"/>
    <n v="12"/>
    <d v="2023-07-03T19:01:59"/>
    <s v="Y"/>
    <s v="Routine Letter Out"/>
    <s v="Care Remuneration Hourly Rates"/>
    <s v="Profit Cost"/>
    <s v="MR"/>
    <s v="Y"/>
    <n v="190.96"/>
    <n v="38.19"/>
    <x v="3"/>
    <s v="VALIDATED"/>
    <n v="1"/>
    <s v="01.11.80.305.6100.0000"/>
    <n v="190.96"/>
    <s v="11"/>
    <s v="6100"/>
    <n v="27221.68"/>
    <n v="190.96"/>
    <s v="CREDITOR"/>
    <n v="0"/>
    <n v="0"/>
    <n v="0"/>
    <n v="0"/>
    <n v="190.96"/>
  </r>
  <r>
    <n v="60417029"/>
    <s v="N"/>
    <n v="21349877"/>
    <s v="3000014703840003"/>
    <s v="CIVIL"/>
    <d v="2023-06-28T00:00:00"/>
    <d v="2023-07-10T19:01:40"/>
    <m/>
    <d v="2023-07-10T00:00:00"/>
    <n v="1382"/>
    <n v="18618"/>
    <s v="60417029"/>
    <s v="60417029"/>
    <m/>
    <m/>
    <n v="22777852"/>
    <m/>
    <m/>
    <m/>
    <s v="SOLFIN"/>
    <s v="SOLFIN"/>
    <s v="CCMS"/>
    <n v="21349877"/>
    <n v="11702.19"/>
    <m/>
    <s v="N"/>
    <n v="25"/>
    <d v="2023-07-10T19:02:01"/>
    <s v="Y"/>
    <s v="Advocates Meeting"/>
    <s v="Public Law Children"/>
    <s v="Advocacy"/>
    <s v="MR"/>
    <s v="Y"/>
    <n v="140.99"/>
    <n v="28.2"/>
    <x v="2"/>
    <s v="VALIDATED"/>
    <n v="1"/>
    <s v="01.11.80.308.6100.0000"/>
    <n v="140.99"/>
    <s v="11"/>
    <s v="6100"/>
    <n v="27221.68"/>
    <n v="140.99"/>
    <s v="CREDITOR"/>
    <n v="0"/>
    <n v="0"/>
    <n v="0"/>
    <n v="0"/>
    <n v="140.99"/>
  </r>
  <r>
    <n v="60417029"/>
    <s v="N"/>
    <n v="21349877"/>
    <s v="3000014703840003"/>
    <s v="CIVIL"/>
    <d v="2023-06-28T00:00:00"/>
    <d v="2023-07-10T19:01:40"/>
    <m/>
    <d v="2023-07-10T00:00:00"/>
    <n v="1382"/>
    <n v="18618"/>
    <s v="60417029"/>
    <s v="60417029"/>
    <m/>
    <m/>
    <n v="22777852"/>
    <m/>
    <m/>
    <m/>
    <s v="SOLFIN"/>
    <s v="SOLFIN"/>
    <s v="CCMS"/>
    <n v="21349877"/>
    <n v="11702.19"/>
    <m/>
    <s v="N"/>
    <n v="24"/>
    <d v="2023-07-10T19:02:01"/>
    <s v="Y"/>
    <s v="Advocates Meeting"/>
    <s v="Public Law Children"/>
    <s v="Advocacy"/>
    <s v="MR"/>
    <s v="Y"/>
    <n v="140.99"/>
    <n v="28.2"/>
    <x v="2"/>
    <s v="VALIDATED"/>
    <n v="1"/>
    <s v="01.11.80.308.6100.0000"/>
    <n v="140.99"/>
    <s v="11"/>
    <s v="6100"/>
    <n v="27221.68"/>
    <n v="140.99"/>
    <s v="CREDITOR"/>
    <n v="0"/>
    <n v="0"/>
    <n v="0"/>
    <n v="0"/>
    <n v="140.99"/>
  </r>
  <r>
    <n v="61768583"/>
    <s v="N"/>
    <n v="21338467"/>
    <s v="3000015846360001"/>
    <s v="CIVIL"/>
    <d v="2023-06-26T00:00:00"/>
    <d v="2023-07-06T19:21:01"/>
    <m/>
    <d v="2023-07-06T00:00:00"/>
    <n v="1382"/>
    <n v="18618"/>
    <s v="61768583"/>
    <s v="61768583"/>
    <m/>
    <m/>
    <n v="22762802"/>
    <m/>
    <m/>
    <m/>
    <s v="SOLFIN"/>
    <s v="SOLFIN"/>
    <s v="CCMS"/>
    <n v="21338467"/>
    <n v="6476.74"/>
    <m/>
    <s v="N"/>
    <n v="8"/>
    <d v="2023-07-06T19:21:26"/>
    <s v="Y"/>
    <s v="Hearing Unit 2.31 - 5.00 Hours"/>
    <s v="Public Law Children"/>
    <s v="Advocacy"/>
    <s v="KG"/>
    <s v="Y"/>
    <n v="476.92"/>
    <n v="95.38"/>
    <x v="4"/>
    <s v="VALIDATED"/>
    <n v="1"/>
    <s v="01.11.80.308.6100.0000"/>
    <n v="476.92"/>
    <s v="11"/>
    <s v="6100"/>
    <n v="27221.68"/>
    <n v="476.92"/>
    <s v="CREDITOR"/>
    <n v="0"/>
    <n v="0"/>
    <n v="0"/>
    <n v="0"/>
    <n v="476.92"/>
  </r>
  <r>
    <n v="61970882"/>
    <s v="N"/>
    <n v="21318551"/>
    <s v="3000016005560001"/>
    <s v="CIVIL"/>
    <d v="2023-06-23T00:00:00"/>
    <d v="2023-07-03T19:01:49"/>
    <m/>
    <d v="2023-07-03T00:00:00"/>
    <n v="1382"/>
    <n v="18618"/>
    <s v="61970882"/>
    <s v="61970882"/>
    <m/>
    <m/>
    <n v="22751244"/>
    <m/>
    <m/>
    <m/>
    <s v="SOLFIN"/>
    <s v="SOLFIN"/>
    <s v="CCMS"/>
    <n v="21318551"/>
    <n v="3049.13"/>
    <m/>
    <s v="N"/>
    <n v="37"/>
    <d v="2023-07-03T19:01:59"/>
    <s v="Y"/>
    <s v="Report - Welfare report"/>
    <s v="Care Remuneration Hourly Rates"/>
    <s v="Profit Cost"/>
    <s v="MR"/>
    <s v="Y"/>
    <n v="53.74"/>
    <n v="10.75"/>
    <x v="3"/>
    <s v="VALIDATED"/>
    <n v="1"/>
    <s v="01.11.80.305.6100.0000"/>
    <n v="53.74"/>
    <s v="11"/>
    <s v="6100"/>
    <n v="27221.68"/>
    <n v="53.74"/>
    <s v="CREDITOR"/>
    <n v="0"/>
    <n v="0"/>
    <n v="0"/>
    <n v="0"/>
    <n v="53.74"/>
  </r>
  <r>
    <n v="61970882"/>
    <s v="N"/>
    <n v="21318551"/>
    <s v="3000016005560001"/>
    <s v="CIVIL"/>
    <d v="2023-06-23T00:00:00"/>
    <d v="2023-07-03T19:01:49"/>
    <m/>
    <d v="2023-07-03T00:00:00"/>
    <n v="1382"/>
    <n v="18618"/>
    <s v="61970882"/>
    <s v="61970882"/>
    <m/>
    <m/>
    <n v="22751244"/>
    <m/>
    <m/>
    <m/>
    <s v="SOLFIN"/>
    <s v="SOLFIN"/>
    <s v="CCMS"/>
    <n v="21318551"/>
    <n v="3049.13"/>
    <m/>
    <s v="N"/>
    <n v="35"/>
    <d v="2023-07-03T19:01:59"/>
    <s v="Y"/>
    <s v="Preparation - other"/>
    <s v="Care Remuneration Hourly Rates"/>
    <s v="Profit Cost"/>
    <s v="MR"/>
    <s v="Y"/>
    <n v="40.31"/>
    <n v="8.06"/>
    <x v="3"/>
    <s v="VALIDATED"/>
    <n v="1"/>
    <s v="01.11.80.305.6100.0000"/>
    <n v="40.31"/>
    <s v="11"/>
    <s v="6100"/>
    <n v="27221.68"/>
    <n v="40.31"/>
    <s v="CREDITOR"/>
    <n v="0"/>
    <n v="0"/>
    <n v="0"/>
    <n v="0"/>
    <n v="40.31"/>
  </r>
  <r>
    <n v="61970882"/>
    <s v="N"/>
    <n v="21318551"/>
    <s v="3000016005560001"/>
    <s v="CIVIL"/>
    <d v="2023-06-23T00:00:00"/>
    <d v="2023-07-03T19:01:49"/>
    <m/>
    <d v="2023-07-03T00:00:00"/>
    <n v="1382"/>
    <n v="18618"/>
    <s v="61970882"/>
    <s v="61970882"/>
    <m/>
    <m/>
    <n v="22751244"/>
    <m/>
    <m/>
    <m/>
    <s v="SOLFIN"/>
    <s v="SOLFIN"/>
    <s v="CCMS"/>
    <n v="21318551"/>
    <n v="3049.13"/>
    <m/>
    <s v="N"/>
    <n v="36"/>
    <d v="2023-07-03T19:01:59"/>
    <s v="Y"/>
    <s v="Attendance upon client"/>
    <s v="Care Remuneration Hourly Rates"/>
    <s v="Profit Cost"/>
    <s v="MR"/>
    <s v="Y"/>
    <n v="13.43"/>
    <n v="2.69"/>
    <x v="3"/>
    <s v="VALIDATED"/>
    <n v="1"/>
    <s v="01.11.80.305.6100.0000"/>
    <n v="13.43"/>
    <s v="11"/>
    <s v="6100"/>
    <n v="27221.68"/>
    <n v="13.43"/>
    <s v="CREDITOR"/>
    <n v="0"/>
    <n v="0"/>
    <n v="0"/>
    <n v="0"/>
    <n v="13.43"/>
  </r>
  <r>
    <n v="61970882"/>
    <s v="N"/>
    <n v="21318551"/>
    <s v="3000016005560001"/>
    <s v="CIVIL"/>
    <d v="2023-06-23T00:00:00"/>
    <d v="2023-07-03T19:01:49"/>
    <m/>
    <d v="2023-07-03T00:00:00"/>
    <n v="1382"/>
    <n v="18618"/>
    <s v="61970882"/>
    <s v="61970882"/>
    <m/>
    <m/>
    <n v="22751244"/>
    <m/>
    <m/>
    <m/>
    <s v="SOLFIN"/>
    <s v="SOLFIN"/>
    <s v="CCMS"/>
    <n v="21318551"/>
    <n v="3049.13"/>
    <m/>
    <s v="N"/>
    <n v="9"/>
    <d v="2023-07-03T19:01:59"/>
    <s v="Y"/>
    <s v="Preparation - other"/>
    <s v="Care Remuneration Hourly Rates"/>
    <s v="Profit Cost"/>
    <s v="MR"/>
    <s v="Y"/>
    <n v="6.72"/>
    <n v="1.34"/>
    <x v="3"/>
    <s v="VALIDATED"/>
    <n v="1"/>
    <s v="01.11.80.305.6100.0000"/>
    <n v="6.72"/>
    <s v="11"/>
    <s v="6100"/>
    <n v="27221.68"/>
    <n v="6.72"/>
    <s v="CREDITOR"/>
    <n v="0"/>
    <n v="0"/>
    <n v="0"/>
    <n v="0"/>
    <n v="6.72"/>
  </r>
  <r>
    <n v="61970882"/>
    <s v="N"/>
    <n v="21318551"/>
    <s v="3000016005560001"/>
    <s v="CIVIL"/>
    <d v="2023-06-23T00:00:00"/>
    <d v="2023-07-03T19:01:49"/>
    <m/>
    <d v="2023-07-03T00:00:00"/>
    <n v="1382"/>
    <n v="18618"/>
    <s v="61970882"/>
    <s v="61970882"/>
    <m/>
    <m/>
    <n v="22751244"/>
    <m/>
    <m/>
    <m/>
    <s v="SOLFIN"/>
    <s v="SOLFIN"/>
    <s v="CCMS"/>
    <n v="21318551"/>
    <n v="3049.13"/>
    <m/>
    <s v="N"/>
    <n v="31"/>
    <d v="2023-07-03T19:01:59"/>
    <s v="Y"/>
    <s v="Attendance upon client"/>
    <s v="Care Remuneration Hourly Rates"/>
    <s v="Profit Cost"/>
    <s v="MR"/>
    <s v="Y"/>
    <n v="26.86"/>
    <n v="5.37"/>
    <x v="3"/>
    <s v="VALIDATED"/>
    <n v="1"/>
    <s v="01.11.80.305.6100.0000"/>
    <n v="26.86"/>
    <s v="11"/>
    <s v="6100"/>
    <n v="27221.68"/>
    <n v="26.86"/>
    <s v="CREDITOR"/>
    <n v="0"/>
    <n v="0"/>
    <n v="0"/>
    <n v="0"/>
    <n v="26.86"/>
  </r>
  <r>
    <n v="60417029"/>
    <s v="N"/>
    <n v="21349877"/>
    <s v="3000014703840003"/>
    <s v="CIVIL"/>
    <d v="2023-06-28T00:00:00"/>
    <d v="2023-07-10T19:01:40"/>
    <m/>
    <d v="2023-07-10T00:00:00"/>
    <n v="1382"/>
    <n v="18618"/>
    <s v="60417029"/>
    <s v="60417029"/>
    <m/>
    <m/>
    <n v="22777852"/>
    <m/>
    <m/>
    <m/>
    <s v="SOLFIN"/>
    <s v="SOLFIN"/>
    <s v="CCMS"/>
    <n v="21349877"/>
    <n v="11702.19"/>
    <m/>
    <s v="N"/>
    <n v="23"/>
    <d v="2023-07-10T19:02:01"/>
    <s v="Y"/>
    <s v="Hearing Unit 2.31 - 5.00 Hours"/>
    <s v="Public Law Children"/>
    <s v="Advocacy"/>
    <s v="MR"/>
    <s v="Y"/>
    <n v="476.92"/>
    <n v="95.38"/>
    <x v="2"/>
    <s v="VALIDATED"/>
    <n v="1"/>
    <s v="01.11.80.308.6100.0000"/>
    <n v="476.92"/>
    <s v="11"/>
    <s v="6100"/>
    <n v="27221.68"/>
    <n v="476.92"/>
    <s v="CREDITOR"/>
    <n v="0"/>
    <n v="0"/>
    <n v="0"/>
    <n v="0"/>
    <n v="476.92"/>
  </r>
  <r>
    <n v="60417029"/>
    <s v="N"/>
    <n v="21349877"/>
    <s v="3000014703840003"/>
    <s v="CIVIL"/>
    <d v="2023-06-28T00:00:00"/>
    <d v="2023-07-10T19:01:40"/>
    <m/>
    <d v="2023-07-10T00:00:00"/>
    <n v="1382"/>
    <n v="18618"/>
    <s v="60417029"/>
    <s v="60417029"/>
    <m/>
    <m/>
    <n v="22777852"/>
    <m/>
    <m/>
    <m/>
    <s v="SOLFIN"/>
    <s v="SOLFIN"/>
    <s v="CCMS"/>
    <n v="21349877"/>
    <n v="11702.19"/>
    <m/>
    <s v="N"/>
    <n v="26"/>
    <d v="2023-07-10T19:02:01"/>
    <s v="Y"/>
    <s v="Hearing Unit 2.31 - 5.00 Hours"/>
    <s v="Public Law Children"/>
    <s v="Advocacy"/>
    <s v="MR"/>
    <s v="Y"/>
    <n v="476.92"/>
    <n v="95.38"/>
    <x v="2"/>
    <s v="VALIDATED"/>
    <n v="1"/>
    <s v="01.11.80.308.6100.0000"/>
    <n v="476.92"/>
    <s v="11"/>
    <s v="6100"/>
    <n v="27221.68"/>
    <n v="476.92"/>
    <s v="CREDITOR"/>
    <n v="0"/>
    <n v="0"/>
    <n v="0"/>
    <n v="0"/>
    <n v="476.92"/>
  </r>
  <r>
    <n v="61852376"/>
    <s v="N"/>
    <n v="21360811"/>
    <s v="3000015917590001"/>
    <s v="CIVIL"/>
    <d v="2023-06-30T00:00:00"/>
    <d v="2023-07-11T19:00:25"/>
    <m/>
    <d v="2023-07-11T00:00:00"/>
    <n v="1382"/>
    <n v="18618"/>
    <s v="61852376"/>
    <s v="61852376"/>
    <m/>
    <m/>
    <n v="22798804"/>
    <m/>
    <m/>
    <m/>
    <s v="SOLFIN"/>
    <s v="SOLFIN"/>
    <s v="CCMS"/>
    <n v="21360811"/>
    <n v="6625.66"/>
    <m/>
    <s v="N"/>
    <n v="7"/>
    <d v="2023-07-11T19:00:35"/>
    <s v="Y"/>
    <s v="Hearing Unit 2.31 - 5.00 Hours"/>
    <s v="Public Law Children"/>
    <s v="Advocacy"/>
    <s v="MR"/>
    <s v="Y"/>
    <n v="476.92"/>
    <n v="95.38"/>
    <x v="7"/>
    <s v="VALIDATED"/>
    <n v="1"/>
    <s v="01.11.80.308.6100.0000"/>
    <n v="476.92"/>
    <s v="11"/>
    <s v="6100"/>
    <n v="27221.68"/>
    <n v="476.92"/>
    <s v="CREDITOR"/>
    <n v="0"/>
    <n v="0"/>
    <n v="0"/>
    <n v="0"/>
    <n v="476.92"/>
  </r>
  <r>
    <n v="60417029"/>
    <s v="N"/>
    <n v="21349877"/>
    <s v="3000014703840003"/>
    <s v="CIVIL"/>
    <d v="2023-06-28T00:00:00"/>
    <d v="2023-07-10T19:01:40"/>
    <m/>
    <d v="2023-07-10T00:00:00"/>
    <n v="1382"/>
    <n v="18618"/>
    <s v="60417029"/>
    <s v="60417029"/>
    <m/>
    <m/>
    <n v="22777852"/>
    <m/>
    <m/>
    <m/>
    <s v="SOLFIN"/>
    <s v="SOLFIN"/>
    <s v="CCMS"/>
    <n v="21349877"/>
    <n v="11702.19"/>
    <m/>
    <s v="N"/>
    <n v="8"/>
    <d v="2023-07-10T19:02:01"/>
    <s v="Y"/>
    <s v="Solicitor Travel Expenses"/>
    <s v="Public Law Children"/>
    <s v="Non Expert Disbursement"/>
    <s v="MR"/>
    <s v="Y"/>
    <n v="6"/>
    <n v="0"/>
    <x v="2"/>
    <s v="VALIDATED"/>
    <n v="1"/>
    <s v="01.11.80.308.6300.0000"/>
    <n v="6"/>
    <s v="11"/>
    <s v="6300"/>
    <n v="27221.68"/>
    <n v="6"/>
    <s v="CREDITOR"/>
    <n v="0"/>
    <n v="0"/>
    <n v="0"/>
    <n v="0"/>
    <n v="6"/>
  </r>
  <r>
    <n v="61768583"/>
    <s v="N"/>
    <n v="21338467"/>
    <s v="3000015846360001"/>
    <s v="CIVIL"/>
    <d v="2023-06-26T00:00:00"/>
    <d v="2023-07-06T19:21:01"/>
    <m/>
    <d v="2023-07-06T00:00:00"/>
    <n v="1382"/>
    <n v="18618"/>
    <s v="61768583"/>
    <s v="61768583"/>
    <m/>
    <m/>
    <n v="22762802"/>
    <m/>
    <m/>
    <m/>
    <s v="SOLFIN"/>
    <s v="SOLFIN"/>
    <s v="CCMS"/>
    <n v="21338467"/>
    <n v="6476.74"/>
    <m/>
    <s v="N"/>
    <n v="9"/>
    <d v="2023-07-06T19:21:26"/>
    <s v="Y"/>
    <s v="Advocates Meeting"/>
    <s v="Public Law Children"/>
    <s v="Advocacy"/>
    <s v="KG"/>
    <s v="Y"/>
    <n v="140.99"/>
    <n v="28.2"/>
    <x v="4"/>
    <s v="VALIDATED"/>
    <n v="1"/>
    <s v="01.11.80.308.6100.0000"/>
    <n v="140.99"/>
    <s v="11"/>
    <s v="6100"/>
    <n v="27221.68"/>
    <n v="140.99"/>
    <s v="CREDITOR"/>
    <n v="0"/>
    <n v="0"/>
    <n v="0"/>
    <n v="0"/>
    <n v="140.99"/>
  </r>
  <r>
    <n v="61974674"/>
    <s v="N"/>
    <n v="21356686"/>
    <s v="3000016021300003RC"/>
    <s v="CIVIL"/>
    <d v="2023-06-29T00:00:00"/>
    <d v="2023-07-10T19:47:44"/>
    <m/>
    <d v="2023-07-10T00:00:00"/>
    <n v="1385"/>
    <n v="14320"/>
    <s v="61974674"/>
    <s v="61974674"/>
    <m/>
    <m/>
    <m/>
    <m/>
    <m/>
    <m/>
    <s v="SOLRECOUP"/>
    <s v="SOLRECOUP"/>
    <s v="POARECOUP"/>
    <n v="21356686"/>
    <n v="-1307.54"/>
    <m/>
    <s v="Y"/>
    <n v="2"/>
    <d v="2023-07-10T19:47:46"/>
    <s v="N"/>
    <m/>
    <m/>
    <s v="Profit Cost"/>
    <m/>
    <s v="N"/>
    <n v="0"/>
    <n v="-217.92"/>
    <x v="2"/>
    <s v="VALIDATED"/>
    <n v="1"/>
    <s v="01.11.80.308.2013.0000"/>
    <n v="-217.92"/>
    <s v="11"/>
    <s v="2013"/>
    <n v="14241.66"/>
    <n v="-217.92"/>
    <s v="CREDITOR"/>
    <n v="0"/>
    <n v="0"/>
    <n v="-217.92"/>
    <n v="-54.48"/>
    <n v="0"/>
  </r>
  <r>
    <n v="10402861"/>
    <s v="N"/>
    <n v="21398766"/>
    <s v="3000006259200026RC"/>
    <s v="CIVIL"/>
    <d v="2023-06-29T00:00:00"/>
    <d v="2023-07-19T19:43:58"/>
    <m/>
    <d v="2023-07-19T00:00:00"/>
    <n v="1385"/>
    <n v="14320"/>
    <s v="10402861"/>
    <s v="10402861"/>
    <m/>
    <m/>
    <m/>
    <m/>
    <m/>
    <m/>
    <s v="SOLRECOUP"/>
    <s v="SOLRECOUP"/>
    <s v="POARECOUP"/>
    <n v="21398766"/>
    <n v="-108.9"/>
    <m/>
    <s v="Y"/>
    <n v="2"/>
    <d v="2023-07-19T19:44:00"/>
    <s v="N"/>
    <m/>
    <m/>
    <s v="Expert Disbursement"/>
    <m/>
    <s v="N"/>
    <n v="0"/>
    <n v="-18.15"/>
    <x v="5"/>
    <s v="VALIDATED"/>
    <n v="1"/>
    <s v="01.11.80.308.2013.0000"/>
    <n v="-18.15"/>
    <s v="11"/>
    <s v="2013"/>
    <n v="14241.66"/>
    <n v="-18.15"/>
    <s v="CREDITOR"/>
    <n v="0"/>
    <n v="0"/>
    <n v="-18.15"/>
    <n v="0"/>
    <n v="0"/>
  </r>
  <r>
    <n v="10402861"/>
    <s v="N"/>
    <n v="21398767"/>
    <s v="3000006259200027RC"/>
    <s v="CIVIL"/>
    <d v="2023-06-29T00:00:00"/>
    <d v="2023-07-19T19:43:58"/>
    <m/>
    <d v="2023-07-19T00:00:00"/>
    <n v="1385"/>
    <n v="14320"/>
    <s v="10402861"/>
    <s v="10402861"/>
    <m/>
    <m/>
    <m/>
    <m/>
    <m/>
    <m/>
    <s v="SOLRECOUP"/>
    <s v="SOLRECOUP"/>
    <s v="POARECOUP"/>
    <n v="21398767"/>
    <n v="-118.8"/>
    <m/>
    <s v="Y"/>
    <n v="1"/>
    <d v="2023-07-19T19:44:00"/>
    <s v="N"/>
    <m/>
    <m/>
    <s v="Expert Disbursement"/>
    <m/>
    <s v="N"/>
    <n v="-99"/>
    <n v="0"/>
    <x v="5"/>
    <s v="VALIDATED"/>
    <n v="1"/>
    <s v="01.11.80.308.2013.0000"/>
    <n v="-99"/>
    <s v="11"/>
    <s v="2013"/>
    <n v="14241.66"/>
    <n v="-99"/>
    <s v="CREDITOR"/>
    <n v="0"/>
    <n v="0"/>
    <n v="-99"/>
    <n v="0"/>
    <n v="0"/>
  </r>
  <r>
    <n v="10402861"/>
    <s v="N"/>
    <n v="21398767"/>
    <s v="3000006259200027RC"/>
    <s v="CIVIL"/>
    <d v="2023-06-29T00:00:00"/>
    <d v="2023-07-19T19:43:58"/>
    <m/>
    <d v="2023-07-19T00:00:00"/>
    <n v="1385"/>
    <n v="14320"/>
    <s v="10402861"/>
    <s v="10402861"/>
    <m/>
    <m/>
    <m/>
    <m/>
    <m/>
    <m/>
    <s v="SOLRECOUP"/>
    <s v="SOLRECOUP"/>
    <s v="POARECOUP"/>
    <n v="21398767"/>
    <n v="-118.8"/>
    <m/>
    <s v="Y"/>
    <n v="2"/>
    <d v="2023-07-19T19:44:00"/>
    <s v="N"/>
    <m/>
    <m/>
    <s v="Expert Disbursement"/>
    <m/>
    <s v="N"/>
    <n v="0"/>
    <n v="-19.8"/>
    <x v="5"/>
    <s v="VALIDATED"/>
    <n v="1"/>
    <s v="01.11.80.308.2013.0000"/>
    <n v="-19.8"/>
    <s v="11"/>
    <s v="2013"/>
    <n v="14241.66"/>
    <n v="-19.8"/>
    <s v="CREDITOR"/>
    <n v="0"/>
    <n v="0"/>
    <n v="-19.8"/>
    <n v="0"/>
    <n v="0"/>
  </r>
  <r>
    <n v="10402861"/>
    <s v="N"/>
    <n v="21398875"/>
    <s v="3000006259200029RC"/>
    <s v="CIVIL"/>
    <d v="2023-06-29T00:00:00"/>
    <d v="2023-07-19T19:43:58"/>
    <m/>
    <d v="2023-07-19T00:00:00"/>
    <n v="1385"/>
    <n v="14320"/>
    <s v="10402861"/>
    <s v="10402861"/>
    <m/>
    <m/>
    <m/>
    <m/>
    <m/>
    <m/>
    <s v="SOLRECOUP"/>
    <s v="SOLRECOUP"/>
    <s v="POARECOUP"/>
    <n v="21398875"/>
    <n v="-87.5"/>
    <m/>
    <s v="Y"/>
    <n v="2"/>
    <d v="2023-07-19T19:44:00"/>
    <s v="N"/>
    <m/>
    <m/>
    <s v="Expert Disbursement"/>
    <m/>
    <s v="N"/>
    <n v="0"/>
    <n v="0"/>
    <x v="5"/>
    <s v="VALIDATED"/>
    <n v="1"/>
    <s v="01.11.80.000.0000.0000"/>
    <n v="0"/>
    <s v="11"/>
    <s v="0000"/>
    <n v="14241.66"/>
    <n v="0"/>
    <s v="CREDITOR"/>
    <n v="0"/>
    <n v="0"/>
    <n v="0"/>
    <n v="0"/>
    <n v="0"/>
  </r>
  <r>
    <n v="10402861"/>
    <s v="N"/>
    <n v="21398875"/>
    <s v="3000006259200029RC"/>
    <s v="CIVIL"/>
    <d v="2023-06-29T00:00:00"/>
    <d v="2023-07-19T19:43:58"/>
    <m/>
    <d v="2023-07-19T00:00:00"/>
    <n v="1385"/>
    <n v="14320"/>
    <s v="10402861"/>
    <s v="10402861"/>
    <m/>
    <m/>
    <m/>
    <m/>
    <m/>
    <m/>
    <s v="SOLRECOUP"/>
    <s v="SOLRECOUP"/>
    <s v="POARECOUP"/>
    <n v="21398875"/>
    <n v="-87.5"/>
    <m/>
    <s v="Y"/>
    <n v="1"/>
    <d v="2023-07-19T19:44:00"/>
    <s v="N"/>
    <m/>
    <m/>
    <s v="Expert Disbursement"/>
    <m/>
    <s v="N"/>
    <n v="-87.5"/>
    <n v="0"/>
    <x v="5"/>
    <s v="VALIDATED"/>
    <n v="1"/>
    <s v="01.11.80.308.2013.0000"/>
    <n v="-87.5"/>
    <s v="11"/>
    <s v="2013"/>
    <n v="14241.66"/>
    <n v="-87.5"/>
    <s v="CREDITOR"/>
    <n v="0"/>
    <n v="0"/>
    <n v="-87.5"/>
    <n v="0"/>
    <n v="0"/>
  </r>
  <r>
    <n v="10402861"/>
    <s v="N"/>
    <n v="21398942"/>
    <s v="3000006259200031RC"/>
    <s v="CIVIL"/>
    <d v="2023-06-29T00:00:00"/>
    <d v="2023-07-19T19:43:58"/>
    <m/>
    <d v="2023-07-19T00:00:00"/>
    <n v="1385"/>
    <n v="14320"/>
    <s v="10402861"/>
    <s v="10402861"/>
    <m/>
    <m/>
    <m/>
    <m/>
    <m/>
    <m/>
    <s v="SOLRECOUP"/>
    <s v="SOLRECOUP"/>
    <s v="POARECOUP"/>
    <n v="21398942"/>
    <n v="-167"/>
    <m/>
    <s v="Y"/>
    <n v="2"/>
    <d v="2023-07-19T19:44:00"/>
    <s v="N"/>
    <m/>
    <m/>
    <s v="Non Expert Disbursement"/>
    <m/>
    <s v="N"/>
    <n v="0"/>
    <n v="0"/>
    <x v="5"/>
    <s v="VALIDATED"/>
    <n v="1"/>
    <s v="01.11.80.000.0000.0000"/>
    <n v="0"/>
    <s v="11"/>
    <s v="0000"/>
    <n v="14241.66"/>
    <n v="0"/>
    <s v="CREDITOR"/>
    <n v="0"/>
    <n v="0"/>
    <n v="0"/>
    <n v="0"/>
    <n v="0"/>
  </r>
  <r>
    <n v="10402861"/>
    <s v="N"/>
    <n v="21398942"/>
    <s v="3000006259200031RC"/>
    <s v="CIVIL"/>
    <d v="2023-06-29T00:00:00"/>
    <d v="2023-07-19T19:43:58"/>
    <m/>
    <d v="2023-07-19T00:00:00"/>
    <n v="1385"/>
    <n v="14320"/>
    <s v="10402861"/>
    <s v="10402861"/>
    <m/>
    <m/>
    <m/>
    <m/>
    <m/>
    <m/>
    <s v="SOLRECOUP"/>
    <s v="SOLRECOUP"/>
    <s v="POARECOUP"/>
    <n v="21398942"/>
    <n v="-167"/>
    <m/>
    <s v="Y"/>
    <n v="1"/>
    <d v="2023-07-19T19:44:00"/>
    <s v="N"/>
    <m/>
    <m/>
    <s v="Non Expert Disbursement"/>
    <m/>
    <s v="N"/>
    <n v="-167"/>
    <n v="0"/>
    <x v="5"/>
    <s v="VALIDATED"/>
    <n v="1"/>
    <s v="01.11.80.308.2013.0000"/>
    <n v="-167"/>
    <s v="11"/>
    <s v="2013"/>
    <n v="14241.66"/>
    <n v="-167"/>
    <s v="CREDITOR"/>
    <n v="0"/>
    <n v="0"/>
    <n v="-167"/>
    <n v="0"/>
    <n v="0"/>
  </r>
  <r>
    <n v="10402861"/>
    <s v="N"/>
    <n v="21398415"/>
    <s v="3000006259200002RC"/>
    <s v="CIVIL"/>
    <d v="2023-06-29T00:00:00"/>
    <d v="2023-07-19T19:43:58"/>
    <m/>
    <d v="2023-07-19T00:00:00"/>
    <n v="1385"/>
    <n v="14320"/>
    <s v="10402861"/>
    <s v="10402861"/>
    <m/>
    <m/>
    <m/>
    <m/>
    <m/>
    <m/>
    <s v="SOLRECOUP"/>
    <s v="SOLRECOUP"/>
    <s v="POARECOUP"/>
    <n v="21398415"/>
    <n v="-1409.17"/>
    <m/>
    <s v="Y"/>
    <n v="1"/>
    <d v="2023-07-19T19:43:58"/>
    <s v="N"/>
    <m/>
    <m/>
    <s v="Profit Cost"/>
    <m/>
    <s v="N"/>
    <n v="-1174.31"/>
    <n v="0"/>
    <x v="5"/>
    <s v="VALIDATED"/>
    <n v="1"/>
    <s v="01.11.80.308.2013.0000"/>
    <n v="-1174.31"/>
    <s v="11"/>
    <s v="2013"/>
    <n v="14241.66"/>
    <n v="-1174.31"/>
    <s v="CREDITOR"/>
    <n v="0"/>
    <n v="0"/>
    <n v="-1174.31"/>
    <n v="-293.5775"/>
    <n v="0"/>
  </r>
  <r>
    <n v="10402861"/>
    <s v="N"/>
    <n v="21398415"/>
    <s v="3000006259200002RC"/>
    <s v="CIVIL"/>
    <d v="2023-06-29T00:00:00"/>
    <d v="2023-07-19T19:43:58"/>
    <m/>
    <d v="2023-07-19T00:00:00"/>
    <n v="1385"/>
    <n v="14320"/>
    <s v="10402861"/>
    <s v="10402861"/>
    <m/>
    <m/>
    <m/>
    <m/>
    <m/>
    <m/>
    <s v="SOLRECOUP"/>
    <s v="SOLRECOUP"/>
    <s v="POARECOUP"/>
    <n v="21398415"/>
    <n v="-1409.17"/>
    <m/>
    <s v="Y"/>
    <n v="2"/>
    <d v="2023-07-19T19:43:58"/>
    <s v="N"/>
    <m/>
    <m/>
    <s v="Profit Cost"/>
    <m/>
    <s v="N"/>
    <n v="0"/>
    <n v="-234.86"/>
    <x v="5"/>
    <s v="VALIDATED"/>
    <n v="1"/>
    <s v="01.11.80.308.2013.0000"/>
    <n v="-234.86"/>
    <s v="11"/>
    <s v="2013"/>
    <n v="14241.66"/>
    <n v="-234.86"/>
    <s v="CREDITOR"/>
    <n v="0"/>
    <n v="0"/>
    <n v="-234.86"/>
    <n v="-58.715"/>
    <n v="0"/>
  </r>
  <r>
    <n v="10402861"/>
    <s v="N"/>
    <n v="21398417"/>
    <s v="3000006259200004RC"/>
    <s v="CIVIL"/>
    <d v="2023-06-29T00:00:00"/>
    <d v="2023-07-19T19:43:58"/>
    <m/>
    <d v="2023-07-19T00:00:00"/>
    <n v="1385"/>
    <n v="14320"/>
    <s v="10402861"/>
    <s v="10402861"/>
    <m/>
    <m/>
    <m/>
    <m/>
    <m/>
    <m/>
    <s v="SOLRECOUP"/>
    <s v="SOLRECOUP"/>
    <s v="POARECOUP"/>
    <n v="21398417"/>
    <n v="-170.02"/>
    <m/>
    <s v="Y"/>
    <n v="1"/>
    <d v="2023-07-19T19:43:58"/>
    <s v="N"/>
    <m/>
    <m/>
    <s v="Expert Disbursement"/>
    <m/>
    <s v="N"/>
    <n v="-141.68"/>
    <n v="0"/>
    <x v="5"/>
    <s v="VALIDATED"/>
    <n v="1"/>
    <s v="01.11.80.308.2013.0000"/>
    <n v="-141.68"/>
    <s v="11"/>
    <s v="2013"/>
    <n v="14241.66"/>
    <n v="-141.68"/>
    <s v="CREDITOR"/>
    <n v="0"/>
    <n v="0"/>
    <n v="-141.68"/>
    <n v="0"/>
    <n v="0"/>
  </r>
  <r>
    <n v="10402861"/>
    <s v="N"/>
    <n v="21398417"/>
    <s v="3000006259200004RC"/>
    <s v="CIVIL"/>
    <d v="2023-06-29T00:00:00"/>
    <d v="2023-07-19T19:43:58"/>
    <m/>
    <d v="2023-07-19T00:00:00"/>
    <n v="1385"/>
    <n v="14320"/>
    <s v="10402861"/>
    <s v="10402861"/>
    <m/>
    <m/>
    <m/>
    <m/>
    <m/>
    <m/>
    <s v="SOLRECOUP"/>
    <s v="SOLRECOUP"/>
    <s v="POARECOUP"/>
    <n v="21398417"/>
    <n v="-170.02"/>
    <m/>
    <s v="Y"/>
    <n v="2"/>
    <d v="2023-07-19T19:43:58"/>
    <s v="N"/>
    <m/>
    <m/>
    <s v="Expert Disbursement"/>
    <m/>
    <s v="N"/>
    <n v="0"/>
    <n v="-28.34"/>
    <x v="5"/>
    <s v="VALIDATED"/>
    <n v="1"/>
    <s v="01.11.80.308.2013.0000"/>
    <n v="-28.34"/>
    <s v="11"/>
    <s v="2013"/>
    <n v="14241.66"/>
    <n v="-28.34"/>
    <s v="CREDITOR"/>
    <n v="0"/>
    <n v="0"/>
    <n v="-28.34"/>
    <n v="0"/>
    <n v="0"/>
  </r>
  <r>
    <n v="10402861"/>
    <s v="N"/>
    <n v="21398418"/>
    <s v="3000006259200005RC"/>
    <s v="CIVIL"/>
    <d v="2023-06-29T00:00:00"/>
    <d v="2023-07-19T19:43:58"/>
    <m/>
    <d v="2023-07-19T00:00:00"/>
    <n v="1385"/>
    <n v="14320"/>
    <s v="10402861"/>
    <s v="10402861"/>
    <m/>
    <m/>
    <m/>
    <m/>
    <m/>
    <m/>
    <s v="SOLRECOUP"/>
    <s v="SOLRECOUP"/>
    <s v="POARECOUP"/>
    <n v="21398418"/>
    <n v="-155"/>
    <m/>
    <s v="Y"/>
    <n v="2"/>
    <d v="2023-07-19T19:43:58"/>
    <s v="N"/>
    <m/>
    <m/>
    <s v="Non Expert Disbursement"/>
    <m/>
    <s v="N"/>
    <n v="0"/>
    <n v="0"/>
    <x v="5"/>
    <s v="VALIDATED"/>
    <n v="1"/>
    <s v="01.11.80.000.0000.0000"/>
    <n v="0"/>
    <s v="11"/>
    <s v="0000"/>
    <n v="14241.66"/>
    <n v="0"/>
    <s v="CREDITOR"/>
    <n v="0"/>
    <n v="0"/>
    <n v="0"/>
    <n v="0"/>
    <n v="0"/>
  </r>
  <r>
    <n v="10402861"/>
    <s v="N"/>
    <n v="21398418"/>
    <s v="3000006259200005RC"/>
    <s v="CIVIL"/>
    <d v="2023-06-29T00:00:00"/>
    <d v="2023-07-19T19:43:58"/>
    <m/>
    <d v="2023-07-19T00:00:00"/>
    <n v="1385"/>
    <n v="14320"/>
    <s v="10402861"/>
    <s v="10402861"/>
    <m/>
    <m/>
    <m/>
    <m/>
    <m/>
    <m/>
    <s v="SOLRECOUP"/>
    <s v="SOLRECOUP"/>
    <s v="POARECOUP"/>
    <n v="21398418"/>
    <n v="-155"/>
    <m/>
    <s v="Y"/>
    <n v="1"/>
    <d v="2023-07-19T19:43:58"/>
    <s v="N"/>
    <m/>
    <m/>
    <s v="Non Expert Disbursement"/>
    <m/>
    <s v="N"/>
    <n v="-155"/>
    <n v="0"/>
    <x v="5"/>
    <s v="VALIDATED"/>
    <n v="1"/>
    <s v="01.11.80.308.2013.0000"/>
    <n v="-155"/>
    <s v="11"/>
    <s v="2013"/>
    <n v="14241.66"/>
    <n v="-155"/>
    <s v="CREDITOR"/>
    <n v="0"/>
    <n v="0"/>
    <n v="-155"/>
    <n v="0"/>
    <n v="0"/>
  </r>
  <r>
    <n v="10402861"/>
    <s v="N"/>
    <n v="21398419"/>
    <s v="3000006259200006RC"/>
    <s v="CIVIL"/>
    <d v="2023-06-29T00:00:00"/>
    <d v="2023-07-19T19:43:58"/>
    <m/>
    <d v="2023-07-19T00:00:00"/>
    <n v="1385"/>
    <n v="14320"/>
    <s v="10402861"/>
    <s v="10402861"/>
    <m/>
    <m/>
    <m/>
    <m/>
    <m/>
    <m/>
    <s v="SOLRECOUP"/>
    <s v="SOLRECOUP"/>
    <s v="POARECOUP"/>
    <n v="21398419"/>
    <n v="-155"/>
    <m/>
    <s v="Y"/>
    <n v="2"/>
    <d v="2023-07-19T19:43:58"/>
    <s v="N"/>
    <m/>
    <m/>
    <s v="Non Expert Disbursement"/>
    <m/>
    <s v="N"/>
    <n v="0"/>
    <n v="0"/>
    <x v="5"/>
    <s v="VALIDATED"/>
    <n v="1"/>
    <s v="01.11.80.000.0000.0000"/>
    <n v="0"/>
    <s v="11"/>
    <s v="0000"/>
    <n v="14241.66"/>
    <n v="0"/>
    <s v="CREDITOR"/>
    <n v="0"/>
    <n v="0"/>
    <n v="0"/>
    <n v="0"/>
    <n v="0"/>
  </r>
  <r>
    <n v="10402861"/>
    <s v="N"/>
    <n v="21398419"/>
    <s v="3000006259200006RC"/>
    <s v="CIVIL"/>
    <d v="2023-06-29T00:00:00"/>
    <d v="2023-07-19T19:43:58"/>
    <m/>
    <d v="2023-07-19T00:00:00"/>
    <n v="1385"/>
    <n v="14320"/>
    <s v="10402861"/>
    <s v="10402861"/>
    <m/>
    <m/>
    <m/>
    <m/>
    <m/>
    <m/>
    <s v="SOLRECOUP"/>
    <s v="SOLRECOUP"/>
    <s v="POARECOUP"/>
    <n v="21398419"/>
    <n v="-155"/>
    <m/>
    <s v="Y"/>
    <n v="1"/>
    <d v="2023-07-19T19:43:58"/>
    <s v="N"/>
    <m/>
    <m/>
    <s v="Non Expert Disbursement"/>
    <m/>
    <s v="N"/>
    <n v="-155"/>
    <n v="0"/>
    <x v="5"/>
    <s v="VALIDATED"/>
    <n v="1"/>
    <s v="01.11.80.308.2013.0000"/>
    <n v="-155"/>
    <s v="11"/>
    <s v="2013"/>
    <n v="14241.66"/>
    <n v="-155"/>
    <s v="CREDITOR"/>
    <n v="0"/>
    <n v="0"/>
    <n v="-155"/>
    <n v="0"/>
    <n v="0"/>
  </r>
  <r>
    <n v="10402861"/>
    <s v="N"/>
    <n v="21398426"/>
    <s v="3000006259200007RC"/>
    <s v="CIVIL"/>
    <d v="2023-06-29T00:00:00"/>
    <d v="2023-07-19T19:43:58"/>
    <m/>
    <d v="2023-07-19T00:00:00"/>
    <n v="1385"/>
    <n v="14320"/>
    <s v="10402861"/>
    <s v="10402861"/>
    <m/>
    <m/>
    <m/>
    <m/>
    <m/>
    <m/>
    <s v="SOLRECOUP"/>
    <s v="SOLRECOUP"/>
    <s v="POARECOUP"/>
    <n v="21398426"/>
    <n v="-392.17"/>
    <m/>
    <s v="Y"/>
    <n v="2"/>
    <d v="2023-07-19T19:43:58"/>
    <s v="N"/>
    <m/>
    <m/>
    <s v="Expert Disbursement"/>
    <m/>
    <s v="N"/>
    <n v="0"/>
    <n v="0"/>
    <x v="5"/>
    <s v="VALIDATED"/>
    <n v="1"/>
    <s v="01.11.80.000.0000.0000"/>
    <n v="0"/>
    <s v="11"/>
    <s v="0000"/>
    <n v="14241.66"/>
    <n v="0"/>
    <s v="CREDITOR"/>
    <n v="0"/>
    <n v="0"/>
    <n v="0"/>
    <n v="0"/>
    <n v="0"/>
  </r>
  <r>
    <n v="10402861"/>
    <s v="N"/>
    <n v="21398426"/>
    <s v="3000006259200007RC"/>
    <s v="CIVIL"/>
    <d v="2023-06-29T00:00:00"/>
    <d v="2023-07-19T19:43:58"/>
    <m/>
    <d v="2023-07-19T00:00:00"/>
    <n v="1385"/>
    <n v="14320"/>
    <s v="10402861"/>
    <s v="10402861"/>
    <m/>
    <m/>
    <m/>
    <m/>
    <m/>
    <m/>
    <s v="SOLRECOUP"/>
    <s v="SOLRECOUP"/>
    <s v="POARECOUP"/>
    <n v="21398426"/>
    <n v="-392.17"/>
    <m/>
    <s v="Y"/>
    <n v="1"/>
    <d v="2023-07-19T19:43:58"/>
    <s v="N"/>
    <m/>
    <m/>
    <s v="Expert Disbursement"/>
    <m/>
    <s v="N"/>
    <n v="-392.17"/>
    <n v="0"/>
    <x v="5"/>
    <s v="VALIDATED"/>
    <n v="1"/>
    <s v="01.11.80.308.2013.0000"/>
    <n v="-392.17"/>
    <s v="11"/>
    <s v="2013"/>
    <n v="14241.66"/>
    <n v="-392.17"/>
    <s v="CREDITOR"/>
    <n v="0"/>
    <n v="0"/>
    <n v="-392.17"/>
    <n v="0"/>
    <n v="0"/>
  </r>
  <r>
    <n v="10402861"/>
    <s v="N"/>
    <n v="21398448"/>
    <s v="3000006259200009RC"/>
    <s v="CIVIL"/>
    <d v="2023-06-29T00:00:00"/>
    <d v="2023-07-19T19:43:58"/>
    <m/>
    <d v="2023-07-19T00:00:00"/>
    <n v="1385"/>
    <n v="14320"/>
    <s v="10402861"/>
    <s v="10402861"/>
    <m/>
    <m/>
    <m/>
    <m/>
    <m/>
    <m/>
    <s v="SOLRECOUP"/>
    <s v="SOLRECOUP"/>
    <s v="POARECOUP"/>
    <n v="21398448"/>
    <n v="-401.1"/>
    <m/>
    <s v="Y"/>
    <n v="1"/>
    <d v="2023-07-19T19:43:58"/>
    <s v="N"/>
    <m/>
    <m/>
    <s v="Expert Disbursement"/>
    <m/>
    <s v="N"/>
    <n v="-401.1"/>
    <n v="0"/>
    <x v="5"/>
    <s v="VALIDATED"/>
    <n v="1"/>
    <s v="01.11.80.308.2013.0000"/>
    <n v="-401.1"/>
    <s v="11"/>
    <s v="2013"/>
    <n v="14241.66"/>
    <n v="-401.1"/>
    <s v="CREDITOR"/>
    <n v="0"/>
    <n v="0"/>
    <n v="-401.1"/>
    <n v="0"/>
    <n v="0"/>
  </r>
  <r>
    <n v="10402861"/>
    <s v="N"/>
    <n v="21398448"/>
    <s v="3000006259200009RC"/>
    <s v="CIVIL"/>
    <d v="2023-06-29T00:00:00"/>
    <d v="2023-07-19T19:43:58"/>
    <m/>
    <d v="2023-07-19T00:00:00"/>
    <n v="1385"/>
    <n v="14320"/>
    <s v="10402861"/>
    <s v="10402861"/>
    <m/>
    <m/>
    <m/>
    <m/>
    <m/>
    <m/>
    <s v="SOLRECOUP"/>
    <s v="SOLRECOUP"/>
    <s v="POARECOUP"/>
    <n v="21398448"/>
    <n v="-401.1"/>
    <m/>
    <s v="Y"/>
    <n v="2"/>
    <d v="2023-07-19T19:43:58"/>
    <s v="N"/>
    <m/>
    <m/>
    <s v="Expert Disbursement"/>
    <m/>
    <s v="N"/>
    <n v="0"/>
    <n v="0"/>
    <x v="5"/>
    <s v="VALIDATED"/>
    <n v="1"/>
    <s v="01.11.80.000.0000.0000"/>
    <n v="0"/>
    <s v="11"/>
    <s v="0000"/>
    <n v="14241.66"/>
    <n v="0"/>
    <s v="CREDITOR"/>
    <n v="0"/>
    <n v="0"/>
    <n v="0"/>
    <n v="0"/>
    <n v="0"/>
  </r>
  <r>
    <n v="10402861"/>
    <s v="N"/>
    <n v="21398452"/>
    <s v="3000006259200010RC"/>
    <s v="CIVIL"/>
    <d v="2023-06-29T00:00:00"/>
    <d v="2023-07-19T19:43:58"/>
    <m/>
    <d v="2023-07-19T00:00:00"/>
    <n v="1385"/>
    <n v="14320"/>
    <s v="10402861"/>
    <s v="10402861"/>
    <m/>
    <m/>
    <m/>
    <m/>
    <m/>
    <m/>
    <s v="SOLRECOUP"/>
    <s v="SOLRECOUP"/>
    <s v="POARECOUP"/>
    <n v="21398452"/>
    <n v="-155"/>
    <m/>
    <s v="Y"/>
    <n v="1"/>
    <d v="2023-07-19T19:43:58"/>
    <s v="N"/>
    <m/>
    <m/>
    <s v="Non Expert Disbursement"/>
    <m/>
    <s v="N"/>
    <n v="-155"/>
    <n v="0"/>
    <x v="5"/>
    <s v="VALIDATED"/>
    <n v="1"/>
    <s v="01.11.80.308.2013.0000"/>
    <n v="-155"/>
    <s v="11"/>
    <s v="2013"/>
    <n v="14241.66"/>
    <n v="-155"/>
    <s v="CREDITOR"/>
    <n v="0"/>
    <n v="0"/>
    <n v="-155"/>
    <n v="0"/>
    <n v="0"/>
  </r>
  <r>
    <n v="10402861"/>
    <s v="N"/>
    <n v="21398452"/>
    <s v="3000006259200010RC"/>
    <s v="CIVIL"/>
    <d v="2023-06-29T00:00:00"/>
    <d v="2023-07-19T19:43:58"/>
    <m/>
    <d v="2023-07-19T00:00:00"/>
    <n v="1385"/>
    <n v="14320"/>
    <s v="10402861"/>
    <s v="10402861"/>
    <m/>
    <m/>
    <m/>
    <m/>
    <m/>
    <m/>
    <s v="SOLRECOUP"/>
    <s v="SOLRECOUP"/>
    <s v="POARECOUP"/>
    <n v="21398452"/>
    <n v="-155"/>
    <m/>
    <s v="Y"/>
    <n v="2"/>
    <d v="2023-07-19T19:43:58"/>
    <s v="N"/>
    <m/>
    <m/>
    <s v="Non Expert Disbursement"/>
    <m/>
    <s v="N"/>
    <n v="0"/>
    <n v="0"/>
    <x v="5"/>
    <s v="VALIDATED"/>
    <n v="1"/>
    <s v="01.11.80.000.0000.0000"/>
    <n v="0"/>
    <s v="11"/>
    <s v="0000"/>
    <n v="14241.66"/>
    <n v="0"/>
    <s v="CREDITOR"/>
    <n v="0"/>
    <n v="0"/>
    <n v="0"/>
    <n v="0"/>
    <n v="0"/>
  </r>
  <r>
    <n v="10402861"/>
    <s v="N"/>
    <n v="21398490"/>
    <s v="3000006259200012RC"/>
    <s v="CIVIL"/>
    <d v="2023-06-29T00:00:00"/>
    <d v="2023-07-19T19:43:58"/>
    <m/>
    <d v="2023-07-19T00:00:00"/>
    <n v="1385"/>
    <n v="14320"/>
    <s v="10402861"/>
    <s v="10402861"/>
    <m/>
    <m/>
    <m/>
    <m/>
    <m/>
    <m/>
    <s v="SOLRECOUP"/>
    <s v="SOLRECOUP"/>
    <s v="POARECOUP"/>
    <n v="21398490"/>
    <n v="-155"/>
    <m/>
    <s v="Y"/>
    <n v="2"/>
    <d v="2023-07-19T19:43:59"/>
    <s v="N"/>
    <m/>
    <m/>
    <s v="Non Expert Disbursement"/>
    <m/>
    <s v="N"/>
    <n v="0"/>
    <n v="0"/>
    <x v="5"/>
    <s v="VALIDATED"/>
    <n v="1"/>
    <s v="01.11.80.000.0000.0000"/>
    <n v="0"/>
    <s v="11"/>
    <s v="0000"/>
    <n v="14241.66"/>
    <n v="0"/>
    <s v="CREDITOR"/>
    <n v="0"/>
    <n v="0"/>
    <n v="0"/>
    <n v="0"/>
    <n v="0"/>
  </r>
  <r>
    <n v="10402861"/>
    <s v="N"/>
    <n v="21398490"/>
    <s v="3000006259200012RC"/>
    <s v="CIVIL"/>
    <d v="2023-06-29T00:00:00"/>
    <d v="2023-07-19T19:43:58"/>
    <m/>
    <d v="2023-07-19T00:00:00"/>
    <n v="1385"/>
    <n v="14320"/>
    <s v="10402861"/>
    <s v="10402861"/>
    <m/>
    <m/>
    <m/>
    <m/>
    <m/>
    <m/>
    <s v="SOLRECOUP"/>
    <s v="SOLRECOUP"/>
    <s v="POARECOUP"/>
    <n v="21398490"/>
    <n v="-155"/>
    <m/>
    <s v="Y"/>
    <n v="1"/>
    <d v="2023-07-19T19:43:59"/>
    <s v="N"/>
    <m/>
    <m/>
    <s v="Non Expert Disbursement"/>
    <m/>
    <s v="N"/>
    <n v="-155"/>
    <n v="0"/>
    <x v="5"/>
    <s v="VALIDATED"/>
    <n v="1"/>
    <s v="01.11.80.308.2013.0000"/>
    <n v="-155"/>
    <s v="11"/>
    <s v="2013"/>
    <n v="14241.66"/>
    <n v="-155"/>
    <s v="CREDITOR"/>
    <n v="0"/>
    <n v="0"/>
    <n v="-155"/>
    <n v="0"/>
    <n v="0"/>
  </r>
  <r>
    <n v="10402861"/>
    <s v="N"/>
    <n v="21398553"/>
    <s v="3000006259200018RC"/>
    <s v="CIVIL"/>
    <d v="2023-06-29T00:00:00"/>
    <d v="2023-07-19T19:43:58"/>
    <m/>
    <d v="2023-07-19T00:00:00"/>
    <n v="1385"/>
    <n v="14320"/>
    <s v="10402861"/>
    <s v="10402861"/>
    <m/>
    <m/>
    <m/>
    <m/>
    <m/>
    <m/>
    <s v="SOLRECOUP"/>
    <s v="SOLRECOUP"/>
    <s v="POARECOUP"/>
    <n v="21398553"/>
    <n v="-304.1"/>
    <m/>
    <s v="Y"/>
    <n v="2"/>
    <d v="2023-07-19T19:43:59"/>
    <s v="N"/>
    <m/>
    <m/>
    <s v="Expert Disbursement"/>
    <m/>
    <s v="N"/>
    <n v="0"/>
    <n v="0"/>
    <x v="5"/>
    <s v="VALIDATED"/>
    <n v="1"/>
    <s v="01.11.80.000.0000.0000"/>
    <n v="0"/>
    <s v="11"/>
    <s v="0000"/>
    <n v="14241.66"/>
    <n v="0"/>
    <s v="CREDITOR"/>
    <n v="0"/>
    <n v="0"/>
    <n v="0"/>
    <n v="0"/>
    <n v="0"/>
  </r>
  <r>
    <n v="10402861"/>
    <s v="N"/>
    <n v="21398553"/>
    <s v="3000006259200018RC"/>
    <s v="CIVIL"/>
    <d v="2023-06-29T00:00:00"/>
    <d v="2023-07-19T19:43:58"/>
    <m/>
    <d v="2023-07-19T00:00:00"/>
    <n v="1385"/>
    <n v="14320"/>
    <s v="10402861"/>
    <s v="10402861"/>
    <m/>
    <m/>
    <m/>
    <m/>
    <m/>
    <m/>
    <s v="SOLRECOUP"/>
    <s v="SOLRECOUP"/>
    <s v="POARECOUP"/>
    <n v="21398553"/>
    <n v="-304.1"/>
    <m/>
    <s v="Y"/>
    <n v="1"/>
    <d v="2023-07-19T19:43:59"/>
    <s v="N"/>
    <m/>
    <m/>
    <s v="Expert Disbursement"/>
    <m/>
    <s v="N"/>
    <n v="-304.1"/>
    <n v="0"/>
    <x v="5"/>
    <s v="VALIDATED"/>
    <n v="1"/>
    <s v="01.11.80.308.2013.0000"/>
    <n v="-304.1"/>
    <s v="11"/>
    <s v="2013"/>
    <n v="14241.66"/>
    <n v="-304.1"/>
    <s v="CREDITOR"/>
    <n v="0"/>
    <n v="0"/>
    <n v="-304.1"/>
    <n v="0"/>
    <n v="0"/>
  </r>
  <r>
    <n v="10402861"/>
    <s v="N"/>
    <n v="21398604"/>
    <s v="3000006259200020RC"/>
    <s v="CIVIL"/>
    <d v="2023-06-29T00:00:00"/>
    <d v="2023-07-19T19:43:58"/>
    <m/>
    <d v="2023-07-19T00:00:00"/>
    <n v="1385"/>
    <n v="14320"/>
    <s v="10402861"/>
    <s v="10402861"/>
    <m/>
    <m/>
    <m/>
    <m/>
    <m/>
    <m/>
    <s v="SOLRECOUP"/>
    <s v="SOLRECOUP"/>
    <s v="POARECOUP"/>
    <n v="21398604"/>
    <n v="-33"/>
    <m/>
    <s v="Y"/>
    <n v="1"/>
    <d v="2023-07-19T19:43:59"/>
    <s v="N"/>
    <m/>
    <m/>
    <s v="Expert Disbursement"/>
    <m/>
    <s v="N"/>
    <n v="-27.5"/>
    <n v="0"/>
    <x v="5"/>
    <s v="VALIDATED"/>
    <n v="1"/>
    <s v="01.11.80.308.2013.0000"/>
    <n v="-27.5"/>
    <s v="11"/>
    <s v="2013"/>
    <n v="14241.66"/>
    <n v="-27.5"/>
    <s v="CREDITOR"/>
    <n v="0"/>
    <n v="0"/>
    <n v="-27.5"/>
    <n v="0"/>
    <n v="0"/>
  </r>
  <r>
    <n v="10402861"/>
    <s v="N"/>
    <n v="21398604"/>
    <s v="3000006259200020RC"/>
    <s v="CIVIL"/>
    <d v="2023-06-29T00:00:00"/>
    <d v="2023-07-19T19:43:58"/>
    <m/>
    <d v="2023-07-19T00:00:00"/>
    <n v="1385"/>
    <n v="14320"/>
    <s v="10402861"/>
    <s v="10402861"/>
    <m/>
    <m/>
    <m/>
    <m/>
    <m/>
    <m/>
    <s v="SOLRECOUP"/>
    <s v="SOLRECOUP"/>
    <s v="POARECOUP"/>
    <n v="21398604"/>
    <n v="-33"/>
    <m/>
    <s v="Y"/>
    <n v="2"/>
    <d v="2023-07-19T19:43:59"/>
    <s v="N"/>
    <m/>
    <m/>
    <s v="Expert Disbursement"/>
    <m/>
    <s v="N"/>
    <n v="0"/>
    <n v="-5.5"/>
    <x v="5"/>
    <s v="VALIDATED"/>
    <n v="1"/>
    <s v="01.11.80.308.2013.0000"/>
    <n v="-5.5"/>
    <s v="11"/>
    <s v="2013"/>
    <n v="14241.66"/>
    <n v="-5.5"/>
    <s v="CREDITOR"/>
    <n v="0"/>
    <n v="0"/>
    <n v="-5.5"/>
    <n v="0"/>
    <n v="0"/>
  </r>
  <r>
    <n v="10402861"/>
    <s v="N"/>
    <n v="21398643"/>
    <s v="3000006259200021RC"/>
    <s v="CIVIL"/>
    <d v="2023-06-29T00:00:00"/>
    <d v="2023-07-19T19:43:58"/>
    <m/>
    <d v="2023-07-19T00:00:00"/>
    <n v="1385"/>
    <n v="14320"/>
    <s v="10402861"/>
    <s v="10402861"/>
    <m/>
    <m/>
    <m/>
    <m/>
    <m/>
    <m/>
    <s v="SOLRECOUP"/>
    <s v="SOLRECOUP"/>
    <s v="POARECOUP"/>
    <n v="21398643"/>
    <n v="-155"/>
    <m/>
    <s v="Y"/>
    <n v="1"/>
    <d v="2023-07-19T19:43:59"/>
    <s v="N"/>
    <m/>
    <m/>
    <s v="Non Expert Disbursement"/>
    <m/>
    <s v="N"/>
    <n v="-155"/>
    <n v="0"/>
    <x v="5"/>
    <s v="VALIDATED"/>
    <n v="1"/>
    <s v="01.11.80.308.2013.0000"/>
    <n v="-155"/>
    <s v="11"/>
    <s v="2013"/>
    <n v="14241.66"/>
    <n v="-155"/>
    <s v="CREDITOR"/>
    <n v="0"/>
    <n v="0"/>
    <n v="-155"/>
    <n v="0"/>
    <n v="0"/>
  </r>
  <r>
    <n v="10402861"/>
    <s v="N"/>
    <n v="21398643"/>
    <s v="3000006259200021RC"/>
    <s v="CIVIL"/>
    <d v="2023-06-29T00:00:00"/>
    <d v="2023-07-19T19:43:58"/>
    <m/>
    <d v="2023-07-19T00:00:00"/>
    <n v="1385"/>
    <n v="14320"/>
    <s v="10402861"/>
    <s v="10402861"/>
    <m/>
    <m/>
    <m/>
    <m/>
    <m/>
    <m/>
    <s v="SOLRECOUP"/>
    <s v="SOLRECOUP"/>
    <s v="POARECOUP"/>
    <n v="21398643"/>
    <n v="-155"/>
    <m/>
    <s v="Y"/>
    <n v="2"/>
    <d v="2023-07-19T19:43:59"/>
    <s v="N"/>
    <m/>
    <m/>
    <s v="Non Expert Disbursement"/>
    <m/>
    <s v="N"/>
    <n v="0"/>
    <n v="0"/>
    <x v="5"/>
    <s v="VALIDATED"/>
    <n v="1"/>
    <s v="01.11.80.000.0000.0000"/>
    <n v="0"/>
    <s v="11"/>
    <s v="0000"/>
    <n v="14241.66"/>
    <n v="0"/>
    <s v="CREDITOR"/>
    <n v="0"/>
    <n v="0"/>
    <n v="0"/>
    <n v="0"/>
    <n v="0"/>
  </r>
  <r>
    <n v="10402861"/>
    <s v="N"/>
    <n v="21398646"/>
    <s v="3000006259200022RC"/>
    <s v="CIVIL"/>
    <d v="2023-06-29T00:00:00"/>
    <d v="2023-07-19T19:43:58"/>
    <m/>
    <d v="2023-07-19T00:00:00"/>
    <n v="1385"/>
    <n v="14320"/>
    <s v="10402861"/>
    <s v="10402861"/>
    <m/>
    <m/>
    <m/>
    <m/>
    <m/>
    <m/>
    <s v="SOLRECOUP"/>
    <s v="SOLRECOUP"/>
    <s v="POARECOUP"/>
    <n v="21398646"/>
    <n v="-365"/>
    <m/>
    <s v="Y"/>
    <n v="2"/>
    <d v="2023-07-19T19:43:59"/>
    <s v="N"/>
    <m/>
    <m/>
    <s v="Non Expert Disbursement"/>
    <m/>
    <s v="N"/>
    <n v="0"/>
    <n v="0"/>
    <x v="5"/>
    <s v="VALIDATED"/>
    <n v="1"/>
    <s v="01.11.80.000.0000.0000"/>
    <n v="0"/>
    <s v="11"/>
    <s v="0000"/>
    <n v="14241.66"/>
    <n v="0"/>
    <s v="CREDITOR"/>
    <n v="0"/>
    <n v="0"/>
    <n v="0"/>
    <n v="0"/>
    <n v="0"/>
  </r>
  <r>
    <n v="10402861"/>
    <s v="N"/>
    <n v="21398646"/>
    <s v="3000006259200022RC"/>
    <s v="CIVIL"/>
    <d v="2023-06-29T00:00:00"/>
    <d v="2023-07-19T19:43:58"/>
    <m/>
    <d v="2023-07-19T00:00:00"/>
    <n v="1385"/>
    <n v="14320"/>
    <s v="10402861"/>
    <s v="10402861"/>
    <m/>
    <m/>
    <m/>
    <m/>
    <m/>
    <m/>
    <s v="SOLRECOUP"/>
    <s v="SOLRECOUP"/>
    <s v="POARECOUP"/>
    <n v="21398646"/>
    <n v="-365"/>
    <m/>
    <s v="Y"/>
    <n v="1"/>
    <d v="2023-07-19T19:43:59"/>
    <s v="N"/>
    <m/>
    <m/>
    <s v="Non Expert Disbursement"/>
    <m/>
    <s v="N"/>
    <n v="-365"/>
    <n v="0"/>
    <x v="5"/>
    <s v="VALIDATED"/>
    <n v="1"/>
    <s v="01.11.80.308.2013.0000"/>
    <n v="-365"/>
    <s v="11"/>
    <s v="2013"/>
    <n v="14241.66"/>
    <n v="-365"/>
    <s v="CREDITOR"/>
    <n v="0"/>
    <n v="0"/>
    <n v="-365"/>
    <n v="0"/>
    <n v="0"/>
  </r>
  <r>
    <n v="10402861"/>
    <s v="N"/>
    <n v="21398648"/>
    <s v="3000006259200023RC"/>
    <s v="CIVIL"/>
    <d v="2023-06-29T00:00:00"/>
    <d v="2023-07-19T19:43:58"/>
    <m/>
    <d v="2023-07-19T00:00:00"/>
    <n v="1385"/>
    <n v="14320"/>
    <s v="10402861"/>
    <s v="10402861"/>
    <m/>
    <m/>
    <m/>
    <m/>
    <m/>
    <m/>
    <s v="SOLRECOUP"/>
    <s v="SOLRECOUP"/>
    <s v="POARECOUP"/>
    <n v="21398648"/>
    <n v="-155"/>
    <m/>
    <s v="Y"/>
    <n v="2"/>
    <d v="2023-07-19T19:43:59"/>
    <s v="N"/>
    <m/>
    <m/>
    <s v="Non Expert Disbursement"/>
    <m/>
    <s v="N"/>
    <n v="0"/>
    <n v="0"/>
    <x v="5"/>
    <s v="VALIDATED"/>
    <n v="1"/>
    <s v="01.11.80.000.0000.0000"/>
    <n v="0"/>
    <s v="11"/>
    <s v="0000"/>
    <n v="14241.66"/>
    <n v="0"/>
    <s v="CREDITOR"/>
    <n v="0"/>
    <n v="0"/>
    <n v="0"/>
    <n v="0"/>
    <n v="0"/>
  </r>
  <r>
    <n v="10402861"/>
    <s v="N"/>
    <n v="21398648"/>
    <s v="3000006259200023RC"/>
    <s v="CIVIL"/>
    <d v="2023-06-29T00:00:00"/>
    <d v="2023-07-19T19:43:58"/>
    <m/>
    <d v="2023-07-19T00:00:00"/>
    <n v="1385"/>
    <n v="14320"/>
    <s v="10402861"/>
    <s v="10402861"/>
    <m/>
    <m/>
    <m/>
    <m/>
    <m/>
    <m/>
    <s v="SOLRECOUP"/>
    <s v="SOLRECOUP"/>
    <s v="POARECOUP"/>
    <n v="21398648"/>
    <n v="-155"/>
    <m/>
    <s v="Y"/>
    <n v="1"/>
    <d v="2023-07-19T19:43:59"/>
    <s v="N"/>
    <m/>
    <m/>
    <s v="Non Expert Disbursement"/>
    <m/>
    <s v="N"/>
    <n v="-155"/>
    <n v="0"/>
    <x v="5"/>
    <s v="VALIDATED"/>
    <n v="1"/>
    <s v="01.11.80.308.2013.0000"/>
    <n v="-155"/>
    <s v="11"/>
    <s v="2013"/>
    <n v="14241.66"/>
    <n v="-155"/>
    <s v="CREDITOR"/>
    <n v="0"/>
    <n v="0"/>
    <n v="-155"/>
    <n v="0"/>
    <n v="0"/>
  </r>
  <r>
    <n v="10402861"/>
    <s v="N"/>
    <n v="21398737"/>
    <s v="3000006259200025RC"/>
    <s v="CIVIL"/>
    <d v="2023-06-29T00:00:00"/>
    <d v="2023-07-19T19:43:58"/>
    <m/>
    <d v="2023-07-19T00:00:00"/>
    <n v="1385"/>
    <n v="14320"/>
    <s v="10402861"/>
    <s v="10402861"/>
    <m/>
    <m/>
    <m/>
    <m/>
    <m/>
    <m/>
    <s v="SOLRECOUP"/>
    <s v="SOLRECOUP"/>
    <s v="POARECOUP"/>
    <n v="21398737"/>
    <n v="-6996.7"/>
    <m/>
    <s v="Y"/>
    <n v="2"/>
    <d v="2023-07-19T19:44:00"/>
    <s v="N"/>
    <m/>
    <m/>
    <s v="Profit Cost"/>
    <m/>
    <s v="N"/>
    <n v="0"/>
    <n v="-1166.12"/>
    <x v="5"/>
    <s v="VALIDATED"/>
    <n v="1"/>
    <s v="01.11.80.308.2013.0000"/>
    <n v="-1166.12"/>
    <s v="11"/>
    <s v="2013"/>
    <n v="14241.66"/>
    <n v="-1166.12"/>
    <s v="CREDITOR"/>
    <n v="0"/>
    <n v="0"/>
    <n v="-1166.12"/>
    <n v="-291.53"/>
    <n v="0"/>
  </r>
  <r>
    <n v="10402861"/>
    <s v="N"/>
    <n v="21398737"/>
    <s v="3000006259200025RC"/>
    <s v="CIVIL"/>
    <d v="2023-06-29T00:00:00"/>
    <d v="2023-07-19T19:43:58"/>
    <m/>
    <d v="2023-07-19T00:00:00"/>
    <n v="1385"/>
    <n v="14320"/>
    <s v="10402861"/>
    <s v="10402861"/>
    <m/>
    <m/>
    <m/>
    <m/>
    <m/>
    <m/>
    <s v="SOLRECOUP"/>
    <s v="SOLRECOUP"/>
    <s v="POARECOUP"/>
    <n v="21398737"/>
    <n v="-6996.7"/>
    <m/>
    <s v="Y"/>
    <n v="1"/>
    <d v="2023-07-19T19:44:00"/>
    <s v="N"/>
    <m/>
    <m/>
    <s v="Profit Cost"/>
    <m/>
    <s v="N"/>
    <n v="-5830.58"/>
    <n v="0"/>
    <x v="5"/>
    <s v="VALIDATED"/>
    <n v="1"/>
    <s v="01.11.80.308.2013.0000"/>
    <n v="-5830.58"/>
    <s v="11"/>
    <s v="2013"/>
    <n v="14241.66"/>
    <n v="-5830.58"/>
    <s v="CREDITOR"/>
    <n v="0"/>
    <n v="0"/>
    <n v="-5830.58"/>
    <n v="-1457.645"/>
    <n v="0"/>
  </r>
  <r>
    <n v="10402861"/>
    <s v="N"/>
    <n v="21398738"/>
    <s v="3000006259200024RC"/>
    <s v="CIVIL"/>
    <d v="2023-06-29T00:00:00"/>
    <d v="2023-07-19T19:43:58"/>
    <m/>
    <d v="2023-07-19T00:00:00"/>
    <n v="1385"/>
    <n v="14320"/>
    <s v="10402861"/>
    <s v="10402861"/>
    <m/>
    <m/>
    <m/>
    <m/>
    <m/>
    <m/>
    <s v="SOLRECOUP"/>
    <s v="SOLRECOUP"/>
    <s v="POARECOUP"/>
    <n v="21398738"/>
    <n v="-355.86"/>
    <m/>
    <s v="Y"/>
    <n v="1"/>
    <d v="2023-07-19T19:44:00"/>
    <s v="N"/>
    <m/>
    <m/>
    <s v="Expert Disbursement"/>
    <m/>
    <s v="N"/>
    <n v="-296.55"/>
    <n v="0"/>
    <x v="5"/>
    <s v="VALIDATED"/>
    <n v="1"/>
    <s v="01.11.80.308.2013.0000"/>
    <n v="-296.55"/>
    <s v="11"/>
    <s v="2013"/>
    <n v="14241.66"/>
    <n v="-296.55"/>
    <s v="CREDITOR"/>
    <n v="0"/>
    <n v="0"/>
    <n v="-296.55"/>
    <n v="0"/>
    <n v="0"/>
  </r>
  <r>
    <n v="10402861"/>
    <s v="N"/>
    <n v="21398738"/>
    <s v="3000006259200024RC"/>
    <s v="CIVIL"/>
    <d v="2023-06-29T00:00:00"/>
    <d v="2023-07-19T19:43:58"/>
    <m/>
    <d v="2023-07-19T00:00:00"/>
    <n v="1385"/>
    <n v="14320"/>
    <s v="10402861"/>
    <s v="10402861"/>
    <m/>
    <m/>
    <m/>
    <m/>
    <m/>
    <m/>
    <s v="SOLRECOUP"/>
    <s v="SOLRECOUP"/>
    <s v="POARECOUP"/>
    <n v="21398738"/>
    <n v="-355.86"/>
    <m/>
    <s v="Y"/>
    <n v="2"/>
    <d v="2023-07-19T19:44:00"/>
    <s v="N"/>
    <m/>
    <m/>
    <s v="Expert Disbursement"/>
    <m/>
    <s v="N"/>
    <n v="0"/>
    <n v="-59.31"/>
    <x v="5"/>
    <s v="VALIDATED"/>
    <n v="1"/>
    <s v="01.11.80.308.2013.0000"/>
    <n v="-59.31"/>
    <s v="11"/>
    <s v="2013"/>
    <n v="14241.66"/>
    <n v="-59.31"/>
    <s v="CREDITOR"/>
    <n v="0"/>
    <n v="0"/>
    <n v="-59.31"/>
    <n v="0"/>
    <n v="0"/>
  </r>
  <r>
    <n v="10402861"/>
    <s v="N"/>
    <n v="21398766"/>
    <s v="3000006259200026RC"/>
    <s v="CIVIL"/>
    <d v="2023-06-29T00:00:00"/>
    <d v="2023-07-19T19:43:58"/>
    <m/>
    <d v="2023-07-19T00:00:00"/>
    <n v="1385"/>
    <n v="14320"/>
    <s v="10402861"/>
    <s v="10402861"/>
    <m/>
    <m/>
    <m/>
    <m/>
    <m/>
    <m/>
    <s v="SOLRECOUP"/>
    <s v="SOLRECOUP"/>
    <s v="POARECOUP"/>
    <n v="21398766"/>
    <n v="-108.9"/>
    <m/>
    <s v="Y"/>
    <n v="1"/>
    <d v="2023-07-19T19:44:00"/>
    <s v="N"/>
    <m/>
    <m/>
    <s v="Expert Disbursement"/>
    <m/>
    <s v="N"/>
    <n v="-90.75"/>
    <n v="0"/>
    <x v="5"/>
    <s v="VALIDATED"/>
    <n v="1"/>
    <s v="01.11.80.308.2013.0000"/>
    <n v="-90.75"/>
    <s v="11"/>
    <s v="2013"/>
    <n v="14241.66"/>
    <n v="-90.75"/>
    <s v="CREDITOR"/>
    <n v="0"/>
    <n v="0"/>
    <n v="-90.75"/>
    <n v="0"/>
    <n v="0"/>
  </r>
  <r>
    <n v="62111921"/>
    <s v="N"/>
    <n v="21349891"/>
    <s v="3000016133530001"/>
    <s v="CIVIL"/>
    <d v="2023-06-30T00:00:00"/>
    <d v="2023-07-10T19:01:40"/>
    <m/>
    <d v="2023-07-10T00:00:00"/>
    <n v="1385"/>
    <n v="14320"/>
    <s v="62111921"/>
    <s v="62111921"/>
    <m/>
    <m/>
    <n v="22795936"/>
    <m/>
    <m/>
    <m/>
    <s v="SOLFIN"/>
    <s v="SOLFIN"/>
    <s v="CCMS"/>
    <n v="21349891"/>
    <n v="423.6"/>
    <m/>
    <s v="N"/>
    <n v="1"/>
    <d v="2023-07-10T19:02:02"/>
    <s v="Y"/>
    <s v="Level 3 Fixed Fee"/>
    <s v="Private Law Children"/>
    <s v="Profit Cost"/>
    <s v="Denise Lockett"/>
    <s v="Y"/>
    <n v="353"/>
    <n v="70.59999999999999"/>
    <x v="2"/>
    <s v="VALIDATED"/>
    <n v="1"/>
    <s v="01.11.80.307.6100.0000"/>
    <n v="353"/>
    <s v="11"/>
    <s v="6100"/>
    <n v="14241.66"/>
    <n v="353"/>
    <s v="CREDITOR"/>
    <n v="0"/>
    <n v="0"/>
    <n v="0"/>
    <n v="0"/>
    <n v="353"/>
  </r>
  <r>
    <n v="10402861"/>
    <s v="N"/>
    <n v="21394775"/>
    <s v="3000006259200034"/>
    <s v="CIVIL"/>
    <d v="2023-06-29T00:00:00"/>
    <d v="2023-07-19T19:02:01"/>
    <m/>
    <d v="2023-07-19T00:00:00"/>
    <n v="1385"/>
    <n v="14320"/>
    <s v="10402861"/>
    <s v="10402861"/>
    <m/>
    <m/>
    <n v="22789916"/>
    <m/>
    <m/>
    <m/>
    <s v="SOLFIN"/>
    <s v="SOLFIN"/>
    <s v="CCMS"/>
    <n v="21394775"/>
    <n v="13967.72"/>
    <m/>
    <s v="N"/>
    <n v="17"/>
    <d v="2023-07-19T19:02:05"/>
    <s v="Y"/>
    <s v="Psychologist"/>
    <s v="Care Remuneration Hourly Rates"/>
    <s v="Expert Disbursement"/>
    <s v="Rebecca Sykes"/>
    <s v="Y"/>
    <n v="334.25"/>
    <n v="66.84999999999999"/>
    <x v="5"/>
    <s v="VALIDATED"/>
    <n v="1"/>
    <s v="01.11.80.308.6300.0000"/>
    <n v="334.25"/>
    <s v="11"/>
    <s v="6300"/>
    <n v="14241.66"/>
    <n v="334.25"/>
    <s v="CREDITOR"/>
    <n v="0"/>
    <n v="0"/>
    <n v="0"/>
    <n v="0"/>
    <n v="334.25"/>
  </r>
  <r>
    <n v="10402861"/>
    <s v="N"/>
    <n v="21394775"/>
    <s v="3000006259200034"/>
    <s v="CIVIL"/>
    <d v="2023-06-29T00:00:00"/>
    <d v="2023-07-19T19:02:01"/>
    <m/>
    <d v="2023-07-19T00:00:00"/>
    <n v="1385"/>
    <n v="14320"/>
    <s v="10402861"/>
    <s v="10402861"/>
    <m/>
    <m/>
    <n v="22789916"/>
    <m/>
    <m/>
    <m/>
    <s v="SOLFIN"/>
    <s v="SOLFIN"/>
    <s v="CCMS"/>
    <n v="21394775"/>
    <n v="13967.72"/>
    <m/>
    <s v="N"/>
    <n v="21"/>
    <d v="2023-07-19T19:02:05"/>
    <s v="Y"/>
    <s v="Toxicologist"/>
    <s v="Care Remuneration Hourly Rates"/>
    <s v="Expert Disbursement"/>
    <s v="Rebecca Sykes"/>
    <s v="Y"/>
    <n v="99"/>
    <n v="19.8"/>
    <x v="5"/>
    <s v="VALIDATED"/>
    <n v="1"/>
    <s v="01.11.80.308.6300.0000"/>
    <n v="99"/>
    <s v="11"/>
    <s v="6300"/>
    <n v="14241.66"/>
    <n v="99"/>
    <s v="CREDITOR"/>
    <n v="0"/>
    <n v="0"/>
    <n v="0"/>
    <n v="0"/>
    <n v="99"/>
  </r>
  <r>
    <n v="10402861"/>
    <s v="N"/>
    <n v="21394775"/>
    <s v="3000006259200034"/>
    <s v="CIVIL"/>
    <d v="2023-06-29T00:00:00"/>
    <d v="2023-07-19T19:02:01"/>
    <m/>
    <d v="2023-07-19T00:00:00"/>
    <n v="1385"/>
    <n v="14320"/>
    <s v="10402861"/>
    <s v="10402861"/>
    <m/>
    <m/>
    <n v="22789916"/>
    <m/>
    <m/>
    <m/>
    <s v="SOLFIN"/>
    <s v="SOLFIN"/>
    <s v="CCMS"/>
    <n v="21394775"/>
    <n v="13967.72"/>
    <m/>
    <s v="N"/>
    <n v="8"/>
    <d v="2023-07-19T19:02:05"/>
    <s v="Y"/>
    <s v="Profit Costs (Summary)"/>
    <s v="Care Remuneration Hourly Rates"/>
    <s v="Profit Cost"/>
    <s v="Rebecca Sykes"/>
    <s v="Y"/>
    <n v="7436.73"/>
    <n v="1487.34"/>
    <x v="5"/>
    <s v="VALIDATED"/>
    <n v="1"/>
    <s v="01.11.80.308.6100.0000"/>
    <n v="7436.73"/>
    <s v="11"/>
    <s v="6100"/>
    <n v="14241.66"/>
    <n v="7436.73"/>
    <s v="CREDITOR"/>
    <n v="0"/>
    <n v="0"/>
    <n v="0"/>
    <n v="0"/>
    <n v="7436.73"/>
  </r>
  <r>
    <n v="10402861"/>
    <s v="N"/>
    <n v="21394775"/>
    <s v="3000006259200034"/>
    <s v="CIVIL"/>
    <d v="2023-06-29T00:00:00"/>
    <d v="2023-07-19T19:02:01"/>
    <m/>
    <d v="2023-07-19T00:00:00"/>
    <n v="1385"/>
    <n v="14320"/>
    <s v="10402861"/>
    <s v="10402861"/>
    <m/>
    <m/>
    <n v="22789916"/>
    <m/>
    <m/>
    <m/>
    <s v="SOLFIN"/>
    <s v="SOLFIN"/>
    <s v="CCMS"/>
    <n v="21394775"/>
    <n v="13967.72"/>
    <m/>
    <s v="N"/>
    <n v="13"/>
    <d v="2023-07-19T19:02:05"/>
    <s v="Y"/>
    <s v="Psychologist"/>
    <s v="Care Remuneration Hourly Rates"/>
    <s v="Expert Disbursement"/>
    <s v="Rebecca Sykes"/>
    <s v="Y"/>
    <n v="141.68"/>
    <n v="28.34"/>
    <x v="5"/>
    <s v="VALIDATED"/>
    <n v="1"/>
    <s v="01.11.80.308.6300.0000"/>
    <n v="141.68"/>
    <s v="11"/>
    <s v="6300"/>
    <n v="14241.66"/>
    <n v="141.68"/>
    <s v="CREDITOR"/>
    <n v="0"/>
    <n v="0"/>
    <n v="0"/>
    <n v="0"/>
    <n v="141.68"/>
  </r>
  <r>
    <n v="61544701"/>
    <s v="N"/>
    <n v="21349712"/>
    <s v="3000015662120004"/>
    <s v="CIVIL"/>
    <d v="2023-06-30T00:00:00"/>
    <d v="2023-07-10T19:01:40"/>
    <m/>
    <d v="2023-07-10T00:00:00"/>
    <n v="1385"/>
    <n v="14320"/>
    <s v="61544701"/>
    <s v="61544701"/>
    <m/>
    <m/>
    <n v="22795446"/>
    <m/>
    <m/>
    <m/>
    <s v="SOLFIN"/>
    <s v="SOLFIN"/>
    <s v="CCMS"/>
    <n v="21349712"/>
    <n v="6707.94"/>
    <m/>
    <s v="N"/>
    <n v="10"/>
    <d v="2023-07-10T19:01:56"/>
    <s v="Y"/>
    <s v="Solicitors Fixed Fee"/>
    <s v="Public Law Children"/>
    <s v="Profit Cost"/>
    <s v="Denise Lockett"/>
    <s v="Y"/>
    <n v="2300"/>
    <n v="460.01"/>
    <x v="2"/>
    <s v="VALIDATED"/>
    <n v="1"/>
    <s v="01.11.80.308.6100.0000"/>
    <n v="2300"/>
    <s v="11"/>
    <s v="6100"/>
    <n v="14241.66"/>
    <n v="2300"/>
    <s v="CREDITOR"/>
    <n v="0"/>
    <n v="0"/>
    <n v="0"/>
    <n v="0"/>
    <n v="2300"/>
  </r>
  <r>
    <n v="60716496"/>
    <s v="N"/>
    <n v="21344034"/>
    <s v="3000014961840008"/>
    <s v="CIVIL"/>
    <d v="2023-06-29T00:00:00"/>
    <d v="2023-07-07T19:03:00"/>
    <m/>
    <d v="2023-07-07T00:00:00"/>
    <n v="1385"/>
    <n v="14320"/>
    <s v="60716496"/>
    <s v="60716496"/>
    <m/>
    <m/>
    <n v="22786214"/>
    <m/>
    <m/>
    <m/>
    <s v="SOLFIN"/>
    <s v="SOLFIN"/>
    <s v="CCMS"/>
    <n v="21344034"/>
    <n v="4650.82"/>
    <m/>
    <s v="N"/>
    <n v="6"/>
    <d v="2023-07-07T19:03:21"/>
    <s v="Y"/>
    <s v="Hearing Unit 1.01 - 2.30 Hours"/>
    <s v="Public Law Children"/>
    <s v="Advocacy"/>
    <s v="Hayley Jervis"/>
    <s v="Y"/>
    <n v="238.46"/>
    <n v="47.69"/>
    <x v="9"/>
    <s v="VALIDATED"/>
    <n v="1"/>
    <s v="01.11.80.308.6100.0000"/>
    <n v="238.46"/>
    <s v="11"/>
    <s v="6100"/>
    <n v="14241.66"/>
    <n v="238.46"/>
    <s v="CREDITOR"/>
    <n v="0"/>
    <n v="0"/>
    <n v="0"/>
    <n v="0"/>
    <n v="238.46"/>
  </r>
  <r>
    <n v="60716496"/>
    <s v="N"/>
    <n v="21344034"/>
    <s v="3000014961840008"/>
    <s v="CIVIL"/>
    <d v="2023-06-29T00:00:00"/>
    <d v="2023-07-07T19:03:00"/>
    <m/>
    <d v="2023-07-07T00:00:00"/>
    <n v="1385"/>
    <n v="14320"/>
    <s v="60716496"/>
    <s v="60716496"/>
    <m/>
    <m/>
    <n v="22786214"/>
    <m/>
    <m/>
    <m/>
    <s v="SOLFIN"/>
    <s v="SOLFIN"/>
    <s v="CCMS"/>
    <n v="21344034"/>
    <n v="4650.82"/>
    <m/>
    <s v="N"/>
    <n v="8"/>
    <d v="2023-07-07T19:03:21"/>
    <s v="Y"/>
    <s v="Solicitors Fixed Fee"/>
    <s v="Public Law Children"/>
    <s v="Profit Cost"/>
    <s v="Hayley Jervis"/>
    <s v="Y"/>
    <n v="2300"/>
    <n v="460"/>
    <x v="9"/>
    <s v="VALIDATED"/>
    <n v="1"/>
    <s v="01.11.80.308.6100.0000"/>
    <n v="2300"/>
    <s v="11"/>
    <s v="6100"/>
    <n v="14241.66"/>
    <n v="2300"/>
    <s v="CREDITOR"/>
    <n v="0"/>
    <n v="0"/>
    <n v="0"/>
    <n v="0"/>
    <n v="2300"/>
  </r>
  <r>
    <n v="60652026"/>
    <s v="N"/>
    <n v="21318537"/>
    <s v="3000014906360013"/>
    <s v="CIVIL"/>
    <d v="2023-06-23T00:00:00"/>
    <d v="2023-07-03T19:01:49"/>
    <m/>
    <d v="2023-07-03T00:00:00"/>
    <n v="1385"/>
    <n v="14320"/>
    <s v="60652026"/>
    <s v="60652026"/>
    <m/>
    <m/>
    <n v="22751332"/>
    <m/>
    <m/>
    <m/>
    <s v="SOLFIN"/>
    <s v="SOLFIN"/>
    <s v="CCMS"/>
    <n v="21318537"/>
    <n v="4507.19"/>
    <m/>
    <s v="N"/>
    <n v="4"/>
    <d v="2023-07-03T19:01:58"/>
    <s v="Y"/>
    <s v="Expert - Other"/>
    <s v="Public Law Children"/>
    <s v="Expert Disbursement"/>
    <s v="Rebecca Sykes"/>
    <s v="Y"/>
    <n v="50"/>
    <n v="10"/>
    <x v="3"/>
    <s v="VALIDATED"/>
    <n v="1"/>
    <s v="01.11.80.308.6300.0000"/>
    <n v="50"/>
    <s v="11"/>
    <s v="6300"/>
    <n v="14241.66"/>
    <n v="50"/>
    <s v="CREDITOR"/>
    <n v="0"/>
    <n v="0"/>
    <n v="0"/>
    <n v="0"/>
    <n v="50"/>
  </r>
  <r>
    <n v="60652026"/>
    <s v="N"/>
    <n v="21324501"/>
    <s v="3000014906360003RC"/>
    <s v="CIVIL"/>
    <d v="2023-06-23T00:00:00"/>
    <d v="2023-07-03T19:42:50"/>
    <m/>
    <d v="2023-07-03T00:00:00"/>
    <n v="1385"/>
    <n v="14320"/>
    <s v="60652026"/>
    <s v="60652026"/>
    <m/>
    <m/>
    <m/>
    <m/>
    <m/>
    <m/>
    <s v="SOLRECOUP"/>
    <s v="SOLRECOUP"/>
    <s v="POARECOUP"/>
    <n v="21324501"/>
    <n v="-1587.64"/>
    <m/>
    <s v="Y"/>
    <n v="1"/>
    <d v="2023-07-03T19:42:51"/>
    <s v="N"/>
    <m/>
    <m/>
    <s v="Profit Cost"/>
    <m/>
    <s v="N"/>
    <n v="-1323.03"/>
    <n v="0"/>
    <x v="3"/>
    <s v="VALIDATED"/>
    <n v="1"/>
    <s v="01.11.80.308.2013.0000"/>
    <n v="-1323.03"/>
    <s v="11"/>
    <s v="2013"/>
    <n v="14241.66"/>
    <n v="-1323.03"/>
    <s v="CREDITOR"/>
    <n v="0"/>
    <n v="0"/>
    <n v="-1323.03"/>
    <n v="-330.7575"/>
    <n v="0"/>
  </r>
  <r>
    <n v="60652026"/>
    <s v="N"/>
    <n v="21324501"/>
    <s v="3000014906360003RC"/>
    <s v="CIVIL"/>
    <d v="2023-06-23T00:00:00"/>
    <d v="2023-07-03T19:42:50"/>
    <m/>
    <d v="2023-07-03T00:00:00"/>
    <n v="1385"/>
    <n v="14320"/>
    <s v="60652026"/>
    <s v="60652026"/>
    <m/>
    <m/>
    <m/>
    <m/>
    <m/>
    <m/>
    <s v="SOLRECOUP"/>
    <s v="SOLRECOUP"/>
    <s v="POARECOUP"/>
    <n v="21324501"/>
    <n v="-1587.64"/>
    <m/>
    <s v="Y"/>
    <n v="2"/>
    <d v="2023-07-03T19:42:51"/>
    <s v="N"/>
    <m/>
    <m/>
    <s v="Profit Cost"/>
    <m/>
    <s v="N"/>
    <n v="0"/>
    <n v="-264.61"/>
    <x v="3"/>
    <s v="VALIDATED"/>
    <n v="1"/>
    <s v="01.11.80.308.2013.0000"/>
    <n v="-264.61"/>
    <s v="11"/>
    <s v="2013"/>
    <n v="14241.66"/>
    <n v="-264.61"/>
    <s v="CREDITOR"/>
    <n v="0"/>
    <n v="0"/>
    <n v="-264.61"/>
    <n v="-66.1525"/>
    <n v="0"/>
  </r>
  <r>
    <n v="60652026"/>
    <s v="N"/>
    <n v="21324502"/>
    <s v="3000014906360004RC"/>
    <s v="CIVIL"/>
    <d v="2023-06-23T00:00:00"/>
    <d v="2023-07-03T19:42:50"/>
    <m/>
    <d v="2023-07-03T00:00:00"/>
    <n v="1385"/>
    <n v="14320"/>
    <s v="60652026"/>
    <s v="60652026"/>
    <m/>
    <m/>
    <m/>
    <m/>
    <m/>
    <m/>
    <s v="SOLRECOUP"/>
    <s v="SOLRECOUP"/>
    <s v="POARECOUP"/>
    <n v="21324502"/>
    <n v="-615.6"/>
    <m/>
    <s v="Y"/>
    <n v="1"/>
    <d v="2023-07-03T19:42:51"/>
    <s v="N"/>
    <m/>
    <m/>
    <s v="Expert Disbursement"/>
    <m/>
    <s v="N"/>
    <n v="-513"/>
    <n v="0"/>
    <x v="3"/>
    <s v="VALIDATED"/>
    <n v="1"/>
    <s v="01.11.80.308.2013.0000"/>
    <n v="-513"/>
    <s v="11"/>
    <s v="2013"/>
    <n v="14241.66"/>
    <n v="-513"/>
    <s v="CREDITOR"/>
    <n v="0"/>
    <n v="0"/>
    <n v="-513"/>
    <n v="0"/>
    <n v="0"/>
  </r>
  <r>
    <n v="60652026"/>
    <s v="N"/>
    <n v="21324502"/>
    <s v="3000014906360004RC"/>
    <s v="CIVIL"/>
    <d v="2023-06-23T00:00:00"/>
    <d v="2023-07-03T19:42:50"/>
    <m/>
    <d v="2023-07-03T00:00:00"/>
    <n v="1385"/>
    <n v="14320"/>
    <s v="60652026"/>
    <s v="60652026"/>
    <m/>
    <m/>
    <m/>
    <m/>
    <m/>
    <m/>
    <s v="SOLRECOUP"/>
    <s v="SOLRECOUP"/>
    <s v="POARECOUP"/>
    <n v="21324502"/>
    <n v="-615.6"/>
    <m/>
    <s v="Y"/>
    <n v="2"/>
    <d v="2023-07-03T19:42:51"/>
    <s v="N"/>
    <m/>
    <m/>
    <s v="Expert Disbursement"/>
    <m/>
    <s v="N"/>
    <n v="0"/>
    <n v="-102.6"/>
    <x v="3"/>
    <s v="VALIDATED"/>
    <n v="1"/>
    <s v="01.11.80.308.2013.0000"/>
    <n v="-102.6"/>
    <s v="11"/>
    <s v="2013"/>
    <n v="14241.66"/>
    <n v="-102.6"/>
    <s v="CREDITOR"/>
    <n v="0"/>
    <n v="0"/>
    <n v="-102.6"/>
    <n v="0"/>
    <n v="0"/>
  </r>
  <r>
    <n v="60652026"/>
    <s v="N"/>
    <n v="21324503"/>
    <s v="3000014906360002RC"/>
    <s v="CIVIL"/>
    <d v="2023-06-23T00:00:00"/>
    <d v="2023-07-03T19:42:50"/>
    <m/>
    <d v="2023-07-03T00:00:00"/>
    <n v="1385"/>
    <n v="14320"/>
    <s v="60652026"/>
    <s v="60652026"/>
    <m/>
    <m/>
    <m/>
    <m/>
    <m/>
    <m/>
    <s v="SOLRECOUP"/>
    <s v="SOLRECOUP"/>
    <s v="POARECOUP"/>
    <n v="21324503"/>
    <n v="-669"/>
    <m/>
    <s v="Y"/>
    <n v="1"/>
    <d v="2023-07-03T19:42:51"/>
    <s v="N"/>
    <m/>
    <m/>
    <s v="Expert Disbursement"/>
    <m/>
    <s v="N"/>
    <n v="-557.5"/>
    <n v="0"/>
    <x v="3"/>
    <s v="VALIDATED"/>
    <n v="1"/>
    <s v="01.11.80.308.2013.0000"/>
    <n v="-557.5"/>
    <s v="11"/>
    <s v="2013"/>
    <n v="14241.66"/>
    <n v="-557.5"/>
    <s v="CREDITOR"/>
    <n v="0"/>
    <n v="0"/>
    <n v="-557.5"/>
    <n v="0"/>
    <n v="0"/>
  </r>
  <r>
    <n v="60652026"/>
    <s v="N"/>
    <n v="21324503"/>
    <s v="3000014906360002RC"/>
    <s v="CIVIL"/>
    <d v="2023-06-23T00:00:00"/>
    <d v="2023-07-03T19:42:50"/>
    <m/>
    <d v="2023-07-03T00:00:00"/>
    <n v="1385"/>
    <n v="14320"/>
    <s v="60652026"/>
    <s v="60652026"/>
    <m/>
    <m/>
    <m/>
    <m/>
    <m/>
    <m/>
    <s v="SOLRECOUP"/>
    <s v="SOLRECOUP"/>
    <s v="POARECOUP"/>
    <n v="21324503"/>
    <n v="-669"/>
    <m/>
    <s v="Y"/>
    <n v="2"/>
    <d v="2023-07-03T19:42:51"/>
    <s v="N"/>
    <m/>
    <m/>
    <s v="Expert Disbursement"/>
    <m/>
    <s v="N"/>
    <n v="0"/>
    <n v="-111.5"/>
    <x v="3"/>
    <s v="VALIDATED"/>
    <n v="1"/>
    <s v="01.11.80.308.2013.0000"/>
    <n v="-111.5"/>
    <s v="11"/>
    <s v="2013"/>
    <n v="14241.66"/>
    <n v="-111.5"/>
    <s v="CREDITOR"/>
    <n v="0"/>
    <n v="0"/>
    <n v="-111.5"/>
    <n v="0"/>
    <n v="0"/>
  </r>
  <r>
    <n v="61609174"/>
    <s v="N"/>
    <n v="21324504"/>
    <s v="3000015715950001RC"/>
    <s v="CIVIL"/>
    <d v="2023-06-23T00:00:00"/>
    <d v="2023-07-03T19:42:50"/>
    <m/>
    <d v="2023-07-03T00:00:00"/>
    <n v="1385"/>
    <n v="14320"/>
    <s v="61609174"/>
    <s v="61609174"/>
    <m/>
    <m/>
    <m/>
    <m/>
    <m/>
    <m/>
    <s v="SOLRECOUP"/>
    <s v="SOLRECOUP"/>
    <s v="POARECOUP"/>
    <n v="21324504"/>
    <n v="-763.22"/>
    <m/>
    <s v="Y"/>
    <n v="1"/>
    <d v="2023-07-03T19:42:51"/>
    <s v="N"/>
    <m/>
    <m/>
    <s v="Profit Cost"/>
    <m/>
    <s v="N"/>
    <n v="-636.02"/>
    <n v="0"/>
    <x v="3"/>
    <s v="VALIDATED"/>
    <n v="1"/>
    <s v="01.11.80.308.2013.0000"/>
    <n v="-636.02"/>
    <s v="11"/>
    <s v="2013"/>
    <n v="14241.66"/>
    <n v="-636.02"/>
    <s v="CREDITOR"/>
    <n v="0"/>
    <n v="0"/>
    <n v="-636.02"/>
    <n v="-159.005"/>
    <n v="0"/>
  </r>
  <r>
    <n v="61609174"/>
    <s v="N"/>
    <n v="21324504"/>
    <s v="3000015715950001RC"/>
    <s v="CIVIL"/>
    <d v="2023-06-23T00:00:00"/>
    <d v="2023-07-03T19:42:50"/>
    <m/>
    <d v="2023-07-03T00:00:00"/>
    <n v="1385"/>
    <n v="14320"/>
    <s v="61609174"/>
    <s v="61609174"/>
    <m/>
    <m/>
    <m/>
    <m/>
    <m/>
    <m/>
    <s v="SOLRECOUP"/>
    <s v="SOLRECOUP"/>
    <s v="POARECOUP"/>
    <n v="21324504"/>
    <n v="-763.22"/>
    <m/>
    <s v="Y"/>
    <n v="2"/>
    <d v="2023-07-03T19:42:51"/>
    <s v="N"/>
    <m/>
    <m/>
    <s v="Profit Cost"/>
    <m/>
    <s v="N"/>
    <n v="0"/>
    <n v="-127.2"/>
    <x v="3"/>
    <s v="VALIDATED"/>
    <n v="1"/>
    <s v="01.11.80.308.2013.0000"/>
    <n v="-127.2"/>
    <s v="11"/>
    <s v="2013"/>
    <n v="14241.66"/>
    <n v="-127.2"/>
    <s v="CREDITOR"/>
    <n v="0"/>
    <n v="0"/>
    <n v="-127.2"/>
    <n v="-31.8"/>
    <n v="0"/>
  </r>
  <r>
    <n v="60652026"/>
    <s v="N"/>
    <n v="21324505"/>
    <s v="3000014906360006RC"/>
    <s v="CIVIL"/>
    <d v="2023-06-23T00:00:00"/>
    <d v="2023-07-03T19:42:50"/>
    <m/>
    <d v="2023-07-03T00:00:00"/>
    <n v="1385"/>
    <n v="14320"/>
    <s v="60652026"/>
    <s v="60652026"/>
    <m/>
    <m/>
    <m/>
    <m/>
    <m/>
    <m/>
    <s v="SOLRECOUP"/>
    <s v="SOLRECOUP"/>
    <s v="POARECOUP"/>
    <n v="21324505"/>
    <n v="-704.96"/>
    <m/>
    <s v="Y"/>
    <n v="1"/>
    <d v="2023-07-03T19:42:51"/>
    <s v="N"/>
    <m/>
    <m/>
    <s v="Profit Cost"/>
    <m/>
    <s v="N"/>
    <n v="-587.47"/>
    <n v="0"/>
    <x v="3"/>
    <s v="VALIDATED"/>
    <n v="1"/>
    <s v="01.11.80.308.2013.0000"/>
    <n v="-587.47"/>
    <s v="11"/>
    <s v="2013"/>
    <n v="14241.66"/>
    <n v="-587.47"/>
    <s v="CREDITOR"/>
    <n v="0"/>
    <n v="0"/>
    <n v="-587.47"/>
    <n v="-146.8675"/>
    <n v="0"/>
  </r>
  <r>
    <n v="60652026"/>
    <s v="N"/>
    <n v="21324505"/>
    <s v="3000014906360006RC"/>
    <s v="CIVIL"/>
    <d v="2023-06-23T00:00:00"/>
    <d v="2023-07-03T19:42:50"/>
    <m/>
    <d v="2023-07-03T00:00:00"/>
    <n v="1385"/>
    <n v="14320"/>
    <s v="60652026"/>
    <s v="60652026"/>
    <m/>
    <m/>
    <m/>
    <m/>
    <m/>
    <m/>
    <s v="SOLRECOUP"/>
    <s v="SOLRECOUP"/>
    <s v="POARECOUP"/>
    <n v="21324505"/>
    <n v="-704.96"/>
    <m/>
    <s v="Y"/>
    <n v="2"/>
    <d v="2023-07-03T19:42:51"/>
    <s v="N"/>
    <m/>
    <m/>
    <s v="Profit Cost"/>
    <m/>
    <s v="N"/>
    <n v="0"/>
    <n v="-117.49"/>
    <x v="3"/>
    <s v="VALIDATED"/>
    <n v="1"/>
    <s v="01.11.80.308.2013.0000"/>
    <n v="-117.49"/>
    <s v="11"/>
    <s v="2013"/>
    <n v="14241.66"/>
    <n v="-117.49"/>
    <s v="CREDITOR"/>
    <n v="0"/>
    <n v="0"/>
    <n v="-117.49"/>
    <n v="-29.3725"/>
    <n v="0"/>
  </r>
  <r>
    <n v="60652026"/>
    <s v="N"/>
    <n v="21324506"/>
    <s v="3000014906360011RC"/>
    <s v="CIVIL"/>
    <d v="2023-06-23T00:00:00"/>
    <d v="2023-07-03T19:42:50"/>
    <m/>
    <d v="2023-07-03T00:00:00"/>
    <n v="1385"/>
    <n v="14320"/>
    <s v="60652026"/>
    <s v="60652026"/>
    <m/>
    <m/>
    <m/>
    <m/>
    <m/>
    <m/>
    <s v="SOLRECOUP"/>
    <s v="SOLRECOUP"/>
    <s v="POARECOUP"/>
    <n v="21324506"/>
    <n v="-50.75"/>
    <m/>
    <s v="Y"/>
    <n v="1"/>
    <d v="2023-07-03T19:42:51"/>
    <s v="N"/>
    <m/>
    <m/>
    <s v="Profit Cost"/>
    <m/>
    <s v="N"/>
    <n v="-42.29"/>
    <n v="0"/>
    <x v="3"/>
    <s v="VALIDATED"/>
    <n v="1"/>
    <s v="01.11.80.308.2013.0000"/>
    <n v="-42.29"/>
    <s v="11"/>
    <s v="2013"/>
    <n v="14241.66"/>
    <n v="-42.29"/>
    <s v="CREDITOR"/>
    <n v="0"/>
    <n v="0"/>
    <n v="-42.29"/>
    <n v="-10.5725"/>
    <n v="0"/>
  </r>
  <r>
    <n v="60652026"/>
    <s v="N"/>
    <n v="21324506"/>
    <s v="3000014906360011RC"/>
    <s v="CIVIL"/>
    <d v="2023-06-23T00:00:00"/>
    <d v="2023-07-03T19:42:50"/>
    <m/>
    <d v="2023-07-03T00:00:00"/>
    <n v="1385"/>
    <n v="14320"/>
    <s v="60652026"/>
    <s v="60652026"/>
    <m/>
    <m/>
    <m/>
    <m/>
    <m/>
    <m/>
    <s v="SOLRECOUP"/>
    <s v="SOLRECOUP"/>
    <s v="POARECOUP"/>
    <n v="21324506"/>
    <n v="-50.75"/>
    <m/>
    <s v="Y"/>
    <n v="2"/>
    <d v="2023-07-03T19:42:51"/>
    <s v="N"/>
    <m/>
    <m/>
    <s v="Profit Cost"/>
    <m/>
    <s v="N"/>
    <n v="0"/>
    <n v="-8.460000000000001"/>
    <x v="3"/>
    <s v="VALIDATED"/>
    <n v="1"/>
    <s v="01.11.80.308.2013.0000"/>
    <n v="-8.460000000000001"/>
    <s v="11"/>
    <s v="2013"/>
    <n v="14241.66"/>
    <n v="-8.460000000000001"/>
    <s v="CREDITOR"/>
    <n v="0"/>
    <n v="0"/>
    <n v="-8.460000000000001"/>
    <n v="-2.115"/>
    <n v="0"/>
  </r>
  <r>
    <n v="60652026"/>
    <s v="N"/>
    <n v="21324507"/>
    <s v="3000014906360009RC"/>
    <s v="CIVIL"/>
    <d v="2023-06-23T00:00:00"/>
    <d v="2023-07-03T19:42:50"/>
    <m/>
    <d v="2023-07-03T00:00:00"/>
    <n v="1385"/>
    <n v="14320"/>
    <s v="60652026"/>
    <s v="60652026"/>
    <m/>
    <m/>
    <m/>
    <m/>
    <m/>
    <m/>
    <s v="SOLRECOUP"/>
    <s v="SOLRECOUP"/>
    <s v="POARECOUP"/>
    <n v="21324507"/>
    <n v="-60"/>
    <m/>
    <s v="Y"/>
    <n v="1"/>
    <d v="2023-07-03T19:42:51"/>
    <s v="N"/>
    <m/>
    <m/>
    <s v="Expert Disbursement"/>
    <m/>
    <s v="N"/>
    <n v="-50"/>
    <n v="0"/>
    <x v="3"/>
    <s v="VALIDATED"/>
    <n v="1"/>
    <s v="01.11.80.308.2013.0000"/>
    <n v="-50"/>
    <s v="11"/>
    <s v="2013"/>
    <n v="14241.66"/>
    <n v="-50"/>
    <s v="CREDITOR"/>
    <n v="0"/>
    <n v="0"/>
    <n v="-50"/>
    <n v="0"/>
    <n v="0"/>
  </r>
  <r>
    <n v="60652026"/>
    <s v="N"/>
    <n v="21324507"/>
    <s v="3000014906360009RC"/>
    <s v="CIVIL"/>
    <d v="2023-06-23T00:00:00"/>
    <d v="2023-07-03T19:42:50"/>
    <m/>
    <d v="2023-07-03T00:00:00"/>
    <n v="1385"/>
    <n v="14320"/>
    <s v="60652026"/>
    <s v="60652026"/>
    <m/>
    <m/>
    <m/>
    <m/>
    <m/>
    <m/>
    <s v="SOLRECOUP"/>
    <s v="SOLRECOUP"/>
    <s v="POARECOUP"/>
    <n v="21324507"/>
    <n v="-60"/>
    <m/>
    <s v="Y"/>
    <n v="2"/>
    <d v="2023-07-03T19:42:51"/>
    <s v="N"/>
    <m/>
    <m/>
    <s v="Expert Disbursement"/>
    <m/>
    <s v="N"/>
    <n v="0"/>
    <n v="-10"/>
    <x v="3"/>
    <s v="VALIDATED"/>
    <n v="1"/>
    <s v="01.11.80.308.2013.0000"/>
    <n v="-10"/>
    <s v="11"/>
    <s v="2013"/>
    <n v="14241.66"/>
    <n v="-10"/>
    <s v="CREDITOR"/>
    <n v="0"/>
    <n v="0"/>
    <n v="-10"/>
    <n v="0"/>
    <n v="0"/>
  </r>
  <r>
    <n v="60652026"/>
    <s v="N"/>
    <n v="21324508"/>
    <s v="3000014906360010RC"/>
    <s v="CIVIL"/>
    <d v="2023-06-23T00:00:00"/>
    <d v="2023-07-03T19:42:50"/>
    <m/>
    <d v="2023-07-03T00:00:00"/>
    <n v="1385"/>
    <n v="14320"/>
    <s v="60652026"/>
    <s v="60652026"/>
    <m/>
    <m/>
    <m/>
    <m/>
    <m/>
    <m/>
    <s v="SOLRECOUP"/>
    <s v="SOLRECOUP"/>
    <s v="POARECOUP"/>
    <n v="21324508"/>
    <n v="-233.4"/>
    <m/>
    <s v="Y"/>
    <n v="1"/>
    <d v="2023-07-03T19:42:51"/>
    <s v="N"/>
    <m/>
    <m/>
    <s v="Expert Disbursement"/>
    <m/>
    <s v="N"/>
    <n v="-194.5"/>
    <n v="0"/>
    <x v="3"/>
    <s v="VALIDATED"/>
    <n v="1"/>
    <s v="01.11.80.308.2013.0000"/>
    <n v="-194.5"/>
    <s v="11"/>
    <s v="2013"/>
    <n v="14241.66"/>
    <n v="-194.5"/>
    <s v="CREDITOR"/>
    <n v="0"/>
    <n v="0"/>
    <n v="-194.5"/>
    <n v="0"/>
    <n v="0"/>
  </r>
  <r>
    <n v="60652026"/>
    <s v="N"/>
    <n v="21324508"/>
    <s v="3000014906360010RC"/>
    <s v="CIVIL"/>
    <d v="2023-06-23T00:00:00"/>
    <d v="2023-07-03T19:42:50"/>
    <m/>
    <d v="2023-07-03T00:00:00"/>
    <n v="1385"/>
    <n v="14320"/>
    <s v="60652026"/>
    <s v="60652026"/>
    <m/>
    <m/>
    <m/>
    <m/>
    <m/>
    <m/>
    <s v="SOLRECOUP"/>
    <s v="SOLRECOUP"/>
    <s v="POARECOUP"/>
    <n v="21324508"/>
    <n v="-233.4"/>
    <m/>
    <s v="Y"/>
    <n v="2"/>
    <d v="2023-07-03T19:42:51"/>
    <s v="N"/>
    <m/>
    <m/>
    <s v="Expert Disbursement"/>
    <m/>
    <s v="N"/>
    <n v="0"/>
    <n v="-38.9"/>
    <x v="3"/>
    <s v="VALIDATED"/>
    <n v="1"/>
    <s v="01.11.80.308.2013.0000"/>
    <n v="-38.9"/>
    <s v="11"/>
    <s v="2013"/>
    <n v="14241.66"/>
    <n v="-38.9"/>
    <s v="CREDITOR"/>
    <n v="0"/>
    <n v="0"/>
    <n v="-38.9"/>
    <n v="0"/>
    <n v="0"/>
  </r>
  <r>
    <n v="61544701"/>
    <s v="N"/>
    <n v="21349712"/>
    <s v="3000015662120004"/>
    <s v="CIVIL"/>
    <d v="2023-06-30T00:00:00"/>
    <d v="2023-07-10T19:01:40"/>
    <m/>
    <d v="2023-07-10T00:00:00"/>
    <n v="1385"/>
    <n v="14320"/>
    <s v="61544701"/>
    <s v="61544701"/>
    <m/>
    <m/>
    <n v="22795446"/>
    <m/>
    <m/>
    <m/>
    <s v="SOLFIN"/>
    <s v="SOLFIN"/>
    <s v="CCMS"/>
    <n v="21349712"/>
    <n v="6707.94"/>
    <m/>
    <s v="N"/>
    <n v="7"/>
    <d v="2023-07-10T19:01:56"/>
    <s v="Y"/>
    <s v="Final Hearing - 1 Day"/>
    <s v="Public Law Children"/>
    <s v="Advocacy"/>
    <s v="Denise Lockett"/>
    <s v="Y"/>
    <n v="556.88"/>
    <n v="111.37"/>
    <x v="2"/>
    <s v="VALIDATED"/>
    <n v="1"/>
    <s v="01.11.80.308.6100.0000"/>
    <n v="556.88"/>
    <s v="11"/>
    <s v="6100"/>
    <n v="14241.66"/>
    <n v="556.88"/>
    <s v="CREDITOR"/>
    <n v="0"/>
    <n v="0"/>
    <n v="0"/>
    <n v="0"/>
    <n v="556.88"/>
  </r>
  <r>
    <n v="61053975"/>
    <s v="N"/>
    <n v="21338537"/>
    <s v="3000015252520005"/>
    <s v="CIVIL"/>
    <d v="2023-06-28T00:00:00"/>
    <d v="2023-07-06T19:21:01"/>
    <m/>
    <d v="2023-07-06T00:00:00"/>
    <n v="1385"/>
    <n v="14320"/>
    <s v="61053975"/>
    <s v="61053975"/>
    <m/>
    <m/>
    <n v="22778842"/>
    <m/>
    <m/>
    <m/>
    <s v="SOLFIN"/>
    <s v="SOLFIN"/>
    <s v="CCMS"/>
    <n v="21338537"/>
    <n v="4380.74"/>
    <m/>
    <s v="N"/>
    <n v="4"/>
    <d v="2023-07-06T19:21:28"/>
    <s v="Y"/>
    <s v="Solicitors Fixed Fee"/>
    <s v="Public Law Children"/>
    <s v="Profit Cost"/>
    <s v="Hayley Jervis"/>
    <s v="Y"/>
    <n v="2300"/>
    <n v="460"/>
    <x v="4"/>
    <s v="VALIDATED"/>
    <n v="1"/>
    <s v="01.11.80.308.6100.0000"/>
    <n v="2300"/>
    <s v="11"/>
    <s v="6100"/>
    <n v="14241.66"/>
    <n v="2300"/>
    <s v="CREDITOR"/>
    <n v="0"/>
    <n v="0"/>
    <n v="0"/>
    <n v="0"/>
    <n v="2300"/>
  </r>
  <r>
    <n v="61387661"/>
    <s v="N"/>
    <n v="21328774"/>
    <s v="3000015531440003RC"/>
    <s v="CIVIL"/>
    <d v="2023-06-25T00:00:00"/>
    <d v="2023-07-04T19:38:21"/>
    <m/>
    <d v="2023-07-04T00:00:00"/>
    <n v="1385"/>
    <n v="14320"/>
    <s v="61387661"/>
    <s v="61387661"/>
    <m/>
    <m/>
    <m/>
    <m/>
    <m/>
    <m/>
    <s v="SOLRECOUP"/>
    <s v="SOLRECOUP"/>
    <s v="POARECOUP"/>
    <n v="21328774"/>
    <n v="-167"/>
    <m/>
    <s v="Y"/>
    <n v="1"/>
    <d v="2023-07-04T19:38:22"/>
    <s v="N"/>
    <m/>
    <m/>
    <s v="Non Expert Disbursement"/>
    <m/>
    <s v="N"/>
    <n v="-167"/>
    <n v="0"/>
    <x v="1"/>
    <s v="VALIDATED"/>
    <n v="1"/>
    <s v="01.11.80.308.2013.0000"/>
    <n v="-167"/>
    <s v="11"/>
    <s v="2013"/>
    <n v="14241.66"/>
    <n v="-167"/>
    <s v="CREDITOR"/>
    <n v="0"/>
    <n v="0"/>
    <n v="-167"/>
    <n v="0"/>
    <n v="0"/>
  </r>
  <r>
    <n v="61387661"/>
    <s v="N"/>
    <n v="21328774"/>
    <s v="3000015531440003RC"/>
    <s v="CIVIL"/>
    <d v="2023-06-25T00:00:00"/>
    <d v="2023-07-04T19:38:21"/>
    <m/>
    <d v="2023-07-04T00:00:00"/>
    <n v="1385"/>
    <n v="14320"/>
    <s v="61387661"/>
    <s v="61387661"/>
    <m/>
    <m/>
    <m/>
    <m/>
    <m/>
    <m/>
    <s v="SOLRECOUP"/>
    <s v="SOLRECOUP"/>
    <s v="POARECOUP"/>
    <n v="21328774"/>
    <n v="-167"/>
    <m/>
    <s v="Y"/>
    <n v="2"/>
    <d v="2023-07-04T19:38:22"/>
    <s v="N"/>
    <m/>
    <m/>
    <s v="Non Expert Disbursement"/>
    <m/>
    <s v="N"/>
    <n v="0"/>
    <n v="0"/>
    <x v="1"/>
    <s v="VALIDATED"/>
    <n v="1"/>
    <s v="01.11.80.000.0000.0000"/>
    <n v="0"/>
    <s v="11"/>
    <s v="0000"/>
    <n v="14241.66"/>
    <n v="0"/>
    <s v="CREDITOR"/>
    <n v="0"/>
    <n v="0"/>
    <n v="0"/>
    <n v="0"/>
    <n v="0"/>
  </r>
  <r>
    <n v="61387661"/>
    <s v="N"/>
    <n v="21328775"/>
    <s v="3000015531440004RC"/>
    <s v="CIVIL"/>
    <d v="2023-06-25T00:00:00"/>
    <d v="2023-07-04T19:38:21"/>
    <m/>
    <d v="2023-07-04T00:00:00"/>
    <n v="1385"/>
    <n v="14320"/>
    <s v="61387661"/>
    <s v="61387661"/>
    <m/>
    <m/>
    <m/>
    <m/>
    <m/>
    <m/>
    <s v="SOLRECOUP"/>
    <s v="SOLRECOUP"/>
    <s v="POARECOUP"/>
    <n v="21328775"/>
    <n v="-858.62"/>
    <m/>
    <s v="Y"/>
    <n v="1"/>
    <d v="2023-07-04T19:38:22"/>
    <s v="N"/>
    <m/>
    <m/>
    <s v="Profit Cost"/>
    <m/>
    <s v="N"/>
    <n v="-715.52"/>
    <n v="0"/>
    <x v="1"/>
    <s v="VALIDATED"/>
    <n v="1"/>
    <s v="01.11.80.308.2013.0000"/>
    <n v="-715.52"/>
    <s v="11"/>
    <s v="2013"/>
    <n v="14241.66"/>
    <n v="-715.52"/>
    <s v="CREDITOR"/>
    <n v="0"/>
    <n v="0"/>
    <n v="-715.52"/>
    <n v="-178.88"/>
    <n v="0"/>
  </r>
  <r>
    <n v="61387661"/>
    <s v="N"/>
    <n v="21328775"/>
    <s v="3000015531440004RC"/>
    <s v="CIVIL"/>
    <d v="2023-06-25T00:00:00"/>
    <d v="2023-07-04T19:38:21"/>
    <m/>
    <d v="2023-07-04T00:00:00"/>
    <n v="1385"/>
    <n v="14320"/>
    <s v="61387661"/>
    <s v="61387661"/>
    <m/>
    <m/>
    <m/>
    <m/>
    <m/>
    <m/>
    <s v="SOLRECOUP"/>
    <s v="SOLRECOUP"/>
    <s v="POARECOUP"/>
    <n v="21328775"/>
    <n v="-858.62"/>
    <m/>
    <s v="Y"/>
    <n v="2"/>
    <d v="2023-07-04T19:38:22"/>
    <s v="N"/>
    <m/>
    <m/>
    <s v="Profit Cost"/>
    <m/>
    <s v="N"/>
    <n v="0"/>
    <n v="-143.1"/>
    <x v="1"/>
    <s v="VALIDATED"/>
    <n v="1"/>
    <s v="01.11.80.308.2013.0000"/>
    <n v="-143.1"/>
    <s v="11"/>
    <s v="2013"/>
    <n v="14241.66"/>
    <n v="-143.1"/>
    <s v="CREDITOR"/>
    <n v="0"/>
    <n v="0"/>
    <n v="-143.1"/>
    <n v="-35.775"/>
    <n v="0"/>
  </r>
  <r>
    <n v="61387661"/>
    <s v="N"/>
    <n v="21328776"/>
    <s v="3000015531440005RC"/>
    <s v="CIVIL"/>
    <d v="2023-06-25T00:00:00"/>
    <d v="2023-07-04T19:38:21"/>
    <m/>
    <d v="2023-07-04T00:00:00"/>
    <n v="1385"/>
    <n v="14320"/>
    <s v="61387661"/>
    <s v="61387661"/>
    <m/>
    <m/>
    <m/>
    <m/>
    <m/>
    <m/>
    <s v="SOLRECOUP"/>
    <s v="SOLRECOUP"/>
    <s v="POARECOUP"/>
    <n v="21328776"/>
    <n v="-950.4"/>
    <m/>
    <s v="Y"/>
    <n v="1"/>
    <d v="2023-07-04T19:38:22"/>
    <s v="N"/>
    <m/>
    <m/>
    <s v="Expert Disbursement"/>
    <m/>
    <s v="N"/>
    <n v="-792"/>
    <n v="0"/>
    <x v="1"/>
    <s v="VALIDATED"/>
    <n v="1"/>
    <s v="01.11.80.308.2013.0000"/>
    <n v="-792"/>
    <s v="11"/>
    <s v="2013"/>
    <n v="14241.66"/>
    <n v="-792"/>
    <s v="CREDITOR"/>
    <n v="0"/>
    <n v="0"/>
    <n v="-792"/>
    <n v="0"/>
    <n v="0"/>
  </r>
  <r>
    <n v="61387661"/>
    <s v="N"/>
    <n v="21328776"/>
    <s v="3000015531440005RC"/>
    <s v="CIVIL"/>
    <d v="2023-06-25T00:00:00"/>
    <d v="2023-07-04T19:38:21"/>
    <m/>
    <d v="2023-07-04T00:00:00"/>
    <n v="1385"/>
    <n v="14320"/>
    <s v="61387661"/>
    <s v="61387661"/>
    <m/>
    <m/>
    <m/>
    <m/>
    <m/>
    <m/>
    <s v="SOLRECOUP"/>
    <s v="SOLRECOUP"/>
    <s v="POARECOUP"/>
    <n v="21328776"/>
    <n v="-950.4"/>
    <m/>
    <s v="Y"/>
    <n v="2"/>
    <d v="2023-07-04T19:38:22"/>
    <s v="N"/>
    <m/>
    <m/>
    <s v="Expert Disbursement"/>
    <m/>
    <s v="N"/>
    <n v="0"/>
    <n v="-158.4"/>
    <x v="1"/>
    <s v="VALIDATED"/>
    <n v="1"/>
    <s v="01.11.80.308.2013.0000"/>
    <n v="-158.4"/>
    <s v="11"/>
    <s v="2013"/>
    <n v="14241.66"/>
    <n v="-158.4"/>
    <s v="CREDITOR"/>
    <n v="0"/>
    <n v="0"/>
    <n v="-158.4"/>
    <n v="0"/>
    <n v="0"/>
  </r>
  <r>
    <n v="61387661"/>
    <s v="N"/>
    <n v="21328777"/>
    <s v="3000015531440006RC"/>
    <s v="CIVIL"/>
    <d v="2023-06-25T00:00:00"/>
    <d v="2023-07-04T19:38:21"/>
    <m/>
    <d v="2023-07-04T00:00:00"/>
    <n v="1385"/>
    <n v="14320"/>
    <s v="61387661"/>
    <s v="61387661"/>
    <m/>
    <m/>
    <m/>
    <m/>
    <m/>
    <m/>
    <s v="SOLRECOUP"/>
    <s v="SOLRECOUP"/>
    <s v="POARECOUP"/>
    <n v="21328777"/>
    <n v="-1137.38"/>
    <m/>
    <s v="Y"/>
    <n v="1"/>
    <d v="2023-07-04T19:38:22"/>
    <s v="N"/>
    <m/>
    <m/>
    <s v="Profit Cost"/>
    <m/>
    <s v="N"/>
    <n v="-947.8200000000001"/>
    <n v="0"/>
    <x v="1"/>
    <s v="VALIDATED"/>
    <n v="1"/>
    <s v="01.11.80.308.2013.0000"/>
    <n v="-947.8200000000001"/>
    <s v="11"/>
    <s v="2013"/>
    <n v="14241.66"/>
    <n v="-947.8200000000001"/>
    <s v="CREDITOR"/>
    <n v="0"/>
    <n v="0"/>
    <n v="-947.8200000000001"/>
    <n v="-236.955"/>
    <n v="0"/>
  </r>
  <r>
    <n v="61387661"/>
    <s v="N"/>
    <n v="21328777"/>
    <s v="3000015531440006RC"/>
    <s v="CIVIL"/>
    <d v="2023-06-25T00:00:00"/>
    <d v="2023-07-04T19:38:21"/>
    <m/>
    <d v="2023-07-04T00:00:00"/>
    <n v="1385"/>
    <n v="14320"/>
    <s v="61387661"/>
    <s v="61387661"/>
    <m/>
    <m/>
    <m/>
    <m/>
    <m/>
    <m/>
    <s v="SOLRECOUP"/>
    <s v="SOLRECOUP"/>
    <s v="POARECOUP"/>
    <n v="21328777"/>
    <n v="-1137.38"/>
    <m/>
    <s v="Y"/>
    <n v="2"/>
    <d v="2023-07-04T19:38:22"/>
    <s v="N"/>
    <m/>
    <m/>
    <s v="Profit Cost"/>
    <m/>
    <s v="N"/>
    <n v="0"/>
    <n v="-189.56"/>
    <x v="1"/>
    <s v="VALIDATED"/>
    <n v="1"/>
    <s v="01.11.80.308.2013.0000"/>
    <n v="-189.56"/>
    <s v="11"/>
    <s v="2013"/>
    <n v="14241.66"/>
    <n v="-189.56"/>
    <s v="CREDITOR"/>
    <n v="0"/>
    <n v="0"/>
    <n v="-189.56"/>
    <n v="-47.39"/>
    <n v="0"/>
  </r>
  <r>
    <n v="60716496"/>
    <s v="N"/>
    <n v="21346441"/>
    <s v="3000014961840001RC"/>
    <s v="CIVIL"/>
    <d v="2023-06-29T00:00:00"/>
    <d v="2023-07-07T19:34:21"/>
    <m/>
    <d v="2023-07-07T00:00:00"/>
    <n v="1385"/>
    <n v="14320"/>
    <s v="60716496"/>
    <s v="60716496"/>
    <m/>
    <m/>
    <m/>
    <m/>
    <m/>
    <m/>
    <s v="SOLRECOUP"/>
    <s v="SOLRECOUP"/>
    <s v="POARECOUP"/>
    <n v="21346441"/>
    <n v="-405.6"/>
    <m/>
    <s v="Y"/>
    <n v="1"/>
    <d v="2023-07-07T19:34:23"/>
    <s v="N"/>
    <m/>
    <m/>
    <s v="Expert Disbursement"/>
    <m/>
    <s v="N"/>
    <n v="-338"/>
    <n v="0"/>
    <x v="9"/>
    <s v="VALIDATED"/>
    <n v="1"/>
    <s v="01.11.80.308.2013.0000"/>
    <n v="-338"/>
    <s v="11"/>
    <s v="2013"/>
    <n v="14241.66"/>
    <n v="-338"/>
    <s v="CREDITOR"/>
    <n v="0"/>
    <n v="0"/>
    <n v="-338"/>
    <n v="0"/>
    <n v="0"/>
  </r>
  <r>
    <n v="60716496"/>
    <s v="N"/>
    <n v="21346441"/>
    <s v="3000014961840001RC"/>
    <s v="CIVIL"/>
    <d v="2023-06-29T00:00:00"/>
    <d v="2023-07-07T19:34:21"/>
    <m/>
    <d v="2023-07-07T00:00:00"/>
    <n v="1385"/>
    <n v="14320"/>
    <s v="60716496"/>
    <s v="60716496"/>
    <m/>
    <m/>
    <m/>
    <m/>
    <m/>
    <m/>
    <s v="SOLRECOUP"/>
    <s v="SOLRECOUP"/>
    <s v="POARECOUP"/>
    <n v="21346441"/>
    <n v="-405.6"/>
    <m/>
    <s v="Y"/>
    <n v="2"/>
    <d v="2023-07-07T19:34:23"/>
    <s v="N"/>
    <m/>
    <m/>
    <s v="Expert Disbursement"/>
    <m/>
    <s v="N"/>
    <n v="0"/>
    <n v="-67.59999999999999"/>
    <x v="9"/>
    <s v="VALIDATED"/>
    <n v="1"/>
    <s v="01.11.80.308.2013.0000"/>
    <n v="-67.59999999999999"/>
    <s v="11"/>
    <s v="2013"/>
    <n v="14241.66"/>
    <n v="-67.59999999999999"/>
    <s v="CREDITOR"/>
    <n v="0"/>
    <n v="0"/>
    <n v="-67.59999999999999"/>
    <n v="0"/>
    <n v="0"/>
  </r>
  <r>
    <n v="60716496"/>
    <s v="N"/>
    <n v="21346442"/>
    <s v="3000014961840002RC"/>
    <s v="CIVIL"/>
    <d v="2023-06-29T00:00:00"/>
    <d v="2023-07-07T19:34:21"/>
    <m/>
    <d v="2023-07-07T00:00:00"/>
    <n v="1385"/>
    <n v="14320"/>
    <s v="60716496"/>
    <s v="60716496"/>
    <m/>
    <m/>
    <m/>
    <m/>
    <m/>
    <m/>
    <s v="SOLRECOUP"/>
    <s v="SOLRECOUP"/>
    <s v="POARECOUP"/>
    <n v="21346442"/>
    <n v="-999.95"/>
    <m/>
    <s v="Y"/>
    <n v="1"/>
    <d v="2023-07-07T19:34:23"/>
    <s v="N"/>
    <m/>
    <m/>
    <s v="Profit Cost"/>
    <m/>
    <s v="N"/>
    <n v="-833.29"/>
    <n v="0"/>
    <x v="9"/>
    <s v="VALIDATED"/>
    <n v="1"/>
    <s v="01.11.80.308.2013.0000"/>
    <n v="-833.29"/>
    <s v="11"/>
    <s v="2013"/>
    <n v="14241.66"/>
    <n v="-833.29"/>
    <s v="CREDITOR"/>
    <n v="0"/>
    <n v="0"/>
    <n v="-833.29"/>
    <n v="-208.3225"/>
    <n v="0"/>
  </r>
  <r>
    <n v="60716496"/>
    <s v="N"/>
    <n v="21346442"/>
    <s v="3000014961840002RC"/>
    <s v="CIVIL"/>
    <d v="2023-06-29T00:00:00"/>
    <d v="2023-07-07T19:34:21"/>
    <m/>
    <d v="2023-07-07T00:00:00"/>
    <n v="1385"/>
    <n v="14320"/>
    <s v="60716496"/>
    <s v="60716496"/>
    <m/>
    <m/>
    <m/>
    <m/>
    <m/>
    <m/>
    <s v="SOLRECOUP"/>
    <s v="SOLRECOUP"/>
    <s v="POARECOUP"/>
    <n v="21346442"/>
    <n v="-999.95"/>
    <m/>
    <s v="Y"/>
    <n v="2"/>
    <d v="2023-07-07T19:34:23"/>
    <s v="N"/>
    <m/>
    <m/>
    <s v="Profit Cost"/>
    <m/>
    <s v="N"/>
    <n v="0"/>
    <n v="-166.66"/>
    <x v="9"/>
    <s v="VALIDATED"/>
    <n v="1"/>
    <s v="01.11.80.308.2013.0000"/>
    <n v="-166.66"/>
    <s v="11"/>
    <s v="2013"/>
    <n v="14241.66"/>
    <n v="-166.66"/>
    <s v="CREDITOR"/>
    <n v="0"/>
    <n v="0"/>
    <n v="-166.66"/>
    <n v="-41.665"/>
    <n v="0"/>
  </r>
  <r>
    <n v="60716496"/>
    <s v="N"/>
    <n v="21346443"/>
    <s v="3000014961840006RC"/>
    <s v="CIVIL"/>
    <d v="2023-06-29T00:00:00"/>
    <d v="2023-07-07T19:34:21"/>
    <m/>
    <d v="2023-07-07T00:00:00"/>
    <n v="1385"/>
    <n v="14320"/>
    <s v="60716496"/>
    <s v="60716496"/>
    <m/>
    <m/>
    <m/>
    <m/>
    <m/>
    <m/>
    <s v="SOLRECOUP"/>
    <s v="SOLRECOUP"/>
    <s v="POARECOUP"/>
    <n v="21346443"/>
    <n v="-531.77"/>
    <m/>
    <s v="Y"/>
    <n v="1"/>
    <d v="2023-07-07T19:34:23"/>
    <s v="N"/>
    <m/>
    <m/>
    <s v="Profit Cost"/>
    <m/>
    <s v="N"/>
    <n v="-443.14"/>
    <n v="0"/>
    <x v="9"/>
    <s v="VALIDATED"/>
    <n v="1"/>
    <s v="01.11.80.308.2013.0000"/>
    <n v="-443.14"/>
    <s v="11"/>
    <s v="2013"/>
    <n v="14241.66"/>
    <n v="-443.14"/>
    <s v="CREDITOR"/>
    <n v="0"/>
    <n v="0"/>
    <n v="-443.14"/>
    <n v="-110.785"/>
    <n v="0"/>
  </r>
  <r>
    <n v="60716496"/>
    <s v="N"/>
    <n v="21346443"/>
    <s v="3000014961840006RC"/>
    <s v="CIVIL"/>
    <d v="2023-06-29T00:00:00"/>
    <d v="2023-07-07T19:34:21"/>
    <m/>
    <d v="2023-07-07T00:00:00"/>
    <n v="1385"/>
    <n v="14320"/>
    <s v="60716496"/>
    <s v="60716496"/>
    <m/>
    <m/>
    <m/>
    <m/>
    <m/>
    <m/>
    <s v="SOLRECOUP"/>
    <s v="SOLRECOUP"/>
    <s v="POARECOUP"/>
    <n v="21346443"/>
    <n v="-531.77"/>
    <m/>
    <s v="Y"/>
    <n v="2"/>
    <d v="2023-07-07T19:34:23"/>
    <s v="N"/>
    <m/>
    <m/>
    <s v="Profit Cost"/>
    <m/>
    <s v="N"/>
    <n v="0"/>
    <n v="-88.63"/>
    <x v="9"/>
    <s v="VALIDATED"/>
    <n v="1"/>
    <s v="01.11.80.308.2013.0000"/>
    <n v="-88.63"/>
    <s v="11"/>
    <s v="2013"/>
    <n v="14241.66"/>
    <n v="-88.63"/>
    <s v="CREDITOR"/>
    <n v="0"/>
    <n v="0"/>
    <n v="-88.63"/>
    <n v="-22.1575"/>
    <n v="0"/>
  </r>
  <r>
    <n v="60716496"/>
    <s v="N"/>
    <n v="21346444"/>
    <s v="3000014961840004RC"/>
    <s v="CIVIL"/>
    <d v="2023-06-29T00:00:00"/>
    <d v="2023-07-07T19:34:21"/>
    <m/>
    <d v="2023-07-07T00:00:00"/>
    <n v="1385"/>
    <n v="14320"/>
    <s v="60716496"/>
    <s v="60716496"/>
    <m/>
    <m/>
    <m/>
    <m/>
    <m/>
    <m/>
    <s v="SOLRECOUP"/>
    <s v="SOLRECOUP"/>
    <s v="POARECOUP"/>
    <n v="21346444"/>
    <n v="-167"/>
    <m/>
    <s v="Y"/>
    <n v="1"/>
    <d v="2023-07-07T19:34:23"/>
    <s v="N"/>
    <m/>
    <m/>
    <s v="Non Expert Disbursement"/>
    <m/>
    <s v="N"/>
    <n v="-167"/>
    <n v="0"/>
    <x v="9"/>
    <s v="VALIDATED"/>
    <n v="1"/>
    <s v="01.11.80.308.2013.0000"/>
    <n v="-167"/>
    <s v="11"/>
    <s v="2013"/>
    <n v="14241.66"/>
    <n v="-167"/>
    <s v="CREDITOR"/>
    <n v="0"/>
    <n v="0"/>
    <n v="-167"/>
    <n v="0"/>
    <n v="0"/>
  </r>
  <r>
    <n v="60716496"/>
    <s v="N"/>
    <n v="21346444"/>
    <s v="3000014961840004RC"/>
    <s v="CIVIL"/>
    <d v="2023-06-29T00:00:00"/>
    <d v="2023-07-07T19:34:21"/>
    <m/>
    <d v="2023-07-07T00:00:00"/>
    <n v="1385"/>
    <n v="14320"/>
    <s v="60716496"/>
    <s v="60716496"/>
    <m/>
    <m/>
    <m/>
    <m/>
    <m/>
    <m/>
    <s v="SOLRECOUP"/>
    <s v="SOLRECOUP"/>
    <s v="POARECOUP"/>
    <n v="21346444"/>
    <n v="-167"/>
    <m/>
    <s v="Y"/>
    <n v="2"/>
    <d v="2023-07-07T19:34:23"/>
    <s v="N"/>
    <m/>
    <m/>
    <s v="Non Expert Disbursement"/>
    <m/>
    <s v="N"/>
    <n v="0"/>
    <n v="0"/>
    <x v="9"/>
    <s v="VALIDATED"/>
    <n v="1"/>
    <s v="01.11.80.000.0000.0000"/>
    <n v="0"/>
    <s v="11"/>
    <s v="0000"/>
    <n v="14241.66"/>
    <n v="0"/>
    <s v="CREDITOR"/>
    <n v="0"/>
    <n v="0"/>
    <n v="0"/>
    <n v="0"/>
    <n v="0"/>
  </r>
  <r>
    <n v="60716496"/>
    <s v="N"/>
    <n v="21346445"/>
    <s v="3000014961840003RC"/>
    <s v="CIVIL"/>
    <d v="2023-06-29T00:00:00"/>
    <d v="2023-07-07T19:34:21"/>
    <m/>
    <d v="2023-07-07T00:00:00"/>
    <n v="1385"/>
    <n v="14320"/>
    <s v="60716496"/>
    <s v="60716496"/>
    <m/>
    <m/>
    <m/>
    <m/>
    <m/>
    <m/>
    <s v="SOLRECOUP"/>
    <s v="SOLRECOUP"/>
    <s v="POARECOUP"/>
    <n v="21346445"/>
    <n v="-219.3"/>
    <m/>
    <s v="Y"/>
    <n v="1"/>
    <d v="2023-07-07T19:34:23"/>
    <s v="N"/>
    <m/>
    <m/>
    <s v="Expert Disbursement"/>
    <m/>
    <s v="N"/>
    <n v="-182.75"/>
    <n v="0"/>
    <x v="9"/>
    <s v="VALIDATED"/>
    <n v="1"/>
    <s v="01.11.80.308.2013.0000"/>
    <n v="-182.75"/>
    <s v="11"/>
    <s v="2013"/>
    <n v="14241.66"/>
    <n v="-182.75"/>
    <s v="CREDITOR"/>
    <n v="0"/>
    <n v="0"/>
    <n v="-182.75"/>
    <n v="0"/>
    <n v="0"/>
  </r>
  <r>
    <n v="60716496"/>
    <s v="N"/>
    <n v="21346445"/>
    <s v="3000014961840003RC"/>
    <s v="CIVIL"/>
    <d v="2023-06-29T00:00:00"/>
    <d v="2023-07-07T19:34:21"/>
    <m/>
    <d v="2023-07-07T00:00:00"/>
    <n v="1385"/>
    <n v="14320"/>
    <s v="60716496"/>
    <s v="60716496"/>
    <m/>
    <m/>
    <m/>
    <m/>
    <m/>
    <m/>
    <s v="SOLRECOUP"/>
    <s v="SOLRECOUP"/>
    <s v="POARECOUP"/>
    <n v="21346445"/>
    <n v="-219.3"/>
    <m/>
    <s v="Y"/>
    <n v="2"/>
    <d v="2023-07-07T19:34:23"/>
    <s v="N"/>
    <m/>
    <m/>
    <s v="Expert Disbursement"/>
    <m/>
    <s v="N"/>
    <n v="0"/>
    <n v="-36.55"/>
    <x v="9"/>
    <s v="VALIDATED"/>
    <n v="1"/>
    <s v="01.11.80.308.2013.0000"/>
    <n v="-36.55"/>
    <s v="11"/>
    <s v="2013"/>
    <n v="14241.66"/>
    <n v="-36.55"/>
    <s v="CREDITOR"/>
    <n v="0"/>
    <n v="0"/>
    <n v="-36.55"/>
    <n v="0"/>
    <n v="0"/>
  </r>
  <r>
    <n v="61053975"/>
    <s v="N"/>
    <n v="21340058"/>
    <s v="3000015252520002RC"/>
    <s v="CIVIL"/>
    <d v="2023-06-28T00:00:00"/>
    <d v="2023-07-06T19:54:22"/>
    <m/>
    <d v="2023-07-06T00:00:00"/>
    <n v="1385"/>
    <n v="14320"/>
    <s v="61053975"/>
    <s v="61053975"/>
    <m/>
    <m/>
    <m/>
    <m/>
    <m/>
    <m/>
    <s v="SOLRECOUP"/>
    <s v="SOLRECOUP"/>
    <s v="POARECOUP"/>
    <n v="21340058"/>
    <n v="-60.48"/>
    <m/>
    <s v="Y"/>
    <n v="1"/>
    <d v="2023-07-06T19:54:23"/>
    <s v="N"/>
    <m/>
    <m/>
    <s v="Expert Disbursement"/>
    <m/>
    <s v="N"/>
    <n v="-50.4"/>
    <n v="0"/>
    <x v="4"/>
    <s v="VALIDATED"/>
    <n v="1"/>
    <s v="01.11.80.308.2013.0000"/>
    <n v="-50.4"/>
    <s v="11"/>
    <s v="2013"/>
    <n v="14241.66"/>
    <n v="-50.4"/>
    <s v="CREDITOR"/>
    <n v="0"/>
    <n v="0"/>
    <n v="-50.4"/>
    <n v="0"/>
    <n v="0"/>
  </r>
  <r>
    <n v="61053975"/>
    <s v="N"/>
    <n v="21340058"/>
    <s v="3000015252520002RC"/>
    <s v="CIVIL"/>
    <d v="2023-06-28T00:00:00"/>
    <d v="2023-07-06T19:54:22"/>
    <m/>
    <d v="2023-07-06T00:00:00"/>
    <n v="1385"/>
    <n v="14320"/>
    <s v="61053975"/>
    <s v="61053975"/>
    <m/>
    <m/>
    <m/>
    <m/>
    <m/>
    <m/>
    <s v="SOLRECOUP"/>
    <s v="SOLRECOUP"/>
    <s v="POARECOUP"/>
    <n v="21340058"/>
    <n v="-60.48"/>
    <m/>
    <s v="Y"/>
    <n v="2"/>
    <d v="2023-07-06T19:54:23"/>
    <s v="N"/>
    <m/>
    <m/>
    <s v="Expert Disbursement"/>
    <m/>
    <s v="N"/>
    <n v="0"/>
    <n v="-10.08"/>
    <x v="4"/>
    <s v="VALIDATED"/>
    <n v="1"/>
    <s v="01.11.80.308.2013.0000"/>
    <n v="-10.08"/>
    <s v="11"/>
    <s v="2013"/>
    <n v="14241.66"/>
    <n v="-10.08"/>
    <s v="CREDITOR"/>
    <n v="0"/>
    <n v="0"/>
    <n v="-10.08"/>
    <n v="0"/>
    <n v="0"/>
  </r>
  <r>
    <n v="61053975"/>
    <s v="N"/>
    <n v="21340059"/>
    <s v="3000015252520003RC"/>
    <s v="CIVIL"/>
    <d v="2023-06-28T00:00:00"/>
    <d v="2023-07-06T19:54:22"/>
    <m/>
    <d v="2023-07-06T00:00:00"/>
    <n v="1385"/>
    <n v="14320"/>
    <s v="61053975"/>
    <s v="61053975"/>
    <m/>
    <m/>
    <m/>
    <m/>
    <m/>
    <m/>
    <s v="SOLRECOUP"/>
    <s v="SOLRECOUP"/>
    <s v="POARECOUP"/>
    <n v="21340059"/>
    <n v="-892"/>
    <m/>
    <s v="Y"/>
    <n v="1"/>
    <d v="2023-07-06T19:54:23"/>
    <s v="N"/>
    <m/>
    <m/>
    <s v="Expert Disbursement"/>
    <m/>
    <s v="N"/>
    <n v="-743.33"/>
    <n v="0"/>
    <x v="4"/>
    <s v="VALIDATED"/>
    <n v="1"/>
    <s v="01.11.80.308.2013.0000"/>
    <n v="-743.33"/>
    <s v="11"/>
    <s v="2013"/>
    <n v="14241.66"/>
    <n v="-743.33"/>
    <s v="CREDITOR"/>
    <n v="0"/>
    <n v="0"/>
    <n v="-743.33"/>
    <n v="0"/>
    <n v="0"/>
  </r>
  <r>
    <n v="61053975"/>
    <s v="N"/>
    <n v="21340059"/>
    <s v="3000015252520003RC"/>
    <s v="CIVIL"/>
    <d v="2023-06-28T00:00:00"/>
    <d v="2023-07-06T19:54:22"/>
    <m/>
    <d v="2023-07-06T00:00:00"/>
    <n v="1385"/>
    <n v="14320"/>
    <s v="61053975"/>
    <s v="61053975"/>
    <m/>
    <m/>
    <m/>
    <m/>
    <m/>
    <m/>
    <s v="SOLRECOUP"/>
    <s v="SOLRECOUP"/>
    <s v="POARECOUP"/>
    <n v="21340059"/>
    <n v="-892"/>
    <m/>
    <s v="Y"/>
    <n v="2"/>
    <d v="2023-07-06T19:54:23"/>
    <s v="N"/>
    <m/>
    <m/>
    <s v="Expert Disbursement"/>
    <m/>
    <s v="N"/>
    <n v="0"/>
    <n v="-148.67"/>
    <x v="4"/>
    <s v="VALIDATED"/>
    <n v="1"/>
    <s v="01.11.80.308.2013.0000"/>
    <n v="-148.67"/>
    <s v="11"/>
    <s v="2013"/>
    <n v="14241.66"/>
    <n v="-148.67"/>
    <s v="CREDITOR"/>
    <n v="0"/>
    <n v="0"/>
    <n v="-148.67"/>
    <n v="0"/>
    <n v="0"/>
  </r>
  <r>
    <n v="61053975"/>
    <s v="N"/>
    <n v="21340060"/>
    <s v="3000015252520004RC"/>
    <s v="CIVIL"/>
    <d v="2023-06-28T00:00:00"/>
    <d v="2023-07-06T19:54:22"/>
    <m/>
    <d v="2023-07-06T00:00:00"/>
    <n v="1385"/>
    <n v="14320"/>
    <s v="61053975"/>
    <s v="61053975"/>
    <m/>
    <m/>
    <m/>
    <m/>
    <m/>
    <m/>
    <s v="SOLRECOUP"/>
    <s v="SOLRECOUP"/>
    <s v="POARECOUP"/>
    <n v="21340060"/>
    <n v="-920.27"/>
    <m/>
    <s v="Y"/>
    <n v="1"/>
    <d v="2023-07-06T19:54:23"/>
    <s v="N"/>
    <m/>
    <m/>
    <s v="Profit Cost"/>
    <m/>
    <s v="N"/>
    <n v="-766.89"/>
    <n v="0"/>
    <x v="4"/>
    <s v="VALIDATED"/>
    <n v="1"/>
    <s v="01.11.80.308.2013.0000"/>
    <n v="-766.89"/>
    <s v="11"/>
    <s v="2013"/>
    <n v="14241.66"/>
    <n v="-766.89"/>
    <s v="CREDITOR"/>
    <n v="0"/>
    <n v="0"/>
    <n v="-766.89"/>
    <n v="-191.7225"/>
    <n v="0"/>
  </r>
  <r>
    <n v="61053975"/>
    <s v="N"/>
    <n v="21340060"/>
    <s v="3000015252520004RC"/>
    <s v="CIVIL"/>
    <d v="2023-06-28T00:00:00"/>
    <d v="2023-07-06T19:54:22"/>
    <m/>
    <d v="2023-07-06T00:00:00"/>
    <n v="1385"/>
    <n v="14320"/>
    <s v="61053975"/>
    <s v="61053975"/>
    <m/>
    <m/>
    <m/>
    <m/>
    <m/>
    <m/>
    <s v="SOLRECOUP"/>
    <s v="SOLRECOUP"/>
    <s v="POARECOUP"/>
    <n v="21340060"/>
    <n v="-920.27"/>
    <m/>
    <s v="Y"/>
    <n v="2"/>
    <d v="2023-07-06T19:54:23"/>
    <s v="N"/>
    <m/>
    <m/>
    <s v="Profit Cost"/>
    <m/>
    <s v="N"/>
    <n v="0"/>
    <n v="-153.38"/>
    <x v="4"/>
    <s v="VALIDATED"/>
    <n v="1"/>
    <s v="01.11.80.308.2013.0000"/>
    <n v="-153.38"/>
    <s v="11"/>
    <s v="2013"/>
    <n v="14241.66"/>
    <n v="-153.38"/>
    <s v="CREDITOR"/>
    <n v="0"/>
    <n v="0"/>
    <n v="-153.38"/>
    <n v="-38.345"/>
    <n v="0"/>
  </r>
  <r>
    <n v="61974674"/>
    <s v="N"/>
    <n v="21356680"/>
    <s v="3000016021300002RC"/>
    <s v="CIVIL"/>
    <d v="2023-06-29T00:00:00"/>
    <d v="2023-07-10T19:47:44"/>
    <m/>
    <d v="2023-07-10T00:00:00"/>
    <n v="1385"/>
    <n v="14320"/>
    <s v="61974674"/>
    <s v="61974674"/>
    <m/>
    <m/>
    <m/>
    <m/>
    <m/>
    <m/>
    <s v="SOLRECOUP"/>
    <s v="SOLRECOUP"/>
    <s v="POARECOUP"/>
    <n v="21356680"/>
    <n v="-305.64"/>
    <m/>
    <s v="Y"/>
    <n v="1"/>
    <d v="2023-07-10T19:47:46"/>
    <s v="N"/>
    <m/>
    <m/>
    <s v="Expert Disbursement"/>
    <m/>
    <s v="N"/>
    <n v="-254.7"/>
    <n v="0"/>
    <x v="2"/>
    <s v="VALIDATED"/>
    <n v="1"/>
    <s v="01.11.80.308.2013.0000"/>
    <n v="-254.7"/>
    <s v="11"/>
    <s v="2013"/>
    <n v="14241.66"/>
    <n v="-254.7"/>
    <s v="CREDITOR"/>
    <n v="0"/>
    <n v="0"/>
    <n v="-254.7"/>
    <n v="0"/>
    <n v="0"/>
  </r>
  <r>
    <n v="61974674"/>
    <s v="N"/>
    <n v="21356680"/>
    <s v="3000016021300002RC"/>
    <s v="CIVIL"/>
    <d v="2023-06-29T00:00:00"/>
    <d v="2023-07-10T19:47:44"/>
    <m/>
    <d v="2023-07-10T00:00:00"/>
    <n v="1385"/>
    <n v="14320"/>
    <s v="61974674"/>
    <s v="61974674"/>
    <m/>
    <m/>
    <m/>
    <m/>
    <m/>
    <m/>
    <s v="SOLRECOUP"/>
    <s v="SOLRECOUP"/>
    <s v="POARECOUP"/>
    <n v="21356680"/>
    <n v="-305.64"/>
    <m/>
    <s v="Y"/>
    <n v="2"/>
    <d v="2023-07-10T19:47:46"/>
    <s v="N"/>
    <m/>
    <m/>
    <s v="Expert Disbursement"/>
    <m/>
    <s v="N"/>
    <n v="0"/>
    <n v="-50.94"/>
    <x v="2"/>
    <s v="VALIDATED"/>
    <n v="1"/>
    <s v="01.11.80.308.2013.0000"/>
    <n v="-50.94"/>
    <s v="11"/>
    <s v="2013"/>
    <n v="14241.66"/>
    <n v="-50.94"/>
    <s v="CREDITOR"/>
    <n v="0"/>
    <n v="0"/>
    <n v="-50.94"/>
    <n v="0"/>
    <n v="0"/>
  </r>
  <r>
    <n v="61974674"/>
    <s v="N"/>
    <n v="21356681"/>
    <s v="3000016021300001RC"/>
    <s v="CIVIL"/>
    <d v="2023-06-29T00:00:00"/>
    <d v="2023-07-10T19:47:44"/>
    <m/>
    <d v="2023-07-10T00:00:00"/>
    <n v="1385"/>
    <n v="14320"/>
    <s v="61974674"/>
    <s v="61974674"/>
    <m/>
    <m/>
    <m/>
    <m/>
    <m/>
    <m/>
    <s v="SOLRECOUP"/>
    <s v="SOLRECOUP"/>
    <s v="POARECOUP"/>
    <n v="21356681"/>
    <n v="-485.1"/>
    <m/>
    <s v="Y"/>
    <n v="1"/>
    <d v="2023-07-10T19:47:46"/>
    <s v="N"/>
    <m/>
    <m/>
    <s v="Expert Disbursement"/>
    <m/>
    <s v="N"/>
    <n v="-404.25"/>
    <n v="0"/>
    <x v="2"/>
    <s v="VALIDATED"/>
    <n v="1"/>
    <s v="01.11.80.308.2013.0000"/>
    <n v="-404.25"/>
    <s v="11"/>
    <s v="2013"/>
    <n v="14241.66"/>
    <n v="-404.25"/>
    <s v="CREDITOR"/>
    <n v="0"/>
    <n v="0"/>
    <n v="-404.25"/>
    <n v="0"/>
    <n v="0"/>
  </r>
  <r>
    <n v="61974674"/>
    <s v="N"/>
    <n v="21356681"/>
    <s v="3000016021300001RC"/>
    <s v="CIVIL"/>
    <d v="2023-06-29T00:00:00"/>
    <d v="2023-07-10T19:47:44"/>
    <m/>
    <d v="2023-07-10T00:00:00"/>
    <n v="1385"/>
    <n v="14320"/>
    <s v="61974674"/>
    <s v="61974674"/>
    <m/>
    <m/>
    <m/>
    <m/>
    <m/>
    <m/>
    <s v="SOLRECOUP"/>
    <s v="SOLRECOUP"/>
    <s v="POARECOUP"/>
    <n v="21356681"/>
    <n v="-485.1"/>
    <m/>
    <s v="Y"/>
    <n v="2"/>
    <d v="2023-07-10T19:47:46"/>
    <s v="N"/>
    <m/>
    <m/>
    <s v="Expert Disbursement"/>
    <m/>
    <s v="N"/>
    <n v="0"/>
    <n v="-80.84999999999999"/>
    <x v="2"/>
    <s v="VALIDATED"/>
    <n v="1"/>
    <s v="01.11.80.308.2013.0000"/>
    <n v="-80.84999999999999"/>
    <s v="11"/>
    <s v="2013"/>
    <n v="14241.66"/>
    <n v="-80.84999999999999"/>
    <s v="CREDITOR"/>
    <n v="0"/>
    <n v="0"/>
    <n v="-80.84999999999999"/>
    <n v="0"/>
    <n v="0"/>
  </r>
  <r>
    <n v="61544701"/>
    <s v="N"/>
    <n v="21356682"/>
    <s v="3000015662120001RC"/>
    <s v="CIVIL"/>
    <d v="2023-06-30T00:00:00"/>
    <d v="2023-07-10T19:47:44"/>
    <m/>
    <d v="2023-07-10T00:00:00"/>
    <n v="1385"/>
    <n v="14320"/>
    <s v="61544701"/>
    <s v="61544701"/>
    <m/>
    <m/>
    <m/>
    <m/>
    <m/>
    <m/>
    <s v="SOLRECOUP"/>
    <s v="SOLRECOUP"/>
    <s v="POARECOUP"/>
    <n v="21356682"/>
    <n v="-26.4"/>
    <m/>
    <s v="Y"/>
    <n v="1"/>
    <d v="2023-07-10T19:47:46"/>
    <s v="N"/>
    <m/>
    <m/>
    <s v="Expert Disbursement"/>
    <m/>
    <s v="N"/>
    <n v="-22"/>
    <n v="0"/>
    <x v="2"/>
    <s v="VALIDATED"/>
    <n v="1"/>
    <s v="01.11.80.308.2013.0000"/>
    <n v="-22"/>
    <s v="11"/>
    <s v="2013"/>
    <n v="14241.66"/>
    <n v="-22"/>
    <s v="CREDITOR"/>
    <n v="0"/>
    <n v="0"/>
    <n v="-22"/>
    <n v="0"/>
    <n v="0"/>
  </r>
  <r>
    <n v="61544701"/>
    <s v="N"/>
    <n v="21356682"/>
    <s v="3000015662120001RC"/>
    <s v="CIVIL"/>
    <d v="2023-06-30T00:00:00"/>
    <d v="2023-07-10T19:47:44"/>
    <m/>
    <d v="2023-07-10T00:00:00"/>
    <n v="1385"/>
    <n v="14320"/>
    <s v="61544701"/>
    <s v="61544701"/>
    <m/>
    <m/>
    <m/>
    <m/>
    <m/>
    <m/>
    <s v="SOLRECOUP"/>
    <s v="SOLRECOUP"/>
    <s v="POARECOUP"/>
    <n v="21356682"/>
    <n v="-26.4"/>
    <m/>
    <s v="Y"/>
    <n v="2"/>
    <d v="2023-07-10T19:47:46"/>
    <s v="N"/>
    <m/>
    <m/>
    <s v="Expert Disbursement"/>
    <m/>
    <s v="N"/>
    <n v="0"/>
    <n v="-4.4"/>
    <x v="2"/>
    <s v="VALIDATED"/>
    <n v="1"/>
    <s v="01.11.80.308.2013.0000"/>
    <n v="-4.4"/>
    <s v="11"/>
    <s v="2013"/>
    <n v="14241.66"/>
    <n v="-4.4"/>
    <s v="CREDITOR"/>
    <n v="0"/>
    <n v="0"/>
    <n v="-4.4"/>
    <n v="0"/>
    <n v="0"/>
  </r>
  <r>
    <n v="61544701"/>
    <s v="N"/>
    <n v="21356683"/>
    <s v="3000015662120003RC"/>
    <s v="CIVIL"/>
    <d v="2023-06-30T00:00:00"/>
    <d v="2023-07-10T19:47:44"/>
    <m/>
    <d v="2023-07-10T00:00:00"/>
    <n v="1385"/>
    <n v="14320"/>
    <s v="61544701"/>
    <s v="61544701"/>
    <m/>
    <m/>
    <m/>
    <m/>
    <m/>
    <m/>
    <s v="SOLRECOUP"/>
    <s v="SOLRECOUP"/>
    <s v="POARECOUP"/>
    <n v="21356683"/>
    <n v="-535.2"/>
    <m/>
    <s v="Y"/>
    <n v="1"/>
    <d v="2023-07-10T19:47:46"/>
    <s v="N"/>
    <m/>
    <m/>
    <s v="Expert Disbursement"/>
    <m/>
    <s v="N"/>
    <n v="-446"/>
    <n v="0"/>
    <x v="2"/>
    <s v="VALIDATED"/>
    <n v="1"/>
    <s v="01.11.80.308.2013.0000"/>
    <n v="-446"/>
    <s v="11"/>
    <s v="2013"/>
    <n v="14241.66"/>
    <n v="-446"/>
    <s v="CREDITOR"/>
    <n v="0"/>
    <n v="0"/>
    <n v="-446"/>
    <n v="0"/>
    <n v="0"/>
  </r>
  <r>
    <n v="61544701"/>
    <s v="N"/>
    <n v="21356683"/>
    <s v="3000015662120003RC"/>
    <s v="CIVIL"/>
    <d v="2023-06-30T00:00:00"/>
    <d v="2023-07-10T19:47:44"/>
    <m/>
    <d v="2023-07-10T00:00:00"/>
    <n v="1385"/>
    <n v="14320"/>
    <s v="61544701"/>
    <s v="61544701"/>
    <m/>
    <m/>
    <m/>
    <m/>
    <m/>
    <m/>
    <s v="SOLRECOUP"/>
    <s v="SOLRECOUP"/>
    <s v="POARECOUP"/>
    <n v="21356683"/>
    <n v="-535.2"/>
    <m/>
    <s v="Y"/>
    <n v="2"/>
    <d v="2023-07-10T19:47:46"/>
    <s v="N"/>
    <m/>
    <m/>
    <s v="Expert Disbursement"/>
    <m/>
    <s v="N"/>
    <n v="0"/>
    <n v="-89.2"/>
    <x v="2"/>
    <s v="VALIDATED"/>
    <n v="1"/>
    <s v="01.11.80.308.2013.0000"/>
    <n v="-89.2"/>
    <s v="11"/>
    <s v="2013"/>
    <n v="14241.66"/>
    <n v="-89.2"/>
    <s v="CREDITOR"/>
    <n v="0"/>
    <n v="0"/>
    <n v="-89.2"/>
    <n v="0"/>
    <n v="0"/>
  </r>
  <r>
    <n v="61974674"/>
    <s v="N"/>
    <n v="21356684"/>
    <s v="3000016021300004RC"/>
    <s v="CIVIL"/>
    <d v="2023-06-29T00:00:00"/>
    <d v="2023-07-10T19:47:44"/>
    <m/>
    <d v="2023-07-10T00:00:00"/>
    <n v="1385"/>
    <n v="14320"/>
    <s v="61974674"/>
    <s v="61974674"/>
    <m/>
    <m/>
    <m/>
    <m/>
    <m/>
    <m/>
    <s v="SOLRECOUP"/>
    <s v="SOLRECOUP"/>
    <s v="POARECOUP"/>
    <n v="21356684"/>
    <n v="-167"/>
    <m/>
    <s v="Y"/>
    <n v="1"/>
    <d v="2023-07-10T19:47:46"/>
    <s v="N"/>
    <m/>
    <m/>
    <s v="Non Expert Disbursement"/>
    <m/>
    <s v="N"/>
    <n v="-167"/>
    <n v="0"/>
    <x v="2"/>
    <s v="VALIDATED"/>
    <n v="1"/>
    <s v="01.11.80.308.2013.0000"/>
    <n v="-167"/>
    <s v="11"/>
    <s v="2013"/>
    <n v="14241.66"/>
    <n v="-167"/>
    <s v="CREDITOR"/>
    <n v="0"/>
    <n v="0"/>
    <n v="-167"/>
    <n v="0"/>
    <n v="0"/>
  </r>
  <r>
    <n v="61974674"/>
    <s v="N"/>
    <n v="21356684"/>
    <s v="3000016021300004RC"/>
    <s v="CIVIL"/>
    <d v="2023-06-29T00:00:00"/>
    <d v="2023-07-10T19:47:44"/>
    <m/>
    <d v="2023-07-10T00:00:00"/>
    <n v="1385"/>
    <n v="14320"/>
    <s v="61974674"/>
    <s v="61974674"/>
    <m/>
    <m/>
    <m/>
    <m/>
    <m/>
    <m/>
    <s v="SOLRECOUP"/>
    <s v="SOLRECOUP"/>
    <s v="POARECOUP"/>
    <n v="21356684"/>
    <n v="-167"/>
    <m/>
    <s v="Y"/>
    <n v="2"/>
    <d v="2023-07-10T19:47:46"/>
    <s v="N"/>
    <m/>
    <m/>
    <s v="Non Expert Disbursement"/>
    <m/>
    <s v="N"/>
    <n v="0"/>
    <n v="0"/>
    <x v="2"/>
    <s v="VALIDATED"/>
    <n v="1"/>
    <s v="01.11.80.000.0000.0000"/>
    <n v="0"/>
    <s v="11"/>
    <s v="0000"/>
    <n v="14241.66"/>
    <n v="0"/>
    <s v="CREDITOR"/>
    <n v="0"/>
    <n v="0"/>
    <n v="0"/>
    <n v="0"/>
    <n v="0"/>
  </r>
  <r>
    <n v="61544701"/>
    <s v="N"/>
    <n v="21356685"/>
    <s v="3000015662120002RC"/>
    <s v="CIVIL"/>
    <d v="2023-06-30T00:00:00"/>
    <d v="2023-07-10T19:47:44"/>
    <m/>
    <d v="2023-07-10T00:00:00"/>
    <n v="1385"/>
    <n v="14320"/>
    <s v="61544701"/>
    <s v="61544701"/>
    <m/>
    <m/>
    <m/>
    <m/>
    <m/>
    <m/>
    <s v="SOLRECOUP"/>
    <s v="SOLRECOUP"/>
    <s v="POARECOUP"/>
    <n v="21356685"/>
    <n v="-141.6"/>
    <m/>
    <s v="Y"/>
    <n v="1"/>
    <d v="2023-07-10T19:47:46"/>
    <s v="N"/>
    <m/>
    <m/>
    <s v="Expert Disbursement"/>
    <m/>
    <s v="N"/>
    <n v="-118"/>
    <n v="0"/>
    <x v="2"/>
    <s v="VALIDATED"/>
    <n v="1"/>
    <s v="01.11.80.308.2013.0000"/>
    <n v="-118"/>
    <s v="11"/>
    <s v="2013"/>
    <n v="14241.66"/>
    <n v="-118"/>
    <s v="CREDITOR"/>
    <n v="0"/>
    <n v="0"/>
    <n v="-118"/>
    <n v="0"/>
    <n v="0"/>
  </r>
  <r>
    <n v="61544701"/>
    <s v="N"/>
    <n v="21356685"/>
    <s v="3000015662120002RC"/>
    <s v="CIVIL"/>
    <d v="2023-06-30T00:00:00"/>
    <d v="2023-07-10T19:47:44"/>
    <m/>
    <d v="2023-07-10T00:00:00"/>
    <n v="1385"/>
    <n v="14320"/>
    <s v="61544701"/>
    <s v="61544701"/>
    <m/>
    <m/>
    <m/>
    <m/>
    <m/>
    <m/>
    <s v="SOLRECOUP"/>
    <s v="SOLRECOUP"/>
    <s v="POARECOUP"/>
    <n v="21356685"/>
    <n v="-141.6"/>
    <m/>
    <s v="Y"/>
    <n v="2"/>
    <d v="2023-07-10T19:47:46"/>
    <s v="N"/>
    <m/>
    <m/>
    <s v="Expert Disbursement"/>
    <m/>
    <s v="N"/>
    <n v="0"/>
    <n v="-23.6"/>
    <x v="2"/>
    <s v="VALIDATED"/>
    <n v="1"/>
    <s v="01.11.80.308.2013.0000"/>
    <n v="-23.6"/>
    <s v="11"/>
    <s v="2013"/>
    <n v="14241.66"/>
    <n v="-23.6"/>
    <s v="CREDITOR"/>
    <n v="0"/>
    <n v="0"/>
    <n v="-23.6"/>
    <n v="0"/>
    <n v="0"/>
  </r>
  <r>
    <n v="61974674"/>
    <s v="N"/>
    <n v="21356686"/>
    <s v="3000016021300003RC"/>
    <s v="CIVIL"/>
    <d v="2023-06-29T00:00:00"/>
    <d v="2023-07-10T19:47:44"/>
    <m/>
    <d v="2023-07-10T00:00:00"/>
    <n v="1385"/>
    <n v="14320"/>
    <s v="61974674"/>
    <s v="61974674"/>
    <m/>
    <m/>
    <m/>
    <m/>
    <m/>
    <m/>
    <s v="SOLRECOUP"/>
    <s v="SOLRECOUP"/>
    <s v="POARECOUP"/>
    <n v="21356686"/>
    <n v="-1307.54"/>
    <m/>
    <s v="Y"/>
    <n v="1"/>
    <d v="2023-07-10T19:47:46"/>
    <s v="N"/>
    <m/>
    <m/>
    <s v="Profit Cost"/>
    <m/>
    <s v="N"/>
    <n v="-1089.62"/>
    <n v="0"/>
    <x v="2"/>
    <s v="VALIDATED"/>
    <n v="1"/>
    <s v="01.11.80.308.2013.0000"/>
    <n v="-1089.62"/>
    <s v="11"/>
    <s v="2013"/>
    <n v="14241.66"/>
    <n v="-1089.62"/>
    <s v="CREDITOR"/>
    <n v="0"/>
    <n v="0"/>
    <n v="-1089.62"/>
    <n v="-272.405"/>
    <n v="0"/>
  </r>
  <r>
    <n v="61974674"/>
    <s v="N"/>
    <n v="21349334"/>
    <s v="3000016021300005"/>
    <s v="CIVIL"/>
    <d v="2023-06-29T00:00:00"/>
    <d v="2023-07-10T19:01:40"/>
    <m/>
    <d v="2023-07-10T00:00:00"/>
    <n v="1385"/>
    <n v="14320"/>
    <s v="61974674"/>
    <s v="61974674"/>
    <m/>
    <m/>
    <n v="22788374"/>
    <m/>
    <m/>
    <m/>
    <s v="SOLFIN"/>
    <s v="SOLFIN"/>
    <s v="CCMS"/>
    <n v="21349334"/>
    <n v="4297.24"/>
    <m/>
    <s v="N"/>
    <n v="4"/>
    <d v="2023-07-10T19:01:47"/>
    <s v="Y"/>
    <s v="Court Fee"/>
    <s v="Public Law Children"/>
    <s v="Non Expert Disbursement"/>
    <s v="Rebecca Sykes"/>
    <s v="Y"/>
    <n v="167"/>
    <n v="0"/>
    <x v="2"/>
    <s v="VALIDATED"/>
    <n v="1"/>
    <s v="01.11.80.308.6300.0000"/>
    <n v="167"/>
    <s v="11"/>
    <s v="6300"/>
    <n v="14241.66"/>
    <n v="167"/>
    <s v="CREDITOR"/>
    <n v="0"/>
    <n v="0"/>
    <n v="0"/>
    <n v="0"/>
    <n v="167"/>
  </r>
  <r>
    <n v="10402861"/>
    <s v="N"/>
    <n v="21394775"/>
    <s v="3000006259200034"/>
    <s v="CIVIL"/>
    <d v="2023-06-29T00:00:00"/>
    <d v="2023-07-19T19:02:01"/>
    <m/>
    <d v="2023-07-19T00:00:00"/>
    <n v="1385"/>
    <n v="14320"/>
    <s v="10402861"/>
    <s v="10402861"/>
    <m/>
    <m/>
    <n v="22789916"/>
    <m/>
    <m/>
    <m/>
    <s v="SOLFIN"/>
    <s v="SOLFIN"/>
    <s v="CCMS"/>
    <n v="21394775"/>
    <n v="13967.72"/>
    <m/>
    <s v="N"/>
    <n v="7"/>
    <d v="2023-07-19T19:02:05"/>
    <s v="N"/>
    <s v="Court Fee"/>
    <s v="Care Remuneration Hourly Rates"/>
    <s v="Non Expert Disbursement"/>
    <s v="Rebecca Sykes"/>
    <s v="N"/>
    <n v="167"/>
    <n v="0"/>
    <x v="5"/>
    <s v="VALIDATED"/>
    <n v="1"/>
    <s v="01.11.80.308.6300.0000"/>
    <n v="167"/>
    <s v="11"/>
    <s v="6300"/>
    <n v="14241.66"/>
    <n v="167"/>
    <s v="CREDITOR"/>
    <n v="0"/>
    <n v="0"/>
    <n v="0"/>
    <n v="0"/>
    <n v="167"/>
  </r>
  <r>
    <n v="61387661"/>
    <s v="N"/>
    <n v="21327901"/>
    <s v="3000015531440007"/>
    <s v="CIVIL"/>
    <d v="2023-06-25T00:00:00"/>
    <d v="2023-07-04T19:00:44"/>
    <m/>
    <d v="2023-07-04T00:00:00"/>
    <n v="1385"/>
    <n v="14320"/>
    <s v="61387661"/>
    <s v="61387661"/>
    <m/>
    <m/>
    <n v="22756974"/>
    <m/>
    <m/>
    <m/>
    <s v="SOLFIN"/>
    <s v="SOLFIN"/>
    <s v="CCMS"/>
    <n v="21327901"/>
    <n v="5621.39"/>
    <m/>
    <s v="N"/>
    <n v="4"/>
    <d v="2023-07-04T19:00:58"/>
    <s v="Y"/>
    <s v="Final Hearing - 1 Day"/>
    <s v="Public Law Children"/>
    <s v="Advocacy"/>
    <s v="Rebecca Sykes"/>
    <s v="Y"/>
    <n v="556.88"/>
    <n v="111.38"/>
    <x v="1"/>
    <s v="VALIDATED"/>
    <n v="1"/>
    <s v="01.11.80.308.6100.0000"/>
    <n v="556.88"/>
    <s v="11"/>
    <s v="6100"/>
    <n v="14241.66"/>
    <n v="556.88"/>
    <s v="CREDITOR"/>
    <n v="0"/>
    <n v="0"/>
    <n v="0"/>
    <n v="0"/>
    <n v="556.88"/>
  </r>
  <r>
    <n v="61544701"/>
    <s v="N"/>
    <n v="21349712"/>
    <s v="3000015662120004"/>
    <s v="CIVIL"/>
    <d v="2023-06-30T00:00:00"/>
    <d v="2023-07-10T19:01:40"/>
    <m/>
    <d v="2023-07-10T00:00:00"/>
    <n v="1385"/>
    <n v="14320"/>
    <s v="61544701"/>
    <s v="61544701"/>
    <m/>
    <m/>
    <n v="22795446"/>
    <m/>
    <m/>
    <m/>
    <s v="SOLFIN"/>
    <s v="SOLFIN"/>
    <s v="CCMS"/>
    <n v="21349712"/>
    <n v="6707.94"/>
    <m/>
    <s v="N"/>
    <n v="6"/>
    <d v="2023-07-10T19:01:56"/>
    <s v="Y"/>
    <s v="Hearing Unit 2.31 - 5.00 Hours"/>
    <s v="Public Law Children"/>
    <s v="Advocacy"/>
    <s v="Denise Lockett"/>
    <s v="Y"/>
    <n v="476.92"/>
    <n v="95.38"/>
    <x v="2"/>
    <s v="VALIDATED"/>
    <n v="1"/>
    <s v="01.11.80.308.6100.0000"/>
    <n v="476.92"/>
    <s v="11"/>
    <s v="6100"/>
    <n v="14241.66"/>
    <n v="476.92"/>
    <s v="CREDITOR"/>
    <n v="0"/>
    <n v="0"/>
    <n v="0"/>
    <n v="0"/>
    <n v="476.92"/>
  </r>
  <r>
    <n v="61544701"/>
    <s v="N"/>
    <n v="21349712"/>
    <s v="3000015662120004"/>
    <s v="CIVIL"/>
    <d v="2023-06-30T00:00:00"/>
    <d v="2023-07-10T19:01:40"/>
    <m/>
    <d v="2023-07-10T00:00:00"/>
    <n v="1385"/>
    <n v="14320"/>
    <s v="61544701"/>
    <s v="61544701"/>
    <m/>
    <m/>
    <n v="22795446"/>
    <m/>
    <m/>
    <m/>
    <s v="SOLFIN"/>
    <s v="SOLFIN"/>
    <s v="CCMS"/>
    <n v="21349712"/>
    <n v="6707.94"/>
    <m/>
    <s v="N"/>
    <n v="9"/>
    <d v="2023-07-10T19:01:56"/>
    <s v="Y"/>
    <s v="Hearing Unit 2.31 - 5.00 Hours"/>
    <s v="Public Law Children"/>
    <s v="Advocacy"/>
    <s v="Denise Lockett"/>
    <s v="Y"/>
    <n v="476.92"/>
    <n v="95.38"/>
    <x v="2"/>
    <s v="VALIDATED"/>
    <n v="1"/>
    <s v="01.11.80.308.6100.0000"/>
    <n v="476.92"/>
    <s v="11"/>
    <s v="6100"/>
    <n v="14241.66"/>
    <n v="476.92"/>
    <s v="CREDITOR"/>
    <n v="0"/>
    <n v="0"/>
    <n v="0"/>
    <n v="0"/>
    <n v="476.92"/>
  </r>
  <r>
    <n v="60776644"/>
    <s v="N"/>
    <n v="21323961"/>
    <s v="3000015015000019"/>
    <s v="CIVIL"/>
    <d v="2023-06-30T00:00:00"/>
    <d v="2023-07-03T19:05:56"/>
    <m/>
    <d v="2023-07-03T00:00:00"/>
    <n v="1385"/>
    <n v="14320"/>
    <s v="60776644"/>
    <s v="60776644"/>
    <m/>
    <m/>
    <n v="22796368"/>
    <m/>
    <m/>
    <m/>
    <s v="SOLPOA"/>
    <s v="SOLPOA"/>
    <s v="CCMS"/>
    <n v="21323961"/>
    <n v="43.2"/>
    <m/>
    <s v="N"/>
    <n v="1"/>
    <d v="2023-07-03T19:05:59"/>
    <s v="N"/>
    <s v="Expert Cost"/>
    <s v="Expert Cost"/>
    <s v="Expert Disbursement"/>
    <s v="Hayley Jervis"/>
    <s v="N"/>
    <n v="36"/>
    <n v="7.2"/>
    <x v="3"/>
    <s v="VALIDATED"/>
    <n v="1"/>
    <s v="01.11.80.308.2012.0000"/>
    <n v="36"/>
    <s v="11"/>
    <s v="2012"/>
    <n v="14241.66"/>
    <n v="36"/>
    <s v="CREDITOR"/>
    <n v="36"/>
    <n v="0"/>
    <n v="0"/>
    <n v="0"/>
    <n v="0"/>
  </r>
  <r>
    <n v="10402861"/>
    <s v="N"/>
    <n v="21394775"/>
    <s v="3000006259200034"/>
    <s v="CIVIL"/>
    <d v="2023-06-29T00:00:00"/>
    <d v="2023-07-19T19:02:01"/>
    <m/>
    <d v="2023-07-19T00:00:00"/>
    <n v="1385"/>
    <n v="14320"/>
    <s v="10402861"/>
    <s v="10402861"/>
    <m/>
    <m/>
    <n v="22789916"/>
    <m/>
    <m/>
    <m/>
    <s v="SOLFIN"/>
    <s v="SOLFIN"/>
    <s v="CCMS"/>
    <n v="21394775"/>
    <n v="13967.72"/>
    <m/>
    <s v="N"/>
    <n v="6"/>
    <d v="2023-07-19T19:02:05"/>
    <s v="N"/>
    <s v="Court Fee"/>
    <s v="Care Remuneration Hourly Rates"/>
    <s v="Non Expert Disbursement"/>
    <s v="Rebecca Sykes"/>
    <s v="N"/>
    <n v="365"/>
    <n v="0"/>
    <x v="5"/>
    <s v="VALIDATED"/>
    <n v="1"/>
    <s v="01.11.80.308.6300.0000"/>
    <n v="365"/>
    <s v="11"/>
    <s v="6300"/>
    <n v="14241.66"/>
    <n v="365"/>
    <s v="CREDITOR"/>
    <n v="0"/>
    <n v="0"/>
    <n v="0"/>
    <n v="0"/>
    <n v="365"/>
  </r>
  <r>
    <n v="61387661"/>
    <s v="N"/>
    <n v="21327901"/>
    <s v="3000015531440007"/>
    <s v="CIVIL"/>
    <d v="2023-06-25T00:00:00"/>
    <d v="2023-07-04T19:00:44"/>
    <m/>
    <d v="2023-07-04T00:00:00"/>
    <n v="1385"/>
    <n v="14320"/>
    <s v="61387661"/>
    <s v="61387661"/>
    <m/>
    <m/>
    <n v="22756974"/>
    <m/>
    <m/>
    <m/>
    <s v="SOLFIN"/>
    <s v="SOLFIN"/>
    <s v="CCMS"/>
    <n v="21327901"/>
    <n v="5621.39"/>
    <m/>
    <s v="N"/>
    <n v="3"/>
    <d v="2023-07-04T19:00:58"/>
    <s v="Y"/>
    <s v="Psychologist"/>
    <s v="Public Law Children"/>
    <s v="Expert Disbursement"/>
    <s v="Rebecca Sykes"/>
    <s v="Y"/>
    <n v="792"/>
    <n v="158.4"/>
    <x v="1"/>
    <s v="VALIDATED"/>
    <n v="1"/>
    <s v="01.11.80.308.6300.0000"/>
    <n v="792"/>
    <s v="11"/>
    <s v="6300"/>
    <n v="14241.66"/>
    <n v="792"/>
    <s v="CREDITOR"/>
    <n v="0"/>
    <n v="0"/>
    <n v="0"/>
    <n v="0"/>
    <n v="792"/>
  </r>
  <r>
    <n v="61387661"/>
    <s v="N"/>
    <n v="21327901"/>
    <s v="3000015531440007"/>
    <s v="CIVIL"/>
    <d v="2023-06-25T00:00:00"/>
    <d v="2023-07-04T19:00:44"/>
    <m/>
    <d v="2023-07-04T00:00:00"/>
    <n v="1385"/>
    <n v="14320"/>
    <s v="61387661"/>
    <s v="61387661"/>
    <m/>
    <m/>
    <n v="22756974"/>
    <m/>
    <m/>
    <m/>
    <s v="SOLFIN"/>
    <s v="SOLFIN"/>
    <s v="CCMS"/>
    <n v="21327901"/>
    <n v="5621.39"/>
    <m/>
    <s v="N"/>
    <n v="7"/>
    <d v="2023-07-04T19:00:58"/>
    <s v="Y"/>
    <s v="Solicitors Fixed Fee"/>
    <s v="Public Law Children"/>
    <s v="Profit Cost"/>
    <s v="Rebecca Sykes"/>
    <s v="Y"/>
    <n v="2300"/>
    <n v="460"/>
    <x v="1"/>
    <s v="VALIDATED"/>
    <n v="1"/>
    <s v="01.11.80.308.6100.0000"/>
    <n v="2300"/>
    <s v="11"/>
    <s v="6100"/>
    <n v="14241.66"/>
    <n v="2300"/>
    <s v="CREDITOR"/>
    <n v="0"/>
    <n v="0"/>
    <n v="0"/>
    <n v="0"/>
    <n v="2300"/>
  </r>
  <r>
    <n v="61387661"/>
    <s v="N"/>
    <n v="21327901"/>
    <s v="3000015531440007"/>
    <s v="CIVIL"/>
    <d v="2023-06-25T00:00:00"/>
    <d v="2023-07-04T19:00:44"/>
    <m/>
    <d v="2023-07-04T00:00:00"/>
    <n v="1385"/>
    <n v="14320"/>
    <s v="61387661"/>
    <s v="61387661"/>
    <m/>
    <m/>
    <n v="22756974"/>
    <m/>
    <m/>
    <m/>
    <s v="SOLFIN"/>
    <s v="SOLFIN"/>
    <s v="CCMS"/>
    <n v="21327901"/>
    <n v="5621.39"/>
    <m/>
    <s v="N"/>
    <n v="5"/>
    <d v="2023-07-04T19:00:58"/>
    <s v="Y"/>
    <s v="Advocates Meeting"/>
    <s v="Public Law Children"/>
    <s v="Advocacy"/>
    <s v="Rebecca Sykes"/>
    <s v="Y"/>
    <n v="140.99"/>
    <n v="28.2"/>
    <x v="1"/>
    <s v="VALIDATED"/>
    <n v="1"/>
    <s v="01.11.80.308.6100.0000"/>
    <n v="140.99"/>
    <s v="11"/>
    <s v="6100"/>
    <n v="14241.66"/>
    <n v="140.99"/>
    <s v="CREDITOR"/>
    <n v="0"/>
    <n v="0"/>
    <n v="0"/>
    <n v="0"/>
    <n v="140.99"/>
  </r>
  <r>
    <n v="61387661"/>
    <s v="N"/>
    <n v="21327901"/>
    <s v="3000015531440007"/>
    <s v="CIVIL"/>
    <d v="2023-06-25T00:00:00"/>
    <d v="2023-07-04T19:00:44"/>
    <m/>
    <d v="2023-07-04T00:00:00"/>
    <n v="1385"/>
    <n v="14320"/>
    <s v="61387661"/>
    <s v="61387661"/>
    <m/>
    <m/>
    <n v="22756974"/>
    <m/>
    <m/>
    <m/>
    <s v="SOLFIN"/>
    <s v="SOLFIN"/>
    <s v="CCMS"/>
    <n v="21327901"/>
    <n v="5621.39"/>
    <m/>
    <s v="N"/>
    <n v="6"/>
    <d v="2023-07-04T19:00:58"/>
    <s v="Y"/>
    <s v="Hearing Unit 2.31 - 5.00 Hours"/>
    <s v="Public Law Children"/>
    <s v="Advocacy"/>
    <s v="Rebecca Sykes"/>
    <s v="Y"/>
    <n v="596.15"/>
    <n v="119.23"/>
    <x v="1"/>
    <s v="VALIDATED"/>
    <n v="1"/>
    <s v="01.11.80.308.6100.0000"/>
    <n v="596.15"/>
    <s v="11"/>
    <s v="6100"/>
    <n v="14241.66"/>
    <n v="596.15"/>
    <s v="CREDITOR"/>
    <n v="0"/>
    <n v="0"/>
    <n v="0"/>
    <n v="0"/>
    <n v="596.15"/>
  </r>
  <r>
    <n v="60652026"/>
    <s v="N"/>
    <n v="21318537"/>
    <s v="3000014906360013"/>
    <s v="CIVIL"/>
    <d v="2023-06-23T00:00:00"/>
    <d v="2023-07-03T19:01:49"/>
    <m/>
    <d v="2023-07-03T00:00:00"/>
    <n v="1385"/>
    <n v="14320"/>
    <s v="60652026"/>
    <s v="60652026"/>
    <m/>
    <m/>
    <n v="22751332"/>
    <m/>
    <m/>
    <m/>
    <s v="SOLFIN"/>
    <s v="SOLFIN"/>
    <s v="CCMS"/>
    <n v="21318537"/>
    <n v="4507.19"/>
    <m/>
    <s v="N"/>
    <n v="6"/>
    <d v="2023-07-03T19:01:58"/>
    <s v="Y"/>
    <s v="Solicitors Fixed Fee"/>
    <s v="Public Law Children"/>
    <s v="Profit Cost"/>
    <s v="Rebecca Sykes"/>
    <s v="Y"/>
    <n v="2300"/>
    <n v="460"/>
    <x v="3"/>
    <s v="VALIDATED"/>
    <n v="1"/>
    <s v="01.11.80.308.6100.0000"/>
    <n v="2300"/>
    <s v="11"/>
    <s v="6100"/>
    <n v="14241.66"/>
    <n v="2300"/>
    <s v="CREDITOR"/>
    <n v="0"/>
    <n v="0"/>
    <n v="0"/>
    <n v="0"/>
    <n v="2300"/>
  </r>
  <r>
    <n v="10402861"/>
    <s v="N"/>
    <n v="21394775"/>
    <s v="3000006259200034"/>
    <s v="CIVIL"/>
    <d v="2023-06-29T00:00:00"/>
    <d v="2023-07-19T19:02:01"/>
    <m/>
    <d v="2023-07-19T00:00:00"/>
    <n v="1385"/>
    <n v="14320"/>
    <s v="10402861"/>
    <s v="10402861"/>
    <m/>
    <m/>
    <n v="22789916"/>
    <m/>
    <m/>
    <m/>
    <s v="SOLFIN"/>
    <s v="SOLFIN"/>
    <s v="CCMS"/>
    <n v="21394775"/>
    <n v="13967.72"/>
    <m/>
    <s v="N"/>
    <n v="19"/>
    <d v="2023-07-19T19:02:05"/>
    <s v="Y"/>
    <s v="Psychologist"/>
    <s v="Care Remuneration Hourly Rates"/>
    <s v="Expert Disbursement"/>
    <s v="Rebecca Sykes"/>
    <s v="Y"/>
    <n v="296.55"/>
    <n v="59.31"/>
    <x v="5"/>
    <s v="VALIDATED"/>
    <n v="1"/>
    <s v="01.11.80.308.6300.0000"/>
    <n v="296.55"/>
    <s v="11"/>
    <s v="6300"/>
    <n v="14241.66"/>
    <n v="296.55"/>
    <s v="CREDITOR"/>
    <n v="0"/>
    <n v="0"/>
    <n v="0"/>
    <n v="0"/>
    <n v="296.55"/>
  </r>
  <r>
    <n v="61544701"/>
    <s v="N"/>
    <n v="21349712"/>
    <s v="3000015662120004"/>
    <s v="CIVIL"/>
    <d v="2023-06-30T00:00:00"/>
    <d v="2023-07-10T19:01:40"/>
    <m/>
    <d v="2023-07-10T00:00:00"/>
    <n v="1385"/>
    <n v="14320"/>
    <s v="61544701"/>
    <s v="61544701"/>
    <m/>
    <m/>
    <n v="22795446"/>
    <m/>
    <m/>
    <m/>
    <s v="SOLFIN"/>
    <s v="SOLFIN"/>
    <s v="CCMS"/>
    <n v="21349712"/>
    <n v="6707.94"/>
    <m/>
    <s v="N"/>
    <n v="5"/>
    <d v="2023-07-10T19:01:56"/>
    <s v="Y"/>
    <s v="Hearing Unit 2.31 - 5.00 Hours"/>
    <s v="Public Law Children"/>
    <s v="Advocacy"/>
    <s v="Denise Lockett"/>
    <s v="Y"/>
    <n v="476.92"/>
    <n v="95.38"/>
    <x v="2"/>
    <s v="VALIDATED"/>
    <n v="1"/>
    <s v="01.11.80.308.6100.0000"/>
    <n v="476.92"/>
    <s v="11"/>
    <s v="6100"/>
    <n v="14241.66"/>
    <n v="476.92"/>
    <s v="CREDITOR"/>
    <n v="0"/>
    <n v="0"/>
    <n v="0"/>
    <n v="0"/>
    <n v="476.92"/>
  </r>
  <r>
    <n v="10402861"/>
    <s v="N"/>
    <n v="21394775"/>
    <s v="3000006259200034"/>
    <s v="CIVIL"/>
    <d v="2023-06-29T00:00:00"/>
    <d v="2023-07-19T19:02:01"/>
    <m/>
    <d v="2023-07-19T00:00:00"/>
    <n v="1385"/>
    <n v="14320"/>
    <s v="10402861"/>
    <s v="10402861"/>
    <m/>
    <m/>
    <n v="22789916"/>
    <m/>
    <m/>
    <m/>
    <s v="SOLFIN"/>
    <s v="SOLFIN"/>
    <s v="CCMS"/>
    <n v="21394775"/>
    <n v="13967.72"/>
    <m/>
    <s v="N"/>
    <n v="9"/>
    <d v="2023-07-19T19:02:05"/>
    <s v="N"/>
    <s v="Profit Costs (Summary)"/>
    <s v="Care Remuneration Hourly Rates"/>
    <s v="Profit Cost"/>
    <s v="Rebecca Sykes"/>
    <s v="N"/>
    <n v="1009.69"/>
    <n v="201.94"/>
    <x v="5"/>
    <s v="VALIDATED"/>
    <n v="1"/>
    <s v="01.11.80.308.6100.0000"/>
    <n v="1009.69"/>
    <s v="11"/>
    <s v="6100"/>
    <n v="14241.66"/>
    <n v="1009.69"/>
    <s v="CREDITOR"/>
    <n v="0"/>
    <n v="0"/>
    <n v="0"/>
    <n v="0"/>
    <n v="1009.69"/>
  </r>
  <r>
    <n v="61609174"/>
    <s v="N"/>
    <n v="21318539"/>
    <s v="3000015715950002"/>
    <s v="CIVIL"/>
    <d v="2023-06-23T00:00:00"/>
    <d v="2023-07-03T19:01:49"/>
    <m/>
    <d v="2023-07-03T00:00:00"/>
    <n v="1385"/>
    <n v="14320"/>
    <s v="61609174"/>
    <s v="61609174"/>
    <m/>
    <m/>
    <n v="22751744"/>
    <m/>
    <m/>
    <m/>
    <s v="SOLFIN"/>
    <s v="SOLFIN"/>
    <s v="CCMS"/>
    <n v="21318539"/>
    <n v="4365.19"/>
    <m/>
    <s v="N"/>
    <n v="4"/>
    <d v="2023-07-03T19:01:58"/>
    <s v="Y"/>
    <s v="Hearing Unit 2.31 - 5.00 Hours"/>
    <s v="Public Law Children"/>
    <s v="Advocacy"/>
    <s v="Rebecca Sykes"/>
    <s v="Y"/>
    <n v="476.92"/>
    <n v="95.38"/>
    <x v="3"/>
    <s v="VALIDATED"/>
    <n v="1"/>
    <s v="01.11.80.308.6100.0000"/>
    <n v="476.92"/>
    <s v="11"/>
    <s v="6100"/>
    <n v="14241.66"/>
    <n v="476.92"/>
    <s v="CREDITOR"/>
    <n v="0"/>
    <n v="0"/>
    <n v="0"/>
    <n v="0"/>
    <n v="476.92"/>
  </r>
  <r>
    <n v="61387661"/>
    <s v="N"/>
    <n v="21327901"/>
    <s v="3000015531440007"/>
    <s v="CIVIL"/>
    <d v="2023-06-25T00:00:00"/>
    <d v="2023-07-04T19:00:44"/>
    <m/>
    <d v="2023-07-04T00:00:00"/>
    <n v="1385"/>
    <n v="14320"/>
    <s v="61387661"/>
    <s v="61387661"/>
    <m/>
    <m/>
    <n v="22756974"/>
    <m/>
    <m/>
    <m/>
    <s v="SOLFIN"/>
    <s v="SOLFIN"/>
    <s v="CCMS"/>
    <n v="21327901"/>
    <n v="5621.39"/>
    <m/>
    <s v="N"/>
    <n v="2"/>
    <d v="2023-07-04T19:00:58"/>
    <s v="Y"/>
    <s v="Court Fee"/>
    <s v="Public Law Children"/>
    <s v="Non Expert Disbursement"/>
    <s v="Rebecca Sykes"/>
    <s v="Y"/>
    <n v="167"/>
    <n v="0"/>
    <x v="1"/>
    <s v="VALIDATED"/>
    <n v="1"/>
    <s v="01.11.80.308.6300.0000"/>
    <n v="167"/>
    <s v="11"/>
    <s v="6300"/>
    <n v="14241.66"/>
    <n v="167"/>
    <s v="CREDITOR"/>
    <n v="0"/>
    <n v="0"/>
    <n v="0"/>
    <n v="0"/>
    <n v="167"/>
  </r>
  <r>
    <n v="9805489"/>
    <s v="N"/>
    <n v="21370469"/>
    <s v="3000005715280001"/>
    <s v="CIVIL"/>
    <d v="2023-06-28T00:00:00"/>
    <d v="2023-07-13T19:21:05"/>
    <m/>
    <d v="2023-07-13T00:00:00"/>
    <n v="1385"/>
    <n v="14320"/>
    <s v="9805489"/>
    <s v="9805489"/>
    <m/>
    <m/>
    <n v="22778368"/>
    <m/>
    <m/>
    <m/>
    <s v="SOLFIN"/>
    <s v="SOLFIN"/>
    <s v="CCMS"/>
    <n v="21370469"/>
    <n v="0"/>
    <m/>
    <s v="N"/>
    <n v="1"/>
    <d v="2023-07-13T19:21:27"/>
    <s v="N"/>
    <s v="NIL BILL"/>
    <s v="Prescribed Hourly Rates"/>
    <s v="Profit Cost"/>
    <s v="Rebecca Sykes"/>
    <s v="N"/>
    <n v="0"/>
    <n v="0"/>
    <x v="11"/>
    <s v="VALIDATED"/>
    <n v="1"/>
    <s v="01.11.80.305.6100.0000"/>
    <n v="0"/>
    <s v="11"/>
    <s v="6100"/>
    <n v="14241.66"/>
    <n v="0"/>
    <s v="CREDITOR"/>
    <n v="0"/>
    <n v="0"/>
    <n v="0"/>
    <n v="0"/>
    <n v="0"/>
  </r>
  <r>
    <n v="61053975"/>
    <s v="N"/>
    <n v="21338537"/>
    <s v="3000015252520005"/>
    <s v="CIVIL"/>
    <d v="2023-06-28T00:00:00"/>
    <d v="2023-07-06T19:21:01"/>
    <m/>
    <d v="2023-07-06T00:00:00"/>
    <n v="1385"/>
    <n v="14320"/>
    <s v="61053975"/>
    <s v="61053975"/>
    <m/>
    <m/>
    <n v="22778842"/>
    <m/>
    <m/>
    <m/>
    <s v="SOLFIN"/>
    <s v="SOLFIN"/>
    <s v="CCMS"/>
    <n v="21338537"/>
    <n v="4380.74"/>
    <m/>
    <s v="N"/>
    <n v="3"/>
    <d v="2023-07-06T19:21:28"/>
    <s v="Y"/>
    <s v="Final Hearing - 1 Day"/>
    <s v="Public Law Children"/>
    <s v="Advocacy"/>
    <s v="Hayley Jervis"/>
    <s v="Y"/>
    <n v="556.88"/>
    <n v="111.38"/>
    <x v="4"/>
    <s v="VALIDATED"/>
    <n v="1"/>
    <s v="01.11.80.308.6100.0000"/>
    <n v="556.88"/>
    <s v="11"/>
    <s v="6100"/>
    <n v="14241.66"/>
    <n v="556.88"/>
    <s v="CREDITOR"/>
    <n v="0"/>
    <n v="0"/>
    <n v="0"/>
    <n v="0"/>
    <n v="556.88"/>
  </r>
  <r>
    <n v="10402861"/>
    <s v="N"/>
    <n v="21394775"/>
    <s v="3000006259200034"/>
    <s v="CIVIL"/>
    <d v="2023-06-29T00:00:00"/>
    <d v="2023-07-19T19:02:01"/>
    <m/>
    <d v="2023-07-19T00:00:00"/>
    <n v="1385"/>
    <n v="14320"/>
    <s v="10402861"/>
    <s v="10402861"/>
    <m/>
    <m/>
    <n v="22789916"/>
    <m/>
    <m/>
    <m/>
    <s v="SOLFIN"/>
    <s v="SOLFIN"/>
    <s v="CCMS"/>
    <n v="21394775"/>
    <n v="13967.72"/>
    <m/>
    <s v="N"/>
    <n v="23"/>
    <d v="2023-07-19T19:02:05"/>
    <s v="N"/>
    <m/>
    <m/>
    <s v="Overall Adjustment"/>
    <m/>
    <s v="N"/>
    <n v="-2316.69"/>
    <n v="0"/>
    <x v="5"/>
    <s v="VALIDATED"/>
    <n v="1"/>
    <s v="01.11.80.308.6100.0000"/>
    <n v="-2316.69"/>
    <s v="11"/>
    <s v="6100"/>
    <n v="14241.66"/>
    <n v="-2316.69"/>
    <s v="CREDITOR"/>
    <n v="0"/>
    <n v="0"/>
    <n v="0"/>
    <n v="0"/>
    <n v="-2316.69"/>
  </r>
  <r>
    <n v="10402861"/>
    <s v="N"/>
    <n v="21394775"/>
    <s v="3000006259200034"/>
    <s v="CIVIL"/>
    <d v="2023-06-29T00:00:00"/>
    <d v="2023-07-19T19:02:01"/>
    <m/>
    <d v="2023-07-19T00:00:00"/>
    <n v="1385"/>
    <n v="14320"/>
    <s v="10402861"/>
    <s v="10402861"/>
    <m/>
    <m/>
    <n v="22789916"/>
    <m/>
    <m/>
    <m/>
    <s v="SOLFIN"/>
    <s v="SOLFIN"/>
    <s v="CCMS"/>
    <n v="21394775"/>
    <n v="13967.72"/>
    <m/>
    <s v="N"/>
    <n v="20"/>
    <d v="2023-07-19T19:02:05"/>
    <s v="Y"/>
    <s v="Psychologist"/>
    <s v="Care Remuneration Hourly Rates"/>
    <s v="Expert Disbursement"/>
    <s v="Rebecca Sykes"/>
    <s v="Y"/>
    <n v="90.75"/>
    <n v="18.15"/>
    <x v="5"/>
    <s v="VALIDATED"/>
    <n v="1"/>
    <s v="01.11.80.308.6300.0000"/>
    <n v="90.75"/>
    <s v="11"/>
    <s v="6300"/>
    <n v="14241.66"/>
    <n v="90.75"/>
    <s v="CREDITOR"/>
    <n v="0"/>
    <n v="0"/>
    <n v="0"/>
    <n v="0"/>
    <n v="90.75"/>
  </r>
  <r>
    <n v="60716496"/>
    <s v="N"/>
    <n v="21344034"/>
    <s v="3000014961840008"/>
    <s v="CIVIL"/>
    <d v="2023-06-29T00:00:00"/>
    <d v="2023-07-07T19:03:00"/>
    <m/>
    <d v="2023-07-07T00:00:00"/>
    <n v="1385"/>
    <n v="14320"/>
    <s v="60716496"/>
    <s v="60716496"/>
    <m/>
    <m/>
    <n v="22786214"/>
    <m/>
    <m/>
    <m/>
    <s v="SOLFIN"/>
    <s v="SOLFIN"/>
    <s v="CCMS"/>
    <n v="21344034"/>
    <n v="4650.82"/>
    <m/>
    <s v="N"/>
    <n v="2"/>
    <d v="2023-07-07T19:03:21"/>
    <s v="Y"/>
    <s v="Toxicologist"/>
    <s v="Public Law Children"/>
    <s v="Expert Disbursement"/>
    <s v="Hayley Jervis"/>
    <s v="Y"/>
    <n v="338"/>
    <n v="67.59999999999999"/>
    <x v="9"/>
    <s v="VALIDATED"/>
    <n v="1"/>
    <s v="01.11.80.308.6300.0000"/>
    <n v="338"/>
    <s v="11"/>
    <s v="6300"/>
    <n v="14241.66"/>
    <n v="338"/>
    <s v="CREDITOR"/>
    <n v="0"/>
    <n v="0"/>
    <n v="0"/>
    <n v="0"/>
    <n v="338"/>
  </r>
  <r>
    <n v="60652026"/>
    <s v="N"/>
    <n v="21318537"/>
    <s v="3000014906360013"/>
    <s v="CIVIL"/>
    <d v="2023-06-23T00:00:00"/>
    <d v="2023-07-03T19:01:49"/>
    <m/>
    <d v="2023-07-03T00:00:00"/>
    <n v="1385"/>
    <n v="14320"/>
    <s v="60652026"/>
    <s v="60652026"/>
    <m/>
    <m/>
    <n v="22751332"/>
    <m/>
    <m/>
    <m/>
    <s v="SOLFIN"/>
    <s v="SOLFIN"/>
    <s v="CCMS"/>
    <n v="21318537"/>
    <n v="4507.19"/>
    <m/>
    <s v="N"/>
    <n v="1"/>
    <d v="2023-07-03T19:01:58"/>
    <s v="Y"/>
    <s v="Toxicologist"/>
    <s v="Public Law Children"/>
    <s v="Expert Disbursement"/>
    <s v="Rebecca Sykes"/>
    <s v="Y"/>
    <n v="557.5"/>
    <n v="111.5"/>
    <x v="3"/>
    <s v="VALIDATED"/>
    <n v="1"/>
    <s v="01.11.80.308.6300.0000"/>
    <n v="557.5"/>
    <s v="11"/>
    <s v="6300"/>
    <n v="14241.66"/>
    <n v="557.5"/>
    <s v="CREDITOR"/>
    <n v="0"/>
    <n v="0"/>
    <n v="0"/>
    <n v="0"/>
    <n v="557.5"/>
  </r>
  <r>
    <n v="10402861"/>
    <s v="N"/>
    <n v="21394775"/>
    <s v="3000006259200034"/>
    <s v="CIVIL"/>
    <d v="2023-06-29T00:00:00"/>
    <d v="2023-07-19T19:02:01"/>
    <m/>
    <d v="2023-07-19T00:00:00"/>
    <n v="1385"/>
    <n v="14320"/>
    <s v="10402861"/>
    <s v="10402861"/>
    <m/>
    <m/>
    <n v="22789916"/>
    <m/>
    <m/>
    <m/>
    <s v="SOLFIN"/>
    <s v="SOLFIN"/>
    <s v="CCMS"/>
    <n v="21394775"/>
    <n v="13967.72"/>
    <m/>
    <s v="N"/>
    <n v="18"/>
    <d v="2023-07-19T19:02:05"/>
    <s v="Y"/>
    <s v="Toxicologist"/>
    <s v="Care Remuneration Hourly Rates"/>
    <s v="Expert Disbursement"/>
    <s v="Rebecca Sykes"/>
    <s v="Y"/>
    <n v="27.5"/>
    <n v="5.5"/>
    <x v="5"/>
    <s v="VALIDATED"/>
    <n v="1"/>
    <s v="01.11.80.308.6300.0000"/>
    <n v="27.5"/>
    <s v="11"/>
    <s v="6300"/>
    <n v="14241.66"/>
    <n v="27.5"/>
    <s v="CREDITOR"/>
    <n v="0"/>
    <n v="0"/>
    <n v="0"/>
    <n v="0"/>
    <n v="27.5"/>
  </r>
  <r>
    <n v="10402861"/>
    <s v="N"/>
    <n v="21394775"/>
    <s v="3000006259200034"/>
    <s v="CIVIL"/>
    <d v="2023-06-29T00:00:00"/>
    <d v="2023-07-19T19:02:01"/>
    <m/>
    <d v="2023-07-19T00:00:00"/>
    <n v="1385"/>
    <n v="14320"/>
    <s v="10402861"/>
    <s v="10402861"/>
    <m/>
    <m/>
    <n v="22789916"/>
    <m/>
    <m/>
    <m/>
    <s v="SOLFIN"/>
    <s v="SOLFIN"/>
    <s v="CCMS"/>
    <n v="21394775"/>
    <n v="13967.72"/>
    <m/>
    <s v="N"/>
    <n v="2"/>
    <d v="2023-07-19T19:02:05"/>
    <s v="N"/>
    <s v="Court Fee"/>
    <s v="Care Remuneration Hourly Rates"/>
    <s v="Non Expert Disbursement"/>
    <s v="Rebecca Sykes"/>
    <s v="N"/>
    <n v="155"/>
    <n v="0"/>
    <x v="5"/>
    <s v="VALIDATED"/>
    <n v="1"/>
    <s v="01.11.80.308.6300.0000"/>
    <n v="155"/>
    <s v="11"/>
    <s v="6300"/>
    <n v="14241.66"/>
    <n v="155"/>
    <s v="CREDITOR"/>
    <n v="0"/>
    <n v="0"/>
    <n v="0"/>
    <n v="0"/>
    <n v="155"/>
  </r>
  <r>
    <n v="10402861"/>
    <s v="N"/>
    <n v="21394775"/>
    <s v="3000006259200034"/>
    <s v="CIVIL"/>
    <d v="2023-06-29T00:00:00"/>
    <d v="2023-07-19T19:02:01"/>
    <m/>
    <d v="2023-07-19T00:00:00"/>
    <n v="1385"/>
    <n v="14320"/>
    <s v="10402861"/>
    <s v="10402861"/>
    <m/>
    <m/>
    <n v="22789916"/>
    <m/>
    <m/>
    <m/>
    <s v="SOLFIN"/>
    <s v="SOLFIN"/>
    <s v="CCMS"/>
    <n v="21394775"/>
    <n v="13967.72"/>
    <m/>
    <s v="N"/>
    <n v="15"/>
    <d v="2023-07-19T19:02:05"/>
    <s v="Y"/>
    <s v="Child psychologist"/>
    <s v="Care Remuneration Hourly Rates"/>
    <s v="Expert Disbursement"/>
    <s v="Rebecca Sykes"/>
    <s v="Y"/>
    <n v="392.17"/>
    <n v="78.43000000000001"/>
    <x v="5"/>
    <s v="VALIDATED"/>
    <n v="1"/>
    <s v="01.11.80.308.6300.0000"/>
    <n v="392.17"/>
    <s v="11"/>
    <s v="6300"/>
    <n v="14241.66"/>
    <n v="392.17"/>
    <s v="CREDITOR"/>
    <n v="0"/>
    <n v="0"/>
    <n v="0"/>
    <n v="0"/>
    <n v="392.17"/>
  </r>
  <r>
    <n v="61053975"/>
    <s v="N"/>
    <n v="21338537"/>
    <s v="3000015252520005"/>
    <s v="CIVIL"/>
    <d v="2023-06-28T00:00:00"/>
    <d v="2023-07-06T19:21:01"/>
    <m/>
    <d v="2023-07-06T00:00:00"/>
    <n v="1385"/>
    <n v="14320"/>
    <s v="61053975"/>
    <s v="61053975"/>
    <m/>
    <m/>
    <n v="22778842"/>
    <m/>
    <m/>
    <m/>
    <s v="SOLFIN"/>
    <s v="SOLFIN"/>
    <s v="CCMS"/>
    <n v="21338537"/>
    <n v="4380.74"/>
    <m/>
    <s v="N"/>
    <n v="2"/>
    <d v="2023-07-06T19:21:28"/>
    <s v="Y"/>
    <s v="Toxicologist"/>
    <s v="Public Law Children"/>
    <s v="Expert Disbursement"/>
    <s v="Hayley Jervis"/>
    <s v="Y"/>
    <n v="743.33"/>
    <n v="148.67"/>
    <x v="4"/>
    <s v="VALIDATED"/>
    <n v="1"/>
    <s v="01.11.80.308.6300.0000"/>
    <n v="743.33"/>
    <s v="11"/>
    <s v="6300"/>
    <n v="14241.66"/>
    <n v="743.33"/>
    <s v="CREDITOR"/>
    <n v="0"/>
    <n v="0"/>
    <n v="0"/>
    <n v="0"/>
    <n v="743.33"/>
  </r>
  <r>
    <n v="10402861"/>
    <s v="N"/>
    <n v="21394775"/>
    <s v="3000006259200034"/>
    <s v="CIVIL"/>
    <d v="2023-06-29T00:00:00"/>
    <d v="2023-07-19T19:02:01"/>
    <m/>
    <d v="2023-07-19T00:00:00"/>
    <n v="1385"/>
    <n v="14320"/>
    <s v="10402861"/>
    <s v="10402861"/>
    <m/>
    <m/>
    <n v="22789916"/>
    <m/>
    <m/>
    <m/>
    <s v="SOLFIN"/>
    <s v="SOLFIN"/>
    <s v="CCMS"/>
    <n v="21394775"/>
    <n v="13967.72"/>
    <m/>
    <s v="N"/>
    <n v="22"/>
    <d v="2023-07-19T19:02:05"/>
    <s v="N"/>
    <s v="Solicitors Fixed Fee"/>
    <s v="Public Law Children"/>
    <s v="Profit Cost"/>
    <s v="Rebecca Sykes"/>
    <s v="N"/>
    <n v="0"/>
    <n v="0"/>
    <x v="5"/>
    <s v="VALIDATED"/>
    <n v="1"/>
    <s v="01.11.80.308.6100.0000"/>
    <n v="0"/>
    <s v="11"/>
    <s v="6100"/>
    <n v="14241.66"/>
    <n v="0"/>
    <s v="CREDITOR"/>
    <n v="0"/>
    <n v="0"/>
    <n v="0"/>
    <n v="0"/>
    <n v="0"/>
  </r>
  <r>
    <n v="61609174"/>
    <s v="N"/>
    <n v="21318539"/>
    <s v="3000015715950002"/>
    <s v="CIVIL"/>
    <d v="2023-06-23T00:00:00"/>
    <d v="2023-07-03T19:01:49"/>
    <m/>
    <d v="2023-07-03T00:00:00"/>
    <n v="1385"/>
    <n v="14320"/>
    <s v="61609174"/>
    <s v="61609174"/>
    <m/>
    <m/>
    <n v="22751744"/>
    <m/>
    <m/>
    <m/>
    <s v="SOLFIN"/>
    <s v="SOLFIN"/>
    <s v="CCMS"/>
    <n v="21318539"/>
    <n v="4365.19"/>
    <m/>
    <s v="N"/>
    <n v="5"/>
    <d v="2023-07-03T19:01:58"/>
    <s v="Y"/>
    <s v="Hearing Unit 1.01 - 2.30 Hours"/>
    <s v="Public Law Children"/>
    <s v="Advocacy"/>
    <s v="Rebecca Sykes"/>
    <s v="Y"/>
    <n v="238.46"/>
    <n v="47.69"/>
    <x v="3"/>
    <s v="VALIDATED"/>
    <n v="1"/>
    <s v="01.11.80.308.6100.0000"/>
    <n v="238.46"/>
    <s v="11"/>
    <s v="6100"/>
    <n v="14241.66"/>
    <n v="238.46"/>
    <s v="CREDITOR"/>
    <n v="0"/>
    <n v="0"/>
    <n v="0"/>
    <n v="0"/>
    <n v="238.46"/>
  </r>
  <r>
    <n v="10402861"/>
    <s v="N"/>
    <n v="21394775"/>
    <s v="3000006259200034"/>
    <s v="CIVIL"/>
    <d v="2023-06-29T00:00:00"/>
    <d v="2023-07-19T19:02:01"/>
    <m/>
    <d v="2023-07-19T00:00:00"/>
    <n v="1385"/>
    <n v="14320"/>
    <s v="10402861"/>
    <s v="10402861"/>
    <m/>
    <m/>
    <n v="22789916"/>
    <m/>
    <m/>
    <m/>
    <s v="SOLFIN"/>
    <s v="SOLFIN"/>
    <s v="CCMS"/>
    <n v="21394775"/>
    <n v="13967.72"/>
    <m/>
    <s v="N"/>
    <n v="5"/>
    <d v="2023-07-19T19:02:05"/>
    <s v="N"/>
    <s v="Court Fee"/>
    <s v="Care Remuneration Hourly Rates"/>
    <s v="Non Expert Disbursement"/>
    <s v="Rebecca Sykes"/>
    <s v="N"/>
    <n v="155"/>
    <n v="0"/>
    <x v="5"/>
    <s v="VALIDATED"/>
    <n v="1"/>
    <s v="01.11.80.308.6300.0000"/>
    <n v="155"/>
    <s v="11"/>
    <s v="6300"/>
    <n v="14241.66"/>
    <n v="155"/>
    <s v="CREDITOR"/>
    <n v="0"/>
    <n v="0"/>
    <n v="0"/>
    <n v="0"/>
    <n v="155"/>
  </r>
  <r>
    <n v="60652026"/>
    <s v="N"/>
    <n v="21318537"/>
    <s v="3000014906360013"/>
    <s v="CIVIL"/>
    <d v="2023-06-23T00:00:00"/>
    <d v="2023-07-03T19:01:49"/>
    <m/>
    <d v="2023-07-03T00:00:00"/>
    <n v="1385"/>
    <n v="14320"/>
    <s v="60652026"/>
    <s v="60652026"/>
    <m/>
    <m/>
    <n v="22751332"/>
    <m/>
    <m/>
    <m/>
    <s v="SOLFIN"/>
    <s v="SOLFIN"/>
    <s v="CCMS"/>
    <n v="21318537"/>
    <n v="4507.19"/>
    <m/>
    <s v="N"/>
    <n v="3"/>
    <d v="2023-07-03T19:01:58"/>
    <s v="Y"/>
    <s v="Toxicologist"/>
    <s v="Public Law Children"/>
    <s v="Expert Disbursement"/>
    <s v="Rebecca Sykes"/>
    <s v="Y"/>
    <n v="194.5"/>
    <n v="38.9"/>
    <x v="3"/>
    <s v="VALIDATED"/>
    <n v="1"/>
    <s v="01.11.80.308.6300.0000"/>
    <n v="194.5"/>
    <s v="11"/>
    <s v="6300"/>
    <n v="14241.66"/>
    <n v="194.5"/>
    <s v="CREDITOR"/>
    <n v="0"/>
    <n v="0"/>
    <n v="0"/>
    <n v="0"/>
    <n v="194.5"/>
  </r>
  <r>
    <n v="10402861"/>
    <s v="N"/>
    <n v="21394775"/>
    <s v="3000006259200034"/>
    <s v="CIVIL"/>
    <d v="2023-06-29T00:00:00"/>
    <d v="2023-07-19T19:02:01"/>
    <m/>
    <d v="2023-07-19T00:00:00"/>
    <n v="1385"/>
    <n v="14320"/>
    <s v="10402861"/>
    <s v="10402861"/>
    <m/>
    <m/>
    <n v="22789916"/>
    <m/>
    <m/>
    <m/>
    <s v="SOLFIN"/>
    <s v="SOLFIN"/>
    <s v="CCMS"/>
    <n v="21394775"/>
    <n v="13967.72"/>
    <m/>
    <s v="N"/>
    <n v="10"/>
    <d v="2023-07-19T19:02:05"/>
    <s v="Y"/>
    <s v="Psychologist"/>
    <s v="Care Remuneration Hourly Rates"/>
    <s v="Expert Disbursement"/>
    <s v="Rebecca Sykes"/>
    <s v="Y"/>
    <n v="304.1"/>
    <n v="60.82"/>
    <x v="5"/>
    <s v="VALIDATED"/>
    <n v="1"/>
    <s v="01.11.80.308.6300.0000"/>
    <n v="304.1"/>
    <s v="11"/>
    <s v="6300"/>
    <n v="14241.66"/>
    <n v="304.1"/>
    <s v="CREDITOR"/>
    <n v="0"/>
    <n v="0"/>
    <n v="0"/>
    <n v="0"/>
    <n v="304.1"/>
  </r>
  <r>
    <n v="61544701"/>
    <s v="N"/>
    <n v="21349712"/>
    <s v="3000015662120004"/>
    <s v="CIVIL"/>
    <d v="2023-06-30T00:00:00"/>
    <d v="2023-07-10T19:01:40"/>
    <m/>
    <d v="2023-07-10T00:00:00"/>
    <n v="1385"/>
    <n v="14320"/>
    <s v="61544701"/>
    <s v="61544701"/>
    <m/>
    <m/>
    <n v="22795446"/>
    <m/>
    <m/>
    <m/>
    <s v="SOLFIN"/>
    <s v="SOLFIN"/>
    <s v="CCMS"/>
    <n v="21349712"/>
    <n v="6707.94"/>
    <m/>
    <s v="N"/>
    <n v="1"/>
    <d v="2023-07-10T19:01:56"/>
    <s v="Y"/>
    <s v="Final Hearing Court Bundle/Advocate"/>
    <s v="Public Law Children"/>
    <s v="Advocacy"/>
    <s v="Denise Lockett"/>
    <s v="Y"/>
    <n v="239.4"/>
    <n v="47.88"/>
    <x v="2"/>
    <s v="VALIDATED"/>
    <n v="1"/>
    <s v="01.11.80.308.6100.0000"/>
    <n v="239.4"/>
    <s v="11"/>
    <s v="6100"/>
    <n v="14241.66"/>
    <n v="239.4"/>
    <s v="CREDITOR"/>
    <n v="0"/>
    <n v="0"/>
    <n v="0"/>
    <n v="0"/>
    <n v="239.4"/>
  </r>
  <r>
    <n v="61609174"/>
    <s v="N"/>
    <n v="21318539"/>
    <s v="3000015715950002"/>
    <s v="CIVIL"/>
    <d v="2023-06-23T00:00:00"/>
    <d v="2023-07-03T19:01:49"/>
    <m/>
    <d v="2023-07-03T00:00:00"/>
    <n v="1385"/>
    <n v="14320"/>
    <s v="61609174"/>
    <s v="61609174"/>
    <m/>
    <m/>
    <n v="22751744"/>
    <m/>
    <m/>
    <m/>
    <s v="SOLFIN"/>
    <s v="SOLFIN"/>
    <s v="CCMS"/>
    <n v="21318539"/>
    <n v="4365.19"/>
    <m/>
    <s v="N"/>
    <n v="3"/>
    <d v="2023-07-03T19:01:58"/>
    <s v="Y"/>
    <s v="Final Hearing - 1 Day"/>
    <s v="Public Law Children"/>
    <s v="Advocacy"/>
    <s v="Rebecca Sykes"/>
    <s v="Y"/>
    <n v="556.88"/>
    <n v="111.38"/>
    <x v="3"/>
    <s v="VALIDATED"/>
    <n v="1"/>
    <s v="01.11.80.308.6100.0000"/>
    <n v="556.88"/>
    <s v="11"/>
    <s v="6100"/>
    <n v="14241.66"/>
    <n v="556.88"/>
    <s v="CREDITOR"/>
    <n v="0"/>
    <n v="0"/>
    <n v="0"/>
    <n v="0"/>
    <n v="556.88"/>
  </r>
  <r>
    <n v="60716496"/>
    <s v="N"/>
    <n v="21344034"/>
    <s v="3000014961840008"/>
    <s v="CIVIL"/>
    <d v="2023-06-29T00:00:00"/>
    <d v="2023-07-07T19:03:00"/>
    <m/>
    <d v="2023-07-07T00:00:00"/>
    <n v="1385"/>
    <n v="14320"/>
    <s v="60716496"/>
    <s v="60716496"/>
    <m/>
    <m/>
    <n v="22786214"/>
    <m/>
    <m/>
    <m/>
    <s v="SOLFIN"/>
    <s v="SOLFIN"/>
    <s v="CCMS"/>
    <n v="21344034"/>
    <n v="4650.82"/>
    <m/>
    <s v="N"/>
    <n v="7"/>
    <d v="2023-07-07T19:03:21"/>
    <s v="Y"/>
    <s v="Advocates Meeting"/>
    <s v="Public Law Children"/>
    <s v="Advocacy"/>
    <s v="Hayley Jervis"/>
    <s v="Y"/>
    <n v="140.99"/>
    <n v="28.2"/>
    <x v="9"/>
    <s v="VALIDATED"/>
    <n v="1"/>
    <s v="01.11.80.308.6100.0000"/>
    <n v="140.99"/>
    <s v="11"/>
    <s v="6100"/>
    <n v="14241.66"/>
    <n v="140.99"/>
    <s v="CREDITOR"/>
    <n v="0"/>
    <n v="0"/>
    <n v="0"/>
    <n v="0"/>
    <n v="140.99"/>
  </r>
  <r>
    <n v="10402861"/>
    <s v="N"/>
    <n v="21394775"/>
    <s v="3000006259200034"/>
    <s v="CIVIL"/>
    <d v="2023-06-29T00:00:00"/>
    <d v="2023-07-19T19:02:01"/>
    <m/>
    <d v="2023-07-19T00:00:00"/>
    <n v="1385"/>
    <n v="14320"/>
    <s v="10402861"/>
    <s v="10402861"/>
    <m/>
    <m/>
    <n v="22789916"/>
    <m/>
    <m/>
    <m/>
    <s v="SOLFIN"/>
    <s v="SOLFIN"/>
    <s v="CCMS"/>
    <n v="21394775"/>
    <n v="13967.72"/>
    <m/>
    <s v="N"/>
    <n v="14"/>
    <d v="2023-07-19T19:02:05"/>
    <s v="Y"/>
    <s v="Solicitor Travel Expenses"/>
    <s v="Care Remuneration Hourly Rates"/>
    <s v="Non Expert Disbursement"/>
    <s v="Rebecca Sykes"/>
    <s v="Y"/>
    <n v="4.75"/>
    <n v="0.95"/>
    <x v="5"/>
    <s v="VALIDATED"/>
    <n v="1"/>
    <s v="01.11.80.308.6300.0000"/>
    <n v="4.75"/>
    <s v="11"/>
    <s v="6300"/>
    <n v="14241.66"/>
    <n v="4.75"/>
    <s v="CREDITOR"/>
    <n v="0"/>
    <n v="0"/>
    <n v="0"/>
    <n v="0"/>
    <n v="4.75"/>
  </r>
  <r>
    <n v="61387661"/>
    <s v="N"/>
    <n v="21327901"/>
    <s v="3000015531440007"/>
    <s v="CIVIL"/>
    <d v="2023-06-25T00:00:00"/>
    <d v="2023-07-04T19:00:44"/>
    <m/>
    <d v="2023-07-04T00:00:00"/>
    <n v="1385"/>
    <n v="14320"/>
    <s v="61387661"/>
    <s v="61387661"/>
    <m/>
    <m/>
    <n v="22756974"/>
    <m/>
    <m/>
    <m/>
    <s v="SOLFIN"/>
    <s v="SOLFIN"/>
    <s v="CCMS"/>
    <n v="21327901"/>
    <n v="5621.39"/>
    <m/>
    <s v="N"/>
    <n v="1"/>
    <d v="2023-07-04T19:00:58"/>
    <s v="Y"/>
    <s v="Final Hearing Court Bundle/Advocate"/>
    <s v="Public Law Children"/>
    <s v="Advocacy"/>
    <s v="Rebecca Sykes"/>
    <s v="Y"/>
    <n v="159.3"/>
    <n v="31.86"/>
    <x v="1"/>
    <s v="VALIDATED"/>
    <n v="1"/>
    <s v="01.11.80.308.6100.0000"/>
    <n v="159.3"/>
    <s v="11"/>
    <s v="6100"/>
    <n v="14241.66"/>
    <n v="159.3"/>
    <s v="CREDITOR"/>
    <n v="0"/>
    <n v="0"/>
    <n v="0"/>
    <n v="0"/>
    <n v="159.3"/>
  </r>
  <r>
    <n v="60716496"/>
    <s v="N"/>
    <n v="21344034"/>
    <s v="3000014961840008"/>
    <s v="CIVIL"/>
    <d v="2023-06-29T00:00:00"/>
    <d v="2023-07-07T19:03:00"/>
    <m/>
    <d v="2023-07-07T00:00:00"/>
    <n v="1385"/>
    <n v="14320"/>
    <s v="60716496"/>
    <s v="60716496"/>
    <m/>
    <m/>
    <n v="22786214"/>
    <m/>
    <m/>
    <m/>
    <s v="SOLFIN"/>
    <s v="SOLFIN"/>
    <s v="CCMS"/>
    <n v="21344034"/>
    <n v="4650.82"/>
    <m/>
    <s v="N"/>
    <n v="4"/>
    <d v="2023-07-07T19:03:21"/>
    <s v="Y"/>
    <s v="Toxicologist"/>
    <s v="Public Law Children"/>
    <s v="Expert Disbursement"/>
    <s v="Hayley Jervis"/>
    <s v="Y"/>
    <n v="182.75"/>
    <n v="36.55"/>
    <x v="9"/>
    <s v="VALIDATED"/>
    <n v="1"/>
    <s v="01.11.80.308.6300.0000"/>
    <n v="182.75"/>
    <s v="11"/>
    <s v="6300"/>
    <n v="14241.66"/>
    <n v="182.75"/>
    <s v="CREDITOR"/>
    <n v="0"/>
    <n v="0"/>
    <n v="0"/>
    <n v="0"/>
    <n v="182.75"/>
  </r>
  <r>
    <n v="10402861"/>
    <s v="N"/>
    <n v="21394775"/>
    <s v="3000006259200034"/>
    <s v="CIVIL"/>
    <d v="2023-06-29T00:00:00"/>
    <d v="2023-07-19T19:02:01"/>
    <m/>
    <d v="2023-07-19T00:00:00"/>
    <n v="1385"/>
    <n v="14320"/>
    <s v="10402861"/>
    <s v="10402861"/>
    <m/>
    <m/>
    <n v="22789916"/>
    <m/>
    <m/>
    <m/>
    <s v="SOLFIN"/>
    <s v="SOLFIN"/>
    <s v="CCMS"/>
    <n v="21394775"/>
    <n v="13967.72"/>
    <m/>
    <s v="N"/>
    <n v="3"/>
    <d v="2023-07-19T19:02:05"/>
    <s v="N"/>
    <s v="Court Fee"/>
    <s v="Care Remuneration Hourly Rates"/>
    <s v="Non Expert Disbursement"/>
    <s v="Rebecca Sykes"/>
    <s v="N"/>
    <n v="155"/>
    <n v="0"/>
    <x v="5"/>
    <s v="VALIDATED"/>
    <n v="1"/>
    <s v="01.11.80.308.6300.0000"/>
    <n v="155"/>
    <s v="11"/>
    <s v="6300"/>
    <n v="14241.66"/>
    <n v="155"/>
    <s v="CREDITOR"/>
    <n v="0"/>
    <n v="0"/>
    <n v="0"/>
    <n v="0"/>
    <n v="155"/>
  </r>
  <r>
    <n v="61974674"/>
    <s v="N"/>
    <n v="21349334"/>
    <s v="3000016021300005"/>
    <s v="CIVIL"/>
    <d v="2023-06-29T00:00:00"/>
    <d v="2023-07-10T19:01:40"/>
    <m/>
    <d v="2023-07-10T00:00:00"/>
    <n v="1385"/>
    <n v="14320"/>
    <s v="61974674"/>
    <s v="61974674"/>
    <m/>
    <m/>
    <n v="22788374"/>
    <m/>
    <m/>
    <m/>
    <s v="SOLFIN"/>
    <s v="SOLFIN"/>
    <s v="CCMS"/>
    <n v="21349334"/>
    <n v="4297.24"/>
    <m/>
    <s v="N"/>
    <n v="1"/>
    <d v="2023-07-10T19:01:47"/>
    <s v="Y"/>
    <s v="Solicitor Travel Expenses"/>
    <s v="Public Law Children"/>
    <s v="Non Expert Disbursement"/>
    <s v="Rebecca Sykes"/>
    <s v="Y"/>
    <n v="6"/>
    <n v="1.2"/>
    <x v="2"/>
    <s v="VALIDATED"/>
    <n v="1"/>
    <s v="01.11.80.308.6300.0000"/>
    <n v="6"/>
    <s v="11"/>
    <s v="6300"/>
    <n v="14241.66"/>
    <n v="6"/>
    <s v="CREDITOR"/>
    <n v="0"/>
    <n v="0"/>
    <n v="0"/>
    <n v="0"/>
    <n v="6"/>
  </r>
  <r>
    <n v="61053975"/>
    <s v="N"/>
    <n v="21338537"/>
    <s v="3000015252520005"/>
    <s v="CIVIL"/>
    <d v="2023-06-28T00:00:00"/>
    <d v="2023-07-06T19:21:01"/>
    <m/>
    <d v="2023-07-06T00:00:00"/>
    <n v="1385"/>
    <n v="14320"/>
    <s v="61053975"/>
    <s v="61053975"/>
    <m/>
    <m/>
    <n v="22778842"/>
    <m/>
    <m/>
    <m/>
    <s v="SOLFIN"/>
    <s v="SOLFIN"/>
    <s v="CCMS"/>
    <n v="21338537"/>
    <n v="4380.74"/>
    <m/>
    <s v="N"/>
    <n v="1"/>
    <d v="2023-07-06T19:21:28"/>
    <s v="Y"/>
    <s v="GP (records report)"/>
    <s v="Public Law Children"/>
    <s v="Expert Disbursement"/>
    <s v="Hayley Jervis"/>
    <s v="Y"/>
    <n v="50.4"/>
    <n v="10.08"/>
    <x v="4"/>
    <s v="VALIDATED"/>
    <n v="1"/>
    <s v="01.11.80.308.6300.0000"/>
    <n v="50.4"/>
    <s v="11"/>
    <s v="6300"/>
    <n v="14241.66"/>
    <n v="50.4"/>
    <s v="CREDITOR"/>
    <n v="0"/>
    <n v="0"/>
    <n v="0"/>
    <n v="0"/>
    <n v="50.4"/>
  </r>
  <r>
    <n v="11673162"/>
    <s v="N"/>
    <n v="21392443"/>
    <s v="3000007023000004"/>
    <s v="CIVIL"/>
    <d v="2023-06-28T00:00:00"/>
    <d v="2023-07-18T19:00:27"/>
    <m/>
    <d v="2023-07-18T00:00:00"/>
    <n v="1385"/>
    <n v="14320"/>
    <s v="11673162"/>
    <s v="11673162"/>
    <m/>
    <m/>
    <n v="22780232"/>
    <m/>
    <m/>
    <m/>
    <s v="SOLFIN"/>
    <s v="SOLFIN"/>
    <s v="CCMS"/>
    <n v="21392443"/>
    <n v="0"/>
    <m/>
    <s v="N"/>
    <n v="1"/>
    <d v="2023-07-18T19:00:50"/>
    <s v="N"/>
    <s v="NIL BILL"/>
    <s v="Domestic Abuse"/>
    <s v="Profit Cost"/>
    <s v="Leanne Gwinneth"/>
    <s v="N"/>
    <n v="0"/>
    <n v="0"/>
    <x v="14"/>
    <s v="VALIDATED"/>
    <n v="1"/>
    <s v="01.11.80.302.6100.0000"/>
    <n v="0"/>
    <s v="11"/>
    <s v="6100"/>
    <n v="14241.66"/>
    <n v="0"/>
    <s v="CREDITOR"/>
    <n v="0"/>
    <n v="0"/>
    <n v="0"/>
    <n v="0"/>
    <n v="0"/>
  </r>
  <r>
    <n v="61544701"/>
    <s v="N"/>
    <n v="21349712"/>
    <s v="3000015662120004"/>
    <s v="CIVIL"/>
    <d v="2023-06-30T00:00:00"/>
    <d v="2023-07-10T19:01:40"/>
    <m/>
    <d v="2023-07-10T00:00:00"/>
    <n v="1385"/>
    <n v="14320"/>
    <s v="61544701"/>
    <s v="61544701"/>
    <m/>
    <m/>
    <n v="22795446"/>
    <m/>
    <m/>
    <m/>
    <s v="SOLFIN"/>
    <s v="SOLFIN"/>
    <s v="CCMS"/>
    <n v="21349712"/>
    <n v="6707.94"/>
    <m/>
    <s v="N"/>
    <n v="8"/>
    <d v="2023-07-10T19:01:56"/>
    <s v="Y"/>
    <s v="Hearing Unit 2.31 - 5.00 Hours"/>
    <s v="Public Law Children"/>
    <s v="Advocacy"/>
    <s v="Denise Lockett"/>
    <s v="Y"/>
    <n v="476.92"/>
    <n v="95.38"/>
    <x v="2"/>
    <s v="VALIDATED"/>
    <n v="1"/>
    <s v="01.11.80.308.6100.0000"/>
    <n v="476.92"/>
    <s v="11"/>
    <s v="6100"/>
    <n v="14241.66"/>
    <n v="476.92"/>
    <s v="CREDITOR"/>
    <n v="0"/>
    <n v="0"/>
    <n v="0"/>
    <n v="0"/>
    <n v="476.92"/>
  </r>
  <r>
    <n v="10402861"/>
    <s v="N"/>
    <n v="21394775"/>
    <s v="3000006259200034"/>
    <s v="CIVIL"/>
    <d v="2023-06-29T00:00:00"/>
    <d v="2023-07-19T19:02:01"/>
    <m/>
    <d v="2023-07-19T00:00:00"/>
    <n v="1385"/>
    <n v="14320"/>
    <s v="10402861"/>
    <s v="10402861"/>
    <m/>
    <m/>
    <n v="22789916"/>
    <m/>
    <m/>
    <m/>
    <s v="SOLFIN"/>
    <s v="SOLFIN"/>
    <s v="CCMS"/>
    <n v="21394775"/>
    <n v="13967.72"/>
    <m/>
    <s v="N"/>
    <n v="11"/>
    <d v="2023-07-19T19:02:05"/>
    <s v="Y"/>
    <s v="Psychologist"/>
    <s v="Care Remuneration Hourly Rates"/>
    <s v="Expert Disbursement"/>
    <s v="Rebecca Sykes"/>
    <s v="Y"/>
    <n v="87.5"/>
    <n v="17.5"/>
    <x v="5"/>
    <s v="VALIDATED"/>
    <n v="1"/>
    <s v="01.11.80.308.6300.0000"/>
    <n v="87.5"/>
    <s v="11"/>
    <s v="6300"/>
    <n v="14241.66"/>
    <n v="87.5"/>
    <s v="CREDITOR"/>
    <n v="0"/>
    <n v="0"/>
    <n v="0"/>
    <n v="0"/>
    <n v="87.5"/>
  </r>
  <r>
    <n v="61544701"/>
    <s v="N"/>
    <n v="21349712"/>
    <s v="3000015662120004"/>
    <s v="CIVIL"/>
    <d v="2023-06-30T00:00:00"/>
    <d v="2023-07-10T19:01:40"/>
    <m/>
    <d v="2023-07-10T00:00:00"/>
    <n v="1385"/>
    <n v="14320"/>
    <s v="61544701"/>
    <s v="61544701"/>
    <m/>
    <m/>
    <n v="22795446"/>
    <m/>
    <m/>
    <m/>
    <s v="SOLFIN"/>
    <s v="SOLFIN"/>
    <s v="CCMS"/>
    <n v="21349712"/>
    <n v="6707.94"/>
    <m/>
    <s v="N"/>
    <n v="2"/>
    <d v="2023-07-10T19:01:56"/>
    <s v="Y"/>
    <s v="Toxicologist"/>
    <s v="Public Law Children"/>
    <s v="Expert Disbursement"/>
    <s v="Denise Lockett"/>
    <s v="Y"/>
    <n v="118"/>
    <n v="23.6"/>
    <x v="2"/>
    <s v="VALIDATED"/>
    <n v="1"/>
    <s v="01.11.80.308.6300.0000"/>
    <n v="118"/>
    <s v="11"/>
    <s v="6300"/>
    <n v="14241.66"/>
    <n v="118"/>
    <s v="CREDITOR"/>
    <n v="0"/>
    <n v="0"/>
    <n v="0"/>
    <n v="0"/>
    <n v="118"/>
  </r>
  <r>
    <n v="60652026"/>
    <s v="N"/>
    <n v="21318537"/>
    <s v="3000014906360013"/>
    <s v="CIVIL"/>
    <d v="2023-06-23T00:00:00"/>
    <d v="2023-07-03T19:01:49"/>
    <m/>
    <d v="2023-07-03T00:00:00"/>
    <n v="1385"/>
    <n v="14320"/>
    <s v="60652026"/>
    <s v="60652026"/>
    <m/>
    <m/>
    <n v="22751332"/>
    <m/>
    <m/>
    <m/>
    <s v="SOLFIN"/>
    <s v="SOLFIN"/>
    <s v="CCMS"/>
    <n v="21318537"/>
    <n v="4507.19"/>
    <m/>
    <s v="N"/>
    <n v="2"/>
    <d v="2023-07-03T19:01:58"/>
    <s v="Y"/>
    <s v="Toxicologist"/>
    <s v="Public Law Children"/>
    <s v="Expert Disbursement"/>
    <s v="Rebecca Sykes"/>
    <s v="Y"/>
    <n v="513"/>
    <n v="102.6"/>
    <x v="3"/>
    <s v="VALIDATED"/>
    <n v="1"/>
    <s v="01.11.80.308.6300.0000"/>
    <n v="513"/>
    <s v="11"/>
    <s v="6300"/>
    <n v="14241.66"/>
    <n v="513"/>
    <s v="CREDITOR"/>
    <n v="0"/>
    <n v="0"/>
    <n v="0"/>
    <n v="0"/>
    <n v="513"/>
  </r>
  <r>
    <n v="10402861"/>
    <s v="N"/>
    <n v="21394775"/>
    <s v="3000006259200034"/>
    <s v="CIVIL"/>
    <d v="2023-06-29T00:00:00"/>
    <d v="2023-07-19T19:02:01"/>
    <m/>
    <d v="2023-07-19T00:00:00"/>
    <n v="1385"/>
    <n v="14320"/>
    <s v="10402861"/>
    <s v="10402861"/>
    <m/>
    <m/>
    <n v="22789916"/>
    <m/>
    <m/>
    <m/>
    <s v="SOLFIN"/>
    <s v="SOLFIN"/>
    <s v="CCMS"/>
    <n v="21394775"/>
    <n v="13967.72"/>
    <m/>
    <s v="N"/>
    <n v="4"/>
    <d v="2023-07-19T19:02:05"/>
    <s v="N"/>
    <s v="Court Fee"/>
    <s v="Care Remuneration Hourly Rates"/>
    <s v="Non Expert Disbursement"/>
    <s v="Rebecca Sykes"/>
    <s v="N"/>
    <n v="155"/>
    <n v="0"/>
    <x v="5"/>
    <s v="VALIDATED"/>
    <n v="1"/>
    <s v="01.11.80.308.6300.0000"/>
    <n v="155"/>
    <s v="11"/>
    <s v="6300"/>
    <n v="14241.66"/>
    <n v="155"/>
    <s v="CREDITOR"/>
    <n v="0"/>
    <n v="0"/>
    <n v="0"/>
    <n v="0"/>
    <n v="155"/>
  </r>
  <r>
    <n v="60652026"/>
    <s v="N"/>
    <n v="21318537"/>
    <s v="3000014906360013"/>
    <s v="CIVIL"/>
    <d v="2023-06-23T00:00:00"/>
    <d v="2023-07-03T19:01:49"/>
    <m/>
    <d v="2023-07-03T00:00:00"/>
    <n v="1385"/>
    <n v="14320"/>
    <s v="60652026"/>
    <s v="60652026"/>
    <m/>
    <m/>
    <n v="22751332"/>
    <m/>
    <m/>
    <m/>
    <s v="SOLFIN"/>
    <s v="SOLFIN"/>
    <s v="CCMS"/>
    <n v="21318537"/>
    <n v="4507.19"/>
    <m/>
    <s v="N"/>
    <n v="5"/>
    <d v="2023-07-03T19:01:58"/>
    <s v="Y"/>
    <s v="Advocates Meeting"/>
    <s v="Public Law Children"/>
    <s v="Advocacy"/>
    <s v="Rebecca Sykes"/>
    <s v="Y"/>
    <n v="140.99"/>
    <n v="28.2"/>
    <x v="3"/>
    <s v="VALIDATED"/>
    <n v="1"/>
    <s v="01.11.80.308.6100.0000"/>
    <n v="140.99"/>
    <s v="11"/>
    <s v="6100"/>
    <n v="14241.66"/>
    <n v="140.99"/>
    <s v="CREDITOR"/>
    <n v="0"/>
    <n v="0"/>
    <n v="0"/>
    <n v="0"/>
    <n v="140.99"/>
  </r>
  <r>
    <n v="60716496"/>
    <s v="N"/>
    <n v="21344034"/>
    <s v="3000014961840008"/>
    <s v="CIVIL"/>
    <d v="2023-06-29T00:00:00"/>
    <d v="2023-07-07T19:03:00"/>
    <m/>
    <d v="2023-07-07T00:00:00"/>
    <n v="1385"/>
    <n v="14320"/>
    <s v="60716496"/>
    <s v="60716496"/>
    <m/>
    <m/>
    <n v="22786214"/>
    <m/>
    <m/>
    <m/>
    <s v="SOLFIN"/>
    <s v="SOLFIN"/>
    <s v="CCMS"/>
    <n v="21344034"/>
    <n v="4650.82"/>
    <m/>
    <s v="N"/>
    <n v="1"/>
    <d v="2023-07-07T19:03:21"/>
    <s v="Y"/>
    <s v="Interim Hearing Court Bundle/Advoca"/>
    <s v="Public Law Children"/>
    <s v="Advocacy"/>
    <s v="Hayley Jervis"/>
    <s v="Y"/>
    <n v="59.4"/>
    <n v="11.88"/>
    <x v="9"/>
    <s v="VALIDATED"/>
    <n v="1"/>
    <s v="01.11.80.308.6100.0000"/>
    <n v="59.4"/>
    <s v="11"/>
    <s v="6100"/>
    <n v="14241.66"/>
    <n v="59.4"/>
    <s v="CREDITOR"/>
    <n v="0"/>
    <n v="0"/>
    <n v="0"/>
    <n v="0"/>
    <n v="59.4"/>
  </r>
  <r>
    <n v="60716496"/>
    <s v="N"/>
    <n v="21344034"/>
    <s v="3000014961840008"/>
    <s v="CIVIL"/>
    <d v="2023-06-29T00:00:00"/>
    <d v="2023-07-07T19:03:00"/>
    <m/>
    <d v="2023-07-07T00:00:00"/>
    <n v="1385"/>
    <n v="14320"/>
    <s v="60716496"/>
    <s v="60716496"/>
    <m/>
    <m/>
    <n v="22786214"/>
    <m/>
    <m/>
    <m/>
    <s v="SOLFIN"/>
    <s v="SOLFIN"/>
    <s v="CCMS"/>
    <n v="21344034"/>
    <n v="4650.82"/>
    <m/>
    <s v="N"/>
    <n v="5"/>
    <d v="2023-07-07T19:03:21"/>
    <s v="Y"/>
    <s v="Hearing Unit 2.31 - 5.00 Hours"/>
    <s v="Public Law Children"/>
    <s v="Advocacy"/>
    <s v="Hayley Jervis"/>
    <s v="Y"/>
    <n v="476.92"/>
    <n v="95.38"/>
    <x v="9"/>
    <s v="VALIDATED"/>
    <n v="1"/>
    <s v="01.11.80.308.6100.0000"/>
    <n v="476.92"/>
    <s v="11"/>
    <s v="6100"/>
    <n v="14241.66"/>
    <n v="476.92"/>
    <s v="CREDITOR"/>
    <n v="0"/>
    <n v="0"/>
    <n v="0"/>
    <n v="0"/>
    <n v="476.92"/>
  </r>
  <r>
    <n v="61974674"/>
    <s v="N"/>
    <n v="21349334"/>
    <s v="3000016021300005"/>
    <s v="CIVIL"/>
    <d v="2023-06-29T00:00:00"/>
    <d v="2023-07-10T19:01:40"/>
    <m/>
    <d v="2023-07-10T00:00:00"/>
    <n v="1385"/>
    <n v="14320"/>
    <s v="61974674"/>
    <s v="61974674"/>
    <m/>
    <m/>
    <n v="22788374"/>
    <m/>
    <m/>
    <m/>
    <s v="SOLFIN"/>
    <s v="SOLFIN"/>
    <s v="CCMS"/>
    <n v="21349334"/>
    <n v="4297.24"/>
    <m/>
    <s v="N"/>
    <n v="2"/>
    <d v="2023-07-10T19:01:47"/>
    <s v="Y"/>
    <s v="Toxicologist"/>
    <s v="Public Law Children"/>
    <s v="Expert Disbursement"/>
    <s v="Rebecca Sykes"/>
    <s v="Y"/>
    <n v="404.25"/>
    <n v="80.84999999999999"/>
    <x v="2"/>
    <s v="VALIDATED"/>
    <n v="1"/>
    <s v="01.11.80.308.6300.0000"/>
    <n v="404.25"/>
    <s v="11"/>
    <s v="6300"/>
    <n v="14241.66"/>
    <n v="404.25"/>
    <s v="CREDITOR"/>
    <n v="0"/>
    <n v="0"/>
    <n v="0"/>
    <n v="0"/>
    <n v="404.25"/>
  </r>
  <r>
    <n v="61609174"/>
    <s v="N"/>
    <n v="21318539"/>
    <s v="3000015715950002"/>
    <s v="CIVIL"/>
    <d v="2023-06-23T00:00:00"/>
    <d v="2023-07-03T19:01:49"/>
    <m/>
    <d v="2023-07-03T00:00:00"/>
    <n v="1385"/>
    <n v="14320"/>
    <s v="61609174"/>
    <s v="61609174"/>
    <m/>
    <m/>
    <n v="22751744"/>
    <m/>
    <m/>
    <m/>
    <s v="SOLFIN"/>
    <s v="SOLFIN"/>
    <s v="CCMS"/>
    <n v="21318539"/>
    <n v="4365.19"/>
    <m/>
    <s v="N"/>
    <n v="1"/>
    <d v="2023-07-03T19:01:58"/>
    <s v="Y"/>
    <s v="Interim Hearing Court Bundle/Advoca"/>
    <s v="Public Law Children"/>
    <s v="Advocacy"/>
    <s v="Rebecca Sykes"/>
    <s v="Y"/>
    <n v="59.4"/>
    <n v="11.88"/>
    <x v="3"/>
    <s v="VALIDATED"/>
    <n v="1"/>
    <s v="01.11.80.308.6100.0000"/>
    <n v="59.4"/>
    <s v="11"/>
    <s v="6100"/>
    <n v="14241.66"/>
    <n v="59.4"/>
    <s v="CREDITOR"/>
    <n v="0"/>
    <n v="0"/>
    <n v="0"/>
    <n v="0"/>
    <n v="59.4"/>
  </r>
  <r>
    <n v="61544701"/>
    <s v="N"/>
    <n v="21349712"/>
    <s v="3000015662120004"/>
    <s v="CIVIL"/>
    <d v="2023-06-30T00:00:00"/>
    <d v="2023-07-10T19:01:40"/>
    <m/>
    <d v="2023-07-10T00:00:00"/>
    <n v="1385"/>
    <n v="14320"/>
    <s v="61544701"/>
    <s v="61544701"/>
    <m/>
    <m/>
    <n v="22795446"/>
    <m/>
    <m/>
    <m/>
    <s v="SOLFIN"/>
    <s v="SOLFIN"/>
    <s v="CCMS"/>
    <n v="21349712"/>
    <n v="6707.94"/>
    <m/>
    <s v="N"/>
    <n v="3"/>
    <d v="2023-07-10T19:01:56"/>
    <s v="Y"/>
    <s v="Toxicologist"/>
    <s v="Public Law Children"/>
    <s v="Expert Disbursement"/>
    <s v="Denise Lockett"/>
    <s v="Y"/>
    <n v="22"/>
    <n v="4.4"/>
    <x v="2"/>
    <s v="VALIDATED"/>
    <n v="1"/>
    <s v="01.11.80.308.6300.0000"/>
    <n v="22"/>
    <s v="11"/>
    <s v="6300"/>
    <n v="14241.66"/>
    <n v="22"/>
    <s v="CREDITOR"/>
    <n v="0"/>
    <n v="0"/>
    <n v="0"/>
    <n v="0"/>
    <n v="22"/>
  </r>
  <r>
    <n v="61544701"/>
    <s v="N"/>
    <n v="21349712"/>
    <s v="3000015662120004"/>
    <s v="CIVIL"/>
    <d v="2023-06-30T00:00:00"/>
    <d v="2023-07-10T19:01:40"/>
    <m/>
    <d v="2023-07-10T00:00:00"/>
    <n v="1385"/>
    <n v="14320"/>
    <s v="61544701"/>
    <s v="61544701"/>
    <m/>
    <m/>
    <n v="22795446"/>
    <m/>
    <m/>
    <m/>
    <s v="SOLFIN"/>
    <s v="SOLFIN"/>
    <s v="CCMS"/>
    <n v="21349712"/>
    <n v="6707.94"/>
    <m/>
    <s v="N"/>
    <n v="4"/>
    <d v="2023-07-10T19:01:56"/>
    <s v="Y"/>
    <s v="Toxicologist"/>
    <s v="Public Law Children"/>
    <s v="Expert Disbursement"/>
    <s v="Denise Lockett"/>
    <s v="Y"/>
    <n v="446"/>
    <n v="89.2"/>
    <x v="2"/>
    <s v="VALIDATED"/>
    <n v="1"/>
    <s v="01.11.80.308.6300.0000"/>
    <n v="446"/>
    <s v="11"/>
    <s v="6300"/>
    <n v="14241.66"/>
    <n v="446"/>
    <s v="CREDITOR"/>
    <n v="0"/>
    <n v="0"/>
    <n v="0"/>
    <n v="0"/>
    <n v="446"/>
  </r>
  <r>
    <n v="54521544"/>
    <s v="N"/>
    <n v="21323711"/>
    <s v="3000013002230018"/>
    <s v="CIVIL"/>
    <d v="2023-06-30T00:00:00"/>
    <d v="2023-07-03T19:05:56"/>
    <m/>
    <d v="2023-07-03T00:00:00"/>
    <n v="1385"/>
    <n v="14320"/>
    <s v="54521544"/>
    <s v="54521544"/>
    <m/>
    <m/>
    <n v="22796522"/>
    <m/>
    <m/>
    <m/>
    <s v="SOLPOA"/>
    <s v="SOLPOA"/>
    <s v="CCMS"/>
    <n v="21323711"/>
    <n v="358.26"/>
    <m/>
    <s v="N"/>
    <n v="1"/>
    <d v="2023-07-03T19:05:58"/>
    <s v="N"/>
    <s v="Expert Cost"/>
    <s v="Expert Cost"/>
    <s v="Expert Disbursement"/>
    <s v="Rebecca Sykes"/>
    <s v="N"/>
    <n v="298.55"/>
    <n v="59.71"/>
    <x v="3"/>
    <s v="VALIDATED"/>
    <n v="1"/>
    <s v="01.11.80.308.2012.0000"/>
    <n v="298.55"/>
    <s v="11"/>
    <s v="2012"/>
    <n v="14241.66"/>
    <n v="298.55"/>
    <s v="CREDITOR"/>
    <n v="298.55"/>
    <n v="0"/>
    <n v="0"/>
    <n v="0"/>
    <n v="0"/>
  </r>
  <r>
    <n v="61609174"/>
    <s v="N"/>
    <n v="21318539"/>
    <s v="3000015715950002"/>
    <s v="CIVIL"/>
    <d v="2023-06-23T00:00:00"/>
    <d v="2023-07-03T19:01:49"/>
    <m/>
    <d v="2023-07-03T00:00:00"/>
    <n v="1385"/>
    <n v="14320"/>
    <s v="61609174"/>
    <s v="61609174"/>
    <m/>
    <m/>
    <n v="22751744"/>
    <m/>
    <m/>
    <m/>
    <s v="SOLFIN"/>
    <s v="SOLFIN"/>
    <s v="CCMS"/>
    <n v="21318539"/>
    <n v="4365.19"/>
    <m/>
    <s v="N"/>
    <n v="2"/>
    <d v="2023-07-03T19:01:58"/>
    <s v="Y"/>
    <s v="Solicitor Travel Expenses"/>
    <s v="Public Law Children"/>
    <s v="Non Expert Disbursement"/>
    <s v="Rebecca Sykes"/>
    <s v="Y"/>
    <n v="6"/>
    <n v="1.2"/>
    <x v="3"/>
    <s v="VALIDATED"/>
    <n v="1"/>
    <s v="01.11.80.308.6300.0000"/>
    <n v="6"/>
    <s v="11"/>
    <s v="6300"/>
    <n v="14241.66"/>
    <n v="6"/>
    <s v="CREDITOR"/>
    <n v="0"/>
    <n v="0"/>
    <n v="0"/>
    <n v="0"/>
    <n v="6"/>
  </r>
  <r>
    <n v="10402861"/>
    <s v="N"/>
    <n v="21394775"/>
    <s v="3000006259200034"/>
    <s v="CIVIL"/>
    <d v="2023-06-29T00:00:00"/>
    <d v="2023-07-19T19:02:01"/>
    <m/>
    <d v="2023-07-19T00:00:00"/>
    <n v="1385"/>
    <n v="14320"/>
    <s v="10402861"/>
    <s v="10402861"/>
    <m/>
    <m/>
    <n v="22789916"/>
    <m/>
    <m/>
    <m/>
    <s v="SOLFIN"/>
    <s v="SOLFIN"/>
    <s v="CCMS"/>
    <n v="21394775"/>
    <n v="13967.72"/>
    <m/>
    <s v="N"/>
    <n v="16"/>
    <d v="2023-07-19T19:02:05"/>
    <s v="Y"/>
    <s v="Court Fee"/>
    <s v="Care Remuneration Hourly Rates"/>
    <s v="Non Expert Disbursement"/>
    <s v="Rebecca Sykes"/>
    <s v="Y"/>
    <n v="155"/>
    <n v="0"/>
    <x v="5"/>
    <s v="VALIDATED"/>
    <n v="1"/>
    <s v="01.11.80.308.6300.0000"/>
    <n v="155"/>
    <s v="11"/>
    <s v="6300"/>
    <n v="14241.66"/>
    <n v="155"/>
    <s v="CREDITOR"/>
    <n v="0"/>
    <n v="0"/>
    <n v="0"/>
    <n v="0"/>
    <n v="155"/>
  </r>
  <r>
    <n v="10402861"/>
    <s v="N"/>
    <n v="21394775"/>
    <s v="3000006259200034"/>
    <s v="CIVIL"/>
    <d v="2023-06-29T00:00:00"/>
    <d v="2023-07-19T19:02:01"/>
    <m/>
    <d v="2023-07-19T00:00:00"/>
    <n v="1385"/>
    <n v="14320"/>
    <s v="10402861"/>
    <s v="10402861"/>
    <m/>
    <m/>
    <n v="22789916"/>
    <m/>
    <m/>
    <m/>
    <s v="SOLFIN"/>
    <s v="SOLFIN"/>
    <s v="CCMS"/>
    <n v="21394775"/>
    <n v="13967.72"/>
    <m/>
    <s v="N"/>
    <n v="1"/>
    <d v="2023-07-19T19:02:05"/>
    <s v="N"/>
    <s v="Court Fee"/>
    <s v="Care Remuneration Hourly Rates"/>
    <s v="Non Expert Disbursement"/>
    <s v="Rebecca Sykes"/>
    <s v="N"/>
    <n v="155"/>
    <n v="0"/>
    <x v="5"/>
    <s v="VALIDATED"/>
    <n v="1"/>
    <s v="01.11.80.308.6300.0000"/>
    <n v="155"/>
    <s v="11"/>
    <s v="6300"/>
    <n v="14241.66"/>
    <n v="155"/>
    <s v="CREDITOR"/>
    <n v="0"/>
    <n v="0"/>
    <n v="0"/>
    <n v="0"/>
    <n v="155"/>
  </r>
  <r>
    <n v="61974674"/>
    <s v="N"/>
    <n v="21349334"/>
    <s v="3000016021300005"/>
    <s v="CIVIL"/>
    <d v="2023-06-29T00:00:00"/>
    <d v="2023-07-10T19:01:40"/>
    <m/>
    <d v="2023-07-10T00:00:00"/>
    <n v="1385"/>
    <n v="14320"/>
    <s v="61974674"/>
    <s v="61974674"/>
    <m/>
    <m/>
    <n v="22788374"/>
    <m/>
    <m/>
    <m/>
    <s v="SOLFIN"/>
    <s v="SOLFIN"/>
    <s v="CCMS"/>
    <n v="21349334"/>
    <n v="4297.24"/>
    <m/>
    <s v="N"/>
    <n v="3"/>
    <d v="2023-07-10T19:01:47"/>
    <s v="Y"/>
    <s v="Child psychologist"/>
    <s v="Public Law Children"/>
    <s v="Expert Disbursement"/>
    <s v="Rebecca Sykes"/>
    <s v="Y"/>
    <n v="254.7"/>
    <n v="50.94"/>
    <x v="2"/>
    <s v="VALIDATED"/>
    <n v="1"/>
    <s v="01.11.80.308.6300.0000"/>
    <n v="254.7"/>
    <s v="11"/>
    <s v="6300"/>
    <n v="14241.66"/>
    <n v="254.7"/>
    <s v="CREDITOR"/>
    <n v="0"/>
    <n v="0"/>
    <n v="0"/>
    <n v="0"/>
    <n v="254.7"/>
  </r>
  <r>
    <n v="60716496"/>
    <s v="N"/>
    <n v="21344034"/>
    <s v="3000014961840008"/>
    <s v="CIVIL"/>
    <d v="2023-06-29T00:00:00"/>
    <d v="2023-07-07T19:03:00"/>
    <m/>
    <d v="2023-07-07T00:00:00"/>
    <n v="1385"/>
    <n v="14320"/>
    <s v="60716496"/>
    <s v="60716496"/>
    <m/>
    <m/>
    <n v="22786214"/>
    <m/>
    <m/>
    <m/>
    <s v="SOLFIN"/>
    <s v="SOLFIN"/>
    <s v="CCMS"/>
    <n v="21344034"/>
    <n v="4650.82"/>
    <m/>
    <s v="N"/>
    <n v="3"/>
    <d v="2023-07-07T19:03:21"/>
    <s v="Y"/>
    <s v="Court Fee"/>
    <s v="Public Law Children"/>
    <s v="Non Expert Disbursement"/>
    <s v="Hayley Jervis"/>
    <s v="Y"/>
    <n v="167"/>
    <n v="0"/>
    <x v="9"/>
    <s v="VALIDATED"/>
    <n v="1"/>
    <s v="01.11.80.308.6300.0000"/>
    <n v="167"/>
    <s v="11"/>
    <s v="6300"/>
    <n v="14241.66"/>
    <n v="167"/>
    <s v="CREDITOR"/>
    <n v="0"/>
    <n v="0"/>
    <n v="0"/>
    <n v="0"/>
    <n v="167"/>
  </r>
  <r>
    <n v="61609174"/>
    <s v="N"/>
    <n v="21318539"/>
    <s v="3000015715950002"/>
    <s v="CIVIL"/>
    <d v="2023-06-23T00:00:00"/>
    <d v="2023-07-03T19:01:49"/>
    <m/>
    <d v="2023-07-03T00:00:00"/>
    <n v="1385"/>
    <n v="14320"/>
    <s v="61609174"/>
    <s v="61609174"/>
    <m/>
    <m/>
    <n v="22751744"/>
    <m/>
    <m/>
    <m/>
    <s v="SOLFIN"/>
    <s v="SOLFIN"/>
    <s v="CCMS"/>
    <n v="21318539"/>
    <n v="4365.19"/>
    <m/>
    <s v="N"/>
    <n v="6"/>
    <d v="2023-07-03T19:01:58"/>
    <s v="Y"/>
    <s v="Solicitors Fixed Fee"/>
    <s v="Public Law Children"/>
    <s v="Profit Cost"/>
    <s v="Rebecca Sykes"/>
    <s v="Y"/>
    <n v="2300"/>
    <n v="460"/>
    <x v="3"/>
    <s v="VALIDATED"/>
    <n v="1"/>
    <s v="01.11.80.308.6100.0000"/>
    <n v="2300"/>
    <s v="11"/>
    <s v="6100"/>
    <n v="14241.66"/>
    <n v="2300"/>
    <s v="CREDITOR"/>
    <n v="0"/>
    <n v="0"/>
    <n v="0"/>
    <n v="0"/>
    <n v="2300"/>
  </r>
  <r>
    <n v="10402861"/>
    <s v="N"/>
    <n v="21394775"/>
    <s v="3000006259200034"/>
    <s v="CIVIL"/>
    <d v="2023-06-29T00:00:00"/>
    <d v="2023-07-19T19:02:01"/>
    <m/>
    <d v="2023-07-19T00:00:00"/>
    <n v="1385"/>
    <n v="14320"/>
    <s v="10402861"/>
    <s v="10402861"/>
    <m/>
    <m/>
    <n v="22789916"/>
    <m/>
    <m/>
    <m/>
    <s v="SOLFIN"/>
    <s v="SOLFIN"/>
    <s v="CCMS"/>
    <n v="21394775"/>
    <n v="13967.72"/>
    <m/>
    <s v="N"/>
    <n v="12"/>
    <d v="2023-07-19T19:02:05"/>
    <s v="Y"/>
    <s v="Advocacy Costs (Summary)"/>
    <s v="Care Remuneration Hourly Rates"/>
    <s v="Advocacy"/>
    <s v="Rebecca Sykes"/>
    <s v="Y"/>
    <n v="2127.34"/>
    <n v="425.47"/>
    <x v="5"/>
    <s v="VALIDATED"/>
    <n v="1"/>
    <s v="01.11.80.308.6100.0000"/>
    <n v="2127.34"/>
    <s v="11"/>
    <s v="6100"/>
    <n v="14241.66"/>
    <n v="2127.34"/>
    <s v="CREDITOR"/>
    <n v="0"/>
    <n v="0"/>
    <n v="0"/>
    <n v="0"/>
    <n v="2127.34"/>
  </r>
  <r>
    <n v="61974674"/>
    <s v="N"/>
    <n v="21349334"/>
    <s v="3000016021300005"/>
    <s v="CIVIL"/>
    <d v="2023-06-29T00:00:00"/>
    <d v="2023-07-10T19:01:40"/>
    <m/>
    <d v="2023-07-10T00:00:00"/>
    <n v="1385"/>
    <n v="14320"/>
    <s v="61974674"/>
    <s v="61974674"/>
    <m/>
    <m/>
    <n v="22788374"/>
    <m/>
    <m/>
    <m/>
    <s v="SOLFIN"/>
    <s v="SOLFIN"/>
    <s v="CCMS"/>
    <n v="21349334"/>
    <n v="4297.24"/>
    <m/>
    <s v="N"/>
    <n v="6"/>
    <d v="2023-07-10T19:01:47"/>
    <s v="Y"/>
    <s v="Solicitors Fixed Fee"/>
    <s v="Public Law Children"/>
    <s v="Profit Cost"/>
    <s v="Rebecca Sykes"/>
    <s v="Y"/>
    <n v="2300"/>
    <n v="460"/>
    <x v="2"/>
    <s v="VALIDATED"/>
    <n v="1"/>
    <s v="01.11.80.308.6100.0000"/>
    <n v="2300"/>
    <s v="11"/>
    <s v="6100"/>
    <n v="14241.66"/>
    <n v="2300"/>
    <s v="CREDITOR"/>
    <n v="0"/>
    <n v="0"/>
    <n v="0"/>
    <n v="0"/>
    <n v="2300"/>
  </r>
  <r>
    <n v="61974674"/>
    <s v="N"/>
    <n v="21349334"/>
    <s v="3000016021300005"/>
    <s v="CIVIL"/>
    <d v="2023-06-29T00:00:00"/>
    <d v="2023-07-10T19:01:40"/>
    <m/>
    <d v="2023-07-10T00:00:00"/>
    <n v="1385"/>
    <n v="14320"/>
    <s v="61974674"/>
    <s v="61974674"/>
    <m/>
    <m/>
    <n v="22788374"/>
    <m/>
    <m/>
    <m/>
    <s v="SOLFIN"/>
    <s v="SOLFIN"/>
    <s v="CCMS"/>
    <n v="21349334"/>
    <n v="4297.24"/>
    <m/>
    <s v="N"/>
    <n v="5"/>
    <d v="2023-07-10T19:01:47"/>
    <s v="Y"/>
    <s v="Hearing Unit 2.31 - 5.00 Hours"/>
    <s v="Public Law Children"/>
    <s v="Advocacy"/>
    <s v="Rebecca Sykes"/>
    <s v="Y"/>
    <n v="476.92"/>
    <n v="95.38"/>
    <x v="2"/>
    <s v="VALIDATED"/>
    <n v="1"/>
    <s v="01.11.80.308.6100.0000"/>
    <n v="476.92"/>
    <s v="11"/>
    <s v="6100"/>
    <n v="14241.66"/>
    <n v="476.92"/>
    <s v="CREDITOR"/>
    <n v="0"/>
    <n v="0"/>
    <n v="0"/>
    <n v="0"/>
    <n v="476.92"/>
  </r>
  <r>
    <n v="59928631"/>
    <s v="N"/>
    <n v="21338245"/>
    <s v="3000014278690001"/>
    <s v="CIVIL"/>
    <d v="2023-06-22T00:00:00"/>
    <d v="2023-07-06T19:21:01"/>
    <m/>
    <d v="2023-07-06T00:00:00"/>
    <n v="1402"/>
    <n v="15552"/>
    <s v="59928631"/>
    <s v="59928631"/>
    <m/>
    <m/>
    <n v="22746308"/>
    <m/>
    <m/>
    <m/>
    <s v="SOLFIN"/>
    <s v="SOLFIN"/>
    <s v="CCMS"/>
    <n v="21338245"/>
    <n v="13607.17"/>
    <m/>
    <s v="N"/>
    <n v="9"/>
    <d v="2023-07-06T19:21:14"/>
    <s v="Y"/>
    <s v="Report - Welfare report"/>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85"/>
    <d v="2023-07-06T19:21:14"/>
    <s v="Y"/>
    <s v="Preparation - research"/>
    <s v="Non Family Hourly Rates"/>
    <s v="Profit Cost"/>
    <s v="Tom Lewenstein"/>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94"/>
    <d v="2023-07-06T19:21:14"/>
    <s v="Y"/>
    <s v="Preparation - research"/>
    <s v="Non Family Hourly Rates"/>
    <s v="Profit Cost"/>
    <s v="Rod Campbell Taylor"/>
    <s v="Y"/>
    <n v="53.67"/>
    <n v="10.73"/>
    <x v="4"/>
    <s v="VALIDATED"/>
    <n v="1"/>
    <s v="01.11.80.209.6100.0000"/>
    <n v="53.67"/>
    <s v="11"/>
    <s v="6100"/>
    <n v="11516.38"/>
    <n v="53.67"/>
    <s v="CREDITOR"/>
    <n v="0"/>
    <n v="0"/>
    <n v="0"/>
    <n v="0"/>
    <n v="53.67"/>
  </r>
  <r>
    <n v="59928631"/>
    <s v="N"/>
    <n v="21338245"/>
    <s v="3000014278690001"/>
    <s v="CIVIL"/>
    <d v="2023-06-22T00:00:00"/>
    <d v="2023-07-06T19:21:01"/>
    <m/>
    <d v="2023-07-06T00:00:00"/>
    <n v="1402"/>
    <n v="15552"/>
    <s v="59928631"/>
    <s v="59928631"/>
    <m/>
    <m/>
    <n v="22746308"/>
    <m/>
    <m/>
    <m/>
    <s v="SOLFIN"/>
    <s v="SOLFIN"/>
    <s v="CCMS"/>
    <n v="21338245"/>
    <n v="13607.17"/>
    <m/>
    <s v="N"/>
    <n v="31"/>
    <d v="2023-07-06T19:21:14"/>
    <s v="Y"/>
    <s v="Preparation - research"/>
    <s v="Non Family Hourly Rates"/>
    <s v="Profit Cost"/>
    <s v="Tom Lewenstein"/>
    <s v="Y"/>
    <n v="53.67"/>
    <n v="10.73"/>
    <x v="4"/>
    <s v="VALIDATED"/>
    <n v="1"/>
    <s v="01.11.80.209.6100.0000"/>
    <n v="53.67"/>
    <s v="11"/>
    <s v="6100"/>
    <n v="11516.38"/>
    <n v="53.67"/>
    <s v="CREDITOR"/>
    <n v="0"/>
    <n v="0"/>
    <n v="0"/>
    <n v="0"/>
    <n v="53.67"/>
  </r>
  <r>
    <n v="59928631"/>
    <s v="N"/>
    <n v="21338245"/>
    <s v="3000014278690001"/>
    <s v="CIVIL"/>
    <d v="2023-06-22T00:00:00"/>
    <d v="2023-07-06T19:21:01"/>
    <m/>
    <d v="2023-07-06T00:00:00"/>
    <n v="1402"/>
    <n v="15552"/>
    <s v="59928631"/>
    <s v="59928631"/>
    <m/>
    <m/>
    <n v="22746308"/>
    <m/>
    <m/>
    <m/>
    <s v="SOLFIN"/>
    <s v="SOLFIN"/>
    <s v="CCMS"/>
    <n v="21338245"/>
    <n v="13607.17"/>
    <m/>
    <s v="N"/>
    <n v="6"/>
    <d v="2023-07-06T19:21:14"/>
    <s v="Y"/>
    <s v="Preparation - drafting notice(s)"/>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101"/>
    <d v="2023-07-06T19:21:14"/>
    <s v="Y"/>
    <s v="Preparation - drafting statement"/>
    <s v="Non Family Hourly Rates"/>
    <s v="Profit Cost"/>
    <s v="Rod Campbell Taylor"/>
    <s v="Y"/>
    <n v="214.65"/>
    <n v="42.93"/>
    <x v="4"/>
    <s v="VALIDATED"/>
    <n v="1"/>
    <s v="01.11.80.209.6100.0000"/>
    <n v="214.65"/>
    <s v="11"/>
    <s v="6100"/>
    <n v="11516.38"/>
    <n v="214.65"/>
    <s v="CREDITOR"/>
    <n v="0"/>
    <n v="0"/>
    <n v="0"/>
    <n v="0"/>
    <n v="214.65"/>
  </r>
  <r>
    <n v="59928631"/>
    <s v="N"/>
    <n v="21338245"/>
    <s v="3000014278690001"/>
    <s v="CIVIL"/>
    <d v="2023-06-22T00:00:00"/>
    <d v="2023-07-06T19:21:01"/>
    <m/>
    <d v="2023-07-06T00:00:00"/>
    <n v="1402"/>
    <n v="15552"/>
    <s v="59928631"/>
    <s v="59928631"/>
    <m/>
    <m/>
    <n v="22746308"/>
    <m/>
    <m/>
    <m/>
    <s v="SOLFIN"/>
    <s v="SOLFIN"/>
    <s v="CCMS"/>
    <n v="21338245"/>
    <n v="13607.17"/>
    <m/>
    <s v="N"/>
    <n v="33"/>
    <d v="2023-07-06T19:21:14"/>
    <s v="Y"/>
    <s v="Preparation - drafting application"/>
    <s v="Non Family Hourly Rates"/>
    <s v="Profit Cost"/>
    <s v="Tom Lewenstein"/>
    <s v="Y"/>
    <n v="75.14"/>
    <n v="15.03"/>
    <x v="4"/>
    <s v="VALIDATED"/>
    <n v="1"/>
    <s v="01.11.80.209.6100.0000"/>
    <n v="75.14"/>
    <s v="11"/>
    <s v="6100"/>
    <n v="11516.38"/>
    <n v="75.14"/>
    <s v="CREDITOR"/>
    <n v="0"/>
    <n v="0"/>
    <n v="0"/>
    <n v="0"/>
    <n v="75.14"/>
  </r>
  <r>
    <n v="59928631"/>
    <s v="N"/>
    <n v="21338245"/>
    <s v="3000014278690001"/>
    <s v="CIVIL"/>
    <d v="2023-06-22T00:00:00"/>
    <d v="2023-07-06T19:21:01"/>
    <m/>
    <d v="2023-07-06T00:00:00"/>
    <n v="1402"/>
    <n v="15552"/>
    <s v="59928631"/>
    <s v="59928631"/>
    <m/>
    <m/>
    <n v="22746308"/>
    <m/>
    <m/>
    <m/>
    <s v="SOLFIN"/>
    <s v="SOLFIN"/>
    <s v="CCMS"/>
    <n v="21338245"/>
    <n v="13607.17"/>
    <m/>
    <s v="N"/>
    <n v="46"/>
    <d v="2023-07-06T19:21:14"/>
    <s v="Y"/>
    <s v="Preparation - drafting application"/>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48"/>
    <d v="2023-07-06T19:21:14"/>
    <s v="Y"/>
    <s v="Preparation - drafting pleadings"/>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8"/>
    <d v="2023-07-06T19:21:14"/>
    <s v="Y"/>
    <s v="Attendance upon client"/>
    <s v="Non Family Hourly Rates"/>
    <s v="Profit Cost"/>
    <s v="Rod Campbell Taylor"/>
    <s v="Y"/>
    <n v="107.33"/>
    <n v="21.47"/>
    <x v="4"/>
    <s v="VALIDATED"/>
    <n v="1"/>
    <s v="01.11.80.209.6100.0000"/>
    <n v="107.33"/>
    <s v="11"/>
    <s v="6100"/>
    <n v="11516.38"/>
    <n v="107.33"/>
    <s v="CREDITOR"/>
    <n v="0"/>
    <n v="0"/>
    <n v="0"/>
    <n v="0"/>
    <n v="107.33"/>
  </r>
  <r>
    <n v="59928631"/>
    <s v="N"/>
    <n v="21338245"/>
    <s v="3000014278690001"/>
    <s v="CIVIL"/>
    <d v="2023-06-22T00:00:00"/>
    <d v="2023-07-06T19:21:01"/>
    <m/>
    <d v="2023-07-06T00:00:00"/>
    <n v="1402"/>
    <n v="15552"/>
    <s v="59928631"/>
    <s v="59928631"/>
    <m/>
    <m/>
    <n v="22746308"/>
    <m/>
    <m/>
    <m/>
    <s v="SOLFIN"/>
    <s v="SOLFIN"/>
    <s v="CCMS"/>
    <n v="21338245"/>
    <n v="13607.17"/>
    <m/>
    <s v="N"/>
    <n v="102"/>
    <d v="2023-07-06T19:21:14"/>
    <s v="Y"/>
    <s v="Report - Welfare report"/>
    <s v="Non Family Hourly Rates"/>
    <s v="Profit Cost"/>
    <s v="Rod Campbell Taylor"/>
    <s v="Y"/>
    <n v="429.3"/>
    <n v="85.86"/>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105"/>
    <d v="2023-07-06T19:21:14"/>
    <s v="Y"/>
    <s v="Preparation - drafting statement"/>
    <s v="Non Family Hourly Rates"/>
    <s v="Profit Cost"/>
    <s v="Rod Campbell Taylor"/>
    <s v="Y"/>
    <n v="107.33"/>
    <n v="21.47"/>
    <x v="4"/>
    <s v="VALIDATED"/>
    <n v="1"/>
    <s v="01.11.80.209.6100.0000"/>
    <n v="107.33"/>
    <s v="11"/>
    <s v="6100"/>
    <n v="11516.38"/>
    <n v="107.33"/>
    <s v="CREDITOR"/>
    <n v="0"/>
    <n v="0"/>
    <n v="0"/>
    <n v="0"/>
    <n v="107.33"/>
  </r>
  <r>
    <n v="59928631"/>
    <s v="N"/>
    <n v="21338245"/>
    <s v="3000014278690001"/>
    <s v="CIVIL"/>
    <d v="2023-06-22T00:00:00"/>
    <d v="2023-07-06T19:21:01"/>
    <m/>
    <d v="2023-07-06T00:00:00"/>
    <n v="1402"/>
    <n v="15552"/>
    <s v="59928631"/>
    <s v="59928631"/>
    <m/>
    <m/>
    <n v="22746308"/>
    <m/>
    <m/>
    <m/>
    <s v="SOLFIN"/>
    <s v="SOLFIN"/>
    <s v="CCMS"/>
    <n v="21338245"/>
    <n v="13607.17"/>
    <m/>
    <s v="N"/>
    <n v="58"/>
    <d v="2023-07-06T19:21:14"/>
    <s v="Y"/>
    <s v="Report - Welfare report"/>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1"/>
    <d v="2023-07-06T19:21:14"/>
    <s v="Y"/>
    <s v="Preparation - drafting consent orde"/>
    <s v="Non Family Hourly Rates"/>
    <s v="Profit Cost"/>
    <s v="Rod Campbell Taylor"/>
    <s v="Y"/>
    <n v="64.40000000000001"/>
    <n v="12.88"/>
    <x v="4"/>
    <s v="VALIDATED"/>
    <n v="1"/>
    <s v="01.11.80.209.6100.0000"/>
    <n v="64.40000000000001"/>
    <s v="11"/>
    <s v="6100"/>
    <n v="11516.38"/>
    <n v="64.40000000000001"/>
    <s v="CREDITOR"/>
    <n v="0"/>
    <n v="0"/>
    <n v="0"/>
    <n v="0"/>
    <n v="64.40000000000001"/>
  </r>
  <r>
    <n v="59928631"/>
    <s v="N"/>
    <n v="21338245"/>
    <s v="3000014278690001"/>
    <s v="CIVIL"/>
    <d v="2023-06-22T00:00:00"/>
    <d v="2023-07-06T19:21:01"/>
    <m/>
    <d v="2023-07-06T00:00:00"/>
    <n v="1402"/>
    <n v="15552"/>
    <s v="59928631"/>
    <s v="59928631"/>
    <m/>
    <m/>
    <n v="22746308"/>
    <m/>
    <m/>
    <m/>
    <s v="SOLFIN"/>
    <s v="SOLFIN"/>
    <s v="CCMS"/>
    <n v="21338245"/>
    <n v="13607.17"/>
    <m/>
    <s v="N"/>
    <n v="63"/>
    <d v="2023-07-06T19:21:14"/>
    <s v="Y"/>
    <s v="Preparation - drafting agreement/se"/>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84"/>
    <d v="2023-07-06T19:21:14"/>
    <s v="Y"/>
    <s v="Attendance upon/with Counsel at Con"/>
    <s v="Non Family Hourly Rates"/>
    <s v="Profit Cost"/>
    <s v="Rod Campbell Taylor"/>
    <s v="Y"/>
    <n v="19.98"/>
    <n v="4"/>
    <x v="4"/>
    <s v="VALIDATED"/>
    <n v="1"/>
    <s v="01.11.80.209.6100.0000"/>
    <n v="19.98"/>
    <s v="11"/>
    <s v="6100"/>
    <n v="11516.38"/>
    <n v="19.98"/>
    <s v="CREDITOR"/>
    <n v="0"/>
    <n v="0"/>
    <n v="0"/>
    <n v="0"/>
    <n v="19.98"/>
  </r>
  <r>
    <n v="59928631"/>
    <s v="N"/>
    <n v="21338245"/>
    <s v="3000014278690001"/>
    <s v="CIVIL"/>
    <d v="2023-06-22T00:00:00"/>
    <d v="2023-07-06T19:21:01"/>
    <m/>
    <d v="2023-07-06T00:00:00"/>
    <n v="1402"/>
    <n v="15552"/>
    <s v="59928631"/>
    <s v="59928631"/>
    <m/>
    <m/>
    <n v="22746308"/>
    <m/>
    <m/>
    <m/>
    <s v="SOLFIN"/>
    <s v="SOLFIN"/>
    <s v="CCMS"/>
    <n v="21338245"/>
    <n v="13607.17"/>
    <m/>
    <s v="N"/>
    <n v="30"/>
    <d v="2023-07-06T19:21:14"/>
    <s v="Y"/>
    <s v="Attendance upon client"/>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82"/>
    <d v="2023-07-06T19:21:14"/>
    <s v="Y"/>
    <s v="Attendance upon client"/>
    <s v="Non Family Hourly Rates"/>
    <s v="Profit Cost"/>
    <s v="Tom Lewenstein"/>
    <s v="Y"/>
    <n v="161"/>
    <n v="32.2"/>
    <x v="4"/>
    <s v="VALIDATED"/>
    <n v="1"/>
    <s v="01.11.80.209.6100.0000"/>
    <n v="161"/>
    <s v="11"/>
    <s v="6100"/>
    <n v="11516.38"/>
    <n v="161"/>
    <s v="CREDITOR"/>
    <n v="0"/>
    <n v="0"/>
    <n v="0"/>
    <n v="0"/>
    <n v="161"/>
  </r>
  <r>
    <n v="59928631"/>
    <s v="N"/>
    <n v="21338245"/>
    <s v="3000014278690001"/>
    <s v="CIVIL"/>
    <d v="2023-06-22T00:00:00"/>
    <d v="2023-07-06T19:21:01"/>
    <m/>
    <d v="2023-07-06T00:00:00"/>
    <n v="1402"/>
    <n v="15552"/>
    <s v="59928631"/>
    <s v="59928631"/>
    <m/>
    <m/>
    <n v="22746308"/>
    <m/>
    <m/>
    <m/>
    <s v="SOLFIN"/>
    <s v="SOLFIN"/>
    <s v="CCMS"/>
    <n v="21338245"/>
    <n v="13607.17"/>
    <m/>
    <s v="N"/>
    <n v="97"/>
    <d v="2023-07-06T19:21:14"/>
    <s v="Y"/>
    <s v="Report - Welfare report"/>
    <s v="Non Family Hourly Rates"/>
    <s v="Profit Cost"/>
    <s v="Rod Campbell Taylor"/>
    <s v="Y"/>
    <n v="107.33"/>
    <n v="21.47"/>
    <x v="4"/>
    <s v="VALIDATED"/>
    <n v="1"/>
    <s v="01.11.80.209.6100.0000"/>
    <n v="107.33"/>
    <s v="11"/>
    <s v="6100"/>
    <n v="11516.38"/>
    <n v="107.33"/>
    <s v="CREDITOR"/>
    <n v="0"/>
    <n v="0"/>
    <n v="0"/>
    <n v="0"/>
    <n v="107.33"/>
  </r>
  <r>
    <n v="59928631"/>
    <s v="N"/>
    <n v="21338245"/>
    <s v="3000014278690001"/>
    <s v="CIVIL"/>
    <d v="2023-06-22T00:00:00"/>
    <d v="2023-07-06T19:21:01"/>
    <m/>
    <d v="2023-07-06T00:00:00"/>
    <n v="1402"/>
    <n v="15552"/>
    <s v="59928631"/>
    <s v="59928631"/>
    <m/>
    <m/>
    <n v="22746308"/>
    <m/>
    <m/>
    <m/>
    <s v="SOLFIN"/>
    <s v="SOLFIN"/>
    <s v="CCMS"/>
    <n v="21338245"/>
    <n v="13607.17"/>
    <m/>
    <s v="N"/>
    <n v="27"/>
    <d v="2023-07-06T19:21:14"/>
    <s v="Y"/>
    <s v="Preparation - drafting application"/>
    <s v="Non Family Hourly Rates"/>
    <s v="Profit Cost"/>
    <s v="Rod Campbell Taylor"/>
    <s v="Y"/>
    <n v="107.33"/>
    <n v="21.47"/>
    <x v="4"/>
    <s v="VALIDATED"/>
    <n v="1"/>
    <s v="01.11.80.209.6100.0000"/>
    <n v="107.33"/>
    <s v="11"/>
    <s v="6100"/>
    <n v="11516.38"/>
    <n v="107.33"/>
    <s v="CREDITOR"/>
    <n v="0"/>
    <n v="0"/>
    <n v="0"/>
    <n v="0"/>
    <n v="107.33"/>
  </r>
  <r>
    <n v="59928631"/>
    <s v="N"/>
    <n v="21338245"/>
    <s v="3000014278690001"/>
    <s v="CIVIL"/>
    <d v="2023-06-22T00:00:00"/>
    <d v="2023-07-06T19:21:01"/>
    <m/>
    <d v="2023-07-06T00:00:00"/>
    <n v="1402"/>
    <n v="15552"/>
    <s v="59928631"/>
    <s v="59928631"/>
    <m/>
    <m/>
    <n v="22746308"/>
    <m/>
    <m/>
    <m/>
    <s v="SOLFIN"/>
    <s v="SOLFIN"/>
    <s v="CCMS"/>
    <n v="21338245"/>
    <n v="13607.17"/>
    <m/>
    <s v="N"/>
    <n v="109"/>
    <d v="2023-07-06T19:21:14"/>
    <s v="Y"/>
    <s v="Attendance upon client"/>
    <s v="Non Family Hourly Rates"/>
    <s v="Profit Cost"/>
    <s v="Rod Campbell Taylor"/>
    <s v="Y"/>
    <n v="64.40000000000001"/>
    <n v="12.88"/>
    <x v="4"/>
    <s v="VALIDATED"/>
    <n v="1"/>
    <s v="01.11.80.209.6100.0000"/>
    <n v="64.40000000000001"/>
    <s v="11"/>
    <s v="6100"/>
    <n v="11516.38"/>
    <n v="64.40000000000001"/>
    <s v="CREDITOR"/>
    <n v="0"/>
    <n v="0"/>
    <n v="0"/>
    <n v="0"/>
    <n v="64.40000000000001"/>
  </r>
  <r>
    <n v="59928631"/>
    <s v="N"/>
    <n v="21338245"/>
    <s v="3000014278690001"/>
    <s v="CIVIL"/>
    <d v="2023-06-22T00:00:00"/>
    <d v="2023-07-06T19:21:01"/>
    <m/>
    <d v="2023-07-06T00:00:00"/>
    <n v="1402"/>
    <n v="15552"/>
    <s v="59928631"/>
    <s v="59928631"/>
    <m/>
    <m/>
    <n v="22746308"/>
    <m/>
    <m/>
    <m/>
    <s v="SOLFIN"/>
    <s v="SOLFIN"/>
    <s v="CCMS"/>
    <n v="21338245"/>
    <n v="13607.17"/>
    <m/>
    <s v="N"/>
    <n v="79"/>
    <d v="2023-07-06T19:21:14"/>
    <s v="Y"/>
    <s v="Routine Letter Out"/>
    <s v="Non Family Hourly Rates"/>
    <s v="Profit Cost"/>
    <s v="Rod Campbell Taylor"/>
    <s v="Y"/>
    <n v="803.25"/>
    <n v="0"/>
    <x v="4"/>
    <s v="VALIDATED"/>
    <n v="1"/>
    <s v="01.11.80.209.6100.0000"/>
    <n v="803.25"/>
    <s v="11"/>
    <s v="6100"/>
    <n v="11516.38"/>
    <n v="803.25"/>
    <s v="CREDITOR"/>
    <n v="0"/>
    <n v="0"/>
    <n v="0"/>
    <n v="0"/>
    <n v="803.25"/>
  </r>
  <r>
    <n v="59928631"/>
    <s v="N"/>
    <n v="21338245"/>
    <s v="3000014278690001"/>
    <s v="CIVIL"/>
    <d v="2023-06-22T00:00:00"/>
    <d v="2023-07-06T19:21:01"/>
    <m/>
    <d v="2023-07-06T00:00:00"/>
    <n v="1402"/>
    <n v="15552"/>
    <s v="59928631"/>
    <s v="59928631"/>
    <m/>
    <m/>
    <n v="22746308"/>
    <m/>
    <m/>
    <m/>
    <s v="SOLFIN"/>
    <s v="SOLFIN"/>
    <s v="CCMS"/>
    <n v="21338245"/>
    <n v="13607.17"/>
    <m/>
    <s v="N"/>
    <n v="50"/>
    <d v="2023-07-06T19:21:14"/>
    <s v="Y"/>
    <s v="Preparation - drafting consent orde"/>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88"/>
    <d v="2023-07-06T19:21:14"/>
    <s v="Y"/>
    <s v="Preparation - drafting attendance n"/>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110"/>
    <d v="2023-07-06T19:21:14"/>
    <s v="Y"/>
    <s v="Preparation - drafting consent orde"/>
    <s v="Non Family Hourly Rates"/>
    <s v="Profit Cost"/>
    <s v="Rod Campbell Taylor"/>
    <s v="Y"/>
    <n v="150.26"/>
    <n v="30.05"/>
    <x v="4"/>
    <s v="VALIDATED"/>
    <n v="1"/>
    <s v="01.11.80.209.6100.0000"/>
    <n v="150.26"/>
    <s v="11"/>
    <s v="6100"/>
    <n v="11516.38"/>
    <n v="150.26"/>
    <s v="CREDITOR"/>
    <n v="0"/>
    <n v="0"/>
    <n v="0"/>
    <n v="0"/>
    <n v="150.26"/>
  </r>
  <r>
    <n v="59928631"/>
    <s v="N"/>
    <n v="21338245"/>
    <s v="3000014278690001"/>
    <s v="CIVIL"/>
    <d v="2023-06-22T00:00:00"/>
    <d v="2023-07-06T19:21:01"/>
    <m/>
    <d v="2023-07-06T00:00:00"/>
    <n v="1402"/>
    <n v="15552"/>
    <s v="59928631"/>
    <s v="59928631"/>
    <m/>
    <m/>
    <n v="22746308"/>
    <m/>
    <m/>
    <m/>
    <s v="SOLFIN"/>
    <s v="SOLFIN"/>
    <s v="CCMS"/>
    <n v="21338245"/>
    <n v="13607.17"/>
    <m/>
    <s v="N"/>
    <n v="62"/>
    <d v="2023-07-06T19:21:14"/>
    <s v="Y"/>
    <s v="Preparation - drafting consent orde"/>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51"/>
    <d v="2023-07-06T19:21:14"/>
    <s v="Y"/>
    <s v="Preparation - drafting application"/>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78"/>
    <d v="2023-07-06T19:21:14"/>
    <s v="Y"/>
    <s v="Travel to attend client"/>
    <s v="Non Family Hourly Rates"/>
    <s v="Profit Cost"/>
    <s v="Tom Lewenstein"/>
    <s v="Y"/>
    <n v="104.76"/>
    <n v="0"/>
    <x v="4"/>
    <s v="VALIDATED"/>
    <n v="1"/>
    <s v="01.11.80.209.6100.0000"/>
    <n v="104.76"/>
    <s v="11"/>
    <s v="6100"/>
    <n v="11516.38"/>
    <n v="104.76"/>
    <s v="CREDITOR"/>
    <n v="0"/>
    <n v="0"/>
    <n v="0"/>
    <n v="0"/>
    <n v="104.76"/>
  </r>
  <r>
    <n v="59928631"/>
    <s v="N"/>
    <n v="21338245"/>
    <s v="3000014278690001"/>
    <s v="CIVIL"/>
    <d v="2023-06-22T00:00:00"/>
    <d v="2023-07-06T19:21:01"/>
    <m/>
    <d v="2023-07-06T00:00:00"/>
    <n v="1402"/>
    <n v="15552"/>
    <s v="59928631"/>
    <s v="59928631"/>
    <m/>
    <m/>
    <n v="22746308"/>
    <m/>
    <m/>
    <m/>
    <s v="SOLFIN"/>
    <s v="SOLFIN"/>
    <s v="CCMS"/>
    <n v="21338245"/>
    <n v="13607.17"/>
    <m/>
    <s v="N"/>
    <n v="14"/>
    <d v="2023-07-06T19:21:14"/>
    <s v="Y"/>
    <s v="Preparation - drafting consent orde"/>
    <s v="Non Family Hourly Rates"/>
    <s v="Profit Cost"/>
    <s v="Rod Campbell Taylor"/>
    <s v="Y"/>
    <n v="182.46"/>
    <n v="36.49"/>
    <x v="4"/>
    <s v="VALIDATED"/>
    <n v="1"/>
    <s v="01.11.80.209.6100.0000"/>
    <n v="182.46"/>
    <s v="11"/>
    <s v="6100"/>
    <n v="11516.38"/>
    <n v="182.46"/>
    <s v="CREDITOR"/>
    <n v="0"/>
    <n v="0"/>
    <n v="0"/>
    <n v="0"/>
    <n v="182.46"/>
  </r>
  <r>
    <n v="59928631"/>
    <s v="N"/>
    <n v="21338245"/>
    <s v="3000014278690001"/>
    <s v="CIVIL"/>
    <d v="2023-06-22T00:00:00"/>
    <d v="2023-07-06T19:21:01"/>
    <m/>
    <d v="2023-07-06T00:00:00"/>
    <n v="1402"/>
    <n v="15552"/>
    <s v="59928631"/>
    <s v="59928631"/>
    <m/>
    <m/>
    <n v="22746308"/>
    <m/>
    <m/>
    <m/>
    <s v="SOLFIN"/>
    <s v="SOLFIN"/>
    <s v="CCMS"/>
    <n v="21338245"/>
    <n v="13607.17"/>
    <m/>
    <s v="N"/>
    <n v="22"/>
    <d v="2023-07-06T19:21:14"/>
    <s v="Y"/>
    <s v="Preparation - drafting consent orde"/>
    <s v="Non Family Hourly Rates"/>
    <s v="Profit Cost"/>
    <s v="Rod Campbell Taylor"/>
    <s v="Y"/>
    <n v="193.19"/>
    <n v="38.64"/>
    <x v="4"/>
    <s v="VALIDATED"/>
    <n v="1"/>
    <s v="01.11.80.209.6100.0000"/>
    <n v="193.19"/>
    <s v="11"/>
    <s v="6100"/>
    <n v="11516.38"/>
    <n v="193.19"/>
    <s v="CREDITOR"/>
    <n v="0"/>
    <n v="0"/>
    <n v="0"/>
    <n v="0"/>
    <n v="193.19"/>
  </r>
  <r>
    <n v="59928631"/>
    <s v="N"/>
    <n v="21338245"/>
    <s v="3000014278690001"/>
    <s v="CIVIL"/>
    <d v="2023-06-22T00:00:00"/>
    <d v="2023-07-06T19:21:01"/>
    <m/>
    <d v="2023-07-06T00:00:00"/>
    <n v="1402"/>
    <n v="15552"/>
    <s v="59928631"/>
    <s v="59928631"/>
    <m/>
    <m/>
    <n v="22746308"/>
    <m/>
    <m/>
    <m/>
    <s v="SOLFIN"/>
    <s v="SOLFIN"/>
    <s v="CCMS"/>
    <n v="21338245"/>
    <n v="13607.17"/>
    <m/>
    <s v="N"/>
    <n v="108"/>
    <d v="2023-07-06T19:21:14"/>
    <s v="Y"/>
    <s v="Report - Medical report"/>
    <s v="Non Family Hourly Rates"/>
    <s v="Profit Cost"/>
    <s v="Rod Campbell Taylor"/>
    <s v="Y"/>
    <n v="64.40000000000001"/>
    <n v="12.88"/>
    <x v="4"/>
    <s v="VALIDATED"/>
    <n v="1"/>
    <s v="01.11.80.209.6100.0000"/>
    <n v="64.40000000000001"/>
    <s v="11"/>
    <s v="6100"/>
    <n v="11516.38"/>
    <n v="64.40000000000001"/>
    <s v="CREDITOR"/>
    <n v="0"/>
    <n v="0"/>
    <n v="0"/>
    <n v="0"/>
    <n v="64.40000000000001"/>
  </r>
  <r>
    <n v="59928631"/>
    <s v="N"/>
    <n v="21338245"/>
    <s v="3000014278690001"/>
    <s v="CIVIL"/>
    <d v="2023-06-22T00:00:00"/>
    <d v="2023-07-06T19:21:01"/>
    <m/>
    <d v="2023-07-06T00:00:00"/>
    <n v="1402"/>
    <n v="15552"/>
    <s v="59928631"/>
    <s v="59928631"/>
    <m/>
    <m/>
    <n v="22746308"/>
    <m/>
    <m/>
    <m/>
    <s v="SOLFIN"/>
    <s v="SOLFIN"/>
    <s v="CCMS"/>
    <n v="21338245"/>
    <n v="13607.17"/>
    <m/>
    <s v="N"/>
    <n v="83"/>
    <d v="2023-07-06T19:21:14"/>
    <s v="Y"/>
    <s v="Preparation - drafting pleadings"/>
    <s v="Non Family Hourly Rates"/>
    <s v="Profit Cost"/>
    <s v="Rod Campbell Taylor"/>
    <s v="Y"/>
    <n v="96.59999999999999"/>
    <n v="19.32"/>
    <x v="4"/>
    <s v="VALIDATED"/>
    <n v="1"/>
    <s v="01.11.80.209.6100.0000"/>
    <n v="96.59999999999999"/>
    <s v="11"/>
    <s v="6100"/>
    <n v="11516.38"/>
    <n v="96.59999999999999"/>
    <s v="CREDITOR"/>
    <n v="0"/>
    <n v="0"/>
    <n v="0"/>
    <n v="0"/>
    <n v="96.59999999999999"/>
  </r>
  <r>
    <n v="59928631"/>
    <s v="N"/>
    <n v="21338245"/>
    <s v="3000014278690001"/>
    <s v="CIVIL"/>
    <d v="2023-06-22T00:00:00"/>
    <d v="2023-07-06T19:21:01"/>
    <m/>
    <d v="2023-07-06T00:00:00"/>
    <n v="1402"/>
    <n v="15552"/>
    <s v="59928631"/>
    <s v="59928631"/>
    <m/>
    <m/>
    <n v="22746308"/>
    <m/>
    <m/>
    <m/>
    <s v="SOLFIN"/>
    <s v="SOLFIN"/>
    <s v="CCMS"/>
    <n v="21338245"/>
    <n v="13607.17"/>
    <m/>
    <s v="N"/>
    <n v="74"/>
    <d v="2023-07-06T19:21:14"/>
    <s v="Y"/>
    <s v="Attendance upon site"/>
    <s v="Non Family Hourly Rates"/>
    <s v="Profit Cost"/>
    <s v="Tom Lewenstein"/>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96"/>
    <d v="2023-07-06T19:21:14"/>
    <s v="Y"/>
    <s v="Report - Medical report"/>
    <s v="Non Family Hourly Rates"/>
    <s v="Profit Cost"/>
    <s v="Rod Campbell Taylor"/>
    <s v="Y"/>
    <n v="214.65"/>
    <n v="42.93"/>
    <x v="4"/>
    <s v="VALIDATED"/>
    <n v="1"/>
    <s v="01.11.80.209.6100.0000"/>
    <n v="214.65"/>
    <s v="11"/>
    <s v="6100"/>
    <n v="11516.38"/>
    <n v="214.65"/>
    <s v="CREDITOR"/>
    <n v="0"/>
    <n v="0"/>
    <n v="0"/>
    <n v="0"/>
    <n v="214.65"/>
  </r>
  <r>
    <n v="59928631"/>
    <s v="N"/>
    <n v="21338245"/>
    <s v="3000014278690001"/>
    <s v="CIVIL"/>
    <d v="2023-06-22T00:00:00"/>
    <d v="2023-07-06T19:21:01"/>
    <m/>
    <d v="2023-07-06T00:00:00"/>
    <n v="1402"/>
    <n v="15552"/>
    <s v="59928631"/>
    <s v="59928631"/>
    <m/>
    <m/>
    <n v="22746308"/>
    <m/>
    <m/>
    <m/>
    <s v="SOLFIN"/>
    <s v="SOLFIN"/>
    <s v="CCMS"/>
    <n v="21338245"/>
    <n v="13607.17"/>
    <m/>
    <s v="N"/>
    <n v="95"/>
    <d v="2023-07-06T19:21:14"/>
    <s v="Y"/>
    <s v="Report - Welfare report"/>
    <s v="Non Family Hourly Rates"/>
    <s v="Profit Cost"/>
    <s v="Rod Campbell Taylor"/>
    <s v="Y"/>
    <n v="214.65"/>
    <n v="42.93"/>
    <x v="4"/>
    <s v="VALIDATED"/>
    <n v="1"/>
    <s v="01.11.80.209.6100.0000"/>
    <n v="214.65"/>
    <s v="11"/>
    <s v="6100"/>
    <n v="11516.38"/>
    <n v="214.65"/>
    <s v="CREDITOR"/>
    <n v="0"/>
    <n v="0"/>
    <n v="0"/>
    <n v="0"/>
    <n v="214.65"/>
  </r>
  <r>
    <n v="59928631"/>
    <s v="N"/>
    <n v="21338245"/>
    <s v="3000014278690001"/>
    <s v="CIVIL"/>
    <d v="2023-06-22T00:00:00"/>
    <d v="2023-07-06T19:21:01"/>
    <m/>
    <d v="2023-07-06T00:00:00"/>
    <n v="1402"/>
    <n v="15552"/>
    <s v="59928631"/>
    <s v="59928631"/>
    <m/>
    <m/>
    <n v="22746308"/>
    <m/>
    <m/>
    <m/>
    <s v="SOLFIN"/>
    <s v="SOLFIN"/>
    <s v="CCMS"/>
    <n v="21338245"/>
    <n v="13607.17"/>
    <m/>
    <s v="N"/>
    <n v="80"/>
    <d v="2023-07-06T19:21:14"/>
    <s v="Y"/>
    <s v="Preparation - drafting application"/>
    <s v="Non Family Hourly Rates"/>
    <s v="Profit Cost"/>
    <s v="Tom Lewenstein"/>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54"/>
    <d v="2023-07-06T19:21:14"/>
    <s v="Y"/>
    <s v="Preparation - drafting consent orde"/>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40"/>
    <d v="2023-07-06T19:21:14"/>
    <s v="Y"/>
    <s v="Preparation - drafting application"/>
    <s v="Non Family Hourly Rates"/>
    <s v="Profit Cost"/>
    <s v="Tom Lewenstein"/>
    <s v="Y"/>
    <n v="64.40000000000001"/>
    <n v="12.88"/>
    <x v="4"/>
    <s v="VALIDATED"/>
    <n v="1"/>
    <s v="01.11.80.209.6100.0000"/>
    <n v="64.40000000000001"/>
    <s v="11"/>
    <s v="6100"/>
    <n v="11516.38"/>
    <n v="64.40000000000001"/>
    <s v="CREDITOR"/>
    <n v="0"/>
    <n v="0"/>
    <n v="0"/>
    <n v="0"/>
    <n v="64.40000000000001"/>
  </r>
  <r>
    <n v="59928631"/>
    <s v="N"/>
    <n v="21338245"/>
    <s v="3000014278690001"/>
    <s v="CIVIL"/>
    <d v="2023-06-22T00:00:00"/>
    <d v="2023-07-06T19:21:01"/>
    <m/>
    <d v="2023-07-06T00:00:00"/>
    <n v="1402"/>
    <n v="15552"/>
    <s v="59928631"/>
    <s v="59928631"/>
    <m/>
    <m/>
    <n v="22746308"/>
    <m/>
    <m/>
    <m/>
    <s v="SOLFIN"/>
    <s v="SOLFIN"/>
    <s v="CCMS"/>
    <n v="21338245"/>
    <n v="13607.17"/>
    <m/>
    <s v="N"/>
    <n v="12"/>
    <d v="2023-07-06T19:21:14"/>
    <s v="Y"/>
    <s v="Preparation - drafting agreement/se"/>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55"/>
    <d v="2023-07-06T19:21:14"/>
    <s v="Y"/>
    <s v="Preparation - drafting pleadings"/>
    <s v="Non Family Hourly Rates"/>
    <s v="Profit Cost"/>
    <s v="Rod Campbell Taylor"/>
    <s v="Y"/>
    <n v="128.79"/>
    <n v="25.76"/>
    <x v="4"/>
    <s v="VALIDATED"/>
    <n v="1"/>
    <s v="01.11.80.209.6100.0000"/>
    <n v="128.79"/>
    <s v="11"/>
    <s v="6100"/>
    <n v="11516.38"/>
    <n v="128.79"/>
    <s v="CREDITOR"/>
    <n v="0"/>
    <n v="0"/>
    <n v="0"/>
    <n v="0"/>
    <n v="128.79"/>
  </r>
  <r>
    <n v="59928631"/>
    <s v="N"/>
    <n v="21338245"/>
    <s v="3000014278690001"/>
    <s v="CIVIL"/>
    <d v="2023-06-22T00:00:00"/>
    <d v="2023-07-06T19:21:01"/>
    <m/>
    <d v="2023-07-06T00:00:00"/>
    <n v="1402"/>
    <n v="15552"/>
    <s v="59928631"/>
    <s v="59928631"/>
    <m/>
    <m/>
    <n v="22746308"/>
    <m/>
    <m/>
    <m/>
    <s v="SOLFIN"/>
    <s v="SOLFIN"/>
    <s v="CCMS"/>
    <n v="21338245"/>
    <n v="13607.17"/>
    <m/>
    <s v="N"/>
    <n v="68"/>
    <d v="2023-07-06T19:21:14"/>
    <s v="Y"/>
    <s v="Report - Welfare report"/>
    <s v="Non Family Hourly Rates"/>
    <s v="Profit Cost"/>
    <s v="Rod Campbell Taylor"/>
    <s v="Y"/>
    <n v="161"/>
    <n v="32.2"/>
    <x v="4"/>
    <s v="VALIDATED"/>
    <n v="1"/>
    <s v="01.11.80.209.6100.0000"/>
    <n v="161"/>
    <s v="11"/>
    <s v="6100"/>
    <n v="11516.38"/>
    <n v="161"/>
    <s v="CREDITOR"/>
    <n v="0"/>
    <n v="0"/>
    <n v="0"/>
    <n v="0"/>
    <n v="161"/>
  </r>
  <r>
    <n v="59928631"/>
    <s v="N"/>
    <n v="21338245"/>
    <s v="3000014278690001"/>
    <s v="CIVIL"/>
    <d v="2023-06-22T00:00:00"/>
    <d v="2023-07-06T19:21:01"/>
    <m/>
    <d v="2023-07-06T00:00:00"/>
    <n v="1402"/>
    <n v="15552"/>
    <s v="59928631"/>
    <s v="59928631"/>
    <m/>
    <m/>
    <n v="22746308"/>
    <m/>
    <m/>
    <m/>
    <s v="SOLFIN"/>
    <s v="SOLFIN"/>
    <s v="CCMS"/>
    <n v="21338245"/>
    <n v="13607.17"/>
    <m/>
    <s v="N"/>
    <n v="23"/>
    <d v="2023-07-06T19:21:14"/>
    <s v="Y"/>
    <s v="Report - other report"/>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86"/>
    <d v="2023-07-06T19:21:14"/>
    <s v="Y"/>
    <s v="Preparation - drafting consent orde"/>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112"/>
    <d v="2023-07-06T19:21:14"/>
    <s v="Y"/>
    <s v="Report - Medical report"/>
    <s v="Non Family Hourly Rates"/>
    <s v="Profit Cost"/>
    <s v="Rod Campbell Taylor"/>
    <s v="Y"/>
    <n v="161"/>
    <n v="32.2"/>
    <x v="4"/>
    <s v="VALIDATED"/>
    <n v="1"/>
    <s v="01.11.80.209.6100.0000"/>
    <n v="161"/>
    <s v="11"/>
    <s v="6100"/>
    <n v="11516.38"/>
    <n v="161"/>
    <s v="CREDITOR"/>
    <n v="0"/>
    <n v="0"/>
    <n v="0"/>
    <n v="0"/>
    <n v="161"/>
  </r>
  <r>
    <n v="59928631"/>
    <s v="N"/>
    <n v="21338245"/>
    <s v="3000014278690001"/>
    <s v="CIVIL"/>
    <d v="2023-06-22T00:00:00"/>
    <d v="2023-07-06T19:21:01"/>
    <m/>
    <d v="2023-07-06T00:00:00"/>
    <n v="1402"/>
    <n v="15552"/>
    <s v="59928631"/>
    <s v="59928631"/>
    <m/>
    <m/>
    <n v="22746308"/>
    <m/>
    <m/>
    <m/>
    <s v="SOLFIN"/>
    <s v="SOLFIN"/>
    <s v="CCMS"/>
    <n v="21338245"/>
    <n v="13607.17"/>
    <m/>
    <s v="N"/>
    <n v="81"/>
    <d v="2023-07-06T19:21:14"/>
    <s v="Y"/>
    <s v="Waiting - other"/>
    <s v="Non Family Hourly Rates"/>
    <s v="Profit Cost"/>
    <s v="Tom Lewenstein"/>
    <s v="Y"/>
    <n v="14.97"/>
    <n v="0"/>
    <x v="4"/>
    <s v="VALIDATED"/>
    <n v="1"/>
    <s v="01.11.80.209.6100.0000"/>
    <n v="14.97"/>
    <s v="11"/>
    <s v="6100"/>
    <n v="11516.38"/>
    <n v="14.97"/>
    <s v="CREDITOR"/>
    <n v="0"/>
    <n v="0"/>
    <n v="0"/>
    <n v="0"/>
    <n v="14.97"/>
  </r>
  <r>
    <n v="59928631"/>
    <s v="N"/>
    <n v="21338245"/>
    <s v="3000014278690001"/>
    <s v="CIVIL"/>
    <d v="2023-06-22T00:00:00"/>
    <d v="2023-07-06T19:21:01"/>
    <m/>
    <d v="2023-07-06T00:00:00"/>
    <n v="1402"/>
    <n v="15552"/>
    <s v="59928631"/>
    <s v="59928631"/>
    <m/>
    <m/>
    <n v="22746308"/>
    <m/>
    <m/>
    <m/>
    <s v="SOLFIN"/>
    <s v="SOLFIN"/>
    <s v="CCMS"/>
    <n v="21338245"/>
    <n v="13607.17"/>
    <m/>
    <s v="N"/>
    <n v="111"/>
    <d v="2023-07-06T19:21:14"/>
    <s v="Y"/>
    <s v="Report - Medical report"/>
    <s v="Non Family Hourly Rates"/>
    <s v="Profit Cost"/>
    <s v="Rod Campbell Taylor"/>
    <s v="Y"/>
    <n v="85.86"/>
    <n v="17.17"/>
    <x v="4"/>
    <s v="VALIDATED"/>
    <n v="1"/>
    <s v="01.11.80.209.6100.0000"/>
    <n v="85.86"/>
    <s v="11"/>
    <s v="6100"/>
    <n v="11516.38"/>
    <n v="85.86"/>
    <s v="CREDITOR"/>
    <n v="0"/>
    <n v="0"/>
    <n v="0"/>
    <n v="0"/>
    <n v="85.86"/>
  </r>
  <r>
    <n v="59928631"/>
    <s v="N"/>
    <n v="21338245"/>
    <s v="3000014278690001"/>
    <s v="CIVIL"/>
    <d v="2023-06-22T00:00:00"/>
    <d v="2023-07-06T19:21:01"/>
    <m/>
    <d v="2023-07-06T00:00:00"/>
    <n v="1402"/>
    <n v="15552"/>
    <s v="59928631"/>
    <s v="59928631"/>
    <m/>
    <m/>
    <n v="22746308"/>
    <m/>
    <m/>
    <m/>
    <s v="SOLFIN"/>
    <s v="SOLFIN"/>
    <s v="CCMS"/>
    <n v="21338245"/>
    <n v="13607.17"/>
    <m/>
    <s v="N"/>
    <n v="45"/>
    <d v="2023-07-06T19:21:14"/>
    <s v="Y"/>
    <s v="Attendance upon other side"/>
    <s v="Non Family Hourly Rates"/>
    <s v="Profit Cost"/>
    <s v="Rod Campbell Taylor"/>
    <s v="Y"/>
    <n v="75.14"/>
    <n v="15.03"/>
    <x v="4"/>
    <s v="VALIDATED"/>
    <n v="1"/>
    <s v="01.11.80.209.6100.0000"/>
    <n v="75.14"/>
    <s v="11"/>
    <s v="6100"/>
    <n v="11516.38"/>
    <n v="75.14"/>
    <s v="CREDITOR"/>
    <n v="0"/>
    <n v="0"/>
    <n v="0"/>
    <n v="0"/>
    <n v="75.14"/>
  </r>
  <r>
    <n v="59928631"/>
    <s v="N"/>
    <n v="21338245"/>
    <s v="3000014278690001"/>
    <s v="CIVIL"/>
    <d v="2023-06-22T00:00:00"/>
    <d v="2023-07-06T19:21:01"/>
    <m/>
    <d v="2023-07-06T00:00:00"/>
    <n v="1402"/>
    <n v="15552"/>
    <s v="59928631"/>
    <s v="59928631"/>
    <m/>
    <m/>
    <n v="22746308"/>
    <m/>
    <m/>
    <m/>
    <s v="SOLFIN"/>
    <s v="SOLFIN"/>
    <s v="CCMS"/>
    <n v="21338245"/>
    <n v="13607.17"/>
    <m/>
    <s v="N"/>
    <n v="70"/>
    <d v="2023-07-06T19:21:14"/>
    <s v="Y"/>
    <s v="Preparation - drafting pleadings"/>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107"/>
    <d v="2023-07-06T19:21:14"/>
    <s v="Y"/>
    <s v="Attendance upon other side"/>
    <s v="Non Family Hourly Rates"/>
    <s v="Profit Cost"/>
    <s v="Rod Campbell Taylor"/>
    <s v="Y"/>
    <n v="64.40000000000001"/>
    <n v="12.88"/>
    <x v="4"/>
    <s v="VALIDATED"/>
    <n v="1"/>
    <s v="01.11.80.209.6100.0000"/>
    <n v="64.40000000000001"/>
    <s v="11"/>
    <s v="6100"/>
    <n v="11516.38"/>
    <n v="64.40000000000001"/>
    <s v="CREDITOR"/>
    <n v="0"/>
    <n v="0"/>
    <n v="0"/>
    <n v="0"/>
    <n v="64.40000000000001"/>
  </r>
  <r>
    <n v="59928631"/>
    <s v="N"/>
    <n v="21338245"/>
    <s v="3000014278690001"/>
    <s v="CIVIL"/>
    <d v="2023-06-22T00:00:00"/>
    <d v="2023-07-06T19:21:01"/>
    <m/>
    <d v="2023-07-06T00:00:00"/>
    <n v="1402"/>
    <n v="15552"/>
    <s v="59928631"/>
    <s v="59928631"/>
    <m/>
    <m/>
    <n v="22746308"/>
    <m/>
    <m/>
    <m/>
    <s v="SOLFIN"/>
    <s v="SOLFIN"/>
    <s v="CCMS"/>
    <n v="21338245"/>
    <n v="13607.17"/>
    <m/>
    <s v="N"/>
    <n v="37"/>
    <d v="2023-07-06T19:21:14"/>
    <s v="Y"/>
    <s v="Preparation - drafting consent orde"/>
    <s v="Non Family Hourly Rates"/>
    <s v="Profit Cost"/>
    <s v="Tom Lewenstein"/>
    <s v="Y"/>
    <n v="107.33"/>
    <n v="21.47"/>
    <x v="4"/>
    <s v="VALIDATED"/>
    <n v="1"/>
    <s v="01.11.80.209.6100.0000"/>
    <n v="107.33"/>
    <s v="11"/>
    <s v="6100"/>
    <n v="11516.38"/>
    <n v="107.33"/>
    <s v="CREDITOR"/>
    <n v="0"/>
    <n v="0"/>
    <n v="0"/>
    <n v="0"/>
    <n v="107.33"/>
  </r>
  <r>
    <n v="59928631"/>
    <s v="N"/>
    <n v="21338245"/>
    <s v="3000014278690001"/>
    <s v="CIVIL"/>
    <d v="2023-06-22T00:00:00"/>
    <d v="2023-07-06T19:21:01"/>
    <m/>
    <d v="2023-07-06T00:00:00"/>
    <n v="1402"/>
    <n v="15552"/>
    <s v="59928631"/>
    <s v="59928631"/>
    <m/>
    <m/>
    <n v="22746308"/>
    <m/>
    <m/>
    <m/>
    <s v="SOLFIN"/>
    <s v="SOLFIN"/>
    <s v="CCMS"/>
    <n v="21338245"/>
    <n v="13607.17"/>
    <m/>
    <s v="N"/>
    <n v="56"/>
    <d v="2023-07-06T19:21:14"/>
    <s v="Y"/>
    <s v="Report - Medical report"/>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32"/>
    <d v="2023-07-06T19:21:14"/>
    <s v="Y"/>
    <s v="Report - Welfare report"/>
    <s v="Non Family Hourly Rates"/>
    <s v="Profit Cost"/>
    <s v="Rod Campbell Taylor"/>
    <s v="Y"/>
    <n v="53.67"/>
    <n v="10.73"/>
    <x v="4"/>
    <s v="VALIDATED"/>
    <n v="1"/>
    <s v="01.11.80.209.6100.0000"/>
    <n v="53.67"/>
    <s v="11"/>
    <s v="6100"/>
    <n v="11516.38"/>
    <n v="53.67"/>
    <s v="CREDITOR"/>
    <n v="0"/>
    <n v="0"/>
    <n v="0"/>
    <n v="0"/>
    <n v="53.67"/>
  </r>
  <r>
    <n v="59928631"/>
    <s v="N"/>
    <n v="21338245"/>
    <s v="3000014278690001"/>
    <s v="CIVIL"/>
    <d v="2023-06-22T00:00:00"/>
    <d v="2023-07-06T19:21:01"/>
    <m/>
    <d v="2023-07-06T00:00:00"/>
    <n v="1402"/>
    <n v="15552"/>
    <s v="59928631"/>
    <s v="59928631"/>
    <m/>
    <m/>
    <n v="22746308"/>
    <m/>
    <m/>
    <m/>
    <s v="SOLFIN"/>
    <s v="SOLFIN"/>
    <s v="CCMS"/>
    <n v="21338245"/>
    <n v="13607.17"/>
    <m/>
    <s v="N"/>
    <n v="66"/>
    <d v="2023-07-06T19:21:14"/>
    <s v="Y"/>
    <s v="Preparation - drafting consent orde"/>
    <s v="Non Family Hourly Rates"/>
    <s v="Profit Cost"/>
    <s v="Rod Campbell Taylor"/>
    <s v="Y"/>
    <n v="193.19"/>
    <n v="38.64"/>
    <x v="4"/>
    <s v="VALIDATED"/>
    <n v="1"/>
    <s v="01.11.80.209.6100.0000"/>
    <n v="193.19"/>
    <s v="11"/>
    <s v="6100"/>
    <n v="11516.38"/>
    <n v="193.19"/>
    <s v="CREDITOR"/>
    <n v="0"/>
    <n v="0"/>
    <n v="0"/>
    <n v="0"/>
    <n v="193.19"/>
  </r>
  <r>
    <n v="59928631"/>
    <s v="N"/>
    <n v="21338245"/>
    <s v="3000014278690001"/>
    <s v="CIVIL"/>
    <d v="2023-06-22T00:00:00"/>
    <d v="2023-07-06T19:21:01"/>
    <m/>
    <d v="2023-07-06T00:00:00"/>
    <n v="1402"/>
    <n v="15552"/>
    <s v="59928631"/>
    <s v="59928631"/>
    <m/>
    <m/>
    <n v="22746308"/>
    <m/>
    <m/>
    <m/>
    <s v="SOLFIN"/>
    <s v="SOLFIN"/>
    <s v="CCMS"/>
    <n v="21338245"/>
    <n v="13607.17"/>
    <m/>
    <s v="N"/>
    <n v="25"/>
    <d v="2023-07-06T19:21:14"/>
    <s v="Y"/>
    <s v="Attendance upon client"/>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59"/>
    <d v="2023-07-06T19:21:14"/>
    <s v="Y"/>
    <s v="Attendance upon client"/>
    <s v="Non Family Hourly Rates"/>
    <s v="Profit Cost"/>
    <s v="Rod Campbell Taylor"/>
    <s v="Y"/>
    <n v="161"/>
    <n v="32.2"/>
    <x v="4"/>
    <s v="VALIDATED"/>
    <n v="1"/>
    <s v="01.11.80.209.6100.0000"/>
    <n v="161"/>
    <s v="11"/>
    <s v="6100"/>
    <n v="11516.38"/>
    <n v="161"/>
    <s v="CREDITOR"/>
    <n v="0"/>
    <n v="0"/>
    <n v="0"/>
    <n v="0"/>
    <n v="161"/>
  </r>
  <r>
    <n v="59928631"/>
    <s v="N"/>
    <n v="21338245"/>
    <s v="3000014278690001"/>
    <s v="CIVIL"/>
    <d v="2023-06-22T00:00:00"/>
    <d v="2023-07-06T19:21:01"/>
    <m/>
    <d v="2023-07-06T00:00:00"/>
    <n v="1402"/>
    <n v="15552"/>
    <s v="59928631"/>
    <s v="59928631"/>
    <m/>
    <m/>
    <n v="22746308"/>
    <m/>
    <m/>
    <m/>
    <s v="SOLFIN"/>
    <s v="SOLFIN"/>
    <s v="CCMS"/>
    <n v="21338245"/>
    <n v="13607.17"/>
    <m/>
    <s v="N"/>
    <n v="19"/>
    <d v="2023-07-06T19:21:14"/>
    <s v="Y"/>
    <s v="Attendance upon other side"/>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52"/>
    <d v="2023-07-06T19:21:14"/>
    <s v="Y"/>
    <s v="Report - Medical report"/>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20"/>
    <d v="2023-07-06T19:21:14"/>
    <s v="Y"/>
    <s v="Attendance upon witness"/>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53"/>
    <d v="2023-07-06T19:21:14"/>
    <s v="Y"/>
    <s v="Report - Medical report"/>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104"/>
    <d v="2023-07-06T19:21:14"/>
    <s v="Y"/>
    <s v="Attendance upon client"/>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115"/>
    <d v="2023-07-06T19:21:14"/>
    <s v="Y"/>
    <s v="Solicitor Travel Mileage"/>
    <s v="Non Family Hourly Rates"/>
    <s v="Non Expert Disbursement"/>
    <s v="Rod Campbell Taylor"/>
    <s v="Y"/>
    <n v="51.3"/>
    <n v="0"/>
    <x v="4"/>
    <s v="VALIDATED"/>
    <n v="1"/>
    <s v="01.11.80.209.6300.0000"/>
    <n v="51.3"/>
    <s v="11"/>
    <s v="6300"/>
    <n v="11516.38"/>
    <n v="51.3"/>
    <s v="CREDITOR"/>
    <n v="0"/>
    <n v="0"/>
    <n v="0"/>
    <n v="0"/>
    <n v="51.3"/>
  </r>
  <r>
    <n v="59928631"/>
    <s v="N"/>
    <n v="21338245"/>
    <s v="3000014278690001"/>
    <s v="CIVIL"/>
    <d v="2023-06-22T00:00:00"/>
    <d v="2023-07-06T19:21:01"/>
    <m/>
    <d v="2023-07-06T00:00:00"/>
    <n v="1402"/>
    <n v="15552"/>
    <s v="59928631"/>
    <s v="59928631"/>
    <m/>
    <m/>
    <n v="22746308"/>
    <m/>
    <m/>
    <m/>
    <s v="SOLFIN"/>
    <s v="SOLFIN"/>
    <s v="CCMS"/>
    <n v="21338245"/>
    <n v="13607.17"/>
    <m/>
    <s v="N"/>
    <n v="106"/>
    <d v="2023-07-06T19:21:14"/>
    <s v="Y"/>
    <s v="Preparation - drafting application"/>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73"/>
    <d v="2023-07-06T19:21:14"/>
    <s v="Y"/>
    <s v="Report - Welfare report"/>
    <s v="Non Family Hourly Rates"/>
    <s v="Profit Cost"/>
    <s v="Tom Lewenstein"/>
    <s v="Y"/>
    <n v="203.93"/>
    <n v="40.79"/>
    <x v="4"/>
    <s v="VALIDATED"/>
    <n v="1"/>
    <s v="01.11.80.209.6100.0000"/>
    <n v="203.93"/>
    <s v="11"/>
    <s v="6100"/>
    <n v="11516.38"/>
    <n v="203.93"/>
    <s v="CREDITOR"/>
    <n v="0"/>
    <n v="0"/>
    <n v="0"/>
    <n v="0"/>
    <n v="203.93"/>
  </r>
  <r>
    <n v="59928631"/>
    <s v="N"/>
    <n v="21338245"/>
    <s v="3000014278690001"/>
    <s v="CIVIL"/>
    <d v="2023-06-22T00:00:00"/>
    <d v="2023-07-06T19:21:01"/>
    <m/>
    <d v="2023-07-06T00:00:00"/>
    <n v="1402"/>
    <n v="15552"/>
    <s v="59928631"/>
    <s v="59928631"/>
    <m/>
    <m/>
    <n v="22746308"/>
    <m/>
    <m/>
    <m/>
    <s v="SOLFIN"/>
    <s v="SOLFIN"/>
    <s v="CCMS"/>
    <n v="21338245"/>
    <n v="13607.17"/>
    <m/>
    <s v="N"/>
    <n v="41"/>
    <d v="2023-07-06T19:21:14"/>
    <s v="Y"/>
    <s v="Preparation - drafting consent orde"/>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2"/>
    <d v="2023-07-06T19:21:14"/>
    <s v="Y"/>
    <s v="Report - Medical report"/>
    <s v="Non Family Hourly Rates"/>
    <s v="Profit Cost"/>
    <s v="Rod Campbell Taylor"/>
    <s v="Y"/>
    <n v="364.91"/>
    <n v="72.98"/>
    <x v="4"/>
    <s v="VALIDATED"/>
    <n v="1"/>
    <s v="01.11.80.209.6100.0000"/>
    <n v="364.91"/>
    <s v="11"/>
    <s v="6100"/>
    <n v="11516.38"/>
    <n v="364.91"/>
    <s v="CREDITOR"/>
    <n v="0"/>
    <n v="0"/>
    <n v="0"/>
    <n v="0"/>
    <n v="364.91"/>
  </r>
  <r>
    <n v="59928631"/>
    <s v="N"/>
    <n v="21338245"/>
    <s v="3000014278690001"/>
    <s v="CIVIL"/>
    <d v="2023-06-22T00:00:00"/>
    <d v="2023-07-06T19:21:01"/>
    <m/>
    <d v="2023-07-06T00:00:00"/>
    <n v="1402"/>
    <n v="15552"/>
    <s v="59928631"/>
    <s v="59928631"/>
    <m/>
    <m/>
    <n v="22746308"/>
    <m/>
    <m/>
    <m/>
    <s v="SOLFIN"/>
    <s v="SOLFIN"/>
    <s v="CCMS"/>
    <n v="21338245"/>
    <n v="13607.17"/>
    <m/>
    <s v="N"/>
    <n v="13"/>
    <d v="2023-07-06T19:21:14"/>
    <s v="Y"/>
    <s v="Attendance upon witness"/>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49"/>
    <d v="2023-07-06T19:21:14"/>
    <s v="Y"/>
    <s v="Preparation - drafting statement"/>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65"/>
    <d v="2023-07-06T19:21:14"/>
    <s v="Y"/>
    <s v="Attendance upon witness"/>
    <s v="Non Family Hourly Rates"/>
    <s v="Profit Cost"/>
    <s v="Rod Campbell Taylor"/>
    <s v="Y"/>
    <n v="85.86"/>
    <n v="17.17"/>
    <x v="4"/>
    <s v="VALIDATED"/>
    <n v="1"/>
    <s v="01.11.80.209.6100.0000"/>
    <n v="85.86"/>
    <s v="11"/>
    <s v="6100"/>
    <n v="11516.38"/>
    <n v="85.86"/>
    <s v="CREDITOR"/>
    <n v="0"/>
    <n v="0"/>
    <n v="0"/>
    <n v="0"/>
    <n v="85.86"/>
  </r>
  <r>
    <n v="59928631"/>
    <s v="N"/>
    <n v="21338245"/>
    <s v="3000014278690001"/>
    <s v="CIVIL"/>
    <d v="2023-06-22T00:00:00"/>
    <d v="2023-07-06T19:21:01"/>
    <m/>
    <d v="2023-07-06T00:00:00"/>
    <n v="1402"/>
    <n v="15552"/>
    <s v="59928631"/>
    <s v="59928631"/>
    <m/>
    <m/>
    <n v="22746308"/>
    <m/>
    <m/>
    <m/>
    <s v="SOLFIN"/>
    <s v="SOLFIN"/>
    <s v="CCMS"/>
    <n v="21338245"/>
    <n v="13607.17"/>
    <m/>
    <s v="N"/>
    <n v="77"/>
    <d v="2023-07-06T19:21:14"/>
    <s v="Y"/>
    <s v="Preparation - drafting agreement/se"/>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10"/>
    <d v="2023-07-06T19:21:14"/>
    <s v="Y"/>
    <s v="Attendance upon other side"/>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114"/>
    <d v="2023-07-06T19:21:14"/>
    <s v="Y"/>
    <s v="Solicitor Travel Expenses"/>
    <s v="Non Family Hourly Rates"/>
    <s v="Non Expert Disbursement"/>
    <s v="Rod Campbell Taylor"/>
    <s v="Y"/>
    <n v="17.1"/>
    <n v="0"/>
    <x v="4"/>
    <s v="VALIDATED"/>
    <n v="1"/>
    <s v="01.11.80.209.6300.0000"/>
    <n v="17.1"/>
    <s v="11"/>
    <s v="6300"/>
    <n v="11516.38"/>
    <n v="17.1"/>
    <s v="CREDITOR"/>
    <n v="0"/>
    <n v="0"/>
    <n v="0"/>
    <n v="0"/>
    <n v="17.1"/>
  </r>
  <r>
    <n v="59928631"/>
    <s v="N"/>
    <n v="21338245"/>
    <s v="3000014278690001"/>
    <s v="CIVIL"/>
    <d v="2023-06-22T00:00:00"/>
    <d v="2023-07-06T19:21:01"/>
    <m/>
    <d v="2023-07-06T00:00:00"/>
    <n v="1402"/>
    <n v="15552"/>
    <s v="59928631"/>
    <s v="59928631"/>
    <m/>
    <m/>
    <n v="22746308"/>
    <m/>
    <m/>
    <m/>
    <s v="SOLFIN"/>
    <s v="SOLFIN"/>
    <s v="CCMS"/>
    <n v="21338245"/>
    <n v="13607.17"/>
    <m/>
    <s v="N"/>
    <n v="99"/>
    <d v="2023-07-06T19:21:14"/>
    <s v="Y"/>
    <s v="Routine Telephone Call"/>
    <s v="Non Family Hourly Rates"/>
    <s v="Profit Cost"/>
    <s v="Rod Campbell Taylor"/>
    <s v="Y"/>
    <n v="59.84"/>
    <n v="0"/>
    <x v="4"/>
    <s v="VALIDATED"/>
    <n v="1"/>
    <s v="01.11.80.209.6100.0000"/>
    <n v="59.84"/>
    <s v="11"/>
    <s v="6100"/>
    <n v="11516.38"/>
    <n v="59.84"/>
    <s v="CREDITOR"/>
    <n v="0"/>
    <n v="0"/>
    <n v="0"/>
    <n v="0"/>
    <n v="59.84"/>
  </r>
  <r>
    <n v="59928631"/>
    <s v="N"/>
    <n v="21338245"/>
    <s v="3000014278690001"/>
    <s v="CIVIL"/>
    <d v="2023-06-22T00:00:00"/>
    <d v="2023-07-06T19:21:01"/>
    <m/>
    <d v="2023-07-06T00:00:00"/>
    <n v="1402"/>
    <n v="15552"/>
    <s v="59928631"/>
    <s v="59928631"/>
    <m/>
    <m/>
    <n v="22746308"/>
    <m/>
    <m/>
    <m/>
    <s v="SOLFIN"/>
    <s v="SOLFIN"/>
    <s v="CCMS"/>
    <n v="21338245"/>
    <n v="13607.17"/>
    <m/>
    <s v="N"/>
    <n v="38"/>
    <d v="2023-07-06T19:21:14"/>
    <s v="Y"/>
    <s v="Report - Welfare report"/>
    <s v="Non Family Hourly Rates"/>
    <s v="Profit Cost"/>
    <s v="Tom Lewenstein"/>
    <s v="Y"/>
    <n v="75.14"/>
    <n v="15.03"/>
    <x v="4"/>
    <s v="VALIDATED"/>
    <n v="1"/>
    <s v="01.11.80.209.6100.0000"/>
    <n v="75.14"/>
    <s v="11"/>
    <s v="6100"/>
    <n v="11516.38"/>
    <n v="75.14"/>
    <s v="CREDITOR"/>
    <n v="0"/>
    <n v="0"/>
    <n v="0"/>
    <n v="0"/>
    <n v="75.14"/>
  </r>
  <r>
    <n v="59928631"/>
    <s v="N"/>
    <n v="21338245"/>
    <s v="3000014278690001"/>
    <s v="CIVIL"/>
    <d v="2023-06-22T00:00:00"/>
    <d v="2023-07-06T19:21:01"/>
    <m/>
    <d v="2023-07-06T00:00:00"/>
    <n v="1402"/>
    <n v="15552"/>
    <s v="59928631"/>
    <s v="59928631"/>
    <m/>
    <m/>
    <n v="22746308"/>
    <m/>
    <m/>
    <m/>
    <s v="SOLFIN"/>
    <s v="SOLFIN"/>
    <s v="CCMS"/>
    <n v="21338245"/>
    <n v="13607.17"/>
    <m/>
    <s v="N"/>
    <n v="72"/>
    <d v="2023-07-06T19:21:14"/>
    <s v="Y"/>
    <s v="Preparation - drafting application"/>
    <s v="Non Family Hourly Rates"/>
    <s v="Profit Cost"/>
    <s v="Rod Campbell Taylor"/>
    <s v="Y"/>
    <n v="64.40000000000001"/>
    <n v="12.88"/>
    <x v="4"/>
    <s v="VALIDATED"/>
    <n v="1"/>
    <s v="01.11.80.209.6100.0000"/>
    <n v="64.40000000000001"/>
    <s v="11"/>
    <s v="6100"/>
    <n v="11516.38"/>
    <n v="64.40000000000001"/>
    <s v="CREDITOR"/>
    <n v="0"/>
    <n v="0"/>
    <n v="0"/>
    <n v="0"/>
    <n v="64.40000000000001"/>
  </r>
  <r>
    <n v="59928631"/>
    <s v="N"/>
    <n v="21338245"/>
    <s v="3000014278690001"/>
    <s v="CIVIL"/>
    <d v="2023-06-22T00:00:00"/>
    <d v="2023-07-06T19:21:01"/>
    <m/>
    <d v="2023-07-06T00:00:00"/>
    <n v="1402"/>
    <n v="15552"/>
    <s v="59928631"/>
    <s v="59928631"/>
    <m/>
    <m/>
    <n v="22746308"/>
    <m/>
    <m/>
    <m/>
    <s v="SOLFIN"/>
    <s v="SOLFIN"/>
    <s v="CCMS"/>
    <n v="21338245"/>
    <n v="13607.17"/>
    <m/>
    <s v="N"/>
    <n v="75"/>
    <d v="2023-07-06T19:21:14"/>
    <s v="Y"/>
    <s v="Preparation - drafting statement"/>
    <s v="Non Family Hourly Rates"/>
    <s v="Profit Cost"/>
    <s v="Tom Lewenstein"/>
    <s v="Y"/>
    <n v="53.67"/>
    <n v="10.73"/>
    <x v="4"/>
    <s v="VALIDATED"/>
    <n v="1"/>
    <s v="01.11.80.209.6100.0000"/>
    <n v="53.67"/>
    <s v="11"/>
    <s v="6100"/>
    <n v="11516.38"/>
    <n v="53.67"/>
    <s v="CREDITOR"/>
    <n v="0"/>
    <n v="0"/>
    <n v="0"/>
    <n v="0"/>
    <n v="53.67"/>
  </r>
  <r>
    <n v="59928631"/>
    <s v="N"/>
    <n v="21338245"/>
    <s v="3000014278690001"/>
    <s v="CIVIL"/>
    <d v="2023-06-22T00:00:00"/>
    <d v="2023-07-06T19:21:01"/>
    <m/>
    <d v="2023-07-06T00:00:00"/>
    <n v="1402"/>
    <n v="15552"/>
    <s v="59928631"/>
    <s v="59928631"/>
    <m/>
    <m/>
    <n v="22746308"/>
    <m/>
    <m/>
    <m/>
    <s v="SOLFIN"/>
    <s v="SOLFIN"/>
    <s v="CCMS"/>
    <n v="21338245"/>
    <n v="13607.17"/>
    <m/>
    <s v="N"/>
    <n v="15"/>
    <d v="2023-07-06T19:21:14"/>
    <s v="Y"/>
    <s v="Attendance upon other side"/>
    <s v="Non Family Hourly Rates"/>
    <s v="Profit Cost"/>
    <s v="Rod Campbell Taylor"/>
    <s v="Y"/>
    <n v="107.33"/>
    <n v="21.47"/>
    <x v="4"/>
    <s v="VALIDATED"/>
    <n v="1"/>
    <s v="01.11.80.209.6100.0000"/>
    <n v="107.33"/>
    <s v="11"/>
    <s v="6100"/>
    <n v="11516.38"/>
    <n v="107.33"/>
    <s v="CREDITOR"/>
    <n v="0"/>
    <n v="0"/>
    <n v="0"/>
    <n v="0"/>
    <n v="107.33"/>
  </r>
  <r>
    <n v="59928631"/>
    <s v="N"/>
    <n v="21338245"/>
    <s v="3000014278690001"/>
    <s v="CIVIL"/>
    <d v="2023-06-22T00:00:00"/>
    <d v="2023-07-06T19:21:01"/>
    <m/>
    <d v="2023-07-06T00:00:00"/>
    <n v="1402"/>
    <n v="15552"/>
    <s v="59928631"/>
    <s v="59928631"/>
    <m/>
    <m/>
    <n v="22746308"/>
    <m/>
    <m/>
    <m/>
    <s v="SOLFIN"/>
    <s v="SOLFIN"/>
    <s v="CCMS"/>
    <n v="21338245"/>
    <n v="13607.17"/>
    <m/>
    <s v="N"/>
    <n v="57"/>
    <d v="2023-07-06T19:21:14"/>
    <s v="Y"/>
    <s v="Attendance upon witness"/>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3"/>
    <d v="2023-07-06T19:21:14"/>
    <s v="Y"/>
    <s v="Attendance upon client"/>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103"/>
    <d v="2023-07-06T19:21:14"/>
    <s v="Y"/>
    <s v="Preparation - drafting statement"/>
    <s v="Non Family Hourly Rates"/>
    <s v="Profit Cost"/>
    <s v="Rod Campbell Taylor"/>
    <s v="Y"/>
    <n v="107.33"/>
    <n v="21.47"/>
    <x v="4"/>
    <s v="VALIDATED"/>
    <n v="1"/>
    <s v="01.11.80.209.6100.0000"/>
    <n v="107.33"/>
    <s v="11"/>
    <s v="6100"/>
    <n v="11516.38"/>
    <n v="107.33"/>
    <s v="CREDITOR"/>
    <n v="0"/>
    <n v="0"/>
    <n v="0"/>
    <n v="0"/>
    <n v="107.33"/>
  </r>
  <r>
    <n v="59928631"/>
    <s v="N"/>
    <n v="21338245"/>
    <s v="3000014278690001"/>
    <s v="CIVIL"/>
    <d v="2023-06-22T00:00:00"/>
    <d v="2023-07-06T19:21:01"/>
    <m/>
    <d v="2023-07-06T00:00:00"/>
    <n v="1402"/>
    <n v="15552"/>
    <s v="59928631"/>
    <s v="59928631"/>
    <m/>
    <m/>
    <n v="22746308"/>
    <m/>
    <m/>
    <m/>
    <s v="SOLFIN"/>
    <s v="SOLFIN"/>
    <s v="CCMS"/>
    <n v="21338245"/>
    <n v="13607.17"/>
    <m/>
    <s v="N"/>
    <n v="69"/>
    <d v="2023-07-06T19:21:14"/>
    <s v="Y"/>
    <s v="Attendance upon witness"/>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87"/>
    <d v="2023-07-06T19:21:14"/>
    <s v="Y"/>
    <s v="Preparation - drafting pleadings"/>
    <s v="Non Family Hourly Rates"/>
    <s v="Profit Cost"/>
    <s v="Rod Campbell Taylor"/>
    <s v="Y"/>
    <n v="64.40000000000001"/>
    <n v="12.88"/>
    <x v="4"/>
    <s v="VALIDATED"/>
    <n v="1"/>
    <s v="01.11.80.209.6100.0000"/>
    <n v="64.40000000000001"/>
    <s v="11"/>
    <s v="6100"/>
    <n v="11516.38"/>
    <n v="64.40000000000001"/>
    <s v="CREDITOR"/>
    <n v="0"/>
    <n v="0"/>
    <n v="0"/>
    <n v="0"/>
    <n v="64.40000000000001"/>
  </r>
  <r>
    <n v="59928631"/>
    <s v="N"/>
    <n v="21338245"/>
    <s v="3000014278690001"/>
    <s v="CIVIL"/>
    <d v="2023-06-22T00:00:00"/>
    <d v="2023-07-06T19:21:01"/>
    <m/>
    <d v="2023-07-06T00:00:00"/>
    <n v="1402"/>
    <n v="15552"/>
    <s v="59928631"/>
    <s v="59928631"/>
    <m/>
    <m/>
    <n v="22746308"/>
    <m/>
    <m/>
    <m/>
    <s v="SOLFIN"/>
    <s v="SOLFIN"/>
    <s v="CCMS"/>
    <n v="21338245"/>
    <n v="13607.17"/>
    <m/>
    <s v="N"/>
    <n v="4"/>
    <d v="2023-07-06T19:21:14"/>
    <s v="Y"/>
    <s v="Attendance upon witness"/>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17"/>
    <d v="2023-07-06T19:21:14"/>
    <s v="Y"/>
    <s v="Preparation - drafting pleadings"/>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71"/>
    <d v="2023-07-06T19:21:14"/>
    <s v="Y"/>
    <s v="Preparation - drafting statement"/>
    <s v="Non Family Hourly Rates"/>
    <s v="Profit Cost"/>
    <s v="Rod Campbell Taylor"/>
    <s v="Y"/>
    <n v="75.14"/>
    <n v="15.03"/>
    <x v="4"/>
    <s v="VALIDATED"/>
    <n v="1"/>
    <s v="01.11.80.209.6100.0000"/>
    <n v="75.14"/>
    <s v="11"/>
    <s v="6100"/>
    <n v="11516.38"/>
    <n v="75.14"/>
    <s v="CREDITOR"/>
    <n v="0"/>
    <n v="0"/>
    <n v="0"/>
    <n v="0"/>
    <n v="75.14"/>
  </r>
  <r>
    <n v="59928631"/>
    <s v="N"/>
    <n v="21338245"/>
    <s v="3000014278690001"/>
    <s v="CIVIL"/>
    <d v="2023-06-22T00:00:00"/>
    <d v="2023-07-06T19:21:01"/>
    <m/>
    <d v="2023-07-06T00:00:00"/>
    <n v="1402"/>
    <n v="15552"/>
    <s v="59928631"/>
    <s v="59928631"/>
    <m/>
    <m/>
    <n v="22746308"/>
    <m/>
    <m/>
    <m/>
    <s v="SOLFIN"/>
    <s v="SOLFIN"/>
    <s v="CCMS"/>
    <n v="21338245"/>
    <n v="13607.17"/>
    <m/>
    <s v="N"/>
    <n v="16"/>
    <d v="2023-07-06T19:21:14"/>
    <s v="Y"/>
    <s v="Preparation - drafting consent orde"/>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113"/>
    <d v="2023-07-06T19:21:14"/>
    <s v="Y"/>
    <s v="Solicitor Travel Expenses"/>
    <s v="Non Family Hourly Rates"/>
    <s v="Non Expert Disbursement"/>
    <s v="Rod Campbell Taylor"/>
    <s v="Y"/>
    <n v="11.1"/>
    <n v="0"/>
    <x v="4"/>
    <s v="VALIDATED"/>
    <n v="1"/>
    <s v="01.11.80.209.6300.0000"/>
    <n v="11.1"/>
    <s v="11"/>
    <s v="6300"/>
    <n v="11516.38"/>
    <n v="11.1"/>
    <s v="CREDITOR"/>
    <n v="0"/>
    <n v="0"/>
    <n v="0"/>
    <n v="0"/>
    <n v="11.1"/>
  </r>
  <r>
    <n v="59928631"/>
    <s v="N"/>
    <n v="21338245"/>
    <s v="3000014278690001"/>
    <s v="CIVIL"/>
    <d v="2023-06-22T00:00:00"/>
    <d v="2023-07-06T19:21:01"/>
    <m/>
    <d v="2023-07-06T00:00:00"/>
    <n v="1402"/>
    <n v="15552"/>
    <s v="59928631"/>
    <s v="59928631"/>
    <m/>
    <m/>
    <n v="22746308"/>
    <m/>
    <m/>
    <m/>
    <s v="SOLFIN"/>
    <s v="SOLFIN"/>
    <s v="CCMS"/>
    <n v="21338245"/>
    <n v="13607.17"/>
    <m/>
    <s v="N"/>
    <n v="35"/>
    <d v="2023-07-06T19:21:14"/>
    <s v="Y"/>
    <s v="Attendance upon client"/>
    <s v="Non Family Hourly Rates"/>
    <s v="Profit Cost"/>
    <s v="Tom Lewenstein"/>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44"/>
    <d v="2023-07-06T19:21:14"/>
    <s v="Y"/>
    <s v="Preparation - drafting attendance n"/>
    <s v="Non Family Hourly Rates"/>
    <s v="Profit Cost"/>
    <s v="Rod Campbell Taylor"/>
    <s v="Y"/>
    <n v="75.14"/>
    <n v="15.03"/>
    <x v="4"/>
    <s v="VALIDATED"/>
    <n v="1"/>
    <s v="01.11.80.209.6100.0000"/>
    <n v="75.14"/>
    <s v="11"/>
    <s v="6100"/>
    <n v="11516.38"/>
    <n v="75.14"/>
    <s v="CREDITOR"/>
    <n v="0"/>
    <n v="0"/>
    <n v="0"/>
    <n v="0"/>
    <n v="75.14"/>
  </r>
  <r>
    <n v="59928631"/>
    <s v="N"/>
    <n v="21338245"/>
    <s v="3000014278690001"/>
    <s v="CIVIL"/>
    <d v="2023-06-22T00:00:00"/>
    <d v="2023-07-06T19:21:01"/>
    <m/>
    <d v="2023-07-06T00:00:00"/>
    <n v="1402"/>
    <n v="15552"/>
    <s v="59928631"/>
    <s v="59928631"/>
    <m/>
    <m/>
    <n v="22746308"/>
    <m/>
    <m/>
    <m/>
    <s v="SOLFIN"/>
    <s v="SOLFIN"/>
    <s v="CCMS"/>
    <n v="21338245"/>
    <n v="13607.17"/>
    <m/>
    <s v="N"/>
    <n v="18"/>
    <d v="2023-07-06T19:21:14"/>
    <s v="Y"/>
    <s v="Preparation - drafting consent orde"/>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89"/>
    <d v="2023-07-06T19:21:14"/>
    <s v="Y"/>
    <s v="Report - Welfare report"/>
    <s v="Non Family Hourly Rates"/>
    <s v="Profit Cost"/>
    <s v="Rod Campbell Taylor"/>
    <s v="Y"/>
    <n v="321.98"/>
    <n v="64.40000000000001"/>
    <x v="4"/>
    <s v="VALIDATED"/>
    <n v="1"/>
    <s v="01.11.80.209.6100.0000"/>
    <n v="321.98"/>
    <s v="11"/>
    <s v="6100"/>
    <n v="11516.38"/>
    <n v="321.98"/>
    <s v="CREDITOR"/>
    <n v="0"/>
    <n v="0"/>
    <n v="0"/>
    <n v="0"/>
    <n v="321.98"/>
  </r>
  <r>
    <n v="59928631"/>
    <s v="N"/>
    <n v="21338245"/>
    <s v="3000014278690001"/>
    <s v="CIVIL"/>
    <d v="2023-06-22T00:00:00"/>
    <d v="2023-07-06T19:21:01"/>
    <m/>
    <d v="2023-07-06T00:00:00"/>
    <n v="1402"/>
    <n v="15552"/>
    <s v="59928631"/>
    <s v="59928631"/>
    <m/>
    <m/>
    <n v="22746308"/>
    <m/>
    <m/>
    <m/>
    <s v="SOLFIN"/>
    <s v="SOLFIN"/>
    <s v="CCMS"/>
    <n v="21338245"/>
    <n v="13607.17"/>
    <m/>
    <s v="N"/>
    <n v="100"/>
    <d v="2023-07-06T19:21:14"/>
    <s v="Y"/>
    <s v="Preparation - drafting statement"/>
    <s v="Non Family Hourly Rates"/>
    <s v="Profit Cost"/>
    <s v="Rod Campbell Taylor"/>
    <s v="Y"/>
    <n v="321.98"/>
    <n v="64.40000000000001"/>
    <x v="4"/>
    <s v="VALIDATED"/>
    <n v="1"/>
    <s v="01.11.80.209.6100.0000"/>
    <n v="321.98"/>
    <s v="11"/>
    <s v="6100"/>
    <n v="11516.38"/>
    <n v="321.98"/>
    <s v="CREDITOR"/>
    <n v="0"/>
    <n v="0"/>
    <n v="0"/>
    <n v="0"/>
    <n v="321.98"/>
  </r>
  <r>
    <n v="59928631"/>
    <s v="N"/>
    <n v="21338245"/>
    <s v="3000014278690001"/>
    <s v="CIVIL"/>
    <d v="2023-06-22T00:00:00"/>
    <d v="2023-07-06T19:21:01"/>
    <m/>
    <d v="2023-07-06T00:00:00"/>
    <n v="1402"/>
    <n v="15552"/>
    <s v="59928631"/>
    <s v="59928631"/>
    <m/>
    <m/>
    <n v="22746308"/>
    <m/>
    <m/>
    <m/>
    <s v="SOLFIN"/>
    <s v="SOLFIN"/>
    <s v="CCMS"/>
    <n v="21338245"/>
    <n v="13607.17"/>
    <m/>
    <s v="N"/>
    <n v="76"/>
    <d v="2023-07-06T19:21:14"/>
    <s v="Y"/>
    <s v="Preparation - drafting application"/>
    <s v="Non Family Hourly Rates"/>
    <s v="Profit Cost"/>
    <s v="Tom Lewenstein"/>
    <s v="Y"/>
    <n v="85.86"/>
    <n v="17.17"/>
    <x v="4"/>
    <s v="VALIDATED"/>
    <n v="1"/>
    <s v="01.11.80.209.6100.0000"/>
    <n v="85.86"/>
    <s v="11"/>
    <s v="6100"/>
    <n v="11516.38"/>
    <n v="85.86"/>
    <s v="CREDITOR"/>
    <n v="0"/>
    <n v="0"/>
    <n v="0"/>
    <n v="0"/>
    <n v="85.86"/>
  </r>
  <r>
    <n v="59928631"/>
    <s v="N"/>
    <n v="21338245"/>
    <s v="3000014278690001"/>
    <s v="CIVIL"/>
    <d v="2023-06-22T00:00:00"/>
    <d v="2023-07-06T19:21:01"/>
    <m/>
    <d v="2023-07-06T00:00:00"/>
    <n v="1402"/>
    <n v="15552"/>
    <s v="59928631"/>
    <s v="59928631"/>
    <m/>
    <m/>
    <n v="22746308"/>
    <m/>
    <m/>
    <m/>
    <s v="SOLFIN"/>
    <s v="SOLFIN"/>
    <s v="CCMS"/>
    <n v="21338245"/>
    <n v="13607.17"/>
    <m/>
    <s v="N"/>
    <n v="93"/>
    <d v="2023-07-06T19:21:14"/>
    <s v="Y"/>
    <s v="Report - Welfare report"/>
    <s v="Non Family Hourly Rates"/>
    <s v="Profit Cost"/>
    <s v="Rod Campbell Taylor"/>
    <s v="Y"/>
    <n v="429.3"/>
    <n v="85.86"/>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67"/>
    <d v="2023-07-06T19:21:14"/>
    <s v="Y"/>
    <s v="Preparation - drafting statement"/>
    <s v="Non Family Hourly Rates"/>
    <s v="Profit Cost"/>
    <s v="Rod Campbell Taylor"/>
    <s v="Y"/>
    <n v="128.79"/>
    <n v="25.76"/>
    <x v="4"/>
    <s v="VALIDATED"/>
    <n v="1"/>
    <s v="01.11.80.209.6100.0000"/>
    <n v="128.79"/>
    <s v="11"/>
    <s v="6100"/>
    <n v="11516.38"/>
    <n v="128.79"/>
    <s v="CREDITOR"/>
    <n v="0"/>
    <n v="0"/>
    <n v="0"/>
    <n v="0"/>
    <n v="128.79"/>
  </r>
  <r>
    <n v="59928631"/>
    <s v="N"/>
    <n v="21338245"/>
    <s v="3000014278690001"/>
    <s v="CIVIL"/>
    <d v="2023-06-22T00:00:00"/>
    <d v="2023-07-06T19:21:01"/>
    <m/>
    <d v="2023-07-06T00:00:00"/>
    <n v="1402"/>
    <n v="15552"/>
    <s v="59928631"/>
    <s v="59928631"/>
    <m/>
    <m/>
    <n v="22746308"/>
    <m/>
    <m/>
    <m/>
    <s v="SOLFIN"/>
    <s v="SOLFIN"/>
    <s v="CCMS"/>
    <n v="21338245"/>
    <n v="13607.17"/>
    <m/>
    <s v="N"/>
    <n v="5"/>
    <d v="2023-07-06T19:21:14"/>
    <s v="Y"/>
    <s v="Preparation - drafting consent orde"/>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91"/>
    <d v="2023-07-06T19:21:14"/>
    <s v="Y"/>
    <s v="Report - Welfare report"/>
    <s v="Non Family Hourly Rates"/>
    <s v="Profit Cost"/>
    <s v="Rod Campbell Taylor"/>
    <s v="Y"/>
    <n v="375.65"/>
    <n v="75.13"/>
    <x v="4"/>
    <s v="VALIDATED"/>
    <n v="1"/>
    <s v="01.11.80.209.6100.0000"/>
    <n v="375.65"/>
    <s v="11"/>
    <s v="6100"/>
    <n v="11516.38"/>
    <n v="375.65"/>
    <s v="CREDITOR"/>
    <n v="0"/>
    <n v="0"/>
    <n v="0"/>
    <n v="0"/>
    <n v="375.65"/>
  </r>
  <r>
    <n v="59928631"/>
    <s v="N"/>
    <n v="21338245"/>
    <s v="3000014278690001"/>
    <s v="CIVIL"/>
    <d v="2023-06-22T00:00:00"/>
    <d v="2023-07-06T19:21:01"/>
    <m/>
    <d v="2023-07-06T00:00:00"/>
    <n v="1402"/>
    <n v="15552"/>
    <s v="59928631"/>
    <s v="59928631"/>
    <m/>
    <m/>
    <n v="22746308"/>
    <m/>
    <m/>
    <m/>
    <s v="SOLFIN"/>
    <s v="SOLFIN"/>
    <s v="CCMS"/>
    <n v="21338245"/>
    <n v="13607.17"/>
    <m/>
    <s v="N"/>
    <n v="26"/>
    <d v="2023-07-06T19:21:14"/>
    <s v="Y"/>
    <s v="Attendance upon witness"/>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29"/>
    <d v="2023-07-06T19:21:14"/>
    <s v="Y"/>
    <s v="Preparation - drafting notice(s)"/>
    <s v="Non Family Hourly Rates"/>
    <s v="Profit Cost"/>
    <s v="Tom Lewenstein"/>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36"/>
    <d v="2023-07-06T19:21:14"/>
    <s v="Y"/>
    <s v="Preparation - drafting pleadings"/>
    <s v="Non Family Hourly Rates"/>
    <s v="Profit Cost"/>
    <s v="Tom Lewenstein"/>
    <s v="Y"/>
    <n v="225.39"/>
    <n v="45.08"/>
    <x v="4"/>
    <s v="VALIDATED"/>
    <n v="1"/>
    <s v="01.11.80.209.6100.0000"/>
    <n v="225.39"/>
    <s v="11"/>
    <s v="6100"/>
    <n v="11516.38"/>
    <n v="225.39"/>
    <s v="CREDITOR"/>
    <n v="0"/>
    <n v="0"/>
    <n v="0"/>
    <n v="0"/>
    <n v="225.39"/>
  </r>
  <r>
    <n v="59928631"/>
    <s v="N"/>
    <n v="21338245"/>
    <s v="3000014278690001"/>
    <s v="CIVIL"/>
    <d v="2023-06-22T00:00:00"/>
    <d v="2023-07-06T19:21:01"/>
    <m/>
    <d v="2023-07-06T00:00:00"/>
    <n v="1402"/>
    <n v="15552"/>
    <s v="59928631"/>
    <s v="59928631"/>
    <m/>
    <m/>
    <n v="22746308"/>
    <m/>
    <m/>
    <m/>
    <s v="SOLFIN"/>
    <s v="SOLFIN"/>
    <s v="CCMS"/>
    <n v="21338245"/>
    <n v="13607.17"/>
    <m/>
    <s v="N"/>
    <n v="42"/>
    <d v="2023-07-06T19:21:14"/>
    <s v="Y"/>
    <s v="Preparation - drafting consent orde"/>
    <s v="Non Family Hourly Rates"/>
    <s v="Profit Cost"/>
    <s v="Rod Campbell Taylor"/>
    <s v="Y"/>
    <n v="53.67"/>
    <n v="10.73"/>
    <x v="4"/>
    <s v="VALIDATED"/>
    <n v="1"/>
    <s v="01.11.80.209.6100.0000"/>
    <n v="53.67"/>
    <s v="11"/>
    <s v="6100"/>
    <n v="11516.38"/>
    <n v="53.67"/>
    <s v="CREDITOR"/>
    <n v="0"/>
    <n v="0"/>
    <n v="0"/>
    <n v="0"/>
    <n v="53.67"/>
  </r>
  <r>
    <n v="59928631"/>
    <s v="N"/>
    <n v="21338245"/>
    <s v="3000014278690001"/>
    <s v="CIVIL"/>
    <d v="2023-06-22T00:00:00"/>
    <d v="2023-07-06T19:21:01"/>
    <m/>
    <d v="2023-07-06T00:00:00"/>
    <n v="1402"/>
    <n v="15552"/>
    <s v="59928631"/>
    <s v="59928631"/>
    <m/>
    <m/>
    <n v="22746308"/>
    <m/>
    <m/>
    <m/>
    <s v="SOLFIN"/>
    <s v="SOLFIN"/>
    <s v="CCMS"/>
    <n v="21338245"/>
    <n v="13607.17"/>
    <m/>
    <s v="N"/>
    <n v="60"/>
    <d v="2023-07-06T19:21:14"/>
    <s v="Y"/>
    <s v="Travel to attend client"/>
    <s v="Non Family Hourly Rates"/>
    <s v="Profit Cost"/>
    <s v="Rod Campbell Taylor"/>
    <s v="Y"/>
    <n v="130.2"/>
    <n v="26.04"/>
    <x v="4"/>
    <s v="VALIDATED"/>
    <n v="1"/>
    <s v="01.11.80.209.6100.0000"/>
    <n v="130.2"/>
    <s v="11"/>
    <s v="6100"/>
    <n v="11516.38"/>
    <n v="130.2"/>
    <s v="CREDITOR"/>
    <n v="0"/>
    <n v="0"/>
    <n v="0"/>
    <n v="0"/>
    <n v="130.2"/>
  </r>
  <r>
    <n v="59928631"/>
    <s v="N"/>
    <n v="21338245"/>
    <s v="3000014278690001"/>
    <s v="CIVIL"/>
    <d v="2023-06-22T00:00:00"/>
    <d v="2023-07-06T19:21:01"/>
    <m/>
    <d v="2023-07-06T00:00:00"/>
    <n v="1402"/>
    <n v="15552"/>
    <s v="59928631"/>
    <s v="59928631"/>
    <m/>
    <m/>
    <n v="22746308"/>
    <m/>
    <m/>
    <m/>
    <s v="SOLFIN"/>
    <s v="SOLFIN"/>
    <s v="CCMS"/>
    <n v="21338245"/>
    <n v="13607.17"/>
    <m/>
    <s v="N"/>
    <n v="28"/>
    <d v="2023-07-06T19:21:14"/>
    <s v="Y"/>
    <s v="Report - Welfare report"/>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43"/>
    <d v="2023-07-06T19:21:14"/>
    <s v="Y"/>
    <s v="Attendance upon client"/>
    <s v="Non Family Hourly Rates"/>
    <s v="Profit Cost"/>
    <s v="Rod Campbell Taylor"/>
    <s v="Y"/>
    <n v="53.67"/>
    <n v="10.73"/>
    <x v="4"/>
    <s v="VALIDATED"/>
    <n v="1"/>
    <s v="01.11.80.209.6100.0000"/>
    <n v="53.67"/>
    <s v="11"/>
    <s v="6100"/>
    <n v="11516.38"/>
    <n v="53.67"/>
    <s v="CREDITOR"/>
    <n v="0"/>
    <n v="0"/>
    <n v="0"/>
    <n v="0"/>
    <n v="53.67"/>
  </r>
  <r>
    <n v="59928631"/>
    <s v="N"/>
    <n v="21338245"/>
    <s v="3000014278690001"/>
    <s v="CIVIL"/>
    <d v="2023-06-22T00:00:00"/>
    <d v="2023-07-06T19:21:01"/>
    <m/>
    <d v="2023-07-06T00:00:00"/>
    <n v="1402"/>
    <n v="15552"/>
    <s v="59928631"/>
    <s v="59928631"/>
    <m/>
    <m/>
    <n v="22746308"/>
    <m/>
    <m/>
    <m/>
    <s v="SOLFIN"/>
    <s v="SOLFIN"/>
    <s v="CCMS"/>
    <n v="21338245"/>
    <n v="13607.17"/>
    <m/>
    <s v="N"/>
    <n v="64"/>
    <d v="2023-07-06T19:21:14"/>
    <s v="Y"/>
    <s v="Preparation - drafting bill/claim f"/>
    <s v="Non Family Hourly Rates"/>
    <s v="Profit Cost"/>
    <s v="Haben Beraki"/>
    <s v="Y"/>
    <n v="590.3"/>
    <n v="118.06"/>
    <x v="4"/>
    <s v="VALIDATED"/>
    <n v="1"/>
    <s v="01.11.80.209.6100.0000"/>
    <n v="590.3"/>
    <s v="11"/>
    <s v="6100"/>
    <n v="11516.38"/>
    <n v="590.3"/>
    <s v="CREDITOR"/>
    <n v="0"/>
    <n v="0"/>
    <n v="0"/>
    <n v="0"/>
    <n v="590.3"/>
  </r>
  <r>
    <n v="59928631"/>
    <s v="N"/>
    <n v="21338245"/>
    <s v="3000014278690001"/>
    <s v="CIVIL"/>
    <d v="2023-06-22T00:00:00"/>
    <d v="2023-07-06T19:21:01"/>
    <m/>
    <d v="2023-07-06T00:00:00"/>
    <n v="1402"/>
    <n v="15552"/>
    <s v="59928631"/>
    <s v="59928631"/>
    <m/>
    <m/>
    <n v="22746308"/>
    <m/>
    <m/>
    <m/>
    <s v="SOLFIN"/>
    <s v="SOLFIN"/>
    <s v="CCMS"/>
    <n v="21338245"/>
    <n v="13607.17"/>
    <m/>
    <s v="N"/>
    <n v="21"/>
    <d v="2023-07-06T19:21:14"/>
    <s v="Y"/>
    <s v="Preparation - drafting consent orde"/>
    <s v="Non Family Hourly Rates"/>
    <s v="Profit Cost"/>
    <s v="Rod Campbell Taylor"/>
    <s v="Y"/>
    <n v="10.74"/>
    <n v="2.15"/>
    <x v="4"/>
    <s v="VALIDATED"/>
    <n v="1"/>
    <s v="01.11.80.209.6100.0000"/>
    <n v="10.74"/>
    <s v="11"/>
    <s v="6100"/>
    <n v="11516.38"/>
    <n v="10.74"/>
    <s v="CREDITOR"/>
    <n v="0"/>
    <n v="0"/>
    <n v="0"/>
    <n v="0"/>
    <n v="10.74"/>
  </r>
  <r>
    <n v="59928631"/>
    <s v="N"/>
    <n v="21338245"/>
    <s v="3000014278690001"/>
    <s v="CIVIL"/>
    <d v="2023-06-22T00:00:00"/>
    <d v="2023-07-06T19:21:01"/>
    <m/>
    <d v="2023-07-06T00:00:00"/>
    <n v="1402"/>
    <n v="15552"/>
    <s v="59928631"/>
    <s v="59928631"/>
    <m/>
    <m/>
    <n v="22746308"/>
    <m/>
    <m/>
    <m/>
    <s v="SOLFIN"/>
    <s v="SOLFIN"/>
    <s v="CCMS"/>
    <n v="21338245"/>
    <n v="13607.17"/>
    <m/>
    <s v="N"/>
    <n v="90"/>
    <d v="2023-07-06T19:21:14"/>
    <s v="Y"/>
    <s v="Preparation - drafting application"/>
    <s v="Non Family Hourly Rates"/>
    <s v="Profit Cost"/>
    <s v="Rod Campbell Taylor"/>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92"/>
    <d v="2023-07-06T19:21:14"/>
    <s v="Y"/>
    <s v="Report - Welfare report"/>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7"/>
    <d v="2023-07-06T19:21:14"/>
    <s v="Y"/>
    <s v="Report - Welfare report"/>
    <s v="Non Family Hourly Rates"/>
    <s v="Profit Cost"/>
    <s v="Rod Campbell Taylor"/>
    <s v="Y"/>
    <n v="75.14"/>
    <n v="15.03"/>
    <x v="4"/>
    <s v="VALIDATED"/>
    <n v="1"/>
    <s v="01.11.80.209.6100.0000"/>
    <n v="75.14"/>
    <s v="11"/>
    <s v="6100"/>
    <n v="11516.38"/>
    <n v="75.14"/>
    <s v="CREDITOR"/>
    <n v="0"/>
    <n v="0"/>
    <n v="0"/>
    <n v="0"/>
    <n v="75.14"/>
  </r>
  <r>
    <n v="59928631"/>
    <s v="N"/>
    <n v="21338245"/>
    <s v="3000014278690001"/>
    <s v="CIVIL"/>
    <d v="2023-06-22T00:00:00"/>
    <d v="2023-07-06T19:21:01"/>
    <m/>
    <d v="2023-07-06T00:00:00"/>
    <n v="1402"/>
    <n v="15552"/>
    <s v="59928631"/>
    <s v="59928631"/>
    <m/>
    <m/>
    <n v="22746308"/>
    <m/>
    <m/>
    <m/>
    <s v="SOLFIN"/>
    <s v="SOLFIN"/>
    <s v="CCMS"/>
    <n v="21338245"/>
    <n v="13607.17"/>
    <m/>
    <s v="N"/>
    <n v="11"/>
    <d v="2023-07-06T19:21:14"/>
    <s v="Y"/>
    <s v="Preparation - drafting consent orde"/>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24"/>
    <d v="2023-07-06T19:21:14"/>
    <s v="Y"/>
    <s v="Preparation - drafting agreement/se"/>
    <s v="Non Family Hourly Rates"/>
    <s v="Profit Cost"/>
    <s v="Rod Campbell Taylor"/>
    <s v="Y"/>
    <n v="21.47"/>
    <n v="4.29"/>
    <x v="4"/>
    <s v="VALIDATED"/>
    <n v="1"/>
    <s v="01.11.80.209.6100.0000"/>
    <n v="21.47"/>
    <s v="11"/>
    <s v="6100"/>
    <n v="11516.38"/>
    <n v="21.47"/>
    <s v="CREDITOR"/>
    <n v="0"/>
    <n v="0"/>
    <n v="0"/>
    <n v="0"/>
    <n v="21.47"/>
  </r>
  <r>
    <n v="59928631"/>
    <s v="N"/>
    <n v="21338245"/>
    <s v="3000014278690001"/>
    <s v="CIVIL"/>
    <d v="2023-06-22T00:00:00"/>
    <d v="2023-07-06T19:21:01"/>
    <m/>
    <d v="2023-07-06T00:00:00"/>
    <n v="1402"/>
    <n v="15552"/>
    <s v="59928631"/>
    <s v="59928631"/>
    <m/>
    <m/>
    <n v="22746308"/>
    <m/>
    <m/>
    <m/>
    <s v="SOLFIN"/>
    <s v="SOLFIN"/>
    <s v="CCMS"/>
    <n v="21338245"/>
    <n v="13607.17"/>
    <m/>
    <s v="N"/>
    <n v="34"/>
    <d v="2023-07-06T19:21:14"/>
    <s v="Y"/>
    <s v="Preparation - drafting agreement/se"/>
    <s v="Non Family Hourly Rates"/>
    <s v="Profit Cost"/>
    <s v="Tom Lewenstein"/>
    <s v="Y"/>
    <n v="32.21"/>
    <n v="6.44"/>
    <x v="4"/>
    <s v="VALIDATED"/>
    <n v="1"/>
    <s v="01.11.80.209.6100.0000"/>
    <n v="32.21"/>
    <s v="11"/>
    <s v="6100"/>
    <n v="11516.38"/>
    <n v="32.21"/>
    <s v="CREDITOR"/>
    <n v="0"/>
    <n v="0"/>
    <n v="0"/>
    <n v="0"/>
    <n v="32.21"/>
  </r>
  <r>
    <n v="59928631"/>
    <s v="N"/>
    <n v="21338245"/>
    <s v="3000014278690001"/>
    <s v="CIVIL"/>
    <d v="2023-06-22T00:00:00"/>
    <d v="2023-07-06T19:21:01"/>
    <m/>
    <d v="2023-07-06T00:00:00"/>
    <n v="1402"/>
    <n v="15552"/>
    <s v="59928631"/>
    <s v="59928631"/>
    <m/>
    <m/>
    <n v="22746308"/>
    <m/>
    <m/>
    <m/>
    <s v="SOLFIN"/>
    <s v="SOLFIN"/>
    <s v="CCMS"/>
    <n v="21338245"/>
    <n v="13607.17"/>
    <m/>
    <s v="N"/>
    <n v="39"/>
    <d v="2023-07-06T19:21:14"/>
    <s v="Y"/>
    <s v="Preparation - drafting application"/>
    <s v="Non Family Hourly Rates"/>
    <s v="Profit Cost"/>
    <s v="Tom Lewenstein"/>
    <s v="Y"/>
    <n v="75.14"/>
    <n v="15.03"/>
    <x v="4"/>
    <s v="VALIDATED"/>
    <n v="1"/>
    <s v="01.11.80.209.6100.0000"/>
    <n v="75.14"/>
    <s v="11"/>
    <s v="6100"/>
    <n v="11516.38"/>
    <n v="75.14"/>
    <s v="CREDITOR"/>
    <n v="0"/>
    <n v="0"/>
    <n v="0"/>
    <n v="0"/>
    <n v="75.14"/>
  </r>
  <r>
    <n v="59928631"/>
    <s v="N"/>
    <n v="21338245"/>
    <s v="3000014278690001"/>
    <s v="CIVIL"/>
    <d v="2023-06-22T00:00:00"/>
    <d v="2023-07-06T19:21:01"/>
    <m/>
    <d v="2023-07-06T00:00:00"/>
    <n v="1402"/>
    <n v="15552"/>
    <s v="59928631"/>
    <s v="59928631"/>
    <m/>
    <m/>
    <n v="22746308"/>
    <m/>
    <m/>
    <m/>
    <s v="SOLFIN"/>
    <s v="SOLFIN"/>
    <s v="CCMS"/>
    <n v="21338245"/>
    <n v="13607.17"/>
    <m/>
    <s v="N"/>
    <n v="61"/>
    <d v="2023-07-06T19:21:14"/>
    <s v="Y"/>
    <s v="Attendance upon witness"/>
    <s v="Non Family Hourly Rates"/>
    <s v="Profit Cost"/>
    <s v="Rod Campbell Taylor"/>
    <s v="Y"/>
    <n v="42.93"/>
    <n v="8.59"/>
    <x v="4"/>
    <s v="VALIDATED"/>
    <n v="1"/>
    <s v="01.11.80.209.6100.0000"/>
    <n v="42.93"/>
    <s v="11"/>
    <s v="6100"/>
    <n v="11516.38"/>
    <n v="42.93"/>
    <s v="CREDITOR"/>
    <n v="0"/>
    <n v="0"/>
    <n v="0"/>
    <n v="0"/>
    <n v="42.93"/>
  </r>
  <r>
    <n v="59928631"/>
    <s v="N"/>
    <n v="21338245"/>
    <s v="3000014278690001"/>
    <s v="CIVIL"/>
    <d v="2023-06-22T00:00:00"/>
    <d v="2023-07-06T19:21:01"/>
    <m/>
    <d v="2023-07-06T00:00:00"/>
    <n v="1402"/>
    <n v="15552"/>
    <s v="59928631"/>
    <s v="59928631"/>
    <m/>
    <m/>
    <n v="22746308"/>
    <m/>
    <m/>
    <m/>
    <s v="SOLFIN"/>
    <s v="SOLFIN"/>
    <s v="CCMS"/>
    <n v="21338245"/>
    <n v="13607.17"/>
    <m/>
    <s v="N"/>
    <n v="47"/>
    <d v="2023-07-06T19:21:14"/>
    <s v="Y"/>
    <s v="Preparation - drafting consent orde"/>
    <s v="Non Family Hourly Rates"/>
    <s v="Profit Cost"/>
    <s v="Rod Campbell Taylor"/>
    <s v="Y"/>
    <n v="150.26"/>
    <n v="30.05"/>
    <x v="4"/>
    <s v="VALIDATED"/>
    <n v="1"/>
    <s v="01.11.80.209.6100.0000"/>
    <n v="150.26"/>
    <s v="11"/>
    <s v="6100"/>
    <n v="11516.38"/>
    <n v="150.26"/>
    <s v="CREDITOR"/>
    <n v="0"/>
    <n v="0"/>
    <n v="0"/>
    <n v="0"/>
    <n v="150.26"/>
  </r>
  <r>
    <n v="59928631"/>
    <s v="N"/>
    <n v="21338245"/>
    <s v="3000014278690001"/>
    <s v="CIVIL"/>
    <d v="2023-06-22T00:00:00"/>
    <d v="2023-07-06T19:21:01"/>
    <m/>
    <d v="2023-07-06T00:00:00"/>
    <n v="1402"/>
    <n v="15552"/>
    <s v="59928631"/>
    <s v="59928631"/>
    <m/>
    <m/>
    <n v="22746308"/>
    <m/>
    <m/>
    <m/>
    <s v="SOLFIN"/>
    <s v="SOLFIN"/>
    <s v="CCMS"/>
    <n v="21338245"/>
    <n v="13607.17"/>
    <m/>
    <s v="N"/>
    <n v="98"/>
    <d v="2023-07-06T19:21:14"/>
    <s v="Y"/>
    <s v="Report - Welfare report"/>
    <s v="Non Family Hourly Rates"/>
    <s v="Profit Cost"/>
    <s v="Rod Campbell Taylor"/>
    <s v="Y"/>
    <n v="912.27"/>
    <n v="182.45"/>
    <x v="4"/>
    <s v="VALIDATED"/>
    <n v="1"/>
    <s v="01.11.80.209.6100.0000"/>
    <n v="912.27"/>
    <s v="11"/>
    <s v="6100"/>
    <n v="11516.38"/>
    <n v="912.27"/>
    <s v="CREDITOR"/>
    <n v="0"/>
    <n v="0"/>
    <n v="0"/>
    <n v="0"/>
    <n v="912.27"/>
  </r>
  <r>
    <n v="62395106"/>
    <s v="N"/>
    <n v="21321142"/>
    <s v="3000016370480001"/>
    <s v="CIVIL"/>
    <d v="2023-06-28T00:00:00"/>
    <d v="2023-07-03T19:04:52"/>
    <m/>
    <d v="2023-07-03T00:00:00"/>
    <n v="1420"/>
    <n v="18996"/>
    <s v="62395106"/>
    <s v="62395106"/>
    <m/>
    <m/>
    <n v="22781682"/>
    <m/>
    <m/>
    <m/>
    <s v="SOLPOA"/>
    <s v="SOLPOA"/>
    <s v="CCMS"/>
    <n v="21321142"/>
    <n v="72"/>
    <m/>
    <s v="N"/>
    <n v="1"/>
    <d v="2023-07-03T19:04:58"/>
    <s v="N"/>
    <s v="Non Expert Disbursement"/>
    <s v="Non Expert Disbursement"/>
    <s v="Non Expert Disbursement"/>
    <s v="Grace Trenchard"/>
    <s v="N"/>
    <n v="72"/>
    <n v="0"/>
    <x v="3"/>
    <s v="VALIDATED"/>
    <n v="1"/>
    <s v="01.11.80.305.2012.0000"/>
    <n v="72"/>
    <s v="11"/>
    <s v="2012"/>
    <n v="3650.72"/>
    <n v="72"/>
    <s v="CREDITOR"/>
    <n v="72"/>
    <n v="0"/>
    <n v="0"/>
    <n v="0"/>
    <n v="0"/>
  </r>
  <r>
    <n v="61904209"/>
    <s v="N"/>
    <n v="21338440"/>
    <s v="3000015960170001"/>
    <s v="CIVIL"/>
    <d v="2023-06-28T00:00:00"/>
    <d v="2023-07-06T19:21:01"/>
    <m/>
    <d v="2023-07-06T00:00:00"/>
    <n v="1420"/>
    <n v="18996"/>
    <s v="61904209"/>
    <s v="61904209"/>
    <m/>
    <m/>
    <n v="22775910"/>
    <m/>
    <m/>
    <m/>
    <s v="SOLFIN"/>
    <s v="SOLFIN"/>
    <s v="CCMS"/>
    <n v="21338440"/>
    <n v="1894.92"/>
    <m/>
    <s v="N"/>
    <n v="9"/>
    <d v="2023-07-06T19:21:25"/>
    <s v="Y"/>
    <s v="Preparation - other"/>
    <s v="Care Remuneration Hourly Rates"/>
    <s v="Profit Cost"/>
    <s v="Grace Trenchard"/>
    <s v="Y"/>
    <n v="6.72"/>
    <n v="1.34"/>
    <x v="4"/>
    <s v="VALIDATED"/>
    <n v="1"/>
    <s v="01.11.80.305.6100.0000"/>
    <n v="6.72"/>
    <s v="11"/>
    <s v="6100"/>
    <n v="3650.72"/>
    <n v="6.72"/>
    <s v="CREDITOR"/>
    <n v="0"/>
    <n v="0"/>
    <n v="0"/>
    <n v="0"/>
    <n v="6.72"/>
  </r>
  <r>
    <n v="61904209"/>
    <s v="N"/>
    <n v="21338440"/>
    <s v="3000015960170001"/>
    <s v="CIVIL"/>
    <d v="2023-06-28T00:00:00"/>
    <d v="2023-07-06T19:21:01"/>
    <m/>
    <d v="2023-07-06T00:00:00"/>
    <n v="1420"/>
    <n v="18996"/>
    <s v="61904209"/>
    <s v="61904209"/>
    <m/>
    <m/>
    <n v="22775910"/>
    <m/>
    <m/>
    <m/>
    <s v="SOLFIN"/>
    <s v="SOLFIN"/>
    <s v="CCMS"/>
    <n v="21338440"/>
    <n v="1894.92"/>
    <m/>
    <s v="N"/>
    <n v="15"/>
    <d v="2023-07-06T19:21:25"/>
    <s v="Y"/>
    <s v="Preparation - other"/>
    <s v="Care Remuneration Hourly Rates"/>
    <s v="Profit Cost"/>
    <s v="Grace Trenchard"/>
    <s v="Y"/>
    <n v="6.72"/>
    <n v="1.34"/>
    <x v="4"/>
    <s v="VALIDATED"/>
    <n v="1"/>
    <s v="01.11.80.305.6100.0000"/>
    <n v="6.72"/>
    <s v="11"/>
    <s v="6100"/>
    <n v="3650.72"/>
    <n v="6.72"/>
    <s v="CREDITOR"/>
    <n v="0"/>
    <n v="0"/>
    <n v="0"/>
    <n v="0"/>
    <n v="6.72"/>
  </r>
  <r>
    <n v="61904209"/>
    <s v="N"/>
    <n v="21338440"/>
    <s v="3000015960170001"/>
    <s v="CIVIL"/>
    <d v="2023-06-28T00:00:00"/>
    <d v="2023-07-06T19:21:01"/>
    <m/>
    <d v="2023-07-06T00:00:00"/>
    <n v="1420"/>
    <n v="18996"/>
    <s v="61904209"/>
    <s v="61904209"/>
    <m/>
    <m/>
    <n v="22775910"/>
    <m/>
    <m/>
    <m/>
    <s v="SOLFIN"/>
    <s v="SOLFIN"/>
    <s v="CCMS"/>
    <n v="21338440"/>
    <n v="1894.92"/>
    <m/>
    <s v="N"/>
    <n v="2"/>
    <d v="2023-07-06T19:21:25"/>
    <s v="Y"/>
    <s v="Client Travel Expenses"/>
    <s v="Care Remuneration Hourly Rates"/>
    <s v="Non Expert Disbursement"/>
    <s v="Grace Trenchard"/>
    <s v="Y"/>
    <n v="14.4"/>
    <n v="2.88"/>
    <x v="4"/>
    <s v="VALIDATED"/>
    <n v="1"/>
    <s v="01.11.80.305.6300.0000"/>
    <n v="14.4"/>
    <s v="11"/>
    <s v="6300"/>
    <n v="3650.72"/>
    <n v="14.4"/>
    <s v="CREDITOR"/>
    <n v="0"/>
    <n v="0"/>
    <n v="0"/>
    <n v="0"/>
    <n v="14.4"/>
  </r>
  <r>
    <n v="61904209"/>
    <s v="N"/>
    <n v="21338440"/>
    <s v="3000015960170001"/>
    <s v="CIVIL"/>
    <d v="2023-06-28T00:00:00"/>
    <d v="2023-07-06T19:21:01"/>
    <m/>
    <d v="2023-07-06T00:00:00"/>
    <n v="1420"/>
    <n v="18996"/>
    <s v="61904209"/>
    <s v="61904209"/>
    <m/>
    <m/>
    <n v="22775910"/>
    <m/>
    <m/>
    <m/>
    <s v="SOLFIN"/>
    <s v="SOLFIN"/>
    <s v="CCMS"/>
    <n v="21338440"/>
    <n v="1894.92"/>
    <m/>
    <s v="N"/>
    <n v="11"/>
    <d v="2023-07-06T19:21:25"/>
    <s v="Y"/>
    <s v="Preparation - other"/>
    <s v="Care Remuneration Hourly Rates"/>
    <s v="Profit Cost"/>
    <s v="Grace Trenchard"/>
    <s v="Y"/>
    <n v="6.72"/>
    <n v="1.34"/>
    <x v="4"/>
    <s v="VALIDATED"/>
    <n v="1"/>
    <s v="01.11.80.305.6100.0000"/>
    <n v="6.72"/>
    <s v="11"/>
    <s v="6100"/>
    <n v="3650.72"/>
    <n v="6.72"/>
    <s v="CREDITOR"/>
    <n v="0"/>
    <n v="0"/>
    <n v="0"/>
    <n v="0"/>
    <n v="6.72"/>
  </r>
  <r>
    <n v="61904691"/>
    <s v="N"/>
    <n v="21338420"/>
    <s v="3000015961190001"/>
    <s v="CIVIL"/>
    <d v="2023-06-28T00:00:00"/>
    <d v="2023-07-06T19:21:01"/>
    <m/>
    <d v="2023-07-06T00:00:00"/>
    <n v="1420"/>
    <n v="18996"/>
    <s v="61904691"/>
    <s v="61904691"/>
    <m/>
    <m/>
    <n v="22775916"/>
    <m/>
    <m/>
    <m/>
    <s v="SOLFIN"/>
    <s v="SOLFIN"/>
    <s v="CCMS"/>
    <n v="21338420"/>
    <n v="0"/>
    <m/>
    <s v="N"/>
    <n v="1"/>
    <d v="2023-07-06T19:21:24"/>
    <s v="N"/>
    <s v="NIL BILL"/>
    <s v="Care Remuneration Hourly Rates"/>
    <s v="Profit Cost"/>
    <s v="Grace Trenchard"/>
    <s v="N"/>
    <n v="0"/>
    <n v="0"/>
    <x v="4"/>
    <s v="VALIDATED"/>
    <n v="1"/>
    <s v="01.11.80.305.6100.0000"/>
    <n v="0"/>
    <s v="11"/>
    <s v="6100"/>
    <n v="3650.72"/>
    <n v="0"/>
    <s v="CREDITOR"/>
    <n v="0"/>
    <n v="0"/>
    <n v="0"/>
    <n v="0"/>
    <n v="0"/>
  </r>
  <r>
    <n v="10983170"/>
    <s v="N"/>
    <n v="21319627"/>
    <s v="3000006741210016"/>
    <s v="CIVIL"/>
    <d v="2023-06-27T00:00:00"/>
    <d v="2023-07-03T19:04:24"/>
    <m/>
    <d v="2023-07-03T00:00:00"/>
    <n v="1420"/>
    <n v="18996"/>
    <s v="10983170"/>
    <s v="10983170"/>
    <m/>
    <m/>
    <n v="22774006"/>
    <m/>
    <m/>
    <m/>
    <s v="SOLPOA"/>
    <s v="SOLPOA"/>
    <s v="CCMS"/>
    <n v="21319627"/>
    <n v="134.8"/>
    <m/>
    <s v="N"/>
    <n v="1"/>
    <d v="2023-07-03T19:04:26"/>
    <s v="N"/>
    <s v="Expert Cost - Private Law Children"/>
    <s v="Expert Cost - Private Law Chil"/>
    <s v="Expert Disbursement"/>
    <s v="Rebecca Till"/>
    <s v="N"/>
    <n v="134.8"/>
    <n v="0"/>
    <x v="3"/>
    <s v="VALIDATED"/>
    <n v="1"/>
    <s v="01.11.80.307.2012.0000"/>
    <n v="134.8"/>
    <s v="11"/>
    <s v="2012"/>
    <n v="3650.72"/>
    <n v="134.8"/>
    <s v="CREDITOR"/>
    <n v="134.8"/>
    <n v="0"/>
    <n v="0"/>
    <n v="0"/>
    <n v="0"/>
  </r>
  <r>
    <n v="10983170"/>
    <s v="N"/>
    <n v="21322091"/>
    <s v="3000006741210017"/>
    <s v="CIVIL"/>
    <d v="2023-06-29T00:00:00"/>
    <d v="2023-07-03T19:05:17"/>
    <m/>
    <d v="2023-07-03T00:00:00"/>
    <n v="1420"/>
    <n v="18996"/>
    <s v="10983170"/>
    <s v="10983170"/>
    <m/>
    <m/>
    <n v="22785648"/>
    <m/>
    <m/>
    <m/>
    <s v="SOLPOA"/>
    <s v="SOLPOA"/>
    <s v="CCMS"/>
    <n v="21322091"/>
    <n v="1010.88"/>
    <m/>
    <s v="N"/>
    <n v="1"/>
    <d v="2023-07-03T19:05:22"/>
    <s v="N"/>
    <s v="Expert Cost - Private Law Children"/>
    <s v="Expert Cost - Private Law Chil"/>
    <s v="Expert Disbursement"/>
    <s v="Rebecca Till"/>
    <s v="N"/>
    <n v="842.4"/>
    <n v="168.48"/>
    <x v="3"/>
    <s v="VALIDATED"/>
    <n v="1"/>
    <s v="01.11.80.307.2012.0000"/>
    <n v="842.4"/>
    <s v="11"/>
    <s v="2012"/>
    <n v="3650.72"/>
    <n v="842.4"/>
    <s v="CREDITOR"/>
    <n v="842.4"/>
    <n v="0"/>
    <n v="0"/>
    <n v="0"/>
    <n v="0"/>
  </r>
  <r>
    <n v="61904209"/>
    <s v="N"/>
    <n v="21338440"/>
    <s v="3000015960170001"/>
    <s v="CIVIL"/>
    <d v="2023-06-28T00:00:00"/>
    <d v="2023-07-06T19:21:01"/>
    <m/>
    <d v="2023-07-06T00:00:00"/>
    <n v="1420"/>
    <n v="18996"/>
    <s v="61904209"/>
    <s v="61904209"/>
    <m/>
    <m/>
    <n v="22775910"/>
    <m/>
    <m/>
    <m/>
    <s v="SOLFIN"/>
    <s v="SOLFIN"/>
    <s v="CCMS"/>
    <n v="21338440"/>
    <n v="1894.92"/>
    <m/>
    <s v="N"/>
    <n v="28"/>
    <d v="2023-07-06T19:21:25"/>
    <s v="Y"/>
    <s v="Preparation - drafting bill/claim f"/>
    <s v="Care Remuneration Hourly Rates"/>
    <s v="Profit Cost"/>
    <s v="Lucy Davies"/>
    <s v="Y"/>
    <n v="87.62"/>
    <n v="17.52"/>
    <x v="4"/>
    <s v="VALIDATED"/>
    <n v="1"/>
    <s v="01.11.80.305.6100.0000"/>
    <n v="87.62"/>
    <s v="11"/>
    <s v="6100"/>
    <n v="3650.72"/>
    <n v="87.62"/>
    <s v="CREDITOR"/>
    <n v="0"/>
    <n v="0"/>
    <n v="0"/>
    <n v="0"/>
    <n v="87.62"/>
  </r>
  <r>
    <n v="61904209"/>
    <s v="N"/>
    <n v="21338440"/>
    <s v="3000015960170001"/>
    <s v="CIVIL"/>
    <d v="2023-06-28T00:00:00"/>
    <d v="2023-07-06T19:21:01"/>
    <m/>
    <d v="2023-07-06T00:00:00"/>
    <n v="1420"/>
    <n v="18996"/>
    <s v="61904209"/>
    <s v="61904209"/>
    <m/>
    <m/>
    <n v="22775910"/>
    <m/>
    <m/>
    <m/>
    <s v="SOLFIN"/>
    <s v="SOLFIN"/>
    <s v="CCMS"/>
    <n v="21338440"/>
    <n v="1894.92"/>
    <m/>
    <s v="N"/>
    <n v="21"/>
    <d v="2023-07-06T19:21:25"/>
    <s v="Y"/>
    <s v="Preparation - other"/>
    <s v="Care Remuneration Hourly Rates"/>
    <s v="Profit Cost"/>
    <s v="Grace Trenchard"/>
    <s v="Y"/>
    <n v="13.43"/>
    <n v="2.69"/>
    <x v="4"/>
    <s v="VALIDATED"/>
    <n v="1"/>
    <s v="01.11.80.305.6100.0000"/>
    <n v="13.43"/>
    <s v="11"/>
    <s v="6100"/>
    <n v="3650.72"/>
    <n v="13.43"/>
    <s v="CREDITOR"/>
    <n v="0"/>
    <n v="0"/>
    <n v="0"/>
    <n v="0"/>
    <n v="13.43"/>
  </r>
  <r>
    <n v="61904209"/>
    <s v="N"/>
    <n v="21338440"/>
    <s v="3000015960170001"/>
    <s v="CIVIL"/>
    <d v="2023-06-28T00:00:00"/>
    <d v="2023-07-06T19:21:01"/>
    <m/>
    <d v="2023-07-06T00:00:00"/>
    <n v="1420"/>
    <n v="18996"/>
    <s v="61904209"/>
    <s v="61904209"/>
    <m/>
    <m/>
    <n v="22775910"/>
    <m/>
    <m/>
    <m/>
    <s v="SOLFIN"/>
    <s v="SOLFIN"/>
    <s v="CCMS"/>
    <n v="21338440"/>
    <n v="1894.92"/>
    <m/>
    <s v="N"/>
    <n v="22"/>
    <d v="2023-07-06T19:21:25"/>
    <s v="Y"/>
    <s v="Travel to court"/>
    <s v="Care Remuneration Hourly Rates"/>
    <s v="Profit Cost"/>
    <s v="Grace Trenchard"/>
    <s v="Y"/>
    <n v="20.16"/>
    <n v="4.03"/>
    <x v="4"/>
    <s v="VALIDATED"/>
    <n v="1"/>
    <s v="01.11.80.305.6100.0000"/>
    <n v="20.16"/>
    <s v="11"/>
    <s v="6100"/>
    <n v="3650.72"/>
    <n v="20.16"/>
    <s v="CREDITOR"/>
    <n v="0"/>
    <n v="0"/>
    <n v="0"/>
    <n v="0"/>
    <n v="20.16"/>
  </r>
  <r>
    <n v="61904209"/>
    <s v="N"/>
    <n v="21338440"/>
    <s v="3000015960170001"/>
    <s v="CIVIL"/>
    <d v="2023-06-28T00:00:00"/>
    <d v="2023-07-06T19:21:01"/>
    <m/>
    <d v="2023-07-06T00:00:00"/>
    <n v="1420"/>
    <n v="18996"/>
    <s v="61904209"/>
    <s v="61904209"/>
    <m/>
    <m/>
    <n v="22775910"/>
    <m/>
    <m/>
    <m/>
    <s v="SOLFIN"/>
    <s v="SOLFIN"/>
    <s v="CCMS"/>
    <n v="21338440"/>
    <n v="1894.92"/>
    <m/>
    <s v="N"/>
    <n v="24"/>
    <d v="2023-07-06T19:21:25"/>
    <s v="Y"/>
    <s v="Preparation - other"/>
    <s v="Care Remuneration Hourly Rates"/>
    <s v="Profit Cost"/>
    <s v="Grace Trenchard"/>
    <s v="Y"/>
    <n v="13.43"/>
    <n v="2.69"/>
    <x v="4"/>
    <s v="VALIDATED"/>
    <n v="1"/>
    <s v="01.11.80.305.6100.0000"/>
    <n v="13.43"/>
    <s v="11"/>
    <s v="6100"/>
    <n v="3650.72"/>
    <n v="13.43"/>
    <s v="CREDITOR"/>
    <n v="0"/>
    <n v="0"/>
    <n v="0"/>
    <n v="0"/>
    <n v="13.43"/>
  </r>
  <r>
    <n v="61904209"/>
    <s v="N"/>
    <n v="21338440"/>
    <s v="3000015960170001"/>
    <s v="CIVIL"/>
    <d v="2023-06-28T00:00:00"/>
    <d v="2023-07-06T19:21:01"/>
    <m/>
    <d v="2023-07-06T00:00:00"/>
    <n v="1420"/>
    <n v="18996"/>
    <s v="61904209"/>
    <s v="61904209"/>
    <m/>
    <m/>
    <n v="22775910"/>
    <m/>
    <m/>
    <m/>
    <s v="SOLFIN"/>
    <s v="SOLFIN"/>
    <s v="CCMS"/>
    <n v="21338440"/>
    <n v="1894.92"/>
    <m/>
    <s v="N"/>
    <n v="17"/>
    <d v="2023-07-06T19:21:25"/>
    <s v="Y"/>
    <s v="Attendance upon other side"/>
    <s v="Care Remuneration Hourly Rates"/>
    <s v="Profit Cost"/>
    <s v="Grace Trenchard"/>
    <s v="Y"/>
    <n v="13.43"/>
    <n v="2.69"/>
    <x v="4"/>
    <s v="VALIDATED"/>
    <n v="1"/>
    <s v="01.11.80.305.6100.0000"/>
    <n v="13.43"/>
    <s v="11"/>
    <s v="6100"/>
    <n v="3650.72"/>
    <n v="13.43"/>
    <s v="CREDITOR"/>
    <n v="0"/>
    <n v="0"/>
    <n v="0"/>
    <n v="0"/>
    <n v="13.43"/>
  </r>
  <r>
    <n v="61904209"/>
    <s v="N"/>
    <n v="21338440"/>
    <s v="3000015960170001"/>
    <s v="CIVIL"/>
    <d v="2023-06-28T00:00:00"/>
    <d v="2023-07-06T19:21:01"/>
    <m/>
    <d v="2023-07-06T00:00:00"/>
    <n v="1420"/>
    <n v="18996"/>
    <s v="61904209"/>
    <s v="61904209"/>
    <m/>
    <m/>
    <n v="22775910"/>
    <m/>
    <m/>
    <m/>
    <s v="SOLFIN"/>
    <s v="SOLFIN"/>
    <s v="CCMS"/>
    <n v="21338440"/>
    <n v="1894.92"/>
    <m/>
    <s v="N"/>
    <n v="8"/>
    <d v="2023-07-06T19:21:25"/>
    <s v="Y"/>
    <s v="Preparation - other"/>
    <s v="Care Remuneration Hourly Rates"/>
    <s v="Profit Cost"/>
    <s v="Grace Trenchard"/>
    <s v="Y"/>
    <n v="6.72"/>
    <n v="1.34"/>
    <x v="4"/>
    <s v="VALIDATED"/>
    <n v="1"/>
    <s v="01.11.80.305.6100.0000"/>
    <n v="6.72"/>
    <s v="11"/>
    <s v="6100"/>
    <n v="3650.72"/>
    <n v="6.72"/>
    <s v="CREDITOR"/>
    <n v="0"/>
    <n v="0"/>
    <n v="0"/>
    <n v="0"/>
    <n v="6.72"/>
  </r>
  <r>
    <n v="61904209"/>
    <s v="N"/>
    <n v="21338440"/>
    <s v="3000015960170001"/>
    <s v="CIVIL"/>
    <d v="2023-06-28T00:00:00"/>
    <d v="2023-07-06T19:21:01"/>
    <m/>
    <d v="2023-07-06T00:00:00"/>
    <n v="1420"/>
    <n v="18996"/>
    <s v="61904209"/>
    <s v="61904209"/>
    <m/>
    <m/>
    <n v="22775910"/>
    <m/>
    <m/>
    <m/>
    <s v="SOLFIN"/>
    <s v="SOLFIN"/>
    <s v="CCMS"/>
    <n v="21338440"/>
    <n v="1894.92"/>
    <m/>
    <s v="N"/>
    <n v="23"/>
    <d v="2023-07-06T19:21:25"/>
    <s v="Y"/>
    <s v="Preparation - other"/>
    <s v="Care Remuneration Hourly Rates"/>
    <s v="Profit Cost"/>
    <s v="Grace Trenchard"/>
    <s v="Y"/>
    <n v="13.43"/>
    <n v="2.69"/>
    <x v="4"/>
    <s v="VALIDATED"/>
    <n v="1"/>
    <s v="01.11.80.305.6100.0000"/>
    <n v="13.43"/>
    <s v="11"/>
    <s v="6100"/>
    <n v="3650.72"/>
    <n v="13.43"/>
    <s v="CREDITOR"/>
    <n v="0"/>
    <n v="0"/>
    <n v="0"/>
    <n v="0"/>
    <n v="13.43"/>
  </r>
  <r>
    <n v="61904209"/>
    <s v="N"/>
    <n v="21338440"/>
    <s v="3000015960170001"/>
    <s v="CIVIL"/>
    <d v="2023-06-28T00:00:00"/>
    <d v="2023-07-06T19:21:01"/>
    <m/>
    <d v="2023-07-06T00:00:00"/>
    <n v="1420"/>
    <n v="18996"/>
    <s v="61904209"/>
    <s v="61904209"/>
    <m/>
    <m/>
    <n v="22775910"/>
    <m/>
    <m/>
    <m/>
    <s v="SOLFIN"/>
    <s v="SOLFIN"/>
    <s v="CCMS"/>
    <n v="21338440"/>
    <n v="1894.92"/>
    <m/>
    <s v="N"/>
    <n v="16"/>
    <d v="2023-07-06T19:21:25"/>
    <s v="Y"/>
    <s v="Preparation - drafting notice(s)"/>
    <s v="Care Remuneration Hourly Rates"/>
    <s v="Profit Cost"/>
    <s v="Grace Trenchard"/>
    <s v="Y"/>
    <n v="6.72"/>
    <n v="1.34"/>
    <x v="4"/>
    <s v="VALIDATED"/>
    <n v="1"/>
    <s v="01.11.80.305.6100.0000"/>
    <n v="6.72"/>
    <s v="11"/>
    <s v="6100"/>
    <n v="3650.72"/>
    <n v="6.72"/>
    <s v="CREDITOR"/>
    <n v="0"/>
    <n v="0"/>
    <n v="0"/>
    <n v="0"/>
    <n v="6.72"/>
  </r>
  <r>
    <n v="61904209"/>
    <s v="N"/>
    <n v="21338440"/>
    <s v="3000015960170001"/>
    <s v="CIVIL"/>
    <d v="2023-06-28T00:00:00"/>
    <d v="2023-07-06T19:21:01"/>
    <m/>
    <d v="2023-07-06T00:00:00"/>
    <n v="1420"/>
    <n v="18996"/>
    <s v="61904209"/>
    <s v="61904209"/>
    <m/>
    <m/>
    <n v="22775910"/>
    <m/>
    <m/>
    <m/>
    <s v="SOLFIN"/>
    <s v="SOLFIN"/>
    <s v="CCMS"/>
    <n v="21338440"/>
    <n v="1894.92"/>
    <m/>
    <s v="N"/>
    <n v="30"/>
    <d v="2023-07-06T19:21:25"/>
    <s v="Y"/>
    <s v="Routine Letter Out"/>
    <s v="Care Remuneration Hourly Rates"/>
    <s v="Profit Cost"/>
    <s v="Grace Trenchard"/>
    <s v="Y"/>
    <n v="182.47"/>
    <n v="36.49"/>
    <x v="4"/>
    <s v="VALIDATED"/>
    <n v="1"/>
    <s v="01.11.80.305.6100.0000"/>
    <n v="182.47"/>
    <s v="11"/>
    <s v="6100"/>
    <n v="3650.72"/>
    <n v="182.47"/>
    <s v="CREDITOR"/>
    <n v="0"/>
    <n v="0"/>
    <n v="0"/>
    <n v="0"/>
    <n v="182.47"/>
  </r>
  <r>
    <n v="10983170"/>
    <s v="N"/>
    <n v="21319434"/>
    <s v="3000006741210015"/>
    <s v="CIVIL"/>
    <d v="2023-06-27T00:00:00"/>
    <d v="2023-07-03T19:04:24"/>
    <m/>
    <d v="2023-07-03T00:00:00"/>
    <n v="1420"/>
    <n v="18996"/>
    <s v="10983170"/>
    <s v="10983170"/>
    <m/>
    <m/>
    <n v="22773984"/>
    <m/>
    <m/>
    <m/>
    <s v="SOLPOA"/>
    <s v="SOLPOA"/>
    <s v="CCMS"/>
    <n v="21319434"/>
    <n v="650.9299999999999"/>
    <m/>
    <s v="N"/>
    <n v="1"/>
    <d v="2023-07-03T19:04:25"/>
    <s v="N"/>
    <s v="Expert Cost - Private Law Children"/>
    <s v="Expert Cost - Private Law Chil"/>
    <s v="Expert Disbursement"/>
    <s v="Rebecca Till"/>
    <s v="N"/>
    <n v="650.9299999999999"/>
    <n v="0"/>
    <x v="3"/>
    <s v="VALIDATED"/>
    <n v="1"/>
    <s v="01.11.80.307.2012.0000"/>
    <n v="650.9299999999999"/>
    <s v="11"/>
    <s v="2012"/>
    <n v="3650.72"/>
    <n v="650.9299999999999"/>
    <s v="CREDITOR"/>
    <n v="650.9299999999999"/>
    <n v="0"/>
    <n v="0"/>
    <n v="0"/>
    <n v="0"/>
  </r>
  <r>
    <n v="61904209"/>
    <s v="N"/>
    <n v="21338440"/>
    <s v="3000015960170001"/>
    <s v="CIVIL"/>
    <d v="2023-06-28T00:00:00"/>
    <d v="2023-07-06T19:21:01"/>
    <m/>
    <d v="2023-07-06T00:00:00"/>
    <n v="1420"/>
    <n v="18996"/>
    <s v="61904209"/>
    <s v="61904209"/>
    <m/>
    <m/>
    <n v="22775910"/>
    <m/>
    <m/>
    <m/>
    <s v="SOLFIN"/>
    <s v="SOLFIN"/>
    <s v="CCMS"/>
    <n v="21338440"/>
    <n v="1894.92"/>
    <m/>
    <s v="N"/>
    <n v="4"/>
    <d v="2023-07-06T19:21:25"/>
    <s v="Y"/>
    <s v="Preparation - other"/>
    <s v="Care Remuneration Hourly Rates"/>
    <s v="Profit Cost"/>
    <s v="Grace Trenchard"/>
    <s v="Y"/>
    <n v="67.17"/>
    <n v="13.43"/>
    <x v="4"/>
    <s v="VALIDATED"/>
    <n v="1"/>
    <s v="01.11.80.305.6100.0000"/>
    <n v="67.17"/>
    <s v="11"/>
    <s v="6100"/>
    <n v="3650.72"/>
    <n v="67.17"/>
    <s v="CREDITOR"/>
    <n v="0"/>
    <n v="0"/>
    <n v="0"/>
    <n v="0"/>
    <n v="67.17"/>
  </r>
  <r>
    <n v="60817968"/>
    <s v="N"/>
    <n v="21338016"/>
    <s v="3000015050880027"/>
    <s v="CIVIL"/>
    <d v="2023-06-23T00:00:00"/>
    <d v="2023-07-06T19:21:01"/>
    <m/>
    <d v="2023-07-06T00:00:00"/>
    <n v="1420"/>
    <n v="18996"/>
    <s v="60817968"/>
    <s v="60817968"/>
    <m/>
    <m/>
    <n v="22752454"/>
    <m/>
    <m/>
    <m/>
    <s v="SOLPOA"/>
    <s v="SOLPOA"/>
    <s v="CCMS"/>
    <n v="21338016"/>
    <n v="126"/>
    <m/>
    <s v="N"/>
    <n v="1"/>
    <d v="2023-07-06T19:21:11"/>
    <s v="N"/>
    <s v="Expert Cost"/>
    <s v="Expert Cost"/>
    <s v="Expert Disbursement"/>
    <s v="GTRE/232381-1"/>
    <s v="N"/>
    <n v="126"/>
    <n v="0"/>
    <x v="4"/>
    <s v="VALIDATED"/>
    <n v="1"/>
    <s v="01.11.80.308.2012.0000"/>
    <n v="126"/>
    <s v="11"/>
    <s v="2012"/>
    <n v="3650.72"/>
    <n v="126"/>
    <s v="CREDITOR"/>
    <n v="126"/>
    <n v="0"/>
    <n v="0"/>
    <n v="0"/>
    <n v="0"/>
  </r>
  <r>
    <n v="61904209"/>
    <s v="N"/>
    <n v="21338440"/>
    <s v="3000015960170001"/>
    <s v="CIVIL"/>
    <d v="2023-06-28T00:00:00"/>
    <d v="2023-07-06T19:21:01"/>
    <m/>
    <d v="2023-07-06T00:00:00"/>
    <n v="1420"/>
    <n v="18996"/>
    <s v="61904209"/>
    <s v="61904209"/>
    <m/>
    <m/>
    <n v="22775910"/>
    <m/>
    <m/>
    <m/>
    <s v="SOLFIN"/>
    <s v="SOLFIN"/>
    <s v="CCMS"/>
    <n v="21338440"/>
    <n v="1894.92"/>
    <m/>
    <s v="N"/>
    <n v="3"/>
    <d v="2023-07-06T19:21:25"/>
    <s v="Y"/>
    <s v="Preparation - other"/>
    <s v="Care Remuneration Hourly Rates"/>
    <s v="Profit Cost"/>
    <s v="Grace Trenchard"/>
    <s v="Y"/>
    <n v="33.59"/>
    <n v="6.72"/>
    <x v="4"/>
    <s v="VALIDATED"/>
    <n v="1"/>
    <s v="01.11.80.305.6100.0000"/>
    <n v="33.59"/>
    <s v="11"/>
    <s v="6100"/>
    <n v="3650.72"/>
    <n v="33.59"/>
    <s v="CREDITOR"/>
    <n v="0"/>
    <n v="0"/>
    <n v="0"/>
    <n v="0"/>
    <n v="33.59"/>
  </r>
  <r>
    <n v="61904209"/>
    <s v="N"/>
    <n v="21338440"/>
    <s v="3000015960170001"/>
    <s v="CIVIL"/>
    <d v="2023-06-28T00:00:00"/>
    <d v="2023-07-06T19:21:01"/>
    <m/>
    <d v="2023-07-06T00:00:00"/>
    <n v="1420"/>
    <n v="18996"/>
    <s v="61904209"/>
    <s v="61904209"/>
    <m/>
    <m/>
    <n v="22775910"/>
    <m/>
    <m/>
    <m/>
    <s v="SOLFIN"/>
    <s v="SOLFIN"/>
    <s v="CCMS"/>
    <n v="21338440"/>
    <n v="1894.92"/>
    <m/>
    <s v="N"/>
    <n v="18"/>
    <d v="2023-07-06T19:21:25"/>
    <s v="Y"/>
    <s v="Preparation - other"/>
    <s v="Care Remuneration Hourly Rates"/>
    <s v="Profit Cost"/>
    <s v="Grace Trenchard"/>
    <s v="Y"/>
    <n v="33.59"/>
    <n v="6.72"/>
    <x v="4"/>
    <s v="VALIDATED"/>
    <n v="1"/>
    <s v="01.11.80.305.6100.0000"/>
    <n v="33.59"/>
    <s v="11"/>
    <s v="6100"/>
    <n v="3650.72"/>
    <n v="33.59"/>
    <s v="CREDITOR"/>
    <n v="0"/>
    <n v="0"/>
    <n v="0"/>
    <n v="0"/>
    <n v="33.59"/>
  </r>
  <r>
    <n v="61904209"/>
    <s v="N"/>
    <n v="21338440"/>
    <s v="3000015960170001"/>
    <s v="CIVIL"/>
    <d v="2023-06-28T00:00:00"/>
    <d v="2023-07-06T19:21:01"/>
    <m/>
    <d v="2023-07-06T00:00:00"/>
    <n v="1420"/>
    <n v="18996"/>
    <s v="61904209"/>
    <s v="61904209"/>
    <m/>
    <m/>
    <n v="22775910"/>
    <m/>
    <m/>
    <m/>
    <s v="SOLFIN"/>
    <s v="SOLFIN"/>
    <s v="CCMS"/>
    <n v="21338440"/>
    <n v="1894.92"/>
    <m/>
    <s v="N"/>
    <n v="25"/>
    <d v="2023-07-06T19:21:25"/>
    <s v="Y"/>
    <s v="Preparation - other"/>
    <s v="Care Remuneration Hourly Rates"/>
    <s v="Profit Cost"/>
    <s v="Grace Trenchard"/>
    <s v="Y"/>
    <n v="6.72"/>
    <n v="1.34"/>
    <x v="4"/>
    <s v="VALIDATED"/>
    <n v="1"/>
    <s v="01.11.80.305.6100.0000"/>
    <n v="6.72"/>
    <s v="11"/>
    <s v="6100"/>
    <n v="3650.72"/>
    <n v="6.72"/>
    <s v="CREDITOR"/>
    <n v="0"/>
    <n v="0"/>
    <n v="0"/>
    <n v="0"/>
    <n v="6.72"/>
  </r>
  <r>
    <n v="61904209"/>
    <s v="N"/>
    <n v="21338440"/>
    <s v="3000015960170001"/>
    <s v="CIVIL"/>
    <d v="2023-06-28T00:00:00"/>
    <d v="2023-07-06T19:21:01"/>
    <m/>
    <d v="2023-07-06T00:00:00"/>
    <n v="1420"/>
    <n v="18996"/>
    <s v="61904209"/>
    <s v="61904209"/>
    <m/>
    <m/>
    <n v="22775910"/>
    <m/>
    <m/>
    <m/>
    <s v="SOLFIN"/>
    <s v="SOLFIN"/>
    <s v="CCMS"/>
    <n v="21338440"/>
    <n v="1894.92"/>
    <m/>
    <s v="N"/>
    <n v="32"/>
    <d v="2023-07-06T19:21:25"/>
    <s v="Y"/>
    <s v="Final Hearing - 1 Day"/>
    <s v="Other Public Law Children"/>
    <s v="Advocacy"/>
    <s v="Grace Trenchard"/>
    <s v="Y"/>
    <n v="464.31"/>
    <n v="92.86"/>
    <x v="4"/>
    <s v="VALIDATED"/>
    <n v="1"/>
    <s v="01.11.80.305.6100.0000"/>
    <n v="464.31"/>
    <s v="11"/>
    <s v="6100"/>
    <n v="3650.72"/>
    <n v="464.31"/>
    <s v="CREDITOR"/>
    <n v="0"/>
    <n v="0"/>
    <n v="0"/>
    <n v="0"/>
    <n v="464.31"/>
  </r>
  <r>
    <n v="61904209"/>
    <s v="N"/>
    <n v="21338440"/>
    <s v="3000015960170001"/>
    <s v="CIVIL"/>
    <d v="2023-06-28T00:00:00"/>
    <d v="2023-07-06T19:21:01"/>
    <m/>
    <d v="2023-07-06T00:00:00"/>
    <n v="1420"/>
    <n v="18996"/>
    <s v="61904209"/>
    <s v="61904209"/>
    <m/>
    <m/>
    <n v="22775910"/>
    <m/>
    <m/>
    <m/>
    <s v="SOLFIN"/>
    <s v="SOLFIN"/>
    <s v="CCMS"/>
    <n v="21338440"/>
    <n v="1894.92"/>
    <m/>
    <s v="N"/>
    <n v="19"/>
    <d v="2023-07-06T19:21:25"/>
    <s v="Y"/>
    <s v="Preparation - drafting statement"/>
    <s v="Care Remuneration Hourly Rates"/>
    <s v="Profit Cost"/>
    <s v="Grace Trenchard"/>
    <s v="Y"/>
    <n v="13.43"/>
    <n v="2.69"/>
    <x v="4"/>
    <s v="VALIDATED"/>
    <n v="1"/>
    <s v="01.11.80.305.6100.0000"/>
    <n v="13.43"/>
    <s v="11"/>
    <s v="6100"/>
    <n v="3650.72"/>
    <n v="13.43"/>
    <s v="CREDITOR"/>
    <n v="0"/>
    <n v="0"/>
    <n v="0"/>
    <n v="0"/>
    <n v="13.43"/>
  </r>
  <r>
    <n v="61904209"/>
    <s v="N"/>
    <n v="21338440"/>
    <s v="3000015960170001"/>
    <s v="CIVIL"/>
    <d v="2023-06-28T00:00:00"/>
    <d v="2023-07-06T19:21:01"/>
    <m/>
    <d v="2023-07-06T00:00:00"/>
    <n v="1420"/>
    <n v="18996"/>
    <s v="61904209"/>
    <s v="61904209"/>
    <m/>
    <m/>
    <n v="22775910"/>
    <m/>
    <m/>
    <m/>
    <s v="SOLFIN"/>
    <s v="SOLFIN"/>
    <s v="CCMS"/>
    <n v="21338440"/>
    <n v="1894.92"/>
    <m/>
    <s v="N"/>
    <n v="26"/>
    <d v="2023-07-06T19:21:25"/>
    <s v="Y"/>
    <s v="Routine Letter In"/>
    <s v="Care Remuneration Hourly Rates"/>
    <s v="Profit Cost"/>
    <s v="Grace Trenchard"/>
    <s v="Y"/>
    <n v="131.91"/>
    <n v="26.38"/>
    <x v="4"/>
    <s v="VALIDATED"/>
    <n v="1"/>
    <s v="01.11.80.305.6100.0000"/>
    <n v="131.91"/>
    <s v="11"/>
    <s v="6100"/>
    <n v="3650.72"/>
    <n v="131.91"/>
    <s v="CREDITOR"/>
    <n v="0"/>
    <n v="0"/>
    <n v="0"/>
    <n v="0"/>
    <n v="131.91"/>
  </r>
  <r>
    <n v="61904209"/>
    <s v="N"/>
    <n v="21338440"/>
    <s v="3000015960170001"/>
    <s v="CIVIL"/>
    <d v="2023-06-28T00:00:00"/>
    <d v="2023-07-06T19:21:01"/>
    <m/>
    <d v="2023-07-06T00:00:00"/>
    <n v="1420"/>
    <n v="18996"/>
    <s v="61904209"/>
    <s v="61904209"/>
    <m/>
    <m/>
    <n v="22775910"/>
    <m/>
    <m/>
    <m/>
    <s v="SOLFIN"/>
    <s v="SOLFIN"/>
    <s v="CCMS"/>
    <n v="21338440"/>
    <n v="1894.92"/>
    <m/>
    <s v="N"/>
    <n v="1"/>
    <d v="2023-07-06T19:21:25"/>
    <s v="Y"/>
    <s v="Solicitor Travel Expenses"/>
    <s v="Care Remuneration Hourly Rates"/>
    <s v="Non Expert Disbursement"/>
    <s v="Grace Trenchard"/>
    <s v="Y"/>
    <n v="4"/>
    <n v="0"/>
    <x v="4"/>
    <s v="VALIDATED"/>
    <n v="1"/>
    <s v="01.11.80.305.6300.0000"/>
    <n v="4"/>
    <s v="11"/>
    <s v="6300"/>
    <n v="3650.72"/>
    <n v="4"/>
    <s v="CREDITOR"/>
    <n v="0"/>
    <n v="0"/>
    <n v="0"/>
    <n v="0"/>
    <n v="4"/>
  </r>
  <r>
    <n v="61904209"/>
    <s v="N"/>
    <n v="21338440"/>
    <s v="3000015960170001"/>
    <s v="CIVIL"/>
    <d v="2023-06-28T00:00:00"/>
    <d v="2023-07-06T19:21:01"/>
    <m/>
    <d v="2023-07-06T00:00:00"/>
    <n v="1420"/>
    <n v="18996"/>
    <s v="61904209"/>
    <s v="61904209"/>
    <m/>
    <m/>
    <n v="22775910"/>
    <m/>
    <m/>
    <m/>
    <s v="SOLFIN"/>
    <s v="SOLFIN"/>
    <s v="CCMS"/>
    <n v="21338440"/>
    <n v="1894.92"/>
    <m/>
    <s v="N"/>
    <n v="5"/>
    <d v="2023-07-06T19:21:25"/>
    <s v="Y"/>
    <s v="Attendance upon client"/>
    <s v="Care Remuneration Hourly Rates"/>
    <s v="Profit Cost"/>
    <s v="Grace Trenchard"/>
    <s v="Y"/>
    <n v="13.43"/>
    <n v="2.69"/>
    <x v="4"/>
    <s v="VALIDATED"/>
    <n v="1"/>
    <s v="01.11.80.305.6100.0000"/>
    <n v="13.43"/>
    <s v="11"/>
    <s v="6100"/>
    <n v="3650.72"/>
    <n v="13.43"/>
    <s v="CREDITOR"/>
    <n v="0"/>
    <n v="0"/>
    <n v="0"/>
    <n v="0"/>
    <n v="13.43"/>
  </r>
  <r>
    <n v="61904209"/>
    <s v="N"/>
    <n v="21338440"/>
    <s v="3000015960170001"/>
    <s v="CIVIL"/>
    <d v="2023-06-28T00:00:00"/>
    <d v="2023-07-06T19:21:01"/>
    <m/>
    <d v="2023-07-06T00:00:00"/>
    <n v="1420"/>
    <n v="18996"/>
    <s v="61904209"/>
    <s v="61904209"/>
    <m/>
    <m/>
    <n v="22775910"/>
    <m/>
    <m/>
    <m/>
    <s v="SOLFIN"/>
    <s v="SOLFIN"/>
    <s v="CCMS"/>
    <n v="21338440"/>
    <n v="1894.92"/>
    <m/>
    <s v="N"/>
    <n v="27"/>
    <d v="2023-07-06T19:21:25"/>
    <s v="Y"/>
    <s v="Preparation - drafting attendance n"/>
    <s v="Care Remuneration Hourly Rates"/>
    <s v="Profit Cost"/>
    <s v="Grace Trenchard"/>
    <s v="Y"/>
    <n v="26.86"/>
    <n v="5.37"/>
    <x v="4"/>
    <s v="VALIDATED"/>
    <n v="1"/>
    <s v="01.11.80.305.6100.0000"/>
    <n v="26.86"/>
    <s v="11"/>
    <s v="6100"/>
    <n v="3650.72"/>
    <n v="26.86"/>
    <s v="CREDITOR"/>
    <n v="0"/>
    <n v="0"/>
    <n v="0"/>
    <n v="0"/>
    <n v="26.86"/>
  </r>
  <r>
    <n v="61904209"/>
    <s v="N"/>
    <n v="21338440"/>
    <s v="3000015960170001"/>
    <s v="CIVIL"/>
    <d v="2023-06-28T00:00:00"/>
    <d v="2023-07-06T19:21:01"/>
    <m/>
    <d v="2023-07-06T00:00:00"/>
    <n v="1420"/>
    <n v="18996"/>
    <s v="61904209"/>
    <s v="61904209"/>
    <m/>
    <m/>
    <n v="22775910"/>
    <m/>
    <m/>
    <m/>
    <s v="SOLFIN"/>
    <s v="SOLFIN"/>
    <s v="CCMS"/>
    <n v="21338440"/>
    <n v="1894.92"/>
    <m/>
    <s v="N"/>
    <n v="12"/>
    <d v="2023-07-06T19:21:25"/>
    <s v="Y"/>
    <s v="Preparation - other"/>
    <s v="Care Remuneration Hourly Rates"/>
    <s v="Profit Cost"/>
    <s v="Grace Trenchard"/>
    <s v="Y"/>
    <n v="13.43"/>
    <n v="2.69"/>
    <x v="4"/>
    <s v="VALIDATED"/>
    <n v="1"/>
    <s v="01.11.80.305.6100.0000"/>
    <n v="13.43"/>
    <s v="11"/>
    <s v="6100"/>
    <n v="3650.72"/>
    <n v="13.43"/>
    <s v="CREDITOR"/>
    <n v="0"/>
    <n v="0"/>
    <n v="0"/>
    <n v="0"/>
    <n v="13.43"/>
  </r>
  <r>
    <n v="61904209"/>
    <s v="N"/>
    <n v="21338440"/>
    <s v="3000015960170001"/>
    <s v="CIVIL"/>
    <d v="2023-06-28T00:00:00"/>
    <d v="2023-07-06T19:21:01"/>
    <m/>
    <d v="2023-07-06T00:00:00"/>
    <n v="1420"/>
    <n v="18996"/>
    <s v="61904209"/>
    <s v="61904209"/>
    <m/>
    <m/>
    <n v="22775910"/>
    <m/>
    <m/>
    <m/>
    <s v="SOLFIN"/>
    <s v="SOLFIN"/>
    <s v="CCMS"/>
    <n v="21338440"/>
    <n v="1894.92"/>
    <m/>
    <s v="N"/>
    <n v="20"/>
    <d v="2023-07-06T19:21:25"/>
    <s v="Y"/>
    <s v="Preparation - other"/>
    <s v="Care Remuneration Hourly Rates"/>
    <s v="Profit Cost"/>
    <s v="Grace Trenchard"/>
    <s v="Y"/>
    <n v="6.72"/>
    <n v="1.34"/>
    <x v="4"/>
    <s v="VALIDATED"/>
    <n v="1"/>
    <s v="01.11.80.305.6100.0000"/>
    <n v="6.72"/>
    <s v="11"/>
    <s v="6100"/>
    <n v="3650.72"/>
    <n v="6.72"/>
    <s v="CREDITOR"/>
    <n v="0"/>
    <n v="0"/>
    <n v="0"/>
    <n v="0"/>
    <n v="6.72"/>
  </r>
  <r>
    <n v="61904209"/>
    <s v="N"/>
    <n v="21338440"/>
    <s v="3000015960170001"/>
    <s v="CIVIL"/>
    <d v="2023-06-28T00:00:00"/>
    <d v="2023-07-06T19:21:01"/>
    <m/>
    <d v="2023-07-06T00:00:00"/>
    <n v="1420"/>
    <n v="18996"/>
    <s v="61904209"/>
    <s v="61904209"/>
    <m/>
    <m/>
    <n v="22775910"/>
    <m/>
    <m/>
    <m/>
    <s v="SOLFIN"/>
    <s v="SOLFIN"/>
    <s v="CCMS"/>
    <n v="21338440"/>
    <n v="1894.92"/>
    <m/>
    <s v="N"/>
    <n v="31"/>
    <d v="2023-07-06T19:21:25"/>
    <s v="Y"/>
    <s v="Preparation - other"/>
    <s v="Care Remuneration Hourly Rates"/>
    <s v="Profit Cost"/>
    <s v="Lucy Davies"/>
    <s v="Y"/>
    <n v="23.36"/>
    <n v="4.67"/>
    <x v="4"/>
    <s v="VALIDATED"/>
    <n v="1"/>
    <s v="01.11.80.305.6100.0000"/>
    <n v="23.36"/>
    <s v="11"/>
    <s v="6100"/>
    <n v="3650.72"/>
    <n v="23.36"/>
    <s v="CREDITOR"/>
    <n v="0"/>
    <n v="0"/>
    <n v="0"/>
    <n v="0"/>
    <n v="23.36"/>
  </r>
  <r>
    <n v="61904209"/>
    <s v="N"/>
    <n v="21338440"/>
    <s v="3000015960170001"/>
    <s v="CIVIL"/>
    <d v="2023-06-28T00:00:00"/>
    <d v="2023-07-06T19:21:01"/>
    <m/>
    <d v="2023-07-06T00:00:00"/>
    <n v="1420"/>
    <n v="18996"/>
    <s v="61904209"/>
    <s v="61904209"/>
    <m/>
    <m/>
    <n v="22775910"/>
    <m/>
    <m/>
    <m/>
    <s v="SOLFIN"/>
    <s v="SOLFIN"/>
    <s v="CCMS"/>
    <n v="21338440"/>
    <n v="1894.92"/>
    <m/>
    <s v="N"/>
    <n v="13"/>
    <d v="2023-07-06T19:21:25"/>
    <s v="Y"/>
    <s v="Preparation - other"/>
    <s v="Care Remuneration Hourly Rates"/>
    <s v="Profit Cost"/>
    <s v="Grace Trenchard"/>
    <s v="Y"/>
    <n v="67.17"/>
    <n v="13.43"/>
    <x v="4"/>
    <s v="VALIDATED"/>
    <n v="1"/>
    <s v="01.11.80.305.6100.0000"/>
    <n v="67.17"/>
    <s v="11"/>
    <s v="6100"/>
    <n v="3650.72"/>
    <n v="67.17"/>
    <s v="CREDITOR"/>
    <n v="0"/>
    <n v="0"/>
    <n v="0"/>
    <n v="0"/>
    <n v="67.17"/>
  </r>
  <r>
    <n v="61904209"/>
    <s v="N"/>
    <n v="21338440"/>
    <s v="3000015960170001"/>
    <s v="CIVIL"/>
    <d v="2023-06-28T00:00:00"/>
    <d v="2023-07-06T19:21:01"/>
    <m/>
    <d v="2023-07-06T00:00:00"/>
    <n v="1420"/>
    <n v="18996"/>
    <s v="61904209"/>
    <s v="61904209"/>
    <m/>
    <m/>
    <n v="22775910"/>
    <m/>
    <m/>
    <m/>
    <s v="SOLFIN"/>
    <s v="SOLFIN"/>
    <s v="CCMS"/>
    <n v="21338440"/>
    <n v="1894.92"/>
    <m/>
    <s v="N"/>
    <n v="6"/>
    <d v="2023-07-06T19:21:25"/>
    <s v="Y"/>
    <s v="Preparation - other"/>
    <s v="Care Remuneration Hourly Rates"/>
    <s v="Profit Cost"/>
    <s v="Grace Trenchard"/>
    <s v="Y"/>
    <n v="214.95"/>
    <n v="42.99"/>
    <x v="4"/>
    <s v="VALIDATED"/>
    <n v="1"/>
    <s v="01.11.80.305.6100.0000"/>
    <n v="214.95"/>
    <s v="11"/>
    <s v="6100"/>
    <n v="3650.72"/>
    <n v="214.95"/>
    <s v="CREDITOR"/>
    <n v="0"/>
    <n v="0"/>
    <n v="0"/>
    <n v="0"/>
    <n v="214.95"/>
  </r>
  <r>
    <n v="61904209"/>
    <s v="N"/>
    <n v="21338440"/>
    <s v="3000015960170001"/>
    <s v="CIVIL"/>
    <d v="2023-06-28T00:00:00"/>
    <d v="2023-07-06T19:21:01"/>
    <m/>
    <d v="2023-07-06T00:00:00"/>
    <n v="1420"/>
    <n v="18996"/>
    <s v="61904209"/>
    <s v="61904209"/>
    <m/>
    <m/>
    <n v="22775910"/>
    <m/>
    <m/>
    <m/>
    <s v="SOLFIN"/>
    <s v="SOLFIN"/>
    <s v="CCMS"/>
    <n v="21338440"/>
    <n v="1894.92"/>
    <m/>
    <s v="N"/>
    <n v="29"/>
    <d v="2023-07-06T19:21:25"/>
    <s v="Y"/>
    <s v="Preparation - other"/>
    <s v="Care Remuneration Hourly Rates"/>
    <s v="Profit Cost"/>
    <s v="Grace Trenchard"/>
    <s v="Y"/>
    <n v="6.72"/>
    <n v="1.34"/>
    <x v="4"/>
    <s v="VALIDATED"/>
    <n v="1"/>
    <s v="01.11.80.305.6100.0000"/>
    <n v="6.72"/>
    <s v="11"/>
    <s v="6100"/>
    <n v="3650.72"/>
    <n v="6.72"/>
    <s v="CREDITOR"/>
    <n v="0"/>
    <n v="0"/>
    <n v="0"/>
    <n v="0"/>
    <n v="6.72"/>
  </r>
  <r>
    <n v="61904209"/>
    <s v="N"/>
    <n v="21338440"/>
    <s v="3000015960170001"/>
    <s v="CIVIL"/>
    <d v="2023-06-28T00:00:00"/>
    <d v="2023-07-06T19:21:01"/>
    <m/>
    <d v="2023-07-06T00:00:00"/>
    <n v="1420"/>
    <n v="18996"/>
    <s v="61904209"/>
    <s v="61904209"/>
    <m/>
    <m/>
    <n v="22775910"/>
    <m/>
    <m/>
    <m/>
    <s v="SOLFIN"/>
    <s v="SOLFIN"/>
    <s v="CCMS"/>
    <n v="21338440"/>
    <n v="1894.92"/>
    <m/>
    <s v="N"/>
    <n v="14"/>
    <d v="2023-07-06T19:21:25"/>
    <s v="Y"/>
    <s v="Preparation - other"/>
    <s v="Care Remuneration Hourly Rates"/>
    <s v="Profit Cost"/>
    <s v="Grace Trenchard"/>
    <s v="Y"/>
    <n v="40.31"/>
    <n v="8.06"/>
    <x v="4"/>
    <s v="VALIDATED"/>
    <n v="1"/>
    <s v="01.11.80.305.6100.0000"/>
    <n v="40.31"/>
    <s v="11"/>
    <s v="6100"/>
    <n v="3650.72"/>
    <n v="40.31"/>
    <s v="CREDITOR"/>
    <n v="0"/>
    <n v="0"/>
    <n v="0"/>
    <n v="0"/>
    <n v="40.31"/>
  </r>
  <r>
    <n v="61904209"/>
    <s v="N"/>
    <n v="21338440"/>
    <s v="3000015960170001"/>
    <s v="CIVIL"/>
    <d v="2023-06-28T00:00:00"/>
    <d v="2023-07-06T19:21:01"/>
    <m/>
    <d v="2023-07-06T00:00:00"/>
    <n v="1420"/>
    <n v="18996"/>
    <s v="61904209"/>
    <s v="61904209"/>
    <m/>
    <m/>
    <n v="22775910"/>
    <m/>
    <m/>
    <m/>
    <s v="SOLFIN"/>
    <s v="SOLFIN"/>
    <s v="CCMS"/>
    <n v="21338440"/>
    <n v="1894.92"/>
    <m/>
    <s v="N"/>
    <n v="7"/>
    <d v="2023-07-06T19:21:25"/>
    <s v="Y"/>
    <s v="Preparation - drafting attendance n"/>
    <s v="Care Remuneration Hourly Rates"/>
    <s v="Profit Cost"/>
    <s v="Grace Trenchard"/>
    <s v="Y"/>
    <n v="13.43"/>
    <n v="2.69"/>
    <x v="4"/>
    <s v="VALIDATED"/>
    <n v="1"/>
    <s v="01.11.80.305.6100.0000"/>
    <n v="13.43"/>
    <s v="11"/>
    <s v="6100"/>
    <n v="3650.72"/>
    <n v="13.43"/>
    <s v="CREDITOR"/>
    <n v="0"/>
    <n v="0"/>
    <n v="0"/>
    <n v="0"/>
    <n v="13.43"/>
  </r>
  <r>
    <n v="61524255"/>
    <s v="N"/>
    <n v="21337939"/>
    <s v="3000015644240007"/>
    <s v="CIVIL"/>
    <d v="2023-06-23T00:00:00"/>
    <d v="2023-07-06T19:21:01"/>
    <m/>
    <d v="2023-07-06T00:00:00"/>
    <n v="1420"/>
    <n v="18996"/>
    <s v="61524255"/>
    <s v="61524255"/>
    <m/>
    <m/>
    <n v="22752240"/>
    <m/>
    <m/>
    <m/>
    <s v="SOLPOA"/>
    <s v="SOLPOA"/>
    <s v="CCMS"/>
    <n v="21337939"/>
    <n v="244.8"/>
    <m/>
    <s v="N"/>
    <n v="1"/>
    <d v="2023-07-06T19:21:10"/>
    <s v="N"/>
    <s v="Expert Cost"/>
    <s v="Expert Cost"/>
    <s v="Expert Disbursement"/>
    <s v="GTRE/241691-1"/>
    <s v="N"/>
    <n v="244.8"/>
    <n v="0"/>
    <x v="4"/>
    <s v="VALIDATED"/>
    <n v="1"/>
    <s v="01.11.80.308.2012.0000"/>
    <n v="244.8"/>
    <s v="11"/>
    <s v="2012"/>
    <n v="3650.72"/>
    <n v="244.8"/>
    <s v="CREDITOR"/>
    <n v="244.8"/>
    <n v="0"/>
    <n v="0"/>
    <n v="0"/>
    <n v="0"/>
  </r>
  <r>
    <n v="61904209"/>
    <s v="N"/>
    <n v="21338440"/>
    <s v="3000015960170001"/>
    <s v="CIVIL"/>
    <d v="2023-06-28T00:00:00"/>
    <d v="2023-07-06T19:21:01"/>
    <m/>
    <d v="2023-07-06T00:00:00"/>
    <n v="1420"/>
    <n v="18996"/>
    <s v="61904209"/>
    <s v="61904209"/>
    <m/>
    <m/>
    <n v="22775910"/>
    <m/>
    <m/>
    <m/>
    <s v="SOLFIN"/>
    <s v="SOLFIN"/>
    <s v="CCMS"/>
    <n v="21338440"/>
    <n v="1894.92"/>
    <m/>
    <s v="N"/>
    <n v="10"/>
    <d v="2023-07-06T19:21:25"/>
    <s v="Y"/>
    <s v="Preparation - other"/>
    <s v="Care Remuneration Hourly Rates"/>
    <s v="Profit Cost"/>
    <s v="Grace Trenchard"/>
    <s v="Y"/>
    <n v="6.72"/>
    <n v="1.34"/>
    <x v="4"/>
    <s v="VALIDATED"/>
    <n v="1"/>
    <s v="01.11.80.305.6100.0000"/>
    <n v="6.72"/>
    <s v="11"/>
    <s v="6100"/>
    <n v="3650.72"/>
    <n v="6.72"/>
    <s v="CREDITOR"/>
    <n v="0"/>
    <n v="0"/>
    <n v="0"/>
    <n v="0"/>
    <n v="6.72"/>
  </r>
  <r>
    <n v="59708139"/>
    <s v="N"/>
    <n v="21338306"/>
    <s v="3000014090840013"/>
    <s v="CIVIL"/>
    <d v="2023-06-26T00:00:00"/>
    <d v="2023-07-06T19:21:01"/>
    <m/>
    <d v="2023-07-06T00:00:00"/>
    <n v="1421"/>
    <n v="18996"/>
    <s v="59708139"/>
    <s v="59708139"/>
    <m/>
    <m/>
    <n v="22758452"/>
    <m/>
    <m/>
    <m/>
    <s v="SOLFIN"/>
    <s v="SOLFIN"/>
    <s v="CCMS"/>
    <n v="21338306"/>
    <n v="13256.36"/>
    <m/>
    <s v="N"/>
    <n v="92"/>
    <d v="2023-07-06T19:21:18"/>
    <s v="Y"/>
    <s v="Attendance upon client"/>
    <s v="Care Remuneration Hourly Rates"/>
    <s v="Profit Cost"/>
    <s v="Suzanne Waterfield"/>
    <s v="Y"/>
    <n v="24.18"/>
    <n v="4.84"/>
    <x v="4"/>
    <s v="VALIDATED"/>
    <n v="1"/>
    <s v="01.11.80.308.6100.0000"/>
    <n v="24.18"/>
    <s v="11"/>
    <s v="6100"/>
    <n v="4602.52"/>
    <n v="24.18"/>
    <s v="CREDITOR"/>
    <n v="0"/>
    <n v="0"/>
    <n v="0"/>
    <n v="0"/>
    <n v="24.18"/>
  </r>
  <r>
    <n v="59708139"/>
    <s v="N"/>
    <n v="21338306"/>
    <s v="3000014090840013"/>
    <s v="CIVIL"/>
    <d v="2023-06-26T00:00:00"/>
    <d v="2023-07-06T19:21:01"/>
    <m/>
    <d v="2023-07-06T00:00:00"/>
    <n v="1421"/>
    <n v="18996"/>
    <s v="59708139"/>
    <s v="59708139"/>
    <m/>
    <m/>
    <n v="22758452"/>
    <m/>
    <m/>
    <m/>
    <s v="SOLFIN"/>
    <s v="SOLFIN"/>
    <s v="CCMS"/>
    <n v="21338306"/>
    <n v="13256.36"/>
    <m/>
    <s v="N"/>
    <n v="32"/>
    <d v="2023-07-06T19:21:18"/>
    <s v="Y"/>
    <s v="Preparation - drafting attendance n"/>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85"/>
    <d v="2023-07-06T19:21:18"/>
    <s v="Y"/>
    <s v="Preparation - drafting statement"/>
    <s v="Care Remuneration Hourly Rates"/>
    <s v="Profit Cost"/>
    <s v="Suzanne Waterfield"/>
    <s v="Y"/>
    <n v="24.18"/>
    <n v="4.84"/>
    <x v="4"/>
    <s v="VALIDATED"/>
    <n v="1"/>
    <s v="01.11.80.308.6100.0000"/>
    <n v="24.18"/>
    <s v="11"/>
    <s v="6100"/>
    <n v="4602.52"/>
    <n v="24.18"/>
    <s v="CREDITOR"/>
    <n v="0"/>
    <n v="0"/>
    <n v="0"/>
    <n v="0"/>
    <n v="24.18"/>
  </r>
  <r>
    <n v="59708139"/>
    <s v="N"/>
    <n v="21338306"/>
    <s v="3000014090840013"/>
    <s v="CIVIL"/>
    <d v="2023-06-26T00:00:00"/>
    <d v="2023-07-06T19:21:01"/>
    <m/>
    <d v="2023-07-06T00:00:00"/>
    <n v="1421"/>
    <n v="18996"/>
    <s v="59708139"/>
    <s v="59708139"/>
    <m/>
    <m/>
    <n v="22758452"/>
    <m/>
    <m/>
    <m/>
    <s v="SOLFIN"/>
    <s v="SOLFIN"/>
    <s v="CCMS"/>
    <n v="21338306"/>
    <n v="13256.36"/>
    <m/>
    <s v="N"/>
    <n v="13"/>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43"/>
    <d v="2023-07-06T19:21:18"/>
    <s v="Y"/>
    <s v="Hearing Unit 2.31 - 5.00 Hours"/>
    <s v="Public Law Children"/>
    <s v="Advocacy"/>
    <s v="Martina Dutton"/>
    <s v="Y"/>
    <n v="476.92"/>
    <n v="95.39"/>
    <x v="4"/>
    <s v="VALIDATED"/>
    <n v="1"/>
    <s v="01.11.80.308.6100.0000"/>
    <n v="476.92"/>
    <s v="11"/>
    <s v="6100"/>
    <n v="4602.52"/>
    <n v="476.92"/>
    <s v="CREDITOR"/>
    <n v="0"/>
    <n v="0"/>
    <n v="0"/>
    <n v="0"/>
    <n v="476.92"/>
  </r>
  <r>
    <n v="59708139"/>
    <s v="N"/>
    <n v="21338306"/>
    <s v="3000014090840013"/>
    <s v="CIVIL"/>
    <d v="2023-06-26T00:00:00"/>
    <d v="2023-07-06T19:21:01"/>
    <m/>
    <d v="2023-07-06T00:00:00"/>
    <n v="1421"/>
    <n v="18996"/>
    <s v="59708139"/>
    <s v="59708139"/>
    <m/>
    <m/>
    <n v="22758452"/>
    <m/>
    <m/>
    <m/>
    <s v="SOLFIN"/>
    <s v="SOLFIN"/>
    <s v="CCMS"/>
    <n v="21338306"/>
    <n v="13256.36"/>
    <m/>
    <s v="N"/>
    <n v="93"/>
    <d v="2023-07-06T19:21:18"/>
    <s v="Y"/>
    <s v="Attendance upon clien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27"/>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42"/>
    <d v="2023-07-06T19:21:18"/>
    <s v="Y"/>
    <s v="Hearing Unit 5.01 - 7.30 Hours"/>
    <s v="Public Law Children"/>
    <s v="Advocacy"/>
    <s v="Matina Dutton"/>
    <s v="Y"/>
    <n v="715.38"/>
    <n v="143.08"/>
    <x v="4"/>
    <s v="VALIDATED"/>
    <n v="1"/>
    <s v="01.11.80.308.6100.0000"/>
    <n v="715.38"/>
    <s v="11"/>
    <s v="6100"/>
    <n v="4602.52"/>
    <n v="715.38"/>
    <s v="CREDITOR"/>
    <n v="0"/>
    <n v="0"/>
    <n v="0"/>
    <n v="0"/>
    <n v="715.38"/>
  </r>
  <r>
    <n v="59708139"/>
    <s v="N"/>
    <n v="21338306"/>
    <s v="3000014090840013"/>
    <s v="CIVIL"/>
    <d v="2023-06-26T00:00:00"/>
    <d v="2023-07-06T19:21:01"/>
    <m/>
    <d v="2023-07-06T00:00:00"/>
    <n v="1421"/>
    <n v="18996"/>
    <s v="59708139"/>
    <s v="59708139"/>
    <m/>
    <m/>
    <n v="22758452"/>
    <m/>
    <m/>
    <m/>
    <s v="SOLFIN"/>
    <s v="SOLFIN"/>
    <s v="CCMS"/>
    <n v="21338306"/>
    <n v="13256.36"/>
    <m/>
    <s v="N"/>
    <n v="67"/>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35"/>
    <d v="2023-07-06T19:21:18"/>
    <s v="Y"/>
    <s v="Report - other expert's report"/>
    <s v="Care Remuneration Hourly Rates"/>
    <s v="Profit Cost"/>
    <s v="Suzanne Waterfield"/>
    <s v="Y"/>
    <n v="108.82"/>
    <n v="21.77"/>
    <x v="4"/>
    <s v="VALIDATED"/>
    <n v="1"/>
    <s v="01.11.80.308.6100.0000"/>
    <n v="108.82"/>
    <s v="11"/>
    <s v="6100"/>
    <n v="4602.52"/>
    <n v="108.82"/>
    <s v="CREDITOR"/>
    <n v="0"/>
    <n v="0"/>
    <n v="0"/>
    <n v="0"/>
    <n v="108.82"/>
  </r>
  <r>
    <n v="59708139"/>
    <s v="N"/>
    <n v="21338306"/>
    <s v="3000014090840013"/>
    <s v="CIVIL"/>
    <d v="2023-06-26T00:00:00"/>
    <d v="2023-07-06T19:21:01"/>
    <m/>
    <d v="2023-07-06T00:00:00"/>
    <n v="1421"/>
    <n v="18996"/>
    <s v="59708139"/>
    <s v="59708139"/>
    <m/>
    <m/>
    <n v="22758452"/>
    <m/>
    <m/>
    <m/>
    <s v="SOLFIN"/>
    <s v="SOLFIN"/>
    <s v="CCMS"/>
    <n v="21338306"/>
    <n v="13256.36"/>
    <m/>
    <s v="N"/>
    <n v="36"/>
    <d v="2023-07-06T19:21:18"/>
    <s v="Y"/>
    <s v="Preparation - drafting bill/claim f"/>
    <s v="Care Remuneration Hourly Rates"/>
    <s v="Profit Cost"/>
    <s v="Michelle Whittingham"/>
    <s v="Y"/>
    <n v="367.99"/>
    <n v="73.59999999999999"/>
    <x v="4"/>
    <s v="VALIDATED"/>
    <n v="1"/>
    <s v="01.11.80.308.6100.0000"/>
    <n v="367.99"/>
    <s v="11"/>
    <s v="6100"/>
    <n v="4602.52"/>
    <n v="367.99"/>
    <s v="CREDITOR"/>
    <n v="0"/>
    <n v="0"/>
    <n v="0"/>
    <n v="0"/>
    <n v="367.99"/>
  </r>
  <r>
    <n v="59708139"/>
    <s v="N"/>
    <n v="21338306"/>
    <s v="3000014090840013"/>
    <s v="CIVIL"/>
    <d v="2023-06-26T00:00:00"/>
    <d v="2023-07-06T19:21:01"/>
    <m/>
    <d v="2023-07-06T00:00:00"/>
    <n v="1421"/>
    <n v="18996"/>
    <s v="59708139"/>
    <s v="59708139"/>
    <m/>
    <m/>
    <n v="22758452"/>
    <m/>
    <m/>
    <m/>
    <s v="SOLFIN"/>
    <s v="SOLFIN"/>
    <s v="CCMS"/>
    <n v="21338306"/>
    <n v="13256.36"/>
    <m/>
    <s v="N"/>
    <n v="128"/>
    <d v="2023-07-06T19:21:18"/>
    <s v="Y"/>
    <s v="Preparation - other"/>
    <s v="Care Remuneration Hourly Rates"/>
    <s v="Profit Cost"/>
    <s v="Martina Dutton"/>
    <s v="Y"/>
    <n v="30.23"/>
    <n v="6.05"/>
    <x v="4"/>
    <s v="VALIDATED"/>
    <n v="1"/>
    <s v="01.11.80.308.6100.0000"/>
    <n v="30.23"/>
    <s v="11"/>
    <s v="6100"/>
    <n v="4602.52"/>
    <n v="30.23"/>
    <s v="CREDITOR"/>
    <n v="0"/>
    <n v="0"/>
    <n v="0"/>
    <n v="0"/>
    <n v="30.23"/>
  </r>
  <r>
    <n v="59708139"/>
    <s v="N"/>
    <n v="21338306"/>
    <s v="3000014090840013"/>
    <s v="CIVIL"/>
    <d v="2023-06-26T00:00:00"/>
    <d v="2023-07-06T19:21:01"/>
    <m/>
    <d v="2023-07-06T00:00:00"/>
    <n v="1421"/>
    <n v="18996"/>
    <s v="59708139"/>
    <s v="59708139"/>
    <m/>
    <m/>
    <n v="22758452"/>
    <m/>
    <m/>
    <m/>
    <s v="SOLFIN"/>
    <s v="SOLFIN"/>
    <s v="CCMS"/>
    <n v="21338306"/>
    <n v="13256.36"/>
    <m/>
    <s v="N"/>
    <n v="86"/>
    <d v="2023-07-06T19:21:18"/>
    <s v="Y"/>
    <s v="Preparation - drafting application"/>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98"/>
    <d v="2023-07-06T19:21:18"/>
    <s v="Y"/>
    <s v="Preparation - other"/>
    <s v="Care Remuneration Hourly Rates"/>
    <s v="Profit Cost"/>
    <s v="Martina Dutton"/>
    <s v="Y"/>
    <n v="30.23"/>
    <n v="6.05"/>
    <x v="4"/>
    <s v="VALIDATED"/>
    <n v="1"/>
    <s v="01.11.80.308.6100.0000"/>
    <n v="30.23"/>
    <s v="11"/>
    <s v="6100"/>
    <n v="4602.52"/>
    <n v="30.23"/>
    <s v="CREDITOR"/>
    <n v="0"/>
    <n v="0"/>
    <n v="0"/>
    <n v="0"/>
    <n v="30.23"/>
  </r>
  <r>
    <n v="59708139"/>
    <s v="N"/>
    <n v="21338306"/>
    <s v="3000014090840013"/>
    <s v="CIVIL"/>
    <d v="2023-06-26T00:00:00"/>
    <d v="2023-07-06T19:21:01"/>
    <m/>
    <d v="2023-07-06T00:00:00"/>
    <n v="1421"/>
    <n v="18996"/>
    <s v="59708139"/>
    <s v="59708139"/>
    <m/>
    <m/>
    <n v="22758452"/>
    <m/>
    <m/>
    <m/>
    <s v="SOLFIN"/>
    <s v="SOLFIN"/>
    <s v="CCMS"/>
    <n v="21338306"/>
    <n v="13256.36"/>
    <m/>
    <s v="N"/>
    <n v="141"/>
    <d v="2023-07-06T19:21:18"/>
    <s v="Y"/>
    <s v="Hearing Unit 1.01 - 2.30 Hours"/>
    <s v="Public Law Children"/>
    <s v="Advocacy"/>
    <s v="Martina Dutton"/>
    <s v="Y"/>
    <n v="238.46"/>
    <n v="47.69"/>
    <x v="4"/>
    <s v="VALIDATED"/>
    <n v="1"/>
    <s v="01.11.80.308.6100.0000"/>
    <n v="238.46"/>
    <s v="11"/>
    <s v="6100"/>
    <n v="4602.52"/>
    <n v="238.46"/>
    <s v="CREDITOR"/>
    <n v="0"/>
    <n v="0"/>
    <n v="0"/>
    <n v="0"/>
    <n v="238.46"/>
  </r>
  <r>
    <n v="59708139"/>
    <s v="N"/>
    <n v="21338306"/>
    <s v="3000014090840013"/>
    <s v="CIVIL"/>
    <d v="2023-06-26T00:00:00"/>
    <d v="2023-07-06T19:21:01"/>
    <m/>
    <d v="2023-07-06T00:00:00"/>
    <n v="1421"/>
    <n v="18996"/>
    <s v="59708139"/>
    <s v="59708139"/>
    <m/>
    <m/>
    <n v="22758452"/>
    <m/>
    <m/>
    <m/>
    <s v="SOLFIN"/>
    <s v="SOLFIN"/>
    <s v="CCMS"/>
    <n v="21338306"/>
    <n v="13256.36"/>
    <m/>
    <s v="N"/>
    <n v="41"/>
    <d v="2023-07-06T19:21:18"/>
    <s v="Y"/>
    <s v="Preparation - drafting attendance n"/>
    <s v="Care Remuneration Hourly Rates"/>
    <s v="Profit Cost"/>
    <s v="Suzanne Waterfield"/>
    <s v="Y"/>
    <n v="24.18"/>
    <n v="4.84"/>
    <x v="4"/>
    <s v="VALIDATED"/>
    <n v="1"/>
    <s v="01.11.80.308.6100.0000"/>
    <n v="24.18"/>
    <s v="11"/>
    <s v="6100"/>
    <n v="4602.52"/>
    <n v="24.18"/>
    <s v="CREDITOR"/>
    <n v="0"/>
    <n v="0"/>
    <n v="0"/>
    <n v="0"/>
    <n v="24.18"/>
  </r>
  <r>
    <n v="59708139"/>
    <s v="N"/>
    <n v="21338306"/>
    <s v="3000014090840013"/>
    <s v="CIVIL"/>
    <d v="2023-06-26T00:00:00"/>
    <d v="2023-07-06T19:21:01"/>
    <m/>
    <d v="2023-07-06T00:00:00"/>
    <n v="1421"/>
    <n v="18996"/>
    <s v="59708139"/>
    <s v="59708139"/>
    <m/>
    <m/>
    <n v="22758452"/>
    <m/>
    <m/>
    <m/>
    <s v="SOLFIN"/>
    <s v="SOLFIN"/>
    <s v="CCMS"/>
    <n v="21338306"/>
    <n v="13256.36"/>
    <m/>
    <s v="N"/>
    <n v="82"/>
    <d v="2023-07-06T19:21:18"/>
    <s v="Y"/>
    <s v="Preparation - drafting notice(s)"/>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25"/>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63"/>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40069"/>
    <s v="3000014090840008RC"/>
    <s v="CIVIL"/>
    <d v="2023-06-26T00:00:00"/>
    <d v="2023-07-06T19:54:22"/>
    <m/>
    <d v="2023-07-06T00:00:00"/>
    <n v="1421"/>
    <n v="18996"/>
    <s v="59708139"/>
    <s v="59708139"/>
    <m/>
    <m/>
    <m/>
    <m/>
    <m/>
    <m/>
    <s v="SOLRECOUP"/>
    <s v="SOLRECOUP"/>
    <s v="POARECOUP"/>
    <n v="21340069"/>
    <n v="-7.2"/>
    <m/>
    <s v="Y"/>
    <n v="1"/>
    <d v="2023-07-06T19:54:23"/>
    <s v="N"/>
    <m/>
    <m/>
    <s v="Non Expert Disbursement"/>
    <m/>
    <s v="N"/>
    <n v="-7.2"/>
    <n v="0"/>
    <x v="4"/>
    <s v="VALIDATED"/>
    <n v="1"/>
    <s v="01.11.80.308.2013.0000"/>
    <n v="-7.2"/>
    <s v="11"/>
    <s v="2013"/>
    <n v="4602.52"/>
    <n v="-7.2"/>
    <s v="CREDITOR"/>
    <n v="0"/>
    <n v="0"/>
    <n v="-7.2"/>
    <n v="0"/>
    <n v="0"/>
  </r>
  <r>
    <n v="59708139"/>
    <s v="N"/>
    <n v="21340069"/>
    <s v="3000014090840008RC"/>
    <s v="CIVIL"/>
    <d v="2023-06-26T00:00:00"/>
    <d v="2023-07-06T19:54:22"/>
    <m/>
    <d v="2023-07-06T00:00:00"/>
    <n v="1421"/>
    <n v="18996"/>
    <s v="59708139"/>
    <s v="59708139"/>
    <m/>
    <m/>
    <m/>
    <m/>
    <m/>
    <m/>
    <s v="SOLRECOUP"/>
    <s v="SOLRECOUP"/>
    <s v="POARECOUP"/>
    <n v="21340069"/>
    <n v="-7.2"/>
    <m/>
    <s v="Y"/>
    <n v="2"/>
    <d v="2023-07-06T19:54:23"/>
    <s v="N"/>
    <m/>
    <m/>
    <s v="Non Expert Disbursement"/>
    <m/>
    <s v="N"/>
    <n v="0"/>
    <n v="0"/>
    <x v="4"/>
    <s v="VALIDATED"/>
    <n v="1"/>
    <s v="01.11.80.000.0000.0000"/>
    <n v="0"/>
    <s v="11"/>
    <s v="0000"/>
    <n v="4602.52"/>
    <n v="0"/>
    <s v="CREDITOR"/>
    <n v="0"/>
    <n v="0"/>
    <n v="0"/>
    <n v="0"/>
    <n v="0"/>
  </r>
  <r>
    <n v="59708139"/>
    <s v="N"/>
    <n v="21340070"/>
    <s v="3000014090840011RC"/>
    <s v="CIVIL"/>
    <d v="2023-06-26T00:00:00"/>
    <d v="2023-07-06T19:54:22"/>
    <m/>
    <d v="2023-07-06T00:00:00"/>
    <n v="1421"/>
    <n v="18996"/>
    <s v="59708139"/>
    <s v="59708139"/>
    <m/>
    <m/>
    <m/>
    <m/>
    <m/>
    <m/>
    <s v="SOLRECOUP"/>
    <s v="SOLRECOUP"/>
    <s v="POARECOUP"/>
    <n v="21340070"/>
    <n v="-105.6"/>
    <m/>
    <s v="Y"/>
    <n v="1"/>
    <d v="2023-07-06T19:54:23"/>
    <s v="N"/>
    <m/>
    <m/>
    <s v="Expert Disbursement"/>
    <m/>
    <s v="N"/>
    <n v="-88"/>
    <n v="0"/>
    <x v="4"/>
    <s v="VALIDATED"/>
    <n v="1"/>
    <s v="01.11.80.308.2013.0000"/>
    <n v="-88"/>
    <s v="11"/>
    <s v="2013"/>
    <n v="4602.52"/>
    <n v="-88"/>
    <s v="CREDITOR"/>
    <n v="0"/>
    <n v="0"/>
    <n v="-88"/>
    <n v="0"/>
    <n v="0"/>
  </r>
  <r>
    <n v="59708139"/>
    <s v="N"/>
    <n v="21340070"/>
    <s v="3000014090840011RC"/>
    <s v="CIVIL"/>
    <d v="2023-06-26T00:00:00"/>
    <d v="2023-07-06T19:54:22"/>
    <m/>
    <d v="2023-07-06T00:00:00"/>
    <n v="1421"/>
    <n v="18996"/>
    <s v="59708139"/>
    <s v="59708139"/>
    <m/>
    <m/>
    <m/>
    <m/>
    <m/>
    <m/>
    <s v="SOLRECOUP"/>
    <s v="SOLRECOUP"/>
    <s v="POARECOUP"/>
    <n v="21340070"/>
    <n v="-105.6"/>
    <m/>
    <s v="Y"/>
    <n v="2"/>
    <d v="2023-07-06T19:54:23"/>
    <s v="N"/>
    <m/>
    <m/>
    <s v="Expert Disbursement"/>
    <m/>
    <s v="N"/>
    <n v="0"/>
    <n v="-17.6"/>
    <x v="4"/>
    <s v="VALIDATED"/>
    <n v="1"/>
    <s v="01.11.80.308.2013.0000"/>
    <n v="-17.6"/>
    <s v="11"/>
    <s v="2013"/>
    <n v="4602.52"/>
    <n v="-17.6"/>
    <s v="CREDITOR"/>
    <n v="0"/>
    <n v="0"/>
    <n v="-17.6"/>
    <n v="0"/>
    <n v="0"/>
  </r>
  <r>
    <n v="59708139"/>
    <s v="N"/>
    <n v="21340071"/>
    <s v="3000014090840010RC"/>
    <s v="CIVIL"/>
    <d v="2023-06-26T00:00:00"/>
    <d v="2023-07-06T19:54:22"/>
    <m/>
    <d v="2023-07-06T00:00:00"/>
    <n v="1421"/>
    <n v="18996"/>
    <s v="59708139"/>
    <s v="59708139"/>
    <m/>
    <m/>
    <m/>
    <m/>
    <m/>
    <m/>
    <s v="SOLRECOUP"/>
    <s v="SOLRECOUP"/>
    <s v="POARECOUP"/>
    <n v="21340071"/>
    <n v="-882.6"/>
    <m/>
    <s v="Y"/>
    <n v="1"/>
    <d v="2023-07-06T19:54:23"/>
    <s v="N"/>
    <m/>
    <m/>
    <s v="Expert Disbursement"/>
    <m/>
    <s v="N"/>
    <n v="-735.5"/>
    <n v="0"/>
    <x v="4"/>
    <s v="VALIDATED"/>
    <n v="1"/>
    <s v="01.11.80.308.2013.0000"/>
    <n v="-735.5"/>
    <s v="11"/>
    <s v="2013"/>
    <n v="4602.52"/>
    <n v="-735.5"/>
    <s v="CREDITOR"/>
    <n v="0"/>
    <n v="0"/>
    <n v="-735.5"/>
    <n v="0"/>
    <n v="0"/>
  </r>
  <r>
    <n v="59708139"/>
    <s v="N"/>
    <n v="21340071"/>
    <s v="3000014090840010RC"/>
    <s v="CIVIL"/>
    <d v="2023-06-26T00:00:00"/>
    <d v="2023-07-06T19:54:22"/>
    <m/>
    <d v="2023-07-06T00:00:00"/>
    <n v="1421"/>
    <n v="18996"/>
    <s v="59708139"/>
    <s v="59708139"/>
    <m/>
    <m/>
    <m/>
    <m/>
    <m/>
    <m/>
    <s v="SOLRECOUP"/>
    <s v="SOLRECOUP"/>
    <s v="POARECOUP"/>
    <n v="21340071"/>
    <n v="-882.6"/>
    <m/>
    <s v="Y"/>
    <n v="2"/>
    <d v="2023-07-06T19:54:23"/>
    <s v="N"/>
    <m/>
    <m/>
    <s v="Expert Disbursement"/>
    <m/>
    <s v="N"/>
    <n v="0"/>
    <n v="-147.1"/>
    <x v="4"/>
    <s v="VALIDATED"/>
    <n v="1"/>
    <s v="01.11.80.308.2013.0000"/>
    <n v="-147.1"/>
    <s v="11"/>
    <s v="2013"/>
    <n v="4602.52"/>
    <n v="-147.1"/>
    <s v="CREDITOR"/>
    <n v="0"/>
    <n v="0"/>
    <n v="-147.1"/>
    <n v="0"/>
    <n v="0"/>
  </r>
  <r>
    <n v="59708139"/>
    <s v="N"/>
    <n v="21340061"/>
    <s v="3000014090840001RC"/>
    <s v="CIVIL"/>
    <d v="2023-06-26T00:00:00"/>
    <d v="2023-07-06T19:54:22"/>
    <m/>
    <d v="2023-07-06T00:00:00"/>
    <n v="1421"/>
    <n v="18996"/>
    <s v="59708139"/>
    <s v="59708139"/>
    <m/>
    <m/>
    <m/>
    <m/>
    <m/>
    <m/>
    <s v="SOLRECOUP"/>
    <s v="SOLRECOUP"/>
    <s v="POARECOUP"/>
    <n v="21340061"/>
    <n v="-2684.32"/>
    <m/>
    <s v="Y"/>
    <n v="1"/>
    <d v="2023-07-06T19:54:23"/>
    <s v="N"/>
    <m/>
    <m/>
    <s v="Profit Cost"/>
    <m/>
    <s v="N"/>
    <n v="-2236.93"/>
    <n v="0"/>
    <x v="4"/>
    <s v="VALIDATED"/>
    <n v="1"/>
    <s v="01.11.80.308.2013.0000"/>
    <n v="-2236.93"/>
    <s v="11"/>
    <s v="2013"/>
    <n v="4602.52"/>
    <n v="-2236.93"/>
    <s v="CREDITOR"/>
    <n v="0"/>
    <n v="0"/>
    <n v="-2236.93"/>
    <n v="-559.2325"/>
    <n v="0"/>
  </r>
  <r>
    <n v="59708139"/>
    <s v="N"/>
    <n v="21340061"/>
    <s v="3000014090840001RC"/>
    <s v="CIVIL"/>
    <d v="2023-06-26T00:00:00"/>
    <d v="2023-07-06T19:54:22"/>
    <m/>
    <d v="2023-07-06T00:00:00"/>
    <n v="1421"/>
    <n v="18996"/>
    <s v="59708139"/>
    <s v="59708139"/>
    <m/>
    <m/>
    <m/>
    <m/>
    <m/>
    <m/>
    <s v="SOLRECOUP"/>
    <s v="SOLRECOUP"/>
    <s v="POARECOUP"/>
    <n v="21340061"/>
    <n v="-2684.32"/>
    <m/>
    <s v="Y"/>
    <n v="2"/>
    <d v="2023-07-06T19:54:23"/>
    <s v="N"/>
    <m/>
    <m/>
    <s v="Profit Cost"/>
    <m/>
    <s v="N"/>
    <n v="0"/>
    <n v="-447.39"/>
    <x v="4"/>
    <s v="VALIDATED"/>
    <n v="1"/>
    <s v="01.11.80.308.2013.0000"/>
    <n v="-447.39"/>
    <s v="11"/>
    <s v="2013"/>
    <n v="4602.52"/>
    <n v="-447.39"/>
    <s v="CREDITOR"/>
    <n v="0"/>
    <n v="0"/>
    <n v="-447.39"/>
    <n v="-111.8475"/>
    <n v="0"/>
  </r>
  <r>
    <n v="59708139"/>
    <s v="N"/>
    <n v="21340062"/>
    <s v="3000014090840002RC"/>
    <s v="CIVIL"/>
    <d v="2023-06-26T00:00:00"/>
    <d v="2023-07-06T19:54:22"/>
    <m/>
    <d v="2023-07-06T00:00:00"/>
    <n v="1421"/>
    <n v="18996"/>
    <s v="59708139"/>
    <s v="59708139"/>
    <m/>
    <m/>
    <m/>
    <m/>
    <m/>
    <m/>
    <s v="SOLRECOUP"/>
    <s v="SOLRECOUP"/>
    <s v="POARECOUP"/>
    <n v="21340062"/>
    <n v="-167"/>
    <m/>
    <s v="Y"/>
    <n v="1"/>
    <d v="2023-07-06T19:54:23"/>
    <s v="N"/>
    <m/>
    <m/>
    <s v="Non Expert Disbursement"/>
    <m/>
    <s v="N"/>
    <n v="-167"/>
    <n v="0"/>
    <x v="4"/>
    <s v="VALIDATED"/>
    <n v="1"/>
    <s v="01.11.80.308.2013.0000"/>
    <n v="-167"/>
    <s v="11"/>
    <s v="2013"/>
    <n v="4602.52"/>
    <n v="-167"/>
    <s v="CREDITOR"/>
    <n v="0"/>
    <n v="0"/>
    <n v="-167"/>
    <n v="0"/>
    <n v="0"/>
  </r>
  <r>
    <n v="59708139"/>
    <s v="N"/>
    <n v="21340062"/>
    <s v="3000014090840002RC"/>
    <s v="CIVIL"/>
    <d v="2023-06-26T00:00:00"/>
    <d v="2023-07-06T19:54:22"/>
    <m/>
    <d v="2023-07-06T00:00:00"/>
    <n v="1421"/>
    <n v="18996"/>
    <s v="59708139"/>
    <s v="59708139"/>
    <m/>
    <m/>
    <m/>
    <m/>
    <m/>
    <m/>
    <s v="SOLRECOUP"/>
    <s v="SOLRECOUP"/>
    <s v="POARECOUP"/>
    <n v="21340062"/>
    <n v="-167"/>
    <m/>
    <s v="Y"/>
    <n v="2"/>
    <d v="2023-07-06T19:54:23"/>
    <s v="N"/>
    <m/>
    <m/>
    <s v="Non Expert Disbursement"/>
    <m/>
    <s v="N"/>
    <n v="0"/>
    <n v="0"/>
    <x v="4"/>
    <s v="VALIDATED"/>
    <n v="1"/>
    <s v="01.11.80.000.0000.0000"/>
    <n v="0"/>
    <s v="11"/>
    <s v="0000"/>
    <n v="4602.52"/>
    <n v="0"/>
    <s v="CREDITOR"/>
    <n v="0"/>
    <n v="0"/>
    <n v="0"/>
    <n v="0"/>
    <n v="0"/>
  </r>
  <r>
    <n v="59708139"/>
    <s v="N"/>
    <n v="21340063"/>
    <s v="3000014090840003RC"/>
    <s v="CIVIL"/>
    <d v="2023-06-26T00:00:00"/>
    <d v="2023-07-06T19:54:22"/>
    <m/>
    <d v="2023-07-06T00:00:00"/>
    <n v="1421"/>
    <n v="18996"/>
    <s v="59708139"/>
    <s v="59708139"/>
    <m/>
    <m/>
    <m/>
    <m/>
    <m/>
    <m/>
    <s v="SOLRECOUP"/>
    <s v="SOLRECOUP"/>
    <s v="POARECOUP"/>
    <n v="21340063"/>
    <n v="-1715.21"/>
    <m/>
    <s v="Y"/>
    <n v="1"/>
    <d v="2023-07-06T19:54:23"/>
    <s v="N"/>
    <m/>
    <m/>
    <s v="Expert Disbursement"/>
    <m/>
    <s v="N"/>
    <n v="-1715.21"/>
    <n v="0"/>
    <x v="4"/>
    <s v="VALIDATED"/>
    <n v="1"/>
    <s v="01.11.80.308.2013.0000"/>
    <n v="-1715.21"/>
    <s v="11"/>
    <s v="2013"/>
    <n v="4602.52"/>
    <n v="-1715.21"/>
    <s v="CREDITOR"/>
    <n v="0"/>
    <n v="0"/>
    <n v="-1715.21"/>
    <n v="0"/>
    <n v="0"/>
  </r>
  <r>
    <n v="59708139"/>
    <s v="N"/>
    <n v="21340063"/>
    <s v="3000014090840003RC"/>
    <s v="CIVIL"/>
    <d v="2023-06-26T00:00:00"/>
    <d v="2023-07-06T19:54:22"/>
    <m/>
    <d v="2023-07-06T00:00:00"/>
    <n v="1421"/>
    <n v="18996"/>
    <s v="59708139"/>
    <s v="59708139"/>
    <m/>
    <m/>
    <m/>
    <m/>
    <m/>
    <m/>
    <s v="SOLRECOUP"/>
    <s v="SOLRECOUP"/>
    <s v="POARECOUP"/>
    <n v="21340063"/>
    <n v="-1715.21"/>
    <m/>
    <s v="Y"/>
    <n v="2"/>
    <d v="2023-07-06T19:54:23"/>
    <s v="N"/>
    <m/>
    <m/>
    <s v="Expert Disbursement"/>
    <m/>
    <s v="N"/>
    <n v="0"/>
    <n v="0"/>
    <x v="4"/>
    <s v="VALIDATED"/>
    <n v="1"/>
    <s v="01.11.80.000.0000.0000"/>
    <n v="0"/>
    <s v="11"/>
    <s v="0000"/>
    <n v="4602.52"/>
    <n v="0"/>
    <s v="CREDITOR"/>
    <n v="0"/>
    <n v="0"/>
    <n v="0"/>
    <n v="0"/>
    <n v="0"/>
  </r>
  <r>
    <n v="59708139"/>
    <s v="N"/>
    <n v="21340064"/>
    <s v="3000014090840004RC"/>
    <s v="CIVIL"/>
    <d v="2023-06-26T00:00:00"/>
    <d v="2023-07-06T19:54:22"/>
    <m/>
    <d v="2023-07-06T00:00:00"/>
    <n v="1421"/>
    <n v="18996"/>
    <s v="59708139"/>
    <s v="59708139"/>
    <m/>
    <m/>
    <m/>
    <m/>
    <m/>
    <m/>
    <s v="SOLRECOUP"/>
    <s v="SOLRECOUP"/>
    <s v="POARECOUP"/>
    <n v="21340064"/>
    <n v="-53"/>
    <m/>
    <s v="Y"/>
    <n v="1"/>
    <d v="2023-07-06T19:54:23"/>
    <s v="N"/>
    <m/>
    <m/>
    <s v="Non Expert Disbursement"/>
    <m/>
    <s v="N"/>
    <n v="-53"/>
    <n v="0"/>
    <x v="4"/>
    <s v="VALIDATED"/>
    <n v="1"/>
    <s v="01.11.80.308.2013.0000"/>
    <n v="-53"/>
    <s v="11"/>
    <s v="2013"/>
    <n v="4602.52"/>
    <n v="-53"/>
    <s v="CREDITOR"/>
    <n v="0"/>
    <n v="0"/>
    <n v="-53"/>
    <n v="0"/>
    <n v="0"/>
  </r>
  <r>
    <n v="59708139"/>
    <s v="N"/>
    <n v="21340064"/>
    <s v="3000014090840004RC"/>
    <s v="CIVIL"/>
    <d v="2023-06-26T00:00:00"/>
    <d v="2023-07-06T19:54:22"/>
    <m/>
    <d v="2023-07-06T00:00:00"/>
    <n v="1421"/>
    <n v="18996"/>
    <s v="59708139"/>
    <s v="59708139"/>
    <m/>
    <m/>
    <m/>
    <m/>
    <m/>
    <m/>
    <s v="SOLRECOUP"/>
    <s v="SOLRECOUP"/>
    <s v="POARECOUP"/>
    <n v="21340064"/>
    <n v="-53"/>
    <m/>
    <s v="Y"/>
    <n v="2"/>
    <d v="2023-07-06T19:54:23"/>
    <s v="N"/>
    <m/>
    <m/>
    <s v="Non Expert Disbursement"/>
    <m/>
    <s v="N"/>
    <n v="0"/>
    <n v="0"/>
    <x v="4"/>
    <s v="VALIDATED"/>
    <n v="1"/>
    <s v="01.11.80.000.0000.0000"/>
    <n v="0"/>
    <s v="11"/>
    <s v="0000"/>
    <n v="4602.52"/>
    <n v="0"/>
    <s v="CREDITOR"/>
    <n v="0"/>
    <n v="0"/>
    <n v="0"/>
    <n v="0"/>
    <n v="0"/>
  </r>
  <r>
    <n v="59708139"/>
    <s v="N"/>
    <n v="21340065"/>
    <s v="3000014090840005RC"/>
    <s v="CIVIL"/>
    <d v="2023-06-26T00:00:00"/>
    <d v="2023-07-06T19:54:22"/>
    <m/>
    <d v="2023-07-06T00:00:00"/>
    <n v="1421"/>
    <n v="18996"/>
    <s v="59708139"/>
    <s v="59708139"/>
    <m/>
    <m/>
    <m/>
    <m/>
    <m/>
    <m/>
    <s v="SOLRECOUP"/>
    <s v="SOLRECOUP"/>
    <s v="POARECOUP"/>
    <n v="21340065"/>
    <n v="-53"/>
    <m/>
    <s v="Y"/>
    <n v="1"/>
    <d v="2023-07-06T19:54:23"/>
    <s v="N"/>
    <m/>
    <m/>
    <s v="Non Expert Disbursement"/>
    <m/>
    <s v="N"/>
    <n v="-53"/>
    <n v="0"/>
    <x v="4"/>
    <s v="VALIDATED"/>
    <n v="1"/>
    <s v="01.11.80.308.2013.0000"/>
    <n v="-53"/>
    <s v="11"/>
    <s v="2013"/>
    <n v="4602.52"/>
    <n v="-53"/>
    <s v="CREDITOR"/>
    <n v="0"/>
    <n v="0"/>
    <n v="-53"/>
    <n v="0"/>
    <n v="0"/>
  </r>
  <r>
    <n v="59708139"/>
    <s v="N"/>
    <n v="21340065"/>
    <s v="3000014090840005RC"/>
    <s v="CIVIL"/>
    <d v="2023-06-26T00:00:00"/>
    <d v="2023-07-06T19:54:22"/>
    <m/>
    <d v="2023-07-06T00:00:00"/>
    <n v="1421"/>
    <n v="18996"/>
    <s v="59708139"/>
    <s v="59708139"/>
    <m/>
    <m/>
    <m/>
    <m/>
    <m/>
    <m/>
    <s v="SOLRECOUP"/>
    <s v="SOLRECOUP"/>
    <s v="POARECOUP"/>
    <n v="21340065"/>
    <n v="-53"/>
    <m/>
    <s v="Y"/>
    <n v="2"/>
    <d v="2023-07-06T19:54:23"/>
    <s v="N"/>
    <m/>
    <m/>
    <s v="Non Expert Disbursement"/>
    <m/>
    <s v="N"/>
    <n v="0"/>
    <n v="0"/>
    <x v="4"/>
    <s v="VALIDATED"/>
    <n v="1"/>
    <s v="01.11.80.000.0000.0000"/>
    <n v="0"/>
    <s v="11"/>
    <s v="0000"/>
    <n v="4602.52"/>
    <n v="0"/>
    <s v="CREDITOR"/>
    <n v="0"/>
    <n v="0"/>
    <n v="0"/>
    <n v="0"/>
    <n v="0"/>
  </r>
  <r>
    <n v="59708139"/>
    <s v="N"/>
    <n v="21340066"/>
    <s v="3000014090840009RC"/>
    <s v="CIVIL"/>
    <d v="2023-06-26T00:00:00"/>
    <d v="2023-07-06T19:54:22"/>
    <m/>
    <d v="2023-07-06T00:00:00"/>
    <n v="1421"/>
    <n v="18996"/>
    <s v="59708139"/>
    <s v="59708139"/>
    <m/>
    <m/>
    <m/>
    <m/>
    <m/>
    <m/>
    <s v="SOLRECOUP"/>
    <s v="SOLRECOUP"/>
    <s v="POARECOUP"/>
    <n v="21340066"/>
    <n v="-6.75"/>
    <m/>
    <s v="Y"/>
    <n v="1"/>
    <d v="2023-07-06T19:54:23"/>
    <s v="N"/>
    <m/>
    <m/>
    <s v="Non Expert Disbursement"/>
    <m/>
    <s v="N"/>
    <n v="-6.75"/>
    <n v="0"/>
    <x v="4"/>
    <s v="VALIDATED"/>
    <n v="1"/>
    <s v="01.11.80.308.2013.0000"/>
    <n v="-6.75"/>
    <s v="11"/>
    <s v="2013"/>
    <n v="4602.52"/>
    <n v="-6.75"/>
    <s v="CREDITOR"/>
    <n v="0"/>
    <n v="0"/>
    <n v="-6.75"/>
    <n v="0"/>
    <n v="0"/>
  </r>
  <r>
    <n v="59708139"/>
    <s v="N"/>
    <n v="21340066"/>
    <s v="3000014090840009RC"/>
    <s v="CIVIL"/>
    <d v="2023-06-26T00:00:00"/>
    <d v="2023-07-06T19:54:22"/>
    <m/>
    <d v="2023-07-06T00:00:00"/>
    <n v="1421"/>
    <n v="18996"/>
    <s v="59708139"/>
    <s v="59708139"/>
    <m/>
    <m/>
    <m/>
    <m/>
    <m/>
    <m/>
    <s v="SOLRECOUP"/>
    <s v="SOLRECOUP"/>
    <s v="POARECOUP"/>
    <n v="21340066"/>
    <n v="-6.75"/>
    <m/>
    <s v="Y"/>
    <n v="2"/>
    <d v="2023-07-06T19:54:23"/>
    <s v="N"/>
    <m/>
    <m/>
    <s v="Non Expert Disbursement"/>
    <m/>
    <s v="N"/>
    <n v="0"/>
    <n v="0"/>
    <x v="4"/>
    <s v="VALIDATED"/>
    <n v="1"/>
    <s v="01.11.80.000.0000.0000"/>
    <n v="0"/>
    <s v="11"/>
    <s v="0000"/>
    <n v="4602.52"/>
    <n v="0"/>
    <s v="CREDITOR"/>
    <n v="0"/>
    <n v="0"/>
    <n v="0"/>
    <n v="0"/>
    <n v="0"/>
  </r>
  <r>
    <n v="59708139"/>
    <s v="N"/>
    <n v="21340067"/>
    <s v="3000014090840006RC"/>
    <s v="CIVIL"/>
    <d v="2023-06-26T00:00:00"/>
    <d v="2023-07-06T19:54:22"/>
    <m/>
    <d v="2023-07-06T00:00:00"/>
    <n v="1421"/>
    <n v="18996"/>
    <s v="59708139"/>
    <s v="59708139"/>
    <m/>
    <m/>
    <m/>
    <m/>
    <m/>
    <m/>
    <s v="SOLRECOUP"/>
    <s v="SOLRECOUP"/>
    <s v="POARECOUP"/>
    <n v="21340067"/>
    <n v="-1101.6"/>
    <m/>
    <s v="Y"/>
    <n v="1"/>
    <d v="2023-07-06T19:54:23"/>
    <s v="N"/>
    <m/>
    <m/>
    <s v="Profit Cost"/>
    <m/>
    <s v="N"/>
    <n v="-918"/>
    <n v="0"/>
    <x v="4"/>
    <s v="VALIDATED"/>
    <n v="1"/>
    <s v="01.11.80.308.2013.0000"/>
    <n v="-918"/>
    <s v="11"/>
    <s v="2013"/>
    <n v="4602.52"/>
    <n v="-918"/>
    <s v="CREDITOR"/>
    <n v="0"/>
    <n v="0"/>
    <n v="-918"/>
    <n v="-229.5"/>
    <n v="0"/>
  </r>
  <r>
    <n v="59708139"/>
    <s v="N"/>
    <n v="21340067"/>
    <s v="3000014090840006RC"/>
    <s v="CIVIL"/>
    <d v="2023-06-26T00:00:00"/>
    <d v="2023-07-06T19:54:22"/>
    <m/>
    <d v="2023-07-06T00:00:00"/>
    <n v="1421"/>
    <n v="18996"/>
    <s v="59708139"/>
    <s v="59708139"/>
    <m/>
    <m/>
    <m/>
    <m/>
    <m/>
    <m/>
    <s v="SOLRECOUP"/>
    <s v="SOLRECOUP"/>
    <s v="POARECOUP"/>
    <n v="21340067"/>
    <n v="-1101.6"/>
    <m/>
    <s v="Y"/>
    <n v="2"/>
    <d v="2023-07-06T19:54:23"/>
    <s v="N"/>
    <m/>
    <m/>
    <s v="Profit Cost"/>
    <m/>
    <s v="N"/>
    <n v="0"/>
    <n v="-183.6"/>
    <x v="4"/>
    <s v="VALIDATED"/>
    <n v="1"/>
    <s v="01.11.80.308.2013.0000"/>
    <n v="-183.6"/>
    <s v="11"/>
    <s v="2013"/>
    <n v="4602.52"/>
    <n v="-183.6"/>
    <s v="CREDITOR"/>
    <n v="0"/>
    <n v="0"/>
    <n v="-183.6"/>
    <n v="-45.9"/>
    <n v="0"/>
  </r>
  <r>
    <n v="59708139"/>
    <s v="N"/>
    <n v="21340068"/>
    <s v="3000014090840007RC"/>
    <s v="CIVIL"/>
    <d v="2023-06-26T00:00:00"/>
    <d v="2023-07-06T19:54:22"/>
    <m/>
    <d v="2023-07-06T00:00:00"/>
    <n v="1421"/>
    <n v="18996"/>
    <s v="59708139"/>
    <s v="59708139"/>
    <m/>
    <m/>
    <m/>
    <m/>
    <m/>
    <m/>
    <s v="SOLRECOUP"/>
    <s v="SOLRECOUP"/>
    <s v="POARECOUP"/>
    <n v="21340068"/>
    <n v="-67.2"/>
    <m/>
    <s v="Y"/>
    <n v="1"/>
    <d v="2023-07-06T19:54:23"/>
    <s v="N"/>
    <m/>
    <m/>
    <s v="Expert Disbursement"/>
    <m/>
    <s v="N"/>
    <n v="-67.2"/>
    <n v="0"/>
    <x v="4"/>
    <s v="VALIDATED"/>
    <n v="1"/>
    <s v="01.11.80.308.2013.0000"/>
    <n v="-67.2"/>
    <s v="11"/>
    <s v="2013"/>
    <n v="4602.52"/>
    <n v="-67.2"/>
    <s v="CREDITOR"/>
    <n v="0"/>
    <n v="0"/>
    <n v="-67.2"/>
    <n v="0"/>
    <n v="0"/>
  </r>
  <r>
    <n v="59708139"/>
    <s v="N"/>
    <n v="21340068"/>
    <s v="3000014090840007RC"/>
    <s v="CIVIL"/>
    <d v="2023-06-26T00:00:00"/>
    <d v="2023-07-06T19:54:22"/>
    <m/>
    <d v="2023-07-06T00:00:00"/>
    <n v="1421"/>
    <n v="18996"/>
    <s v="59708139"/>
    <s v="59708139"/>
    <m/>
    <m/>
    <m/>
    <m/>
    <m/>
    <m/>
    <s v="SOLRECOUP"/>
    <s v="SOLRECOUP"/>
    <s v="POARECOUP"/>
    <n v="21340068"/>
    <n v="-67.2"/>
    <m/>
    <s v="Y"/>
    <n v="2"/>
    <d v="2023-07-06T19:54:23"/>
    <s v="N"/>
    <m/>
    <m/>
    <s v="Expert Disbursement"/>
    <m/>
    <s v="N"/>
    <n v="0"/>
    <n v="0"/>
    <x v="4"/>
    <s v="VALIDATED"/>
    <n v="1"/>
    <s v="01.11.80.000.0000.0000"/>
    <n v="0"/>
    <s v="11"/>
    <s v="0000"/>
    <n v="4602.52"/>
    <n v="0"/>
    <s v="CREDITOR"/>
    <n v="0"/>
    <n v="0"/>
    <n v="0"/>
    <n v="0"/>
    <n v="0"/>
  </r>
  <r>
    <n v="59708139"/>
    <s v="N"/>
    <n v="21338306"/>
    <s v="3000014090840013"/>
    <s v="CIVIL"/>
    <d v="2023-06-26T00:00:00"/>
    <d v="2023-07-06T19:21:01"/>
    <m/>
    <d v="2023-07-06T00:00:00"/>
    <n v="1421"/>
    <n v="18996"/>
    <s v="59708139"/>
    <s v="59708139"/>
    <m/>
    <m/>
    <n v="22758452"/>
    <m/>
    <m/>
    <m/>
    <s v="SOLFIN"/>
    <s v="SOLFIN"/>
    <s v="CCMS"/>
    <n v="21338306"/>
    <n v="13256.36"/>
    <m/>
    <s v="N"/>
    <n v="71"/>
    <d v="2023-07-06T19:21:18"/>
    <s v="Y"/>
    <s v="Attendance upon client"/>
    <s v="Care Remuneration Hourly Rates"/>
    <s v="Profit Cost"/>
    <s v="Suzanne Waterfield"/>
    <s v="Y"/>
    <n v="133"/>
    <n v="26.6"/>
    <x v="4"/>
    <s v="VALIDATED"/>
    <n v="1"/>
    <s v="01.11.80.308.6100.0000"/>
    <n v="133"/>
    <s v="11"/>
    <s v="6100"/>
    <n v="4602.52"/>
    <n v="133"/>
    <s v="CREDITOR"/>
    <n v="0"/>
    <n v="0"/>
    <n v="0"/>
    <n v="0"/>
    <n v="133"/>
  </r>
  <r>
    <n v="59708139"/>
    <s v="N"/>
    <n v="21338306"/>
    <s v="3000014090840013"/>
    <s v="CIVIL"/>
    <d v="2023-06-26T00:00:00"/>
    <d v="2023-07-06T19:21:01"/>
    <m/>
    <d v="2023-07-06T00:00:00"/>
    <n v="1421"/>
    <n v="18996"/>
    <s v="59708139"/>
    <s v="59708139"/>
    <m/>
    <m/>
    <n v="22758452"/>
    <m/>
    <m/>
    <m/>
    <s v="SOLFIN"/>
    <s v="SOLFIN"/>
    <s v="CCMS"/>
    <n v="21338306"/>
    <n v="13256.36"/>
    <m/>
    <s v="N"/>
    <n v="95"/>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91"/>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01"/>
    <d v="2023-07-06T19:21:18"/>
    <s v="Y"/>
    <s v="Preparation - drafting statement"/>
    <s v="Care Remuneration Hourly Rates"/>
    <s v="Profit Cost"/>
    <s v="Martina Dutton"/>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5"/>
    <d v="2023-07-06T19:21:18"/>
    <s v="Y"/>
    <s v="Preparation - other"/>
    <s v="Care Remuneration Hourly Rates"/>
    <s v="Profit Cost"/>
    <s v="Suzanne Waterfield"/>
    <s v="Y"/>
    <n v="12.09"/>
    <n v="2.42"/>
    <x v="4"/>
    <s v="VALIDATED"/>
    <n v="1"/>
    <s v="01.11.80.308.6100.0000"/>
    <n v="12.09"/>
    <s v="11"/>
    <s v="6100"/>
    <n v="4602.52"/>
    <n v="12.09"/>
    <s v="CREDITOR"/>
    <n v="0"/>
    <n v="0"/>
    <n v="0"/>
    <n v="0"/>
    <n v="12.09"/>
  </r>
  <r>
    <n v="60017914"/>
    <s v="N"/>
    <n v="21337890"/>
    <s v="3000014359920009"/>
    <s v="CIVIL"/>
    <d v="2023-06-29T00:00:00"/>
    <d v="2023-07-06T19:21:01"/>
    <m/>
    <d v="2023-07-06T00:00:00"/>
    <n v="1421"/>
    <n v="18996"/>
    <s v="60017914"/>
    <s v="60017914"/>
    <m/>
    <m/>
    <n v="22792106"/>
    <m/>
    <m/>
    <m/>
    <s v="SOLPOA"/>
    <s v="SOLPOA"/>
    <s v="CCMS"/>
    <n v="21337890"/>
    <n v="55.35"/>
    <m/>
    <s v="N"/>
    <n v="1"/>
    <d v="2023-07-06T19:21:09"/>
    <s v="N"/>
    <s v="Non Expert Disbursement"/>
    <s v="Non Expert Disbursement"/>
    <s v="Non Expert Disbursement"/>
    <s v="Grace  Trenchard"/>
    <s v="N"/>
    <n v="55.35"/>
    <n v="0"/>
    <x v="4"/>
    <s v="VALIDATED"/>
    <n v="1"/>
    <s v="01.11.80.305.2012.0000"/>
    <n v="55.35"/>
    <s v="11"/>
    <s v="2012"/>
    <n v="4602.52"/>
    <n v="55.35"/>
    <s v="CREDITOR"/>
    <n v="55.35"/>
    <n v="0"/>
    <n v="0"/>
    <n v="0"/>
    <n v="0"/>
  </r>
  <r>
    <n v="59708139"/>
    <s v="N"/>
    <n v="21338306"/>
    <s v="3000014090840013"/>
    <s v="CIVIL"/>
    <d v="2023-06-26T00:00:00"/>
    <d v="2023-07-06T19:21:01"/>
    <m/>
    <d v="2023-07-06T00:00:00"/>
    <n v="1421"/>
    <n v="18996"/>
    <s v="59708139"/>
    <s v="59708139"/>
    <m/>
    <m/>
    <n v="22758452"/>
    <m/>
    <m/>
    <m/>
    <s v="SOLFIN"/>
    <s v="SOLFIN"/>
    <s v="CCMS"/>
    <n v="21338306"/>
    <n v="13256.36"/>
    <m/>
    <s v="N"/>
    <n v="37"/>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77"/>
    <d v="2023-07-06T19:21:18"/>
    <s v="Y"/>
    <s v="Preparation - other"/>
    <s v="Care Remuneration Hourly Rates"/>
    <s v="Profit Cost"/>
    <s v="Michelle Whittingham"/>
    <s v="Y"/>
    <n v="10.51"/>
    <n v="2.1"/>
    <x v="4"/>
    <s v="VALIDATED"/>
    <n v="1"/>
    <s v="01.11.80.308.6100.0000"/>
    <n v="10.51"/>
    <s v="11"/>
    <s v="6100"/>
    <n v="4602.52"/>
    <n v="10.51"/>
    <s v="CREDITOR"/>
    <n v="0"/>
    <n v="0"/>
    <n v="0"/>
    <n v="0"/>
    <n v="10.51"/>
  </r>
  <r>
    <n v="59708139"/>
    <s v="N"/>
    <n v="21338306"/>
    <s v="3000014090840013"/>
    <s v="CIVIL"/>
    <d v="2023-06-26T00:00:00"/>
    <d v="2023-07-06T19:21:01"/>
    <m/>
    <d v="2023-07-06T00:00:00"/>
    <n v="1421"/>
    <n v="18996"/>
    <s v="59708139"/>
    <s v="59708139"/>
    <m/>
    <m/>
    <n v="22758452"/>
    <m/>
    <m/>
    <m/>
    <s v="SOLFIN"/>
    <s v="SOLFIN"/>
    <s v="CCMS"/>
    <n v="21338306"/>
    <n v="13256.36"/>
    <m/>
    <s v="N"/>
    <n v="26"/>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04"/>
    <d v="2023-07-06T19:21:18"/>
    <s v="Y"/>
    <s v="Travel to attend client"/>
    <s v="Care Remuneration Hourly Rates"/>
    <s v="Profit Cost"/>
    <s v="Suzanne Waterfield"/>
    <s v="Y"/>
    <n v="60.47"/>
    <n v="12.09"/>
    <x v="4"/>
    <s v="VALIDATED"/>
    <n v="1"/>
    <s v="01.11.80.308.6100.0000"/>
    <n v="60.47"/>
    <s v="11"/>
    <s v="6100"/>
    <n v="4602.52"/>
    <n v="60.47"/>
    <s v="CREDITOR"/>
    <n v="0"/>
    <n v="0"/>
    <n v="0"/>
    <n v="0"/>
    <n v="60.47"/>
  </r>
  <r>
    <n v="59708139"/>
    <s v="N"/>
    <n v="21338306"/>
    <s v="3000014090840013"/>
    <s v="CIVIL"/>
    <d v="2023-06-26T00:00:00"/>
    <d v="2023-07-06T19:21:01"/>
    <m/>
    <d v="2023-07-06T00:00:00"/>
    <n v="1421"/>
    <n v="18996"/>
    <s v="59708139"/>
    <s v="59708139"/>
    <m/>
    <m/>
    <n v="22758452"/>
    <m/>
    <m/>
    <m/>
    <s v="SOLFIN"/>
    <s v="SOLFIN"/>
    <s v="CCMS"/>
    <n v="21338306"/>
    <n v="13256.36"/>
    <m/>
    <s v="N"/>
    <n v="43"/>
    <d v="2023-07-06T19:21:18"/>
    <s v="Y"/>
    <s v="Preparation - other"/>
    <s v="Care Remuneration Hourly Rates"/>
    <s v="Profit Cost"/>
    <s v="Suzanne Waterfield"/>
    <s v="Y"/>
    <n v="24.18"/>
    <n v="4.84"/>
    <x v="4"/>
    <s v="VALIDATED"/>
    <n v="1"/>
    <s v="01.11.80.308.6100.0000"/>
    <n v="24.18"/>
    <s v="11"/>
    <s v="6100"/>
    <n v="4602.52"/>
    <n v="24.18"/>
    <s v="CREDITOR"/>
    <n v="0"/>
    <n v="0"/>
    <n v="0"/>
    <n v="0"/>
    <n v="24.18"/>
  </r>
  <r>
    <n v="59708139"/>
    <s v="N"/>
    <n v="21338306"/>
    <s v="3000014090840013"/>
    <s v="CIVIL"/>
    <d v="2023-06-26T00:00:00"/>
    <d v="2023-07-06T19:21:01"/>
    <m/>
    <d v="2023-07-06T00:00:00"/>
    <n v="1421"/>
    <n v="18996"/>
    <s v="59708139"/>
    <s v="59708139"/>
    <m/>
    <m/>
    <n v="22758452"/>
    <m/>
    <m/>
    <m/>
    <s v="SOLFIN"/>
    <s v="SOLFIN"/>
    <s v="CCMS"/>
    <n v="21338306"/>
    <n v="13256.36"/>
    <m/>
    <s v="N"/>
    <n v="73"/>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26"/>
    <d v="2023-07-06T19:21:18"/>
    <s v="Y"/>
    <s v="Preparation - other"/>
    <s v="Care Remuneration Hourly Rates"/>
    <s v="Profit Cost"/>
    <s v="Martina Dutton"/>
    <s v="Y"/>
    <n v="42.32"/>
    <n v="8.460000000000001"/>
    <x v="4"/>
    <s v="VALIDATED"/>
    <n v="1"/>
    <s v="01.11.80.308.6100.0000"/>
    <n v="42.32"/>
    <s v="11"/>
    <s v="6100"/>
    <n v="4602.52"/>
    <n v="42.32"/>
    <s v="CREDITOR"/>
    <n v="0"/>
    <n v="0"/>
    <n v="0"/>
    <n v="0"/>
    <n v="42.32"/>
  </r>
  <r>
    <n v="59708139"/>
    <s v="N"/>
    <n v="21338306"/>
    <s v="3000014090840013"/>
    <s v="CIVIL"/>
    <d v="2023-06-26T00:00:00"/>
    <d v="2023-07-06T19:21:01"/>
    <m/>
    <d v="2023-07-06T00:00:00"/>
    <n v="1421"/>
    <n v="18996"/>
    <s v="59708139"/>
    <s v="59708139"/>
    <m/>
    <m/>
    <n v="22758452"/>
    <m/>
    <m/>
    <m/>
    <s v="SOLFIN"/>
    <s v="SOLFIN"/>
    <s v="CCMS"/>
    <n v="21338306"/>
    <n v="13256.36"/>
    <m/>
    <s v="N"/>
    <n v="55"/>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76"/>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02"/>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40"/>
    <d v="2023-07-06T19:21:18"/>
    <s v="Y"/>
    <s v="Advocates Meeting"/>
    <s v="Public Law Children"/>
    <s v="Advocacy"/>
    <s v="Suzanne Waterfield"/>
    <s v="Y"/>
    <n v="140.99"/>
    <n v="28.2"/>
    <x v="4"/>
    <s v="VALIDATED"/>
    <n v="1"/>
    <s v="01.11.80.308.6100.0000"/>
    <n v="140.99"/>
    <s v="11"/>
    <s v="6100"/>
    <n v="4602.52"/>
    <n v="140.99"/>
    <s v="CREDITOR"/>
    <n v="0"/>
    <n v="0"/>
    <n v="0"/>
    <n v="0"/>
    <n v="140.99"/>
  </r>
  <r>
    <n v="59708139"/>
    <s v="N"/>
    <n v="21338306"/>
    <s v="3000014090840013"/>
    <s v="CIVIL"/>
    <d v="2023-06-26T00:00:00"/>
    <d v="2023-07-06T19:21:01"/>
    <m/>
    <d v="2023-07-06T00:00:00"/>
    <n v="1421"/>
    <n v="18996"/>
    <s v="59708139"/>
    <s v="59708139"/>
    <m/>
    <m/>
    <n v="22758452"/>
    <m/>
    <m/>
    <m/>
    <s v="SOLFIN"/>
    <s v="SOLFIN"/>
    <s v="CCMS"/>
    <n v="21338306"/>
    <n v="13256.36"/>
    <m/>
    <s v="N"/>
    <n v="110"/>
    <d v="2023-07-06T19:21:18"/>
    <s v="Y"/>
    <s v="Attendance upon/with Counsel at Con"/>
    <s v="Care Remuneration Hourly Rates"/>
    <s v="Profit Cost"/>
    <s v="Suzanne Waterfield"/>
    <s v="Y"/>
    <n v="23.67"/>
    <n v="4.73"/>
    <x v="4"/>
    <s v="VALIDATED"/>
    <n v="1"/>
    <s v="01.11.80.308.6100.0000"/>
    <n v="23.67"/>
    <s v="11"/>
    <s v="6100"/>
    <n v="4602.52"/>
    <n v="23.67"/>
    <s v="CREDITOR"/>
    <n v="0"/>
    <n v="0"/>
    <n v="0"/>
    <n v="0"/>
    <n v="23.67"/>
  </r>
  <r>
    <n v="59708139"/>
    <s v="N"/>
    <n v="21338306"/>
    <s v="3000014090840013"/>
    <s v="CIVIL"/>
    <d v="2023-06-26T00:00:00"/>
    <d v="2023-07-06T19:21:01"/>
    <m/>
    <d v="2023-07-06T00:00:00"/>
    <n v="1421"/>
    <n v="18996"/>
    <s v="59708139"/>
    <s v="59708139"/>
    <m/>
    <m/>
    <n v="22758452"/>
    <m/>
    <m/>
    <m/>
    <s v="SOLFIN"/>
    <s v="SOLFIN"/>
    <s v="CCMS"/>
    <n v="21338306"/>
    <n v="13256.36"/>
    <m/>
    <s v="N"/>
    <n v="9"/>
    <d v="2023-07-06T19:21:18"/>
    <s v="Y"/>
    <s v="Court Fee"/>
    <s v="Care Remuneration Hourly Rates"/>
    <s v="Non Expert Disbursement"/>
    <s v="Suzanne Waterfield"/>
    <s v="Y"/>
    <n v="53"/>
    <n v="0"/>
    <x v="4"/>
    <s v="VALIDATED"/>
    <n v="1"/>
    <s v="01.11.80.308.6300.0000"/>
    <n v="53"/>
    <s v="11"/>
    <s v="6300"/>
    <n v="4602.52"/>
    <n v="53"/>
    <s v="CREDITOR"/>
    <n v="0"/>
    <n v="0"/>
    <n v="0"/>
    <n v="0"/>
    <n v="53"/>
  </r>
  <r>
    <n v="59708139"/>
    <s v="N"/>
    <n v="21338306"/>
    <s v="3000014090840013"/>
    <s v="CIVIL"/>
    <d v="2023-06-26T00:00:00"/>
    <d v="2023-07-06T19:21:01"/>
    <m/>
    <d v="2023-07-06T00:00:00"/>
    <n v="1421"/>
    <n v="18996"/>
    <s v="59708139"/>
    <s v="59708139"/>
    <m/>
    <m/>
    <n v="22758452"/>
    <m/>
    <m/>
    <m/>
    <s v="SOLFIN"/>
    <s v="SOLFIN"/>
    <s v="CCMS"/>
    <n v="21338306"/>
    <n v="13256.36"/>
    <m/>
    <s v="N"/>
    <n v="21"/>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46"/>
    <d v="2023-07-06T19:21:18"/>
    <s v="N"/>
    <s v="Solicitors Fixed Fee"/>
    <s v="Public Law Children"/>
    <s v="Profit Cost"/>
    <s v="Martina Dutton"/>
    <s v="N"/>
    <n v="0"/>
    <n v="0"/>
    <x v="4"/>
    <s v="VALIDATED"/>
    <n v="1"/>
    <s v="01.11.80.308.6100.0000"/>
    <n v="0"/>
    <s v="11"/>
    <s v="6100"/>
    <n v="4602.52"/>
    <n v="0"/>
    <s v="CREDITOR"/>
    <n v="0"/>
    <n v="0"/>
    <n v="0"/>
    <n v="0"/>
    <n v="0"/>
  </r>
  <r>
    <n v="59708139"/>
    <s v="N"/>
    <n v="21338306"/>
    <s v="3000014090840013"/>
    <s v="CIVIL"/>
    <d v="2023-06-26T00:00:00"/>
    <d v="2023-07-06T19:21:01"/>
    <m/>
    <d v="2023-07-06T00:00:00"/>
    <n v="1421"/>
    <n v="18996"/>
    <s v="59708139"/>
    <s v="59708139"/>
    <m/>
    <m/>
    <n v="22758452"/>
    <m/>
    <m/>
    <m/>
    <s v="SOLFIN"/>
    <s v="SOLFIN"/>
    <s v="CCMS"/>
    <n v="21338306"/>
    <n v="13256.36"/>
    <m/>
    <s v="N"/>
    <n v="129"/>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32"/>
    <d v="2023-07-06T19:21:18"/>
    <s v="Y"/>
    <s v="Preparation - drafting application"/>
    <s v="Care Remuneration Hourly Rates"/>
    <s v="Profit Cost"/>
    <s v="Martina Dutton"/>
    <s v="Y"/>
    <n v="30.23"/>
    <n v="6.05"/>
    <x v="4"/>
    <s v="VALIDATED"/>
    <n v="1"/>
    <s v="01.11.80.308.6100.0000"/>
    <n v="30.23"/>
    <s v="11"/>
    <s v="6100"/>
    <n v="4602.52"/>
    <n v="30.23"/>
    <s v="CREDITOR"/>
    <n v="0"/>
    <n v="0"/>
    <n v="0"/>
    <n v="0"/>
    <n v="30.23"/>
  </r>
  <r>
    <n v="59708139"/>
    <s v="N"/>
    <n v="21338306"/>
    <s v="3000014090840013"/>
    <s v="CIVIL"/>
    <d v="2023-06-26T00:00:00"/>
    <d v="2023-07-06T19:21:01"/>
    <m/>
    <d v="2023-07-06T00:00:00"/>
    <n v="1421"/>
    <n v="18996"/>
    <s v="59708139"/>
    <s v="59708139"/>
    <m/>
    <m/>
    <n v="22758452"/>
    <m/>
    <m/>
    <m/>
    <s v="SOLFIN"/>
    <s v="SOLFIN"/>
    <s v="CCMS"/>
    <n v="21338306"/>
    <n v="13256.36"/>
    <m/>
    <s v="N"/>
    <n v="64"/>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83"/>
    <d v="2023-07-06T19:21:18"/>
    <s v="Y"/>
    <s v="Preparation - drafting notice(s)"/>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23"/>
    <d v="2023-07-06T19:21:18"/>
    <s v="Y"/>
    <s v="Preparation - drafting attendance n"/>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62"/>
    <d v="2023-07-06T19:21:18"/>
    <s v="Y"/>
    <s v="Routine Telephone Call"/>
    <s v="Care Remuneration Hourly Rates"/>
    <s v="Profit Cost"/>
    <s v="Suzanne Waterfield"/>
    <s v="Y"/>
    <n v="16.97"/>
    <n v="3.39"/>
    <x v="4"/>
    <s v="VALIDATED"/>
    <n v="1"/>
    <s v="01.11.80.308.6100.0000"/>
    <n v="16.97"/>
    <s v="11"/>
    <s v="6100"/>
    <n v="4602.52"/>
    <n v="16.97"/>
    <s v="CREDITOR"/>
    <n v="0"/>
    <n v="0"/>
    <n v="0"/>
    <n v="0"/>
    <n v="16.97"/>
  </r>
  <r>
    <n v="59708139"/>
    <s v="N"/>
    <n v="21338306"/>
    <s v="3000014090840013"/>
    <s v="CIVIL"/>
    <d v="2023-06-26T00:00:00"/>
    <d v="2023-07-06T19:21:01"/>
    <m/>
    <d v="2023-07-06T00:00:00"/>
    <n v="1421"/>
    <n v="18996"/>
    <s v="59708139"/>
    <s v="59708139"/>
    <m/>
    <m/>
    <n v="22758452"/>
    <m/>
    <m/>
    <m/>
    <s v="SOLFIN"/>
    <s v="SOLFIN"/>
    <s v="CCMS"/>
    <n v="21338306"/>
    <n v="13256.36"/>
    <m/>
    <s v="N"/>
    <n v="133"/>
    <d v="2023-07-06T19:21:18"/>
    <s v="Y"/>
    <s v="Preparation - other"/>
    <s v="Care Remuneration Hourly Rates"/>
    <s v="Profit Cost"/>
    <s v="Martina Dutton"/>
    <s v="Y"/>
    <n v="253.91"/>
    <n v="50.78"/>
    <x v="4"/>
    <s v="VALIDATED"/>
    <n v="1"/>
    <s v="01.11.80.308.6100.0000"/>
    <n v="253.91"/>
    <s v="11"/>
    <s v="6100"/>
    <n v="4602.52"/>
    <n v="253.91"/>
    <s v="CREDITOR"/>
    <n v="0"/>
    <n v="0"/>
    <n v="0"/>
    <n v="0"/>
    <n v="253.91"/>
  </r>
  <r>
    <n v="59708139"/>
    <s v="N"/>
    <n v="21338306"/>
    <s v="3000014090840013"/>
    <s v="CIVIL"/>
    <d v="2023-06-26T00:00:00"/>
    <d v="2023-07-06T19:21:01"/>
    <m/>
    <d v="2023-07-06T00:00:00"/>
    <n v="1421"/>
    <n v="18996"/>
    <s v="59708139"/>
    <s v="59708139"/>
    <m/>
    <m/>
    <n v="22758452"/>
    <m/>
    <m/>
    <m/>
    <s v="SOLFIN"/>
    <s v="SOLFIN"/>
    <s v="CCMS"/>
    <n v="21338306"/>
    <n v="13256.36"/>
    <m/>
    <s v="N"/>
    <n v="10"/>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31"/>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45"/>
    <d v="2023-07-06T19:21:18"/>
    <s v="Y"/>
    <s v="Advocates Meeting"/>
    <s v="Public Law Children"/>
    <s v="Advocacy"/>
    <s v="Martina Dutton"/>
    <s v="Y"/>
    <n v="140.99"/>
    <n v="28.2"/>
    <x v="4"/>
    <s v="VALIDATED"/>
    <n v="1"/>
    <s v="01.11.80.308.6100.0000"/>
    <n v="140.99"/>
    <s v="11"/>
    <s v="6100"/>
    <n v="4602.52"/>
    <n v="140.99"/>
    <s v="CREDITOR"/>
    <n v="0"/>
    <n v="0"/>
    <n v="0"/>
    <n v="0"/>
    <n v="140.99"/>
  </r>
  <r>
    <n v="59708139"/>
    <s v="N"/>
    <n v="21338306"/>
    <s v="3000014090840013"/>
    <s v="CIVIL"/>
    <d v="2023-06-26T00:00:00"/>
    <d v="2023-07-06T19:21:01"/>
    <m/>
    <d v="2023-07-06T00:00:00"/>
    <n v="1421"/>
    <n v="18996"/>
    <s v="59708139"/>
    <s v="59708139"/>
    <m/>
    <m/>
    <n v="22758452"/>
    <m/>
    <m/>
    <m/>
    <s v="SOLFIN"/>
    <s v="SOLFIN"/>
    <s v="CCMS"/>
    <n v="21338306"/>
    <n v="13256.36"/>
    <m/>
    <s v="N"/>
    <n v="66"/>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79"/>
    <d v="2023-07-06T19:21:18"/>
    <s v="Y"/>
    <s v="Preparation - other"/>
    <s v="Care Remuneration Hourly Rates"/>
    <s v="Profit Cost"/>
    <s v="Martina Dutton"/>
    <s v="Y"/>
    <n v="169.28"/>
    <n v="33.86"/>
    <x v="4"/>
    <s v="VALIDATED"/>
    <n v="1"/>
    <s v="01.11.80.308.6100.0000"/>
    <n v="169.28"/>
    <s v="11"/>
    <s v="6100"/>
    <n v="4602.52"/>
    <n v="169.28"/>
    <s v="CREDITOR"/>
    <n v="0"/>
    <n v="0"/>
    <n v="0"/>
    <n v="0"/>
    <n v="169.28"/>
  </r>
  <r>
    <n v="59708139"/>
    <s v="N"/>
    <n v="21338306"/>
    <s v="3000014090840013"/>
    <s v="CIVIL"/>
    <d v="2023-06-26T00:00:00"/>
    <d v="2023-07-06T19:21:01"/>
    <m/>
    <d v="2023-07-06T00:00:00"/>
    <n v="1421"/>
    <n v="18996"/>
    <s v="59708139"/>
    <s v="59708139"/>
    <m/>
    <m/>
    <n v="22758452"/>
    <m/>
    <m/>
    <m/>
    <s v="SOLFIN"/>
    <s v="SOLFIN"/>
    <s v="CCMS"/>
    <n v="21338306"/>
    <n v="13256.36"/>
    <m/>
    <s v="N"/>
    <n v="97"/>
    <d v="2023-07-06T19:21:18"/>
    <s v="Y"/>
    <s v="Report - other expert's repor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36"/>
    <d v="2023-07-06T19:21:18"/>
    <s v="Y"/>
    <s v="Preparation - other"/>
    <s v="Care Remuneration Hourly Rates"/>
    <s v="Profit Cost"/>
    <s v="Martina Dutton"/>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9"/>
    <d v="2023-07-06T19:21:18"/>
    <s v="Y"/>
    <s v="Preparation - other"/>
    <s v="Care Remuneration Hourly Rates"/>
    <s v="Profit Cost"/>
    <s v="Suzanne Waterfield"/>
    <s v="Y"/>
    <n v="60.46"/>
    <n v="12.09"/>
    <x v="4"/>
    <s v="VALIDATED"/>
    <n v="1"/>
    <s v="01.11.80.308.6100.0000"/>
    <n v="60.46"/>
    <s v="11"/>
    <s v="6100"/>
    <n v="4602.52"/>
    <n v="60.46"/>
    <s v="CREDITOR"/>
    <n v="0"/>
    <n v="0"/>
    <n v="0"/>
    <n v="0"/>
    <n v="60.46"/>
  </r>
  <r>
    <n v="59708139"/>
    <s v="N"/>
    <n v="21338306"/>
    <s v="3000014090840013"/>
    <s v="CIVIL"/>
    <d v="2023-06-26T00:00:00"/>
    <d v="2023-07-06T19:21:01"/>
    <m/>
    <d v="2023-07-06T00:00:00"/>
    <n v="1421"/>
    <n v="18996"/>
    <s v="59708139"/>
    <s v="59708139"/>
    <m/>
    <m/>
    <n v="22758452"/>
    <m/>
    <m/>
    <m/>
    <s v="SOLFIN"/>
    <s v="SOLFIN"/>
    <s v="CCMS"/>
    <n v="21338306"/>
    <n v="13256.36"/>
    <m/>
    <s v="N"/>
    <n v="61"/>
    <d v="2023-07-06T19:21:18"/>
    <s v="Y"/>
    <s v="Routine Letter In"/>
    <s v="Care Remuneration Hourly Rates"/>
    <s v="Profit Cost"/>
    <s v="Suzanne Waterfield"/>
    <s v="Y"/>
    <n v="536.13"/>
    <n v="107.23"/>
    <x v="4"/>
    <s v="VALIDATED"/>
    <n v="1"/>
    <s v="01.11.80.308.6100.0000"/>
    <n v="536.13"/>
    <s v="11"/>
    <s v="6100"/>
    <n v="4602.52"/>
    <n v="536.13"/>
    <s v="CREDITOR"/>
    <n v="0"/>
    <n v="0"/>
    <n v="0"/>
    <n v="0"/>
    <n v="536.13"/>
  </r>
  <r>
    <n v="59708139"/>
    <s v="N"/>
    <n v="21338306"/>
    <s v="3000014090840013"/>
    <s v="CIVIL"/>
    <d v="2023-06-26T00:00:00"/>
    <d v="2023-07-06T19:21:01"/>
    <m/>
    <d v="2023-07-06T00:00:00"/>
    <n v="1421"/>
    <n v="18996"/>
    <s v="59708139"/>
    <s v="59708139"/>
    <m/>
    <m/>
    <n v="22758452"/>
    <m/>
    <m/>
    <m/>
    <s v="SOLFIN"/>
    <s v="SOLFIN"/>
    <s v="CCMS"/>
    <n v="21338306"/>
    <n v="13256.36"/>
    <m/>
    <s v="N"/>
    <n v="124"/>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30"/>
    <d v="2023-07-06T19:21:18"/>
    <s v="Y"/>
    <s v="Preparation - other"/>
    <s v="Care Remuneration Hourly Rates"/>
    <s v="Profit Cost"/>
    <s v="Martina Dutton"/>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87"/>
    <d v="2023-07-06T19:21:18"/>
    <s v="Y"/>
    <s v="Attendance upon client"/>
    <s v="Care Remuneration Hourly Rates"/>
    <s v="Profit Cost"/>
    <s v="Suzanne Waterfield"/>
    <s v="Y"/>
    <n v="36.27"/>
    <n v="7.25"/>
    <x v="4"/>
    <s v="VALIDATED"/>
    <n v="1"/>
    <s v="01.11.80.308.6100.0000"/>
    <n v="36.27"/>
    <s v="11"/>
    <s v="6100"/>
    <n v="4602.52"/>
    <n v="36.27"/>
    <s v="CREDITOR"/>
    <n v="0"/>
    <n v="0"/>
    <n v="0"/>
    <n v="0"/>
    <n v="36.27"/>
  </r>
  <r>
    <n v="59708139"/>
    <s v="N"/>
    <n v="21338306"/>
    <s v="3000014090840013"/>
    <s v="CIVIL"/>
    <d v="2023-06-26T00:00:00"/>
    <d v="2023-07-06T19:21:01"/>
    <m/>
    <d v="2023-07-06T00:00:00"/>
    <n v="1421"/>
    <n v="18996"/>
    <s v="59708139"/>
    <s v="59708139"/>
    <m/>
    <m/>
    <n v="22758452"/>
    <m/>
    <m/>
    <m/>
    <s v="SOLFIN"/>
    <s v="SOLFIN"/>
    <s v="CCMS"/>
    <n v="21338306"/>
    <n v="13256.36"/>
    <m/>
    <s v="N"/>
    <n v="99"/>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21"/>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8"/>
    <d v="2023-07-06T19:21:18"/>
    <s v="Y"/>
    <s v="Court Fee"/>
    <s v="Care Remuneration Hourly Rates"/>
    <s v="Non Expert Disbursement"/>
    <s v="Suzanne Waterfield"/>
    <s v="Y"/>
    <n v="53"/>
    <n v="0"/>
    <x v="4"/>
    <s v="VALIDATED"/>
    <n v="1"/>
    <s v="01.11.80.308.6300.0000"/>
    <n v="53"/>
    <s v="11"/>
    <s v="6300"/>
    <n v="4602.52"/>
    <n v="53"/>
    <s v="CREDITOR"/>
    <n v="0"/>
    <n v="0"/>
    <n v="0"/>
    <n v="0"/>
    <n v="53"/>
  </r>
  <r>
    <n v="59708139"/>
    <s v="N"/>
    <n v="21338306"/>
    <s v="3000014090840013"/>
    <s v="CIVIL"/>
    <d v="2023-06-26T00:00:00"/>
    <d v="2023-07-06T19:21:01"/>
    <m/>
    <d v="2023-07-06T00:00:00"/>
    <n v="1421"/>
    <n v="18996"/>
    <s v="59708139"/>
    <s v="59708139"/>
    <m/>
    <m/>
    <n v="22758452"/>
    <m/>
    <m/>
    <m/>
    <s v="SOLFIN"/>
    <s v="SOLFIN"/>
    <s v="CCMS"/>
    <n v="21338306"/>
    <n v="13256.36"/>
    <m/>
    <s v="N"/>
    <n v="44"/>
    <d v="2023-07-06T19:21:18"/>
    <s v="Y"/>
    <s v="Preparation - other"/>
    <s v="Care Remuneration Hourly Rates"/>
    <s v="Profit Cost"/>
    <s v="Suzanne Waterfield"/>
    <s v="Y"/>
    <n v="24.18"/>
    <n v="4.84"/>
    <x v="4"/>
    <s v="VALIDATED"/>
    <n v="1"/>
    <s v="01.11.80.308.6100.0000"/>
    <n v="24.18"/>
    <s v="11"/>
    <s v="6100"/>
    <n v="4602.52"/>
    <n v="24.18"/>
    <s v="CREDITOR"/>
    <n v="0"/>
    <n v="0"/>
    <n v="0"/>
    <n v="0"/>
    <n v="24.18"/>
  </r>
  <r>
    <n v="59708139"/>
    <s v="N"/>
    <n v="21338306"/>
    <s v="3000014090840013"/>
    <s v="CIVIL"/>
    <d v="2023-06-26T00:00:00"/>
    <d v="2023-07-06T19:21:01"/>
    <m/>
    <d v="2023-07-06T00:00:00"/>
    <n v="1421"/>
    <n v="18996"/>
    <s v="59708139"/>
    <s v="59708139"/>
    <m/>
    <m/>
    <n v="22758452"/>
    <m/>
    <m/>
    <m/>
    <s v="SOLFIN"/>
    <s v="SOLFIN"/>
    <s v="CCMS"/>
    <n v="21338306"/>
    <n v="13256.36"/>
    <m/>
    <s v="N"/>
    <n v="46"/>
    <d v="2023-07-06T19:21:18"/>
    <s v="Y"/>
    <s v="Attendance upon/with Counsel at Con"/>
    <s v="Care Remuneration Hourly Rates"/>
    <s v="Profit Cost"/>
    <s v="Suzanne Waterfield"/>
    <s v="Y"/>
    <n v="10.14"/>
    <n v="2.03"/>
    <x v="4"/>
    <s v="VALIDATED"/>
    <n v="1"/>
    <s v="01.11.80.308.6100.0000"/>
    <n v="10.14"/>
    <s v="11"/>
    <s v="6100"/>
    <n v="4602.52"/>
    <n v="10.14"/>
    <s v="CREDITOR"/>
    <n v="0"/>
    <n v="0"/>
    <n v="0"/>
    <n v="0"/>
    <n v="10.14"/>
  </r>
  <r>
    <n v="59708139"/>
    <s v="N"/>
    <n v="21338306"/>
    <s v="3000014090840013"/>
    <s v="CIVIL"/>
    <d v="2023-06-26T00:00:00"/>
    <d v="2023-07-06T19:21:01"/>
    <m/>
    <d v="2023-07-06T00:00:00"/>
    <n v="1421"/>
    <n v="18996"/>
    <s v="59708139"/>
    <s v="59708139"/>
    <m/>
    <m/>
    <n v="22758452"/>
    <m/>
    <m/>
    <m/>
    <s v="SOLFIN"/>
    <s v="SOLFIN"/>
    <s v="CCMS"/>
    <n v="21338306"/>
    <n v="13256.36"/>
    <m/>
    <s v="N"/>
    <n v="117"/>
    <d v="2023-07-06T19:21:18"/>
    <s v="Y"/>
    <s v="Attendance upon client"/>
    <s v="Care Remuneration Hourly Rates"/>
    <s v="Profit Cost"/>
    <s v="Suzanne Waterfield"/>
    <s v="Y"/>
    <n v="90.69"/>
    <n v="18.14"/>
    <x v="4"/>
    <s v="VALIDATED"/>
    <n v="1"/>
    <s v="01.11.80.308.6100.0000"/>
    <n v="90.69"/>
    <s v="11"/>
    <s v="6100"/>
    <n v="4602.52"/>
    <n v="90.69"/>
    <s v="CREDITOR"/>
    <n v="0"/>
    <n v="0"/>
    <n v="0"/>
    <n v="0"/>
    <n v="90.69"/>
  </r>
  <r>
    <n v="59708139"/>
    <s v="N"/>
    <n v="21338306"/>
    <s v="3000014090840013"/>
    <s v="CIVIL"/>
    <d v="2023-06-26T00:00:00"/>
    <d v="2023-07-06T19:21:01"/>
    <m/>
    <d v="2023-07-06T00:00:00"/>
    <n v="1421"/>
    <n v="18996"/>
    <s v="59708139"/>
    <s v="59708139"/>
    <m/>
    <m/>
    <n v="22758452"/>
    <m/>
    <m/>
    <m/>
    <s v="SOLFIN"/>
    <s v="SOLFIN"/>
    <s v="CCMS"/>
    <n v="21338306"/>
    <n v="13256.36"/>
    <m/>
    <s v="N"/>
    <n v="88"/>
    <d v="2023-07-06T19:21:18"/>
    <s v="Y"/>
    <s v="Attendance upon clien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14"/>
    <d v="2023-07-06T19:21:18"/>
    <s v="Y"/>
    <s v="Preparation - other"/>
    <s v="Care Remuneration Hourly Rates"/>
    <s v="Profit Cost"/>
    <s v="Martina Dutton"/>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6"/>
    <d v="2023-07-06T19:21:18"/>
    <s v="Y"/>
    <s v="Court Fee"/>
    <s v="Care Remuneration Hourly Rates"/>
    <s v="Non Expert Disbursement"/>
    <s v="Suzanne Waterfield"/>
    <s v="Y"/>
    <n v="167"/>
    <n v="0"/>
    <x v="4"/>
    <s v="VALIDATED"/>
    <n v="1"/>
    <s v="01.11.80.308.6300.0000"/>
    <n v="167"/>
    <s v="11"/>
    <s v="6300"/>
    <n v="4602.52"/>
    <n v="167"/>
    <s v="CREDITOR"/>
    <n v="0"/>
    <n v="0"/>
    <n v="0"/>
    <n v="0"/>
    <n v="167"/>
  </r>
  <r>
    <n v="59708139"/>
    <s v="N"/>
    <n v="21338306"/>
    <s v="3000014090840013"/>
    <s v="CIVIL"/>
    <d v="2023-06-26T00:00:00"/>
    <d v="2023-07-06T19:21:01"/>
    <m/>
    <d v="2023-07-06T00:00:00"/>
    <n v="1421"/>
    <n v="18996"/>
    <s v="59708139"/>
    <s v="59708139"/>
    <m/>
    <m/>
    <n v="22758452"/>
    <m/>
    <m/>
    <m/>
    <s v="SOLFIN"/>
    <s v="SOLFIN"/>
    <s v="CCMS"/>
    <n v="21338306"/>
    <n v="13256.36"/>
    <m/>
    <s v="N"/>
    <n v="94"/>
    <d v="2023-07-06T19:21:18"/>
    <s v="Y"/>
    <s v="Preparation - other"/>
    <s v="Care Remuneration Hourly Rates"/>
    <s v="Profit Cost"/>
    <s v="Suzanne Waterfield"/>
    <s v="Y"/>
    <n v="42.32"/>
    <n v="8.460000000000001"/>
    <x v="4"/>
    <s v="VALIDATED"/>
    <n v="1"/>
    <s v="01.11.80.308.6100.0000"/>
    <n v="42.32"/>
    <s v="11"/>
    <s v="6100"/>
    <n v="4602.52"/>
    <n v="42.32"/>
    <s v="CREDITOR"/>
    <n v="0"/>
    <n v="0"/>
    <n v="0"/>
    <n v="0"/>
    <n v="42.32"/>
  </r>
  <r>
    <n v="59708139"/>
    <s v="N"/>
    <n v="21338306"/>
    <s v="3000014090840013"/>
    <s v="CIVIL"/>
    <d v="2023-06-26T00:00:00"/>
    <d v="2023-07-06T19:21:01"/>
    <m/>
    <d v="2023-07-06T00:00:00"/>
    <n v="1421"/>
    <n v="18996"/>
    <s v="59708139"/>
    <s v="59708139"/>
    <m/>
    <m/>
    <n v="22758452"/>
    <m/>
    <m/>
    <m/>
    <s v="SOLFIN"/>
    <s v="SOLFIN"/>
    <s v="CCMS"/>
    <n v="21338306"/>
    <n v="13256.36"/>
    <m/>
    <s v="N"/>
    <n v="89"/>
    <d v="2023-07-06T19:21:18"/>
    <s v="Y"/>
    <s v="Preparation - drafting attendance n"/>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2"/>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40"/>
    <d v="2023-07-06T19:21:18"/>
    <s v="Y"/>
    <s v="Attendance upon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3"/>
    <d v="2023-07-06T19:21:18"/>
    <s v="Y"/>
    <s v="Solicitor Travel Mileage"/>
    <s v="Care Remuneration Hourly Rates"/>
    <s v="Non Expert Disbursement"/>
    <s v="Suzanne Waterfield"/>
    <s v="Y"/>
    <n v="6.75"/>
    <n v="1.35"/>
    <x v="4"/>
    <s v="VALIDATED"/>
    <n v="1"/>
    <s v="01.11.80.308.6300.0000"/>
    <n v="6.75"/>
    <s v="11"/>
    <s v="6300"/>
    <n v="4602.52"/>
    <n v="6.75"/>
    <s v="CREDITOR"/>
    <n v="0"/>
    <n v="0"/>
    <n v="0"/>
    <n v="0"/>
    <n v="6.75"/>
  </r>
  <r>
    <n v="59708139"/>
    <s v="N"/>
    <n v="21338306"/>
    <s v="3000014090840013"/>
    <s v="CIVIL"/>
    <d v="2023-06-26T00:00:00"/>
    <d v="2023-07-06T19:21:01"/>
    <m/>
    <d v="2023-07-06T00:00:00"/>
    <n v="1421"/>
    <n v="18996"/>
    <s v="59708139"/>
    <s v="59708139"/>
    <m/>
    <m/>
    <n v="22758452"/>
    <m/>
    <m/>
    <m/>
    <s v="SOLFIN"/>
    <s v="SOLFIN"/>
    <s v="CCMS"/>
    <n v="21338306"/>
    <n v="13256.36"/>
    <m/>
    <s v="N"/>
    <n v="11"/>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24"/>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51"/>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05"/>
    <d v="2023-07-06T19:21:18"/>
    <s v="Y"/>
    <s v="Preparation - drafting instructions"/>
    <s v="Care Remuneration Hourly Rates"/>
    <s v="Profit Cost"/>
    <s v="Suzanne Waterfield"/>
    <s v="Y"/>
    <n v="30.23"/>
    <n v="6.05"/>
    <x v="4"/>
    <s v="VALIDATED"/>
    <n v="1"/>
    <s v="01.11.80.308.6100.0000"/>
    <n v="30.23"/>
    <s v="11"/>
    <s v="6100"/>
    <n v="4602.52"/>
    <n v="30.23"/>
    <s v="CREDITOR"/>
    <n v="0"/>
    <n v="0"/>
    <n v="0"/>
    <n v="0"/>
    <n v="30.23"/>
  </r>
  <r>
    <n v="59708139"/>
    <s v="N"/>
    <n v="21338306"/>
    <s v="3000014090840013"/>
    <s v="CIVIL"/>
    <d v="2023-06-26T00:00:00"/>
    <d v="2023-07-06T19:21:01"/>
    <m/>
    <d v="2023-07-06T00:00:00"/>
    <n v="1421"/>
    <n v="18996"/>
    <s v="59708139"/>
    <s v="59708139"/>
    <m/>
    <m/>
    <n v="22758452"/>
    <m/>
    <m/>
    <m/>
    <s v="SOLFIN"/>
    <s v="SOLFIN"/>
    <s v="CCMS"/>
    <n v="21338306"/>
    <n v="13256.36"/>
    <m/>
    <s v="N"/>
    <n v="123"/>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39"/>
    <d v="2023-07-06T19:21:18"/>
    <s v="Y"/>
    <s v="Hearing Unit 1.01 - 2.30 Hours"/>
    <s v="Public Law Children"/>
    <s v="Advocacy"/>
    <s v="Suzanne Waterfield"/>
    <s v="Y"/>
    <n v="238.46"/>
    <n v="47.69"/>
    <x v="4"/>
    <s v="VALIDATED"/>
    <n v="1"/>
    <s v="01.11.80.308.6100.0000"/>
    <n v="238.46"/>
    <s v="11"/>
    <s v="6100"/>
    <n v="4602.52"/>
    <n v="238.46"/>
    <s v="CREDITOR"/>
    <n v="0"/>
    <n v="0"/>
    <n v="0"/>
    <n v="0"/>
    <n v="238.46"/>
  </r>
  <r>
    <n v="59708139"/>
    <s v="N"/>
    <n v="21338306"/>
    <s v="3000014090840013"/>
    <s v="CIVIL"/>
    <d v="2023-06-26T00:00:00"/>
    <d v="2023-07-06T19:21:01"/>
    <m/>
    <d v="2023-07-06T00:00:00"/>
    <n v="1421"/>
    <n v="18996"/>
    <s v="59708139"/>
    <s v="59708139"/>
    <m/>
    <m/>
    <n v="22758452"/>
    <m/>
    <m/>
    <m/>
    <s v="SOLFIN"/>
    <s v="SOLFIN"/>
    <s v="CCMS"/>
    <n v="21338306"/>
    <n v="13256.36"/>
    <m/>
    <s v="N"/>
    <n v="30"/>
    <d v="2023-07-06T19:21:18"/>
    <s v="Y"/>
    <s v="Attendance upon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45"/>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47"/>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52"/>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18"/>
    <d v="2023-07-06T19:21:18"/>
    <s v="Y"/>
    <s v="Preparation - drafting attendance n"/>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4"/>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13"/>
    <d v="2023-07-06T19:21:18"/>
    <s v="Y"/>
    <s v="Attendance upon clien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38"/>
    <d v="2023-07-06T19:21:18"/>
    <s v="Y"/>
    <s v="Hearing Unit 1.01 - 2.30 Hours"/>
    <s v="Public Law Children"/>
    <s v="Advocacy"/>
    <s v="Suzanne Waterfield"/>
    <s v="Y"/>
    <n v="238.46"/>
    <n v="47.69"/>
    <x v="4"/>
    <s v="VALIDATED"/>
    <n v="1"/>
    <s v="01.11.80.308.6100.0000"/>
    <n v="238.46"/>
    <s v="11"/>
    <s v="6100"/>
    <n v="4602.52"/>
    <n v="238.46"/>
    <s v="CREDITOR"/>
    <n v="0"/>
    <n v="0"/>
    <n v="0"/>
    <n v="0"/>
    <n v="238.46"/>
  </r>
  <r>
    <n v="59708139"/>
    <s v="N"/>
    <n v="21338306"/>
    <s v="3000014090840013"/>
    <s v="CIVIL"/>
    <d v="2023-06-26T00:00:00"/>
    <d v="2023-07-06T19:21:01"/>
    <m/>
    <d v="2023-07-06T00:00:00"/>
    <n v="1421"/>
    <n v="18996"/>
    <s v="59708139"/>
    <s v="59708139"/>
    <m/>
    <m/>
    <n v="22758452"/>
    <m/>
    <m/>
    <m/>
    <s v="SOLFIN"/>
    <s v="SOLFIN"/>
    <s v="CCMS"/>
    <n v="21338306"/>
    <n v="13256.36"/>
    <m/>
    <s v="N"/>
    <n v="4"/>
    <d v="2023-07-06T19:21:18"/>
    <s v="Y"/>
    <s v="Independent Social Worker"/>
    <s v="Care Remuneration Hourly Rates"/>
    <s v="Expert Disbursement"/>
    <s v="Suzanne Waterfield"/>
    <s v="Y"/>
    <n v="735.5"/>
    <n v="147.11"/>
    <x v="4"/>
    <s v="VALIDATED"/>
    <n v="1"/>
    <s v="01.11.80.308.6300.0000"/>
    <n v="735.5"/>
    <s v="11"/>
    <s v="6300"/>
    <n v="4602.52"/>
    <n v="735.5"/>
    <s v="CREDITOR"/>
    <n v="0"/>
    <n v="0"/>
    <n v="0"/>
    <n v="0"/>
    <n v="735.5"/>
  </r>
  <r>
    <n v="59708139"/>
    <s v="N"/>
    <n v="21338306"/>
    <s v="3000014090840013"/>
    <s v="CIVIL"/>
    <d v="2023-06-26T00:00:00"/>
    <d v="2023-07-06T19:21:01"/>
    <m/>
    <d v="2023-07-06T00:00:00"/>
    <n v="1421"/>
    <n v="18996"/>
    <s v="59708139"/>
    <s v="59708139"/>
    <m/>
    <m/>
    <n v="22758452"/>
    <m/>
    <m/>
    <m/>
    <s v="SOLFIN"/>
    <s v="SOLFIN"/>
    <s v="CCMS"/>
    <n v="21338306"/>
    <n v="13256.36"/>
    <m/>
    <s v="N"/>
    <n v="54"/>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56"/>
    <d v="2023-07-06T19:21:18"/>
    <s v="Y"/>
    <s v="Attendance upon client"/>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28"/>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33"/>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69"/>
    <d v="2023-07-06T19:21:18"/>
    <s v="Y"/>
    <s v="Preparation - drafting application"/>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08"/>
    <d v="2023-07-06T19:21:18"/>
    <s v="Y"/>
    <s v="Attendance upon/with Counsel at Con"/>
    <s v="Care Remuneration Hourly Rates"/>
    <s v="Profit Cost"/>
    <s v="Suzanne Waterfield"/>
    <s v="Y"/>
    <n v="13.52"/>
    <n v="2.7"/>
    <x v="4"/>
    <s v="VALIDATED"/>
    <n v="1"/>
    <s v="01.11.80.308.6100.0000"/>
    <n v="13.52"/>
    <s v="11"/>
    <s v="6100"/>
    <n v="4602.52"/>
    <n v="13.52"/>
    <s v="CREDITOR"/>
    <n v="0"/>
    <n v="0"/>
    <n v="0"/>
    <n v="0"/>
    <n v="13.52"/>
  </r>
  <r>
    <n v="59708139"/>
    <s v="N"/>
    <n v="21338306"/>
    <s v="3000014090840013"/>
    <s v="CIVIL"/>
    <d v="2023-06-26T00:00:00"/>
    <d v="2023-07-06T19:21:01"/>
    <m/>
    <d v="2023-07-06T00:00:00"/>
    <n v="1421"/>
    <n v="18996"/>
    <s v="59708139"/>
    <s v="59708139"/>
    <m/>
    <m/>
    <n v="22758452"/>
    <m/>
    <m/>
    <m/>
    <s v="SOLFIN"/>
    <s v="SOLFIN"/>
    <s v="CCMS"/>
    <n v="21338306"/>
    <n v="13256.36"/>
    <m/>
    <s v="N"/>
    <n v="125"/>
    <d v="2023-07-06T19:21:18"/>
    <s v="Y"/>
    <s v="Preparation - other"/>
    <s v="Care Remuneration Hourly Rates"/>
    <s v="Profit Cost"/>
    <s v="Martina Dutton"/>
    <s v="Y"/>
    <n v="24.18"/>
    <n v="4.84"/>
    <x v="4"/>
    <s v="VALIDATED"/>
    <n v="1"/>
    <s v="01.11.80.308.6100.0000"/>
    <n v="24.18"/>
    <s v="11"/>
    <s v="6100"/>
    <n v="4602.52"/>
    <n v="24.18"/>
    <s v="CREDITOR"/>
    <n v="0"/>
    <n v="0"/>
    <n v="0"/>
    <n v="0"/>
    <n v="24.18"/>
  </r>
  <r>
    <n v="59708139"/>
    <s v="N"/>
    <n v="21338306"/>
    <s v="3000014090840013"/>
    <s v="CIVIL"/>
    <d v="2023-06-26T00:00:00"/>
    <d v="2023-07-06T19:21:01"/>
    <m/>
    <d v="2023-07-06T00:00:00"/>
    <n v="1421"/>
    <n v="18996"/>
    <s v="59708139"/>
    <s v="59708139"/>
    <m/>
    <m/>
    <n v="22758452"/>
    <m/>
    <m/>
    <m/>
    <s v="SOLFIN"/>
    <s v="SOLFIN"/>
    <s v="CCMS"/>
    <n v="21338306"/>
    <n v="13256.36"/>
    <m/>
    <s v="N"/>
    <n v="137"/>
    <d v="2023-07-06T19:21:18"/>
    <s v="Y"/>
    <s v="Hearing Unit 2.31 - 5.00 Hours"/>
    <s v="Public Law Children"/>
    <s v="Advocacy"/>
    <s v="Suzanne Waterfield"/>
    <s v="Y"/>
    <n v="476.92"/>
    <n v="95.39"/>
    <x v="4"/>
    <s v="VALIDATED"/>
    <n v="1"/>
    <s v="01.11.80.308.6100.0000"/>
    <n v="476.92"/>
    <s v="11"/>
    <s v="6100"/>
    <n v="4602.52"/>
    <n v="476.92"/>
    <s v="CREDITOR"/>
    <n v="0"/>
    <n v="0"/>
    <n v="0"/>
    <n v="0"/>
    <n v="476.92"/>
  </r>
  <r>
    <n v="59708139"/>
    <s v="N"/>
    <n v="21338306"/>
    <s v="3000014090840013"/>
    <s v="CIVIL"/>
    <d v="2023-06-26T00:00:00"/>
    <d v="2023-07-06T19:21:01"/>
    <m/>
    <d v="2023-07-06T00:00:00"/>
    <n v="1421"/>
    <n v="18996"/>
    <s v="59708139"/>
    <s v="59708139"/>
    <m/>
    <m/>
    <n v="22758452"/>
    <m/>
    <m/>
    <m/>
    <s v="SOLFIN"/>
    <s v="SOLFIN"/>
    <s v="CCMS"/>
    <n v="21338306"/>
    <n v="13256.36"/>
    <m/>
    <s v="N"/>
    <n v="70"/>
    <d v="2023-07-06T19:21:18"/>
    <s v="Y"/>
    <s v="Preparation - other"/>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81"/>
    <d v="2023-07-06T19:21:18"/>
    <s v="Y"/>
    <s v="Preparation - other"/>
    <s v="Care Remuneration Hourly Rates"/>
    <s v="Profit Cost"/>
    <s v="Martina Dutton"/>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7"/>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27"/>
    <d v="2023-07-06T19:21:18"/>
    <s v="Y"/>
    <s v="Preparation - drafting application"/>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68"/>
    <d v="2023-07-06T19:21:18"/>
    <s v="Y"/>
    <s v="Travel to attend client"/>
    <s v="Care Remuneration Hourly Rates"/>
    <s v="Profit Cost"/>
    <s v="Suzanne Waterfield"/>
    <s v="Y"/>
    <n v="45.36"/>
    <n v="9.07"/>
    <x v="4"/>
    <s v="VALIDATED"/>
    <n v="1"/>
    <s v="01.11.80.308.6100.0000"/>
    <n v="45.36"/>
    <s v="11"/>
    <s v="6100"/>
    <n v="4602.52"/>
    <n v="45.36"/>
    <s v="CREDITOR"/>
    <n v="0"/>
    <n v="0"/>
    <n v="0"/>
    <n v="0"/>
    <n v="45.36"/>
  </r>
  <r>
    <n v="59708139"/>
    <s v="N"/>
    <n v="21338306"/>
    <s v="3000014090840013"/>
    <s v="CIVIL"/>
    <d v="2023-06-26T00:00:00"/>
    <d v="2023-07-06T19:21:01"/>
    <m/>
    <d v="2023-07-06T00:00:00"/>
    <n v="1421"/>
    <n v="18996"/>
    <s v="59708139"/>
    <s v="59708139"/>
    <m/>
    <m/>
    <n v="22758452"/>
    <m/>
    <m/>
    <m/>
    <s v="SOLFIN"/>
    <s v="SOLFIN"/>
    <s v="CCMS"/>
    <n v="21338306"/>
    <n v="13256.36"/>
    <m/>
    <s v="N"/>
    <n v="2"/>
    <d v="2023-07-06T19:21:18"/>
    <s v="Y"/>
    <s v="Solicitor Travel Expenses"/>
    <s v="Care Remuneration Hourly Rates"/>
    <s v="Non Expert Disbursement"/>
    <s v="Suzanne Waterfield"/>
    <s v="Y"/>
    <n v="7.2"/>
    <n v="0"/>
    <x v="4"/>
    <s v="VALIDATED"/>
    <n v="1"/>
    <s v="01.11.80.308.6300.0000"/>
    <n v="7.2"/>
    <s v="11"/>
    <s v="6300"/>
    <n v="4602.52"/>
    <n v="7.2"/>
    <s v="CREDITOR"/>
    <n v="0"/>
    <n v="0"/>
    <n v="0"/>
    <n v="0"/>
    <n v="7.2"/>
  </r>
  <r>
    <n v="59708139"/>
    <s v="N"/>
    <n v="21338306"/>
    <s v="3000014090840013"/>
    <s v="CIVIL"/>
    <d v="2023-06-26T00:00:00"/>
    <d v="2023-07-06T19:21:01"/>
    <m/>
    <d v="2023-07-06T00:00:00"/>
    <n v="1421"/>
    <n v="18996"/>
    <s v="59708139"/>
    <s v="59708139"/>
    <m/>
    <m/>
    <n v="22758452"/>
    <m/>
    <m/>
    <m/>
    <s v="SOLFIN"/>
    <s v="SOLFIN"/>
    <s v="CCMS"/>
    <n v="21338306"/>
    <n v="13256.36"/>
    <m/>
    <s v="N"/>
    <n v="22"/>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15"/>
    <d v="2023-07-06T19:21:18"/>
    <s v="Y"/>
    <s v="Travel to attend client"/>
    <s v="Care Remuneration Hourly Rates"/>
    <s v="Profit Cost"/>
    <s v="Suzanne Waterfield"/>
    <s v="Y"/>
    <n v="57.44"/>
    <n v="11.49"/>
    <x v="4"/>
    <s v="VALIDATED"/>
    <n v="1"/>
    <s v="01.11.80.308.6100.0000"/>
    <n v="57.44"/>
    <s v="11"/>
    <s v="6100"/>
    <n v="4602.52"/>
    <n v="57.44"/>
    <s v="CREDITOR"/>
    <n v="0"/>
    <n v="0"/>
    <n v="0"/>
    <n v="0"/>
    <n v="57.44"/>
  </r>
  <r>
    <n v="59708139"/>
    <s v="N"/>
    <n v="21338306"/>
    <s v="3000014090840013"/>
    <s v="CIVIL"/>
    <d v="2023-06-26T00:00:00"/>
    <d v="2023-07-06T19:21:01"/>
    <m/>
    <d v="2023-07-06T00:00:00"/>
    <n v="1421"/>
    <n v="18996"/>
    <s v="59708139"/>
    <s v="59708139"/>
    <m/>
    <m/>
    <n v="22758452"/>
    <m/>
    <m/>
    <m/>
    <s v="SOLFIN"/>
    <s v="SOLFIN"/>
    <s v="CCMS"/>
    <n v="21338306"/>
    <n v="13256.36"/>
    <m/>
    <s v="N"/>
    <n v="120"/>
    <d v="2023-07-06T19:21:18"/>
    <s v="Y"/>
    <s v="Attendance upon client"/>
    <s v="Care Remuneration Hourly Rates"/>
    <s v="Profit Cost"/>
    <s v="Martina Dutton"/>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29"/>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16"/>
    <d v="2023-07-06T19:21:18"/>
    <s v="Y"/>
    <s v="Preparation - other"/>
    <s v="Care Remuneration Hourly Rates"/>
    <s v="Profit Cost"/>
    <s v="Martina Dutton"/>
    <s v="Y"/>
    <n v="120.91"/>
    <n v="24.18"/>
    <x v="4"/>
    <s v="VALIDATED"/>
    <n v="1"/>
    <s v="01.11.80.308.6100.0000"/>
    <n v="120.91"/>
    <s v="11"/>
    <s v="6100"/>
    <n v="4602.52"/>
    <n v="120.91"/>
    <s v="CREDITOR"/>
    <n v="0"/>
    <n v="0"/>
    <n v="0"/>
    <n v="0"/>
    <n v="120.91"/>
  </r>
  <r>
    <n v="59708139"/>
    <s v="N"/>
    <n v="21338306"/>
    <s v="3000014090840013"/>
    <s v="CIVIL"/>
    <d v="2023-06-26T00:00:00"/>
    <d v="2023-07-06T19:21:01"/>
    <m/>
    <d v="2023-07-06T00:00:00"/>
    <n v="1421"/>
    <n v="18996"/>
    <s v="59708139"/>
    <s v="59708139"/>
    <m/>
    <m/>
    <n v="22758452"/>
    <m/>
    <m/>
    <m/>
    <s v="SOLFIN"/>
    <s v="SOLFIN"/>
    <s v="CCMS"/>
    <n v="21338306"/>
    <n v="13256.36"/>
    <m/>
    <s v="N"/>
    <n v="53"/>
    <d v="2023-07-06T19:21:18"/>
    <s v="Y"/>
    <s v="Preparation - other"/>
    <s v="Care Remuneration Hourly Rates"/>
    <s v="Profit Cost"/>
    <s v="Suzanne Waterfield"/>
    <s v="Y"/>
    <n v="48.37"/>
    <n v="9.67"/>
    <x v="4"/>
    <s v="VALIDATED"/>
    <n v="1"/>
    <s v="01.11.80.308.6100.0000"/>
    <n v="48.37"/>
    <s v="11"/>
    <s v="6100"/>
    <n v="4602.52"/>
    <n v="48.37"/>
    <s v="CREDITOR"/>
    <n v="0"/>
    <n v="0"/>
    <n v="0"/>
    <n v="0"/>
    <n v="48.37"/>
  </r>
  <r>
    <n v="59708139"/>
    <s v="N"/>
    <n v="21338306"/>
    <s v="3000014090840013"/>
    <s v="CIVIL"/>
    <d v="2023-06-26T00:00:00"/>
    <d v="2023-07-06T19:21:01"/>
    <m/>
    <d v="2023-07-06T00:00:00"/>
    <n v="1421"/>
    <n v="18996"/>
    <s v="59708139"/>
    <s v="59708139"/>
    <m/>
    <m/>
    <n v="22758452"/>
    <m/>
    <m/>
    <m/>
    <s v="SOLFIN"/>
    <s v="SOLFIN"/>
    <s v="CCMS"/>
    <n v="21338306"/>
    <n v="13256.36"/>
    <m/>
    <s v="N"/>
    <n v="60"/>
    <d v="2023-07-06T19:21:18"/>
    <s v="Y"/>
    <s v="Routine Letter Out"/>
    <s v="Care Remuneration Hourly Rates"/>
    <s v="Profit Cost"/>
    <s v="Suzanne Waterfield"/>
    <s v="Y"/>
    <n v="1387.62"/>
    <n v="277.47"/>
    <x v="4"/>
    <s v="VALIDATED"/>
    <n v="1"/>
    <s v="01.11.80.308.6100.0000"/>
    <n v="1387.62"/>
    <s v="11"/>
    <s v="6100"/>
    <n v="4602.52"/>
    <n v="1387.62"/>
    <s v="CREDITOR"/>
    <n v="0"/>
    <n v="0"/>
    <n v="0"/>
    <n v="0"/>
    <n v="1387.62"/>
  </r>
  <r>
    <n v="59708139"/>
    <s v="N"/>
    <n v="21338306"/>
    <s v="3000014090840013"/>
    <s v="CIVIL"/>
    <d v="2023-06-26T00:00:00"/>
    <d v="2023-07-06T19:21:01"/>
    <m/>
    <d v="2023-07-06T00:00:00"/>
    <n v="1421"/>
    <n v="18996"/>
    <s v="59708139"/>
    <s v="59708139"/>
    <m/>
    <m/>
    <n v="22758452"/>
    <m/>
    <m/>
    <m/>
    <s v="SOLFIN"/>
    <s v="SOLFIN"/>
    <s v="CCMS"/>
    <n v="21338306"/>
    <n v="13256.36"/>
    <m/>
    <s v="N"/>
    <n v="80"/>
    <d v="2023-07-06T19:21:18"/>
    <s v="Y"/>
    <s v="Preparation - other"/>
    <s v="Care Remuneration Hourly Rates"/>
    <s v="Profit Cost"/>
    <s v="Martina Dutton"/>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00"/>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
    <d v="2023-07-06T19:21:18"/>
    <s v="Y"/>
    <s v="Psychologist"/>
    <s v="Care Remuneration Hourly Rates"/>
    <s v="Expert Disbursement"/>
    <s v="Suzanne Waterfield"/>
    <s v="Y"/>
    <n v="67.2"/>
    <n v="0"/>
    <x v="4"/>
    <s v="VALIDATED"/>
    <n v="1"/>
    <s v="01.11.80.308.6300.0000"/>
    <n v="67.2"/>
    <s v="11"/>
    <s v="6300"/>
    <n v="4602.52"/>
    <n v="67.2"/>
    <s v="CREDITOR"/>
    <n v="0"/>
    <n v="0"/>
    <n v="0"/>
    <n v="0"/>
    <n v="67.2"/>
  </r>
  <r>
    <n v="59708139"/>
    <s v="N"/>
    <n v="21338306"/>
    <s v="3000014090840013"/>
    <s v="CIVIL"/>
    <d v="2023-06-26T00:00:00"/>
    <d v="2023-07-06T19:21:01"/>
    <m/>
    <d v="2023-07-06T00:00:00"/>
    <n v="1421"/>
    <n v="18996"/>
    <s v="59708139"/>
    <s v="59708139"/>
    <m/>
    <m/>
    <n v="22758452"/>
    <m/>
    <m/>
    <m/>
    <s v="SOLFIN"/>
    <s v="SOLFIN"/>
    <s v="CCMS"/>
    <n v="21338306"/>
    <n v="13256.36"/>
    <m/>
    <s v="N"/>
    <n v="119"/>
    <d v="2023-07-06T19:21:18"/>
    <s v="Y"/>
    <s v="Attendance upon clien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7"/>
    <d v="2023-07-06T19:21:18"/>
    <s v="Y"/>
    <s v="Psychologist"/>
    <s v="Care Remuneration Hourly Rates"/>
    <s v="Expert Disbursement"/>
    <s v="Suzanne Waterfield"/>
    <s v="Y"/>
    <n v="1715.21"/>
    <n v="0"/>
    <x v="4"/>
    <s v="VALIDATED"/>
    <n v="1"/>
    <s v="01.11.80.308.6300.0000"/>
    <n v="1715.21"/>
    <s v="11"/>
    <s v="6300"/>
    <n v="4602.52"/>
    <n v="1715.21"/>
    <s v="CREDITOR"/>
    <n v="0"/>
    <n v="0"/>
    <n v="0"/>
    <n v="0"/>
    <n v="1715.21"/>
  </r>
  <r>
    <n v="59708139"/>
    <s v="N"/>
    <n v="21338306"/>
    <s v="3000014090840013"/>
    <s v="CIVIL"/>
    <d v="2023-06-26T00:00:00"/>
    <d v="2023-07-06T19:21:01"/>
    <m/>
    <d v="2023-07-06T00:00:00"/>
    <n v="1421"/>
    <n v="18996"/>
    <s v="59708139"/>
    <s v="59708139"/>
    <m/>
    <m/>
    <n v="22758452"/>
    <m/>
    <m/>
    <m/>
    <s v="SOLFIN"/>
    <s v="SOLFIN"/>
    <s v="CCMS"/>
    <n v="21338306"/>
    <n v="13256.36"/>
    <m/>
    <s v="N"/>
    <n v="131"/>
    <d v="2023-07-06T19:21:18"/>
    <s v="Y"/>
    <s v="Preparation - other"/>
    <s v="Care Remuneration Hourly Rates"/>
    <s v="Profit Cost"/>
    <s v="Martina Dutton"/>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48"/>
    <d v="2023-07-06T19:21:18"/>
    <s v="Y"/>
    <s v="Report - other expert's report"/>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34"/>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72"/>
    <d v="2023-07-06T19:21:18"/>
    <s v="Y"/>
    <s v="Attendance upon client"/>
    <s v="Care Remuneration Hourly Rates"/>
    <s v="Profit Cost"/>
    <s v="Suzanne Waterfield"/>
    <s v="Y"/>
    <n v="42.32"/>
    <n v="8.460000000000001"/>
    <x v="4"/>
    <s v="VALIDATED"/>
    <n v="1"/>
    <s v="01.11.80.308.6100.0000"/>
    <n v="42.32"/>
    <s v="11"/>
    <s v="6100"/>
    <n v="4602.52"/>
    <n v="42.32"/>
    <s v="CREDITOR"/>
    <n v="0"/>
    <n v="0"/>
    <n v="0"/>
    <n v="0"/>
    <n v="42.32"/>
  </r>
  <r>
    <n v="59708139"/>
    <s v="N"/>
    <n v="21338306"/>
    <s v="3000014090840013"/>
    <s v="CIVIL"/>
    <d v="2023-06-26T00:00:00"/>
    <d v="2023-07-06T19:21:01"/>
    <m/>
    <d v="2023-07-06T00:00:00"/>
    <n v="1421"/>
    <n v="18996"/>
    <s v="59708139"/>
    <s v="59708139"/>
    <m/>
    <m/>
    <n v="22758452"/>
    <m/>
    <m/>
    <m/>
    <s v="SOLFIN"/>
    <s v="SOLFIN"/>
    <s v="CCMS"/>
    <n v="21338306"/>
    <n v="13256.36"/>
    <m/>
    <s v="N"/>
    <n v="75"/>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07"/>
    <d v="2023-07-06T19:21:18"/>
    <s v="Y"/>
    <s v="Attendance upon/with Counsel at Con"/>
    <s v="Care Remuneration Hourly Rates"/>
    <s v="Profit Cost"/>
    <s v="Suzanne Waterfield"/>
    <s v="Y"/>
    <n v="10.14"/>
    <n v="2.03"/>
    <x v="4"/>
    <s v="VALIDATED"/>
    <n v="1"/>
    <s v="01.11.80.308.6100.0000"/>
    <n v="10.14"/>
    <s v="11"/>
    <s v="6100"/>
    <n v="4602.52"/>
    <n v="10.14"/>
    <s v="CREDITOR"/>
    <n v="0"/>
    <n v="0"/>
    <n v="0"/>
    <n v="0"/>
    <n v="10.14"/>
  </r>
  <r>
    <n v="59708139"/>
    <s v="N"/>
    <n v="21338306"/>
    <s v="3000014090840013"/>
    <s v="CIVIL"/>
    <d v="2023-06-26T00:00:00"/>
    <d v="2023-07-06T19:21:01"/>
    <m/>
    <d v="2023-07-06T00:00:00"/>
    <n v="1421"/>
    <n v="18996"/>
    <s v="59708139"/>
    <s v="59708139"/>
    <m/>
    <m/>
    <n v="22758452"/>
    <m/>
    <m/>
    <m/>
    <s v="SOLFIN"/>
    <s v="SOLFIN"/>
    <s v="CCMS"/>
    <n v="21338306"/>
    <n v="13256.36"/>
    <m/>
    <s v="N"/>
    <n v="112"/>
    <d v="2023-07-06T19:21:18"/>
    <s v="Y"/>
    <s v="Attendance upon/with Counsel at Con"/>
    <s v="Care Remuneration Hourly Rates"/>
    <s v="Profit Cost"/>
    <s v="Suzanne Waterfield"/>
    <s v="Y"/>
    <n v="10.14"/>
    <n v="2.03"/>
    <x v="4"/>
    <s v="VALIDATED"/>
    <n v="1"/>
    <s v="01.11.80.308.6100.0000"/>
    <n v="10.14"/>
    <s v="11"/>
    <s v="6100"/>
    <n v="4602.52"/>
    <n v="10.14"/>
    <s v="CREDITOR"/>
    <n v="0"/>
    <n v="0"/>
    <n v="0"/>
    <n v="0"/>
    <n v="10.14"/>
  </r>
  <r>
    <n v="59708139"/>
    <s v="N"/>
    <n v="21338306"/>
    <s v="3000014090840013"/>
    <s v="CIVIL"/>
    <d v="2023-06-26T00:00:00"/>
    <d v="2023-07-06T19:21:01"/>
    <m/>
    <d v="2023-07-06T00:00:00"/>
    <n v="1421"/>
    <n v="18996"/>
    <s v="59708139"/>
    <s v="59708139"/>
    <m/>
    <m/>
    <n v="22758452"/>
    <m/>
    <m/>
    <m/>
    <s v="SOLFIN"/>
    <s v="SOLFIN"/>
    <s v="CCMS"/>
    <n v="21338306"/>
    <n v="13256.36"/>
    <m/>
    <s v="N"/>
    <n v="20"/>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38"/>
    <d v="2023-07-06T19:21:18"/>
    <s v="Y"/>
    <s v="Report - other expert's report"/>
    <s v="Care Remuneration Hourly Rates"/>
    <s v="Profit Cost"/>
    <s v="Suzanne Waterfield"/>
    <s v="Y"/>
    <n v="139.05"/>
    <n v="27.81"/>
    <x v="4"/>
    <s v="VALIDATED"/>
    <n v="1"/>
    <s v="01.11.80.308.6100.0000"/>
    <n v="139.05"/>
    <s v="11"/>
    <s v="6100"/>
    <n v="4602.52"/>
    <n v="139.05"/>
    <s v="CREDITOR"/>
    <n v="0"/>
    <n v="0"/>
    <n v="0"/>
    <n v="0"/>
    <n v="139.05"/>
  </r>
  <r>
    <n v="59708139"/>
    <s v="N"/>
    <n v="21338306"/>
    <s v="3000014090840013"/>
    <s v="CIVIL"/>
    <d v="2023-06-26T00:00:00"/>
    <d v="2023-07-06T19:21:01"/>
    <m/>
    <d v="2023-07-06T00:00:00"/>
    <n v="1421"/>
    <n v="18996"/>
    <s v="59708139"/>
    <s v="59708139"/>
    <m/>
    <m/>
    <n v="22758452"/>
    <m/>
    <m/>
    <m/>
    <s v="SOLFIN"/>
    <s v="SOLFIN"/>
    <s v="CCMS"/>
    <n v="21338306"/>
    <n v="13256.36"/>
    <m/>
    <s v="N"/>
    <n v="109"/>
    <d v="2023-07-06T19:21:18"/>
    <s v="Y"/>
    <s v="Preparation - drafting attendance n"/>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5"/>
    <d v="2023-07-06T19:21:18"/>
    <s v="Y"/>
    <s v="Independent Social Worker"/>
    <s v="Care Remuneration Hourly Rates"/>
    <s v="Expert Disbursement"/>
    <s v="Suzanne Waterfield"/>
    <s v="Y"/>
    <n v="88"/>
    <n v="17.6"/>
    <x v="4"/>
    <s v="VALIDATED"/>
    <n v="1"/>
    <s v="01.11.80.308.6300.0000"/>
    <n v="88"/>
    <s v="11"/>
    <s v="6300"/>
    <n v="4602.52"/>
    <n v="88"/>
    <s v="CREDITOR"/>
    <n v="0"/>
    <n v="0"/>
    <n v="0"/>
    <n v="0"/>
    <n v="88"/>
  </r>
  <r>
    <n v="59708139"/>
    <s v="N"/>
    <n v="21338306"/>
    <s v="3000014090840013"/>
    <s v="CIVIL"/>
    <d v="2023-06-26T00:00:00"/>
    <d v="2023-07-06T19:21:01"/>
    <m/>
    <d v="2023-07-06T00:00:00"/>
    <n v="1421"/>
    <n v="18996"/>
    <s v="59708139"/>
    <s v="59708139"/>
    <m/>
    <m/>
    <n v="22758452"/>
    <m/>
    <m/>
    <m/>
    <s v="SOLFIN"/>
    <s v="SOLFIN"/>
    <s v="CCMS"/>
    <n v="21338306"/>
    <n v="13256.36"/>
    <m/>
    <s v="N"/>
    <n v="18"/>
    <d v="2023-07-06T19:21:18"/>
    <s v="Y"/>
    <s v="Attendance upon clien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42"/>
    <d v="2023-07-06T19:21:18"/>
    <s v="Y"/>
    <s v="Attendance upon/with Counsel at Con"/>
    <s v="Care Remuneration Hourly Rates"/>
    <s v="Profit Cost"/>
    <s v="Suzanne Waterfield"/>
    <s v="Y"/>
    <n v="6.76"/>
    <n v="1.35"/>
    <x v="4"/>
    <s v="VALIDATED"/>
    <n v="1"/>
    <s v="01.11.80.308.6100.0000"/>
    <n v="6.76"/>
    <s v="11"/>
    <s v="6100"/>
    <n v="4602.52"/>
    <n v="6.76"/>
    <s v="CREDITOR"/>
    <n v="0"/>
    <n v="0"/>
    <n v="0"/>
    <n v="0"/>
    <n v="6.76"/>
  </r>
  <r>
    <n v="59708139"/>
    <s v="N"/>
    <n v="21338306"/>
    <s v="3000014090840013"/>
    <s v="CIVIL"/>
    <d v="2023-06-26T00:00:00"/>
    <d v="2023-07-06T19:21:01"/>
    <m/>
    <d v="2023-07-06T00:00:00"/>
    <n v="1421"/>
    <n v="18996"/>
    <s v="59708139"/>
    <s v="59708139"/>
    <m/>
    <m/>
    <n v="22758452"/>
    <m/>
    <m/>
    <m/>
    <s v="SOLFIN"/>
    <s v="SOLFIN"/>
    <s v="CCMS"/>
    <n v="21338306"/>
    <n v="13256.36"/>
    <m/>
    <s v="N"/>
    <n v="50"/>
    <d v="2023-07-06T19:21:18"/>
    <s v="Y"/>
    <s v="Preparation - drafting application"/>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96"/>
    <d v="2023-07-06T19:21:18"/>
    <s v="Y"/>
    <s v="Preparation - other"/>
    <s v="Care Remuneration Hourly Rates"/>
    <s v="Profit Cost"/>
    <s v="Martina Dutton"/>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22"/>
    <d v="2023-07-06T19:21:18"/>
    <s v="Y"/>
    <s v="Preparation - other"/>
    <s v="Care Remuneration Hourly Rates"/>
    <s v="Profit Cost"/>
    <s v="Martina Dutton"/>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6"/>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44"/>
    <d v="2023-07-06T19:21:18"/>
    <s v="Y"/>
    <s v="Advocates Meeting"/>
    <s v="Public Law Children"/>
    <s v="Advocacy"/>
    <s v="Martina Dutton"/>
    <s v="Y"/>
    <n v="140.99"/>
    <n v="28.2"/>
    <x v="4"/>
    <s v="VALIDATED"/>
    <n v="1"/>
    <s v="01.11.80.308.6100.0000"/>
    <n v="140.99"/>
    <s v="11"/>
    <s v="6100"/>
    <n v="4602.52"/>
    <n v="140.99"/>
    <s v="CREDITOR"/>
    <n v="0"/>
    <n v="0"/>
    <n v="0"/>
    <n v="0"/>
    <n v="140.99"/>
  </r>
  <r>
    <n v="59708139"/>
    <s v="N"/>
    <n v="21338306"/>
    <s v="3000014090840013"/>
    <s v="CIVIL"/>
    <d v="2023-06-26T00:00:00"/>
    <d v="2023-07-06T19:21:01"/>
    <m/>
    <d v="2023-07-06T00:00:00"/>
    <n v="1421"/>
    <n v="18996"/>
    <s v="59708139"/>
    <s v="59708139"/>
    <m/>
    <m/>
    <n v="22758452"/>
    <m/>
    <m/>
    <m/>
    <s v="SOLFIN"/>
    <s v="SOLFIN"/>
    <s v="CCMS"/>
    <n v="21338306"/>
    <n v="13256.36"/>
    <m/>
    <s v="N"/>
    <n v="78"/>
    <d v="2023-07-06T19:21:18"/>
    <s v="Y"/>
    <s v="Preparation - drafting attendance n"/>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57"/>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103"/>
    <d v="2023-07-06T19:21:18"/>
    <s v="Y"/>
    <s v="Attendance upon client"/>
    <s v="Care Remuneration Hourly Rates"/>
    <s v="Profit Cost"/>
    <s v="Suzanne Waterfield"/>
    <s v="Y"/>
    <n v="60.46"/>
    <n v="12.09"/>
    <x v="4"/>
    <s v="VALIDATED"/>
    <n v="1"/>
    <s v="01.11.80.308.6100.0000"/>
    <n v="60.46"/>
    <s v="11"/>
    <s v="6100"/>
    <n v="4602.52"/>
    <n v="60.46"/>
    <s v="CREDITOR"/>
    <n v="0"/>
    <n v="0"/>
    <n v="0"/>
    <n v="0"/>
    <n v="60.46"/>
  </r>
  <r>
    <n v="59708139"/>
    <s v="N"/>
    <n v="21338306"/>
    <s v="3000014090840013"/>
    <s v="CIVIL"/>
    <d v="2023-06-26T00:00:00"/>
    <d v="2023-07-06T19:21:01"/>
    <m/>
    <d v="2023-07-06T00:00:00"/>
    <n v="1421"/>
    <n v="18996"/>
    <s v="59708139"/>
    <s v="59708139"/>
    <m/>
    <m/>
    <n v="22758452"/>
    <m/>
    <m/>
    <m/>
    <s v="SOLFIN"/>
    <s v="SOLFIN"/>
    <s v="CCMS"/>
    <n v="21338306"/>
    <n v="13256.36"/>
    <m/>
    <s v="N"/>
    <n v="135"/>
    <d v="2023-07-06T19:21:18"/>
    <s v="Y"/>
    <s v="Preparation - other"/>
    <s v="Care Remuneration Hourly Rates"/>
    <s v="Profit Cost"/>
    <s v="Martina Dutton"/>
    <s v="Y"/>
    <n v="30.23"/>
    <n v="6.05"/>
    <x v="4"/>
    <s v="VALIDATED"/>
    <n v="1"/>
    <s v="01.11.80.308.6100.0000"/>
    <n v="30.23"/>
    <s v="11"/>
    <s v="6100"/>
    <n v="4602.52"/>
    <n v="30.23"/>
    <s v="CREDITOR"/>
    <n v="0"/>
    <n v="0"/>
    <n v="0"/>
    <n v="0"/>
    <n v="30.23"/>
  </r>
  <r>
    <n v="59708139"/>
    <s v="N"/>
    <n v="21338306"/>
    <s v="3000014090840013"/>
    <s v="CIVIL"/>
    <d v="2023-06-26T00:00:00"/>
    <d v="2023-07-06T19:21:01"/>
    <m/>
    <d v="2023-07-06T00:00:00"/>
    <n v="1421"/>
    <n v="18996"/>
    <s v="59708139"/>
    <s v="59708139"/>
    <m/>
    <m/>
    <n v="22758452"/>
    <m/>
    <m/>
    <m/>
    <s v="SOLFIN"/>
    <s v="SOLFIN"/>
    <s v="CCMS"/>
    <n v="21338306"/>
    <n v="13256.36"/>
    <m/>
    <s v="N"/>
    <n v="34"/>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39"/>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49"/>
    <d v="2023-07-06T19:21:18"/>
    <s v="Y"/>
    <s v="Preparation - other"/>
    <s v="Care Remuneration Hourly Rates"/>
    <s v="Profit Cost"/>
    <s v="Suzanne Waterfield"/>
    <s v="Y"/>
    <n v="6.05"/>
    <n v="1.21"/>
    <x v="4"/>
    <s v="VALIDATED"/>
    <n v="1"/>
    <s v="01.11.80.308.6100.0000"/>
    <n v="6.05"/>
    <s v="11"/>
    <s v="6100"/>
    <n v="4602.52"/>
    <n v="6.05"/>
    <s v="CREDITOR"/>
    <n v="0"/>
    <n v="0"/>
    <n v="0"/>
    <n v="0"/>
    <n v="6.05"/>
  </r>
  <r>
    <n v="59708139"/>
    <s v="N"/>
    <n v="21338306"/>
    <s v="3000014090840013"/>
    <s v="CIVIL"/>
    <d v="2023-06-26T00:00:00"/>
    <d v="2023-07-06T19:21:01"/>
    <m/>
    <d v="2023-07-06T00:00:00"/>
    <n v="1421"/>
    <n v="18996"/>
    <s v="59708139"/>
    <s v="59708139"/>
    <m/>
    <m/>
    <n v="22758452"/>
    <m/>
    <m/>
    <m/>
    <s v="SOLFIN"/>
    <s v="SOLFIN"/>
    <s v="CCMS"/>
    <n v="21338306"/>
    <n v="13256.36"/>
    <m/>
    <s v="N"/>
    <n v="58"/>
    <d v="2023-07-06T19:21:18"/>
    <s v="Y"/>
    <s v="Routine Letter Out"/>
    <s v="Care Remuneration Hourly Rates"/>
    <s v="Profit Cost"/>
    <s v="Martina Dutton"/>
    <s v="Y"/>
    <n v="288.56"/>
    <n v="57.72"/>
    <x v="4"/>
    <s v="VALIDATED"/>
    <n v="1"/>
    <s v="01.11.80.308.6100.0000"/>
    <n v="288.56"/>
    <s v="11"/>
    <s v="6100"/>
    <n v="4602.52"/>
    <n v="288.56"/>
    <s v="CREDITOR"/>
    <n v="0"/>
    <n v="0"/>
    <n v="0"/>
    <n v="0"/>
    <n v="288.56"/>
  </r>
  <r>
    <n v="59708139"/>
    <s v="N"/>
    <n v="21338306"/>
    <s v="3000014090840013"/>
    <s v="CIVIL"/>
    <d v="2023-06-26T00:00:00"/>
    <d v="2023-07-06T19:21:01"/>
    <m/>
    <d v="2023-07-06T00:00:00"/>
    <n v="1421"/>
    <n v="18996"/>
    <s v="59708139"/>
    <s v="59708139"/>
    <m/>
    <m/>
    <n v="22758452"/>
    <m/>
    <m/>
    <m/>
    <s v="SOLFIN"/>
    <s v="SOLFIN"/>
    <s v="CCMS"/>
    <n v="21338306"/>
    <n v="13256.36"/>
    <m/>
    <s v="N"/>
    <n v="74"/>
    <d v="2023-07-06T19:21:18"/>
    <s v="Y"/>
    <s v="Preparation - other"/>
    <s v="Care Remuneration Hourly Rates"/>
    <s v="Profit Cost"/>
    <s v="Suzanne Waterfield"/>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84"/>
    <d v="2023-07-06T19:21:18"/>
    <s v="Y"/>
    <s v="Preparation - other"/>
    <s v="Care Remuneration Hourly Rates"/>
    <s v="Profit Cost"/>
    <s v="Martina Dutton"/>
    <s v="Y"/>
    <n v="12.09"/>
    <n v="2.42"/>
    <x v="4"/>
    <s v="VALIDATED"/>
    <n v="1"/>
    <s v="01.11.80.308.6100.0000"/>
    <n v="12.09"/>
    <s v="11"/>
    <s v="6100"/>
    <n v="4602.52"/>
    <n v="12.09"/>
    <s v="CREDITOR"/>
    <n v="0"/>
    <n v="0"/>
    <n v="0"/>
    <n v="0"/>
    <n v="12.09"/>
  </r>
  <r>
    <n v="59708139"/>
    <s v="N"/>
    <n v="21338306"/>
    <s v="3000014090840013"/>
    <s v="CIVIL"/>
    <d v="2023-06-26T00:00:00"/>
    <d v="2023-07-06T19:21:01"/>
    <m/>
    <d v="2023-07-06T00:00:00"/>
    <n v="1421"/>
    <n v="18996"/>
    <s v="59708139"/>
    <s v="59708139"/>
    <m/>
    <m/>
    <n v="22758452"/>
    <m/>
    <m/>
    <m/>
    <s v="SOLFIN"/>
    <s v="SOLFIN"/>
    <s v="CCMS"/>
    <n v="21338306"/>
    <n v="13256.36"/>
    <m/>
    <s v="N"/>
    <n v="106"/>
    <d v="2023-07-06T19:21:18"/>
    <s v="Y"/>
    <s v="Preparation - drafting attendance n"/>
    <s v="Care Remuneration Hourly Rates"/>
    <s v="Profit Cost"/>
    <s v="Suzanne Waterfield"/>
    <s v="Y"/>
    <n v="24.18"/>
    <n v="4.84"/>
    <x v="4"/>
    <s v="VALIDATED"/>
    <n v="1"/>
    <s v="01.11.80.308.6100.0000"/>
    <n v="24.18"/>
    <s v="11"/>
    <s v="6100"/>
    <n v="4602.52"/>
    <n v="24.18"/>
    <s v="CREDITOR"/>
    <n v="0"/>
    <n v="0"/>
    <n v="0"/>
    <n v="0"/>
    <n v="24.18"/>
  </r>
  <r>
    <n v="59708139"/>
    <s v="N"/>
    <n v="21338306"/>
    <s v="3000014090840013"/>
    <s v="CIVIL"/>
    <d v="2023-06-26T00:00:00"/>
    <d v="2023-07-06T19:21:01"/>
    <m/>
    <d v="2023-07-06T00:00:00"/>
    <n v="1421"/>
    <n v="18996"/>
    <s v="59708139"/>
    <s v="59708139"/>
    <m/>
    <m/>
    <n v="22758452"/>
    <m/>
    <m/>
    <m/>
    <s v="SOLFIN"/>
    <s v="SOLFIN"/>
    <s v="CCMS"/>
    <n v="21338306"/>
    <n v="13256.36"/>
    <m/>
    <s v="N"/>
    <n v="90"/>
    <d v="2023-07-06T19:21:18"/>
    <s v="Y"/>
    <s v="Attendance upon clien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111"/>
    <d v="2023-07-06T19:21:18"/>
    <s v="Y"/>
    <s v="Attendance upon client"/>
    <s v="Care Remuneration Hourly Rates"/>
    <s v="Profit Cost"/>
    <s v="Suzanne Waterfield"/>
    <s v="Y"/>
    <n v="18.14"/>
    <n v="3.63"/>
    <x v="4"/>
    <s v="VALIDATED"/>
    <n v="1"/>
    <s v="01.11.80.308.6100.0000"/>
    <n v="18.14"/>
    <s v="11"/>
    <s v="6100"/>
    <n v="4602.52"/>
    <n v="18.14"/>
    <s v="CREDITOR"/>
    <n v="0"/>
    <n v="0"/>
    <n v="0"/>
    <n v="0"/>
    <n v="18.14"/>
  </r>
  <r>
    <n v="59708139"/>
    <s v="N"/>
    <n v="21338306"/>
    <s v="3000014090840013"/>
    <s v="CIVIL"/>
    <d v="2023-06-26T00:00:00"/>
    <d v="2023-07-06T19:21:01"/>
    <m/>
    <d v="2023-07-06T00:00:00"/>
    <n v="1421"/>
    <n v="18996"/>
    <s v="59708139"/>
    <s v="59708139"/>
    <m/>
    <m/>
    <n v="22758452"/>
    <m/>
    <m/>
    <m/>
    <s v="SOLFIN"/>
    <s v="SOLFIN"/>
    <s v="CCMS"/>
    <n v="21338306"/>
    <n v="13256.36"/>
    <m/>
    <s v="N"/>
    <n v="59"/>
    <d v="2023-07-06T19:21:18"/>
    <s v="Y"/>
    <s v="Routine Letter In"/>
    <s v="Care Remuneration Hourly Rates"/>
    <s v="Profit Cost"/>
    <s v="Martina Dutton"/>
    <s v="Y"/>
    <n v="251.05"/>
    <n v="50.21"/>
    <x v="4"/>
    <s v="VALIDATED"/>
    <n v="1"/>
    <s v="01.11.80.308.6100.0000"/>
    <n v="251.05"/>
    <s v="11"/>
    <s v="6100"/>
    <n v="4602.52"/>
    <n v="251.05"/>
    <s v="CREDITOR"/>
    <n v="0"/>
    <n v="0"/>
    <n v="0"/>
    <n v="0"/>
    <n v="251.05"/>
  </r>
  <r>
    <n v="59708139"/>
    <s v="N"/>
    <n v="21338306"/>
    <s v="3000014090840013"/>
    <s v="CIVIL"/>
    <d v="2023-06-26T00:00:00"/>
    <d v="2023-07-06T19:21:01"/>
    <m/>
    <d v="2023-07-06T00:00:00"/>
    <n v="1421"/>
    <n v="18996"/>
    <s v="59708139"/>
    <s v="59708139"/>
    <m/>
    <m/>
    <n v="22758452"/>
    <m/>
    <m/>
    <m/>
    <s v="SOLFIN"/>
    <s v="SOLFIN"/>
    <s v="CCMS"/>
    <n v="21338306"/>
    <n v="13256.36"/>
    <m/>
    <s v="N"/>
    <n v="65"/>
    <d v="2023-07-06T19:21:18"/>
    <s v="Y"/>
    <s v="Preparation - other"/>
    <s v="Care Remuneration Hourly Rates"/>
    <s v="Profit Cost"/>
    <s v="Suzanne Waterfield"/>
    <s v="Y"/>
    <n v="6.05"/>
    <n v="1.21"/>
    <x v="4"/>
    <s v="VALIDATED"/>
    <n v="1"/>
    <s v="01.11.80.308.6100.0000"/>
    <n v="6.05"/>
    <s v="11"/>
    <s v="6100"/>
    <n v="4602.52"/>
    <n v="6.05"/>
    <s v="CREDITOR"/>
    <n v="0"/>
    <n v="0"/>
    <n v="0"/>
    <n v="0"/>
    <n v="6.05"/>
  </r>
  <r>
    <n v="62307621"/>
    <s v="N"/>
    <n v="21343951"/>
    <s v="3000016298370002"/>
    <s v="CIVIL"/>
    <d v="2023-06-28T00:00:00"/>
    <d v="2023-07-07T19:03:00"/>
    <m/>
    <d v="2023-07-07T00:00:00"/>
    <n v="1423"/>
    <n v="19007"/>
    <s v="62307621"/>
    <s v="62307621"/>
    <m/>
    <m/>
    <n v="22781400"/>
    <m/>
    <m/>
    <m/>
    <s v="SOLFIN"/>
    <s v="SOLFIN"/>
    <s v="CCMS"/>
    <n v="21343951"/>
    <n v="1199.32"/>
    <m/>
    <s v="N"/>
    <n v="3"/>
    <d v="2023-07-07T19:03:18"/>
    <s v="Y"/>
    <s v="Other"/>
    <s v="Domestic Abuse"/>
    <s v="Non Expert Disbursement"/>
    <s v="Jessica Davies"/>
    <s v="Y"/>
    <n v="143.8"/>
    <n v="0"/>
    <x v="9"/>
    <s v="VALIDATED"/>
    <n v="1"/>
    <s v="01.11.80.302.6300.0000"/>
    <n v="143.8"/>
    <s v="11"/>
    <s v="6300"/>
    <n v="3101.14"/>
    <n v="143.8"/>
    <s v="CREDITOR"/>
    <n v="0"/>
    <n v="0"/>
    <n v="0"/>
    <n v="0"/>
    <n v="143.8"/>
  </r>
  <r>
    <n v="62307621"/>
    <s v="N"/>
    <n v="21343951"/>
    <s v="3000016298370002"/>
    <s v="CIVIL"/>
    <d v="2023-06-28T00:00:00"/>
    <d v="2023-07-07T19:03:00"/>
    <m/>
    <d v="2023-07-07T00:00:00"/>
    <n v="1423"/>
    <n v="19007"/>
    <s v="62307621"/>
    <s v="62307621"/>
    <m/>
    <m/>
    <n v="22781400"/>
    <m/>
    <m/>
    <m/>
    <s v="SOLFIN"/>
    <s v="SOLFIN"/>
    <s v="CCMS"/>
    <n v="21343951"/>
    <n v="1199.32"/>
    <m/>
    <s v="N"/>
    <n v="1"/>
    <d v="2023-07-07T19:03:18"/>
    <s v="Y"/>
    <s v="Solicitor Travel Expenses"/>
    <s v="Domestic Abuse"/>
    <s v="Non Expert Disbursement"/>
    <s v="Jessica Davies"/>
    <s v="Y"/>
    <n v="3.33"/>
    <n v="0.67"/>
    <x v="9"/>
    <s v="VALIDATED"/>
    <n v="1"/>
    <s v="01.11.80.302.6300.0000"/>
    <n v="3.33"/>
    <s v="11"/>
    <s v="6300"/>
    <n v="3101.14"/>
    <n v="3.33"/>
    <s v="CREDITOR"/>
    <n v="0"/>
    <n v="0"/>
    <n v="0"/>
    <n v="0"/>
    <n v="3.33"/>
  </r>
  <r>
    <n v="62307621"/>
    <s v="N"/>
    <n v="21343951"/>
    <s v="3000016298370002"/>
    <s v="CIVIL"/>
    <d v="2023-06-28T00:00:00"/>
    <d v="2023-07-07T19:03:00"/>
    <m/>
    <d v="2023-07-07T00:00:00"/>
    <n v="1423"/>
    <n v="19007"/>
    <s v="62307621"/>
    <s v="62307621"/>
    <m/>
    <m/>
    <n v="22781400"/>
    <m/>
    <m/>
    <m/>
    <s v="SOLFIN"/>
    <s v="SOLFIN"/>
    <s v="CCMS"/>
    <n v="21343951"/>
    <n v="1199.32"/>
    <m/>
    <s v="N"/>
    <n v="5"/>
    <d v="2023-07-07T19:03:18"/>
    <s v="Y"/>
    <s v="Level 4 Fixed Fee"/>
    <s v="Domestic Abuse"/>
    <s v="Profit Cost"/>
    <s v="Jessica Davies"/>
    <s v="Y"/>
    <n v="507"/>
    <n v="101.4"/>
    <x v="9"/>
    <s v="VALIDATED"/>
    <n v="1"/>
    <s v="01.11.80.302.6100.0000"/>
    <n v="507"/>
    <s v="11"/>
    <s v="6100"/>
    <n v="3101.14"/>
    <n v="507"/>
    <s v="CREDITOR"/>
    <n v="0"/>
    <n v="0"/>
    <n v="0"/>
    <n v="0"/>
    <n v="507"/>
  </r>
  <r>
    <n v="62307621"/>
    <s v="N"/>
    <n v="21343951"/>
    <s v="3000016298370002"/>
    <s v="CIVIL"/>
    <d v="2023-06-28T00:00:00"/>
    <d v="2023-07-07T19:03:00"/>
    <m/>
    <d v="2023-07-07T00:00:00"/>
    <n v="1423"/>
    <n v="19007"/>
    <s v="62307621"/>
    <s v="62307621"/>
    <m/>
    <m/>
    <n v="22781400"/>
    <m/>
    <m/>
    <m/>
    <s v="SOLFIN"/>
    <s v="SOLFIN"/>
    <s v="CCMS"/>
    <n v="21343951"/>
    <n v="1199.32"/>
    <m/>
    <s v="N"/>
    <n v="2"/>
    <d v="2023-07-07T19:03:18"/>
    <s v="Y"/>
    <s v="Solicitor Travel Mileage"/>
    <s v="Domestic Abuse"/>
    <s v="Non Expert Disbursement"/>
    <s v="Jessica Davies"/>
    <s v="Y"/>
    <n v="8.1"/>
    <n v="1.62"/>
    <x v="9"/>
    <s v="VALIDATED"/>
    <n v="1"/>
    <s v="01.11.80.302.6300.0000"/>
    <n v="8.1"/>
    <s v="11"/>
    <s v="6300"/>
    <n v="3101.14"/>
    <n v="8.1"/>
    <s v="CREDITOR"/>
    <n v="0"/>
    <n v="0"/>
    <n v="0"/>
    <n v="0"/>
    <n v="8.1"/>
  </r>
  <r>
    <n v="62131198"/>
    <s v="N"/>
    <n v="21322529"/>
    <s v="3000016153150004"/>
    <s v="CIVIL"/>
    <d v="2023-06-29T00:00:00"/>
    <d v="2023-07-03T19:05:36"/>
    <m/>
    <d v="2023-07-03T00:00:00"/>
    <n v="1423"/>
    <n v="19007"/>
    <s v="62131198"/>
    <s v="62131198"/>
    <m/>
    <m/>
    <n v="22792610"/>
    <m/>
    <m/>
    <m/>
    <s v="SOLPOA"/>
    <s v="SOLPOA"/>
    <s v="CCMS"/>
    <n v="21322529"/>
    <n v="2665.85"/>
    <m/>
    <s v="N"/>
    <n v="1"/>
    <d v="2023-07-03T19:05:38"/>
    <s v="N"/>
    <s v="Solicitors Fixed Fee"/>
    <s v="Public Law Children"/>
    <s v="Profit Cost"/>
    <s v="Reetu Dubb"/>
    <s v="N"/>
    <n v="2221.54"/>
    <n v="444.31"/>
    <x v="3"/>
    <s v="VALIDATED"/>
    <n v="1"/>
    <s v="01.11.80.308.2012.0000"/>
    <n v="2221.54"/>
    <s v="11"/>
    <s v="2012"/>
    <n v="3101.14"/>
    <n v="2221.54"/>
    <s v="CREDITOR"/>
    <n v="2221.54"/>
    <n v="555.385"/>
    <n v="0"/>
    <n v="0"/>
    <n v="0"/>
  </r>
  <r>
    <n v="62307621"/>
    <s v="N"/>
    <n v="21343951"/>
    <s v="3000016298370002"/>
    <s v="CIVIL"/>
    <d v="2023-06-28T00:00:00"/>
    <d v="2023-07-07T19:03:00"/>
    <m/>
    <d v="2023-07-07T00:00:00"/>
    <n v="1423"/>
    <n v="19007"/>
    <s v="62307621"/>
    <s v="62307621"/>
    <m/>
    <m/>
    <n v="22781400"/>
    <m/>
    <m/>
    <m/>
    <s v="SOLFIN"/>
    <s v="SOLFIN"/>
    <s v="CCMS"/>
    <n v="21343951"/>
    <n v="1199.32"/>
    <m/>
    <s v="N"/>
    <n v="4"/>
    <d v="2023-07-07T19:03:18"/>
    <s v="Y"/>
    <s v="Final Hearing - 1 Day"/>
    <s v="Domestic Abuse"/>
    <s v="Advocacy"/>
    <s v="Jessica Davies"/>
    <s v="Y"/>
    <n v="361.17"/>
    <n v="72.23"/>
    <x v="9"/>
    <s v="VALIDATED"/>
    <n v="1"/>
    <s v="01.11.80.302.6100.0000"/>
    <n v="361.17"/>
    <s v="11"/>
    <s v="6100"/>
    <n v="3101.14"/>
    <n v="361.17"/>
    <s v="CREDITOR"/>
    <n v="0"/>
    <n v="0"/>
    <n v="0"/>
    <n v="0"/>
    <n v="361.17"/>
  </r>
  <r>
    <n v="62307621"/>
    <s v="N"/>
    <n v="21346446"/>
    <s v="3000016298370001RC"/>
    <s v="CIVIL"/>
    <d v="2023-06-28T00:00:00"/>
    <d v="2023-07-07T19:34:21"/>
    <m/>
    <d v="2023-07-07T00:00:00"/>
    <n v="1423"/>
    <n v="19007"/>
    <s v="62307621"/>
    <s v="62307621"/>
    <m/>
    <m/>
    <m/>
    <m/>
    <m/>
    <m/>
    <s v="SOLRECOUP"/>
    <s v="SOLRECOUP"/>
    <s v="POARECOUP"/>
    <n v="21346446"/>
    <n v="-143.8"/>
    <m/>
    <s v="Y"/>
    <n v="2"/>
    <d v="2023-07-07T19:34:23"/>
    <s v="N"/>
    <m/>
    <m/>
    <s v="Non Expert Disbursement"/>
    <m/>
    <s v="N"/>
    <n v="0"/>
    <n v="0"/>
    <x v="9"/>
    <s v="VALIDATED"/>
    <n v="1"/>
    <s v="01.11.80.000.0000.0000"/>
    <n v="0"/>
    <s v="11"/>
    <s v="0000"/>
    <n v="3101.14"/>
    <n v="0"/>
    <s v="CREDITOR"/>
    <n v="0"/>
    <n v="0"/>
    <n v="0"/>
    <n v="0"/>
    <n v="0"/>
  </r>
  <r>
    <n v="62307621"/>
    <s v="N"/>
    <n v="21346446"/>
    <s v="3000016298370001RC"/>
    <s v="CIVIL"/>
    <d v="2023-06-28T00:00:00"/>
    <d v="2023-07-07T19:34:21"/>
    <m/>
    <d v="2023-07-07T00:00:00"/>
    <n v="1423"/>
    <n v="19007"/>
    <s v="62307621"/>
    <s v="62307621"/>
    <m/>
    <m/>
    <m/>
    <m/>
    <m/>
    <m/>
    <s v="SOLRECOUP"/>
    <s v="SOLRECOUP"/>
    <s v="POARECOUP"/>
    <n v="21346446"/>
    <n v="-143.8"/>
    <m/>
    <s v="Y"/>
    <n v="1"/>
    <d v="2023-07-07T19:34:23"/>
    <s v="N"/>
    <m/>
    <m/>
    <s v="Non Expert Disbursement"/>
    <m/>
    <s v="N"/>
    <n v="-143.8"/>
    <n v="0"/>
    <x v="9"/>
    <s v="VALIDATED"/>
    <n v="1"/>
    <s v="01.11.80.302.2013.0000"/>
    <n v="-143.8"/>
    <s v="11"/>
    <s v="2013"/>
    <n v="3101.14"/>
    <n v="-143.8"/>
    <s v="CREDITOR"/>
    <n v="0"/>
    <n v="0"/>
    <n v="-143.8"/>
    <n v="0"/>
    <n v="0"/>
  </r>
  <r>
    <n v="60269520"/>
    <s v="N"/>
    <n v="21360782"/>
    <s v="3000014576250017"/>
    <s v="CIVIL"/>
    <d v="2023-06-30T00:00:00"/>
    <d v="2023-07-11T19:00:25"/>
    <m/>
    <d v="2023-07-11T00:00:00"/>
    <n v="1427"/>
    <n v="19251"/>
    <s v="60269520"/>
    <s v="60269520"/>
    <m/>
    <m/>
    <n v="22799160"/>
    <m/>
    <m/>
    <m/>
    <s v="SOLFIN"/>
    <s v="SOLFIN"/>
    <s v="CCMS"/>
    <n v="21360782"/>
    <n v="0"/>
    <m/>
    <s v="N"/>
    <n v="1"/>
    <d v="2023-07-11T19:00:34"/>
    <s v="N"/>
    <s v="NIL BILL"/>
    <s v="Non Family Hourly Rates"/>
    <s v="Profit Cost"/>
    <s v="Gurbinder Gill"/>
    <s v="N"/>
    <n v="0"/>
    <n v="0"/>
    <x v="7"/>
    <s v="VALIDATED"/>
    <n v="1"/>
    <s v="01.11.80.208.6100.0000"/>
    <n v="0"/>
    <s v="11"/>
    <s v="6100"/>
    <n v="-14627.23"/>
    <n v="0"/>
    <s v="DEBTOR"/>
    <n v="0"/>
    <n v="0"/>
    <n v="0"/>
    <n v="0"/>
    <n v="0"/>
  </r>
  <r>
    <n v="60269520"/>
    <s v="N"/>
    <n v="21361555"/>
    <s v="3000014576250014RC"/>
    <s v="CIVIL"/>
    <d v="2023-06-30T00:00:00"/>
    <d v="2023-07-11T19:38:00"/>
    <m/>
    <d v="2023-07-11T00:00:00"/>
    <n v="1427"/>
    <n v="19251"/>
    <s v="60269520"/>
    <s v="60269520"/>
    <m/>
    <m/>
    <m/>
    <m/>
    <m/>
    <m/>
    <s v="SOLRECOUP"/>
    <s v="SOLRECOUP"/>
    <s v="POARECOUP"/>
    <n v="21361555"/>
    <n v="-18.05"/>
    <m/>
    <s v="Y"/>
    <n v="2"/>
    <d v="2023-07-11T19:38:01"/>
    <s v="N"/>
    <m/>
    <m/>
    <s v="Non Expert Disbursement"/>
    <m/>
    <s v="N"/>
    <n v="0"/>
    <n v="0"/>
    <x v="7"/>
    <s v="VALIDATED"/>
    <n v="1"/>
    <s v="01.11.80.000.0000.0000"/>
    <n v="0"/>
    <s v="11"/>
    <s v="0000"/>
    <n v="-14627.23"/>
    <n v="0"/>
    <s v="DEBTOR"/>
    <n v="0"/>
    <n v="0"/>
    <n v="0"/>
    <n v="0"/>
    <n v="0"/>
  </r>
  <r>
    <n v="60269520"/>
    <s v="N"/>
    <n v="21361556"/>
    <s v="3000014576250015RC"/>
    <s v="CIVIL"/>
    <d v="2023-06-30T00:00:00"/>
    <d v="2023-07-11T19:38:00"/>
    <m/>
    <d v="2023-07-11T00:00:00"/>
    <n v="1427"/>
    <n v="19251"/>
    <s v="60269520"/>
    <s v="60269520"/>
    <m/>
    <m/>
    <m/>
    <m/>
    <m/>
    <m/>
    <s v="SOLRECOUP"/>
    <s v="SOLRECOUP"/>
    <s v="POARECOUP"/>
    <n v="21361556"/>
    <n v="-108"/>
    <m/>
    <s v="Y"/>
    <n v="1"/>
    <d v="2023-07-11T19:38:01"/>
    <s v="N"/>
    <m/>
    <m/>
    <s v="Non Expert Disbursement"/>
    <m/>
    <s v="N"/>
    <n v="-108"/>
    <n v="0"/>
    <x v="7"/>
    <s v="VALIDATED"/>
    <n v="1"/>
    <s v="01.11.80.208.2013.0000"/>
    <n v="-108"/>
    <s v="11"/>
    <s v="2013"/>
    <n v="-14627.23"/>
    <n v="-108"/>
    <s v="DEBTOR"/>
    <n v="0"/>
    <n v="0"/>
    <n v="0"/>
    <n v="0"/>
    <n v="0"/>
  </r>
  <r>
    <n v="60269520"/>
    <s v="N"/>
    <n v="21361556"/>
    <s v="3000014576250015RC"/>
    <s v="CIVIL"/>
    <d v="2023-06-30T00:00:00"/>
    <d v="2023-07-11T19:38:00"/>
    <m/>
    <d v="2023-07-11T00:00:00"/>
    <n v="1427"/>
    <n v="19251"/>
    <s v="60269520"/>
    <s v="60269520"/>
    <m/>
    <m/>
    <m/>
    <m/>
    <m/>
    <m/>
    <s v="SOLRECOUP"/>
    <s v="SOLRECOUP"/>
    <s v="POARECOUP"/>
    <n v="21361556"/>
    <n v="-108"/>
    <m/>
    <s v="Y"/>
    <n v="2"/>
    <d v="2023-07-11T19:38:01"/>
    <s v="N"/>
    <m/>
    <m/>
    <s v="Non Expert Disbursement"/>
    <m/>
    <s v="N"/>
    <n v="0"/>
    <n v="0"/>
    <x v="7"/>
    <s v="VALIDATED"/>
    <n v="1"/>
    <s v="01.11.80.000.0000.0000"/>
    <n v="0"/>
    <s v="11"/>
    <s v="0000"/>
    <n v="-14627.23"/>
    <n v="0"/>
    <s v="DEBTOR"/>
    <n v="0"/>
    <n v="0"/>
    <n v="0"/>
    <n v="0"/>
    <n v="0"/>
  </r>
  <r>
    <n v="60269520"/>
    <s v="N"/>
    <n v="21361557"/>
    <s v="3000014576250007RC"/>
    <s v="CIVIL"/>
    <d v="2023-06-30T00:00:00"/>
    <d v="2023-07-11T19:38:00"/>
    <m/>
    <d v="2023-07-11T00:00:00"/>
    <n v="1427"/>
    <n v="19251"/>
    <s v="60269520"/>
    <s v="60269520"/>
    <m/>
    <m/>
    <m/>
    <m/>
    <m/>
    <m/>
    <s v="SOLRECOUP"/>
    <s v="SOLRECOUP"/>
    <s v="POARECOUP"/>
    <n v="21361557"/>
    <n v="-10800"/>
    <m/>
    <s v="Y"/>
    <n v="1"/>
    <d v="2023-07-11T19:38:01"/>
    <s v="N"/>
    <m/>
    <m/>
    <s v="Profit Cost"/>
    <m/>
    <s v="N"/>
    <n v="-9000"/>
    <n v="0"/>
    <x v="7"/>
    <s v="VALIDATED"/>
    <n v="1"/>
    <s v="01.11.80.208.2013.0000"/>
    <n v="-9000"/>
    <s v="11"/>
    <s v="2013"/>
    <n v="-14627.23"/>
    <n v="-9000"/>
    <s v="DEBTOR"/>
    <n v="0"/>
    <n v="0"/>
    <n v="0"/>
    <n v="0"/>
    <n v="0"/>
  </r>
  <r>
    <n v="60269520"/>
    <s v="N"/>
    <n v="21361557"/>
    <s v="3000014576250007RC"/>
    <s v="CIVIL"/>
    <d v="2023-06-30T00:00:00"/>
    <d v="2023-07-11T19:38:00"/>
    <m/>
    <d v="2023-07-11T00:00:00"/>
    <n v="1427"/>
    <n v="19251"/>
    <s v="60269520"/>
    <s v="60269520"/>
    <m/>
    <m/>
    <m/>
    <m/>
    <m/>
    <m/>
    <s v="SOLRECOUP"/>
    <s v="SOLRECOUP"/>
    <s v="POARECOUP"/>
    <n v="21361557"/>
    <n v="-10800"/>
    <m/>
    <s v="Y"/>
    <n v="2"/>
    <d v="2023-07-11T19:38:01"/>
    <s v="N"/>
    <m/>
    <m/>
    <s v="Profit Cost"/>
    <m/>
    <s v="N"/>
    <n v="0"/>
    <n v="-1800"/>
    <x v="7"/>
    <s v="VALIDATED"/>
    <n v="1"/>
    <s v="01.11.80.208.2013.0000"/>
    <n v="-1800"/>
    <s v="11"/>
    <s v="2013"/>
    <n v="-14627.23"/>
    <n v="-1800"/>
    <s v="DEBTOR"/>
    <n v="0"/>
    <n v="0"/>
    <n v="0"/>
    <n v="0"/>
    <n v="0"/>
  </r>
  <r>
    <n v="60269520"/>
    <s v="N"/>
    <n v="21361558"/>
    <s v="3000014576250011RC"/>
    <s v="CIVIL"/>
    <d v="2023-06-30T00:00:00"/>
    <d v="2023-07-11T19:38:00"/>
    <m/>
    <d v="2023-07-11T00:00:00"/>
    <n v="1427"/>
    <n v="19251"/>
    <s v="60269520"/>
    <s v="60269520"/>
    <m/>
    <m/>
    <m/>
    <m/>
    <m/>
    <m/>
    <s v="SOLRECOUP"/>
    <s v="SOLRECOUP"/>
    <s v="POARECOUP"/>
    <n v="21361558"/>
    <n v="-600"/>
    <m/>
    <s v="Y"/>
    <n v="1"/>
    <d v="2023-07-11T19:38:01"/>
    <s v="N"/>
    <m/>
    <m/>
    <s v="Non Expert Disbursement"/>
    <m/>
    <s v="N"/>
    <n v="-500"/>
    <n v="0"/>
    <x v="7"/>
    <s v="VALIDATED"/>
    <n v="1"/>
    <s v="01.11.80.208.2013.0000"/>
    <n v="-500"/>
    <s v="11"/>
    <s v="2013"/>
    <n v="-14627.23"/>
    <n v="-500"/>
    <s v="DEBTOR"/>
    <n v="0"/>
    <n v="0"/>
    <n v="0"/>
    <n v="0"/>
    <n v="0"/>
  </r>
  <r>
    <n v="60269520"/>
    <s v="N"/>
    <n v="21361558"/>
    <s v="3000014576250011RC"/>
    <s v="CIVIL"/>
    <d v="2023-06-30T00:00:00"/>
    <d v="2023-07-11T19:38:00"/>
    <m/>
    <d v="2023-07-11T00:00:00"/>
    <n v="1427"/>
    <n v="19251"/>
    <s v="60269520"/>
    <s v="60269520"/>
    <m/>
    <m/>
    <m/>
    <m/>
    <m/>
    <m/>
    <s v="SOLRECOUP"/>
    <s v="SOLRECOUP"/>
    <s v="POARECOUP"/>
    <n v="21361558"/>
    <n v="-600"/>
    <m/>
    <s v="Y"/>
    <n v="2"/>
    <d v="2023-07-11T19:38:01"/>
    <s v="N"/>
    <m/>
    <m/>
    <s v="Non Expert Disbursement"/>
    <m/>
    <s v="N"/>
    <n v="0"/>
    <n v="-100"/>
    <x v="7"/>
    <s v="VALIDATED"/>
    <n v="1"/>
    <s v="01.11.80.208.2013.0000"/>
    <n v="-100"/>
    <s v="11"/>
    <s v="2013"/>
    <n v="-14627.23"/>
    <n v="-100"/>
    <s v="DEBTOR"/>
    <n v="0"/>
    <n v="0"/>
    <n v="0"/>
    <n v="0"/>
    <n v="0"/>
  </r>
  <r>
    <n v="60269520"/>
    <s v="N"/>
    <n v="21361559"/>
    <s v="3000014576250012RC"/>
    <s v="CIVIL"/>
    <d v="2023-06-30T00:00:00"/>
    <d v="2023-07-11T19:38:00"/>
    <m/>
    <d v="2023-07-11T00:00:00"/>
    <n v="1427"/>
    <n v="19251"/>
    <s v="60269520"/>
    <s v="60269520"/>
    <m/>
    <m/>
    <m/>
    <m/>
    <m/>
    <m/>
    <s v="SOLRECOUP"/>
    <s v="SOLRECOUP"/>
    <s v="POARECOUP"/>
    <n v="21361559"/>
    <n v="-1800"/>
    <m/>
    <s v="Y"/>
    <n v="1"/>
    <d v="2023-07-11T19:38:01"/>
    <s v="N"/>
    <m/>
    <m/>
    <s v="Expert Disbursement"/>
    <m/>
    <s v="N"/>
    <n v="-1500"/>
    <n v="0"/>
    <x v="7"/>
    <s v="VALIDATED"/>
    <n v="1"/>
    <s v="01.11.80.208.2013.0000"/>
    <n v="-1500"/>
    <s v="11"/>
    <s v="2013"/>
    <n v="-14627.23"/>
    <n v="-1500"/>
    <s v="DEBTOR"/>
    <n v="0"/>
    <n v="0"/>
    <n v="0"/>
    <n v="0"/>
    <n v="0"/>
  </r>
  <r>
    <n v="60269520"/>
    <s v="N"/>
    <n v="21361559"/>
    <s v="3000014576250012RC"/>
    <s v="CIVIL"/>
    <d v="2023-06-30T00:00:00"/>
    <d v="2023-07-11T19:38:00"/>
    <m/>
    <d v="2023-07-11T00:00:00"/>
    <n v="1427"/>
    <n v="19251"/>
    <s v="60269520"/>
    <s v="60269520"/>
    <m/>
    <m/>
    <m/>
    <m/>
    <m/>
    <m/>
    <s v="SOLRECOUP"/>
    <s v="SOLRECOUP"/>
    <s v="POARECOUP"/>
    <n v="21361559"/>
    <n v="-1800"/>
    <m/>
    <s v="Y"/>
    <n v="2"/>
    <d v="2023-07-11T19:38:01"/>
    <s v="N"/>
    <m/>
    <m/>
    <s v="Expert Disbursement"/>
    <m/>
    <s v="N"/>
    <n v="0"/>
    <n v="-300"/>
    <x v="7"/>
    <s v="VALIDATED"/>
    <n v="1"/>
    <s v="01.11.80.208.2013.0000"/>
    <n v="-300"/>
    <s v="11"/>
    <s v="2013"/>
    <n v="-14627.23"/>
    <n v="-300"/>
    <s v="DEBTOR"/>
    <n v="0"/>
    <n v="0"/>
    <n v="0"/>
    <n v="0"/>
    <n v="0"/>
  </r>
  <r>
    <n v="60269520"/>
    <s v="N"/>
    <n v="21361560"/>
    <s v="3000014576250016RC"/>
    <s v="CIVIL"/>
    <d v="2023-06-30T00:00:00"/>
    <d v="2023-07-11T19:38:00"/>
    <m/>
    <d v="2023-07-11T00:00:00"/>
    <n v="1427"/>
    <n v="19251"/>
    <s v="60269520"/>
    <s v="60269520"/>
    <m/>
    <m/>
    <m/>
    <m/>
    <m/>
    <m/>
    <s v="SOLRECOUP"/>
    <s v="SOLRECOUP"/>
    <s v="POARECOUP"/>
    <n v="21361560"/>
    <n v="-20"/>
    <m/>
    <s v="Y"/>
    <n v="1"/>
    <d v="2023-07-11T19:38:01"/>
    <s v="N"/>
    <m/>
    <m/>
    <s v="Non Expert Disbursement"/>
    <m/>
    <s v="N"/>
    <n v="-20"/>
    <n v="0"/>
    <x v="7"/>
    <s v="VALIDATED"/>
    <n v="1"/>
    <s v="01.11.80.208.2013.0000"/>
    <n v="-20"/>
    <s v="11"/>
    <s v="2013"/>
    <n v="-14627.23"/>
    <n v="-20"/>
    <s v="DEBTOR"/>
    <n v="0"/>
    <n v="0"/>
    <n v="0"/>
    <n v="0"/>
    <n v="0"/>
  </r>
  <r>
    <n v="60269520"/>
    <s v="N"/>
    <n v="21361560"/>
    <s v="3000014576250016RC"/>
    <s v="CIVIL"/>
    <d v="2023-06-30T00:00:00"/>
    <d v="2023-07-11T19:38:00"/>
    <m/>
    <d v="2023-07-11T00:00:00"/>
    <n v="1427"/>
    <n v="19251"/>
    <s v="60269520"/>
    <s v="60269520"/>
    <m/>
    <m/>
    <m/>
    <m/>
    <m/>
    <m/>
    <s v="SOLRECOUP"/>
    <s v="SOLRECOUP"/>
    <s v="POARECOUP"/>
    <n v="21361560"/>
    <n v="-20"/>
    <m/>
    <s v="Y"/>
    <n v="2"/>
    <d v="2023-07-11T19:38:01"/>
    <s v="N"/>
    <m/>
    <m/>
    <s v="Non Expert Disbursement"/>
    <m/>
    <s v="N"/>
    <n v="0"/>
    <n v="0"/>
    <x v="7"/>
    <s v="VALIDATED"/>
    <n v="1"/>
    <s v="01.11.80.000.0000.0000"/>
    <n v="0"/>
    <s v="11"/>
    <s v="0000"/>
    <n v="-14627.23"/>
    <n v="0"/>
    <s v="DEBTOR"/>
    <n v="0"/>
    <n v="0"/>
    <n v="0"/>
    <n v="0"/>
    <n v="0"/>
  </r>
  <r>
    <n v="60269520"/>
    <s v="N"/>
    <n v="21361546"/>
    <s v="3000014576250008RC"/>
    <s v="CIVIL"/>
    <d v="2023-06-30T00:00:00"/>
    <d v="2023-07-11T19:38:00"/>
    <m/>
    <d v="2023-07-11T00:00:00"/>
    <n v="1427"/>
    <n v="19251"/>
    <s v="60269520"/>
    <s v="60269520"/>
    <m/>
    <m/>
    <m/>
    <m/>
    <m/>
    <m/>
    <s v="SOLRECOUP"/>
    <s v="SOLRECOUP"/>
    <s v="POARECOUP"/>
    <n v="21361546"/>
    <n v="-6.3"/>
    <m/>
    <s v="Y"/>
    <n v="1"/>
    <d v="2023-07-11T19:38:01"/>
    <s v="N"/>
    <m/>
    <m/>
    <s v="Non Expert Disbursement"/>
    <m/>
    <s v="N"/>
    <n v="-6.3"/>
    <n v="0"/>
    <x v="7"/>
    <s v="VALIDATED"/>
    <n v="1"/>
    <s v="01.11.80.208.2013.0000"/>
    <n v="-6.3"/>
    <s v="11"/>
    <s v="2013"/>
    <n v="-14627.23"/>
    <n v="-6.3"/>
    <s v="DEBTOR"/>
    <n v="0"/>
    <n v="0"/>
    <n v="0"/>
    <n v="0"/>
    <n v="0"/>
  </r>
  <r>
    <n v="60269520"/>
    <s v="N"/>
    <n v="21361546"/>
    <s v="3000014576250008RC"/>
    <s v="CIVIL"/>
    <d v="2023-06-30T00:00:00"/>
    <d v="2023-07-11T19:38:00"/>
    <m/>
    <d v="2023-07-11T00:00:00"/>
    <n v="1427"/>
    <n v="19251"/>
    <s v="60269520"/>
    <s v="60269520"/>
    <m/>
    <m/>
    <m/>
    <m/>
    <m/>
    <m/>
    <s v="SOLRECOUP"/>
    <s v="SOLRECOUP"/>
    <s v="POARECOUP"/>
    <n v="21361546"/>
    <n v="-6.3"/>
    <m/>
    <s v="Y"/>
    <n v="2"/>
    <d v="2023-07-11T19:38:01"/>
    <s v="N"/>
    <m/>
    <m/>
    <s v="Non Expert Disbursement"/>
    <m/>
    <s v="N"/>
    <n v="0"/>
    <n v="0"/>
    <x v="7"/>
    <s v="VALIDATED"/>
    <n v="1"/>
    <s v="01.11.80.000.0000.0000"/>
    <n v="0"/>
    <s v="11"/>
    <s v="0000"/>
    <n v="-14627.23"/>
    <n v="0"/>
    <s v="DEBTOR"/>
    <n v="0"/>
    <n v="0"/>
    <n v="0"/>
    <n v="0"/>
    <n v="0"/>
  </r>
  <r>
    <n v="60269520"/>
    <s v="N"/>
    <n v="21361547"/>
    <s v="3000014576250009RC"/>
    <s v="CIVIL"/>
    <d v="2023-06-30T00:00:00"/>
    <d v="2023-07-11T19:38:00"/>
    <m/>
    <d v="2023-07-11T00:00:00"/>
    <n v="1427"/>
    <n v="19251"/>
    <s v="60269520"/>
    <s v="60269520"/>
    <m/>
    <m/>
    <m/>
    <m/>
    <m/>
    <m/>
    <s v="SOLRECOUP"/>
    <s v="SOLRECOUP"/>
    <s v="POARECOUP"/>
    <n v="21361547"/>
    <n v="-19.8"/>
    <m/>
    <s v="Y"/>
    <n v="1"/>
    <d v="2023-07-11T19:38:01"/>
    <s v="N"/>
    <m/>
    <m/>
    <s v="Non Expert Disbursement"/>
    <m/>
    <s v="N"/>
    <n v="-19.8"/>
    <n v="0"/>
    <x v="7"/>
    <s v="VALIDATED"/>
    <n v="1"/>
    <s v="01.11.80.208.2013.0000"/>
    <n v="-19.8"/>
    <s v="11"/>
    <s v="2013"/>
    <n v="-14627.23"/>
    <n v="-19.8"/>
    <s v="DEBTOR"/>
    <n v="0"/>
    <n v="0"/>
    <n v="0"/>
    <n v="0"/>
    <n v="0"/>
  </r>
  <r>
    <n v="60269520"/>
    <s v="N"/>
    <n v="21361547"/>
    <s v="3000014576250009RC"/>
    <s v="CIVIL"/>
    <d v="2023-06-30T00:00:00"/>
    <d v="2023-07-11T19:38:00"/>
    <m/>
    <d v="2023-07-11T00:00:00"/>
    <n v="1427"/>
    <n v="19251"/>
    <s v="60269520"/>
    <s v="60269520"/>
    <m/>
    <m/>
    <m/>
    <m/>
    <m/>
    <m/>
    <s v="SOLRECOUP"/>
    <s v="SOLRECOUP"/>
    <s v="POARECOUP"/>
    <n v="21361547"/>
    <n v="-19.8"/>
    <m/>
    <s v="Y"/>
    <n v="2"/>
    <d v="2023-07-11T19:38:01"/>
    <s v="N"/>
    <m/>
    <m/>
    <s v="Non Expert Disbursement"/>
    <m/>
    <s v="N"/>
    <n v="0"/>
    <n v="0"/>
    <x v="7"/>
    <s v="VALIDATED"/>
    <n v="1"/>
    <s v="01.11.80.000.0000.0000"/>
    <n v="0"/>
    <s v="11"/>
    <s v="0000"/>
    <n v="-14627.23"/>
    <n v="0"/>
    <s v="DEBTOR"/>
    <n v="0"/>
    <n v="0"/>
    <n v="0"/>
    <n v="0"/>
    <n v="0"/>
  </r>
  <r>
    <n v="60269520"/>
    <s v="N"/>
    <n v="21361548"/>
    <s v="3000014576250010RC"/>
    <s v="CIVIL"/>
    <d v="2023-06-30T00:00:00"/>
    <d v="2023-07-11T19:38:00"/>
    <m/>
    <d v="2023-07-11T00:00:00"/>
    <n v="1427"/>
    <n v="19251"/>
    <s v="60269520"/>
    <s v="60269520"/>
    <m/>
    <m/>
    <m/>
    <m/>
    <m/>
    <m/>
    <s v="SOLRECOUP"/>
    <s v="SOLRECOUP"/>
    <s v="POARECOUP"/>
    <n v="21361548"/>
    <n v="-19.9"/>
    <m/>
    <s v="Y"/>
    <n v="1"/>
    <d v="2023-07-11T19:38:01"/>
    <s v="N"/>
    <m/>
    <m/>
    <s v="Non Expert Disbursement"/>
    <m/>
    <s v="N"/>
    <n v="-19.9"/>
    <n v="0"/>
    <x v="7"/>
    <s v="VALIDATED"/>
    <n v="1"/>
    <s v="01.11.80.208.2013.0000"/>
    <n v="-19.9"/>
    <s v="11"/>
    <s v="2013"/>
    <n v="-14627.23"/>
    <n v="-19.9"/>
    <s v="DEBTOR"/>
    <n v="0"/>
    <n v="0"/>
    <n v="0"/>
    <n v="0"/>
    <n v="0"/>
  </r>
  <r>
    <n v="60269520"/>
    <s v="N"/>
    <n v="21361548"/>
    <s v="3000014576250010RC"/>
    <s v="CIVIL"/>
    <d v="2023-06-30T00:00:00"/>
    <d v="2023-07-11T19:38:00"/>
    <m/>
    <d v="2023-07-11T00:00:00"/>
    <n v="1427"/>
    <n v="19251"/>
    <s v="60269520"/>
    <s v="60269520"/>
    <m/>
    <m/>
    <m/>
    <m/>
    <m/>
    <m/>
    <s v="SOLRECOUP"/>
    <s v="SOLRECOUP"/>
    <s v="POARECOUP"/>
    <n v="21361548"/>
    <n v="-19.9"/>
    <m/>
    <s v="Y"/>
    <n v="2"/>
    <d v="2023-07-11T19:38:01"/>
    <s v="N"/>
    <m/>
    <m/>
    <s v="Non Expert Disbursement"/>
    <m/>
    <s v="N"/>
    <n v="0"/>
    <n v="0"/>
    <x v="7"/>
    <s v="VALIDATED"/>
    <n v="1"/>
    <s v="01.11.80.000.0000.0000"/>
    <n v="0"/>
    <s v="11"/>
    <s v="0000"/>
    <n v="-14627.23"/>
    <n v="0"/>
    <s v="DEBTOR"/>
    <n v="0"/>
    <n v="0"/>
    <n v="0"/>
    <n v="0"/>
    <n v="0"/>
  </r>
  <r>
    <n v="60269520"/>
    <s v="N"/>
    <n v="21361549"/>
    <s v="3000014576250001RC"/>
    <s v="CIVIL"/>
    <d v="2023-06-30T00:00:00"/>
    <d v="2023-07-11T19:38:00"/>
    <m/>
    <d v="2023-07-11T00:00:00"/>
    <n v="1427"/>
    <n v="19251"/>
    <s v="60269520"/>
    <s v="60269520"/>
    <m/>
    <m/>
    <m/>
    <m/>
    <m/>
    <m/>
    <s v="SOLRECOUP"/>
    <s v="SOLRECOUP"/>
    <s v="POARECOUP"/>
    <n v="21361549"/>
    <n v="-332"/>
    <m/>
    <s v="Y"/>
    <n v="1"/>
    <d v="2023-07-11T19:38:01"/>
    <s v="N"/>
    <m/>
    <m/>
    <s v="Non Expert Disbursement"/>
    <m/>
    <s v="N"/>
    <n v="-332"/>
    <n v="0"/>
    <x v="7"/>
    <s v="VALIDATED"/>
    <n v="1"/>
    <s v="01.11.80.208.2013.0000"/>
    <n v="-332"/>
    <s v="11"/>
    <s v="2013"/>
    <n v="-14627.23"/>
    <n v="-332"/>
    <s v="DEBTOR"/>
    <n v="0"/>
    <n v="0"/>
    <n v="0"/>
    <n v="0"/>
    <n v="0"/>
  </r>
  <r>
    <n v="60269520"/>
    <s v="N"/>
    <n v="21361549"/>
    <s v="3000014576250001RC"/>
    <s v="CIVIL"/>
    <d v="2023-06-30T00:00:00"/>
    <d v="2023-07-11T19:38:00"/>
    <m/>
    <d v="2023-07-11T00:00:00"/>
    <n v="1427"/>
    <n v="19251"/>
    <s v="60269520"/>
    <s v="60269520"/>
    <m/>
    <m/>
    <m/>
    <m/>
    <m/>
    <m/>
    <s v="SOLRECOUP"/>
    <s v="SOLRECOUP"/>
    <s v="POARECOUP"/>
    <n v="21361549"/>
    <n v="-332"/>
    <m/>
    <s v="Y"/>
    <n v="2"/>
    <d v="2023-07-11T19:38:01"/>
    <s v="N"/>
    <m/>
    <m/>
    <s v="Non Expert Disbursement"/>
    <m/>
    <s v="N"/>
    <n v="0"/>
    <n v="0"/>
    <x v="7"/>
    <s v="VALIDATED"/>
    <n v="1"/>
    <s v="01.11.80.000.0000.0000"/>
    <n v="0"/>
    <s v="11"/>
    <s v="0000"/>
    <n v="-14627.23"/>
    <n v="0"/>
    <s v="DEBTOR"/>
    <n v="0"/>
    <n v="0"/>
    <n v="0"/>
    <n v="0"/>
    <n v="0"/>
  </r>
  <r>
    <n v="60269520"/>
    <s v="N"/>
    <n v="21361550"/>
    <s v="3000014576250002RC"/>
    <s v="CIVIL"/>
    <d v="2023-06-30T00:00:00"/>
    <d v="2023-07-11T19:38:00"/>
    <m/>
    <d v="2023-07-11T00:00:00"/>
    <n v="1427"/>
    <n v="19251"/>
    <s v="60269520"/>
    <s v="60269520"/>
    <m/>
    <m/>
    <m/>
    <m/>
    <m/>
    <m/>
    <s v="SOLRECOUP"/>
    <s v="SOLRECOUP"/>
    <s v="POARECOUP"/>
    <n v="21361550"/>
    <n v="-455"/>
    <m/>
    <s v="Y"/>
    <n v="1"/>
    <d v="2023-07-11T19:38:01"/>
    <s v="N"/>
    <m/>
    <m/>
    <s v="Non Expert Disbursement"/>
    <m/>
    <s v="N"/>
    <n v="-455"/>
    <n v="0"/>
    <x v="7"/>
    <s v="VALIDATED"/>
    <n v="1"/>
    <s v="01.11.80.208.2013.0000"/>
    <n v="-455"/>
    <s v="11"/>
    <s v="2013"/>
    <n v="-14627.23"/>
    <n v="-455"/>
    <s v="DEBTOR"/>
    <n v="0"/>
    <n v="0"/>
    <n v="0"/>
    <n v="0"/>
    <n v="0"/>
  </r>
  <r>
    <n v="60269520"/>
    <s v="N"/>
    <n v="21361550"/>
    <s v="3000014576250002RC"/>
    <s v="CIVIL"/>
    <d v="2023-06-30T00:00:00"/>
    <d v="2023-07-11T19:38:00"/>
    <m/>
    <d v="2023-07-11T00:00:00"/>
    <n v="1427"/>
    <n v="19251"/>
    <s v="60269520"/>
    <s v="60269520"/>
    <m/>
    <m/>
    <m/>
    <m/>
    <m/>
    <m/>
    <s v="SOLRECOUP"/>
    <s v="SOLRECOUP"/>
    <s v="POARECOUP"/>
    <n v="21361550"/>
    <n v="-455"/>
    <m/>
    <s v="Y"/>
    <n v="2"/>
    <d v="2023-07-11T19:38:01"/>
    <s v="N"/>
    <m/>
    <m/>
    <s v="Non Expert Disbursement"/>
    <m/>
    <s v="N"/>
    <n v="0"/>
    <n v="0"/>
    <x v="7"/>
    <s v="VALIDATED"/>
    <n v="1"/>
    <s v="01.11.80.000.0000.0000"/>
    <n v="0"/>
    <s v="11"/>
    <s v="0000"/>
    <n v="-14627.23"/>
    <n v="0"/>
    <s v="DEBTOR"/>
    <n v="0"/>
    <n v="0"/>
    <n v="0"/>
    <n v="0"/>
    <n v="0"/>
  </r>
  <r>
    <n v="60269520"/>
    <s v="N"/>
    <n v="21361551"/>
    <s v="3000014576250004RC"/>
    <s v="CIVIL"/>
    <d v="2023-06-30T00:00:00"/>
    <d v="2023-07-11T19:38:00"/>
    <m/>
    <d v="2023-07-11T00:00:00"/>
    <n v="1427"/>
    <n v="19251"/>
    <s v="60269520"/>
    <s v="60269520"/>
    <m/>
    <m/>
    <m/>
    <m/>
    <m/>
    <m/>
    <s v="SOLRECOUP"/>
    <s v="SOLRECOUP"/>
    <s v="POARECOUP"/>
    <n v="21361551"/>
    <n v="-125.64"/>
    <m/>
    <s v="Y"/>
    <n v="1"/>
    <d v="2023-07-11T19:38:01"/>
    <s v="N"/>
    <m/>
    <m/>
    <s v="Expert Disbursement"/>
    <m/>
    <s v="N"/>
    <n v="-104.7"/>
    <n v="0"/>
    <x v="7"/>
    <s v="VALIDATED"/>
    <n v="1"/>
    <s v="01.11.80.208.2013.0000"/>
    <n v="-104.7"/>
    <s v="11"/>
    <s v="2013"/>
    <n v="-14627.23"/>
    <n v="-104.7"/>
    <s v="DEBTOR"/>
    <n v="0"/>
    <n v="0"/>
    <n v="0"/>
    <n v="0"/>
    <n v="0"/>
  </r>
  <r>
    <n v="60269520"/>
    <s v="N"/>
    <n v="21361551"/>
    <s v="3000014576250004RC"/>
    <s v="CIVIL"/>
    <d v="2023-06-30T00:00:00"/>
    <d v="2023-07-11T19:38:00"/>
    <m/>
    <d v="2023-07-11T00:00:00"/>
    <n v="1427"/>
    <n v="19251"/>
    <s v="60269520"/>
    <s v="60269520"/>
    <m/>
    <m/>
    <m/>
    <m/>
    <m/>
    <m/>
    <s v="SOLRECOUP"/>
    <s v="SOLRECOUP"/>
    <s v="POARECOUP"/>
    <n v="21361551"/>
    <n v="-125.64"/>
    <m/>
    <s v="Y"/>
    <n v="2"/>
    <d v="2023-07-11T19:38:01"/>
    <s v="N"/>
    <m/>
    <m/>
    <s v="Expert Disbursement"/>
    <m/>
    <s v="N"/>
    <n v="0"/>
    <n v="-20.94"/>
    <x v="7"/>
    <s v="VALIDATED"/>
    <n v="1"/>
    <s v="01.11.80.208.2013.0000"/>
    <n v="-20.94"/>
    <s v="11"/>
    <s v="2013"/>
    <n v="-14627.23"/>
    <n v="-20.94"/>
    <s v="DEBTOR"/>
    <n v="0"/>
    <n v="0"/>
    <n v="0"/>
    <n v="0"/>
    <n v="0"/>
  </r>
  <r>
    <n v="60269520"/>
    <s v="N"/>
    <n v="21361552"/>
    <s v="3000014576250003RC"/>
    <s v="CIVIL"/>
    <d v="2023-06-30T00:00:00"/>
    <d v="2023-07-11T19:38:00"/>
    <m/>
    <d v="2023-07-11T00:00:00"/>
    <n v="1427"/>
    <n v="19251"/>
    <s v="60269520"/>
    <s v="60269520"/>
    <m/>
    <m/>
    <m/>
    <m/>
    <m/>
    <m/>
    <s v="SOLRECOUP"/>
    <s v="SOLRECOUP"/>
    <s v="POARECOUP"/>
    <n v="21361552"/>
    <n v="-3"/>
    <m/>
    <s v="Y"/>
    <n v="1"/>
    <d v="2023-07-11T19:38:01"/>
    <s v="N"/>
    <m/>
    <m/>
    <s v="Non Expert Disbursement"/>
    <m/>
    <s v="N"/>
    <n v="-3"/>
    <n v="0"/>
    <x v="7"/>
    <s v="VALIDATED"/>
    <n v="1"/>
    <s v="01.11.80.208.2013.0000"/>
    <n v="-3"/>
    <s v="11"/>
    <s v="2013"/>
    <n v="-14627.23"/>
    <n v="-3"/>
    <s v="DEBTOR"/>
    <n v="0"/>
    <n v="0"/>
    <n v="0"/>
    <n v="0"/>
    <n v="0"/>
  </r>
  <r>
    <n v="60269520"/>
    <s v="N"/>
    <n v="21361552"/>
    <s v="3000014576250003RC"/>
    <s v="CIVIL"/>
    <d v="2023-06-30T00:00:00"/>
    <d v="2023-07-11T19:38:00"/>
    <m/>
    <d v="2023-07-11T00:00:00"/>
    <n v="1427"/>
    <n v="19251"/>
    <s v="60269520"/>
    <s v="60269520"/>
    <m/>
    <m/>
    <m/>
    <m/>
    <m/>
    <m/>
    <s v="SOLRECOUP"/>
    <s v="SOLRECOUP"/>
    <s v="POARECOUP"/>
    <n v="21361552"/>
    <n v="-3"/>
    <m/>
    <s v="Y"/>
    <n v="2"/>
    <d v="2023-07-11T19:38:01"/>
    <s v="N"/>
    <m/>
    <m/>
    <s v="Non Expert Disbursement"/>
    <m/>
    <s v="N"/>
    <n v="0"/>
    <n v="0"/>
    <x v="7"/>
    <s v="VALIDATED"/>
    <n v="1"/>
    <s v="01.11.80.000.0000.0000"/>
    <n v="0"/>
    <s v="11"/>
    <s v="0000"/>
    <n v="-14627.23"/>
    <n v="0"/>
    <s v="DEBTOR"/>
    <n v="0"/>
    <n v="0"/>
    <n v="0"/>
    <n v="0"/>
    <n v="0"/>
  </r>
  <r>
    <n v="60269520"/>
    <s v="N"/>
    <n v="21361553"/>
    <s v="3000014576250005RC"/>
    <s v="CIVIL"/>
    <d v="2023-06-30T00:00:00"/>
    <d v="2023-07-11T19:38:00"/>
    <m/>
    <d v="2023-07-11T00:00:00"/>
    <n v="1427"/>
    <n v="19251"/>
    <s v="60269520"/>
    <s v="60269520"/>
    <m/>
    <m/>
    <m/>
    <m/>
    <m/>
    <m/>
    <s v="SOLRECOUP"/>
    <s v="SOLRECOUP"/>
    <s v="POARECOUP"/>
    <n v="21361553"/>
    <n v="-301.49"/>
    <m/>
    <s v="Y"/>
    <n v="1"/>
    <d v="2023-07-11T19:38:01"/>
    <s v="N"/>
    <m/>
    <m/>
    <s v="Expert Disbursement"/>
    <m/>
    <s v="N"/>
    <n v="-251.24"/>
    <n v="0"/>
    <x v="7"/>
    <s v="VALIDATED"/>
    <n v="1"/>
    <s v="01.11.80.208.2013.0000"/>
    <n v="-251.24"/>
    <s v="11"/>
    <s v="2013"/>
    <n v="-14627.23"/>
    <n v="-251.24"/>
    <s v="DEBTOR"/>
    <n v="0"/>
    <n v="0"/>
    <n v="0"/>
    <n v="0"/>
    <n v="0"/>
  </r>
  <r>
    <n v="60269520"/>
    <s v="N"/>
    <n v="21361553"/>
    <s v="3000014576250005RC"/>
    <s v="CIVIL"/>
    <d v="2023-06-30T00:00:00"/>
    <d v="2023-07-11T19:38:00"/>
    <m/>
    <d v="2023-07-11T00:00:00"/>
    <n v="1427"/>
    <n v="19251"/>
    <s v="60269520"/>
    <s v="60269520"/>
    <m/>
    <m/>
    <m/>
    <m/>
    <m/>
    <m/>
    <s v="SOLRECOUP"/>
    <s v="SOLRECOUP"/>
    <s v="POARECOUP"/>
    <n v="21361553"/>
    <n v="-301.49"/>
    <m/>
    <s v="Y"/>
    <n v="2"/>
    <d v="2023-07-11T19:38:01"/>
    <s v="N"/>
    <m/>
    <m/>
    <s v="Expert Disbursement"/>
    <m/>
    <s v="N"/>
    <n v="0"/>
    <n v="-50.25"/>
    <x v="7"/>
    <s v="VALIDATED"/>
    <n v="1"/>
    <s v="01.11.80.208.2013.0000"/>
    <n v="-50.25"/>
    <s v="11"/>
    <s v="2013"/>
    <n v="-14627.23"/>
    <n v="-50.25"/>
    <s v="DEBTOR"/>
    <n v="0"/>
    <n v="0"/>
    <n v="0"/>
    <n v="0"/>
    <n v="0"/>
  </r>
  <r>
    <n v="60269520"/>
    <s v="N"/>
    <n v="21361554"/>
    <s v="3000014576250013RC"/>
    <s v="CIVIL"/>
    <d v="2023-06-30T00:00:00"/>
    <d v="2023-07-11T19:38:00"/>
    <m/>
    <d v="2023-07-11T00:00:00"/>
    <n v="1427"/>
    <n v="19251"/>
    <s v="60269520"/>
    <s v="60269520"/>
    <m/>
    <m/>
    <m/>
    <m/>
    <m/>
    <m/>
    <s v="SOLRECOUP"/>
    <s v="SOLRECOUP"/>
    <s v="POARECOUP"/>
    <n v="21361554"/>
    <n v="-18.05"/>
    <m/>
    <s v="Y"/>
    <n v="1"/>
    <d v="2023-07-11T19:38:01"/>
    <s v="N"/>
    <m/>
    <m/>
    <s v="Non Expert Disbursement"/>
    <m/>
    <s v="N"/>
    <n v="-18.05"/>
    <n v="0"/>
    <x v="7"/>
    <s v="VALIDATED"/>
    <n v="1"/>
    <s v="01.11.80.208.2013.0000"/>
    <n v="-18.05"/>
    <s v="11"/>
    <s v="2013"/>
    <n v="-14627.23"/>
    <n v="-18.05"/>
    <s v="DEBTOR"/>
    <n v="0"/>
    <n v="0"/>
    <n v="0"/>
    <n v="0"/>
    <n v="0"/>
  </r>
  <r>
    <n v="60269520"/>
    <s v="N"/>
    <n v="21361554"/>
    <s v="3000014576250013RC"/>
    <s v="CIVIL"/>
    <d v="2023-06-30T00:00:00"/>
    <d v="2023-07-11T19:38:00"/>
    <m/>
    <d v="2023-07-11T00:00:00"/>
    <n v="1427"/>
    <n v="19251"/>
    <s v="60269520"/>
    <s v="60269520"/>
    <m/>
    <m/>
    <m/>
    <m/>
    <m/>
    <m/>
    <s v="SOLRECOUP"/>
    <s v="SOLRECOUP"/>
    <s v="POARECOUP"/>
    <n v="21361554"/>
    <n v="-18.05"/>
    <m/>
    <s v="Y"/>
    <n v="2"/>
    <d v="2023-07-11T19:38:01"/>
    <s v="N"/>
    <m/>
    <m/>
    <s v="Non Expert Disbursement"/>
    <m/>
    <s v="N"/>
    <n v="0"/>
    <n v="0"/>
    <x v="7"/>
    <s v="VALIDATED"/>
    <n v="1"/>
    <s v="01.11.80.000.0000.0000"/>
    <n v="0"/>
    <s v="11"/>
    <s v="0000"/>
    <n v="-14627.23"/>
    <n v="0"/>
    <s v="DEBTOR"/>
    <n v="0"/>
    <n v="0"/>
    <n v="0"/>
    <n v="0"/>
    <n v="0"/>
  </r>
  <r>
    <n v="60269520"/>
    <s v="N"/>
    <n v="21361555"/>
    <s v="3000014576250014RC"/>
    <s v="CIVIL"/>
    <d v="2023-06-30T00:00:00"/>
    <d v="2023-07-11T19:38:00"/>
    <m/>
    <d v="2023-07-11T00:00:00"/>
    <n v="1427"/>
    <n v="19251"/>
    <s v="60269520"/>
    <s v="60269520"/>
    <m/>
    <m/>
    <m/>
    <m/>
    <m/>
    <m/>
    <s v="SOLRECOUP"/>
    <s v="SOLRECOUP"/>
    <s v="POARECOUP"/>
    <n v="21361555"/>
    <n v="-18.05"/>
    <m/>
    <s v="Y"/>
    <n v="1"/>
    <d v="2023-07-11T19:38:01"/>
    <s v="N"/>
    <m/>
    <m/>
    <s v="Non Expert Disbursement"/>
    <m/>
    <s v="N"/>
    <n v="-18.05"/>
    <n v="0"/>
    <x v="7"/>
    <s v="VALIDATED"/>
    <n v="1"/>
    <s v="01.11.80.208.2013.0000"/>
    <n v="-18.05"/>
    <s v="11"/>
    <s v="2013"/>
    <n v="-14627.23"/>
    <n v="-18.05"/>
    <s v="DEBTOR"/>
    <n v="0"/>
    <n v="0"/>
    <n v="0"/>
    <n v="0"/>
    <n v="0"/>
  </r>
  <r>
    <n v="23613551"/>
    <s v="N"/>
    <n v="21318741"/>
    <s v="3000008701910006"/>
    <s v="CIVIL"/>
    <d v="2023-06-20T00:00:00"/>
    <d v="2023-07-03T19:01:49"/>
    <m/>
    <d v="2023-07-03T00:00:00"/>
    <n v="1429"/>
    <n v="19273"/>
    <s v="23613551"/>
    <s v="23613551"/>
    <m/>
    <m/>
    <n v="22729718"/>
    <m/>
    <m/>
    <m/>
    <s v="SOLPOA"/>
    <s v="SOLPOA"/>
    <s v="CCMS"/>
    <n v="21318741"/>
    <n v="32.4"/>
    <m/>
    <s v="N"/>
    <n v="1"/>
    <d v="2023-07-03T19:02:02"/>
    <s v="N"/>
    <s v="Expert Cost - Private Law Children"/>
    <s v="Expert Cost - Private Law Chil"/>
    <s v="Expert Disbursement"/>
    <s v="Premium linguistics"/>
    <s v="N"/>
    <n v="27"/>
    <n v="5.4"/>
    <x v="3"/>
    <s v="VALIDATED"/>
    <n v="1"/>
    <s v="01.11.80.307.2012.0000"/>
    <n v="27"/>
    <s v="11"/>
    <s v="2012"/>
    <n v="27"/>
    <n v="27"/>
    <s v="CREDITOR"/>
    <n v="27"/>
    <n v="0"/>
    <n v="0"/>
    <n v="0"/>
    <n v="0"/>
  </r>
  <r>
    <n v="61075463"/>
    <s v="N"/>
    <n v="21356687"/>
    <s v="3000015271740003RC"/>
    <s v="CIVIL"/>
    <d v="2023-06-28T00:00:00"/>
    <d v="2023-07-10T19:47:44"/>
    <m/>
    <d v="2023-07-10T00:00:00"/>
    <n v="1431"/>
    <n v="19284"/>
    <s v="61075463"/>
    <s v="61075463"/>
    <m/>
    <m/>
    <m/>
    <m/>
    <m/>
    <m/>
    <s v="SOLRECOUP"/>
    <s v="SOLRECOUP"/>
    <s v="POARECOUP"/>
    <n v="21356687"/>
    <n v="-628.51"/>
    <m/>
    <s v="Y"/>
    <n v="2"/>
    <d v="2023-07-10T19:47:46"/>
    <s v="N"/>
    <m/>
    <m/>
    <s v="Profit Cost"/>
    <m/>
    <s v="N"/>
    <n v="0"/>
    <n v="-104.75"/>
    <x v="2"/>
    <s v="VALIDATED"/>
    <n v="1"/>
    <s v="01.11.80.308.2013.0000"/>
    <n v="-104.75"/>
    <s v="11"/>
    <s v="2013"/>
    <n v="1195.25"/>
    <n v="-104.75"/>
    <s v="CREDITOR"/>
    <n v="0"/>
    <n v="0"/>
    <n v="-104.75"/>
    <n v="-26.1875"/>
    <n v="0"/>
  </r>
  <r>
    <n v="61075463"/>
    <s v="N"/>
    <n v="21356688"/>
    <s v="3000015271740001RC"/>
    <s v="CIVIL"/>
    <d v="2023-06-28T00:00:00"/>
    <d v="2023-07-10T19:47:44"/>
    <m/>
    <d v="2023-07-10T00:00:00"/>
    <n v="1431"/>
    <n v="19284"/>
    <s v="61075463"/>
    <s v="61075463"/>
    <m/>
    <m/>
    <m/>
    <m/>
    <m/>
    <m/>
    <s v="SOLRECOUP"/>
    <s v="SOLRECOUP"/>
    <s v="POARECOUP"/>
    <n v="21356688"/>
    <n v="-1077.93"/>
    <m/>
    <s v="Y"/>
    <n v="1"/>
    <d v="2023-07-10T19:47:46"/>
    <s v="N"/>
    <m/>
    <m/>
    <s v="Expert Disbursement"/>
    <m/>
    <s v="N"/>
    <n v="-1077.93"/>
    <n v="0"/>
    <x v="2"/>
    <s v="VALIDATED"/>
    <n v="1"/>
    <s v="01.11.80.308.2013.0000"/>
    <n v="-1077.93"/>
    <s v="11"/>
    <s v="2013"/>
    <n v="1195.25"/>
    <n v="-1077.93"/>
    <s v="CREDITOR"/>
    <n v="0"/>
    <n v="0"/>
    <n v="-1077.93"/>
    <n v="0"/>
    <n v="0"/>
  </r>
  <r>
    <n v="61075463"/>
    <s v="N"/>
    <n v="21356688"/>
    <s v="3000015271740001RC"/>
    <s v="CIVIL"/>
    <d v="2023-06-28T00:00:00"/>
    <d v="2023-07-10T19:47:44"/>
    <m/>
    <d v="2023-07-10T00:00:00"/>
    <n v="1431"/>
    <n v="19284"/>
    <s v="61075463"/>
    <s v="61075463"/>
    <m/>
    <m/>
    <m/>
    <m/>
    <m/>
    <m/>
    <s v="SOLRECOUP"/>
    <s v="SOLRECOUP"/>
    <s v="POARECOUP"/>
    <n v="21356688"/>
    <n v="-1077.93"/>
    <m/>
    <s v="Y"/>
    <n v="2"/>
    <d v="2023-07-10T19:47:46"/>
    <s v="N"/>
    <m/>
    <m/>
    <s v="Expert Disbursement"/>
    <m/>
    <s v="N"/>
    <n v="0"/>
    <n v="0"/>
    <x v="2"/>
    <s v="VALIDATED"/>
    <n v="1"/>
    <s v="01.11.80.000.0000.0000"/>
    <n v="0"/>
    <s v="11"/>
    <s v="0000"/>
    <n v="1195.25"/>
    <n v="0"/>
    <s v="CREDITOR"/>
    <n v="0"/>
    <n v="0"/>
    <n v="0"/>
    <n v="0"/>
    <n v="0"/>
  </r>
  <r>
    <n v="61075463"/>
    <s v="N"/>
    <n v="21356689"/>
    <s v="3000015271740002RC"/>
    <s v="CIVIL"/>
    <d v="2023-06-28T00:00:00"/>
    <d v="2023-07-10T19:47:44"/>
    <m/>
    <d v="2023-07-10T00:00:00"/>
    <n v="1431"/>
    <n v="19284"/>
    <s v="61075463"/>
    <s v="61075463"/>
    <m/>
    <m/>
    <m/>
    <m/>
    <m/>
    <m/>
    <s v="SOLRECOUP"/>
    <s v="SOLRECOUP"/>
    <s v="POARECOUP"/>
    <n v="21356689"/>
    <n v="-2040.7"/>
    <m/>
    <s v="Y"/>
    <n v="1"/>
    <d v="2023-07-10T19:47:46"/>
    <s v="N"/>
    <m/>
    <m/>
    <s v="Profit Cost"/>
    <m/>
    <s v="N"/>
    <n v="-1700.58"/>
    <n v="0"/>
    <x v="2"/>
    <s v="VALIDATED"/>
    <n v="1"/>
    <s v="01.11.80.308.2013.0000"/>
    <n v="-1700.58"/>
    <s v="11"/>
    <s v="2013"/>
    <n v="1195.25"/>
    <n v="-1700.58"/>
    <s v="CREDITOR"/>
    <n v="0"/>
    <n v="0"/>
    <n v="-1700.58"/>
    <n v="-425.145"/>
    <n v="0"/>
  </r>
  <r>
    <n v="61075463"/>
    <s v="N"/>
    <n v="21356689"/>
    <s v="3000015271740002RC"/>
    <s v="CIVIL"/>
    <d v="2023-06-28T00:00:00"/>
    <d v="2023-07-10T19:47:44"/>
    <m/>
    <d v="2023-07-10T00:00:00"/>
    <n v="1431"/>
    <n v="19284"/>
    <s v="61075463"/>
    <s v="61075463"/>
    <m/>
    <m/>
    <m/>
    <m/>
    <m/>
    <m/>
    <s v="SOLRECOUP"/>
    <s v="SOLRECOUP"/>
    <s v="POARECOUP"/>
    <n v="21356689"/>
    <n v="-2040.7"/>
    <m/>
    <s v="Y"/>
    <n v="2"/>
    <d v="2023-07-10T19:47:46"/>
    <s v="N"/>
    <m/>
    <m/>
    <s v="Profit Cost"/>
    <m/>
    <s v="N"/>
    <n v="0"/>
    <n v="-340.12"/>
    <x v="2"/>
    <s v="VALIDATED"/>
    <n v="1"/>
    <s v="01.11.80.308.2013.0000"/>
    <n v="-340.12"/>
    <s v="11"/>
    <s v="2013"/>
    <n v="1195.25"/>
    <n v="-340.12"/>
    <s v="CREDITOR"/>
    <n v="0"/>
    <n v="0"/>
    <n v="-340.12"/>
    <n v="-85.03"/>
    <n v="0"/>
  </r>
  <r>
    <n v="61075463"/>
    <s v="N"/>
    <n v="21356690"/>
    <s v="3000015271740007RC"/>
    <s v="CIVIL"/>
    <d v="2023-06-28T00:00:00"/>
    <d v="2023-07-10T19:47:44"/>
    <m/>
    <d v="2023-07-10T00:00:00"/>
    <n v="1431"/>
    <n v="19284"/>
    <s v="61075463"/>
    <s v="61075463"/>
    <m/>
    <m/>
    <m/>
    <m/>
    <m/>
    <m/>
    <s v="SOLRECOUP"/>
    <s v="SOLRECOUP"/>
    <s v="POARECOUP"/>
    <n v="21356690"/>
    <n v="-1287.94"/>
    <m/>
    <s v="Y"/>
    <n v="1"/>
    <d v="2023-07-10T19:47:46"/>
    <s v="N"/>
    <m/>
    <m/>
    <s v="Profit Cost"/>
    <m/>
    <s v="N"/>
    <n v="-1073.28"/>
    <n v="0"/>
    <x v="2"/>
    <s v="VALIDATED"/>
    <n v="1"/>
    <s v="01.11.80.308.2013.0000"/>
    <n v="-1073.28"/>
    <s v="11"/>
    <s v="2013"/>
    <n v="1195.25"/>
    <n v="-1073.28"/>
    <s v="CREDITOR"/>
    <n v="0"/>
    <n v="0"/>
    <n v="-1073.28"/>
    <n v="-268.32"/>
    <n v="0"/>
  </r>
  <r>
    <n v="61075463"/>
    <s v="N"/>
    <n v="21356690"/>
    <s v="3000015271740007RC"/>
    <s v="CIVIL"/>
    <d v="2023-06-28T00:00:00"/>
    <d v="2023-07-10T19:47:44"/>
    <m/>
    <d v="2023-07-10T00:00:00"/>
    <n v="1431"/>
    <n v="19284"/>
    <s v="61075463"/>
    <s v="61075463"/>
    <m/>
    <m/>
    <m/>
    <m/>
    <m/>
    <m/>
    <s v="SOLRECOUP"/>
    <s v="SOLRECOUP"/>
    <s v="POARECOUP"/>
    <n v="21356690"/>
    <n v="-1287.94"/>
    <m/>
    <s v="Y"/>
    <n v="2"/>
    <d v="2023-07-10T19:47:46"/>
    <s v="N"/>
    <m/>
    <m/>
    <s v="Profit Cost"/>
    <m/>
    <s v="N"/>
    <n v="0"/>
    <n v="-214.66"/>
    <x v="2"/>
    <s v="VALIDATED"/>
    <n v="1"/>
    <s v="01.11.80.308.2013.0000"/>
    <n v="-214.66"/>
    <s v="11"/>
    <s v="2013"/>
    <n v="1195.25"/>
    <n v="-214.66"/>
    <s v="CREDITOR"/>
    <n v="0"/>
    <n v="0"/>
    <n v="-214.66"/>
    <n v="-53.665"/>
    <n v="0"/>
  </r>
  <r>
    <n v="61075463"/>
    <s v="N"/>
    <n v="21356691"/>
    <s v="3000015271740004RC"/>
    <s v="CIVIL"/>
    <d v="2023-06-28T00:00:00"/>
    <d v="2023-07-10T19:47:44"/>
    <m/>
    <d v="2023-07-10T00:00:00"/>
    <n v="1431"/>
    <n v="19284"/>
    <s v="61075463"/>
    <s v="61075463"/>
    <m/>
    <m/>
    <m/>
    <m/>
    <m/>
    <m/>
    <s v="SOLRECOUP"/>
    <s v="SOLRECOUP"/>
    <s v="POARECOUP"/>
    <n v="21356691"/>
    <n v="-38.6"/>
    <m/>
    <s v="Y"/>
    <n v="1"/>
    <d v="2023-07-10T19:47:46"/>
    <s v="N"/>
    <m/>
    <m/>
    <s v="Non Expert Disbursement"/>
    <m/>
    <s v="N"/>
    <n v="-38.6"/>
    <n v="0"/>
    <x v="2"/>
    <s v="VALIDATED"/>
    <n v="1"/>
    <s v="01.11.80.308.2013.0000"/>
    <n v="-38.6"/>
    <s v="11"/>
    <s v="2013"/>
    <n v="1195.25"/>
    <n v="-38.6"/>
    <s v="CREDITOR"/>
    <n v="0"/>
    <n v="0"/>
    <n v="-38.6"/>
    <n v="0"/>
    <n v="0"/>
  </r>
  <r>
    <n v="61075463"/>
    <s v="N"/>
    <n v="21356691"/>
    <s v="3000015271740004RC"/>
    <s v="CIVIL"/>
    <d v="2023-06-28T00:00:00"/>
    <d v="2023-07-10T19:47:44"/>
    <m/>
    <d v="2023-07-10T00:00:00"/>
    <n v="1431"/>
    <n v="19284"/>
    <s v="61075463"/>
    <s v="61075463"/>
    <m/>
    <m/>
    <m/>
    <m/>
    <m/>
    <m/>
    <s v="SOLRECOUP"/>
    <s v="SOLRECOUP"/>
    <s v="POARECOUP"/>
    <n v="21356691"/>
    <n v="-38.6"/>
    <m/>
    <s v="Y"/>
    <n v="2"/>
    <d v="2023-07-10T19:47:46"/>
    <s v="N"/>
    <m/>
    <m/>
    <s v="Non Expert Disbursement"/>
    <m/>
    <s v="N"/>
    <n v="0"/>
    <n v="0"/>
    <x v="2"/>
    <s v="VALIDATED"/>
    <n v="1"/>
    <s v="01.11.80.000.0000.0000"/>
    <n v="0"/>
    <s v="11"/>
    <s v="0000"/>
    <n v="1195.25"/>
    <n v="0"/>
    <s v="CREDITOR"/>
    <n v="0"/>
    <n v="0"/>
    <n v="0"/>
    <n v="0"/>
    <n v="0"/>
  </r>
  <r>
    <n v="61075463"/>
    <s v="N"/>
    <n v="21356692"/>
    <s v="3000015271740006RC"/>
    <s v="CIVIL"/>
    <d v="2023-06-28T00:00:00"/>
    <d v="2023-07-10T19:47:44"/>
    <m/>
    <d v="2023-07-10T00:00:00"/>
    <n v="1431"/>
    <n v="19284"/>
    <s v="61075463"/>
    <s v="61075463"/>
    <m/>
    <m/>
    <m/>
    <m/>
    <m/>
    <m/>
    <s v="SOLRECOUP"/>
    <s v="SOLRECOUP"/>
    <s v="POARECOUP"/>
    <n v="21356692"/>
    <n v="-32.8"/>
    <m/>
    <s v="Y"/>
    <n v="1"/>
    <d v="2023-07-10T19:47:46"/>
    <s v="N"/>
    <m/>
    <m/>
    <s v="Non Expert Disbursement"/>
    <m/>
    <s v="N"/>
    <n v="-32.8"/>
    <n v="0"/>
    <x v="2"/>
    <s v="VALIDATED"/>
    <n v="1"/>
    <s v="01.11.80.308.2013.0000"/>
    <n v="-32.8"/>
    <s v="11"/>
    <s v="2013"/>
    <n v="1195.25"/>
    <n v="-32.8"/>
    <s v="CREDITOR"/>
    <n v="0"/>
    <n v="0"/>
    <n v="-32.8"/>
    <n v="0"/>
    <n v="0"/>
  </r>
  <r>
    <n v="61075463"/>
    <s v="N"/>
    <n v="21356692"/>
    <s v="3000015271740006RC"/>
    <s v="CIVIL"/>
    <d v="2023-06-28T00:00:00"/>
    <d v="2023-07-10T19:47:44"/>
    <m/>
    <d v="2023-07-10T00:00:00"/>
    <n v="1431"/>
    <n v="19284"/>
    <s v="61075463"/>
    <s v="61075463"/>
    <m/>
    <m/>
    <m/>
    <m/>
    <m/>
    <m/>
    <s v="SOLRECOUP"/>
    <s v="SOLRECOUP"/>
    <s v="POARECOUP"/>
    <n v="21356692"/>
    <n v="-32.8"/>
    <m/>
    <s v="Y"/>
    <n v="2"/>
    <d v="2023-07-10T19:47:46"/>
    <s v="N"/>
    <m/>
    <m/>
    <s v="Non Expert Disbursement"/>
    <m/>
    <s v="N"/>
    <n v="0"/>
    <n v="0"/>
    <x v="2"/>
    <s v="VALIDATED"/>
    <n v="1"/>
    <s v="01.11.80.000.0000.0000"/>
    <n v="0"/>
    <s v="11"/>
    <s v="0000"/>
    <n v="1195.25"/>
    <n v="0"/>
    <s v="CREDITOR"/>
    <n v="0"/>
    <n v="0"/>
    <n v="0"/>
    <n v="0"/>
    <n v="0"/>
  </r>
  <r>
    <n v="19720003"/>
    <s v="N"/>
    <n v="21328793"/>
    <s v="3000008312410022RC"/>
    <s v="CIVIL"/>
    <d v="2023-06-28T00:00:00"/>
    <d v="2023-07-04T19:38:21"/>
    <m/>
    <d v="2023-07-04T00:00:00"/>
    <n v="1431"/>
    <n v="19284"/>
    <s v="19720003"/>
    <s v="19720003"/>
    <m/>
    <m/>
    <m/>
    <m/>
    <m/>
    <m/>
    <s v="SOLRECOUP"/>
    <s v="SOLRECOUP"/>
    <s v="POARECOUP"/>
    <n v="21328793"/>
    <n v="-565.8"/>
    <m/>
    <s v="Y"/>
    <n v="2"/>
    <d v="2023-07-04T19:38:23"/>
    <s v="N"/>
    <m/>
    <m/>
    <s v="Expert Disbursement"/>
    <m/>
    <s v="N"/>
    <n v="0"/>
    <n v="-94.3"/>
    <x v="1"/>
    <s v="VALIDATED"/>
    <n v="1"/>
    <s v="01.11.80.308.2013.0000"/>
    <n v="-94.3"/>
    <s v="11"/>
    <s v="2013"/>
    <n v="1195.25"/>
    <n v="-94.3"/>
    <s v="CREDITOR"/>
    <n v="0"/>
    <n v="0"/>
    <n v="-94.3"/>
    <n v="0"/>
    <n v="0"/>
  </r>
  <r>
    <n v="19720003"/>
    <s v="N"/>
    <n v="21328794"/>
    <s v="3000008312410012RC"/>
    <s v="CIVIL"/>
    <d v="2023-06-28T00:00:00"/>
    <d v="2023-07-04T19:38:21"/>
    <m/>
    <d v="2023-07-04T00:00:00"/>
    <n v="1431"/>
    <n v="19284"/>
    <s v="19720003"/>
    <s v="19720003"/>
    <m/>
    <m/>
    <m/>
    <m/>
    <m/>
    <m/>
    <s v="SOLRECOUP"/>
    <s v="SOLRECOUP"/>
    <s v="POARECOUP"/>
    <n v="21328794"/>
    <n v="-169.5"/>
    <m/>
    <s v="Y"/>
    <n v="1"/>
    <d v="2023-07-04T19:38:23"/>
    <s v="N"/>
    <m/>
    <m/>
    <s v="Expert Disbursement"/>
    <m/>
    <s v="N"/>
    <n v="-141.25"/>
    <n v="0"/>
    <x v="1"/>
    <s v="VALIDATED"/>
    <n v="1"/>
    <s v="01.11.80.308.2013.0000"/>
    <n v="-141.25"/>
    <s v="11"/>
    <s v="2013"/>
    <n v="1195.25"/>
    <n v="-141.25"/>
    <s v="CREDITOR"/>
    <n v="0"/>
    <n v="0"/>
    <n v="-141.25"/>
    <n v="0"/>
    <n v="0"/>
  </r>
  <r>
    <n v="19720003"/>
    <s v="N"/>
    <n v="21328794"/>
    <s v="3000008312410012RC"/>
    <s v="CIVIL"/>
    <d v="2023-06-28T00:00:00"/>
    <d v="2023-07-04T19:38:21"/>
    <m/>
    <d v="2023-07-04T00:00:00"/>
    <n v="1431"/>
    <n v="19284"/>
    <s v="19720003"/>
    <s v="19720003"/>
    <m/>
    <m/>
    <m/>
    <m/>
    <m/>
    <m/>
    <s v="SOLRECOUP"/>
    <s v="SOLRECOUP"/>
    <s v="POARECOUP"/>
    <n v="21328794"/>
    <n v="-169.5"/>
    <m/>
    <s v="Y"/>
    <n v="2"/>
    <d v="2023-07-04T19:38:23"/>
    <s v="N"/>
    <m/>
    <m/>
    <s v="Expert Disbursement"/>
    <m/>
    <s v="N"/>
    <n v="0"/>
    <n v="-28.25"/>
    <x v="1"/>
    <s v="VALIDATED"/>
    <n v="1"/>
    <s v="01.11.80.308.2013.0000"/>
    <n v="-28.25"/>
    <s v="11"/>
    <s v="2013"/>
    <n v="1195.25"/>
    <n v="-28.25"/>
    <s v="CREDITOR"/>
    <n v="0"/>
    <n v="0"/>
    <n v="-28.25"/>
    <n v="0"/>
    <n v="0"/>
  </r>
  <r>
    <n v="19720003"/>
    <s v="N"/>
    <n v="21328795"/>
    <s v="3000008312410020RC"/>
    <s v="CIVIL"/>
    <d v="2023-06-28T00:00:00"/>
    <d v="2023-07-04T19:38:21"/>
    <m/>
    <d v="2023-07-04T00:00:00"/>
    <n v="1431"/>
    <n v="19284"/>
    <s v="19720003"/>
    <s v="19720003"/>
    <m/>
    <m/>
    <m/>
    <m/>
    <m/>
    <m/>
    <s v="SOLRECOUP"/>
    <s v="SOLRECOUP"/>
    <s v="POARECOUP"/>
    <n v="21328795"/>
    <n v="-123"/>
    <m/>
    <s v="Y"/>
    <n v="1"/>
    <d v="2023-07-04T19:38:23"/>
    <s v="N"/>
    <m/>
    <m/>
    <s v="Expert Disbursement"/>
    <m/>
    <s v="N"/>
    <n v="-102.5"/>
    <n v="0"/>
    <x v="1"/>
    <s v="VALIDATED"/>
    <n v="1"/>
    <s v="01.11.80.308.2013.0000"/>
    <n v="-102.5"/>
    <s v="11"/>
    <s v="2013"/>
    <n v="1195.25"/>
    <n v="-102.5"/>
    <s v="CREDITOR"/>
    <n v="0"/>
    <n v="0"/>
    <n v="-102.5"/>
    <n v="0"/>
    <n v="0"/>
  </r>
  <r>
    <n v="19720003"/>
    <s v="N"/>
    <n v="21328795"/>
    <s v="3000008312410020RC"/>
    <s v="CIVIL"/>
    <d v="2023-06-28T00:00:00"/>
    <d v="2023-07-04T19:38:21"/>
    <m/>
    <d v="2023-07-04T00:00:00"/>
    <n v="1431"/>
    <n v="19284"/>
    <s v="19720003"/>
    <s v="19720003"/>
    <m/>
    <m/>
    <m/>
    <m/>
    <m/>
    <m/>
    <s v="SOLRECOUP"/>
    <s v="SOLRECOUP"/>
    <s v="POARECOUP"/>
    <n v="21328795"/>
    <n v="-123"/>
    <m/>
    <s v="Y"/>
    <n v="2"/>
    <d v="2023-07-04T19:38:23"/>
    <s v="N"/>
    <m/>
    <m/>
    <s v="Expert Disbursement"/>
    <m/>
    <s v="N"/>
    <n v="0"/>
    <n v="-20.5"/>
    <x v="1"/>
    <s v="VALIDATED"/>
    <n v="1"/>
    <s v="01.11.80.308.2013.0000"/>
    <n v="-20.5"/>
    <s v="11"/>
    <s v="2013"/>
    <n v="1195.25"/>
    <n v="-20.5"/>
    <s v="CREDITOR"/>
    <n v="0"/>
    <n v="0"/>
    <n v="-20.5"/>
    <n v="0"/>
    <n v="0"/>
  </r>
  <r>
    <n v="19720003"/>
    <s v="N"/>
    <n v="21328796"/>
    <s v="3000008312410026RC"/>
    <s v="CIVIL"/>
    <d v="2023-06-28T00:00:00"/>
    <d v="2023-07-04T19:38:21"/>
    <m/>
    <d v="2023-07-04T00:00:00"/>
    <n v="1431"/>
    <n v="19284"/>
    <s v="19720003"/>
    <s v="19720003"/>
    <m/>
    <m/>
    <m/>
    <m/>
    <m/>
    <m/>
    <s v="SOLRECOUP"/>
    <s v="SOLRECOUP"/>
    <s v="POARECOUP"/>
    <n v="21328796"/>
    <n v="-251.28"/>
    <m/>
    <s v="Y"/>
    <n v="1"/>
    <d v="2023-07-04T19:38:23"/>
    <s v="N"/>
    <m/>
    <m/>
    <s v="Expert Disbursement"/>
    <m/>
    <s v="N"/>
    <n v="-209.4"/>
    <n v="0"/>
    <x v="1"/>
    <s v="VALIDATED"/>
    <n v="1"/>
    <s v="01.11.80.308.2013.0000"/>
    <n v="-209.4"/>
    <s v="11"/>
    <s v="2013"/>
    <n v="1195.25"/>
    <n v="-209.4"/>
    <s v="CREDITOR"/>
    <n v="0"/>
    <n v="0"/>
    <n v="-209.4"/>
    <n v="0"/>
    <n v="0"/>
  </r>
  <r>
    <n v="19720003"/>
    <s v="N"/>
    <n v="21328796"/>
    <s v="3000008312410026RC"/>
    <s v="CIVIL"/>
    <d v="2023-06-28T00:00:00"/>
    <d v="2023-07-04T19:38:21"/>
    <m/>
    <d v="2023-07-04T00:00:00"/>
    <n v="1431"/>
    <n v="19284"/>
    <s v="19720003"/>
    <s v="19720003"/>
    <m/>
    <m/>
    <m/>
    <m/>
    <m/>
    <m/>
    <s v="SOLRECOUP"/>
    <s v="SOLRECOUP"/>
    <s v="POARECOUP"/>
    <n v="21328796"/>
    <n v="-251.28"/>
    <m/>
    <s v="Y"/>
    <n v="2"/>
    <d v="2023-07-04T19:38:23"/>
    <s v="N"/>
    <m/>
    <m/>
    <s v="Expert Disbursement"/>
    <m/>
    <s v="N"/>
    <n v="0"/>
    <n v="-41.88"/>
    <x v="1"/>
    <s v="VALIDATED"/>
    <n v="1"/>
    <s v="01.11.80.308.2013.0000"/>
    <n v="-41.88"/>
    <s v="11"/>
    <s v="2013"/>
    <n v="1195.25"/>
    <n v="-41.88"/>
    <s v="CREDITOR"/>
    <n v="0"/>
    <n v="0"/>
    <n v="-41.88"/>
    <n v="0"/>
    <n v="0"/>
  </r>
  <r>
    <n v="19720003"/>
    <s v="N"/>
    <n v="21328797"/>
    <s v="3000008312410025RC"/>
    <s v="CIVIL"/>
    <d v="2023-06-28T00:00:00"/>
    <d v="2023-07-04T19:38:21"/>
    <m/>
    <d v="2023-07-04T00:00:00"/>
    <n v="1431"/>
    <n v="19284"/>
    <s v="19720003"/>
    <s v="19720003"/>
    <m/>
    <m/>
    <m/>
    <m/>
    <m/>
    <m/>
    <s v="SOLRECOUP"/>
    <s v="SOLRECOUP"/>
    <s v="POARECOUP"/>
    <n v="21328797"/>
    <n v="-275.04"/>
    <m/>
    <s v="Y"/>
    <n v="1"/>
    <d v="2023-07-04T19:38:23"/>
    <s v="N"/>
    <m/>
    <m/>
    <s v="Expert Disbursement"/>
    <m/>
    <s v="N"/>
    <n v="-229.2"/>
    <n v="0"/>
    <x v="1"/>
    <s v="VALIDATED"/>
    <n v="1"/>
    <s v="01.11.80.308.2013.0000"/>
    <n v="-229.2"/>
    <s v="11"/>
    <s v="2013"/>
    <n v="1195.25"/>
    <n v="-229.2"/>
    <s v="CREDITOR"/>
    <n v="0"/>
    <n v="0"/>
    <n v="-229.2"/>
    <n v="0"/>
    <n v="0"/>
  </r>
  <r>
    <n v="19720003"/>
    <s v="N"/>
    <n v="21328797"/>
    <s v="3000008312410025RC"/>
    <s v="CIVIL"/>
    <d v="2023-06-28T00:00:00"/>
    <d v="2023-07-04T19:38:21"/>
    <m/>
    <d v="2023-07-04T00:00:00"/>
    <n v="1431"/>
    <n v="19284"/>
    <s v="19720003"/>
    <s v="19720003"/>
    <m/>
    <m/>
    <m/>
    <m/>
    <m/>
    <m/>
    <s v="SOLRECOUP"/>
    <s v="SOLRECOUP"/>
    <s v="POARECOUP"/>
    <n v="21328797"/>
    <n v="-275.04"/>
    <m/>
    <s v="Y"/>
    <n v="2"/>
    <d v="2023-07-04T19:38:23"/>
    <s v="N"/>
    <m/>
    <m/>
    <s v="Expert Disbursement"/>
    <m/>
    <s v="N"/>
    <n v="0"/>
    <n v="-45.84"/>
    <x v="1"/>
    <s v="VALIDATED"/>
    <n v="1"/>
    <s v="01.11.80.308.2013.0000"/>
    <n v="-45.84"/>
    <s v="11"/>
    <s v="2013"/>
    <n v="1195.25"/>
    <n v="-45.84"/>
    <s v="CREDITOR"/>
    <n v="0"/>
    <n v="0"/>
    <n v="-45.84"/>
    <n v="0"/>
    <n v="0"/>
  </r>
  <r>
    <n v="19720003"/>
    <s v="N"/>
    <n v="21328798"/>
    <s v="3000008312410017RC"/>
    <s v="CIVIL"/>
    <d v="2023-06-28T00:00:00"/>
    <d v="2023-07-04T19:38:21"/>
    <m/>
    <d v="2023-07-04T00:00:00"/>
    <n v="1431"/>
    <n v="19284"/>
    <s v="19720003"/>
    <s v="19720003"/>
    <m/>
    <m/>
    <m/>
    <m/>
    <m/>
    <m/>
    <s v="SOLRECOUP"/>
    <s v="SOLRECOUP"/>
    <s v="POARECOUP"/>
    <n v="21328798"/>
    <n v="-117"/>
    <m/>
    <s v="Y"/>
    <n v="1"/>
    <d v="2023-07-04T19:38:23"/>
    <s v="N"/>
    <m/>
    <m/>
    <s v="Expert Disbursement"/>
    <m/>
    <s v="N"/>
    <n v="-97.5"/>
    <n v="0"/>
    <x v="1"/>
    <s v="VALIDATED"/>
    <n v="1"/>
    <s v="01.11.80.308.2013.0000"/>
    <n v="-97.5"/>
    <s v="11"/>
    <s v="2013"/>
    <n v="1195.25"/>
    <n v="-97.5"/>
    <s v="CREDITOR"/>
    <n v="0"/>
    <n v="0"/>
    <n v="-97.5"/>
    <n v="0"/>
    <n v="0"/>
  </r>
  <r>
    <n v="19720003"/>
    <s v="N"/>
    <n v="21328798"/>
    <s v="3000008312410017RC"/>
    <s v="CIVIL"/>
    <d v="2023-06-28T00:00:00"/>
    <d v="2023-07-04T19:38:21"/>
    <m/>
    <d v="2023-07-04T00:00:00"/>
    <n v="1431"/>
    <n v="19284"/>
    <s v="19720003"/>
    <s v="19720003"/>
    <m/>
    <m/>
    <m/>
    <m/>
    <m/>
    <m/>
    <s v="SOLRECOUP"/>
    <s v="SOLRECOUP"/>
    <s v="POARECOUP"/>
    <n v="21328798"/>
    <n v="-117"/>
    <m/>
    <s v="Y"/>
    <n v="2"/>
    <d v="2023-07-04T19:38:23"/>
    <s v="N"/>
    <m/>
    <m/>
    <s v="Expert Disbursement"/>
    <m/>
    <s v="N"/>
    <n v="0"/>
    <n v="-19.5"/>
    <x v="1"/>
    <s v="VALIDATED"/>
    <n v="1"/>
    <s v="01.11.80.308.2013.0000"/>
    <n v="-19.5"/>
    <s v="11"/>
    <s v="2013"/>
    <n v="1195.25"/>
    <n v="-19.5"/>
    <s v="CREDITOR"/>
    <n v="0"/>
    <n v="0"/>
    <n v="-19.5"/>
    <n v="0"/>
    <n v="0"/>
  </r>
  <r>
    <n v="19720003"/>
    <s v="N"/>
    <n v="21328799"/>
    <s v="3000008312410016RC"/>
    <s v="CIVIL"/>
    <d v="2023-06-28T00:00:00"/>
    <d v="2023-07-04T19:38:21"/>
    <m/>
    <d v="2023-07-04T00:00:00"/>
    <n v="1431"/>
    <n v="19284"/>
    <s v="19720003"/>
    <s v="19720003"/>
    <m/>
    <m/>
    <m/>
    <m/>
    <m/>
    <m/>
    <s v="SOLRECOUP"/>
    <s v="SOLRECOUP"/>
    <s v="POARECOUP"/>
    <n v="21328799"/>
    <n v="-252"/>
    <m/>
    <s v="Y"/>
    <n v="1"/>
    <d v="2023-07-04T19:38:23"/>
    <s v="N"/>
    <m/>
    <m/>
    <s v="Expert Disbursement"/>
    <m/>
    <s v="N"/>
    <n v="-210"/>
    <n v="0"/>
    <x v="1"/>
    <s v="VALIDATED"/>
    <n v="1"/>
    <s v="01.11.80.308.2013.0000"/>
    <n v="-210"/>
    <s v="11"/>
    <s v="2013"/>
    <n v="1195.25"/>
    <n v="-210"/>
    <s v="CREDITOR"/>
    <n v="0"/>
    <n v="0"/>
    <n v="-210"/>
    <n v="0"/>
    <n v="0"/>
  </r>
  <r>
    <n v="19720003"/>
    <s v="N"/>
    <n v="21328799"/>
    <s v="3000008312410016RC"/>
    <s v="CIVIL"/>
    <d v="2023-06-28T00:00:00"/>
    <d v="2023-07-04T19:38:21"/>
    <m/>
    <d v="2023-07-04T00:00:00"/>
    <n v="1431"/>
    <n v="19284"/>
    <s v="19720003"/>
    <s v="19720003"/>
    <m/>
    <m/>
    <m/>
    <m/>
    <m/>
    <m/>
    <s v="SOLRECOUP"/>
    <s v="SOLRECOUP"/>
    <s v="POARECOUP"/>
    <n v="21328799"/>
    <n v="-252"/>
    <m/>
    <s v="Y"/>
    <n v="2"/>
    <d v="2023-07-04T19:38:23"/>
    <s v="N"/>
    <m/>
    <m/>
    <s v="Expert Disbursement"/>
    <m/>
    <s v="N"/>
    <n v="0"/>
    <n v="-42"/>
    <x v="1"/>
    <s v="VALIDATED"/>
    <n v="1"/>
    <s v="01.11.80.308.2013.0000"/>
    <n v="-42"/>
    <s v="11"/>
    <s v="2013"/>
    <n v="1195.25"/>
    <n v="-42"/>
    <s v="CREDITOR"/>
    <n v="0"/>
    <n v="0"/>
    <n v="-42"/>
    <n v="0"/>
    <n v="0"/>
  </r>
  <r>
    <n v="19720003"/>
    <s v="N"/>
    <n v="21328800"/>
    <s v="3000008312410019RC"/>
    <s v="CIVIL"/>
    <d v="2023-06-28T00:00:00"/>
    <d v="2023-07-04T19:38:21"/>
    <m/>
    <d v="2023-07-04T00:00:00"/>
    <n v="1431"/>
    <n v="19284"/>
    <s v="19720003"/>
    <s v="19720003"/>
    <m/>
    <m/>
    <m/>
    <m/>
    <m/>
    <m/>
    <s v="SOLRECOUP"/>
    <s v="SOLRECOUP"/>
    <s v="POARECOUP"/>
    <n v="21328800"/>
    <n v="-604.8"/>
    <m/>
    <s v="Y"/>
    <n v="1"/>
    <d v="2023-07-04T19:38:23"/>
    <s v="N"/>
    <m/>
    <m/>
    <s v="Expert Disbursement"/>
    <m/>
    <s v="N"/>
    <n v="-604.8"/>
    <n v="0"/>
    <x v="1"/>
    <s v="VALIDATED"/>
    <n v="1"/>
    <s v="01.11.80.308.2013.0000"/>
    <n v="-604.8"/>
    <s v="11"/>
    <s v="2013"/>
    <n v="1195.25"/>
    <n v="-604.8"/>
    <s v="CREDITOR"/>
    <n v="0"/>
    <n v="0"/>
    <n v="-604.8"/>
    <n v="0"/>
    <n v="0"/>
  </r>
  <r>
    <n v="19720003"/>
    <s v="N"/>
    <n v="21328800"/>
    <s v="3000008312410019RC"/>
    <s v="CIVIL"/>
    <d v="2023-06-28T00:00:00"/>
    <d v="2023-07-04T19:38:21"/>
    <m/>
    <d v="2023-07-04T00:00:00"/>
    <n v="1431"/>
    <n v="19284"/>
    <s v="19720003"/>
    <s v="19720003"/>
    <m/>
    <m/>
    <m/>
    <m/>
    <m/>
    <m/>
    <s v="SOLRECOUP"/>
    <s v="SOLRECOUP"/>
    <s v="POARECOUP"/>
    <n v="21328800"/>
    <n v="-604.8"/>
    <m/>
    <s v="Y"/>
    <n v="2"/>
    <d v="2023-07-04T19:38:23"/>
    <s v="N"/>
    <m/>
    <m/>
    <s v="Expert Disbursement"/>
    <m/>
    <s v="N"/>
    <n v="0"/>
    <n v="0"/>
    <x v="1"/>
    <s v="VALIDATED"/>
    <n v="1"/>
    <s v="01.11.80.000.0000.0000"/>
    <n v="0"/>
    <s v="11"/>
    <s v="0000"/>
    <n v="1195.25"/>
    <n v="0"/>
    <s v="CREDITOR"/>
    <n v="0"/>
    <n v="0"/>
    <n v="0"/>
    <n v="0"/>
    <n v="0"/>
  </r>
  <r>
    <n v="19720003"/>
    <s v="N"/>
    <n v="21328801"/>
    <s v="3000008312410030RC"/>
    <s v="CIVIL"/>
    <d v="2023-06-28T00:00:00"/>
    <d v="2023-07-04T19:38:21"/>
    <m/>
    <d v="2023-07-04T00:00:00"/>
    <n v="1431"/>
    <n v="19284"/>
    <s v="19720003"/>
    <s v="19720003"/>
    <m/>
    <m/>
    <m/>
    <m/>
    <m/>
    <m/>
    <s v="SOLRECOUP"/>
    <s v="SOLRECOUP"/>
    <s v="POARECOUP"/>
    <n v="21328801"/>
    <n v="-239.52"/>
    <m/>
    <s v="Y"/>
    <n v="1"/>
    <d v="2023-07-04T19:38:23"/>
    <s v="N"/>
    <m/>
    <m/>
    <s v="Expert Disbursement"/>
    <m/>
    <s v="N"/>
    <n v="-199.6"/>
    <n v="0"/>
    <x v="1"/>
    <s v="VALIDATED"/>
    <n v="1"/>
    <s v="01.11.80.308.2013.0000"/>
    <n v="-199.6"/>
    <s v="11"/>
    <s v="2013"/>
    <n v="1195.25"/>
    <n v="-199.6"/>
    <s v="CREDITOR"/>
    <n v="0"/>
    <n v="0"/>
    <n v="-199.6"/>
    <n v="0"/>
    <n v="0"/>
  </r>
  <r>
    <n v="19720003"/>
    <s v="N"/>
    <n v="21328801"/>
    <s v="3000008312410030RC"/>
    <s v="CIVIL"/>
    <d v="2023-06-28T00:00:00"/>
    <d v="2023-07-04T19:38:21"/>
    <m/>
    <d v="2023-07-04T00:00:00"/>
    <n v="1431"/>
    <n v="19284"/>
    <s v="19720003"/>
    <s v="19720003"/>
    <m/>
    <m/>
    <m/>
    <m/>
    <m/>
    <m/>
    <s v="SOLRECOUP"/>
    <s v="SOLRECOUP"/>
    <s v="POARECOUP"/>
    <n v="21328801"/>
    <n v="-239.52"/>
    <m/>
    <s v="Y"/>
    <n v="2"/>
    <d v="2023-07-04T19:38:23"/>
    <s v="N"/>
    <m/>
    <m/>
    <s v="Expert Disbursement"/>
    <m/>
    <s v="N"/>
    <n v="0"/>
    <n v="-39.92"/>
    <x v="1"/>
    <s v="VALIDATED"/>
    <n v="1"/>
    <s v="01.11.80.308.2013.0000"/>
    <n v="-39.92"/>
    <s v="11"/>
    <s v="2013"/>
    <n v="1195.25"/>
    <n v="-39.92"/>
    <s v="CREDITOR"/>
    <n v="0"/>
    <n v="0"/>
    <n v="-39.92"/>
    <n v="0"/>
    <n v="0"/>
  </r>
  <r>
    <n v="19720003"/>
    <s v="N"/>
    <n v="21328802"/>
    <s v="3000008312410031RC"/>
    <s v="CIVIL"/>
    <d v="2023-06-28T00:00:00"/>
    <d v="2023-07-04T19:38:21"/>
    <m/>
    <d v="2023-07-04T00:00:00"/>
    <n v="1431"/>
    <n v="19284"/>
    <s v="19720003"/>
    <s v="19720003"/>
    <m/>
    <m/>
    <m/>
    <m/>
    <m/>
    <m/>
    <s v="SOLRECOUP"/>
    <s v="SOLRECOUP"/>
    <s v="POARECOUP"/>
    <n v="21328802"/>
    <n v="-15.84"/>
    <m/>
    <s v="Y"/>
    <n v="1"/>
    <d v="2023-07-04T19:38:23"/>
    <s v="N"/>
    <m/>
    <m/>
    <s v="Expert Disbursement"/>
    <m/>
    <s v="N"/>
    <n v="-13.2"/>
    <n v="0"/>
    <x v="1"/>
    <s v="VALIDATED"/>
    <n v="1"/>
    <s v="01.11.80.308.2013.0000"/>
    <n v="-13.2"/>
    <s v="11"/>
    <s v="2013"/>
    <n v="1195.25"/>
    <n v="-13.2"/>
    <s v="CREDITOR"/>
    <n v="0"/>
    <n v="0"/>
    <n v="-13.2"/>
    <n v="0"/>
    <n v="0"/>
  </r>
  <r>
    <n v="19720003"/>
    <s v="N"/>
    <n v="21328802"/>
    <s v="3000008312410031RC"/>
    <s v="CIVIL"/>
    <d v="2023-06-28T00:00:00"/>
    <d v="2023-07-04T19:38:21"/>
    <m/>
    <d v="2023-07-04T00:00:00"/>
    <n v="1431"/>
    <n v="19284"/>
    <s v="19720003"/>
    <s v="19720003"/>
    <m/>
    <m/>
    <m/>
    <m/>
    <m/>
    <m/>
    <s v="SOLRECOUP"/>
    <s v="SOLRECOUP"/>
    <s v="POARECOUP"/>
    <n v="21328802"/>
    <n v="-15.84"/>
    <m/>
    <s v="Y"/>
    <n v="2"/>
    <d v="2023-07-04T19:38:23"/>
    <s v="N"/>
    <m/>
    <m/>
    <s v="Expert Disbursement"/>
    <m/>
    <s v="N"/>
    <n v="0"/>
    <n v="-2.64"/>
    <x v="1"/>
    <s v="VALIDATED"/>
    <n v="1"/>
    <s v="01.11.80.308.2013.0000"/>
    <n v="-2.64"/>
    <s v="11"/>
    <s v="2013"/>
    <n v="1195.25"/>
    <n v="-2.64"/>
    <s v="CREDITOR"/>
    <n v="0"/>
    <n v="0"/>
    <n v="-2.64"/>
    <n v="0"/>
    <n v="0"/>
  </r>
  <r>
    <n v="19720003"/>
    <s v="N"/>
    <n v="21328803"/>
    <s v="3000008312410043RC"/>
    <s v="CIVIL"/>
    <d v="2023-06-28T00:00:00"/>
    <d v="2023-07-04T19:38:21"/>
    <m/>
    <d v="2023-07-04T00:00:00"/>
    <n v="1431"/>
    <n v="19284"/>
    <s v="19720003"/>
    <s v="19720003"/>
    <m/>
    <m/>
    <m/>
    <m/>
    <m/>
    <m/>
    <s v="SOLRECOUP"/>
    <s v="SOLRECOUP"/>
    <s v="POARECOUP"/>
    <n v="21328803"/>
    <n v="-2714.88"/>
    <m/>
    <s v="Y"/>
    <n v="1"/>
    <d v="2023-07-04T19:38:23"/>
    <s v="N"/>
    <m/>
    <m/>
    <s v="Profit Cost"/>
    <m/>
    <s v="N"/>
    <n v="-2262.4"/>
    <n v="0"/>
    <x v="1"/>
    <s v="VALIDATED"/>
    <n v="1"/>
    <s v="01.11.80.308.2013.0000"/>
    <n v="-2262.4"/>
    <s v="11"/>
    <s v="2013"/>
    <n v="1195.25"/>
    <n v="-2262.4"/>
    <s v="CREDITOR"/>
    <n v="0"/>
    <n v="0"/>
    <n v="-2262.4"/>
    <n v="-565.6"/>
    <n v="0"/>
  </r>
  <r>
    <n v="19720003"/>
    <s v="N"/>
    <n v="21328803"/>
    <s v="3000008312410043RC"/>
    <s v="CIVIL"/>
    <d v="2023-06-28T00:00:00"/>
    <d v="2023-07-04T19:38:21"/>
    <m/>
    <d v="2023-07-04T00:00:00"/>
    <n v="1431"/>
    <n v="19284"/>
    <s v="19720003"/>
    <s v="19720003"/>
    <m/>
    <m/>
    <m/>
    <m/>
    <m/>
    <m/>
    <s v="SOLRECOUP"/>
    <s v="SOLRECOUP"/>
    <s v="POARECOUP"/>
    <n v="21328803"/>
    <n v="-2714.88"/>
    <m/>
    <s v="Y"/>
    <n v="2"/>
    <d v="2023-07-04T19:38:23"/>
    <s v="N"/>
    <m/>
    <m/>
    <s v="Profit Cost"/>
    <m/>
    <s v="N"/>
    <n v="0"/>
    <n v="-452.48"/>
    <x v="1"/>
    <s v="VALIDATED"/>
    <n v="1"/>
    <s v="01.11.80.308.2013.0000"/>
    <n v="-452.48"/>
    <s v="11"/>
    <s v="2013"/>
    <n v="1195.25"/>
    <n v="-452.48"/>
    <s v="CREDITOR"/>
    <n v="0"/>
    <n v="0"/>
    <n v="-452.48"/>
    <n v="-113.12"/>
    <n v="0"/>
  </r>
  <r>
    <n v="19720003"/>
    <s v="N"/>
    <n v="21328804"/>
    <s v="3000008312410035RC"/>
    <s v="CIVIL"/>
    <d v="2023-06-28T00:00:00"/>
    <d v="2023-07-04T19:38:21"/>
    <m/>
    <d v="2023-07-04T00:00:00"/>
    <n v="1431"/>
    <n v="19284"/>
    <s v="19720003"/>
    <s v="19720003"/>
    <m/>
    <m/>
    <m/>
    <m/>
    <m/>
    <m/>
    <s v="SOLRECOUP"/>
    <s v="SOLRECOUP"/>
    <s v="POARECOUP"/>
    <n v="21328804"/>
    <n v="-401.9"/>
    <m/>
    <s v="Y"/>
    <n v="1"/>
    <d v="2023-07-04T19:38:23"/>
    <s v="N"/>
    <m/>
    <m/>
    <s v="Expert Disbursement"/>
    <m/>
    <s v="N"/>
    <n v="-401.9"/>
    <n v="0"/>
    <x v="1"/>
    <s v="VALIDATED"/>
    <n v="1"/>
    <s v="01.11.80.308.2013.0000"/>
    <n v="-401.9"/>
    <s v="11"/>
    <s v="2013"/>
    <n v="1195.25"/>
    <n v="-401.9"/>
    <s v="CREDITOR"/>
    <n v="0"/>
    <n v="0"/>
    <n v="-401.9"/>
    <n v="0"/>
    <n v="0"/>
  </r>
  <r>
    <n v="19720003"/>
    <s v="N"/>
    <n v="21328804"/>
    <s v="3000008312410035RC"/>
    <s v="CIVIL"/>
    <d v="2023-06-28T00:00:00"/>
    <d v="2023-07-04T19:38:21"/>
    <m/>
    <d v="2023-07-04T00:00:00"/>
    <n v="1431"/>
    <n v="19284"/>
    <s v="19720003"/>
    <s v="19720003"/>
    <m/>
    <m/>
    <m/>
    <m/>
    <m/>
    <m/>
    <s v="SOLRECOUP"/>
    <s v="SOLRECOUP"/>
    <s v="POARECOUP"/>
    <n v="21328804"/>
    <n v="-401.9"/>
    <m/>
    <s v="Y"/>
    <n v="2"/>
    <d v="2023-07-04T19:38:23"/>
    <s v="N"/>
    <m/>
    <m/>
    <s v="Expert Disbursement"/>
    <m/>
    <s v="N"/>
    <n v="0"/>
    <n v="0"/>
    <x v="1"/>
    <s v="VALIDATED"/>
    <n v="1"/>
    <s v="01.11.80.000.0000.0000"/>
    <n v="0"/>
    <s v="11"/>
    <s v="0000"/>
    <n v="1195.25"/>
    <n v="0"/>
    <s v="CREDITOR"/>
    <n v="0"/>
    <n v="0"/>
    <n v="0"/>
    <n v="0"/>
    <n v="0"/>
  </r>
  <r>
    <n v="19720003"/>
    <s v="N"/>
    <n v="21328805"/>
    <s v="3000008312410037RC"/>
    <s v="CIVIL"/>
    <d v="2023-06-28T00:00:00"/>
    <d v="2023-07-04T19:38:21"/>
    <m/>
    <d v="2023-07-04T00:00:00"/>
    <n v="1431"/>
    <n v="19284"/>
    <s v="19720003"/>
    <s v="19720003"/>
    <m/>
    <m/>
    <m/>
    <m/>
    <m/>
    <m/>
    <s v="SOLRECOUP"/>
    <s v="SOLRECOUP"/>
    <s v="POARECOUP"/>
    <n v="21328805"/>
    <n v="-388.5"/>
    <m/>
    <s v="Y"/>
    <n v="1"/>
    <d v="2023-07-04T19:38:23"/>
    <s v="N"/>
    <m/>
    <m/>
    <s v="Expert Disbursement"/>
    <m/>
    <s v="N"/>
    <n v="-388.5"/>
    <n v="0"/>
    <x v="1"/>
    <s v="VALIDATED"/>
    <n v="1"/>
    <s v="01.11.80.308.2013.0000"/>
    <n v="-388.5"/>
    <s v="11"/>
    <s v="2013"/>
    <n v="1195.25"/>
    <n v="-388.5"/>
    <s v="CREDITOR"/>
    <n v="0"/>
    <n v="0"/>
    <n v="-388.5"/>
    <n v="0"/>
    <n v="0"/>
  </r>
  <r>
    <n v="19720003"/>
    <s v="N"/>
    <n v="21328805"/>
    <s v="3000008312410037RC"/>
    <s v="CIVIL"/>
    <d v="2023-06-28T00:00:00"/>
    <d v="2023-07-04T19:38:21"/>
    <m/>
    <d v="2023-07-04T00:00:00"/>
    <n v="1431"/>
    <n v="19284"/>
    <s v="19720003"/>
    <s v="19720003"/>
    <m/>
    <m/>
    <m/>
    <m/>
    <m/>
    <m/>
    <s v="SOLRECOUP"/>
    <s v="SOLRECOUP"/>
    <s v="POARECOUP"/>
    <n v="21328805"/>
    <n v="-388.5"/>
    <m/>
    <s v="Y"/>
    <n v="2"/>
    <d v="2023-07-04T19:38:23"/>
    <s v="N"/>
    <m/>
    <m/>
    <s v="Expert Disbursement"/>
    <m/>
    <s v="N"/>
    <n v="0"/>
    <n v="0"/>
    <x v="1"/>
    <s v="VALIDATED"/>
    <n v="1"/>
    <s v="01.11.80.000.0000.0000"/>
    <n v="0"/>
    <s v="11"/>
    <s v="0000"/>
    <n v="1195.25"/>
    <n v="0"/>
    <s v="CREDITOR"/>
    <n v="0"/>
    <n v="0"/>
    <n v="0"/>
    <n v="0"/>
    <n v="0"/>
  </r>
  <r>
    <n v="19720003"/>
    <s v="N"/>
    <n v="21328806"/>
    <s v="3000008312410028RC"/>
    <s v="CIVIL"/>
    <d v="2023-06-28T00:00:00"/>
    <d v="2023-07-04T19:38:21"/>
    <m/>
    <d v="2023-07-04T00:00:00"/>
    <n v="1431"/>
    <n v="19284"/>
    <s v="19720003"/>
    <s v="19720003"/>
    <m/>
    <m/>
    <m/>
    <m/>
    <m/>
    <m/>
    <s v="SOLRECOUP"/>
    <s v="SOLRECOUP"/>
    <s v="POARECOUP"/>
    <n v="21328806"/>
    <n v="-2871.14"/>
    <m/>
    <s v="Y"/>
    <n v="1"/>
    <d v="2023-07-04T19:38:23"/>
    <s v="N"/>
    <m/>
    <m/>
    <s v="Profit Cost"/>
    <m/>
    <s v="N"/>
    <n v="-2392.62"/>
    <n v="0"/>
    <x v="1"/>
    <s v="VALIDATED"/>
    <n v="1"/>
    <s v="01.11.80.308.2013.0000"/>
    <n v="-2392.62"/>
    <s v="11"/>
    <s v="2013"/>
    <n v="1195.25"/>
    <n v="-2392.62"/>
    <s v="CREDITOR"/>
    <n v="0"/>
    <n v="0"/>
    <n v="-2392.62"/>
    <n v="-598.155"/>
    <n v="0"/>
  </r>
  <r>
    <n v="19720003"/>
    <s v="N"/>
    <n v="21328806"/>
    <s v="3000008312410028RC"/>
    <s v="CIVIL"/>
    <d v="2023-06-28T00:00:00"/>
    <d v="2023-07-04T19:38:21"/>
    <m/>
    <d v="2023-07-04T00:00:00"/>
    <n v="1431"/>
    <n v="19284"/>
    <s v="19720003"/>
    <s v="19720003"/>
    <m/>
    <m/>
    <m/>
    <m/>
    <m/>
    <m/>
    <s v="SOLRECOUP"/>
    <s v="SOLRECOUP"/>
    <s v="POARECOUP"/>
    <n v="21328806"/>
    <n v="-2871.14"/>
    <m/>
    <s v="Y"/>
    <n v="2"/>
    <d v="2023-07-04T19:38:23"/>
    <s v="N"/>
    <m/>
    <m/>
    <s v="Profit Cost"/>
    <m/>
    <s v="N"/>
    <n v="0"/>
    <n v="-478.52"/>
    <x v="1"/>
    <s v="VALIDATED"/>
    <n v="1"/>
    <s v="01.11.80.308.2013.0000"/>
    <n v="-478.52"/>
    <s v="11"/>
    <s v="2013"/>
    <n v="1195.25"/>
    <n v="-478.52"/>
    <s v="CREDITOR"/>
    <n v="0"/>
    <n v="0"/>
    <n v="-478.52"/>
    <n v="-119.63"/>
    <n v="0"/>
  </r>
  <r>
    <n v="19720003"/>
    <s v="N"/>
    <n v="21328807"/>
    <s v="3000008312410033RC"/>
    <s v="CIVIL"/>
    <d v="2023-06-28T00:00:00"/>
    <d v="2023-07-04T19:38:21"/>
    <m/>
    <d v="2023-07-04T00:00:00"/>
    <n v="1431"/>
    <n v="19284"/>
    <s v="19720003"/>
    <s v="19720003"/>
    <m/>
    <m/>
    <m/>
    <m/>
    <m/>
    <m/>
    <s v="SOLRECOUP"/>
    <s v="SOLRECOUP"/>
    <s v="POARECOUP"/>
    <n v="21328807"/>
    <n v="-239.52"/>
    <m/>
    <s v="Y"/>
    <n v="1"/>
    <d v="2023-07-04T19:38:23"/>
    <s v="N"/>
    <m/>
    <m/>
    <s v="Expert Disbursement"/>
    <m/>
    <s v="N"/>
    <n v="-199.6"/>
    <n v="0"/>
    <x v="1"/>
    <s v="VALIDATED"/>
    <n v="1"/>
    <s v="01.11.80.308.2013.0000"/>
    <n v="-199.6"/>
    <s v="11"/>
    <s v="2013"/>
    <n v="1195.25"/>
    <n v="-199.6"/>
    <s v="CREDITOR"/>
    <n v="0"/>
    <n v="0"/>
    <n v="-199.6"/>
    <n v="0"/>
    <n v="0"/>
  </r>
  <r>
    <n v="19720003"/>
    <s v="N"/>
    <n v="21328807"/>
    <s v="3000008312410033RC"/>
    <s v="CIVIL"/>
    <d v="2023-06-28T00:00:00"/>
    <d v="2023-07-04T19:38:21"/>
    <m/>
    <d v="2023-07-04T00:00:00"/>
    <n v="1431"/>
    <n v="19284"/>
    <s v="19720003"/>
    <s v="19720003"/>
    <m/>
    <m/>
    <m/>
    <m/>
    <m/>
    <m/>
    <s v="SOLRECOUP"/>
    <s v="SOLRECOUP"/>
    <s v="POARECOUP"/>
    <n v="21328807"/>
    <n v="-239.52"/>
    <m/>
    <s v="Y"/>
    <n v="2"/>
    <d v="2023-07-04T19:38:23"/>
    <s v="N"/>
    <m/>
    <m/>
    <s v="Expert Disbursement"/>
    <m/>
    <s v="N"/>
    <n v="0"/>
    <n v="-39.92"/>
    <x v="1"/>
    <s v="VALIDATED"/>
    <n v="1"/>
    <s v="01.11.80.308.2013.0000"/>
    <n v="-39.92"/>
    <s v="11"/>
    <s v="2013"/>
    <n v="1195.25"/>
    <n v="-39.92"/>
    <s v="CREDITOR"/>
    <n v="0"/>
    <n v="0"/>
    <n v="-39.92"/>
    <n v="0"/>
    <n v="0"/>
  </r>
  <r>
    <n v="19720003"/>
    <s v="N"/>
    <n v="21328808"/>
    <s v="3000008312410034RC"/>
    <s v="CIVIL"/>
    <d v="2023-06-28T00:00:00"/>
    <d v="2023-07-04T19:38:21"/>
    <m/>
    <d v="2023-07-04T00:00:00"/>
    <n v="1431"/>
    <n v="19284"/>
    <s v="19720003"/>
    <s v="19720003"/>
    <m/>
    <m/>
    <m/>
    <m/>
    <m/>
    <m/>
    <s v="SOLRECOUP"/>
    <s v="SOLRECOUP"/>
    <s v="POARECOUP"/>
    <n v="21328808"/>
    <n v="-3419.63"/>
    <m/>
    <s v="Y"/>
    <n v="1"/>
    <d v="2023-07-04T19:38:23"/>
    <s v="N"/>
    <m/>
    <m/>
    <s v="Profit Cost"/>
    <m/>
    <s v="N"/>
    <n v="-2849.69"/>
    <n v="0"/>
    <x v="1"/>
    <s v="VALIDATED"/>
    <n v="1"/>
    <s v="01.11.80.308.2013.0000"/>
    <n v="-2849.69"/>
    <s v="11"/>
    <s v="2013"/>
    <n v="1195.25"/>
    <n v="-2849.69"/>
    <s v="CREDITOR"/>
    <n v="0"/>
    <n v="0"/>
    <n v="-2849.69"/>
    <n v="-712.4225"/>
    <n v="0"/>
  </r>
  <r>
    <n v="19720003"/>
    <s v="N"/>
    <n v="21328808"/>
    <s v="3000008312410034RC"/>
    <s v="CIVIL"/>
    <d v="2023-06-28T00:00:00"/>
    <d v="2023-07-04T19:38:21"/>
    <m/>
    <d v="2023-07-04T00:00:00"/>
    <n v="1431"/>
    <n v="19284"/>
    <s v="19720003"/>
    <s v="19720003"/>
    <m/>
    <m/>
    <m/>
    <m/>
    <m/>
    <m/>
    <s v="SOLRECOUP"/>
    <s v="SOLRECOUP"/>
    <s v="POARECOUP"/>
    <n v="21328808"/>
    <n v="-3419.63"/>
    <m/>
    <s v="Y"/>
    <n v="2"/>
    <d v="2023-07-04T19:38:23"/>
    <s v="N"/>
    <m/>
    <m/>
    <s v="Profit Cost"/>
    <m/>
    <s v="N"/>
    <n v="0"/>
    <n v="-569.9400000000001"/>
    <x v="1"/>
    <s v="VALIDATED"/>
    <n v="1"/>
    <s v="01.11.80.308.2013.0000"/>
    <n v="-569.9400000000001"/>
    <s v="11"/>
    <s v="2013"/>
    <n v="1195.25"/>
    <n v="-569.9400000000001"/>
    <s v="CREDITOR"/>
    <n v="0"/>
    <n v="0"/>
    <n v="-569.9400000000001"/>
    <n v="-142.485"/>
    <n v="0"/>
  </r>
  <r>
    <n v="19720003"/>
    <s v="N"/>
    <n v="21328809"/>
    <s v="3000008312410038RC"/>
    <s v="CIVIL"/>
    <d v="2023-06-28T00:00:00"/>
    <d v="2023-07-04T19:38:21"/>
    <m/>
    <d v="2023-07-04T00:00:00"/>
    <n v="1431"/>
    <n v="19284"/>
    <s v="19720003"/>
    <s v="19720003"/>
    <m/>
    <m/>
    <m/>
    <m/>
    <m/>
    <m/>
    <s v="SOLRECOUP"/>
    <s v="SOLRECOUP"/>
    <s v="POARECOUP"/>
    <n v="21328809"/>
    <n v="-388.5"/>
    <m/>
    <s v="Y"/>
    <n v="1"/>
    <d v="2023-07-04T19:38:23"/>
    <s v="N"/>
    <m/>
    <m/>
    <s v="Expert Disbursement"/>
    <m/>
    <s v="N"/>
    <n v="-388.5"/>
    <n v="0"/>
    <x v="1"/>
    <s v="VALIDATED"/>
    <n v="1"/>
    <s v="01.11.80.308.2013.0000"/>
    <n v="-388.5"/>
    <s v="11"/>
    <s v="2013"/>
    <n v="1195.25"/>
    <n v="-388.5"/>
    <s v="CREDITOR"/>
    <n v="0"/>
    <n v="0"/>
    <n v="-388.5"/>
    <n v="0"/>
    <n v="0"/>
  </r>
  <r>
    <n v="19720003"/>
    <s v="N"/>
    <n v="21328809"/>
    <s v="3000008312410038RC"/>
    <s v="CIVIL"/>
    <d v="2023-06-28T00:00:00"/>
    <d v="2023-07-04T19:38:21"/>
    <m/>
    <d v="2023-07-04T00:00:00"/>
    <n v="1431"/>
    <n v="19284"/>
    <s v="19720003"/>
    <s v="19720003"/>
    <m/>
    <m/>
    <m/>
    <m/>
    <m/>
    <m/>
    <s v="SOLRECOUP"/>
    <s v="SOLRECOUP"/>
    <s v="POARECOUP"/>
    <n v="21328809"/>
    <n v="-388.5"/>
    <m/>
    <s v="Y"/>
    <n v="2"/>
    <d v="2023-07-04T19:38:23"/>
    <s v="N"/>
    <m/>
    <m/>
    <s v="Expert Disbursement"/>
    <m/>
    <s v="N"/>
    <n v="0"/>
    <n v="0"/>
    <x v="1"/>
    <s v="VALIDATED"/>
    <n v="1"/>
    <s v="01.11.80.000.0000.0000"/>
    <n v="0"/>
    <s v="11"/>
    <s v="0000"/>
    <n v="1195.25"/>
    <n v="0"/>
    <s v="CREDITOR"/>
    <n v="0"/>
    <n v="0"/>
    <n v="0"/>
    <n v="0"/>
    <n v="0"/>
  </r>
  <r>
    <n v="19720003"/>
    <s v="N"/>
    <n v="21328810"/>
    <s v="3000008312410041RC"/>
    <s v="CIVIL"/>
    <d v="2023-06-28T00:00:00"/>
    <d v="2023-07-04T19:38:21"/>
    <m/>
    <d v="2023-07-04T00:00:00"/>
    <n v="1431"/>
    <n v="19284"/>
    <s v="19720003"/>
    <s v="19720003"/>
    <m/>
    <m/>
    <m/>
    <m/>
    <m/>
    <m/>
    <s v="SOLRECOUP"/>
    <s v="SOLRECOUP"/>
    <s v="POARECOUP"/>
    <n v="21328810"/>
    <n v="-79.2"/>
    <m/>
    <s v="Y"/>
    <n v="1"/>
    <d v="2023-07-04T19:38:23"/>
    <s v="N"/>
    <m/>
    <m/>
    <s v="Expert Disbursement"/>
    <m/>
    <s v="N"/>
    <n v="-79.2"/>
    <n v="0"/>
    <x v="1"/>
    <s v="VALIDATED"/>
    <n v="1"/>
    <s v="01.11.80.308.2013.0000"/>
    <n v="-79.2"/>
    <s v="11"/>
    <s v="2013"/>
    <n v="1195.25"/>
    <n v="-79.2"/>
    <s v="CREDITOR"/>
    <n v="0"/>
    <n v="0"/>
    <n v="-79.2"/>
    <n v="0"/>
    <n v="0"/>
  </r>
  <r>
    <n v="19720003"/>
    <s v="N"/>
    <n v="21328810"/>
    <s v="3000008312410041RC"/>
    <s v="CIVIL"/>
    <d v="2023-06-28T00:00:00"/>
    <d v="2023-07-04T19:38:21"/>
    <m/>
    <d v="2023-07-04T00:00:00"/>
    <n v="1431"/>
    <n v="19284"/>
    <s v="19720003"/>
    <s v="19720003"/>
    <m/>
    <m/>
    <m/>
    <m/>
    <m/>
    <m/>
    <s v="SOLRECOUP"/>
    <s v="SOLRECOUP"/>
    <s v="POARECOUP"/>
    <n v="21328810"/>
    <n v="-79.2"/>
    <m/>
    <s v="Y"/>
    <n v="2"/>
    <d v="2023-07-04T19:38:23"/>
    <s v="N"/>
    <m/>
    <m/>
    <s v="Expert Disbursement"/>
    <m/>
    <s v="N"/>
    <n v="0"/>
    <n v="0"/>
    <x v="1"/>
    <s v="VALIDATED"/>
    <n v="1"/>
    <s v="01.11.80.000.0000.0000"/>
    <n v="0"/>
    <s v="11"/>
    <s v="0000"/>
    <n v="1195.25"/>
    <n v="0"/>
    <s v="CREDITOR"/>
    <n v="0"/>
    <n v="0"/>
    <n v="0"/>
    <n v="0"/>
    <n v="0"/>
  </r>
  <r>
    <n v="19720003"/>
    <s v="N"/>
    <n v="21328811"/>
    <s v="3000008312410039RC"/>
    <s v="CIVIL"/>
    <d v="2023-06-28T00:00:00"/>
    <d v="2023-07-04T19:38:21"/>
    <m/>
    <d v="2023-07-04T00:00:00"/>
    <n v="1431"/>
    <n v="19284"/>
    <s v="19720003"/>
    <s v="19720003"/>
    <m/>
    <m/>
    <m/>
    <m/>
    <m/>
    <m/>
    <s v="SOLRECOUP"/>
    <s v="SOLRECOUP"/>
    <s v="POARECOUP"/>
    <n v="21328811"/>
    <n v="-1279.1"/>
    <m/>
    <s v="Y"/>
    <n v="1"/>
    <d v="2023-07-04T19:38:23"/>
    <s v="N"/>
    <m/>
    <m/>
    <s v="Profit Cost"/>
    <m/>
    <s v="N"/>
    <n v="-1065.92"/>
    <n v="0"/>
    <x v="1"/>
    <s v="VALIDATED"/>
    <n v="1"/>
    <s v="01.11.80.308.2013.0000"/>
    <n v="-1065.92"/>
    <s v="11"/>
    <s v="2013"/>
    <n v="1195.25"/>
    <n v="-1065.92"/>
    <s v="CREDITOR"/>
    <n v="0"/>
    <n v="0"/>
    <n v="-1065.92"/>
    <n v="-266.48"/>
    <n v="0"/>
  </r>
  <r>
    <n v="19720003"/>
    <s v="N"/>
    <n v="21328811"/>
    <s v="3000008312410039RC"/>
    <s v="CIVIL"/>
    <d v="2023-06-28T00:00:00"/>
    <d v="2023-07-04T19:38:21"/>
    <m/>
    <d v="2023-07-04T00:00:00"/>
    <n v="1431"/>
    <n v="19284"/>
    <s v="19720003"/>
    <s v="19720003"/>
    <m/>
    <m/>
    <m/>
    <m/>
    <m/>
    <m/>
    <s v="SOLRECOUP"/>
    <s v="SOLRECOUP"/>
    <s v="POARECOUP"/>
    <n v="21328811"/>
    <n v="-1279.1"/>
    <m/>
    <s v="Y"/>
    <n v="2"/>
    <d v="2023-07-04T19:38:23"/>
    <s v="N"/>
    <m/>
    <m/>
    <s v="Profit Cost"/>
    <m/>
    <s v="N"/>
    <n v="0"/>
    <n v="-213.18"/>
    <x v="1"/>
    <s v="VALIDATED"/>
    <n v="1"/>
    <s v="01.11.80.308.2013.0000"/>
    <n v="-213.18"/>
    <s v="11"/>
    <s v="2013"/>
    <n v="1195.25"/>
    <n v="-213.18"/>
    <s v="CREDITOR"/>
    <n v="0"/>
    <n v="0"/>
    <n v="-213.18"/>
    <n v="-53.295"/>
    <n v="0"/>
  </r>
  <r>
    <n v="19720003"/>
    <s v="N"/>
    <n v="21328812"/>
    <s v="3000008312410044RC"/>
    <s v="CIVIL"/>
    <d v="2023-06-28T00:00:00"/>
    <d v="2023-07-04T19:38:21"/>
    <m/>
    <d v="2023-07-04T00:00:00"/>
    <n v="1431"/>
    <n v="19284"/>
    <s v="19720003"/>
    <s v="19720003"/>
    <m/>
    <m/>
    <m/>
    <m/>
    <m/>
    <m/>
    <s v="SOLRECOUP"/>
    <s v="SOLRECOUP"/>
    <s v="POARECOUP"/>
    <n v="21328812"/>
    <n v="-62.5"/>
    <m/>
    <s v="Y"/>
    <n v="1"/>
    <d v="2023-07-04T19:38:23"/>
    <s v="N"/>
    <m/>
    <m/>
    <s v="Expert Disbursement"/>
    <m/>
    <s v="N"/>
    <n v="-62.5"/>
    <n v="0"/>
    <x v="1"/>
    <s v="VALIDATED"/>
    <n v="1"/>
    <s v="01.11.80.308.2013.0000"/>
    <n v="-62.5"/>
    <s v="11"/>
    <s v="2013"/>
    <n v="1195.25"/>
    <n v="-62.5"/>
    <s v="CREDITOR"/>
    <n v="0"/>
    <n v="0"/>
    <n v="-62.5"/>
    <n v="0"/>
    <n v="0"/>
  </r>
  <r>
    <n v="19720003"/>
    <s v="N"/>
    <n v="21328812"/>
    <s v="3000008312410044RC"/>
    <s v="CIVIL"/>
    <d v="2023-06-28T00:00:00"/>
    <d v="2023-07-04T19:38:21"/>
    <m/>
    <d v="2023-07-04T00:00:00"/>
    <n v="1431"/>
    <n v="19284"/>
    <s v="19720003"/>
    <s v="19720003"/>
    <m/>
    <m/>
    <m/>
    <m/>
    <m/>
    <m/>
    <s v="SOLRECOUP"/>
    <s v="SOLRECOUP"/>
    <s v="POARECOUP"/>
    <n v="21328812"/>
    <n v="-62.5"/>
    <m/>
    <s v="Y"/>
    <n v="2"/>
    <d v="2023-07-04T19:38:23"/>
    <s v="N"/>
    <m/>
    <m/>
    <s v="Expert Disbursement"/>
    <m/>
    <s v="N"/>
    <n v="0"/>
    <n v="0"/>
    <x v="1"/>
    <s v="VALIDATED"/>
    <n v="1"/>
    <s v="01.11.80.000.0000.0000"/>
    <n v="0"/>
    <s v="11"/>
    <s v="0000"/>
    <n v="1195.25"/>
    <n v="0"/>
    <s v="CREDITOR"/>
    <n v="0"/>
    <n v="0"/>
    <n v="0"/>
    <n v="0"/>
    <n v="0"/>
  </r>
  <r>
    <n v="19720003"/>
    <s v="N"/>
    <n v="21328813"/>
    <s v="3000008312410045RC"/>
    <s v="CIVIL"/>
    <d v="2023-06-28T00:00:00"/>
    <d v="2023-07-04T19:38:21"/>
    <m/>
    <d v="2023-07-04T00:00:00"/>
    <n v="1431"/>
    <n v="19284"/>
    <s v="19720003"/>
    <s v="19720003"/>
    <m/>
    <m/>
    <m/>
    <m/>
    <m/>
    <m/>
    <s v="SOLRECOUP"/>
    <s v="SOLRECOUP"/>
    <s v="POARECOUP"/>
    <n v="21328813"/>
    <n v="-334"/>
    <m/>
    <s v="Y"/>
    <n v="1"/>
    <d v="2023-07-04T19:38:23"/>
    <s v="N"/>
    <m/>
    <m/>
    <s v="Non Expert Disbursement"/>
    <m/>
    <s v="N"/>
    <n v="-334"/>
    <n v="0"/>
    <x v="1"/>
    <s v="VALIDATED"/>
    <n v="1"/>
    <s v="01.11.80.308.2013.0000"/>
    <n v="-334"/>
    <s v="11"/>
    <s v="2013"/>
    <n v="1195.25"/>
    <n v="-334"/>
    <s v="CREDITOR"/>
    <n v="0"/>
    <n v="0"/>
    <n v="-334"/>
    <n v="0"/>
    <n v="0"/>
  </r>
  <r>
    <n v="19720003"/>
    <s v="N"/>
    <n v="21328813"/>
    <s v="3000008312410045RC"/>
    <s v="CIVIL"/>
    <d v="2023-06-28T00:00:00"/>
    <d v="2023-07-04T19:38:21"/>
    <m/>
    <d v="2023-07-04T00:00:00"/>
    <n v="1431"/>
    <n v="19284"/>
    <s v="19720003"/>
    <s v="19720003"/>
    <m/>
    <m/>
    <m/>
    <m/>
    <m/>
    <m/>
    <s v="SOLRECOUP"/>
    <s v="SOLRECOUP"/>
    <s v="POARECOUP"/>
    <n v="21328813"/>
    <n v="-334"/>
    <m/>
    <s v="Y"/>
    <n v="2"/>
    <d v="2023-07-04T19:38:23"/>
    <s v="N"/>
    <m/>
    <m/>
    <s v="Non Expert Disbursement"/>
    <m/>
    <s v="N"/>
    <n v="0"/>
    <n v="0"/>
    <x v="1"/>
    <s v="VALIDATED"/>
    <n v="1"/>
    <s v="01.11.80.000.0000.0000"/>
    <n v="0"/>
    <s v="11"/>
    <s v="0000"/>
    <n v="1195.25"/>
    <n v="0"/>
    <s v="CREDITOR"/>
    <n v="0"/>
    <n v="0"/>
    <n v="0"/>
    <n v="0"/>
    <n v="0"/>
  </r>
  <r>
    <n v="61670793"/>
    <s v="N"/>
    <n v="21333976"/>
    <s v="3000015767770001RC"/>
    <s v="CIVIL"/>
    <d v="2023-06-27T00:00:00"/>
    <d v="2023-07-05T19:42:28"/>
    <m/>
    <d v="2023-07-05T00:00:00"/>
    <n v="1431"/>
    <n v="19284"/>
    <s v="61670793"/>
    <s v="61670793"/>
    <m/>
    <m/>
    <m/>
    <m/>
    <m/>
    <m/>
    <s v="SOLRECOUP"/>
    <s v="SOLRECOUP"/>
    <s v="POARECOUP"/>
    <n v="21333976"/>
    <n v="-167"/>
    <m/>
    <s v="Y"/>
    <n v="1"/>
    <d v="2023-07-05T19:42:29"/>
    <s v="N"/>
    <m/>
    <m/>
    <s v="Non Expert Disbursement"/>
    <m/>
    <s v="N"/>
    <n v="-167"/>
    <n v="0"/>
    <x v="6"/>
    <s v="VALIDATED"/>
    <n v="1"/>
    <s v="01.11.80.305.2013.0000"/>
    <n v="-167"/>
    <s v="11"/>
    <s v="2013"/>
    <n v="1195.25"/>
    <n v="-167"/>
    <s v="CREDITOR"/>
    <n v="0"/>
    <n v="0"/>
    <n v="-167"/>
    <n v="0"/>
    <n v="0"/>
  </r>
  <r>
    <n v="61670793"/>
    <s v="N"/>
    <n v="21333976"/>
    <s v="3000015767770001RC"/>
    <s v="CIVIL"/>
    <d v="2023-06-27T00:00:00"/>
    <d v="2023-07-05T19:42:28"/>
    <m/>
    <d v="2023-07-05T00:00:00"/>
    <n v="1431"/>
    <n v="19284"/>
    <s v="61670793"/>
    <s v="61670793"/>
    <m/>
    <m/>
    <m/>
    <m/>
    <m/>
    <m/>
    <s v="SOLRECOUP"/>
    <s v="SOLRECOUP"/>
    <s v="POARECOUP"/>
    <n v="21333976"/>
    <n v="-167"/>
    <m/>
    <s v="Y"/>
    <n v="2"/>
    <d v="2023-07-05T19:42:29"/>
    <s v="N"/>
    <m/>
    <m/>
    <s v="Non Expert Disbursement"/>
    <m/>
    <s v="N"/>
    <n v="0"/>
    <n v="0"/>
    <x v="6"/>
    <s v="VALIDATED"/>
    <n v="1"/>
    <s v="01.11.80.000.0000.0000"/>
    <n v="0"/>
    <s v="11"/>
    <s v="0000"/>
    <n v="1195.25"/>
    <n v="0"/>
    <s v="CREDITOR"/>
    <n v="0"/>
    <n v="0"/>
    <n v="0"/>
    <n v="0"/>
    <n v="0"/>
  </r>
  <r>
    <n v="61670793"/>
    <s v="N"/>
    <n v="21333977"/>
    <s v="3000015767770003RC"/>
    <s v="CIVIL"/>
    <d v="2023-06-27T00:00:00"/>
    <d v="2023-07-05T19:42:28"/>
    <m/>
    <d v="2023-07-05T00:00:00"/>
    <n v="1431"/>
    <n v="19284"/>
    <s v="61670793"/>
    <s v="61670793"/>
    <m/>
    <m/>
    <m/>
    <m/>
    <m/>
    <m/>
    <s v="SOLRECOUP"/>
    <s v="SOLRECOUP"/>
    <s v="POARECOUP"/>
    <n v="21333977"/>
    <n v="-892.8"/>
    <m/>
    <s v="Y"/>
    <n v="1"/>
    <d v="2023-07-05T19:42:29"/>
    <s v="N"/>
    <m/>
    <m/>
    <s v="Profit Cost"/>
    <m/>
    <s v="N"/>
    <n v="-744"/>
    <n v="0"/>
    <x v="6"/>
    <s v="VALIDATED"/>
    <n v="1"/>
    <s v="01.11.80.305.2013.0000"/>
    <n v="-744"/>
    <s v="11"/>
    <s v="2013"/>
    <n v="1195.25"/>
    <n v="-744"/>
    <s v="CREDITOR"/>
    <n v="0"/>
    <n v="0"/>
    <n v="-744"/>
    <n v="-186"/>
    <n v="0"/>
  </r>
  <r>
    <n v="61670793"/>
    <s v="N"/>
    <n v="21333977"/>
    <s v="3000015767770003RC"/>
    <s v="CIVIL"/>
    <d v="2023-06-27T00:00:00"/>
    <d v="2023-07-05T19:42:28"/>
    <m/>
    <d v="2023-07-05T00:00:00"/>
    <n v="1431"/>
    <n v="19284"/>
    <s v="61670793"/>
    <s v="61670793"/>
    <m/>
    <m/>
    <m/>
    <m/>
    <m/>
    <m/>
    <s v="SOLRECOUP"/>
    <s v="SOLRECOUP"/>
    <s v="POARECOUP"/>
    <n v="21333977"/>
    <n v="-892.8"/>
    <m/>
    <s v="Y"/>
    <n v="2"/>
    <d v="2023-07-05T19:42:29"/>
    <s v="N"/>
    <m/>
    <m/>
    <s v="Profit Cost"/>
    <m/>
    <s v="N"/>
    <n v="0"/>
    <n v="-148.8"/>
    <x v="6"/>
    <s v="VALIDATED"/>
    <n v="1"/>
    <s v="01.11.80.305.2013.0000"/>
    <n v="-148.8"/>
    <s v="11"/>
    <s v="2013"/>
    <n v="1195.25"/>
    <n v="-148.8"/>
    <s v="CREDITOR"/>
    <n v="0"/>
    <n v="0"/>
    <n v="-148.8"/>
    <n v="-37.2"/>
    <n v="0"/>
  </r>
  <r>
    <n v="61670793"/>
    <s v="N"/>
    <n v="21333978"/>
    <s v="3000015767770005RC"/>
    <s v="CIVIL"/>
    <d v="2023-06-27T00:00:00"/>
    <d v="2023-07-05T19:42:28"/>
    <m/>
    <d v="2023-07-05T00:00:00"/>
    <n v="1431"/>
    <n v="19284"/>
    <s v="61670793"/>
    <s v="61670793"/>
    <m/>
    <m/>
    <m/>
    <m/>
    <m/>
    <m/>
    <s v="SOLRECOUP"/>
    <s v="SOLRECOUP"/>
    <s v="POARECOUP"/>
    <n v="21333978"/>
    <n v="-1315.2"/>
    <m/>
    <s v="Y"/>
    <n v="1"/>
    <d v="2023-07-05T19:42:29"/>
    <s v="N"/>
    <m/>
    <m/>
    <s v="Profit Cost"/>
    <m/>
    <s v="N"/>
    <n v="-1096"/>
    <n v="0"/>
    <x v="6"/>
    <s v="VALIDATED"/>
    <n v="1"/>
    <s v="01.11.80.305.2013.0000"/>
    <n v="-1096"/>
    <s v="11"/>
    <s v="2013"/>
    <n v="1195.25"/>
    <n v="-1096"/>
    <s v="CREDITOR"/>
    <n v="0"/>
    <n v="0"/>
    <n v="-1096"/>
    <n v="-274"/>
    <n v="0"/>
  </r>
  <r>
    <n v="61670793"/>
    <s v="N"/>
    <n v="21333978"/>
    <s v="3000015767770005RC"/>
    <s v="CIVIL"/>
    <d v="2023-06-27T00:00:00"/>
    <d v="2023-07-05T19:42:28"/>
    <m/>
    <d v="2023-07-05T00:00:00"/>
    <n v="1431"/>
    <n v="19284"/>
    <s v="61670793"/>
    <s v="61670793"/>
    <m/>
    <m/>
    <m/>
    <m/>
    <m/>
    <m/>
    <s v="SOLRECOUP"/>
    <s v="SOLRECOUP"/>
    <s v="POARECOUP"/>
    <n v="21333978"/>
    <n v="-1315.2"/>
    <m/>
    <s v="Y"/>
    <n v="2"/>
    <d v="2023-07-05T19:42:29"/>
    <s v="N"/>
    <m/>
    <m/>
    <s v="Profit Cost"/>
    <m/>
    <s v="N"/>
    <n v="0"/>
    <n v="-219.2"/>
    <x v="6"/>
    <s v="VALIDATED"/>
    <n v="1"/>
    <s v="01.11.80.305.2013.0000"/>
    <n v="-219.2"/>
    <s v="11"/>
    <s v="2013"/>
    <n v="1195.25"/>
    <n v="-219.2"/>
    <s v="CREDITOR"/>
    <n v="0"/>
    <n v="0"/>
    <n v="-219.2"/>
    <n v="-54.8"/>
    <n v="0"/>
  </r>
  <r>
    <n v="60935626"/>
    <s v="N"/>
    <n v="21346447"/>
    <s v="3000015152520007RC"/>
    <s v="CIVIL"/>
    <d v="2023-06-28T00:00:00"/>
    <d v="2023-07-07T19:34:21"/>
    <m/>
    <d v="2023-07-07T00:00:00"/>
    <n v="1431"/>
    <n v="19284"/>
    <s v="60935626"/>
    <s v="60935626"/>
    <m/>
    <m/>
    <m/>
    <m/>
    <m/>
    <m/>
    <s v="SOLRECOUP"/>
    <s v="SOLRECOUP"/>
    <s v="POARECOUP"/>
    <n v="21346447"/>
    <n v="-148.5"/>
    <m/>
    <s v="Y"/>
    <n v="1"/>
    <d v="2023-07-07T19:34:23"/>
    <s v="N"/>
    <m/>
    <m/>
    <s v="Expert Disbursement"/>
    <m/>
    <s v="N"/>
    <n v="-123.75"/>
    <n v="0"/>
    <x v="9"/>
    <s v="VALIDATED"/>
    <n v="1"/>
    <s v="01.11.80.305.2013.0000"/>
    <n v="-123.75"/>
    <s v="11"/>
    <s v="2013"/>
    <n v="1195.25"/>
    <n v="-123.75"/>
    <s v="CREDITOR"/>
    <n v="0"/>
    <n v="0"/>
    <n v="-123.75"/>
    <n v="0"/>
    <n v="0"/>
  </r>
  <r>
    <n v="60935626"/>
    <s v="N"/>
    <n v="21346447"/>
    <s v="3000015152520007RC"/>
    <s v="CIVIL"/>
    <d v="2023-06-28T00:00:00"/>
    <d v="2023-07-07T19:34:21"/>
    <m/>
    <d v="2023-07-07T00:00:00"/>
    <n v="1431"/>
    <n v="19284"/>
    <s v="60935626"/>
    <s v="60935626"/>
    <m/>
    <m/>
    <m/>
    <m/>
    <m/>
    <m/>
    <s v="SOLRECOUP"/>
    <s v="SOLRECOUP"/>
    <s v="POARECOUP"/>
    <n v="21346447"/>
    <n v="-148.5"/>
    <m/>
    <s v="Y"/>
    <n v="2"/>
    <d v="2023-07-07T19:34:23"/>
    <s v="N"/>
    <m/>
    <m/>
    <s v="Expert Disbursement"/>
    <m/>
    <s v="N"/>
    <n v="0"/>
    <n v="-24.75"/>
    <x v="9"/>
    <s v="VALIDATED"/>
    <n v="1"/>
    <s v="01.11.80.305.2013.0000"/>
    <n v="-24.75"/>
    <s v="11"/>
    <s v="2013"/>
    <n v="1195.25"/>
    <n v="-24.75"/>
    <s v="CREDITOR"/>
    <n v="0"/>
    <n v="0"/>
    <n v="-24.75"/>
    <n v="0"/>
    <n v="0"/>
  </r>
  <r>
    <n v="60935626"/>
    <s v="N"/>
    <n v="21346448"/>
    <s v="3000015152520010RC"/>
    <s v="CIVIL"/>
    <d v="2023-06-28T00:00:00"/>
    <d v="2023-07-07T19:34:21"/>
    <m/>
    <d v="2023-07-07T00:00:00"/>
    <n v="1431"/>
    <n v="19284"/>
    <s v="60935626"/>
    <s v="60935626"/>
    <m/>
    <m/>
    <m/>
    <m/>
    <m/>
    <m/>
    <s v="SOLRECOUP"/>
    <s v="SOLRECOUP"/>
    <s v="POARECOUP"/>
    <n v="21346448"/>
    <n v="-1840.64"/>
    <m/>
    <s v="Y"/>
    <n v="1"/>
    <d v="2023-07-07T19:34:23"/>
    <s v="N"/>
    <m/>
    <m/>
    <s v="Profit Cost"/>
    <m/>
    <s v="N"/>
    <n v="-1533.87"/>
    <n v="0"/>
    <x v="9"/>
    <s v="VALIDATED"/>
    <n v="1"/>
    <s v="01.11.80.305.2013.0000"/>
    <n v="-1533.87"/>
    <s v="11"/>
    <s v="2013"/>
    <n v="1195.25"/>
    <n v="-1533.87"/>
    <s v="CREDITOR"/>
    <n v="0"/>
    <n v="0"/>
    <n v="-1533.87"/>
    <n v="-383.4675"/>
    <n v="0"/>
  </r>
  <r>
    <n v="60935626"/>
    <s v="N"/>
    <n v="21346448"/>
    <s v="3000015152520010RC"/>
    <s v="CIVIL"/>
    <d v="2023-06-28T00:00:00"/>
    <d v="2023-07-07T19:34:21"/>
    <m/>
    <d v="2023-07-07T00:00:00"/>
    <n v="1431"/>
    <n v="19284"/>
    <s v="60935626"/>
    <s v="60935626"/>
    <m/>
    <m/>
    <m/>
    <m/>
    <m/>
    <m/>
    <s v="SOLRECOUP"/>
    <s v="SOLRECOUP"/>
    <s v="POARECOUP"/>
    <n v="21346448"/>
    <n v="-1840.64"/>
    <m/>
    <s v="Y"/>
    <n v="2"/>
    <d v="2023-07-07T19:34:23"/>
    <s v="N"/>
    <m/>
    <m/>
    <s v="Profit Cost"/>
    <m/>
    <s v="N"/>
    <n v="0"/>
    <n v="-306.77"/>
    <x v="9"/>
    <s v="VALIDATED"/>
    <n v="1"/>
    <s v="01.11.80.305.2013.0000"/>
    <n v="-306.77"/>
    <s v="11"/>
    <s v="2013"/>
    <n v="1195.25"/>
    <n v="-306.77"/>
    <s v="CREDITOR"/>
    <n v="0"/>
    <n v="0"/>
    <n v="-306.77"/>
    <n v="-76.6925"/>
    <n v="0"/>
  </r>
  <r>
    <n v="60935626"/>
    <s v="N"/>
    <n v="21346449"/>
    <s v="3000015152520011RC"/>
    <s v="CIVIL"/>
    <d v="2023-06-28T00:00:00"/>
    <d v="2023-07-07T19:34:21"/>
    <m/>
    <d v="2023-07-07T00:00:00"/>
    <n v="1431"/>
    <n v="19284"/>
    <s v="60935626"/>
    <s v="60935626"/>
    <m/>
    <m/>
    <m/>
    <m/>
    <m/>
    <m/>
    <s v="SOLRECOUP"/>
    <s v="SOLRECOUP"/>
    <s v="POARECOUP"/>
    <n v="21346449"/>
    <n v="-140.4"/>
    <m/>
    <s v="Y"/>
    <n v="1"/>
    <d v="2023-07-07T19:34:23"/>
    <s v="N"/>
    <m/>
    <m/>
    <s v="Expert Disbursement"/>
    <m/>
    <s v="N"/>
    <n v="-117"/>
    <n v="0"/>
    <x v="9"/>
    <s v="VALIDATED"/>
    <n v="1"/>
    <s v="01.11.80.305.2013.0000"/>
    <n v="-117"/>
    <s v="11"/>
    <s v="2013"/>
    <n v="1195.25"/>
    <n v="-117"/>
    <s v="CREDITOR"/>
    <n v="0"/>
    <n v="0"/>
    <n v="-117"/>
    <n v="0"/>
    <n v="0"/>
  </r>
  <r>
    <n v="60935626"/>
    <s v="N"/>
    <n v="21346449"/>
    <s v="3000015152520011RC"/>
    <s v="CIVIL"/>
    <d v="2023-06-28T00:00:00"/>
    <d v="2023-07-07T19:34:21"/>
    <m/>
    <d v="2023-07-07T00:00:00"/>
    <n v="1431"/>
    <n v="19284"/>
    <s v="60935626"/>
    <s v="60935626"/>
    <m/>
    <m/>
    <m/>
    <m/>
    <m/>
    <m/>
    <s v="SOLRECOUP"/>
    <s v="SOLRECOUP"/>
    <s v="POARECOUP"/>
    <n v="21346449"/>
    <n v="-140.4"/>
    <m/>
    <s v="Y"/>
    <n v="2"/>
    <d v="2023-07-07T19:34:23"/>
    <s v="N"/>
    <m/>
    <m/>
    <s v="Expert Disbursement"/>
    <m/>
    <s v="N"/>
    <n v="0"/>
    <n v="-23.4"/>
    <x v="9"/>
    <s v="VALIDATED"/>
    <n v="1"/>
    <s v="01.11.80.305.2013.0000"/>
    <n v="-23.4"/>
    <s v="11"/>
    <s v="2013"/>
    <n v="1195.25"/>
    <n v="-23.4"/>
    <s v="CREDITOR"/>
    <n v="0"/>
    <n v="0"/>
    <n v="-23.4"/>
    <n v="0"/>
    <n v="0"/>
  </r>
  <r>
    <n v="60935626"/>
    <s v="N"/>
    <n v="21346450"/>
    <s v="3000015152520001RC"/>
    <s v="CIVIL"/>
    <d v="2023-06-28T00:00:00"/>
    <d v="2023-07-07T19:34:21"/>
    <m/>
    <d v="2023-07-07T00:00:00"/>
    <n v="1431"/>
    <n v="19284"/>
    <s v="60935626"/>
    <s v="60935626"/>
    <m/>
    <m/>
    <m/>
    <m/>
    <m/>
    <m/>
    <s v="SOLRECOUP"/>
    <s v="SOLRECOUP"/>
    <s v="POARECOUP"/>
    <n v="21346450"/>
    <n v="-1311.29"/>
    <m/>
    <s v="Y"/>
    <n v="1"/>
    <d v="2023-07-07T19:34:23"/>
    <s v="N"/>
    <m/>
    <m/>
    <s v="Profit Cost"/>
    <m/>
    <s v="N"/>
    <n v="-1092.74"/>
    <n v="0"/>
    <x v="9"/>
    <s v="VALIDATED"/>
    <n v="1"/>
    <s v="01.11.80.305.2013.0000"/>
    <n v="-1092.74"/>
    <s v="11"/>
    <s v="2013"/>
    <n v="1195.25"/>
    <n v="-1092.74"/>
    <s v="CREDITOR"/>
    <n v="0"/>
    <n v="0"/>
    <n v="-1092.74"/>
    <n v="-273.185"/>
    <n v="0"/>
  </r>
  <r>
    <n v="60935626"/>
    <s v="N"/>
    <n v="21346450"/>
    <s v="3000015152520001RC"/>
    <s v="CIVIL"/>
    <d v="2023-06-28T00:00:00"/>
    <d v="2023-07-07T19:34:21"/>
    <m/>
    <d v="2023-07-07T00:00:00"/>
    <n v="1431"/>
    <n v="19284"/>
    <s v="60935626"/>
    <s v="60935626"/>
    <m/>
    <m/>
    <m/>
    <m/>
    <m/>
    <m/>
    <s v="SOLRECOUP"/>
    <s v="SOLRECOUP"/>
    <s v="POARECOUP"/>
    <n v="21346450"/>
    <n v="-1311.29"/>
    <m/>
    <s v="Y"/>
    <n v="2"/>
    <d v="2023-07-07T19:34:23"/>
    <s v="N"/>
    <m/>
    <m/>
    <s v="Profit Cost"/>
    <m/>
    <s v="N"/>
    <n v="0"/>
    <n v="-218.55"/>
    <x v="9"/>
    <s v="VALIDATED"/>
    <n v="1"/>
    <s v="01.11.80.305.2013.0000"/>
    <n v="-218.55"/>
    <s v="11"/>
    <s v="2013"/>
    <n v="1195.25"/>
    <n v="-218.55"/>
    <s v="CREDITOR"/>
    <n v="0"/>
    <n v="0"/>
    <n v="-218.55"/>
    <n v="-54.6375"/>
    <n v="0"/>
  </r>
  <r>
    <n v="60935626"/>
    <s v="N"/>
    <n v="21346451"/>
    <s v="3000015152520003RC"/>
    <s v="CIVIL"/>
    <d v="2023-06-28T00:00:00"/>
    <d v="2023-07-07T19:34:21"/>
    <m/>
    <d v="2023-07-07T00:00:00"/>
    <n v="1431"/>
    <n v="19284"/>
    <s v="60935626"/>
    <s v="60935626"/>
    <m/>
    <m/>
    <m/>
    <m/>
    <m/>
    <m/>
    <s v="SOLRECOUP"/>
    <s v="SOLRECOUP"/>
    <s v="POARECOUP"/>
    <n v="21346451"/>
    <n v="-830.54"/>
    <m/>
    <s v="Y"/>
    <n v="1"/>
    <d v="2023-07-07T19:34:23"/>
    <s v="N"/>
    <m/>
    <m/>
    <s v="Profit Cost"/>
    <m/>
    <s v="N"/>
    <n v="-692.12"/>
    <n v="0"/>
    <x v="9"/>
    <s v="VALIDATED"/>
    <n v="1"/>
    <s v="01.11.80.305.2013.0000"/>
    <n v="-692.12"/>
    <s v="11"/>
    <s v="2013"/>
    <n v="1195.25"/>
    <n v="-692.12"/>
    <s v="CREDITOR"/>
    <n v="0"/>
    <n v="0"/>
    <n v="-692.12"/>
    <n v="-173.03"/>
    <n v="0"/>
  </r>
  <r>
    <n v="60935626"/>
    <s v="N"/>
    <n v="21346451"/>
    <s v="3000015152520003RC"/>
    <s v="CIVIL"/>
    <d v="2023-06-28T00:00:00"/>
    <d v="2023-07-07T19:34:21"/>
    <m/>
    <d v="2023-07-07T00:00:00"/>
    <n v="1431"/>
    <n v="19284"/>
    <s v="60935626"/>
    <s v="60935626"/>
    <m/>
    <m/>
    <m/>
    <m/>
    <m/>
    <m/>
    <s v="SOLRECOUP"/>
    <s v="SOLRECOUP"/>
    <s v="POARECOUP"/>
    <n v="21346451"/>
    <n v="-830.54"/>
    <m/>
    <s v="Y"/>
    <n v="2"/>
    <d v="2023-07-07T19:34:23"/>
    <s v="N"/>
    <m/>
    <m/>
    <s v="Profit Cost"/>
    <m/>
    <s v="N"/>
    <n v="0"/>
    <n v="-138.42"/>
    <x v="9"/>
    <s v="VALIDATED"/>
    <n v="1"/>
    <s v="01.11.80.305.2013.0000"/>
    <n v="-138.42"/>
    <s v="11"/>
    <s v="2013"/>
    <n v="1195.25"/>
    <n v="-138.42"/>
    <s v="CREDITOR"/>
    <n v="0"/>
    <n v="0"/>
    <n v="-138.42"/>
    <n v="-34.605"/>
    <n v="0"/>
  </r>
  <r>
    <n v="60935626"/>
    <s v="N"/>
    <n v="21346452"/>
    <s v="3000015152520008RC"/>
    <s v="CIVIL"/>
    <d v="2023-06-28T00:00:00"/>
    <d v="2023-07-07T19:34:21"/>
    <m/>
    <d v="2023-07-07T00:00:00"/>
    <n v="1431"/>
    <n v="19284"/>
    <s v="60935626"/>
    <s v="60935626"/>
    <m/>
    <m/>
    <m/>
    <m/>
    <m/>
    <m/>
    <s v="SOLRECOUP"/>
    <s v="SOLRECOUP"/>
    <s v="POARECOUP"/>
    <n v="21346452"/>
    <n v="-107.1"/>
    <m/>
    <s v="Y"/>
    <n v="1"/>
    <d v="2023-07-07T19:34:23"/>
    <s v="N"/>
    <m/>
    <m/>
    <s v="Expert Disbursement"/>
    <m/>
    <s v="N"/>
    <n v="-89.25"/>
    <n v="0"/>
    <x v="9"/>
    <s v="VALIDATED"/>
    <n v="1"/>
    <s v="01.11.80.305.2013.0000"/>
    <n v="-89.25"/>
    <s v="11"/>
    <s v="2013"/>
    <n v="1195.25"/>
    <n v="-89.25"/>
    <s v="CREDITOR"/>
    <n v="0"/>
    <n v="0"/>
    <n v="-89.25"/>
    <n v="0"/>
    <n v="0"/>
  </r>
  <r>
    <n v="60935626"/>
    <s v="N"/>
    <n v="21346452"/>
    <s v="3000015152520008RC"/>
    <s v="CIVIL"/>
    <d v="2023-06-28T00:00:00"/>
    <d v="2023-07-07T19:34:21"/>
    <m/>
    <d v="2023-07-07T00:00:00"/>
    <n v="1431"/>
    <n v="19284"/>
    <s v="60935626"/>
    <s v="60935626"/>
    <m/>
    <m/>
    <m/>
    <m/>
    <m/>
    <m/>
    <s v="SOLRECOUP"/>
    <s v="SOLRECOUP"/>
    <s v="POARECOUP"/>
    <n v="21346452"/>
    <n v="-107.1"/>
    <m/>
    <s v="Y"/>
    <n v="2"/>
    <d v="2023-07-07T19:34:23"/>
    <s v="N"/>
    <m/>
    <m/>
    <s v="Expert Disbursement"/>
    <m/>
    <s v="N"/>
    <n v="0"/>
    <n v="-17.85"/>
    <x v="9"/>
    <s v="VALIDATED"/>
    <n v="1"/>
    <s v="01.11.80.305.2013.0000"/>
    <n v="-17.85"/>
    <s v="11"/>
    <s v="2013"/>
    <n v="1195.25"/>
    <n v="-17.85"/>
    <s v="CREDITOR"/>
    <n v="0"/>
    <n v="0"/>
    <n v="-17.85"/>
    <n v="0"/>
    <n v="0"/>
  </r>
  <r>
    <n v="60935626"/>
    <s v="N"/>
    <n v="21346453"/>
    <s v="3000015152520002RC"/>
    <s v="CIVIL"/>
    <d v="2023-06-28T00:00:00"/>
    <d v="2023-07-07T19:34:21"/>
    <m/>
    <d v="2023-07-07T00:00:00"/>
    <n v="1431"/>
    <n v="19284"/>
    <s v="60935626"/>
    <s v="60935626"/>
    <m/>
    <m/>
    <m/>
    <m/>
    <m/>
    <m/>
    <s v="SOLRECOUP"/>
    <s v="SOLRECOUP"/>
    <s v="POARECOUP"/>
    <n v="21346453"/>
    <n v="-243.54"/>
    <m/>
    <s v="Y"/>
    <n v="1"/>
    <d v="2023-07-07T19:34:23"/>
    <s v="N"/>
    <m/>
    <m/>
    <s v="Expert Disbursement"/>
    <m/>
    <s v="N"/>
    <n v="-202.95"/>
    <n v="0"/>
    <x v="9"/>
    <s v="VALIDATED"/>
    <n v="1"/>
    <s v="01.11.80.305.2013.0000"/>
    <n v="-202.95"/>
    <s v="11"/>
    <s v="2013"/>
    <n v="1195.25"/>
    <n v="-202.95"/>
    <s v="CREDITOR"/>
    <n v="0"/>
    <n v="0"/>
    <n v="-202.95"/>
    <n v="0"/>
    <n v="0"/>
  </r>
  <r>
    <n v="60935626"/>
    <s v="N"/>
    <n v="21346453"/>
    <s v="3000015152520002RC"/>
    <s v="CIVIL"/>
    <d v="2023-06-28T00:00:00"/>
    <d v="2023-07-07T19:34:21"/>
    <m/>
    <d v="2023-07-07T00:00:00"/>
    <n v="1431"/>
    <n v="19284"/>
    <s v="60935626"/>
    <s v="60935626"/>
    <m/>
    <m/>
    <m/>
    <m/>
    <m/>
    <m/>
    <s v="SOLRECOUP"/>
    <s v="SOLRECOUP"/>
    <s v="POARECOUP"/>
    <n v="21346453"/>
    <n v="-243.54"/>
    <m/>
    <s v="Y"/>
    <n v="2"/>
    <d v="2023-07-07T19:34:23"/>
    <s v="N"/>
    <m/>
    <m/>
    <s v="Expert Disbursement"/>
    <m/>
    <s v="N"/>
    <n v="0"/>
    <n v="-40.59"/>
    <x v="9"/>
    <s v="VALIDATED"/>
    <n v="1"/>
    <s v="01.11.80.305.2013.0000"/>
    <n v="-40.59"/>
    <s v="11"/>
    <s v="2013"/>
    <n v="1195.25"/>
    <n v="-40.59"/>
    <s v="CREDITOR"/>
    <n v="0"/>
    <n v="0"/>
    <n v="-40.59"/>
    <n v="0"/>
    <n v="0"/>
  </r>
  <r>
    <n v="60935626"/>
    <s v="N"/>
    <n v="21346454"/>
    <s v="3000015152520005RC"/>
    <s v="CIVIL"/>
    <d v="2023-06-28T00:00:00"/>
    <d v="2023-07-07T19:34:21"/>
    <m/>
    <d v="2023-07-07T00:00:00"/>
    <n v="1431"/>
    <n v="19284"/>
    <s v="60935626"/>
    <s v="60935626"/>
    <m/>
    <m/>
    <m/>
    <m/>
    <m/>
    <m/>
    <s v="SOLRECOUP"/>
    <s v="SOLRECOUP"/>
    <s v="POARECOUP"/>
    <n v="21346454"/>
    <n v="-357.84"/>
    <m/>
    <s v="Y"/>
    <n v="1"/>
    <d v="2023-07-07T19:34:23"/>
    <s v="N"/>
    <m/>
    <m/>
    <s v="Expert Disbursement"/>
    <m/>
    <s v="N"/>
    <n v="-298.2"/>
    <n v="0"/>
    <x v="9"/>
    <s v="VALIDATED"/>
    <n v="1"/>
    <s v="01.11.80.305.2013.0000"/>
    <n v="-298.2"/>
    <s v="11"/>
    <s v="2013"/>
    <n v="1195.25"/>
    <n v="-298.2"/>
    <s v="CREDITOR"/>
    <n v="0"/>
    <n v="0"/>
    <n v="-298.2"/>
    <n v="0"/>
    <n v="0"/>
  </r>
  <r>
    <n v="60935626"/>
    <s v="N"/>
    <n v="21346454"/>
    <s v="3000015152520005RC"/>
    <s v="CIVIL"/>
    <d v="2023-06-28T00:00:00"/>
    <d v="2023-07-07T19:34:21"/>
    <m/>
    <d v="2023-07-07T00:00:00"/>
    <n v="1431"/>
    <n v="19284"/>
    <s v="60935626"/>
    <s v="60935626"/>
    <m/>
    <m/>
    <m/>
    <m/>
    <m/>
    <m/>
    <s v="SOLRECOUP"/>
    <s v="SOLRECOUP"/>
    <s v="POARECOUP"/>
    <n v="21346454"/>
    <n v="-357.84"/>
    <m/>
    <s v="Y"/>
    <n v="2"/>
    <d v="2023-07-07T19:34:23"/>
    <s v="N"/>
    <m/>
    <m/>
    <s v="Expert Disbursement"/>
    <m/>
    <s v="N"/>
    <n v="0"/>
    <n v="-59.64"/>
    <x v="9"/>
    <s v="VALIDATED"/>
    <n v="1"/>
    <s v="01.11.80.305.2013.0000"/>
    <n v="-59.64"/>
    <s v="11"/>
    <s v="2013"/>
    <n v="1195.25"/>
    <n v="-59.64"/>
    <s v="CREDITOR"/>
    <n v="0"/>
    <n v="0"/>
    <n v="-59.64"/>
    <n v="0"/>
    <n v="0"/>
  </r>
  <r>
    <n v="61075463"/>
    <s v="N"/>
    <n v="21356687"/>
    <s v="3000015271740003RC"/>
    <s v="CIVIL"/>
    <d v="2023-06-28T00:00:00"/>
    <d v="2023-07-10T19:47:44"/>
    <m/>
    <d v="2023-07-10T00:00:00"/>
    <n v="1431"/>
    <n v="19284"/>
    <s v="61075463"/>
    <s v="61075463"/>
    <m/>
    <m/>
    <m/>
    <m/>
    <m/>
    <m/>
    <s v="SOLRECOUP"/>
    <s v="SOLRECOUP"/>
    <s v="POARECOUP"/>
    <n v="21356687"/>
    <n v="-628.51"/>
    <m/>
    <s v="Y"/>
    <n v="1"/>
    <d v="2023-07-10T19:47:46"/>
    <s v="N"/>
    <m/>
    <m/>
    <s v="Profit Cost"/>
    <m/>
    <s v="N"/>
    <n v="-523.76"/>
    <n v="0"/>
    <x v="2"/>
    <s v="VALIDATED"/>
    <n v="1"/>
    <s v="01.11.80.308.2013.0000"/>
    <n v="-523.76"/>
    <s v="11"/>
    <s v="2013"/>
    <n v="1195.25"/>
    <n v="-523.76"/>
    <s v="CREDITOR"/>
    <n v="0"/>
    <n v="0"/>
    <n v="-523.76"/>
    <n v="-130.94"/>
    <n v="0"/>
  </r>
  <r>
    <n v="19720003"/>
    <s v="N"/>
    <n v="21327487"/>
    <s v="3000008312410046"/>
    <s v="CIVIL"/>
    <d v="2023-06-28T00:00:00"/>
    <d v="2023-07-04T19:00:44"/>
    <m/>
    <d v="2023-07-04T00:00:00"/>
    <n v="1431"/>
    <n v="19284"/>
    <s v="19720003"/>
    <s v="19720003"/>
    <m/>
    <m/>
    <n v="22777390"/>
    <m/>
    <m/>
    <m/>
    <s v="SOLFIN"/>
    <s v="SOLFIN"/>
    <s v="CCMS"/>
    <n v="21327487"/>
    <n v="37017.9"/>
    <m/>
    <s v="N"/>
    <n v="25"/>
    <d v="2023-07-04T19:00:48"/>
    <s v="Y"/>
    <s v="Toxicologist"/>
    <s v="VHCC"/>
    <s v="Expert Disbursement"/>
    <s v="rd"/>
    <s v="Y"/>
    <n v="210"/>
    <n v="42"/>
    <x v="1"/>
    <s v="VALIDATED"/>
    <n v="1"/>
    <s v="01.11.80.308.6300.0000"/>
    <n v="210"/>
    <s v="11"/>
    <s v="6300"/>
    <n v="1195.25"/>
    <n v="210"/>
    <s v="CREDITOR"/>
    <n v="0"/>
    <n v="0"/>
    <n v="0"/>
    <n v="0"/>
    <n v="210"/>
  </r>
  <r>
    <n v="60935626"/>
    <s v="N"/>
    <n v="21343583"/>
    <s v="3000015152520012"/>
    <s v="CIVIL"/>
    <d v="2023-06-28T00:00:00"/>
    <d v="2023-07-07T19:03:00"/>
    <m/>
    <d v="2023-07-07T00:00:00"/>
    <n v="1431"/>
    <n v="19284"/>
    <s v="60935626"/>
    <s v="60935626"/>
    <m/>
    <m/>
    <n v="22780268"/>
    <m/>
    <m/>
    <m/>
    <s v="SOLFIN"/>
    <s v="SOLFIN"/>
    <s v="CCMS"/>
    <n v="21343583"/>
    <n v="6962.45"/>
    <m/>
    <s v="N"/>
    <n v="8"/>
    <d v="2023-07-07T19:03:10"/>
    <s v="Y"/>
    <s v="Preparation - drafting bill/claim f"/>
    <s v="Care Remuneration Hourly Rates"/>
    <s v="Profit Cost"/>
    <s v="slw"/>
    <s v="Y"/>
    <n v="13.43"/>
    <n v="2.69"/>
    <x v="9"/>
    <s v="VALIDATED"/>
    <n v="1"/>
    <s v="01.11.80.305.6100.0000"/>
    <n v="13.43"/>
    <s v="11"/>
    <s v="6100"/>
    <n v="1195.25"/>
    <n v="13.43"/>
    <s v="CREDITOR"/>
    <n v="0"/>
    <n v="0"/>
    <n v="0"/>
    <n v="0"/>
    <n v="13.43"/>
  </r>
  <r>
    <n v="61670793"/>
    <s v="N"/>
    <n v="21331271"/>
    <s v="3000015767770007"/>
    <s v="CIVIL"/>
    <d v="2023-06-27T00:00:00"/>
    <d v="2023-07-05T19:01:47"/>
    <m/>
    <d v="2023-07-05T00:00:00"/>
    <n v="1431"/>
    <n v="19284"/>
    <s v="61670793"/>
    <s v="61670793"/>
    <m/>
    <m/>
    <n v="22766726"/>
    <m/>
    <m/>
    <m/>
    <s v="SOLFIN"/>
    <s v="SOLFIN"/>
    <s v="CCMS"/>
    <n v="21331271"/>
    <n v="3106.61"/>
    <m/>
    <s v="N"/>
    <n v="1"/>
    <d v="2023-07-05T19:02:12"/>
    <s v="Y"/>
    <s v="Court Fee"/>
    <s v="Care Remuneration Hourly Rates"/>
    <s v="Non Expert Disbursement"/>
    <s v="slw"/>
    <s v="Y"/>
    <n v="167"/>
    <n v="0"/>
    <x v="6"/>
    <s v="VALIDATED"/>
    <n v="1"/>
    <s v="01.11.80.305.6300.0000"/>
    <n v="167"/>
    <s v="11"/>
    <s v="6300"/>
    <n v="1195.25"/>
    <n v="167"/>
    <s v="CREDITOR"/>
    <n v="0"/>
    <n v="0"/>
    <n v="0"/>
    <n v="0"/>
    <n v="167"/>
  </r>
  <r>
    <n v="19720003"/>
    <s v="N"/>
    <n v="21327487"/>
    <s v="3000008312410046"/>
    <s v="CIVIL"/>
    <d v="2023-06-28T00:00:00"/>
    <d v="2023-07-04T19:00:44"/>
    <m/>
    <d v="2023-07-04T00:00:00"/>
    <n v="1431"/>
    <n v="19284"/>
    <s v="19720003"/>
    <s v="19720003"/>
    <m/>
    <m/>
    <n v="22777390"/>
    <m/>
    <m/>
    <m/>
    <s v="SOLFIN"/>
    <s v="SOLFIN"/>
    <s v="CCMS"/>
    <n v="21327487"/>
    <n v="37017.9"/>
    <m/>
    <s v="N"/>
    <n v="13"/>
    <d v="2023-07-04T19:00:48"/>
    <s v="Y"/>
    <s v="Toxicologist"/>
    <s v="VHCC"/>
    <s v="Expert Disbursement"/>
    <s v="rd"/>
    <s v="Y"/>
    <n v="148.75"/>
    <n v="29.75"/>
    <x v="1"/>
    <s v="VALIDATED"/>
    <n v="1"/>
    <s v="01.11.80.308.6300.0000"/>
    <n v="148.75"/>
    <s v="11"/>
    <s v="6300"/>
    <n v="1195.25"/>
    <n v="148.75"/>
    <s v="CREDITOR"/>
    <n v="0"/>
    <n v="0"/>
    <n v="0"/>
    <n v="0"/>
    <n v="148.75"/>
  </r>
  <r>
    <n v="60935626"/>
    <s v="N"/>
    <n v="21343583"/>
    <s v="3000015152520012"/>
    <s v="CIVIL"/>
    <d v="2023-06-28T00:00:00"/>
    <d v="2023-07-07T19:03:00"/>
    <m/>
    <d v="2023-07-07T00:00:00"/>
    <n v="1431"/>
    <n v="19284"/>
    <s v="60935626"/>
    <s v="60935626"/>
    <m/>
    <m/>
    <n v="22780268"/>
    <m/>
    <m/>
    <m/>
    <s v="SOLFIN"/>
    <s v="SOLFIN"/>
    <s v="CCMS"/>
    <n v="21343583"/>
    <n v="6962.45"/>
    <m/>
    <s v="N"/>
    <n v="6"/>
    <d v="2023-07-07T19:03:10"/>
    <s v="Y"/>
    <s v="Toxicologist"/>
    <s v="Care Remuneration Hourly Rates"/>
    <s v="Expert Disbursement"/>
    <s v="slw"/>
    <s v="Y"/>
    <n v="123.75"/>
    <n v="24.75"/>
    <x v="9"/>
    <s v="VALIDATED"/>
    <n v="1"/>
    <s v="01.11.80.305.6300.0000"/>
    <n v="123.75"/>
    <s v="11"/>
    <s v="6300"/>
    <n v="1195.25"/>
    <n v="123.75"/>
    <s v="CREDITOR"/>
    <n v="0"/>
    <n v="0"/>
    <n v="0"/>
    <n v="0"/>
    <n v="123.75"/>
  </r>
  <r>
    <n v="61670793"/>
    <s v="N"/>
    <n v="21331271"/>
    <s v="3000015767770007"/>
    <s v="CIVIL"/>
    <d v="2023-06-27T00:00:00"/>
    <d v="2023-07-05T19:01:47"/>
    <m/>
    <d v="2023-07-05T00:00:00"/>
    <n v="1431"/>
    <n v="19284"/>
    <s v="61670793"/>
    <s v="61670793"/>
    <m/>
    <m/>
    <n v="22766726"/>
    <m/>
    <m/>
    <m/>
    <s v="SOLFIN"/>
    <s v="SOLFIN"/>
    <s v="CCMS"/>
    <n v="21331271"/>
    <n v="3106.61"/>
    <m/>
    <s v="N"/>
    <n v="34"/>
    <d v="2023-07-05T19:02:12"/>
    <s v="Y"/>
    <s v="Preparation - drafting bill/claim f"/>
    <s v="Care Remuneration Hourly Rates"/>
    <s v="Profit Cost"/>
    <s v="sb"/>
    <s v="Y"/>
    <n v="73.59999999999999"/>
    <n v="14.72"/>
    <x v="6"/>
    <s v="VALIDATED"/>
    <n v="1"/>
    <s v="01.11.80.305.6100.0000"/>
    <n v="73.59999999999999"/>
    <s v="11"/>
    <s v="6100"/>
    <n v="1195.25"/>
    <n v="73.59999999999999"/>
    <s v="CREDITOR"/>
    <n v="0"/>
    <n v="0"/>
    <n v="0"/>
    <n v="0"/>
    <n v="73.59999999999999"/>
  </r>
  <r>
    <n v="19720003"/>
    <s v="N"/>
    <n v="21327487"/>
    <s v="3000008312410046"/>
    <s v="CIVIL"/>
    <d v="2023-06-28T00:00:00"/>
    <d v="2023-07-04T19:00:44"/>
    <m/>
    <d v="2023-07-04T00:00:00"/>
    <n v="1431"/>
    <n v="19284"/>
    <s v="19720003"/>
    <s v="19720003"/>
    <m/>
    <m/>
    <n v="22777390"/>
    <m/>
    <m/>
    <m/>
    <s v="SOLFIN"/>
    <s v="SOLFIN"/>
    <s v="CCMS"/>
    <n v="21327487"/>
    <n v="37017.9"/>
    <m/>
    <s v="N"/>
    <n v="19"/>
    <d v="2023-07-04T19:00:48"/>
    <s v="Y"/>
    <s v="Toxicologist"/>
    <s v="VHCC"/>
    <s v="Expert Disbursement"/>
    <s v="rd"/>
    <s v="Y"/>
    <n v="349.25"/>
    <n v="69.84999999999999"/>
    <x v="1"/>
    <s v="VALIDATED"/>
    <n v="1"/>
    <s v="01.11.80.308.6300.0000"/>
    <n v="349.25"/>
    <s v="11"/>
    <s v="6300"/>
    <n v="1195.25"/>
    <n v="349.25"/>
    <s v="CREDITOR"/>
    <n v="0"/>
    <n v="0"/>
    <n v="0"/>
    <n v="0"/>
    <n v="349.25"/>
  </r>
  <r>
    <n v="60935626"/>
    <s v="N"/>
    <n v="21343583"/>
    <s v="3000015152520012"/>
    <s v="CIVIL"/>
    <d v="2023-06-28T00:00:00"/>
    <d v="2023-07-07T19:03:00"/>
    <m/>
    <d v="2023-07-07T00:00:00"/>
    <n v="1431"/>
    <n v="19284"/>
    <s v="60935626"/>
    <s v="60935626"/>
    <m/>
    <m/>
    <n v="22780268"/>
    <m/>
    <m/>
    <m/>
    <s v="SOLFIN"/>
    <s v="SOLFIN"/>
    <s v="CCMS"/>
    <n v="21343583"/>
    <n v="6962.45"/>
    <m/>
    <s v="N"/>
    <n v="62"/>
    <d v="2023-07-07T19:03:10"/>
    <s v="Y"/>
    <s v="Preparation - other"/>
    <s v="Care Remuneration Hourly Rates"/>
    <s v="Profit Cost"/>
    <s v="slw"/>
    <s v="Y"/>
    <n v="13.43"/>
    <n v="2.69"/>
    <x v="9"/>
    <s v="VALIDATED"/>
    <n v="1"/>
    <s v="01.11.80.305.6100.0000"/>
    <n v="13.43"/>
    <s v="11"/>
    <s v="6100"/>
    <n v="1195.25"/>
    <n v="13.43"/>
    <s v="CREDITOR"/>
    <n v="0"/>
    <n v="0"/>
    <n v="0"/>
    <n v="0"/>
    <n v="13.43"/>
  </r>
  <r>
    <n v="60935626"/>
    <s v="N"/>
    <n v="21343583"/>
    <s v="3000015152520012"/>
    <s v="CIVIL"/>
    <d v="2023-06-28T00:00:00"/>
    <d v="2023-07-07T19:03:00"/>
    <m/>
    <d v="2023-07-07T00:00:00"/>
    <n v="1431"/>
    <n v="19284"/>
    <s v="60935626"/>
    <s v="60935626"/>
    <m/>
    <m/>
    <n v="22780268"/>
    <m/>
    <m/>
    <m/>
    <s v="SOLFIN"/>
    <s v="SOLFIN"/>
    <s v="CCMS"/>
    <n v="21343583"/>
    <n v="6962.45"/>
    <m/>
    <s v="N"/>
    <n v="12"/>
    <d v="2023-07-07T19:03:10"/>
    <s v="Y"/>
    <s v="Preparation - other"/>
    <s v="Care Remuneration Hourly Rates"/>
    <s v="Profit Cost"/>
    <s v="mb"/>
    <s v="Y"/>
    <n v="11.68"/>
    <n v="2.34"/>
    <x v="9"/>
    <s v="VALIDATED"/>
    <n v="1"/>
    <s v="01.11.80.305.6100.0000"/>
    <n v="11.68"/>
    <s v="11"/>
    <s v="6100"/>
    <n v="1195.25"/>
    <n v="11.68"/>
    <s v="CREDITOR"/>
    <n v="0"/>
    <n v="0"/>
    <n v="0"/>
    <n v="0"/>
    <n v="11.68"/>
  </r>
  <r>
    <n v="61670793"/>
    <s v="N"/>
    <n v="21331271"/>
    <s v="3000015767770007"/>
    <s v="CIVIL"/>
    <d v="2023-06-27T00:00:00"/>
    <d v="2023-07-05T19:01:47"/>
    <m/>
    <d v="2023-07-05T00:00:00"/>
    <n v="1431"/>
    <n v="19284"/>
    <s v="61670793"/>
    <s v="61670793"/>
    <m/>
    <m/>
    <n v="22766726"/>
    <m/>
    <m/>
    <m/>
    <s v="SOLFIN"/>
    <s v="SOLFIN"/>
    <s v="CCMS"/>
    <n v="21331271"/>
    <n v="3106.61"/>
    <m/>
    <s v="N"/>
    <n v="15"/>
    <d v="2023-07-05T19:02:12"/>
    <s v="Y"/>
    <s v="Preparation - drafting instructions"/>
    <s v="Care Remuneration Hourly Rates"/>
    <s v="Profit Cost"/>
    <s v="mb"/>
    <s v="Y"/>
    <n v="21.03"/>
    <n v="4.21"/>
    <x v="6"/>
    <s v="VALIDATED"/>
    <n v="1"/>
    <s v="01.11.80.305.6100.0000"/>
    <n v="21.03"/>
    <s v="11"/>
    <s v="6100"/>
    <n v="1195.25"/>
    <n v="21.03"/>
    <s v="CREDITOR"/>
    <n v="0"/>
    <n v="0"/>
    <n v="0"/>
    <n v="0"/>
    <n v="21.03"/>
  </r>
  <r>
    <n v="19720003"/>
    <s v="N"/>
    <n v="21327487"/>
    <s v="3000008312410046"/>
    <s v="CIVIL"/>
    <d v="2023-06-28T00:00:00"/>
    <d v="2023-07-04T19:00:44"/>
    <m/>
    <d v="2023-07-04T00:00:00"/>
    <n v="1431"/>
    <n v="19284"/>
    <s v="19720003"/>
    <s v="19720003"/>
    <m/>
    <m/>
    <n v="22777390"/>
    <m/>
    <m/>
    <m/>
    <s v="SOLFIN"/>
    <s v="SOLFIN"/>
    <s v="CCMS"/>
    <n v="21327487"/>
    <n v="37017.9"/>
    <m/>
    <s v="N"/>
    <n v="11"/>
    <d v="2023-07-04T19:00:48"/>
    <s v="Y"/>
    <s v="Toxicologist"/>
    <s v="VHCC"/>
    <s v="Expert Disbursement"/>
    <s v="rd"/>
    <s v="Y"/>
    <n v="176"/>
    <n v="35.2"/>
    <x v="1"/>
    <s v="VALIDATED"/>
    <n v="1"/>
    <s v="01.11.80.308.6300.0000"/>
    <n v="176"/>
    <s v="11"/>
    <s v="6300"/>
    <n v="1195.25"/>
    <n v="176"/>
    <s v="CREDITOR"/>
    <n v="0"/>
    <n v="0"/>
    <n v="0"/>
    <n v="0"/>
    <n v="176"/>
  </r>
  <r>
    <n v="60935626"/>
    <s v="N"/>
    <n v="21343583"/>
    <s v="3000015152520012"/>
    <s v="CIVIL"/>
    <d v="2023-06-28T00:00:00"/>
    <d v="2023-07-07T19:03:00"/>
    <m/>
    <d v="2023-07-07T00:00:00"/>
    <n v="1431"/>
    <n v="19284"/>
    <s v="60935626"/>
    <s v="60935626"/>
    <m/>
    <m/>
    <n v="22780268"/>
    <m/>
    <m/>
    <m/>
    <s v="SOLFIN"/>
    <s v="SOLFIN"/>
    <s v="CCMS"/>
    <n v="21343583"/>
    <n v="6962.45"/>
    <m/>
    <s v="N"/>
    <n v="29"/>
    <d v="2023-07-07T19:03:10"/>
    <s v="Y"/>
    <s v="Preparation - drafting instructions"/>
    <s v="Care Remuneration Hourly Rates"/>
    <s v="Profit Cost"/>
    <s v="slw"/>
    <s v="Y"/>
    <n v="33.59"/>
    <n v="6.72"/>
    <x v="9"/>
    <s v="VALIDATED"/>
    <n v="1"/>
    <s v="01.11.80.305.6100.0000"/>
    <n v="33.59"/>
    <s v="11"/>
    <s v="6100"/>
    <n v="1195.25"/>
    <n v="33.59"/>
    <s v="CREDITOR"/>
    <n v="0"/>
    <n v="0"/>
    <n v="0"/>
    <n v="0"/>
    <n v="33.59"/>
  </r>
  <r>
    <n v="61670793"/>
    <s v="N"/>
    <n v="21331271"/>
    <s v="3000015767770007"/>
    <s v="CIVIL"/>
    <d v="2023-06-27T00:00:00"/>
    <d v="2023-07-05T19:01:47"/>
    <m/>
    <d v="2023-07-05T00:00:00"/>
    <n v="1431"/>
    <n v="19284"/>
    <s v="61670793"/>
    <s v="61670793"/>
    <m/>
    <m/>
    <n v="22766726"/>
    <m/>
    <m/>
    <m/>
    <s v="SOLFIN"/>
    <s v="SOLFIN"/>
    <s v="CCMS"/>
    <n v="21331271"/>
    <n v="3106.61"/>
    <m/>
    <s v="N"/>
    <n v="12"/>
    <d v="2023-07-05T19:02:12"/>
    <s v="Y"/>
    <s v="Routine Letter In"/>
    <s v="Care Remuneration Hourly Rates"/>
    <s v="Profit Cost"/>
    <s v="slw"/>
    <s v="Y"/>
    <n v="346.78"/>
    <n v="69.36"/>
    <x v="6"/>
    <s v="VALIDATED"/>
    <n v="1"/>
    <s v="01.11.80.305.6100.0000"/>
    <n v="346.78"/>
    <s v="11"/>
    <s v="6100"/>
    <n v="1195.25"/>
    <n v="346.78"/>
    <s v="CREDITOR"/>
    <n v="0"/>
    <n v="0"/>
    <n v="0"/>
    <n v="0"/>
    <n v="346.78"/>
  </r>
  <r>
    <n v="61670793"/>
    <s v="N"/>
    <n v="21331271"/>
    <s v="3000015767770007"/>
    <s v="CIVIL"/>
    <d v="2023-06-27T00:00:00"/>
    <d v="2023-07-05T19:01:47"/>
    <m/>
    <d v="2023-07-05T00:00:00"/>
    <n v="1431"/>
    <n v="19284"/>
    <s v="61670793"/>
    <s v="61670793"/>
    <m/>
    <m/>
    <n v="22766726"/>
    <m/>
    <m/>
    <m/>
    <s v="SOLFIN"/>
    <s v="SOLFIN"/>
    <s v="CCMS"/>
    <n v="21331271"/>
    <n v="3106.61"/>
    <m/>
    <s v="N"/>
    <n v="27"/>
    <d v="2023-07-05T19:02:12"/>
    <s v="Y"/>
    <s v="Preparation - drafting instructions"/>
    <s v="Care Remuneration Hourly Rates"/>
    <s v="Profit Cost"/>
    <s v="slw"/>
    <s v="Y"/>
    <n v="30.23"/>
    <n v="6.05"/>
    <x v="6"/>
    <s v="VALIDATED"/>
    <n v="1"/>
    <s v="01.11.80.305.6100.0000"/>
    <n v="30.23"/>
    <s v="11"/>
    <s v="6100"/>
    <n v="1195.25"/>
    <n v="30.23"/>
    <s v="CREDITOR"/>
    <n v="0"/>
    <n v="0"/>
    <n v="0"/>
    <n v="0"/>
    <n v="30.23"/>
  </r>
  <r>
    <n v="19720003"/>
    <s v="N"/>
    <n v="21327487"/>
    <s v="3000008312410046"/>
    <s v="CIVIL"/>
    <d v="2023-06-28T00:00:00"/>
    <d v="2023-07-04T19:00:44"/>
    <m/>
    <d v="2023-07-04T00:00:00"/>
    <n v="1431"/>
    <n v="19284"/>
    <s v="19720003"/>
    <s v="19720003"/>
    <m/>
    <m/>
    <n v="22777390"/>
    <m/>
    <m/>
    <m/>
    <s v="SOLFIN"/>
    <s v="SOLFIN"/>
    <s v="CCMS"/>
    <n v="21327487"/>
    <n v="37017.9"/>
    <m/>
    <s v="N"/>
    <n v="8"/>
    <d v="2023-07-04T19:00:48"/>
    <s v="Y"/>
    <s v="Toxicologist"/>
    <s v="VHCC"/>
    <s v="Expert Disbursement"/>
    <s v="rd"/>
    <s v="Y"/>
    <n v="199.6"/>
    <n v="39.92"/>
    <x v="1"/>
    <s v="VALIDATED"/>
    <n v="1"/>
    <s v="01.11.80.308.6300.0000"/>
    <n v="199.6"/>
    <s v="11"/>
    <s v="6300"/>
    <n v="1195.25"/>
    <n v="199.6"/>
    <s v="CREDITOR"/>
    <n v="0"/>
    <n v="0"/>
    <n v="0"/>
    <n v="0"/>
    <n v="199.6"/>
  </r>
  <r>
    <n v="61670793"/>
    <s v="N"/>
    <n v="21331271"/>
    <s v="3000015767770007"/>
    <s v="CIVIL"/>
    <d v="2023-06-27T00:00:00"/>
    <d v="2023-07-05T19:01:47"/>
    <m/>
    <d v="2023-07-05T00:00:00"/>
    <n v="1431"/>
    <n v="19284"/>
    <s v="61670793"/>
    <s v="61670793"/>
    <m/>
    <m/>
    <n v="22766726"/>
    <m/>
    <m/>
    <m/>
    <s v="SOLFIN"/>
    <s v="SOLFIN"/>
    <s v="CCMS"/>
    <n v="21331271"/>
    <n v="3106.61"/>
    <m/>
    <s v="N"/>
    <n v="18"/>
    <d v="2023-07-05T19:02:12"/>
    <s v="Y"/>
    <s v="Preparation - other"/>
    <s v="Care Remuneration Hourly Rates"/>
    <s v="Profit Cost"/>
    <s v="slw"/>
    <s v="Y"/>
    <n v="12.09"/>
    <n v="2.42"/>
    <x v="6"/>
    <s v="VALIDATED"/>
    <n v="1"/>
    <s v="01.11.80.305.6100.0000"/>
    <n v="12.09"/>
    <s v="11"/>
    <s v="6100"/>
    <n v="1195.25"/>
    <n v="12.09"/>
    <s v="CREDITOR"/>
    <n v="0"/>
    <n v="0"/>
    <n v="0"/>
    <n v="0"/>
    <n v="12.09"/>
  </r>
  <r>
    <n v="61075463"/>
    <s v="N"/>
    <n v="21349492"/>
    <s v="3000015271740008"/>
    <s v="CIVIL"/>
    <d v="2023-06-28T00:00:00"/>
    <d v="2023-07-10T19:01:40"/>
    <m/>
    <d v="2023-07-10T00:00:00"/>
    <n v="1431"/>
    <n v="19284"/>
    <s v="61075463"/>
    <s v="61075463"/>
    <m/>
    <m/>
    <n v="22783938"/>
    <m/>
    <m/>
    <m/>
    <s v="SOLFIN"/>
    <s v="SOLFIN"/>
    <s v="CCMS"/>
    <n v="21349492"/>
    <n v="6085.21"/>
    <m/>
    <s v="N"/>
    <n v="5"/>
    <d v="2023-07-10T19:01:51"/>
    <s v="Y"/>
    <s v="Solicitor Travel Expenses"/>
    <s v="Public Law Children"/>
    <s v="Non Expert Disbursement"/>
    <s v="po"/>
    <s v="Y"/>
    <n v="8"/>
    <n v="1.6"/>
    <x v="2"/>
    <s v="VALIDATED"/>
    <n v="1"/>
    <s v="01.11.80.308.6300.0000"/>
    <n v="8"/>
    <s v="11"/>
    <s v="6300"/>
    <n v="1195.25"/>
    <n v="8"/>
    <s v="CREDITOR"/>
    <n v="0"/>
    <n v="0"/>
    <n v="0"/>
    <n v="0"/>
    <n v="8"/>
  </r>
  <r>
    <n v="60935626"/>
    <s v="N"/>
    <n v="21343583"/>
    <s v="3000015152520012"/>
    <s v="CIVIL"/>
    <d v="2023-06-28T00:00:00"/>
    <d v="2023-07-07T19:03:00"/>
    <m/>
    <d v="2023-07-07T00:00:00"/>
    <n v="1431"/>
    <n v="19284"/>
    <s v="60935626"/>
    <s v="60935626"/>
    <m/>
    <m/>
    <n v="22780268"/>
    <m/>
    <m/>
    <m/>
    <s v="SOLFIN"/>
    <s v="SOLFIN"/>
    <s v="CCMS"/>
    <n v="21343583"/>
    <n v="6962.45"/>
    <m/>
    <s v="N"/>
    <n v="52"/>
    <d v="2023-07-07T19:03:10"/>
    <s v="Y"/>
    <s v="Preparation - drafting application"/>
    <s v="Care Remuneration Hourly Rates"/>
    <s v="Profit Cost"/>
    <s v="mb"/>
    <s v="Y"/>
    <n v="17.52"/>
    <n v="3.5"/>
    <x v="9"/>
    <s v="VALIDATED"/>
    <n v="1"/>
    <s v="01.11.80.305.6100.0000"/>
    <n v="17.52"/>
    <s v="11"/>
    <s v="6100"/>
    <n v="1195.25"/>
    <n v="17.52"/>
    <s v="CREDITOR"/>
    <n v="0"/>
    <n v="0"/>
    <n v="0"/>
    <n v="0"/>
    <n v="17.52"/>
  </r>
  <r>
    <n v="19720003"/>
    <s v="N"/>
    <n v="21328778"/>
    <s v="3000008312410018RC"/>
    <s v="CIVIL"/>
    <d v="2023-06-28T00:00:00"/>
    <d v="2023-07-04T19:38:21"/>
    <m/>
    <d v="2023-07-04T00:00:00"/>
    <n v="1431"/>
    <n v="19284"/>
    <s v="19720003"/>
    <s v="19720003"/>
    <m/>
    <m/>
    <m/>
    <m/>
    <m/>
    <m/>
    <s v="SOLRECOUP"/>
    <s v="SOLRECOUP"/>
    <s v="POARECOUP"/>
    <n v="21328778"/>
    <n v="-1569.38"/>
    <m/>
    <s v="Y"/>
    <n v="1"/>
    <d v="2023-07-04T19:38:22"/>
    <s v="N"/>
    <m/>
    <m/>
    <s v="Profit Cost"/>
    <m/>
    <s v="N"/>
    <n v="-1307.82"/>
    <n v="0"/>
    <x v="1"/>
    <s v="VALIDATED"/>
    <n v="1"/>
    <s v="01.11.80.308.2013.0000"/>
    <n v="-1307.82"/>
    <s v="11"/>
    <s v="2013"/>
    <n v="1195.25"/>
    <n v="-1307.82"/>
    <s v="CREDITOR"/>
    <n v="0"/>
    <n v="0"/>
    <n v="-1307.82"/>
    <n v="-326.955"/>
    <n v="0"/>
  </r>
  <r>
    <n v="19720003"/>
    <s v="N"/>
    <n v="21328778"/>
    <s v="3000008312410018RC"/>
    <s v="CIVIL"/>
    <d v="2023-06-28T00:00:00"/>
    <d v="2023-07-04T19:38:21"/>
    <m/>
    <d v="2023-07-04T00:00:00"/>
    <n v="1431"/>
    <n v="19284"/>
    <s v="19720003"/>
    <s v="19720003"/>
    <m/>
    <m/>
    <m/>
    <m/>
    <m/>
    <m/>
    <s v="SOLRECOUP"/>
    <s v="SOLRECOUP"/>
    <s v="POARECOUP"/>
    <n v="21328778"/>
    <n v="-1569.38"/>
    <m/>
    <s v="Y"/>
    <n v="2"/>
    <d v="2023-07-04T19:38:22"/>
    <s v="N"/>
    <m/>
    <m/>
    <s v="Profit Cost"/>
    <m/>
    <s v="N"/>
    <n v="0"/>
    <n v="-261.56"/>
    <x v="1"/>
    <s v="VALIDATED"/>
    <n v="1"/>
    <s v="01.11.80.308.2013.0000"/>
    <n v="-261.56"/>
    <s v="11"/>
    <s v="2013"/>
    <n v="1195.25"/>
    <n v="-261.56"/>
    <s v="CREDITOR"/>
    <n v="0"/>
    <n v="0"/>
    <n v="-261.56"/>
    <n v="-65.39"/>
    <n v="0"/>
  </r>
  <r>
    <n v="19720003"/>
    <s v="N"/>
    <n v="21328779"/>
    <s v="3000008312410002RC"/>
    <s v="CIVIL"/>
    <d v="2023-06-28T00:00:00"/>
    <d v="2023-07-04T19:38:21"/>
    <m/>
    <d v="2023-07-04T00:00:00"/>
    <n v="1431"/>
    <n v="19284"/>
    <s v="19720003"/>
    <s v="19720003"/>
    <m/>
    <m/>
    <m/>
    <m/>
    <m/>
    <m/>
    <s v="SOLRECOUP"/>
    <s v="SOLRECOUP"/>
    <s v="POARECOUP"/>
    <n v="21328779"/>
    <n v="-419.1"/>
    <m/>
    <s v="Y"/>
    <n v="1"/>
    <d v="2023-07-04T19:38:22"/>
    <s v="N"/>
    <m/>
    <m/>
    <s v="Expert Disbursement"/>
    <m/>
    <s v="N"/>
    <n v="-349.25"/>
    <n v="0"/>
    <x v="1"/>
    <s v="VALIDATED"/>
    <n v="1"/>
    <s v="01.11.80.308.2013.0000"/>
    <n v="-349.25"/>
    <s v="11"/>
    <s v="2013"/>
    <n v="1195.25"/>
    <n v="-349.25"/>
    <s v="CREDITOR"/>
    <n v="0"/>
    <n v="0"/>
    <n v="-349.25"/>
    <n v="0"/>
    <n v="0"/>
  </r>
  <r>
    <n v="19720003"/>
    <s v="N"/>
    <n v="21328779"/>
    <s v="3000008312410002RC"/>
    <s v="CIVIL"/>
    <d v="2023-06-28T00:00:00"/>
    <d v="2023-07-04T19:38:21"/>
    <m/>
    <d v="2023-07-04T00:00:00"/>
    <n v="1431"/>
    <n v="19284"/>
    <s v="19720003"/>
    <s v="19720003"/>
    <m/>
    <m/>
    <m/>
    <m/>
    <m/>
    <m/>
    <s v="SOLRECOUP"/>
    <s v="SOLRECOUP"/>
    <s v="POARECOUP"/>
    <n v="21328779"/>
    <n v="-419.1"/>
    <m/>
    <s v="Y"/>
    <n v="2"/>
    <d v="2023-07-04T19:38:22"/>
    <s v="N"/>
    <m/>
    <m/>
    <s v="Expert Disbursement"/>
    <m/>
    <s v="N"/>
    <n v="0"/>
    <n v="-69.84999999999999"/>
    <x v="1"/>
    <s v="VALIDATED"/>
    <n v="1"/>
    <s v="01.11.80.308.2013.0000"/>
    <n v="-69.84999999999999"/>
    <s v="11"/>
    <s v="2013"/>
    <n v="1195.25"/>
    <n v="-69.84999999999999"/>
    <s v="CREDITOR"/>
    <n v="0"/>
    <n v="0"/>
    <n v="-69.84999999999999"/>
    <n v="0"/>
    <n v="0"/>
  </r>
  <r>
    <n v="19720003"/>
    <s v="N"/>
    <n v="21328780"/>
    <s v="3000008312410005RC"/>
    <s v="CIVIL"/>
    <d v="2023-06-28T00:00:00"/>
    <d v="2023-07-04T19:38:21"/>
    <m/>
    <d v="2023-07-04T00:00:00"/>
    <n v="1431"/>
    <n v="19284"/>
    <s v="19720003"/>
    <s v="19720003"/>
    <m/>
    <m/>
    <m/>
    <m/>
    <m/>
    <m/>
    <s v="SOLRECOUP"/>
    <s v="SOLRECOUP"/>
    <s v="POARECOUP"/>
    <n v="21328780"/>
    <n v="-229.2"/>
    <m/>
    <s v="Y"/>
    <n v="1"/>
    <d v="2023-07-04T19:38:22"/>
    <s v="N"/>
    <m/>
    <m/>
    <s v="Expert Disbursement"/>
    <m/>
    <s v="N"/>
    <n v="-191"/>
    <n v="0"/>
    <x v="1"/>
    <s v="VALIDATED"/>
    <n v="1"/>
    <s v="01.11.80.308.2013.0000"/>
    <n v="-191"/>
    <s v="11"/>
    <s v="2013"/>
    <n v="1195.25"/>
    <n v="-191"/>
    <s v="CREDITOR"/>
    <n v="0"/>
    <n v="0"/>
    <n v="-191"/>
    <n v="0"/>
    <n v="0"/>
  </r>
  <r>
    <n v="19720003"/>
    <s v="N"/>
    <n v="21328780"/>
    <s v="3000008312410005RC"/>
    <s v="CIVIL"/>
    <d v="2023-06-28T00:00:00"/>
    <d v="2023-07-04T19:38:21"/>
    <m/>
    <d v="2023-07-04T00:00:00"/>
    <n v="1431"/>
    <n v="19284"/>
    <s v="19720003"/>
    <s v="19720003"/>
    <m/>
    <m/>
    <m/>
    <m/>
    <m/>
    <m/>
    <s v="SOLRECOUP"/>
    <s v="SOLRECOUP"/>
    <s v="POARECOUP"/>
    <n v="21328780"/>
    <n v="-229.2"/>
    <m/>
    <s v="Y"/>
    <n v="2"/>
    <d v="2023-07-04T19:38:22"/>
    <s v="N"/>
    <m/>
    <m/>
    <s v="Expert Disbursement"/>
    <m/>
    <s v="N"/>
    <n v="0"/>
    <n v="-38.2"/>
    <x v="1"/>
    <s v="VALIDATED"/>
    <n v="1"/>
    <s v="01.11.80.308.2013.0000"/>
    <n v="-38.2"/>
    <s v="11"/>
    <s v="2013"/>
    <n v="1195.25"/>
    <n v="-38.2"/>
    <s v="CREDITOR"/>
    <n v="0"/>
    <n v="0"/>
    <n v="-38.2"/>
    <n v="0"/>
    <n v="0"/>
  </r>
  <r>
    <n v="19720003"/>
    <s v="N"/>
    <n v="21328781"/>
    <s v="3000008312410004RC"/>
    <s v="CIVIL"/>
    <d v="2023-06-28T00:00:00"/>
    <d v="2023-07-04T19:38:21"/>
    <m/>
    <d v="2023-07-04T00:00:00"/>
    <n v="1431"/>
    <n v="19284"/>
    <s v="19720003"/>
    <s v="19720003"/>
    <m/>
    <m/>
    <m/>
    <m/>
    <m/>
    <m/>
    <s v="SOLRECOUP"/>
    <s v="SOLRECOUP"/>
    <s v="POARECOUP"/>
    <n v="21328781"/>
    <n v="-193.2"/>
    <m/>
    <s v="Y"/>
    <n v="1"/>
    <d v="2023-07-04T19:38:22"/>
    <s v="N"/>
    <m/>
    <m/>
    <s v="Expert Disbursement"/>
    <m/>
    <s v="N"/>
    <n v="-161"/>
    <n v="0"/>
    <x v="1"/>
    <s v="VALIDATED"/>
    <n v="1"/>
    <s v="01.11.80.308.2013.0000"/>
    <n v="-161"/>
    <s v="11"/>
    <s v="2013"/>
    <n v="1195.25"/>
    <n v="-161"/>
    <s v="CREDITOR"/>
    <n v="0"/>
    <n v="0"/>
    <n v="-161"/>
    <n v="0"/>
    <n v="0"/>
  </r>
  <r>
    <n v="19720003"/>
    <s v="N"/>
    <n v="21328781"/>
    <s v="3000008312410004RC"/>
    <s v="CIVIL"/>
    <d v="2023-06-28T00:00:00"/>
    <d v="2023-07-04T19:38:21"/>
    <m/>
    <d v="2023-07-04T00:00:00"/>
    <n v="1431"/>
    <n v="19284"/>
    <s v="19720003"/>
    <s v="19720003"/>
    <m/>
    <m/>
    <m/>
    <m/>
    <m/>
    <m/>
    <s v="SOLRECOUP"/>
    <s v="SOLRECOUP"/>
    <s v="POARECOUP"/>
    <n v="21328781"/>
    <n v="-193.2"/>
    <m/>
    <s v="Y"/>
    <n v="2"/>
    <d v="2023-07-04T19:38:22"/>
    <s v="N"/>
    <m/>
    <m/>
    <s v="Expert Disbursement"/>
    <m/>
    <s v="N"/>
    <n v="0"/>
    <n v="-32.2"/>
    <x v="1"/>
    <s v="VALIDATED"/>
    <n v="1"/>
    <s v="01.11.80.308.2013.0000"/>
    <n v="-32.2"/>
    <s v="11"/>
    <s v="2013"/>
    <n v="1195.25"/>
    <n v="-32.2"/>
    <s v="CREDITOR"/>
    <n v="0"/>
    <n v="0"/>
    <n v="-32.2"/>
    <n v="0"/>
    <n v="0"/>
  </r>
  <r>
    <n v="19720003"/>
    <s v="N"/>
    <n v="21328782"/>
    <s v="3000008312410003RC"/>
    <s v="CIVIL"/>
    <d v="2023-06-28T00:00:00"/>
    <d v="2023-07-04T19:38:21"/>
    <m/>
    <d v="2023-07-04T00:00:00"/>
    <n v="1431"/>
    <n v="19284"/>
    <s v="19720003"/>
    <s v="19720003"/>
    <m/>
    <m/>
    <m/>
    <m/>
    <m/>
    <m/>
    <s v="SOLRECOUP"/>
    <s v="SOLRECOUP"/>
    <s v="POARECOUP"/>
    <n v="21328782"/>
    <n v="-196.2"/>
    <m/>
    <s v="Y"/>
    <n v="1"/>
    <d v="2023-07-04T19:38:22"/>
    <s v="N"/>
    <m/>
    <m/>
    <s v="Expert Disbursement"/>
    <m/>
    <s v="N"/>
    <n v="-163.5"/>
    <n v="0"/>
    <x v="1"/>
    <s v="VALIDATED"/>
    <n v="1"/>
    <s v="01.11.80.308.2013.0000"/>
    <n v="-163.5"/>
    <s v="11"/>
    <s v="2013"/>
    <n v="1195.25"/>
    <n v="-163.5"/>
    <s v="CREDITOR"/>
    <n v="0"/>
    <n v="0"/>
    <n v="-163.5"/>
    <n v="0"/>
    <n v="0"/>
  </r>
  <r>
    <n v="19720003"/>
    <s v="N"/>
    <n v="21328782"/>
    <s v="3000008312410003RC"/>
    <s v="CIVIL"/>
    <d v="2023-06-28T00:00:00"/>
    <d v="2023-07-04T19:38:21"/>
    <m/>
    <d v="2023-07-04T00:00:00"/>
    <n v="1431"/>
    <n v="19284"/>
    <s v="19720003"/>
    <s v="19720003"/>
    <m/>
    <m/>
    <m/>
    <m/>
    <m/>
    <m/>
    <s v="SOLRECOUP"/>
    <s v="SOLRECOUP"/>
    <s v="POARECOUP"/>
    <n v="21328782"/>
    <n v="-196.2"/>
    <m/>
    <s v="Y"/>
    <n v="2"/>
    <d v="2023-07-04T19:38:22"/>
    <s v="N"/>
    <m/>
    <m/>
    <s v="Expert Disbursement"/>
    <m/>
    <s v="N"/>
    <n v="0"/>
    <n v="-32.7"/>
    <x v="1"/>
    <s v="VALIDATED"/>
    <n v="1"/>
    <s v="01.11.80.308.2013.0000"/>
    <n v="-32.7"/>
    <s v="11"/>
    <s v="2013"/>
    <n v="1195.25"/>
    <n v="-32.7"/>
    <s v="CREDITOR"/>
    <n v="0"/>
    <n v="0"/>
    <n v="-32.7"/>
    <n v="0"/>
    <n v="0"/>
  </r>
  <r>
    <n v="19720003"/>
    <s v="N"/>
    <n v="21328783"/>
    <s v="3000008312410001RC"/>
    <s v="CIVIL"/>
    <d v="2023-06-28T00:00:00"/>
    <d v="2023-07-04T19:38:21"/>
    <m/>
    <d v="2023-07-04T00:00:00"/>
    <n v="1431"/>
    <n v="19284"/>
    <s v="19720003"/>
    <s v="19720003"/>
    <m/>
    <m/>
    <m/>
    <m/>
    <m/>
    <m/>
    <s v="SOLRECOUP"/>
    <s v="SOLRECOUP"/>
    <s v="POARECOUP"/>
    <n v="21328783"/>
    <n v="-3123.68"/>
    <m/>
    <s v="Y"/>
    <n v="1"/>
    <d v="2023-07-04T19:38:22"/>
    <s v="N"/>
    <m/>
    <m/>
    <s v="Profit Cost"/>
    <m/>
    <s v="N"/>
    <n v="-2603.07"/>
    <n v="0"/>
    <x v="1"/>
    <s v="VALIDATED"/>
    <n v="1"/>
    <s v="01.11.80.308.2013.0000"/>
    <n v="-2603.07"/>
    <s v="11"/>
    <s v="2013"/>
    <n v="1195.25"/>
    <n v="-2603.07"/>
    <s v="CREDITOR"/>
    <n v="0"/>
    <n v="0"/>
    <n v="-2603.07"/>
    <n v="-650.7675"/>
    <n v="0"/>
  </r>
  <r>
    <n v="61075463"/>
    <s v="N"/>
    <n v="21349492"/>
    <s v="3000015271740008"/>
    <s v="CIVIL"/>
    <d v="2023-06-28T00:00:00"/>
    <d v="2023-07-10T19:01:40"/>
    <m/>
    <d v="2023-07-10T00:00:00"/>
    <n v="1431"/>
    <n v="19284"/>
    <s v="61075463"/>
    <s v="61075463"/>
    <m/>
    <m/>
    <n v="22783938"/>
    <m/>
    <m/>
    <m/>
    <s v="SOLFIN"/>
    <s v="SOLFIN"/>
    <s v="CCMS"/>
    <n v="21349492"/>
    <n v="6085.21"/>
    <m/>
    <s v="N"/>
    <n v="1"/>
    <d v="2023-07-10T19:01:51"/>
    <s v="Y"/>
    <s v="Interim Hearing Court Bundle/Advoca"/>
    <s v="Public Law Children"/>
    <s v="Advocacy"/>
    <s v="po"/>
    <s v="Y"/>
    <n v="59.4"/>
    <n v="11.88"/>
    <x v="2"/>
    <s v="VALIDATED"/>
    <n v="1"/>
    <s v="01.11.80.308.6100.0000"/>
    <n v="59.4"/>
    <s v="11"/>
    <s v="6100"/>
    <n v="1195.25"/>
    <n v="59.4"/>
    <s v="CREDITOR"/>
    <n v="0"/>
    <n v="0"/>
    <n v="0"/>
    <n v="0"/>
    <n v="59.4"/>
  </r>
  <r>
    <n v="19720003"/>
    <s v="N"/>
    <n v="21327487"/>
    <s v="3000008312410046"/>
    <s v="CIVIL"/>
    <d v="2023-06-28T00:00:00"/>
    <d v="2023-07-04T19:00:44"/>
    <m/>
    <d v="2023-07-04T00:00:00"/>
    <n v="1431"/>
    <n v="19284"/>
    <s v="19720003"/>
    <s v="19720003"/>
    <m/>
    <m/>
    <n v="22777390"/>
    <m/>
    <m/>
    <m/>
    <s v="SOLFIN"/>
    <s v="SOLFIN"/>
    <s v="CCMS"/>
    <n v="21327487"/>
    <n v="37017.9"/>
    <m/>
    <s v="N"/>
    <n v="10"/>
    <d v="2023-07-04T19:00:48"/>
    <s v="Y"/>
    <s v="Toxicologist"/>
    <s v="VHCC"/>
    <s v="Expert Disbursement"/>
    <s v="rd"/>
    <s v="Y"/>
    <n v="199.6"/>
    <n v="39.92"/>
    <x v="1"/>
    <s v="VALIDATED"/>
    <n v="1"/>
    <s v="01.11.80.308.6300.0000"/>
    <n v="199.6"/>
    <s v="11"/>
    <s v="6300"/>
    <n v="1195.25"/>
    <n v="199.6"/>
    <s v="CREDITOR"/>
    <n v="0"/>
    <n v="0"/>
    <n v="0"/>
    <n v="0"/>
    <n v="199.6"/>
  </r>
  <r>
    <n v="60935626"/>
    <s v="N"/>
    <n v="21343583"/>
    <s v="3000015152520012"/>
    <s v="CIVIL"/>
    <d v="2023-06-28T00:00:00"/>
    <d v="2023-07-07T19:03:00"/>
    <m/>
    <d v="2023-07-07T00:00:00"/>
    <n v="1431"/>
    <n v="19284"/>
    <s v="60935626"/>
    <s v="60935626"/>
    <m/>
    <m/>
    <n v="22780268"/>
    <m/>
    <m/>
    <m/>
    <s v="SOLFIN"/>
    <s v="SOLFIN"/>
    <s v="CCMS"/>
    <n v="21343583"/>
    <n v="6962.45"/>
    <m/>
    <s v="N"/>
    <n v="30"/>
    <d v="2023-07-07T19:03:10"/>
    <s v="Y"/>
    <s v="Report - other"/>
    <s v="Care Remuneration Hourly Rates"/>
    <s v="Profit Cost"/>
    <s v="mb"/>
    <s v="Y"/>
    <n v="11.68"/>
    <n v="2.34"/>
    <x v="9"/>
    <s v="VALIDATED"/>
    <n v="1"/>
    <s v="01.11.80.305.6100.0000"/>
    <n v="11.68"/>
    <s v="11"/>
    <s v="6100"/>
    <n v="1195.25"/>
    <n v="11.68"/>
    <s v="CREDITOR"/>
    <n v="0"/>
    <n v="0"/>
    <n v="0"/>
    <n v="0"/>
    <n v="11.68"/>
  </r>
  <r>
    <n v="60935626"/>
    <s v="N"/>
    <n v="21343583"/>
    <s v="3000015152520012"/>
    <s v="CIVIL"/>
    <d v="2023-06-28T00:00:00"/>
    <d v="2023-07-07T19:03:00"/>
    <m/>
    <d v="2023-07-07T00:00:00"/>
    <n v="1431"/>
    <n v="19284"/>
    <s v="60935626"/>
    <s v="60935626"/>
    <m/>
    <m/>
    <n v="22780268"/>
    <m/>
    <m/>
    <m/>
    <s v="SOLFIN"/>
    <s v="SOLFIN"/>
    <s v="CCMS"/>
    <n v="21343583"/>
    <n v="6962.45"/>
    <m/>
    <s v="N"/>
    <n v="31"/>
    <d v="2023-07-07T19:03:10"/>
    <s v="Y"/>
    <s v="Attendance upon client"/>
    <s v="Care Remuneration Hourly Rates"/>
    <s v="Profit Cost"/>
    <s v="slw"/>
    <s v="Y"/>
    <n v="20.15"/>
    <n v="4.03"/>
    <x v="9"/>
    <s v="VALIDATED"/>
    <n v="1"/>
    <s v="01.11.80.305.6100.0000"/>
    <n v="20.15"/>
    <s v="11"/>
    <s v="6100"/>
    <n v="1195.25"/>
    <n v="20.15"/>
    <s v="CREDITOR"/>
    <n v="0"/>
    <n v="0"/>
    <n v="0"/>
    <n v="0"/>
    <n v="20.15"/>
  </r>
  <r>
    <n v="60935626"/>
    <s v="N"/>
    <n v="21343583"/>
    <s v="3000015152520012"/>
    <s v="CIVIL"/>
    <d v="2023-06-28T00:00:00"/>
    <d v="2023-07-07T19:03:00"/>
    <m/>
    <d v="2023-07-07T00:00:00"/>
    <n v="1431"/>
    <n v="19284"/>
    <s v="60935626"/>
    <s v="60935626"/>
    <m/>
    <m/>
    <n v="22780268"/>
    <m/>
    <m/>
    <m/>
    <s v="SOLFIN"/>
    <s v="SOLFIN"/>
    <s v="CCMS"/>
    <n v="21343583"/>
    <n v="6962.45"/>
    <m/>
    <s v="N"/>
    <n v="77"/>
    <d v="2023-07-07T19:03:10"/>
    <s v="Y"/>
    <s v="Preparation - drafting bill/claim f"/>
    <s v="Care Remuneration Hourly Rates"/>
    <s v="Profit Cost"/>
    <s v="sb"/>
    <s v="Y"/>
    <n v="11.68"/>
    <n v="2.34"/>
    <x v="9"/>
    <s v="VALIDATED"/>
    <n v="1"/>
    <s v="01.11.80.305.6100.0000"/>
    <n v="11.68"/>
    <s v="11"/>
    <s v="6100"/>
    <n v="1195.25"/>
    <n v="11.68"/>
    <s v="CREDITOR"/>
    <n v="0"/>
    <n v="0"/>
    <n v="0"/>
    <n v="0"/>
    <n v="11.68"/>
  </r>
  <r>
    <n v="61670793"/>
    <s v="N"/>
    <n v="21331271"/>
    <s v="3000015767770007"/>
    <s v="CIVIL"/>
    <d v="2023-06-27T00:00:00"/>
    <d v="2023-07-05T19:01:47"/>
    <m/>
    <d v="2023-07-05T00:00:00"/>
    <n v="1431"/>
    <n v="19284"/>
    <s v="61670793"/>
    <s v="61670793"/>
    <m/>
    <m/>
    <n v="22766726"/>
    <m/>
    <m/>
    <m/>
    <s v="SOLFIN"/>
    <s v="SOLFIN"/>
    <s v="CCMS"/>
    <n v="21331271"/>
    <n v="3106.61"/>
    <m/>
    <s v="N"/>
    <n v="26"/>
    <d v="2023-07-05T19:02:12"/>
    <s v="Y"/>
    <s v="Preparation - other"/>
    <s v="Care Remuneration Hourly Rates"/>
    <s v="Profit Cost"/>
    <s v="mb"/>
    <s v="Y"/>
    <n v="10.51"/>
    <n v="2.1"/>
    <x v="6"/>
    <s v="VALIDATED"/>
    <n v="1"/>
    <s v="01.11.80.305.6100.0000"/>
    <n v="10.51"/>
    <s v="11"/>
    <s v="6100"/>
    <n v="1195.25"/>
    <n v="10.51"/>
    <s v="CREDITOR"/>
    <n v="0"/>
    <n v="0"/>
    <n v="0"/>
    <n v="0"/>
    <n v="10.51"/>
  </r>
  <r>
    <n v="19720003"/>
    <s v="N"/>
    <n v="21327487"/>
    <s v="3000008312410046"/>
    <s v="CIVIL"/>
    <d v="2023-06-28T00:00:00"/>
    <d v="2023-07-04T19:00:44"/>
    <m/>
    <d v="2023-07-04T00:00:00"/>
    <n v="1431"/>
    <n v="19284"/>
    <s v="19720003"/>
    <s v="19720003"/>
    <m/>
    <m/>
    <n v="22777390"/>
    <m/>
    <m/>
    <m/>
    <s v="SOLFIN"/>
    <s v="SOLFIN"/>
    <s v="CCMS"/>
    <n v="21327487"/>
    <n v="37017.9"/>
    <m/>
    <s v="N"/>
    <n v="4"/>
    <d v="2023-07-04T19:00:48"/>
    <s v="Y"/>
    <s v="Toxicologist"/>
    <s v="VHCC"/>
    <s v="Expert Disbursement"/>
    <s v="rd"/>
    <s v="Y"/>
    <n v="97.5"/>
    <n v="19.5"/>
    <x v="1"/>
    <s v="VALIDATED"/>
    <n v="1"/>
    <s v="01.11.80.308.6300.0000"/>
    <n v="97.5"/>
    <s v="11"/>
    <s v="6300"/>
    <n v="1195.25"/>
    <n v="97.5"/>
    <s v="CREDITOR"/>
    <n v="0"/>
    <n v="0"/>
    <n v="0"/>
    <n v="0"/>
    <n v="97.5"/>
  </r>
  <r>
    <n v="19720003"/>
    <s v="N"/>
    <n v="21327487"/>
    <s v="3000008312410046"/>
    <s v="CIVIL"/>
    <d v="2023-06-28T00:00:00"/>
    <d v="2023-07-04T19:00:44"/>
    <m/>
    <d v="2023-07-04T00:00:00"/>
    <n v="1431"/>
    <n v="19284"/>
    <s v="19720003"/>
    <s v="19720003"/>
    <m/>
    <m/>
    <n v="22777390"/>
    <m/>
    <m/>
    <m/>
    <s v="SOLFIN"/>
    <s v="SOLFIN"/>
    <s v="CCMS"/>
    <n v="21327487"/>
    <n v="37017.9"/>
    <m/>
    <s v="N"/>
    <n v="9"/>
    <d v="2023-07-04T19:00:48"/>
    <s v="Y"/>
    <s v="Independent Social Worker"/>
    <s v="VHCC"/>
    <s v="Expert Disbursement"/>
    <s v="rd"/>
    <s v="Y"/>
    <n v="13.2"/>
    <n v="2.64"/>
    <x v="1"/>
    <s v="VALIDATED"/>
    <n v="1"/>
    <s v="01.11.80.308.6300.0000"/>
    <n v="13.2"/>
    <s v="11"/>
    <s v="6300"/>
    <n v="1195.25"/>
    <n v="13.2"/>
    <s v="CREDITOR"/>
    <n v="0"/>
    <n v="0"/>
    <n v="0"/>
    <n v="0"/>
    <n v="13.2"/>
  </r>
  <r>
    <n v="19720003"/>
    <s v="N"/>
    <n v="21327487"/>
    <s v="3000008312410046"/>
    <s v="CIVIL"/>
    <d v="2023-06-28T00:00:00"/>
    <d v="2023-07-04T19:00:44"/>
    <m/>
    <d v="2023-07-04T00:00:00"/>
    <n v="1431"/>
    <n v="19284"/>
    <s v="19720003"/>
    <s v="19720003"/>
    <m/>
    <m/>
    <n v="22777390"/>
    <m/>
    <m/>
    <m/>
    <s v="SOLFIN"/>
    <s v="SOLFIN"/>
    <s v="CCMS"/>
    <n v="21327487"/>
    <n v="37017.9"/>
    <m/>
    <s v="N"/>
    <n v="30"/>
    <d v="2023-07-04T19:00:48"/>
    <s v="Y"/>
    <s v="Interim/Directions/Review Hearing ("/>
    <s v="VHCC"/>
    <s v="Profit Cost"/>
    <s v="rd"/>
    <s v="Y"/>
    <n v="12019"/>
    <n v="2403.8"/>
    <x v="1"/>
    <s v="VALIDATED"/>
    <n v="1"/>
    <s v="01.11.80.308.6100.0000"/>
    <n v="12019"/>
    <s v="11"/>
    <s v="6100"/>
    <n v="1195.25"/>
    <n v="12019"/>
    <s v="CREDITOR"/>
    <n v="0"/>
    <n v="0"/>
    <n v="0"/>
    <n v="0"/>
    <n v="12019"/>
  </r>
  <r>
    <n v="61075463"/>
    <s v="N"/>
    <n v="21349492"/>
    <s v="3000015271740008"/>
    <s v="CIVIL"/>
    <d v="2023-06-28T00:00:00"/>
    <d v="2023-07-10T19:01:40"/>
    <m/>
    <d v="2023-07-10T00:00:00"/>
    <n v="1431"/>
    <n v="19284"/>
    <s v="61075463"/>
    <s v="61075463"/>
    <m/>
    <m/>
    <n v="22783938"/>
    <m/>
    <m/>
    <m/>
    <s v="SOLFIN"/>
    <s v="SOLFIN"/>
    <s v="CCMS"/>
    <n v="21349492"/>
    <n v="6085.21"/>
    <m/>
    <s v="N"/>
    <n v="3"/>
    <d v="2023-07-10T19:01:51"/>
    <s v="Y"/>
    <s v="Psychologist"/>
    <s v="Public Law Children"/>
    <s v="Expert Disbursement"/>
    <s v="po"/>
    <s v="Y"/>
    <n v="898.28"/>
    <n v="179.66"/>
    <x v="2"/>
    <s v="VALIDATED"/>
    <n v="1"/>
    <s v="01.11.80.308.6300.0000"/>
    <n v="898.28"/>
    <s v="11"/>
    <s v="6300"/>
    <n v="1195.25"/>
    <n v="898.28"/>
    <s v="CREDITOR"/>
    <n v="0"/>
    <n v="0"/>
    <n v="0"/>
    <n v="0"/>
    <n v="898.28"/>
  </r>
  <r>
    <n v="61670793"/>
    <s v="N"/>
    <n v="21331271"/>
    <s v="3000015767770007"/>
    <s v="CIVIL"/>
    <d v="2023-06-27T00:00:00"/>
    <d v="2023-07-05T19:01:47"/>
    <m/>
    <d v="2023-07-05T00:00:00"/>
    <n v="1431"/>
    <n v="19284"/>
    <s v="61670793"/>
    <s v="61670793"/>
    <m/>
    <m/>
    <n v="22766726"/>
    <m/>
    <m/>
    <m/>
    <s v="SOLFIN"/>
    <s v="SOLFIN"/>
    <s v="CCMS"/>
    <n v="21331271"/>
    <n v="3106.61"/>
    <m/>
    <s v="N"/>
    <n v="5"/>
    <d v="2023-07-05T19:02:12"/>
    <s v="Y"/>
    <s v="Preparation - drafting statement"/>
    <s v="Care Remuneration Hourly Rates"/>
    <s v="Profit Cost"/>
    <s v="mb"/>
    <s v="Y"/>
    <n v="26.29"/>
    <n v="5.26"/>
    <x v="6"/>
    <s v="VALIDATED"/>
    <n v="1"/>
    <s v="01.11.80.305.6100.0000"/>
    <n v="26.29"/>
    <s v="11"/>
    <s v="6100"/>
    <n v="1195.25"/>
    <n v="26.29"/>
    <s v="CREDITOR"/>
    <n v="0"/>
    <n v="0"/>
    <n v="0"/>
    <n v="0"/>
    <n v="26.29"/>
  </r>
  <r>
    <n v="61670793"/>
    <s v="N"/>
    <n v="21331271"/>
    <s v="3000015767770007"/>
    <s v="CIVIL"/>
    <d v="2023-06-27T00:00:00"/>
    <d v="2023-07-05T19:01:47"/>
    <m/>
    <d v="2023-07-05T00:00:00"/>
    <n v="1431"/>
    <n v="19284"/>
    <s v="61670793"/>
    <s v="61670793"/>
    <m/>
    <m/>
    <n v="22766726"/>
    <m/>
    <m/>
    <m/>
    <s v="SOLFIN"/>
    <s v="SOLFIN"/>
    <s v="CCMS"/>
    <n v="21331271"/>
    <n v="3106.61"/>
    <m/>
    <s v="N"/>
    <n v="11"/>
    <d v="2023-07-05T19:02:12"/>
    <s v="Y"/>
    <s v="Routine Letter Out"/>
    <s v="Care Remuneration Hourly Rates"/>
    <s v="Profit Cost"/>
    <s v="mb"/>
    <s v="Y"/>
    <n v="258.3"/>
    <n v="51.66"/>
    <x v="6"/>
    <s v="VALIDATED"/>
    <n v="1"/>
    <s v="01.11.80.305.6100.0000"/>
    <n v="258.3"/>
    <s v="11"/>
    <s v="6100"/>
    <n v="1195.25"/>
    <n v="258.3"/>
    <s v="CREDITOR"/>
    <n v="0"/>
    <n v="0"/>
    <n v="0"/>
    <n v="0"/>
    <n v="258.3"/>
  </r>
  <r>
    <n v="61670793"/>
    <s v="N"/>
    <n v="21331271"/>
    <s v="3000015767770007"/>
    <s v="CIVIL"/>
    <d v="2023-06-27T00:00:00"/>
    <d v="2023-07-05T19:01:47"/>
    <m/>
    <d v="2023-07-05T00:00:00"/>
    <n v="1431"/>
    <n v="19284"/>
    <s v="61670793"/>
    <s v="61670793"/>
    <m/>
    <m/>
    <n v="22766726"/>
    <m/>
    <m/>
    <m/>
    <s v="SOLFIN"/>
    <s v="SOLFIN"/>
    <s v="CCMS"/>
    <n v="21331271"/>
    <n v="3106.61"/>
    <m/>
    <s v="N"/>
    <n v="17"/>
    <d v="2023-07-05T19:02:12"/>
    <s v="Y"/>
    <s v="Routine Telephone Call"/>
    <s v="Care Remuneration Hourly Rates"/>
    <s v="Profit Cost"/>
    <s v="slw"/>
    <s v="Y"/>
    <n v="21.22"/>
    <n v="4.24"/>
    <x v="6"/>
    <s v="VALIDATED"/>
    <n v="1"/>
    <s v="01.11.80.305.6100.0000"/>
    <n v="21.22"/>
    <s v="11"/>
    <s v="6100"/>
    <n v="1195.25"/>
    <n v="21.22"/>
    <s v="CREDITOR"/>
    <n v="0"/>
    <n v="0"/>
    <n v="0"/>
    <n v="0"/>
    <n v="21.22"/>
  </r>
  <r>
    <n v="61670793"/>
    <s v="N"/>
    <n v="21331271"/>
    <s v="3000015767770007"/>
    <s v="CIVIL"/>
    <d v="2023-06-27T00:00:00"/>
    <d v="2023-07-05T19:01:47"/>
    <m/>
    <d v="2023-07-05T00:00:00"/>
    <n v="1431"/>
    <n v="19284"/>
    <s v="61670793"/>
    <s v="61670793"/>
    <m/>
    <m/>
    <n v="22766726"/>
    <m/>
    <m/>
    <m/>
    <s v="SOLFIN"/>
    <s v="SOLFIN"/>
    <s v="CCMS"/>
    <n v="21331271"/>
    <n v="3106.61"/>
    <m/>
    <s v="N"/>
    <n v="19"/>
    <d v="2023-07-05T19:02:12"/>
    <s v="Y"/>
    <s v="Routine Telephone Call"/>
    <s v="Care Remuneration Hourly Rates"/>
    <s v="Profit Cost"/>
    <s v="mb"/>
    <s v="Y"/>
    <n v="3.69"/>
    <n v="0.74"/>
    <x v="6"/>
    <s v="VALIDATED"/>
    <n v="1"/>
    <s v="01.11.80.305.6100.0000"/>
    <n v="3.69"/>
    <s v="11"/>
    <s v="6100"/>
    <n v="1195.25"/>
    <n v="3.69"/>
    <s v="CREDITOR"/>
    <n v="0"/>
    <n v="0"/>
    <n v="0"/>
    <n v="0"/>
    <n v="3.69"/>
  </r>
  <r>
    <n v="19720003"/>
    <s v="N"/>
    <n v="21327487"/>
    <s v="3000008312410046"/>
    <s v="CIVIL"/>
    <d v="2023-06-28T00:00:00"/>
    <d v="2023-07-04T19:00:44"/>
    <m/>
    <d v="2023-07-04T00:00:00"/>
    <n v="1431"/>
    <n v="19284"/>
    <s v="19720003"/>
    <s v="19720003"/>
    <m/>
    <m/>
    <n v="22777390"/>
    <m/>
    <m/>
    <m/>
    <s v="SOLFIN"/>
    <s v="SOLFIN"/>
    <s v="CCMS"/>
    <n v="21327487"/>
    <n v="37017.9"/>
    <m/>
    <s v="N"/>
    <n v="6"/>
    <d v="2023-07-04T19:00:48"/>
    <s v="Y"/>
    <s v="Toxicologist"/>
    <s v="VHCC"/>
    <s v="Expert Disbursement"/>
    <s v="rd"/>
    <s v="Y"/>
    <n v="323.75"/>
    <n v="64.75"/>
    <x v="1"/>
    <s v="VALIDATED"/>
    <n v="1"/>
    <s v="01.11.80.308.6300.0000"/>
    <n v="323.75"/>
    <s v="11"/>
    <s v="6300"/>
    <n v="1195.25"/>
    <n v="323.75"/>
    <s v="CREDITOR"/>
    <n v="0"/>
    <n v="0"/>
    <n v="0"/>
    <n v="0"/>
    <n v="323.75"/>
  </r>
  <r>
    <n v="19720003"/>
    <s v="N"/>
    <n v="21328783"/>
    <s v="3000008312410001RC"/>
    <s v="CIVIL"/>
    <d v="2023-06-28T00:00:00"/>
    <d v="2023-07-04T19:38:21"/>
    <m/>
    <d v="2023-07-04T00:00:00"/>
    <n v="1431"/>
    <n v="19284"/>
    <s v="19720003"/>
    <s v="19720003"/>
    <m/>
    <m/>
    <m/>
    <m/>
    <m/>
    <m/>
    <s v="SOLRECOUP"/>
    <s v="SOLRECOUP"/>
    <s v="POARECOUP"/>
    <n v="21328783"/>
    <n v="-3123.68"/>
    <m/>
    <s v="Y"/>
    <n v="2"/>
    <d v="2023-07-04T19:38:22"/>
    <s v="N"/>
    <m/>
    <m/>
    <s v="Profit Cost"/>
    <m/>
    <s v="N"/>
    <n v="0"/>
    <n v="-520.61"/>
    <x v="1"/>
    <s v="VALIDATED"/>
    <n v="1"/>
    <s v="01.11.80.308.2013.0000"/>
    <n v="-520.61"/>
    <s v="11"/>
    <s v="2013"/>
    <n v="1195.25"/>
    <n v="-520.61"/>
    <s v="CREDITOR"/>
    <n v="0"/>
    <n v="0"/>
    <n v="-520.61"/>
    <n v="-130.1525"/>
    <n v="0"/>
  </r>
  <r>
    <n v="19720003"/>
    <s v="N"/>
    <n v="21328784"/>
    <s v="3000008312410006RC"/>
    <s v="CIVIL"/>
    <d v="2023-06-28T00:00:00"/>
    <d v="2023-07-04T19:38:21"/>
    <m/>
    <d v="2023-07-04T00:00:00"/>
    <n v="1431"/>
    <n v="19284"/>
    <s v="19720003"/>
    <s v="19720003"/>
    <m/>
    <m/>
    <m/>
    <m/>
    <m/>
    <m/>
    <s v="SOLRECOUP"/>
    <s v="SOLRECOUP"/>
    <s v="POARECOUP"/>
    <n v="21328784"/>
    <n v="-178.5"/>
    <m/>
    <s v="Y"/>
    <n v="1"/>
    <d v="2023-07-04T19:38:23"/>
    <s v="N"/>
    <m/>
    <m/>
    <s v="Expert Disbursement"/>
    <m/>
    <s v="N"/>
    <n v="-148.75"/>
    <n v="0"/>
    <x v="1"/>
    <s v="VALIDATED"/>
    <n v="1"/>
    <s v="01.11.80.308.2013.0000"/>
    <n v="-148.75"/>
    <s v="11"/>
    <s v="2013"/>
    <n v="1195.25"/>
    <n v="-148.75"/>
    <s v="CREDITOR"/>
    <n v="0"/>
    <n v="0"/>
    <n v="-148.75"/>
    <n v="0"/>
    <n v="0"/>
  </r>
  <r>
    <n v="19720003"/>
    <s v="N"/>
    <n v="21328784"/>
    <s v="3000008312410006RC"/>
    <s v="CIVIL"/>
    <d v="2023-06-28T00:00:00"/>
    <d v="2023-07-04T19:38:21"/>
    <m/>
    <d v="2023-07-04T00:00:00"/>
    <n v="1431"/>
    <n v="19284"/>
    <s v="19720003"/>
    <s v="19720003"/>
    <m/>
    <m/>
    <m/>
    <m/>
    <m/>
    <m/>
    <s v="SOLRECOUP"/>
    <s v="SOLRECOUP"/>
    <s v="POARECOUP"/>
    <n v="21328784"/>
    <n v="-178.5"/>
    <m/>
    <s v="Y"/>
    <n v="2"/>
    <d v="2023-07-04T19:38:23"/>
    <s v="N"/>
    <m/>
    <m/>
    <s v="Expert Disbursement"/>
    <m/>
    <s v="N"/>
    <n v="0"/>
    <n v="-29.75"/>
    <x v="1"/>
    <s v="VALIDATED"/>
    <n v="1"/>
    <s v="01.11.80.308.2013.0000"/>
    <n v="-29.75"/>
    <s v="11"/>
    <s v="2013"/>
    <n v="1195.25"/>
    <n v="-29.75"/>
    <s v="CREDITOR"/>
    <n v="0"/>
    <n v="0"/>
    <n v="-29.75"/>
    <n v="0"/>
    <n v="0"/>
  </r>
  <r>
    <n v="19720003"/>
    <s v="N"/>
    <n v="21328785"/>
    <s v="3000008312410007RC"/>
    <s v="CIVIL"/>
    <d v="2023-06-28T00:00:00"/>
    <d v="2023-07-04T19:38:21"/>
    <m/>
    <d v="2023-07-04T00:00:00"/>
    <n v="1431"/>
    <n v="19284"/>
    <s v="19720003"/>
    <s v="19720003"/>
    <m/>
    <m/>
    <m/>
    <m/>
    <m/>
    <m/>
    <s v="SOLRECOUP"/>
    <s v="SOLRECOUP"/>
    <s v="POARECOUP"/>
    <n v="21328785"/>
    <n v="-229.2"/>
    <m/>
    <s v="Y"/>
    <n v="1"/>
    <d v="2023-07-04T19:38:23"/>
    <s v="N"/>
    <m/>
    <m/>
    <s v="Expert Disbursement"/>
    <m/>
    <s v="N"/>
    <n v="-191"/>
    <n v="0"/>
    <x v="1"/>
    <s v="VALIDATED"/>
    <n v="1"/>
    <s v="01.11.80.308.2013.0000"/>
    <n v="-191"/>
    <s v="11"/>
    <s v="2013"/>
    <n v="1195.25"/>
    <n v="-191"/>
    <s v="CREDITOR"/>
    <n v="0"/>
    <n v="0"/>
    <n v="-191"/>
    <n v="0"/>
    <n v="0"/>
  </r>
  <r>
    <n v="19720003"/>
    <s v="N"/>
    <n v="21328785"/>
    <s v="3000008312410007RC"/>
    <s v="CIVIL"/>
    <d v="2023-06-28T00:00:00"/>
    <d v="2023-07-04T19:38:21"/>
    <m/>
    <d v="2023-07-04T00:00:00"/>
    <n v="1431"/>
    <n v="19284"/>
    <s v="19720003"/>
    <s v="19720003"/>
    <m/>
    <m/>
    <m/>
    <m/>
    <m/>
    <m/>
    <s v="SOLRECOUP"/>
    <s v="SOLRECOUP"/>
    <s v="POARECOUP"/>
    <n v="21328785"/>
    <n v="-229.2"/>
    <m/>
    <s v="Y"/>
    <n v="2"/>
    <d v="2023-07-04T19:38:23"/>
    <s v="N"/>
    <m/>
    <m/>
    <s v="Expert Disbursement"/>
    <m/>
    <s v="N"/>
    <n v="0"/>
    <n v="-38.2"/>
    <x v="1"/>
    <s v="VALIDATED"/>
    <n v="1"/>
    <s v="01.11.80.308.2013.0000"/>
    <n v="-38.2"/>
    <s v="11"/>
    <s v="2013"/>
    <n v="1195.25"/>
    <n v="-38.2"/>
    <s v="CREDITOR"/>
    <n v="0"/>
    <n v="0"/>
    <n v="-38.2"/>
    <n v="0"/>
    <n v="0"/>
  </r>
  <r>
    <n v="19720003"/>
    <s v="N"/>
    <n v="21328786"/>
    <s v="3000008312410008RC"/>
    <s v="CIVIL"/>
    <d v="2023-06-28T00:00:00"/>
    <d v="2023-07-04T19:38:21"/>
    <m/>
    <d v="2023-07-04T00:00:00"/>
    <n v="1431"/>
    <n v="19284"/>
    <s v="19720003"/>
    <s v="19720003"/>
    <m/>
    <m/>
    <m/>
    <m/>
    <m/>
    <m/>
    <s v="SOLRECOUP"/>
    <s v="SOLRECOUP"/>
    <s v="POARECOUP"/>
    <n v="21328786"/>
    <n v="-1271.93"/>
    <m/>
    <s v="Y"/>
    <n v="1"/>
    <d v="2023-07-04T19:38:23"/>
    <s v="N"/>
    <m/>
    <m/>
    <s v="Profit Cost"/>
    <m/>
    <s v="N"/>
    <n v="-1059.94"/>
    <n v="0"/>
    <x v="1"/>
    <s v="VALIDATED"/>
    <n v="1"/>
    <s v="01.11.80.308.2013.0000"/>
    <n v="-1059.94"/>
    <s v="11"/>
    <s v="2013"/>
    <n v="1195.25"/>
    <n v="-1059.94"/>
    <s v="CREDITOR"/>
    <n v="0"/>
    <n v="0"/>
    <n v="-1059.94"/>
    <n v="-264.985"/>
    <n v="0"/>
  </r>
  <r>
    <n v="19720003"/>
    <s v="N"/>
    <n v="21328786"/>
    <s v="3000008312410008RC"/>
    <s v="CIVIL"/>
    <d v="2023-06-28T00:00:00"/>
    <d v="2023-07-04T19:38:21"/>
    <m/>
    <d v="2023-07-04T00:00:00"/>
    <n v="1431"/>
    <n v="19284"/>
    <s v="19720003"/>
    <s v="19720003"/>
    <m/>
    <m/>
    <m/>
    <m/>
    <m/>
    <m/>
    <s v="SOLRECOUP"/>
    <s v="SOLRECOUP"/>
    <s v="POARECOUP"/>
    <n v="21328786"/>
    <n v="-1271.93"/>
    <m/>
    <s v="Y"/>
    <n v="2"/>
    <d v="2023-07-04T19:38:23"/>
    <s v="N"/>
    <m/>
    <m/>
    <s v="Profit Cost"/>
    <m/>
    <s v="N"/>
    <n v="0"/>
    <n v="-211.99"/>
    <x v="1"/>
    <s v="VALIDATED"/>
    <n v="1"/>
    <s v="01.11.80.308.2013.0000"/>
    <n v="-211.99"/>
    <s v="11"/>
    <s v="2013"/>
    <n v="1195.25"/>
    <n v="-211.99"/>
    <s v="CREDITOR"/>
    <n v="0"/>
    <n v="0"/>
    <n v="-211.99"/>
    <n v="-52.9975"/>
    <n v="0"/>
  </r>
  <r>
    <n v="19720003"/>
    <s v="N"/>
    <n v="21328787"/>
    <s v="3000008312410014RC"/>
    <s v="CIVIL"/>
    <d v="2023-06-28T00:00:00"/>
    <d v="2023-07-04T19:38:21"/>
    <m/>
    <d v="2023-07-04T00:00:00"/>
    <n v="1431"/>
    <n v="19284"/>
    <s v="19720003"/>
    <s v="19720003"/>
    <m/>
    <m/>
    <m/>
    <m/>
    <m/>
    <m/>
    <s v="SOLRECOUP"/>
    <s v="SOLRECOUP"/>
    <s v="POARECOUP"/>
    <n v="21328787"/>
    <n v="-1836.35"/>
    <m/>
    <s v="Y"/>
    <n v="1"/>
    <d v="2023-07-04T19:38:23"/>
    <s v="N"/>
    <m/>
    <m/>
    <s v="Profit Cost"/>
    <m/>
    <s v="N"/>
    <n v="-1530.29"/>
    <n v="0"/>
    <x v="1"/>
    <s v="VALIDATED"/>
    <n v="1"/>
    <s v="01.11.80.308.2013.0000"/>
    <n v="-1530.29"/>
    <s v="11"/>
    <s v="2013"/>
    <n v="1195.25"/>
    <n v="-1530.29"/>
    <s v="CREDITOR"/>
    <n v="0"/>
    <n v="0"/>
    <n v="-1530.29"/>
    <n v="-382.5725"/>
    <n v="0"/>
  </r>
  <r>
    <n v="19720003"/>
    <s v="N"/>
    <n v="21328787"/>
    <s v="3000008312410014RC"/>
    <s v="CIVIL"/>
    <d v="2023-06-28T00:00:00"/>
    <d v="2023-07-04T19:38:21"/>
    <m/>
    <d v="2023-07-04T00:00:00"/>
    <n v="1431"/>
    <n v="19284"/>
    <s v="19720003"/>
    <s v="19720003"/>
    <m/>
    <m/>
    <m/>
    <m/>
    <m/>
    <m/>
    <s v="SOLRECOUP"/>
    <s v="SOLRECOUP"/>
    <s v="POARECOUP"/>
    <n v="21328787"/>
    <n v="-1836.35"/>
    <m/>
    <s v="Y"/>
    <n v="2"/>
    <d v="2023-07-04T19:38:23"/>
    <s v="N"/>
    <m/>
    <m/>
    <s v="Profit Cost"/>
    <m/>
    <s v="N"/>
    <n v="0"/>
    <n v="-306.06"/>
    <x v="1"/>
    <s v="VALIDATED"/>
    <n v="1"/>
    <s v="01.11.80.308.2013.0000"/>
    <n v="-306.06"/>
    <s v="11"/>
    <s v="2013"/>
    <n v="1195.25"/>
    <n v="-306.06"/>
    <s v="CREDITOR"/>
    <n v="0"/>
    <n v="0"/>
    <n v="-306.06"/>
    <n v="-76.515"/>
    <n v="0"/>
  </r>
  <r>
    <n v="19720003"/>
    <s v="N"/>
    <n v="21328788"/>
    <s v="3000008312410015RC"/>
    <s v="CIVIL"/>
    <d v="2023-06-28T00:00:00"/>
    <d v="2023-07-04T19:38:21"/>
    <m/>
    <d v="2023-07-04T00:00:00"/>
    <n v="1431"/>
    <n v="19284"/>
    <s v="19720003"/>
    <s v="19720003"/>
    <m/>
    <m/>
    <m/>
    <m/>
    <m/>
    <m/>
    <s v="SOLRECOUP"/>
    <s v="SOLRECOUP"/>
    <s v="POARECOUP"/>
    <n v="21328788"/>
    <n v="-565.8"/>
    <m/>
    <s v="Y"/>
    <n v="1"/>
    <d v="2023-07-04T19:38:23"/>
    <s v="N"/>
    <m/>
    <m/>
    <s v="Expert Disbursement"/>
    <m/>
    <s v="N"/>
    <n v="-471.5"/>
    <n v="0"/>
    <x v="1"/>
    <s v="VALIDATED"/>
    <n v="1"/>
    <s v="01.11.80.308.2013.0000"/>
    <n v="-471.5"/>
    <s v="11"/>
    <s v="2013"/>
    <n v="1195.25"/>
    <n v="-471.5"/>
    <s v="CREDITOR"/>
    <n v="0"/>
    <n v="0"/>
    <n v="-471.5"/>
    <n v="0"/>
    <n v="0"/>
  </r>
  <r>
    <n v="19720003"/>
    <s v="N"/>
    <n v="21328788"/>
    <s v="3000008312410015RC"/>
    <s v="CIVIL"/>
    <d v="2023-06-28T00:00:00"/>
    <d v="2023-07-04T19:38:21"/>
    <m/>
    <d v="2023-07-04T00:00:00"/>
    <n v="1431"/>
    <n v="19284"/>
    <s v="19720003"/>
    <s v="19720003"/>
    <m/>
    <m/>
    <m/>
    <m/>
    <m/>
    <m/>
    <s v="SOLRECOUP"/>
    <s v="SOLRECOUP"/>
    <s v="POARECOUP"/>
    <n v="21328788"/>
    <n v="-565.8"/>
    <m/>
    <s v="Y"/>
    <n v="2"/>
    <d v="2023-07-04T19:38:23"/>
    <s v="N"/>
    <m/>
    <m/>
    <s v="Expert Disbursement"/>
    <m/>
    <s v="N"/>
    <n v="0"/>
    <n v="-94.3"/>
    <x v="1"/>
    <s v="VALIDATED"/>
    <n v="1"/>
    <s v="01.11.80.308.2013.0000"/>
    <n v="-94.3"/>
    <s v="11"/>
    <s v="2013"/>
    <n v="1195.25"/>
    <n v="-94.3"/>
    <s v="CREDITOR"/>
    <n v="0"/>
    <n v="0"/>
    <n v="-94.3"/>
    <n v="0"/>
    <n v="0"/>
  </r>
  <r>
    <n v="19720003"/>
    <s v="N"/>
    <n v="21328789"/>
    <s v="3000008312410009RC"/>
    <s v="CIVIL"/>
    <d v="2023-06-28T00:00:00"/>
    <d v="2023-07-04T19:38:21"/>
    <m/>
    <d v="2023-07-04T00:00:00"/>
    <n v="1431"/>
    <n v="19284"/>
    <s v="19720003"/>
    <s v="19720003"/>
    <m/>
    <m/>
    <m/>
    <m/>
    <m/>
    <m/>
    <s v="SOLRECOUP"/>
    <s v="SOLRECOUP"/>
    <s v="POARECOUP"/>
    <n v="21328789"/>
    <n v="-211.2"/>
    <m/>
    <s v="Y"/>
    <n v="1"/>
    <d v="2023-07-04T19:38:23"/>
    <s v="N"/>
    <m/>
    <m/>
    <s v="Expert Disbursement"/>
    <m/>
    <s v="N"/>
    <n v="-176"/>
    <n v="0"/>
    <x v="1"/>
    <s v="VALIDATED"/>
    <n v="1"/>
    <s v="01.11.80.308.2013.0000"/>
    <n v="-176"/>
    <s v="11"/>
    <s v="2013"/>
    <n v="1195.25"/>
    <n v="-176"/>
    <s v="CREDITOR"/>
    <n v="0"/>
    <n v="0"/>
    <n v="-176"/>
    <n v="0"/>
    <n v="0"/>
  </r>
  <r>
    <n v="19720003"/>
    <s v="N"/>
    <n v="21328789"/>
    <s v="3000008312410009RC"/>
    <s v="CIVIL"/>
    <d v="2023-06-28T00:00:00"/>
    <d v="2023-07-04T19:38:21"/>
    <m/>
    <d v="2023-07-04T00:00:00"/>
    <n v="1431"/>
    <n v="19284"/>
    <s v="19720003"/>
    <s v="19720003"/>
    <m/>
    <m/>
    <m/>
    <m/>
    <m/>
    <m/>
    <s v="SOLRECOUP"/>
    <s v="SOLRECOUP"/>
    <s v="POARECOUP"/>
    <n v="21328789"/>
    <n v="-211.2"/>
    <m/>
    <s v="Y"/>
    <n v="2"/>
    <d v="2023-07-04T19:38:23"/>
    <s v="N"/>
    <m/>
    <m/>
    <s v="Expert Disbursement"/>
    <m/>
    <s v="N"/>
    <n v="0"/>
    <n v="-35.2"/>
    <x v="1"/>
    <s v="VALIDATED"/>
    <n v="1"/>
    <s v="01.11.80.308.2013.0000"/>
    <n v="-35.2"/>
    <s v="11"/>
    <s v="2013"/>
    <n v="1195.25"/>
    <n v="-35.2"/>
    <s v="CREDITOR"/>
    <n v="0"/>
    <n v="0"/>
    <n v="-35.2"/>
    <n v="0"/>
    <n v="0"/>
  </r>
  <r>
    <n v="19720003"/>
    <s v="N"/>
    <n v="21328790"/>
    <s v="3000008312410010RC"/>
    <s v="CIVIL"/>
    <d v="2023-06-28T00:00:00"/>
    <d v="2023-07-04T19:38:21"/>
    <m/>
    <d v="2023-07-04T00:00:00"/>
    <n v="1431"/>
    <n v="19284"/>
    <s v="19720003"/>
    <s v="19720003"/>
    <m/>
    <m/>
    <m/>
    <m/>
    <m/>
    <m/>
    <s v="SOLRECOUP"/>
    <s v="SOLRECOUP"/>
    <s v="POARECOUP"/>
    <n v="21328790"/>
    <n v="-211.2"/>
    <m/>
    <s v="Y"/>
    <n v="1"/>
    <d v="2023-07-04T19:38:23"/>
    <s v="N"/>
    <m/>
    <m/>
    <s v="Expert Disbursement"/>
    <m/>
    <s v="N"/>
    <n v="-176"/>
    <n v="0"/>
    <x v="1"/>
    <s v="VALIDATED"/>
    <n v="1"/>
    <s v="01.11.80.308.2013.0000"/>
    <n v="-176"/>
    <s v="11"/>
    <s v="2013"/>
    <n v="1195.25"/>
    <n v="-176"/>
    <s v="CREDITOR"/>
    <n v="0"/>
    <n v="0"/>
    <n v="-176"/>
    <n v="0"/>
    <n v="0"/>
  </r>
  <r>
    <n v="19720003"/>
    <s v="N"/>
    <n v="21328790"/>
    <s v="3000008312410010RC"/>
    <s v="CIVIL"/>
    <d v="2023-06-28T00:00:00"/>
    <d v="2023-07-04T19:38:21"/>
    <m/>
    <d v="2023-07-04T00:00:00"/>
    <n v="1431"/>
    <n v="19284"/>
    <s v="19720003"/>
    <s v="19720003"/>
    <m/>
    <m/>
    <m/>
    <m/>
    <m/>
    <m/>
    <s v="SOLRECOUP"/>
    <s v="SOLRECOUP"/>
    <s v="POARECOUP"/>
    <n v="21328790"/>
    <n v="-211.2"/>
    <m/>
    <s v="Y"/>
    <n v="2"/>
    <d v="2023-07-04T19:38:23"/>
    <s v="N"/>
    <m/>
    <m/>
    <s v="Expert Disbursement"/>
    <m/>
    <s v="N"/>
    <n v="0"/>
    <n v="-35.2"/>
    <x v="1"/>
    <s v="VALIDATED"/>
    <n v="1"/>
    <s v="01.11.80.308.2013.0000"/>
    <n v="-35.2"/>
    <s v="11"/>
    <s v="2013"/>
    <n v="1195.25"/>
    <n v="-35.2"/>
    <s v="CREDITOR"/>
    <n v="0"/>
    <n v="0"/>
    <n v="-35.2"/>
    <n v="0"/>
    <n v="0"/>
  </r>
  <r>
    <n v="19720003"/>
    <s v="N"/>
    <n v="21328791"/>
    <s v="3000008312410011RC"/>
    <s v="CIVIL"/>
    <d v="2023-06-28T00:00:00"/>
    <d v="2023-07-04T19:38:21"/>
    <m/>
    <d v="2023-07-04T00:00:00"/>
    <n v="1431"/>
    <n v="19284"/>
    <s v="19720003"/>
    <s v="19720003"/>
    <m/>
    <m/>
    <m/>
    <m/>
    <m/>
    <m/>
    <s v="SOLRECOUP"/>
    <s v="SOLRECOUP"/>
    <s v="POARECOUP"/>
    <n v="21328791"/>
    <n v="-5670.06"/>
    <m/>
    <s v="Y"/>
    <n v="1"/>
    <d v="2023-07-04T19:38:23"/>
    <s v="N"/>
    <m/>
    <m/>
    <s v="Profit Cost"/>
    <m/>
    <s v="N"/>
    <n v="-4725.05"/>
    <n v="0"/>
    <x v="1"/>
    <s v="VALIDATED"/>
    <n v="1"/>
    <s v="01.11.80.308.2013.0000"/>
    <n v="-4725.05"/>
    <s v="11"/>
    <s v="2013"/>
    <n v="1195.25"/>
    <n v="-4725.05"/>
    <s v="CREDITOR"/>
    <n v="0"/>
    <n v="0"/>
    <n v="-4725.05"/>
    <n v="-1181.2625"/>
    <n v="0"/>
  </r>
  <r>
    <n v="19720003"/>
    <s v="N"/>
    <n v="21328791"/>
    <s v="3000008312410011RC"/>
    <s v="CIVIL"/>
    <d v="2023-06-28T00:00:00"/>
    <d v="2023-07-04T19:38:21"/>
    <m/>
    <d v="2023-07-04T00:00:00"/>
    <n v="1431"/>
    <n v="19284"/>
    <s v="19720003"/>
    <s v="19720003"/>
    <m/>
    <m/>
    <m/>
    <m/>
    <m/>
    <m/>
    <s v="SOLRECOUP"/>
    <s v="SOLRECOUP"/>
    <s v="POARECOUP"/>
    <n v="21328791"/>
    <n v="-5670.06"/>
    <m/>
    <s v="Y"/>
    <n v="2"/>
    <d v="2023-07-04T19:38:23"/>
    <s v="N"/>
    <m/>
    <m/>
    <s v="Profit Cost"/>
    <m/>
    <s v="N"/>
    <n v="0"/>
    <n v="-945.01"/>
    <x v="1"/>
    <s v="VALIDATED"/>
    <n v="1"/>
    <s v="01.11.80.308.2013.0000"/>
    <n v="-945.01"/>
    <s v="11"/>
    <s v="2013"/>
    <n v="1195.25"/>
    <n v="-945.01"/>
    <s v="CREDITOR"/>
    <n v="0"/>
    <n v="0"/>
    <n v="-945.01"/>
    <n v="-236.2525"/>
    <n v="0"/>
  </r>
  <r>
    <n v="19720003"/>
    <s v="N"/>
    <n v="21328792"/>
    <s v="3000008312410023RC"/>
    <s v="CIVIL"/>
    <d v="2023-06-28T00:00:00"/>
    <d v="2023-07-04T19:38:21"/>
    <m/>
    <d v="2023-07-04T00:00:00"/>
    <n v="1431"/>
    <n v="19284"/>
    <s v="19720003"/>
    <s v="19720003"/>
    <m/>
    <m/>
    <m/>
    <m/>
    <m/>
    <m/>
    <s v="SOLRECOUP"/>
    <s v="SOLRECOUP"/>
    <s v="POARECOUP"/>
    <n v="21328792"/>
    <n v="-117"/>
    <m/>
    <s v="Y"/>
    <n v="1"/>
    <d v="2023-07-04T19:38:23"/>
    <s v="N"/>
    <m/>
    <m/>
    <s v="Expert Disbursement"/>
    <m/>
    <s v="N"/>
    <n v="-97.5"/>
    <n v="0"/>
    <x v="1"/>
    <s v="VALIDATED"/>
    <n v="1"/>
    <s v="01.11.80.308.2013.0000"/>
    <n v="-97.5"/>
    <s v="11"/>
    <s v="2013"/>
    <n v="1195.25"/>
    <n v="-97.5"/>
    <s v="CREDITOR"/>
    <n v="0"/>
    <n v="0"/>
    <n v="-97.5"/>
    <n v="0"/>
    <n v="0"/>
  </r>
  <r>
    <n v="19720003"/>
    <s v="N"/>
    <n v="21328792"/>
    <s v="3000008312410023RC"/>
    <s v="CIVIL"/>
    <d v="2023-06-28T00:00:00"/>
    <d v="2023-07-04T19:38:21"/>
    <m/>
    <d v="2023-07-04T00:00:00"/>
    <n v="1431"/>
    <n v="19284"/>
    <s v="19720003"/>
    <s v="19720003"/>
    <m/>
    <m/>
    <m/>
    <m/>
    <m/>
    <m/>
    <s v="SOLRECOUP"/>
    <s v="SOLRECOUP"/>
    <s v="POARECOUP"/>
    <n v="21328792"/>
    <n v="-117"/>
    <m/>
    <s v="Y"/>
    <n v="2"/>
    <d v="2023-07-04T19:38:23"/>
    <s v="N"/>
    <m/>
    <m/>
    <s v="Expert Disbursement"/>
    <m/>
    <s v="N"/>
    <n v="0"/>
    <n v="-19.5"/>
    <x v="1"/>
    <s v="VALIDATED"/>
    <n v="1"/>
    <s v="01.11.80.308.2013.0000"/>
    <n v="-19.5"/>
    <s v="11"/>
    <s v="2013"/>
    <n v="1195.25"/>
    <n v="-19.5"/>
    <s v="CREDITOR"/>
    <n v="0"/>
    <n v="0"/>
    <n v="-19.5"/>
    <n v="0"/>
    <n v="0"/>
  </r>
  <r>
    <n v="19720003"/>
    <s v="N"/>
    <n v="21328793"/>
    <s v="3000008312410022RC"/>
    <s v="CIVIL"/>
    <d v="2023-06-28T00:00:00"/>
    <d v="2023-07-04T19:38:21"/>
    <m/>
    <d v="2023-07-04T00:00:00"/>
    <n v="1431"/>
    <n v="19284"/>
    <s v="19720003"/>
    <s v="19720003"/>
    <m/>
    <m/>
    <m/>
    <m/>
    <m/>
    <m/>
    <s v="SOLRECOUP"/>
    <s v="SOLRECOUP"/>
    <s v="POARECOUP"/>
    <n v="21328793"/>
    <n v="-565.8"/>
    <m/>
    <s v="Y"/>
    <n v="1"/>
    <d v="2023-07-04T19:38:23"/>
    <s v="N"/>
    <m/>
    <m/>
    <s v="Expert Disbursement"/>
    <m/>
    <s v="N"/>
    <n v="-471.5"/>
    <n v="0"/>
    <x v="1"/>
    <s v="VALIDATED"/>
    <n v="1"/>
    <s v="01.11.80.308.2013.0000"/>
    <n v="-471.5"/>
    <s v="11"/>
    <s v="2013"/>
    <n v="1195.25"/>
    <n v="-471.5"/>
    <s v="CREDITOR"/>
    <n v="0"/>
    <n v="0"/>
    <n v="-471.5"/>
    <n v="0"/>
    <n v="0"/>
  </r>
  <r>
    <n v="60935626"/>
    <s v="N"/>
    <n v="21343583"/>
    <s v="3000015152520012"/>
    <s v="CIVIL"/>
    <d v="2023-06-28T00:00:00"/>
    <d v="2023-07-07T19:03:00"/>
    <m/>
    <d v="2023-07-07T00:00:00"/>
    <n v="1431"/>
    <n v="19284"/>
    <s v="60935626"/>
    <s v="60935626"/>
    <m/>
    <m/>
    <n v="22780268"/>
    <m/>
    <m/>
    <m/>
    <s v="SOLFIN"/>
    <s v="SOLFIN"/>
    <s v="CCMS"/>
    <n v="21343583"/>
    <n v="6962.45"/>
    <m/>
    <s v="N"/>
    <n v="4"/>
    <d v="2023-07-07T19:03:10"/>
    <s v="Y"/>
    <s v="Toxicologist"/>
    <s v="Care Remuneration Hourly Rates"/>
    <s v="Expert Disbursement"/>
    <s v="slw"/>
    <s v="Y"/>
    <n v="202.95"/>
    <n v="40.59"/>
    <x v="9"/>
    <s v="VALIDATED"/>
    <n v="1"/>
    <s v="01.11.80.305.6300.0000"/>
    <n v="202.95"/>
    <s v="11"/>
    <s v="6300"/>
    <n v="1195.25"/>
    <n v="202.95"/>
    <s v="CREDITOR"/>
    <n v="0"/>
    <n v="0"/>
    <n v="0"/>
    <n v="0"/>
    <n v="202.95"/>
  </r>
  <r>
    <n v="60935626"/>
    <s v="N"/>
    <n v="21343583"/>
    <s v="3000015152520012"/>
    <s v="CIVIL"/>
    <d v="2023-06-28T00:00:00"/>
    <d v="2023-07-07T19:03:00"/>
    <m/>
    <d v="2023-07-07T00:00:00"/>
    <n v="1431"/>
    <n v="19284"/>
    <s v="60935626"/>
    <s v="60935626"/>
    <m/>
    <m/>
    <n v="22780268"/>
    <m/>
    <m/>
    <m/>
    <s v="SOLFIN"/>
    <s v="SOLFIN"/>
    <s v="CCMS"/>
    <n v="21343583"/>
    <n v="6962.45"/>
    <m/>
    <s v="N"/>
    <n v="20"/>
    <d v="2023-07-07T19:03:10"/>
    <s v="Y"/>
    <s v="Preparation - drafting consent orde"/>
    <s v="Care Remuneration Hourly Rates"/>
    <s v="Profit Cost"/>
    <s v="mb"/>
    <s v="Y"/>
    <n v="17.52"/>
    <n v="3.5"/>
    <x v="9"/>
    <s v="VALIDATED"/>
    <n v="1"/>
    <s v="01.11.80.305.6100.0000"/>
    <n v="17.52"/>
    <s v="11"/>
    <s v="6100"/>
    <n v="1195.25"/>
    <n v="17.52"/>
    <s v="CREDITOR"/>
    <n v="0"/>
    <n v="0"/>
    <n v="0"/>
    <n v="0"/>
    <n v="17.52"/>
  </r>
  <r>
    <n v="61670793"/>
    <s v="N"/>
    <n v="21331271"/>
    <s v="3000015767770007"/>
    <s v="CIVIL"/>
    <d v="2023-06-27T00:00:00"/>
    <d v="2023-07-05T19:01:47"/>
    <m/>
    <d v="2023-07-05T00:00:00"/>
    <n v="1431"/>
    <n v="19284"/>
    <s v="61670793"/>
    <s v="61670793"/>
    <m/>
    <m/>
    <n v="22766726"/>
    <m/>
    <m/>
    <m/>
    <s v="SOLFIN"/>
    <s v="SOLFIN"/>
    <s v="CCMS"/>
    <n v="21331271"/>
    <n v="3106.61"/>
    <m/>
    <s v="N"/>
    <n v="31"/>
    <d v="2023-07-05T19:02:12"/>
    <s v="Y"/>
    <s v="Preparation - drafting bill/claim f"/>
    <s v="Care Remuneration Hourly Rates"/>
    <s v="Profit Cost"/>
    <s v="sb"/>
    <s v="Y"/>
    <n v="10.51"/>
    <n v="2.1"/>
    <x v="6"/>
    <s v="VALIDATED"/>
    <n v="1"/>
    <s v="01.11.80.305.6100.0000"/>
    <n v="10.51"/>
    <s v="11"/>
    <s v="6100"/>
    <n v="1195.25"/>
    <n v="10.51"/>
    <s v="CREDITOR"/>
    <n v="0"/>
    <n v="0"/>
    <n v="0"/>
    <n v="0"/>
    <n v="10.51"/>
  </r>
  <r>
    <n v="60935626"/>
    <s v="N"/>
    <n v="21343583"/>
    <s v="3000015152520012"/>
    <s v="CIVIL"/>
    <d v="2023-06-28T00:00:00"/>
    <d v="2023-07-07T19:03:00"/>
    <m/>
    <d v="2023-07-07T00:00:00"/>
    <n v="1431"/>
    <n v="19284"/>
    <s v="60935626"/>
    <s v="60935626"/>
    <m/>
    <m/>
    <n v="22780268"/>
    <m/>
    <m/>
    <m/>
    <s v="SOLFIN"/>
    <s v="SOLFIN"/>
    <s v="CCMS"/>
    <n v="21343583"/>
    <n v="6962.45"/>
    <m/>
    <s v="N"/>
    <n v="64"/>
    <d v="2023-07-07T19:03:10"/>
    <s v="Y"/>
    <s v="Preparation - other"/>
    <s v="Care Remuneration Hourly Rates"/>
    <s v="Profit Cost"/>
    <s v="sb"/>
    <s v="Y"/>
    <n v="11.68"/>
    <n v="2.34"/>
    <x v="9"/>
    <s v="VALIDATED"/>
    <n v="1"/>
    <s v="01.11.80.305.6100.0000"/>
    <n v="11.68"/>
    <s v="11"/>
    <s v="6100"/>
    <n v="1195.25"/>
    <n v="11.68"/>
    <s v="CREDITOR"/>
    <n v="0"/>
    <n v="0"/>
    <n v="0"/>
    <n v="0"/>
    <n v="11.68"/>
  </r>
  <r>
    <n v="60935626"/>
    <s v="N"/>
    <n v="21343583"/>
    <s v="3000015152520012"/>
    <s v="CIVIL"/>
    <d v="2023-06-28T00:00:00"/>
    <d v="2023-07-07T19:03:00"/>
    <m/>
    <d v="2023-07-07T00:00:00"/>
    <n v="1431"/>
    <n v="19284"/>
    <s v="60935626"/>
    <s v="60935626"/>
    <m/>
    <m/>
    <n v="22780268"/>
    <m/>
    <m/>
    <m/>
    <s v="SOLFIN"/>
    <s v="SOLFIN"/>
    <s v="CCMS"/>
    <n v="21343583"/>
    <n v="6962.45"/>
    <m/>
    <s v="N"/>
    <n v="68"/>
    <d v="2023-07-07T19:03:10"/>
    <s v="Y"/>
    <s v="Attendance upon/with Counsel at Con"/>
    <s v="Care Remuneration Hourly Rates"/>
    <s v="Profit Cost"/>
    <s v="mb"/>
    <s v="Y"/>
    <n v="19.6"/>
    <n v="3.92"/>
    <x v="9"/>
    <s v="VALIDATED"/>
    <n v="1"/>
    <s v="01.11.80.305.6100.0000"/>
    <n v="19.6"/>
    <s v="11"/>
    <s v="6100"/>
    <n v="1195.25"/>
    <n v="19.6"/>
    <s v="CREDITOR"/>
    <n v="0"/>
    <n v="0"/>
    <n v="0"/>
    <n v="0"/>
    <n v="19.6"/>
  </r>
  <r>
    <n v="60935626"/>
    <s v="N"/>
    <n v="21343583"/>
    <s v="3000015152520012"/>
    <s v="CIVIL"/>
    <d v="2023-06-28T00:00:00"/>
    <d v="2023-07-07T19:03:00"/>
    <m/>
    <d v="2023-07-07T00:00:00"/>
    <n v="1431"/>
    <n v="19284"/>
    <s v="60935626"/>
    <s v="60935626"/>
    <m/>
    <m/>
    <n v="22780268"/>
    <m/>
    <m/>
    <m/>
    <s v="SOLFIN"/>
    <s v="SOLFIN"/>
    <s v="CCMS"/>
    <n v="21343583"/>
    <n v="6962.45"/>
    <m/>
    <s v="N"/>
    <n v="13"/>
    <d v="2023-07-07T19:03:10"/>
    <s v="Y"/>
    <s v="Routine Telephone Call"/>
    <s v="Care Remuneration Hourly Rates"/>
    <s v="Profit Cost"/>
    <s v="slw"/>
    <s v="Y"/>
    <n v="12.73"/>
    <n v="2.55"/>
    <x v="9"/>
    <s v="VALIDATED"/>
    <n v="1"/>
    <s v="01.11.80.305.6100.0000"/>
    <n v="12.73"/>
    <s v="11"/>
    <s v="6100"/>
    <n v="1195.25"/>
    <n v="12.73"/>
    <s v="CREDITOR"/>
    <n v="0"/>
    <n v="0"/>
    <n v="0"/>
    <n v="0"/>
    <n v="12.73"/>
  </r>
  <r>
    <n v="60935626"/>
    <s v="N"/>
    <n v="21343583"/>
    <s v="3000015152520012"/>
    <s v="CIVIL"/>
    <d v="2023-06-28T00:00:00"/>
    <d v="2023-07-07T19:03:00"/>
    <m/>
    <d v="2023-07-07T00:00:00"/>
    <n v="1431"/>
    <n v="19284"/>
    <s v="60935626"/>
    <s v="60935626"/>
    <m/>
    <m/>
    <n v="22780268"/>
    <m/>
    <m/>
    <m/>
    <s v="SOLFIN"/>
    <s v="SOLFIN"/>
    <s v="CCMS"/>
    <n v="21343583"/>
    <n v="6962.45"/>
    <m/>
    <s v="N"/>
    <n v="78"/>
    <d v="2023-07-07T19:03:10"/>
    <s v="Y"/>
    <s v="Preparation - other"/>
    <s v="Care Remuneration Hourly Rates"/>
    <s v="Profit Cost"/>
    <s v="slw"/>
    <s v="Y"/>
    <n v="13.43"/>
    <n v="2.69"/>
    <x v="9"/>
    <s v="VALIDATED"/>
    <n v="1"/>
    <s v="01.11.80.305.6100.0000"/>
    <n v="13.43"/>
    <s v="11"/>
    <s v="6100"/>
    <n v="1195.25"/>
    <n v="13.43"/>
    <s v="CREDITOR"/>
    <n v="0"/>
    <n v="0"/>
    <n v="0"/>
    <n v="0"/>
    <n v="13.43"/>
  </r>
  <r>
    <n v="60935626"/>
    <s v="N"/>
    <n v="21343583"/>
    <s v="3000015152520012"/>
    <s v="CIVIL"/>
    <d v="2023-06-28T00:00:00"/>
    <d v="2023-07-07T19:03:00"/>
    <m/>
    <d v="2023-07-07T00:00:00"/>
    <n v="1431"/>
    <n v="19284"/>
    <s v="60935626"/>
    <s v="60935626"/>
    <m/>
    <m/>
    <n v="22780268"/>
    <m/>
    <m/>
    <m/>
    <s v="SOLFIN"/>
    <s v="SOLFIN"/>
    <s v="CCMS"/>
    <n v="21343583"/>
    <n v="6962.45"/>
    <m/>
    <s v="N"/>
    <n v="14"/>
    <d v="2023-07-07T19:03:10"/>
    <s v="Y"/>
    <s v="Routine Telephone Call"/>
    <s v="Care Remuneration Hourly Rates"/>
    <s v="Profit Cost"/>
    <s v="mb"/>
    <s v="Y"/>
    <n v="33.21"/>
    <n v="6.64"/>
    <x v="9"/>
    <s v="VALIDATED"/>
    <n v="1"/>
    <s v="01.11.80.305.6100.0000"/>
    <n v="33.21"/>
    <s v="11"/>
    <s v="6100"/>
    <n v="1195.25"/>
    <n v="33.21"/>
    <s v="CREDITOR"/>
    <n v="0"/>
    <n v="0"/>
    <n v="0"/>
    <n v="0"/>
    <n v="33.21"/>
  </r>
  <r>
    <n v="19720003"/>
    <s v="N"/>
    <n v="21327487"/>
    <s v="3000008312410046"/>
    <s v="CIVIL"/>
    <d v="2023-06-28T00:00:00"/>
    <d v="2023-07-04T19:00:44"/>
    <m/>
    <d v="2023-07-04T00:00:00"/>
    <n v="1431"/>
    <n v="19284"/>
    <s v="19720003"/>
    <s v="19720003"/>
    <m/>
    <m/>
    <n v="22777390"/>
    <m/>
    <m/>
    <m/>
    <s v="SOLFIN"/>
    <s v="SOLFIN"/>
    <s v="CCMS"/>
    <n v="21327487"/>
    <n v="37017.9"/>
    <m/>
    <s v="N"/>
    <n v="26"/>
    <d v="2023-07-04T19:00:48"/>
    <s v="Y"/>
    <s v="Court Fee"/>
    <s v="VHCC"/>
    <s v="Non Expert Disbursement"/>
    <s v="rd"/>
    <s v="Y"/>
    <n v="167"/>
    <n v="0"/>
    <x v="1"/>
    <s v="VALIDATED"/>
    <n v="1"/>
    <s v="01.11.80.308.6300.0000"/>
    <n v="167"/>
    <s v="11"/>
    <s v="6300"/>
    <n v="1195.25"/>
    <n v="167"/>
    <s v="CREDITOR"/>
    <n v="0"/>
    <n v="0"/>
    <n v="0"/>
    <n v="0"/>
    <n v="167"/>
  </r>
  <r>
    <n v="60935626"/>
    <s v="N"/>
    <n v="21343583"/>
    <s v="3000015152520012"/>
    <s v="CIVIL"/>
    <d v="2023-06-28T00:00:00"/>
    <d v="2023-07-07T19:03:00"/>
    <m/>
    <d v="2023-07-07T00:00:00"/>
    <n v="1431"/>
    <n v="19284"/>
    <s v="60935626"/>
    <s v="60935626"/>
    <m/>
    <m/>
    <n v="22780268"/>
    <m/>
    <m/>
    <m/>
    <s v="SOLFIN"/>
    <s v="SOLFIN"/>
    <s v="CCMS"/>
    <n v="21343583"/>
    <n v="6962.45"/>
    <m/>
    <s v="N"/>
    <n v="1"/>
    <d v="2023-07-07T19:03:10"/>
    <s v="Y"/>
    <s v="Toxicologist"/>
    <s v="Care Remuneration Hourly Rates"/>
    <s v="Expert Disbursement"/>
    <s v="slw"/>
    <s v="Y"/>
    <n v="89.25"/>
    <n v="17.85"/>
    <x v="9"/>
    <s v="VALIDATED"/>
    <n v="1"/>
    <s v="01.11.80.305.6300.0000"/>
    <n v="89.25"/>
    <s v="11"/>
    <s v="6300"/>
    <n v="1195.25"/>
    <n v="89.25"/>
    <s v="CREDITOR"/>
    <n v="0"/>
    <n v="0"/>
    <n v="0"/>
    <n v="0"/>
    <n v="89.25"/>
  </r>
  <r>
    <n v="61670793"/>
    <s v="N"/>
    <n v="21331271"/>
    <s v="3000015767770007"/>
    <s v="CIVIL"/>
    <d v="2023-06-27T00:00:00"/>
    <d v="2023-07-05T19:01:47"/>
    <m/>
    <d v="2023-07-05T00:00:00"/>
    <n v="1431"/>
    <n v="19284"/>
    <s v="61670793"/>
    <s v="61670793"/>
    <m/>
    <m/>
    <n v="22766726"/>
    <m/>
    <m/>
    <m/>
    <s v="SOLFIN"/>
    <s v="SOLFIN"/>
    <s v="CCMS"/>
    <n v="21331271"/>
    <n v="3106.61"/>
    <m/>
    <s v="N"/>
    <n v="35"/>
    <d v="2023-07-05T19:02:12"/>
    <s v="Y"/>
    <s v="Preparation - other"/>
    <s v="Care Remuneration Hourly Rates"/>
    <s v="Profit Cost"/>
    <s v="sb"/>
    <s v="Y"/>
    <n v="10.51"/>
    <n v="2.1"/>
    <x v="6"/>
    <s v="VALIDATED"/>
    <n v="1"/>
    <s v="01.11.80.305.6100.0000"/>
    <n v="10.51"/>
    <s v="11"/>
    <s v="6100"/>
    <n v="1195.25"/>
    <n v="10.51"/>
    <s v="CREDITOR"/>
    <n v="0"/>
    <n v="0"/>
    <n v="0"/>
    <n v="0"/>
    <n v="10.51"/>
  </r>
  <r>
    <n v="61670793"/>
    <s v="N"/>
    <n v="21331271"/>
    <s v="3000015767770007"/>
    <s v="CIVIL"/>
    <d v="2023-06-27T00:00:00"/>
    <d v="2023-07-05T19:01:47"/>
    <m/>
    <d v="2023-07-05T00:00:00"/>
    <n v="1431"/>
    <n v="19284"/>
    <s v="61670793"/>
    <s v="61670793"/>
    <m/>
    <m/>
    <n v="22766726"/>
    <m/>
    <m/>
    <m/>
    <s v="SOLFIN"/>
    <s v="SOLFIN"/>
    <s v="CCMS"/>
    <n v="21331271"/>
    <n v="3106.61"/>
    <m/>
    <s v="N"/>
    <n v="25"/>
    <d v="2023-07-05T19:02:12"/>
    <s v="Y"/>
    <s v="Preparation - drafting application"/>
    <s v="Care Remuneration Hourly Rates"/>
    <s v="Profit Cost"/>
    <s v="mb"/>
    <s v="Y"/>
    <n v="26.29"/>
    <n v="5.26"/>
    <x v="6"/>
    <s v="VALIDATED"/>
    <n v="1"/>
    <s v="01.11.80.305.6100.0000"/>
    <n v="26.29"/>
    <s v="11"/>
    <s v="6100"/>
    <n v="1195.25"/>
    <n v="26.29"/>
    <s v="CREDITOR"/>
    <n v="0"/>
    <n v="0"/>
    <n v="0"/>
    <n v="0"/>
    <n v="26.29"/>
  </r>
  <r>
    <n v="19720003"/>
    <s v="N"/>
    <n v="21327487"/>
    <s v="3000008312410046"/>
    <s v="CIVIL"/>
    <d v="2023-06-28T00:00:00"/>
    <d v="2023-07-04T19:00:44"/>
    <m/>
    <d v="2023-07-04T00:00:00"/>
    <n v="1431"/>
    <n v="19284"/>
    <s v="19720003"/>
    <s v="19720003"/>
    <m/>
    <m/>
    <n v="22777390"/>
    <m/>
    <m/>
    <m/>
    <s v="SOLFIN"/>
    <s v="SOLFIN"/>
    <s v="CCMS"/>
    <n v="21327487"/>
    <n v="37017.9"/>
    <m/>
    <s v="N"/>
    <n v="23"/>
    <d v="2023-07-04T19:00:48"/>
    <s v="Y"/>
    <s v="Toxicologist"/>
    <s v="VHCC"/>
    <s v="Expert Disbursement"/>
    <s v="rd"/>
    <s v="Y"/>
    <n v="97.5"/>
    <n v="19.5"/>
    <x v="1"/>
    <s v="VALIDATED"/>
    <n v="1"/>
    <s v="01.11.80.308.6300.0000"/>
    <n v="97.5"/>
    <s v="11"/>
    <s v="6300"/>
    <n v="1195.25"/>
    <n v="97.5"/>
    <s v="CREDITOR"/>
    <n v="0"/>
    <n v="0"/>
    <n v="0"/>
    <n v="0"/>
    <n v="97.5"/>
  </r>
  <r>
    <n v="19720003"/>
    <s v="N"/>
    <n v="21327487"/>
    <s v="3000008312410046"/>
    <s v="CIVIL"/>
    <d v="2023-06-28T00:00:00"/>
    <d v="2023-07-04T19:00:44"/>
    <m/>
    <d v="2023-07-04T00:00:00"/>
    <n v="1431"/>
    <n v="19284"/>
    <s v="19720003"/>
    <s v="19720003"/>
    <m/>
    <m/>
    <n v="22777390"/>
    <m/>
    <m/>
    <m/>
    <s v="SOLFIN"/>
    <s v="SOLFIN"/>
    <s v="CCMS"/>
    <n v="21327487"/>
    <n v="37017.9"/>
    <m/>
    <s v="N"/>
    <n v="31"/>
    <d v="2023-07-04T19:00:48"/>
    <s v="Y"/>
    <s v="Toxicologist"/>
    <s v="VHCC"/>
    <s v="Expert Disbursement"/>
    <s v="rd"/>
    <s v="Y"/>
    <n v="176"/>
    <n v="35.2"/>
    <x v="1"/>
    <s v="VALIDATED"/>
    <n v="1"/>
    <s v="01.11.80.308.6300.0000"/>
    <n v="176"/>
    <s v="11"/>
    <s v="6300"/>
    <n v="1195.25"/>
    <n v="176"/>
    <s v="CREDITOR"/>
    <n v="0"/>
    <n v="0"/>
    <n v="0"/>
    <n v="0"/>
    <n v="176"/>
  </r>
  <r>
    <n v="60935626"/>
    <s v="N"/>
    <n v="21343583"/>
    <s v="3000015152520012"/>
    <s v="CIVIL"/>
    <d v="2023-06-28T00:00:00"/>
    <d v="2023-07-07T19:03:00"/>
    <m/>
    <d v="2023-07-07T00:00:00"/>
    <n v="1431"/>
    <n v="19284"/>
    <s v="60935626"/>
    <s v="60935626"/>
    <m/>
    <m/>
    <n v="22780268"/>
    <m/>
    <m/>
    <m/>
    <s v="SOLFIN"/>
    <s v="SOLFIN"/>
    <s v="CCMS"/>
    <n v="21343583"/>
    <n v="6962.45"/>
    <m/>
    <s v="N"/>
    <n v="67"/>
    <d v="2023-07-07T19:03:10"/>
    <s v="Y"/>
    <s v="Preparation - drafting bill/claim f"/>
    <s v="Care Remuneration Hourly Rates"/>
    <s v="Profit Cost"/>
    <s v="slw"/>
    <s v="Y"/>
    <n v="13.43"/>
    <n v="2.69"/>
    <x v="9"/>
    <s v="VALIDATED"/>
    <n v="1"/>
    <s v="01.11.80.305.6100.0000"/>
    <n v="13.43"/>
    <s v="11"/>
    <s v="6100"/>
    <n v="1195.25"/>
    <n v="13.43"/>
    <s v="CREDITOR"/>
    <n v="0"/>
    <n v="0"/>
    <n v="0"/>
    <n v="0"/>
    <n v="13.43"/>
  </r>
  <r>
    <n v="60935626"/>
    <s v="N"/>
    <n v="21343583"/>
    <s v="3000015152520012"/>
    <s v="CIVIL"/>
    <d v="2023-06-28T00:00:00"/>
    <d v="2023-07-07T19:03:00"/>
    <m/>
    <d v="2023-07-07T00:00:00"/>
    <n v="1431"/>
    <n v="19284"/>
    <s v="60935626"/>
    <s v="60935626"/>
    <m/>
    <m/>
    <n v="22780268"/>
    <m/>
    <m/>
    <m/>
    <s v="SOLFIN"/>
    <s v="SOLFIN"/>
    <s v="CCMS"/>
    <n v="21343583"/>
    <n v="6962.45"/>
    <m/>
    <s v="N"/>
    <n v="15"/>
    <d v="2023-07-07T19:03:10"/>
    <s v="Y"/>
    <s v="Routine Letter Out"/>
    <s v="Care Remuneration Hourly Rates"/>
    <s v="Profit Cost"/>
    <s v="slw"/>
    <s v="Y"/>
    <n v="411.62"/>
    <n v="82.33"/>
    <x v="9"/>
    <s v="VALIDATED"/>
    <n v="1"/>
    <s v="01.11.80.305.6100.0000"/>
    <n v="411.62"/>
    <s v="11"/>
    <s v="6100"/>
    <n v="1195.25"/>
    <n v="411.62"/>
    <s v="CREDITOR"/>
    <n v="0"/>
    <n v="0"/>
    <n v="0"/>
    <n v="0"/>
    <n v="411.62"/>
  </r>
  <r>
    <n v="60935626"/>
    <s v="N"/>
    <n v="21343583"/>
    <s v="3000015152520012"/>
    <s v="CIVIL"/>
    <d v="2023-06-28T00:00:00"/>
    <d v="2023-07-07T19:03:00"/>
    <m/>
    <d v="2023-07-07T00:00:00"/>
    <n v="1431"/>
    <n v="19284"/>
    <s v="60935626"/>
    <s v="60935626"/>
    <m/>
    <m/>
    <n v="22780268"/>
    <m/>
    <m/>
    <m/>
    <s v="SOLFIN"/>
    <s v="SOLFIN"/>
    <s v="CCMS"/>
    <n v="21343583"/>
    <n v="6962.45"/>
    <m/>
    <s v="N"/>
    <n v="32"/>
    <d v="2023-07-07T19:03:10"/>
    <s v="Y"/>
    <s v="Attendance upon client"/>
    <s v="Care Remuneration Hourly Rates"/>
    <s v="Profit Cost"/>
    <s v="slw"/>
    <s v="Y"/>
    <n v="33.59"/>
    <n v="6.72"/>
    <x v="9"/>
    <s v="VALIDATED"/>
    <n v="1"/>
    <s v="01.11.80.305.6100.0000"/>
    <n v="33.59"/>
    <s v="11"/>
    <s v="6100"/>
    <n v="1195.25"/>
    <n v="33.59"/>
    <s v="CREDITOR"/>
    <n v="0"/>
    <n v="0"/>
    <n v="0"/>
    <n v="0"/>
    <n v="33.59"/>
  </r>
  <r>
    <n v="61670793"/>
    <s v="N"/>
    <n v="21331271"/>
    <s v="3000015767770007"/>
    <s v="CIVIL"/>
    <d v="2023-06-27T00:00:00"/>
    <d v="2023-07-05T19:01:47"/>
    <m/>
    <d v="2023-07-05T00:00:00"/>
    <n v="1431"/>
    <n v="19284"/>
    <s v="61670793"/>
    <s v="61670793"/>
    <m/>
    <m/>
    <n v="22766726"/>
    <m/>
    <m/>
    <m/>
    <s v="SOLFIN"/>
    <s v="SOLFIN"/>
    <s v="CCMS"/>
    <n v="21331271"/>
    <n v="3106.61"/>
    <m/>
    <s v="N"/>
    <n v="16"/>
    <d v="2023-07-05T19:02:12"/>
    <s v="Y"/>
    <s v="Preparation - other"/>
    <s v="Care Remuneration Hourly Rates"/>
    <s v="Profit Cost"/>
    <s v="slw"/>
    <s v="Y"/>
    <n v="314.36"/>
    <n v="62.87"/>
    <x v="6"/>
    <s v="VALIDATED"/>
    <n v="1"/>
    <s v="01.11.80.305.6100.0000"/>
    <n v="314.36"/>
    <s v="11"/>
    <s v="6100"/>
    <n v="1195.25"/>
    <n v="314.36"/>
    <s v="CREDITOR"/>
    <n v="0"/>
    <n v="0"/>
    <n v="0"/>
    <n v="0"/>
    <n v="314.36"/>
  </r>
  <r>
    <n v="61075463"/>
    <s v="N"/>
    <n v="21349492"/>
    <s v="3000015271740008"/>
    <s v="CIVIL"/>
    <d v="2023-06-28T00:00:00"/>
    <d v="2023-07-10T19:01:40"/>
    <m/>
    <d v="2023-07-10T00:00:00"/>
    <n v="1431"/>
    <n v="19284"/>
    <s v="61075463"/>
    <s v="61075463"/>
    <m/>
    <m/>
    <n v="22783938"/>
    <m/>
    <m/>
    <m/>
    <s v="SOLFIN"/>
    <s v="SOLFIN"/>
    <s v="CCMS"/>
    <n v="21349492"/>
    <n v="6085.21"/>
    <m/>
    <s v="N"/>
    <n v="6"/>
    <d v="2023-07-10T19:01:51"/>
    <s v="Y"/>
    <s v="Solicitor Travel Mileage"/>
    <s v="Public Law Children"/>
    <s v="Non Expert Disbursement"/>
    <s v="po"/>
    <s v="Y"/>
    <n v="30.6"/>
    <n v="6.12"/>
    <x v="2"/>
    <s v="VALIDATED"/>
    <n v="1"/>
    <s v="01.11.80.308.6300.0000"/>
    <n v="30.6"/>
    <s v="11"/>
    <s v="6300"/>
    <n v="1195.25"/>
    <n v="30.6"/>
    <s v="CREDITOR"/>
    <n v="0"/>
    <n v="0"/>
    <n v="0"/>
    <n v="0"/>
    <n v="30.6"/>
  </r>
  <r>
    <n v="60935626"/>
    <s v="N"/>
    <n v="21343583"/>
    <s v="3000015152520012"/>
    <s v="CIVIL"/>
    <d v="2023-06-28T00:00:00"/>
    <d v="2023-07-07T19:03:00"/>
    <m/>
    <d v="2023-07-07T00:00:00"/>
    <n v="1431"/>
    <n v="19284"/>
    <s v="60935626"/>
    <s v="60935626"/>
    <m/>
    <m/>
    <n v="22780268"/>
    <m/>
    <m/>
    <m/>
    <s v="SOLFIN"/>
    <s v="SOLFIN"/>
    <s v="CCMS"/>
    <n v="21343583"/>
    <n v="6962.45"/>
    <m/>
    <s v="N"/>
    <n v="23"/>
    <d v="2023-07-07T19:03:10"/>
    <s v="Y"/>
    <s v="Preparation - other"/>
    <s v="Care Remuneration Hourly Rates"/>
    <s v="Profit Cost"/>
    <s v="slw"/>
    <s v="Y"/>
    <n v="47.02"/>
    <n v="9.4"/>
    <x v="9"/>
    <s v="VALIDATED"/>
    <n v="1"/>
    <s v="01.11.80.305.6100.0000"/>
    <n v="47.02"/>
    <s v="11"/>
    <s v="6100"/>
    <n v="1195.25"/>
    <n v="47.02"/>
    <s v="CREDITOR"/>
    <n v="0"/>
    <n v="0"/>
    <n v="0"/>
    <n v="0"/>
    <n v="47.02"/>
  </r>
  <r>
    <n v="19720003"/>
    <s v="N"/>
    <n v="21327487"/>
    <s v="3000008312410046"/>
    <s v="CIVIL"/>
    <d v="2023-06-28T00:00:00"/>
    <d v="2023-07-04T19:00:44"/>
    <m/>
    <d v="2023-07-04T00:00:00"/>
    <n v="1431"/>
    <n v="19284"/>
    <s v="19720003"/>
    <s v="19720003"/>
    <m/>
    <m/>
    <n v="22777390"/>
    <m/>
    <m/>
    <m/>
    <s v="SOLFIN"/>
    <s v="SOLFIN"/>
    <s v="CCMS"/>
    <n v="21327487"/>
    <n v="37017.9"/>
    <m/>
    <s v="N"/>
    <n v="24"/>
    <d v="2023-07-04T19:00:48"/>
    <s v="Y"/>
    <s v="Court Fee"/>
    <s v="VHCC"/>
    <s v="Non Expert Disbursement"/>
    <s v="rd"/>
    <s v="Y"/>
    <n v="167"/>
    <n v="0"/>
    <x v="1"/>
    <s v="VALIDATED"/>
    <n v="1"/>
    <s v="01.11.80.308.6300.0000"/>
    <n v="167"/>
    <s v="11"/>
    <s v="6300"/>
    <n v="1195.25"/>
    <n v="167"/>
    <s v="CREDITOR"/>
    <n v="0"/>
    <n v="0"/>
    <n v="0"/>
    <n v="0"/>
    <n v="167"/>
  </r>
  <r>
    <n v="60935626"/>
    <s v="N"/>
    <n v="21343583"/>
    <s v="3000015152520012"/>
    <s v="CIVIL"/>
    <d v="2023-06-28T00:00:00"/>
    <d v="2023-07-07T19:03:00"/>
    <m/>
    <d v="2023-07-07T00:00:00"/>
    <n v="1431"/>
    <n v="19284"/>
    <s v="60935626"/>
    <s v="60935626"/>
    <m/>
    <m/>
    <n v="22780268"/>
    <m/>
    <m/>
    <m/>
    <s v="SOLFIN"/>
    <s v="SOLFIN"/>
    <s v="CCMS"/>
    <n v="21343583"/>
    <n v="6962.45"/>
    <m/>
    <s v="N"/>
    <n v="34"/>
    <d v="2023-07-07T19:03:10"/>
    <s v="Y"/>
    <s v="Preparation - other"/>
    <s v="Care Remuneration Hourly Rates"/>
    <s v="Profit Cost"/>
    <s v="slw"/>
    <s v="Y"/>
    <n v="80.59999999999999"/>
    <n v="16.12"/>
    <x v="9"/>
    <s v="VALIDATED"/>
    <n v="1"/>
    <s v="01.11.80.305.6100.0000"/>
    <n v="80.59999999999999"/>
    <s v="11"/>
    <s v="6100"/>
    <n v="1195.25"/>
    <n v="80.59999999999999"/>
    <s v="CREDITOR"/>
    <n v="0"/>
    <n v="0"/>
    <n v="0"/>
    <n v="0"/>
    <n v="80.59999999999999"/>
  </r>
  <r>
    <n v="60935626"/>
    <s v="N"/>
    <n v="21343583"/>
    <s v="3000015152520012"/>
    <s v="CIVIL"/>
    <d v="2023-06-28T00:00:00"/>
    <d v="2023-07-07T19:03:00"/>
    <m/>
    <d v="2023-07-07T00:00:00"/>
    <n v="1431"/>
    <n v="19284"/>
    <s v="60935626"/>
    <s v="60935626"/>
    <m/>
    <m/>
    <n v="22780268"/>
    <m/>
    <m/>
    <m/>
    <s v="SOLFIN"/>
    <s v="SOLFIN"/>
    <s v="CCMS"/>
    <n v="21343583"/>
    <n v="6962.45"/>
    <m/>
    <s v="N"/>
    <n v="44"/>
    <d v="2023-07-07T19:03:10"/>
    <s v="Y"/>
    <s v="Attendance upon client"/>
    <s v="Care Remuneration Hourly Rates"/>
    <s v="Profit Cost"/>
    <s v="mb"/>
    <s v="Y"/>
    <n v="58.41"/>
    <n v="11.68"/>
    <x v="9"/>
    <s v="VALIDATED"/>
    <n v="1"/>
    <s v="01.11.80.305.6100.0000"/>
    <n v="58.41"/>
    <s v="11"/>
    <s v="6100"/>
    <n v="1195.25"/>
    <n v="58.41"/>
    <s v="CREDITOR"/>
    <n v="0"/>
    <n v="0"/>
    <n v="0"/>
    <n v="0"/>
    <n v="58.41"/>
  </r>
  <r>
    <n v="60935626"/>
    <s v="N"/>
    <n v="21343583"/>
    <s v="3000015152520012"/>
    <s v="CIVIL"/>
    <d v="2023-06-28T00:00:00"/>
    <d v="2023-07-07T19:03:00"/>
    <m/>
    <d v="2023-07-07T00:00:00"/>
    <n v="1431"/>
    <n v="19284"/>
    <s v="60935626"/>
    <s v="60935626"/>
    <m/>
    <m/>
    <n v="22780268"/>
    <m/>
    <m/>
    <m/>
    <s v="SOLFIN"/>
    <s v="SOLFIN"/>
    <s v="CCMS"/>
    <n v="21343583"/>
    <n v="6962.45"/>
    <m/>
    <s v="N"/>
    <n v="66"/>
    <d v="2023-07-07T19:03:10"/>
    <s v="Y"/>
    <s v="Preparation - other"/>
    <s v="Care Remuneration Hourly Rates"/>
    <s v="Profit Cost"/>
    <s v="slw"/>
    <s v="Y"/>
    <n v="13.43"/>
    <n v="2.69"/>
    <x v="9"/>
    <s v="VALIDATED"/>
    <n v="1"/>
    <s v="01.11.80.305.6100.0000"/>
    <n v="13.43"/>
    <s v="11"/>
    <s v="6100"/>
    <n v="1195.25"/>
    <n v="13.43"/>
    <s v="CREDITOR"/>
    <n v="0"/>
    <n v="0"/>
    <n v="0"/>
    <n v="0"/>
    <n v="13.43"/>
  </r>
  <r>
    <n v="61670793"/>
    <s v="N"/>
    <n v="21331271"/>
    <s v="3000015767770007"/>
    <s v="CIVIL"/>
    <d v="2023-06-27T00:00:00"/>
    <d v="2023-07-05T19:01:47"/>
    <m/>
    <d v="2023-07-05T00:00:00"/>
    <n v="1431"/>
    <n v="19284"/>
    <s v="61670793"/>
    <s v="61670793"/>
    <m/>
    <m/>
    <n v="22766726"/>
    <m/>
    <m/>
    <m/>
    <s v="SOLFIN"/>
    <s v="SOLFIN"/>
    <s v="CCMS"/>
    <n v="21331271"/>
    <n v="3106.61"/>
    <m/>
    <s v="N"/>
    <n v="6"/>
    <d v="2023-07-05T19:02:12"/>
    <s v="Y"/>
    <s v="Preparation - drafting instructions"/>
    <s v="Care Remuneration Hourly Rates"/>
    <s v="Profit Cost"/>
    <s v="mb"/>
    <s v="Y"/>
    <n v="15.77"/>
    <n v="3.15"/>
    <x v="6"/>
    <s v="VALIDATED"/>
    <n v="1"/>
    <s v="01.11.80.305.6100.0000"/>
    <n v="15.77"/>
    <s v="11"/>
    <s v="6100"/>
    <n v="1195.25"/>
    <n v="15.77"/>
    <s v="CREDITOR"/>
    <n v="0"/>
    <n v="0"/>
    <n v="0"/>
    <n v="0"/>
    <n v="15.77"/>
  </r>
  <r>
    <n v="61670793"/>
    <s v="N"/>
    <n v="21331271"/>
    <s v="3000015767770007"/>
    <s v="CIVIL"/>
    <d v="2023-06-27T00:00:00"/>
    <d v="2023-07-05T19:01:47"/>
    <m/>
    <d v="2023-07-05T00:00:00"/>
    <n v="1431"/>
    <n v="19284"/>
    <s v="61670793"/>
    <s v="61670793"/>
    <m/>
    <m/>
    <n v="22766726"/>
    <m/>
    <m/>
    <m/>
    <s v="SOLFIN"/>
    <s v="SOLFIN"/>
    <s v="CCMS"/>
    <n v="21331271"/>
    <n v="3106.61"/>
    <m/>
    <s v="N"/>
    <n v="10"/>
    <d v="2023-07-05T19:02:12"/>
    <s v="Y"/>
    <s v="Preparation - other"/>
    <s v="Care Remuneration Hourly Rates"/>
    <s v="Profit Cost"/>
    <s v="slw"/>
    <s v="Y"/>
    <n v="532.01"/>
    <n v="106.4"/>
    <x v="6"/>
    <s v="VALIDATED"/>
    <n v="1"/>
    <s v="01.11.80.305.6100.0000"/>
    <n v="532.01"/>
    <s v="11"/>
    <s v="6100"/>
    <n v="1195.25"/>
    <n v="532.01"/>
    <s v="CREDITOR"/>
    <n v="0"/>
    <n v="0"/>
    <n v="0"/>
    <n v="0"/>
    <n v="532.01"/>
  </r>
  <r>
    <n v="61670793"/>
    <s v="N"/>
    <n v="21331271"/>
    <s v="3000015767770007"/>
    <s v="CIVIL"/>
    <d v="2023-06-27T00:00:00"/>
    <d v="2023-07-05T19:01:47"/>
    <m/>
    <d v="2023-07-05T00:00:00"/>
    <n v="1431"/>
    <n v="19284"/>
    <s v="61670793"/>
    <s v="61670793"/>
    <m/>
    <m/>
    <n v="22766726"/>
    <m/>
    <m/>
    <m/>
    <s v="SOLFIN"/>
    <s v="SOLFIN"/>
    <s v="CCMS"/>
    <n v="21331271"/>
    <n v="3106.61"/>
    <m/>
    <s v="N"/>
    <n v="23"/>
    <d v="2023-07-05T19:02:12"/>
    <s v="Y"/>
    <s v="Preparation - other"/>
    <s v="Care Remuneration Hourly Rates"/>
    <s v="Profit Cost"/>
    <s v="slw"/>
    <s v="Y"/>
    <n v="12.09"/>
    <n v="2.42"/>
    <x v="6"/>
    <s v="VALIDATED"/>
    <n v="1"/>
    <s v="01.11.80.305.6100.0000"/>
    <n v="12.09"/>
    <s v="11"/>
    <s v="6100"/>
    <n v="1195.25"/>
    <n v="12.09"/>
    <s v="CREDITOR"/>
    <n v="0"/>
    <n v="0"/>
    <n v="0"/>
    <n v="0"/>
    <n v="12.09"/>
  </r>
  <r>
    <n v="61075463"/>
    <s v="N"/>
    <n v="21349492"/>
    <s v="3000015271740008"/>
    <s v="CIVIL"/>
    <d v="2023-06-28T00:00:00"/>
    <d v="2023-07-10T19:01:40"/>
    <m/>
    <d v="2023-07-10T00:00:00"/>
    <n v="1431"/>
    <n v="19284"/>
    <s v="61075463"/>
    <s v="61075463"/>
    <m/>
    <m/>
    <n v="22783938"/>
    <m/>
    <m/>
    <m/>
    <s v="SOLFIN"/>
    <s v="SOLFIN"/>
    <s v="CCMS"/>
    <n v="21349492"/>
    <n v="6085.21"/>
    <m/>
    <s v="N"/>
    <n v="13"/>
    <d v="2023-07-10T19:01:51"/>
    <s v="Y"/>
    <s v="Solicitors Fixed Fee"/>
    <s v="Public Law Children"/>
    <s v="Profit Cost"/>
    <s v="slw"/>
    <s v="Y"/>
    <n v="1754"/>
    <n v="350.8"/>
    <x v="2"/>
    <s v="VALIDATED"/>
    <n v="1"/>
    <s v="01.11.80.308.6100.0000"/>
    <n v="1754"/>
    <s v="11"/>
    <s v="6100"/>
    <n v="1195.25"/>
    <n v="1754"/>
    <s v="CREDITOR"/>
    <n v="0"/>
    <n v="0"/>
    <n v="0"/>
    <n v="0"/>
    <n v="1754"/>
  </r>
  <r>
    <n v="60935626"/>
    <s v="N"/>
    <n v="21343583"/>
    <s v="3000015152520012"/>
    <s v="CIVIL"/>
    <d v="2023-06-28T00:00:00"/>
    <d v="2023-07-07T19:03:00"/>
    <m/>
    <d v="2023-07-07T00:00:00"/>
    <n v="1431"/>
    <n v="19284"/>
    <s v="60935626"/>
    <s v="60935626"/>
    <m/>
    <m/>
    <n v="22780268"/>
    <m/>
    <m/>
    <m/>
    <s v="SOLFIN"/>
    <s v="SOLFIN"/>
    <s v="CCMS"/>
    <n v="21343583"/>
    <n v="6962.45"/>
    <m/>
    <s v="N"/>
    <n v="55"/>
    <d v="2023-07-07T19:03:10"/>
    <s v="Y"/>
    <s v="Preparation - drafting bill/claim f"/>
    <s v="Care Remuneration Hourly Rates"/>
    <s v="Profit Cost"/>
    <s v="slw"/>
    <s v="Y"/>
    <n v="26.86"/>
    <n v="5.37"/>
    <x v="9"/>
    <s v="VALIDATED"/>
    <n v="1"/>
    <s v="01.11.80.305.6100.0000"/>
    <n v="26.86"/>
    <s v="11"/>
    <s v="6100"/>
    <n v="1195.25"/>
    <n v="26.86"/>
    <s v="CREDITOR"/>
    <n v="0"/>
    <n v="0"/>
    <n v="0"/>
    <n v="0"/>
    <n v="26.86"/>
  </r>
  <r>
    <n v="60935626"/>
    <s v="N"/>
    <n v="21343583"/>
    <s v="3000015152520012"/>
    <s v="CIVIL"/>
    <d v="2023-06-28T00:00:00"/>
    <d v="2023-07-07T19:03:00"/>
    <m/>
    <d v="2023-07-07T00:00:00"/>
    <n v="1431"/>
    <n v="19284"/>
    <s v="60935626"/>
    <s v="60935626"/>
    <m/>
    <m/>
    <n v="22780268"/>
    <m/>
    <m/>
    <m/>
    <s v="SOLFIN"/>
    <s v="SOLFIN"/>
    <s v="CCMS"/>
    <n v="21343583"/>
    <n v="6962.45"/>
    <m/>
    <s v="N"/>
    <n v="45"/>
    <d v="2023-07-07T19:03:10"/>
    <s v="Y"/>
    <s v="Preparation - other"/>
    <s v="Care Remuneration Hourly Rates"/>
    <s v="Profit Cost"/>
    <s v="slw"/>
    <s v="Y"/>
    <n v="13.43"/>
    <n v="2.69"/>
    <x v="9"/>
    <s v="VALIDATED"/>
    <n v="1"/>
    <s v="01.11.80.305.6100.0000"/>
    <n v="13.43"/>
    <s v="11"/>
    <s v="6100"/>
    <n v="1195.25"/>
    <n v="13.43"/>
    <s v="CREDITOR"/>
    <n v="0"/>
    <n v="0"/>
    <n v="0"/>
    <n v="0"/>
    <n v="13.43"/>
  </r>
  <r>
    <n v="61670793"/>
    <s v="N"/>
    <n v="21331271"/>
    <s v="3000015767770007"/>
    <s v="CIVIL"/>
    <d v="2023-06-27T00:00:00"/>
    <d v="2023-07-05T19:01:47"/>
    <m/>
    <d v="2023-07-05T00:00:00"/>
    <n v="1431"/>
    <n v="19284"/>
    <s v="61670793"/>
    <s v="61670793"/>
    <m/>
    <m/>
    <n v="22766726"/>
    <m/>
    <m/>
    <m/>
    <s v="SOLFIN"/>
    <s v="SOLFIN"/>
    <s v="CCMS"/>
    <n v="21331271"/>
    <n v="3106.61"/>
    <m/>
    <s v="N"/>
    <n v="29"/>
    <d v="2023-07-05T19:02:12"/>
    <s v="Y"/>
    <s v="Preparation - drafting bill/claim f"/>
    <s v="Care Remuneration Hourly Rates"/>
    <s v="Profit Cost"/>
    <s v="sb"/>
    <s v="Y"/>
    <n v="10.51"/>
    <n v="2.1"/>
    <x v="6"/>
    <s v="VALIDATED"/>
    <n v="1"/>
    <s v="01.11.80.305.6100.0000"/>
    <n v="10.51"/>
    <s v="11"/>
    <s v="6100"/>
    <n v="1195.25"/>
    <n v="10.51"/>
    <s v="CREDITOR"/>
    <n v="0"/>
    <n v="0"/>
    <n v="0"/>
    <n v="0"/>
    <n v="10.51"/>
  </r>
  <r>
    <n v="60935626"/>
    <s v="N"/>
    <n v="21343583"/>
    <s v="3000015152520012"/>
    <s v="CIVIL"/>
    <d v="2023-06-28T00:00:00"/>
    <d v="2023-07-07T19:03:00"/>
    <m/>
    <d v="2023-07-07T00:00:00"/>
    <n v="1431"/>
    <n v="19284"/>
    <s v="60935626"/>
    <s v="60935626"/>
    <m/>
    <m/>
    <n v="22780268"/>
    <m/>
    <m/>
    <m/>
    <s v="SOLFIN"/>
    <s v="SOLFIN"/>
    <s v="CCMS"/>
    <n v="21343583"/>
    <n v="6962.45"/>
    <m/>
    <s v="N"/>
    <n v="39"/>
    <d v="2023-07-07T19:03:10"/>
    <s v="Y"/>
    <s v="Preparation - other"/>
    <s v="Care Remuneration Hourly Rates"/>
    <s v="Profit Cost"/>
    <s v="slw"/>
    <s v="Y"/>
    <n v="13.43"/>
    <n v="2.69"/>
    <x v="9"/>
    <s v="VALIDATED"/>
    <n v="1"/>
    <s v="01.11.80.305.6100.0000"/>
    <n v="13.43"/>
    <s v="11"/>
    <s v="6100"/>
    <n v="1195.25"/>
    <n v="13.43"/>
    <s v="CREDITOR"/>
    <n v="0"/>
    <n v="0"/>
    <n v="0"/>
    <n v="0"/>
    <n v="13.43"/>
  </r>
  <r>
    <n v="60935626"/>
    <s v="N"/>
    <n v="21343583"/>
    <s v="3000015152520012"/>
    <s v="CIVIL"/>
    <d v="2023-06-28T00:00:00"/>
    <d v="2023-07-07T19:03:00"/>
    <m/>
    <d v="2023-07-07T00:00:00"/>
    <n v="1431"/>
    <n v="19284"/>
    <s v="60935626"/>
    <s v="60935626"/>
    <m/>
    <m/>
    <n v="22780268"/>
    <m/>
    <m/>
    <m/>
    <s v="SOLFIN"/>
    <s v="SOLFIN"/>
    <s v="CCMS"/>
    <n v="21343583"/>
    <n v="6962.45"/>
    <m/>
    <s v="N"/>
    <n v="69"/>
    <d v="2023-07-07T19:03:10"/>
    <s v="Y"/>
    <s v="Preparation - other"/>
    <s v="Care Remuneration Hourly Rates"/>
    <s v="Profit Cost"/>
    <s v="sb"/>
    <s v="Y"/>
    <n v="5.84"/>
    <n v="1.17"/>
    <x v="9"/>
    <s v="VALIDATED"/>
    <n v="1"/>
    <s v="01.11.80.305.6100.0000"/>
    <n v="5.84"/>
    <s v="11"/>
    <s v="6100"/>
    <n v="1195.25"/>
    <n v="5.84"/>
    <s v="CREDITOR"/>
    <n v="0"/>
    <n v="0"/>
    <n v="0"/>
    <n v="0"/>
    <n v="5.84"/>
  </r>
  <r>
    <n v="61670793"/>
    <s v="N"/>
    <n v="21331271"/>
    <s v="3000015767770007"/>
    <s v="CIVIL"/>
    <d v="2023-06-27T00:00:00"/>
    <d v="2023-07-05T19:01:47"/>
    <m/>
    <d v="2023-07-05T00:00:00"/>
    <n v="1431"/>
    <n v="19284"/>
    <s v="61670793"/>
    <s v="61670793"/>
    <m/>
    <m/>
    <n v="22766726"/>
    <m/>
    <m/>
    <m/>
    <s v="SOLFIN"/>
    <s v="SOLFIN"/>
    <s v="CCMS"/>
    <n v="21331271"/>
    <n v="3106.61"/>
    <m/>
    <s v="N"/>
    <n v="36"/>
    <d v="2023-07-05T19:02:12"/>
    <s v="Y"/>
    <s v="Preparation - other"/>
    <s v="Care Remuneration Hourly Rates"/>
    <s v="Profit Cost"/>
    <s v="slw"/>
    <s v="Y"/>
    <n v="12.09"/>
    <n v="2.42"/>
    <x v="6"/>
    <s v="VALIDATED"/>
    <n v="1"/>
    <s v="01.11.80.305.6100.0000"/>
    <n v="12.09"/>
    <s v="11"/>
    <s v="6100"/>
    <n v="1195.25"/>
    <n v="12.09"/>
    <s v="CREDITOR"/>
    <n v="0"/>
    <n v="0"/>
    <n v="0"/>
    <n v="0"/>
    <n v="12.09"/>
  </r>
  <r>
    <n v="19720003"/>
    <s v="N"/>
    <n v="21327487"/>
    <s v="3000008312410046"/>
    <s v="CIVIL"/>
    <d v="2023-06-28T00:00:00"/>
    <d v="2023-07-04T19:00:44"/>
    <m/>
    <d v="2023-07-04T00:00:00"/>
    <n v="1431"/>
    <n v="19284"/>
    <s v="19720003"/>
    <s v="19720003"/>
    <m/>
    <m/>
    <n v="22777390"/>
    <m/>
    <m/>
    <m/>
    <s v="SOLFIN"/>
    <s v="SOLFIN"/>
    <s v="CCMS"/>
    <n v="21327487"/>
    <n v="37017.9"/>
    <m/>
    <s v="N"/>
    <n v="18"/>
    <d v="2023-07-04T19:00:48"/>
    <s v="Y"/>
    <s v="Toxicologist"/>
    <s v="VHCC"/>
    <s v="Expert Disbursement"/>
    <s v="rd"/>
    <s v="Y"/>
    <n v="163.5"/>
    <n v="32.7"/>
    <x v="1"/>
    <s v="VALIDATED"/>
    <n v="1"/>
    <s v="01.11.80.308.6300.0000"/>
    <n v="163.5"/>
    <s v="11"/>
    <s v="6300"/>
    <n v="1195.25"/>
    <n v="163.5"/>
    <s v="CREDITOR"/>
    <n v="0"/>
    <n v="0"/>
    <n v="0"/>
    <n v="0"/>
    <n v="163.5"/>
  </r>
  <r>
    <n v="61075463"/>
    <s v="N"/>
    <n v="21349492"/>
    <s v="3000015271740008"/>
    <s v="CIVIL"/>
    <d v="2023-06-28T00:00:00"/>
    <d v="2023-07-10T19:01:40"/>
    <m/>
    <d v="2023-07-10T00:00:00"/>
    <n v="1431"/>
    <n v="19284"/>
    <s v="61075463"/>
    <s v="61075463"/>
    <m/>
    <m/>
    <n v="22783938"/>
    <m/>
    <m/>
    <m/>
    <s v="SOLFIN"/>
    <s v="SOLFIN"/>
    <s v="CCMS"/>
    <n v="21349492"/>
    <n v="6085.21"/>
    <m/>
    <s v="N"/>
    <n v="7"/>
    <d v="2023-07-10T19:01:51"/>
    <s v="Y"/>
    <s v="Solicitor Travel Expenses"/>
    <s v="Public Law Children"/>
    <s v="Non Expert Disbursement"/>
    <s v="po"/>
    <s v="Y"/>
    <n v="2.2"/>
    <n v="0.44"/>
    <x v="2"/>
    <s v="VALIDATED"/>
    <n v="1"/>
    <s v="01.11.80.308.6300.0000"/>
    <n v="2.2"/>
    <s v="11"/>
    <s v="6300"/>
    <n v="1195.25"/>
    <n v="2.2"/>
    <s v="CREDITOR"/>
    <n v="0"/>
    <n v="0"/>
    <n v="0"/>
    <n v="0"/>
    <n v="2.2"/>
  </r>
  <r>
    <n v="60935626"/>
    <s v="N"/>
    <n v="21343583"/>
    <s v="3000015152520012"/>
    <s v="CIVIL"/>
    <d v="2023-06-28T00:00:00"/>
    <d v="2023-07-07T19:03:00"/>
    <m/>
    <d v="2023-07-07T00:00:00"/>
    <n v="1431"/>
    <n v="19284"/>
    <s v="60935626"/>
    <s v="60935626"/>
    <m/>
    <m/>
    <n v="22780268"/>
    <m/>
    <m/>
    <m/>
    <s v="SOLFIN"/>
    <s v="SOLFIN"/>
    <s v="CCMS"/>
    <n v="21343583"/>
    <n v="6962.45"/>
    <m/>
    <s v="N"/>
    <n v="33"/>
    <d v="2023-07-07T19:03:10"/>
    <s v="Y"/>
    <s v="Attendance upon client"/>
    <s v="Care Remuneration Hourly Rates"/>
    <s v="Profit Cost"/>
    <s v="slw"/>
    <s v="Y"/>
    <n v="13.43"/>
    <n v="2.69"/>
    <x v="9"/>
    <s v="VALIDATED"/>
    <n v="1"/>
    <s v="01.11.80.305.6100.0000"/>
    <n v="13.43"/>
    <s v="11"/>
    <s v="6100"/>
    <n v="1195.25"/>
    <n v="13.43"/>
    <s v="CREDITOR"/>
    <n v="0"/>
    <n v="0"/>
    <n v="0"/>
    <n v="0"/>
    <n v="13.43"/>
  </r>
  <r>
    <n v="60935626"/>
    <s v="N"/>
    <n v="21343583"/>
    <s v="3000015152520012"/>
    <s v="CIVIL"/>
    <d v="2023-06-28T00:00:00"/>
    <d v="2023-07-07T19:03:00"/>
    <m/>
    <d v="2023-07-07T00:00:00"/>
    <n v="1431"/>
    <n v="19284"/>
    <s v="60935626"/>
    <s v="60935626"/>
    <m/>
    <m/>
    <n v="22780268"/>
    <m/>
    <m/>
    <m/>
    <s v="SOLFIN"/>
    <s v="SOLFIN"/>
    <s v="CCMS"/>
    <n v="21343583"/>
    <n v="6962.45"/>
    <m/>
    <s v="N"/>
    <n v="63"/>
    <d v="2023-07-07T19:03:10"/>
    <s v="Y"/>
    <s v="Preparation - other"/>
    <s v="Care Remuneration Hourly Rates"/>
    <s v="Profit Cost"/>
    <s v="slw"/>
    <s v="Y"/>
    <n v="100.76"/>
    <n v="20.15"/>
    <x v="9"/>
    <s v="VALIDATED"/>
    <n v="1"/>
    <s v="01.11.80.305.6100.0000"/>
    <n v="100.76"/>
    <s v="11"/>
    <s v="6100"/>
    <n v="1195.25"/>
    <n v="100.76"/>
    <s v="CREDITOR"/>
    <n v="0"/>
    <n v="0"/>
    <n v="0"/>
    <n v="0"/>
    <n v="100.76"/>
  </r>
  <r>
    <n v="60935626"/>
    <s v="N"/>
    <n v="21343583"/>
    <s v="3000015152520012"/>
    <s v="CIVIL"/>
    <d v="2023-06-28T00:00:00"/>
    <d v="2023-07-07T19:03:00"/>
    <m/>
    <d v="2023-07-07T00:00:00"/>
    <n v="1431"/>
    <n v="19284"/>
    <s v="60935626"/>
    <s v="60935626"/>
    <m/>
    <m/>
    <n v="22780268"/>
    <m/>
    <m/>
    <m/>
    <s v="SOLFIN"/>
    <s v="SOLFIN"/>
    <s v="CCMS"/>
    <n v="21343583"/>
    <n v="6962.45"/>
    <m/>
    <s v="N"/>
    <n v="2"/>
    <d v="2023-07-07T19:03:10"/>
    <s v="Y"/>
    <s v="Psychologist"/>
    <s v="Care Remuneration Hourly Rates"/>
    <s v="Expert Disbursement"/>
    <s v="slw"/>
    <s v="Y"/>
    <n v="117"/>
    <n v="23.4"/>
    <x v="9"/>
    <s v="VALIDATED"/>
    <n v="1"/>
    <s v="01.11.80.305.6300.0000"/>
    <n v="117"/>
    <s v="11"/>
    <s v="6300"/>
    <n v="1195.25"/>
    <n v="117"/>
    <s v="CREDITOR"/>
    <n v="0"/>
    <n v="0"/>
    <n v="0"/>
    <n v="0"/>
    <n v="117"/>
  </r>
  <r>
    <n v="60935626"/>
    <s v="N"/>
    <n v="21343583"/>
    <s v="3000015152520012"/>
    <s v="CIVIL"/>
    <d v="2023-06-28T00:00:00"/>
    <d v="2023-07-07T19:03:00"/>
    <m/>
    <d v="2023-07-07T00:00:00"/>
    <n v="1431"/>
    <n v="19284"/>
    <s v="60935626"/>
    <s v="60935626"/>
    <m/>
    <m/>
    <n v="22780268"/>
    <m/>
    <m/>
    <m/>
    <s v="SOLFIN"/>
    <s v="SOLFIN"/>
    <s v="CCMS"/>
    <n v="21343583"/>
    <n v="6962.45"/>
    <m/>
    <s v="N"/>
    <n v="24"/>
    <d v="2023-07-07T19:03:10"/>
    <s v="Y"/>
    <s v="Report - other"/>
    <s v="Care Remuneration Hourly Rates"/>
    <s v="Profit Cost"/>
    <s v="mb"/>
    <s v="Y"/>
    <n v="93.45999999999999"/>
    <n v="18.69"/>
    <x v="9"/>
    <s v="VALIDATED"/>
    <n v="1"/>
    <s v="01.11.80.305.6100.0000"/>
    <n v="93.45999999999999"/>
    <s v="11"/>
    <s v="6100"/>
    <n v="1195.25"/>
    <n v="93.45999999999999"/>
    <s v="CREDITOR"/>
    <n v="0"/>
    <n v="0"/>
    <n v="0"/>
    <n v="0"/>
    <n v="93.45999999999999"/>
  </r>
  <r>
    <n v="19720003"/>
    <s v="N"/>
    <n v="21327487"/>
    <s v="3000008312410046"/>
    <s v="CIVIL"/>
    <d v="2023-06-28T00:00:00"/>
    <d v="2023-07-04T19:00:44"/>
    <m/>
    <d v="2023-07-04T00:00:00"/>
    <n v="1431"/>
    <n v="19284"/>
    <s v="19720003"/>
    <s v="19720003"/>
    <m/>
    <m/>
    <n v="22777390"/>
    <m/>
    <m/>
    <m/>
    <s v="SOLFIN"/>
    <s v="SOLFIN"/>
    <s v="CCMS"/>
    <n v="21327487"/>
    <n v="37017.9"/>
    <m/>
    <s v="N"/>
    <n v="16"/>
    <d v="2023-07-04T19:00:48"/>
    <s v="Y"/>
    <s v="Toxicologist"/>
    <s v="VHCC"/>
    <s v="Expert Disbursement"/>
    <s v="rd"/>
    <s v="Y"/>
    <n v="191"/>
    <n v="38.2"/>
    <x v="1"/>
    <s v="VALIDATED"/>
    <n v="1"/>
    <s v="01.11.80.308.6300.0000"/>
    <n v="191"/>
    <s v="11"/>
    <s v="6300"/>
    <n v="1195.25"/>
    <n v="191"/>
    <s v="CREDITOR"/>
    <n v="0"/>
    <n v="0"/>
    <n v="0"/>
    <n v="0"/>
    <n v="191"/>
  </r>
  <r>
    <n v="61075463"/>
    <s v="N"/>
    <n v="21349492"/>
    <s v="3000015271740008"/>
    <s v="CIVIL"/>
    <d v="2023-06-28T00:00:00"/>
    <d v="2023-07-10T19:01:40"/>
    <m/>
    <d v="2023-07-10T00:00:00"/>
    <n v="1431"/>
    <n v="19284"/>
    <s v="61075463"/>
    <s v="61075463"/>
    <m/>
    <m/>
    <n v="22783938"/>
    <m/>
    <m/>
    <m/>
    <s v="SOLFIN"/>
    <s v="SOLFIN"/>
    <s v="CCMS"/>
    <n v="21349492"/>
    <n v="6085.21"/>
    <m/>
    <s v="N"/>
    <n v="2"/>
    <d v="2023-07-10T19:01:51"/>
    <s v="Y"/>
    <s v="Final Hearing Court Bundle/Advocate"/>
    <s v="Public Law Children"/>
    <s v="Advocacy"/>
    <s v="po"/>
    <s v="Y"/>
    <n v="159.3"/>
    <n v="31.86"/>
    <x v="2"/>
    <s v="VALIDATED"/>
    <n v="1"/>
    <s v="01.11.80.308.6100.0000"/>
    <n v="159.3"/>
    <s v="11"/>
    <s v="6100"/>
    <n v="1195.25"/>
    <n v="159.3"/>
    <s v="CREDITOR"/>
    <n v="0"/>
    <n v="0"/>
    <n v="0"/>
    <n v="0"/>
    <n v="159.3"/>
  </r>
  <r>
    <n v="60935626"/>
    <s v="N"/>
    <n v="21343583"/>
    <s v="3000015152520012"/>
    <s v="CIVIL"/>
    <d v="2023-06-28T00:00:00"/>
    <d v="2023-07-07T19:03:00"/>
    <m/>
    <d v="2023-07-07T00:00:00"/>
    <n v="1431"/>
    <n v="19284"/>
    <s v="60935626"/>
    <s v="60935626"/>
    <m/>
    <m/>
    <n v="22780268"/>
    <m/>
    <m/>
    <m/>
    <s v="SOLFIN"/>
    <s v="SOLFIN"/>
    <s v="CCMS"/>
    <n v="21343583"/>
    <n v="6962.45"/>
    <m/>
    <s v="N"/>
    <n v="57"/>
    <d v="2023-07-07T19:03:10"/>
    <s v="Y"/>
    <s v="Preparation - other"/>
    <s v="Care Remuneration Hourly Rates"/>
    <s v="Profit Cost"/>
    <s v="mb"/>
    <s v="Y"/>
    <n v="11.68"/>
    <n v="2.34"/>
    <x v="9"/>
    <s v="VALIDATED"/>
    <n v="1"/>
    <s v="01.11.80.305.6100.0000"/>
    <n v="11.68"/>
    <s v="11"/>
    <s v="6100"/>
    <n v="1195.25"/>
    <n v="11.68"/>
    <s v="CREDITOR"/>
    <n v="0"/>
    <n v="0"/>
    <n v="0"/>
    <n v="0"/>
    <n v="11.68"/>
  </r>
  <r>
    <n v="61075463"/>
    <s v="N"/>
    <n v="21349492"/>
    <s v="3000015271740008"/>
    <s v="CIVIL"/>
    <d v="2023-06-28T00:00:00"/>
    <d v="2023-07-10T19:01:40"/>
    <m/>
    <d v="2023-07-10T00:00:00"/>
    <n v="1431"/>
    <n v="19284"/>
    <s v="61075463"/>
    <s v="61075463"/>
    <m/>
    <m/>
    <n v="22783938"/>
    <m/>
    <m/>
    <m/>
    <s v="SOLFIN"/>
    <s v="SOLFIN"/>
    <s v="CCMS"/>
    <n v="21349492"/>
    <n v="6085.21"/>
    <m/>
    <s v="N"/>
    <n v="8"/>
    <d v="2023-07-10T19:01:51"/>
    <s v="Y"/>
    <s v="Hearing Unit 2.31 - 5.00 Hours"/>
    <s v="Public Law Children"/>
    <s v="Advocacy"/>
    <s v="po"/>
    <s v="Y"/>
    <n v="476.92"/>
    <n v="95.38"/>
    <x v="2"/>
    <s v="VALIDATED"/>
    <n v="1"/>
    <s v="01.11.80.308.6100.0000"/>
    <n v="476.92"/>
    <s v="11"/>
    <s v="6100"/>
    <n v="1195.25"/>
    <n v="476.92"/>
    <s v="CREDITOR"/>
    <n v="0"/>
    <n v="0"/>
    <n v="0"/>
    <n v="0"/>
    <n v="476.92"/>
  </r>
  <r>
    <n v="60935626"/>
    <s v="N"/>
    <n v="21343583"/>
    <s v="3000015152520012"/>
    <s v="CIVIL"/>
    <d v="2023-06-28T00:00:00"/>
    <d v="2023-07-07T19:03:00"/>
    <m/>
    <d v="2023-07-07T00:00:00"/>
    <n v="1431"/>
    <n v="19284"/>
    <s v="60935626"/>
    <s v="60935626"/>
    <m/>
    <m/>
    <n v="22780268"/>
    <m/>
    <m/>
    <m/>
    <s v="SOLFIN"/>
    <s v="SOLFIN"/>
    <s v="CCMS"/>
    <n v="21343583"/>
    <n v="6962.45"/>
    <m/>
    <s v="N"/>
    <n v="3"/>
    <d v="2023-07-07T19:03:10"/>
    <s v="Y"/>
    <s v="Solicitor Travel Expenses"/>
    <s v="Care Remuneration Hourly Rates"/>
    <s v="Non Expert Disbursement"/>
    <s v="mb"/>
    <s v="Y"/>
    <n v="4"/>
    <n v="0.8"/>
    <x v="9"/>
    <s v="VALIDATED"/>
    <n v="1"/>
    <s v="01.11.80.305.6300.0000"/>
    <n v="4"/>
    <s v="11"/>
    <s v="6300"/>
    <n v="1195.25"/>
    <n v="4"/>
    <s v="CREDITOR"/>
    <n v="0"/>
    <n v="0"/>
    <n v="0"/>
    <n v="0"/>
    <n v="4"/>
  </r>
  <r>
    <n v="61670793"/>
    <s v="N"/>
    <n v="21331271"/>
    <s v="3000015767770007"/>
    <s v="CIVIL"/>
    <d v="2023-06-27T00:00:00"/>
    <d v="2023-07-05T19:01:47"/>
    <m/>
    <d v="2023-07-05T00:00:00"/>
    <n v="1431"/>
    <n v="19284"/>
    <s v="61670793"/>
    <s v="61670793"/>
    <m/>
    <m/>
    <n v="22766726"/>
    <m/>
    <m/>
    <m/>
    <s v="SOLFIN"/>
    <s v="SOLFIN"/>
    <s v="CCMS"/>
    <n v="21331271"/>
    <n v="3106.61"/>
    <m/>
    <s v="N"/>
    <n v="33"/>
    <d v="2023-07-05T19:02:12"/>
    <s v="Y"/>
    <s v="Preparation - other"/>
    <s v="Care Remuneration Hourly Rates"/>
    <s v="Profit Cost"/>
    <s v="slw"/>
    <s v="Y"/>
    <n v="12.09"/>
    <n v="2.42"/>
    <x v="6"/>
    <s v="VALIDATED"/>
    <n v="1"/>
    <s v="01.11.80.305.6100.0000"/>
    <n v="12.09"/>
    <s v="11"/>
    <s v="6100"/>
    <n v="1195.25"/>
    <n v="12.09"/>
    <s v="CREDITOR"/>
    <n v="0"/>
    <n v="0"/>
    <n v="0"/>
    <n v="0"/>
    <n v="12.09"/>
  </r>
  <r>
    <n v="60935626"/>
    <s v="N"/>
    <n v="21343583"/>
    <s v="3000015152520012"/>
    <s v="CIVIL"/>
    <d v="2023-06-28T00:00:00"/>
    <d v="2023-07-07T19:03:00"/>
    <m/>
    <d v="2023-07-07T00:00:00"/>
    <n v="1431"/>
    <n v="19284"/>
    <s v="60935626"/>
    <s v="60935626"/>
    <m/>
    <m/>
    <n v="22780268"/>
    <m/>
    <m/>
    <m/>
    <s v="SOLFIN"/>
    <s v="SOLFIN"/>
    <s v="CCMS"/>
    <n v="21343583"/>
    <n v="6962.45"/>
    <m/>
    <s v="N"/>
    <n v="75"/>
    <d v="2023-07-07T19:03:10"/>
    <s v="Y"/>
    <s v="Report - other"/>
    <s v="Care Remuneration Hourly Rates"/>
    <s v="Profit Cost"/>
    <s v="mb"/>
    <s v="Y"/>
    <n v="40.89"/>
    <n v="8.18"/>
    <x v="9"/>
    <s v="VALIDATED"/>
    <n v="1"/>
    <s v="01.11.80.305.6100.0000"/>
    <n v="40.89"/>
    <s v="11"/>
    <s v="6100"/>
    <n v="1195.25"/>
    <n v="40.89"/>
    <s v="CREDITOR"/>
    <n v="0"/>
    <n v="0"/>
    <n v="0"/>
    <n v="0"/>
    <n v="40.89"/>
  </r>
  <r>
    <n v="61670793"/>
    <s v="N"/>
    <n v="21331271"/>
    <s v="3000015767770007"/>
    <s v="CIVIL"/>
    <d v="2023-06-27T00:00:00"/>
    <d v="2023-07-05T19:01:47"/>
    <m/>
    <d v="2023-07-05T00:00:00"/>
    <n v="1431"/>
    <n v="19284"/>
    <s v="61670793"/>
    <s v="61670793"/>
    <m/>
    <m/>
    <n v="22766726"/>
    <m/>
    <m/>
    <m/>
    <s v="SOLFIN"/>
    <s v="SOLFIN"/>
    <s v="CCMS"/>
    <n v="21331271"/>
    <n v="3106.61"/>
    <m/>
    <s v="N"/>
    <n v="8"/>
    <d v="2023-07-05T19:02:12"/>
    <s v="Y"/>
    <s v="Preparation - drafting bill/claim f"/>
    <s v="Care Remuneration Hourly Rates"/>
    <s v="Profit Cost"/>
    <s v="slw"/>
    <s v="Y"/>
    <n v="6.05"/>
    <n v="1.21"/>
    <x v="6"/>
    <s v="VALIDATED"/>
    <n v="1"/>
    <s v="01.11.80.305.6100.0000"/>
    <n v="6.05"/>
    <s v="11"/>
    <s v="6100"/>
    <n v="1195.25"/>
    <n v="6.05"/>
    <s v="CREDITOR"/>
    <n v="0"/>
    <n v="0"/>
    <n v="0"/>
    <n v="0"/>
    <n v="6.05"/>
  </r>
  <r>
    <n v="61670793"/>
    <s v="N"/>
    <n v="21331271"/>
    <s v="3000015767770007"/>
    <s v="CIVIL"/>
    <d v="2023-06-27T00:00:00"/>
    <d v="2023-07-05T19:01:47"/>
    <m/>
    <d v="2023-07-05T00:00:00"/>
    <n v="1431"/>
    <n v="19284"/>
    <s v="61670793"/>
    <s v="61670793"/>
    <m/>
    <m/>
    <n v="22766726"/>
    <m/>
    <m/>
    <m/>
    <s v="SOLFIN"/>
    <s v="SOLFIN"/>
    <s v="CCMS"/>
    <n v="21331271"/>
    <n v="3106.61"/>
    <m/>
    <s v="N"/>
    <n v="22"/>
    <d v="2023-07-05T19:02:12"/>
    <s v="Y"/>
    <s v="Attendance upon other"/>
    <s v="Care Remuneration Hourly Rates"/>
    <s v="Profit Cost"/>
    <s v="slw"/>
    <s v="Y"/>
    <n v="12.09"/>
    <n v="2.42"/>
    <x v="6"/>
    <s v="VALIDATED"/>
    <n v="1"/>
    <s v="01.11.80.305.6100.0000"/>
    <n v="12.09"/>
    <s v="11"/>
    <s v="6100"/>
    <n v="1195.25"/>
    <n v="12.09"/>
    <s v="CREDITOR"/>
    <n v="0"/>
    <n v="0"/>
    <n v="0"/>
    <n v="0"/>
    <n v="12.09"/>
  </r>
  <r>
    <n v="60935626"/>
    <s v="N"/>
    <n v="21343583"/>
    <s v="3000015152520012"/>
    <s v="CIVIL"/>
    <d v="2023-06-28T00:00:00"/>
    <d v="2023-07-07T19:03:00"/>
    <m/>
    <d v="2023-07-07T00:00:00"/>
    <n v="1431"/>
    <n v="19284"/>
    <s v="60935626"/>
    <s v="60935626"/>
    <m/>
    <m/>
    <n v="22780268"/>
    <m/>
    <m/>
    <m/>
    <s v="SOLFIN"/>
    <s v="SOLFIN"/>
    <s v="CCMS"/>
    <n v="21343583"/>
    <n v="6962.45"/>
    <m/>
    <s v="N"/>
    <n v="42"/>
    <d v="2023-07-07T19:03:10"/>
    <s v="Y"/>
    <s v="Preparation - other"/>
    <s v="Care Remuneration Hourly Rates"/>
    <s v="Profit Cost"/>
    <s v="mb"/>
    <s v="Y"/>
    <n v="110.98"/>
    <n v="22.2"/>
    <x v="9"/>
    <s v="VALIDATED"/>
    <n v="1"/>
    <s v="01.11.80.305.6100.0000"/>
    <n v="110.98"/>
    <s v="11"/>
    <s v="6100"/>
    <n v="1195.25"/>
    <n v="110.98"/>
    <s v="CREDITOR"/>
    <n v="0"/>
    <n v="0"/>
    <n v="0"/>
    <n v="0"/>
    <n v="110.98"/>
  </r>
  <r>
    <n v="60935626"/>
    <s v="N"/>
    <n v="21343583"/>
    <s v="3000015152520012"/>
    <s v="CIVIL"/>
    <d v="2023-06-28T00:00:00"/>
    <d v="2023-07-07T19:03:00"/>
    <m/>
    <d v="2023-07-07T00:00:00"/>
    <n v="1431"/>
    <n v="19284"/>
    <s v="60935626"/>
    <s v="60935626"/>
    <m/>
    <m/>
    <n v="22780268"/>
    <m/>
    <m/>
    <m/>
    <s v="SOLFIN"/>
    <s v="SOLFIN"/>
    <s v="CCMS"/>
    <n v="21343583"/>
    <n v="6962.45"/>
    <m/>
    <s v="N"/>
    <n v="27"/>
    <d v="2023-07-07T19:03:10"/>
    <s v="Y"/>
    <s v="Preparation - other"/>
    <s v="Care Remuneration Hourly Rates"/>
    <s v="Profit Cost"/>
    <s v="mb"/>
    <s v="Y"/>
    <n v="46.73"/>
    <n v="9.35"/>
    <x v="9"/>
    <s v="VALIDATED"/>
    <n v="1"/>
    <s v="01.11.80.305.6100.0000"/>
    <n v="46.73"/>
    <s v="11"/>
    <s v="6100"/>
    <n v="1195.25"/>
    <n v="46.73"/>
    <s v="CREDITOR"/>
    <n v="0"/>
    <n v="0"/>
    <n v="0"/>
    <n v="0"/>
    <n v="46.73"/>
  </r>
  <r>
    <n v="19720003"/>
    <s v="N"/>
    <n v="21327487"/>
    <s v="3000008312410046"/>
    <s v="CIVIL"/>
    <d v="2023-06-28T00:00:00"/>
    <d v="2023-07-04T19:00:44"/>
    <m/>
    <d v="2023-07-04T00:00:00"/>
    <n v="1431"/>
    <n v="19284"/>
    <s v="19720003"/>
    <s v="19720003"/>
    <m/>
    <m/>
    <n v="22777390"/>
    <m/>
    <m/>
    <m/>
    <s v="SOLFIN"/>
    <s v="SOLFIN"/>
    <s v="CCMS"/>
    <n v="21327487"/>
    <n v="37017.9"/>
    <m/>
    <s v="N"/>
    <n v="14"/>
    <d v="2023-07-04T19:00:48"/>
    <s v="Y"/>
    <s v="Independent Social Worker"/>
    <s v="VHCC"/>
    <s v="Expert Disbursement"/>
    <s v="rd"/>
    <s v="Y"/>
    <n v="61.5"/>
    <n v="0"/>
    <x v="1"/>
    <s v="VALIDATED"/>
    <n v="1"/>
    <s v="01.11.80.308.6300.0000"/>
    <n v="61.5"/>
    <s v="11"/>
    <s v="6300"/>
    <n v="1195.25"/>
    <n v="61.5"/>
    <s v="CREDITOR"/>
    <n v="0"/>
    <n v="0"/>
    <n v="0"/>
    <n v="0"/>
    <n v="61.5"/>
  </r>
  <r>
    <n v="60935626"/>
    <s v="N"/>
    <n v="21343583"/>
    <s v="3000015152520012"/>
    <s v="CIVIL"/>
    <d v="2023-06-28T00:00:00"/>
    <d v="2023-07-07T19:03:00"/>
    <m/>
    <d v="2023-07-07T00:00:00"/>
    <n v="1431"/>
    <n v="19284"/>
    <s v="60935626"/>
    <s v="60935626"/>
    <m/>
    <m/>
    <n v="22780268"/>
    <m/>
    <m/>
    <m/>
    <s v="SOLFIN"/>
    <s v="SOLFIN"/>
    <s v="CCMS"/>
    <n v="21343583"/>
    <n v="6962.45"/>
    <m/>
    <s v="N"/>
    <n v="16"/>
    <d v="2023-07-07T19:03:10"/>
    <s v="Y"/>
    <s v="Routine Letter Out"/>
    <s v="Care Remuneration Hourly Rates"/>
    <s v="Profit Cost"/>
    <s v="mb"/>
    <s v="Y"/>
    <n v="922.5"/>
    <n v="184.48"/>
    <x v="9"/>
    <s v="VALIDATED"/>
    <n v="1"/>
    <s v="01.11.80.305.6100.0000"/>
    <n v="922.5"/>
    <s v="11"/>
    <s v="6100"/>
    <n v="1195.25"/>
    <n v="922.5"/>
    <s v="CREDITOR"/>
    <n v="0"/>
    <n v="0"/>
    <n v="0"/>
    <n v="0"/>
    <n v="922.5"/>
  </r>
  <r>
    <n v="61670793"/>
    <s v="N"/>
    <n v="21331271"/>
    <s v="3000015767770007"/>
    <s v="CIVIL"/>
    <d v="2023-06-27T00:00:00"/>
    <d v="2023-07-05T19:01:47"/>
    <m/>
    <d v="2023-07-05T00:00:00"/>
    <n v="1431"/>
    <n v="19284"/>
    <s v="61670793"/>
    <s v="61670793"/>
    <m/>
    <m/>
    <n v="22766726"/>
    <m/>
    <m/>
    <m/>
    <s v="SOLFIN"/>
    <s v="SOLFIN"/>
    <s v="CCMS"/>
    <n v="21331271"/>
    <n v="3106.61"/>
    <m/>
    <s v="N"/>
    <n v="20"/>
    <d v="2023-07-05T19:02:12"/>
    <s v="Y"/>
    <s v="Preparation - other"/>
    <s v="Care Remuneration Hourly Rates"/>
    <s v="Profit Cost"/>
    <s v="slw"/>
    <s v="Y"/>
    <n v="12.09"/>
    <n v="2.42"/>
    <x v="6"/>
    <s v="VALIDATED"/>
    <n v="1"/>
    <s v="01.11.80.305.6100.0000"/>
    <n v="12.09"/>
    <s v="11"/>
    <s v="6100"/>
    <n v="1195.25"/>
    <n v="12.09"/>
    <s v="CREDITOR"/>
    <n v="0"/>
    <n v="0"/>
    <n v="0"/>
    <n v="0"/>
    <n v="12.09"/>
  </r>
  <r>
    <n v="19720003"/>
    <s v="N"/>
    <n v="21327487"/>
    <s v="3000008312410046"/>
    <s v="CIVIL"/>
    <d v="2023-06-28T00:00:00"/>
    <d v="2023-07-04T19:00:44"/>
    <m/>
    <d v="2023-07-04T00:00:00"/>
    <n v="1431"/>
    <n v="19284"/>
    <s v="19720003"/>
    <s v="19720003"/>
    <m/>
    <m/>
    <n v="22777390"/>
    <m/>
    <m/>
    <m/>
    <s v="SOLFIN"/>
    <s v="SOLFIN"/>
    <s v="CCMS"/>
    <n v="21327487"/>
    <n v="37017.9"/>
    <m/>
    <s v="N"/>
    <n v="15"/>
    <d v="2023-07-04T19:00:48"/>
    <s v="Y"/>
    <s v="GP (records report)"/>
    <s v="VHCC"/>
    <s v="Expert Disbursement"/>
    <s v="rd"/>
    <s v="Y"/>
    <n v="50.4"/>
    <n v="0"/>
    <x v="1"/>
    <s v="VALIDATED"/>
    <n v="1"/>
    <s v="01.11.80.308.6300.0000"/>
    <n v="50.4"/>
    <s v="11"/>
    <s v="6300"/>
    <n v="1195.25"/>
    <n v="50.4"/>
    <s v="CREDITOR"/>
    <n v="0"/>
    <n v="0"/>
    <n v="0"/>
    <n v="0"/>
    <n v="50.4"/>
  </r>
  <r>
    <n v="60935626"/>
    <s v="N"/>
    <n v="21343583"/>
    <s v="3000015152520012"/>
    <s v="CIVIL"/>
    <d v="2023-06-28T00:00:00"/>
    <d v="2023-07-07T19:03:00"/>
    <m/>
    <d v="2023-07-07T00:00:00"/>
    <n v="1431"/>
    <n v="19284"/>
    <s v="60935626"/>
    <s v="60935626"/>
    <m/>
    <m/>
    <n v="22780268"/>
    <m/>
    <m/>
    <m/>
    <s v="SOLFIN"/>
    <s v="SOLFIN"/>
    <s v="CCMS"/>
    <n v="21343583"/>
    <n v="6962.45"/>
    <m/>
    <s v="N"/>
    <n v="60"/>
    <d v="2023-07-07T19:03:10"/>
    <s v="Y"/>
    <s v="Preparation - drafting bill/claim f"/>
    <s v="Care Remuneration Hourly Rates"/>
    <s v="Profit Cost"/>
    <s v="sb"/>
    <s v="Y"/>
    <n v="11.68"/>
    <n v="2.34"/>
    <x v="9"/>
    <s v="VALIDATED"/>
    <n v="1"/>
    <s v="01.11.80.305.6100.0000"/>
    <n v="11.68"/>
    <s v="11"/>
    <s v="6100"/>
    <n v="1195.25"/>
    <n v="11.68"/>
    <s v="CREDITOR"/>
    <n v="0"/>
    <n v="0"/>
    <n v="0"/>
    <n v="0"/>
    <n v="11.68"/>
  </r>
  <r>
    <n v="60935626"/>
    <s v="N"/>
    <n v="21343583"/>
    <s v="3000015152520012"/>
    <s v="CIVIL"/>
    <d v="2023-06-28T00:00:00"/>
    <d v="2023-07-07T19:03:00"/>
    <m/>
    <d v="2023-07-07T00:00:00"/>
    <n v="1431"/>
    <n v="19284"/>
    <s v="60935626"/>
    <s v="60935626"/>
    <m/>
    <m/>
    <n v="22780268"/>
    <m/>
    <m/>
    <m/>
    <s v="SOLFIN"/>
    <s v="SOLFIN"/>
    <s v="CCMS"/>
    <n v="21343583"/>
    <n v="6962.45"/>
    <m/>
    <s v="N"/>
    <n v="10"/>
    <d v="2023-07-07T19:03:10"/>
    <s v="Y"/>
    <s v="Preparation - other"/>
    <s v="Care Remuneration Hourly Rates"/>
    <s v="Profit Cost"/>
    <s v="mb"/>
    <s v="Y"/>
    <n v="11.68"/>
    <n v="2.34"/>
    <x v="9"/>
    <s v="VALIDATED"/>
    <n v="1"/>
    <s v="01.11.80.305.6100.0000"/>
    <n v="11.68"/>
    <s v="11"/>
    <s v="6100"/>
    <n v="1195.25"/>
    <n v="11.68"/>
    <s v="CREDITOR"/>
    <n v="0"/>
    <n v="0"/>
    <n v="0"/>
    <n v="0"/>
    <n v="11.68"/>
  </r>
  <r>
    <n v="61670793"/>
    <s v="N"/>
    <n v="21331271"/>
    <s v="3000015767770007"/>
    <s v="CIVIL"/>
    <d v="2023-06-27T00:00:00"/>
    <d v="2023-07-05T19:01:47"/>
    <m/>
    <d v="2023-07-05T00:00:00"/>
    <n v="1431"/>
    <n v="19284"/>
    <s v="61670793"/>
    <s v="61670793"/>
    <m/>
    <m/>
    <n v="22766726"/>
    <m/>
    <m/>
    <m/>
    <s v="SOLFIN"/>
    <s v="SOLFIN"/>
    <s v="CCMS"/>
    <n v="21331271"/>
    <n v="3106.61"/>
    <m/>
    <s v="N"/>
    <n v="14"/>
    <d v="2023-07-05T19:02:12"/>
    <s v="Y"/>
    <s v="Attendance upon client"/>
    <s v="Care Remuneration Hourly Rates"/>
    <s v="Profit Cost"/>
    <s v="mb"/>
    <s v="Y"/>
    <n v="52.57"/>
    <n v="10.51"/>
    <x v="6"/>
    <s v="VALIDATED"/>
    <n v="1"/>
    <s v="01.11.80.305.6100.0000"/>
    <n v="52.57"/>
    <s v="11"/>
    <s v="6100"/>
    <n v="1195.25"/>
    <n v="52.57"/>
    <s v="CREDITOR"/>
    <n v="0"/>
    <n v="0"/>
    <n v="0"/>
    <n v="0"/>
    <n v="52.57"/>
  </r>
  <r>
    <n v="61670793"/>
    <s v="N"/>
    <n v="21331271"/>
    <s v="3000015767770007"/>
    <s v="CIVIL"/>
    <d v="2023-06-27T00:00:00"/>
    <d v="2023-07-05T19:01:47"/>
    <m/>
    <d v="2023-07-05T00:00:00"/>
    <n v="1431"/>
    <n v="19284"/>
    <s v="61670793"/>
    <s v="61670793"/>
    <m/>
    <m/>
    <n v="22766726"/>
    <m/>
    <m/>
    <m/>
    <s v="SOLFIN"/>
    <s v="SOLFIN"/>
    <s v="CCMS"/>
    <n v="21331271"/>
    <n v="3106.61"/>
    <m/>
    <s v="N"/>
    <n v="21"/>
    <d v="2023-07-05T19:02:12"/>
    <s v="Y"/>
    <s v="Preparation - other"/>
    <s v="Care Remuneration Hourly Rates"/>
    <s v="Profit Cost"/>
    <s v="slw"/>
    <s v="Y"/>
    <n v="6.05"/>
    <n v="1.21"/>
    <x v="6"/>
    <s v="VALIDATED"/>
    <n v="1"/>
    <s v="01.11.80.305.6100.0000"/>
    <n v="6.05"/>
    <s v="11"/>
    <s v="6100"/>
    <n v="1195.25"/>
    <n v="6.05"/>
    <s v="CREDITOR"/>
    <n v="0"/>
    <n v="0"/>
    <n v="0"/>
    <n v="0"/>
    <n v="6.05"/>
  </r>
  <r>
    <n v="61670793"/>
    <s v="N"/>
    <n v="21331271"/>
    <s v="3000015767770007"/>
    <s v="CIVIL"/>
    <d v="2023-06-27T00:00:00"/>
    <d v="2023-07-05T19:01:47"/>
    <m/>
    <d v="2023-07-05T00:00:00"/>
    <n v="1431"/>
    <n v="19284"/>
    <s v="61670793"/>
    <s v="61670793"/>
    <m/>
    <m/>
    <n v="22766726"/>
    <m/>
    <m/>
    <m/>
    <s v="SOLFIN"/>
    <s v="SOLFIN"/>
    <s v="CCMS"/>
    <n v="21331271"/>
    <n v="3106.61"/>
    <m/>
    <s v="N"/>
    <n v="24"/>
    <d v="2023-07-05T19:02:12"/>
    <s v="Y"/>
    <s v="Advocacy - In court behind counsel"/>
    <s v="Care Remuneration Hourly Rates"/>
    <s v="Advocacy"/>
    <s v="mb"/>
    <s v="Y"/>
    <n v="64.68000000000001"/>
    <n v="12.94"/>
    <x v="6"/>
    <s v="VALIDATED"/>
    <n v="1"/>
    <s v="01.11.80.305.6100.0000"/>
    <n v="64.68000000000001"/>
    <s v="11"/>
    <s v="6100"/>
    <n v="1195.25"/>
    <n v="64.68000000000001"/>
    <s v="CREDITOR"/>
    <n v="0"/>
    <n v="0"/>
    <n v="0"/>
    <n v="0"/>
    <n v="64.68000000000001"/>
  </r>
  <r>
    <n v="19720003"/>
    <s v="N"/>
    <n v="21327487"/>
    <s v="3000008312410046"/>
    <s v="CIVIL"/>
    <d v="2023-06-28T00:00:00"/>
    <d v="2023-07-04T19:00:44"/>
    <m/>
    <d v="2023-07-04T00:00:00"/>
    <n v="1431"/>
    <n v="19284"/>
    <s v="19720003"/>
    <s v="19720003"/>
    <m/>
    <m/>
    <n v="22777390"/>
    <m/>
    <m/>
    <m/>
    <s v="SOLFIN"/>
    <s v="SOLFIN"/>
    <s v="CCMS"/>
    <n v="21327487"/>
    <n v="37017.9"/>
    <m/>
    <s v="N"/>
    <n v="20"/>
    <d v="2023-07-04T19:00:48"/>
    <s v="Y"/>
    <s v="Interim/Directions/Review Hearing ("/>
    <s v="VHCC"/>
    <s v="Profit Cost"/>
    <s v="rd"/>
    <s v="Y"/>
    <n v="12727"/>
    <n v="2545.4"/>
    <x v="1"/>
    <s v="VALIDATED"/>
    <n v="1"/>
    <s v="01.11.80.308.6100.0000"/>
    <n v="12727"/>
    <s v="11"/>
    <s v="6100"/>
    <n v="1195.25"/>
    <n v="12727"/>
    <s v="CREDITOR"/>
    <n v="0"/>
    <n v="0"/>
    <n v="0"/>
    <n v="0"/>
    <n v="12727"/>
  </r>
  <r>
    <n v="19720003"/>
    <s v="N"/>
    <n v="21327487"/>
    <s v="3000008312410046"/>
    <s v="CIVIL"/>
    <d v="2023-06-28T00:00:00"/>
    <d v="2023-07-04T19:00:44"/>
    <m/>
    <d v="2023-07-04T00:00:00"/>
    <n v="1431"/>
    <n v="19284"/>
    <s v="19720003"/>
    <s v="19720003"/>
    <m/>
    <m/>
    <n v="22777390"/>
    <m/>
    <m/>
    <m/>
    <s v="SOLFIN"/>
    <s v="SOLFIN"/>
    <s v="CCMS"/>
    <n v="21327487"/>
    <n v="37017.9"/>
    <m/>
    <s v="N"/>
    <n v="22"/>
    <d v="2023-07-04T19:00:48"/>
    <s v="Y"/>
    <s v="Child psychologist"/>
    <s v="VHCC"/>
    <s v="Expert Disbursement"/>
    <s v="rd"/>
    <s v="Y"/>
    <n v="504"/>
    <n v="100.8"/>
    <x v="1"/>
    <s v="VALIDATED"/>
    <n v="1"/>
    <s v="01.11.80.308.6300.0000"/>
    <n v="504"/>
    <s v="11"/>
    <s v="6300"/>
    <n v="1195.25"/>
    <n v="504"/>
    <s v="CREDITOR"/>
    <n v="0"/>
    <n v="0"/>
    <n v="0"/>
    <n v="0"/>
    <n v="504"/>
  </r>
  <r>
    <n v="61670793"/>
    <s v="N"/>
    <n v="21331271"/>
    <s v="3000015767770007"/>
    <s v="CIVIL"/>
    <d v="2023-06-27T00:00:00"/>
    <d v="2023-07-05T19:01:47"/>
    <m/>
    <d v="2023-07-05T00:00:00"/>
    <n v="1431"/>
    <n v="19284"/>
    <s v="61670793"/>
    <s v="61670793"/>
    <m/>
    <m/>
    <n v="22766726"/>
    <m/>
    <m/>
    <m/>
    <s v="SOLFIN"/>
    <s v="SOLFIN"/>
    <s v="CCMS"/>
    <n v="21331271"/>
    <n v="3106.61"/>
    <m/>
    <s v="N"/>
    <n v="32"/>
    <d v="2023-07-05T19:02:12"/>
    <s v="Y"/>
    <s v="Preparation - other"/>
    <s v="Care Remuneration Hourly Rates"/>
    <s v="Profit Cost"/>
    <s v="slw"/>
    <s v="Y"/>
    <n v="12.09"/>
    <n v="2.42"/>
    <x v="6"/>
    <s v="VALIDATED"/>
    <n v="1"/>
    <s v="01.11.80.305.6100.0000"/>
    <n v="12.09"/>
    <s v="11"/>
    <s v="6100"/>
    <n v="1195.25"/>
    <n v="12.09"/>
    <s v="CREDITOR"/>
    <n v="0"/>
    <n v="0"/>
    <n v="0"/>
    <n v="0"/>
    <n v="12.09"/>
  </r>
  <r>
    <n v="19720003"/>
    <s v="N"/>
    <n v="21327487"/>
    <s v="3000008312410046"/>
    <s v="CIVIL"/>
    <d v="2023-06-28T00:00:00"/>
    <d v="2023-07-04T19:00:44"/>
    <m/>
    <d v="2023-07-04T00:00:00"/>
    <n v="1431"/>
    <n v="19284"/>
    <s v="19720003"/>
    <s v="19720003"/>
    <m/>
    <m/>
    <n v="22777390"/>
    <m/>
    <m/>
    <m/>
    <s v="SOLFIN"/>
    <s v="SOLFIN"/>
    <s v="CCMS"/>
    <n v="21327487"/>
    <n v="37017.9"/>
    <m/>
    <s v="N"/>
    <n v="17"/>
    <d v="2023-07-04T19:00:48"/>
    <s v="Y"/>
    <s v="Toxicologist"/>
    <s v="VHCC"/>
    <s v="Expert Disbursement"/>
    <s v="rd"/>
    <s v="Y"/>
    <n v="161"/>
    <n v="32.2"/>
    <x v="1"/>
    <s v="VALIDATED"/>
    <n v="1"/>
    <s v="01.11.80.308.6300.0000"/>
    <n v="161"/>
    <s v="11"/>
    <s v="6300"/>
    <n v="1195.25"/>
    <n v="161"/>
    <s v="CREDITOR"/>
    <n v="0"/>
    <n v="0"/>
    <n v="0"/>
    <n v="0"/>
    <n v="161"/>
  </r>
  <r>
    <n v="61670793"/>
    <s v="N"/>
    <n v="21331271"/>
    <s v="3000015767770007"/>
    <s v="CIVIL"/>
    <d v="2023-06-27T00:00:00"/>
    <d v="2023-07-05T19:01:47"/>
    <m/>
    <d v="2023-07-05T00:00:00"/>
    <n v="1431"/>
    <n v="19284"/>
    <s v="61670793"/>
    <s v="61670793"/>
    <m/>
    <m/>
    <n v="22766726"/>
    <m/>
    <m/>
    <m/>
    <s v="SOLFIN"/>
    <s v="SOLFIN"/>
    <s v="CCMS"/>
    <n v="21331271"/>
    <n v="3106.61"/>
    <m/>
    <s v="N"/>
    <n v="30"/>
    <d v="2023-07-05T19:02:12"/>
    <s v="Y"/>
    <s v="Preparation - other"/>
    <s v="Care Remuneration Hourly Rates"/>
    <s v="Profit Cost"/>
    <s v="slw"/>
    <s v="Y"/>
    <n v="72.54000000000001"/>
    <n v="14.51"/>
    <x v="6"/>
    <s v="VALIDATED"/>
    <n v="1"/>
    <s v="01.11.80.305.6100.0000"/>
    <n v="72.54000000000001"/>
    <s v="11"/>
    <s v="6100"/>
    <n v="1195.25"/>
    <n v="72.54000000000001"/>
    <s v="CREDITOR"/>
    <n v="0"/>
    <n v="0"/>
    <n v="0"/>
    <n v="0"/>
    <n v="72.54000000000001"/>
  </r>
  <r>
    <n v="19720003"/>
    <s v="N"/>
    <n v="21327487"/>
    <s v="3000008312410046"/>
    <s v="CIVIL"/>
    <d v="2023-06-28T00:00:00"/>
    <d v="2023-07-04T19:00:44"/>
    <m/>
    <d v="2023-07-04T00:00:00"/>
    <n v="1431"/>
    <n v="19284"/>
    <s v="19720003"/>
    <s v="19720003"/>
    <m/>
    <m/>
    <n v="22777390"/>
    <m/>
    <m/>
    <m/>
    <s v="SOLFIN"/>
    <s v="SOLFIN"/>
    <s v="CCMS"/>
    <n v="21327487"/>
    <n v="37017.9"/>
    <m/>
    <s v="N"/>
    <n v="21"/>
    <d v="2023-07-04T19:00:48"/>
    <s v="Y"/>
    <s v="Toxicologist"/>
    <s v="VHCC"/>
    <s v="Expert Disbursement"/>
    <s v="rd"/>
    <s v="Y"/>
    <n v="102.5"/>
    <n v="20.5"/>
    <x v="1"/>
    <s v="VALIDATED"/>
    <n v="1"/>
    <s v="01.11.80.308.6300.0000"/>
    <n v="102.5"/>
    <s v="11"/>
    <s v="6300"/>
    <n v="1195.25"/>
    <n v="102.5"/>
    <s v="CREDITOR"/>
    <n v="0"/>
    <n v="0"/>
    <n v="0"/>
    <n v="0"/>
    <n v="102.5"/>
  </r>
  <r>
    <n v="19720003"/>
    <s v="N"/>
    <n v="21327487"/>
    <s v="3000008312410046"/>
    <s v="CIVIL"/>
    <d v="2023-06-28T00:00:00"/>
    <d v="2023-07-04T19:00:44"/>
    <m/>
    <d v="2023-07-04T00:00:00"/>
    <n v="1431"/>
    <n v="19284"/>
    <s v="19720003"/>
    <s v="19720003"/>
    <m/>
    <m/>
    <n v="22777390"/>
    <m/>
    <m/>
    <m/>
    <s v="SOLFIN"/>
    <s v="SOLFIN"/>
    <s v="CCMS"/>
    <n v="21327487"/>
    <n v="37017.9"/>
    <m/>
    <s v="N"/>
    <n v="28"/>
    <d v="2023-07-04T19:00:48"/>
    <s v="Y"/>
    <s v="Overrun Payment (Events Model)"/>
    <s v="VHCC"/>
    <s v="Profit Cost"/>
    <s v="rd"/>
    <s v="Y"/>
    <n v="285"/>
    <n v="57"/>
    <x v="1"/>
    <s v="VALIDATED"/>
    <n v="1"/>
    <s v="01.11.80.308.6100.0000"/>
    <n v="285"/>
    <s v="11"/>
    <s v="6100"/>
    <n v="1195.25"/>
    <n v="285"/>
    <s v="CREDITOR"/>
    <n v="0"/>
    <n v="0"/>
    <n v="0"/>
    <n v="0"/>
    <n v="285"/>
  </r>
  <r>
    <n v="61075463"/>
    <s v="N"/>
    <n v="21349492"/>
    <s v="3000015271740008"/>
    <s v="CIVIL"/>
    <d v="2023-06-28T00:00:00"/>
    <d v="2023-07-10T19:01:40"/>
    <m/>
    <d v="2023-07-10T00:00:00"/>
    <n v="1431"/>
    <n v="19284"/>
    <s v="61075463"/>
    <s v="61075463"/>
    <m/>
    <m/>
    <n v="22783938"/>
    <m/>
    <m/>
    <m/>
    <s v="SOLFIN"/>
    <s v="SOLFIN"/>
    <s v="CCMS"/>
    <n v="21349492"/>
    <n v="6085.21"/>
    <m/>
    <s v="N"/>
    <n v="9"/>
    <d v="2023-07-10T19:01:51"/>
    <s v="Y"/>
    <s v="Advocates Meeting"/>
    <s v="Public Law Children"/>
    <s v="Advocacy"/>
    <s v="po"/>
    <s v="Y"/>
    <n v="140.99"/>
    <n v="28.2"/>
    <x v="2"/>
    <s v="VALIDATED"/>
    <n v="1"/>
    <s v="01.11.80.308.6100.0000"/>
    <n v="140.99"/>
    <s v="11"/>
    <s v="6100"/>
    <n v="1195.25"/>
    <n v="140.99"/>
    <s v="CREDITOR"/>
    <n v="0"/>
    <n v="0"/>
    <n v="0"/>
    <n v="0"/>
    <n v="140.99"/>
  </r>
  <r>
    <n v="60935626"/>
    <s v="N"/>
    <n v="21343583"/>
    <s v="3000015152520012"/>
    <s v="CIVIL"/>
    <d v="2023-06-28T00:00:00"/>
    <d v="2023-07-07T19:03:00"/>
    <m/>
    <d v="2023-07-07T00:00:00"/>
    <n v="1431"/>
    <n v="19284"/>
    <s v="60935626"/>
    <s v="60935626"/>
    <m/>
    <m/>
    <n v="22780268"/>
    <m/>
    <m/>
    <m/>
    <s v="SOLFIN"/>
    <s v="SOLFIN"/>
    <s v="CCMS"/>
    <n v="21343583"/>
    <n v="6962.45"/>
    <m/>
    <s v="N"/>
    <n v="40"/>
    <d v="2023-07-07T19:03:10"/>
    <s v="Y"/>
    <s v="Preparation - drafting instructions"/>
    <s v="Care Remuneration Hourly Rates"/>
    <s v="Profit Cost"/>
    <s v="slw"/>
    <s v="Y"/>
    <n v="33.59"/>
    <n v="6.72"/>
    <x v="9"/>
    <s v="VALIDATED"/>
    <n v="1"/>
    <s v="01.11.80.305.6100.0000"/>
    <n v="33.59"/>
    <s v="11"/>
    <s v="6100"/>
    <n v="1195.25"/>
    <n v="33.59"/>
    <s v="CREDITOR"/>
    <n v="0"/>
    <n v="0"/>
    <n v="0"/>
    <n v="0"/>
    <n v="33.59"/>
  </r>
  <r>
    <n v="60935626"/>
    <s v="N"/>
    <n v="21343583"/>
    <s v="3000015152520012"/>
    <s v="CIVIL"/>
    <d v="2023-06-28T00:00:00"/>
    <d v="2023-07-07T19:03:00"/>
    <m/>
    <d v="2023-07-07T00:00:00"/>
    <n v="1431"/>
    <n v="19284"/>
    <s v="60935626"/>
    <s v="60935626"/>
    <m/>
    <m/>
    <n v="22780268"/>
    <m/>
    <m/>
    <m/>
    <s v="SOLFIN"/>
    <s v="SOLFIN"/>
    <s v="CCMS"/>
    <n v="21343583"/>
    <n v="6962.45"/>
    <m/>
    <s v="N"/>
    <n v="9"/>
    <d v="2023-07-07T19:03:10"/>
    <s v="Y"/>
    <s v="Preparation - other"/>
    <s v="Care Remuneration Hourly Rates"/>
    <s v="Profit Cost"/>
    <s v="mb"/>
    <s v="Y"/>
    <n v="23.36"/>
    <n v="4.67"/>
    <x v="9"/>
    <s v="VALIDATED"/>
    <n v="1"/>
    <s v="01.11.80.305.6100.0000"/>
    <n v="23.36"/>
    <s v="11"/>
    <s v="6100"/>
    <n v="1195.25"/>
    <n v="23.36"/>
    <s v="CREDITOR"/>
    <n v="0"/>
    <n v="0"/>
    <n v="0"/>
    <n v="0"/>
    <n v="23.36"/>
  </r>
  <r>
    <n v="60935626"/>
    <s v="N"/>
    <n v="21343583"/>
    <s v="3000015152520012"/>
    <s v="CIVIL"/>
    <d v="2023-06-28T00:00:00"/>
    <d v="2023-07-07T19:03:00"/>
    <m/>
    <d v="2023-07-07T00:00:00"/>
    <n v="1431"/>
    <n v="19284"/>
    <s v="60935626"/>
    <s v="60935626"/>
    <m/>
    <m/>
    <n v="22780268"/>
    <m/>
    <m/>
    <m/>
    <s v="SOLFIN"/>
    <s v="SOLFIN"/>
    <s v="CCMS"/>
    <n v="21343583"/>
    <n v="6962.45"/>
    <m/>
    <s v="N"/>
    <n v="46"/>
    <d v="2023-07-07T19:03:10"/>
    <s v="Y"/>
    <s v="Preparation - other"/>
    <s v="Care Remuneration Hourly Rates"/>
    <s v="Profit Cost"/>
    <s v="slw"/>
    <s v="Y"/>
    <n v="67.17"/>
    <n v="13.43"/>
    <x v="9"/>
    <s v="VALIDATED"/>
    <n v="1"/>
    <s v="01.11.80.305.6100.0000"/>
    <n v="67.17"/>
    <s v="11"/>
    <s v="6100"/>
    <n v="1195.25"/>
    <n v="67.17"/>
    <s v="CREDITOR"/>
    <n v="0"/>
    <n v="0"/>
    <n v="0"/>
    <n v="0"/>
    <n v="67.17"/>
  </r>
  <r>
    <n v="60935626"/>
    <s v="N"/>
    <n v="21343583"/>
    <s v="3000015152520012"/>
    <s v="CIVIL"/>
    <d v="2023-06-28T00:00:00"/>
    <d v="2023-07-07T19:03:00"/>
    <m/>
    <d v="2023-07-07T00:00:00"/>
    <n v="1431"/>
    <n v="19284"/>
    <s v="60935626"/>
    <s v="60935626"/>
    <m/>
    <m/>
    <n v="22780268"/>
    <m/>
    <m/>
    <m/>
    <s v="SOLFIN"/>
    <s v="SOLFIN"/>
    <s v="CCMS"/>
    <n v="21343583"/>
    <n v="6962.45"/>
    <m/>
    <s v="N"/>
    <n v="48"/>
    <d v="2023-07-07T19:03:10"/>
    <s v="Y"/>
    <s v="Preparation - drafting statement"/>
    <s v="Care Remuneration Hourly Rates"/>
    <s v="Profit Cost"/>
    <s v="mb"/>
    <s v="Y"/>
    <n v="58.41"/>
    <n v="11.68"/>
    <x v="9"/>
    <s v="VALIDATED"/>
    <n v="1"/>
    <s v="01.11.80.305.6100.0000"/>
    <n v="58.41"/>
    <s v="11"/>
    <s v="6100"/>
    <n v="1195.25"/>
    <n v="58.41"/>
    <s v="CREDITOR"/>
    <n v="0"/>
    <n v="0"/>
    <n v="0"/>
    <n v="0"/>
    <n v="58.41"/>
  </r>
  <r>
    <n v="60935626"/>
    <s v="N"/>
    <n v="21343583"/>
    <s v="3000015152520012"/>
    <s v="CIVIL"/>
    <d v="2023-06-28T00:00:00"/>
    <d v="2023-07-07T19:03:00"/>
    <m/>
    <d v="2023-07-07T00:00:00"/>
    <n v="1431"/>
    <n v="19284"/>
    <s v="60935626"/>
    <s v="60935626"/>
    <m/>
    <m/>
    <n v="22780268"/>
    <m/>
    <m/>
    <m/>
    <s v="SOLFIN"/>
    <s v="SOLFIN"/>
    <s v="CCMS"/>
    <n v="21343583"/>
    <n v="6962.45"/>
    <m/>
    <s v="N"/>
    <n v="28"/>
    <d v="2023-07-07T19:03:10"/>
    <s v="Y"/>
    <s v="Report - other"/>
    <s v="Care Remuneration Hourly Rates"/>
    <s v="Profit Cost"/>
    <s v="mb"/>
    <s v="Y"/>
    <n v="58.41"/>
    <n v="11.68"/>
    <x v="9"/>
    <s v="VALIDATED"/>
    <n v="1"/>
    <s v="01.11.80.305.6100.0000"/>
    <n v="58.41"/>
    <s v="11"/>
    <s v="6100"/>
    <n v="1195.25"/>
    <n v="58.41"/>
    <s v="CREDITOR"/>
    <n v="0"/>
    <n v="0"/>
    <n v="0"/>
    <n v="0"/>
    <n v="58.41"/>
  </r>
  <r>
    <n v="61670793"/>
    <s v="N"/>
    <n v="21331271"/>
    <s v="3000015767770007"/>
    <s v="CIVIL"/>
    <d v="2023-06-27T00:00:00"/>
    <d v="2023-07-05T19:01:47"/>
    <m/>
    <d v="2023-07-05T00:00:00"/>
    <n v="1431"/>
    <n v="19284"/>
    <s v="61670793"/>
    <s v="61670793"/>
    <m/>
    <m/>
    <n v="22766726"/>
    <m/>
    <m/>
    <m/>
    <s v="SOLFIN"/>
    <s v="SOLFIN"/>
    <s v="CCMS"/>
    <n v="21331271"/>
    <n v="3106.61"/>
    <m/>
    <s v="N"/>
    <n v="3"/>
    <d v="2023-07-05T19:02:12"/>
    <s v="Y"/>
    <s v="Preparation - drafting notice(s)"/>
    <s v="Care Remuneration Hourly Rates"/>
    <s v="Profit Cost"/>
    <s v="slw"/>
    <s v="Y"/>
    <n v="12.09"/>
    <n v="2.42"/>
    <x v="6"/>
    <s v="VALIDATED"/>
    <n v="1"/>
    <s v="01.11.80.305.6100.0000"/>
    <n v="12.09"/>
    <s v="11"/>
    <s v="6100"/>
    <n v="1195.25"/>
    <n v="12.09"/>
    <s v="CREDITOR"/>
    <n v="0"/>
    <n v="0"/>
    <n v="0"/>
    <n v="0"/>
    <n v="12.09"/>
  </r>
  <r>
    <n v="61075463"/>
    <s v="N"/>
    <n v="21349492"/>
    <s v="3000015271740008"/>
    <s v="CIVIL"/>
    <d v="2023-06-28T00:00:00"/>
    <d v="2023-07-10T19:01:40"/>
    <m/>
    <d v="2023-07-10T00:00:00"/>
    <n v="1431"/>
    <n v="19284"/>
    <s v="61075463"/>
    <s v="61075463"/>
    <m/>
    <m/>
    <n v="22783938"/>
    <m/>
    <m/>
    <m/>
    <s v="SOLFIN"/>
    <s v="SOLFIN"/>
    <s v="CCMS"/>
    <n v="21349492"/>
    <n v="6085.21"/>
    <m/>
    <s v="N"/>
    <n v="11"/>
    <d v="2023-07-10T19:01:51"/>
    <s v="Y"/>
    <s v="Hearing Unit 2.31 - 5.00 Hours"/>
    <s v="Public Law Children"/>
    <s v="Advocacy"/>
    <s v="po"/>
    <s v="Y"/>
    <n v="476.92"/>
    <n v="95.38"/>
    <x v="2"/>
    <s v="VALIDATED"/>
    <n v="1"/>
    <s v="01.11.80.308.6100.0000"/>
    <n v="476.92"/>
    <s v="11"/>
    <s v="6100"/>
    <n v="1195.25"/>
    <n v="476.92"/>
    <s v="CREDITOR"/>
    <n v="0"/>
    <n v="0"/>
    <n v="0"/>
    <n v="0"/>
    <n v="476.92"/>
  </r>
  <r>
    <n v="60935626"/>
    <s v="N"/>
    <n v="21343583"/>
    <s v="3000015152520012"/>
    <s v="CIVIL"/>
    <d v="2023-06-28T00:00:00"/>
    <d v="2023-07-07T19:03:00"/>
    <m/>
    <d v="2023-07-07T00:00:00"/>
    <n v="1431"/>
    <n v="19284"/>
    <s v="60935626"/>
    <s v="60935626"/>
    <m/>
    <m/>
    <n v="22780268"/>
    <m/>
    <m/>
    <m/>
    <s v="SOLFIN"/>
    <s v="SOLFIN"/>
    <s v="CCMS"/>
    <n v="21343583"/>
    <n v="6962.45"/>
    <m/>
    <s v="N"/>
    <n v="54"/>
    <d v="2023-07-07T19:03:10"/>
    <s v="Y"/>
    <s v="Report - other"/>
    <s v="Care Remuneration Hourly Rates"/>
    <s v="Profit Cost"/>
    <s v="mb"/>
    <s v="Y"/>
    <n v="146.03"/>
    <n v="29.21"/>
    <x v="9"/>
    <s v="VALIDATED"/>
    <n v="1"/>
    <s v="01.11.80.305.6100.0000"/>
    <n v="146.03"/>
    <s v="11"/>
    <s v="6100"/>
    <n v="1195.25"/>
    <n v="146.03"/>
    <s v="CREDITOR"/>
    <n v="0"/>
    <n v="0"/>
    <n v="0"/>
    <n v="0"/>
    <n v="146.03"/>
  </r>
  <r>
    <n v="19720003"/>
    <s v="N"/>
    <n v="21327487"/>
    <s v="3000008312410046"/>
    <s v="CIVIL"/>
    <d v="2023-06-28T00:00:00"/>
    <d v="2023-07-04T19:00:44"/>
    <m/>
    <d v="2023-07-04T00:00:00"/>
    <n v="1431"/>
    <n v="19284"/>
    <s v="19720003"/>
    <s v="19720003"/>
    <m/>
    <m/>
    <n v="22777390"/>
    <m/>
    <m/>
    <m/>
    <s v="SOLFIN"/>
    <s v="SOLFIN"/>
    <s v="CCMS"/>
    <n v="21327487"/>
    <n v="37017.9"/>
    <m/>
    <s v="N"/>
    <n v="2"/>
    <d v="2023-07-04T19:00:48"/>
    <s v="Y"/>
    <s v="Toxicologist"/>
    <s v="VHCC"/>
    <s v="Expert Disbursement"/>
    <s v="rd"/>
    <s v="Y"/>
    <n v="209.4"/>
    <n v="41.88"/>
    <x v="1"/>
    <s v="VALIDATED"/>
    <n v="1"/>
    <s v="01.11.80.308.6300.0000"/>
    <n v="209.4"/>
    <s v="11"/>
    <s v="6300"/>
    <n v="1195.25"/>
    <n v="209.4"/>
    <s v="CREDITOR"/>
    <n v="0"/>
    <n v="0"/>
    <n v="0"/>
    <n v="0"/>
    <n v="209.4"/>
  </r>
  <r>
    <n v="61075463"/>
    <s v="N"/>
    <n v="21349492"/>
    <s v="3000015271740008"/>
    <s v="CIVIL"/>
    <d v="2023-06-28T00:00:00"/>
    <d v="2023-07-10T19:01:40"/>
    <m/>
    <d v="2023-07-10T00:00:00"/>
    <n v="1431"/>
    <n v="19284"/>
    <s v="61075463"/>
    <s v="61075463"/>
    <m/>
    <m/>
    <n v="22783938"/>
    <m/>
    <m/>
    <m/>
    <s v="SOLFIN"/>
    <s v="SOLFIN"/>
    <s v="CCMS"/>
    <n v="21349492"/>
    <n v="6085.21"/>
    <m/>
    <s v="N"/>
    <n v="4"/>
    <d v="2023-07-10T19:01:51"/>
    <s v="Y"/>
    <s v="Solicitor Travel Mileage"/>
    <s v="Public Law Children"/>
    <s v="Non Expert Disbursement"/>
    <s v="po"/>
    <s v="Y"/>
    <n v="30.6"/>
    <n v="6.12"/>
    <x v="2"/>
    <s v="VALIDATED"/>
    <n v="1"/>
    <s v="01.11.80.308.6300.0000"/>
    <n v="30.6"/>
    <s v="11"/>
    <s v="6300"/>
    <n v="1195.25"/>
    <n v="30.6"/>
    <s v="CREDITOR"/>
    <n v="0"/>
    <n v="0"/>
    <n v="0"/>
    <n v="0"/>
    <n v="30.6"/>
  </r>
  <r>
    <n v="60935626"/>
    <s v="N"/>
    <n v="21343583"/>
    <s v="3000015152520012"/>
    <s v="CIVIL"/>
    <d v="2023-06-28T00:00:00"/>
    <d v="2023-07-07T19:03:00"/>
    <m/>
    <d v="2023-07-07T00:00:00"/>
    <n v="1431"/>
    <n v="19284"/>
    <s v="60935626"/>
    <s v="60935626"/>
    <m/>
    <m/>
    <n v="22780268"/>
    <m/>
    <m/>
    <m/>
    <s v="SOLFIN"/>
    <s v="SOLFIN"/>
    <s v="CCMS"/>
    <n v="21343583"/>
    <n v="6962.45"/>
    <m/>
    <s v="N"/>
    <n v="50"/>
    <d v="2023-07-07T19:03:10"/>
    <s v="Y"/>
    <s v="Preparation - drafting statement"/>
    <s v="Care Remuneration Hourly Rates"/>
    <s v="Profit Cost"/>
    <s v="mb"/>
    <s v="Y"/>
    <n v="29.21"/>
    <n v="5.84"/>
    <x v="9"/>
    <s v="VALIDATED"/>
    <n v="1"/>
    <s v="01.11.80.305.6100.0000"/>
    <n v="29.21"/>
    <s v="11"/>
    <s v="6100"/>
    <n v="1195.25"/>
    <n v="29.21"/>
    <s v="CREDITOR"/>
    <n v="0"/>
    <n v="0"/>
    <n v="0"/>
    <n v="0"/>
    <n v="29.21"/>
  </r>
  <r>
    <n v="60935626"/>
    <s v="N"/>
    <n v="21343583"/>
    <s v="3000015152520012"/>
    <s v="CIVIL"/>
    <d v="2023-06-28T00:00:00"/>
    <d v="2023-07-07T19:03:00"/>
    <m/>
    <d v="2023-07-07T00:00:00"/>
    <n v="1431"/>
    <n v="19284"/>
    <s v="60935626"/>
    <s v="60935626"/>
    <m/>
    <m/>
    <n v="22780268"/>
    <m/>
    <m/>
    <m/>
    <s v="SOLFIN"/>
    <s v="SOLFIN"/>
    <s v="CCMS"/>
    <n v="21343583"/>
    <n v="6962.45"/>
    <m/>
    <s v="N"/>
    <n v="65"/>
    <d v="2023-07-07T19:03:10"/>
    <s v="Y"/>
    <s v="Report - other"/>
    <s v="Care Remuneration Hourly Rates"/>
    <s v="Profit Cost"/>
    <s v="mb"/>
    <s v="Y"/>
    <n v="46.73"/>
    <n v="9.35"/>
    <x v="9"/>
    <s v="VALIDATED"/>
    <n v="1"/>
    <s v="01.11.80.305.6100.0000"/>
    <n v="46.73"/>
    <s v="11"/>
    <s v="6100"/>
    <n v="1195.25"/>
    <n v="46.73"/>
    <s v="CREDITOR"/>
    <n v="0"/>
    <n v="0"/>
    <n v="0"/>
    <n v="0"/>
    <n v="46.73"/>
  </r>
  <r>
    <n v="60935626"/>
    <s v="N"/>
    <n v="21343583"/>
    <s v="3000015152520012"/>
    <s v="CIVIL"/>
    <d v="2023-06-28T00:00:00"/>
    <d v="2023-07-07T19:03:00"/>
    <m/>
    <d v="2023-07-07T00:00:00"/>
    <n v="1431"/>
    <n v="19284"/>
    <s v="60935626"/>
    <s v="60935626"/>
    <m/>
    <m/>
    <n v="22780268"/>
    <m/>
    <m/>
    <m/>
    <s v="SOLFIN"/>
    <s v="SOLFIN"/>
    <s v="CCMS"/>
    <n v="21343583"/>
    <n v="6962.45"/>
    <m/>
    <s v="N"/>
    <n v="80"/>
    <d v="2023-07-07T19:03:10"/>
    <s v="Y"/>
    <s v="Advocates Meeting"/>
    <s v="Other Public Law Children"/>
    <s v="Advocacy"/>
    <s v="mb"/>
    <s v="Y"/>
    <n v="140.99"/>
    <n v="28.2"/>
    <x v="9"/>
    <s v="VALIDATED"/>
    <n v="1"/>
    <s v="01.11.80.305.6100.0000"/>
    <n v="140.99"/>
    <s v="11"/>
    <s v="6100"/>
    <n v="1195.25"/>
    <n v="140.99"/>
    <s v="CREDITOR"/>
    <n v="0"/>
    <n v="0"/>
    <n v="0"/>
    <n v="0"/>
    <n v="140.99"/>
  </r>
  <r>
    <n v="60935626"/>
    <s v="N"/>
    <n v="21343583"/>
    <s v="3000015152520012"/>
    <s v="CIVIL"/>
    <d v="2023-06-28T00:00:00"/>
    <d v="2023-07-07T19:03:00"/>
    <m/>
    <d v="2023-07-07T00:00:00"/>
    <n v="1431"/>
    <n v="19284"/>
    <s v="60935626"/>
    <s v="60935626"/>
    <m/>
    <m/>
    <n v="22780268"/>
    <m/>
    <m/>
    <m/>
    <s v="SOLFIN"/>
    <s v="SOLFIN"/>
    <s v="CCMS"/>
    <n v="21343583"/>
    <n v="6962.45"/>
    <m/>
    <s v="N"/>
    <n v="22"/>
    <d v="2023-07-07T19:03:10"/>
    <s v="Y"/>
    <s v="Preparation - drafting bill/claim f"/>
    <s v="Care Remuneration Hourly Rates"/>
    <s v="Profit Cost"/>
    <s v="slw"/>
    <s v="Y"/>
    <n v="13.43"/>
    <n v="2.69"/>
    <x v="9"/>
    <s v="VALIDATED"/>
    <n v="1"/>
    <s v="01.11.80.305.6100.0000"/>
    <n v="13.43"/>
    <s v="11"/>
    <s v="6100"/>
    <n v="1195.25"/>
    <n v="13.43"/>
    <s v="CREDITOR"/>
    <n v="0"/>
    <n v="0"/>
    <n v="0"/>
    <n v="0"/>
    <n v="13.43"/>
  </r>
  <r>
    <n v="19720003"/>
    <s v="N"/>
    <n v="21327487"/>
    <s v="3000008312410046"/>
    <s v="CIVIL"/>
    <d v="2023-06-28T00:00:00"/>
    <d v="2023-07-04T19:00:44"/>
    <m/>
    <d v="2023-07-04T00:00:00"/>
    <n v="1431"/>
    <n v="19284"/>
    <s v="19720003"/>
    <s v="19720003"/>
    <m/>
    <m/>
    <n v="22777390"/>
    <m/>
    <m/>
    <m/>
    <s v="SOLFIN"/>
    <s v="SOLFIN"/>
    <s v="CCMS"/>
    <n v="21327487"/>
    <n v="37017.9"/>
    <m/>
    <s v="N"/>
    <n v="29"/>
    <d v="2023-07-04T19:00:48"/>
    <s v="Y"/>
    <s v="Toxicologist"/>
    <s v="VHCC"/>
    <s v="Expert Disbursement"/>
    <s v="rd"/>
    <s v="Y"/>
    <n v="141.25"/>
    <n v="28.25"/>
    <x v="1"/>
    <s v="VALIDATED"/>
    <n v="1"/>
    <s v="01.11.80.308.6300.0000"/>
    <n v="141.25"/>
    <s v="11"/>
    <s v="6300"/>
    <n v="1195.25"/>
    <n v="141.25"/>
    <s v="CREDITOR"/>
    <n v="0"/>
    <n v="0"/>
    <n v="0"/>
    <n v="0"/>
    <n v="141.25"/>
  </r>
  <r>
    <n v="60935626"/>
    <s v="N"/>
    <n v="21343583"/>
    <s v="3000015152520012"/>
    <s v="CIVIL"/>
    <d v="2023-06-28T00:00:00"/>
    <d v="2023-07-07T19:03:00"/>
    <m/>
    <d v="2023-07-07T00:00:00"/>
    <n v="1431"/>
    <n v="19284"/>
    <s v="60935626"/>
    <s v="60935626"/>
    <m/>
    <m/>
    <n v="22780268"/>
    <m/>
    <m/>
    <m/>
    <s v="SOLFIN"/>
    <s v="SOLFIN"/>
    <s v="CCMS"/>
    <n v="21343583"/>
    <n v="6962.45"/>
    <m/>
    <s v="N"/>
    <n v="71"/>
    <d v="2023-07-07T19:03:10"/>
    <s v="Y"/>
    <s v="Routine Letter In"/>
    <s v="Care Remuneration Hourly Rates"/>
    <s v="Profit Cost"/>
    <s v="mb"/>
    <s v="Y"/>
    <n v="543.9"/>
    <n v="108.78"/>
    <x v="9"/>
    <s v="VALIDATED"/>
    <n v="1"/>
    <s v="01.11.80.305.6100.0000"/>
    <n v="543.9"/>
    <s v="11"/>
    <s v="6100"/>
    <n v="1195.25"/>
    <n v="543.9"/>
    <s v="CREDITOR"/>
    <n v="0"/>
    <n v="0"/>
    <n v="0"/>
    <n v="0"/>
    <n v="543.9"/>
  </r>
  <r>
    <n v="60935626"/>
    <s v="N"/>
    <n v="21343583"/>
    <s v="3000015152520012"/>
    <s v="CIVIL"/>
    <d v="2023-06-28T00:00:00"/>
    <d v="2023-07-07T19:03:00"/>
    <m/>
    <d v="2023-07-07T00:00:00"/>
    <n v="1431"/>
    <n v="19284"/>
    <s v="60935626"/>
    <s v="60935626"/>
    <m/>
    <m/>
    <n v="22780268"/>
    <m/>
    <m/>
    <m/>
    <s v="SOLFIN"/>
    <s v="SOLFIN"/>
    <s v="CCMS"/>
    <n v="21343583"/>
    <n v="6962.45"/>
    <m/>
    <s v="N"/>
    <n v="19"/>
    <d v="2023-07-07T19:03:10"/>
    <s v="Y"/>
    <s v="Preparation - other"/>
    <s v="Care Remuneration Hourly Rates"/>
    <s v="Profit Cost"/>
    <s v="slw"/>
    <s v="Y"/>
    <n v="6.72"/>
    <n v="1.34"/>
    <x v="9"/>
    <s v="VALIDATED"/>
    <n v="1"/>
    <s v="01.11.80.305.6100.0000"/>
    <n v="6.72"/>
    <s v="11"/>
    <s v="6100"/>
    <n v="1195.25"/>
    <n v="6.72"/>
    <s v="CREDITOR"/>
    <n v="0"/>
    <n v="0"/>
    <n v="0"/>
    <n v="0"/>
    <n v="6.72"/>
  </r>
  <r>
    <n v="60935626"/>
    <s v="N"/>
    <n v="21343583"/>
    <s v="3000015152520012"/>
    <s v="CIVIL"/>
    <d v="2023-06-28T00:00:00"/>
    <d v="2023-07-07T19:03:00"/>
    <m/>
    <d v="2023-07-07T00:00:00"/>
    <n v="1431"/>
    <n v="19284"/>
    <s v="60935626"/>
    <s v="60935626"/>
    <m/>
    <m/>
    <n v="22780268"/>
    <m/>
    <m/>
    <m/>
    <s v="SOLFIN"/>
    <s v="SOLFIN"/>
    <s v="CCMS"/>
    <n v="21343583"/>
    <n v="6962.45"/>
    <m/>
    <s v="N"/>
    <n v="25"/>
    <d v="2023-07-07T19:03:10"/>
    <s v="Y"/>
    <s v="Attendance upon client"/>
    <s v="Care Remuneration Hourly Rates"/>
    <s v="Profit Cost"/>
    <s v="mb"/>
    <s v="Y"/>
    <n v="17.52"/>
    <n v="3.5"/>
    <x v="9"/>
    <s v="VALIDATED"/>
    <n v="1"/>
    <s v="01.11.80.305.6100.0000"/>
    <n v="17.52"/>
    <s v="11"/>
    <s v="6100"/>
    <n v="1195.25"/>
    <n v="17.52"/>
    <s v="CREDITOR"/>
    <n v="0"/>
    <n v="0"/>
    <n v="0"/>
    <n v="0"/>
    <n v="17.52"/>
  </r>
  <r>
    <n v="19720003"/>
    <s v="N"/>
    <n v="21327487"/>
    <s v="3000008312410046"/>
    <s v="CIVIL"/>
    <d v="2023-06-28T00:00:00"/>
    <d v="2023-07-04T19:00:44"/>
    <m/>
    <d v="2023-07-04T00:00:00"/>
    <n v="1431"/>
    <n v="19284"/>
    <s v="19720003"/>
    <s v="19720003"/>
    <m/>
    <m/>
    <n v="22777390"/>
    <m/>
    <m/>
    <m/>
    <s v="SOLFIN"/>
    <s v="SOLFIN"/>
    <s v="CCMS"/>
    <n v="21327487"/>
    <n v="37017.9"/>
    <m/>
    <s v="N"/>
    <n v="7"/>
    <d v="2023-07-04T19:00:48"/>
    <s v="Y"/>
    <s v="Independent Social Worker"/>
    <s v="VHCC"/>
    <s v="Expert Disbursement"/>
    <s v="rd"/>
    <s v="Y"/>
    <n v="353.9"/>
    <n v="0"/>
    <x v="1"/>
    <s v="VALIDATED"/>
    <n v="1"/>
    <s v="01.11.80.308.6300.0000"/>
    <n v="353.9"/>
    <s v="11"/>
    <s v="6300"/>
    <n v="1195.25"/>
    <n v="353.9"/>
    <s v="CREDITOR"/>
    <n v="0"/>
    <n v="0"/>
    <n v="0"/>
    <n v="0"/>
    <n v="353.9"/>
  </r>
  <r>
    <n v="60935626"/>
    <s v="N"/>
    <n v="21343583"/>
    <s v="3000015152520012"/>
    <s v="CIVIL"/>
    <d v="2023-06-28T00:00:00"/>
    <d v="2023-07-07T19:03:00"/>
    <m/>
    <d v="2023-07-07T00:00:00"/>
    <n v="1431"/>
    <n v="19284"/>
    <s v="60935626"/>
    <s v="60935626"/>
    <m/>
    <m/>
    <n v="22780268"/>
    <m/>
    <m/>
    <m/>
    <s v="SOLFIN"/>
    <s v="SOLFIN"/>
    <s v="CCMS"/>
    <n v="21343583"/>
    <n v="6962.45"/>
    <m/>
    <s v="N"/>
    <n v="47"/>
    <d v="2023-07-07T19:03:10"/>
    <s v="Y"/>
    <s v="Preparation - other"/>
    <s v="Care Remuneration Hourly Rates"/>
    <s v="Profit Cost"/>
    <s v="slw"/>
    <s v="Y"/>
    <n v="33.59"/>
    <n v="6.72"/>
    <x v="9"/>
    <s v="VALIDATED"/>
    <n v="1"/>
    <s v="01.11.80.305.6100.0000"/>
    <n v="33.59"/>
    <s v="11"/>
    <s v="6100"/>
    <n v="1195.25"/>
    <n v="33.59"/>
    <s v="CREDITOR"/>
    <n v="0"/>
    <n v="0"/>
    <n v="0"/>
    <n v="0"/>
    <n v="33.59"/>
  </r>
  <r>
    <n v="60935626"/>
    <s v="N"/>
    <n v="21343583"/>
    <s v="3000015152520012"/>
    <s v="CIVIL"/>
    <d v="2023-06-28T00:00:00"/>
    <d v="2023-07-07T19:03:00"/>
    <m/>
    <d v="2023-07-07T00:00:00"/>
    <n v="1431"/>
    <n v="19284"/>
    <s v="60935626"/>
    <s v="60935626"/>
    <m/>
    <m/>
    <n v="22780268"/>
    <m/>
    <m/>
    <m/>
    <s v="SOLFIN"/>
    <s v="SOLFIN"/>
    <s v="CCMS"/>
    <n v="21343583"/>
    <n v="6962.45"/>
    <m/>
    <s v="N"/>
    <n v="73"/>
    <d v="2023-07-07T19:03:10"/>
    <s v="Y"/>
    <s v="Preparation - other"/>
    <s v="Care Remuneration Hourly Rates"/>
    <s v="Profit Cost"/>
    <s v="slw"/>
    <s v="Y"/>
    <n v="26.86"/>
    <n v="5.37"/>
    <x v="9"/>
    <s v="VALIDATED"/>
    <n v="1"/>
    <s v="01.11.80.305.6100.0000"/>
    <n v="26.86"/>
    <s v="11"/>
    <s v="6100"/>
    <n v="1195.25"/>
    <n v="26.86"/>
    <s v="CREDITOR"/>
    <n v="0"/>
    <n v="0"/>
    <n v="0"/>
    <n v="0"/>
    <n v="26.86"/>
  </r>
  <r>
    <n v="61670793"/>
    <s v="N"/>
    <n v="21331271"/>
    <s v="3000015767770007"/>
    <s v="CIVIL"/>
    <d v="2023-06-27T00:00:00"/>
    <d v="2023-07-05T19:01:47"/>
    <m/>
    <d v="2023-07-05T00:00:00"/>
    <n v="1431"/>
    <n v="19284"/>
    <s v="61670793"/>
    <s v="61670793"/>
    <m/>
    <m/>
    <n v="22766726"/>
    <m/>
    <m/>
    <m/>
    <s v="SOLFIN"/>
    <s v="SOLFIN"/>
    <s v="CCMS"/>
    <n v="21331271"/>
    <n v="3106.61"/>
    <m/>
    <s v="N"/>
    <n v="4"/>
    <d v="2023-07-05T19:02:12"/>
    <s v="Y"/>
    <s v="Preparation - drafting application"/>
    <s v="Care Remuneration Hourly Rates"/>
    <s v="Profit Cost"/>
    <s v="mb"/>
    <s v="Y"/>
    <n v="21.03"/>
    <n v="4.21"/>
    <x v="6"/>
    <s v="VALIDATED"/>
    <n v="1"/>
    <s v="01.11.80.305.6100.0000"/>
    <n v="21.03"/>
    <s v="11"/>
    <s v="6100"/>
    <n v="1195.25"/>
    <n v="21.03"/>
    <s v="CREDITOR"/>
    <n v="0"/>
    <n v="0"/>
    <n v="0"/>
    <n v="0"/>
    <n v="21.03"/>
  </r>
  <r>
    <n v="61670793"/>
    <s v="N"/>
    <n v="21331271"/>
    <s v="3000015767770007"/>
    <s v="CIVIL"/>
    <d v="2023-06-27T00:00:00"/>
    <d v="2023-07-05T19:01:47"/>
    <m/>
    <d v="2023-07-05T00:00:00"/>
    <n v="1431"/>
    <n v="19284"/>
    <s v="61670793"/>
    <s v="61670793"/>
    <m/>
    <m/>
    <n v="22766726"/>
    <m/>
    <m/>
    <m/>
    <s v="SOLFIN"/>
    <s v="SOLFIN"/>
    <s v="CCMS"/>
    <n v="21331271"/>
    <n v="3106.61"/>
    <m/>
    <s v="N"/>
    <n v="13"/>
    <d v="2023-07-05T19:02:12"/>
    <s v="Y"/>
    <s v="Routine Letter In"/>
    <s v="Care Remuneration Hourly Rates"/>
    <s v="Profit Cost"/>
    <s v="mb"/>
    <s v="Y"/>
    <n v="64.75"/>
    <n v="12.95"/>
    <x v="6"/>
    <s v="VALIDATED"/>
    <n v="1"/>
    <s v="01.11.80.305.6100.0000"/>
    <n v="64.75"/>
    <s v="11"/>
    <s v="6100"/>
    <n v="1195.25"/>
    <n v="64.75"/>
    <s v="CREDITOR"/>
    <n v="0"/>
    <n v="0"/>
    <n v="0"/>
    <n v="0"/>
    <n v="64.75"/>
  </r>
  <r>
    <n v="60935626"/>
    <s v="N"/>
    <n v="21343583"/>
    <s v="3000015152520012"/>
    <s v="CIVIL"/>
    <d v="2023-06-28T00:00:00"/>
    <d v="2023-07-07T19:03:00"/>
    <m/>
    <d v="2023-07-07T00:00:00"/>
    <n v="1431"/>
    <n v="19284"/>
    <s v="60935626"/>
    <s v="60935626"/>
    <m/>
    <m/>
    <n v="22780268"/>
    <m/>
    <m/>
    <m/>
    <s v="SOLFIN"/>
    <s v="SOLFIN"/>
    <s v="CCMS"/>
    <n v="21343583"/>
    <n v="6962.45"/>
    <m/>
    <s v="N"/>
    <n v="59"/>
    <d v="2023-07-07T19:03:10"/>
    <s v="Y"/>
    <s v="Preparation - drafting bill/claim f"/>
    <s v="Care Remuneration Hourly Rates"/>
    <s v="Profit Cost"/>
    <s v="sb"/>
    <s v="Y"/>
    <n v="11.68"/>
    <n v="2.34"/>
    <x v="9"/>
    <s v="VALIDATED"/>
    <n v="1"/>
    <s v="01.11.80.305.6100.0000"/>
    <n v="11.68"/>
    <s v="11"/>
    <s v="6100"/>
    <n v="1195.25"/>
    <n v="11.68"/>
    <s v="CREDITOR"/>
    <n v="0"/>
    <n v="0"/>
    <n v="0"/>
    <n v="0"/>
    <n v="11.68"/>
  </r>
  <r>
    <n v="60935626"/>
    <s v="N"/>
    <n v="21343583"/>
    <s v="3000015152520012"/>
    <s v="CIVIL"/>
    <d v="2023-06-28T00:00:00"/>
    <d v="2023-07-07T19:03:00"/>
    <m/>
    <d v="2023-07-07T00:00:00"/>
    <n v="1431"/>
    <n v="19284"/>
    <s v="60935626"/>
    <s v="60935626"/>
    <m/>
    <m/>
    <n v="22780268"/>
    <m/>
    <m/>
    <m/>
    <s v="SOLFIN"/>
    <s v="SOLFIN"/>
    <s v="CCMS"/>
    <n v="21343583"/>
    <n v="6962.45"/>
    <m/>
    <s v="N"/>
    <n v="17"/>
    <d v="2023-07-07T19:03:10"/>
    <s v="Y"/>
    <s v="Preparation - drafting instructions"/>
    <s v="Care Remuneration Hourly Rates"/>
    <s v="Profit Cost"/>
    <s v="mb"/>
    <s v="Y"/>
    <n v="17.52"/>
    <n v="3.5"/>
    <x v="9"/>
    <s v="VALIDATED"/>
    <n v="1"/>
    <s v="01.11.80.305.6100.0000"/>
    <n v="17.52"/>
    <s v="11"/>
    <s v="6100"/>
    <n v="1195.25"/>
    <n v="17.52"/>
    <s v="CREDITOR"/>
    <n v="0"/>
    <n v="0"/>
    <n v="0"/>
    <n v="0"/>
    <n v="17.52"/>
  </r>
  <r>
    <n v="61075463"/>
    <s v="N"/>
    <n v="21349492"/>
    <s v="3000015271740008"/>
    <s v="CIVIL"/>
    <d v="2023-06-28T00:00:00"/>
    <d v="2023-07-10T19:01:40"/>
    <m/>
    <d v="2023-07-10T00:00:00"/>
    <n v="1431"/>
    <n v="19284"/>
    <s v="61075463"/>
    <s v="61075463"/>
    <m/>
    <m/>
    <n v="22783938"/>
    <m/>
    <m/>
    <m/>
    <s v="SOLFIN"/>
    <s v="SOLFIN"/>
    <s v="CCMS"/>
    <n v="21349492"/>
    <n v="6085.21"/>
    <m/>
    <s v="N"/>
    <n v="10"/>
    <d v="2023-07-10T19:01:51"/>
    <s v="Y"/>
    <s v="Final Hearing - 1 Day"/>
    <s v="Public Law Children"/>
    <s v="Advocacy"/>
    <s v="po"/>
    <s v="Y"/>
    <n v="556.88"/>
    <n v="111.38"/>
    <x v="2"/>
    <s v="VALIDATED"/>
    <n v="1"/>
    <s v="01.11.80.308.6100.0000"/>
    <n v="556.88"/>
    <s v="11"/>
    <s v="6100"/>
    <n v="1195.25"/>
    <n v="556.88"/>
    <s v="CREDITOR"/>
    <n v="0"/>
    <n v="0"/>
    <n v="0"/>
    <n v="0"/>
    <n v="556.88"/>
  </r>
  <r>
    <n v="60935626"/>
    <s v="N"/>
    <n v="21343583"/>
    <s v="3000015152520012"/>
    <s v="CIVIL"/>
    <d v="2023-06-28T00:00:00"/>
    <d v="2023-07-07T19:03:00"/>
    <m/>
    <d v="2023-07-07T00:00:00"/>
    <n v="1431"/>
    <n v="19284"/>
    <s v="60935626"/>
    <s v="60935626"/>
    <m/>
    <m/>
    <n v="22780268"/>
    <m/>
    <m/>
    <m/>
    <s v="SOLFIN"/>
    <s v="SOLFIN"/>
    <s v="CCMS"/>
    <n v="21343583"/>
    <n v="6962.45"/>
    <m/>
    <s v="N"/>
    <n v="72"/>
    <d v="2023-07-07T19:03:10"/>
    <s v="Y"/>
    <s v="Advocacy - In court behind counsel"/>
    <s v="Care Remuneration Hourly Rates"/>
    <s v="Advocacy"/>
    <s v="mb"/>
    <s v="Y"/>
    <n v="98.01000000000001"/>
    <n v="19.6"/>
    <x v="9"/>
    <s v="VALIDATED"/>
    <n v="1"/>
    <s v="01.11.80.305.6100.0000"/>
    <n v="98.01000000000001"/>
    <s v="11"/>
    <s v="6100"/>
    <n v="1195.25"/>
    <n v="98.01000000000001"/>
    <s v="CREDITOR"/>
    <n v="0"/>
    <n v="0"/>
    <n v="0"/>
    <n v="0"/>
    <n v="98.01000000000001"/>
  </r>
  <r>
    <n v="19720003"/>
    <s v="N"/>
    <n v="21327487"/>
    <s v="3000008312410046"/>
    <s v="CIVIL"/>
    <d v="2023-06-28T00:00:00"/>
    <d v="2023-07-04T19:00:44"/>
    <m/>
    <d v="2023-07-04T00:00:00"/>
    <n v="1431"/>
    <n v="19284"/>
    <s v="19720003"/>
    <s v="19720003"/>
    <m/>
    <m/>
    <n v="22777390"/>
    <m/>
    <m/>
    <m/>
    <s v="SOLFIN"/>
    <s v="SOLFIN"/>
    <s v="CCMS"/>
    <n v="21327487"/>
    <n v="37017.9"/>
    <m/>
    <s v="N"/>
    <n v="1"/>
    <d v="2023-07-04T19:00:48"/>
    <s v="Y"/>
    <s v="Toxicologist"/>
    <s v="VHCC"/>
    <s v="Expert Disbursement"/>
    <s v="rd"/>
    <s v="Y"/>
    <n v="229.2"/>
    <n v="45.84"/>
    <x v="1"/>
    <s v="VALIDATED"/>
    <n v="1"/>
    <s v="01.11.80.308.6300.0000"/>
    <n v="229.2"/>
    <s v="11"/>
    <s v="6300"/>
    <n v="1195.25"/>
    <n v="229.2"/>
    <s v="CREDITOR"/>
    <n v="0"/>
    <n v="0"/>
    <n v="0"/>
    <n v="0"/>
    <n v="229.2"/>
  </r>
  <r>
    <n v="60935626"/>
    <s v="N"/>
    <n v="21343583"/>
    <s v="3000015152520012"/>
    <s v="CIVIL"/>
    <d v="2023-06-28T00:00:00"/>
    <d v="2023-07-07T19:03:00"/>
    <m/>
    <d v="2023-07-07T00:00:00"/>
    <n v="1431"/>
    <n v="19284"/>
    <s v="60935626"/>
    <s v="60935626"/>
    <m/>
    <m/>
    <n v="22780268"/>
    <m/>
    <m/>
    <m/>
    <s v="SOLFIN"/>
    <s v="SOLFIN"/>
    <s v="CCMS"/>
    <n v="21343583"/>
    <n v="6962.45"/>
    <m/>
    <s v="N"/>
    <n v="38"/>
    <d v="2023-07-07T19:03:10"/>
    <s v="Y"/>
    <s v="Preparation - drafting pleadings"/>
    <s v="Care Remuneration Hourly Rates"/>
    <s v="Profit Cost"/>
    <s v="slw"/>
    <s v="Y"/>
    <n v="26.86"/>
    <n v="5.37"/>
    <x v="9"/>
    <s v="VALIDATED"/>
    <n v="1"/>
    <s v="01.11.80.305.6100.0000"/>
    <n v="26.86"/>
    <s v="11"/>
    <s v="6100"/>
    <n v="1195.25"/>
    <n v="26.86"/>
    <s v="CREDITOR"/>
    <n v="0"/>
    <n v="0"/>
    <n v="0"/>
    <n v="0"/>
    <n v="26.86"/>
  </r>
  <r>
    <n v="60935626"/>
    <s v="N"/>
    <n v="21343583"/>
    <s v="3000015152520012"/>
    <s v="CIVIL"/>
    <d v="2023-06-28T00:00:00"/>
    <d v="2023-07-07T19:03:00"/>
    <m/>
    <d v="2023-07-07T00:00:00"/>
    <n v="1431"/>
    <n v="19284"/>
    <s v="60935626"/>
    <s v="60935626"/>
    <m/>
    <m/>
    <n v="22780268"/>
    <m/>
    <m/>
    <m/>
    <s v="SOLFIN"/>
    <s v="SOLFIN"/>
    <s v="CCMS"/>
    <n v="21343583"/>
    <n v="6962.45"/>
    <m/>
    <s v="N"/>
    <n v="11"/>
    <d v="2023-07-07T19:03:10"/>
    <s v="Y"/>
    <s v="Report - other"/>
    <s v="Care Remuneration Hourly Rates"/>
    <s v="Profit Cost"/>
    <s v="mb"/>
    <s v="Y"/>
    <n v="87.62"/>
    <n v="17.52"/>
    <x v="9"/>
    <s v="VALIDATED"/>
    <n v="1"/>
    <s v="01.11.80.305.6100.0000"/>
    <n v="87.62"/>
    <s v="11"/>
    <s v="6100"/>
    <n v="1195.25"/>
    <n v="87.62"/>
    <s v="CREDITOR"/>
    <n v="0"/>
    <n v="0"/>
    <n v="0"/>
    <n v="0"/>
    <n v="87.62"/>
  </r>
  <r>
    <n v="60935626"/>
    <s v="N"/>
    <n v="21343583"/>
    <s v="3000015152520012"/>
    <s v="CIVIL"/>
    <d v="2023-06-28T00:00:00"/>
    <d v="2023-07-07T19:03:00"/>
    <m/>
    <d v="2023-07-07T00:00:00"/>
    <n v="1431"/>
    <n v="19284"/>
    <s v="60935626"/>
    <s v="60935626"/>
    <m/>
    <m/>
    <n v="22780268"/>
    <m/>
    <m/>
    <m/>
    <s v="SOLFIN"/>
    <s v="SOLFIN"/>
    <s v="CCMS"/>
    <n v="21343583"/>
    <n v="6962.45"/>
    <m/>
    <s v="N"/>
    <n v="21"/>
    <d v="2023-07-07T19:03:10"/>
    <s v="Y"/>
    <s v="Preparation - drafting statement"/>
    <s v="Care Remuneration Hourly Rates"/>
    <s v="Profit Cost"/>
    <s v="mb"/>
    <s v="Y"/>
    <n v="58.41"/>
    <n v="11.68"/>
    <x v="9"/>
    <s v="VALIDATED"/>
    <n v="1"/>
    <s v="01.11.80.305.6100.0000"/>
    <n v="58.41"/>
    <s v="11"/>
    <s v="6100"/>
    <n v="1195.25"/>
    <n v="58.41"/>
    <s v="CREDITOR"/>
    <n v="0"/>
    <n v="0"/>
    <n v="0"/>
    <n v="0"/>
    <n v="58.41"/>
  </r>
  <r>
    <n v="61075463"/>
    <s v="N"/>
    <n v="21349492"/>
    <s v="3000015271740008"/>
    <s v="CIVIL"/>
    <d v="2023-06-28T00:00:00"/>
    <d v="2023-07-10T19:01:40"/>
    <m/>
    <d v="2023-07-10T00:00:00"/>
    <n v="1431"/>
    <n v="19284"/>
    <s v="61075463"/>
    <s v="61075463"/>
    <m/>
    <m/>
    <n v="22783938"/>
    <m/>
    <m/>
    <m/>
    <s v="SOLFIN"/>
    <s v="SOLFIN"/>
    <s v="CCMS"/>
    <n v="21349492"/>
    <n v="6085.21"/>
    <m/>
    <s v="N"/>
    <n v="12"/>
    <d v="2023-07-10T19:01:51"/>
    <s v="Y"/>
    <s v="Hearing Unit 2.31 - 5.00 Hours"/>
    <s v="Public Law Children"/>
    <s v="Advocacy"/>
    <s v="rd"/>
    <s v="Y"/>
    <n v="476.92"/>
    <n v="95.38"/>
    <x v="2"/>
    <s v="VALIDATED"/>
    <n v="1"/>
    <s v="01.11.80.308.6100.0000"/>
    <n v="476.92"/>
    <s v="11"/>
    <s v="6100"/>
    <n v="1195.25"/>
    <n v="476.92"/>
    <s v="CREDITOR"/>
    <n v="0"/>
    <n v="0"/>
    <n v="0"/>
    <n v="0"/>
    <n v="476.92"/>
  </r>
  <r>
    <n v="60935626"/>
    <s v="N"/>
    <n v="21343583"/>
    <s v="3000015152520012"/>
    <s v="CIVIL"/>
    <d v="2023-06-28T00:00:00"/>
    <d v="2023-07-07T19:03:00"/>
    <m/>
    <d v="2023-07-07T00:00:00"/>
    <n v="1431"/>
    <n v="19284"/>
    <s v="60935626"/>
    <s v="60935626"/>
    <m/>
    <m/>
    <n v="22780268"/>
    <m/>
    <m/>
    <m/>
    <s v="SOLFIN"/>
    <s v="SOLFIN"/>
    <s v="CCMS"/>
    <n v="21343583"/>
    <n v="6962.45"/>
    <m/>
    <s v="N"/>
    <n v="18"/>
    <d v="2023-07-07T19:03:10"/>
    <s v="Y"/>
    <s v="Attendance upon/with Counsel at Con"/>
    <s v="Care Remuneration Hourly Rates"/>
    <s v="Profit Cost"/>
    <s v="mb"/>
    <s v="Y"/>
    <n v="19.6"/>
    <n v="3.92"/>
    <x v="9"/>
    <s v="VALIDATED"/>
    <n v="1"/>
    <s v="01.11.80.305.6100.0000"/>
    <n v="19.6"/>
    <s v="11"/>
    <s v="6100"/>
    <n v="1195.25"/>
    <n v="19.6"/>
    <s v="CREDITOR"/>
    <n v="0"/>
    <n v="0"/>
    <n v="0"/>
    <n v="0"/>
    <n v="19.6"/>
  </r>
  <r>
    <n v="60935626"/>
    <s v="N"/>
    <n v="21343583"/>
    <s v="3000015152520012"/>
    <s v="CIVIL"/>
    <d v="2023-06-28T00:00:00"/>
    <d v="2023-07-07T19:03:00"/>
    <m/>
    <d v="2023-07-07T00:00:00"/>
    <n v="1431"/>
    <n v="19284"/>
    <s v="60935626"/>
    <s v="60935626"/>
    <m/>
    <m/>
    <n v="22780268"/>
    <m/>
    <m/>
    <m/>
    <s v="SOLFIN"/>
    <s v="SOLFIN"/>
    <s v="CCMS"/>
    <n v="21343583"/>
    <n v="6962.45"/>
    <m/>
    <s v="N"/>
    <n v="70"/>
    <d v="2023-07-07T19:03:10"/>
    <s v="Y"/>
    <s v="Preparation - drafting bill/claim f"/>
    <s v="Care Remuneration Hourly Rates"/>
    <s v="Profit Cost"/>
    <s v="slw"/>
    <s v="Y"/>
    <n v="13.43"/>
    <n v="2.69"/>
    <x v="9"/>
    <s v="VALIDATED"/>
    <n v="1"/>
    <s v="01.11.80.305.6100.0000"/>
    <n v="13.43"/>
    <s v="11"/>
    <s v="6100"/>
    <n v="1195.25"/>
    <n v="13.43"/>
    <s v="CREDITOR"/>
    <n v="0"/>
    <n v="0"/>
    <n v="0"/>
    <n v="0"/>
    <n v="13.43"/>
  </r>
  <r>
    <n v="19720003"/>
    <s v="N"/>
    <n v="21327487"/>
    <s v="3000008312410046"/>
    <s v="CIVIL"/>
    <d v="2023-06-28T00:00:00"/>
    <d v="2023-07-04T19:00:44"/>
    <m/>
    <d v="2023-07-04T00:00:00"/>
    <n v="1431"/>
    <n v="19284"/>
    <s v="19720003"/>
    <s v="19720003"/>
    <m/>
    <m/>
    <n v="22777390"/>
    <m/>
    <m/>
    <m/>
    <s v="SOLFIN"/>
    <s v="SOLFIN"/>
    <s v="CCMS"/>
    <n v="21327487"/>
    <n v="37017.9"/>
    <m/>
    <s v="N"/>
    <n v="5"/>
    <d v="2023-07-04T19:00:48"/>
    <s v="Y"/>
    <s v="Toxicologist"/>
    <s v="VHCC"/>
    <s v="Expert Disbursement"/>
    <s v="rd"/>
    <s v="Y"/>
    <n v="323.75"/>
    <n v="64.75"/>
    <x v="1"/>
    <s v="VALIDATED"/>
    <n v="1"/>
    <s v="01.11.80.308.6300.0000"/>
    <n v="323.75"/>
    <s v="11"/>
    <s v="6300"/>
    <n v="1195.25"/>
    <n v="323.75"/>
    <s v="CREDITOR"/>
    <n v="0"/>
    <n v="0"/>
    <n v="0"/>
    <n v="0"/>
    <n v="323.75"/>
  </r>
  <r>
    <n v="61670793"/>
    <s v="N"/>
    <n v="21331271"/>
    <s v="3000015767770007"/>
    <s v="CIVIL"/>
    <d v="2023-06-27T00:00:00"/>
    <d v="2023-07-05T19:01:47"/>
    <m/>
    <d v="2023-07-05T00:00:00"/>
    <n v="1431"/>
    <n v="19284"/>
    <s v="61670793"/>
    <s v="61670793"/>
    <m/>
    <m/>
    <n v="22766726"/>
    <m/>
    <m/>
    <m/>
    <s v="SOLFIN"/>
    <s v="SOLFIN"/>
    <s v="CCMS"/>
    <n v="21331271"/>
    <n v="3106.61"/>
    <m/>
    <s v="N"/>
    <n v="7"/>
    <d v="2023-07-05T19:02:12"/>
    <s v="Y"/>
    <s v="Preparation - other"/>
    <s v="Care Remuneration Hourly Rates"/>
    <s v="Profit Cost"/>
    <s v="slw"/>
    <s v="Y"/>
    <n v="48.37"/>
    <n v="9.67"/>
    <x v="6"/>
    <s v="VALIDATED"/>
    <n v="1"/>
    <s v="01.11.80.305.6100.0000"/>
    <n v="48.37"/>
    <s v="11"/>
    <s v="6100"/>
    <n v="1195.25"/>
    <n v="48.37"/>
    <s v="CREDITOR"/>
    <n v="0"/>
    <n v="0"/>
    <n v="0"/>
    <n v="0"/>
    <n v="48.37"/>
  </r>
  <r>
    <n v="19720003"/>
    <s v="N"/>
    <n v="21327487"/>
    <s v="3000008312410046"/>
    <s v="CIVIL"/>
    <d v="2023-06-28T00:00:00"/>
    <d v="2023-07-04T19:00:44"/>
    <m/>
    <d v="2023-07-04T00:00:00"/>
    <n v="1431"/>
    <n v="19284"/>
    <s v="19720003"/>
    <s v="19720003"/>
    <m/>
    <m/>
    <n v="22777390"/>
    <m/>
    <m/>
    <m/>
    <s v="SOLFIN"/>
    <s v="SOLFIN"/>
    <s v="CCMS"/>
    <n v="21327487"/>
    <n v="37017.9"/>
    <m/>
    <s v="N"/>
    <n v="27"/>
    <d v="2023-07-04T19:00:48"/>
    <s v="Y"/>
    <s v="Toxicologist"/>
    <s v="VHCC"/>
    <s v="Expert Disbursement"/>
    <s v="rd"/>
    <s v="Y"/>
    <n v="471.5"/>
    <n v="94.3"/>
    <x v="1"/>
    <s v="VALIDATED"/>
    <n v="1"/>
    <s v="01.11.80.308.6300.0000"/>
    <n v="471.5"/>
    <s v="11"/>
    <s v="6300"/>
    <n v="1195.25"/>
    <n v="471.5"/>
    <s v="CREDITOR"/>
    <n v="0"/>
    <n v="0"/>
    <n v="0"/>
    <n v="0"/>
    <n v="471.5"/>
  </r>
  <r>
    <n v="60935626"/>
    <s v="N"/>
    <n v="21343583"/>
    <s v="3000015152520012"/>
    <s v="CIVIL"/>
    <d v="2023-06-28T00:00:00"/>
    <d v="2023-07-07T19:03:00"/>
    <m/>
    <d v="2023-07-07T00:00:00"/>
    <n v="1431"/>
    <n v="19284"/>
    <s v="60935626"/>
    <s v="60935626"/>
    <m/>
    <m/>
    <n v="22780268"/>
    <m/>
    <m/>
    <m/>
    <s v="SOLFIN"/>
    <s v="SOLFIN"/>
    <s v="CCMS"/>
    <n v="21343583"/>
    <n v="6962.45"/>
    <m/>
    <s v="N"/>
    <n v="36"/>
    <d v="2023-07-07T19:03:10"/>
    <s v="Y"/>
    <s v="Preparation - other"/>
    <s v="Care Remuneration Hourly Rates"/>
    <s v="Profit Cost"/>
    <s v="slw"/>
    <s v="Y"/>
    <n v="33.59"/>
    <n v="6.72"/>
    <x v="9"/>
    <s v="VALIDATED"/>
    <n v="1"/>
    <s v="01.11.80.305.6100.0000"/>
    <n v="33.59"/>
    <s v="11"/>
    <s v="6100"/>
    <n v="1195.25"/>
    <n v="33.59"/>
    <s v="CREDITOR"/>
    <n v="0"/>
    <n v="0"/>
    <n v="0"/>
    <n v="0"/>
    <n v="33.59"/>
  </r>
  <r>
    <n v="60935626"/>
    <s v="N"/>
    <n v="21343583"/>
    <s v="3000015152520012"/>
    <s v="CIVIL"/>
    <d v="2023-06-28T00:00:00"/>
    <d v="2023-07-07T19:03:00"/>
    <m/>
    <d v="2023-07-07T00:00:00"/>
    <n v="1431"/>
    <n v="19284"/>
    <s v="60935626"/>
    <s v="60935626"/>
    <m/>
    <m/>
    <n v="22780268"/>
    <m/>
    <m/>
    <m/>
    <s v="SOLFIN"/>
    <s v="SOLFIN"/>
    <s v="CCMS"/>
    <n v="21343583"/>
    <n v="6962.45"/>
    <m/>
    <s v="N"/>
    <n v="58"/>
    <d v="2023-07-07T19:03:10"/>
    <s v="Y"/>
    <s v="Attendance upon client"/>
    <s v="Care Remuneration Hourly Rates"/>
    <s v="Profit Cost"/>
    <s v="mb"/>
    <s v="Y"/>
    <n v="23.36"/>
    <n v="4.67"/>
    <x v="9"/>
    <s v="VALIDATED"/>
    <n v="1"/>
    <s v="01.11.80.305.6100.0000"/>
    <n v="23.36"/>
    <s v="11"/>
    <s v="6100"/>
    <n v="1195.25"/>
    <n v="23.36"/>
    <s v="CREDITOR"/>
    <n v="0"/>
    <n v="0"/>
    <n v="0"/>
    <n v="0"/>
    <n v="23.36"/>
  </r>
  <r>
    <n v="60935626"/>
    <s v="N"/>
    <n v="21343583"/>
    <s v="3000015152520012"/>
    <s v="CIVIL"/>
    <d v="2023-06-28T00:00:00"/>
    <d v="2023-07-07T19:03:00"/>
    <m/>
    <d v="2023-07-07T00:00:00"/>
    <n v="1431"/>
    <n v="19284"/>
    <s v="60935626"/>
    <s v="60935626"/>
    <m/>
    <m/>
    <n v="22780268"/>
    <m/>
    <m/>
    <m/>
    <s v="SOLFIN"/>
    <s v="SOLFIN"/>
    <s v="CCMS"/>
    <n v="21343583"/>
    <n v="6962.45"/>
    <m/>
    <s v="N"/>
    <n v="5"/>
    <d v="2023-07-07T19:03:10"/>
    <s v="Y"/>
    <s v="Toxicologist"/>
    <s v="Care Remuneration Hourly Rates"/>
    <s v="Expert Disbursement"/>
    <s v="slw"/>
    <s v="Y"/>
    <n v="298.2"/>
    <n v="59.64"/>
    <x v="9"/>
    <s v="VALIDATED"/>
    <n v="1"/>
    <s v="01.11.80.305.6300.0000"/>
    <n v="298.2"/>
    <s v="11"/>
    <s v="6300"/>
    <n v="1195.25"/>
    <n v="298.2"/>
    <s v="CREDITOR"/>
    <n v="0"/>
    <n v="0"/>
    <n v="0"/>
    <n v="0"/>
    <n v="298.2"/>
  </r>
  <r>
    <n v="19720003"/>
    <s v="N"/>
    <n v="21327487"/>
    <s v="3000008312410046"/>
    <s v="CIVIL"/>
    <d v="2023-06-28T00:00:00"/>
    <d v="2023-07-04T19:00:44"/>
    <m/>
    <d v="2023-07-04T00:00:00"/>
    <n v="1431"/>
    <n v="19284"/>
    <s v="19720003"/>
    <s v="19720003"/>
    <m/>
    <m/>
    <n v="22777390"/>
    <m/>
    <m/>
    <m/>
    <s v="SOLFIN"/>
    <s v="SOLFIN"/>
    <s v="CCMS"/>
    <n v="21327487"/>
    <n v="37017.9"/>
    <m/>
    <s v="N"/>
    <n v="3"/>
    <d v="2023-07-04T19:00:48"/>
    <s v="Y"/>
    <s v="Toxicologist"/>
    <s v="VHCC"/>
    <s v="Expert Disbursement"/>
    <s v="rd"/>
    <s v="Y"/>
    <n v="471.5"/>
    <n v="94.3"/>
    <x v="1"/>
    <s v="VALIDATED"/>
    <n v="1"/>
    <s v="01.11.80.308.6300.0000"/>
    <n v="471.5"/>
    <s v="11"/>
    <s v="6300"/>
    <n v="1195.25"/>
    <n v="471.5"/>
    <s v="CREDITOR"/>
    <n v="0"/>
    <n v="0"/>
    <n v="0"/>
    <n v="0"/>
    <n v="471.5"/>
  </r>
  <r>
    <n v="60935626"/>
    <s v="N"/>
    <n v="21343583"/>
    <s v="3000015152520012"/>
    <s v="CIVIL"/>
    <d v="2023-06-28T00:00:00"/>
    <d v="2023-07-07T19:03:00"/>
    <m/>
    <d v="2023-07-07T00:00:00"/>
    <n v="1431"/>
    <n v="19284"/>
    <s v="60935626"/>
    <s v="60935626"/>
    <m/>
    <m/>
    <n v="22780268"/>
    <m/>
    <m/>
    <m/>
    <s v="SOLFIN"/>
    <s v="SOLFIN"/>
    <s v="CCMS"/>
    <n v="21343583"/>
    <n v="6962.45"/>
    <m/>
    <s v="N"/>
    <n v="37"/>
    <d v="2023-07-07T19:03:10"/>
    <s v="Y"/>
    <s v="Preparation - drafting statement"/>
    <s v="Care Remuneration Hourly Rates"/>
    <s v="Profit Cost"/>
    <s v="slw"/>
    <s v="Y"/>
    <n v="26.86"/>
    <n v="5.37"/>
    <x v="9"/>
    <s v="VALIDATED"/>
    <n v="1"/>
    <s v="01.11.80.305.6100.0000"/>
    <n v="26.86"/>
    <s v="11"/>
    <s v="6100"/>
    <n v="1195.25"/>
    <n v="26.86"/>
    <s v="CREDITOR"/>
    <n v="0"/>
    <n v="0"/>
    <n v="0"/>
    <n v="0"/>
    <n v="26.86"/>
  </r>
  <r>
    <n v="60935626"/>
    <s v="N"/>
    <n v="21343583"/>
    <s v="3000015152520012"/>
    <s v="CIVIL"/>
    <d v="2023-06-28T00:00:00"/>
    <d v="2023-07-07T19:03:00"/>
    <m/>
    <d v="2023-07-07T00:00:00"/>
    <n v="1431"/>
    <n v="19284"/>
    <s v="60935626"/>
    <s v="60935626"/>
    <m/>
    <m/>
    <n v="22780268"/>
    <m/>
    <m/>
    <m/>
    <s v="SOLFIN"/>
    <s v="SOLFIN"/>
    <s v="CCMS"/>
    <n v="21343583"/>
    <n v="6962.45"/>
    <m/>
    <s v="N"/>
    <n v="51"/>
    <d v="2023-07-07T19:03:10"/>
    <s v="Y"/>
    <s v="Preparation - other"/>
    <s v="Care Remuneration Hourly Rates"/>
    <s v="Profit Cost"/>
    <s v="slw"/>
    <s v="Y"/>
    <n v="20.15"/>
    <n v="4.03"/>
    <x v="9"/>
    <s v="VALIDATED"/>
    <n v="1"/>
    <s v="01.11.80.305.6100.0000"/>
    <n v="20.15"/>
    <s v="11"/>
    <s v="6100"/>
    <n v="1195.25"/>
    <n v="20.15"/>
    <s v="CREDITOR"/>
    <n v="0"/>
    <n v="0"/>
    <n v="0"/>
    <n v="0"/>
    <n v="20.15"/>
  </r>
  <r>
    <n v="19720003"/>
    <s v="N"/>
    <n v="21327487"/>
    <s v="3000008312410046"/>
    <s v="CIVIL"/>
    <d v="2023-06-28T00:00:00"/>
    <d v="2023-07-04T19:00:44"/>
    <m/>
    <d v="2023-07-04T00:00:00"/>
    <n v="1431"/>
    <n v="19284"/>
    <s v="19720003"/>
    <s v="19720003"/>
    <m/>
    <m/>
    <n v="22777390"/>
    <m/>
    <m/>
    <m/>
    <s v="SOLFIN"/>
    <s v="SOLFIN"/>
    <s v="CCMS"/>
    <n v="21327487"/>
    <n v="37017.9"/>
    <m/>
    <s v="N"/>
    <n v="12"/>
    <d v="2023-07-04T19:00:48"/>
    <s v="Y"/>
    <s v="Toxicologist"/>
    <s v="VHCC"/>
    <s v="Expert Disbursement"/>
    <s v="rd"/>
    <s v="Y"/>
    <n v="191"/>
    <n v="38.2"/>
    <x v="1"/>
    <s v="VALIDATED"/>
    <n v="1"/>
    <s v="01.11.80.308.6300.0000"/>
    <n v="191"/>
    <s v="11"/>
    <s v="6300"/>
    <n v="1195.25"/>
    <n v="191"/>
    <s v="CREDITOR"/>
    <n v="0"/>
    <n v="0"/>
    <n v="0"/>
    <n v="0"/>
    <n v="191"/>
  </r>
  <r>
    <n v="60935626"/>
    <s v="N"/>
    <n v="21343583"/>
    <s v="3000015152520012"/>
    <s v="CIVIL"/>
    <d v="2023-06-28T00:00:00"/>
    <d v="2023-07-07T19:03:00"/>
    <m/>
    <d v="2023-07-07T00:00:00"/>
    <n v="1431"/>
    <n v="19284"/>
    <s v="60935626"/>
    <s v="60935626"/>
    <m/>
    <m/>
    <n v="22780268"/>
    <m/>
    <m/>
    <m/>
    <s v="SOLFIN"/>
    <s v="SOLFIN"/>
    <s v="CCMS"/>
    <n v="21343583"/>
    <n v="6962.45"/>
    <m/>
    <s v="N"/>
    <n v="35"/>
    <d v="2023-07-07T19:03:10"/>
    <s v="Y"/>
    <s v="Report - other"/>
    <s v="Care Remuneration Hourly Rates"/>
    <s v="Profit Cost"/>
    <s v="slw"/>
    <s v="Y"/>
    <n v="67.17"/>
    <n v="13.43"/>
    <x v="9"/>
    <s v="VALIDATED"/>
    <n v="1"/>
    <s v="01.11.80.305.6100.0000"/>
    <n v="67.17"/>
    <s v="11"/>
    <s v="6100"/>
    <n v="1195.25"/>
    <n v="67.17"/>
    <s v="CREDITOR"/>
    <n v="0"/>
    <n v="0"/>
    <n v="0"/>
    <n v="0"/>
    <n v="67.17"/>
  </r>
  <r>
    <n v="60935626"/>
    <s v="N"/>
    <n v="21343583"/>
    <s v="3000015152520012"/>
    <s v="CIVIL"/>
    <d v="2023-06-28T00:00:00"/>
    <d v="2023-07-07T19:03:00"/>
    <m/>
    <d v="2023-07-07T00:00:00"/>
    <n v="1431"/>
    <n v="19284"/>
    <s v="60935626"/>
    <s v="60935626"/>
    <m/>
    <m/>
    <n v="22780268"/>
    <m/>
    <m/>
    <m/>
    <s v="SOLFIN"/>
    <s v="SOLFIN"/>
    <s v="CCMS"/>
    <n v="21343583"/>
    <n v="6962.45"/>
    <m/>
    <s v="N"/>
    <n v="41"/>
    <d v="2023-07-07T19:03:10"/>
    <s v="Y"/>
    <s v="Report - other"/>
    <s v="Care Remuneration Hourly Rates"/>
    <s v="Profit Cost"/>
    <s v="slw"/>
    <s v="Y"/>
    <n v="53.74"/>
    <n v="10.75"/>
    <x v="9"/>
    <s v="VALIDATED"/>
    <n v="1"/>
    <s v="01.11.80.305.6100.0000"/>
    <n v="53.74"/>
    <s v="11"/>
    <s v="6100"/>
    <n v="1195.25"/>
    <n v="53.74"/>
    <s v="CREDITOR"/>
    <n v="0"/>
    <n v="0"/>
    <n v="0"/>
    <n v="0"/>
    <n v="53.74"/>
  </r>
  <r>
    <n v="60935626"/>
    <s v="N"/>
    <n v="21343583"/>
    <s v="3000015152520012"/>
    <s v="CIVIL"/>
    <d v="2023-06-28T00:00:00"/>
    <d v="2023-07-07T19:03:00"/>
    <m/>
    <d v="2023-07-07T00:00:00"/>
    <n v="1431"/>
    <n v="19284"/>
    <s v="60935626"/>
    <s v="60935626"/>
    <m/>
    <m/>
    <n v="22780268"/>
    <m/>
    <m/>
    <m/>
    <s v="SOLFIN"/>
    <s v="SOLFIN"/>
    <s v="CCMS"/>
    <n v="21343583"/>
    <n v="6962.45"/>
    <m/>
    <s v="N"/>
    <n v="76"/>
    <d v="2023-07-07T19:03:10"/>
    <s v="Y"/>
    <s v="Routine Letter In"/>
    <s v="Care Remuneration Hourly Rates"/>
    <s v="Profit Cost"/>
    <s v="slw"/>
    <s v="Y"/>
    <n v="357.42"/>
    <n v="71.48999999999999"/>
    <x v="9"/>
    <s v="VALIDATED"/>
    <n v="1"/>
    <s v="01.11.80.305.6100.0000"/>
    <n v="357.42"/>
    <s v="11"/>
    <s v="6100"/>
    <n v="1195.25"/>
    <n v="357.42"/>
    <s v="CREDITOR"/>
    <n v="0"/>
    <n v="0"/>
    <n v="0"/>
    <n v="0"/>
    <n v="357.42"/>
  </r>
  <r>
    <n v="60935626"/>
    <s v="N"/>
    <n v="21343583"/>
    <s v="3000015152520012"/>
    <s v="CIVIL"/>
    <d v="2023-06-28T00:00:00"/>
    <d v="2023-07-07T19:03:00"/>
    <m/>
    <d v="2023-07-07T00:00:00"/>
    <n v="1431"/>
    <n v="19284"/>
    <s v="60935626"/>
    <s v="60935626"/>
    <m/>
    <m/>
    <n v="22780268"/>
    <m/>
    <m/>
    <m/>
    <s v="SOLFIN"/>
    <s v="SOLFIN"/>
    <s v="CCMS"/>
    <n v="21343583"/>
    <n v="6962.45"/>
    <m/>
    <s v="N"/>
    <n v="7"/>
    <d v="2023-07-07T19:03:10"/>
    <s v="Y"/>
    <s v="Preparation - other"/>
    <s v="Care Remuneration Hourly Rates"/>
    <s v="Profit Cost"/>
    <s v="slw"/>
    <s v="Y"/>
    <n v="13.43"/>
    <n v="2.69"/>
    <x v="9"/>
    <s v="VALIDATED"/>
    <n v="1"/>
    <s v="01.11.80.305.6100.0000"/>
    <n v="13.43"/>
    <s v="11"/>
    <s v="6100"/>
    <n v="1195.25"/>
    <n v="13.43"/>
    <s v="CREDITOR"/>
    <n v="0"/>
    <n v="0"/>
    <n v="0"/>
    <n v="0"/>
    <n v="13.43"/>
  </r>
  <r>
    <n v="61670793"/>
    <s v="N"/>
    <n v="21331271"/>
    <s v="3000015767770007"/>
    <s v="CIVIL"/>
    <d v="2023-06-27T00:00:00"/>
    <d v="2023-07-05T19:01:47"/>
    <m/>
    <d v="2023-07-05T00:00:00"/>
    <n v="1431"/>
    <n v="19284"/>
    <s v="61670793"/>
    <s v="61670793"/>
    <m/>
    <m/>
    <n v="22766726"/>
    <m/>
    <m/>
    <m/>
    <s v="SOLFIN"/>
    <s v="SOLFIN"/>
    <s v="CCMS"/>
    <n v="21331271"/>
    <n v="3106.61"/>
    <m/>
    <s v="N"/>
    <n v="2"/>
    <d v="2023-07-05T19:02:12"/>
    <s v="Y"/>
    <s v="Preparation - other"/>
    <s v="Care Remuneration Hourly Rates"/>
    <s v="Profit Cost"/>
    <s v="slw"/>
    <s v="Y"/>
    <n v="12.09"/>
    <n v="2.42"/>
    <x v="6"/>
    <s v="VALIDATED"/>
    <n v="1"/>
    <s v="01.11.80.305.6100.0000"/>
    <n v="12.09"/>
    <s v="11"/>
    <s v="6100"/>
    <n v="1195.25"/>
    <n v="12.09"/>
    <s v="CREDITOR"/>
    <n v="0"/>
    <n v="0"/>
    <n v="0"/>
    <n v="0"/>
    <n v="12.09"/>
  </r>
  <r>
    <n v="60935626"/>
    <s v="N"/>
    <n v="21343583"/>
    <s v="3000015152520012"/>
    <s v="CIVIL"/>
    <d v="2023-06-28T00:00:00"/>
    <d v="2023-07-07T19:03:00"/>
    <m/>
    <d v="2023-07-07T00:00:00"/>
    <n v="1431"/>
    <n v="19284"/>
    <s v="60935626"/>
    <s v="60935626"/>
    <m/>
    <m/>
    <n v="22780268"/>
    <m/>
    <m/>
    <m/>
    <s v="SOLFIN"/>
    <s v="SOLFIN"/>
    <s v="CCMS"/>
    <n v="21343583"/>
    <n v="6962.45"/>
    <m/>
    <s v="N"/>
    <n v="61"/>
    <d v="2023-07-07T19:03:10"/>
    <s v="Y"/>
    <s v="Preparation - other"/>
    <s v="Care Remuneration Hourly Rates"/>
    <s v="Profit Cost"/>
    <s v="slw"/>
    <s v="Y"/>
    <n v="100.76"/>
    <n v="20.15"/>
    <x v="9"/>
    <s v="VALIDATED"/>
    <n v="1"/>
    <s v="01.11.80.305.6100.0000"/>
    <n v="100.76"/>
    <s v="11"/>
    <s v="6100"/>
    <n v="1195.25"/>
    <n v="100.76"/>
    <s v="CREDITOR"/>
    <n v="0"/>
    <n v="0"/>
    <n v="0"/>
    <n v="0"/>
    <n v="100.76"/>
  </r>
  <r>
    <n v="60935626"/>
    <s v="N"/>
    <n v="21343583"/>
    <s v="3000015152520012"/>
    <s v="CIVIL"/>
    <d v="2023-06-28T00:00:00"/>
    <d v="2023-07-07T19:03:00"/>
    <m/>
    <d v="2023-07-07T00:00:00"/>
    <n v="1431"/>
    <n v="19284"/>
    <s v="60935626"/>
    <s v="60935626"/>
    <m/>
    <m/>
    <n v="22780268"/>
    <m/>
    <m/>
    <m/>
    <s v="SOLFIN"/>
    <s v="SOLFIN"/>
    <s v="CCMS"/>
    <n v="21343583"/>
    <n v="6962.45"/>
    <m/>
    <s v="N"/>
    <n v="26"/>
    <d v="2023-07-07T19:03:10"/>
    <s v="Y"/>
    <s v="Preparation - drafting instructions"/>
    <s v="Care Remuneration Hourly Rates"/>
    <s v="Profit Cost"/>
    <s v="mb"/>
    <s v="Y"/>
    <n v="17.52"/>
    <n v="3.5"/>
    <x v="9"/>
    <s v="VALIDATED"/>
    <n v="1"/>
    <s v="01.11.80.305.6100.0000"/>
    <n v="17.52"/>
    <s v="11"/>
    <s v="6100"/>
    <n v="1195.25"/>
    <n v="17.52"/>
    <s v="CREDITOR"/>
    <n v="0"/>
    <n v="0"/>
    <n v="0"/>
    <n v="0"/>
    <n v="17.52"/>
  </r>
  <r>
    <n v="61670793"/>
    <s v="N"/>
    <n v="21331271"/>
    <s v="3000015767770007"/>
    <s v="CIVIL"/>
    <d v="2023-06-27T00:00:00"/>
    <d v="2023-07-05T19:01:47"/>
    <m/>
    <d v="2023-07-05T00:00:00"/>
    <n v="1431"/>
    <n v="19284"/>
    <s v="61670793"/>
    <s v="61670793"/>
    <m/>
    <m/>
    <n v="22766726"/>
    <m/>
    <m/>
    <m/>
    <s v="SOLFIN"/>
    <s v="SOLFIN"/>
    <s v="CCMS"/>
    <n v="21331271"/>
    <n v="3106.61"/>
    <m/>
    <s v="N"/>
    <n v="28"/>
    <d v="2023-07-05T19:02:12"/>
    <s v="Y"/>
    <s v="Preparation - other"/>
    <s v="Care Remuneration Hourly Rates"/>
    <s v="Profit Cost"/>
    <s v="slw"/>
    <s v="Y"/>
    <n v="72.54000000000001"/>
    <n v="14.51"/>
    <x v="6"/>
    <s v="VALIDATED"/>
    <n v="1"/>
    <s v="01.11.80.305.6100.0000"/>
    <n v="72.54000000000001"/>
    <s v="11"/>
    <s v="6100"/>
    <n v="1195.25"/>
    <n v="72.54000000000001"/>
    <s v="CREDITOR"/>
    <n v="0"/>
    <n v="0"/>
    <n v="0"/>
    <n v="0"/>
    <n v="72.54000000000001"/>
  </r>
  <r>
    <n v="61670793"/>
    <s v="N"/>
    <n v="21331271"/>
    <s v="3000015767770007"/>
    <s v="CIVIL"/>
    <d v="2023-06-27T00:00:00"/>
    <d v="2023-07-05T19:01:47"/>
    <m/>
    <d v="2023-07-05T00:00:00"/>
    <n v="1431"/>
    <n v="19284"/>
    <s v="61670793"/>
    <s v="61670793"/>
    <m/>
    <m/>
    <n v="22766726"/>
    <m/>
    <m/>
    <m/>
    <s v="SOLFIN"/>
    <s v="SOLFIN"/>
    <s v="CCMS"/>
    <n v="21331271"/>
    <n v="3106.61"/>
    <m/>
    <s v="N"/>
    <n v="9"/>
    <d v="2023-07-05T19:02:12"/>
    <s v="Y"/>
    <s v="Routine Letter Out"/>
    <s v="Care Remuneration Hourly Rates"/>
    <s v="Profit Cost"/>
    <s v="slw"/>
    <s v="Y"/>
    <n v="220.66"/>
    <n v="44.13"/>
    <x v="6"/>
    <s v="VALIDATED"/>
    <n v="1"/>
    <s v="01.11.80.305.6100.0000"/>
    <n v="220.66"/>
    <s v="11"/>
    <s v="6100"/>
    <n v="1195.25"/>
    <n v="220.66"/>
    <s v="CREDITOR"/>
    <n v="0"/>
    <n v="0"/>
    <n v="0"/>
    <n v="0"/>
    <n v="220.66"/>
  </r>
  <r>
    <n v="60935626"/>
    <s v="N"/>
    <n v="21343583"/>
    <s v="3000015152520012"/>
    <s v="CIVIL"/>
    <d v="2023-06-28T00:00:00"/>
    <d v="2023-07-07T19:03:00"/>
    <m/>
    <d v="2023-07-07T00:00:00"/>
    <n v="1431"/>
    <n v="19284"/>
    <s v="60935626"/>
    <s v="60935626"/>
    <m/>
    <m/>
    <n v="22780268"/>
    <m/>
    <m/>
    <m/>
    <s v="SOLFIN"/>
    <s v="SOLFIN"/>
    <s v="CCMS"/>
    <n v="21343583"/>
    <n v="6962.45"/>
    <m/>
    <s v="N"/>
    <n v="43"/>
    <d v="2023-07-07T19:03:10"/>
    <s v="Y"/>
    <s v="Preparation - other"/>
    <s v="Care Remuneration Hourly Rates"/>
    <s v="Profit Cost"/>
    <s v="slw"/>
    <s v="Y"/>
    <n v="20.15"/>
    <n v="4.03"/>
    <x v="9"/>
    <s v="VALIDATED"/>
    <n v="1"/>
    <s v="01.11.80.305.6100.0000"/>
    <n v="20.15"/>
    <s v="11"/>
    <s v="6100"/>
    <n v="1195.25"/>
    <n v="20.15"/>
    <s v="CREDITOR"/>
    <n v="0"/>
    <n v="0"/>
    <n v="0"/>
    <n v="0"/>
    <n v="20.15"/>
  </r>
  <r>
    <n v="60935626"/>
    <s v="N"/>
    <n v="21343583"/>
    <s v="3000015152520012"/>
    <s v="CIVIL"/>
    <d v="2023-06-28T00:00:00"/>
    <d v="2023-07-07T19:03:00"/>
    <m/>
    <d v="2023-07-07T00:00:00"/>
    <n v="1431"/>
    <n v="19284"/>
    <s v="60935626"/>
    <s v="60935626"/>
    <m/>
    <m/>
    <n v="22780268"/>
    <m/>
    <m/>
    <m/>
    <s v="SOLFIN"/>
    <s v="SOLFIN"/>
    <s v="CCMS"/>
    <n v="21343583"/>
    <n v="6962.45"/>
    <m/>
    <s v="N"/>
    <n v="53"/>
    <d v="2023-07-07T19:03:10"/>
    <s v="Y"/>
    <s v="Report - other"/>
    <s v="Care Remuneration Hourly Rates"/>
    <s v="Profit Cost"/>
    <s v="slw"/>
    <s v="Y"/>
    <n v="47.02"/>
    <n v="9.4"/>
    <x v="9"/>
    <s v="VALIDATED"/>
    <n v="1"/>
    <s v="01.11.80.305.6100.0000"/>
    <n v="47.02"/>
    <s v="11"/>
    <s v="6100"/>
    <n v="1195.25"/>
    <n v="47.02"/>
    <s v="CREDITOR"/>
    <n v="0"/>
    <n v="0"/>
    <n v="0"/>
    <n v="0"/>
    <n v="47.02"/>
  </r>
  <r>
    <n v="60935626"/>
    <s v="N"/>
    <n v="21343583"/>
    <s v="3000015152520012"/>
    <s v="CIVIL"/>
    <d v="2023-06-28T00:00:00"/>
    <d v="2023-07-07T19:03:00"/>
    <m/>
    <d v="2023-07-07T00:00:00"/>
    <n v="1431"/>
    <n v="19284"/>
    <s v="60935626"/>
    <s v="60935626"/>
    <m/>
    <m/>
    <n v="22780268"/>
    <m/>
    <m/>
    <m/>
    <s v="SOLFIN"/>
    <s v="SOLFIN"/>
    <s v="CCMS"/>
    <n v="21343583"/>
    <n v="6962.45"/>
    <m/>
    <s v="N"/>
    <n v="79"/>
    <d v="2023-07-07T19:03:10"/>
    <s v="Y"/>
    <s v="Preparation - other"/>
    <s v="Care Remuneration Hourly Rates"/>
    <s v="Profit Cost"/>
    <s v="slw"/>
    <s v="Y"/>
    <n v="13.43"/>
    <n v="2.69"/>
    <x v="9"/>
    <s v="VALIDATED"/>
    <n v="1"/>
    <s v="01.11.80.305.6100.0000"/>
    <n v="13.43"/>
    <s v="11"/>
    <s v="6100"/>
    <n v="1195.25"/>
    <n v="13.43"/>
    <s v="CREDITOR"/>
    <n v="0"/>
    <n v="0"/>
    <n v="0"/>
    <n v="0"/>
    <n v="13.43"/>
  </r>
  <r>
    <n v="61670793"/>
    <s v="N"/>
    <n v="21331271"/>
    <s v="3000015767770007"/>
    <s v="CIVIL"/>
    <d v="2023-06-27T00:00:00"/>
    <d v="2023-07-05T19:01:47"/>
    <m/>
    <d v="2023-07-05T00:00:00"/>
    <n v="1431"/>
    <n v="19284"/>
    <s v="61670793"/>
    <s v="61670793"/>
    <m/>
    <m/>
    <n v="22766726"/>
    <m/>
    <m/>
    <m/>
    <s v="SOLFIN"/>
    <s v="SOLFIN"/>
    <s v="CCMS"/>
    <n v="21331271"/>
    <n v="3106.61"/>
    <m/>
    <s v="N"/>
    <n v="37"/>
    <d v="2023-07-05T19:02:12"/>
    <s v="N"/>
    <s v="Solicitors Fixed Fee"/>
    <s v="Public Law Children"/>
    <s v="Profit Cost"/>
    <s v="slw"/>
    <s v="N"/>
    <n v="0"/>
    <n v="0"/>
    <x v="6"/>
    <s v="VALIDATED"/>
    <n v="1"/>
    <s v="01.11.80.305.6100.0000"/>
    <n v="0"/>
    <s v="11"/>
    <s v="6100"/>
    <n v="1195.25"/>
    <n v="0"/>
    <s v="CREDITOR"/>
    <n v="0"/>
    <n v="0"/>
    <n v="0"/>
    <n v="0"/>
    <n v="0"/>
  </r>
  <r>
    <n v="60935626"/>
    <s v="N"/>
    <n v="21343583"/>
    <s v="3000015152520012"/>
    <s v="CIVIL"/>
    <d v="2023-06-28T00:00:00"/>
    <d v="2023-07-07T19:03:00"/>
    <m/>
    <d v="2023-07-07T00:00:00"/>
    <n v="1431"/>
    <n v="19284"/>
    <s v="60935626"/>
    <s v="60935626"/>
    <m/>
    <m/>
    <n v="22780268"/>
    <m/>
    <m/>
    <m/>
    <s v="SOLFIN"/>
    <s v="SOLFIN"/>
    <s v="CCMS"/>
    <n v="21343583"/>
    <n v="6962.45"/>
    <m/>
    <s v="N"/>
    <n v="74"/>
    <d v="2023-07-07T19:03:10"/>
    <s v="Y"/>
    <s v="Preparation - drafting bill/claim f"/>
    <s v="Care Remuneration Hourly Rates"/>
    <s v="Profit Cost"/>
    <s v="sb"/>
    <s v="Y"/>
    <n v="198.59"/>
    <n v="39.72"/>
    <x v="9"/>
    <s v="VALIDATED"/>
    <n v="1"/>
    <s v="01.11.80.305.6100.0000"/>
    <n v="198.59"/>
    <s v="11"/>
    <s v="6100"/>
    <n v="1195.25"/>
    <n v="198.59"/>
    <s v="CREDITOR"/>
    <n v="0"/>
    <n v="0"/>
    <n v="0"/>
    <n v="0"/>
    <n v="198.59"/>
  </r>
  <r>
    <n v="60935626"/>
    <s v="N"/>
    <n v="21343583"/>
    <s v="3000015152520012"/>
    <s v="CIVIL"/>
    <d v="2023-06-28T00:00:00"/>
    <d v="2023-07-07T19:03:00"/>
    <m/>
    <d v="2023-07-07T00:00:00"/>
    <n v="1431"/>
    <n v="19284"/>
    <s v="60935626"/>
    <s v="60935626"/>
    <m/>
    <m/>
    <n v="22780268"/>
    <m/>
    <m/>
    <m/>
    <s v="SOLFIN"/>
    <s v="SOLFIN"/>
    <s v="CCMS"/>
    <n v="21343583"/>
    <n v="6962.45"/>
    <m/>
    <s v="N"/>
    <n v="49"/>
    <d v="2023-07-07T19:03:10"/>
    <s v="Y"/>
    <s v="Preparation - other"/>
    <s v="Care Remuneration Hourly Rates"/>
    <s v="Profit Cost"/>
    <s v="slw"/>
    <s v="Y"/>
    <n v="13.43"/>
    <n v="2.69"/>
    <x v="9"/>
    <s v="VALIDATED"/>
    <n v="1"/>
    <s v="01.11.80.305.6100.0000"/>
    <n v="13.43"/>
    <s v="11"/>
    <s v="6100"/>
    <n v="1195.25"/>
    <n v="13.43"/>
    <s v="CREDITOR"/>
    <n v="0"/>
    <n v="0"/>
    <n v="0"/>
    <n v="0"/>
    <n v="13.43"/>
  </r>
  <r>
    <n v="60935626"/>
    <s v="N"/>
    <n v="21343583"/>
    <s v="3000015152520012"/>
    <s v="CIVIL"/>
    <d v="2023-06-28T00:00:00"/>
    <d v="2023-07-07T19:03:00"/>
    <m/>
    <d v="2023-07-07T00:00:00"/>
    <n v="1431"/>
    <n v="19284"/>
    <s v="60935626"/>
    <s v="60935626"/>
    <m/>
    <m/>
    <n v="22780268"/>
    <m/>
    <m/>
    <m/>
    <s v="SOLFIN"/>
    <s v="SOLFIN"/>
    <s v="CCMS"/>
    <n v="21343583"/>
    <n v="6962.45"/>
    <m/>
    <s v="N"/>
    <n v="56"/>
    <d v="2023-07-07T19:03:10"/>
    <s v="Y"/>
    <s v="Preparation - drafting instructions"/>
    <s v="Care Remuneration Hourly Rates"/>
    <s v="Profit Cost"/>
    <s v="mb"/>
    <s v="Y"/>
    <n v="58.41"/>
    <n v="11.68"/>
    <x v="9"/>
    <s v="VALIDATED"/>
    <n v="1"/>
    <s v="01.11.80.305.6100.0000"/>
    <n v="58.41"/>
    <s v="11"/>
    <s v="6100"/>
    <n v="1195.25"/>
    <n v="58.41"/>
    <s v="CREDITOR"/>
    <n v="0"/>
    <n v="0"/>
    <n v="0"/>
    <n v="0"/>
    <n v="58.41"/>
  </r>
  <r>
    <n v="61455874"/>
    <s v="N"/>
    <n v="21360662"/>
    <s v="3000015572930002"/>
    <s v="CIVIL"/>
    <d v="2023-06-29T00:00:00"/>
    <d v="2023-07-11T19:00:25"/>
    <m/>
    <d v="2023-07-11T00:00:00"/>
    <n v="1439"/>
    <n v="19330"/>
    <s v="61455874"/>
    <s v="61455874"/>
    <m/>
    <m/>
    <n v="22793212"/>
    <m/>
    <m/>
    <m/>
    <s v="SOLFIN"/>
    <s v="SOLFIN"/>
    <s v="CCMS"/>
    <n v="21360662"/>
    <n v="1933.89"/>
    <m/>
    <s v="N"/>
    <n v="2"/>
    <d v="2023-07-11T19:00:28"/>
    <s v="Y"/>
    <s v="Preparation - other"/>
    <s v="Care Remuneration Hourly Rates"/>
    <s v="Profit Cost"/>
    <s v="LOS"/>
    <s v="Y"/>
    <n v="5.84"/>
    <n v="1.17"/>
    <x v="7"/>
    <s v="VALIDATED"/>
    <n v="1"/>
    <s v="01.11.80.305.6100.0000"/>
    <n v="5.84"/>
    <s v="11"/>
    <s v="6100"/>
    <n v="6382.1"/>
    <n v="5.84"/>
    <s v="CREDITOR"/>
    <n v="0"/>
    <n v="0"/>
    <n v="0"/>
    <n v="0"/>
    <n v="5.84"/>
  </r>
  <r>
    <n v="61455874"/>
    <s v="N"/>
    <n v="21360662"/>
    <s v="3000015572930002"/>
    <s v="CIVIL"/>
    <d v="2023-06-29T00:00:00"/>
    <d v="2023-07-11T19:00:25"/>
    <m/>
    <d v="2023-07-11T00:00:00"/>
    <n v="1439"/>
    <n v="19330"/>
    <s v="61455874"/>
    <s v="61455874"/>
    <m/>
    <m/>
    <n v="22793212"/>
    <m/>
    <m/>
    <m/>
    <s v="SOLFIN"/>
    <s v="SOLFIN"/>
    <s v="CCMS"/>
    <n v="21360662"/>
    <n v="1933.89"/>
    <m/>
    <s v="N"/>
    <n v="4"/>
    <d v="2023-07-11T19:00:28"/>
    <s v="Y"/>
    <s v="Preparation - other"/>
    <s v="Care Remuneration Hourly Rates"/>
    <s v="Profit Cost"/>
    <s v="LOS"/>
    <s v="Y"/>
    <n v="5.84"/>
    <n v="1.17"/>
    <x v="7"/>
    <s v="VALIDATED"/>
    <n v="1"/>
    <s v="01.11.80.305.6100.0000"/>
    <n v="5.84"/>
    <s v="11"/>
    <s v="6100"/>
    <n v="6382.1"/>
    <n v="5.84"/>
    <s v="CREDITOR"/>
    <n v="0"/>
    <n v="0"/>
    <n v="0"/>
    <n v="0"/>
    <n v="5.84"/>
  </r>
  <r>
    <n v="61455874"/>
    <s v="N"/>
    <n v="21360662"/>
    <s v="3000015572930002"/>
    <s v="CIVIL"/>
    <d v="2023-06-29T00:00:00"/>
    <d v="2023-07-11T19:00:25"/>
    <m/>
    <d v="2023-07-11T00:00:00"/>
    <n v="1439"/>
    <n v="19330"/>
    <s v="61455874"/>
    <s v="61455874"/>
    <m/>
    <m/>
    <n v="22793212"/>
    <m/>
    <m/>
    <m/>
    <s v="SOLFIN"/>
    <s v="SOLFIN"/>
    <s v="CCMS"/>
    <n v="21360662"/>
    <n v="1933.89"/>
    <m/>
    <s v="N"/>
    <n v="17"/>
    <d v="2023-07-11T19:00:28"/>
    <s v="Y"/>
    <s v="Preparation - drafting statement"/>
    <s v="Care Remuneration Hourly Rates"/>
    <s v="Profit Cost"/>
    <s v="SNE"/>
    <s v="Y"/>
    <n v="11.68"/>
    <n v="2.34"/>
    <x v="7"/>
    <s v="VALIDATED"/>
    <n v="1"/>
    <s v="01.11.80.305.6100.0000"/>
    <n v="11.68"/>
    <s v="11"/>
    <s v="6100"/>
    <n v="6382.1"/>
    <n v="11.68"/>
    <s v="CREDITOR"/>
    <n v="0"/>
    <n v="0"/>
    <n v="0"/>
    <n v="0"/>
    <n v="11.68"/>
  </r>
  <r>
    <n v="61455874"/>
    <s v="N"/>
    <n v="21360662"/>
    <s v="3000015572930002"/>
    <s v="CIVIL"/>
    <d v="2023-06-29T00:00:00"/>
    <d v="2023-07-11T19:00:25"/>
    <m/>
    <d v="2023-07-11T00:00:00"/>
    <n v="1439"/>
    <n v="19330"/>
    <s v="61455874"/>
    <s v="61455874"/>
    <m/>
    <m/>
    <n v="22793212"/>
    <m/>
    <m/>
    <m/>
    <s v="SOLFIN"/>
    <s v="SOLFIN"/>
    <s v="CCMS"/>
    <n v="21360662"/>
    <n v="1933.89"/>
    <m/>
    <s v="N"/>
    <n v="33"/>
    <d v="2023-07-11T19:00:28"/>
    <s v="Y"/>
    <s v="Court Fee"/>
    <s v="Care Remuneration Hourly Rates"/>
    <s v="Non Expert Disbursement"/>
    <s v="LOS"/>
    <s v="Y"/>
    <n v="232"/>
    <n v="0"/>
    <x v="7"/>
    <s v="VALIDATED"/>
    <n v="1"/>
    <s v="01.11.80.305.6300.0000"/>
    <n v="232"/>
    <s v="11"/>
    <s v="6300"/>
    <n v="6382.1"/>
    <n v="232"/>
    <s v="CREDITOR"/>
    <n v="0"/>
    <n v="0"/>
    <n v="0"/>
    <n v="0"/>
    <n v="232"/>
  </r>
  <r>
    <n v="11579209"/>
    <s v="N"/>
    <n v="21350008"/>
    <s v="3000006977400014"/>
    <s v="CIVIL"/>
    <d v="2023-06-30T00:00:00"/>
    <d v="2023-07-10T19:01:40"/>
    <m/>
    <d v="2023-07-10T00:00:00"/>
    <n v="1439"/>
    <n v="19330"/>
    <s v="11579209"/>
    <s v="11579209"/>
    <m/>
    <m/>
    <n v="22800924"/>
    <m/>
    <m/>
    <m/>
    <s v="SOLFIN"/>
    <s v="SOLFIN"/>
    <s v="CCMS"/>
    <n v="21350008"/>
    <n v="17531.26"/>
    <m/>
    <s v="N"/>
    <n v="6"/>
    <d v="2023-07-10T19:02:09"/>
    <s v="Y"/>
    <s v="Advocates Meeting"/>
    <s v="Public Law Children"/>
    <s v="Advocacy"/>
    <s v="MEH"/>
    <s v="Y"/>
    <n v="140.99"/>
    <n v="28.2"/>
    <x v="2"/>
    <s v="VALIDATED"/>
    <n v="1"/>
    <s v="01.11.80.308.6100.0000"/>
    <n v="140.99"/>
    <s v="11"/>
    <s v="6100"/>
    <n v="6382.1"/>
    <n v="140.99"/>
    <s v="CREDITOR"/>
    <n v="0"/>
    <n v="0"/>
    <n v="0"/>
    <n v="0"/>
    <n v="140.99"/>
  </r>
  <r>
    <n v="11579209"/>
    <s v="N"/>
    <n v="21350008"/>
    <s v="3000006977400014"/>
    <s v="CIVIL"/>
    <d v="2023-06-30T00:00:00"/>
    <d v="2023-07-10T19:01:40"/>
    <m/>
    <d v="2023-07-10T00:00:00"/>
    <n v="1439"/>
    <n v="19330"/>
    <s v="11579209"/>
    <s v="11579209"/>
    <m/>
    <m/>
    <n v="22800924"/>
    <m/>
    <m/>
    <m/>
    <s v="SOLFIN"/>
    <s v="SOLFIN"/>
    <s v="CCMS"/>
    <n v="21350008"/>
    <n v="17531.26"/>
    <m/>
    <s v="N"/>
    <n v="11"/>
    <d v="2023-07-10T19:02:09"/>
    <s v="Y"/>
    <s v="Hearing Unit 1.01 - 2.30 Hours"/>
    <s v="Public Law Children"/>
    <s v="Advocacy"/>
    <s v="MEH"/>
    <s v="Y"/>
    <n v="238.46"/>
    <n v="47.69"/>
    <x v="2"/>
    <s v="VALIDATED"/>
    <n v="1"/>
    <s v="01.11.80.308.6100.0000"/>
    <n v="238.46"/>
    <s v="11"/>
    <s v="6100"/>
    <n v="6382.1"/>
    <n v="238.46"/>
    <s v="CREDITOR"/>
    <n v="0"/>
    <n v="0"/>
    <n v="0"/>
    <n v="0"/>
    <n v="238.46"/>
  </r>
  <r>
    <n v="61455874"/>
    <s v="N"/>
    <n v="21360662"/>
    <s v="3000015572930002"/>
    <s v="CIVIL"/>
    <d v="2023-06-29T00:00:00"/>
    <d v="2023-07-11T19:00:25"/>
    <m/>
    <d v="2023-07-11T00:00:00"/>
    <n v="1439"/>
    <n v="19330"/>
    <s v="61455874"/>
    <s v="61455874"/>
    <m/>
    <m/>
    <n v="22793212"/>
    <m/>
    <m/>
    <m/>
    <s v="SOLFIN"/>
    <s v="SOLFIN"/>
    <s v="CCMS"/>
    <n v="21360662"/>
    <n v="1933.89"/>
    <m/>
    <s v="N"/>
    <n v="22"/>
    <d v="2023-07-11T19:00:28"/>
    <s v="Y"/>
    <s v="Preparation - other"/>
    <s v="Care Remuneration Hourly Rates"/>
    <s v="Profit Cost"/>
    <s v="SNE"/>
    <s v="Y"/>
    <n v="5.84"/>
    <n v="1.17"/>
    <x v="7"/>
    <s v="VALIDATED"/>
    <n v="1"/>
    <s v="01.11.80.305.6100.0000"/>
    <n v="5.84"/>
    <s v="11"/>
    <s v="6100"/>
    <n v="6382.1"/>
    <n v="5.84"/>
    <s v="CREDITOR"/>
    <n v="0"/>
    <n v="0"/>
    <n v="0"/>
    <n v="0"/>
    <n v="5.84"/>
  </r>
  <r>
    <n v="61455874"/>
    <s v="N"/>
    <n v="21360662"/>
    <s v="3000015572930002"/>
    <s v="CIVIL"/>
    <d v="2023-06-29T00:00:00"/>
    <d v="2023-07-11T19:00:25"/>
    <m/>
    <d v="2023-07-11T00:00:00"/>
    <n v="1439"/>
    <n v="19330"/>
    <s v="61455874"/>
    <s v="61455874"/>
    <m/>
    <m/>
    <n v="22793212"/>
    <m/>
    <m/>
    <m/>
    <s v="SOLFIN"/>
    <s v="SOLFIN"/>
    <s v="CCMS"/>
    <n v="21360662"/>
    <n v="1933.89"/>
    <m/>
    <s v="N"/>
    <n v="14"/>
    <d v="2023-07-11T19:00:28"/>
    <s v="Y"/>
    <s v="Preparation - other"/>
    <s v="Care Remuneration Hourly Rates"/>
    <s v="Profit Cost"/>
    <s v="LOS"/>
    <s v="Y"/>
    <n v="5.84"/>
    <n v="1.17"/>
    <x v="7"/>
    <s v="VALIDATED"/>
    <n v="1"/>
    <s v="01.11.80.305.6100.0000"/>
    <n v="5.84"/>
    <s v="11"/>
    <s v="6100"/>
    <n v="6382.1"/>
    <n v="5.84"/>
    <s v="CREDITOR"/>
    <n v="0"/>
    <n v="0"/>
    <n v="0"/>
    <n v="0"/>
    <n v="5.84"/>
  </r>
  <r>
    <n v="11579209"/>
    <s v="N"/>
    <n v="21350008"/>
    <s v="3000006977400014"/>
    <s v="CIVIL"/>
    <d v="2023-06-30T00:00:00"/>
    <d v="2023-07-10T19:01:40"/>
    <m/>
    <d v="2023-07-10T00:00:00"/>
    <n v="1439"/>
    <n v="19330"/>
    <s v="11579209"/>
    <s v="11579209"/>
    <m/>
    <m/>
    <n v="22800924"/>
    <m/>
    <m/>
    <m/>
    <s v="SOLFIN"/>
    <s v="SOLFIN"/>
    <s v="CCMS"/>
    <n v="21350008"/>
    <n v="17531.26"/>
    <m/>
    <s v="N"/>
    <n v="19"/>
    <d v="2023-07-10T19:02:09"/>
    <s v="Y"/>
    <s v="Advocates Meeting"/>
    <s v="Public Law Children"/>
    <s v="Advocacy"/>
    <s v="SNE"/>
    <s v="Y"/>
    <n v="140.99"/>
    <n v="28.2"/>
    <x v="2"/>
    <s v="VALIDATED"/>
    <n v="1"/>
    <s v="01.11.80.308.6100.0000"/>
    <n v="140.99"/>
    <s v="11"/>
    <s v="6100"/>
    <n v="6382.1"/>
    <n v="140.99"/>
    <s v="CREDITOR"/>
    <n v="0"/>
    <n v="0"/>
    <n v="0"/>
    <n v="0"/>
    <n v="140.99"/>
  </r>
  <r>
    <n v="11579209"/>
    <s v="N"/>
    <n v="21350008"/>
    <s v="3000006977400014"/>
    <s v="CIVIL"/>
    <d v="2023-06-30T00:00:00"/>
    <d v="2023-07-10T19:01:40"/>
    <m/>
    <d v="2023-07-10T00:00:00"/>
    <n v="1439"/>
    <n v="19330"/>
    <s v="11579209"/>
    <s v="11579209"/>
    <m/>
    <m/>
    <n v="22800924"/>
    <m/>
    <m/>
    <m/>
    <s v="SOLFIN"/>
    <s v="SOLFIN"/>
    <s v="CCMS"/>
    <n v="21350008"/>
    <n v="17531.26"/>
    <m/>
    <s v="N"/>
    <n v="12"/>
    <d v="2023-07-10T19:02:09"/>
    <s v="Y"/>
    <s v="Hearing Unit 1.01 - 2.30 Hours"/>
    <s v="Public Law Children"/>
    <s v="Advocacy"/>
    <s v="CAB"/>
    <s v="Y"/>
    <n v="238.46"/>
    <n v="47.69"/>
    <x v="2"/>
    <s v="VALIDATED"/>
    <n v="1"/>
    <s v="01.11.80.308.6100.0000"/>
    <n v="238.46"/>
    <s v="11"/>
    <s v="6100"/>
    <n v="6382.1"/>
    <n v="238.46"/>
    <s v="CREDITOR"/>
    <n v="0"/>
    <n v="0"/>
    <n v="0"/>
    <n v="0"/>
    <n v="238.46"/>
  </r>
  <r>
    <n v="61455874"/>
    <s v="N"/>
    <n v="21360662"/>
    <s v="3000015572930002"/>
    <s v="CIVIL"/>
    <d v="2023-06-29T00:00:00"/>
    <d v="2023-07-11T19:00:25"/>
    <m/>
    <d v="2023-07-11T00:00:00"/>
    <n v="1439"/>
    <n v="19330"/>
    <s v="61455874"/>
    <s v="61455874"/>
    <m/>
    <m/>
    <n v="22793212"/>
    <m/>
    <m/>
    <m/>
    <s v="SOLFIN"/>
    <s v="SOLFIN"/>
    <s v="CCMS"/>
    <n v="21360662"/>
    <n v="1933.89"/>
    <m/>
    <s v="N"/>
    <n v="18"/>
    <d v="2023-07-11T19:00:28"/>
    <s v="Y"/>
    <s v="Preparation - other"/>
    <s v="Care Remuneration Hourly Rates"/>
    <s v="Profit Cost"/>
    <s v="LOS"/>
    <s v="Y"/>
    <n v="5.84"/>
    <n v="1.17"/>
    <x v="7"/>
    <s v="VALIDATED"/>
    <n v="1"/>
    <s v="01.11.80.305.6100.0000"/>
    <n v="5.84"/>
    <s v="11"/>
    <s v="6100"/>
    <n v="6382.1"/>
    <n v="5.84"/>
    <s v="CREDITOR"/>
    <n v="0"/>
    <n v="0"/>
    <n v="0"/>
    <n v="0"/>
    <n v="5.84"/>
  </r>
  <r>
    <n v="61455874"/>
    <s v="N"/>
    <n v="21360662"/>
    <s v="3000015572930002"/>
    <s v="CIVIL"/>
    <d v="2023-06-29T00:00:00"/>
    <d v="2023-07-11T19:00:25"/>
    <m/>
    <d v="2023-07-11T00:00:00"/>
    <n v="1439"/>
    <n v="19330"/>
    <s v="61455874"/>
    <s v="61455874"/>
    <m/>
    <m/>
    <n v="22793212"/>
    <m/>
    <m/>
    <m/>
    <s v="SOLFIN"/>
    <s v="SOLFIN"/>
    <s v="CCMS"/>
    <n v="21360662"/>
    <n v="1933.89"/>
    <m/>
    <s v="N"/>
    <n v="26"/>
    <d v="2023-07-11T19:00:28"/>
    <s v="Y"/>
    <s v="Preparation - other"/>
    <s v="Care Remuneration Hourly Rates"/>
    <s v="Profit Cost"/>
    <s v="LOS"/>
    <s v="Y"/>
    <n v="5.84"/>
    <n v="1.17"/>
    <x v="7"/>
    <s v="VALIDATED"/>
    <n v="1"/>
    <s v="01.11.80.305.6100.0000"/>
    <n v="5.84"/>
    <s v="11"/>
    <s v="6100"/>
    <n v="6382.1"/>
    <n v="5.84"/>
    <s v="CREDITOR"/>
    <n v="0"/>
    <n v="0"/>
    <n v="0"/>
    <n v="0"/>
    <n v="5.84"/>
  </r>
  <r>
    <n v="11579209"/>
    <s v="N"/>
    <n v="21350008"/>
    <s v="3000006977400014"/>
    <s v="CIVIL"/>
    <d v="2023-06-30T00:00:00"/>
    <d v="2023-07-10T19:01:40"/>
    <m/>
    <d v="2023-07-10T00:00:00"/>
    <n v="1439"/>
    <n v="19330"/>
    <s v="11579209"/>
    <s v="11579209"/>
    <m/>
    <m/>
    <n v="22800924"/>
    <m/>
    <m/>
    <m/>
    <s v="SOLFIN"/>
    <s v="SOLFIN"/>
    <s v="CCMS"/>
    <n v="21350008"/>
    <n v="17531.26"/>
    <m/>
    <s v="N"/>
    <n v="14"/>
    <d v="2023-07-10T19:02:09"/>
    <s v="Y"/>
    <s v="Hearing Unit 2.31 - 5.00 Hours"/>
    <s v="Public Law Children"/>
    <s v="Advocacy"/>
    <s v="CAB"/>
    <s v="Y"/>
    <n v="476.92"/>
    <n v="95.38"/>
    <x v="2"/>
    <s v="VALIDATED"/>
    <n v="1"/>
    <s v="01.11.80.308.6100.0000"/>
    <n v="476.92"/>
    <s v="11"/>
    <s v="6100"/>
    <n v="6382.1"/>
    <n v="476.92"/>
    <s v="CREDITOR"/>
    <n v="0"/>
    <n v="0"/>
    <n v="0"/>
    <n v="0"/>
    <n v="476.92"/>
  </r>
  <r>
    <n v="61455874"/>
    <s v="N"/>
    <n v="21360662"/>
    <s v="3000015572930002"/>
    <s v="CIVIL"/>
    <d v="2023-06-29T00:00:00"/>
    <d v="2023-07-11T19:00:25"/>
    <m/>
    <d v="2023-07-11T00:00:00"/>
    <n v="1439"/>
    <n v="19330"/>
    <s v="61455874"/>
    <s v="61455874"/>
    <m/>
    <m/>
    <n v="22793212"/>
    <m/>
    <m/>
    <m/>
    <s v="SOLFIN"/>
    <s v="SOLFIN"/>
    <s v="CCMS"/>
    <n v="21360662"/>
    <n v="1933.89"/>
    <m/>
    <s v="N"/>
    <n v="19"/>
    <d v="2023-07-11T19:00:28"/>
    <s v="Y"/>
    <s v="Preparation - other"/>
    <s v="Care Remuneration Hourly Rates"/>
    <s v="Profit Cost"/>
    <s v="LOS"/>
    <s v="Y"/>
    <n v="5.84"/>
    <n v="1.17"/>
    <x v="7"/>
    <s v="VALIDATED"/>
    <n v="1"/>
    <s v="01.11.80.305.6100.0000"/>
    <n v="5.84"/>
    <s v="11"/>
    <s v="6100"/>
    <n v="6382.1"/>
    <n v="5.84"/>
    <s v="CREDITOR"/>
    <n v="0"/>
    <n v="0"/>
    <n v="0"/>
    <n v="0"/>
    <n v="5.84"/>
  </r>
  <r>
    <n v="11579209"/>
    <s v="N"/>
    <n v="21350008"/>
    <s v="3000006977400014"/>
    <s v="CIVIL"/>
    <d v="2023-06-30T00:00:00"/>
    <d v="2023-07-10T19:01:40"/>
    <m/>
    <d v="2023-07-10T00:00:00"/>
    <n v="1439"/>
    <n v="19330"/>
    <s v="11579209"/>
    <s v="11579209"/>
    <m/>
    <m/>
    <n v="22800924"/>
    <m/>
    <m/>
    <m/>
    <s v="SOLFIN"/>
    <s v="SOLFIN"/>
    <s v="CCMS"/>
    <n v="21350008"/>
    <n v="17531.26"/>
    <m/>
    <s v="N"/>
    <n v="8"/>
    <d v="2023-07-10T19:02:09"/>
    <s v="Y"/>
    <s v="Advocates Meeting"/>
    <s v="Public Law Children"/>
    <s v="Advocacy"/>
    <s v="MEH"/>
    <s v="Y"/>
    <n v="140.99"/>
    <n v="28.2"/>
    <x v="2"/>
    <s v="VALIDATED"/>
    <n v="1"/>
    <s v="01.11.80.308.6100.0000"/>
    <n v="140.99"/>
    <s v="11"/>
    <s v="6100"/>
    <n v="6382.1"/>
    <n v="140.99"/>
    <s v="CREDITOR"/>
    <n v="0"/>
    <n v="0"/>
    <n v="0"/>
    <n v="0"/>
    <n v="140.99"/>
  </r>
  <r>
    <n v="61455874"/>
    <s v="N"/>
    <n v="21360662"/>
    <s v="3000015572930002"/>
    <s v="CIVIL"/>
    <d v="2023-06-29T00:00:00"/>
    <d v="2023-07-11T19:00:25"/>
    <m/>
    <d v="2023-07-11T00:00:00"/>
    <n v="1439"/>
    <n v="19330"/>
    <s v="61455874"/>
    <s v="61455874"/>
    <m/>
    <m/>
    <n v="22793212"/>
    <m/>
    <m/>
    <m/>
    <s v="SOLFIN"/>
    <s v="SOLFIN"/>
    <s v="CCMS"/>
    <n v="21360662"/>
    <n v="1933.89"/>
    <m/>
    <s v="N"/>
    <n v="20"/>
    <d v="2023-07-11T19:00:28"/>
    <s v="Y"/>
    <s v="Preparation - other"/>
    <s v="Care Remuneration Hourly Rates"/>
    <s v="Profit Cost"/>
    <s v="LOS"/>
    <s v="Y"/>
    <n v="35.05"/>
    <n v="7.01"/>
    <x v="7"/>
    <s v="VALIDATED"/>
    <n v="1"/>
    <s v="01.11.80.305.6100.0000"/>
    <n v="35.05"/>
    <s v="11"/>
    <s v="6100"/>
    <n v="6382.1"/>
    <n v="35.05"/>
    <s v="CREDITOR"/>
    <n v="0"/>
    <n v="0"/>
    <n v="0"/>
    <n v="0"/>
    <n v="35.05"/>
  </r>
  <r>
    <n v="61455874"/>
    <s v="N"/>
    <n v="21360662"/>
    <s v="3000015572930002"/>
    <s v="CIVIL"/>
    <d v="2023-06-29T00:00:00"/>
    <d v="2023-07-11T19:00:25"/>
    <m/>
    <d v="2023-07-11T00:00:00"/>
    <n v="1439"/>
    <n v="19330"/>
    <s v="61455874"/>
    <s v="61455874"/>
    <m/>
    <m/>
    <n v="22793212"/>
    <m/>
    <m/>
    <m/>
    <s v="SOLFIN"/>
    <s v="SOLFIN"/>
    <s v="CCMS"/>
    <n v="21360662"/>
    <n v="1933.89"/>
    <m/>
    <s v="N"/>
    <n v="7"/>
    <d v="2023-07-11T19:00:28"/>
    <s v="Y"/>
    <s v="Preparation - drafting instructions"/>
    <s v="Care Remuneration Hourly Rates"/>
    <s v="Profit Cost"/>
    <s v="SNE"/>
    <s v="Y"/>
    <n v="29.21"/>
    <n v="5.84"/>
    <x v="7"/>
    <s v="VALIDATED"/>
    <n v="1"/>
    <s v="01.11.80.305.6100.0000"/>
    <n v="29.21"/>
    <s v="11"/>
    <s v="6100"/>
    <n v="6382.1"/>
    <n v="29.21"/>
    <s v="CREDITOR"/>
    <n v="0"/>
    <n v="0"/>
    <n v="0"/>
    <n v="0"/>
    <n v="29.21"/>
  </r>
  <r>
    <n v="61455874"/>
    <s v="N"/>
    <n v="21360662"/>
    <s v="3000015572930002"/>
    <s v="CIVIL"/>
    <d v="2023-06-29T00:00:00"/>
    <d v="2023-07-11T19:00:25"/>
    <m/>
    <d v="2023-07-11T00:00:00"/>
    <n v="1439"/>
    <n v="19330"/>
    <s v="61455874"/>
    <s v="61455874"/>
    <m/>
    <m/>
    <n v="22793212"/>
    <m/>
    <m/>
    <m/>
    <s v="SOLFIN"/>
    <s v="SOLFIN"/>
    <s v="CCMS"/>
    <n v="21360662"/>
    <n v="1933.89"/>
    <m/>
    <s v="N"/>
    <n v="23"/>
    <d v="2023-07-11T19:00:28"/>
    <s v="Y"/>
    <s v="Preparation - other"/>
    <s v="Care Remuneration Hourly Rates"/>
    <s v="Profit Cost"/>
    <s v="LOS"/>
    <s v="Y"/>
    <n v="17.52"/>
    <n v="3.5"/>
    <x v="7"/>
    <s v="VALIDATED"/>
    <n v="1"/>
    <s v="01.11.80.305.6100.0000"/>
    <n v="17.52"/>
    <s v="11"/>
    <s v="6100"/>
    <n v="6382.1"/>
    <n v="17.52"/>
    <s v="CREDITOR"/>
    <n v="0"/>
    <n v="0"/>
    <n v="0"/>
    <n v="0"/>
    <n v="17.52"/>
  </r>
  <r>
    <n v="11579209"/>
    <s v="N"/>
    <n v="21350008"/>
    <s v="3000006977400014"/>
    <s v="CIVIL"/>
    <d v="2023-06-30T00:00:00"/>
    <d v="2023-07-10T19:01:40"/>
    <m/>
    <d v="2023-07-10T00:00:00"/>
    <n v="1439"/>
    <n v="19330"/>
    <s v="11579209"/>
    <s v="11579209"/>
    <m/>
    <m/>
    <n v="22800924"/>
    <m/>
    <m/>
    <m/>
    <s v="SOLFIN"/>
    <s v="SOLFIN"/>
    <s v="CCMS"/>
    <n v="21350008"/>
    <n v="17531.26"/>
    <m/>
    <s v="N"/>
    <n v="1"/>
    <d v="2023-07-10T19:02:09"/>
    <s v="N"/>
    <s v="Solicitors Fixed Fee"/>
    <s v="Public Law Children"/>
    <s v="Profit Cost"/>
    <s v="CAB"/>
    <s v="N"/>
    <n v="0"/>
    <n v="0"/>
    <x v="2"/>
    <s v="VALIDATED"/>
    <n v="1"/>
    <s v="01.11.80.308.6100.0000"/>
    <n v="0"/>
    <s v="11"/>
    <s v="6100"/>
    <n v="6382.1"/>
    <n v="0"/>
    <s v="CREDITOR"/>
    <n v="0"/>
    <n v="0"/>
    <n v="0"/>
    <n v="0"/>
    <n v="0"/>
  </r>
  <r>
    <n v="61455874"/>
    <s v="N"/>
    <n v="21360662"/>
    <s v="3000015572930002"/>
    <s v="CIVIL"/>
    <d v="2023-06-29T00:00:00"/>
    <d v="2023-07-11T19:00:25"/>
    <m/>
    <d v="2023-07-11T00:00:00"/>
    <n v="1439"/>
    <n v="19330"/>
    <s v="61455874"/>
    <s v="61455874"/>
    <m/>
    <m/>
    <n v="22793212"/>
    <m/>
    <m/>
    <m/>
    <s v="SOLFIN"/>
    <s v="SOLFIN"/>
    <s v="CCMS"/>
    <n v="21360662"/>
    <n v="1933.89"/>
    <m/>
    <s v="N"/>
    <n v="5"/>
    <d v="2023-07-11T19:00:28"/>
    <s v="Y"/>
    <s v="Preparation - other"/>
    <s v="Care Remuneration Hourly Rates"/>
    <s v="Profit Cost"/>
    <s v="LOS"/>
    <s v="Y"/>
    <n v="5.84"/>
    <n v="1.17"/>
    <x v="7"/>
    <s v="VALIDATED"/>
    <n v="1"/>
    <s v="01.11.80.305.6100.0000"/>
    <n v="5.84"/>
    <s v="11"/>
    <s v="6100"/>
    <n v="6382.1"/>
    <n v="5.84"/>
    <s v="CREDITOR"/>
    <n v="0"/>
    <n v="0"/>
    <n v="0"/>
    <n v="0"/>
    <n v="5.84"/>
  </r>
  <r>
    <n v="11579209"/>
    <s v="N"/>
    <n v="21350008"/>
    <s v="3000006977400014"/>
    <s v="CIVIL"/>
    <d v="2023-06-30T00:00:00"/>
    <d v="2023-07-10T19:01:40"/>
    <m/>
    <d v="2023-07-10T00:00:00"/>
    <n v="1439"/>
    <n v="19330"/>
    <s v="11579209"/>
    <s v="11579209"/>
    <m/>
    <m/>
    <n v="22800924"/>
    <m/>
    <m/>
    <m/>
    <s v="SOLFIN"/>
    <s v="SOLFIN"/>
    <s v="CCMS"/>
    <n v="21350008"/>
    <n v="17531.26"/>
    <m/>
    <s v="N"/>
    <n v="17"/>
    <d v="2023-07-10T19:02:09"/>
    <s v="Y"/>
    <s v="Hearing Unit 1.01 - 2.30 Hours"/>
    <s v="Public Law Children"/>
    <s v="Advocacy"/>
    <s v="CAB"/>
    <s v="Y"/>
    <n v="238.46"/>
    <n v="47.69"/>
    <x v="2"/>
    <s v="VALIDATED"/>
    <n v="1"/>
    <s v="01.11.80.308.6100.0000"/>
    <n v="238.46"/>
    <s v="11"/>
    <s v="6100"/>
    <n v="6382.1"/>
    <n v="238.46"/>
    <s v="CREDITOR"/>
    <n v="0"/>
    <n v="0"/>
    <n v="0"/>
    <n v="0"/>
    <n v="238.46"/>
  </r>
  <r>
    <n v="11579209"/>
    <s v="N"/>
    <n v="21350008"/>
    <s v="3000006977400014"/>
    <s v="CIVIL"/>
    <d v="2023-06-30T00:00:00"/>
    <d v="2023-07-10T19:01:40"/>
    <m/>
    <d v="2023-07-10T00:00:00"/>
    <n v="1439"/>
    <n v="19330"/>
    <s v="11579209"/>
    <s v="11579209"/>
    <m/>
    <m/>
    <n v="22800924"/>
    <m/>
    <m/>
    <m/>
    <s v="SOLFIN"/>
    <s v="SOLFIN"/>
    <s v="CCMS"/>
    <n v="21350008"/>
    <n v="17531.26"/>
    <m/>
    <s v="N"/>
    <n v="3"/>
    <d v="2023-07-10T19:02:09"/>
    <s v="Y"/>
    <s v="Profit Costs (Summary)"/>
    <s v="Care Remuneration Hourly Rates"/>
    <s v="Profit Cost"/>
    <s v="CAB"/>
    <s v="Y"/>
    <n v="1794.43"/>
    <n v="358.88"/>
    <x v="2"/>
    <s v="VALIDATED"/>
    <n v="1"/>
    <s v="01.11.80.308.6100.0000"/>
    <n v="1794.43"/>
    <s v="11"/>
    <s v="6100"/>
    <n v="6382.1"/>
    <n v="1794.43"/>
    <s v="CREDITOR"/>
    <n v="0"/>
    <n v="0"/>
    <n v="0"/>
    <n v="0"/>
    <n v="1794.43"/>
  </r>
  <r>
    <n v="61455874"/>
    <s v="N"/>
    <n v="21360662"/>
    <s v="3000015572930002"/>
    <s v="CIVIL"/>
    <d v="2023-06-29T00:00:00"/>
    <d v="2023-07-11T19:00:25"/>
    <m/>
    <d v="2023-07-11T00:00:00"/>
    <n v="1439"/>
    <n v="19330"/>
    <s v="61455874"/>
    <s v="61455874"/>
    <m/>
    <m/>
    <n v="22793212"/>
    <m/>
    <m/>
    <m/>
    <s v="SOLFIN"/>
    <s v="SOLFIN"/>
    <s v="CCMS"/>
    <n v="21360662"/>
    <n v="1933.89"/>
    <m/>
    <s v="N"/>
    <n v="8"/>
    <d v="2023-07-11T19:00:28"/>
    <s v="Y"/>
    <s v="Preparation - other"/>
    <s v="Care Remuneration Hourly Rates"/>
    <s v="Profit Cost"/>
    <s v="LOS"/>
    <s v="Y"/>
    <n v="5.84"/>
    <n v="1.17"/>
    <x v="7"/>
    <s v="VALIDATED"/>
    <n v="1"/>
    <s v="01.11.80.305.6100.0000"/>
    <n v="5.84"/>
    <s v="11"/>
    <s v="6100"/>
    <n v="6382.1"/>
    <n v="5.84"/>
    <s v="CREDITOR"/>
    <n v="0"/>
    <n v="0"/>
    <n v="0"/>
    <n v="0"/>
    <n v="5.84"/>
  </r>
  <r>
    <n v="11579209"/>
    <s v="N"/>
    <n v="21350008"/>
    <s v="3000006977400014"/>
    <s v="CIVIL"/>
    <d v="2023-06-30T00:00:00"/>
    <d v="2023-07-10T19:01:40"/>
    <m/>
    <d v="2023-07-10T00:00:00"/>
    <n v="1439"/>
    <n v="19330"/>
    <s v="11579209"/>
    <s v="11579209"/>
    <m/>
    <m/>
    <n v="22800924"/>
    <m/>
    <m/>
    <m/>
    <s v="SOLFIN"/>
    <s v="SOLFIN"/>
    <s v="CCMS"/>
    <n v="21350008"/>
    <n v="17531.26"/>
    <m/>
    <s v="N"/>
    <n v="2"/>
    <d v="2023-07-10T19:02:09"/>
    <s v="Y"/>
    <s v="Profit Costs (Summary)"/>
    <s v="Care Remuneration Hourly Rates"/>
    <s v="Profit Cost"/>
    <s v="CAB"/>
    <s v="Y"/>
    <n v="8314.76"/>
    <n v="1662.96"/>
    <x v="2"/>
    <s v="VALIDATED"/>
    <n v="1"/>
    <s v="01.11.80.308.6100.0000"/>
    <n v="8314.76"/>
    <s v="11"/>
    <s v="6100"/>
    <n v="6382.1"/>
    <n v="8314.76"/>
    <s v="CREDITOR"/>
    <n v="0"/>
    <n v="0"/>
    <n v="0"/>
    <n v="0"/>
    <n v="8314.76"/>
  </r>
  <r>
    <n v="61455874"/>
    <s v="N"/>
    <n v="21360662"/>
    <s v="3000015572930002"/>
    <s v="CIVIL"/>
    <d v="2023-06-29T00:00:00"/>
    <d v="2023-07-11T19:00:25"/>
    <m/>
    <d v="2023-07-11T00:00:00"/>
    <n v="1439"/>
    <n v="19330"/>
    <s v="61455874"/>
    <s v="61455874"/>
    <m/>
    <m/>
    <n v="22793212"/>
    <m/>
    <m/>
    <m/>
    <s v="SOLFIN"/>
    <s v="SOLFIN"/>
    <s v="CCMS"/>
    <n v="21360662"/>
    <n v="1933.89"/>
    <m/>
    <s v="N"/>
    <n v="32"/>
    <d v="2023-07-11T19:00:28"/>
    <s v="Y"/>
    <s v="Routine Letter In"/>
    <s v="Care Remuneration Hourly Rates"/>
    <s v="Profit Cost"/>
    <s v="LOS"/>
    <s v="Y"/>
    <n v="175.75"/>
    <n v="35.15"/>
    <x v="7"/>
    <s v="VALIDATED"/>
    <n v="1"/>
    <s v="01.11.80.305.6100.0000"/>
    <n v="175.75"/>
    <s v="11"/>
    <s v="6100"/>
    <n v="6382.1"/>
    <n v="175.75"/>
    <s v="CREDITOR"/>
    <n v="0"/>
    <n v="0"/>
    <n v="0"/>
    <n v="0"/>
    <n v="175.75"/>
  </r>
  <r>
    <n v="61455874"/>
    <s v="N"/>
    <n v="21360662"/>
    <s v="3000015572930002"/>
    <s v="CIVIL"/>
    <d v="2023-06-29T00:00:00"/>
    <d v="2023-07-11T19:00:25"/>
    <m/>
    <d v="2023-07-11T00:00:00"/>
    <n v="1439"/>
    <n v="19330"/>
    <s v="61455874"/>
    <s v="61455874"/>
    <m/>
    <m/>
    <n v="22793212"/>
    <m/>
    <m/>
    <m/>
    <s v="SOLFIN"/>
    <s v="SOLFIN"/>
    <s v="CCMS"/>
    <n v="21360662"/>
    <n v="1933.89"/>
    <m/>
    <s v="N"/>
    <n v="25"/>
    <d v="2023-07-11T19:00:28"/>
    <s v="Y"/>
    <s v="Preparation - other"/>
    <s v="Care Remuneration Hourly Rates"/>
    <s v="Profit Cost"/>
    <s v="LOS"/>
    <s v="Y"/>
    <n v="46.73"/>
    <n v="9.35"/>
    <x v="7"/>
    <s v="VALIDATED"/>
    <n v="1"/>
    <s v="01.11.80.305.6100.0000"/>
    <n v="46.73"/>
    <s v="11"/>
    <s v="6100"/>
    <n v="6382.1"/>
    <n v="46.73"/>
    <s v="CREDITOR"/>
    <n v="0"/>
    <n v="0"/>
    <n v="0"/>
    <n v="0"/>
    <n v="46.73"/>
  </r>
  <r>
    <n v="61455874"/>
    <s v="N"/>
    <n v="21360662"/>
    <s v="3000015572930002"/>
    <s v="CIVIL"/>
    <d v="2023-06-29T00:00:00"/>
    <d v="2023-07-11T19:00:25"/>
    <m/>
    <d v="2023-07-11T00:00:00"/>
    <n v="1439"/>
    <n v="19330"/>
    <s v="61455874"/>
    <s v="61455874"/>
    <m/>
    <m/>
    <n v="22793212"/>
    <m/>
    <m/>
    <m/>
    <s v="SOLFIN"/>
    <s v="SOLFIN"/>
    <s v="CCMS"/>
    <n v="21360662"/>
    <n v="1933.89"/>
    <m/>
    <s v="N"/>
    <n v="9"/>
    <d v="2023-07-11T19:00:28"/>
    <s v="Y"/>
    <s v="Preparation - other"/>
    <s v="Care Remuneration Hourly Rates"/>
    <s v="Profit Cost"/>
    <s v="LOS"/>
    <s v="Y"/>
    <n v="5.84"/>
    <n v="1.17"/>
    <x v="7"/>
    <s v="VALIDATED"/>
    <n v="1"/>
    <s v="01.11.80.305.6100.0000"/>
    <n v="5.84"/>
    <s v="11"/>
    <s v="6100"/>
    <n v="6382.1"/>
    <n v="5.84"/>
    <s v="CREDITOR"/>
    <n v="0"/>
    <n v="0"/>
    <n v="0"/>
    <n v="0"/>
    <n v="5.84"/>
  </r>
  <r>
    <n v="61455874"/>
    <s v="N"/>
    <n v="21360662"/>
    <s v="3000015572930002"/>
    <s v="CIVIL"/>
    <d v="2023-06-29T00:00:00"/>
    <d v="2023-07-11T19:00:25"/>
    <m/>
    <d v="2023-07-11T00:00:00"/>
    <n v="1439"/>
    <n v="19330"/>
    <s v="61455874"/>
    <s v="61455874"/>
    <m/>
    <m/>
    <n v="22793212"/>
    <m/>
    <m/>
    <m/>
    <s v="SOLFIN"/>
    <s v="SOLFIN"/>
    <s v="CCMS"/>
    <n v="21360662"/>
    <n v="1933.89"/>
    <m/>
    <s v="N"/>
    <n v="27"/>
    <d v="2023-07-11T19:00:28"/>
    <s v="Y"/>
    <s v="Preparation - other"/>
    <s v="Care Remuneration Hourly Rates"/>
    <s v="Profit Cost"/>
    <s v="LOS"/>
    <s v="Y"/>
    <n v="11.68"/>
    <n v="2.34"/>
    <x v="7"/>
    <s v="VALIDATED"/>
    <n v="1"/>
    <s v="01.11.80.305.6100.0000"/>
    <n v="11.68"/>
    <s v="11"/>
    <s v="6100"/>
    <n v="6382.1"/>
    <n v="11.68"/>
    <s v="CREDITOR"/>
    <n v="0"/>
    <n v="0"/>
    <n v="0"/>
    <n v="0"/>
    <n v="11.68"/>
  </r>
  <r>
    <n v="11579209"/>
    <s v="N"/>
    <n v="21350008"/>
    <s v="3000006977400014"/>
    <s v="CIVIL"/>
    <d v="2023-06-30T00:00:00"/>
    <d v="2023-07-10T19:01:40"/>
    <m/>
    <d v="2023-07-10T00:00:00"/>
    <n v="1439"/>
    <n v="19330"/>
    <s v="11579209"/>
    <s v="11579209"/>
    <m/>
    <m/>
    <n v="22800924"/>
    <m/>
    <m/>
    <m/>
    <s v="SOLFIN"/>
    <s v="SOLFIN"/>
    <s v="CCMS"/>
    <n v="21350008"/>
    <n v="17531.26"/>
    <m/>
    <s v="N"/>
    <n v="4"/>
    <d v="2023-07-10T19:02:09"/>
    <s v="Y"/>
    <s v="Disbursements (Summary)"/>
    <s v="Care Remuneration Hourly Rates"/>
    <s v="Non Expert Disbursement"/>
    <s v="CAB"/>
    <s v="Y"/>
    <n v="456.82"/>
    <n v="91.36"/>
    <x v="2"/>
    <s v="VALIDATED"/>
    <n v="1"/>
    <s v="01.11.80.308.6300.0000"/>
    <n v="456.82"/>
    <s v="11"/>
    <s v="6300"/>
    <n v="6382.1"/>
    <n v="456.82"/>
    <s v="CREDITOR"/>
    <n v="0"/>
    <n v="0"/>
    <n v="0"/>
    <n v="0"/>
    <n v="456.82"/>
  </r>
  <r>
    <n v="61455874"/>
    <s v="N"/>
    <n v="21360662"/>
    <s v="3000015572930002"/>
    <s v="CIVIL"/>
    <d v="2023-06-29T00:00:00"/>
    <d v="2023-07-11T19:00:25"/>
    <m/>
    <d v="2023-07-11T00:00:00"/>
    <n v="1439"/>
    <n v="19330"/>
    <s v="61455874"/>
    <s v="61455874"/>
    <m/>
    <m/>
    <n v="22793212"/>
    <m/>
    <m/>
    <m/>
    <s v="SOLFIN"/>
    <s v="SOLFIN"/>
    <s v="CCMS"/>
    <n v="21360662"/>
    <n v="1933.89"/>
    <m/>
    <s v="N"/>
    <n v="34"/>
    <d v="2023-07-11T19:00:28"/>
    <s v="Y"/>
    <s v="Court Fee"/>
    <s v="Care Remuneration Hourly Rates"/>
    <s v="Non Expert Disbursement"/>
    <s v="LOS"/>
    <s v="Y"/>
    <n v="53"/>
    <n v="0"/>
    <x v="7"/>
    <s v="VALIDATED"/>
    <n v="1"/>
    <s v="01.11.80.305.6300.0000"/>
    <n v="53"/>
    <s v="11"/>
    <s v="6300"/>
    <n v="6382.1"/>
    <n v="53"/>
    <s v="CREDITOR"/>
    <n v="0"/>
    <n v="0"/>
    <n v="0"/>
    <n v="0"/>
    <n v="53"/>
  </r>
  <r>
    <n v="61455874"/>
    <s v="N"/>
    <n v="21360662"/>
    <s v="3000015572930002"/>
    <s v="CIVIL"/>
    <d v="2023-06-29T00:00:00"/>
    <d v="2023-07-11T19:00:25"/>
    <m/>
    <d v="2023-07-11T00:00:00"/>
    <n v="1439"/>
    <n v="19330"/>
    <s v="61455874"/>
    <s v="61455874"/>
    <m/>
    <m/>
    <n v="22793212"/>
    <m/>
    <m/>
    <m/>
    <s v="SOLFIN"/>
    <s v="SOLFIN"/>
    <s v="CCMS"/>
    <n v="21360662"/>
    <n v="1933.89"/>
    <m/>
    <s v="N"/>
    <n v="1"/>
    <d v="2023-07-11T19:00:28"/>
    <s v="Y"/>
    <s v="Preparation - drafting application"/>
    <s v="Care Remuneration Hourly Rates"/>
    <s v="Profit Cost"/>
    <s v="LOS"/>
    <s v="Y"/>
    <n v="29.21"/>
    <n v="5.84"/>
    <x v="7"/>
    <s v="VALIDATED"/>
    <n v="1"/>
    <s v="01.11.80.305.6100.0000"/>
    <n v="29.21"/>
    <s v="11"/>
    <s v="6100"/>
    <n v="6382.1"/>
    <n v="29.21"/>
    <s v="CREDITOR"/>
    <n v="0"/>
    <n v="0"/>
    <n v="0"/>
    <n v="0"/>
    <n v="29.21"/>
  </r>
  <r>
    <n v="61455874"/>
    <s v="N"/>
    <n v="21360662"/>
    <s v="3000015572930002"/>
    <s v="CIVIL"/>
    <d v="2023-06-29T00:00:00"/>
    <d v="2023-07-11T19:00:25"/>
    <m/>
    <d v="2023-07-11T00:00:00"/>
    <n v="1439"/>
    <n v="19330"/>
    <s v="61455874"/>
    <s v="61455874"/>
    <m/>
    <m/>
    <n v="22793212"/>
    <m/>
    <m/>
    <m/>
    <s v="SOLFIN"/>
    <s v="SOLFIN"/>
    <s v="CCMS"/>
    <n v="21360662"/>
    <n v="1933.89"/>
    <m/>
    <s v="N"/>
    <n v="28"/>
    <d v="2023-07-11T19:00:28"/>
    <s v="Y"/>
    <s v="Preparation - drafting bill/claim f"/>
    <s v="Care Remuneration Hourly Rates"/>
    <s v="Profit Cost"/>
    <s v="CD"/>
    <s v="Y"/>
    <n v="99.3"/>
    <n v="19.86"/>
    <x v="7"/>
    <s v="VALIDATED"/>
    <n v="1"/>
    <s v="01.11.80.305.6100.0000"/>
    <n v="99.3"/>
    <s v="11"/>
    <s v="6100"/>
    <n v="6382.1"/>
    <n v="99.3"/>
    <s v="CREDITOR"/>
    <n v="0"/>
    <n v="0"/>
    <n v="0"/>
    <n v="0"/>
    <n v="99.3"/>
  </r>
  <r>
    <n v="61455874"/>
    <s v="N"/>
    <n v="21360662"/>
    <s v="3000015572930002"/>
    <s v="CIVIL"/>
    <d v="2023-06-29T00:00:00"/>
    <d v="2023-07-11T19:00:25"/>
    <m/>
    <d v="2023-07-11T00:00:00"/>
    <n v="1439"/>
    <n v="19330"/>
    <s v="61455874"/>
    <s v="61455874"/>
    <m/>
    <m/>
    <n v="22793212"/>
    <m/>
    <m/>
    <m/>
    <s v="SOLFIN"/>
    <s v="SOLFIN"/>
    <s v="CCMS"/>
    <n v="21360662"/>
    <n v="1933.89"/>
    <m/>
    <s v="N"/>
    <n v="16"/>
    <d v="2023-07-11T19:00:28"/>
    <s v="Y"/>
    <s v="Preparation - drafting statement"/>
    <s v="Care Remuneration Hourly Rates"/>
    <s v="Profit Cost"/>
    <s v="SNE"/>
    <s v="Y"/>
    <n v="29.21"/>
    <n v="5.84"/>
    <x v="7"/>
    <s v="VALIDATED"/>
    <n v="1"/>
    <s v="01.11.80.305.6100.0000"/>
    <n v="29.21"/>
    <s v="11"/>
    <s v="6100"/>
    <n v="6382.1"/>
    <n v="29.21"/>
    <s v="CREDITOR"/>
    <n v="0"/>
    <n v="0"/>
    <n v="0"/>
    <n v="0"/>
    <n v="29.21"/>
  </r>
  <r>
    <n v="61455874"/>
    <s v="N"/>
    <n v="21360662"/>
    <s v="3000015572930002"/>
    <s v="CIVIL"/>
    <d v="2023-06-29T00:00:00"/>
    <d v="2023-07-11T19:00:25"/>
    <m/>
    <d v="2023-07-11T00:00:00"/>
    <n v="1439"/>
    <n v="19330"/>
    <s v="61455874"/>
    <s v="61455874"/>
    <m/>
    <m/>
    <n v="22793212"/>
    <m/>
    <m/>
    <m/>
    <s v="SOLFIN"/>
    <s v="SOLFIN"/>
    <s v="CCMS"/>
    <n v="21360662"/>
    <n v="1933.89"/>
    <m/>
    <s v="N"/>
    <n v="12"/>
    <d v="2023-07-11T19:00:28"/>
    <s v="Y"/>
    <s v="Preparation - other"/>
    <s v="Care Remuneration Hourly Rates"/>
    <s v="Profit Cost"/>
    <s v="SNE"/>
    <s v="Y"/>
    <n v="5.84"/>
    <n v="1.17"/>
    <x v="7"/>
    <s v="VALIDATED"/>
    <n v="1"/>
    <s v="01.11.80.305.6100.0000"/>
    <n v="5.84"/>
    <s v="11"/>
    <s v="6100"/>
    <n v="6382.1"/>
    <n v="5.84"/>
    <s v="CREDITOR"/>
    <n v="0"/>
    <n v="0"/>
    <n v="0"/>
    <n v="0"/>
    <n v="5.84"/>
  </r>
  <r>
    <n v="61455874"/>
    <s v="N"/>
    <n v="21360662"/>
    <s v="3000015572930002"/>
    <s v="CIVIL"/>
    <d v="2023-06-29T00:00:00"/>
    <d v="2023-07-11T19:00:25"/>
    <m/>
    <d v="2023-07-11T00:00:00"/>
    <n v="1439"/>
    <n v="19330"/>
    <s v="61455874"/>
    <s v="61455874"/>
    <m/>
    <m/>
    <n v="22793212"/>
    <m/>
    <m/>
    <m/>
    <s v="SOLFIN"/>
    <s v="SOLFIN"/>
    <s v="CCMS"/>
    <n v="21360662"/>
    <n v="1933.89"/>
    <m/>
    <s v="N"/>
    <n v="6"/>
    <d v="2023-07-11T19:00:28"/>
    <s v="Y"/>
    <s v="Preparation - other"/>
    <s v="Care Remuneration Hourly Rates"/>
    <s v="Profit Cost"/>
    <s v="SNE"/>
    <s v="Y"/>
    <n v="29.21"/>
    <n v="5.84"/>
    <x v="7"/>
    <s v="VALIDATED"/>
    <n v="1"/>
    <s v="01.11.80.305.6100.0000"/>
    <n v="29.21"/>
    <s v="11"/>
    <s v="6100"/>
    <n v="6382.1"/>
    <n v="29.21"/>
    <s v="CREDITOR"/>
    <n v="0"/>
    <n v="0"/>
    <n v="0"/>
    <n v="0"/>
    <n v="29.21"/>
  </r>
  <r>
    <n v="61455874"/>
    <s v="N"/>
    <n v="21360662"/>
    <s v="3000015572930002"/>
    <s v="CIVIL"/>
    <d v="2023-06-29T00:00:00"/>
    <d v="2023-07-11T19:00:25"/>
    <m/>
    <d v="2023-07-11T00:00:00"/>
    <n v="1439"/>
    <n v="19330"/>
    <s v="61455874"/>
    <s v="61455874"/>
    <m/>
    <m/>
    <n v="22793212"/>
    <m/>
    <m/>
    <m/>
    <s v="SOLFIN"/>
    <s v="SOLFIN"/>
    <s v="CCMS"/>
    <n v="21360662"/>
    <n v="1933.89"/>
    <m/>
    <s v="N"/>
    <n v="13"/>
    <d v="2023-07-11T19:00:28"/>
    <s v="Y"/>
    <s v="Preparation - other"/>
    <s v="Care Remuneration Hourly Rates"/>
    <s v="Profit Cost"/>
    <s v="SNE"/>
    <s v="Y"/>
    <n v="17.52"/>
    <n v="3.5"/>
    <x v="7"/>
    <s v="VALIDATED"/>
    <n v="1"/>
    <s v="01.11.80.305.6100.0000"/>
    <n v="17.52"/>
    <s v="11"/>
    <s v="6100"/>
    <n v="6382.1"/>
    <n v="17.52"/>
    <s v="CREDITOR"/>
    <n v="0"/>
    <n v="0"/>
    <n v="0"/>
    <n v="0"/>
    <n v="17.52"/>
  </r>
  <r>
    <n v="61455874"/>
    <s v="N"/>
    <n v="21360662"/>
    <s v="3000015572930002"/>
    <s v="CIVIL"/>
    <d v="2023-06-29T00:00:00"/>
    <d v="2023-07-11T19:00:25"/>
    <m/>
    <d v="2023-07-11T00:00:00"/>
    <n v="1439"/>
    <n v="19330"/>
    <s v="61455874"/>
    <s v="61455874"/>
    <m/>
    <m/>
    <n v="22793212"/>
    <m/>
    <m/>
    <m/>
    <s v="SOLFIN"/>
    <s v="SOLFIN"/>
    <s v="CCMS"/>
    <n v="21360662"/>
    <n v="1933.89"/>
    <m/>
    <s v="N"/>
    <n v="21"/>
    <d v="2023-07-11T19:00:28"/>
    <s v="Y"/>
    <s v="Preparation - drafting application"/>
    <s v="Care Remuneration Hourly Rates"/>
    <s v="Profit Cost"/>
    <s v="SNE"/>
    <s v="Y"/>
    <n v="58.41"/>
    <n v="11.68"/>
    <x v="7"/>
    <s v="VALIDATED"/>
    <n v="1"/>
    <s v="01.11.80.305.6100.0000"/>
    <n v="58.41"/>
    <s v="11"/>
    <s v="6100"/>
    <n v="6382.1"/>
    <n v="58.41"/>
    <s v="CREDITOR"/>
    <n v="0"/>
    <n v="0"/>
    <n v="0"/>
    <n v="0"/>
    <n v="58.41"/>
  </r>
  <r>
    <n v="11579209"/>
    <s v="N"/>
    <n v="21350008"/>
    <s v="3000006977400014"/>
    <s v="CIVIL"/>
    <d v="2023-06-30T00:00:00"/>
    <d v="2023-07-10T19:01:40"/>
    <m/>
    <d v="2023-07-10T00:00:00"/>
    <n v="1439"/>
    <n v="19330"/>
    <s v="11579209"/>
    <s v="11579209"/>
    <m/>
    <m/>
    <n v="22800924"/>
    <m/>
    <m/>
    <m/>
    <s v="SOLFIN"/>
    <s v="SOLFIN"/>
    <s v="CCMS"/>
    <n v="21350008"/>
    <n v="17531.26"/>
    <m/>
    <s v="N"/>
    <n v="18"/>
    <d v="2023-07-10T19:02:09"/>
    <s v="Y"/>
    <s v="Advocates Meeting"/>
    <s v="Public Law Children"/>
    <s v="Advocacy"/>
    <s v="LOS"/>
    <s v="Y"/>
    <n v="140.99"/>
    <n v="28.2"/>
    <x v="2"/>
    <s v="VALIDATED"/>
    <n v="1"/>
    <s v="01.11.80.308.6100.0000"/>
    <n v="140.99"/>
    <s v="11"/>
    <s v="6100"/>
    <n v="6382.1"/>
    <n v="140.99"/>
    <s v="CREDITOR"/>
    <n v="0"/>
    <n v="0"/>
    <n v="0"/>
    <n v="0"/>
    <n v="140.99"/>
  </r>
  <r>
    <n v="61455874"/>
    <s v="N"/>
    <n v="21360662"/>
    <s v="3000015572930002"/>
    <s v="CIVIL"/>
    <d v="2023-06-29T00:00:00"/>
    <d v="2023-07-11T19:00:25"/>
    <m/>
    <d v="2023-07-11T00:00:00"/>
    <n v="1439"/>
    <n v="19330"/>
    <s v="61455874"/>
    <s v="61455874"/>
    <m/>
    <m/>
    <n v="22793212"/>
    <m/>
    <m/>
    <m/>
    <s v="SOLFIN"/>
    <s v="SOLFIN"/>
    <s v="CCMS"/>
    <n v="21360662"/>
    <n v="1933.89"/>
    <m/>
    <s v="N"/>
    <n v="3"/>
    <d v="2023-07-11T19:00:28"/>
    <s v="Y"/>
    <s v="Preparation - other"/>
    <s v="Care Remuneration Hourly Rates"/>
    <s v="Profit Cost"/>
    <s v="LOS"/>
    <s v="Y"/>
    <n v="5.84"/>
    <n v="1.17"/>
    <x v="7"/>
    <s v="VALIDATED"/>
    <n v="1"/>
    <s v="01.11.80.305.6100.0000"/>
    <n v="5.84"/>
    <s v="11"/>
    <s v="6100"/>
    <n v="6382.1"/>
    <n v="5.84"/>
    <s v="CREDITOR"/>
    <n v="0"/>
    <n v="0"/>
    <n v="0"/>
    <n v="0"/>
    <n v="5.84"/>
  </r>
  <r>
    <n v="11579209"/>
    <s v="N"/>
    <n v="21350008"/>
    <s v="3000006977400014"/>
    <s v="CIVIL"/>
    <d v="2023-06-30T00:00:00"/>
    <d v="2023-07-10T19:01:40"/>
    <m/>
    <d v="2023-07-10T00:00:00"/>
    <n v="1439"/>
    <n v="19330"/>
    <s v="11579209"/>
    <s v="11579209"/>
    <m/>
    <m/>
    <n v="22800924"/>
    <m/>
    <m/>
    <m/>
    <s v="SOLFIN"/>
    <s v="SOLFIN"/>
    <s v="CCMS"/>
    <n v="21350008"/>
    <n v="17531.26"/>
    <m/>
    <s v="N"/>
    <n v="13"/>
    <d v="2023-07-10T19:02:09"/>
    <s v="Y"/>
    <s v="Hearing Unit 1.01 - 2.30 Hours"/>
    <s v="Public Law Children"/>
    <s v="Advocacy"/>
    <s v="NAV"/>
    <s v="Y"/>
    <n v="238.46"/>
    <n v="47.69"/>
    <x v="2"/>
    <s v="VALIDATED"/>
    <n v="1"/>
    <s v="01.11.80.308.6100.0000"/>
    <n v="238.46"/>
    <s v="11"/>
    <s v="6100"/>
    <n v="6382.1"/>
    <n v="238.46"/>
    <s v="CREDITOR"/>
    <n v="0"/>
    <n v="0"/>
    <n v="0"/>
    <n v="0"/>
    <n v="238.46"/>
  </r>
  <r>
    <n v="11579209"/>
    <s v="N"/>
    <n v="21350008"/>
    <s v="3000006977400014"/>
    <s v="CIVIL"/>
    <d v="2023-06-30T00:00:00"/>
    <d v="2023-07-10T19:01:40"/>
    <m/>
    <d v="2023-07-10T00:00:00"/>
    <n v="1439"/>
    <n v="19330"/>
    <s v="11579209"/>
    <s v="11579209"/>
    <m/>
    <m/>
    <n v="22800924"/>
    <m/>
    <m/>
    <m/>
    <s v="SOLFIN"/>
    <s v="SOLFIN"/>
    <s v="CCMS"/>
    <n v="21350008"/>
    <n v="17531.26"/>
    <m/>
    <s v="N"/>
    <n v="9"/>
    <d v="2023-07-10T19:02:09"/>
    <s v="Y"/>
    <s v="Hearing Unit 2.31 - 5.00 Hours"/>
    <s v="Public Law Children"/>
    <s v="Advocacy"/>
    <s v="MEH"/>
    <s v="Y"/>
    <n v="476.92"/>
    <n v="95.38"/>
    <x v="2"/>
    <s v="VALIDATED"/>
    <n v="1"/>
    <s v="01.11.80.308.6100.0000"/>
    <n v="476.92"/>
    <s v="11"/>
    <s v="6100"/>
    <n v="6382.1"/>
    <n v="476.92"/>
    <s v="CREDITOR"/>
    <n v="0"/>
    <n v="0"/>
    <n v="0"/>
    <n v="0"/>
    <n v="476.92"/>
  </r>
  <r>
    <n v="11579209"/>
    <s v="N"/>
    <n v="21350008"/>
    <s v="3000006977400014"/>
    <s v="CIVIL"/>
    <d v="2023-06-30T00:00:00"/>
    <d v="2023-07-10T19:01:40"/>
    <m/>
    <d v="2023-07-10T00:00:00"/>
    <n v="1439"/>
    <n v="19330"/>
    <s v="11579209"/>
    <s v="11579209"/>
    <m/>
    <m/>
    <n v="22800924"/>
    <m/>
    <m/>
    <m/>
    <s v="SOLFIN"/>
    <s v="SOLFIN"/>
    <s v="CCMS"/>
    <n v="21350008"/>
    <n v="17531.26"/>
    <m/>
    <s v="N"/>
    <n v="15"/>
    <d v="2023-07-10T19:02:09"/>
    <s v="Y"/>
    <s v="Hearing Unit 1.01 - 2.30 Hours"/>
    <s v="Public Law Children"/>
    <s v="Advocacy"/>
    <s v="CAB"/>
    <s v="Y"/>
    <n v="238.46"/>
    <n v="47.69"/>
    <x v="2"/>
    <s v="VALIDATED"/>
    <n v="1"/>
    <s v="01.11.80.308.6100.0000"/>
    <n v="238.46"/>
    <s v="11"/>
    <s v="6100"/>
    <n v="6382.1"/>
    <n v="238.46"/>
    <s v="CREDITOR"/>
    <n v="0"/>
    <n v="0"/>
    <n v="0"/>
    <n v="0"/>
    <n v="238.46"/>
  </r>
  <r>
    <n v="61455874"/>
    <s v="N"/>
    <n v="21360662"/>
    <s v="3000015572930002"/>
    <s v="CIVIL"/>
    <d v="2023-06-29T00:00:00"/>
    <d v="2023-07-11T19:00:25"/>
    <m/>
    <d v="2023-07-11T00:00:00"/>
    <n v="1439"/>
    <n v="19330"/>
    <s v="61455874"/>
    <s v="61455874"/>
    <m/>
    <m/>
    <n v="22793212"/>
    <m/>
    <m/>
    <m/>
    <s v="SOLFIN"/>
    <s v="SOLFIN"/>
    <s v="CCMS"/>
    <n v="21360662"/>
    <n v="1933.89"/>
    <m/>
    <s v="N"/>
    <n v="29"/>
    <d v="2023-07-11T19:00:28"/>
    <s v="Y"/>
    <s v="Preparation - drafting bill/claim f"/>
    <s v="Care Remuneration Hourly Rates"/>
    <s v="Profit Cost"/>
    <s v="SNE"/>
    <s v="Y"/>
    <n v="11.68"/>
    <n v="2.34"/>
    <x v="7"/>
    <s v="VALIDATED"/>
    <n v="1"/>
    <s v="01.11.80.305.6100.0000"/>
    <n v="11.68"/>
    <s v="11"/>
    <s v="6100"/>
    <n v="6382.1"/>
    <n v="11.68"/>
    <s v="CREDITOR"/>
    <n v="0"/>
    <n v="0"/>
    <n v="0"/>
    <n v="0"/>
    <n v="11.68"/>
  </r>
  <r>
    <n v="61455874"/>
    <s v="N"/>
    <n v="21360662"/>
    <s v="3000015572930002"/>
    <s v="CIVIL"/>
    <d v="2023-06-29T00:00:00"/>
    <d v="2023-07-11T19:00:25"/>
    <m/>
    <d v="2023-07-11T00:00:00"/>
    <n v="1439"/>
    <n v="19330"/>
    <s v="61455874"/>
    <s v="61455874"/>
    <m/>
    <m/>
    <n v="22793212"/>
    <m/>
    <m/>
    <m/>
    <s v="SOLFIN"/>
    <s v="SOLFIN"/>
    <s v="CCMS"/>
    <n v="21360662"/>
    <n v="1933.89"/>
    <m/>
    <s v="N"/>
    <n v="11"/>
    <d v="2023-07-11T19:00:28"/>
    <s v="Y"/>
    <s v="Preparation - other"/>
    <s v="Care Remuneration Hourly Rates"/>
    <s v="Profit Cost"/>
    <s v="SNE"/>
    <s v="Y"/>
    <n v="11.68"/>
    <n v="2.34"/>
    <x v="7"/>
    <s v="VALIDATED"/>
    <n v="1"/>
    <s v="01.11.80.305.6100.0000"/>
    <n v="11.68"/>
    <s v="11"/>
    <s v="6100"/>
    <n v="6382.1"/>
    <n v="11.68"/>
    <s v="CREDITOR"/>
    <n v="0"/>
    <n v="0"/>
    <n v="0"/>
    <n v="0"/>
    <n v="11.68"/>
  </r>
  <r>
    <n v="61455874"/>
    <s v="N"/>
    <n v="21360662"/>
    <s v="3000015572930002"/>
    <s v="CIVIL"/>
    <d v="2023-06-29T00:00:00"/>
    <d v="2023-07-11T19:00:25"/>
    <m/>
    <d v="2023-07-11T00:00:00"/>
    <n v="1439"/>
    <n v="19330"/>
    <s v="61455874"/>
    <s v="61455874"/>
    <m/>
    <m/>
    <n v="22793212"/>
    <m/>
    <m/>
    <m/>
    <s v="SOLFIN"/>
    <s v="SOLFIN"/>
    <s v="CCMS"/>
    <n v="21360662"/>
    <n v="1933.89"/>
    <m/>
    <s v="N"/>
    <n v="24"/>
    <d v="2023-07-11T19:00:28"/>
    <s v="Y"/>
    <s v="Preparation - other"/>
    <s v="Care Remuneration Hourly Rates"/>
    <s v="Profit Cost"/>
    <s v="SNE"/>
    <s v="Y"/>
    <n v="175.23"/>
    <n v="35.05"/>
    <x v="7"/>
    <s v="VALIDATED"/>
    <n v="1"/>
    <s v="01.11.80.305.6100.0000"/>
    <n v="175.23"/>
    <s v="11"/>
    <s v="6100"/>
    <n v="6382.1"/>
    <n v="175.23"/>
    <s v="CREDITOR"/>
    <n v="0"/>
    <n v="0"/>
    <n v="0"/>
    <n v="0"/>
    <n v="175.23"/>
  </r>
  <r>
    <n v="61455874"/>
    <s v="N"/>
    <n v="21360662"/>
    <s v="3000015572930002"/>
    <s v="CIVIL"/>
    <d v="2023-06-29T00:00:00"/>
    <d v="2023-07-11T19:00:25"/>
    <m/>
    <d v="2023-07-11T00:00:00"/>
    <n v="1439"/>
    <n v="19330"/>
    <s v="61455874"/>
    <s v="61455874"/>
    <m/>
    <m/>
    <n v="22793212"/>
    <m/>
    <m/>
    <m/>
    <s v="SOLFIN"/>
    <s v="SOLFIN"/>
    <s v="CCMS"/>
    <n v="21360662"/>
    <n v="1933.89"/>
    <m/>
    <s v="N"/>
    <n v="35"/>
    <d v="2023-07-11T19:00:28"/>
    <s v="Y"/>
    <s v="Advocates Meeting"/>
    <s v="Other Public Law Children"/>
    <s v="Advocacy"/>
    <s v="LOS"/>
    <s v="Y"/>
    <n v="140.99"/>
    <n v="28.2"/>
    <x v="7"/>
    <s v="VALIDATED"/>
    <n v="1"/>
    <s v="01.11.80.305.6100.0000"/>
    <n v="140.99"/>
    <s v="11"/>
    <s v="6100"/>
    <n v="6382.1"/>
    <n v="140.99"/>
    <s v="CREDITOR"/>
    <n v="0"/>
    <n v="0"/>
    <n v="0"/>
    <n v="0"/>
    <n v="140.99"/>
  </r>
  <r>
    <n v="11579209"/>
    <s v="N"/>
    <n v="21350008"/>
    <s v="3000006977400014"/>
    <s v="CIVIL"/>
    <d v="2023-06-30T00:00:00"/>
    <d v="2023-07-10T19:01:40"/>
    <m/>
    <d v="2023-07-10T00:00:00"/>
    <n v="1439"/>
    <n v="19330"/>
    <s v="11579209"/>
    <s v="11579209"/>
    <m/>
    <m/>
    <n v="22800924"/>
    <m/>
    <m/>
    <m/>
    <s v="SOLFIN"/>
    <s v="SOLFIN"/>
    <s v="CCMS"/>
    <n v="21350008"/>
    <n v="17531.26"/>
    <m/>
    <s v="N"/>
    <n v="5"/>
    <d v="2023-07-10T19:02:09"/>
    <s v="Y"/>
    <s v="Hearing Unit 2.31 - 5.00 Hours"/>
    <s v="Public Law Children"/>
    <s v="Advocacy"/>
    <s v="MEH"/>
    <s v="Y"/>
    <n v="476.92"/>
    <n v="95.38"/>
    <x v="2"/>
    <s v="VALIDATED"/>
    <n v="1"/>
    <s v="01.11.80.308.6100.0000"/>
    <n v="476.92"/>
    <s v="11"/>
    <s v="6100"/>
    <n v="6382.1"/>
    <n v="476.92"/>
    <s v="CREDITOR"/>
    <n v="0"/>
    <n v="0"/>
    <n v="0"/>
    <n v="0"/>
    <n v="476.92"/>
  </r>
  <r>
    <n v="61455874"/>
    <s v="N"/>
    <n v="21360662"/>
    <s v="3000015572930002"/>
    <s v="CIVIL"/>
    <d v="2023-06-29T00:00:00"/>
    <d v="2023-07-11T19:00:25"/>
    <m/>
    <d v="2023-07-11T00:00:00"/>
    <n v="1439"/>
    <n v="19330"/>
    <s v="61455874"/>
    <s v="61455874"/>
    <m/>
    <m/>
    <n v="22793212"/>
    <m/>
    <m/>
    <m/>
    <s v="SOLFIN"/>
    <s v="SOLFIN"/>
    <s v="CCMS"/>
    <n v="21360662"/>
    <n v="1933.89"/>
    <m/>
    <s v="N"/>
    <n v="15"/>
    <d v="2023-07-11T19:00:28"/>
    <s v="Y"/>
    <s v="Preparation - other"/>
    <s v="Care Remuneration Hourly Rates"/>
    <s v="Profit Cost"/>
    <s v="LOS"/>
    <s v="Y"/>
    <n v="17.52"/>
    <n v="3.5"/>
    <x v="7"/>
    <s v="VALIDATED"/>
    <n v="1"/>
    <s v="01.11.80.305.6100.0000"/>
    <n v="17.52"/>
    <s v="11"/>
    <s v="6100"/>
    <n v="6382.1"/>
    <n v="17.52"/>
    <s v="CREDITOR"/>
    <n v="0"/>
    <n v="0"/>
    <n v="0"/>
    <n v="0"/>
    <n v="17.52"/>
  </r>
  <r>
    <n v="61455874"/>
    <s v="N"/>
    <n v="21360662"/>
    <s v="3000015572930002"/>
    <s v="CIVIL"/>
    <d v="2023-06-29T00:00:00"/>
    <d v="2023-07-11T19:00:25"/>
    <m/>
    <d v="2023-07-11T00:00:00"/>
    <n v="1439"/>
    <n v="19330"/>
    <s v="61455874"/>
    <s v="61455874"/>
    <m/>
    <m/>
    <n v="22793212"/>
    <m/>
    <m/>
    <m/>
    <s v="SOLFIN"/>
    <s v="SOLFIN"/>
    <s v="CCMS"/>
    <n v="21360662"/>
    <n v="1933.89"/>
    <m/>
    <s v="N"/>
    <n v="10"/>
    <d v="2023-07-11T19:00:28"/>
    <s v="Y"/>
    <s v="Preparation - other"/>
    <s v="Care Remuneration Hourly Rates"/>
    <s v="Profit Cost"/>
    <s v="SNE"/>
    <s v="Y"/>
    <n v="5.84"/>
    <n v="1.17"/>
    <x v="7"/>
    <s v="VALIDATED"/>
    <n v="1"/>
    <s v="01.11.80.305.6100.0000"/>
    <n v="5.84"/>
    <s v="11"/>
    <s v="6100"/>
    <n v="6382.1"/>
    <n v="5.84"/>
    <s v="CREDITOR"/>
    <n v="0"/>
    <n v="0"/>
    <n v="0"/>
    <n v="0"/>
    <n v="5.84"/>
  </r>
  <r>
    <n v="11579209"/>
    <s v="N"/>
    <n v="21350008"/>
    <s v="3000006977400014"/>
    <s v="CIVIL"/>
    <d v="2023-06-30T00:00:00"/>
    <d v="2023-07-10T19:01:40"/>
    <m/>
    <d v="2023-07-10T00:00:00"/>
    <n v="1439"/>
    <n v="19330"/>
    <s v="11579209"/>
    <s v="11579209"/>
    <m/>
    <m/>
    <n v="22800924"/>
    <m/>
    <m/>
    <m/>
    <s v="SOLFIN"/>
    <s v="SOLFIN"/>
    <s v="CCMS"/>
    <n v="21350008"/>
    <n v="17531.26"/>
    <m/>
    <s v="N"/>
    <n v="16"/>
    <d v="2023-07-10T19:02:09"/>
    <s v="Y"/>
    <s v="Advocates Meeting"/>
    <s v="Public Law Children"/>
    <s v="Advocacy"/>
    <s v="CAB"/>
    <s v="Y"/>
    <n v="140.99"/>
    <n v="28.2"/>
    <x v="2"/>
    <s v="VALIDATED"/>
    <n v="1"/>
    <s v="01.11.80.308.6100.0000"/>
    <n v="140.99"/>
    <s v="11"/>
    <s v="6100"/>
    <n v="6382.1"/>
    <n v="140.99"/>
    <s v="CREDITOR"/>
    <n v="0"/>
    <n v="0"/>
    <n v="0"/>
    <n v="0"/>
    <n v="140.99"/>
  </r>
  <r>
    <n v="61455874"/>
    <s v="N"/>
    <n v="21360662"/>
    <s v="3000015572930002"/>
    <s v="CIVIL"/>
    <d v="2023-06-29T00:00:00"/>
    <d v="2023-07-11T19:00:25"/>
    <m/>
    <d v="2023-07-11T00:00:00"/>
    <n v="1439"/>
    <n v="19330"/>
    <s v="61455874"/>
    <s v="61455874"/>
    <m/>
    <m/>
    <n v="22793212"/>
    <m/>
    <m/>
    <m/>
    <s v="SOLFIN"/>
    <s v="SOLFIN"/>
    <s v="CCMS"/>
    <n v="21360662"/>
    <n v="1933.89"/>
    <m/>
    <s v="N"/>
    <n v="30"/>
    <d v="2023-07-11T19:00:28"/>
    <s v="Y"/>
    <s v="Routine Telephone Call"/>
    <s v="Care Remuneration Hourly Rates"/>
    <s v="Profit Cost"/>
    <s v="LOS"/>
    <s v="Y"/>
    <n v="7.38"/>
    <n v="1.48"/>
    <x v="7"/>
    <s v="VALIDATED"/>
    <n v="1"/>
    <s v="01.11.80.305.6100.0000"/>
    <n v="7.38"/>
    <s v="11"/>
    <s v="6100"/>
    <n v="6382.1"/>
    <n v="7.38"/>
    <s v="CREDITOR"/>
    <n v="0"/>
    <n v="0"/>
    <n v="0"/>
    <n v="0"/>
    <n v="7.38"/>
  </r>
  <r>
    <n v="61455874"/>
    <s v="N"/>
    <n v="21360662"/>
    <s v="3000015572930002"/>
    <s v="CIVIL"/>
    <d v="2023-06-29T00:00:00"/>
    <d v="2023-07-11T19:00:25"/>
    <m/>
    <d v="2023-07-11T00:00:00"/>
    <n v="1439"/>
    <n v="19330"/>
    <s v="61455874"/>
    <s v="61455874"/>
    <m/>
    <m/>
    <n v="22793212"/>
    <m/>
    <m/>
    <m/>
    <s v="SOLFIN"/>
    <s v="SOLFIN"/>
    <s v="CCMS"/>
    <n v="21360662"/>
    <n v="1933.89"/>
    <m/>
    <s v="N"/>
    <n v="31"/>
    <d v="2023-07-11T19:00:28"/>
    <s v="Y"/>
    <s v="Routine Letter Out"/>
    <s v="Care Remuneration Hourly Rates"/>
    <s v="Profit Cost"/>
    <s v="LOS"/>
    <s v="Y"/>
    <n v="343.17"/>
    <n v="68.63"/>
    <x v="7"/>
    <s v="VALIDATED"/>
    <n v="1"/>
    <s v="01.11.80.305.6100.0000"/>
    <n v="343.17"/>
    <s v="11"/>
    <s v="6100"/>
    <n v="6382.1"/>
    <n v="343.17"/>
    <s v="CREDITOR"/>
    <n v="0"/>
    <n v="0"/>
    <n v="0"/>
    <n v="0"/>
    <n v="343.17"/>
  </r>
  <r>
    <n v="11579209"/>
    <s v="N"/>
    <n v="21350008"/>
    <s v="3000006977400014"/>
    <s v="CIVIL"/>
    <d v="2023-06-30T00:00:00"/>
    <d v="2023-07-10T19:01:40"/>
    <m/>
    <d v="2023-07-10T00:00:00"/>
    <n v="1439"/>
    <n v="19330"/>
    <s v="11579209"/>
    <s v="11579209"/>
    <m/>
    <m/>
    <n v="22800924"/>
    <m/>
    <m/>
    <m/>
    <s v="SOLFIN"/>
    <s v="SOLFIN"/>
    <s v="CCMS"/>
    <n v="21350008"/>
    <n v="17531.26"/>
    <m/>
    <s v="N"/>
    <n v="7"/>
    <d v="2023-07-10T19:02:09"/>
    <s v="Y"/>
    <s v="Hearing Unit 1.01 - 2.30 Hours"/>
    <s v="Public Law Children"/>
    <s v="Advocacy"/>
    <s v="MEH"/>
    <s v="Y"/>
    <n v="238.46"/>
    <n v="47.69"/>
    <x v="2"/>
    <s v="VALIDATED"/>
    <n v="1"/>
    <s v="01.11.80.308.6100.0000"/>
    <n v="238.46"/>
    <s v="11"/>
    <s v="6100"/>
    <n v="6382.1"/>
    <n v="238.46"/>
    <s v="CREDITOR"/>
    <n v="0"/>
    <n v="0"/>
    <n v="0"/>
    <n v="0"/>
    <n v="238.46"/>
  </r>
  <r>
    <n v="11579209"/>
    <s v="N"/>
    <n v="21350008"/>
    <s v="3000006977400014"/>
    <s v="CIVIL"/>
    <d v="2023-06-30T00:00:00"/>
    <d v="2023-07-10T19:01:40"/>
    <m/>
    <d v="2023-07-10T00:00:00"/>
    <n v="1439"/>
    <n v="19330"/>
    <s v="11579209"/>
    <s v="11579209"/>
    <m/>
    <m/>
    <n v="22800924"/>
    <m/>
    <m/>
    <m/>
    <s v="SOLFIN"/>
    <s v="SOLFIN"/>
    <s v="CCMS"/>
    <n v="21350008"/>
    <n v="17531.26"/>
    <m/>
    <s v="N"/>
    <n v="10"/>
    <d v="2023-07-10T19:02:09"/>
    <s v="Y"/>
    <s v="Hearing Unit 2.31 - 5.00 Hours"/>
    <s v="Public Law Children"/>
    <s v="Advocacy"/>
    <s v="MEH"/>
    <s v="Y"/>
    <n v="476.92"/>
    <n v="95.38"/>
    <x v="2"/>
    <s v="VALIDATED"/>
    <n v="1"/>
    <s v="01.11.80.308.6100.0000"/>
    <n v="476.92"/>
    <s v="11"/>
    <s v="6100"/>
    <n v="6382.1"/>
    <n v="476.92"/>
    <s v="CREDITOR"/>
    <n v="0"/>
    <n v="0"/>
    <n v="0"/>
    <n v="0"/>
    <n v="476.92"/>
  </r>
  <r>
    <n v="11579209"/>
    <s v="N"/>
    <n v="21356693"/>
    <s v="3000006977400001RC"/>
    <s v="CIVIL"/>
    <d v="2023-06-30T00:00:00"/>
    <d v="2023-07-10T19:47:44"/>
    <m/>
    <d v="2023-07-10T00:00:00"/>
    <n v="1439"/>
    <n v="19330"/>
    <s v="11579209"/>
    <s v="11579209"/>
    <m/>
    <m/>
    <m/>
    <m/>
    <m/>
    <m/>
    <s v="SOLRECOUP"/>
    <s v="SOLRECOUP"/>
    <s v="POARECOUP"/>
    <n v="21356693"/>
    <n v="-643.58"/>
    <m/>
    <s v="Y"/>
    <n v="1"/>
    <d v="2023-07-10T19:47:46"/>
    <s v="N"/>
    <m/>
    <m/>
    <s v="Expert Disbursement"/>
    <m/>
    <s v="N"/>
    <n v="-536.3200000000001"/>
    <n v="0"/>
    <x v="2"/>
    <s v="VALIDATED"/>
    <n v="1"/>
    <s v="01.11.80.308.2013.0000"/>
    <n v="-536.3200000000001"/>
    <s v="11"/>
    <s v="2013"/>
    <n v="6382.1"/>
    <n v="-536.3200000000001"/>
    <s v="CREDITOR"/>
    <n v="0"/>
    <n v="0"/>
    <n v="-536.3200000000001"/>
    <n v="0"/>
    <n v="0"/>
  </r>
  <r>
    <n v="11579209"/>
    <s v="N"/>
    <n v="21356693"/>
    <s v="3000006977400001RC"/>
    <s v="CIVIL"/>
    <d v="2023-06-30T00:00:00"/>
    <d v="2023-07-10T19:47:44"/>
    <m/>
    <d v="2023-07-10T00:00:00"/>
    <n v="1439"/>
    <n v="19330"/>
    <s v="11579209"/>
    <s v="11579209"/>
    <m/>
    <m/>
    <m/>
    <m/>
    <m/>
    <m/>
    <s v="SOLRECOUP"/>
    <s v="SOLRECOUP"/>
    <s v="POARECOUP"/>
    <n v="21356693"/>
    <n v="-643.58"/>
    <m/>
    <s v="Y"/>
    <n v="2"/>
    <d v="2023-07-10T19:47:46"/>
    <s v="N"/>
    <m/>
    <m/>
    <s v="Expert Disbursement"/>
    <m/>
    <s v="N"/>
    <n v="0"/>
    <n v="-107.26"/>
    <x v="2"/>
    <s v="VALIDATED"/>
    <n v="1"/>
    <s v="01.11.80.308.2013.0000"/>
    <n v="-107.26"/>
    <s v="11"/>
    <s v="2013"/>
    <n v="6382.1"/>
    <n v="-107.26"/>
    <s v="CREDITOR"/>
    <n v="0"/>
    <n v="0"/>
    <n v="-107.26"/>
    <n v="0"/>
    <n v="0"/>
  </r>
  <r>
    <n v="11579209"/>
    <s v="N"/>
    <n v="21356694"/>
    <s v="3000006977400004RC"/>
    <s v="CIVIL"/>
    <d v="2023-06-30T00:00:00"/>
    <d v="2023-07-10T19:47:44"/>
    <m/>
    <d v="2023-07-10T00:00:00"/>
    <n v="1439"/>
    <n v="19330"/>
    <s v="11579209"/>
    <s v="11579209"/>
    <m/>
    <m/>
    <m/>
    <m/>
    <m/>
    <m/>
    <s v="SOLRECOUP"/>
    <s v="SOLRECOUP"/>
    <s v="POARECOUP"/>
    <n v="21356694"/>
    <n v="-196.5"/>
    <m/>
    <s v="Y"/>
    <n v="1"/>
    <d v="2023-07-10T19:47:46"/>
    <s v="N"/>
    <m/>
    <m/>
    <s v="Expert Disbursement"/>
    <m/>
    <s v="N"/>
    <n v="-163.75"/>
    <n v="0"/>
    <x v="2"/>
    <s v="VALIDATED"/>
    <n v="1"/>
    <s v="01.11.80.308.2013.0000"/>
    <n v="-163.75"/>
    <s v="11"/>
    <s v="2013"/>
    <n v="6382.1"/>
    <n v="-163.75"/>
    <s v="CREDITOR"/>
    <n v="0"/>
    <n v="0"/>
    <n v="-163.75"/>
    <n v="0"/>
    <n v="0"/>
  </r>
  <r>
    <n v="11579209"/>
    <s v="N"/>
    <n v="21356694"/>
    <s v="3000006977400004RC"/>
    <s v="CIVIL"/>
    <d v="2023-06-30T00:00:00"/>
    <d v="2023-07-10T19:47:44"/>
    <m/>
    <d v="2023-07-10T00:00:00"/>
    <n v="1439"/>
    <n v="19330"/>
    <s v="11579209"/>
    <s v="11579209"/>
    <m/>
    <m/>
    <m/>
    <m/>
    <m/>
    <m/>
    <s v="SOLRECOUP"/>
    <s v="SOLRECOUP"/>
    <s v="POARECOUP"/>
    <n v="21356694"/>
    <n v="-196.5"/>
    <m/>
    <s v="Y"/>
    <n v="2"/>
    <d v="2023-07-10T19:47:46"/>
    <s v="N"/>
    <m/>
    <m/>
    <s v="Expert Disbursement"/>
    <m/>
    <s v="N"/>
    <n v="0"/>
    <n v="-32.75"/>
    <x v="2"/>
    <s v="VALIDATED"/>
    <n v="1"/>
    <s v="01.11.80.308.2013.0000"/>
    <n v="-32.75"/>
    <s v="11"/>
    <s v="2013"/>
    <n v="6382.1"/>
    <n v="-32.75"/>
    <s v="CREDITOR"/>
    <n v="0"/>
    <n v="0"/>
    <n v="-32.75"/>
    <n v="0"/>
    <n v="0"/>
  </r>
  <r>
    <n v="11579209"/>
    <s v="N"/>
    <n v="21356695"/>
    <s v="3000006977400002RC"/>
    <s v="CIVIL"/>
    <d v="2023-06-30T00:00:00"/>
    <d v="2023-07-10T19:47:44"/>
    <m/>
    <d v="2023-07-10T00:00:00"/>
    <n v="1439"/>
    <n v="19330"/>
    <s v="11579209"/>
    <s v="11579209"/>
    <m/>
    <m/>
    <m/>
    <m/>
    <m/>
    <m/>
    <s v="SOLRECOUP"/>
    <s v="SOLRECOUP"/>
    <s v="POARECOUP"/>
    <n v="21356695"/>
    <n v="-224.7"/>
    <m/>
    <s v="Y"/>
    <n v="1"/>
    <d v="2023-07-10T19:47:46"/>
    <s v="N"/>
    <m/>
    <m/>
    <s v="Expert Disbursement"/>
    <m/>
    <s v="N"/>
    <n v="-187.25"/>
    <n v="0"/>
    <x v="2"/>
    <s v="VALIDATED"/>
    <n v="1"/>
    <s v="01.11.80.308.2013.0000"/>
    <n v="-187.25"/>
    <s v="11"/>
    <s v="2013"/>
    <n v="6382.1"/>
    <n v="-187.25"/>
    <s v="CREDITOR"/>
    <n v="0"/>
    <n v="0"/>
    <n v="-187.25"/>
    <n v="0"/>
    <n v="0"/>
  </r>
  <r>
    <n v="11579209"/>
    <s v="N"/>
    <n v="21356695"/>
    <s v="3000006977400002RC"/>
    <s v="CIVIL"/>
    <d v="2023-06-30T00:00:00"/>
    <d v="2023-07-10T19:47:44"/>
    <m/>
    <d v="2023-07-10T00:00:00"/>
    <n v="1439"/>
    <n v="19330"/>
    <s v="11579209"/>
    <s v="11579209"/>
    <m/>
    <m/>
    <m/>
    <m/>
    <m/>
    <m/>
    <s v="SOLRECOUP"/>
    <s v="SOLRECOUP"/>
    <s v="POARECOUP"/>
    <n v="21356695"/>
    <n v="-224.7"/>
    <m/>
    <s v="Y"/>
    <n v="2"/>
    <d v="2023-07-10T19:47:46"/>
    <s v="N"/>
    <m/>
    <m/>
    <s v="Expert Disbursement"/>
    <m/>
    <s v="N"/>
    <n v="0"/>
    <n v="-37.45"/>
    <x v="2"/>
    <s v="VALIDATED"/>
    <n v="1"/>
    <s v="01.11.80.308.2013.0000"/>
    <n v="-37.45"/>
    <s v="11"/>
    <s v="2013"/>
    <n v="6382.1"/>
    <n v="-37.45"/>
    <s v="CREDITOR"/>
    <n v="0"/>
    <n v="0"/>
    <n v="-37.45"/>
    <n v="0"/>
    <n v="0"/>
  </r>
  <r>
    <n v="11579209"/>
    <s v="N"/>
    <n v="21356696"/>
    <s v="3000006977400007RC"/>
    <s v="CIVIL"/>
    <d v="2023-06-30T00:00:00"/>
    <d v="2023-07-10T19:47:44"/>
    <m/>
    <d v="2023-07-10T00:00:00"/>
    <n v="1439"/>
    <n v="19330"/>
    <s v="11579209"/>
    <s v="11579209"/>
    <m/>
    <m/>
    <m/>
    <m/>
    <m/>
    <m/>
    <s v="SOLRECOUP"/>
    <s v="SOLRECOUP"/>
    <s v="POARECOUP"/>
    <n v="21356696"/>
    <n v="-8561.59"/>
    <m/>
    <s v="Y"/>
    <n v="1"/>
    <d v="2023-07-10T19:47:46"/>
    <s v="N"/>
    <m/>
    <m/>
    <s v="Profit Cost"/>
    <m/>
    <s v="N"/>
    <n v="-7134.66"/>
    <n v="0"/>
    <x v="2"/>
    <s v="VALIDATED"/>
    <n v="1"/>
    <s v="01.11.80.308.2013.0000"/>
    <n v="-7134.66"/>
    <s v="11"/>
    <s v="2013"/>
    <n v="6382.1"/>
    <n v="-7134.66"/>
    <s v="CREDITOR"/>
    <n v="0"/>
    <n v="0"/>
    <n v="-7134.66"/>
    <n v="-1783.665"/>
    <n v="0"/>
  </r>
  <r>
    <n v="11579209"/>
    <s v="N"/>
    <n v="21356696"/>
    <s v="3000006977400007RC"/>
    <s v="CIVIL"/>
    <d v="2023-06-30T00:00:00"/>
    <d v="2023-07-10T19:47:44"/>
    <m/>
    <d v="2023-07-10T00:00:00"/>
    <n v="1439"/>
    <n v="19330"/>
    <s v="11579209"/>
    <s v="11579209"/>
    <m/>
    <m/>
    <m/>
    <m/>
    <m/>
    <m/>
    <s v="SOLRECOUP"/>
    <s v="SOLRECOUP"/>
    <s v="POARECOUP"/>
    <n v="21356696"/>
    <n v="-8561.59"/>
    <m/>
    <s v="Y"/>
    <n v="2"/>
    <d v="2023-07-10T19:47:46"/>
    <s v="N"/>
    <m/>
    <m/>
    <s v="Profit Cost"/>
    <m/>
    <s v="N"/>
    <n v="0"/>
    <n v="-1426.93"/>
    <x v="2"/>
    <s v="VALIDATED"/>
    <n v="1"/>
    <s v="01.11.80.308.2013.0000"/>
    <n v="-1426.93"/>
    <s v="11"/>
    <s v="2013"/>
    <n v="6382.1"/>
    <n v="-1426.93"/>
    <s v="CREDITOR"/>
    <n v="0"/>
    <n v="0"/>
    <n v="-1426.93"/>
    <n v="-356.7325"/>
    <n v="0"/>
  </r>
  <r>
    <n v="11579209"/>
    <s v="N"/>
    <n v="21356697"/>
    <s v="3000006977400008RC"/>
    <s v="CIVIL"/>
    <d v="2023-06-30T00:00:00"/>
    <d v="2023-07-10T19:47:44"/>
    <m/>
    <d v="2023-07-10T00:00:00"/>
    <n v="1439"/>
    <n v="19330"/>
    <s v="11579209"/>
    <s v="11579209"/>
    <m/>
    <m/>
    <m/>
    <m/>
    <m/>
    <m/>
    <s v="SOLRECOUP"/>
    <s v="SOLRECOUP"/>
    <s v="POARECOUP"/>
    <n v="21356697"/>
    <n v="-129.98"/>
    <m/>
    <s v="Y"/>
    <n v="1"/>
    <d v="2023-07-10T19:47:46"/>
    <s v="N"/>
    <m/>
    <m/>
    <s v="Expert Disbursement"/>
    <m/>
    <s v="N"/>
    <n v="-108.32"/>
    <n v="0"/>
    <x v="2"/>
    <s v="VALIDATED"/>
    <n v="1"/>
    <s v="01.11.80.308.2013.0000"/>
    <n v="-108.32"/>
    <s v="11"/>
    <s v="2013"/>
    <n v="6382.1"/>
    <n v="-108.32"/>
    <s v="CREDITOR"/>
    <n v="0"/>
    <n v="0"/>
    <n v="-108.32"/>
    <n v="0"/>
    <n v="0"/>
  </r>
  <r>
    <n v="11579209"/>
    <s v="N"/>
    <n v="21356697"/>
    <s v="3000006977400008RC"/>
    <s v="CIVIL"/>
    <d v="2023-06-30T00:00:00"/>
    <d v="2023-07-10T19:47:44"/>
    <m/>
    <d v="2023-07-10T00:00:00"/>
    <n v="1439"/>
    <n v="19330"/>
    <s v="11579209"/>
    <s v="11579209"/>
    <m/>
    <m/>
    <m/>
    <m/>
    <m/>
    <m/>
    <s v="SOLRECOUP"/>
    <s v="SOLRECOUP"/>
    <s v="POARECOUP"/>
    <n v="21356697"/>
    <n v="-129.98"/>
    <m/>
    <s v="Y"/>
    <n v="2"/>
    <d v="2023-07-10T19:47:46"/>
    <s v="N"/>
    <m/>
    <m/>
    <s v="Expert Disbursement"/>
    <m/>
    <s v="N"/>
    <n v="0"/>
    <n v="-21.66"/>
    <x v="2"/>
    <s v="VALIDATED"/>
    <n v="1"/>
    <s v="01.11.80.308.2013.0000"/>
    <n v="-21.66"/>
    <s v="11"/>
    <s v="2013"/>
    <n v="6382.1"/>
    <n v="-21.66"/>
    <s v="CREDITOR"/>
    <n v="0"/>
    <n v="0"/>
    <n v="-21.66"/>
    <n v="0"/>
    <n v="0"/>
  </r>
  <r>
    <n v="11579209"/>
    <s v="N"/>
    <n v="21356698"/>
    <s v="3000006977400010RC"/>
    <s v="CIVIL"/>
    <d v="2023-06-30T00:00:00"/>
    <d v="2023-07-10T19:47:44"/>
    <m/>
    <d v="2023-07-10T00:00:00"/>
    <n v="1439"/>
    <n v="19330"/>
    <s v="11579209"/>
    <s v="11579209"/>
    <m/>
    <m/>
    <m/>
    <m/>
    <m/>
    <m/>
    <s v="SOLRECOUP"/>
    <s v="SOLRECOUP"/>
    <s v="POARECOUP"/>
    <n v="21356698"/>
    <n v="-130"/>
    <m/>
    <s v="Y"/>
    <n v="1"/>
    <d v="2023-07-10T19:47:46"/>
    <s v="N"/>
    <m/>
    <m/>
    <s v="Expert Disbursement"/>
    <m/>
    <s v="N"/>
    <n v="-108.33"/>
    <n v="0"/>
    <x v="2"/>
    <s v="VALIDATED"/>
    <n v="1"/>
    <s v="01.11.80.308.2013.0000"/>
    <n v="-108.33"/>
    <s v="11"/>
    <s v="2013"/>
    <n v="6382.1"/>
    <n v="-108.33"/>
    <s v="CREDITOR"/>
    <n v="0"/>
    <n v="0"/>
    <n v="-108.33"/>
    <n v="0"/>
    <n v="0"/>
  </r>
  <r>
    <n v="11579209"/>
    <s v="N"/>
    <n v="21356698"/>
    <s v="3000006977400010RC"/>
    <s v="CIVIL"/>
    <d v="2023-06-30T00:00:00"/>
    <d v="2023-07-10T19:47:44"/>
    <m/>
    <d v="2023-07-10T00:00:00"/>
    <n v="1439"/>
    <n v="19330"/>
    <s v="11579209"/>
    <s v="11579209"/>
    <m/>
    <m/>
    <m/>
    <m/>
    <m/>
    <m/>
    <s v="SOLRECOUP"/>
    <s v="SOLRECOUP"/>
    <s v="POARECOUP"/>
    <n v="21356698"/>
    <n v="-130"/>
    <m/>
    <s v="Y"/>
    <n v="2"/>
    <d v="2023-07-10T19:47:46"/>
    <s v="N"/>
    <m/>
    <m/>
    <s v="Expert Disbursement"/>
    <m/>
    <s v="N"/>
    <n v="0"/>
    <n v="-21.67"/>
    <x v="2"/>
    <s v="VALIDATED"/>
    <n v="1"/>
    <s v="01.11.80.308.2013.0000"/>
    <n v="-21.67"/>
    <s v="11"/>
    <s v="2013"/>
    <n v="6382.1"/>
    <n v="-21.67"/>
    <s v="CREDITOR"/>
    <n v="0"/>
    <n v="0"/>
    <n v="-21.67"/>
    <n v="0"/>
    <n v="0"/>
  </r>
  <r>
    <n v="61024089"/>
    <s v="N"/>
    <n v="21361561"/>
    <s v="3000015226910001RC"/>
    <s v="CIVIL"/>
    <d v="2023-06-30T00:00:00"/>
    <d v="2023-07-11T19:38:00"/>
    <m/>
    <d v="2023-07-11T00:00:00"/>
    <n v="1456"/>
    <n v="14783"/>
    <s v="61024089"/>
    <s v="61024089"/>
    <m/>
    <m/>
    <m/>
    <m/>
    <m/>
    <m/>
    <s v="SOLRECOUP"/>
    <s v="SOLRECOUP"/>
    <s v="POARECOUP"/>
    <n v="21361561"/>
    <n v="-130.2"/>
    <m/>
    <s v="Y"/>
    <n v="1"/>
    <d v="2023-07-11T19:38:01"/>
    <s v="N"/>
    <m/>
    <m/>
    <s v="Expert Disbursement"/>
    <m/>
    <s v="N"/>
    <n v="-108.5"/>
    <n v="0"/>
    <x v="7"/>
    <s v="VALIDATED"/>
    <n v="1"/>
    <s v="01.11.80.308.2013.0000"/>
    <n v="-108.5"/>
    <s v="11"/>
    <s v="2013"/>
    <n v="8475.77"/>
    <n v="-108.5"/>
    <s v="CREDITOR"/>
    <n v="0"/>
    <n v="0"/>
    <n v="-108.5"/>
    <n v="0"/>
    <n v="0"/>
  </r>
  <r>
    <n v="61024089"/>
    <s v="N"/>
    <n v="21361561"/>
    <s v="3000015226910001RC"/>
    <s v="CIVIL"/>
    <d v="2023-06-30T00:00:00"/>
    <d v="2023-07-11T19:38:00"/>
    <m/>
    <d v="2023-07-11T00:00:00"/>
    <n v="1456"/>
    <n v="14783"/>
    <s v="61024089"/>
    <s v="61024089"/>
    <m/>
    <m/>
    <m/>
    <m/>
    <m/>
    <m/>
    <s v="SOLRECOUP"/>
    <s v="SOLRECOUP"/>
    <s v="POARECOUP"/>
    <n v="21361561"/>
    <n v="-130.2"/>
    <m/>
    <s v="Y"/>
    <n v="2"/>
    <d v="2023-07-11T19:38:01"/>
    <s v="N"/>
    <m/>
    <m/>
    <s v="Expert Disbursement"/>
    <m/>
    <s v="N"/>
    <n v="0"/>
    <n v="-21.7"/>
    <x v="7"/>
    <s v="VALIDATED"/>
    <n v="1"/>
    <s v="01.11.80.308.2013.0000"/>
    <n v="-21.7"/>
    <s v="11"/>
    <s v="2013"/>
    <n v="8475.77"/>
    <n v="-21.7"/>
    <s v="CREDITOR"/>
    <n v="0"/>
    <n v="0"/>
    <n v="-21.7"/>
    <n v="0"/>
    <n v="0"/>
  </r>
  <r>
    <n v="61024089"/>
    <s v="N"/>
    <n v="21361562"/>
    <s v="3000015226910006RC"/>
    <s v="CIVIL"/>
    <d v="2023-06-30T00:00:00"/>
    <d v="2023-07-11T19:38:00"/>
    <m/>
    <d v="2023-07-11T00:00:00"/>
    <n v="1456"/>
    <n v="14783"/>
    <s v="61024089"/>
    <s v="61024089"/>
    <m/>
    <m/>
    <m/>
    <m/>
    <m/>
    <m/>
    <s v="SOLRECOUP"/>
    <s v="SOLRECOUP"/>
    <s v="POARECOUP"/>
    <n v="21361562"/>
    <n v="-123.68"/>
    <m/>
    <s v="Y"/>
    <n v="1"/>
    <d v="2023-07-11T19:38:01"/>
    <s v="N"/>
    <m/>
    <m/>
    <s v="Expert Disbursement"/>
    <m/>
    <s v="N"/>
    <n v="-103.07"/>
    <n v="0"/>
    <x v="7"/>
    <s v="VALIDATED"/>
    <n v="1"/>
    <s v="01.11.80.308.2013.0000"/>
    <n v="-103.07"/>
    <s v="11"/>
    <s v="2013"/>
    <n v="8475.77"/>
    <n v="-103.07"/>
    <s v="CREDITOR"/>
    <n v="0"/>
    <n v="0"/>
    <n v="-103.07"/>
    <n v="0"/>
    <n v="0"/>
  </r>
  <r>
    <n v="61024089"/>
    <s v="N"/>
    <n v="21361562"/>
    <s v="3000015226910006RC"/>
    <s v="CIVIL"/>
    <d v="2023-06-30T00:00:00"/>
    <d v="2023-07-11T19:38:00"/>
    <m/>
    <d v="2023-07-11T00:00:00"/>
    <n v="1456"/>
    <n v="14783"/>
    <s v="61024089"/>
    <s v="61024089"/>
    <m/>
    <m/>
    <m/>
    <m/>
    <m/>
    <m/>
    <s v="SOLRECOUP"/>
    <s v="SOLRECOUP"/>
    <s v="POARECOUP"/>
    <n v="21361562"/>
    <n v="-123.68"/>
    <m/>
    <s v="Y"/>
    <n v="2"/>
    <d v="2023-07-11T19:38:01"/>
    <s v="N"/>
    <m/>
    <m/>
    <s v="Expert Disbursement"/>
    <m/>
    <s v="N"/>
    <n v="0"/>
    <n v="-20.61"/>
    <x v="7"/>
    <s v="VALIDATED"/>
    <n v="1"/>
    <s v="01.11.80.308.2013.0000"/>
    <n v="-20.61"/>
    <s v="11"/>
    <s v="2013"/>
    <n v="8475.77"/>
    <n v="-20.61"/>
    <s v="CREDITOR"/>
    <n v="0"/>
    <n v="0"/>
    <n v="-20.61"/>
    <n v="0"/>
    <n v="0"/>
  </r>
  <r>
    <n v="61024089"/>
    <s v="N"/>
    <n v="21361563"/>
    <s v="3000015226910002RC"/>
    <s v="CIVIL"/>
    <d v="2023-06-30T00:00:00"/>
    <d v="2023-07-11T19:38:00"/>
    <m/>
    <d v="2023-07-11T00:00:00"/>
    <n v="1456"/>
    <n v="14783"/>
    <s v="61024089"/>
    <s v="61024089"/>
    <m/>
    <m/>
    <m/>
    <m/>
    <m/>
    <m/>
    <s v="SOLRECOUP"/>
    <s v="SOLRECOUP"/>
    <s v="POARECOUP"/>
    <n v="21361563"/>
    <n v="-150"/>
    <m/>
    <s v="Y"/>
    <n v="1"/>
    <d v="2023-07-11T19:38:01"/>
    <s v="N"/>
    <m/>
    <m/>
    <s v="Expert Disbursement"/>
    <m/>
    <s v="N"/>
    <n v="-125"/>
    <n v="0"/>
    <x v="7"/>
    <s v="VALIDATED"/>
    <n v="1"/>
    <s v="01.11.80.308.2013.0000"/>
    <n v="-125"/>
    <s v="11"/>
    <s v="2013"/>
    <n v="8475.77"/>
    <n v="-125"/>
    <s v="CREDITOR"/>
    <n v="0"/>
    <n v="0"/>
    <n v="-125"/>
    <n v="0"/>
    <n v="0"/>
  </r>
  <r>
    <n v="61024089"/>
    <s v="N"/>
    <n v="21361563"/>
    <s v="3000015226910002RC"/>
    <s v="CIVIL"/>
    <d v="2023-06-30T00:00:00"/>
    <d v="2023-07-11T19:38:00"/>
    <m/>
    <d v="2023-07-11T00:00:00"/>
    <n v="1456"/>
    <n v="14783"/>
    <s v="61024089"/>
    <s v="61024089"/>
    <m/>
    <m/>
    <m/>
    <m/>
    <m/>
    <m/>
    <s v="SOLRECOUP"/>
    <s v="SOLRECOUP"/>
    <s v="POARECOUP"/>
    <n v="21361563"/>
    <n v="-150"/>
    <m/>
    <s v="Y"/>
    <n v="2"/>
    <d v="2023-07-11T19:38:01"/>
    <s v="N"/>
    <m/>
    <m/>
    <s v="Expert Disbursement"/>
    <m/>
    <s v="N"/>
    <n v="0"/>
    <n v="-25"/>
    <x v="7"/>
    <s v="VALIDATED"/>
    <n v="1"/>
    <s v="01.11.80.308.2013.0000"/>
    <n v="-25"/>
    <s v="11"/>
    <s v="2013"/>
    <n v="8475.77"/>
    <n v="-25"/>
    <s v="CREDITOR"/>
    <n v="0"/>
    <n v="0"/>
    <n v="-25"/>
    <n v="0"/>
    <n v="0"/>
  </r>
  <r>
    <n v="61024089"/>
    <s v="N"/>
    <n v="21361564"/>
    <s v="3000015226910004RC"/>
    <s v="CIVIL"/>
    <d v="2023-06-30T00:00:00"/>
    <d v="2023-07-11T19:38:00"/>
    <m/>
    <d v="2023-07-11T00:00:00"/>
    <n v="1456"/>
    <n v="14783"/>
    <s v="61024089"/>
    <s v="61024089"/>
    <m/>
    <m/>
    <m/>
    <m/>
    <m/>
    <m/>
    <s v="SOLRECOUP"/>
    <s v="SOLRECOUP"/>
    <s v="POARECOUP"/>
    <n v="21361564"/>
    <n v="-1393.64"/>
    <m/>
    <s v="Y"/>
    <n v="1"/>
    <d v="2023-07-11T19:38:01"/>
    <s v="N"/>
    <m/>
    <m/>
    <s v="Profit Cost"/>
    <m/>
    <s v="N"/>
    <n v="-1161.37"/>
    <n v="0"/>
    <x v="7"/>
    <s v="VALIDATED"/>
    <n v="1"/>
    <s v="01.11.80.308.2013.0000"/>
    <n v="-1161.37"/>
    <s v="11"/>
    <s v="2013"/>
    <n v="8475.77"/>
    <n v="-1161.37"/>
    <s v="CREDITOR"/>
    <n v="0"/>
    <n v="0"/>
    <n v="-1161.37"/>
    <n v="-290.3425"/>
    <n v="0"/>
  </r>
  <r>
    <n v="61024089"/>
    <s v="N"/>
    <n v="21361564"/>
    <s v="3000015226910004RC"/>
    <s v="CIVIL"/>
    <d v="2023-06-30T00:00:00"/>
    <d v="2023-07-11T19:38:00"/>
    <m/>
    <d v="2023-07-11T00:00:00"/>
    <n v="1456"/>
    <n v="14783"/>
    <s v="61024089"/>
    <s v="61024089"/>
    <m/>
    <m/>
    <m/>
    <m/>
    <m/>
    <m/>
    <s v="SOLRECOUP"/>
    <s v="SOLRECOUP"/>
    <s v="POARECOUP"/>
    <n v="21361564"/>
    <n v="-1393.64"/>
    <m/>
    <s v="Y"/>
    <n v="2"/>
    <d v="2023-07-11T19:38:01"/>
    <s v="N"/>
    <m/>
    <m/>
    <s v="Profit Cost"/>
    <m/>
    <s v="N"/>
    <n v="0"/>
    <n v="-232.27"/>
    <x v="7"/>
    <s v="VALIDATED"/>
    <n v="1"/>
    <s v="01.11.80.308.2013.0000"/>
    <n v="-232.27"/>
    <s v="11"/>
    <s v="2013"/>
    <n v="8475.77"/>
    <n v="-232.27"/>
    <s v="CREDITOR"/>
    <n v="0"/>
    <n v="0"/>
    <n v="-232.27"/>
    <n v="-58.0675"/>
    <n v="0"/>
  </r>
  <r>
    <n v="61024089"/>
    <s v="N"/>
    <n v="21361565"/>
    <s v="3000015226910005RC"/>
    <s v="CIVIL"/>
    <d v="2023-06-30T00:00:00"/>
    <d v="2023-07-11T19:38:00"/>
    <m/>
    <d v="2023-07-11T00:00:00"/>
    <n v="1456"/>
    <n v="14783"/>
    <s v="61024089"/>
    <s v="61024089"/>
    <m/>
    <m/>
    <m/>
    <m/>
    <m/>
    <m/>
    <s v="SOLRECOUP"/>
    <s v="SOLRECOUP"/>
    <s v="POARECOUP"/>
    <n v="21361565"/>
    <n v="-108.38"/>
    <m/>
    <s v="Y"/>
    <n v="1"/>
    <d v="2023-07-11T19:38:01"/>
    <s v="N"/>
    <m/>
    <m/>
    <s v="Expert Disbursement"/>
    <m/>
    <s v="N"/>
    <n v="-90.31999999999999"/>
    <n v="0"/>
    <x v="7"/>
    <s v="VALIDATED"/>
    <n v="1"/>
    <s v="01.11.80.308.2013.0000"/>
    <n v="-90.31999999999999"/>
    <s v="11"/>
    <s v="2013"/>
    <n v="8475.77"/>
    <n v="-90.31999999999999"/>
    <s v="CREDITOR"/>
    <n v="0"/>
    <n v="0"/>
    <n v="-90.31999999999999"/>
    <n v="0"/>
    <n v="0"/>
  </r>
  <r>
    <n v="61024089"/>
    <s v="N"/>
    <n v="21361565"/>
    <s v="3000015226910005RC"/>
    <s v="CIVIL"/>
    <d v="2023-06-30T00:00:00"/>
    <d v="2023-07-11T19:38:00"/>
    <m/>
    <d v="2023-07-11T00:00:00"/>
    <n v="1456"/>
    <n v="14783"/>
    <s v="61024089"/>
    <s v="61024089"/>
    <m/>
    <m/>
    <m/>
    <m/>
    <m/>
    <m/>
    <s v="SOLRECOUP"/>
    <s v="SOLRECOUP"/>
    <s v="POARECOUP"/>
    <n v="21361565"/>
    <n v="-108.38"/>
    <m/>
    <s v="Y"/>
    <n v="2"/>
    <d v="2023-07-11T19:38:01"/>
    <s v="N"/>
    <m/>
    <m/>
    <s v="Expert Disbursement"/>
    <m/>
    <s v="N"/>
    <n v="0"/>
    <n v="-18.06"/>
    <x v="7"/>
    <s v="VALIDATED"/>
    <n v="1"/>
    <s v="01.11.80.308.2013.0000"/>
    <n v="-18.06"/>
    <s v="11"/>
    <s v="2013"/>
    <n v="8475.77"/>
    <n v="-18.06"/>
    <s v="CREDITOR"/>
    <n v="0"/>
    <n v="0"/>
    <n v="-18.06"/>
    <n v="0"/>
    <n v="0"/>
  </r>
  <r>
    <n v="61024089"/>
    <s v="N"/>
    <n v="21361566"/>
    <s v="3000015226910003RC"/>
    <s v="CIVIL"/>
    <d v="2023-06-30T00:00:00"/>
    <d v="2023-07-11T19:38:00"/>
    <m/>
    <d v="2023-07-11T00:00:00"/>
    <n v="1456"/>
    <n v="14783"/>
    <s v="61024089"/>
    <s v="61024089"/>
    <m/>
    <m/>
    <m/>
    <m/>
    <m/>
    <m/>
    <s v="SOLRECOUP"/>
    <s v="SOLRECOUP"/>
    <s v="POARECOUP"/>
    <n v="21361566"/>
    <n v="-150"/>
    <m/>
    <s v="Y"/>
    <n v="1"/>
    <d v="2023-07-11T19:38:01"/>
    <s v="N"/>
    <m/>
    <m/>
    <s v="Expert Disbursement"/>
    <m/>
    <s v="N"/>
    <n v="-125"/>
    <n v="0"/>
    <x v="7"/>
    <s v="VALIDATED"/>
    <n v="1"/>
    <s v="01.11.80.308.2013.0000"/>
    <n v="-125"/>
    <s v="11"/>
    <s v="2013"/>
    <n v="8475.77"/>
    <n v="-125"/>
    <s v="CREDITOR"/>
    <n v="0"/>
    <n v="0"/>
    <n v="-125"/>
    <n v="0"/>
    <n v="0"/>
  </r>
  <r>
    <n v="61024089"/>
    <s v="N"/>
    <n v="21361566"/>
    <s v="3000015226910003RC"/>
    <s v="CIVIL"/>
    <d v="2023-06-30T00:00:00"/>
    <d v="2023-07-11T19:38:00"/>
    <m/>
    <d v="2023-07-11T00:00:00"/>
    <n v="1456"/>
    <n v="14783"/>
    <s v="61024089"/>
    <s v="61024089"/>
    <m/>
    <m/>
    <m/>
    <m/>
    <m/>
    <m/>
    <s v="SOLRECOUP"/>
    <s v="SOLRECOUP"/>
    <s v="POARECOUP"/>
    <n v="21361566"/>
    <n v="-150"/>
    <m/>
    <s v="Y"/>
    <n v="2"/>
    <d v="2023-07-11T19:38:01"/>
    <s v="N"/>
    <m/>
    <m/>
    <s v="Expert Disbursement"/>
    <m/>
    <s v="N"/>
    <n v="0"/>
    <n v="-25"/>
    <x v="7"/>
    <s v="VALIDATED"/>
    <n v="1"/>
    <s v="01.11.80.308.2013.0000"/>
    <n v="-25"/>
    <s v="11"/>
    <s v="2013"/>
    <n v="8475.77"/>
    <n v="-25"/>
    <s v="CREDITOR"/>
    <n v="0"/>
    <n v="0"/>
    <n v="-25"/>
    <n v="0"/>
    <n v="0"/>
  </r>
  <r>
    <n v="61024089"/>
    <s v="N"/>
    <n v="21361567"/>
    <s v="3000015226910007RC"/>
    <s v="CIVIL"/>
    <d v="2023-06-30T00:00:00"/>
    <d v="2023-07-11T19:38:00"/>
    <m/>
    <d v="2023-07-11T00:00:00"/>
    <n v="1456"/>
    <n v="14783"/>
    <s v="61024089"/>
    <s v="61024089"/>
    <m/>
    <m/>
    <m/>
    <m/>
    <m/>
    <m/>
    <s v="SOLRECOUP"/>
    <s v="SOLRECOUP"/>
    <s v="POARECOUP"/>
    <n v="21361567"/>
    <n v="-130.2"/>
    <m/>
    <s v="Y"/>
    <n v="1"/>
    <d v="2023-07-11T19:38:01"/>
    <s v="N"/>
    <m/>
    <m/>
    <s v="Expert Disbursement"/>
    <m/>
    <s v="N"/>
    <n v="-108.5"/>
    <n v="0"/>
    <x v="7"/>
    <s v="VALIDATED"/>
    <n v="1"/>
    <s v="01.11.80.308.2013.0000"/>
    <n v="-108.5"/>
    <s v="11"/>
    <s v="2013"/>
    <n v="8475.77"/>
    <n v="-108.5"/>
    <s v="CREDITOR"/>
    <n v="0"/>
    <n v="0"/>
    <n v="-108.5"/>
    <n v="0"/>
    <n v="0"/>
  </r>
  <r>
    <n v="61024089"/>
    <s v="N"/>
    <n v="21361567"/>
    <s v="3000015226910007RC"/>
    <s v="CIVIL"/>
    <d v="2023-06-30T00:00:00"/>
    <d v="2023-07-11T19:38:00"/>
    <m/>
    <d v="2023-07-11T00:00:00"/>
    <n v="1456"/>
    <n v="14783"/>
    <s v="61024089"/>
    <s v="61024089"/>
    <m/>
    <m/>
    <m/>
    <m/>
    <m/>
    <m/>
    <s v="SOLRECOUP"/>
    <s v="SOLRECOUP"/>
    <s v="POARECOUP"/>
    <n v="21361567"/>
    <n v="-130.2"/>
    <m/>
    <s v="Y"/>
    <n v="2"/>
    <d v="2023-07-11T19:38:01"/>
    <s v="N"/>
    <m/>
    <m/>
    <s v="Expert Disbursement"/>
    <m/>
    <s v="N"/>
    <n v="0"/>
    <n v="-21.7"/>
    <x v="7"/>
    <s v="VALIDATED"/>
    <n v="1"/>
    <s v="01.11.80.308.2013.0000"/>
    <n v="-21.7"/>
    <s v="11"/>
    <s v="2013"/>
    <n v="8475.77"/>
    <n v="-21.7"/>
    <s v="CREDITOR"/>
    <n v="0"/>
    <n v="0"/>
    <n v="-21.7"/>
    <n v="0"/>
    <n v="0"/>
  </r>
  <r>
    <n v="61024089"/>
    <s v="N"/>
    <n v="21360997"/>
    <s v="3000015226910008"/>
    <s v="CIVIL"/>
    <d v="2023-06-30T00:00:00"/>
    <d v="2023-07-11T19:00:25"/>
    <m/>
    <d v="2023-07-11T00:00:00"/>
    <n v="1456"/>
    <n v="14783"/>
    <s v="61024089"/>
    <s v="61024089"/>
    <m/>
    <m/>
    <n v="22798658"/>
    <m/>
    <m/>
    <m/>
    <s v="SOLFIN"/>
    <s v="SOLFIN"/>
    <s v="CCMS"/>
    <n v="21360997"/>
    <n v="6832.38"/>
    <m/>
    <s v="N"/>
    <n v="5"/>
    <d v="2023-07-11T19:00:42"/>
    <s v="Y"/>
    <s v="Solicitor Travel Mileage"/>
    <s v="Public Law Children"/>
    <s v="Non Expert Disbursement"/>
    <s v="Teresa Campone"/>
    <s v="Y"/>
    <n v="18"/>
    <n v="3.6"/>
    <x v="7"/>
    <s v="VALIDATED"/>
    <n v="1"/>
    <s v="01.11.80.308.6300.0000"/>
    <n v="18"/>
    <s v="11"/>
    <s v="6300"/>
    <n v="8475.77"/>
    <n v="18"/>
    <s v="CREDITOR"/>
    <n v="0"/>
    <n v="0"/>
    <n v="0"/>
    <n v="0"/>
    <n v="18"/>
  </r>
  <r>
    <n v="61019550"/>
    <s v="N"/>
    <n v="21349728"/>
    <s v="3000015223800006"/>
    <s v="CIVIL"/>
    <d v="2023-06-29T00:00:00"/>
    <d v="2023-07-10T19:01:40"/>
    <m/>
    <d v="2023-07-10T00:00:00"/>
    <n v="1456"/>
    <n v="14783"/>
    <s v="61019550"/>
    <s v="61019550"/>
    <m/>
    <m/>
    <n v="22788302"/>
    <m/>
    <m/>
    <m/>
    <s v="SOLFIN"/>
    <s v="SOLFIN"/>
    <s v="CCMS"/>
    <n v="21349728"/>
    <n v="5807.34"/>
    <m/>
    <s v="N"/>
    <n v="1"/>
    <d v="2023-07-10T19:01:56"/>
    <s v="Y"/>
    <s v="Solicitor Travel Expenses"/>
    <s v="Public Law Children"/>
    <s v="Non Expert Disbursement"/>
    <s v="Teresa Campone"/>
    <s v="Y"/>
    <n v="6.35"/>
    <n v="0"/>
    <x v="2"/>
    <s v="VALIDATED"/>
    <n v="1"/>
    <s v="01.11.80.308.6300.0000"/>
    <n v="6.35"/>
    <s v="11"/>
    <s v="6300"/>
    <n v="8475.77"/>
    <n v="6.35"/>
    <s v="CREDITOR"/>
    <n v="0"/>
    <n v="0"/>
    <n v="0"/>
    <n v="0"/>
    <n v="6.35"/>
  </r>
  <r>
    <n v="61024089"/>
    <s v="N"/>
    <n v="21360997"/>
    <s v="3000015226910008"/>
    <s v="CIVIL"/>
    <d v="2023-06-30T00:00:00"/>
    <d v="2023-07-11T19:00:25"/>
    <m/>
    <d v="2023-07-11T00:00:00"/>
    <n v="1456"/>
    <n v="14783"/>
    <s v="61024089"/>
    <s v="61024089"/>
    <m/>
    <m/>
    <n v="22798658"/>
    <m/>
    <m/>
    <m/>
    <s v="SOLFIN"/>
    <s v="SOLFIN"/>
    <s v="CCMS"/>
    <n v="21360997"/>
    <n v="6832.38"/>
    <m/>
    <s v="N"/>
    <n v="16"/>
    <d v="2023-07-11T19:00:42"/>
    <s v="Y"/>
    <s v="Hearing Unit 5.01 - 7.30 Hours"/>
    <s v="Public Law Children"/>
    <s v="Advocacy"/>
    <s v="Teresa Campone"/>
    <s v="Y"/>
    <n v="715.38"/>
    <n v="143.08"/>
    <x v="7"/>
    <s v="VALIDATED"/>
    <n v="1"/>
    <s v="01.11.80.308.6100.0000"/>
    <n v="715.38"/>
    <s v="11"/>
    <s v="6100"/>
    <n v="8475.77"/>
    <n v="715.38"/>
    <s v="CREDITOR"/>
    <n v="0"/>
    <n v="0"/>
    <n v="0"/>
    <n v="0"/>
    <n v="715.38"/>
  </r>
  <r>
    <n v="61024089"/>
    <s v="N"/>
    <n v="21360997"/>
    <s v="3000015226910008"/>
    <s v="CIVIL"/>
    <d v="2023-06-30T00:00:00"/>
    <d v="2023-07-11T19:00:25"/>
    <m/>
    <d v="2023-07-11T00:00:00"/>
    <n v="1456"/>
    <n v="14783"/>
    <s v="61024089"/>
    <s v="61024089"/>
    <m/>
    <m/>
    <n v="22798658"/>
    <m/>
    <m/>
    <m/>
    <s v="SOLFIN"/>
    <s v="SOLFIN"/>
    <s v="CCMS"/>
    <n v="21360997"/>
    <n v="6832.38"/>
    <m/>
    <s v="N"/>
    <n v="11"/>
    <d v="2023-07-11T19:00:42"/>
    <s v="Y"/>
    <s v="Toxicologist"/>
    <s v="Public Law Children"/>
    <s v="Expert Disbursement"/>
    <s v="Teresa Campone"/>
    <s v="Y"/>
    <n v="125"/>
    <n v="25"/>
    <x v="7"/>
    <s v="VALIDATED"/>
    <n v="1"/>
    <s v="01.11.80.308.6300.0000"/>
    <n v="125"/>
    <s v="11"/>
    <s v="6300"/>
    <n v="8475.77"/>
    <n v="125"/>
    <s v="CREDITOR"/>
    <n v="0"/>
    <n v="0"/>
    <n v="0"/>
    <n v="0"/>
    <n v="125"/>
  </r>
  <r>
    <n v="61507045"/>
    <s v="N"/>
    <n v="21349336"/>
    <s v="3000015629870003"/>
    <s v="CIVIL"/>
    <d v="2023-06-29T00:00:00"/>
    <d v="2023-07-10T19:01:40"/>
    <m/>
    <d v="2023-07-10T00:00:00"/>
    <n v="1456"/>
    <n v="14783"/>
    <s v="61507045"/>
    <s v="61507045"/>
    <m/>
    <m/>
    <n v="22789656"/>
    <m/>
    <m/>
    <m/>
    <s v="SOLFIN"/>
    <s v="SOLFIN"/>
    <s v="CCMS"/>
    <n v="21349336"/>
    <n v="4839.26"/>
    <m/>
    <s v="N"/>
    <n v="7"/>
    <d v="2023-07-10T19:01:47"/>
    <s v="Y"/>
    <s v="Solicitor Travel Expenses"/>
    <s v="Public Law Children"/>
    <s v="Non Expert Disbursement"/>
    <s v="Teresa Campone"/>
    <s v="Y"/>
    <n v="4.6"/>
    <n v="0"/>
    <x v="2"/>
    <s v="VALIDATED"/>
    <n v="1"/>
    <s v="01.11.80.308.6300.0000"/>
    <n v="4.6"/>
    <s v="11"/>
    <s v="6300"/>
    <n v="8475.77"/>
    <n v="4.6"/>
    <s v="CREDITOR"/>
    <n v="0"/>
    <n v="0"/>
    <n v="0"/>
    <n v="0"/>
    <n v="4.6"/>
  </r>
  <r>
    <n v="61247500"/>
    <s v="N"/>
    <n v="21349936"/>
    <s v="3000015414110004"/>
    <s v="CIVIL"/>
    <d v="2023-06-29T00:00:00"/>
    <d v="2023-07-10T19:01:40"/>
    <m/>
    <d v="2023-07-10T00:00:00"/>
    <n v="1456"/>
    <n v="14783"/>
    <s v="61247500"/>
    <s v="61247500"/>
    <m/>
    <m/>
    <n v="22792852"/>
    <m/>
    <m/>
    <m/>
    <s v="SOLFIN"/>
    <s v="SOLFIN"/>
    <s v="CCMS"/>
    <n v="21349936"/>
    <n v="5410.84"/>
    <m/>
    <s v="N"/>
    <n v="11"/>
    <d v="2023-07-10T19:02:04"/>
    <s v="Y"/>
    <s v="Advocates Meeting"/>
    <s v="Public Law Children"/>
    <s v="Advocacy"/>
    <s v="Teresa Campone"/>
    <s v="Y"/>
    <n v="140.99"/>
    <n v="28.2"/>
    <x v="2"/>
    <s v="VALIDATED"/>
    <n v="1"/>
    <s v="01.11.80.308.6100.0000"/>
    <n v="140.99"/>
    <s v="11"/>
    <s v="6100"/>
    <n v="8475.77"/>
    <n v="140.99"/>
    <s v="CREDITOR"/>
    <n v="0"/>
    <n v="0"/>
    <n v="0"/>
    <n v="0"/>
    <n v="140.99"/>
  </r>
  <r>
    <n v="61247500"/>
    <s v="N"/>
    <n v="21349936"/>
    <s v="3000015414110004"/>
    <s v="CIVIL"/>
    <d v="2023-06-29T00:00:00"/>
    <d v="2023-07-10T19:01:40"/>
    <m/>
    <d v="2023-07-10T00:00:00"/>
    <n v="1456"/>
    <n v="14783"/>
    <s v="61247500"/>
    <s v="61247500"/>
    <m/>
    <m/>
    <n v="22792852"/>
    <m/>
    <m/>
    <m/>
    <s v="SOLFIN"/>
    <s v="SOLFIN"/>
    <s v="CCMS"/>
    <n v="21349936"/>
    <n v="5410.84"/>
    <m/>
    <s v="N"/>
    <n v="4"/>
    <d v="2023-07-10T19:02:04"/>
    <s v="Y"/>
    <s v="Solicitor Travel Expenses"/>
    <s v="Public Law Children"/>
    <s v="Non Expert Disbursement"/>
    <s v="Teresa Campone"/>
    <s v="Y"/>
    <n v="3.9"/>
    <n v="0"/>
    <x v="2"/>
    <s v="VALIDATED"/>
    <n v="1"/>
    <s v="01.11.80.308.6300.0000"/>
    <n v="3.9"/>
    <s v="11"/>
    <s v="6300"/>
    <n v="8475.77"/>
    <n v="3.9"/>
    <s v="CREDITOR"/>
    <n v="0"/>
    <n v="0"/>
    <n v="0"/>
    <n v="0"/>
    <n v="3.9"/>
  </r>
  <r>
    <n v="61247500"/>
    <s v="N"/>
    <n v="21349936"/>
    <s v="3000015414110004"/>
    <s v="CIVIL"/>
    <d v="2023-06-29T00:00:00"/>
    <d v="2023-07-10T19:01:40"/>
    <m/>
    <d v="2023-07-10T00:00:00"/>
    <n v="1456"/>
    <n v="14783"/>
    <s v="61247500"/>
    <s v="61247500"/>
    <m/>
    <m/>
    <n v="22792852"/>
    <m/>
    <m/>
    <m/>
    <s v="SOLFIN"/>
    <s v="SOLFIN"/>
    <s v="CCMS"/>
    <n v="21349936"/>
    <n v="5410.84"/>
    <m/>
    <s v="N"/>
    <n v="6"/>
    <d v="2023-07-10T19:02:04"/>
    <s v="Y"/>
    <s v="Psychologist"/>
    <s v="Public Law Children"/>
    <s v="Expert Disbursement"/>
    <s v="Teresa Campone"/>
    <s v="Y"/>
    <n v="87.15000000000001"/>
    <n v="17.43"/>
    <x v="2"/>
    <s v="VALIDATED"/>
    <n v="1"/>
    <s v="01.11.80.308.6300.0000"/>
    <n v="87.15000000000001"/>
    <s v="11"/>
    <s v="6300"/>
    <n v="8475.77"/>
    <n v="87.15000000000001"/>
    <s v="CREDITOR"/>
    <n v="0"/>
    <n v="0"/>
    <n v="0"/>
    <n v="0"/>
    <n v="87.15000000000001"/>
  </r>
  <r>
    <n v="61024089"/>
    <s v="N"/>
    <n v="21360997"/>
    <s v="3000015226910008"/>
    <s v="CIVIL"/>
    <d v="2023-06-30T00:00:00"/>
    <d v="2023-07-11T19:00:25"/>
    <m/>
    <d v="2023-07-11T00:00:00"/>
    <n v="1456"/>
    <n v="14783"/>
    <s v="61024089"/>
    <s v="61024089"/>
    <m/>
    <m/>
    <n v="22798658"/>
    <m/>
    <m/>
    <m/>
    <s v="SOLFIN"/>
    <s v="SOLFIN"/>
    <s v="CCMS"/>
    <n v="21360997"/>
    <n v="6832.38"/>
    <m/>
    <s v="N"/>
    <n v="18"/>
    <d v="2023-07-11T19:00:42"/>
    <s v="Y"/>
    <s v="Hearing Unit 1.01 - 2.30 Hours"/>
    <s v="Public Law Children"/>
    <s v="Advocacy"/>
    <s v="Teresa Campone"/>
    <s v="Y"/>
    <n v="238.46"/>
    <n v="47.69"/>
    <x v="7"/>
    <s v="VALIDATED"/>
    <n v="1"/>
    <s v="01.11.80.308.6100.0000"/>
    <n v="238.46"/>
    <s v="11"/>
    <s v="6100"/>
    <n v="8475.77"/>
    <n v="238.46"/>
    <s v="CREDITOR"/>
    <n v="0"/>
    <n v="0"/>
    <n v="0"/>
    <n v="0"/>
    <n v="238.46"/>
  </r>
  <r>
    <n v="61024089"/>
    <s v="N"/>
    <n v="21360997"/>
    <s v="3000015226910008"/>
    <s v="CIVIL"/>
    <d v="2023-06-30T00:00:00"/>
    <d v="2023-07-11T19:00:25"/>
    <m/>
    <d v="2023-07-11T00:00:00"/>
    <n v="1456"/>
    <n v="14783"/>
    <s v="61024089"/>
    <s v="61024089"/>
    <m/>
    <m/>
    <n v="22798658"/>
    <m/>
    <m/>
    <m/>
    <s v="SOLFIN"/>
    <s v="SOLFIN"/>
    <s v="CCMS"/>
    <n v="21360997"/>
    <n v="6832.38"/>
    <m/>
    <s v="N"/>
    <n v="7"/>
    <d v="2023-07-11T19:00:42"/>
    <s v="Y"/>
    <s v="Toxicologist"/>
    <s v="Public Law Children"/>
    <s v="Expert Disbursement"/>
    <s v="Teresa Campone"/>
    <s v="Y"/>
    <n v="108.5"/>
    <n v="21.7"/>
    <x v="7"/>
    <s v="VALIDATED"/>
    <n v="1"/>
    <s v="01.11.80.308.6300.0000"/>
    <n v="108.5"/>
    <s v="11"/>
    <s v="6300"/>
    <n v="8475.77"/>
    <n v="108.5"/>
    <s v="CREDITOR"/>
    <n v="0"/>
    <n v="0"/>
    <n v="0"/>
    <n v="0"/>
    <n v="108.5"/>
  </r>
  <r>
    <n v="61247500"/>
    <s v="N"/>
    <n v="21349936"/>
    <s v="3000015414110004"/>
    <s v="CIVIL"/>
    <d v="2023-06-29T00:00:00"/>
    <d v="2023-07-10T19:01:40"/>
    <m/>
    <d v="2023-07-10T00:00:00"/>
    <n v="1456"/>
    <n v="14783"/>
    <s v="61247500"/>
    <s v="61247500"/>
    <m/>
    <m/>
    <n v="22792852"/>
    <m/>
    <m/>
    <m/>
    <s v="SOLFIN"/>
    <s v="SOLFIN"/>
    <s v="CCMS"/>
    <n v="21349936"/>
    <n v="5410.84"/>
    <m/>
    <s v="N"/>
    <n v="12"/>
    <d v="2023-07-10T19:02:04"/>
    <s v="Y"/>
    <s v="Hearing Unit 1.01 - 2.30 Hours"/>
    <s v="Public Law Children"/>
    <s v="Advocacy"/>
    <s v="Teresa Campone"/>
    <s v="Y"/>
    <n v="298.08"/>
    <n v="59.62"/>
    <x v="2"/>
    <s v="VALIDATED"/>
    <n v="1"/>
    <s v="01.11.80.308.6100.0000"/>
    <n v="298.08"/>
    <s v="11"/>
    <s v="6100"/>
    <n v="8475.77"/>
    <n v="298.08"/>
    <s v="CREDITOR"/>
    <n v="0"/>
    <n v="0"/>
    <n v="0"/>
    <n v="0"/>
    <n v="298.08"/>
  </r>
  <r>
    <n v="61024089"/>
    <s v="N"/>
    <n v="21360997"/>
    <s v="3000015226910008"/>
    <s v="CIVIL"/>
    <d v="2023-06-30T00:00:00"/>
    <d v="2023-07-11T19:00:25"/>
    <m/>
    <d v="2023-07-11T00:00:00"/>
    <n v="1456"/>
    <n v="14783"/>
    <s v="61024089"/>
    <s v="61024089"/>
    <m/>
    <m/>
    <n v="22798658"/>
    <m/>
    <m/>
    <m/>
    <s v="SOLFIN"/>
    <s v="SOLFIN"/>
    <s v="CCMS"/>
    <n v="21360997"/>
    <n v="6832.38"/>
    <m/>
    <s v="N"/>
    <n v="8"/>
    <d v="2023-07-11T19:00:42"/>
    <s v="Y"/>
    <s v="Toxicologist"/>
    <s v="Public Law Children"/>
    <s v="Expert Disbursement"/>
    <s v="Teresa Campone"/>
    <s v="Y"/>
    <n v="105.5"/>
    <n v="21.1"/>
    <x v="7"/>
    <s v="VALIDATED"/>
    <n v="1"/>
    <s v="01.11.80.308.6300.0000"/>
    <n v="105.5"/>
    <s v="11"/>
    <s v="6300"/>
    <n v="8475.77"/>
    <n v="105.5"/>
    <s v="CREDITOR"/>
    <n v="0"/>
    <n v="0"/>
    <n v="0"/>
    <n v="0"/>
    <n v="105.5"/>
  </r>
  <r>
    <n v="61019550"/>
    <s v="N"/>
    <n v="21349728"/>
    <s v="3000015223800006"/>
    <s v="CIVIL"/>
    <d v="2023-06-29T00:00:00"/>
    <d v="2023-07-10T19:01:40"/>
    <m/>
    <d v="2023-07-10T00:00:00"/>
    <n v="1456"/>
    <n v="14783"/>
    <s v="61019550"/>
    <s v="61019550"/>
    <m/>
    <m/>
    <n v="22788302"/>
    <m/>
    <m/>
    <m/>
    <s v="SOLFIN"/>
    <s v="SOLFIN"/>
    <s v="CCMS"/>
    <n v="21349728"/>
    <n v="5807.34"/>
    <m/>
    <s v="N"/>
    <n v="5"/>
    <d v="2023-07-10T19:01:56"/>
    <s v="Y"/>
    <s v="Advocates Meeting"/>
    <s v="Public Law Children"/>
    <s v="Advocacy"/>
    <s v="Teresa Campone"/>
    <s v="Y"/>
    <n v="140.99"/>
    <n v="28.2"/>
    <x v="2"/>
    <s v="VALIDATED"/>
    <n v="1"/>
    <s v="01.11.80.308.6100.0000"/>
    <n v="140.99"/>
    <s v="11"/>
    <s v="6100"/>
    <n v="8475.77"/>
    <n v="140.99"/>
    <s v="CREDITOR"/>
    <n v="0"/>
    <n v="0"/>
    <n v="0"/>
    <n v="0"/>
    <n v="140.99"/>
  </r>
  <r>
    <n v="61507045"/>
    <s v="N"/>
    <n v="21349336"/>
    <s v="3000015629870003"/>
    <s v="CIVIL"/>
    <d v="2023-06-29T00:00:00"/>
    <d v="2023-07-10T19:01:40"/>
    <m/>
    <d v="2023-07-10T00:00:00"/>
    <n v="1456"/>
    <n v="14783"/>
    <s v="61507045"/>
    <s v="61507045"/>
    <m/>
    <m/>
    <n v="22789656"/>
    <m/>
    <m/>
    <m/>
    <s v="SOLFIN"/>
    <s v="SOLFIN"/>
    <s v="CCMS"/>
    <n v="21349336"/>
    <n v="4839.26"/>
    <m/>
    <s v="N"/>
    <n v="5"/>
    <d v="2023-07-10T19:01:47"/>
    <s v="Y"/>
    <s v="Solicitor Travel Mileage"/>
    <s v="Public Law Children"/>
    <s v="Non Expert Disbursement"/>
    <s v="Teresa Campone"/>
    <s v="Y"/>
    <n v="18"/>
    <n v="3.6"/>
    <x v="2"/>
    <s v="VALIDATED"/>
    <n v="1"/>
    <s v="01.11.80.308.6300.0000"/>
    <n v="18"/>
    <s v="11"/>
    <s v="6300"/>
    <n v="8475.77"/>
    <n v="18"/>
    <s v="CREDITOR"/>
    <n v="0"/>
    <n v="0"/>
    <n v="0"/>
    <n v="0"/>
    <n v="18"/>
  </r>
  <r>
    <n v="61024089"/>
    <s v="N"/>
    <n v="21360997"/>
    <s v="3000015226910008"/>
    <s v="CIVIL"/>
    <d v="2023-06-30T00:00:00"/>
    <d v="2023-07-11T19:00:25"/>
    <m/>
    <d v="2023-07-11T00:00:00"/>
    <n v="1456"/>
    <n v="14783"/>
    <s v="61024089"/>
    <s v="61024089"/>
    <m/>
    <m/>
    <n v="22798658"/>
    <m/>
    <m/>
    <m/>
    <s v="SOLFIN"/>
    <s v="SOLFIN"/>
    <s v="CCMS"/>
    <n v="21360997"/>
    <n v="6832.38"/>
    <m/>
    <s v="N"/>
    <n v="14"/>
    <d v="2023-07-11T19:00:42"/>
    <s v="Y"/>
    <s v="Hearing Unit 1.01 - 2.30 Hours"/>
    <s v="Public Law Children"/>
    <s v="Advocacy"/>
    <s v="Michelle Hurst"/>
    <s v="Y"/>
    <n v="238.46"/>
    <n v="47.69"/>
    <x v="7"/>
    <s v="VALIDATED"/>
    <n v="1"/>
    <s v="01.11.80.308.6100.0000"/>
    <n v="238.46"/>
    <s v="11"/>
    <s v="6100"/>
    <n v="8475.77"/>
    <n v="238.46"/>
    <s v="CREDITOR"/>
    <n v="0"/>
    <n v="0"/>
    <n v="0"/>
    <n v="0"/>
    <n v="238.46"/>
  </r>
  <r>
    <n v="61024089"/>
    <s v="N"/>
    <n v="21360997"/>
    <s v="3000015226910008"/>
    <s v="CIVIL"/>
    <d v="2023-06-30T00:00:00"/>
    <d v="2023-07-11T19:00:25"/>
    <m/>
    <d v="2023-07-11T00:00:00"/>
    <n v="1456"/>
    <n v="14783"/>
    <s v="61024089"/>
    <s v="61024089"/>
    <m/>
    <m/>
    <n v="22798658"/>
    <m/>
    <m/>
    <m/>
    <s v="SOLFIN"/>
    <s v="SOLFIN"/>
    <s v="CCMS"/>
    <n v="21360997"/>
    <n v="6832.38"/>
    <m/>
    <s v="N"/>
    <n v="2"/>
    <d v="2023-07-11T19:00:42"/>
    <s v="Y"/>
    <s v="Final Hearing Court Bundle/Advocate"/>
    <s v="Public Law Children"/>
    <s v="Advocacy"/>
    <s v="Kate Patel"/>
    <s v="Y"/>
    <n v="159.3"/>
    <n v="31.86"/>
    <x v="7"/>
    <s v="VALIDATED"/>
    <n v="1"/>
    <s v="01.11.80.308.6100.0000"/>
    <n v="159.3"/>
    <s v="11"/>
    <s v="6100"/>
    <n v="8475.77"/>
    <n v="159.3"/>
    <s v="CREDITOR"/>
    <n v="0"/>
    <n v="0"/>
    <n v="0"/>
    <n v="0"/>
    <n v="159.3"/>
  </r>
  <r>
    <n v="61507045"/>
    <s v="N"/>
    <n v="21349336"/>
    <s v="3000015629870003"/>
    <s v="CIVIL"/>
    <d v="2023-06-29T00:00:00"/>
    <d v="2023-07-10T19:01:40"/>
    <m/>
    <d v="2023-07-10T00:00:00"/>
    <n v="1456"/>
    <n v="14783"/>
    <s v="61507045"/>
    <s v="61507045"/>
    <m/>
    <m/>
    <n v="22789656"/>
    <m/>
    <m/>
    <m/>
    <s v="SOLFIN"/>
    <s v="SOLFIN"/>
    <s v="CCMS"/>
    <n v="21349336"/>
    <n v="4839.26"/>
    <m/>
    <s v="N"/>
    <n v="2"/>
    <d v="2023-07-10T19:01:47"/>
    <s v="Y"/>
    <s v="Interim Hearing Court Bundle/Advoca"/>
    <s v="Public Law Children"/>
    <s v="Advocacy"/>
    <s v="Teresa Campone"/>
    <s v="Y"/>
    <n v="59.4"/>
    <n v="11.88"/>
    <x v="2"/>
    <s v="VALIDATED"/>
    <n v="1"/>
    <s v="01.11.80.308.6100.0000"/>
    <n v="59.4"/>
    <s v="11"/>
    <s v="6100"/>
    <n v="8475.77"/>
    <n v="59.4"/>
    <s v="CREDITOR"/>
    <n v="0"/>
    <n v="0"/>
    <n v="0"/>
    <n v="0"/>
    <n v="59.4"/>
  </r>
  <r>
    <n v="61019550"/>
    <s v="N"/>
    <n v="21349728"/>
    <s v="3000015223800006"/>
    <s v="CIVIL"/>
    <d v="2023-06-29T00:00:00"/>
    <d v="2023-07-10T19:01:40"/>
    <m/>
    <d v="2023-07-10T00:00:00"/>
    <n v="1456"/>
    <n v="14783"/>
    <s v="61019550"/>
    <s v="61019550"/>
    <m/>
    <m/>
    <n v="22788302"/>
    <m/>
    <m/>
    <m/>
    <s v="SOLFIN"/>
    <s v="SOLFIN"/>
    <s v="CCMS"/>
    <n v="21349728"/>
    <n v="5807.34"/>
    <m/>
    <s v="N"/>
    <n v="6"/>
    <d v="2023-07-10T19:01:56"/>
    <s v="Y"/>
    <s v="Hearing Unit 2.31 - 5.00 Hours"/>
    <s v="Public Law Children"/>
    <s v="Advocacy"/>
    <s v="Teresa Campone"/>
    <s v="Y"/>
    <n v="476.92"/>
    <n v="95.38"/>
    <x v="2"/>
    <s v="VALIDATED"/>
    <n v="1"/>
    <s v="01.11.80.308.6100.0000"/>
    <n v="476.92"/>
    <s v="11"/>
    <s v="6100"/>
    <n v="8475.77"/>
    <n v="476.92"/>
    <s v="CREDITOR"/>
    <n v="0"/>
    <n v="0"/>
    <n v="0"/>
    <n v="0"/>
    <n v="476.92"/>
  </r>
  <r>
    <n v="61024089"/>
    <s v="N"/>
    <n v="21360997"/>
    <s v="3000015226910008"/>
    <s v="CIVIL"/>
    <d v="2023-06-30T00:00:00"/>
    <d v="2023-07-11T19:00:25"/>
    <m/>
    <d v="2023-07-11T00:00:00"/>
    <n v="1456"/>
    <n v="14783"/>
    <s v="61024089"/>
    <s v="61024089"/>
    <m/>
    <m/>
    <n v="22798658"/>
    <m/>
    <m/>
    <m/>
    <s v="SOLFIN"/>
    <s v="SOLFIN"/>
    <s v="CCMS"/>
    <n v="21360997"/>
    <n v="6832.38"/>
    <m/>
    <s v="N"/>
    <n v="17"/>
    <d v="2023-07-11T19:00:42"/>
    <s v="Y"/>
    <s v="Advocates Meeting"/>
    <s v="Public Law Children"/>
    <s v="Advocacy"/>
    <s v="Teresa Campone"/>
    <s v="Y"/>
    <n v="140.99"/>
    <n v="28.2"/>
    <x v="7"/>
    <s v="VALIDATED"/>
    <n v="1"/>
    <s v="01.11.80.308.6100.0000"/>
    <n v="140.99"/>
    <s v="11"/>
    <s v="6100"/>
    <n v="8475.77"/>
    <n v="140.99"/>
    <s v="CREDITOR"/>
    <n v="0"/>
    <n v="0"/>
    <n v="0"/>
    <n v="0"/>
    <n v="140.99"/>
  </r>
  <r>
    <n v="61247500"/>
    <s v="N"/>
    <n v="21349936"/>
    <s v="3000015414110004"/>
    <s v="CIVIL"/>
    <d v="2023-06-29T00:00:00"/>
    <d v="2023-07-10T19:01:40"/>
    <m/>
    <d v="2023-07-10T00:00:00"/>
    <n v="1456"/>
    <n v="14783"/>
    <s v="61247500"/>
    <s v="61247500"/>
    <m/>
    <m/>
    <n v="22792852"/>
    <m/>
    <m/>
    <m/>
    <s v="SOLFIN"/>
    <s v="SOLFIN"/>
    <s v="CCMS"/>
    <n v="21349936"/>
    <n v="5410.84"/>
    <m/>
    <s v="N"/>
    <n v="8"/>
    <d v="2023-07-10T19:02:04"/>
    <s v="Y"/>
    <s v="Hearing Unit 2.31 - 5.00 Hours"/>
    <s v="Public Law Children"/>
    <s v="Advocacy"/>
    <s v="Teresa Campone"/>
    <s v="Y"/>
    <n v="476.92"/>
    <n v="95.38"/>
    <x v="2"/>
    <s v="VALIDATED"/>
    <n v="1"/>
    <s v="01.11.80.308.6100.0000"/>
    <n v="476.92"/>
    <s v="11"/>
    <s v="6100"/>
    <n v="8475.77"/>
    <n v="476.92"/>
    <s v="CREDITOR"/>
    <n v="0"/>
    <n v="0"/>
    <n v="0"/>
    <n v="0"/>
    <n v="476.92"/>
  </r>
  <r>
    <n v="61019550"/>
    <s v="N"/>
    <n v="21349728"/>
    <s v="3000015223800006"/>
    <s v="CIVIL"/>
    <d v="2023-06-29T00:00:00"/>
    <d v="2023-07-10T19:01:40"/>
    <m/>
    <d v="2023-07-10T00:00:00"/>
    <n v="1456"/>
    <n v="14783"/>
    <s v="61019550"/>
    <s v="61019550"/>
    <m/>
    <m/>
    <n v="22788302"/>
    <m/>
    <m/>
    <m/>
    <s v="SOLFIN"/>
    <s v="SOLFIN"/>
    <s v="CCMS"/>
    <n v="21349728"/>
    <n v="5807.34"/>
    <m/>
    <s v="N"/>
    <n v="2"/>
    <d v="2023-07-10T19:01:56"/>
    <s v="Y"/>
    <s v="Solicitor Travel Mileage"/>
    <s v="Public Law Children"/>
    <s v="Non Expert Disbursement"/>
    <s v="Teresa Campone"/>
    <s v="Y"/>
    <n v="18"/>
    <n v="3.6"/>
    <x v="2"/>
    <s v="VALIDATED"/>
    <n v="1"/>
    <s v="01.11.80.308.6300.0000"/>
    <n v="18"/>
    <s v="11"/>
    <s v="6300"/>
    <n v="8475.77"/>
    <n v="18"/>
    <s v="CREDITOR"/>
    <n v="0"/>
    <n v="0"/>
    <n v="0"/>
    <n v="0"/>
    <n v="18"/>
  </r>
  <r>
    <n v="61507045"/>
    <s v="N"/>
    <n v="21349336"/>
    <s v="3000015629870003"/>
    <s v="CIVIL"/>
    <d v="2023-06-29T00:00:00"/>
    <d v="2023-07-10T19:01:40"/>
    <m/>
    <d v="2023-07-10T00:00:00"/>
    <n v="1456"/>
    <n v="14783"/>
    <s v="61507045"/>
    <s v="61507045"/>
    <m/>
    <m/>
    <n v="22789656"/>
    <m/>
    <m/>
    <m/>
    <s v="SOLFIN"/>
    <s v="SOLFIN"/>
    <s v="CCMS"/>
    <n v="21349336"/>
    <n v="4839.26"/>
    <m/>
    <s v="N"/>
    <n v="8"/>
    <d v="2023-07-10T19:01:47"/>
    <s v="Y"/>
    <s v="Final Hearing - 1 Day"/>
    <s v="Public Law Children"/>
    <s v="Advocacy"/>
    <s v="Teresa Campone"/>
    <s v="Y"/>
    <n v="556.88"/>
    <n v="111.38"/>
    <x v="2"/>
    <s v="VALIDATED"/>
    <n v="1"/>
    <s v="01.11.80.308.6100.0000"/>
    <n v="556.88"/>
    <s v="11"/>
    <s v="6100"/>
    <n v="8475.77"/>
    <n v="556.88"/>
    <s v="CREDITOR"/>
    <n v="0"/>
    <n v="0"/>
    <n v="0"/>
    <n v="0"/>
    <n v="556.88"/>
  </r>
  <r>
    <n v="61247500"/>
    <s v="N"/>
    <n v="21349936"/>
    <s v="3000015414110004"/>
    <s v="CIVIL"/>
    <d v="2023-06-29T00:00:00"/>
    <d v="2023-07-10T19:01:40"/>
    <m/>
    <d v="2023-07-10T00:00:00"/>
    <n v="1456"/>
    <n v="14783"/>
    <s v="61247500"/>
    <s v="61247500"/>
    <m/>
    <m/>
    <n v="22792852"/>
    <m/>
    <m/>
    <m/>
    <s v="SOLFIN"/>
    <s v="SOLFIN"/>
    <s v="CCMS"/>
    <n v="21349936"/>
    <n v="5410.84"/>
    <m/>
    <s v="N"/>
    <n v="7"/>
    <d v="2023-07-10T19:02:04"/>
    <s v="Y"/>
    <s v="Toxicologist"/>
    <s v="Public Law Children"/>
    <s v="Expert Disbursement"/>
    <s v="Teresa Campone"/>
    <s v="Y"/>
    <n v="166.25"/>
    <n v="33.25"/>
    <x v="2"/>
    <s v="VALIDATED"/>
    <n v="1"/>
    <s v="01.11.80.308.6300.0000"/>
    <n v="166.25"/>
    <s v="11"/>
    <s v="6300"/>
    <n v="8475.77"/>
    <n v="166.25"/>
    <s v="CREDITOR"/>
    <n v="0"/>
    <n v="0"/>
    <n v="0"/>
    <n v="0"/>
    <n v="166.25"/>
  </r>
  <r>
    <n v="61247500"/>
    <s v="N"/>
    <n v="21349936"/>
    <s v="3000015414110004"/>
    <s v="CIVIL"/>
    <d v="2023-06-29T00:00:00"/>
    <d v="2023-07-10T19:01:40"/>
    <m/>
    <d v="2023-07-10T00:00:00"/>
    <n v="1456"/>
    <n v="14783"/>
    <s v="61247500"/>
    <s v="61247500"/>
    <m/>
    <m/>
    <n v="22792852"/>
    <m/>
    <m/>
    <m/>
    <s v="SOLFIN"/>
    <s v="SOLFIN"/>
    <s v="CCMS"/>
    <n v="21349936"/>
    <n v="5410.84"/>
    <m/>
    <s v="N"/>
    <n v="13"/>
    <d v="2023-07-10T19:02:04"/>
    <s v="Y"/>
    <s v="Solicitors Fixed Fee"/>
    <s v="Public Law Children"/>
    <s v="Profit Cost"/>
    <s v="Teresa Campone"/>
    <s v="Y"/>
    <n v="2616"/>
    <n v="523.2"/>
    <x v="2"/>
    <s v="VALIDATED"/>
    <n v="1"/>
    <s v="01.11.80.308.6100.0000"/>
    <n v="2616"/>
    <s v="11"/>
    <s v="6100"/>
    <n v="8475.77"/>
    <n v="2616"/>
    <s v="CREDITOR"/>
    <n v="0"/>
    <n v="0"/>
    <n v="0"/>
    <n v="0"/>
    <n v="2616"/>
  </r>
  <r>
    <n v="61507045"/>
    <s v="N"/>
    <n v="21349336"/>
    <s v="3000015629870003"/>
    <s v="CIVIL"/>
    <d v="2023-06-29T00:00:00"/>
    <d v="2023-07-10T19:01:40"/>
    <m/>
    <d v="2023-07-10T00:00:00"/>
    <n v="1456"/>
    <n v="14783"/>
    <s v="61507045"/>
    <s v="61507045"/>
    <m/>
    <m/>
    <n v="22789656"/>
    <m/>
    <m/>
    <m/>
    <s v="SOLFIN"/>
    <s v="SOLFIN"/>
    <s v="CCMS"/>
    <n v="21349336"/>
    <n v="4839.26"/>
    <m/>
    <s v="N"/>
    <n v="6"/>
    <d v="2023-07-10T19:01:47"/>
    <s v="Y"/>
    <s v="Psychologist"/>
    <s v="Public Law Children"/>
    <s v="Expert Disbursement"/>
    <s v="Teresa Campone"/>
    <s v="Y"/>
    <n v="218.6"/>
    <n v="43.72"/>
    <x v="2"/>
    <s v="VALIDATED"/>
    <n v="1"/>
    <s v="01.11.80.308.6300.0000"/>
    <n v="218.6"/>
    <s v="11"/>
    <s v="6300"/>
    <n v="8475.77"/>
    <n v="218.6"/>
    <s v="CREDITOR"/>
    <n v="0"/>
    <n v="0"/>
    <n v="0"/>
    <n v="0"/>
    <n v="218.6"/>
  </r>
  <r>
    <n v="61247500"/>
    <s v="N"/>
    <n v="21349936"/>
    <s v="3000015414110004"/>
    <s v="CIVIL"/>
    <d v="2023-06-29T00:00:00"/>
    <d v="2023-07-10T19:01:40"/>
    <m/>
    <d v="2023-07-10T00:00:00"/>
    <n v="1456"/>
    <n v="14783"/>
    <s v="61247500"/>
    <s v="61247500"/>
    <m/>
    <m/>
    <n v="22792852"/>
    <m/>
    <m/>
    <m/>
    <s v="SOLFIN"/>
    <s v="SOLFIN"/>
    <s v="CCMS"/>
    <n v="21349936"/>
    <n v="5410.84"/>
    <m/>
    <s v="N"/>
    <n v="2"/>
    <d v="2023-07-10T19:02:04"/>
    <s v="Y"/>
    <s v="Solicitor Travel Expenses"/>
    <s v="Public Law Children"/>
    <s v="Non Expert Disbursement"/>
    <s v="Teresa Campone"/>
    <s v="Y"/>
    <n v="8.5"/>
    <n v="0"/>
    <x v="2"/>
    <s v="VALIDATED"/>
    <n v="1"/>
    <s v="01.11.80.308.6300.0000"/>
    <n v="8.5"/>
    <s v="11"/>
    <s v="6300"/>
    <n v="8475.77"/>
    <n v="8.5"/>
    <s v="CREDITOR"/>
    <n v="0"/>
    <n v="0"/>
    <n v="0"/>
    <n v="0"/>
    <n v="8.5"/>
  </r>
  <r>
    <n v="61507045"/>
    <s v="N"/>
    <n v="21349336"/>
    <s v="3000015629870003"/>
    <s v="CIVIL"/>
    <d v="2023-06-29T00:00:00"/>
    <d v="2023-07-10T19:01:40"/>
    <m/>
    <d v="2023-07-10T00:00:00"/>
    <n v="1456"/>
    <n v="14783"/>
    <s v="61507045"/>
    <s v="61507045"/>
    <m/>
    <m/>
    <n v="22789656"/>
    <m/>
    <m/>
    <m/>
    <s v="SOLFIN"/>
    <s v="SOLFIN"/>
    <s v="CCMS"/>
    <n v="21349336"/>
    <n v="4839.26"/>
    <m/>
    <s v="N"/>
    <n v="10"/>
    <d v="2023-07-10T19:01:47"/>
    <s v="Y"/>
    <s v="Advocates Meeting"/>
    <s v="Public Law Children"/>
    <s v="Advocacy"/>
    <s v="Teresa Campone"/>
    <s v="Y"/>
    <n v="140.99"/>
    <n v="28.2"/>
    <x v="2"/>
    <s v="VALIDATED"/>
    <n v="1"/>
    <s v="01.11.80.308.6100.0000"/>
    <n v="140.99"/>
    <s v="11"/>
    <s v="6100"/>
    <n v="8475.77"/>
    <n v="140.99"/>
    <s v="CREDITOR"/>
    <n v="0"/>
    <n v="0"/>
    <n v="0"/>
    <n v="0"/>
    <n v="140.99"/>
  </r>
  <r>
    <n v="61507045"/>
    <s v="N"/>
    <n v="21349336"/>
    <s v="3000015629870003"/>
    <s v="CIVIL"/>
    <d v="2023-06-29T00:00:00"/>
    <d v="2023-07-10T19:01:40"/>
    <m/>
    <d v="2023-07-10T00:00:00"/>
    <n v="1456"/>
    <n v="14783"/>
    <s v="61507045"/>
    <s v="61507045"/>
    <m/>
    <m/>
    <n v="22789656"/>
    <m/>
    <m/>
    <m/>
    <s v="SOLFIN"/>
    <s v="SOLFIN"/>
    <s v="CCMS"/>
    <n v="21349336"/>
    <n v="4839.26"/>
    <m/>
    <s v="N"/>
    <n v="1"/>
    <d v="2023-07-10T19:01:47"/>
    <s v="Y"/>
    <s v="Final Hearing Court Bundle/Advocate"/>
    <s v="Public Law Children"/>
    <s v="Advocacy"/>
    <s v="Teresa Campone"/>
    <s v="Y"/>
    <n v="159.3"/>
    <n v="31.86"/>
    <x v="2"/>
    <s v="VALIDATED"/>
    <n v="1"/>
    <s v="01.11.80.308.6100.0000"/>
    <n v="159.3"/>
    <s v="11"/>
    <s v="6100"/>
    <n v="8475.77"/>
    <n v="159.3"/>
    <s v="CREDITOR"/>
    <n v="0"/>
    <n v="0"/>
    <n v="0"/>
    <n v="0"/>
    <n v="159.3"/>
  </r>
  <r>
    <n v="61024089"/>
    <s v="N"/>
    <n v="21360997"/>
    <s v="3000015226910008"/>
    <s v="CIVIL"/>
    <d v="2023-06-30T00:00:00"/>
    <d v="2023-07-11T19:00:25"/>
    <m/>
    <d v="2023-07-11T00:00:00"/>
    <n v="1456"/>
    <n v="14783"/>
    <s v="61024089"/>
    <s v="61024089"/>
    <m/>
    <m/>
    <n v="22798658"/>
    <m/>
    <m/>
    <m/>
    <s v="SOLFIN"/>
    <s v="SOLFIN"/>
    <s v="CCMS"/>
    <n v="21360997"/>
    <n v="6832.38"/>
    <m/>
    <s v="N"/>
    <n v="9"/>
    <d v="2023-07-11T19:00:42"/>
    <s v="Y"/>
    <s v="Solicitor Travel Expenses"/>
    <s v="Public Law Children"/>
    <s v="Non Expert Disbursement"/>
    <s v="Michelle Hurst"/>
    <s v="Y"/>
    <n v="4.7"/>
    <n v="0"/>
    <x v="7"/>
    <s v="VALIDATED"/>
    <n v="1"/>
    <s v="01.11.80.308.6300.0000"/>
    <n v="4.7"/>
    <s v="11"/>
    <s v="6300"/>
    <n v="8475.77"/>
    <n v="4.7"/>
    <s v="CREDITOR"/>
    <n v="0"/>
    <n v="0"/>
    <n v="0"/>
    <n v="0"/>
    <n v="4.7"/>
  </r>
  <r>
    <n v="61024089"/>
    <s v="N"/>
    <n v="21360997"/>
    <s v="3000015226910008"/>
    <s v="CIVIL"/>
    <d v="2023-06-30T00:00:00"/>
    <d v="2023-07-11T19:00:25"/>
    <m/>
    <d v="2023-07-11T00:00:00"/>
    <n v="1456"/>
    <n v="14783"/>
    <s v="61024089"/>
    <s v="61024089"/>
    <m/>
    <m/>
    <n v="22798658"/>
    <m/>
    <m/>
    <m/>
    <s v="SOLFIN"/>
    <s v="SOLFIN"/>
    <s v="CCMS"/>
    <n v="21360997"/>
    <n v="6832.38"/>
    <m/>
    <s v="N"/>
    <n v="6"/>
    <d v="2023-07-11T19:00:42"/>
    <s v="Y"/>
    <s v="Toxicologist"/>
    <s v="Public Law Children"/>
    <s v="Expert Disbursement"/>
    <s v="Teresa Campone"/>
    <s v="Y"/>
    <n v="103.07"/>
    <n v="20.61"/>
    <x v="7"/>
    <s v="VALIDATED"/>
    <n v="1"/>
    <s v="01.11.80.308.6300.0000"/>
    <n v="103.07"/>
    <s v="11"/>
    <s v="6300"/>
    <n v="8475.77"/>
    <n v="103.07"/>
    <s v="CREDITOR"/>
    <n v="0"/>
    <n v="0"/>
    <n v="0"/>
    <n v="0"/>
    <n v="103.07"/>
  </r>
  <r>
    <n v="61024089"/>
    <s v="N"/>
    <n v="21360997"/>
    <s v="3000015226910008"/>
    <s v="CIVIL"/>
    <d v="2023-06-30T00:00:00"/>
    <d v="2023-07-11T19:00:25"/>
    <m/>
    <d v="2023-07-11T00:00:00"/>
    <n v="1456"/>
    <n v="14783"/>
    <s v="61024089"/>
    <s v="61024089"/>
    <m/>
    <m/>
    <n v="22798658"/>
    <m/>
    <m/>
    <m/>
    <s v="SOLFIN"/>
    <s v="SOLFIN"/>
    <s v="CCMS"/>
    <n v="21360997"/>
    <n v="6832.38"/>
    <m/>
    <s v="N"/>
    <n v="1"/>
    <d v="2023-07-11T19:00:42"/>
    <s v="Y"/>
    <s v="Interim Hearing Court Bundle/Advoca"/>
    <s v="Public Law Children"/>
    <s v="Advocacy"/>
    <s v="Teresa Campone"/>
    <s v="Y"/>
    <n v="59.4"/>
    <n v="11.88"/>
    <x v="7"/>
    <s v="VALIDATED"/>
    <n v="1"/>
    <s v="01.11.80.308.6100.0000"/>
    <n v="59.4"/>
    <s v="11"/>
    <s v="6100"/>
    <n v="8475.77"/>
    <n v="59.4"/>
    <s v="CREDITOR"/>
    <n v="0"/>
    <n v="0"/>
    <n v="0"/>
    <n v="0"/>
    <n v="59.4"/>
  </r>
  <r>
    <n v="61507045"/>
    <s v="N"/>
    <n v="21349336"/>
    <s v="3000015629870003"/>
    <s v="CIVIL"/>
    <d v="2023-06-29T00:00:00"/>
    <d v="2023-07-10T19:01:40"/>
    <m/>
    <d v="2023-07-10T00:00:00"/>
    <n v="1456"/>
    <n v="14783"/>
    <s v="61507045"/>
    <s v="61507045"/>
    <m/>
    <m/>
    <n v="22789656"/>
    <m/>
    <m/>
    <m/>
    <s v="SOLFIN"/>
    <s v="SOLFIN"/>
    <s v="CCMS"/>
    <n v="21349336"/>
    <n v="4839.26"/>
    <m/>
    <s v="N"/>
    <n v="9"/>
    <d v="2023-07-10T19:01:47"/>
    <s v="Y"/>
    <s v="Hearing Unit 1.01 - 2.30 Hours"/>
    <s v="Public Law Children"/>
    <s v="Advocacy"/>
    <s v="Teresa Campone"/>
    <s v="Y"/>
    <n v="238.46"/>
    <n v="47.69"/>
    <x v="2"/>
    <s v="VALIDATED"/>
    <n v="1"/>
    <s v="01.11.80.308.6100.0000"/>
    <n v="238.46"/>
    <s v="11"/>
    <s v="6100"/>
    <n v="8475.77"/>
    <n v="238.46"/>
    <s v="CREDITOR"/>
    <n v="0"/>
    <n v="0"/>
    <n v="0"/>
    <n v="0"/>
    <n v="238.46"/>
  </r>
  <r>
    <n v="61247500"/>
    <s v="N"/>
    <n v="21349936"/>
    <s v="3000015414110004"/>
    <s v="CIVIL"/>
    <d v="2023-06-29T00:00:00"/>
    <d v="2023-07-10T19:01:40"/>
    <m/>
    <d v="2023-07-10T00:00:00"/>
    <n v="1456"/>
    <n v="14783"/>
    <s v="61247500"/>
    <s v="61247500"/>
    <m/>
    <m/>
    <n v="22792852"/>
    <m/>
    <m/>
    <m/>
    <s v="SOLFIN"/>
    <s v="SOLFIN"/>
    <s v="CCMS"/>
    <n v="21349936"/>
    <n v="5410.84"/>
    <m/>
    <s v="N"/>
    <n v="9"/>
    <d v="2023-07-10T19:02:04"/>
    <s v="Y"/>
    <s v="Advocates Meeting"/>
    <s v="Public Law Children"/>
    <s v="Advocacy"/>
    <s v="Teresa Campone"/>
    <s v="Y"/>
    <n v="140.99"/>
    <n v="28.2"/>
    <x v="2"/>
    <s v="VALIDATED"/>
    <n v="1"/>
    <s v="01.11.80.308.6100.0000"/>
    <n v="140.99"/>
    <s v="11"/>
    <s v="6100"/>
    <n v="8475.77"/>
    <n v="140.99"/>
    <s v="CREDITOR"/>
    <n v="0"/>
    <n v="0"/>
    <n v="0"/>
    <n v="0"/>
    <n v="140.99"/>
  </r>
  <r>
    <n v="61019550"/>
    <s v="N"/>
    <n v="21349728"/>
    <s v="3000015223800006"/>
    <s v="CIVIL"/>
    <d v="2023-06-29T00:00:00"/>
    <d v="2023-07-10T19:01:40"/>
    <m/>
    <d v="2023-07-10T00:00:00"/>
    <n v="1456"/>
    <n v="14783"/>
    <s v="61019550"/>
    <s v="61019550"/>
    <m/>
    <m/>
    <n v="22788302"/>
    <m/>
    <m/>
    <m/>
    <s v="SOLFIN"/>
    <s v="SOLFIN"/>
    <s v="CCMS"/>
    <n v="21349728"/>
    <n v="5807.34"/>
    <m/>
    <s v="N"/>
    <n v="4"/>
    <d v="2023-07-10T19:01:56"/>
    <s v="Y"/>
    <s v="Psychiatrist"/>
    <s v="Public Law Children"/>
    <s v="Expert Disbursement"/>
    <s v="Teresa Campone"/>
    <s v="Y"/>
    <n v="787.05"/>
    <n v="157.41"/>
    <x v="2"/>
    <s v="VALIDATED"/>
    <n v="1"/>
    <s v="01.11.80.308.6300.0000"/>
    <n v="787.05"/>
    <s v="11"/>
    <s v="6300"/>
    <n v="8475.77"/>
    <n v="787.05"/>
    <s v="CREDITOR"/>
    <n v="0"/>
    <n v="0"/>
    <n v="0"/>
    <n v="0"/>
    <n v="787.05"/>
  </r>
  <r>
    <n v="61024089"/>
    <s v="N"/>
    <n v="21360997"/>
    <s v="3000015226910008"/>
    <s v="CIVIL"/>
    <d v="2023-06-30T00:00:00"/>
    <d v="2023-07-11T19:00:25"/>
    <m/>
    <d v="2023-07-11T00:00:00"/>
    <n v="1456"/>
    <n v="14783"/>
    <s v="61024089"/>
    <s v="61024089"/>
    <m/>
    <m/>
    <n v="22798658"/>
    <m/>
    <m/>
    <m/>
    <s v="SOLFIN"/>
    <s v="SOLFIN"/>
    <s v="CCMS"/>
    <n v="21360997"/>
    <n v="6832.38"/>
    <m/>
    <s v="N"/>
    <n v="15"/>
    <d v="2023-07-11T19:00:42"/>
    <s v="Y"/>
    <s v="Advocates Meeting"/>
    <s v="Public Law Children"/>
    <s v="Advocacy"/>
    <s v="Michelle Hurst"/>
    <s v="Y"/>
    <n v="140.99"/>
    <n v="28.2"/>
    <x v="7"/>
    <s v="VALIDATED"/>
    <n v="1"/>
    <s v="01.11.80.308.6100.0000"/>
    <n v="140.99"/>
    <s v="11"/>
    <s v="6100"/>
    <n v="8475.77"/>
    <n v="140.99"/>
    <s v="CREDITOR"/>
    <n v="0"/>
    <n v="0"/>
    <n v="0"/>
    <n v="0"/>
    <n v="140.99"/>
  </r>
  <r>
    <n v="61247500"/>
    <s v="N"/>
    <n v="21349936"/>
    <s v="3000015414110004"/>
    <s v="CIVIL"/>
    <d v="2023-06-29T00:00:00"/>
    <d v="2023-07-10T19:01:40"/>
    <m/>
    <d v="2023-07-10T00:00:00"/>
    <n v="1456"/>
    <n v="14783"/>
    <s v="61247500"/>
    <s v="61247500"/>
    <m/>
    <m/>
    <n v="22792852"/>
    <m/>
    <m/>
    <m/>
    <s v="SOLFIN"/>
    <s v="SOLFIN"/>
    <s v="CCMS"/>
    <n v="21349936"/>
    <n v="5410.84"/>
    <m/>
    <s v="N"/>
    <n v="10"/>
    <d v="2023-07-10T19:02:04"/>
    <s v="Y"/>
    <s v="Hearing Unit 2.31 - 5.00 Hours"/>
    <s v="Public Law Children"/>
    <s v="Advocacy"/>
    <s v="Teresa Campone"/>
    <s v="Y"/>
    <n v="476.92"/>
    <n v="95.38"/>
    <x v="2"/>
    <s v="VALIDATED"/>
    <n v="1"/>
    <s v="01.11.80.308.6100.0000"/>
    <n v="476.92"/>
    <s v="11"/>
    <s v="6100"/>
    <n v="8475.77"/>
    <n v="476.92"/>
    <s v="CREDITOR"/>
    <n v="0"/>
    <n v="0"/>
    <n v="0"/>
    <n v="0"/>
    <n v="476.92"/>
  </r>
  <r>
    <n v="61247500"/>
    <s v="N"/>
    <n v="21349936"/>
    <s v="3000015414110004"/>
    <s v="CIVIL"/>
    <d v="2023-06-29T00:00:00"/>
    <d v="2023-07-10T19:01:40"/>
    <m/>
    <d v="2023-07-10T00:00:00"/>
    <n v="1456"/>
    <n v="14783"/>
    <s v="61247500"/>
    <s v="61247500"/>
    <m/>
    <m/>
    <n v="22792852"/>
    <m/>
    <m/>
    <m/>
    <s v="SOLFIN"/>
    <s v="SOLFIN"/>
    <s v="CCMS"/>
    <n v="21349936"/>
    <n v="5410.84"/>
    <m/>
    <s v="N"/>
    <n v="3"/>
    <d v="2023-07-10T19:02:04"/>
    <s v="Y"/>
    <s v="Solicitor Travel Mileage"/>
    <s v="Public Law Children"/>
    <s v="Non Expert Disbursement"/>
    <s v="Teresa Campone"/>
    <s v="Y"/>
    <n v="18"/>
    <n v="3.6"/>
    <x v="2"/>
    <s v="VALIDATED"/>
    <n v="1"/>
    <s v="01.11.80.308.6300.0000"/>
    <n v="18"/>
    <s v="11"/>
    <s v="6300"/>
    <n v="8475.77"/>
    <n v="18"/>
    <s v="CREDITOR"/>
    <n v="0"/>
    <n v="0"/>
    <n v="0"/>
    <n v="0"/>
    <n v="18"/>
  </r>
  <r>
    <n v="61024089"/>
    <s v="N"/>
    <n v="21360997"/>
    <s v="3000015226910008"/>
    <s v="CIVIL"/>
    <d v="2023-06-30T00:00:00"/>
    <d v="2023-07-11T19:00:25"/>
    <m/>
    <d v="2023-07-11T00:00:00"/>
    <n v="1456"/>
    <n v="14783"/>
    <s v="61024089"/>
    <s v="61024089"/>
    <m/>
    <m/>
    <n v="22798658"/>
    <m/>
    <m/>
    <m/>
    <s v="SOLFIN"/>
    <s v="SOLFIN"/>
    <s v="CCMS"/>
    <n v="21360997"/>
    <n v="6832.38"/>
    <m/>
    <s v="N"/>
    <n v="3"/>
    <d v="2023-07-11T19:00:42"/>
    <s v="Y"/>
    <s v="Toxicologist"/>
    <s v="Public Law Children"/>
    <s v="Expert Disbursement"/>
    <s v="Teresa Campone"/>
    <s v="Y"/>
    <n v="90.31"/>
    <n v="18.06"/>
    <x v="7"/>
    <s v="VALIDATED"/>
    <n v="1"/>
    <s v="01.11.80.308.6300.0000"/>
    <n v="90.31"/>
    <s v="11"/>
    <s v="6300"/>
    <n v="8475.77"/>
    <n v="90.31"/>
    <s v="CREDITOR"/>
    <n v="0"/>
    <n v="0"/>
    <n v="0"/>
    <n v="0"/>
    <n v="90.31"/>
  </r>
  <r>
    <n v="61024089"/>
    <s v="N"/>
    <n v="21360997"/>
    <s v="3000015226910008"/>
    <s v="CIVIL"/>
    <d v="2023-06-30T00:00:00"/>
    <d v="2023-07-11T19:00:25"/>
    <m/>
    <d v="2023-07-11T00:00:00"/>
    <n v="1456"/>
    <n v="14783"/>
    <s v="61024089"/>
    <s v="61024089"/>
    <m/>
    <m/>
    <n v="22798658"/>
    <m/>
    <m/>
    <m/>
    <s v="SOLFIN"/>
    <s v="SOLFIN"/>
    <s v="CCMS"/>
    <n v="21360997"/>
    <n v="6832.38"/>
    <m/>
    <s v="N"/>
    <n v="4"/>
    <d v="2023-07-11T19:00:42"/>
    <s v="Y"/>
    <s v="Solicitor Travel Expenses"/>
    <s v="Public Law Children"/>
    <s v="Non Expert Disbursement"/>
    <s v="Teresa Campone"/>
    <s v="Y"/>
    <n v="9"/>
    <n v="0"/>
    <x v="7"/>
    <s v="VALIDATED"/>
    <n v="1"/>
    <s v="01.11.80.308.6300.0000"/>
    <n v="9"/>
    <s v="11"/>
    <s v="6300"/>
    <n v="8475.77"/>
    <n v="9"/>
    <s v="CREDITOR"/>
    <n v="0"/>
    <n v="0"/>
    <n v="0"/>
    <n v="0"/>
    <n v="9"/>
  </r>
  <r>
    <n v="61507045"/>
    <s v="N"/>
    <n v="21349336"/>
    <s v="3000015629870003"/>
    <s v="CIVIL"/>
    <d v="2023-06-29T00:00:00"/>
    <d v="2023-07-10T19:01:40"/>
    <m/>
    <d v="2023-07-10T00:00:00"/>
    <n v="1456"/>
    <n v="14783"/>
    <s v="61507045"/>
    <s v="61507045"/>
    <m/>
    <m/>
    <n v="22789656"/>
    <m/>
    <m/>
    <m/>
    <s v="SOLFIN"/>
    <s v="SOLFIN"/>
    <s v="CCMS"/>
    <n v="21349336"/>
    <n v="4839.26"/>
    <m/>
    <s v="N"/>
    <n v="11"/>
    <d v="2023-07-10T19:01:47"/>
    <s v="Y"/>
    <s v="Solicitors Fixed Fee"/>
    <s v="Public Law Children"/>
    <s v="Profit Cost"/>
    <s v="Teresa Campone"/>
    <s v="Y"/>
    <n v="2616"/>
    <n v="523.2"/>
    <x v="2"/>
    <s v="VALIDATED"/>
    <n v="1"/>
    <s v="01.11.80.308.6100.0000"/>
    <n v="2616"/>
    <s v="11"/>
    <s v="6100"/>
    <n v="8475.77"/>
    <n v="2616"/>
    <s v="CREDITOR"/>
    <n v="0"/>
    <n v="0"/>
    <n v="0"/>
    <n v="0"/>
    <n v="2616"/>
  </r>
  <r>
    <n v="61024089"/>
    <s v="N"/>
    <n v="21360997"/>
    <s v="3000015226910008"/>
    <s v="CIVIL"/>
    <d v="2023-06-30T00:00:00"/>
    <d v="2023-07-11T19:00:25"/>
    <m/>
    <d v="2023-07-11T00:00:00"/>
    <n v="1456"/>
    <n v="14783"/>
    <s v="61024089"/>
    <s v="61024089"/>
    <m/>
    <m/>
    <n v="22798658"/>
    <m/>
    <m/>
    <m/>
    <s v="SOLFIN"/>
    <s v="SOLFIN"/>
    <s v="CCMS"/>
    <n v="21360997"/>
    <n v="6832.38"/>
    <m/>
    <s v="N"/>
    <n v="19"/>
    <d v="2023-07-11T19:00:42"/>
    <s v="Y"/>
    <s v="Solicitors Fixed Fee"/>
    <s v="Public Law Children"/>
    <s v="Profit Cost"/>
    <s v="Teresa Campone"/>
    <s v="Y"/>
    <n v="2616"/>
    <n v="523.2"/>
    <x v="7"/>
    <s v="VALIDATED"/>
    <n v="1"/>
    <s v="01.11.80.308.6100.0000"/>
    <n v="2616"/>
    <s v="11"/>
    <s v="6100"/>
    <n v="8475.77"/>
    <n v="2616"/>
    <s v="CREDITOR"/>
    <n v="0"/>
    <n v="0"/>
    <n v="0"/>
    <n v="0"/>
    <n v="2616"/>
  </r>
  <r>
    <n v="61247500"/>
    <s v="N"/>
    <n v="21349936"/>
    <s v="3000015414110004"/>
    <s v="CIVIL"/>
    <d v="2023-06-29T00:00:00"/>
    <d v="2023-07-10T19:01:40"/>
    <m/>
    <d v="2023-07-10T00:00:00"/>
    <n v="1456"/>
    <n v="14783"/>
    <s v="61247500"/>
    <s v="61247500"/>
    <m/>
    <m/>
    <n v="22792852"/>
    <m/>
    <m/>
    <m/>
    <s v="SOLFIN"/>
    <s v="SOLFIN"/>
    <s v="CCMS"/>
    <n v="21349936"/>
    <n v="5410.84"/>
    <m/>
    <s v="N"/>
    <n v="5"/>
    <d v="2023-07-10T19:02:04"/>
    <s v="Y"/>
    <s v="Solicitor Travel Mileage"/>
    <s v="Public Law Children"/>
    <s v="Non Expert Disbursement"/>
    <s v="Teresa Campone"/>
    <s v="Y"/>
    <n v="18"/>
    <n v="3.6"/>
    <x v="2"/>
    <s v="VALIDATED"/>
    <n v="1"/>
    <s v="01.11.80.308.6300.0000"/>
    <n v="18"/>
    <s v="11"/>
    <s v="6300"/>
    <n v="8475.77"/>
    <n v="18"/>
    <s v="CREDITOR"/>
    <n v="0"/>
    <n v="0"/>
    <n v="0"/>
    <n v="0"/>
    <n v="18"/>
  </r>
  <r>
    <n v="61247500"/>
    <s v="N"/>
    <n v="21349936"/>
    <s v="3000015414110004"/>
    <s v="CIVIL"/>
    <d v="2023-06-29T00:00:00"/>
    <d v="2023-07-10T19:01:40"/>
    <m/>
    <d v="2023-07-10T00:00:00"/>
    <n v="1456"/>
    <n v="14783"/>
    <s v="61247500"/>
    <s v="61247500"/>
    <m/>
    <m/>
    <n v="22792852"/>
    <m/>
    <m/>
    <m/>
    <s v="SOLFIN"/>
    <s v="SOLFIN"/>
    <s v="CCMS"/>
    <n v="21349936"/>
    <n v="5410.84"/>
    <m/>
    <s v="N"/>
    <n v="1"/>
    <d v="2023-07-10T19:02:04"/>
    <s v="Y"/>
    <s v="Interim Hearing Court Bundle/Advoca"/>
    <s v="Public Law Children"/>
    <s v="Advocacy"/>
    <s v="Teresa Campone"/>
    <s v="Y"/>
    <n v="59.4"/>
    <n v="11.88"/>
    <x v="2"/>
    <s v="VALIDATED"/>
    <n v="1"/>
    <s v="01.11.80.308.6100.0000"/>
    <n v="59.4"/>
    <s v="11"/>
    <s v="6100"/>
    <n v="8475.77"/>
    <n v="59.4"/>
    <s v="CREDITOR"/>
    <n v="0"/>
    <n v="0"/>
    <n v="0"/>
    <n v="0"/>
    <n v="59.4"/>
  </r>
  <r>
    <n v="61024089"/>
    <s v="N"/>
    <n v="21360997"/>
    <s v="3000015226910008"/>
    <s v="CIVIL"/>
    <d v="2023-06-30T00:00:00"/>
    <d v="2023-07-11T19:00:25"/>
    <m/>
    <d v="2023-07-11T00:00:00"/>
    <n v="1456"/>
    <n v="14783"/>
    <s v="61024089"/>
    <s v="61024089"/>
    <m/>
    <m/>
    <n v="22798658"/>
    <m/>
    <m/>
    <m/>
    <s v="SOLFIN"/>
    <s v="SOLFIN"/>
    <s v="CCMS"/>
    <n v="21360997"/>
    <n v="6832.38"/>
    <m/>
    <s v="N"/>
    <n v="13"/>
    <d v="2023-07-11T19:00:42"/>
    <s v="Y"/>
    <s v="Advocates Meeting"/>
    <s v="Public Law Children"/>
    <s v="Advocacy"/>
    <s v="Teresa Campone"/>
    <s v="Y"/>
    <n v="140.99"/>
    <n v="28.2"/>
    <x v="7"/>
    <s v="VALIDATED"/>
    <n v="1"/>
    <s v="01.11.80.308.6100.0000"/>
    <n v="140.99"/>
    <s v="11"/>
    <s v="6100"/>
    <n v="8475.77"/>
    <n v="140.99"/>
    <s v="CREDITOR"/>
    <n v="0"/>
    <n v="0"/>
    <n v="0"/>
    <n v="0"/>
    <n v="140.99"/>
  </r>
  <r>
    <n v="61507045"/>
    <s v="N"/>
    <n v="21349336"/>
    <s v="3000015629870003"/>
    <s v="CIVIL"/>
    <d v="2023-06-29T00:00:00"/>
    <d v="2023-07-10T19:01:40"/>
    <m/>
    <d v="2023-07-10T00:00:00"/>
    <n v="1456"/>
    <n v="14783"/>
    <s v="61507045"/>
    <s v="61507045"/>
    <m/>
    <m/>
    <n v="22789656"/>
    <m/>
    <m/>
    <m/>
    <s v="SOLFIN"/>
    <s v="SOLFIN"/>
    <s v="CCMS"/>
    <n v="21349336"/>
    <n v="4839.26"/>
    <m/>
    <s v="N"/>
    <n v="3"/>
    <d v="2023-07-10T19:01:47"/>
    <s v="Y"/>
    <s v="Solicitor Travel Mileage"/>
    <s v="Public Law Children"/>
    <s v="Non Expert Disbursement"/>
    <s v="Teresa Campone"/>
    <s v="Y"/>
    <n v="18"/>
    <n v="3.6"/>
    <x v="2"/>
    <s v="VALIDATED"/>
    <n v="1"/>
    <s v="01.11.80.308.6300.0000"/>
    <n v="18"/>
    <s v="11"/>
    <s v="6300"/>
    <n v="8475.77"/>
    <n v="18"/>
    <s v="CREDITOR"/>
    <n v="0"/>
    <n v="0"/>
    <n v="0"/>
    <n v="0"/>
    <n v="18"/>
  </r>
  <r>
    <n v="61507045"/>
    <s v="N"/>
    <n v="21349336"/>
    <s v="3000015629870003"/>
    <s v="CIVIL"/>
    <d v="2023-06-29T00:00:00"/>
    <d v="2023-07-10T19:01:40"/>
    <m/>
    <d v="2023-07-10T00:00:00"/>
    <n v="1456"/>
    <n v="14783"/>
    <s v="61507045"/>
    <s v="61507045"/>
    <m/>
    <m/>
    <n v="22789656"/>
    <m/>
    <m/>
    <m/>
    <s v="SOLFIN"/>
    <s v="SOLFIN"/>
    <s v="CCMS"/>
    <n v="21349336"/>
    <n v="4839.26"/>
    <m/>
    <s v="N"/>
    <n v="4"/>
    <d v="2023-07-10T19:01:47"/>
    <s v="Y"/>
    <s v="Solicitor Travel Expenses"/>
    <s v="Public Law Children"/>
    <s v="Non Expert Disbursement"/>
    <s v="Teresa Campone"/>
    <s v="Y"/>
    <n v="3.9"/>
    <n v="0"/>
    <x v="2"/>
    <s v="VALIDATED"/>
    <n v="1"/>
    <s v="01.11.80.308.6300.0000"/>
    <n v="3.9"/>
    <s v="11"/>
    <s v="6300"/>
    <n v="8475.77"/>
    <n v="3.9"/>
    <s v="CREDITOR"/>
    <n v="0"/>
    <n v="0"/>
    <n v="0"/>
    <n v="0"/>
    <n v="3.9"/>
  </r>
  <r>
    <n v="61019550"/>
    <s v="N"/>
    <n v="21349728"/>
    <s v="3000015223800006"/>
    <s v="CIVIL"/>
    <d v="2023-06-29T00:00:00"/>
    <d v="2023-07-10T19:01:40"/>
    <m/>
    <d v="2023-07-10T00:00:00"/>
    <n v="1456"/>
    <n v="14783"/>
    <s v="61019550"/>
    <s v="61019550"/>
    <m/>
    <m/>
    <n v="22788302"/>
    <m/>
    <m/>
    <m/>
    <s v="SOLFIN"/>
    <s v="SOLFIN"/>
    <s v="CCMS"/>
    <n v="21349728"/>
    <n v="5807.34"/>
    <m/>
    <s v="N"/>
    <n v="3"/>
    <d v="2023-07-10T19:01:56"/>
    <s v="Y"/>
    <s v="Telecoms expert"/>
    <s v="Public Law Children"/>
    <s v="Expert Disbursement"/>
    <s v="Teresa Campone"/>
    <s v="Y"/>
    <n v="795.2"/>
    <n v="159.04"/>
    <x v="2"/>
    <s v="VALIDATED"/>
    <n v="1"/>
    <s v="01.11.80.308.6300.0000"/>
    <n v="795.2"/>
    <s v="11"/>
    <s v="6300"/>
    <n v="8475.77"/>
    <n v="795.2"/>
    <s v="CREDITOR"/>
    <n v="0"/>
    <n v="0"/>
    <n v="0"/>
    <n v="0"/>
    <n v="795.2"/>
  </r>
  <r>
    <n v="61024089"/>
    <s v="N"/>
    <n v="21360997"/>
    <s v="3000015226910008"/>
    <s v="CIVIL"/>
    <d v="2023-06-30T00:00:00"/>
    <d v="2023-07-11T19:00:25"/>
    <m/>
    <d v="2023-07-11T00:00:00"/>
    <n v="1456"/>
    <n v="14783"/>
    <s v="61024089"/>
    <s v="61024089"/>
    <m/>
    <m/>
    <n v="22798658"/>
    <m/>
    <m/>
    <m/>
    <s v="SOLFIN"/>
    <s v="SOLFIN"/>
    <s v="CCMS"/>
    <n v="21360997"/>
    <n v="6832.38"/>
    <m/>
    <s v="N"/>
    <n v="12"/>
    <d v="2023-07-11T19:00:42"/>
    <s v="Y"/>
    <s v="Final Hearing - 1 Day"/>
    <s v="Public Law Children"/>
    <s v="Advocacy"/>
    <s v="Kate Patel"/>
    <s v="Y"/>
    <n v="556.88"/>
    <n v="111.38"/>
    <x v="7"/>
    <s v="VALIDATED"/>
    <n v="1"/>
    <s v="01.11.80.308.6100.0000"/>
    <n v="556.88"/>
    <s v="11"/>
    <s v="6100"/>
    <n v="8475.77"/>
    <n v="556.88"/>
    <s v="CREDITOR"/>
    <n v="0"/>
    <n v="0"/>
    <n v="0"/>
    <n v="0"/>
    <n v="556.88"/>
  </r>
  <r>
    <n v="61019550"/>
    <s v="N"/>
    <n v="21349728"/>
    <s v="3000015223800006"/>
    <s v="CIVIL"/>
    <d v="2023-06-29T00:00:00"/>
    <d v="2023-07-10T19:01:40"/>
    <m/>
    <d v="2023-07-10T00:00:00"/>
    <n v="1456"/>
    <n v="14783"/>
    <s v="61019550"/>
    <s v="61019550"/>
    <m/>
    <m/>
    <n v="22788302"/>
    <m/>
    <m/>
    <m/>
    <s v="SOLFIN"/>
    <s v="SOLFIN"/>
    <s v="CCMS"/>
    <n v="21349728"/>
    <n v="5807.34"/>
    <m/>
    <s v="N"/>
    <n v="7"/>
    <d v="2023-07-10T19:01:56"/>
    <s v="Y"/>
    <s v="Solicitors Fixed Fee"/>
    <s v="Public Law Children"/>
    <s v="Profit Cost"/>
    <s v="Teresa Campone"/>
    <s v="Y"/>
    <n v="2616"/>
    <n v="523.2"/>
    <x v="2"/>
    <s v="VALIDATED"/>
    <n v="1"/>
    <s v="01.11.80.308.6100.0000"/>
    <n v="2616"/>
    <s v="11"/>
    <s v="6100"/>
    <n v="8475.77"/>
    <n v="2616"/>
    <s v="CREDITOR"/>
    <n v="0"/>
    <n v="0"/>
    <n v="0"/>
    <n v="0"/>
    <n v="2616"/>
  </r>
  <r>
    <n v="61024089"/>
    <s v="N"/>
    <n v="21360997"/>
    <s v="3000015226910008"/>
    <s v="CIVIL"/>
    <d v="2023-06-30T00:00:00"/>
    <d v="2023-07-11T19:00:25"/>
    <m/>
    <d v="2023-07-11T00:00:00"/>
    <n v="1456"/>
    <n v="14783"/>
    <s v="61024089"/>
    <s v="61024089"/>
    <m/>
    <m/>
    <n v="22798658"/>
    <m/>
    <m/>
    <m/>
    <s v="SOLFIN"/>
    <s v="SOLFIN"/>
    <s v="CCMS"/>
    <n v="21360997"/>
    <n v="6832.38"/>
    <m/>
    <s v="N"/>
    <n v="10"/>
    <d v="2023-07-11T19:00:42"/>
    <s v="Y"/>
    <s v="Toxicologist"/>
    <s v="Public Law Children"/>
    <s v="Expert Disbursement"/>
    <s v="Teresa Campone"/>
    <s v="Y"/>
    <n v="125"/>
    <n v="25"/>
    <x v="7"/>
    <s v="VALIDATED"/>
    <n v="1"/>
    <s v="01.11.80.308.6300.0000"/>
    <n v="125"/>
    <s v="11"/>
    <s v="6300"/>
    <n v="8475.77"/>
    <n v="125"/>
    <s v="CREDITOR"/>
    <n v="0"/>
    <n v="0"/>
    <n v="0"/>
    <n v="0"/>
    <n v="125"/>
  </r>
  <r>
    <n v="61019550"/>
    <s v="N"/>
    <n v="21356699"/>
    <s v="3000015223800003RC"/>
    <s v="CIVIL"/>
    <d v="2023-06-29T00:00:00"/>
    <d v="2023-07-10T19:47:44"/>
    <m/>
    <d v="2023-07-10T00:00:00"/>
    <n v="1456"/>
    <n v="14783"/>
    <s v="61019550"/>
    <s v="61019550"/>
    <m/>
    <m/>
    <m/>
    <m/>
    <m/>
    <m/>
    <s v="SOLRECOUP"/>
    <s v="SOLRECOUP"/>
    <s v="POARECOUP"/>
    <n v="21356699"/>
    <n v="-2538.86"/>
    <m/>
    <s v="Y"/>
    <n v="1"/>
    <d v="2023-07-10T19:47:46"/>
    <s v="N"/>
    <m/>
    <m/>
    <s v="Profit Cost"/>
    <m/>
    <s v="N"/>
    <n v="-2115.72"/>
    <n v="0"/>
    <x v="2"/>
    <s v="VALIDATED"/>
    <n v="1"/>
    <s v="01.11.80.308.2013.0000"/>
    <n v="-2115.72"/>
    <s v="11"/>
    <s v="2013"/>
    <n v="8475.77"/>
    <n v="-2115.72"/>
    <s v="CREDITOR"/>
    <n v="0"/>
    <n v="0"/>
    <n v="-2115.72"/>
    <n v="-528.9299999999999"/>
    <n v="0"/>
  </r>
  <r>
    <n v="61019550"/>
    <s v="N"/>
    <n v="21356699"/>
    <s v="3000015223800003RC"/>
    <s v="CIVIL"/>
    <d v="2023-06-29T00:00:00"/>
    <d v="2023-07-10T19:47:44"/>
    <m/>
    <d v="2023-07-10T00:00:00"/>
    <n v="1456"/>
    <n v="14783"/>
    <s v="61019550"/>
    <s v="61019550"/>
    <m/>
    <m/>
    <m/>
    <m/>
    <m/>
    <m/>
    <s v="SOLRECOUP"/>
    <s v="SOLRECOUP"/>
    <s v="POARECOUP"/>
    <n v="21356699"/>
    <n v="-2538.86"/>
    <m/>
    <s v="Y"/>
    <n v="2"/>
    <d v="2023-07-10T19:47:46"/>
    <s v="N"/>
    <m/>
    <m/>
    <s v="Profit Cost"/>
    <m/>
    <s v="N"/>
    <n v="0"/>
    <n v="-423.14"/>
    <x v="2"/>
    <s v="VALIDATED"/>
    <n v="1"/>
    <s v="01.11.80.308.2013.0000"/>
    <n v="-423.14"/>
    <s v="11"/>
    <s v="2013"/>
    <n v="8475.77"/>
    <n v="-423.14"/>
    <s v="CREDITOR"/>
    <n v="0"/>
    <n v="0"/>
    <n v="-423.14"/>
    <n v="-105.785"/>
    <n v="0"/>
  </r>
  <r>
    <n v="61247500"/>
    <s v="N"/>
    <n v="21356700"/>
    <s v="3000015414110002RC"/>
    <s v="CIVIL"/>
    <d v="2023-06-29T00:00:00"/>
    <d v="2023-07-10T19:47:44"/>
    <m/>
    <d v="2023-07-10T00:00:00"/>
    <n v="1456"/>
    <n v="14783"/>
    <s v="61247500"/>
    <s v="61247500"/>
    <m/>
    <m/>
    <m/>
    <m/>
    <m/>
    <m/>
    <s v="SOLRECOUP"/>
    <s v="SOLRECOUP"/>
    <s v="POARECOUP"/>
    <n v="21356700"/>
    <n v="-199.5"/>
    <m/>
    <s v="Y"/>
    <n v="1"/>
    <d v="2023-07-10T19:47:46"/>
    <s v="N"/>
    <m/>
    <m/>
    <s v="Expert Disbursement"/>
    <m/>
    <s v="N"/>
    <n v="-166.25"/>
    <n v="0"/>
    <x v="2"/>
    <s v="VALIDATED"/>
    <n v="1"/>
    <s v="01.11.80.308.2013.0000"/>
    <n v="-166.25"/>
    <s v="11"/>
    <s v="2013"/>
    <n v="8475.77"/>
    <n v="-166.25"/>
    <s v="CREDITOR"/>
    <n v="0"/>
    <n v="0"/>
    <n v="-166.25"/>
    <n v="0"/>
    <n v="0"/>
  </r>
  <r>
    <n v="61247500"/>
    <s v="N"/>
    <n v="21356700"/>
    <s v="3000015414110002RC"/>
    <s v="CIVIL"/>
    <d v="2023-06-29T00:00:00"/>
    <d v="2023-07-10T19:47:44"/>
    <m/>
    <d v="2023-07-10T00:00:00"/>
    <n v="1456"/>
    <n v="14783"/>
    <s v="61247500"/>
    <s v="61247500"/>
    <m/>
    <m/>
    <m/>
    <m/>
    <m/>
    <m/>
    <s v="SOLRECOUP"/>
    <s v="SOLRECOUP"/>
    <s v="POARECOUP"/>
    <n v="21356700"/>
    <n v="-199.5"/>
    <m/>
    <s v="Y"/>
    <n v="2"/>
    <d v="2023-07-10T19:47:46"/>
    <s v="N"/>
    <m/>
    <m/>
    <s v="Expert Disbursement"/>
    <m/>
    <s v="N"/>
    <n v="0"/>
    <n v="-33.25"/>
    <x v="2"/>
    <s v="VALIDATED"/>
    <n v="1"/>
    <s v="01.11.80.308.2013.0000"/>
    <n v="-33.25"/>
    <s v="11"/>
    <s v="2013"/>
    <n v="8475.77"/>
    <n v="-33.25"/>
    <s v="CREDITOR"/>
    <n v="0"/>
    <n v="0"/>
    <n v="-33.25"/>
    <n v="0"/>
    <n v="0"/>
  </r>
  <r>
    <n v="61019550"/>
    <s v="N"/>
    <n v="21356701"/>
    <s v="3000015223800002RC"/>
    <s v="CIVIL"/>
    <d v="2023-06-29T00:00:00"/>
    <d v="2023-07-10T19:47:44"/>
    <m/>
    <d v="2023-07-10T00:00:00"/>
    <n v="1456"/>
    <n v="14783"/>
    <s v="61019550"/>
    <s v="61019550"/>
    <m/>
    <m/>
    <m/>
    <m/>
    <m/>
    <m/>
    <s v="SOLRECOUP"/>
    <s v="SOLRECOUP"/>
    <s v="POARECOUP"/>
    <n v="21356701"/>
    <n v="-954.24"/>
    <m/>
    <s v="Y"/>
    <n v="1"/>
    <d v="2023-07-10T19:47:46"/>
    <s v="N"/>
    <m/>
    <m/>
    <s v="Expert Disbursement"/>
    <m/>
    <s v="N"/>
    <n v="-795.2"/>
    <n v="0"/>
    <x v="2"/>
    <s v="VALIDATED"/>
    <n v="1"/>
    <s v="01.11.80.308.2013.0000"/>
    <n v="-795.2"/>
    <s v="11"/>
    <s v="2013"/>
    <n v="8475.77"/>
    <n v="-795.2"/>
    <s v="CREDITOR"/>
    <n v="0"/>
    <n v="0"/>
    <n v="-795.2"/>
    <n v="0"/>
    <n v="0"/>
  </r>
  <r>
    <n v="61019550"/>
    <s v="N"/>
    <n v="21356701"/>
    <s v="3000015223800002RC"/>
    <s v="CIVIL"/>
    <d v="2023-06-29T00:00:00"/>
    <d v="2023-07-10T19:47:44"/>
    <m/>
    <d v="2023-07-10T00:00:00"/>
    <n v="1456"/>
    <n v="14783"/>
    <s v="61019550"/>
    <s v="61019550"/>
    <m/>
    <m/>
    <m/>
    <m/>
    <m/>
    <m/>
    <s v="SOLRECOUP"/>
    <s v="SOLRECOUP"/>
    <s v="POARECOUP"/>
    <n v="21356701"/>
    <n v="-954.24"/>
    <m/>
    <s v="Y"/>
    <n v="2"/>
    <d v="2023-07-10T19:47:46"/>
    <s v="N"/>
    <m/>
    <m/>
    <s v="Expert Disbursement"/>
    <m/>
    <s v="N"/>
    <n v="0"/>
    <n v="-159.04"/>
    <x v="2"/>
    <s v="VALIDATED"/>
    <n v="1"/>
    <s v="01.11.80.308.2013.0000"/>
    <n v="-159.04"/>
    <s v="11"/>
    <s v="2013"/>
    <n v="8475.77"/>
    <n v="-159.04"/>
    <s v="CREDITOR"/>
    <n v="0"/>
    <n v="0"/>
    <n v="-159.04"/>
    <n v="0"/>
    <n v="0"/>
  </r>
  <r>
    <n v="61247500"/>
    <s v="N"/>
    <n v="21356702"/>
    <s v="3000015414110001RC"/>
    <s v="CIVIL"/>
    <d v="2023-06-29T00:00:00"/>
    <d v="2023-07-10T19:47:44"/>
    <m/>
    <d v="2023-07-10T00:00:00"/>
    <n v="1456"/>
    <n v="14783"/>
    <s v="61247500"/>
    <s v="61247500"/>
    <m/>
    <m/>
    <m/>
    <m/>
    <m/>
    <m/>
    <s v="SOLRECOUP"/>
    <s v="SOLRECOUP"/>
    <s v="POARECOUP"/>
    <n v="21356702"/>
    <n v="-83.66"/>
    <m/>
    <s v="Y"/>
    <n v="1"/>
    <d v="2023-07-10T19:47:46"/>
    <s v="N"/>
    <m/>
    <m/>
    <s v="Expert Disbursement"/>
    <m/>
    <s v="N"/>
    <n v="-69.72"/>
    <n v="0"/>
    <x v="2"/>
    <s v="VALIDATED"/>
    <n v="1"/>
    <s v="01.11.80.308.2013.0000"/>
    <n v="-69.72"/>
    <s v="11"/>
    <s v="2013"/>
    <n v="8475.77"/>
    <n v="-69.72"/>
    <s v="CREDITOR"/>
    <n v="0"/>
    <n v="0"/>
    <n v="-69.72"/>
    <n v="0"/>
    <n v="0"/>
  </r>
  <r>
    <n v="61247500"/>
    <s v="N"/>
    <n v="21356702"/>
    <s v="3000015414110001RC"/>
    <s v="CIVIL"/>
    <d v="2023-06-29T00:00:00"/>
    <d v="2023-07-10T19:47:44"/>
    <m/>
    <d v="2023-07-10T00:00:00"/>
    <n v="1456"/>
    <n v="14783"/>
    <s v="61247500"/>
    <s v="61247500"/>
    <m/>
    <m/>
    <m/>
    <m/>
    <m/>
    <m/>
    <s v="SOLRECOUP"/>
    <s v="SOLRECOUP"/>
    <s v="POARECOUP"/>
    <n v="21356702"/>
    <n v="-83.66"/>
    <m/>
    <s v="Y"/>
    <n v="2"/>
    <d v="2023-07-10T19:47:46"/>
    <s v="N"/>
    <m/>
    <m/>
    <s v="Expert Disbursement"/>
    <m/>
    <s v="N"/>
    <n v="0"/>
    <n v="-13.94"/>
    <x v="2"/>
    <s v="VALIDATED"/>
    <n v="1"/>
    <s v="01.11.80.308.2013.0000"/>
    <n v="-13.94"/>
    <s v="11"/>
    <s v="2013"/>
    <n v="8475.77"/>
    <n v="-13.94"/>
    <s v="CREDITOR"/>
    <n v="0"/>
    <n v="0"/>
    <n v="-13.94"/>
    <n v="0"/>
    <n v="0"/>
  </r>
  <r>
    <n v="61019550"/>
    <s v="N"/>
    <n v="21356703"/>
    <s v="3000015223800004RC"/>
    <s v="CIVIL"/>
    <d v="2023-06-29T00:00:00"/>
    <d v="2023-07-10T19:47:44"/>
    <m/>
    <d v="2023-07-10T00:00:00"/>
    <n v="1456"/>
    <n v="14783"/>
    <s v="61019550"/>
    <s v="61019550"/>
    <m/>
    <m/>
    <m/>
    <m/>
    <m/>
    <m/>
    <s v="SOLRECOUP"/>
    <s v="SOLRECOUP"/>
    <s v="POARECOUP"/>
    <n v="21356703"/>
    <n v="-944.46"/>
    <m/>
    <s v="Y"/>
    <n v="2"/>
    <d v="2023-07-10T19:47:46"/>
    <s v="N"/>
    <m/>
    <m/>
    <s v="Expert Disbursement"/>
    <m/>
    <s v="N"/>
    <n v="0"/>
    <n v="-157.41"/>
    <x v="2"/>
    <s v="VALIDATED"/>
    <n v="1"/>
    <s v="01.11.80.308.2013.0000"/>
    <n v="-157.41"/>
    <s v="11"/>
    <s v="2013"/>
    <n v="8475.77"/>
    <n v="-157.41"/>
    <s v="CREDITOR"/>
    <n v="0"/>
    <n v="0"/>
    <n v="-157.41"/>
    <n v="0"/>
    <n v="0"/>
  </r>
  <r>
    <n v="61019550"/>
    <s v="N"/>
    <n v="21356703"/>
    <s v="3000015223800004RC"/>
    <s v="CIVIL"/>
    <d v="2023-06-29T00:00:00"/>
    <d v="2023-07-10T19:47:44"/>
    <m/>
    <d v="2023-07-10T00:00:00"/>
    <n v="1456"/>
    <n v="14783"/>
    <s v="61019550"/>
    <s v="61019550"/>
    <m/>
    <m/>
    <m/>
    <m/>
    <m/>
    <m/>
    <s v="SOLRECOUP"/>
    <s v="SOLRECOUP"/>
    <s v="POARECOUP"/>
    <n v="21356703"/>
    <n v="-944.46"/>
    <m/>
    <s v="Y"/>
    <n v="1"/>
    <d v="2023-07-10T19:47:46"/>
    <s v="N"/>
    <m/>
    <m/>
    <s v="Expert Disbursement"/>
    <m/>
    <s v="N"/>
    <n v="-787.05"/>
    <n v="0"/>
    <x v="2"/>
    <s v="VALIDATED"/>
    <n v="1"/>
    <s v="01.11.80.308.2013.0000"/>
    <n v="-787.05"/>
    <s v="11"/>
    <s v="2013"/>
    <n v="8475.77"/>
    <n v="-787.05"/>
    <s v="CREDITOR"/>
    <n v="0"/>
    <n v="0"/>
    <n v="-787.05"/>
    <n v="0"/>
    <n v="0"/>
  </r>
  <r>
    <n v="61247500"/>
    <s v="N"/>
    <n v="21356704"/>
    <s v="3000015414110003RC"/>
    <s v="CIVIL"/>
    <d v="2023-06-29T00:00:00"/>
    <d v="2023-07-10T19:47:44"/>
    <m/>
    <d v="2023-07-10T00:00:00"/>
    <n v="1456"/>
    <n v="14783"/>
    <s v="61247500"/>
    <s v="61247500"/>
    <m/>
    <m/>
    <m/>
    <m/>
    <m/>
    <m/>
    <s v="SOLRECOUP"/>
    <s v="SOLRECOUP"/>
    <s v="POARECOUP"/>
    <n v="21356704"/>
    <n v="-2053.04"/>
    <m/>
    <s v="Y"/>
    <n v="1"/>
    <d v="2023-07-10T19:47:46"/>
    <s v="N"/>
    <m/>
    <m/>
    <s v="Profit Cost"/>
    <m/>
    <s v="N"/>
    <n v="-1710.87"/>
    <n v="0"/>
    <x v="2"/>
    <s v="VALIDATED"/>
    <n v="1"/>
    <s v="01.11.80.308.2013.0000"/>
    <n v="-1710.87"/>
    <s v="11"/>
    <s v="2013"/>
    <n v="8475.77"/>
    <n v="-1710.87"/>
    <s v="CREDITOR"/>
    <n v="0"/>
    <n v="0"/>
    <n v="-1710.87"/>
    <n v="-427.7175"/>
    <n v="0"/>
  </r>
  <r>
    <n v="61247500"/>
    <s v="N"/>
    <n v="21356704"/>
    <s v="3000015414110003RC"/>
    <s v="CIVIL"/>
    <d v="2023-06-29T00:00:00"/>
    <d v="2023-07-10T19:47:44"/>
    <m/>
    <d v="2023-07-10T00:00:00"/>
    <n v="1456"/>
    <n v="14783"/>
    <s v="61247500"/>
    <s v="61247500"/>
    <m/>
    <m/>
    <m/>
    <m/>
    <m/>
    <m/>
    <s v="SOLRECOUP"/>
    <s v="SOLRECOUP"/>
    <s v="POARECOUP"/>
    <n v="21356704"/>
    <n v="-2053.04"/>
    <m/>
    <s v="Y"/>
    <n v="2"/>
    <d v="2023-07-10T19:47:46"/>
    <s v="N"/>
    <m/>
    <m/>
    <s v="Profit Cost"/>
    <m/>
    <s v="N"/>
    <n v="0"/>
    <n v="-342.17"/>
    <x v="2"/>
    <s v="VALIDATED"/>
    <n v="1"/>
    <s v="01.11.80.308.2013.0000"/>
    <n v="-342.17"/>
    <s v="11"/>
    <s v="2013"/>
    <n v="8475.77"/>
    <n v="-342.17"/>
    <s v="CREDITOR"/>
    <n v="0"/>
    <n v="0"/>
    <n v="-342.17"/>
    <n v="-85.5425"/>
    <n v="0"/>
  </r>
  <r>
    <n v="61507045"/>
    <s v="N"/>
    <n v="21356705"/>
    <s v="3000015629870002RC"/>
    <s v="CIVIL"/>
    <d v="2023-06-29T00:00:00"/>
    <d v="2023-07-10T19:47:44"/>
    <m/>
    <d v="2023-07-10T00:00:00"/>
    <n v="1456"/>
    <n v="14783"/>
    <s v="61507045"/>
    <s v="61507045"/>
    <m/>
    <m/>
    <m/>
    <m/>
    <m/>
    <m/>
    <s v="SOLRECOUP"/>
    <s v="SOLRECOUP"/>
    <s v="POARECOUP"/>
    <n v="21356705"/>
    <n v="-1646.04"/>
    <m/>
    <s v="Y"/>
    <n v="1"/>
    <d v="2023-07-10T19:47:46"/>
    <s v="N"/>
    <m/>
    <m/>
    <s v="Profit Cost"/>
    <m/>
    <s v="N"/>
    <n v="-1371.7"/>
    <n v="0"/>
    <x v="2"/>
    <s v="VALIDATED"/>
    <n v="1"/>
    <s v="01.11.80.308.2013.0000"/>
    <n v="-1371.7"/>
    <s v="11"/>
    <s v="2013"/>
    <n v="8475.77"/>
    <n v="-1371.7"/>
    <s v="CREDITOR"/>
    <n v="0"/>
    <n v="0"/>
    <n v="-1371.7"/>
    <n v="-342.925"/>
    <n v="0"/>
  </r>
  <r>
    <n v="61507045"/>
    <s v="N"/>
    <n v="21356705"/>
    <s v="3000015629870002RC"/>
    <s v="CIVIL"/>
    <d v="2023-06-29T00:00:00"/>
    <d v="2023-07-10T19:47:44"/>
    <m/>
    <d v="2023-07-10T00:00:00"/>
    <n v="1456"/>
    <n v="14783"/>
    <s v="61507045"/>
    <s v="61507045"/>
    <m/>
    <m/>
    <m/>
    <m/>
    <m/>
    <m/>
    <s v="SOLRECOUP"/>
    <s v="SOLRECOUP"/>
    <s v="POARECOUP"/>
    <n v="21356705"/>
    <n v="-1646.04"/>
    <m/>
    <s v="Y"/>
    <n v="2"/>
    <d v="2023-07-10T19:47:46"/>
    <s v="N"/>
    <m/>
    <m/>
    <s v="Profit Cost"/>
    <m/>
    <s v="N"/>
    <n v="0"/>
    <n v="-274.34"/>
    <x v="2"/>
    <s v="VALIDATED"/>
    <n v="1"/>
    <s v="01.11.80.308.2013.0000"/>
    <n v="-274.34"/>
    <s v="11"/>
    <s v="2013"/>
    <n v="8475.77"/>
    <n v="-274.34"/>
    <s v="CREDITOR"/>
    <n v="0"/>
    <n v="0"/>
    <n v="-274.34"/>
    <n v="-68.58499999999999"/>
    <n v="0"/>
  </r>
  <r>
    <n v="62340654"/>
    <s v="N"/>
    <n v="21318668"/>
    <s v="3000016326670001"/>
    <s v="CIVIL"/>
    <d v="2023-06-26T00:00:00"/>
    <d v="2023-07-03T19:01:49"/>
    <m/>
    <d v="2023-07-03T00:00:00"/>
    <n v="1461"/>
    <n v="14783"/>
    <s v="62340654"/>
    <s v="62340654"/>
    <m/>
    <m/>
    <n v="22758988"/>
    <m/>
    <m/>
    <m/>
    <s v="SOLFIN"/>
    <s v="SOLFIN"/>
    <s v="CCMS"/>
    <n v="21318668"/>
    <n v="801.49"/>
    <m/>
    <s v="N"/>
    <n v="5"/>
    <d v="2023-07-03T19:02:00"/>
    <s v="Y"/>
    <s v="Routine Letter In"/>
    <s v="Care Remuneration Hourly Rates"/>
    <s v="Profit Cost"/>
    <s v="Chris King"/>
    <s v="Y"/>
    <n v="10.64"/>
    <n v="2.13"/>
    <x v="3"/>
    <s v="VALIDATED"/>
    <n v="1"/>
    <s v="01.11.80.308.6100.0000"/>
    <n v="10.64"/>
    <s v="11"/>
    <s v="6100"/>
    <n v="4929.72"/>
    <n v="10.64"/>
    <s v="CREDITOR"/>
    <n v="0"/>
    <n v="0"/>
    <n v="0"/>
    <n v="0"/>
    <n v="10.64"/>
  </r>
  <r>
    <n v="62340654"/>
    <s v="N"/>
    <n v="21318668"/>
    <s v="3000016326670001"/>
    <s v="CIVIL"/>
    <d v="2023-06-26T00:00:00"/>
    <d v="2023-07-03T19:01:49"/>
    <m/>
    <d v="2023-07-03T00:00:00"/>
    <n v="1461"/>
    <n v="14783"/>
    <s v="62340654"/>
    <s v="62340654"/>
    <m/>
    <m/>
    <n v="22758988"/>
    <m/>
    <m/>
    <m/>
    <s v="SOLFIN"/>
    <s v="SOLFIN"/>
    <s v="CCMS"/>
    <n v="21318668"/>
    <n v="801.49"/>
    <m/>
    <s v="N"/>
    <n v="7"/>
    <d v="2023-07-03T19:02:00"/>
    <s v="Y"/>
    <s v="Attendance upon client"/>
    <s v="Care Remuneration Hourly Rates"/>
    <s v="Profit Cost"/>
    <s v="Chris King"/>
    <s v="Y"/>
    <n v="33.59"/>
    <n v="6.72"/>
    <x v="3"/>
    <s v="VALIDATED"/>
    <n v="1"/>
    <s v="01.11.80.308.6100.0000"/>
    <n v="33.59"/>
    <s v="11"/>
    <s v="6100"/>
    <n v="4929.72"/>
    <n v="33.59"/>
    <s v="CREDITOR"/>
    <n v="0"/>
    <n v="0"/>
    <n v="0"/>
    <n v="0"/>
    <n v="33.59"/>
  </r>
  <r>
    <n v="62340654"/>
    <s v="N"/>
    <n v="21318668"/>
    <s v="3000016326670001"/>
    <s v="CIVIL"/>
    <d v="2023-06-26T00:00:00"/>
    <d v="2023-07-03T19:01:49"/>
    <m/>
    <d v="2023-07-03T00:00:00"/>
    <n v="1461"/>
    <n v="14783"/>
    <s v="62340654"/>
    <s v="62340654"/>
    <m/>
    <m/>
    <n v="22758988"/>
    <m/>
    <m/>
    <m/>
    <s v="SOLFIN"/>
    <s v="SOLFIN"/>
    <s v="CCMS"/>
    <n v="21318668"/>
    <n v="801.49"/>
    <m/>
    <s v="N"/>
    <n v="12"/>
    <d v="2023-07-03T19:02:00"/>
    <s v="Y"/>
    <s v="Preparation - drafting notice(s)"/>
    <s v="Care Remuneration Hourly Rates"/>
    <s v="Profit Cost"/>
    <s v="Chris King"/>
    <s v="Y"/>
    <n v="13.43"/>
    <n v="2.69"/>
    <x v="3"/>
    <s v="VALIDATED"/>
    <n v="1"/>
    <s v="01.11.80.308.6100.0000"/>
    <n v="13.43"/>
    <s v="11"/>
    <s v="6100"/>
    <n v="4929.72"/>
    <n v="13.43"/>
    <s v="CREDITOR"/>
    <n v="0"/>
    <n v="0"/>
    <n v="0"/>
    <n v="0"/>
    <n v="13.43"/>
  </r>
  <r>
    <n v="62340654"/>
    <s v="N"/>
    <n v="21318668"/>
    <s v="3000016326670001"/>
    <s v="CIVIL"/>
    <d v="2023-06-26T00:00:00"/>
    <d v="2023-07-03T19:01:49"/>
    <m/>
    <d v="2023-07-03T00:00:00"/>
    <n v="1461"/>
    <n v="14783"/>
    <s v="62340654"/>
    <s v="62340654"/>
    <m/>
    <m/>
    <n v="22758988"/>
    <m/>
    <m/>
    <m/>
    <s v="SOLFIN"/>
    <s v="SOLFIN"/>
    <s v="CCMS"/>
    <n v="21318668"/>
    <n v="801.49"/>
    <m/>
    <s v="N"/>
    <n v="9"/>
    <d v="2023-07-03T19:02:00"/>
    <s v="Y"/>
    <s v="Preparation - drafting application"/>
    <s v="Care Remuneration Hourly Rates"/>
    <s v="Profit Cost"/>
    <s v="Chris King"/>
    <s v="Y"/>
    <n v="33.59"/>
    <n v="6.72"/>
    <x v="3"/>
    <s v="VALIDATED"/>
    <n v="1"/>
    <s v="01.11.80.308.6100.0000"/>
    <n v="33.59"/>
    <s v="11"/>
    <s v="6100"/>
    <n v="4929.72"/>
    <n v="33.59"/>
    <s v="CREDITOR"/>
    <n v="0"/>
    <n v="0"/>
    <n v="0"/>
    <n v="0"/>
    <n v="33.59"/>
  </r>
  <r>
    <n v="61105499"/>
    <s v="N"/>
    <n v="21362988"/>
    <s v="3000015296220003"/>
    <s v="CIVIL"/>
    <d v="2023-06-29T00:00:00"/>
    <d v="2023-07-12T19:01:49"/>
    <m/>
    <d v="2023-07-12T00:00:00"/>
    <n v="1461"/>
    <n v="14783"/>
    <s v="61105499"/>
    <s v="61105499"/>
    <m/>
    <m/>
    <n v="22788784"/>
    <m/>
    <m/>
    <m/>
    <s v="SOLFIN"/>
    <s v="SOLFIN"/>
    <s v="CCMS"/>
    <n v="21362988"/>
    <n v="6219.54"/>
    <m/>
    <s v="N"/>
    <n v="1"/>
    <d v="2023-07-12T19:01:52"/>
    <s v="Y"/>
    <s v="Final Hearing Court Bundle/Advocate"/>
    <s v="Public Law Children"/>
    <s v="Advocacy"/>
    <s v="Michelle Hurst"/>
    <s v="Y"/>
    <n v="159.3"/>
    <n v="31.86"/>
    <x v="0"/>
    <s v="VALIDATED"/>
    <n v="1"/>
    <s v="01.11.80.308.6100.0000"/>
    <n v="159.3"/>
    <s v="11"/>
    <s v="6100"/>
    <n v="4929.72"/>
    <n v="159.3"/>
    <s v="CREDITOR"/>
    <n v="0"/>
    <n v="0"/>
    <n v="0"/>
    <n v="0"/>
    <n v="159.3"/>
  </r>
  <r>
    <n v="61105499"/>
    <s v="N"/>
    <n v="21362988"/>
    <s v="3000015296220003"/>
    <s v="CIVIL"/>
    <d v="2023-06-29T00:00:00"/>
    <d v="2023-07-12T19:01:49"/>
    <m/>
    <d v="2023-07-12T00:00:00"/>
    <n v="1461"/>
    <n v="14783"/>
    <s v="61105499"/>
    <s v="61105499"/>
    <m/>
    <m/>
    <n v="22788784"/>
    <m/>
    <m/>
    <m/>
    <s v="SOLFIN"/>
    <s v="SOLFIN"/>
    <s v="CCMS"/>
    <n v="21362988"/>
    <n v="6219.54"/>
    <m/>
    <s v="N"/>
    <n v="11"/>
    <d v="2023-07-12T19:01:52"/>
    <s v="Y"/>
    <s v="Hearing Unit 1.01 - 2.30 Hours"/>
    <s v="Public Law Children"/>
    <s v="Advocacy"/>
    <s v="Michelle Hurst"/>
    <s v="Y"/>
    <n v="298.08"/>
    <n v="59.62"/>
    <x v="0"/>
    <s v="VALIDATED"/>
    <n v="1"/>
    <s v="01.11.80.308.6100.0000"/>
    <n v="298.08"/>
    <s v="11"/>
    <s v="6100"/>
    <n v="4929.72"/>
    <n v="298.08"/>
    <s v="CREDITOR"/>
    <n v="0"/>
    <n v="0"/>
    <n v="0"/>
    <n v="0"/>
    <n v="298.08"/>
  </r>
  <r>
    <n v="61105499"/>
    <s v="N"/>
    <n v="21362988"/>
    <s v="3000015296220003"/>
    <s v="CIVIL"/>
    <d v="2023-06-29T00:00:00"/>
    <d v="2023-07-12T19:01:49"/>
    <m/>
    <d v="2023-07-12T00:00:00"/>
    <n v="1461"/>
    <n v="14783"/>
    <s v="61105499"/>
    <s v="61105499"/>
    <m/>
    <m/>
    <n v="22788784"/>
    <m/>
    <m/>
    <m/>
    <s v="SOLFIN"/>
    <s v="SOLFIN"/>
    <s v="CCMS"/>
    <n v="21362988"/>
    <n v="6219.54"/>
    <m/>
    <s v="N"/>
    <n v="9"/>
    <d v="2023-07-12T19:01:52"/>
    <s v="Y"/>
    <s v="Advocates Meeting"/>
    <s v="Public Law Children"/>
    <s v="Advocacy"/>
    <s v="Michelle Hurst"/>
    <s v="Y"/>
    <n v="140.99"/>
    <n v="28.2"/>
    <x v="0"/>
    <s v="VALIDATED"/>
    <n v="1"/>
    <s v="01.11.80.308.6100.0000"/>
    <n v="140.99"/>
    <s v="11"/>
    <s v="6100"/>
    <n v="4929.72"/>
    <n v="140.99"/>
    <s v="CREDITOR"/>
    <n v="0"/>
    <n v="0"/>
    <n v="0"/>
    <n v="0"/>
    <n v="140.99"/>
  </r>
  <r>
    <n v="62340654"/>
    <s v="N"/>
    <n v="21318668"/>
    <s v="3000016326670001"/>
    <s v="CIVIL"/>
    <d v="2023-06-26T00:00:00"/>
    <d v="2023-07-03T19:01:49"/>
    <m/>
    <d v="2023-07-03T00:00:00"/>
    <n v="1461"/>
    <n v="14783"/>
    <s v="62340654"/>
    <s v="62340654"/>
    <m/>
    <m/>
    <n v="22758988"/>
    <m/>
    <m/>
    <m/>
    <s v="SOLFIN"/>
    <s v="SOLFIN"/>
    <s v="CCMS"/>
    <n v="21318668"/>
    <n v="801.49"/>
    <m/>
    <s v="N"/>
    <n v="6"/>
    <d v="2023-07-03T19:02:00"/>
    <s v="Y"/>
    <s v="Routine Letter Out"/>
    <s v="Care Remuneration Hourly Rates"/>
    <s v="Profit Cost"/>
    <s v="Chris King"/>
    <s v="Y"/>
    <n v="12.73"/>
    <n v="2.55"/>
    <x v="3"/>
    <s v="VALIDATED"/>
    <n v="1"/>
    <s v="01.11.80.308.6100.0000"/>
    <n v="12.73"/>
    <s v="11"/>
    <s v="6100"/>
    <n v="4929.72"/>
    <n v="12.73"/>
    <s v="CREDITOR"/>
    <n v="0"/>
    <n v="0"/>
    <n v="0"/>
    <n v="0"/>
    <n v="12.73"/>
  </r>
  <r>
    <n v="61105499"/>
    <s v="N"/>
    <n v="21362988"/>
    <s v="3000015296220003"/>
    <s v="CIVIL"/>
    <d v="2023-06-29T00:00:00"/>
    <d v="2023-07-12T19:01:49"/>
    <m/>
    <d v="2023-07-12T00:00:00"/>
    <n v="1461"/>
    <n v="14783"/>
    <s v="61105499"/>
    <s v="61105499"/>
    <m/>
    <m/>
    <n v="22788784"/>
    <m/>
    <m/>
    <m/>
    <s v="SOLFIN"/>
    <s v="SOLFIN"/>
    <s v="CCMS"/>
    <n v="21362988"/>
    <n v="6219.54"/>
    <m/>
    <s v="N"/>
    <n v="12"/>
    <d v="2023-07-12T19:01:52"/>
    <s v="Y"/>
    <s v="Solicitors Fixed Fee"/>
    <s v="Public Law Children"/>
    <s v="Profit Cost"/>
    <s v="Michelle Hurst"/>
    <s v="Y"/>
    <n v="2616"/>
    <n v="523.2"/>
    <x v="0"/>
    <s v="VALIDATED"/>
    <n v="1"/>
    <s v="01.11.80.308.6100.0000"/>
    <n v="2616"/>
    <s v="11"/>
    <s v="6100"/>
    <n v="4929.72"/>
    <n v="2616"/>
    <s v="CREDITOR"/>
    <n v="0"/>
    <n v="0"/>
    <n v="0"/>
    <n v="0"/>
    <n v="2616"/>
  </r>
  <r>
    <n v="61105499"/>
    <s v="N"/>
    <n v="21362988"/>
    <s v="3000015296220003"/>
    <s v="CIVIL"/>
    <d v="2023-06-29T00:00:00"/>
    <d v="2023-07-12T19:01:49"/>
    <m/>
    <d v="2023-07-12T00:00:00"/>
    <n v="1461"/>
    <n v="14783"/>
    <s v="61105499"/>
    <s v="61105499"/>
    <m/>
    <m/>
    <n v="22788784"/>
    <m/>
    <m/>
    <m/>
    <s v="SOLFIN"/>
    <s v="SOLFIN"/>
    <s v="CCMS"/>
    <n v="21362988"/>
    <n v="6219.54"/>
    <m/>
    <s v="N"/>
    <n v="10"/>
    <d v="2023-07-12T19:01:52"/>
    <s v="Y"/>
    <s v="Final Hearing - 1 Day"/>
    <s v="Public Law Children"/>
    <s v="Advocacy"/>
    <s v="Michelle Hurst"/>
    <s v="Y"/>
    <n v="696.1"/>
    <n v="139.22"/>
    <x v="0"/>
    <s v="VALIDATED"/>
    <n v="1"/>
    <s v="01.11.80.308.6100.0000"/>
    <n v="696.1"/>
    <s v="11"/>
    <s v="6100"/>
    <n v="4929.72"/>
    <n v="696.1"/>
    <s v="CREDITOR"/>
    <n v="0"/>
    <n v="0"/>
    <n v="0"/>
    <n v="0"/>
    <n v="696.1"/>
  </r>
  <r>
    <n v="61105499"/>
    <s v="N"/>
    <n v="21362988"/>
    <s v="3000015296220003"/>
    <s v="CIVIL"/>
    <d v="2023-06-29T00:00:00"/>
    <d v="2023-07-12T19:01:49"/>
    <m/>
    <d v="2023-07-12T00:00:00"/>
    <n v="1461"/>
    <n v="14783"/>
    <s v="61105499"/>
    <s v="61105499"/>
    <m/>
    <m/>
    <n v="22788784"/>
    <m/>
    <m/>
    <m/>
    <s v="SOLFIN"/>
    <s v="SOLFIN"/>
    <s v="CCMS"/>
    <n v="21362988"/>
    <n v="6219.54"/>
    <m/>
    <s v="N"/>
    <n v="6"/>
    <d v="2023-07-12T19:01:52"/>
    <s v="Y"/>
    <s v="Psychologist"/>
    <s v="Public Law Children"/>
    <s v="Expert Disbursement"/>
    <s v="Michelle Hurst"/>
    <s v="Y"/>
    <n v="717.91"/>
    <n v="143.58"/>
    <x v="0"/>
    <s v="VALIDATED"/>
    <n v="1"/>
    <s v="01.11.80.308.6300.0000"/>
    <n v="717.91"/>
    <s v="11"/>
    <s v="6300"/>
    <n v="4929.72"/>
    <n v="717.91"/>
    <s v="CREDITOR"/>
    <n v="0"/>
    <n v="0"/>
    <n v="0"/>
    <n v="0"/>
    <n v="717.91"/>
  </r>
  <r>
    <n v="62340654"/>
    <s v="N"/>
    <n v="21318668"/>
    <s v="3000016326670001"/>
    <s v="CIVIL"/>
    <d v="2023-06-26T00:00:00"/>
    <d v="2023-07-03T19:01:49"/>
    <m/>
    <d v="2023-07-03T00:00:00"/>
    <n v="1461"/>
    <n v="14783"/>
    <s v="62340654"/>
    <s v="62340654"/>
    <m/>
    <m/>
    <n v="22758988"/>
    <m/>
    <m/>
    <m/>
    <s v="SOLFIN"/>
    <s v="SOLFIN"/>
    <s v="CCMS"/>
    <n v="21318668"/>
    <n v="801.49"/>
    <m/>
    <s v="N"/>
    <n v="2"/>
    <d v="2023-07-03T19:02:00"/>
    <s v="Y"/>
    <s v="Preparation - drafting pleadings"/>
    <s v="Care Remuneration Hourly Rates"/>
    <s v="Profit Cost"/>
    <s v="Chris King"/>
    <s v="Y"/>
    <n v="6.72"/>
    <n v="1.34"/>
    <x v="3"/>
    <s v="VALIDATED"/>
    <n v="1"/>
    <s v="01.11.80.308.6100.0000"/>
    <n v="6.72"/>
    <s v="11"/>
    <s v="6100"/>
    <n v="4929.72"/>
    <n v="6.72"/>
    <s v="CREDITOR"/>
    <n v="0"/>
    <n v="0"/>
    <n v="0"/>
    <n v="0"/>
    <n v="6.72"/>
  </r>
  <r>
    <n v="62340654"/>
    <s v="N"/>
    <n v="21318668"/>
    <s v="3000016326670001"/>
    <s v="CIVIL"/>
    <d v="2023-06-26T00:00:00"/>
    <d v="2023-07-03T19:01:49"/>
    <m/>
    <d v="2023-07-03T00:00:00"/>
    <n v="1461"/>
    <n v="14783"/>
    <s v="62340654"/>
    <s v="62340654"/>
    <m/>
    <m/>
    <n v="22758988"/>
    <m/>
    <m/>
    <m/>
    <s v="SOLFIN"/>
    <s v="SOLFIN"/>
    <s v="CCMS"/>
    <n v="21318668"/>
    <n v="801.49"/>
    <m/>
    <s v="N"/>
    <n v="1"/>
    <d v="2023-07-03T19:02:00"/>
    <s v="Y"/>
    <s v="Solicitor Travel Expenses"/>
    <s v="Care Remuneration Hourly Rates"/>
    <s v="Non Expert Disbursement"/>
    <s v="Chris King"/>
    <s v="Y"/>
    <n v="22.8"/>
    <n v="0"/>
    <x v="3"/>
    <s v="VALIDATED"/>
    <n v="1"/>
    <s v="01.11.80.308.6300.0000"/>
    <n v="22.8"/>
    <s v="11"/>
    <s v="6300"/>
    <n v="4929.72"/>
    <n v="22.8"/>
    <s v="CREDITOR"/>
    <n v="0"/>
    <n v="0"/>
    <n v="0"/>
    <n v="0"/>
    <n v="22.8"/>
  </r>
  <r>
    <n v="62340654"/>
    <s v="N"/>
    <n v="21318668"/>
    <s v="3000016326670001"/>
    <s v="CIVIL"/>
    <d v="2023-06-26T00:00:00"/>
    <d v="2023-07-03T19:01:49"/>
    <m/>
    <d v="2023-07-03T00:00:00"/>
    <n v="1461"/>
    <n v="14783"/>
    <s v="62340654"/>
    <s v="62340654"/>
    <m/>
    <m/>
    <n v="22758988"/>
    <m/>
    <m/>
    <m/>
    <s v="SOLFIN"/>
    <s v="SOLFIN"/>
    <s v="CCMS"/>
    <n v="21318668"/>
    <n v="801.49"/>
    <m/>
    <s v="N"/>
    <n v="8"/>
    <d v="2023-07-03T19:02:00"/>
    <s v="Y"/>
    <s v="Preparation - drafting pleadings"/>
    <s v="Care Remuneration Hourly Rates"/>
    <s v="Profit Cost"/>
    <s v="Chris King"/>
    <s v="Y"/>
    <n v="13.43"/>
    <n v="2.69"/>
    <x v="3"/>
    <s v="VALIDATED"/>
    <n v="1"/>
    <s v="01.11.80.308.6100.0000"/>
    <n v="13.43"/>
    <s v="11"/>
    <s v="6100"/>
    <n v="4929.72"/>
    <n v="13.43"/>
    <s v="CREDITOR"/>
    <n v="0"/>
    <n v="0"/>
    <n v="0"/>
    <n v="0"/>
    <n v="13.43"/>
  </r>
  <r>
    <n v="62340654"/>
    <s v="N"/>
    <n v="21318668"/>
    <s v="3000016326670001"/>
    <s v="CIVIL"/>
    <d v="2023-06-26T00:00:00"/>
    <d v="2023-07-03T19:01:49"/>
    <m/>
    <d v="2023-07-03T00:00:00"/>
    <n v="1461"/>
    <n v="14783"/>
    <s v="62340654"/>
    <s v="62340654"/>
    <m/>
    <m/>
    <n v="22758988"/>
    <m/>
    <m/>
    <m/>
    <s v="SOLFIN"/>
    <s v="SOLFIN"/>
    <s v="CCMS"/>
    <n v="21318668"/>
    <n v="801.49"/>
    <m/>
    <s v="N"/>
    <n v="4"/>
    <d v="2023-07-03T19:02:00"/>
    <s v="Y"/>
    <s v="Preparation - drafting bill/claim f"/>
    <s v="Care Remuneration Hourly Rates"/>
    <s v="Profit Cost"/>
    <s v="Chris King"/>
    <s v="Y"/>
    <n v="33.59"/>
    <n v="6.72"/>
    <x v="3"/>
    <s v="VALIDATED"/>
    <n v="1"/>
    <s v="01.11.80.308.6100.0000"/>
    <n v="33.59"/>
    <s v="11"/>
    <s v="6100"/>
    <n v="4929.72"/>
    <n v="33.59"/>
    <s v="CREDITOR"/>
    <n v="0"/>
    <n v="0"/>
    <n v="0"/>
    <n v="0"/>
    <n v="33.59"/>
  </r>
  <r>
    <n v="62340654"/>
    <s v="N"/>
    <n v="21318668"/>
    <s v="3000016326670001"/>
    <s v="CIVIL"/>
    <d v="2023-06-26T00:00:00"/>
    <d v="2023-07-03T19:01:49"/>
    <m/>
    <d v="2023-07-03T00:00:00"/>
    <n v="1461"/>
    <n v="14783"/>
    <s v="62340654"/>
    <s v="62340654"/>
    <m/>
    <m/>
    <n v="22758988"/>
    <m/>
    <m/>
    <m/>
    <s v="SOLFIN"/>
    <s v="SOLFIN"/>
    <s v="CCMS"/>
    <n v="21318668"/>
    <n v="801.49"/>
    <m/>
    <s v="N"/>
    <n v="13"/>
    <d v="2023-07-03T19:02:00"/>
    <s v="Y"/>
    <s v="Final Hearing - 1 Day"/>
    <s v="Other Public Law Children"/>
    <s v="Advocacy"/>
    <s v="Chris King"/>
    <s v="Y"/>
    <n v="464.31"/>
    <n v="92.86"/>
    <x v="3"/>
    <s v="VALIDATED"/>
    <n v="1"/>
    <s v="01.11.80.308.6100.0000"/>
    <n v="464.31"/>
    <s v="11"/>
    <s v="6100"/>
    <n v="4929.72"/>
    <n v="464.31"/>
    <s v="CREDITOR"/>
    <n v="0"/>
    <n v="0"/>
    <n v="0"/>
    <n v="0"/>
    <n v="464.31"/>
  </r>
  <r>
    <n v="62340654"/>
    <s v="N"/>
    <n v="21318668"/>
    <s v="3000016326670001"/>
    <s v="CIVIL"/>
    <d v="2023-06-26T00:00:00"/>
    <d v="2023-07-03T19:01:49"/>
    <m/>
    <d v="2023-07-03T00:00:00"/>
    <n v="1461"/>
    <n v="14783"/>
    <s v="62340654"/>
    <s v="62340654"/>
    <m/>
    <m/>
    <n v="22758988"/>
    <m/>
    <m/>
    <m/>
    <s v="SOLFIN"/>
    <s v="SOLFIN"/>
    <s v="CCMS"/>
    <n v="21318668"/>
    <n v="801.49"/>
    <m/>
    <s v="N"/>
    <n v="3"/>
    <d v="2023-07-03T19:02:00"/>
    <s v="Y"/>
    <s v="Preparation - other"/>
    <s v="Care Remuneration Hourly Rates"/>
    <s v="Profit Cost"/>
    <s v="Chris King"/>
    <s v="Y"/>
    <n v="13.43"/>
    <n v="2.69"/>
    <x v="3"/>
    <s v="VALIDATED"/>
    <n v="1"/>
    <s v="01.11.80.308.6100.0000"/>
    <n v="13.43"/>
    <s v="11"/>
    <s v="6100"/>
    <n v="4929.72"/>
    <n v="13.43"/>
    <s v="CREDITOR"/>
    <n v="0"/>
    <n v="0"/>
    <n v="0"/>
    <n v="0"/>
    <n v="13.43"/>
  </r>
  <r>
    <n v="61105499"/>
    <s v="N"/>
    <n v="21362988"/>
    <s v="3000015296220003"/>
    <s v="CIVIL"/>
    <d v="2023-06-29T00:00:00"/>
    <d v="2023-07-12T19:01:49"/>
    <m/>
    <d v="2023-07-12T00:00:00"/>
    <n v="1461"/>
    <n v="14783"/>
    <s v="61105499"/>
    <s v="61105499"/>
    <m/>
    <m/>
    <n v="22788784"/>
    <m/>
    <m/>
    <m/>
    <s v="SOLFIN"/>
    <s v="SOLFIN"/>
    <s v="CCMS"/>
    <n v="21362988"/>
    <n v="6219.54"/>
    <m/>
    <s v="N"/>
    <n v="7"/>
    <d v="2023-07-12T19:01:52"/>
    <s v="Y"/>
    <s v="Psychologist"/>
    <s v="Public Law Children"/>
    <s v="Expert Disbursement"/>
    <s v="Michelle Hurst"/>
    <s v="Y"/>
    <n v="234"/>
    <n v="46.8"/>
    <x v="0"/>
    <s v="VALIDATED"/>
    <n v="1"/>
    <s v="01.11.80.308.6300.0000"/>
    <n v="234"/>
    <s v="11"/>
    <s v="6300"/>
    <n v="4929.72"/>
    <n v="234"/>
    <s v="CREDITOR"/>
    <n v="0"/>
    <n v="0"/>
    <n v="0"/>
    <n v="0"/>
    <n v="234"/>
  </r>
  <r>
    <n v="62340654"/>
    <s v="N"/>
    <n v="21318668"/>
    <s v="3000016326670001"/>
    <s v="CIVIL"/>
    <d v="2023-06-26T00:00:00"/>
    <d v="2023-07-03T19:01:49"/>
    <m/>
    <d v="2023-07-03T00:00:00"/>
    <n v="1461"/>
    <n v="14783"/>
    <s v="62340654"/>
    <s v="62340654"/>
    <m/>
    <m/>
    <n v="22758988"/>
    <m/>
    <m/>
    <m/>
    <s v="SOLFIN"/>
    <s v="SOLFIN"/>
    <s v="CCMS"/>
    <n v="21318668"/>
    <n v="801.49"/>
    <m/>
    <s v="N"/>
    <n v="11"/>
    <d v="2023-07-03T19:02:00"/>
    <s v="Y"/>
    <s v="Preparation - other"/>
    <s v="Care Remuneration Hourly Rates"/>
    <s v="Profit Cost"/>
    <s v="Chris King"/>
    <s v="Y"/>
    <n v="6.72"/>
    <n v="1.34"/>
    <x v="3"/>
    <s v="VALIDATED"/>
    <n v="1"/>
    <s v="01.11.80.308.6100.0000"/>
    <n v="6.72"/>
    <s v="11"/>
    <s v="6100"/>
    <n v="4929.72"/>
    <n v="6.72"/>
    <s v="CREDITOR"/>
    <n v="0"/>
    <n v="0"/>
    <n v="0"/>
    <n v="0"/>
    <n v="6.72"/>
  </r>
  <r>
    <n v="61105499"/>
    <s v="N"/>
    <n v="21362988"/>
    <s v="3000015296220003"/>
    <s v="CIVIL"/>
    <d v="2023-06-29T00:00:00"/>
    <d v="2023-07-12T19:01:49"/>
    <m/>
    <d v="2023-07-12T00:00:00"/>
    <n v="1461"/>
    <n v="14783"/>
    <s v="61105499"/>
    <s v="61105499"/>
    <m/>
    <m/>
    <n v="22788784"/>
    <m/>
    <m/>
    <m/>
    <s v="SOLFIN"/>
    <s v="SOLFIN"/>
    <s v="CCMS"/>
    <n v="21362988"/>
    <n v="6219.54"/>
    <m/>
    <s v="N"/>
    <n v="8"/>
    <d v="2023-07-12T19:01:52"/>
    <s v="Y"/>
    <s v="Hearing Unit 1.01 - 2.30 Hours"/>
    <s v="Public Law Children"/>
    <s v="Advocacy"/>
    <s v="Michelle Hurst"/>
    <s v="Y"/>
    <n v="298.08"/>
    <n v="59.62"/>
    <x v="0"/>
    <s v="VALIDATED"/>
    <n v="1"/>
    <s v="01.11.80.308.6100.0000"/>
    <n v="298.08"/>
    <s v="11"/>
    <s v="6100"/>
    <n v="4929.72"/>
    <n v="298.08"/>
    <s v="CREDITOR"/>
    <n v="0"/>
    <n v="0"/>
    <n v="0"/>
    <n v="0"/>
    <n v="298.08"/>
  </r>
  <r>
    <n v="61105499"/>
    <s v="N"/>
    <n v="21362988"/>
    <s v="3000015296220003"/>
    <s v="CIVIL"/>
    <d v="2023-06-29T00:00:00"/>
    <d v="2023-07-12T19:01:49"/>
    <m/>
    <d v="2023-07-12T00:00:00"/>
    <n v="1461"/>
    <n v="14783"/>
    <s v="61105499"/>
    <s v="61105499"/>
    <m/>
    <m/>
    <n v="22788784"/>
    <m/>
    <m/>
    <m/>
    <s v="SOLFIN"/>
    <s v="SOLFIN"/>
    <s v="CCMS"/>
    <n v="21362988"/>
    <n v="6219.54"/>
    <m/>
    <s v="N"/>
    <n v="2"/>
    <d v="2023-07-12T19:01:52"/>
    <s v="Y"/>
    <s v="Solicitor Travel Expenses"/>
    <s v="Public Law Children"/>
    <s v="Non Expert Disbursement"/>
    <s v="Michelle Hurst"/>
    <s v="Y"/>
    <n v="2.45"/>
    <n v="0"/>
    <x v="0"/>
    <s v="VALIDATED"/>
    <n v="1"/>
    <s v="01.11.80.308.6300.0000"/>
    <n v="2.45"/>
    <s v="11"/>
    <s v="6300"/>
    <n v="4929.72"/>
    <n v="2.45"/>
    <s v="CREDITOR"/>
    <n v="0"/>
    <n v="0"/>
    <n v="0"/>
    <n v="0"/>
    <n v="2.45"/>
  </r>
  <r>
    <n v="62342555"/>
    <s v="N"/>
    <n v="21337888"/>
    <s v="3000016326800002"/>
    <s v="CIVIL"/>
    <d v="2023-06-30T00:00:00"/>
    <d v="2023-07-06T19:21:01"/>
    <m/>
    <d v="2023-07-06T00:00:00"/>
    <n v="1461"/>
    <n v="14783"/>
    <s v="62342555"/>
    <s v="62342555"/>
    <m/>
    <m/>
    <n v="22796640"/>
    <m/>
    <m/>
    <m/>
    <s v="SOLPOA"/>
    <s v="SOLPOA"/>
    <s v="CCMS"/>
    <n v="21337888"/>
    <n v="258.9"/>
    <m/>
    <s v="N"/>
    <n v="1"/>
    <d v="2023-07-06T19:21:09"/>
    <s v="N"/>
    <s v="Expert Cost"/>
    <s v="Expert Cost"/>
    <s v="Expert Disbursement"/>
    <s v="CK1"/>
    <s v="N"/>
    <n v="215.75"/>
    <n v="43.15"/>
    <x v="4"/>
    <s v="VALIDATED"/>
    <n v="1"/>
    <s v="01.11.80.308.2012.0000"/>
    <n v="215.75"/>
    <s v="11"/>
    <s v="2012"/>
    <n v="4929.72"/>
    <n v="215.75"/>
    <s v="CREDITOR"/>
    <n v="215.75"/>
    <n v="0"/>
    <n v="0"/>
    <n v="0"/>
    <n v="0"/>
  </r>
  <r>
    <n v="61105499"/>
    <s v="N"/>
    <n v="21362988"/>
    <s v="3000015296220003"/>
    <s v="CIVIL"/>
    <d v="2023-06-29T00:00:00"/>
    <d v="2023-07-12T19:01:49"/>
    <m/>
    <d v="2023-07-12T00:00:00"/>
    <n v="1461"/>
    <n v="14783"/>
    <s v="61105499"/>
    <s v="61105499"/>
    <m/>
    <m/>
    <n v="22788784"/>
    <m/>
    <m/>
    <m/>
    <s v="SOLFIN"/>
    <s v="SOLFIN"/>
    <s v="CCMS"/>
    <n v="21362988"/>
    <n v="6219.54"/>
    <m/>
    <s v="N"/>
    <n v="3"/>
    <d v="2023-07-12T19:01:52"/>
    <s v="Y"/>
    <s v="Solicitor Travel Mileage"/>
    <s v="Public Law Children"/>
    <s v="Non Expert Disbursement"/>
    <s v="Michelle Hurst"/>
    <s v="Y"/>
    <n v="14.4"/>
    <n v="2.88"/>
    <x v="0"/>
    <s v="VALIDATED"/>
    <n v="1"/>
    <s v="01.11.80.308.6300.0000"/>
    <n v="14.4"/>
    <s v="11"/>
    <s v="6300"/>
    <n v="4929.72"/>
    <n v="14.4"/>
    <s v="CREDITOR"/>
    <n v="0"/>
    <n v="0"/>
    <n v="0"/>
    <n v="0"/>
    <n v="14.4"/>
  </r>
  <r>
    <n v="62340654"/>
    <s v="N"/>
    <n v="21318668"/>
    <s v="3000016326670001"/>
    <s v="CIVIL"/>
    <d v="2023-06-26T00:00:00"/>
    <d v="2023-07-03T19:01:49"/>
    <m/>
    <d v="2023-07-03T00:00:00"/>
    <n v="1461"/>
    <n v="14783"/>
    <s v="62340654"/>
    <s v="62340654"/>
    <m/>
    <m/>
    <n v="22758988"/>
    <m/>
    <m/>
    <m/>
    <s v="SOLFIN"/>
    <s v="SOLFIN"/>
    <s v="CCMS"/>
    <n v="21318668"/>
    <n v="801.49"/>
    <m/>
    <s v="N"/>
    <n v="10"/>
    <d v="2023-07-03T19:02:00"/>
    <s v="Y"/>
    <s v="Preparation - drafting pleadings"/>
    <s v="Care Remuneration Hourly Rates"/>
    <s v="Profit Cost"/>
    <s v="Chris King"/>
    <s v="Y"/>
    <n v="6.72"/>
    <n v="1.34"/>
    <x v="3"/>
    <s v="VALIDATED"/>
    <n v="1"/>
    <s v="01.11.80.308.6100.0000"/>
    <n v="6.72"/>
    <s v="11"/>
    <s v="6100"/>
    <n v="4929.72"/>
    <n v="6.72"/>
    <s v="CREDITOR"/>
    <n v="0"/>
    <n v="0"/>
    <n v="0"/>
    <n v="0"/>
    <n v="6.72"/>
  </r>
  <r>
    <n v="61105499"/>
    <s v="N"/>
    <n v="21362988"/>
    <s v="3000015296220003"/>
    <s v="CIVIL"/>
    <d v="2023-06-29T00:00:00"/>
    <d v="2023-07-12T19:01:49"/>
    <m/>
    <d v="2023-07-12T00:00:00"/>
    <n v="1461"/>
    <n v="14783"/>
    <s v="61105499"/>
    <s v="61105499"/>
    <m/>
    <m/>
    <n v="22788784"/>
    <m/>
    <m/>
    <m/>
    <s v="SOLFIN"/>
    <s v="SOLFIN"/>
    <s v="CCMS"/>
    <n v="21362988"/>
    <n v="6219.54"/>
    <m/>
    <s v="N"/>
    <n v="4"/>
    <d v="2023-07-12T19:01:52"/>
    <s v="Y"/>
    <s v="Solicitor Travel Expenses"/>
    <s v="Public Law Children"/>
    <s v="Non Expert Disbursement"/>
    <s v="Michelle Hurst"/>
    <s v="Y"/>
    <n v="4.8"/>
    <n v="0"/>
    <x v="0"/>
    <s v="VALIDATED"/>
    <n v="1"/>
    <s v="01.11.80.308.6300.0000"/>
    <n v="4.8"/>
    <s v="11"/>
    <s v="6300"/>
    <n v="4929.72"/>
    <n v="4.8"/>
    <s v="CREDITOR"/>
    <n v="0"/>
    <n v="0"/>
    <n v="0"/>
    <n v="0"/>
    <n v="4.8"/>
  </r>
  <r>
    <n v="61105499"/>
    <s v="N"/>
    <n v="21362988"/>
    <s v="3000015296220003"/>
    <s v="CIVIL"/>
    <d v="2023-06-29T00:00:00"/>
    <d v="2023-07-12T19:01:49"/>
    <m/>
    <d v="2023-07-12T00:00:00"/>
    <n v="1461"/>
    <n v="14783"/>
    <s v="61105499"/>
    <s v="61105499"/>
    <m/>
    <m/>
    <n v="22788784"/>
    <m/>
    <m/>
    <m/>
    <s v="SOLFIN"/>
    <s v="SOLFIN"/>
    <s v="CCMS"/>
    <n v="21362988"/>
    <n v="6219.54"/>
    <m/>
    <s v="N"/>
    <n v="5"/>
    <d v="2023-07-12T19:01:52"/>
    <s v="Y"/>
    <s v="Solicitor Travel Expenses"/>
    <s v="Public Law Children"/>
    <s v="Non Expert Disbursement"/>
    <s v="Michelle Hurst"/>
    <s v="Y"/>
    <n v="2.45"/>
    <n v="0"/>
    <x v="0"/>
    <s v="VALIDATED"/>
    <n v="1"/>
    <s v="01.11.80.308.6300.0000"/>
    <n v="2.45"/>
    <s v="11"/>
    <s v="6300"/>
    <n v="4929.72"/>
    <n v="2.45"/>
    <s v="CREDITOR"/>
    <n v="0"/>
    <n v="0"/>
    <n v="0"/>
    <n v="0"/>
    <n v="2.45"/>
  </r>
  <r>
    <n v="61105499"/>
    <s v="N"/>
    <n v="21366479"/>
    <s v="3000015296220002RC"/>
    <s v="CIVIL"/>
    <d v="2023-06-29T00:00:00"/>
    <d v="2023-07-12T19:45:17"/>
    <m/>
    <d v="2023-07-12T00:00:00"/>
    <n v="1461"/>
    <n v="14783"/>
    <s v="61105499"/>
    <s v="61105499"/>
    <m/>
    <m/>
    <m/>
    <m/>
    <m/>
    <m/>
    <s v="SOLRECOUP"/>
    <s v="SOLRECOUP"/>
    <s v="POARECOUP"/>
    <n v="21366479"/>
    <n v="-861.49"/>
    <m/>
    <s v="Y"/>
    <n v="1"/>
    <d v="2023-07-12T19:45:18"/>
    <s v="N"/>
    <m/>
    <m/>
    <s v="Expert Disbursement"/>
    <m/>
    <s v="N"/>
    <n v="-717.91"/>
    <n v="0"/>
    <x v="0"/>
    <s v="VALIDATED"/>
    <n v="1"/>
    <s v="01.11.80.308.2013.0000"/>
    <n v="-717.91"/>
    <s v="11"/>
    <s v="2013"/>
    <n v="4929.72"/>
    <n v="-717.91"/>
    <s v="CREDITOR"/>
    <n v="0"/>
    <n v="0"/>
    <n v="-717.91"/>
    <n v="0"/>
    <n v="0"/>
  </r>
  <r>
    <n v="61105499"/>
    <s v="N"/>
    <n v="21366479"/>
    <s v="3000015296220002RC"/>
    <s v="CIVIL"/>
    <d v="2023-06-29T00:00:00"/>
    <d v="2023-07-12T19:45:17"/>
    <m/>
    <d v="2023-07-12T00:00:00"/>
    <n v="1461"/>
    <n v="14783"/>
    <s v="61105499"/>
    <s v="61105499"/>
    <m/>
    <m/>
    <m/>
    <m/>
    <m/>
    <m/>
    <s v="SOLRECOUP"/>
    <s v="SOLRECOUP"/>
    <s v="POARECOUP"/>
    <n v="21366479"/>
    <n v="-861.49"/>
    <m/>
    <s v="Y"/>
    <n v="2"/>
    <d v="2023-07-12T19:45:18"/>
    <s v="N"/>
    <m/>
    <m/>
    <s v="Expert Disbursement"/>
    <m/>
    <s v="N"/>
    <n v="0"/>
    <n v="-143.58"/>
    <x v="0"/>
    <s v="VALIDATED"/>
    <n v="1"/>
    <s v="01.11.80.308.2013.0000"/>
    <n v="-143.58"/>
    <s v="11"/>
    <s v="2013"/>
    <n v="4929.72"/>
    <n v="-143.58"/>
    <s v="CREDITOR"/>
    <n v="0"/>
    <n v="0"/>
    <n v="-143.58"/>
    <n v="0"/>
    <n v="0"/>
  </r>
  <r>
    <n v="61105499"/>
    <s v="N"/>
    <n v="21366480"/>
    <s v="3000015296220001RC"/>
    <s v="CIVIL"/>
    <d v="2023-06-29T00:00:00"/>
    <d v="2023-07-12T19:45:17"/>
    <m/>
    <d v="2023-07-12T00:00:00"/>
    <n v="1461"/>
    <n v="14783"/>
    <s v="61105499"/>
    <s v="61105499"/>
    <m/>
    <m/>
    <m/>
    <m/>
    <m/>
    <m/>
    <s v="SOLRECOUP"/>
    <s v="SOLRECOUP"/>
    <s v="POARECOUP"/>
    <n v="21366480"/>
    <n v="-280.8"/>
    <m/>
    <s v="Y"/>
    <n v="1"/>
    <d v="2023-07-12T19:45:18"/>
    <s v="N"/>
    <m/>
    <m/>
    <s v="Expert Disbursement"/>
    <m/>
    <s v="N"/>
    <n v="-234"/>
    <n v="0"/>
    <x v="0"/>
    <s v="VALIDATED"/>
    <n v="1"/>
    <s v="01.11.80.308.2013.0000"/>
    <n v="-234"/>
    <s v="11"/>
    <s v="2013"/>
    <n v="4929.72"/>
    <n v="-234"/>
    <s v="CREDITOR"/>
    <n v="0"/>
    <n v="0"/>
    <n v="-234"/>
    <n v="0"/>
    <n v="0"/>
  </r>
  <r>
    <n v="61105499"/>
    <s v="N"/>
    <n v="21366480"/>
    <s v="3000015296220001RC"/>
    <s v="CIVIL"/>
    <d v="2023-06-29T00:00:00"/>
    <d v="2023-07-12T19:45:17"/>
    <m/>
    <d v="2023-07-12T00:00:00"/>
    <n v="1461"/>
    <n v="14783"/>
    <s v="61105499"/>
    <s v="61105499"/>
    <m/>
    <m/>
    <m/>
    <m/>
    <m/>
    <m/>
    <s v="SOLRECOUP"/>
    <s v="SOLRECOUP"/>
    <s v="POARECOUP"/>
    <n v="21366480"/>
    <n v="-280.8"/>
    <m/>
    <s v="Y"/>
    <n v="2"/>
    <d v="2023-07-12T19:45:18"/>
    <s v="N"/>
    <m/>
    <m/>
    <s v="Expert Disbursement"/>
    <m/>
    <s v="N"/>
    <n v="0"/>
    <n v="-46.8"/>
    <x v="0"/>
    <s v="VALIDATED"/>
    <n v="1"/>
    <s v="01.11.80.308.2013.0000"/>
    <n v="-46.8"/>
    <s v="11"/>
    <s v="2013"/>
    <n v="4929.72"/>
    <n v="-46.8"/>
    <s v="CREDITOR"/>
    <n v="0"/>
    <n v="0"/>
    <n v="-46.8"/>
    <n v="0"/>
    <n v="0"/>
  </r>
  <r>
    <n v="59957229"/>
    <s v="N"/>
    <n v="21319075"/>
    <s v="3000014303180006"/>
    <s v="CIVIL"/>
    <d v="2023-06-23T00:00:00"/>
    <d v="2023-07-03T19:01:49"/>
    <m/>
    <d v="2023-07-03T00:00:00"/>
    <n v="1462"/>
    <n v="14783"/>
    <s v="59957229"/>
    <s v="59957229"/>
    <m/>
    <m/>
    <n v="22750644"/>
    <m/>
    <m/>
    <m/>
    <s v="SOLFIN"/>
    <s v="SOLFIN"/>
    <s v="CCMS"/>
    <n v="21319075"/>
    <n v="8145.16"/>
    <m/>
    <s v="N"/>
    <n v="62"/>
    <d v="2023-07-03T19:02:10"/>
    <s v="Y"/>
    <s v="Attendance upon client"/>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38"/>
    <d v="2023-07-03T19:02:10"/>
    <s v="Y"/>
    <s v="Preparation - drafting pleading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51"/>
    <d v="2023-07-03T19:02:10"/>
    <s v="Y"/>
    <s v="Attendance upon client"/>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57"/>
    <d v="2023-07-03T19:02:10"/>
    <s v="Y"/>
    <s v="Preparation - drafting statement"/>
    <s v="Prescribed Hourly Rates"/>
    <s v="Profit Cost"/>
    <s v="Franca Webb"/>
    <s v="Y"/>
    <n v="18.94"/>
    <n v="3.79"/>
    <x v="3"/>
    <s v="VALIDATED"/>
    <n v="1"/>
    <s v="01.11.80.307.6100.0000"/>
    <n v="18.94"/>
    <s v="11"/>
    <s v="6100"/>
    <n v="9538.82"/>
    <n v="18.94"/>
    <s v="CREDITOR"/>
    <n v="0"/>
    <n v="0"/>
    <n v="0"/>
    <n v="0"/>
    <n v="18.94"/>
  </r>
  <r>
    <n v="61904982"/>
    <s v="N"/>
    <n v="21331326"/>
    <s v="3000015961050003"/>
    <s v="CIVIL"/>
    <d v="2023-06-28T00:00:00"/>
    <d v="2023-07-05T19:01:47"/>
    <m/>
    <d v="2023-07-05T00:00:00"/>
    <n v="1462"/>
    <n v="14783"/>
    <s v="61904982"/>
    <s v="61904982"/>
    <m/>
    <m/>
    <n v="22775524"/>
    <m/>
    <m/>
    <m/>
    <s v="SOLFIN"/>
    <s v="SOLFIN"/>
    <s v="CCMS"/>
    <n v="21331326"/>
    <n v="5784.92"/>
    <m/>
    <s v="N"/>
    <n v="3"/>
    <d v="2023-07-05T19:02:15"/>
    <s v="Y"/>
    <s v="Toxicologist"/>
    <s v="Public Law Children"/>
    <s v="Expert Disbursement"/>
    <s v="Sarra Gravestock"/>
    <s v="Y"/>
    <n v="27.5"/>
    <n v="5.5"/>
    <x v="6"/>
    <s v="VALIDATED"/>
    <n v="1"/>
    <s v="01.11.80.308.6300.0000"/>
    <n v="27.5"/>
    <s v="11"/>
    <s v="6300"/>
    <n v="9538.82"/>
    <n v="27.5"/>
    <s v="CREDITOR"/>
    <n v="0"/>
    <n v="0"/>
    <n v="0"/>
    <n v="0"/>
    <n v="27.5"/>
  </r>
  <r>
    <n v="59957229"/>
    <s v="N"/>
    <n v="21319075"/>
    <s v="3000014303180006"/>
    <s v="CIVIL"/>
    <d v="2023-06-23T00:00:00"/>
    <d v="2023-07-03T19:01:49"/>
    <m/>
    <d v="2023-07-03T00:00:00"/>
    <n v="1462"/>
    <n v="14783"/>
    <s v="59957229"/>
    <s v="59957229"/>
    <m/>
    <m/>
    <n v="22750644"/>
    <m/>
    <m/>
    <m/>
    <s v="SOLFIN"/>
    <s v="SOLFIN"/>
    <s v="CCMS"/>
    <n v="21319075"/>
    <n v="8145.16"/>
    <m/>
    <s v="N"/>
    <n v="9"/>
    <d v="2023-07-03T19:02:10"/>
    <s v="Y"/>
    <s v="Attendance upon client"/>
    <s v="Prescribed Hourly Rates"/>
    <s v="Profit Cost"/>
    <s v="Franca Webb"/>
    <s v="Y"/>
    <n v="37.88"/>
    <n v="7.58"/>
    <x v="3"/>
    <s v="VALIDATED"/>
    <n v="1"/>
    <s v="01.11.80.307.6100.0000"/>
    <n v="37.88"/>
    <s v="11"/>
    <s v="6100"/>
    <n v="9538.82"/>
    <n v="37.88"/>
    <s v="CREDITOR"/>
    <n v="0"/>
    <n v="0"/>
    <n v="0"/>
    <n v="0"/>
    <n v="37.88"/>
  </r>
  <r>
    <n v="59957229"/>
    <s v="N"/>
    <n v="21319075"/>
    <s v="3000014303180006"/>
    <s v="CIVIL"/>
    <d v="2023-06-23T00:00:00"/>
    <d v="2023-07-03T19:01:49"/>
    <m/>
    <d v="2023-07-03T00:00:00"/>
    <n v="1462"/>
    <n v="14783"/>
    <s v="59957229"/>
    <s v="59957229"/>
    <m/>
    <m/>
    <n v="22750644"/>
    <m/>
    <m/>
    <m/>
    <s v="SOLFIN"/>
    <s v="SOLFIN"/>
    <s v="CCMS"/>
    <n v="21319075"/>
    <n v="8145.16"/>
    <m/>
    <s v="N"/>
    <n v="17"/>
    <d v="2023-07-03T19:02:10"/>
    <s v="Y"/>
    <s v="Preparation - other"/>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30"/>
    <d v="2023-07-03T19:02:10"/>
    <s v="Y"/>
    <s v="Preparation - drafting notice(s)"/>
    <s v="Prescribed Hourly Rates"/>
    <s v="Profit Cost"/>
    <s v="Franca Webb"/>
    <s v="Y"/>
    <n v="6.31"/>
    <n v="1.26"/>
    <x v="3"/>
    <s v="VALIDATED"/>
    <n v="1"/>
    <s v="01.11.80.307.6100.0000"/>
    <n v="6.31"/>
    <s v="11"/>
    <s v="6100"/>
    <n v="9538.82"/>
    <n v="6.31"/>
    <s v="CREDITOR"/>
    <n v="0"/>
    <n v="0"/>
    <n v="0"/>
    <n v="0"/>
    <n v="6.31"/>
  </r>
  <r>
    <n v="61904982"/>
    <s v="N"/>
    <n v="21331326"/>
    <s v="3000015961050003"/>
    <s v="CIVIL"/>
    <d v="2023-06-28T00:00:00"/>
    <d v="2023-07-05T19:01:47"/>
    <m/>
    <d v="2023-07-05T00:00:00"/>
    <n v="1462"/>
    <n v="14783"/>
    <s v="61904982"/>
    <s v="61904982"/>
    <m/>
    <m/>
    <n v="22775524"/>
    <m/>
    <m/>
    <m/>
    <s v="SOLFIN"/>
    <s v="SOLFIN"/>
    <s v="CCMS"/>
    <n v="21331326"/>
    <n v="5784.92"/>
    <m/>
    <s v="N"/>
    <n v="7"/>
    <d v="2023-07-05T19:02:15"/>
    <s v="Y"/>
    <s v="Solicitor Travel Expenses"/>
    <s v="Public Law Children"/>
    <s v="Non Expert Disbursement"/>
    <s v="Sarra Gravestock"/>
    <s v="Y"/>
    <n v="4.9"/>
    <n v="0"/>
    <x v="6"/>
    <s v="VALIDATED"/>
    <n v="1"/>
    <s v="01.11.80.308.6300.0000"/>
    <n v="4.9"/>
    <s v="11"/>
    <s v="6300"/>
    <n v="9538.82"/>
    <n v="4.9"/>
    <s v="CREDITOR"/>
    <n v="0"/>
    <n v="0"/>
    <n v="0"/>
    <n v="0"/>
    <n v="4.9"/>
  </r>
  <r>
    <n v="59957229"/>
    <s v="N"/>
    <n v="21319075"/>
    <s v="3000014303180006"/>
    <s v="CIVIL"/>
    <d v="2023-06-23T00:00:00"/>
    <d v="2023-07-03T19:01:49"/>
    <m/>
    <d v="2023-07-03T00:00:00"/>
    <n v="1462"/>
    <n v="14783"/>
    <s v="59957229"/>
    <s v="59957229"/>
    <m/>
    <m/>
    <n v="22750644"/>
    <m/>
    <m/>
    <m/>
    <s v="SOLFIN"/>
    <s v="SOLFIN"/>
    <s v="CCMS"/>
    <n v="21319075"/>
    <n v="8145.16"/>
    <m/>
    <s v="N"/>
    <n v="21"/>
    <d v="2023-07-03T19:02:10"/>
    <s v="Y"/>
    <s v="Preparation - drafting pleadings"/>
    <s v="Prescribed Hourly Rates"/>
    <s v="Profit Cost"/>
    <s v="Franca Webb"/>
    <s v="Y"/>
    <n v="31.57"/>
    <n v="6.31"/>
    <x v="3"/>
    <s v="VALIDATED"/>
    <n v="1"/>
    <s v="01.11.80.307.6100.0000"/>
    <n v="31.57"/>
    <s v="11"/>
    <s v="6100"/>
    <n v="9538.82"/>
    <n v="31.57"/>
    <s v="CREDITOR"/>
    <n v="0"/>
    <n v="0"/>
    <n v="0"/>
    <n v="0"/>
    <n v="31.57"/>
  </r>
  <r>
    <n v="59957229"/>
    <s v="N"/>
    <n v="21319075"/>
    <s v="3000014303180006"/>
    <s v="CIVIL"/>
    <d v="2023-06-23T00:00:00"/>
    <d v="2023-07-03T19:01:49"/>
    <m/>
    <d v="2023-07-03T00:00:00"/>
    <n v="1462"/>
    <n v="14783"/>
    <s v="59957229"/>
    <s v="59957229"/>
    <m/>
    <m/>
    <n v="22750644"/>
    <m/>
    <m/>
    <m/>
    <s v="SOLFIN"/>
    <s v="SOLFIN"/>
    <s v="CCMS"/>
    <n v="21319075"/>
    <n v="8145.16"/>
    <m/>
    <s v="N"/>
    <n v="14"/>
    <d v="2023-07-03T19:02:10"/>
    <s v="Y"/>
    <s v="Attendance upon client"/>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56"/>
    <d v="2023-07-03T19:02:10"/>
    <s v="Y"/>
    <s v="Preparation - other"/>
    <s v="Prescribed Hourly Rates"/>
    <s v="Profit Cost"/>
    <s v="Franca Webb"/>
    <s v="Y"/>
    <n v="12.63"/>
    <n v="2.53"/>
    <x v="3"/>
    <s v="VALIDATED"/>
    <n v="1"/>
    <s v="01.11.80.307.6100.0000"/>
    <n v="12.63"/>
    <s v="11"/>
    <s v="6100"/>
    <n v="9538.82"/>
    <n v="12.63"/>
    <s v="CREDITOR"/>
    <n v="0"/>
    <n v="0"/>
    <n v="0"/>
    <n v="0"/>
    <n v="12.63"/>
  </r>
  <r>
    <n v="61904982"/>
    <s v="N"/>
    <n v="21331326"/>
    <s v="3000015961050003"/>
    <s v="CIVIL"/>
    <d v="2023-06-28T00:00:00"/>
    <d v="2023-07-05T19:01:47"/>
    <m/>
    <d v="2023-07-05T00:00:00"/>
    <n v="1462"/>
    <n v="14783"/>
    <s v="61904982"/>
    <s v="61904982"/>
    <m/>
    <m/>
    <n v="22775524"/>
    <m/>
    <m/>
    <m/>
    <s v="SOLFIN"/>
    <s v="SOLFIN"/>
    <s v="CCMS"/>
    <n v="21331326"/>
    <n v="5784.92"/>
    <m/>
    <s v="N"/>
    <n v="1"/>
    <d v="2023-07-05T19:02:15"/>
    <s v="Y"/>
    <s v="Final Hearing Court Bundle/Advocate"/>
    <s v="Public Law Children"/>
    <s v="Advocacy"/>
    <s v="Sarra Gravestock"/>
    <s v="Y"/>
    <n v="159.3"/>
    <n v="31.86"/>
    <x v="6"/>
    <s v="VALIDATED"/>
    <n v="1"/>
    <s v="01.11.80.308.6100.0000"/>
    <n v="159.3"/>
    <s v="11"/>
    <s v="6100"/>
    <n v="9538.82"/>
    <n v="159.3"/>
    <s v="CREDITOR"/>
    <n v="0"/>
    <n v="0"/>
    <n v="0"/>
    <n v="0"/>
    <n v="159.3"/>
  </r>
  <r>
    <n v="59957229"/>
    <s v="N"/>
    <n v="21319075"/>
    <s v="3000014303180006"/>
    <s v="CIVIL"/>
    <d v="2023-06-23T00:00:00"/>
    <d v="2023-07-03T19:01:49"/>
    <m/>
    <d v="2023-07-03T00:00:00"/>
    <n v="1462"/>
    <n v="14783"/>
    <s v="59957229"/>
    <s v="59957229"/>
    <m/>
    <m/>
    <n v="22750644"/>
    <m/>
    <m/>
    <m/>
    <s v="SOLFIN"/>
    <s v="SOLFIN"/>
    <s v="CCMS"/>
    <n v="21319075"/>
    <n v="8145.16"/>
    <m/>
    <s v="N"/>
    <n v="42"/>
    <d v="2023-07-03T19:02:10"/>
    <s v="Y"/>
    <s v="Routine Telephone Call"/>
    <s v="Prescribed Hourly Rates"/>
    <s v="Profit Cost"/>
    <s v="Franca Webb"/>
    <s v="Y"/>
    <n v="130.41"/>
    <n v="26.08"/>
    <x v="3"/>
    <s v="VALIDATED"/>
    <n v="1"/>
    <s v="01.11.80.307.6100.0000"/>
    <n v="130.41"/>
    <s v="11"/>
    <s v="6100"/>
    <n v="9538.82"/>
    <n v="130.41"/>
    <s v="CREDITOR"/>
    <n v="0"/>
    <n v="0"/>
    <n v="0"/>
    <n v="0"/>
    <n v="130.41"/>
  </r>
  <r>
    <n v="59957229"/>
    <s v="N"/>
    <n v="21319075"/>
    <s v="3000014303180006"/>
    <s v="CIVIL"/>
    <d v="2023-06-23T00:00:00"/>
    <d v="2023-07-03T19:01:49"/>
    <m/>
    <d v="2023-07-03T00:00:00"/>
    <n v="1462"/>
    <n v="14783"/>
    <s v="59957229"/>
    <s v="59957229"/>
    <m/>
    <m/>
    <n v="22750644"/>
    <m/>
    <m/>
    <m/>
    <s v="SOLFIN"/>
    <s v="SOLFIN"/>
    <s v="CCMS"/>
    <n v="21319075"/>
    <n v="8145.16"/>
    <m/>
    <s v="N"/>
    <n v="55"/>
    <d v="2023-07-03T19:02:10"/>
    <s v="Y"/>
    <s v="Attendance upon client"/>
    <s v="Prescribed Hourly Rates"/>
    <s v="Profit Cost"/>
    <s v="Franca Webb"/>
    <s v="Y"/>
    <n v="25.25"/>
    <n v="5.05"/>
    <x v="3"/>
    <s v="VALIDATED"/>
    <n v="1"/>
    <s v="01.11.80.307.6100.0000"/>
    <n v="25.25"/>
    <s v="11"/>
    <s v="6100"/>
    <n v="9538.82"/>
    <n v="25.25"/>
    <s v="CREDITOR"/>
    <n v="0"/>
    <n v="0"/>
    <n v="0"/>
    <n v="0"/>
    <n v="25.25"/>
  </r>
  <r>
    <n v="59957229"/>
    <s v="N"/>
    <n v="21319075"/>
    <s v="3000014303180006"/>
    <s v="CIVIL"/>
    <d v="2023-06-23T00:00:00"/>
    <d v="2023-07-03T19:01:49"/>
    <m/>
    <d v="2023-07-03T00:00:00"/>
    <n v="1462"/>
    <n v="14783"/>
    <s v="59957229"/>
    <s v="59957229"/>
    <m/>
    <m/>
    <n v="22750644"/>
    <m/>
    <m/>
    <m/>
    <s v="SOLFIN"/>
    <s v="SOLFIN"/>
    <s v="CCMS"/>
    <n v="21319075"/>
    <n v="8145.16"/>
    <m/>
    <s v="N"/>
    <n v="28"/>
    <d v="2023-07-03T19:02:10"/>
    <s v="Y"/>
    <s v="Attendance upon client"/>
    <s v="Prescribed Hourly Rates"/>
    <s v="Profit Cost"/>
    <s v="Franca Webb"/>
    <s v="Y"/>
    <n v="31.57"/>
    <n v="6.31"/>
    <x v="3"/>
    <s v="VALIDATED"/>
    <n v="1"/>
    <s v="01.11.80.307.6100.0000"/>
    <n v="31.57"/>
    <s v="11"/>
    <s v="6100"/>
    <n v="9538.82"/>
    <n v="31.57"/>
    <s v="CREDITOR"/>
    <n v="0"/>
    <n v="0"/>
    <n v="0"/>
    <n v="0"/>
    <n v="31.57"/>
  </r>
  <r>
    <n v="61904982"/>
    <s v="N"/>
    <n v="21331326"/>
    <s v="3000015961050003"/>
    <s v="CIVIL"/>
    <d v="2023-06-28T00:00:00"/>
    <d v="2023-07-05T19:01:47"/>
    <m/>
    <d v="2023-07-05T00:00:00"/>
    <n v="1462"/>
    <n v="14783"/>
    <s v="61904982"/>
    <s v="61904982"/>
    <m/>
    <m/>
    <n v="22775524"/>
    <m/>
    <m/>
    <m/>
    <s v="SOLFIN"/>
    <s v="SOLFIN"/>
    <s v="CCMS"/>
    <n v="21331326"/>
    <n v="5784.92"/>
    <m/>
    <s v="N"/>
    <n v="5"/>
    <d v="2023-07-05T19:02:15"/>
    <s v="Y"/>
    <s v="Solicitor Travel Mileage"/>
    <s v="Public Law Children"/>
    <s v="Non Expert Disbursement"/>
    <s v="Sarra Gravestock"/>
    <s v="Y"/>
    <n v="9.9"/>
    <n v="1.98"/>
    <x v="6"/>
    <s v="VALIDATED"/>
    <n v="1"/>
    <s v="01.11.80.308.6300.0000"/>
    <n v="9.9"/>
    <s v="11"/>
    <s v="6300"/>
    <n v="9538.82"/>
    <n v="9.9"/>
    <s v="CREDITOR"/>
    <n v="0"/>
    <n v="0"/>
    <n v="0"/>
    <n v="0"/>
    <n v="9.9"/>
  </r>
  <r>
    <n v="59957229"/>
    <s v="N"/>
    <n v="21319075"/>
    <s v="3000014303180006"/>
    <s v="CIVIL"/>
    <d v="2023-06-23T00:00:00"/>
    <d v="2023-07-03T19:01:49"/>
    <m/>
    <d v="2023-07-03T00:00:00"/>
    <n v="1462"/>
    <n v="14783"/>
    <s v="59957229"/>
    <s v="59957229"/>
    <m/>
    <m/>
    <n v="22750644"/>
    <m/>
    <m/>
    <m/>
    <s v="SOLFIN"/>
    <s v="SOLFIN"/>
    <s v="CCMS"/>
    <n v="21319075"/>
    <n v="8145.16"/>
    <m/>
    <s v="N"/>
    <n v="72"/>
    <d v="2023-07-03T19:02:10"/>
    <s v="Y"/>
    <s v="Hearing Unit 2.31 - 5.00 Hours"/>
    <s v="Private Law Children"/>
    <s v="Advocacy"/>
    <s v="Franca Webb"/>
    <s v="Y"/>
    <n v="344.8"/>
    <n v="68.95999999999999"/>
    <x v="3"/>
    <s v="VALIDATED"/>
    <n v="1"/>
    <s v="01.11.80.307.6100.0000"/>
    <n v="344.8"/>
    <s v="11"/>
    <s v="6100"/>
    <n v="9538.82"/>
    <n v="344.8"/>
    <s v="CREDITOR"/>
    <n v="0"/>
    <n v="0"/>
    <n v="0"/>
    <n v="0"/>
    <n v="344.8"/>
  </r>
  <r>
    <n v="59957229"/>
    <s v="N"/>
    <n v="21319075"/>
    <s v="3000014303180006"/>
    <s v="CIVIL"/>
    <d v="2023-06-23T00:00:00"/>
    <d v="2023-07-03T19:01:49"/>
    <m/>
    <d v="2023-07-03T00:00:00"/>
    <n v="1462"/>
    <n v="14783"/>
    <s v="59957229"/>
    <s v="59957229"/>
    <m/>
    <m/>
    <n v="22750644"/>
    <m/>
    <m/>
    <m/>
    <s v="SOLFIN"/>
    <s v="SOLFIN"/>
    <s v="CCMS"/>
    <n v="21319075"/>
    <n v="8145.16"/>
    <m/>
    <s v="N"/>
    <n v="12"/>
    <d v="2023-07-03T19:02:10"/>
    <s v="Y"/>
    <s v="Preparation - drafting pleadings"/>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64"/>
    <d v="2023-07-03T19:02:10"/>
    <s v="Y"/>
    <s v="Toxicologist"/>
    <s v="Private Law Children"/>
    <s v="Expert Disbursement"/>
    <s v="Franca Webb"/>
    <s v="Y"/>
    <n v="423"/>
    <n v="84.59999999999999"/>
    <x v="3"/>
    <s v="VALIDATED"/>
    <n v="1"/>
    <s v="01.11.80.307.6300.0000"/>
    <n v="423"/>
    <s v="11"/>
    <s v="6300"/>
    <n v="9538.82"/>
    <n v="423"/>
    <s v="CREDITOR"/>
    <n v="0"/>
    <n v="0"/>
    <n v="0"/>
    <n v="0"/>
    <n v="423"/>
  </r>
  <r>
    <n v="59957229"/>
    <s v="N"/>
    <n v="21319075"/>
    <s v="3000014303180006"/>
    <s v="CIVIL"/>
    <d v="2023-06-23T00:00:00"/>
    <d v="2023-07-03T19:01:49"/>
    <m/>
    <d v="2023-07-03T00:00:00"/>
    <n v="1462"/>
    <n v="14783"/>
    <s v="59957229"/>
    <s v="59957229"/>
    <m/>
    <m/>
    <n v="22750644"/>
    <m/>
    <m/>
    <m/>
    <s v="SOLFIN"/>
    <s v="SOLFIN"/>
    <s v="CCMS"/>
    <n v="21319075"/>
    <n v="8145.16"/>
    <m/>
    <s v="N"/>
    <n v="61"/>
    <d v="2023-07-03T19:02:10"/>
    <s v="Y"/>
    <s v="Report - Welfare report"/>
    <s v="Prescribed Hourly Rates"/>
    <s v="Profit Cost"/>
    <s v="Franca Webb"/>
    <s v="Y"/>
    <n v="31.57"/>
    <n v="6.31"/>
    <x v="3"/>
    <s v="VALIDATED"/>
    <n v="1"/>
    <s v="01.11.80.307.6100.0000"/>
    <n v="31.57"/>
    <s v="11"/>
    <s v="6100"/>
    <n v="9538.82"/>
    <n v="31.57"/>
    <s v="CREDITOR"/>
    <n v="0"/>
    <n v="0"/>
    <n v="0"/>
    <n v="0"/>
    <n v="31.57"/>
  </r>
  <r>
    <n v="61841461"/>
    <s v="N"/>
    <n v="21337897"/>
    <s v="3000015908570006"/>
    <s v="CIVIL"/>
    <d v="2023-06-30T00:00:00"/>
    <d v="2023-07-06T19:21:01"/>
    <m/>
    <d v="2023-07-06T00:00:00"/>
    <n v="1462"/>
    <n v="14783"/>
    <s v="61841461"/>
    <s v="61841461"/>
    <m/>
    <m/>
    <n v="22795748"/>
    <m/>
    <m/>
    <m/>
    <s v="SOLPOA"/>
    <s v="SOLPOA"/>
    <s v="CCMS"/>
    <n v="21337897"/>
    <n v="319.2"/>
    <m/>
    <s v="N"/>
    <n v="1"/>
    <d v="2023-07-06T19:21:09"/>
    <s v="N"/>
    <s v="Expert Cost"/>
    <s v="Expert Cost"/>
    <s v="Expert Disbursement"/>
    <s v="Sarra Gravestock"/>
    <s v="N"/>
    <n v="266"/>
    <n v="53.2"/>
    <x v="4"/>
    <s v="VALIDATED"/>
    <n v="1"/>
    <s v="01.11.80.308.2012.0000"/>
    <n v="266"/>
    <s v="11"/>
    <s v="2012"/>
    <n v="9538.82"/>
    <n v="266"/>
    <s v="CREDITOR"/>
    <n v="266"/>
    <n v="0"/>
    <n v="0"/>
    <n v="0"/>
    <n v="0"/>
  </r>
  <r>
    <n v="59957229"/>
    <s v="N"/>
    <n v="21324512"/>
    <s v="3000014303180005RC"/>
    <s v="CIVIL"/>
    <d v="2023-06-23T00:00:00"/>
    <d v="2023-07-03T19:42:50"/>
    <m/>
    <d v="2023-07-03T00:00:00"/>
    <n v="1462"/>
    <n v="14783"/>
    <s v="59957229"/>
    <s v="59957229"/>
    <m/>
    <m/>
    <m/>
    <m/>
    <m/>
    <m/>
    <s v="SOLRECOUP"/>
    <s v="SOLRECOUP"/>
    <s v="POARECOUP"/>
    <n v="21324512"/>
    <n v="-507.6"/>
    <m/>
    <s v="Y"/>
    <n v="2"/>
    <d v="2023-07-03T19:42:51"/>
    <s v="N"/>
    <m/>
    <m/>
    <s v="Expert Disbursement"/>
    <m/>
    <s v="N"/>
    <n v="0"/>
    <n v="-84.59999999999999"/>
    <x v="3"/>
    <s v="VALIDATED"/>
    <n v="1"/>
    <s v="01.11.80.307.2013.0000"/>
    <n v="-84.59999999999999"/>
    <s v="11"/>
    <s v="2013"/>
    <n v="9538.82"/>
    <n v="-84.59999999999999"/>
    <s v="CREDITOR"/>
    <n v="0"/>
    <n v="0"/>
    <n v="-84.59999999999999"/>
    <n v="0"/>
    <n v="0"/>
  </r>
  <r>
    <n v="59957229"/>
    <s v="N"/>
    <n v="21324509"/>
    <s v="3000014303180002RC"/>
    <s v="CIVIL"/>
    <d v="2023-06-23T00:00:00"/>
    <d v="2023-07-03T19:42:50"/>
    <m/>
    <d v="2023-07-03T00:00:00"/>
    <n v="1462"/>
    <n v="14783"/>
    <s v="59957229"/>
    <s v="59957229"/>
    <m/>
    <m/>
    <m/>
    <m/>
    <m/>
    <m/>
    <s v="SOLRECOUP"/>
    <s v="SOLRECOUP"/>
    <s v="POARECOUP"/>
    <n v="21324509"/>
    <n v="-662.4"/>
    <m/>
    <s v="Y"/>
    <n v="1"/>
    <d v="2023-07-03T19:42:51"/>
    <s v="N"/>
    <m/>
    <m/>
    <s v="Expert Disbursement"/>
    <m/>
    <s v="N"/>
    <n v="-552"/>
    <n v="0"/>
    <x v="3"/>
    <s v="VALIDATED"/>
    <n v="1"/>
    <s v="01.11.80.307.2013.0000"/>
    <n v="-552"/>
    <s v="11"/>
    <s v="2013"/>
    <n v="9538.82"/>
    <n v="-552"/>
    <s v="CREDITOR"/>
    <n v="0"/>
    <n v="0"/>
    <n v="-552"/>
    <n v="0"/>
    <n v="0"/>
  </r>
  <r>
    <n v="59957229"/>
    <s v="N"/>
    <n v="21324509"/>
    <s v="3000014303180002RC"/>
    <s v="CIVIL"/>
    <d v="2023-06-23T00:00:00"/>
    <d v="2023-07-03T19:42:50"/>
    <m/>
    <d v="2023-07-03T00:00:00"/>
    <n v="1462"/>
    <n v="14783"/>
    <s v="59957229"/>
    <s v="59957229"/>
    <m/>
    <m/>
    <m/>
    <m/>
    <m/>
    <m/>
    <s v="SOLRECOUP"/>
    <s v="SOLRECOUP"/>
    <s v="POARECOUP"/>
    <n v="21324509"/>
    <n v="-662.4"/>
    <m/>
    <s v="Y"/>
    <n v="2"/>
    <d v="2023-07-03T19:42:51"/>
    <s v="N"/>
    <m/>
    <m/>
    <s v="Expert Disbursement"/>
    <m/>
    <s v="N"/>
    <n v="0"/>
    <n v="-110.4"/>
    <x v="3"/>
    <s v="VALIDATED"/>
    <n v="1"/>
    <s v="01.11.80.307.2013.0000"/>
    <n v="-110.4"/>
    <s v="11"/>
    <s v="2013"/>
    <n v="9538.82"/>
    <n v="-110.4"/>
    <s v="CREDITOR"/>
    <n v="0"/>
    <n v="0"/>
    <n v="-110.4"/>
    <n v="0"/>
    <n v="0"/>
  </r>
  <r>
    <n v="59957229"/>
    <s v="N"/>
    <n v="21324510"/>
    <s v="3000014303180003RC"/>
    <s v="CIVIL"/>
    <d v="2023-06-23T00:00:00"/>
    <d v="2023-07-03T19:42:50"/>
    <m/>
    <d v="2023-07-03T00:00:00"/>
    <n v="1462"/>
    <n v="14783"/>
    <s v="59957229"/>
    <s v="59957229"/>
    <m/>
    <m/>
    <m/>
    <m/>
    <m/>
    <m/>
    <s v="SOLRECOUP"/>
    <s v="SOLRECOUP"/>
    <s v="POARECOUP"/>
    <n v="21324510"/>
    <n v="-992.4"/>
    <m/>
    <s v="Y"/>
    <n v="1"/>
    <d v="2023-07-03T19:42:51"/>
    <s v="N"/>
    <m/>
    <m/>
    <s v="Expert Disbursement"/>
    <m/>
    <s v="N"/>
    <n v="-827"/>
    <n v="0"/>
    <x v="3"/>
    <s v="VALIDATED"/>
    <n v="1"/>
    <s v="01.11.80.307.2013.0000"/>
    <n v="-827"/>
    <s v="11"/>
    <s v="2013"/>
    <n v="9538.82"/>
    <n v="-827"/>
    <s v="CREDITOR"/>
    <n v="0"/>
    <n v="0"/>
    <n v="-827"/>
    <n v="0"/>
    <n v="0"/>
  </r>
  <r>
    <n v="59957229"/>
    <s v="N"/>
    <n v="21324510"/>
    <s v="3000014303180003RC"/>
    <s v="CIVIL"/>
    <d v="2023-06-23T00:00:00"/>
    <d v="2023-07-03T19:42:50"/>
    <m/>
    <d v="2023-07-03T00:00:00"/>
    <n v="1462"/>
    <n v="14783"/>
    <s v="59957229"/>
    <s v="59957229"/>
    <m/>
    <m/>
    <m/>
    <m/>
    <m/>
    <m/>
    <s v="SOLRECOUP"/>
    <s v="SOLRECOUP"/>
    <s v="POARECOUP"/>
    <n v="21324510"/>
    <n v="-992.4"/>
    <m/>
    <s v="Y"/>
    <n v="2"/>
    <d v="2023-07-03T19:42:51"/>
    <s v="N"/>
    <m/>
    <m/>
    <s v="Expert Disbursement"/>
    <m/>
    <s v="N"/>
    <n v="0"/>
    <n v="-165.4"/>
    <x v="3"/>
    <s v="VALIDATED"/>
    <n v="1"/>
    <s v="01.11.80.307.2013.0000"/>
    <n v="-165.4"/>
    <s v="11"/>
    <s v="2013"/>
    <n v="9538.82"/>
    <n v="-165.4"/>
    <s v="CREDITOR"/>
    <n v="0"/>
    <n v="0"/>
    <n v="-165.4"/>
    <n v="0"/>
    <n v="0"/>
  </r>
  <r>
    <n v="59957229"/>
    <s v="N"/>
    <n v="21324511"/>
    <s v="3000014303180004RC"/>
    <s v="CIVIL"/>
    <d v="2023-06-23T00:00:00"/>
    <d v="2023-07-03T19:42:50"/>
    <m/>
    <d v="2023-07-03T00:00:00"/>
    <n v="1462"/>
    <n v="14783"/>
    <s v="59957229"/>
    <s v="59957229"/>
    <m/>
    <m/>
    <m/>
    <m/>
    <m/>
    <m/>
    <s v="SOLRECOUP"/>
    <s v="SOLRECOUP"/>
    <s v="POARECOUP"/>
    <n v="21324511"/>
    <n v="-90.59999999999999"/>
    <m/>
    <s v="Y"/>
    <n v="1"/>
    <d v="2023-07-03T19:42:51"/>
    <s v="N"/>
    <m/>
    <m/>
    <s v="Expert Disbursement"/>
    <m/>
    <s v="N"/>
    <n v="-75.5"/>
    <n v="0"/>
    <x v="3"/>
    <s v="VALIDATED"/>
    <n v="1"/>
    <s v="01.11.80.307.2013.0000"/>
    <n v="-75.5"/>
    <s v="11"/>
    <s v="2013"/>
    <n v="9538.82"/>
    <n v="-75.5"/>
    <s v="CREDITOR"/>
    <n v="0"/>
    <n v="0"/>
    <n v="-75.5"/>
    <n v="0"/>
    <n v="0"/>
  </r>
  <r>
    <n v="59957229"/>
    <s v="N"/>
    <n v="21324511"/>
    <s v="3000014303180004RC"/>
    <s v="CIVIL"/>
    <d v="2023-06-23T00:00:00"/>
    <d v="2023-07-03T19:42:50"/>
    <m/>
    <d v="2023-07-03T00:00:00"/>
    <n v="1462"/>
    <n v="14783"/>
    <s v="59957229"/>
    <s v="59957229"/>
    <m/>
    <m/>
    <m/>
    <m/>
    <m/>
    <m/>
    <s v="SOLRECOUP"/>
    <s v="SOLRECOUP"/>
    <s v="POARECOUP"/>
    <n v="21324511"/>
    <n v="-90.59999999999999"/>
    <m/>
    <s v="Y"/>
    <n v="2"/>
    <d v="2023-07-03T19:42:51"/>
    <s v="N"/>
    <m/>
    <m/>
    <s v="Expert Disbursement"/>
    <m/>
    <s v="N"/>
    <n v="0"/>
    <n v="-15.1"/>
    <x v="3"/>
    <s v="VALIDATED"/>
    <n v="1"/>
    <s v="01.11.80.307.2013.0000"/>
    <n v="-15.1"/>
    <s v="11"/>
    <s v="2013"/>
    <n v="9538.82"/>
    <n v="-15.1"/>
    <s v="CREDITOR"/>
    <n v="0"/>
    <n v="0"/>
    <n v="-15.1"/>
    <n v="0"/>
    <n v="0"/>
  </r>
  <r>
    <n v="59957229"/>
    <s v="N"/>
    <n v="21324512"/>
    <s v="3000014303180005RC"/>
    <s v="CIVIL"/>
    <d v="2023-06-23T00:00:00"/>
    <d v="2023-07-03T19:42:50"/>
    <m/>
    <d v="2023-07-03T00:00:00"/>
    <n v="1462"/>
    <n v="14783"/>
    <s v="59957229"/>
    <s v="59957229"/>
    <m/>
    <m/>
    <m/>
    <m/>
    <m/>
    <m/>
    <s v="SOLRECOUP"/>
    <s v="SOLRECOUP"/>
    <s v="POARECOUP"/>
    <n v="21324512"/>
    <n v="-507.6"/>
    <m/>
    <s v="Y"/>
    <n v="1"/>
    <d v="2023-07-03T19:42:51"/>
    <s v="N"/>
    <m/>
    <m/>
    <s v="Expert Disbursement"/>
    <m/>
    <s v="N"/>
    <n v="-423"/>
    <n v="0"/>
    <x v="3"/>
    <s v="VALIDATED"/>
    <n v="1"/>
    <s v="01.11.80.307.2013.0000"/>
    <n v="-423"/>
    <s v="11"/>
    <s v="2013"/>
    <n v="9538.82"/>
    <n v="-423"/>
    <s v="CREDITOR"/>
    <n v="0"/>
    <n v="0"/>
    <n v="-423"/>
    <n v="0"/>
    <n v="0"/>
  </r>
  <r>
    <n v="59957229"/>
    <s v="N"/>
    <n v="21319075"/>
    <s v="3000014303180006"/>
    <s v="CIVIL"/>
    <d v="2023-06-23T00:00:00"/>
    <d v="2023-07-03T19:01:49"/>
    <m/>
    <d v="2023-07-03T00:00:00"/>
    <n v="1462"/>
    <n v="14783"/>
    <s v="59957229"/>
    <s v="59957229"/>
    <m/>
    <m/>
    <n v="22750644"/>
    <m/>
    <m/>
    <m/>
    <s v="SOLFIN"/>
    <s v="SOLFIN"/>
    <s v="CCMS"/>
    <n v="21319075"/>
    <n v="8145.16"/>
    <m/>
    <s v="N"/>
    <n v="44"/>
    <d v="2023-07-03T19:02:10"/>
    <s v="Y"/>
    <s v="Attendance upon other side"/>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7"/>
    <d v="2023-07-03T19:02:10"/>
    <s v="Y"/>
    <s v="Attendance upon client"/>
    <s v="Prescribed Hourly Rates"/>
    <s v="Profit Cost"/>
    <s v="Franca Webb"/>
    <s v="Y"/>
    <n v="31.57"/>
    <n v="6.31"/>
    <x v="3"/>
    <s v="VALIDATED"/>
    <n v="1"/>
    <s v="01.11.80.307.6100.0000"/>
    <n v="31.57"/>
    <s v="11"/>
    <s v="6100"/>
    <n v="9538.82"/>
    <n v="31.57"/>
    <s v="CREDITOR"/>
    <n v="0"/>
    <n v="0"/>
    <n v="0"/>
    <n v="0"/>
    <n v="31.57"/>
  </r>
  <r>
    <n v="59957229"/>
    <s v="N"/>
    <n v="21319075"/>
    <s v="3000014303180006"/>
    <s v="CIVIL"/>
    <d v="2023-06-23T00:00:00"/>
    <d v="2023-07-03T19:01:49"/>
    <m/>
    <d v="2023-07-03T00:00:00"/>
    <n v="1462"/>
    <n v="14783"/>
    <s v="59957229"/>
    <s v="59957229"/>
    <m/>
    <m/>
    <n v="22750644"/>
    <m/>
    <m/>
    <m/>
    <s v="SOLFIN"/>
    <s v="SOLFIN"/>
    <s v="CCMS"/>
    <n v="21319075"/>
    <n v="8145.16"/>
    <m/>
    <s v="N"/>
    <n v="11"/>
    <d v="2023-07-03T19:02:10"/>
    <s v="Y"/>
    <s v="Report - other report"/>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47"/>
    <d v="2023-07-03T19:02:10"/>
    <s v="Y"/>
    <s v="Preparation - other"/>
    <s v="Prescribed Hourly Rates"/>
    <s v="Profit Cost"/>
    <s v="Franca Webb"/>
    <s v="Y"/>
    <n v="12.63"/>
    <n v="2.53"/>
    <x v="3"/>
    <s v="VALIDATED"/>
    <n v="1"/>
    <s v="01.11.80.307.6100.0000"/>
    <n v="12.63"/>
    <s v="11"/>
    <s v="6100"/>
    <n v="9538.82"/>
    <n v="12.63"/>
    <s v="CREDITOR"/>
    <n v="0"/>
    <n v="0"/>
    <n v="0"/>
    <n v="0"/>
    <n v="12.63"/>
  </r>
  <r>
    <n v="61904982"/>
    <s v="N"/>
    <n v="21333979"/>
    <s v="3000015961050001RC"/>
    <s v="CIVIL"/>
    <d v="2023-06-28T00:00:00"/>
    <d v="2023-07-05T19:42:28"/>
    <m/>
    <d v="2023-07-05T00:00:00"/>
    <n v="1462"/>
    <n v="14783"/>
    <s v="61904982"/>
    <s v="61904982"/>
    <m/>
    <m/>
    <m/>
    <m/>
    <m/>
    <m/>
    <s v="SOLRECOUP"/>
    <s v="SOLRECOUP"/>
    <s v="POARECOUP"/>
    <n v="21333979"/>
    <n v="-311.11"/>
    <m/>
    <s v="Y"/>
    <n v="1"/>
    <d v="2023-07-05T19:42:29"/>
    <s v="N"/>
    <m/>
    <m/>
    <s v="Expert Disbursement"/>
    <m/>
    <s v="N"/>
    <n v="-259.26"/>
    <n v="0"/>
    <x v="6"/>
    <s v="VALIDATED"/>
    <n v="1"/>
    <s v="01.11.80.308.2013.0000"/>
    <n v="-259.26"/>
    <s v="11"/>
    <s v="2013"/>
    <n v="9538.82"/>
    <n v="-259.26"/>
    <s v="CREDITOR"/>
    <n v="0"/>
    <n v="0"/>
    <n v="-259.26"/>
    <n v="0"/>
    <n v="0"/>
  </r>
  <r>
    <n v="61904982"/>
    <s v="N"/>
    <n v="21333979"/>
    <s v="3000015961050001RC"/>
    <s v="CIVIL"/>
    <d v="2023-06-28T00:00:00"/>
    <d v="2023-07-05T19:42:28"/>
    <m/>
    <d v="2023-07-05T00:00:00"/>
    <n v="1462"/>
    <n v="14783"/>
    <s v="61904982"/>
    <s v="61904982"/>
    <m/>
    <m/>
    <m/>
    <m/>
    <m/>
    <m/>
    <s v="SOLRECOUP"/>
    <s v="SOLRECOUP"/>
    <s v="POARECOUP"/>
    <n v="21333979"/>
    <n v="-311.11"/>
    <m/>
    <s v="Y"/>
    <n v="2"/>
    <d v="2023-07-05T19:42:29"/>
    <s v="N"/>
    <m/>
    <m/>
    <s v="Expert Disbursement"/>
    <m/>
    <s v="N"/>
    <n v="0"/>
    <n v="-51.85"/>
    <x v="6"/>
    <s v="VALIDATED"/>
    <n v="1"/>
    <s v="01.11.80.308.2013.0000"/>
    <n v="-51.85"/>
    <s v="11"/>
    <s v="2013"/>
    <n v="9538.82"/>
    <n v="-51.85"/>
    <s v="CREDITOR"/>
    <n v="0"/>
    <n v="0"/>
    <n v="-51.85"/>
    <n v="0"/>
    <n v="0"/>
  </r>
  <r>
    <n v="61904982"/>
    <s v="N"/>
    <n v="21333980"/>
    <s v="3000015961050002RC"/>
    <s v="CIVIL"/>
    <d v="2023-06-28T00:00:00"/>
    <d v="2023-07-05T19:42:28"/>
    <m/>
    <d v="2023-07-05T00:00:00"/>
    <n v="1462"/>
    <n v="14783"/>
    <s v="61904982"/>
    <s v="61904982"/>
    <m/>
    <m/>
    <m/>
    <m/>
    <m/>
    <m/>
    <s v="SOLRECOUP"/>
    <s v="SOLRECOUP"/>
    <s v="POARECOUP"/>
    <n v="21333980"/>
    <n v="-33"/>
    <m/>
    <s v="Y"/>
    <n v="1"/>
    <d v="2023-07-05T19:42:29"/>
    <s v="N"/>
    <m/>
    <m/>
    <s v="Expert Disbursement"/>
    <m/>
    <s v="N"/>
    <n v="-27.5"/>
    <n v="0"/>
    <x v="6"/>
    <s v="VALIDATED"/>
    <n v="1"/>
    <s v="01.11.80.308.2013.0000"/>
    <n v="-27.5"/>
    <s v="11"/>
    <s v="2013"/>
    <n v="9538.82"/>
    <n v="-27.5"/>
    <s v="CREDITOR"/>
    <n v="0"/>
    <n v="0"/>
    <n v="-27.5"/>
    <n v="0"/>
    <n v="0"/>
  </r>
  <r>
    <n v="61904982"/>
    <s v="N"/>
    <n v="21333980"/>
    <s v="3000015961050002RC"/>
    <s v="CIVIL"/>
    <d v="2023-06-28T00:00:00"/>
    <d v="2023-07-05T19:42:28"/>
    <m/>
    <d v="2023-07-05T00:00:00"/>
    <n v="1462"/>
    <n v="14783"/>
    <s v="61904982"/>
    <s v="61904982"/>
    <m/>
    <m/>
    <m/>
    <m/>
    <m/>
    <m/>
    <s v="SOLRECOUP"/>
    <s v="SOLRECOUP"/>
    <s v="POARECOUP"/>
    <n v="21333980"/>
    <n v="-33"/>
    <m/>
    <s v="Y"/>
    <n v="2"/>
    <d v="2023-07-05T19:42:29"/>
    <s v="N"/>
    <m/>
    <m/>
    <s v="Expert Disbursement"/>
    <m/>
    <s v="N"/>
    <n v="0"/>
    <n v="-5.5"/>
    <x v="6"/>
    <s v="VALIDATED"/>
    <n v="1"/>
    <s v="01.11.80.308.2013.0000"/>
    <n v="-5.5"/>
    <s v="11"/>
    <s v="2013"/>
    <n v="9538.82"/>
    <n v="-5.5"/>
    <s v="CREDITOR"/>
    <n v="0"/>
    <n v="0"/>
    <n v="-5.5"/>
    <n v="0"/>
    <n v="0"/>
  </r>
  <r>
    <n v="61363037"/>
    <s v="N"/>
    <n v="21356706"/>
    <s v="3000015510900002RC"/>
    <s v="CIVIL"/>
    <d v="2023-06-30T00:00:00"/>
    <d v="2023-07-10T19:47:44"/>
    <m/>
    <d v="2023-07-10T00:00:00"/>
    <n v="1462"/>
    <n v="14783"/>
    <s v="61363037"/>
    <s v="61363037"/>
    <m/>
    <m/>
    <m/>
    <m/>
    <m/>
    <m/>
    <s v="SOLRECOUP"/>
    <s v="SOLRECOUP"/>
    <s v="POARECOUP"/>
    <n v="21356706"/>
    <n v="-1037.76"/>
    <m/>
    <s v="Y"/>
    <n v="1"/>
    <d v="2023-07-10T19:47:46"/>
    <s v="N"/>
    <m/>
    <m/>
    <s v="Profit Cost"/>
    <m/>
    <s v="N"/>
    <n v="-864.8"/>
    <n v="0"/>
    <x v="2"/>
    <s v="VALIDATED"/>
    <n v="1"/>
    <s v="01.11.80.305.2013.0000"/>
    <n v="-864.8"/>
    <s v="11"/>
    <s v="2013"/>
    <n v="9538.82"/>
    <n v="-864.8"/>
    <s v="CREDITOR"/>
    <n v="0"/>
    <n v="0"/>
    <n v="-864.8"/>
    <n v="-216.2"/>
    <n v="0"/>
  </r>
  <r>
    <n v="61363037"/>
    <s v="N"/>
    <n v="21356706"/>
    <s v="3000015510900002RC"/>
    <s v="CIVIL"/>
    <d v="2023-06-30T00:00:00"/>
    <d v="2023-07-10T19:47:44"/>
    <m/>
    <d v="2023-07-10T00:00:00"/>
    <n v="1462"/>
    <n v="14783"/>
    <s v="61363037"/>
    <s v="61363037"/>
    <m/>
    <m/>
    <m/>
    <m/>
    <m/>
    <m/>
    <s v="SOLRECOUP"/>
    <s v="SOLRECOUP"/>
    <s v="POARECOUP"/>
    <n v="21356706"/>
    <n v="-1037.76"/>
    <m/>
    <s v="Y"/>
    <n v="2"/>
    <d v="2023-07-10T19:47:46"/>
    <s v="N"/>
    <m/>
    <m/>
    <s v="Profit Cost"/>
    <m/>
    <s v="N"/>
    <n v="0"/>
    <n v="-172.96"/>
    <x v="2"/>
    <s v="VALIDATED"/>
    <n v="1"/>
    <s v="01.11.80.305.2013.0000"/>
    <n v="-172.96"/>
    <s v="11"/>
    <s v="2013"/>
    <n v="9538.82"/>
    <n v="-172.96"/>
    <s v="CREDITOR"/>
    <n v="0"/>
    <n v="0"/>
    <n v="-172.96"/>
    <n v="-43.24"/>
    <n v="0"/>
  </r>
  <r>
    <n v="59957229"/>
    <s v="N"/>
    <n v="21319075"/>
    <s v="3000014303180006"/>
    <s v="CIVIL"/>
    <d v="2023-06-23T00:00:00"/>
    <d v="2023-07-03T19:01:49"/>
    <m/>
    <d v="2023-07-03T00:00:00"/>
    <n v="1462"/>
    <n v="14783"/>
    <s v="59957229"/>
    <s v="59957229"/>
    <m/>
    <m/>
    <n v="22750644"/>
    <m/>
    <m/>
    <m/>
    <s v="SOLFIN"/>
    <s v="SOLFIN"/>
    <s v="CCMS"/>
    <n v="21319075"/>
    <n v="8145.16"/>
    <m/>
    <s v="N"/>
    <n v="68"/>
    <d v="2023-07-03T19:02:10"/>
    <s v="Y"/>
    <s v="Toxicologist"/>
    <s v="Private Law Children"/>
    <s v="Expert Disbursement"/>
    <s v="Franca Webb"/>
    <s v="Y"/>
    <n v="827"/>
    <n v="165.41"/>
    <x v="3"/>
    <s v="VALIDATED"/>
    <n v="1"/>
    <s v="01.11.80.307.6300.0000"/>
    <n v="827"/>
    <s v="11"/>
    <s v="6300"/>
    <n v="9538.82"/>
    <n v="827"/>
    <s v="CREDITOR"/>
    <n v="0"/>
    <n v="0"/>
    <n v="0"/>
    <n v="0"/>
    <n v="827"/>
  </r>
  <r>
    <n v="59957229"/>
    <s v="N"/>
    <n v="21319075"/>
    <s v="3000014303180006"/>
    <s v="CIVIL"/>
    <d v="2023-06-23T00:00:00"/>
    <d v="2023-07-03T19:01:49"/>
    <m/>
    <d v="2023-07-03T00:00:00"/>
    <n v="1462"/>
    <n v="14783"/>
    <s v="59957229"/>
    <s v="59957229"/>
    <m/>
    <m/>
    <n v="22750644"/>
    <m/>
    <m/>
    <m/>
    <s v="SOLFIN"/>
    <s v="SOLFIN"/>
    <s v="CCMS"/>
    <n v="21319075"/>
    <n v="8145.16"/>
    <m/>
    <s v="N"/>
    <n v="69"/>
    <d v="2023-07-03T19:02:10"/>
    <s v="Y"/>
    <s v="Toxicologist"/>
    <s v="Private Law Children"/>
    <s v="Expert Disbursement"/>
    <s v="Franca Webb"/>
    <s v="Y"/>
    <n v="552"/>
    <n v="110.4"/>
    <x v="3"/>
    <s v="VALIDATED"/>
    <n v="1"/>
    <s v="01.11.80.307.6300.0000"/>
    <n v="552"/>
    <s v="11"/>
    <s v="6300"/>
    <n v="9538.82"/>
    <n v="552"/>
    <s v="CREDITOR"/>
    <n v="0"/>
    <n v="0"/>
    <n v="0"/>
    <n v="0"/>
    <n v="552"/>
  </r>
  <r>
    <n v="59957229"/>
    <s v="N"/>
    <n v="21319075"/>
    <s v="3000014303180006"/>
    <s v="CIVIL"/>
    <d v="2023-06-23T00:00:00"/>
    <d v="2023-07-03T19:01:49"/>
    <m/>
    <d v="2023-07-03T00:00:00"/>
    <n v="1462"/>
    <n v="14783"/>
    <s v="59957229"/>
    <s v="59957229"/>
    <m/>
    <m/>
    <n v="22750644"/>
    <m/>
    <m/>
    <m/>
    <s v="SOLFIN"/>
    <s v="SOLFIN"/>
    <s v="CCMS"/>
    <n v="21319075"/>
    <n v="8145.16"/>
    <m/>
    <s v="N"/>
    <n v="48"/>
    <d v="2023-07-03T19:02:10"/>
    <s v="Y"/>
    <s v="Preparation - drafting pleading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49"/>
    <d v="2023-07-03T19:02:10"/>
    <s v="Y"/>
    <s v="Preparation - drafting pleading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40"/>
    <d v="2023-07-03T19:02:10"/>
    <s v="Y"/>
    <s v="Routine Letter In"/>
    <s v="Prescribed Hourly Rates"/>
    <s v="Profit Cost"/>
    <s v="Franca Webb"/>
    <s v="Y"/>
    <n v="1099.17"/>
    <n v="219.84"/>
    <x v="3"/>
    <s v="VALIDATED"/>
    <n v="1"/>
    <s v="01.11.80.307.6100.0000"/>
    <n v="1099.17"/>
    <s v="11"/>
    <s v="6100"/>
    <n v="9538.82"/>
    <n v="1099.17"/>
    <s v="CREDITOR"/>
    <n v="0"/>
    <n v="0"/>
    <n v="0"/>
    <n v="0"/>
    <n v="1099.17"/>
  </r>
  <r>
    <n v="59957229"/>
    <s v="N"/>
    <n v="21319075"/>
    <s v="3000014303180006"/>
    <s v="CIVIL"/>
    <d v="2023-06-23T00:00:00"/>
    <d v="2023-07-03T19:01:49"/>
    <m/>
    <d v="2023-07-03T00:00:00"/>
    <n v="1462"/>
    <n v="14783"/>
    <s v="59957229"/>
    <s v="59957229"/>
    <m/>
    <m/>
    <n v="22750644"/>
    <m/>
    <m/>
    <m/>
    <s v="SOLFIN"/>
    <s v="SOLFIN"/>
    <s v="CCMS"/>
    <n v="21319075"/>
    <n v="8145.16"/>
    <m/>
    <s v="N"/>
    <n v="10"/>
    <d v="2023-07-03T19:02:10"/>
    <s v="Y"/>
    <s v="Preparation - other"/>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54"/>
    <d v="2023-07-03T19:02:10"/>
    <s v="Y"/>
    <s v="Attendance upon client"/>
    <s v="Prescribed Hourly Rates"/>
    <s v="Profit Cost"/>
    <s v="Franca Webb"/>
    <s v="Y"/>
    <n v="25.25"/>
    <n v="5.05"/>
    <x v="3"/>
    <s v="VALIDATED"/>
    <n v="1"/>
    <s v="01.11.80.307.6100.0000"/>
    <n v="25.25"/>
    <s v="11"/>
    <s v="6100"/>
    <n v="9538.82"/>
    <n v="25.25"/>
    <s v="CREDITOR"/>
    <n v="0"/>
    <n v="0"/>
    <n v="0"/>
    <n v="0"/>
    <n v="25.25"/>
  </r>
  <r>
    <n v="61904982"/>
    <s v="N"/>
    <n v="21331326"/>
    <s v="3000015961050003"/>
    <s v="CIVIL"/>
    <d v="2023-06-28T00:00:00"/>
    <d v="2023-07-05T19:01:47"/>
    <m/>
    <d v="2023-07-05T00:00:00"/>
    <n v="1462"/>
    <n v="14783"/>
    <s v="61904982"/>
    <s v="61904982"/>
    <m/>
    <m/>
    <n v="22775524"/>
    <m/>
    <m/>
    <m/>
    <s v="SOLFIN"/>
    <s v="SOLFIN"/>
    <s v="CCMS"/>
    <n v="21331326"/>
    <n v="5784.92"/>
    <m/>
    <s v="N"/>
    <n v="13"/>
    <d v="2023-07-05T19:02:15"/>
    <s v="Y"/>
    <s v="Hearing Unit 2.31 - 5.00 Hours"/>
    <s v="Public Law Children"/>
    <s v="Advocacy"/>
    <s v="Sarra Gravestock"/>
    <s v="Y"/>
    <n v="476.92"/>
    <n v="95.38"/>
    <x v="6"/>
    <s v="VALIDATED"/>
    <n v="1"/>
    <s v="01.11.80.308.6100.0000"/>
    <n v="476.92"/>
    <s v="11"/>
    <s v="6100"/>
    <n v="9538.82"/>
    <n v="476.92"/>
    <s v="CREDITOR"/>
    <n v="0"/>
    <n v="0"/>
    <n v="0"/>
    <n v="0"/>
    <n v="476.92"/>
  </r>
  <r>
    <n v="59957229"/>
    <s v="N"/>
    <n v="21319075"/>
    <s v="3000014303180006"/>
    <s v="CIVIL"/>
    <d v="2023-06-23T00:00:00"/>
    <d v="2023-07-03T19:01:49"/>
    <m/>
    <d v="2023-07-03T00:00:00"/>
    <n v="1462"/>
    <n v="14783"/>
    <s v="59957229"/>
    <s v="59957229"/>
    <m/>
    <m/>
    <n v="22750644"/>
    <m/>
    <m/>
    <m/>
    <s v="SOLFIN"/>
    <s v="SOLFIN"/>
    <s v="CCMS"/>
    <n v="21319075"/>
    <n v="8145.16"/>
    <m/>
    <s v="N"/>
    <n v="45"/>
    <d v="2023-07-03T19:02:10"/>
    <s v="Y"/>
    <s v="Attendance upon client"/>
    <s v="Prescribed Hourly Rates"/>
    <s v="Profit Cost"/>
    <s v="Franca Webb"/>
    <s v="Y"/>
    <n v="25.25"/>
    <n v="5.05"/>
    <x v="3"/>
    <s v="VALIDATED"/>
    <n v="1"/>
    <s v="01.11.80.307.6100.0000"/>
    <n v="25.25"/>
    <s v="11"/>
    <s v="6100"/>
    <n v="9538.82"/>
    <n v="25.25"/>
    <s v="CREDITOR"/>
    <n v="0"/>
    <n v="0"/>
    <n v="0"/>
    <n v="0"/>
    <n v="25.25"/>
  </r>
  <r>
    <n v="59957229"/>
    <s v="N"/>
    <n v="21319075"/>
    <s v="3000014303180006"/>
    <s v="CIVIL"/>
    <d v="2023-06-23T00:00:00"/>
    <d v="2023-07-03T19:01:49"/>
    <m/>
    <d v="2023-07-03T00:00:00"/>
    <n v="1462"/>
    <n v="14783"/>
    <s v="59957229"/>
    <s v="59957229"/>
    <m/>
    <m/>
    <n v="22750644"/>
    <m/>
    <m/>
    <m/>
    <s v="SOLFIN"/>
    <s v="SOLFIN"/>
    <s v="CCMS"/>
    <n v="21319075"/>
    <n v="8145.16"/>
    <m/>
    <s v="N"/>
    <n v="3"/>
    <d v="2023-07-03T19:02:10"/>
    <s v="Y"/>
    <s v="Preparation - drafting statement"/>
    <s v="Prescribed Hourly Rates"/>
    <s v="Profit Cost"/>
    <s v="Franca Webb"/>
    <s v="Y"/>
    <n v="31.57"/>
    <n v="6.31"/>
    <x v="3"/>
    <s v="VALIDATED"/>
    <n v="1"/>
    <s v="01.11.80.307.6100.0000"/>
    <n v="31.57"/>
    <s v="11"/>
    <s v="6100"/>
    <n v="9538.82"/>
    <n v="31.57"/>
    <s v="CREDITOR"/>
    <n v="0"/>
    <n v="0"/>
    <n v="0"/>
    <n v="0"/>
    <n v="31.57"/>
  </r>
  <r>
    <n v="59957229"/>
    <s v="N"/>
    <n v="21319075"/>
    <s v="3000014303180006"/>
    <s v="CIVIL"/>
    <d v="2023-06-23T00:00:00"/>
    <d v="2023-07-03T19:01:49"/>
    <m/>
    <d v="2023-07-03T00:00:00"/>
    <n v="1462"/>
    <n v="14783"/>
    <s v="59957229"/>
    <s v="59957229"/>
    <m/>
    <m/>
    <n v="22750644"/>
    <m/>
    <m/>
    <m/>
    <s v="SOLFIN"/>
    <s v="SOLFIN"/>
    <s v="CCMS"/>
    <n v="21319075"/>
    <n v="8145.16"/>
    <m/>
    <s v="N"/>
    <n v="37"/>
    <d v="2023-07-03T19:02:10"/>
    <s v="Y"/>
    <s v="Preparation - drafting instructions"/>
    <s v="Prescribed Hourly Rates"/>
    <s v="Profit Cost"/>
    <s v="Franca Webb"/>
    <s v="Y"/>
    <n v="25.25"/>
    <n v="5.05"/>
    <x v="3"/>
    <s v="VALIDATED"/>
    <n v="1"/>
    <s v="01.11.80.307.6100.0000"/>
    <n v="25.25"/>
    <s v="11"/>
    <s v="6100"/>
    <n v="9538.82"/>
    <n v="25.25"/>
    <s v="CREDITOR"/>
    <n v="0"/>
    <n v="0"/>
    <n v="0"/>
    <n v="0"/>
    <n v="25.25"/>
  </r>
  <r>
    <n v="59957229"/>
    <s v="N"/>
    <n v="21319075"/>
    <s v="3000014303180006"/>
    <s v="CIVIL"/>
    <d v="2023-06-23T00:00:00"/>
    <d v="2023-07-03T19:01:49"/>
    <m/>
    <d v="2023-07-03T00:00:00"/>
    <n v="1462"/>
    <n v="14783"/>
    <s v="59957229"/>
    <s v="59957229"/>
    <m/>
    <m/>
    <n v="22750644"/>
    <m/>
    <m/>
    <m/>
    <s v="SOLFIN"/>
    <s v="SOLFIN"/>
    <s v="CCMS"/>
    <n v="21319075"/>
    <n v="8145.16"/>
    <m/>
    <s v="N"/>
    <n v="53"/>
    <d v="2023-07-03T19:02:10"/>
    <s v="Y"/>
    <s v="Preparation - drafting pleadings"/>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60"/>
    <d v="2023-07-03T19:02:10"/>
    <s v="Y"/>
    <s v="Attendance upon client"/>
    <s v="Prescribed Hourly Rates"/>
    <s v="Profit Cost"/>
    <s v="Franca Webb"/>
    <s v="Y"/>
    <n v="37.88"/>
    <n v="7.58"/>
    <x v="3"/>
    <s v="VALIDATED"/>
    <n v="1"/>
    <s v="01.11.80.307.6100.0000"/>
    <n v="37.88"/>
    <s v="11"/>
    <s v="6100"/>
    <n v="9538.82"/>
    <n v="37.88"/>
    <s v="CREDITOR"/>
    <n v="0"/>
    <n v="0"/>
    <n v="0"/>
    <n v="0"/>
    <n v="37.88"/>
  </r>
  <r>
    <n v="59957229"/>
    <s v="N"/>
    <n v="21319075"/>
    <s v="3000014303180006"/>
    <s v="CIVIL"/>
    <d v="2023-06-23T00:00:00"/>
    <d v="2023-07-03T19:01:49"/>
    <m/>
    <d v="2023-07-03T00:00:00"/>
    <n v="1462"/>
    <n v="14783"/>
    <s v="59957229"/>
    <s v="59957229"/>
    <m/>
    <m/>
    <n v="22750644"/>
    <m/>
    <m/>
    <m/>
    <s v="SOLFIN"/>
    <s v="SOLFIN"/>
    <s v="CCMS"/>
    <n v="21319075"/>
    <n v="8145.16"/>
    <m/>
    <s v="N"/>
    <n v="70"/>
    <d v="2023-07-03T19:02:10"/>
    <s v="Y"/>
    <s v="Hearing Unit 2.31 - 5.00 Hours"/>
    <s v="Private Law Children"/>
    <s v="Advocacy"/>
    <s v="Franca Webb"/>
    <s v="Y"/>
    <n v="344.8"/>
    <n v="68.95999999999999"/>
    <x v="3"/>
    <s v="VALIDATED"/>
    <n v="1"/>
    <s v="01.11.80.307.6100.0000"/>
    <n v="344.8"/>
    <s v="11"/>
    <s v="6100"/>
    <n v="9538.82"/>
    <n v="344.8"/>
    <s v="CREDITOR"/>
    <n v="0"/>
    <n v="0"/>
    <n v="0"/>
    <n v="0"/>
    <n v="344.8"/>
  </r>
  <r>
    <n v="59957229"/>
    <s v="N"/>
    <n v="21319075"/>
    <s v="3000014303180006"/>
    <s v="CIVIL"/>
    <d v="2023-06-23T00:00:00"/>
    <d v="2023-07-03T19:01:49"/>
    <m/>
    <d v="2023-07-03T00:00:00"/>
    <n v="1462"/>
    <n v="14783"/>
    <s v="59957229"/>
    <s v="59957229"/>
    <m/>
    <m/>
    <n v="22750644"/>
    <m/>
    <m/>
    <m/>
    <s v="SOLFIN"/>
    <s v="SOLFIN"/>
    <s v="CCMS"/>
    <n v="21319075"/>
    <n v="8145.16"/>
    <m/>
    <s v="N"/>
    <n v="33"/>
    <d v="2023-07-03T19:02:10"/>
    <s v="Y"/>
    <s v="Attendance upon client"/>
    <s v="Prescribed Hourly Rates"/>
    <s v="Profit Cost"/>
    <s v="Franca Webb"/>
    <s v="Y"/>
    <n v="75.76000000000001"/>
    <n v="15.15"/>
    <x v="3"/>
    <s v="VALIDATED"/>
    <n v="1"/>
    <s v="01.11.80.307.6100.0000"/>
    <n v="75.76000000000001"/>
    <s v="11"/>
    <s v="6100"/>
    <n v="9538.82"/>
    <n v="75.76000000000001"/>
    <s v="CREDITOR"/>
    <n v="0"/>
    <n v="0"/>
    <n v="0"/>
    <n v="0"/>
    <n v="75.76000000000001"/>
  </r>
  <r>
    <n v="61904982"/>
    <s v="N"/>
    <n v="21331326"/>
    <s v="3000015961050003"/>
    <s v="CIVIL"/>
    <d v="2023-06-28T00:00:00"/>
    <d v="2023-07-05T19:01:47"/>
    <m/>
    <d v="2023-07-05T00:00:00"/>
    <n v="1462"/>
    <n v="14783"/>
    <s v="61904982"/>
    <s v="61904982"/>
    <m/>
    <m/>
    <n v="22775524"/>
    <m/>
    <m/>
    <m/>
    <s v="SOLFIN"/>
    <s v="SOLFIN"/>
    <s v="CCMS"/>
    <n v="21331326"/>
    <n v="5784.92"/>
    <m/>
    <s v="N"/>
    <n v="9"/>
    <d v="2023-07-05T19:02:15"/>
    <s v="Y"/>
    <s v="Solicitor Travel Expenses"/>
    <s v="Public Law Children"/>
    <s v="Non Expert Disbursement"/>
    <s v="Sarra Gravestock"/>
    <s v="Y"/>
    <n v="4.9"/>
    <n v="0"/>
    <x v="6"/>
    <s v="VALIDATED"/>
    <n v="1"/>
    <s v="01.11.80.308.6300.0000"/>
    <n v="4.9"/>
    <s v="11"/>
    <s v="6300"/>
    <n v="9538.82"/>
    <n v="4.9"/>
    <s v="CREDITOR"/>
    <n v="0"/>
    <n v="0"/>
    <n v="0"/>
    <n v="0"/>
    <n v="4.9"/>
  </r>
  <r>
    <n v="59957229"/>
    <s v="N"/>
    <n v="21319075"/>
    <s v="3000014303180006"/>
    <s v="CIVIL"/>
    <d v="2023-06-23T00:00:00"/>
    <d v="2023-07-03T19:01:49"/>
    <m/>
    <d v="2023-07-03T00:00:00"/>
    <n v="1462"/>
    <n v="14783"/>
    <s v="59957229"/>
    <s v="59957229"/>
    <m/>
    <m/>
    <n v="22750644"/>
    <m/>
    <m/>
    <m/>
    <s v="SOLFIN"/>
    <s v="SOLFIN"/>
    <s v="CCMS"/>
    <n v="21319075"/>
    <n v="8145.16"/>
    <m/>
    <s v="N"/>
    <n v="67"/>
    <d v="2023-07-03T19:02:10"/>
    <s v="Y"/>
    <s v="Police Records"/>
    <s v="Private Law Children"/>
    <s v="Non Expert Disbursement"/>
    <s v="Franca Webb"/>
    <s v="Y"/>
    <n v="75.5"/>
    <n v="15.1"/>
    <x v="3"/>
    <s v="VALIDATED"/>
    <n v="1"/>
    <s v="01.11.80.307.6300.0000"/>
    <n v="75.5"/>
    <s v="11"/>
    <s v="6300"/>
    <n v="9538.82"/>
    <n v="75.5"/>
    <s v="CREDITOR"/>
    <n v="0"/>
    <n v="0"/>
    <n v="0"/>
    <n v="0"/>
    <n v="75.5"/>
  </r>
  <r>
    <n v="59957229"/>
    <s v="N"/>
    <n v="21319075"/>
    <s v="3000014303180006"/>
    <s v="CIVIL"/>
    <d v="2023-06-23T00:00:00"/>
    <d v="2023-07-03T19:01:49"/>
    <m/>
    <d v="2023-07-03T00:00:00"/>
    <n v="1462"/>
    <n v="14783"/>
    <s v="59957229"/>
    <s v="59957229"/>
    <m/>
    <m/>
    <n v="22750644"/>
    <m/>
    <m/>
    <m/>
    <s v="SOLFIN"/>
    <s v="SOLFIN"/>
    <s v="CCMS"/>
    <n v="21319075"/>
    <n v="8145.16"/>
    <m/>
    <s v="N"/>
    <n v="46"/>
    <d v="2023-07-03T19:02:10"/>
    <s v="Y"/>
    <s v="Preparation - drafting pleadings"/>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16"/>
    <d v="2023-07-03T19:02:10"/>
    <s v="Y"/>
    <s v="Preparation - drafting pleading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43"/>
    <d v="2023-07-03T19:02:10"/>
    <s v="Y"/>
    <s v="Preparation - drafting bill/claim f"/>
    <s v="Prescribed Hourly Rates"/>
    <s v="Profit Cost"/>
    <s v="Franca Webb"/>
    <s v="Y"/>
    <n v="94.7"/>
    <n v="18.94"/>
    <x v="3"/>
    <s v="VALIDATED"/>
    <n v="1"/>
    <s v="01.11.80.307.6100.0000"/>
    <n v="94.7"/>
    <s v="11"/>
    <s v="6100"/>
    <n v="9538.82"/>
    <n v="94.7"/>
    <s v="CREDITOR"/>
    <n v="0"/>
    <n v="0"/>
    <n v="0"/>
    <n v="0"/>
    <n v="94.7"/>
  </r>
  <r>
    <n v="59957229"/>
    <s v="N"/>
    <n v="21319075"/>
    <s v="3000014303180006"/>
    <s v="CIVIL"/>
    <d v="2023-06-23T00:00:00"/>
    <d v="2023-07-03T19:01:49"/>
    <m/>
    <d v="2023-07-03T00:00:00"/>
    <n v="1462"/>
    <n v="14783"/>
    <s v="59957229"/>
    <s v="59957229"/>
    <m/>
    <m/>
    <n v="22750644"/>
    <m/>
    <m/>
    <m/>
    <s v="SOLFIN"/>
    <s v="SOLFIN"/>
    <s v="CCMS"/>
    <n v="21319075"/>
    <n v="8145.16"/>
    <m/>
    <s v="N"/>
    <n v="35"/>
    <d v="2023-07-03T19:02:10"/>
    <s v="Y"/>
    <s v="Preparation - drafting pleadings"/>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52"/>
    <d v="2023-07-03T19:02:10"/>
    <s v="Y"/>
    <s v="Preparation - drafting attendance n"/>
    <s v="Prescribed Hourly Rates"/>
    <s v="Profit Cost"/>
    <s v="Franca Webb"/>
    <s v="Y"/>
    <n v="25.25"/>
    <n v="5.05"/>
    <x v="3"/>
    <s v="VALIDATED"/>
    <n v="1"/>
    <s v="01.11.80.307.6100.0000"/>
    <n v="25.25"/>
    <s v="11"/>
    <s v="6100"/>
    <n v="9538.82"/>
    <n v="25.25"/>
    <s v="CREDITOR"/>
    <n v="0"/>
    <n v="0"/>
    <n v="0"/>
    <n v="0"/>
    <n v="25.25"/>
  </r>
  <r>
    <n v="59957229"/>
    <s v="N"/>
    <n v="21319075"/>
    <s v="3000014303180006"/>
    <s v="CIVIL"/>
    <d v="2023-06-23T00:00:00"/>
    <d v="2023-07-03T19:01:49"/>
    <m/>
    <d v="2023-07-03T00:00:00"/>
    <n v="1462"/>
    <n v="14783"/>
    <s v="59957229"/>
    <s v="59957229"/>
    <m/>
    <m/>
    <n v="22750644"/>
    <m/>
    <m/>
    <m/>
    <s v="SOLFIN"/>
    <s v="SOLFIN"/>
    <s v="CCMS"/>
    <n v="21319075"/>
    <n v="8145.16"/>
    <m/>
    <s v="N"/>
    <n v="23"/>
    <d v="2023-07-03T19:02:10"/>
    <s v="Y"/>
    <s v="Attendance upon client"/>
    <s v="Prescribed Hourly Rates"/>
    <s v="Profit Cost"/>
    <s v="Franca Webb"/>
    <s v="Y"/>
    <n v="18.94"/>
    <n v="3.79"/>
    <x v="3"/>
    <s v="VALIDATED"/>
    <n v="1"/>
    <s v="01.11.80.307.6100.0000"/>
    <n v="18.94"/>
    <s v="11"/>
    <s v="6100"/>
    <n v="9538.82"/>
    <n v="18.94"/>
    <s v="CREDITOR"/>
    <n v="0"/>
    <n v="0"/>
    <n v="0"/>
    <n v="0"/>
    <n v="18.94"/>
  </r>
  <r>
    <n v="61904982"/>
    <s v="N"/>
    <n v="21331326"/>
    <s v="3000015961050003"/>
    <s v="CIVIL"/>
    <d v="2023-06-28T00:00:00"/>
    <d v="2023-07-05T19:01:47"/>
    <m/>
    <d v="2023-07-05T00:00:00"/>
    <n v="1462"/>
    <n v="14783"/>
    <s v="61904982"/>
    <s v="61904982"/>
    <m/>
    <m/>
    <n v="22775524"/>
    <m/>
    <m/>
    <m/>
    <s v="SOLFIN"/>
    <s v="SOLFIN"/>
    <s v="CCMS"/>
    <n v="21331326"/>
    <n v="5784.92"/>
    <m/>
    <s v="N"/>
    <n v="8"/>
    <d v="2023-07-05T19:02:15"/>
    <s v="Y"/>
    <s v="Solicitor Travel Mileage"/>
    <s v="Public Law Children"/>
    <s v="Non Expert Disbursement"/>
    <s v="Sarra Gravestock"/>
    <s v="Y"/>
    <n v="9.9"/>
    <n v="1.98"/>
    <x v="6"/>
    <s v="VALIDATED"/>
    <n v="1"/>
    <s v="01.11.80.308.6300.0000"/>
    <n v="9.9"/>
    <s v="11"/>
    <s v="6300"/>
    <n v="9538.82"/>
    <n v="9.9"/>
    <s v="CREDITOR"/>
    <n v="0"/>
    <n v="0"/>
    <n v="0"/>
    <n v="0"/>
    <n v="9.9"/>
  </r>
  <r>
    <n v="59957229"/>
    <s v="N"/>
    <n v="21319075"/>
    <s v="3000014303180006"/>
    <s v="CIVIL"/>
    <d v="2023-06-23T00:00:00"/>
    <d v="2023-07-03T19:01:49"/>
    <m/>
    <d v="2023-07-03T00:00:00"/>
    <n v="1462"/>
    <n v="14783"/>
    <s v="59957229"/>
    <s v="59957229"/>
    <m/>
    <m/>
    <n v="22750644"/>
    <m/>
    <m/>
    <m/>
    <s v="SOLFIN"/>
    <s v="SOLFIN"/>
    <s v="CCMS"/>
    <n v="21319075"/>
    <n v="8145.16"/>
    <m/>
    <s v="N"/>
    <n v="27"/>
    <d v="2023-07-03T19:02:10"/>
    <s v="Y"/>
    <s v="Preparation - other"/>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29"/>
    <d v="2023-07-03T19:02:10"/>
    <s v="Y"/>
    <s v="Preparation - drafting attendance n"/>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1"/>
    <d v="2023-07-03T19:02:10"/>
    <s v="Y"/>
    <s v="Attendance upon client"/>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41"/>
    <d v="2023-07-03T19:02:10"/>
    <s v="Y"/>
    <s v="Routine Letter Out"/>
    <s v="Prescribed Hourly Rates"/>
    <s v="Profit Cost"/>
    <s v="Franca Webb"/>
    <s v="Y"/>
    <n v="1136.43"/>
    <n v="227.27"/>
    <x v="3"/>
    <s v="VALIDATED"/>
    <n v="1"/>
    <s v="01.11.80.307.6100.0000"/>
    <n v="1136.43"/>
    <s v="11"/>
    <s v="6100"/>
    <n v="9538.82"/>
    <n v="1136.43"/>
    <s v="CREDITOR"/>
    <n v="0"/>
    <n v="0"/>
    <n v="0"/>
    <n v="0"/>
    <n v="1136.43"/>
  </r>
  <r>
    <n v="59957229"/>
    <s v="N"/>
    <n v="21319075"/>
    <s v="3000014303180006"/>
    <s v="CIVIL"/>
    <d v="2023-06-23T00:00:00"/>
    <d v="2023-07-03T19:01:49"/>
    <m/>
    <d v="2023-07-03T00:00:00"/>
    <n v="1462"/>
    <n v="14783"/>
    <s v="59957229"/>
    <s v="59957229"/>
    <m/>
    <m/>
    <n v="22750644"/>
    <m/>
    <m/>
    <m/>
    <s v="SOLFIN"/>
    <s v="SOLFIN"/>
    <s v="CCMS"/>
    <n v="21319075"/>
    <n v="8145.16"/>
    <m/>
    <s v="N"/>
    <n v="50"/>
    <d v="2023-07-03T19:02:10"/>
    <s v="Y"/>
    <s v="Attendance upon client"/>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20"/>
    <d v="2023-07-03T19:02:10"/>
    <s v="Y"/>
    <s v="Report - other report"/>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36"/>
    <d v="2023-07-03T19:02:10"/>
    <s v="Y"/>
    <s v="Preparation - other"/>
    <s v="Prescribed Hourly Rates"/>
    <s v="Profit Cost"/>
    <s v="Franca Webb"/>
    <s v="Y"/>
    <n v="12.63"/>
    <n v="2.53"/>
    <x v="3"/>
    <s v="VALIDATED"/>
    <n v="1"/>
    <s v="01.11.80.307.6100.0000"/>
    <n v="12.63"/>
    <s v="11"/>
    <s v="6100"/>
    <n v="9538.82"/>
    <n v="12.63"/>
    <s v="CREDITOR"/>
    <n v="0"/>
    <n v="0"/>
    <n v="0"/>
    <n v="0"/>
    <n v="12.63"/>
  </r>
  <r>
    <n v="61363037"/>
    <s v="N"/>
    <n v="21349864"/>
    <s v="3000015510900005"/>
    <s v="CIVIL"/>
    <d v="2023-06-30T00:00:00"/>
    <d v="2023-07-10T19:01:40"/>
    <m/>
    <d v="2023-07-10T00:00:00"/>
    <n v="1462"/>
    <n v="14783"/>
    <s v="61363037"/>
    <s v="61363037"/>
    <m/>
    <m/>
    <n v="22794092"/>
    <m/>
    <m/>
    <m/>
    <s v="SOLFIN"/>
    <s v="SOLFIN"/>
    <s v="CCMS"/>
    <n v="21349864"/>
    <n v="1297.2"/>
    <m/>
    <s v="N"/>
    <n v="1"/>
    <d v="2023-07-10T19:02:00"/>
    <s v="Y"/>
    <s v="Solicitors Fixed Fee"/>
    <s v="Public Law Children"/>
    <s v="Profit Cost"/>
    <s v="Sarra Gravestock"/>
    <s v="Y"/>
    <n v="1081"/>
    <n v="216.2"/>
    <x v="2"/>
    <s v="VALIDATED"/>
    <n v="1"/>
    <s v="01.11.80.305.6100.0000"/>
    <n v="1081"/>
    <s v="11"/>
    <s v="6100"/>
    <n v="9538.82"/>
    <n v="1081"/>
    <s v="CREDITOR"/>
    <n v="0"/>
    <n v="0"/>
    <n v="0"/>
    <n v="0"/>
    <n v="1081"/>
  </r>
  <r>
    <n v="59957229"/>
    <s v="N"/>
    <n v="21319075"/>
    <s v="3000014303180006"/>
    <s v="CIVIL"/>
    <d v="2023-06-23T00:00:00"/>
    <d v="2023-07-03T19:01:49"/>
    <m/>
    <d v="2023-07-03T00:00:00"/>
    <n v="1462"/>
    <n v="14783"/>
    <s v="59957229"/>
    <s v="59957229"/>
    <m/>
    <m/>
    <n v="22750644"/>
    <m/>
    <m/>
    <m/>
    <s v="SOLFIN"/>
    <s v="SOLFIN"/>
    <s v="CCMS"/>
    <n v="21319075"/>
    <n v="8145.16"/>
    <m/>
    <s v="N"/>
    <n v="31"/>
    <d v="2023-07-03T19:02:10"/>
    <s v="Y"/>
    <s v="Preparation - drafting pleadings"/>
    <s v="Prescribed Hourly Rates"/>
    <s v="Profit Cost"/>
    <s v="Franca Webb"/>
    <s v="Y"/>
    <n v="63.14"/>
    <n v="12.63"/>
    <x v="3"/>
    <s v="VALIDATED"/>
    <n v="1"/>
    <s v="01.11.80.307.6100.0000"/>
    <n v="63.14"/>
    <s v="11"/>
    <s v="6100"/>
    <n v="9538.82"/>
    <n v="63.14"/>
    <s v="CREDITOR"/>
    <n v="0"/>
    <n v="0"/>
    <n v="0"/>
    <n v="0"/>
    <n v="63.14"/>
  </r>
  <r>
    <n v="59957229"/>
    <s v="N"/>
    <n v="21319075"/>
    <s v="3000014303180006"/>
    <s v="CIVIL"/>
    <d v="2023-06-23T00:00:00"/>
    <d v="2023-07-03T19:01:49"/>
    <m/>
    <d v="2023-07-03T00:00:00"/>
    <n v="1462"/>
    <n v="14783"/>
    <s v="59957229"/>
    <s v="59957229"/>
    <m/>
    <m/>
    <n v="22750644"/>
    <m/>
    <m/>
    <m/>
    <s v="SOLFIN"/>
    <s v="SOLFIN"/>
    <s v="CCMS"/>
    <n v="21319075"/>
    <n v="8145.16"/>
    <m/>
    <s v="N"/>
    <n v="34"/>
    <d v="2023-07-03T19:02:10"/>
    <s v="Y"/>
    <s v="Preparation - drafting statement"/>
    <s v="Prescribed Hourly Rates"/>
    <s v="Profit Cost"/>
    <s v="Franca Webb"/>
    <s v="Y"/>
    <n v="12.63"/>
    <n v="2.53"/>
    <x v="3"/>
    <s v="VALIDATED"/>
    <n v="1"/>
    <s v="01.11.80.307.6100.0000"/>
    <n v="12.63"/>
    <s v="11"/>
    <s v="6100"/>
    <n v="9538.82"/>
    <n v="12.63"/>
    <s v="CREDITOR"/>
    <n v="0"/>
    <n v="0"/>
    <n v="0"/>
    <n v="0"/>
    <n v="12.63"/>
  </r>
  <r>
    <n v="61904982"/>
    <s v="N"/>
    <n v="21331326"/>
    <s v="3000015961050003"/>
    <s v="CIVIL"/>
    <d v="2023-06-28T00:00:00"/>
    <d v="2023-07-05T19:01:47"/>
    <m/>
    <d v="2023-07-05T00:00:00"/>
    <n v="1462"/>
    <n v="14783"/>
    <s v="61904982"/>
    <s v="61904982"/>
    <m/>
    <m/>
    <n v="22775524"/>
    <m/>
    <m/>
    <m/>
    <s v="SOLFIN"/>
    <s v="SOLFIN"/>
    <s v="CCMS"/>
    <n v="21331326"/>
    <n v="5784.92"/>
    <m/>
    <s v="N"/>
    <n v="14"/>
    <d v="2023-07-05T19:02:15"/>
    <s v="Y"/>
    <s v="Solicitors Fixed Fee"/>
    <s v="Public Law Children"/>
    <s v="Profit Cost"/>
    <s v="Sarra Gravestock"/>
    <s v="Y"/>
    <n v="3020"/>
    <n v="604"/>
    <x v="6"/>
    <s v="VALIDATED"/>
    <n v="1"/>
    <s v="01.11.80.308.6100.0000"/>
    <n v="3020"/>
    <s v="11"/>
    <s v="6100"/>
    <n v="9538.82"/>
    <n v="3020"/>
    <s v="CREDITOR"/>
    <n v="0"/>
    <n v="0"/>
    <n v="0"/>
    <n v="0"/>
    <n v="3020"/>
  </r>
  <r>
    <n v="59957229"/>
    <s v="N"/>
    <n v="21319075"/>
    <s v="3000014303180006"/>
    <s v="CIVIL"/>
    <d v="2023-06-23T00:00:00"/>
    <d v="2023-07-03T19:01:49"/>
    <m/>
    <d v="2023-07-03T00:00:00"/>
    <n v="1462"/>
    <n v="14783"/>
    <s v="59957229"/>
    <s v="59957229"/>
    <m/>
    <m/>
    <n v="22750644"/>
    <m/>
    <m/>
    <m/>
    <s v="SOLFIN"/>
    <s v="SOLFIN"/>
    <s v="CCMS"/>
    <n v="21319075"/>
    <n v="8145.16"/>
    <m/>
    <s v="N"/>
    <n v="66"/>
    <d v="2023-07-03T19:02:10"/>
    <s v="Y"/>
    <s v="Court Fee"/>
    <s v="Private Law Children"/>
    <s v="Non Expert Disbursement"/>
    <s v="Franca Webb"/>
    <s v="Y"/>
    <n v="232"/>
    <n v="0"/>
    <x v="3"/>
    <s v="VALIDATED"/>
    <n v="1"/>
    <s v="01.11.80.307.6300.0000"/>
    <n v="232"/>
    <s v="11"/>
    <s v="6300"/>
    <n v="9538.82"/>
    <n v="232"/>
    <s v="CREDITOR"/>
    <n v="0"/>
    <n v="0"/>
    <n v="0"/>
    <n v="0"/>
    <n v="232"/>
  </r>
  <r>
    <n v="59957229"/>
    <s v="N"/>
    <n v="21319075"/>
    <s v="3000014303180006"/>
    <s v="CIVIL"/>
    <d v="2023-06-23T00:00:00"/>
    <d v="2023-07-03T19:01:49"/>
    <m/>
    <d v="2023-07-03T00:00:00"/>
    <n v="1462"/>
    <n v="14783"/>
    <s v="59957229"/>
    <s v="59957229"/>
    <m/>
    <m/>
    <n v="22750644"/>
    <m/>
    <m/>
    <m/>
    <s v="SOLFIN"/>
    <s v="SOLFIN"/>
    <s v="CCMS"/>
    <n v="21319075"/>
    <n v="8145.16"/>
    <m/>
    <s v="N"/>
    <n v="73"/>
    <d v="2023-07-03T19:02:10"/>
    <s v="N"/>
    <s v="Level 3 &amp; Level 4 Fixed Fee"/>
    <s v="Private Law Children"/>
    <s v="Profit Cost"/>
    <s v="Franca Webb"/>
    <s v="N"/>
    <n v="0"/>
    <n v="0"/>
    <x v="3"/>
    <s v="VALIDATED"/>
    <n v="1"/>
    <s v="01.11.80.307.6100.0000"/>
    <n v="0"/>
    <s v="11"/>
    <s v="6100"/>
    <n v="9538.82"/>
    <n v="0"/>
    <s v="CREDITOR"/>
    <n v="0"/>
    <n v="0"/>
    <n v="0"/>
    <n v="0"/>
    <n v="0"/>
  </r>
  <r>
    <n v="59957229"/>
    <s v="N"/>
    <n v="21319075"/>
    <s v="3000014303180006"/>
    <s v="CIVIL"/>
    <d v="2023-06-23T00:00:00"/>
    <d v="2023-07-03T19:01:49"/>
    <m/>
    <d v="2023-07-03T00:00:00"/>
    <n v="1462"/>
    <n v="14783"/>
    <s v="59957229"/>
    <s v="59957229"/>
    <m/>
    <m/>
    <n v="22750644"/>
    <m/>
    <m/>
    <m/>
    <s v="SOLFIN"/>
    <s v="SOLFIN"/>
    <s v="CCMS"/>
    <n v="21319075"/>
    <n v="8145.16"/>
    <m/>
    <s v="N"/>
    <n v="13"/>
    <d v="2023-07-03T19:02:10"/>
    <s v="Y"/>
    <s v="Preparation - drafting pleadings"/>
    <s v="Prescribed Hourly Rates"/>
    <s v="Profit Cost"/>
    <s v="Franca Webb"/>
    <s v="Y"/>
    <n v="12.63"/>
    <n v="2.53"/>
    <x v="3"/>
    <s v="VALIDATED"/>
    <n v="1"/>
    <s v="01.11.80.307.6100.0000"/>
    <n v="12.63"/>
    <s v="11"/>
    <s v="6100"/>
    <n v="9538.82"/>
    <n v="12.63"/>
    <s v="CREDITOR"/>
    <n v="0"/>
    <n v="0"/>
    <n v="0"/>
    <n v="0"/>
    <n v="12.63"/>
  </r>
  <r>
    <n v="59957229"/>
    <s v="N"/>
    <n v="21319075"/>
    <s v="3000014303180006"/>
    <s v="CIVIL"/>
    <d v="2023-06-23T00:00:00"/>
    <d v="2023-07-03T19:01:49"/>
    <m/>
    <d v="2023-07-03T00:00:00"/>
    <n v="1462"/>
    <n v="14783"/>
    <s v="59957229"/>
    <s v="59957229"/>
    <m/>
    <m/>
    <n v="22750644"/>
    <m/>
    <m/>
    <m/>
    <s v="SOLFIN"/>
    <s v="SOLFIN"/>
    <s v="CCMS"/>
    <n v="21319075"/>
    <n v="8145.16"/>
    <m/>
    <s v="N"/>
    <n v="26"/>
    <d v="2023-07-03T19:02:10"/>
    <s v="Y"/>
    <s v="Preparation - drafting statement"/>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63"/>
    <d v="2023-07-03T19:02:10"/>
    <s v="Y"/>
    <s v="Preparation - drafting pleading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4"/>
    <d v="2023-07-03T19:02:10"/>
    <s v="Y"/>
    <s v="Preparation - drafting notice(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6"/>
    <d v="2023-07-03T19:02:10"/>
    <s v="Y"/>
    <s v="Preparation - drafting statement"/>
    <s v="Prescribed Hourly Rates"/>
    <s v="Profit Cost"/>
    <s v="Franca Webb"/>
    <s v="Y"/>
    <n v="12.63"/>
    <n v="2.53"/>
    <x v="3"/>
    <s v="VALIDATED"/>
    <n v="1"/>
    <s v="01.11.80.307.6100.0000"/>
    <n v="12.63"/>
    <s v="11"/>
    <s v="6100"/>
    <n v="9538.82"/>
    <n v="12.63"/>
    <s v="CREDITOR"/>
    <n v="0"/>
    <n v="0"/>
    <n v="0"/>
    <n v="0"/>
    <n v="12.63"/>
  </r>
  <r>
    <n v="61904982"/>
    <s v="N"/>
    <n v="21331326"/>
    <s v="3000015961050003"/>
    <s v="CIVIL"/>
    <d v="2023-06-28T00:00:00"/>
    <d v="2023-07-05T19:01:47"/>
    <m/>
    <d v="2023-07-05T00:00:00"/>
    <n v="1462"/>
    <n v="14783"/>
    <s v="61904982"/>
    <s v="61904982"/>
    <m/>
    <m/>
    <n v="22775524"/>
    <m/>
    <m/>
    <m/>
    <s v="SOLFIN"/>
    <s v="SOLFIN"/>
    <s v="CCMS"/>
    <n v="21331326"/>
    <n v="5784.92"/>
    <m/>
    <s v="N"/>
    <n v="10"/>
    <d v="2023-07-05T19:02:15"/>
    <s v="Y"/>
    <s v="Solicitor Travel Mileage"/>
    <s v="Public Law Children"/>
    <s v="Non Expert Disbursement"/>
    <s v="Sarra Gravestock"/>
    <s v="Y"/>
    <n v="9.9"/>
    <n v="1.98"/>
    <x v="6"/>
    <s v="VALIDATED"/>
    <n v="1"/>
    <s v="01.11.80.308.6300.0000"/>
    <n v="9.9"/>
    <s v="11"/>
    <s v="6300"/>
    <n v="9538.82"/>
    <n v="9.9"/>
    <s v="CREDITOR"/>
    <n v="0"/>
    <n v="0"/>
    <n v="0"/>
    <n v="0"/>
    <n v="9.9"/>
  </r>
  <r>
    <n v="59957229"/>
    <s v="N"/>
    <n v="21319075"/>
    <s v="3000014303180006"/>
    <s v="CIVIL"/>
    <d v="2023-06-23T00:00:00"/>
    <d v="2023-07-03T19:01:49"/>
    <m/>
    <d v="2023-07-03T00:00:00"/>
    <n v="1462"/>
    <n v="14783"/>
    <s v="59957229"/>
    <s v="59957229"/>
    <m/>
    <m/>
    <n v="22750644"/>
    <m/>
    <m/>
    <m/>
    <s v="SOLFIN"/>
    <s v="SOLFIN"/>
    <s v="CCMS"/>
    <n v="21319075"/>
    <n v="8145.16"/>
    <m/>
    <s v="N"/>
    <n v="39"/>
    <d v="2023-07-03T19:02:10"/>
    <s v="Y"/>
    <s v="Preparation - drafting pleadings"/>
    <s v="Prescribed Hourly Rates"/>
    <s v="Profit Cost"/>
    <s v="Franca Webb"/>
    <s v="Y"/>
    <n v="50.51"/>
    <n v="10.1"/>
    <x v="3"/>
    <s v="VALIDATED"/>
    <n v="1"/>
    <s v="01.11.80.307.6100.0000"/>
    <n v="50.51"/>
    <s v="11"/>
    <s v="6100"/>
    <n v="9538.82"/>
    <n v="50.51"/>
    <s v="CREDITOR"/>
    <n v="0"/>
    <n v="0"/>
    <n v="0"/>
    <n v="0"/>
    <n v="50.51"/>
  </r>
  <r>
    <n v="59957229"/>
    <s v="N"/>
    <n v="21319075"/>
    <s v="3000014303180006"/>
    <s v="CIVIL"/>
    <d v="2023-06-23T00:00:00"/>
    <d v="2023-07-03T19:01:49"/>
    <m/>
    <d v="2023-07-03T00:00:00"/>
    <n v="1462"/>
    <n v="14783"/>
    <s v="59957229"/>
    <s v="59957229"/>
    <m/>
    <m/>
    <n v="22750644"/>
    <m/>
    <m/>
    <m/>
    <s v="SOLFIN"/>
    <s v="SOLFIN"/>
    <s v="CCMS"/>
    <n v="21319075"/>
    <n v="8145.16"/>
    <m/>
    <s v="N"/>
    <n v="15"/>
    <d v="2023-07-03T19:02:10"/>
    <s v="Y"/>
    <s v="Report - Welfare report"/>
    <s v="Prescribed Hourly Rates"/>
    <s v="Profit Cost"/>
    <s v="Franca Webb"/>
    <s v="Y"/>
    <n v="18.94"/>
    <n v="3.79"/>
    <x v="3"/>
    <s v="VALIDATED"/>
    <n v="1"/>
    <s v="01.11.80.307.6100.0000"/>
    <n v="18.94"/>
    <s v="11"/>
    <s v="6100"/>
    <n v="9538.82"/>
    <n v="18.94"/>
    <s v="CREDITOR"/>
    <n v="0"/>
    <n v="0"/>
    <n v="0"/>
    <n v="0"/>
    <n v="18.94"/>
  </r>
  <r>
    <n v="61904982"/>
    <s v="N"/>
    <n v="21331326"/>
    <s v="3000015961050003"/>
    <s v="CIVIL"/>
    <d v="2023-06-28T00:00:00"/>
    <d v="2023-07-05T19:01:47"/>
    <m/>
    <d v="2023-07-05T00:00:00"/>
    <n v="1462"/>
    <n v="14783"/>
    <s v="61904982"/>
    <s v="61904982"/>
    <m/>
    <m/>
    <n v="22775524"/>
    <m/>
    <m/>
    <m/>
    <s v="SOLFIN"/>
    <s v="SOLFIN"/>
    <s v="CCMS"/>
    <n v="21331326"/>
    <n v="5784.92"/>
    <m/>
    <s v="N"/>
    <n v="11"/>
    <d v="2023-07-05T19:02:15"/>
    <s v="Y"/>
    <s v="Final Hearing - 1 Day"/>
    <s v="Public Law Children"/>
    <s v="Advocacy"/>
    <s v="Sarra Gravestock"/>
    <s v="Y"/>
    <n v="556.88"/>
    <n v="111.38"/>
    <x v="6"/>
    <s v="VALIDATED"/>
    <n v="1"/>
    <s v="01.11.80.308.6100.0000"/>
    <n v="556.88"/>
    <s v="11"/>
    <s v="6100"/>
    <n v="9538.82"/>
    <n v="556.88"/>
    <s v="CREDITOR"/>
    <n v="0"/>
    <n v="0"/>
    <n v="0"/>
    <n v="0"/>
    <n v="556.88"/>
  </r>
  <r>
    <n v="59957229"/>
    <s v="N"/>
    <n v="21319075"/>
    <s v="3000014303180006"/>
    <s v="CIVIL"/>
    <d v="2023-06-23T00:00:00"/>
    <d v="2023-07-03T19:01:49"/>
    <m/>
    <d v="2023-07-03T00:00:00"/>
    <n v="1462"/>
    <n v="14783"/>
    <s v="59957229"/>
    <s v="59957229"/>
    <m/>
    <m/>
    <n v="22750644"/>
    <m/>
    <m/>
    <m/>
    <s v="SOLFIN"/>
    <s v="SOLFIN"/>
    <s v="CCMS"/>
    <n v="21319075"/>
    <n v="8145.16"/>
    <m/>
    <s v="N"/>
    <n v="25"/>
    <d v="2023-07-03T19:02:10"/>
    <s v="Y"/>
    <s v="Attendance upon client"/>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32"/>
    <d v="2023-07-03T19:02:10"/>
    <s v="Y"/>
    <s v="Preparation - drafting application"/>
    <s v="Prescribed Hourly Rates"/>
    <s v="Profit Cost"/>
    <s v="Franca Webb"/>
    <s v="Y"/>
    <n v="31.57"/>
    <n v="6.31"/>
    <x v="3"/>
    <s v="VALIDATED"/>
    <n v="1"/>
    <s v="01.11.80.307.6100.0000"/>
    <n v="31.57"/>
    <s v="11"/>
    <s v="6100"/>
    <n v="9538.82"/>
    <n v="31.57"/>
    <s v="CREDITOR"/>
    <n v="0"/>
    <n v="0"/>
    <n v="0"/>
    <n v="0"/>
    <n v="31.57"/>
  </r>
  <r>
    <n v="59957229"/>
    <s v="N"/>
    <n v="21319075"/>
    <s v="3000014303180006"/>
    <s v="CIVIL"/>
    <d v="2023-06-23T00:00:00"/>
    <d v="2023-07-03T19:01:49"/>
    <m/>
    <d v="2023-07-03T00:00:00"/>
    <n v="1462"/>
    <n v="14783"/>
    <s v="59957229"/>
    <s v="59957229"/>
    <m/>
    <m/>
    <n v="22750644"/>
    <m/>
    <m/>
    <m/>
    <s v="SOLFIN"/>
    <s v="SOLFIN"/>
    <s v="CCMS"/>
    <n v="21319075"/>
    <n v="8145.16"/>
    <m/>
    <s v="N"/>
    <n v="58"/>
    <d v="2023-07-03T19:02:10"/>
    <s v="Y"/>
    <s v="Attendance upon client"/>
    <s v="Prescribed Hourly Rates"/>
    <s v="Profit Cost"/>
    <s v="Franca Webb"/>
    <s v="Y"/>
    <n v="44.19"/>
    <n v="8.84"/>
    <x v="3"/>
    <s v="VALIDATED"/>
    <n v="1"/>
    <s v="01.11.80.307.6100.0000"/>
    <n v="44.19"/>
    <s v="11"/>
    <s v="6100"/>
    <n v="9538.82"/>
    <n v="44.19"/>
    <s v="CREDITOR"/>
    <n v="0"/>
    <n v="0"/>
    <n v="0"/>
    <n v="0"/>
    <n v="44.19"/>
  </r>
  <r>
    <n v="62073970"/>
    <s v="N"/>
    <n v="21322381"/>
    <s v="3000016105720005"/>
    <s v="CIVIL"/>
    <d v="2023-06-29T00:00:00"/>
    <d v="2023-07-03T19:05:36"/>
    <m/>
    <d v="2023-07-03T00:00:00"/>
    <n v="1462"/>
    <n v="14783"/>
    <s v="62073970"/>
    <s v="62073970"/>
    <m/>
    <m/>
    <n v="22792422"/>
    <m/>
    <m/>
    <m/>
    <s v="SOLPOA"/>
    <s v="SOLPOA"/>
    <s v="CCMS"/>
    <n v="21322381"/>
    <n v="207.36"/>
    <m/>
    <s v="N"/>
    <n v="1"/>
    <d v="2023-07-03T19:05:37"/>
    <s v="N"/>
    <s v="Expert Cost"/>
    <s v="Expert Cost"/>
    <s v="Expert Disbursement"/>
    <s v="Sarra Gravestock"/>
    <s v="N"/>
    <n v="172.8"/>
    <n v="34.56"/>
    <x v="3"/>
    <s v="VALIDATED"/>
    <n v="1"/>
    <s v="01.11.80.308.2012.0000"/>
    <n v="172.8"/>
    <s v="11"/>
    <s v="2012"/>
    <n v="9538.82"/>
    <n v="172.8"/>
    <s v="CREDITOR"/>
    <n v="172.8"/>
    <n v="0"/>
    <n v="0"/>
    <n v="0"/>
    <n v="0"/>
  </r>
  <r>
    <n v="59957229"/>
    <s v="N"/>
    <n v="21319075"/>
    <s v="3000014303180006"/>
    <s v="CIVIL"/>
    <d v="2023-06-23T00:00:00"/>
    <d v="2023-07-03T19:01:49"/>
    <m/>
    <d v="2023-07-03T00:00:00"/>
    <n v="1462"/>
    <n v="14783"/>
    <s v="59957229"/>
    <s v="59957229"/>
    <m/>
    <m/>
    <n v="22750644"/>
    <m/>
    <m/>
    <m/>
    <s v="SOLFIN"/>
    <s v="SOLFIN"/>
    <s v="CCMS"/>
    <n v="21319075"/>
    <n v="8145.16"/>
    <m/>
    <s v="N"/>
    <n v="24"/>
    <d v="2023-07-03T19:02:10"/>
    <s v="Y"/>
    <s v="Preparation - drafting notice(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2"/>
    <d v="2023-07-03T19:02:10"/>
    <s v="Y"/>
    <s v="Preparation - drafting pleadings"/>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5"/>
    <d v="2023-07-03T19:02:10"/>
    <s v="Y"/>
    <s v="Preparation - other"/>
    <s v="Prescribed Hourly Rates"/>
    <s v="Profit Cost"/>
    <s v="Franca Webb"/>
    <s v="Y"/>
    <n v="6.31"/>
    <n v="1.26"/>
    <x v="3"/>
    <s v="VALIDATED"/>
    <n v="1"/>
    <s v="01.11.80.307.6100.0000"/>
    <n v="6.31"/>
    <s v="11"/>
    <s v="6100"/>
    <n v="9538.82"/>
    <n v="6.31"/>
    <s v="CREDITOR"/>
    <n v="0"/>
    <n v="0"/>
    <n v="0"/>
    <n v="0"/>
    <n v="6.31"/>
  </r>
  <r>
    <n v="59957229"/>
    <s v="N"/>
    <n v="21319075"/>
    <s v="3000014303180006"/>
    <s v="CIVIL"/>
    <d v="2023-06-23T00:00:00"/>
    <d v="2023-07-03T19:01:49"/>
    <m/>
    <d v="2023-07-03T00:00:00"/>
    <n v="1462"/>
    <n v="14783"/>
    <s v="59957229"/>
    <s v="59957229"/>
    <m/>
    <m/>
    <n v="22750644"/>
    <m/>
    <m/>
    <m/>
    <s v="SOLFIN"/>
    <s v="SOLFIN"/>
    <s v="CCMS"/>
    <n v="21319075"/>
    <n v="8145.16"/>
    <m/>
    <s v="N"/>
    <n v="65"/>
    <d v="2023-07-03T19:02:10"/>
    <s v="Y"/>
    <s v="Court Fee"/>
    <s v="Private Law Children"/>
    <s v="Non Expert Disbursement"/>
    <s v="Franca Webb"/>
    <s v="Y"/>
    <n v="26.5"/>
    <n v="0"/>
    <x v="3"/>
    <s v="VALIDATED"/>
    <n v="1"/>
    <s v="01.11.80.307.6300.0000"/>
    <n v="26.5"/>
    <s v="11"/>
    <s v="6300"/>
    <n v="9538.82"/>
    <n v="26.5"/>
    <s v="CREDITOR"/>
    <n v="0"/>
    <n v="0"/>
    <n v="0"/>
    <n v="0"/>
    <n v="26.5"/>
  </r>
  <r>
    <n v="59957229"/>
    <s v="N"/>
    <n v="21319075"/>
    <s v="3000014303180006"/>
    <s v="CIVIL"/>
    <d v="2023-06-23T00:00:00"/>
    <d v="2023-07-03T19:01:49"/>
    <m/>
    <d v="2023-07-03T00:00:00"/>
    <n v="1462"/>
    <n v="14783"/>
    <s v="59957229"/>
    <s v="59957229"/>
    <m/>
    <m/>
    <n v="22750644"/>
    <m/>
    <m/>
    <m/>
    <s v="SOLFIN"/>
    <s v="SOLFIN"/>
    <s v="CCMS"/>
    <n v="21319075"/>
    <n v="8145.16"/>
    <m/>
    <s v="N"/>
    <n v="8"/>
    <d v="2023-07-03T19:02:10"/>
    <s v="Y"/>
    <s v="Preparation - drafting statement"/>
    <s v="Prescribed Hourly Rates"/>
    <s v="Profit Cost"/>
    <s v="Franca Webb"/>
    <s v="Y"/>
    <n v="18.94"/>
    <n v="3.79"/>
    <x v="3"/>
    <s v="VALIDATED"/>
    <n v="1"/>
    <s v="01.11.80.307.6100.0000"/>
    <n v="18.94"/>
    <s v="11"/>
    <s v="6100"/>
    <n v="9538.82"/>
    <n v="18.94"/>
    <s v="CREDITOR"/>
    <n v="0"/>
    <n v="0"/>
    <n v="0"/>
    <n v="0"/>
    <n v="18.94"/>
  </r>
  <r>
    <n v="59957229"/>
    <s v="N"/>
    <n v="21319075"/>
    <s v="3000014303180006"/>
    <s v="CIVIL"/>
    <d v="2023-06-23T00:00:00"/>
    <d v="2023-07-03T19:01:49"/>
    <m/>
    <d v="2023-07-03T00:00:00"/>
    <n v="1462"/>
    <n v="14783"/>
    <s v="59957229"/>
    <s v="59957229"/>
    <m/>
    <m/>
    <n v="22750644"/>
    <m/>
    <m/>
    <m/>
    <s v="SOLFIN"/>
    <s v="SOLFIN"/>
    <s v="CCMS"/>
    <n v="21319075"/>
    <n v="8145.16"/>
    <m/>
    <s v="N"/>
    <n v="18"/>
    <d v="2023-07-03T19:02:10"/>
    <s v="Y"/>
    <s v="Preparation - other"/>
    <s v="Prescribed Hourly Rates"/>
    <s v="Profit Cost"/>
    <s v="Franca Webb"/>
    <s v="Y"/>
    <n v="25.25"/>
    <n v="5.05"/>
    <x v="3"/>
    <s v="VALIDATED"/>
    <n v="1"/>
    <s v="01.11.80.307.6100.0000"/>
    <n v="25.25"/>
    <s v="11"/>
    <s v="6100"/>
    <n v="9538.82"/>
    <n v="25.25"/>
    <s v="CREDITOR"/>
    <n v="0"/>
    <n v="0"/>
    <n v="0"/>
    <n v="0"/>
    <n v="25.25"/>
  </r>
  <r>
    <n v="61904982"/>
    <s v="N"/>
    <n v="21331326"/>
    <s v="3000015961050003"/>
    <s v="CIVIL"/>
    <d v="2023-06-28T00:00:00"/>
    <d v="2023-07-05T19:01:47"/>
    <m/>
    <d v="2023-07-05T00:00:00"/>
    <n v="1462"/>
    <n v="14783"/>
    <s v="61904982"/>
    <s v="61904982"/>
    <m/>
    <m/>
    <n v="22775524"/>
    <m/>
    <m/>
    <m/>
    <s v="SOLFIN"/>
    <s v="SOLFIN"/>
    <s v="CCMS"/>
    <n v="21331326"/>
    <n v="5784.92"/>
    <m/>
    <s v="N"/>
    <n v="12"/>
    <d v="2023-07-05T19:02:15"/>
    <s v="Y"/>
    <s v="Hearing Unit 1.01 - 2.30 Hours"/>
    <s v="Public Law Children"/>
    <s v="Advocacy"/>
    <s v="Sarra Gravestock"/>
    <s v="Y"/>
    <n v="238.46"/>
    <n v="47.69"/>
    <x v="6"/>
    <s v="VALIDATED"/>
    <n v="1"/>
    <s v="01.11.80.308.6100.0000"/>
    <n v="238.46"/>
    <s v="11"/>
    <s v="6100"/>
    <n v="9538.82"/>
    <n v="238.46"/>
    <s v="CREDITOR"/>
    <n v="0"/>
    <n v="0"/>
    <n v="0"/>
    <n v="0"/>
    <n v="238.46"/>
  </r>
  <r>
    <n v="59957229"/>
    <s v="N"/>
    <n v="21319075"/>
    <s v="3000014303180006"/>
    <s v="CIVIL"/>
    <d v="2023-06-23T00:00:00"/>
    <d v="2023-07-03T19:01:49"/>
    <m/>
    <d v="2023-07-03T00:00:00"/>
    <n v="1462"/>
    <n v="14783"/>
    <s v="59957229"/>
    <s v="59957229"/>
    <m/>
    <m/>
    <n v="22750644"/>
    <m/>
    <m/>
    <m/>
    <s v="SOLFIN"/>
    <s v="SOLFIN"/>
    <s v="CCMS"/>
    <n v="21319075"/>
    <n v="8145.16"/>
    <m/>
    <s v="N"/>
    <n v="19"/>
    <d v="2023-07-03T19:02:10"/>
    <s v="Y"/>
    <s v="Report - other report"/>
    <s v="Prescribed Hourly Rates"/>
    <s v="Profit Cost"/>
    <s v="Franca Webb"/>
    <s v="Y"/>
    <n v="18.94"/>
    <n v="3.79"/>
    <x v="3"/>
    <s v="VALIDATED"/>
    <n v="1"/>
    <s v="01.11.80.307.6100.0000"/>
    <n v="18.94"/>
    <s v="11"/>
    <s v="6100"/>
    <n v="9538.82"/>
    <n v="18.94"/>
    <s v="CREDITOR"/>
    <n v="0"/>
    <n v="0"/>
    <n v="0"/>
    <n v="0"/>
    <n v="18.94"/>
  </r>
  <r>
    <n v="61904982"/>
    <s v="N"/>
    <n v="21331326"/>
    <s v="3000015961050003"/>
    <s v="CIVIL"/>
    <d v="2023-06-28T00:00:00"/>
    <d v="2023-07-05T19:01:47"/>
    <m/>
    <d v="2023-07-05T00:00:00"/>
    <n v="1462"/>
    <n v="14783"/>
    <s v="61904982"/>
    <s v="61904982"/>
    <m/>
    <m/>
    <n v="22775524"/>
    <m/>
    <m/>
    <m/>
    <s v="SOLFIN"/>
    <s v="SOLFIN"/>
    <s v="CCMS"/>
    <n v="21331326"/>
    <n v="5784.92"/>
    <m/>
    <s v="N"/>
    <n v="6"/>
    <d v="2023-07-05T19:02:15"/>
    <s v="Y"/>
    <s v="Solicitor Travel Mileage"/>
    <s v="Public Law Children"/>
    <s v="Non Expert Disbursement"/>
    <s v="Sarra Gravestock"/>
    <s v="Y"/>
    <n v="40.5"/>
    <n v="8.1"/>
    <x v="6"/>
    <s v="VALIDATED"/>
    <n v="1"/>
    <s v="01.11.80.308.6300.0000"/>
    <n v="40.5"/>
    <s v="11"/>
    <s v="6300"/>
    <n v="9538.82"/>
    <n v="40.5"/>
    <s v="CREDITOR"/>
    <n v="0"/>
    <n v="0"/>
    <n v="0"/>
    <n v="0"/>
    <n v="40.5"/>
  </r>
  <r>
    <n v="59957229"/>
    <s v="N"/>
    <n v="21319075"/>
    <s v="3000014303180006"/>
    <s v="CIVIL"/>
    <d v="2023-06-23T00:00:00"/>
    <d v="2023-07-03T19:01:49"/>
    <m/>
    <d v="2023-07-03T00:00:00"/>
    <n v="1462"/>
    <n v="14783"/>
    <s v="59957229"/>
    <s v="59957229"/>
    <m/>
    <m/>
    <n v="22750644"/>
    <m/>
    <m/>
    <m/>
    <s v="SOLFIN"/>
    <s v="SOLFIN"/>
    <s v="CCMS"/>
    <n v="21319075"/>
    <n v="8145.16"/>
    <m/>
    <s v="N"/>
    <n v="71"/>
    <d v="2023-07-03T19:02:10"/>
    <s v="Y"/>
    <s v="Hearing Unit 2.31 - 5.00 Hours"/>
    <s v="Private Law Children"/>
    <s v="Advocacy"/>
    <s v="Franca Webb"/>
    <s v="Y"/>
    <n v="344.8"/>
    <n v="68.95999999999999"/>
    <x v="3"/>
    <s v="VALIDATED"/>
    <n v="1"/>
    <s v="01.11.80.307.6100.0000"/>
    <n v="344.8"/>
    <s v="11"/>
    <s v="6100"/>
    <n v="9538.82"/>
    <n v="344.8"/>
    <s v="CREDITOR"/>
    <n v="0"/>
    <n v="0"/>
    <n v="0"/>
    <n v="0"/>
    <n v="344.8"/>
  </r>
  <r>
    <n v="59957229"/>
    <s v="N"/>
    <n v="21319075"/>
    <s v="3000014303180006"/>
    <s v="CIVIL"/>
    <d v="2023-06-23T00:00:00"/>
    <d v="2023-07-03T19:01:49"/>
    <m/>
    <d v="2023-07-03T00:00:00"/>
    <n v="1462"/>
    <n v="14783"/>
    <s v="59957229"/>
    <s v="59957229"/>
    <m/>
    <m/>
    <n v="22750644"/>
    <m/>
    <m/>
    <m/>
    <s v="SOLFIN"/>
    <s v="SOLFIN"/>
    <s v="CCMS"/>
    <n v="21319075"/>
    <n v="8145.16"/>
    <m/>
    <s v="N"/>
    <n v="59"/>
    <d v="2023-07-03T19:02:10"/>
    <s v="Y"/>
    <s v="Preparation - other"/>
    <s v="Prescribed Hourly Rates"/>
    <s v="Profit Cost"/>
    <s v="Franca Webb"/>
    <s v="Y"/>
    <n v="25.25"/>
    <n v="5.05"/>
    <x v="3"/>
    <s v="VALIDATED"/>
    <n v="1"/>
    <s v="01.11.80.307.6100.0000"/>
    <n v="25.25"/>
    <s v="11"/>
    <s v="6100"/>
    <n v="9538.82"/>
    <n v="25.25"/>
    <s v="CREDITOR"/>
    <n v="0"/>
    <n v="0"/>
    <n v="0"/>
    <n v="0"/>
    <n v="25.25"/>
  </r>
  <r>
    <n v="61904982"/>
    <s v="N"/>
    <n v="21331326"/>
    <s v="3000015961050003"/>
    <s v="CIVIL"/>
    <d v="2023-06-28T00:00:00"/>
    <d v="2023-07-05T19:01:47"/>
    <m/>
    <d v="2023-07-05T00:00:00"/>
    <n v="1462"/>
    <n v="14783"/>
    <s v="61904982"/>
    <s v="61904982"/>
    <m/>
    <m/>
    <n v="22775524"/>
    <m/>
    <m/>
    <m/>
    <s v="SOLFIN"/>
    <s v="SOLFIN"/>
    <s v="CCMS"/>
    <n v="21331326"/>
    <n v="5784.92"/>
    <m/>
    <s v="N"/>
    <n v="2"/>
    <d v="2023-07-05T19:02:15"/>
    <s v="Y"/>
    <s v="Toxicologist"/>
    <s v="Public Law Children"/>
    <s v="Expert Disbursement"/>
    <s v="Sarra Gravestock"/>
    <s v="Y"/>
    <n v="259.26"/>
    <n v="51.85"/>
    <x v="6"/>
    <s v="VALIDATED"/>
    <n v="1"/>
    <s v="01.11.80.308.6300.0000"/>
    <n v="259.26"/>
    <s v="11"/>
    <s v="6300"/>
    <n v="9538.82"/>
    <n v="259.26"/>
    <s v="CREDITOR"/>
    <n v="0"/>
    <n v="0"/>
    <n v="0"/>
    <n v="0"/>
    <n v="259.26"/>
  </r>
  <r>
    <n v="59957229"/>
    <s v="N"/>
    <n v="21319075"/>
    <s v="3000014303180006"/>
    <s v="CIVIL"/>
    <d v="2023-06-23T00:00:00"/>
    <d v="2023-07-03T19:01:49"/>
    <m/>
    <d v="2023-07-03T00:00:00"/>
    <n v="1462"/>
    <n v="14783"/>
    <s v="59957229"/>
    <s v="59957229"/>
    <m/>
    <m/>
    <n v="22750644"/>
    <m/>
    <m/>
    <m/>
    <s v="SOLFIN"/>
    <s v="SOLFIN"/>
    <s v="CCMS"/>
    <n v="21319075"/>
    <n v="8145.16"/>
    <m/>
    <s v="N"/>
    <n v="22"/>
    <d v="2023-07-03T19:02:10"/>
    <s v="Y"/>
    <s v="Report - other"/>
    <s v="Prescribed Hourly Rates"/>
    <s v="Profit Cost"/>
    <s v="Franca Webb"/>
    <s v="Y"/>
    <n v="18.94"/>
    <n v="3.79"/>
    <x v="3"/>
    <s v="VALIDATED"/>
    <n v="1"/>
    <s v="01.11.80.307.6100.0000"/>
    <n v="18.94"/>
    <s v="11"/>
    <s v="6100"/>
    <n v="9538.82"/>
    <n v="18.94"/>
    <s v="CREDITOR"/>
    <n v="0"/>
    <n v="0"/>
    <n v="0"/>
    <n v="0"/>
    <n v="18.94"/>
  </r>
  <r>
    <n v="61904982"/>
    <s v="N"/>
    <n v="21331326"/>
    <s v="3000015961050003"/>
    <s v="CIVIL"/>
    <d v="2023-06-28T00:00:00"/>
    <d v="2023-07-05T19:01:47"/>
    <m/>
    <d v="2023-07-05T00:00:00"/>
    <n v="1462"/>
    <n v="14783"/>
    <s v="61904982"/>
    <s v="61904982"/>
    <m/>
    <m/>
    <n v="22775524"/>
    <m/>
    <m/>
    <m/>
    <s v="SOLFIN"/>
    <s v="SOLFIN"/>
    <s v="CCMS"/>
    <n v="21331326"/>
    <n v="5784.92"/>
    <m/>
    <s v="N"/>
    <n v="4"/>
    <d v="2023-07-05T19:02:15"/>
    <s v="Y"/>
    <s v="Solicitor Travel Expenses"/>
    <s v="Public Law Children"/>
    <s v="Non Expert Disbursement"/>
    <s v="Sarra Gravestock"/>
    <s v="Y"/>
    <n v="4.9"/>
    <n v="0"/>
    <x v="6"/>
    <s v="VALIDATED"/>
    <n v="1"/>
    <s v="01.11.80.308.6300.0000"/>
    <n v="4.9"/>
    <s v="11"/>
    <s v="6300"/>
    <n v="9538.82"/>
    <n v="4.9"/>
    <s v="CREDITOR"/>
    <n v="0"/>
    <n v="0"/>
    <n v="0"/>
    <n v="0"/>
    <n v="4.9"/>
  </r>
  <r>
    <n v="60684612"/>
    <s v="N"/>
    <n v="21320031"/>
    <s v="3000014854530013"/>
    <s v="CIVIL"/>
    <d v="2023-06-27T00:00:00"/>
    <d v="2023-07-03T19:04:24"/>
    <m/>
    <d v="2023-07-03T00:00:00"/>
    <n v="1466"/>
    <n v="19640"/>
    <s v="60684612"/>
    <s v="60684612"/>
    <m/>
    <m/>
    <n v="22771018"/>
    <m/>
    <m/>
    <m/>
    <s v="SOLPOA"/>
    <s v="SOLPOA"/>
    <s v="CCMS"/>
    <n v="21320031"/>
    <n v="167"/>
    <m/>
    <s v="N"/>
    <n v="1"/>
    <d v="2023-07-03T19:04:29"/>
    <s v="N"/>
    <s v="Non Expert Disbursement - Private L"/>
    <s v="Non Expert Disbursement - Priv"/>
    <s v="Non Expert Disbursement"/>
    <s v="Hazel Bacon"/>
    <s v="N"/>
    <n v="167"/>
    <n v="0"/>
    <x v="3"/>
    <s v="VALIDATED"/>
    <n v="1"/>
    <s v="01.11.80.307.2012.0000"/>
    <n v="167"/>
    <s v="11"/>
    <s v="2012"/>
    <n v="3653.52"/>
    <n v="167"/>
    <s v="CREDITOR"/>
    <n v="167"/>
    <n v="0"/>
    <n v="0"/>
    <n v="0"/>
    <n v="0"/>
  </r>
  <r>
    <n v="61381246"/>
    <s v="N"/>
    <n v="21318918"/>
    <s v="3000015526250010"/>
    <s v="CIVIL"/>
    <d v="2023-06-19T00:00:00"/>
    <d v="2023-07-03T19:01:49"/>
    <m/>
    <d v="2023-07-03T00:00:00"/>
    <n v="1466"/>
    <n v="19640"/>
    <s v="61381246"/>
    <s v="61381246"/>
    <m/>
    <m/>
    <n v="22717844"/>
    <m/>
    <m/>
    <m/>
    <s v="SOLPOA"/>
    <s v="SOLPOA"/>
    <s v="CCMS"/>
    <n v="21318918"/>
    <n v="1783.42"/>
    <m/>
    <s v="N"/>
    <n v="1"/>
    <d v="2023-07-03T19:02:05"/>
    <s v="N"/>
    <s v="Expert Cost - Private Law Children"/>
    <s v="Expert Cost - Private Law Chil"/>
    <s v="Expert Disbursement"/>
    <s v="CANSFORD LABS"/>
    <s v="N"/>
    <n v="1486.18"/>
    <n v="297.24"/>
    <x v="3"/>
    <s v="VALIDATED"/>
    <n v="1"/>
    <s v="01.11.80.307.2012.0000"/>
    <n v="1486.18"/>
    <s v="11"/>
    <s v="2012"/>
    <n v="3653.52"/>
    <n v="1486.18"/>
    <s v="CREDITOR"/>
    <n v="1486.18"/>
    <n v="0"/>
    <n v="0"/>
    <n v="0"/>
    <n v="0"/>
  </r>
  <r>
    <n v="61872789"/>
    <s v="N"/>
    <n v="21321930"/>
    <s v="3000015935930007"/>
    <s v="CIVIL"/>
    <d v="2023-06-29T00:00:00"/>
    <d v="2023-07-03T19:05:17"/>
    <m/>
    <d v="2023-07-03T00:00:00"/>
    <n v="1466"/>
    <n v="19640"/>
    <s v="61872789"/>
    <s v="61872789"/>
    <m/>
    <m/>
    <n v="22785692"/>
    <m/>
    <m/>
    <m/>
    <s v="SOLPOA"/>
    <s v="SOLPOA"/>
    <s v="CCMS"/>
    <n v="21321930"/>
    <n v="1046.15"/>
    <m/>
    <s v="N"/>
    <n v="1"/>
    <d v="2023-07-03T19:05:21"/>
    <s v="N"/>
    <s v="Expert Cost"/>
    <s v="Expert Cost"/>
    <s v="Expert Disbursement"/>
    <s v="Gayle McCoubrey"/>
    <s v="N"/>
    <n v="1046.15"/>
    <n v="0"/>
    <x v="3"/>
    <s v="VALIDATED"/>
    <n v="1"/>
    <s v="01.11.80.308.2012.0000"/>
    <n v="1046.15"/>
    <s v="11"/>
    <s v="2012"/>
    <n v="3653.52"/>
    <n v="1046.15"/>
    <s v="CREDITOR"/>
    <n v="1046.15"/>
    <n v="0"/>
    <n v="0"/>
    <n v="0"/>
    <n v="0"/>
  </r>
  <r>
    <n v="61608357"/>
    <s v="N"/>
    <n v="21318925"/>
    <s v="3000015714950007"/>
    <s v="CIVIL"/>
    <d v="2023-06-19T00:00:00"/>
    <d v="2023-07-03T19:01:49"/>
    <m/>
    <d v="2023-07-03T00:00:00"/>
    <n v="1466"/>
    <n v="19640"/>
    <s v="61608357"/>
    <s v="61608357"/>
    <m/>
    <m/>
    <n v="22716846"/>
    <m/>
    <m/>
    <m/>
    <s v="SOLPOA"/>
    <s v="SOLPOA"/>
    <s v="CCMS"/>
    <n v="21318925"/>
    <n v="167"/>
    <m/>
    <s v="N"/>
    <n v="1"/>
    <d v="2023-07-03T19:02:05"/>
    <s v="N"/>
    <s v="Non Expert Disbursement"/>
    <s v="Non Expert Disbursement"/>
    <s v="Non Expert Disbursement"/>
    <s v="Court Fee"/>
    <s v="N"/>
    <n v="167"/>
    <n v="0"/>
    <x v="3"/>
    <s v="VALIDATED"/>
    <n v="1"/>
    <s v="01.11.80.308.2012.0000"/>
    <n v="167"/>
    <s v="11"/>
    <s v="2012"/>
    <n v="3653.52"/>
    <n v="167"/>
    <s v="CREDITOR"/>
    <n v="167"/>
    <n v="0"/>
    <n v="0"/>
    <n v="0"/>
    <n v="0"/>
  </r>
  <r>
    <n v="60605319"/>
    <s v="N"/>
    <n v="21328168"/>
    <s v="3000014864990001"/>
    <s v="CIVIL"/>
    <d v="2023-06-05T00:00:00"/>
    <d v="2023-07-04T19:00:44"/>
    <m/>
    <d v="2023-07-04T00:00:00"/>
    <n v="1466"/>
    <n v="19640"/>
    <s v="60605319"/>
    <s v="60605319"/>
    <m/>
    <m/>
    <n v="22616438"/>
    <m/>
    <m/>
    <m/>
    <s v="SOLFIN"/>
    <s v="SOLFIN"/>
    <s v="CCMS"/>
    <n v="21328168"/>
    <n v="423.6"/>
    <m/>
    <s v="N"/>
    <n v="1"/>
    <d v="2023-07-04T19:01:07"/>
    <s v="Y"/>
    <s v="Level 3 Fixed Fee"/>
    <s v="Private Law Children"/>
    <s v="Profit Cost"/>
    <s v="Hazel Bacon"/>
    <s v="Y"/>
    <n v="353"/>
    <n v="70.59999999999999"/>
    <x v="1"/>
    <s v="VALIDATED"/>
    <n v="1"/>
    <s v="01.11.80.307.6100.0000"/>
    <n v="353"/>
    <s v="11"/>
    <s v="6100"/>
    <n v="3653.52"/>
    <n v="353"/>
    <s v="CREDITOR"/>
    <n v="0"/>
    <n v="0"/>
    <n v="0"/>
    <n v="0"/>
    <n v="353"/>
  </r>
  <r>
    <n v="61608357"/>
    <s v="N"/>
    <n v="21318874"/>
    <s v="3000015714950006"/>
    <s v="CIVIL"/>
    <d v="2023-06-21T00:00:00"/>
    <d v="2023-07-03T19:01:49"/>
    <m/>
    <d v="2023-07-03T00:00:00"/>
    <n v="1466"/>
    <n v="19640"/>
    <s v="61608357"/>
    <s v="61608357"/>
    <m/>
    <m/>
    <n v="22737950"/>
    <m/>
    <m/>
    <m/>
    <s v="SOLPOA"/>
    <s v="SOLPOA"/>
    <s v="CCMS"/>
    <n v="21318874"/>
    <n v="167"/>
    <m/>
    <s v="N"/>
    <n v="1"/>
    <d v="2023-07-03T19:02:04"/>
    <s v="N"/>
    <s v="Non Expert Disbursement"/>
    <s v="Non Expert Disbursement"/>
    <s v="Non Expert Disbursement"/>
    <s v="COURT FEE"/>
    <s v="N"/>
    <n v="167"/>
    <n v="0"/>
    <x v="3"/>
    <s v="VALIDATED"/>
    <n v="1"/>
    <s v="01.11.80.308.2012.0000"/>
    <n v="167"/>
    <s v="11"/>
    <s v="2012"/>
    <n v="3653.52"/>
    <n v="167"/>
    <s v="CREDITOR"/>
    <n v="167"/>
    <n v="0"/>
    <n v="0"/>
    <n v="0"/>
    <n v="0"/>
  </r>
  <r>
    <n v="62441545"/>
    <s v="N"/>
    <n v="21320088"/>
    <s v="3000016405280001"/>
    <s v="CIVIL"/>
    <d v="2023-06-27T00:00:00"/>
    <d v="2023-07-03T19:04:24"/>
    <m/>
    <d v="2023-07-03T00:00:00"/>
    <n v="1466"/>
    <n v="19640"/>
    <s v="62441545"/>
    <s v="62441545"/>
    <m/>
    <m/>
    <n v="22775288"/>
    <m/>
    <m/>
    <m/>
    <s v="SOLPOA"/>
    <s v="SOLPOA"/>
    <s v="CCMS"/>
    <n v="21320088"/>
    <n v="100.19"/>
    <m/>
    <s v="N"/>
    <n v="1"/>
    <d v="2023-07-03T19:04:29"/>
    <s v="N"/>
    <s v="Expert Cost - Domestic Abuse"/>
    <s v="Expert Cost - Domestic Abuse"/>
    <s v="Expert Disbursement"/>
    <s v="Kristy Shea"/>
    <s v="N"/>
    <n v="100.19"/>
    <n v="0"/>
    <x v="3"/>
    <s v="VALIDATED"/>
    <n v="1"/>
    <s v="01.11.80.302.2012.0000"/>
    <n v="100.19"/>
    <s v="11"/>
    <s v="2012"/>
    <n v="3653.52"/>
    <n v="100.19"/>
    <s v="CREDITOR"/>
    <n v="100.19"/>
    <n v="0"/>
    <n v="0"/>
    <n v="0"/>
    <n v="0"/>
  </r>
  <r>
    <n v="60684612"/>
    <s v="N"/>
    <n v="21319948"/>
    <s v="3000014854530012"/>
    <s v="CIVIL"/>
    <d v="2023-06-27T00:00:00"/>
    <d v="2023-07-03T19:04:24"/>
    <m/>
    <d v="2023-07-03T00:00:00"/>
    <n v="1466"/>
    <n v="19640"/>
    <s v="60684612"/>
    <s v="60684612"/>
    <m/>
    <m/>
    <n v="22770990"/>
    <m/>
    <m/>
    <m/>
    <s v="SOLPOA"/>
    <s v="SOLPOA"/>
    <s v="CCMS"/>
    <n v="21319948"/>
    <n v="167"/>
    <m/>
    <s v="N"/>
    <n v="1"/>
    <d v="2023-07-03T19:04:28"/>
    <s v="N"/>
    <s v="Non Expert Disbursement - Private L"/>
    <s v="Non Expert Disbursement - Priv"/>
    <s v="Non Expert Disbursement"/>
    <s v="Hazel Bacon"/>
    <s v="N"/>
    <n v="167"/>
    <n v="0"/>
    <x v="3"/>
    <s v="VALIDATED"/>
    <n v="1"/>
    <s v="01.11.80.307.2012.0000"/>
    <n v="167"/>
    <s v="11"/>
    <s v="2012"/>
    <n v="3653.52"/>
    <n v="167"/>
    <s v="CREDITOR"/>
    <n v="167"/>
    <n v="0"/>
    <n v="0"/>
    <n v="0"/>
    <n v="0"/>
  </r>
  <r>
    <n v="19817648"/>
    <s v="N"/>
    <n v="21346465"/>
    <s v="3000008335380011RC"/>
    <s v="CIVIL"/>
    <d v="2023-06-26T00:00:00"/>
    <d v="2023-07-07T19:34:21"/>
    <m/>
    <d v="2023-07-07T00:00:00"/>
    <n v="1471"/>
    <n v="19663"/>
    <s v="19817648"/>
    <s v="19817648"/>
    <m/>
    <m/>
    <m/>
    <m/>
    <m/>
    <m/>
    <s v="SOLRECOUP"/>
    <s v="SOLRECOUP"/>
    <s v="POARECOUP"/>
    <n v="21346465"/>
    <n v="-220.8"/>
    <m/>
    <s v="Y"/>
    <n v="1"/>
    <d v="2023-07-07T19:34:23"/>
    <s v="N"/>
    <m/>
    <m/>
    <s v="Expert Disbursement"/>
    <m/>
    <s v="N"/>
    <n v="-184"/>
    <n v="0"/>
    <x v="9"/>
    <s v="VALIDATED"/>
    <n v="1"/>
    <s v="01.11.80.308.2013.0000"/>
    <n v="-184"/>
    <s v="11"/>
    <s v="2013"/>
    <n v="7036.05"/>
    <n v="-184"/>
    <s v="CREDITOR"/>
    <n v="0"/>
    <n v="0"/>
    <n v="-184"/>
    <n v="0"/>
    <n v="0"/>
  </r>
  <r>
    <n v="19817648"/>
    <s v="N"/>
    <n v="21346465"/>
    <s v="3000008335380011RC"/>
    <s v="CIVIL"/>
    <d v="2023-06-26T00:00:00"/>
    <d v="2023-07-07T19:34:21"/>
    <m/>
    <d v="2023-07-07T00:00:00"/>
    <n v="1471"/>
    <n v="19663"/>
    <s v="19817648"/>
    <s v="19817648"/>
    <m/>
    <m/>
    <m/>
    <m/>
    <m/>
    <m/>
    <s v="SOLRECOUP"/>
    <s v="SOLRECOUP"/>
    <s v="POARECOUP"/>
    <n v="21346465"/>
    <n v="-220.8"/>
    <m/>
    <s v="Y"/>
    <n v="2"/>
    <d v="2023-07-07T19:34:23"/>
    <s v="N"/>
    <m/>
    <m/>
    <s v="Expert Disbursement"/>
    <m/>
    <s v="N"/>
    <n v="0"/>
    <n v="-36.8"/>
    <x v="9"/>
    <s v="VALIDATED"/>
    <n v="1"/>
    <s v="01.11.80.308.2013.0000"/>
    <n v="-36.8"/>
    <s v="11"/>
    <s v="2013"/>
    <n v="7036.05"/>
    <n v="-36.8"/>
    <s v="CREDITOR"/>
    <n v="0"/>
    <n v="0"/>
    <n v="-36.8"/>
    <n v="0"/>
    <n v="0"/>
  </r>
  <r>
    <n v="19817648"/>
    <s v="N"/>
    <n v="21346466"/>
    <s v="3000008335380012RC"/>
    <s v="CIVIL"/>
    <d v="2023-06-26T00:00:00"/>
    <d v="2023-07-07T19:34:21"/>
    <m/>
    <d v="2023-07-07T00:00:00"/>
    <n v="1471"/>
    <n v="19663"/>
    <s v="19817648"/>
    <s v="19817648"/>
    <m/>
    <m/>
    <m/>
    <m/>
    <m/>
    <m/>
    <s v="SOLRECOUP"/>
    <s v="SOLRECOUP"/>
    <s v="POARECOUP"/>
    <n v="21346466"/>
    <n v="-112.32"/>
    <m/>
    <s v="Y"/>
    <n v="1"/>
    <d v="2023-07-07T19:34:23"/>
    <s v="N"/>
    <m/>
    <m/>
    <s v="Expert Disbursement"/>
    <m/>
    <s v="N"/>
    <n v="-93.59999999999999"/>
    <n v="0"/>
    <x v="9"/>
    <s v="VALIDATED"/>
    <n v="1"/>
    <s v="01.11.80.308.2013.0000"/>
    <n v="-93.59999999999999"/>
    <s v="11"/>
    <s v="2013"/>
    <n v="7036.05"/>
    <n v="-93.59999999999999"/>
    <s v="CREDITOR"/>
    <n v="0"/>
    <n v="0"/>
    <n v="-93.59999999999999"/>
    <n v="0"/>
    <n v="0"/>
  </r>
  <r>
    <n v="19817648"/>
    <s v="N"/>
    <n v="21346466"/>
    <s v="3000008335380012RC"/>
    <s v="CIVIL"/>
    <d v="2023-06-26T00:00:00"/>
    <d v="2023-07-07T19:34:21"/>
    <m/>
    <d v="2023-07-07T00:00:00"/>
    <n v="1471"/>
    <n v="19663"/>
    <s v="19817648"/>
    <s v="19817648"/>
    <m/>
    <m/>
    <m/>
    <m/>
    <m/>
    <m/>
    <s v="SOLRECOUP"/>
    <s v="SOLRECOUP"/>
    <s v="POARECOUP"/>
    <n v="21346466"/>
    <n v="-112.32"/>
    <m/>
    <s v="Y"/>
    <n v="2"/>
    <d v="2023-07-07T19:34:23"/>
    <s v="N"/>
    <m/>
    <m/>
    <s v="Expert Disbursement"/>
    <m/>
    <s v="N"/>
    <n v="0"/>
    <n v="-18.72"/>
    <x v="9"/>
    <s v="VALIDATED"/>
    <n v="1"/>
    <s v="01.11.80.308.2013.0000"/>
    <n v="-18.72"/>
    <s v="11"/>
    <s v="2013"/>
    <n v="7036.05"/>
    <n v="-18.72"/>
    <s v="CREDITOR"/>
    <n v="0"/>
    <n v="0"/>
    <n v="-18.72"/>
    <n v="0"/>
    <n v="0"/>
  </r>
  <r>
    <n v="19817648"/>
    <s v="N"/>
    <n v="21346467"/>
    <s v="3000008335380013RC"/>
    <s v="CIVIL"/>
    <d v="2023-06-26T00:00:00"/>
    <d v="2023-07-07T19:34:21"/>
    <m/>
    <d v="2023-07-07T00:00:00"/>
    <n v="1471"/>
    <n v="19663"/>
    <s v="19817648"/>
    <s v="19817648"/>
    <m/>
    <m/>
    <m/>
    <m/>
    <m/>
    <m/>
    <s v="SOLRECOUP"/>
    <s v="SOLRECOUP"/>
    <s v="POARECOUP"/>
    <n v="21346467"/>
    <n v="-4186.67"/>
    <m/>
    <s v="Y"/>
    <n v="1"/>
    <d v="2023-07-07T19:34:23"/>
    <s v="N"/>
    <m/>
    <m/>
    <s v="Profit Cost"/>
    <m/>
    <s v="N"/>
    <n v="-3488.89"/>
    <n v="0"/>
    <x v="9"/>
    <s v="VALIDATED"/>
    <n v="1"/>
    <s v="01.11.80.308.2013.0000"/>
    <n v="-3488.89"/>
    <s v="11"/>
    <s v="2013"/>
    <n v="7036.05"/>
    <n v="-3488.89"/>
    <s v="CREDITOR"/>
    <n v="0"/>
    <n v="0"/>
    <n v="-3488.89"/>
    <n v="-872.2225"/>
    <n v="0"/>
  </r>
  <r>
    <n v="19817648"/>
    <s v="N"/>
    <n v="21346467"/>
    <s v="3000008335380013RC"/>
    <s v="CIVIL"/>
    <d v="2023-06-26T00:00:00"/>
    <d v="2023-07-07T19:34:21"/>
    <m/>
    <d v="2023-07-07T00:00:00"/>
    <n v="1471"/>
    <n v="19663"/>
    <s v="19817648"/>
    <s v="19817648"/>
    <m/>
    <m/>
    <m/>
    <m/>
    <m/>
    <m/>
    <s v="SOLRECOUP"/>
    <s v="SOLRECOUP"/>
    <s v="POARECOUP"/>
    <n v="21346467"/>
    <n v="-4186.67"/>
    <m/>
    <s v="Y"/>
    <n v="2"/>
    <d v="2023-07-07T19:34:23"/>
    <s v="N"/>
    <m/>
    <m/>
    <s v="Profit Cost"/>
    <m/>
    <s v="N"/>
    <n v="0"/>
    <n v="-697.78"/>
    <x v="9"/>
    <s v="VALIDATED"/>
    <n v="1"/>
    <s v="01.11.80.308.2013.0000"/>
    <n v="-697.78"/>
    <s v="11"/>
    <s v="2013"/>
    <n v="7036.05"/>
    <n v="-697.78"/>
    <s v="CREDITOR"/>
    <n v="0"/>
    <n v="0"/>
    <n v="-697.78"/>
    <n v="-174.445"/>
    <n v="0"/>
  </r>
  <r>
    <n v="19817648"/>
    <s v="N"/>
    <n v="21346468"/>
    <s v="3000008335380014RC"/>
    <s v="CIVIL"/>
    <d v="2023-06-26T00:00:00"/>
    <d v="2023-07-07T19:34:21"/>
    <m/>
    <d v="2023-07-07T00:00:00"/>
    <n v="1471"/>
    <n v="19663"/>
    <s v="19817648"/>
    <s v="19817648"/>
    <m/>
    <m/>
    <m/>
    <m/>
    <m/>
    <m/>
    <s v="SOLRECOUP"/>
    <s v="SOLRECOUP"/>
    <s v="POARECOUP"/>
    <n v="21346468"/>
    <n v="-677.35"/>
    <m/>
    <s v="Y"/>
    <n v="1"/>
    <d v="2023-07-07T19:34:23"/>
    <s v="N"/>
    <m/>
    <m/>
    <s v="Expert Disbursement"/>
    <m/>
    <s v="N"/>
    <n v="-677.35"/>
    <n v="0"/>
    <x v="9"/>
    <s v="VALIDATED"/>
    <n v="1"/>
    <s v="01.11.80.308.2013.0000"/>
    <n v="-677.35"/>
    <s v="11"/>
    <s v="2013"/>
    <n v="7036.05"/>
    <n v="-677.35"/>
    <s v="CREDITOR"/>
    <n v="0"/>
    <n v="0"/>
    <n v="-677.35"/>
    <n v="0"/>
    <n v="0"/>
  </r>
  <r>
    <n v="19817648"/>
    <s v="N"/>
    <n v="21346468"/>
    <s v="3000008335380014RC"/>
    <s v="CIVIL"/>
    <d v="2023-06-26T00:00:00"/>
    <d v="2023-07-07T19:34:21"/>
    <m/>
    <d v="2023-07-07T00:00:00"/>
    <n v="1471"/>
    <n v="19663"/>
    <s v="19817648"/>
    <s v="19817648"/>
    <m/>
    <m/>
    <m/>
    <m/>
    <m/>
    <m/>
    <s v="SOLRECOUP"/>
    <s v="SOLRECOUP"/>
    <s v="POARECOUP"/>
    <n v="21346468"/>
    <n v="-677.35"/>
    <m/>
    <s v="Y"/>
    <n v="2"/>
    <d v="2023-07-07T19:34:23"/>
    <s v="N"/>
    <m/>
    <m/>
    <s v="Expert Disbursement"/>
    <m/>
    <s v="N"/>
    <n v="0"/>
    <n v="0"/>
    <x v="9"/>
    <s v="VALIDATED"/>
    <n v="1"/>
    <s v="01.11.80.000.0000.0000"/>
    <n v="0"/>
    <s v="11"/>
    <s v="0000"/>
    <n v="7036.05"/>
    <n v="0"/>
    <s v="CREDITOR"/>
    <n v="0"/>
    <n v="0"/>
    <n v="0"/>
    <n v="0"/>
    <n v="0"/>
  </r>
  <r>
    <n v="19817648"/>
    <s v="N"/>
    <n v="21343229"/>
    <s v="3000008335380015"/>
    <s v="CIVIL"/>
    <d v="2023-06-26T00:00:00"/>
    <d v="2023-07-07T19:03:00"/>
    <m/>
    <d v="2023-07-07T00:00:00"/>
    <n v="1471"/>
    <n v="19663"/>
    <s v="19817648"/>
    <s v="19817648"/>
    <m/>
    <m/>
    <n v="22760304"/>
    <m/>
    <m/>
    <m/>
    <s v="SOLFIN"/>
    <s v="SOLFIN"/>
    <s v="CCMS"/>
    <n v="21343229"/>
    <n v="22333.01"/>
    <m/>
    <s v="N"/>
    <n v="30"/>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1"/>
    <d v="2023-07-07T19:03:05"/>
    <s v="Y"/>
    <s v="Interim Hearing Court Bundle/Advoca"/>
    <s v="Public Law Children"/>
    <s v="Advocacy"/>
    <s v="Sarah De-Maine"/>
    <s v="Y"/>
    <n v="89.09999999999999"/>
    <n v="17.82"/>
    <x v="9"/>
    <s v="VALIDATED"/>
    <n v="1"/>
    <s v="01.11.80.308.6100.0000"/>
    <n v="89.09999999999999"/>
    <s v="11"/>
    <s v="6100"/>
    <n v="7036.05"/>
    <n v="89.09999999999999"/>
    <s v="CREDITOR"/>
    <n v="0"/>
    <n v="0"/>
    <n v="0"/>
    <n v="0"/>
    <n v="89.09999999999999"/>
  </r>
  <r>
    <n v="19817648"/>
    <s v="N"/>
    <n v="21343229"/>
    <s v="3000008335380015"/>
    <s v="CIVIL"/>
    <d v="2023-06-26T00:00:00"/>
    <d v="2023-07-07T19:03:00"/>
    <m/>
    <d v="2023-07-07T00:00:00"/>
    <n v="1471"/>
    <n v="19663"/>
    <s v="19817648"/>
    <s v="19817648"/>
    <m/>
    <m/>
    <n v="22760304"/>
    <m/>
    <m/>
    <m/>
    <s v="SOLFIN"/>
    <s v="SOLFIN"/>
    <s v="CCMS"/>
    <n v="21343229"/>
    <n v="22333.01"/>
    <m/>
    <s v="N"/>
    <n v="3"/>
    <d v="2023-07-07T19:03:05"/>
    <s v="Y"/>
    <s v="Final Hearing Court Bundle/Advocate"/>
    <s v="Public Law Children"/>
    <s v="Advocacy"/>
    <s v="Sarah De-Maine"/>
    <s v="Y"/>
    <n v="239.4"/>
    <n v="47.88"/>
    <x v="9"/>
    <s v="VALIDATED"/>
    <n v="1"/>
    <s v="01.11.80.308.6100.0000"/>
    <n v="239.4"/>
    <s v="11"/>
    <s v="6100"/>
    <n v="7036.05"/>
    <n v="239.4"/>
    <s v="CREDITOR"/>
    <n v="0"/>
    <n v="0"/>
    <n v="0"/>
    <n v="0"/>
    <n v="239.4"/>
  </r>
  <r>
    <n v="19817648"/>
    <s v="N"/>
    <n v="21343229"/>
    <s v="3000008335380015"/>
    <s v="CIVIL"/>
    <d v="2023-06-26T00:00:00"/>
    <d v="2023-07-07T19:03:00"/>
    <m/>
    <d v="2023-07-07T00:00:00"/>
    <n v="1471"/>
    <n v="19663"/>
    <s v="19817648"/>
    <s v="19817648"/>
    <m/>
    <m/>
    <n v="22760304"/>
    <m/>
    <m/>
    <m/>
    <s v="SOLFIN"/>
    <s v="SOLFIN"/>
    <s v="CCMS"/>
    <n v="21343229"/>
    <n v="22333.01"/>
    <m/>
    <s v="N"/>
    <n v="26"/>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22"/>
    <d v="2023-07-07T19:03:05"/>
    <s v="Y"/>
    <s v="Solicitor Travel Expenses"/>
    <s v="Public Law Children"/>
    <s v="Non Expert Disbursement"/>
    <s v="Sarah De-Maine"/>
    <s v="Y"/>
    <n v="3"/>
    <n v="0.6"/>
    <x v="9"/>
    <s v="VALIDATED"/>
    <n v="1"/>
    <s v="01.11.80.308.6300.0000"/>
    <n v="3"/>
    <s v="11"/>
    <s v="6300"/>
    <n v="7036.05"/>
    <n v="3"/>
    <s v="CREDITOR"/>
    <n v="0"/>
    <n v="0"/>
    <n v="0"/>
    <n v="0"/>
    <n v="3"/>
  </r>
  <r>
    <n v="19817648"/>
    <s v="N"/>
    <n v="21343229"/>
    <s v="3000008335380015"/>
    <s v="CIVIL"/>
    <d v="2023-06-26T00:00:00"/>
    <d v="2023-07-07T19:03:00"/>
    <m/>
    <d v="2023-07-07T00:00:00"/>
    <n v="1471"/>
    <n v="19663"/>
    <s v="19817648"/>
    <s v="19817648"/>
    <m/>
    <m/>
    <n v="22760304"/>
    <m/>
    <m/>
    <m/>
    <s v="SOLFIN"/>
    <s v="SOLFIN"/>
    <s v="CCMS"/>
    <n v="21343229"/>
    <n v="22333.01"/>
    <m/>
    <s v="N"/>
    <n v="42"/>
    <d v="2023-07-07T19:03:05"/>
    <s v="Y"/>
    <s v="Hearing Unit 2.31 - 5.00 Hours"/>
    <s v="Public Law Children"/>
    <s v="Advocacy"/>
    <s v="Sarah De-Maine"/>
    <s v="Y"/>
    <n v="476.92"/>
    <n v="95.38"/>
    <x v="9"/>
    <s v="VALIDATED"/>
    <n v="1"/>
    <s v="01.11.80.308.6100.0000"/>
    <n v="476.92"/>
    <s v="11"/>
    <s v="6100"/>
    <n v="7036.05"/>
    <n v="476.92"/>
    <s v="CREDITOR"/>
    <n v="0"/>
    <n v="0"/>
    <n v="0"/>
    <n v="0"/>
    <n v="476.92"/>
  </r>
  <r>
    <n v="19817648"/>
    <s v="N"/>
    <n v="21343229"/>
    <s v="3000008335380015"/>
    <s v="CIVIL"/>
    <d v="2023-06-26T00:00:00"/>
    <d v="2023-07-07T19:03:00"/>
    <m/>
    <d v="2023-07-07T00:00:00"/>
    <n v="1471"/>
    <n v="19663"/>
    <s v="19817648"/>
    <s v="19817648"/>
    <m/>
    <m/>
    <n v="22760304"/>
    <m/>
    <m/>
    <m/>
    <s v="SOLFIN"/>
    <s v="SOLFIN"/>
    <s v="CCMS"/>
    <n v="21343229"/>
    <n v="22333.01"/>
    <m/>
    <s v="N"/>
    <n v="8"/>
    <d v="2023-07-07T19:03:05"/>
    <s v="Y"/>
    <s v="Psychologist"/>
    <s v="Public Law Children"/>
    <s v="Expert Disbursement"/>
    <s v="Sarah De-Maine"/>
    <s v="Y"/>
    <n v="93.59999999999999"/>
    <n v="18.72"/>
    <x v="9"/>
    <s v="VALIDATED"/>
    <n v="1"/>
    <s v="01.11.80.308.6300.0000"/>
    <n v="93.59999999999999"/>
    <s v="11"/>
    <s v="6300"/>
    <n v="7036.05"/>
    <n v="93.59999999999999"/>
    <s v="CREDITOR"/>
    <n v="0"/>
    <n v="0"/>
    <n v="0"/>
    <n v="0"/>
    <n v="93.59999999999999"/>
  </r>
  <r>
    <n v="19817648"/>
    <s v="N"/>
    <n v="21343229"/>
    <s v="3000008335380015"/>
    <s v="CIVIL"/>
    <d v="2023-06-26T00:00:00"/>
    <d v="2023-07-07T19:03:00"/>
    <m/>
    <d v="2023-07-07T00:00:00"/>
    <n v="1471"/>
    <n v="19663"/>
    <s v="19817648"/>
    <s v="19817648"/>
    <m/>
    <m/>
    <n v="22760304"/>
    <m/>
    <m/>
    <m/>
    <s v="SOLFIN"/>
    <s v="SOLFIN"/>
    <s v="CCMS"/>
    <n v="21343229"/>
    <n v="22333.01"/>
    <m/>
    <s v="N"/>
    <n v="5"/>
    <d v="2023-07-07T19:03:05"/>
    <s v="Y"/>
    <s v="Exceptional Travel"/>
    <s v="Public Law Children"/>
    <s v="Advocacy"/>
    <s v="Sarah De-Maine"/>
    <s v="Y"/>
    <n v="32.04"/>
    <n v="6.41"/>
    <x v="9"/>
    <s v="VALIDATED"/>
    <n v="1"/>
    <s v="01.11.80.308.6100.0000"/>
    <n v="32.04"/>
    <s v="11"/>
    <s v="6100"/>
    <n v="7036.05"/>
    <n v="32.04"/>
    <s v="CREDITOR"/>
    <n v="0"/>
    <n v="0"/>
    <n v="0"/>
    <n v="0"/>
    <n v="32.04"/>
  </r>
  <r>
    <n v="19817648"/>
    <s v="N"/>
    <n v="21343229"/>
    <s v="3000008335380015"/>
    <s v="CIVIL"/>
    <d v="2023-06-26T00:00:00"/>
    <d v="2023-07-07T19:03:00"/>
    <m/>
    <d v="2023-07-07T00:00:00"/>
    <n v="1471"/>
    <n v="19663"/>
    <s v="19817648"/>
    <s v="19817648"/>
    <m/>
    <m/>
    <n v="22760304"/>
    <m/>
    <m/>
    <m/>
    <s v="SOLFIN"/>
    <s v="SOLFIN"/>
    <s v="CCMS"/>
    <n v="21343229"/>
    <n v="22333.01"/>
    <m/>
    <s v="N"/>
    <n v="36"/>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12"/>
    <d v="2023-07-07T19:03:05"/>
    <s v="Y"/>
    <s v="Psychologist"/>
    <s v="Public Law Children"/>
    <s v="Expert Disbursement"/>
    <s v="Sarah De-Maine"/>
    <s v="Y"/>
    <n v="46.8"/>
    <n v="9.359999999999999"/>
    <x v="9"/>
    <s v="VALIDATED"/>
    <n v="1"/>
    <s v="01.11.80.308.6300.0000"/>
    <n v="46.8"/>
    <s v="11"/>
    <s v="6300"/>
    <n v="7036.05"/>
    <n v="46.8"/>
    <s v="CREDITOR"/>
    <n v="0"/>
    <n v="0"/>
    <n v="0"/>
    <n v="0"/>
    <n v="46.8"/>
  </r>
  <r>
    <n v="19817648"/>
    <s v="N"/>
    <n v="21343229"/>
    <s v="3000008335380015"/>
    <s v="CIVIL"/>
    <d v="2023-06-26T00:00:00"/>
    <d v="2023-07-07T19:03:00"/>
    <m/>
    <d v="2023-07-07T00:00:00"/>
    <n v="1471"/>
    <n v="19663"/>
    <s v="19817648"/>
    <s v="19817648"/>
    <m/>
    <m/>
    <n v="22760304"/>
    <m/>
    <m/>
    <m/>
    <s v="SOLFIN"/>
    <s v="SOLFIN"/>
    <s v="CCMS"/>
    <n v="21343229"/>
    <n v="22333.01"/>
    <m/>
    <s v="N"/>
    <n v="38"/>
    <d v="2023-07-07T19:03:05"/>
    <s v="Y"/>
    <s v="Hearing Unit 2.31 - 5.00 Hours"/>
    <s v="Public Law Children"/>
    <s v="Advocacy"/>
    <s v="Sarah De-Maine"/>
    <s v="Y"/>
    <n v="476.92"/>
    <n v="95.38"/>
    <x v="9"/>
    <s v="VALIDATED"/>
    <n v="1"/>
    <s v="01.11.80.308.6100.0000"/>
    <n v="476.92"/>
    <s v="11"/>
    <s v="6100"/>
    <n v="7036.05"/>
    <n v="476.92"/>
    <s v="CREDITOR"/>
    <n v="0"/>
    <n v="0"/>
    <n v="0"/>
    <n v="0"/>
    <n v="476.92"/>
  </r>
  <r>
    <n v="19817648"/>
    <s v="N"/>
    <n v="21343229"/>
    <s v="3000008335380015"/>
    <s v="CIVIL"/>
    <d v="2023-06-26T00:00:00"/>
    <d v="2023-07-07T19:03:00"/>
    <m/>
    <d v="2023-07-07T00:00:00"/>
    <n v="1471"/>
    <n v="19663"/>
    <s v="19817648"/>
    <s v="19817648"/>
    <m/>
    <m/>
    <n v="22760304"/>
    <m/>
    <m/>
    <m/>
    <s v="SOLFIN"/>
    <s v="SOLFIN"/>
    <s v="CCMS"/>
    <n v="21343229"/>
    <n v="22333.01"/>
    <m/>
    <s v="N"/>
    <n v="32"/>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10"/>
    <d v="2023-07-07T19:03:05"/>
    <s v="N"/>
    <s v="Court Assess Cost LA"/>
    <s v="Public Law Children"/>
    <s v="Costs of Assessment"/>
    <s v="Sarah De-Maine"/>
    <s v="N"/>
    <n v="94"/>
    <n v="0"/>
    <x v="9"/>
    <s v="VALIDATED"/>
    <n v="1"/>
    <s v="01.11.80.308.6200.0000"/>
    <n v="94"/>
    <s v="11"/>
    <s v="6200"/>
    <n v="7036.05"/>
    <n v="94"/>
    <s v="CREDITOR"/>
    <n v="0"/>
    <n v="0"/>
    <n v="0"/>
    <n v="0"/>
    <n v="94"/>
  </r>
  <r>
    <n v="19817648"/>
    <s v="N"/>
    <n v="21343229"/>
    <s v="3000008335380015"/>
    <s v="CIVIL"/>
    <d v="2023-06-26T00:00:00"/>
    <d v="2023-07-07T19:03:00"/>
    <m/>
    <d v="2023-07-07T00:00:00"/>
    <n v="1471"/>
    <n v="19663"/>
    <s v="19817648"/>
    <s v="19817648"/>
    <m/>
    <m/>
    <n v="22760304"/>
    <m/>
    <m/>
    <m/>
    <s v="SOLFIN"/>
    <s v="SOLFIN"/>
    <s v="CCMS"/>
    <n v="21343229"/>
    <n v="22333.01"/>
    <m/>
    <s v="N"/>
    <n v="13"/>
    <d v="2023-07-07T19:03:05"/>
    <s v="Y"/>
    <s v="Profit Costs (Summary)"/>
    <s v="Public Law Children"/>
    <s v="Profit Cost"/>
    <s v="Sarah De-Maine"/>
    <s v="Y"/>
    <n v="8480.719999999999"/>
    <n v="1696.14"/>
    <x v="9"/>
    <s v="VALIDATED"/>
    <n v="1"/>
    <s v="01.11.80.308.6100.0000"/>
    <n v="8480.719999999999"/>
    <s v="11"/>
    <s v="6100"/>
    <n v="7036.05"/>
    <n v="8480.719999999999"/>
    <s v="CREDITOR"/>
    <n v="0"/>
    <n v="0"/>
    <n v="0"/>
    <n v="0"/>
    <n v="8480.719999999999"/>
  </r>
  <r>
    <n v="19817648"/>
    <s v="N"/>
    <n v="21343229"/>
    <s v="3000008335380015"/>
    <s v="CIVIL"/>
    <d v="2023-06-26T00:00:00"/>
    <d v="2023-07-07T19:03:00"/>
    <m/>
    <d v="2023-07-07T00:00:00"/>
    <n v="1471"/>
    <n v="19663"/>
    <s v="19817648"/>
    <s v="19817648"/>
    <m/>
    <m/>
    <n v="22760304"/>
    <m/>
    <m/>
    <m/>
    <s v="SOLFIN"/>
    <s v="SOLFIN"/>
    <s v="CCMS"/>
    <n v="21343229"/>
    <n v="22333.01"/>
    <m/>
    <s v="N"/>
    <n v="6"/>
    <d v="2023-07-07T19:03:05"/>
    <s v="Y"/>
    <s v="Psychologist"/>
    <s v="Public Law Children"/>
    <s v="Expert Disbursement"/>
    <s v="Sarah De-Maine"/>
    <s v="Y"/>
    <n v="207.4"/>
    <n v="41.48"/>
    <x v="9"/>
    <s v="VALIDATED"/>
    <n v="1"/>
    <s v="01.11.80.308.6300.0000"/>
    <n v="207.4"/>
    <s v="11"/>
    <s v="6300"/>
    <n v="7036.05"/>
    <n v="207.4"/>
    <s v="CREDITOR"/>
    <n v="0"/>
    <n v="0"/>
    <n v="0"/>
    <n v="0"/>
    <n v="207.4"/>
  </r>
  <r>
    <n v="19817648"/>
    <s v="N"/>
    <n v="21343229"/>
    <s v="3000008335380015"/>
    <s v="CIVIL"/>
    <d v="2023-06-26T00:00:00"/>
    <d v="2023-07-07T19:03:00"/>
    <m/>
    <d v="2023-07-07T00:00:00"/>
    <n v="1471"/>
    <n v="19663"/>
    <s v="19817648"/>
    <s v="19817648"/>
    <m/>
    <m/>
    <n v="22760304"/>
    <m/>
    <m/>
    <m/>
    <s v="SOLFIN"/>
    <s v="SOLFIN"/>
    <s v="CCMS"/>
    <n v="21343229"/>
    <n v="22333.01"/>
    <m/>
    <s v="N"/>
    <n v="11"/>
    <d v="2023-07-07T19:03:05"/>
    <s v="Y"/>
    <s v="Independent Social Worker"/>
    <s v="Public Law Children"/>
    <s v="Expert Disbursement"/>
    <s v="Sarah De-Maine"/>
    <s v="Y"/>
    <n v="677.35"/>
    <n v="0"/>
    <x v="9"/>
    <s v="VALIDATED"/>
    <n v="1"/>
    <s v="01.11.80.308.6300.0000"/>
    <n v="677.35"/>
    <s v="11"/>
    <s v="6300"/>
    <n v="7036.05"/>
    <n v="677.35"/>
    <s v="CREDITOR"/>
    <n v="0"/>
    <n v="0"/>
    <n v="0"/>
    <n v="0"/>
    <n v="677.35"/>
  </r>
  <r>
    <n v="19817648"/>
    <s v="N"/>
    <n v="21343229"/>
    <s v="3000008335380015"/>
    <s v="CIVIL"/>
    <d v="2023-06-26T00:00:00"/>
    <d v="2023-07-07T19:03:00"/>
    <m/>
    <d v="2023-07-07T00:00:00"/>
    <n v="1471"/>
    <n v="19663"/>
    <s v="19817648"/>
    <s v="19817648"/>
    <m/>
    <m/>
    <n v="22760304"/>
    <m/>
    <m/>
    <m/>
    <s v="SOLFIN"/>
    <s v="SOLFIN"/>
    <s v="CCMS"/>
    <n v="21343229"/>
    <n v="22333.01"/>
    <m/>
    <s v="N"/>
    <n v="25"/>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7"/>
    <d v="2023-07-07T19:03:05"/>
    <s v="Y"/>
    <s v="Psychologist"/>
    <s v="Public Law Children"/>
    <s v="Expert Disbursement"/>
    <s v="Sarah De-Maine"/>
    <s v="Y"/>
    <n v="184"/>
    <n v="36.8"/>
    <x v="9"/>
    <s v="VALIDATED"/>
    <n v="1"/>
    <s v="01.11.80.308.6300.0000"/>
    <n v="184"/>
    <s v="11"/>
    <s v="6300"/>
    <n v="7036.05"/>
    <n v="184"/>
    <s v="CREDITOR"/>
    <n v="0"/>
    <n v="0"/>
    <n v="0"/>
    <n v="0"/>
    <n v="184"/>
  </r>
  <r>
    <n v="19817648"/>
    <s v="N"/>
    <n v="21343229"/>
    <s v="3000008335380015"/>
    <s v="CIVIL"/>
    <d v="2023-06-26T00:00:00"/>
    <d v="2023-07-07T19:03:00"/>
    <m/>
    <d v="2023-07-07T00:00:00"/>
    <n v="1471"/>
    <n v="19663"/>
    <s v="19817648"/>
    <s v="19817648"/>
    <m/>
    <m/>
    <n v="22760304"/>
    <m/>
    <m/>
    <m/>
    <s v="SOLFIN"/>
    <s v="SOLFIN"/>
    <s v="CCMS"/>
    <n v="21343229"/>
    <n v="22333.01"/>
    <m/>
    <s v="N"/>
    <n v="9"/>
    <d v="2023-07-07T19:03:05"/>
    <s v="Y"/>
    <s v="Psychologist"/>
    <s v="Public Law Children"/>
    <s v="Expert Disbursement"/>
    <s v="Sarah De-Maine"/>
    <s v="Y"/>
    <n v="184"/>
    <n v="36.8"/>
    <x v="9"/>
    <s v="VALIDATED"/>
    <n v="1"/>
    <s v="01.11.80.308.6300.0000"/>
    <n v="184"/>
    <s v="11"/>
    <s v="6300"/>
    <n v="7036.05"/>
    <n v="184"/>
    <s v="CREDITOR"/>
    <n v="0"/>
    <n v="0"/>
    <n v="0"/>
    <n v="0"/>
    <n v="184"/>
  </r>
  <r>
    <n v="19817648"/>
    <s v="N"/>
    <n v="21343229"/>
    <s v="3000008335380015"/>
    <s v="CIVIL"/>
    <d v="2023-06-26T00:00:00"/>
    <d v="2023-07-07T19:03:00"/>
    <m/>
    <d v="2023-07-07T00:00:00"/>
    <n v="1471"/>
    <n v="19663"/>
    <s v="19817648"/>
    <s v="19817648"/>
    <m/>
    <m/>
    <n v="22760304"/>
    <m/>
    <m/>
    <m/>
    <s v="SOLFIN"/>
    <s v="SOLFIN"/>
    <s v="CCMS"/>
    <n v="21343229"/>
    <n v="22333.01"/>
    <m/>
    <s v="N"/>
    <n v="23"/>
    <d v="2023-07-07T19:03:05"/>
    <s v="Y"/>
    <s v="Toxicologist"/>
    <s v="Public Law Children"/>
    <s v="Expert Disbursement"/>
    <s v="Sarah De-Maine"/>
    <s v="Y"/>
    <n v="103.75"/>
    <n v="20.75"/>
    <x v="9"/>
    <s v="VALIDATED"/>
    <n v="1"/>
    <s v="01.11.80.308.6300.0000"/>
    <n v="103.75"/>
    <s v="11"/>
    <s v="6300"/>
    <n v="7036.05"/>
    <n v="103.75"/>
    <s v="CREDITOR"/>
    <n v="0"/>
    <n v="0"/>
    <n v="0"/>
    <n v="0"/>
    <n v="103.75"/>
  </r>
  <r>
    <n v="19817648"/>
    <s v="N"/>
    <n v="21343229"/>
    <s v="3000008335380015"/>
    <s v="CIVIL"/>
    <d v="2023-06-26T00:00:00"/>
    <d v="2023-07-07T19:03:00"/>
    <m/>
    <d v="2023-07-07T00:00:00"/>
    <n v="1471"/>
    <n v="19663"/>
    <s v="19817648"/>
    <s v="19817648"/>
    <m/>
    <m/>
    <n v="22760304"/>
    <m/>
    <m/>
    <m/>
    <s v="SOLFIN"/>
    <s v="SOLFIN"/>
    <s v="CCMS"/>
    <n v="21343229"/>
    <n v="22333.01"/>
    <m/>
    <s v="N"/>
    <n v="28"/>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34"/>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19"/>
    <d v="2023-07-07T19:03:05"/>
    <s v="Y"/>
    <s v="Psychologist"/>
    <s v="Public Law Children"/>
    <s v="Expert Disbursement"/>
    <s v="Sarah De-Maine"/>
    <s v="Y"/>
    <n v="70.2"/>
    <n v="14.04"/>
    <x v="9"/>
    <s v="VALIDATED"/>
    <n v="1"/>
    <s v="01.11.80.308.6300.0000"/>
    <n v="70.2"/>
    <s v="11"/>
    <s v="6300"/>
    <n v="7036.05"/>
    <n v="70.2"/>
    <s v="CREDITOR"/>
    <n v="0"/>
    <n v="0"/>
    <n v="0"/>
    <n v="0"/>
    <n v="70.2"/>
  </r>
  <r>
    <n v="19817648"/>
    <s v="N"/>
    <n v="21343229"/>
    <s v="3000008335380015"/>
    <s v="CIVIL"/>
    <d v="2023-06-26T00:00:00"/>
    <d v="2023-07-07T19:03:00"/>
    <m/>
    <d v="2023-07-07T00:00:00"/>
    <n v="1471"/>
    <n v="19663"/>
    <s v="19817648"/>
    <s v="19817648"/>
    <m/>
    <m/>
    <n v="22760304"/>
    <m/>
    <m/>
    <m/>
    <s v="SOLFIN"/>
    <s v="SOLFIN"/>
    <s v="CCMS"/>
    <n v="21343229"/>
    <n v="22333.01"/>
    <m/>
    <s v="N"/>
    <n v="15"/>
    <d v="2023-07-07T19:03:05"/>
    <s v="Y"/>
    <s v="Psychologist"/>
    <s v="Public Law Children"/>
    <s v="Expert Disbursement"/>
    <s v="Sarah De-Maine"/>
    <s v="Y"/>
    <n v="984.51"/>
    <n v="196.9"/>
    <x v="9"/>
    <s v="VALIDATED"/>
    <n v="1"/>
    <s v="01.11.80.308.6300.0000"/>
    <n v="984.51"/>
    <s v="11"/>
    <s v="6300"/>
    <n v="7036.05"/>
    <n v="984.51"/>
    <s v="CREDITOR"/>
    <n v="0"/>
    <n v="0"/>
    <n v="0"/>
    <n v="0"/>
    <n v="984.51"/>
  </r>
  <r>
    <n v="19817648"/>
    <s v="N"/>
    <n v="21343229"/>
    <s v="3000008335380015"/>
    <s v="CIVIL"/>
    <d v="2023-06-26T00:00:00"/>
    <d v="2023-07-07T19:03:00"/>
    <m/>
    <d v="2023-07-07T00:00:00"/>
    <n v="1471"/>
    <n v="19663"/>
    <s v="19817648"/>
    <s v="19817648"/>
    <m/>
    <m/>
    <n v="22760304"/>
    <m/>
    <m/>
    <m/>
    <s v="SOLFIN"/>
    <s v="SOLFIN"/>
    <s v="CCMS"/>
    <n v="21343229"/>
    <n v="22333.01"/>
    <m/>
    <s v="N"/>
    <n v="33"/>
    <d v="2023-07-07T19:03:05"/>
    <s v="Y"/>
    <s v="Hearing Unit 7.31 - 10.00 Hours"/>
    <s v="Public Law Children"/>
    <s v="Advocacy"/>
    <s v="Sarah De-Maine"/>
    <s v="Y"/>
    <n v="953.84"/>
    <n v="190.77"/>
    <x v="9"/>
    <s v="VALIDATED"/>
    <n v="1"/>
    <s v="01.11.80.308.6100.0000"/>
    <n v="953.84"/>
    <s v="11"/>
    <s v="6100"/>
    <n v="7036.05"/>
    <n v="953.84"/>
    <s v="CREDITOR"/>
    <n v="0"/>
    <n v="0"/>
    <n v="0"/>
    <n v="0"/>
    <n v="953.84"/>
  </r>
  <r>
    <n v="19817648"/>
    <s v="N"/>
    <n v="21343229"/>
    <s v="3000008335380015"/>
    <s v="CIVIL"/>
    <d v="2023-06-26T00:00:00"/>
    <d v="2023-07-07T19:03:00"/>
    <m/>
    <d v="2023-07-07T00:00:00"/>
    <n v="1471"/>
    <n v="19663"/>
    <s v="19817648"/>
    <s v="19817648"/>
    <m/>
    <m/>
    <n v="22760304"/>
    <m/>
    <m/>
    <m/>
    <s v="SOLFIN"/>
    <s v="SOLFIN"/>
    <s v="CCMS"/>
    <n v="21343229"/>
    <n v="22333.01"/>
    <m/>
    <s v="N"/>
    <n v="14"/>
    <d v="2023-07-07T19:03:05"/>
    <s v="Y"/>
    <s v="Court Fee"/>
    <s v="Public Law Children"/>
    <s v="Non Expert Disbursement"/>
    <s v="Sarah De-Maine"/>
    <s v="Y"/>
    <n v="50"/>
    <n v="0"/>
    <x v="9"/>
    <s v="VALIDATED"/>
    <n v="1"/>
    <s v="01.11.80.308.6300.0000"/>
    <n v="50"/>
    <s v="11"/>
    <s v="6300"/>
    <n v="7036.05"/>
    <n v="50"/>
    <s v="CREDITOR"/>
    <n v="0"/>
    <n v="0"/>
    <n v="0"/>
    <n v="0"/>
    <n v="50"/>
  </r>
  <r>
    <n v="19817648"/>
    <s v="N"/>
    <n v="21343229"/>
    <s v="3000008335380015"/>
    <s v="CIVIL"/>
    <d v="2023-06-26T00:00:00"/>
    <d v="2023-07-07T19:03:00"/>
    <m/>
    <d v="2023-07-07T00:00:00"/>
    <n v="1471"/>
    <n v="19663"/>
    <s v="19817648"/>
    <s v="19817648"/>
    <m/>
    <m/>
    <n v="22760304"/>
    <m/>
    <m/>
    <m/>
    <s v="SOLFIN"/>
    <s v="SOLFIN"/>
    <s v="CCMS"/>
    <n v="21343229"/>
    <n v="22333.01"/>
    <m/>
    <s v="N"/>
    <n v="35"/>
    <d v="2023-07-07T19:03:05"/>
    <s v="Y"/>
    <s v="Hearing Unit 2.31 - 5.00 Hours"/>
    <s v="Public Law Children"/>
    <s v="Advocacy"/>
    <s v="Sarah De-Maine"/>
    <s v="Y"/>
    <n v="476.92"/>
    <n v="95.38"/>
    <x v="9"/>
    <s v="VALIDATED"/>
    <n v="1"/>
    <s v="01.11.80.308.6100.0000"/>
    <n v="476.92"/>
    <s v="11"/>
    <s v="6100"/>
    <n v="7036.05"/>
    <n v="476.92"/>
    <s v="CREDITOR"/>
    <n v="0"/>
    <n v="0"/>
    <n v="0"/>
    <n v="0"/>
    <n v="476.92"/>
  </r>
  <r>
    <n v="19817648"/>
    <s v="N"/>
    <n v="21343229"/>
    <s v="3000008335380015"/>
    <s v="CIVIL"/>
    <d v="2023-06-26T00:00:00"/>
    <d v="2023-07-07T19:03:00"/>
    <m/>
    <d v="2023-07-07T00:00:00"/>
    <n v="1471"/>
    <n v="19663"/>
    <s v="19817648"/>
    <s v="19817648"/>
    <m/>
    <m/>
    <n v="22760304"/>
    <m/>
    <m/>
    <m/>
    <s v="SOLFIN"/>
    <s v="SOLFIN"/>
    <s v="CCMS"/>
    <n v="21343229"/>
    <n v="22333.01"/>
    <m/>
    <s v="N"/>
    <n v="16"/>
    <d v="2023-07-07T19:03:05"/>
    <s v="Y"/>
    <s v="Solicitor Travel Mileage"/>
    <s v="Public Law Children"/>
    <s v="Non Expert Disbursement"/>
    <s v="Sarah De-Maine"/>
    <s v="Y"/>
    <n v="36"/>
    <n v="7.2"/>
    <x v="9"/>
    <s v="VALIDATED"/>
    <n v="1"/>
    <s v="01.11.80.308.6300.0000"/>
    <n v="36"/>
    <s v="11"/>
    <s v="6300"/>
    <n v="7036.05"/>
    <n v="36"/>
    <s v="CREDITOR"/>
    <n v="0"/>
    <n v="0"/>
    <n v="0"/>
    <n v="0"/>
    <n v="36"/>
  </r>
  <r>
    <n v="19817648"/>
    <s v="N"/>
    <n v="21343229"/>
    <s v="3000008335380015"/>
    <s v="CIVIL"/>
    <d v="2023-06-26T00:00:00"/>
    <d v="2023-07-07T19:03:00"/>
    <m/>
    <d v="2023-07-07T00:00:00"/>
    <n v="1471"/>
    <n v="19663"/>
    <s v="19817648"/>
    <s v="19817648"/>
    <m/>
    <m/>
    <n v="22760304"/>
    <m/>
    <m/>
    <m/>
    <s v="SOLFIN"/>
    <s v="SOLFIN"/>
    <s v="CCMS"/>
    <n v="21343229"/>
    <n v="22333.01"/>
    <m/>
    <s v="N"/>
    <n v="37"/>
    <d v="2023-07-07T19:03:05"/>
    <s v="Y"/>
    <s v="Hearing Unit 1.01 - 2.30 Hours"/>
    <s v="Public Law Children"/>
    <s v="Advocacy"/>
    <s v="Sarah De-Maine"/>
    <s v="Y"/>
    <n v="238.46"/>
    <n v="47.69"/>
    <x v="9"/>
    <s v="VALIDATED"/>
    <n v="1"/>
    <s v="01.11.80.308.6100.0000"/>
    <n v="238.46"/>
    <s v="11"/>
    <s v="6100"/>
    <n v="7036.05"/>
    <n v="238.46"/>
    <s v="CREDITOR"/>
    <n v="0"/>
    <n v="0"/>
    <n v="0"/>
    <n v="0"/>
    <n v="238.46"/>
  </r>
  <r>
    <n v="19817648"/>
    <s v="N"/>
    <n v="21343229"/>
    <s v="3000008335380015"/>
    <s v="CIVIL"/>
    <d v="2023-06-26T00:00:00"/>
    <d v="2023-07-07T19:03:00"/>
    <m/>
    <d v="2023-07-07T00:00:00"/>
    <n v="1471"/>
    <n v="19663"/>
    <s v="19817648"/>
    <s v="19817648"/>
    <m/>
    <m/>
    <n v="22760304"/>
    <m/>
    <m/>
    <m/>
    <s v="SOLFIN"/>
    <s v="SOLFIN"/>
    <s v="CCMS"/>
    <n v="21343229"/>
    <n v="22333.01"/>
    <m/>
    <s v="N"/>
    <n v="24"/>
    <d v="2023-07-07T19:03:05"/>
    <s v="Y"/>
    <s v="Other"/>
    <s v="Public Law Children"/>
    <s v="Non Expert Disbursement"/>
    <s v="Sarah De-Maine"/>
    <s v="Y"/>
    <n v="15.11"/>
    <n v="3.02"/>
    <x v="9"/>
    <s v="VALIDATED"/>
    <n v="1"/>
    <s v="01.11.80.308.6300.0000"/>
    <n v="15.11"/>
    <s v="11"/>
    <s v="6300"/>
    <n v="7036.05"/>
    <n v="15.11"/>
    <s v="CREDITOR"/>
    <n v="0"/>
    <n v="0"/>
    <n v="0"/>
    <n v="0"/>
    <n v="15.11"/>
  </r>
  <r>
    <n v="19817648"/>
    <s v="N"/>
    <n v="21343229"/>
    <s v="3000008335380015"/>
    <s v="CIVIL"/>
    <d v="2023-06-26T00:00:00"/>
    <d v="2023-07-07T19:03:00"/>
    <m/>
    <d v="2023-07-07T00:00:00"/>
    <n v="1471"/>
    <n v="19663"/>
    <s v="19817648"/>
    <s v="19817648"/>
    <m/>
    <m/>
    <n v="22760304"/>
    <m/>
    <m/>
    <m/>
    <s v="SOLFIN"/>
    <s v="SOLFIN"/>
    <s v="CCMS"/>
    <n v="21343229"/>
    <n v="22333.01"/>
    <m/>
    <s v="N"/>
    <n v="44"/>
    <d v="2023-07-07T19:03:05"/>
    <s v="Y"/>
    <s v="Hearing Unit 2.31 - 5.00 Hours"/>
    <s v="Public Law Children"/>
    <s v="Advocacy"/>
    <s v="Sarah De-Maine"/>
    <s v="Y"/>
    <n v="476.92"/>
    <n v="95.38"/>
    <x v="9"/>
    <s v="VALIDATED"/>
    <n v="1"/>
    <s v="01.11.80.308.6100.0000"/>
    <n v="476.92"/>
    <s v="11"/>
    <s v="6100"/>
    <n v="7036.05"/>
    <n v="476.92"/>
    <s v="CREDITOR"/>
    <n v="0"/>
    <n v="0"/>
    <n v="0"/>
    <n v="0"/>
    <n v="476.92"/>
  </r>
  <r>
    <n v="19817648"/>
    <s v="N"/>
    <n v="21343229"/>
    <s v="3000008335380015"/>
    <s v="CIVIL"/>
    <d v="2023-06-26T00:00:00"/>
    <d v="2023-07-07T19:03:00"/>
    <m/>
    <d v="2023-07-07T00:00:00"/>
    <n v="1471"/>
    <n v="19663"/>
    <s v="19817648"/>
    <s v="19817648"/>
    <m/>
    <m/>
    <n v="22760304"/>
    <m/>
    <m/>
    <m/>
    <s v="SOLFIN"/>
    <s v="SOLFIN"/>
    <s v="CCMS"/>
    <n v="21343229"/>
    <n v="22333.01"/>
    <m/>
    <s v="N"/>
    <n v="41"/>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39"/>
    <d v="2023-07-07T19:03:05"/>
    <s v="Y"/>
    <s v="Advocates Meeting"/>
    <s v="Public Law Children"/>
    <s v="Advocacy"/>
    <s v="Sarah De-Maine"/>
    <s v="Y"/>
    <n v="140.99"/>
    <n v="28.2"/>
    <x v="9"/>
    <s v="VALIDATED"/>
    <n v="1"/>
    <s v="01.11.80.308.6100.0000"/>
    <n v="140.99"/>
    <s v="11"/>
    <s v="6100"/>
    <n v="7036.05"/>
    <n v="140.99"/>
    <s v="CREDITOR"/>
    <n v="0"/>
    <n v="0"/>
    <n v="0"/>
    <n v="0"/>
    <n v="140.99"/>
  </r>
  <r>
    <n v="19817648"/>
    <s v="N"/>
    <n v="21343229"/>
    <s v="3000008335380015"/>
    <s v="CIVIL"/>
    <d v="2023-06-26T00:00:00"/>
    <d v="2023-07-07T19:03:00"/>
    <m/>
    <d v="2023-07-07T00:00:00"/>
    <n v="1471"/>
    <n v="19663"/>
    <s v="19817648"/>
    <s v="19817648"/>
    <m/>
    <m/>
    <n v="22760304"/>
    <m/>
    <m/>
    <m/>
    <s v="SOLFIN"/>
    <s v="SOLFIN"/>
    <s v="CCMS"/>
    <n v="21343229"/>
    <n v="22333.01"/>
    <m/>
    <s v="N"/>
    <n v="2"/>
    <d v="2023-07-07T19:03:05"/>
    <s v="Y"/>
    <s v="Interim Hearing Court Bundle/Advoca"/>
    <s v="Public Law Children"/>
    <s v="Advocacy"/>
    <s v="Sarah De-Maine"/>
    <s v="Y"/>
    <n v="89.09999999999999"/>
    <n v="17.82"/>
    <x v="9"/>
    <s v="VALIDATED"/>
    <n v="1"/>
    <s v="01.11.80.308.6100.0000"/>
    <n v="89.09999999999999"/>
    <s v="11"/>
    <s v="6100"/>
    <n v="7036.05"/>
    <n v="89.09999999999999"/>
    <s v="CREDITOR"/>
    <n v="0"/>
    <n v="0"/>
    <n v="0"/>
    <n v="0"/>
    <n v="89.09999999999999"/>
  </r>
  <r>
    <n v="19817648"/>
    <s v="N"/>
    <n v="21343229"/>
    <s v="3000008335380015"/>
    <s v="CIVIL"/>
    <d v="2023-06-26T00:00:00"/>
    <d v="2023-07-07T19:03:00"/>
    <m/>
    <d v="2023-07-07T00:00:00"/>
    <n v="1471"/>
    <n v="19663"/>
    <s v="19817648"/>
    <s v="19817648"/>
    <m/>
    <m/>
    <n v="22760304"/>
    <m/>
    <m/>
    <m/>
    <s v="SOLFIN"/>
    <s v="SOLFIN"/>
    <s v="CCMS"/>
    <n v="21343229"/>
    <n v="22333.01"/>
    <m/>
    <s v="N"/>
    <n v="27"/>
    <d v="2023-07-07T19:03:05"/>
    <s v="Y"/>
    <s v="Hearing Unit 2.31 - 5.00 Hours"/>
    <s v="Public Law Children"/>
    <s v="Advocacy"/>
    <s v="Sarah De-Maine"/>
    <s v="Y"/>
    <n v="476.92"/>
    <n v="95.38"/>
    <x v="9"/>
    <s v="VALIDATED"/>
    <n v="1"/>
    <s v="01.11.80.308.6100.0000"/>
    <n v="476.92"/>
    <s v="11"/>
    <s v="6100"/>
    <n v="7036.05"/>
    <n v="476.92"/>
    <s v="CREDITOR"/>
    <n v="0"/>
    <n v="0"/>
    <n v="0"/>
    <n v="0"/>
    <n v="476.92"/>
  </r>
  <r>
    <n v="19817648"/>
    <s v="N"/>
    <n v="21343229"/>
    <s v="3000008335380015"/>
    <s v="CIVIL"/>
    <d v="2023-06-26T00:00:00"/>
    <d v="2023-07-07T19:03:00"/>
    <m/>
    <d v="2023-07-07T00:00:00"/>
    <n v="1471"/>
    <n v="19663"/>
    <s v="19817648"/>
    <s v="19817648"/>
    <m/>
    <m/>
    <n v="22760304"/>
    <m/>
    <m/>
    <m/>
    <s v="SOLFIN"/>
    <s v="SOLFIN"/>
    <s v="CCMS"/>
    <n v="21343229"/>
    <n v="22333.01"/>
    <m/>
    <s v="N"/>
    <n v="21"/>
    <d v="2023-07-07T19:03:05"/>
    <s v="Y"/>
    <s v="Solicitor Travel Mileage"/>
    <s v="Public Law Children"/>
    <s v="Non Expert Disbursement"/>
    <s v="Sarah De-Maine"/>
    <s v="Y"/>
    <n v="36"/>
    <n v="7.2"/>
    <x v="9"/>
    <s v="VALIDATED"/>
    <n v="1"/>
    <s v="01.11.80.308.6300.0000"/>
    <n v="36"/>
    <s v="11"/>
    <s v="6300"/>
    <n v="7036.05"/>
    <n v="36"/>
    <s v="CREDITOR"/>
    <n v="0"/>
    <n v="0"/>
    <n v="0"/>
    <n v="0"/>
    <n v="36"/>
  </r>
  <r>
    <n v="19817648"/>
    <s v="N"/>
    <n v="21343229"/>
    <s v="3000008335380015"/>
    <s v="CIVIL"/>
    <d v="2023-06-26T00:00:00"/>
    <d v="2023-07-07T19:03:00"/>
    <m/>
    <d v="2023-07-07T00:00:00"/>
    <n v="1471"/>
    <n v="19663"/>
    <s v="19817648"/>
    <s v="19817648"/>
    <m/>
    <m/>
    <n v="22760304"/>
    <m/>
    <m/>
    <m/>
    <s v="SOLFIN"/>
    <s v="SOLFIN"/>
    <s v="CCMS"/>
    <n v="21343229"/>
    <n v="22333.01"/>
    <m/>
    <s v="N"/>
    <n v="31"/>
    <d v="2023-07-07T19:03:05"/>
    <s v="Y"/>
    <s v="Hearing Unit 5.01 - 7.30 Hours"/>
    <s v="Public Law Children"/>
    <s v="Advocacy"/>
    <s v="Sarah De-Maine"/>
    <s v="Y"/>
    <n v="715.38"/>
    <n v="143.08"/>
    <x v="9"/>
    <s v="VALIDATED"/>
    <n v="1"/>
    <s v="01.11.80.308.6100.0000"/>
    <n v="715.38"/>
    <s v="11"/>
    <s v="6100"/>
    <n v="7036.05"/>
    <n v="715.38"/>
    <s v="CREDITOR"/>
    <n v="0"/>
    <n v="0"/>
    <n v="0"/>
    <n v="0"/>
    <n v="715.38"/>
  </r>
  <r>
    <n v="19817648"/>
    <s v="N"/>
    <n v="21343229"/>
    <s v="3000008335380015"/>
    <s v="CIVIL"/>
    <d v="2023-06-26T00:00:00"/>
    <d v="2023-07-07T19:03:00"/>
    <m/>
    <d v="2023-07-07T00:00:00"/>
    <n v="1471"/>
    <n v="19663"/>
    <s v="19817648"/>
    <s v="19817648"/>
    <m/>
    <m/>
    <n v="22760304"/>
    <m/>
    <m/>
    <m/>
    <s v="SOLFIN"/>
    <s v="SOLFIN"/>
    <s v="CCMS"/>
    <n v="21343229"/>
    <n v="22333.01"/>
    <m/>
    <s v="N"/>
    <n v="17"/>
    <d v="2023-07-07T19:03:05"/>
    <s v="Y"/>
    <s v="Psychologist"/>
    <s v="Public Law Children"/>
    <s v="Expert Disbursement"/>
    <s v="Sarah De-Maine"/>
    <s v="Y"/>
    <n v="117"/>
    <n v="23.4"/>
    <x v="9"/>
    <s v="VALIDATED"/>
    <n v="1"/>
    <s v="01.11.80.308.6300.0000"/>
    <n v="117"/>
    <s v="11"/>
    <s v="6300"/>
    <n v="7036.05"/>
    <n v="117"/>
    <s v="CREDITOR"/>
    <n v="0"/>
    <n v="0"/>
    <n v="0"/>
    <n v="0"/>
    <n v="117"/>
  </r>
  <r>
    <n v="19817648"/>
    <s v="N"/>
    <n v="21343229"/>
    <s v="3000008335380015"/>
    <s v="CIVIL"/>
    <d v="2023-06-26T00:00:00"/>
    <d v="2023-07-07T19:03:00"/>
    <m/>
    <d v="2023-07-07T00:00:00"/>
    <n v="1471"/>
    <n v="19663"/>
    <s v="19817648"/>
    <s v="19817648"/>
    <m/>
    <m/>
    <n v="22760304"/>
    <m/>
    <m/>
    <m/>
    <s v="SOLFIN"/>
    <s v="SOLFIN"/>
    <s v="CCMS"/>
    <n v="21343229"/>
    <n v="22333.01"/>
    <m/>
    <s v="N"/>
    <n v="43"/>
    <d v="2023-07-07T19:03:05"/>
    <s v="Y"/>
    <s v="Final Hearing - 1 Day"/>
    <s v="Public Law Children"/>
    <s v="Advocacy"/>
    <s v="Sarah De-Maine"/>
    <s v="Y"/>
    <n v="556.88"/>
    <n v="111.38"/>
    <x v="9"/>
    <s v="VALIDATED"/>
    <n v="1"/>
    <s v="01.11.80.308.6100.0000"/>
    <n v="556.88"/>
    <s v="11"/>
    <s v="6100"/>
    <n v="7036.05"/>
    <n v="556.88"/>
    <s v="CREDITOR"/>
    <n v="0"/>
    <n v="0"/>
    <n v="0"/>
    <n v="0"/>
    <n v="556.88"/>
  </r>
  <r>
    <n v="19817648"/>
    <s v="N"/>
    <n v="21343229"/>
    <s v="3000008335380015"/>
    <s v="CIVIL"/>
    <d v="2023-06-26T00:00:00"/>
    <d v="2023-07-07T19:03:00"/>
    <m/>
    <d v="2023-07-07T00:00:00"/>
    <n v="1471"/>
    <n v="19663"/>
    <s v="19817648"/>
    <s v="19817648"/>
    <m/>
    <m/>
    <n v="22760304"/>
    <m/>
    <m/>
    <m/>
    <s v="SOLFIN"/>
    <s v="SOLFIN"/>
    <s v="CCMS"/>
    <n v="21343229"/>
    <n v="22333.01"/>
    <m/>
    <s v="N"/>
    <n v="4"/>
    <d v="2023-07-07T19:03:05"/>
    <s v="Y"/>
    <s v="Exceptional Travel"/>
    <s v="Public Law Children"/>
    <s v="Advocacy"/>
    <s v="Sarah De-Maine"/>
    <s v="Y"/>
    <n v="32.04"/>
    <n v="6.41"/>
    <x v="9"/>
    <s v="VALIDATED"/>
    <n v="1"/>
    <s v="01.11.80.308.6100.0000"/>
    <n v="32.04"/>
    <s v="11"/>
    <s v="6100"/>
    <n v="7036.05"/>
    <n v="32.04"/>
    <s v="CREDITOR"/>
    <n v="0"/>
    <n v="0"/>
    <n v="0"/>
    <n v="0"/>
    <n v="32.04"/>
  </r>
  <r>
    <n v="19817648"/>
    <s v="N"/>
    <n v="21343229"/>
    <s v="3000008335380015"/>
    <s v="CIVIL"/>
    <d v="2023-06-26T00:00:00"/>
    <d v="2023-07-07T19:03:00"/>
    <m/>
    <d v="2023-07-07T00:00:00"/>
    <n v="1471"/>
    <n v="19663"/>
    <s v="19817648"/>
    <s v="19817648"/>
    <m/>
    <m/>
    <n v="22760304"/>
    <m/>
    <m/>
    <m/>
    <s v="SOLFIN"/>
    <s v="SOLFIN"/>
    <s v="CCMS"/>
    <n v="21343229"/>
    <n v="22333.01"/>
    <m/>
    <s v="N"/>
    <n v="18"/>
    <d v="2023-07-07T19:03:05"/>
    <s v="Y"/>
    <s v="Solicitor Travel Expenses"/>
    <s v="Public Law Children"/>
    <s v="Non Expert Disbursement"/>
    <s v="Sarah De-Maine"/>
    <s v="Y"/>
    <n v="5"/>
    <n v="1"/>
    <x v="9"/>
    <s v="VALIDATED"/>
    <n v="1"/>
    <s v="01.11.80.308.6300.0000"/>
    <n v="5"/>
    <s v="11"/>
    <s v="6300"/>
    <n v="7036.05"/>
    <n v="5"/>
    <s v="CREDITOR"/>
    <n v="0"/>
    <n v="0"/>
    <n v="0"/>
    <n v="0"/>
    <n v="5"/>
  </r>
  <r>
    <n v="19817648"/>
    <s v="N"/>
    <n v="21343229"/>
    <s v="3000008335380015"/>
    <s v="CIVIL"/>
    <d v="2023-06-26T00:00:00"/>
    <d v="2023-07-07T19:03:00"/>
    <m/>
    <d v="2023-07-07T00:00:00"/>
    <n v="1471"/>
    <n v="19663"/>
    <s v="19817648"/>
    <s v="19817648"/>
    <m/>
    <m/>
    <n v="22760304"/>
    <m/>
    <m/>
    <m/>
    <s v="SOLFIN"/>
    <s v="SOLFIN"/>
    <s v="CCMS"/>
    <n v="21343229"/>
    <n v="22333.01"/>
    <m/>
    <s v="N"/>
    <n v="40"/>
    <d v="2023-07-07T19:03:05"/>
    <s v="Y"/>
    <s v="Hearing Unit 1.01 - 2.30 Hours"/>
    <s v="Public Law Children"/>
    <s v="Advocacy"/>
    <s v="Sarah De-Maine"/>
    <s v="Y"/>
    <n v="238.46"/>
    <n v="47.69"/>
    <x v="9"/>
    <s v="VALIDATED"/>
    <n v="1"/>
    <s v="01.11.80.308.6100.0000"/>
    <n v="238.46"/>
    <s v="11"/>
    <s v="6100"/>
    <n v="7036.05"/>
    <n v="238.46"/>
    <s v="CREDITOR"/>
    <n v="0"/>
    <n v="0"/>
    <n v="0"/>
    <n v="0"/>
    <n v="238.46"/>
  </r>
  <r>
    <n v="19817648"/>
    <s v="N"/>
    <n v="21343229"/>
    <s v="3000008335380015"/>
    <s v="CIVIL"/>
    <d v="2023-06-26T00:00:00"/>
    <d v="2023-07-07T19:03:00"/>
    <m/>
    <d v="2023-07-07T00:00:00"/>
    <n v="1471"/>
    <n v="19663"/>
    <s v="19817648"/>
    <s v="19817648"/>
    <m/>
    <m/>
    <n v="22760304"/>
    <m/>
    <m/>
    <m/>
    <s v="SOLFIN"/>
    <s v="SOLFIN"/>
    <s v="CCMS"/>
    <n v="21343229"/>
    <n v="22333.01"/>
    <m/>
    <s v="N"/>
    <n v="20"/>
    <d v="2023-07-07T19:03:05"/>
    <s v="Y"/>
    <s v="Court Fee"/>
    <s v="Public Law Children"/>
    <s v="Non Expert Disbursement"/>
    <s v="Sarah De-Maine"/>
    <s v="Y"/>
    <n v="53"/>
    <n v="0"/>
    <x v="9"/>
    <s v="VALIDATED"/>
    <n v="1"/>
    <s v="01.11.80.308.6300.0000"/>
    <n v="53"/>
    <s v="11"/>
    <s v="6300"/>
    <n v="7036.05"/>
    <n v="53"/>
    <s v="CREDITOR"/>
    <n v="0"/>
    <n v="0"/>
    <n v="0"/>
    <n v="0"/>
    <n v="53"/>
  </r>
  <r>
    <n v="19817648"/>
    <s v="N"/>
    <n v="21343229"/>
    <s v="3000008335380015"/>
    <s v="CIVIL"/>
    <d v="2023-06-26T00:00:00"/>
    <d v="2023-07-07T19:03:00"/>
    <m/>
    <d v="2023-07-07T00:00:00"/>
    <n v="1471"/>
    <n v="19663"/>
    <s v="19817648"/>
    <s v="19817648"/>
    <m/>
    <m/>
    <n v="22760304"/>
    <m/>
    <m/>
    <m/>
    <s v="SOLFIN"/>
    <s v="SOLFIN"/>
    <s v="CCMS"/>
    <n v="21343229"/>
    <n v="22333.01"/>
    <m/>
    <s v="N"/>
    <n v="29"/>
    <d v="2023-07-07T19:03:05"/>
    <s v="Y"/>
    <s v="Hearing Unit 2.31 - 5.00 Hours"/>
    <s v="Public Law Children"/>
    <s v="Advocacy"/>
    <s v="Sarah De-Maine"/>
    <s v="Y"/>
    <n v="476.92"/>
    <n v="95.38"/>
    <x v="9"/>
    <s v="VALIDATED"/>
    <n v="1"/>
    <s v="01.11.80.308.6100.0000"/>
    <n v="476.92"/>
    <s v="11"/>
    <s v="6100"/>
    <n v="7036.05"/>
    <n v="476.92"/>
    <s v="CREDITOR"/>
    <n v="0"/>
    <n v="0"/>
    <n v="0"/>
    <n v="0"/>
    <n v="476.92"/>
  </r>
  <r>
    <n v="19817648"/>
    <s v="N"/>
    <n v="21346455"/>
    <s v="3000008335380001RC"/>
    <s v="CIVIL"/>
    <d v="2023-06-26T00:00:00"/>
    <d v="2023-07-07T19:34:21"/>
    <m/>
    <d v="2023-07-07T00:00:00"/>
    <n v="1471"/>
    <n v="19663"/>
    <s v="19817648"/>
    <s v="19817648"/>
    <m/>
    <m/>
    <m/>
    <m/>
    <m/>
    <m/>
    <s v="SOLRECOUP"/>
    <s v="SOLRECOUP"/>
    <s v="POARECOUP"/>
    <n v="21346455"/>
    <n v="-124.5"/>
    <m/>
    <s v="Y"/>
    <n v="1"/>
    <d v="2023-07-07T19:34:23"/>
    <s v="N"/>
    <m/>
    <m/>
    <s v="Expert Disbursement"/>
    <m/>
    <s v="N"/>
    <n v="-103.75"/>
    <n v="0"/>
    <x v="9"/>
    <s v="VALIDATED"/>
    <n v="1"/>
    <s v="01.11.80.308.2013.0000"/>
    <n v="-103.75"/>
    <s v="11"/>
    <s v="2013"/>
    <n v="7036.05"/>
    <n v="-103.75"/>
    <s v="CREDITOR"/>
    <n v="0"/>
    <n v="0"/>
    <n v="-103.75"/>
    <n v="0"/>
    <n v="0"/>
  </r>
  <r>
    <n v="19817648"/>
    <s v="N"/>
    <n v="21346455"/>
    <s v="3000008335380001RC"/>
    <s v="CIVIL"/>
    <d v="2023-06-26T00:00:00"/>
    <d v="2023-07-07T19:34:21"/>
    <m/>
    <d v="2023-07-07T00:00:00"/>
    <n v="1471"/>
    <n v="19663"/>
    <s v="19817648"/>
    <s v="19817648"/>
    <m/>
    <m/>
    <m/>
    <m/>
    <m/>
    <m/>
    <s v="SOLRECOUP"/>
    <s v="SOLRECOUP"/>
    <s v="POARECOUP"/>
    <n v="21346455"/>
    <n v="-124.5"/>
    <m/>
    <s v="Y"/>
    <n v="2"/>
    <d v="2023-07-07T19:34:23"/>
    <s v="N"/>
    <m/>
    <m/>
    <s v="Expert Disbursement"/>
    <m/>
    <s v="N"/>
    <n v="0"/>
    <n v="-20.75"/>
    <x v="9"/>
    <s v="VALIDATED"/>
    <n v="1"/>
    <s v="01.11.80.308.2013.0000"/>
    <n v="-20.75"/>
    <s v="11"/>
    <s v="2013"/>
    <n v="7036.05"/>
    <n v="-20.75"/>
    <s v="CREDITOR"/>
    <n v="0"/>
    <n v="0"/>
    <n v="-20.75"/>
    <n v="0"/>
    <n v="0"/>
  </r>
  <r>
    <n v="19817648"/>
    <s v="N"/>
    <n v="21346456"/>
    <s v="3000008335380002RC"/>
    <s v="CIVIL"/>
    <d v="2023-06-26T00:00:00"/>
    <d v="2023-07-07T19:34:21"/>
    <m/>
    <d v="2023-07-07T00:00:00"/>
    <n v="1471"/>
    <n v="19663"/>
    <s v="19817648"/>
    <s v="19817648"/>
    <m/>
    <m/>
    <m/>
    <m/>
    <m/>
    <m/>
    <s v="SOLRECOUP"/>
    <s v="SOLRECOUP"/>
    <s v="POARECOUP"/>
    <n v="21346456"/>
    <n v="-18.13"/>
    <m/>
    <s v="Y"/>
    <n v="1"/>
    <d v="2023-07-07T19:34:23"/>
    <s v="N"/>
    <m/>
    <m/>
    <s v="Non Expert Disbursement"/>
    <m/>
    <s v="N"/>
    <n v="-15.11"/>
    <n v="0"/>
    <x v="9"/>
    <s v="VALIDATED"/>
    <n v="1"/>
    <s v="01.11.80.308.2013.0000"/>
    <n v="-15.11"/>
    <s v="11"/>
    <s v="2013"/>
    <n v="7036.05"/>
    <n v="-15.11"/>
    <s v="CREDITOR"/>
    <n v="0"/>
    <n v="0"/>
    <n v="-15.11"/>
    <n v="0"/>
    <n v="0"/>
  </r>
  <r>
    <n v="19817648"/>
    <s v="N"/>
    <n v="21346456"/>
    <s v="3000008335380002RC"/>
    <s v="CIVIL"/>
    <d v="2023-06-26T00:00:00"/>
    <d v="2023-07-07T19:34:21"/>
    <m/>
    <d v="2023-07-07T00:00:00"/>
    <n v="1471"/>
    <n v="19663"/>
    <s v="19817648"/>
    <s v="19817648"/>
    <m/>
    <m/>
    <m/>
    <m/>
    <m/>
    <m/>
    <s v="SOLRECOUP"/>
    <s v="SOLRECOUP"/>
    <s v="POARECOUP"/>
    <n v="21346456"/>
    <n v="-18.13"/>
    <m/>
    <s v="Y"/>
    <n v="2"/>
    <d v="2023-07-07T19:34:23"/>
    <s v="N"/>
    <m/>
    <m/>
    <s v="Non Expert Disbursement"/>
    <m/>
    <s v="N"/>
    <n v="0"/>
    <n v="-3.02"/>
    <x v="9"/>
    <s v="VALIDATED"/>
    <n v="1"/>
    <s v="01.11.80.308.2013.0000"/>
    <n v="-3.02"/>
    <s v="11"/>
    <s v="2013"/>
    <n v="7036.05"/>
    <n v="-3.02"/>
    <s v="CREDITOR"/>
    <n v="0"/>
    <n v="0"/>
    <n v="-3.02"/>
    <n v="0"/>
    <n v="0"/>
  </r>
  <r>
    <n v="19817648"/>
    <s v="N"/>
    <n v="21346457"/>
    <s v="3000008335380003RC"/>
    <s v="CIVIL"/>
    <d v="2023-06-26T00:00:00"/>
    <d v="2023-07-07T19:34:21"/>
    <m/>
    <d v="2023-07-07T00:00:00"/>
    <n v="1471"/>
    <n v="19663"/>
    <s v="19817648"/>
    <s v="19817648"/>
    <m/>
    <m/>
    <m/>
    <m/>
    <m/>
    <m/>
    <s v="SOLRECOUP"/>
    <s v="SOLRECOUP"/>
    <s v="POARECOUP"/>
    <n v="21346457"/>
    <n v="-2256.35"/>
    <m/>
    <s v="Y"/>
    <n v="1"/>
    <d v="2023-07-07T19:34:23"/>
    <s v="N"/>
    <m/>
    <m/>
    <s v="Profit Cost"/>
    <m/>
    <s v="N"/>
    <n v="-1880.29"/>
    <n v="0"/>
    <x v="9"/>
    <s v="VALIDATED"/>
    <n v="1"/>
    <s v="01.11.80.308.2013.0000"/>
    <n v="-1880.29"/>
    <s v="11"/>
    <s v="2013"/>
    <n v="7036.05"/>
    <n v="-1880.29"/>
    <s v="CREDITOR"/>
    <n v="0"/>
    <n v="0"/>
    <n v="-1880.29"/>
    <n v="-470.0725"/>
    <n v="0"/>
  </r>
  <r>
    <n v="19817648"/>
    <s v="N"/>
    <n v="21346457"/>
    <s v="3000008335380003RC"/>
    <s v="CIVIL"/>
    <d v="2023-06-26T00:00:00"/>
    <d v="2023-07-07T19:34:21"/>
    <m/>
    <d v="2023-07-07T00:00:00"/>
    <n v="1471"/>
    <n v="19663"/>
    <s v="19817648"/>
    <s v="19817648"/>
    <m/>
    <m/>
    <m/>
    <m/>
    <m/>
    <m/>
    <s v="SOLRECOUP"/>
    <s v="SOLRECOUP"/>
    <s v="POARECOUP"/>
    <n v="21346457"/>
    <n v="-2256.35"/>
    <m/>
    <s v="Y"/>
    <n v="2"/>
    <d v="2023-07-07T19:34:23"/>
    <s v="N"/>
    <m/>
    <m/>
    <s v="Profit Cost"/>
    <m/>
    <s v="N"/>
    <n v="0"/>
    <n v="-376.06"/>
    <x v="9"/>
    <s v="VALIDATED"/>
    <n v="1"/>
    <s v="01.11.80.308.2013.0000"/>
    <n v="-376.06"/>
    <s v="11"/>
    <s v="2013"/>
    <n v="7036.05"/>
    <n v="-376.06"/>
    <s v="CREDITOR"/>
    <n v="0"/>
    <n v="0"/>
    <n v="-376.06"/>
    <n v="-94.015"/>
    <n v="0"/>
  </r>
  <r>
    <n v="19817648"/>
    <s v="N"/>
    <n v="21346458"/>
    <s v="3000008335380004RC"/>
    <s v="CIVIL"/>
    <d v="2023-06-26T00:00:00"/>
    <d v="2023-07-07T19:34:21"/>
    <m/>
    <d v="2023-07-07T00:00:00"/>
    <n v="1471"/>
    <n v="19663"/>
    <s v="19817648"/>
    <s v="19817648"/>
    <m/>
    <m/>
    <m/>
    <m/>
    <m/>
    <m/>
    <s v="SOLRECOUP"/>
    <s v="SOLRECOUP"/>
    <s v="POARECOUP"/>
    <n v="21346458"/>
    <n v="-1181.41"/>
    <m/>
    <s v="Y"/>
    <n v="1"/>
    <d v="2023-07-07T19:34:23"/>
    <s v="N"/>
    <m/>
    <m/>
    <s v="Expert Disbursement"/>
    <m/>
    <s v="N"/>
    <n v="-984.51"/>
    <n v="0"/>
    <x v="9"/>
    <s v="VALIDATED"/>
    <n v="1"/>
    <s v="01.11.80.308.2013.0000"/>
    <n v="-984.51"/>
    <s v="11"/>
    <s v="2013"/>
    <n v="7036.05"/>
    <n v="-984.51"/>
    <s v="CREDITOR"/>
    <n v="0"/>
    <n v="0"/>
    <n v="-984.51"/>
    <n v="0"/>
    <n v="0"/>
  </r>
  <r>
    <n v="19817648"/>
    <s v="N"/>
    <n v="21346458"/>
    <s v="3000008335380004RC"/>
    <s v="CIVIL"/>
    <d v="2023-06-26T00:00:00"/>
    <d v="2023-07-07T19:34:21"/>
    <m/>
    <d v="2023-07-07T00:00:00"/>
    <n v="1471"/>
    <n v="19663"/>
    <s v="19817648"/>
    <s v="19817648"/>
    <m/>
    <m/>
    <m/>
    <m/>
    <m/>
    <m/>
    <s v="SOLRECOUP"/>
    <s v="SOLRECOUP"/>
    <s v="POARECOUP"/>
    <n v="21346458"/>
    <n v="-1181.41"/>
    <m/>
    <s v="Y"/>
    <n v="2"/>
    <d v="2023-07-07T19:34:23"/>
    <s v="N"/>
    <m/>
    <m/>
    <s v="Expert Disbursement"/>
    <m/>
    <s v="N"/>
    <n v="0"/>
    <n v="-196.9"/>
    <x v="9"/>
    <s v="VALIDATED"/>
    <n v="1"/>
    <s v="01.11.80.308.2013.0000"/>
    <n v="-196.9"/>
    <s v="11"/>
    <s v="2013"/>
    <n v="7036.05"/>
    <n v="-196.9"/>
    <s v="CREDITOR"/>
    <n v="0"/>
    <n v="0"/>
    <n v="-196.9"/>
    <n v="0"/>
    <n v="0"/>
  </r>
  <r>
    <n v="19817648"/>
    <s v="N"/>
    <n v="21346459"/>
    <s v="3000008335380008RC"/>
    <s v="CIVIL"/>
    <d v="2023-06-26T00:00:00"/>
    <d v="2023-07-07T19:34:21"/>
    <m/>
    <d v="2023-07-07T00:00:00"/>
    <n v="1471"/>
    <n v="19663"/>
    <s v="19817648"/>
    <s v="19817648"/>
    <m/>
    <m/>
    <m/>
    <m/>
    <m/>
    <m/>
    <s v="SOLRECOUP"/>
    <s v="SOLRECOUP"/>
    <s v="POARECOUP"/>
    <n v="21346459"/>
    <n v="-140.4"/>
    <m/>
    <s v="Y"/>
    <n v="1"/>
    <d v="2023-07-07T19:34:23"/>
    <s v="N"/>
    <m/>
    <m/>
    <s v="Expert Disbursement"/>
    <m/>
    <s v="N"/>
    <n v="-117"/>
    <n v="0"/>
    <x v="9"/>
    <s v="VALIDATED"/>
    <n v="1"/>
    <s v="01.11.80.308.2013.0000"/>
    <n v="-117"/>
    <s v="11"/>
    <s v="2013"/>
    <n v="7036.05"/>
    <n v="-117"/>
    <s v="CREDITOR"/>
    <n v="0"/>
    <n v="0"/>
    <n v="-117"/>
    <n v="0"/>
    <n v="0"/>
  </r>
  <r>
    <n v="19817648"/>
    <s v="N"/>
    <n v="21346459"/>
    <s v="3000008335380008RC"/>
    <s v="CIVIL"/>
    <d v="2023-06-26T00:00:00"/>
    <d v="2023-07-07T19:34:21"/>
    <m/>
    <d v="2023-07-07T00:00:00"/>
    <n v="1471"/>
    <n v="19663"/>
    <s v="19817648"/>
    <s v="19817648"/>
    <m/>
    <m/>
    <m/>
    <m/>
    <m/>
    <m/>
    <s v="SOLRECOUP"/>
    <s v="SOLRECOUP"/>
    <s v="POARECOUP"/>
    <n v="21346459"/>
    <n v="-140.4"/>
    <m/>
    <s v="Y"/>
    <n v="2"/>
    <d v="2023-07-07T19:34:23"/>
    <s v="N"/>
    <m/>
    <m/>
    <s v="Expert Disbursement"/>
    <m/>
    <s v="N"/>
    <n v="0"/>
    <n v="-23.4"/>
    <x v="9"/>
    <s v="VALIDATED"/>
    <n v="1"/>
    <s v="01.11.80.308.2013.0000"/>
    <n v="-23.4"/>
    <s v="11"/>
    <s v="2013"/>
    <n v="7036.05"/>
    <n v="-23.4"/>
    <s v="CREDITOR"/>
    <n v="0"/>
    <n v="0"/>
    <n v="-23.4"/>
    <n v="0"/>
    <n v="0"/>
  </r>
  <r>
    <n v="19817648"/>
    <s v="N"/>
    <n v="21346460"/>
    <s v="3000008335380005RC"/>
    <s v="CIVIL"/>
    <d v="2023-06-26T00:00:00"/>
    <d v="2023-07-07T19:34:21"/>
    <m/>
    <d v="2023-07-07T00:00:00"/>
    <n v="1471"/>
    <n v="19663"/>
    <s v="19817648"/>
    <s v="19817648"/>
    <m/>
    <m/>
    <m/>
    <m/>
    <m/>
    <m/>
    <s v="SOLRECOUP"/>
    <s v="SOLRECOUP"/>
    <s v="POARECOUP"/>
    <n v="21346460"/>
    <n v="-56.16"/>
    <m/>
    <s v="Y"/>
    <n v="1"/>
    <d v="2023-07-07T19:34:23"/>
    <s v="N"/>
    <m/>
    <m/>
    <s v="Expert Disbursement"/>
    <m/>
    <s v="N"/>
    <n v="-46.8"/>
    <n v="0"/>
    <x v="9"/>
    <s v="VALIDATED"/>
    <n v="1"/>
    <s v="01.11.80.308.2013.0000"/>
    <n v="-46.8"/>
    <s v="11"/>
    <s v="2013"/>
    <n v="7036.05"/>
    <n v="-46.8"/>
    <s v="CREDITOR"/>
    <n v="0"/>
    <n v="0"/>
    <n v="-46.8"/>
    <n v="0"/>
    <n v="0"/>
  </r>
  <r>
    <n v="19817648"/>
    <s v="N"/>
    <n v="21346460"/>
    <s v="3000008335380005RC"/>
    <s v="CIVIL"/>
    <d v="2023-06-26T00:00:00"/>
    <d v="2023-07-07T19:34:21"/>
    <m/>
    <d v="2023-07-07T00:00:00"/>
    <n v="1471"/>
    <n v="19663"/>
    <s v="19817648"/>
    <s v="19817648"/>
    <m/>
    <m/>
    <m/>
    <m/>
    <m/>
    <m/>
    <s v="SOLRECOUP"/>
    <s v="SOLRECOUP"/>
    <s v="POARECOUP"/>
    <n v="21346460"/>
    <n v="-56.16"/>
    <m/>
    <s v="Y"/>
    <n v="2"/>
    <d v="2023-07-07T19:34:23"/>
    <s v="N"/>
    <m/>
    <m/>
    <s v="Expert Disbursement"/>
    <m/>
    <s v="N"/>
    <n v="0"/>
    <n v="-9.359999999999999"/>
    <x v="9"/>
    <s v="VALIDATED"/>
    <n v="1"/>
    <s v="01.11.80.308.2013.0000"/>
    <n v="-9.359999999999999"/>
    <s v="11"/>
    <s v="2013"/>
    <n v="7036.05"/>
    <n v="-9.359999999999999"/>
    <s v="CREDITOR"/>
    <n v="0"/>
    <n v="0"/>
    <n v="-9.359999999999999"/>
    <n v="0"/>
    <n v="0"/>
  </r>
  <r>
    <n v="19817648"/>
    <s v="N"/>
    <n v="21346461"/>
    <s v="3000008335380007RC"/>
    <s v="CIVIL"/>
    <d v="2023-06-26T00:00:00"/>
    <d v="2023-07-07T19:34:21"/>
    <m/>
    <d v="2023-07-07T00:00:00"/>
    <n v="1471"/>
    <n v="19663"/>
    <s v="19817648"/>
    <s v="19817648"/>
    <m/>
    <m/>
    <m/>
    <m/>
    <m/>
    <m/>
    <s v="SOLRECOUP"/>
    <s v="SOLRECOUP"/>
    <s v="POARECOUP"/>
    <n v="21346461"/>
    <n v="-84.23999999999999"/>
    <m/>
    <s v="Y"/>
    <n v="1"/>
    <d v="2023-07-07T19:34:23"/>
    <s v="N"/>
    <m/>
    <m/>
    <s v="Expert Disbursement"/>
    <m/>
    <s v="N"/>
    <n v="-70.2"/>
    <n v="0"/>
    <x v="9"/>
    <s v="VALIDATED"/>
    <n v="1"/>
    <s v="01.11.80.308.2013.0000"/>
    <n v="-70.2"/>
    <s v="11"/>
    <s v="2013"/>
    <n v="7036.05"/>
    <n v="-70.2"/>
    <s v="CREDITOR"/>
    <n v="0"/>
    <n v="0"/>
    <n v="-70.2"/>
    <n v="0"/>
    <n v="0"/>
  </r>
  <r>
    <n v="19817648"/>
    <s v="N"/>
    <n v="21346461"/>
    <s v="3000008335380007RC"/>
    <s v="CIVIL"/>
    <d v="2023-06-26T00:00:00"/>
    <d v="2023-07-07T19:34:21"/>
    <m/>
    <d v="2023-07-07T00:00:00"/>
    <n v="1471"/>
    <n v="19663"/>
    <s v="19817648"/>
    <s v="19817648"/>
    <m/>
    <m/>
    <m/>
    <m/>
    <m/>
    <m/>
    <s v="SOLRECOUP"/>
    <s v="SOLRECOUP"/>
    <s v="POARECOUP"/>
    <n v="21346461"/>
    <n v="-84.23999999999999"/>
    <m/>
    <s v="Y"/>
    <n v="2"/>
    <d v="2023-07-07T19:34:23"/>
    <s v="N"/>
    <m/>
    <m/>
    <s v="Expert Disbursement"/>
    <m/>
    <s v="N"/>
    <n v="0"/>
    <n v="-14.04"/>
    <x v="9"/>
    <s v="VALIDATED"/>
    <n v="1"/>
    <s v="01.11.80.308.2013.0000"/>
    <n v="-14.04"/>
    <s v="11"/>
    <s v="2013"/>
    <n v="7036.05"/>
    <n v="-14.04"/>
    <s v="CREDITOR"/>
    <n v="0"/>
    <n v="0"/>
    <n v="-14.04"/>
    <n v="0"/>
    <n v="0"/>
  </r>
  <r>
    <n v="19817648"/>
    <s v="N"/>
    <n v="21346462"/>
    <s v="3000008335380006RC"/>
    <s v="CIVIL"/>
    <d v="2023-06-26T00:00:00"/>
    <d v="2023-07-07T19:34:21"/>
    <m/>
    <d v="2023-07-07T00:00:00"/>
    <n v="1471"/>
    <n v="19663"/>
    <s v="19817648"/>
    <s v="19817648"/>
    <m/>
    <m/>
    <m/>
    <m/>
    <m/>
    <m/>
    <s v="SOLRECOUP"/>
    <s v="SOLRECOUP"/>
    <s v="POARECOUP"/>
    <n v="21346462"/>
    <n v="-2192.51"/>
    <m/>
    <s v="Y"/>
    <n v="1"/>
    <d v="2023-07-07T19:34:23"/>
    <s v="N"/>
    <m/>
    <m/>
    <s v="Profit Cost"/>
    <m/>
    <s v="N"/>
    <n v="-1827.09"/>
    <n v="0"/>
    <x v="9"/>
    <s v="VALIDATED"/>
    <n v="1"/>
    <s v="01.11.80.308.2013.0000"/>
    <n v="-1827.09"/>
    <s v="11"/>
    <s v="2013"/>
    <n v="7036.05"/>
    <n v="-1827.09"/>
    <s v="CREDITOR"/>
    <n v="0"/>
    <n v="0"/>
    <n v="-1827.09"/>
    <n v="-456.7725"/>
    <n v="0"/>
  </r>
  <r>
    <n v="19817648"/>
    <s v="N"/>
    <n v="21346462"/>
    <s v="3000008335380006RC"/>
    <s v="CIVIL"/>
    <d v="2023-06-26T00:00:00"/>
    <d v="2023-07-07T19:34:21"/>
    <m/>
    <d v="2023-07-07T00:00:00"/>
    <n v="1471"/>
    <n v="19663"/>
    <s v="19817648"/>
    <s v="19817648"/>
    <m/>
    <m/>
    <m/>
    <m/>
    <m/>
    <m/>
    <s v="SOLRECOUP"/>
    <s v="SOLRECOUP"/>
    <s v="POARECOUP"/>
    <n v="21346462"/>
    <n v="-2192.51"/>
    <m/>
    <s v="Y"/>
    <n v="2"/>
    <d v="2023-07-07T19:34:23"/>
    <s v="N"/>
    <m/>
    <m/>
    <s v="Profit Cost"/>
    <m/>
    <s v="N"/>
    <n v="0"/>
    <n v="-365.42"/>
    <x v="9"/>
    <s v="VALIDATED"/>
    <n v="1"/>
    <s v="01.11.80.308.2013.0000"/>
    <n v="-365.42"/>
    <s v="11"/>
    <s v="2013"/>
    <n v="7036.05"/>
    <n v="-365.42"/>
    <s v="CREDITOR"/>
    <n v="0"/>
    <n v="0"/>
    <n v="-365.42"/>
    <n v="-91.355"/>
    <n v="0"/>
  </r>
  <r>
    <n v="19817648"/>
    <s v="N"/>
    <n v="21346463"/>
    <s v="3000008335380009RC"/>
    <s v="CIVIL"/>
    <d v="2023-06-26T00:00:00"/>
    <d v="2023-07-07T19:34:21"/>
    <m/>
    <d v="2023-07-07T00:00:00"/>
    <n v="1471"/>
    <n v="19663"/>
    <s v="19817648"/>
    <s v="19817648"/>
    <m/>
    <m/>
    <m/>
    <m/>
    <m/>
    <m/>
    <s v="SOLRECOUP"/>
    <s v="SOLRECOUP"/>
    <s v="POARECOUP"/>
    <n v="21346463"/>
    <n v="-220.8"/>
    <m/>
    <s v="Y"/>
    <n v="1"/>
    <d v="2023-07-07T19:34:23"/>
    <s v="N"/>
    <m/>
    <m/>
    <s v="Expert Disbursement"/>
    <m/>
    <s v="N"/>
    <n v="-184"/>
    <n v="0"/>
    <x v="9"/>
    <s v="VALIDATED"/>
    <n v="1"/>
    <s v="01.11.80.308.2013.0000"/>
    <n v="-184"/>
    <s v="11"/>
    <s v="2013"/>
    <n v="7036.05"/>
    <n v="-184"/>
    <s v="CREDITOR"/>
    <n v="0"/>
    <n v="0"/>
    <n v="-184"/>
    <n v="0"/>
    <n v="0"/>
  </r>
  <r>
    <n v="19817648"/>
    <s v="N"/>
    <n v="21346463"/>
    <s v="3000008335380009RC"/>
    <s v="CIVIL"/>
    <d v="2023-06-26T00:00:00"/>
    <d v="2023-07-07T19:34:21"/>
    <m/>
    <d v="2023-07-07T00:00:00"/>
    <n v="1471"/>
    <n v="19663"/>
    <s v="19817648"/>
    <s v="19817648"/>
    <m/>
    <m/>
    <m/>
    <m/>
    <m/>
    <m/>
    <s v="SOLRECOUP"/>
    <s v="SOLRECOUP"/>
    <s v="POARECOUP"/>
    <n v="21346463"/>
    <n v="-220.8"/>
    <m/>
    <s v="Y"/>
    <n v="2"/>
    <d v="2023-07-07T19:34:23"/>
    <s v="N"/>
    <m/>
    <m/>
    <s v="Expert Disbursement"/>
    <m/>
    <s v="N"/>
    <n v="0"/>
    <n v="-36.8"/>
    <x v="9"/>
    <s v="VALIDATED"/>
    <n v="1"/>
    <s v="01.11.80.308.2013.0000"/>
    <n v="-36.8"/>
    <s v="11"/>
    <s v="2013"/>
    <n v="7036.05"/>
    <n v="-36.8"/>
    <s v="CREDITOR"/>
    <n v="0"/>
    <n v="0"/>
    <n v="-36.8"/>
    <n v="0"/>
    <n v="0"/>
  </r>
  <r>
    <n v="19817648"/>
    <s v="N"/>
    <n v="21346464"/>
    <s v="3000008335380010RC"/>
    <s v="CIVIL"/>
    <d v="2023-06-26T00:00:00"/>
    <d v="2023-07-07T19:34:21"/>
    <m/>
    <d v="2023-07-07T00:00:00"/>
    <n v="1471"/>
    <n v="19663"/>
    <s v="19817648"/>
    <s v="19817648"/>
    <m/>
    <m/>
    <m/>
    <m/>
    <m/>
    <m/>
    <s v="SOLRECOUP"/>
    <s v="SOLRECOUP"/>
    <s v="POARECOUP"/>
    <n v="21346464"/>
    <n v="-248.88"/>
    <m/>
    <s v="Y"/>
    <n v="1"/>
    <d v="2023-07-07T19:34:23"/>
    <s v="N"/>
    <m/>
    <m/>
    <s v="Expert Disbursement"/>
    <m/>
    <s v="N"/>
    <n v="-207.4"/>
    <n v="0"/>
    <x v="9"/>
    <s v="VALIDATED"/>
    <n v="1"/>
    <s v="01.11.80.308.2013.0000"/>
    <n v="-207.4"/>
    <s v="11"/>
    <s v="2013"/>
    <n v="7036.05"/>
    <n v="-207.4"/>
    <s v="CREDITOR"/>
    <n v="0"/>
    <n v="0"/>
    <n v="-207.4"/>
    <n v="0"/>
    <n v="0"/>
  </r>
  <r>
    <n v="19817648"/>
    <s v="N"/>
    <n v="21346464"/>
    <s v="3000008335380010RC"/>
    <s v="CIVIL"/>
    <d v="2023-06-26T00:00:00"/>
    <d v="2023-07-07T19:34:21"/>
    <m/>
    <d v="2023-07-07T00:00:00"/>
    <n v="1471"/>
    <n v="19663"/>
    <s v="19817648"/>
    <s v="19817648"/>
    <m/>
    <m/>
    <m/>
    <m/>
    <m/>
    <m/>
    <s v="SOLRECOUP"/>
    <s v="SOLRECOUP"/>
    <s v="POARECOUP"/>
    <n v="21346464"/>
    <n v="-248.88"/>
    <m/>
    <s v="Y"/>
    <n v="2"/>
    <d v="2023-07-07T19:34:23"/>
    <s v="N"/>
    <m/>
    <m/>
    <s v="Expert Disbursement"/>
    <m/>
    <s v="N"/>
    <n v="0"/>
    <n v="-41.48"/>
    <x v="9"/>
    <s v="VALIDATED"/>
    <n v="1"/>
    <s v="01.11.80.308.2013.0000"/>
    <n v="-41.48"/>
    <s v="11"/>
    <s v="2013"/>
    <n v="7036.05"/>
    <n v="-41.48"/>
    <s v="CREDITOR"/>
    <n v="0"/>
    <n v="0"/>
    <n v="-41.48"/>
    <n v="0"/>
    <n v="0"/>
  </r>
  <r>
    <n v="60487903"/>
    <s v="N"/>
    <n v="21363253"/>
    <s v="3000014764480008"/>
    <s v="CIVIL"/>
    <d v="2023-06-29T00:00:00"/>
    <d v="2023-07-12T19:01:49"/>
    <m/>
    <d v="2023-07-12T00:00:00"/>
    <n v="1475"/>
    <n v="19685"/>
    <s v="60487903"/>
    <s v="60487903"/>
    <m/>
    <m/>
    <n v="22789826"/>
    <m/>
    <m/>
    <m/>
    <s v="SOLFIN"/>
    <s v="SOLFIN"/>
    <s v="CCMS"/>
    <n v="21363253"/>
    <n v="5173.82"/>
    <m/>
    <s v="N"/>
    <n v="8"/>
    <d v="2023-07-12T19:01:57"/>
    <s v="Y"/>
    <s v="Court Fee"/>
    <s v="Private Law Children"/>
    <s v="Non Expert Disbursement"/>
    <s v="JF"/>
    <s v="Y"/>
    <n v="167"/>
    <n v="0"/>
    <x v="0"/>
    <s v="VALIDATED"/>
    <n v="1"/>
    <s v="01.11.80.307.6300.0000"/>
    <n v="167"/>
    <s v="11"/>
    <s v="6300"/>
    <n v="3954.01"/>
    <n v="167"/>
    <s v="CREDITOR"/>
    <n v="0"/>
    <n v="0"/>
    <n v="0"/>
    <n v="0"/>
    <n v="167"/>
  </r>
  <r>
    <n v="60487903"/>
    <s v="N"/>
    <n v="21363253"/>
    <s v="3000014764480008"/>
    <s v="CIVIL"/>
    <d v="2023-06-29T00:00:00"/>
    <d v="2023-07-12T19:01:49"/>
    <m/>
    <d v="2023-07-12T00:00:00"/>
    <n v="1475"/>
    <n v="19685"/>
    <s v="60487903"/>
    <s v="60487903"/>
    <m/>
    <m/>
    <n v="22789826"/>
    <m/>
    <m/>
    <m/>
    <s v="SOLFIN"/>
    <s v="SOLFIN"/>
    <s v="CCMS"/>
    <n v="21363253"/>
    <n v="5173.82"/>
    <m/>
    <s v="N"/>
    <n v="6"/>
    <d v="2023-07-12T19:01:57"/>
    <s v="Y"/>
    <s v="Court Fee"/>
    <s v="Private Law Children"/>
    <s v="Non Expert Disbursement"/>
    <s v="JF"/>
    <s v="Y"/>
    <n v="167"/>
    <n v="0"/>
    <x v="0"/>
    <s v="VALIDATED"/>
    <n v="1"/>
    <s v="01.11.80.307.6300.0000"/>
    <n v="167"/>
    <s v="11"/>
    <s v="6300"/>
    <n v="3954.01"/>
    <n v="167"/>
    <s v="CREDITOR"/>
    <n v="0"/>
    <n v="0"/>
    <n v="0"/>
    <n v="0"/>
    <n v="167"/>
  </r>
  <r>
    <n v="60487903"/>
    <s v="N"/>
    <n v="21363253"/>
    <s v="3000014764480008"/>
    <s v="CIVIL"/>
    <d v="2023-06-29T00:00:00"/>
    <d v="2023-07-12T19:01:49"/>
    <m/>
    <d v="2023-07-12T00:00:00"/>
    <n v="1475"/>
    <n v="19685"/>
    <s v="60487903"/>
    <s v="60487903"/>
    <m/>
    <m/>
    <n v="22789826"/>
    <m/>
    <m/>
    <m/>
    <s v="SOLFIN"/>
    <s v="SOLFIN"/>
    <s v="CCMS"/>
    <n v="21363253"/>
    <n v="5173.82"/>
    <m/>
    <s v="N"/>
    <n v="7"/>
    <d v="2023-07-12T19:01:57"/>
    <s v="Y"/>
    <s v="Court Fee"/>
    <s v="Private Law Children"/>
    <s v="Non Expert Disbursement"/>
    <s v="JF"/>
    <s v="Y"/>
    <n v="167"/>
    <n v="0"/>
    <x v="0"/>
    <s v="VALIDATED"/>
    <n v="1"/>
    <s v="01.11.80.307.6300.0000"/>
    <n v="167"/>
    <s v="11"/>
    <s v="6300"/>
    <n v="3954.01"/>
    <n v="167"/>
    <s v="CREDITOR"/>
    <n v="0"/>
    <n v="0"/>
    <n v="0"/>
    <n v="0"/>
    <n v="167"/>
  </r>
  <r>
    <n v="60487903"/>
    <s v="N"/>
    <n v="21363253"/>
    <s v="3000014764480008"/>
    <s v="CIVIL"/>
    <d v="2023-06-29T00:00:00"/>
    <d v="2023-07-12T19:01:49"/>
    <m/>
    <d v="2023-07-12T00:00:00"/>
    <n v="1475"/>
    <n v="19685"/>
    <s v="60487903"/>
    <s v="60487903"/>
    <m/>
    <m/>
    <n v="22789826"/>
    <m/>
    <m/>
    <m/>
    <s v="SOLFIN"/>
    <s v="SOLFIN"/>
    <s v="CCMS"/>
    <n v="21363253"/>
    <n v="5173.82"/>
    <m/>
    <s v="N"/>
    <n v="10"/>
    <d v="2023-07-12T19:01:57"/>
    <s v="Y"/>
    <s v="Hearing Unit 2.31 - 5.00 Hours"/>
    <s v="Private Law Children"/>
    <s v="Advocacy"/>
    <s v="JF"/>
    <s v="Y"/>
    <n v="313.48"/>
    <n v="62.7"/>
    <x v="0"/>
    <s v="VALIDATED"/>
    <n v="1"/>
    <s v="01.11.80.307.6100.0000"/>
    <n v="313.48"/>
    <s v="11"/>
    <s v="6100"/>
    <n v="3954.01"/>
    <n v="313.48"/>
    <s v="CREDITOR"/>
    <n v="0"/>
    <n v="0"/>
    <n v="0"/>
    <n v="0"/>
    <n v="313.48"/>
  </r>
  <r>
    <n v="60487903"/>
    <s v="N"/>
    <n v="21363253"/>
    <s v="3000014764480008"/>
    <s v="CIVIL"/>
    <d v="2023-06-29T00:00:00"/>
    <d v="2023-07-12T19:01:49"/>
    <m/>
    <d v="2023-07-12T00:00:00"/>
    <n v="1475"/>
    <n v="19685"/>
    <s v="60487903"/>
    <s v="60487903"/>
    <m/>
    <m/>
    <n v="22789826"/>
    <m/>
    <m/>
    <m/>
    <s v="SOLFIN"/>
    <s v="SOLFIN"/>
    <s v="CCMS"/>
    <n v="21363253"/>
    <n v="5173.82"/>
    <m/>
    <s v="N"/>
    <n v="9"/>
    <d v="2023-07-12T19:01:57"/>
    <s v="Y"/>
    <s v="Hearing Unit 2.31 - 5.00 Hours"/>
    <s v="Private Law Children"/>
    <s v="Advocacy"/>
    <s v="JF"/>
    <s v="Y"/>
    <n v="313.48"/>
    <n v="62.7"/>
    <x v="0"/>
    <s v="VALIDATED"/>
    <n v="1"/>
    <s v="01.11.80.307.6100.0000"/>
    <n v="313.48"/>
    <s v="11"/>
    <s v="6100"/>
    <n v="3954.01"/>
    <n v="313.48"/>
    <s v="CREDITOR"/>
    <n v="0"/>
    <n v="0"/>
    <n v="0"/>
    <n v="0"/>
    <n v="313.48"/>
  </r>
  <r>
    <n v="62035090"/>
    <s v="N"/>
    <n v="21337893"/>
    <s v="3000016072890001"/>
    <s v="CIVIL"/>
    <d v="2023-06-30T00:00:00"/>
    <d v="2023-07-06T19:21:01"/>
    <m/>
    <d v="2023-07-06T00:00:00"/>
    <n v="1475"/>
    <n v="19685"/>
    <s v="62035090"/>
    <s v="62035090"/>
    <m/>
    <m/>
    <n v="22799602"/>
    <m/>
    <m/>
    <m/>
    <s v="SOLPOA"/>
    <s v="SOLPOA"/>
    <s v="CCMS"/>
    <n v="21337893"/>
    <n v="736.8"/>
    <m/>
    <s v="N"/>
    <n v="1"/>
    <d v="2023-07-06T19:21:09"/>
    <s v="N"/>
    <s v="Expert Cost"/>
    <s v="Expert Cost"/>
    <s v="Expert Disbursement"/>
    <s v="JF"/>
    <s v="N"/>
    <n v="614"/>
    <n v="122.8"/>
    <x v="4"/>
    <s v="VALIDATED"/>
    <n v="1"/>
    <s v="01.11.80.308.2012.0000"/>
    <n v="614"/>
    <s v="11"/>
    <s v="2012"/>
    <n v="3954.01"/>
    <n v="614"/>
    <s v="CREDITOR"/>
    <n v="614"/>
    <n v="0"/>
    <n v="0"/>
    <n v="0"/>
    <n v="0"/>
  </r>
  <r>
    <n v="60487903"/>
    <s v="N"/>
    <n v="21363253"/>
    <s v="3000014764480008"/>
    <s v="CIVIL"/>
    <d v="2023-06-29T00:00:00"/>
    <d v="2023-07-12T19:01:49"/>
    <m/>
    <d v="2023-07-12T00:00:00"/>
    <n v="1475"/>
    <n v="19685"/>
    <s v="60487903"/>
    <s v="60487903"/>
    <m/>
    <m/>
    <n v="22789826"/>
    <m/>
    <m/>
    <m/>
    <s v="SOLFIN"/>
    <s v="SOLFIN"/>
    <s v="CCMS"/>
    <n v="21363253"/>
    <n v="5173.82"/>
    <m/>
    <s v="N"/>
    <n v="3"/>
    <d v="2023-07-12T19:01:57"/>
    <s v="Y"/>
    <s v="Process server"/>
    <s v="Private Law Children"/>
    <s v="Expert Disbursement"/>
    <s v="JF"/>
    <s v="Y"/>
    <n v="95.8"/>
    <n v="19.16"/>
    <x v="0"/>
    <s v="VALIDATED"/>
    <n v="1"/>
    <s v="01.11.80.307.6300.0000"/>
    <n v="95.8"/>
    <s v="11"/>
    <s v="6300"/>
    <n v="3954.01"/>
    <n v="95.8"/>
    <s v="CREDITOR"/>
    <n v="0"/>
    <n v="0"/>
    <n v="0"/>
    <n v="0"/>
    <n v="95.8"/>
  </r>
  <r>
    <n v="60487903"/>
    <s v="N"/>
    <n v="21363253"/>
    <s v="3000014764480008"/>
    <s v="CIVIL"/>
    <d v="2023-06-29T00:00:00"/>
    <d v="2023-07-12T19:01:49"/>
    <m/>
    <d v="2023-07-12T00:00:00"/>
    <n v="1475"/>
    <n v="19685"/>
    <s v="60487903"/>
    <s v="60487903"/>
    <m/>
    <m/>
    <n v="22789826"/>
    <m/>
    <m/>
    <m/>
    <s v="SOLFIN"/>
    <s v="SOLFIN"/>
    <s v="CCMS"/>
    <n v="21363253"/>
    <n v="5173.82"/>
    <m/>
    <s v="N"/>
    <n v="1"/>
    <d v="2023-07-12T19:01:57"/>
    <s v="Y"/>
    <s v="Court Fee"/>
    <s v="Private Law Children"/>
    <s v="Non Expert Disbursement"/>
    <s v="JF"/>
    <s v="Y"/>
    <n v="167"/>
    <n v="0"/>
    <x v="0"/>
    <s v="VALIDATED"/>
    <n v="1"/>
    <s v="01.11.80.307.6300.0000"/>
    <n v="167"/>
    <s v="11"/>
    <s v="6300"/>
    <n v="3954.01"/>
    <n v="167"/>
    <s v="CREDITOR"/>
    <n v="0"/>
    <n v="0"/>
    <n v="0"/>
    <n v="0"/>
    <n v="167"/>
  </r>
  <r>
    <n v="60487903"/>
    <s v="N"/>
    <n v="21363253"/>
    <s v="3000014764480008"/>
    <s v="CIVIL"/>
    <d v="2023-06-29T00:00:00"/>
    <d v="2023-07-12T19:01:49"/>
    <m/>
    <d v="2023-07-12T00:00:00"/>
    <n v="1475"/>
    <n v="19685"/>
    <s v="60487903"/>
    <s v="60487903"/>
    <m/>
    <m/>
    <n v="22789826"/>
    <m/>
    <m/>
    <m/>
    <s v="SOLFIN"/>
    <s v="SOLFIN"/>
    <s v="CCMS"/>
    <n v="21363253"/>
    <n v="5173.82"/>
    <m/>
    <s v="N"/>
    <n v="5"/>
    <d v="2023-07-12T19:01:57"/>
    <s v="Y"/>
    <s v="Profit Costs (Summary)"/>
    <s v="Private Law Children"/>
    <s v="Profit Cost"/>
    <s v="JF"/>
    <s v="Y"/>
    <n v="2158.56"/>
    <n v="431.71"/>
    <x v="0"/>
    <s v="VALIDATED"/>
    <n v="1"/>
    <s v="01.11.80.307.6100.0000"/>
    <n v="2158.56"/>
    <s v="11"/>
    <s v="6100"/>
    <n v="3954.01"/>
    <n v="2158.56"/>
    <s v="CREDITOR"/>
    <n v="0"/>
    <n v="0"/>
    <n v="0"/>
    <n v="0"/>
    <n v="2158.56"/>
  </r>
  <r>
    <n v="60487903"/>
    <s v="N"/>
    <n v="21363253"/>
    <s v="3000014764480008"/>
    <s v="CIVIL"/>
    <d v="2023-06-29T00:00:00"/>
    <d v="2023-07-12T19:01:49"/>
    <m/>
    <d v="2023-07-12T00:00:00"/>
    <n v="1475"/>
    <n v="19685"/>
    <s v="60487903"/>
    <s v="60487903"/>
    <m/>
    <m/>
    <n v="22789826"/>
    <m/>
    <m/>
    <m/>
    <s v="SOLFIN"/>
    <s v="SOLFIN"/>
    <s v="CCMS"/>
    <n v="21363253"/>
    <n v="5173.82"/>
    <m/>
    <s v="N"/>
    <n v="11"/>
    <d v="2023-07-12T19:01:57"/>
    <s v="Y"/>
    <s v="Hearing Unit 0.00 - 1.00 Hours"/>
    <s v="Private Law Children"/>
    <s v="Advocacy"/>
    <s v="JF"/>
    <s v="Y"/>
    <n v="62.69"/>
    <n v="12.54"/>
    <x v="0"/>
    <s v="VALIDATED"/>
    <n v="1"/>
    <s v="01.11.80.307.6100.0000"/>
    <n v="62.69"/>
    <s v="11"/>
    <s v="6100"/>
    <n v="3954.01"/>
    <n v="62.69"/>
    <s v="CREDITOR"/>
    <n v="0"/>
    <n v="0"/>
    <n v="0"/>
    <n v="0"/>
    <n v="62.69"/>
  </r>
  <r>
    <n v="60487903"/>
    <s v="N"/>
    <n v="21363253"/>
    <s v="3000014764480008"/>
    <s v="CIVIL"/>
    <d v="2023-06-29T00:00:00"/>
    <d v="2023-07-12T19:01:49"/>
    <m/>
    <d v="2023-07-12T00:00:00"/>
    <n v="1475"/>
    <n v="19685"/>
    <s v="60487903"/>
    <s v="60487903"/>
    <m/>
    <m/>
    <n v="22789826"/>
    <m/>
    <m/>
    <m/>
    <s v="SOLFIN"/>
    <s v="SOLFIN"/>
    <s v="CCMS"/>
    <n v="21363253"/>
    <n v="5173.82"/>
    <m/>
    <s v="N"/>
    <n v="2"/>
    <d v="2023-07-12T19:01:57"/>
    <s v="Y"/>
    <s v="GP (records report)"/>
    <s v="Private Law Children"/>
    <s v="Expert Disbursement"/>
    <s v="JF"/>
    <s v="Y"/>
    <n v="25"/>
    <n v="0"/>
    <x v="0"/>
    <s v="VALIDATED"/>
    <n v="1"/>
    <s v="01.11.80.307.6300.0000"/>
    <n v="25"/>
    <s v="11"/>
    <s v="6300"/>
    <n v="3954.01"/>
    <n v="25"/>
    <s v="CREDITOR"/>
    <n v="0"/>
    <n v="0"/>
    <n v="0"/>
    <n v="0"/>
    <n v="25"/>
  </r>
  <r>
    <n v="60487903"/>
    <s v="N"/>
    <n v="21363253"/>
    <s v="3000014764480008"/>
    <s v="CIVIL"/>
    <d v="2023-06-29T00:00:00"/>
    <d v="2023-07-12T19:01:49"/>
    <m/>
    <d v="2023-07-12T00:00:00"/>
    <n v="1475"/>
    <n v="19685"/>
    <s v="60487903"/>
    <s v="60487903"/>
    <m/>
    <m/>
    <n v="22789826"/>
    <m/>
    <m/>
    <m/>
    <s v="SOLFIN"/>
    <s v="SOLFIN"/>
    <s v="CCMS"/>
    <n v="21363253"/>
    <n v="5173.82"/>
    <m/>
    <s v="N"/>
    <n v="4"/>
    <d v="2023-07-12T19:01:57"/>
    <s v="Y"/>
    <s v="Expert - Other"/>
    <s v="Private Law Children"/>
    <s v="Expert Disbursement"/>
    <s v="JF"/>
    <s v="Y"/>
    <n v="790"/>
    <n v="158"/>
    <x v="0"/>
    <s v="VALIDATED"/>
    <n v="1"/>
    <s v="01.11.80.307.6300.0000"/>
    <n v="790"/>
    <s v="11"/>
    <s v="6300"/>
    <n v="3954.01"/>
    <n v="790"/>
    <s v="CREDITOR"/>
    <n v="0"/>
    <n v="0"/>
    <n v="0"/>
    <n v="0"/>
    <n v="790"/>
  </r>
  <r>
    <n v="60487903"/>
    <s v="N"/>
    <n v="21366481"/>
    <s v="3000014764480001RC"/>
    <s v="CIVIL"/>
    <d v="2023-06-29T00:00:00"/>
    <d v="2023-07-12T19:45:17"/>
    <m/>
    <d v="2023-07-12T00:00:00"/>
    <n v="1475"/>
    <n v="19685"/>
    <s v="60487903"/>
    <s v="60487903"/>
    <m/>
    <m/>
    <m/>
    <m/>
    <m/>
    <m/>
    <s v="SOLRECOUP"/>
    <s v="SOLRECOUP"/>
    <s v="POARECOUP"/>
    <n v="21366481"/>
    <n v="-25"/>
    <m/>
    <s v="Y"/>
    <n v="2"/>
    <d v="2023-07-12T19:45:18"/>
    <s v="N"/>
    <m/>
    <m/>
    <s v="Expert Disbursement"/>
    <m/>
    <s v="N"/>
    <n v="0"/>
    <n v="0"/>
    <x v="0"/>
    <s v="VALIDATED"/>
    <n v="1"/>
    <s v="01.11.80.000.0000.0000"/>
    <n v="0"/>
    <s v="11"/>
    <s v="0000"/>
    <n v="3954.01"/>
    <n v="0"/>
    <s v="CREDITOR"/>
    <n v="0"/>
    <n v="0"/>
    <n v="0"/>
    <n v="0"/>
    <n v="0"/>
  </r>
  <r>
    <n v="60487903"/>
    <s v="N"/>
    <n v="21366481"/>
    <s v="3000014764480001RC"/>
    <s v="CIVIL"/>
    <d v="2023-06-29T00:00:00"/>
    <d v="2023-07-12T19:45:17"/>
    <m/>
    <d v="2023-07-12T00:00:00"/>
    <n v="1475"/>
    <n v="19685"/>
    <s v="60487903"/>
    <s v="60487903"/>
    <m/>
    <m/>
    <m/>
    <m/>
    <m/>
    <m/>
    <s v="SOLRECOUP"/>
    <s v="SOLRECOUP"/>
    <s v="POARECOUP"/>
    <n v="21366481"/>
    <n v="-25"/>
    <m/>
    <s v="Y"/>
    <n v="1"/>
    <d v="2023-07-12T19:45:18"/>
    <s v="N"/>
    <m/>
    <m/>
    <s v="Expert Disbursement"/>
    <m/>
    <s v="N"/>
    <n v="-25"/>
    <n v="0"/>
    <x v="0"/>
    <s v="VALIDATED"/>
    <n v="1"/>
    <s v="01.11.80.307.2013.0000"/>
    <n v="-25"/>
    <s v="11"/>
    <s v="2013"/>
    <n v="3954.01"/>
    <n v="-25"/>
    <s v="CREDITOR"/>
    <n v="0"/>
    <n v="0"/>
    <n v="-25"/>
    <n v="0"/>
    <n v="0"/>
  </r>
  <r>
    <n v="60487903"/>
    <s v="N"/>
    <n v="21366482"/>
    <s v="3000014764480002RC"/>
    <s v="CIVIL"/>
    <d v="2023-06-29T00:00:00"/>
    <d v="2023-07-12T19:45:17"/>
    <m/>
    <d v="2023-07-12T00:00:00"/>
    <n v="1475"/>
    <n v="19685"/>
    <s v="60487903"/>
    <s v="60487903"/>
    <m/>
    <m/>
    <m/>
    <m/>
    <m/>
    <m/>
    <s v="SOLRECOUP"/>
    <s v="SOLRECOUP"/>
    <s v="POARECOUP"/>
    <n v="21366482"/>
    <n v="-114"/>
    <m/>
    <s v="Y"/>
    <n v="1"/>
    <d v="2023-07-12T19:45:18"/>
    <s v="N"/>
    <m/>
    <m/>
    <s v="Expert Disbursement"/>
    <m/>
    <s v="N"/>
    <n v="-95"/>
    <n v="0"/>
    <x v="0"/>
    <s v="VALIDATED"/>
    <n v="1"/>
    <s v="01.11.80.307.2013.0000"/>
    <n v="-95"/>
    <s v="11"/>
    <s v="2013"/>
    <n v="3954.01"/>
    <n v="-95"/>
    <s v="CREDITOR"/>
    <n v="0"/>
    <n v="0"/>
    <n v="-95"/>
    <n v="0"/>
    <n v="0"/>
  </r>
  <r>
    <n v="60487903"/>
    <s v="N"/>
    <n v="21366482"/>
    <s v="3000014764480002RC"/>
    <s v="CIVIL"/>
    <d v="2023-06-29T00:00:00"/>
    <d v="2023-07-12T19:45:17"/>
    <m/>
    <d v="2023-07-12T00:00:00"/>
    <n v="1475"/>
    <n v="19685"/>
    <s v="60487903"/>
    <s v="60487903"/>
    <m/>
    <m/>
    <m/>
    <m/>
    <m/>
    <m/>
    <s v="SOLRECOUP"/>
    <s v="SOLRECOUP"/>
    <s v="POARECOUP"/>
    <n v="21366482"/>
    <n v="-114"/>
    <m/>
    <s v="Y"/>
    <n v="2"/>
    <d v="2023-07-12T19:45:18"/>
    <s v="N"/>
    <m/>
    <m/>
    <s v="Expert Disbursement"/>
    <m/>
    <s v="N"/>
    <n v="0"/>
    <n v="-19"/>
    <x v="0"/>
    <s v="VALIDATED"/>
    <n v="1"/>
    <s v="01.11.80.307.2013.0000"/>
    <n v="-19"/>
    <s v="11"/>
    <s v="2013"/>
    <n v="3954.01"/>
    <n v="-19"/>
    <s v="CREDITOR"/>
    <n v="0"/>
    <n v="0"/>
    <n v="-19"/>
    <n v="0"/>
    <n v="0"/>
  </r>
  <r>
    <n v="60487903"/>
    <s v="N"/>
    <n v="21366483"/>
    <s v="3000014764480003RC"/>
    <s v="CIVIL"/>
    <d v="2023-06-29T00:00:00"/>
    <d v="2023-07-12T19:45:17"/>
    <m/>
    <d v="2023-07-12T00:00:00"/>
    <n v="1475"/>
    <n v="19685"/>
    <s v="60487903"/>
    <s v="60487903"/>
    <m/>
    <m/>
    <m/>
    <m/>
    <m/>
    <m/>
    <s v="SOLRECOUP"/>
    <s v="SOLRECOUP"/>
    <s v="POARECOUP"/>
    <n v="21366483"/>
    <n v="-948"/>
    <m/>
    <s v="Y"/>
    <n v="1"/>
    <d v="2023-07-12T19:45:18"/>
    <s v="N"/>
    <m/>
    <m/>
    <s v="Expert Disbursement"/>
    <m/>
    <s v="N"/>
    <n v="-790"/>
    <n v="0"/>
    <x v="0"/>
    <s v="VALIDATED"/>
    <n v="1"/>
    <s v="01.11.80.307.2013.0000"/>
    <n v="-790"/>
    <s v="11"/>
    <s v="2013"/>
    <n v="3954.01"/>
    <n v="-790"/>
    <s v="CREDITOR"/>
    <n v="0"/>
    <n v="0"/>
    <n v="-790"/>
    <n v="0"/>
    <n v="0"/>
  </r>
  <r>
    <n v="60487903"/>
    <s v="N"/>
    <n v="21366483"/>
    <s v="3000014764480003RC"/>
    <s v="CIVIL"/>
    <d v="2023-06-29T00:00:00"/>
    <d v="2023-07-12T19:45:17"/>
    <m/>
    <d v="2023-07-12T00:00:00"/>
    <n v="1475"/>
    <n v="19685"/>
    <s v="60487903"/>
    <s v="60487903"/>
    <m/>
    <m/>
    <m/>
    <m/>
    <m/>
    <m/>
    <s v="SOLRECOUP"/>
    <s v="SOLRECOUP"/>
    <s v="POARECOUP"/>
    <n v="21366483"/>
    <n v="-948"/>
    <m/>
    <s v="Y"/>
    <n v="2"/>
    <d v="2023-07-12T19:45:18"/>
    <s v="N"/>
    <m/>
    <m/>
    <s v="Expert Disbursement"/>
    <m/>
    <s v="N"/>
    <n v="0"/>
    <n v="-158"/>
    <x v="0"/>
    <s v="VALIDATED"/>
    <n v="1"/>
    <s v="01.11.80.307.2013.0000"/>
    <n v="-158"/>
    <s v="11"/>
    <s v="2013"/>
    <n v="3954.01"/>
    <n v="-158"/>
    <s v="CREDITOR"/>
    <n v="0"/>
    <n v="0"/>
    <n v="-158"/>
    <n v="0"/>
    <n v="0"/>
  </r>
  <r>
    <n v="62033633"/>
    <s v="N"/>
    <n v="21322201"/>
    <s v="3000016071640007"/>
    <s v="CIVIL"/>
    <d v="2023-06-29T00:00:00"/>
    <d v="2023-07-03T19:05:36"/>
    <m/>
    <d v="2023-07-03T00:00:00"/>
    <n v="1476"/>
    <n v="19685"/>
    <s v="62033633"/>
    <s v="62033633"/>
    <m/>
    <m/>
    <n v="22789926"/>
    <m/>
    <m/>
    <m/>
    <s v="SOLPOA"/>
    <s v="SOLPOA"/>
    <s v="CCMS"/>
    <n v="21322201"/>
    <n v="401.62"/>
    <m/>
    <s v="N"/>
    <n v="1"/>
    <d v="2023-07-03T19:05:36"/>
    <s v="N"/>
    <s v="Expert Cost"/>
    <s v="Expert Cost"/>
    <s v="Expert Disbursement"/>
    <s v="Christopher Beckett"/>
    <s v="N"/>
    <n v="334.68"/>
    <n v="66.94"/>
    <x v="3"/>
    <s v="VALIDATED"/>
    <n v="1"/>
    <s v="01.11.80.308.2012.0000"/>
    <n v="334.68"/>
    <s v="11"/>
    <s v="2012"/>
    <n v="334.68"/>
    <n v="334.68"/>
    <s v="CREDITOR"/>
    <n v="334.68"/>
    <n v="0"/>
    <n v="0"/>
    <n v="0"/>
    <n v="0"/>
  </r>
  <r>
    <n v="9439840"/>
    <s v="N"/>
    <n v="21328819"/>
    <s v="3000005393230006RC"/>
    <s v="CIVIL"/>
    <d v="2023-06-22T00:00:00"/>
    <d v="2023-07-04T19:38:21"/>
    <m/>
    <d v="2023-07-04T00:00:00"/>
    <n v="1478"/>
    <n v="14784"/>
    <s v="9439840"/>
    <s v="9439840"/>
    <m/>
    <m/>
    <m/>
    <m/>
    <m/>
    <m/>
    <s v="SOLRECOUP"/>
    <s v="SOLRECOUP"/>
    <s v="POARECOUP"/>
    <n v="21328819"/>
    <n v="-34.02"/>
    <m/>
    <s v="Y"/>
    <n v="2"/>
    <d v="2023-07-04T19:38:23"/>
    <s v="N"/>
    <m/>
    <m/>
    <s v="Non Expert Disbursement"/>
    <m/>
    <s v="N"/>
    <n v="0"/>
    <n v="-5.67"/>
    <x v="1"/>
    <s v="VALIDATED"/>
    <n v="1"/>
    <s v="01.11.80.308.2013.0000"/>
    <n v="-5.67"/>
    <s v="11"/>
    <s v="2013"/>
    <n v="34637.12"/>
    <n v="-5.67"/>
    <s v="CREDITOR"/>
    <n v="0"/>
    <n v="0"/>
    <n v="-5.67"/>
    <n v="0"/>
    <n v="0"/>
  </r>
  <r>
    <n v="9439840"/>
    <s v="N"/>
    <n v="21328820"/>
    <s v="3000005393230013RC"/>
    <s v="CIVIL"/>
    <d v="2023-06-22T00:00:00"/>
    <d v="2023-07-04T19:38:21"/>
    <m/>
    <d v="2023-07-04T00:00:00"/>
    <n v="1478"/>
    <n v="14784"/>
    <s v="9439840"/>
    <s v="9439840"/>
    <m/>
    <m/>
    <m/>
    <m/>
    <m/>
    <m/>
    <s v="SOLRECOUP"/>
    <s v="SOLRECOUP"/>
    <s v="POARECOUP"/>
    <n v="21328820"/>
    <n v="-53.89"/>
    <m/>
    <s v="Y"/>
    <n v="1"/>
    <d v="2023-07-04T19:38:23"/>
    <s v="N"/>
    <m/>
    <m/>
    <s v="Non Expert Disbursement"/>
    <m/>
    <s v="N"/>
    <n v="-44.91"/>
    <n v="0"/>
    <x v="1"/>
    <s v="VALIDATED"/>
    <n v="1"/>
    <s v="01.11.80.308.2013.0000"/>
    <n v="-44.91"/>
    <s v="11"/>
    <s v="2013"/>
    <n v="34637.12"/>
    <n v="-44.91"/>
    <s v="CREDITOR"/>
    <n v="0"/>
    <n v="0"/>
    <n v="-44.91"/>
    <n v="0"/>
    <n v="0"/>
  </r>
  <r>
    <n v="9439840"/>
    <s v="N"/>
    <n v="21328820"/>
    <s v="3000005393230013RC"/>
    <s v="CIVIL"/>
    <d v="2023-06-22T00:00:00"/>
    <d v="2023-07-04T19:38:21"/>
    <m/>
    <d v="2023-07-04T00:00:00"/>
    <n v="1478"/>
    <n v="14784"/>
    <s v="9439840"/>
    <s v="9439840"/>
    <m/>
    <m/>
    <m/>
    <m/>
    <m/>
    <m/>
    <s v="SOLRECOUP"/>
    <s v="SOLRECOUP"/>
    <s v="POARECOUP"/>
    <n v="21328820"/>
    <n v="-53.89"/>
    <m/>
    <s v="Y"/>
    <n v="2"/>
    <d v="2023-07-04T19:38:23"/>
    <s v="N"/>
    <m/>
    <m/>
    <s v="Non Expert Disbursement"/>
    <m/>
    <s v="N"/>
    <n v="0"/>
    <n v="-8.98"/>
    <x v="1"/>
    <s v="VALIDATED"/>
    <n v="1"/>
    <s v="01.11.80.308.2013.0000"/>
    <n v="-8.98"/>
    <s v="11"/>
    <s v="2013"/>
    <n v="34637.12"/>
    <n v="-8.98"/>
    <s v="CREDITOR"/>
    <n v="0"/>
    <n v="0"/>
    <n v="-8.98"/>
    <n v="0"/>
    <n v="0"/>
  </r>
  <r>
    <n v="9439840"/>
    <s v="N"/>
    <n v="21328821"/>
    <s v="3000005393230015RC"/>
    <s v="CIVIL"/>
    <d v="2023-06-22T00:00:00"/>
    <d v="2023-07-04T19:38:21"/>
    <m/>
    <d v="2023-07-04T00:00:00"/>
    <n v="1478"/>
    <n v="14784"/>
    <s v="9439840"/>
    <s v="9439840"/>
    <m/>
    <m/>
    <m/>
    <m/>
    <m/>
    <m/>
    <s v="SOLRECOUP"/>
    <s v="SOLRECOUP"/>
    <s v="POARECOUP"/>
    <n v="21328821"/>
    <n v="-44.53"/>
    <m/>
    <s v="Y"/>
    <n v="1"/>
    <d v="2023-07-04T19:38:23"/>
    <s v="N"/>
    <m/>
    <m/>
    <s v="Non Expert Disbursement"/>
    <m/>
    <s v="N"/>
    <n v="-37.11"/>
    <n v="0"/>
    <x v="1"/>
    <s v="VALIDATED"/>
    <n v="1"/>
    <s v="01.11.80.308.2013.0000"/>
    <n v="-37.11"/>
    <s v="11"/>
    <s v="2013"/>
    <n v="34637.12"/>
    <n v="-37.11"/>
    <s v="CREDITOR"/>
    <n v="0"/>
    <n v="0"/>
    <n v="-37.11"/>
    <n v="0"/>
    <n v="0"/>
  </r>
  <r>
    <n v="9439840"/>
    <s v="N"/>
    <n v="21328821"/>
    <s v="3000005393230015RC"/>
    <s v="CIVIL"/>
    <d v="2023-06-22T00:00:00"/>
    <d v="2023-07-04T19:38:21"/>
    <m/>
    <d v="2023-07-04T00:00:00"/>
    <n v="1478"/>
    <n v="14784"/>
    <s v="9439840"/>
    <s v="9439840"/>
    <m/>
    <m/>
    <m/>
    <m/>
    <m/>
    <m/>
    <s v="SOLRECOUP"/>
    <s v="SOLRECOUP"/>
    <s v="POARECOUP"/>
    <n v="21328821"/>
    <n v="-44.53"/>
    <m/>
    <s v="Y"/>
    <n v="2"/>
    <d v="2023-07-04T19:38:23"/>
    <s v="N"/>
    <m/>
    <m/>
    <s v="Non Expert Disbursement"/>
    <m/>
    <s v="N"/>
    <n v="0"/>
    <n v="-7.42"/>
    <x v="1"/>
    <s v="VALIDATED"/>
    <n v="1"/>
    <s v="01.11.80.308.2013.0000"/>
    <n v="-7.42"/>
    <s v="11"/>
    <s v="2013"/>
    <n v="34637.12"/>
    <n v="-7.42"/>
    <s v="CREDITOR"/>
    <n v="0"/>
    <n v="0"/>
    <n v="-7.42"/>
    <n v="0"/>
    <n v="0"/>
  </r>
  <r>
    <n v="9439840"/>
    <s v="N"/>
    <n v="21328822"/>
    <s v="3000005393230007RC"/>
    <s v="CIVIL"/>
    <d v="2023-06-22T00:00:00"/>
    <d v="2023-07-04T19:38:21"/>
    <m/>
    <d v="2023-07-04T00:00:00"/>
    <n v="1478"/>
    <n v="14784"/>
    <s v="9439840"/>
    <s v="9439840"/>
    <m/>
    <m/>
    <m/>
    <m/>
    <m/>
    <m/>
    <s v="SOLRECOUP"/>
    <s v="SOLRECOUP"/>
    <s v="POARECOUP"/>
    <n v="21328822"/>
    <n v="-422.75"/>
    <m/>
    <s v="Y"/>
    <n v="1"/>
    <d v="2023-07-04T19:38:23"/>
    <s v="N"/>
    <m/>
    <m/>
    <s v="Expert Disbursement"/>
    <m/>
    <s v="N"/>
    <n v="-422.75"/>
    <n v="0"/>
    <x v="1"/>
    <s v="VALIDATED"/>
    <n v="1"/>
    <s v="01.11.80.308.2013.0000"/>
    <n v="-422.75"/>
    <s v="11"/>
    <s v="2013"/>
    <n v="34637.12"/>
    <n v="-422.75"/>
    <s v="CREDITOR"/>
    <n v="0"/>
    <n v="0"/>
    <n v="-422.75"/>
    <n v="0"/>
    <n v="0"/>
  </r>
  <r>
    <n v="9439840"/>
    <s v="N"/>
    <n v="21328822"/>
    <s v="3000005393230007RC"/>
    <s v="CIVIL"/>
    <d v="2023-06-22T00:00:00"/>
    <d v="2023-07-04T19:38:21"/>
    <m/>
    <d v="2023-07-04T00:00:00"/>
    <n v="1478"/>
    <n v="14784"/>
    <s v="9439840"/>
    <s v="9439840"/>
    <m/>
    <m/>
    <m/>
    <m/>
    <m/>
    <m/>
    <s v="SOLRECOUP"/>
    <s v="SOLRECOUP"/>
    <s v="POARECOUP"/>
    <n v="21328822"/>
    <n v="-422.75"/>
    <m/>
    <s v="Y"/>
    <n v="2"/>
    <d v="2023-07-04T19:38:23"/>
    <s v="N"/>
    <m/>
    <m/>
    <s v="Expert Disbursement"/>
    <m/>
    <s v="N"/>
    <n v="0"/>
    <n v="0"/>
    <x v="1"/>
    <s v="VALIDATED"/>
    <n v="1"/>
    <s v="01.11.80.000.0000.0000"/>
    <n v="0"/>
    <s v="11"/>
    <s v="0000"/>
    <n v="34637.12"/>
    <n v="0"/>
    <s v="CREDITOR"/>
    <n v="0"/>
    <n v="0"/>
    <n v="0"/>
    <n v="0"/>
    <n v="0"/>
  </r>
  <r>
    <n v="9439840"/>
    <s v="N"/>
    <n v="21328823"/>
    <s v="3000005393230008RC"/>
    <s v="CIVIL"/>
    <d v="2023-06-22T00:00:00"/>
    <d v="2023-07-04T19:38:21"/>
    <m/>
    <d v="2023-07-04T00:00:00"/>
    <n v="1478"/>
    <n v="14784"/>
    <s v="9439840"/>
    <s v="9439840"/>
    <m/>
    <m/>
    <m/>
    <m/>
    <m/>
    <m/>
    <s v="SOLRECOUP"/>
    <s v="SOLRECOUP"/>
    <s v="POARECOUP"/>
    <n v="21328823"/>
    <n v="-43.96"/>
    <m/>
    <s v="Y"/>
    <n v="1"/>
    <d v="2023-07-04T19:38:23"/>
    <s v="N"/>
    <m/>
    <m/>
    <s v="Non Expert Disbursement"/>
    <m/>
    <s v="N"/>
    <n v="-36.63"/>
    <n v="0"/>
    <x v="1"/>
    <s v="VALIDATED"/>
    <n v="1"/>
    <s v="01.11.80.308.2013.0000"/>
    <n v="-36.63"/>
    <s v="11"/>
    <s v="2013"/>
    <n v="34637.12"/>
    <n v="-36.63"/>
    <s v="CREDITOR"/>
    <n v="0"/>
    <n v="0"/>
    <n v="-36.63"/>
    <n v="0"/>
    <n v="0"/>
  </r>
  <r>
    <n v="9439840"/>
    <s v="N"/>
    <n v="21328823"/>
    <s v="3000005393230008RC"/>
    <s v="CIVIL"/>
    <d v="2023-06-22T00:00:00"/>
    <d v="2023-07-04T19:38:21"/>
    <m/>
    <d v="2023-07-04T00:00:00"/>
    <n v="1478"/>
    <n v="14784"/>
    <s v="9439840"/>
    <s v="9439840"/>
    <m/>
    <m/>
    <m/>
    <m/>
    <m/>
    <m/>
    <s v="SOLRECOUP"/>
    <s v="SOLRECOUP"/>
    <s v="POARECOUP"/>
    <n v="21328823"/>
    <n v="-43.96"/>
    <m/>
    <s v="Y"/>
    <n v="2"/>
    <d v="2023-07-04T19:38:23"/>
    <s v="N"/>
    <m/>
    <m/>
    <s v="Non Expert Disbursement"/>
    <m/>
    <s v="N"/>
    <n v="0"/>
    <n v="-7.33"/>
    <x v="1"/>
    <s v="VALIDATED"/>
    <n v="1"/>
    <s v="01.11.80.308.2013.0000"/>
    <n v="-7.33"/>
    <s v="11"/>
    <s v="2013"/>
    <n v="34637.12"/>
    <n v="-7.33"/>
    <s v="CREDITOR"/>
    <n v="0"/>
    <n v="0"/>
    <n v="-7.33"/>
    <n v="0"/>
    <n v="0"/>
  </r>
  <r>
    <n v="9439840"/>
    <s v="N"/>
    <n v="21328824"/>
    <s v="3000005393230009RC"/>
    <s v="CIVIL"/>
    <d v="2023-06-22T00:00:00"/>
    <d v="2023-07-04T19:38:21"/>
    <m/>
    <d v="2023-07-04T00:00:00"/>
    <n v="1478"/>
    <n v="14784"/>
    <s v="9439840"/>
    <s v="9439840"/>
    <m/>
    <m/>
    <m/>
    <m/>
    <m/>
    <m/>
    <s v="SOLRECOUP"/>
    <s v="SOLRECOUP"/>
    <s v="POARECOUP"/>
    <n v="21328824"/>
    <n v="-87.73"/>
    <m/>
    <s v="Y"/>
    <n v="1"/>
    <d v="2023-07-04T19:38:23"/>
    <s v="N"/>
    <m/>
    <m/>
    <s v="Expert Disbursement"/>
    <m/>
    <s v="N"/>
    <n v="-73.11"/>
    <n v="0"/>
    <x v="1"/>
    <s v="VALIDATED"/>
    <n v="1"/>
    <s v="01.11.80.308.2013.0000"/>
    <n v="-73.11"/>
    <s v="11"/>
    <s v="2013"/>
    <n v="34637.12"/>
    <n v="-73.11"/>
    <s v="CREDITOR"/>
    <n v="0"/>
    <n v="0"/>
    <n v="-73.11"/>
    <n v="0"/>
    <n v="0"/>
  </r>
  <r>
    <n v="9439840"/>
    <s v="N"/>
    <n v="21328824"/>
    <s v="3000005393230009RC"/>
    <s v="CIVIL"/>
    <d v="2023-06-22T00:00:00"/>
    <d v="2023-07-04T19:38:21"/>
    <m/>
    <d v="2023-07-04T00:00:00"/>
    <n v="1478"/>
    <n v="14784"/>
    <s v="9439840"/>
    <s v="9439840"/>
    <m/>
    <m/>
    <m/>
    <m/>
    <m/>
    <m/>
    <s v="SOLRECOUP"/>
    <s v="SOLRECOUP"/>
    <s v="POARECOUP"/>
    <n v="21328824"/>
    <n v="-87.73"/>
    <m/>
    <s v="Y"/>
    <n v="2"/>
    <d v="2023-07-04T19:38:23"/>
    <s v="N"/>
    <m/>
    <m/>
    <s v="Expert Disbursement"/>
    <m/>
    <s v="N"/>
    <n v="0"/>
    <n v="-14.62"/>
    <x v="1"/>
    <s v="VALIDATED"/>
    <n v="1"/>
    <s v="01.11.80.308.2013.0000"/>
    <n v="-14.62"/>
    <s v="11"/>
    <s v="2013"/>
    <n v="34637.12"/>
    <n v="-14.62"/>
    <s v="CREDITOR"/>
    <n v="0"/>
    <n v="0"/>
    <n v="-14.62"/>
    <n v="0"/>
    <n v="0"/>
  </r>
  <r>
    <n v="9439840"/>
    <s v="N"/>
    <n v="21328825"/>
    <s v="3000005393230010RC"/>
    <s v="CIVIL"/>
    <d v="2023-06-22T00:00:00"/>
    <d v="2023-07-04T19:38:21"/>
    <m/>
    <d v="2023-07-04T00:00:00"/>
    <n v="1478"/>
    <n v="14784"/>
    <s v="9439840"/>
    <s v="9439840"/>
    <m/>
    <m/>
    <m/>
    <m/>
    <m/>
    <m/>
    <s v="SOLRECOUP"/>
    <s v="SOLRECOUP"/>
    <s v="POARECOUP"/>
    <n v="21328825"/>
    <n v="-46.36"/>
    <m/>
    <s v="Y"/>
    <n v="1"/>
    <d v="2023-07-04T19:38:23"/>
    <s v="N"/>
    <m/>
    <m/>
    <s v="Non Expert Disbursement"/>
    <m/>
    <s v="N"/>
    <n v="-38.63"/>
    <n v="0"/>
    <x v="1"/>
    <s v="VALIDATED"/>
    <n v="1"/>
    <s v="01.11.80.308.2013.0000"/>
    <n v="-38.63"/>
    <s v="11"/>
    <s v="2013"/>
    <n v="34637.12"/>
    <n v="-38.63"/>
    <s v="CREDITOR"/>
    <n v="0"/>
    <n v="0"/>
    <n v="-38.63"/>
    <n v="0"/>
    <n v="0"/>
  </r>
  <r>
    <n v="9439840"/>
    <s v="N"/>
    <n v="21328825"/>
    <s v="3000005393230010RC"/>
    <s v="CIVIL"/>
    <d v="2023-06-22T00:00:00"/>
    <d v="2023-07-04T19:38:21"/>
    <m/>
    <d v="2023-07-04T00:00:00"/>
    <n v="1478"/>
    <n v="14784"/>
    <s v="9439840"/>
    <s v="9439840"/>
    <m/>
    <m/>
    <m/>
    <m/>
    <m/>
    <m/>
    <s v="SOLRECOUP"/>
    <s v="SOLRECOUP"/>
    <s v="POARECOUP"/>
    <n v="21328825"/>
    <n v="-46.36"/>
    <m/>
    <s v="Y"/>
    <n v="2"/>
    <d v="2023-07-04T19:38:23"/>
    <s v="N"/>
    <m/>
    <m/>
    <s v="Non Expert Disbursement"/>
    <m/>
    <s v="N"/>
    <n v="0"/>
    <n v="-7.73"/>
    <x v="1"/>
    <s v="VALIDATED"/>
    <n v="1"/>
    <s v="01.11.80.308.2013.0000"/>
    <n v="-7.73"/>
    <s v="11"/>
    <s v="2013"/>
    <n v="34637.12"/>
    <n v="-7.73"/>
    <s v="CREDITOR"/>
    <n v="0"/>
    <n v="0"/>
    <n v="-7.73"/>
    <n v="0"/>
    <n v="0"/>
  </r>
  <r>
    <n v="9439840"/>
    <s v="N"/>
    <n v="21328826"/>
    <s v="3000005393230012RC"/>
    <s v="CIVIL"/>
    <d v="2023-06-22T00:00:00"/>
    <d v="2023-07-04T19:38:21"/>
    <m/>
    <d v="2023-07-04T00:00:00"/>
    <n v="1478"/>
    <n v="14784"/>
    <s v="9439840"/>
    <s v="9439840"/>
    <m/>
    <m/>
    <m/>
    <m/>
    <m/>
    <m/>
    <s v="SOLRECOUP"/>
    <s v="SOLRECOUP"/>
    <s v="POARECOUP"/>
    <n v="21328826"/>
    <n v="-51.49"/>
    <m/>
    <s v="Y"/>
    <n v="1"/>
    <d v="2023-07-04T19:38:23"/>
    <s v="N"/>
    <m/>
    <m/>
    <s v="Non Expert Disbursement"/>
    <m/>
    <s v="N"/>
    <n v="-42.91"/>
    <n v="0"/>
    <x v="1"/>
    <s v="VALIDATED"/>
    <n v="1"/>
    <s v="01.11.80.308.2013.0000"/>
    <n v="-42.91"/>
    <s v="11"/>
    <s v="2013"/>
    <n v="34637.12"/>
    <n v="-42.91"/>
    <s v="CREDITOR"/>
    <n v="0"/>
    <n v="0"/>
    <n v="-42.91"/>
    <n v="0"/>
    <n v="0"/>
  </r>
  <r>
    <n v="9439840"/>
    <s v="N"/>
    <n v="21328826"/>
    <s v="3000005393230012RC"/>
    <s v="CIVIL"/>
    <d v="2023-06-22T00:00:00"/>
    <d v="2023-07-04T19:38:21"/>
    <m/>
    <d v="2023-07-04T00:00:00"/>
    <n v="1478"/>
    <n v="14784"/>
    <s v="9439840"/>
    <s v="9439840"/>
    <m/>
    <m/>
    <m/>
    <m/>
    <m/>
    <m/>
    <s v="SOLRECOUP"/>
    <s v="SOLRECOUP"/>
    <s v="POARECOUP"/>
    <n v="21328826"/>
    <n v="-51.49"/>
    <m/>
    <s v="Y"/>
    <n v="2"/>
    <d v="2023-07-04T19:38:23"/>
    <s v="N"/>
    <m/>
    <m/>
    <s v="Non Expert Disbursement"/>
    <m/>
    <s v="N"/>
    <n v="0"/>
    <n v="-8.58"/>
    <x v="1"/>
    <s v="VALIDATED"/>
    <n v="1"/>
    <s v="01.11.80.308.2013.0000"/>
    <n v="-8.58"/>
    <s v="11"/>
    <s v="2013"/>
    <n v="34637.12"/>
    <n v="-8.58"/>
    <s v="CREDITOR"/>
    <n v="0"/>
    <n v="0"/>
    <n v="-8.58"/>
    <n v="0"/>
    <n v="0"/>
  </r>
  <r>
    <n v="9439840"/>
    <s v="N"/>
    <n v="21328827"/>
    <s v="3000005393230014RC"/>
    <s v="CIVIL"/>
    <d v="2023-06-22T00:00:00"/>
    <d v="2023-07-04T19:38:21"/>
    <m/>
    <d v="2023-07-04T00:00:00"/>
    <n v="1478"/>
    <n v="14784"/>
    <s v="9439840"/>
    <s v="9439840"/>
    <m/>
    <m/>
    <m/>
    <m/>
    <m/>
    <m/>
    <s v="SOLRECOUP"/>
    <s v="SOLRECOUP"/>
    <s v="POARECOUP"/>
    <n v="21328827"/>
    <n v="-51.49"/>
    <m/>
    <s v="Y"/>
    <n v="1"/>
    <d v="2023-07-04T19:38:23"/>
    <s v="N"/>
    <m/>
    <m/>
    <s v="Non Expert Disbursement"/>
    <m/>
    <s v="N"/>
    <n v="-42.91"/>
    <n v="0"/>
    <x v="1"/>
    <s v="VALIDATED"/>
    <n v="1"/>
    <s v="01.11.80.308.2013.0000"/>
    <n v="-42.91"/>
    <s v="11"/>
    <s v="2013"/>
    <n v="34637.12"/>
    <n v="-42.91"/>
    <s v="CREDITOR"/>
    <n v="0"/>
    <n v="0"/>
    <n v="-42.91"/>
    <n v="0"/>
    <n v="0"/>
  </r>
  <r>
    <n v="9439840"/>
    <s v="N"/>
    <n v="21328827"/>
    <s v="3000005393230014RC"/>
    <s v="CIVIL"/>
    <d v="2023-06-22T00:00:00"/>
    <d v="2023-07-04T19:38:21"/>
    <m/>
    <d v="2023-07-04T00:00:00"/>
    <n v="1478"/>
    <n v="14784"/>
    <s v="9439840"/>
    <s v="9439840"/>
    <m/>
    <m/>
    <m/>
    <m/>
    <m/>
    <m/>
    <s v="SOLRECOUP"/>
    <s v="SOLRECOUP"/>
    <s v="POARECOUP"/>
    <n v="21328827"/>
    <n v="-51.49"/>
    <m/>
    <s v="Y"/>
    <n v="2"/>
    <d v="2023-07-04T19:38:23"/>
    <s v="N"/>
    <m/>
    <m/>
    <s v="Non Expert Disbursement"/>
    <m/>
    <s v="N"/>
    <n v="0"/>
    <n v="-8.58"/>
    <x v="1"/>
    <s v="VALIDATED"/>
    <n v="1"/>
    <s v="01.11.80.308.2013.0000"/>
    <n v="-8.58"/>
    <s v="11"/>
    <s v="2013"/>
    <n v="34637.12"/>
    <n v="-8.58"/>
    <s v="CREDITOR"/>
    <n v="0"/>
    <n v="0"/>
    <n v="-8.58"/>
    <n v="0"/>
    <n v="0"/>
  </r>
  <r>
    <n v="9439840"/>
    <s v="N"/>
    <n v="21328828"/>
    <s v="3000005393230016RC"/>
    <s v="CIVIL"/>
    <d v="2023-06-22T00:00:00"/>
    <d v="2023-07-04T19:38:21"/>
    <m/>
    <d v="2023-07-04T00:00:00"/>
    <n v="1478"/>
    <n v="14784"/>
    <s v="9439840"/>
    <s v="9439840"/>
    <m/>
    <m/>
    <m/>
    <m/>
    <m/>
    <m/>
    <s v="SOLRECOUP"/>
    <s v="SOLRECOUP"/>
    <s v="POARECOUP"/>
    <n v="21328828"/>
    <n v="-140.95"/>
    <m/>
    <s v="Y"/>
    <n v="1"/>
    <d v="2023-07-04T19:38:23"/>
    <s v="N"/>
    <m/>
    <m/>
    <s v="Expert Disbursement"/>
    <m/>
    <s v="N"/>
    <n v="-140.95"/>
    <n v="0"/>
    <x v="1"/>
    <s v="VALIDATED"/>
    <n v="1"/>
    <s v="01.11.80.308.2013.0000"/>
    <n v="-140.95"/>
    <s v="11"/>
    <s v="2013"/>
    <n v="34637.12"/>
    <n v="-140.95"/>
    <s v="CREDITOR"/>
    <n v="0"/>
    <n v="0"/>
    <n v="-140.95"/>
    <n v="0"/>
    <n v="0"/>
  </r>
  <r>
    <n v="9439840"/>
    <s v="N"/>
    <n v="21328828"/>
    <s v="3000005393230016RC"/>
    <s v="CIVIL"/>
    <d v="2023-06-22T00:00:00"/>
    <d v="2023-07-04T19:38:21"/>
    <m/>
    <d v="2023-07-04T00:00:00"/>
    <n v="1478"/>
    <n v="14784"/>
    <s v="9439840"/>
    <s v="9439840"/>
    <m/>
    <m/>
    <m/>
    <m/>
    <m/>
    <m/>
    <s v="SOLRECOUP"/>
    <s v="SOLRECOUP"/>
    <s v="POARECOUP"/>
    <n v="21328828"/>
    <n v="-140.95"/>
    <m/>
    <s v="Y"/>
    <n v="2"/>
    <d v="2023-07-04T19:38:23"/>
    <s v="N"/>
    <m/>
    <m/>
    <s v="Expert Disbursement"/>
    <m/>
    <s v="N"/>
    <n v="0"/>
    <n v="0"/>
    <x v="1"/>
    <s v="VALIDATED"/>
    <n v="1"/>
    <s v="01.11.80.000.0000.0000"/>
    <n v="0"/>
    <s v="11"/>
    <s v="0000"/>
    <n v="34637.12"/>
    <n v="0"/>
    <s v="CREDITOR"/>
    <n v="0"/>
    <n v="0"/>
    <n v="0"/>
    <n v="0"/>
    <n v="0"/>
  </r>
  <r>
    <n v="60837128"/>
    <s v="N"/>
    <n v="21328829"/>
    <s v="3000015066830002RC"/>
    <s v="CIVIL"/>
    <d v="2023-06-22T00:00:00"/>
    <d v="2023-07-04T19:38:21"/>
    <m/>
    <d v="2023-07-04T00:00:00"/>
    <n v="1478"/>
    <n v="14784"/>
    <s v="60837128"/>
    <s v="60837128"/>
    <m/>
    <m/>
    <m/>
    <m/>
    <m/>
    <m/>
    <s v="SOLRECOUP"/>
    <s v="SOLRECOUP"/>
    <s v="POARECOUP"/>
    <n v="21328829"/>
    <n v="-318.3"/>
    <m/>
    <s v="Y"/>
    <n v="1"/>
    <d v="2023-07-04T19:38:23"/>
    <s v="N"/>
    <m/>
    <m/>
    <s v="Expert Disbursement"/>
    <m/>
    <s v="N"/>
    <n v="-265.25"/>
    <n v="0"/>
    <x v="1"/>
    <s v="VALIDATED"/>
    <n v="1"/>
    <s v="01.11.80.308.2013.0000"/>
    <n v="-265.25"/>
    <s v="11"/>
    <s v="2013"/>
    <n v="34637.12"/>
    <n v="-265.25"/>
    <s v="CREDITOR"/>
    <n v="0"/>
    <n v="0"/>
    <n v="-265.25"/>
    <n v="0"/>
    <n v="0"/>
  </r>
  <r>
    <n v="60837128"/>
    <s v="N"/>
    <n v="21328829"/>
    <s v="3000015066830002RC"/>
    <s v="CIVIL"/>
    <d v="2023-06-22T00:00:00"/>
    <d v="2023-07-04T19:38:21"/>
    <m/>
    <d v="2023-07-04T00:00:00"/>
    <n v="1478"/>
    <n v="14784"/>
    <s v="60837128"/>
    <s v="60837128"/>
    <m/>
    <m/>
    <m/>
    <m/>
    <m/>
    <m/>
    <s v="SOLRECOUP"/>
    <s v="SOLRECOUP"/>
    <s v="POARECOUP"/>
    <n v="21328829"/>
    <n v="-318.3"/>
    <m/>
    <s v="Y"/>
    <n v="2"/>
    <d v="2023-07-04T19:38:23"/>
    <s v="N"/>
    <m/>
    <m/>
    <s v="Expert Disbursement"/>
    <m/>
    <s v="N"/>
    <n v="0"/>
    <n v="-53.05"/>
    <x v="1"/>
    <s v="VALIDATED"/>
    <n v="1"/>
    <s v="01.11.80.308.2013.0000"/>
    <n v="-53.05"/>
    <s v="11"/>
    <s v="2013"/>
    <n v="34637.12"/>
    <n v="-53.05"/>
    <s v="CREDITOR"/>
    <n v="0"/>
    <n v="0"/>
    <n v="-53.05"/>
    <n v="0"/>
    <n v="0"/>
  </r>
  <r>
    <n v="60378819"/>
    <s v="N"/>
    <n v="21328830"/>
    <s v="3000014670030002RC"/>
    <s v="CIVIL"/>
    <d v="2023-06-22T00:00:00"/>
    <d v="2023-07-04T19:38:21"/>
    <m/>
    <d v="2023-07-04T00:00:00"/>
    <n v="1478"/>
    <n v="14784"/>
    <s v="60378819"/>
    <s v="60378819"/>
    <m/>
    <m/>
    <m/>
    <m/>
    <m/>
    <m/>
    <s v="SOLRECOUP"/>
    <s v="SOLRECOUP"/>
    <s v="POARECOUP"/>
    <n v="21328830"/>
    <n v="-1049.4"/>
    <m/>
    <s v="Y"/>
    <n v="1"/>
    <d v="2023-07-04T19:38:23"/>
    <s v="N"/>
    <m/>
    <m/>
    <s v="Expert Disbursement"/>
    <m/>
    <s v="N"/>
    <n v="-874.5"/>
    <n v="0"/>
    <x v="1"/>
    <s v="VALIDATED"/>
    <n v="1"/>
    <s v="01.11.80.308.2013.0000"/>
    <n v="-874.5"/>
    <s v="11"/>
    <s v="2013"/>
    <n v="34637.12"/>
    <n v="-874.5"/>
    <s v="CREDITOR"/>
    <n v="0"/>
    <n v="0"/>
    <n v="-874.5"/>
    <n v="0"/>
    <n v="0"/>
  </r>
  <r>
    <n v="60378819"/>
    <s v="N"/>
    <n v="21328830"/>
    <s v="3000014670030002RC"/>
    <s v="CIVIL"/>
    <d v="2023-06-22T00:00:00"/>
    <d v="2023-07-04T19:38:21"/>
    <m/>
    <d v="2023-07-04T00:00:00"/>
    <n v="1478"/>
    <n v="14784"/>
    <s v="60378819"/>
    <s v="60378819"/>
    <m/>
    <m/>
    <m/>
    <m/>
    <m/>
    <m/>
    <s v="SOLRECOUP"/>
    <s v="SOLRECOUP"/>
    <s v="POARECOUP"/>
    <n v="21328830"/>
    <n v="-1049.4"/>
    <m/>
    <s v="Y"/>
    <n v="2"/>
    <d v="2023-07-04T19:38:23"/>
    <s v="N"/>
    <m/>
    <m/>
    <s v="Expert Disbursement"/>
    <m/>
    <s v="N"/>
    <n v="0"/>
    <n v="-174.9"/>
    <x v="1"/>
    <s v="VALIDATED"/>
    <n v="1"/>
    <s v="01.11.80.308.2013.0000"/>
    <n v="-174.9"/>
    <s v="11"/>
    <s v="2013"/>
    <n v="34637.12"/>
    <n v="-174.9"/>
    <s v="CREDITOR"/>
    <n v="0"/>
    <n v="0"/>
    <n v="-174.9"/>
    <n v="0"/>
    <n v="0"/>
  </r>
  <r>
    <n v="60378819"/>
    <s v="N"/>
    <n v="21328831"/>
    <s v="3000014670030001RC"/>
    <s v="CIVIL"/>
    <d v="2023-06-22T00:00:00"/>
    <d v="2023-07-04T19:38:21"/>
    <m/>
    <d v="2023-07-04T00:00:00"/>
    <n v="1478"/>
    <n v="14784"/>
    <s v="60378819"/>
    <s v="60378819"/>
    <m/>
    <m/>
    <m/>
    <m/>
    <m/>
    <m/>
    <s v="SOLRECOUP"/>
    <s v="SOLRECOUP"/>
    <s v="POARECOUP"/>
    <n v="21328831"/>
    <n v="-167"/>
    <m/>
    <s v="Y"/>
    <n v="1"/>
    <d v="2023-07-04T19:38:23"/>
    <s v="N"/>
    <m/>
    <m/>
    <s v="Expert Disbursement"/>
    <m/>
    <s v="N"/>
    <n v="-167"/>
    <n v="0"/>
    <x v="1"/>
    <s v="VALIDATED"/>
    <n v="1"/>
    <s v="01.11.80.308.2013.0000"/>
    <n v="-167"/>
    <s v="11"/>
    <s v="2013"/>
    <n v="34637.12"/>
    <n v="-167"/>
    <s v="CREDITOR"/>
    <n v="0"/>
    <n v="0"/>
    <n v="-167"/>
    <n v="0"/>
    <n v="0"/>
  </r>
  <r>
    <n v="60378819"/>
    <s v="N"/>
    <n v="21328831"/>
    <s v="3000014670030001RC"/>
    <s v="CIVIL"/>
    <d v="2023-06-22T00:00:00"/>
    <d v="2023-07-04T19:38:21"/>
    <m/>
    <d v="2023-07-04T00:00:00"/>
    <n v="1478"/>
    <n v="14784"/>
    <s v="60378819"/>
    <s v="60378819"/>
    <m/>
    <m/>
    <m/>
    <m/>
    <m/>
    <m/>
    <s v="SOLRECOUP"/>
    <s v="SOLRECOUP"/>
    <s v="POARECOUP"/>
    <n v="21328831"/>
    <n v="-167"/>
    <m/>
    <s v="Y"/>
    <n v="2"/>
    <d v="2023-07-04T19:38:23"/>
    <s v="N"/>
    <m/>
    <m/>
    <s v="Expert Disbursement"/>
    <m/>
    <s v="N"/>
    <n v="0"/>
    <n v="0"/>
    <x v="1"/>
    <s v="VALIDATED"/>
    <n v="1"/>
    <s v="01.11.80.000.0000.0000"/>
    <n v="0"/>
    <s v="11"/>
    <s v="0000"/>
    <n v="34637.12"/>
    <n v="0"/>
    <s v="CREDITOR"/>
    <n v="0"/>
    <n v="0"/>
    <n v="0"/>
    <n v="0"/>
    <n v="0"/>
  </r>
  <r>
    <n v="60837128"/>
    <s v="N"/>
    <n v="21328832"/>
    <s v="3000015066830001RC"/>
    <s v="CIVIL"/>
    <d v="2023-06-22T00:00:00"/>
    <d v="2023-07-04T19:38:21"/>
    <m/>
    <d v="2023-07-04T00:00:00"/>
    <n v="1478"/>
    <n v="14784"/>
    <s v="60837128"/>
    <s v="60837128"/>
    <m/>
    <m/>
    <m/>
    <m/>
    <m/>
    <m/>
    <s v="SOLRECOUP"/>
    <s v="SOLRECOUP"/>
    <s v="POARECOUP"/>
    <n v="21328832"/>
    <n v="-318.3"/>
    <m/>
    <s v="Y"/>
    <n v="1"/>
    <d v="2023-07-04T19:38:23"/>
    <s v="N"/>
    <m/>
    <m/>
    <s v="Expert Disbursement"/>
    <m/>
    <s v="N"/>
    <n v="-265.25"/>
    <n v="0"/>
    <x v="1"/>
    <s v="VALIDATED"/>
    <n v="1"/>
    <s v="01.11.80.308.2013.0000"/>
    <n v="-265.25"/>
    <s v="11"/>
    <s v="2013"/>
    <n v="34637.12"/>
    <n v="-265.25"/>
    <s v="CREDITOR"/>
    <n v="0"/>
    <n v="0"/>
    <n v="-265.25"/>
    <n v="0"/>
    <n v="0"/>
  </r>
  <r>
    <n v="60837128"/>
    <s v="N"/>
    <n v="21328832"/>
    <s v="3000015066830001RC"/>
    <s v="CIVIL"/>
    <d v="2023-06-22T00:00:00"/>
    <d v="2023-07-04T19:38:21"/>
    <m/>
    <d v="2023-07-04T00:00:00"/>
    <n v="1478"/>
    <n v="14784"/>
    <s v="60837128"/>
    <s v="60837128"/>
    <m/>
    <m/>
    <m/>
    <m/>
    <m/>
    <m/>
    <s v="SOLRECOUP"/>
    <s v="SOLRECOUP"/>
    <s v="POARECOUP"/>
    <n v="21328832"/>
    <n v="-318.3"/>
    <m/>
    <s v="Y"/>
    <n v="2"/>
    <d v="2023-07-04T19:38:23"/>
    <s v="N"/>
    <m/>
    <m/>
    <s v="Expert Disbursement"/>
    <m/>
    <s v="N"/>
    <n v="0"/>
    <n v="-53.05"/>
    <x v="1"/>
    <s v="VALIDATED"/>
    <n v="1"/>
    <s v="01.11.80.308.2013.0000"/>
    <n v="-53.05"/>
    <s v="11"/>
    <s v="2013"/>
    <n v="34637.12"/>
    <n v="-53.05"/>
    <s v="CREDITOR"/>
    <n v="0"/>
    <n v="0"/>
    <n v="-53.05"/>
    <n v="0"/>
    <n v="0"/>
  </r>
  <r>
    <n v="60837128"/>
    <s v="N"/>
    <n v="21328833"/>
    <s v="3000015066830004RC"/>
    <s v="CIVIL"/>
    <d v="2023-06-22T00:00:00"/>
    <d v="2023-07-04T19:38:21"/>
    <m/>
    <d v="2023-07-04T00:00:00"/>
    <n v="1478"/>
    <n v="14784"/>
    <s v="60837128"/>
    <s v="60837128"/>
    <m/>
    <m/>
    <m/>
    <m/>
    <m/>
    <m/>
    <s v="SOLRECOUP"/>
    <s v="SOLRECOUP"/>
    <s v="POARECOUP"/>
    <n v="21328833"/>
    <n v="-110.4"/>
    <m/>
    <s v="Y"/>
    <n v="1"/>
    <d v="2023-07-04T19:38:23"/>
    <s v="N"/>
    <m/>
    <m/>
    <s v="Expert Disbursement"/>
    <m/>
    <s v="N"/>
    <n v="-92"/>
    <n v="0"/>
    <x v="1"/>
    <s v="VALIDATED"/>
    <n v="1"/>
    <s v="01.11.80.308.2013.0000"/>
    <n v="-92"/>
    <s v="11"/>
    <s v="2013"/>
    <n v="34637.12"/>
    <n v="-92"/>
    <s v="CREDITOR"/>
    <n v="0"/>
    <n v="0"/>
    <n v="-92"/>
    <n v="0"/>
    <n v="0"/>
  </r>
  <r>
    <n v="60837128"/>
    <s v="N"/>
    <n v="21328833"/>
    <s v="3000015066830004RC"/>
    <s v="CIVIL"/>
    <d v="2023-06-22T00:00:00"/>
    <d v="2023-07-04T19:38:21"/>
    <m/>
    <d v="2023-07-04T00:00:00"/>
    <n v="1478"/>
    <n v="14784"/>
    <s v="60837128"/>
    <s v="60837128"/>
    <m/>
    <m/>
    <m/>
    <m/>
    <m/>
    <m/>
    <s v="SOLRECOUP"/>
    <s v="SOLRECOUP"/>
    <s v="POARECOUP"/>
    <n v="21328833"/>
    <n v="-110.4"/>
    <m/>
    <s v="Y"/>
    <n v="2"/>
    <d v="2023-07-04T19:38:23"/>
    <s v="N"/>
    <m/>
    <m/>
    <s v="Expert Disbursement"/>
    <m/>
    <s v="N"/>
    <n v="0"/>
    <n v="-18.4"/>
    <x v="1"/>
    <s v="VALIDATED"/>
    <n v="1"/>
    <s v="01.11.80.308.2013.0000"/>
    <n v="-18.4"/>
    <s v="11"/>
    <s v="2013"/>
    <n v="34637.12"/>
    <n v="-18.4"/>
    <s v="CREDITOR"/>
    <n v="0"/>
    <n v="0"/>
    <n v="-18.4"/>
    <n v="0"/>
    <n v="0"/>
  </r>
  <r>
    <n v="60837128"/>
    <s v="N"/>
    <n v="21328834"/>
    <s v="3000015066830003RC"/>
    <s v="CIVIL"/>
    <d v="2023-06-22T00:00:00"/>
    <d v="2023-07-04T19:38:21"/>
    <m/>
    <d v="2023-07-04T00:00:00"/>
    <n v="1478"/>
    <n v="14784"/>
    <s v="60837128"/>
    <s v="60837128"/>
    <m/>
    <m/>
    <m/>
    <m/>
    <m/>
    <m/>
    <s v="SOLRECOUP"/>
    <s v="SOLRECOUP"/>
    <s v="POARECOUP"/>
    <n v="21328834"/>
    <n v="-215.1"/>
    <m/>
    <s v="Y"/>
    <n v="1"/>
    <d v="2023-07-04T19:38:23"/>
    <s v="N"/>
    <m/>
    <m/>
    <s v="Expert Disbursement"/>
    <m/>
    <s v="N"/>
    <n v="-179.25"/>
    <n v="0"/>
    <x v="1"/>
    <s v="VALIDATED"/>
    <n v="1"/>
    <s v="01.11.80.308.2013.0000"/>
    <n v="-179.25"/>
    <s v="11"/>
    <s v="2013"/>
    <n v="34637.12"/>
    <n v="-179.25"/>
    <s v="CREDITOR"/>
    <n v="0"/>
    <n v="0"/>
    <n v="-179.25"/>
    <n v="0"/>
    <n v="0"/>
  </r>
  <r>
    <n v="60837128"/>
    <s v="N"/>
    <n v="21328834"/>
    <s v="3000015066830003RC"/>
    <s v="CIVIL"/>
    <d v="2023-06-22T00:00:00"/>
    <d v="2023-07-04T19:38:21"/>
    <m/>
    <d v="2023-07-04T00:00:00"/>
    <n v="1478"/>
    <n v="14784"/>
    <s v="60837128"/>
    <s v="60837128"/>
    <m/>
    <m/>
    <m/>
    <m/>
    <m/>
    <m/>
    <s v="SOLRECOUP"/>
    <s v="SOLRECOUP"/>
    <s v="POARECOUP"/>
    <n v="21328834"/>
    <n v="-215.1"/>
    <m/>
    <s v="Y"/>
    <n v="2"/>
    <d v="2023-07-04T19:38:23"/>
    <s v="N"/>
    <m/>
    <m/>
    <s v="Expert Disbursement"/>
    <m/>
    <s v="N"/>
    <n v="0"/>
    <n v="-35.85"/>
    <x v="1"/>
    <s v="VALIDATED"/>
    <n v="1"/>
    <s v="01.11.80.308.2013.0000"/>
    <n v="-35.85"/>
    <s v="11"/>
    <s v="2013"/>
    <n v="34637.12"/>
    <n v="-35.85"/>
    <s v="CREDITOR"/>
    <n v="0"/>
    <n v="0"/>
    <n v="-35.85"/>
    <n v="0"/>
    <n v="0"/>
  </r>
  <r>
    <n v="60378819"/>
    <s v="N"/>
    <n v="21328835"/>
    <s v="3000014670030003RC"/>
    <s v="CIVIL"/>
    <d v="2023-06-22T00:00:00"/>
    <d v="2023-07-04T19:38:21"/>
    <m/>
    <d v="2023-07-04T00:00:00"/>
    <n v="1478"/>
    <n v="14784"/>
    <s v="60378819"/>
    <s v="60378819"/>
    <m/>
    <m/>
    <m/>
    <m/>
    <m/>
    <m/>
    <s v="SOLRECOUP"/>
    <s v="SOLRECOUP"/>
    <s v="POARECOUP"/>
    <n v="21328835"/>
    <n v="-4"/>
    <m/>
    <s v="Y"/>
    <n v="1"/>
    <d v="2023-07-04T19:38:23"/>
    <s v="N"/>
    <m/>
    <m/>
    <s v="Non Expert Disbursement"/>
    <m/>
    <s v="N"/>
    <n v="-3.33"/>
    <n v="0"/>
    <x v="1"/>
    <s v="VALIDATED"/>
    <n v="1"/>
    <s v="01.11.80.308.2013.0000"/>
    <n v="-3.33"/>
    <s v="11"/>
    <s v="2013"/>
    <n v="34637.12"/>
    <n v="-3.33"/>
    <s v="CREDITOR"/>
    <n v="0"/>
    <n v="0"/>
    <n v="-3.33"/>
    <n v="0"/>
    <n v="0"/>
  </r>
  <r>
    <n v="60604153"/>
    <s v="N"/>
    <n v="21356710"/>
    <s v="3000014865530004RC"/>
    <s v="CIVIL"/>
    <d v="2023-06-26T00:00:00"/>
    <d v="2023-07-10T19:47:44"/>
    <m/>
    <d v="2023-07-10T00:00:00"/>
    <n v="1478"/>
    <n v="14784"/>
    <s v="60604153"/>
    <s v="60604153"/>
    <m/>
    <m/>
    <m/>
    <m/>
    <m/>
    <m/>
    <s v="SOLRECOUP"/>
    <s v="SOLRECOUP"/>
    <s v="POARECOUP"/>
    <n v="21356710"/>
    <n v="-420.9"/>
    <m/>
    <s v="Y"/>
    <n v="2"/>
    <d v="2023-07-10T19:47:46"/>
    <s v="N"/>
    <m/>
    <m/>
    <s v="Expert Disbursement"/>
    <m/>
    <s v="N"/>
    <n v="0"/>
    <n v="-70.15000000000001"/>
    <x v="2"/>
    <s v="VALIDATED"/>
    <n v="1"/>
    <s v="01.11.80.308.2013.0000"/>
    <n v="-70.15000000000001"/>
    <s v="11"/>
    <s v="2013"/>
    <n v="34637.12"/>
    <n v="-70.15000000000001"/>
    <s v="CREDITOR"/>
    <n v="0"/>
    <n v="0"/>
    <n v="-70.15000000000001"/>
    <n v="0"/>
    <n v="0"/>
  </r>
  <r>
    <n v="60604153"/>
    <s v="N"/>
    <n v="21356711"/>
    <s v="3000014865530007RC"/>
    <s v="CIVIL"/>
    <d v="2023-06-26T00:00:00"/>
    <d v="2023-07-10T19:47:44"/>
    <m/>
    <d v="2023-07-10T00:00:00"/>
    <n v="1478"/>
    <n v="14784"/>
    <s v="60604153"/>
    <s v="60604153"/>
    <m/>
    <m/>
    <m/>
    <m/>
    <m/>
    <m/>
    <s v="SOLRECOUP"/>
    <s v="SOLRECOUP"/>
    <s v="POARECOUP"/>
    <n v="21356711"/>
    <n v="-449.4"/>
    <m/>
    <s v="Y"/>
    <n v="1"/>
    <d v="2023-07-10T19:47:46"/>
    <s v="N"/>
    <m/>
    <m/>
    <s v="Expert Disbursement"/>
    <m/>
    <s v="N"/>
    <n v="-374.5"/>
    <n v="0"/>
    <x v="2"/>
    <s v="VALIDATED"/>
    <n v="1"/>
    <s v="01.11.80.308.2013.0000"/>
    <n v="-374.5"/>
    <s v="11"/>
    <s v="2013"/>
    <n v="34637.12"/>
    <n v="-374.5"/>
    <s v="CREDITOR"/>
    <n v="0"/>
    <n v="0"/>
    <n v="-374.5"/>
    <n v="0"/>
    <n v="0"/>
  </r>
  <r>
    <n v="60604153"/>
    <s v="N"/>
    <n v="21356711"/>
    <s v="3000014865530007RC"/>
    <s v="CIVIL"/>
    <d v="2023-06-26T00:00:00"/>
    <d v="2023-07-10T19:47:44"/>
    <m/>
    <d v="2023-07-10T00:00:00"/>
    <n v="1478"/>
    <n v="14784"/>
    <s v="60604153"/>
    <s v="60604153"/>
    <m/>
    <m/>
    <m/>
    <m/>
    <m/>
    <m/>
    <s v="SOLRECOUP"/>
    <s v="SOLRECOUP"/>
    <s v="POARECOUP"/>
    <n v="21356711"/>
    <n v="-449.4"/>
    <m/>
    <s v="Y"/>
    <n v="2"/>
    <d v="2023-07-10T19:47:46"/>
    <s v="N"/>
    <m/>
    <m/>
    <s v="Expert Disbursement"/>
    <m/>
    <s v="N"/>
    <n v="0"/>
    <n v="-74.90000000000001"/>
    <x v="2"/>
    <s v="VALIDATED"/>
    <n v="1"/>
    <s v="01.11.80.308.2013.0000"/>
    <n v="-74.90000000000001"/>
    <s v="11"/>
    <s v="2013"/>
    <n v="34637.12"/>
    <n v="-74.90000000000001"/>
    <s v="CREDITOR"/>
    <n v="0"/>
    <n v="0"/>
    <n v="-74.90000000000001"/>
    <n v="0"/>
    <n v="0"/>
  </r>
  <r>
    <n v="60604153"/>
    <s v="N"/>
    <n v="21356712"/>
    <s v="3000014865530008RC"/>
    <s v="CIVIL"/>
    <d v="2023-06-26T00:00:00"/>
    <d v="2023-07-10T19:47:44"/>
    <m/>
    <d v="2023-07-10T00:00:00"/>
    <n v="1478"/>
    <n v="14784"/>
    <s v="60604153"/>
    <s v="60604153"/>
    <m/>
    <m/>
    <m/>
    <m/>
    <m/>
    <m/>
    <s v="SOLRECOUP"/>
    <s v="SOLRECOUP"/>
    <s v="POARECOUP"/>
    <n v="21356712"/>
    <n v="-64.8"/>
    <m/>
    <s v="Y"/>
    <n v="1"/>
    <d v="2023-07-10T19:47:46"/>
    <s v="N"/>
    <m/>
    <m/>
    <s v="Expert Disbursement"/>
    <m/>
    <s v="N"/>
    <n v="-54"/>
    <n v="0"/>
    <x v="2"/>
    <s v="VALIDATED"/>
    <n v="1"/>
    <s v="01.11.80.308.2013.0000"/>
    <n v="-54"/>
    <s v="11"/>
    <s v="2013"/>
    <n v="34637.12"/>
    <n v="-54"/>
    <s v="CREDITOR"/>
    <n v="0"/>
    <n v="0"/>
    <n v="-54"/>
    <n v="0"/>
    <n v="0"/>
  </r>
  <r>
    <n v="60604153"/>
    <s v="N"/>
    <n v="21356712"/>
    <s v="3000014865530008RC"/>
    <s v="CIVIL"/>
    <d v="2023-06-26T00:00:00"/>
    <d v="2023-07-10T19:47:44"/>
    <m/>
    <d v="2023-07-10T00:00:00"/>
    <n v="1478"/>
    <n v="14784"/>
    <s v="60604153"/>
    <s v="60604153"/>
    <m/>
    <m/>
    <m/>
    <m/>
    <m/>
    <m/>
    <s v="SOLRECOUP"/>
    <s v="SOLRECOUP"/>
    <s v="POARECOUP"/>
    <n v="21356712"/>
    <n v="-64.8"/>
    <m/>
    <s v="Y"/>
    <n v="2"/>
    <d v="2023-07-10T19:47:46"/>
    <s v="N"/>
    <m/>
    <m/>
    <s v="Expert Disbursement"/>
    <m/>
    <s v="N"/>
    <n v="0"/>
    <n v="-10.8"/>
    <x v="2"/>
    <s v="VALIDATED"/>
    <n v="1"/>
    <s v="01.11.80.308.2013.0000"/>
    <n v="-10.8"/>
    <s v="11"/>
    <s v="2013"/>
    <n v="34637.12"/>
    <n v="-10.8"/>
    <s v="CREDITOR"/>
    <n v="0"/>
    <n v="0"/>
    <n v="-10.8"/>
    <n v="0"/>
    <n v="0"/>
  </r>
  <r>
    <n v="60604153"/>
    <s v="N"/>
    <n v="21356707"/>
    <s v="3000014865530010RC"/>
    <s v="CIVIL"/>
    <d v="2023-06-26T00:00:00"/>
    <d v="2023-07-10T19:47:44"/>
    <m/>
    <d v="2023-07-10T00:00:00"/>
    <n v="1478"/>
    <n v="14784"/>
    <s v="60604153"/>
    <s v="60604153"/>
    <m/>
    <m/>
    <m/>
    <m/>
    <m/>
    <m/>
    <s v="SOLRECOUP"/>
    <s v="SOLRECOUP"/>
    <s v="POARECOUP"/>
    <n v="21356707"/>
    <n v="-388.8"/>
    <m/>
    <s v="Y"/>
    <n v="1"/>
    <d v="2023-07-10T19:47:46"/>
    <s v="N"/>
    <m/>
    <m/>
    <s v="Expert Disbursement"/>
    <m/>
    <s v="N"/>
    <n v="-324"/>
    <n v="0"/>
    <x v="2"/>
    <s v="VALIDATED"/>
    <n v="1"/>
    <s v="01.11.80.308.2013.0000"/>
    <n v="-324"/>
    <s v="11"/>
    <s v="2013"/>
    <n v="34637.12"/>
    <n v="-324"/>
    <s v="CREDITOR"/>
    <n v="0"/>
    <n v="0"/>
    <n v="-324"/>
    <n v="0"/>
    <n v="0"/>
  </r>
  <r>
    <n v="60604153"/>
    <s v="N"/>
    <n v="21356707"/>
    <s v="3000014865530010RC"/>
    <s v="CIVIL"/>
    <d v="2023-06-26T00:00:00"/>
    <d v="2023-07-10T19:47:44"/>
    <m/>
    <d v="2023-07-10T00:00:00"/>
    <n v="1478"/>
    <n v="14784"/>
    <s v="60604153"/>
    <s v="60604153"/>
    <m/>
    <m/>
    <m/>
    <m/>
    <m/>
    <m/>
    <s v="SOLRECOUP"/>
    <s v="SOLRECOUP"/>
    <s v="POARECOUP"/>
    <n v="21356707"/>
    <n v="-388.8"/>
    <m/>
    <s v="Y"/>
    <n v="2"/>
    <d v="2023-07-10T19:47:46"/>
    <s v="N"/>
    <m/>
    <m/>
    <s v="Expert Disbursement"/>
    <m/>
    <s v="N"/>
    <n v="0"/>
    <n v="-64.8"/>
    <x v="2"/>
    <s v="VALIDATED"/>
    <n v="1"/>
    <s v="01.11.80.308.2013.0000"/>
    <n v="-64.8"/>
    <s v="11"/>
    <s v="2013"/>
    <n v="34637.12"/>
    <n v="-64.8"/>
    <s v="CREDITOR"/>
    <n v="0"/>
    <n v="0"/>
    <n v="-64.8"/>
    <n v="0"/>
    <n v="0"/>
  </r>
  <r>
    <n v="60604153"/>
    <s v="N"/>
    <n v="21356708"/>
    <s v="3000014865530002RC"/>
    <s v="CIVIL"/>
    <d v="2023-06-26T00:00:00"/>
    <d v="2023-07-10T19:47:44"/>
    <m/>
    <d v="2023-07-10T00:00:00"/>
    <n v="1478"/>
    <n v="14784"/>
    <s v="60604153"/>
    <s v="60604153"/>
    <m/>
    <m/>
    <m/>
    <m/>
    <m/>
    <m/>
    <s v="SOLRECOUP"/>
    <s v="SOLRECOUP"/>
    <s v="POARECOUP"/>
    <n v="21356708"/>
    <n v="-570.3"/>
    <m/>
    <s v="Y"/>
    <n v="1"/>
    <d v="2023-07-10T19:47:46"/>
    <s v="N"/>
    <m/>
    <m/>
    <s v="Expert Disbursement"/>
    <m/>
    <s v="N"/>
    <n v="-475.25"/>
    <n v="0"/>
    <x v="2"/>
    <s v="VALIDATED"/>
    <n v="1"/>
    <s v="01.11.80.308.2013.0000"/>
    <n v="-475.25"/>
    <s v="11"/>
    <s v="2013"/>
    <n v="34637.12"/>
    <n v="-475.25"/>
    <s v="CREDITOR"/>
    <n v="0"/>
    <n v="0"/>
    <n v="-475.25"/>
    <n v="0"/>
    <n v="0"/>
  </r>
  <r>
    <n v="60604153"/>
    <s v="N"/>
    <n v="21356708"/>
    <s v="3000014865530002RC"/>
    <s v="CIVIL"/>
    <d v="2023-06-26T00:00:00"/>
    <d v="2023-07-10T19:47:44"/>
    <m/>
    <d v="2023-07-10T00:00:00"/>
    <n v="1478"/>
    <n v="14784"/>
    <s v="60604153"/>
    <s v="60604153"/>
    <m/>
    <m/>
    <m/>
    <m/>
    <m/>
    <m/>
    <s v="SOLRECOUP"/>
    <s v="SOLRECOUP"/>
    <s v="POARECOUP"/>
    <n v="21356708"/>
    <n v="-570.3"/>
    <m/>
    <s v="Y"/>
    <n v="2"/>
    <d v="2023-07-10T19:47:46"/>
    <s v="N"/>
    <m/>
    <m/>
    <s v="Expert Disbursement"/>
    <m/>
    <s v="N"/>
    <n v="0"/>
    <n v="-95.05"/>
    <x v="2"/>
    <s v="VALIDATED"/>
    <n v="1"/>
    <s v="01.11.80.308.2013.0000"/>
    <n v="-95.05"/>
    <s v="11"/>
    <s v="2013"/>
    <n v="34637.12"/>
    <n v="-95.05"/>
    <s v="CREDITOR"/>
    <n v="0"/>
    <n v="0"/>
    <n v="-95.05"/>
    <n v="0"/>
    <n v="0"/>
  </r>
  <r>
    <n v="60604153"/>
    <s v="N"/>
    <n v="21356709"/>
    <s v="3000014865530005RC"/>
    <s v="CIVIL"/>
    <d v="2023-06-26T00:00:00"/>
    <d v="2023-07-10T19:47:44"/>
    <m/>
    <d v="2023-07-10T00:00:00"/>
    <n v="1478"/>
    <n v="14784"/>
    <s v="60604153"/>
    <s v="60604153"/>
    <m/>
    <m/>
    <m/>
    <m/>
    <m/>
    <m/>
    <s v="SOLRECOUP"/>
    <s v="SOLRECOUP"/>
    <s v="POARECOUP"/>
    <n v="21356709"/>
    <n v="-570.3"/>
    <m/>
    <s v="Y"/>
    <n v="1"/>
    <d v="2023-07-10T19:47:46"/>
    <s v="N"/>
    <m/>
    <m/>
    <s v="Expert Disbursement"/>
    <m/>
    <s v="N"/>
    <n v="-475.25"/>
    <n v="0"/>
    <x v="2"/>
    <s v="VALIDATED"/>
    <n v="1"/>
    <s v="01.11.80.308.2013.0000"/>
    <n v="-475.25"/>
    <s v="11"/>
    <s v="2013"/>
    <n v="34637.12"/>
    <n v="-475.25"/>
    <s v="CREDITOR"/>
    <n v="0"/>
    <n v="0"/>
    <n v="-475.25"/>
    <n v="0"/>
    <n v="0"/>
  </r>
  <r>
    <n v="60604153"/>
    <s v="N"/>
    <n v="21356709"/>
    <s v="3000014865530005RC"/>
    <s v="CIVIL"/>
    <d v="2023-06-26T00:00:00"/>
    <d v="2023-07-10T19:47:44"/>
    <m/>
    <d v="2023-07-10T00:00:00"/>
    <n v="1478"/>
    <n v="14784"/>
    <s v="60604153"/>
    <s v="60604153"/>
    <m/>
    <m/>
    <m/>
    <m/>
    <m/>
    <m/>
    <s v="SOLRECOUP"/>
    <s v="SOLRECOUP"/>
    <s v="POARECOUP"/>
    <n v="21356709"/>
    <n v="-570.3"/>
    <m/>
    <s v="Y"/>
    <n v="2"/>
    <d v="2023-07-10T19:47:46"/>
    <s v="N"/>
    <m/>
    <m/>
    <s v="Expert Disbursement"/>
    <m/>
    <s v="N"/>
    <n v="0"/>
    <n v="-95.05"/>
    <x v="2"/>
    <s v="VALIDATED"/>
    <n v="1"/>
    <s v="01.11.80.308.2013.0000"/>
    <n v="-95.05"/>
    <s v="11"/>
    <s v="2013"/>
    <n v="34637.12"/>
    <n v="-95.05"/>
    <s v="CREDITOR"/>
    <n v="0"/>
    <n v="0"/>
    <n v="-95.05"/>
    <n v="0"/>
    <n v="0"/>
  </r>
  <r>
    <n v="60604153"/>
    <s v="N"/>
    <n v="21356710"/>
    <s v="3000014865530004RC"/>
    <s v="CIVIL"/>
    <d v="2023-06-26T00:00:00"/>
    <d v="2023-07-10T19:47:44"/>
    <m/>
    <d v="2023-07-10T00:00:00"/>
    <n v="1478"/>
    <n v="14784"/>
    <s v="60604153"/>
    <s v="60604153"/>
    <m/>
    <m/>
    <m/>
    <m/>
    <m/>
    <m/>
    <s v="SOLRECOUP"/>
    <s v="SOLRECOUP"/>
    <s v="POARECOUP"/>
    <n v="21356710"/>
    <n v="-420.9"/>
    <m/>
    <s v="Y"/>
    <n v="1"/>
    <d v="2023-07-10T19:47:46"/>
    <s v="N"/>
    <m/>
    <m/>
    <s v="Expert Disbursement"/>
    <m/>
    <s v="N"/>
    <n v="-350.75"/>
    <n v="0"/>
    <x v="2"/>
    <s v="VALIDATED"/>
    <n v="1"/>
    <s v="01.11.80.308.2013.0000"/>
    <n v="-350.75"/>
    <s v="11"/>
    <s v="2013"/>
    <n v="34637.12"/>
    <n v="-350.75"/>
    <s v="CREDITOR"/>
    <n v="0"/>
    <n v="0"/>
    <n v="-350.75"/>
    <n v="0"/>
    <n v="0"/>
  </r>
  <r>
    <n v="59965392"/>
    <s v="N"/>
    <n v="21412828"/>
    <s v="3000014312980004RC"/>
    <s v="CIVIL"/>
    <d v="2023-06-29T00:00:00"/>
    <d v="2023-07-21T19:28:38"/>
    <m/>
    <d v="2023-07-21T00:00:00"/>
    <n v="1478"/>
    <n v="14784"/>
    <s v="59965392"/>
    <s v="59965392"/>
    <m/>
    <m/>
    <m/>
    <m/>
    <m/>
    <m/>
    <s v="SOLRECOUP"/>
    <s v="SOLRECOUP"/>
    <s v="POARECOUP"/>
    <n v="21412828"/>
    <n v="-2755.33"/>
    <m/>
    <s v="Y"/>
    <n v="2"/>
    <d v="2023-07-21T19:28:38"/>
    <s v="N"/>
    <m/>
    <m/>
    <s v="Expert Disbursement"/>
    <m/>
    <s v="N"/>
    <n v="0"/>
    <n v="-459.22"/>
    <x v="12"/>
    <s v="VALIDATED"/>
    <n v="1"/>
    <s v="01.11.80.308.2013.0000"/>
    <n v="-459.22"/>
    <s v="11"/>
    <s v="2013"/>
    <n v="34637.12"/>
    <n v="-459.22"/>
    <s v="CREDITOR"/>
    <n v="0"/>
    <n v="0"/>
    <n v="-459.22"/>
    <n v="0"/>
    <n v="0"/>
  </r>
  <r>
    <n v="59965392"/>
    <s v="N"/>
    <n v="21412828"/>
    <s v="3000014312980004RC"/>
    <s v="CIVIL"/>
    <d v="2023-06-29T00:00:00"/>
    <d v="2023-07-21T19:28:38"/>
    <m/>
    <d v="2023-07-21T00:00:00"/>
    <n v="1478"/>
    <n v="14784"/>
    <s v="59965392"/>
    <s v="59965392"/>
    <m/>
    <m/>
    <m/>
    <m/>
    <m/>
    <m/>
    <s v="SOLRECOUP"/>
    <s v="SOLRECOUP"/>
    <s v="POARECOUP"/>
    <n v="21412828"/>
    <n v="-2755.33"/>
    <m/>
    <s v="Y"/>
    <n v="1"/>
    <d v="2023-07-21T19:28:38"/>
    <s v="N"/>
    <m/>
    <m/>
    <s v="Expert Disbursement"/>
    <m/>
    <s v="N"/>
    <n v="-2296.11"/>
    <n v="0"/>
    <x v="12"/>
    <s v="VALIDATED"/>
    <n v="1"/>
    <s v="01.11.80.308.2013.0000"/>
    <n v="-2296.11"/>
    <s v="11"/>
    <s v="2013"/>
    <n v="34637.12"/>
    <n v="-2296.11"/>
    <s v="CREDITOR"/>
    <n v="0"/>
    <n v="0"/>
    <n v="-2296.11"/>
    <n v="0"/>
    <n v="0"/>
  </r>
  <r>
    <n v="59965392"/>
    <s v="N"/>
    <n v="21412146"/>
    <s v="3000014312980002RC"/>
    <s v="CIVIL"/>
    <d v="2023-06-29T00:00:00"/>
    <d v="2023-07-21T19:28:22"/>
    <m/>
    <d v="2023-07-21T00:00:00"/>
    <n v="1478"/>
    <n v="14784"/>
    <s v="59965392"/>
    <s v="59965392"/>
    <m/>
    <m/>
    <m/>
    <m/>
    <m/>
    <m/>
    <s v="SOLRECOUP"/>
    <s v="SOLRECOUP"/>
    <s v="POARECOUP"/>
    <n v="21412146"/>
    <n v="-227.06"/>
    <m/>
    <s v="Y"/>
    <n v="2"/>
    <d v="2023-07-21T19:28:23"/>
    <s v="N"/>
    <m/>
    <m/>
    <s v="Expert Disbursement"/>
    <m/>
    <s v="N"/>
    <n v="0"/>
    <n v="0"/>
    <x v="12"/>
    <s v="VALIDATED"/>
    <n v="1"/>
    <s v="01.11.80.000.0000.0000"/>
    <n v="0"/>
    <s v="11"/>
    <s v="0000"/>
    <n v="34637.12"/>
    <n v="0"/>
    <s v="CREDITOR"/>
    <n v="0"/>
    <n v="0"/>
    <n v="0"/>
    <n v="0"/>
    <n v="0"/>
  </r>
  <r>
    <n v="59965392"/>
    <s v="N"/>
    <n v="21412146"/>
    <s v="3000014312980002RC"/>
    <s v="CIVIL"/>
    <d v="2023-06-29T00:00:00"/>
    <d v="2023-07-21T19:28:22"/>
    <m/>
    <d v="2023-07-21T00:00:00"/>
    <n v="1478"/>
    <n v="14784"/>
    <s v="59965392"/>
    <s v="59965392"/>
    <m/>
    <m/>
    <m/>
    <m/>
    <m/>
    <m/>
    <s v="SOLRECOUP"/>
    <s v="SOLRECOUP"/>
    <s v="POARECOUP"/>
    <n v="21412146"/>
    <n v="-227.06"/>
    <m/>
    <s v="Y"/>
    <n v="1"/>
    <d v="2023-07-21T19:28:23"/>
    <s v="N"/>
    <m/>
    <m/>
    <s v="Expert Disbursement"/>
    <m/>
    <s v="N"/>
    <n v="-227.06"/>
    <n v="0"/>
    <x v="12"/>
    <s v="VALIDATED"/>
    <n v="1"/>
    <s v="01.11.80.308.2013.0000"/>
    <n v="-227.06"/>
    <s v="11"/>
    <s v="2013"/>
    <n v="34637.12"/>
    <n v="-227.06"/>
    <s v="CREDITOR"/>
    <n v="0"/>
    <n v="0"/>
    <n v="-227.06"/>
    <n v="0"/>
    <n v="0"/>
  </r>
  <r>
    <n v="59965392"/>
    <s v="N"/>
    <n v="21412147"/>
    <s v="3000014312980001RC"/>
    <s v="CIVIL"/>
    <d v="2023-06-29T00:00:00"/>
    <d v="2023-07-21T19:28:22"/>
    <m/>
    <d v="2023-07-21T00:00:00"/>
    <n v="1478"/>
    <n v="14784"/>
    <s v="59965392"/>
    <s v="59965392"/>
    <m/>
    <m/>
    <m/>
    <m/>
    <m/>
    <m/>
    <s v="SOLRECOUP"/>
    <s v="SOLRECOUP"/>
    <s v="POARECOUP"/>
    <n v="21412147"/>
    <n v="-227.06"/>
    <m/>
    <s v="Y"/>
    <n v="1"/>
    <d v="2023-07-21T19:28:23"/>
    <s v="N"/>
    <m/>
    <m/>
    <s v="Expert Disbursement"/>
    <m/>
    <s v="N"/>
    <n v="-227.06"/>
    <n v="0"/>
    <x v="12"/>
    <s v="VALIDATED"/>
    <n v="1"/>
    <s v="01.11.80.308.2013.0000"/>
    <n v="-227.06"/>
    <s v="11"/>
    <s v="2013"/>
    <n v="34637.12"/>
    <n v="-227.06"/>
    <s v="CREDITOR"/>
    <n v="0"/>
    <n v="0"/>
    <n v="-227.06"/>
    <n v="0"/>
    <n v="0"/>
  </r>
  <r>
    <n v="59965392"/>
    <s v="N"/>
    <n v="21412147"/>
    <s v="3000014312980001RC"/>
    <s v="CIVIL"/>
    <d v="2023-06-29T00:00:00"/>
    <d v="2023-07-21T19:28:22"/>
    <m/>
    <d v="2023-07-21T00:00:00"/>
    <n v="1478"/>
    <n v="14784"/>
    <s v="59965392"/>
    <s v="59965392"/>
    <m/>
    <m/>
    <m/>
    <m/>
    <m/>
    <m/>
    <s v="SOLRECOUP"/>
    <s v="SOLRECOUP"/>
    <s v="POARECOUP"/>
    <n v="21412147"/>
    <n v="-227.06"/>
    <m/>
    <s v="Y"/>
    <n v="2"/>
    <d v="2023-07-21T19:28:23"/>
    <s v="N"/>
    <m/>
    <m/>
    <s v="Expert Disbursement"/>
    <m/>
    <s v="N"/>
    <n v="0"/>
    <n v="0"/>
    <x v="12"/>
    <s v="VALIDATED"/>
    <n v="1"/>
    <s v="01.11.80.000.0000.0000"/>
    <n v="0"/>
    <s v="11"/>
    <s v="0000"/>
    <n v="34637.12"/>
    <n v="0"/>
    <s v="CREDITOR"/>
    <n v="0"/>
    <n v="0"/>
    <n v="0"/>
    <n v="0"/>
    <n v="0"/>
  </r>
  <r>
    <n v="59965392"/>
    <s v="N"/>
    <n v="21412157"/>
    <s v="3000014312980003RC"/>
    <s v="CIVIL"/>
    <d v="2023-06-29T00:00:00"/>
    <d v="2023-07-21T19:28:22"/>
    <m/>
    <d v="2023-07-21T00:00:00"/>
    <n v="1478"/>
    <n v="14784"/>
    <s v="59965392"/>
    <s v="59965392"/>
    <m/>
    <m/>
    <m/>
    <m/>
    <m/>
    <m/>
    <s v="SOLRECOUP"/>
    <s v="SOLRECOUP"/>
    <s v="POARECOUP"/>
    <n v="21412157"/>
    <n v="-50"/>
    <m/>
    <s v="Y"/>
    <n v="2"/>
    <d v="2023-07-21T19:28:23"/>
    <s v="N"/>
    <m/>
    <m/>
    <s v="Expert Disbursement"/>
    <m/>
    <s v="N"/>
    <n v="0"/>
    <n v="0"/>
    <x v="12"/>
    <s v="VALIDATED"/>
    <n v="1"/>
    <s v="01.11.80.000.0000.0000"/>
    <n v="0"/>
    <s v="11"/>
    <s v="0000"/>
    <n v="34637.12"/>
    <n v="0"/>
    <s v="CREDITOR"/>
    <n v="0"/>
    <n v="0"/>
    <n v="0"/>
    <n v="0"/>
    <n v="0"/>
  </r>
  <r>
    <n v="59965392"/>
    <s v="N"/>
    <n v="21412157"/>
    <s v="3000014312980003RC"/>
    <s v="CIVIL"/>
    <d v="2023-06-29T00:00:00"/>
    <d v="2023-07-21T19:28:22"/>
    <m/>
    <d v="2023-07-21T00:00:00"/>
    <n v="1478"/>
    <n v="14784"/>
    <s v="59965392"/>
    <s v="59965392"/>
    <m/>
    <m/>
    <m/>
    <m/>
    <m/>
    <m/>
    <s v="SOLRECOUP"/>
    <s v="SOLRECOUP"/>
    <s v="POARECOUP"/>
    <n v="21412157"/>
    <n v="-50"/>
    <m/>
    <s v="Y"/>
    <n v="1"/>
    <d v="2023-07-21T19:28:23"/>
    <s v="N"/>
    <m/>
    <m/>
    <s v="Expert Disbursement"/>
    <m/>
    <s v="N"/>
    <n v="-50"/>
    <n v="0"/>
    <x v="12"/>
    <s v="VALIDATED"/>
    <n v="1"/>
    <s v="01.11.80.308.2013.0000"/>
    <n v="-50"/>
    <s v="11"/>
    <s v="2013"/>
    <n v="34637.12"/>
    <n v="-50"/>
    <s v="CREDITOR"/>
    <n v="0"/>
    <n v="0"/>
    <n v="-50"/>
    <n v="0"/>
    <n v="0"/>
  </r>
  <r>
    <n v="60837128"/>
    <s v="N"/>
    <n v="21328086"/>
    <s v="3000015066830005"/>
    <s v="CIVIL"/>
    <d v="2023-06-22T00:00:00"/>
    <d v="2023-07-04T19:00:44"/>
    <m/>
    <d v="2023-07-04T00:00:00"/>
    <n v="1478"/>
    <n v="14784"/>
    <s v="60837128"/>
    <s v="60837128"/>
    <m/>
    <m/>
    <n v="22748090"/>
    <m/>
    <m/>
    <m/>
    <s v="SOLFIN"/>
    <s v="SOLFIN"/>
    <s v="CCMS"/>
    <n v="21328086"/>
    <n v="6470.38"/>
    <m/>
    <s v="N"/>
    <n v="10"/>
    <d v="2023-07-04T19:01:03"/>
    <s v="Y"/>
    <s v="Advocates Meeting"/>
    <s v="Public Law Children"/>
    <s v="Advocacy"/>
    <s v="MGT"/>
    <s v="Y"/>
    <n v="140.99"/>
    <n v="28.2"/>
    <x v="1"/>
    <s v="VALIDATED"/>
    <n v="1"/>
    <s v="01.11.80.308.6100.0000"/>
    <n v="140.99"/>
    <s v="11"/>
    <s v="6100"/>
    <n v="34637.12"/>
    <n v="140.99"/>
    <s v="CREDITOR"/>
    <n v="0"/>
    <n v="0"/>
    <n v="0"/>
    <n v="0"/>
    <n v="140.99"/>
  </r>
  <r>
    <n v="9439840"/>
    <s v="N"/>
    <n v="21328272"/>
    <s v="3000005393230018"/>
    <s v="CIVIL"/>
    <d v="2023-06-22T00:00:00"/>
    <d v="2023-07-04T19:00:44"/>
    <m/>
    <d v="2023-07-04T00:00:00"/>
    <n v="1478"/>
    <n v="14784"/>
    <s v="9439840"/>
    <s v="9439840"/>
    <m/>
    <m/>
    <n v="22748160"/>
    <m/>
    <m/>
    <m/>
    <s v="SOLFIN"/>
    <s v="SOLFIN"/>
    <s v="CCMS"/>
    <n v="21328272"/>
    <n v="16050.11"/>
    <m/>
    <s v="N"/>
    <n v="5"/>
    <d v="2023-07-04T19:01:11"/>
    <s v="N"/>
    <s v="Exceptional Travel"/>
    <s v="Public Law Children"/>
    <s v="Advocacy"/>
    <s v="lk"/>
    <s v="N"/>
    <n v="32.04"/>
    <n v="6.41"/>
    <x v="1"/>
    <s v="VALIDATED"/>
    <n v="1"/>
    <s v="01.11.80.308.6100.0000"/>
    <n v="32.04"/>
    <s v="11"/>
    <s v="6100"/>
    <n v="34637.12"/>
    <n v="32.04"/>
    <s v="CREDITOR"/>
    <n v="0"/>
    <n v="0"/>
    <n v="0"/>
    <n v="0"/>
    <n v="32.04"/>
  </r>
  <r>
    <n v="59965392"/>
    <s v="N"/>
    <n v="21411482"/>
    <s v="3000014312980005"/>
    <s v="CIVIL"/>
    <d v="2023-06-29T00:00:00"/>
    <d v="2023-07-21T19:03:21"/>
    <m/>
    <d v="2023-07-21T00:00:00"/>
    <n v="1478"/>
    <n v="14784"/>
    <s v="59965392"/>
    <s v="59965392"/>
    <m/>
    <m/>
    <n v="22785326"/>
    <m/>
    <m/>
    <m/>
    <s v="SOLFIN"/>
    <s v="SOLFIN"/>
    <s v="CCMS"/>
    <n v="21411482"/>
    <n v="8695.93"/>
    <m/>
    <s v="N"/>
    <n v="2"/>
    <d v="2023-07-21T19:03:24"/>
    <s v="Y"/>
    <s v="Doctor (GP)"/>
    <s v="Public Law Children"/>
    <s v="Expert Disbursement"/>
    <s v="FL"/>
    <s v="Y"/>
    <n v="50"/>
    <n v="0"/>
    <x v="12"/>
    <s v="VALIDATED"/>
    <n v="1"/>
    <s v="01.11.80.308.6300.0000"/>
    <n v="50"/>
    <s v="11"/>
    <s v="6300"/>
    <n v="34637.12"/>
    <n v="50"/>
    <s v="CREDITOR"/>
    <n v="0"/>
    <n v="0"/>
    <n v="0"/>
    <n v="0"/>
    <n v="50"/>
  </r>
  <r>
    <n v="60604153"/>
    <s v="N"/>
    <n v="21349720"/>
    <s v="3000014865530013"/>
    <s v="CIVIL"/>
    <d v="2023-06-26T00:00:00"/>
    <d v="2023-07-10T19:01:40"/>
    <m/>
    <d v="2023-07-10T00:00:00"/>
    <n v="1478"/>
    <n v="14784"/>
    <s v="60604153"/>
    <s v="60604153"/>
    <m/>
    <m/>
    <n v="22763480"/>
    <m/>
    <m/>
    <m/>
    <s v="SOLFIN"/>
    <s v="SOLFIN"/>
    <s v="CCMS"/>
    <n v="21349720"/>
    <n v="6065.07"/>
    <m/>
    <s v="N"/>
    <n v="9"/>
    <d v="2023-07-10T19:01:56"/>
    <s v="Y"/>
    <s v="Advocates Meeting"/>
    <s v="Public Law Children"/>
    <s v="Advocacy"/>
    <s v="JJ"/>
    <s v="Y"/>
    <n v="128.16"/>
    <n v="25.63"/>
    <x v="2"/>
    <s v="VALIDATED"/>
    <n v="1"/>
    <s v="01.11.80.308.6100.0000"/>
    <n v="128.16"/>
    <s v="11"/>
    <s v="6100"/>
    <n v="34637.12"/>
    <n v="128.16"/>
    <s v="CREDITOR"/>
    <n v="0"/>
    <n v="0"/>
    <n v="0"/>
    <n v="0"/>
    <n v="128.16"/>
  </r>
  <r>
    <n v="60378819"/>
    <s v="N"/>
    <n v="21327944"/>
    <s v="3000014670030004"/>
    <s v="CIVIL"/>
    <d v="2023-06-22T00:00:00"/>
    <d v="2023-07-04T19:00:44"/>
    <m/>
    <d v="2023-07-04T00:00:00"/>
    <n v="1478"/>
    <n v="14784"/>
    <s v="60378819"/>
    <s v="60378819"/>
    <m/>
    <m/>
    <n v="22748060"/>
    <m/>
    <m/>
    <m/>
    <s v="SOLFIN"/>
    <s v="SOLFIN"/>
    <s v="CCMS"/>
    <n v="21327944"/>
    <n v="5670.28"/>
    <m/>
    <s v="N"/>
    <n v="6"/>
    <d v="2023-07-04T19:00:59"/>
    <s v="Y"/>
    <s v="Advocates Meeting"/>
    <s v="Public Law Children"/>
    <s v="Advocacy"/>
    <s v="LK"/>
    <s v="Y"/>
    <n v="140.99"/>
    <n v="28.2"/>
    <x v="1"/>
    <s v="VALIDATED"/>
    <n v="1"/>
    <s v="01.11.80.308.6100.0000"/>
    <n v="140.99"/>
    <s v="11"/>
    <s v="6100"/>
    <n v="34637.12"/>
    <n v="140.99"/>
    <s v="CREDITOR"/>
    <n v="0"/>
    <n v="0"/>
    <n v="0"/>
    <n v="0"/>
    <n v="140.99"/>
  </r>
  <r>
    <n v="9439840"/>
    <s v="N"/>
    <n v="21328272"/>
    <s v="3000005393230018"/>
    <s v="CIVIL"/>
    <d v="2023-06-22T00:00:00"/>
    <d v="2023-07-04T19:00:44"/>
    <m/>
    <d v="2023-07-04T00:00:00"/>
    <n v="1478"/>
    <n v="14784"/>
    <s v="9439840"/>
    <s v="9439840"/>
    <m/>
    <m/>
    <n v="22748160"/>
    <m/>
    <m/>
    <m/>
    <s v="SOLFIN"/>
    <s v="SOLFIN"/>
    <s v="CCMS"/>
    <n v="21328272"/>
    <n v="16050.11"/>
    <m/>
    <s v="N"/>
    <n v="16"/>
    <d v="2023-07-04T19:01:11"/>
    <s v="N"/>
    <s v="Solicitor Travel Mileage"/>
    <s v="Public Law Children"/>
    <s v="Non Expert Disbursement"/>
    <s v="lk"/>
    <s v="N"/>
    <n v="37.11"/>
    <n v="7.42"/>
    <x v="1"/>
    <s v="VALIDATED"/>
    <n v="1"/>
    <s v="01.11.80.308.6300.0000"/>
    <n v="37.11"/>
    <s v="11"/>
    <s v="6300"/>
    <n v="34637.12"/>
    <n v="37.11"/>
    <s v="CREDITOR"/>
    <n v="0"/>
    <n v="0"/>
    <n v="0"/>
    <n v="0"/>
    <n v="37.11"/>
  </r>
  <r>
    <n v="60895857"/>
    <s v="N"/>
    <n v="21330752"/>
    <s v="3000015118040003"/>
    <s v="CIVIL"/>
    <d v="2023-06-22T00:00:00"/>
    <d v="2023-07-05T19:01:47"/>
    <m/>
    <d v="2023-07-05T00:00:00"/>
    <n v="1478"/>
    <n v="14784"/>
    <s v="60895857"/>
    <s v="60895857"/>
    <m/>
    <m/>
    <n v="22748132"/>
    <m/>
    <m/>
    <m/>
    <s v="SOLFIN"/>
    <s v="SOLFIN"/>
    <s v="CCMS"/>
    <n v="21330752"/>
    <n v="5937.3"/>
    <m/>
    <s v="N"/>
    <n v="4"/>
    <d v="2023-07-05T19:01:54"/>
    <s v="Y"/>
    <s v="Advocates Meeting"/>
    <s v="Public Law Children"/>
    <s v="Advocacy"/>
    <s v="JJ"/>
    <s v="Y"/>
    <n v="140.99"/>
    <n v="28.2"/>
    <x v="6"/>
    <s v="VALIDATED"/>
    <n v="1"/>
    <s v="01.11.80.308.6100.0000"/>
    <n v="140.99"/>
    <s v="11"/>
    <s v="6100"/>
    <n v="34637.12"/>
    <n v="140.99"/>
    <s v="CREDITOR"/>
    <n v="0"/>
    <n v="0"/>
    <n v="0"/>
    <n v="0"/>
    <n v="140.99"/>
  </r>
  <r>
    <n v="9439840"/>
    <s v="N"/>
    <n v="21328272"/>
    <s v="3000005393230018"/>
    <s v="CIVIL"/>
    <d v="2023-06-22T00:00:00"/>
    <d v="2023-07-04T19:00:44"/>
    <m/>
    <d v="2023-07-04T00:00:00"/>
    <n v="1478"/>
    <n v="14784"/>
    <s v="9439840"/>
    <s v="9439840"/>
    <m/>
    <m/>
    <n v="22748160"/>
    <m/>
    <m/>
    <m/>
    <s v="SOLFIN"/>
    <s v="SOLFIN"/>
    <s v="CCMS"/>
    <n v="21328272"/>
    <n v="16050.11"/>
    <m/>
    <s v="N"/>
    <n v="11"/>
    <d v="2023-07-04T19:01:11"/>
    <s v="N"/>
    <s v="Final Hearing Court Bundle/Advocate"/>
    <s v="Public Law Children"/>
    <s v="Advocacy"/>
    <s v="lk"/>
    <s v="N"/>
    <n v="239.4"/>
    <n v="47.88"/>
    <x v="1"/>
    <s v="VALIDATED"/>
    <n v="1"/>
    <s v="01.11.80.308.6100.0000"/>
    <n v="239.4"/>
    <s v="11"/>
    <s v="6100"/>
    <n v="34637.12"/>
    <n v="239.4"/>
    <s v="CREDITOR"/>
    <n v="0"/>
    <n v="0"/>
    <n v="0"/>
    <n v="0"/>
    <n v="239.4"/>
  </r>
  <r>
    <n v="60837128"/>
    <s v="N"/>
    <n v="21328086"/>
    <s v="3000015066830005"/>
    <s v="CIVIL"/>
    <d v="2023-06-22T00:00:00"/>
    <d v="2023-07-04T19:00:44"/>
    <m/>
    <d v="2023-07-04T00:00:00"/>
    <n v="1478"/>
    <n v="14784"/>
    <s v="60837128"/>
    <s v="60837128"/>
    <m/>
    <m/>
    <n v="22748090"/>
    <m/>
    <m/>
    <m/>
    <s v="SOLFIN"/>
    <s v="SOLFIN"/>
    <s v="CCMS"/>
    <n v="21328086"/>
    <n v="6470.38"/>
    <m/>
    <s v="N"/>
    <n v="3"/>
    <d v="2023-07-04T19:01:03"/>
    <s v="Y"/>
    <s v="Toxicologist"/>
    <s v="Public Law Children"/>
    <s v="Expert Disbursement"/>
    <s v="MGT"/>
    <s v="Y"/>
    <n v="92"/>
    <n v="18.4"/>
    <x v="1"/>
    <s v="VALIDATED"/>
    <n v="1"/>
    <s v="01.11.80.308.6300.0000"/>
    <n v="92"/>
    <s v="11"/>
    <s v="6300"/>
    <n v="34637.12"/>
    <n v="92"/>
    <s v="CREDITOR"/>
    <n v="0"/>
    <n v="0"/>
    <n v="0"/>
    <n v="0"/>
    <n v="92"/>
  </r>
  <r>
    <n v="62154366"/>
    <s v="N"/>
    <n v="21392449"/>
    <s v="3000016172060001"/>
    <s v="CIVIL"/>
    <d v="2023-06-26T00:00:00"/>
    <d v="2023-07-18T19:00:27"/>
    <m/>
    <d v="2023-07-18T00:00:00"/>
    <n v="1478"/>
    <n v="14784"/>
    <s v="62154366"/>
    <s v="62154366"/>
    <m/>
    <m/>
    <n v="22760956"/>
    <m/>
    <m/>
    <m/>
    <s v="SOLFIN"/>
    <s v="SOLFIN"/>
    <s v="CCMS"/>
    <n v="21392449"/>
    <n v="950.26"/>
    <m/>
    <s v="N"/>
    <n v="1"/>
    <d v="2023-07-18T19:00:50"/>
    <s v="Y"/>
    <s v="Preparation - other"/>
    <s v="Care Remuneration Hourly Rates"/>
    <s v="Profit Cost"/>
    <s v="MGT"/>
    <s v="Y"/>
    <n v="33.59"/>
    <n v="6.72"/>
    <x v="14"/>
    <s v="VALIDATED"/>
    <n v="1"/>
    <s v="01.11.80.308.6100.0000"/>
    <n v="33.59"/>
    <s v="11"/>
    <s v="6100"/>
    <n v="34637.12"/>
    <n v="33.59"/>
    <s v="CREDITOR"/>
    <n v="0"/>
    <n v="0"/>
    <n v="0"/>
    <n v="0"/>
    <n v="33.59"/>
  </r>
  <r>
    <n v="60378819"/>
    <s v="N"/>
    <n v="21327944"/>
    <s v="3000014670030004"/>
    <s v="CIVIL"/>
    <d v="2023-06-22T00:00:00"/>
    <d v="2023-07-04T19:00:44"/>
    <m/>
    <d v="2023-07-04T00:00:00"/>
    <n v="1478"/>
    <n v="14784"/>
    <s v="60378819"/>
    <s v="60378819"/>
    <m/>
    <m/>
    <n v="22748060"/>
    <m/>
    <m/>
    <m/>
    <s v="SOLFIN"/>
    <s v="SOLFIN"/>
    <s v="CCMS"/>
    <n v="21327944"/>
    <n v="5670.28"/>
    <m/>
    <s v="N"/>
    <n v="8"/>
    <d v="2023-07-04T19:00:59"/>
    <s v="Y"/>
    <s v="Hearing Unit 2.31 - 5.00 Hours"/>
    <s v="Public Law Children"/>
    <s v="Advocacy"/>
    <s v="LK"/>
    <s v="Y"/>
    <n v="476.92"/>
    <n v="95.38"/>
    <x v="1"/>
    <s v="VALIDATED"/>
    <n v="1"/>
    <s v="01.11.80.308.6100.0000"/>
    <n v="476.92"/>
    <s v="11"/>
    <s v="6100"/>
    <n v="34637.12"/>
    <n v="476.92"/>
    <s v="CREDITOR"/>
    <n v="0"/>
    <n v="0"/>
    <n v="0"/>
    <n v="0"/>
    <n v="476.92"/>
  </r>
  <r>
    <n v="9439840"/>
    <s v="N"/>
    <n v="21328272"/>
    <s v="3000005393230018"/>
    <s v="CIVIL"/>
    <d v="2023-06-22T00:00:00"/>
    <d v="2023-07-04T19:00:44"/>
    <m/>
    <d v="2023-07-04T00:00:00"/>
    <n v="1478"/>
    <n v="14784"/>
    <s v="9439840"/>
    <s v="9439840"/>
    <m/>
    <m/>
    <n v="22748160"/>
    <m/>
    <m/>
    <m/>
    <s v="SOLFIN"/>
    <s v="SOLFIN"/>
    <s v="CCMS"/>
    <n v="21328272"/>
    <n v="16050.11"/>
    <m/>
    <s v="N"/>
    <n v="8"/>
    <d v="2023-07-04T19:01:11"/>
    <s v="N"/>
    <s v="Exceptional Travel"/>
    <s v="Public Law Children"/>
    <s v="Advocacy"/>
    <s v="LK"/>
    <s v="N"/>
    <n v="32.04"/>
    <n v="6.41"/>
    <x v="1"/>
    <s v="VALIDATED"/>
    <n v="1"/>
    <s v="01.11.80.308.6100.0000"/>
    <n v="32.04"/>
    <s v="11"/>
    <s v="6100"/>
    <n v="34637.12"/>
    <n v="32.04"/>
    <s v="CREDITOR"/>
    <n v="0"/>
    <n v="0"/>
    <n v="0"/>
    <n v="0"/>
    <n v="32.04"/>
  </r>
  <r>
    <n v="60604153"/>
    <s v="N"/>
    <n v="21349720"/>
    <s v="3000014865530013"/>
    <s v="CIVIL"/>
    <d v="2023-06-26T00:00:00"/>
    <d v="2023-07-10T19:01:40"/>
    <m/>
    <d v="2023-07-10T00:00:00"/>
    <n v="1478"/>
    <n v="14784"/>
    <s v="60604153"/>
    <s v="60604153"/>
    <m/>
    <m/>
    <n v="22763480"/>
    <m/>
    <m/>
    <m/>
    <s v="SOLFIN"/>
    <s v="SOLFIN"/>
    <s v="CCMS"/>
    <n v="21349720"/>
    <n v="6065.07"/>
    <m/>
    <s v="N"/>
    <n v="4"/>
    <d v="2023-07-10T19:01:56"/>
    <s v="Y"/>
    <s v="Toxicologist"/>
    <s v="Public Law Children"/>
    <s v="Expert Disbursement"/>
    <s v="JJ"/>
    <s v="Y"/>
    <n v="475.25"/>
    <n v="95.05"/>
    <x v="2"/>
    <s v="VALIDATED"/>
    <n v="1"/>
    <s v="01.11.80.308.6300.0000"/>
    <n v="475.25"/>
    <s v="11"/>
    <s v="6300"/>
    <n v="34637.12"/>
    <n v="475.25"/>
    <s v="CREDITOR"/>
    <n v="0"/>
    <n v="0"/>
    <n v="0"/>
    <n v="0"/>
    <n v="475.25"/>
  </r>
  <r>
    <n v="9439840"/>
    <s v="N"/>
    <n v="21328272"/>
    <s v="3000005393230018"/>
    <s v="CIVIL"/>
    <d v="2023-06-22T00:00:00"/>
    <d v="2023-07-04T19:00:44"/>
    <m/>
    <d v="2023-07-04T00:00:00"/>
    <n v="1478"/>
    <n v="14784"/>
    <s v="9439840"/>
    <s v="9439840"/>
    <m/>
    <m/>
    <n v="22748160"/>
    <m/>
    <m/>
    <m/>
    <s v="SOLFIN"/>
    <s v="SOLFIN"/>
    <s v="CCMS"/>
    <n v="21328272"/>
    <n v="16050.11"/>
    <m/>
    <s v="N"/>
    <n v="4"/>
    <d v="2023-07-04T19:01:11"/>
    <s v="N"/>
    <s v="Exceptional Travel"/>
    <s v="Public Law Children"/>
    <s v="Advocacy"/>
    <s v="LK"/>
    <s v="N"/>
    <n v="32.04"/>
    <n v="6.41"/>
    <x v="1"/>
    <s v="VALIDATED"/>
    <n v="1"/>
    <s v="01.11.80.308.6100.0000"/>
    <n v="32.04"/>
    <s v="11"/>
    <s v="6100"/>
    <n v="34637.12"/>
    <n v="32.04"/>
    <s v="CREDITOR"/>
    <n v="0"/>
    <n v="0"/>
    <n v="0"/>
    <n v="0"/>
    <n v="32.04"/>
  </r>
  <r>
    <n v="60895857"/>
    <s v="N"/>
    <n v="21330752"/>
    <s v="3000015118040003"/>
    <s v="CIVIL"/>
    <d v="2023-06-22T00:00:00"/>
    <d v="2023-07-05T19:01:47"/>
    <m/>
    <d v="2023-07-05T00:00:00"/>
    <n v="1478"/>
    <n v="14784"/>
    <s v="60895857"/>
    <s v="60895857"/>
    <m/>
    <m/>
    <n v="22748132"/>
    <m/>
    <m/>
    <m/>
    <s v="SOLFIN"/>
    <s v="SOLFIN"/>
    <s v="CCMS"/>
    <n v="21330752"/>
    <n v="5937.3"/>
    <m/>
    <s v="N"/>
    <n v="7"/>
    <d v="2023-07-05T19:01:54"/>
    <s v="Y"/>
    <s v="Hearing Unit 2.31 - 5.00 Hours"/>
    <s v="Public Law Children"/>
    <s v="Advocacy"/>
    <s v="JJ"/>
    <s v="Y"/>
    <n v="476.92"/>
    <n v="95.38"/>
    <x v="6"/>
    <s v="VALIDATED"/>
    <n v="1"/>
    <s v="01.11.80.308.6100.0000"/>
    <n v="476.92"/>
    <s v="11"/>
    <s v="6100"/>
    <n v="34637.12"/>
    <n v="476.92"/>
    <s v="CREDITOR"/>
    <n v="0"/>
    <n v="0"/>
    <n v="0"/>
    <n v="0"/>
    <n v="476.92"/>
  </r>
  <r>
    <n v="9439840"/>
    <s v="N"/>
    <n v="21328272"/>
    <s v="3000005393230018"/>
    <s v="CIVIL"/>
    <d v="2023-06-22T00:00:00"/>
    <d v="2023-07-04T19:00:44"/>
    <m/>
    <d v="2023-07-04T00:00:00"/>
    <n v="1478"/>
    <n v="14784"/>
    <s v="9439840"/>
    <s v="9439840"/>
    <m/>
    <m/>
    <n v="22748160"/>
    <m/>
    <m/>
    <m/>
    <s v="SOLFIN"/>
    <s v="SOLFIN"/>
    <s v="CCMS"/>
    <n v="21328272"/>
    <n v="16050.11"/>
    <m/>
    <s v="N"/>
    <n v="18"/>
    <d v="2023-07-04T19:01:11"/>
    <s v="N"/>
    <s v="Solicitor Travel Expenses"/>
    <s v="Public Law Children"/>
    <s v="Non Expert Disbursement"/>
    <s v="lk"/>
    <s v="N"/>
    <n v="12.17"/>
    <n v="2.43"/>
    <x v="1"/>
    <s v="VALIDATED"/>
    <n v="1"/>
    <s v="01.11.80.308.6300.0000"/>
    <n v="12.17"/>
    <s v="11"/>
    <s v="6300"/>
    <n v="34637.12"/>
    <n v="12.17"/>
    <s v="CREDITOR"/>
    <n v="0"/>
    <n v="0"/>
    <n v="0"/>
    <n v="0"/>
    <n v="12.17"/>
  </r>
  <r>
    <n v="9439840"/>
    <s v="N"/>
    <n v="21328272"/>
    <s v="3000005393230018"/>
    <s v="CIVIL"/>
    <d v="2023-06-22T00:00:00"/>
    <d v="2023-07-04T19:00:44"/>
    <m/>
    <d v="2023-07-04T00:00:00"/>
    <n v="1478"/>
    <n v="14784"/>
    <s v="9439840"/>
    <s v="9439840"/>
    <m/>
    <m/>
    <n v="22748160"/>
    <m/>
    <m/>
    <m/>
    <s v="SOLFIN"/>
    <s v="SOLFIN"/>
    <s v="CCMS"/>
    <n v="21328272"/>
    <n v="16050.11"/>
    <m/>
    <s v="N"/>
    <n v="31"/>
    <d v="2023-07-04T19:01:11"/>
    <s v="Y"/>
    <s v="Advocates Meeting"/>
    <s v="Public Law Children"/>
    <s v="Advocacy"/>
    <s v="LK"/>
    <s v="Y"/>
    <n v="169.2"/>
    <n v="33.84"/>
    <x v="1"/>
    <s v="VALIDATED"/>
    <n v="1"/>
    <s v="01.11.80.308.6100.0000"/>
    <n v="169.2"/>
    <s v="11"/>
    <s v="6100"/>
    <n v="34637.12"/>
    <n v="169.2"/>
    <s v="CREDITOR"/>
    <n v="0"/>
    <n v="0"/>
    <n v="0"/>
    <n v="0"/>
    <n v="169.2"/>
  </r>
  <r>
    <n v="62154366"/>
    <s v="N"/>
    <n v="21392449"/>
    <s v="3000016172060001"/>
    <s v="CIVIL"/>
    <d v="2023-06-26T00:00:00"/>
    <d v="2023-07-18T19:00:27"/>
    <m/>
    <d v="2023-07-18T00:00:00"/>
    <n v="1478"/>
    <n v="14784"/>
    <s v="62154366"/>
    <s v="62154366"/>
    <m/>
    <m/>
    <n v="22760956"/>
    <m/>
    <m/>
    <m/>
    <s v="SOLFIN"/>
    <s v="SOLFIN"/>
    <s v="CCMS"/>
    <n v="21392449"/>
    <n v="950.26"/>
    <m/>
    <s v="N"/>
    <n v="2"/>
    <d v="2023-07-18T19:00:50"/>
    <s v="Y"/>
    <s v="Attendance upon client"/>
    <s v="Care Remuneration Hourly Rates"/>
    <s v="Profit Cost"/>
    <s v="MGT"/>
    <s v="Y"/>
    <n v="26.86"/>
    <n v="5.37"/>
    <x v="14"/>
    <s v="VALIDATED"/>
    <n v="1"/>
    <s v="01.11.80.308.6100.0000"/>
    <n v="26.86"/>
    <s v="11"/>
    <s v="6100"/>
    <n v="34637.12"/>
    <n v="26.86"/>
    <s v="CREDITOR"/>
    <n v="0"/>
    <n v="0"/>
    <n v="0"/>
    <n v="0"/>
    <n v="26.86"/>
  </r>
  <r>
    <n v="9439840"/>
    <s v="N"/>
    <n v="21328272"/>
    <s v="3000005393230018"/>
    <s v="CIVIL"/>
    <d v="2023-06-22T00:00:00"/>
    <d v="2023-07-04T19:00:44"/>
    <m/>
    <d v="2023-07-04T00:00:00"/>
    <n v="1478"/>
    <n v="14784"/>
    <s v="9439840"/>
    <s v="9439840"/>
    <m/>
    <m/>
    <n v="22748160"/>
    <m/>
    <m/>
    <m/>
    <s v="SOLFIN"/>
    <s v="SOLFIN"/>
    <s v="CCMS"/>
    <n v="21328272"/>
    <n v="16050.11"/>
    <m/>
    <s v="N"/>
    <n v="17"/>
    <d v="2023-07-04T19:01:11"/>
    <s v="Y"/>
    <s v="Solicitor Travel Expenses"/>
    <s v="Public Law Children"/>
    <s v="Non Expert Disbursement"/>
    <s v="lk"/>
    <s v="Y"/>
    <n v="30.74"/>
    <n v="6.15"/>
    <x v="1"/>
    <s v="VALIDATED"/>
    <n v="1"/>
    <s v="01.11.80.308.6300.0000"/>
    <n v="30.74"/>
    <s v="11"/>
    <s v="6300"/>
    <n v="34637.12"/>
    <n v="30.74"/>
    <s v="CREDITOR"/>
    <n v="0"/>
    <n v="0"/>
    <n v="0"/>
    <n v="0"/>
    <n v="30.74"/>
  </r>
  <r>
    <n v="9439840"/>
    <s v="N"/>
    <n v="21328272"/>
    <s v="3000005393230018"/>
    <s v="CIVIL"/>
    <d v="2023-06-22T00:00:00"/>
    <d v="2023-07-04T19:00:44"/>
    <m/>
    <d v="2023-07-04T00:00:00"/>
    <n v="1478"/>
    <n v="14784"/>
    <s v="9439840"/>
    <s v="9439840"/>
    <m/>
    <m/>
    <n v="22748160"/>
    <m/>
    <m/>
    <m/>
    <s v="SOLFIN"/>
    <s v="SOLFIN"/>
    <s v="CCMS"/>
    <n v="21328272"/>
    <n v="16050.11"/>
    <m/>
    <s v="N"/>
    <n v="28"/>
    <d v="2023-07-04T19:01:11"/>
    <s v="Y"/>
    <s v="Solicitor Travel Expenses"/>
    <s v="Public Law Children"/>
    <s v="Non Expert Disbursement"/>
    <s v="lk"/>
    <s v="Y"/>
    <n v="44.91"/>
    <n v="8.98"/>
    <x v="1"/>
    <s v="VALIDATED"/>
    <n v="1"/>
    <s v="01.11.80.308.6300.0000"/>
    <n v="44.91"/>
    <s v="11"/>
    <s v="6300"/>
    <n v="34637.12"/>
    <n v="44.91"/>
    <s v="CREDITOR"/>
    <n v="0"/>
    <n v="0"/>
    <n v="0"/>
    <n v="0"/>
    <n v="44.91"/>
  </r>
  <r>
    <n v="60837128"/>
    <s v="N"/>
    <n v="21328086"/>
    <s v="3000015066830005"/>
    <s v="CIVIL"/>
    <d v="2023-06-22T00:00:00"/>
    <d v="2023-07-04T19:00:44"/>
    <m/>
    <d v="2023-07-04T00:00:00"/>
    <n v="1478"/>
    <n v="14784"/>
    <s v="60837128"/>
    <s v="60837128"/>
    <m/>
    <m/>
    <n v="22748090"/>
    <m/>
    <m/>
    <m/>
    <s v="SOLFIN"/>
    <s v="SOLFIN"/>
    <s v="CCMS"/>
    <n v="21328086"/>
    <n v="6470.38"/>
    <m/>
    <s v="N"/>
    <n v="1"/>
    <d v="2023-07-04T19:01:03"/>
    <s v="Y"/>
    <s v="Final Hearing Court Bundle/Advocate"/>
    <s v="Public Law Children"/>
    <s v="Advocacy"/>
    <s v="MGT"/>
    <s v="Y"/>
    <n v="159.3"/>
    <n v="31.86"/>
    <x v="1"/>
    <s v="VALIDATED"/>
    <n v="1"/>
    <s v="01.11.80.308.6100.0000"/>
    <n v="159.3"/>
    <s v="11"/>
    <s v="6100"/>
    <n v="34637.12"/>
    <n v="159.3"/>
    <s v="CREDITOR"/>
    <n v="0"/>
    <n v="0"/>
    <n v="0"/>
    <n v="0"/>
    <n v="159.3"/>
  </r>
  <r>
    <n v="60895857"/>
    <s v="N"/>
    <n v="21330752"/>
    <s v="3000015118040003"/>
    <s v="CIVIL"/>
    <d v="2023-06-22T00:00:00"/>
    <d v="2023-07-05T19:01:47"/>
    <m/>
    <d v="2023-07-05T00:00:00"/>
    <n v="1478"/>
    <n v="14784"/>
    <s v="60895857"/>
    <s v="60895857"/>
    <m/>
    <m/>
    <n v="22748132"/>
    <m/>
    <m/>
    <m/>
    <s v="SOLFIN"/>
    <s v="SOLFIN"/>
    <s v="CCMS"/>
    <n v="21330752"/>
    <n v="5937.3"/>
    <m/>
    <s v="N"/>
    <n v="2"/>
    <d v="2023-07-05T19:01:54"/>
    <s v="Y"/>
    <s v="Advocates Meeting"/>
    <s v="Public Law Children"/>
    <s v="Advocacy"/>
    <s v="JJ"/>
    <s v="Y"/>
    <n v="140.99"/>
    <n v="28.2"/>
    <x v="6"/>
    <s v="VALIDATED"/>
    <n v="1"/>
    <s v="01.11.80.308.6100.0000"/>
    <n v="140.99"/>
    <s v="11"/>
    <s v="6100"/>
    <n v="34637.12"/>
    <n v="140.99"/>
    <s v="CREDITOR"/>
    <n v="0"/>
    <n v="0"/>
    <n v="0"/>
    <n v="0"/>
    <n v="140.99"/>
  </r>
  <r>
    <n v="9439840"/>
    <s v="N"/>
    <n v="21328272"/>
    <s v="3000005393230018"/>
    <s v="CIVIL"/>
    <d v="2023-06-22T00:00:00"/>
    <d v="2023-07-04T19:00:44"/>
    <m/>
    <d v="2023-07-04T00:00:00"/>
    <n v="1478"/>
    <n v="14784"/>
    <s v="9439840"/>
    <s v="9439840"/>
    <m/>
    <m/>
    <n v="22748160"/>
    <m/>
    <m/>
    <m/>
    <s v="SOLFIN"/>
    <s v="SOLFIN"/>
    <s v="CCMS"/>
    <n v="21328272"/>
    <n v="16050.11"/>
    <m/>
    <s v="N"/>
    <n v="2"/>
    <d v="2023-07-04T19:01:11"/>
    <s v="N"/>
    <s v="Exceptional Travel"/>
    <s v="Public Law Children"/>
    <s v="Advocacy"/>
    <s v="lk"/>
    <s v="N"/>
    <n v="32.04"/>
    <n v="6.41"/>
    <x v="1"/>
    <s v="VALIDATED"/>
    <n v="1"/>
    <s v="01.11.80.308.6100.0000"/>
    <n v="32.04"/>
    <s v="11"/>
    <s v="6100"/>
    <n v="34637.12"/>
    <n v="32.04"/>
    <s v="CREDITOR"/>
    <n v="0"/>
    <n v="0"/>
    <n v="0"/>
    <n v="0"/>
    <n v="32.04"/>
  </r>
  <r>
    <n v="59965392"/>
    <s v="N"/>
    <n v="21411482"/>
    <s v="3000014312980005"/>
    <s v="CIVIL"/>
    <d v="2023-06-29T00:00:00"/>
    <d v="2023-07-21T19:03:21"/>
    <m/>
    <d v="2023-07-21T00:00:00"/>
    <n v="1478"/>
    <n v="14784"/>
    <s v="59965392"/>
    <s v="59965392"/>
    <m/>
    <m/>
    <n v="22785326"/>
    <m/>
    <m/>
    <m/>
    <s v="SOLFIN"/>
    <s v="SOLFIN"/>
    <s v="CCMS"/>
    <n v="21411482"/>
    <n v="8695.93"/>
    <m/>
    <s v="N"/>
    <n v="5"/>
    <d v="2023-07-21T19:03:24"/>
    <s v="Y"/>
    <s v="Advocates Meeting"/>
    <s v="Public Law Children"/>
    <s v="Advocacy"/>
    <s v="FL"/>
    <s v="Y"/>
    <n v="140.99"/>
    <n v="28.2"/>
    <x v="12"/>
    <s v="VALIDATED"/>
    <n v="1"/>
    <s v="01.11.80.308.6100.0000"/>
    <n v="140.99"/>
    <s v="11"/>
    <s v="6100"/>
    <n v="34637.12"/>
    <n v="140.99"/>
    <s v="CREDITOR"/>
    <n v="0"/>
    <n v="0"/>
    <n v="0"/>
    <n v="0"/>
    <n v="140.99"/>
  </r>
  <r>
    <n v="9439840"/>
    <s v="N"/>
    <n v="21328272"/>
    <s v="3000005393230018"/>
    <s v="CIVIL"/>
    <d v="2023-06-22T00:00:00"/>
    <d v="2023-07-04T19:00:44"/>
    <m/>
    <d v="2023-07-04T00:00:00"/>
    <n v="1478"/>
    <n v="14784"/>
    <s v="9439840"/>
    <s v="9439840"/>
    <m/>
    <m/>
    <n v="22748160"/>
    <m/>
    <m/>
    <m/>
    <s v="SOLFIN"/>
    <s v="SOLFIN"/>
    <s v="CCMS"/>
    <n v="21328272"/>
    <n v="16050.11"/>
    <m/>
    <s v="N"/>
    <n v="21"/>
    <d v="2023-07-04T19:01:11"/>
    <s v="Y"/>
    <s v="Solicitor Travel Expenses"/>
    <s v="Public Law Children"/>
    <s v="Non Expert Disbursement"/>
    <s v="lk"/>
    <s v="Y"/>
    <n v="40.19"/>
    <n v="8.039999999999999"/>
    <x v="1"/>
    <s v="VALIDATED"/>
    <n v="1"/>
    <s v="01.11.80.308.6300.0000"/>
    <n v="40.19"/>
    <s v="11"/>
    <s v="6300"/>
    <n v="34637.12"/>
    <n v="40.19"/>
    <s v="CREDITOR"/>
    <n v="0"/>
    <n v="0"/>
    <n v="0"/>
    <n v="0"/>
    <n v="40.19"/>
  </r>
  <r>
    <n v="60837128"/>
    <s v="N"/>
    <n v="21328086"/>
    <s v="3000015066830005"/>
    <s v="CIVIL"/>
    <d v="2023-06-22T00:00:00"/>
    <d v="2023-07-04T19:00:44"/>
    <m/>
    <d v="2023-07-04T00:00:00"/>
    <n v="1478"/>
    <n v="14784"/>
    <s v="60837128"/>
    <s v="60837128"/>
    <m/>
    <m/>
    <n v="22748090"/>
    <m/>
    <m/>
    <m/>
    <s v="SOLFIN"/>
    <s v="SOLFIN"/>
    <s v="CCMS"/>
    <n v="21328086"/>
    <n v="6470.38"/>
    <m/>
    <s v="N"/>
    <n v="11"/>
    <d v="2023-07-04T19:01:03"/>
    <s v="Y"/>
    <s v="Solicitors Fixed Fee"/>
    <s v="Public Law Children"/>
    <s v="Profit Cost"/>
    <s v="MGT"/>
    <s v="Y"/>
    <n v="3020"/>
    <n v="604"/>
    <x v="1"/>
    <s v="VALIDATED"/>
    <n v="1"/>
    <s v="01.11.80.308.6100.0000"/>
    <n v="3020"/>
    <s v="11"/>
    <s v="6100"/>
    <n v="34637.12"/>
    <n v="3020"/>
    <s v="CREDITOR"/>
    <n v="0"/>
    <n v="0"/>
    <n v="0"/>
    <n v="0"/>
    <n v="3020"/>
  </r>
  <r>
    <n v="9439840"/>
    <s v="N"/>
    <n v="21328272"/>
    <s v="3000005393230018"/>
    <s v="CIVIL"/>
    <d v="2023-06-22T00:00:00"/>
    <d v="2023-07-04T19:00:44"/>
    <m/>
    <d v="2023-07-04T00:00:00"/>
    <n v="1478"/>
    <n v="14784"/>
    <s v="9439840"/>
    <s v="9439840"/>
    <m/>
    <m/>
    <n v="22748160"/>
    <m/>
    <m/>
    <m/>
    <s v="SOLFIN"/>
    <s v="SOLFIN"/>
    <s v="CCMS"/>
    <n v="21328272"/>
    <n v="16050.11"/>
    <m/>
    <s v="N"/>
    <n v="3"/>
    <d v="2023-07-04T19:01:11"/>
    <s v="N"/>
    <s v="Exceptional Travel"/>
    <s v="Public Law Children"/>
    <s v="Advocacy"/>
    <s v="lk"/>
    <s v="N"/>
    <n v="32.04"/>
    <n v="6.41"/>
    <x v="1"/>
    <s v="VALIDATED"/>
    <n v="1"/>
    <s v="01.11.80.308.6100.0000"/>
    <n v="32.04"/>
    <s v="11"/>
    <s v="6100"/>
    <n v="34637.12"/>
    <n v="32.04"/>
    <s v="CREDITOR"/>
    <n v="0"/>
    <n v="0"/>
    <n v="0"/>
    <n v="0"/>
    <n v="32.04"/>
  </r>
  <r>
    <n v="9439840"/>
    <s v="N"/>
    <n v="21328272"/>
    <s v="3000005393230018"/>
    <s v="CIVIL"/>
    <d v="2023-06-22T00:00:00"/>
    <d v="2023-07-04T19:00:44"/>
    <m/>
    <d v="2023-07-04T00:00:00"/>
    <n v="1478"/>
    <n v="14784"/>
    <s v="9439840"/>
    <s v="9439840"/>
    <m/>
    <m/>
    <n v="22748160"/>
    <m/>
    <m/>
    <m/>
    <s v="SOLFIN"/>
    <s v="SOLFIN"/>
    <s v="CCMS"/>
    <n v="21328272"/>
    <n v="16050.11"/>
    <m/>
    <s v="N"/>
    <n v="22"/>
    <d v="2023-07-04T19:01:11"/>
    <s v="Y"/>
    <s v="Psychologist"/>
    <s v="Public Law Children"/>
    <s v="Expert Disbursement"/>
    <s v="lk"/>
    <s v="Y"/>
    <n v="100.8"/>
    <n v="0"/>
    <x v="1"/>
    <s v="VALIDATED"/>
    <n v="1"/>
    <s v="01.11.80.308.6300.0000"/>
    <n v="100.8"/>
    <s v="11"/>
    <s v="6300"/>
    <n v="34637.12"/>
    <n v="100.8"/>
    <s v="CREDITOR"/>
    <n v="0"/>
    <n v="0"/>
    <n v="0"/>
    <n v="0"/>
    <n v="100.8"/>
  </r>
  <r>
    <n v="60604153"/>
    <s v="N"/>
    <n v="21349720"/>
    <s v="3000014865530013"/>
    <s v="CIVIL"/>
    <d v="2023-06-26T00:00:00"/>
    <d v="2023-07-10T19:01:40"/>
    <m/>
    <d v="2023-07-10T00:00:00"/>
    <n v="1478"/>
    <n v="14784"/>
    <s v="60604153"/>
    <s v="60604153"/>
    <m/>
    <m/>
    <n v="22763480"/>
    <m/>
    <m/>
    <m/>
    <s v="SOLFIN"/>
    <s v="SOLFIN"/>
    <s v="CCMS"/>
    <n v="21349720"/>
    <n v="6065.07"/>
    <m/>
    <s v="N"/>
    <n v="2"/>
    <d v="2023-07-10T19:01:56"/>
    <s v="Y"/>
    <s v="Toxicologist"/>
    <s v="Public Law Children"/>
    <s v="Expert Disbursement"/>
    <s v="JJ"/>
    <s v="Y"/>
    <n v="54"/>
    <n v="10.8"/>
    <x v="2"/>
    <s v="VALIDATED"/>
    <n v="1"/>
    <s v="01.11.80.308.6300.0000"/>
    <n v="54"/>
    <s v="11"/>
    <s v="6300"/>
    <n v="34637.12"/>
    <n v="54"/>
    <s v="CREDITOR"/>
    <n v="0"/>
    <n v="0"/>
    <n v="0"/>
    <n v="0"/>
    <n v="54"/>
  </r>
  <r>
    <n v="9439840"/>
    <s v="N"/>
    <n v="21328272"/>
    <s v="3000005393230018"/>
    <s v="CIVIL"/>
    <d v="2023-06-22T00:00:00"/>
    <d v="2023-07-04T19:00:44"/>
    <m/>
    <d v="2023-07-04T00:00:00"/>
    <n v="1478"/>
    <n v="14784"/>
    <s v="9439840"/>
    <s v="9439840"/>
    <m/>
    <m/>
    <n v="22748160"/>
    <m/>
    <m/>
    <m/>
    <s v="SOLFIN"/>
    <s v="SOLFIN"/>
    <s v="CCMS"/>
    <n v="21328272"/>
    <n v="16050.11"/>
    <m/>
    <s v="N"/>
    <n v="26"/>
    <d v="2023-07-04T19:01:11"/>
    <s v="Y"/>
    <s v="Solicitor Travel Expenses"/>
    <s v="Public Law Children"/>
    <s v="Non Expert Disbursement"/>
    <s v="lk"/>
    <s v="Y"/>
    <n v="42.91"/>
    <n v="8.58"/>
    <x v="1"/>
    <s v="VALIDATED"/>
    <n v="1"/>
    <s v="01.11.80.308.6300.0000"/>
    <n v="42.91"/>
    <s v="11"/>
    <s v="6300"/>
    <n v="34637.12"/>
    <n v="42.91"/>
    <s v="CREDITOR"/>
    <n v="0"/>
    <n v="0"/>
    <n v="0"/>
    <n v="0"/>
    <n v="42.91"/>
  </r>
  <r>
    <n v="59965392"/>
    <s v="N"/>
    <n v="21411482"/>
    <s v="3000014312980005"/>
    <s v="CIVIL"/>
    <d v="2023-06-29T00:00:00"/>
    <d v="2023-07-21T19:03:21"/>
    <m/>
    <d v="2023-07-21T00:00:00"/>
    <n v="1478"/>
    <n v="14784"/>
    <s v="59965392"/>
    <s v="59965392"/>
    <m/>
    <m/>
    <n v="22785326"/>
    <m/>
    <m/>
    <m/>
    <s v="SOLFIN"/>
    <s v="SOLFIN"/>
    <s v="CCMS"/>
    <n v="21411482"/>
    <n v="8695.93"/>
    <m/>
    <s v="N"/>
    <n v="12"/>
    <d v="2023-07-21T19:03:24"/>
    <s v="Y"/>
    <s v="Hearing Unit 2.31 - 5.00 Hours"/>
    <s v="Public Law Children"/>
    <s v="Advocacy"/>
    <s v="MT"/>
    <s v="Y"/>
    <n v="476.92"/>
    <n v="95.38"/>
    <x v="12"/>
    <s v="VALIDATED"/>
    <n v="1"/>
    <s v="01.11.80.308.6100.0000"/>
    <n v="476.92"/>
    <s v="11"/>
    <s v="6100"/>
    <n v="34637.12"/>
    <n v="476.92"/>
    <s v="CREDITOR"/>
    <n v="0"/>
    <n v="0"/>
    <n v="0"/>
    <n v="0"/>
    <n v="476.92"/>
  </r>
  <r>
    <n v="59965392"/>
    <s v="N"/>
    <n v="21411482"/>
    <s v="3000014312980005"/>
    <s v="CIVIL"/>
    <d v="2023-06-29T00:00:00"/>
    <d v="2023-07-21T19:03:21"/>
    <m/>
    <d v="2023-07-21T00:00:00"/>
    <n v="1478"/>
    <n v="14784"/>
    <s v="59965392"/>
    <s v="59965392"/>
    <m/>
    <m/>
    <n v="22785326"/>
    <m/>
    <m/>
    <m/>
    <s v="SOLFIN"/>
    <s v="SOLFIN"/>
    <s v="CCMS"/>
    <n v="21411482"/>
    <n v="8695.93"/>
    <m/>
    <s v="N"/>
    <n v="13"/>
    <d v="2023-07-21T19:03:24"/>
    <s v="Y"/>
    <s v="Solicitors Fixed Fee"/>
    <s v="Public Law Children"/>
    <s v="Profit Cost"/>
    <s v="FL"/>
    <s v="Y"/>
    <n v="2616"/>
    <n v="523.2"/>
    <x v="12"/>
    <s v="VALIDATED"/>
    <n v="1"/>
    <s v="01.11.80.308.6100.0000"/>
    <n v="2616"/>
    <s v="11"/>
    <s v="6100"/>
    <n v="34637.12"/>
    <n v="2616"/>
    <s v="CREDITOR"/>
    <n v="0"/>
    <n v="0"/>
    <n v="0"/>
    <n v="0"/>
    <n v="2616"/>
  </r>
  <r>
    <n v="9439840"/>
    <s v="N"/>
    <n v="21328272"/>
    <s v="3000005393230018"/>
    <s v="CIVIL"/>
    <d v="2023-06-22T00:00:00"/>
    <d v="2023-07-04T19:00:44"/>
    <m/>
    <d v="2023-07-04T00:00:00"/>
    <n v="1478"/>
    <n v="14784"/>
    <s v="9439840"/>
    <s v="9439840"/>
    <m/>
    <m/>
    <n v="22748160"/>
    <m/>
    <m/>
    <m/>
    <s v="SOLFIN"/>
    <s v="SOLFIN"/>
    <s v="CCMS"/>
    <n v="21328272"/>
    <n v="16050.11"/>
    <m/>
    <s v="N"/>
    <n v="29"/>
    <d v="2023-07-04T19:01:11"/>
    <s v="Y"/>
    <s v="Final Hearing - 2 Days"/>
    <s v="Public Law Children"/>
    <s v="Advocacy"/>
    <s v="LK"/>
    <s v="Y"/>
    <n v="1336.5"/>
    <n v="267.3"/>
    <x v="1"/>
    <s v="VALIDATED"/>
    <n v="1"/>
    <s v="01.11.80.308.6100.0000"/>
    <n v="1336.5"/>
    <s v="11"/>
    <s v="6100"/>
    <n v="34637.12"/>
    <n v="1336.5"/>
    <s v="CREDITOR"/>
    <n v="0"/>
    <n v="0"/>
    <n v="0"/>
    <n v="0"/>
    <n v="1336.5"/>
  </r>
  <r>
    <n v="9439840"/>
    <s v="N"/>
    <n v="21328272"/>
    <s v="3000005393230018"/>
    <s v="CIVIL"/>
    <d v="2023-06-22T00:00:00"/>
    <d v="2023-07-04T19:00:44"/>
    <m/>
    <d v="2023-07-04T00:00:00"/>
    <n v="1478"/>
    <n v="14784"/>
    <s v="9439840"/>
    <s v="9439840"/>
    <m/>
    <m/>
    <n v="22748160"/>
    <m/>
    <m/>
    <m/>
    <s v="SOLFIN"/>
    <s v="SOLFIN"/>
    <s v="CCMS"/>
    <n v="21328272"/>
    <n v="16050.11"/>
    <m/>
    <s v="N"/>
    <n v="6"/>
    <d v="2023-07-04T19:01:11"/>
    <s v="N"/>
    <s v="Exceptional Travel"/>
    <s v="Public Law Children"/>
    <s v="Advocacy"/>
    <s v="lk"/>
    <s v="N"/>
    <n v="32.04"/>
    <n v="6.41"/>
    <x v="1"/>
    <s v="VALIDATED"/>
    <n v="1"/>
    <s v="01.11.80.308.6100.0000"/>
    <n v="32.04"/>
    <s v="11"/>
    <s v="6100"/>
    <n v="34637.12"/>
    <n v="32.04"/>
    <s v="CREDITOR"/>
    <n v="0"/>
    <n v="0"/>
    <n v="0"/>
    <n v="0"/>
    <n v="32.04"/>
  </r>
  <r>
    <n v="62154366"/>
    <s v="N"/>
    <n v="21392449"/>
    <s v="3000016172060001"/>
    <s v="CIVIL"/>
    <d v="2023-06-26T00:00:00"/>
    <d v="2023-07-18T19:00:27"/>
    <m/>
    <d v="2023-07-18T00:00:00"/>
    <n v="1478"/>
    <n v="14784"/>
    <s v="62154366"/>
    <s v="62154366"/>
    <m/>
    <m/>
    <n v="22760956"/>
    <m/>
    <m/>
    <m/>
    <s v="SOLFIN"/>
    <s v="SOLFIN"/>
    <s v="CCMS"/>
    <n v="21392449"/>
    <n v="950.26"/>
    <m/>
    <s v="N"/>
    <n v="3"/>
    <d v="2023-07-18T19:00:50"/>
    <s v="Y"/>
    <s v="Preparation - drafting attendance n"/>
    <s v="Care Remuneration Hourly Rates"/>
    <s v="Profit Cost"/>
    <s v="MGT"/>
    <s v="Y"/>
    <n v="26.86"/>
    <n v="5.37"/>
    <x v="14"/>
    <s v="VALIDATED"/>
    <n v="1"/>
    <s v="01.11.80.308.6100.0000"/>
    <n v="26.86"/>
    <s v="11"/>
    <s v="6100"/>
    <n v="34637.12"/>
    <n v="26.86"/>
    <s v="CREDITOR"/>
    <n v="0"/>
    <n v="0"/>
    <n v="0"/>
    <n v="0"/>
    <n v="26.86"/>
  </r>
  <r>
    <n v="60895857"/>
    <s v="N"/>
    <n v="21330752"/>
    <s v="3000015118040003"/>
    <s v="CIVIL"/>
    <d v="2023-06-22T00:00:00"/>
    <d v="2023-07-05T19:01:47"/>
    <m/>
    <d v="2023-07-05T00:00:00"/>
    <n v="1478"/>
    <n v="14784"/>
    <s v="60895857"/>
    <s v="60895857"/>
    <m/>
    <m/>
    <n v="22748132"/>
    <m/>
    <m/>
    <m/>
    <s v="SOLFIN"/>
    <s v="SOLFIN"/>
    <s v="CCMS"/>
    <n v="21330752"/>
    <n v="5937.3"/>
    <m/>
    <s v="N"/>
    <n v="1"/>
    <d v="2023-07-05T19:01:54"/>
    <s v="Y"/>
    <s v="Expert - Other"/>
    <s v="Public Law Children"/>
    <s v="Expert Disbursement"/>
    <s v="JJ"/>
    <s v="Y"/>
    <n v="573.63"/>
    <n v="0"/>
    <x v="6"/>
    <s v="VALIDATED"/>
    <n v="1"/>
    <s v="01.11.80.308.6300.0000"/>
    <n v="573.63"/>
    <s v="11"/>
    <s v="6300"/>
    <n v="34637.12"/>
    <n v="573.63"/>
    <s v="CREDITOR"/>
    <n v="0"/>
    <n v="0"/>
    <n v="0"/>
    <n v="0"/>
    <n v="573.63"/>
  </r>
  <r>
    <n v="60837128"/>
    <s v="N"/>
    <n v="21328086"/>
    <s v="3000015066830005"/>
    <s v="CIVIL"/>
    <d v="2023-06-22T00:00:00"/>
    <d v="2023-07-04T19:00:44"/>
    <m/>
    <d v="2023-07-04T00:00:00"/>
    <n v="1478"/>
    <n v="14784"/>
    <s v="60837128"/>
    <s v="60837128"/>
    <m/>
    <m/>
    <n v="22748090"/>
    <m/>
    <m/>
    <m/>
    <s v="SOLFIN"/>
    <s v="SOLFIN"/>
    <s v="CCMS"/>
    <n v="21328086"/>
    <n v="6470.38"/>
    <m/>
    <s v="N"/>
    <n v="6"/>
    <d v="2023-07-04T19:01:03"/>
    <s v="Y"/>
    <s v="Advocates Meeting"/>
    <s v="Public Law Children"/>
    <s v="Advocacy"/>
    <s v="MGT"/>
    <s v="Y"/>
    <n v="140.99"/>
    <n v="28.2"/>
    <x v="1"/>
    <s v="VALIDATED"/>
    <n v="1"/>
    <s v="01.11.80.308.6100.0000"/>
    <n v="140.99"/>
    <s v="11"/>
    <s v="6100"/>
    <n v="34637.12"/>
    <n v="140.99"/>
    <s v="CREDITOR"/>
    <n v="0"/>
    <n v="0"/>
    <n v="0"/>
    <n v="0"/>
    <n v="140.99"/>
  </r>
  <r>
    <n v="60895857"/>
    <s v="N"/>
    <n v="21330752"/>
    <s v="3000015118040003"/>
    <s v="CIVIL"/>
    <d v="2023-06-22T00:00:00"/>
    <d v="2023-07-05T19:01:47"/>
    <m/>
    <d v="2023-07-05T00:00:00"/>
    <n v="1478"/>
    <n v="14784"/>
    <s v="60895857"/>
    <s v="60895857"/>
    <m/>
    <m/>
    <n v="22748132"/>
    <m/>
    <m/>
    <m/>
    <s v="SOLFIN"/>
    <s v="SOLFIN"/>
    <s v="CCMS"/>
    <n v="21330752"/>
    <n v="5937.3"/>
    <m/>
    <s v="N"/>
    <n v="6"/>
    <d v="2023-07-05T19:01:54"/>
    <s v="Y"/>
    <s v="Advocates Meeting"/>
    <s v="Public Law Children"/>
    <s v="Advocacy"/>
    <s v="JJ"/>
    <s v="Y"/>
    <n v="140.99"/>
    <n v="28.2"/>
    <x v="6"/>
    <s v="VALIDATED"/>
    <n v="1"/>
    <s v="01.11.80.308.6100.0000"/>
    <n v="140.99"/>
    <s v="11"/>
    <s v="6100"/>
    <n v="34637.12"/>
    <n v="140.99"/>
    <s v="CREDITOR"/>
    <n v="0"/>
    <n v="0"/>
    <n v="0"/>
    <n v="0"/>
    <n v="140.99"/>
  </r>
  <r>
    <n v="62154366"/>
    <s v="N"/>
    <n v="21392449"/>
    <s v="3000016172060001"/>
    <s v="CIVIL"/>
    <d v="2023-06-26T00:00:00"/>
    <d v="2023-07-18T19:00:27"/>
    <m/>
    <d v="2023-07-18T00:00:00"/>
    <n v="1478"/>
    <n v="14784"/>
    <s v="62154366"/>
    <s v="62154366"/>
    <m/>
    <m/>
    <n v="22760956"/>
    <m/>
    <m/>
    <m/>
    <s v="SOLFIN"/>
    <s v="SOLFIN"/>
    <s v="CCMS"/>
    <n v="21392449"/>
    <n v="950.26"/>
    <m/>
    <s v="N"/>
    <n v="5"/>
    <d v="2023-07-18T19:00:50"/>
    <s v="Y"/>
    <s v="Routine Letter Out"/>
    <s v="Care Remuneration Hourly Rates"/>
    <s v="Profit Cost"/>
    <s v="MGT"/>
    <s v="Y"/>
    <n v="67.90000000000001"/>
    <n v="13.58"/>
    <x v="14"/>
    <s v="VALIDATED"/>
    <n v="1"/>
    <s v="01.11.80.308.6100.0000"/>
    <n v="67.90000000000001"/>
    <s v="11"/>
    <s v="6100"/>
    <n v="34637.12"/>
    <n v="67.90000000000001"/>
    <s v="CREDITOR"/>
    <n v="0"/>
    <n v="0"/>
    <n v="0"/>
    <n v="0"/>
    <n v="67.90000000000001"/>
  </r>
  <r>
    <n v="9439840"/>
    <s v="N"/>
    <n v="21328815"/>
    <s v="3000005393230001RC"/>
    <s v="CIVIL"/>
    <d v="2023-06-22T00:00:00"/>
    <d v="2023-07-04T19:38:21"/>
    <m/>
    <d v="2023-07-04T00:00:00"/>
    <n v="1478"/>
    <n v="14784"/>
    <s v="9439840"/>
    <s v="9439840"/>
    <m/>
    <m/>
    <m/>
    <m/>
    <m/>
    <m/>
    <s v="SOLRECOUP"/>
    <s v="SOLRECOUP"/>
    <s v="POARECOUP"/>
    <n v="21328815"/>
    <n v="-100.8"/>
    <m/>
    <s v="Y"/>
    <n v="1"/>
    <d v="2023-07-04T19:38:23"/>
    <s v="N"/>
    <m/>
    <m/>
    <s v="Expert Disbursement"/>
    <m/>
    <s v="N"/>
    <n v="-100.8"/>
    <n v="0"/>
    <x v="1"/>
    <s v="VALIDATED"/>
    <n v="1"/>
    <s v="01.11.80.308.2013.0000"/>
    <n v="-100.8"/>
    <s v="11"/>
    <s v="2013"/>
    <n v="34637.12"/>
    <n v="-100.8"/>
    <s v="CREDITOR"/>
    <n v="0"/>
    <n v="0"/>
    <n v="-100.8"/>
    <n v="0"/>
    <n v="0"/>
  </r>
  <r>
    <n v="62154366"/>
    <s v="N"/>
    <n v="21392449"/>
    <s v="3000016172060001"/>
    <s v="CIVIL"/>
    <d v="2023-06-26T00:00:00"/>
    <d v="2023-07-18T19:00:27"/>
    <m/>
    <d v="2023-07-18T00:00:00"/>
    <n v="1478"/>
    <n v="14784"/>
    <s v="62154366"/>
    <s v="62154366"/>
    <m/>
    <m/>
    <n v="22760956"/>
    <m/>
    <m/>
    <m/>
    <s v="SOLFIN"/>
    <s v="SOLFIN"/>
    <s v="CCMS"/>
    <n v="21392449"/>
    <n v="950.26"/>
    <m/>
    <s v="N"/>
    <n v="8"/>
    <d v="2023-07-18T19:00:50"/>
    <s v="Y"/>
    <s v="Preparation - drafting notice(s)"/>
    <s v="Care Remuneration Hourly Rates"/>
    <s v="Profit Cost"/>
    <s v="AG"/>
    <s v="Y"/>
    <n v="5.84"/>
    <n v="1.17"/>
    <x v="14"/>
    <s v="VALIDATED"/>
    <n v="1"/>
    <s v="01.11.80.308.6100.0000"/>
    <n v="5.84"/>
    <s v="11"/>
    <s v="6100"/>
    <n v="34637.12"/>
    <n v="5.84"/>
    <s v="CREDITOR"/>
    <n v="0"/>
    <n v="0"/>
    <n v="0"/>
    <n v="0"/>
    <n v="5.84"/>
  </r>
  <r>
    <n v="9439840"/>
    <s v="N"/>
    <n v="21328272"/>
    <s v="3000005393230018"/>
    <s v="CIVIL"/>
    <d v="2023-06-22T00:00:00"/>
    <d v="2023-07-04T19:00:44"/>
    <m/>
    <d v="2023-07-04T00:00:00"/>
    <n v="1478"/>
    <n v="14784"/>
    <s v="9439840"/>
    <s v="9439840"/>
    <m/>
    <m/>
    <n v="22748160"/>
    <m/>
    <m/>
    <m/>
    <s v="SOLFIN"/>
    <s v="SOLFIN"/>
    <s v="CCMS"/>
    <n v="21328272"/>
    <n v="16050.11"/>
    <m/>
    <s v="N"/>
    <n v="30"/>
    <d v="2023-07-04T19:01:11"/>
    <s v="Y"/>
    <s v="Advocates Meeting"/>
    <s v="Public Law Children"/>
    <s v="Advocacy"/>
    <s v="LK"/>
    <s v="Y"/>
    <n v="169.2"/>
    <n v="33.84"/>
    <x v="1"/>
    <s v="VALIDATED"/>
    <n v="1"/>
    <s v="01.11.80.308.6100.0000"/>
    <n v="169.2"/>
    <s v="11"/>
    <s v="6100"/>
    <n v="34637.12"/>
    <n v="169.2"/>
    <s v="CREDITOR"/>
    <n v="0"/>
    <n v="0"/>
    <n v="0"/>
    <n v="0"/>
    <n v="169.2"/>
  </r>
  <r>
    <n v="9439840"/>
    <s v="N"/>
    <n v="21328272"/>
    <s v="3000005393230018"/>
    <s v="CIVIL"/>
    <d v="2023-06-22T00:00:00"/>
    <d v="2023-07-04T19:00:44"/>
    <m/>
    <d v="2023-07-04T00:00:00"/>
    <n v="1478"/>
    <n v="14784"/>
    <s v="9439840"/>
    <s v="9439840"/>
    <m/>
    <m/>
    <n v="22748160"/>
    <m/>
    <m/>
    <m/>
    <s v="SOLFIN"/>
    <s v="SOLFIN"/>
    <s v="CCMS"/>
    <n v="21328272"/>
    <n v="16050.11"/>
    <m/>
    <s v="N"/>
    <n v="12"/>
    <d v="2023-07-04T19:01:11"/>
    <s v="N"/>
    <s v="Interpreter"/>
    <s v="Public Law Children"/>
    <s v="Expert Disbursement"/>
    <s v="lk"/>
    <s v="N"/>
    <n v="87.73"/>
    <n v="17.55"/>
    <x v="1"/>
    <s v="VALIDATED"/>
    <n v="1"/>
    <s v="01.11.80.308.6300.0000"/>
    <n v="87.73"/>
    <s v="11"/>
    <s v="6300"/>
    <n v="34637.12"/>
    <n v="87.73"/>
    <s v="CREDITOR"/>
    <n v="0"/>
    <n v="0"/>
    <n v="0"/>
    <n v="0"/>
    <n v="87.73"/>
  </r>
  <r>
    <n v="62154366"/>
    <s v="N"/>
    <n v="21392449"/>
    <s v="3000016172060001"/>
    <s v="CIVIL"/>
    <d v="2023-06-26T00:00:00"/>
    <d v="2023-07-18T19:00:27"/>
    <m/>
    <d v="2023-07-18T00:00:00"/>
    <n v="1478"/>
    <n v="14784"/>
    <s v="62154366"/>
    <s v="62154366"/>
    <m/>
    <m/>
    <n v="22760956"/>
    <m/>
    <m/>
    <m/>
    <s v="SOLFIN"/>
    <s v="SOLFIN"/>
    <s v="CCMS"/>
    <n v="21392449"/>
    <n v="950.26"/>
    <m/>
    <s v="N"/>
    <n v="6"/>
    <d v="2023-07-18T19:00:50"/>
    <s v="Y"/>
    <s v="Routine Letter In"/>
    <s v="Care Remuneration Hourly Rates"/>
    <s v="Profit Cost"/>
    <s v="AG"/>
    <s v="Y"/>
    <n v="11.1"/>
    <n v="2.22"/>
    <x v="14"/>
    <s v="VALIDATED"/>
    <n v="1"/>
    <s v="01.11.80.308.6100.0000"/>
    <n v="11.1"/>
    <s v="11"/>
    <s v="6100"/>
    <n v="34637.12"/>
    <n v="11.1"/>
    <s v="CREDITOR"/>
    <n v="0"/>
    <n v="0"/>
    <n v="0"/>
    <n v="0"/>
    <n v="11.1"/>
  </r>
  <r>
    <n v="9439840"/>
    <s v="N"/>
    <n v="21328272"/>
    <s v="3000005393230018"/>
    <s v="CIVIL"/>
    <d v="2023-06-22T00:00:00"/>
    <d v="2023-07-04T19:00:44"/>
    <m/>
    <d v="2023-07-04T00:00:00"/>
    <n v="1478"/>
    <n v="14784"/>
    <s v="9439840"/>
    <s v="9439840"/>
    <m/>
    <m/>
    <n v="22748160"/>
    <m/>
    <m/>
    <m/>
    <s v="SOLFIN"/>
    <s v="SOLFIN"/>
    <s v="CCMS"/>
    <n v="21328272"/>
    <n v="16050.11"/>
    <m/>
    <s v="N"/>
    <n v="15"/>
    <d v="2023-07-04T19:01:11"/>
    <s v="N"/>
    <s v="Solicitor Travel Expenses"/>
    <s v="Public Law Children"/>
    <s v="Non Expert Disbursement"/>
    <s v="lk"/>
    <s v="N"/>
    <n v="47.26"/>
    <n v="9.449999999999999"/>
    <x v="1"/>
    <s v="VALIDATED"/>
    <n v="1"/>
    <s v="01.11.80.308.6300.0000"/>
    <n v="47.26"/>
    <s v="11"/>
    <s v="6300"/>
    <n v="34637.12"/>
    <n v="47.26"/>
    <s v="CREDITOR"/>
    <n v="0"/>
    <n v="0"/>
    <n v="0"/>
    <n v="0"/>
    <n v="47.26"/>
  </r>
  <r>
    <n v="60378819"/>
    <s v="N"/>
    <n v="21328835"/>
    <s v="3000014670030003RC"/>
    <s v="CIVIL"/>
    <d v="2023-06-22T00:00:00"/>
    <d v="2023-07-04T19:38:21"/>
    <m/>
    <d v="2023-07-04T00:00:00"/>
    <n v="1478"/>
    <n v="14784"/>
    <s v="60378819"/>
    <s v="60378819"/>
    <m/>
    <m/>
    <m/>
    <m/>
    <m/>
    <m/>
    <s v="SOLRECOUP"/>
    <s v="SOLRECOUP"/>
    <s v="POARECOUP"/>
    <n v="21328835"/>
    <n v="-4"/>
    <m/>
    <s v="Y"/>
    <n v="2"/>
    <d v="2023-07-04T19:38:23"/>
    <s v="N"/>
    <m/>
    <m/>
    <s v="Non Expert Disbursement"/>
    <m/>
    <s v="N"/>
    <n v="0"/>
    <n v="-0.67"/>
    <x v="1"/>
    <s v="VALIDATED"/>
    <n v="1"/>
    <s v="01.11.80.308.2013.0000"/>
    <n v="-0.67"/>
    <s v="11"/>
    <s v="2013"/>
    <n v="34637.12"/>
    <n v="-0.67"/>
    <s v="CREDITOR"/>
    <n v="0"/>
    <n v="0"/>
    <n v="-0.67"/>
    <n v="0"/>
    <n v="0"/>
  </r>
  <r>
    <n v="9439840"/>
    <s v="N"/>
    <n v="21328814"/>
    <s v="3000005393230003RC"/>
    <s v="CIVIL"/>
    <d v="2023-06-22T00:00:00"/>
    <d v="2023-07-04T19:38:21"/>
    <m/>
    <d v="2023-07-04T00:00:00"/>
    <n v="1478"/>
    <n v="14784"/>
    <s v="9439840"/>
    <s v="9439840"/>
    <m/>
    <m/>
    <m/>
    <m/>
    <m/>
    <m/>
    <s v="SOLRECOUP"/>
    <s v="SOLRECOUP"/>
    <s v="POARECOUP"/>
    <n v="21328814"/>
    <n v="-48.23"/>
    <m/>
    <s v="Y"/>
    <n v="1"/>
    <d v="2023-07-04T19:38:23"/>
    <s v="N"/>
    <m/>
    <m/>
    <s v="Non Expert Disbursement"/>
    <m/>
    <s v="N"/>
    <n v="-40.19"/>
    <n v="0"/>
    <x v="1"/>
    <s v="VALIDATED"/>
    <n v="1"/>
    <s v="01.11.80.308.2013.0000"/>
    <n v="-40.19"/>
    <s v="11"/>
    <s v="2013"/>
    <n v="34637.12"/>
    <n v="-40.19"/>
    <s v="CREDITOR"/>
    <n v="0"/>
    <n v="0"/>
    <n v="-40.19"/>
    <n v="0"/>
    <n v="0"/>
  </r>
  <r>
    <n v="9439840"/>
    <s v="N"/>
    <n v="21328814"/>
    <s v="3000005393230003RC"/>
    <s v="CIVIL"/>
    <d v="2023-06-22T00:00:00"/>
    <d v="2023-07-04T19:38:21"/>
    <m/>
    <d v="2023-07-04T00:00:00"/>
    <n v="1478"/>
    <n v="14784"/>
    <s v="9439840"/>
    <s v="9439840"/>
    <m/>
    <m/>
    <m/>
    <m/>
    <m/>
    <m/>
    <s v="SOLRECOUP"/>
    <s v="SOLRECOUP"/>
    <s v="POARECOUP"/>
    <n v="21328814"/>
    <n v="-48.23"/>
    <m/>
    <s v="Y"/>
    <n v="2"/>
    <d v="2023-07-04T19:38:23"/>
    <s v="N"/>
    <m/>
    <m/>
    <s v="Non Expert Disbursement"/>
    <m/>
    <s v="N"/>
    <n v="0"/>
    <n v="-8.039999999999999"/>
    <x v="1"/>
    <s v="VALIDATED"/>
    <n v="1"/>
    <s v="01.11.80.308.2013.0000"/>
    <n v="-8.039999999999999"/>
    <s v="11"/>
    <s v="2013"/>
    <n v="34637.12"/>
    <n v="-8.039999999999999"/>
    <s v="CREDITOR"/>
    <n v="0"/>
    <n v="0"/>
    <n v="-8.039999999999999"/>
    <n v="0"/>
    <n v="0"/>
  </r>
  <r>
    <n v="61629601"/>
    <s v="N"/>
    <n v="21340072"/>
    <s v="3000015733960003RC"/>
    <s v="CIVIL"/>
    <d v="2023-06-26T00:00:00"/>
    <d v="2023-07-06T19:54:22"/>
    <m/>
    <d v="2023-07-06T00:00:00"/>
    <n v="1478"/>
    <n v="14784"/>
    <s v="61629601"/>
    <s v="61629601"/>
    <m/>
    <m/>
    <m/>
    <m/>
    <m/>
    <m/>
    <s v="SOLRECOUP"/>
    <s v="SOLRECOUP"/>
    <s v="POARECOUP"/>
    <n v="21340072"/>
    <n v="-309.95"/>
    <m/>
    <s v="Y"/>
    <n v="1"/>
    <d v="2023-07-06T19:54:23"/>
    <s v="N"/>
    <m/>
    <m/>
    <s v="Non Expert Disbursement"/>
    <m/>
    <s v="N"/>
    <n v="-258.29"/>
    <n v="0"/>
    <x v="4"/>
    <s v="VALIDATED"/>
    <n v="1"/>
    <s v="01.11.80.308.2013.0000"/>
    <n v="-258.29"/>
    <s v="11"/>
    <s v="2013"/>
    <n v="34637.12"/>
    <n v="-258.29"/>
    <s v="CREDITOR"/>
    <n v="0"/>
    <n v="0"/>
    <n v="-258.29"/>
    <n v="0"/>
    <n v="0"/>
  </r>
  <r>
    <n v="61629601"/>
    <s v="N"/>
    <n v="21340072"/>
    <s v="3000015733960003RC"/>
    <s v="CIVIL"/>
    <d v="2023-06-26T00:00:00"/>
    <d v="2023-07-06T19:54:22"/>
    <m/>
    <d v="2023-07-06T00:00:00"/>
    <n v="1478"/>
    <n v="14784"/>
    <s v="61629601"/>
    <s v="61629601"/>
    <m/>
    <m/>
    <m/>
    <m/>
    <m/>
    <m/>
    <s v="SOLRECOUP"/>
    <s v="SOLRECOUP"/>
    <s v="POARECOUP"/>
    <n v="21340072"/>
    <n v="-309.95"/>
    <m/>
    <s v="Y"/>
    <n v="2"/>
    <d v="2023-07-06T19:54:23"/>
    <s v="N"/>
    <m/>
    <m/>
    <s v="Non Expert Disbursement"/>
    <m/>
    <s v="N"/>
    <n v="0"/>
    <n v="-51.66"/>
    <x v="4"/>
    <s v="VALIDATED"/>
    <n v="1"/>
    <s v="01.11.80.308.2013.0000"/>
    <n v="-51.66"/>
    <s v="11"/>
    <s v="2013"/>
    <n v="34637.12"/>
    <n v="-51.66"/>
    <s v="CREDITOR"/>
    <n v="0"/>
    <n v="0"/>
    <n v="-51.66"/>
    <n v="0"/>
    <n v="0"/>
  </r>
  <r>
    <n v="61629601"/>
    <s v="N"/>
    <n v="21340073"/>
    <s v="3000015733960001RC"/>
    <s v="CIVIL"/>
    <d v="2023-06-26T00:00:00"/>
    <d v="2023-07-06T19:54:22"/>
    <m/>
    <d v="2023-07-06T00:00:00"/>
    <n v="1478"/>
    <n v="14784"/>
    <s v="61629601"/>
    <s v="61629601"/>
    <m/>
    <m/>
    <m/>
    <m/>
    <m/>
    <m/>
    <s v="SOLRECOUP"/>
    <s v="SOLRECOUP"/>
    <s v="POARECOUP"/>
    <n v="21340073"/>
    <n v="-100.8"/>
    <m/>
    <s v="Y"/>
    <n v="1"/>
    <d v="2023-07-06T19:54:23"/>
    <s v="N"/>
    <m/>
    <m/>
    <s v="Non Expert Disbursement"/>
    <m/>
    <s v="N"/>
    <n v="-84"/>
    <n v="0"/>
    <x v="4"/>
    <s v="VALIDATED"/>
    <n v="1"/>
    <s v="01.11.80.308.2013.0000"/>
    <n v="-84"/>
    <s v="11"/>
    <s v="2013"/>
    <n v="34637.12"/>
    <n v="-84"/>
    <s v="CREDITOR"/>
    <n v="0"/>
    <n v="0"/>
    <n v="-84"/>
    <n v="0"/>
    <n v="0"/>
  </r>
  <r>
    <n v="61629601"/>
    <s v="N"/>
    <n v="21340073"/>
    <s v="3000015733960001RC"/>
    <s v="CIVIL"/>
    <d v="2023-06-26T00:00:00"/>
    <d v="2023-07-06T19:54:22"/>
    <m/>
    <d v="2023-07-06T00:00:00"/>
    <n v="1478"/>
    <n v="14784"/>
    <s v="61629601"/>
    <s v="61629601"/>
    <m/>
    <m/>
    <m/>
    <m/>
    <m/>
    <m/>
    <s v="SOLRECOUP"/>
    <s v="SOLRECOUP"/>
    <s v="POARECOUP"/>
    <n v="21340073"/>
    <n v="-100.8"/>
    <m/>
    <s v="Y"/>
    <n v="2"/>
    <d v="2023-07-06T19:54:23"/>
    <s v="N"/>
    <m/>
    <m/>
    <s v="Non Expert Disbursement"/>
    <m/>
    <s v="N"/>
    <n v="0"/>
    <n v="-16.8"/>
    <x v="4"/>
    <s v="VALIDATED"/>
    <n v="1"/>
    <s v="01.11.80.308.2013.0000"/>
    <n v="-16.8"/>
    <s v="11"/>
    <s v="2013"/>
    <n v="34637.12"/>
    <n v="-16.8"/>
    <s v="CREDITOR"/>
    <n v="0"/>
    <n v="0"/>
    <n v="-16.8"/>
    <n v="0"/>
    <n v="0"/>
  </r>
  <r>
    <n v="61629601"/>
    <s v="N"/>
    <n v="21340074"/>
    <s v="3000015733960002RC"/>
    <s v="CIVIL"/>
    <d v="2023-06-26T00:00:00"/>
    <d v="2023-07-06T19:54:22"/>
    <m/>
    <d v="2023-07-06T00:00:00"/>
    <n v="1478"/>
    <n v="14784"/>
    <s v="61629601"/>
    <s v="61629601"/>
    <m/>
    <m/>
    <m/>
    <m/>
    <m/>
    <m/>
    <s v="SOLRECOUP"/>
    <s v="SOLRECOUP"/>
    <s v="POARECOUP"/>
    <n v="21340074"/>
    <n v="-100.8"/>
    <m/>
    <s v="Y"/>
    <n v="1"/>
    <d v="2023-07-06T19:54:23"/>
    <s v="N"/>
    <m/>
    <m/>
    <s v="Non Expert Disbursement"/>
    <m/>
    <s v="N"/>
    <n v="-84"/>
    <n v="0"/>
    <x v="4"/>
    <s v="VALIDATED"/>
    <n v="1"/>
    <s v="01.11.80.308.2013.0000"/>
    <n v="-84"/>
    <s v="11"/>
    <s v="2013"/>
    <n v="34637.12"/>
    <n v="-84"/>
    <s v="CREDITOR"/>
    <n v="0"/>
    <n v="0"/>
    <n v="-84"/>
    <n v="0"/>
    <n v="0"/>
  </r>
  <r>
    <n v="61629601"/>
    <s v="N"/>
    <n v="21340074"/>
    <s v="3000015733960002RC"/>
    <s v="CIVIL"/>
    <d v="2023-06-26T00:00:00"/>
    <d v="2023-07-06T19:54:22"/>
    <m/>
    <d v="2023-07-06T00:00:00"/>
    <n v="1478"/>
    <n v="14784"/>
    <s v="61629601"/>
    <s v="61629601"/>
    <m/>
    <m/>
    <m/>
    <m/>
    <m/>
    <m/>
    <s v="SOLRECOUP"/>
    <s v="SOLRECOUP"/>
    <s v="POARECOUP"/>
    <n v="21340074"/>
    <n v="-100.8"/>
    <m/>
    <s v="Y"/>
    <n v="2"/>
    <d v="2023-07-06T19:54:23"/>
    <s v="N"/>
    <m/>
    <m/>
    <s v="Non Expert Disbursement"/>
    <m/>
    <s v="N"/>
    <n v="0"/>
    <n v="-16.8"/>
    <x v="4"/>
    <s v="VALIDATED"/>
    <n v="1"/>
    <s v="01.11.80.308.2013.0000"/>
    <n v="-16.8"/>
    <s v="11"/>
    <s v="2013"/>
    <n v="34637.12"/>
    <n v="-16.8"/>
    <s v="CREDITOR"/>
    <n v="0"/>
    <n v="0"/>
    <n v="-16.8"/>
    <n v="0"/>
    <n v="0"/>
  </r>
  <r>
    <n v="60895857"/>
    <s v="N"/>
    <n v="21333981"/>
    <s v="3000015118040001RC"/>
    <s v="CIVIL"/>
    <d v="2023-06-22T00:00:00"/>
    <d v="2023-07-05T19:42:28"/>
    <m/>
    <d v="2023-07-05T00:00:00"/>
    <n v="1478"/>
    <n v="14784"/>
    <s v="60895857"/>
    <s v="60895857"/>
    <m/>
    <m/>
    <m/>
    <m/>
    <m/>
    <m/>
    <s v="SOLRECOUP"/>
    <s v="SOLRECOUP"/>
    <s v="POARECOUP"/>
    <n v="21333981"/>
    <n v="-573.61"/>
    <m/>
    <s v="Y"/>
    <n v="1"/>
    <d v="2023-07-05T19:42:29"/>
    <s v="N"/>
    <m/>
    <m/>
    <s v="Expert Disbursement"/>
    <m/>
    <s v="N"/>
    <n v="-573.61"/>
    <n v="0"/>
    <x v="6"/>
    <s v="VALIDATED"/>
    <n v="1"/>
    <s v="01.11.80.308.2013.0000"/>
    <n v="-573.61"/>
    <s v="11"/>
    <s v="2013"/>
    <n v="34637.12"/>
    <n v="-573.61"/>
    <s v="CREDITOR"/>
    <n v="0"/>
    <n v="0"/>
    <n v="-573.61"/>
    <n v="0"/>
    <n v="0"/>
  </r>
  <r>
    <n v="60895857"/>
    <s v="N"/>
    <n v="21333981"/>
    <s v="3000015118040001RC"/>
    <s v="CIVIL"/>
    <d v="2023-06-22T00:00:00"/>
    <d v="2023-07-05T19:42:28"/>
    <m/>
    <d v="2023-07-05T00:00:00"/>
    <n v="1478"/>
    <n v="14784"/>
    <s v="60895857"/>
    <s v="60895857"/>
    <m/>
    <m/>
    <m/>
    <m/>
    <m/>
    <m/>
    <s v="SOLRECOUP"/>
    <s v="SOLRECOUP"/>
    <s v="POARECOUP"/>
    <n v="21333981"/>
    <n v="-573.61"/>
    <m/>
    <s v="Y"/>
    <n v="2"/>
    <d v="2023-07-05T19:42:29"/>
    <s v="N"/>
    <m/>
    <m/>
    <s v="Expert Disbursement"/>
    <m/>
    <s v="N"/>
    <n v="0"/>
    <n v="0"/>
    <x v="6"/>
    <s v="VALIDATED"/>
    <n v="1"/>
    <s v="01.11.80.000.0000.0000"/>
    <n v="0"/>
    <s v="11"/>
    <s v="0000"/>
    <n v="34637.12"/>
    <n v="0"/>
    <s v="CREDITOR"/>
    <n v="0"/>
    <n v="0"/>
    <n v="0"/>
    <n v="0"/>
    <n v="0"/>
  </r>
  <r>
    <n v="9439840"/>
    <s v="N"/>
    <n v="21328815"/>
    <s v="3000005393230001RC"/>
    <s v="CIVIL"/>
    <d v="2023-06-22T00:00:00"/>
    <d v="2023-07-04T19:38:21"/>
    <m/>
    <d v="2023-07-04T00:00:00"/>
    <n v="1478"/>
    <n v="14784"/>
    <s v="9439840"/>
    <s v="9439840"/>
    <m/>
    <m/>
    <m/>
    <m/>
    <m/>
    <m/>
    <s v="SOLRECOUP"/>
    <s v="SOLRECOUP"/>
    <s v="POARECOUP"/>
    <n v="21328815"/>
    <n v="-100.8"/>
    <m/>
    <s v="Y"/>
    <n v="2"/>
    <d v="2023-07-04T19:38:23"/>
    <s v="N"/>
    <m/>
    <m/>
    <s v="Expert Disbursement"/>
    <m/>
    <s v="N"/>
    <n v="0"/>
    <n v="0"/>
    <x v="1"/>
    <s v="VALIDATED"/>
    <n v="1"/>
    <s v="01.11.80.000.0000.0000"/>
    <n v="0"/>
    <s v="11"/>
    <s v="0000"/>
    <n v="34637.12"/>
    <n v="0"/>
    <s v="CREDITOR"/>
    <n v="0"/>
    <n v="0"/>
    <n v="0"/>
    <n v="0"/>
    <n v="0"/>
  </r>
  <r>
    <n v="9439840"/>
    <s v="N"/>
    <n v="21328816"/>
    <s v="3000005393230002RC"/>
    <s v="CIVIL"/>
    <d v="2023-06-22T00:00:00"/>
    <d v="2023-07-04T19:38:21"/>
    <m/>
    <d v="2023-07-04T00:00:00"/>
    <n v="1478"/>
    <n v="14784"/>
    <s v="9439840"/>
    <s v="9439840"/>
    <m/>
    <m/>
    <m/>
    <m/>
    <m/>
    <m/>
    <s v="SOLRECOUP"/>
    <s v="SOLRECOUP"/>
    <s v="POARECOUP"/>
    <n v="21328816"/>
    <n v="-56.71"/>
    <m/>
    <s v="Y"/>
    <n v="1"/>
    <d v="2023-07-04T19:38:23"/>
    <s v="N"/>
    <m/>
    <m/>
    <s v="Non Expert Disbursement"/>
    <m/>
    <s v="N"/>
    <n v="-47.26"/>
    <n v="0"/>
    <x v="1"/>
    <s v="VALIDATED"/>
    <n v="1"/>
    <s v="01.11.80.308.2013.0000"/>
    <n v="-47.26"/>
    <s v="11"/>
    <s v="2013"/>
    <n v="34637.12"/>
    <n v="-47.26"/>
    <s v="CREDITOR"/>
    <n v="0"/>
    <n v="0"/>
    <n v="-47.26"/>
    <n v="0"/>
    <n v="0"/>
  </r>
  <r>
    <n v="9439840"/>
    <s v="N"/>
    <n v="21328816"/>
    <s v="3000005393230002RC"/>
    <s v="CIVIL"/>
    <d v="2023-06-22T00:00:00"/>
    <d v="2023-07-04T19:38:21"/>
    <m/>
    <d v="2023-07-04T00:00:00"/>
    <n v="1478"/>
    <n v="14784"/>
    <s v="9439840"/>
    <s v="9439840"/>
    <m/>
    <m/>
    <m/>
    <m/>
    <m/>
    <m/>
    <s v="SOLRECOUP"/>
    <s v="SOLRECOUP"/>
    <s v="POARECOUP"/>
    <n v="21328816"/>
    <n v="-56.71"/>
    <m/>
    <s v="Y"/>
    <n v="2"/>
    <d v="2023-07-04T19:38:23"/>
    <s v="N"/>
    <m/>
    <m/>
    <s v="Non Expert Disbursement"/>
    <m/>
    <s v="N"/>
    <n v="0"/>
    <n v="-9.449999999999999"/>
    <x v="1"/>
    <s v="VALIDATED"/>
    <n v="1"/>
    <s v="01.11.80.308.2013.0000"/>
    <n v="-9.449999999999999"/>
    <s v="11"/>
    <s v="2013"/>
    <n v="34637.12"/>
    <n v="-9.449999999999999"/>
    <s v="CREDITOR"/>
    <n v="0"/>
    <n v="0"/>
    <n v="-9.449999999999999"/>
    <n v="0"/>
    <n v="0"/>
  </r>
  <r>
    <n v="9439840"/>
    <s v="N"/>
    <n v="21328817"/>
    <s v="3000005393230004RC"/>
    <s v="CIVIL"/>
    <d v="2023-06-22T00:00:00"/>
    <d v="2023-07-04T19:38:21"/>
    <m/>
    <d v="2023-07-04T00:00:00"/>
    <n v="1478"/>
    <n v="14784"/>
    <s v="9439840"/>
    <s v="9439840"/>
    <m/>
    <m/>
    <m/>
    <m/>
    <m/>
    <m/>
    <s v="SOLRECOUP"/>
    <s v="SOLRECOUP"/>
    <s v="POARECOUP"/>
    <n v="21328817"/>
    <n v="-46.36"/>
    <m/>
    <s v="Y"/>
    <n v="1"/>
    <d v="2023-07-04T19:38:23"/>
    <s v="N"/>
    <m/>
    <m/>
    <s v="Non Expert Disbursement"/>
    <m/>
    <s v="N"/>
    <n v="-38.63"/>
    <n v="0"/>
    <x v="1"/>
    <s v="VALIDATED"/>
    <n v="1"/>
    <s v="01.11.80.308.2013.0000"/>
    <n v="-38.63"/>
    <s v="11"/>
    <s v="2013"/>
    <n v="34637.12"/>
    <n v="-38.63"/>
    <s v="CREDITOR"/>
    <n v="0"/>
    <n v="0"/>
    <n v="-38.63"/>
    <n v="0"/>
    <n v="0"/>
  </r>
  <r>
    <n v="9439840"/>
    <s v="N"/>
    <n v="21328817"/>
    <s v="3000005393230004RC"/>
    <s v="CIVIL"/>
    <d v="2023-06-22T00:00:00"/>
    <d v="2023-07-04T19:38:21"/>
    <m/>
    <d v="2023-07-04T00:00:00"/>
    <n v="1478"/>
    <n v="14784"/>
    <s v="9439840"/>
    <s v="9439840"/>
    <m/>
    <m/>
    <m/>
    <m/>
    <m/>
    <m/>
    <s v="SOLRECOUP"/>
    <s v="SOLRECOUP"/>
    <s v="POARECOUP"/>
    <n v="21328817"/>
    <n v="-46.36"/>
    <m/>
    <s v="Y"/>
    <n v="2"/>
    <d v="2023-07-04T19:38:23"/>
    <s v="N"/>
    <m/>
    <m/>
    <s v="Non Expert Disbursement"/>
    <m/>
    <s v="N"/>
    <n v="0"/>
    <n v="-7.73"/>
    <x v="1"/>
    <s v="VALIDATED"/>
    <n v="1"/>
    <s v="01.11.80.308.2013.0000"/>
    <n v="-7.73"/>
    <s v="11"/>
    <s v="2013"/>
    <n v="34637.12"/>
    <n v="-7.73"/>
    <s v="CREDITOR"/>
    <n v="0"/>
    <n v="0"/>
    <n v="-7.73"/>
    <n v="0"/>
    <n v="0"/>
  </r>
  <r>
    <n v="9439840"/>
    <s v="N"/>
    <n v="21328818"/>
    <s v="3000005393230005RC"/>
    <s v="CIVIL"/>
    <d v="2023-06-22T00:00:00"/>
    <d v="2023-07-04T19:38:21"/>
    <m/>
    <d v="2023-07-04T00:00:00"/>
    <n v="1478"/>
    <n v="14784"/>
    <s v="9439840"/>
    <s v="9439840"/>
    <m/>
    <m/>
    <m/>
    <m/>
    <m/>
    <m/>
    <s v="SOLRECOUP"/>
    <s v="SOLRECOUP"/>
    <s v="POARECOUP"/>
    <n v="21328818"/>
    <n v="-49.43"/>
    <m/>
    <s v="Y"/>
    <n v="1"/>
    <d v="2023-07-04T19:38:23"/>
    <s v="N"/>
    <m/>
    <m/>
    <s v="Non Expert Disbursement"/>
    <m/>
    <s v="N"/>
    <n v="-41.19"/>
    <n v="0"/>
    <x v="1"/>
    <s v="VALIDATED"/>
    <n v="1"/>
    <s v="01.11.80.308.2013.0000"/>
    <n v="-41.19"/>
    <s v="11"/>
    <s v="2013"/>
    <n v="34637.12"/>
    <n v="-41.19"/>
    <s v="CREDITOR"/>
    <n v="0"/>
    <n v="0"/>
    <n v="-41.19"/>
    <n v="0"/>
    <n v="0"/>
  </r>
  <r>
    <n v="9439840"/>
    <s v="N"/>
    <n v="21328818"/>
    <s v="3000005393230005RC"/>
    <s v="CIVIL"/>
    <d v="2023-06-22T00:00:00"/>
    <d v="2023-07-04T19:38:21"/>
    <m/>
    <d v="2023-07-04T00:00:00"/>
    <n v="1478"/>
    <n v="14784"/>
    <s v="9439840"/>
    <s v="9439840"/>
    <m/>
    <m/>
    <m/>
    <m/>
    <m/>
    <m/>
    <s v="SOLRECOUP"/>
    <s v="SOLRECOUP"/>
    <s v="POARECOUP"/>
    <n v="21328818"/>
    <n v="-49.43"/>
    <m/>
    <s v="Y"/>
    <n v="2"/>
    <d v="2023-07-04T19:38:23"/>
    <s v="N"/>
    <m/>
    <m/>
    <s v="Non Expert Disbursement"/>
    <m/>
    <s v="N"/>
    <n v="0"/>
    <n v="-8.24"/>
    <x v="1"/>
    <s v="VALIDATED"/>
    <n v="1"/>
    <s v="01.11.80.308.2013.0000"/>
    <n v="-8.24"/>
    <s v="11"/>
    <s v="2013"/>
    <n v="34637.12"/>
    <n v="-8.24"/>
    <s v="CREDITOR"/>
    <n v="0"/>
    <n v="0"/>
    <n v="-8.24"/>
    <n v="0"/>
    <n v="0"/>
  </r>
  <r>
    <n v="9439840"/>
    <s v="N"/>
    <n v="21328819"/>
    <s v="3000005393230006RC"/>
    <s v="CIVIL"/>
    <d v="2023-06-22T00:00:00"/>
    <d v="2023-07-04T19:38:21"/>
    <m/>
    <d v="2023-07-04T00:00:00"/>
    <n v="1478"/>
    <n v="14784"/>
    <s v="9439840"/>
    <s v="9439840"/>
    <m/>
    <m/>
    <m/>
    <m/>
    <m/>
    <m/>
    <s v="SOLRECOUP"/>
    <s v="SOLRECOUP"/>
    <s v="POARECOUP"/>
    <n v="21328819"/>
    <n v="-34.02"/>
    <m/>
    <s v="Y"/>
    <n v="1"/>
    <d v="2023-07-04T19:38:23"/>
    <s v="N"/>
    <m/>
    <m/>
    <s v="Non Expert Disbursement"/>
    <m/>
    <s v="N"/>
    <n v="-28.35"/>
    <n v="0"/>
    <x v="1"/>
    <s v="VALIDATED"/>
    <n v="1"/>
    <s v="01.11.80.308.2013.0000"/>
    <n v="-28.35"/>
    <s v="11"/>
    <s v="2013"/>
    <n v="34637.12"/>
    <n v="-28.35"/>
    <s v="CREDITOR"/>
    <n v="0"/>
    <n v="0"/>
    <n v="-28.35"/>
    <n v="0"/>
    <n v="0"/>
  </r>
  <r>
    <n v="60837128"/>
    <s v="N"/>
    <n v="21328086"/>
    <s v="3000015066830005"/>
    <s v="CIVIL"/>
    <d v="2023-06-22T00:00:00"/>
    <d v="2023-07-04T19:00:44"/>
    <m/>
    <d v="2023-07-04T00:00:00"/>
    <n v="1478"/>
    <n v="14784"/>
    <s v="60837128"/>
    <s v="60837128"/>
    <m/>
    <m/>
    <n v="22748090"/>
    <m/>
    <m/>
    <m/>
    <s v="SOLFIN"/>
    <s v="SOLFIN"/>
    <s v="CCMS"/>
    <n v="21328086"/>
    <n v="6470.38"/>
    <m/>
    <s v="N"/>
    <n v="9"/>
    <d v="2023-07-04T19:01:03"/>
    <s v="Y"/>
    <s v="Hearing Unit 0.00 - 1.00 Hours"/>
    <s v="Public Law Children"/>
    <s v="Advocacy"/>
    <s v="MGT"/>
    <s v="Y"/>
    <n v="95.40000000000001"/>
    <n v="19.08"/>
    <x v="1"/>
    <s v="VALIDATED"/>
    <n v="1"/>
    <s v="01.11.80.308.6100.0000"/>
    <n v="95.40000000000001"/>
    <s v="11"/>
    <s v="6100"/>
    <n v="34637.12"/>
    <n v="95.40000000000001"/>
    <s v="CREDITOR"/>
    <n v="0"/>
    <n v="0"/>
    <n v="0"/>
    <n v="0"/>
    <n v="95.40000000000001"/>
  </r>
  <r>
    <n v="59965392"/>
    <s v="N"/>
    <n v="21411482"/>
    <s v="3000014312980005"/>
    <s v="CIVIL"/>
    <d v="2023-06-29T00:00:00"/>
    <d v="2023-07-21T19:03:21"/>
    <m/>
    <d v="2023-07-21T00:00:00"/>
    <n v="1478"/>
    <n v="14784"/>
    <s v="59965392"/>
    <s v="59965392"/>
    <m/>
    <m/>
    <n v="22785326"/>
    <m/>
    <m/>
    <m/>
    <s v="SOLFIN"/>
    <s v="SOLFIN"/>
    <s v="CCMS"/>
    <n v="21411482"/>
    <n v="8695.93"/>
    <m/>
    <s v="N"/>
    <n v="4"/>
    <d v="2023-07-21T19:03:24"/>
    <s v="Y"/>
    <s v="Psychologist"/>
    <s v="Public Law Children"/>
    <s v="Expert Disbursement"/>
    <s v="MF"/>
    <s v="Y"/>
    <n v="227.06"/>
    <n v="0"/>
    <x v="12"/>
    <s v="VALIDATED"/>
    <n v="1"/>
    <s v="01.11.80.308.6300.0000"/>
    <n v="227.06"/>
    <s v="11"/>
    <s v="6300"/>
    <n v="34637.12"/>
    <n v="227.06"/>
    <s v="CREDITOR"/>
    <n v="0"/>
    <n v="0"/>
    <n v="0"/>
    <n v="0"/>
    <n v="227.06"/>
  </r>
  <r>
    <n v="60604153"/>
    <s v="N"/>
    <n v="21349720"/>
    <s v="3000014865530013"/>
    <s v="CIVIL"/>
    <d v="2023-06-26T00:00:00"/>
    <d v="2023-07-10T19:01:40"/>
    <m/>
    <d v="2023-07-10T00:00:00"/>
    <n v="1478"/>
    <n v="14784"/>
    <s v="60604153"/>
    <s v="60604153"/>
    <m/>
    <m/>
    <n v="22763480"/>
    <m/>
    <m/>
    <m/>
    <s v="SOLFIN"/>
    <s v="SOLFIN"/>
    <s v="CCMS"/>
    <n v="21349720"/>
    <n v="6065.07"/>
    <m/>
    <s v="N"/>
    <n v="7"/>
    <d v="2023-07-10T19:01:56"/>
    <s v="Y"/>
    <s v="Advocates Meeting"/>
    <s v="Public Law Children"/>
    <s v="Advocacy"/>
    <s v="JJ"/>
    <s v="Y"/>
    <n v="128.16"/>
    <n v="25.63"/>
    <x v="2"/>
    <s v="VALIDATED"/>
    <n v="1"/>
    <s v="01.11.80.308.6100.0000"/>
    <n v="128.16"/>
    <s v="11"/>
    <s v="6100"/>
    <n v="34637.12"/>
    <n v="128.16"/>
    <s v="CREDITOR"/>
    <n v="0"/>
    <n v="0"/>
    <n v="0"/>
    <n v="0"/>
    <n v="128.16"/>
  </r>
  <r>
    <n v="9439840"/>
    <s v="N"/>
    <n v="21328272"/>
    <s v="3000005393230018"/>
    <s v="CIVIL"/>
    <d v="2023-06-22T00:00:00"/>
    <d v="2023-07-04T19:00:44"/>
    <m/>
    <d v="2023-07-04T00:00:00"/>
    <n v="1478"/>
    <n v="14784"/>
    <s v="9439840"/>
    <s v="9439840"/>
    <m/>
    <m/>
    <n v="22748160"/>
    <m/>
    <m/>
    <m/>
    <s v="SOLFIN"/>
    <s v="SOLFIN"/>
    <s v="CCMS"/>
    <n v="21328272"/>
    <n v="16050.11"/>
    <m/>
    <s v="N"/>
    <n v="7"/>
    <d v="2023-07-04T19:01:11"/>
    <s v="N"/>
    <s v="Interim Hearing Court Bundle/Advoca"/>
    <s v="Public Law Children"/>
    <s v="Advocacy"/>
    <s v="lk"/>
    <s v="N"/>
    <n v="89.09999999999999"/>
    <n v="17.82"/>
    <x v="1"/>
    <s v="VALIDATED"/>
    <n v="1"/>
    <s v="01.11.80.308.6100.0000"/>
    <n v="89.09999999999999"/>
    <s v="11"/>
    <s v="6100"/>
    <n v="34637.12"/>
    <n v="89.09999999999999"/>
    <s v="CREDITOR"/>
    <n v="0"/>
    <n v="0"/>
    <n v="0"/>
    <n v="0"/>
    <n v="89.09999999999999"/>
  </r>
  <r>
    <n v="9439840"/>
    <s v="N"/>
    <n v="21328272"/>
    <s v="3000005393230018"/>
    <s v="CIVIL"/>
    <d v="2023-06-22T00:00:00"/>
    <d v="2023-07-04T19:00:44"/>
    <m/>
    <d v="2023-07-04T00:00:00"/>
    <n v="1478"/>
    <n v="14784"/>
    <s v="9439840"/>
    <s v="9439840"/>
    <m/>
    <m/>
    <n v="22748160"/>
    <m/>
    <m/>
    <m/>
    <s v="SOLFIN"/>
    <s v="SOLFIN"/>
    <s v="CCMS"/>
    <n v="21328272"/>
    <n v="16050.11"/>
    <m/>
    <s v="N"/>
    <n v="24"/>
    <d v="2023-07-04T19:01:11"/>
    <s v="Y"/>
    <s v="Solicitor Travel Expenses"/>
    <s v="Public Law Children"/>
    <s v="Non Expert Disbursement"/>
    <s v="lk"/>
    <s v="Y"/>
    <n v="41.19"/>
    <n v="8.24"/>
    <x v="1"/>
    <s v="VALIDATED"/>
    <n v="1"/>
    <s v="01.11.80.308.6300.0000"/>
    <n v="41.19"/>
    <s v="11"/>
    <s v="6300"/>
    <n v="34637.12"/>
    <n v="41.19"/>
    <s v="CREDITOR"/>
    <n v="0"/>
    <n v="0"/>
    <n v="0"/>
    <n v="0"/>
    <n v="41.19"/>
  </r>
  <r>
    <n v="60837128"/>
    <s v="N"/>
    <n v="21328086"/>
    <s v="3000015066830005"/>
    <s v="CIVIL"/>
    <d v="2023-06-22T00:00:00"/>
    <d v="2023-07-04T19:00:44"/>
    <m/>
    <d v="2023-07-04T00:00:00"/>
    <n v="1478"/>
    <n v="14784"/>
    <s v="60837128"/>
    <s v="60837128"/>
    <m/>
    <m/>
    <n v="22748090"/>
    <m/>
    <m/>
    <m/>
    <s v="SOLFIN"/>
    <s v="SOLFIN"/>
    <s v="CCMS"/>
    <n v="21328086"/>
    <n v="6470.38"/>
    <m/>
    <s v="N"/>
    <n v="7"/>
    <d v="2023-07-04T19:01:03"/>
    <s v="Y"/>
    <s v="Hearing Unit 2.31 - 5.00 Hours"/>
    <s v="Public Law Children"/>
    <s v="Advocacy"/>
    <s v="MGT"/>
    <s v="Y"/>
    <n v="476.92"/>
    <n v="95.38"/>
    <x v="1"/>
    <s v="VALIDATED"/>
    <n v="1"/>
    <s v="01.11.80.308.6100.0000"/>
    <n v="476.92"/>
    <s v="11"/>
    <s v="6100"/>
    <n v="34637.12"/>
    <n v="476.92"/>
    <s v="CREDITOR"/>
    <n v="0"/>
    <n v="0"/>
    <n v="0"/>
    <n v="0"/>
    <n v="476.92"/>
  </r>
  <r>
    <n v="60378819"/>
    <s v="N"/>
    <n v="21327944"/>
    <s v="3000014670030004"/>
    <s v="CIVIL"/>
    <d v="2023-06-22T00:00:00"/>
    <d v="2023-07-04T19:00:44"/>
    <m/>
    <d v="2023-07-04T00:00:00"/>
    <n v="1478"/>
    <n v="14784"/>
    <s v="60378819"/>
    <s v="60378819"/>
    <m/>
    <m/>
    <n v="22748060"/>
    <m/>
    <m/>
    <m/>
    <s v="SOLFIN"/>
    <s v="SOLFIN"/>
    <s v="CCMS"/>
    <n v="21327944"/>
    <n v="5670.28"/>
    <m/>
    <s v="N"/>
    <n v="9"/>
    <d v="2023-07-04T19:00:59"/>
    <s v="Y"/>
    <s v="Hearing Unit 1.01 - 2.30 Hours"/>
    <s v="Public Law Children"/>
    <s v="Advocacy"/>
    <s v="LK"/>
    <s v="Y"/>
    <n v="238.46"/>
    <n v="47.69"/>
    <x v="1"/>
    <s v="VALIDATED"/>
    <n v="1"/>
    <s v="01.11.80.308.6100.0000"/>
    <n v="238.46"/>
    <s v="11"/>
    <s v="6100"/>
    <n v="34637.12"/>
    <n v="238.46"/>
    <s v="CREDITOR"/>
    <n v="0"/>
    <n v="0"/>
    <n v="0"/>
    <n v="0"/>
    <n v="238.46"/>
  </r>
  <r>
    <n v="61629601"/>
    <s v="N"/>
    <n v="21338570"/>
    <s v="3000015733960005"/>
    <s v="CIVIL"/>
    <d v="2023-06-26T00:00:00"/>
    <d v="2023-07-06T19:21:01"/>
    <m/>
    <d v="2023-07-06T00:00:00"/>
    <n v="1478"/>
    <n v="14784"/>
    <s v="61629601"/>
    <s v="61629601"/>
    <m/>
    <m/>
    <n v="22763542"/>
    <m/>
    <m/>
    <m/>
    <s v="SOLFIN"/>
    <s v="SOLFIN"/>
    <s v="CCMS"/>
    <n v="21338570"/>
    <n v="3650.75"/>
    <m/>
    <s v="N"/>
    <n v="1"/>
    <d v="2023-07-06T19:21:28"/>
    <s v="Y"/>
    <s v="Interpreter"/>
    <s v="Public Law Children"/>
    <s v="Expert Disbursement"/>
    <s v="JJ"/>
    <s v="Y"/>
    <n v="84"/>
    <n v="16.8"/>
    <x v="4"/>
    <s v="VALIDATED"/>
    <n v="1"/>
    <s v="01.11.80.308.6300.0000"/>
    <n v="84"/>
    <s v="11"/>
    <s v="6300"/>
    <n v="34637.12"/>
    <n v="84"/>
    <s v="CREDITOR"/>
    <n v="0"/>
    <n v="0"/>
    <n v="0"/>
    <n v="0"/>
    <n v="84"/>
  </r>
  <r>
    <n v="59965392"/>
    <s v="N"/>
    <n v="21411482"/>
    <s v="3000014312980005"/>
    <s v="CIVIL"/>
    <d v="2023-06-29T00:00:00"/>
    <d v="2023-07-21T19:03:21"/>
    <m/>
    <d v="2023-07-21T00:00:00"/>
    <n v="1478"/>
    <n v="14784"/>
    <s v="59965392"/>
    <s v="59965392"/>
    <m/>
    <m/>
    <n v="22785326"/>
    <m/>
    <m/>
    <m/>
    <s v="SOLFIN"/>
    <s v="SOLFIN"/>
    <s v="CCMS"/>
    <n v="21411482"/>
    <n v="8695.93"/>
    <m/>
    <s v="N"/>
    <n v="11"/>
    <d v="2023-07-21T19:03:24"/>
    <s v="Y"/>
    <s v="Hearing Unit 2.31 - 5.00 Hours"/>
    <s v="Public Law Children"/>
    <s v="Advocacy"/>
    <s v="FL"/>
    <s v="Y"/>
    <n v="476.92"/>
    <n v="95.38"/>
    <x v="12"/>
    <s v="VALIDATED"/>
    <n v="1"/>
    <s v="01.11.80.308.6100.0000"/>
    <n v="476.92"/>
    <s v="11"/>
    <s v="6100"/>
    <n v="34637.12"/>
    <n v="476.92"/>
    <s v="CREDITOR"/>
    <n v="0"/>
    <n v="0"/>
    <n v="0"/>
    <n v="0"/>
    <n v="476.92"/>
  </r>
  <r>
    <n v="9439840"/>
    <s v="N"/>
    <n v="21328272"/>
    <s v="3000005393230018"/>
    <s v="CIVIL"/>
    <d v="2023-06-22T00:00:00"/>
    <d v="2023-07-04T19:00:44"/>
    <m/>
    <d v="2023-07-04T00:00:00"/>
    <n v="1478"/>
    <n v="14784"/>
    <s v="9439840"/>
    <s v="9439840"/>
    <m/>
    <m/>
    <n v="22748160"/>
    <m/>
    <m/>
    <m/>
    <s v="SOLFIN"/>
    <s v="SOLFIN"/>
    <s v="CCMS"/>
    <n v="21328272"/>
    <n v="16050.11"/>
    <m/>
    <s v="N"/>
    <n v="19"/>
    <d v="2023-07-04T19:01:11"/>
    <s v="Y"/>
    <s v="Solicitor Travel Expenses"/>
    <s v="Public Law Children"/>
    <s v="Non Expert Disbursement"/>
    <s v="lk"/>
    <s v="Y"/>
    <n v="28.35"/>
    <n v="5.67"/>
    <x v="1"/>
    <s v="VALIDATED"/>
    <n v="1"/>
    <s v="01.11.80.308.6300.0000"/>
    <n v="28.35"/>
    <s v="11"/>
    <s v="6300"/>
    <n v="34637.12"/>
    <n v="28.35"/>
    <s v="CREDITOR"/>
    <n v="0"/>
    <n v="0"/>
    <n v="0"/>
    <n v="0"/>
    <n v="28.35"/>
  </r>
  <r>
    <n v="9439840"/>
    <s v="N"/>
    <n v="21328272"/>
    <s v="3000005393230018"/>
    <s v="CIVIL"/>
    <d v="2023-06-22T00:00:00"/>
    <d v="2023-07-04T19:00:44"/>
    <m/>
    <d v="2023-07-04T00:00:00"/>
    <n v="1478"/>
    <n v="14784"/>
    <s v="9439840"/>
    <s v="9439840"/>
    <m/>
    <m/>
    <n v="22748160"/>
    <m/>
    <m/>
    <m/>
    <s v="SOLFIN"/>
    <s v="SOLFIN"/>
    <s v="CCMS"/>
    <n v="21328272"/>
    <n v="16050.11"/>
    <m/>
    <s v="N"/>
    <n v="20"/>
    <d v="2023-07-04T19:01:11"/>
    <s v="Y"/>
    <s v="Expert - Other"/>
    <s v="Public Law Children"/>
    <s v="Expert Disbursement"/>
    <s v="lk"/>
    <s v="Y"/>
    <n v="422.75"/>
    <n v="0"/>
    <x v="1"/>
    <s v="VALIDATED"/>
    <n v="1"/>
    <s v="01.11.80.308.6300.0000"/>
    <n v="422.75"/>
    <s v="11"/>
    <s v="6300"/>
    <n v="34637.12"/>
    <n v="422.75"/>
    <s v="CREDITOR"/>
    <n v="0"/>
    <n v="0"/>
    <n v="0"/>
    <n v="0"/>
    <n v="422.75"/>
  </r>
  <r>
    <n v="60604153"/>
    <s v="N"/>
    <n v="21349720"/>
    <s v="3000014865530013"/>
    <s v="CIVIL"/>
    <d v="2023-06-26T00:00:00"/>
    <d v="2023-07-10T19:01:40"/>
    <m/>
    <d v="2023-07-10T00:00:00"/>
    <n v="1478"/>
    <n v="14784"/>
    <s v="60604153"/>
    <s v="60604153"/>
    <m/>
    <m/>
    <n v="22763480"/>
    <m/>
    <m/>
    <m/>
    <s v="SOLFIN"/>
    <s v="SOLFIN"/>
    <s v="CCMS"/>
    <n v="21349720"/>
    <n v="6065.07"/>
    <m/>
    <s v="N"/>
    <n v="10"/>
    <d v="2023-07-10T19:01:56"/>
    <s v="Y"/>
    <s v="Solicitors Fixed Fee"/>
    <s v="Public Law Children"/>
    <s v="Profit Cost"/>
    <s v="JJ"/>
    <s v="Y"/>
    <n v="2616"/>
    <n v="523.2"/>
    <x v="2"/>
    <s v="VALIDATED"/>
    <n v="1"/>
    <s v="01.11.80.308.6100.0000"/>
    <n v="2616"/>
    <s v="11"/>
    <s v="6100"/>
    <n v="34637.12"/>
    <n v="2616"/>
    <s v="CREDITOR"/>
    <n v="0"/>
    <n v="0"/>
    <n v="0"/>
    <n v="0"/>
    <n v="2616"/>
  </r>
  <r>
    <n v="60837128"/>
    <s v="N"/>
    <n v="21328086"/>
    <s v="3000015066830005"/>
    <s v="CIVIL"/>
    <d v="2023-06-22T00:00:00"/>
    <d v="2023-07-04T19:00:44"/>
    <m/>
    <d v="2023-07-04T00:00:00"/>
    <n v="1478"/>
    <n v="14784"/>
    <s v="60837128"/>
    <s v="60837128"/>
    <m/>
    <m/>
    <n v="22748090"/>
    <m/>
    <m/>
    <m/>
    <s v="SOLFIN"/>
    <s v="SOLFIN"/>
    <s v="CCMS"/>
    <n v="21328086"/>
    <n v="6470.38"/>
    <m/>
    <s v="N"/>
    <n v="8"/>
    <d v="2023-07-04T19:01:03"/>
    <s v="Y"/>
    <s v="Final Hearing - 1 Day"/>
    <s v="Public Law Children"/>
    <s v="Advocacy"/>
    <s v="MGT"/>
    <s v="Y"/>
    <n v="556.88"/>
    <n v="111.38"/>
    <x v="1"/>
    <s v="VALIDATED"/>
    <n v="1"/>
    <s v="01.11.80.308.6100.0000"/>
    <n v="556.88"/>
    <s v="11"/>
    <s v="6100"/>
    <n v="34637.12"/>
    <n v="556.88"/>
    <s v="CREDITOR"/>
    <n v="0"/>
    <n v="0"/>
    <n v="0"/>
    <n v="0"/>
    <n v="556.88"/>
  </r>
  <r>
    <n v="60895857"/>
    <s v="N"/>
    <n v="21330752"/>
    <s v="3000015118040003"/>
    <s v="CIVIL"/>
    <d v="2023-06-22T00:00:00"/>
    <d v="2023-07-05T19:01:47"/>
    <m/>
    <d v="2023-07-05T00:00:00"/>
    <n v="1478"/>
    <n v="14784"/>
    <s v="60895857"/>
    <s v="60895857"/>
    <m/>
    <m/>
    <n v="22748132"/>
    <m/>
    <m/>
    <m/>
    <s v="SOLFIN"/>
    <s v="SOLFIN"/>
    <s v="CCMS"/>
    <n v="21330752"/>
    <n v="5937.3"/>
    <m/>
    <s v="N"/>
    <n v="8"/>
    <d v="2023-07-05T19:01:54"/>
    <s v="Y"/>
    <s v="Solicitors Fixed Fee"/>
    <s v="Public Law Children"/>
    <s v="Profit Cost"/>
    <s v="JJ"/>
    <s v="Y"/>
    <n v="2616"/>
    <n v="523.2"/>
    <x v="6"/>
    <s v="VALIDATED"/>
    <n v="1"/>
    <s v="01.11.80.308.6100.0000"/>
    <n v="2616"/>
    <s v="11"/>
    <s v="6100"/>
    <n v="34637.12"/>
    <n v="2616"/>
    <s v="CREDITOR"/>
    <n v="0"/>
    <n v="0"/>
    <n v="0"/>
    <n v="0"/>
    <n v="2616"/>
  </r>
  <r>
    <n v="60837128"/>
    <s v="N"/>
    <n v="21328086"/>
    <s v="3000015066830005"/>
    <s v="CIVIL"/>
    <d v="2023-06-22T00:00:00"/>
    <d v="2023-07-04T19:00:44"/>
    <m/>
    <d v="2023-07-04T00:00:00"/>
    <n v="1478"/>
    <n v="14784"/>
    <s v="60837128"/>
    <s v="60837128"/>
    <m/>
    <m/>
    <n v="22748090"/>
    <m/>
    <m/>
    <m/>
    <s v="SOLFIN"/>
    <s v="SOLFIN"/>
    <s v="CCMS"/>
    <n v="21328086"/>
    <n v="6470.38"/>
    <m/>
    <s v="N"/>
    <n v="2"/>
    <d v="2023-07-04T19:01:03"/>
    <s v="Y"/>
    <s v="Toxicologist"/>
    <s v="Public Law Children"/>
    <s v="Expert Disbursement"/>
    <s v="MGT"/>
    <s v="Y"/>
    <n v="179.25"/>
    <n v="35.85"/>
    <x v="1"/>
    <s v="VALIDATED"/>
    <n v="1"/>
    <s v="01.11.80.308.6300.0000"/>
    <n v="179.25"/>
    <s v="11"/>
    <s v="6300"/>
    <n v="34637.12"/>
    <n v="179.25"/>
    <s v="CREDITOR"/>
    <n v="0"/>
    <n v="0"/>
    <n v="0"/>
    <n v="0"/>
    <n v="179.25"/>
  </r>
  <r>
    <n v="59965392"/>
    <s v="N"/>
    <n v="21411482"/>
    <s v="3000014312980005"/>
    <s v="CIVIL"/>
    <d v="2023-06-29T00:00:00"/>
    <d v="2023-07-21T19:03:21"/>
    <m/>
    <d v="2023-07-21T00:00:00"/>
    <n v="1478"/>
    <n v="14784"/>
    <s v="59965392"/>
    <s v="59965392"/>
    <m/>
    <m/>
    <n v="22785326"/>
    <m/>
    <m/>
    <m/>
    <s v="SOLFIN"/>
    <s v="SOLFIN"/>
    <s v="CCMS"/>
    <n v="21411482"/>
    <n v="8695.93"/>
    <m/>
    <s v="N"/>
    <n v="3"/>
    <d v="2023-07-21T19:03:24"/>
    <s v="Y"/>
    <s v="Psychologist"/>
    <s v="Public Law Children"/>
    <s v="Expert Disbursement"/>
    <s v="MF"/>
    <s v="Y"/>
    <n v="227.06"/>
    <n v="0"/>
    <x v="12"/>
    <s v="VALIDATED"/>
    <n v="1"/>
    <s v="01.11.80.308.6300.0000"/>
    <n v="227.06"/>
    <s v="11"/>
    <s v="6300"/>
    <n v="34637.12"/>
    <n v="227.06"/>
    <s v="CREDITOR"/>
    <n v="0"/>
    <n v="0"/>
    <n v="0"/>
    <n v="0"/>
    <n v="227.06"/>
  </r>
  <r>
    <n v="60604153"/>
    <s v="N"/>
    <n v="21349720"/>
    <s v="3000014865530013"/>
    <s v="CIVIL"/>
    <d v="2023-06-26T00:00:00"/>
    <d v="2023-07-10T19:01:40"/>
    <m/>
    <d v="2023-07-10T00:00:00"/>
    <n v="1478"/>
    <n v="14784"/>
    <s v="60604153"/>
    <s v="60604153"/>
    <m/>
    <m/>
    <n v="22763480"/>
    <m/>
    <m/>
    <m/>
    <s v="SOLFIN"/>
    <s v="SOLFIN"/>
    <s v="CCMS"/>
    <n v="21349720"/>
    <n v="6065.07"/>
    <m/>
    <s v="N"/>
    <n v="3"/>
    <d v="2023-07-10T19:01:56"/>
    <s v="Y"/>
    <s v="Psychologist"/>
    <s v="Public Law Children"/>
    <s v="Expert Disbursement"/>
    <s v="JJ"/>
    <s v="Y"/>
    <n v="324"/>
    <n v="64.8"/>
    <x v="2"/>
    <s v="VALIDATED"/>
    <n v="1"/>
    <s v="01.11.80.308.6300.0000"/>
    <n v="324"/>
    <s v="11"/>
    <s v="6300"/>
    <n v="34637.12"/>
    <n v="324"/>
    <s v="CREDITOR"/>
    <n v="0"/>
    <n v="0"/>
    <n v="0"/>
    <n v="0"/>
    <n v="324"/>
  </r>
  <r>
    <n v="61629601"/>
    <s v="N"/>
    <n v="21338570"/>
    <s v="3000015733960005"/>
    <s v="CIVIL"/>
    <d v="2023-06-26T00:00:00"/>
    <d v="2023-07-06T19:21:01"/>
    <m/>
    <d v="2023-07-06T00:00:00"/>
    <n v="1478"/>
    <n v="14784"/>
    <s v="61629601"/>
    <s v="61629601"/>
    <m/>
    <m/>
    <n v="22763542"/>
    <m/>
    <m/>
    <m/>
    <s v="SOLFIN"/>
    <s v="SOLFIN"/>
    <s v="CCMS"/>
    <n v="21338570"/>
    <n v="3650.75"/>
    <m/>
    <s v="N"/>
    <n v="3"/>
    <d v="2023-07-06T19:21:28"/>
    <s v="Y"/>
    <s v="Interpreter"/>
    <s v="Public Law Children"/>
    <s v="Expert Disbursement"/>
    <s v="JJ"/>
    <s v="Y"/>
    <n v="258.29"/>
    <n v="51.66"/>
    <x v="4"/>
    <s v="VALIDATED"/>
    <n v="1"/>
    <s v="01.11.80.308.6300.0000"/>
    <n v="258.29"/>
    <s v="11"/>
    <s v="6300"/>
    <n v="34637.12"/>
    <n v="258.29"/>
    <s v="CREDITOR"/>
    <n v="0"/>
    <n v="0"/>
    <n v="0"/>
    <n v="0"/>
    <n v="258.29"/>
  </r>
  <r>
    <n v="9439840"/>
    <s v="N"/>
    <n v="21328272"/>
    <s v="3000005393230018"/>
    <s v="CIVIL"/>
    <d v="2023-06-22T00:00:00"/>
    <d v="2023-07-04T19:00:44"/>
    <m/>
    <d v="2023-07-04T00:00:00"/>
    <n v="1478"/>
    <n v="14784"/>
    <s v="9439840"/>
    <s v="9439840"/>
    <m/>
    <m/>
    <n v="22748160"/>
    <m/>
    <m/>
    <m/>
    <s v="SOLFIN"/>
    <s v="SOLFIN"/>
    <s v="CCMS"/>
    <n v="21328272"/>
    <n v="16050.11"/>
    <m/>
    <s v="N"/>
    <n v="27"/>
    <d v="2023-07-04T19:01:11"/>
    <s v="Y"/>
    <s v="Solicitor Travel Expenses"/>
    <s v="Public Law Children"/>
    <s v="Non Expert Disbursement"/>
    <s v="lk"/>
    <s v="Y"/>
    <n v="38.63"/>
    <n v="7.73"/>
    <x v="1"/>
    <s v="VALIDATED"/>
    <n v="1"/>
    <s v="01.11.80.308.6300.0000"/>
    <n v="38.63"/>
    <s v="11"/>
    <s v="6300"/>
    <n v="34637.12"/>
    <n v="38.63"/>
    <s v="CREDITOR"/>
    <n v="0"/>
    <n v="0"/>
    <n v="0"/>
    <n v="0"/>
    <n v="38.63"/>
  </r>
  <r>
    <n v="60837128"/>
    <s v="N"/>
    <n v="21328086"/>
    <s v="3000015066830005"/>
    <s v="CIVIL"/>
    <d v="2023-06-22T00:00:00"/>
    <d v="2023-07-04T19:00:44"/>
    <m/>
    <d v="2023-07-04T00:00:00"/>
    <n v="1478"/>
    <n v="14784"/>
    <s v="60837128"/>
    <s v="60837128"/>
    <m/>
    <m/>
    <n v="22748090"/>
    <m/>
    <m/>
    <m/>
    <s v="SOLFIN"/>
    <s v="SOLFIN"/>
    <s v="CCMS"/>
    <n v="21328086"/>
    <n v="6470.38"/>
    <m/>
    <s v="N"/>
    <n v="4"/>
    <d v="2023-07-04T19:01:03"/>
    <s v="Y"/>
    <s v="Toxicologist"/>
    <s v="Public Law Children"/>
    <s v="Expert Disbursement"/>
    <s v="MGT"/>
    <s v="Y"/>
    <n v="265.25"/>
    <n v="53.05"/>
    <x v="1"/>
    <s v="VALIDATED"/>
    <n v="1"/>
    <s v="01.11.80.308.6300.0000"/>
    <n v="265.25"/>
    <s v="11"/>
    <s v="6300"/>
    <n v="34637.12"/>
    <n v="265.25"/>
    <s v="CREDITOR"/>
    <n v="0"/>
    <n v="0"/>
    <n v="0"/>
    <n v="0"/>
    <n v="265.25"/>
  </r>
  <r>
    <n v="59965392"/>
    <s v="N"/>
    <n v="21411482"/>
    <s v="3000014312980005"/>
    <s v="CIVIL"/>
    <d v="2023-06-29T00:00:00"/>
    <d v="2023-07-21T19:03:21"/>
    <m/>
    <d v="2023-07-21T00:00:00"/>
    <n v="1478"/>
    <n v="14784"/>
    <s v="59965392"/>
    <s v="59965392"/>
    <m/>
    <m/>
    <n v="22785326"/>
    <m/>
    <m/>
    <m/>
    <s v="SOLFIN"/>
    <s v="SOLFIN"/>
    <s v="CCMS"/>
    <n v="21411482"/>
    <n v="8695.93"/>
    <m/>
    <s v="N"/>
    <n v="8"/>
    <d v="2023-07-21T19:03:24"/>
    <s v="Y"/>
    <s v="Advocates Meeting"/>
    <s v="Public Law Children"/>
    <s v="Advocacy"/>
    <s v="FL"/>
    <s v="Y"/>
    <n v="140.99"/>
    <n v="28.2"/>
    <x v="12"/>
    <s v="VALIDATED"/>
    <n v="1"/>
    <s v="01.11.80.308.6100.0000"/>
    <n v="140.99"/>
    <s v="11"/>
    <s v="6100"/>
    <n v="34637.12"/>
    <n v="140.99"/>
    <s v="CREDITOR"/>
    <n v="0"/>
    <n v="0"/>
    <n v="0"/>
    <n v="0"/>
    <n v="140.99"/>
  </r>
  <r>
    <n v="9439840"/>
    <s v="N"/>
    <n v="21328272"/>
    <s v="3000005393230018"/>
    <s v="CIVIL"/>
    <d v="2023-06-22T00:00:00"/>
    <d v="2023-07-04T19:00:44"/>
    <m/>
    <d v="2023-07-04T00:00:00"/>
    <n v="1478"/>
    <n v="14784"/>
    <s v="9439840"/>
    <s v="9439840"/>
    <m/>
    <m/>
    <n v="22748160"/>
    <m/>
    <m/>
    <m/>
    <s v="SOLFIN"/>
    <s v="SOLFIN"/>
    <s v="CCMS"/>
    <n v="21328272"/>
    <n v="16050.11"/>
    <m/>
    <s v="N"/>
    <n v="34"/>
    <d v="2023-07-04T19:01:11"/>
    <s v="Y"/>
    <s v="Hearing Unit 2.31 - 5.00 Hours"/>
    <s v="Public Law Children"/>
    <s v="Advocacy"/>
    <s v="lk"/>
    <s v="Y"/>
    <n v="572.3200000000001"/>
    <n v="114.46"/>
    <x v="1"/>
    <s v="VALIDATED"/>
    <n v="1"/>
    <s v="01.11.80.308.6100.0000"/>
    <n v="572.3200000000001"/>
    <s v="11"/>
    <s v="6100"/>
    <n v="34637.12"/>
    <n v="572.3200000000001"/>
    <s v="CREDITOR"/>
    <n v="0"/>
    <n v="0"/>
    <n v="0"/>
    <n v="0"/>
    <n v="572.3200000000001"/>
  </r>
  <r>
    <n v="9439840"/>
    <s v="N"/>
    <n v="21328272"/>
    <s v="3000005393230018"/>
    <s v="CIVIL"/>
    <d v="2023-06-22T00:00:00"/>
    <d v="2023-07-04T19:00:44"/>
    <m/>
    <d v="2023-07-04T00:00:00"/>
    <n v="1478"/>
    <n v="14784"/>
    <s v="9439840"/>
    <s v="9439840"/>
    <m/>
    <m/>
    <n v="22748160"/>
    <m/>
    <m/>
    <m/>
    <s v="SOLFIN"/>
    <s v="SOLFIN"/>
    <s v="CCMS"/>
    <n v="21328272"/>
    <n v="16050.11"/>
    <m/>
    <s v="N"/>
    <n v="37"/>
    <d v="2023-07-04T19:01:11"/>
    <s v="Y"/>
    <s v="Hearing Unit 2.31 - 5.00 Hours"/>
    <s v="Public Law Children"/>
    <s v="Advocacy"/>
    <s v="LK"/>
    <s v="Y"/>
    <n v="572.3200000000001"/>
    <n v="114.46"/>
    <x v="1"/>
    <s v="VALIDATED"/>
    <n v="1"/>
    <s v="01.11.80.308.6100.0000"/>
    <n v="572.3200000000001"/>
    <s v="11"/>
    <s v="6100"/>
    <n v="34637.12"/>
    <n v="572.3200000000001"/>
    <s v="CREDITOR"/>
    <n v="0"/>
    <n v="0"/>
    <n v="0"/>
    <n v="0"/>
    <n v="572.3200000000001"/>
  </r>
  <r>
    <n v="9439840"/>
    <s v="N"/>
    <n v="21328272"/>
    <s v="3000005393230018"/>
    <s v="CIVIL"/>
    <d v="2023-06-22T00:00:00"/>
    <d v="2023-07-04T19:00:44"/>
    <m/>
    <d v="2023-07-04T00:00:00"/>
    <n v="1478"/>
    <n v="14784"/>
    <s v="9439840"/>
    <s v="9439840"/>
    <m/>
    <m/>
    <n v="22748160"/>
    <m/>
    <m/>
    <m/>
    <s v="SOLFIN"/>
    <s v="SOLFIN"/>
    <s v="CCMS"/>
    <n v="21328272"/>
    <n v="16050.11"/>
    <m/>
    <s v="N"/>
    <n v="40"/>
    <d v="2023-07-04T19:01:11"/>
    <s v="Y"/>
    <s v="Solicitors Fixed Fee"/>
    <s v="Public Law Children"/>
    <s v="Profit Cost"/>
    <s v="LK"/>
    <s v="Y"/>
    <n v="4015"/>
    <n v="803"/>
    <x v="1"/>
    <s v="VALIDATED"/>
    <n v="1"/>
    <s v="01.11.80.308.6100.0000"/>
    <n v="4015"/>
    <s v="11"/>
    <s v="6100"/>
    <n v="34637.12"/>
    <n v="4015"/>
    <s v="CREDITOR"/>
    <n v="0"/>
    <n v="0"/>
    <n v="0"/>
    <n v="0"/>
    <n v="4015"/>
  </r>
  <r>
    <n v="9439840"/>
    <s v="N"/>
    <n v="21328272"/>
    <s v="3000005393230018"/>
    <s v="CIVIL"/>
    <d v="2023-06-22T00:00:00"/>
    <d v="2023-07-04T19:00:44"/>
    <m/>
    <d v="2023-07-04T00:00:00"/>
    <n v="1478"/>
    <n v="14784"/>
    <s v="9439840"/>
    <s v="9439840"/>
    <m/>
    <m/>
    <n v="22748160"/>
    <m/>
    <m/>
    <m/>
    <s v="SOLFIN"/>
    <s v="SOLFIN"/>
    <s v="CCMS"/>
    <n v="21328272"/>
    <n v="16050.11"/>
    <m/>
    <s v="N"/>
    <n v="14"/>
    <d v="2023-07-04T19:01:11"/>
    <s v="N"/>
    <s v="Psychologist"/>
    <s v="Public Law Children"/>
    <s v="Expert Disbursement"/>
    <s v="lk"/>
    <s v="N"/>
    <n v="140.95"/>
    <n v="0"/>
    <x v="1"/>
    <s v="VALIDATED"/>
    <n v="1"/>
    <s v="01.11.80.308.6300.0000"/>
    <n v="140.95"/>
    <s v="11"/>
    <s v="6300"/>
    <n v="34637.12"/>
    <n v="140.95"/>
    <s v="CREDITOR"/>
    <n v="0"/>
    <n v="0"/>
    <n v="0"/>
    <n v="0"/>
    <n v="140.95"/>
  </r>
  <r>
    <n v="59965392"/>
    <s v="N"/>
    <n v="21411482"/>
    <s v="3000014312980005"/>
    <s v="CIVIL"/>
    <d v="2023-06-29T00:00:00"/>
    <d v="2023-07-21T19:03:21"/>
    <m/>
    <d v="2023-07-21T00:00:00"/>
    <n v="1478"/>
    <n v="14784"/>
    <s v="59965392"/>
    <s v="59965392"/>
    <m/>
    <m/>
    <n v="22785326"/>
    <m/>
    <m/>
    <m/>
    <s v="SOLFIN"/>
    <s v="SOLFIN"/>
    <s v="CCMS"/>
    <n v="21411482"/>
    <n v="8695.93"/>
    <m/>
    <s v="N"/>
    <n v="7"/>
    <d v="2023-07-21T19:03:24"/>
    <s v="Y"/>
    <s v="Final Hearing - 1 Day"/>
    <s v="Public Law Children"/>
    <s v="Advocacy"/>
    <s v="FL"/>
    <s v="Y"/>
    <n v="556.88"/>
    <n v="111.38"/>
    <x v="12"/>
    <s v="VALIDATED"/>
    <n v="1"/>
    <s v="01.11.80.308.6100.0000"/>
    <n v="556.88"/>
    <s v="11"/>
    <s v="6100"/>
    <n v="34637.12"/>
    <n v="556.88"/>
    <s v="CREDITOR"/>
    <n v="0"/>
    <n v="0"/>
    <n v="0"/>
    <n v="0"/>
    <n v="556.88"/>
  </r>
  <r>
    <n v="59965392"/>
    <s v="N"/>
    <n v="21411482"/>
    <s v="3000014312980005"/>
    <s v="CIVIL"/>
    <d v="2023-06-29T00:00:00"/>
    <d v="2023-07-21T19:03:21"/>
    <m/>
    <d v="2023-07-21T00:00:00"/>
    <n v="1478"/>
    <n v="14784"/>
    <s v="59965392"/>
    <s v="59965392"/>
    <m/>
    <m/>
    <n v="22785326"/>
    <m/>
    <m/>
    <m/>
    <s v="SOLFIN"/>
    <s v="SOLFIN"/>
    <s v="CCMS"/>
    <n v="21411482"/>
    <n v="8695.93"/>
    <m/>
    <s v="N"/>
    <n v="1"/>
    <d v="2023-07-21T19:03:24"/>
    <s v="Y"/>
    <s v="Psychologist"/>
    <s v="Public Law Children"/>
    <s v="Expert Disbursement"/>
    <s v="FL"/>
    <s v="Y"/>
    <n v="1561.44"/>
    <n v="312.29"/>
    <x v="12"/>
    <s v="VALIDATED"/>
    <n v="1"/>
    <s v="01.11.80.308.6300.0000"/>
    <n v="1561.44"/>
    <s v="11"/>
    <s v="6300"/>
    <n v="34637.12"/>
    <n v="1561.44"/>
    <s v="CREDITOR"/>
    <n v="0"/>
    <n v="0"/>
    <n v="0"/>
    <n v="0"/>
    <n v="1561.44"/>
  </r>
  <r>
    <n v="7707783"/>
    <s v="N"/>
    <n v="21381978"/>
    <s v="3000003869410001"/>
    <s v="CIVIL"/>
    <d v="2023-06-26T00:00:00"/>
    <d v="2023-07-17T19:01:46"/>
    <m/>
    <d v="2023-07-17T00:00:00"/>
    <n v="1478"/>
    <n v="14784"/>
    <s v="7707783"/>
    <s v="7707783"/>
    <m/>
    <m/>
    <n v="22760340"/>
    <m/>
    <m/>
    <m/>
    <s v="SOLFIN"/>
    <s v="SOLFIN"/>
    <s v="CCMS"/>
    <n v="21381978"/>
    <n v="0"/>
    <m/>
    <s v="N"/>
    <n v="1"/>
    <d v="2023-07-17T19:01:58"/>
    <s v="N"/>
    <s v="NIL BILL"/>
    <s v="Prescribed Hourly Rates"/>
    <s v="Profit Cost"/>
    <s v="Lorraine King"/>
    <s v="N"/>
    <n v="0"/>
    <n v="0"/>
    <x v="8"/>
    <s v="VALIDATED"/>
    <n v="1"/>
    <s v="01.11.80.305.6100.0000"/>
    <n v="0"/>
    <s v="11"/>
    <s v="6100"/>
    <n v="34637.12"/>
    <n v="0"/>
    <s v="CREDITOR"/>
    <n v="0"/>
    <n v="0"/>
    <n v="0"/>
    <n v="0"/>
    <n v="0"/>
  </r>
  <r>
    <n v="9439840"/>
    <s v="N"/>
    <n v="21328272"/>
    <s v="3000005393230018"/>
    <s v="CIVIL"/>
    <d v="2023-06-22T00:00:00"/>
    <d v="2023-07-04T19:00:44"/>
    <m/>
    <d v="2023-07-04T00:00:00"/>
    <n v="1478"/>
    <n v="14784"/>
    <s v="9439840"/>
    <s v="9439840"/>
    <m/>
    <m/>
    <n v="22748160"/>
    <m/>
    <m/>
    <m/>
    <s v="SOLFIN"/>
    <s v="SOLFIN"/>
    <s v="CCMS"/>
    <n v="21328272"/>
    <n v="16050.11"/>
    <m/>
    <s v="N"/>
    <n v="41"/>
    <d v="2023-07-04T19:01:11"/>
    <s v="N"/>
    <m/>
    <m/>
    <s v="Overall Adjustment"/>
    <m/>
    <s v="N"/>
    <n v="-1027.08"/>
    <n v="-205.42"/>
    <x v="1"/>
    <s v="VALIDATED"/>
    <n v="1"/>
    <s v="01.11.80.308.6100.0000"/>
    <n v="-1027.08"/>
    <s v="11"/>
    <s v="6100"/>
    <n v="34637.12"/>
    <n v="-1027.08"/>
    <s v="CREDITOR"/>
    <n v="0"/>
    <n v="0"/>
    <n v="0"/>
    <n v="0"/>
    <n v="-1027.08"/>
  </r>
  <r>
    <n v="60604153"/>
    <s v="N"/>
    <n v="21349720"/>
    <s v="3000014865530013"/>
    <s v="CIVIL"/>
    <d v="2023-06-26T00:00:00"/>
    <d v="2023-07-10T19:01:40"/>
    <m/>
    <d v="2023-07-10T00:00:00"/>
    <n v="1478"/>
    <n v="14784"/>
    <s v="60604153"/>
    <s v="60604153"/>
    <m/>
    <m/>
    <n v="22763480"/>
    <m/>
    <m/>
    <m/>
    <s v="SOLFIN"/>
    <s v="SOLFIN"/>
    <s v="CCMS"/>
    <n v="21349720"/>
    <n v="6065.07"/>
    <m/>
    <s v="N"/>
    <n v="8"/>
    <d v="2023-07-10T19:01:56"/>
    <s v="Y"/>
    <s v="Advocates Meeting"/>
    <s v="Public Law Children"/>
    <s v="Advocacy"/>
    <s v="JJ"/>
    <s v="Y"/>
    <n v="128.16"/>
    <n v="25.63"/>
    <x v="2"/>
    <s v="VALIDATED"/>
    <n v="1"/>
    <s v="01.11.80.308.6100.0000"/>
    <n v="128.16"/>
    <s v="11"/>
    <s v="6100"/>
    <n v="34637.12"/>
    <n v="128.16"/>
    <s v="CREDITOR"/>
    <n v="0"/>
    <n v="0"/>
    <n v="0"/>
    <n v="0"/>
    <n v="128.16"/>
  </r>
  <r>
    <n v="9439840"/>
    <s v="N"/>
    <n v="21328272"/>
    <s v="3000005393230018"/>
    <s v="CIVIL"/>
    <d v="2023-06-22T00:00:00"/>
    <d v="2023-07-04T19:00:44"/>
    <m/>
    <d v="2023-07-04T00:00:00"/>
    <n v="1478"/>
    <n v="14784"/>
    <s v="9439840"/>
    <s v="9439840"/>
    <m/>
    <m/>
    <n v="22748160"/>
    <m/>
    <m/>
    <m/>
    <s v="SOLFIN"/>
    <s v="SOLFIN"/>
    <s v="CCMS"/>
    <n v="21328272"/>
    <n v="16050.11"/>
    <m/>
    <s v="N"/>
    <n v="23"/>
    <d v="2023-07-04T19:01:11"/>
    <s v="Y"/>
    <s v="Solicitor Travel Expenses"/>
    <s v="Public Law Children"/>
    <s v="Non Expert Disbursement"/>
    <s v="lk"/>
    <s v="Y"/>
    <n v="38.63"/>
    <n v="7.73"/>
    <x v="1"/>
    <s v="VALIDATED"/>
    <n v="1"/>
    <s v="01.11.80.308.6300.0000"/>
    <n v="38.63"/>
    <s v="11"/>
    <s v="6300"/>
    <n v="34637.12"/>
    <n v="38.63"/>
    <s v="CREDITOR"/>
    <n v="0"/>
    <n v="0"/>
    <n v="0"/>
    <n v="0"/>
    <n v="38.63"/>
  </r>
  <r>
    <n v="9439840"/>
    <s v="N"/>
    <n v="21328272"/>
    <s v="3000005393230018"/>
    <s v="CIVIL"/>
    <d v="2023-06-22T00:00:00"/>
    <d v="2023-07-04T19:00:44"/>
    <m/>
    <d v="2023-07-04T00:00:00"/>
    <n v="1478"/>
    <n v="14784"/>
    <s v="9439840"/>
    <s v="9439840"/>
    <m/>
    <m/>
    <n v="22748160"/>
    <m/>
    <m/>
    <m/>
    <s v="SOLFIN"/>
    <s v="SOLFIN"/>
    <s v="CCMS"/>
    <n v="21328272"/>
    <n v="16050.11"/>
    <m/>
    <s v="N"/>
    <n v="36"/>
    <d v="2023-07-04T19:01:11"/>
    <s v="Y"/>
    <s v="Hearing Unit 2.31 - 5.00 Hours"/>
    <s v="Public Law Children"/>
    <s v="Advocacy"/>
    <s v="lk"/>
    <s v="Y"/>
    <n v="572.3200000000001"/>
    <n v="114.46"/>
    <x v="1"/>
    <s v="VALIDATED"/>
    <n v="1"/>
    <s v="01.11.80.308.6100.0000"/>
    <n v="572.3200000000001"/>
    <s v="11"/>
    <s v="6100"/>
    <n v="34637.12"/>
    <n v="572.3200000000001"/>
    <s v="CREDITOR"/>
    <n v="0"/>
    <n v="0"/>
    <n v="0"/>
    <n v="0"/>
    <n v="572.3200000000001"/>
  </r>
  <r>
    <n v="59965392"/>
    <s v="N"/>
    <n v="21411482"/>
    <s v="3000014312980005"/>
    <s v="CIVIL"/>
    <d v="2023-06-29T00:00:00"/>
    <d v="2023-07-21T19:03:21"/>
    <m/>
    <d v="2023-07-21T00:00:00"/>
    <n v="1478"/>
    <n v="14784"/>
    <s v="59965392"/>
    <s v="59965392"/>
    <m/>
    <m/>
    <n v="22785326"/>
    <m/>
    <m/>
    <m/>
    <s v="SOLFIN"/>
    <s v="SOLFIN"/>
    <s v="CCMS"/>
    <n v="21411482"/>
    <n v="8695.93"/>
    <m/>
    <s v="N"/>
    <n v="10"/>
    <d v="2023-07-21T19:03:24"/>
    <s v="Y"/>
    <s v="Advocates Meeting"/>
    <s v="Public Law Children"/>
    <s v="Advocacy"/>
    <s v="FL"/>
    <s v="Y"/>
    <n v="140.99"/>
    <n v="28.2"/>
    <x v="12"/>
    <s v="VALIDATED"/>
    <n v="1"/>
    <s v="01.11.80.308.6100.0000"/>
    <n v="140.99"/>
    <s v="11"/>
    <s v="6100"/>
    <n v="34637.12"/>
    <n v="140.99"/>
    <s v="CREDITOR"/>
    <n v="0"/>
    <n v="0"/>
    <n v="0"/>
    <n v="0"/>
    <n v="140.99"/>
  </r>
  <r>
    <n v="60378819"/>
    <s v="N"/>
    <n v="21327944"/>
    <s v="3000014670030004"/>
    <s v="CIVIL"/>
    <d v="2023-06-22T00:00:00"/>
    <d v="2023-07-04T19:00:44"/>
    <m/>
    <d v="2023-07-04T00:00:00"/>
    <n v="1478"/>
    <n v="14784"/>
    <s v="60378819"/>
    <s v="60378819"/>
    <m/>
    <m/>
    <n v="22748060"/>
    <m/>
    <m/>
    <m/>
    <s v="SOLFIN"/>
    <s v="SOLFIN"/>
    <s v="CCMS"/>
    <n v="21327944"/>
    <n v="5670.28"/>
    <m/>
    <s v="N"/>
    <n v="2"/>
    <d v="2023-07-04T19:00:59"/>
    <s v="Y"/>
    <s v="Psychologist"/>
    <s v="Public Law Children"/>
    <s v="Expert Disbursement"/>
    <s v="LK"/>
    <s v="Y"/>
    <n v="874.5"/>
    <n v="174.9"/>
    <x v="1"/>
    <s v="VALIDATED"/>
    <n v="1"/>
    <s v="01.11.80.308.6300.0000"/>
    <n v="874.5"/>
    <s v="11"/>
    <s v="6300"/>
    <n v="34637.12"/>
    <n v="874.5"/>
    <s v="CREDITOR"/>
    <n v="0"/>
    <n v="0"/>
    <n v="0"/>
    <n v="0"/>
    <n v="874.5"/>
  </r>
  <r>
    <n v="60837128"/>
    <s v="N"/>
    <n v="21328086"/>
    <s v="3000015066830005"/>
    <s v="CIVIL"/>
    <d v="2023-06-22T00:00:00"/>
    <d v="2023-07-04T19:00:44"/>
    <m/>
    <d v="2023-07-04T00:00:00"/>
    <n v="1478"/>
    <n v="14784"/>
    <s v="60837128"/>
    <s v="60837128"/>
    <m/>
    <m/>
    <n v="22748090"/>
    <m/>
    <m/>
    <m/>
    <s v="SOLFIN"/>
    <s v="SOLFIN"/>
    <s v="CCMS"/>
    <n v="21328086"/>
    <n v="6470.38"/>
    <m/>
    <s v="N"/>
    <n v="5"/>
    <d v="2023-07-04T19:01:03"/>
    <s v="Y"/>
    <s v="Toxicologist"/>
    <s v="Public Law Children"/>
    <s v="Expert Disbursement"/>
    <s v="MGT"/>
    <s v="Y"/>
    <n v="265"/>
    <n v="53"/>
    <x v="1"/>
    <s v="VALIDATED"/>
    <n v="1"/>
    <s v="01.11.80.308.6300.0000"/>
    <n v="265"/>
    <s v="11"/>
    <s v="6300"/>
    <n v="34637.12"/>
    <n v="265"/>
    <s v="CREDITOR"/>
    <n v="0"/>
    <n v="0"/>
    <n v="0"/>
    <n v="0"/>
    <n v="265"/>
  </r>
  <r>
    <n v="60378819"/>
    <s v="N"/>
    <n v="21327944"/>
    <s v="3000014670030004"/>
    <s v="CIVIL"/>
    <d v="2023-06-22T00:00:00"/>
    <d v="2023-07-04T19:00:44"/>
    <m/>
    <d v="2023-07-04T00:00:00"/>
    <n v="1478"/>
    <n v="14784"/>
    <s v="60378819"/>
    <s v="60378819"/>
    <m/>
    <m/>
    <n v="22748060"/>
    <m/>
    <m/>
    <m/>
    <s v="SOLFIN"/>
    <s v="SOLFIN"/>
    <s v="CCMS"/>
    <n v="21327944"/>
    <n v="5670.28"/>
    <m/>
    <s v="N"/>
    <n v="7"/>
    <d v="2023-07-04T19:00:59"/>
    <s v="Y"/>
    <s v="Advocates Meeting"/>
    <s v="Public Law Children"/>
    <s v="Advocacy"/>
    <s v="JJ"/>
    <s v="Y"/>
    <n v="140.99"/>
    <n v="28.2"/>
    <x v="1"/>
    <s v="VALIDATED"/>
    <n v="1"/>
    <s v="01.11.80.308.6100.0000"/>
    <n v="140.99"/>
    <s v="11"/>
    <s v="6100"/>
    <n v="34637.12"/>
    <n v="140.99"/>
    <s v="CREDITOR"/>
    <n v="0"/>
    <n v="0"/>
    <n v="0"/>
    <n v="0"/>
    <n v="140.99"/>
  </r>
  <r>
    <n v="9439840"/>
    <s v="N"/>
    <n v="21328272"/>
    <s v="3000005393230018"/>
    <s v="CIVIL"/>
    <d v="2023-06-22T00:00:00"/>
    <d v="2023-07-04T19:00:44"/>
    <m/>
    <d v="2023-07-04T00:00:00"/>
    <n v="1478"/>
    <n v="14784"/>
    <s v="9439840"/>
    <s v="9439840"/>
    <m/>
    <m/>
    <n v="22748160"/>
    <m/>
    <m/>
    <m/>
    <s v="SOLFIN"/>
    <s v="SOLFIN"/>
    <s v="CCMS"/>
    <n v="21328272"/>
    <n v="16050.11"/>
    <m/>
    <s v="N"/>
    <n v="39"/>
    <d v="2023-07-04T19:01:11"/>
    <s v="Y"/>
    <s v="Hearing Unit 1.01 - 2.30 Hours"/>
    <s v="Public Law Children"/>
    <s v="Advocacy"/>
    <s v="LK"/>
    <s v="Y"/>
    <n v="286.16"/>
    <n v="57.23"/>
    <x v="1"/>
    <s v="VALIDATED"/>
    <n v="1"/>
    <s v="01.11.80.308.6100.0000"/>
    <n v="286.16"/>
    <s v="11"/>
    <s v="6100"/>
    <n v="34637.12"/>
    <n v="286.16"/>
    <s v="CREDITOR"/>
    <n v="0"/>
    <n v="0"/>
    <n v="0"/>
    <n v="0"/>
    <n v="286.16"/>
  </r>
  <r>
    <n v="60895857"/>
    <s v="N"/>
    <n v="21330752"/>
    <s v="3000015118040003"/>
    <s v="CIVIL"/>
    <d v="2023-06-22T00:00:00"/>
    <d v="2023-07-05T19:01:47"/>
    <m/>
    <d v="2023-07-05T00:00:00"/>
    <n v="1478"/>
    <n v="14784"/>
    <s v="60895857"/>
    <s v="60895857"/>
    <m/>
    <m/>
    <n v="22748132"/>
    <m/>
    <m/>
    <m/>
    <s v="SOLFIN"/>
    <s v="SOLFIN"/>
    <s v="CCMS"/>
    <n v="21330752"/>
    <n v="5937.3"/>
    <m/>
    <s v="N"/>
    <n v="5"/>
    <d v="2023-07-05T19:01:54"/>
    <s v="Y"/>
    <s v="Hearing Unit 2.31 - 5.00 Hours"/>
    <s v="Public Law Children"/>
    <s v="Advocacy"/>
    <s v="JJ"/>
    <s v="Y"/>
    <n v="476.92"/>
    <n v="95.38"/>
    <x v="6"/>
    <s v="VALIDATED"/>
    <n v="1"/>
    <s v="01.11.80.308.6100.0000"/>
    <n v="476.92"/>
    <s v="11"/>
    <s v="6100"/>
    <n v="34637.12"/>
    <n v="476.92"/>
    <s v="CREDITOR"/>
    <n v="0"/>
    <n v="0"/>
    <n v="0"/>
    <n v="0"/>
    <n v="476.92"/>
  </r>
  <r>
    <n v="59965392"/>
    <s v="N"/>
    <n v="21411482"/>
    <s v="3000014312980005"/>
    <s v="CIVIL"/>
    <d v="2023-06-29T00:00:00"/>
    <d v="2023-07-21T19:03:21"/>
    <m/>
    <d v="2023-07-21T00:00:00"/>
    <n v="1478"/>
    <n v="14784"/>
    <s v="59965392"/>
    <s v="59965392"/>
    <m/>
    <m/>
    <n v="22785326"/>
    <m/>
    <m/>
    <m/>
    <s v="SOLFIN"/>
    <s v="SOLFIN"/>
    <s v="CCMS"/>
    <n v="21411482"/>
    <n v="8695.93"/>
    <m/>
    <s v="N"/>
    <n v="9"/>
    <d v="2023-07-21T19:03:24"/>
    <s v="Y"/>
    <s v="Hearing Unit 2.31 - 5.00 Hours"/>
    <s v="Public Law Children"/>
    <s v="Advocacy"/>
    <s v="MF"/>
    <s v="Y"/>
    <n v="476.92"/>
    <n v="95.38"/>
    <x v="12"/>
    <s v="VALIDATED"/>
    <n v="1"/>
    <s v="01.11.80.308.6100.0000"/>
    <n v="476.92"/>
    <s v="11"/>
    <s v="6100"/>
    <n v="34637.12"/>
    <n v="476.92"/>
    <s v="CREDITOR"/>
    <n v="0"/>
    <n v="0"/>
    <n v="0"/>
    <n v="0"/>
    <n v="476.92"/>
  </r>
  <r>
    <n v="62154366"/>
    <s v="N"/>
    <n v="21392449"/>
    <s v="3000016172060001"/>
    <s v="CIVIL"/>
    <d v="2023-06-26T00:00:00"/>
    <d v="2023-07-18T19:00:27"/>
    <m/>
    <d v="2023-07-18T00:00:00"/>
    <n v="1478"/>
    <n v="14784"/>
    <s v="62154366"/>
    <s v="62154366"/>
    <m/>
    <m/>
    <n v="22760956"/>
    <m/>
    <m/>
    <m/>
    <s v="SOLFIN"/>
    <s v="SOLFIN"/>
    <s v="CCMS"/>
    <n v="21392449"/>
    <n v="950.26"/>
    <m/>
    <s v="N"/>
    <n v="10"/>
    <d v="2023-07-18T19:00:50"/>
    <s v="Y"/>
    <s v="Final Hearing - 1 Day"/>
    <s v="Other Public Law Children"/>
    <s v="Advocacy"/>
    <s v="MGT"/>
    <s v="Y"/>
    <n v="510.75"/>
    <n v="102.15"/>
    <x v="14"/>
    <s v="VALIDATED"/>
    <n v="1"/>
    <s v="01.11.80.308.6100.0000"/>
    <n v="510.75"/>
    <s v="11"/>
    <s v="6100"/>
    <n v="34637.12"/>
    <n v="510.75"/>
    <s v="CREDITOR"/>
    <n v="0"/>
    <n v="0"/>
    <n v="0"/>
    <n v="0"/>
    <n v="510.75"/>
  </r>
  <r>
    <n v="9439840"/>
    <s v="N"/>
    <n v="21328272"/>
    <s v="3000005393230018"/>
    <s v="CIVIL"/>
    <d v="2023-06-22T00:00:00"/>
    <d v="2023-07-04T19:00:44"/>
    <m/>
    <d v="2023-07-04T00:00:00"/>
    <n v="1478"/>
    <n v="14784"/>
    <s v="9439840"/>
    <s v="9439840"/>
    <m/>
    <m/>
    <n v="22748160"/>
    <m/>
    <m/>
    <m/>
    <s v="SOLFIN"/>
    <s v="SOLFIN"/>
    <s v="CCMS"/>
    <n v="21328272"/>
    <n v="16050.11"/>
    <m/>
    <s v="N"/>
    <n v="32"/>
    <d v="2023-07-04T19:01:11"/>
    <s v="Y"/>
    <s v="Hearing Unit 5.01 - 7.30 Hours"/>
    <s v="Public Law Children"/>
    <s v="Advocacy"/>
    <s v="lk"/>
    <s v="Y"/>
    <n v="858.48"/>
    <n v="171.7"/>
    <x v="1"/>
    <s v="VALIDATED"/>
    <n v="1"/>
    <s v="01.11.80.308.6100.0000"/>
    <n v="858.48"/>
    <s v="11"/>
    <s v="6100"/>
    <n v="34637.12"/>
    <n v="858.48"/>
    <s v="CREDITOR"/>
    <n v="0"/>
    <n v="0"/>
    <n v="0"/>
    <n v="0"/>
    <n v="858.48"/>
  </r>
  <r>
    <n v="9439840"/>
    <s v="N"/>
    <n v="21328272"/>
    <s v="3000005393230018"/>
    <s v="CIVIL"/>
    <d v="2023-06-22T00:00:00"/>
    <d v="2023-07-04T19:00:44"/>
    <m/>
    <d v="2023-07-04T00:00:00"/>
    <n v="1478"/>
    <n v="14784"/>
    <s v="9439840"/>
    <s v="9439840"/>
    <m/>
    <m/>
    <n v="22748160"/>
    <m/>
    <m/>
    <m/>
    <s v="SOLFIN"/>
    <s v="SOLFIN"/>
    <s v="CCMS"/>
    <n v="21328272"/>
    <n v="16050.11"/>
    <m/>
    <s v="N"/>
    <n v="9"/>
    <d v="2023-07-04T19:01:11"/>
    <s v="N"/>
    <s v="Exceptional Travel"/>
    <s v="Public Law Children"/>
    <s v="Advocacy"/>
    <s v="lk"/>
    <s v="N"/>
    <n v="32.04"/>
    <n v="6.41"/>
    <x v="1"/>
    <s v="VALIDATED"/>
    <n v="1"/>
    <s v="01.11.80.308.6100.0000"/>
    <n v="32.04"/>
    <s v="11"/>
    <s v="6100"/>
    <n v="34637.12"/>
    <n v="32.04"/>
    <s v="CREDITOR"/>
    <n v="0"/>
    <n v="0"/>
    <n v="0"/>
    <n v="0"/>
    <n v="32.04"/>
  </r>
  <r>
    <n v="60604153"/>
    <s v="N"/>
    <n v="21349720"/>
    <s v="3000014865530013"/>
    <s v="CIVIL"/>
    <d v="2023-06-26T00:00:00"/>
    <d v="2023-07-10T19:01:40"/>
    <m/>
    <d v="2023-07-10T00:00:00"/>
    <n v="1478"/>
    <n v="14784"/>
    <s v="60604153"/>
    <s v="60604153"/>
    <m/>
    <m/>
    <n v="22763480"/>
    <m/>
    <m/>
    <m/>
    <s v="SOLFIN"/>
    <s v="SOLFIN"/>
    <s v="CCMS"/>
    <n v="21349720"/>
    <n v="6065.07"/>
    <m/>
    <s v="N"/>
    <n v="1"/>
    <d v="2023-07-10T19:01:56"/>
    <s v="Y"/>
    <s v="Toxicologist"/>
    <s v="Public Law Children"/>
    <s v="Expert Disbursement"/>
    <s v="jj"/>
    <s v="Y"/>
    <n v="374.5"/>
    <n v="74.90000000000001"/>
    <x v="2"/>
    <s v="VALIDATED"/>
    <n v="1"/>
    <s v="01.11.80.308.6300.0000"/>
    <n v="374.5"/>
    <s v="11"/>
    <s v="6300"/>
    <n v="34637.12"/>
    <n v="374.5"/>
    <s v="CREDITOR"/>
    <n v="0"/>
    <n v="0"/>
    <n v="0"/>
    <n v="0"/>
    <n v="374.5"/>
  </r>
  <r>
    <n v="60604153"/>
    <s v="N"/>
    <n v="21349720"/>
    <s v="3000014865530013"/>
    <s v="CIVIL"/>
    <d v="2023-06-26T00:00:00"/>
    <d v="2023-07-10T19:01:40"/>
    <m/>
    <d v="2023-07-10T00:00:00"/>
    <n v="1478"/>
    <n v="14784"/>
    <s v="60604153"/>
    <s v="60604153"/>
    <m/>
    <m/>
    <n v="22763480"/>
    <m/>
    <m/>
    <m/>
    <s v="SOLFIN"/>
    <s v="SOLFIN"/>
    <s v="CCMS"/>
    <n v="21349720"/>
    <n v="6065.07"/>
    <m/>
    <s v="N"/>
    <n v="6"/>
    <d v="2023-07-10T19:01:56"/>
    <s v="Y"/>
    <s v="Toxicologist"/>
    <s v="Public Law Children"/>
    <s v="Expert Disbursement"/>
    <s v="jj"/>
    <s v="Y"/>
    <n v="350.75"/>
    <n v="70.15000000000001"/>
    <x v="2"/>
    <s v="VALIDATED"/>
    <n v="1"/>
    <s v="01.11.80.308.6300.0000"/>
    <n v="350.75"/>
    <s v="11"/>
    <s v="6300"/>
    <n v="34637.12"/>
    <n v="350.75"/>
    <s v="CREDITOR"/>
    <n v="0"/>
    <n v="0"/>
    <n v="0"/>
    <n v="0"/>
    <n v="350.75"/>
  </r>
  <r>
    <n v="9439840"/>
    <s v="N"/>
    <n v="21328272"/>
    <s v="3000005393230018"/>
    <s v="CIVIL"/>
    <d v="2023-06-22T00:00:00"/>
    <d v="2023-07-04T19:00:44"/>
    <m/>
    <d v="2023-07-04T00:00:00"/>
    <n v="1478"/>
    <n v="14784"/>
    <s v="9439840"/>
    <s v="9439840"/>
    <m/>
    <m/>
    <n v="22748160"/>
    <m/>
    <m/>
    <m/>
    <s v="SOLFIN"/>
    <s v="SOLFIN"/>
    <s v="CCMS"/>
    <n v="21328272"/>
    <n v="16050.11"/>
    <m/>
    <s v="N"/>
    <n v="10"/>
    <d v="2023-07-04T19:01:11"/>
    <s v="N"/>
    <s v="Exceptional Travel"/>
    <s v="Public Law Children"/>
    <s v="Advocacy"/>
    <s v="lk"/>
    <s v="N"/>
    <n v="32.04"/>
    <n v="6.41"/>
    <x v="1"/>
    <s v="VALIDATED"/>
    <n v="1"/>
    <s v="01.11.80.308.6100.0000"/>
    <n v="32.04"/>
    <s v="11"/>
    <s v="6100"/>
    <n v="34637.12"/>
    <n v="32.04"/>
    <s v="CREDITOR"/>
    <n v="0"/>
    <n v="0"/>
    <n v="0"/>
    <n v="0"/>
    <n v="32.04"/>
  </r>
  <r>
    <n v="62154366"/>
    <s v="N"/>
    <n v="21392449"/>
    <s v="3000016172060001"/>
    <s v="CIVIL"/>
    <d v="2023-06-26T00:00:00"/>
    <d v="2023-07-18T19:00:27"/>
    <m/>
    <d v="2023-07-18T00:00:00"/>
    <n v="1478"/>
    <n v="14784"/>
    <s v="62154366"/>
    <s v="62154366"/>
    <m/>
    <m/>
    <n v="22760956"/>
    <m/>
    <m/>
    <m/>
    <s v="SOLFIN"/>
    <s v="SOLFIN"/>
    <s v="CCMS"/>
    <n v="21392449"/>
    <n v="950.26"/>
    <m/>
    <s v="N"/>
    <n v="7"/>
    <d v="2023-07-18T19:00:50"/>
    <s v="Y"/>
    <s v="Routine Letter Out"/>
    <s v="Care Remuneration Hourly Rates"/>
    <s v="Profit Cost"/>
    <s v="AG"/>
    <s v="Y"/>
    <n v="3.69"/>
    <n v="0.74"/>
    <x v="14"/>
    <s v="VALIDATED"/>
    <n v="1"/>
    <s v="01.11.80.308.6100.0000"/>
    <n v="3.69"/>
    <s v="11"/>
    <s v="6100"/>
    <n v="34637.12"/>
    <n v="3.69"/>
    <s v="CREDITOR"/>
    <n v="0"/>
    <n v="0"/>
    <n v="0"/>
    <n v="0"/>
    <n v="3.69"/>
  </r>
  <r>
    <n v="9439840"/>
    <s v="N"/>
    <n v="21328272"/>
    <s v="3000005393230018"/>
    <s v="CIVIL"/>
    <d v="2023-06-22T00:00:00"/>
    <d v="2023-07-04T19:00:44"/>
    <m/>
    <d v="2023-07-04T00:00:00"/>
    <n v="1478"/>
    <n v="14784"/>
    <s v="9439840"/>
    <s v="9439840"/>
    <m/>
    <m/>
    <n v="22748160"/>
    <m/>
    <m/>
    <m/>
    <s v="SOLFIN"/>
    <s v="SOLFIN"/>
    <s v="CCMS"/>
    <n v="21328272"/>
    <n v="16050.11"/>
    <m/>
    <s v="N"/>
    <n v="33"/>
    <d v="2023-07-04T19:01:11"/>
    <s v="Y"/>
    <s v="Hearing Unit 2.31 - 5.00 Hours"/>
    <s v="Public Law Children"/>
    <s v="Advocacy"/>
    <s v="fl"/>
    <s v="Y"/>
    <n v="572.3200000000001"/>
    <n v="114.46"/>
    <x v="1"/>
    <s v="VALIDATED"/>
    <n v="1"/>
    <s v="01.11.80.308.6100.0000"/>
    <n v="572.3200000000001"/>
    <s v="11"/>
    <s v="6100"/>
    <n v="34637.12"/>
    <n v="572.3200000000001"/>
    <s v="CREDITOR"/>
    <n v="0"/>
    <n v="0"/>
    <n v="0"/>
    <n v="0"/>
    <n v="572.3200000000001"/>
  </r>
  <r>
    <n v="62154366"/>
    <s v="N"/>
    <n v="21392449"/>
    <s v="3000016172060001"/>
    <s v="CIVIL"/>
    <d v="2023-06-26T00:00:00"/>
    <d v="2023-07-18T19:00:27"/>
    <m/>
    <d v="2023-07-18T00:00:00"/>
    <n v="1478"/>
    <n v="14784"/>
    <s v="62154366"/>
    <s v="62154366"/>
    <m/>
    <m/>
    <n v="22760956"/>
    <m/>
    <m/>
    <m/>
    <s v="SOLFIN"/>
    <s v="SOLFIN"/>
    <s v="CCMS"/>
    <n v="21392449"/>
    <n v="950.26"/>
    <m/>
    <s v="N"/>
    <n v="4"/>
    <d v="2023-07-18T19:00:50"/>
    <s v="Y"/>
    <s v="Routine Letter In"/>
    <s v="Care Remuneration Hourly Rates"/>
    <s v="Profit Cost"/>
    <s v="MGT"/>
    <s v="Y"/>
    <n v="93.61"/>
    <n v="18.72"/>
    <x v="14"/>
    <s v="VALIDATED"/>
    <n v="1"/>
    <s v="01.11.80.308.6100.0000"/>
    <n v="93.61"/>
    <s v="11"/>
    <s v="6100"/>
    <n v="34637.12"/>
    <n v="93.61"/>
    <s v="CREDITOR"/>
    <n v="0"/>
    <n v="0"/>
    <n v="0"/>
    <n v="0"/>
    <n v="93.61"/>
  </r>
  <r>
    <n v="61629601"/>
    <s v="N"/>
    <n v="21338570"/>
    <s v="3000015733960005"/>
    <s v="CIVIL"/>
    <d v="2023-06-26T00:00:00"/>
    <d v="2023-07-06T19:21:01"/>
    <m/>
    <d v="2023-07-06T00:00:00"/>
    <n v="1478"/>
    <n v="14784"/>
    <s v="61629601"/>
    <s v="61629601"/>
    <m/>
    <m/>
    <n v="22763542"/>
    <m/>
    <m/>
    <m/>
    <s v="SOLFIN"/>
    <s v="SOLFIN"/>
    <s v="CCMS"/>
    <n v="21338570"/>
    <n v="3650.75"/>
    <m/>
    <s v="N"/>
    <n v="4"/>
    <d v="2023-07-06T19:21:28"/>
    <s v="Y"/>
    <s v="Solicitors Fixed Fee"/>
    <s v="Public Law Children"/>
    <s v="Profit Cost"/>
    <s v="JJ"/>
    <s v="Y"/>
    <n v="2616"/>
    <n v="523.2"/>
    <x v="4"/>
    <s v="VALIDATED"/>
    <n v="1"/>
    <s v="01.11.80.308.6100.0000"/>
    <n v="2616"/>
    <s v="11"/>
    <s v="6100"/>
    <n v="34637.12"/>
    <n v="2616"/>
    <s v="CREDITOR"/>
    <n v="0"/>
    <n v="0"/>
    <n v="0"/>
    <n v="0"/>
    <n v="2616"/>
  </r>
  <r>
    <n v="60378819"/>
    <s v="N"/>
    <n v="21327944"/>
    <s v="3000014670030004"/>
    <s v="CIVIL"/>
    <d v="2023-06-22T00:00:00"/>
    <d v="2023-07-04T19:00:44"/>
    <m/>
    <d v="2023-07-04T00:00:00"/>
    <n v="1478"/>
    <n v="14784"/>
    <s v="60378819"/>
    <s v="60378819"/>
    <m/>
    <m/>
    <n v="22748060"/>
    <m/>
    <m/>
    <m/>
    <s v="SOLFIN"/>
    <s v="SOLFIN"/>
    <s v="CCMS"/>
    <n v="21327944"/>
    <n v="5670.28"/>
    <m/>
    <s v="N"/>
    <n v="1"/>
    <d v="2023-07-04T19:00:59"/>
    <s v="Y"/>
    <s v="Solicitor Travel Mileage"/>
    <s v="Public Law Children"/>
    <s v="Non Expert Disbursement"/>
    <s v="LK"/>
    <s v="Y"/>
    <n v="3.33"/>
    <n v="0.67"/>
    <x v="1"/>
    <s v="VALIDATED"/>
    <n v="1"/>
    <s v="01.11.80.308.6300.0000"/>
    <n v="3.33"/>
    <s v="11"/>
    <s v="6300"/>
    <n v="34637.12"/>
    <n v="3.33"/>
    <s v="CREDITOR"/>
    <n v="0"/>
    <n v="0"/>
    <n v="0"/>
    <n v="0"/>
    <n v="3.33"/>
  </r>
  <r>
    <n v="59965392"/>
    <s v="N"/>
    <n v="21411482"/>
    <s v="3000014312980005"/>
    <s v="CIVIL"/>
    <d v="2023-06-29T00:00:00"/>
    <d v="2023-07-21T19:03:21"/>
    <m/>
    <d v="2023-07-21T00:00:00"/>
    <n v="1478"/>
    <n v="14784"/>
    <s v="59965392"/>
    <s v="59965392"/>
    <m/>
    <m/>
    <n v="22785326"/>
    <m/>
    <m/>
    <m/>
    <s v="SOLFIN"/>
    <s v="SOLFIN"/>
    <s v="CCMS"/>
    <n v="21411482"/>
    <n v="8695.93"/>
    <m/>
    <s v="N"/>
    <n v="6"/>
    <d v="2023-07-21T19:03:24"/>
    <s v="Y"/>
    <s v="Hearing Unit 1.01 - 2.30 Hours"/>
    <s v="Public Law Children"/>
    <s v="Advocacy"/>
    <s v="FL"/>
    <s v="Y"/>
    <n v="238.46"/>
    <n v="47.69"/>
    <x v="12"/>
    <s v="VALIDATED"/>
    <n v="1"/>
    <s v="01.11.80.308.6100.0000"/>
    <n v="238.46"/>
    <s v="11"/>
    <s v="6100"/>
    <n v="34637.12"/>
    <n v="238.46"/>
    <s v="CREDITOR"/>
    <n v="0"/>
    <n v="0"/>
    <n v="0"/>
    <n v="0"/>
    <n v="238.46"/>
  </r>
  <r>
    <n v="9439840"/>
    <s v="N"/>
    <n v="21328272"/>
    <s v="3000005393230018"/>
    <s v="CIVIL"/>
    <d v="2023-06-22T00:00:00"/>
    <d v="2023-07-04T19:00:44"/>
    <m/>
    <d v="2023-07-04T00:00:00"/>
    <n v="1478"/>
    <n v="14784"/>
    <s v="9439840"/>
    <s v="9439840"/>
    <m/>
    <m/>
    <n v="22748160"/>
    <m/>
    <m/>
    <m/>
    <s v="SOLFIN"/>
    <s v="SOLFIN"/>
    <s v="CCMS"/>
    <n v="21328272"/>
    <n v="16050.11"/>
    <m/>
    <s v="N"/>
    <n v="38"/>
    <d v="2023-07-04T19:01:11"/>
    <s v="Y"/>
    <s v="Final Hearing - 5 Days"/>
    <s v="Public Law Children"/>
    <s v="Advocacy"/>
    <s v="LK"/>
    <s v="Y"/>
    <n v="3341.25"/>
    <n v="668.25"/>
    <x v="1"/>
    <s v="VALIDATED"/>
    <n v="1"/>
    <s v="01.11.80.308.6100.0000"/>
    <n v="3341.25"/>
    <s v="11"/>
    <s v="6100"/>
    <n v="34637.12"/>
    <n v="3341.25"/>
    <s v="CREDITOR"/>
    <n v="0"/>
    <n v="0"/>
    <n v="0"/>
    <n v="0"/>
    <n v="3341.25"/>
  </r>
  <r>
    <n v="61629601"/>
    <s v="N"/>
    <n v="21338570"/>
    <s v="3000015733960005"/>
    <s v="CIVIL"/>
    <d v="2023-06-26T00:00:00"/>
    <d v="2023-07-06T19:21:01"/>
    <m/>
    <d v="2023-07-06T00:00:00"/>
    <n v="1478"/>
    <n v="14784"/>
    <s v="61629601"/>
    <s v="61629601"/>
    <m/>
    <m/>
    <n v="22763542"/>
    <m/>
    <m/>
    <m/>
    <s v="SOLFIN"/>
    <s v="SOLFIN"/>
    <s v="CCMS"/>
    <n v="21338570"/>
    <n v="3650.75"/>
    <m/>
    <s v="N"/>
    <n v="2"/>
    <d v="2023-07-06T19:21:28"/>
    <s v="Y"/>
    <s v="Interpreter"/>
    <s v="Public Law Children"/>
    <s v="Expert Disbursement"/>
    <s v="JJ"/>
    <s v="Y"/>
    <n v="84"/>
    <n v="16.8"/>
    <x v="4"/>
    <s v="VALIDATED"/>
    <n v="1"/>
    <s v="01.11.80.308.6300.0000"/>
    <n v="84"/>
    <s v="11"/>
    <s v="6300"/>
    <n v="34637.12"/>
    <n v="84"/>
    <s v="CREDITOR"/>
    <n v="0"/>
    <n v="0"/>
    <n v="0"/>
    <n v="0"/>
    <n v="84"/>
  </r>
  <r>
    <n v="60604153"/>
    <s v="N"/>
    <n v="21349720"/>
    <s v="3000014865530013"/>
    <s v="CIVIL"/>
    <d v="2023-06-26T00:00:00"/>
    <d v="2023-07-10T19:01:40"/>
    <m/>
    <d v="2023-07-10T00:00:00"/>
    <n v="1478"/>
    <n v="14784"/>
    <s v="60604153"/>
    <s v="60604153"/>
    <m/>
    <m/>
    <n v="22763480"/>
    <m/>
    <m/>
    <m/>
    <s v="SOLFIN"/>
    <s v="SOLFIN"/>
    <s v="CCMS"/>
    <n v="21349720"/>
    <n v="6065.07"/>
    <m/>
    <s v="N"/>
    <n v="5"/>
    <d v="2023-07-10T19:01:56"/>
    <s v="Y"/>
    <s v="Toxicologist"/>
    <s v="Public Law Children"/>
    <s v="Expert Disbursement"/>
    <s v="jj"/>
    <s v="Y"/>
    <n v="475.25"/>
    <n v="95.05"/>
    <x v="2"/>
    <s v="VALIDATED"/>
    <n v="1"/>
    <s v="01.11.80.308.6300.0000"/>
    <n v="475.25"/>
    <s v="11"/>
    <s v="6300"/>
    <n v="34637.12"/>
    <n v="475.25"/>
    <s v="CREDITOR"/>
    <n v="0"/>
    <n v="0"/>
    <n v="0"/>
    <n v="0"/>
    <n v="475.25"/>
  </r>
  <r>
    <n v="60378819"/>
    <s v="N"/>
    <n v="21327944"/>
    <s v="3000014670030004"/>
    <s v="CIVIL"/>
    <d v="2023-06-22T00:00:00"/>
    <d v="2023-07-04T19:00:44"/>
    <m/>
    <d v="2023-07-04T00:00:00"/>
    <n v="1478"/>
    <n v="14784"/>
    <s v="60378819"/>
    <s v="60378819"/>
    <m/>
    <m/>
    <n v="22748060"/>
    <m/>
    <m/>
    <m/>
    <s v="SOLFIN"/>
    <s v="SOLFIN"/>
    <s v="CCMS"/>
    <n v="21327944"/>
    <n v="5670.28"/>
    <m/>
    <s v="N"/>
    <n v="3"/>
    <d v="2023-07-04T19:00:59"/>
    <s v="Y"/>
    <s v="Court Fee"/>
    <s v="Public Law Children"/>
    <s v="Non Expert Disbursement"/>
    <s v="LK"/>
    <s v="Y"/>
    <n v="167"/>
    <n v="0"/>
    <x v="1"/>
    <s v="VALIDATED"/>
    <n v="1"/>
    <s v="01.11.80.308.6300.0000"/>
    <n v="167"/>
    <s v="11"/>
    <s v="6300"/>
    <n v="34637.12"/>
    <n v="167"/>
    <s v="CREDITOR"/>
    <n v="0"/>
    <n v="0"/>
    <n v="0"/>
    <n v="0"/>
    <n v="167"/>
  </r>
  <r>
    <n v="9439840"/>
    <s v="N"/>
    <n v="21328272"/>
    <s v="3000005393230018"/>
    <s v="CIVIL"/>
    <d v="2023-06-22T00:00:00"/>
    <d v="2023-07-04T19:00:44"/>
    <m/>
    <d v="2023-07-04T00:00:00"/>
    <n v="1478"/>
    <n v="14784"/>
    <s v="9439840"/>
    <s v="9439840"/>
    <m/>
    <m/>
    <n v="22748160"/>
    <m/>
    <m/>
    <m/>
    <s v="SOLFIN"/>
    <s v="SOLFIN"/>
    <s v="CCMS"/>
    <n v="21328272"/>
    <n v="16050.11"/>
    <m/>
    <s v="N"/>
    <n v="35"/>
    <d v="2023-07-04T19:01:11"/>
    <s v="Y"/>
    <s v="Advocates Meeting"/>
    <s v="Public Law Children"/>
    <s v="Advocacy"/>
    <s v="LK"/>
    <s v="Y"/>
    <n v="169.2"/>
    <n v="33.84"/>
    <x v="1"/>
    <s v="VALIDATED"/>
    <n v="1"/>
    <s v="01.11.80.308.6100.0000"/>
    <n v="169.2"/>
    <s v="11"/>
    <s v="6100"/>
    <n v="34637.12"/>
    <n v="169.2"/>
    <s v="CREDITOR"/>
    <n v="0"/>
    <n v="0"/>
    <n v="0"/>
    <n v="0"/>
    <n v="169.2"/>
  </r>
  <r>
    <n v="60895857"/>
    <s v="N"/>
    <n v="21330752"/>
    <s v="3000015118040003"/>
    <s v="CIVIL"/>
    <d v="2023-06-22T00:00:00"/>
    <d v="2023-07-05T19:01:47"/>
    <m/>
    <d v="2023-07-05T00:00:00"/>
    <n v="1478"/>
    <n v="14784"/>
    <s v="60895857"/>
    <s v="60895857"/>
    <m/>
    <m/>
    <n v="22748132"/>
    <m/>
    <m/>
    <m/>
    <s v="SOLFIN"/>
    <s v="SOLFIN"/>
    <s v="CCMS"/>
    <n v="21330752"/>
    <n v="5937.3"/>
    <m/>
    <s v="N"/>
    <n v="3"/>
    <d v="2023-07-05T19:01:54"/>
    <s v="Y"/>
    <s v="Hearing Unit 2.31 - 5.00 Hours"/>
    <s v="Public Law Children"/>
    <s v="Advocacy"/>
    <s v="JJ"/>
    <s v="Y"/>
    <n v="476.92"/>
    <n v="95.38"/>
    <x v="6"/>
    <s v="VALIDATED"/>
    <n v="1"/>
    <s v="01.11.80.308.6100.0000"/>
    <n v="476.92"/>
    <s v="11"/>
    <s v="6100"/>
    <n v="34637.12"/>
    <n v="476.92"/>
    <s v="CREDITOR"/>
    <n v="0"/>
    <n v="0"/>
    <n v="0"/>
    <n v="0"/>
    <n v="476.92"/>
  </r>
  <r>
    <n v="9439840"/>
    <s v="N"/>
    <n v="21328272"/>
    <s v="3000005393230018"/>
    <s v="CIVIL"/>
    <d v="2023-06-22T00:00:00"/>
    <d v="2023-07-04T19:00:44"/>
    <m/>
    <d v="2023-07-04T00:00:00"/>
    <n v="1478"/>
    <n v="14784"/>
    <s v="9439840"/>
    <s v="9439840"/>
    <m/>
    <m/>
    <n v="22748160"/>
    <m/>
    <m/>
    <m/>
    <s v="SOLFIN"/>
    <s v="SOLFIN"/>
    <s v="CCMS"/>
    <n v="21328272"/>
    <n v="16050.11"/>
    <m/>
    <s v="N"/>
    <n v="1"/>
    <d v="2023-07-04T19:01:11"/>
    <s v="N"/>
    <s v="Exceptional Travel"/>
    <s v="Public Law Children"/>
    <s v="Advocacy"/>
    <s v="lk"/>
    <s v="N"/>
    <n v="32.04"/>
    <n v="6.41"/>
    <x v="1"/>
    <s v="VALIDATED"/>
    <n v="1"/>
    <s v="01.11.80.308.6100.0000"/>
    <n v="32.04"/>
    <s v="11"/>
    <s v="6100"/>
    <n v="34637.12"/>
    <n v="32.04"/>
    <s v="CREDITOR"/>
    <n v="0"/>
    <n v="0"/>
    <n v="0"/>
    <n v="0"/>
    <n v="32.04"/>
  </r>
  <r>
    <n v="60378819"/>
    <s v="N"/>
    <n v="21327944"/>
    <s v="3000014670030004"/>
    <s v="CIVIL"/>
    <d v="2023-06-22T00:00:00"/>
    <d v="2023-07-04T19:00:44"/>
    <m/>
    <d v="2023-07-04T00:00:00"/>
    <n v="1478"/>
    <n v="14784"/>
    <s v="60378819"/>
    <s v="60378819"/>
    <m/>
    <m/>
    <n v="22748060"/>
    <m/>
    <m/>
    <m/>
    <s v="SOLFIN"/>
    <s v="SOLFIN"/>
    <s v="CCMS"/>
    <n v="21327944"/>
    <n v="5670.28"/>
    <m/>
    <s v="N"/>
    <n v="4"/>
    <d v="2023-07-04T19:00:59"/>
    <s v="Y"/>
    <s v="Final Hearing - 1 Day"/>
    <s v="Public Law Children"/>
    <s v="Advocacy"/>
    <s v="LK"/>
    <s v="Y"/>
    <n v="556.88"/>
    <n v="111.38"/>
    <x v="1"/>
    <s v="VALIDATED"/>
    <n v="1"/>
    <s v="01.11.80.308.6100.0000"/>
    <n v="556.88"/>
    <s v="11"/>
    <s v="6100"/>
    <n v="34637.12"/>
    <n v="556.88"/>
    <s v="CREDITOR"/>
    <n v="0"/>
    <n v="0"/>
    <n v="0"/>
    <n v="0"/>
    <n v="556.88"/>
  </r>
  <r>
    <n v="9439840"/>
    <s v="N"/>
    <n v="21328272"/>
    <s v="3000005393230018"/>
    <s v="CIVIL"/>
    <d v="2023-06-22T00:00:00"/>
    <d v="2023-07-04T19:00:44"/>
    <m/>
    <d v="2023-07-04T00:00:00"/>
    <n v="1478"/>
    <n v="14784"/>
    <s v="9439840"/>
    <s v="9439840"/>
    <m/>
    <m/>
    <n v="22748160"/>
    <m/>
    <m/>
    <m/>
    <s v="SOLFIN"/>
    <s v="SOLFIN"/>
    <s v="CCMS"/>
    <n v="21328272"/>
    <n v="16050.11"/>
    <m/>
    <s v="N"/>
    <n v="25"/>
    <d v="2023-07-04T19:01:11"/>
    <s v="Y"/>
    <s v="Solicitor Travel Expenses"/>
    <s v="Public Law Children"/>
    <s v="Non Expert Disbursement"/>
    <s v="lk"/>
    <s v="Y"/>
    <n v="36.63"/>
    <n v="7.33"/>
    <x v="1"/>
    <s v="VALIDATED"/>
    <n v="1"/>
    <s v="01.11.80.308.6300.0000"/>
    <n v="36.63"/>
    <s v="11"/>
    <s v="6300"/>
    <n v="34637.12"/>
    <n v="36.63"/>
    <s v="CREDITOR"/>
    <n v="0"/>
    <n v="0"/>
    <n v="0"/>
    <n v="0"/>
    <n v="36.63"/>
  </r>
  <r>
    <n v="9439840"/>
    <s v="N"/>
    <n v="21328272"/>
    <s v="3000005393230018"/>
    <s v="CIVIL"/>
    <d v="2023-06-22T00:00:00"/>
    <d v="2023-07-04T19:00:44"/>
    <m/>
    <d v="2023-07-04T00:00:00"/>
    <n v="1478"/>
    <n v="14784"/>
    <s v="9439840"/>
    <s v="9439840"/>
    <m/>
    <m/>
    <n v="22748160"/>
    <m/>
    <m/>
    <m/>
    <s v="SOLFIN"/>
    <s v="SOLFIN"/>
    <s v="CCMS"/>
    <n v="21328272"/>
    <n v="16050.11"/>
    <m/>
    <s v="N"/>
    <n v="13"/>
    <d v="2023-07-04T19:01:11"/>
    <s v="N"/>
    <s v="Psychologist"/>
    <s v="Public Law Children"/>
    <s v="Expert Disbursement"/>
    <s v="lk"/>
    <s v="N"/>
    <n v="85"/>
    <n v="0"/>
    <x v="1"/>
    <s v="VALIDATED"/>
    <n v="1"/>
    <s v="01.11.80.308.6300.0000"/>
    <n v="85"/>
    <s v="11"/>
    <s v="6300"/>
    <n v="34637.12"/>
    <n v="85"/>
    <s v="CREDITOR"/>
    <n v="0"/>
    <n v="0"/>
    <n v="0"/>
    <n v="0"/>
    <n v="85"/>
  </r>
  <r>
    <n v="60378819"/>
    <s v="N"/>
    <n v="21327944"/>
    <s v="3000014670030004"/>
    <s v="CIVIL"/>
    <d v="2023-06-22T00:00:00"/>
    <d v="2023-07-04T19:00:44"/>
    <m/>
    <d v="2023-07-04T00:00:00"/>
    <n v="1478"/>
    <n v="14784"/>
    <s v="60378819"/>
    <s v="60378819"/>
    <m/>
    <m/>
    <n v="22748060"/>
    <m/>
    <m/>
    <m/>
    <s v="SOLFIN"/>
    <s v="SOLFIN"/>
    <s v="CCMS"/>
    <n v="21327944"/>
    <n v="5670.28"/>
    <m/>
    <s v="N"/>
    <n v="5"/>
    <d v="2023-07-04T19:00:59"/>
    <s v="Y"/>
    <s v="Advocates Meeting"/>
    <s v="Public Law Children"/>
    <s v="Advocacy"/>
    <s v="LK"/>
    <s v="Y"/>
    <n v="140.99"/>
    <n v="28.2"/>
    <x v="1"/>
    <s v="VALIDATED"/>
    <n v="1"/>
    <s v="01.11.80.308.6100.0000"/>
    <n v="140.99"/>
    <s v="11"/>
    <s v="6100"/>
    <n v="34637.12"/>
    <n v="140.99"/>
    <s v="CREDITOR"/>
    <n v="0"/>
    <n v="0"/>
    <n v="0"/>
    <n v="0"/>
    <n v="140.99"/>
  </r>
  <r>
    <n v="62154366"/>
    <s v="N"/>
    <n v="21392449"/>
    <s v="3000016172060001"/>
    <s v="CIVIL"/>
    <d v="2023-06-26T00:00:00"/>
    <d v="2023-07-18T19:00:27"/>
    <m/>
    <d v="2023-07-18T00:00:00"/>
    <n v="1478"/>
    <n v="14784"/>
    <s v="62154366"/>
    <s v="62154366"/>
    <m/>
    <m/>
    <n v="22760956"/>
    <m/>
    <m/>
    <m/>
    <s v="SOLFIN"/>
    <s v="SOLFIN"/>
    <s v="CCMS"/>
    <n v="21392449"/>
    <n v="950.26"/>
    <m/>
    <s v="N"/>
    <n v="9"/>
    <d v="2023-07-18T19:00:50"/>
    <s v="Y"/>
    <s v="Preparation - drafting application"/>
    <s v="Care Remuneration Hourly Rates"/>
    <s v="Profit Cost"/>
    <s v="AG"/>
    <s v="Y"/>
    <n v="11.68"/>
    <n v="2.34"/>
    <x v="14"/>
    <s v="VALIDATED"/>
    <n v="1"/>
    <s v="01.11.80.308.6100.0000"/>
    <n v="11.68"/>
    <s v="11"/>
    <s v="6100"/>
    <n v="34637.12"/>
    <n v="11.68"/>
    <s v="CREDITOR"/>
    <n v="0"/>
    <n v="0"/>
    <n v="0"/>
    <n v="0"/>
    <n v="11.68"/>
  </r>
  <r>
    <n v="60378819"/>
    <s v="N"/>
    <n v="21327944"/>
    <s v="3000014670030004"/>
    <s v="CIVIL"/>
    <d v="2023-06-22T00:00:00"/>
    <d v="2023-07-04T19:00:44"/>
    <m/>
    <d v="2023-07-04T00:00:00"/>
    <n v="1478"/>
    <n v="14784"/>
    <s v="60378819"/>
    <s v="60378819"/>
    <m/>
    <m/>
    <n v="22748060"/>
    <m/>
    <m/>
    <m/>
    <s v="SOLFIN"/>
    <s v="SOLFIN"/>
    <s v="CCMS"/>
    <n v="21327944"/>
    <n v="5670.28"/>
    <m/>
    <s v="N"/>
    <n v="10"/>
    <d v="2023-07-04T19:00:59"/>
    <s v="Y"/>
    <s v="Solicitors Fixed Fee"/>
    <s v="Public Law Children"/>
    <s v="Profit Cost"/>
    <s v="lk"/>
    <s v="Y"/>
    <n v="2013"/>
    <n v="402.6"/>
    <x v="1"/>
    <s v="VALIDATED"/>
    <n v="1"/>
    <s v="01.11.80.308.6100.0000"/>
    <n v="2013"/>
    <s v="11"/>
    <s v="6100"/>
    <n v="34637.12"/>
    <n v="2013"/>
    <s v="CREDITOR"/>
    <n v="0"/>
    <n v="0"/>
    <n v="0"/>
    <n v="0"/>
    <n v="2013"/>
  </r>
  <r>
    <n v="62308370"/>
    <s v="N"/>
    <n v="21391945"/>
    <s v="3000016299180001"/>
    <s v="CIVIL"/>
    <d v="2023-06-28T00:00:00"/>
    <d v="2023-07-18T19:00:27"/>
    <m/>
    <d v="2023-07-18T00:00:00"/>
    <n v="1491"/>
    <n v="20607"/>
    <s v="62308370"/>
    <s v="62308370"/>
    <m/>
    <m/>
    <n v="22780034"/>
    <m/>
    <m/>
    <m/>
    <s v="SOLFIN"/>
    <s v="SOLFIN"/>
    <s v="CCMS"/>
    <n v="21391945"/>
    <n v="3151.66"/>
    <m/>
    <s v="N"/>
    <n v="2"/>
    <d v="2023-07-18T19:00:34"/>
    <s v="Y"/>
    <s v="Solicitors Fixed Fee"/>
    <s v="Public Law Children"/>
    <s v="Profit Cost"/>
    <s v="km"/>
    <s v="Y"/>
    <n v="1911"/>
    <n v="382.2"/>
    <x v="14"/>
    <s v="VALIDATED"/>
    <n v="1"/>
    <s v="01.11.80.308.6100.0000"/>
    <n v="1911"/>
    <s v="11"/>
    <s v="6100"/>
    <n v="5774.4"/>
    <n v="1911"/>
    <s v="CREDITOR"/>
    <n v="0"/>
    <n v="0"/>
    <n v="0"/>
    <n v="0"/>
    <n v="1911"/>
  </r>
  <r>
    <n v="5301471"/>
    <s v="N"/>
    <n v="21382557"/>
    <s v="3000002122560001"/>
    <s v="CIVIL"/>
    <d v="2023-06-28T00:00:00"/>
    <d v="2023-07-17T19:01:46"/>
    <m/>
    <d v="2023-07-17T00:00:00"/>
    <n v="1491"/>
    <n v="20607"/>
    <s v="5301471"/>
    <s v="5301471"/>
    <m/>
    <m/>
    <n v="22780274"/>
    <m/>
    <m/>
    <m/>
    <s v="SOLFIN"/>
    <s v="SOLFIN"/>
    <s v="CCMS"/>
    <n v="21382557"/>
    <n v="423.6"/>
    <m/>
    <s v="N"/>
    <n v="1"/>
    <d v="2023-07-17T19:02:16"/>
    <s v="Y"/>
    <s v="Level 3 Fixed Fee"/>
    <s v="Private Law Children"/>
    <s v="Profit Cost"/>
    <s v="lpj"/>
    <s v="Y"/>
    <n v="353"/>
    <n v="70.59999999999999"/>
    <x v="8"/>
    <s v="VALIDATED"/>
    <n v="1"/>
    <s v="01.11.80.307.6100.0000"/>
    <n v="353"/>
    <s v="11"/>
    <s v="6100"/>
    <n v="5774.4"/>
    <n v="353"/>
    <s v="CREDITOR"/>
    <n v="0"/>
    <n v="0"/>
    <n v="0"/>
    <n v="0"/>
    <n v="353"/>
  </r>
  <r>
    <n v="7040507"/>
    <s v="N"/>
    <n v="21343452"/>
    <s v="3000003412260005"/>
    <s v="CIVIL"/>
    <d v="2023-06-27T00:00:00"/>
    <d v="2023-07-07T19:03:00"/>
    <m/>
    <d v="2023-07-07T00:00:00"/>
    <n v="1491"/>
    <n v="20607"/>
    <s v="7040507"/>
    <s v="7040507"/>
    <m/>
    <m/>
    <n v="22770226"/>
    <m/>
    <m/>
    <m/>
    <s v="SOLFIN"/>
    <s v="SOLFIN"/>
    <s v="CCMS"/>
    <n v="21343452"/>
    <n v="3682.26"/>
    <m/>
    <s v="N"/>
    <n v="3"/>
    <d v="2023-07-07T19:03:09"/>
    <s v="Y"/>
    <s v="Solicitor Travel Expenses"/>
    <s v="Public Law Children"/>
    <s v="Non Expert Disbursement"/>
    <s v="tunnel"/>
    <s v="Y"/>
    <n v="3.4"/>
    <n v="0"/>
    <x v="9"/>
    <s v="VALIDATED"/>
    <n v="1"/>
    <s v="01.11.80.308.6300.0000"/>
    <n v="3.4"/>
    <s v="11"/>
    <s v="6300"/>
    <n v="5774.4"/>
    <n v="3.4"/>
    <s v="CREDITOR"/>
    <n v="0"/>
    <n v="0"/>
    <n v="0"/>
    <n v="0"/>
    <n v="3.4"/>
  </r>
  <r>
    <n v="7768854"/>
    <s v="N"/>
    <n v="21338478"/>
    <s v="3000003922970005"/>
    <s v="CIVIL"/>
    <d v="2023-06-27T00:00:00"/>
    <d v="2023-07-06T19:21:01"/>
    <m/>
    <d v="2023-07-06T00:00:00"/>
    <n v="1491"/>
    <n v="20607"/>
    <s v="7768854"/>
    <s v="7768854"/>
    <m/>
    <m/>
    <n v="22769960"/>
    <m/>
    <m/>
    <m/>
    <s v="SOLFIN"/>
    <s v="SOLFIN"/>
    <s v="CCMS"/>
    <n v="21338478"/>
    <n v="823.4"/>
    <m/>
    <s v="N"/>
    <n v="2"/>
    <d v="2023-07-06T19:21:26"/>
    <s v="Y"/>
    <s v="Level 4 Fixed Fee"/>
    <s v="Domestic Abuse"/>
    <s v="Profit Cost"/>
    <s v="lpj"/>
    <s v="Y"/>
    <n v="507"/>
    <n v="101.4"/>
    <x v="4"/>
    <s v="VALIDATED"/>
    <n v="1"/>
    <s v="01.11.80.302.6100.0000"/>
    <n v="507"/>
    <s v="11"/>
    <s v="6100"/>
    <n v="5774.4"/>
    <n v="507"/>
    <s v="CREDITOR"/>
    <n v="0"/>
    <n v="0"/>
    <n v="0"/>
    <n v="0"/>
    <n v="507"/>
  </r>
  <r>
    <n v="61598496"/>
    <s v="N"/>
    <n v="21382178"/>
    <s v="3000015707750008"/>
    <s v="CIVIL"/>
    <d v="2023-06-23T00:00:00"/>
    <d v="2023-07-17T19:01:46"/>
    <m/>
    <d v="2023-07-17T00:00:00"/>
    <n v="1491"/>
    <n v="20607"/>
    <s v="61598496"/>
    <s v="61598496"/>
    <m/>
    <m/>
    <n v="22751692"/>
    <m/>
    <m/>
    <m/>
    <s v="SOLPOA"/>
    <s v="SOLPOA"/>
    <s v="CCMS"/>
    <n v="21382178"/>
    <n v="1024.5"/>
    <m/>
    <s v="N"/>
    <n v="1"/>
    <d v="2023-07-17T19:02:04"/>
    <s v="N"/>
    <s v="Non Expert Disbursement"/>
    <s v="Non Expert Disbursement"/>
    <s v="Non Expert Disbursement"/>
    <s v="Kash Mahmood"/>
    <s v="N"/>
    <n v="853.75"/>
    <n v="170.75"/>
    <x v="8"/>
    <s v="VALIDATED"/>
    <n v="1"/>
    <s v="01.11.80.308.2012.0000"/>
    <n v="853.75"/>
    <s v="11"/>
    <s v="2012"/>
    <n v="5774.4"/>
    <n v="853.75"/>
    <s v="CREDITOR"/>
    <n v="853.75"/>
    <n v="0"/>
    <n v="0"/>
    <n v="0"/>
    <n v="0"/>
  </r>
  <r>
    <n v="4979364"/>
    <s v="N"/>
    <n v="21382393"/>
    <s v="3000001917440001"/>
    <s v="CIVIL"/>
    <d v="2023-06-28T00:00:00"/>
    <d v="2023-07-17T19:01:46"/>
    <m/>
    <d v="2023-07-17T00:00:00"/>
    <n v="1491"/>
    <n v="20607"/>
    <s v="4979364"/>
    <s v="4979364"/>
    <m/>
    <m/>
    <n v="22780240"/>
    <m/>
    <m/>
    <m/>
    <s v="SOLFIN"/>
    <s v="SOLFIN"/>
    <s v="CCMS"/>
    <n v="21382393"/>
    <n v="608.4"/>
    <m/>
    <s v="N"/>
    <n v="1"/>
    <d v="2023-07-17T19:02:08"/>
    <s v="Y"/>
    <s v="Level 4 Fixed Fee"/>
    <s v="Domestic Abuse"/>
    <s v="Profit Cost"/>
    <s v="lpj"/>
    <s v="Y"/>
    <n v="507"/>
    <n v="101.4"/>
    <x v="8"/>
    <s v="VALIDATED"/>
    <n v="1"/>
    <s v="01.11.80.302.6100.0000"/>
    <n v="507"/>
    <s v="11"/>
    <s v="6100"/>
    <n v="5774.4"/>
    <n v="507"/>
    <s v="CREDITOR"/>
    <n v="0"/>
    <n v="0"/>
    <n v="0"/>
    <n v="0"/>
    <n v="507"/>
  </r>
  <r>
    <n v="6343479"/>
    <s v="N"/>
    <n v="21382549"/>
    <s v="3000002777510002"/>
    <s v="CIVIL"/>
    <d v="2023-06-28T00:00:00"/>
    <d v="2023-07-17T19:01:46"/>
    <m/>
    <d v="2023-07-17T00:00:00"/>
    <n v="1491"/>
    <n v="20607"/>
    <s v="6343479"/>
    <s v="6343479"/>
    <m/>
    <m/>
    <n v="22780292"/>
    <m/>
    <m/>
    <m/>
    <s v="SOLFIN"/>
    <s v="SOLFIN"/>
    <s v="CCMS"/>
    <n v="21382549"/>
    <n v="608.4"/>
    <m/>
    <s v="N"/>
    <n v="1"/>
    <d v="2023-07-17T19:02:15"/>
    <s v="Y"/>
    <s v="Level 4 Fixed Fee"/>
    <s v="Domestic Abuse"/>
    <s v="Profit Cost"/>
    <s v="lpj"/>
    <s v="Y"/>
    <n v="507"/>
    <n v="101.4"/>
    <x v="8"/>
    <s v="VALIDATED"/>
    <n v="1"/>
    <s v="01.11.80.302.6100.0000"/>
    <n v="507"/>
    <s v="11"/>
    <s v="6100"/>
    <n v="5774.4"/>
    <n v="507"/>
    <s v="CREDITOR"/>
    <n v="0"/>
    <n v="0"/>
    <n v="0"/>
    <n v="0"/>
    <n v="507"/>
  </r>
  <r>
    <n v="6587958"/>
    <s v="N"/>
    <n v="21382504"/>
    <s v="3000003023210003"/>
    <s v="CIVIL"/>
    <d v="2023-06-28T00:00:00"/>
    <d v="2023-07-17T19:01:46"/>
    <m/>
    <d v="2023-07-17T00:00:00"/>
    <n v="1491"/>
    <n v="20607"/>
    <s v="6587958"/>
    <s v="6587958"/>
    <m/>
    <m/>
    <n v="22780956"/>
    <m/>
    <m/>
    <m/>
    <s v="SOLFIN"/>
    <s v="SOLFIN"/>
    <s v="CCMS"/>
    <n v="21382504"/>
    <n v="852.91"/>
    <m/>
    <s v="N"/>
    <n v="1"/>
    <d v="2023-07-17T19:02:13"/>
    <s v="Y"/>
    <s v="Hearing Unit 1.01 - 2.30 Hours"/>
    <s v="Domestic Abuse"/>
    <s v="Advocacy"/>
    <s v="lpj"/>
    <s v="Y"/>
    <n v="203.76"/>
    <n v="40.75"/>
    <x v="8"/>
    <s v="VALIDATED"/>
    <n v="1"/>
    <s v="01.11.80.302.6100.0000"/>
    <n v="203.76"/>
    <s v="11"/>
    <s v="6100"/>
    <n v="5774.4"/>
    <n v="203.76"/>
    <s v="CREDITOR"/>
    <n v="0"/>
    <n v="0"/>
    <n v="0"/>
    <n v="0"/>
    <n v="203.76"/>
  </r>
  <r>
    <n v="7040507"/>
    <s v="N"/>
    <n v="21343452"/>
    <s v="3000003412260005"/>
    <s v="CIVIL"/>
    <d v="2023-06-27T00:00:00"/>
    <d v="2023-07-07T19:03:00"/>
    <m/>
    <d v="2023-07-07T00:00:00"/>
    <n v="1491"/>
    <n v="20607"/>
    <s v="7040507"/>
    <s v="7040507"/>
    <m/>
    <m/>
    <n v="22770226"/>
    <m/>
    <m/>
    <m/>
    <s v="SOLFIN"/>
    <s v="SOLFIN"/>
    <s v="CCMS"/>
    <n v="21343452"/>
    <n v="3682.26"/>
    <m/>
    <s v="N"/>
    <n v="5"/>
    <d v="2023-07-07T19:03:09"/>
    <s v="Y"/>
    <s v="Solicitors Fixed Fee"/>
    <s v="Public Law Children"/>
    <s v="Profit Cost"/>
    <s v="lpj"/>
    <s v="Y"/>
    <n v="2388"/>
    <n v="477.6"/>
    <x v="9"/>
    <s v="VALIDATED"/>
    <n v="1"/>
    <s v="01.11.80.308.6100.0000"/>
    <n v="2388"/>
    <s v="11"/>
    <s v="6100"/>
    <n v="5774.4"/>
    <n v="2388"/>
    <s v="CREDITOR"/>
    <n v="0"/>
    <n v="0"/>
    <n v="0"/>
    <n v="0"/>
    <n v="2388"/>
  </r>
  <r>
    <n v="62308370"/>
    <s v="N"/>
    <n v="21391945"/>
    <s v="3000016299180001"/>
    <s v="CIVIL"/>
    <d v="2023-06-28T00:00:00"/>
    <d v="2023-07-18T19:00:27"/>
    <m/>
    <d v="2023-07-18T00:00:00"/>
    <n v="1491"/>
    <n v="20607"/>
    <s v="62308370"/>
    <s v="62308370"/>
    <m/>
    <m/>
    <n v="22780034"/>
    <m/>
    <m/>
    <m/>
    <s v="SOLFIN"/>
    <s v="SOLFIN"/>
    <s v="CCMS"/>
    <n v="21391945"/>
    <n v="3151.66"/>
    <m/>
    <s v="N"/>
    <n v="1"/>
    <d v="2023-07-18T19:00:34"/>
    <s v="Y"/>
    <s v="Hearing Unit 5.01 - 7.30 Hours"/>
    <s v="Public Law Children"/>
    <s v="Advocacy"/>
    <s v="km"/>
    <s v="Y"/>
    <n v="715.38"/>
    <n v="143.08"/>
    <x v="14"/>
    <s v="VALIDATED"/>
    <n v="1"/>
    <s v="01.11.80.308.6100.0000"/>
    <n v="715.38"/>
    <s v="11"/>
    <s v="6100"/>
    <n v="5774.4"/>
    <n v="715.38"/>
    <s v="CREDITOR"/>
    <n v="0"/>
    <n v="0"/>
    <n v="0"/>
    <n v="0"/>
    <n v="715.38"/>
  </r>
  <r>
    <n v="7040507"/>
    <s v="N"/>
    <n v="21343452"/>
    <s v="3000003412260005"/>
    <s v="CIVIL"/>
    <d v="2023-06-27T00:00:00"/>
    <d v="2023-07-07T19:03:00"/>
    <m/>
    <d v="2023-07-07T00:00:00"/>
    <n v="1491"/>
    <n v="20607"/>
    <s v="7040507"/>
    <s v="7040507"/>
    <m/>
    <m/>
    <n v="22770226"/>
    <m/>
    <m/>
    <m/>
    <s v="SOLFIN"/>
    <s v="SOLFIN"/>
    <s v="CCMS"/>
    <n v="21343452"/>
    <n v="3682.26"/>
    <m/>
    <s v="N"/>
    <n v="4"/>
    <d v="2023-07-07T19:03:09"/>
    <s v="Y"/>
    <s v="Final Hearing - 1 Day"/>
    <s v="Public Law Children"/>
    <s v="Advocacy"/>
    <s v="lpj"/>
    <s v="Y"/>
    <n v="556.88"/>
    <n v="111.38"/>
    <x v="9"/>
    <s v="VALIDATED"/>
    <n v="1"/>
    <s v="01.11.80.308.6100.0000"/>
    <n v="556.88"/>
    <s v="11"/>
    <s v="6100"/>
    <n v="5774.4"/>
    <n v="556.88"/>
    <s v="CREDITOR"/>
    <n v="0"/>
    <n v="0"/>
    <n v="0"/>
    <n v="0"/>
    <n v="556.88"/>
  </r>
  <r>
    <n v="7040507"/>
    <s v="N"/>
    <n v="21343452"/>
    <s v="3000003412260005"/>
    <s v="CIVIL"/>
    <d v="2023-06-27T00:00:00"/>
    <d v="2023-07-07T19:03:00"/>
    <m/>
    <d v="2023-07-07T00:00:00"/>
    <n v="1491"/>
    <n v="20607"/>
    <s v="7040507"/>
    <s v="7040507"/>
    <m/>
    <m/>
    <n v="22770226"/>
    <m/>
    <m/>
    <m/>
    <s v="SOLFIN"/>
    <s v="SOLFIN"/>
    <s v="CCMS"/>
    <n v="21343452"/>
    <n v="3682.26"/>
    <m/>
    <s v="N"/>
    <n v="2"/>
    <d v="2023-07-07T19:03:09"/>
    <s v="Y"/>
    <s v="Solicitor Travel Expenses"/>
    <s v="Public Law Children"/>
    <s v="Non Expert Disbursement"/>
    <s v="parking"/>
    <s v="Y"/>
    <n v="17.5"/>
    <n v="0"/>
    <x v="9"/>
    <s v="VALIDATED"/>
    <n v="1"/>
    <s v="01.11.80.308.6300.0000"/>
    <n v="17.5"/>
    <s v="11"/>
    <s v="6300"/>
    <n v="5774.4"/>
    <n v="17.5"/>
    <s v="CREDITOR"/>
    <n v="0"/>
    <n v="0"/>
    <n v="0"/>
    <n v="0"/>
    <n v="17.5"/>
  </r>
  <r>
    <n v="7040507"/>
    <s v="N"/>
    <n v="21343452"/>
    <s v="3000003412260005"/>
    <s v="CIVIL"/>
    <d v="2023-06-27T00:00:00"/>
    <d v="2023-07-07T19:03:00"/>
    <m/>
    <d v="2023-07-07T00:00:00"/>
    <n v="1491"/>
    <n v="20607"/>
    <s v="7040507"/>
    <s v="7040507"/>
    <m/>
    <m/>
    <n v="22770226"/>
    <m/>
    <m/>
    <m/>
    <s v="SOLFIN"/>
    <s v="SOLFIN"/>
    <s v="CCMS"/>
    <n v="21343452"/>
    <n v="3682.26"/>
    <m/>
    <s v="N"/>
    <n v="1"/>
    <d v="2023-07-07T19:03:09"/>
    <s v="Y"/>
    <s v="Toxicologist"/>
    <s v="Public Law Children"/>
    <s v="Expert Disbursement"/>
    <s v="Lextox"/>
    <s v="Y"/>
    <n v="106.25"/>
    <n v="21.25"/>
    <x v="9"/>
    <s v="VALIDATED"/>
    <n v="1"/>
    <s v="01.11.80.308.6300.0000"/>
    <n v="106.25"/>
    <s v="11"/>
    <s v="6300"/>
    <n v="5774.4"/>
    <n v="106.25"/>
    <s v="CREDITOR"/>
    <n v="0"/>
    <n v="0"/>
    <n v="0"/>
    <n v="0"/>
    <n v="106.25"/>
  </r>
  <r>
    <n v="7768854"/>
    <s v="N"/>
    <n v="21338478"/>
    <s v="3000003922970005"/>
    <s v="CIVIL"/>
    <d v="2023-06-27T00:00:00"/>
    <d v="2023-07-06T19:21:01"/>
    <m/>
    <d v="2023-07-06T00:00:00"/>
    <n v="1491"/>
    <n v="20607"/>
    <s v="7768854"/>
    <s v="7768854"/>
    <m/>
    <m/>
    <n v="22769960"/>
    <m/>
    <m/>
    <m/>
    <s v="SOLFIN"/>
    <s v="SOLFIN"/>
    <s v="CCMS"/>
    <n v="21338478"/>
    <n v="823.4"/>
    <m/>
    <s v="N"/>
    <n v="1"/>
    <d v="2023-07-06T19:21:26"/>
    <s v="Y"/>
    <s v="Court Fee"/>
    <s v="Domestic Abuse"/>
    <s v="Non Expert Disbursement"/>
    <s v="court fee"/>
    <s v="Y"/>
    <n v="215"/>
    <n v="0"/>
    <x v="4"/>
    <s v="VALIDATED"/>
    <n v="1"/>
    <s v="01.11.80.302.6300.0000"/>
    <n v="215"/>
    <s v="11"/>
    <s v="6300"/>
    <n v="5774.4"/>
    <n v="215"/>
    <s v="CREDITOR"/>
    <n v="0"/>
    <n v="0"/>
    <n v="0"/>
    <n v="0"/>
    <n v="215"/>
  </r>
  <r>
    <n v="6587958"/>
    <s v="N"/>
    <n v="21382504"/>
    <s v="3000003023210003"/>
    <s v="CIVIL"/>
    <d v="2023-06-28T00:00:00"/>
    <d v="2023-07-17T19:01:46"/>
    <m/>
    <d v="2023-07-17T00:00:00"/>
    <n v="1491"/>
    <n v="20607"/>
    <s v="6587958"/>
    <s v="6587958"/>
    <m/>
    <m/>
    <n v="22780956"/>
    <m/>
    <m/>
    <m/>
    <s v="SOLFIN"/>
    <s v="SOLFIN"/>
    <s v="CCMS"/>
    <n v="21382504"/>
    <n v="852.91"/>
    <m/>
    <s v="N"/>
    <n v="2"/>
    <d v="2023-07-17T19:02:13"/>
    <s v="Y"/>
    <s v="Level 4 Fixed Fee"/>
    <s v="Domestic Abuse"/>
    <s v="Profit Cost"/>
    <s v="lpj"/>
    <s v="Y"/>
    <n v="507"/>
    <n v="101.4"/>
    <x v="8"/>
    <s v="VALIDATED"/>
    <n v="1"/>
    <s v="01.11.80.302.6100.0000"/>
    <n v="507"/>
    <s v="11"/>
    <s v="6100"/>
    <n v="5774.4"/>
    <n v="507"/>
    <s v="CREDITOR"/>
    <n v="0"/>
    <n v="0"/>
    <n v="0"/>
    <n v="0"/>
    <n v="507"/>
  </r>
  <r>
    <n v="7768854"/>
    <s v="N"/>
    <n v="21340055"/>
    <s v="3000003922970002RC"/>
    <s v="CIVIL"/>
    <d v="2023-06-27T00:00:00"/>
    <d v="2023-07-06T19:54:22"/>
    <m/>
    <d v="2023-07-06T00:00:00"/>
    <n v="1491"/>
    <n v="20607"/>
    <s v="7768854"/>
    <s v="7768854"/>
    <m/>
    <m/>
    <m/>
    <m/>
    <m/>
    <m/>
    <s v="SOLRECOUP"/>
    <s v="SOLRECOUP"/>
    <s v="POARECOUP"/>
    <n v="21340055"/>
    <n v="-153.26"/>
    <m/>
    <s v="Y"/>
    <n v="1"/>
    <d v="2023-07-06T19:54:23"/>
    <s v="N"/>
    <m/>
    <m/>
    <s v="Expert Disbursement"/>
    <m/>
    <s v="N"/>
    <n v="-127.72"/>
    <n v="0"/>
    <x v="4"/>
    <s v="VALIDATED"/>
    <n v="1"/>
    <s v="01.11.80.302.2013.0000"/>
    <n v="-127.72"/>
    <s v="11"/>
    <s v="2013"/>
    <n v="5774.4"/>
    <n v="-127.72"/>
    <s v="CREDITOR"/>
    <n v="0"/>
    <n v="0"/>
    <n v="-127.72"/>
    <n v="0"/>
    <n v="0"/>
  </r>
  <r>
    <n v="7768854"/>
    <s v="N"/>
    <n v="21340055"/>
    <s v="3000003922970002RC"/>
    <s v="CIVIL"/>
    <d v="2023-06-27T00:00:00"/>
    <d v="2023-07-06T19:54:22"/>
    <m/>
    <d v="2023-07-06T00:00:00"/>
    <n v="1491"/>
    <n v="20607"/>
    <s v="7768854"/>
    <s v="7768854"/>
    <m/>
    <m/>
    <m/>
    <m/>
    <m/>
    <m/>
    <s v="SOLRECOUP"/>
    <s v="SOLRECOUP"/>
    <s v="POARECOUP"/>
    <n v="21340055"/>
    <n v="-153.26"/>
    <m/>
    <s v="Y"/>
    <n v="2"/>
    <d v="2023-07-06T19:54:23"/>
    <s v="N"/>
    <m/>
    <m/>
    <s v="Expert Disbursement"/>
    <m/>
    <s v="N"/>
    <n v="0"/>
    <n v="-25.54"/>
    <x v="4"/>
    <s v="VALIDATED"/>
    <n v="1"/>
    <s v="01.11.80.302.2013.0000"/>
    <n v="-25.54"/>
    <s v="11"/>
    <s v="2013"/>
    <n v="5774.4"/>
    <n v="-25.54"/>
    <s v="CREDITOR"/>
    <n v="0"/>
    <n v="0"/>
    <n v="-25.54"/>
    <n v="0"/>
    <n v="0"/>
  </r>
  <r>
    <n v="7768854"/>
    <s v="N"/>
    <n v="21340056"/>
    <s v="3000003922970001RC"/>
    <s v="CIVIL"/>
    <d v="2023-06-27T00:00:00"/>
    <d v="2023-07-06T19:54:22"/>
    <m/>
    <d v="2023-07-06T00:00:00"/>
    <n v="1491"/>
    <n v="20607"/>
    <s v="7768854"/>
    <s v="7768854"/>
    <m/>
    <m/>
    <m/>
    <m/>
    <m/>
    <m/>
    <s v="SOLRECOUP"/>
    <s v="SOLRECOUP"/>
    <s v="POARECOUP"/>
    <n v="21340056"/>
    <n v="-153.98"/>
    <m/>
    <s v="Y"/>
    <n v="1"/>
    <d v="2023-07-06T19:54:23"/>
    <s v="N"/>
    <m/>
    <m/>
    <s v="Expert Disbursement"/>
    <m/>
    <s v="N"/>
    <n v="-128.32"/>
    <n v="0"/>
    <x v="4"/>
    <s v="VALIDATED"/>
    <n v="1"/>
    <s v="01.11.80.302.2013.0000"/>
    <n v="-128.32"/>
    <s v="11"/>
    <s v="2013"/>
    <n v="5774.4"/>
    <n v="-128.32"/>
    <s v="CREDITOR"/>
    <n v="0"/>
    <n v="0"/>
    <n v="-128.32"/>
    <n v="0"/>
    <n v="0"/>
  </r>
  <r>
    <n v="7768854"/>
    <s v="N"/>
    <n v="21340056"/>
    <s v="3000003922970001RC"/>
    <s v="CIVIL"/>
    <d v="2023-06-27T00:00:00"/>
    <d v="2023-07-06T19:54:22"/>
    <m/>
    <d v="2023-07-06T00:00:00"/>
    <n v="1491"/>
    <n v="20607"/>
    <s v="7768854"/>
    <s v="7768854"/>
    <m/>
    <m/>
    <m/>
    <m/>
    <m/>
    <m/>
    <s v="SOLRECOUP"/>
    <s v="SOLRECOUP"/>
    <s v="POARECOUP"/>
    <n v="21340056"/>
    <n v="-153.98"/>
    <m/>
    <s v="Y"/>
    <n v="2"/>
    <d v="2023-07-06T19:54:23"/>
    <s v="N"/>
    <m/>
    <m/>
    <s v="Expert Disbursement"/>
    <m/>
    <s v="N"/>
    <n v="0"/>
    <n v="-25.66"/>
    <x v="4"/>
    <s v="VALIDATED"/>
    <n v="1"/>
    <s v="01.11.80.302.2013.0000"/>
    <n v="-25.66"/>
    <s v="11"/>
    <s v="2013"/>
    <n v="5774.4"/>
    <n v="-25.66"/>
    <s v="CREDITOR"/>
    <n v="0"/>
    <n v="0"/>
    <n v="-25.66"/>
    <n v="0"/>
    <n v="0"/>
  </r>
  <r>
    <n v="7040507"/>
    <s v="N"/>
    <n v="21346439"/>
    <s v="3000003412260002RC"/>
    <s v="CIVIL"/>
    <d v="2023-06-27T00:00:00"/>
    <d v="2023-07-07T19:34:21"/>
    <m/>
    <d v="2023-07-07T00:00:00"/>
    <n v="1491"/>
    <n v="20607"/>
    <s v="7040507"/>
    <s v="7040507"/>
    <m/>
    <m/>
    <m/>
    <m/>
    <m/>
    <m/>
    <s v="SOLRECOUP"/>
    <s v="SOLRECOUP"/>
    <s v="POARECOUP"/>
    <n v="21346439"/>
    <n v="-127.5"/>
    <m/>
    <s v="Y"/>
    <n v="1"/>
    <d v="2023-07-07T19:34:23"/>
    <s v="N"/>
    <m/>
    <m/>
    <s v="Expert Disbursement"/>
    <m/>
    <s v="N"/>
    <n v="-106.25"/>
    <n v="0"/>
    <x v="9"/>
    <s v="VALIDATED"/>
    <n v="1"/>
    <s v="01.11.80.308.2013.0000"/>
    <n v="-106.25"/>
    <s v="11"/>
    <s v="2013"/>
    <n v="5774.4"/>
    <n v="-106.25"/>
    <s v="CREDITOR"/>
    <n v="0"/>
    <n v="0"/>
    <n v="-106.25"/>
    <n v="0"/>
    <n v="0"/>
  </r>
  <r>
    <n v="7040507"/>
    <s v="N"/>
    <n v="21346439"/>
    <s v="3000003412260002RC"/>
    <s v="CIVIL"/>
    <d v="2023-06-27T00:00:00"/>
    <d v="2023-07-07T19:34:21"/>
    <m/>
    <d v="2023-07-07T00:00:00"/>
    <n v="1491"/>
    <n v="20607"/>
    <s v="7040507"/>
    <s v="7040507"/>
    <m/>
    <m/>
    <m/>
    <m/>
    <m/>
    <m/>
    <s v="SOLRECOUP"/>
    <s v="SOLRECOUP"/>
    <s v="POARECOUP"/>
    <n v="21346439"/>
    <n v="-127.5"/>
    <m/>
    <s v="Y"/>
    <n v="2"/>
    <d v="2023-07-07T19:34:23"/>
    <s v="N"/>
    <m/>
    <m/>
    <s v="Expert Disbursement"/>
    <m/>
    <s v="N"/>
    <n v="0"/>
    <n v="-21.25"/>
    <x v="9"/>
    <s v="VALIDATED"/>
    <n v="1"/>
    <s v="01.11.80.308.2013.0000"/>
    <n v="-21.25"/>
    <s v="11"/>
    <s v="2013"/>
    <n v="5774.4"/>
    <n v="-21.25"/>
    <s v="CREDITOR"/>
    <n v="0"/>
    <n v="0"/>
    <n v="-21.25"/>
    <n v="0"/>
    <n v="0"/>
  </r>
  <r>
    <n v="7040507"/>
    <s v="N"/>
    <n v="21346440"/>
    <s v="3000003412260003RC"/>
    <s v="CIVIL"/>
    <d v="2023-06-27T00:00:00"/>
    <d v="2023-07-07T19:34:21"/>
    <m/>
    <d v="2023-07-07T00:00:00"/>
    <n v="1491"/>
    <n v="20607"/>
    <s v="7040507"/>
    <s v="7040507"/>
    <m/>
    <m/>
    <m/>
    <m/>
    <m/>
    <m/>
    <s v="SOLRECOUP"/>
    <s v="SOLRECOUP"/>
    <s v="POARECOUP"/>
    <n v="21346440"/>
    <n v="-2250"/>
    <m/>
    <s v="Y"/>
    <n v="1"/>
    <d v="2023-07-07T19:34:23"/>
    <s v="N"/>
    <m/>
    <m/>
    <s v="Profit Cost"/>
    <m/>
    <s v="N"/>
    <n v="-1875"/>
    <n v="0"/>
    <x v="9"/>
    <s v="VALIDATED"/>
    <n v="1"/>
    <s v="01.11.80.308.2013.0000"/>
    <n v="-1875"/>
    <s v="11"/>
    <s v="2013"/>
    <n v="5774.4"/>
    <n v="-1875"/>
    <s v="CREDITOR"/>
    <n v="0"/>
    <n v="0"/>
    <n v="-1875"/>
    <n v="-468.75"/>
    <n v="0"/>
  </r>
  <r>
    <n v="7040507"/>
    <s v="N"/>
    <n v="21346440"/>
    <s v="3000003412260003RC"/>
    <s v="CIVIL"/>
    <d v="2023-06-27T00:00:00"/>
    <d v="2023-07-07T19:34:21"/>
    <m/>
    <d v="2023-07-07T00:00:00"/>
    <n v="1491"/>
    <n v="20607"/>
    <s v="7040507"/>
    <s v="7040507"/>
    <m/>
    <m/>
    <m/>
    <m/>
    <m/>
    <m/>
    <s v="SOLRECOUP"/>
    <s v="SOLRECOUP"/>
    <s v="POARECOUP"/>
    <n v="21346440"/>
    <n v="-2250"/>
    <m/>
    <s v="Y"/>
    <n v="2"/>
    <d v="2023-07-07T19:34:23"/>
    <s v="N"/>
    <m/>
    <m/>
    <s v="Profit Cost"/>
    <m/>
    <s v="N"/>
    <n v="0"/>
    <n v="-375"/>
    <x v="9"/>
    <s v="VALIDATED"/>
    <n v="1"/>
    <s v="01.11.80.308.2013.0000"/>
    <n v="-375"/>
    <s v="11"/>
    <s v="2013"/>
    <n v="5774.4"/>
    <n v="-375"/>
    <s v="CREDITOR"/>
    <n v="0"/>
    <n v="0"/>
    <n v="-375"/>
    <n v="-93.75"/>
    <n v="0"/>
  </r>
  <r>
    <n v="6587958"/>
    <s v="N"/>
    <n v="21388278"/>
    <s v="3000003023210001RC"/>
    <s v="CIVIL"/>
    <d v="2023-06-28T00:00:00"/>
    <d v="2023-07-17T19:42:13"/>
    <m/>
    <d v="2023-07-17T00:00:00"/>
    <n v="1491"/>
    <n v="20607"/>
    <s v="6587958"/>
    <s v="6587958"/>
    <m/>
    <m/>
    <m/>
    <m/>
    <m/>
    <m/>
    <s v="SOLRECOUP"/>
    <s v="SOLRECOUP"/>
    <s v="POARECOUP"/>
    <n v="21388278"/>
    <n v="-703.37"/>
    <m/>
    <s v="Y"/>
    <n v="2"/>
    <d v="2023-07-17T19:42:15"/>
    <s v="N"/>
    <m/>
    <m/>
    <s v="Profit Cost"/>
    <m/>
    <s v="N"/>
    <n v="0"/>
    <n v="-117.23"/>
    <x v="8"/>
    <s v="VALIDATED"/>
    <n v="1"/>
    <s v="01.11.80.302.2013.0000"/>
    <n v="-117.23"/>
    <s v="11"/>
    <s v="2013"/>
    <n v="5774.4"/>
    <n v="-117.23"/>
    <s v="CREDITOR"/>
    <n v="0"/>
    <n v="0"/>
    <n v="-117.23"/>
    <n v="-29.3075"/>
    <n v="0"/>
  </r>
  <r>
    <n v="6587958"/>
    <s v="N"/>
    <n v="21388278"/>
    <s v="3000003023210001RC"/>
    <s v="CIVIL"/>
    <d v="2023-06-28T00:00:00"/>
    <d v="2023-07-17T19:42:13"/>
    <m/>
    <d v="2023-07-17T00:00:00"/>
    <n v="1491"/>
    <n v="20607"/>
    <s v="6587958"/>
    <s v="6587958"/>
    <m/>
    <m/>
    <m/>
    <m/>
    <m/>
    <m/>
    <s v="SOLRECOUP"/>
    <s v="SOLRECOUP"/>
    <s v="POARECOUP"/>
    <n v="21388278"/>
    <n v="-703.37"/>
    <m/>
    <s v="Y"/>
    <n v="1"/>
    <d v="2023-07-17T19:42:15"/>
    <s v="N"/>
    <m/>
    <m/>
    <s v="Profit Cost"/>
    <m/>
    <s v="N"/>
    <n v="-586.14"/>
    <n v="0"/>
    <x v="8"/>
    <s v="VALIDATED"/>
    <n v="1"/>
    <s v="01.11.80.302.2013.0000"/>
    <n v="-586.14"/>
    <s v="11"/>
    <s v="2013"/>
    <n v="5774.4"/>
    <n v="-586.14"/>
    <s v="CREDITOR"/>
    <n v="0"/>
    <n v="0"/>
    <n v="-586.14"/>
    <n v="-146.535"/>
    <n v="0"/>
  </r>
  <r>
    <n v="6343479"/>
    <s v="N"/>
    <n v="21388279"/>
    <s v="3000002777510001RC"/>
    <s v="CIVIL"/>
    <d v="2023-06-28T00:00:00"/>
    <d v="2023-07-17T19:42:13"/>
    <m/>
    <d v="2023-07-17T00:00:00"/>
    <n v="1491"/>
    <n v="20607"/>
    <s v="6343479"/>
    <s v="6343479"/>
    <m/>
    <m/>
    <m/>
    <m/>
    <m/>
    <m/>
    <s v="SOLRECOUP"/>
    <s v="SOLRECOUP"/>
    <s v="POARECOUP"/>
    <n v="21388279"/>
    <n v="-103.4"/>
    <m/>
    <s v="Y"/>
    <n v="1"/>
    <d v="2023-07-17T19:42:15"/>
    <s v="N"/>
    <m/>
    <m/>
    <s v="Expert Disbursement"/>
    <m/>
    <s v="N"/>
    <n v="-103.4"/>
    <n v="0"/>
    <x v="8"/>
    <s v="VALIDATED"/>
    <n v="1"/>
    <s v="01.11.80.302.2013.0000"/>
    <n v="-103.4"/>
    <s v="11"/>
    <s v="2013"/>
    <n v="5774.4"/>
    <n v="-103.4"/>
    <s v="CREDITOR"/>
    <n v="0"/>
    <n v="0"/>
    <n v="-103.4"/>
    <n v="0"/>
    <n v="0"/>
  </r>
  <r>
    <n v="6343479"/>
    <s v="N"/>
    <n v="21388279"/>
    <s v="3000002777510001RC"/>
    <s v="CIVIL"/>
    <d v="2023-06-28T00:00:00"/>
    <d v="2023-07-17T19:42:13"/>
    <m/>
    <d v="2023-07-17T00:00:00"/>
    <n v="1491"/>
    <n v="20607"/>
    <s v="6343479"/>
    <s v="6343479"/>
    <m/>
    <m/>
    <m/>
    <m/>
    <m/>
    <m/>
    <s v="SOLRECOUP"/>
    <s v="SOLRECOUP"/>
    <s v="POARECOUP"/>
    <n v="21388279"/>
    <n v="-103.4"/>
    <m/>
    <s v="Y"/>
    <n v="2"/>
    <d v="2023-07-17T19:42:15"/>
    <s v="N"/>
    <m/>
    <m/>
    <s v="Expert Disbursement"/>
    <m/>
    <s v="N"/>
    <n v="0"/>
    <n v="0"/>
    <x v="8"/>
    <s v="VALIDATED"/>
    <n v="1"/>
    <s v="01.11.80.000.0000.0000"/>
    <n v="0"/>
    <s v="11"/>
    <s v="0000"/>
    <n v="5774.4"/>
    <n v="0"/>
    <s v="CREDITOR"/>
    <n v="0"/>
    <n v="0"/>
    <n v="0"/>
    <n v="0"/>
    <n v="0"/>
  </r>
  <r>
    <n v="6587958"/>
    <s v="N"/>
    <n v="21388280"/>
    <s v="3000003023210002RC"/>
    <s v="CIVIL"/>
    <d v="2023-06-28T00:00:00"/>
    <d v="2023-07-17T19:42:13"/>
    <m/>
    <d v="2023-07-17T00:00:00"/>
    <n v="1491"/>
    <n v="20607"/>
    <s v="6587958"/>
    <s v="6587958"/>
    <m/>
    <m/>
    <m/>
    <m/>
    <m/>
    <m/>
    <s v="SOLRECOUP"/>
    <s v="SOLRECOUP"/>
    <s v="POARECOUP"/>
    <n v="21388280"/>
    <n v="-86.01000000000001"/>
    <m/>
    <s v="Y"/>
    <n v="2"/>
    <d v="2023-07-17T19:42:15"/>
    <s v="N"/>
    <m/>
    <m/>
    <s v="Expert Disbursement"/>
    <m/>
    <s v="N"/>
    <n v="0"/>
    <n v="0"/>
    <x v="8"/>
    <s v="VALIDATED"/>
    <n v="1"/>
    <s v="01.11.80.000.0000.0000"/>
    <n v="0"/>
    <s v="11"/>
    <s v="0000"/>
    <n v="5774.4"/>
    <n v="0"/>
    <s v="CREDITOR"/>
    <n v="0"/>
    <n v="0"/>
    <n v="0"/>
    <n v="0"/>
    <n v="0"/>
  </r>
  <r>
    <n v="6587958"/>
    <s v="N"/>
    <n v="21388280"/>
    <s v="3000003023210002RC"/>
    <s v="CIVIL"/>
    <d v="2023-06-28T00:00:00"/>
    <d v="2023-07-17T19:42:13"/>
    <m/>
    <d v="2023-07-17T00:00:00"/>
    <n v="1491"/>
    <n v="20607"/>
    <s v="6587958"/>
    <s v="6587958"/>
    <m/>
    <m/>
    <m/>
    <m/>
    <m/>
    <m/>
    <s v="SOLRECOUP"/>
    <s v="SOLRECOUP"/>
    <s v="POARECOUP"/>
    <n v="21388280"/>
    <n v="-86.01000000000001"/>
    <m/>
    <s v="Y"/>
    <n v="1"/>
    <d v="2023-07-17T19:42:15"/>
    <s v="N"/>
    <m/>
    <m/>
    <s v="Expert Disbursement"/>
    <m/>
    <s v="N"/>
    <n v="-86.01000000000001"/>
    <n v="0"/>
    <x v="8"/>
    <s v="VALIDATED"/>
    <n v="1"/>
    <s v="01.11.80.302.2013.0000"/>
    <n v="-86.01000000000001"/>
    <s v="11"/>
    <s v="2013"/>
    <n v="5774.4"/>
    <n v="-86.01000000000001"/>
    <s v="CREDITOR"/>
    <n v="0"/>
    <n v="0"/>
    <n v="-86.01000000000001"/>
    <n v="0"/>
    <n v="0"/>
  </r>
  <r>
    <n v="62324297"/>
    <s v="N"/>
    <n v="21343570"/>
    <s v="3000016310860001"/>
    <s v="CIVIL"/>
    <d v="2023-06-28T00:00:00"/>
    <d v="2023-07-07T19:03:00"/>
    <m/>
    <d v="2023-07-07T00:00:00"/>
    <n v="1492"/>
    <n v="14701"/>
    <s v="62324297"/>
    <s v="62324297"/>
    <m/>
    <m/>
    <n v="22782986"/>
    <m/>
    <m/>
    <m/>
    <s v="SOLPOA"/>
    <s v="SOLPOA"/>
    <s v="CCMS"/>
    <n v="21343570"/>
    <n v="26.5"/>
    <m/>
    <s v="N"/>
    <n v="1"/>
    <d v="2023-07-07T19:03:10"/>
    <s v="N"/>
    <s v="Non Expert Disbursement - Private L"/>
    <s v="Non Expert Disbursement - Priv"/>
    <s v="Non Expert Disbursement"/>
    <s v="Lesley Rhodes"/>
    <s v="N"/>
    <n v="26.5"/>
    <n v="0"/>
    <x v="9"/>
    <s v="VALIDATED"/>
    <n v="1"/>
    <s v="01.11.80.307.2012.0000"/>
    <n v="26.5"/>
    <s v="11"/>
    <s v="2012"/>
    <n v="6105.37"/>
    <n v="26.5"/>
    <s v="CREDITOR"/>
    <n v="26.5"/>
    <n v="0"/>
    <n v="0"/>
    <n v="0"/>
    <n v="0"/>
  </r>
  <r>
    <n v="62121917"/>
    <s v="N"/>
    <n v="21337737"/>
    <s v="3000016145700003"/>
    <s v="CIVIL"/>
    <d v="2023-06-28T00:00:00"/>
    <d v="2023-07-06T19:21:01"/>
    <m/>
    <d v="2023-07-06T00:00:00"/>
    <n v="1492"/>
    <n v="14701"/>
    <s v="62121917"/>
    <s v="62121917"/>
    <m/>
    <m/>
    <n v="22777674"/>
    <m/>
    <m/>
    <m/>
    <s v="SOLFIN"/>
    <s v="SOLFIN"/>
    <s v="CCMS"/>
    <n v="21337737"/>
    <n v="1657.69"/>
    <m/>
    <s v="N"/>
    <n v="7"/>
    <d v="2023-07-06T19:21:06"/>
    <s v="Y"/>
    <s v="Preparation - other"/>
    <s v="Care Remuneration Hourly Rates"/>
    <s v="Profit Cost"/>
    <s v="BF"/>
    <s v="Y"/>
    <n v="60.57"/>
    <n v="12.11"/>
    <x v="4"/>
    <s v="VALIDATED"/>
    <n v="1"/>
    <s v="01.11.80.308.6100.0000"/>
    <n v="60.57"/>
    <s v="11"/>
    <s v="6100"/>
    <n v="6105.37"/>
    <n v="60.57"/>
    <s v="CREDITOR"/>
    <n v="0"/>
    <n v="0"/>
    <n v="0"/>
    <n v="0"/>
    <n v="60.57"/>
  </r>
  <r>
    <n v="62121917"/>
    <s v="N"/>
    <n v="21337737"/>
    <s v="3000016145700003"/>
    <s v="CIVIL"/>
    <d v="2023-06-28T00:00:00"/>
    <d v="2023-07-06T19:21:01"/>
    <m/>
    <d v="2023-07-06T00:00:00"/>
    <n v="1492"/>
    <n v="14701"/>
    <s v="62121917"/>
    <s v="62121917"/>
    <m/>
    <m/>
    <n v="22777674"/>
    <m/>
    <m/>
    <m/>
    <s v="SOLFIN"/>
    <s v="SOLFIN"/>
    <s v="CCMS"/>
    <n v="21337737"/>
    <n v="1657.69"/>
    <m/>
    <s v="N"/>
    <n v="26"/>
    <d v="2023-07-06T19:21:06"/>
    <s v="Y"/>
    <s v="Preparation - other"/>
    <s v="Care Remuneration Hourly Rates"/>
    <s v="Profit Cost"/>
    <s v="BF"/>
    <s v="Y"/>
    <n v="15.15"/>
    <n v="3.03"/>
    <x v="4"/>
    <s v="VALIDATED"/>
    <n v="1"/>
    <s v="01.11.80.308.6100.0000"/>
    <n v="15.15"/>
    <s v="11"/>
    <s v="6100"/>
    <n v="6105.37"/>
    <n v="15.15"/>
    <s v="CREDITOR"/>
    <n v="0"/>
    <n v="0"/>
    <n v="0"/>
    <n v="0"/>
    <n v="15.15"/>
  </r>
  <r>
    <n v="61155699"/>
    <s v="N"/>
    <n v="21320014"/>
    <s v="3000015339020009"/>
    <s v="CIVIL"/>
    <d v="2023-06-28T00:00:00"/>
    <d v="2023-07-03T19:04:24"/>
    <m/>
    <d v="2023-07-03T00:00:00"/>
    <n v="1492"/>
    <n v="14701"/>
    <s v="61155699"/>
    <s v="61155699"/>
    <m/>
    <m/>
    <n v="22777262"/>
    <m/>
    <m/>
    <m/>
    <s v="SOLPOA"/>
    <s v="SOLPOA"/>
    <s v="CCMS"/>
    <n v="21320014"/>
    <n v="2531.52"/>
    <m/>
    <s v="N"/>
    <n v="1"/>
    <d v="2023-07-03T19:04:28"/>
    <s v="N"/>
    <s v="Solicitors Fixed Fee"/>
    <s v="Public Law Children"/>
    <s v="Profit Cost"/>
    <s v="bfeld"/>
    <s v="N"/>
    <n v="2109.6"/>
    <n v="421.92"/>
    <x v="3"/>
    <s v="VALIDATED"/>
    <n v="1"/>
    <s v="01.11.80.308.2012.0000"/>
    <n v="2109.6"/>
    <s v="11"/>
    <s v="2012"/>
    <n v="6105.37"/>
    <n v="2109.6"/>
    <s v="CREDITOR"/>
    <n v="2109.6"/>
    <n v="527.4"/>
    <n v="0"/>
    <n v="0"/>
    <n v="0"/>
  </r>
  <r>
    <n v="62121917"/>
    <s v="N"/>
    <n v="21337737"/>
    <s v="3000016145700003"/>
    <s v="CIVIL"/>
    <d v="2023-06-28T00:00:00"/>
    <d v="2023-07-06T19:21:01"/>
    <m/>
    <d v="2023-07-06T00:00:00"/>
    <n v="1492"/>
    <n v="14701"/>
    <s v="62121917"/>
    <s v="62121917"/>
    <m/>
    <m/>
    <n v="22777674"/>
    <m/>
    <m/>
    <m/>
    <s v="SOLFIN"/>
    <s v="SOLFIN"/>
    <s v="CCMS"/>
    <n v="21337737"/>
    <n v="1657.69"/>
    <m/>
    <s v="N"/>
    <n v="15"/>
    <d v="2023-07-06T19:21:06"/>
    <s v="Y"/>
    <s v="Preparation - other"/>
    <s v="Care Remuneration Hourly Rates"/>
    <s v="Profit Cost"/>
    <s v="BF"/>
    <s v="Y"/>
    <n v="30.29"/>
    <n v="6.06"/>
    <x v="4"/>
    <s v="VALIDATED"/>
    <n v="1"/>
    <s v="01.11.80.308.6100.0000"/>
    <n v="30.29"/>
    <s v="11"/>
    <s v="6100"/>
    <n v="6105.37"/>
    <n v="30.29"/>
    <s v="CREDITOR"/>
    <n v="0"/>
    <n v="0"/>
    <n v="0"/>
    <n v="0"/>
    <n v="30.29"/>
  </r>
  <r>
    <n v="62121917"/>
    <s v="N"/>
    <n v="21337737"/>
    <s v="3000016145700003"/>
    <s v="CIVIL"/>
    <d v="2023-06-28T00:00:00"/>
    <d v="2023-07-06T19:21:01"/>
    <m/>
    <d v="2023-07-06T00:00:00"/>
    <n v="1492"/>
    <n v="14701"/>
    <s v="62121917"/>
    <s v="62121917"/>
    <m/>
    <m/>
    <n v="22777674"/>
    <m/>
    <m/>
    <m/>
    <s v="SOLFIN"/>
    <s v="SOLFIN"/>
    <s v="CCMS"/>
    <n v="21337737"/>
    <n v="1657.69"/>
    <m/>
    <s v="N"/>
    <n v="18"/>
    <d v="2023-07-06T19:21:06"/>
    <s v="Y"/>
    <s v="Preparation - other"/>
    <s v="Care Remuneration Hourly Rates"/>
    <s v="Profit Cost"/>
    <s v="BF"/>
    <s v="Y"/>
    <n v="53"/>
    <n v="10.6"/>
    <x v="4"/>
    <s v="VALIDATED"/>
    <n v="1"/>
    <s v="01.11.80.308.6100.0000"/>
    <n v="53"/>
    <s v="11"/>
    <s v="6100"/>
    <n v="6105.37"/>
    <n v="53"/>
    <s v="CREDITOR"/>
    <n v="0"/>
    <n v="0"/>
    <n v="0"/>
    <n v="0"/>
    <n v="53"/>
  </r>
  <r>
    <n v="62121917"/>
    <s v="N"/>
    <n v="21337737"/>
    <s v="3000016145700003"/>
    <s v="CIVIL"/>
    <d v="2023-06-28T00:00:00"/>
    <d v="2023-07-06T19:21:01"/>
    <m/>
    <d v="2023-07-06T00:00:00"/>
    <n v="1492"/>
    <n v="14701"/>
    <s v="62121917"/>
    <s v="62121917"/>
    <m/>
    <m/>
    <n v="22777674"/>
    <m/>
    <m/>
    <m/>
    <s v="SOLFIN"/>
    <s v="SOLFIN"/>
    <s v="CCMS"/>
    <n v="21337737"/>
    <n v="1657.69"/>
    <m/>
    <s v="N"/>
    <n v="17"/>
    <d v="2023-07-06T19:21:06"/>
    <s v="Y"/>
    <s v="Preparation - other"/>
    <s v="Care Remuneration Hourly Rates"/>
    <s v="Profit Cost"/>
    <s v="BF"/>
    <s v="Y"/>
    <n v="45.43"/>
    <n v="9.09"/>
    <x v="4"/>
    <s v="VALIDATED"/>
    <n v="1"/>
    <s v="01.11.80.308.6100.0000"/>
    <n v="45.43"/>
    <s v="11"/>
    <s v="6100"/>
    <n v="6105.37"/>
    <n v="45.43"/>
    <s v="CREDITOR"/>
    <n v="0"/>
    <n v="0"/>
    <n v="0"/>
    <n v="0"/>
    <n v="45.43"/>
  </r>
  <r>
    <n v="62121917"/>
    <s v="N"/>
    <n v="21337737"/>
    <s v="3000016145700003"/>
    <s v="CIVIL"/>
    <d v="2023-06-28T00:00:00"/>
    <d v="2023-07-06T19:21:01"/>
    <m/>
    <d v="2023-07-06T00:00:00"/>
    <n v="1492"/>
    <n v="14701"/>
    <s v="62121917"/>
    <s v="62121917"/>
    <m/>
    <m/>
    <n v="22777674"/>
    <m/>
    <m/>
    <m/>
    <s v="SOLFIN"/>
    <s v="SOLFIN"/>
    <s v="CCMS"/>
    <n v="21337737"/>
    <n v="1657.69"/>
    <m/>
    <s v="N"/>
    <n v="12"/>
    <d v="2023-07-06T19:21:06"/>
    <s v="Y"/>
    <s v="Preparation - other"/>
    <s v="Care Remuneration Hourly Rates"/>
    <s v="Profit Cost"/>
    <s v="BF"/>
    <s v="Y"/>
    <n v="45.43"/>
    <n v="9.09"/>
    <x v="4"/>
    <s v="VALIDATED"/>
    <n v="1"/>
    <s v="01.11.80.308.6100.0000"/>
    <n v="45.43"/>
    <s v="11"/>
    <s v="6100"/>
    <n v="6105.37"/>
    <n v="45.43"/>
    <s v="CREDITOR"/>
    <n v="0"/>
    <n v="0"/>
    <n v="0"/>
    <n v="0"/>
    <n v="45.43"/>
  </r>
  <r>
    <n v="62121917"/>
    <s v="N"/>
    <n v="21337737"/>
    <s v="3000016145700003"/>
    <s v="CIVIL"/>
    <d v="2023-06-28T00:00:00"/>
    <d v="2023-07-06T19:21:01"/>
    <m/>
    <d v="2023-07-06T00:00:00"/>
    <n v="1492"/>
    <n v="14701"/>
    <s v="62121917"/>
    <s v="62121917"/>
    <m/>
    <m/>
    <n v="22777674"/>
    <m/>
    <m/>
    <m/>
    <s v="SOLFIN"/>
    <s v="SOLFIN"/>
    <s v="CCMS"/>
    <n v="21337737"/>
    <n v="1657.69"/>
    <m/>
    <s v="N"/>
    <n v="9"/>
    <d v="2023-07-06T19:21:06"/>
    <s v="Y"/>
    <s v="Preparation - other"/>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16"/>
    <d v="2023-07-06T19:21:06"/>
    <s v="Y"/>
    <s v="Preparation - other"/>
    <s v="Care Remuneration Hourly Rates"/>
    <s v="Profit Cost"/>
    <s v="BF"/>
    <s v="Y"/>
    <n v="37.86"/>
    <n v="7.57"/>
    <x v="4"/>
    <s v="VALIDATED"/>
    <n v="1"/>
    <s v="01.11.80.308.6100.0000"/>
    <n v="37.86"/>
    <s v="11"/>
    <s v="6100"/>
    <n v="6105.37"/>
    <n v="37.86"/>
    <s v="CREDITOR"/>
    <n v="0"/>
    <n v="0"/>
    <n v="0"/>
    <n v="0"/>
    <n v="37.86"/>
  </r>
  <r>
    <n v="62121917"/>
    <s v="N"/>
    <n v="21337737"/>
    <s v="3000016145700003"/>
    <s v="CIVIL"/>
    <d v="2023-06-28T00:00:00"/>
    <d v="2023-07-06T19:21:01"/>
    <m/>
    <d v="2023-07-06T00:00:00"/>
    <n v="1492"/>
    <n v="14701"/>
    <s v="62121917"/>
    <s v="62121917"/>
    <m/>
    <m/>
    <n v="22777674"/>
    <m/>
    <m/>
    <m/>
    <s v="SOLFIN"/>
    <s v="SOLFIN"/>
    <s v="CCMS"/>
    <n v="21337737"/>
    <n v="1657.69"/>
    <m/>
    <s v="N"/>
    <n v="10"/>
    <d v="2023-07-06T19:21:06"/>
    <s v="Y"/>
    <s v="Attendance upon client"/>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19"/>
    <d v="2023-07-06T19:21:06"/>
    <s v="Y"/>
    <s v="Attendance upon client"/>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6"/>
    <d v="2023-07-06T19:21:06"/>
    <s v="Y"/>
    <s v="Preparation - drafting notice(s)"/>
    <s v="Care Remuneration Hourly Rates"/>
    <s v="Profit Cost"/>
    <s v="BF"/>
    <s v="Y"/>
    <n v="7.57"/>
    <n v="1.51"/>
    <x v="4"/>
    <s v="VALIDATED"/>
    <n v="1"/>
    <s v="01.11.80.308.6100.0000"/>
    <n v="7.57"/>
    <s v="11"/>
    <s v="6100"/>
    <n v="6105.37"/>
    <n v="7.57"/>
    <s v="CREDITOR"/>
    <n v="0"/>
    <n v="0"/>
    <n v="0"/>
    <n v="0"/>
    <n v="7.57"/>
  </r>
  <r>
    <n v="62121917"/>
    <s v="N"/>
    <n v="21337737"/>
    <s v="3000016145700003"/>
    <s v="CIVIL"/>
    <d v="2023-06-28T00:00:00"/>
    <d v="2023-07-06T19:21:01"/>
    <m/>
    <d v="2023-07-06T00:00:00"/>
    <n v="1492"/>
    <n v="14701"/>
    <s v="62121917"/>
    <s v="62121917"/>
    <m/>
    <m/>
    <n v="22777674"/>
    <m/>
    <m/>
    <m/>
    <s v="SOLFIN"/>
    <s v="SOLFIN"/>
    <s v="CCMS"/>
    <n v="21337737"/>
    <n v="1657.69"/>
    <m/>
    <s v="N"/>
    <n v="2"/>
    <d v="2023-07-06T19:21:06"/>
    <s v="Y"/>
    <s v="Preparation - other"/>
    <s v="Care Remuneration Hourly Rates"/>
    <s v="Profit Cost"/>
    <s v="BF"/>
    <s v="Y"/>
    <n v="37.86"/>
    <n v="7.57"/>
    <x v="4"/>
    <s v="VALIDATED"/>
    <n v="1"/>
    <s v="01.11.80.308.6100.0000"/>
    <n v="37.86"/>
    <s v="11"/>
    <s v="6100"/>
    <n v="6105.37"/>
    <n v="37.86"/>
    <s v="CREDITOR"/>
    <n v="0"/>
    <n v="0"/>
    <n v="0"/>
    <n v="0"/>
    <n v="37.86"/>
  </r>
  <r>
    <n v="62121917"/>
    <s v="N"/>
    <n v="21337737"/>
    <s v="3000016145700003"/>
    <s v="CIVIL"/>
    <d v="2023-06-28T00:00:00"/>
    <d v="2023-07-06T19:21:01"/>
    <m/>
    <d v="2023-07-06T00:00:00"/>
    <n v="1492"/>
    <n v="14701"/>
    <s v="62121917"/>
    <s v="62121917"/>
    <m/>
    <m/>
    <n v="22777674"/>
    <m/>
    <m/>
    <m/>
    <s v="SOLFIN"/>
    <s v="SOLFIN"/>
    <s v="CCMS"/>
    <n v="21337737"/>
    <n v="1657.69"/>
    <m/>
    <s v="N"/>
    <n v="31"/>
    <d v="2023-07-06T19:21:06"/>
    <s v="Y"/>
    <s v="Routine Letter Out"/>
    <s v="Care Remuneration Hourly Rates"/>
    <s v="Profit Cost"/>
    <s v="BF"/>
    <s v="Y"/>
    <n v="175.12"/>
    <n v="35.03"/>
    <x v="4"/>
    <s v="VALIDATED"/>
    <n v="1"/>
    <s v="01.11.80.308.6100.0000"/>
    <n v="175.12"/>
    <s v="11"/>
    <s v="6100"/>
    <n v="6105.37"/>
    <n v="175.12"/>
    <s v="CREDITOR"/>
    <n v="0"/>
    <n v="0"/>
    <n v="0"/>
    <n v="0"/>
    <n v="175.12"/>
  </r>
  <r>
    <n v="62121917"/>
    <s v="N"/>
    <n v="21337737"/>
    <s v="3000016145700003"/>
    <s v="CIVIL"/>
    <d v="2023-06-28T00:00:00"/>
    <d v="2023-07-06T19:21:01"/>
    <m/>
    <d v="2023-07-06T00:00:00"/>
    <n v="1492"/>
    <n v="14701"/>
    <s v="62121917"/>
    <s v="62121917"/>
    <m/>
    <m/>
    <n v="22777674"/>
    <m/>
    <m/>
    <m/>
    <s v="SOLFIN"/>
    <s v="SOLFIN"/>
    <s v="CCMS"/>
    <n v="21337737"/>
    <n v="1657.69"/>
    <m/>
    <s v="N"/>
    <n v="20"/>
    <d v="2023-07-06T19:21:06"/>
    <s v="Y"/>
    <s v="Preparation - other"/>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11"/>
    <d v="2023-07-06T19:21:06"/>
    <s v="Y"/>
    <s v="Preparation - other"/>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1"/>
    <d v="2023-07-06T19:21:06"/>
    <s v="Y"/>
    <s v="Attendance upon client"/>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22"/>
    <d v="2023-07-06T19:21:06"/>
    <s v="Y"/>
    <s v="Preparation - other"/>
    <s v="Care Remuneration Hourly Rates"/>
    <s v="Profit Cost"/>
    <s v="BF"/>
    <s v="Y"/>
    <n v="7.57"/>
    <n v="1.51"/>
    <x v="4"/>
    <s v="VALIDATED"/>
    <n v="1"/>
    <s v="01.11.80.308.6100.0000"/>
    <n v="7.57"/>
    <s v="11"/>
    <s v="6100"/>
    <n v="6105.37"/>
    <n v="7.57"/>
    <s v="CREDITOR"/>
    <n v="0"/>
    <n v="0"/>
    <n v="0"/>
    <n v="0"/>
    <n v="7.57"/>
  </r>
  <r>
    <n v="62121917"/>
    <s v="N"/>
    <n v="21337737"/>
    <s v="3000016145700003"/>
    <s v="CIVIL"/>
    <d v="2023-06-28T00:00:00"/>
    <d v="2023-07-06T19:21:01"/>
    <m/>
    <d v="2023-07-06T00:00:00"/>
    <n v="1492"/>
    <n v="14701"/>
    <s v="62121917"/>
    <s v="62121917"/>
    <m/>
    <m/>
    <n v="22777674"/>
    <m/>
    <m/>
    <m/>
    <s v="SOLFIN"/>
    <s v="SOLFIN"/>
    <s v="CCMS"/>
    <n v="21337737"/>
    <n v="1657.69"/>
    <m/>
    <s v="N"/>
    <n v="3"/>
    <d v="2023-07-06T19:21:06"/>
    <s v="Y"/>
    <s v="Attendance upon client"/>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21"/>
    <d v="2023-07-06T19:21:06"/>
    <s v="Y"/>
    <s v="Preparation - other"/>
    <s v="Care Remuneration Hourly Rates"/>
    <s v="Profit Cost"/>
    <s v="BF"/>
    <s v="Y"/>
    <n v="45.43"/>
    <n v="9.09"/>
    <x v="4"/>
    <s v="VALIDATED"/>
    <n v="1"/>
    <s v="01.11.80.308.6100.0000"/>
    <n v="45.43"/>
    <s v="11"/>
    <s v="6100"/>
    <n v="6105.37"/>
    <n v="45.43"/>
    <s v="CREDITOR"/>
    <n v="0"/>
    <n v="0"/>
    <n v="0"/>
    <n v="0"/>
    <n v="45.43"/>
  </r>
  <r>
    <n v="61108278"/>
    <s v="N"/>
    <n v="21319968"/>
    <s v="3000015299090010"/>
    <s v="CIVIL"/>
    <d v="2023-06-28T00:00:00"/>
    <d v="2023-07-03T19:04:24"/>
    <m/>
    <d v="2023-07-03T00:00:00"/>
    <n v="1492"/>
    <n v="14701"/>
    <s v="61108278"/>
    <s v="61108278"/>
    <m/>
    <m/>
    <n v="22777394"/>
    <m/>
    <m/>
    <m/>
    <s v="SOLPOA"/>
    <s v="SOLPOA"/>
    <s v="CCMS"/>
    <n v="21319968"/>
    <n v="3106.56"/>
    <m/>
    <s v="N"/>
    <n v="1"/>
    <d v="2023-07-03T19:04:28"/>
    <s v="N"/>
    <s v="Solicitors Fixed Fee"/>
    <s v="Public Law Children"/>
    <s v="Profit Cost"/>
    <s v="bfeld"/>
    <s v="N"/>
    <n v="2588.8"/>
    <n v="517.76"/>
    <x v="3"/>
    <s v="VALIDATED"/>
    <n v="1"/>
    <s v="01.11.80.308.2012.0000"/>
    <n v="2588.8"/>
    <s v="11"/>
    <s v="2012"/>
    <n v="6105.37"/>
    <n v="2588.8"/>
    <s v="CREDITOR"/>
    <n v="2588.8"/>
    <n v="647.2"/>
    <n v="0"/>
    <n v="0"/>
    <n v="0"/>
  </r>
  <r>
    <n v="62121917"/>
    <s v="N"/>
    <n v="21337737"/>
    <s v="3000016145700003"/>
    <s v="CIVIL"/>
    <d v="2023-06-28T00:00:00"/>
    <d v="2023-07-06T19:21:01"/>
    <m/>
    <d v="2023-07-06T00:00:00"/>
    <n v="1492"/>
    <n v="14701"/>
    <s v="62121917"/>
    <s v="62121917"/>
    <m/>
    <m/>
    <n v="22777674"/>
    <m/>
    <m/>
    <m/>
    <s v="SOLFIN"/>
    <s v="SOLFIN"/>
    <s v="CCMS"/>
    <n v="21337737"/>
    <n v="1657.69"/>
    <m/>
    <s v="N"/>
    <n v="25"/>
    <d v="2023-07-06T19:21:06"/>
    <s v="Y"/>
    <s v="Preparation - other"/>
    <s v="Care Remuneration Hourly Rates"/>
    <s v="Profit Cost"/>
    <s v="BF"/>
    <s v="Y"/>
    <n v="15.15"/>
    <n v="3.03"/>
    <x v="4"/>
    <s v="VALIDATED"/>
    <n v="1"/>
    <s v="01.11.80.308.6100.0000"/>
    <n v="15.15"/>
    <s v="11"/>
    <s v="6100"/>
    <n v="6105.37"/>
    <n v="15.15"/>
    <s v="CREDITOR"/>
    <n v="0"/>
    <n v="0"/>
    <n v="0"/>
    <n v="0"/>
    <n v="15.15"/>
  </r>
  <r>
    <n v="62121917"/>
    <s v="N"/>
    <n v="21337737"/>
    <s v="3000016145700003"/>
    <s v="CIVIL"/>
    <d v="2023-06-28T00:00:00"/>
    <d v="2023-07-06T19:21:01"/>
    <m/>
    <d v="2023-07-06T00:00:00"/>
    <n v="1492"/>
    <n v="14701"/>
    <s v="62121917"/>
    <s v="62121917"/>
    <m/>
    <m/>
    <n v="22777674"/>
    <m/>
    <m/>
    <m/>
    <s v="SOLFIN"/>
    <s v="SOLFIN"/>
    <s v="CCMS"/>
    <n v="21337737"/>
    <n v="1657.69"/>
    <m/>
    <s v="N"/>
    <n v="14"/>
    <d v="2023-07-06T19:21:06"/>
    <s v="Y"/>
    <s v="Attendance upon client"/>
    <s v="Care Remuneration Hourly Rates"/>
    <s v="Profit Cost"/>
    <s v="BF"/>
    <s v="Y"/>
    <n v="45.43"/>
    <n v="9.09"/>
    <x v="4"/>
    <s v="VALIDATED"/>
    <n v="1"/>
    <s v="01.11.80.308.6100.0000"/>
    <n v="45.43"/>
    <s v="11"/>
    <s v="6100"/>
    <n v="6105.37"/>
    <n v="45.43"/>
    <s v="CREDITOR"/>
    <n v="0"/>
    <n v="0"/>
    <n v="0"/>
    <n v="0"/>
    <n v="45.43"/>
  </r>
  <r>
    <n v="62121917"/>
    <s v="N"/>
    <n v="21337737"/>
    <s v="3000016145700003"/>
    <s v="CIVIL"/>
    <d v="2023-06-28T00:00:00"/>
    <d v="2023-07-06T19:21:01"/>
    <m/>
    <d v="2023-07-06T00:00:00"/>
    <n v="1492"/>
    <n v="14701"/>
    <s v="62121917"/>
    <s v="62121917"/>
    <m/>
    <m/>
    <n v="22777674"/>
    <m/>
    <m/>
    <m/>
    <s v="SOLFIN"/>
    <s v="SOLFIN"/>
    <s v="CCMS"/>
    <n v="21337737"/>
    <n v="1657.69"/>
    <m/>
    <s v="N"/>
    <n v="32"/>
    <d v="2023-07-06T19:21:06"/>
    <s v="Y"/>
    <s v="Routine Letter In"/>
    <s v="Care Remuneration Hourly Rates"/>
    <s v="Profit Cost"/>
    <s v="BF"/>
    <s v="Y"/>
    <n v="170.66"/>
    <n v="34.13"/>
    <x v="4"/>
    <s v="VALIDATED"/>
    <n v="1"/>
    <s v="01.11.80.308.6100.0000"/>
    <n v="170.66"/>
    <s v="11"/>
    <s v="6100"/>
    <n v="6105.37"/>
    <n v="170.66"/>
    <s v="CREDITOR"/>
    <n v="0"/>
    <n v="0"/>
    <n v="0"/>
    <n v="0"/>
    <n v="170.66"/>
  </r>
  <r>
    <n v="62121917"/>
    <s v="N"/>
    <n v="21337737"/>
    <s v="3000016145700003"/>
    <s v="CIVIL"/>
    <d v="2023-06-28T00:00:00"/>
    <d v="2023-07-06T19:21:01"/>
    <m/>
    <d v="2023-07-06T00:00:00"/>
    <n v="1492"/>
    <n v="14701"/>
    <s v="62121917"/>
    <s v="62121917"/>
    <m/>
    <m/>
    <n v="22777674"/>
    <m/>
    <m/>
    <m/>
    <s v="SOLFIN"/>
    <s v="SOLFIN"/>
    <s v="CCMS"/>
    <n v="21337737"/>
    <n v="1657.69"/>
    <m/>
    <s v="N"/>
    <n v="24"/>
    <d v="2023-07-06T19:21:06"/>
    <s v="Y"/>
    <s v="Preparation - other"/>
    <s v="Care Remuneration Hourly Rates"/>
    <s v="Profit Cost"/>
    <s v="BF"/>
    <s v="Y"/>
    <n v="60.57"/>
    <n v="12.11"/>
    <x v="4"/>
    <s v="VALIDATED"/>
    <n v="1"/>
    <s v="01.11.80.308.6100.0000"/>
    <n v="60.57"/>
    <s v="11"/>
    <s v="6100"/>
    <n v="6105.37"/>
    <n v="60.57"/>
    <s v="CREDITOR"/>
    <n v="0"/>
    <n v="0"/>
    <n v="0"/>
    <n v="0"/>
    <n v="60.57"/>
  </r>
  <r>
    <n v="62121917"/>
    <s v="N"/>
    <n v="21337737"/>
    <s v="3000016145700003"/>
    <s v="CIVIL"/>
    <d v="2023-06-28T00:00:00"/>
    <d v="2023-07-06T19:21:01"/>
    <m/>
    <d v="2023-07-06T00:00:00"/>
    <n v="1492"/>
    <n v="14701"/>
    <s v="62121917"/>
    <s v="62121917"/>
    <m/>
    <m/>
    <n v="22777674"/>
    <m/>
    <m/>
    <m/>
    <s v="SOLFIN"/>
    <s v="SOLFIN"/>
    <s v="CCMS"/>
    <n v="21337737"/>
    <n v="1657.69"/>
    <m/>
    <s v="N"/>
    <n v="4"/>
    <d v="2023-07-06T19:21:06"/>
    <s v="Y"/>
    <s v="Preparation - other"/>
    <s v="Care Remuneration Hourly Rates"/>
    <s v="Profit Cost"/>
    <s v="BF"/>
    <s v="Y"/>
    <n v="15.15"/>
    <n v="3.03"/>
    <x v="4"/>
    <s v="VALIDATED"/>
    <n v="1"/>
    <s v="01.11.80.308.6100.0000"/>
    <n v="15.15"/>
    <s v="11"/>
    <s v="6100"/>
    <n v="6105.37"/>
    <n v="15.15"/>
    <s v="CREDITOR"/>
    <n v="0"/>
    <n v="0"/>
    <n v="0"/>
    <n v="0"/>
    <n v="15.15"/>
  </r>
  <r>
    <n v="62121917"/>
    <s v="N"/>
    <n v="21337737"/>
    <s v="3000016145700003"/>
    <s v="CIVIL"/>
    <d v="2023-06-28T00:00:00"/>
    <d v="2023-07-06T19:21:01"/>
    <m/>
    <d v="2023-07-06T00:00:00"/>
    <n v="1492"/>
    <n v="14701"/>
    <s v="62121917"/>
    <s v="62121917"/>
    <m/>
    <m/>
    <n v="22777674"/>
    <m/>
    <m/>
    <m/>
    <s v="SOLFIN"/>
    <s v="SOLFIN"/>
    <s v="CCMS"/>
    <n v="21337737"/>
    <n v="1657.69"/>
    <m/>
    <s v="N"/>
    <n v="8"/>
    <d v="2023-07-06T19:21:06"/>
    <s v="Y"/>
    <s v="Preparation - other"/>
    <s v="Care Remuneration Hourly Rates"/>
    <s v="Profit Cost"/>
    <s v="BF"/>
    <s v="Y"/>
    <n v="98.43000000000001"/>
    <n v="19.68"/>
    <x v="4"/>
    <s v="VALIDATED"/>
    <n v="1"/>
    <s v="01.11.80.308.6100.0000"/>
    <n v="98.43000000000001"/>
    <s v="11"/>
    <s v="6100"/>
    <n v="6105.37"/>
    <n v="98.43000000000001"/>
    <s v="CREDITOR"/>
    <n v="0"/>
    <n v="0"/>
    <n v="0"/>
    <n v="0"/>
    <n v="98.43000000000001"/>
  </r>
  <r>
    <n v="62121917"/>
    <s v="N"/>
    <n v="21337737"/>
    <s v="3000016145700003"/>
    <s v="CIVIL"/>
    <d v="2023-06-28T00:00:00"/>
    <d v="2023-07-06T19:21:01"/>
    <m/>
    <d v="2023-07-06T00:00:00"/>
    <n v="1492"/>
    <n v="14701"/>
    <s v="62121917"/>
    <s v="62121917"/>
    <m/>
    <m/>
    <n v="22777674"/>
    <m/>
    <m/>
    <m/>
    <s v="SOLFIN"/>
    <s v="SOLFIN"/>
    <s v="CCMS"/>
    <n v="21337737"/>
    <n v="1657.69"/>
    <m/>
    <s v="N"/>
    <n v="30"/>
    <d v="2023-07-06T19:21:06"/>
    <s v="Y"/>
    <s v="Preparation - drafting bill/claim f"/>
    <s v="Care Remuneration Hourly Rates"/>
    <s v="Profit Cost"/>
    <s v="CD"/>
    <s v="Y"/>
    <n v="26.34"/>
    <n v="5.27"/>
    <x v="4"/>
    <s v="VALIDATED"/>
    <n v="1"/>
    <s v="01.11.80.308.6100.0000"/>
    <n v="26.34"/>
    <s v="11"/>
    <s v="6100"/>
    <n v="6105.37"/>
    <n v="26.34"/>
    <s v="CREDITOR"/>
    <n v="0"/>
    <n v="0"/>
    <n v="0"/>
    <n v="0"/>
    <n v="26.34"/>
  </r>
  <r>
    <n v="62121917"/>
    <s v="N"/>
    <n v="21337737"/>
    <s v="3000016145700003"/>
    <s v="CIVIL"/>
    <d v="2023-06-28T00:00:00"/>
    <d v="2023-07-06T19:21:01"/>
    <m/>
    <d v="2023-07-06T00:00:00"/>
    <n v="1492"/>
    <n v="14701"/>
    <s v="62121917"/>
    <s v="62121917"/>
    <m/>
    <m/>
    <n v="22777674"/>
    <m/>
    <m/>
    <m/>
    <s v="SOLFIN"/>
    <s v="SOLFIN"/>
    <s v="CCMS"/>
    <n v="21337737"/>
    <n v="1657.69"/>
    <m/>
    <s v="N"/>
    <n v="29"/>
    <d v="2023-07-06T19:21:06"/>
    <s v="Y"/>
    <s v="Preparation - drafting bill/claim f"/>
    <s v="Care Remuneration Hourly Rates"/>
    <s v="Profit Cost"/>
    <s v="BF"/>
    <s v="Y"/>
    <n v="22.71"/>
    <n v="4.54"/>
    <x v="4"/>
    <s v="VALIDATED"/>
    <n v="1"/>
    <s v="01.11.80.308.6100.0000"/>
    <n v="22.71"/>
    <s v="11"/>
    <s v="6100"/>
    <n v="6105.37"/>
    <n v="22.71"/>
    <s v="CREDITOR"/>
    <n v="0"/>
    <n v="0"/>
    <n v="0"/>
    <n v="0"/>
    <n v="22.71"/>
  </r>
  <r>
    <n v="62121917"/>
    <s v="N"/>
    <n v="21337737"/>
    <s v="3000016145700003"/>
    <s v="CIVIL"/>
    <d v="2023-06-28T00:00:00"/>
    <d v="2023-07-06T19:21:01"/>
    <m/>
    <d v="2023-07-06T00:00:00"/>
    <n v="1492"/>
    <n v="14701"/>
    <s v="62121917"/>
    <s v="62121917"/>
    <m/>
    <m/>
    <n v="22777674"/>
    <m/>
    <m/>
    <m/>
    <s v="SOLFIN"/>
    <s v="SOLFIN"/>
    <s v="CCMS"/>
    <n v="21337737"/>
    <n v="1657.69"/>
    <m/>
    <s v="N"/>
    <n v="5"/>
    <d v="2023-07-06T19:21:06"/>
    <s v="Y"/>
    <s v="Preparation - drafting notice(s)"/>
    <s v="Care Remuneration Hourly Rates"/>
    <s v="Profit Cost"/>
    <s v="BF"/>
    <s v="Y"/>
    <n v="7.57"/>
    <n v="1.51"/>
    <x v="4"/>
    <s v="VALIDATED"/>
    <n v="1"/>
    <s v="01.11.80.308.6100.0000"/>
    <n v="7.57"/>
    <s v="11"/>
    <s v="6100"/>
    <n v="6105.37"/>
    <n v="7.57"/>
    <s v="CREDITOR"/>
    <n v="0"/>
    <n v="0"/>
    <n v="0"/>
    <n v="0"/>
    <n v="7.57"/>
  </r>
  <r>
    <n v="62121917"/>
    <s v="N"/>
    <n v="21337737"/>
    <s v="3000016145700003"/>
    <s v="CIVIL"/>
    <d v="2023-06-28T00:00:00"/>
    <d v="2023-07-06T19:21:01"/>
    <m/>
    <d v="2023-07-06T00:00:00"/>
    <n v="1492"/>
    <n v="14701"/>
    <s v="62121917"/>
    <s v="62121917"/>
    <m/>
    <m/>
    <n v="22777674"/>
    <m/>
    <m/>
    <m/>
    <s v="SOLFIN"/>
    <s v="SOLFIN"/>
    <s v="CCMS"/>
    <n v="21337737"/>
    <n v="1657.69"/>
    <m/>
    <s v="N"/>
    <n v="28"/>
    <d v="2023-07-06T19:21:06"/>
    <s v="Y"/>
    <s v="Preparation - drafting bill/claim f"/>
    <s v="Care Remuneration Hourly Rates"/>
    <s v="Profit Cost"/>
    <s v="CD"/>
    <s v="Y"/>
    <n v="85.59"/>
    <n v="17.12"/>
    <x v="4"/>
    <s v="VALIDATED"/>
    <n v="1"/>
    <s v="01.11.80.308.6100.0000"/>
    <n v="85.59"/>
    <s v="11"/>
    <s v="6100"/>
    <n v="6105.37"/>
    <n v="85.59"/>
    <s v="CREDITOR"/>
    <n v="0"/>
    <n v="0"/>
    <n v="0"/>
    <n v="0"/>
    <n v="85.59"/>
  </r>
  <r>
    <n v="62121917"/>
    <s v="N"/>
    <n v="21337737"/>
    <s v="3000016145700003"/>
    <s v="CIVIL"/>
    <d v="2023-06-28T00:00:00"/>
    <d v="2023-07-06T19:21:01"/>
    <m/>
    <d v="2023-07-06T00:00:00"/>
    <n v="1492"/>
    <n v="14701"/>
    <s v="62121917"/>
    <s v="62121917"/>
    <m/>
    <m/>
    <n v="22777674"/>
    <m/>
    <m/>
    <m/>
    <s v="SOLFIN"/>
    <s v="SOLFIN"/>
    <s v="CCMS"/>
    <n v="21337737"/>
    <n v="1657.69"/>
    <m/>
    <s v="N"/>
    <n v="27"/>
    <d v="2023-07-06T19:21:06"/>
    <s v="Y"/>
    <s v="Preparation - other"/>
    <s v="Care Remuneration Hourly Rates"/>
    <s v="Profit Cost"/>
    <s v="BF"/>
    <s v="Y"/>
    <n v="22.71"/>
    <n v="4.54"/>
    <x v="4"/>
    <s v="VALIDATED"/>
    <n v="1"/>
    <s v="01.11.80.308.6100.0000"/>
    <n v="22.71"/>
    <s v="11"/>
    <s v="6100"/>
    <n v="6105.37"/>
    <n v="22.71"/>
    <s v="CREDITOR"/>
    <n v="0"/>
    <n v="0"/>
    <n v="0"/>
    <n v="0"/>
    <n v="22.71"/>
  </r>
  <r>
    <n v="60821426"/>
    <s v="N"/>
    <n v="21319249"/>
    <s v="3000015053870009"/>
    <s v="CIVIL"/>
    <d v="2023-06-28T00:00:00"/>
    <d v="2023-07-03T19:04:24"/>
    <m/>
    <d v="2023-07-03T00:00:00"/>
    <n v="1492"/>
    <n v="14701"/>
    <s v="60821426"/>
    <s v="60821426"/>
    <m/>
    <m/>
    <n v="22777556"/>
    <m/>
    <m/>
    <m/>
    <s v="SOLPOA"/>
    <s v="SOLPOA"/>
    <s v="CCMS"/>
    <n v="21319249"/>
    <n v="1589.76"/>
    <m/>
    <s v="N"/>
    <n v="1"/>
    <d v="2023-07-03T19:04:24"/>
    <s v="N"/>
    <s v="Solicitors Fixed Fee"/>
    <s v="Public Law Children"/>
    <s v="Profit Cost"/>
    <s v="bfeld"/>
    <s v="N"/>
    <n v="1324.8"/>
    <n v="264.96"/>
    <x v="3"/>
    <s v="VALIDATED"/>
    <n v="1"/>
    <s v="01.11.80.308.2012.0000"/>
    <n v="1324.8"/>
    <s v="11"/>
    <s v="2012"/>
    <n v="6105.37"/>
    <n v="1324.8"/>
    <s v="CREDITOR"/>
    <n v="1324.8"/>
    <n v="331.2"/>
    <n v="0"/>
    <n v="0"/>
    <n v="0"/>
  </r>
  <r>
    <n v="62121917"/>
    <s v="N"/>
    <n v="21337737"/>
    <s v="3000016145700003"/>
    <s v="CIVIL"/>
    <d v="2023-06-28T00:00:00"/>
    <d v="2023-07-06T19:21:01"/>
    <m/>
    <d v="2023-07-06T00:00:00"/>
    <n v="1492"/>
    <n v="14701"/>
    <s v="62121917"/>
    <s v="62121917"/>
    <m/>
    <m/>
    <n v="22777674"/>
    <m/>
    <m/>
    <m/>
    <s v="SOLFIN"/>
    <s v="SOLFIN"/>
    <s v="CCMS"/>
    <n v="21337737"/>
    <n v="1657.69"/>
    <m/>
    <s v="N"/>
    <n v="13"/>
    <d v="2023-07-06T19:21:06"/>
    <s v="Y"/>
    <s v="Preparation - drafting instructions"/>
    <s v="Care Remuneration Hourly Rates"/>
    <s v="Profit Cost"/>
    <s v="BF"/>
    <s v="Y"/>
    <n v="75.72"/>
    <n v="15.14"/>
    <x v="4"/>
    <s v="VALIDATED"/>
    <n v="1"/>
    <s v="01.11.80.308.6100.0000"/>
    <n v="75.72"/>
    <s v="11"/>
    <s v="6100"/>
    <n v="6105.37"/>
    <n v="75.72"/>
    <s v="CREDITOR"/>
    <n v="0"/>
    <n v="0"/>
    <n v="0"/>
    <n v="0"/>
    <n v="75.72"/>
  </r>
  <r>
    <n v="62121917"/>
    <s v="N"/>
    <n v="21337737"/>
    <s v="3000016145700003"/>
    <s v="CIVIL"/>
    <d v="2023-06-28T00:00:00"/>
    <d v="2023-07-06T19:21:01"/>
    <m/>
    <d v="2023-07-06T00:00:00"/>
    <n v="1492"/>
    <n v="14701"/>
    <s v="62121917"/>
    <s v="62121917"/>
    <m/>
    <m/>
    <n v="22777674"/>
    <m/>
    <m/>
    <m/>
    <s v="SOLFIN"/>
    <s v="SOLFIN"/>
    <s v="CCMS"/>
    <n v="21337737"/>
    <n v="1657.69"/>
    <m/>
    <s v="N"/>
    <n v="23"/>
    <d v="2023-07-06T19:21:06"/>
    <s v="Y"/>
    <s v="Preparation - other"/>
    <s v="Care Remuneration Hourly Rates"/>
    <s v="Profit Cost"/>
    <s v="BF"/>
    <s v="Y"/>
    <n v="15.15"/>
    <n v="3.03"/>
    <x v="4"/>
    <s v="VALIDATED"/>
    <n v="1"/>
    <s v="01.11.80.308.6100.0000"/>
    <n v="15.15"/>
    <s v="11"/>
    <s v="6100"/>
    <n v="6105.37"/>
    <n v="15.15"/>
    <s v="CREDITOR"/>
    <n v="0"/>
    <n v="0"/>
    <n v="0"/>
    <n v="0"/>
    <n v="15.15"/>
  </r>
  <r>
    <n v="62121917"/>
    <s v="N"/>
    <n v="21340057"/>
    <s v="3000016145700002RC"/>
    <s v="CIVIL"/>
    <d v="2023-06-28T00:00:00"/>
    <d v="2023-07-06T19:54:22"/>
    <m/>
    <d v="2023-07-06T00:00:00"/>
    <n v="1492"/>
    <n v="14701"/>
    <s v="62121917"/>
    <s v="62121917"/>
    <m/>
    <m/>
    <m/>
    <m/>
    <m/>
    <m/>
    <s v="SOLRECOUP"/>
    <s v="SOLRECOUP"/>
    <s v="POARECOUP"/>
    <n v="21340057"/>
    <n v="-1325.76"/>
    <m/>
    <s v="Y"/>
    <n v="1"/>
    <d v="2023-07-06T19:54:23"/>
    <s v="N"/>
    <m/>
    <m/>
    <s v="Profit Cost"/>
    <m/>
    <s v="N"/>
    <n v="-1104.8"/>
    <n v="0"/>
    <x v="4"/>
    <s v="VALIDATED"/>
    <n v="1"/>
    <s v="01.11.80.308.2013.0000"/>
    <n v="-1104.8"/>
    <s v="11"/>
    <s v="2013"/>
    <n v="6105.37"/>
    <n v="-1104.8"/>
    <s v="CREDITOR"/>
    <n v="0"/>
    <n v="0"/>
    <n v="-1104.8"/>
    <n v="-276.2"/>
    <n v="0"/>
  </r>
  <r>
    <n v="62121917"/>
    <s v="N"/>
    <n v="21340057"/>
    <s v="3000016145700002RC"/>
    <s v="CIVIL"/>
    <d v="2023-06-28T00:00:00"/>
    <d v="2023-07-06T19:54:22"/>
    <m/>
    <d v="2023-07-06T00:00:00"/>
    <n v="1492"/>
    <n v="14701"/>
    <s v="62121917"/>
    <s v="62121917"/>
    <m/>
    <m/>
    <m/>
    <m/>
    <m/>
    <m/>
    <s v="SOLRECOUP"/>
    <s v="SOLRECOUP"/>
    <s v="POARECOUP"/>
    <n v="21340057"/>
    <n v="-1325.76"/>
    <m/>
    <s v="Y"/>
    <n v="2"/>
    <d v="2023-07-06T19:54:23"/>
    <s v="N"/>
    <m/>
    <m/>
    <s v="Profit Cost"/>
    <m/>
    <s v="N"/>
    <n v="0"/>
    <n v="-220.96"/>
    <x v="4"/>
    <s v="VALIDATED"/>
    <n v="1"/>
    <s v="01.11.80.308.2013.0000"/>
    <n v="-220.96"/>
    <s v="11"/>
    <s v="2013"/>
    <n v="6105.37"/>
    <n v="-220.96"/>
    <s v="CREDITOR"/>
    <n v="0"/>
    <n v="0"/>
    <n v="-220.96"/>
    <n v="-55.24"/>
    <n v="0"/>
  </r>
  <r>
    <n v="59588517"/>
    <s v="N"/>
    <n v="21350127"/>
    <s v="3000013994030001"/>
    <s v="CIVIL"/>
    <d v="2023-06-30T00:00:00"/>
    <d v="2023-07-10T19:01:40"/>
    <m/>
    <d v="2023-07-10T00:00:00"/>
    <n v="1501"/>
    <n v="20640"/>
    <s v="59588517"/>
    <s v="59588517"/>
    <m/>
    <m/>
    <n v="22798828"/>
    <m/>
    <m/>
    <m/>
    <s v="SOLFIN"/>
    <s v="SOLFIN"/>
    <s v="CCMS"/>
    <n v="21350127"/>
    <n v="0"/>
    <m/>
    <s v="N"/>
    <n v="1"/>
    <d v="2023-07-10T19:02:14"/>
    <s v="N"/>
    <s v="NIL BILL"/>
    <s v="Prescribed Hourly Rates"/>
    <s v="Profit Cost"/>
    <s v="Mark Graham"/>
    <s v="N"/>
    <n v="0"/>
    <n v="0"/>
    <x v="2"/>
    <s v="VALIDATED"/>
    <n v="1"/>
    <s v="01.11.80.307.6100.0000"/>
    <n v="0"/>
    <s v="11"/>
    <s v="6100"/>
    <n v="6251.25"/>
    <n v="0"/>
    <s v="CREDITOR"/>
    <n v="0"/>
    <n v="0"/>
    <n v="0"/>
    <n v="0"/>
    <n v="0"/>
  </r>
  <r>
    <n v="59588362"/>
    <s v="N"/>
    <n v="21350138"/>
    <s v="3000013993900001"/>
    <s v="CIVIL"/>
    <d v="2023-06-30T00:00:00"/>
    <d v="2023-07-10T19:01:40"/>
    <m/>
    <d v="2023-07-10T00:00:00"/>
    <n v="1501"/>
    <n v="20640"/>
    <s v="59588362"/>
    <s v="59588362"/>
    <m/>
    <m/>
    <n v="22798800"/>
    <m/>
    <m/>
    <m/>
    <s v="SOLFIN"/>
    <s v="SOLFIN"/>
    <s v="CCMS"/>
    <n v="21350138"/>
    <n v="0"/>
    <m/>
    <s v="N"/>
    <n v="1"/>
    <d v="2023-07-10T19:02:15"/>
    <s v="N"/>
    <s v="NIL BILL"/>
    <s v="Prescribed Hourly Rates"/>
    <s v="Profit Cost"/>
    <s v="Mark Graham"/>
    <s v="N"/>
    <n v="0"/>
    <n v="0"/>
    <x v="2"/>
    <s v="VALIDATED"/>
    <n v="1"/>
    <s v="01.11.80.307.6100.0000"/>
    <n v="0"/>
    <s v="11"/>
    <s v="6100"/>
    <n v="6251.25"/>
    <n v="0"/>
    <s v="CREDITOR"/>
    <n v="0"/>
    <n v="0"/>
    <n v="0"/>
    <n v="0"/>
    <n v="0"/>
  </r>
  <r>
    <n v="59588657"/>
    <s v="N"/>
    <n v="21350150"/>
    <s v="3000013994160001"/>
    <s v="CIVIL"/>
    <d v="2023-06-30T00:00:00"/>
    <d v="2023-07-10T19:01:40"/>
    <m/>
    <d v="2023-07-10T00:00:00"/>
    <n v="1501"/>
    <n v="20640"/>
    <s v="59588657"/>
    <s v="59588657"/>
    <m/>
    <m/>
    <n v="22798782"/>
    <m/>
    <m/>
    <m/>
    <s v="SOLFIN"/>
    <s v="SOLFIN"/>
    <s v="CCMS"/>
    <n v="21350150"/>
    <n v="0"/>
    <m/>
    <s v="N"/>
    <n v="1"/>
    <d v="2023-07-10T19:02:15"/>
    <s v="N"/>
    <s v="NIL BILL"/>
    <s v="Prescribed Hourly Rates"/>
    <s v="Profit Cost"/>
    <s v="Mark Graham"/>
    <s v="N"/>
    <n v="0"/>
    <n v="0"/>
    <x v="2"/>
    <s v="VALIDATED"/>
    <n v="1"/>
    <s v="01.11.80.307.6100.0000"/>
    <n v="0"/>
    <s v="11"/>
    <s v="6100"/>
    <n v="6251.25"/>
    <n v="0"/>
    <s v="CREDITOR"/>
    <n v="0"/>
    <n v="0"/>
    <n v="0"/>
    <n v="0"/>
    <n v="0"/>
  </r>
  <r>
    <n v="61234489"/>
    <s v="N"/>
    <n v="21321320"/>
    <s v="3000015403260008"/>
    <s v="CIVIL"/>
    <d v="2023-06-29T00:00:00"/>
    <d v="2023-07-03T19:05:17"/>
    <m/>
    <d v="2023-07-03T00:00:00"/>
    <n v="1501"/>
    <n v="20640"/>
    <s v="61234489"/>
    <s v="61234489"/>
    <m/>
    <m/>
    <n v="22786792"/>
    <m/>
    <m/>
    <m/>
    <s v="SOLPOA"/>
    <s v="SOLPOA"/>
    <s v="CCMS"/>
    <n v="21321320"/>
    <n v="1079.1"/>
    <m/>
    <s v="N"/>
    <n v="1"/>
    <d v="2023-07-03T19:05:18"/>
    <s v="N"/>
    <s v="Non Expert Disbursement"/>
    <s v="Non Expert Disbursement"/>
    <s v="Non Expert Disbursement"/>
    <s v="EF"/>
    <s v="N"/>
    <n v="899.25"/>
    <n v="179.85"/>
    <x v="3"/>
    <s v="VALIDATED"/>
    <n v="1"/>
    <s v="01.11.80.308.2012.0000"/>
    <n v="899.25"/>
    <s v="11"/>
    <s v="2012"/>
    <n v="6251.25"/>
    <n v="899.25"/>
    <s v="CREDITOR"/>
    <n v="899.25"/>
    <n v="0"/>
    <n v="0"/>
    <n v="0"/>
    <n v="0"/>
  </r>
  <r>
    <n v="61890847"/>
    <s v="N"/>
    <n v="21323378"/>
    <s v="3000015949880003"/>
    <s v="CIVIL"/>
    <d v="2023-06-30T00:00:00"/>
    <d v="2023-07-03T19:05:56"/>
    <m/>
    <d v="2023-07-03T00:00:00"/>
    <n v="1501"/>
    <n v="20640"/>
    <s v="61890847"/>
    <s v="61890847"/>
    <m/>
    <m/>
    <n v="22795930"/>
    <m/>
    <m/>
    <m/>
    <s v="SOLPOA"/>
    <s v="SOLPOA"/>
    <s v="CCMS"/>
    <n v="21323378"/>
    <n v="2787.84"/>
    <m/>
    <s v="N"/>
    <n v="1"/>
    <d v="2023-07-03T19:05:56"/>
    <s v="N"/>
    <s v="Solicitors Fixed Fee"/>
    <s v="Public Law Children"/>
    <s v="Profit Cost"/>
    <s v="EF"/>
    <s v="N"/>
    <n v="2323.2"/>
    <n v="464.64"/>
    <x v="3"/>
    <s v="VALIDATED"/>
    <n v="1"/>
    <s v="01.11.80.308.2012.0000"/>
    <n v="2323.2"/>
    <s v="11"/>
    <s v="2012"/>
    <n v="6251.25"/>
    <n v="2323.2"/>
    <s v="CREDITOR"/>
    <n v="2323.2"/>
    <n v="580.8"/>
    <n v="0"/>
    <n v="0"/>
    <n v="0"/>
  </r>
  <r>
    <n v="59588198"/>
    <s v="N"/>
    <n v="21350130"/>
    <s v="3000013993610001"/>
    <s v="CIVIL"/>
    <d v="2023-06-30T00:00:00"/>
    <d v="2023-07-10T19:01:40"/>
    <m/>
    <d v="2023-07-10T00:00:00"/>
    <n v="1501"/>
    <n v="20640"/>
    <s v="59588198"/>
    <s v="59588198"/>
    <m/>
    <m/>
    <n v="22798764"/>
    <m/>
    <m/>
    <m/>
    <s v="SOLFIN"/>
    <s v="SOLFIN"/>
    <s v="CCMS"/>
    <n v="21350130"/>
    <n v="0"/>
    <m/>
    <s v="N"/>
    <n v="1"/>
    <d v="2023-07-10T19:02:14"/>
    <s v="N"/>
    <s v="NIL BILL"/>
    <s v="Prescribed Hourly Rates"/>
    <s v="Profit Cost"/>
    <s v="Mark Graham"/>
    <s v="N"/>
    <n v="0"/>
    <n v="0"/>
    <x v="2"/>
    <s v="VALIDATED"/>
    <n v="1"/>
    <s v="01.11.80.307.6100.0000"/>
    <n v="0"/>
    <s v="11"/>
    <s v="6100"/>
    <n v="6251.25"/>
    <n v="0"/>
    <s v="CREDITOR"/>
    <n v="0"/>
    <n v="0"/>
    <n v="0"/>
    <n v="0"/>
    <n v="0"/>
  </r>
  <r>
    <n v="62062932"/>
    <s v="N"/>
    <n v="21323303"/>
    <s v="3000016096310002"/>
    <s v="CIVIL"/>
    <d v="2023-06-30T00:00:00"/>
    <d v="2023-07-03T19:05:56"/>
    <m/>
    <d v="2023-07-03T00:00:00"/>
    <n v="1501"/>
    <n v="20640"/>
    <s v="62062932"/>
    <s v="62062932"/>
    <m/>
    <m/>
    <n v="22795850"/>
    <m/>
    <m/>
    <m/>
    <s v="SOLPOA"/>
    <s v="SOLPOA"/>
    <s v="CCMS"/>
    <n v="21323303"/>
    <n v="1677.12"/>
    <m/>
    <s v="N"/>
    <n v="1"/>
    <d v="2023-07-03T19:05:56"/>
    <s v="N"/>
    <s v="Solicitors Fixed Fee"/>
    <s v="Public Law Children"/>
    <s v="Profit Cost"/>
    <s v="EF"/>
    <s v="N"/>
    <n v="1397.6"/>
    <n v="279.52"/>
    <x v="3"/>
    <s v="VALIDATED"/>
    <n v="1"/>
    <s v="01.11.80.308.2012.0000"/>
    <n v="1397.6"/>
    <s v="11"/>
    <s v="2012"/>
    <n v="6251.25"/>
    <n v="1397.6"/>
    <s v="CREDITOR"/>
    <n v="1397.6"/>
    <n v="349.4"/>
    <n v="0"/>
    <n v="0"/>
    <n v="0"/>
  </r>
  <r>
    <n v="61979225"/>
    <s v="N"/>
    <n v="21323328"/>
    <s v="3000016025150002"/>
    <s v="CIVIL"/>
    <d v="2023-06-30T00:00:00"/>
    <d v="2023-07-03T19:05:56"/>
    <m/>
    <d v="2023-07-03T00:00:00"/>
    <n v="1501"/>
    <n v="20640"/>
    <s v="61979225"/>
    <s v="61979225"/>
    <m/>
    <m/>
    <n v="22796004"/>
    <m/>
    <m/>
    <m/>
    <s v="SOLPOA"/>
    <s v="SOLPOA"/>
    <s v="CCMS"/>
    <n v="21323328"/>
    <n v="1957.44"/>
    <m/>
    <s v="N"/>
    <n v="1"/>
    <d v="2023-07-03T19:05:56"/>
    <s v="N"/>
    <s v="Solicitors Fixed Fee"/>
    <s v="Public Law Children"/>
    <s v="Profit Cost"/>
    <s v="EF"/>
    <s v="N"/>
    <n v="1631.2"/>
    <n v="326.24"/>
    <x v="3"/>
    <s v="VALIDATED"/>
    <n v="1"/>
    <s v="01.11.80.308.2012.0000"/>
    <n v="1631.2"/>
    <s v="11"/>
    <s v="2012"/>
    <n v="6251.25"/>
    <n v="1631.2"/>
    <s v="CREDITOR"/>
    <n v="1631.2"/>
    <n v="407.8"/>
    <n v="0"/>
    <n v="0"/>
    <n v="0"/>
  </r>
  <r>
    <n v="62012968"/>
    <s v="N"/>
    <n v="21319801"/>
    <s v="3000016054510006"/>
    <s v="CIVIL"/>
    <d v="2023-06-28T00:00:00"/>
    <d v="2023-07-03T19:04:24"/>
    <m/>
    <d v="2023-07-03T00:00:00"/>
    <n v="1503"/>
    <n v="20663"/>
    <s v="62012968"/>
    <s v="62012968"/>
    <m/>
    <m/>
    <n v="22776522"/>
    <m/>
    <m/>
    <m/>
    <s v="SOLPOA"/>
    <s v="SOLPOA"/>
    <s v="CCMS"/>
    <n v="21319801"/>
    <n v="366.98"/>
    <m/>
    <s v="N"/>
    <n v="1"/>
    <d v="2023-07-03T19:04:27"/>
    <s v="N"/>
    <s v="Non Expert Disbursement"/>
    <s v="Non Expert Disbursement"/>
    <s v="Non Expert Disbursement"/>
    <s v="Claire Roberts"/>
    <s v="N"/>
    <n v="305.82"/>
    <n v="61.16"/>
    <x v="3"/>
    <s v="VALIDATED"/>
    <n v="1"/>
    <s v="01.11.80.308.2012.0000"/>
    <n v="305.82"/>
    <s v="11"/>
    <s v="2012"/>
    <n v="1013.74"/>
    <n v="305.82"/>
    <s v="CREDITOR"/>
    <n v="305.82"/>
    <n v="0"/>
    <n v="0"/>
    <n v="0"/>
    <n v="0"/>
  </r>
  <r>
    <n v="62012968"/>
    <s v="N"/>
    <n v="21319450"/>
    <s v="3000016054510005"/>
    <s v="CIVIL"/>
    <d v="2023-06-28T00:00:00"/>
    <d v="2023-07-03T19:04:24"/>
    <m/>
    <d v="2023-07-03T00:00:00"/>
    <n v="1503"/>
    <n v="20663"/>
    <s v="62012968"/>
    <s v="62012968"/>
    <m/>
    <m/>
    <n v="22776484"/>
    <m/>
    <m/>
    <m/>
    <s v="SOLPOA"/>
    <s v="SOLPOA"/>
    <s v="CCMS"/>
    <n v="21319450"/>
    <n v="492.22"/>
    <m/>
    <s v="N"/>
    <n v="1"/>
    <d v="2023-07-03T19:04:25"/>
    <s v="N"/>
    <s v="Non Expert Disbursement"/>
    <s v="Non Expert Disbursement"/>
    <s v="Non Expert Disbursement"/>
    <s v="Claire Roberts"/>
    <s v="N"/>
    <n v="410.18"/>
    <n v="82.04000000000001"/>
    <x v="3"/>
    <s v="VALIDATED"/>
    <n v="1"/>
    <s v="01.11.80.308.2012.0000"/>
    <n v="410.18"/>
    <s v="11"/>
    <s v="2012"/>
    <n v="1013.74"/>
    <n v="410.18"/>
    <s v="CREDITOR"/>
    <n v="410.18"/>
    <n v="0"/>
    <n v="0"/>
    <n v="0"/>
    <n v="0"/>
  </r>
  <r>
    <n v="61801948"/>
    <s v="N"/>
    <n v="21319326"/>
    <s v="3000015874580007"/>
    <s v="CIVIL"/>
    <d v="2023-06-28T00:00:00"/>
    <d v="2023-07-03T19:04:24"/>
    <m/>
    <d v="2023-07-03T00:00:00"/>
    <n v="1503"/>
    <n v="20663"/>
    <s v="61801948"/>
    <s v="61801948"/>
    <m/>
    <m/>
    <n v="22776462"/>
    <m/>
    <m/>
    <m/>
    <s v="SOLPOA"/>
    <s v="SOLPOA"/>
    <s v="CCMS"/>
    <n v="21319326"/>
    <n v="357.29"/>
    <m/>
    <s v="N"/>
    <n v="1"/>
    <d v="2023-07-03T19:04:25"/>
    <s v="N"/>
    <s v="Non Expert Disbursement"/>
    <s v="Non Expert Disbursement"/>
    <s v="Non Expert Disbursement"/>
    <s v="Claire Roberts"/>
    <s v="N"/>
    <n v="297.74"/>
    <n v="59.55"/>
    <x v="3"/>
    <s v="VALIDATED"/>
    <n v="1"/>
    <s v="01.11.80.308.2012.0000"/>
    <n v="297.74"/>
    <s v="11"/>
    <s v="2012"/>
    <n v="1013.74"/>
    <n v="297.74"/>
    <s v="CREDITOR"/>
    <n v="297.74"/>
    <n v="0"/>
    <n v="0"/>
    <n v="0"/>
    <n v="0"/>
  </r>
  <r>
    <n v="62196686"/>
    <s v="N"/>
    <n v="21337996"/>
    <s v="3000016205130002"/>
    <s v="CIVIL"/>
    <d v="2023-06-22T00:00:00"/>
    <d v="2023-07-06T19:21:01"/>
    <m/>
    <d v="2023-07-06T00:00:00"/>
    <n v="1509"/>
    <n v="20696"/>
    <s v="62196686"/>
    <s v="62196686"/>
    <m/>
    <m/>
    <n v="22745052"/>
    <m/>
    <m/>
    <m/>
    <s v="SOLPOA"/>
    <s v="SOLPOA"/>
    <s v="CCMS"/>
    <n v="21337996"/>
    <n v="741.78"/>
    <m/>
    <s v="N"/>
    <n v="1"/>
    <d v="2023-07-06T19:21:11"/>
    <s v="N"/>
    <s v="Expert Cost"/>
    <s v="Expert Cost"/>
    <s v="Expert Disbursement"/>
    <s v="Becky Bannon"/>
    <s v="N"/>
    <n v="618.15"/>
    <n v="123.63"/>
    <x v="4"/>
    <s v="VALIDATED"/>
    <n v="1"/>
    <s v="01.11.80.308.2012.0000"/>
    <n v="618.15"/>
    <s v="11"/>
    <s v="2012"/>
    <n v="683.3"/>
    <n v="618.15"/>
    <s v="CREDITOR"/>
    <n v="618.15"/>
    <n v="0"/>
    <n v="0"/>
    <n v="0"/>
    <n v="0"/>
  </r>
  <r>
    <n v="60312461"/>
    <s v="N"/>
    <n v="21337917"/>
    <s v="3000014615310015"/>
    <s v="CIVIL"/>
    <d v="2023-06-26T00:00:00"/>
    <d v="2023-07-06T19:21:01"/>
    <m/>
    <d v="2023-07-06T00:00:00"/>
    <n v="1509"/>
    <n v="20696"/>
    <s v="60312461"/>
    <s v="60312461"/>
    <m/>
    <m/>
    <n v="22762640"/>
    <m/>
    <m/>
    <m/>
    <s v="SOLPOA"/>
    <s v="SOLPOA"/>
    <s v="CCMS"/>
    <n v="21337917"/>
    <n v="65.15000000000001"/>
    <m/>
    <s v="N"/>
    <n v="1"/>
    <d v="2023-07-06T19:21:10"/>
    <s v="N"/>
    <s v="Non Expert Disbursement"/>
    <s v="Non Expert Disbursement"/>
    <s v="Non Expert Disbursement"/>
    <s v="Becky Bannon"/>
    <s v="N"/>
    <n v="65.15000000000001"/>
    <n v="0"/>
    <x v="4"/>
    <s v="VALIDATED"/>
    <n v="1"/>
    <s v="01.11.80.308.2012.0000"/>
    <n v="65.15000000000001"/>
    <s v="11"/>
    <s v="2012"/>
    <n v="683.3"/>
    <n v="65.15000000000001"/>
    <s v="CREDITOR"/>
    <n v="65.15000000000001"/>
    <n v="0"/>
    <n v="0"/>
    <n v="0"/>
    <n v="0"/>
  </r>
  <r>
    <n v="61835182"/>
    <s v="N"/>
    <n v="21360311"/>
    <s v="3000015903170006"/>
    <s v="CIVIL"/>
    <d v="2023-06-30T00:00:00"/>
    <d v="2023-07-11T11:50:54"/>
    <m/>
    <d v="2023-07-11T00:00:00"/>
    <n v="1515"/>
    <n v="20740"/>
    <s v="61835182"/>
    <s v="61835182"/>
    <m/>
    <m/>
    <n v="22795434"/>
    <m/>
    <m/>
    <m/>
    <s v="SOLFIN"/>
    <s v="SOLFIN"/>
    <s v="CCMS"/>
    <n v="21360311"/>
    <n v="6990.15"/>
    <m/>
    <s v="N"/>
    <n v="1"/>
    <d v="2023-07-11T11:51:01"/>
    <s v="Y"/>
    <s v="Final Hearing Court Bundle/Advocate"/>
    <s v="Public Law Children"/>
    <s v="Advocacy"/>
    <s v="Michael Scott"/>
    <s v="Y"/>
    <n v="159.3"/>
    <n v="31.86"/>
    <x v="7"/>
    <s v="VALIDATED"/>
    <n v="1"/>
    <s v="01.11.80.308.6100.0000"/>
    <n v="159.3"/>
    <s v="11"/>
    <s v="6100"/>
    <n v="4008.95"/>
    <n v="159.3"/>
    <s v="CREDITOR"/>
    <n v="0"/>
    <n v="0"/>
    <n v="0"/>
    <n v="0"/>
    <n v="159.3"/>
  </r>
  <r>
    <n v="61835182"/>
    <s v="N"/>
    <n v="21360311"/>
    <s v="3000015903170006"/>
    <s v="CIVIL"/>
    <d v="2023-06-30T00:00:00"/>
    <d v="2023-07-11T11:50:54"/>
    <m/>
    <d v="2023-07-11T00:00:00"/>
    <n v="1515"/>
    <n v="20740"/>
    <s v="61835182"/>
    <s v="61835182"/>
    <m/>
    <m/>
    <n v="22795434"/>
    <m/>
    <m/>
    <m/>
    <s v="SOLFIN"/>
    <s v="SOLFIN"/>
    <s v="CCMS"/>
    <n v="21360311"/>
    <n v="6990.15"/>
    <m/>
    <s v="N"/>
    <n v="9"/>
    <d v="2023-07-11T11:51:01"/>
    <s v="Y"/>
    <s v="Final Hearing - 1 Day"/>
    <s v="Public Law Children"/>
    <s v="Advocacy"/>
    <s v="Michael Scott"/>
    <s v="Y"/>
    <n v="556.88"/>
    <n v="111.38"/>
    <x v="7"/>
    <s v="VALIDATED"/>
    <n v="1"/>
    <s v="01.11.80.308.6100.0000"/>
    <n v="556.88"/>
    <s v="11"/>
    <s v="6100"/>
    <n v="4008.95"/>
    <n v="556.88"/>
    <s v="CREDITOR"/>
    <n v="0"/>
    <n v="0"/>
    <n v="0"/>
    <n v="0"/>
    <n v="556.88"/>
  </r>
  <r>
    <n v="60335807"/>
    <s v="N"/>
    <n v="21349569"/>
    <s v="3000014634570007"/>
    <s v="CIVIL"/>
    <d v="2023-06-28T00:00:00"/>
    <d v="2023-07-10T19:01:40"/>
    <m/>
    <d v="2023-07-10T00:00:00"/>
    <n v="1515"/>
    <n v="20740"/>
    <s v="60335807"/>
    <s v="60335807"/>
    <m/>
    <m/>
    <n v="22781258"/>
    <m/>
    <m/>
    <m/>
    <s v="SOLFIN"/>
    <s v="SOLFIN"/>
    <s v="CCMS"/>
    <n v="21349569"/>
    <n v="6563.21"/>
    <m/>
    <s v="N"/>
    <n v="7"/>
    <d v="2023-07-10T19:01:53"/>
    <s v="Y"/>
    <s v="Advocates Meeting"/>
    <s v="Public Law Children"/>
    <s v="Advocacy"/>
    <s v="Philip Scott"/>
    <s v="Y"/>
    <n v="140.99"/>
    <n v="28.2"/>
    <x v="2"/>
    <s v="VALIDATED"/>
    <n v="1"/>
    <s v="01.11.80.308.6100.0000"/>
    <n v="140.99"/>
    <s v="11"/>
    <s v="6100"/>
    <n v="4008.95"/>
    <n v="140.99"/>
    <s v="CREDITOR"/>
    <n v="0"/>
    <n v="0"/>
    <n v="0"/>
    <n v="0"/>
    <n v="140.99"/>
  </r>
  <r>
    <n v="60335807"/>
    <s v="N"/>
    <n v="21349569"/>
    <s v="3000014634570007"/>
    <s v="CIVIL"/>
    <d v="2023-06-28T00:00:00"/>
    <d v="2023-07-10T19:01:40"/>
    <m/>
    <d v="2023-07-10T00:00:00"/>
    <n v="1515"/>
    <n v="20740"/>
    <s v="60335807"/>
    <s v="60335807"/>
    <m/>
    <m/>
    <n v="22781258"/>
    <m/>
    <m/>
    <m/>
    <s v="SOLFIN"/>
    <s v="SOLFIN"/>
    <s v="CCMS"/>
    <n v="21349569"/>
    <n v="6563.21"/>
    <m/>
    <s v="N"/>
    <n v="11"/>
    <d v="2023-07-10T19:01:53"/>
    <s v="Y"/>
    <s v="Hearing Unit 2.31 - 5.00 Hours"/>
    <s v="Public Law Children"/>
    <s v="Advocacy"/>
    <s v="Philip Scott"/>
    <s v="Y"/>
    <n v="476.92"/>
    <n v="95.38"/>
    <x v="2"/>
    <s v="VALIDATED"/>
    <n v="1"/>
    <s v="01.11.80.308.6100.0000"/>
    <n v="476.92"/>
    <s v="11"/>
    <s v="6100"/>
    <n v="4008.95"/>
    <n v="476.92"/>
    <s v="CREDITOR"/>
    <n v="0"/>
    <n v="0"/>
    <n v="0"/>
    <n v="0"/>
    <n v="476.92"/>
  </r>
  <r>
    <n v="61835182"/>
    <s v="N"/>
    <n v="21360311"/>
    <s v="3000015903170006"/>
    <s v="CIVIL"/>
    <d v="2023-06-30T00:00:00"/>
    <d v="2023-07-11T11:50:54"/>
    <m/>
    <d v="2023-07-11T00:00:00"/>
    <n v="1515"/>
    <n v="20740"/>
    <s v="61835182"/>
    <s v="61835182"/>
    <m/>
    <m/>
    <n v="22795434"/>
    <m/>
    <m/>
    <m/>
    <s v="SOLFIN"/>
    <s v="SOLFIN"/>
    <s v="CCMS"/>
    <n v="21360311"/>
    <n v="6990.15"/>
    <m/>
    <s v="N"/>
    <n v="11"/>
    <d v="2023-07-11T11:51:01"/>
    <s v="Y"/>
    <s v="Solicitors Fixed Fee"/>
    <s v="Public Law Children"/>
    <s v="Profit Cost"/>
    <s v="Michael Scott"/>
    <s v="Y"/>
    <n v="1911"/>
    <n v="382.2"/>
    <x v="7"/>
    <s v="VALIDATED"/>
    <n v="1"/>
    <s v="01.11.80.308.6100.0000"/>
    <n v="1911"/>
    <s v="11"/>
    <s v="6100"/>
    <n v="4008.95"/>
    <n v="1911"/>
    <s v="CREDITOR"/>
    <n v="0"/>
    <n v="0"/>
    <n v="0"/>
    <n v="0"/>
    <n v="1911"/>
  </r>
  <r>
    <n v="60335807"/>
    <s v="N"/>
    <n v="21349569"/>
    <s v="3000014634570007"/>
    <s v="CIVIL"/>
    <d v="2023-06-28T00:00:00"/>
    <d v="2023-07-10T19:01:40"/>
    <m/>
    <d v="2023-07-10T00:00:00"/>
    <n v="1515"/>
    <n v="20740"/>
    <s v="60335807"/>
    <s v="60335807"/>
    <m/>
    <m/>
    <n v="22781258"/>
    <m/>
    <m/>
    <m/>
    <s v="SOLFIN"/>
    <s v="SOLFIN"/>
    <s v="CCMS"/>
    <n v="21349569"/>
    <n v="6563.21"/>
    <m/>
    <s v="N"/>
    <n v="3"/>
    <d v="2023-07-10T19:01:53"/>
    <s v="Y"/>
    <s v="Psychiatrist"/>
    <s v="Public Law Children"/>
    <s v="Expert Disbursement"/>
    <s v="Philip Scott"/>
    <s v="Y"/>
    <n v="405"/>
    <n v="81"/>
    <x v="2"/>
    <s v="VALIDATED"/>
    <n v="1"/>
    <s v="01.11.80.308.6300.0000"/>
    <n v="405"/>
    <s v="11"/>
    <s v="6300"/>
    <n v="4008.95"/>
    <n v="405"/>
    <s v="CREDITOR"/>
    <n v="0"/>
    <n v="0"/>
    <n v="0"/>
    <n v="0"/>
    <n v="405"/>
  </r>
  <r>
    <n v="61835182"/>
    <s v="N"/>
    <n v="21360311"/>
    <s v="3000015903170006"/>
    <s v="CIVIL"/>
    <d v="2023-06-30T00:00:00"/>
    <d v="2023-07-11T11:50:54"/>
    <m/>
    <d v="2023-07-11T00:00:00"/>
    <n v="1515"/>
    <n v="20740"/>
    <s v="61835182"/>
    <s v="61835182"/>
    <m/>
    <m/>
    <n v="22795434"/>
    <m/>
    <m/>
    <m/>
    <s v="SOLFIN"/>
    <s v="SOLFIN"/>
    <s v="CCMS"/>
    <n v="21360311"/>
    <n v="6990.15"/>
    <m/>
    <s v="N"/>
    <n v="6"/>
    <d v="2023-07-11T11:51:01"/>
    <s v="Y"/>
    <s v="Court Fee"/>
    <s v="Public Law Children"/>
    <s v="Non Expert Disbursement"/>
    <s v="Michael Scott"/>
    <s v="Y"/>
    <n v="167"/>
    <n v="0"/>
    <x v="7"/>
    <s v="VALIDATED"/>
    <n v="1"/>
    <s v="01.11.80.308.6300.0000"/>
    <n v="167"/>
    <s v="11"/>
    <s v="6300"/>
    <n v="4008.95"/>
    <n v="167"/>
    <s v="CREDITOR"/>
    <n v="0"/>
    <n v="0"/>
    <n v="0"/>
    <n v="0"/>
    <n v="167"/>
  </r>
  <r>
    <n v="60335807"/>
    <s v="N"/>
    <n v="21349569"/>
    <s v="3000014634570007"/>
    <s v="CIVIL"/>
    <d v="2023-06-28T00:00:00"/>
    <d v="2023-07-10T19:01:40"/>
    <m/>
    <d v="2023-07-10T00:00:00"/>
    <n v="1515"/>
    <n v="20740"/>
    <s v="60335807"/>
    <s v="60335807"/>
    <m/>
    <m/>
    <n v="22781258"/>
    <m/>
    <m/>
    <m/>
    <s v="SOLFIN"/>
    <s v="SOLFIN"/>
    <s v="CCMS"/>
    <n v="21349569"/>
    <n v="6563.21"/>
    <m/>
    <s v="N"/>
    <n v="5"/>
    <d v="2023-07-10T19:01:53"/>
    <s v="Y"/>
    <s v="Psychiatrist"/>
    <s v="Public Law Children"/>
    <s v="Expert Disbursement"/>
    <s v="Philip Scott"/>
    <s v="Y"/>
    <n v="54"/>
    <n v="10.8"/>
    <x v="2"/>
    <s v="VALIDATED"/>
    <n v="1"/>
    <s v="01.11.80.308.6300.0000"/>
    <n v="54"/>
    <s v="11"/>
    <s v="6300"/>
    <n v="4008.95"/>
    <n v="54"/>
    <s v="CREDITOR"/>
    <n v="0"/>
    <n v="0"/>
    <n v="0"/>
    <n v="0"/>
    <n v="54"/>
  </r>
  <r>
    <n v="60335807"/>
    <s v="N"/>
    <n v="21349569"/>
    <s v="3000014634570007"/>
    <s v="CIVIL"/>
    <d v="2023-06-28T00:00:00"/>
    <d v="2023-07-10T19:01:40"/>
    <m/>
    <d v="2023-07-10T00:00:00"/>
    <n v="1515"/>
    <n v="20740"/>
    <s v="60335807"/>
    <s v="60335807"/>
    <m/>
    <m/>
    <n v="22781258"/>
    <m/>
    <m/>
    <m/>
    <s v="SOLFIN"/>
    <s v="SOLFIN"/>
    <s v="CCMS"/>
    <n v="21349569"/>
    <n v="6563.21"/>
    <m/>
    <s v="N"/>
    <n v="10"/>
    <d v="2023-07-10T19:01:53"/>
    <s v="Y"/>
    <s v="Advocates Meeting"/>
    <s v="Public Law Children"/>
    <s v="Advocacy"/>
    <s v="Philip Scott"/>
    <s v="Y"/>
    <n v="140.99"/>
    <n v="28.2"/>
    <x v="2"/>
    <s v="VALIDATED"/>
    <n v="1"/>
    <s v="01.11.80.308.6100.0000"/>
    <n v="140.99"/>
    <s v="11"/>
    <s v="6100"/>
    <n v="4008.95"/>
    <n v="140.99"/>
    <s v="CREDITOR"/>
    <n v="0"/>
    <n v="0"/>
    <n v="0"/>
    <n v="0"/>
    <n v="140.99"/>
  </r>
  <r>
    <n v="60335807"/>
    <s v="N"/>
    <n v="21349569"/>
    <s v="3000014634570007"/>
    <s v="CIVIL"/>
    <d v="2023-06-28T00:00:00"/>
    <d v="2023-07-10T19:01:40"/>
    <m/>
    <d v="2023-07-10T00:00:00"/>
    <n v="1515"/>
    <n v="20740"/>
    <s v="60335807"/>
    <s v="60335807"/>
    <m/>
    <m/>
    <n v="22781258"/>
    <m/>
    <m/>
    <m/>
    <s v="SOLFIN"/>
    <s v="SOLFIN"/>
    <s v="CCMS"/>
    <n v="21349569"/>
    <n v="6563.21"/>
    <m/>
    <s v="N"/>
    <n v="15"/>
    <d v="2023-07-10T19:01:53"/>
    <s v="Y"/>
    <s v="Advocates Meeting"/>
    <s v="Public Law Children"/>
    <s v="Advocacy"/>
    <s v="Victoria Tyson"/>
    <s v="Y"/>
    <n v="140.99"/>
    <n v="28.2"/>
    <x v="2"/>
    <s v="VALIDATED"/>
    <n v="1"/>
    <s v="01.11.80.308.6100.0000"/>
    <n v="140.99"/>
    <s v="11"/>
    <s v="6100"/>
    <n v="4008.95"/>
    <n v="140.99"/>
    <s v="CREDITOR"/>
    <n v="0"/>
    <n v="0"/>
    <n v="0"/>
    <n v="0"/>
    <n v="140.99"/>
  </r>
  <r>
    <n v="60335807"/>
    <s v="N"/>
    <n v="21349569"/>
    <s v="3000014634570007"/>
    <s v="CIVIL"/>
    <d v="2023-06-28T00:00:00"/>
    <d v="2023-07-10T19:01:40"/>
    <m/>
    <d v="2023-07-10T00:00:00"/>
    <n v="1515"/>
    <n v="20740"/>
    <s v="60335807"/>
    <s v="60335807"/>
    <m/>
    <m/>
    <n v="22781258"/>
    <m/>
    <m/>
    <m/>
    <s v="SOLFIN"/>
    <s v="SOLFIN"/>
    <s v="CCMS"/>
    <n v="21349569"/>
    <n v="6563.21"/>
    <m/>
    <s v="N"/>
    <n v="1"/>
    <d v="2023-07-10T19:01:53"/>
    <s v="Y"/>
    <s v="Interim Hearing Court Bundle/Advoca"/>
    <s v="Public Law Children"/>
    <s v="Advocacy"/>
    <s v="Victoria Tyson"/>
    <s v="Y"/>
    <n v="89.09999999999999"/>
    <n v="17.82"/>
    <x v="2"/>
    <s v="VALIDATED"/>
    <n v="1"/>
    <s v="01.11.80.308.6100.0000"/>
    <n v="89.09999999999999"/>
    <s v="11"/>
    <s v="6100"/>
    <n v="4008.95"/>
    <n v="89.09999999999999"/>
    <s v="CREDITOR"/>
    <n v="0"/>
    <n v="0"/>
    <n v="0"/>
    <n v="0"/>
    <n v="89.09999999999999"/>
  </r>
  <r>
    <n v="60335807"/>
    <s v="N"/>
    <n v="21349569"/>
    <s v="3000014634570007"/>
    <s v="CIVIL"/>
    <d v="2023-06-28T00:00:00"/>
    <d v="2023-07-10T19:01:40"/>
    <m/>
    <d v="2023-07-10T00:00:00"/>
    <n v="1515"/>
    <n v="20740"/>
    <s v="60335807"/>
    <s v="60335807"/>
    <m/>
    <m/>
    <n v="22781258"/>
    <m/>
    <m/>
    <m/>
    <s v="SOLFIN"/>
    <s v="SOLFIN"/>
    <s v="CCMS"/>
    <n v="21349569"/>
    <n v="6563.21"/>
    <m/>
    <s v="N"/>
    <n v="16"/>
    <d v="2023-07-10T19:01:53"/>
    <s v="Y"/>
    <s v="Advocates Meeting"/>
    <s v="Public Law Children"/>
    <s v="Advocacy"/>
    <s v="Victoria Tyson"/>
    <s v="Y"/>
    <n v="140.99"/>
    <n v="28.2"/>
    <x v="2"/>
    <s v="VALIDATED"/>
    <n v="1"/>
    <s v="01.11.80.308.6100.0000"/>
    <n v="140.99"/>
    <s v="11"/>
    <s v="6100"/>
    <n v="4008.95"/>
    <n v="140.99"/>
    <s v="CREDITOR"/>
    <n v="0"/>
    <n v="0"/>
    <n v="0"/>
    <n v="0"/>
    <n v="140.99"/>
  </r>
  <r>
    <n v="60335807"/>
    <s v="N"/>
    <n v="21349569"/>
    <s v="3000014634570007"/>
    <s v="CIVIL"/>
    <d v="2023-06-28T00:00:00"/>
    <d v="2023-07-10T19:01:40"/>
    <m/>
    <d v="2023-07-10T00:00:00"/>
    <n v="1515"/>
    <n v="20740"/>
    <s v="60335807"/>
    <s v="60335807"/>
    <m/>
    <m/>
    <n v="22781258"/>
    <m/>
    <m/>
    <m/>
    <s v="SOLFIN"/>
    <s v="SOLFIN"/>
    <s v="CCMS"/>
    <n v="21349569"/>
    <n v="6563.21"/>
    <m/>
    <s v="N"/>
    <n v="9"/>
    <d v="2023-07-10T19:01:53"/>
    <s v="Y"/>
    <s v="Advocates Meeting"/>
    <s v="Public Law Children"/>
    <s v="Advocacy"/>
    <s v="Victoria Tyson"/>
    <s v="Y"/>
    <n v="140.99"/>
    <n v="28.2"/>
    <x v="2"/>
    <s v="VALIDATED"/>
    <n v="1"/>
    <s v="01.11.80.308.6100.0000"/>
    <n v="140.99"/>
    <s v="11"/>
    <s v="6100"/>
    <n v="4008.95"/>
    <n v="140.99"/>
    <s v="CREDITOR"/>
    <n v="0"/>
    <n v="0"/>
    <n v="0"/>
    <n v="0"/>
    <n v="140.99"/>
  </r>
  <r>
    <n v="60335807"/>
    <s v="N"/>
    <n v="21349569"/>
    <s v="3000014634570007"/>
    <s v="CIVIL"/>
    <d v="2023-06-28T00:00:00"/>
    <d v="2023-07-10T19:01:40"/>
    <m/>
    <d v="2023-07-10T00:00:00"/>
    <n v="1515"/>
    <n v="20740"/>
    <s v="60335807"/>
    <s v="60335807"/>
    <m/>
    <m/>
    <n v="22781258"/>
    <m/>
    <m/>
    <m/>
    <s v="SOLFIN"/>
    <s v="SOLFIN"/>
    <s v="CCMS"/>
    <n v="21349569"/>
    <n v="6563.21"/>
    <m/>
    <s v="N"/>
    <n v="6"/>
    <d v="2023-07-10T19:01:53"/>
    <s v="Y"/>
    <s v="Hearing Unit 1.01 - 2.30 Hours"/>
    <s v="Public Law Children"/>
    <s v="Advocacy"/>
    <s v="Philip Scott"/>
    <s v="Y"/>
    <n v="238.46"/>
    <n v="47.69"/>
    <x v="2"/>
    <s v="VALIDATED"/>
    <n v="1"/>
    <s v="01.11.80.308.6100.0000"/>
    <n v="238.46"/>
    <s v="11"/>
    <s v="6100"/>
    <n v="4008.95"/>
    <n v="238.46"/>
    <s v="CREDITOR"/>
    <n v="0"/>
    <n v="0"/>
    <n v="0"/>
    <n v="0"/>
    <n v="238.46"/>
  </r>
  <r>
    <n v="61835182"/>
    <s v="N"/>
    <n v="21360311"/>
    <s v="3000015903170006"/>
    <s v="CIVIL"/>
    <d v="2023-06-30T00:00:00"/>
    <d v="2023-07-11T11:50:54"/>
    <m/>
    <d v="2023-07-11T00:00:00"/>
    <n v="1515"/>
    <n v="20740"/>
    <s v="61835182"/>
    <s v="61835182"/>
    <m/>
    <m/>
    <n v="22795434"/>
    <m/>
    <m/>
    <m/>
    <s v="SOLFIN"/>
    <s v="SOLFIN"/>
    <s v="CCMS"/>
    <n v="21360311"/>
    <n v="6990.15"/>
    <m/>
    <s v="N"/>
    <n v="2"/>
    <d v="2023-07-11T11:51:01"/>
    <s v="Y"/>
    <s v="Toxicologist"/>
    <s v="Public Law Children"/>
    <s v="Expert Disbursement"/>
    <s v="Michael Scott"/>
    <s v="Y"/>
    <n v="626.6"/>
    <n v="125.32"/>
    <x v="7"/>
    <s v="VALIDATED"/>
    <n v="1"/>
    <s v="01.11.80.308.6300.0000"/>
    <n v="626.6"/>
    <s v="11"/>
    <s v="6300"/>
    <n v="4008.95"/>
    <n v="626.6"/>
    <s v="CREDITOR"/>
    <n v="0"/>
    <n v="0"/>
    <n v="0"/>
    <n v="0"/>
    <n v="626.6"/>
  </r>
  <r>
    <n v="60335807"/>
    <s v="N"/>
    <n v="21349569"/>
    <s v="3000014634570007"/>
    <s v="CIVIL"/>
    <d v="2023-06-28T00:00:00"/>
    <d v="2023-07-10T19:01:40"/>
    <m/>
    <d v="2023-07-10T00:00:00"/>
    <n v="1515"/>
    <n v="20740"/>
    <s v="60335807"/>
    <s v="60335807"/>
    <m/>
    <m/>
    <n v="22781258"/>
    <m/>
    <m/>
    <m/>
    <s v="SOLFIN"/>
    <s v="SOLFIN"/>
    <s v="CCMS"/>
    <n v="21349569"/>
    <n v="6563.21"/>
    <m/>
    <s v="N"/>
    <n v="2"/>
    <d v="2023-07-10T19:01:53"/>
    <s v="Y"/>
    <s v="Psychologist"/>
    <s v="Public Law Children"/>
    <s v="Expert Disbursement"/>
    <s v="Philip Scott"/>
    <s v="Y"/>
    <n v="390.03"/>
    <n v="0"/>
    <x v="2"/>
    <s v="VALIDATED"/>
    <n v="1"/>
    <s v="01.11.80.308.6300.0000"/>
    <n v="390.03"/>
    <s v="11"/>
    <s v="6300"/>
    <n v="4008.95"/>
    <n v="390.03"/>
    <s v="CREDITOR"/>
    <n v="0"/>
    <n v="0"/>
    <n v="0"/>
    <n v="0"/>
    <n v="390.03"/>
  </r>
  <r>
    <n v="60335807"/>
    <s v="N"/>
    <n v="21349569"/>
    <s v="3000014634570007"/>
    <s v="CIVIL"/>
    <d v="2023-06-28T00:00:00"/>
    <d v="2023-07-10T19:01:40"/>
    <m/>
    <d v="2023-07-10T00:00:00"/>
    <n v="1515"/>
    <n v="20740"/>
    <s v="60335807"/>
    <s v="60335807"/>
    <m/>
    <m/>
    <n v="22781258"/>
    <m/>
    <m/>
    <m/>
    <s v="SOLFIN"/>
    <s v="SOLFIN"/>
    <s v="CCMS"/>
    <n v="21349569"/>
    <n v="6563.21"/>
    <m/>
    <s v="N"/>
    <n v="4"/>
    <d v="2023-07-10T19:01:53"/>
    <s v="Y"/>
    <s v="Psychologist"/>
    <s v="Public Law Children"/>
    <s v="Expert Disbursement"/>
    <s v="Philip Scott"/>
    <s v="Y"/>
    <n v="34.88"/>
    <n v="0"/>
    <x v="2"/>
    <s v="VALIDATED"/>
    <n v="1"/>
    <s v="01.11.80.308.6300.0000"/>
    <n v="34.88"/>
    <s v="11"/>
    <s v="6300"/>
    <n v="4008.95"/>
    <n v="34.88"/>
    <s v="CREDITOR"/>
    <n v="0"/>
    <n v="0"/>
    <n v="0"/>
    <n v="0"/>
    <n v="34.88"/>
  </r>
  <r>
    <n v="61835182"/>
    <s v="N"/>
    <n v="21360311"/>
    <s v="3000015903170006"/>
    <s v="CIVIL"/>
    <d v="2023-06-30T00:00:00"/>
    <d v="2023-07-11T11:50:54"/>
    <m/>
    <d v="2023-07-11T00:00:00"/>
    <n v="1515"/>
    <n v="20740"/>
    <s v="61835182"/>
    <s v="61835182"/>
    <m/>
    <m/>
    <n v="22795434"/>
    <m/>
    <m/>
    <m/>
    <s v="SOLFIN"/>
    <s v="SOLFIN"/>
    <s v="CCMS"/>
    <n v="21360311"/>
    <n v="6990.15"/>
    <m/>
    <s v="N"/>
    <n v="4"/>
    <d v="2023-07-11T11:51:01"/>
    <s v="Y"/>
    <s v="Toxicologist"/>
    <s v="Public Law Children"/>
    <s v="Expert Disbursement"/>
    <s v="Michael Scott"/>
    <s v="Y"/>
    <n v="800.9"/>
    <n v="160.18"/>
    <x v="7"/>
    <s v="VALIDATED"/>
    <n v="1"/>
    <s v="01.11.80.308.6300.0000"/>
    <n v="800.9"/>
    <s v="11"/>
    <s v="6300"/>
    <n v="4008.95"/>
    <n v="800.9"/>
    <s v="CREDITOR"/>
    <n v="0"/>
    <n v="0"/>
    <n v="0"/>
    <n v="0"/>
    <n v="800.9"/>
  </r>
  <r>
    <n v="60335807"/>
    <s v="N"/>
    <n v="21349569"/>
    <s v="3000014634570007"/>
    <s v="CIVIL"/>
    <d v="2023-06-28T00:00:00"/>
    <d v="2023-07-10T19:01:40"/>
    <m/>
    <d v="2023-07-10T00:00:00"/>
    <n v="1515"/>
    <n v="20740"/>
    <s v="60335807"/>
    <s v="60335807"/>
    <m/>
    <m/>
    <n v="22781258"/>
    <m/>
    <m/>
    <m/>
    <s v="SOLFIN"/>
    <s v="SOLFIN"/>
    <s v="CCMS"/>
    <n v="21349569"/>
    <n v="6563.21"/>
    <m/>
    <s v="N"/>
    <n v="13"/>
    <d v="2023-07-10T19:01:53"/>
    <s v="Y"/>
    <s v="Advocates Meeting"/>
    <s v="Public Law Children"/>
    <s v="Advocacy"/>
    <s v="Philip Scott"/>
    <s v="Y"/>
    <n v="140.99"/>
    <n v="28.2"/>
    <x v="2"/>
    <s v="VALIDATED"/>
    <n v="1"/>
    <s v="01.11.80.308.6100.0000"/>
    <n v="140.99"/>
    <s v="11"/>
    <s v="6100"/>
    <n v="4008.95"/>
    <n v="140.99"/>
    <s v="CREDITOR"/>
    <n v="0"/>
    <n v="0"/>
    <n v="0"/>
    <n v="0"/>
    <n v="140.99"/>
  </r>
  <r>
    <n v="60335807"/>
    <s v="N"/>
    <n v="21349569"/>
    <s v="3000014634570007"/>
    <s v="CIVIL"/>
    <d v="2023-06-28T00:00:00"/>
    <d v="2023-07-10T19:01:40"/>
    <m/>
    <d v="2023-07-10T00:00:00"/>
    <n v="1515"/>
    <n v="20740"/>
    <s v="60335807"/>
    <s v="60335807"/>
    <m/>
    <m/>
    <n v="22781258"/>
    <m/>
    <m/>
    <m/>
    <s v="SOLFIN"/>
    <s v="SOLFIN"/>
    <s v="CCMS"/>
    <n v="21349569"/>
    <n v="6563.21"/>
    <m/>
    <s v="N"/>
    <n v="8"/>
    <d v="2023-07-10T19:01:53"/>
    <s v="Y"/>
    <s v="Hearing Unit 2.31 - 5.00 Hours"/>
    <s v="Public Law Children"/>
    <s v="Advocacy"/>
    <s v="Victoria Tyson"/>
    <s v="Y"/>
    <n v="476.92"/>
    <n v="95.38"/>
    <x v="2"/>
    <s v="VALIDATED"/>
    <n v="1"/>
    <s v="01.11.80.308.6100.0000"/>
    <n v="476.92"/>
    <s v="11"/>
    <s v="6100"/>
    <n v="4008.95"/>
    <n v="476.92"/>
    <s v="CREDITOR"/>
    <n v="0"/>
    <n v="0"/>
    <n v="0"/>
    <n v="0"/>
    <n v="476.92"/>
  </r>
  <r>
    <n v="60335807"/>
    <s v="N"/>
    <n v="21349569"/>
    <s v="3000014634570007"/>
    <s v="CIVIL"/>
    <d v="2023-06-28T00:00:00"/>
    <d v="2023-07-10T19:01:40"/>
    <m/>
    <d v="2023-07-10T00:00:00"/>
    <n v="1515"/>
    <n v="20740"/>
    <s v="60335807"/>
    <s v="60335807"/>
    <m/>
    <m/>
    <n v="22781258"/>
    <m/>
    <m/>
    <m/>
    <s v="SOLFIN"/>
    <s v="SOLFIN"/>
    <s v="CCMS"/>
    <n v="21349569"/>
    <n v="6563.21"/>
    <m/>
    <s v="N"/>
    <n v="14"/>
    <d v="2023-07-10T19:01:53"/>
    <s v="Y"/>
    <s v="Advocates Meeting"/>
    <s v="Public Law Children"/>
    <s v="Advocacy"/>
    <s v="Philip Scott"/>
    <s v="Y"/>
    <n v="140.99"/>
    <n v="28.2"/>
    <x v="2"/>
    <s v="VALIDATED"/>
    <n v="1"/>
    <s v="01.11.80.308.6100.0000"/>
    <n v="140.99"/>
    <s v="11"/>
    <s v="6100"/>
    <n v="4008.95"/>
    <n v="140.99"/>
    <s v="CREDITOR"/>
    <n v="0"/>
    <n v="0"/>
    <n v="0"/>
    <n v="0"/>
    <n v="140.99"/>
  </r>
  <r>
    <n v="60335807"/>
    <s v="N"/>
    <n v="21349569"/>
    <s v="3000014634570007"/>
    <s v="CIVIL"/>
    <d v="2023-06-28T00:00:00"/>
    <d v="2023-07-10T19:01:40"/>
    <m/>
    <d v="2023-07-10T00:00:00"/>
    <n v="1515"/>
    <n v="20740"/>
    <s v="60335807"/>
    <s v="60335807"/>
    <m/>
    <m/>
    <n v="22781258"/>
    <m/>
    <m/>
    <m/>
    <s v="SOLFIN"/>
    <s v="SOLFIN"/>
    <s v="CCMS"/>
    <n v="21349569"/>
    <n v="6563.21"/>
    <m/>
    <s v="N"/>
    <n v="12"/>
    <d v="2023-07-10T19:01:53"/>
    <s v="Y"/>
    <s v="Hearing Unit 2.31 - 5.00 Hours"/>
    <s v="Public Law Children"/>
    <s v="Advocacy"/>
    <s v="Victoria Tyson"/>
    <s v="Y"/>
    <n v="476.92"/>
    <n v="95.38"/>
    <x v="2"/>
    <s v="VALIDATED"/>
    <n v="1"/>
    <s v="01.11.80.308.6100.0000"/>
    <n v="476.92"/>
    <s v="11"/>
    <s v="6100"/>
    <n v="4008.95"/>
    <n v="476.92"/>
    <s v="CREDITOR"/>
    <n v="0"/>
    <n v="0"/>
    <n v="0"/>
    <n v="0"/>
    <n v="476.92"/>
  </r>
  <r>
    <n v="61835182"/>
    <s v="N"/>
    <n v="21360311"/>
    <s v="3000015903170006"/>
    <s v="CIVIL"/>
    <d v="2023-06-30T00:00:00"/>
    <d v="2023-07-11T11:50:54"/>
    <m/>
    <d v="2023-07-11T00:00:00"/>
    <n v="1515"/>
    <n v="20740"/>
    <s v="61835182"/>
    <s v="61835182"/>
    <m/>
    <m/>
    <n v="22795434"/>
    <m/>
    <m/>
    <m/>
    <s v="SOLFIN"/>
    <s v="SOLFIN"/>
    <s v="CCMS"/>
    <n v="21360311"/>
    <n v="6990.15"/>
    <m/>
    <s v="N"/>
    <n v="5"/>
    <d v="2023-07-11T11:51:01"/>
    <s v="Y"/>
    <s v="Psychologist"/>
    <s v="Public Law Children"/>
    <s v="Expert Disbursement"/>
    <s v="Michael Scott"/>
    <s v="Y"/>
    <n v="778.8"/>
    <n v="155.76"/>
    <x v="7"/>
    <s v="VALIDATED"/>
    <n v="1"/>
    <s v="01.11.80.308.6300.0000"/>
    <n v="778.8"/>
    <s v="11"/>
    <s v="6300"/>
    <n v="4008.95"/>
    <n v="778.8"/>
    <s v="CREDITOR"/>
    <n v="0"/>
    <n v="0"/>
    <n v="0"/>
    <n v="0"/>
    <n v="778.8"/>
  </r>
  <r>
    <n v="61835182"/>
    <s v="N"/>
    <n v="21360311"/>
    <s v="3000015903170006"/>
    <s v="CIVIL"/>
    <d v="2023-06-30T00:00:00"/>
    <d v="2023-07-11T11:50:54"/>
    <m/>
    <d v="2023-07-11T00:00:00"/>
    <n v="1515"/>
    <n v="20740"/>
    <s v="61835182"/>
    <s v="61835182"/>
    <m/>
    <m/>
    <n v="22795434"/>
    <m/>
    <m/>
    <m/>
    <s v="SOLFIN"/>
    <s v="SOLFIN"/>
    <s v="CCMS"/>
    <n v="21360311"/>
    <n v="6990.15"/>
    <m/>
    <s v="N"/>
    <n v="3"/>
    <d v="2023-07-11T11:51:01"/>
    <s v="Y"/>
    <s v="Court Fee"/>
    <s v="Public Law Children"/>
    <s v="Non Expert Disbursement"/>
    <s v="Michael Scott"/>
    <s v="Y"/>
    <n v="167"/>
    <n v="0"/>
    <x v="7"/>
    <s v="VALIDATED"/>
    <n v="1"/>
    <s v="01.11.80.308.6300.0000"/>
    <n v="167"/>
    <s v="11"/>
    <s v="6300"/>
    <n v="4008.95"/>
    <n v="167"/>
    <s v="CREDITOR"/>
    <n v="0"/>
    <n v="0"/>
    <n v="0"/>
    <n v="0"/>
    <n v="167"/>
  </r>
  <r>
    <n v="60335807"/>
    <s v="N"/>
    <n v="21349569"/>
    <s v="3000014634570007"/>
    <s v="CIVIL"/>
    <d v="2023-06-28T00:00:00"/>
    <d v="2023-07-10T19:01:40"/>
    <m/>
    <d v="2023-07-10T00:00:00"/>
    <n v="1515"/>
    <n v="20740"/>
    <s v="60335807"/>
    <s v="60335807"/>
    <m/>
    <m/>
    <n v="22781258"/>
    <m/>
    <m/>
    <m/>
    <s v="SOLFIN"/>
    <s v="SOLFIN"/>
    <s v="CCMS"/>
    <n v="21349569"/>
    <n v="6563.21"/>
    <m/>
    <s v="N"/>
    <n v="17"/>
    <d v="2023-07-10T19:01:53"/>
    <s v="Y"/>
    <s v="Solicitors Fixed Fee"/>
    <s v="Public Law Children"/>
    <s v="Profit Cost"/>
    <s v="Victoria Tyson"/>
    <s v="Y"/>
    <n v="1911"/>
    <n v="382.2"/>
    <x v="2"/>
    <s v="VALIDATED"/>
    <n v="1"/>
    <s v="01.11.80.308.6100.0000"/>
    <n v="1911"/>
    <s v="11"/>
    <s v="6100"/>
    <n v="4008.95"/>
    <n v="1911"/>
    <s v="CREDITOR"/>
    <n v="0"/>
    <n v="0"/>
    <n v="0"/>
    <n v="0"/>
    <n v="1911"/>
  </r>
  <r>
    <n v="61835182"/>
    <s v="N"/>
    <n v="21360311"/>
    <s v="3000015903170006"/>
    <s v="CIVIL"/>
    <d v="2023-06-30T00:00:00"/>
    <d v="2023-07-11T11:50:54"/>
    <m/>
    <d v="2023-07-11T00:00:00"/>
    <n v="1515"/>
    <n v="20740"/>
    <s v="61835182"/>
    <s v="61835182"/>
    <m/>
    <m/>
    <n v="22795434"/>
    <m/>
    <m/>
    <m/>
    <s v="SOLFIN"/>
    <s v="SOLFIN"/>
    <s v="CCMS"/>
    <n v="21360311"/>
    <n v="6990.15"/>
    <m/>
    <s v="N"/>
    <n v="10"/>
    <d v="2023-07-11T11:51:01"/>
    <s v="Y"/>
    <s v="Hearing Unit 0.00 - 1.00 Hours"/>
    <s v="Public Law Children"/>
    <s v="Advocacy"/>
    <s v="Michael Scott"/>
    <s v="Y"/>
    <n v="95.40000000000001"/>
    <n v="19.08"/>
    <x v="7"/>
    <s v="VALIDATED"/>
    <n v="1"/>
    <s v="01.11.80.308.6100.0000"/>
    <n v="95.40000000000001"/>
    <s v="11"/>
    <s v="6100"/>
    <n v="4008.95"/>
    <n v="95.40000000000001"/>
    <s v="CREDITOR"/>
    <n v="0"/>
    <n v="0"/>
    <n v="0"/>
    <n v="0"/>
    <n v="95.40000000000001"/>
  </r>
  <r>
    <n v="61835182"/>
    <s v="N"/>
    <n v="21360311"/>
    <s v="3000015903170006"/>
    <s v="CIVIL"/>
    <d v="2023-06-30T00:00:00"/>
    <d v="2023-07-11T11:50:54"/>
    <m/>
    <d v="2023-07-11T00:00:00"/>
    <n v="1515"/>
    <n v="20740"/>
    <s v="61835182"/>
    <s v="61835182"/>
    <m/>
    <m/>
    <n v="22795434"/>
    <m/>
    <m/>
    <m/>
    <s v="SOLFIN"/>
    <s v="SOLFIN"/>
    <s v="CCMS"/>
    <n v="21360311"/>
    <n v="6990.15"/>
    <m/>
    <s v="N"/>
    <n v="7"/>
    <d v="2023-07-11T11:51:01"/>
    <s v="Y"/>
    <s v="Advocates Meeting"/>
    <s v="Public Law Children"/>
    <s v="Advocacy"/>
    <s v="Michael Scott"/>
    <s v="Y"/>
    <n v="140.99"/>
    <n v="28.2"/>
    <x v="7"/>
    <s v="VALIDATED"/>
    <n v="1"/>
    <s v="01.11.80.308.6100.0000"/>
    <n v="140.99"/>
    <s v="11"/>
    <s v="6100"/>
    <n v="4008.95"/>
    <n v="140.99"/>
    <s v="CREDITOR"/>
    <n v="0"/>
    <n v="0"/>
    <n v="0"/>
    <n v="0"/>
    <n v="140.99"/>
  </r>
  <r>
    <n v="61835182"/>
    <s v="N"/>
    <n v="21360311"/>
    <s v="3000015903170006"/>
    <s v="CIVIL"/>
    <d v="2023-06-30T00:00:00"/>
    <d v="2023-07-11T11:50:54"/>
    <m/>
    <d v="2023-07-11T00:00:00"/>
    <n v="1515"/>
    <n v="20740"/>
    <s v="61835182"/>
    <s v="61835182"/>
    <m/>
    <m/>
    <n v="22795434"/>
    <m/>
    <m/>
    <m/>
    <s v="SOLFIN"/>
    <s v="SOLFIN"/>
    <s v="CCMS"/>
    <n v="21360311"/>
    <n v="6990.15"/>
    <m/>
    <s v="N"/>
    <n v="8"/>
    <d v="2023-07-11T11:51:01"/>
    <s v="Y"/>
    <s v="Hearing Unit 2.31 - 5.00 Hours"/>
    <s v="Public Law Children"/>
    <s v="Advocacy"/>
    <s v="Victoria Tyson"/>
    <s v="Y"/>
    <n v="476.92"/>
    <n v="95.38"/>
    <x v="7"/>
    <s v="VALIDATED"/>
    <n v="1"/>
    <s v="01.11.80.308.6100.0000"/>
    <n v="476.92"/>
    <s v="11"/>
    <s v="6100"/>
    <n v="4008.95"/>
    <n v="476.92"/>
    <s v="CREDITOR"/>
    <n v="0"/>
    <n v="0"/>
    <n v="0"/>
    <n v="0"/>
    <n v="476.92"/>
  </r>
  <r>
    <n v="60335807"/>
    <s v="N"/>
    <n v="21356659"/>
    <s v="3000014634570005RC"/>
    <s v="CIVIL"/>
    <d v="2023-06-28T00:00:00"/>
    <d v="2023-07-10T19:47:44"/>
    <m/>
    <d v="2023-07-10T00:00:00"/>
    <n v="1515"/>
    <n v="20740"/>
    <s v="60335807"/>
    <s v="60335807"/>
    <m/>
    <m/>
    <m/>
    <m/>
    <m/>
    <m/>
    <s v="SOLRECOUP"/>
    <s v="SOLRECOUP"/>
    <s v="POARECOUP"/>
    <n v="21356659"/>
    <n v="-64.8"/>
    <m/>
    <s v="Y"/>
    <n v="2"/>
    <d v="2023-07-10T19:47:45"/>
    <s v="N"/>
    <m/>
    <m/>
    <s v="Expert Disbursement"/>
    <m/>
    <s v="N"/>
    <n v="0"/>
    <n v="-10.8"/>
    <x v="2"/>
    <s v="VALIDATED"/>
    <n v="1"/>
    <s v="01.11.80.308.2013.0000"/>
    <n v="-10.8"/>
    <s v="11"/>
    <s v="2013"/>
    <n v="4008.95"/>
    <n v="-10.8"/>
    <s v="CREDITOR"/>
    <n v="0"/>
    <n v="0"/>
    <n v="-10.8"/>
    <n v="0"/>
    <n v="0"/>
  </r>
  <r>
    <n v="61835182"/>
    <s v="N"/>
    <n v="21361525"/>
    <s v="3000015903170005RC"/>
    <s v="CIVIL"/>
    <d v="2023-06-30T00:00:00"/>
    <d v="2023-07-11T19:38:00"/>
    <m/>
    <d v="2023-07-11T00:00:00"/>
    <n v="1515"/>
    <n v="20740"/>
    <s v="61835182"/>
    <s v="61835182"/>
    <m/>
    <m/>
    <m/>
    <m/>
    <m/>
    <m/>
    <s v="SOLRECOUP"/>
    <s v="SOLRECOUP"/>
    <s v="POARECOUP"/>
    <n v="21361525"/>
    <n v="-751.92"/>
    <m/>
    <s v="Y"/>
    <n v="1"/>
    <d v="2023-07-11T19:38:01"/>
    <s v="N"/>
    <m/>
    <m/>
    <s v="Expert Disbursement"/>
    <m/>
    <s v="N"/>
    <n v="-626.6"/>
    <n v="0"/>
    <x v="7"/>
    <s v="VALIDATED"/>
    <n v="1"/>
    <s v="01.11.80.308.2013.0000"/>
    <n v="-626.6"/>
    <s v="11"/>
    <s v="2013"/>
    <n v="4008.95"/>
    <n v="-626.6"/>
    <s v="CREDITOR"/>
    <n v="0"/>
    <n v="0"/>
    <n v="-626.6"/>
    <n v="0"/>
    <n v="0"/>
  </r>
  <r>
    <n v="61835182"/>
    <s v="N"/>
    <n v="21361525"/>
    <s v="3000015903170005RC"/>
    <s v="CIVIL"/>
    <d v="2023-06-30T00:00:00"/>
    <d v="2023-07-11T19:38:00"/>
    <m/>
    <d v="2023-07-11T00:00:00"/>
    <n v="1515"/>
    <n v="20740"/>
    <s v="61835182"/>
    <s v="61835182"/>
    <m/>
    <m/>
    <m/>
    <m/>
    <m/>
    <m/>
    <s v="SOLRECOUP"/>
    <s v="SOLRECOUP"/>
    <s v="POARECOUP"/>
    <n v="21361525"/>
    <n v="-751.92"/>
    <m/>
    <s v="Y"/>
    <n v="2"/>
    <d v="2023-07-11T19:38:01"/>
    <s v="N"/>
    <m/>
    <m/>
    <s v="Expert Disbursement"/>
    <m/>
    <s v="N"/>
    <n v="0"/>
    <n v="-125.32"/>
    <x v="7"/>
    <s v="VALIDATED"/>
    <n v="1"/>
    <s v="01.11.80.308.2013.0000"/>
    <n v="-125.32"/>
    <s v="11"/>
    <s v="2013"/>
    <n v="4008.95"/>
    <n v="-125.32"/>
    <s v="CREDITOR"/>
    <n v="0"/>
    <n v="0"/>
    <n v="-125.32"/>
    <n v="0"/>
    <n v="0"/>
  </r>
  <r>
    <n v="61835182"/>
    <s v="N"/>
    <n v="21361526"/>
    <s v="3000015903170002RC"/>
    <s v="CIVIL"/>
    <d v="2023-06-30T00:00:00"/>
    <d v="2023-07-11T19:38:00"/>
    <m/>
    <d v="2023-07-11T00:00:00"/>
    <n v="1515"/>
    <n v="20740"/>
    <s v="61835182"/>
    <s v="61835182"/>
    <m/>
    <m/>
    <m/>
    <m/>
    <m/>
    <m/>
    <s v="SOLRECOUP"/>
    <s v="SOLRECOUP"/>
    <s v="POARECOUP"/>
    <n v="21361526"/>
    <n v="-2049.08"/>
    <m/>
    <s v="Y"/>
    <n v="1"/>
    <d v="2023-07-11T19:38:01"/>
    <s v="N"/>
    <m/>
    <m/>
    <s v="Profit Cost"/>
    <m/>
    <s v="N"/>
    <n v="-1707.57"/>
    <n v="0"/>
    <x v="7"/>
    <s v="VALIDATED"/>
    <n v="1"/>
    <s v="01.11.80.308.2013.0000"/>
    <n v="-1707.57"/>
    <s v="11"/>
    <s v="2013"/>
    <n v="4008.95"/>
    <n v="-1707.57"/>
    <s v="CREDITOR"/>
    <n v="0"/>
    <n v="0"/>
    <n v="-1707.57"/>
    <n v="-426.8925"/>
    <n v="0"/>
  </r>
  <r>
    <n v="61835182"/>
    <s v="N"/>
    <n v="21361526"/>
    <s v="3000015903170002RC"/>
    <s v="CIVIL"/>
    <d v="2023-06-30T00:00:00"/>
    <d v="2023-07-11T19:38:00"/>
    <m/>
    <d v="2023-07-11T00:00:00"/>
    <n v="1515"/>
    <n v="20740"/>
    <s v="61835182"/>
    <s v="61835182"/>
    <m/>
    <m/>
    <m/>
    <m/>
    <m/>
    <m/>
    <s v="SOLRECOUP"/>
    <s v="SOLRECOUP"/>
    <s v="POARECOUP"/>
    <n v="21361526"/>
    <n v="-2049.08"/>
    <m/>
    <s v="Y"/>
    <n v="2"/>
    <d v="2023-07-11T19:38:01"/>
    <s v="N"/>
    <m/>
    <m/>
    <s v="Profit Cost"/>
    <m/>
    <s v="N"/>
    <n v="0"/>
    <n v="-341.51"/>
    <x v="7"/>
    <s v="VALIDATED"/>
    <n v="1"/>
    <s v="01.11.80.308.2013.0000"/>
    <n v="-341.51"/>
    <s v="11"/>
    <s v="2013"/>
    <n v="4008.95"/>
    <n v="-341.51"/>
    <s v="CREDITOR"/>
    <n v="0"/>
    <n v="0"/>
    <n v="-341.51"/>
    <n v="-85.3775"/>
    <n v="0"/>
  </r>
  <r>
    <n v="61835182"/>
    <s v="N"/>
    <n v="21361527"/>
    <s v="3000015903170003RC"/>
    <s v="CIVIL"/>
    <d v="2023-06-30T00:00:00"/>
    <d v="2023-07-11T19:38:00"/>
    <m/>
    <d v="2023-07-11T00:00:00"/>
    <n v="1515"/>
    <n v="20740"/>
    <s v="61835182"/>
    <s v="61835182"/>
    <m/>
    <m/>
    <m/>
    <m/>
    <m/>
    <m/>
    <s v="SOLRECOUP"/>
    <s v="SOLRECOUP"/>
    <s v="POARECOUP"/>
    <n v="21361527"/>
    <n v="-167"/>
    <m/>
    <s v="Y"/>
    <n v="2"/>
    <d v="2023-07-11T19:38:01"/>
    <s v="N"/>
    <m/>
    <m/>
    <s v="Non Expert Disbursement"/>
    <m/>
    <s v="N"/>
    <n v="0"/>
    <n v="0"/>
    <x v="7"/>
    <s v="VALIDATED"/>
    <n v="1"/>
    <s v="01.11.80.000.0000.0000"/>
    <n v="0"/>
    <s v="11"/>
    <s v="0000"/>
    <n v="4008.95"/>
    <n v="0"/>
    <s v="CREDITOR"/>
    <n v="0"/>
    <n v="0"/>
    <n v="0"/>
    <n v="0"/>
    <n v="0"/>
  </r>
  <r>
    <n v="61835182"/>
    <s v="N"/>
    <n v="21361527"/>
    <s v="3000015903170003RC"/>
    <s v="CIVIL"/>
    <d v="2023-06-30T00:00:00"/>
    <d v="2023-07-11T19:38:00"/>
    <m/>
    <d v="2023-07-11T00:00:00"/>
    <n v="1515"/>
    <n v="20740"/>
    <s v="61835182"/>
    <s v="61835182"/>
    <m/>
    <m/>
    <m/>
    <m/>
    <m/>
    <m/>
    <s v="SOLRECOUP"/>
    <s v="SOLRECOUP"/>
    <s v="POARECOUP"/>
    <n v="21361527"/>
    <n v="-167"/>
    <m/>
    <s v="Y"/>
    <n v="1"/>
    <d v="2023-07-11T19:38:01"/>
    <s v="N"/>
    <m/>
    <m/>
    <s v="Non Expert Disbursement"/>
    <m/>
    <s v="N"/>
    <n v="-167"/>
    <n v="0"/>
    <x v="7"/>
    <s v="VALIDATED"/>
    <n v="1"/>
    <s v="01.11.80.308.2013.0000"/>
    <n v="-167"/>
    <s v="11"/>
    <s v="2013"/>
    <n v="4008.95"/>
    <n v="-167"/>
    <s v="CREDITOR"/>
    <n v="0"/>
    <n v="0"/>
    <n v="-167"/>
    <n v="0"/>
    <n v="0"/>
  </r>
  <r>
    <n v="61835182"/>
    <s v="N"/>
    <n v="21361528"/>
    <s v="3000015903170004RC"/>
    <s v="CIVIL"/>
    <d v="2023-06-30T00:00:00"/>
    <d v="2023-07-11T19:38:00"/>
    <m/>
    <d v="2023-07-11T00:00:00"/>
    <n v="1515"/>
    <n v="20740"/>
    <s v="61835182"/>
    <s v="61835182"/>
    <m/>
    <m/>
    <m/>
    <m/>
    <m/>
    <m/>
    <s v="SOLRECOUP"/>
    <s v="SOLRECOUP"/>
    <s v="POARECOUP"/>
    <n v="21361528"/>
    <n v="-934.5599999999999"/>
    <m/>
    <s v="Y"/>
    <n v="1"/>
    <d v="2023-07-11T19:38:01"/>
    <s v="N"/>
    <m/>
    <m/>
    <s v="Expert Disbursement"/>
    <m/>
    <s v="N"/>
    <n v="-778.8"/>
    <n v="0"/>
    <x v="7"/>
    <s v="VALIDATED"/>
    <n v="1"/>
    <s v="01.11.80.308.2013.0000"/>
    <n v="-778.8"/>
    <s v="11"/>
    <s v="2013"/>
    <n v="4008.95"/>
    <n v="-778.8"/>
    <s v="CREDITOR"/>
    <n v="0"/>
    <n v="0"/>
    <n v="-778.8"/>
    <n v="0"/>
    <n v="0"/>
  </r>
  <r>
    <n v="61835182"/>
    <s v="N"/>
    <n v="21361528"/>
    <s v="3000015903170004RC"/>
    <s v="CIVIL"/>
    <d v="2023-06-30T00:00:00"/>
    <d v="2023-07-11T19:38:00"/>
    <m/>
    <d v="2023-07-11T00:00:00"/>
    <n v="1515"/>
    <n v="20740"/>
    <s v="61835182"/>
    <s v="61835182"/>
    <m/>
    <m/>
    <m/>
    <m/>
    <m/>
    <m/>
    <s v="SOLRECOUP"/>
    <s v="SOLRECOUP"/>
    <s v="POARECOUP"/>
    <n v="21361528"/>
    <n v="-934.5599999999999"/>
    <m/>
    <s v="Y"/>
    <n v="2"/>
    <d v="2023-07-11T19:38:01"/>
    <s v="N"/>
    <m/>
    <m/>
    <s v="Expert Disbursement"/>
    <m/>
    <s v="N"/>
    <n v="0"/>
    <n v="-155.76"/>
    <x v="7"/>
    <s v="VALIDATED"/>
    <n v="1"/>
    <s v="01.11.80.308.2013.0000"/>
    <n v="-155.76"/>
    <s v="11"/>
    <s v="2013"/>
    <n v="4008.95"/>
    <n v="-155.76"/>
    <s v="CREDITOR"/>
    <n v="0"/>
    <n v="0"/>
    <n v="-155.76"/>
    <n v="0"/>
    <n v="0"/>
  </r>
  <r>
    <n v="61835182"/>
    <s v="N"/>
    <n v="21361529"/>
    <s v="3000015903170001RC"/>
    <s v="CIVIL"/>
    <d v="2023-06-30T00:00:00"/>
    <d v="2023-07-11T19:38:00"/>
    <m/>
    <d v="2023-07-11T00:00:00"/>
    <n v="1515"/>
    <n v="20740"/>
    <s v="61835182"/>
    <s v="61835182"/>
    <m/>
    <m/>
    <m/>
    <m/>
    <m/>
    <m/>
    <s v="SOLRECOUP"/>
    <s v="SOLRECOUP"/>
    <s v="POARECOUP"/>
    <n v="21361529"/>
    <n v="-961.08"/>
    <m/>
    <s v="Y"/>
    <n v="2"/>
    <d v="2023-07-11T19:38:01"/>
    <s v="N"/>
    <m/>
    <m/>
    <s v="Expert Disbursement"/>
    <m/>
    <s v="N"/>
    <n v="0"/>
    <n v="-160.18"/>
    <x v="7"/>
    <s v="VALIDATED"/>
    <n v="1"/>
    <s v="01.11.80.308.2013.0000"/>
    <n v="-160.18"/>
    <s v="11"/>
    <s v="2013"/>
    <n v="4008.95"/>
    <n v="-160.18"/>
    <s v="CREDITOR"/>
    <n v="0"/>
    <n v="0"/>
    <n v="-160.18"/>
    <n v="0"/>
    <n v="0"/>
  </r>
  <r>
    <n v="61835182"/>
    <s v="N"/>
    <n v="21361529"/>
    <s v="3000015903170001RC"/>
    <s v="CIVIL"/>
    <d v="2023-06-30T00:00:00"/>
    <d v="2023-07-11T19:38:00"/>
    <m/>
    <d v="2023-07-11T00:00:00"/>
    <n v="1515"/>
    <n v="20740"/>
    <s v="61835182"/>
    <s v="61835182"/>
    <m/>
    <m/>
    <m/>
    <m/>
    <m/>
    <m/>
    <s v="SOLRECOUP"/>
    <s v="SOLRECOUP"/>
    <s v="POARECOUP"/>
    <n v="21361529"/>
    <n v="-961.08"/>
    <m/>
    <s v="Y"/>
    <n v="1"/>
    <d v="2023-07-11T19:38:01"/>
    <s v="N"/>
    <m/>
    <m/>
    <s v="Expert Disbursement"/>
    <m/>
    <s v="N"/>
    <n v="-800.9"/>
    <n v="0"/>
    <x v="7"/>
    <s v="VALIDATED"/>
    <n v="1"/>
    <s v="01.11.80.308.2013.0000"/>
    <n v="-800.9"/>
    <s v="11"/>
    <s v="2013"/>
    <n v="4008.95"/>
    <n v="-800.9"/>
    <s v="CREDITOR"/>
    <n v="0"/>
    <n v="0"/>
    <n v="-800.9"/>
    <n v="0"/>
    <n v="0"/>
  </r>
  <r>
    <n v="60335807"/>
    <s v="N"/>
    <n v="21356655"/>
    <s v="3000014634570001RC"/>
    <s v="CIVIL"/>
    <d v="2023-06-28T00:00:00"/>
    <d v="2023-07-10T19:47:44"/>
    <m/>
    <d v="2023-07-10T00:00:00"/>
    <n v="1515"/>
    <n v="20740"/>
    <s v="60335807"/>
    <s v="60335807"/>
    <m/>
    <m/>
    <m/>
    <m/>
    <m/>
    <m/>
    <s v="SOLRECOUP"/>
    <s v="SOLRECOUP"/>
    <s v="POARECOUP"/>
    <n v="21356655"/>
    <n v="-1572.65"/>
    <m/>
    <s v="Y"/>
    <n v="1"/>
    <d v="2023-07-10T19:47:45"/>
    <s v="N"/>
    <m/>
    <m/>
    <s v="Profit Cost"/>
    <m/>
    <s v="N"/>
    <n v="-1310.54"/>
    <n v="0"/>
    <x v="2"/>
    <s v="VALIDATED"/>
    <n v="1"/>
    <s v="01.11.80.308.2013.0000"/>
    <n v="-1310.54"/>
    <s v="11"/>
    <s v="2013"/>
    <n v="4008.95"/>
    <n v="-1310.54"/>
    <s v="CREDITOR"/>
    <n v="0"/>
    <n v="0"/>
    <n v="-1310.54"/>
    <n v="-327.635"/>
    <n v="0"/>
  </r>
  <r>
    <n v="60335807"/>
    <s v="N"/>
    <n v="21356655"/>
    <s v="3000014634570001RC"/>
    <s v="CIVIL"/>
    <d v="2023-06-28T00:00:00"/>
    <d v="2023-07-10T19:47:44"/>
    <m/>
    <d v="2023-07-10T00:00:00"/>
    <n v="1515"/>
    <n v="20740"/>
    <s v="60335807"/>
    <s v="60335807"/>
    <m/>
    <m/>
    <m/>
    <m/>
    <m/>
    <m/>
    <s v="SOLRECOUP"/>
    <s v="SOLRECOUP"/>
    <s v="POARECOUP"/>
    <n v="21356655"/>
    <n v="-1572.65"/>
    <m/>
    <s v="Y"/>
    <n v="2"/>
    <d v="2023-07-10T19:47:45"/>
    <s v="N"/>
    <m/>
    <m/>
    <s v="Profit Cost"/>
    <m/>
    <s v="N"/>
    <n v="0"/>
    <n v="-262.11"/>
    <x v="2"/>
    <s v="VALIDATED"/>
    <n v="1"/>
    <s v="01.11.80.308.2013.0000"/>
    <n v="-262.11"/>
    <s v="11"/>
    <s v="2013"/>
    <n v="4008.95"/>
    <n v="-262.11"/>
    <s v="CREDITOR"/>
    <n v="0"/>
    <n v="0"/>
    <n v="-262.11"/>
    <n v="-65.5275"/>
    <n v="0"/>
  </r>
  <r>
    <n v="60335807"/>
    <s v="N"/>
    <n v="21356656"/>
    <s v="3000014634570002RC"/>
    <s v="CIVIL"/>
    <d v="2023-06-28T00:00:00"/>
    <d v="2023-07-10T19:47:44"/>
    <m/>
    <d v="2023-07-10T00:00:00"/>
    <n v="1515"/>
    <n v="20740"/>
    <s v="60335807"/>
    <s v="60335807"/>
    <m/>
    <m/>
    <m/>
    <m/>
    <m/>
    <m/>
    <s v="SOLRECOUP"/>
    <s v="SOLRECOUP"/>
    <s v="POARECOUP"/>
    <n v="21356656"/>
    <n v="-390.03"/>
    <m/>
    <s v="Y"/>
    <n v="1"/>
    <d v="2023-07-10T19:47:45"/>
    <s v="N"/>
    <m/>
    <m/>
    <s v="Expert Disbursement"/>
    <m/>
    <s v="N"/>
    <n v="-390.03"/>
    <n v="0"/>
    <x v="2"/>
    <s v="VALIDATED"/>
    <n v="1"/>
    <s v="01.11.80.308.2013.0000"/>
    <n v="-390.03"/>
    <s v="11"/>
    <s v="2013"/>
    <n v="4008.95"/>
    <n v="-390.03"/>
    <s v="CREDITOR"/>
    <n v="0"/>
    <n v="0"/>
    <n v="-390.03"/>
    <n v="0"/>
    <n v="0"/>
  </r>
  <r>
    <n v="60335807"/>
    <s v="N"/>
    <n v="21356656"/>
    <s v="3000014634570002RC"/>
    <s v="CIVIL"/>
    <d v="2023-06-28T00:00:00"/>
    <d v="2023-07-10T19:47:44"/>
    <m/>
    <d v="2023-07-10T00:00:00"/>
    <n v="1515"/>
    <n v="20740"/>
    <s v="60335807"/>
    <s v="60335807"/>
    <m/>
    <m/>
    <m/>
    <m/>
    <m/>
    <m/>
    <s v="SOLRECOUP"/>
    <s v="SOLRECOUP"/>
    <s v="POARECOUP"/>
    <n v="21356656"/>
    <n v="-390.03"/>
    <m/>
    <s v="Y"/>
    <n v="2"/>
    <d v="2023-07-10T19:47:45"/>
    <s v="N"/>
    <m/>
    <m/>
    <s v="Expert Disbursement"/>
    <m/>
    <s v="N"/>
    <n v="0"/>
    <n v="0"/>
    <x v="2"/>
    <s v="VALIDATED"/>
    <n v="1"/>
    <s v="01.11.80.000.0000.0000"/>
    <n v="0"/>
    <s v="11"/>
    <s v="0000"/>
    <n v="4008.95"/>
    <n v="0"/>
    <s v="CREDITOR"/>
    <n v="0"/>
    <n v="0"/>
    <n v="0"/>
    <n v="0"/>
    <n v="0"/>
  </r>
  <r>
    <n v="60335807"/>
    <s v="N"/>
    <n v="21356657"/>
    <s v="3000014634570003RC"/>
    <s v="CIVIL"/>
    <d v="2023-06-28T00:00:00"/>
    <d v="2023-07-10T19:47:44"/>
    <m/>
    <d v="2023-07-10T00:00:00"/>
    <n v="1515"/>
    <n v="20740"/>
    <s v="60335807"/>
    <s v="60335807"/>
    <m/>
    <m/>
    <m/>
    <m/>
    <m/>
    <m/>
    <s v="SOLRECOUP"/>
    <s v="SOLRECOUP"/>
    <s v="POARECOUP"/>
    <n v="21356657"/>
    <n v="-486"/>
    <m/>
    <s v="Y"/>
    <n v="1"/>
    <d v="2023-07-10T19:47:45"/>
    <s v="N"/>
    <m/>
    <m/>
    <s v="Expert Disbursement"/>
    <m/>
    <s v="N"/>
    <n v="-405"/>
    <n v="0"/>
    <x v="2"/>
    <s v="VALIDATED"/>
    <n v="1"/>
    <s v="01.11.80.308.2013.0000"/>
    <n v="-405"/>
    <s v="11"/>
    <s v="2013"/>
    <n v="4008.95"/>
    <n v="-405"/>
    <s v="CREDITOR"/>
    <n v="0"/>
    <n v="0"/>
    <n v="-405"/>
    <n v="0"/>
    <n v="0"/>
  </r>
  <r>
    <n v="60335807"/>
    <s v="N"/>
    <n v="21356657"/>
    <s v="3000014634570003RC"/>
    <s v="CIVIL"/>
    <d v="2023-06-28T00:00:00"/>
    <d v="2023-07-10T19:47:44"/>
    <m/>
    <d v="2023-07-10T00:00:00"/>
    <n v="1515"/>
    <n v="20740"/>
    <s v="60335807"/>
    <s v="60335807"/>
    <m/>
    <m/>
    <m/>
    <m/>
    <m/>
    <m/>
    <s v="SOLRECOUP"/>
    <s v="SOLRECOUP"/>
    <s v="POARECOUP"/>
    <n v="21356657"/>
    <n v="-486"/>
    <m/>
    <s v="Y"/>
    <n v="2"/>
    <d v="2023-07-10T19:47:45"/>
    <s v="N"/>
    <m/>
    <m/>
    <s v="Expert Disbursement"/>
    <m/>
    <s v="N"/>
    <n v="0"/>
    <n v="-81"/>
    <x v="2"/>
    <s v="VALIDATED"/>
    <n v="1"/>
    <s v="01.11.80.308.2013.0000"/>
    <n v="-81"/>
    <s v="11"/>
    <s v="2013"/>
    <n v="4008.95"/>
    <n v="-81"/>
    <s v="CREDITOR"/>
    <n v="0"/>
    <n v="0"/>
    <n v="-81"/>
    <n v="0"/>
    <n v="0"/>
  </r>
  <r>
    <n v="60335807"/>
    <s v="N"/>
    <n v="21356658"/>
    <s v="3000014634570004RC"/>
    <s v="CIVIL"/>
    <d v="2023-06-28T00:00:00"/>
    <d v="2023-07-10T19:47:44"/>
    <m/>
    <d v="2023-07-10T00:00:00"/>
    <n v="1515"/>
    <n v="20740"/>
    <s v="60335807"/>
    <s v="60335807"/>
    <m/>
    <m/>
    <m/>
    <m/>
    <m/>
    <m/>
    <s v="SOLRECOUP"/>
    <s v="SOLRECOUP"/>
    <s v="POARECOUP"/>
    <n v="21356658"/>
    <n v="-34.88"/>
    <m/>
    <s v="Y"/>
    <n v="1"/>
    <d v="2023-07-10T19:47:45"/>
    <s v="N"/>
    <m/>
    <m/>
    <s v="Expert Disbursement"/>
    <m/>
    <s v="N"/>
    <n v="-34.88"/>
    <n v="0"/>
    <x v="2"/>
    <s v="VALIDATED"/>
    <n v="1"/>
    <s v="01.11.80.308.2013.0000"/>
    <n v="-34.88"/>
    <s v="11"/>
    <s v="2013"/>
    <n v="4008.95"/>
    <n v="-34.88"/>
    <s v="CREDITOR"/>
    <n v="0"/>
    <n v="0"/>
    <n v="-34.88"/>
    <n v="0"/>
    <n v="0"/>
  </r>
  <r>
    <n v="60335807"/>
    <s v="N"/>
    <n v="21356658"/>
    <s v="3000014634570004RC"/>
    <s v="CIVIL"/>
    <d v="2023-06-28T00:00:00"/>
    <d v="2023-07-10T19:47:44"/>
    <m/>
    <d v="2023-07-10T00:00:00"/>
    <n v="1515"/>
    <n v="20740"/>
    <s v="60335807"/>
    <s v="60335807"/>
    <m/>
    <m/>
    <m/>
    <m/>
    <m/>
    <m/>
    <s v="SOLRECOUP"/>
    <s v="SOLRECOUP"/>
    <s v="POARECOUP"/>
    <n v="21356658"/>
    <n v="-34.88"/>
    <m/>
    <s v="Y"/>
    <n v="2"/>
    <d v="2023-07-10T19:47:45"/>
    <s v="N"/>
    <m/>
    <m/>
    <s v="Expert Disbursement"/>
    <m/>
    <s v="N"/>
    <n v="0"/>
    <n v="0"/>
    <x v="2"/>
    <s v="VALIDATED"/>
    <n v="1"/>
    <s v="01.11.80.000.0000.0000"/>
    <n v="0"/>
    <s v="11"/>
    <s v="0000"/>
    <n v="4008.95"/>
    <n v="0"/>
    <s v="CREDITOR"/>
    <n v="0"/>
    <n v="0"/>
    <n v="0"/>
    <n v="0"/>
    <n v="0"/>
  </r>
  <r>
    <n v="60335807"/>
    <s v="N"/>
    <n v="21356659"/>
    <s v="3000014634570005RC"/>
    <s v="CIVIL"/>
    <d v="2023-06-28T00:00:00"/>
    <d v="2023-07-10T19:47:44"/>
    <m/>
    <d v="2023-07-10T00:00:00"/>
    <n v="1515"/>
    <n v="20740"/>
    <s v="60335807"/>
    <s v="60335807"/>
    <m/>
    <m/>
    <m/>
    <m/>
    <m/>
    <m/>
    <s v="SOLRECOUP"/>
    <s v="SOLRECOUP"/>
    <s v="POARECOUP"/>
    <n v="21356659"/>
    <n v="-64.8"/>
    <m/>
    <s v="Y"/>
    <n v="1"/>
    <d v="2023-07-10T19:47:45"/>
    <s v="N"/>
    <m/>
    <m/>
    <s v="Expert Disbursement"/>
    <m/>
    <s v="N"/>
    <n v="-54"/>
    <n v="0"/>
    <x v="2"/>
    <s v="VALIDATED"/>
    <n v="1"/>
    <s v="01.11.80.308.2013.0000"/>
    <n v="-54"/>
    <s v="11"/>
    <s v="2013"/>
    <n v="4008.95"/>
    <n v="-54"/>
    <s v="CREDITOR"/>
    <n v="0"/>
    <n v="0"/>
    <n v="-54"/>
    <n v="0"/>
    <n v="0"/>
  </r>
  <r>
    <n v="60817351"/>
    <s v="N"/>
    <n v="21320961"/>
    <s v="3000015049880016"/>
    <s v="CIVIL"/>
    <d v="2023-06-28T00:00:00"/>
    <d v="2023-07-03T19:04:52"/>
    <m/>
    <d v="2023-07-03T00:00:00"/>
    <n v="1524"/>
    <n v="20807"/>
    <s v="60817351"/>
    <s v="60817351"/>
    <m/>
    <m/>
    <n v="22779442"/>
    <m/>
    <m/>
    <m/>
    <s v="SOLPOA"/>
    <s v="SOLPOA"/>
    <s v="CCMS"/>
    <n v="21320961"/>
    <n v="357.46"/>
    <m/>
    <s v="N"/>
    <n v="1"/>
    <d v="2023-07-03T19:04:57"/>
    <s v="N"/>
    <s v="Expert Cost"/>
    <s v="Expert Cost"/>
    <s v="Expert Disbursement"/>
    <s v="JB"/>
    <s v="N"/>
    <n v="297.88"/>
    <n v="59.58"/>
    <x v="3"/>
    <s v="VALIDATED"/>
    <n v="1"/>
    <s v="01.11.80.308.2012.0000"/>
    <n v="297.88"/>
    <s v="11"/>
    <s v="2012"/>
    <n v="13305.47"/>
    <n v="297.88"/>
    <s v="CREDITOR"/>
    <n v="297.88"/>
    <n v="0"/>
    <n v="0"/>
    <n v="0"/>
    <n v="0"/>
  </r>
  <r>
    <n v="60572875"/>
    <s v="N"/>
    <n v="21319395"/>
    <s v="3000014836880030"/>
    <s v="CIVIL"/>
    <d v="2023-06-28T00:00:00"/>
    <d v="2023-07-03T19:04:24"/>
    <m/>
    <d v="2023-07-03T00:00:00"/>
    <n v="1524"/>
    <n v="20807"/>
    <s v="60572875"/>
    <s v="60572875"/>
    <m/>
    <m/>
    <n v="22778352"/>
    <m/>
    <m/>
    <m/>
    <s v="SOLPOA"/>
    <s v="SOLPOA"/>
    <s v="CCMS"/>
    <n v="21319395"/>
    <n v="113.82"/>
    <m/>
    <s v="N"/>
    <n v="1"/>
    <d v="2023-07-03T19:04:25"/>
    <s v="N"/>
    <s v="Expert Cost"/>
    <s v="Expert Cost"/>
    <s v="Expert Disbursement"/>
    <s v="EH"/>
    <s v="N"/>
    <n v="94.84999999999999"/>
    <n v="18.97"/>
    <x v="3"/>
    <s v="VALIDATED"/>
    <n v="1"/>
    <s v="01.11.80.308.2012.0000"/>
    <n v="94.84999999999999"/>
    <s v="11"/>
    <s v="2012"/>
    <n v="13305.47"/>
    <n v="94.84999999999999"/>
    <s v="CREDITOR"/>
    <n v="94.84999999999999"/>
    <n v="0"/>
    <n v="0"/>
    <n v="0"/>
    <n v="0"/>
  </r>
  <r>
    <n v="62182227"/>
    <s v="N"/>
    <n v="21320831"/>
    <s v="3000016193440004"/>
    <s v="CIVIL"/>
    <d v="2023-06-28T00:00:00"/>
    <d v="2023-07-03T19:04:52"/>
    <m/>
    <d v="2023-07-03T00:00:00"/>
    <n v="1524"/>
    <n v="20807"/>
    <s v="62182227"/>
    <s v="62182227"/>
    <m/>
    <m/>
    <n v="22778524"/>
    <m/>
    <m/>
    <m/>
    <s v="SOLPOA"/>
    <s v="SOLPOA"/>
    <s v="CCMS"/>
    <n v="21320831"/>
    <n v="386.22"/>
    <m/>
    <s v="N"/>
    <n v="1"/>
    <d v="2023-07-03T19:04:56"/>
    <s v="N"/>
    <s v="Expert Cost"/>
    <s v="Expert Cost"/>
    <s v="Expert Disbursement"/>
    <s v="ER"/>
    <s v="N"/>
    <n v="321.85"/>
    <n v="64.37"/>
    <x v="3"/>
    <s v="VALIDATED"/>
    <n v="1"/>
    <s v="01.11.80.308.2012.0000"/>
    <n v="321.85"/>
    <s v="11"/>
    <s v="2012"/>
    <n v="13305.47"/>
    <n v="321.85"/>
    <s v="CREDITOR"/>
    <n v="321.85"/>
    <n v="0"/>
    <n v="0"/>
    <n v="0"/>
    <n v="0"/>
  </r>
  <r>
    <n v="61400569"/>
    <s v="N"/>
    <n v="21328197"/>
    <s v="3000015541610001"/>
    <s v="CIVIL"/>
    <d v="2023-06-20T00:00:00"/>
    <d v="2023-07-04T19:00:44"/>
    <m/>
    <d v="2023-07-04T00:00:00"/>
    <n v="1524"/>
    <n v="20807"/>
    <s v="61400569"/>
    <s v="61400569"/>
    <m/>
    <m/>
    <n v="22729768"/>
    <m/>
    <m/>
    <m/>
    <s v="SOLFIN"/>
    <s v="SOLFIN"/>
    <s v="CCMS"/>
    <n v="21328197"/>
    <n v="154"/>
    <m/>
    <s v="N"/>
    <n v="1"/>
    <d v="2023-07-04T19:01:07"/>
    <s v="Y"/>
    <s v="Court Fee"/>
    <s v="Non Family Hourly Rates"/>
    <s v="Non Expert Disbursement"/>
    <s v="HMCTS"/>
    <s v="Y"/>
    <n v="154"/>
    <n v="0"/>
    <x v="1"/>
    <s v="VALIDATED"/>
    <n v="1"/>
    <s v="01.11.80.201.6300.0000"/>
    <n v="154"/>
    <s v="11"/>
    <s v="6300"/>
    <n v="13305.47"/>
    <n v="154"/>
    <s v="CREDITOR"/>
    <n v="0"/>
    <n v="0"/>
    <n v="0"/>
    <n v="0"/>
    <n v="154"/>
  </r>
  <r>
    <n v="62254747"/>
    <s v="N"/>
    <n v="21320687"/>
    <s v="3000016253370001"/>
    <s v="CIVIL"/>
    <d v="2023-06-28T00:00:00"/>
    <d v="2023-07-03T19:04:52"/>
    <m/>
    <d v="2023-07-03T00:00:00"/>
    <n v="1524"/>
    <n v="20807"/>
    <s v="62254747"/>
    <s v="62254747"/>
    <m/>
    <m/>
    <n v="22780666"/>
    <m/>
    <m/>
    <m/>
    <s v="SOLPOA"/>
    <s v="SOLPOA"/>
    <s v="CCMS"/>
    <n v="21320687"/>
    <n v="360.97"/>
    <m/>
    <s v="N"/>
    <n v="1"/>
    <d v="2023-07-03T19:04:55"/>
    <s v="N"/>
    <s v="Expert Cost"/>
    <s v="Expert Cost"/>
    <s v="Expert Disbursement"/>
    <s v="EH"/>
    <s v="N"/>
    <n v="300.81"/>
    <n v="60.16"/>
    <x v="3"/>
    <s v="VALIDATED"/>
    <n v="1"/>
    <s v="01.11.80.308.2012.0000"/>
    <n v="300.81"/>
    <s v="11"/>
    <s v="2012"/>
    <n v="13305.47"/>
    <n v="300.81"/>
    <s v="CREDITOR"/>
    <n v="300.81"/>
    <n v="0"/>
    <n v="0"/>
    <n v="0"/>
    <n v="0"/>
  </r>
  <r>
    <n v="61728193"/>
    <s v="N"/>
    <n v="21320613"/>
    <s v="3000015810000007"/>
    <s v="CIVIL"/>
    <d v="2023-06-28T00:00:00"/>
    <d v="2023-07-03T19:04:52"/>
    <m/>
    <d v="2023-07-03T00:00:00"/>
    <n v="1524"/>
    <n v="20807"/>
    <s v="61728193"/>
    <s v="61728193"/>
    <m/>
    <m/>
    <n v="22779886"/>
    <m/>
    <m/>
    <m/>
    <s v="SOLPOA"/>
    <s v="SOLPOA"/>
    <s v="CCMS"/>
    <n v="21320613"/>
    <n v="167"/>
    <m/>
    <s v="N"/>
    <n v="1"/>
    <d v="2023-07-03T19:04:55"/>
    <s v="N"/>
    <s v="Expert Cost"/>
    <s v="Expert Cost"/>
    <s v="Expert Disbursement"/>
    <s v="HF"/>
    <s v="N"/>
    <n v="167"/>
    <n v="0"/>
    <x v="3"/>
    <s v="VALIDATED"/>
    <n v="1"/>
    <s v="01.11.80.308.2012.0000"/>
    <n v="167"/>
    <s v="11"/>
    <s v="2012"/>
    <n v="13305.47"/>
    <n v="167"/>
    <s v="CREDITOR"/>
    <n v="167"/>
    <n v="0"/>
    <n v="0"/>
    <n v="0"/>
    <n v="0"/>
  </r>
  <r>
    <n v="61871301"/>
    <s v="N"/>
    <n v="21320773"/>
    <s v="3000015856530005"/>
    <s v="CIVIL"/>
    <d v="2023-06-28T00:00:00"/>
    <d v="2023-07-03T19:04:52"/>
    <m/>
    <d v="2023-07-03T00:00:00"/>
    <n v="1524"/>
    <n v="20807"/>
    <s v="61871301"/>
    <s v="61871301"/>
    <m/>
    <m/>
    <n v="22778894"/>
    <m/>
    <m/>
    <m/>
    <s v="SOLPOA"/>
    <s v="SOLPOA"/>
    <s v="CCMS"/>
    <n v="21320773"/>
    <n v="120.4"/>
    <m/>
    <s v="N"/>
    <n v="1"/>
    <d v="2023-07-03T19:04:56"/>
    <s v="N"/>
    <s v="Expert Cost"/>
    <s v="Expert Cost"/>
    <s v="Expert Disbursement"/>
    <s v="JB"/>
    <s v="N"/>
    <n v="100.33"/>
    <n v="20.07"/>
    <x v="3"/>
    <s v="VALIDATED"/>
    <n v="1"/>
    <s v="01.11.80.308.2012.0000"/>
    <n v="100.33"/>
    <s v="11"/>
    <s v="2012"/>
    <n v="13305.47"/>
    <n v="100.33"/>
    <s v="CREDITOR"/>
    <n v="100.33"/>
    <n v="0"/>
    <n v="0"/>
    <n v="0"/>
    <n v="0"/>
  </r>
  <r>
    <n v="61596525"/>
    <s v="N"/>
    <n v="21327618"/>
    <s v="3000015701430009"/>
    <s v="CIVIL"/>
    <d v="2023-06-22T00:00:00"/>
    <d v="2023-07-04T19:00:44"/>
    <m/>
    <d v="2023-07-04T00:00:00"/>
    <n v="1524"/>
    <n v="20807"/>
    <s v="61596525"/>
    <s v="61596525"/>
    <m/>
    <m/>
    <n v="22745038"/>
    <m/>
    <m/>
    <m/>
    <s v="SOLINT"/>
    <s v="SOLINT"/>
    <s v="CCMS"/>
    <n v="21327618"/>
    <n v="0"/>
    <m/>
    <s v="N"/>
    <n v="1"/>
    <d v="2023-07-04T19:00:51"/>
    <s v="N"/>
    <s v="NIL BILL"/>
    <s v="VHCC"/>
    <s v="Profit Cost"/>
    <s v="AW"/>
    <s v="N"/>
    <n v="0"/>
    <n v="0"/>
    <x v="1"/>
    <s v="VALIDATED"/>
    <n v="1"/>
    <s v="01.11.80.308.6100.0000"/>
    <n v="0"/>
    <s v="11"/>
    <s v="6100"/>
    <n v="13305.47"/>
    <n v="0"/>
    <s v="CREDITOR"/>
    <n v="0"/>
    <n v="0"/>
    <n v="0"/>
    <n v="0"/>
    <n v="0"/>
  </r>
  <r>
    <n v="61596525"/>
    <s v="N"/>
    <n v="21322058"/>
    <s v="3000015701430008"/>
    <s v="CIVIL"/>
    <d v="2023-06-29T00:00:00"/>
    <d v="2023-07-03T19:05:17"/>
    <m/>
    <d v="2023-07-03T00:00:00"/>
    <n v="1524"/>
    <n v="20807"/>
    <s v="61596525"/>
    <s v="61596525"/>
    <m/>
    <m/>
    <n v="22788040"/>
    <m/>
    <m/>
    <m/>
    <s v="SOLPOA"/>
    <s v="SOLPOA"/>
    <s v="CCMS"/>
    <n v="21322058"/>
    <n v="7200"/>
    <m/>
    <s v="N"/>
    <n v="1"/>
    <d v="2023-07-03T19:05:22"/>
    <s v="N"/>
    <s v="Expert Cost"/>
    <s v="Expert Cost"/>
    <s v="Expert Disbursement"/>
    <s v="HF"/>
    <s v="N"/>
    <n v="6000"/>
    <n v="1200"/>
    <x v="3"/>
    <s v="VALIDATED"/>
    <n v="1"/>
    <s v="01.11.80.308.2012.0000"/>
    <n v="6000"/>
    <s v="11"/>
    <s v="2012"/>
    <n v="13305.47"/>
    <n v="6000"/>
    <s v="CREDITOR"/>
    <n v="6000"/>
    <n v="0"/>
    <n v="0"/>
    <n v="0"/>
    <n v="0"/>
  </r>
  <r>
    <n v="62254747"/>
    <s v="N"/>
    <n v="21320875"/>
    <s v="3000016253370003"/>
    <s v="CIVIL"/>
    <d v="2023-06-28T00:00:00"/>
    <d v="2023-07-03T19:04:52"/>
    <m/>
    <d v="2023-07-03T00:00:00"/>
    <n v="1524"/>
    <n v="20807"/>
    <s v="62254747"/>
    <s v="62254747"/>
    <m/>
    <m/>
    <n v="22780378"/>
    <m/>
    <m/>
    <m/>
    <s v="SOLPOA"/>
    <s v="SOLPOA"/>
    <s v="CCMS"/>
    <n v="21320875"/>
    <n v="322.78"/>
    <m/>
    <s v="N"/>
    <n v="1"/>
    <d v="2023-07-03T19:04:56"/>
    <s v="N"/>
    <s v="Expert Cost"/>
    <s v="Expert Cost"/>
    <s v="Expert Disbursement"/>
    <s v="EH"/>
    <s v="N"/>
    <n v="268.98"/>
    <n v="53.8"/>
    <x v="3"/>
    <s v="VALIDATED"/>
    <n v="1"/>
    <s v="01.11.80.308.2012.0000"/>
    <n v="268.98"/>
    <s v="11"/>
    <s v="2012"/>
    <n v="13305.47"/>
    <n v="268.98"/>
    <s v="CREDITOR"/>
    <n v="268.98"/>
    <n v="0"/>
    <n v="0"/>
    <n v="0"/>
    <n v="0"/>
  </r>
  <r>
    <n v="60826816"/>
    <s v="N"/>
    <n v="21320853"/>
    <s v="3000014996170009"/>
    <s v="CIVIL"/>
    <d v="2023-06-28T00:00:00"/>
    <d v="2023-07-03T19:04:52"/>
    <m/>
    <d v="2023-07-03T00:00:00"/>
    <n v="1524"/>
    <n v="20807"/>
    <s v="60826816"/>
    <s v="60826816"/>
    <m/>
    <m/>
    <n v="22779840"/>
    <m/>
    <m/>
    <m/>
    <s v="SOLPOA"/>
    <s v="SOLPOA"/>
    <s v="CCMS"/>
    <n v="21320853"/>
    <n v="334"/>
    <m/>
    <s v="N"/>
    <n v="1"/>
    <d v="2023-07-03T19:04:56"/>
    <s v="N"/>
    <s v="Expert Cost"/>
    <s v="Expert Cost"/>
    <s v="Expert Disbursement"/>
    <s v="HF"/>
    <s v="N"/>
    <n v="334"/>
    <n v="0"/>
    <x v="3"/>
    <s v="VALIDATED"/>
    <n v="1"/>
    <s v="01.11.80.305.2012.0000"/>
    <n v="334"/>
    <s v="11"/>
    <s v="2012"/>
    <n v="13305.47"/>
    <n v="334"/>
    <s v="CREDITOR"/>
    <n v="334"/>
    <n v="0"/>
    <n v="0"/>
    <n v="0"/>
    <n v="0"/>
  </r>
  <r>
    <n v="61871301"/>
    <s v="N"/>
    <n v="21320365"/>
    <s v="3000015856530004"/>
    <s v="CIVIL"/>
    <d v="2023-06-28T00:00:00"/>
    <d v="2023-07-03T19:04:52"/>
    <m/>
    <d v="2023-07-03T00:00:00"/>
    <n v="1524"/>
    <n v="20807"/>
    <s v="61871301"/>
    <s v="61871301"/>
    <m/>
    <m/>
    <n v="22778980"/>
    <m/>
    <m/>
    <m/>
    <s v="SOLPOA"/>
    <s v="SOLPOA"/>
    <s v="CCMS"/>
    <n v="21320365"/>
    <n v="130.4"/>
    <m/>
    <s v="N"/>
    <n v="1"/>
    <d v="2023-07-03T19:04:53"/>
    <s v="N"/>
    <s v="Expert Cost"/>
    <s v="Expert Cost"/>
    <s v="Expert Disbursement"/>
    <s v="JB"/>
    <s v="N"/>
    <n v="108.67"/>
    <n v="21.73"/>
    <x v="3"/>
    <s v="VALIDATED"/>
    <n v="1"/>
    <s v="01.11.80.308.2012.0000"/>
    <n v="108.67"/>
    <s v="11"/>
    <s v="2012"/>
    <n v="13305.47"/>
    <n v="108.67"/>
    <s v="CREDITOR"/>
    <n v="108.67"/>
    <n v="0"/>
    <n v="0"/>
    <n v="0"/>
    <n v="0"/>
  </r>
  <r>
    <n v="61834620"/>
    <s v="N"/>
    <n v="21321022"/>
    <s v="3000015901240012"/>
    <s v="CIVIL"/>
    <d v="2023-06-28T00:00:00"/>
    <d v="2023-07-03T19:04:52"/>
    <m/>
    <d v="2023-07-03T00:00:00"/>
    <n v="1524"/>
    <n v="20807"/>
    <s v="61834620"/>
    <s v="61834620"/>
    <m/>
    <m/>
    <n v="22781390"/>
    <m/>
    <m/>
    <m/>
    <s v="SOLPOA"/>
    <s v="SOLPOA"/>
    <s v="CCMS"/>
    <n v="21321022"/>
    <n v="320"/>
    <m/>
    <s v="N"/>
    <n v="1"/>
    <d v="2023-07-03T19:04:57"/>
    <s v="N"/>
    <s v="Expert Cost - Private Law Children"/>
    <s v="Expert Cost - Private Law Chil"/>
    <s v="Expert Disbursement"/>
    <s v="JB"/>
    <s v="N"/>
    <n v="320"/>
    <n v="0"/>
    <x v="3"/>
    <s v="VALIDATED"/>
    <n v="1"/>
    <s v="01.11.80.302.2012.0000"/>
    <n v="320"/>
    <s v="11"/>
    <s v="2012"/>
    <n v="13305.47"/>
    <n v="320"/>
    <s v="CREDITOR"/>
    <n v="320"/>
    <n v="0"/>
    <n v="0"/>
    <n v="0"/>
    <n v="0"/>
  </r>
  <r>
    <n v="50836545"/>
    <s v="N"/>
    <n v="21319532"/>
    <s v="3000011663920009"/>
    <s v="CIVIL"/>
    <d v="2023-06-28T00:00:00"/>
    <d v="2023-07-03T19:04:24"/>
    <m/>
    <d v="2023-07-03T00:00:00"/>
    <n v="1524"/>
    <n v="20807"/>
    <s v="50836545"/>
    <s v="50836545"/>
    <m/>
    <m/>
    <n v="22778062"/>
    <m/>
    <m/>
    <m/>
    <s v="SOLPOA"/>
    <s v="SOLPOA"/>
    <s v="CCMS"/>
    <n v="21319532"/>
    <n v="1231.2"/>
    <m/>
    <s v="N"/>
    <n v="1"/>
    <d v="2023-07-03T19:04:26"/>
    <s v="N"/>
    <s v="Expert Cost"/>
    <s v="Expert Cost"/>
    <s v="Expert Disbursement"/>
    <s v="AB"/>
    <s v="N"/>
    <n v="1026"/>
    <n v="205.2"/>
    <x v="3"/>
    <s v="VALIDATED"/>
    <n v="1"/>
    <s v="01.11.80.201.2012.0000"/>
    <n v="1026"/>
    <s v="11"/>
    <s v="2012"/>
    <n v="13305.47"/>
    <n v="1026"/>
    <s v="CREDITOR"/>
    <n v="1026"/>
    <n v="0"/>
    <n v="0"/>
    <n v="0"/>
    <n v="0"/>
  </r>
  <r>
    <n v="60919054"/>
    <s v="N"/>
    <n v="21320457"/>
    <s v="3000015136810021"/>
    <s v="CIVIL"/>
    <d v="2023-06-28T00:00:00"/>
    <d v="2023-07-03T19:04:52"/>
    <m/>
    <d v="2023-07-03T00:00:00"/>
    <n v="1524"/>
    <n v="20807"/>
    <s v="60919054"/>
    <s v="60919054"/>
    <m/>
    <m/>
    <n v="22780178"/>
    <m/>
    <m/>
    <m/>
    <s v="SOLPOA"/>
    <s v="SOLPOA"/>
    <s v="CCMS"/>
    <n v="21320457"/>
    <n v="154.6"/>
    <m/>
    <s v="N"/>
    <n v="1"/>
    <d v="2023-07-03T19:04:54"/>
    <s v="N"/>
    <s v="Expert Cost"/>
    <s v="Expert Cost"/>
    <s v="Expert Disbursement"/>
    <s v="JB"/>
    <s v="N"/>
    <n v="154.6"/>
    <n v="0"/>
    <x v="3"/>
    <s v="VALIDATED"/>
    <n v="1"/>
    <s v="01.11.80.308.2012.0000"/>
    <n v="154.6"/>
    <s v="11"/>
    <s v="2012"/>
    <n v="13305.47"/>
    <n v="154.6"/>
    <s v="CREDITOR"/>
    <n v="154.6"/>
    <n v="0"/>
    <n v="0"/>
    <n v="0"/>
    <n v="0"/>
  </r>
  <r>
    <n v="60919054"/>
    <s v="N"/>
    <n v="21320437"/>
    <s v="3000015136810020"/>
    <s v="CIVIL"/>
    <d v="2023-06-28T00:00:00"/>
    <d v="2023-07-03T19:04:52"/>
    <m/>
    <d v="2023-07-03T00:00:00"/>
    <n v="1524"/>
    <n v="20807"/>
    <s v="60919054"/>
    <s v="60919054"/>
    <m/>
    <m/>
    <n v="22780204"/>
    <m/>
    <m/>
    <m/>
    <s v="SOLPOA"/>
    <s v="SOLPOA"/>
    <s v="CCMS"/>
    <n v="21320437"/>
    <n v="154.6"/>
    <m/>
    <s v="N"/>
    <n v="1"/>
    <d v="2023-07-03T19:04:54"/>
    <s v="N"/>
    <s v="Expert Cost"/>
    <s v="Expert Cost"/>
    <s v="Expert Disbursement"/>
    <s v="JB"/>
    <s v="N"/>
    <n v="154.6"/>
    <n v="0"/>
    <x v="3"/>
    <s v="VALIDATED"/>
    <n v="1"/>
    <s v="01.11.80.308.2012.0000"/>
    <n v="154.6"/>
    <s v="11"/>
    <s v="2012"/>
    <n v="13305.47"/>
    <n v="154.6"/>
    <s v="CREDITOR"/>
    <n v="154.6"/>
    <n v="0"/>
    <n v="0"/>
    <n v="0"/>
    <n v="0"/>
  </r>
  <r>
    <n v="62179568"/>
    <s v="N"/>
    <n v="21320356"/>
    <s v="3000016191280003"/>
    <s v="CIVIL"/>
    <d v="2023-06-28T00:00:00"/>
    <d v="2023-07-03T19:04:52"/>
    <m/>
    <d v="2023-07-03T00:00:00"/>
    <n v="1524"/>
    <n v="20807"/>
    <s v="62179568"/>
    <s v="62179568"/>
    <m/>
    <m/>
    <n v="22781176"/>
    <m/>
    <m/>
    <m/>
    <s v="SOLPOA"/>
    <s v="SOLPOA"/>
    <s v="CCMS"/>
    <n v="21320356"/>
    <n v="613.75"/>
    <m/>
    <s v="N"/>
    <n v="1"/>
    <d v="2023-07-03T19:04:53"/>
    <s v="N"/>
    <s v="Expert Cost"/>
    <s v="Expert Cost"/>
    <s v="Expert Disbursement"/>
    <s v="MM"/>
    <s v="N"/>
    <n v="613.75"/>
    <n v="0"/>
    <x v="3"/>
    <s v="VALIDATED"/>
    <n v="1"/>
    <s v="01.11.80.308.2012.0000"/>
    <n v="613.75"/>
    <s v="11"/>
    <s v="2012"/>
    <n v="13305.47"/>
    <n v="613.75"/>
    <s v="CREDITOR"/>
    <n v="613.75"/>
    <n v="0"/>
    <n v="0"/>
    <n v="0"/>
    <n v="0"/>
  </r>
  <r>
    <n v="61834620"/>
    <s v="N"/>
    <n v="21320659"/>
    <s v="3000015901240011"/>
    <s v="CIVIL"/>
    <d v="2023-06-28T00:00:00"/>
    <d v="2023-07-03T19:04:52"/>
    <m/>
    <d v="2023-07-03T00:00:00"/>
    <n v="1524"/>
    <n v="20807"/>
    <s v="61834620"/>
    <s v="61834620"/>
    <m/>
    <m/>
    <n v="22780340"/>
    <m/>
    <m/>
    <m/>
    <s v="SOLPOA"/>
    <s v="SOLPOA"/>
    <s v="CCMS"/>
    <n v="21320659"/>
    <n v="84"/>
    <m/>
    <s v="N"/>
    <n v="1"/>
    <d v="2023-07-03T19:04:55"/>
    <s v="N"/>
    <s v="Expert Cost - Private Law Children"/>
    <s v="Expert Cost - Private Law Chil"/>
    <s v="Expert Disbursement"/>
    <s v="JB"/>
    <s v="N"/>
    <n v="84"/>
    <n v="0"/>
    <x v="3"/>
    <s v="VALIDATED"/>
    <n v="1"/>
    <s v="01.11.80.302.2012.0000"/>
    <n v="84"/>
    <s v="11"/>
    <s v="2012"/>
    <n v="13305.47"/>
    <n v="84"/>
    <s v="CREDITOR"/>
    <n v="84"/>
    <n v="0"/>
    <n v="0"/>
    <n v="0"/>
    <n v="0"/>
  </r>
  <r>
    <n v="61208878"/>
    <s v="N"/>
    <n v="21320583"/>
    <s v="3000015379940008"/>
    <s v="CIVIL"/>
    <d v="2023-06-28T00:00:00"/>
    <d v="2023-07-03T19:04:52"/>
    <m/>
    <d v="2023-07-03T00:00:00"/>
    <n v="1524"/>
    <n v="20807"/>
    <s v="61208878"/>
    <s v="61208878"/>
    <m/>
    <m/>
    <n v="22780974"/>
    <m/>
    <m/>
    <m/>
    <s v="SOLPOA"/>
    <s v="SOLPOA"/>
    <s v="CCMS"/>
    <n v="21320583"/>
    <n v="715.62"/>
    <m/>
    <s v="N"/>
    <n v="1"/>
    <d v="2023-07-03T19:04:55"/>
    <s v="N"/>
    <s v="Expert Cost"/>
    <s v="Expert Cost"/>
    <s v="Expert Disbursement"/>
    <s v="JB"/>
    <s v="N"/>
    <n v="596.35"/>
    <n v="119.27"/>
    <x v="3"/>
    <s v="VALIDATED"/>
    <n v="1"/>
    <s v="01.11.80.308.2012.0000"/>
    <n v="596.35"/>
    <s v="11"/>
    <s v="2012"/>
    <n v="13305.47"/>
    <n v="596.35"/>
    <s v="CREDITOR"/>
    <n v="596.35"/>
    <n v="0"/>
    <n v="0"/>
    <n v="0"/>
    <n v="0"/>
  </r>
  <r>
    <n v="62041803"/>
    <s v="N"/>
    <n v="21321747"/>
    <s v="3000015989620005"/>
    <s v="CIVIL"/>
    <d v="2023-06-29T00:00:00"/>
    <d v="2023-07-03T19:05:17"/>
    <m/>
    <d v="2023-07-03T00:00:00"/>
    <n v="1524"/>
    <n v="20807"/>
    <s v="62041803"/>
    <s v="62041803"/>
    <m/>
    <m/>
    <n v="22787070"/>
    <m/>
    <m/>
    <m/>
    <s v="SOLPOA"/>
    <s v="SOLPOA"/>
    <s v="CCMS"/>
    <n v="21321747"/>
    <n v="1054.68"/>
    <m/>
    <s v="N"/>
    <n v="1"/>
    <d v="2023-07-03T19:05:20"/>
    <s v="N"/>
    <s v="Level 3 Fixed Fee"/>
    <s v="Private Law Children"/>
    <s v="Profit Cost"/>
    <s v="FAM"/>
    <s v="N"/>
    <n v="878.9"/>
    <n v="175.78"/>
    <x v="3"/>
    <s v="VALIDATED"/>
    <n v="1"/>
    <s v="01.11.80.307.2012.0000"/>
    <n v="878.9"/>
    <s v="11"/>
    <s v="2012"/>
    <n v="13305.47"/>
    <n v="878.9"/>
    <s v="CREDITOR"/>
    <n v="878.9"/>
    <n v="219.725"/>
    <n v="0"/>
    <n v="0"/>
    <n v="0"/>
  </r>
  <r>
    <n v="59740289"/>
    <s v="N"/>
    <n v="21321046"/>
    <s v="3000014113190073"/>
    <s v="CIVIL"/>
    <d v="2023-06-28T00:00:00"/>
    <d v="2023-07-03T19:04:52"/>
    <m/>
    <d v="2023-07-03T00:00:00"/>
    <n v="1524"/>
    <n v="20807"/>
    <s v="59740289"/>
    <s v="59740289"/>
    <m/>
    <m/>
    <n v="22781336"/>
    <m/>
    <m/>
    <m/>
    <s v="SOLPOA"/>
    <s v="SOLPOA"/>
    <s v="CCMS"/>
    <n v="21321046"/>
    <n v="428.96"/>
    <m/>
    <s v="N"/>
    <n v="1"/>
    <d v="2023-07-03T19:04:57"/>
    <s v="N"/>
    <s v="Expert Cost"/>
    <s v="Expert Cost"/>
    <s v="Expert Disbursement"/>
    <s v="JB"/>
    <s v="N"/>
    <n v="357.47"/>
    <n v="71.48999999999999"/>
    <x v="3"/>
    <s v="VALIDATED"/>
    <n v="1"/>
    <s v="01.11.80.308.2012.0000"/>
    <n v="357.47"/>
    <s v="11"/>
    <s v="2012"/>
    <n v="13305.47"/>
    <n v="357.47"/>
    <s v="CREDITOR"/>
    <n v="357.47"/>
    <n v="0"/>
    <n v="0"/>
    <n v="0"/>
    <n v="0"/>
  </r>
  <r>
    <n v="61024901"/>
    <s v="N"/>
    <n v="21319203"/>
    <s v="3000015110170011"/>
    <s v="CIVIL"/>
    <d v="2023-06-28T00:00:00"/>
    <d v="2023-07-03T19:04:24"/>
    <m/>
    <d v="2023-07-03T00:00:00"/>
    <n v="1524"/>
    <n v="20807"/>
    <s v="61024901"/>
    <s v="61024901"/>
    <m/>
    <m/>
    <n v="22777586"/>
    <m/>
    <m/>
    <m/>
    <s v="SOLPOA"/>
    <s v="SOLPOA"/>
    <s v="CCMS"/>
    <n v="21319203"/>
    <n v="74.67"/>
    <m/>
    <s v="N"/>
    <n v="1"/>
    <d v="2023-07-03T19:04:24"/>
    <s v="N"/>
    <s v="Expert Cost"/>
    <s v="Expert Cost"/>
    <s v="Expert Disbursement"/>
    <s v="KW"/>
    <s v="N"/>
    <n v="74.67"/>
    <n v="0"/>
    <x v="3"/>
    <s v="VALIDATED"/>
    <n v="1"/>
    <s v="01.11.80.305.2012.0000"/>
    <n v="74.67"/>
    <s v="11"/>
    <s v="2012"/>
    <n v="13305.47"/>
    <n v="74.67"/>
    <s v="CREDITOR"/>
    <n v="74.67"/>
    <n v="0"/>
    <n v="0"/>
    <n v="0"/>
    <n v="0"/>
  </r>
  <r>
    <n v="62220892"/>
    <s v="N"/>
    <n v="21320542"/>
    <s v="3000016188690001"/>
    <s v="CIVIL"/>
    <d v="2023-06-28T00:00:00"/>
    <d v="2023-07-03T19:04:52"/>
    <m/>
    <d v="2023-07-03T00:00:00"/>
    <n v="1524"/>
    <n v="20807"/>
    <s v="62220892"/>
    <s v="62220892"/>
    <m/>
    <m/>
    <n v="22780458"/>
    <m/>
    <m/>
    <m/>
    <s v="SOLPOA"/>
    <s v="SOLPOA"/>
    <s v="CCMS"/>
    <n v="21320542"/>
    <n v="2073.6"/>
    <m/>
    <s v="N"/>
    <n v="1"/>
    <d v="2023-07-03T19:04:54"/>
    <s v="N"/>
    <s v="Expert Cost"/>
    <s v="Expert Cost"/>
    <s v="Expert Disbursement"/>
    <s v="CT"/>
    <s v="N"/>
    <n v="1728"/>
    <n v="345.6"/>
    <x v="3"/>
    <s v="VALIDATED"/>
    <n v="1"/>
    <s v="01.11.80.201.2012.0000"/>
    <n v="1728"/>
    <s v="11"/>
    <s v="2012"/>
    <n v="13305.47"/>
    <n v="1728"/>
    <s v="CREDITOR"/>
    <n v="1728"/>
    <n v="0"/>
    <n v="0"/>
    <n v="0"/>
    <n v="0"/>
  </r>
  <r>
    <n v="60572875"/>
    <s v="N"/>
    <n v="21320876"/>
    <s v="3000014836880031"/>
    <s v="CIVIL"/>
    <d v="2023-06-28T00:00:00"/>
    <d v="2023-07-03T19:04:52"/>
    <m/>
    <d v="2023-07-03T00:00:00"/>
    <n v="1524"/>
    <n v="20807"/>
    <s v="60572875"/>
    <s v="60572875"/>
    <m/>
    <m/>
    <n v="22780004"/>
    <m/>
    <m/>
    <m/>
    <s v="SOLPOA"/>
    <s v="SOLPOA"/>
    <s v="CCMS"/>
    <n v="21320876"/>
    <n v="167"/>
    <m/>
    <s v="N"/>
    <n v="1"/>
    <d v="2023-07-03T19:04:56"/>
    <s v="N"/>
    <s v="Expert Cost"/>
    <s v="Expert Cost"/>
    <s v="Expert Disbursement"/>
    <s v="HF"/>
    <s v="N"/>
    <n v="167"/>
    <n v="0"/>
    <x v="3"/>
    <s v="VALIDATED"/>
    <n v="1"/>
    <s v="01.11.80.308.2012.0000"/>
    <n v="167"/>
    <s v="11"/>
    <s v="2012"/>
    <n v="13305.47"/>
    <n v="167"/>
    <s v="CREDITOR"/>
    <n v="167"/>
    <n v="0"/>
    <n v="0"/>
    <n v="0"/>
    <n v="0"/>
  </r>
  <r>
    <n v="62048950"/>
    <s v="N"/>
    <n v="21320856"/>
    <s v="3000016072950002"/>
    <s v="CIVIL"/>
    <d v="2023-06-28T00:00:00"/>
    <d v="2023-07-03T19:04:52"/>
    <m/>
    <d v="2023-07-03T00:00:00"/>
    <n v="1524"/>
    <n v="20807"/>
    <s v="62048950"/>
    <s v="62048950"/>
    <m/>
    <m/>
    <n v="22779170"/>
    <m/>
    <m/>
    <m/>
    <s v="SOLPOA"/>
    <s v="SOLPOA"/>
    <s v="CCMS"/>
    <n v="21320856"/>
    <n v="1255.2"/>
    <m/>
    <s v="N"/>
    <n v="1"/>
    <d v="2023-07-03T19:04:56"/>
    <s v="N"/>
    <s v="Expert Cost - Private Law Children"/>
    <s v="Expert Cost - Private Law Chil"/>
    <s v="Expert Disbursement"/>
    <s v="TW"/>
    <s v="N"/>
    <n v="1046"/>
    <n v="209.2"/>
    <x v="3"/>
    <s v="VALIDATED"/>
    <n v="1"/>
    <s v="01.11.80.307.2012.0000"/>
    <n v="1046"/>
    <s v="11"/>
    <s v="2012"/>
    <n v="13305.47"/>
    <n v="1046"/>
    <s v="CREDITOR"/>
    <n v="1046"/>
    <n v="0"/>
    <n v="0"/>
    <n v="0"/>
    <n v="0"/>
  </r>
  <r>
    <n v="62367745"/>
    <s v="N"/>
    <n v="21320265"/>
    <s v="3000016348020003"/>
    <s v="CIVIL"/>
    <d v="2023-06-28T00:00:00"/>
    <d v="2023-07-03T19:04:52"/>
    <m/>
    <d v="2023-07-03T00:00:00"/>
    <n v="1524"/>
    <n v="20807"/>
    <s v="62367745"/>
    <s v="62367745"/>
    <m/>
    <m/>
    <n v="22780734"/>
    <m/>
    <m/>
    <m/>
    <s v="SOLPOA"/>
    <s v="SOLPOA"/>
    <s v="CCMS"/>
    <n v="21320265"/>
    <n v="576"/>
    <m/>
    <s v="N"/>
    <n v="1"/>
    <d v="2023-07-03T19:04:53"/>
    <s v="N"/>
    <s v="Expert Cost"/>
    <s v="Expert Cost"/>
    <s v="Expert Disbursement"/>
    <s v="GM"/>
    <s v="N"/>
    <n v="480"/>
    <n v="96"/>
    <x v="3"/>
    <s v="VALIDATED"/>
    <n v="1"/>
    <s v="01.11.80.308.2012.0000"/>
    <n v="480"/>
    <s v="11"/>
    <s v="2012"/>
    <n v="13305.47"/>
    <n v="480"/>
    <s v="CREDITOR"/>
    <n v="480"/>
    <n v="0"/>
    <n v="0"/>
    <n v="0"/>
    <n v="0"/>
  </r>
  <r>
    <n v="62254747"/>
    <s v="N"/>
    <n v="21320703"/>
    <s v="3000016253370002"/>
    <s v="CIVIL"/>
    <d v="2023-06-28T00:00:00"/>
    <d v="2023-07-03T19:04:52"/>
    <m/>
    <d v="2023-07-03T00:00:00"/>
    <n v="1524"/>
    <n v="20807"/>
    <s v="62254747"/>
    <s v="62254747"/>
    <m/>
    <m/>
    <n v="22781128"/>
    <m/>
    <m/>
    <m/>
    <s v="SOLPOA"/>
    <s v="SOLPOA"/>
    <s v="CCMS"/>
    <n v="21320703"/>
    <n v="245.2"/>
    <m/>
    <s v="N"/>
    <n v="1"/>
    <d v="2023-07-03T19:04:55"/>
    <s v="N"/>
    <s v="Expert Cost"/>
    <s v="Expert Cost"/>
    <s v="Expert Disbursement"/>
    <s v="JB"/>
    <s v="N"/>
    <n v="204.33"/>
    <n v="40.87"/>
    <x v="3"/>
    <s v="VALIDATED"/>
    <n v="1"/>
    <s v="01.11.80.308.2012.0000"/>
    <n v="204.33"/>
    <s v="11"/>
    <s v="2012"/>
    <n v="13305.47"/>
    <n v="204.33"/>
    <s v="CREDITOR"/>
    <n v="204.33"/>
    <n v="0"/>
    <n v="0"/>
    <n v="0"/>
    <n v="0"/>
  </r>
  <r>
    <n v="62098014"/>
    <s v="N"/>
    <n v="21320335"/>
    <s v="3000016124730001"/>
    <s v="CIVIL"/>
    <d v="2023-06-28T00:00:00"/>
    <d v="2023-07-03T19:04:52"/>
    <m/>
    <d v="2023-07-03T00:00:00"/>
    <n v="1524"/>
    <n v="20807"/>
    <s v="62098014"/>
    <s v="62098014"/>
    <m/>
    <m/>
    <n v="22780612"/>
    <m/>
    <m/>
    <m/>
    <s v="SOLPOA"/>
    <s v="SOLPOA"/>
    <s v="CCMS"/>
    <n v="21320335"/>
    <n v="483.84"/>
    <m/>
    <s v="N"/>
    <n v="1"/>
    <d v="2023-07-03T19:04:53"/>
    <s v="N"/>
    <s v="Expert Cost"/>
    <s v="Expert Cost"/>
    <s v="Expert Disbursement"/>
    <s v="JB"/>
    <s v="N"/>
    <n v="403.2"/>
    <n v="80.64"/>
    <x v="3"/>
    <s v="VALIDATED"/>
    <n v="1"/>
    <s v="01.11.80.308.2012.0000"/>
    <n v="403.2"/>
    <s v="11"/>
    <s v="2012"/>
    <n v="13305.47"/>
    <n v="403.2"/>
    <s v="CREDITOR"/>
    <n v="403.2"/>
    <n v="0"/>
    <n v="0"/>
    <n v="0"/>
    <n v="0"/>
  </r>
  <r>
    <n v="62019643"/>
    <s v="N"/>
    <n v="21320444"/>
    <s v="3000016029130007"/>
    <s v="CIVIL"/>
    <d v="2023-06-28T00:00:00"/>
    <d v="2023-07-03T19:04:52"/>
    <m/>
    <d v="2023-07-03T00:00:00"/>
    <n v="1524"/>
    <n v="20807"/>
    <s v="62019643"/>
    <s v="62019643"/>
    <m/>
    <m/>
    <n v="22780494"/>
    <m/>
    <m/>
    <m/>
    <s v="SOLPOA"/>
    <s v="SOLPOA"/>
    <s v="CCMS"/>
    <n v="21320444"/>
    <n v="139.52"/>
    <m/>
    <s v="N"/>
    <n v="1"/>
    <d v="2023-07-03T19:04:54"/>
    <s v="N"/>
    <s v="Expert Cost - Private Law Children"/>
    <s v="Expert Cost - Private Law Chil"/>
    <s v="Expert Disbursement"/>
    <s v="JB"/>
    <s v="N"/>
    <n v="116.27"/>
    <n v="23.25"/>
    <x v="3"/>
    <s v="VALIDATED"/>
    <n v="1"/>
    <s v="01.11.80.302.2012.0000"/>
    <n v="116.27"/>
    <s v="11"/>
    <s v="2012"/>
    <n v="13305.47"/>
    <n v="116.27"/>
    <s v="CREDITOR"/>
    <n v="116.27"/>
    <n v="0"/>
    <n v="0"/>
    <n v="0"/>
    <n v="0"/>
  </r>
  <r>
    <n v="61024901"/>
    <s v="N"/>
    <n v="21320115"/>
    <s v="3000015110170013"/>
    <s v="CIVIL"/>
    <d v="2023-06-28T00:00:00"/>
    <d v="2023-07-03T19:04:24"/>
    <m/>
    <d v="2023-07-03T00:00:00"/>
    <n v="1524"/>
    <n v="20807"/>
    <s v="61024901"/>
    <s v="61024901"/>
    <m/>
    <m/>
    <n v="22777442"/>
    <m/>
    <m/>
    <m/>
    <s v="SOLPOA"/>
    <s v="SOLPOA"/>
    <s v="CCMS"/>
    <n v="21320115"/>
    <n v="74.67"/>
    <m/>
    <s v="N"/>
    <n v="1"/>
    <d v="2023-07-03T19:04:29"/>
    <s v="N"/>
    <s v="Expert Cost"/>
    <s v="Expert Cost"/>
    <s v="Expert Disbursement"/>
    <s v="KW"/>
    <s v="N"/>
    <n v="74.67"/>
    <n v="0"/>
    <x v="3"/>
    <s v="VALIDATED"/>
    <n v="1"/>
    <s v="01.11.80.305.2012.0000"/>
    <n v="74.67"/>
    <s v="11"/>
    <s v="2012"/>
    <n v="13305.47"/>
    <n v="74.67"/>
    <s v="CREDITOR"/>
    <n v="74.67"/>
    <n v="0"/>
    <n v="0"/>
    <n v="0"/>
    <n v="0"/>
  </r>
  <r>
    <n v="61024901"/>
    <s v="N"/>
    <n v="21319341"/>
    <s v="3000015110170012"/>
    <s v="CIVIL"/>
    <d v="2023-06-28T00:00:00"/>
    <d v="2023-07-03T19:04:24"/>
    <m/>
    <d v="2023-07-03T00:00:00"/>
    <n v="1524"/>
    <n v="20807"/>
    <s v="61024901"/>
    <s v="61024901"/>
    <m/>
    <m/>
    <n v="22777478"/>
    <m/>
    <m/>
    <m/>
    <s v="SOLPOA"/>
    <s v="SOLPOA"/>
    <s v="CCMS"/>
    <n v="21319341"/>
    <n v="46.67"/>
    <m/>
    <s v="N"/>
    <n v="1"/>
    <d v="2023-07-03T19:04:25"/>
    <s v="N"/>
    <s v="Expert Cost"/>
    <s v="Expert Cost"/>
    <s v="Expert Disbursement"/>
    <s v="KW"/>
    <s v="N"/>
    <n v="46.67"/>
    <n v="0"/>
    <x v="3"/>
    <s v="VALIDATED"/>
    <n v="1"/>
    <s v="01.11.80.305.2012.0000"/>
    <n v="46.67"/>
    <s v="11"/>
    <s v="2012"/>
    <n v="13305.47"/>
    <n v="46.67"/>
    <s v="CREDITOR"/>
    <n v="46.67"/>
    <n v="0"/>
    <n v="0"/>
    <n v="0"/>
    <n v="0"/>
  </r>
  <r>
    <n v="61208878"/>
    <s v="N"/>
    <n v="21320239"/>
    <s v="3000015379940007"/>
    <s v="CIVIL"/>
    <d v="2023-06-28T00:00:00"/>
    <d v="2023-07-03T19:04:52"/>
    <m/>
    <d v="2023-07-03T00:00:00"/>
    <n v="1524"/>
    <n v="20807"/>
    <s v="61208878"/>
    <s v="61208878"/>
    <m/>
    <m/>
    <n v="22781010"/>
    <m/>
    <m/>
    <m/>
    <s v="SOLPOA"/>
    <s v="SOLPOA"/>
    <s v="CCMS"/>
    <n v="21320239"/>
    <n v="671.92"/>
    <m/>
    <s v="N"/>
    <n v="1"/>
    <d v="2023-07-03T19:04:53"/>
    <s v="N"/>
    <s v="Expert Cost"/>
    <s v="Expert Cost"/>
    <s v="Expert Disbursement"/>
    <s v="JB"/>
    <s v="N"/>
    <n v="671.92"/>
    <n v="0"/>
    <x v="3"/>
    <s v="VALIDATED"/>
    <n v="1"/>
    <s v="01.11.80.308.2012.0000"/>
    <n v="671.92"/>
    <s v="11"/>
    <s v="2012"/>
    <n v="13305.47"/>
    <n v="671.92"/>
    <s v="CREDITOR"/>
    <n v="671.92"/>
    <n v="0"/>
    <n v="0"/>
    <n v="0"/>
    <n v="0"/>
  </r>
  <r>
    <n v="60029675"/>
    <s v="N"/>
    <n v="21320779"/>
    <s v="3000014370450013"/>
    <s v="CIVIL"/>
    <d v="2023-06-28T00:00:00"/>
    <d v="2023-07-03T19:04:52"/>
    <m/>
    <d v="2023-07-03T00:00:00"/>
    <n v="1524"/>
    <n v="20807"/>
    <s v="60029675"/>
    <s v="60029675"/>
    <m/>
    <m/>
    <n v="22779758"/>
    <m/>
    <m/>
    <m/>
    <s v="SOLPOA"/>
    <s v="SOLPOA"/>
    <s v="CCMS"/>
    <n v="21320779"/>
    <n v="167"/>
    <m/>
    <s v="N"/>
    <n v="1"/>
    <d v="2023-07-03T19:04:56"/>
    <s v="N"/>
    <s v="Expert Cost"/>
    <s v="Expert Cost"/>
    <s v="Expert Disbursement"/>
    <s v="HF"/>
    <s v="N"/>
    <n v="167"/>
    <n v="0"/>
    <x v="3"/>
    <s v="VALIDATED"/>
    <n v="1"/>
    <s v="01.11.80.308.2012.0000"/>
    <n v="167"/>
    <s v="11"/>
    <s v="2012"/>
    <n v="13305.47"/>
    <n v="167"/>
    <s v="CREDITOR"/>
    <n v="167"/>
    <n v="0"/>
    <n v="0"/>
    <n v="0"/>
    <n v="0"/>
  </r>
  <r>
    <n v="61501714"/>
    <s v="N"/>
    <n v="21320341"/>
    <s v="3000015623270009"/>
    <s v="CIVIL"/>
    <d v="2023-06-28T00:00:00"/>
    <d v="2023-07-03T19:04:52"/>
    <m/>
    <d v="2023-07-03T00:00:00"/>
    <n v="1524"/>
    <n v="20807"/>
    <s v="61501714"/>
    <s v="61501714"/>
    <m/>
    <m/>
    <n v="22778654"/>
    <m/>
    <m/>
    <m/>
    <s v="SOLPOA"/>
    <s v="SOLPOA"/>
    <s v="CCMS"/>
    <n v="21320341"/>
    <n v="55.2"/>
    <m/>
    <s v="N"/>
    <n v="1"/>
    <d v="2023-07-03T19:04:53"/>
    <s v="N"/>
    <s v="Expert Cost"/>
    <s v="Expert Cost"/>
    <s v="Expert Disbursement"/>
    <s v="GK"/>
    <s v="N"/>
    <n v="46"/>
    <n v="9.199999999999999"/>
    <x v="3"/>
    <s v="VALIDATED"/>
    <n v="1"/>
    <s v="01.11.80.208.2012.0000"/>
    <n v="46"/>
    <s v="11"/>
    <s v="2012"/>
    <n v="13305.47"/>
    <n v="46"/>
    <s v="CREDITOR"/>
    <n v="46"/>
    <n v="0"/>
    <n v="0"/>
    <n v="0"/>
    <n v="0"/>
  </r>
  <r>
    <n v="56074054"/>
    <s v="N"/>
    <n v="21321006"/>
    <s v="3000013277290059"/>
    <s v="CIVIL"/>
    <d v="2023-06-28T00:00:00"/>
    <d v="2023-07-03T19:04:52"/>
    <m/>
    <d v="2023-07-03T00:00:00"/>
    <n v="1524"/>
    <n v="20807"/>
    <s v="56074054"/>
    <s v="56074054"/>
    <m/>
    <m/>
    <n v="22779532"/>
    <m/>
    <m/>
    <m/>
    <s v="SOLPOA"/>
    <s v="SOLPOA"/>
    <s v="CCMS"/>
    <n v="21321006"/>
    <n v="153.6"/>
    <m/>
    <s v="N"/>
    <n v="1"/>
    <d v="2023-07-03T19:04:57"/>
    <s v="N"/>
    <s v="Expert Cost"/>
    <s v="Expert Cost"/>
    <s v="Expert Disbursement"/>
    <s v="EH"/>
    <s v="N"/>
    <n v="153.6"/>
    <n v="0"/>
    <x v="3"/>
    <s v="VALIDATED"/>
    <n v="1"/>
    <s v="01.11.80.308.2012.0000"/>
    <n v="153.6"/>
    <s v="11"/>
    <s v="2012"/>
    <n v="13305.47"/>
    <n v="153.6"/>
    <s v="CREDITOR"/>
    <n v="153.6"/>
    <n v="0"/>
    <n v="0"/>
    <n v="0"/>
    <n v="0"/>
  </r>
  <r>
    <n v="62249458"/>
    <s v="N"/>
    <n v="21319676"/>
    <s v="3000016249490001"/>
    <s v="CIVIL"/>
    <d v="2023-06-28T00:00:00"/>
    <d v="2023-07-03T19:04:24"/>
    <m/>
    <d v="2023-07-03T00:00:00"/>
    <n v="1524"/>
    <n v="20807"/>
    <s v="62249458"/>
    <s v="62249458"/>
    <m/>
    <m/>
    <n v="22777834"/>
    <m/>
    <m/>
    <m/>
    <s v="SOLPOA"/>
    <s v="SOLPOA"/>
    <s v="CCMS"/>
    <n v="21319676"/>
    <n v="33"/>
    <m/>
    <s v="N"/>
    <n v="1"/>
    <d v="2023-07-03T19:04:27"/>
    <s v="N"/>
    <s v="Expert Cost"/>
    <s v="Expert Cost"/>
    <s v="Expert Disbursement"/>
    <s v="KW"/>
    <s v="N"/>
    <n v="27.5"/>
    <n v="5.5"/>
    <x v="3"/>
    <s v="VALIDATED"/>
    <n v="1"/>
    <s v="01.11.80.308.2012.0000"/>
    <n v="27.5"/>
    <s v="11"/>
    <s v="2012"/>
    <n v="13305.47"/>
    <n v="27.5"/>
    <s v="CREDITOR"/>
    <n v="27.5"/>
    <n v="0"/>
    <n v="0"/>
    <n v="0"/>
    <n v="0"/>
  </r>
  <r>
    <n v="61704751"/>
    <s v="N"/>
    <n v="21321007"/>
    <s v="3000015795040005"/>
    <s v="CIVIL"/>
    <d v="2023-06-28T00:00:00"/>
    <d v="2023-07-03T19:04:52"/>
    <m/>
    <d v="2023-07-03T00:00:00"/>
    <n v="1524"/>
    <n v="20807"/>
    <s v="61704751"/>
    <s v="61704751"/>
    <m/>
    <m/>
    <n v="22779280"/>
    <m/>
    <m/>
    <m/>
    <s v="SOLPOA"/>
    <s v="SOLPOA"/>
    <s v="CCMS"/>
    <n v="21321007"/>
    <n v="25"/>
    <m/>
    <s v="N"/>
    <n v="1"/>
    <d v="2023-07-03T19:04:57"/>
    <s v="N"/>
    <s v="Expert Cost"/>
    <s v="Expert Cost"/>
    <s v="Expert Disbursement"/>
    <s v="JB"/>
    <s v="N"/>
    <n v="25"/>
    <n v="0"/>
    <x v="3"/>
    <s v="VALIDATED"/>
    <n v="1"/>
    <s v="01.11.80.305.2012.0000"/>
    <n v="25"/>
    <s v="11"/>
    <s v="2012"/>
    <n v="13305.47"/>
    <n v="25"/>
    <s v="CREDITOR"/>
    <n v="25"/>
    <n v="0"/>
    <n v="0"/>
    <n v="0"/>
    <n v="0"/>
  </r>
  <r>
    <n v="61596525"/>
    <s v="N"/>
    <n v="21328773"/>
    <s v="3000015701430004RC"/>
    <s v="CIVIL"/>
    <d v="2023-06-22T00:00:00"/>
    <d v="2023-07-04T19:38:21"/>
    <m/>
    <d v="2023-07-04T00:00:00"/>
    <n v="1524"/>
    <n v="20807"/>
    <s v="61596525"/>
    <s v="61596525"/>
    <m/>
    <m/>
    <m/>
    <m/>
    <m/>
    <m/>
    <s v="SOLRECOUP"/>
    <s v="SOLRECOUP"/>
    <s v="POARECOUP"/>
    <n v="21328773"/>
    <n v="-4460.4"/>
    <m/>
    <s v="Y"/>
    <n v="1"/>
    <d v="2023-07-04T19:38:22"/>
    <s v="N"/>
    <m/>
    <m/>
    <s v="Expert Disbursement"/>
    <m/>
    <s v="N"/>
    <n v="-3717"/>
    <n v="0"/>
    <x v="1"/>
    <s v="VALIDATED"/>
    <n v="1"/>
    <s v="01.11.80.308.2013.0000"/>
    <n v="-3717"/>
    <s v="11"/>
    <s v="2013"/>
    <n v="13305.47"/>
    <n v="-3717"/>
    <s v="CREDITOR"/>
    <n v="0"/>
    <n v="0"/>
    <n v="-3717"/>
    <n v="0"/>
    <n v="0"/>
  </r>
  <r>
    <n v="61596525"/>
    <s v="N"/>
    <n v="21328773"/>
    <s v="3000015701430004RC"/>
    <s v="CIVIL"/>
    <d v="2023-06-22T00:00:00"/>
    <d v="2023-07-04T19:38:21"/>
    <m/>
    <d v="2023-07-04T00:00:00"/>
    <n v="1524"/>
    <n v="20807"/>
    <s v="61596525"/>
    <s v="61596525"/>
    <m/>
    <m/>
    <m/>
    <m/>
    <m/>
    <m/>
    <s v="SOLRECOUP"/>
    <s v="SOLRECOUP"/>
    <s v="POARECOUP"/>
    <n v="21328773"/>
    <n v="-4460.4"/>
    <m/>
    <s v="Y"/>
    <n v="2"/>
    <d v="2023-07-04T19:38:22"/>
    <s v="N"/>
    <m/>
    <m/>
    <s v="Expert Disbursement"/>
    <m/>
    <s v="N"/>
    <n v="0"/>
    <n v="-743.4"/>
    <x v="1"/>
    <s v="VALIDATED"/>
    <n v="1"/>
    <s v="01.11.80.308.2013.0000"/>
    <n v="-743.4"/>
    <s v="11"/>
    <s v="2013"/>
    <n v="13305.47"/>
    <n v="-743.4"/>
    <s v="CREDITOR"/>
    <n v="0"/>
    <n v="0"/>
    <n v="-743.4"/>
    <n v="0"/>
    <n v="0"/>
  </r>
  <r>
    <n v="60658700"/>
    <s v="N"/>
    <n v="21349958"/>
    <s v="3000014912410007"/>
    <s v="CIVIL"/>
    <d v="2023-06-29T00:00:00"/>
    <d v="2023-07-10T19:01:40"/>
    <m/>
    <d v="2023-07-10T00:00:00"/>
    <n v="1530"/>
    <n v="20829"/>
    <s v="60658700"/>
    <s v="60658700"/>
    <m/>
    <m/>
    <n v="22793116"/>
    <m/>
    <m/>
    <m/>
    <s v="SOLFIN"/>
    <s v="SOLFIN"/>
    <s v="CCMS"/>
    <n v="21349958"/>
    <n v="15751.18"/>
    <m/>
    <s v="N"/>
    <n v="29"/>
    <d v="2023-07-10T19:02:04"/>
    <s v="Y"/>
    <s v="Preparation - other"/>
    <s v="Care Remuneration Hourly Rates"/>
    <s v="Profit Cost"/>
    <s v="HW"/>
    <s v="Y"/>
    <n v="11.44"/>
    <n v="2.29"/>
    <x v="2"/>
    <s v="VALIDATED"/>
    <n v="1"/>
    <s v="01.11.80.308.6100.0000"/>
    <n v="11.44"/>
    <s v="11"/>
    <s v="6100"/>
    <n v="26754.22"/>
    <n v="11.44"/>
    <s v="CREDITOR"/>
    <n v="0"/>
    <n v="0"/>
    <n v="0"/>
    <n v="0"/>
    <n v="11.44"/>
  </r>
  <r>
    <n v="60658700"/>
    <s v="N"/>
    <n v="21349958"/>
    <s v="3000014912410007"/>
    <s v="CIVIL"/>
    <d v="2023-06-29T00:00:00"/>
    <d v="2023-07-10T19:01:40"/>
    <m/>
    <d v="2023-07-10T00:00:00"/>
    <n v="1530"/>
    <n v="20829"/>
    <s v="60658700"/>
    <s v="60658700"/>
    <m/>
    <m/>
    <n v="22793116"/>
    <m/>
    <m/>
    <m/>
    <s v="SOLFIN"/>
    <s v="SOLFIN"/>
    <s v="CCMS"/>
    <n v="21349958"/>
    <n v="15751.18"/>
    <m/>
    <s v="N"/>
    <n v="67"/>
    <d v="2023-07-10T19:02:04"/>
    <s v="Y"/>
    <s v="Preparation - other"/>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121"/>
    <d v="2023-07-10T19:02:04"/>
    <s v="Y"/>
    <s v="Preparation - Periodic file review"/>
    <s v="Care Remuneration Hourly Rates"/>
    <s v="Profit Cost"/>
    <s v="HW"/>
    <s v="Y"/>
    <n v="25.78"/>
    <n v="5.16"/>
    <x v="2"/>
    <s v="VALIDATED"/>
    <n v="1"/>
    <s v="01.11.80.308.6100.0000"/>
    <n v="25.78"/>
    <s v="11"/>
    <s v="6100"/>
    <n v="26754.22"/>
    <n v="25.78"/>
    <s v="CREDITOR"/>
    <n v="0"/>
    <n v="0"/>
    <n v="0"/>
    <n v="0"/>
    <n v="25.78"/>
  </r>
  <r>
    <n v="60658700"/>
    <s v="N"/>
    <n v="21349958"/>
    <s v="3000014912410007"/>
    <s v="CIVIL"/>
    <d v="2023-06-29T00:00:00"/>
    <d v="2023-07-10T19:01:40"/>
    <m/>
    <d v="2023-07-10T00:00:00"/>
    <n v="1530"/>
    <n v="20829"/>
    <s v="60658700"/>
    <s v="60658700"/>
    <m/>
    <m/>
    <n v="22793116"/>
    <m/>
    <m/>
    <m/>
    <s v="SOLFIN"/>
    <s v="SOLFIN"/>
    <s v="CCMS"/>
    <n v="21349958"/>
    <n v="15751.18"/>
    <m/>
    <s v="N"/>
    <n v="104"/>
    <d v="2023-07-10T19:02:04"/>
    <s v="Y"/>
    <s v="Preparation - drafting statement"/>
    <s v="Care Remuneration Hourly Rates"/>
    <s v="Profit Cost"/>
    <s v="HW"/>
    <s v="Y"/>
    <n v="76.23"/>
    <n v="15.25"/>
    <x v="2"/>
    <s v="VALIDATED"/>
    <n v="1"/>
    <s v="01.11.80.308.6100.0000"/>
    <n v="76.23"/>
    <s v="11"/>
    <s v="6100"/>
    <n v="26754.22"/>
    <n v="76.23"/>
    <s v="CREDITOR"/>
    <n v="0"/>
    <n v="0"/>
    <n v="0"/>
    <n v="0"/>
    <n v="76.23"/>
  </r>
  <r>
    <n v="61063328"/>
    <s v="N"/>
    <n v="21349708"/>
    <s v="3000015261150004"/>
    <s v="CIVIL"/>
    <d v="2023-06-28T00:00:00"/>
    <d v="2023-07-10T19:01:40"/>
    <m/>
    <d v="2023-07-10T00:00:00"/>
    <n v="1530"/>
    <n v="20829"/>
    <s v="61063328"/>
    <s v="61063328"/>
    <m/>
    <m/>
    <n v="22777778"/>
    <m/>
    <m/>
    <m/>
    <s v="SOLFIN"/>
    <s v="SOLFIN"/>
    <s v="CCMS"/>
    <n v="21349708"/>
    <n v="14156.17"/>
    <m/>
    <s v="N"/>
    <n v="96"/>
    <d v="2023-07-10T19:01:56"/>
    <s v="Y"/>
    <s v="Preparation - drafting pleadings"/>
    <s v="Care Remuneration Hourly Rates"/>
    <s v="Profit Cost"/>
    <s v="HW"/>
    <s v="Y"/>
    <n v="54.41"/>
    <n v="10.88"/>
    <x v="2"/>
    <s v="VALIDATED"/>
    <n v="1"/>
    <s v="01.11.80.308.6100.0000"/>
    <n v="54.41"/>
    <s v="11"/>
    <s v="6100"/>
    <n v="26754.22"/>
    <n v="54.41"/>
    <s v="CREDITOR"/>
    <n v="0"/>
    <n v="0"/>
    <n v="0"/>
    <n v="0"/>
    <n v="54.41"/>
  </r>
  <r>
    <n v="60658700"/>
    <s v="N"/>
    <n v="21349958"/>
    <s v="3000014912410007"/>
    <s v="CIVIL"/>
    <d v="2023-06-29T00:00:00"/>
    <d v="2023-07-10T19:01:40"/>
    <m/>
    <d v="2023-07-10T00:00:00"/>
    <n v="1530"/>
    <n v="20829"/>
    <s v="60658700"/>
    <s v="60658700"/>
    <m/>
    <m/>
    <n v="22793116"/>
    <m/>
    <m/>
    <m/>
    <s v="SOLFIN"/>
    <s v="SOLFIN"/>
    <s v="CCMS"/>
    <n v="21349958"/>
    <n v="15751.18"/>
    <m/>
    <s v="N"/>
    <n v="109"/>
    <d v="2023-07-10T19:02:04"/>
    <s v="Y"/>
    <s v="Preparation - other"/>
    <s v="Care Remuneration Hourly Rates"/>
    <s v="Profit Cost"/>
    <s v="HW"/>
    <s v="Y"/>
    <n v="240.6"/>
    <n v="48.12"/>
    <x v="2"/>
    <s v="VALIDATED"/>
    <n v="1"/>
    <s v="01.11.80.308.6100.0000"/>
    <n v="240.6"/>
    <s v="11"/>
    <s v="6100"/>
    <n v="26754.22"/>
    <n v="240.6"/>
    <s v="CREDITOR"/>
    <n v="0"/>
    <n v="0"/>
    <n v="0"/>
    <n v="0"/>
    <n v="240.6"/>
  </r>
  <r>
    <n v="60658700"/>
    <s v="N"/>
    <n v="21349958"/>
    <s v="3000014912410007"/>
    <s v="CIVIL"/>
    <d v="2023-06-29T00:00:00"/>
    <d v="2023-07-10T19:01:40"/>
    <m/>
    <d v="2023-07-10T00:00:00"/>
    <n v="1530"/>
    <n v="20829"/>
    <s v="60658700"/>
    <s v="60658700"/>
    <m/>
    <m/>
    <n v="22793116"/>
    <m/>
    <m/>
    <m/>
    <s v="SOLFIN"/>
    <s v="SOLFIN"/>
    <s v="CCMS"/>
    <n v="21349958"/>
    <n v="15751.18"/>
    <m/>
    <s v="N"/>
    <n v="22"/>
    <d v="2023-07-10T19:02:04"/>
    <s v="Y"/>
    <s v="Preparation - drafting consent orde"/>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65"/>
    <d v="2023-07-10T19:02:04"/>
    <s v="Y"/>
    <s v="Preparation - drafting consent orde"/>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95"/>
    <d v="2023-07-10T19:02:04"/>
    <s v="Y"/>
    <s v="Preparation - drafting statement"/>
    <s v="Care Remuneration Hourly Rates"/>
    <s v="Profit Cost"/>
    <s v="HW"/>
    <s v="Y"/>
    <n v="38.12"/>
    <n v="7.62"/>
    <x v="2"/>
    <s v="VALIDATED"/>
    <n v="1"/>
    <s v="01.11.80.308.6100.0000"/>
    <n v="38.12"/>
    <s v="11"/>
    <s v="6100"/>
    <n v="26754.22"/>
    <n v="38.12"/>
    <s v="CREDITOR"/>
    <n v="0"/>
    <n v="0"/>
    <n v="0"/>
    <n v="0"/>
    <n v="38.12"/>
  </r>
  <r>
    <n v="60658700"/>
    <s v="N"/>
    <n v="21349958"/>
    <s v="3000014912410007"/>
    <s v="CIVIL"/>
    <d v="2023-06-29T00:00:00"/>
    <d v="2023-07-10T19:01:40"/>
    <m/>
    <d v="2023-07-10T00:00:00"/>
    <n v="1530"/>
    <n v="20829"/>
    <s v="60658700"/>
    <s v="60658700"/>
    <m/>
    <m/>
    <n v="22793116"/>
    <m/>
    <m/>
    <m/>
    <s v="SOLFIN"/>
    <s v="SOLFIN"/>
    <s v="CCMS"/>
    <n v="21349958"/>
    <n v="15751.18"/>
    <m/>
    <s v="N"/>
    <n v="116"/>
    <d v="2023-07-10T19:02:04"/>
    <s v="Y"/>
    <s v="Preparation - other"/>
    <s v="Care Remuneration Hourly Rates"/>
    <s v="Profit Cost"/>
    <s v="HW"/>
    <s v="Y"/>
    <n v="85.93000000000001"/>
    <n v="17.19"/>
    <x v="2"/>
    <s v="VALIDATED"/>
    <n v="1"/>
    <s v="01.11.80.308.6100.0000"/>
    <n v="85.93000000000001"/>
    <s v="11"/>
    <s v="6100"/>
    <n v="26754.22"/>
    <n v="85.93000000000001"/>
    <s v="CREDITOR"/>
    <n v="0"/>
    <n v="0"/>
    <n v="0"/>
    <n v="0"/>
    <n v="85.93000000000001"/>
  </r>
  <r>
    <n v="60658700"/>
    <s v="N"/>
    <n v="21356667"/>
    <s v="3000014912410003RC"/>
    <s v="CIVIL"/>
    <d v="2023-06-29T00:00:00"/>
    <d v="2023-07-10T19:47:44"/>
    <m/>
    <d v="2023-07-10T00:00:00"/>
    <n v="1530"/>
    <n v="20829"/>
    <s v="60658700"/>
    <s v="60658700"/>
    <m/>
    <m/>
    <m/>
    <m/>
    <m/>
    <m/>
    <s v="SOLRECOUP"/>
    <s v="SOLRECOUP"/>
    <s v="POARECOUP"/>
    <n v="21356667"/>
    <n v="-307.66"/>
    <m/>
    <s v="Y"/>
    <n v="1"/>
    <d v="2023-07-10T19:47:45"/>
    <s v="N"/>
    <m/>
    <m/>
    <s v="Expert Disbursement"/>
    <m/>
    <s v="N"/>
    <n v="-256.38"/>
    <n v="0"/>
    <x v="2"/>
    <s v="VALIDATED"/>
    <n v="1"/>
    <s v="01.11.80.308.2013.0000"/>
    <n v="-256.38"/>
    <s v="11"/>
    <s v="2013"/>
    <n v="26754.22"/>
    <n v="-256.38"/>
    <s v="CREDITOR"/>
    <n v="0"/>
    <n v="0"/>
    <n v="-256.38"/>
    <n v="0"/>
    <n v="0"/>
  </r>
  <r>
    <n v="60658700"/>
    <s v="N"/>
    <n v="21356667"/>
    <s v="3000014912410003RC"/>
    <s v="CIVIL"/>
    <d v="2023-06-29T00:00:00"/>
    <d v="2023-07-10T19:47:44"/>
    <m/>
    <d v="2023-07-10T00:00:00"/>
    <n v="1530"/>
    <n v="20829"/>
    <s v="60658700"/>
    <s v="60658700"/>
    <m/>
    <m/>
    <m/>
    <m/>
    <m/>
    <m/>
    <s v="SOLRECOUP"/>
    <s v="SOLRECOUP"/>
    <s v="POARECOUP"/>
    <n v="21356667"/>
    <n v="-307.66"/>
    <m/>
    <s v="Y"/>
    <n v="2"/>
    <d v="2023-07-10T19:47:45"/>
    <s v="N"/>
    <m/>
    <m/>
    <s v="Expert Disbursement"/>
    <m/>
    <s v="N"/>
    <n v="0"/>
    <n v="-51.28"/>
    <x v="2"/>
    <s v="VALIDATED"/>
    <n v="1"/>
    <s v="01.11.80.308.2013.0000"/>
    <n v="-51.28"/>
    <s v="11"/>
    <s v="2013"/>
    <n v="26754.22"/>
    <n v="-51.28"/>
    <s v="CREDITOR"/>
    <n v="0"/>
    <n v="0"/>
    <n v="-51.28"/>
    <n v="0"/>
    <n v="0"/>
  </r>
  <r>
    <n v="60658700"/>
    <s v="N"/>
    <n v="21356668"/>
    <s v="3000014912410004RC"/>
    <s v="CIVIL"/>
    <d v="2023-06-29T00:00:00"/>
    <d v="2023-07-10T19:47:44"/>
    <m/>
    <d v="2023-07-10T00:00:00"/>
    <n v="1530"/>
    <n v="20829"/>
    <s v="60658700"/>
    <s v="60658700"/>
    <m/>
    <m/>
    <m/>
    <m/>
    <m/>
    <m/>
    <s v="SOLRECOUP"/>
    <s v="SOLRECOUP"/>
    <s v="POARECOUP"/>
    <n v="21356668"/>
    <n v="-940.6799999999999"/>
    <m/>
    <s v="Y"/>
    <n v="1"/>
    <d v="2023-07-10T19:47:46"/>
    <s v="N"/>
    <m/>
    <m/>
    <s v="Expert Disbursement"/>
    <m/>
    <s v="N"/>
    <n v="-783.9"/>
    <n v="0"/>
    <x v="2"/>
    <s v="VALIDATED"/>
    <n v="1"/>
    <s v="01.11.80.308.2013.0000"/>
    <n v="-783.9"/>
    <s v="11"/>
    <s v="2013"/>
    <n v="26754.22"/>
    <n v="-783.9"/>
    <s v="CREDITOR"/>
    <n v="0"/>
    <n v="0"/>
    <n v="-783.9"/>
    <n v="0"/>
    <n v="0"/>
  </r>
  <r>
    <n v="60658700"/>
    <s v="N"/>
    <n v="21356668"/>
    <s v="3000014912410004RC"/>
    <s v="CIVIL"/>
    <d v="2023-06-29T00:00:00"/>
    <d v="2023-07-10T19:47:44"/>
    <m/>
    <d v="2023-07-10T00:00:00"/>
    <n v="1530"/>
    <n v="20829"/>
    <s v="60658700"/>
    <s v="60658700"/>
    <m/>
    <m/>
    <m/>
    <m/>
    <m/>
    <m/>
    <s v="SOLRECOUP"/>
    <s v="SOLRECOUP"/>
    <s v="POARECOUP"/>
    <n v="21356668"/>
    <n v="-940.6799999999999"/>
    <m/>
    <s v="Y"/>
    <n v="2"/>
    <d v="2023-07-10T19:47:46"/>
    <s v="N"/>
    <m/>
    <m/>
    <s v="Expert Disbursement"/>
    <m/>
    <s v="N"/>
    <n v="0"/>
    <n v="-156.78"/>
    <x v="2"/>
    <s v="VALIDATED"/>
    <n v="1"/>
    <s v="01.11.80.308.2013.0000"/>
    <n v="-156.78"/>
    <s v="11"/>
    <s v="2013"/>
    <n v="26754.22"/>
    <n v="-156.78"/>
    <s v="CREDITOR"/>
    <n v="0"/>
    <n v="0"/>
    <n v="-156.78"/>
    <n v="0"/>
    <n v="0"/>
  </r>
  <r>
    <n v="60658700"/>
    <s v="N"/>
    <n v="21356669"/>
    <s v="3000014912410005RC"/>
    <s v="CIVIL"/>
    <d v="2023-06-29T00:00:00"/>
    <d v="2023-07-10T19:47:44"/>
    <m/>
    <d v="2023-07-10T00:00:00"/>
    <n v="1530"/>
    <n v="20829"/>
    <s v="60658700"/>
    <s v="60658700"/>
    <m/>
    <m/>
    <m/>
    <m/>
    <m/>
    <m/>
    <s v="SOLRECOUP"/>
    <s v="SOLRECOUP"/>
    <s v="POARECOUP"/>
    <n v="21356669"/>
    <n v="-73.55"/>
    <m/>
    <s v="Y"/>
    <n v="1"/>
    <d v="2023-07-10T19:47:46"/>
    <s v="N"/>
    <m/>
    <m/>
    <s v="Expert Disbursement"/>
    <m/>
    <s v="N"/>
    <n v="-61.29"/>
    <n v="0"/>
    <x v="2"/>
    <s v="VALIDATED"/>
    <n v="1"/>
    <s v="01.11.80.308.2013.0000"/>
    <n v="-61.29"/>
    <s v="11"/>
    <s v="2013"/>
    <n v="26754.22"/>
    <n v="-61.29"/>
    <s v="CREDITOR"/>
    <n v="0"/>
    <n v="0"/>
    <n v="-61.29"/>
    <n v="0"/>
    <n v="0"/>
  </r>
  <r>
    <n v="60658700"/>
    <s v="N"/>
    <n v="21356669"/>
    <s v="3000014912410005RC"/>
    <s v="CIVIL"/>
    <d v="2023-06-29T00:00:00"/>
    <d v="2023-07-10T19:47:44"/>
    <m/>
    <d v="2023-07-10T00:00:00"/>
    <n v="1530"/>
    <n v="20829"/>
    <s v="60658700"/>
    <s v="60658700"/>
    <m/>
    <m/>
    <m/>
    <m/>
    <m/>
    <m/>
    <s v="SOLRECOUP"/>
    <s v="SOLRECOUP"/>
    <s v="POARECOUP"/>
    <n v="21356669"/>
    <n v="-73.55"/>
    <m/>
    <s v="Y"/>
    <n v="2"/>
    <d v="2023-07-10T19:47:46"/>
    <s v="N"/>
    <m/>
    <m/>
    <s v="Expert Disbursement"/>
    <m/>
    <s v="N"/>
    <n v="0"/>
    <n v="-12.26"/>
    <x v="2"/>
    <s v="VALIDATED"/>
    <n v="1"/>
    <s v="01.11.80.308.2013.0000"/>
    <n v="-12.26"/>
    <s v="11"/>
    <s v="2013"/>
    <n v="26754.22"/>
    <n v="-12.26"/>
    <s v="CREDITOR"/>
    <n v="0"/>
    <n v="0"/>
    <n v="-12.26"/>
    <n v="0"/>
    <n v="0"/>
  </r>
  <r>
    <n v="61063328"/>
    <s v="N"/>
    <n v="21356670"/>
    <s v="3000015261150001RC"/>
    <s v="CIVIL"/>
    <d v="2023-06-28T00:00:00"/>
    <d v="2023-07-10T19:47:44"/>
    <m/>
    <d v="2023-07-10T00:00:00"/>
    <n v="1530"/>
    <n v="20829"/>
    <s v="61063328"/>
    <s v="61063328"/>
    <m/>
    <m/>
    <m/>
    <m/>
    <m/>
    <m/>
    <s v="SOLRECOUP"/>
    <s v="SOLRECOUP"/>
    <s v="POARECOUP"/>
    <n v="21356670"/>
    <n v="-596.83"/>
    <m/>
    <s v="Y"/>
    <n v="1"/>
    <d v="2023-07-10T19:47:46"/>
    <s v="N"/>
    <m/>
    <m/>
    <s v="Expert Disbursement"/>
    <m/>
    <s v="N"/>
    <n v="-497.36"/>
    <n v="0"/>
    <x v="2"/>
    <s v="VALIDATED"/>
    <n v="1"/>
    <s v="01.11.80.308.2013.0000"/>
    <n v="-497.36"/>
    <s v="11"/>
    <s v="2013"/>
    <n v="26754.22"/>
    <n v="-497.36"/>
    <s v="CREDITOR"/>
    <n v="0"/>
    <n v="0"/>
    <n v="-497.36"/>
    <n v="0"/>
    <n v="0"/>
  </r>
  <r>
    <n v="61063328"/>
    <s v="N"/>
    <n v="21356670"/>
    <s v="3000015261150001RC"/>
    <s v="CIVIL"/>
    <d v="2023-06-28T00:00:00"/>
    <d v="2023-07-10T19:47:44"/>
    <m/>
    <d v="2023-07-10T00:00:00"/>
    <n v="1530"/>
    <n v="20829"/>
    <s v="61063328"/>
    <s v="61063328"/>
    <m/>
    <m/>
    <m/>
    <m/>
    <m/>
    <m/>
    <s v="SOLRECOUP"/>
    <s v="SOLRECOUP"/>
    <s v="POARECOUP"/>
    <n v="21356670"/>
    <n v="-596.83"/>
    <m/>
    <s v="Y"/>
    <n v="2"/>
    <d v="2023-07-10T19:47:46"/>
    <s v="N"/>
    <m/>
    <m/>
    <s v="Expert Disbursement"/>
    <m/>
    <s v="N"/>
    <n v="0"/>
    <n v="-99.47"/>
    <x v="2"/>
    <s v="VALIDATED"/>
    <n v="1"/>
    <s v="01.11.80.308.2013.0000"/>
    <n v="-99.47"/>
    <s v="11"/>
    <s v="2013"/>
    <n v="26754.22"/>
    <n v="-99.47"/>
    <s v="CREDITOR"/>
    <n v="0"/>
    <n v="0"/>
    <n v="-99.47"/>
    <n v="0"/>
    <n v="0"/>
  </r>
  <r>
    <n v="60658700"/>
    <s v="N"/>
    <n v="21356671"/>
    <s v="3000014912410006RC"/>
    <s v="CIVIL"/>
    <d v="2023-06-29T00:00:00"/>
    <d v="2023-07-10T19:47:44"/>
    <m/>
    <d v="2023-07-10T00:00:00"/>
    <n v="1530"/>
    <n v="20829"/>
    <s v="60658700"/>
    <s v="60658700"/>
    <m/>
    <m/>
    <m/>
    <m/>
    <m/>
    <m/>
    <s v="SOLRECOUP"/>
    <s v="SOLRECOUP"/>
    <s v="POARECOUP"/>
    <n v="21356671"/>
    <n v="-19.86"/>
    <m/>
    <s v="Y"/>
    <n v="1"/>
    <d v="2023-07-10T19:47:46"/>
    <s v="N"/>
    <m/>
    <m/>
    <s v="Expert Disbursement"/>
    <m/>
    <s v="N"/>
    <n v="-16.55"/>
    <n v="0"/>
    <x v="2"/>
    <s v="VALIDATED"/>
    <n v="1"/>
    <s v="01.11.80.308.2013.0000"/>
    <n v="-16.55"/>
    <s v="11"/>
    <s v="2013"/>
    <n v="26754.22"/>
    <n v="-16.55"/>
    <s v="CREDITOR"/>
    <n v="0"/>
    <n v="0"/>
    <n v="-16.55"/>
    <n v="0"/>
    <n v="0"/>
  </r>
  <r>
    <n v="60658700"/>
    <s v="N"/>
    <n v="21356671"/>
    <s v="3000014912410006RC"/>
    <s v="CIVIL"/>
    <d v="2023-06-29T00:00:00"/>
    <d v="2023-07-10T19:47:44"/>
    <m/>
    <d v="2023-07-10T00:00:00"/>
    <n v="1530"/>
    <n v="20829"/>
    <s v="60658700"/>
    <s v="60658700"/>
    <m/>
    <m/>
    <m/>
    <m/>
    <m/>
    <m/>
    <s v="SOLRECOUP"/>
    <s v="SOLRECOUP"/>
    <s v="POARECOUP"/>
    <n v="21356671"/>
    <n v="-19.86"/>
    <m/>
    <s v="Y"/>
    <n v="2"/>
    <d v="2023-07-10T19:47:46"/>
    <s v="N"/>
    <m/>
    <m/>
    <s v="Expert Disbursement"/>
    <m/>
    <s v="N"/>
    <n v="0"/>
    <n v="-3.31"/>
    <x v="2"/>
    <s v="VALIDATED"/>
    <n v="1"/>
    <s v="01.11.80.308.2013.0000"/>
    <n v="-3.31"/>
    <s v="11"/>
    <s v="2013"/>
    <n v="26754.22"/>
    <n v="-3.31"/>
    <s v="CREDITOR"/>
    <n v="0"/>
    <n v="0"/>
    <n v="-3.31"/>
    <n v="0"/>
    <n v="0"/>
  </r>
  <r>
    <n v="61063328"/>
    <s v="N"/>
    <n v="21356672"/>
    <s v="3000015261150003RC"/>
    <s v="CIVIL"/>
    <d v="2023-06-28T00:00:00"/>
    <d v="2023-07-10T19:47:44"/>
    <m/>
    <d v="2023-07-10T00:00:00"/>
    <n v="1530"/>
    <n v="20829"/>
    <s v="61063328"/>
    <s v="61063328"/>
    <m/>
    <m/>
    <m/>
    <m/>
    <m/>
    <m/>
    <s v="SOLRECOUP"/>
    <s v="SOLRECOUP"/>
    <s v="POARECOUP"/>
    <n v="21356672"/>
    <n v="-675.51"/>
    <m/>
    <s v="Y"/>
    <n v="1"/>
    <d v="2023-07-10T19:47:46"/>
    <s v="N"/>
    <m/>
    <m/>
    <s v="Expert Disbursement"/>
    <m/>
    <s v="N"/>
    <n v="-675.51"/>
    <n v="0"/>
    <x v="2"/>
    <s v="VALIDATED"/>
    <n v="1"/>
    <s v="01.11.80.308.2013.0000"/>
    <n v="-675.51"/>
    <s v="11"/>
    <s v="2013"/>
    <n v="26754.22"/>
    <n v="-675.51"/>
    <s v="CREDITOR"/>
    <n v="0"/>
    <n v="0"/>
    <n v="-675.51"/>
    <n v="0"/>
    <n v="0"/>
  </r>
  <r>
    <n v="61063328"/>
    <s v="N"/>
    <n v="21356672"/>
    <s v="3000015261150003RC"/>
    <s v="CIVIL"/>
    <d v="2023-06-28T00:00:00"/>
    <d v="2023-07-10T19:47:44"/>
    <m/>
    <d v="2023-07-10T00:00:00"/>
    <n v="1530"/>
    <n v="20829"/>
    <s v="61063328"/>
    <s v="61063328"/>
    <m/>
    <m/>
    <m/>
    <m/>
    <m/>
    <m/>
    <s v="SOLRECOUP"/>
    <s v="SOLRECOUP"/>
    <s v="POARECOUP"/>
    <n v="21356672"/>
    <n v="-675.51"/>
    <m/>
    <s v="Y"/>
    <n v="2"/>
    <d v="2023-07-10T19:47:46"/>
    <s v="N"/>
    <m/>
    <m/>
    <s v="Expert Disbursement"/>
    <m/>
    <s v="N"/>
    <n v="0"/>
    <n v="0"/>
    <x v="2"/>
    <s v="VALIDATED"/>
    <n v="1"/>
    <s v="01.11.80.000.0000.0000"/>
    <n v="0"/>
    <s v="11"/>
    <s v="0000"/>
    <n v="26754.22"/>
    <n v="0"/>
    <s v="CREDITOR"/>
    <n v="0"/>
    <n v="0"/>
    <n v="0"/>
    <n v="0"/>
    <n v="0"/>
  </r>
  <r>
    <n v="61063328"/>
    <s v="N"/>
    <n v="21356673"/>
    <s v="3000015261150002RC"/>
    <s v="CIVIL"/>
    <d v="2023-06-28T00:00:00"/>
    <d v="2023-07-10T19:47:44"/>
    <m/>
    <d v="2023-07-10T00:00:00"/>
    <n v="1530"/>
    <n v="20829"/>
    <s v="61063328"/>
    <s v="61063328"/>
    <m/>
    <m/>
    <m/>
    <m/>
    <m/>
    <m/>
    <s v="SOLRECOUP"/>
    <s v="SOLRECOUP"/>
    <s v="POARECOUP"/>
    <n v="21356673"/>
    <n v="-219.76"/>
    <m/>
    <s v="Y"/>
    <n v="1"/>
    <d v="2023-07-10T19:47:46"/>
    <s v="N"/>
    <m/>
    <m/>
    <s v="Expert Disbursement"/>
    <m/>
    <s v="N"/>
    <n v="-219.76"/>
    <n v="0"/>
    <x v="2"/>
    <s v="VALIDATED"/>
    <n v="1"/>
    <s v="01.11.80.308.2013.0000"/>
    <n v="-219.76"/>
    <s v="11"/>
    <s v="2013"/>
    <n v="26754.22"/>
    <n v="-219.76"/>
    <s v="CREDITOR"/>
    <n v="0"/>
    <n v="0"/>
    <n v="-219.76"/>
    <n v="0"/>
    <n v="0"/>
  </r>
  <r>
    <n v="61063328"/>
    <s v="N"/>
    <n v="21356673"/>
    <s v="3000015261150002RC"/>
    <s v="CIVIL"/>
    <d v="2023-06-28T00:00:00"/>
    <d v="2023-07-10T19:47:44"/>
    <m/>
    <d v="2023-07-10T00:00:00"/>
    <n v="1530"/>
    <n v="20829"/>
    <s v="61063328"/>
    <s v="61063328"/>
    <m/>
    <m/>
    <m/>
    <m/>
    <m/>
    <m/>
    <s v="SOLRECOUP"/>
    <s v="SOLRECOUP"/>
    <s v="POARECOUP"/>
    <n v="21356673"/>
    <n v="-219.76"/>
    <m/>
    <s v="Y"/>
    <n v="2"/>
    <d v="2023-07-10T19:47:46"/>
    <s v="N"/>
    <m/>
    <m/>
    <s v="Expert Disbursement"/>
    <m/>
    <s v="N"/>
    <n v="0"/>
    <n v="0"/>
    <x v="2"/>
    <s v="VALIDATED"/>
    <n v="1"/>
    <s v="01.11.80.000.0000.0000"/>
    <n v="0"/>
    <s v="11"/>
    <s v="0000"/>
    <n v="26754.22"/>
    <n v="0"/>
    <s v="CREDITOR"/>
    <n v="0"/>
    <n v="0"/>
    <n v="0"/>
    <n v="0"/>
    <n v="0"/>
  </r>
  <r>
    <n v="61807950"/>
    <s v="N"/>
    <n v="21338584"/>
    <s v="3000015879920001"/>
    <s v="CIVIL"/>
    <d v="2023-06-27T00:00:00"/>
    <d v="2023-07-06T19:21:01"/>
    <m/>
    <d v="2023-07-06T00:00:00"/>
    <n v="1530"/>
    <n v="20829"/>
    <s v="61807950"/>
    <s v="61807950"/>
    <m/>
    <m/>
    <n v="22772526"/>
    <m/>
    <m/>
    <m/>
    <s v="SOLFIN"/>
    <s v="SOLFIN"/>
    <s v="CCMS"/>
    <n v="21338584"/>
    <n v="4127.99"/>
    <m/>
    <s v="N"/>
    <n v="25"/>
    <d v="2023-07-06T19:21:29"/>
    <s v="Y"/>
    <s v="Preparation - drafting consent orde"/>
    <s v="Prescribed Hourly Rates"/>
    <s v="Profit Cost"/>
    <s v="HW"/>
    <s v="Y"/>
    <n v="18.94"/>
    <n v="3.79"/>
    <x v="4"/>
    <s v="VALIDATED"/>
    <n v="1"/>
    <s v="01.11.80.307.6100.0000"/>
    <n v="18.94"/>
    <s v="11"/>
    <s v="6100"/>
    <n v="26754.22"/>
    <n v="18.94"/>
    <s v="CREDITOR"/>
    <n v="0"/>
    <n v="0"/>
    <n v="0"/>
    <n v="0"/>
    <n v="18.94"/>
  </r>
  <r>
    <n v="60658700"/>
    <s v="N"/>
    <n v="21349958"/>
    <s v="3000014912410007"/>
    <s v="CIVIL"/>
    <d v="2023-06-29T00:00:00"/>
    <d v="2023-07-10T19:01:40"/>
    <m/>
    <d v="2023-07-10T00:00:00"/>
    <n v="1530"/>
    <n v="20829"/>
    <s v="60658700"/>
    <s v="60658700"/>
    <m/>
    <m/>
    <n v="22793116"/>
    <m/>
    <m/>
    <m/>
    <s v="SOLFIN"/>
    <s v="SOLFIN"/>
    <s v="CCMS"/>
    <n v="21349958"/>
    <n v="15751.18"/>
    <m/>
    <s v="N"/>
    <n v="20"/>
    <d v="2023-07-10T19:02:04"/>
    <s v="Y"/>
    <s v="Preparation - drafting attendance n"/>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66"/>
    <d v="2023-07-10T19:02:04"/>
    <s v="Y"/>
    <s v="Preparation - drafting statement"/>
    <s v="Care Remuneration Hourly Rates"/>
    <s v="Profit Cost"/>
    <s v="HW"/>
    <s v="Y"/>
    <n v="60.99"/>
    <n v="12.2"/>
    <x v="2"/>
    <s v="VALIDATED"/>
    <n v="1"/>
    <s v="01.11.80.308.6100.0000"/>
    <n v="60.99"/>
    <s v="11"/>
    <s v="6100"/>
    <n v="26754.22"/>
    <n v="60.99"/>
    <s v="CREDITOR"/>
    <n v="0"/>
    <n v="0"/>
    <n v="0"/>
    <n v="0"/>
    <n v="60.99"/>
  </r>
  <r>
    <n v="61063328"/>
    <s v="N"/>
    <n v="21349708"/>
    <s v="3000015261150004"/>
    <s v="CIVIL"/>
    <d v="2023-06-28T00:00:00"/>
    <d v="2023-07-10T19:01:40"/>
    <m/>
    <d v="2023-07-10T00:00:00"/>
    <n v="1530"/>
    <n v="20829"/>
    <s v="61063328"/>
    <s v="61063328"/>
    <m/>
    <m/>
    <n v="22777778"/>
    <m/>
    <m/>
    <m/>
    <s v="SOLFIN"/>
    <s v="SOLFIN"/>
    <s v="CCMS"/>
    <n v="21349708"/>
    <n v="14156.17"/>
    <m/>
    <s v="N"/>
    <n v="116"/>
    <d v="2023-07-10T19:01:56"/>
    <s v="Y"/>
    <s v="Final Hearing - 1 Day"/>
    <s v="Public Law Children"/>
    <s v="Advocacy"/>
    <s v="HW"/>
    <s v="Y"/>
    <n v="556.88"/>
    <n v="111.38"/>
    <x v="2"/>
    <s v="VALIDATED"/>
    <n v="1"/>
    <s v="01.11.80.308.6100.0000"/>
    <n v="556.88"/>
    <s v="11"/>
    <s v="6100"/>
    <n v="26754.22"/>
    <n v="556.88"/>
    <s v="CREDITOR"/>
    <n v="0"/>
    <n v="0"/>
    <n v="0"/>
    <n v="0"/>
    <n v="556.88"/>
  </r>
  <r>
    <n v="60658700"/>
    <s v="N"/>
    <n v="21349958"/>
    <s v="3000014912410007"/>
    <s v="CIVIL"/>
    <d v="2023-06-29T00:00:00"/>
    <d v="2023-07-10T19:01:40"/>
    <m/>
    <d v="2023-07-10T00:00:00"/>
    <n v="1530"/>
    <n v="20829"/>
    <s v="60658700"/>
    <s v="60658700"/>
    <m/>
    <m/>
    <n v="22793116"/>
    <m/>
    <m/>
    <m/>
    <s v="SOLFIN"/>
    <s v="SOLFIN"/>
    <s v="CCMS"/>
    <n v="21349958"/>
    <n v="15751.18"/>
    <m/>
    <s v="N"/>
    <n v="27"/>
    <d v="2023-07-10T19:02:04"/>
    <s v="Y"/>
    <s v="Preparation - other"/>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132"/>
    <d v="2023-07-10T19:02:04"/>
    <s v="Y"/>
    <s v="Routine Letter Out"/>
    <s v="Care Remuneration Hourly Rates"/>
    <s v="Profit Cost"/>
    <s v="HW"/>
    <s v="Y"/>
    <n v="251.47"/>
    <n v="50.3"/>
    <x v="2"/>
    <s v="VALIDATED"/>
    <n v="1"/>
    <s v="01.11.80.308.6100.0000"/>
    <n v="251.47"/>
    <s v="11"/>
    <s v="6100"/>
    <n v="26754.22"/>
    <n v="251.47"/>
    <s v="CREDITOR"/>
    <n v="0"/>
    <n v="0"/>
    <n v="0"/>
    <n v="0"/>
    <n v="251.47"/>
  </r>
  <r>
    <n v="60658700"/>
    <s v="N"/>
    <n v="21349958"/>
    <s v="3000014912410007"/>
    <s v="CIVIL"/>
    <d v="2023-06-29T00:00:00"/>
    <d v="2023-07-10T19:01:40"/>
    <m/>
    <d v="2023-07-10T00:00:00"/>
    <n v="1530"/>
    <n v="20829"/>
    <s v="60658700"/>
    <s v="60658700"/>
    <m/>
    <m/>
    <n v="22793116"/>
    <m/>
    <m/>
    <m/>
    <s v="SOLFIN"/>
    <s v="SOLFIN"/>
    <s v="CCMS"/>
    <n v="21349958"/>
    <n v="15751.18"/>
    <m/>
    <s v="N"/>
    <n v="140"/>
    <d v="2023-07-10T19:02:04"/>
    <s v="N"/>
    <s v="Solicitors Fixed Fee"/>
    <s v="Public Law Children"/>
    <s v="Profit Cost"/>
    <s v="XXX"/>
    <s v="N"/>
    <n v="0"/>
    <n v="0"/>
    <x v="2"/>
    <s v="VALIDATED"/>
    <n v="1"/>
    <s v="01.11.80.308.6100.0000"/>
    <n v="0"/>
    <s v="11"/>
    <s v="6100"/>
    <n v="26754.22"/>
    <n v="0"/>
    <s v="CREDITOR"/>
    <n v="0"/>
    <n v="0"/>
    <n v="0"/>
    <n v="0"/>
    <n v="0"/>
  </r>
  <r>
    <n v="61063328"/>
    <s v="N"/>
    <n v="21349708"/>
    <s v="3000015261150004"/>
    <s v="CIVIL"/>
    <d v="2023-06-28T00:00:00"/>
    <d v="2023-07-10T19:01:40"/>
    <m/>
    <d v="2023-07-10T00:00:00"/>
    <n v="1530"/>
    <n v="20829"/>
    <s v="61063328"/>
    <s v="61063328"/>
    <m/>
    <m/>
    <n v="22777778"/>
    <m/>
    <m/>
    <m/>
    <s v="SOLFIN"/>
    <s v="SOLFIN"/>
    <s v="CCMS"/>
    <n v="21349708"/>
    <n v="14156.17"/>
    <m/>
    <s v="N"/>
    <n v="117"/>
    <d v="2023-07-10T19:01:56"/>
    <s v="Y"/>
    <s v="Interim Hearing Court Bundle/Advoca"/>
    <s v="Public Law Children"/>
    <s v="Advocacy"/>
    <s v="HW"/>
    <s v="Y"/>
    <n v="59.4"/>
    <n v="11.88"/>
    <x v="2"/>
    <s v="VALIDATED"/>
    <n v="1"/>
    <s v="01.11.80.308.6100.0000"/>
    <n v="59.4"/>
    <s v="11"/>
    <s v="6100"/>
    <n v="26754.22"/>
    <n v="59.4"/>
    <s v="CREDITOR"/>
    <n v="0"/>
    <n v="0"/>
    <n v="0"/>
    <n v="0"/>
    <n v="59.4"/>
  </r>
  <r>
    <n v="61063328"/>
    <s v="N"/>
    <n v="21349708"/>
    <s v="3000015261150004"/>
    <s v="CIVIL"/>
    <d v="2023-06-28T00:00:00"/>
    <d v="2023-07-10T19:01:40"/>
    <m/>
    <d v="2023-07-10T00:00:00"/>
    <n v="1530"/>
    <n v="20829"/>
    <s v="61063328"/>
    <s v="61063328"/>
    <m/>
    <m/>
    <n v="22777778"/>
    <m/>
    <m/>
    <m/>
    <s v="SOLFIN"/>
    <s v="SOLFIN"/>
    <s v="CCMS"/>
    <n v="21349708"/>
    <n v="14156.17"/>
    <m/>
    <s v="N"/>
    <n v="90"/>
    <d v="2023-07-10T19:01:56"/>
    <s v="Y"/>
    <s v="Preparation - drafting statement"/>
    <s v="Care Remuneration Hourly Rates"/>
    <s v="Profit Cost"/>
    <s v="HW"/>
    <s v="Y"/>
    <n v="14.71"/>
    <n v="2.94"/>
    <x v="2"/>
    <s v="VALIDATED"/>
    <n v="1"/>
    <s v="01.11.80.308.6100.0000"/>
    <n v="14.71"/>
    <s v="11"/>
    <s v="6100"/>
    <n v="26754.22"/>
    <n v="14.71"/>
    <s v="CREDITOR"/>
    <n v="0"/>
    <n v="0"/>
    <n v="0"/>
    <n v="0"/>
    <n v="14.71"/>
  </r>
  <r>
    <n v="61807950"/>
    <s v="N"/>
    <n v="21338584"/>
    <s v="3000015879920001"/>
    <s v="CIVIL"/>
    <d v="2023-06-27T00:00:00"/>
    <d v="2023-07-06T19:21:01"/>
    <m/>
    <d v="2023-07-06T00:00:00"/>
    <n v="1530"/>
    <n v="20829"/>
    <s v="61807950"/>
    <s v="61807950"/>
    <m/>
    <m/>
    <n v="22772526"/>
    <m/>
    <m/>
    <m/>
    <s v="SOLFIN"/>
    <s v="SOLFIN"/>
    <s v="CCMS"/>
    <n v="21338584"/>
    <n v="4127.99"/>
    <m/>
    <s v="N"/>
    <n v="4"/>
    <d v="2023-07-06T19:21:29"/>
    <s v="Y"/>
    <s v="Solicitor Travel Expenses"/>
    <s v="Prescribed Hourly Rates"/>
    <s v="Non Expert Disbursement"/>
    <s v="XXX"/>
    <s v="Y"/>
    <n v="1.9"/>
    <n v="0"/>
    <x v="4"/>
    <s v="VALIDATED"/>
    <n v="1"/>
    <s v="01.11.80.307.6300.0000"/>
    <n v="1.9"/>
    <s v="11"/>
    <s v="6300"/>
    <n v="26754.22"/>
    <n v="1.9"/>
    <s v="CREDITOR"/>
    <n v="0"/>
    <n v="0"/>
    <n v="0"/>
    <n v="0"/>
    <n v="1.9"/>
  </r>
  <r>
    <n v="60658700"/>
    <s v="N"/>
    <n v="21349958"/>
    <s v="3000014912410007"/>
    <s v="CIVIL"/>
    <d v="2023-06-29T00:00:00"/>
    <d v="2023-07-10T19:01:40"/>
    <m/>
    <d v="2023-07-10T00:00:00"/>
    <n v="1530"/>
    <n v="20829"/>
    <s v="60658700"/>
    <s v="60658700"/>
    <m/>
    <m/>
    <n v="22793116"/>
    <m/>
    <m/>
    <m/>
    <s v="SOLFIN"/>
    <s v="SOLFIN"/>
    <s v="CCMS"/>
    <n v="21349958"/>
    <n v="15751.18"/>
    <m/>
    <s v="N"/>
    <n v="13"/>
    <d v="2023-07-10T19:02:04"/>
    <s v="Y"/>
    <s v="Preparation - drafting instructions"/>
    <s v="Care Remuneration Hourly Rates"/>
    <s v="Profit Cost"/>
    <s v="HW"/>
    <s v="Y"/>
    <n v="45.73"/>
    <n v="9.15"/>
    <x v="2"/>
    <s v="VALIDATED"/>
    <n v="1"/>
    <s v="01.11.80.308.6100.0000"/>
    <n v="45.73"/>
    <s v="11"/>
    <s v="6100"/>
    <n v="26754.22"/>
    <n v="45.73"/>
    <s v="CREDITOR"/>
    <n v="0"/>
    <n v="0"/>
    <n v="0"/>
    <n v="0"/>
    <n v="45.73"/>
  </r>
  <r>
    <n v="60658700"/>
    <s v="N"/>
    <n v="21349958"/>
    <s v="3000014912410007"/>
    <s v="CIVIL"/>
    <d v="2023-06-29T00:00:00"/>
    <d v="2023-07-10T19:01:40"/>
    <m/>
    <d v="2023-07-10T00:00:00"/>
    <n v="1530"/>
    <n v="20829"/>
    <s v="60658700"/>
    <s v="60658700"/>
    <m/>
    <m/>
    <n v="22793116"/>
    <m/>
    <m/>
    <m/>
    <s v="SOLFIN"/>
    <s v="SOLFIN"/>
    <s v="CCMS"/>
    <n v="21349958"/>
    <n v="15751.18"/>
    <m/>
    <s v="N"/>
    <n v="28"/>
    <d v="2023-07-10T19:02:04"/>
    <s v="Y"/>
    <s v="Preparation - drafting statement"/>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41"/>
    <d v="2023-07-10T19:02:04"/>
    <s v="Y"/>
    <s v="Preparation - drafting statement"/>
    <s v="Care Remuneration Hourly Rates"/>
    <s v="Profit Cost"/>
    <s v="HW"/>
    <s v="Y"/>
    <n v="38.12"/>
    <n v="7.62"/>
    <x v="2"/>
    <s v="VALIDATED"/>
    <n v="1"/>
    <s v="01.11.80.308.6100.0000"/>
    <n v="38.12"/>
    <s v="11"/>
    <s v="6100"/>
    <n v="26754.22"/>
    <n v="38.12"/>
    <s v="CREDITOR"/>
    <n v="0"/>
    <n v="0"/>
    <n v="0"/>
    <n v="0"/>
    <n v="38.12"/>
  </r>
  <r>
    <n v="60658700"/>
    <s v="N"/>
    <n v="21349958"/>
    <s v="3000014912410007"/>
    <s v="CIVIL"/>
    <d v="2023-06-29T00:00:00"/>
    <d v="2023-07-10T19:01:40"/>
    <m/>
    <d v="2023-07-10T00:00:00"/>
    <n v="1530"/>
    <n v="20829"/>
    <s v="60658700"/>
    <s v="60658700"/>
    <m/>
    <m/>
    <n v="22793116"/>
    <m/>
    <m/>
    <m/>
    <s v="SOLFIN"/>
    <s v="SOLFIN"/>
    <s v="CCMS"/>
    <n v="21349958"/>
    <n v="15751.18"/>
    <m/>
    <s v="N"/>
    <n v="114"/>
    <d v="2023-07-10T19:02:04"/>
    <s v="Y"/>
    <s v="Preparation - drafting statement"/>
    <s v="Care Remuneration Hourly Rates"/>
    <s v="Profit Cost"/>
    <s v="HW"/>
    <s v="Y"/>
    <n v="25.78"/>
    <n v="5.16"/>
    <x v="2"/>
    <s v="VALIDATED"/>
    <n v="1"/>
    <s v="01.11.80.308.6100.0000"/>
    <n v="25.78"/>
    <s v="11"/>
    <s v="6100"/>
    <n v="26754.22"/>
    <n v="25.78"/>
    <s v="CREDITOR"/>
    <n v="0"/>
    <n v="0"/>
    <n v="0"/>
    <n v="0"/>
    <n v="25.78"/>
  </r>
  <r>
    <n v="61063328"/>
    <s v="N"/>
    <n v="21349708"/>
    <s v="3000015261150004"/>
    <s v="CIVIL"/>
    <d v="2023-06-28T00:00:00"/>
    <d v="2023-07-10T19:01:40"/>
    <m/>
    <d v="2023-07-10T00:00:00"/>
    <n v="1530"/>
    <n v="20829"/>
    <s v="61063328"/>
    <s v="61063328"/>
    <m/>
    <m/>
    <n v="22777778"/>
    <m/>
    <m/>
    <m/>
    <s v="SOLFIN"/>
    <s v="SOLFIN"/>
    <s v="CCMS"/>
    <n v="21349708"/>
    <n v="14156.17"/>
    <m/>
    <s v="N"/>
    <n v="102"/>
    <d v="2023-07-10T19:01:56"/>
    <s v="Y"/>
    <s v="Solicitor Travel Mileage"/>
    <s v="Care Remuneration Hourly Rates"/>
    <s v="Non Expert Disbursement"/>
    <s v="XXX"/>
    <s v="Y"/>
    <n v="40.5"/>
    <n v="8.1"/>
    <x v="2"/>
    <s v="VALIDATED"/>
    <n v="1"/>
    <s v="01.11.80.308.6300.0000"/>
    <n v="40.5"/>
    <s v="11"/>
    <s v="6300"/>
    <n v="26754.22"/>
    <n v="40.5"/>
    <s v="CREDITOR"/>
    <n v="0"/>
    <n v="0"/>
    <n v="0"/>
    <n v="0"/>
    <n v="40.5"/>
  </r>
  <r>
    <n v="61807950"/>
    <s v="N"/>
    <n v="21338584"/>
    <s v="3000015879920001"/>
    <s v="CIVIL"/>
    <d v="2023-06-27T00:00:00"/>
    <d v="2023-07-06T19:21:01"/>
    <m/>
    <d v="2023-07-06T00:00:00"/>
    <n v="1530"/>
    <n v="20829"/>
    <s v="61807950"/>
    <s v="61807950"/>
    <m/>
    <m/>
    <n v="22772526"/>
    <m/>
    <m/>
    <m/>
    <s v="SOLFIN"/>
    <s v="SOLFIN"/>
    <s v="CCMS"/>
    <n v="21338584"/>
    <n v="4127.99"/>
    <m/>
    <s v="N"/>
    <n v="41"/>
    <d v="2023-07-06T19:21:29"/>
    <s v="Y"/>
    <s v="Travel to court"/>
    <s v="Prescribed Hourly Rates"/>
    <s v="Profit Cost"/>
    <s v="HW"/>
    <s v="Y"/>
    <n v="86.63"/>
    <n v="17.33"/>
    <x v="4"/>
    <s v="VALIDATED"/>
    <n v="1"/>
    <s v="01.11.80.307.6100.0000"/>
    <n v="86.63"/>
    <s v="11"/>
    <s v="6100"/>
    <n v="26754.22"/>
    <n v="86.63"/>
    <s v="CREDITOR"/>
    <n v="0"/>
    <n v="0"/>
    <n v="0"/>
    <n v="0"/>
    <n v="86.63"/>
  </r>
  <r>
    <n v="61807950"/>
    <s v="N"/>
    <n v="21338584"/>
    <s v="3000015879920001"/>
    <s v="CIVIL"/>
    <d v="2023-06-27T00:00:00"/>
    <d v="2023-07-06T19:21:01"/>
    <m/>
    <d v="2023-07-06T00:00:00"/>
    <n v="1530"/>
    <n v="20829"/>
    <s v="61807950"/>
    <s v="61807950"/>
    <m/>
    <m/>
    <n v="22772526"/>
    <m/>
    <m/>
    <m/>
    <s v="SOLFIN"/>
    <s v="SOLFIN"/>
    <s v="CCMS"/>
    <n v="21338584"/>
    <n v="4127.99"/>
    <m/>
    <s v="N"/>
    <n v="12"/>
    <d v="2023-07-06T19:21:29"/>
    <s v="Y"/>
    <s v="Preparation - other"/>
    <s v="Prescribed Hourly Rates"/>
    <s v="Profit Cost"/>
    <s v="HW"/>
    <s v="Y"/>
    <n v="12.63"/>
    <n v="2.53"/>
    <x v="4"/>
    <s v="VALIDATED"/>
    <n v="1"/>
    <s v="01.11.80.307.6100.0000"/>
    <n v="12.63"/>
    <s v="11"/>
    <s v="6100"/>
    <n v="26754.22"/>
    <n v="12.63"/>
    <s v="CREDITOR"/>
    <n v="0"/>
    <n v="0"/>
    <n v="0"/>
    <n v="0"/>
    <n v="12.63"/>
  </r>
  <r>
    <n v="61063328"/>
    <s v="N"/>
    <n v="21349708"/>
    <s v="3000015261150004"/>
    <s v="CIVIL"/>
    <d v="2023-06-28T00:00:00"/>
    <d v="2023-07-10T19:01:40"/>
    <m/>
    <d v="2023-07-10T00:00:00"/>
    <n v="1530"/>
    <n v="20829"/>
    <s v="61063328"/>
    <s v="61063328"/>
    <m/>
    <m/>
    <n v="22777778"/>
    <m/>
    <m/>
    <m/>
    <s v="SOLFIN"/>
    <s v="SOLFIN"/>
    <s v="CCMS"/>
    <n v="21349708"/>
    <n v="14156.17"/>
    <m/>
    <s v="N"/>
    <n v="120"/>
    <d v="2023-07-10T19:01:56"/>
    <s v="Y"/>
    <s v="Exceptional Travel"/>
    <s v="Public Law Children"/>
    <s v="Advocacy"/>
    <s v="HW"/>
    <s v="Y"/>
    <n v="32.04"/>
    <n v="6.41"/>
    <x v="2"/>
    <s v="VALIDATED"/>
    <n v="1"/>
    <s v="01.11.80.308.6100.0000"/>
    <n v="32.04"/>
    <s v="11"/>
    <s v="6100"/>
    <n v="26754.22"/>
    <n v="32.04"/>
    <s v="CREDITOR"/>
    <n v="0"/>
    <n v="0"/>
    <n v="0"/>
    <n v="0"/>
    <n v="32.04"/>
  </r>
  <r>
    <n v="61063328"/>
    <s v="N"/>
    <n v="21349708"/>
    <s v="3000015261150004"/>
    <s v="CIVIL"/>
    <d v="2023-06-28T00:00:00"/>
    <d v="2023-07-10T19:01:40"/>
    <m/>
    <d v="2023-07-10T00:00:00"/>
    <n v="1530"/>
    <n v="20829"/>
    <s v="61063328"/>
    <s v="61063328"/>
    <m/>
    <m/>
    <n v="22777778"/>
    <m/>
    <m/>
    <m/>
    <s v="SOLFIN"/>
    <s v="SOLFIN"/>
    <s v="CCMS"/>
    <n v="21349708"/>
    <n v="14156.17"/>
    <m/>
    <s v="N"/>
    <n v="39"/>
    <d v="2023-07-10T19:01:56"/>
    <s v="Y"/>
    <s v="Preparation - drafting statement"/>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81"/>
    <d v="2023-07-10T19:01:56"/>
    <s v="Y"/>
    <s v="Preparation - other"/>
    <s v="Care Remuneration Hourly Rates"/>
    <s v="Profit Cost"/>
    <s v="HW"/>
    <s v="Y"/>
    <n v="44.16"/>
    <n v="8.83"/>
    <x v="2"/>
    <s v="VALIDATED"/>
    <n v="1"/>
    <s v="01.11.80.308.6100.0000"/>
    <n v="44.16"/>
    <s v="11"/>
    <s v="6100"/>
    <n v="26754.22"/>
    <n v="44.16"/>
    <s v="CREDITOR"/>
    <n v="0"/>
    <n v="0"/>
    <n v="0"/>
    <n v="0"/>
    <n v="44.16"/>
  </r>
  <r>
    <n v="61063328"/>
    <s v="N"/>
    <n v="21349708"/>
    <s v="3000015261150004"/>
    <s v="CIVIL"/>
    <d v="2023-06-28T00:00:00"/>
    <d v="2023-07-10T19:01:40"/>
    <m/>
    <d v="2023-07-10T00:00:00"/>
    <n v="1530"/>
    <n v="20829"/>
    <s v="61063328"/>
    <s v="61063328"/>
    <m/>
    <m/>
    <n v="22777778"/>
    <m/>
    <m/>
    <m/>
    <s v="SOLFIN"/>
    <s v="SOLFIN"/>
    <s v="CCMS"/>
    <n v="21349708"/>
    <n v="14156.17"/>
    <m/>
    <s v="N"/>
    <n v="41"/>
    <d v="2023-07-10T19:01:56"/>
    <s v="Y"/>
    <s v="Preparation - drafting statement"/>
    <s v="Care Remuneration Hourly Rates"/>
    <s v="Profit Cost"/>
    <s v="HW"/>
    <s v="Y"/>
    <n v="22.08"/>
    <n v="4.42"/>
    <x v="2"/>
    <s v="VALIDATED"/>
    <n v="1"/>
    <s v="01.11.80.308.6100.0000"/>
    <n v="22.08"/>
    <s v="11"/>
    <s v="6100"/>
    <n v="26754.22"/>
    <n v="22.08"/>
    <s v="CREDITOR"/>
    <n v="0"/>
    <n v="0"/>
    <n v="0"/>
    <n v="0"/>
    <n v="22.08"/>
  </r>
  <r>
    <n v="61807950"/>
    <s v="N"/>
    <n v="21338584"/>
    <s v="3000015879920001"/>
    <s v="CIVIL"/>
    <d v="2023-06-27T00:00:00"/>
    <d v="2023-07-06T19:21:01"/>
    <m/>
    <d v="2023-07-06T00:00:00"/>
    <n v="1530"/>
    <n v="20829"/>
    <s v="61807950"/>
    <s v="61807950"/>
    <m/>
    <m/>
    <n v="22772526"/>
    <m/>
    <m/>
    <m/>
    <s v="SOLFIN"/>
    <s v="SOLFIN"/>
    <s v="CCMS"/>
    <n v="21338584"/>
    <n v="4127.99"/>
    <m/>
    <s v="N"/>
    <n v="8"/>
    <d v="2023-07-06T19:21:29"/>
    <s v="Y"/>
    <s v="Preparation - other"/>
    <s v="Prescribed Hourly Rates"/>
    <s v="Profit Cost"/>
    <s v="HW"/>
    <s v="Y"/>
    <n v="37.88"/>
    <n v="7.58"/>
    <x v="4"/>
    <s v="VALIDATED"/>
    <n v="1"/>
    <s v="01.11.80.307.6100.0000"/>
    <n v="37.88"/>
    <s v="11"/>
    <s v="6100"/>
    <n v="26754.22"/>
    <n v="37.88"/>
    <s v="CREDITOR"/>
    <n v="0"/>
    <n v="0"/>
    <n v="0"/>
    <n v="0"/>
    <n v="37.88"/>
  </r>
  <r>
    <n v="61807950"/>
    <s v="N"/>
    <n v="21338584"/>
    <s v="3000015879920001"/>
    <s v="CIVIL"/>
    <d v="2023-06-27T00:00:00"/>
    <d v="2023-07-06T19:21:01"/>
    <m/>
    <d v="2023-07-06T00:00:00"/>
    <n v="1530"/>
    <n v="20829"/>
    <s v="61807950"/>
    <s v="61807950"/>
    <m/>
    <m/>
    <n v="22772526"/>
    <m/>
    <m/>
    <m/>
    <s v="SOLFIN"/>
    <s v="SOLFIN"/>
    <s v="CCMS"/>
    <n v="21338584"/>
    <n v="4127.99"/>
    <m/>
    <s v="N"/>
    <n v="20"/>
    <d v="2023-07-06T19:21:29"/>
    <s v="Y"/>
    <s v="Preparation - drafting attendance n"/>
    <s v="Prescribed Hourly Rates"/>
    <s v="Profit Cost"/>
    <s v="HW"/>
    <s v="Y"/>
    <n v="18.94"/>
    <n v="3.79"/>
    <x v="4"/>
    <s v="VALIDATED"/>
    <n v="1"/>
    <s v="01.11.80.307.6100.0000"/>
    <n v="18.94"/>
    <s v="11"/>
    <s v="6100"/>
    <n v="26754.22"/>
    <n v="18.94"/>
    <s v="CREDITOR"/>
    <n v="0"/>
    <n v="0"/>
    <n v="0"/>
    <n v="0"/>
    <n v="18.94"/>
  </r>
  <r>
    <n v="60658700"/>
    <s v="N"/>
    <n v="21349958"/>
    <s v="3000014912410007"/>
    <s v="CIVIL"/>
    <d v="2023-06-29T00:00:00"/>
    <d v="2023-07-10T19:01:40"/>
    <m/>
    <d v="2023-07-10T00:00:00"/>
    <n v="1530"/>
    <n v="20829"/>
    <s v="60658700"/>
    <s v="60658700"/>
    <m/>
    <m/>
    <n v="22793116"/>
    <m/>
    <m/>
    <m/>
    <s v="SOLFIN"/>
    <s v="SOLFIN"/>
    <s v="CCMS"/>
    <n v="21349958"/>
    <n v="15751.18"/>
    <m/>
    <s v="N"/>
    <n v="143"/>
    <d v="2023-07-10T19:02:04"/>
    <s v="Y"/>
    <s v="Child psychologist"/>
    <s v="Care Remuneration Hourly Rates"/>
    <s v="Expert Disbursement"/>
    <s v="XXX"/>
    <s v="Y"/>
    <n v="783.9"/>
    <n v="156.78"/>
    <x v="2"/>
    <s v="VALIDATED"/>
    <n v="1"/>
    <s v="01.11.80.308.6300.0000"/>
    <n v="783.9"/>
    <s v="11"/>
    <s v="6300"/>
    <n v="26754.22"/>
    <n v="783.9"/>
    <s v="CREDITOR"/>
    <n v="0"/>
    <n v="0"/>
    <n v="0"/>
    <n v="0"/>
    <n v="783.9"/>
  </r>
  <r>
    <n v="61063328"/>
    <s v="N"/>
    <n v="21349708"/>
    <s v="3000015261150004"/>
    <s v="CIVIL"/>
    <d v="2023-06-28T00:00:00"/>
    <d v="2023-07-10T19:01:40"/>
    <m/>
    <d v="2023-07-10T00:00:00"/>
    <n v="1530"/>
    <n v="20829"/>
    <s v="61063328"/>
    <s v="61063328"/>
    <m/>
    <m/>
    <n v="22777778"/>
    <m/>
    <m/>
    <m/>
    <s v="SOLFIN"/>
    <s v="SOLFIN"/>
    <s v="CCMS"/>
    <n v="21349708"/>
    <n v="14156.17"/>
    <m/>
    <s v="N"/>
    <n v="7"/>
    <d v="2023-07-10T19:01:56"/>
    <s v="Y"/>
    <s v="Preparation - drafting consent orde"/>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94"/>
    <d v="2023-07-10T19:01:56"/>
    <s v="Y"/>
    <s v="Preparation - drafting consent orde"/>
    <s v="Care Remuneration Hourly Rates"/>
    <s v="Profit Cost"/>
    <s v="HW"/>
    <s v="Y"/>
    <n v="29.44"/>
    <n v="5.89"/>
    <x v="2"/>
    <s v="VALIDATED"/>
    <n v="1"/>
    <s v="01.11.80.308.6100.0000"/>
    <n v="29.44"/>
    <s v="11"/>
    <s v="6100"/>
    <n v="26754.22"/>
    <n v="29.44"/>
    <s v="CREDITOR"/>
    <n v="0"/>
    <n v="0"/>
    <n v="0"/>
    <n v="0"/>
    <n v="29.44"/>
  </r>
  <r>
    <n v="61807950"/>
    <s v="N"/>
    <n v="21338584"/>
    <s v="3000015879920001"/>
    <s v="CIVIL"/>
    <d v="2023-06-27T00:00:00"/>
    <d v="2023-07-06T19:21:01"/>
    <m/>
    <d v="2023-07-06T00:00:00"/>
    <n v="1530"/>
    <n v="20829"/>
    <s v="61807950"/>
    <s v="61807950"/>
    <m/>
    <m/>
    <n v="22772526"/>
    <m/>
    <m/>
    <m/>
    <s v="SOLFIN"/>
    <s v="SOLFIN"/>
    <s v="CCMS"/>
    <n v="21338584"/>
    <n v="4127.99"/>
    <m/>
    <s v="N"/>
    <n v="28"/>
    <d v="2023-07-06T19:21:29"/>
    <s v="Y"/>
    <s v="Report - other expert's report"/>
    <s v="Prescribed Hourly Rates"/>
    <s v="Profit Cost"/>
    <s v="HW"/>
    <s v="Y"/>
    <n v="18.94"/>
    <n v="3.79"/>
    <x v="4"/>
    <s v="VALIDATED"/>
    <n v="1"/>
    <s v="01.11.80.307.6100.0000"/>
    <n v="18.94"/>
    <s v="11"/>
    <s v="6100"/>
    <n v="26754.22"/>
    <n v="18.94"/>
    <s v="CREDITOR"/>
    <n v="0"/>
    <n v="0"/>
    <n v="0"/>
    <n v="0"/>
    <n v="18.94"/>
  </r>
  <r>
    <n v="60658700"/>
    <s v="N"/>
    <n v="21349958"/>
    <s v="3000014912410007"/>
    <s v="CIVIL"/>
    <d v="2023-06-29T00:00:00"/>
    <d v="2023-07-10T19:01:40"/>
    <m/>
    <d v="2023-07-10T00:00:00"/>
    <n v="1530"/>
    <n v="20829"/>
    <s v="60658700"/>
    <s v="60658700"/>
    <m/>
    <m/>
    <n v="22793116"/>
    <m/>
    <m/>
    <m/>
    <s v="SOLFIN"/>
    <s v="SOLFIN"/>
    <s v="CCMS"/>
    <n v="21349958"/>
    <n v="15751.18"/>
    <m/>
    <s v="N"/>
    <n v="16"/>
    <d v="2023-07-10T19:02:04"/>
    <s v="Y"/>
    <s v="Preparation - drafting instructions"/>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142"/>
    <d v="2023-07-10T19:02:04"/>
    <s v="Y"/>
    <s v="Independent Social Worker"/>
    <s v="Care Remuneration Hourly Rates"/>
    <s v="Expert Disbursement"/>
    <s v="XXX"/>
    <s v="Y"/>
    <n v="256.38"/>
    <n v="51.28"/>
    <x v="2"/>
    <s v="VALIDATED"/>
    <n v="1"/>
    <s v="01.11.80.308.6300.0000"/>
    <n v="256.38"/>
    <s v="11"/>
    <s v="6300"/>
    <n v="26754.22"/>
    <n v="256.38"/>
    <s v="CREDITOR"/>
    <n v="0"/>
    <n v="0"/>
    <n v="0"/>
    <n v="0"/>
    <n v="256.38"/>
  </r>
  <r>
    <n v="61063328"/>
    <s v="N"/>
    <n v="21349708"/>
    <s v="3000015261150004"/>
    <s v="CIVIL"/>
    <d v="2023-06-28T00:00:00"/>
    <d v="2023-07-10T19:01:40"/>
    <m/>
    <d v="2023-07-10T00:00:00"/>
    <n v="1530"/>
    <n v="20829"/>
    <s v="61063328"/>
    <s v="61063328"/>
    <m/>
    <m/>
    <n v="22777778"/>
    <m/>
    <m/>
    <m/>
    <s v="SOLFIN"/>
    <s v="SOLFIN"/>
    <s v="CCMS"/>
    <n v="21349708"/>
    <n v="14156.17"/>
    <m/>
    <s v="N"/>
    <n v="65"/>
    <d v="2023-07-10T19:01:56"/>
    <s v="Y"/>
    <s v="Preparation - drafting statement"/>
    <s v="Care Remuneration Hourly Rates"/>
    <s v="Profit Cost"/>
    <s v="HW"/>
    <s v="Y"/>
    <n v="44.16"/>
    <n v="8.83"/>
    <x v="2"/>
    <s v="VALIDATED"/>
    <n v="1"/>
    <s v="01.11.80.308.6100.0000"/>
    <n v="44.16"/>
    <s v="11"/>
    <s v="6100"/>
    <n v="26754.22"/>
    <n v="44.16"/>
    <s v="CREDITOR"/>
    <n v="0"/>
    <n v="0"/>
    <n v="0"/>
    <n v="0"/>
    <n v="44.16"/>
  </r>
  <r>
    <n v="60658700"/>
    <s v="N"/>
    <n v="21349958"/>
    <s v="3000014912410007"/>
    <s v="CIVIL"/>
    <d v="2023-06-29T00:00:00"/>
    <d v="2023-07-10T19:01:40"/>
    <m/>
    <d v="2023-07-10T00:00:00"/>
    <n v="1530"/>
    <n v="20829"/>
    <s v="60658700"/>
    <s v="60658700"/>
    <m/>
    <m/>
    <n v="22793116"/>
    <m/>
    <m/>
    <m/>
    <s v="SOLFIN"/>
    <s v="SOLFIN"/>
    <s v="CCMS"/>
    <n v="21349958"/>
    <n v="15751.18"/>
    <m/>
    <s v="N"/>
    <n v="127"/>
    <d v="2023-07-10T19:02:04"/>
    <s v="Y"/>
    <s v="Preparation - drafting consent orde"/>
    <s v="Care Remuneration Hourly Rates"/>
    <s v="Profit Cost"/>
    <s v="HW"/>
    <s v="Y"/>
    <n v="17.18"/>
    <n v="3.44"/>
    <x v="2"/>
    <s v="VALIDATED"/>
    <n v="1"/>
    <s v="01.11.80.308.6100.0000"/>
    <n v="17.18"/>
    <s v="11"/>
    <s v="6100"/>
    <n v="26754.22"/>
    <n v="17.18"/>
    <s v="CREDITOR"/>
    <n v="0"/>
    <n v="0"/>
    <n v="0"/>
    <n v="0"/>
    <n v="17.18"/>
  </r>
  <r>
    <n v="60658700"/>
    <s v="N"/>
    <n v="21349958"/>
    <s v="3000014912410007"/>
    <s v="CIVIL"/>
    <d v="2023-06-29T00:00:00"/>
    <d v="2023-07-10T19:01:40"/>
    <m/>
    <d v="2023-07-10T00:00:00"/>
    <n v="1530"/>
    <n v="20829"/>
    <s v="60658700"/>
    <s v="60658700"/>
    <m/>
    <m/>
    <n v="22793116"/>
    <m/>
    <m/>
    <m/>
    <s v="SOLFIN"/>
    <s v="SOLFIN"/>
    <s v="CCMS"/>
    <n v="21349958"/>
    <n v="15751.18"/>
    <m/>
    <s v="N"/>
    <n v="138"/>
    <d v="2023-07-10T19:02:04"/>
    <s v="Y"/>
    <s v="Routine Letter In"/>
    <s v="Care Remuneration Hourly Rates"/>
    <s v="Profit Cost"/>
    <s v="OTH"/>
    <s v="Y"/>
    <n v="19.08"/>
    <n v="3.82"/>
    <x v="2"/>
    <s v="VALIDATED"/>
    <n v="1"/>
    <s v="01.11.80.308.6100.0000"/>
    <n v="19.08"/>
    <s v="11"/>
    <s v="6100"/>
    <n v="26754.22"/>
    <n v="19.08"/>
    <s v="CREDITOR"/>
    <n v="0"/>
    <n v="0"/>
    <n v="0"/>
    <n v="0"/>
    <n v="19.08"/>
  </r>
  <r>
    <n v="60658700"/>
    <s v="N"/>
    <n v="21349958"/>
    <s v="3000014912410007"/>
    <s v="CIVIL"/>
    <d v="2023-06-29T00:00:00"/>
    <d v="2023-07-10T19:01:40"/>
    <m/>
    <d v="2023-07-10T00:00:00"/>
    <n v="1530"/>
    <n v="20829"/>
    <s v="60658700"/>
    <s v="60658700"/>
    <m/>
    <m/>
    <n v="22793116"/>
    <m/>
    <m/>
    <m/>
    <s v="SOLFIN"/>
    <s v="SOLFIN"/>
    <s v="CCMS"/>
    <n v="21349958"/>
    <n v="15751.18"/>
    <m/>
    <s v="N"/>
    <n v="147"/>
    <d v="2023-07-10T19:02:04"/>
    <s v="Y"/>
    <s v="Hearing Unit 1.01 - 2.30 Hours"/>
    <s v="Public Law Children"/>
    <s v="Advocacy"/>
    <s v="ES"/>
    <s v="Y"/>
    <n v="238.46"/>
    <n v="47.69"/>
    <x v="2"/>
    <s v="VALIDATED"/>
    <n v="1"/>
    <s v="01.11.80.308.6100.0000"/>
    <n v="238.46"/>
    <s v="11"/>
    <s v="6100"/>
    <n v="26754.22"/>
    <n v="238.46"/>
    <s v="CREDITOR"/>
    <n v="0"/>
    <n v="0"/>
    <n v="0"/>
    <n v="0"/>
    <n v="238.46"/>
  </r>
  <r>
    <n v="60658700"/>
    <s v="N"/>
    <n v="21349958"/>
    <s v="3000014912410007"/>
    <s v="CIVIL"/>
    <d v="2023-06-29T00:00:00"/>
    <d v="2023-07-10T19:01:40"/>
    <m/>
    <d v="2023-07-10T00:00:00"/>
    <n v="1530"/>
    <n v="20829"/>
    <s v="60658700"/>
    <s v="60658700"/>
    <m/>
    <m/>
    <n v="22793116"/>
    <m/>
    <m/>
    <m/>
    <s v="SOLFIN"/>
    <s v="SOLFIN"/>
    <s v="CCMS"/>
    <n v="21349958"/>
    <n v="15751.18"/>
    <m/>
    <s v="N"/>
    <n v="71"/>
    <d v="2023-07-10T19:02:04"/>
    <s v="Y"/>
    <s v="Preparation - other"/>
    <s v="Care Remuneration Hourly Rates"/>
    <s v="Profit Cost"/>
    <s v="HW"/>
    <s v="Y"/>
    <n v="15.24"/>
    <n v="3.05"/>
    <x v="2"/>
    <s v="VALIDATED"/>
    <n v="1"/>
    <s v="01.11.80.308.6100.0000"/>
    <n v="15.24"/>
    <s v="11"/>
    <s v="6100"/>
    <n v="26754.22"/>
    <n v="15.24"/>
    <s v="CREDITOR"/>
    <n v="0"/>
    <n v="0"/>
    <n v="0"/>
    <n v="0"/>
    <n v="15.24"/>
  </r>
  <r>
    <n v="61063328"/>
    <s v="N"/>
    <n v="21349708"/>
    <s v="3000015261150004"/>
    <s v="CIVIL"/>
    <d v="2023-06-28T00:00:00"/>
    <d v="2023-07-10T19:01:40"/>
    <m/>
    <d v="2023-07-10T00:00:00"/>
    <n v="1530"/>
    <n v="20829"/>
    <s v="61063328"/>
    <s v="61063328"/>
    <m/>
    <m/>
    <n v="22777778"/>
    <m/>
    <m/>
    <m/>
    <s v="SOLFIN"/>
    <s v="SOLFIN"/>
    <s v="CCMS"/>
    <n v="21349708"/>
    <n v="14156.17"/>
    <m/>
    <s v="N"/>
    <n v="93"/>
    <d v="2023-07-10T19:01:56"/>
    <s v="Y"/>
    <s v="Preparation - drafting consent orde"/>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77"/>
    <d v="2023-07-10T19:01:56"/>
    <s v="Y"/>
    <s v="Preparation - other"/>
    <s v="Care Remuneration Hourly Rates"/>
    <s v="Profit Cost"/>
    <s v="HW"/>
    <s v="Y"/>
    <n v="95.68000000000001"/>
    <n v="19.14"/>
    <x v="2"/>
    <s v="VALIDATED"/>
    <n v="1"/>
    <s v="01.11.80.308.6100.0000"/>
    <n v="95.68000000000001"/>
    <s v="11"/>
    <s v="6100"/>
    <n v="26754.22"/>
    <n v="95.68000000000001"/>
    <s v="CREDITOR"/>
    <n v="0"/>
    <n v="0"/>
    <n v="0"/>
    <n v="0"/>
    <n v="95.68000000000001"/>
  </r>
  <r>
    <n v="60658700"/>
    <s v="N"/>
    <n v="21349958"/>
    <s v="3000014912410007"/>
    <s v="CIVIL"/>
    <d v="2023-06-29T00:00:00"/>
    <d v="2023-07-10T19:01:40"/>
    <m/>
    <d v="2023-07-10T00:00:00"/>
    <n v="1530"/>
    <n v="20829"/>
    <s v="60658700"/>
    <s v="60658700"/>
    <m/>
    <m/>
    <n v="22793116"/>
    <m/>
    <m/>
    <m/>
    <s v="SOLFIN"/>
    <s v="SOLFIN"/>
    <s v="CCMS"/>
    <n v="21349958"/>
    <n v="15751.18"/>
    <m/>
    <s v="N"/>
    <n v="31"/>
    <d v="2023-07-10T19:02:04"/>
    <s v="Y"/>
    <s v="Preparation - drafting notice(s)"/>
    <s v="Care Remuneration Hourly Rates"/>
    <s v="Profit Cost"/>
    <s v="OTH"/>
    <s v="Y"/>
    <n v="10.51"/>
    <n v="2.1"/>
    <x v="2"/>
    <s v="VALIDATED"/>
    <n v="1"/>
    <s v="01.11.80.308.6100.0000"/>
    <n v="10.51"/>
    <s v="11"/>
    <s v="6100"/>
    <n v="26754.22"/>
    <n v="10.51"/>
    <s v="CREDITOR"/>
    <n v="0"/>
    <n v="0"/>
    <n v="0"/>
    <n v="0"/>
    <n v="10.51"/>
  </r>
  <r>
    <n v="60658700"/>
    <s v="N"/>
    <n v="21349958"/>
    <s v="3000014912410007"/>
    <s v="CIVIL"/>
    <d v="2023-06-29T00:00:00"/>
    <d v="2023-07-10T19:01:40"/>
    <m/>
    <d v="2023-07-10T00:00:00"/>
    <n v="1530"/>
    <n v="20829"/>
    <s v="60658700"/>
    <s v="60658700"/>
    <m/>
    <m/>
    <n v="22793116"/>
    <m/>
    <m/>
    <m/>
    <s v="SOLFIN"/>
    <s v="SOLFIN"/>
    <s v="CCMS"/>
    <n v="21349958"/>
    <n v="15751.18"/>
    <m/>
    <s v="N"/>
    <n v="50"/>
    <d v="2023-07-10T19:02:04"/>
    <s v="Y"/>
    <s v="Preparation - drafting notice(s)"/>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59"/>
    <d v="2023-07-10T19:02:04"/>
    <s v="Y"/>
    <s v="Preparation - other"/>
    <s v="Care Remuneration Hourly Rates"/>
    <s v="Profit Cost"/>
    <s v="HW"/>
    <s v="Y"/>
    <n v="22.87"/>
    <n v="4.57"/>
    <x v="2"/>
    <s v="VALIDATED"/>
    <n v="1"/>
    <s v="01.11.80.308.6100.0000"/>
    <n v="22.87"/>
    <s v="11"/>
    <s v="6100"/>
    <n v="26754.22"/>
    <n v="22.87"/>
    <s v="CREDITOR"/>
    <n v="0"/>
    <n v="0"/>
    <n v="0"/>
    <n v="0"/>
    <n v="22.87"/>
  </r>
  <r>
    <n v="61063328"/>
    <s v="N"/>
    <n v="21349708"/>
    <s v="3000015261150004"/>
    <s v="CIVIL"/>
    <d v="2023-06-28T00:00:00"/>
    <d v="2023-07-10T19:01:40"/>
    <m/>
    <d v="2023-07-10T00:00:00"/>
    <n v="1530"/>
    <n v="20829"/>
    <s v="61063328"/>
    <s v="61063328"/>
    <m/>
    <m/>
    <n v="22777778"/>
    <m/>
    <m/>
    <m/>
    <s v="SOLFIN"/>
    <s v="SOLFIN"/>
    <s v="CCMS"/>
    <n v="21349708"/>
    <n v="14156.17"/>
    <m/>
    <s v="N"/>
    <n v="19"/>
    <d v="2023-07-10T19:01:56"/>
    <s v="Y"/>
    <s v="Preparation - other"/>
    <s v="Care Remuneration Hourly Rates"/>
    <s v="Profit Cost"/>
    <s v="HW"/>
    <s v="Y"/>
    <n v="44.16"/>
    <n v="8.83"/>
    <x v="2"/>
    <s v="VALIDATED"/>
    <n v="1"/>
    <s v="01.11.80.308.6100.0000"/>
    <n v="44.16"/>
    <s v="11"/>
    <s v="6100"/>
    <n v="26754.22"/>
    <n v="44.16"/>
    <s v="CREDITOR"/>
    <n v="0"/>
    <n v="0"/>
    <n v="0"/>
    <n v="0"/>
    <n v="44.16"/>
  </r>
  <r>
    <n v="60658700"/>
    <s v="N"/>
    <n v="21349958"/>
    <s v="3000014912410007"/>
    <s v="CIVIL"/>
    <d v="2023-06-29T00:00:00"/>
    <d v="2023-07-10T19:01:40"/>
    <m/>
    <d v="2023-07-10T00:00:00"/>
    <n v="1530"/>
    <n v="20829"/>
    <s v="60658700"/>
    <s v="60658700"/>
    <m/>
    <m/>
    <n v="22793116"/>
    <m/>
    <m/>
    <m/>
    <s v="SOLFIN"/>
    <s v="SOLFIN"/>
    <s v="CCMS"/>
    <n v="21349958"/>
    <n v="15751.18"/>
    <m/>
    <s v="N"/>
    <n v="145"/>
    <d v="2023-07-10T19:02:04"/>
    <s v="Y"/>
    <s v="Interpreter"/>
    <s v="Care Remuneration Hourly Rates"/>
    <s v="Expert Disbursement"/>
    <s v="XXX"/>
    <s v="Y"/>
    <n v="16.55"/>
    <n v="3.31"/>
    <x v="2"/>
    <s v="VALIDATED"/>
    <n v="1"/>
    <s v="01.11.80.308.6300.0000"/>
    <n v="16.55"/>
    <s v="11"/>
    <s v="6300"/>
    <n v="26754.22"/>
    <n v="16.55"/>
    <s v="CREDITOR"/>
    <n v="0"/>
    <n v="0"/>
    <n v="0"/>
    <n v="0"/>
    <n v="16.55"/>
  </r>
  <r>
    <n v="60658700"/>
    <s v="N"/>
    <n v="21349958"/>
    <s v="3000014912410007"/>
    <s v="CIVIL"/>
    <d v="2023-06-29T00:00:00"/>
    <d v="2023-07-10T19:01:40"/>
    <m/>
    <d v="2023-07-10T00:00:00"/>
    <n v="1530"/>
    <n v="20829"/>
    <s v="60658700"/>
    <s v="60658700"/>
    <m/>
    <m/>
    <n v="22793116"/>
    <m/>
    <m/>
    <m/>
    <s v="SOLFIN"/>
    <s v="SOLFIN"/>
    <s v="CCMS"/>
    <n v="21349958"/>
    <n v="15751.18"/>
    <m/>
    <s v="N"/>
    <n v="146"/>
    <d v="2023-07-10T19:02:04"/>
    <s v="Y"/>
    <s v="Hearing Unit 2.31 - 5.00 Hours"/>
    <s v="Public Law Children"/>
    <s v="Advocacy"/>
    <s v="HW"/>
    <s v="Y"/>
    <n v="476.92"/>
    <n v="95.39"/>
    <x v="2"/>
    <s v="VALIDATED"/>
    <n v="1"/>
    <s v="01.11.80.308.6100.0000"/>
    <n v="476.92"/>
    <s v="11"/>
    <s v="6100"/>
    <n v="26754.22"/>
    <n v="476.92"/>
    <s v="CREDITOR"/>
    <n v="0"/>
    <n v="0"/>
    <n v="0"/>
    <n v="0"/>
    <n v="476.92"/>
  </r>
  <r>
    <n v="60658700"/>
    <s v="N"/>
    <n v="21349958"/>
    <s v="3000014912410007"/>
    <s v="CIVIL"/>
    <d v="2023-06-29T00:00:00"/>
    <d v="2023-07-10T19:01:40"/>
    <m/>
    <d v="2023-07-10T00:00:00"/>
    <n v="1530"/>
    <n v="20829"/>
    <s v="60658700"/>
    <s v="60658700"/>
    <m/>
    <m/>
    <n v="22793116"/>
    <m/>
    <m/>
    <m/>
    <s v="SOLFIN"/>
    <s v="SOLFIN"/>
    <s v="CCMS"/>
    <n v="21349958"/>
    <n v="15751.18"/>
    <m/>
    <s v="N"/>
    <n v="57"/>
    <d v="2023-07-10T19:02:04"/>
    <s v="Y"/>
    <s v="Preparation - drafting notice(s)"/>
    <s v="Care Remuneration Hourly Rates"/>
    <s v="Profit Cost"/>
    <s v="OTH"/>
    <s v="Y"/>
    <n v="5.26"/>
    <n v="1.05"/>
    <x v="2"/>
    <s v="VALIDATED"/>
    <n v="1"/>
    <s v="01.11.80.308.6100.0000"/>
    <n v="5.26"/>
    <s v="11"/>
    <s v="6100"/>
    <n v="26754.22"/>
    <n v="5.26"/>
    <s v="CREDITOR"/>
    <n v="0"/>
    <n v="0"/>
    <n v="0"/>
    <n v="0"/>
    <n v="5.26"/>
  </r>
  <r>
    <n v="60658700"/>
    <s v="N"/>
    <n v="21349958"/>
    <s v="3000014912410007"/>
    <s v="CIVIL"/>
    <d v="2023-06-29T00:00:00"/>
    <d v="2023-07-10T19:01:40"/>
    <m/>
    <d v="2023-07-10T00:00:00"/>
    <n v="1530"/>
    <n v="20829"/>
    <s v="60658700"/>
    <s v="60658700"/>
    <m/>
    <m/>
    <n v="22793116"/>
    <m/>
    <m/>
    <m/>
    <s v="SOLFIN"/>
    <s v="SOLFIN"/>
    <s v="CCMS"/>
    <n v="21349958"/>
    <n v="15751.18"/>
    <m/>
    <s v="N"/>
    <n v="45"/>
    <d v="2023-07-10T19:02:04"/>
    <s v="Y"/>
    <s v="Preparation - other"/>
    <s v="Care Remuneration Hourly Rates"/>
    <s v="Profit Cost"/>
    <s v="HW"/>
    <s v="Y"/>
    <n v="152.45"/>
    <n v="30.49"/>
    <x v="2"/>
    <s v="VALIDATED"/>
    <n v="1"/>
    <s v="01.11.80.308.6100.0000"/>
    <n v="152.45"/>
    <s v="11"/>
    <s v="6100"/>
    <n v="26754.22"/>
    <n v="152.45"/>
    <s v="CREDITOR"/>
    <n v="0"/>
    <n v="0"/>
    <n v="0"/>
    <n v="0"/>
    <n v="152.45"/>
  </r>
  <r>
    <n v="60658700"/>
    <s v="N"/>
    <n v="21349958"/>
    <s v="3000014912410007"/>
    <s v="CIVIL"/>
    <d v="2023-06-29T00:00:00"/>
    <d v="2023-07-10T19:01:40"/>
    <m/>
    <d v="2023-07-10T00:00:00"/>
    <n v="1530"/>
    <n v="20829"/>
    <s v="60658700"/>
    <s v="60658700"/>
    <m/>
    <m/>
    <n v="22793116"/>
    <m/>
    <m/>
    <m/>
    <s v="SOLFIN"/>
    <s v="SOLFIN"/>
    <s v="CCMS"/>
    <n v="21349958"/>
    <n v="15751.18"/>
    <m/>
    <s v="N"/>
    <n v="61"/>
    <d v="2023-07-10T19:02:04"/>
    <s v="Y"/>
    <s v="Preparation - Periodic file review"/>
    <s v="Care Remuneration Hourly Rates"/>
    <s v="Profit Cost"/>
    <s v="HW"/>
    <s v="Y"/>
    <n v="38.12"/>
    <n v="7.62"/>
    <x v="2"/>
    <s v="VALIDATED"/>
    <n v="1"/>
    <s v="01.11.80.308.6100.0000"/>
    <n v="38.12"/>
    <s v="11"/>
    <s v="6100"/>
    <n v="26754.22"/>
    <n v="38.12"/>
    <s v="CREDITOR"/>
    <n v="0"/>
    <n v="0"/>
    <n v="0"/>
    <n v="0"/>
    <n v="38.12"/>
  </r>
  <r>
    <n v="61063328"/>
    <s v="N"/>
    <n v="21349708"/>
    <s v="3000015261150004"/>
    <s v="CIVIL"/>
    <d v="2023-06-28T00:00:00"/>
    <d v="2023-07-10T19:01:40"/>
    <m/>
    <d v="2023-07-10T00:00:00"/>
    <n v="1530"/>
    <n v="20829"/>
    <s v="61063328"/>
    <s v="61063328"/>
    <m/>
    <m/>
    <n v="22777778"/>
    <m/>
    <m/>
    <m/>
    <s v="SOLFIN"/>
    <s v="SOLFIN"/>
    <s v="CCMS"/>
    <n v="21349708"/>
    <n v="14156.17"/>
    <m/>
    <s v="N"/>
    <n v="14"/>
    <d v="2023-07-10T19:01:56"/>
    <s v="Y"/>
    <s v="Preparation - drafting application"/>
    <s v="Care Remuneration Hourly Rates"/>
    <s v="Profit Cost"/>
    <s v="HW"/>
    <s v="Y"/>
    <n v="66.23"/>
    <n v="13.25"/>
    <x v="2"/>
    <s v="VALIDATED"/>
    <n v="1"/>
    <s v="01.11.80.308.6100.0000"/>
    <n v="66.23"/>
    <s v="11"/>
    <s v="6100"/>
    <n v="26754.22"/>
    <n v="66.23"/>
    <s v="CREDITOR"/>
    <n v="0"/>
    <n v="0"/>
    <n v="0"/>
    <n v="0"/>
    <n v="66.23"/>
  </r>
  <r>
    <n v="61063328"/>
    <s v="N"/>
    <n v="21349708"/>
    <s v="3000015261150004"/>
    <s v="CIVIL"/>
    <d v="2023-06-28T00:00:00"/>
    <d v="2023-07-10T19:01:40"/>
    <m/>
    <d v="2023-07-10T00:00:00"/>
    <n v="1530"/>
    <n v="20829"/>
    <s v="61063328"/>
    <s v="61063328"/>
    <m/>
    <m/>
    <n v="22777778"/>
    <m/>
    <m/>
    <m/>
    <s v="SOLFIN"/>
    <s v="SOLFIN"/>
    <s v="CCMS"/>
    <n v="21349708"/>
    <n v="14156.17"/>
    <m/>
    <s v="N"/>
    <n v="26"/>
    <d v="2023-07-10T19:01:56"/>
    <s v="Y"/>
    <s v="Preparation - drafting consent orde"/>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85"/>
    <d v="2023-07-10T19:01:56"/>
    <s v="Y"/>
    <s v="Preparation - drafting attendance n"/>
    <s v="Care Remuneration Hourly Rates"/>
    <s v="Profit Cost"/>
    <s v="HW"/>
    <s v="Y"/>
    <n v="7.36"/>
    <n v="1.47"/>
    <x v="2"/>
    <s v="VALIDATED"/>
    <n v="1"/>
    <s v="01.11.80.308.6100.0000"/>
    <n v="7.36"/>
    <s v="11"/>
    <s v="6100"/>
    <n v="26754.22"/>
    <n v="7.36"/>
    <s v="CREDITOR"/>
    <n v="0"/>
    <n v="0"/>
    <n v="0"/>
    <n v="0"/>
    <n v="7.36"/>
  </r>
  <r>
    <n v="60658700"/>
    <s v="N"/>
    <n v="21349958"/>
    <s v="3000014912410007"/>
    <s v="CIVIL"/>
    <d v="2023-06-29T00:00:00"/>
    <d v="2023-07-10T19:01:40"/>
    <m/>
    <d v="2023-07-10T00:00:00"/>
    <n v="1530"/>
    <n v="20829"/>
    <s v="60658700"/>
    <s v="60658700"/>
    <m/>
    <m/>
    <n v="22793116"/>
    <m/>
    <m/>
    <m/>
    <s v="SOLFIN"/>
    <s v="SOLFIN"/>
    <s v="CCMS"/>
    <n v="21349958"/>
    <n v="15751.18"/>
    <m/>
    <s v="N"/>
    <n v="92"/>
    <d v="2023-07-10T19:02:04"/>
    <s v="Y"/>
    <s v="Preparation - drafting statement"/>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117"/>
    <d v="2023-07-10T19:02:04"/>
    <s v="Y"/>
    <s v="Preparation - drafting statement"/>
    <s v="Care Remuneration Hourly Rates"/>
    <s v="Profit Cost"/>
    <s v="HW"/>
    <s v="Y"/>
    <n v="25.78"/>
    <n v="5.16"/>
    <x v="2"/>
    <s v="VALIDATED"/>
    <n v="1"/>
    <s v="01.11.80.308.6100.0000"/>
    <n v="25.78"/>
    <s v="11"/>
    <s v="6100"/>
    <n v="26754.22"/>
    <n v="25.78"/>
    <s v="CREDITOR"/>
    <n v="0"/>
    <n v="0"/>
    <n v="0"/>
    <n v="0"/>
    <n v="25.78"/>
  </r>
  <r>
    <n v="60658700"/>
    <s v="N"/>
    <n v="21349958"/>
    <s v="3000014912410007"/>
    <s v="CIVIL"/>
    <d v="2023-06-29T00:00:00"/>
    <d v="2023-07-10T19:01:40"/>
    <m/>
    <d v="2023-07-10T00:00:00"/>
    <n v="1530"/>
    <n v="20829"/>
    <s v="60658700"/>
    <s v="60658700"/>
    <m/>
    <m/>
    <n v="22793116"/>
    <m/>
    <m/>
    <m/>
    <s v="SOLFIN"/>
    <s v="SOLFIN"/>
    <s v="CCMS"/>
    <n v="21349958"/>
    <n v="15751.18"/>
    <m/>
    <s v="N"/>
    <n v="136"/>
    <d v="2023-07-10T19:02:04"/>
    <s v="Y"/>
    <s v="Routine Letter In"/>
    <s v="Care Remuneration Hourly Rates"/>
    <s v="Profit Cost"/>
    <s v="HW"/>
    <s v="Y"/>
    <n v="199.81"/>
    <n v="39.96"/>
    <x v="2"/>
    <s v="VALIDATED"/>
    <n v="1"/>
    <s v="01.11.80.308.6100.0000"/>
    <n v="199.81"/>
    <s v="11"/>
    <s v="6100"/>
    <n v="26754.22"/>
    <n v="199.81"/>
    <s v="CREDITOR"/>
    <n v="0"/>
    <n v="0"/>
    <n v="0"/>
    <n v="0"/>
    <n v="199.81"/>
  </r>
  <r>
    <n v="60658700"/>
    <s v="N"/>
    <n v="21349958"/>
    <s v="3000014912410007"/>
    <s v="CIVIL"/>
    <d v="2023-06-29T00:00:00"/>
    <d v="2023-07-10T19:01:40"/>
    <m/>
    <d v="2023-07-10T00:00:00"/>
    <n v="1530"/>
    <n v="20829"/>
    <s v="60658700"/>
    <s v="60658700"/>
    <m/>
    <m/>
    <n v="22793116"/>
    <m/>
    <m/>
    <m/>
    <s v="SOLFIN"/>
    <s v="SOLFIN"/>
    <s v="CCMS"/>
    <n v="21349958"/>
    <n v="15751.18"/>
    <m/>
    <s v="N"/>
    <n v="137"/>
    <d v="2023-07-10T19:02:04"/>
    <s v="Y"/>
    <s v="Routine Letter In"/>
    <s v="Care Remuneration Hourly Rates"/>
    <s v="Profit Cost"/>
    <s v="HW"/>
    <s v="Y"/>
    <n v="1172.25"/>
    <n v="234.4"/>
    <x v="2"/>
    <s v="VALIDATED"/>
    <n v="1"/>
    <s v="01.11.80.308.6100.0000"/>
    <n v="1172.25"/>
    <s v="11"/>
    <s v="6100"/>
    <n v="26754.22"/>
    <n v="1172.25"/>
    <s v="CREDITOR"/>
    <n v="0"/>
    <n v="0"/>
    <n v="0"/>
    <n v="0"/>
    <n v="1172.25"/>
  </r>
  <r>
    <n v="60658700"/>
    <s v="N"/>
    <n v="21349958"/>
    <s v="3000014912410007"/>
    <s v="CIVIL"/>
    <d v="2023-06-29T00:00:00"/>
    <d v="2023-07-10T19:01:40"/>
    <m/>
    <d v="2023-07-10T00:00:00"/>
    <n v="1530"/>
    <n v="20829"/>
    <s v="60658700"/>
    <s v="60658700"/>
    <m/>
    <m/>
    <n v="22793116"/>
    <m/>
    <m/>
    <m/>
    <s v="SOLFIN"/>
    <s v="SOLFIN"/>
    <s v="CCMS"/>
    <n v="21349958"/>
    <n v="15751.18"/>
    <m/>
    <s v="N"/>
    <n v="43"/>
    <d v="2023-07-10T19:02:04"/>
    <s v="Y"/>
    <s v="Preparation - drafting attendance n"/>
    <s v="Care Remuneration Hourly Rates"/>
    <s v="Profit Cost"/>
    <s v="HW"/>
    <s v="Y"/>
    <n v="22.87"/>
    <n v="4.57"/>
    <x v="2"/>
    <s v="VALIDATED"/>
    <n v="1"/>
    <s v="01.11.80.308.6100.0000"/>
    <n v="22.87"/>
    <s v="11"/>
    <s v="6100"/>
    <n v="26754.22"/>
    <n v="22.87"/>
    <s v="CREDITOR"/>
    <n v="0"/>
    <n v="0"/>
    <n v="0"/>
    <n v="0"/>
    <n v="22.87"/>
  </r>
  <r>
    <n v="61063328"/>
    <s v="N"/>
    <n v="21349708"/>
    <s v="3000015261150004"/>
    <s v="CIVIL"/>
    <d v="2023-06-28T00:00:00"/>
    <d v="2023-07-10T19:01:40"/>
    <m/>
    <d v="2023-07-10T00:00:00"/>
    <n v="1530"/>
    <n v="20829"/>
    <s v="61063328"/>
    <s v="61063328"/>
    <m/>
    <m/>
    <n v="22777778"/>
    <m/>
    <m/>
    <m/>
    <s v="SOLFIN"/>
    <s v="SOLFIN"/>
    <s v="CCMS"/>
    <n v="21349708"/>
    <n v="14156.17"/>
    <m/>
    <s v="N"/>
    <n v="11"/>
    <d v="2023-07-10T19:01:56"/>
    <s v="Y"/>
    <s v="Preparation - other"/>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33"/>
    <d v="2023-07-10T19:01:56"/>
    <s v="Y"/>
    <s v="Preparation - other"/>
    <s v="Care Remuneration Hourly Rates"/>
    <s v="Profit Cost"/>
    <s v="HW"/>
    <s v="Y"/>
    <n v="44.16"/>
    <n v="8.83"/>
    <x v="2"/>
    <s v="VALIDATED"/>
    <n v="1"/>
    <s v="01.11.80.308.6100.0000"/>
    <n v="44.16"/>
    <s v="11"/>
    <s v="6100"/>
    <n v="26754.22"/>
    <n v="44.16"/>
    <s v="CREDITOR"/>
    <n v="0"/>
    <n v="0"/>
    <n v="0"/>
    <n v="0"/>
    <n v="44.16"/>
  </r>
  <r>
    <n v="61063328"/>
    <s v="N"/>
    <n v="21349708"/>
    <s v="3000015261150004"/>
    <s v="CIVIL"/>
    <d v="2023-06-28T00:00:00"/>
    <d v="2023-07-10T19:01:40"/>
    <m/>
    <d v="2023-07-10T00:00:00"/>
    <n v="1530"/>
    <n v="20829"/>
    <s v="61063328"/>
    <s v="61063328"/>
    <m/>
    <m/>
    <n v="22777778"/>
    <m/>
    <m/>
    <m/>
    <s v="SOLFIN"/>
    <s v="SOLFIN"/>
    <s v="CCMS"/>
    <n v="21349708"/>
    <n v="14156.17"/>
    <m/>
    <s v="N"/>
    <n v="48"/>
    <d v="2023-07-10T19:01:56"/>
    <s v="Y"/>
    <s v="Preparation - drafting statement"/>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3"/>
    <d v="2023-07-10T19:01:56"/>
    <s v="Y"/>
    <s v="Preparation - other"/>
    <s v="Care Remuneration Hourly Rates"/>
    <s v="Profit Cost"/>
    <s v="HW"/>
    <s v="Y"/>
    <n v="36.81"/>
    <n v="7.36"/>
    <x v="2"/>
    <s v="VALIDATED"/>
    <n v="1"/>
    <s v="01.11.80.308.6100.0000"/>
    <n v="36.81"/>
    <s v="11"/>
    <s v="6100"/>
    <n v="26754.22"/>
    <n v="36.81"/>
    <s v="CREDITOR"/>
    <n v="0"/>
    <n v="0"/>
    <n v="0"/>
    <n v="0"/>
    <n v="36.81"/>
  </r>
  <r>
    <n v="61063328"/>
    <s v="N"/>
    <n v="21349708"/>
    <s v="3000015261150004"/>
    <s v="CIVIL"/>
    <d v="2023-06-28T00:00:00"/>
    <d v="2023-07-10T19:01:40"/>
    <m/>
    <d v="2023-07-10T00:00:00"/>
    <n v="1530"/>
    <n v="20829"/>
    <s v="61063328"/>
    <s v="61063328"/>
    <m/>
    <m/>
    <n v="22777778"/>
    <m/>
    <m/>
    <m/>
    <s v="SOLFIN"/>
    <s v="SOLFIN"/>
    <s v="CCMS"/>
    <n v="21349708"/>
    <n v="14156.17"/>
    <m/>
    <s v="N"/>
    <n v="52"/>
    <d v="2023-07-10T19:01:56"/>
    <s v="Y"/>
    <s v="Preparation - drafting notice(s)"/>
    <s v="Care Remuneration Hourly Rates"/>
    <s v="Profit Cost"/>
    <s v="OTH"/>
    <s v="Y"/>
    <n v="5.26"/>
    <n v="1.05"/>
    <x v="2"/>
    <s v="VALIDATED"/>
    <n v="1"/>
    <s v="01.11.80.308.6100.0000"/>
    <n v="5.26"/>
    <s v="11"/>
    <s v="6100"/>
    <n v="26754.22"/>
    <n v="5.26"/>
    <s v="CREDITOR"/>
    <n v="0"/>
    <n v="0"/>
    <n v="0"/>
    <n v="0"/>
    <n v="5.26"/>
  </r>
  <r>
    <n v="60658700"/>
    <s v="N"/>
    <n v="21349958"/>
    <s v="3000014912410007"/>
    <s v="CIVIL"/>
    <d v="2023-06-29T00:00:00"/>
    <d v="2023-07-10T19:01:40"/>
    <m/>
    <d v="2023-07-10T00:00:00"/>
    <n v="1530"/>
    <n v="20829"/>
    <s v="60658700"/>
    <s v="60658700"/>
    <m/>
    <m/>
    <n v="22793116"/>
    <m/>
    <m/>
    <m/>
    <s v="SOLFIN"/>
    <s v="SOLFIN"/>
    <s v="CCMS"/>
    <n v="21349958"/>
    <n v="15751.18"/>
    <m/>
    <s v="N"/>
    <n v="69"/>
    <d v="2023-07-10T19:02:04"/>
    <s v="Y"/>
    <s v="Preparation - other"/>
    <s v="Care Remuneration Hourly Rates"/>
    <s v="Profit Cost"/>
    <s v="HW"/>
    <s v="Y"/>
    <n v="38.12"/>
    <n v="7.62"/>
    <x v="2"/>
    <s v="VALIDATED"/>
    <n v="1"/>
    <s v="01.11.80.308.6100.0000"/>
    <n v="38.12"/>
    <s v="11"/>
    <s v="6100"/>
    <n v="26754.22"/>
    <n v="38.12"/>
    <s v="CREDITOR"/>
    <n v="0"/>
    <n v="0"/>
    <n v="0"/>
    <n v="0"/>
    <n v="38.12"/>
  </r>
  <r>
    <n v="60658700"/>
    <s v="N"/>
    <n v="21349958"/>
    <s v="3000014912410007"/>
    <s v="CIVIL"/>
    <d v="2023-06-29T00:00:00"/>
    <d v="2023-07-10T19:01:40"/>
    <m/>
    <d v="2023-07-10T00:00:00"/>
    <n v="1530"/>
    <n v="20829"/>
    <s v="60658700"/>
    <s v="60658700"/>
    <m/>
    <m/>
    <n v="22793116"/>
    <m/>
    <m/>
    <m/>
    <s v="SOLFIN"/>
    <s v="SOLFIN"/>
    <s v="CCMS"/>
    <n v="21349958"/>
    <n v="15751.18"/>
    <m/>
    <s v="N"/>
    <n v="115"/>
    <d v="2023-07-10T19:02:04"/>
    <s v="Y"/>
    <s v="Preparation - drafting application"/>
    <s v="Care Remuneration Hourly Rates"/>
    <s v="Profit Cost"/>
    <s v="HW"/>
    <s v="Y"/>
    <n v="34.37"/>
    <n v="6.87"/>
    <x v="2"/>
    <s v="VALIDATED"/>
    <n v="1"/>
    <s v="01.11.80.308.6100.0000"/>
    <n v="34.37"/>
    <s v="11"/>
    <s v="6100"/>
    <n v="26754.22"/>
    <n v="34.37"/>
    <s v="CREDITOR"/>
    <n v="0"/>
    <n v="0"/>
    <n v="0"/>
    <n v="0"/>
    <n v="34.37"/>
  </r>
  <r>
    <n v="61063328"/>
    <s v="N"/>
    <n v="21349708"/>
    <s v="3000015261150004"/>
    <s v="CIVIL"/>
    <d v="2023-06-28T00:00:00"/>
    <d v="2023-07-10T19:01:40"/>
    <m/>
    <d v="2023-07-10T00:00:00"/>
    <n v="1530"/>
    <n v="20829"/>
    <s v="61063328"/>
    <s v="61063328"/>
    <m/>
    <m/>
    <n v="22777778"/>
    <m/>
    <m/>
    <m/>
    <s v="SOLFIN"/>
    <s v="SOLFIN"/>
    <s v="CCMS"/>
    <n v="21349708"/>
    <n v="14156.17"/>
    <m/>
    <s v="N"/>
    <n v="4"/>
    <d v="2023-07-10T19:01:56"/>
    <s v="Y"/>
    <s v="Preparation - drafting instructions"/>
    <s v="Care Remuneration Hourly Rates"/>
    <s v="Profit Cost"/>
    <s v="HW"/>
    <s v="Y"/>
    <n v="29.44"/>
    <n v="5.89"/>
    <x v="2"/>
    <s v="VALIDATED"/>
    <n v="1"/>
    <s v="01.11.80.308.6100.0000"/>
    <n v="29.44"/>
    <s v="11"/>
    <s v="6100"/>
    <n v="26754.22"/>
    <n v="29.44"/>
    <s v="CREDITOR"/>
    <n v="0"/>
    <n v="0"/>
    <n v="0"/>
    <n v="0"/>
    <n v="29.44"/>
  </r>
  <r>
    <n v="61063328"/>
    <s v="N"/>
    <n v="21349708"/>
    <s v="3000015261150004"/>
    <s v="CIVIL"/>
    <d v="2023-06-28T00:00:00"/>
    <d v="2023-07-10T19:01:40"/>
    <m/>
    <d v="2023-07-10T00:00:00"/>
    <n v="1530"/>
    <n v="20829"/>
    <s v="61063328"/>
    <s v="61063328"/>
    <m/>
    <m/>
    <n v="22777778"/>
    <m/>
    <m/>
    <m/>
    <s v="SOLFIN"/>
    <s v="SOLFIN"/>
    <s v="CCMS"/>
    <n v="21349708"/>
    <n v="14156.17"/>
    <m/>
    <s v="N"/>
    <n v="118"/>
    <d v="2023-07-10T19:01:56"/>
    <s v="Y"/>
    <s v="Interim Hearing Court Bundle/Advoca"/>
    <s v="Public Law Children"/>
    <s v="Advocacy"/>
    <s v="HW"/>
    <s v="Y"/>
    <n v="59.4"/>
    <n v="11.88"/>
    <x v="2"/>
    <s v="VALIDATED"/>
    <n v="1"/>
    <s v="01.11.80.308.6100.0000"/>
    <n v="59.4"/>
    <s v="11"/>
    <s v="6100"/>
    <n v="26754.22"/>
    <n v="59.4"/>
    <s v="CREDITOR"/>
    <n v="0"/>
    <n v="0"/>
    <n v="0"/>
    <n v="0"/>
    <n v="59.4"/>
  </r>
  <r>
    <n v="61063328"/>
    <s v="N"/>
    <n v="21349708"/>
    <s v="3000015261150004"/>
    <s v="CIVIL"/>
    <d v="2023-06-28T00:00:00"/>
    <d v="2023-07-10T19:01:40"/>
    <m/>
    <d v="2023-07-10T00:00:00"/>
    <n v="1530"/>
    <n v="20829"/>
    <s v="61063328"/>
    <s v="61063328"/>
    <m/>
    <m/>
    <n v="22777778"/>
    <m/>
    <m/>
    <m/>
    <s v="SOLFIN"/>
    <s v="SOLFIN"/>
    <s v="CCMS"/>
    <n v="21349708"/>
    <n v="14156.17"/>
    <m/>
    <s v="N"/>
    <n v="42"/>
    <d v="2023-07-10T19:01:56"/>
    <s v="Y"/>
    <s v="Preparation - other"/>
    <s v="Care Remuneration Hourly Rates"/>
    <s v="Profit Cost"/>
    <s v="HW"/>
    <s v="Y"/>
    <n v="29.44"/>
    <n v="5.89"/>
    <x v="2"/>
    <s v="VALIDATED"/>
    <n v="1"/>
    <s v="01.11.80.308.6100.0000"/>
    <n v="29.44"/>
    <s v="11"/>
    <s v="6100"/>
    <n v="26754.22"/>
    <n v="29.44"/>
    <s v="CREDITOR"/>
    <n v="0"/>
    <n v="0"/>
    <n v="0"/>
    <n v="0"/>
    <n v="29.44"/>
  </r>
  <r>
    <n v="60658700"/>
    <s v="N"/>
    <n v="21349958"/>
    <s v="3000014912410007"/>
    <s v="CIVIL"/>
    <d v="2023-06-29T00:00:00"/>
    <d v="2023-07-10T19:01:40"/>
    <m/>
    <d v="2023-07-10T00:00:00"/>
    <n v="1530"/>
    <n v="20829"/>
    <s v="60658700"/>
    <s v="60658700"/>
    <m/>
    <m/>
    <n v="22793116"/>
    <m/>
    <m/>
    <m/>
    <s v="SOLFIN"/>
    <s v="SOLFIN"/>
    <s v="CCMS"/>
    <n v="21349958"/>
    <n v="15751.18"/>
    <m/>
    <s v="N"/>
    <n v="26"/>
    <d v="2023-07-10T19:02:04"/>
    <s v="Y"/>
    <s v="Preparation - other"/>
    <s v="Care Remuneration Hourly Rates"/>
    <s v="Profit Cost"/>
    <s v="HW"/>
    <s v="Y"/>
    <n v="15.24"/>
    <n v="3.05"/>
    <x v="2"/>
    <s v="VALIDATED"/>
    <n v="1"/>
    <s v="01.11.80.308.6100.0000"/>
    <n v="15.24"/>
    <s v="11"/>
    <s v="6100"/>
    <n v="26754.22"/>
    <n v="15.24"/>
    <s v="CREDITOR"/>
    <n v="0"/>
    <n v="0"/>
    <n v="0"/>
    <n v="0"/>
    <n v="15.24"/>
  </r>
  <r>
    <n v="61063328"/>
    <s v="N"/>
    <n v="21349708"/>
    <s v="3000015261150004"/>
    <s v="CIVIL"/>
    <d v="2023-06-28T00:00:00"/>
    <d v="2023-07-10T19:01:40"/>
    <m/>
    <d v="2023-07-10T00:00:00"/>
    <n v="1530"/>
    <n v="20829"/>
    <s v="61063328"/>
    <s v="61063328"/>
    <m/>
    <m/>
    <n v="22777778"/>
    <m/>
    <m/>
    <m/>
    <s v="SOLFIN"/>
    <s v="SOLFIN"/>
    <s v="CCMS"/>
    <n v="21349708"/>
    <n v="14156.17"/>
    <m/>
    <s v="N"/>
    <n v="114"/>
    <d v="2023-07-10T19:01:56"/>
    <s v="Y"/>
    <s v="Advocates Meeting"/>
    <s v="Public Law Children"/>
    <s v="Advocacy"/>
    <s v="HW"/>
    <s v="Y"/>
    <n v="140.99"/>
    <n v="28.2"/>
    <x v="2"/>
    <s v="VALIDATED"/>
    <n v="1"/>
    <s v="01.11.80.308.6100.0000"/>
    <n v="140.99"/>
    <s v="11"/>
    <s v="6100"/>
    <n v="26754.22"/>
    <n v="140.99"/>
    <s v="CREDITOR"/>
    <n v="0"/>
    <n v="0"/>
    <n v="0"/>
    <n v="0"/>
    <n v="140.99"/>
  </r>
  <r>
    <n v="61063328"/>
    <s v="N"/>
    <n v="21349708"/>
    <s v="3000015261150004"/>
    <s v="CIVIL"/>
    <d v="2023-06-28T00:00:00"/>
    <d v="2023-07-10T19:01:40"/>
    <m/>
    <d v="2023-07-10T00:00:00"/>
    <n v="1530"/>
    <n v="20829"/>
    <s v="61063328"/>
    <s v="61063328"/>
    <m/>
    <m/>
    <n v="22777778"/>
    <m/>
    <m/>
    <m/>
    <s v="SOLFIN"/>
    <s v="SOLFIN"/>
    <s v="CCMS"/>
    <n v="21349708"/>
    <n v="14156.17"/>
    <m/>
    <s v="N"/>
    <n v="12"/>
    <d v="2023-07-10T19:01:56"/>
    <s v="Y"/>
    <s v="Preparation - drafting notice(s)"/>
    <s v="Care Remuneration Hourly Rates"/>
    <s v="Profit Cost"/>
    <s v="OTH"/>
    <s v="Y"/>
    <n v="10.51"/>
    <n v="2.1"/>
    <x v="2"/>
    <s v="VALIDATED"/>
    <n v="1"/>
    <s v="01.11.80.308.6100.0000"/>
    <n v="10.51"/>
    <s v="11"/>
    <s v="6100"/>
    <n v="26754.22"/>
    <n v="10.51"/>
    <s v="CREDITOR"/>
    <n v="0"/>
    <n v="0"/>
    <n v="0"/>
    <n v="0"/>
    <n v="10.51"/>
  </r>
  <r>
    <n v="61063328"/>
    <s v="N"/>
    <n v="21349708"/>
    <s v="3000015261150004"/>
    <s v="CIVIL"/>
    <d v="2023-06-28T00:00:00"/>
    <d v="2023-07-10T19:01:40"/>
    <m/>
    <d v="2023-07-10T00:00:00"/>
    <n v="1530"/>
    <n v="20829"/>
    <s v="61063328"/>
    <s v="61063328"/>
    <m/>
    <m/>
    <n v="22777778"/>
    <m/>
    <m/>
    <m/>
    <s v="SOLFIN"/>
    <s v="SOLFIN"/>
    <s v="CCMS"/>
    <n v="21349708"/>
    <n v="14156.17"/>
    <m/>
    <s v="N"/>
    <n v="83"/>
    <d v="2023-07-10T19:01:56"/>
    <s v="Y"/>
    <s v="Preparation - drafting statement"/>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24"/>
    <d v="2023-07-10T19:01:56"/>
    <s v="Y"/>
    <s v="Preparation - drafting statement"/>
    <s v="Care Remuneration Hourly Rates"/>
    <s v="Profit Cost"/>
    <s v="HW"/>
    <s v="Y"/>
    <n v="22.08"/>
    <n v="4.42"/>
    <x v="2"/>
    <s v="VALIDATED"/>
    <n v="1"/>
    <s v="01.11.80.308.6100.0000"/>
    <n v="22.08"/>
    <s v="11"/>
    <s v="6100"/>
    <n v="26754.22"/>
    <n v="22.08"/>
    <s v="CREDITOR"/>
    <n v="0"/>
    <n v="0"/>
    <n v="0"/>
    <n v="0"/>
    <n v="22.08"/>
  </r>
  <r>
    <n v="60658700"/>
    <s v="N"/>
    <n v="21349958"/>
    <s v="3000014912410007"/>
    <s v="CIVIL"/>
    <d v="2023-06-29T00:00:00"/>
    <d v="2023-07-10T19:01:40"/>
    <m/>
    <d v="2023-07-10T00:00:00"/>
    <n v="1530"/>
    <n v="20829"/>
    <s v="60658700"/>
    <s v="60658700"/>
    <m/>
    <m/>
    <n v="22793116"/>
    <m/>
    <m/>
    <m/>
    <s v="SOLFIN"/>
    <s v="SOLFIN"/>
    <s v="CCMS"/>
    <n v="21349958"/>
    <n v="15751.18"/>
    <m/>
    <s v="N"/>
    <n v="148"/>
    <d v="2023-07-10T19:02:04"/>
    <s v="Y"/>
    <s v="Hearing Unit 2.31 - 5.00 Hours"/>
    <s v="Public Law Children"/>
    <s v="Advocacy"/>
    <s v="HW"/>
    <s v="Y"/>
    <n v="476.92"/>
    <n v="95.39"/>
    <x v="2"/>
    <s v="VALIDATED"/>
    <n v="1"/>
    <s v="01.11.80.308.6100.0000"/>
    <n v="476.92"/>
    <s v="11"/>
    <s v="6100"/>
    <n v="26754.22"/>
    <n v="476.92"/>
    <s v="CREDITOR"/>
    <n v="0"/>
    <n v="0"/>
    <n v="0"/>
    <n v="0"/>
    <n v="476.92"/>
  </r>
  <r>
    <n v="60658700"/>
    <s v="N"/>
    <n v="21349958"/>
    <s v="3000014912410007"/>
    <s v="CIVIL"/>
    <d v="2023-06-29T00:00:00"/>
    <d v="2023-07-10T19:01:40"/>
    <m/>
    <d v="2023-07-10T00:00:00"/>
    <n v="1530"/>
    <n v="20829"/>
    <s v="60658700"/>
    <s v="60658700"/>
    <m/>
    <m/>
    <n v="22793116"/>
    <m/>
    <m/>
    <m/>
    <s v="SOLFIN"/>
    <s v="SOLFIN"/>
    <s v="CCMS"/>
    <n v="21349958"/>
    <n v="15751.18"/>
    <m/>
    <s v="N"/>
    <n v="25"/>
    <d v="2023-07-10T19:02:04"/>
    <s v="Y"/>
    <s v="Preparation - other"/>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133"/>
    <d v="2023-07-10T19:02:04"/>
    <s v="Y"/>
    <s v="Routine Letter Out"/>
    <s v="Care Remuneration Hourly Rates"/>
    <s v="Profit Cost"/>
    <s v="HW"/>
    <s v="Y"/>
    <n v="1112.9"/>
    <n v="222.59"/>
    <x v="2"/>
    <s v="VALIDATED"/>
    <n v="1"/>
    <s v="01.11.80.308.6100.0000"/>
    <n v="1112.9"/>
    <s v="11"/>
    <s v="6100"/>
    <n v="26754.22"/>
    <n v="1112.9"/>
    <s v="CREDITOR"/>
    <n v="0"/>
    <n v="0"/>
    <n v="0"/>
    <n v="0"/>
    <n v="1112.9"/>
  </r>
  <r>
    <n v="60658700"/>
    <s v="N"/>
    <n v="21349958"/>
    <s v="3000014912410007"/>
    <s v="CIVIL"/>
    <d v="2023-06-29T00:00:00"/>
    <d v="2023-07-10T19:01:40"/>
    <m/>
    <d v="2023-07-10T00:00:00"/>
    <n v="1530"/>
    <n v="20829"/>
    <s v="60658700"/>
    <s v="60658700"/>
    <m/>
    <m/>
    <n v="22793116"/>
    <m/>
    <m/>
    <m/>
    <s v="SOLFIN"/>
    <s v="SOLFIN"/>
    <s v="CCMS"/>
    <n v="21349958"/>
    <n v="15751.18"/>
    <m/>
    <s v="N"/>
    <n v="141"/>
    <d v="2023-07-10T19:02:04"/>
    <s v="Y"/>
    <s v="Solicitor Travel Mileage"/>
    <s v="Care Remuneration Hourly Rates"/>
    <s v="Non Expert Disbursement"/>
    <s v="XXX"/>
    <s v="Y"/>
    <n v="27.9"/>
    <n v="5.58"/>
    <x v="2"/>
    <s v="VALIDATED"/>
    <n v="1"/>
    <s v="01.11.80.308.6300.0000"/>
    <n v="27.9"/>
    <s v="11"/>
    <s v="6300"/>
    <n v="26754.22"/>
    <n v="27.9"/>
    <s v="CREDITOR"/>
    <n v="0"/>
    <n v="0"/>
    <n v="0"/>
    <n v="0"/>
    <n v="27.9"/>
  </r>
  <r>
    <n v="60658700"/>
    <s v="N"/>
    <n v="21349958"/>
    <s v="3000014912410007"/>
    <s v="CIVIL"/>
    <d v="2023-06-29T00:00:00"/>
    <d v="2023-07-10T19:01:40"/>
    <m/>
    <d v="2023-07-10T00:00:00"/>
    <n v="1530"/>
    <n v="20829"/>
    <s v="60658700"/>
    <s v="60658700"/>
    <m/>
    <m/>
    <n v="22793116"/>
    <m/>
    <m/>
    <m/>
    <s v="SOLFIN"/>
    <s v="SOLFIN"/>
    <s v="CCMS"/>
    <n v="21349958"/>
    <n v="15751.18"/>
    <m/>
    <s v="N"/>
    <n v="151"/>
    <d v="2023-07-10T19:02:04"/>
    <s v="Y"/>
    <s v="Hearing Unit 1.01 - 2.30 Hours"/>
    <s v="Public Law Children"/>
    <s v="Advocacy"/>
    <s v="HW"/>
    <s v="Y"/>
    <n v="238.46"/>
    <n v="47.69"/>
    <x v="2"/>
    <s v="VALIDATED"/>
    <n v="1"/>
    <s v="01.11.80.308.6100.0000"/>
    <n v="238.46"/>
    <s v="11"/>
    <s v="6100"/>
    <n v="26754.22"/>
    <n v="238.46"/>
    <s v="CREDITOR"/>
    <n v="0"/>
    <n v="0"/>
    <n v="0"/>
    <n v="0"/>
    <n v="238.46"/>
  </r>
  <r>
    <n v="61063328"/>
    <s v="N"/>
    <n v="21349708"/>
    <s v="3000015261150004"/>
    <s v="CIVIL"/>
    <d v="2023-06-28T00:00:00"/>
    <d v="2023-07-10T19:01:40"/>
    <m/>
    <d v="2023-07-10T00:00:00"/>
    <n v="1530"/>
    <n v="20829"/>
    <s v="61063328"/>
    <s v="61063328"/>
    <m/>
    <m/>
    <n v="22777778"/>
    <m/>
    <m/>
    <m/>
    <s v="SOLFIN"/>
    <s v="SOLFIN"/>
    <s v="CCMS"/>
    <n v="21349708"/>
    <n v="14156.17"/>
    <m/>
    <s v="N"/>
    <n v="56"/>
    <d v="2023-07-10T19:01:56"/>
    <s v="Y"/>
    <s v="Preparation - other"/>
    <s v="Care Remuneration Hourly Rates"/>
    <s v="Profit Cost"/>
    <s v="HW"/>
    <s v="Y"/>
    <n v="29.44"/>
    <n v="5.89"/>
    <x v="2"/>
    <s v="VALIDATED"/>
    <n v="1"/>
    <s v="01.11.80.308.6100.0000"/>
    <n v="29.44"/>
    <s v="11"/>
    <s v="6100"/>
    <n v="26754.22"/>
    <n v="29.44"/>
    <s v="CREDITOR"/>
    <n v="0"/>
    <n v="0"/>
    <n v="0"/>
    <n v="0"/>
    <n v="29.44"/>
  </r>
  <r>
    <n v="61063328"/>
    <s v="N"/>
    <n v="21349708"/>
    <s v="3000015261150004"/>
    <s v="CIVIL"/>
    <d v="2023-06-28T00:00:00"/>
    <d v="2023-07-10T19:01:40"/>
    <m/>
    <d v="2023-07-10T00:00:00"/>
    <n v="1530"/>
    <n v="20829"/>
    <s v="61063328"/>
    <s v="61063328"/>
    <m/>
    <m/>
    <n v="22777778"/>
    <m/>
    <m/>
    <m/>
    <s v="SOLFIN"/>
    <s v="SOLFIN"/>
    <s v="CCMS"/>
    <n v="21349708"/>
    <n v="14156.17"/>
    <m/>
    <s v="N"/>
    <n v="79"/>
    <d v="2023-07-10T19:01:56"/>
    <s v="Y"/>
    <s v="Preparation - drafting statement"/>
    <s v="Care Remuneration Hourly Rates"/>
    <s v="Profit Cost"/>
    <s v="HW"/>
    <s v="Y"/>
    <n v="29.44"/>
    <n v="5.89"/>
    <x v="2"/>
    <s v="VALIDATED"/>
    <n v="1"/>
    <s v="01.11.80.308.6100.0000"/>
    <n v="29.44"/>
    <s v="11"/>
    <s v="6100"/>
    <n v="26754.22"/>
    <n v="29.44"/>
    <s v="CREDITOR"/>
    <n v="0"/>
    <n v="0"/>
    <n v="0"/>
    <n v="0"/>
    <n v="29.44"/>
  </r>
  <r>
    <n v="61807950"/>
    <s v="N"/>
    <n v="21338584"/>
    <s v="3000015879920001"/>
    <s v="CIVIL"/>
    <d v="2023-06-27T00:00:00"/>
    <d v="2023-07-06T19:21:01"/>
    <m/>
    <d v="2023-07-06T00:00:00"/>
    <n v="1530"/>
    <n v="20829"/>
    <s v="61807950"/>
    <s v="61807950"/>
    <m/>
    <m/>
    <n v="22772526"/>
    <m/>
    <m/>
    <m/>
    <s v="SOLFIN"/>
    <s v="SOLFIN"/>
    <s v="CCMS"/>
    <n v="21338584"/>
    <n v="4127.99"/>
    <m/>
    <s v="N"/>
    <n v="33"/>
    <d v="2023-07-06T19:21:29"/>
    <s v="Y"/>
    <s v="Preparation - other"/>
    <s v="Prescribed Hourly Rates"/>
    <s v="Profit Cost"/>
    <s v="HW"/>
    <s v="Y"/>
    <n v="18.94"/>
    <n v="3.79"/>
    <x v="4"/>
    <s v="VALIDATED"/>
    <n v="1"/>
    <s v="01.11.80.307.6100.0000"/>
    <n v="18.94"/>
    <s v="11"/>
    <s v="6100"/>
    <n v="26754.22"/>
    <n v="18.94"/>
    <s v="CREDITOR"/>
    <n v="0"/>
    <n v="0"/>
    <n v="0"/>
    <n v="0"/>
    <n v="18.94"/>
  </r>
  <r>
    <n v="61063328"/>
    <s v="N"/>
    <n v="21349708"/>
    <s v="3000015261150004"/>
    <s v="CIVIL"/>
    <d v="2023-06-28T00:00:00"/>
    <d v="2023-07-10T19:01:40"/>
    <m/>
    <d v="2023-07-10T00:00:00"/>
    <n v="1530"/>
    <n v="20829"/>
    <s v="61063328"/>
    <s v="61063328"/>
    <m/>
    <m/>
    <n v="22777778"/>
    <m/>
    <m/>
    <m/>
    <s v="SOLFIN"/>
    <s v="SOLFIN"/>
    <s v="CCMS"/>
    <n v="21349708"/>
    <n v="14156.17"/>
    <m/>
    <s v="N"/>
    <n v="64"/>
    <d v="2023-07-10T19:01:56"/>
    <s v="Y"/>
    <s v="Preparation - drafting consent orde"/>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70"/>
    <d v="2023-07-10T19:01:56"/>
    <s v="Y"/>
    <s v="Preparation - other"/>
    <s v="Care Remuneration Hourly Rates"/>
    <s v="Profit Cost"/>
    <s v="HW"/>
    <s v="Y"/>
    <n v="14.71"/>
    <n v="2.94"/>
    <x v="2"/>
    <s v="VALIDATED"/>
    <n v="1"/>
    <s v="01.11.80.308.6100.0000"/>
    <n v="14.71"/>
    <s v="11"/>
    <s v="6100"/>
    <n v="26754.22"/>
    <n v="14.71"/>
    <s v="CREDITOR"/>
    <n v="0"/>
    <n v="0"/>
    <n v="0"/>
    <n v="0"/>
    <n v="14.71"/>
  </r>
  <r>
    <n v="61807950"/>
    <s v="N"/>
    <n v="21338584"/>
    <s v="3000015879920001"/>
    <s v="CIVIL"/>
    <d v="2023-06-27T00:00:00"/>
    <d v="2023-07-06T19:21:01"/>
    <m/>
    <d v="2023-07-06T00:00:00"/>
    <n v="1530"/>
    <n v="20829"/>
    <s v="61807950"/>
    <s v="61807950"/>
    <m/>
    <m/>
    <n v="22772526"/>
    <m/>
    <m/>
    <m/>
    <s v="SOLFIN"/>
    <s v="SOLFIN"/>
    <s v="CCMS"/>
    <n v="21338584"/>
    <n v="4127.99"/>
    <m/>
    <s v="N"/>
    <n v="29"/>
    <d v="2023-07-06T19:21:29"/>
    <s v="Y"/>
    <s v="Preparation - drafting statement"/>
    <s v="Prescribed Hourly Rates"/>
    <s v="Profit Cost"/>
    <s v="HW"/>
    <s v="Y"/>
    <n v="88.39"/>
    <n v="17.68"/>
    <x v="4"/>
    <s v="VALIDATED"/>
    <n v="1"/>
    <s v="01.11.80.307.6100.0000"/>
    <n v="88.39"/>
    <s v="11"/>
    <s v="6100"/>
    <n v="26754.22"/>
    <n v="88.39"/>
    <s v="CREDITOR"/>
    <n v="0"/>
    <n v="0"/>
    <n v="0"/>
    <n v="0"/>
    <n v="88.39"/>
  </r>
  <r>
    <n v="60658700"/>
    <s v="N"/>
    <n v="21349958"/>
    <s v="3000014912410007"/>
    <s v="CIVIL"/>
    <d v="2023-06-29T00:00:00"/>
    <d v="2023-07-10T19:01:40"/>
    <m/>
    <d v="2023-07-10T00:00:00"/>
    <n v="1530"/>
    <n v="20829"/>
    <s v="60658700"/>
    <s v="60658700"/>
    <m/>
    <m/>
    <n v="22793116"/>
    <m/>
    <m/>
    <m/>
    <s v="SOLFIN"/>
    <s v="SOLFIN"/>
    <s v="CCMS"/>
    <n v="21349958"/>
    <n v="15751.18"/>
    <m/>
    <s v="N"/>
    <n v="46"/>
    <d v="2023-07-10T19:02:04"/>
    <s v="Y"/>
    <s v="Preparation - drafting consent orde"/>
    <s v="Care Remuneration Hourly Rates"/>
    <s v="Profit Cost"/>
    <s v="HW"/>
    <s v="Y"/>
    <n v="7.63"/>
    <n v="1.53"/>
    <x v="2"/>
    <s v="VALIDATED"/>
    <n v="1"/>
    <s v="01.11.80.308.6100.0000"/>
    <n v="7.63"/>
    <s v="11"/>
    <s v="6100"/>
    <n v="26754.22"/>
    <n v="7.63"/>
    <s v="CREDITOR"/>
    <n v="0"/>
    <n v="0"/>
    <n v="0"/>
    <n v="0"/>
    <n v="7.63"/>
  </r>
  <r>
    <n v="61063328"/>
    <s v="N"/>
    <n v="21349708"/>
    <s v="3000015261150004"/>
    <s v="CIVIL"/>
    <d v="2023-06-28T00:00:00"/>
    <d v="2023-07-10T19:01:40"/>
    <m/>
    <d v="2023-07-10T00:00:00"/>
    <n v="1530"/>
    <n v="20829"/>
    <s v="61063328"/>
    <s v="61063328"/>
    <m/>
    <m/>
    <n v="22777778"/>
    <m/>
    <m/>
    <m/>
    <s v="SOLFIN"/>
    <s v="SOLFIN"/>
    <s v="CCMS"/>
    <n v="21349708"/>
    <n v="14156.17"/>
    <m/>
    <s v="N"/>
    <n v="57"/>
    <d v="2023-07-10T19:01:56"/>
    <s v="Y"/>
    <s v="Preparation - drafting application"/>
    <s v="Care Remuneration Hourly Rates"/>
    <s v="Profit Cost"/>
    <s v="HW"/>
    <s v="Y"/>
    <n v="36.81"/>
    <n v="7.36"/>
    <x v="2"/>
    <s v="VALIDATED"/>
    <n v="1"/>
    <s v="01.11.80.308.6100.0000"/>
    <n v="36.81"/>
    <s v="11"/>
    <s v="6100"/>
    <n v="26754.22"/>
    <n v="36.81"/>
    <s v="CREDITOR"/>
    <n v="0"/>
    <n v="0"/>
    <n v="0"/>
    <n v="0"/>
    <n v="36.81"/>
  </r>
  <r>
    <n v="61063328"/>
    <s v="N"/>
    <n v="21349708"/>
    <s v="3000015261150004"/>
    <s v="CIVIL"/>
    <d v="2023-06-28T00:00:00"/>
    <d v="2023-07-10T19:01:40"/>
    <m/>
    <d v="2023-07-10T00:00:00"/>
    <n v="1530"/>
    <n v="20829"/>
    <s v="61063328"/>
    <s v="61063328"/>
    <m/>
    <m/>
    <n v="22777778"/>
    <m/>
    <m/>
    <m/>
    <s v="SOLFIN"/>
    <s v="SOLFIN"/>
    <s v="CCMS"/>
    <n v="21349708"/>
    <n v="14156.17"/>
    <m/>
    <s v="N"/>
    <n v="60"/>
    <d v="2023-07-10T19:01:56"/>
    <s v="Y"/>
    <s v="Preparation - other"/>
    <s v="Care Remuneration Hourly Rates"/>
    <s v="Profit Cost"/>
    <s v="OTH"/>
    <s v="Y"/>
    <n v="5.26"/>
    <n v="1.05"/>
    <x v="2"/>
    <s v="VALIDATED"/>
    <n v="1"/>
    <s v="01.11.80.308.6100.0000"/>
    <n v="5.26"/>
    <s v="11"/>
    <s v="6100"/>
    <n v="26754.22"/>
    <n v="5.26"/>
    <s v="CREDITOR"/>
    <n v="0"/>
    <n v="0"/>
    <n v="0"/>
    <n v="0"/>
    <n v="5.26"/>
  </r>
  <r>
    <n v="61063328"/>
    <s v="N"/>
    <n v="21349708"/>
    <s v="3000015261150004"/>
    <s v="CIVIL"/>
    <d v="2023-06-28T00:00:00"/>
    <d v="2023-07-10T19:01:40"/>
    <m/>
    <d v="2023-07-10T00:00:00"/>
    <n v="1530"/>
    <n v="20829"/>
    <s v="61063328"/>
    <s v="61063328"/>
    <m/>
    <m/>
    <n v="22777778"/>
    <m/>
    <m/>
    <m/>
    <s v="SOLFIN"/>
    <s v="SOLFIN"/>
    <s v="CCMS"/>
    <n v="21349708"/>
    <n v="14156.17"/>
    <m/>
    <s v="N"/>
    <n v="61"/>
    <d v="2023-07-10T19:01:56"/>
    <s v="Y"/>
    <s v="Preparation - other"/>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54"/>
    <d v="2023-07-10T19:01:56"/>
    <s v="Y"/>
    <s v="Preparation - drafting consent orde"/>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30"/>
    <d v="2023-07-10T19:01:56"/>
    <s v="Y"/>
    <s v="Preparation - other"/>
    <s v="Care Remuneration Hourly Rates"/>
    <s v="Profit Cost"/>
    <s v="HW"/>
    <s v="Y"/>
    <n v="29.44"/>
    <n v="5.89"/>
    <x v="2"/>
    <s v="VALIDATED"/>
    <n v="1"/>
    <s v="01.11.80.308.6100.0000"/>
    <n v="29.44"/>
    <s v="11"/>
    <s v="6100"/>
    <n v="26754.22"/>
    <n v="29.44"/>
    <s v="CREDITOR"/>
    <n v="0"/>
    <n v="0"/>
    <n v="0"/>
    <n v="0"/>
    <n v="29.44"/>
  </r>
  <r>
    <n v="61063328"/>
    <s v="N"/>
    <n v="21349708"/>
    <s v="3000015261150004"/>
    <s v="CIVIL"/>
    <d v="2023-06-28T00:00:00"/>
    <d v="2023-07-10T19:01:40"/>
    <m/>
    <d v="2023-07-10T00:00:00"/>
    <n v="1530"/>
    <n v="20829"/>
    <s v="61063328"/>
    <s v="61063328"/>
    <m/>
    <m/>
    <n v="22777778"/>
    <m/>
    <m/>
    <m/>
    <s v="SOLFIN"/>
    <s v="SOLFIN"/>
    <s v="CCMS"/>
    <n v="21349708"/>
    <n v="14156.17"/>
    <m/>
    <s v="N"/>
    <n v="87"/>
    <d v="2023-07-10T19:01:56"/>
    <s v="Y"/>
    <s v="Preparation - drafting statement"/>
    <s v="Care Remuneration Hourly Rates"/>
    <s v="Profit Cost"/>
    <s v="HW"/>
    <s v="Y"/>
    <n v="29.44"/>
    <n v="5.89"/>
    <x v="2"/>
    <s v="VALIDATED"/>
    <n v="1"/>
    <s v="01.11.80.308.6100.0000"/>
    <n v="29.44"/>
    <s v="11"/>
    <s v="6100"/>
    <n v="26754.22"/>
    <n v="29.44"/>
    <s v="CREDITOR"/>
    <n v="0"/>
    <n v="0"/>
    <n v="0"/>
    <n v="0"/>
    <n v="29.44"/>
  </r>
  <r>
    <n v="60658700"/>
    <s v="N"/>
    <n v="21349958"/>
    <s v="3000014912410007"/>
    <s v="CIVIL"/>
    <d v="2023-06-29T00:00:00"/>
    <d v="2023-07-10T19:01:40"/>
    <m/>
    <d v="2023-07-10T00:00:00"/>
    <n v="1530"/>
    <n v="20829"/>
    <s v="60658700"/>
    <s v="60658700"/>
    <m/>
    <m/>
    <n v="22793116"/>
    <m/>
    <m/>
    <m/>
    <s v="SOLFIN"/>
    <s v="SOLFIN"/>
    <s v="CCMS"/>
    <n v="21349958"/>
    <n v="15751.18"/>
    <m/>
    <s v="N"/>
    <n v="51"/>
    <d v="2023-07-10T19:02:04"/>
    <s v="Y"/>
    <s v="Preparation - other"/>
    <s v="Care Remuneration Hourly Rates"/>
    <s v="Profit Cost"/>
    <s v="HW"/>
    <s v="Y"/>
    <n v="45.73"/>
    <n v="9.15"/>
    <x v="2"/>
    <s v="VALIDATED"/>
    <n v="1"/>
    <s v="01.11.80.308.6100.0000"/>
    <n v="45.73"/>
    <s v="11"/>
    <s v="6100"/>
    <n v="26754.22"/>
    <n v="45.73"/>
    <s v="CREDITOR"/>
    <n v="0"/>
    <n v="0"/>
    <n v="0"/>
    <n v="0"/>
    <n v="45.73"/>
  </r>
  <r>
    <n v="60658700"/>
    <s v="N"/>
    <n v="21349958"/>
    <s v="3000014912410007"/>
    <s v="CIVIL"/>
    <d v="2023-06-29T00:00:00"/>
    <d v="2023-07-10T19:01:40"/>
    <m/>
    <d v="2023-07-10T00:00:00"/>
    <n v="1530"/>
    <n v="20829"/>
    <s v="60658700"/>
    <s v="60658700"/>
    <m/>
    <m/>
    <n v="22793116"/>
    <m/>
    <m/>
    <m/>
    <s v="SOLFIN"/>
    <s v="SOLFIN"/>
    <s v="CCMS"/>
    <n v="21349958"/>
    <n v="15751.18"/>
    <m/>
    <s v="N"/>
    <n v="86"/>
    <d v="2023-07-10T19:02:04"/>
    <s v="Y"/>
    <s v="Preparation - drafting consent orde"/>
    <s v="Care Remuneration Hourly Rates"/>
    <s v="Profit Cost"/>
    <s v="HW"/>
    <s v="Y"/>
    <n v="15.24"/>
    <n v="3.05"/>
    <x v="2"/>
    <s v="VALIDATED"/>
    <n v="1"/>
    <s v="01.11.80.308.6100.0000"/>
    <n v="15.24"/>
    <s v="11"/>
    <s v="6100"/>
    <n v="26754.22"/>
    <n v="15.24"/>
    <s v="CREDITOR"/>
    <n v="0"/>
    <n v="0"/>
    <n v="0"/>
    <n v="0"/>
    <n v="15.24"/>
  </r>
  <r>
    <n v="61063328"/>
    <s v="N"/>
    <n v="21349708"/>
    <s v="3000015261150004"/>
    <s v="CIVIL"/>
    <d v="2023-06-28T00:00:00"/>
    <d v="2023-07-10T19:01:40"/>
    <m/>
    <d v="2023-07-10T00:00:00"/>
    <n v="1530"/>
    <n v="20829"/>
    <s v="61063328"/>
    <s v="61063328"/>
    <m/>
    <m/>
    <n v="22777778"/>
    <m/>
    <m/>
    <m/>
    <s v="SOLFIN"/>
    <s v="SOLFIN"/>
    <s v="CCMS"/>
    <n v="21349708"/>
    <n v="14156.17"/>
    <m/>
    <s v="N"/>
    <n v="66"/>
    <d v="2023-07-10T19:01:56"/>
    <s v="Y"/>
    <s v="Preparation - other"/>
    <s v="Care Remuneration Hourly Rates"/>
    <s v="Profit Cost"/>
    <s v="HW"/>
    <s v="Y"/>
    <n v="7.36"/>
    <n v="1.47"/>
    <x v="2"/>
    <s v="VALIDATED"/>
    <n v="1"/>
    <s v="01.11.80.308.6100.0000"/>
    <n v="7.36"/>
    <s v="11"/>
    <s v="6100"/>
    <n v="26754.22"/>
    <n v="7.36"/>
    <s v="CREDITOR"/>
    <n v="0"/>
    <n v="0"/>
    <n v="0"/>
    <n v="0"/>
    <n v="7.36"/>
  </r>
  <r>
    <n v="61063328"/>
    <s v="N"/>
    <n v="21349708"/>
    <s v="3000015261150004"/>
    <s v="CIVIL"/>
    <d v="2023-06-28T00:00:00"/>
    <d v="2023-07-10T19:01:40"/>
    <m/>
    <d v="2023-07-10T00:00:00"/>
    <n v="1530"/>
    <n v="20829"/>
    <s v="61063328"/>
    <s v="61063328"/>
    <m/>
    <m/>
    <n v="22777778"/>
    <m/>
    <m/>
    <m/>
    <s v="SOLFIN"/>
    <s v="SOLFIN"/>
    <s v="CCMS"/>
    <n v="21349708"/>
    <n v="14156.17"/>
    <m/>
    <s v="N"/>
    <n v="100"/>
    <d v="2023-07-10T19:01:56"/>
    <s v="Y"/>
    <s v="Routine Letter In"/>
    <s v="Care Remuneration Hourly Rates"/>
    <s v="Profit Cost"/>
    <s v="OTH"/>
    <s v="Y"/>
    <n v="16.65"/>
    <n v="3.33"/>
    <x v="2"/>
    <s v="VALIDATED"/>
    <n v="1"/>
    <s v="01.11.80.308.6100.0000"/>
    <n v="16.65"/>
    <s v="11"/>
    <s v="6100"/>
    <n v="26754.22"/>
    <n v="16.65"/>
    <s v="CREDITOR"/>
    <n v="0"/>
    <n v="0"/>
    <n v="0"/>
    <n v="0"/>
    <n v="16.65"/>
  </r>
  <r>
    <n v="62482198"/>
    <s v="N"/>
    <n v="21323984"/>
    <s v="3000016441710001"/>
    <s v="CIVIL"/>
    <d v="2023-06-30T00:00:00"/>
    <d v="2023-07-03T19:05:56"/>
    <m/>
    <d v="2023-07-03T00:00:00"/>
    <n v="1530"/>
    <n v="20829"/>
    <s v="62482198"/>
    <s v="62482198"/>
    <m/>
    <m/>
    <n v="22797488"/>
    <m/>
    <m/>
    <m/>
    <s v="SOLPOA"/>
    <s v="SOLPOA"/>
    <s v="CCMS"/>
    <n v="21323984"/>
    <n v="303.8"/>
    <m/>
    <s v="N"/>
    <n v="1"/>
    <d v="2023-07-03T19:06:00"/>
    <s v="N"/>
    <s v="Expert Cost"/>
    <s v="Expert Cost"/>
    <s v="Expert Disbursement"/>
    <s v="Hannah Walsh"/>
    <s v="N"/>
    <n v="253.17"/>
    <n v="50.63"/>
    <x v="3"/>
    <s v="VALIDATED"/>
    <n v="1"/>
    <s v="01.11.80.308.2012.0000"/>
    <n v="253.17"/>
    <s v="11"/>
    <s v="2012"/>
    <n v="26754.22"/>
    <n v="253.17"/>
    <s v="CREDITOR"/>
    <n v="253.17"/>
    <n v="0"/>
    <n v="0"/>
    <n v="0"/>
    <n v="0"/>
  </r>
  <r>
    <n v="60658700"/>
    <s v="N"/>
    <n v="21349958"/>
    <s v="3000014912410007"/>
    <s v="CIVIL"/>
    <d v="2023-06-29T00:00:00"/>
    <d v="2023-07-10T19:01:40"/>
    <m/>
    <d v="2023-07-10T00:00:00"/>
    <n v="1530"/>
    <n v="20829"/>
    <s v="60658700"/>
    <s v="60658700"/>
    <m/>
    <m/>
    <n v="22793116"/>
    <m/>
    <m/>
    <m/>
    <s v="SOLFIN"/>
    <s v="SOLFIN"/>
    <s v="CCMS"/>
    <n v="21349958"/>
    <n v="15751.18"/>
    <m/>
    <s v="N"/>
    <n v="134"/>
    <d v="2023-07-10T19:02:04"/>
    <s v="Y"/>
    <s v="Routine Letter Out"/>
    <s v="Care Remuneration Hourly Rates"/>
    <s v="Profit Cost"/>
    <s v="OTH"/>
    <s v="Y"/>
    <n v="25.38"/>
    <n v="5.08"/>
    <x v="2"/>
    <s v="VALIDATED"/>
    <n v="1"/>
    <s v="01.11.80.308.6100.0000"/>
    <n v="25.38"/>
    <s v="11"/>
    <s v="6100"/>
    <n v="26754.22"/>
    <n v="25.38"/>
    <s v="CREDITOR"/>
    <n v="0"/>
    <n v="0"/>
    <n v="0"/>
    <n v="0"/>
    <n v="25.38"/>
  </r>
  <r>
    <n v="60658700"/>
    <s v="N"/>
    <n v="21349958"/>
    <s v="3000014912410007"/>
    <s v="CIVIL"/>
    <d v="2023-06-29T00:00:00"/>
    <d v="2023-07-10T19:01:40"/>
    <m/>
    <d v="2023-07-10T00:00:00"/>
    <n v="1530"/>
    <n v="20829"/>
    <s v="60658700"/>
    <s v="60658700"/>
    <m/>
    <m/>
    <n v="22793116"/>
    <m/>
    <m/>
    <m/>
    <s v="SOLFIN"/>
    <s v="SOLFIN"/>
    <s v="CCMS"/>
    <n v="21349958"/>
    <n v="15751.18"/>
    <m/>
    <s v="N"/>
    <n v="152"/>
    <d v="2023-07-10T19:02:04"/>
    <s v="Y"/>
    <s v="Final Hearing - 1 Day"/>
    <s v="Public Law Children"/>
    <s v="Advocacy"/>
    <s v="HW"/>
    <s v="Y"/>
    <n v="668.25"/>
    <n v="133.65"/>
    <x v="2"/>
    <s v="VALIDATED"/>
    <n v="1"/>
    <s v="01.11.80.308.6100.0000"/>
    <n v="668.25"/>
    <s v="11"/>
    <s v="6100"/>
    <n v="26754.22"/>
    <n v="668.25"/>
    <s v="CREDITOR"/>
    <n v="0"/>
    <n v="0"/>
    <n v="0"/>
    <n v="0"/>
    <n v="668.25"/>
  </r>
  <r>
    <n v="60658700"/>
    <s v="N"/>
    <n v="21349958"/>
    <s v="3000014912410007"/>
    <s v="CIVIL"/>
    <d v="2023-06-29T00:00:00"/>
    <d v="2023-07-10T19:01:40"/>
    <m/>
    <d v="2023-07-10T00:00:00"/>
    <n v="1530"/>
    <n v="20829"/>
    <s v="60658700"/>
    <s v="60658700"/>
    <m/>
    <m/>
    <n v="22793116"/>
    <m/>
    <m/>
    <m/>
    <s v="SOLFIN"/>
    <s v="SOLFIN"/>
    <s v="CCMS"/>
    <n v="21349958"/>
    <n v="15751.18"/>
    <m/>
    <s v="N"/>
    <n v="78"/>
    <d v="2023-07-10T19:02:04"/>
    <s v="Y"/>
    <s v="Preparation - drafting application"/>
    <s v="Care Remuneration Hourly Rates"/>
    <s v="Profit Cost"/>
    <s v="HW"/>
    <s v="Y"/>
    <n v="7.63"/>
    <n v="1.53"/>
    <x v="2"/>
    <s v="VALIDATED"/>
    <n v="1"/>
    <s v="01.11.80.308.6100.0000"/>
    <n v="7.63"/>
    <s v="11"/>
    <s v="6100"/>
    <n v="26754.22"/>
    <n v="7.63"/>
    <s v="CREDITOR"/>
    <n v="0"/>
    <n v="0"/>
    <n v="0"/>
    <n v="0"/>
    <n v="7.63"/>
  </r>
  <r>
    <n v="61063328"/>
    <s v="N"/>
    <n v="21349708"/>
    <s v="3000015261150004"/>
    <s v="CIVIL"/>
    <d v="2023-06-28T00:00:00"/>
    <d v="2023-07-10T19:01:40"/>
    <m/>
    <d v="2023-07-10T00:00:00"/>
    <n v="1530"/>
    <n v="20829"/>
    <s v="61063328"/>
    <s v="61063328"/>
    <m/>
    <m/>
    <n v="22777778"/>
    <m/>
    <m/>
    <m/>
    <s v="SOLFIN"/>
    <s v="SOLFIN"/>
    <s v="CCMS"/>
    <n v="21349708"/>
    <n v="14156.17"/>
    <m/>
    <s v="N"/>
    <n v="88"/>
    <d v="2023-07-10T19:01:56"/>
    <s v="Y"/>
    <s v="Preparation - drafting consent orde"/>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75"/>
    <d v="2023-07-10T19:01:56"/>
    <s v="Y"/>
    <s v="Preparation - drafting application"/>
    <s v="Care Remuneration Hourly Rates"/>
    <s v="Profit Cost"/>
    <s v="HW"/>
    <s v="Y"/>
    <n v="22.08"/>
    <n v="4.42"/>
    <x v="2"/>
    <s v="VALIDATED"/>
    <n v="1"/>
    <s v="01.11.80.308.6100.0000"/>
    <n v="22.08"/>
    <s v="11"/>
    <s v="6100"/>
    <n v="26754.22"/>
    <n v="22.08"/>
    <s v="CREDITOR"/>
    <n v="0"/>
    <n v="0"/>
    <n v="0"/>
    <n v="0"/>
    <n v="22.08"/>
  </r>
  <r>
    <n v="60658700"/>
    <s v="N"/>
    <n v="21349958"/>
    <s v="3000014912410007"/>
    <s v="CIVIL"/>
    <d v="2023-06-29T00:00:00"/>
    <d v="2023-07-10T19:01:40"/>
    <m/>
    <d v="2023-07-10T00:00:00"/>
    <n v="1530"/>
    <n v="20829"/>
    <s v="60658700"/>
    <s v="60658700"/>
    <m/>
    <m/>
    <n v="22793116"/>
    <m/>
    <m/>
    <m/>
    <s v="SOLFIN"/>
    <s v="SOLFIN"/>
    <s v="CCMS"/>
    <n v="21349958"/>
    <n v="15751.18"/>
    <m/>
    <s v="N"/>
    <n v="98"/>
    <d v="2023-07-10T19:02:04"/>
    <s v="Y"/>
    <s v="Preparation - drafting attendance n"/>
    <s v="Care Remuneration Hourly Rates"/>
    <s v="Profit Cost"/>
    <s v="HW"/>
    <s v="Y"/>
    <n v="7.63"/>
    <n v="1.53"/>
    <x v="2"/>
    <s v="VALIDATED"/>
    <n v="1"/>
    <s v="01.11.80.308.6100.0000"/>
    <n v="7.63"/>
    <s v="11"/>
    <s v="6100"/>
    <n v="26754.22"/>
    <n v="7.63"/>
    <s v="CREDITOR"/>
    <n v="0"/>
    <n v="0"/>
    <n v="0"/>
    <n v="0"/>
    <n v="7.63"/>
  </r>
  <r>
    <n v="61924246"/>
    <s v="N"/>
    <n v="21320707"/>
    <s v="3000015977970005"/>
    <s v="CIVIL"/>
    <d v="2023-06-28T00:00:00"/>
    <d v="2023-07-03T19:04:52"/>
    <m/>
    <d v="2023-07-03T00:00:00"/>
    <n v="1530"/>
    <n v="20829"/>
    <s v="61924246"/>
    <s v="61924246"/>
    <m/>
    <m/>
    <n v="22779730"/>
    <m/>
    <m/>
    <m/>
    <s v="SOLPOA"/>
    <s v="SOLPOA"/>
    <s v="CCMS"/>
    <n v="21320707"/>
    <n v="486"/>
    <m/>
    <s v="N"/>
    <n v="1"/>
    <d v="2023-07-03T19:04:55"/>
    <s v="N"/>
    <s v="Expert Cost"/>
    <s v="Expert Cost"/>
    <s v="Expert Disbursement"/>
    <s v="Hannah Walsh"/>
    <s v="N"/>
    <n v="405"/>
    <n v="81"/>
    <x v="3"/>
    <s v="VALIDATED"/>
    <n v="1"/>
    <s v="01.11.80.308.2012.0000"/>
    <n v="405"/>
    <s v="11"/>
    <s v="2012"/>
    <n v="26754.22"/>
    <n v="405"/>
    <s v="CREDITOR"/>
    <n v="405"/>
    <n v="0"/>
    <n v="0"/>
    <n v="0"/>
    <n v="0"/>
  </r>
  <r>
    <n v="60658700"/>
    <s v="N"/>
    <n v="21349958"/>
    <s v="3000014912410007"/>
    <s v="CIVIL"/>
    <d v="2023-06-29T00:00:00"/>
    <d v="2023-07-10T19:01:40"/>
    <m/>
    <d v="2023-07-10T00:00:00"/>
    <n v="1530"/>
    <n v="20829"/>
    <s v="60658700"/>
    <s v="60658700"/>
    <m/>
    <m/>
    <n v="22793116"/>
    <m/>
    <m/>
    <m/>
    <s v="SOLFIN"/>
    <s v="SOLFIN"/>
    <s v="CCMS"/>
    <n v="21349958"/>
    <n v="15751.18"/>
    <m/>
    <s v="N"/>
    <n v="112"/>
    <d v="2023-07-10T19:02:04"/>
    <s v="Y"/>
    <s v="Preparation - drafting statement"/>
    <s v="Care Remuneration Hourly Rates"/>
    <s v="Profit Cost"/>
    <s v="HW"/>
    <s v="Y"/>
    <n v="68.73999999999999"/>
    <n v="13.75"/>
    <x v="2"/>
    <s v="VALIDATED"/>
    <n v="1"/>
    <s v="01.11.80.308.6100.0000"/>
    <n v="68.73999999999999"/>
    <s v="11"/>
    <s v="6100"/>
    <n v="26754.22"/>
    <n v="68.73999999999999"/>
    <s v="CREDITOR"/>
    <n v="0"/>
    <n v="0"/>
    <n v="0"/>
    <n v="0"/>
    <n v="68.73999999999999"/>
  </r>
  <r>
    <n v="60658700"/>
    <s v="N"/>
    <n v="21349958"/>
    <s v="3000014912410007"/>
    <s v="CIVIL"/>
    <d v="2023-06-29T00:00:00"/>
    <d v="2023-07-10T19:01:40"/>
    <m/>
    <d v="2023-07-10T00:00:00"/>
    <n v="1530"/>
    <n v="20829"/>
    <s v="60658700"/>
    <s v="60658700"/>
    <m/>
    <m/>
    <n v="22793116"/>
    <m/>
    <m/>
    <m/>
    <s v="SOLFIN"/>
    <s v="SOLFIN"/>
    <s v="CCMS"/>
    <n v="21349958"/>
    <n v="15751.18"/>
    <m/>
    <s v="N"/>
    <n v="62"/>
    <d v="2023-07-10T19:02:04"/>
    <s v="Y"/>
    <s v="Preparation - drafting attendance n"/>
    <s v="Care Remuneration Hourly Rates"/>
    <s v="Profit Cost"/>
    <s v="HW"/>
    <s v="Y"/>
    <n v="15.24"/>
    <n v="3.05"/>
    <x v="2"/>
    <s v="VALIDATED"/>
    <n v="1"/>
    <s v="01.11.80.308.6100.0000"/>
    <n v="15.24"/>
    <s v="11"/>
    <s v="6100"/>
    <n v="26754.22"/>
    <n v="15.24"/>
    <s v="CREDITOR"/>
    <n v="0"/>
    <n v="0"/>
    <n v="0"/>
    <n v="0"/>
    <n v="15.24"/>
  </r>
  <r>
    <n v="61063328"/>
    <s v="N"/>
    <n v="21349708"/>
    <s v="3000015261150004"/>
    <s v="CIVIL"/>
    <d v="2023-06-28T00:00:00"/>
    <d v="2023-07-10T19:01:40"/>
    <m/>
    <d v="2023-07-10T00:00:00"/>
    <n v="1530"/>
    <n v="20829"/>
    <s v="61063328"/>
    <s v="61063328"/>
    <m/>
    <m/>
    <n v="22777778"/>
    <m/>
    <m/>
    <m/>
    <s v="SOLFIN"/>
    <s v="SOLFIN"/>
    <s v="CCMS"/>
    <n v="21349708"/>
    <n v="14156.17"/>
    <m/>
    <s v="N"/>
    <n v="6"/>
    <d v="2023-07-10T19:01:56"/>
    <s v="Y"/>
    <s v="Preparation - other"/>
    <s v="Care Remuneration Hourly Rates"/>
    <s v="Profit Cost"/>
    <s v="HW"/>
    <s v="Y"/>
    <n v="147.2"/>
    <n v="29.44"/>
    <x v="2"/>
    <s v="VALIDATED"/>
    <n v="1"/>
    <s v="01.11.80.308.6100.0000"/>
    <n v="147.2"/>
    <s v="11"/>
    <s v="6100"/>
    <n v="26754.22"/>
    <n v="147.2"/>
    <s v="CREDITOR"/>
    <n v="0"/>
    <n v="0"/>
    <n v="0"/>
    <n v="0"/>
    <n v="147.2"/>
  </r>
  <r>
    <n v="61063328"/>
    <s v="N"/>
    <n v="21349708"/>
    <s v="3000015261150004"/>
    <s v="CIVIL"/>
    <d v="2023-06-28T00:00:00"/>
    <d v="2023-07-10T19:01:40"/>
    <m/>
    <d v="2023-07-10T00:00:00"/>
    <n v="1530"/>
    <n v="20829"/>
    <s v="61063328"/>
    <s v="61063328"/>
    <m/>
    <m/>
    <n v="22777778"/>
    <m/>
    <m/>
    <m/>
    <s v="SOLFIN"/>
    <s v="SOLFIN"/>
    <s v="CCMS"/>
    <n v="21349708"/>
    <n v="14156.17"/>
    <m/>
    <s v="N"/>
    <n v="110"/>
    <d v="2023-07-10T19:01:56"/>
    <s v="Y"/>
    <s v="Advocates Meeting"/>
    <s v="Public Law Children"/>
    <s v="Advocacy"/>
    <s v="HW"/>
    <s v="Y"/>
    <n v="140.99"/>
    <n v="28.2"/>
    <x v="2"/>
    <s v="VALIDATED"/>
    <n v="1"/>
    <s v="01.11.80.308.6100.0000"/>
    <n v="140.99"/>
    <s v="11"/>
    <s v="6100"/>
    <n v="26754.22"/>
    <n v="140.99"/>
    <s v="CREDITOR"/>
    <n v="0"/>
    <n v="0"/>
    <n v="0"/>
    <n v="0"/>
    <n v="140.99"/>
  </r>
  <r>
    <n v="60658700"/>
    <s v="N"/>
    <n v="21349958"/>
    <s v="3000014912410007"/>
    <s v="CIVIL"/>
    <d v="2023-06-29T00:00:00"/>
    <d v="2023-07-10T19:01:40"/>
    <m/>
    <d v="2023-07-10T00:00:00"/>
    <n v="1530"/>
    <n v="20829"/>
    <s v="60658700"/>
    <s v="60658700"/>
    <m/>
    <m/>
    <n v="22793116"/>
    <m/>
    <m/>
    <m/>
    <s v="SOLFIN"/>
    <s v="SOLFIN"/>
    <s v="CCMS"/>
    <n v="21349958"/>
    <n v="15751.18"/>
    <m/>
    <s v="N"/>
    <n v="54"/>
    <d v="2023-07-10T19:02:04"/>
    <s v="Y"/>
    <s v="Preparation - other"/>
    <s v="Care Remuneration Hourly Rates"/>
    <s v="Profit Cost"/>
    <s v="HW"/>
    <s v="Y"/>
    <n v="68.59999999999999"/>
    <n v="13.72"/>
    <x v="2"/>
    <s v="VALIDATED"/>
    <n v="1"/>
    <s v="01.11.80.308.6100.0000"/>
    <n v="68.59999999999999"/>
    <s v="11"/>
    <s v="6100"/>
    <n v="26754.22"/>
    <n v="68.59999999999999"/>
    <s v="CREDITOR"/>
    <n v="0"/>
    <n v="0"/>
    <n v="0"/>
    <n v="0"/>
    <n v="68.59999999999999"/>
  </r>
  <r>
    <n v="60658700"/>
    <s v="N"/>
    <n v="21349958"/>
    <s v="3000014912410007"/>
    <s v="CIVIL"/>
    <d v="2023-06-29T00:00:00"/>
    <d v="2023-07-10T19:01:40"/>
    <m/>
    <d v="2023-07-10T00:00:00"/>
    <n v="1530"/>
    <n v="20829"/>
    <s v="60658700"/>
    <s v="60658700"/>
    <m/>
    <m/>
    <n v="22793116"/>
    <m/>
    <m/>
    <m/>
    <s v="SOLFIN"/>
    <s v="SOLFIN"/>
    <s v="CCMS"/>
    <n v="21349958"/>
    <n v="15751.18"/>
    <m/>
    <s v="N"/>
    <n v="3"/>
    <d v="2023-07-10T19:02:04"/>
    <s v="Y"/>
    <s v="Preparation - other"/>
    <s v="Care Remuneration Hourly Rates"/>
    <s v="Profit Cost"/>
    <s v="HW"/>
    <s v="Y"/>
    <n v="30.49"/>
    <n v="6.1"/>
    <x v="2"/>
    <s v="VALIDATED"/>
    <n v="1"/>
    <s v="01.11.80.308.6100.0000"/>
    <n v="30.49"/>
    <s v="11"/>
    <s v="6100"/>
    <n v="26754.22"/>
    <n v="30.49"/>
    <s v="CREDITOR"/>
    <n v="0"/>
    <n v="0"/>
    <n v="0"/>
    <n v="0"/>
    <n v="30.49"/>
  </r>
  <r>
    <n v="61063328"/>
    <s v="N"/>
    <n v="21349708"/>
    <s v="3000015261150004"/>
    <s v="CIVIL"/>
    <d v="2023-06-28T00:00:00"/>
    <d v="2023-07-10T19:01:40"/>
    <m/>
    <d v="2023-07-10T00:00:00"/>
    <n v="1530"/>
    <n v="20829"/>
    <s v="61063328"/>
    <s v="61063328"/>
    <m/>
    <m/>
    <n v="22777778"/>
    <m/>
    <m/>
    <m/>
    <s v="SOLFIN"/>
    <s v="SOLFIN"/>
    <s v="CCMS"/>
    <n v="21349708"/>
    <n v="14156.17"/>
    <m/>
    <s v="N"/>
    <n v="89"/>
    <d v="2023-07-10T19:01:56"/>
    <s v="Y"/>
    <s v="Preparation - other"/>
    <s v="Care Remuneration Hourly Rates"/>
    <s v="Profit Cost"/>
    <s v="HW"/>
    <s v="Y"/>
    <n v="58.88"/>
    <n v="11.78"/>
    <x v="2"/>
    <s v="VALIDATED"/>
    <n v="1"/>
    <s v="01.11.80.308.6100.0000"/>
    <n v="58.88"/>
    <s v="11"/>
    <s v="6100"/>
    <n v="26754.22"/>
    <n v="58.88"/>
    <s v="CREDITOR"/>
    <n v="0"/>
    <n v="0"/>
    <n v="0"/>
    <n v="0"/>
    <n v="58.88"/>
  </r>
  <r>
    <n v="61063328"/>
    <s v="N"/>
    <n v="21349708"/>
    <s v="3000015261150004"/>
    <s v="CIVIL"/>
    <d v="2023-06-28T00:00:00"/>
    <d v="2023-07-10T19:01:40"/>
    <m/>
    <d v="2023-07-10T00:00:00"/>
    <n v="1530"/>
    <n v="20829"/>
    <s v="61063328"/>
    <s v="61063328"/>
    <m/>
    <m/>
    <n v="22777778"/>
    <m/>
    <m/>
    <m/>
    <s v="SOLFIN"/>
    <s v="SOLFIN"/>
    <s v="CCMS"/>
    <n v="21349708"/>
    <n v="14156.17"/>
    <m/>
    <s v="N"/>
    <n v="1"/>
    <d v="2023-07-10T19:01:56"/>
    <s v="Y"/>
    <s v="Preparation - drafting notice(s)"/>
    <s v="Care Remuneration Hourly Rates"/>
    <s v="Profit Cost"/>
    <s v="OTH"/>
    <s v="Y"/>
    <n v="10.51"/>
    <n v="2.1"/>
    <x v="2"/>
    <s v="VALIDATED"/>
    <n v="1"/>
    <s v="01.11.80.308.6100.0000"/>
    <n v="10.51"/>
    <s v="11"/>
    <s v="6100"/>
    <n v="26754.22"/>
    <n v="10.51"/>
    <s v="CREDITOR"/>
    <n v="0"/>
    <n v="0"/>
    <n v="0"/>
    <n v="0"/>
    <n v="10.51"/>
  </r>
  <r>
    <n v="61807950"/>
    <s v="N"/>
    <n v="21338584"/>
    <s v="3000015879920001"/>
    <s v="CIVIL"/>
    <d v="2023-06-27T00:00:00"/>
    <d v="2023-07-06T19:21:01"/>
    <m/>
    <d v="2023-07-06T00:00:00"/>
    <n v="1530"/>
    <n v="20829"/>
    <s v="61807950"/>
    <s v="61807950"/>
    <m/>
    <m/>
    <n v="22772526"/>
    <m/>
    <m/>
    <m/>
    <s v="SOLFIN"/>
    <s v="SOLFIN"/>
    <s v="CCMS"/>
    <n v="21338584"/>
    <n v="4127.99"/>
    <m/>
    <s v="N"/>
    <n v="48"/>
    <d v="2023-07-06T19:21:29"/>
    <s v="Y"/>
    <s v="Routine Letter Out"/>
    <s v="Prescribed Hourly Rates"/>
    <s v="Profit Cost"/>
    <s v="OTH"/>
    <s v="Y"/>
    <n v="32.4"/>
    <n v="6.48"/>
    <x v="4"/>
    <s v="VALIDATED"/>
    <n v="1"/>
    <s v="01.11.80.307.6100.0000"/>
    <n v="32.4"/>
    <s v="11"/>
    <s v="6100"/>
    <n v="26754.22"/>
    <n v="32.4"/>
    <s v="CREDITOR"/>
    <n v="0"/>
    <n v="0"/>
    <n v="0"/>
    <n v="0"/>
    <n v="32.4"/>
  </r>
  <r>
    <n v="61807950"/>
    <s v="N"/>
    <n v="21338584"/>
    <s v="3000015879920001"/>
    <s v="CIVIL"/>
    <d v="2023-06-27T00:00:00"/>
    <d v="2023-07-06T19:21:01"/>
    <m/>
    <d v="2023-07-06T00:00:00"/>
    <n v="1530"/>
    <n v="20829"/>
    <s v="61807950"/>
    <s v="61807950"/>
    <m/>
    <m/>
    <n v="22772526"/>
    <m/>
    <m/>
    <m/>
    <s v="SOLFIN"/>
    <s v="SOLFIN"/>
    <s v="CCMS"/>
    <n v="21338584"/>
    <n v="4127.99"/>
    <m/>
    <s v="N"/>
    <n v="24"/>
    <d v="2023-07-06T19:21:29"/>
    <s v="Y"/>
    <s v="Preparation - other"/>
    <s v="Prescribed Hourly Rates"/>
    <s v="Profit Cost"/>
    <s v="HW"/>
    <s v="Y"/>
    <n v="31.57"/>
    <n v="6.31"/>
    <x v="4"/>
    <s v="VALIDATED"/>
    <n v="1"/>
    <s v="01.11.80.307.6100.0000"/>
    <n v="31.57"/>
    <s v="11"/>
    <s v="6100"/>
    <n v="26754.22"/>
    <n v="31.57"/>
    <s v="CREDITOR"/>
    <n v="0"/>
    <n v="0"/>
    <n v="0"/>
    <n v="0"/>
    <n v="31.57"/>
  </r>
  <r>
    <n v="60658700"/>
    <s v="N"/>
    <n v="21349958"/>
    <s v="3000014912410007"/>
    <s v="CIVIL"/>
    <d v="2023-06-29T00:00:00"/>
    <d v="2023-07-10T19:01:40"/>
    <m/>
    <d v="2023-07-10T00:00:00"/>
    <n v="1530"/>
    <n v="20829"/>
    <s v="60658700"/>
    <s v="60658700"/>
    <m/>
    <m/>
    <n v="22793116"/>
    <m/>
    <m/>
    <m/>
    <s v="SOLFIN"/>
    <s v="SOLFIN"/>
    <s v="CCMS"/>
    <n v="21349958"/>
    <n v="15751.18"/>
    <m/>
    <s v="N"/>
    <n v="35"/>
    <d v="2023-07-10T19:02:04"/>
    <s v="Y"/>
    <s v="Preparation - other"/>
    <s v="Care Remuneration Hourly Rates"/>
    <s v="Profit Cost"/>
    <s v="HW"/>
    <s v="Y"/>
    <n v="68.59999999999999"/>
    <n v="13.72"/>
    <x v="2"/>
    <s v="VALIDATED"/>
    <n v="1"/>
    <s v="01.11.80.308.6100.0000"/>
    <n v="68.59999999999999"/>
    <s v="11"/>
    <s v="6100"/>
    <n v="26754.22"/>
    <n v="68.59999999999999"/>
    <s v="CREDITOR"/>
    <n v="0"/>
    <n v="0"/>
    <n v="0"/>
    <n v="0"/>
    <n v="68.59999999999999"/>
  </r>
  <r>
    <n v="60658700"/>
    <s v="N"/>
    <n v="21349958"/>
    <s v="3000014912410007"/>
    <s v="CIVIL"/>
    <d v="2023-06-29T00:00:00"/>
    <d v="2023-07-10T19:01:40"/>
    <m/>
    <d v="2023-07-10T00:00:00"/>
    <n v="1530"/>
    <n v="20829"/>
    <s v="60658700"/>
    <s v="60658700"/>
    <m/>
    <m/>
    <n v="22793116"/>
    <m/>
    <m/>
    <m/>
    <s v="SOLFIN"/>
    <s v="SOLFIN"/>
    <s v="CCMS"/>
    <n v="21349958"/>
    <n v="15751.18"/>
    <m/>
    <s v="N"/>
    <n v="73"/>
    <d v="2023-07-10T19:02:04"/>
    <s v="Y"/>
    <s v="Preparation - drafting statement"/>
    <s v="Care Remuneration Hourly Rates"/>
    <s v="Profit Cost"/>
    <s v="HW"/>
    <s v="Y"/>
    <n v="60.99"/>
    <n v="12.2"/>
    <x v="2"/>
    <s v="VALIDATED"/>
    <n v="1"/>
    <s v="01.11.80.308.6100.0000"/>
    <n v="60.99"/>
    <s v="11"/>
    <s v="6100"/>
    <n v="26754.22"/>
    <n v="60.99"/>
    <s v="CREDITOR"/>
    <n v="0"/>
    <n v="0"/>
    <n v="0"/>
    <n v="0"/>
    <n v="60.99"/>
  </r>
  <r>
    <n v="60658700"/>
    <s v="N"/>
    <n v="21349958"/>
    <s v="3000014912410007"/>
    <s v="CIVIL"/>
    <d v="2023-06-29T00:00:00"/>
    <d v="2023-07-10T19:01:40"/>
    <m/>
    <d v="2023-07-10T00:00:00"/>
    <n v="1530"/>
    <n v="20829"/>
    <s v="60658700"/>
    <s v="60658700"/>
    <m/>
    <m/>
    <n v="22793116"/>
    <m/>
    <m/>
    <m/>
    <s v="SOLFIN"/>
    <s v="SOLFIN"/>
    <s v="CCMS"/>
    <n v="21349958"/>
    <n v="15751.18"/>
    <m/>
    <s v="N"/>
    <n v="120"/>
    <d v="2023-07-10T19:02:04"/>
    <s v="Y"/>
    <s v="Preparation - drafting attendance n"/>
    <s v="Care Remuneration Hourly Rates"/>
    <s v="Profit Cost"/>
    <s v="HW"/>
    <s v="Y"/>
    <n v="8.6"/>
    <n v="1.72"/>
    <x v="2"/>
    <s v="VALIDATED"/>
    <n v="1"/>
    <s v="01.11.80.308.6100.0000"/>
    <n v="8.6"/>
    <s v="11"/>
    <s v="6100"/>
    <n v="26754.22"/>
    <n v="8.6"/>
    <s v="CREDITOR"/>
    <n v="0"/>
    <n v="0"/>
    <n v="0"/>
    <n v="0"/>
    <n v="8.6"/>
  </r>
  <r>
    <n v="61063328"/>
    <s v="N"/>
    <n v="21349708"/>
    <s v="3000015261150004"/>
    <s v="CIVIL"/>
    <d v="2023-06-28T00:00:00"/>
    <d v="2023-07-10T19:01:40"/>
    <m/>
    <d v="2023-07-10T00:00:00"/>
    <n v="1530"/>
    <n v="20829"/>
    <s v="61063328"/>
    <s v="61063328"/>
    <m/>
    <m/>
    <n v="22777778"/>
    <m/>
    <m/>
    <m/>
    <s v="SOLFIN"/>
    <s v="SOLFIN"/>
    <s v="CCMS"/>
    <n v="21349708"/>
    <n v="14156.17"/>
    <m/>
    <s v="N"/>
    <n v="32"/>
    <d v="2023-07-10T19:01:56"/>
    <s v="Y"/>
    <s v="Preparation - other"/>
    <s v="Care Remuneration Hourly Rates"/>
    <s v="Profit Cost"/>
    <s v="HW"/>
    <s v="Y"/>
    <n v="353.28"/>
    <n v="70.66"/>
    <x v="2"/>
    <s v="VALIDATED"/>
    <n v="1"/>
    <s v="01.11.80.308.6100.0000"/>
    <n v="353.28"/>
    <s v="11"/>
    <s v="6100"/>
    <n v="26754.22"/>
    <n v="353.28"/>
    <s v="CREDITOR"/>
    <n v="0"/>
    <n v="0"/>
    <n v="0"/>
    <n v="0"/>
    <n v="353.28"/>
  </r>
  <r>
    <n v="61063328"/>
    <s v="N"/>
    <n v="21349708"/>
    <s v="3000015261150004"/>
    <s v="CIVIL"/>
    <d v="2023-06-28T00:00:00"/>
    <d v="2023-07-10T19:01:40"/>
    <m/>
    <d v="2023-07-10T00:00:00"/>
    <n v="1530"/>
    <n v="20829"/>
    <s v="61063328"/>
    <s v="61063328"/>
    <m/>
    <m/>
    <n v="22777778"/>
    <m/>
    <m/>
    <m/>
    <s v="SOLFIN"/>
    <s v="SOLFIN"/>
    <s v="CCMS"/>
    <n v="21349708"/>
    <n v="14156.17"/>
    <m/>
    <s v="N"/>
    <n v="55"/>
    <d v="2023-07-10T19:01:56"/>
    <s v="Y"/>
    <s v="Preparation - drafting notice(s)"/>
    <s v="Care Remuneration Hourly Rates"/>
    <s v="Profit Cost"/>
    <s v="OTH"/>
    <s v="Y"/>
    <n v="10.51"/>
    <n v="2.1"/>
    <x v="2"/>
    <s v="VALIDATED"/>
    <n v="1"/>
    <s v="01.11.80.308.6100.0000"/>
    <n v="10.51"/>
    <s v="11"/>
    <s v="6100"/>
    <n v="26754.22"/>
    <n v="10.51"/>
    <s v="CREDITOR"/>
    <n v="0"/>
    <n v="0"/>
    <n v="0"/>
    <n v="0"/>
    <n v="10.51"/>
  </r>
  <r>
    <n v="61807950"/>
    <s v="N"/>
    <n v="21338584"/>
    <s v="3000015879920001"/>
    <s v="CIVIL"/>
    <d v="2023-06-27T00:00:00"/>
    <d v="2023-07-06T19:21:01"/>
    <m/>
    <d v="2023-07-06T00:00:00"/>
    <n v="1530"/>
    <n v="20829"/>
    <s v="61807950"/>
    <s v="61807950"/>
    <m/>
    <m/>
    <n v="22772526"/>
    <m/>
    <m/>
    <m/>
    <s v="SOLFIN"/>
    <s v="SOLFIN"/>
    <s v="CCMS"/>
    <n v="21338584"/>
    <n v="4127.99"/>
    <m/>
    <s v="N"/>
    <n v="50"/>
    <d v="2023-07-06T19:21:29"/>
    <s v="Y"/>
    <s v="Routine Letter In"/>
    <s v="Prescribed Hourly Rates"/>
    <s v="Profit Cost"/>
    <s v="OTH"/>
    <s v="Y"/>
    <n v="13.5"/>
    <n v="2.7"/>
    <x v="4"/>
    <s v="VALIDATED"/>
    <n v="1"/>
    <s v="01.11.80.307.6100.0000"/>
    <n v="13.5"/>
    <s v="11"/>
    <s v="6100"/>
    <n v="26754.22"/>
    <n v="13.5"/>
    <s v="CREDITOR"/>
    <n v="0"/>
    <n v="0"/>
    <n v="0"/>
    <n v="0"/>
    <n v="13.5"/>
  </r>
  <r>
    <n v="61807950"/>
    <s v="N"/>
    <n v="21338584"/>
    <s v="3000015879920001"/>
    <s v="CIVIL"/>
    <d v="2023-06-27T00:00:00"/>
    <d v="2023-07-06T19:21:01"/>
    <m/>
    <d v="2023-07-06T00:00:00"/>
    <n v="1530"/>
    <n v="20829"/>
    <s v="61807950"/>
    <s v="61807950"/>
    <m/>
    <m/>
    <n v="22772526"/>
    <m/>
    <m/>
    <m/>
    <s v="SOLFIN"/>
    <s v="SOLFIN"/>
    <s v="CCMS"/>
    <n v="21338584"/>
    <n v="4127.99"/>
    <m/>
    <s v="N"/>
    <n v="2"/>
    <d v="2023-07-06T19:21:29"/>
    <s v="Y"/>
    <s v="Solicitor Travel Expenses"/>
    <s v="Prescribed Hourly Rates"/>
    <s v="Non Expert Disbursement"/>
    <s v="XXX"/>
    <s v="Y"/>
    <n v="5"/>
    <n v="0"/>
    <x v="4"/>
    <s v="VALIDATED"/>
    <n v="1"/>
    <s v="01.11.80.307.6300.0000"/>
    <n v="5"/>
    <s v="11"/>
    <s v="6300"/>
    <n v="26754.22"/>
    <n v="5"/>
    <s v="CREDITOR"/>
    <n v="0"/>
    <n v="0"/>
    <n v="0"/>
    <n v="0"/>
    <n v="5"/>
  </r>
  <r>
    <n v="60658700"/>
    <s v="N"/>
    <n v="21349958"/>
    <s v="3000014912410007"/>
    <s v="CIVIL"/>
    <d v="2023-06-29T00:00:00"/>
    <d v="2023-07-10T19:01:40"/>
    <m/>
    <d v="2023-07-10T00:00:00"/>
    <n v="1530"/>
    <n v="20829"/>
    <s v="60658700"/>
    <s v="60658700"/>
    <m/>
    <m/>
    <n v="22793116"/>
    <m/>
    <m/>
    <m/>
    <s v="SOLFIN"/>
    <s v="SOLFIN"/>
    <s v="CCMS"/>
    <n v="21349958"/>
    <n v="15751.18"/>
    <m/>
    <s v="N"/>
    <n v="34"/>
    <d v="2023-07-10T19:02:04"/>
    <s v="Y"/>
    <s v="Preparation - other"/>
    <s v="Care Remuneration Hourly Rates"/>
    <s v="Profit Cost"/>
    <s v="OTH"/>
    <s v="Y"/>
    <n v="5.26"/>
    <n v="1.05"/>
    <x v="2"/>
    <s v="VALIDATED"/>
    <n v="1"/>
    <s v="01.11.80.308.6100.0000"/>
    <n v="5.26"/>
    <s v="11"/>
    <s v="6100"/>
    <n v="26754.22"/>
    <n v="5.26"/>
    <s v="CREDITOR"/>
    <n v="0"/>
    <n v="0"/>
    <n v="0"/>
    <n v="0"/>
    <n v="5.26"/>
  </r>
  <r>
    <n v="60658700"/>
    <s v="N"/>
    <n v="21349958"/>
    <s v="3000014912410007"/>
    <s v="CIVIL"/>
    <d v="2023-06-29T00:00:00"/>
    <d v="2023-07-10T19:01:40"/>
    <m/>
    <d v="2023-07-10T00:00:00"/>
    <n v="1530"/>
    <n v="20829"/>
    <s v="60658700"/>
    <s v="60658700"/>
    <m/>
    <m/>
    <n v="22793116"/>
    <m/>
    <m/>
    <m/>
    <s v="SOLFIN"/>
    <s v="SOLFIN"/>
    <s v="CCMS"/>
    <n v="21349958"/>
    <n v="15751.18"/>
    <m/>
    <s v="N"/>
    <n v="63"/>
    <d v="2023-07-10T19:02:04"/>
    <s v="Y"/>
    <s v="Preparation - other"/>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93"/>
    <d v="2023-07-10T19:02:04"/>
    <s v="Y"/>
    <s v="Preparation - other"/>
    <s v="Care Remuneration Hourly Rates"/>
    <s v="Profit Cost"/>
    <s v="HW"/>
    <s v="Y"/>
    <n v="121.96"/>
    <n v="24.39"/>
    <x v="2"/>
    <s v="VALIDATED"/>
    <n v="1"/>
    <s v="01.11.80.308.6100.0000"/>
    <n v="121.96"/>
    <s v="11"/>
    <s v="6100"/>
    <n v="26754.22"/>
    <n v="121.96"/>
    <s v="CREDITOR"/>
    <n v="0"/>
    <n v="0"/>
    <n v="0"/>
    <n v="0"/>
    <n v="121.96"/>
  </r>
  <r>
    <n v="60658700"/>
    <s v="N"/>
    <n v="21349958"/>
    <s v="3000014912410007"/>
    <s v="CIVIL"/>
    <d v="2023-06-29T00:00:00"/>
    <d v="2023-07-10T19:01:40"/>
    <m/>
    <d v="2023-07-10T00:00:00"/>
    <n v="1530"/>
    <n v="20829"/>
    <s v="60658700"/>
    <s v="60658700"/>
    <m/>
    <m/>
    <n v="22793116"/>
    <m/>
    <m/>
    <m/>
    <s v="SOLFIN"/>
    <s v="SOLFIN"/>
    <s v="CCMS"/>
    <n v="21349958"/>
    <n v="15751.18"/>
    <m/>
    <s v="N"/>
    <n v="99"/>
    <d v="2023-07-10T19:02:04"/>
    <s v="Y"/>
    <s v="Preparation - drafting attendance n"/>
    <s v="Care Remuneration Hourly Rates"/>
    <s v="Profit Cost"/>
    <s v="HW"/>
    <s v="Y"/>
    <n v="15.24"/>
    <n v="3.05"/>
    <x v="2"/>
    <s v="VALIDATED"/>
    <n v="1"/>
    <s v="01.11.80.308.6100.0000"/>
    <n v="15.24"/>
    <s v="11"/>
    <s v="6100"/>
    <n v="26754.22"/>
    <n v="15.24"/>
    <s v="CREDITOR"/>
    <n v="0"/>
    <n v="0"/>
    <n v="0"/>
    <n v="0"/>
    <n v="15.24"/>
  </r>
  <r>
    <n v="61807950"/>
    <s v="N"/>
    <n v="21338584"/>
    <s v="3000015879920001"/>
    <s v="CIVIL"/>
    <d v="2023-06-27T00:00:00"/>
    <d v="2023-07-06T19:21:01"/>
    <m/>
    <d v="2023-07-06T00:00:00"/>
    <n v="1530"/>
    <n v="20829"/>
    <s v="61807950"/>
    <s v="61807950"/>
    <m/>
    <m/>
    <n v="22772526"/>
    <m/>
    <m/>
    <m/>
    <s v="SOLFIN"/>
    <s v="SOLFIN"/>
    <s v="CCMS"/>
    <n v="21338584"/>
    <n v="4127.99"/>
    <m/>
    <s v="N"/>
    <n v="14"/>
    <d v="2023-07-06T19:21:29"/>
    <s v="Y"/>
    <s v="Preparation - drafting application"/>
    <s v="Prescribed Hourly Rates"/>
    <s v="Profit Cost"/>
    <s v="HW"/>
    <s v="Y"/>
    <n v="88.39"/>
    <n v="17.68"/>
    <x v="4"/>
    <s v="VALIDATED"/>
    <n v="1"/>
    <s v="01.11.80.307.6100.0000"/>
    <n v="88.39"/>
    <s v="11"/>
    <s v="6100"/>
    <n v="26754.22"/>
    <n v="88.39"/>
    <s v="CREDITOR"/>
    <n v="0"/>
    <n v="0"/>
    <n v="0"/>
    <n v="0"/>
    <n v="88.39"/>
  </r>
  <r>
    <n v="61807950"/>
    <s v="N"/>
    <n v="21338584"/>
    <s v="3000015879920001"/>
    <s v="CIVIL"/>
    <d v="2023-06-27T00:00:00"/>
    <d v="2023-07-06T19:21:01"/>
    <m/>
    <d v="2023-07-06T00:00:00"/>
    <n v="1530"/>
    <n v="20829"/>
    <s v="61807950"/>
    <s v="61807950"/>
    <m/>
    <m/>
    <n v="22772526"/>
    <m/>
    <m/>
    <m/>
    <s v="SOLFIN"/>
    <s v="SOLFIN"/>
    <s v="CCMS"/>
    <n v="21338584"/>
    <n v="4127.99"/>
    <m/>
    <s v="N"/>
    <n v="35"/>
    <d v="2023-07-06T19:21:29"/>
    <s v="Y"/>
    <s v="Preparation - drafting statement"/>
    <s v="Prescribed Hourly Rates"/>
    <s v="Profit Cost"/>
    <s v="HW"/>
    <s v="Y"/>
    <n v="18.94"/>
    <n v="3.79"/>
    <x v="4"/>
    <s v="VALIDATED"/>
    <n v="1"/>
    <s v="01.11.80.307.6100.0000"/>
    <n v="18.94"/>
    <s v="11"/>
    <s v="6100"/>
    <n v="26754.22"/>
    <n v="18.94"/>
    <s v="CREDITOR"/>
    <n v="0"/>
    <n v="0"/>
    <n v="0"/>
    <n v="0"/>
    <n v="18.94"/>
  </r>
  <r>
    <n v="60658700"/>
    <s v="N"/>
    <n v="21349958"/>
    <s v="3000014912410007"/>
    <s v="CIVIL"/>
    <d v="2023-06-29T00:00:00"/>
    <d v="2023-07-10T19:01:40"/>
    <m/>
    <d v="2023-07-10T00:00:00"/>
    <n v="1530"/>
    <n v="20829"/>
    <s v="60658700"/>
    <s v="60658700"/>
    <m/>
    <m/>
    <n v="22793116"/>
    <m/>
    <m/>
    <m/>
    <s v="SOLFIN"/>
    <s v="SOLFIN"/>
    <s v="CCMS"/>
    <n v="21349958"/>
    <n v="15751.18"/>
    <m/>
    <s v="N"/>
    <n v="47"/>
    <d v="2023-07-10T19:02:04"/>
    <s v="Y"/>
    <s v="Preparation - other"/>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68"/>
    <d v="2023-07-10T19:02:04"/>
    <s v="Y"/>
    <s v="Preparation - drafting statement"/>
    <s v="Care Remuneration Hourly Rates"/>
    <s v="Profit Cost"/>
    <s v="HW"/>
    <s v="Y"/>
    <n v="68.59999999999999"/>
    <n v="13.72"/>
    <x v="2"/>
    <s v="VALIDATED"/>
    <n v="1"/>
    <s v="01.11.80.308.6100.0000"/>
    <n v="68.59999999999999"/>
    <s v="11"/>
    <s v="6100"/>
    <n v="26754.22"/>
    <n v="68.59999999999999"/>
    <s v="CREDITOR"/>
    <n v="0"/>
    <n v="0"/>
    <n v="0"/>
    <n v="0"/>
    <n v="68.59999999999999"/>
  </r>
  <r>
    <n v="60658700"/>
    <s v="N"/>
    <n v="21349958"/>
    <s v="3000014912410007"/>
    <s v="CIVIL"/>
    <d v="2023-06-29T00:00:00"/>
    <d v="2023-07-10T19:01:40"/>
    <m/>
    <d v="2023-07-10T00:00:00"/>
    <n v="1530"/>
    <n v="20829"/>
    <s v="60658700"/>
    <s v="60658700"/>
    <m/>
    <m/>
    <n v="22793116"/>
    <m/>
    <m/>
    <m/>
    <s v="SOLFIN"/>
    <s v="SOLFIN"/>
    <s v="CCMS"/>
    <n v="21349958"/>
    <n v="15751.18"/>
    <m/>
    <s v="N"/>
    <n v="75"/>
    <d v="2023-07-10T19:02:04"/>
    <s v="Y"/>
    <s v="Preparation - other"/>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85"/>
    <d v="2023-07-10T19:02:04"/>
    <s v="Y"/>
    <s v="Preparation - drafting notice(s)"/>
    <s v="Care Remuneration Hourly Rates"/>
    <s v="Profit Cost"/>
    <s v="OTH"/>
    <s v="Y"/>
    <n v="5.26"/>
    <n v="1.05"/>
    <x v="2"/>
    <s v="VALIDATED"/>
    <n v="1"/>
    <s v="01.11.80.308.6100.0000"/>
    <n v="5.26"/>
    <s v="11"/>
    <s v="6100"/>
    <n v="26754.22"/>
    <n v="5.26"/>
    <s v="CREDITOR"/>
    <n v="0"/>
    <n v="0"/>
    <n v="0"/>
    <n v="0"/>
    <n v="5.26"/>
  </r>
  <r>
    <n v="60658700"/>
    <s v="N"/>
    <n v="21349958"/>
    <s v="3000014912410007"/>
    <s v="CIVIL"/>
    <d v="2023-06-29T00:00:00"/>
    <d v="2023-07-10T19:01:40"/>
    <m/>
    <d v="2023-07-10T00:00:00"/>
    <n v="1530"/>
    <n v="20829"/>
    <s v="60658700"/>
    <s v="60658700"/>
    <m/>
    <m/>
    <n v="22793116"/>
    <m/>
    <m/>
    <m/>
    <s v="SOLFIN"/>
    <s v="SOLFIN"/>
    <s v="CCMS"/>
    <n v="21349958"/>
    <n v="15751.18"/>
    <m/>
    <s v="N"/>
    <n v="89"/>
    <d v="2023-07-10T19:02:04"/>
    <s v="Y"/>
    <s v="Preparation - drafting attendance n"/>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38"/>
    <d v="2023-07-10T19:02:04"/>
    <s v="Y"/>
    <s v="Preparation - drafting instructions"/>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144"/>
    <d v="2023-07-10T19:02:04"/>
    <s v="Y"/>
    <s v="Interpreter"/>
    <s v="Care Remuneration Hourly Rates"/>
    <s v="Expert Disbursement"/>
    <s v="XXX"/>
    <s v="Y"/>
    <n v="61.29"/>
    <n v="12.26"/>
    <x v="2"/>
    <s v="VALIDATED"/>
    <n v="1"/>
    <s v="01.11.80.308.6300.0000"/>
    <n v="61.29"/>
    <s v="11"/>
    <s v="6300"/>
    <n v="26754.22"/>
    <n v="61.29"/>
    <s v="CREDITOR"/>
    <n v="0"/>
    <n v="0"/>
    <n v="0"/>
    <n v="0"/>
    <n v="61.29"/>
  </r>
  <r>
    <n v="61807950"/>
    <s v="N"/>
    <n v="21338584"/>
    <s v="3000015879920001"/>
    <s v="CIVIL"/>
    <d v="2023-06-27T00:00:00"/>
    <d v="2023-07-06T19:21:01"/>
    <m/>
    <d v="2023-07-06T00:00:00"/>
    <n v="1530"/>
    <n v="20829"/>
    <s v="61807950"/>
    <s v="61807950"/>
    <m/>
    <m/>
    <n v="22772526"/>
    <m/>
    <m/>
    <m/>
    <s v="SOLFIN"/>
    <s v="SOLFIN"/>
    <s v="CCMS"/>
    <n v="21338584"/>
    <n v="4127.99"/>
    <m/>
    <s v="N"/>
    <n v="26"/>
    <d v="2023-07-06T19:21:29"/>
    <s v="Y"/>
    <s v="Preparation - other"/>
    <s v="Prescribed Hourly Rates"/>
    <s v="Profit Cost"/>
    <s v="HW"/>
    <s v="Y"/>
    <n v="151.52"/>
    <n v="30.3"/>
    <x v="4"/>
    <s v="VALIDATED"/>
    <n v="1"/>
    <s v="01.11.80.307.6100.0000"/>
    <n v="151.52"/>
    <s v="11"/>
    <s v="6100"/>
    <n v="26754.22"/>
    <n v="151.52"/>
    <s v="CREDITOR"/>
    <n v="0"/>
    <n v="0"/>
    <n v="0"/>
    <n v="0"/>
    <n v="151.52"/>
  </r>
  <r>
    <n v="60658700"/>
    <s v="N"/>
    <n v="21349958"/>
    <s v="3000014912410007"/>
    <s v="CIVIL"/>
    <d v="2023-06-29T00:00:00"/>
    <d v="2023-07-10T19:01:40"/>
    <m/>
    <d v="2023-07-10T00:00:00"/>
    <n v="1530"/>
    <n v="20829"/>
    <s v="60658700"/>
    <s v="60658700"/>
    <m/>
    <m/>
    <n v="22793116"/>
    <m/>
    <m/>
    <m/>
    <s v="SOLFIN"/>
    <s v="SOLFIN"/>
    <s v="CCMS"/>
    <n v="21349958"/>
    <n v="15751.18"/>
    <m/>
    <s v="N"/>
    <n v="108"/>
    <d v="2023-07-10T19:02:04"/>
    <s v="Y"/>
    <s v="Preparation - drafting agreement/se"/>
    <s v="Care Remuneration Hourly Rates"/>
    <s v="Profit Cost"/>
    <s v="HW"/>
    <s v="Y"/>
    <n v="30.49"/>
    <n v="6.1"/>
    <x v="2"/>
    <s v="VALIDATED"/>
    <n v="1"/>
    <s v="01.11.80.308.6100.0000"/>
    <n v="30.49"/>
    <s v="11"/>
    <s v="6100"/>
    <n v="26754.22"/>
    <n v="30.49"/>
    <s v="CREDITOR"/>
    <n v="0"/>
    <n v="0"/>
    <n v="0"/>
    <n v="0"/>
    <n v="30.49"/>
  </r>
  <r>
    <n v="60658700"/>
    <s v="N"/>
    <n v="21349958"/>
    <s v="3000014912410007"/>
    <s v="CIVIL"/>
    <d v="2023-06-29T00:00:00"/>
    <d v="2023-07-10T19:01:40"/>
    <m/>
    <d v="2023-07-10T00:00:00"/>
    <n v="1530"/>
    <n v="20829"/>
    <s v="60658700"/>
    <s v="60658700"/>
    <m/>
    <m/>
    <n v="22793116"/>
    <m/>
    <m/>
    <m/>
    <s v="SOLFIN"/>
    <s v="SOLFIN"/>
    <s v="CCMS"/>
    <n v="21349958"/>
    <n v="15751.18"/>
    <m/>
    <s v="N"/>
    <n v="110"/>
    <d v="2023-07-10T19:02:04"/>
    <s v="Y"/>
    <s v="Preparation - other"/>
    <s v="Care Remuneration Hourly Rates"/>
    <s v="Profit Cost"/>
    <s v="HW"/>
    <s v="Y"/>
    <n v="51.56"/>
    <n v="10.31"/>
    <x v="2"/>
    <s v="VALIDATED"/>
    <n v="1"/>
    <s v="01.11.80.308.6100.0000"/>
    <n v="51.56"/>
    <s v="11"/>
    <s v="6100"/>
    <n v="26754.22"/>
    <n v="51.56"/>
    <s v="CREDITOR"/>
    <n v="0"/>
    <n v="0"/>
    <n v="0"/>
    <n v="0"/>
    <n v="51.56"/>
  </r>
  <r>
    <n v="60658700"/>
    <s v="N"/>
    <n v="21349958"/>
    <s v="3000014912410007"/>
    <s v="CIVIL"/>
    <d v="2023-06-29T00:00:00"/>
    <d v="2023-07-10T19:01:40"/>
    <m/>
    <d v="2023-07-10T00:00:00"/>
    <n v="1530"/>
    <n v="20829"/>
    <s v="60658700"/>
    <s v="60658700"/>
    <m/>
    <m/>
    <n v="22793116"/>
    <m/>
    <m/>
    <m/>
    <s v="SOLFIN"/>
    <s v="SOLFIN"/>
    <s v="CCMS"/>
    <n v="21349958"/>
    <n v="15751.18"/>
    <m/>
    <s v="N"/>
    <n v="40"/>
    <d v="2023-07-10T19:02:04"/>
    <s v="Y"/>
    <s v="Preparation - other"/>
    <s v="Care Remuneration Hourly Rates"/>
    <s v="Profit Cost"/>
    <s v="HW"/>
    <s v="Y"/>
    <n v="121.96"/>
    <n v="24.39"/>
    <x v="2"/>
    <s v="VALIDATED"/>
    <n v="1"/>
    <s v="01.11.80.308.6100.0000"/>
    <n v="121.96"/>
    <s v="11"/>
    <s v="6100"/>
    <n v="26754.22"/>
    <n v="121.96"/>
    <s v="CREDITOR"/>
    <n v="0"/>
    <n v="0"/>
    <n v="0"/>
    <n v="0"/>
    <n v="121.96"/>
  </r>
  <r>
    <n v="61063328"/>
    <s v="N"/>
    <n v="21349708"/>
    <s v="3000015261150004"/>
    <s v="CIVIL"/>
    <d v="2023-06-28T00:00:00"/>
    <d v="2023-07-10T19:01:40"/>
    <m/>
    <d v="2023-07-10T00:00:00"/>
    <n v="1530"/>
    <n v="20829"/>
    <s v="61063328"/>
    <s v="61063328"/>
    <m/>
    <m/>
    <n v="22777778"/>
    <m/>
    <m/>
    <m/>
    <s v="SOLFIN"/>
    <s v="SOLFIN"/>
    <s v="CCMS"/>
    <n v="21349708"/>
    <n v="14156.17"/>
    <m/>
    <s v="N"/>
    <n v="17"/>
    <d v="2023-07-10T19:01:56"/>
    <s v="Y"/>
    <s v="Preparation - other"/>
    <s v="Care Remuneration Hourly Rates"/>
    <s v="Profit Cost"/>
    <s v="HW"/>
    <s v="Y"/>
    <n v="36.81"/>
    <n v="7.36"/>
    <x v="2"/>
    <s v="VALIDATED"/>
    <n v="1"/>
    <s v="01.11.80.308.6100.0000"/>
    <n v="36.81"/>
    <s v="11"/>
    <s v="6100"/>
    <n v="26754.22"/>
    <n v="36.81"/>
    <s v="CREDITOR"/>
    <n v="0"/>
    <n v="0"/>
    <n v="0"/>
    <n v="0"/>
    <n v="36.81"/>
  </r>
  <r>
    <n v="61807950"/>
    <s v="N"/>
    <n v="21338584"/>
    <s v="3000015879920001"/>
    <s v="CIVIL"/>
    <d v="2023-06-27T00:00:00"/>
    <d v="2023-07-06T19:21:01"/>
    <m/>
    <d v="2023-07-06T00:00:00"/>
    <n v="1530"/>
    <n v="20829"/>
    <s v="61807950"/>
    <s v="61807950"/>
    <m/>
    <m/>
    <n v="22772526"/>
    <m/>
    <m/>
    <m/>
    <s v="SOLFIN"/>
    <s v="SOLFIN"/>
    <s v="CCMS"/>
    <n v="21338584"/>
    <n v="4127.99"/>
    <m/>
    <s v="N"/>
    <n v="7"/>
    <d v="2023-07-06T19:21:29"/>
    <s v="Y"/>
    <s v="Preparation - drafting statement"/>
    <s v="Prescribed Hourly Rates"/>
    <s v="Profit Cost"/>
    <s v="HW"/>
    <s v="Y"/>
    <n v="126.27"/>
    <n v="25.25"/>
    <x v="4"/>
    <s v="VALIDATED"/>
    <n v="1"/>
    <s v="01.11.80.307.6100.0000"/>
    <n v="126.27"/>
    <s v="11"/>
    <s v="6100"/>
    <n v="26754.22"/>
    <n v="126.27"/>
    <s v="CREDITOR"/>
    <n v="0"/>
    <n v="0"/>
    <n v="0"/>
    <n v="0"/>
    <n v="126.27"/>
  </r>
  <r>
    <n v="60658700"/>
    <s v="N"/>
    <n v="21349958"/>
    <s v="3000014912410007"/>
    <s v="CIVIL"/>
    <d v="2023-06-29T00:00:00"/>
    <d v="2023-07-10T19:01:40"/>
    <m/>
    <d v="2023-07-10T00:00:00"/>
    <n v="1530"/>
    <n v="20829"/>
    <s v="60658700"/>
    <s v="60658700"/>
    <m/>
    <m/>
    <n v="22793116"/>
    <m/>
    <m/>
    <m/>
    <s v="SOLFIN"/>
    <s v="SOLFIN"/>
    <s v="CCMS"/>
    <n v="21349958"/>
    <n v="15751.18"/>
    <m/>
    <s v="N"/>
    <n v="123"/>
    <d v="2023-07-10T19:02:04"/>
    <s v="Y"/>
    <s v="Preparation - other"/>
    <s v="Care Remuneration Hourly Rates"/>
    <s v="Profit Cost"/>
    <s v="OTH"/>
    <s v="Y"/>
    <n v="5.93"/>
    <n v="1.19"/>
    <x v="2"/>
    <s v="VALIDATED"/>
    <n v="1"/>
    <s v="01.11.80.308.6100.0000"/>
    <n v="5.93"/>
    <s v="11"/>
    <s v="6100"/>
    <n v="26754.22"/>
    <n v="5.93"/>
    <s v="CREDITOR"/>
    <n v="0"/>
    <n v="0"/>
    <n v="0"/>
    <n v="0"/>
    <n v="5.93"/>
  </r>
  <r>
    <n v="60658700"/>
    <s v="N"/>
    <n v="21349958"/>
    <s v="3000014912410007"/>
    <s v="CIVIL"/>
    <d v="2023-06-29T00:00:00"/>
    <d v="2023-07-10T19:01:40"/>
    <m/>
    <d v="2023-07-10T00:00:00"/>
    <n v="1530"/>
    <n v="20829"/>
    <s v="60658700"/>
    <s v="60658700"/>
    <m/>
    <m/>
    <n v="22793116"/>
    <m/>
    <m/>
    <m/>
    <s v="SOLFIN"/>
    <s v="SOLFIN"/>
    <s v="CCMS"/>
    <n v="21349958"/>
    <n v="15751.18"/>
    <m/>
    <s v="N"/>
    <n v="58"/>
    <d v="2023-07-10T19:02:04"/>
    <s v="Y"/>
    <s v="Preparation - other"/>
    <s v="Care Remuneration Hourly Rates"/>
    <s v="Profit Cost"/>
    <s v="HW"/>
    <s v="Y"/>
    <n v="53.36"/>
    <n v="10.67"/>
    <x v="2"/>
    <s v="VALIDATED"/>
    <n v="1"/>
    <s v="01.11.80.308.6100.0000"/>
    <n v="53.36"/>
    <s v="11"/>
    <s v="6100"/>
    <n v="26754.22"/>
    <n v="53.36"/>
    <s v="CREDITOR"/>
    <n v="0"/>
    <n v="0"/>
    <n v="0"/>
    <n v="0"/>
    <n v="53.36"/>
  </r>
  <r>
    <n v="61063328"/>
    <s v="N"/>
    <n v="21349708"/>
    <s v="3000015261150004"/>
    <s v="CIVIL"/>
    <d v="2023-06-28T00:00:00"/>
    <d v="2023-07-10T19:01:40"/>
    <m/>
    <d v="2023-07-10T00:00:00"/>
    <n v="1530"/>
    <n v="20829"/>
    <s v="61063328"/>
    <s v="61063328"/>
    <m/>
    <m/>
    <n v="22777778"/>
    <m/>
    <m/>
    <m/>
    <s v="SOLFIN"/>
    <s v="SOLFIN"/>
    <s v="CCMS"/>
    <n v="21349708"/>
    <n v="14156.17"/>
    <m/>
    <s v="N"/>
    <n v="73"/>
    <d v="2023-07-10T19:01:56"/>
    <s v="Y"/>
    <s v="Preparation - other"/>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53"/>
    <d v="2023-07-10T19:01:56"/>
    <s v="Y"/>
    <s v="Preparation - drafting consent orde"/>
    <s v="Care Remuneration Hourly Rates"/>
    <s v="Profit Cost"/>
    <s v="HW"/>
    <s v="Y"/>
    <n v="14.71"/>
    <n v="2.94"/>
    <x v="2"/>
    <s v="VALIDATED"/>
    <n v="1"/>
    <s v="01.11.80.308.6100.0000"/>
    <n v="14.71"/>
    <s v="11"/>
    <s v="6100"/>
    <n v="26754.22"/>
    <n v="14.71"/>
    <s v="CREDITOR"/>
    <n v="0"/>
    <n v="0"/>
    <n v="0"/>
    <n v="0"/>
    <n v="14.71"/>
  </r>
  <r>
    <n v="61807950"/>
    <s v="N"/>
    <n v="21338584"/>
    <s v="3000015879920001"/>
    <s v="CIVIL"/>
    <d v="2023-06-27T00:00:00"/>
    <d v="2023-07-06T19:21:01"/>
    <m/>
    <d v="2023-07-06T00:00:00"/>
    <n v="1530"/>
    <n v="20829"/>
    <s v="61807950"/>
    <s v="61807950"/>
    <m/>
    <m/>
    <n v="22772526"/>
    <m/>
    <m/>
    <m/>
    <s v="SOLFIN"/>
    <s v="SOLFIN"/>
    <s v="CCMS"/>
    <n v="21338584"/>
    <n v="4127.99"/>
    <m/>
    <s v="N"/>
    <n v="39"/>
    <d v="2023-07-06T19:21:29"/>
    <s v="Y"/>
    <s v="Preparation - other"/>
    <s v="Prescribed Hourly Rates"/>
    <s v="Profit Cost"/>
    <s v="HW"/>
    <s v="Y"/>
    <n v="101.02"/>
    <n v="20.2"/>
    <x v="4"/>
    <s v="VALIDATED"/>
    <n v="1"/>
    <s v="01.11.80.307.6100.0000"/>
    <n v="101.02"/>
    <s v="11"/>
    <s v="6100"/>
    <n v="26754.22"/>
    <n v="101.02"/>
    <s v="CREDITOR"/>
    <n v="0"/>
    <n v="0"/>
    <n v="0"/>
    <n v="0"/>
    <n v="101.02"/>
  </r>
  <r>
    <n v="60658700"/>
    <s v="N"/>
    <n v="21349958"/>
    <s v="3000014912410007"/>
    <s v="CIVIL"/>
    <d v="2023-06-29T00:00:00"/>
    <d v="2023-07-10T19:01:40"/>
    <m/>
    <d v="2023-07-10T00:00:00"/>
    <n v="1530"/>
    <n v="20829"/>
    <s v="60658700"/>
    <s v="60658700"/>
    <m/>
    <m/>
    <n v="22793116"/>
    <m/>
    <m/>
    <m/>
    <s v="SOLFIN"/>
    <s v="SOLFIN"/>
    <s v="CCMS"/>
    <n v="21349958"/>
    <n v="15751.18"/>
    <m/>
    <s v="N"/>
    <n v="103"/>
    <d v="2023-07-10T19:02:04"/>
    <s v="Y"/>
    <s v="Preparation - drafting statement"/>
    <s v="Care Remuneration Hourly Rates"/>
    <s v="Profit Cost"/>
    <s v="HW"/>
    <s v="Y"/>
    <n v="30.49"/>
    <n v="6.1"/>
    <x v="2"/>
    <s v="VALIDATED"/>
    <n v="1"/>
    <s v="01.11.80.308.6100.0000"/>
    <n v="30.49"/>
    <s v="11"/>
    <s v="6100"/>
    <n v="26754.22"/>
    <n v="30.49"/>
    <s v="CREDITOR"/>
    <n v="0"/>
    <n v="0"/>
    <n v="0"/>
    <n v="0"/>
    <n v="30.49"/>
  </r>
  <r>
    <n v="61063328"/>
    <s v="N"/>
    <n v="21349708"/>
    <s v="3000015261150004"/>
    <s v="CIVIL"/>
    <d v="2023-06-28T00:00:00"/>
    <d v="2023-07-10T19:01:40"/>
    <m/>
    <d v="2023-07-10T00:00:00"/>
    <n v="1530"/>
    <n v="20829"/>
    <s v="61063328"/>
    <s v="61063328"/>
    <m/>
    <m/>
    <n v="22777778"/>
    <m/>
    <m/>
    <m/>
    <s v="SOLFIN"/>
    <s v="SOLFIN"/>
    <s v="CCMS"/>
    <n v="21349708"/>
    <n v="14156.17"/>
    <m/>
    <s v="N"/>
    <n v="74"/>
    <d v="2023-07-10T19:01:56"/>
    <s v="Y"/>
    <s v="Preparation - other"/>
    <s v="Care Remuneration Hourly Rates"/>
    <s v="Profit Cost"/>
    <s v="OTH"/>
    <s v="Y"/>
    <n v="10.51"/>
    <n v="2.1"/>
    <x v="2"/>
    <s v="VALIDATED"/>
    <n v="1"/>
    <s v="01.11.80.308.6100.0000"/>
    <n v="10.51"/>
    <s v="11"/>
    <s v="6100"/>
    <n v="26754.22"/>
    <n v="10.51"/>
    <s v="CREDITOR"/>
    <n v="0"/>
    <n v="0"/>
    <n v="0"/>
    <n v="0"/>
    <n v="10.51"/>
  </r>
  <r>
    <n v="61063328"/>
    <s v="N"/>
    <n v="21349708"/>
    <s v="3000015261150004"/>
    <s v="CIVIL"/>
    <d v="2023-06-28T00:00:00"/>
    <d v="2023-07-10T19:01:40"/>
    <m/>
    <d v="2023-07-10T00:00:00"/>
    <n v="1530"/>
    <n v="20829"/>
    <s v="61063328"/>
    <s v="61063328"/>
    <m/>
    <m/>
    <n v="22777778"/>
    <m/>
    <m/>
    <m/>
    <s v="SOLFIN"/>
    <s v="SOLFIN"/>
    <s v="CCMS"/>
    <n v="21349708"/>
    <n v="14156.17"/>
    <m/>
    <s v="N"/>
    <n v="16"/>
    <d v="2023-07-10T19:01:56"/>
    <s v="Y"/>
    <s v="Preparation - drafting consent orde"/>
    <s v="Care Remuneration Hourly Rates"/>
    <s v="Profit Cost"/>
    <s v="HW"/>
    <s v="Y"/>
    <n v="36.81"/>
    <n v="7.36"/>
    <x v="2"/>
    <s v="VALIDATED"/>
    <n v="1"/>
    <s v="01.11.80.308.6100.0000"/>
    <n v="36.81"/>
    <s v="11"/>
    <s v="6100"/>
    <n v="26754.22"/>
    <n v="36.81"/>
    <s v="CREDITOR"/>
    <n v="0"/>
    <n v="0"/>
    <n v="0"/>
    <n v="0"/>
    <n v="36.81"/>
  </r>
  <r>
    <n v="61063328"/>
    <s v="N"/>
    <n v="21349708"/>
    <s v="3000015261150004"/>
    <s v="CIVIL"/>
    <d v="2023-06-28T00:00:00"/>
    <d v="2023-07-10T19:01:40"/>
    <m/>
    <d v="2023-07-10T00:00:00"/>
    <n v="1530"/>
    <n v="20829"/>
    <s v="61063328"/>
    <s v="61063328"/>
    <m/>
    <m/>
    <n v="22777778"/>
    <m/>
    <m/>
    <m/>
    <s v="SOLFIN"/>
    <s v="SOLFIN"/>
    <s v="CCMS"/>
    <n v="21349708"/>
    <n v="14156.17"/>
    <m/>
    <s v="N"/>
    <n v="106"/>
    <d v="2023-07-10T19:01:56"/>
    <s v="Y"/>
    <s v="Psychologist"/>
    <s v="Care Remuneration Hourly Rates"/>
    <s v="Expert Disbursement"/>
    <s v="XXX"/>
    <s v="Y"/>
    <n v="339.82"/>
    <n v="0"/>
    <x v="2"/>
    <s v="VALIDATED"/>
    <n v="1"/>
    <s v="01.11.80.308.6300.0000"/>
    <n v="339.82"/>
    <s v="11"/>
    <s v="6300"/>
    <n v="26754.22"/>
    <n v="339.82"/>
    <s v="CREDITOR"/>
    <n v="0"/>
    <n v="0"/>
    <n v="0"/>
    <n v="0"/>
    <n v="339.82"/>
  </r>
  <r>
    <n v="61807950"/>
    <s v="N"/>
    <n v="21338584"/>
    <s v="3000015879920001"/>
    <s v="CIVIL"/>
    <d v="2023-06-27T00:00:00"/>
    <d v="2023-07-06T19:21:01"/>
    <m/>
    <d v="2023-07-06T00:00:00"/>
    <n v="1530"/>
    <n v="20829"/>
    <s v="61807950"/>
    <s v="61807950"/>
    <m/>
    <m/>
    <n v="22772526"/>
    <m/>
    <m/>
    <m/>
    <s v="SOLFIN"/>
    <s v="SOLFIN"/>
    <s v="CCMS"/>
    <n v="21338584"/>
    <n v="4127.99"/>
    <m/>
    <s v="N"/>
    <n v="15"/>
    <d v="2023-07-06T19:21:29"/>
    <s v="Y"/>
    <s v="Preparation - other"/>
    <s v="Prescribed Hourly Rates"/>
    <s v="Profit Cost"/>
    <s v="HW"/>
    <s v="Y"/>
    <n v="56.82"/>
    <n v="11.36"/>
    <x v="4"/>
    <s v="VALIDATED"/>
    <n v="1"/>
    <s v="01.11.80.307.6100.0000"/>
    <n v="56.82"/>
    <s v="11"/>
    <s v="6100"/>
    <n v="26754.22"/>
    <n v="56.82"/>
    <s v="CREDITOR"/>
    <n v="0"/>
    <n v="0"/>
    <n v="0"/>
    <n v="0"/>
    <n v="56.82"/>
  </r>
  <r>
    <n v="61807950"/>
    <s v="N"/>
    <n v="21338584"/>
    <s v="3000015879920001"/>
    <s v="CIVIL"/>
    <d v="2023-06-27T00:00:00"/>
    <d v="2023-07-06T19:21:01"/>
    <m/>
    <d v="2023-07-06T00:00:00"/>
    <n v="1530"/>
    <n v="20829"/>
    <s v="61807950"/>
    <s v="61807950"/>
    <m/>
    <m/>
    <n v="22772526"/>
    <m/>
    <m/>
    <m/>
    <s v="SOLFIN"/>
    <s v="SOLFIN"/>
    <s v="CCMS"/>
    <n v="21338584"/>
    <n v="4127.99"/>
    <m/>
    <s v="N"/>
    <n v="18"/>
    <d v="2023-07-06T19:21:29"/>
    <s v="Y"/>
    <s v="Advocacy - Directions Hearing"/>
    <s v="Prescribed Hourly Rates"/>
    <s v="Advocacy"/>
    <s v="HW"/>
    <s v="Y"/>
    <n v="91.29000000000001"/>
    <n v="18.26"/>
    <x v="4"/>
    <s v="VALIDATED"/>
    <n v="1"/>
    <s v="01.11.80.307.6100.0000"/>
    <n v="91.29000000000001"/>
    <s v="11"/>
    <s v="6100"/>
    <n v="26754.22"/>
    <n v="91.29000000000001"/>
    <s v="CREDITOR"/>
    <n v="0"/>
    <n v="0"/>
    <n v="0"/>
    <n v="0"/>
    <n v="91.29000000000001"/>
  </r>
  <r>
    <n v="61807950"/>
    <s v="N"/>
    <n v="21338584"/>
    <s v="3000015879920001"/>
    <s v="CIVIL"/>
    <d v="2023-06-27T00:00:00"/>
    <d v="2023-07-06T19:21:01"/>
    <m/>
    <d v="2023-07-06T00:00:00"/>
    <n v="1530"/>
    <n v="20829"/>
    <s v="61807950"/>
    <s v="61807950"/>
    <m/>
    <m/>
    <n v="22772526"/>
    <m/>
    <m/>
    <m/>
    <s v="SOLFIN"/>
    <s v="SOLFIN"/>
    <s v="CCMS"/>
    <n v="21338584"/>
    <n v="4127.99"/>
    <m/>
    <s v="N"/>
    <n v="21"/>
    <d v="2023-07-06T19:21:29"/>
    <s v="Y"/>
    <s v="Preparation - drafting consent orde"/>
    <s v="Prescribed Hourly Rates"/>
    <s v="Profit Cost"/>
    <s v="HW"/>
    <s v="Y"/>
    <n v="56.82"/>
    <n v="11.36"/>
    <x v="4"/>
    <s v="VALIDATED"/>
    <n v="1"/>
    <s v="01.11.80.307.6100.0000"/>
    <n v="56.82"/>
    <s v="11"/>
    <s v="6100"/>
    <n v="26754.22"/>
    <n v="56.82"/>
    <s v="CREDITOR"/>
    <n v="0"/>
    <n v="0"/>
    <n v="0"/>
    <n v="0"/>
    <n v="56.82"/>
  </r>
  <r>
    <n v="60658700"/>
    <s v="N"/>
    <n v="21349958"/>
    <s v="3000014912410007"/>
    <s v="CIVIL"/>
    <d v="2023-06-29T00:00:00"/>
    <d v="2023-07-10T19:01:40"/>
    <m/>
    <d v="2023-07-10T00:00:00"/>
    <n v="1530"/>
    <n v="20829"/>
    <s v="60658700"/>
    <s v="60658700"/>
    <m/>
    <m/>
    <n v="22793116"/>
    <m/>
    <m/>
    <m/>
    <s v="SOLFIN"/>
    <s v="SOLFIN"/>
    <s v="CCMS"/>
    <n v="21349958"/>
    <n v="15751.18"/>
    <m/>
    <s v="N"/>
    <n v="18"/>
    <d v="2023-07-10T19:02:04"/>
    <s v="Y"/>
    <s v="Preparation - drafting statement"/>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100"/>
    <d v="2023-07-10T19:02:04"/>
    <s v="Y"/>
    <s v="Preparation - other"/>
    <s v="Care Remuneration Hourly Rates"/>
    <s v="Profit Cost"/>
    <s v="HW"/>
    <s v="Y"/>
    <n v="121.96"/>
    <n v="24.39"/>
    <x v="2"/>
    <s v="VALIDATED"/>
    <n v="1"/>
    <s v="01.11.80.308.6100.0000"/>
    <n v="121.96"/>
    <s v="11"/>
    <s v="6100"/>
    <n v="26754.22"/>
    <n v="121.96"/>
    <s v="CREDITOR"/>
    <n v="0"/>
    <n v="0"/>
    <n v="0"/>
    <n v="0"/>
    <n v="121.96"/>
  </r>
  <r>
    <n v="61063328"/>
    <s v="N"/>
    <n v="21349708"/>
    <s v="3000015261150004"/>
    <s v="CIVIL"/>
    <d v="2023-06-28T00:00:00"/>
    <d v="2023-07-10T19:01:40"/>
    <m/>
    <d v="2023-07-10T00:00:00"/>
    <n v="1530"/>
    <n v="20829"/>
    <s v="61063328"/>
    <s v="61063328"/>
    <m/>
    <m/>
    <n v="22777778"/>
    <m/>
    <m/>
    <m/>
    <s v="SOLFIN"/>
    <s v="SOLFIN"/>
    <s v="CCMS"/>
    <n v="21349708"/>
    <n v="14156.17"/>
    <m/>
    <s v="N"/>
    <n v="23"/>
    <d v="2023-07-10T19:01:56"/>
    <s v="Y"/>
    <s v="Preparation - other"/>
    <s v="Care Remuneration Hourly Rates"/>
    <s v="Profit Cost"/>
    <s v="HW"/>
    <s v="Y"/>
    <n v="66.23"/>
    <n v="13.25"/>
    <x v="2"/>
    <s v="VALIDATED"/>
    <n v="1"/>
    <s v="01.11.80.308.6100.0000"/>
    <n v="66.23"/>
    <s v="11"/>
    <s v="6100"/>
    <n v="26754.22"/>
    <n v="66.23"/>
    <s v="CREDITOR"/>
    <n v="0"/>
    <n v="0"/>
    <n v="0"/>
    <n v="0"/>
    <n v="66.23"/>
  </r>
  <r>
    <n v="61807950"/>
    <s v="N"/>
    <n v="21338584"/>
    <s v="3000015879920001"/>
    <s v="CIVIL"/>
    <d v="2023-06-27T00:00:00"/>
    <d v="2023-07-06T19:21:01"/>
    <m/>
    <d v="2023-07-06T00:00:00"/>
    <n v="1530"/>
    <n v="20829"/>
    <s v="61807950"/>
    <s v="61807950"/>
    <m/>
    <m/>
    <n v="22772526"/>
    <m/>
    <m/>
    <m/>
    <s v="SOLFIN"/>
    <s v="SOLFIN"/>
    <s v="CCMS"/>
    <n v="21338584"/>
    <n v="4127.99"/>
    <m/>
    <s v="N"/>
    <n v="42"/>
    <d v="2023-07-06T19:21:29"/>
    <s v="Y"/>
    <s v="Preparation - drafting attendance n"/>
    <s v="Prescribed Hourly Rates"/>
    <s v="Profit Cost"/>
    <s v="HW"/>
    <s v="Y"/>
    <n v="18.94"/>
    <n v="3.79"/>
    <x v="4"/>
    <s v="VALIDATED"/>
    <n v="1"/>
    <s v="01.11.80.307.6100.0000"/>
    <n v="18.94"/>
    <s v="11"/>
    <s v="6100"/>
    <n v="26754.22"/>
    <n v="18.94"/>
    <s v="CREDITOR"/>
    <n v="0"/>
    <n v="0"/>
    <n v="0"/>
    <n v="0"/>
    <n v="18.94"/>
  </r>
  <r>
    <n v="61807950"/>
    <s v="N"/>
    <n v="21338584"/>
    <s v="3000015879920001"/>
    <s v="CIVIL"/>
    <d v="2023-06-27T00:00:00"/>
    <d v="2023-07-06T19:21:01"/>
    <m/>
    <d v="2023-07-06T00:00:00"/>
    <n v="1530"/>
    <n v="20829"/>
    <s v="61807950"/>
    <s v="61807950"/>
    <m/>
    <m/>
    <n v="22772526"/>
    <m/>
    <m/>
    <m/>
    <s v="SOLFIN"/>
    <s v="SOLFIN"/>
    <s v="CCMS"/>
    <n v="21338584"/>
    <n v="4127.99"/>
    <m/>
    <s v="N"/>
    <n v="19"/>
    <d v="2023-07-06T19:21:29"/>
    <s v="Y"/>
    <s v="Travel to court"/>
    <s v="Prescribed Hourly Rates"/>
    <s v="Profit Cost"/>
    <s v="HW"/>
    <s v="Y"/>
    <n v="64.17"/>
    <n v="12.83"/>
    <x v="4"/>
    <s v="VALIDATED"/>
    <n v="1"/>
    <s v="01.11.80.307.6100.0000"/>
    <n v="64.17"/>
    <s v="11"/>
    <s v="6100"/>
    <n v="26754.22"/>
    <n v="64.17"/>
    <s v="CREDITOR"/>
    <n v="0"/>
    <n v="0"/>
    <n v="0"/>
    <n v="0"/>
    <n v="64.17"/>
  </r>
  <r>
    <n v="61807950"/>
    <s v="N"/>
    <n v="21338584"/>
    <s v="3000015879920001"/>
    <s v="CIVIL"/>
    <d v="2023-06-27T00:00:00"/>
    <d v="2023-07-06T19:21:01"/>
    <m/>
    <d v="2023-07-06T00:00:00"/>
    <n v="1530"/>
    <n v="20829"/>
    <s v="61807950"/>
    <s v="61807950"/>
    <m/>
    <m/>
    <n v="22772526"/>
    <m/>
    <m/>
    <m/>
    <s v="SOLFIN"/>
    <s v="SOLFIN"/>
    <s v="CCMS"/>
    <n v="21338584"/>
    <n v="4127.99"/>
    <m/>
    <s v="N"/>
    <n v="36"/>
    <d v="2023-07-06T19:21:29"/>
    <s v="Y"/>
    <s v="Preparation - Periodic file review"/>
    <s v="Prescribed Hourly Rates"/>
    <s v="Profit Cost"/>
    <s v="HW"/>
    <s v="Y"/>
    <n v="145.21"/>
    <n v="29.04"/>
    <x v="4"/>
    <s v="VALIDATED"/>
    <n v="1"/>
    <s v="01.11.80.307.6100.0000"/>
    <n v="145.21"/>
    <s v="11"/>
    <s v="6100"/>
    <n v="26754.22"/>
    <n v="145.21"/>
    <s v="CREDITOR"/>
    <n v="0"/>
    <n v="0"/>
    <n v="0"/>
    <n v="0"/>
    <n v="145.21"/>
  </r>
  <r>
    <n v="60658700"/>
    <s v="N"/>
    <n v="21349958"/>
    <s v="3000014912410007"/>
    <s v="CIVIL"/>
    <d v="2023-06-29T00:00:00"/>
    <d v="2023-07-10T19:01:40"/>
    <m/>
    <d v="2023-07-10T00:00:00"/>
    <n v="1530"/>
    <n v="20829"/>
    <s v="60658700"/>
    <s v="60658700"/>
    <m/>
    <m/>
    <n v="22793116"/>
    <m/>
    <m/>
    <m/>
    <s v="SOLFIN"/>
    <s v="SOLFIN"/>
    <s v="CCMS"/>
    <n v="21349958"/>
    <n v="15751.18"/>
    <m/>
    <s v="N"/>
    <n v="48"/>
    <d v="2023-07-10T19:02:04"/>
    <s v="Y"/>
    <s v="Preparation - drafting application"/>
    <s v="Care Remuneration Hourly Rates"/>
    <s v="Profit Cost"/>
    <s v="HW"/>
    <s v="Y"/>
    <n v="83.84999999999999"/>
    <n v="16.77"/>
    <x v="2"/>
    <s v="VALIDATED"/>
    <n v="1"/>
    <s v="01.11.80.308.6100.0000"/>
    <n v="83.84999999999999"/>
    <s v="11"/>
    <s v="6100"/>
    <n v="26754.22"/>
    <n v="83.84999999999999"/>
    <s v="CREDITOR"/>
    <n v="0"/>
    <n v="0"/>
    <n v="0"/>
    <n v="0"/>
    <n v="83.84999999999999"/>
  </r>
  <r>
    <n v="60658700"/>
    <s v="N"/>
    <n v="21349958"/>
    <s v="3000014912410007"/>
    <s v="CIVIL"/>
    <d v="2023-06-29T00:00:00"/>
    <d v="2023-07-10T19:01:40"/>
    <m/>
    <d v="2023-07-10T00:00:00"/>
    <n v="1530"/>
    <n v="20829"/>
    <s v="60658700"/>
    <s v="60658700"/>
    <m/>
    <m/>
    <n v="22793116"/>
    <m/>
    <m/>
    <m/>
    <s v="SOLFIN"/>
    <s v="SOLFIN"/>
    <s v="CCMS"/>
    <n v="21349958"/>
    <n v="15751.18"/>
    <m/>
    <s v="N"/>
    <n v="72"/>
    <d v="2023-07-10T19:02:04"/>
    <s v="Y"/>
    <s v="Preparation - other"/>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87"/>
    <d v="2023-07-10T19:02:04"/>
    <s v="Y"/>
    <s v="Preparation - other"/>
    <s v="Care Remuneration Hourly Rates"/>
    <s v="Profit Cost"/>
    <s v="HW"/>
    <s v="Y"/>
    <n v="22.87"/>
    <n v="4.57"/>
    <x v="2"/>
    <s v="VALIDATED"/>
    <n v="1"/>
    <s v="01.11.80.308.6100.0000"/>
    <n v="22.87"/>
    <s v="11"/>
    <s v="6100"/>
    <n v="26754.22"/>
    <n v="22.87"/>
    <s v="CREDITOR"/>
    <n v="0"/>
    <n v="0"/>
    <n v="0"/>
    <n v="0"/>
    <n v="22.87"/>
  </r>
  <r>
    <n v="61063328"/>
    <s v="N"/>
    <n v="21349708"/>
    <s v="3000015261150004"/>
    <s v="CIVIL"/>
    <d v="2023-06-28T00:00:00"/>
    <d v="2023-07-10T19:01:40"/>
    <m/>
    <d v="2023-07-10T00:00:00"/>
    <n v="1530"/>
    <n v="20829"/>
    <s v="61063328"/>
    <s v="61063328"/>
    <m/>
    <m/>
    <n v="22777778"/>
    <m/>
    <m/>
    <m/>
    <s v="SOLFIN"/>
    <s v="SOLFIN"/>
    <s v="CCMS"/>
    <n v="21349708"/>
    <n v="14156.17"/>
    <m/>
    <s v="N"/>
    <n v="113"/>
    <d v="2023-07-10T19:01:56"/>
    <s v="Y"/>
    <s v="Hearing Unit 2.31 - 5.00 Hours"/>
    <s v="Public Law Children"/>
    <s v="Advocacy"/>
    <s v="HW"/>
    <s v="Y"/>
    <n v="476.92"/>
    <n v="95.38"/>
    <x v="2"/>
    <s v="VALIDATED"/>
    <n v="1"/>
    <s v="01.11.80.308.6100.0000"/>
    <n v="476.92"/>
    <s v="11"/>
    <s v="6100"/>
    <n v="26754.22"/>
    <n v="476.92"/>
    <s v="CREDITOR"/>
    <n v="0"/>
    <n v="0"/>
    <n v="0"/>
    <n v="0"/>
    <n v="476.92"/>
  </r>
  <r>
    <n v="61063328"/>
    <s v="N"/>
    <n v="21349708"/>
    <s v="3000015261150004"/>
    <s v="CIVIL"/>
    <d v="2023-06-28T00:00:00"/>
    <d v="2023-07-10T19:01:40"/>
    <m/>
    <d v="2023-07-10T00:00:00"/>
    <n v="1530"/>
    <n v="20829"/>
    <s v="61063328"/>
    <s v="61063328"/>
    <m/>
    <m/>
    <n v="22777778"/>
    <m/>
    <m/>
    <m/>
    <s v="SOLFIN"/>
    <s v="SOLFIN"/>
    <s v="CCMS"/>
    <n v="21349708"/>
    <n v="14156.17"/>
    <m/>
    <s v="N"/>
    <n v="84"/>
    <d v="2023-07-10T19:01:56"/>
    <s v="Y"/>
    <s v="Preparation - other"/>
    <s v="Care Remuneration Hourly Rates"/>
    <s v="Profit Cost"/>
    <s v="HW"/>
    <s v="Y"/>
    <n v="36.81"/>
    <n v="7.36"/>
    <x v="2"/>
    <s v="VALIDATED"/>
    <n v="1"/>
    <s v="01.11.80.308.6100.0000"/>
    <n v="36.81"/>
    <s v="11"/>
    <s v="6100"/>
    <n v="26754.22"/>
    <n v="36.81"/>
    <s v="CREDITOR"/>
    <n v="0"/>
    <n v="0"/>
    <n v="0"/>
    <n v="0"/>
    <n v="36.81"/>
  </r>
  <r>
    <n v="61063328"/>
    <s v="N"/>
    <n v="21349708"/>
    <s v="3000015261150004"/>
    <s v="CIVIL"/>
    <d v="2023-06-28T00:00:00"/>
    <d v="2023-07-10T19:01:40"/>
    <m/>
    <d v="2023-07-10T00:00:00"/>
    <n v="1530"/>
    <n v="20829"/>
    <s v="61063328"/>
    <s v="61063328"/>
    <m/>
    <m/>
    <n v="22777778"/>
    <m/>
    <m/>
    <m/>
    <s v="SOLFIN"/>
    <s v="SOLFIN"/>
    <s v="CCMS"/>
    <n v="21349708"/>
    <n v="14156.17"/>
    <m/>
    <s v="N"/>
    <n v="49"/>
    <d v="2023-07-10T19:01:56"/>
    <s v="Y"/>
    <s v="Preparation - other"/>
    <s v="Care Remuneration Hourly Rates"/>
    <s v="Profit Cost"/>
    <s v="HW"/>
    <s v="Y"/>
    <n v="198.72"/>
    <n v="39.74"/>
    <x v="2"/>
    <s v="VALIDATED"/>
    <n v="1"/>
    <s v="01.11.80.308.6100.0000"/>
    <n v="198.72"/>
    <s v="11"/>
    <s v="6100"/>
    <n v="26754.22"/>
    <n v="198.72"/>
    <s v="CREDITOR"/>
    <n v="0"/>
    <n v="0"/>
    <n v="0"/>
    <n v="0"/>
    <n v="198.72"/>
  </r>
  <r>
    <n v="61807950"/>
    <s v="N"/>
    <n v="21338584"/>
    <s v="3000015879920001"/>
    <s v="CIVIL"/>
    <d v="2023-06-27T00:00:00"/>
    <d v="2023-07-06T19:21:01"/>
    <m/>
    <d v="2023-07-06T00:00:00"/>
    <n v="1530"/>
    <n v="20829"/>
    <s v="61807950"/>
    <s v="61807950"/>
    <m/>
    <m/>
    <n v="22772526"/>
    <m/>
    <m/>
    <m/>
    <s v="SOLFIN"/>
    <s v="SOLFIN"/>
    <s v="CCMS"/>
    <n v="21338584"/>
    <n v="4127.99"/>
    <m/>
    <s v="N"/>
    <n v="43"/>
    <d v="2023-07-06T19:21:29"/>
    <s v="Y"/>
    <s v="Preparation - drafting consent orde"/>
    <s v="Prescribed Hourly Rates"/>
    <s v="Profit Cost"/>
    <s v="HW"/>
    <s v="Y"/>
    <n v="18.94"/>
    <n v="3.79"/>
    <x v="4"/>
    <s v="VALIDATED"/>
    <n v="1"/>
    <s v="01.11.80.307.6100.0000"/>
    <n v="18.94"/>
    <s v="11"/>
    <s v="6100"/>
    <n v="26754.22"/>
    <n v="18.94"/>
    <s v="CREDITOR"/>
    <n v="0"/>
    <n v="0"/>
    <n v="0"/>
    <n v="0"/>
    <n v="18.94"/>
  </r>
  <r>
    <n v="60658700"/>
    <s v="N"/>
    <n v="21349958"/>
    <s v="3000014912410007"/>
    <s v="CIVIL"/>
    <d v="2023-06-29T00:00:00"/>
    <d v="2023-07-10T19:01:40"/>
    <m/>
    <d v="2023-07-10T00:00:00"/>
    <n v="1530"/>
    <n v="20829"/>
    <s v="60658700"/>
    <s v="60658700"/>
    <m/>
    <m/>
    <n v="22793116"/>
    <m/>
    <m/>
    <m/>
    <s v="SOLFIN"/>
    <s v="SOLFIN"/>
    <s v="CCMS"/>
    <n v="21349958"/>
    <n v="15751.18"/>
    <m/>
    <s v="N"/>
    <n v="8"/>
    <d v="2023-07-10T19:02:04"/>
    <s v="Y"/>
    <s v="Preparation - other"/>
    <s v="Care Remuneration Hourly Rates"/>
    <s v="Profit Cost"/>
    <s v="HW"/>
    <s v="Y"/>
    <n v="45.73"/>
    <n v="9.15"/>
    <x v="2"/>
    <s v="VALIDATED"/>
    <n v="1"/>
    <s v="01.11.80.308.6100.0000"/>
    <n v="45.73"/>
    <s v="11"/>
    <s v="6100"/>
    <n v="26754.22"/>
    <n v="45.73"/>
    <s v="CREDITOR"/>
    <n v="0"/>
    <n v="0"/>
    <n v="0"/>
    <n v="0"/>
    <n v="45.73"/>
  </r>
  <r>
    <n v="61063328"/>
    <s v="N"/>
    <n v="21349708"/>
    <s v="3000015261150004"/>
    <s v="CIVIL"/>
    <d v="2023-06-28T00:00:00"/>
    <d v="2023-07-10T19:01:40"/>
    <m/>
    <d v="2023-07-10T00:00:00"/>
    <n v="1530"/>
    <n v="20829"/>
    <s v="61063328"/>
    <s v="61063328"/>
    <m/>
    <m/>
    <n v="22777778"/>
    <m/>
    <m/>
    <m/>
    <s v="SOLFIN"/>
    <s v="SOLFIN"/>
    <s v="CCMS"/>
    <n v="21349708"/>
    <n v="14156.17"/>
    <m/>
    <s v="N"/>
    <n v="104"/>
    <d v="2023-07-10T19:01:56"/>
    <s v="Y"/>
    <s v="Psychologist"/>
    <s v="Care Remuneration Hourly Rates"/>
    <s v="Expert Disbursement"/>
    <s v="XXX"/>
    <s v="Y"/>
    <n v="219.76"/>
    <n v="0"/>
    <x v="2"/>
    <s v="VALIDATED"/>
    <n v="1"/>
    <s v="01.11.80.308.6300.0000"/>
    <n v="219.76"/>
    <s v="11"/>
    <s v="6300"/>
    <n v="26754.22"/>
    <n v="219.76"/>
    <s v="CREDITOR"/>
    <n v="0"/>
    <n v="0"/>
    <n v="0"/>
    <n v="0"/>
    <n v="219.76"/>
  </r>
  <r>
    <n v="61063328"/>
    <s v="N"/>
    <n v="21349708"/>
    <s v="3000015261150004"/>
    <s v="CIVIL"/>
    <d v="2023-06-28T00:00:00"/>
    <d v="2023-07-10T19:01:40"/>
    <m/>
    <d v="2023-07-10T00:00:00"/>
    <n v="1530"/>
    <n v="20829"/>
    <s v="61063328"/>
    <s v="61063328"/>
    <m/>
    <m/>
    <n v="22777778"/>
    <m/>
    <m/>
    <m/>
    <s v="SOLFIN"/>
    <s v="SOLFIN"/>
    <s v="CCMS"/>
    <n v="21349708"/>
    <n v="14156.17"/>
    <m/>
    <s v="N"/>
    <n v="43"/>
    <d v="2023-07-10T19:01:56"/>
    <s v="Y"/>
    <s v="Preparation - Periodic file review"/>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59"/>
    <d v="2023-07-10T19:01:56"/>
    <s v="Y"/>
    <s v="Preparation - other"/>
    <s v="Care Remuneration Hourly Rates"/>
    <s v="Profit Cost"/>
    <s v="HW"/>
    <s v="Y"/>
    <n v="7.36"/>
    <n v="1.47"/>
    <x v="2"/>
    <s v="VALIDATED"/>
    <n v="1"/>
    <s v="01.11.80.308.6100.0000"/>
    <n v="7.36"/>
    <s v="11"/>
    <s v="6100"/>
    <n v="26754.22"/>
    <n v="7.36"/>
    <s v="CREDITOR"/>
    <n v="0"/>
    <n v="0"/>
    <n v="0"/>
    <n v="0"/>
    <n v="7.36"/>
  </r>
  <r>
    <n v="61063328"/>
    <s v="N"/>
    <n v="21349708"/>
    <s v="3000015261150004"/>
    <s v="CIVIL"/>
    <d v="2023-06-28T00:00:00"/>
    <d v="2023-07-10T19:01:40"/>
    <m/>
    <d v="2023-07-10T00:00:00"/>
    <n v="1530"/>
    <n v="20829"/>
    <s v="61063328"/>
    <s v="61063328"/>
    <m/>
    <m/>
    <n v="22777778"/>
    <m/>
    <m/>
    <m/>
    <s v="SOLFIN"/>
    <s v="SOLFIN"/>
    <s v="CCMS"/>
    <n v="21349708"/>
    <n v="14156.17"/>
    <m/>
    <s v="N"/>
    <n v="27"/>
    <d v="2023-07-10T19:01:56"/>
    <s v="Y"/>
    <s v="Preparation - drafting consent orde"/>
    <s v="Care Remuneration Hourly Rates"/>
    <s v="Profit Cost"/>
    <s v="HW"/>
    <s v="Y"/>
    <n v="22.08"/>
    <n v="4.42"/>
    <x v="2"/>
    <s v="VALIDATED"/>
    <n v="1"/>
    <s v="01.11.80.308.6100.0000"/>
    <n v="22.08"/>
    <s v="11"/>
    <s v="6100"/>
    <n v="26754.22"/>
    <n v="22.08"/>
    <s v="CREDITOR"/>
    <n v="0"/>
    <n v="0"/>
    <n v="0"/>
    <n v="0"/>
    <n v="22.08"/>
  </r>
  <r>
    <n v="61807950"/>
    <s v="N"/>
    <n v="21338584"/>
    <s v="3000015879920001"/>
    <s v="CIVIL"/>
    <d v="2023-06-27T00:00:00"/>
    <d v="2023-07-06T19:21:01"/>
    <m/>
    <d v="2023-07-06T00:00:00"/>
    <n v="1530"/>
    <n v="20829"/>
    <s v="61807950"/>
    <s v="61807950"/>
    <m/>
    <m/>
    <n v="22772526"/>
    <m/>
    <m/>
    <m/>
    <s v="SOLFIN"/>
    <s v="SOLFIN"/>
    <s v="CCMS"/>
    <n v="21338584"/>
    <n v="4127.99"/>
    <m/>
    <s v="N"/>
    <n v="49"/>
    <d v="2023-07-06T19:21:29"/>
    <s v="Y"/>
    <s v="Routine Letter In"/>
    <s v="Prescribed Hourly Rates"/>
    <s v="Profit Cost"/>
    <s v="HW"/>
    <s v="Y"/>
    <n v="304.29"/>
    <n v="60.86"/>
    <x v="4"/>
    <s v="VALIDATED"/>
    <n v="1"/>
    <s v="01.11.80.307.6100.0000"/>
    <n v="304.29"/>
    <s v="11"/>
    <s v="6100"/>
    <n v="26754.22"/>
    <n v="304.29"/>
    <s v="CREDITOR"/>
    <n v="0"/>
    <n v="0"/>
    <n v="0"/>
    <n v="0"/>
    <n v="304.29"/>
  </r>
  <r>
    <n v="61807950"/>
    <s v="N"/>
    <n v="21338584"/>
    <s v="3000015879920001"/>
    <s v="CIVIL"/>
    <d v="2023-06-27T00:00:00"/>
    <d v="2023-07-06T19:21:01"/>
    <m/>
    <d v="2023-07-06T00:00:00"/>
    <n v="1530"/>
    <n v="20829"/>
    <s v="61807950"/>
    <s v="61807950"/>
    <m/>
    <m/>
    <n v="22772526"/>
    <m/>
    <m/>
    <m/>
    <s v="SOLFIN"/>
    <s v="SOLFIN"/>
    <s v="CCMS"/>
    <n v="21338584"/>
    <n v="4127.99"/>
    <m/>
    <s v="N"/>
    <n v="23"/>
    <d v="2023-07-06T19:21:29"/>
    <s v="Y"/>
    <s v="Preparation - drafting consent orde"/>
    <s v="Prescribed Hourly Rates"/>
    <s v="Profit Cost"/>
    <s v="HW"/>
    <s v="Y"/>
    <n v="25.25"/>
    <n v="5.05"/>
    <x v="4"/>
    <s v="VALIDATED"/>
    <n v="1"/>
    <s v="01.11.80.307.6100.0000"/>
    <n v="25.25"/>
    <s v="11"/>
    <s v="6100"/>
    <n v="26754.22"/>
    <n v="25.25"/>
    <s v="CREDITOR"/>
    <n v="0"/>
    <n v="0"/>
    <n v="0"/>
    <n v="0"/>
    <n v="25.25"/>
  </r>
  <r>
    <n v="60658700"/>
    <s v="N"/>
    <n v="21349958"/>
    <s v="3000014912410007"/>
    <s v="CIVIL"/>
    <d v="2023-06-29T00:00:00"/>
    <d v="2023-07-10T19:01:40"/>
    <m/>
    <d v="2023-07-10T00:00:00"/>
    <n v="1530"/>
    <n v="20829"/>
    <s v="60658700"/>
    <s v="60658700"/>
    <m/>
    <m/>
    <n v="22793116"/>
    <m/>
    <m/>
    <m/>
    <s v="SOLFIN"/>
    <s v="SOLFIN"/>
    <s v="CCMS"/>
    <n v="21349958"/>
    <n v="15751.18"/>
    <m/>
    <s v="N"/>
    <n v="153"/>
    <d v="2023-07-10T19:02:04"/>
    <s v="Y"/>
    <s v="Interim Hearing Court Bundle/Advoca"/>
    <s v="Public Law Children"/>
    <s v="Advocacy"/>
    <s v="HW"/>
    <s v="Y"/>
    <n v="59.4"/>
    <n v="11.88"/>
    <x v="2"/>
    <s v="VALIDATED"/>
    <n v="1"/>
    <s v="01.11.80.308.6100.0000"/>
    <n v="59.4"/>
    <s v="11"/>
    <s v="6100"/>
    <n v="26754.22"/>
    <n v="59.4"/>
    <s v="CREDITOR"/>
    <n v="0"/>
    <n v="0"/>
    <n v="0"/>
    <n v="0"/>
    <n v="59.4"/>
  </r>
  <r>
    <n v="60658700"/>
    <s v="N"/>
    <n v="21349958"/>
    <s v="3000014912410007"/>
    <s v="CIVIL"/>
    <d v="2023-06-29T00:00:00"/>
    <d v="2023-07-10T19:01:40"/>
    <m/>
    <d v="2023-07-10T00:00:00"/>
    <n v="1530"/>
    <n v="20829"/>
    <s v="60658700"/>
    <s v="60658700"/>
    <m/>
    <m/>
    <n v="22793116"/>
    <m/>
    <m/>
    <m/>
    <s v="SOLFIN"/>
    <s v="SOLFIN"/>
    <s v="CCMS"/>
    <n v="21349958"/>
    <n v="15751.18"/>
    <m/>
    <s v="N"/>
    <n v="101"/>
    <d v="2023-07-10T19:02:04"/>
    <s v="Y"/>
    <s v="Preparation - other"/>
    <s v="Care Remuneration Hourly Rates"/>
    <s v="Profit Cost"/>
    <s v="HW"/>
    <s v="Y"/>
    <n v="38.12"/>
    <n v="7.62"/>
    <x v="2"/>
    <s v="VALIDATED"/>
    <n v="1"/>
    <s v="01.11.80.308.6100.0000"/>
    <n v="38.12"/>
    <s v="11"/>
    <s v="6100"/>
    <n v="26754.22"/>
    <n v="38.12"/>
    <s v="CREDITOR"/>
    <n v="0"/>
    <n v="0"/>
    <n v="0"/>
    <n v="0"/>
    <n v="38.12"/>
  </r>
  <r>
    <n v="60658700"/>
    <s v="N"/>
    <n v="21349958"/>
    <s v="3000014912410007"/>
    <s v="CIVIL"/>
    <d v="2023-06-29T00:00:00"/>
    <d v="2023-07-10T19:01:40"/>
    <m/>
    <d v="2023-07-10T00:00:00"/>
    <n v="1530"/>
    <n v="20829"/>
    <s v="60658700"/>
    <s v="60658700"/>
    <m/>
    <m/>
    <n v="22793116"/>
    <m/>
    <m/>
    <m/>
    <s v="SOLFIN"/>
    <s v="SOLFIN"/>
    <s v="CCMS"/>
    <n v="21349958"/>
    <n v="15751.18"/>
    <m/>
    <s v="N"/>
    <n v="1"/>
    <d v="2023-07-10T19:02:04"/>
    <s v="Y"/>
    <s v="Preparation - drafting notice(s)"/>
    <s v="Care Remuneration Hourly Rates"/>
    <s v="Profit Cost"/>
    <s v="OTH"/>
    <s v="Y"/>
    <n v="10.51"/>
    <n v="2.1"/>
    <x v="2"/>
    <s v="VALIDATED"/>
    <n v="1"/>
    <s v="01.11.80.308.6100.0000"/>
    <n v="10.51"/>
    <s v="11"/>
    <s v="6100"/>
    <n v="26754.22"/>
    <n v="10.51"/>
    <s v="CREDITOR"/>
    <n v="0"/>
    <n v="0"/>
    <n v="0"/>
    <n v="0"/>
    <n v="10.51"/>
  </r>
  <r>
    <n v="61063328"/>
    <s v="N"/>
    <n v="21349708"/>
    <s v="3000015261150004"/>
    <s v="CIVIL"/>
    <d v="2023-06-28T00:00:00"/>
    <d v="2023-07-10T19:01:40"/>
    <m/>
    <d v="2023-07-10T00:00:00"/>
    <n v="1530"/>
    <n v="20829"/>
    <s v="61063328"/>
    <s v="61063328"/>
    <m/>
    <m/>
    <n v="22777778"/>
    <m/>
    <m/>
    <m/>
    <s v="SOLFIN"/>
    <s v="SOLFIN"/>
    <s v="CCMS"/>
    <n v="21349708"/>
    <n v="14156.17"/>
    <m/>
    <s v="N"/>
    <n v="101"/>
    <d v="2023-07-10T19:01:56"/>
    <s v="N"/>
    <s v="Solicitors Fixed Fee"/>
    <s v="Public Law Children"/>
    <s v="Profit Cost"/>
    <s v="XXX"/>
    <s v="N"/>
    <n v="0"/>
    <n v="0"/>
    <x v="2"/>
    <s v="VALIDATED"/>
    <n v="1"/>
    <s v="01.11.80.308.6100.0000"/>
    <n v="0"/>
    <s v="11"/>
    <s v="6100"/>
    <n v="26754.22"/>
    <n v="0"/>
    <s v="CREDITOR"/>
    <n v="0"/>
    <n v="0"/>
    <n v="0"/>
    <n v="0"/>
    <n v="0"/>
  </r>
  <r>
    <n v="61063328"/>
    <s v="N"/>
    <n v="21349708"/>
    <s v="3000015261150004"/>
    <s v="CIVIL"/>
    <d v="2023-06-28T00:00:00"/>
    <d v="2023-07-10T19:01:40"/>
    <m/>
    <d v="2023-07-10T00:00:00"/>
    <n v="1530"/>
    <n v="20829"/>
    <s v="61063328"/>
    <s v="61063328"/>
    <m/>
    <m/>
    <n v="22777778"/>
    <m/>
    <m/>
    <m/>
    <s v="SOLFIN"/>
    <s v="SOLFIN"/>
    <s v="CCMS"/>
    <n v="21349708"/>
    <n v="14156.17"/>
    <m/>
    <s v="N"/>
    <n v="82"/>
    <d v="2023-07-10T19:01:56"/>
    <s v="Y"/>
    <s v="Preparation - drafting attendance n"/>
    <s v="Care Remuneration Hourly Rates"/>
    <s v="Profit Cost"/>
    <s v="HW"/>
    <s v="Y"/>
    <n v="7.36"/>
    <n v="1.47"/>
    <x v="2"/>
    <s v="VALIDATED"/>
    <n v="1"/>
    <s v="01.11.80.308.6100.0000"/>
    <n v="7.36"/>
    <s v="11"/>
    <s v="6100"/>
    <n v="26754.22"/>
    <n v="7.36"/>
    <s v="CREDITOR"/>
    <n v="0"/>
    <n v="0"/>
    <n v="0"/>
    <n v="0"/>
    <n v="7.36"/>
  </r>
  <r>
    <n v="61063328"/>
    <s v="N"/>
    <n v="21349708"/>
    <s v="3000015261150004"/>
    <s v="CIVIL"/>
    <d v="2023-06-28T00:00:00"/>
    <d v="2023-07-10T19:01:40"/>
    <m/>
    <d v="2023-07-10T00:00:00"/>
    <n v="1530"/>
    <n v="20829"/>
    <s v="61063328"/>
    <s v="61063328"/>
    <m/>
    <m/>
    <n v="22777778"/>
    <m/>
    <m/>
    <m/>
    <s v="SOLFIN"/>
    <s v="SOLFIN"/>
    <s v="CCMS"/>
    <n v="21349708"/>
    <n v="14156.17"/>
    <m/>
    <s v="N"/>
    <n v="63"/>
    <d v="2023-07-10T19:01:56"/>
    <s v="Y"/>
    <s v="Preparation - other"/>
    <s v="Care Remuneration Hourly Rates"/>
    <s v="Profit Cost"/>
    <s v="HW"/>
    <s v="Y"/>
    <n v="44.16"/>
    <n v="8.83"/>
    <x v="2"/>
    <s v="VALIDATED"/>
    <n v="1"/>
    <s v="01.11.80.308.6100.0000"/>
    <n v="44.16"/>
    <s v="11"/>
    <s v="6100"/>
    <n v="26754.22"/>
    <n v="44.16"/>
    <s v="CREDITOR"/>
    <n v="0"/>
    <n v="0"/>
    <n v="0"/>
    <n v="0"/>
    <n v="44.16"/>
  </r>
  <r>
    <n v="61063328"/>
    <s v="N"/>
    <n v="21349708"/>
    <s v="3000015261150004"/>
    <s v="CIVIL"/>
    <d v="2023-06-28T00:00:00"/>
    <d v="2023-07-10T19:01:40"/>
    <m/>
    <d v="2023-07-10T00:00:00"/>
    <n v="1530"/>
    <n v="20829"/>
    <s v="61063328"/>
    <s v="61063328"/>
    <m/>
    <m/>
    <n v="22777778"/>
    <m/>
    <m/>
    <m/>
    <s v="SOLFIN"/>
    <s v="SOLFIN"/>
    <s v="CCMS"/>
    <n v="21349708"/>
    <n v="14156.17"/>
    <m/>
    <s v="N"/>
    <n v="29"/>
    <d v="2023-07-10T19:01:56"/>
    <s v="Y"/>
    <s v="Preparation - drafting application"/>
    <s v="Care Remuneration Hourly Rates"/>
    <s v="Profit Cost"/>
    <s v="HW"/>
    <s v="Y"/>
    <n v="103.04"/>
    <n v="20.61"/>
    <x v="2"/>
    <s v="VALIDATED"/>
    <n v="1"/>
    <s v="01.11.80.308.6100.0000"/>
    <n v="103.04"/>
    <s v="11"/>
    <s v="6100"/>
    <n v="26754.22"/>
    <n v="103.04"/>
    <s v="CREDITOR"/>
    <n v="0"/>
    <n v="0"/>
    <n v="0"/>
    <n v="0"/>
    <n v="103.04"/>
  </r>
  <r>
    <n v="61807950"/>
    <s v="N"/>
    <n v="21338584"/>
    <s v="3000015879920001"/>
    <s v="CIVIL"/>
    <d v="2023-06-27T00:00:00"/>
    <d v="2023-07-06T19:21:01"/>
    <m/>
    <d v="2023-07-06T00:00:00"/>
    <n v="1530"/>
    <n v="20829"/>
    <s v="61807950"/>
    <s v="61807950"/>
    <m/>
    <m/>
    <n v="22772526"/>
    <m/>
    <m/>
    <m/>
    <s v="SOLFIN"/>
    <s v="SOLFIN"/>
    <s v="CCMS"/>
    <n v="21338584"/>
    <n v="4127.99"/>
    <m/>
    <s v="N"/>
    <n v="5"/>
    <d v="2023-07-06T19:21:29"/>
    <s v="Y"/>
    <s v="Independent Social Worker"/>
    <s v="Prescribed Hourly Rates"/>
    <s v="Expert Disbursement"/>
    <s v="XXX"/>
    <s v="Y"/>
    <n v="199.7"/>
    <n v="39.94"/>
    <x v="4"/>
    <s v="VALIDATED"/>
    <n v="1"/>
    <s v="01.11.80.307.6300.0000"/>
    <n v="199.7"/>
    <s v="11"/>
    <s v="6300"/>
    <n v="26754.22"/>
    <n v="199.7"/>
    <s v="CREDITOR"/>
    <n v="0"/>
    <n v="0"/>
    <n v="0"/>
    <n v="0"/>
    <n v="199.7"/>
  </r>
  <r>
    <n v="60658700"/>
    <s v="N"/>
    <n v="21349958"/>
    <s v="3000014912410007"/>
    <s v="CIVIL"/>
    <d v="2023-06-29T00:00:00"/>
    <d v="2023-07-10T19:01:40"/>
    <m/>
    <d v="2023-07-10T00:00:00"/>
    <n v="1530"/>
    <n v="20829"/>
    <s v="60658700"/>
    <s v="60658700"/>
    <m/>
    <m/>
    <n v="22793116"/>
    <m/>
    <m/>
    <m/>
    <s v="SOLFIN"/>
    <s v="SOLFIN"/>
    <s v="CCMS"/>
    <n v="21349958"/>
    <n v="15751.18"/>
    <m/>
    <s v="N"/>
    <n v="55"/>
    <d v="2023-07-10T19:02:04"/>
    <s v="Y"/>
    <s v="Preparation - drafting statement"/>
    <s v="Care Remuneration Hourly Rates"/>
    <s v="Profit Cost"/>
    <s v="HW"/>
    <s v="Y"/>
    <n v="60.99"/>
    <n v="12.2"/>
    <x v="2"/>
    <s v="VALIDATED"/>
    <n v="1"/>
    <s v="01.11.80.308.6100.0000"/>
    <n v="60.99"/>
    <s v="11"/>
    <s v="6100"/>
    <n v="26754.22"/>
    <n v="60.99"/>
    <s v="CREDITOR"/>
    <n v="0"/>
    <n v="0"/>
    <n v="0"/>
    <n v="0"/>
    <n v="60.99"/>
  </r>
  <r>
    <n v="60658700"/>
    <s v="N"/>
    <n v="21349958"/>
    <s v="3000014912410007"/>
    <s v="CIVIL"/>
    <d v="2023-06-29T00:00:00"/>
    <d v="2023-07-10T19:01:40"/>
    <m/>
    <d v="2023-07-10T00:00:00"/>
    <n v="1530"/>
    <n v="20829"/>
    <s v="60658700"/>
    <s v="60658700"/>
    <m/>
    <m/>
    <n v="22793116"/>
    <m/>
    <m/>
    <m/>
    <s v="SOLFIN"/>
    <s v="SOLFIN"/>
    <s v="CCMS"/>
    <n v="21349958"/>
    <n v="15751.18"/>
    <m/>
    <s v="N"/>
    <n v="81"/>
    <d v="2023-07-10T19:02:04"/>
    <s v="Y"/>
    <s v="Preparation - drafting attendance n"/>
    <s v="Care Remuneration Hourly Rates"/>
    <s v="Profit Cost"/>
    <s v="HW"/>
    <s v="Y"/>
    <n v="144.83"/>
    <n v="28.97"/>
    <x v="2"/>
    <s v="VALIDATED"/>
    <n v="1"/>
    <s v="01.11.80.308.6100.0000"/>
    <n v="144.83"/>
    <s v="11"/>
    <s v="6100"/>
    <n v="26754.22"/>
    <n v="144.83"/>
    <s v="CREDITOR"/>
    <n v="0"/>
    <n v="0"/>
    <n v="0"/>
    <n v="0"/>
    <n v="144.83"/>
  </r>
  <r>
    <n v="60658700"/>
    <s v="N"/>
    <n v="21349958"/>
    <s v="3000014912410007"/>
    <s v="CIVIL"/>
    <d v="2023-06-29T00:00:00"/>
    <d v="2023-07-10T19:01:40"/>
    <m/>
    <d v="2023-07-10T00:00:00"/>
    <n v="1530"/>
    <n v="20829"/>
    <s v="60658700"/>
    <s v="60658700"/>
    <m/>
    <m/>
    <n v="22793116"/>
    <m/>
    <m/>
    <m/>
    <s v="SOLFIN"/>
    <s v="SOLFIN"/>
    <s v="CCMS"/>
    <n v="21349958"/>
    <n v="15751.18"/>
    <m/>
    <s v="N"/>
    <n v="30"/>
    <d v="2023-07-10T19:02:04"/>
    <s v="Y"/>
    <s v="Preparation - other"/>
    <s v="Care Remuneration Hourly Rates"/>
    <s v="Profit Cost"/>
    <s v="HW"/>
    <s v="Y"/>
    <n v="15.24"/>
    <n v="3.05"/>
    <x v="2"/>
    <s v="VALIDATED"/>
    <n v="1"/>
    <s v="01.11.80.308.6100.0000"/>
    <n v="15.24"/>
    <s v="11"/>
    <s v="6100"/>
    <n v="26754.22"/>
    <n v="15.24"/>
    <s v="CREDITOR"/>
    <n v="0"/>
    <n v="0"/>
    <n v="0"/>
    <n v="0"/>
    <n v="15.24"/>
  </r>
  <r>
    <n v="61063328"/>
    <s v="N"/>
    <n v="21349708"/>
    <s v="3000015261150004"/>
    <s v="CIVIL"/>
    <d v="2023-06-28T00:00:00"/>
    <d v="2023-07-10T19:01:40"/>
    <m/>
    <d v="2023-07-10T00:00:00"/>
    <n v="1530"/>
    <n v="20829"/>
    <s v="61063328"/>
    <s v="61063328"/>
    <m/>
    <m/>
    <n v="22777778"/>
    <m/>
    <m/>
    <m/>
    <s v="SOLFIN"/>
    <s v="SOLFIN"/>
    <s v="CCMS"/>
    <n v="21349708"/>
    <n v="14156.17"/>
    <m/>
    <s v="N"/>
    <n v="50"/>
    <d v="2023-07-10T19:01:56"/>
    <s v="Y"/>
    <s v="Preparation - other"/>
    <s v="Care Remuneration Hourly Rates"/>
    <s v="Profit Cost"/>
    <s v="HW"/>
    <s v="Y"/>
    <n v="44.16"/>
    <n v="8.83"/>
    <x v="2"/>
    <s v="VALIDATED"/>
    <n v="1"/>
    <s v="01.11.80.308.6100.0000"/>
    <n v="44.16"/>
    <s v="11"/>
    <s v="6100"/>
    <n v="26754.22"/>
    <n v="44.16"/>
    <s v="CREDITOR"/>
    <n v="0"/>
    <n v="0"/>
    <n v="0"/>
    <n v="0"/>
    <n v="44.16"/>
  </r>
  <r>
    <n v="61063328"/>
    <s v="N"/>
    <n v="21349708"/>
    <s v="3000015261150004"/>
    <s v="CIVIL"/>
    <d v="2023-06-28T00:00:00"/>
    <d v="2023-07-10T19:01:40"/>
    <m/>
    <d v="2023-07-10T00:00:00"/>
    <n v="1530"/>
    <n v="20829"/>
    <s v="61063328"/>
    <s v="61063328"/>
    <m/>
    <m/>
    <n v="22777778"/>
    <m/>
    <m/>
    <m/>
    <s v="SOLFIN"/>
    <s v="SOLFIN"/>
    <s v="CCMS"/>
    <n v="21349708"/>
    <n v="14156.17"/>
    <m/>
    <s v="N"/>
    <n v="47"/>
    <d v="2023-07-10T19:01:56"/>
    <s v="Y"/>
    <s v="Preparation - other"/>
    <s v="Care Remuneration Hourly Rates"/>
    <s v="Profit Cost"/>
    <s v="HW"/>
    <s v="Y"/>
    <n v="80.95999999999999"/>
    <n v="16.19"/>
    <x v="2"/>
    <s v="VALIDATED"/>
    <n v="1"/>
    <s v="01.11.80.308.6100.0000"/>
    <n v="80.95999999999999"/>
    <s v="11"/>
    <s v="6100"/>
    <n v="26754.22"/>
    <n v="80.95999999999999"/>
    <s v="CREDITOR"/>
    <n v="0"/>
    <n v="0"/>
    <n v="0"/>
    <n v="0"/>
    <n v="80.95999999999999"/>
  </r>
  <r>
    <n v="60658700"/>
    <s v="N"/>
    <n v="21349958"/>
    <s v="3000014912410007"/>
    <s v="CIVIL"/>
    <d v="2023-06-29T00:00:00"/>
    <d v="2023-07-10T19:01:40"/>
    <m/>
    <d v="2023-07-10T00:00:00"/>
    <n v="1530"/>
    <n v="20829"/>
    <s v="60658700"/>
    <s v="60658700"/>
    <m/>
    <m/>
    <n v="22793116"/>
    <m/>
    <m/>
    <m/>
    <s v="SOLFIN"/>
    <s v="SOLFIN"/>
    <s v="CCMS"/>
    <n v="21349958"/>
    <n v="15751.18"/>
    <m/>
    <s v="N"/>
    <n v="124"/>
    <d v="2023-07-10T19:02:04"/>
    <s v="Y"/>
    <s v="Preparation - drafting attendance n"/>
    <s v="Care Remuneration Hourly Rates"/>
    <s v="Profit Cost"/>
    <s v="HW"/>
    <s v="Y"/>
    <n v="17.18"/>
    <n v="3.44"/>
    <x v="2"/>
    <s v="VALIDATED"/>
    <n v="1"/>
    <s v="01.11.80.308.6100.0000"/>
    <n v="17.18"/>
    <s v="11"/>
    <s v="6100"/>
    <n v="26754.22"/>
    <n v="17.18"/>
    <s v="CREDITOR"/>
    <n v="0"/>
    <n v="0"/>
    <n v="0"/>
    <n v="0"/>
    <n v="17.18"/>
  </r>
  <r>
    <n v="60658700"/>
    <s v="N"/>
    <n v="21349958"/>
    <s v="3000014912410007"/>
    <s v="CIVIL"/>
    <d v="2023-06-29T00:00:00"/>
    <d v="2023-07-10T19:01:40"/>
    <m/>
    <d v="2023-07-10T00:00:00"/>
    <n v="1530"/>
    <n v="20829"/>
    <s v="60658700"/>
    <s v="60658700"/>
    <m/>
    <m/>
    <n v="22793116"/>
    <m/>
    <m/>
    <m/>
    <s v="SOLFIN"/>
    <s v="SOLFIN"/>
    <s v="CCMS"/>
    <n v="21349958"/>
    <n v="15751.18"/>
    <m/>
    <s v="N"/>
    <n v="126"/>
    <d v="2023-07-10T19:02:04"/>
    <s v="Y"/>
    <s v="Preparation - other"/>
    <s v="Care Remuneration Hourly Rates"/>
    <s v="Profit Cost"/>
    <s v="OTH"/>
    <s v="Y"/>
    <n v="5.93"/>
    <n v="1.19"/>
    <x v="2"/>
    <s v="VALIDATED"/>
    <n v="1"/>
    <s v="01.11.80.308.6100.0000"/>
    <n v="5.93"/>
    <s v="11"/>
    <s v="6100"/>
    <n v="26754.22"/>
    <n v="5.93"/>
    <s v="CREDITOR"/>
    <n v="0"/>
    <n v="0"/>
    <n v="0"/>
    <n v="0"/>
    <n v="5.93"/>
  </r>
  <r>
    <n v="60658700"/>
    <s v="N"/>
    <n v="21349958"/>
    <s v="3000014912410007"/>
    <s v="CIVIL"/>
    <d v="2023-06-29T00:00:00"/>
    <d v="2023-07-10T19:01:40"/>
    <m/>
    <d v="2023-07-10T00:00:00"/>
    <n v="1530"/>
    <n v="20829"/>
    <s v="60658700"/>
    <s v="60658700"/>
    <m/>
    <m/>
    <n v="22793116"/>
    <m/>
    <m/>
    <m/>
    <s v="SOLFIN"/>
    <s v="SOLFIN"/>
    <s v="CCMS"/>
    <n v="21349958"/>
    <n v="15751.18"/>
    <m/>
    <s v="N"/>
    <n v="149"/>
    <d v="2023-07-10T19:02:04"/>
    <s v="Y"/>
    <s v="Hearing Unit 2.31 - 5.00 Hours"/>
    <s v="Public Law Children"/>
    <s v="Advocacy"/>
    <s v="HW"/>
    <s v="Y"/>
    <n v="476.92"/>
    <n v="95.39"/>
    <x v="2"/>
    <s v="VALIDATED"/>
    <n v="1"/>
    <s v="01.11.80.308.6100.0000"/>
    <n v="476.92"/>
    <s v="11"/>
    <s v="6100"/>
    <n v="26754.22"/>
    <n v="476.92"/>
    <s v="CREDITOR"/>
    <n v="0"/>
    <n v="0"/>
    <n v="0"/>
    <n v="0"/>
    <n v="476.92"/>
  </r>
  <r>
    <n v="60658700"/>
    <s v="N"/>
    <n v="21349958"/>
    <s v="3000014912410007"/>
    <s v="CIVIL"/>
    <d v="2023-06-29T00:00:00"/>
    <d v="2023-07-10T19:01:40"/>
    <m/>
    <d v="2023-07-10T00:00:00"/>
    <n v="1530"/>
    <n v="20829"/>
    <s v="60658700"/>
    <s v="60658700"/>
    <m/>
    <m/>
    <n v="22793116"/>
    <m/>
    <m/>
    <m/>
    <s v="SOLFIN"/>
    <s v="SOLFIN"/>
    <s v="CCMS"/>
    <n v="21349958"/>
    <n v="15751.18"/>
    <m/>
    <s v="N"/>
    <n v="118"/>
    <d v="2023-07-10T19:02:04"/>
    <s v="Y"/>
    <s v="Preparation - other"/>
    <s v="Care Remuneration Hourly Rates"/>
    <s v="Profit Cost"/>
    <s v="HW"/>
    <s v="Y"/>
    <n v="25.78"/>
    <n v="5.16"/>
    <x v="2"/>
    <s v="VALIDATED"/>
    <n v="1"/>
    <s v="01.11.80.308.6100.0000"/>
    <n v="25.78"/>
    <s v="11"/>
    <s v="6100"/>
    <n v="26754.22"/>
    <n v="25.78"/>
    <s v="CREDITOR"/>
    <n v="0"/>
    <n v="0"/>
    <n v="0"/>
    <n v="0"/>
    <n v="25.78"/>
  </r>
  <r>
    <n v="60658700"/>
    <s v="N"/>
    <n v="21349958"/>
    <s v="3000014912410007"/>
    <s v="CIVIL"/>
    <d v="2023-06-29T00:00:00"/>
    <d v="2023-07-10T19:01:40"/>
    <m/>
    <d v="2023-07-10T00:00:00"/>
    <n v="1530"/>
    <n v="20829"/>
    <s v="60658700"/>
    <s v="60658700"/>
    <m/>
    <m/>
    <n v="22793116"/>
    <m/>
    <m/>
    <m/>
    <s v="SOLFIN"/>
    <s v="SOLFIN"/>
    <s v="CCMS"/>
    <n v="21349958"/>
    <n v="15751.18"/>
    <m/>
    <s v="N"/>
    <n v="102"/>
    <d v="2023-07-10T19:02:04"/>
    <s v="Y"/>
    <s v="Preparation - drafting attendance n"/>
    <s v="Care Remuneration Hourly Rates"/>
    <s v="Profit Cost"/>
    <s v="HW"/>
    <s v="Y"/>
    <n v="7.63"/>
    <n v="1.53"/>
    <x v="2"/>
    <s v="VALIDATED"/>
    <n v="1"/>
    <s v="01.11.80.308.6100.0000"/>
    <n v="7.63"/>
    <s v="11"/>
    <s v="6100"/>
    <n v="26754.22"/>
    <n v="7.63"/>
    <s v="CREDITOR"/>
    <n v="0"/>
    <n v="0"/>
    <n v="0"/>
    <n v="0"/>
    <n v="7.63"/>
  </r>
  <r>
    <n v="61063328"/>
    <s v="N"/>
    <n v="21349708"/>
    <s v="3000015261150004"/>
    <s v="CIVIL"/>
    <d v="2023-06-28T00:00:00"/>
    <d v="2023-07-10T19:01:40"/>
    <m/>
    <d v="2023-07-10T00:00:00"/>
    <n v="1530"/>
    <n v="20829"/>
    <s v="61063328"/>
    <s v="61063328"/>
    <m/>
    <m/>
    <n v="22777778"/>
    <m/>
    <m/>
    <m/>
    <s v="SOLFIN"/>
    <s v="SOLFIN"/>
    <s v="CCMS"/>
    <n v="21349708"/>
    <n v="14156.17"/>
    <m/>
    <s v="N"/>
    <n v="15"/>
    <d v="2023-07-10T19:01:56"/>
    <s v="Y"/>
    <s v="Preparation - other"/>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51"/>
    <d v="2023-07-10T19:01:56"/>
    <s v="Y"/>
    <s v="Preparation - drafting statement"/>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103"/>
    <d v="2023-07-10T19:01:56"/>
    <s v="Y"/>
    <s v="Court Fee"/>
    <s v="Care Remuneration Hourly Rates"/>
    <s v="Non Expert Disbursement"/>
    <s v="XXX"/>
    <s v="Y"/>
    <n v="167"/>
    <n v="0"/>
    <x v="2"/>
    <s v="VALIDATED"/>
    <n v="1"/>
    <s v="01.11.80.308.6300.0000"/>
    <n v="167"/>
    <s v="11"/>
    <s v="6300"/>
    <n v="26754.22"/>
    <n v="167"/>
    <s v="CREDITOR"/>
    <n v="0"/>
    <n v="0"/>
    <n v="0"/>
    <n v="0"/>
    <n v="167"/>
  </r>
  <r>
    <n v="60658700"/>
    <s v="N"/>
    <n v="21349958"/>
    <s v="3000014912410007"/>
    <s v="CIVIL"/>
    <d v="2023-06-29T00:00:00"/>
    <d v="2023-07-10T19:01:40"/>
    <m/>
    <d v="2023-07-10T00:00:00"/>
    <n v="1530"/>
    <n v="20829"/>
    <s v="60658700"/>
    <s v="60658700"/>
    <m/>
    <m/>
    <n v="22793116"/>
    <m/>
    <m/>
    <m/>
    <s v="SOLFIN"/>
    <s v="SOLFIN"/>
    <s v="CCMS"/>
    <n v="21349958"/>
    <n v="15751.18"/>
    <m/>
    <s v="N"/>
    <n v="23"/>
    <d v="2023-07-10T19:02:04"/>
    <s v="Y"/>
    <s v="Preparation - drafting consent orde"/>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155"/>
    <d v="2023-07-10T19:02:04"/>
    <s v="Y"/>
    <s v="Final Hearing Court Bundle/Advocate"/>
    <s v="Public Law Children"/>
    <s v="Advocacy"/>
    <s v="HW"/>
    <s v="Y"/>
    <n v="159.3"/>
    <n v="31.86"/>
    <x v="2"/>
    <s v="VALIDATED"/>
    <n v="1"/>
    <s v="01.11.80.308.6100.0000"/>
    <n v="159.3"/>
    <s v="11"/>
    <s v="6100"/>
    <n v="26754.22"/>
    <n v="159.3"/>
    <s v="CREDITOR"/>
    <n v="0"/>
    <n v="0"/>
    <n v="0"/>
    <n v="0"/>
    <n v="159.3"/>
  </r>
  <r>
    <n v="60658700"/>
    <s v="N"/>
    <n v="21349958"/>
    <s v="3000014912410007"/>
    <s v="CIVIL"/>
    <d v="2023-06-29T00:00:00"/>
    <d v="2023-07-10T19:01:40"/>
    <m/>
    <d v="2023-07-10T00:00:00"/>
    <n v="1530"/>
    <n v="20829"/>
    <s v="60658700"/>
    <s v="60658700"/>
    <m/>
    <m/>
    <n v="22793116"/>
    <m/>
    <m/>
    <m/>
    <s v="SOLFIN"/>
    <s v="SOLFIN"/>
    <s v="CCMS"/>
    <n v="21349958"/>
    <n v="15751.18"/>
    <m/>
    <s v="N"/>
    <n v="64"/>
    <d v="2023-07-10T19:02:04"/>
    <s v="Y"/>
    <s v="Preparation - other"/>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88"/>
    <d v="2023-07-10T19:02:04"/>
    <s v="Y"/>
    <s v="Preparation - other"/>
    <s v="Care Remuneration Hourly Rates"/>
    <s v="Profit Cost"/>
    <s v="HW"/>
    <s v="Y"/>
    <n v="38.12"/>
    <n v="7.62"/>
    <x v="2"/>
    <s v="VALIDATED"/>
    <n v="1"/>
    <s v="01.11.80.308.6100.0000"/>
    <n v="38.12"/>
    <s v="11"/>
    <s v="6100"/>
    <n v="26754.22"/>
    <n v="38.12"/>
    <s v="CREDITOR"/>
    <n v="0"/>
    <n v="0"/>
    <n v="0"/>
    <n v="0"/>
    <n v="38.12"/>
  </r>
  <r>
    <n v="60658700"/>
    <s v="N"/>
    <n v="21349958"/>
    <s v="3000014912410007"/>
    <s v="CIVIL"/>
    <d v="2023-06-29T00:00:00"/>
    <d v="2023-07-10T19:01:40"/>
    <m/>
    <d v="2023-07-10T00:00:00"/>
    <n v="1530"/>
    <n v="20829"/>
    <s v="60658700"/>
    <s v="60658700"/>
    <m/>
    <m/>
    <n v="22793116"/>
    <m/>
    <m/>
    <m/>
    <s v="SOLFIN"/>
    <s v="SOLFIN"/>
    <s v="CCMS"/>
    <n v="21349958"/>
    <n v="15751.18"/>
    <m/>
    <s v="N"/>
    <n v="105"/>
    <d v="2023-07-10T19:02:04"/>
    <s v="Y"/>
    <s v="Preparation - other"/>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9"/>
    <d v="2023-07-10T19:02:04"/>
    <s v="Y"/>
    <s v="Preparation - drafting attendance n"/>
    <s v="Care Remuneration Hourly Rates"/>
    <s v="Profit Cost"/>
    <s v="HW"/>
    <s v="Y"/>
    <n v="7.63"/>
    <n v="1.53"/>
    <x v="2"/>
    <s v="VALIDATED"/>
    <n v="1"/>
    <s v="01.11.80.308.6100.0000"/>
    <n v="7.63"/>
    <s v="11"/>
    <s v="6100"/>
    <n v="26754.22"/>
    <n v="7.63"/>
    <s v="CREDITOR"/>
    <n v="0"/>
    <n v="0"/>
    <n v="0"/>
    <n v="0"/>
    <n v="7.63"/>
  </r>
  <r>
    <n v="61063328"/>
    <s v="N"/>
    <n v="21349708"/>
    <s v="3000015261150004"/>
    <s v="CIVIL"/>
    <d v="2023-06-28T00:00:00"/>
    <d v="2023-07-10T19:01:40"/>
    <m/>
    <d v="2023-07-10T00:00:00"/>
    <n v="1530"/>
    <n v="20829"/>
    <s v="61063328"/>
    <s v="61063328"/>
    <m/>
    <m/>
    <n v="22777778"/>
    <m/>
    <m/>
    <m/>
    <s v="SOLFIN"/>
    <s v="SOLFIN"/>
    <s v="CCMS"/>
    <n v="21349708"/>
    <n v="14156.17"/>
    <m/>
    <s v="N"/>
    <n v="69"/>
    <d v="2023-07-10T19:01:56"/>
    <s v="Y"/>
    <s v="Preparation - drafting attendance n"/>
    <s v="Care Remuneration Hourly Rates"/>
    <s v="Profit Cost"/>
    <s v="HW"/>
    <s v="Y"/>
    <n v="7.36"/>
    <n v="1.47"/>
    <x v="2"/>
    <s v="VALIDATED"/>
    <n v="1"/>
    <s v="01.11.80.308.6100.0000"/>
    <n v="7.36"/>
    <s v="11"/>
    <s v="6100"/>
    <n v="26754.22"/>
    <n v="7.36"/>
    <s v="CREDITOR"/>
    <n v="0"/>
    <n v="0"/>
    <n v="0"/>
    <n v="0"/>
    <n v="7.36"/>
  </r>
  <r>
    <n v="61807950"/>
    <s v="N"/>
    <n v="21338584"/>
    <s v="3000015879920001"/>
    <s v="CIVIL"/>
    <d v="2023-06-27T00:00:00"/>
    <d v="2023-07-06T19:21:01"/>
    <m/>
    <d v="2023-07-06T00:00:00"/>
    <n v="1530"/>
    <n v="20829"/>
    <s v="61807950"/>
    <s v="61807950"/>
    <m/>
    <m/>
    <n v="22772526"/>
    <m/>
    <m/>
    <m/>
    <s v="SOLFIN"/>
    <s v="SOLFIN"/>
    <s v="CCMS"/>
    <n v="21338584"/>
    <n v="4127.99"/>
    <m/>
    <s v="N"/>
    <n v="17"/>
    <d v="2023-07-06T19:21:29"/>
    <s v="Y"/>
    <s v="Preparation - other"/>
    <s v="Prescribed Hourly Rates"/>
    <s v="Profit Cost"/>
    <s v="HW"/>
    <s v="Y"/>
    <n v="119.96"/>
    <n v="23.99"/>
    <x v="4"/>
    <s v="VALIDATED"/>
    <n v="1"/>
    <s v="01.11.80.307.6100.0000"/>
    <n v="119.96"/>
    <s v="11"/>
    <s v="6100"/>
    <n v="26754.22"/>
    <n v="119.96"/>
    <s v="CREDITOR"/>
    <n v="0"/>
    <n v="0"/>
    <n v="0"/>
    <n v="0"/>
    <n v="119.96"/>
  </r>
  <r>
    <n v="60658700"/>
    <s v="N"/>
    <n v="21349958"/>
    <s v="3000014912410007"/>
    <s v="CIVIL"/>
    <d v="2023-06-29T00:00:00"/>
    <d v="2023-07-10T19:01:40"/>
    <m/>
    <d v="2023-07-10T00:00:00"/>
    <n v="1530"/>
    <n v="20829"/>
    <s v="60658700"/>
    <s v="60658700"/>
    <m/>
    <m/>
    <n v="22793116"/>
    <m/>
    <m/>
    <m/>
    <s v="SOLFIN"/>
    <s v="SOLFIN"/>
    <s v="CCMS"/>
    <n v="21349958"/>
    <n v="15751.18"/>
    <m/>
    <s v="N"/>
    <n v="36"/>
    <d v="2023-07-10T19:02:04"/>
    <s v="Y"/>
    <s v="Preparation - drafting instructions"/>
    <s v="Care Remuneration Hourly Rates"/>
    <s v="Profit Cost"/>
    <s v="HW"/>
    <s v="Y"/>
    <n v="19.05"/>
    <n v="3.81"/>
    <x v="2"/>
    <s v="VALIDATED"/>
    <n v="1"/>
    <s v="01.11.80.308.6100.0000"/>
    <n v="19.05"/>
    <s v="11"/>
    <s v="6100"/>
    <n v="26754.22"/>
    <n v="19.05"/>
    <s v="CREDITOR"/>
    <n v="0"/>
    <n v="0"/>
    <n v="0"/>
    <n v="0"/>
    <n v="19.05"/>
  </r>
  <r>
    <n v="60658700"/>
    <s v="N"/>
    <n v="21349958"/>
    <s v="3000014912410007"/>
    <s v="CIVIL"/>
    <d v="2023-06-29T00:00:00"/>
    <d v="2023-07-10T19:01:40"/>
    <m/>
    <d v="2023-07-10T00:00:00"/>
    <n v="1530"/>
    <n v="20829"/>
    <s v="60658700"/>
    <s v="60658700"/>
    <m/>
    <m/>
    <n v="22793116"/>
    <m/>
    <m/>
    <m/>
    <s v="SOLFIN"/>
    <s v="SOLFIN"/>
    <s v="CCMS"/>
    <n v="21349958"/>
    <n v="15751.18"/>
    <m/>
    <s v="N"/>
    <n v="154"/>
    <d v="2023-07-10T19:02:04"/>
    <s v="Y"/>
    <s v="Interim Hearing Court Bundle/Advoca"/>
    <s v="Public Law Children"/>
    <s v="Advocacy"/>
    <s v="HW"/>
    <s v="Y"/>
    <n v="59.4"/>
    <n v="11.88"/>
    <x v="2"/>
    <s v="VALIDATED"/>
    <n v="1"/>
    <s v="01.11.80.308.6100.0000"/>
    <n v="59.4"/>
    <s v="11"/>
    <s v="6100"/>
    <n v="26754.22"/>
    <n v="59.4"/>
    <s v="CREDITOR"/>
    <n v="0"/>
    <n v="0"/>
    <n v="0"/>
    <n v="0"/>
    <n v="59.4"/>
  </r>
  <r>
    <n v="60658700"/>
    <s v="N"/>
    <n v="21349958"/>
    <s v="3000014912410007"/>
    <s v="CIVIL"/>
    <d v="2023-06-29T00:00:00"/>
    <d v="2023-07-10T19:01:40"/>
    <m/>
    <d v="2023-07-10T00:00:00"/>
    <n v="1530"/>
    <n v="20829"/>
    <s v="60658700"/>
    <s v="60658700"/>
    <m/>
    <m/>
    <n v="22793116"/>
    <m/>
    <m/>
    <m/>
    <s v="SOLFIN"/>
    <s v="SOLFIN"/>
    <s v="CCMS"/>
    <n v="21349958"/>
    <n v="15751.18"/>
    <m/>
    <s v="N"/>
    <n v="77"/>
    <d v="2023-07-10T19:02:04"/>
    <s v="Y"/>
    <s v="Preparation - drafting attendance n"/>
    <s v="Care Remuneration Hourly Rates"/>
    <s v="Profit Cost"/>
    <s v="HW"/>
    <s v="Y"/>
    <n v="7.63"/>
    <n v="1.53"/>
    <x v="2"/>
    <s v="VALIDATED"/>
    <n v="1"/>
    <s v="01.11.80.308.6100.0000"/>
    <n v="7.63"/>
    <s v="11"/>
    <s v="6100"/>
    <n v="26754.22"/>
    <n v="7.63"/>
    <s v="CREDITOR"/>
    <n v="0"/>
    <n v="0"/>
    <n v="0"/>
    <n v="0"/>
    <n v="7.63"/>
  </r>
  <r>
    <n v="61063328"/>
    <s v="N"/>
    <n v="21349708"/>
    <s v="3000015261150004"/>
    <s v="CIVIL"/>
    <d v="2023-06-28T00:00:00"/>
    <d v="2023-07-10T19:01:40"/>
    <m/>
    <d v="2023-07-10T00:00:00"/>
    <n v="1530"/>
    <n v="20829"/>
    <s v="61063328"/>
    <s v="61063328"/>
    <m/>
    <m/>
    <n v="22777778"/>
    <m/>
    <m/>
    <m/>
    <s v="SOLFIN"/>
    <s v="SOLFIN"/>
    <s v="CCMS"/>
    <n v="21349708"/>
    <n v="14156.17"/>
    <m/>
    <s v="N"/>
    <n v="18"/>
    <d v="2023-07-10T19:01:56"/>
    <s v="Y"/>
    <s v="Preparation - other"/>
    <s v="Care Remuneration Hourly Rates"/>
    <s v="Profit Cost"/>
    <s v="HW"/>
    <s v="Y"/>
    <n v="36.81"/>
    <n v="7.36"/>
    <x v="2"/>
    <s v="VALIDATED"/>
    <n v="1"/>
    <s v="01.11.80.308.6100.0000"/>
    <n v="36.81"/>
    <s v="11"/>
    <s v="6100"/>
    <n v="26754.22"/>
    <n v="36.81"/>
    <s v="CREDITOR"/>
    <n v="0"/>
    <n v="0"/>
    <n v="0"/>
    <n v="0"/>
    <n v="36.81"/>
  </r>
  <r>
    <n v="61063328"/>
    <s v="N"/>
    <n v="21349708"/>
    <s v="3000015261150004"/>
    <s v="CIVIL"/>
    <d v="2023-06-28T00:00:00"/>
    <d v="2023-07-10T19:01:40"/>
    <m/>
    <d v="2023-07-10T00:00:00"/>
    <n v="1530"/>
    <n v="20829"/>
    <s v="61063328"/>
    <s v="61063328"/>
    <m/>
    <m/>
    <n v="22777778"/>
    <m/>
    <m/>
    <m/>
    <s v="SOLFIN"/>
    <s v="SOLFIN"/>
    <s v="CCMS"/>
    <n v="21349708"/>
    <n v="14156.17"/>
    <m/>
    <s v="N"/>
    <n v="31"/>
    <d v="2023-07-10T19:01:56"/>
    <s v="Y"/>
    <s v="Preparation - other"/>
    <s v="Care Remuneration Hourly Rates"/>
    <s v="Profit Cost"/>
    <s v="HW"/>
    <s v="Y"/>
    <n v="206.08"/>
    <n v="41.22"/>
    <x v="2"/>
    <s v="VALIDATED"/>
    <n v="1"/>
    <s v="01.11.80.308.6100.0000"/>
    <n v="206.08"/>
    <s v="11"/>
    <s v="6100"/>
    <n v="26754.22"/>
    <n v="206.08"/>
    <s v="CREDITOR"/>
    <n v="0"/>
    <n v="0"/>
    <n v="0"/>
    <n v="0"/>
    <n v="206.08"/>
  </r>
  <r>
    <n v="61807950"/>
    <s v="N"/>
    <n v="21338584"/>
    <s v="3000015879920001"/>
    <s v="CIVIL"/>
    <d v="2023-06-27T00:00:00"/>
    <d v="2023-07-06T19:21:01"/>
    <m/>
    <d v="2023-07-06T00:00:00"/>
    <n v="1530"/>
    <n v="20829"/>
    <s v="61807950"/>
    <s v="61807950"/>
    <m/>
    <m/>
    <n v="22772526"/>
    <m/>
    <m/>
    <m/>
    <s v="SOLFIN"/>
    <s v="SOLFIN"/>
    <s v="CCMS"/>
    <n v="21338584"/>
    <n v="4127.99"/>
    <m/>
    <s v="N"/>
    <n v="10"/>
    <d v="2023-07-06T19:21:29"/>
    <s v="Y"/>
    <s v="Preparation - Periodic file review"/>
    <s v="Prescribed Hourly Rates"/>
    <s v="Profit Cost"/>
    <s v="HW"/>
    <s v="Y"/>
    <n v="63.14"/>
    <n v="12.63"/>
    <x v="4"/>
    <s v="VALIDATED"/>
    <n v="1"/>
    <s v="01.11.80.307.6100.0000"/>
    <n v="63.14"/>
    <s v="11"/>
    <s v="6100"/>
    <n v="26754.22"/>
    <n v="63.14"/>
    <s v="CREDITOR"/>
    <n v="0"/>
    <n v="0"/>
    <n v="0"/>
    <n v="0"/>
    <n v="63.14"/>
  </r>
  <r>
    <n v="61807950"/>
    <s v="N"/>
    <n v="21338584"/>
    <s v="3000015879920001"/>
    <s v="CIVIL"/>
    <d v="2023-06-27T00:00:00"/>
    <d v="2023-07-06T19:21:01"/>
    <m/>
    <d v="2023-07-06T00:00:00"/>
    <n v="1530"/>
    <n v="20829"/>
    <s v="61807950"/>
    <s v="61807950"/>
    <m/>
    <m/>
    <n v="22772526"/>
    <m/>
    <m/>
    <m/>
    <s v="SOLFIN"/>
    <s v="SOLFIN"/>
    <s v="CCMS"/>
    <n v="21338584"/>
    <n v="4127.99"/>
    <m/>
    <s v="N"/>
    <n v="16"/>
    <d v="2023-07-06T19:21:29"/>
    <s v="Y"/>
    <s v="Preparation - Periodic file review"/>
    <s v="Prescribed Hourly Rates"/>
    <s v="Profit Cost"/>
    <s v="HW"/>
    <s v="Y"/>
    <n v="145.21"/>
    <n v="29.04"/>
    <x v="4"/>
    <s v="VALIDATED"/>
    <n v="1"/>
    <s v="01.11.80.307.6100.0000"/>
    <n v="145.21"/>
    <s v="11"/>
    <s v="6100"/>
    <n v="26754.22"/>
    <n v="145.21"/>
    <s v="CREDITOR"/>
    <n v="0"/>
    <n v="0"/>
    <n v="0"/>
    <n v="0"/>
    <n v="145.21"/>
  </r>
  <r>
    <n v="61807950"/>
    <s v="N"/>
    <n v="21338584"/>
    <s v="3000015879920001"/>
    <s v="CIVIL"/>
    <d v="2023-06-27T00:00:00"/>
    <d v="2023-07-06T19:21:01"/>
    <m/>
    <d v="2023-07-06T00:00:00"/>
    <n v="1530"/>
    <n v="20829"/>
    <s v="61807950"/>
    <s v="61807950"/>
    <m/>
    <m/>
    <n v="22772526"/>
    <m/>
    <m/>
    <m/>
    <s v="SOLFIN"/>
    <s v="SOLFIN"/>
    <s v="CCMS"/>
    <n v="21338584"/>
    <n v="4127.99"/>
    <m/>
    <s v="N"/>
    <n v="32"/>
    <d v="2023-07-06T19:21:29"/>
    <s v="Y"/>
    <s v="Preparation - other"/>
    <s v="Prescribed Hourly Rates"/>
    <s v="Profit Cost"/>
    <s v="HW"/>
    <s v="Y"/>
    <n v="6.31"/>
    <n v="1.26"/>
    <x v="4"/>
    <s v="VALIDATED"/>
    <n v="1"/>
    <s v="01.11.80.307.6100.0000"/>
    <n v="6.31"/>
    <s v="11"/>
    <s v="6100"/>
    <n v="26754.22"/>
    <n v="6.31"/>
    <s v="CREDITOR"/>
    <n v="0"/>
    <n v="0"/>
    <n v="0"/>
    <n v="0"/>
    <n v="6.31"/>
  </r>
  <r>
    <n v="60658700"/>
    <s v="N"/>
    <n v="21349958"/>
    <s v="3000014912410007"/>
    <s v="CIVIL"/>
    <d v="2023-06-29T00:00:00"/>
    <d v="2023-07-10T19:01:40"/>
    <m/>
    <d v="2023-07-10T00:00:00"/>
    <n v="1530"/>
    <n v="20829"/>
    <s v="60658700"/>
    <s v="60658700"/>
    <m/>
    <m/>
    <n v="22793116"/>
    <m/>
    <m/>
    <m/>
    <s v="SOLFIN"/>
    <s v="SOLFIN"/>
    <s v="CCMS"/>
    <n v="21349958"/>
    <n v="15751.18"/>
    <m/>
    <s v="N"/>
    <n v="125"/>
    <d v="2023-07-10T19:02:04"/>
    <s v="Y"/>
    <s v="Preparation - other"/>
    <s v="Care Remuneration Hourly Rates"/>
    <s v="Profit Cost"/>
    <s v="HW"/>
    <s v="Y"/>
    <n v="8.6"/>
    <n v="1.72"/>
    <x v="2"/>
    <s v="VALIDATED"/>
    <n v="1"/>
    <s v="01.11.80.308.6100.0000"/>
    <n v="8.6"/>
    <s v="11"/>
    <s v="6100"/>
    <n v="26754.22"/>
    <n v="8.6"/>
    <s v="CREDITOR"/>
    <n v="0"/>
    <n v="0"/>
    <n v="0"/>
    <n v="0"/>
    <n v="8.6"/>
  </r>
  <r>
    <n v="60658700"/>
    <s v="N"/>
    <n v="21349958"/>
    <s v="3000014912410007"/>
    <s v="CIVIL"/>
    <d v="2023-06-29T00:00:00"/>
    <d v="2023-07-10T19:01:40"/>
    <m/>
    <d v="2023-07-10T00:00:00"/>
    <n v="1530"/>
    <n v="20829"/>
    <s v="60658700"/>
    <s v="60658700"/>
    <m/>
    <m/>
    <n v="22793116"/>
    <m/>
    <m/>
    <m/>
    <s v="SOLFIN"/>
    <s v="SOLFIN"/>
    <s v="CCMS"/>
    <n v="21349958"/>
    <n v="15751.18"/>
    <m/>
    <s v="N"/>
    <n v="2"/>
    <d v="2023-07-10T19:02:04"/>
    <s v="Y"/>
    <s v="Preparation - drafting application"/>
    <s v="Care Remuneration Hourly Rates"/>
    <s v="Profit Cost"/>
    <s v="HW"/>
    <s v="Y"/>
    <n v="106.72"/>
    <n v="21.34"/>
    <x v="2"/>
    <s v="VALIDATED"/>
    <n v="1"/>
    <s v="01.11.80.308.6100.0000"/>
    <n v="106.72"/>
    <s v="11"/>
    <s v="6100"/>
    <n v="26754.22"/>
    <n v="106.72"/>
    <s v="CREDITOR"/>
    <n v="0"/>
    <n v="0"/>
    <n v="0"/>
    <n v="0"/>
    <n v="106.72"/>
  </r>
  <r>
    <n v="61063328"/>
    <s v="N"/>
    <n v="21349708"/>
    <s v="3000015261150004"/>
    <s v="CIVIL"/>
    <d v="2023-06-28T00:00:00"/>
    <d v="2023-07-10T19:01:40"/>
    <m/>
    <d v="2023-07-10T00:00:00"/>
    <n v="1530"/>
    <n v="20829"/>
    <s v="61063328"/>
    <s v="61063328"/>
    <m/>
    <m/>
    <n v="22777778"/>
    <m/>
    <m/>
    <m/>
    <s v="SOLFIN"/>
    <s v="SOLFIN"/>
    <s v="CCMS"/>
    <n v="21349708"/>
    <n v="14156.17"/>
    <m/>
    <s v="N"/>
    <n v="62"/>
    <d v="2023-07-10T19:01:56"/>
    <s v="Y"/>
    <s v="Preparation - drafting consent orde"/>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92"/>
    <d v="2023-07-10T19:01:56"/>
    <s v="Y"/>
    <s v="Preparation - drafting consent orde"/>
    <s v="Care Remuneration Hourly Rates"/>
    <s v="Profit Cost"/>
    <s v="HW"/>
    <s v="Y"/>
    <n v="29.44"/>
    <n v="5.89"/>
    <x v="2"/>
    <s v="VALIDATED"/>
    <n v="1"/>
    <s v="01.11.80.308.6100.0000"/>
    <n v="29.44"/>
    <s v="11"/>
    <s v="6100"/>
    <n v="26754.22"/>
    <n v="29.44"/>
    <s v="CREDITOR"/>
    <n v="0"/>
    <n v="0"/>
    <n v="0"/>
    <n v="0"/>
    <n v="29.44"/>
  </r>
  <r>
    <n v="61063328"/>
    <s v="N"/>
    <n v="21349708"/>
    <s v="3000015261150004"/>
    <s v="CIVIL"/>
    <d v="2023-06-28T00:00:00"/>
    <d v="2023-07-10T19:01:40"/>
    <m/>
    <d v="2023-07-10T00:00:00"/>
    <n v="1530"/>
    <n v="20829"/>
    <s v="61063328"/>
    <s v="61063328"/>
    <m/>
    <m/>
    <n v="22777778"/>
    <m/>
    <m/>
    <m/>
    <s v="SOLFIN"/>
    <s v="SOLFIN"/>
    <s v="CCMS"/>
    <n v="21349708"/>
    <n v="14156.17"/>
    <m/>
    <s v="N"/>
    <n v="95"/>
    <d v="2023-07-10T19:01:56"/>
    <s v="Y"/>
    <s v="Preparation - drafting pleadings"/>
    <s v="Care Remuneration Hourly Rates"/>
    <s v="Profit Cost"/>
    <s v="OTH"/>
    <s v="Y"/>
    <n v="420.56"/>
    <n v="84.11"/>
    <x v="2"/>
    <s v="VALIDATED"/>
    <n v="1"/>
    <s v="01.11.80.308.6100.0000"/>
    <n v="420.56"/>
    <s v="11"/>
    <s v="6100"/>
    <n v="26754.22"/>
    <n v="420.56"/>
    <s v="CREDITOR"/>
    <n v="0"/>
    <n v="0"/>
    <n v="0"/>
    <n v="0"/>
    <n v="420.56"/>
  </r>
  <r>
    <n v="60658700"/>
    <s v="N"/>
    <n v="21349958"/>
    <s v="3000014912410007"/>
    <s v="CIVIL"/>
    <d v="2023-06-29T00:00:00"/>
    <d v="2023-07-10T19:01:40"/>
    <m/>
    <d v="2023-07-10T00:00:00"/>
    <n v="1530"/>
    <n v="20829"/>
    <s v="60658700"/>
    <s v="60658700"/>
    <m/>
    <m/>
    <n v="22793116"/>
    <m/>
    <m/>
    <m/>
    <s v="SOLFIN"/>
    <s v="SOLFIN"/>
    <s v="CCMS"/>
    <n v="21349958"/>
    <n v="15751.18"/>
    <m/>
    <s v="N"/>
    <n v="129"/>
    <d v="2023-07-10T19:02:04"/>
    <s v="Y"/>
    <s v="Preparation - other"/>
    <s v="Care Remuneration Hourly Rates"/>
    <s v="Profit Cost"/>
    <s v="OTH"/>
    <s v="Y"/>
    <n v="5.93"/>
    <n v="1.19"/>
    <x v="2"/>
    <s v="VALIDATED"/>
    <n v="1"/>
    <s v="01.11.80.308.6100.0000"/>
    <n v="5.93"/>
    <s v="11"/>
    <s v="6100"/>
    <n v="26754.22"/>
    <n v="5.93"/>
    <s v="CREDITOR"/>
    <n v="0"/>
    <n v="0"/>
    <n v="0"/>
    <n v="0"/>
    <n v="5.93"/>
  </r>
  <r>
    <n v="60658700"/>
    <s v="N"/>
    <n v="21349958"/>
    <s v="3000014912410007"/>
    <s v="CIVIL"/>
    <d v="2023-06-29T00:00:00"/>
    <d v="2023-07-10T19:01:40"/>
    <m/>
    <d v="2023-07-10T00:00:00"/>
    <n v="1530"/>
    <n v="20829"/>
    <s v="60658700"/>
    <s v="60658700"/>
    <m/>
    <m/>
    <n v="22793116"/>
    <m/>
    <m/>
    <m/>
    <s v="SOLFIN"/>
    <s v="SOLFIN"/>
    <s v="CCMS"/>
    <n v="21349958"/>
    <n v="15751.18"/>
    <m/>
    <s v="N"/>
    <n v="130"/>
    <d v="2023-07-10T19:02:04"/>
    <s v="Y"/>
    <s v="Preparation - drafting pleadings"/>
    <s v="Care Remuneration Hourly Rates"/>
    <s v="Profit Cost"/>
    <s v="OTH"/>
    <s v="Y"/>
    <n v="473.13"/>
    <n v="94.63"/>
    <x v="2"/>
    <s v="VALIDATED"/>
    <n v="1"/>
    <s v="01.11.80.308.6100.0000"/>
    <n v="473.13"/>
    <s v="11"/>
    <s v="6100"/>
    <n v="26754.22"/>
    <n v="473.13"/>
    <s v="CREDITOR"/>
    <n v="0"/>
    <n v="0"/>
    <n v="0"/>
    <n v="0"/>
    <n v="473.13"/>
  </r>
  <r>
    <n v="61807950"/>
    <s v="N"/>
    <n v="21338584"/>
    <s v="3000015879920001"/>
    <s v="CIVIL"/>
    <d v="2023-06-27T00:00:00"/>
    <d v="2023-07-06T19:21:01"/>
    <m/>
    <d v="2023-07-06T00:00:00"/>
    <n v="1530"/>
    <n v="20829"/>
    <s v="61807950"/>
    <s v="61807950"/>
    <m/>
    <m/>
    <n v="22772526"/>
    <m/>
    <m/>
    <m/>
    <s v="SOLFIN"/>
    <s v="SOLFIN"/>
    <s v="CCMS"/>
    <n v="21338584"/>
    <n v="4127.99"/>
    <m/>
    <s v="N"/>
    <n v="13"/>
    <d v="2023-07-06T19:21:29"/>
    <s v="Y"/>
    <s v="Preparation - drafting notice(s)"/>
    <s v="Prescribed Hourly Rates"/>
    <s v="Profit Cost"/>
    <s v="OTH"/>
    <s v="Y"/>
    <n v="10.98"/>
    <n v="2.2"/>
    <x v="4"/>
    <s v="VALIDATED"/>
    <n v="1"/>
    <s v="01.11.80.307.6100.0000"/>
    <n v="10.98"/>
    <s v="11"/>
    <s v="6100"/>
    <n v="26754.22"/>
    <n v="10.98"/>
    <s v="CREDITOR"/>
    <n v="0"/>
    <n v="0"/>
    <n v="0"/>
    <n v="0"/>
    <n v="10.98"/>
  </r>
  <r>
    <n v="60658700"/>
    <s v="N"/>
    <n v="21349958"/>
    <s v="3000014912410007"/>
    <s v="CIVIL"/>
    <d v="2023-06-29T00:00:00"/>
    <d v="2023-07-10T19:01:40"/>
    <m/>
    <d v="2023-07-10T00:00:00"/>
    <n v="1530"/>
    <n v="20829"/>
    <s v="60658700"/>
    <s v="60658700"/>
    <m/>
    <m/>
    <n v="22793116"/>
    <m/>
    <m/>
    <m/>
    <s v="SOLFIN"/>
    <s v="SOLFIN"/>
    <s v="CCMS"/>
    <n v="21349958"/>
    <n v="15751.18"/>
    <m/>
    <s v="N"/>
    <n v="84"/>
    <d v="2023-07-10T19:02:04"/>
    <s v="Y"/>
    <s v="Preparation - drafting attendance n"/>
    <s v="Care Remuneration Hourly Rates"/>
    <s v="Profit Cost"/>
    <s v="HW"/>
    <s v="Y"/>
    <n v="22.87"/>
    <n v="4.57"/>
    <x v="2"/>
    <s v="VALIDATED"/>
    <n v="1"/>
    <s v="01.11.80.308.6100.0000"/>
    <n v="22.87"/>
    <s v="11"/>
    <s v="6100"/>
    <n v="26754.22"/>
    <n v="22.87"/>
    <s v="CREDITOR"/>
    <n v="0"/>
    <n v="0"/>
    <n v="0"/>
    <n v="0"/>
    <n v="22.87"/>
  </r>
  <r>
    <n v="60658852"/>
    <s v="N"/>
    <n v="21350034"/>
    <s v="3000014912570001"/>
    <s v="CIVIL"/>
    <d v="2023-06-29T00:00:00"/>
    <d v="2023-07-10T19:01:40"/>
    <m/>
    <d v="2023-07-10T00:00:00"/>
    <n v="1530"/>
    <n v="20829"/>
    <s v="60658852"/>
    <s v="60658852"/>
    <m/>
    <m/>
    <n v="22792344"/>
    <m/>
    <m/>
    <m/>
    <s v="SOLFIN"/>
    <s v="SOLFIN"/>
    <s v="CCMS"/>
    <n v="21350034"/>
    <n v="0"/>
    <m/>
    <s v="N"/>
    <n v="1"/>
    <d v="2023-07-10T19:02:10"/>
    <s v="N"/>
    <s v="NIL BILL"/>
    <s v="Public Law Children"/>
    <s v="Profit Cost"/>
    <s v="H. Walsh"/>
    <s v="N"/>
    <n v="0"/>
    <n v="0"/>
    <x v="2"/>
    <s v="VALIDATED"/>
    <n v="1"/>
    <s v="01.11.80.308.6100.0000"/>
    <n v="0"/>
    <s v="11"/>
    <s v="6100"/>
    <n v="26754.22"/>
    <n v="0"/>
    <s v="CREDITOR"/>
    <n v="0"/>
    <n v="0"/>
    <n v="0"/>
    <n v="0"/>
    <n v="0"/>
  </r>
  <r>
    <n v="60658700"/>
    <s v="N"/>
    <n v="21349958"/>
    <s v="3000014912410007"/>
    <s v="CIVIL"/>
    <d v="2023-06-29T00:00:00"/>
    <d v="2023-07-10T19:01:40"/>
    <m/>
    <d v="2023-07-10T00:00:00"/>
    <n v="1530"/>
    <n v="20829"/>
    <s v="60658700"/>
    <s v="60658700"/>
    <m/>
    <m/>
    <n v="22793116"/>
    <m/>
    <m/>
    <m/>
    <s v="SOLFIN"/>
    <s v="SOLFIN"/>
    <s v="CCMS"/>
    <n v="21349958"/>
    <n v="15751.18"/>
    <m/>
    <s v="N"/>
    <n v="4"/>
    <d v="2023-07-10T19:02:04"/>
    <s v="Y"/>
    <s v="Report - Medical report"/>
    <s v="Care Remuneration Hourly Rates"/>
    <s v="Profit Cost"/>
    <s v="HW"/>
    <s v="Y"/>
    <n v="60.99"/>
    <n v="12.2"/>
    <x v="2"/>
    <s v="VALIDATED"/>
    <n v="1"/>
    <s v="01.11.80.308.6100.0000"/>
    <n v="60.99"/>
    <s v="11"/>
    <s v="6100"/>
    <n v="26754.22"/>
    <n v="60.99"/>
    <s v="CREDITOR"/>
    <n v="0"/>
    <n v="0"/>
    <n v="0"/>
    <n v="0"/>
    <n v="60.99"/>
  </r>
  <r>
    <n v="61807950"/>
    <s v="N"/>
    <n v="21338584"/>
    <s v="3000015879920001"/>
    <s v="CIVIL"/>
    <d v="2023-06-27T00:00:00"/>
    <d v="2023-07-06T19:21:01"/>
    <m/>
    <d v="2023-07-06T00:00:00"/>
    <n v="1530"/>
    <n v="20829"/>
    <s v="61807950"/>
    <s v="61807950"/>
    <m/>
    <m/>
    <n v="22772526"/>
    <m/>
    <m/>
    <m/>
    <s v="SOLFIN"/>
    <s v="SOLFIN"/>
    <s v="CCMS"/>
    <n v="21338584"/>
    <n v="4127.99"/>
    <m/>
    <s v="N"/>
    <n v="47"/>
    <d v="2023-07-06T19:21:29"/>
    <s v="Y"/>
    <s v="Routine Letter Out"/>
    <s v="Prescribed Hourly Rates"/>
    <s v="Profit Cost"/>
    <s v="HW"/>
    <s v="Y"/>
    <n v="478.17"/>
    <n v="95.63"/>
    <x v="4"/>
    <s v="VALIDATED"/>
    <n v="1"/>
    <s v="01.11.80.307.6100.0000"/>
    <n v="478.17"/>
    <s v="11"/>
    <s v="6100"/>
    <n v="26754.22"/>
    <n v="478.17"/>
    <s v="CREDITOR"/>
    <n v="0"/>
    <n v="0"/>
    <n v="0"/>
    <n v="0"/>
    <n v="478.17"/>
  </r>
  <r>
    <n v="60658700"/>
    <s v="N"/>
    <n v="21349958"/>
    <s v="3000014912410007"/>
    <s v="CIVIL"/>
    <d v="2023-06-29T00:00:00"/>
    <d v="2023-07-10T19:01:40"/>
    <m/>
    <d v="2023-07-10T00:00:00"/>
    <n v="1530"/>
    <n v="20829"/>
    <s v="60658700"/>
    <s v="60658700"/>
    <m/>
    <m/>
    <n v="22793116"/>
    <m/>
    <m/>
    <m/>
    <s v="SOLFIN"/>
    <s v="SOLFIN"/>
    <s v="CCMS"/>
    <n v="21349958"/>
    <n v="15751.18"/>
    <m/>
    <s v="N"/>
    <n v="49"/>
    <d v="2023-07-10T19:02:04"/>
    <s v="Y"/>
    <s v="Preparation - other"/>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96"/>
    <d v="2023-07-10T19:02:04"/>
    <s v="Y"/>
    <s v="Preparation - drafting notice(s)"/>
    <s v="Care Remuneration Hourly Rates"/>
    <s v="Profit Cost"/>
    <s v="OTH"/>
    <s v="Y"/>
    <n v="5.26"/>
    <n v="1.05"/>
    <x v="2"/>
    <s v="VALIDATED"/>
    <n v="1"/>
    <s v="01.11.80.308.6100.0000"/>
    <n v="5.26"/>
    <s v="11"/>
    <s v="6100"/>
    <n v="26754.22"/>
    <n v="5.26"/>
    <s v="CREDITOR"/>
    <n v="0"/>
    <n v="0"/>
    <n v="0"/>
    <n v="0"/>
    <n v="5.26"/>
  </r>
  <r>
    <n v="61807950"/>
    <s v="N"/>
    <n v="21338584"/>
    <s v="3000015879920001"/>
    <s v="CIVIL"/>
    <d v="2023-06-27T00:00:00"/>
    <d v="2023-07-06T19:21:01"/>
    <m/>
    <d v="2023-07-06T00:00:00"/>
    <n v="1530"/>
    <n v="20829"/>
    <s v="61807950"/>
    <s v="61807950"/>
    <m/>
    <m/>
    <n v="22772526"/>
    <m/>
    <m/>
    <m/>
    <s v="SOLFIN"/>
    <s v="SOLFIN"/>
    <s v="CCMS"/>
    <n v="21338584"/>
    <n v="4127.99"/>
    <m/>
    <s v="N"/>
    <n v="38"/>
    <d v="2023-07-06T19:21:29"/>
    <s v="Y"/>
    <s v="Preparation - Periodic file review"/>
    <s v="Prescribed Hourly Rates"/>
    <s v="Profit Cost"/>
    <s v="HW"/>
    <s v="Y"/>
    <n v="88.39"/>
    <n v="17.68"/>
    <x v="4"/>
    <s v="VALIDATED"/>
    <n v="1"/>
    <s v="01.11.80.307.6100.0000"/>
    <n v="88.39"/>
    <s v="11"/>
    <s v="6100"/>
    <n v="26754.22"/>
    <n v="88.39"/>
    <s v="CREDITOR"/>
    <n v="0"/>
    <n v="0"/>
    <n v="0"/>
    <n v="0"/>
    <n v="88.39"/>
  </r>
  <r>
    <n v="61807950"/>
    <s v="N"/>
    <n v="21338584"/>
    <s v="3000015879920001"/>
    <s v="CIVIL"/>
    <d v="2023-06-27T00:00:00"/>
    <d v="2023-07-06T19:21:01"/>
    <m/>
    <d v="2023-07-06T00:00:00"/>
    <n v="1530"/>
    <n v="20829"/>
    <s v="61807950"/>
    <s v="61807950"/>
    <m/>
    <m/>
    <n v="22772526"/>
    <m/>
    <m/>
    <m/>
    <s v="SOLFIN"/>
    <s v="SOLFIN"/>
    <s v="CCMS"/>
    <n v="21338584"/>
    <n v="4127.99"/>
    <m/>
    <s v="N"/>
    <n v="34"/>
    <d v="2023-07-06T19:21:29"/>
    <s v="Y"/>
    <s v="Preparation - drafting statement"/>
    <s v="Prescribed Hourly Rates"/>
    <s v="Profit Cost"/>
    <s v="HW"/>
    <s v="Y"/>
    <n v="50.51"/>
    <n v="10.1"/>
    <x v="4"/>
    <s v="VALIDATED"/>
    <n v="1"/>
    <s v="01.11.80.307.6100.0000"/>
    <n v="50.51"/>
    <s v="11"/>
    <s v="6100"/>
    <n v="26754.22"/>
    <n v="50.51"/>
    <s v="CREDITOR"/>
    <n v="0"/>
    <n v="0"/>
    <n v="0"/>
    <n v="0"/>
    <n v="50.51"/>
  </r>
  <r>
    <n v="16124790"/>
    <s v="N"/>
    <n v="21320566"/>
    <s v="3000007753630036"/>
    <s v="CIVIL"/>
    <d v="2023-06-28T00:00:00"/>
    <d v="2023-07-03T19:04:52"/>
    <m/>
    <d v="2023-07-03T00:00:00"/>
    <n v="1530"/>
    <n v="20829"/>
    <s v="16124790"/>
    <s v="16124790"/>
    <m/>
    <m/>
    <n v="22778774"/>
    <m/>
    <m/>
    <m/>
    <s v="SOLPOA"/>
    <s v="SOLPOA"/>
    <s v="CCMS"/>
    <n v="21320566"/>
    <n v="398.83"/>
    <m/>
    <s v="N"/>
    <n v="1"/>
    <d v="2023-07-03T19:04:55"/>
    <s v="N"/>
    <s v="Expert Cost"/>
    <s v="Expert Cost"/>
    <s v="Expert Disbursement"/>
    <s v="Lynn Heap"/>
    <s v="N"/>
    <n v="332.36"/>
    <n v="66.47"/>
    <x v="3"/>
    <s v="VALIDATED"/>
    <n v="1"/>
    <s v="01.11.80.308.2012.0000"/>
    <n v="332.36"/>
    <s v="11"/>
    <s v="2012"/>
    <n v="26754.22"/>
    <n v="332.36"/>
    <s v="CREDITOR"/>
    <n v="332.36"/>
    <n v="0"/>
    <n v="0"/>
    <n v="0"/>
    <n v="0"/>
  </r>
  <r>
    <n v="60658700"/>
    <s v="N"/>
    <n v="21349958"/>
    <s v="3000014912410007"/>
    <s v="CIVIL"/>
    <d v="2023-06-29T00:00:00"/>
    <d v="2023-07-10T19:01:40"/>
    <m/>
    <d v="2023-07-10T00:00:00"/>
    <n v="1530"/>
    <n v="20829"/>
    <s v="60658700"/>
    <s v="60658700"/>
    <m/>
    <m/>
    <n v="22793116"/>
    <m/>
    <m/>
    <m/>
    <s v="SOLFIN"/>
    <s v="SOLFIN"/>
    <s v="CCMS"/>
    <n v="21349958"/>
    <n v="15751.18"/>
    <m/>
    <s v="N"/>
    <n v="15"/>
    <d v="2023-07-10T19:02:04"/>
    <s v="Y"/>
    <s v="Preparation - drafting statement"/>
    <s v="Care Remuneration Hourly Rates"/>
    <s v="Profit Cost"/>
    <s v="HW"/>
    <s v="Y"/>
    <n v="83.84999999999999"/>
    <n v="16.77"/>
    <x v="2"/>
    <s v="VALIDATED"/>
    <n v="1"/>
    <s v="01.11.80.308.6100.0000"/>
    <n v="83.84999999999999"/>
    <s v="11"/>
    <s v="6100"/>
    <n v="26754.22"/>
    <n v="83.84999999999999"/>
    <s v="CREDITOR"/>
    <n v="0"/>
    <n v="0"/>
    <n v="0"/>
    <n v="0"/>
    <n v="83.84999999999999"/>
  </r>
  <r>
    <n v="60658700"/>
    <s v="N"/>
    <n v="21349958"/>
    <s v="3000014912410007"/>
    <s v="CIVIL"/>
    <d v="2023-06-29T00:00:00"/>
    <d v="2023-07-10T19:01:40"/>
    <m/>
    <d v="2023-07-10T00:00:00"/>
    <n v="1530"/>
    <n v="20829"/>
    <s v="60658700"/>
    <s v="60658700"/>
    <m/>
    <m/>
    <n v="22793116"/>
    <m/>
    <m/>
    <m/>
    <s v="SOLFIN"/>
    <s v="SOLFIN"/>
    <s v="CCMS"/>
    <n v="21349958"/>
    <n v="15751.18"/>
    <m/>
    <s v="N"/>
    <n v="53"/>
    <d v="2023-07-10T19:02:04"/>
    <s v="Y"/>
    <s v="Preparation - drafting application"/>
    <s v="Care Remuneration Hourly Rates"/>
    <s v="Profit Cost"/>
    <s v="HW"/>
    <s v="Y"/>
    <n v="22.87"/>
    <n v="4.57"/>
    <x v="2"/>
    <s v="VALIDATED"/>
    <n v="1"/>
    <s v="01.11.80.308.6100.0000"/>
    <n v="22.87"/>
    <s v="11"/>
    <s v="6100"/>
    <n v="26754.22"/>
    <n v="22.87"/>
    <s v="CREDITOR"/>
    <n v="0"/>
    <n v="0"/>
    <n v="0"/>
    <n v="0"/>
    <n v="22.87"/>
  </r>
  <r>
    <n v="60658700"/>
    <s v="N"/>
    <n v="21349958"/>
    <s v="3000014912410007"/>
    <s v="CIVIL"/>
    <d v="2023-06-29T00:00:00"/>
    <d v="2023-07-10T19:01:40"/>
    <m/>
    <d v="2023-07-10T00:00:00"/>
    <n v="1530"/>
    <n v="20829"/>
    <s v="60658700"/>
    <s v="60658700"/>
    <m/>
    <m/>
    <n v="22793116"/>
    <m/>
    <m/>
    <m/>
    <s v="SOLFIN"/>
    <s v="SOLFIN"/>
    <s v="CCMS"/>
    <n v="21349958"/>
    <n v="15751.18"/>
    <m/>
    <s v="N"/>
    <n v="70"/>
    <d v="2023-07-10T19:02:04"/>
    <s v="Y"/>
    <s v="Preparation - drafting consent orde"/>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5"/>
    <d v="2023-07-10T19:02:04"/>
    <s v="Y"/>
    <s v="Preparation - drafting consent orde"/>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10"/>
    <d v="2023-07-10T19:02:04"/>
    <s v="Y"/>
    <s v="Preparation - other"/>
    <s v="Care Remuneration Hourly Rates"/>
    <s v="Profit Cost"/>
    <s v="HW"/>
    <s v="Y"/>
    <n v="76.23"/>
    <n v="15.25"/>
    <x v="2"/>
    <s v="VALIDATED"/>
    <n v="1"/>
    <s v="01.11.80.308.6100.0000"/>
    <n v="76.23"/>
    <s v="11"/>
    <s v="6100"/>
    <n v="26754.22"/>
    <n v="76.23"/>
    <s v="CREDITOR"/>
    <n v="0"/>
    <n v="0"/>
    <n v="0"/>
    <n v="0"/>
    <n v="76.23"/>
  </r>
  <r>
    <n v="61063328"/>
    <s v="N"/>
    <n v="21349708"/>
    <s v="3000015261150004"/>
    <s v="CIVIL"/>
    <d v="2023-06-28T00:00:00"/>
    <d v="2023-07-10T19:01:40"/>
    <m/>
    <d v="2023-07-10T00:00:00"/>
    <n v="1530"/>
    <n v="20829"/>
    <s v="61063328"/>
    <s v="61063328"/>
    <m/>
    <m/>
    <n v="22777778"/>
    <m/>
    <m/>
    <m/>
    <s v="SOLFIN"/>
    <s v="SOLFIN"/>
    <s v="CCMS"/>
    <n v="21349708"/>
    <n v="14156.17"/>
    <m/>
    <s v="N"/>
    <n v="112"/>
    <d v="2023-07-10T19:01:56"/>
    <s v="Y"/>
    <s v="Advocates Meeting"/>
    <s v="Public Law Children"/>
    <s v="Advocacy"/>
    <s v="HW"/>
    <s v="Y"/>
    <n v="140.99"/>
    <n v="28.2"/>
    <x v="2"/>
    <s v="VALIDATED"/>
    <n v="1"/>
    <s v="01.11.80.308.6100.0000"/>
    <n v="140.99"/>
    <s v="11"/>
    <s v="6100"/>
    <n v="26754.22"/>
    <n v="140.99"/>
    <s v="CREDITOR"/>
    <n v="0"/>
    <n v="0"/>
    <n v="0"/>
    <n v="0"/>
    <n v="140.99"/>
  </r>
  <r>
    <n v="61063328"/>
    <s v="N"/>
    <n v="21349708"/>
    <s v="3000015261150004"/>
    <s v="CIVIL"/>
    <d v="2023-06-28T00:00:00"/>
    <d v="2023-07-10T19:01:40"/>
    <m/>
    <d v="2023-07-10T00:00:00"/>
    <n v="1530"/>
    <n v="20829"/>
    <s v="61063328"/>
    <s v="61063328"/>
    <m/>
    <m/>
    <n v="22777778"/>
    <m/>
    <m/>
    <m/>
    <s v="SOLFIN"/>
    <s v="SOLFIN"/>
    <s v="CCMS"/>
    <n v="21349708"/>
    <n v="14156.17"/>
    <m/>
    <s v="N"/>
    <n v="40"/>
    <d v="2023-07-10T19:01:56"/>
    <s v="Y"/>
    <s v="Preparation - drafting statement"/>
    <s v="Care Remuneration Hourly Rates"/>
    <s v="Profit Cost"/>
    <s v="HW"/>
    <s v="Y"/>
    <n v="66.23"/>
    <n v="13.25"/>
    <x v="2"/>
    <s v="VALIDATED"/>
    <n v="1"/>
    <s v="01.11.80.308.6100.0000"/>
    <n v="66.23"/>
    <s v="11"/>
    <s v="6100"/>
    <n v="26754.22"/>
    <n v="66.23"/>
    <s v="CREDITOR"/>
    <n v="0"/>
    <n v="0"/>
    <n v="0"/>
    <n v="0"/>
    <n v="66.23"/>
  </r>
  <r>
    <n v="61063328"/>
    <s v="N"/>
    <n v="21349708"/>
    <s v="3000015261150004"/>
    <s v="CIVIL"/>
    <d v="2023-06-28T00:00:00"/>
    <d v="2023-07-10T19:01:40"/>
    <m/>
    <d v="2023-07-10T00:00:00"/>
    <n v="1530"/>
    <n v="20829"/>
    <s v="61063328"/>
    <s v="61063328"/>
    <m/>
    <m/>
    <n v="22777778"/>
    <m/>
    <m/>
    <m/>
    <s v="SOLFIN"/>
    <s v="SOLFIN"/>
    <s v="CCMS"/>
    <n v="21349708"/>
    <n v="14156.17"/>
    <m/>
    <s v="N"/>
    <n v="45"/>
    <d v="2023-07-10T19:01:56"/>
    <s v="Y"/>
    <s v="Preparation - drafting attendance n"/>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46"/>
    <d v="2023-07-10T19:01:56"/>
    <s v="Y"/>
    <s v="Preparation - drafting consent orde"/>
    <s v="Care Remuneration Hourly Rates"/>
    <s v="Profit Cost"/>
    <s v="HW"/>
    <s v="Y"/>
    <n v="7.36"/>
    <n v="1.47"/>
    <x v="2"/>
    <s v="VALIDATED"/>
    <n v="1"/>
    <s v="01.11.80.308.6100.0000"/>
    <n v="7.36"/>
    <s v="11"/>
    <s v="6100"/>
    <n v="26754.22"/>
    <n v="7.36"/>
    <s v="CREDITOR"/>
    <n v="0"/>
    <n v="0"/>
    <n v="0"/>
    <n v="0"/>
    <n v="7.36"/>
  </r>
  <r>
    <n v="60658700"/>
    <s v="N"/>
    <n v="21349958"/>
    <s v="3000014912410007"/>
    <s v="CIVIL"/>
    <d v="2023-06-29T00:00:00"/>
    <d v="2023-07-10T19:01:40"/>
    <m/>
    <d v="2023-07-10T00:00:00"/>
    <n v="1530"/>
    <n v="20829"/>
    <s v="60658700"/>
    <s v="60658700"/>
    <m/>
    <m/>
    <n v="22793116"/>
    <m/>
    <m/>
    <m/>
    <s v="SOLFIN"/>
    <s v="SOLFIN"/>
    <s v="CCMS"/>
    <n v="21349958"/>
    <n v="15751.18"/>
    <m/>
    <s v="N"/>
    <n v="90"/>
    <d v="2023-07-10T19:02:04"/>
    <s v="Y"/>
    <s v="Preparation - other"/>
    <s v="Care Remuneration Hourly Rates"/>
    <s v="Profit Cost"/>
    <s v="HW"/>
    <s v="Y"/>
    <n v="38.12"/>
    <n v="7.62"/>
    <x v="2"/>
    <s v="VALIDATED"/>
    <n v="1"/>
    <s v="01.11.80.308.6100.0000"/>
    <n v="38.12"/>
    <s v="11"/>
    <s v="6100"/>
    <n v="26754.22"/>
    <n v="38.12"/>
    <s v="CREDITOR"/>
    <n v="0"/>
    <n v="0"/>
    <n v="0"/>
    <n v="0"/>
    <n v="38.12"/>
  </r>
  <r>
    <n v="61807950"/>
    <s v="N"/>
    <n v="21338584"/>
    <s v="3000015879920001"/>
    <s v="CIVIL"/>
    <d v="2023-06-27T00:00:00"/>
    <d v="2023-07-06T19:21:01"/>
    <m/>
    <d v="2023-07-06T00:00:00"/>
    <n v="1530"/>
    <n v="20829"/>
    <s v="61807950"/>
    <s v="61807950"/>
    <m/>
    <m/>
    <n v="22772526"/>
    <m/>
    <m/>
    <m/>
    <s v="SOLFIN"/>
    <s v="SOLFIN"/>
    <s v="CCMS"/>
    <n v="21338584"/>
    <n v="4127.99"/>
    <m/>
    <s v="N"/>
    <n v="44"/>
    <d v="2023-07-06T19:21:29"/>
    <s v="Y"/>
    <s v="Preparation - drafting consent orde"/>
    <s v="Prescribed Hourly Rates"/>
    <s v="Profit Cost"/>
    <s v="HW"/>
    <s v="Y"/>
    <n v="12.63"/>
    <n v="2.53"/>
    <x v="4"/>
    <s v="VALIDATED"/>
    <n v="1"/>
    <s v="01.11.80.307.6100.0000"/>
    <n v="12.63"/>
    <s v="11"/>
    <s v="6100"/>
    <n v="26754.22"/>
    <n v="12.63"/>
    <s v="CREDITOR"/>
    <n v="0"/>
    <n v="0"/>
    <n v="0"/>
    <n v="0"/>
    <n v="12.63"/>
  </r>
  <r>
    <n v="60658700"/>
    <s v="N"/>
    <n v="21349958"/>
    <s v="3000014912410007"/>
    <s v="CIVIL"/>
    <d v="2023-06-29T00:00:00"/>
    <d v="2023-07-10T19:01:40"/>
    <m/>
    <d v="2023-07-10T00:00:00"/>
    <n v="1530"/>
    <n v="20829"/>
    <s v="60658700"/>
    <s v="60658700"/>
    <m/>
    <m/>
    <n v="22793116"/>
    <m/>
    <m/>
    <m/>
    <s v="SOLFIN"/>
    <s v="SOLFIN"/>
    <s v="CCMS"/>
    <n v="21349958"/>
    <n v="15751.18"/>
    <m/>
    <s v="N"/>
    <n v="122"/>
    <d v="2023-07-10T19:02:04"/>
    <s v="Y"/>
    <s v="Preparation - other"/>
    <s v="Care Remuneration Hourly Rates"/>
    <s v="Profit Cost"/>
    <s v="HW"/>
    <s v="Y"/>
    <n v="8.6"/>
    <n v="1.72"/>
    <x v="2"/>
    <s v="VALIDATED"/>
    <n v="1"/>
    <s v="01.11.80.308.6100.0000"/>
    <n v="8.6"/>
    <s v="11"/>
    <s v="6100"/>
    <n v="26754.22"/>
    <n v="8.6"/>
    <s v="CREDITOR"/>
    <n v="0"/>
    <n v="0"/>
    <n v="0"/>
    <n v="0"/>
    <n v="8.6"/>
  </r>
  <r>
    <n v="60658700"/>
    <s v="N"/>
    <n v="21349958"/>
    <s v="3000014912410007"/>
    <s v="CIVIL"/>
    <d v="2023-06-29T00:00:00"/>
    <d v="2023-07-10T19:01:40"/>
    <m/>
    <d v="2023-07-10T00:00:00"/>
    <n v="1530"/>
    <n v="20829"/>
    <s v="60658700"/>
    <s v="60658700"/>
    <m/>
    <m/>
    <n v="22793116"/>
    <m/>
    <m/>
    <m/>
    <s v="SOLFIN"/>
    <s v="SOLFIN"/>
    <s v="CCMS"/>
    <n v="21349958"/>
    <n v="15751.18"/>
    <m/>
    <s v="N"/>
    <n v="12"/>
    <d v="2023-07-10T19:02:04"/>
    <s v="Y"/>
    <s v="Preparation - drafting instructions"/>
    <s v="Care Remuneration Hourly Rates"/>
    <s v="Profit Cost"/>
    <s v="HW"/>
    <s v="Y"/>
    <n v="38.12"/>
    <n v="7.62"/>
    <x v="2"/>
    <s v="VALIDATED"/>
    <n v="1"/>
    <s v="01.11.80.308.6100.0000"/>
    <n v="38.12"/>
    <s v="11"/>
    <s v="6100"/>
    <n v="26754.22"/>
    <n v="38.12"/>
    <s v="CREDITOR"/>
    <n v="0"/>
    <n v="0"/>
    <n v="0"/>
    <n v="0"/>
    <n v="38.12"/>
  </r>
  <r>
    <n v="61063328"/>
    <s v="N"/>
    <n v="21349708"/>
    <s v="3000015261150004"/>
    <s v="CIVIL"/>
    <d v="2023-06-28T00:00:00"/>
    <d v="2023-07-10T19:01:40"/>
    <m/>
    <d v="2023-07-10T00:00:00"/>
    <n v="1530"/>
    <n v="20829"/>
    <s v="61063328"/>
    <s v="61063328"/>
    <m/>
    <m/>
    <n v="22777778"/>
    <m/>
    <m/>
    <m/>
    <s v="SOLFIN"/>
    <s v="SOLFIN"/>
    <s v="CCMS"/>
    <n v="21349708"/>
    <n v="14156.17"/>
    <m/>
    <s v="N"/>
    <n v="2"/>
    <d v="2023-07-10T19:01:56"/>
    <s v="Y"/>
    <s v="Preparation - drafting application"/>
    <s v="Care Remuneration Hourly Rates"/>
    <s v="Profit Cost"/>
    <s v="HW"/>
    <s v="Y"/>
    <n v="103.04"/>
    <n v="20.61"/>
    <x v="2"/>
    <s v="VALIDATED"/>
    <n v="1"/>
    <s v="01.11.80.308.6100.0000"/>
    <n v="103.04"/>
    <s v="11"/>
    <s v="6100"/>
    <n v="26754.22"/>
    <n v="103.04"/>
    <s v="CREDITOR"/>
    <n v="0"/>
    <n v="0"/>
    <n v="0"/>
    <n v="0"/>
    <n v="103.04"/>
  </r>
  <r>
    <n v="61063328"/>
    <s v="N"/>
    <n v="21349708"/>
    <s v="3000015261150004"/>
    <s v="CIVIL"/>
    <d v="2023-06-28T00:00:00"/>
    <d v="2023-07-10T19:01:40"/>
    <m/>
    <d v="2023-07-10T00:00:00"/>
    <n v="1530"/>
    <n v="20829"/>
    <s v="61063328"/>
    <s v="61063328"/>
    <m/>
    <m/>
    <n v="22777778"/>
    <m/>
    <m/>
    <m/>
    <s v="SOLFIN"/>
    <s v="SOLFIN"/>
    <s v="CCMS"/>
    <n v="21349708"/>
    <n v="14156.17"/>
    <m/>
    <s v="N"/>
    <n v="36"/>
    <d v="2023-07-10T19:01:56"/>
    <s v="Y"/>
    <s v="Preparation - other"/>
    <s v="Care Remuneration Hourly Rates"/>
    <s v="Profit Cost"/>
    <s v="HW"/>
    <s v="Y"/>
    <n v="103.04"/>
    <n v="20.61"/>
    <x v="2"/>
    <s v="VALIDATED"/>
    <n v="1"/>
    <s v="01.11.80.308.6100.0000"/>
    <n v="103.04"/>
    <s v="11"/>
    <s v="6100"/>
    <n v="26754.22"/>
    <n v="103.04"/>
    <s v="CREDITOR"/>
    <n v="0"/>
    <n v="0"/>
    <n v="0"/>
    <n v="0"/>
    <n v="103.04"/>
  </r>
  <r>
    <n v="61063328"/>
    <s v="N"/>
    <n v="21349708"/>
    <s v="3000015261150004"/>
    <s v="CIVIL"/>
    <d v="2023-06-28T00:00:00"/>
    <d v="2023-07-10T19:01:40"/>
    <m/>
    <d v="2023-07-10T00:00:00"/>
    <n v="1530"/>
    <n v="20829"/>
    <s v="61063328"/>
    <s v="61063328"/>
    <m/>
    <m/>
    <n v="22777778"/>
    <m/>
    <m/>
    <m/>
    <s v="SOLFIN"/>
    <s v="SOLFIN"/>
    <s v="CCMS"/>
    <n v="21349708"/>
    <n v="14156.17"/>
    <m/>
    <s v="N"/>
    <n v="108"/>
    <d v="2023-07-10T19:01:56"/>
    <s v="Y"/>
    <s v="Hearing Unit 2.31 - 5.00 Hours"/>
    <s v="Public Law Children"/>
    <s v="Advocacy"/>
    <s v="HW"/>
    <s v="Y"/>
    <n v="476.92"/>
    <n v="95.38"/>
    <x v="2"/>
    <s v="VALIDATED"/>
    <n v="1"/>
    <s v="01.11.80.308.6100.0000"/>
    <n v="476.92"/>
    <s v="11"/>
    <s v="6100"/>
    <n v="26754.22"/>
    <n v="476.92"/>
    <s v="CREDITOR"/>
    <n v="0"/>
    <n v="0"/>
    <n v="0"/>
    <n v="0"/>
    <n v="476.92"/>
  </r>
  <r>
    <n v="61063328"/>
    <s v="N"/>
    <n v="21349708"/>
    <s v="3000015261150004"/>
    <s v="CIVIL"/>
    <d v="2023-06-28T00:00:00"/>
    <d v="2023-07-10T19:01:40"/>
    <m/>
    <d v="2023-07-10T00:00:00"/>
    <n v="1530"/>
    <n v="20829"/>
    <s v="61063328"/>
    <s v="61063328"/>
    <m/>
    <m/>
    <n v="22777778"/>
    <m/>
    <m/>
    <m/>
    <s v="SOLFIN"/>
    <s v="SOLFIN"/>
    <s v="CCMS"/>
    <n v="21349708"/>
    <n v="14156.17"/>
    <m/>
    <s v="N"/>
    <n v="20"/>
    <d v="2023-07-10T19:01:56"/>
    <s v="Y"/>
    <s v="Preparation - drafting attendance n"/>
    <s v="Care Remuneration Hourly Rates"/>
    <s v="Profit Cost"/>
    <s v="HW"/>
    <s v="Y"/>
    <n v="7.36"/>
    <n v="1.47"/>
    <x v="2"/>
    <s v="VALIDATED"/>
    <n v="1"/>
    <s v="01.11.80.308.6100.0000"/>
    <n v="7.36"/>
    <s v="11"/>
    <s v="6100"/>
    <n v="26754.22"/>
    <n v="7.36"/>
    <s v="CREDITOR"/>
    <n v="0"/>
    <n v="0"/>
    <n v="0"/>
    <n v="0"/>
    <n v="7.36"/>
  </r>
  <r>
    <n v="60658700"/>
    <s v="N"/>
    <n v="21349958"/>
    <s v="3000014912410007"/>
    <s v="CIVIL"/>
    <d v="2023-06-29T00:00:00"/>
    <d v="2023-07-10T19:01:40"/>
    <m/>
    <d v="2023-07-10T00:00:00"/>
    <n v="1530"/>
    <n v="20829"/>
    <s v="60658700"/>
    <s v="60658700"/>
    <m/>
    <m/>
    <n v="22793116"/>
    <m/>
    <m/>
    <m/>
    <s v="SOLFIN"/>
    <s v="SOLFIN"/>
    <s v="CCMS"/>
    <n v="21349958"/>
    <n v="15751.18"/>
    <m/>
    <s v="N"/>
    <n v="83"/>
    <d v="2023-07-10T19:02:04"/>
    <s v="Y"/>
    <s v="Travel to attend client"/>
    <s v="Care Remuneration Hourly Rates"/>
    <s v="Profit Cost"/>
    <s v="HW"/>
    <s v="Y"/>
    <n v="114.36"/>
    <n v="22.87"/>
    <x v="2"/>
    <s v="VALIDATED"/>
    <n v="1"/>
    <s v="01.11.80.308.6100.0000"/>
    <n v="114.36"/>
    <s v="11"/>
    <s v="6100"/>
    <n v="26754.22"/>
    <n v="114.36"/>
    <s v="CREDITOR"/>
    <n v="0"/>
    <n v="0"/>
    <n v="0"/>
    <n v="0"/>
    <n v="114.36"/>
  </r>
  <r>
    <n v="61063328"/>
    <s v="N"/>
    <n v="21349708"/>
    <s v="3000015261150004"/>
    <s v="CIVIL"/>
    <d v="2023-06-28T00:00:00"/>
    <d v="2023-07-10T19:01:40"/>
    <m/>
    <d v="2023-07-10T00:00:00"/>
    <n v="1530"/>
    <n v="20829"/>
    <s v="61063328"/>
    <s v="61063328"/>
    <m/>
    <m/>
    <n v="22777778"/>
    <m/>
    <m/>
    <m/>
    <s v="SOLFIN"/>
    <s v="SOLFIN"/>
    <s v="CCMS"/>
    <n v="21349708"/>
    <n v="14156.17"/>
    <m/>
    <s v="N"/>
    <n v="80"/>
    <d v="2023-07-10T19:01:56"/>
    <s v="Y"/>
    <s v="Preparation - other"/>
    <s v="Care Remuneration Hourly Rates"/>
    <s v="Profit Cost"/>
    <s v="HW"/>
    <s v="Y"/>
    <n v="147.2"/>
    <n v="29.44"/>
    <x v="2"/>
    <s v="VALIDATED"/>
    <n v="1"/>
    <s v="01.11.80.308.6100.0000"/>
    <n v="147.2"/>
    <s v="11"/>
    <s v="6100"/>
    <n v="26754.22"/>
    <n v="147.2"/>
    <s v="CREDITOR"/>
    <n v="0"/>
    <n v="0"/>
    <n v="0"/>
    <n v="0"/>
    <n v="147.2"/>
  </r>
  <r>
    <n v="61063328"/>
    <s v="N"/>
    <n v="21349708"/>
    <s v="3000015261150004"/>
    <s v="CIVIL"/>
    <d v="2023-06-28T00:00:00"/>
    <d v="2023-07-10T19:01:40"/>
    <m/>
    <d v="2023-07-10T00:00:00"/>
    <n v="1530"/>
    <n v="20829"/>
    <s v="61063328"/>
    <s v="61063328"/>
    <m/>
    <m/>
    <n v="22777778"/>
    <m/>
    <m/>
    <m/>
    <s v="SOLFIN"/>
    <s v="SOLFIN"/>
    <s v="CCMS"/>
    <n v="21349708"/>
    <n v="14156.17"/>
    <m/>
    <s v="N"/>
    <n v="67"/>
    <d v="2023-07-10T19:01:56"/>
    <s v="Y"/>
    <s v="Preparation - drafting statement"/>
    <s v="Care Remuneration Hourly Rates"/>
    <s v="Profit Cost"/>
    <s v="HW"/>
    <s v="Y"/>
    <n v="51.52"/>
    <n v="10.3"/>
    <x v="2"/>
    <s v="VALIDATED"/>
    <n v="1"/>
    <s v="01.11.80.308.6100.0000"/>
    <n v="51.52"/>
    <s v="11"/>
    <s v="6100"/>
    <n v="26754.22"/>
    <n v="51.52"/>
    <s v="CREDITOR"/>
    <n v="0"/>
    <n v="0"/>
    <n v="0"/>
    <n v="0"/>
    <n v="51.52"/>
  </r>
  <r>
    <n v="60658700"/>
    <s v="N"/>
    <n v="21349958"/>
    <s v="3000014912410007"/>
    <s v="CIVIL"/>
    <d v="2023-06-29T00:00:00"/>
    <d v="2023-07-10T19:01:40"/>
    <m/>
    <d v="2023-07-10T00:00:00"/>
    <n v="1530"/>
    <n v="20829"/>
    <s v="60658700"/>
    <s v="60658700"/>
    <m/>
    <m/>
    <n v="22793116"/>
    <m/>
    <m/>
    <m/>
    <s v="SOLFIN"/>
    <s v="SOLFIN"/>
    <s v="CCMS"/>
    <n v="21349958"/>
    <n v="15751.18"/>
    <m/>
    <s v="N"/>
    <n v="150"/>
    <d v="2023-07-10T19:02:04"/>
    <s v="Y"/>
    <s v="Hearing Unit 1.01 - 2.30 Hours"/>
    <s v="Public Law Children"/>
    <s v="Advocacy"/>
    <s v="HW"/>
    <s v="Y"/>
    <n v="238.46"/>
    <n v="47.69"/>
    <x v="2"/>
    <s v="VALIDATED"/>
    <n v="1"/>
    <s v="01.11.80.308.6100.0000"/>
    <n v="238.46"/>
    <s v="11"/>
    <s v="6100"/>
    <n v="26754.22"/>
    <n v="238.46"/>
    <s v="CREDITOR"/>
    <n v="0"/>
    <n v="0"/>
    <n v="0"/>
    <n v="0"/>
    <n v="238.46"/>
  </r>
  <r>
    <n v="61807950"/>
    <s v="N"/>
    <n v="21338584"/>
    <s v="3000015879920001"/>
    <s v="CIVIL"/>
    <d v="2023-06-27T00:00:00"/>
    <d v="2023-07-06T19:21:01"/>
    <m/>
    <d v="2023-07-06T00:00:00"/>
    <n v="1530"/>
    <n v="20829"/>
    <s v="61807950"/>
    <s v="61807950"/>
    <m/>
    <m/>
    <n v="22772526"/>
    <m/>
    <m/>
    <m/>
    <s v="SOLFIN"/>
    <s v="SOLFIN"/>
    <s v="CCMS"/>
    <n v="21338584"/>
    <n v="4127.99"/>
    <m/>
    <s v="N"/>
    <n v="37"/>
    <d v="2023-07-06T19:21:29"/>
    <s v="Y"/>
    <s v="Preparation - drafting instructions"/>
    <s v="Prescribed Hourly Rates"/>
    <s v="Profit Cost"/>
    <s v="HW"/>
    <s v="Y"/>
    <n v="25.25"/>
    <n v="5.05"/>
    <x v="4"/>
    <s v="VALIDATED"/>
    <n v="1"/>
    <s v="01.11.80.307.6100.0000"/>
    <n v="25.25"/>
    <s v="11"/>
    <s v="6100"/>
    <n v="26754.22"/>
    <n v="25.25"/>
    <s v="CREDITOR"/>
    <n v="0"/>
    <n v="0"/>
    <n v="0"/>
    <n v="0"/>
    <n v="25.25"/>
  </r>
  <r>
    <n v="60658700"/>
    <s v="N"/>
    <n v="21349958"/>
    <s v="3000014912410007"/>
    <s v="CIVIL"/>
    <d v="2023-06-29T00:00:00"/>
    <d v="2023-07-10T19:01:40"/>
    <m/>
    <d v="2023-07-10T00:00:00"/>
    <n v="1530"/>
    <n v="20829"/>
    <s v="60658700"/>
    <s v="60658700"/>
    <m/>
    <m/>
    <n v="22793116"/>
    <m/>
    <m/>
    <m/>
    <s v="SOLFIN"/>
    <s v="SOLFIN"/>
    <s v="CCMS"/>
    <n v="21349958"/>
    <n v="15751.18"/>
    <m/>
    <s v="N"/>
    <n v="37"/>
    <d v="2023-07-10T19:02:04"/>
    <s v="Y"/>
    <s v="Preparation - other"/>
    <s v="Care Remuneration Hourly Rates"/>
    <s v="Profit Cost"/>
    <s v="HW"/>
    <s v="Y"/>
    <n v="160.08"/>
    <n v="32.02"/>
    <x v="2"/>
    <s v="VALIDATED"/>
    <n v="1"/>
    <s v="01.11.80.308.6100.0000"/>
    <n v="160.08"/>
    <s v="11"/>
    <s v="6100"/>
    <n v="26754.22"/>
    <n v="160.08"/>
    <s v="CREDITOR"/>
    <n v="0"/>
    <n v="0"/>
    <n v="0"/>
    <n v="0"/>
    <n v="160.08"/>
  </r>
  <r>
    <n v="60658700"/>
    <s v="N"/>
    <n v="21349958"/>
    <s v="3000014912410007"/>
    <s v="CIVIL"/>
    <d v="2023-06-29T00:00:00"/>
    <d v="2023-07-10T19:01:40"/>
    <m/>
    <d v="2023-07-10T00:00:00"/>
    <n v="1530"/>
    <n v="20829"/>
    <s v="60658700"/>
    <s v="60658700"/>
    <m/>
    <m/>
    <n v="22793116"/>
    <m/>
    <m/>
    <m/>
    <s v="SOLFIN"/>
    <s v="SOLFIN"/>
    <s v="CCMS"/>
    <n v="21349958"/>
    <n v="15751.18"/>
    <m/>
    <s v="N"/>
    <n v="6"/>
    <d v="2023-07-10T19:02:04"/>
    <s v="Y"/>
    <s v="Preparation - other"/>
    <s v="Care Remuneration Hourly Rates"/>
    <s v="Profit Cost"/>
    <s v="OTH"/>
    <s v="Y"/>
    <n v="5.26"/>
    <n v="1.05"/>
    <x v="2"/>
    <s v="VALIDATED"/>
    <n v="1"/>
    <s v="01.11.80.308.6100.0000"/>
    <n v="5.26"/>
    <s v="11"/>
    <s v="6100"/>
    <n v="26754.22"/>
    <n v="5.26"/>
    <s v="CREDITOR"/>
    <n v="0"/>
    <n v="0"/>
    <n v="0"/>
    <n v="0"/>
    <n v="5.26"/>
  </r>
  <r>
    <n v="61063328"/>
    <s v="N"/>
    <n v="21349708"/>
    <s v="3000015261150004"/>
    <s v="CIVIL"/>
    <d v="2023-06-28T00:00:00"/>
    <d v="2023-07-10T19:01:40"/>
    <m/>
    <d v="2023-07-10T00:00:00"/>
    <n v="1530"/>
    <n v="20829"/>
    <s v="61063328"/>
    <s v="61063328"/>
    <m/>
    <m/>
    <n v="22777778"/>
    <m/>
    <m/>
    <m/>
    <s v="SOLFIN"/>
    <s v="SOLFIN"/>
    <s v="CCMS"/>
    <n v="21349708"/>
    <n v="14156.17"/>
    <m/>
    <s v="N"/>
    <n v="38"/>
    <d v="2023-07-10T19:01:56"/>
    <s v="Y"/>
    <s v="Preparation - drafting attendance n"/>
    <s v="Care Remuneration Hourly Rates"/>
    <s v="Profit Cost"/>
    <s v="HW"/>
    <s v="Y"/>
    <n v="7.36"/>
    <n v="1.47"/>
    <x v="2"/>
    <s v="VALIDATED"/>
    <n v="1"/>
    <s v="01.11.80.308.6100.0000"/>
    <n v="7.36"/>
    <s v="11"/>
    <s v="6100"/>
    <n v="26754.22"/>
    <n v="7.36"/>
    <s v="CREDITOR"/>
    <n v="0"/>
    <n v="0"/>
    <n v="0"/>
    <n v="0"/>
    <n v="7.36"/>
  </r>
  <r>
    <n v="60658700"/>
    <s v="N"/>
    <n v="21349958"/>
    <s v="3000014912410007"/>
    <s v="CIVIL"/>
    <d v="2023-06-29T00:00:00"/>
    <d v="2023-07-10T19:01:40"/>
    <m/>
    <d v="2023-07-10T00:00:00"/>
    <n v="1530"/>
    <n v="20829"/>
    <s v="60658700"/>
    <s v="60658700"/>
    <m/>
    <m/>
    <n v="22793116"/>
    <m/>
    <m/>
    <m/>
    <s v="SOLFIN"/>
    <s v="SOLFIN"/>
    <s v="CCMS"/>
    <n v="21349958"/>
    <n v="15751.18"/>
    <m/>
    <s v="N"/>
    <n v="19"/>
    <d v="2023-07-10T19:02:04"/>
    <s v="Y"/>
    <s v="Preparation - other"/>
    <s v="Care Remuneration Hourly Rates"/>
    <s v="Profit Cost"/>
    <s v="HW"/>
    <s v="Y"/>
    <n v="60.99"/>
    <n v="12.2"/>
    <x v="2"/>
    <s v="VALIDATED"/>
    <n v="1"/>
    <s v="01.11.80.308.6100.0000"/>
    <n v="60.99"/>
    <s v="11"/>
    <s v="6100"/>
    <n v="26754.22"/>
    <n v="60.99"/>
    <s v="CREDITOR"/>
    <n v="0"/>
    <n v="0"/>
    <n v="0"/>
    <n v="0"/>
    <n v="60.99"/>
  </r>
  <r>
    <n v="61063328"/>
    <s v="N"/>
    <n v="21349708"/>
    <s v="3000015261150004"/>
    <s v="CIVIL"/>
    <d v="2023-06-28T00:00:00"/>
    <d v="2023-07-10T19:01:40"/>
    <m/>
    <d v="2023-07-10T00:00:00"/>
    <n v="1530"/>
    <n v="20829"/>
    <s v="61063328"/>
    <s v="61063328"/>
    <m/>
    <m/>
    <n v="22777778"/>
    <m/>
    <m/>
    <m/>
    <s v="SOLFIN"/>
    <s v="SOLFIN"/>
    <s v="CCMS"/>
    <n v="21349708"/>
    <n v="14156.17"/>
    <m/>
    <s v="N"/>
    <n v="115"/>
    <d v="2023-07-10T19:01:56"/>
    <s v="Y"/>
    <s v="Hearing Unit 1.01 - 2.30 Hours"/>
    <s v="Public Law Children"/>
    <s v="Advocacy"/>
    <s v="HW"/>
    <s v="Y"/>
    <n v="238.46"/>
    <n v="47.69"/>
    <x v="2"/>
    <s v="VALIDATED"/>
    <n v="1"/>
    <s v="01.11.80.308.6100.0000"/>
    <n v="238.46"/>
    <s v="11"/>
    <s v="6100"/>
    <n v="26754.22"/>
    <n v="238.46"/>
    <s v="CREDITOR"/>
    <n v="0"/>
    <n v="0"/>
    <n v="0"/>
    <n v="0"/>
    <n v="238.46"/>
  </r>
  <r>
    <n v="61063328"/>
    <s v="N"/>
    <n v="21349708"/>
    <s v="3000015261150004"/>
    <s v="CIVIL"/>
    <d v="2023-06-28T00:00:00"/>
    <d v="2023-07-10T19:01:40"/>
    <m/>
    <d v="2023-07-10T00:00:00"/>
    <n v="1530"/>
    <n v="20829"/>
    <s v="61063328"/>
    <s v="61063328"/>
    <m/>
    <m/>
    <n v="22777778"/>
    <m/>
    <m/>
    <m/>
    <s v="SOLFIN"/>
    <s v="SOLFIN"/>
    <s v="CCMS"/>
    <n v="21349708"/>
    <n v="14156.17"/>
    <m/>
    <s v="N"/>
    <n v="76"/>
    <d v="2023-07-10T19:01:56"/>
    <s v="Y"/>
    <s v="Preparation - other"/>
    <s v="Care Remuneration Hourly Rates"/>
    <s v="Profit Cost"/>
    <s v="HW"/>
    <s v="Y"/>
    <n v="73.59999999999999"/>
    <n v="14.72"/>
    <x v="2"/>
    <s v="VALIDATED"/>
    <n v="1"/>
    <s v="01.11.80.308.6100.0000"/>
    <n v="73.59999999999999"/>
    <s v="11"/>
    <s v="6100"/>
    <n v="26754.22"/>
    <n v="73.59999999999999"/>
    <s v="CREDITOR"/>
    <n v="0"/>
    <n v="0"/>
    <n v="0"/>
    <n v="0"/>
    <n v="73.59999999999999"/>
  </r>
  <r>
    <n v="61063328"/>
    <s v="N"/>
    <n v="21349708"/>
    <s v="3000015261150004"/>
    <s v="CIVIL"/>
    <d v="2023-06-28T00:00:00"/>
    <d v="2023-07-10T19:01:40"/>
    <m/>
    <d v="2023-07-10T00:00:00"/>
    <n v="1530"/>
    <n v="20829"/>
    <s v="61063328"/>
    <s v="61063328"/>
    <m/>
    <m/>
    <n v="22777778"/>
    <m/>
    <m/>
    <m/>
    <s v="SOLFIN"/>
    <s v="SOLFIN"/>
    <s v="CCMS"/>
    <n v="21349708"/>
    <n v="14156.17"/>
    <m/>
    <s v="N"/>
    <n v="72"/>
    <d v="2023-07-10T19:01:56"/>
    <s v="Y"/>
    <s v="Preparation - other"/>
    <s v="Care Remuneration Hourly Rates"/>
    <s v="Profit Cost"/>
    <s v="HW"/>
    <s v="Y"/>
    <n v="14.71"/>
    <n v="2.94"/>
    <x v="2"/>
    <s v="VALIDATED"/>
    <n v="1"/>
    <s v="01.11.80.308.6100.0000"/>
    <n v="14.71"/>
    <s v="11"/>
    <s v="6100"/>
    <n v="26754.22"/>
    <n v="14.71"/>
    <s v="CREDITOR"/>
    <n v="0"/>
    <n v="0"/>
    <n v="0"/>
    <n v="0"/>
    <n v="14.71"/>
  </r>
  <r>
    <n v="60658700"/>
    <s v="N"/>
    <n v="21349958"/>
    <s v="3000014912410007"/>
    <s v="CIVIL"/>
    <d v="2023-06-29T00:00:00"/>
    <d v="2023-07-10T19:01:40"/>
    <m/>
    <d v="2023-07-10T00:00:00"/>
    <n v="1530"/>
    <n v="20829"/>
    <s v="60658700"/>
    <s v="60658700"/>
    <m/>
    <m/>
    <n v="22793116"/>
    <m/>
    <m/>
    <m/>
    <s v="SOLFIN"/>
    <s v="SOLFIN"/>
    <s v="CCMS"/>
    <n v="21349958"/>
    <n v="15751.18"/>
    <m/>
    <s v="N"/>
    <n v="139"/>
    <d v="2023-07-10T19:02:04"/>
    <s v="Y"/>
    <s v="Routine Letter In"/>
    <s v="Care Remuneration Hourly Rates"/>
    <s v="Profit Cost"/>
    <s v="OTH"/>
    <s v="Y"/>
    <n v="25.9"/>
    <n v="5.18"/>
    <x v="2"/>
    <s v="VALIDATED"/>
    <n v="1"/>
    <s v="01.11.80.308.6100.0000"/>
    <n v="25.9"/>
    <s v="11"/>
    <s v="6100"/>
    <n v="26754.22"/>
    <n v="25.9"/>
    <s v="CREDITOR"/>
    <n v="0"/>
    <n v="0"/>
    <n v="0"/>
    <n v="0"/>
    <n v="25.9"/>
  </r>
  <r>
    <n v="60658700"/>
    <s v="N"/>
    <n v="21349958"/>
    <s v="3000014912410007"/>
    <s v="CIVIL"/>
    <d v="2023-06-29T00:00:00"/>
    <d v="2023-07-10T19:01:40"/>
    <m/>
    <d v="2023-07-10T00:00:00"/>
    <n v="1530"/>
    <n v="20829"/>
    <s v="60658700"/>
    <s v="60658700"/>
    <m/>
    <m/>
    <n v="22793116"/>
    <m/>
    <m/>
    <m/>
    <s v="SOLFIN"/>
    <s v="SOLFIN"/>
    <s v="CCMS"/>
    <n v="21349958"/>
    <n v="15751.18"/>
    <m/>
    <s v="N"/>
    <n v="60"/>
    <d v="2023-07-10T19:02:04"/>
    <s v="Y"/>
    <s v="Preparation - drafting application"/>
    <s v="Care Remuneration Hourly Rates"/>
    <s v="Profit Cost"/>
    <s v="HW"/>
    <s v="Y"/>
    <n v="106.72"/>
    <n v="21.34"/>
    <x v="2"/>
    <s v="VALIDATED"/>
    <n v="1"/>
    <s v="01.11.80.308.6100.0000"/>
    <n v="106.72"/>
    <s v="11"/>
    <s v="6100"/>
    <n v="26754.22"/>
    <n v="106.72"/>
    <s v="CREDITOR"/>
    <n v="0"/>
    <n v="0"/>
    <n v="0"/>
    <n v="0"/>
    <n v="106.72"/>
  </r>
  <r>
    <n v="60658700"/>
    <s v="N"/>
    <n v="21349958"/>
    <s v="3000014912410007"/>
    <s v="CIVIL"/>
    <d v="2023-06-29T00:00:00"/>
    <d v="2023-07-10T19:01:40"/>
    <m/>
    <d v="2023-07-10T00:00:00"/>
    <n v="1530"/>
    <n v="20829"/>
    <s v="60658700"/>
    <s v="60658700"/>
    <m/>
    <m/>
    <n v="22793116"/>
    <m/>
    <m/>
    <m/>
    <s v="SOLFIN"/>
    <s v="SOLFIN"/>
    <s v="CCMS"/>
    <n v="21349958"/>
    <n v="15751.18"/>
    <m/>
    <s v="N"/>
    <n v="32"/>
    <d v="2023-07-10T19:02:04"/>
    <s v="Y"/>
    <s v="Preparation - other"/>
    <s v="Care Remuneration Hourly Rates"/>
    <s v="Profit Cost"/>
    <s v="HW"/>
    <s v="Y"/>
    <n v="30.49"/>
    <n v="6.1"/>
    <x v="2"/>
    <s v="VALIDATED"/>
    <n v="1"/>
    <s v="01.11.80.308.6100.0000"/>
    <n v="30.49"/>
    <s v="11"/>
    <s v="6100"/>
    <n v="26754.22"/>
    <n v="30.49"/>
    <s v="CREDITOR"/>
    <n v="0"/>
    <n v="0"/>
    <n v="0"/>
    <n v="0"/>
    <n v="30.49"/>
  </r>
  <r>
    <n v="60658700"/>
    <s v="N"/>
    <n v="21349958"/>
    <s v="3000014912410007"/>
    <s v="CIVIL"/>
    <d v="2023-06-29T00:00:00"/>
    <d v="2023-07-10T19:01:40"/>
    <m/>
    <d v="2023-07-10T00:00:00"/>
    <n v="1530"/>
    <n v="20829"/>
    <s v="60658700"/>
    <s v="60658700"/>
    <m/>
    <m/>
    <n v="22793116"/>
    <m/>
    <m/>
    <m/>
    <s v="SOLFIN"/>
    <s v="SOLFIN"/>
    <s v="CCMS"/>
    <n v="21349958"/>
    <n v="15751.18"/>
    <m/>
    <s v="N"/>
    <n v="11"/>
    <d v="2023-07-10T19:02:04"/>
    <s v="Y"/>
    <s v="Preparation - other"/>
    <s v="Care Remuneration Hourly Rates"/>
    <s v="Profit Cost"/>
    <s v="HW"/>
    <s v="Y"/>
    <n v="7.63"/>
    <n v="1.53"/>
    <x v="2"/>
    <s v="VALIDATED"/>
    <n v="1"/>
    <s v="01.11.80.308.6100.0000"/>
    <n v="7.63"/>
    <s v="11"/>
    <s v="6100"/>
    <n v="26754.22"/>
    <n v="7.63"/>
    <s v="CREDITOR"/>
    <n v="0"/>
    <n v="0"/>
    <n v="0"/>
    <n v="0"/>
    <n v="7.63"/>
  </r>
  <r>
    <n v="61063328"/>
    <s v="N"/>
    <n v="21349708"/>
    <s v="3000015261150004"/>
    <s v="CIVIL"/>
    <d v="2023-06-28T00:00:00"/>
    <d v="2023-07-10T19:01:40"/>
    <m/>
    <d v="2023-07-10T00:00:00"/>
    <n v="1530"/>
    <n v="20829"/>
    <s v="61063328"/>
    <s v="61063328"/>
    <m/>
    <m/>
    <n v="22777778"/>
    <m/>
    <m/>
    <m/>
    <s v="SOLFIN"/>
    <s v="SOLFIN"/>
    <s v="CCMS"/>
    <n v="21349708"/>
    <n v="14156.17"/>
    <m/>
    <s v="N"/>
    <n v="58"/>
    <d v="2023-07-10T19:01:56"/>
    <s v="Y"/>
    <s v="Preparation - other"/>
    <s v="Care Remuneration Hourly Rates"/>
    <s v="Profit Cost"/>
    <s v="HW"/>
    <s v="Y"/>
    <n v="22.08"/>
    <n v="4.42"/>
    <x v="2"/>
    <s v="VALIDATED"/>
    <n v="1"/>
    <s v="01.11.80.308.6100.0000"/>
    <n v="22.08"/>
    <s v="11"/>
    <s v="6100"/>
    <n v="26754.22"/>
    <n v="22.08"/>
    <s v="CREDITOR"/>
    <n v="0"/>
    <n v="0"/>
    <n v="0"/>
    <n v="0"/>
    <n v="22.08"/>
  </r>
  <r>
    <n v="61063456"/>
    <s v="N"/>
    <n v="21343977"/>
    <s v="3000015261230001"/>
    <s v="CIVIL"/>
    <d v="2023-06-27T00:00:00"/>
    <d v="2023-07-07T19:03:00"/>
    <m/>
    <d v="2023-07-07T00:00:00"/>
    <n v="1530"/>
    <n v="20829"/>
    <s v="61063456"/>
    <s v="61063456"/>
    <m/>
    <m/>
    <n v="22774548"/>
    <m/>
    <m/>
    <m/>
    <s v="SOLFIN"/>
    <s v="SOLFIN"/>
    <s v="CCMS"/>
    <n v="21343977"/>
    <n v="0"/>
    <m/>
    <s v="N"/>
    <n v="1"/>
    <d v="2023-07-07T19:03:19"/>
    <s v="N"/>
    <s v="NIL BILL"/>
    <s v="Public Law Children"/>
    <s v="Profit Cost"/>
    <s v="H. Walsh"/>
    <s v="N"/>
    <n v="0"/>
    <n v="0"/>
    <x v="9"/>
    <s v="VALIDATED"/>
    <n v="1"/>
    <s v="01.11.80.308.6100.0000"/>
    <n v="0"/>
    <s v="11"/>
    <s v="6100"/>
    <n v="26754.22"/>
    <n v="0"/>
    <s v="CREDITOR"/>
    <n v="0"/>
    <n v="0"/>
    <n v="0"/>
    <n v="0"/>
    <n v="0"/>
  </r>
  <r>
    <n v="61807950"/>
    <s v="N"/>
    <n v="21338584"/>
    <s v="3000015879920001"/>
    <s v="CIVIL"/>
    <d v="2023-06-27T00:00:00"/>
    <d v="2023-07-06T19:21:01"/>
    <m/>
    <d v="2023-07-06T00:00:00"/>
    <n v="1530"/>
    <n v="20829"/>
    <s v="61807950"/>
    <s v="61807950"/>
    <m/>
    <m/>
    <n v="22772526"/>
    <m/>
    <m/>
    <m/>
    <s v="SOLFIN"/>
    <s v="SOLFIN"/>
    <s v="CCMS"/>
    <n v="21338584"/>
    <n v="4127.99"/>
    <m/>
    <s v="N"/>
    <n v="45"/>
    <d v="2023-07-06T19:21:29"/>
    <s v="Y"/>
    <s v="Preparation - drafting pleadings"/>
    <s v="Prescribed Hourly Rates"/>
    <s v="Profit Cost"/>
    <s v="OTH"/>
    <s v="Y"/>
    <n v="131.76"/>
    <n v="26.35"/>
    <x v="4"/>
    <s v="VALIDATED"/>
    <n v="1"/>
    <s v="01.11.80.307.6100.0000"/>
    <n v="131.76"/>
    <s v="11"/>
    <s v="6100"/>
    <n v="26754.22"/>
    <n v="131.76"/>
    <s v="CREDITOR"/>
    <n v="0"/>
    <n v="0"/>
    <n v="0"/>
    <n v="0"/>
    <n v="131.76"/>
  </r>
  <r>
    <n v="60658700"/>
    <s v="N"/>
    <n v="21349958"/>
    <s v="3000014912410007"/>
    <s v="CIVIL"/>
    <d v="2023-06-29T00:00:00"/>
    <d v="2023-07-10T19:01:40"/>
    <m/>
    <d v="2023-07-10T00:00:00"/>
    <n v="1530"/>
    <n v="20829"/>
    <s v="60658700"/>
    <s v="60658700"/>
    <m/>
    <m/>
    <n v="22793116"/>
    <m/>
    <m/>
    <m/>
    <s v="SOLFIN"/>
    <s v="SOLFIN"/>
    <s v="CCMS"/>
    <n v="21349958"/>
    <n v="15751.18"/>
    <m/>
    <s v="N"/>
    <n v="14"/>
    <d v="2023-07-10T19:02:04"/>
    <s v="Y"/>
    <s v="Preparation - drafting attendance n"/>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44"/>
    <d v="2023-07-10T19:02:04"/>
    <s v="Y"/>
    <s v="Preparation - other"/>
    <s v="Care Remuneration Hourly Rates"/>
    <s v="Profit Cost"/>
    <s v="HW"/>
    <s v="Y"/>
    <n v="205.81"/>
    <n v="41.16"/>
    <x v="2"/>
    <s v="VALIDATED"/>
    <n v="1"/>
    <s v="01.11.80.308.6100.0000"/>
    <n v="205.81"/>
    <s v="11"/>
    <s v="6100"/>
    <n v="26754.22"/>
    <n v="205.81"/>
    <s v="CREDITOR"/>
    <n v="0"/>
    <n v="0"/>
    <n v="0"/>
    <n v="0"/>
    <n v="205.81"/>
  </r>
  <r>
    <n v="60658700"/>
    <s v="N"/>
    <n v="21349958"/>
    <s v="3000014912410007"/>
    <s v="CIVIL"/>
    <d v="2023-06-29T00:00:00"/>
    <d v="2023-07-10T19:01:40"/>
    <m/>
    <d v="2023-07-10T00:00:00"/>
    <n v="1530"/>
    <n v="20829"/>
    <s v="60658700"/>
    <s v="60658700"/>
    <m/>
    <m/>
    <n v="22793116"/>
    <m/>
    <m/>
    <m/>
    <s v="SOLFIN"/>
    <s v="SOLFIN"/>
    <s v="CCMS"/>
    <n v="21349958"/>
    <n v="15751.18"/>
    <m/>
    <s v="N"/>
    <n v="74"/>
    <d v="2023-07-10T19:02:04"/>
    <s v="Y"/>
    <s v="Preparation - drafting statement"/>
    <s v="Care Remuneration Hourly Rates"/>
    <s v="Profit Cost"/>
    <s v="HW"/>
    <s v="Y"/>
    <n v="38.12"/>
    <n v="7.62"/>
    <x v="2"/>
    <s v="VALIDATED"/>
    <n v="1"/>
    <s v="01.11.80.308.6100.0000"/>
    <n v="38.12"/>
    <s v="11"/>
    <s v="6100"/>
    <n v="26754.22"/>
    <n v="38.12"/>
    <s v="CREDITOR"/>
    <n v="0"/>
    <n v="0"/>
    <n v="0"/>
    <n v="0"/>
    <n v="38.12"/>
  </r>
  <r>
    <n v="60658700"/>
    <s v="N"/>
    <n v="21349958"/>
    <s v="3000014912410007"/>
    <s v="CIVIL"/>
    <d v="2023-06-29T00:00:00"/>
    <d v="2023-07-10T19:01:40"/>
    <m/>
    <d v="2023-07-10T00:00:00"/>
    <n v="1530"/>
    <n v="20829"/>
    <s v="60658700"/>
    <s v="60658700"/>
    <m/>
    <m/>
    <n v="22793116"/>
    <m/>
    <m/>
    <m/>
    <s v="SOLFIN"/>
    <s v="SOLFIN"/>
    <s v="CCMS"/>
    <n v="21349958"/>
    <n v="15751.18"/>
    <m/>
    <s v="N"/>
    <n v="79"/>
    <d v="2023-07-10T19:02:04"/>
    <s v="Y"/>
    <s v="Preparation - other"/>
    <s v="Care Remuneration Hourly Rates"/>
    <s v="Profit Cost"/>
    <s v="HW"/>
    <s v="Y"/>
    <n v="198.19"/>
    <n v="39.64"/>
    <x v="2"/>
    <s v="VALIDATED"/>
    <n v="1"/>
    <s v="01.11.80.308.6100.0000"/>
    <n v="198.19"/>
    <s v="11"/>
    <s v="6100"/>
    <n v="26754.22"/>
    <n v="198.19"/>
    <s v="CREDITOR"/>
    <n v="0"/>
    <n v="0"/>
    <n v="0"/>
    <n v="0"/>
    <n v="198.19"/>
  </r>
  <r>
    <n v="60658700"/>
    <s v="N"/>
    <n v="21349958"/>
    <s v="3000014912410007"/>
    <s v="CIVIL"/>
    <d v="2023-06-29T00:00:00"/>
    <d v="2023-07-10T19:01:40"/>
    <m/>
    <d v="2023-07-10T00:00:00"/>
    <n v="1530"/>
    <n v="20829"/>
    <s v="60658700"/>
    <s v="60658700"/>
    <m/>
    <m/>
    <n v="22793116"/>
    <m/>
    <m/>
    <m/>
    <s v="SOLFIN"/>
    <s v="SOLFIN"/>
    <s v="CCMS"/>
    <n v="21349958"/>
    <n v="15751.18"/>
    <m/>
    <s v="N"/>
    <n v="91"/>
    <d v="2023-07-10T19:02:04"/>
    <s v="Y"/>
    <s v="Preparation - drafting attendance n"/>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111"/>
    <d v="2023-07-10T19:02:04"/>
    <s v="Y"/>
    <s v="Preparation - drafting statement"/>
    <s v="Care Remuneration Hourly Rates"/>
    <s v="Profit Cost"/>
    <s v="HW"/>
    <s v="Y"/>
    <n v="25.78"/>
    <n v="5.16"/>
    <x v="2"/>
    <s v="VALIDATED"/>
    <n v="1"/>
    <s v="01.11.80.308.6100.0000"/>
    <n v="25.78"/>
    <s v="11"/>
    <s v="6100"/>
    <n v="26754.22"/>
    <n v="25.78"/>
    <s v="CREDITOR"/>
    <n v="0"/>
    <n v="0"/>
    <n v="0"/>
    <n v="0"/>
    <n v="25.78"/>
  </r>
  <r>
    <n v="60658700"/>
    <s v="N"/>
    <n v="21349958"/>
    <s v="3000014912410007"/>
    <s v="CIVIL"/>
    <d v="2023-06-29T00:00:00"/>
    <d v="2023-07-10T19:01:40"/>
    <m/>
    <d v="2023-07-10T00:00:00"/>
    <n v="1530"/>
    <n v="20829"/>
    <s v="60658700"/>
    <s v="60658700"/>
    <m/>
    <m/>
    <n v="22793116"/>
    <m/>
    <m/>
    <m/>
    <s v="SOLFIN"/>
    <s v="SOLFIN"/>
    <s v="CCMS"/>
    <n v="21349958"/>
    <n v="15751.18"/>
    <m/>
    <s v="N"/>
    <n v="119"/>
    <d v="2023-07-10T19:02:04"/>
    <s v="Y"/>
    <s v="Preparation - other"/>
    <s v="Care Remuneration Hourly Rates"/>
    <s v="Profit Cost"/>
    <s v="HW"/>
    <s v="Y"/>
    <n v="34.37"/>
    <n v="6.87"/>
    <x v="2"/>
    <s v="VALIDATED"/>
    <n v="1"/>
    <s v="01.11.80.308.6100.0000"/>
    <n v="34.37"/>
    <s v="11"/>
    <s v="6100"/>
    <n v="26754.22"/>
    <n v="34.37"/>
    <s v="CREDITOR"/>
    <n v="0"/>
    <n v="0"/>
    <n v="0"/>
    <n v="0"/>
    <n v="34.37"/>
  </r>
  <r>
    <n v="61063328"/>
    <s v="N"/>
    <n v="21349708"/>
    <s v="3000015261150004"/>
    <s v="CIVIL"/>
    <d v="2023-06-28T00:00:00"/>
    <d v="2023-07-10T19:01:40"/>
    <m/>
    <d v="2023-07-10T00:00:00"/>
    <n v="1530"/>
    <n v="20829"/>
    <s v="61063328"/>
    <s v="61063328"/>
    <m/>
    <m/>
    <n v="22777778"/>
    <m/>
    <m/>
    <m/>
    <s v="SOLFIN"/>
    <s v="SOLFIN"/>
    <s v="CCMS"/>
    <n v="21349708"/>
    <n v="14156.17"/>
    <m/>
    <s v="N"/>
    <n v="91"/>
    <d v="2023-07-10T19:01:56"/>
    <s v="Y"/>
    <s v="Preparation - other"/>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8"/>
    <d v="2023-07-10T19:01:56"/>
    <s v="Y"/>
    <s v="Preparation - drafting consent orde"/>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9"/>
    <d v="2023-07-10T19:01:56"/>
    <s v="Y"/>
    <s v="Preparation - other"/>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28"/>
    <d v="2023-07-10T19:01:56"/>
    <s v="Y"/>
    <s v="Preparation - other"/>
    <s v="Care Remuneration Hourly Rates"/>
    <s v="Profit Cost"/>
    <s v="HW"/>
    <s v="Y"/>
    <n v="22.08"/>
    <n v="4.42"/>
    <x v="2"/>
    <s v="VALIDATED"/>
    <n v="1"/>
    <s v="01.11.80.308.6100.0000"/>
    <n v="22.08"/>
    <s v="11"/>
    <s v="6100"/>
    <n v="26754.22"/>
    <n v="22.08"/>
    <s v="CREDITOR"/>
    <n v="0"/>
    <n v="0"/>
    <n v="0"/>
    <n v="0"/>
    <n v="22.08"/>
  </r>
  <r>
    <n v="61063328"/>
    <s v="N"/>
    <n v="21349708"/>
    <s v="3000015261150004"/>
    <s v="CIVIL"/>
    <d v="2023-06-28T00:00:00"/>
    <d v="2023-07-10T19:01:40"/>
    <m/>
    <d v="2023-07-10T00:00:00"/>
    <n v="1530"/>
    <n v="20829"/>
    <s v="61063328"/>
    <s v="61063328"/>
    <m/>
    <m/>
    <n v="22777778"/>
    <m/>
    <m/>
    <m/>
    <s v="SOLFIN"/>
    <s v="SOLFIN"/>
    <s v="CCMS"/>
    <n v="21349708"/>
    <n v="14156.17"/>
    <m/>
    <s v="N"/>
    <n v="37"/>
    <d v="2023-07-10T19:01:56"/>
    <s v="Y"/>
    <s v="Preparation - other"/>
    <s v="Care Remuneration Hourly Rates"/>
    <s v="Profit Cost"/>
    <s v="HW"/>
    <s v="Y"/>
    <n v="29.44"/>
    <n v="5.89"/>
    <x v="2"/>
    <s v="VALIDATED"/>
    <n v="1"/>
    <s v="01.11.80.308.6100.0000"/>
    <n v="29.44"/>
    <s v="11"/>
    <s v="6100"/>
    <n v="26754.22"/>
    <n v="29.44"/>
    <s v="CREDITOR"/>
    <n v="0"/>
    <n v="0"/>
    <n v="0"/>
    <n v="0"/>
    <n v="29.44"/>
  </r>
  <r>
    <n v="61063328"/>
    <s v="N"/>
    <n v="21349708"/>
    <s v="3000015261150004"/>
    <s v="CIVIL"/>
    <d v="2023-06-28T00:00:00"/>
    <d v="2023-07-10T19:01:40"/>
    <m/>
    <d v="2023-07-10T00:00:00"/>
    <n v="1530"/>
    <n v="20829"/>
    <s v="61063328"/>
    <s v="61063328"/>
    <m/>
    <m/>
    <n v="22777778"/>
    <m/>
    <m/>
    <m/>
    <s v="SOLFIN"/>
    <s v="SOLFIN"/>
    <s v="CCMS"/>
    <n v="21349708"/>
    <n v="14156.17"/>
    <m/>
    <s v="N"/>
    <n v="109"/>
    <d v="2023-07-10T19:01:56"/>
    <s v="Y"/>
    <s v="Hearing Unit 2.31 - 5.00 Hours"/>
    <s v="Public Law Children"/>
    <s v="Advocacy"/>
    <s v="HW"/>
    <s v="Y"/>
    <n v="476.92"/>
    <n v="95.38"/>
    <x v="2"/>
    <s v="VALIDATED"/>
    <n v="1"/>
    <s v="01.11.80.308.6100.0000"/>
    <n v="476.92"/>
    <s v="11"/>
    <s v="6100"/>
    <n v="26754.22"/>
    <n v="476.92"/>
    <s v="CREDITOR"/>
    <n v="0"/>
    <n v="0"/>
    <n v="0"/>
    <n v="0"/>
    <n v="476.92"/>
  </r>
  <r>
    <n v="60658700"/>
    <s v="N"/>
    <n v="21349958"/>
    <s v="3000014912410007"/>
    <s v="CIVIL"/>
    <d v="2023-06-29T00:00:00"/>
    <d v="2023-07-10T19:01:40"/>
    <m/>
    <d v="2023-07-10T00:00:00"/>
    <n v="1530"/>
    <n v="20829"/>
    <s v="60658700"/>
    <s v="60658700"/>
    <m/>
    <m/>
    <n v="22793116"/>
    <m/>
    <m/>
    <m/>
    <s v="SOLFIN"/>
    <s v="SOLFIN"/>
    <s v="CCMS"/>
    <n v="21349958"/>
    <n v="15751.18"/>
    <m/>
    <s v="N"/>
    <n v="21"/>
    <d v="2023-07-10T19:02:04"/>
    <s v="Y"/>
    <s v="Preparation - drafting attendance n"/>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52"/>
    <d v="2023-07-10T19:02:04"/>
    <s v="Y"/>
    <s v="Preparation - drafting attendance n"/>
    <s v="Care Remuneration Hourly Rates"/>
    <s v="Profit Cost"/>
    <s v="HW"/>
    <s v="Y"/>
    <n v="7.63"/>
    <n v="1.53"/>
    <x v="2"/>
    <s v="VALIDATED"/>
    <n v="1"/>
    <s v="01.11.80.308.6100.0000"/>
    <n v="7.63"/>
    <s v="11"/>
    <s v="6100"/>
    <n v="26754.22"/>
    <n v="7.63"/>
    <s v="CREDITOR"/>
    <n v="0"/>
    <n v="0"/>
    <n v="0"/>
    <n v="0"/>
    <n v="7.63"/>
  </r>
  <r>
    <n v="60658700"/>
    <s v="N"/>
    <n v="21349958"/>
    <s v="3000014912410007"/>
    <s v="CIVIL"/>
    <d v="2023-06-29T00:00:00"/>
    <d v="2023-07-10T19:01:40"/>
    <m/>
    <d v="2023-07-10T00:00:00"/>
    <n v="1530"/>
    <n v="20829"/>
    <s v="60658700"/>
    <s v="60658700"/>
    <m/>
    <m/>
    <n v="22793116"/>
    <m/>
    <m/>
    <m/>
    <s v="SOLFIN"/>
    <s v="SOLFIN"/>
    <s v="CCMS"/>
    <n v="21349958"/>
    <n v="15751.18"/>
    <m/>
    <s v="N"/>
    <n v="97"/>
    <d v="2023-07-10T19:02:04"/>
    <s v="Y"/>
    <s v="Preparation - other"/>
    <s v="Care Remuneration Hourly Rates"/>
    <s v="Profit Cost"/>
    <s v="HW"/>
    <s v="Y"/>
    <n v="91.47"/>
    <n v="18.29"/>
    <x v="2"/>
    <s v="VALIDATED"/>
    <n v="1"/>
    <s v="01.11.80.308.6100.0000"/>
    <n v="91.47"/>
    <s v="11"/>
    <s v="6100"/>
    <n v="26754.22"/>
    <n v="91.47"/>
    <s v="CREDITOR"/>
    <n v="0"/>
    <n v="0"/>
    <n v="0"/>
    <n v="0"/>
    <n v="91.47"/>
  </r>
  <r>
    <n v="61807950"/>
    <s v="N"/>
    <n v="21338584"/>
    <s v="3000015879920001"/>
    <s v="CIVIL"/>
    <d v="2023-06-27T00:00:00"/>
    <d v="2023-07-06T19:21:01"/>
    <m/>
    <d v="2023-07-06T00:00:00"/>
    <n v="1530"/>
    <n v="20829"/>
    <s v="61807950"/>
    <s v="61807950"/>
    <m/>
    <m/>
    <n v="22772526"/>
    <m/>
    <m/>
    <m/>
    <s v="SOLFIN"/>
    <s v="SOLFIN"/>
    <s v="CCMS"/>
    <n v="21338584"/>
    <n v="4127.99"/>
    <m/>
    <s v="N"/>
    <n v="30"/>
    <d v="2023-07-06T19:21:29"/>
    <s v="Y"/>
    <s v="Preparation - other"/>
    <s v="Prescribed Hourly Rates"/>
    <s v="Profit Cost"/>
    <s v="HW"/>
    <s v="Y"/>
    <n v="170.46"/>
    <n v="34.09"/>
    <x v="4"/>
    <s v="VALIDATED"/>
    <n v="1"/>
    <s v="01.11.80.307.6100.0000"/>
    <n v="170.46"/>
    <s v="11"/>
    <s v="6100"/>
    <n v="26754.22"/>
    <n v="170.46"/>
    <s v="CREDITOR"/>
    <n v="0"/>
    <n v="0"/>
    <n v="0"/>
    <n v="0"/>
    <n v="170.46"/>
  </r>
  <r>
    <n v="61063328"/>
    <s v="N"/>
    <n v="21349708"/>
    <s v="3000015261150004"/>
    <s v="CIVIL"/>
    <d v="2023-06-28T00:00:00"/>
    <d v="2023-07-10T19:01:40"/>
    <m/>
    <d v="2023-07-10T00:00:00"/>
    <n v="1530"/>
    <n v="20829"/>
    <s v="61063328"/>
    <s v="61063328"/>
    <m/>
    <m/>
    <n v="22777778"/>
    <m/>
    <m/>
    <m/>
    <s v="SOLFIN"/>
    <s v="SOLFIN"/>
    <s v="CCMS"/>
    <n v="21349708"/>
    <n v="14156.17"/>
    <m/>
    <s v="N"/>
    <n v="35"/>
    <d v="2023-07-10T19:01:56"/>
    <s v="Y"/>
    <s v="Preparation - other"/>
    <s v="Care Remuneration Hourly Rates"/>
    <s v="Profit Cost"/>
    <s v="HW"/>
    <s v="Y"/>
    <n v="147.2"/>
    <n v="29.44"/>
    <x v="2"/>
    <s v="VALIDATED"/>
    <n v="1"/>
    <s v="01.11.80.308.6100.0000"/>
    <n v="147.2"/>
    <s v="11"/>
    <s v="6100"/>
    <n v="26754.22"/>
    <n v="147.2"/>
    <s v="CREDITOR"/>
    <n v="0"/>
    <n v="0"/>
    <n v="0"/>
    <n v="0"/>
    <n v="147.2"/>
  </r>
  <r>
    <n v="61063328"/>
    <s v="N"/>
    <n v="21349708"/>
    <s v="3000015261150004"/>
    <s v="CIVIL"/>
    <d v="2023-06-28T00:00:00"/>
    <d v="2023-07-10T19:01:40"/>
    <m/>
    <d v="2023-07-10T00:00:00"/>
    <n v="1530"/>
    <n v="20829"/>
    <s v="61063328"/>
    <s v="61063328"/>
    <m/>
    <m/>
    <n v="22777778"/>
    <m/>
    <m/>
    <m/>
    <s v="SOLFIN"/>
    <s v="SOLFIN"/>
    <s v="CCMS"/>
    <n v="21349708"/>
    <n v="14156.17"/>
    <m/>
    <s v="N"/>
    <n v="21"/>
    <d v="2023-07-10T19:01:56"/>
    <s v="Y"/>
    <s v="Preparation - other"/>
    <s v="Care Remuneration Hourly Rates"/>
    <s v="Profit Cost"/>
    <s v="HW"/>
    <s v="Y"/>
    <n v="22.08"/>
    <n v="4.42"/>
    <x v="2"/>
    <s v="VALIDATED"/>
    <n v="1"/>
    <s v="01.11.80.308.6100.0000"/>
    <n v="22.08"/>
    <s v="11"/>
    <s v="6100"/>
    <n v="26754.22"/>
    <n v="22.08"/>
    <s v="CREDITOR"/>
    <n v="0"/>
    <n v="0"/>
    <n v="0"/>
    <n v="0"/>
    <n v="22.08"/>
  </r>
  <r>
    <n v="61807950"/>
    <s v="N"/>
    <n v="21338584"/>
    <s v="3000015879920001"/>
    <s v="CIVIL"/>
    <d v="2023-06-27T00:00:00"/>
    <d v="2023-07-06T19:21:01"/>
    <m/>
    <d v="2023-07-06T00:00:00"/>
    <n v="1530"/>
    <n v="20829"/>
    <s v="61807950"/>
    <s v="61807950"/>
    <m/>
    <m/>
    <n v="22772526"/>
    <m/>
    <m/>
    <m/>
    <s v="SOLFIN"/>
    <s v="SOLFIN"/>
    <s v="CCMS"/>
    <n v="21338584"/>
    <n v="4127.99"/>
    <m/>
    <s v="N"/>
    <n v="27"/>
    <d v="2023-07-06T19:21:29"/>
    <s v="Y"/>
    <s v="Preparation - other"/>
    <s v="Prescribed Hourly Rates"/>
    <s v="Profit Cost"/>
    <s v="HW"/>
    <s v="Y"/>
    <n v="12.63"/>
    <n v="2.53"/>
    <x v="4"/>
    <s v="VALIDATED"/>
    <n v="1"/>
    <s v="01.11.80.307.6100.0000"/>
    <n v="12.63"/>
    <s v="11"/>
    <s v="6100"/>
    <n v="26754.22"/>
    <n v="12.63"/>
    <s v="CREDITOR"/>
    <n v="0"/>
    <n v="0"/>
    <n v="0"/>
    <n v="0"/>
    <n v="12.63"/>
  </r>
  <r>
    <n v="60658700"/>
    <s v="N"/>
    <n v="21349958"/>
    <s v="3000014912410007"/>
    <s v="CIVIL"/>
    <d v="2023-06-29T00:00:00"/>
    <d v="2023-07-10T19:01:40"/>
    <m/>
    <d v="2023-07-10T00:00:00"/>
    <n v="1530"/>
    <n v="20829"/>
    <s v="60658700"/>
    <s v="60658700"/>
    <m/>
    <m/>
    <n v="22793116"/>
    <m/>
    <m/>
    <m/>
    <s v="SOLFIN"/>
    <s v="SOLFIN"/>
    <s v="CCMS"/>
    <n v="21349958"/>
    <n v="15751.18"/>
    <m/>
    <s v="N"/>
    <n v="7"/>
    <d v="2023-07-10T19:02:04"/>
    <s v="Y"/>
    <s v="Preparation - drafting consent orde"/>
    <s v="Care Remuneration Hourly Rates"/>
    <s v="Profit Cost"/>
    <s v="HW"/>
    <s v="Y"/>
    <n v="15.24"/>
    <n v="3.05"/>
    <x v="2"/>
    <s v="VALIDATED"/>
    <n v="1"/>
    <s v="01.11.80.308.6100.0000"/>
    <n v="15.24"/>
    <s v="11"/>
    <s v="6100"/>
    <n v="26754.22"/>
    <n v="15.24"/>
    <s v="CREDITOR"/>
    <n v="0"/>
    <n v="0"/>
    <n v="0"/>
    <n v="0"/>
    <n v="15.24"/>
  </r>
  <r>
    <n v="61063328"/>
    <s v="N"/>
    <n v="21349708"/>
    <s v="3000015261150004"/>
    <s v="CIVIL"/>
    <d v="2023-06-28T00:00:00"/>
    <d v="2023-07-10T19:01:40"/>
    <m/>
    <d v="2023-07-10T00:00:00"/>
    <n v="1530"/>
    <n v="20829"/>
    <s v="61063328"/>
    <s v="61063328"/>
    <m/>
    <m/>
    <n v="22777778"/>
    <m/>
    <m/>
    <m/>
    <s v="SOLFIN"/>
    <s v="SOLFIN"/>
    <s v="CCMS"/>
    <n v="21349708"/>
    <n v="14156.17"/>
    <m/>
    <s v="N"/>
    <n v="71"/>
    <d v="2023-07-10T19:01:56"/>
    <s v="Y"/>
    <s v="Preparation - other"/>
    <s v="Care Remuneration Hourly Rates"/>
    <s v="Profit Cost"/>
    <s v="HW"/>
    <s v="Y"/>
    <n v="44.16"/>
    <n v="8.83"/>
    <x v="2"/>
    <s v="VALIDATED"/>
    <n v="1"/>
    <s v="01.11.80.308.6100.0000"/>
    <n v="44.16"/>
    <s v="11"/>
    <s v="6100"/>
    <n v="26754.22"/>
    <n v="44.16"/>
    <s v="CREDITOR"/>
    <n v="0"/>
    <n v="0"/>
    <n v="0"/>
    <n v="0"/>
    <n v="44.16"/>
  </r>
  <r>
    <n v="61063328"/>
    <s v="N"/>
    <n v="21349708"/>
    <s v="3000015261150004"/>
    <s v="CIVIL"/>
    <d v="2023-06-28T00:00:00"/>
    <d v="2023-07-10T19:01:40"/>
    <m/>
    <d v="2023-07-10T00:00:00"/>
    <n v="1530"/>
    <n v="20829"/>
    <s v="61063328"/>
    <s v="61063328"/>
    <m/>
    <m/>
    <n v="22777778"/>
    <m/>
    <m/>
    <m/>
    <s v="SOLFIN"/>
    <s v="SOLFIN"/>
    <s v="CCMS"/>
    <n v="21349708"/>
    <n v="14156.17"/>
    <m/>
    <s v="N"/>
    <n v="99"/>
    <d v="2023-07-10T19:01:56"/>
    <s v="Y"/>
    <s v="Routine Letter In"/>
    <s v="Care Remuneration Hourly Rates"/>
    <s v="Profit Cost"/>
    <s v="HW"/>
    <s v="Y"/>
    <n v="1033.41"/>
    <n v="206.68"/>
    <x v="2"/>
    <s v="VALIDATED"/>
    <n v="1"/>
    <s v="01.11.80.308.6100.0000"/>
    <n v="1033.41"/>
    <s v="11"/>
    <s v="6100"/>
    <n v="26754.22"/>
    <n v="1033.41"/>
    <s v="CREDITOR"/>
    <n v="0"/>
    <n v="0"/>
    <n v="0"/>
    <n v="0"/>
    <n v="1033.41"/>
  </r>
  <r>
    <n v="61063328"/>
    <s v="N"/>
    <n v="21349708"/>
    <s v="3000015261150004"/>
    <s v="CIVIL"/>
    <d v="2023-06-28T00:00:00"/>
    <d v="2023-07-10T19:01:40"/>
    <m/>
    <d v="2023-07-10T00:00:00"/>
    <n v="1530"/>
    <n v="20829"/>
    <s v="61063328"/>
    <s v="61063328"/>
    <m/>
    <m/>
    <n v="22777778"/>
    <m/>
    <m/>
    <m/>
    <s v="SOLFIN"/>
    <s v="SOLFIN"/>
    <s v="CCMS"/>
    <n v="21349708"/>
    <n v="14156.17"/>
    <m/>
    <s v="N"/>
    <n v="78"/>
    <d v="2023-07-10T19:01:56"/>
    <s v="Y"/>
    <s v="Preparation - other"/>
    <s v="Care Remuneration Hourly Rates"/>
    <s v="Profit Cost"/>
    <s v="HW"/>
    <s v="Y"/>
    <n v="66.23"/>
    <n v="13.25"/>
    <x v="2"/>
    <s v="VALIDATED"/>
    <n v="1"/>
    <s v="01.11.80.308.6100.0000"/>
    <n v="66.23"/>
    <s v="11"/>
    <s v="6100"/>
    <n v="26754.22"/>
    <n v="66.23"/>
    <s v="CREDITOR"/>
    <n v="0"/>
    <n v="0"/>
    <n v="0"/>
    <n v="0"/>
    <n v="66.23"/>
  </r>
  <r>
    <n v="61063328"/>
    <s v="N"/>
    <n v="21349708"/>
    <s v="3000015261150004"/>
    <s v="CIVIL"/>
    <d v="2023-06-28T00:00:00"/>
    <d v="2023-07-10T19:01:40"/>
    <m/>
    <d v="2023-07-10T00:00:00"/>
    <n v="1530"/>
    <n v="20829"/>
    <s v="61063328"/>
    <s v="61063328"/>
    <m/>
    <m/>
    <n v="22777778"/>
    <m/>
    <m/>
    <m/>
    <s v="SOLFIN"/>
    <s v="SOLFIN"/>
    <s v="CCMS"/>
    <n v="21349708"/>
    <n v="14156.17"/>
    <m/>
    <s v="N"/>
    <n v="44"/>
    <d v="2023-07-10T19:01:56"/>
    <s v="Y"/>
    <s v="Preparation - drafting notice(s)"/>
    <s v="Care Remuneration Hourly Rates"/>
    <s v="Profit Cost"/>
    <s v="OTH"/>
    <s v="Y"/>
    <n v="10.51"/>
    <n v="2.1"/>
    <x v="2"/>
    <s v="VALIDATED"/>
    <n v="1"/>
    <s v="01.11.80.308.6100.0000"/>
    <n v="10.51"/>
    <s v="11"/>
    <s v="6100"/>
    <n v="26754.22"/>
    <n v="10.51"/>
    <s v="CREDITOR"/>
    <n v="0"/>
    <n v="0"/>
    <n v="0"/>
    <n v="0"/>
    <n v="10.51"/>
  </r>
  <r>
    <n v="61807950"/>
    <s v="N"/>
    <n v="21338584"/>
    <s v="3000015879920001"/>
    <s v="CIVIL"/>
    <d v="2023-06-27T00:00:00"/>
    <d v="2023-07-06T19:21:01"/>
    <m/>
    <d v="2023-07-06T00:00:00"/>
    <n v="1530"/>
    <n v="20829"/>
    <s v="61807950"/>
    <s v="61807950"/>
    <m/>
    <m/>
    <n v="22772526"/>
    <m/>
    <m/>
    <m/>
    <s v="SOLFIN"/>
    <s v="SOLFIN"/>
    <s v="CCMS"/>
    <n v="21338584"/>
    <n v="4127.99"/>
    <m/>
    <s v="N"/>
    <n v="40"/>
    <d v="2023-07-06T19:21:29"/>
    <s v="Y"/>
    <s v="Advocacy - Directions Hearing"/>
    <s v="Prescribed Hourly Rates"/>
    <s v="Advocacy"/>
    <s v="HW"/>
    <s v="Y"/>
    <n v="45.64"/>
    <n v="9.130000000000001"/>
    <x v="4"/>
    <s v="VALIDATED"/>
    <n v="1"/>
    <s v="01.11.80.307.6100.0000"/>
    <n v="45.64"/>
    <s v="11"/>
    <s v="6100"/>
    <n v="26754.22"/>
    <n v="45.64"/>
    <s v="CREDITOR"/>
    <n v="0"/>
    <n v="0"/>
    <n v="0"/>
    <n v="0"/>
    <n v="45.64"/>
  </r>
  <r>
    <n v="61807950"/>
    <s v="N"/>
    <n v="21338584"/>
    <s v="3000015879920001"/>
    <s v="CIVIL"/>
    <d v="2023-06-27T00:00:00"/>
    <d v="2023-07-06T19:21:01"/>
    <m/>
    <d v="2023-07-06T00:00:00"/>
    <n v="1530"/>
    <n v="20829"/>
    <s v="61807950"/>
    <s v="61807950"/>
    <m/>
    <m/>
    <n v="22772526"/>
    <m/>
    <m/>
    <m/>
    <s v="SOLFIN"/>
    <s v="SOLFIN"/>
    <s v="CCMS"/>
    <n v="21338584"/>
    <n v="4127.99"/>
    <m/>
    <s v="N"/>
    <n v="6"/>
    <d v="2023-07-06T19:21:29"/>
    <s v="Y"/>
    <s v="Preparation - drafting notice(s)"/>
    <s v="Prescribed Hourly Rates"/>
    <s v="Profit Cost"/>
    <s v="OTH"/>
    <s v="Y"/>
    <n v="10.98"/>
    <n v="2.2"/>
    <x v="4"/>
    <s v="VALIDATED"/>
    <n v="1"/>
    <s v="01.11.80.307.6100.0000"/>
    <n v="10.98"/>
    <s v="11"/>
    <s v="6100"/>
    <n v="26754.22"/>
    <n v="10.98"/>
    <s v="CREDITOR"/>
    <n v="0"/>
    <n v="0"/>
    <n v="0"/>
    <n v="0"/>
    <n v="10.98"/>
  </r>
  <r>
    <n v="61807950"/>
    <s v="N"/>
    <n v="21338584"/>
    <s v="3000015879920001"/>
    <s v="CIVIL"/>
    <d v="2023-06-27T00:00:00"/>
    <d v="2023-07-06T19:21:01"/>
    <m/>
    <d v="2023-07-06T00:00:00"/>
    <n v="1530"/>
    <n v="20829"/>
    <s v="61807950"/>
    <s v="61807950"/>
    <m/>
    <m/>
    <n v="22772526"/>
    <m/>
    <m/>
    <m/>
    <s v="SOLFIN"/>
    <s v="SOLFIN"/>
    <s v="CCMS"/>
    <n v="21338584"/>
    <n v="4127.99"/>
    <m/>
    <s v="N"/>
    <n v="9"/>
    <d v="2023-07-06T19:21:29"/>
    <s v="Y"/>
    <s v="Preparation - other"/>
    <s v="Prescribed Hourly Rates"/>
    <s v="Profit Cost"/>
    <s v="HW"/>
    <s v="Y"/>
    <n v="31.57"/>
    <n v="6.31"/>
    <x v="4"/>
    <s v="VALIDATED"/>
    <n v="1"/>
    <s v="01.11.80.307.6100.0000"/>
    <n v="31.57"/>
    <s v="11"/>
    <s v="6100"/>
    <n v="26754.22"/>
    <n v="31.57"/>
    <s v="CREDITOR"/>
    <n v="0"/>
    <n v="0"/>
    <n v="0"/>
    <n v="0"/>
    <n v="31.57"/>
  </r>
  <r>
    <n v="60658700"/>
    <s v="N"/>
    <n v="21349958"/>
    <s v="3000014912410007"/>
    <s v="CIVIL"/>
    <d v="2023-06-29T00:00:00"/>
    <d v="2023-07-10T19:01:40"/>
    <m/>
    <d v="2023-07-10T00:00:00"/>
    <n v="1530"/>
    <n v="20829"/>
    <s v="60658700"/>
    <s v="60658700"/>
    <m/>
    <m/>
    <n v="22793116"/>
    <m/>
    <m/>
    <m/>
    <s v="SOLFIN"/>
    <s v="SOLFIN"/>
    <s v="CCMS"/>
    <n v="21349958"/>
    <n v="15751.18"/>
    <m/>
    <s v="N"/>
    <n v="17"/>
    <d v="2023-07-10T19:02:04"/>
    <s v="Y"/>
    <s v="Preparation - drafting statement"/>
    <s v="Care Remuneration Hourly Rates"/>
    <s v="Profit Cost"/>
    <s v="HW"/>
    <s v="Y"/>
    <n v="30.49"/>
    <n v="6.1"/>
    <x v="2"/>
    <s v="VALIDATED"/>
    <n v="1"/>
    <s v="01.11.80.308.6100.0000"/>
    <n v="30.49"/>
    <s v="11"/>
    <s v="6100"/>
    <n v="26754.22"/>
    <n v="30.49"/>
    <s v="CREDITOR"/>
    <n v="0"/>
    <n v="0"/>
    <n v="0"/>
    <n v="0"/>
    <n v="30.49"/>
  </r>
  <r>
    <n v="60658700"/>
    <s v="N"/>
    <n v="21349958"/>
    <s v="3000014912410007"/>
    <s v="CIVIL"/>
    <d v="2023-06-29T00:00:00"/>
    <d v="2023-07-10T19:01:40"/>
    <m/>
    <d v="2023-07-10T00:00:00"/>
    <n v="1530"/>
    <n v="20829"/>
    <s v="60658700"/>
    <s v="60658700"/>
    <m/>
    <m/>
    <n v="22793116"/>
    <m/>
    <m/>
    <m/>
    <s v="SOLFIN"/>
    <s v="SOLFIN"/>
    <s v="CCMS"/>
    <n v="21349958"/>
    <n v="15751.18"/>
    <m/>
    <s v="N"/>
    <n v="80"/>
    <d v="2023-07-10T19:02:04"/>
    <s v="Y"/>
    <s v="Preparation - drafting attendance n"/>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94"/>
    <d v="2023-07-10T19:02:04"/>
    <s v="Y"/>
    <s v="Preparation - other"/>
    <s v="Care Remuneration Hourly Rates"/>
    <s v="Profit Cost"/>
    <s v="HW"/>
    <s v="Y"/>
    <n v="53.36"/>
    <n v="10.67"/>
    <x v="2"/>
    <s v="VALIDATED"/>
    <n v="1"/>
    <s v="01.11.80.308.6100.0000"/>
    <n v="53.36"/>
    <s v="11"/>
    <s v="6100"/>
    <n v="26754.22"/>
    <n v="53.36"/>
    <s v="CREDITOR"/>
    <n v="0"/>
    <n v="0"/>
    <n v="0"/>
    <n v="0"/>
    <n v="53.36"/>
  </r>
  <r>
    <n v="60658700"/>
    <s v="N"/>
    <n v="21349958"/>
    <s v="3000014912410007"/>
    <s v="CIVIL"/>
    <d v="2023-06-29T00:00:00"/>
    <d v="2023-07-10T19:01:40"/>
    <m/>
    <d v="2023-07-10T00:00:00"/>
    <n v="1530"/>
    <n v="20829"/>
    <s v="60658700"/>
    <s v="60658700"/>
    <m/>
    <m/>
    <n v="22793116"/>
    <m/>
    <m/>
    <m/>
    <s v="SOLFIN"/>
    <s v="SOLFIN"/>
    <s v="CCMS"/>
    <n v="21349958"/>
    <n v="15751.18"/>
    <m/>
    <s v="N"/>
    <n v="113"/>
    <d v="2023-07-10T19:02:04"/>
    <s v="Y"/>
    <s v="Report - Counsel's opinion"/>
    <s v="Care Remuneration Hourly Rates"/>
    <s v="Profit Cost"/>
    <s v="HW"/>
    <s v="Y"/>
    <n v="77.33"/>
    <n v="15.47"/>
    <x v="2"/>
    <s v="VALIDATED"/>
    <n v="1"/>
    <s v="01.11.80.308.6100.0000"/>
    <n v="77.33"/>
    <s v="11"/>
    <s v="6100"/>
    <n v="26754.22"/>
    <n v="77.33"/>
    <s v="CREDITOR"/>
    <n v="0"/>
    <n v="0"/>
    <n v="0"/>
    <n v="0"/>
    <n v="77.33"/>
  </r>
  <r>
    <n v="61063328"/>
    <s v="N"/>
    <n v="21349708"/>
    <s v="3000015261150004"/>
    <s v="CIVIL"/>
    <d v="2023-06-28T00:00:00"/>
    <d v="2023-07-10T19:01:40"/>
    <m/>
    <d v="2023-07-10T00:00:00"/>
    <n v="1530"/>
    <n v="20829"/>
    <s v="61063328"/>
    <s v="61063328"/>
    <m/>
    <m/>
    <n v="22777778"/>
    <m/>
    <m/>
    <m/>
    <s v="SOLFIN"/>
    <s v="SOLFIN"/>
    <s v="CCMS"/>
    <n v="21349708"/>
    <n v="14156.17"/>
    <m/>
    <s v="N"/>
    <n v="10"/>
    <d v="2023-07-10T19:01:56"/>
    <s v="Y"/>
    <s v="Preparation - other"/>
    <s v="Care Remuneration Hourly Rates"/>
    <s v="Profit Cost"/>
    <s v="HW"/>
    <s v="Y"/>
    <n v="14.71"/>
    <n v="2.94"/>
    <x v="2"/>
    <s v="VALIDATED"/>
    <n v="1"/>
    <s v="01.11.80.308.6100.0000"/>
    <n v="14.71"/>
    <s v="11"/>
    <s v="6100"/>
    <n v="26754.22"/>
    <n v="14.71"/>
    <s v="CREDITOR"/>
    <n v="0"/>
    <n v="0"/>
    <n v="0"/>
    <n v="0"/>
    <n v="14.71"/>
  </r>
  <r>
    <n v="61063328"/>
    <s v="N"/>
    <n v="21349708"/>
    <s v="3000015261150004"/>
    <s v="CIVIL"/>
    <d v="2023-06-28T00:00:00"/>
    <d v="2023-07-10T19:01:40"/>
    <m/>
    <d v="2023-07-10T00:00:00"/>
    <n v="1530"/>
    <n v="20829"/>
    <s v="61063328"/>
    <s v="61063328"/>
    <m/>
    <m/>
    <n v="22777778"/>
    <m/>
    <m/>
    <m/>
    <s v="SOLFIN"/>
    <s v="SOLFIN"/>
    <s v="CCMS"/>
    <n v="21349708"/>
    <n v="14156.17"/>
    <m/>
    <s v="N"/>
    <n v="119"/>
    <d v="2023-07-10T19:01:56"/>
    <s v="Y"/>
    <s v="Final Hearing Court Bundle/Advocate"/>
    <s v="Public Law Children"/>
    <s v="Advocacy"/>
    <s v="HW"/>
    <s v="Y"/>
    <n v="159.3"/>
    <n v="31.86"/>
    <x v="2"/>
    <s v="VALIDATED"/>
    <n v="1"/>
    <s v="01.11.80.308.6100.0000"/>
    <n v="159.3"/>
    <s v="11"/>
    <s v="6100"/>
    <n v="26754.22"/>
    <n v="159.3"/>
    <s v="CREDITOR"/>
    <n v="0"/>
    <n v="0"/>
    <n v="0"/>
    <n v="0"/>
    <n v="159.3"/>
  </r>
  <r>
    <n v="61063328"/>
    <s v="N"/>
    <n v="21349708"/>
    <s v="3000015261150004"/>
    <s v="CIVIL"/>
    <d v="2023-06-28T00:00:00"/>
    <d v="2023-07-10T19:01:40"/>
    <m/>
    <d v="2023-07-10T00:00:00"/>
    <n v="1530"/>
    <n v="20829"/>
    <s v="61063328"/>
    <s v="61063328"/>
    <m/>
    <m/>
    <n v="22777778"/>
    <m/>
    <m/>
    <m/>
    <s v="SOLFIN"/>
    <s v="SOLFIN"/>
    <s v="CCMS"/>
    <n v="21349708"/>
    <n v="14156.17"/>
    <m/>
    <s v="N"/>
    <n v="97"/>
    <d v="2023-07-10T19:01:56"/>
    <s v="Y"/>
    <s v="Routine Letter Out"/>
    <s v="Care Remuneration Hourly Rates"/>
    <s v="Profit Cost"/>
    <s v="HW"/>
    <s v="Y"/>
    <n v="919.55"/>
    <n v="183.91"/>
    <x v="2"/>
    <s v="VALIDATED"/>
    <n v="1"/>
    <s v="01.11.80.308.6100.0000"/>
    <n v="919.55"/>
    <s v="11"/>
    <s v="6100"/>
    <n v="26754.22"/>
    <n v="919.55"/>
    <s v="CREDITOR"/>
    <n v="0"/>
    <n v="0"/>
    <n v="0"/>
    <n v="0"/>
    <n v="919.55"/>
  </r>
  <r>
    <n v="61063328"/>
    <s v="N"/>
    <n v="21349708"/>
    <s v="3000015261150004"/>
    <s v="CIVIL"/>
    <d v="2023-06-28T00:00:00"/>
    <d v="2023-07-10T19:01:40"/>
    <m/>
    <d v="2023-07-10T00:00:00"/>
    <n v="1530"/>
    <n v="20829"/>
    <s v="61063328"/>
    <s v="61063328"/>
    <m/>
    <m/>
    <n v="22777778"/>
    <m/>
    <m/>
    <m/>
    <s v="SOLFIN"/>
    <s v="SOLFIN"/>
    <s v="CCMS"/>
    <n v="21349708"/>
    <n v="14156.17"/>
    <m/>
    <s v="N"/>
    <n v="105"/>
    <d v="2023-07-10T19:01:56"/>
    <s v="Y"/>
    <s v="Psychologist"/>
    <s v="Care Remuneration Hourly Rates"/>
    <s v="Expert Disbursement"/>
    <s v="XXX"/>
    <s v="Y"/>
    <n v="675.51"/>
    <n v="0"/>
    <x v="2"/>
    <s v="VALIDATED"/>
    <n v="1"/>
    <s v="01.11.80.308.6300.0000"/>
    <n v="675.51"/>
    <s v="11"/>
    <s v="6300"/>
    <n v="26754.22"/>
    <n v="675.51"/>
    <s v="CREDITOR"/>
    <n v="0"/>
    <n v="0"/>
    <n v="0"/>
    <n v="0"/>
    <n v="675.51"/>
  </r>
  <r>
    <n v="61807950"/>
    <s v="N"/>
    <n v="21338584"/>
    <s v="3000015879920001"/>
    <s v="CIVIL"/>
    <d v="2023-06-27T00:00:00"/>
    <d v="2023-07-06T19:21:01"/>
    <m/>
    <d v="2023-07-06T00:00:00"/>
    <n v="1530"/>
    <n v="20829"/>
    <s v="61807950"/>
    <s v="61807950"/>
    <m/>
    <m/>
    <n v="22772526"/>
    <m/>
    <m/>
    <m/>
    <s v="SOLFIN"/>
    <s v="SOLFIN"/>
    <s v="CCMS"/>
    <n v="21338584"/>
    <n v="4127.99"/>
    <m/>
    <s v="N"/>
    <n v="22"/>
    <d v="2023-07-06T19:21:29"/>
    <s v="Y"/>
    <s v="Preparation - drafting statement"/>
    <s v="Prescribed Hourly Rates"/>
    <s v="Profit Cost"/>
    <s v="HW"/>
    <s v="Y"/>
    <n v="18.94"/>
    <n v="3.79"/>
    <x v="4"/>
    <s v="VALIDATED"/>
    <n v="1"/>
    <s v="01.11.80.307.6100.0000"/>
    <n v="18.94"/>
    <s v="11"/>
    <s v="6100"/>
    <n v="26754.22"/>
    <n v="18.94"/>
    <s v="CREDITOR"/>
    <n v="0"/>
    <n v="0"/>
    <n v="0"/>
    <n v="0"/>
    <n v="18.94"/>
  </r>
  <r>
    <n v="60658700"/>
    <s v="N"/>
    <n v="21349958"/>
    <s v="3000014912410007"/>
    <s v="CIVIL"/>
    <d v="2023-06-29T00:00:00"/>
    <d v="2023-07-10T19:01:40"/>
    <m/>
    <d v="2023-07-10T00:00:00"/>
    <n v="1530"/>
    <n v="20829"/>
    <s v="60658700"/>
    <s v="60658700"/>
    <m/>
    <m/>
    <n v="22793116"/>
    <m/>
    <m/>
    <m/>
    <s v="SOLFIN"/>
    <s v="SOLFIN"/>
    <s v="CCMS"/>
    <n v="21349958"/>
    <n v="15751.18"/>
    <m/>
    <s v="N"/>
    <n v="135"/>
    <d v="2023-07-10T19:02:04"/>
    <s v="Y"/>
    <s v="Routine Letter Out"/>
    <s v="Care Remuneration Hourly Rates"/>
    <s v="Profit Cost"/>
    <s v="OTH"/>
    <s v="Y"/>
    <n v="77.48999999999999"/>
    <n v="15.5"/>
    <x v="2"/>
    <s v="VALIDATED"/>
    <n v="1"/>
    <s v="01.11.80.308.6100.0000"/>
    <n v="77.48999999999999"/>
    <s v="11"/>
    <s v="6100"/>
    <n v="26754.22"/>
    <n v="77.48999999999999"/>
    <s v="CREDITOR"/>
    <n v="0"/>
    <n v="0"/>
    <n v="0"/>
    <n v="0"/>
    <n v="77.48999999999999"/>
  </r>
  <r>
    <n v="60658700"/>
    <s v="N"/>
    <n v="21349958"/>
    <s v="3000014912410007"/>
    <s v="CIVIL"/>
    <d v="2023-06-29T00:00:00"/>
    <d v="2023-07-10T19:01:40"/>
    <m/>
    <d v="2023-07-10T00:00:00"/>
    <n v="1530"/>
    <n v="20829"/>
    <s v="60658700"/>
    <s v="60658700"/>
    <m/>
    <m/>
    <n v="22793116"/>
    <m/>
    <m/>
    <m/>
    <s v="SOLFIN"/>
    <s v="SOLFIN"/>
    <s v="CCMS"/>
    <n v="21349958"/>
    <n v="15751.18"/>
    <m/>
    <s v="N"/>
    <n v="56"/>
    <d v="2023-07-10T19:02:04"/>
    <s v="Y"/>
    <s v="Preparation - other"/>
    <s v="Care Remuneration Hourly Rates"/>
    <s v="Profit Cost"/>
    <s v="HW"/>
    <s v="Y"/>
    <n v="15.24"/>
    <n v="3.05"/>
    <x v="2"/>
    <s v="VALIDATED"/>
    <n v="1"/>
    <s v="01.11.80.308.6100.0000"/>
    <n v="15.24"/>
    <s v="11"/>
    <s v="6100"/>
    <n v="26754.22"/>
    <n v="15.24"/>
    <s v="CREDITOR"/>
    <n v="0"/>
    <n v="0"/>
    <n v="0"/>
    <n v="0"/>
    <n v="15.24"/>
  </r>
  <r>
    <n v="61063328"/>
    <s v="N"/>
    <n v="21349708"/>
    <s v="3000015261150004"/>
    <s v="CIVIL"/>
    <d v="2023-06-28T00:00:00"/>
    <d v="2023-07-10T19:01:40"/>
    <m/>
    <d v="2023-07-10T00:00:00"/>
    <n v="1530"/>
    <n v="20829"/>
    <s v="61063328"/>
    <s v="61063328"/>
    <m/>
    <m/>
    <n v="22777778"/>
    <m/>
    <m/>
    <m/>
    <s v="SOLFIN"/>
    <s v="SOLFIN"/>
    <s v="CCMS"/>
    <n v="21349708"/>
    <n v="14156.17"/>
    <m/>
    <s v="N"/>
    <n v="68"/>
    <d v="2023-07-10T19:01:56"/>
    <s v="Y"/>
    <s v="Preparation - other"/>
    <s v="Care Remuneration Hourly Rates"/>
    <s v="Profit Cost"/>
    <s v="HW"/>
    <s v="Y"/>
    <n v="29.44"/>
    <n v="5.89"/>
    <x v="2"/>
    <s v="VALIDATED"/>
    <n v="1"/>
    <s v="01.11.80.308.6100.0000"/>
    <n v="29.44"/>
    <s v="11"/>
    <s v="6100"/>
    <n v="26754.22"/>
    <n v="29.44"/>
    <s v="CREDITOR"/>
    <n v="0"/>
    <n v="0"/>
    <n v="0"/>
    <n v="0"/>
    <n v="29.44"/>
  </r>
  <r>
    <n v="61063328"/>
    <s v="N"/>
    <n v="21349708"/>
    <s v="3000015261150004"/>
    <s v="CIVIL"/>
    <d v="2023-06-28T00:00:00"/>
    <d v="2023-07-10T19:01:40"/>
    <m/>
    <d v="2023-07-10T00:00:00"/>
    <n v="1530"/>
    <n v="20829"/>
    <s v="61063328"/>
    <s v="61063328"/>
    <m/>
    <m/>
    <n v="22777778"/>
    <m/>
    <m/>
    <m/>
    <s v="SOLFIN"/>
    <s v="SOLFIN"/>
    <s v="CCMS"/>
    <n v="21349708"/>
    <n v="14156.17"/>
    <m/>
    <s v="N"/>
    <n v="22"/>
    <d v="2023-07-10T19:01:56"/>
    <s v="Y"/>
    <s v="Preparation - other"/>
    <s v="Care Remuneration Hourly Rates"/>
    <s v="Profit Cost"/>
    <s v="HW"/>
    <s v="Y"/>
    <n v="382.7"/>
    <n v="76.54000000000001"/>
    <x v="2"/>
    <s v="VALIDATED"/>
    <n v="1"/>
    <s v="01.11.80.308.6100.0000"/>
    <n v="382.7"/>
    <s v="11"/>
    <s v="6100"/>
    <n v="26754.22"/>
    <n v="382.7"/>
    <s v="CREDITOR"/>
    <n v="0"/>
    <n v="0"/>
    <n v="0"/>
    <n v="0"/>
    <n v="382.7"/>
  </r>
  <r>
    <n v="61807950"/>
    <s v="N"/>
    <n v="21338584"/>
    <s v="3000015879920001"/>
    <s v="CIVIL"/>
    <d v="2023-06-27T00:00:00"/>
    <d v="2023-07-06T19:21:01"/>
    <m/>
    <d v="2023-07-06T00:00:00"/>
    <n v="1530"/>
    <n v="20829"/>
    <s v="61807950"/>
    <s v="61807950"/>
    <m/>
    <m/>
    <n v="22772526"/>
    <m/>
    <m/>
    <m/>
    <s v="SOLFIN"/>
    <s v="SOLFIN"/>
    <s v="CCMS"/>
    <n v="21338584"/>
    <n v="4127.99"/>
    <m/>
    <s v="N"/>
    <n v="1"/>
    <d v="2023-07-06T19:21:29"/>
    <s v="Y"/>
    <s v="Solicitor Travel Mileage"/>
    <s v="Prescribed Hourly Rates"/>
    <s v="Non Expert Disbursement"/>
    <s v="XXX"/>
    <s v="Y"/>
    <n v="23.85"/>
    <n v="4.77"/>
    <x v="4"/>
    <s v="VALIDATED"/>
    <n v="1"/>
    <s v="01.11.80.307.6300.0000"/>
    <n v="23.85"/>
    <s v="11"/>
    <s v="6300"/>
    <n v="26754.22"/>
    <n v="23.85"/>
    <s v="CREDITOR"/>
    <n v="0"/>
    <n v="0"/>
    <n v="0"/>
    <n v="0"/>
    <n v="23.85"/>
  </r>
  <r>
    <n v="60658700"/>
    <s v="N"/>
    <n v="21349958"/>
    <s v="3000014912410007"/>
    <s v="CIVIL"/>
    <d v="2023-06-29T00:00:00"/>
    <d v="2023-07-10T19:01:40"/>
    <m/>
    <d v="2023-07-10T00:00:00"/>
    <n v="1530"/>
    <n v="20829"/>
    <s v="60658700"/>
    <s v="60658700"/>
    <m/>
    <m/>
    <n v="22793116"/>
    <m/>
    <m/>
    <m/>
    <s v="SOLFIN"/>
    <s v="SOLFIN"/>
    <s v="CCMS"/>
    <n v="21349958"/>
    <n v="15751.18"/>
    <m/>
    <s v="N"/>
    <n v="107"/>
    <d v="2023-07-10T19:02:04"/>
    <s v="Y"/>
    <s v="Preparation - other"/>
    <s v="Care Remuneration Hourly Rates"/>
    <s v="Profit Cost"/>
    <s v="OTH"/>
    <s v="Y"/>
    <n v="5.26"/>
    <n v="1.05"/>
    <x v="2"/>
    <s v="VALIDATED"/>
    <n v="1"/>
    <s v="01.11.80.308.6100.0000"/>
    <n v="5.26"/>
    <s v="11"/>
    <s v="6100"/>
    <n v="26754.22"/>
    <n v="5.26"/>
    <s v="CREDITOR"/>
    <n v="0"/>
    <n v="0"/>
    <n v="0"/>
    <n v="0"/>
    <n v="5.26"/>
  </r>
  <r>
    <n v="60658700"/>
    <s v="N"/>
    <n v="21349958"/>
    <s v="3000014912410007"/>
    <s v="CIVIL"/>
    <d v="2023-06-29T00:00:00"/>
    <d v="2023-07-10T19:01:40"/>
    <m/>
    <d v="2023-07-10T00:00:00"/>
    <n v="1530"/>
    <n v="20829"/>
    <s v="60658700"/>
    <s v="60658700"/>
    <m/>
    <m/>
    <n v="22793116"/>
    <m/>
    <m/>
    <m/>
    <s v="SOLFIN"/>
    <s v="SOLFIN"/>
    <s v="CCMS"/>
    <n v="21349958"/>
    <n v="15751.18"/>
    <m/>
    <s v="N"/>
    <n v="42"/>
    <d v="2023-07-10T19:02:04"/>
    <s v="Y"/>
    <s v="Preparation - drafting statement"/>
    <s v="Care Remuneration Hourly Rates"/>
    <s v="Profit Cost"/>
    <s v="HW"/>
    <s v="Y"/>
    <n v="15.24"/>
    <n v="3.05"/>
    <x v="2"/>
    <s v="VALIDATED"/>
    <n v="1"/>
    <s v="01.11.80.308.6100.0000"/>
    <n v="15.24"/>
    <s v="11"/>
    <s v="6100"/>
    <n v="26754.22"/>
    <n v="15.24"/>
    <s v="CREDITOR"/>
    <n v="0"/>
    <n v="0"/>
    <n v="0"/>
    <n v="0"/>
    <n v="15.24"/>
  </r>
  <r>
    <n v="60658700"/>
    <s v="N"/>
    <n v="21349958"/>
    <s v="3000014912410007"/>
    <s v="CIVIL"/>
    <d v="2023-06-29T00:00:00"/>
    <d v="2023-07-10T19:01:40"/>
    <m/>
    <d v="2023-07-10T00:00:00"/>
    <n v="1530"/>
    <n v="20829"/>
    <s v="60658700"/>
    <s v="60658700"/>
    <m/>
    <m/>
    <n v="22793116"/>
    <m/>
    <m/>
    <m/>
    <s v="SOLFIN"/>
    <s v="SOLFIN"/>
    <s v="CCMS"/>
    <n v="21349958"/>
    <n v="15751.18"/>
    <m/>
    <s v="N"/>
    <n v="76"/>
    <d v="2023-07-10T19:02:04"/>
    <s v="Y"/>
    <s v="Preparation - other"/>
    <s v="Care Remuneration Hourly Rates"/>
    <s v="Profit Cost"/>
    <s v="HW"/>
    <s v="Y"/>
    <n v="30.49"/>
    <n v="6.1"/>
    <x v="2"/>
    <s v="VALIDATED"/>
    <n v="1"/>
    <s v="01.11.80.308.6100.0000"/>
    <n v="30.49"/>
    <s v="11"/>
    <s v="6100"/>
    <n v="26754.22"/>
    <n v="30.49"/>
    <s v="CREDITOR"/>
    <n v="0"/>
    <n v="0"/>
    <n v="0"/>
    <n v="0"/>
    <n v="30.49"/>
  </r>
  <r>
    <n v="61063328"/>
    <s v="N"/>
    <n v="21349708"/>
    <s v="3000015261150004"/>
    <s v="CIVIL"/>
    <d v="2023-06-28T00:00:00"/>
    <d v="2023-07-10T19:01:40"/>
    <m/>
    <d v="2023-07-10T00:00:00"/>
    <n v="1530"/>
    <n v="20829"/>
    <s v="61063328"/>
    <s v="61063328"/>
    <m/>
    <m/>
    <n v="22777778"/>
    <m/>
    <m/>
    <m/>
    <s v="SOLFIN"/>
    <s v="SOLFIN"/>
    <s v="CCMS"/>
    <n v="21349708"/>
    <n v="14156.17"/>
    <m/>
    <s v="N"/>
    <n v="111"/>
    <d v="2023-07-10T19:01:56"/>
    <s v="Y"/>
    <s v="Hearing Unit 2.31 - 5.00 Hours"/>
    <s v="Public Law Children"/>
    <s v="Advocacy"/>
    <s v="HW"/>
    <s v="Y"/>
    <n v="476.92"/>
    <n v="95.38"/>
    <x v="2"/>
    <s v="VALIDATED"/>
    <n v="1"/>
    <s v="01.11.80.308.6100.0000"/>
    <n v="476.92"/>
    <s v="11"/>
    <s v="6100"/>
    <n v="26754.22"/>
    <n v="476.92"/>
    <s v="CREDITOR"/>
    <n v="0"/>
    <n v="0"/>
    <n v="0"/>
    <n v="0"/>
    <n v="476.92"/>
  </r>
  <r>
    <n v="61063328"/>
    <s v="N"/>
    <n v="21349708"/>
    <s v="3000015261150004"/>
    <s v="CIVIL"/>
    <d v="2023-06-28T00:00:00"/>
    <d v="2023-07-10T19:01:40"/>
    <m/>
    <d v="2023-07-10T00:00:00"/>
    <n v="1530"/>
    <n v="20829"/>
    <s v="61063328"/>
    <s v="61063328"/>
    <m/>
    <m/>
    <n v="22777778"/>
    <m/>
    <m/>
    <m/>
    <s v="SOLFIN"/>
    <s v="SOLFIN"/>
    <s v="CCMS"/>
    <n v="21349708"/>
    <n v="14156.17"/>
    <m/>
    <s v="N"/>
    <n v="13"/>
    <d v="2023-07-10T19:01:56"/>
    <s v="Y"/>
    <s v="Preparation - other"/>
    <s v="Care Remuneration Hourly Rates"/>
    <s v="Profit Cost"/>
    <s v="HW"/>
    <s v="Y"/>
    <n v="29.44"/>
    <n v="5.89"/>
    <x v="2"/>
    <s v="VALIDATED"/>
    <n v="1"/>
    <s v="01.11.80.308.6100.0000"/>
    <n v="29.44"/>
    <s v="11"/>
    <s v="6100"/>
    <n v="26754.22"/>
    <n v="29.44"/>
    <s v="CREDITOR"/>
    <n v="0"/>
    <n v="0"/>
    <n v="0"/>
    <n v="0"/>
    <n v="29.44"/>
  </r>
  <r>
    <n v="61807950"/>
    <s v="N"/>
    <n v="21338584"/>
    <s v="3000015879920001"/>
    <s v="CIVIL"/>
    <d v="2023-06-27T00:00:00"/>
    <d v="2023-07-06T19:21:01"/>
    <m/>
    <d v="2023-07-06T00:00:00"/>
    <n v="1530"/>
    <n v="20829"/>
    <s v="61807950"/>
    <s v="61807950"/>
    <m/>
    <m/>
    <n v="22772526"/>
    <m/>
    <m/>
    <m/>
    <s v="SOLFIN"/>
    <s v="SOLFIN"/>
    <s v="CCMS"/>
    <n v="21338584"/>
    <n v="4127.99"/>
    <m/>
    <s v="N"/>
    <n v="46"/>
    <d v="2023-07-06T19:21:29"/>
    <s v="Y"/>
    <s v="Preparation - drafting pleadings"/>
    <s v="Prescribed Hourly Rates"/>
    <s v="Profit Cost"/>
    <s v="HW"/>
    <s v="Y"/>
    <n v="50.51"/>
    <n v="10.1"/>
    <x v="4"/>
    <s v="VALIDATED"/>
    <n v="1"/>
    <s v="01.11.80.307.6100.0000"/>
    <n v="50.51"/>
    <s v="11"/>
    <s v="6100"/>
    <n v="26754.22"/>
    <n v="50.51"/>
    <s v="CREDITOR"/>
    <n v="0"/>
    <n v="0"/>
    <n v="0"/>
    <n v="0"/>
    <n v="50.51"/>
  </r>
  <r>
    <n v="61807950"/>
    <s v="N"/>
    <n v="21338584"/>
    <s v="3000015879920001"/>
    <s v="CIVIL"/>
    <d v="2023-06-27T00:00:00"/>
    <d v="2023-07-06T19:21:01"/>
    <m/>
    <d v="2023-07-06T00:00:00"/>
    <n v="1530"/>
    <n v="20829"/>
    <s v="61807950"/>
    <s v="61807950"/>
    <m/>
    <m/>
    <n v="22772526"/>
    <m/>
    <m/>
    <m/>
    <s v="SOLFIN"/>
    <s v="SOLFIN"/>
    <s v="CCMS"/>
    <n v="21338584"/>
    <n v="4127.99"/>
    <m/>
    <s v="N"/>
    <n v="3"/>
    <d v="2023-07-06T19:21:29"/>
    <s v="Y"/>
    <s v="Solicitor Travel Mileage"/>
    <s v="Prescribed Hourly Rates"/>
    <s v="Non Expert Disbursement"/>
    <s v="XXX"/>
    <s v="Y"/>
    <n v="40.5"/>
    <n v="8.1"/>
    <x v="4"/>
    <s v="VALIDATED"/>
    <n v="1"/>
    <s v="01.11.80.307.6300.0000"/>
    <n v="40.5"/>
    <s v="11"/>
    <s v="6300"/>
    <n v="26754.22"/>
    <n v="40.5"/>
    <s v="CREDITOR"/>
    <n v="0"/>
    <n v="0"/>
    <n v="0"/>
    <n v="0"/>
    <n v="40.5"/>
  </r>
  <r>
    <n v="61063328"/>
    <s v="N"/>
    <n v="21349708"/>
    <s v="3000015261150004"/>
    <s v="CIVIL"/>
    <d v="2023-06-28T00:00:00"/>
    <d v="2023-07-10T19:01:40"/>
    <m/>
    <d v="2023-07-10T00:00:00"/>
    <n v="1530"/>
    <n v="20829"/>
    <s v="61063328"/>
    <s v="61063328"/>
    <m/>
    <m/>
    <n v="22777778"/>
    <m/>
    <m/>
    <m/>
    <s v="SOLFIN"/>
    <s v="SOLFIN"/>
    <s v="CCMS"/>
    <n v="21349708"/>
    <n v="14156.17"/>
    <m/>
    <s v="N"/>
    <n v="107"/>
    <d v="2023-07-10T19:01:56"/>
    <s v="Y"/>
    <s v="Psychologist"/>
    <s v="Care Remuneration Hourly Rates"/>
    <s v="Expert Disbursement"/>
    <s v="XXX"/>
    <s v="Y"/>
    <n v="497.36"/>
    <n v="99.47"/>
    <x v="2"/>
    <s v="VALIDATED"/>
    <n v="1"/>
    <s v="01.11.80.308.6300.0000"/>
    <n v="497.36"/>
    <s v="11"/>
    <s v="6300"/>
    <n v="26754.22"/>
    <n v="497.36"/>
    <s v="CREDITOR"/>
    <n v="0"/>
    <n v="0"/>
    <n v="0"/>
    <n v="0"/>
    <n v="497.36"/>
  </r>
  <r>
    <n v="61063328"/>
    <s v="N"/>
    <n v="21349708"/>
    <s v="3000015261150004"/>
    <s v="CIVIL"/>
    <d v="2023-06-28T00:00:00"/>
    <d v="2023-07-10T19:01:40"/>
    <m/>
    <d v="2023-07-10T00:00:00"/>
    <n v="1530"/>
    <n v="20829"/>
    <s v="61063328"/>
    <s v="61063328"/>
    <m/>
    <m/>
    <n v="22777778"/>
    <m/>
    <m/>
    <m/>
    <s v="SOLFIN"/>
    <s v="SOLFIN"/>
    <s v="CCMS"/>
    <n v="21349708"/>
    <n v="14156.17"/>
    <m/>
    <s v="N"/>
    <n v="86"/>
    <d v="2023-07-10T19:01:56"/>
    <s v="Y"/>
    <s v="Preparation - drafting application"/>
    <s v="Care Remuneration Hourly Rates"/>
    <s v="Profit Cost"/>
    <s v="HW"/>
    <s v="Y"/>
    <n v="14.71"/>
    <n v="2.94"/>
    <x v="2"/>
    <s v="VALIDATED"/>
    <n v="1"/>
    <s v="01.11.80.308.6100.0000"/>
    <n v="14.71"/>
    <s v="11"/>
    <s v="6100"/>
    <n v="26754.22"/>
    <n v="14.71"/>
    <s v="CREDITOR"/>
    <n v="0"/>
    <n v="0"/>
    <n v="0"/>
    <n v="0"/>
    <n v="14.71"/>
  </r>
  <r>
    <n v="60658700"/>
    <s v="N"/>
    <n v="21349958"/>
    <s v="3000014912410007"/>
    <s v="CIVIL"/>
    <d v="2023-06-29T00:00:00"/>
    <d v="2023-07-10T19:01:40"/>
    <m/>
    <d v="2023-07-10T00:00:00"/>
    <n v="1530"/>
    <n v="20829"/>
    <s v="60658700"/>
    <s v="60658700"/>
    <m/>
    <m/>
    <n v="22793116"/>
    <m/>
    <m/>
    <m/>
    <s v="SOLFIN"/>
    <s v="SOLFIN"/>
    <s v="CCMS"/>
    <n v="21349958"/>
    <n v="15751.18"/>
    <m/>
    <s v="N"/>
    <n v="24"/>
    <d v="2023-07-10T19:02:04"/>
    <s v="Y"/>
    <s v="Preparation - drafting statement"/>
    <s v="Care Remuneration Hourly Rates"/>
    <s v="Profit Cost"/>
    <s v="HW"/>
    <s v="Y"/>
    <n v="38.12"/>
    <n v="7.62"/>
    <x v="2"/>
    <s v="VALIDATED"/>
    <n v="1"/>
    <s v="01.11.80.308.6100.0000"/>
    <n v="38.12"/>
    <s v="11"/>
    <s v="6100"/>
    <n v="26754.22"/>
    <n v="38.12"/>
    <s v="CREDITOR"/>
    <n v="0"/>
    <n v="0"/>
    <n v="0"/>
    <n v="0"/>
    <n v="38.12"/>
  </r>
  <r>
    <n v="60658700"/>
    <s v="N"/>
    <n v="21349958"/>
    <s v="3000014912410007"/>
    <s v="CIVIL"/>
    <d v="2023-06-29T00:00:00"/>
    <d v="2023-07-10T19:01:40"/>
    <m/>
    <d v="2023-07-10T00:00:00"/>
    <n v="1530"/>
    <n v="20829"/>
    <s v="60658700"/>
    <s v="60658700"/>
    <m/>
    <m/>
    <n v="22793116"/>
    <m/>
    <m/>
    <m/>
    <s v="SOLFIN"/>
    <s v="SOLFIN"/>
    <s v="CCMS"/>
    <n v="21349958"/>
    <n v="15751.18"/>
    <m/>
    <s v="N"/>
    <n v="131"/>
    <d v="2023-07-10T19:02:04"/>
    <s v="Y"/>
    <s v="Preparation - drafting pleadings"/>
    <s v="Care Remuneration Hourly Rates"/>
    <s v="Profit Cost"/>
    <s v="HW"/>
    <s v="Y"/>
    <n v="83.84999999999999"/>
    <n v="16.77"/>
    <x v="2"/>
    <s v="VALIDATED"/>
    <n v="1"/>
    <s v="01.11.80.308.6100.0000"/>
    <n v="83.84999999999999"/>
    <s v="11"/>
    <s v="6100"/>
    <n v="26754.22"/>
    <n v="83.84999999999999"/>
    <s v="CREDITOR"/>
    <n v="0"/>
    <n v="0"/>
    <n v="0"/>
    <n v="0"/>
    <n v="83.84999999999999"/>
  </r>
  <r>
    <n v="60658700"/>
    <s v="N"/>
    <n v="21349958"/>
    <s v="3000014912410007"/>
    <s v="CIVIL"/>
    <d v="2023-06-29T00:00:00"/>
    <d v="2023-07-10T19:01:40"/>
    <m/>
    <d v="2023-07-10T00:00:00"/>
    <n v="1530"/>
    <n v="20829"/>
    <s v="60658700"/>
    <s v="60658700"/>
    <m/>
    <m/>
    <n v="22793116"/>
    <m/>
    <m/>
    <m/>
    <s v="SOLFIN"/>
    <s v="SOLFIN"/>
    <s v="CCMS"/>
    <n v="21349958"/>
    <n v="15751.18"/>
    <m/>
    <s v="N"/>
    <n v="33"/>
    <d v="2023-07-10T19:02:04"/>
    <s v="Y"/>
    <s v="Preparation - drafting agreement/se"/>
    <s v="Care Remuneration Hourly Rates"/>
    <s v="Profit Cost"/>
    <s v="HW"/>
    <s v="Y"/>
    <n v="160.08"/>
    <n v="32.02"/>
    <x v="2"/>
    <s v="VALIDATED"/>
    <n v="1"/>
    <s v="01.11.80.308.6100.0000"/>
    <n v="160.08"/>
    <s v="11"/>
    <s v="6100"/>
    <n v="26754.22"/>
    <n v="160.08"/>
    <s v="CREDITOR"/>
    <n v="0"/>
    <n v="0"/>
    <n v="0"/>
    <n v="0"/>
    <n v="160.08"/>
  </r>
  <r>
    <n v="60658700"/>
    <s v="N"/>
    <n v="21349958"/>
    <s v="3000014912410007"/>
    <s v="CIVIL"/>
    <d v="2023-06-29T00:00:00"/>
    <d v="2023-07-10T19:01:40"/>
    <m/>
    <d v="2023-07-10T00:00:00"/>
    <n v="1530"/>
    <n v="20829"/>
    <s v="60658700"/>
    <s v="60658700"/>
    <m/>
    <m/>
    <n v="22793116"/>
    <m/>
    <m/>
    <m/>
    <s v="SOLFIN"/>
    <s v="SOLFIN"/>
    <s v="CCMS"/>
    <n v="21349958"/>
    <n v="15751.18"/>
    <m/>
    <s v="N"/>
    <n v="82"/>
    <d v="2023-07-10T19:02:04"/>
    <s v="Y"/>
    <s v="Preparation - other"/>
    <s v="Care Remuneration Hourly Rates"/>
    <s v="Profit Cost"/>
    <s v="HW"/>
    <s v="Y"/>
    <n v="365.89"/>
    <n v="73.18000000000001"/>
    <x v="2"/>
    <s v="VALIDATED"/>
    <n v="1"/>
    <s v="01.11.80.308.6100.0000"/>
    <n v="365.89"/>
    <s v="11"/>
    <s v="6100"/>
    <n v="26754.22"/>
    <n v="365.89"/>
    <s v="CREDITOR"/>
    <n v="0"/>
    <n v="0"/>
    <n v="0"/>
    <n v="0"/>
    <n v="365.89"/>
  </r>
  <r>
    <n v="61063328"/>
    <s v="N"/>
    <n v="21349708"/>
    <s v="3000015261150004"/>
    <s v="CIVIL"/>
    <d v="2023-06-28T00:00:00"/>
    <d v="2023-07-10T19:01:40"/>
    <m/>
    <d v="2023-07-10T00:00:00"/>
    <n v="1530"/>
    <n v="20829"/>
    <s v="61063328"/>
    <s v="61063328"/>
    <m/>
    <m/>
    <n v="22777778"/>
    <m/>
    <m/>
    <m/>
    <s v="SOLFIN"/>
    <s v="SOLFIN"/>
    <s v="CCMS"/>
    <n v="21349708"/>
    <n v="14156.17"/>
    <m/>
    <s v="N"/>
    <n v="5"/>
    <d v="2023-07-10T19:01:56"/>
    <s v="Y"/>
    <s v="Preparation - other"/>
    <s v="Care Remuneration Hourly Rates"/>
    <s v="Profit Cost"/>
    <s v="OTH"/>
    <s v="Y"/>
    <n v="10.51"/>
    <n v="2.1"/>
    <x v="2"/>
    <s v="VALIDATED"/>
    <n v="1"/>
    <s v="01.11.80.308.6100.0000"/>
    <n v="10.51"/>
    <s v="11"/>
    <s v="6100"/>
    <n v="26754.22"/>
    <n v="10.51"/>
    <s v="CREDITOR"/>
    <n v="0"/>
    <n v="0"/>
    <n v="0"/>
    <n v="0"/>
    <n v="10.51"/>
  </r>
  <r>
    <n v="61063328"/>
    <s v="N"/>
    <n v="21349708"/>
    <s v="3000015261150004"/>
    <s v="CIVIL"/>
    <d v="2023-06-28T00:00:00"/>
    <d v="2023-07-10T19:01:40"/>
    <m/>
    <d v="2023-07-10T00:00:00"/>
    <n v="1530"/>
    <n v="20829"/>
    <s v="61063328"/>
    <s v="61063328"/>
    <m/>
    <m/>
    <n v="22777778"/>
    <m/>
    <m/>
    <m/>
    <s v="SOLFIN"/>
    <s v="SOLFIN"/>
    <s v="CCMS"/>
    <n v="21349708"/>
    <n v="14156.17"/>
    <m/>
    <s v="N"/>
    <n v="98"/>
    <d v="2023-07-10T19:01:56"/>
    <s v="Y"/>
    <s v="Routine Letter Out"/>
    <s v="Care Remuneration Hourly Rates"/>
    <s v="Profit Cost"/>
    <s v="OTH"/>
    <s v="Y"/>
    <n v="22.14"/>
    <n v="4.43"/>
    <x v="2"/>
    <s v="VALIDATED"/>
    <n v="1"/>
    <s v="01.11.80.308.6100.0000"/>
    <n v="22.14"/>
    <s v="11"/>
    <s v="6100"/>
    <n v="26754.22"/>
    <n v="22.14"/>
    <s v="CREDITOR"/>
    <n v="0"/>
    <n v="0"/>
    <n v="0"/>
    <n v="0"/>
    <n v="22.14"/>
  </r>
  <r>
    <n v="61063328"/>
    <s v="N"/>
    <n v="21349708"/>
    <s v="3000015261150004"/>
    <s v="CIVIL"/>
    <d v="2023-06-28T00:00:00"/>
    <d v="2023-07-10T19:01:40"/>
    <m/>
    <d v="2023-07-10T00:00:00"/>
    <n v="1530"/>
    <n v="20829"/>
    <s v="61063328"/>
    <s v="61063328"/>
    <m/>
    <m/>
    <n v="22777778"/>
    <m/>
    <m/>
    <m/>
    <s v="SOLFIN"/>
    <s v="SOLFIN"/>
    <s v="CCMS"/>
    <n v="21349708"/>
    <n v="14156.17"/>
    <m/>
    <s v="N"/>
    <n v="25"/>
    <d v="2023-07-10T19:01:56"/>
    <s v="Y"/>
    <s v="Preparation - drafting statement"/>
    <s v="Care Remuneration Hourly Rates"/>
    <s v="Profit Cost"/>
    <s v="HW"/>
    <s v="Y"/>
    <n v="36.81"/>
    <n v="7.36"/>
    <x v="2"/>
    <s v="VALIDATED"/>
    <n v="1"/>
    <s v="01.11.80.308.6100.0000"/>
    <n v="36.81"/>
    <s v="11"/>
    <s v="6100"/>
    <n v="26754.22"/>
    <n v="36.81"/>
    <s v="CREDITOR"/>
    <n v="0"/>
    <n v="0"/>
    <n v="0"/>
    <n v="0"/>
    <n v="36.81"/>
  </r>
  <r>
    <n v="61807950"/>
    <s v="N"/>
    <n v="21338584"/>
    <s v="3000015879920001"/>
    <s v="CIVIL"/>
    <d v="2023-06-27T00:00:00"/>
    <d v="2023-07-06T19:21:01"/>
    <m/>
    <d v="2023-07-06T00:00:00"/>
    <n v="1530"/>
    <n v="20829"/>
    <s v="61807950"/>
    <s v="61807950"/>
    <m/>
    <m/>
    <n v="22772526"/>
    <m/>
    <m/>
    <m/>
    <s v="SOLFIN"/>
    <s v="SOLFIN"/>
    <s v="CCMS"/>
    <n v="21338584"/>
    <n v="4127.99"/>
    <m/>
    <s v="N"/>
    <n v="31"/>
    <d v="2023-07-06T19:21:29"/>
    <s v="Y"/>
    <s v="Preparation - other"/>
    <s v="Prescribed Hourly Rates"/>
    <s v="Profit Cost"/>
    <s v="HW"/>
    <s v="Y"/>
    <n v="12.63"/>
    <n v="2.53"/>
    <x v="4"/>
    <s v="VALIDATED"/>
    <n v="1"/>
    <s v="01.11.80.307.6100.0000"/>
    <n v="12.63"/>
    <s v="11"/>
    <s v="6100"/>
    <n v="26754.22"/>
    <n v="12.63"/>
    <s v="CREDITOR"/>
    <n v="0"/>
    <n v="0"/>
    <n v="0"/>
    <n v="0"/>
    <n v="12.63"/>
  </r>
  <r>
    <n v="60658700"/>
    <s v="N"/>
    <n v="21349958"/>
    <s v="3000014912410007"/>
    <s v="CIVIL"/>
    <d v="2023-06-29T00:00:00"/>
    <d v="2023-07-10T19:01:40"/>
    <m/>
    <d v="2023-07-10T00:00:00"/>
    <n v="1530"/>
    <n v="20829"/>
    <s v="60658700"/>
    <s v="60658700"/>
    <m/>
    <m/>
    <n v="22793116"/>
    <m/>
    <m/>
    <m/>
    <s v="SOLFIN"/>
    <s v="SOLFIN"/>
    <s v="CCMS"/>
    <n v="21349958"/>
    <n v="15751.18"/>
    <m/>
    <s v="N"/>
    <n v="39"/>
    <d v="2023-07-10T19:02:04"/>
    <s v="Y"/>
    <s v="Preparation - other"/>
    <s v="Care Remuneration Hourly Rates"/>
    <s v="Profit Cost"/>
    <s v="HW"/>
    <s v="Y"/>
    <n v="22.87"/>
    <n v="4.57"/>
    <x v="2"/>
    <s v="VALIDATED"/>
    <n v="1"/>
    <s v="01.11.80.308.6100.0000"/>
    <n v="22.87"/>
    <s v="11"/>
    <s v="6100"/>
    <n v="26754.22"/>
    <n v="22.87"/>
    <s v="CREDITOR"/>
    <n v="0"/>
    <n v="0"/>
    <n v="0"/>
    <n v="0"/>
    <n v="22.87"/>
  </r>
  <r>
    <n v="61063328"/>
    <s v="N"/>
    <n v="21349708"/>
    <s v="3000015261150004"/>
    <s v="CIVIL"/>
    <d v="2023-06-28T00:00:00"/>
    <d v="2023-07-10T19:01:40"/>
    <m/>
    <d v="2023-07-10T00:00:00"/>
    <n v="1530"/>
    <n v="20829"/>
    <s v="61063328"/>
    <s v="61063328"/>
    <m/>
    <m/>
    <n v="22777778"/>
    <m/>
    <m/>
    <m/>
    <s v="SOLFIN"/>
    <s v="SOLFIN"/>
    <s v="CCMS"/>
    <n v="21349708"/>
    <n v="14156.17"/>
    <m/>
    <s v="N"/>
    <n v="34"/>
    <d v="2023-07-10T19:01:56"/>
    <s v="Y"/>
    <s v="Preparation - other"/>
    <s v="Care Remuneration Hourly Rates"/>
    <s v="Profit Cost"/>
    <s v="HW"/>
    <s v="Y"/>
    <n v="36.81"/>
    <n v="7.36"/>
    <x v="2"/>
    <s v="VALIDATED"/>
    <n v="1"/>
    <s v="01.11.80.308.6100.0000"/>
    <n v="36.81"/>
    <s v="11"/>
    <s v="6100"/>
    <n v="26754.22"/>
    <n v="36.81"/>
    <s v="CREDITOR"/>
    <n v="0"/>
    <n v="0"/>
    <n v="0"/>
    <n v="0"/>
    <n v="36.81"/>
  </r>
  <r>
    <n v="61807950"/>
    <s v="N"/>
    <n v="21338584"/>
    <s v="3000015879920001"/>
    <s v="CIVIL"/>
    <d v="2023-06-27T00:00:00"/>
    <d v="2023-07-06T19:21:01"/>
    <m/>
    <d v="2023-07-06T00:00:00"/>
    <n v="1530"/>
    <n v="20829"/>
    <s v="61807950"/>
    <s v="61807950"/>
    <m/>
    <m/>
    <n v="22772526"/>
    <m/>
    <m/>
    <m/>
    <s v="SOLFIN"/>
    <s v="SOLFIN"/>
    <s v="CCMS"/>
    <n v="21338584"/>
    <n v="4127.99"/>
    <m/>
    <s v="N"/>
    <n v="11"/>
    <d v="2023-07-06T19:21:29"/>
    <s v="Y"/>
    <s v="Preparation - other"/>
    <s v="Prescribed Hourly Rates"/>
    <s v="Profit Cost"/>
    <s v="HW"/>
    <s v="Y"/>
    <n v="37.88"/>
    <n v="7.58"/>
    <x v="4"/>
    <s v="VALIDATED"/>
    <n v="1"/>
    <s v="01.11.80.307.6100.0000"/>
    <n v="37.88"/>
    <s v="11"/>
    <s v="6100"/>
    <n v="26754.22"/>
    <n v="37.88"/>
    <s v="CREDITOR"/>
    <n v="0"/>
    <n v="0"/>
    <n v="0"/>
    <n v="0"/>
    <n v="37.88"/>
  </r>
  <r>
    <n v="60658700"/>
    <s v="N"/>
    <n v="21349958"/>
    <s v="3000014912410007"/>
    <s v="CIVIL"/>
    <d v="2023-06-29T00:00:00"/>
    <d v="2023-07-10T19:01:40"/>
    <m/>
    <d v="2023-07-10T00:00:00"/>
    <n v="1530"/>
    <n v="20829"/>
    <s v="60658700"/>
    <s v="60658700"/>
    <m/>
    <m/>
    <n v="22793116"/>
    <m/>
    <m/>
    <m/>
    <s v="SOLFIN"/>
    <s v="SOLFIN"/>
    <s v="CCMS"/>
    <n v="21349958"/>
    <n v="15751.18"/>
    <m/>
    <s v="N"/>
    <n v="106"/>
    <d v="2023-07-10T19:02:04"/>
    <s v="Y"/>
    <s v="Preparation - drafting attendance n"/>
    <s v="Care Remuneration Hourly Rates"/>
    <s v="Profit Cost"/>
    <s v="HW"/>
    <s v="Y"/>
    <n v="11.44"/>
    <n v="2.29"/>
    <x v="2"/>
    <s v="VALIDATED"/>
    <n v="1"/>
    <s v="01.11.80.308.6100.0000"/>
    <n v="11.44"/>
    <s v="11"/>
    <s v="6100"/>
    <n v="26754.22"/>
    <n v="11.44"/>
    <s v="CREDITOR"/>
    <n v="0"/>
    <n v="0"/>
    <n v="0"/>
    <n v="0"/>
    <n v="11.44"/>
  </r>
  <r>
    <n v="60658700"/>
    <s v="N"/>
    <n v="21349958"/>
    <s v="3000014912410007"/>
    <s v="CIVIL"/>
    <d v="2023-06-29T00:00:00"/>
    <d v="2023-07-10T19:01:40"/>
    <m/>
    <d v="2023-07-10T00:00:00"/>
    <n v="1530"/>
    <n v="20829"/>
    <s v="60658700"/>
    <s v="60658700"/>
    <m/>
    <m/>
    <n v="22793116"/>
    <m/>
    <m/>
    <m/>
    <s v="SOLFIN"/>
    <s v="SOLFIN"/>
    <s v="CCMS"/>
    <n v="21349958"/>
    <n v="15751.18"/>
    <m/>
    <s v="N"/>
    <n v="128"/>
    <d v="2023-07-10T19:02:04"/>
    <s v="Y"/>
    <s v="Preparation - other"/>
    <s v="Care Remuneration Hourly Rates"/>
    <s v="Profit Cost"/>
    <s v="HW"/>
    <s v="Y"/>
    <n v="8.6"/>
    <n v="1.72"/>
    <x v="2"/>
    <s v="VALIDATED"/>
    <n v="1"/>
    <s v="01.11.80.308.6100.0000"/>
    <n v="8.6"/>
    <s v="11"/>
    <s v="6100"/>
    <n v="26754.22"/>
    <n v="8.6"/>
    <s v="CREDITOR"/>
    <n v="0"/>
    <n v="0"/>
    <n v="0"/>
    <n v="0"/>
    <n v="8.6"/>
  </r>
  <r>
    <n v="61747945"/>
    <s v="N"/>
    <n v="21331125"/>
    <s v="3000015823030002"/>
    <s v="CIVIL"/>
    <d v="2023-06-19T00:00:00"/>
    <d v="2023-07-05T19:01:47"/>
    <m/>
    <d v="2023-07-05T00:00:00"/>
    <n v="1535"/>
    <n v="14354"/>
    <s v="61747945"/>
    <s v="61747945"/>
    <m/>
    <m/>
    <n v="22716444"/>
    <m/>
    <m/>
    <m/>
    <s v="SOLFIN"/>
    <s v="SOLFIN"/>
    <s v="CCMS"/>
    <n v="21331125"/>
    <n v="2568.36"/>
    <m/>
    <s v="N"/>
    <n v="2"/>
    <d v="2023-07-05T19:02:07"/>
    <s v="Y"/>
    <s v="Advocates Meeting"/>
    <s v="Public Law Children"/>
    <s v="Advocacy"/>
    <s v="JS"/>
    <s v="Y"/>
    <n v="140.99"/>
    <n v="28.2"/>
    <x v="6"/>
    <s v="VALIDATED"/>
    <n v="1"/>
    <s v="01.11.80.308.6100.0000"/>
    <n v="140.99"/>
    <s v="11"/>
    <s v="6100"/>
    <n v="2052.22"/>
    <n v="140.99"/>
    <s v="CREDITOR"/>
    <n v="0"/>
    <n v="0"/>
    <n v="0"/>
    <n v="0"/>
    <n v="140.99"/>
  </r>
  <r>
    <n v="61747945"/>
    <s v="N"/>
    <n v="21331125"/>
    <s v="3000015823030002"/>
    <s v="CIVIL"/>
    <d v="2023-06-19T00:00:00"/>
    <d v="2023-07-05T19:01:47"/>
    <m/>
    <d v="2023-07-05T00:00:00"/>
    <n v="1535"/>
    <n v="14354"/>
    <s v="61747945"/>
    <s v="61747945"/>
    <m/>
    <m/>
    <n v="22716444"/>
    <m/>
    <m/>
    <m/>
    <s v="SOLFIN"/>
    <s v="SOLFIN"/>
    <s v="CCMS"/>
    <n v="21331125"/>
    <n v="2568.36"/>
    <m/>
    <s v="N"/>
    <n v="4"/>
    <d v="2023-07-05T19:02:07"/>
    <s v="Y"/>
    <s v="Advocates Meeting"/>
    <s v="Public Law Children"/>
    <s v="Advocacy"/>
    <s v="JS"/>
    <s v="Y"/>
    <n v="140.99"/>
    <n v="28.2"/>
    <x v="6"/>
    <s v="VALIDATED"/>
    <n v="1"/>
    <s v="01.11.80.308.6100.0000"/>
    <n v="140.99"/>
    <s v="11"/>
    <s v="6100"/>
    <n v="2052.22"/>
    <n v="140.99"/>
    <s v="CREDITOR"/>
    <n v="0"/>
    <n v="0"/>
    <n v="0"/>
    <n v="0"/>
    <n v="140.99"/>
  </r>
  <r>
    <n v="61747945"/>
    <s v="N"/>
    <n v="21331125"/>
    <s v="3000015823030002"/>
    <s v="CIVIL"/>
    <d v="2023-06-19T00:00:00"/>
    <d v="2023-07-05T19:01:47"/>
    <m/>
    <d v="2023-07-05T00:00:00"/>
    <n v="1535"/>
    <n v="14354"/>
    <s v="61747945"/>
    <s v="61747945"/>
    <m/>
    <m/>
    <n v="22716444"/>
    <m/>
    <m/>
    <m/>
    <s v="SOLFIN"/>
    <s v="SOLFIN"/>
    <s v="CCMS"/>
    <n v="21331125"/>
    <n v="2568.36"/>
    <m/>
    <s v="N"/>
    <n v="3"/>
    <d v="2023-07-05T19:02:07"/>
    <s v="Y"/>
    <s v="Hearing Unit 2.31 - 5.00 Hours"/>
    <s v="Public Law Children"/>
    <s v="Advocacy"/>
    <s v="JS"/>
    <s v="Y"/>
    <n v="476.92"/>
    <n v="95.38"/>
    <x v="6"/>
    <s v="VALIDATED"/>
    <n v="1"/>
    <s v="01.11.80.308.6100.0000"/>
    <n v="476.92"/>
    <s v="11"/>
    <s v="6100"/>
    <n v="2052.22"/>
    <n v="476.92"/>
    <s v="CREDITOR"/>
    <n v="0"/>
    <n v="0"/>
    <n v="0"/>
    <n v="0"/>
    <n v="476.92"/>
  </r>
  <r>
    <n v="61747945"/>
    <s v="N"/>
    <n v="21331125"/>
    <s v="3000015823030002"/>
    <s v="CIVIL"/>
    <d v="2023-06-19T00:00:00"/>
    <d v="2023-07-05T19:01:47"/>
    <m/>
    <d v="2023-07-05T00:00:00"/>
    <n v="1535"/>
    <n v="14354"/>
    <s v="61747945"/>
    <s v="61747945"/>
    <m/>
    <m/>
    <n v="22716444"/>
    <m/>
    <m/>
    <m/>
    <s v="SOLFIN"/>
    <s v="SOLFIN"/>
    <s v="CCMS"/>
    <n v="21331125"/>
    <n v="2568.36"/>
    <m/>
    <s v="N"/>
    <n v="1"/>
    <d v="2023-07-05T19:02:07"/>
    <s v="Y"/>
    <s v="Toxicologist"/>
    <s v="Public Law Children"/>
    <s v="Expert Disbursement"/>
    <s v="JS"/>
    <s v="Y"/>
    <n v="73.40000000000001"/>
    <n v="14.68"/>
    <x v="6"/>
    <s v="VALIDATED"/>
    <n v="1"/>
    <s v="01.11.80.308.6300.0000"/>
    <n v="73.40000000000001"/>
    <s v="11"/>
    <s v="6300"/>
    <n v="2052.22"/>
    <n v="73.40000000000001"/>
    <s v="CREDITOR"/>
    <n v="0"/>
    <n v="0"/>
    <n v="0"/>
    <n v="0"/>
    <n v="73.40000000000001"/>
  </r>
  <r>
    <n v="61747945"/>
    <s v="N"/>
    <n v="21331125"/>
    <s v="3000015823030002"/>
    <s v="CIVIL"/>
    <d v="2023-06-19T00:00:00"/>
    <d v="2023-07-05T19:01:47"/>
    <m/>
    <d v="2023-07-05T00:00:00"/>
    <n v="1535"/>
    <n v="14354"/>
    <s v="61747945"/>
    <s v="61747945"/>
    <m/>
    <m/>
    <n v="22716444"/>
    <m/>
    <m/>
    <m/>
    <s v="SOLFIN"/>
    <s v="SOLFIN"/>
    <s v="CCMS"/>
    <n v="21331125"/>
    <n v="2568.36"/>
    <m/>
    <s v="N"/>
    <n v="5"/>
    <d v="2023-07-05T19:02:07"/>
    <s v="Y"/>
    <s v="Solicitors Fixed Fee"/>
    <s v="Public Law Children"/>
    <s v="Profit Cost"/>
    <s v="JS"/>
    <s v="Y"/>
    <n v="1308"/>
    <n v="261.6"/>
    <x v="6"/>
    <s v="VALIDATED"/>
    <n v="1"/>
    <s v="01.11.80.308.6100.0000"/>
    <n v="1308"/>
    <s v="11"/>
    <s v="6100"/>
    <n v="2052.22"/>
    <n v="1308"/>
    <s v="CREDITOR"/>
    <n v="0"/>
    <n v="0"/>
    <n v="0"/>
    <n v="0"/>
    <n v="1308"/>
  </r>
  <r>
    <n v="61747945"/>
    <s v="N"/>
    <n v="21333974"/>
    <s v="3000015823030001RC"/>
    <s v="CIVIL"/>
    <d v="2023-06-19T00:00:00"/>
    <d v="2023-07-05T19:42:28"/>
    <m/>
    <d v="2023-07-05T00:00:00"/>
    <n v="1535"/>
    <n v="14354"/>
    <s v="61747945"/>
    <s v="61747945"/>
    <m/>
    <m/>
    <m/>
    <m/>
    <m/>
    <m/>
    <s v="SOLRECOUP"/>
    <s v="SOLRECOUP"/>
    <s v="POARECOUP"/>
    <n v="21333974"/>
    <n v="-88.08"/>
    <m/>
    <s v="Y"/>
    <n v="1"/>
    <d v="2023-07-05T19:42:29"/>
    <s v="N"/>
    <m/>
    <m/>
    <s v="Non Expert Disbursement"/>
    <m/>
    <s v="N"/>
    <n v="-73.40000000000001"/>
    <n v="0"/>
    <x v="6"/>
    <s v="VALIDATED"/>
    <n v="1"/>
    <s v="01.11.80.308.2013.0000"/>
    <n v="-73.40000000000001"/>
    <s v="11"/>
    <s v="2013"/>
    <n v="2052.22"/>
    <n v="-73.40000000000001"/>
    <s v="CREDITOR"/>
    <n v="0"/>
    <n v="0"/>
    <n v="-73.40000000000001"/>
    <n v="0"/>
    <n v="0"/>
  </r>
  <r>
    <n v="61747945"/>
    <s v="N"/>
    <n v="21333974"/>
    <s v="3000015823030001RC"/>
    <s v="CIVIL"/>
    <d v="2023-06-19T00:00:00"/>
    <d v="2023-07-05T19:42:28"/>
    <m/>
    <d v="2023-07-05T00:00:00"/>
    <n v="1535"/>
    <n v="14354"/>
    <s v="61747945"/>
    <s v="61747945"/>
    <m/>
    <m/>
    <m/>
    <m/>
    <m/>
    <m/>
    <s v="SOLRECOUP"/>
    <s v="SOLRECOUP"/>
    <s v="POARECOUP"/>
    <n v="21333974"/>
    <n v="-88.08"/>
    <m/>
    <s v="Y"/>
    <n v="2"/>
    <d v="2023-07-05T19:42:29"/>
    <s v="N"/>
    <m/>
    <m/>
    <s v="Non Expert Disbursement"/>
    <m/>
    <s v="N"/>
    <n v="0"/>
    <n v="-14.68"/>
    <x v="6"/>
    <s v="VALIDATED"/>
    <n v="1"/>
    <s v="01.11.80.308.2013.0000"/>
    <n v="-14.68"/>
    <s v="11"/>
    <s v="2013"/>
    <n v="2052.22"/>
    <n v="-14.68"/>
    <s v="CREDITOR"/>
    <n v="0"/>
    <n v="0"/>
    <n v="-14.68"/>
    <n v="0"/>
    <n v="0"/>
  </r>
  <r>
    <n v="61436645"/>
    <s v="N"/>
    <n v="21328171"/>
    <s v="3000015570760002"/>
    <s v="CIVIL"/>
    <d v="2023-06-26T00:00:00"/>
    <d v="2023-07-04T19:00:44"/>
    <m/>
    <d v="2023-07-04T00:00:00"/>
    <n v="1540"/>
    <n v="969"/>
    <s v="61436645"/>
    <s v="61436645"/>
    <m/>
    <m/>
    <n v="22758698"/>
    <m/>
    <m/>
    <m/>
    <s v="SOLFIN"/>
    <s v="SOLFIN"/>
    <s v="CCMS"/>
    <n v="21328171"/>
    <n v="4913.31"/>
    <m/>
    <s v="N"/>
    <n v="4"/>
    <d v="2023-07-04T19:01:07"/>
    <s v="Y"/>
    <s v="Court Fee"/>
    <s v="Public Law Children"/>
    <s v="Non Expert Disbursement"/>
    <s v="EP"/>
    <s v="Y"/>
    <n v="53"/>
    <n v="0"/>
    <x v="1"/>
    <s v="VALIDATED"/>
    <n v="1"/>
    <s v="01.11.80.308.6300.0000"/>
    <n v="53"/>
    <s v="11"/>
    <s v="6300"/>
    <n v="9081.27"/>
    <n v="53"/>
    <s v="CREDITOR"/>
    <n v="0"/>
    <n v="0"/>
    <n v="0"/>
    <n v="0"/>
    <n v="53"/>
  </r>
  <r>
    <n v="61234046"/>
    <s v="N"/>
    <n v="21363799"/>
    <s v="3000015402820006"/>
    <s v="CIVIL"/>
    <d v="2023-06-02T00:00:00"/>
    <d v="2023-07-12T19:01:49"/>
    <m/>
    <d v="2023-07-12T00:00:00"/>
    <n v="1540"/>
    <n v="969"/>
    <s v="61234046"/>
    <s v="61234046"/>
    <m/>
    <m/>
    <n v="22604924"/>
    <m/>
    <m/>
    <m/>
    <s v="SOLFIN"/>
    <s v="SOLFIN"/>
    <s v="CCMS"/>
    <n v="21363799"/>
    <n v="6460.09"/>
    <m/>
    <s v="N"/>
    <n v="9"/>
    <d v="2023-07-12T19:02:11"/>
    <s v="Y"/>
    <s v="Hearing Unit 0.00 - 1.00 Hours"/>
    <s v="Public Law Children"/>
    <s v="Advocacy"/>
    <s v="JL"/>
    <s v="Y"/>
    <n v="95.40000000000001"/>
    <n v="19.08"/>
    <x v="0"/>
    <s v="VALIDATED"/>
    <n v="1"/>
    <s v="01.11.80.308.6100.0000"/>
    <n v="95.40000000000001"/>
    <s v="11"/>
    <s v="6100"/>
    <n v="9081.27"/>
    <n v="95.40000000000001"/>
    <s v="CREDITOR"/>
    <n v="0"/>
    <n v="0"/>
    <n v="0"/>
    <n v="0"/>
    <n v="95.40000000000001"/>
  </r>
  <r>
    <n v="60048207"/>
    <s v="N"/>
    <n v="21349853"/>
    <s v="3000014385730002"/>
    <s v="CIVIL"/>
    <d v="2023-06-29T00:00:00"/>
    <d v="2023-07-10T19:01:40"/>
    <m/>
    <d v="2023-07-10T00:00:00"/>
    <n v="1540"/>
    <n v="969"/>
    <s v="60048207"/>
    <s v="60048207"/>
    <m/>
    <m/>
    <n v="22791332"/>
    <m/>
    <m/>
    <m/>
    <s v="SOLFIN"/>
    <s v="SOLFIN"/>
    <s v="CCMS"/>
    <n v="21349853"/>
    <n v="1504.02"/>
    <m/>
    <s v="N"/>
    <n v="1"/>
    <d v="2023-07-10T19:01:59"/>
    <s v="Y"/>
    <s v="Routine Letter In"/>
    <s v="Prescribed Hourly Rates"/>
    <s v="Profit Cost"/>
    <s v="EP"/>
    <s v="Y"/>
    <n v="18.9"/>
    <n v="3.78"/>
    <x v="2"/>
    <s v="VALIDATED"/>
    <n v="1"/>
    <s v="01.11.80.305.6100.0000"/>
    <n v="18.9"/>
    <s v="11"/>
    <s v="6100"/>
    <n v="9081.27"/>
    <n v="18.9"/>
    <s v="CREDITOR"/>
    <n v="0"/>
    <n v="0"/>
    <n v="0"/>
    <n v="0"/>
    <n v="18.9"/>
  </r>
  <r>
    <n v="60048207"/>
    <s v="N"/>
    <n v="21349853"/>
    <s v="3000014385730002"/>
    <s v="CIVIL"/>
    <d v="2023-06-29T00:00:00"/>
    <d v="2023-07-10T19:01:40"/>
    <m/>
    <d v="2023-07-10T00:00:00"/>
    <n v="1540"/>
    <n v="969"/>
    <s v="60048207"/>
    <s v="60048207"/>
    <m/>
    <m/>
    <n v="22791332"/>
    <m/>
    <m/>
    <m/>
    <s v="SOLFIN"/>
    <s v="SOLFIN"/>
    <s v="CCMS"/>
    <n v="21349853"/>
    <n v="1504.02"/>
    <m/>
    <s v="N"/>
    <n v="4"/>
    <d v="2023-07-10T19:01:59"/>
    <s v="Y"/>
    <s v="Preparation - other"/>
    <s v="Prescribed Hourly Rates"/>
    <s v="Profit Cost"/>
    <s v="VC"/>
    <s v="Y"/>
    <n v="302.45"/>
    <n v="60.48"/>
    <x v="2"/>
    <s v="VALIDATED"/>
    <n v="1"/>
    <s v="01.11.80.305.6100.0000"/>
    <n v="302.45"/>
    <s v="11"/>
    <s v="6100"/>
    <n v="9081.27"/>
    <n v="302.45"/>
    <s v="CREDITOR"/>
    <n v="0"/>
    <n v="0"/>
    <n v="0"/>
    <n v="0"/>
    <n v="302.45"/>
  </r>
  <r>
    <n v="60048207"/>
    <s v="N"/>
    <n v="21349853"/>
    <s v="3000014385730002"/>
    <s v="CIVIL"/>
    <d v="2023-06-29T00:00:00"/>
    <d v="2023-07-10T19:01:40"/>
    <m/>
    <d v="2023-07-10T00:00:00"/>
    <n v="1540"/>
    <n v="969"/>
    <s v="60048207"/>
    <s v="60048207"/>
    <m/>
    <m/>
    <n v="22791332"/>
    <m/>
    <m/>
    <m/>
    <s v="SOLFIN"/>
    <s v="SOLFIN"/>
    <s v="CCMS"/>
    <n v="21349853"/>
    <n v="1504.02"/>
    <m/>
    <s v="N"/>
    <n v="8"/>
    <d v="2023-07-10T19:01:59"/>
    <s v="Y"/>
    <s v="Routine Letter Out"/>
    <s v="Prescribed Hourly Rates"/>
    <s v="Profit Cost"/>
    <s v="VC"/>
    <s v="Y"/>
    <n v="240.98"/>
    <n v="48.2"/>
    <x v="2"/>
    <s v="VALIDATED"/>
    <n v="1"/>
    <s v="01.11.80.305.6100.0000"/>
    <n v="240.98"/>
    <s v="11"/>
    <s v="6100"/>
    <n v="9081.27"/>
    <n v="240.98"/>
    <s v="CREDITOR"/>
    <n v="0"/>
    <n v="0"/>
    <n v="0"/>
    <n v="0"/>
    <n v="240.98"/>
  </r>
  <r>
    <n v="61436645"/>
    <s v="N"/>
    <n v="21328171"/>
    <s v="3000015570760002"/>
    <s v="CIVIL"/>
    <d v="2023-06-26T00:00:00"/>
    <d v="2023-07-04T19:00:44"/>
    <m/>
    <d v="2023-07-04T00:00:00"/>
    <n v="1540"/>
    <n v="969"/>
    <s v="61436645"/>
    <s v="61436645"/>
    <m/>
    <m/>
    <n v="22758698"/>
    <m/>
    <m/>
    <m/>
    <s v="SOLFIN"/>
    <s v="SOLFIN"/>
    <s v="CCMS"/>
    <n v="21328171"/>
    <n v="4913.31"/>
    <m/>
    <s v="N"/>
    <n v="1"/>
    <d v="2023-07-04T19:01:07"/>
    <s v="Y"/>
    <s v="Final Hearing Court Bundle/Advocate"/>
    <s v="Public Law Children"/>
    <s v="Advocacy"/>
    <s v="EP"/>
    <s v="Y"/>
    <n v="239.4"/>
    <n v="47.88"/>
    <x v="1"/>
    <s v="VALIDATED"/>
    <n v="1"/>
    <s v="01.11.80.308.6100.0000"/>
    <n v="239.4"/>
    <s v="11"/>
    <s v="6100"/>
    <n v="9081.27"/>
    <n v="239.4"/>
    <s v="CREDITOR"/>
    <n v="0"/>
    <n v="0"/>
    <n v="0"/>
    <n v="0"/>
    <n v="239.4"/>
  </r>
  <r>
    <n v="61436645"/>
    <s v="N"/>
    <n v="21328171"/>
    <s v="3000015570760002"/>
    <s v="CIVIL"/>
    <d v="2023-06-26T00:00:00"/>
    <d v="2023-07-04T19:00:44"/>
    <m/>
    <d v="2023-07-04T00:00:00"/>
    <n v="1540"/>
    <n v="969"/>
    <s v="61436645"/>
    <s v="61436645"/>
    <m/>
    <m/>
    <n v="22758698"/>
    <m/>
    <m/>
    <m/>
    <s v="SOLFIN"/>
    <s v="SOLFIN"/>
    <s v="CCMS"/>
    <n v="21328171"/>
    <n v="4913.31"/>
    <m/>
    <s v="N"/>
    <n v="9"/>
    <d v="2023-07-04T19:01:07"/>
    <s v="Y"/>
    <s v="Advocates Meeting"/>
    <s v="Public Law Children"/>
    <s v="Advocacy"/>
    <s v="EP"/>
    <s v="Y"/>
    <n v="140.99"/>
    <n v="28.2"/>
    <x v="1"/>
    <s v="VALIDATED"/>
    <n v="1"/>
    <s v="01.11.80.308.6100.0000"/>
    <n v="140.99"/>
    <s v="11"/>
    <s v="6100"/>
    <n v="9081.27"/>
    <n v="140.99"/>
    <s v="CREDITOR"/>
    <n v="0"/>
    <n v="0"/>
    <n v="0"/>
    <n v="0"/>
    <n v="140.99"/>
  </r>
  <r>
    <n v="60048207"/>
    <s v="N"/>
    <n v="21349853"/>
    <s v="3000014385730002"/>
    <s v="CIVIL"/>
    <d v="2023-06-29T00:00:00"/>
    <d v="2023-07-10T19:01:40"/>
    <m/>
    <d v="2023-07-10T00:00:00"/>
    <n v="1540"/>
    <n v="969"/>
    <s v="60048207"/>
    <s v="60048207"/>
    <m/>
    <m/>
    <n v="22791332"/>
    <m/>
    <m/>
    <m/>
    <s v="SOLFIN"/>
    <s v="SOLFIN"/>
    <s v="CCMS"/>
    <n v="21349853"/>
    <n v="1504.02"/>
    <m/>
    <s v="N"/>
    <n v="6"/>
    <d v="2023-07-10T19:01:59"/>
    <s v="Y"/>
    <s v="Attendance upon court"/>
    <s v="Prescribed Hourly Rates"/>
    <s v="Profit Cost"/>
    <s v="VC"/>
    <s v="Y"/>
    <n v="113.42"/>
    <n v="22.69"/>
    <x v="2"/>
    <s v="VALIDATED"/>
    <n v="1"/>
    <s v="01.11.80.305.6100.0000"/>
    <n v="113.42"/>
    <s v="11"/>
    <s v="6100"/>
    <n v="9081.27"/>
    <n v="113.42"/>
    <s v="CREDITOR"/>
    <n v="0"/>
    <n v="0"/>
    <n v="0"/>
    <n v="0"/>
    <n v="113.42"/>
  </r>
  <r>
    <n v="61234046"/>
    <s v="N"/>
    <n v="21363799"/>
    <s v="3000015402820006"/>
    <s v="CIVIL"/>
    <d v="2023-06-02T00:00:00"/>
    <d v="2023-07-12T19:01:49"/>
    <m/>
    <d v="2023-07-12T00:00:00"/>
    <n v="1540"/>
    <n v="969"/>
    <s v="61234046"/>
    <s v="61234046"/>
    <m/>
    <m/>
    <n v="22604924"/>
    <m/>
    <m/>
    <m/>
    <s v="SOLFIN"/>
    <s v="SOLFIN"/>
    <s v="CCMS"/>
    <n v="21363799"/>
    <n v="6460.09"/>
    <m/>
    <s v="N"/>
    <n v="2"/>
    <d v="2023-07-12T19:02:11"/>
    <s v="Y"/>
    <s v="Toxicologist"/>
    <s v="Public Law Children"/>
    <s v="Expert Disbursement"/>
    <s v="VC"/>
    <s v="Y"/>
    <n v="636"/>
    <n v="127.2"/>
    <x v="0"/>
    <s v="VALIDATED"/>
    <n v="1"/>
    <s v="01.11.80.308.6300.0000"/>
    <n v="636"/>
    <s v="11"/>
    <s v="6300"/>
    <n v="9081.27"/>
    <n v="636"/>
    <s v="CREDITOR"/>
    <n v="0"/>
    <n v="0"/>
    <n v="0"/>
    <n v="0"/>
    <n v="636"/>
  </r>
  <r>
    <n v="61234046"/>
    <s v="N"/>
    <n v="21363799"/>
    <s v="3000015402820006"/>
    <s v="CIVIL"/>
    <d v="2023-06-02T00:00:00"/>
    <d v="2023-07-12T19:01:49"/>
    <m/>
    <d v="2023-07-12T00:00:00"/>
    <n v="1540"/>
    <n v="969"/>
    <s v="61234046"/>
    <s v="61234046"/>
    <m/>
    <m/>
    <n v="22604924"/>
    <m/>
    <m/>
    <m/>
    <s v="SOLFIN"/>
    <s v="SOLFIN"/>
    <s v="CCMS"/>
    <n v="21363799"/>
    <n v="6460.09"/>
    <m/>
    <s v="N"/>
    <n v="3"/>
    <d v="2023-07-12T19:02:11"/>
    <s v="Y"/>
    <s v="Toxicologist"/>
    <s v="Public Law Children"/>
    <s v="Expert Disbursement"/>
    <s v="VC"/>
    <s v="Y"/>
    <n v="834"/>
    <n v="166.8"/>
    <x v="0"/>
    <s v="VALIDATED"/>
    <n v="1"/>
    <s v="01.11.80.308.6300.0000"/>
    <n v="834"/>
    <s v="11"/>
    <s v="6300"/>
    <n v="9081.27"/>
    <n v="834"/>
    <s v="CREDITOR"/>
    <n v="0"/>
    <n v="0"/>
    <n v="0"/>
    <n v="0"/>
    <n v="834"/>
  </r>
  <r>
    <n v="60048207"/>
    <s v="N"/>
    <n v="21349853"/>
    <s v="3000014385730002"/>
    <s v="CIVIL"/>
    <d v="2023-06-29T00:00:00"/>
    <d v="2023-07-10T19:01:40"/>
    <m/>
    <d v="2023-07-10T00:00:00"/>
    <n v="1540"/>
    <n v="969"/>
    <s v="60048207"/>
    <s v="60048207"/>
    <m/>
    <m/>
    <n v="22791332"/>
    <m/>
    <m/>
    <m/>
    <s v="SOLFIN"/>
    <s v="SOLFIN"/>
    <s v="CCMS"/>
    <n v="21349853"/>
    <n v="1504.02"/>
    <m/>
    <s v="N"/>
    <n v="7"/>
    <d v="2023-07-10T19:01:59"/>
    <s v="Y"/>
    <s v="Advocacy - Other Hearing"/>
    <s v="Prescribed Hourly Rates"/>
    <s v="Advocacy"/>
    <s v="VC"/>
    <s v="Y"/>
    <n v="30.25"/>
    <n v="6.05"/>
    <x v="2"/>
    <s v="VALIDATED"/>
    <n v="1"/>
    <s v="01.11.80.305.6100.0000"/>
    <n v="30.25"/>
    <s v="11"/>
    <s v="6100"/>
    <n v="9081.27"/>
    <n v="30.25"/>
    <s v="CREDITOR"/>
    <n v="0"/>
    <n v="0"/>
    <n v="0"/>
    <n v="0"/>
    <n v="30.25"/>
  </r>
  <r>
    <n v="61436645"/>
    <s v="N"/>
    <n v="21328171"/>
    <s v="3000015570760002"/>
    <s v="CIVIL"/>
    <d v="2023-06-26T00:00:00"/>
    <d v="2023-07-04T19:00:44"/>
    <m/>
    <d v="2023-07-04T00:00:00"/>
    <n v="1540"/>
    <n v="969"/>
    <s v="61436645"/>
    <s v="61436645"/>
    <m/>
    <m/>
    <n v="22758698"/>
    <m/>
    <m/>
    <m/>
    <s v="SOLFIN"/>
    <s v="SOLFIN"/>
    <s v="CCMS"/>
    <n v="21328171"/>
    <n v="4913.31"/>
    <m/>
    <s v="N"/>
    <n v="3"/>
    <d v="2023-07-04T19:01:07"/>
    <s v="Y"/>
    <s v="Court Fee"/>
    <s v="Public Law Children"/>
    <s v="Non Expert Disbursement"/>
    <s v="EP"/>
    <s v="Y"/>
    <n v="167"/>
    <n v="0"/>
    <x v="1"/>
    <s v="VALIDATED"/>
    <n v="1"/>
    <s v="01.11.80.308.6300.0000"/>
    <n v="167"/>
    <s v="11"/>
    <s v="6300"/>
    <n v="9081.27"/>
    <n v="167"/>
    <s v="CREDITOR"/>
    <n v="0"/>
    <n v="0"/>
    <n v="0"/>
    <n v="0"/>
    <n v="167"/>
  </r>
  <r>
    <n v="61234046"/>
    <s v="N"/>
    <n v="21363799"/>
    <s v="3000015402820006"/>
    <s v="CIVIL"/>
    <d v="2023-06-02T00:00:00"/>
    <d v="2023-07-12T19:01:49"/>
    <m/>
    <d v="2023-07-12T00:00:00"/>
    <n v="1540"/>
    <n v="969"/>
    <s v="61234046"/>
    <s v="61234046"/>
    <m/>
    <m/>
    <n v="22604924"/>
    <m/>
    <m/>
    <m/>
    <s v="SOLFIN"/>
    <s v="SOLFIN"/>
    <s v="CCMS"/>
    <n v="21363799"/>
    <n v="6460.09"/>
    <m/>
    <s v="N"/>
    <n v="8"/>
    <d v="2023-07-12T19:02:11"/>
    <s v="Y"/>
    <s v="Final Hearing - 1 Day"/>
    <s v="Public Law Children"/>
    <s v="Advocacy"/>
    <s v="VC"/>
    <s v="Y"/>
    <n v="556.88"/>
    <n v="111.38"/>
    <x v="0"/>
    <s v="VALIDATED"/>
    <n v="1"/>
    <s v="01.11.80.308.6100.0000"/>
    <n v="556.88"/>
    <s v="11"/>
    <s v="6100"/>
    <n v="9081.27"/>
    <n v="556.88"/>
    <s v="CREDITOR"/>
    <n v="0"/>
    <n v="0"/>
    <n v="0"/>
    <n v="0"/>
    <n v="556.88"/>
  </r>
  <r>
    <n v="61234046"/>
    <s v="N"/>
    <n v="21363799"/>
    <s v="3000015402820006"/>
    <s v="CIVIL"/>
    <d v="2023-06-02T00:00:00"/>
    <d v="2023-07-12T19:01:49"/>
    <m/>
    <d v="2023-07-12T00:00:00"/>
    <n v="1540"/>
    <n v="969"/>
    <s v="61234046"/>
    <s v="61234046"/>
    <m/>
    <m/>
    <n v="22604924"/>
    <m/>
    <m/>
    <m/>
    <s v="SOLFIN"/>
    <s v="SOLFIN"/>
    <s v="CCMS"/>
    <n v="21363799"/>
    <n v="6460.09"/>
    <m/>
    <s v="N"/>
    <n v="5"/>
    <d v="2023-07-12T19:02:11"/>
    <s v="Y"/>
    <s v="Solicitor Travel Expenses"/>
    <s v="Public Law Children"/>
    <s v="Non Expert Disbursement"/>
    <s v="VC"/>
    <s v="Y"/>
    <n v="2"/>
    <n v="0"/>
    <x v="0"/>
    <s v="VALIDATED"/>
    <n v="1"/>
    <s v="01.11.80.308.6300.0000"/>
    <n v="2"/>
    <s v="11"/>
    <s v="6300"/>
    <n v="9081.27"/>
    <n v="2"/>
    <s v="CREDITOR"/>
    <n v="0"/>
    <n v="0"/>
    <n v="0"/>
    <n v="0"/>
    <n v="2"/>
  </r>
  <r>
    <n v="61436645"/>
    <s v="N"/>
    <n v="21328171"/>
    <s v="3000015570760002"/>
    <s v="CIVIL"/>
    <d v="2023-06-26T00:00:00"/>
    <d v="2023-07-04T19:00:44"/>
    <m/>
    <d v="2023-07-04T00:00:00"/>
    <n v="1540"/>
    <n v="969"/>
    <s v="61436645"/>
    <s v="61436645"/>
    <m/>
    <m/>
    <n v="22758698"/>
    <m/>
    <m/>
    <m/>
    <s v="SOLFIN"/>
    <s v="SOLFIN"/>
    <s v="CCMS"/>
    <n v="21328171"/>
    <n v="4913.31"/>
    <m/>
    <s v="N"/>
    <n v="6"/>
    <d v="2023-07-04T19:01:07"/>
    <s v="Y"/>
    <s v="Solicitor Travel Mileage"/>
    <s v="Public Law Children"/>
    <s v="Non Expert Disbursement"/>
    <s v="EP"/>
    <s v="Y"/>
    <n v="12.6"/>
    <n v="2.52"/>
    <x v="1"/>
    <s v="VALIDATED"/>
    <n v="1"/>
    <s v="01.11.80.308.6300.0000"/>
    <n v="12.6"/>
    <s v="11"/>
    <s v="6300"/>
    <n v="9081.27"/>
    <n v="12.6"/>
    <s v="CREDITOR"/>
    <n v="0"/>
    <n v="0"/>
    <n v="0"/>
    <n v="0"/>
    <n v="12.6"/>
  </r>
  <r>
    <n v="60048207"/>
    <s v="N"/>
    <n v="21349853"/>
    <s v="3000014385730002"/>
    <s v="CIVIL"/>
    <d v="2023-06-29T00:00:00"/>
    <d v="2023-07-10T19:01:40"/>
    <m/>
    <d v="2023-07-10T00:00:00"/>
    <n v="1540"/>
    <n v="969"/>
    <s v="60048207"/>
    <s v="60048207"/>
    <m/>
    <m/>
    <n v="22791332"/>
    <m/>
    <m/>
    <m/>
    <s v="SOLFIN"/>
    <s v="SOLFIN"/>
    <s v="CCMS"/>
    <n v="21349853"/>
    <n v="1504.02"/>
    <m/>
    <s v="N"/>
    <n v="5"/>
    <d v="2023-07-10T19:01:59"/>
    <s v="Y"/>
    <s v="Preparation - other"/>
    <s v="Prescribed Hourly Rates"/>
    <s v="Profit Cost"/>
    <s v="VC"/>
    <s v="Y"/>
    <n v="151.23"/>
    <n v="30.25"/>
    <x v="2"/>
    <s v="VALIDATED"/>
    <n v="1"/>
    <s v="01.11.80.305.6100.0000"/>
    <n v="151.23"/>
    <s v="11"/>
    <s v="6100"/>
    <n v="9081.27"/>
    <n v="151.23"/>
    <s v="CREDITOR"/>
    <n v="0"/>
    <n v="0"/>
    <n v="0"/>
    <n v="0"/>
    <n v="151.23"/>
  </r>
  <r>
    <n v="61436645"/>
    <s v="N"/>
    <n v="21328171"/>
    <s v="3000015570760002"/>
    <s v="CIVIL"/>
    <d v="2023-06-26T00:00:00"/>
    <d v="2023-07-04T19:00:44"/>
    <m/>
    <d v="2023-07-04T00:00:00"/>
    <n v="1540"/>
    <n v="969"/>
    <s v="61436645"/>
    <s v="61436645"/>
    <m/>
    <m/>
    <n v="22758698"/>
    <m/>
    <m/>
    <m/>
    <s v="SOLFIN"/>
    <s v="SOLFIN"/>
    <s v="CCMS"/>
    <n v="21328171"/>
    <n v="4913.31"/>
    <m/>
    <s v="N"/>
    <n v="8"/>
    <d v="2023-07-04T19:01:07"/>
    <s v="Y"/>
    <s v="Final Hearing - 1 Day"/>
    <s v="Public Law Children"/>
    <s v="Advocacy"/>
    <s v="EP"/>
    <s v="Y"/>
    <n v="556.88"/>
    <n v="111.38"/>
    <x v="1"/>
    <s v="VALIDATED"/>
    <n v="1"/>
    <s v="01.11.80.308.6100.0000"/>
    <n v="556.88"/>
    <s v="11"/>
    <s v="6100"/>
    <n v="9081.27"/>
    <n v="556.88"/>
    <s v="CREDITOR"/>
    <n v="0"/>
    <n v="0"/>
    <n v="0"/>
    <n v="0"/>
    <n v="556.88"/>
  </r>
  <r>
    <n v="61436645"/>
    <s v="N"/>
    <n v="21328171"/>
    <s v="3000015570760002"/>
    <s v="CIVIL"/>
    <d v="2023-06-26T00:00:00"/>
    <d v="2023-07-04T19:00:44"/>
    <m/>
    <d v="2023-07-04T00:00:00"/>
    <n v="1540"/>
    <n v="969"/>
    <s v="61436645"/>
    <s v="61436645"/>
    <m/>
    <m/>
    <n v="22758698"/>
    <m/>
    <m/>
    <m/>
    <s v="SOLFIN"/>
    <s v="SOLFIN"/>
    <s v="CCMS"/>
    <n v="21328171"/>
    <n v="4913.31"/>
    <m/>
    <s v="N"/>
    <n v="2"/>
    <d v="2023-07-04T19:01:07"/>
    <s v="Y"/>
    <s v="Interim Hearing Court Bundle/Advoca"/>
    <s v="Public Law Children"/>
    <s v="Advocacy"/>
    <s v="JL"/>
    <s v="Y"/>
    <n v="89.09999999999999"/>
    <n v="17.82"/>
    <x v="1"/>
    <s v="VALIDATED"/>
    <n v="1"/>
    <s v="01.11.80.308.6100.0000"/>
    <n v="89.09999999999999"/>
    <s v="11"/>
    <s v="6100"/>
    <n v="9081.27"/>
    <n v="89.09999999999999"/>
    <s v="CREDITOR"/>
    <n v="0"/>
    <n v="0"/>
    <n v="0"/>
    <n v="0"/>
    <n v="89.09999999999999"/>
  </r>
  <r>
    <n v="60048207"/>
    <s v="N"/>
    <n v="21349853"/>
    <s v="3000014385730002"/>
    <s v="CIVIL"/>
    <d v="2023-06-29T00:00:00"/>
    <d v="2023-07-10T19:01:40"/>
    <m/>
    <d v="2023-07-10T00:00:00"/>
    <n v="1540"/>
    <n v="969"/>
    <s v="60048207"/>
    <s v="60048207"/>
    <m/>
    <m/>
    <n v="22791332"/>
    <m/>
    <m/>
    <m/>
    <s v="SOLFIN"/>
    <s v="SOLFIN"/>
    <s v="CCMS"/>
    <n v="21349853"/>
    <n v="1504.02"/>
    <m/>
    <s v="N"/>
    <n v="2"/>
    <d v="2023-07-10T19:01:59"/>
    <s v="Y"/>
    <s v="Preparation - drafting bill/claim f"/>
    <s v="Prescribed Hourly Rates"/>
    <s v="Profit Cost"/>
    <s v="TG"/>
    <s v="Y"/>
    <n v="32.88"/>
    <n v="6.58"/>
    <x v="2"/>
    <s v="VALIDATED"/>
    <n v="1"/>
    <s v="01.11.80.305.6100.0000"/>
    <n v="32.88"/>
    <s v="11"/>
    <s v="6100"/>
    <n v="9081.27"/>
    <n v="32.88"/>
    <s v="CREDITOR"/>
    <n v="0"/>
    <n v="0"/>
    <n v="0"/>
    <n v="0"/>
    <n v="32.88"/>
  </r>
  <r>
    <n v="61234046"/>
    <s v="N"/>
    <n v="21363799"/>
    <s v="3000015402820006"/>
    <s v="CIVIL"/>
    <d v="2023-06-02T00:00:00"/>
    <d v="2023-07-12T19:01:49"/>
    <m/>
    <d v="2023-07-12T00:00:00"/>
    <n v="1540"/>
    <n v="969"/>
    <s v="61234046"/>
    <s v="61234046"/>
    <m/>
    <m/>
    <n v="22604924"/>
    <m/>
    <m/>
    <m/>
    <s v="SOLFIN"/>
    <s v="SOLFIN"/>
    <s v="CCMS"/>
    <n v="21363799"/>
    <n v="6460.09"/>
    <m/>
    <s v="N"/>
    <n v="7"/>
    <d v="2023-07-12T19:02:11"/>
    <s v="Y"/>
    <s v="Hearing Unit 2.31 - 5.00 Hours"/>
    <s v="Public Law Children"/>
    <s v="Advocacy"/>
    <s v="VC"/>
    <s v="Y"/>
    <n v="476.92"/>
    <n v="95.38"/>
    <x v="0"/>
    <s v="VALIDATED"/>
    <n v="1"/>
    <s v="01.11.80.308.6100.0000"/>
    <n v="476.92"/>
    <s v="11"/>
    <s v="6100"/>
    <n v="9081.27"/>
    <n v="476.92"/>
    <s v="CREDITOR"/>
    <n v="0"/>
    <n v="0"/>
    <n v="0"/>
    <n v="0"/>
    <n v="476.92"/>
  </r>
  <r>
    <n v="61234046"/>
    <s v="N"/>
    <n v="21363799"/>
    <s v="3000015402820006"/>
    <s v="CIVIL"/>
    <d v="2023-06-02T00:00:00"/>
    <d v="2023-07-12T19:01:49"/>
    <m/>
    <d v="2023-07-12T00:00:00"/>
    <n v="1540"/>
    <n v="969"/>
    <s v="61234046"/>
    <s v="61234046"/>
    <m/>
    <m/>
    <n v="22604924"/>
    <m/>
    <m/>
    <m/>
    <s v="SOLFIN"/>
    <s v="SOLFIN"/>
    <s v="CCMS"/>
    <n v="21363799"/>
    <n v="6460.09"/>
    <m/>
    <s v="N"/>
    <n v="6"/>
    <d v="2023-07-12T19:02:11"/>
    <s v="Y"/>
    <s v="Advocates Meeting"/>
    <s v="Public Law Children"/>
    <s v="Advocacy"/>
    <s v="VC"/>
    <s v="Y"/>
    <n v="140.99"/>
    <n v="28.2"/>
    <x v="0"/>
    <s v="VALIDATED"/>
    <n v="1"/>
    <s v="01.11.80.308.6100.0000"/>
    <n v="140.99"/>
    <s v="11"/>
    <s v="6100"/>
    <n v="9081.27"/>
    <n v="140.99"/>
    <s v="CREDITOR"/>
    <n v="0"/>
    <n v="0"/>
    <n v="0"/>
    <n v="0"/>
    <n v="140.99"/>
  </r>
  <r>
    <n v="61436645"/>
    <s v="N"/>
    <n v="21328171"/>
    <s v="3000015570760002"/>
    <s v="CIVIL"/>
    <d v="2023-06-26T00:00:00"/>
    <d v="2023-07-04T19:00:44"/>
    <m/>
    <d v="2023-07-04T00:00:00"/>
    <n v="1540"/>
    <n v="969"/>
    <s v="61436645"/>
    <s v="61436645"/>
    <m/>
    <m/>
    <n v="22758698"/>
    <m/>
    <m/>
    <m/>
    <s v="SOLFIN"/>
    <s v="SOLFIN"/>
    <s v="CCMS"/>
    <n v="21328171"/>
    <n v="4913.31"/>
    <m/>
    <s v="N"/>
    <n v="7"/>
    <d v="2023-07-04T19:01:07"/>
    <s v="Y"/>
    <s v="Solicitor Travel Mileage"/>
    <s v="Public Law Children"/>
    <s v="Non Expert Disbursement"/>
    <s v="EP"/>
    <s v="Y"/>
    <n v="12.6"/>
    <n v="2.52"/>
    <x v="1"/>
    <s v="VALIDATED"/>
    <n v="1"/>
    <s v="01.11.80.308.6300.0000"/>
    <n v="12.6"/>
    <s v="11"/>
    <s v="6300"/>
    <n v="9081.27"/>
    <n v="12.6"/>
    <s v="CREDITOR"/>
    <n v="0"/>
    <n v="0"/>
    <n v="0"/>
    <n v="0"/>
    <n v="12.6"/>
  </r>
  <r>
    <n v="60048207"/>
    <s v="N"/>
    <n v="21349853"/>
    <s v="3000014385730002"/>
    <s v="CIVIL"/>
    <d v="2023-06-29T00:00:00"/>
    <d v="2023-07-10T19:01:40"/>
    <m/>
    <d v="2023-07-10T00:00:00"/>
    <n v="1540"/>
    <n v="969"/>
    <s v="60048207"/>
    <s v="60048207"/>
    <m/>
    <m/>
    <n v="22791332"/>
    <m/>
    <m/>
    <m/>
    <s v="SOLFIN"/>
    <s v="SOLFIN"/>
    <s v="CCMS"/>
    <n v="21349853"/>
    <n v="1504.02"/>
    <m/>
    <s v="N"/>
    <n v="9"/>
    <d v="2023-07-10T19:01:59"/>
    <s v="Y"/>
    <s v="Routine Letter In"/>
    <s v="Prescribed Hourly Rates"/>
    <s v="Profit Cost"/>
    <s v="VC"/>
    <s v="Y"/>
    <n v="144.9"/>
    <n v="28.98"/>
    <x v="2"/>
    <s v="VALIDATED"/>
    <n v="1"/>
    <s v="01.11.80.305.6100.0000"/>
    <n v="144.9"/>
    <s v="11"/>
    <s v="6100"/>
    <n v="9081.27"/>
    <n v="144.9"/>
    <s v="CREDITOR"/>
    <n v="0"/>
    <n v="0"/>
    <n v="0"/>
    <n v="0"/>
    <n v="144.9"/>
  </r>
  <r>
    <n v="61436645"/>
    <s v="N"/>
    <n v="21328171"/>
    <s v="3000015570760002"/>
    <s v="CIVIL"/>
    <d v="2023-06-26T00:00:00"/>
    <d v="2023-07-04T19:00:44"/>
    <m/>
    <d v="2023-07-04T00:00:00"/>
    <n v="1540"/>
    <n v="969"/>
    <s v="61436645"/>
    <s v="61436645"/>
    <m/>
    <m/>
    <n v="22758698"/>
    <m/>
    <m/>
    <m/>
    <s v="SOLFIN"/>
    <s v="SOLFIN"/>
    <s v="CCMS"/>
    <n v="21328171"/>
    <n v="4913.31"/>
    <m/>
    <s v="N"/>
    <n v="5"/>
    <d v="2023-07-04T19:01:07"/>
    <s v="Y"/>
    <s v="Solicitor Travel Mileage"/>
    <s v="Public Law Children"/>
    <s v="Non Expert Disbursement"/>
    <s v="EP"/>
    <s v="Y"/>
    <n v="12.6"/>
    <n v="2.52"/>
    <x v="1"/>
    <s v="VALIDATED"/>
    <n v="1"/>
    <s v="01.11.80.308.6300.0000"/>
    <n v="12.6"/>
    <s v="11"/>
    <s v="6300"/>
    <n v="9081.27"/>
    <n v="12.6"/>
    <s v="CREDITOR"/>
    <n v="0"/>
    <n v="0"/>
    <n v="0"/>
    <n v="0"/>
    <n v="12.6"/>
  </r>
  <r>
    <n v="60048207"/>
    <s v="N"/>
    <n v="21349853"/>
    <s v="3000014385730002"/>
    <s v="CIVIL"/>
    <d v="2023-06-29T00:00:00"/>
    <d v="2023-07-10T19:01:40"/>
    <m/>
    <d v="2023-07-10T00:00:00"/>
    <n v="1540"/>
    <n v="969"/>
    <s v="60048207"/>
    <s v="60048207"/>
    <m/>
    <m/>
    <n v="22791332"/>
    <m/>
    <m/>
    <m/>
    <s v="SOLFIN"/>
    <s v="SOLFIN"/>
    <s v="CCMS"/>
    <n v="21349853"/>
    <n v="1504.02"/>
    <m/>
    <s v="N"/>
    <n v="3"/>
    <d v="2023-07-10T19:01:59"/>
    <s v="Y"/>
    <s v="Routine Letter Out"/>
    <s v="Prescribed Hourly Rates"/>
    <s v="Profit Cost"/>
    <s v="EP"/>
    <s v="Y"/>
    <n v="82.55"/>
    <n v="16.51"/>
    <x v="2"/>
    <s v="VALIDATED"/>
    <n v="1"/>
    <s v="01.11.80.305.6100.0000"/>
    <n v="82.55"/>
    <s v="11"/>
    <s v="6100"/>
    <n v="9081.27"/>
    <n v="82.55"/>
    <s v="CREDITOR"/>
    <n v="0"/>
    <n v="0"/>
    <n v="0"/>
    <n v="0"/>
    <n v="82.55"/>
  </r>
  <r>
    <n v="61234046"/>
    <s v="N"/>
    <n v="21363799"/>
    <s v="3000015402820006"/>
    <s v="CIVIL"/>
    <d v="2023-06-02T00:00:00"/>
    <d v="2023-07-12T19:01:49"/>
    <m/>
    <d v="2023-07-12T00:00:00"/>
    <n v="1540"/>
    <n v="969"/>
    <s v="61234046"/>
    <s v="61234046"/>
    <m/>
    <m/>
    <n v="22604924"/>
    <m/>
    <m/>
    <m/>
    <s v="SOLFIN"/>
    <s v="SOLFIN"/>
    <s v="CCMS"/>
    <n v="21363799"/>
    <n v="6460.09"/>
    <m/>
    <s v="N"/>
    <n v="1"/>
    <d v="2023-07-12T19:02:11"/>
    <s v="Y"/>
    <s v="Final Hearing Court Bundle/Advocate"/>
    <s v="Public Law Children"/>
    <s v="Advocacy"/>
    <s v="VC"/>
    <s v="Y"/>
    <n v="159.3"/>
    <n v="31.86"/>
    <x v="0"/>
    <s v="VALIDATED"/>
    <n v="1"/>
    <s v="01.11.80.308.6100.0000"/>
    <n v="159.3"/>
    <s v="11"/>
    <s v="6100"/>
    <n v="9081.27"/>
    <n v="159.3"/>
    <s v="CREDITOR"/>
    <n v="0"/>
    <n v="0"/>
    <n v="0"/>
    <n v="0"/>
    <n v="159.3"/>
  </r>
  <r>
    <n v="62298570"/>
    <s v="N"/>
    <n v="21331177"/>
    <s v="3000016290530001"/>
    <s v="CIVIL"/>
    <d v="2023-06-27T00:00:00"/>
    <d v="2023-07-05T19:01:47"/>
    <m/>
    <d v="2023-07-05T00:00:00"/>
    <n v="1540"/>
    <n v="969"/>
    <s v="62298570"/>
    <s v="62298570"/>
    <m/>
    <m/>
    <n v="22772822"/>
    <m/>
    <m/>
    <m/>
    <s v="SOLFIN"/>
    <s v="SOLFIN"/>
    <s v="CCMS"/>
    <n v="21331177"/>
    <n v="837.36"/>
    <m/>
    <s v="N"/>
    <n v="2"/>
    <d v="2023-07-05T19:02:09"/>
    <s v="Y"/>
    <s v="Level 3 Fixed Fee"/>
    <s v="Private Law Children"/>
    <s v="Profit Cost"/>
    <s v="JL"/>
    <s v="Y"/>
    <n v="353"/>
    <n v="70.59999999999999"/>
    <x v="6"/>
    <s v="VALIDATED"/>
    <n v="1"/>
    <s v="01.11.80.307.6100.0000"/>
    <n v="353"/>
    <s v="11"/>
    <s v="6100"/>
    <n v="9081.27"/>
    <n v="353"/>
    <s v="CREDITOR"/>
    <n v="0"/>
    <n v="0"/>
    <n v="0"/>
    <n v="0"/>
    <n v="353"/>
  </r>
  <r>
    <n v="61234046"/>
    <s v="N"/>
    <n v="21363799"/>
    <s v="3000015402820006"/>
    <s v="CIVIL"/>
    <d v="2023-06-02T00:00:00"/>
    <d v="2023-07-12T19:01:49"/>
    <m/>
    <d v="2023-07-12T00:00:00"/>
    <n v="1540"/>
    <n v="969"/>
    <s v="61234046"/>
    <s v="61234046"/>
    <m/>
    <m/>
    <n v="22604924"/>
    <m/>
    <m/>
    <m/>
    <s v="SOLFIN"/>
    <s v="SOLFIN"/>
    <s v="CCMS"/>
    <n v="21363799"/>
    <n v="6460.09"/>
    <m/>
    <s v="N"/>
    <n v="4"/>
    <d v="2023-07-12T19:02:11"/>
    <s v="Y"/>
    <s v="Toxicologist"/>
    <s v="Public Law Children"/>
    <s v="Expert Disbursement"/>
    <s v="VC"/>
    <s v="Y"/>
    <n v="517.25"/>
    <n v="103.45"/>
    <x v="0"/>
    <s v="VALIDATED"/>
    <n v="1"/>
    <s v="01.11.80.308.6300.0000"/>
    <n v="517.25"/>
    <s v="11"/>
    <s v="6300"/>
    <n v="9081.27"/>
    <n v="517.25"/>
    <s v="CREDITOR"/>
    <n v="0"/>
    <n v="0"/>
    <n v="0"/>
    <n v="0"/>
    <n v="517.25"/>
  </r>
  <r>
    <n v="62298570"/>
    <s v="N"/>
    <n v="21331177"/>
    <s v="3000016290530001"/>
    <s v="CIVIL"/>
    <d v="2023-06-27T00:00:00"/>
    <d v="2023-07-05T19:01:47"/>
    <m/>
    <d v="2023-07-05T00:00:00"/>
    <n v="1540"/>
    <n v="969"/>
    <s v="62298570"/>
    <s v="62298570"/>
    <m/>
    <m/>
    <n v="22772822"/>
    <m/>
    <m/>
    <m/>
    <s v="SOLFIN"/>
    <s v="SOLFIN"/>
    <s v="CCMS"/>
    <n v="21331177"/>
    <n v="837.36"/>
    <m/>
    <s v="N"/>
    <n v="1"/>
    <d v="2023-07-05T19:02:09"/>
    <s v="Y"/>
    <s v="Hearing Unit 2.31 - 5.00 Hours"/>
    <s v="Private Law Children"/>
    <s v="Advocacy"/>
    <s v="JL"/>
    <s v="Y"/>
    <n v="344.8"/>
    <n v="68.95999999999999"/>
    <x v="6"/>
    <s v="VALIDATED"/>
    <n v="1"/>
    <s v="01.11.80.307.6100.0000"/>
    <n v="344.8"/>
    <s v="11"/>
    <s v="6100"/>
    <n v="9081.27"/>
    <n v="344.8"/>
    <s v="CREDITOR"/>
    <n v="0"/>
    <n v="0"/>
    <n v="0"/>
    <n v="0"/>
    <n v="344.8"/>
  </r>
  <r>
    <n v="61436645"/>
    <s v="N"/>
    <n v="21328171"/>
    <s v="3000015570760002"/>
    <s v="CIVIL"/>
    <d v="2023-06-26T00:00:00"/>
    <d v="2023-07-04T19:00:44"/>
    <m/>
    <d v="2023-07-04T00:00:00"/>
    <n v="1540"/>
    <n v="969"/>
    <s v="61436645"/>
    <s v="61436645"/>
    <m/>
    <m/>
    <n v="22758698"/>
    <m/>
    <m/>
    <m/>
    <s v="SOLFIN"/>
    <s v="SOLFIN"/>
    <s v="CCMS"/>
    <n v="21328171"/>
    <n v="4913.31"/>
    <m/>
    <s v="N"/>
    <n v="11"/>
    <d v="2023-07-04T19:01:07"/>
    <s v="Y"/>
    <s v="Solicitors Fixed Fee"/>
    <s v="Public Law Children"/>
    <s v="Profit Cost"/>
    <s v="EP"/>
    <s v="Y"/>
    <n v="2370"/>
    <n v="474"/>
    <x v="1"/>
    <s v="VALIDATED"/>
    <n v="1"/>
    <s v="01.11.80.308.6100.0000"/>
    <n v="2370"/>
    <s v="11"/>
    <s v="6100"/>
    <n v="9081.27"/>
    <n v="2370"/>
    <s v="CREDITOR"/>
    <n v="0"/>
    <n v="0"/>
    <n v="0"/>
    <n v="0"/>
    <n v="2370"/>
  </r>
  <r>
    <n v="60048207"/>
    <s v="N"/>
    <n v="21349853"/>
    <s v="3000014385730002"/>
    <s v="CIVIL"/>
    <d v="2023-06-29T00:00:00"/>
    <d v="2023-07-10T19:01:40"/>
    <m/>
    <d v="2023-07-10T00:00:00"/>
    <n v="1540"/>
    <n v="969"/>
    <s v="60048207"/>
    <s v="60048207"/>
    <m/>
    <m/>
    <n v="22791332"/>
    <m/>
    <m/>
    <m/>
    <s v="SOLFIN"/>
    <s v="SOLFIN"/>
    <s v="CCMS"/>
    <n v="21349853"/>
    <n v="1504.02"/>
    <m/>
    <s v="N"/>
    <n v="11"/>
    <d v="2023-07-10T19:01:59"/>
    <s v="Y"/>
    <s v="Preparation - other"/>
    <s v="Prescribed Hourly Rates"/>
    <s v="Profit Cost"/>
    <s v="LM"/>
    <s v="Y"/>
    <n v="52.6"/>
    <n v="10.52"/>
    <x v="2"/>
    <s v="VALIDATED"/>
    <n v="1"/>
    <s v="01.11.80.305.6100.0000"/>
    <n v="52.6"/>
    <s v="11"/>
    <s v="6100"/>
    <n v="9081.27"/>
    <n v="52.6"/>
    <s v="CREDITOR"/>
    <n v="0"/>
    <n v="0"/>
    <n v="0"/>
    <n v="0"/>
    <n v="52.6"/>
  </r>
  <r>
    <n v="60048207"/>
    <s v="N"/>
    <n v="21349853"/>
    <s v="3000014385730002"/>
    <s v="CIVIL"/>
    <d v="2023-06-29T00:00:00"/>
    <d v="2023-07-10T19:01:40"/>
    <m/>
    <d v="2023-07-10T00:00:00"/>
    <n v="1540"/>
    <n v="969"/>
    <s v="60048207"/>
    <s v="60048207"/>
    <m/>
    <m/>
    <n v="22791332"/>
    <m/>
    <m/>
    <m/>
    <s v="SOLFIN"/>
    <s v="SOLFIN"/>
    <s v="CCMS"/>
    <n v="21349853"/>
    <n v="1504.02"/>
    <m/>
    <s v="N"/>
    <n v="10"/>
    <d v="2023-07-10T19:01:59"/>
    <s v="Y"/>
    <s v="Preparation - other"/>
    <s v="Prescribed Hourly Rates"/>
    <s v="Profit Cost"/>
    <s v="VC"/>
    <s v="Y"/>
    <n v="83.18000000000001"/>
    <n v="16.64"/>
    <x v="2"/>
    <s v="VALIDATED"/>
    <n v="1"/>
    <s v="01.11.80.305.6100.0000"/>
    <n v="83.18000000000001"/>
    <s v="11"/>
    <s v="6100"/>
    <n v="9081.27"/>
    <n v="83.18000000000001"/>
    <s v="CREDITOR"/>
    <n v="0"/>
    <n v="0"/>
    <n v="0"/>
    <n v="0"/>
    <n v="83.18000000000001"/>
  </r>
  <r>
    <n v="61436645"/>
    <s v="N"/>
    <n v="21328171"/>
    <s v="3000015570760002"/>
    <s v="CIVIL"/>
    <d v="2023-06-26T00:00:00"/>
    <d v="2023-07-04T19:00:44"/>
    <m/>
    <d v="2023-07-04T00:00:00"/>
    <n v="1540"/>
    <n v="969"/>
    <s v="61436645"/>
    <s v="61436645"/>
    <m/>
    <m/>
    <n v="22758698"/>
    <m/>
    <m/>
    <m/>
    <s v="SOLFIN"/>
    <s v="SOLFIN"/>
    <s v="CCMS"/>
    <n v="21328171"/>
    <n v="4913.31"/>
    <m/>
    <s v="N"/>
    <n v="10"/>
    <d v="2023-07-04T19:01:07"/>
    <s v="Y"/>
    <s v="Hearing Unit 2.31 - 5.00 Hours"/>
    <s v="Public Law Children"/>
    <s v="Advocacy"/>
    <s v="JL"/>
    <s v="Y"/>
    <n v="476.92"/>
    <n v="95.38"/>
    <x v="1"/>
    <s v="VALIDATED"/>
    <n v="1"/>
    <s v="01.11.80.308.6100.0000"/>
    <n v="476.92"/>
    <s v="11"/>
    <s v="6100"/>
    <n v="9081.27"/>
    <n v="476.92"/>
    <s v="CREDITOR"/>
    <n v="0"/>
    <n v="0"/>
    <n v="0"/>
    <n v="0"/>
    <n v="476.92"/>
  </r>
  <r>
    <n v="61234046"/>
    <s v="N"/>
    <n v="21363799"/>
    <s v="3000015402820006"/>
    <s v="CIVIL"/>
    <d v="2023-06-02T00:00:00"/>
    <d v="2023-07-12T19:01:49"/>
    <m/>
    <d v="2023-07-12T00:00:00"/>
    <n v="1540"/>
    <n v="969"/>
    <s v="61234046"/>
    <s v="61234046"/>
    <m/>
    <m/>
    <n v="22604924"/>
    <m/>
    <m/>
    <m/>
    <s v="SOLFIN"/>
    <s v="SOLFIN"/>
    <s v="CCMS"/>
    <n v="21363799"/>
    <n v="6460.09"/>
    <m/>
    <s v="N"/>
    <n v="10"/>
    <d v="2023-07-12T19:02:11"/>
    <s v="Y"/>
    <s v="Solicitors Fixed Fee"/>
    <s v="Public Law Children"/>
    <s v="Profit Cost"/>
    <s v="VC"/>
    <s v="Y"/>
    <n v="1965"/>
    <n v="393"/>
    <x v="0"/>
    <s v="VALIDATED"/>
    <n v="1"/>
    <s v="01.11.80.308.6100.0000"/>
    <n v="1965"/>
    <s v="11"/>
    <s v="6100"/>
    <n v="9081.27"/>
    <n v="1965"/>
    <s v="CREDITOR"/>
    <n v="0"/>
    <n v="0"/>
    <n v="0"/>
    <n v="0"/>
    <n v="1965"/>
  </r>
  <r>
    <n v="61234046"/>
    <s v="N"/>
    <n v="21366462"/>
    <s v="3000015402820003RC"/>
    <s v="CIVIL"/>
    <d v="2023-06-02T00:00:00"/>
    <d v="2023-07-12T19:45:17"/>
    <m/>
    <d v="2023-07-12T00:00:00"/>
    <n v="1540"/>
    <n v="969"/>
    <s v="61234046"/>
    <s v="61234046"/>
    <m/>
    <m/>
    <m/>
    <m/>
    <m/>
    <m/>
    <s v="SOLRECOUP"/>
    <s v="SOLRECOUP"/>
    <s v="POARECOUP"/>
    <n v="21366462"/>
    <n v="-763.2"/>
    <m/>
    <s v="Y"/>
    <n v="2"/>
    <d v="2023-07-12T19:45:18"/>
    <s v="N"/>
    <m/>
    <m/>
    <s v="Expert Disbursement"/>
    <m/>
    <s v="N"/>
    <n v="0"/>
    <n v="-127.2"/>
    <x v="0"/>
    <s v="VALIDATED"/>
    <n v="1"/>
    <s v="01.11.80.308.2013.0000"/>
    <n v="-127.2"/>
    <s v="11"/>
    <s v="2013"/>
    <n v="9081.27"/>
    <n v="-127.2"/>
    <s v="CREDITOR"/>
    <n v="0"/>
    <n v="0"/>
    <n v="-127.2"/>
    <n v="0"/>
    <n v="0"/>
  </r>
  <r>
    <n v="61234046"/>
    <s v="N"/>
    <n v="21366462"/>
    <s v="3000015402820003RC"/>
    <s v="CIVIL"/>
    <d v="2023-06-02T00:00:00"/>
    <d v="2023-07-12T19:45:17"/>
    <m/>
    <d v="2023-07-12T00:00:00"/>
    <n v="1540"/>
    <n v="969"/>
    <s v="61234046"/>
    <s v="61234046"/>
    <m/>
    <m/>
    <m/>
    <m/>
    <m/>
    <m/>
    <s v="SOLRECOUP"/>
    <s v="SOLRECOUP"/>
    <s v="POARECOUP"/>
    <n v="21366462"/>
    <n v="-763.2"/>
    <m/>
    <s v="Y"/>
    <n v="1"/>
    <d v="2023-07-12T19:45:18"/>
    <s v="N"/>
    <m/>
    <m/>
    <s v="Expert Disbursement"/>
    <m/>
    <s v="N"/>
    <n v="-636"/>
    <n v="0"/>
    <x v="0"/>
    <s v="VALIDATED"/>
    <n v="1"/>
    <s v="01.11.80.308.2013.0000"/>
    <n v="-636"/>
    <s v="11"/>
    <s v="2013"/>
    <n v="9081.27"/>
    <n v="-636"/>
    <s v="CREDITOR"/>
    <n v="0"/>
    <n v="0"/>
    <n v="-636"/>
    <n v="0"/>
    <n v="0"/>
  </r>
  <r>
    <n v="61234046"/>
    <s v="N"/>
    <n v="21366463"/>
    <s v="3000015402820004RC"/>
    <s v="CIVIL"/>
    <d v="2023-06-02T00:00:00"/>
    <d v="2023-07-12T19:45:17"/>
    <m/>
    <d v="2023-07-12T00:00:00"/>
    <n v="1540"/>
    <n v="969"/>
    <s v="61234046"/>
    <s v="61234046"/>
    <m/>
    <m/>
    <m/>
    <m/>
    <m/>
    <m/>
    <s v="SOLRECOUP"/>
    <s v="SOLRECOUP"/>
    <s v="POARECOUP"/>
    <n v="21366463"/>
    <n v="-1000.8"/>
    <m/>
    <s v="Y"/>
    <n v="2"/>
    <d v="2023-07-12T19:45:18"/>
    <s v="N"/>
    <m/>
    <m/>
    <s v="Expert Disbursement"/>
    <m/>
    <s v="N"/>
    <n v="0"/>
    <n v="-166.8"/>
    <x v="0"/>
    <s v="VALIDATED"/>
    <n v="1"/>
    <s v="01.11.80.308.2013.0000"/>
    <n v="-166.8"/>
    <s v="11"/>
    <s v="2013"/>
    <n v="9081.27"/>
    <n v="-166.8"/>
    <s v="CREDITOR"/>
    <n v="0"/>
    <n v="0"/>
    <n v="-166.8"/>
    <n v="0"/>
    <n v="0"/>
  </r>
  <r>
    <n v="61234046"/>
    <s v="N"/>
    <n v="21366463"/>
    <s v="3000015402820004RC"/>
    <s v="CIVIL"/>
    <d v="2023-06-02T00:00:00"/>
    <d v="2023-07-12T19:45:17"/>
    <m/>
    <d v="2023-07-12T00:00:00"/>
    <n v="1540"/>
    <n v="969"/>
    <s v="61234046"/>
    <s v="61234046"/>
    <m/>
    <m/>
    <m/>
    <m/>
    <m/>
    <m/>
    <s v="SOLRECOUP"/>
    <s v="SOLRECOUP"/>
    <s v="POARECOUP"/>
    <n v="21366463"/>
    <n v="-1000.8"/>
    <m/>
    <s v="Y"/>
    <n v="1"/>
    <d v="2023-07-12T19:45:18"/>
    <s v="N"/>
    <m/>
    <m/>
    <s v="Expert Disbursement"/>
    <m/>
    <s v="N"/>
    <n v="-834"/>
    <n v="0"/>
    <x v="0"/>
    <s v="VALIDATED"/>
    <n v="1"/>
    <s v="01.11.80.308.2013.0000"/>
    <n v="-834"/>
    <s v="11"/>
    <s v="2013"/>
    <n v="9081.27"/>
    <n v="-834"/>
    <s v="CREDITOR"/>
    <n v="0"/>
    <n v="0"/>
    <n v="-834"/>
    <n v="0"/>
    <n v="0"/>
  </r>
  <r>
    <n v="61234046"/>
    <s v="N"/>
    <n v="21366464"/>
    <s v="3000015402820005RC"/>
    <s v="CIVIL"/>
    <d v="2023-06-02T00:00:00"/>
    <d v="2023-07-12T19:45:17"/>
    <m/>
    <d v="2023-07-12T00:00:00"/>
    <n v="1540"/>
    <n v="969"/>
    <s v="61234046"/>
    <s v="61234046"/>
    <m/>
    <m/>
    <m/>
    <m/>
    <m/>
    <m/>
    <s v="SOLRECOUP"/>
    <s v="SOLRECOUP"/>
    <s v="POARECOUP"/>
    <n v="21366464"/>
    <n v="-620.7"/>
    <m/>
    <s v="Y"/>
    <n v="2"/>
    <d v="2023-07-12T19:45:18"/>
    <s v="N"/>
    <m/>
    <m/>
    <s v="Expert Disbursement"/>
    <m/>
    <s v="N"/>
    <n v="0"/>
    <n v="-103.45"/>
    <x v="0"/>
    <s v="VALIDATED"/>
    <n v="1"/>
    <s v="01.11.80.308.2013.0000"/>
    <n v="-103.45"/>
    <s v="11"/>
    <s v="2013"/>
    <n v="9081.27"/>
    <n v="-103.45"/>
    <s v="CREDITOR"/>
    <n v="0"/>
    <n v="0"/>
    <n v="-103.45"/>
    <n v="0"/>
    <n v="0"/>
  </r>
  <r>
    <n v="61234046"/>
    <s v="N"/>
    <n v="21366464"/>
    <s v="3000015402820005RC"/>
    <s v="CIVIL"/>
    <d v="2023-06-02T00:00:00"/>
    <d v="2023-07-12T19:45:17"/>
    <m/>
    <d v="2023-07-12T00:00:00"/>
    <n v="1540"/>
    <n v="969"/>
    <s v="61234046"/>
    <s v="61234046"/>
    <m/>
    <m/>
    <m/>
    <m/>
    <m/>
    <m/>
    <s v="SOLRECOUP"/>
    <s v="SOLRECOUP"/>
    <s v="POARECOUP"/>
    <n v="21366464"/>
    <n v="-620.7"/>
    <m/>
    <s v="Y"/>
    <n v="1"/>
    <d v="2023-07-12T19:45:18"/>
    <s v="N"/>
    <m/>
    <m/>
    <s v="Expert Disbursement"/>
    <m/>
    <s v="N"/>
    <n v="-517.25"/>
    <n v="0"/>
    <x v="0"/>
    <s v="VALIDATED"/>
    <n v="1"/>
    <s v="01.11.80.308.2013.0000"/>
    <n v="-517.25"/>
    <s v="11"/>
    <s v="2013"/>
    <n v="9081.27"/>
    <n v="-517.25"/>
    <s v="CREDITOR"/>
    <n v="0"/>
    <n v="0"/>
    <n v="-517.25"/>
    <n v="0"/>
    <n v="0"/>
  </r>
  <r>
    <n v="61377855"/>
    <s v="N"/>
    <n v="21349854"/>
    <s v="3000015522930010"/>
    <s v="CIVIL"/>
    <d v="2023-06-29T00:00:00"/>
    <d v="2023-07-10T19:01:40"/>
    <m/>
    <d v="2023-07-10T00:00:00"/>
    <n v="1542"/>
    <n v="991"/>
    <s v="61377855"/>
    <s v="61377855"/>
    <m/>
    <m/>
    <n v="22790320"/>
    <m/>
    <m/>
    <m/>
    <s v="SOLFIN"/>
    <s v="SOLFIN"/>
    <s v="CCMS"/>
    <n v="21349854"/>
    <n v="11414.31"/>
    <m/>
    <s v="N"/>
    <n v="16"/>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58"/>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106"/>
    <d v="2023-07-10T19:01:59"/>
    <s v="N"/>
    <s v="Solicitors Fixed Fee"/>
    <s v="Public Law Children"/>
    <s v="Profit Cost"/>
    <s v="RG"/>
    <s v="N"/>
    <n v="0"/>
    <n v="0"/>
    <x v="2"/>
    <s v="VALIDATED"/>
    <n v="1"/>
    <s v="01.11.80.308.6100.0000"/>
    <n v="0"/>
    <s v="11"/>
    <s v="6100"/>
    <n v="10123.96"/>
    <n v="0"/>
    <s v="CREDITOR"/>
    <n v="0"/>
    <n v="0"/>
    <n v="0"/>
    <n v="0"/>
    <n v="0"/>
  </r>
  <r>
    <n v="61377855"/>
    <s v="N"/>
    <n v="21349854"/>
    <s v="3000015522930010"/>
    <s v="CIVIL"/>
    <d v="2023-06-29T00:00:00"/>
    <d v="2023-07-10T19:01:40"/>
    <m/>
    <d v="2023-07-10T00:00:00"/>
    <n v="1542"/>
    <n v="991"/>
    <s v="61377855"/>
    <s v="61377855"/>
    <m/>
    <m/>
    <n v="22790320"/>
    <m/>
    <m/>
    <m/>
    <s v="SOLFIN"/>
    <s v="SOLFIN"/>
    <s v="CCMS"/>
    <n v="21349854"/>
    <n v="11414.31"/>
    <m/>
    <s v="N"/>
    <n v="73"/>
    <d v="2023-07-10T19:01:59"/>
    <s v="Y"/>
    <s v="Attendance upon client"/>
    <s v="Care Remuneration Hourly Rates"/>
    <s v="Profit Cost"/>
    <s v="RG"/>
    <s v="Y"/>
    <n v="25.42"/>
    <n v="5.08"/>
    <x v="2"/>
    <s v="VALIDATED"/>
    <n v="1"/>
    <s v="01.11.80.308.6100.0000"/>
    <n v="25.42"/>
    <s v="11"/>
    <s v="6100"/>
    <n v="10123.96"/>
    <n v="25.42"/>
    <s v="CREDITOR"/>
    <n v="0"/>
    <n v="0"/>
    <n v="0"/>
    <n v="0"/>
    <n v="25.42"/>
  </r>
  <r>
    <n v="61377855"/>
    <s v="N"/>
    <n v="21349854"/>
    <s v="3000015522930010"/>
    <s v="CIVIL"/>
    <d v="2023-06-29T00:00:00"/>
    <d v="2023-07-10T19:01:40"/>
    <m/>
    <d v="2023-07-10T00:00:00"/>
    <n v="1542"/>
    <n v="991"/>
    <s v="61377855"/>
    <s v="61377855"/>
    <m/>
    <m/>
    <n v="22790320"/>
    <m/>
    <m/>
    <m/>
    <s v="SOLFIN"/>
    <s v="SOLFIN"/>
    <s v="CCMS"/>
    <n v="21349854"/>
    <n v="11414.31"/>
    <m/>
    <s v="N"/>
    <n v="10"/>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33"/>
    <d v="2023-07-10T19:01:59"/>
    <s v="Y"/>
    <s v="Attendance upon client"/>
    <s v="Care Remuneration Hourly Rates"/>
    <s v="Profit Cost"/>
    <s v="RG"/>
    <s v="Y"/>
    <n v="50.82"/>
    <n v="10.16"/>
    <x v="2"/>
    <s v="VALIDATED"/>
    <n v="1"/>
    <s v="01.11.80.308.6100.0000"/>
    <n v="50.82"/>
    <s v="11"/>
    <s v="6100"/>
    <n v="10123.96"/>
    <n v="50.82"/>
    <s v="CREDITOR"/>
    <n v="0"/>
    <n v="0"/>
    <n v="0"/>
    <n v="0"/>
    <n v="50.82"/>
  </r>
  <r>
    <n v="61377855"/>
    <s v="N"/>
    <n v="21349854"/>
    <s v="3000015522930010"/>
    <s v="CIVIL"/>
    <d v="2023-06-29T00:00:00"/>
    <d v="2023-07-10T19:01:40"/>
    <m/>
    <d v="2023-07-10T00:00:00"/>
    <n v="1542"/>
    <n v="991"/>
    <s v="61377855"/>
    <s v="61377855"/>
    <m/>
    <m/>
    <n v="22790320"/>
    <m/>
    <m/>
    <m/>
    <s v="SOLFIN"/>
    <s v="SOLFIN"/>
    <s v="CCMS"/>
    <n v="21349854"/>
    <n v="11414.31"/>
    <m/>
    <s v="N"/>
    <n v="81"/>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82"/>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18"/>
    <d v="2023-07-10T19:01:59"/>
    <s v="Y"/>
    <s v="Preparation - other"/>
    <s v="Care Remuneration Hourly Rates"/>
    <s v="Profit Cost"/>
    <s v="RG"/>
    <s v="Y"/>
    <n v="31.76"/>
    <n v="6.35"/>
    <x v="2"/>
    <s v="VALIDATED"/>
    <n v="1"/>
    <s v="01.11.80.308.6100.0000"/>
    <n v="31.76"/>
    <s v="11"/>
    <s v="6100"/>
    <n v="10123.96"/>
    <n v="31.76"/>
    <s v="CREDITOR"/>
    <n v="0"/>
    <n v="0"/>
    <n v="0"/>
    <n v="0"/>
    <n v="31.76"/>
  </r>
  <r>
    <n v="61377855"/>
    <s v="N"/>
    <n v="21349854"/>
    <s v="3000015522930010"/>
    <s v="CIVIL"/>
    <d v="2023-06-29T00:00:00"/>
    <d v="2023-07-10T19:01:40"/>
    <m/>
    <d v="2023-07-10T00:00:00"/>
    <n v="1542"/>
    <n v="991"/>
    <s v="61377855"/>
    <s v="61377855"/>
    <m/>
    <m/>
    <n v="22790320"/>
    <m/>
    <m/>
    <m/>
    <s v="SOLFIN"/>
    <s v="SOLFIN"/>
    <s v="CCMS"/>
    <n v="21349854"/>
    <n v="11414.31"/>
    <m/>
    <s v="N"/>
    <n v="92"/>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80"/>
    <d v="2023-07-10T19:01:59"/>
    <s v="Y"/>
    <s v="Preparation - other"/>
    <s v="Care Remuneration Hourly Rates"/>
    <s v="Profit Cost"/>
    <s v="RG"/>
    <s v="Y"/>
    <n v="25.42"/>
    <n v="5.08"/>
    <x v="2"/>
    <s v="VALIDATED"/>
    <n v="1"/>
    <s v="01.11.80.308.6100.0000"/>
    <n v="25.42"/>
    <s v="11"/>
    <s v="6100"/>
    <n v="10123.96"/>
    <n v="25.42"/>
    <s v="CREDITOR"/>
    <n v="0"/>
    <n v="0"/>
    <n v="0"/>
    <n v="0"/>
    <n v="25.42"/>
  </r>
  <r>
    <n v="61377855"/>
    <s v="N"/>
    <n v="21349854"/>
    <s v="3000015522930010"/>
    <s v="CIVIL"/>
    <d v="2023-06-29T00:00:00"/>
    <d v="2023-07-10T19:01:40"/>
    <m/>
    <d v="2023-07-10T00:00:00"/>
    <n v="1542"/>
    <n v="991"/>
    <s v="61377855"/>
    <s v="61377855"/>
    <m/>
    <m/>
    <n v="22790320"/>
    <m/>
    <m/>
    <m/>
    <s v="SOLFIN"/>
    <s v="SOLFIN"/>
    <s v="CCMS"/>
    <n v="21349854"/>
    <n v="11414.31"/>
    <m/>
    <s v="N"/>
    <n v="104"/>
    <d v="2023-07-10T19:01:59"/>
    <s v="Y"/>
    <s v="Routine Letter Out"/>
    <s v="Care Remuneration Hourly Rates"/>
    <s v="Profit Cost"/>
    <s v="RG"/>
    <s v="Y"/>
    <n v="2253.3"/>
    <n v="450.68"/>
    <x v="2"/>
    <s v="VALIDATED"/>
    <n v="1"/>
    <s v="01.11.80.308.6100.0000"/>
    <n v="2253.3"/>
    <s v="11"/>
    <s v="6100"/>
    <n v="10123.96"/>
    <n v="2253.3"/>
    <s v="CREDITOR"/>
    <n v="0"/>
    <n v="0"/>
    <n v="0"/>
    <n v="0"/>
    <n v="2253.3"/>
  </r>
  <r>
    <n v="61377855"/>
    <s v="N"/>
    <n v="21349854"/>
    <s v="3000015522930010"/>
    <s v="CIVIL"/>
    <d v="2023-06-29T00:00:00"/>
    <d v="2023-07-10T19:01:40"/>
    <m/>
    <d v="2023-07-10T00:00:00"/>
    <n v="1542"/>
    <n v="991"/>
    <s v="61377855"/>
    <s v="61377855"/>
    <m/>
    <m/>
    <n v="22790320"/>
    <m/>
    <m/>
    <m/>
    <s v="SOLFIN"/>
    <s v="SOLFIN"/>
    <s v="CCMS"/>
    <n v="21349854"/>
    <n v="11414.31"/>
    <m/>
    <s v="N"/>
    <n v="61"/>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32"/>
    <d v="2023-07-10T19:01:59"/>
    <s v="Y"/>
    <s v="Preparation - other"/>
    <s v="Care Remuneration Hourly Rates"/>
    <s v="Profit Cost"/>
    <s v="RG"/>
    <s v="Y"/>
    <n v="146.11"/>
    <n v="29.22"/>
    <x v="2"/>
    <s v="VALIDATED"/>
    <n v="1"/>
    <s v="01.11.80.308.6100.0000"/>
    <n v="146.11"/>
    <s v="11"/>
    <s v="6100"/>
    <n v="10123.96"/>
    <n v="146.11"/>
    <s v="CREDITOR"/>
    <n v="0"/>
    <n v="0"/>
    <n v="0"/>
    <n v="0"/>
    <n v="146.11"/>
  </r>
  <r>
    <n v="61377855"/>
    <s v="N"/>
    <n v="21349854"/>
    <s v="3000015522930010"/>
    <s v="CIVIL"/>
    <d v="2023-06-29T00:00:00"/>
    <d v="2023-07-10T19:01:40"/>
    <m/>
    <d v="2023-07-10T00:00:00"/>
    <n v="1542"/>
    <n v="991"/>
    <s v="61377855"/>
    <s v="61377855"/>
    <m/>
    <m/>
    <n v="22790320"/>
    <m/>
    <m/>
    <m/>
    <s v="SOLFIN"/>
    <s v="SOLFIN"/>
    <s v="CCMS"/>
    <n v="21349854"/>
    <n v="11414.31"/>
    <m/>
    <s v="N"/>
    <n v="95"/>
    <d v="2023-07-10T19:01:59"/>
    <s v="Y"/>
    <s v="Preparation - other"/>
    <s v="Care Remuneration Hourly Rates"/>
    <s v="Profit Cost"/>
    <s v="RG"/>
    <s v="Y"/>
    <n v="31.76"/>
    <n v="6.35"/>
    <x v="2"/>
    <s v="VALIDATED"/>
    <n v="1"/>
    <s v="01.11.80.308.6100.0000"/>
    <n v="31.76"/>
    <s v="11"/>
    <s v="6100"/>
    <n v="10123.96"/>
    <n v="31.76"/>
    <s v="CREDITOR"/>
    <n v="0"/>
    <n v="0"/>
    <n v="0"/>
    <n v="0"/>
    <n v="31.76"/>
  </r>
  <r>
    <n v="61377855"/>
    <s v="N"/>
    <n v="21349854"/>
    <s v="3000015522930010"/>
    <s v="CIVIL"/>
    <d v="2023-06-29T00:00:00"/>
    <d v="2023-07-10T19:01:40"/>
    <m/>
    <d v="2023-07-10T00:00:00"/>
    <n v="1542"/>
    <n v="991"/>
    <s v="61377855"/>
    <s v="61377855"/>
    <m/>
    <m/>
    <n v="22790320"/>
    <m/>
    <m/>
    <m/>
    <s v="SOLFIN"/>
    <s v="SOLFIN"/>
    <s v="CCMS"/>
    <n v="21349854"/>
    <n v="11414.31"/>
    <m/>
    <s v="N"/>
    <n v="111"/>
    <d v="2023-07-10T19:01:59"/>
    <s v="Y"/>
    <s v="Toxicologist"/>
    <s v="Care Remuneration Hourly Rates"/>
    <s v="Expert Disbursement"/>
    <s v="RG"/>
    <s v="Y"/>
    <n v="111.75"/>
    <n v="22.35"/>
    <x v="2"/>
    <s v="VALIDATED"/>
    <n v="1"/>
    <s v="01.11.80.308.6300.0000"/>
    <n v="111.75"/>
    <s v="11"/>
    <s v="6300"/>
    <n v="10123.96"/>
    <n v="111.75"/>
    <s v="CREDITOR"/>
    <n v="0"/>
    <n v="0"/>
    <n v="0"/>
    <n v="0"/>
    <n v="111.75"/>
  </r>
  <r>
    <n v="61377855"/>
    <s v="N"/>
    <n v="21349854"/>
    <s v="3000015522930010"/>
    <s v="CIVIL"/>
    <d v="2023-06-29T00:00:00"/>
    <d v="2023-07-10T19:01:40"/>
    <m/>
    <d v="2023-07-10T00:00:00"/>
    <n v="1542"/>
    <n v="991"/>
    <s v="61377855"/>
    <s v="61377855"/>
    <m/>
    <m/>
    <n v="22790320"/>
    <m/>
    <m/>
    <m/>
    <s v="SOLFIN"/>
    <s v="SOLFIN"/>
    <s v="CCMS"/>
    <n v="21349854"/>
    <n v="11414.31"/>
    <m/>
    <s v="N"/>
    <n v="74"/>
    <d v="2023-07-10T19:01:59"/>
    <s v="Y"/>
    <s v="Preparation - other"/>
    <s v="Care Remuneration Hourly Rates"/>
    <s v="Profit Cost"/>
    <s v="RG"/>
    <s v="Y"/>
    <n v="57.18"/>
    <n v="11.44"/>
    <x v="2"/>
    <s v="VALIDATED"/>
    <n v="1"/>
    <s v="01.11.80.308.6100.0000"/>
    <n v="57.18"/>
    <s v="11"/>
    <s v="6100"/>
    <n v="10123.96"/>
    <n v="57.18"/>
    <s v="CREDITOR"/>
    <n v="0"/>
    <n v="0"/>
    <n v="0"/>
    <n v="0"/>
    <n v="57.18"/>
  </r>
  <r>
    <n v="61377855"/>
    <s v="N"/>
    <n v="21349854"/>
    <s v="3000015522930010"/>
    <s v="CIVIL"/>
    <d v="2023-06-29T00:00:00"/>
    <d v="2023-07-10T19:01:40"/>
    <m/>
    <d v="2023-07-10T00:00:00"/>
    <n v="1542"/>
    <n v="991"/>
    <s v="61377855"/>
    <s v="61377855"/>
    <m/>
    <m/>
    <n v="22790320"/>
    <m/>
    <m/>
    <m/>
    <s v="SOLFIN"/>
    <s v="SOLFIN"/>
    <s v="CCMS"/>
    <n v="21349854"/>
    <n v="11414.31"/>
    <m/>
    <s v="N"/>
    <n v="8"/>
    <d v="2023-07-10T19:01:59"/>
    <s v="Y"/>
    <s v="Preparation - other"/>
    <s v="Care Remuneration Hourly Rates"/>
    <s v="Profit Cost"/>
    <s v="RG"/>
    <s v="Y"/>
    <n v="95.29000000000001"/>
    <n v="19.06"/>
    <x v="2"/>
    <s v="VALIDATED"/>
    <n v="1"/>
    <s v="01.11.80.308.6100.0000"/>
    <n v="95.29000000000001"/>
    <s v="11"/>
    <s v="6100"/>
    <n v="10123.96"/>
    <n v="95.29000000000001"/>
    <s v="CREDITOR"/>
    <n v="0"/>
    <n v="0"/>
    <n v="0"/>
    <n v="0"/>
    <n v="95.29000000000001"/>
  </r>
  <r>
    <n v="61377855"/>
    <s v="N"/>
    <n v="21349854"/>
    <s v="3000015522930010"/>
    <s v="CIVIL"/>
    <d v="2023-06-29T00:00:00"/>
    <d v="2023-07-10T19:01:40"/>
    <m/>
    <d v="2023-07-10T00:00:00"/>
    <n v="1542"/>
    <n v="991"/>
    <s v="61377855"/>
    <s v="61377855"/>
    <m/>
    <m/>
    <n v="22790320"/>
    <m/>
    <m/>
    <m/>
    <s v="SOLFIN"/>
    <s v="SOLFIN"/>
    <s v="CCMS"/>
    <n v="21349854"/>
    <n v="11414.31"/>
    <m/>
    <s v="N"/>
    <n v="88"/>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5"/>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44"/>
    <d v="2023-07-10T19:01:59"/>
    <s v="Y"/>
    <s v="Preparation - other"/>
    <s v="Care Remuneration Hourly Rates"/>
    <s v="Profit Cost"/>
    <s v="RG"/>
    <s v="Y"/>
    <n v="31.76"/>
    <n v="6.35"/>
    <x v="2"/>
    <s v="VALIDATED"/>
    <n v="1"/>
    <s v="01.11.80.308.6100.0000"/>
    <n v="31.76"/>
    <s v="11"/>
    <s v="6100"/>
    <n v="10123.96"/>
    <n v="31.76"/>
    <s v="CREDITOR"/>
    <n v="0"/>
    <n v="0"/>
    <n v="0"/>
    <n v="0"/>
    <n v="31.76"/>
  </r>
  <r>
    <n v="61377855"/>
    <s v="N"/>
    <n v="21349854"/>
    <s v="3000015522930010"/>
    <s v="CIVIL"/>
    <d v="2023-06-29T00:00:00"/>
    <d v="2023-07-10T19:01:40"/>
    <m/>
    <d v="2023-07-10T00:00:00"/>
    <n v="1542"/>
    <n v="991"/>
    <s v="61377855"/>
    <s v="61377855"/>
    <m/>
    <m/>
    <n v="22790320"/>
    <m/>
    <m/>
    <m/>
    <s v="SOLFIN"/>
    <s v="SOLFIN"/>
    <s v="CCMS"/>
    <n v="21349854"/>
    <n v="11414.31"/>
    <m/>
    <s v="N"/>
    <n v="70"/>
    <d v="2023-07-10T19:01:59"/>
    <s v="Y"/>
    <s v="Attendance upon client"/>
    <s v="Care Remuneration Hourly Rates"/>
    <s v="Profit Cost"/>
    <s v="RG"/>
    <s v="Y"/>
    <n v="31.76"/>
    <n v="6.35"/>
    <x v="2"/>
    <s v="VALIDATED"/>
    <n v="1"/>
    <s v="01.11.80.308.6100.0000"/>
    <n v="31.76"/>
    <s v="11"/>
    <s v="6100"/>
    <n v="10123.96"/>
    <n v="31.76"/>
    <s v="CREDITOR"/>
    <n v="0"/>
    <n v="0"/>
    <n v="0"/>
    <n v="0"/>
    <n v="31.76"/>
  </r>
  <r>
    <n v="61377855"/>
    <s v="N"/>
    <n v="21349854"/>
    <s v="3000015522930010"/>
    <s v="CIVIL"/>
    <d v="2023-06-29T00:00:00"/>
    <d v="2023-07-10T19:01:40"/>
    <m/>
    <d v="2023-07-10T00:00:00"/>
    <n v="1542"/>
    <n v="991"/>
    <s v="61377855"/>
    <s v="61377855"/>
    <m/>
    <m/>
    <n v="22790320"/>
    <m/>
    <m/>
    <m/>
    <s v="SOLFIN"/>
    <s v="SOLFIN"/>
    <s v="CCMS"/>
    <n v="21349854"/>
    <n v="11414.31"/>
    <m/>
    <s v="N"/>
    <n v="90"/>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38"/>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69"/>
    <d v="2023-07-10T19:01:59"/>
    <s v="Y"/>
    <s v="Preparation - other"/>
    <s v="Care Remuneration Hourly Rates"/>
    <s v="Profit Cost"/>
    <s v="RG"/>
    <s v="Y"/>
    <n v="76.23"/>
    <n v="15.25"/>
    <x v="2"/>
    <s v="VALIDATED"/>
    <n v="1"/>
    <s v="01.11.80.308.6100.0000"/>
    <n v="76.23"/>
    <s v="11"/>
    <s v="6100"/>
    <n v="10123.96"/>
    <n v="76.23"/>
    <s v="CREDITOR"/>
    <n v="0"/>
    <n v="0"/>
    <n v="0"/>
    <n v="0"/>
    <n v="76.23"/>
  </r>
  <r>
    <n v="61377855"/>
    <s v="N"/>
    <n v="21349854"/>
    <s v="3000015522930010"/>
    <s v="CIVIL"/>
    <d v="2023-06-29T00:00:00"/>
    <d v="2023-07-10T19:01:40"/>
    <m/>
    <d v="2023-07-10T00:00:00"/>
    <n v="1542"/>
    <n v="991"/>
    <s v="61377855"/>
    <s v="61377855"/>
    <m/>
    <m/>
    <n v="22790320"/>
    <m/>
    <m/>
    <m/>
    <s v="SOLFIN"/>
    <s v="SOLFIN"/>
    <s v="CCMS"/>
    <n v="21349854"/>
    <n v="11414.31"/>
    <m/>
    <s v="N"/>
    <n v="17"/>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36"/>
    <d v="2023-07-10T19:01:59"/>
    <s v="Y"/>
    <s v="Preparation - other"/>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26"/>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51"/>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64"/>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39"/>
    <d v="2023-07-10T19:01:59"/>
    <s v="Y"/>
    <s v="Preparation - other"/>
    <s v="Care Remuneration Hourly Rates"/>
    <s v="Profit Cost"/>
    <s v="RG"/>
    <s v="Y"/>
    <n v="25.42"/>
    <n v="5.08"/>
    <x v="2"/>
    <s v="VALIDATED"/>
    <n v="1"/>
    <s v="01.11.80.308.6100.0000"/>
    <n v="25.42"/>
    <s v="11"/>
    <s v="6100"/>
    <n v="10123.96"/>
    <n v="25.42"/>
    <s v="CREDITOR"/>
    <n v="0"/>
    <n v="0"/>
    <n v="0"/>
    <n v="0"/>
    <n v="25.42"/>
  </r>
  <r>
    <n v="61377855"/>
    <s v="N"/>
    <n v="21349854"/>
    <s v="3000015522930010"/>
    <s v="CIVIL"/>
    <d v="2023-06-29T00:00:00"/>
    <d v="2023-07-10T19:01:40"/>
    <m/>
    <d v="2023-07-10T00:00:00"/>
    <n v="1542"/>
    <n v="991"/>
    <s v="61377855"/>
    <s v="61377855"/>
    <m/>
    <m/>
    <n v="22790320"/>
    <m/>
    <m/>
    <m/>
    <s v="SOLFIN"/>
    <s v="SOLFIN"/>
    <s v="CCMS"/>
    <n v="21349854"/>
    <n v="11414.31"/>
    <m/>
    <s v="N"/>
    <n v="75"/>
    <d v="2023-07-10T19:01:59"/>
    <s v="Y"/>
    <s v="Preparation - drafting statement"/>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30"/>
    <d v="2023-07-10T19:01:59"/>
    <s v="Y"/>
    <s v="Preparation - other"/>
    <s v="Care Remuneration Hourly Rates"/>
    <s v="Profit Cost"/>
    <s v="RG"/>
    <s v="Y"/>
    <n v="101.64"/>
    <n v="20.33"/>
    <x v="2"/>
    <s v="VALIDATED"/>
    <n v="1"/>
    <s v="01.11.80.308.6100.0000"/>
    <n v="101.64"/>
    <s v="11"/>
    <s v="6100"/>
    <n v="10123.96"/>
    <n v="101.64"/>
    <s v="CREDITOR"/>
    <n v="0"/>
    <n v="0"/>
    <n v="0"/>
    <n v="0"/>
    <n v="101.64"/>
  </r>
  <r>
    <n v="61377855"/>
    <s v="N"/>
    <n v="21349854"/>
    <s v="3000015522930010"/>
    <s v="CIVIL"/>
    <d v="2023-06-29T00:00:00"/>
    <d v="2023-07-10T19:01:40"/>
    <m/>
    <d v="2023-07-10T00:00:00"/>
    <n v="1542"/>
    <n v="991"/>
    <s v="61377855"/>
    <s v="61377855"/>
    <m/>
    <m/>
    <n v="22790320"/>
    <m/>
    <m/>
    <m/>
    <s v="SOLFIN"/>
    <s v="SOLFIN"/>
    <s v="CCMS"/>
    <n v="21349854"/>
    <n v="11414.31"/>
    <m/>
    <s v="N"/>
    <n v="108"/>
    <d v="2023-07-10T19:01:59"/>
    <s v="Y"/>
    <s v="Toxicologist"/>
    <s v="Care Remuneration Hourly Rates"/>
    <s v="Expert Disbursement"/>
    <s v="RG"/>
    <s v="Y"/>
    <n v="394.25"/>
    <n v="78.84999999999999"/>
    <x v="2"/>
    <s v="VALIDATED"/>
    <n v="1"/>
    <s v="01.11.80.308.6300.0000"/>
    <n v="394.25"/>
    <s v="11"/>
    <s v="6300"/>
    <n v="10123.96"/>
    <n v="394.25"/>
    <s v="CREDITOR"/>
    <n v="0"/>
    <n v="0"/>
    <n v="0"/>
    <n v="0"/>
    <n v="394.25"/>
  </r>
  <r>
    <n v="61377855"/>
    <s v="N"/>
    <n v="21349854"/>
    <s v="3000015522930010"/>
    <s v="CIVIL"/>
    <d v="2023-06-29T00:00:00"/>
    <d v="2023-07-10T19:01:40"/>
    <m/>
    <d v="2023-07-10T00:00:00"/>
    <n v="1542"/>
    <n v="991"/>
    <s v="61377855"/>
    <s v="61377855"/>
    <m/>
    <m/>
    <n v="22790320"/>
    <m/>
    <m/>
    <m/>
    <s v="SOLFIN"/>
    <s v="SOLFIN"/>
    <s v="CCMS"/>
    <n v="21349854"/>
    <n v="11414.31"/>
    <m/>
    <s v="N"/>
    <n v="110"/>
    <d v="2023-07-10T19:01:59"/>
    <s v="Y"/>
    <s v="Toxicologist"/>
    <s v="Care Remuneration Hourly Rates"/>
    <s v="Expert Disbursement"/>
    <s v="RG"/>
    <s v="Y"/>
    <n v="418.5"/>
    <n v="83.7"/>
    <x v="2"/>
    <s v="VALIDATED"/>
    <n v="1"/>
    <s v="01.11.80.308.6300.0000"/>
    <n v="418.5"/>
    <s v="11"/>
    <s v="6300"/>
    <n v="10123.96"/>
    <n v="418.5"/>
    <s v="CREDITOR"/>
    <n v="0"/>
    <n v="0"/>
    <n v="0"/>
    <n v="0"/>
    <n v="418.5"/>
  </r>
  <r>
    <n v="61377855"/>
    <s v="N"/>
    <n v="21349854"/>
    <s v="3000015522930010"/>
    <s v="CIVIL"/>
    <d v="2023-06-29T00:00:00"/>
    <d v="2023-07-10T19:01:40"/>
    <m/>
    <d v="2023-07-10T00:00:00"/>
    <n v="1542"/>
    <n v="991"/>
    <s v="61377855"/>
    <s v="61377855"/>
    <m/>
    <m/>
    <n v="22790320"/>
    <m/>
    <m/>
    <m/>
    <s v="SOLFIN"/>
    <s v="SOLFIN"/>
    <s v="CCMS"/>
    <n v="21349854"/>
    <n v="11414.31"/>
    <m/>
    <s v="N"/>
    <n v="78"/>
    <d v="2023-07-10T19:01:59"/>
    <s v="Y"/>
    <s v="Preparation - other"/>
    <s v="Care Remuneration Hourly Rates"/>
    <s v="Profit Cost"/>
    <s v="RG"/>
    <s v="Y"/>
    <n v="57.18"/>
    <n v="11.44"/>
    <x v="2"/>
    <s v="VALIDATED"/>
    <n v="1"/>
    <s v="01.11.80.308.6100.0000"/>
    <n v="57.18"/>
    <s v="11"/>
    <s v="6100"/>
    <n v="10123.96"/>
    <n v="57.18"/>
    <s v="CREDITOR"/>
    <n v="0"/>
    <n v="0"/>
    <n v="0"/>
    <n v="0"/>
    <n v="57.18"/>
  </r>
  <r>
    <n v="61377855"/>
    <s v="N"/>
    <n v="21349854"/>
    <s v="3000015522930010"/>
    <s v="CIVIL"/>
    <d v="2023-06-29T00:00:00"/>
    <d v="2023-07-10T19:01:40"/>
    <m/>
    <d v="2023-07-10T00:00:00"/>
    <n v="1542"/>
    <n v="991"/>
    <s v="61377855"/>
    <s v="61377855"/>
    <m/>
    <m/>
    <n v="22790320"/>
    <m/>
    <m/>
    <m/>
    <s v="SOLFIN"/>
    <s v="SOLFIN"/>
    <s v="CCMS"/>
    <n v="21349854"/>
    <n v="11414.31"/>
    <m/>
    <s v="N"/>
    <n v="15"/>
    <d v="2023-07-10T19:01:59"/>
    <s v="Y"/>
    <s v="Preparation - other"/>
    <s v="Care Remuneration Hourly Rates"/>
    <s v="Profit Cost"/>
    <s v="RG"/>
    <s v="Y"/>
    <n v="31.76"/>
    <n v="6.35"/>
    <x v="2"/>
    <s v="VALIDATED"/>
    <n v="1"/>
    <s v="01.11.80.308.6100.0000"/>
    <n v="31.76"/>
    <s v="11"/>
    <s v="6100"/>
    <n v="10123.96"/>
    <n v="31.76"/>
    <s v="CREDITOR"/>
    <n v="0"/>
    <n v="0"/>
    <n v="0"/>
    <n v="0"/>
    <n v="31.76"/>
  </r>
  <r>
    <n v="61377855"/>
    <s v="N"/>
    <n v="21349854"/>
    <s v="3000015522930010"/>
    <s v="CIVIL"/>
    <d v="2023-06-29T00:00:00"/>
    <d v="2023-07-10T19:01:40"/>
    <m/>
    <d v="2023-07-10T00:00:00"/>
    <n v="1542"/>
    <n v="991"/>
    <s v="61377855"/>
    <s v="61377855"/>
    <m/>
    <m/>
    <n v="22790320"/>
    <m/>
    <m/>
    <m/>
    <s v="SOLFIN"/>
    <s v="SOLFIN"/>
    <s v="CCMS"/>
    <n v="21349854"/>
    <n v="11414.31"/>
    <m/>
    <s v="N"/>
    <n v="98"/>
    <d v="2023-07-10T19:01:59"/>
    <s v="Y"/>
    <s v="Preparation - other"/>
    <s v="Care Remuneration Hourly Rates"/>
    <s v="Profit Cost"/>
    <s v="RG"/>
    <s v="Y"/>
    <n v="25.42"/>
    <n v="5.08"/>
    <x v="2"/>
    <s v="VALIDATED"/>
    <n v="1"/>
    <s v="01.11.80.308.6100.0000"/>
    <n v="25.42"/>
    <s v="11"/>
    <s v="6100"/>
    <n v="10123.96"/>
    <n v="25.42"/>
    <s v="CREDITOR"/>
    <n v="0"/>
    <n v="0"/>
    <n v="0"/>
    <n v="0"/>
    <n v="25.42"/>
  </r>
  <r>
    <n v="61377855"/>
    <s v="N"/>
    <n v="21349854"/>
    <s v="3000015522930010"/>
    <s v="CIVIL"/>
    <d v="2023-06-29T00:00:00"/>
    <d v="2023-07-10T19:01:40"/>
    <m/>
    <d v="2023-07-10T00:00:00"/>
    <n v="1542"/>
    <n v="991"/>
    <s v="61377855"/>
    <s v="61377855"/>
    <m/>
    <m/>
    <n v="22790320"/>
    <m/>
    <m/>
    <m/>
    <s v="SOLFIN"/>
    <s v="SOLFIN"/>
    <s v="CCMS"/>
    <n v="21349854"/>
    <n v="11414.31"/>
    <m/>
    <s v="N"/>
    <n v="109"/>
    <d v="2023-07-10T19:01:59"/>
    <s v="Y"/>
    <s v="Toxicologist"/>
    <s v="Care Remuneration Hourly Rates"/>
    <s v="Expert Disbursement"/>
    <s v="RG"/>
    <s v="Y"/>
    <n v="27.5"/>
    <n v="5.5"/>
    <x v="2"/>
    <s v="VALIDATED"/>
    <n v="1"/>
    <s v="01.11.80.308.6300.0000"/>
    <n v="27.5"/>
    <s v="11"/>
    <s v="6300"/>
    <n v="10123.96"/>
    <n v="27.5"/>
    <s v="CREDITOR"/>
    <n v="0"/>
    <n v="0"/>
    <n v="0"/>
    <n v="0"/>
    <n v="27.5"/>
  </r>
  <r>
    <n v="61377855"/>
    <s v="N"/>
    <n v="21349854"/>
    <s v="3000015522930010"/>
    <s v="CIVIL"/>
    <d v="2023-06-29T00:00:00"/>
    <d v="2023-07-10T19:01:40"/>
    <m/>
    <d v="2023-07-10T00:00:00"/>
    <n v="1542"/>
    <n v="991"/>
    <s v="61377855"/>
    <s v="61377855"/>
    <m/>
    <m/>
    <n v="22790320"/>
    <m/>
    <m/>
    <m/>
    <s v="SOLFIN"/>
    <s v="SOLFIN"/>
    <s v="CCMS"/>
    <n v="21349854"/>
    <n v="11414.31"/>
    <m/>
    <s v="N"/>
    <n v="23"/>
    <d v="2023-07-10T19:01:59"/>
    <s v="Y"/>
    <s v="Preparation - other"/>
    <s v="Care Remuneration Hourly Rates"/>
    <s v="Profit Cost"/>
    <s v="RG"/>
    <s v="Y"/>
    <n v="44.47"/>
    <n v="8.890000000000001"/>
    <x v="2"/>
    <s v="VALIDATED"/>
    <n v="1"/>
    <s v="01.11.80.308.6100.0000"/>
    <n v="44.47"/>
    <s v="11"/>
    <s v="6100"/>
    <n v="10123.96"/>
    <n v="44.47"/>
    <s v="CREDITOR"/>
    <n v="0"/>
    <n v="0"/>
    <n v="0"/>
    <n v="0"/>
    <n v="44.47"/>
  </r>
  <r>
    <n v="61377855"/>
    <s v="N"/>
    <n v="21349854"/>
    <s v="3000015522930010"/>
    <s v="CIVIL"/>
    <d v="2023-06-29T00:00:00"/>
    <d v="2023-07-10T19:01:40"/>
    <m/>
    <d v="2023-07-10T00:00:00"/>
    <n v="1542"/>
    <n v="991"/>
    <s v="61377855"/>
    <s v="61377855"/>
    <m/>
    <m/>
    <n v="22790320"/>
    <m/>
    <m/>
    <m/>
    <s v="SOLFIN"/>
    <s v="SOLFIN"/>
    <s v="CCMS"/>
    <n v="21349854"/>
    <n v="11414.31"/>
    <m/>
    <s v="N"/>
    <n v="68"/>
    <d v="2023-07-10T19:01:59"/>
    <s v="Y"/>
    <s v="Attendance upon client"/>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48"/>
    <d v="2023-07-10T19:01:59"/>
    <s v="Y"/>
    <s v="Preparation - other"/>
    <s v="Care Remuneration Hourly Rates"/>
    <s v="Profit Cost"/>
    <s v="RG"/>
    <s v="Y"/>
    <n v="101.64"/>
    <n v="20.33"/>
    <x v="2"/>
    <s v="VALIDATED"/>
    <n v="1"/>
    <s v="01.11.80.308.6100.0000"/>
    <n v="101.64"/>
    <s v="11"/>
    <s v="6100"/>
    <n v="10123.96"/>
    <n v="101.64"/>
    <s v="CREDITOR"/>
    <n v="0"/>
    <n v="0"/>
    <n v="0"/>
    <n v="0"/>
    <n v="101.64"/>
  </r>
  <r>
    <n v="61377855"/>
    <s v="N"/>
    <n v="21349854"/>
    <s v="3000015522930010"/>
    <s v="CIVIL"/>
    <d v="2023-06-29T00:00:00"/>
    <d v="2023-07-10T19:01:40"/>
    <m/>
    <d v="2023-07-10T00:00:00"/>
    <n v="1542"/>
    <n v="991"/>
    <s v="61377855"/>
    <s v="61377855"/>
    <m/>
    <m/>
    <n v="22790320"/>
    <m/>
    <m/>
    <m/>
    <s v="SOLFIN"/>
    <s v="SOLFIN"/>
    <s v="CCMS"/>
    <n v="21349854"/>
    <n v="11414.31"/>
    <m/>
    <s v="N"/>
    <n v="49"/>
    <d v="2023-07-10T19:01:59"/>
    <s v="Y"/>
    <s v="Attendance upon client"/>
    <s v="Care Remuneration Hourly Rates"/>
    <s v="Profit Cost"/>
    <s v="RG"/>
    <s v="Y"/>
    <n v="31.76"/>
    <n v="6.35"/>
    <x v="2"/>
    <s v="VALIDATED"/>
    <n v="1"/>
    <s v="01.11.80.308.6100.0000"/>
    <n v="31.76"/>
    <s v="11"/>
    <s v="6100"/>
    <n v="10123.96"/>
    <n v="31.76"/>
    <s v="CREDITOR"/>
    <n v="0"/>
    <n v="0"/>
    <n v="0"/>
    <n v="0"/>
    <n v="31.76"/>
  </r>
  <r>
    <n v="61377855"/>
    <s v="N"/>
    <n v="21349854"/>
    <s v="3000015522930010"/>
    <s v="CIVIL"/>
    <d v="2023-06-29T00:00:00"/>
    <d v="2023-07-10T19:01:40"/>
    <m/>
    <d v="2023-07-10T00:00:00"/>
    <n v="1542"/>
    <n v="991"/>
    <s v="61377855"/>
    <s v="61377855"/>
    <m/>
    <m/>
    <n v="22790320"/>
    <m/>
    <m/>
    <m/>
    <s v="SOLFIN"/>
    <s v="SOLFIN"/>
    <s v="CCMS"/>
    <n v="21349854"/>
    <n v="11414.31"/>
    <m/>
    <s v="N"/>
    <n v="87"/>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56"/>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31"/>
    <d v="2023-07-10T19:01:59"/>
    <s v="Y"/>
    <s v="Preparation - other"/>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66"/>
    <d v="2023-07-10T19:01:59"/>
    <s v="Y"/>
    <s v="Preparation - other"/>
    <s v="Care Remuneration Hourly Rates"/>
    <s v="Profit Cost"/>
    <s v="RG"/>
    <s v="Y"/>
    <n v="108"/>
    <n v="21.6"/>
    <x v="2"/>
    <s v="VALIDATED"/>
    <n v="1"/>
    <s v="01.11.80.308.6100.0000"/>
    <n v="108"/>
    <s v="11"/>
    <s v="6100"/>
    <n v="10123.96"/>
    <n v="108"/>
    <s v="CREDITOR"/>
    <n v="0"/>
    <n v="0"/>
    <n v="0"/>
    <n v="0"/>
    <n v="108"/>
  </r>
  <r>
    <n v="61377855"/>
    <s v="N"/>
    <n v="21349854"/>
    <s v="3000015522930010"/>
    <s v="CIVIL"/>
    <d v="2023-06-29T00:00:00"/>
    <d v="2023-07-10T19:01:40"/>
    <m/>
    <d v="2023-07-10T00:00:00"/>
    <n v="1542"/>
    <n v="991"/>
    <s v="61377855"/>
    <s v="61377855"/>
    <m/>
    <m/>
    <n v="22790320"/>
    <m/>
    <m/>
    <m/>
    <s v="SOLFIN"/>
    <s v="SOLFIN"/>
    <s v="CCMS"/>
    <n v="21349854"/>
    <n v="11414.31"/>
    <m/>
    <s v="N"/>
    <n v="60"/>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72"/>
    <d v="2023-07-10T19:01:59"/>
    <s v="Y"/>
    <s v="Preparation - other"/>
    <s v="Care Remuneration Hourly Rates"/>
    <s v="Profit Cost"/>
    <s v="RG"/>
    <s v="Y"/>
    <n v="31.76"/>
    <n v="6.35"/>
    <x v="2"/>
    <s v="VALIDATED"/>
    <n v="1"/>
    <s v="01.11.80.308.6100.0000"/>
    <n v="31.76"/>
    <s v="11"/>
    <s v="6100"/>
    <n v="10123.96"/>
    <n v="31.76"/>
    <s v="CREDITOR"/>
    <n v="0"/>
    <n v="0"/>
    <n v="0"/>
    <n v="0"/>
    <n v="31.76"/>
  </r>
  <r>
    <n v="61377855"/>
    <s v="N"/>
    <n v="21349854"/>
    <s v="3000015522930010"/>
    <s v="CIVIL"/>
    <d v="2023-06-29T00:00:00"/>
    <d v="2023-07-10T19:01:40"/>
    <m/>
    <d v="2023-07-10T00:00:00"/>
    <n v="1542"/>
    <n v="991"/>
    <s v="61377855"/>
    <s v="61377855"/>
    <m/>
    <m/>
    <n v="22790320"/>
    <m/>
    <m/>
    <m/>
    <s v="SOLFIN"/>
    <s v="SOLFIN"/>
    <s v="CCMS"/>
    <n v="21349854"/>
    <n v="11414.31"/>
    <m/>
    <s v="N"/>
    <n v="97"/>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50"/>
    <d v="2023-07-10T19:01:59"/>
    <s v="Y"/>
    <s v="Preparation - other"/>
    <s v="Care Remuneration Hourly Rates"/>
    <s v="Profit Cost"/>
    <s v="RG"/>
    <s v="Y"/>
    <n v="152.47"/>
    <n v="30.49"/>
    <x v="2"/>
    <s v="VALIDATED"/>
    <n v="1"/>
    <s v="01.11.80.308.6100.0000"/>
    <n v="152.47"/>
    <s v="11"/>
    <s v="6100"/>
    <n v="10123.96"/>
    <n v="152.47"/>
    <s v="CREDITOR"/>
    <n v="0"/>
    <n v="0"/>
    <n v="0"/>
    <n v="0"/>
    <n v="152.47"/>
  </r>
  <r>
    <n v="61377855"/>
    <s v="N"/>
    <n v="21356674"/>
    <s v="3000015522930005RC"/>
    <s v="CIVIL"/>
    <d v="2023-06-29T00:00:00"/>
    <d v="2023-07-10T19:47:44"/>
    <m/>
    <d v="2023-07-10T00:00:00"/>
    <n v="1542"/>
    <n v="991"/>
    <s v="61377855"/>
    <s v="61377855"/>
    <m/>
    <m/>
    <m/>
    <m/>
    <m/>
    <m/>
    <s v="SOLRECOUP"/>
    <s v="SOLRECOUP"/>
    <s v="POARECOUP"/>
    <n v="21356674"/>
    <n v="-502.2"/>
    <m/>
    <s v="Y"/>
    <n v="1"/>
    <d v="2023-07-10T19:47:46"/>
    <s v="N"/>
    <m/>
    <m/>
    <s v="Expert Disbursement"/>
    <m/>
    <s v="N"/>
    <n v="-418.5"/>
    <n v="0"/>
    <x v="2"/>
    <s v="VALIDATED"/>
    <n v="1"/>
    <s v="01.11.80.308.2013.0000"/>
    <n v="-418.5"/>
    <s v="11"/>
    <s v="2013"/>
    <n v="10123.96"/>
    <n v="-418.5"/>
    <s v="CREDITOR"/>
    <n v="0"/>
    <n v="0"/>
    <n v="-418.5"/>
    <n v="0"/>
    <n v="0"/>
  </r>
  <r>
    <n v="61377855"/>
    <s v="N"/>
    <n v="21356674"/>
    <s v="3000015522930005RC"/>
    <s v="CIVIL"/>
    <d v="2023-06-29T00:00:00"/>
    <d v="2023-07-10T19:47:44"/>
    <m/>
    <d v="2023-07-10T00:00:00"/>
    <n v="1542"/>
    <n v="991"/>
    <s v="61377855"/>
    <s v="61377855"/>
    <m/>
    <m/>
    <m/>
    <m/>
    <m/>
    <m/>
    <s v="SOLRECOUP"/>
    <s v="SOLRECOUP"/>
    <s v="POARECOUP"/>
    <n v="21356674"/>
    <n v="-502.2"/>
    <m/>
    <s v="Y"/>
    <n v="2"/>
    <d v="2023-07-10T19:47:46"/>
    <s v="N"/>
    <m/>
    <m/>
    <s v="Expert Disbursement"/>
    <m/>
    <s v="N"/>
    <n v="0"/>
    <n v="-83.7"/>
    <x v="2"/>
    <s v="VALIDATED"/>
    <n v="1"/>
    <s v="01.11.80.308.2013.0000"/>
    <n v="-83.7"/>
    <s v="11"/>
    <s v="2013"/>
    <n v="10123.96"/>
    <n v="-83.7"/>
    <s v="CREDITOR"/>
    <n v="0"/>
    <n v="0"/>
    <n v="-83.7"/>
    <n v="0"/>
    <n v="0"/>
  </r>
  <r>
    <n v="61377855"/>
    <s v="N"/>
    <n v="21356675"/>
    <s v="3000015522930001RC"/>
    <s v="CIVIL"/>
    <d v="2023-06-29T00:00:00"/>
    <d v="2023-07-10T19:47:44"/>
    <m/>
    <d v="2023-07-10T00:00:00"/>
    <n v="1542"/>
    <n v="991"/>
    <s v="61377855"/>
    <s v="61377855"/>
    <m/>
    <m/>
    <m/>
    <m/>
    <m/>
    <m/>
    <s v="SOLRECOUP"/>
    <s v="SOLRECOUP"/>
    <s v="POARECOUP"/>
    <n v="21356675"/>
    <n v="-881.7"/>
    <m/>
    <s v="Y"/>
    <n v="1"/>
    <d v="2023-07-10T19:47:46"/>
    <s v="N"/>
    <m/>
    <m/>
    <s v="Expert Disbursement"/>
    <m/>
    <s v="N"/>
    <n v="-734.75"/>
    <n v="0"/>
    <x v="2"/>
    <s v="VALIDATED"/>
    <n v="1"/>
    <s v="01.11.80.308.2013.0000"/>
    <n v="-734.75"/>
    <s v="11"/>
    <s v="2013"/>
    <n v="10123.96"/>
    <n v="-734.75"/>
    <s v="CREDITOR"/>
    <n v="0"/>
    <n v="0"/>
    <n v="-734.75"/>
    <n v="0"/>
    <n v="0"/>
  </r>
  <r>
    <n v="61377855"/>
    <s v="N"/>
    <n v="21356675"/>
    <s v="3000015522930001RC"/>
    <s v="CIVIL"/>
    <d v="2023-06-29T00:00:00"/>
    <d v="2023-07-10T19:47:44"/>
    <m/>
    <d v="2023-07-10T00:00:00"/>
    <n v="1542"/>
    <n v="991"/>
    <s v="61377855"/>
    <s v="61377855"/>
    <m/>
    <m/>
    <m/>
    <m/>
    <m/>
    <m/>
    <s v="SOLRECOUP"/>
    <s v="SOLRECOUP"/>
    <s v="POARECOUP"/>
    <n v="21356675"/>
    <n v="-881.7"/>
    <m/>
    <s v="Y"/>
    <n v="2"/>
    <d v="2023-07-10T19:47:46"/>
    <s v="N"/>
    <m/>
    <m/>
    <s v="Expert Disbursement"/>
    <m/>
    <s v="N"/>
    <n v="0"/>
    <n v="-146.95"/>
    <x v="2"/>
    <s v="VALIDATED"/>
    <n v="1"/>
    <s v="01.11.80.308.2013.0000"/>
    <n v="-146.95"/>
    <s v="11"/>
    <s v="2013"/>
    <n v="10123.96"/>
    <n v="-146.95"/>
    <s v="CREDITOR"/>
    <n v="0"/>
    <n v="0"/>
    <n v="-146.95"/>
    <n v="0"/>
    <n v="0"/>
  </r>
  <r>
    <n v="61377855"/>
    <s v="N"/>
    <n v="21356676"/>
    <s v="3000015522930006RC"/>
    <s v="CIVIL"/>
    <d v="2023-06-29T00:00:00"/>
    <d v="2023-07-10T19:47:44"/>
    <m/>
    <d v="2023-07-10T00:00:00"/>
    <n v="1542"/>
    <n v="991"/>
    <s v="61377855"/>
    <s v="61377855"/>
    <m/>
    <m/>
    <m/>
    <m/>
    <m/>
    <m/>
    <s v="SOLRECOUP"/>
    <s v="SOLRECOUP"/>
    <s v="POARECOUP"/>
    <n v="21356676"/>
    <n v="-33"/>
    <m/>
    <s v="Y"/>
    <n v="1"/>
    <d v="2023-07-10T19:47:46"/>
    <s v="N"/>
    <m/>
    <m/>
    <s v="Expert Disbursement"/>
    <m/>
    <s v="N"/>
    <n v="-27.5"/>
    <n v="0"/>
    <x v="2"/>
    <s v="VALIDATED"/>
    <n v="1"/>
    <s v="01.11.80.308.2013.0000"/>
    <n v="-27.5"/>
    <s v="11"/>
    <s v="2013"/>
    <n v="10123.96"/>
    <n v="-27.5"/>
    <s v="CREDITOR"/>
    <n v="0"/>
    <n v="0"/>
    <n v="-27.5"/>
    <n v="0"/>
    <n v="0"/>
  </r>
  <r>
    <n v="61377855"/>
    <s v="N"/>
    <n v="21356676"/>
    <s v="3000015522930006RC"/>
    <s v="CIVIL"/>
    <d v="2023-06-29T00:00:00"/>
    <d v="2023-07-10T19:47:44"/>
    <m/>
    <d v="2023-07-10T00:00:00"/>
    <n v="1542"/>
    <n v="991"/>
    <s v="61377855"/>
    <s v="61377855"/>
    <m/>
    <m/>
    <m/>
    <m/>
    <m/>
    <m/>
    <s v="SOLRECOUP"/>
    <s v="SOLRECOUP"/>
    <s v="POARECOUP"/>
    <n v="21356676"/>
    <n v="-33"/>
    <m/>
    <s v="Y"/>
    <n v="2"/>
    <d v="2023-07-10T19:47:46"/>
    <s v="N"/>
    <m/>
    <m/>
    <s v="Expert Disbursement"/>
    <m/>
    <s v="N"/>
    <n v="0"/>
    <n v="-5.5"/>
    <x v="2"/>
    <s v="VALIDATED"/>
    <n v="1"/>
    <s v="01.11.80.308.2013.0000"/>
    <n v="-5.5"/>
    <s v="11"/>
    <s v="2013"/>
    <n v="10123.96"/>
    <n v="-5.5"/>
    <s v="CREDITOR"/>
    <n v="0"/>
    <n v="0"/>
    <n v="-5.5"/>
    <n v="0"/>
    <n v="0"/>
  </r>
  <r>
    <n v="61377855"/>
    <s v="N"/>
    <n v="21356677"/>
    <s v="3000015522930008RC"/>
    <s v="CIVIL"/>
    <d v="2023-06-29T00:00:00"/>
    <d v="2023-07-10T19:47:44"/>
    <m/>
    <d v="2023-07-10T00:00:00"/>
    <n v="1542"/>
    <n v="991"/>
    <s v="61377855"/>
    <s v="61377855"/>
    <m/>
    <m/>
    <m/>
    <m/>
    <m/>
    <m/>
    <s v="SOLRECOUP"/>
    <s v="SOLRECOUP"/>
    <s v="POARECOUP"/>
    <n v="21356677"/>
    <n v="-124.2"/>
    <m/>
    <s v="Y"/>
    <n v="1"/>
    <d v="2023-07-10T19:47:46"/>
    <s v="N"/>
    <m/>
    <m/>
    <s v="Expert Disbursement"/>
    <m/>
    <s v="N"/>
    <n v="-103.5"/>
    <n v="0"/>
    <x v="2"/>
    <s v="VALIDATED"/>
    <n v="1"/>
    <s v="01.11.80.308.2013.0000"/>
    <n v="-103.5"/>
    <s v="11"/>
    <s v="2013"/>
    <n v="10123.96"/>
    <n v="-103.5"/>
    <s v="CREDITOR"/>
    <n v="0"/>
    <n v="0"/>
    <n v="-103.5"/>
    <n v="0"/>
    <n v="0"/>
  </r>
  <r>
    <n v="61377855"/>
    <s v="N"/>
    <n v="21356677"/>
    <s v="3000015522930008RC"/>
    <s v="CIVIL"/>
    <d v="2023-06-29T00:00:00"/>
    <d v="2023-07-10T19:47:44"/>
    <m/>
    <d v="2023-07-10T00:00:00"/>
    <n v="1542"/>
    <n v="991"/>
    <s v="61377855"/>
    <s v="61377855"/>
    <m/>
    <m/>
    <m/>
    <m/>
    <m/>
    <m/>
    <s v="SOLRECOUP"/>
    <s v="SOLRECOUP"/>
    <s v="POARECOUP"/>
    <n v="21356677"/>
    <n v="-124.2"/>
    <m/>
    <s v="Y"/>
    <n v="2"/>
    <d v="2023-07-10T19:47:46"/>
    <s v="N"/>
    <m/>
    <m/>
    <s v="Expert Disbursement"/>
    <m/>
    <s v="N"/>
    <n v="0"/>
    <n v="-20.7"/>
    <x v="2"/>
    <s v="VALIDATED"/>
    <n v="1"/>
    <s v="01.11.80.308.2013.0000"/>
    <n v="-20.7"/>
    <s v="11"/>
    <s v="2013"/>
    <n v="10123.96"/>
    <n v="-20.7"/>
    <s v="CREDITOR"/>
    <n v="0"/>
    <n v="0"/>
    <n v="-20.7"/>
    <n v="0"/>
    <n v="0"/>
  </r>
  <r>
    <n v="61377855"/>
    <s v="N"/>
    <n v="21356678"/>
    <s v="3000015522930002RC"/>
    <s v="CIVIL"/>
    <d v="2023-06-29T00:00:00"/>
    <d v="2023-07-10T19:47:44"/>
    <m/>
    <d v="2023-07-10T00:00:00"/>
    <n v="1542"/>
    <n v="991"/>
    <s v="61377855"/>
    <s v="61377855"/>
    <m/>
    <m/>
    <m/>
    <m/>
    <m/>
    <m/>
    <s v="SOLRECOUP"/>
    <s v="SOLRECOUP"/>
    <s v="POARECOUP"/>
    <n v="21356678"/>
    <n v="-473.1"/>
    <m/>
    <s v="Y"/>
    <n v="1"/>
    <d v="2023-07-10T19:47:46"/>
    <s v="N"/>
    <m/>
    <m/>
    <s v="Expert Disbursement"/>
    <m/>
    <s v="N"/>
    <n v="-394.25"/>
    <n v="0"/>
    <x v="2"/>
    <s v="VALIDATED"/>
    <n v="1"/>
    <s v="01.11.80.308.2013.0000"/>
    <n v="-394.25"/>
    <s v="11"/>
    <s v="2013"/>
    <n v="10123.96"/>
    <n v="-394.25"/>
    <s v="CREDITOR"/>
    <n v="0"/>
    <n v="0"/>
    <n v="-394.25"/>
    <n v="0"/>
    <n v="0"/>
  </r>
  <r>
    <n v="61377855"/>
    <s v="N"/>
    <n v="21356678"/>
    <s v="3000015522930002RC"/>
    <s v="CIVIL"/>
    <d v="2023-06-29T00:00:00"/>
    <d v="2023-07-10T19:47:44"/>
    <m/>
    <d v="2023-07-10T00:00:00"/>
    <n v="1542"/>
    <n v="991"/>
    <s v="61377855"/>
    <s v="61377855"/>
    <m/>
    <m/>
    <m/>
    <m/>
    <m/>
    <m/>
    <s v="SOLRECOUP"/>
    <s v="SOLRECOUP"/>
    <s v="POARECOUP"/>
    <n v="21356678"/>
    <n v="-473.1"/>
    <m/>
    <s v="Y"/>
    <n v="2"/>
    <d v="2023-07-10T19:47:46"/>
    <s v="N"/>
    <m/>
    <m/>
    <s v="Expert Disbursement"/>
    <m/>
    <s v="N"/>
    <n v="0"/>
    <n v="-78.84999999999999"/>
    <x v="2"/>
    <s v="VALIDATED"/>
    <n v="1"/>
    <s v="01.11.80.308.2013.0000"/>
    <n v="-78.84999999999999"/>
    <s v="11"/>
    <s v="2013"/>
    <n v="10123.96"/>
    <n v="-78.84999999999999"/>
    <s v="CREDITOR"/>
    <n v="0"/>
    <n v="0"/>
    <n v="-78.84999999999999"/>
    <n v="0"/>
    <n v="0"/>
  </r>
  <r>
    <n v="61377855"/>
    <s v="N"/>
    <n v="21356679"/>
    <s v="3000015522930004RC"/>
    <s v="CIVIL"/>
    <d v="2023-06-29T00:00:00"/>
    <d v="2023-07-10T19:47:44"/>
    <m/>
    <d v="2023-07-10T00:00:00"/>
    <n v="1542"/>
    <n v="991"/>
    <s v="61377855"/>
    <s v="61377855"/>
    <m/>
    <m/>
    <m/>
    <m/>
    <m/>
    <m/>
    <s v="SOLRECOUP"/>
    <s v="SOLRECOUP"/>
    <s v="POARECOUP"/>
    <n v="21356679"/>
    <n v="-134.1"/>
    <m/>
    <s v="Y"/>
    <n v="1"/>
    <d v="2023-07-10T19:47:46"/>
    <s v="N"/>
    <m/>
    <m/>
    <s v="Expert Disbursement"/>
    <m/>
    <s v="N"/>
    <n v="-111.75"/>
    <n v="0"/>
    <x v="2"/>
    <s v="VALIDATED"/>
    <n v="1"/>
    <s v="01.11.80.308.2013.0000"/>
    <n v="-111.75"/>
    <s v="11"/>
    <s v="2013"/>
    <n v="10123.96"/>
    <n v="-111.75"/>
    <s v="CREDITOR"/>
    <n v="0"/>
    <n v="0"/>
    <n v="-111.75"/>
    <n v="0"/>
    <n v="0"/>
  </r>
  <r>
    <n v="61377855"/>
    <s v="N"/>
    <n v="21356679"/>
    <s v="3000015522930004RC"/>
    <s v="CIVIL"/>
    <d v="2023-06-29T00:00:00"/>
    <d v="2023-07-10T19:47:44"/>
    <m/>
    <d v="2023-07-10T00:00:00"/>
    <n v="1542"/>
    <n v="991"/>
    <s v="61377855"/>
    <s v="61377855"/>
    <m/>
    <m/>
    <m/>
    <m/>
    <m/>
    <m/>
    <s v="SOLRECOUP"/>
    <s v="SOLRECOUP"/>
    <s v="POARECOUP"/>
    <n v="21356679"/>
    <n v="-134.1"/>
    <m/>
    <s v="Y"/>
    <n v="2"/>
    <d v="2023-07-10T19:47:46"/>
    <s v="N"/>
    <m/>
    <m/>
    <s v="Expert Disbursement"/>
    <m/>
    <s v="N"/>
    <n v="0"/>
    <n v="-22.35"/>
    <x v="2"/>
    <s v="VALIDATED"/>
    <n v="1"/>
    <s v="01.11.80.308.2013.0000"/>
    <n v="-22.35"/>
    <s v="11"/>
    <s v="2013"/>
    <n v="10123.96"/>
    <n v="-22.35"/>
    <s v="CREDITOR"/>
    <n v="0"/>
    <n v="0"/>
    <n v="-22.35"/>
    <n v="0"/>
    <n v="0"/>
  </r>
  <r>
    <n v="61377855"/>
    <s v="N"/>
    <n v="21349854"/>
    <s v="3000015522930010"/>
    <s v="CIVIL"/>
    <d v="2023-06-29T00:00:00"/>
    <d v="2023-07-10T19:01:40"/>
    <m/>
    <d v="2023-07-10T00:00:00"/>
    <n v="1542"/>
    <n v="991"/>
    <s v="61377855"/>
    <s v="61377855"/>
    <m/>
    <m/>
    <n v="22790320"/>
    <m/>
    <m/>
    <m/>
    <s v="SOLFIN"/>
    <s v="SOLFIN"/>
    <s v="CCMS"/>
    <n v="21349854"/>
    <n v="11414.31"/>
    <m/>
    <s v="N"/>
    <n v="112"/>
    <d v="2023-07-10T19:01:59"/>
    <s v="Y"/>
    <s v="Toxicologist"/>
    <s v="Care Remuneration Hourly Rates"/>
    <s v="Expert Disbursement"/>
    <s v="RG"/>
    <s v="Y"/>
    <n v="103.5"/>
    <n v="20.7"/>
    <x v="2"/>
    <s v="VALIDATED"/>
    <n v="1"/>
    <s v="01.11.80.308.6300.0000"/>
    <n v="103.5"/>
    <s v="11"/>
    <s v="6300"/>
    <n v="10123.96"/>
    <n v="103.5"/>
    <s v="CREDITOR"/>
    <n v="0"/>
    <n v="0"/>
    <n v="0"/>
    <n v="0"/>
    <n v="103.5"/>
  </r>
  <r>
    <n v="61377855"/>
    <s v="N"/>
    <n v="21349854"/>
    <s v="3000015522930010"/>
    <s v="CIVIL"/>
    <d v="2023-06-29T00:00:00"/>
    <d v="2023-07-10T19:01:40"/>
    <m/>
    <d v="2023-07-10T00:00:00"/>
    <n v="1542"/>
    <n v="991"/>
    <s v="61377855"/>
    <s v="61377855"/>
    <m/>
    <m/>
    <n v="22790320"/>
    <m/>
    <m/>
    <m/>
    <s v="SOLFIN"/>
    <s v="SOLFIN"/>
    <s v="CCMS"/>
    <n v="21349854"/>
    <n v="11414.31"/>
    <m/>
    <s v="N"/>
    <n v="3"/>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37"/>
    <d v="2023-07-10T19:01:59"/>
    <s v="Y"/>
    <s v="Attendance upon client"/>
    <s v="Care Remuneration Hourly Rates"/>
    <s v="Profit Cost"/>
    <s v="RG"/>
    <s v="Y"/>
    <n v="44.47"/>
    <n v="8.890000000000001"/>
    <x v="2"/>
    <s v="VALIDATED"/>
    <n v="1"/>
    <s v="01.11.80.308.6100.0000"/>
    <n v="44.47"/>
    <s v="11"/>
    <s v="6100"/>
    <n v="10123.96"/>
    <n v="44.47"/>
    <s v="CREDITOR"/>
    <n v="0"/>
    <n v="0"/>
    <n v="0"/>
    <n v="0"/>
    <n v="44.47"/>
  </r>
  <r>
    <n v="61377855"/>
    <s v="N"/>
    <n v="21349854"/>
    <s v="3000015522930010"/>
    <s v="CIVIL"/>
    <d v="2023-06-29T00:00:00"/>
    <d v="2023-07-10T19:01:40"/>
    <m/>
    <d v="2023-07-10T00:00:00"/>
    <n v="1542"/>
    <n v="991"/>
    <s v="61377855"/>
    <s v="61377855"/>
    <m/>
    <m/>
    <n v="22790320"/>
    <m/>
    <m/>
    <m/>
    <s v="SOLFIN"/>
    <s v="SOLFIN"/>
    <s v="CCMS"/>
    <n v="21349854"/>
    <n v="11414.31"/>
    <m/>
    <s v="N"/>
    <n v="83"/>
    <d v="2023-07-10T19:01:59"/>
    <s v="Y"/>
    <s v="Preparation - drafting statement"/>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20"/>
    <d v="2023-07-10T19:01:59"/>
    <s v="Y"/>
    <s v="Preparation - other"/>
    <s v="Care Remuneration Hourly Rates"/>
    <s v="Profit Cost"/>
    <s v="RG"/>
    <s v="Y"/>
    <n v="38.11"/>
    <n v="7.62"/>
    <x v="2"/>
    <s v="VALIDATED"/>
    <n v="1"/>
    <s v="01.11.80.308.6100.0000"/>
    <n v="38.11"/>
    <s v="11"/>
    <s v="6100"/>
    <n v="10123.96"/>
    <n v="38.11"/>
    <s v="CREDITOR"/>
    <n v="0"/>
    <n v="0"/>
    <n v="0"/>
    <n v="0"/>
    <n v="38.11"/>
  </r>
  <r>
    <n v="61377855"/>
    <s v="N"/>
    <n v="21349854"/>
    <s v="3000015522930010"/>
    <s v="CIVIL"/>
    <d v="2023-06-29T00:00:00"/>
    <d v="2023-07-10T19:01:40"/>
    <m/>
    <d v="2023-07-10T00:00:00"/>
    <n v="1542"/>
    <n v="991"/>
    <s v="61377855"/>
    <s v="61377855"/>
    <m/>
    <m/>
    <n v="22790320"/>
    <m/>
    <m/>
    <m/>
    <s v="SOLFIN"/>
    <s v="SOLFIN"/>
    <s v="CCMS"/>
    <n v="21349854"/>
    <n v="11414.31"/>
    <m/>
    <s v="N"/>
    <n v="100"/>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2"/>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85"/>
    <d v="2023-07-10T19:01:59"/>
    <s v="Y"/>
    <s v="Attendance upon client"/>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99"/>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19"/>
    <d v="2023-07-10T19:01:59"/>
    <s v="Y"/>
    <s v="Preparation - other"/>
    <s v="Care Remuneration Hourly Rates"/>
    <s v="Profit Cost"/>
    <s v="RG"/>
    <s v="Y"/>
    <n v="57.18"/>
    <n v="11.44"/>
    <x v="2"/>
    <s v="VALIDATED"/>
    <n v="1"/>
    <s v="01.11.80.308.6100.0000"/>
    <n v="57.18"/>
    <s v="11"/>
    <s v="6100"/>
    <n v="10123.96"/>
    <n v="57.18"/>
    <s v="CREDITOR"/>
    <n v="0"/>
    <n v="0"/>
    <n v="0"/>
    <n v="0"/>
    <n v="57.18"/>
  </r>
  <r>
    <n v="61377855"/>
    <s v="N"/>
    <n v="21349854"/>
    <s v="3000015522930010"/>
    <s v="CIVIL"/>
    <d v="2023-06-29T00:00:00"/>
    <d v="2023-07-10T19:01:40"/>
    <m/>
    <d v="2023-07-10T00:00:00"/>
    <n v="1542"/>
    <n v="991"/>
    <s v="61377855"/>
    <s v="61377855"/>
    <m/>
    <m/>
    <n v="22790320"/>
    <m/>
    <m/>
    <m/>
    <s v="SOLFIN"/>
    <s v="SOLFIN"/>
    <s v="CCMS"/>
    <n v="21349854"/>
    <n v="11414.31"/>
    <m/>
    <s v="N"/>
    <n v="34"/>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43"/>
    <d v="2023-07-10T19:01:59"/>
    <s v="Y"/>
    <s v="Preparation - other"/>
    <s v="Care Remuneration Hourly Rates"/>
    <s v="Profit Cost"/>
    <s v="RG"/>
    <s v="Y"/>
    <n v="25.42"/>
    <n v="5.08"/>
    <x v="2"/>
    <s v="VALIDATED"/>
    <n v="1"/>
    <s v="01.11.80.308.6100.0000"/>
    <n v="25.42"/>
    <s v="11"/>
    <s v="6100"/>
    <n v="10123.96"/>
    <n v="25.42"/>
    <s v="CREDITOR"/>
    <n v="0"/>
    <n v="0"/>
    <n v="0"/>
    <n v="0"/>
    <n v="25.42"/>
  </r>
  <r>
    <n v="61377855"/>
    <s v="N"/>
    <n v="21349854"/>
    <s v="3000015522930010"/>
    <s v="CIVIL"/>
    <d v="2023-06-29T00:00:00"/>
    <d v="2023-07-10T19:01:40"/>
    <m/>
    <d v="2023-07-10T00:00:00"/>
    <n v="1542"/>
    <n v="991"/>
    <s v="61377855"/>
    <s v="61377855"/>
    <m/>
    <m/>
    <n v="22790320"/>
    <m/>
    <m/>
    <m/>
    <s v="SOLFIN"/>
    <s v="SOLFIN"/>
    <s v="CCMS"/>
    <n v="21349854"/>
    <n v="11414.31"/>
    <m/>
    <s v="N"/>
    <n v="46"/>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4"/>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1"/>
    <d v="2023-07-10T19:01:59"/>
    <s v="Y"/>
    <s v="Preparation - other"/>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91"/>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24"/>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62"/>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101"/>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27"/>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11"/>
    <d v="2023-07-10T19:01:59"/>
    <s v="Y"/>
    <s v="Preparation - other"/>
    <s v="Care Remuneration Hourly Rates"/>
    <s v="Profit Cost"/>
    <s v="RG"/>
    <s v="Y"/>
    <n v="101.64"/>
    <n v="20.33"/>
    <x v="2"/>
    <s v="VALIDATED"/>
    <n v="1"/>
    <s v="01.11.80.308.6100.0000"/>
    <n v="101.64"/>
    <s v="11"/>
    <s v="6100"/>
    <n v="10123.96"/>
    <n v="101.64"/>
    <s v="CREDITOR"/>
    <n v="0"/>
    <n v="0"/>
    <n v="0"/>
    <n v="0"/>
    <n v="101.64"/>
  </r>
  <r>
    <n v="61377855"/>
    <s v="N"/>
    <n v="21349854"/>
    <s v="3000015522930010"/>
    <s v="CIVIL"/>
    <d v="2023-06-29T00:00:00"/>
    <d v="2023-07-10T19:01:40"/>
    <m/>
    <d v="2023-07-10T00:00:00"/>
    <n v="1542"/>
    <n v="991"/>
    <s v="61377855"/>
    <s v="61377855"/>
    <m/>
    <m/>
    <n v="22790320"/>
    <m/>
    <m/>
    <m/>
    <s v="SOLFIN"/>
    <s v="SOLFIN"/>
    <s v="CCMS"/>
    <n v="21349854"/>
    <n v="11414.31"/>
    <m/>
    <s v="N"/>
    <n v="55"/>
    <d v="2023-07-10T19:01:59"/>
    <s v="Y"/>
    <s v="Preparation - other"/>
    <s v="Care Remuneration Hourly Rates"/>
    <s v="Profit Cost"/>
    <s v="RG"/>
    <s v="Y"/>
    <n v="177.87"/>
    <n v="35.57"/>
    <x v="2"/>
    <s v="VALIDATED"/>
    <n v="1"/>
    <s v="01.11.80.308.6100.0000"/>
    <n v="177.87"/>
    <s v="11"/>
    <s v="6100"/>
    <n v="10123.96"/>
    <n v="177.87"/>
    <s v="CREDITOR"/>
    <n v="0"/>
    <n v="0"/>
    <n v="0"/>
    <n v="0"/>
    <n v="177.87"/>
  </r>
  <r>
    <n v="61377855"/>
    <s v="N"/>
    <n v="21349854"/>
    <s v="3000015522930010"/>
    <s v="CIVIL"/>
    <d v="2023-06-29T00:00:00"/>
    <d v="2023-07-10T19:01:40"/>
    <m/>
    <d v="2023-07-10T00:00:00"/>
    <n v="1542"/>
    <n v="991"/>
    <s v="61377855"/>
    <s v="61377855"/>
    <m/>
    <m/>
    <n v="22790320"/>
    <m/>
    <m/>
    <m/>
    <s v="SOLFIN"/>
    <s v="SOLFIN"/>
    <s v="CCMS"/>
    <n v="21349854"/>
    <n v="11414.31"/>
    <m/>
    <s v="N"/>
    <n v="67"/>
    <d v="2023-07-10T19:01:59"/>
    <s v="Y"/>
    <s v="Preparation - drafting instructions"/>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63"/>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47"/>
    <d v="2023-07-10T19:01:59"/>
    <s v="Y"/>
    <s v="Preparation - other"/>
    <s v="Care Remuneration Hourly Rates"/>
    <s v="Profit Cost"/>
    <s v="RG"/>
    <s v="Y"/>
    <n v="108"/>
    <n v="21.6"/>
    <x v="2"/>
    <s v="VALIDATED"/>
    <n v="1"/>
    <s v="01.11.80.308.6100.0000"/>
    <n v="108"/>
    <s v="11"/>
    <s v="6100"/>
    <n v="10123.96"/>
    <n v="108"/>
    <s v="CREDITOR"/>
    <n v="0"/>
    <n v="0"/>
    <n v="0"/>
    <n v="0"/>
    <n v="108"/>
  </r>
  <r>
    <n v="61377855"/>
    <s v="N"/>
    <n v="21349854"/>
    <s v="3000015522930010"/>
    <s v="CIVIL"/>
    <d v="2023-06-29T00:00:00"/>
    <d v="2023-07-10T19:01:40"/>
    <m/>
    <d v="2023-07-10T00:00:00"/>
    <n v="1542"/>
    <n v="991"/>
    <s v="61377855"/>
    <s v="61377855"/>
    <m/>
    <m/>
    <n v="22790320"/>
    <m/>
    <m/>
    <m/>
    <s v="SOLFIN"/>
    <s v="SOLFIN"/>
    <s v="CCMS"/>
    <n v="21349854"/>
    <n v="11414.31"/>
    <m/>
    <s v="N"/>
    <n v="76"/>
    <d v="2023-07-10T19:01:59"/>
    <s v="Y"/>
    <s v="Attendance upon/with Counsel at Con"/>
    <s v="Care Remuneration Hourly Rates"/>
    <s v="Profit Cost"/>
    <s v="RG"/>
    <s v="Y"/>
    <n v="33.81"/>
    <n v="6.76"/>
    <x v="2"/>
    <s v="VALIDATED"/>
    <n v="1"/>
    <s v="01.11.80.308.6100.0000"/>
    <n v="33.81"/>
    <s v="11"/>
    <s v="6100"/>
    <n v="10123.96"/>
    <n v="33.81"/>
    <s v="CREDITOR"/>
    <n v="0"/>
    <n v="0"/>
    <n v="0"/>
    <n v="0"/>
    <n v="33.81"/>
  </r>
  <r>
    <n v="61377855"/>
    <s v="N"/>
    <n v="21349854"/>
    <s v="3000015522930010"/>
    <s v="CIVIL"/>
    <d v="2023-06-29T00:00:00"/>
    <d v="2023-07-10T19:01:40"/>
    <m/>
    <d v="2023-07-10T00:00:00"/>
    <n v="1542"/>
    <n v="991"/>
    <s v="61377855"/>
    <s v="61377855"/>
    <m/>
    <m/>
    <n v="22790320"/>
    <m/>
    <m/>
    <m/>
    <s v="SOLFIN"/>
    <s v="SOLFIN"/>
    <s v="CCMS"/>
    <n v="21349854"/>
    <n v="11414.31"/>
    <m/>
    <s v="N"/>
    <n v="93"/>
    <d v="2023-07-10T19:01:59"/>
    <s v="Y"/>
    <s v="Preparation - drafting instructions"/>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79"/>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13"/>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22"/>
    <d v="2023-07-10T19:01:59"/>
    <s v="Y"/>
    <s v="Attendance upon client"/>
    <s v="Care Remuneration Hourly Rates"/>
    <s v="Profit Cost"/>
    <s v="RG"/>
    <s v="Y"/>
    <n v="76.23"/>
    <n v="15.25"/>
    <x v="2"/>
    <s v="VALIDATED"/>
    <n v="1"/>
    <s v="01.11.80.308.6100.0000"/>
    <n v="76.23"/>
    <s v="11"/>
    <s v="6100"/>
    <n v="10123.96"/>
    <n v="76.23"/>
    <s v="CREDITOR"/>
    <n v="0"/>
    <n v="0"/>
    <n v="0"/>
    <n v="0"/>
    <n v="76.23"/>
  </r>
  <r>
    <n v="61377855"/>
    <s v="N"/>
    <n v="21349854"/>
    <s v="3000015522930010"/>
    <s v="CIVIL"/>
    <d v="2023-06-29T00:00:00"/>
    <d v="2023-07-10T19:01:40"/>
    <m/>
    <d v="2023-07-10T00:00:00"/>
    <n v="1542"/>
    <n v="991"/>
    <s v="61377855"/>
    <s v="61377855"/>
    <m/>
    <m/>
    <n v="22790320"/>
    <m/>
    <m/>
    <m/>
    <s v="SOLFIN"/>
    <s v="SOLFIN"/>
    <s v="CCMS"/>
    <n v="21349854"/>
    <n v="11414.31"/>
    <m/>
    <s v="N"/>
    <n v="94"/>
    <d v="2023-07-10T19:01:59"/>
    <s v="Y"/>
    <s v="Preparation - other"/>
    <s v="Care Remuneration Hourly Rates"/>
    <s v="Profit Cost"/>
    <s v="RG"/>
    <s v="Y"/>
    <n v="127.05"/>
    <n v="25.41"/>
    <x v="2"/>
    <s v="VALIDATED"/>
    <n v="1"/>
    <s v="01.11.80.308.6100.0000"/>
    <n v="127.05"/>
    <s v="11"/>
    <s v="6100"/>
    <n v="10123.96"/>
    <n v="127.05"/>
    <s v="CREDITOR"/>
    <n v="0"/>
    <n v="0"/>
    <n v="0"/>
    <n v="0"/>
    <n v="127.05"/>
  </r>
  <r>
    <n v="61377855"/>
    <s v="N"/>
    <n v="21349854"/>
    <s v="3000015522930010"/>
    <s v="CIVIL"/>
    <d v="2023-06-29T00:00:00"/>
    <d v="2023-07-10T19:01:40"/>
    <m/>
    <d v="2023-07-10T00:00:00"/>
    <n v="1542"/>
    <n v="991"/>
    <s v="61377855"/>
    <s v="61377855"/>
    <m/>
    <m/>
    <n v="22790320"/>
    <m/>
    <m/>
    <m/>
    <s v="SOLFIN"/>
    <s v="SOLFIN"/>
    <s v="CCMS"/>
    <n v="21349854"/>
    <n v="11414.31"/>
    <m/>
    <s v="N"/>
    <n v="103"/>
    <d v="2023-07-10T19:01:59"/>
    <s v="Y"/>
    <s v="Routine Telephone Call"/>
    <s v="Care Remuneration Hourly Rates"/>
    <s v="Profit Cost"/>
    <s v="RG"/>
    <s v="Y"/>
    <n v="21.22"/>
    <n v="4.24"/>
    <x v="2"/>
    <s v="VALIDATED"/>
    <n v="1"/>
    <s v="01.11.80.308.6100.0000"/>
    <n v="21.22"/>
    <s v="11"/>
    <s v="6100"/>
    <n v="10123.96"/>
    <n v="21.22"/>
    <s v="CREDITOR"/>
    <n v="0"/>
    <n v="0"/>
    <n v="0"/>
    <n v="0"/>
    <n v="21.22"/>
  </r>
  <r>
    <n v="61377855"/>
    <s v="N"/>
    <n v="21349854"/>
    <s v="3000015522930010"/>
    <s v="CIVIL"/>
    <d v="2023-06-29T00:00:00"/>
    <d v="2023-07-10T19:01:40"/>
    <m/>
    <d v="2023-07-10T00:00:00"/>
    <n v="1542"/>
    <n v="991"/>
    <s v="61377855"/>
    <s v="61377855"/>
    <m/>
    <m/>
    <n v="22790320"/>
    <m/>
    <m/>
    <m/>
    <s v="SOLFIN"/>
    <s v="SOLFIN"/>
    <s v="CCMS"/>
    <n v="21349854"/>
    <n v="11414.31"/>
    <m/>
    <s v="N"/>
    <n v="6"/>
    <d v="2023-07-10T19:01:59"/>
    <s v="Y"/>
    <s v="Preparation - other"/>
    <s v="Care Remuneration Hourly Rates"/>
    <s v="Profit Cost"/>
    <s v="RG"/>
    <s v="Y"/>
    <n v="19.06"/>
    <n v="3.81"/>
    <x v="2"/>
    <s v="VALIDATED"/>
    <n v="1"/>
    <s v="01.11.80.308.6100.0000"/>
    <n v="19.06"/>
    <s v="11"/>
    <s v="6100"/>
    <n v="10123.96"/>
    <n v="19.06"/>
    <s v="CREDITOR"/>
    <n v="0"/>
    <n v="0"/>
    <n v="0"/>
    <n v="0"/>
    <n v="19.06"/>
  </r>
  <r>
    <n v="61202843"/>
    <s v="N"/>
    <n v="21319403"/>
    <s v="3000015377940051"/>
    <s v="CIVIL"/>
    <d v="2023-06-28T00:00:00"/>
    <d v="2023-07-03T19:04:24"/>
    <m/>
    <d v="2023-07-03T00:00:00"/>
    <n v="1542"/>
    <n v="991"/>
    <s v="61202843"/>
    <s v="61202843"/>
    <m/>
    <m/>
    <n v="22776066"/>
    <m/>
    <m/>
    <m/>
    <s v="SOLPOA"/>
    <s v="SOLPOA"/>
    <s v="CCMS"/>
    <n v="21319403"/>
    <n v="30"/>
    <m/>
    <s v="N"/>
    <n v="1"/>
    <d v="2023-07-03T19:04:25"/>
    <s v="N"/>
    <s v="Expert Cost"/>
    <s v="Expert Cost"/>
    <s v="Expert Disbursement"/>
    <s v="Language Interpreters LTD"/>
    <s v="N"/>
    <n v="25"/>
    <n v="5"/>
    <x v="3"/>
    <s v="VALIDATED"/>
    <n v="1"/>
    <s v="01.11.80.308.2012.0000"/>
    <n v="25"/>
    <s v="11"/>
    <s v="2012"/>
    <n v="10123.96"/>
    <n v="25"/>
    <s v="CREDITOR"/>
    <n v="25"/>
    <n v="0"/>
    <n v="0"/>
    <n v="0"/>
    <n v="0"/>
  </r>
  <r>
    <n v="61377855"/>
    <s v="N"/>
    <n v="21349854"/>
    <s v="3000015522930010"/>
    <s v="CIVIL"/>
    <d v="2023-06-29T00:00:00"/>
    <d v="2023-07-10T19:01:40"/>
    <m/>
    <d v="2023-07-10T00:00:00"/>
    <n v="1542"/>
    <n v="991"/>
    <s v="61377855"/>
    <s v="61377855"/>
    <m/>
    <m/>
    <n v="22790320"/>
    <m/>
    <m/>
    <m/>
    <s v="SOLFIN"/>
    <s v="SOLFIN"/>
    <s v="CCMS"/>
    <n v="21349854"/>
    <n v="11414.31"/>
    <m/>
    <s v="N"/>
    <n v="7"/>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54"/>
    <d v="2023-07-10T19:01:59"/>
    <s v="Y"/>
    <s v="Preparation - other"/>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71"/>
    <d v="2023-07-10T19:01:59"/>
    <s v="Y"/>
    <s v="Preparation - other"/>
    <s v="Care Remuneration Hourly Rates"/>
    <s v="Profit Cost"/>
    <s v="RG"/>
    <s v="Y"/>
    <n v="50.82"/>
    <n v="10.16"/>
    <x v="2"/>
    <s v="VALIDATED"/>
    <n v="1"/>
    <s v="01.11.80.308.6100.0000"/>
    <n v="50.82"/>
    <s v="11"/>
    <s v="6100"/>
    <n v="10123.96"/>
    <n v="50.82"/>
    <s v="CREDITOR"/>
    <n v="0"/>
    <n v="0"/>
    <n v="0"/>
    <n v="0"/>
    <n v="50.82"/>
  </r>
  <r>
    <n v="61377855"/>
    <s v="N"/>
    <n v="21349854"/>
    <s v="3000015522930010"/>
    <s v="CIVIL"/>
    <d v="2023-06-29T00:00:00"/>
    <d v="2023-07-10T19:01:40"/>
    <m/>
    <d v="2023-07-10T00:00:00"/>
    <n v="1542"/>
    <n v="991"/>
    <s v="61377855"/>
    <s v="61377855"/>
    <m/>
    <m/>
    <n v="22790320"/>
    <m/>
    <m/>
    <m/>
    <s v="SOLFIN"/>
    <s v="SOLFIN"/>
    <s v="CCMS"/>
    <n v="21349854"/>
    <n v="11414.31"/>
    <m/>
    <s v="N"/>
    <n v="9"/>
    <d v="2023-07-10T19:01:59"/>
    <s v="Y"/>
    <s v="Preparation - other"/>
    <s v="Care Remuneration Hourly Rates"/>
    <s v="Profit Cost"/>
    <s v="RG"/>
    <s v="Y"/>
    <n v="31.76"/>
    <n v="6.35"/>
    <x v="2"/>
    <s v="VALIDATED"/>
    <n v="1"/>
    <s v="01.11.80.308.6100.0000"/>
    <n v="31.76"/>
    <s v="11"/>
    <s v="6100"/>
    <n v="10123.96"/>
    <n v="31.76"/>
    <s v="CREDITOR"/>
    <n v="0"/>
    <n v="0"/>
    <n v="0"/>
    <n v="0"/>
    <n v="31.76"/>
  </r>
  <r>
    <n v="62293797"/>
    <s v="N"/>
    <n v="21322521"/>
    <s v="3000016285620006"/>
    <s v="CIVIL"/>
    <d v="2023-06-29T00:00:00"/>
    <d v="2023-07-03T19:05:36"/>
    <m/>
    <d v="2023-07-03T00:00:00"/>
    <n v="1542"/>
    <n v="991"/>
    <s v="62293797"/>
    <s v="62293797"/>
    <m/>
    <m/>
    <n v="22788908"/>
    <m/>
    <m/>
    <m/>
    <s v="SOLPOA"/>
    <s v="SOLPOA"/>
    <s v="CCMS"/>
    <n v="21322521"/>
    <n v="143.1"/>
    <m/>
    <s v="N"/>
    <n v="1"/>
    <d v="2023-07-03T19:05:38"/>
    <s v="N"/>
    <s v="Expert Cost"/>
    <s v="Expert Cost"/>
    <s v="Expert Disbursement"/>
    <s v="Cansford Lab"/>
    <s v="N"/>
    <n v="119.25"/>
    <n v="23.85"/>
    <x v="3"/>
    <s v="VALIDATED"/>
    <n v="1"/>
    <s v="01.11.80.308.2012.0000"/>
    <n v="119.25"/>
    <s v="11"/>
    <s v="2012"/>
    <n v="10123.96"/>
    <n v="119.25"/>
    <s v="CREDITOR"/>
    <n v="119.25"/>
    <n v="0"/>
    <n v="0"/>
    <n v="0"/>
    <n v="0"/>
  </r>
  <r>
    <n v="61377855"/>
    <s v="N"/>
    <n v="21349854"/>
    <s v="3000015522930010"/>
    <s v="CIVIL"/>
    <d v="2023-06-29T00:00:00"/>
    <d v="2023-07-10T19:01:40"/>
    <m/>
    <d v="2023-07-10T00:00:00"/>
    <n v="1542"/>
    <n v="991"/>
    <s v="61377855"/>
    <s v="61377855"/>
    <m/>
    <m/>
    <n v="22790320"/>
    <m/>
    <m/>
    <m/>
    <s v="SOLFIN"/>
    <s v="SOLFIN"/>
    <s v="CCMS"/>
    <n v="21349854"/>
    <n v="11414.31"/>
    <m/>
    <s v="N"/>
    <n v="59"/>
    <d v="2023-07-10T19:01:59"/>
    <s v="Y"/>
    <s v="Preparation - other"/>
    <s v="Care Remuneration Hourly Rates"/>
    <s v="Profit Cost"/>
    <s v="RG"/>
    <s v="Y"/>
    <n v="25.42"/>
    <n v="5.08"/>
    <x v="2"/>
    <s v="VALIDATED"/>
    <n v="1"/>
    <s v="01.11.80.308.6100.0000"/>
    <n v="25.42"/>
    <s v="11"/>
    <s v="6100"/>
    <n v="10123.96"/>
    <n v="25.42"/>
    <s v="CREDITOR"/>
    <n v="0"/>
    <n v="0"/>
    <n v="0"/>
    <n v="0"/>
    <n v="25.42"/>
  </r>
  <r>
    <n v="61377855"/>
    <s v="N"/>
    <n v="21349854"/>
    <s v="3000015522930010"/>
    <s v="CIVIL"/>
    <d v="2023-06-29T00:00:00"/>
    <d v="2023-07-10T19:01:40"/>
    <m/>
    <d v="2023-07-10T00:00:00"/>
    <n v="1542"/>
    <n v="991"/>
    <s v="61377855"/>
    <s v="61377855"/>
    <m/>
    <m/>
    <n v="22790320"/>
    <m/>
    <m/>
    <m/>
    <s v="SOLFIN"/>
    <s v="SOLFIN"/>
    <s v="CCMS"/>
    <n v="21349854"/>
    <n v="11414.31"/>
    <m/>
    <s v="N"/>
    <n v="25"/>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89"/>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96"/>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40"/>
    <d v="2023-07-10T19:01:59"/>
    <s v="Y"/>
    <s v="Preparation - other"/>
    <s v="Care Remuneration Hourly Rates"/>
    <s v="Profit Cost"/>
    <s v="RG"/>
    <s v="Y"/>
    <n v="95.29000000000001"/>
    <n v="19.06"/>
    <x v="2"/>
    <s v="VALIDATED"/>
    <n v="1"/>
    <s v="01.11.80.308.6100.0000"/>
    <n v="95.29000000000001"/>
    <s v="11"/>
    <s v="6100"/>
    <n v="10123.96"/>
    <n v="95.29000000000001"/>
    <s v="CREDITOR"/>
    <n v="0"/>
    <n v="0"/>
    <n v="0"/>
    <n v="0"/>
    <n v="95.29000000000001"/>
  </r>
  <r>
    <n v="61377855"/>
    <s v="N"/>
    <n v="21349854"/>
    <s v="3000015522930010"/>
    <s v="CIVIL"/>
    <d v="2023-06-29T00:00:00"/>
    <d v="2023-07-10T19:01:40"/>
    <m/>
    <d v="2023-07-10T00:00:00"/>
    <n v="1542"/>
    <n v="991"/>
    <s v="61377855"/>
    <s v="61377855"/>
    <m/>
    <m/>
    <n v="22790320"/>
    <m/>
    <m/>
    <m/>
    <s v="SOLFIN"/>
    <s v="SOLFIN"/>
    <s v="CCMS"/>
    <n v="21349854"/>
    <n v="11414.31"/>
    <m/>
    <s v="N"/>
    <n v="14"/>
    <d v="2023-07-10T19:01:59"/>
    <s v="Y"/>
    <s v="Preparation - other"/>
    <s v="Care Remuneration Hourly Rates"/>
    <s v="Profit Cost"/>
    <s v="RG"/>
    <s v="Y"/>
    <n v="38.11"/>
    <n v="7.62"/>
    <x v="2"/>
    <s v="VALIDATED"/>
    <n v="1"/>
    <s v="01.11.80.308.6100.0000"/>
    <n v="38.11"/>
    <s v="11"/>
    <s v="6100"/>
    <n v="10123.96"/>
    <n v="38.11"/>
    <s v="CREDITOR"/>
    <n v="0"/>
    <n v="0"/>
    <n v="0"/>
    <n v="0"/>
    <n v="38.11"/>
  </r>
  <r>
    <n v="61377855"/>
    <s v="N"/>
    <n v="21349854"/>
    <s v="3000015522930010"/>
    <s v="CIVIL"/>
    <d v="2023-06-29T00:00:00"/>
    <d v="2023-07-10T19:01:40"/>
    <m/>
    <d v="2023-07-10T00:00:00"/>
    <n v="1542"/>
    <n v="991"/>
    <s v="61377855"/>
    <s v="61377855"/>
    <m/>
    <m/>
    <n v="22790320"/>
    <m/>
    <m/>
    <m/>
    <s v="SOLFIN"/>
    <s v="SOLFIN"/>
    <s v="CCMS"/>
    <n v="21349854"/>
    <n v="11414.31"/>
    <m/>
    <s v="N"/>
    <n v="105"/>
    <d v="2023-07-10T19:01:59"/>
    <s v="Y"/>
    <s v="Routine Letter In"/>
    <s v="Care Remuneration Hourly Rates"/>
    <s v="Profit Cost"/>
    <s v="RG"/>
    <s v="Y"/>
    <n v="1068.01"/>
    <n v="213.59"/>
    <x v="2"/>
    <s v="VALIDATED"/>
    <n v="1"/>
    <s v="01.11.80.308.6100.0000"/>
    <n v="1068.01"/>
    <s v="11"/>
    <s v="6100"/>
    <n v="10123.96"/>
    <n v="1068.01"/>
    <s v="CREDITOR"/>
    <n v="0"/>
    <n v="0"/>
    <n v="0"/>
    <n v="0"/>
    <n v="1068.01"/>
  </r>
  <r>
    <n v="61377855"/>
    <s v="N"/>
    <n v="21349854"/>
    <s v="3000015522930010"/>
    <s v="CIVIL"/>
    <d v="2023-06-29T00:00:00"/>
    <d v="2023-07-10T19:01:40"/>
    <m/>
    <d v="2023-07-10T00:00:00"/>
    <n v="1542"/>
    <n v="991"/>
    <s v="61377855"/>
    <s v="61377855"/>
    <m/>
    <m/>
    <n v="22790320"/>
    <m/>
    <m/>
    <m/>
    <s v="SOLFIN"/>
    <s v="SOLFIN"/>
    <s v="CCMS"/>
    <n v="21349854"/>
    <n v="11414.31"/>
    <m/>
    <s v="N"/>
    <n v="21"/>
    <d v="2023-07-10T19:01:59"/>
    <s v="Y"/>
    <s v="Preparation - drafting statement"/>
    <s v="Care Remuneration Hourly Rates"/>
    <s v="Profit Cost"/>
    <s v="RG"/>
    <s v="Y"/>
    <n v="63.53"/>
    <n v="12.71"/>
    <x v="2"/>
    <s v="VALIDATED"/>
    <n v="1"/>
    <s v="01.11.80.308.6100.0000"/>
    <n v="63.53"/>
    <s v="11"/>
    <s v="6100"/>
    <n v="10123.96"/>
    <n v="63.53"/>
    <s v="CREDITOR"/>
    <n v="0"/>
    <n v="0"/>
    <n v="0"/>
    <n v="0"/>
    <n v="63.53"/>
  </r>
  <r>
    <n v="61377855"/>
    <s v="N"/>
    <n v="21349854"/>
    <s v="3000015522930010"/>
    <s v="CIVIL"/>
    <d v="2023-06-29T00:00:00"/>
    <d v="2023-07-10T19:01:40"/>
    <m/>
    <d v="2023-07-10T00:00:00"/>
    <n v="1542"/>
    <n v="991"/>
    <s v="61377855"/>
    <s v="61377855"/>
    <m/>
    <m/>
    <n v="22790320"/>
    <m/>
    <m/>
    <m/>
    <s v="SOLFIN"/>
    <s v="SOLFIN"/>
    <s v="CCMS"/>
    <n v="21349854"/>
    <n v="11414.31"/>
    <m/>
    <s v="N"/>
    <n v="29"/>
    <d v="2023-07-10T19:01:59"/>
    <s v="Y"/>
    <s v="Preparation - other"/>
    <s v="Care Remuneration Hourly Rates"/>
    <s v="Profit Cost"/>
    <s v="RG"/>
    <s v="Y"/>
    <n v="95.29000000000001"/>
    <n v="19.06"/>
    <x v="2"/>
    <s v="VALIDATED"/>
    <n v="1"/>
    <s v="01.11.80.308.6100.0000"/>
    <n v="95.29000000000001"/>
    <s v="11"/>
    <s v="6100"/>
    <n v="10123.96"/>
    <n v="95.29000000000001"/>
    <s v="CREDITOR"/>
    <n v="0"/>
    <n v="0"/>
    <n v="0"/>
    <n v="0"/>
    <n v="95.29000000000001"/>
  </r>
  <r>
    <n v="61377855"/>
    <s v="N"/>
    <n v="21349854"/>
    <s v="3000015522930010"/>
    <s v="CIVIL"/>
    <d v="2023-06-29T00:00:00"/>
    <d v="2023-07-10T19:01:40"/>
    <m/>
    <d v="2023-07-10T00:00:00"/>
    <n v="1542"/>
    <n v="991"/>
    <s v="61377855"/>
    <s v="61377855"/>
    <m/>
    <m/>
    <n v="22790320"/>
    <m/>
    <m/>
    <m/>
    <s v="SOLFIN"/>
    <s v="SOLFIN"/>
    <s v="CCMS"/>
    <n v="21349854"/>
    <n v="11414.31"/>
    <m/>
    <s v="N"/>
    <n v="42"/>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53"/>
    <d v="2023-07-10T19:01:59"/>
    <s v="Y"/>
    <s v="Preparation - other"/>
    <s v="Care Remuneration Hourly Rates"/>
    <s v="Profit Cost"/>
    <s v="RG"/>
    <s v="Y"/>
    <n v="25.42"/>
    <n v="5.08"/>
    <x v="2"/>
    <s v="VALIDATED"/>
    <n v="1"/>
    <s v="01.11.80.308.6100.0000"/>
    <n v="25.42"/>
    <s v="11"/>
    <s v="6100"/>
    <n v="10123.96"/>
    <n v="25.42"/>
    <s v="CREDITOR"/>
    <n v="0"/>
    <n v="0"/>
    <n v="0"/>
    <n v="0"/>
    <n v="25.42"/>
  </r>
  <r>
    <n v="61377855"/>
    <s v="N"/>
    <n v="21349854"/>
    <s v="3000015522930010"/>
    <s v="CIVIL"/>
    <d v="2023-06-29T00:00:00"/>
    <d v="2023-07-10T19:01:40"/>
    <m/>
    <d v="2023-07-10T00:00:00"/>
    <n v="1542"/>
    <n v="991"/>
    <s v="61377855"/>
    <s v="61377855"/>
    <m/>
    <m/>
    <n v="22790320"/>
    <m/>
    <m/>
    <m/>
    <s v="SOLFIN"/>
    <s v="SOLFIN"/>
    <s v="CCMS"/>
    <n v="21349854"/>
    <n v="11414.31"/>
    <m/>
    <s v="N"/>
    <n v="57"/>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84"/>
    <d v="2023-07-10T19:01:59"/>
    <s v="Y"/>
    <s v="Preparation - other"/>
    <s v="Care Remuneration Hourly Rates"/>
    <s v="Profit Cost"/>
    <s v="RG"/>
    <s v="Y"/>
    <n v="6.35"/>
    <n v="1.27"/>
    <x v="2"/>
    <s v="VALIDATED"/>
    <n v="1"/>
    <s v="01.11.80.308.6100.0000"/>
    <n v="6.35"/>
    <s v="11"/>
    <s v="6100"/>
    <n v="10123.96"/>
    <n v="6.35"/>
    <s v="CREDITOR"/>
    <n v="0"/>
    <n v="0"/>
    <n v="0"/>
    <n v="0"/>
    <n v="6.35"/>
  </r>
  <r>
    <n v="61377855"/>
    <s v="N"/>
    <n v="21349854"/>
    <s v="3000015522930010"/>
    <s v="CIVIL"/>
    <d v="2023-06-29T00:00:00"/>
    <d v="2023-07-10T19:01:40"/>
    <m/>
    <d v="2023-07-10T00:00:00"/>
    <n v="1542"/>
    <n v="991"/>
    <s v="61377855"/>
    <s v="61377855"/>
    <m/>
    <m/>
    <n v="22790320"/>
    <m/>
    <m/>
    <m/>
    <s v="SOLFIN"/>
    <s v="SOLFIN"/>
    <s v="CCMS"/>
    <n v="21349854"/>
    <n v="11414.31"/>
    <m/>
    <s v="N"/>
    <n v="52"/>
    <d v="2023-07-10T19:01:59"/>
    <s v="Y"/>
    <s v="Preparation - other"/>
    <s v="Care Remuneration Hourly Rates"/>
    <s v="Profit Cost"/>
    <s v="RG"/>
    <s v="Y"/>
    <n v="19.06"/>
    <n v="3.81"/>
    <x v="2"/>
    <s v="VALIDATED"/>
    <n v="1"/>
    <s v="01.11.80.308.6100.0000"/>
    <n v="19.06"/>
    <s v="11"/>
    <s v="6100"/>
    <n v="10123.96"/>
    <n v="19.06"/>
    <s v="CREDITOR"/>
    <n v="0"/>
    <n v="0"/>
    <n v="0"/>
    <n v="0"/>
    <n v="19.06"/>
  </r>
  <r>
    <n v="61377855"/>
    <s v="N"/>
    <n v="21349854"/>
    <s v="3000015522930010"/>
    <s v="CIVIL"/>
    <d v="2023-06-29T00:00:00"/>
    <d v="2023-07-10T19:01:40"/>
    <m/>
    <d v="2023-07-10T00:00:00"/>
    <n v="1542"/>
    <n v="991"/>
    <s v="61377855"/>
    <s v="61377855"/>
    <m/>
    <m/>
    <n v="22790320"/>
    <m/>
    <m/>
    <m/>
    <s v="SOLFIN"/>
    <s v="SOLFIN"/>
    <s v="CCMS"/>
    <n v="21349854"/>
    <n v="11414.31"/>
    <m/>
    <s v="N"/>
    <n v="28"/>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77"/>
    <d v="2023-07-10T19:01:59"/>
    <s v="Y"/>
    <s v="Preparation - other"/>
    <s v="Care Remuneration Hourly Rates"/>
    <s v="Profit Cost"/>
    <s v="RG"/>
    <s v="Y"/>
    <n v="44.47"/>
    <n v="8.890000000000001"/>
    <x v="2"/>
    <s v="VALIDATED"/>
    <n v="1"/>
    <s v="01.11.80.308.6100.0000"/>
    <n v="44.47"/>
    <s v="11"/>
    <s v="6100"/>
    <n v="10123.96"/>
    <n v="44.47"/>
    <s v="CREDITOR"/>
    <n v="0"/>
    <n v="0"/>
    <n v="0"/>
    <n v="0"/>
    <n v="44.47"/>
  </r>
  <r>
    <n v="61377855"/>
    <s v="N"/>
    <n v="21349854"/>
    <s v="3000015522930010"/>
    <s v="CIVIL"/>
    <d v="2023-06-29T00:00:00"/>
    <d v="2023-07-10T19:01:40"/>
    <m/>
    <d v="2023-07-10T00:00:00"/>
    <n v="1542"/>
    <n v="991"/>
    <s v="61377855"/>
    <s v="61377855"/>
    <m/>
    <m/>
    <n v="22790320"/>
    <m/>
    <m/>
    <m/>
    <s v="SOLFIN"/>
    <s v="SOLFIN"/>
    <s v="CCMS"/>
    <n v="21349854"/>
    <n v="11414.31"/>
    <m/>
    <s v="N"/>
    <n v="35"/>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102"/>
    <d v="2023-07-10T19:01:59"/>
    <s v="Y"/>
    <s v="Preparation - drafting bill/claim f"/>
    <s v="Care Remuneration Hourly Rates"/>
    <s v="Profit Cost"/>
    <s v="RG"/>
    <s v="Y"/>
    <n v="412.92"/>
    <n v="82.58"/>
    <x v="2"/>
    <s v="VALIDATED"/>
    <n v="1"/>
    <s v="01.11.80.308.6100.0000"/>
    <n v="412.92"/>
    <s v="11"/>
    <s v="6100"/>
    <n v="10123.96"/>
    <n v="412.92"/>
    <s v="CREDITOR"/>
    <n v="0"/>
    <n v="0"/>
    <n v="0"/>
    <n v="0"/>
    <n v="412.92"/>
  </r>
  <r>
    <n v="61713470"/>
    <s v="N"/>
    <n v="21318638"/>
    <s v="3000015802200004"/>
    <s v="CIVIL"/>
    <d v="2023-06-13T00:00:00"/>
    <d v="2023-07-03T19:01:49"/>
    <m/>
    <d v="2023-07-03T00:00:00"/>
    <n v="1542"/>
    <n v="991"/>
    <s v="61713470"/>
    <s v="61713470"/>
    <m/>
    <m/>
    <n v="22677984"/>
    <m/>
    <m/>
    <m/>
    <s v="SOLFIN"/>
    <s v="SOLFIN"/>
    <s v="CCMS"/>
    <n v="21318638"/>
    <n v="3139.2"/>
    <m/>
    <s v="N"/>
    <n v="1"/>
    <d v="2023-07-03T19:02:00"/>
    <s v="Y"/>
    <s v="Solicitors Fixed Fee"/>
    <s v="Public Law Children"/>
    <s v="Profit Cost"/>
    <s v="Reena Ghai"/>
    <s v="Y"/>
    <n v="2616"/>
    <n v="523.2"/>
    <x v="3"/>
    <s v="VALIDATED"/>
    <n v="1"/>
    <s v="01.11.80.308.6100.0000"/>
    <n v="2616"/>
    <s v="11"/>
    <s v="6100"/>
    <n v="10123.96"/>
    <n v="2616"/>
    <s v="CREDITOR"/>
    <n v="0"/>
    <n v="0"/>
    <n v="0"/>
    <n v="0"/>
    <n v="2616"/>
  </r>
  <r>
    <n v="61377855"/>
    <s v="N"/>
    <n v="21349854"/>
    <s v="3000015522930010"/>
    <s v="CIVIL"/>
    <d v="2023-06-29T00:00:00"/>
    <d v="2023-07-10T19:01:40"/>
    <m/>
    <d v="2023-07-10T00:00:00"/>
    <n v="1542"/>
    <n v="991"/>
    <s v="61377855"/>
    <s v="61377855"/>
    <m/>
    <m/>
    <n v="22790320"/>
    <m/>
    <m/>
    <m/>
    <s v="SOLFIN"/>
    <s v="SOLFIN"/>
    <s v="CCMS"/>
    <n v="21349854"/>
    <n v="11414.31"/>
    <m/>
    <s v="N"/>
    <n v="45"/>
    <d v="2023-07-10T19:01:59"/>
    <s v="Y"/>
    <s v="Preparation - other"/>
    <s v="Care Remuneration Hourly Rates"/>
    <s v="Profit Cost"/>
    <s v="RG"/>
    <s v="Y"/>
    <n v="44.47"/>
    <n v="8.890000000000001"/>
    <x v="2"/>
    <s v="VALIDATED"/>
    <n v="1"/>
    <s v="01.11.80.308.6100.0000"/>
    <n v="44.47"/>
    <s v="11"/>
    <s v="6100"/>
    <n v="10123.96"/>
    <n v="44.47"/>
    <s v="CREDITOR"/>
    <n v="0"/>
    <n v="0"/>
    <n v="0"/>
    <n v="0"/>
    <n v="44.47"/>
  </r>
  <r>
    <n v="61377855"/>
    <s v="N"/>
    <n v="21349854"/>
    <s v="3000015522930010"/>
    <s v="CIVIL"/>
    <d v="2023-06-29T00:00:00"/>
    <d v="2023-07-10T19:01:40"/>
    <m/>
    <d v="2023-07-10T00:00:00"/>
    <n v="1542"/>
    <n v="991"/>
    <s v="61377855"/>
    <s v="61377855"/>
    <m/>
    <m/>
    <n v="22790320"/>
    <m/>
    <m/>
    <m/>
    <s v="SOLFIN"/>
    <s v="SOLFIN"/>
    <s v="CCMS"/>
    <n v="21349854"/>
    <n v="11414.31"/>
    <m/>
    <s v="N"/>
    <n v="86"/>
    <d v="2023-07-10T19:01:59"/>
    <s v="Y"/>
    <s v="Preparation - drafting statement"/>
    <s v="Care Remuneration Hourly Rates"/>
    <s v="Profit Cost"/>
    <s v="RG"/>
    <s v="Y"/>
    <n v="50.82"/>
    <n v="10.16"/>
    <x v="2"/>
    <s v="VALIDATED"/>
    <n v="1"/>
    <s v="01.11.80.308.6100.0000"/>
    <n v="50.82"/>
    <s v="11"/>
    <s v="6100"/>
    <n v="10123.96"/>
    <n v="50.82"/>
    <s v="CREDITOR"/>
    <n v="0"/>
    <n v="0"/>
    <n v="0"/>
    <n v="0"/>
    <n v="50.82"/>
  </r>
  <r>
    <n v="61377855"/>
    <s v="N"/>
    <n v="21349854"/>
    <s v="3000015522930010"/>
    <s v="CIVIL"/>
    <d v="2023-06-29T00:00:00"/>
    <d v="2023-07-10T19:01:40"/>
    <m/>
    <d v="2023-07-10T00:00:00"/>
    <n v="1542"/>
    <n v="991"/>
    <s v="61377855"/>
    <s v="61377855"/>
    <m/>
    <m/>
    <n v="22790320"/>
    <m/>
    <m/>
    <m/>
    <s v="SOLFIN"/>
    <s v="SOLFIN"/>
    <s v="CCMS"/>
    <n v="21349854"/>
    <n v="11414.31"/>
    <m/>
    <s v="N"/>
    <n v="12"/>
    <d v="2023-07-10T19:01:59"/>
    <s v="Y"/>
    <s v="Preparation - other"/>
    <s v="Care Remuneration Hourly Rates"/>
    <s v="Profit Cost"/>
    <s v="RG"/>
    <s v="Y"/>
    <n v="12.71"/>
    <n v="2.54"/>
    <x v="2"/>
    <s v="VALIDATED"/>
    <n v="1"/>
    <s v="01.11.80.308.6100.0000"/>
    <n v="12.71"/>
    <s v="11"/>
    <s v="6100"/>
    <n v="10123.96"/>
    <n v="12.71"/>
    <s v="CREDITOR"/>
    <n v="0"/>
    <n v="0"/>
    <n v="0"/>
    <n v="0"/>
    <n v="12.71"/>
  </r>
  <r>
    <n v="61377855"/>
    <s v="N"/>
    <n v="21349854"/>
    <s v="3000015522930010"/>
    <s v="CIVIL"/>
    <d v="2023-06-29T00:00:00"/>
    <d v="2023-07-10T19:01:40"/>
    <m/>
    <d v="2023-07-10T00:00:00"/>
    <n v="1542"/>
    <n v="991"/>
    <s v="61377855"/>
    <s v="61377855"/>
    <m/>
    <m/>
    <n v="22790320"/>
    <m/>
    <m/>
    <m/>
    <s v="SOLFIN"/>
    <s v="SOLFIN"/>
    <s v="CCMS"/>
    <n v="21349854"/>
    <n v="11414.31"/>
    <m/>
    <s v="N"/>
    <n v="107"/>
    <d v="2023-07-10T19:01:59"/>
    <s v="Y"/>
    <s v="Toxicologist"/>
    <s v="Care Remuneration Hourly Rates"/>
    <s v="Expert Disbursement"/>
    <s v="RG"/>
    <s v="Y"/>
    <n v="734.75"/>
    <n v="146.94"/>
    <x v="2"/>
    <s v="VALIDATED"/>
    <n v="1"/>
    <s v="01.11.80.308.6300.0000"/>
    <n v="734.75"/>
    <s v="11"/>
    <s v="6300"/>
    <n v="10123.96"/>
    <n v="734.75"/>
    <s v="CREDITOR"/>
    <n v="0"/>
    <n v="0"/>
    <n v="0"/>
    <n v="0"/>
    <n v="734.75"/>
  </r>
  <r>
    <n v="61377855"/>
    <s v="N"/>
    <n v="21349854"/>
    <s v="3000015522930010"/>
    <s v="CIVIL"/>
    <d v="2023-06-29T00:00:00"/>
    <d v="2023-07-10T19:01:40"/>
    <m/>
    <d v="2023-07-10T00:00:00"/>
    <n v="1542"/>
    <n v="991"/>
    <s v="61377855"/>
    <s v="61377855"/>
    <m/>
    <m/>
    <n v="22790320"/>
    <m/>
    <m/>
    <m/>
    <s v="SOLFIN"/>
    <s v="SOLFIN"/>
    <s v="CCMS"/>
    <n v="21349854"/>
    <n v="11414.31"/>
    <m/>
    <s v="N"/>
    <n v="41"/>
    <d v="2023-07-10T19:01:59"/>
    <s v="Y"/>
    <s v="Preparation - other"/>
    <s v="Care Remuneration Hourly Rates"/>
    <s v="Profit Cost"/>
    <s v="RG"/>
    <s v="Y"/>
    <n v="57.18"/>
    <n v="11.44"/>
    <x v="2"/>
    <s v="VALIDATED"/>
    <n v="1"/>
    <s v="01.11.80.308.6100.0000"/>
    <n v="57.18"/>
    <s v="11"/>
    <s v="6100"/>
    <n v="10123.96"/>
    <n v="57.18"/>
    <s v="CREDITOR"/>
    <n v="0"/>
    <n v="0"/>
    <n v="0"/>
    <n v="0"/>
    <n v="57.18"/>
  </r>
  <r>
    <n v="61377855"/>
    <s v="N"/>
    <n v="21349854"/>
    <s v="3000015522930010"/>
    <s v="CIVIL"/>
    <d v="2023-06-29T00:00:00"/>
    <d v="2023-07-10T19:01:40"/>
    <m/>
    <d v="2023-07-10T00:00:00"/>
    <n v="1542"/>
    <n v="991"/>
    <s v="61377855"/>
    <s v="61377855"/>
    <m/>
    <m/>
    <n v="22790320"/>
    <m/>
    <m/>
    <m/>
    <s v="SOLFIN"/>
    <s v="SOLFIN"/>
    <s v="CCMS"/>
    <n v="21349854"/>
    <n v="11414.31"/>
    <m/>
    <s v="N"/>
    <n v="65"/>
    <d v="2023-07-10T19:01:59"/>
    <s v="Y"/>
    <s v="Preparation - other"/>
    <s v="Care Remuneration Hourly Rates"/>
    <s v="Profit Cost"/>
    <s v="RG"/>
    <s v="Y"/>
    <n v="19.06"/>
    <n v="3.81"/>
    <x v="2"/>
    <s v="VALIDATED"/>
    <n v="1"/>
    <s v="01.11.80.308.6100.0000"/>
    <n v="19.06"/>
    <s v="11"/>
    <s v="6100"/>
    <n v="10123.96"/>
    <n v="19.06"/>
    <s v="CREDITOR"/>
    <n v="0"/>
    <n v="0"/>
    <n v="0"/>
    <n v="0"/>
    <n v="19.06"/>
  </r>
  <r>
    <n v="8777772"/>
    <s v="N"/>
    <n v="21363809"/>
    <s v="3000004790840002"/>
    <s v="CIVIL"/>
    <d v="2023-06-27T00:00:00"/>
    <d v="2023-07-12T19:01:49"/>
    <m/>
    <d v="2023-07-12T00:00:00"/>
    <n v="1545"/>
    <n v="1025"/>
    <s v="8777772"/>
    <s v="8777772"/>
    <m/>
    <m/>
    <n v="22767514"/>
    <m/>
    <m/>
    <m/>
    <s v="SOLFIN"/>
    <s v="SOLFIN"/>
    <s v="CCMS"/>
    <n v="21363809"/>
    <n v="0"/>
    <m/>
    <s v="N"/>
    <n v="1"/>
    <d v="2023-07-12T19:02:12"/>
    <s v="N"/>
    <s v="NIL BILL"/>
    <s v="Non Family Hourly Rates"/>
    <s v="Profit Cost"/>
    <s v="OP"/>
    <s v="N"/>
    <n v="0"/>
    <n v="0"/>
    <x v="0"/>
    <s v="VALIDATED"/>
    <n v="1"/>
    <s v="01.11.80.208.6100.0000"/>
    <n v="0"/>
    <s v="11"/>
    <s v="6100"/>
    <n v="-781.26"/>
    <n v="0"/>
    <s v="DEBTOR"/>
    <n v="0"/>
    <n v="0"/>
    <n v="0"/>
    <n v="0"/>
    <n v="0"/>
  </r>
  <r>
    <n v="8777772"/>
    <s v="N"/>
    <n v="21366465"/>
    <s v="3000004790840001RC"/>
    <s v="CIVIL"/>
    <d v="2023-06-27T00:00:00"/>
    <d v="2023-07-12T19:45:17"/>
    <m/>
    <d v="2023-07-12T00:00:00"/>
    <n v="1545"/>
    <n v="1025"/>
    <s v="8777772"/>
    <s v="8777772"/>
    <m/>
    <m/>
    <m/>
    <m/>
    <m/>
    <m/>
    <s v="SOLRECOUP"/>
    <s v="SOLRECOUP"/>
    <s v="POARECOUP"/>
    <n v="21366465"/>
    <n v="-781.26"/>
    <m/>
    <s v="Y"/>
    <n v="1"/>
    <d v="2023-07-12T19:45:18"/>
    <s v="N"/>
    <m/>
    <m/>
    <s v="Expert Disbursement"/>
    <m/>
    <s v="N"/>
    <n v="-651.05"/>
    <n v="0"/>
    <x v="0"/>
    <s v="VALIDATED"/>
    <n v="1"/>
    <s v="01.11.80.208.2013.0000"/>
    <n v="-651.05"/>
    <s v="11"/>
    <s v="2013"/>
    <n v="-781.26"/>
    <n v="-651.05"/>
    <s v="DEBTOR"/>
    <n v="0"/>
    <n v="0"/>
    <n v="0"/>
    <n v="0"/>
    <n v="0"/>
  </r>
  <r>
    <n v="8777772"/>
    <s v="N"/>
    <n v="21366465"/>
    <s v="3000004790840001RC"/>
    <s v="CIVIL"/>
    <d v="2023-06-27T00:00:00"/>
    <d v="2023-07-12T19:45:17"/>
    <m/>
    <d v="2023-07-12T00:00:00"/>
    <n v="1545"/>
    <n v="1025"/>
    <s v="8777772"/>
    <s v="8777772"/>
    <m/>
    <m/>
    <m/>
    <m/>
    <m/>
    <m/>
    <s v="SOLRECOUP"/>
    <s v="SOLRECOUP"/>
    <s v="POARECOUP"/>
    <n v="21366465"/>
    <n v="-781.26"/>
    <m/>
    <s v="Y"/>
    <n v="2"/>
    <d v="2023-07-12T19:45:18"/>
    <s v="N"/>
    <m/>
    <m/>
    <s v="Expert Disbursement"/>
    <m/>
    <s v="N"/>
    <n v="0"/>
    <n v="-130.21"/>
    <x v="0"/>
    <s v="VALIDATED"/>
    <n v="1"/>
    <s v="01.11.80.208.2013.0000"/>
    <n v="-130.21"/>
    <s v="11"/>
    <s v="2013"/>
    <n v="-781.26"/>
    <n v="-130.21"/>
    <s v="DEBTOR"/>
    <n v="0"/>
    <n v="0"/>
    <n v="0"/>
    <n v="0"/>
    <n v="0"/>
  </r>
  <r>
    <n v="55772268"/>
    <s v="N"/>
    <n v="21375586"/>
    <s v="3000013195270029"/>
    <s v="CIVIL"/>
    <d v="2023-06-28T00:00:00"/>
    <d v="2023-07-14T10:00:03"/>
    <m/>
    <d v="2023-07-14T00:00:00"/>
    <n v="1547"/>
    <n v="1047"/>
    <s v="55772268"/>
    <s v="55772268"/>
    <m/>
    <m/>
    <n v="22784358"/>
    <m/>
    <m/>
    <m/>
    <s v="SOLPOA"/>
    <s v="SOLPOA"/>
    <s v="CCMS"/>
    <n v="21375586"/>
    <n v="509.93"/>
    <m/>
    <s v="N"/>
    <n v="1"/>
    <d v="2023-07-14T10:00:16"/>
    <s v="N"/>
    <s v="Expert Cost"/>
    <s v="Expert Cost"/>
    <s v="Expert Disbursement"/>
    <s v="Boyd Carter"/>
    <s v="N"/>
    <n v="424.94"/>
    <n v="84.98999999999999"/>
    <x v="10"/>
    <s v="VALIDATED"/>
    <n v="1"/>
    <s v="01.11.80.308.2012.0000"/>
    <n v="424.94"/>
    <s v="11"/>
    <s v="2012"/>
    <n v="3476.87"/>
    <n v="424.94"/>
    <s v="CREDITOR"/>
    <n v="424.94"/>
    <n v="0"/>
    <n v="0"/>
    <n v="0"/>
    <n v="0"/>
  </r>
  <r>
    <n v="61221191"/>
    <s v="N"/>
    <n v="21321790"/>
    <s v="3000015380630005"/>
    <s v="CIVIL"/>
    <d v="2023-06-28T00:00:00"/>
    <d v="2023-07-03T19:05:17"/>
    <m/>
    <d v="2023-07-03T00:00:00"/>
    <n v="1547"/>
    <n v="1047"/>
    <s v="61221191"/>
    <s v="61221191"/>
    <m/>
    <m/>
    <n v="22784354"/>
    <m/>
    <m/>
    <m/>
    <s v="SOLPOA"/>
    <s v="SOLPOA"/>
    <s v="CCMS"/>
    <n v="21321790"/>
    <n v="373.8"/>
    <m/>
    <s v="N"/>
    <n v="1"/>
    <d v="2023-07-03T19:05:20"/>
    <s v="N"/>
    <s v="Expert Cost"/>
    <s v="Expert Cost"/>
    <s v="Expert Disbursement"/>
    <s v="Boyd Carter"/>
    <s v="N"/>
    <n v="311.5"/>
    <n v="62.3"/>
    <x v="3"/>
    <s v="VALIDATED"/>
    <n v="1"/>
    <s v="01.11.80.308.2012.0000"/>
    <n v="311.5"/>
    <s v="11"/>
    <s v="2012"/>
    <n v="3476.87"/>
    <n v="311.5"/>
    <s v="CREDITOR"/>
    <n v="311.5"/>
    <n v="0"/>
    <n v="0"/>
    <n v="0"/>
    <n v="0"/>
  </r>
  <r>
    <n v="61391954"/>
    <s v="N"/>
    <n v="21321419"/>
    <s v="3000015514180009"/>
    <s v="CIVIL"/>
    <d v="2023-06-28T00:00:00"/>
    <d v="2023-07-03T19:05:17"/>
    <m/>
    <d v="2023-07-03T00:00:00"/>
    <n v="1547"/>
    <n v="1047"/>
    <s v="61391954"/>
    <s v="61391954"/>
    <m/>
    <m/>
    <n v="22784348"/>
    <m/>
    <m/>
    <m/>
    <s v="SOLPOA"/>
    <s v="SOLPOA"/>
    <s v="CCMS"/>
    <n v="21321419"/>
    <n v="198.42"/>
    <m/>
    <s v="N"/>
    <n v="1"/>
    <d v="2023-07-03T19:05:18"/>
    <s v="N"/>
    <s v="Expert Cost"/>
    <s v="Expert Cost"/>
    <s v="Expert Disbursement"/>
    <s v="Boyd Carter"/>
    <s v="N"/>
    <n v="165.35"/>
    <n v="33.07"/>
    <x v="3"/>
    <s v="VALIDATED"/>
    <n v="1"/>
    <s v="01.11.80.308.2012.0000"/>
    <n v="165.35"/>
    <s v="11"/>
    <s v="2012"/>
    <n v="3476.87"/>
    <n v="165.35"/>
    <s v="CREDITOR"/>
    <n v="165.35"/>
    <n v="0"/>
    <n v="0"/>
    <n v="0"/>
    <n v="0"/>
  </r>
  <r>
    <n v="61455018"/>
    <s v="N"/>
    <n v="21321453"/>
    <s v="3000015585470006"/>
    <s v="CIVIL"/>
    <d v="2023-06-28T00:00:00"/>
    <d v="2023-07-03T19:05:17"/>
    <m/>
    <d v="2023-07-03T00:00:00"/>
    <n v="1547"/>
    <n v="1047"/>
    <s v="61455018"/>
    <s v="61455018"/>
    <m/>
    <m/>
    <n v="22784344"/>
    <m/>
    <m/>
    <m/>
    <s v="SOLPOA"/>
    <s v="SOLPOA"/>
    <s v="CCMS"/>
    <n v="21321453"/>
    <n v="604.8"/>
    <m/>
    <s v="N"/>
    <n v="1"/>
    <d v="2023-07-03T19:05:19"/>
    <s v="N"/>
    <s v="Expert Cost"/>
    <s v="Expert Cost"/>
    <s v="Expert Disbursement"/>
    <s v="Boyd Carter"/>
    <s v="N"/>
    <n v="504"/>
    <n v="100.8"/>
    <x v="3"/>
    <s v="VALIDATED"/>
    <n v="1"/>
    <s v="01.11.80.308.2012.0000"/>
    <n v="504"/>
    <s v="11"/>
    <s v="2012"/>
    <n v="3476.87"/>
    <n v="504"/>
    <s v="CREDITOR"/>
    <n v="504"/>
    <n v="0"/>
    <n v="0"/>
    <n v="0"/>
    <n v="0"/>
  </r>
  <r>
    <n v="61545957"/>
    <s v="N"/>
    <n v="21318746"/>
    <s v="3000015657920003"/>
    <s v="CIVIL"/>
    <d v="2023-06-23T00:00:00"/>
    <d v="2023-07-03T19:01:49"/>
    <m/>
    <d v="2023-07-03T00:00:00"/>
    <n v="1547"/>
    <n v="1047"/>
    <s v="61545957"/>
    <s v="61545957"/>
    <m/>
    <m/>
    <n v="22749878"/>
    <m/>
    <m/>
    <m/>
    <s v="SOLPOA"/>
    <s v="SOLPOA"/>
    <s v="CCMS"/>
    <n v="21318746"/>
    <n v="2485.3"/>
    <m/>
    <s v="N"/>
    <n v="1"/>
    <d v="2023-07-03T19:02:02"/>
    <s v="N"/>
    <s v="Profit Cost"/>
    <s v="Profit Cost"/>
    <s v="Profit Cost"/>
    <s v="A GARROD"/>
    <s v="N"/>
    <n v="2071.08"/>
    <n v="414.22"/>
    <x v="3"/>
    <s v="VALIDATED"/>
    <n v="1"/>
    <s v="01.11.80.307.2012.0000"/>
    <n v="2071.08"/>
    <s v="11"/>
    <s v="2012"/>
    <n v="3476.87"/>
    <n v="2071.08"/>
    <s v="CREDITOR"/>
    <n v="2071.08"/>
    <n v="517.77"/>
    <n v="0"/>
    <n v="0"/>
    <n v="0"/>
  </r>
  <r>
    <n v="62331174"/>
    <s v="N"/>
    <n v="21322769"/>
    <s v="3000016318550001"/>
    <s v="CIVIL"/>
    <d v="2023-06-29T00:00:00"/>
    <d v="2023-07-03T19:05:36"/>
    <m/>
    <d v="2023-07-03T00:00:00"/>
    <n v="1559"/>
    <n v="1148"/>
    <s v="62331174"/>
    <s v="62331174"/>
    <m/>
    <m/>
    <n v="22793788"/>
    <m/>
    <m/>
    <m/>
    <s v="SOLPOA"/>
    <s v="SOLPOA"/>
    <s v="CCMS"/>
    <n v="21322769"/>
    <n v="183.66"/>
    <m/>
    <s v="N"/>
    <n v="1"/>
    <d v="2023-07-03T19:05:40"/>
    <s v="N"/>
    <s v="Expert Cost"/>
    <s v="Expert Cost"/>
    <s v="Expert Disbursement"/>
    <s v="Ruth Kilpatrick"/>
    <s v="N"/>
    <n v="153.05"/>
    <n v="30.61"/>
    <x v="3"/>
    <s v="VALIDATED"/>
    <n v="1"/>
    <s v="01.11.80.308.2012.0000"/>
    <n v="153.05"/>
    <s v="11"/>
    <s v="2012"/>
    <n v="880.67"/>
    <n v="153.05"/>
    <s v="CREDITOR"/>
    <n v="153.05"/>
    <n v="0"/>
    <n v="0"/>
    <n v="0"/>
    <n v="0"/>
  </r>
  <r>
    <n v="62280434"/>
    <s v="N"/>
    <n v="21322780"/>
    <s v="3000016275120003"/>
    <s v="CIVIL"/>
    <d v="2023-06-29T00:00:00"/>
    <d v="2023-07-03T19:05:36"/>
    <m/>
    <d v="2023-07-03T00:00:00"/>
    <n v="1559"/>
    <n v="1148"/>
    <s v="62280434"/>
    <s v="62280434"/>
    <m/>
    <m/>
    <n v="22793374"/>
    <m/>
    <m/>
    <m/>
    <s v="SOLPOA"/>
    <s v="SOLPOA"/>
    <s v="CCMS"/>
    <n v="21322780"/>
    <n v="151.2"/>
    <m/>
    <s v="N"/>
    <n v="1"/>
    <d v="2023-07-03T19:05:40"/>
    <s v="N"/>
    <s v="Expert Cost"/>
    <s v="Expert Cost"/>
    <s v="Expert Disbursement"/>
    <s v="Doug Darlow"/>
    <s v="N"/>
    <n v="126"/>
    <n v="25.2"/>
    <x v="3"/>
    <s v="VALIDATED"/>
    <n v="1"/>
    <s v="01.11.80.308.2012.0000"/>
    <n v="126"/>
    <s v="11"/>
    <s v="2012"/>
    <n v="880.67"/>
    <n v="126"/>
    <s v="CREDITOR"/>
    <n v="126"/>
    <n v="0"/>
    <n v="0"/>
    <n v="0"/>
    <n v="0"/>
  </r>
  <r>
    <n v="61076261"/>
    <s v="N"/>
    <n v="21322827"/>
    <s v="3000015272480007"/>
    <s v="CIVIL"/>
    <d v="2023-06-29T00:00:00"/>
    <d v="2023-07-03T19:05:36"/>
    <m/>
    <d v="2023-07-03T00:00:00"/>
    <n v="1559"/>
    <n v="1148"/>
    <s v="61076261"/>
    <s v="61076261"/>
    <m/>
    <m/>
    <n v="22793176"/>
    <m/>
    <m/>
    <m/>
    <s v="SOLPOA"/>
    <s v="SOLPOA"/>
    <s v="CCMS"/>
    <n v="21322827"/>
    <n v="487.44"/>
    <m/>
    <s v="N"/>
    <n v="1"/>
    <d v="2023-07-03T19:05:40"/>
    <s v="N"/>
    <s v="Expert Cost"/>
    <s v="Expert Cost"/>
    <s v="Expert Disbursement"/>
    <s v="Ruth Kilpatrick"/>
    <s v="N"/>
    <n v="406.2"/>
    <n v="81.23999999999999"/>
    <x v="3"/>
    <s v="VALIDATED"/>
    <n v="1"/>
    <s v="01.11.80.308.2012.0000"/>
    <n v="406.2"/>
    <s v="11"/>
    <s v="2012"/>
    <n v="880.67"/>
    <n v="406.2"/>
    <s v="CREDITOR"/>
    <n v="406.2"/>
    <n v="0"/>
    <n v="0"/>
    <n v="0"/>
    <n v="0"/>
  </r>
  <r>
    <n v="61076261"/>
    <s v="N"/>
    <n v="21322888"/>
    <s v="3000015272480008"/>
    <s v="CIVIL"/>
    <d v="2023-06-29T00:00:00"/>
    <d v="2023-07-03T19:05:36"/>
    <m/>
    <d v="2023-07-03T00:00:00"/>
    <n v="1559"/>
    <n v="1148"/>
    <s v="61076261"/>
    <s v="61076261"/>
    <m/>
    <m/>
    <n v="22793804"/>
    <m/>
    <m/>
    <m/>
    <s v="SOLPOA"/>
    <s v="SOLPOA"/>
    <s v="CCMS"/>
    <n v="21322888"/>
    <n v="34.1"/>
    <m/>
    <s v="N"/>
    <n v="1"/>
    <d v="2023-07-03T19:05:40"/>
    <s v="N"/>
    <s v="Expert Cost"/>
    <s v="Expert Cost"/>
    <s v="Expert Disbursement"/>
    <s v="Ruth Kilpatrick"/>
    <s v="N"/>
    <n v="28.42"/>
    <n v="5.68"/>
    <x v="3"/>
    <s v="VALIDATED"/>
    <n v="1"/>
    <s v="01.11.80.308.2012.0000"/>
    <n v="28.42"/>
    <s v="11"/>
    <s v="2012"/>
    <n v="880.67"/>
    <n v="28.42"/>
    <s v="CREDITOR"/>
    <n v="28.42"/>
    <n v="0"/>
    <n v="0"/>
    <n v="0"/>
    <n v="0"/>
  </r>
  <r>
    <n v="59867732"/>
    <s v="N"/>
    <n v="21322799"/>
    <s v="3000014228680014"/>
    <s v="CIVIL"/>
    <d v="2023-06-29T00:00:00"/>
    <d v="2023-07-03T19:05:36"/>
    <m/>
    <d v="2023-07-03T00:00:00"/>
    <n v="1559"/>
    <n v="1148"/>
    <s v="59867732"/>
    <s v="59867732"/>
    <m/>
    <m/>
    <n v="22793280"/>
    <m/>
    <m/>
    <m/>
    <s v="SOLPOA"/>
    <s v="SOLPOA"/>
    <s v="CCMS"/>
    <n v="21322799"/>
    <n v="167"/>
    <m/>
    <s v="N"/>
    <n v="1"/>
    <d v="2023-07-03T19:05:40"/>
    <s v="N"/>
    <s v="Non Expert Disbursement"/>
    <s v="Non Expert Disbursement"/>
    <s v="Non Expert Disbursement"/>
    <s v="Ruth Kilpatrick"/>
    <s v="N"/>
    <n v="167"/>
    <n v="0"/>
    <x v="3"/>
    <s v="VALIDATED"/>
    <n v="1"/>
    <s v="01.11.80.308.2012.0000"/>
    <n v="167"/>
    <s v="11"/>
    <s v="2012"/>
    <n v="880.67"/>
    <n v="167"/>
    <s v="CREDITOR"/>
    <n v="167"/>
    <n v="0"/>
    <n v="0"/>
    <n v="0"/>
    <n v="0"/>
  </r>
  <r>
    <n v="61843858"/>
    <s v="N"/>
    <n v="21319505"/>
    <s v="3000015909900006"/>
    <s v="CIVIL"/>
    <d v="2023-06-28T00:00:00"/>
    <d v="2023-07-03T19:04:24"/>
    <m/>
    <d v="2023-07-03T00:00:00"/>
    <n v="1562"/>
    <n v="14355"/>
    <s v="61843858"/>
    <s v="61843858"/>
    <m/>
    <m/>
    <n v="22778018"/>
    <m/>
    <m/>
    <m/>
    <s v="SOLPOA"/>
    <s v="SOLPOA"/>
    <s v="CCMS"/>
    <n v="21319505"/>
    <n v="130.2"/>
    <m/>
    <s v="N"/>
    <n v="1"/>
    <d v="2023-07-03T19:04:26"/>
    <s v="N"/>
    <s v="Expert Cost"/>
    <s v="Expert Cost"/>
    <s v="Expert Disbursement"/>
    <s v="Naomi Yeshua"/>
    <s v="N"/>
    <n v="108.5"/>
    <n v="21.7"/>
    <x v="3"/>
    <s v="VALIDATED"/>
    <n v="1"/>
    <s v="01.11.80.308.2012.0000"/>
    <n v="108.5"/>
    <s v="11"/>
    <s v="2012"/>
    <n v="108.5"/>
    <n v="108.5"/>
    <s v="CREDITOR"/>
    <n v="108.5"/>
    <n v="0"/>
    <n v="0"/>
    <n v="0"/>
    <n v="0"/>
  </r>
  <r>
    <n v="61180484"/>
    <s v="N"/>
    <n v="21319401"/>
    <s v="3000015359630016"/>
    <s v="CIVIL"/>
    <d v="2023-06-28T00:00:00"/>
    <d v="2023-07-03T19:04:24"/>
    <m/>
    <d v="2023-07-03T00:00:00"/>
    <n v="1564"/>
    <n v="1192"/>
    <s v="61180484"/>
    <s v="61180484"/>
    <m/>
    <m/>
    <n v="22778226"/>
    <m/>
    <m/>
    <m/>
    <s v="SOLPOA"/>
    <s v="SOLPOA"/>
    <s v="CCMS"/>
    <n v="21319401"/>
    <n v="138.4"/>
    <m/>
    <s v="N"/>
    <n v="1"/>
    <d v="2023-07-03T19:04:25"/>
    <s v="N"/>
    <s v="Expert Cost"/>
    <s v="Expert Cost"/>
    <s v="Expert Disbursement"/>
    <s v="Helina Nnawuchi"/>
    <s v="N"/>
    <n v="115.33"/>
    <n v="23.07"/>
    <x v="3"/>
    <s v="VALIDATED"/>
    <n v="1"/>
    <s v="01.11.80.308.2012.0000"/>
    <n v="115.33"/>
    <s v="11"/>
    <s v="2012"/>
    <n v="5926.59"/>
    <n v="115.33"/>
    <s v="CREDITOR"/>
    <n v="115.33"/>
    <n v="0"/>
    <n v="0"/>
    <n v="0"/>
    <n v="0"/>
  </r>
  <r>
    <n v="61617976"/>
    <s v="N"/>
    <n v="21323554"/>
    <s v="3000015723910007"/>
    <s v="CIVIL"/>
    <d v="2023-06-30T00:00:00"/>
    <d v="2023-07-03T19:05:56"/>
    <m/>
    <d v="2023-07-03T00:00:00"/>
    <n v="1564"/>
    <n v="1192"/>
    <s v="61617976"/>
    <s v="61617976"/>
    <m/>
    <m/>
    <n v="22799370"/>
    <m/>
    <m/>
    <m/>
    <s v="SOLPOA"/>
    <s v="SOLPOA"/>
    <s v="CCMS"/>
    <n v="21323554"/>
    <n v="540"/>
    <m/>
    <s v="N"/>
    <n v="1"/>
    <d v="2023-07-03T19:05:57"/>
    <s v="N"/>
    <s v="Expert Cost"/>
    <s v="Expert Cost"/>
    <s v="Expert Disbursement"/>
    <s v="Lina Chauhan"/>
    <s v="N"/>
    <n v="450"/>
    <n v="90"/>
    <x v="3"/>
    <s v="VALIDATED"/>
    <n v="1"/>
    <s v="01.11.80.308.2012.0000"/>
    <n v="450"/>
    <s v="11"/>
    <s v="2012"/>
    <n v="5926.59"/>
    <n v="450"/>
    <s v="CREDITOR"/>
    <n v="450"/>
    <n v="0"/>
    <n v="0"/>
    <n v="0"/>
    <n v="0"/>
  </r>
  <r>
    <n v="56270715"/>
    <s v="N"/>
    <n v="21320646"/>
    <s v="3000013359090164"/>
    <s v="CIVIL"/>
    <d v="2023-06-28T00:00:00"/>
    <d v="2023-07-03T19:04:52"/>
    <m/>
    <d v="2023-07-03T00:00:00"/>
    <n v="1564"/>
    <n v="1192"/>
    <s v="56270715"/>
    <s v="56270715"/>
    <m/>
    <m/>
    <n v="22778468"/>
    <m/>
    <m/>
    <m/>
    <s v="SOLPOA"/>
    <s v="SOLPOA"/>
    <s v="CCMS"/>
    <n v="21320646"/>
    <n v="75"/>
    <m/>
    <s v="N"/>
    <n v="1"/>
    <d v="2023-07-03T19:04:55"/>
    <s v="N"/>
    <s v="Expert Cost"/>
    <s v="Expert Cost"/>
    <s v="Expert Disbursement"/>
    <s v="Anna Stinton"/>
    <s v="N"/>
    <n v="62.5"/>
    <n v="12.5"/>
    <x v="3"/>
    <s v="VALIDATED"/>
    <n v="1"/>
    <s v="01.11.80.308.2012.0000"/>
    <n v="62.5"/>
    <s v="11"/>
    <s v="2012"/>
    <n v="5926.59"/>
    <n v="62.5"/>
    <s v="CREDITOR"/>
    <n v="62.5"/>
    <n v="0"/>
    <n v="0"/>
    <n v="0"/>
    <n v="0"/>
  </r>
  <r>
    <n v="43359110"/>
    <s v="N"/>
    <n v="21323495"/>
    <s v="3000011521710016"/>
    <s v="CIVIL"/>
    <d v="2023-06-30T00:00:00"/>
    <d v="2023-07-03T19:05:56"/>
    <m/>
    <d v="2023-07-03T00:00:00"/>
    <n v="1564"/>
    <n v="1192"/>
    <s v="43359110"/>
    <s v="43359110"/>
    <m/>
    <m/>
    <n v="22799672"/>
    <m/>
    <m/>
    <m/>
    <s v="SOLPOA"/>
    <s v="SOLPOA"/>
    <s v="CCMS"/>
    <n v="21323495"/>
    <n v="162"/>
    <m/>
    <s v="N"/>
    <n v="1"/>
    <d v="2023-07-03T19:05:57"/>
    <s v="N"/>
    <s v="Expert Cost"/>
    <s v="Expert Cost"/>
    <s v="Expert Disbursement"/>
    <s v="Lina Chauhan"/>
    <s v="N"/>
    <n v="135"/>
    <n v="27"/>
    <x v="3"/>
    <s v="VALIDATED"/>
    <n v="1"/>
    <s v="01.11.80.308.2012.0000"/>
    <n v="135"/>
    <s v="11"/>
    <s v="2012"/>
    <n v="5926.59"/>
    <n v="135"/>
    <s v="CREDITOR"/>
    <n v="135"/>
    <n v="0"/>
    <n v="0"/>
    <n v="0"/>
    <n v="0"/>
  </r>
  <r>
    <n v="43359110"/>
    <s v="N"/>
    <n v="21323773"/>
    <s v="3000011521710017"/>
    <s v="CIVIL"/>
    <d v="2023-06-30T00:00:00"/>
    <d v="2023-07-03T19:05:56"/>
    <m/>
    <d v="2023-07-03T00:00:00"/>
    <n v="1564"/>
    <n v="1192"/>
    <s v="43359110"/>
    <s v="43359110"/>
    <m/>
    <m/>
    <n v="22799594"/>
    <m/>
    <m/>
    <m/>
    <s v="SOLPOA"/>
    <s v="SOLPOA"/>
    <s v="CCMS"/>
    <n v="21323773"/>
    <n v="1188"/>
    <m/>
    <s v="N"/>
    <n v="1"/>
    <d v="2023-07-03T19:05:58"/>
    <s v="N"/>
    <s v="Expert Cost"/>
    <s v="Expert Cost"/>
    <s v="Expert Disbursement"/>
    <s v="Lina Chauhan"/>
    <s v="N"/>
    <n v="990"/>
    <n v="198"/>
    <x v="3"/>
    <s v="VALIDATED"/>
    <n v="1"/>
    <s v="01.11.80.308.2012.0000"/>
    <n v="990"/>
    <s v="11"/>
    <s v="2012"/>
    <n v="5926.59"/>
    <n v="990"/>
    <s v="CREDITOR"/>
    <n v="990"/>
    <n v="0"/>
    <n v="0"/>
    <n v="0"/>
    <n v="0"/>
  </r>
  <r>
    <n v="62455816"/>
    <s v="N"/>
    <n v="21319269"/>
    <s v="3000016266580001"/>
    <s v="CIVIL"/>
    <d v="2023-06-28T00:00:00"/>
    <d v="2023-07-03T19:04:24"/>
    <m/>
    <d v="2023-07-03T00:00:00"/>
    <n v="1564"/>
    <n v="1192"/>
    <s v="62455816"/>
    <s v="62455816"/>
    <m/>
    <m/>
    <n v="22776780"/>
    <m/>
    <m/>
    <m/>
    <s v="SOLPOA"/>
    <s v="SOLPOA"/>
    <s v="CCMS"/>
    <n v="21319269"/>
    <n v="371"/>
    <m/>
    <s v="N"/>
    <n v="1"/>
    <d v="2023-07-03T19:04:25"/>
    <s v="N"/>
    <s v="Non Expert Disbursement"/>
    <s v="Non Expert Disbursement"/>
    <s v="Non Expert Disbursement"/>
    <s v="Anna Christodoulou"/>
    <s v="N"/>
    <n v="371"/>
    <n v="0"/>
    <x v="3"/>
    <s v="VALIDATED"/>
    <n v="1"/>
    <s v="01.11.80.203.2012.0000"/>
    <n v="371"/>
    <s v="11"/>
    <s v="2012"/>
    <n v="5926.59"/>
    <n v="371"/>
    <s v="CREDITOR"/>
    <n v="371"/>
    <n v="0"/>
    <n v="0"/>
    <n v="0"/>
    <n v="0"/>
  </r>
  <r>
    <n v="61973460"/>
    <s v="N"/>
    <n v="21319900"/>
    <s v="3000015923780002"/>
    <s v="CIVIL"/>
    <d v="2023-06-28T00:00:00"/>
    <d v="2023-07-03T19:04:24"/>
    <m/>
    <d v="2023-07-03T00:00:00"/>
    <n v="1564"/>
    <n v="1192"/>
    <s v="61973460"/>
    <s v="61973460"/>
    <m/>
    <m/>
    <n v="22776988"/>
    <m/>
    <m/>
    <m/>
    <s v="SOLPOA"/>
    <s v="SOLPOA"/>
    <s v="CCMS"/>
    <n v="21319900"/>
    <n v="371"/>
    <m/>
    <s v="N"/>
    <n v="1"/>
    <d v="2023-07-03T19:04:28"/>
    <s v="N"/>
    <s v="Non Expert Disbursement"/>
    <s v="Non Expert Disbursement"/>
    <s v="Non Expert Disbursement"/>
    <s v="Anna Christodoulou"/>
    <s v="N"/>
    <n v="371"/>
    <n v="0"/>
    <x v="3"/>
    <s v="VALIDATED"/>
    <n v="1"/>
    <s v="01.11.80.203.2012.0000"/>
    <n v="371"/>
    <s v="11"/>
    <s v="2012"/>
    <n v="5926.59"/>
    <n v="371"/>
    <s v="CREDITOR"/>
    <n v="371"/>
    <n v="0"/>
    <n v="0"/>
    <n v="0"/>
    <n v="0"/>
  </r>
  <r>
    <n v="43359110"/>
    <s v="N"/>
    <n v="21323445"/>
    <s v="3000011521710013"/>
    <s v="CIVIL"/>
    <d v="2023-06-30T00:00:00"/>
    <d v="2023-07-03T19:05:56"/>
    <m/>
    <d v="2023-07-03T00:00:00"/>
    <n v="1564"/>
    <n v="1192"/>
    <s v="43359110"/>
    <s v="43359110"/>
    <m/>
    <m/>
    <n v="22799626"/>
    <m/>
    <m/>
    <m/>
    <s v="SOLPOA"/>
    <s v="SOLPOA"/>
    <s v="CCMS"/>
    <n v="21323445"/>
    <n v="162"/>
    <m/>
    <s v="N"/>
    <n v="1"/>
    <d v="2023-07-03T19:05:57"/>
    <s v="N"/>
    <s v="Expert Cost"/>
    <s v="Expert Cost"/>
    <s v="Expert Disbursement"/>
    <s v="Lina Chauhan"/>
    <s v="N"/>
    <n v="135"/>
    <n v="27"/>
    <x v="3"/>
    <s v="VALIDATED"/>
    <n v="1"/>
    <s v="01.11.80.308.2012.0000"/>
    <n v="135"/>
    <s v="11"/>
    <s v="2012"/>
    <n v="5926.59"/>
    <n v="135"/>
    <s v="CREDITOR"/>
    <n v="135"/>
    <n v="0"/>
    <n v="0"/>
    <n v="0"/>
    <n v="0"/>
  </r>
  <r>
    <n v="62000054"/>
    <s v="N"/>
    <n v="21319996"/>
    <s v="3000016042860009"/>
    <s v="CIVIL"/>
    <d v="2023-06-27T00:00:00"/>
    <d v="2023-07-03T19:04:24"/>
    <m/>
    <d v="2023-07-03T00:00:00"/>
    <n v="1564"/>
    <n v="1192"/>
    <s v="62000054"/>
    <s v="62000054"/>
    <m/>
    <m/>
    <n v="22772762"/>
    <m/>
    <m/>
    <m/>
    <s v="SOLPOA"/>
    <s v="SOLPOA"/>
    <s v="CCMS"/>
    <n v="21319996"/>
    <n v="648"/>
    <m/>
    <s v="N"/>
    <n v="1"/>
    <d v="2023-07-03T19:04:28"/>
    <s v="N"/>
    <s v="Expert Cost"/>
    <s v="Expert Cost"/>
    <s v="Expert Disbursement"/>
    <s v="Anna Stinton"/>
    <s v="N"/>
    <n v="540"/>
    <n v="108"/>
    <x v="3"/>
    <s v="VALIDATED"/>
    <n v="1"/>
    <s v="01.11.80.308.2012.0000"/>
    <n v="540"/>
    <s v="11"/>
    <s v="2012"/>
    <n v="5926.59"/>
    <n v="540"/>
    <s v="CREDITOR"/>
    <n v="540"/>
    <n v="0"/>
    <n v="0"/>
    <n v="0"/>
    <n v="0"/>
  </r>
  <r>
    <n v="56270715"/>
    <s v="N"/>
    <n v="21320013"/>
    <s v="3000013359090166"/>
    <s v="CIVIL"/>
    <d v="2023-06-27T00:00:00"/>
    <d v="2023-07-03T19:04:24"/>
    <m/>
    <d v="2023-07-03T00:00:00"/>
    <n v="1564"/>
    <n v="1192"/>
    <s v="56270715"/>
    <s v="56270715"/>
    <m/>
    <m/>
    <n v="22772626"/>
    <m/>
    <m/>
    <m/>
    <s v="SOLPOA"/>
    <s v="SOLPOA"/>
    <s v="CCMS"/>
    <n v="21320013"/>
    <n v="120"/>
    <m/>
    <s v="N"/>
    <n v="1"/>
    <d v="2023-07-03T19:04:28"/>
    <s v="N"/>
    <s v="Expert Cost"/>
    <s v="Expert Cost"/>
    <s v="Expert Disbursement"/>
    <s v="Anna Stinton"/>
    <s v="N"/>
    <n v="100"/>
    <n v="20"/>
    <x v="3"/>
    <s v="VALIDATED"/>
    <n v="1"/>
    <s v="01.11.80.308.2012.0000"/>
    <n v="100"/>
    <s v="11"/>
    <s v="2012"/>
    <n v="5926.59"/>
    <n v="100"/>
    <s v="CREDITOR"/>
    <n v="100"/>
    <n v="0"/>
    <n v="0"/>
    <n v="0"/>
    <n v="0"/>
  </r>
  <r>
    <n v="61108732"/>
    <s v="N"/>
    <n v="21320485"/>
    <s v="3000015299120011"/>
    <s v="CIVIL"/>
    <d v="2023-06-28T00:00:00"/>
    <d v="2023-07-03T19:04:52"/>
    <m/>
    <d v="2023-07-03T00:00:00"/>
    <n v="1564"/>
    <n v="1192"/>
    <s v="61108732"/>
    <s v="61108732"/>
    <m/>
    <m/>
    <n v="22783536"/>
    <m/>
    <m/>
    <m/>
    <s v="SOLPOA"/>
    <s v="SOLPOA"/>
    <s v="CCMS"/>
    <n v="21320485"/>
    <n v="225.9"/>
    <m/>
    <s v="N"/>
    <n v="1"/>
    <d v="2023-07-03T19:04:54"/>
    <s v="N"/>
    <s v="Expert Cost"/>
    <s v="Expert Cost"/>
    <s v="Expert Disbursement"/>
    <s v="ERK"/>
    <s v="N"/>
    <n v="188.25"/>
    <n v="37.65"/>
    <x v="3"/>
    <s v="VALIDATED"/>
    <n v="1"/>
    <s v="01.11.80.308.2012.0000"/>
    <n v="188.25"/>
    <s v="11"/>
    <s v="2012"/>
    <n v="5926.59"/>
    <n v="188.25"/>
    <s v="CREDITOR"/>
    <n v="188.25"/>
    <n v="0"/>
    <n v="0"/>
    <n v="0"/>
    <n v="0"/>
  </r>
  <r>
    <n v="56270715"/>
    <s v="N"/>
    <n v="21319991"/>
    <s v="3000013359090165"/>
    <s v="CIVIL"/>
    <d v="2023-06-28T00:00:00"/>
    <d v="2023-07-03T19:04:24"/>
    <m/>
    <d v="2023-07-03T00:00:00"/>
    <n v="1564"/>
    <n v="1192"/>
    <s v="56270715"/>
    <s v="56270715"/>
    <m/>
    <m/>
    <n v="22777296"/>
    <m/>
    <m/>
    <m/>
    <s v="SOLPOA"/>
    <s v="SOLPOA"/>
    <s v="CCMS"/>
    <n v="21319991"/>
    <n v="143.11"/>
    <m/>
    <s v="N"/>
    <n v="1"/>
    <d v="2023-07-03T19:04:28"/>
    <s v="N"/>
    <s v="Expert Cost"/>
    <s v="Expert Cost"/>
    <s v="Expert Disbursement"/>
    <s v="Anna Stinton"/>
    <s v="N"/>
    <n v="119.26"/>
    <n v="23.85"/>
    <x v="3"/>
    <s v="VALIDATED"/>
    <n v="1"/>
    <s v="01.11.80.308.2012.0000"/>
    <n v="119.26"/>
    <s v="11"/>
    <s v="2012"/>
    <n v="5926.59"/>
    <n v="119.26"/>
    <s v="CREDITOR"/>
    <n v="119.26"/>
    <n v="0"/>
    <n v="0"/>
    <n v="0"/>
    <n v="0"/>
  </r>
  <r>
    <n v="59861660"/>
    <s v="N"/>
    <n v="21319219"/>
    <s v="3000014223060012"/>
    <s v="CIVIL"/>
    <d v="2023-06-27T00:00:00"/>
    <d v="2023-07-03T19:04:24"/>
    <m/>
    <d v="2023-07-03T00:00:00"/>
    <n v="1564"/>
    <n v="1192"/>
    <s v="59861660"/>
    <s v="59861660"/>
    <m/>
    <m/>
    <n v="22772336"/>
    <m/>
    <m/>
    <m/>
    <s v="SOLPOA"/>
    <s v="SOLPOA"/>
    <s v="CCMS"/>
    <n v="21319219"/>
    <n v="151.2"/>
    <m/>
    <s v="N"/>
    <n v="1"/>
    <d v="2023-07-03T19:04:24"/>
    <s v="N"/>
    <s v="Expert Cost"/>
    <s v="Expert Cost"/>
    <s v="Expert Disbursement"/>
    <s v="ERK"/>
    <s v="N"/>
    <n v="126"/>
    <n v="25.2"/>
    <x v="3"/>
    <s v="VALIDATED"/>
    <n v="1"/>
    <s v="01.11.80.308.2012.0000"/>
    <n v="126"/>
    <s v="11"/>
    <s v="2012"/>
    <n v="5926.59"/>
    <n v="126"/>
    <s v="CREDITOR"/>
    <n v="126"/>
    <n v="0"/>
    <n v="0"/>
    <n v="0"/>
    <n v="0"/>
  </r>
  <r>
    <n v="10934326"/>
    <s v="N"/>
    <n v="21322085"/>
    <s v="3000006677310011"/>
    <s v="CIVIL"/>
    <d v="2023-06-28T00:00:00"/>
    <d v="2023-07-03T19:05:17"/>
    <m/>
    <d v="2023-07-03T00:00:00"/>
    <n v="1564"/>
    <n v="1192"/>
    <s v="10934326"/>
    <s v="10934326"/>
    <m/>
    <m/>
    <n v="22784332"/>
    <m/>
    <m/>
    <m/>
    <s v="SOLPOA"/>
    <s v="SOLPOA"/>
    <s v="CCMS"/>
    <n v="21322085"/>
    <n v="683.75"/>
    <m/>
    <s v="N"/>
    <n v="1"/>
    <d v="2023-07-03T19:05:22"/>
    <s v="N"/>
    <s v="Expert Cost"/>
    <s v="Expert Cost"/>
    <s v="Expert Disbursement"/>
    <s v="Keith Clarke"/>
    <s v="N"/>
    <n v="683.75"/>
    <n v="0"/>
    <x v="3"/>
    <s v="VALIDATED"/>
    <n v="1"/>
    <s v="01.11.80.208.2012.0000"/>
    <n v="683.75"/>
    <s v="11"/>
    <s v="2012"/>
    <n v="5926.59"/>
    <n v="683.75"/>
    <s v="CREDITOR"/>
    <n v="683.75"/>
    <n v="0"/>
    <n v="0"/>
    <n v="0"/>
    <n v="0"/>
  </r>
  <r>
    <n v="59789188"/>
    <s v="N"/>
    <n v="21321038"/>
    <s v="3000014162560020"/>
    <s v="CIVIL"/>
    <d v="2023-06-28T00:00:00"/>
    <d v="2023-07-03T19:04:52"/>
    <m/>
    <d v="2023-07-03T00:00:00"/>
    <n v="1564"/>
    <n v="1192"/>
    <s v="59789188"/>
    <s v="59789188"/>
    <m/>
    <m/>
    <n v="22783614"/>
    <m/>
    <m/>
    <m/>
    <s v="SOLPOA"/>
    <s v="SOLPOA"/>
    <s v="CCMS"/>
    <n v="21321038"/>
    <n v="222.9"/>
    <m/>
    <s v="N"/>
    <n v="1"/>
    <d v="2023-07-03T19:04:57"/>
    <s v="N"/>
    <s v="Expert Cost"/>
    <s v="Expert Cost"/>
    <s v="Expert Disbursement"/>
    <s v="ERK"/>
    <s v="N"/>
    <n v="185.75"/>
    <n v="37.15"/>
    <x v="3"/>
    <s v="VALIDATED"/>
    <n v="1"/>
    <s v="01.11.80.308.2012.0000"/>
    <n v="185.75"/>
    <s v="11"/>
    <s v="2012"/>
    <n v="5926.59"/>
    <n v="185.75"/>
    <s v="CREDITOR"/>
    <n v="185.75"/>
    <n v="0"/>
    <n v="0"/>
    <n v="0"/>
    <n v="0"/>
  </r>
  <r>
    <n v="59571693"/>
    <s v="N"/>
    <n v="21324007"/>
    <s v="3000013974500027"/>
    <s v="CIVIL"/>
    <d v="2023-06-30T00:00:00"/>
    <d v="2023-07-03T19:05:56"/>
    <m/>
    <d v="2023-07-03T00:00:00"/>
    <n v="1564"/>
    <n v="1192"/>
    <s v="59571693"/>
    <s v="59571693"/>
    <m/>
    <m/>
    <n v="22794996"/>
    <m/>
    <m/>
    <m/>
    <s v="SOLPOA"/>
    <s v="SOLPOA"/>
    <s v="CCMS"/>
    <n v="21324007"/>
    <n v="152.75"/>
    <m/>
    <s v="N"/>
    <n v="1"/>
    <d v="2023-07-03T19:06:00"/>
    <s v="N"/>
    <s v="Expert Cost"/>
    <s v="Expert Cost"/>
    <s v="Expert Disbursement"/>
    <s v="Helina Nnawuchi"/>
    <s v="N"/>
    <n v="152.75"/>
    <n v="0"/>
    <x v="3"/>
    <s v="VALIDATED"/>
    <n v="1"/>
    <s v="01.11.80.308.2012.0000"/>
    <n v="152.75"/>
    <s v="11"/>
    <s v="2012"/>
    <n v="5926.59"/>
    <n v="152.75"/>
    <s v="CREDITOR"/>
    <n v="152.75"/>
    <n v="0"/>
    <n v="0"/>
    <n v="0"/>
    <n v="0"/>
  </r>
  <r>
    <n v="43359110"/>
    <s v="N"/>
    <n v="21323487"/>
    <s v="3000011521710015"/>
    <s v="CIVIL"/>
    <d v="2023-06-30T00:00:00"/>
    <d v="2023-07-03T19:05:56"/>
    <m/>
    <d v="2023-07-03T00:00:00"/>
    <n v="1564"/>
    <n v="1192"/>
    <s v="43359110"/>
    <s v="43359110"/>
    <m/>
    <m/>
    <n v="22799702"/>
    <m/>
    <m/>
    <m/>
    <s v="SOLPOA"/>
    <s v="SOLPOA"/>
    <s v="CCMS"/>
    <n v="21323487"/>
    <n v="291.6"/>
    <m/>
    <s v="N"/>
    <n v="1"/>
    <d v="2023-07-03T19:05:57"/>
    <s v="N"/>
    <s v="Expert Cost"/>
    <s v="Expert Cost"/>
    <s v="Expert Disbursement"/>
    <s v="Lina Chauhan"/>
    <s v="N"/>
    <n v="243"/>
    <n v="48.6"/>
    <x v="3"/>
    <s v="VALIDATED"/>
    <n v="1"/>
    <s v="01.11.80.308.2012.0000"/>
    <n v="243"/>
    <s v="11"/>
    <s v="2012"/>
    <n v="5926.59"/>
    <n v="243"/>
    <s v="CREDITOR"/>
    <n v="243"/>
    <n v="0"/>
    <n v="0"/>
    <n v="0"/>
    <n v="0"/>
  </r>
  <r>
    <n v="43359110"/>
    <s v="N"/>
    <n v="21323945"/>
    <s v="3000011521710019"/>
    <s v="CIVIL"/>
    <d v="2023-06-30T00:00:00"/>
    <d v="2023-07-03T19:05:56"/>
    <m/>
    <d v="2023-07-03T00:00:00"/>
    <n v="1564"/>
    <n v="1192"/>
    <s v="43359110"/>
    <s v="43359110"/>
    <m/>
    <m/>
    <n v="22799744"/>
    <m/>
    <m/>
    <m/>
    <s v="SOLPOA"/>
    <s v="SOLPOA"/>
    <s v="CCMS"/>
    <n v="21323945"/>
    <n v="216"/>
    <m/>
    <s v="N"/>
    <n v="1"/>
    <d v="2023-07-03T19:05:59"/>
    <s v="N"/>
    <s v="Expert Cost"/>
    <s v="Expert Cost"/>
    <s v="Expert Disbursement"/>
    <s v="Lina Chauhan"/>
    <s v="N"/>
    <n v="180"/>
    <n v="36"/>
    <x v="3"/>
    <s v="VALIDATED"/>
    <n v="1"/>
    <s v="01.11.80.308.2012.0000"/>
    <n v="180"/>
    <s v="11"/>
    <s v="2012"/>
    <n v="5926.59"/>
    <n v="180"/>
    <s v="CREDITOR"/>
    <n v="180"/>
    <n v="0"/>
    <n v="0"/>
    <n v="0"/>
    <n v="0"/>
  </r>
  <r>
    <n v="61702360"/>
    <s v="N"/>
    <n v="21320132"/>
    <s v="3000015793270001"/>
    <s v="CIVIL"/>
    <d v="2023-06-26T00:00:00"/>
    <d v="2023-07-03T19:04:24"/>
    <m/>
    <d v="2023-07-03T00:00:00"/>
    <n v="1564"/>
    <n v="1192"/>
    <s v="61702360"/>
    <s v="61702360"/>
    <m/>
    <m/>
    <n v="22763882"/>
    <m/>
    <m/>
    <m/>
    <s v="SOLPOA"/>
    <s v="SOLPOA"/>
    <s v="CCMS"/>
    <n v="21320132"/>
    <n v="255.36"/>
    <m/>
    <s v="N"/>
    <n v="1"/>
    <d v="2023-07-03T19:04:29"/>
    <s v="N"/>
    <s v="Non Expert Disbursement - Private L"/>
    <s v="Non Expert Disbursement - Priv"/>
    <s v="Non Expert Disbursement"/>
    <s v="DM"/>
    <s v="N"/>
    <n v="212.8"/>
    <n v="42.56"/>
    <x v="3"/>
    <s v="VALIDATED"/>
    <n v="1"/>
    <s v="01.11.80.307.2012.0000"/>
    <n v="212.8"/>
    <s v="11"/>
    <s v="2012"/>
    <n v="5926.59"/>
    <n v="212.8"/>
    <s v="CREDITOR"/>
    <n v="212.8"/>
    <n v="0"/>
    <n v="0"/>
    <n v="0"/>
    <n v="0"/>
  </r>
  <r>
    <n v="43359110"/>
    <s v="N"/>
    <n v="21323456"/>
    <s v="3000011521710014"/>
    <s v="CIVIL"/>
    <d v="2023-06-30T00:00:00"/>
    <d v="2023-07-03T19:05:56"/>
    <m/>
    <d v="2023-07-03T00:00:00"/>
    <n v="1564"/>
    <n v="1192"/>
    <s v="43359110"/>
    <s v="43359110"/>
    <m/>
    <m/>
    <n v="22799850"/>
    <m/>
    <m/>
    <m/>
    <s v="SOLPOA"/>
    <s v="SOLPOA"/>
    <s v="CCMS"/>
    <n v="21323456"/>
    <n v="216"/>
    <m/>
    <s v="N"/>
    <n v="1"/>
    <d v="2023-07-03T19:05:57"/>
    <s v="N"/>
    <s v="Expert Cost"/>
    <s v="Expert Cost"/>
    <s v="Expert Disbursement"/>
    <s v="Lina Chauhan"/>
    <s v="N"/>
    <n v="180"/>
    <n v="36"/>
    <x v="3"/>
    <s v="VALIDATED"/>
    <n v="1"/>
    <s v="01.11.80.308.2012.0000"/>
    <n v="180"/>
    <s v="11"/>
    <s v="2012"/>
    <n v="5926.59"/>
    <n v="180"/>
    <s v="CREDITOR"/>
    <n v="180"/>
    <n v="0"/>
    <n v="0"/>
    <n v="0"/>
    <n v="0"/>
  </r>
  <r>
    <n v="61890310"/>
    <s v="N"/>
    <n v="21323980"/>
    <s v="3000015937810009"/>
    <s v="CIVIL"/>
    <d v="2023-06-30T00:00:00"/>
    <d v="2023-07-03T19:05:56"/>
    <m/>
    <d v="2023-07-03T00:00:00"/>
    <n v="1564"/>
    <n v="1192"/>
    <s v="61890310"/>
    <s v="61890310"/>
    <m/>
    <m/>
    <n v="22798452"/>
    <m/>
    <m/>
    <m/>
    <s v="SOLPOA"/>
    <s v="SOLPOA"/>
    <s v="CCMS"/>
    <n v="21323980"/>
    <n v="115.2"/>
    <m/>
    <s v="N"/>
    <n v="1"/>
    <d v="2023-07-03T19:05:59"/>
    <s v="N"/>
    <s v="Expert Cost - Private Law Children"/>
    <s v="Expert Cost - Private Law Chil"/>
    <s v="Expert Disbursement"/>
    <s v="Helina Nnawuchi"/>
    <s v="N"/>
    <n v="115.2"/>
    <n v="0"/>
    <x v="3"/>
    <s v="VALIDATED"/>
    <n v="1"/>
    <s v="01.11.80.307.2012.0000"/>
    <n v="115.2"/>
    <s v="11"/>
    <s v="2012"/>
    <n v="5926.59"/>
    <n v="115.2"/>
    <s v="CREDITOR"/>
    <n v="115.2"/>
    <n v="0"/>
    <n v="0"/>
    <n v="0"/>
    <n v="0"/>
  </r>
  <r>
    <n v="43359110"/>
    <s v="N"/>
    <n v="21323777"/>
    <s v="3000011521710018"/>
    <s v="CIVIL"/>
    <d v="2023-06-30T00:00:00"/>
    <d v="2023-07-03T19:05:56"/>
    <m/>
    <d v="2023-07-03T00:00:00"/>
    <n v="1564"/>
    <n v="1192"/>
    <s v="43359110"/>
    <s v="43359110"/>
    <m/>
    <m/>
    <n v="22799822"/>
    <m/>
    <m/>
    <m/>
    <s v="SOLPOA"/>
    <s v="SOLPOA"/>
    <s v="CCMS"/>
    <n v="21323777"/>
    <n v="324"/>
    <m/>
    <s v="N"/>
    <n v="1"/>
    <d v="2023-07-03T19:05:58"/>
    <s v="N"/>
    <s v="Expert Cost"/>
    <s v="Expert Cost"/>
    <s v="Expert Disbursement"/>
    <s v="Lina Chauhan"/>
    <s v="N"/>
    <n v="270"/>
    <n v="54"/>
    <x v="3"/>
    <s v="VALIDATED"/>
    <n v="1"/>
    <s v="01.11.80.308.2012.0000"/>
    <n v="270"/>
    <s v="11"/>
    <s v="2012"/>
    <n v="5926.59"/>
    <n v="270"/>
    <s v="CREDITOR"/>
    <n v="270"/>
    <n v="0"/>
    <n v="0"/>
    <n v="0"/>
    <n v="0"/>
  </r>
  <r>
    <n v="40863544"/>
    <s v="N"/>
    <n v="21328753"/>
    <s v="3000010923120035RC"/>
    <s v="CIVIL"/>
    <d v="2023-06-23T00:00:00"/>
    <d v="2023-07-04T19:38:21"/>
    <m/>
    <d v="2023-07-04T00:00:00"/>
    <n v="1566"/>
    <n v="14356"/>
    <s v="40863544"/>
    <s v="40863544"/>
    <m/>
    <m/>
    <m/>
    <m/>
    <m/>
    <m/>
    <s v="SOLRECOUP"/>
    <s v="SOLRECOUP"/>
    <s v="POARECOUP"/>
    <n v="21328753"/>
    <n v="-60"/>
    <m/>
    <s v="Y"/>
    <n v="1"/>
    <d v="2023-07-04T19:38:22"/>
    <s v="N"/>
    <m/>
    <m/>
    <s v="Non Expert Disbursement"/>
    <m/>
    <s v="N"/>
    <n v="-50"/>
    <n v="0"/>
    <x v="1"/>
    <s v="VALIDATED"/>
    <n v="1"/>
    <s v="01.11.80.308.2013.0000"/>
    <n v="-50"/>
    <s v="11"/>
    <s v="2013"/>
    <n v="4060.65"/>
    <n v="-50"/>
    <s v="CREDITOR"/>
    <n v="0"/>
    <n v="0"/>
    <n v="-50"/>
    <n v="0"/>
    <n v="0"/>
  </r>
  <r>
    <n v="40863544"/>
    <s v="N"/>
    <n v="21328753"/>
    <s v="3000010923120035RC"/>
    <s v="CIVIL"/>
    <d v="2023-06-23T00:00:00"/>
    <d v="2023-07-04T19:38:21"/>
    <m/>
    <d v="2023-07-04T00:00:00"/>
    <n v="1566"/>
    <n v="14356"/>
    <s v="40863544"/>
    <s v="40863544"/>
    <m/>
    <m/>
    <m/>
    <m/>
    <m/>
    <m/>
    <s v="SOLRECOUP"/>
    <s v="SOLRECOUP"/>
    <s v="POARECOUP"/>
    <n v="21328753"/>
    <n v="-60"/>
    <m/>
    <s v="Y"/>
    <n v="2"/>
    <d v="2023-07-04T19:38:22"/>
    <s v="N"/>
    <m/>
    <m/>
    <s v="Non Expert Disbursement"/>
    <m/>
    <s v="N"/>
    <n v="0"/>
    <n v="-10"/>
    <x v="1"/>
    <s v="VALIDATED"/>
    <n v="1"/>
    <s v="01.11.80.308.2013.0000"/>
    <n v="-10"/>
    <s v="11"/>
    <s v="2013"/>
    <n v="4060.65"/>
    <n v="-10"/>
    <s v="CREDITOR"/>
    <n v="0"/>
    <n v="0"/>
    <n v="-10"/>
    <n v="0"/>
    <n v="0"/>
  </r>
  <r>
    <n v="40863544"/>
    <s v="N"/>
    <n v="21328754"/>
    <s v="3000010923120017RC"/>
    <s v="CIVIL"/>
    <d v="2023-06-23T00:00:00"/>
    <d v="2023-07-04T19:38:21"/>
    <m/>
    <d v="2023-07-04T00:00:00"/>
    <n v="1566"/>
    <n v="14356"/>
    <s v="40863544"/>
    <s v="40863544"/>
    <m/>
    <m/>
    <m/>
    <m/>
    <m/>
    <m/>
    <s v="SOLRECOUP"/>
    <s v="SOLRECOUP"/>
    <s v="POARECOUP"/>
    <n v="21328754"/>
    <n v="-30"/>
    <m/>
    <s v="Y"/>
    <n v="1"/>
    <d v="2023-07-04T19:38:22"/>
    <s v="N"/>
    <m/>
    <m/>
    <s v="Expert Disbursement"/>
    <m/>
    <s v="N"/>
    <n v="-25"/>
    <n v="0"/>
    <x v="1"/>
    <s v="VALIDATED"/>
    <n v="1"/>
    <s v="01.11.80.308.2013.0000"/>
    <n v="-25"/>
    <s v="11"/>
    <s v="2013"/>
    <n v="4060.65"/>
    <n v="-25"/>
    <s v="CREDITOR"/>
    <n v="0"/>
    <n v="0"/>
    <n v="-25"/>
    <n v="0"/>
    <n v="0"/>
  </r>
  <r>
    <n v="40863544"/>
    <s v="N"/>
    <n v="21328754"/>
    <s v="3000010923120017RC"/>
    <s v="CIVIL"/>
    <d v="2023-06-23T00:00:00"/>
    <d v="2023-07-04T19:38:21"/>
    <m/>
    <d v="2023-07-04T00:00:00"/>
    <n v="1566"/>
    <n v="14356"/>
    <s v="40863544"/>
    <s v="40863544"/>
    <m/>
    <m/>
    <m/>
    <m/>
    <m/>
    <m/>
    <s v="SOLRECOUP"/>
    <s v="SOLRECOUP"/>
    <s v="POARECOUP"/>
    <n v="21328754"/>
    <n v="-30"/>
    <m/>
    <s v="Y"/>
    <n v="2"/>
    <d v="2023-07-04T19:38:22"/>
    <s v="N"/>
    <m/>
    <m/>
    <s v="Expert Disbursement"/>
    <m/>
    <s v="N"/>
    <n v="0"/>
    <n v="-5"/>
    <x v="1"/>
    <s v="VALIDATED"/>
    <n v="1"/>
    <s v="01.11.80.308.2013.0000"/>
    <n v="-5"/>
    <s v="11"/>
    <s v="2013"/>
    <n v="4060.65"/>
    <n v="-5"/>
    <s v="CREDITOR"/>
    <n v="0"/>
    <n v="0"/>
    <n v="-5"/>
    <n v="0"/>
    <n v="0"/>
  </r>
  <r>
    <n v="40863544"/>
    <s v="N"/>
    <n v="21328755"/>
    <s v="3000010923120019RC"/>
    <s v="CIVIL"/>
    <d v="2023-06-23T00:00:00"/>
    <d v="2023-07-04T19:38:21"/>
    <m/>
    <d v="2023-07-04T00:00:00"/>
    <n v="1566"/>
    <n v="14356"/>
    <s v="40863544"/>
    <s v="40863544"/>
    <m/>
    <m/>
    <m/>
    <m/>
    <m/>
    <m/>
    <s v="SOLRECOUP"/>
    <s v="SOLRECOUP"/>
    <s v="POARECOUP"/>
    <n v="21328755"/>
    <n v="-44.4"/>
    <m/>
    <s v="Y"/>
    <n v="1"/>
    <d v="2023-07-04T19:38:22"/>
    <s v="N"/>
    <m/>
    <m/>
    <s v="Expert Disbursement"/>
    <m/>
    <s v="N"/>
    <n v="-37"/>
    <n v="0"/>
    <x v="1"/>
    <s v="VALIDATED"/>
    <n v="1"/>
    <s v="01.11.80.308.2013.0000"/>
    <n v="-37"/>
    <s v="11"/>
    <s v="2013"/>
    <n v="4060.65"/>
    <n v="-37"/>
    <s v="CREDITOR"/>
    <n v="0"/>
    <n v="0"/>
    <n v="-37"/>
    <n v="0"/>
    <n v="0"/>
  </r>
  <r>
    <n v="40863544"/>
    <s v="N"/>
    <n v="21328755"/>
    <s v="3000010923120019RC"/>
    <s v="CIVIL"/>
    <d v="2023-06-23T00:00:00"/>
    <d v="2023-07-04T19:38:21"/>
    <m/>
    <d v="2023-07-04T00:00:00"/>
    <n v="1566"/>
    <n v="14356"/>
    <s v="40863544"/>
    <s v="40863544"/>
    <m/>
    <m/>
    <m/>
    <m/>
    <m/>
    <m/>
    <s v="SOLRECOUP"/>
    <s v="SOLRECOUP"/>
    <s v="POARECOUP"/>
    <n v="21328755"/>
    <n v="-44.4"/>
    <m/>
    <s v="Y"/>
    <n v="2"/>
    <d v="2023-07-04T19:38:22"/>
    <s v="N"/>
    <m/>
    <m/>
    <s v="Expert Disbursement"/>
    <m/>
    <s v="N"/>
    <n v="0"/>
    <n v="-7.4"/>
    <x v="1"/>
    <s v="VALIDATED"/>
    <n v="1"/>
    <s v="01.11.80.308.2013.0000"/>
    <n v="-7.4"/>
    <s v="11"/>
    <s v="2013"/>
    <n v="4060.65"/>
    <n v="-7.4"/>
    <s v="CREDITOR"/>
    <n v="0"/>
    <n v="0"/>
    <n v="-7.4"/>
    <n v="0"/>
    <n v="0"/>
  </r>
  <r>
    <n v="40863544"/>
    <s v="N"/>
    <n v="21328756"/>
    <s v="3000010923120020RC"/>
    <s v="CIVIL"/>
    <d v="2023-06-23T00:00:00"/>
    <d v="2023-07-04T19:38:21"/>
    <m/>
    <d v="2023-07-04T00:00:00"/>
    <n v="1566"/>
    <n v="14356"/>
    <s v="40863544"/>
    <s v="40863544"/>
    <m/>
    <m/>
    <m/>
    <m/>
    <m/>
    <m/>
    <s v="SOLRECOUP"/>
    <s v="SOLRECOUP"/>
    <s v="POARECOUP"/>
    <n v="21328756"/>
    <n v="-247.01"/>
    <m/>
    <s v="Y"/>
    <n v="1"/>
    <d v="2023-07-04T19:38:22"/>
    <s v="N"/>
    <m/>
    <m/>
    <s v="Expert Disbursement"/>
    <m/>
    <s v="N"/>
    <n v="-205.84"/>
    <n v="0"/>
    <x v="1"/>
    <s v="VALIDATED"/>
    <n v="1"/>
    <s v="01.11.80.308.2013.0000"/>
    <n v="-205.84"/>
    <s v="11"/>
    <s v="2013"/>
    <n v="4060.65"/>
    <n v="-205.84"/>
    <s v="CREDITOR"/>
    <n v="0"/>
    <n v="0"/>
    <n v="-205.84"/>
    <n v="0"/>
    <n v="0"/>
  </r>
  <r>
    <n v="40863544"/>
    <s v="N"/>
    <n v="21328756"/>
    <s v="3000010923120020RC"/>
    <s v="CIVIL"/>
    <d v="2023-06-23T00:00:00"/>
    <d v="2023-07-04T19:38:21"/>
    <m/>
    <d v="2023-07-04T00:00:00"/>
    <n v="1566"/>
    <n v="14356"/>
    <s v="40863544"/>
    <s v="40863544"/>
    <m/>
    <m/>
    <m/>
    <m/>
    <m/>
    <m/>
    <s v="SOLRECOUP"/>
    <s v="SOLRECOUP"/>
    <s v="POARECOUP"/>
    <n v="21328756"/>
    <n v="-247.01"/>
    <m/>
    <s v="Y"/>
    <n v="2"/>
    <d v="2023-07-04T19:38:22"/>
    <s v="N"/>
    <m/>
    <m/>
    <s v="Expert Disbursement"/>
    <m/>
    <s v="N"/>
    <n v="0"/>
    <n v="-41.17"/>
    <x v="1"/>
    <s v="VALIDATED"/>
    <n v="1"/>
    <s v="01.11.80.308.2013.0000"/>
    <n v="-41.17"/>
    <s v="11"/>
    <s v="2013"/>
    <n v="4060.65"/>
    <n v="-41.17"/>
    <s v="CREDITOR"/>
    <n v="0"/>
    <n v="0"/>
    <n v="-41.17"/>
    <n v="0"/>
    <n v="0"/>
  </r>
  <r>
    <n v="40863544"/>
    <s v="N"/>
    <n v="21328757"/>
    <s v="3000010923120023RC"/>
    <s v="CIVIL"/>
    <d v="2023-06-23T00:00:00"/>
    <d v="2023-07-04T19:38:21"/>
    <m/>
    <d v="2023-07-04T00:00:00"/>
    <n v="1566"/>
    <n v="14356"/>
    <s v="40863544"/>
    <s v="40863544"/>
    <m/>
    <m/>
    <m/>
    <m/>
    <m/>
    <m/>
    <s v="SOLRECOUP"/>
    <s v="SOLRECOUP"/>
    <s v="POARECOUP"/>
    <n v="21328757"/>
    <n v="-42.2"/>
    <m/>
    <s v="Y"/>
    <n v="1"/>
    <d v="2023-07-04T19:38:22"/>
    <s v="N"/>
    <m/>
    <m/>
    <s v="Expert Disbursement"/>
    <m/>
    <s v="N"/>
    <n v="-35.17"/>
    <n v="0"/>
    <x v="1"/>
    <s v="VALIDATED"/>
    <n v="1"/>
    <s v="01.11.80.308.2013.0000"/>
    <n v="-35.17"/>
    <s v="11"/>
    <s v="2013"/>
    <n v="4060.65"/>
    <n v="-35.17"/>
    <s v="CREDITOR"/>
    <n v="0"/>
    <n v="0"/>
    <n v="-35.17"/>
    <n v="0"/>
    <n v="0"/>
  </r>
  <r>
    <n v="40863544"/>
    <s v="N"/>
    <n v="21328757"/>
    <s v="3000010923120023RC"/>
    <s v="CIVIL"/>
    <d v="2023-06-23T00:00:00"/>
    <d v="2023-07-04T19:38:21"/>
    <m/>
    <d v="2023-07-04T00:00:00"/>
    <n v="1566"/>
    <n v="14356"/>
    <s v="40863544"/>
    <s v="40863544"/>
    <m/>
    <m/>
    <m/>
    <m/>
    <m/>
    <m/>
    <s v="SOLRECOUP"/>
    <s v="SOLRECOUP"/>
    <s v="POARECOUP"/>
    <n v="21328757"/>
    <n v="-42.2"/>
    <m/>
    <s v="Y"/>
    <n v="2"/>
    <d v="2023-07-04T19:38:22"/>
    <s v="N"/>
    <m/>
    <m/>
    <s v="Expert Disbursement"/>
    <m/>
    <s v="N"/>
    <n v="0"/>
    <n v="-7.03"/>
    <x v="1"/>
    <s v="VALIDATED"/>
    <n v="1"/>
    <s v="01.11.80.308.2013.0000"/>
    <n v="-7.03"/>
    <s v="11"/>
    <s v="2013"/>
    <n v="4060.65"/>
    <n v="-7.03"/>
    <s v="CREDITOR"/>
    <n v="0"/>
    <n v="0"/>
    <n v="-7.03"/>
    <n v="0"/>
    <n v="0"/>
  </r>
  <r>
    <n v="40863544"/>
    <s v="N"/>
    <n v="21328758"/>
    <s v="3000010923120027RC"/>
    <s v="CIVIL"/>
    <d v="2023-06-23T00:00:00"/>
    <d v="2023-07-04T19:38:21"/>
    <m/>
    <d v="2023-07-04T00:00:00"/>
    <n v="1566"/>
    <n v="14356"/>
    <s v="40863544"/>
    <s v="40863544"/>
    <m/>
    <m/>
    <m/>
    <m/>
    <m/>
    <m/>
    <s v="SOLRECOUP"/>
    <s v="SOLRECOUP"/>
    <s v="POARECOUP"/>
    <n v="21328758"/>
    <n v="-45"/>
    <m/>
    <s v="Y"/>
    <n v="1"/>
    <d v="2023-07-04T19:38:22"/>
    <s v="N"/>
    <m/>
    <m/>
    <s v="Expert Disbursement"/>
    <m/>
    <s v="N"/>
    <n v="-37.5"/>
    <n v="0"/>
    <x v="1"/>
    <s v="VALIDATED"/>
    <n v="1"/>
    <s v="01.11.80.308.2013.0000"/>
    <n v="-37.5"/>
    <s v="11"/>
    <s v="2013"/>
    <n v="4060.65"/>
    <n v="-37.5"/>
    <s v="CREDITOR"/>
    <n v="0"/>
    <n v="0"/>
    <n v="-37.5"/>
    <n v="0"/>
    <n v="0"/>
  </r>
  <r>
    <n v="40863544"/>
    <s v="N"/>
    <n v="21328758"/>
    <s v="3000010923120027RC"/>
    <s v="CIVIL"/>
    <d v="2023-06-23T00:00:00"/>
    <d v="2023-07-04T19:38:21"/>
    <m/>
    <d v="2023-07-04T00:00:00"/>
    <n v="1566"/>
    <n v="14356"/>
    <s v="40863544"/>
    <s v="40863544"/>
    <m/>
    <m/>
    <m/>
    <m/>
    <m/>
    <m/>
    <s v="SOLRECOUP"/>
    <s v="SOLRECOUP"/>
    <s v="POARECOUP"/>
    <n v="21328758"/>
    <n v="-45"/>
    <m/>
    <s v="Y"/>
    <n v="2"/>
    <d v="2023-07-04T19:38:22"/>
    <s v="N"/>
    <m/>
    <m/>
    <s v="Expert Disbursement"/>
    <m/>
    <s v="N"/>
    <n v="0"/>
    <n v="-7.5"/>
    <x v="1"/>
    <s v="VALIDATED"/>
    <n v="1"/>
    <s v="01.11.80.308.2013.0000"/>
    <n v="-7.5"/>
    <s v="11"/>
    <s v="2013"/>
    <n v="4060.65"/>
    <n v="-7.5"/>
    <s v="CREDITOR"/>
    <n v="0"/>
    <n v="0"/>
    <n v="-7.5"/>
    <n v="0"/>
    <n v="0"/>
  </r>
  <r>
    <n v="40863544"/>
    <s v="N"/>
    <n v="21328759"/>
    <s v="3000010923120026RC"/>
    <s v="CIVIL"/>
    <d v="2023-06-23T00:00:00"/>
    <d v="2023-07-04T19:38:21"/>
    <m/>
    <d v="2023-07-04T00:00:00"/>
    <n v="1566"/>
    <n v="14356"/>
    <s v="40863544"/>
    <s v="40863544"/>
    <m/>
    <m/>
    <m/>
    <m/>
    <m/>
    <m/>
    <s v="SOLRECOUP"/>
    <s v="SOLRECOUP"/>
    <s v="POARECOUP"/>
    <n v="21328759"/>
    <n v="-45"/>
    <m/>
    <s v="Y"/>
    <n v="1"/>
    <d v="2023-07-04T19:38:22"/>
    <s v="N"/>
    <m/>
    <m/>
    <s v="Expert Disbursement"/>
    <m/>
    <s v="N"/>
    <n v="-37.5"/>
    <n v="0"/>
    <x v="1"/>
    <s v="VALIDATED"/>
    <n v="1"/>
    <s v="01.11.80.308.2013.0000"/>
    <n v="-37.5"/>
    <s v="11"/>
    <s v="2013"/>
    <n v="4060.65"/>
    <n v="-37.5"/>
    <s v="CREDITOR"/>
    <n v="0"/>
    <n v="0"/>
    <n v="-37.5"/>
    <n v="0"/>
    <n v="0"/>
  </r>
  <r>
    <n v="40863544"/>
    <s v="N"/>
    <n v="21328759"/>
    <s v="3000010923120026RC"/>
    <s v="CIVIL"/>
    <d v="2023-06-23T00:00:00"/>
    <d v="2023-07-04T19:38:21"/>
    <m/>
    <d v="2023-07-04T00:00:00"/>
    <n v="1566"/>
    <n v="14356"/>
    <s v="40863544"/>
    <s v="40863544"/>
    <m/>
    <m/>
    <m/>
    <m/>
    <m/>
    <m/>
    <s v="SOLRECOUP"/>
    <s v="SOLRECOUP"/>
    <s v="POARECOUP"/>
    <n v="21328759"/>
    <n v="-45"/>
    <m/>
    <s v="Y"/>
    <n v="2"/>
    <d v="2023-07-04T19:38:22"/>
    <s v="N"/>
    <m/>
    <m/>
    <s v="Expert Disbursement"/>
    <m/>
    <s v="N"/>
    <n v="0"/>
    <n v="-7.5"/>
    <x v="1"/>
    <s v="VALIDATED"/>
    <n v="1"/>
    <s v="01.11.80.308.2013.0000"/>
    <n v="-7.5"/>
    <s v="11"/>
    <s v="2013"/>
    <n v="4060.65"/>
    <n v="-7.5"/>
    <s v="CREDITOR"/>
    <n v="0"/>
    <n v="0"/>
    <n v="-7.5"/>
    <n v="0"/>
    <n v="0"/>
  </r>
  <r>
    <n v="40863544"/>
    <s v="N"/>
    <n v="21328760"/>
    <s v="3000010923120029RC"/>
    <s v="CIVIL"/>
    <d v="2023-06-23T00:00:00"/>
    <d v="2023-07-04T19:38:21"/>
    <m/>
    <d v="2023-07-04T00:00:00"/>
    <n v="1566"/>
    <n v="14356"/>
    <s v="40863544"/>
    <s v="40863544"/>
    <m/>
    <m/>
    <m/>
    <m/>
    <m/>
    <m/>
    <s v="SOLRECOUP"/>
    <s v="SOLRECOUP"/>
    <s v="POARECOUP"/>
    <n v="21328760"/>
    <n v="-50"/>
    <m/>
    <s v="Y"/>
    <n v="2"/>
    <d v="2023-07-04T19:38:22"/>
    <s v="N"/>
    <m/>
    <m/>
    <s v="Non Expert Disbursement"/>
    <m/>
    <s v="N"/>
    <n v="0"/>
    <n v="-8.33"/>
    <x v="1"/>
    <s v="VALIDATED"/>
    <n v="1"/>
    <s v="01.11.80.308.2013.0000"/>
    <n v="-8.33"/>
    <s v="11"/>
    <s v="2013"/>
    <n v="4060.65"/>
    <n v="-8.33"/>
    <s v="CREDITOR"/>
    <n v="0"/>
    <n v="0"/>
    <n v="-8.33"/>
    <n v="0"/>
    <n v="0"/>
  </r>
  <r>
    <n v="40863544"/>
    <s v="N"/>
    <n v="21328760"/>
    <s v="3000010923120029RC"/>
    <s v="CIVIL"/>
    <d v="2023-06-23T00:00:00"/>
    <d v="2023-07-04T19:38:21"/>
    <m/>
    <d v="2023-07-04T00:00:00"/>
    <n v="1566"/>
    <n v="14356"/>
    <s v="40863544"/>
    <s v="40863544"/>
    <m/>
    <m/>
    <m/>
    <m/>
    <m/>
    <m/>
    <s v="SOLRECOUP"/>
    <s v="SOLRECOUP"/>
    <s v="POARECOUP"/>
    <n v="21328760"/>
    <n v="-50"/>
    <m/>
    <s v="Y"/>
    <n v="1"/>
    <d v="2023-07-04T19:38:22"/>
    <s v="N"/>
    <m/>
    <m/>
    <s v="Non Expert Disbursement"/>
    <m/>
    <s v="N"/>
    <n v="-41.67"/>
    <n v="0"/>
    <x v="1"/>
    <s v="VALIDATED"/>
    <n v="1"/>
    <s v="01.11.80.308.2013.0000"/>
    <n v="-41.67"/>
    <s v="11"/>
    <s v="2013"/>
    <n v="4060.65"/>
    <n v="-41.67"/>
    <s v="CREDITOR"/>
    <n v="0"/>
    <n v="0"/>
    <n v="-41.67"/>
    <n v="0"/>
    <n v="0"/>
  </r>
  <r>
    <n v="40863544"/>
    <s v="N"/>
    <n v="21328761"/>
    <s v="3000010923120034RC"/>
    <s v="CIVIL"/>
    <d v="2023-06-23T00:00:00"/>
    <d v="2023-07-04T19:38:21"/>
    <m/>
    <d v="2023-07-04T00:00:00"/>
    <n v="1566"/>
    <n v="14356"/>
    <s v="40863544"/>
    <s v="40863544"/>
    <m/>
    <m/>
    <m/>
    <m/>
    <m/>
    <m/>
    <s v="SOLRECOUP"/>
    <s v="SOLRECOUP"/>
    <s v="POARECOUP"/>
    <n v="21328761"/>
    <n v="-54"/>
    <m/>
    <s v="Y"/>
    <n v="2"/>
    <d v="2023-07-04T19:38:22"/>
    <s v="N"/>
    <m/>
    <m/>
    <s v="Expert Disbursement"/>
    <m/>
    <s v="N"/>
    <n v="0"/>
    <n v="-9"/>
    <x v="1"/>
    <s v="VALIDATED"/>
    <n v="1"/>
    <s v="01.11.80.308.2013.0000"/>
    <n v="-9"/>
    <s v="11"/>
    <s v="2013"/>
    <n v="4060.65"/>
    <n v="-9"/>
    <s v="CREDITOR"/>
    <n v="0"/>
    <n v="0"/>
    <n v="-9"/>
    <n v="0"/>
    <n v="0"/>
  </r>
  <r>
    <n v="40863544"/>
    <s v="N"/>
    <n v="21328761"/>
    <s v="3000010923120034RC"/>
    <s v="CIVIL"/>
    <d v="2023-06-23T00:00:00"/>
    <d v="2023-07-04T19:38:21"/>
    <m/>
    <d v="2023-07-04T00:00:00"/>
    <n v="1566"/>
    <n v="14356"/>
    <s v="40863544"/>
    <s v="40863544"/>
    <m/>
    <m/>
    <m/>
    <m/>
    <m/>
    <m/>
    <s v="SOLRECOUP"/>
    <s v="SOLRECOUP"/>
    <s v="POARECOUP"/>
    <n v="21328761"/>
    <n v="-54"/>
    <m/>
    <s v="Y"/>
    <n v="1"/>
    <d v="2023-07-04T19:38:22"/>
    <s v="N"/>
    <m/>
    <m/>
    <s v="Expert Disbursement"/>
    <m/>
    <s v="N"/>
    <n v="-45"/>
    <n v="0"/>
    <x v="1"/>
    <s v="VALIDATED"/>
    <n v="1"/>
    <s v="01.11.80.308.2013.0000"/>
    <n v="-45"/>
    <s v="11"/>
    <s v="2013"/>
    <n v="4060.65"/>
    <n v="-45"/>
    <s v="CREDITOR"/>
    <n v="0"/>
    <n v="0"/>
    <n v="-45"/>
    <n v="0"/>
    <n v="0"/>
  </r>
  <r>
    <n v="40863544"/>
    <s v="N"/>
    <n v="21328762"/>
    <s v="3000010923120038RC"/>
    <s v="CIVIL"/>
    <d v="2023-06-23T00:00:00"/>
    <d v="2023-07-04T19:38:21"/>
    <m/>
    <d v="2023-07-04T00:00:00"/>
    <n v="1566"/>
    <n v="14356"/>
    <s v="40863544"/>
    <s v="40863544"/>
    <m/>
    <m/>
    <m/>
    <m/>
    <m/>
    <m/>
    <s v="SOLRECOUP"/>
    <s v="SOLRECOUP"/>
    <s v="POARECOUP"/>
    <n v="21328762"/>
    <n v="-67.5"/>
    <m/>
    <s v="Y"/>
    <n v="2"/>
    <d v="2023-07-04T19:38:22"/>
    <s v="N"/>
    <m/>
    <m/>
    <s v="Non Expert Disbursement"/>
    <m/>
    <s v="N"/>
    <n v="0"/>
    <n v="-11.25"/>
    <x v="1"/>
    <s v="VALIDATED"/>
    <n v="1"/>
    <s v="01.11.80.308.2013.0000"/>
    <n v="-11.25"/>
    <s v="11"/>
    <s v="2013"/>
    <n v="4060.65"/>
    <n v="-11.25"/>
    <s v="CREDITOR"/>
    <n v="0"/>
    <n v="0"/>
    <n v="-11.25"/>
    <n v="0"/>
    <n v="0"/>
  </r>
  <r>
    <n v="40863544"/>
    <s v="N"/>
    <n v="21328762"/>
    <s v="3000010923120038RC"/>
    <s v="CIVIL"/>
    <d v="2023-06-23T00:00:00"/>
    <d v="2023-07-04T19:38:21"/>
    <m/>
    <d v="2023-07-04T00:00:00"/>
    <n v="1566"/>
    <n v="14356"/>
    <s v="40863544"/>
    <s v="40863544"/>
    <m/>
    <m/>
    <m/>
    <m/>
    <m/>
    <m/>
    <s v="SOLRECOUP"/>
    <s v="SOLRECOUP"/>
    <s v="POARECOUP"/>
    <n v="21328762"/>
    <n v="-67.5"/>
    <m/>
    <s v="Y"/>
    <n v="1"/>
    <d v="2023-07-04T19:38:22"/>
    <s v="N"/>
    <m/>
    <m/>
    <s v="Non Expert Disbursement"/>
    <m/>
    <s v="N"/>
    <n v="-56.25"/>
    <n v="0"/>
    <x v="1"/>
    <s v="VALIDATED"/>
    <n v="1"/>
    <s v="01.11.80.308.2013.0000"/>
    <n v="-56.25"/>
    <s v="11"/>
    <s v="2013"/>
    <n v="4060.65"/>
    <n v="-56.25"/>
    <s v="CREDITOR"/>
    <n v="0"/>
    <n v="0"/>
    <n v="-56.25"/>
    <n v="0"/>
    <n v="0"/>
  </r>
  <r>
    <n v="40863544"/>
    <s v="N"/>
    <n v="21328763"/>
    <s v="3000010923120039RC"/>
    <s v="CIVIL"/>
    <d v="2023-06-23T00:00:00"/>
    <d v="2023-07-04T19:38:21"/>
    <m/>
    <d v="2023-07-04T00:00:00"/>
    <n v="1566"/>
    <n v="14356"/>
    <s v="40863544"/>
    <s v="40863544"/>
    <m/>
    <m/>
    <m/>
    <m/>
    <m/>
    <m/>
    <s v="SOLRECOUP"/>
    <s v="SOLRECOUP"/>
    <s v="POARECOUP"/>
    <n v="21328763"/>
    <n v="-32.5"/>
    <m/>
    <s v="Y"/>
    <n v="2"/>
    <d v="2023-07-04T19:38:22"/>
    <s v="N"/>
    <m/>
    <m/>
    <s v="Non Expert Disbursement"/>
    <m/>
    <s v="N"/>
    <n v="0"/>
    <n v="-5.42"/>
    <x v="1"/>
    <s v="VALIDATED"/>
    <n v="1"/>
    <s v="01.11.80.308.2013.0000"/>
    <n v="-5.42"/>
    <s v="11"/>
    <s v="2013"/>
    <n v="4060.65"/>
    <n v="-5.42"/>
    <s v="CREDITOR"/>
    <n v="0"/>
    <n v="0"/>
    <n v="-5.42"/>
    <n v="0"/>
    <n v="0"/>
  </r>
  <r>
    <n v="40863544"/>
    <s v="N"/>
    <n v="21328763"/>
    <s v="3000010923120039RC"/>
    <s v="CIVIL"/>
    <d v="2023-06-23T00:00:00"/>
    <d v="2023-07-04T19:38:21"/>
    <m/>
    <d v="2023-07-04T00:00:00"/>
    <n v="1566"/>
    <n v="14356"/>
    <s v="40863544"/>
    <s v="40863544"/>
    <m/>
    <m/>
    <m/>
    <m/>
    <m/>
    <m/>
    <s v="SOLRECOUP"/>
    <s v="SOLRECOUP"/>
    <s v="POARECOUP"/>
    <n v="21328763"/>
    <n v="-32.5"/>
    <m/>
    <s v="Y"/>
    <n v="1"/>
    <d v="2023-07-04T19:38:22"/>
    <s v="N"/>
    <m/>
    <m/>
    <s v="Non Expert Disbursement"/>
    <m/>
    <s v="N"/>
    <n v="-27.08"/>
    <n v="0"/>
    <x v="1"/>
    <s v="VALIDATED"/>
    <n v="1"/>
    <s v="01.11.80.308.2013.0000"/>
    <n v="-27.08"/>
    <s v="11"/>
    <s v="2013"/>
    <n v="4060.65"/>
    <n v="-27.08"/>
    <s v="CREDITOR"/>
    <n v="0"/>
    <n v="0"/>
    <n v="-27.08"/>
    <n v="0"/>
    <n v="0"/>
  </r>
  <r>
    <n v="40863544"/>
    <s v="N"/>
    <n v="21328764"/>
    <s v="3000010923120040RC"/>
    <s v="CIVIL"/>
    <d v="2023-06-23T00:00:00"/>
    <d v="2023-07-04T19:38:21"/>
    <m/>
    <d v="2023-07-04T00:00:00"/>
    <n v="1566"/>
    <n v="14356"/>
    <s v="40863544"/>
    <s v="40863544"/>
    <m/>
    <m/>
    <m/>
    <m/>
    <m/>
    <m/>
    <s v="SOLRECOUP"/>
    <s v="SOLRECOUP"/>
    <s v="POARECOUP"/>
    <n v="21328764"/>
    <n v="-294.36"/>
    <m/>
    <s v="Y"/>
    <n v="2"/>
    <d v="2023-07-04T19:38:22"/>
    <s v="N"/>
    <m/>
    <m/>
    <s v="Non Expert Disbursement"/>
    <m/>
    <s v="N"/>
    <n v="0"/>
    <n v="-49.06"/>
    <x v="1"/>
    <s v="VALIDATED"/>
    <n v="1"/>
    <s v="01.11.80.308.2013.0000"/>
    <n v="-49.06"/>
    <s v="11"/>
    <s v="2013"/>
    <n v="4060.65"/>
    <n v="-49.06"/>
    <s v="CREDITOR"/>
    <n v="0"/>
    <n v="0"/>
    <n v="-49.06"/>
    <n v="0"/>
    <n v="0"/>
  </r>
  <r>
    <n v="40863544"/>
    <s v="N"/>
    <n v="21328764"/>
    <s v="3000010923120040RC"/>
    <s v="CIVIL"/>
    <d v="2023-06-23T00:00:00"/>
    <d v="2023-07-04T19:38:21"/>
    <m/>
    <d v="2023-07-04T00:00:00"/>
    <n v="1566"/>
    <n v="14356"/>
    <s v="40863544"/>
    <s v="40863544"/>
    <m/>
    <m/>
    <m/>
    <m/>
    <m/>
    <m/>
    <s v="SOLRECOUP"/>
    <s v="SOLRECOUP"/>
    <s v="POARECOUP"/>
    <n v="21328764"/>
    <n v="-294.36"/>
    <m/>
    <s v="Y"/>
    <n v="1"/>
    <d v="2023-07-04T19:38:22"/>
    <s v="N"/>
    <m/>
    <m/>
    <s v="Non Expert Disbursement"/>
    <m/>
    <s v="N"/>
    <n v="-245.3"/>
    <n v="0"/>
    <x v="1"/>
    <s v="VALIDATED"/>
    <n v="1"/>
    <s v="01.11.80.308.2013.0000"/>
    <n v="-245.3"/>
    <s v="11"/>
    <s v="2013"/>
    <n v="4060.65"/>
    <n v="-245.3"/>
    <s v="CREDITOR"/>
    <n v="0"/>
    <n v="0"/>
    <n v="-245.3"/>
    <n v="0"/>
    <n v="0"/>
  </r>
  <r>
    <n v="40863544"/>
    <s v="N"/>
    <n v="21328765"/>
    <s v="3000010923120041RC"/>
    <s v="CIVIL"/>
    <d v="2023-06-23T00:00:00"/>
    <d v="2023-07-04T19:38:21"/>
    <m/>
    <d v="2023-07-04T00:00:00"/>
    <n v="1566"/>
    <n v="14356"/>
    <s v="40863544"/>
    <s v="40863544"/>
    <m/>
    <m/>
    <m/>
    <m/>
    <m/>
    <m/>
    <s v="SOLRECOUP"/>
    <s v="SOLRECOUP"/>
    <s v="POARECOUP"/>
    <n v="21328765"/>
    <n v="-495"/>
    <m/>
    <s v="Y"/>
    <n v="2"/>
    <d v="2023-07-04T19:38:22"/>
    <s v="N"/>
    <m/>
    <m/>
    <s v="Non Expert Disbursement"/>
    <m/>
    <s v="N"/>
    <n v="0"/>
    <n v="-82.5"/>
    <x v="1"/>
    <s v="VALIDATED"/>
    <n v="1"/>
    <s v="01.11.80.308.2013.0000"/>
    <n v="-82.5"/>
    <s v="11"/>
    <s v="2013"/>
    <n v="4060.65"/>
    <n v="-82.5"/>
    <s v="CREDITOR"/>
    <n v="0"/>
    <n v="0"/>
    <n v="-82.5"/>
    <n v="0"/>
    <n v="0"/>
  </r>
  <r>
    <n v="40863544"/>
    <s v="N"/>
    <n v="21328765"/>
    <s v="3000010923120041RC"/>
    <s v="CIVIL"/>
    <d v="2023-06-23T00:00:00"/>
    <d v="2023-07-04T19:38:21"/>
    <m/>
    <d v="2023-07-04T00:00:00"/>
    <n v="1566"/>
    <n v="14356"/>
    <s v="40863544"/>
    <s v="40863544"/>
    <m/>
    <m/>
    <m/>
    <m/>
    <m/>
    <m/>
    <s v="SOLRECOUP"/>
    <s v="SOLRECOUP"/>
    <s v="POARECOUP"/>
    <n v="21328765"/>
    <n v="-495"/>
    <m/>
    <s v="Y"/>
    <n v="1"/>
    <d v="2023-07-04T19:38:22"/>
    <s v="N"/>
    <m/>
    <m/>
    <s v="Non Expert Disbursement"/>
    <m/>
    <s v="N"/>
    <n v="-412.5"/>
    <n v="0"/>
    <x v="1"/>
    <s v="VALIDATED"/>
    <n v="1"/>
    <s v="01.11.80.308.2013.0000"/>
    <n v="-412.5"/>
    <s v="11"/>
    <s v="2013"/>
    <n v="4060.65"/>
    <n v="-412.5"/>
    <s v="CREDITOR"/>
    <n v="0"/>
    <n v="0"/>
    <n v="-412.5"/>
    <n v="0"/>
    <n v="0"/>
  </r>
  <r>
    <n v="40863544"/>
    <s v="N"/>
    <n v="21328766"/>
    <s v="3000010923120037RC"/>
    <s v="CIVIL"/>
    <d v="2023-06-23T00:00:00"/>
    <d v="2023-07-04T19:38:21"/>
    <m/>
    <d v="2023-07-04T00:00:00"/>
    <n v="1566"/>
    <n v="14356"/>
    <s v="40863544"/>
    <s v="40863544"/>
    <m/>
    <m/>
    <m/>
    <m/>
    <m/>
    <m/>
    <s v="SOLRECOUP"/>
    <s v="SOLRECOUP"/>
    <s v="POARECOUP"/>
    <n v="21328766"/>
    <n v="-60"/>
    <m/>
    <s v="Y"/>
    <n v="2"/>
    <d v="2023-07-04T19:38:22"/>
    <s v="N"/>
    <m/>
    <m/>
    <s v="Non Expert Disbursement"/>
    <m/>
    <s v="N"/>
    <n v="0"/>
    <n v="-10"/>
    <x v="1"/>
    <s v="VALIDATED"/>
    <n v="1"/>
    <s v="01.11.80.308.2013.0000"/>
    <n v="-10"/>
    <s v="11"/>
    <s v="2013"/>
    <n v="4060.65"/>
    <n v="-10"/>
    <s v="CREDITOR"/>
    <n v="0"/>
    <n v="0"/>
    <n v="-10"/>
    <n v="0"/>
    <n v="0"/>
  </r>
  <r>
    <n v="40863544"/>
    <s v="N"/>
    <n v="21328766"/>
    <s v="3000010923120037RC"/>
    <s v="CIVIL"/>
    <d v="2023-06-23T00:00:00"/>
    <d v="2023-07-04T19:38:21"/>
    <m/>
    <d v="2023-07-04T00:00:00"/>
    <n v="1566"/>
    <n v="14356"/>
    <s v="40863544"/>
    <s v="40863544"/>
    <m/>
    <m/>
    <m/>
    <m/>
    <m/>
    <m/>
    <s v="SOLRECOUP"/>
    <s v="SOLRECOUP"/>
    <s v="POARECOUP"/>
    <n v="21328766"/>
    <n v="-60"/>
    <m/>
    <s v="Y"/>
    <n v="1"/>
    <d v="2023-07-04T19:38:22"/>
    <s v="N"/>
    <m/>
    <m/>
    <s v="Non Expert Disbursement"/>
    <m/>
    <s v="N"/>
    <n v="-50"/>
    <n v="0"/>
    <x v="1"/>
    <s v="VALIDATED"/>
    <n v="1"/>
    <s v="01.11.80.308.2013.0000"/>
    <n v="-50"/>
    <s v="11"/>
    <s v="2013"/>
    <n v="4060.65"/>
    <n v="-50"/>
    <s v="CREDITOR"/>
    <n v="0"/>
    <n v="0"/>
    <n v="-50"/>
    <n v="0"/>
    <n v="0"/>
  </r>
  <r>
    <n v="40863544"/>
    <s v="N"/>
    <n v="21328767"/>
    <s v="3000010923120051RC"/>
    <s v="CIVIL"/>
    <d v="2023-06-23T00:00:00"/>
    <d v="2023-07-04T19:38:21"/>
    <m/>
    <d v="2023-07-04T00:00:00"/>
    <n v="1566"/>
    <n v="14356"/>
    <s v="40863544"/>
    <s v="40863544"/>
    <m/>
    <m/>
    <m/>
    <m/>
    <m/>
    <m/>
    <s v="SOLRECOUP"/>
    <s v="SOLRECOUP"/>
    <s v="POARECOUP"/>
    <n v="21328767"/>
    <n v="-4160.64"/>
    <m/>
    <s v="Y"/>
    <n v="2"/>
    <d v="2023-07-04T19:38:22"/>
    <s v="N"/>
    <m/>
    <m/>
    <s v="Profit Cost"/>
    <m/>
    <s v="N"/>
    <n v="0"/>
    <n v="-693.4400000000001"/>
    <x v="1"/>
    <s v="VALIDATED"/>
    <n v="1"/>
    <s v="01.11.80.308.2013.0000"/>
    <n v="-693.4400000000001"/>
    <s v="11"/>
    <s v="2013"/>
    <n v="4060.65"/>
    <n v="-693.4400000000001"/>
    <s v="CREDITOR"/>
    <n v="0"/>
    <n v="0"/>
    <n v="-693.4400000000001"/>
    <n v="-173.36"/>
    <n v="0"/>
  </r>
  <r>
    <n v="40863544"/>
    <s v="N"/>
    <n v="21328767"/>
    <s v="3000010923120051RC"/>
    <s v="CIVIL"/>
    <d v="2023-06-23T00:00:00"/>
    <d v="2023-07-04T19:38:21"/>
    <m/>
    <d v="2023-07-04T00:00:00"/>
    <n v="1566"/>
    <n v="14356"/>
    <s v="40863544"/>
    <s v="40863544"/>
    <m/>
    <m/>
    <m/>
    <m/>
    <m/>
    <m/>
    <s v="SOLRECOUP"/>
    <s v="SOLRECOUP"/>
    <s v="POARECOUP"/>
    <n v="21328767"/>
    <n v="-4160.64"/>
    <m/>
    <s v="Y"/>
    <n v="1"/>
    <d v="2023-07-04T19:38:22"/>
    <s v="N"/>
    <m/>
    <m/>
    <s v="Profit Cost"/>
    <m/>
    <s v="N"/>
    <n v="-3467.2"/>
    <n v="0"/>
    <x v="1"/>
    <s v="VALIDATED"/>
    <n v="1"/>
    <s v="01.11.80.308.2013.0000"/>
    <n v="-3467.2"/>
    <s v="11"/>
    <s v="2013"/>
    <n v="4060.65"/>
    <n v="-3467.2"/>
    <s v="CREDITOR"/>
    <n v="0"/>
    <n v="0"/>
    <n v="-3467.2"/>
    <n v="-866.8"/>
    <n v="0"/>
  </r>
  <r>
    <n v="40863544"/>
    <s v="N"/>
    <n v="21328768"/>
    <s v="3000010923120042RC"/>
    <s v="CIVIL"/>
    <d v="2023-06-23T00:00:00"/>
    <d v="2023-07-04T19:38:21"/>
    <m/>
    <d v="2023-07-04T00:00:00"/>
    <n v="1566"/>
    <n v="14356"/>
    <s v="40863544"/>
    <s v="40863544"/>
    <m/>
    <m/>
    <m/>
    <m/>
    <m/>
    <m/>
    <s v="SOLRECOUP"/>
    <s v="SOLRECOUP"/>
    <s v="POARECOUP"/>
    <n v="21328768"/>
    <n v="-36"/>
    <m/>
    <s v="Y"/>
    <n v="2"/>
    <d v="2023-07-04T19:38:22"/>
    <s v="N"/>
    <m/>
    <m/>
    <s v="Expert Disbursement"/>
    <m/>
    <s v="N"/>
    <n v="0"/>
    <n v="-6"/>
    <x v="1"/>
    <s v="VALIDATED"/>
    <n v="1"/>
    <s v="01.11.80.308.2013.0000"/>
    <n v="-6"/>
    <s v="11"/>
    <s v="2013"/>
    <n v="4060.65"/>
    <n v="-6"/>
    <s v="CREDITOR"/>
    <n v="0"/>
    <n v="0"/>
    <n v="-6"/>
    <n v="0"/>
    <n v="0"/>
  </r>
  <r>
    <n v="40863544"/>
    <s v="N"/>
    <n v="21328768"/>
    <s v="3000010923120042RC"/>
    <s v="CIVIL"/>
    <d v="2023-06-23T00:00:00"/>
    <d v="2023-07-04T19:38:21"/>
    <m/>
    <d v="2023-07-04T00:00:00"/>
    <n v="1566"/>
    <n v="14356"/>
    <s v="40863544"/>
    <s v="40863544"/>
    <m/>
    <m/>
    <m/>
    <m/>
    <m/>
    <m/>
    <s v="SOLRECOUP"/>
    <s v="SOLRECOUP"/>
    <s v="POARECOUP"/>
    <n v="21328768"/>
    <n v="-36"/>
    <m/>
    <s v="Y"/>
    <n v="1"/>
    <d v="2023-07-04T19:38:22"/>
    <s v="N"/>
    <m/>
    <m/>
    <s v="Expert Disbursement"/>
    <m/>
    <s v="N"/>
    <n v="-30"/>
    <n v="0"/>
    <x v="1"/>
    <s v="VALIDATED"/>
    <n v="1"/>
    <s v="01.11.80.308.2013.0000"/>
    <n v="-30"/>
    <s v="11"/>
    <s v="2013"/>
    <n v="4060.65"/>
    <n v="-30"/>
    <s v="CREDITOR"/>
    <n v="0"/>
    <n v="0"/>
    <n v="-30"/>
    <n v="0"/>
    <n v="0"/>
  </r>
  <r>
    <n v="40863544"/>
    <s v="N"/>
    <n v="21328769"/>
    <s v="3000010923120052RC"/>
    <s v="CIVIL"/>
    <d v="2023-06-23T00:00:00"/>
    <d v="2023-07-04T19:38:21"/>
    <m/>
    <d v="2023-07-04T00:00:00"/>
    <n v="1566"/>
    <n v="14356"/>
    <s v="40863544"/>
    <s v="40863544"/>
    <m/>
    <m/>
    <m/>
    <m/>
    <m/>
    <m/>
    <s v="SOLRECOUP"/>
    <s v="SOLRECOUP"/>
    <s v="POARECOUP"/>
    <n v="21328769"/>
    <n v="-35"/>
    <m/>
    <s v="Y"/>
    <n v="2"/>
    <d v="2023-07-04T19:38:22"/>
    <s v="N"/>
    <m/>
    <m/>
    <s v="Expert Disbursement"/>
    <m/>
    <s v="N"/>
    <n v="0"/>
    <n v="-5.83"/>
    <x v="1"/>
    <s v="VALIDATED"/>
    <n v="1"/>
    <s v="01.11.80.308.2013.0000"/>
    <n v="-5.83"/>
    <s v="11"/>
    <s v="2013"/>
    <n v="4060.65"/>
    <n v="-5.83"/>
    <s v="CREDITOR"/>
    <n v="0"/>
    <n v="0"/>
    <n v="-5.83"/>
    <n v="0"/>
    <n v="0"/>
  </r>
  <r>
    <n v="40863544"/>
    <s v="N"/>
    <n v="21328769"/>
    <s v="3000010923120052RC"/>
    <s v="CIVIL"/>
    <d v="2023-06-23T00:00:00"/>
    <d v="2023-07-04T19:38:21"/>
    <m/>
    <d v="2023-07-04T00:00:00"/>
    <n v="1566"/>
    <n v="14356"/>
    <s v="40863544"/>
    <s v="40863544"/>
    <m/>
    <m/>
    <m/>
    <m/>
    <m/>
    <m/>
    <s v="SOLRECOUP"/>
    <s v="SOLRECOUP"/>
    <s v="POARECOUP"/>
    <n v="21328769"/>
    <n v="-35"/>
    <m/>
    <s v="Y"/>
    <n v="1"/>
    <d v="2023-07-04T19:38:22"/>
    <s v="N"/>
    <m/>
    <m/>
    <s v="Expert Disbursement"/>
    <m/>
    <s v="N"/>
    <n v="-29.17"/>
    <n v="0"/>
    <x v="1"/>
    <s v="VALIDATED"/>
    <n v="1"/>
    <s v="01.11.80.308.2013.0000"/>
    <n v="-29.17"/>
    <s v="11"/>
    <s v="2013"/>
    <n v="4060.65"/>
    <n v="-29.17"/>
    <s v="CREDITOR"/>
    <n v="0"/>
    <n v="0"/>
    <n v="-29.17"/>
    <n v="0"/>
    <n v="0"/>
  </r>
  <r>
    <n v="40863544"/>
    <s v="N"/>
    <n v="21328770"/>
    <s v="3000010923120056RC"/>
    <s v="CIVIL"/>
    <d v="2023-06-23T00:00:00"/>
    <d v="2023-07-04T19:38:21"/>
    <m/>
    <d v="2023-07-04T00:00:00"/>
    <n v="1566"/>
    <n v="14356"/>
    <s v="40863544"/>
    <s v="40863544"/>
    <m/>
    <m/>
    <m/>
    <m/>
    <m/>
    <m/>
    <s v="SOLRECOUP"/>
    <s v="SOLRECOUP"/>
    <s v="POARECOUP"/>
    <n v="21328770"/>
    <n v="-136.8"/>
    <m/>
    <s v="Y"/>
    <n v="2"/>
    <d v="2023-07-04T19:38:22"/>
    <s v="N"/>
    <m/>
    <m/>
    <s v="Expert Disbursement"/>
    <m/>
    <s v="N"/>
    <n v="0"/>
    <n v="-22.8"/>
    <x v="1"/>
    <s v="VALIDATED"/>
    <n v="1"/>
    <s v="01.11.80.308.2013.0000"/>
    <n v="-22.8"/>
    <s v="11"/>
    <s v="2013"/>
    <n v="4060.65"/>
    <n v="-22.8"/>
    <s v="CREDITOR"/>
    <n v="0"/>
    <n v="0"/>
    <n v="-22.8"/>
    <n v="0"/>
    <n v="0"/>
  </r>
  <r>
    <n v="40863544"/>
    <s v="N"/>
    <n v="21328770"/>
    <s v="3000010923120056RC"/>
    <s v="CIVIL"/>
    <d v="2023-06-23T00:00:00"/>
    <d v="2023-07-04T19:38:21"/>
    <m/>
    <d v="2023-07-04T00:00:00"/>
    <n v="1566"/>
    <n v="14356"/>
    <s v="40863544"/>
    <s v="40863544"/>
    <m/>
    <m/>
    <m/>
    <m/>
    <m/>
    <m/>
    <s v="SOLRECOUP"/>
    <s v="SOLRECOUP"/>
    <s v="POARECOUP"/>
    <n v="21328770"/>
    <n v="-136.8"/>
    <m/>
    <s v="Y"/>
    <n v="1"/>
    <d v="2023-07-04T19:38:22"/>
    <s v="N"/>
    <m/>
    <m/>
    <s v="Expert Disbursement"/>
    <m/>
    <s v="N"/>
    <n v="-114"/>
    <n v="0"/>
    <x v="1"/>
    <s v="VALIDATED"/>
    <n v="1"/>
    <s v="01.11.80.308.2013.0000"/>
    <n v="-114"/>
    <s v="11"/>
    <s v="2013"/>
    <n v="4060.65"/>
    <n v="-114"/>
    <s v="CREDITOR"/>
    <n v="0"/>
    <n v="0"/>
    <n v="-114"/>
    <n v="0"/>
    <n v="0"/>
  </r>
  <r>
    <n v="40863544"/>
    <s v="N"/>
    <n v="21328771"/>
    <s v="3000010923120059RC"/>
    <s v="CIVIL"/>
    <d v="2023-06-23T00:00:00"/>
    <d v="2023-07-04T19:38:21"/>
    <m/>
    <d v="2023-07-04T00:00:00"/>
    <n v="1566"/>
    <n v="14356"/>
    <s v="40863544"/>
    <s v="40863544"/>
    <m/>
    <m/>
    <m/>
    <m/>
    <m/>
    <m/>
    <s v="SOLRECOUP"/>
    <s v="SOLRECOUP"/>
    <s v="POARECOUP"/>
    <n v="21328771"/>
    <n v="-557.76"/>
    <m/>
    <s v="Y"/>
    <n v="1"/>
    <d v="2023-07-04T19:38:22"/>
    <s v="N"/>
    <m/>
    <m/>
    <s v="Profit Cost"/>
    <m/>
    <s v="N"/>
    <n v="-464.8"/>
    <n v="0"/>
    <x v="1"/>
    <s v="VALIDATED"/>
    <n v="1"/>
    <s v="01.11.80.308.2013.0000"/>
    <n v="-464.8"/>
    <s v="11"/>
    <s v="2013"/>
    <n v="4060.65"/>
    <n v="-464.8"/>
    <s v="CREDITOR"/>
    <n v="0"/>
    <n v="0"/>
    <n v="-464.8"/>
    <n v="-116.2"/>
    <n v="0"/>
  </r>
  <r>
    <n v="40863544"/>
    <s v="N"/>
    <n v="21328771"/>
    <s v="3000010923120059RC"/>
    <s v="CIVIL"/>
    <d v="2023-06-23T00:00:00"/>
    <d v="2023-07-04T19:38:21"/>
    <m/>
    <d v="2023-07-04T00:00:00"/>
    <n v="1566"/>
    <n v="14356"/>
    <s v="40863544"/>
    <s v="40863544"/>
    <m/>
    <m/>
    <m/>
    <m/>
    <m/>
    <m/>
    <s v="SOLRECOUP"/>
    <s v="SOLRECOUP"/>
    <s v="POARECOUP"/>
    <n v="21328771"/>
    <n v="-557.76"/>
    <m/>
    <s v="Y"/>
    <n v="2"/>
    <d v="2023-07-04T19:38:22"/>
    <s v="N"/>
    <m/>
    <m/>
    <s v="Profit Cost"/>
    <m/>
    <s v="N"/>
    <n v="0"/>
    <n v="-92.95999999999999"/>
    <x v="1"/>
    <s v="VALIDATED"/>
    <n v="1"/>
    <s v="01.11.80.308.2013.0000"/>
    <n v="-92.95999999999999"/>
    <s v="11"/>
    <s v="2013"/>
    <n v="4060.65"/>
    <n v="-92.95999999999999"/>
    <s v="CREDITOR"/>
    <n v="0"/>
    <n v="0"/>
    <n v="-92.95999999999999"/>
    <n v="-23.24"/>
    <n v="0"/>
  </r>
  <r>
    <n v="40863544"/>
    <s v="N"/>
    <n v="21328772"/>
    <s v="3000010923120061RC"/>
    <s v="CIVIL"/>
    <d v="2023-06-23T00:00:00"/>
    <d v="2023-07-04T19:38:21"/>
    <m/>
    <d v="2023-07-04T00:00:00"/>
    <n v="1566"/>
    <n v="14356"/>
    <s v="40863544"/>
    <s v="40863544"/>
    <m/>
    <m/>
    <m/>
    <m/>
    <m/>
    <m/>
    <s v="SOLRECOUP"/>
    <s v="SOLRECOUP"/>
    <s v="POARECOUP"/>
    <n v="21328772"/>
    <n v="-64.5"/>
    <m/>
    <s v="Y"/>
    <n v="1"/>
    <d v="2023-07-04T19:38:22"/>
    <s v="N"/>
    <m/>
    <m/>
    <s v="Expert Disbursement"/>
    <m/>
    <s v="N"/>
    <n v="-53.75"/>
    <n v="0"/>
    <x v="1"/>
    <s v="VALIDATED"/>
    <n v="1"/>
    <s v="01.11.80.308.2013.0000"/>
    <n v="-53.75"/>
    <s v="11"/>
    <s v="2013"/>
    <n v="4060.65"/>
    <n v="-53.75"/>
    <s v="CREDITOR"/>
    <n v="0"/>
    <n v="0"/>
    <n v="-53.75"/>
    <n v="0"/>
    <n v="0"/>
  </r>
  <r>
    <n v="40863544"/>
    <s v="N"/>
    <n v="21328772"/>
    <s v="3000010923120061RC"/>
    <s v="CIVIL"/>
    <d v="2023-06-23T00:00:00"/>
    <d v="2023-07-04T19:38:21"/>
    <m/>
    <d v="2023-07-04T00:00:00"/>
    <n v="1566"/>
    <n v="14356"/>
    <s v="40863544"/>
    <s v="40863544"/>
    <m/>
    <m/>
    <m/>
    <m/>
    <m/>
    <m/>
    <s v="SOLRECOUP"/>
    <s v="SOLRECOUP"/>
    <s v="POARECOUP"/>
    <n v="21328772"/>
    <n v="-64.5"/>
    <m/>
    <s v="Y"/>
    <n v="2"/>
    <d v="2023-07-04T19:38:22"/>
    <s v="N"/>
    <m/>
    <m/>
    <s v="Expert Disbursement"/>
    <m/>
    <s v="N"/>
    <n v="0"/>
    <n v="-10.75"/>
    <x v="1"/>
    <s v="VALIDATED"/>
    <n v="1"/>
    <s v="01.11.80.308.2013.0000"/>
    <n v="-10.75"/>
    <s v="11"/>
    <s v="2013"/>
    <n v="4060.65"/>
    <n v="-10.75"/>
    <s v="CREDITOR"/>
    <n v="0"/>
    <n v="0"/>
    <n v="-10.75"/>
    <n v="0"/>
    <n v="0"/>
  </r>
  <r>
    <n v="40863544"/>
    <s v="N"/>
    <n v="21328727"/>
    <s v="3000010923120036RC"/>
    <s v="CIVIL"/>
    <d v="2023-06-23T00:00:00"/>
    <d v="2023-07-04T19:38:21"/>
    <m/>
    <d v="2023-07-04T00:00:00"/>
    <n v="1566"/>
    <n v="14356"/>
    <s v="40863544"/>
    <s v="40863544"/>
    <m/>
    <m/>
    <m/>
    <m/>
    <m/>
    <m/>
    <s v="SOLRECOUP"/>
    <s v="SOLRECOUP"/>
    <s v="POARECOUP"/>
    <n v="21328727"/>
    <n v="-30"/>
    <m/>
    <s v="Y"/>
    <n v="1"/>
    <d v="2023-07-04T19:38:22"/>
    <s v="N"/>
    <m/>
    <m/>
    <s v="Expert Disbursement"/>
    <m/>
    <s v="N"/>
    <n v="-25"/>
    <n v="0"/>
    <x v="1"/>
    <s v="VALIDATED"/>
    <n v="1"/>
    <s v="01.11.80.308.2013.0000"/>
    <n v="-25"/>
    <s v="11"/>
    <s v="2013"/>
    <n v="4060.65"/>
    <n v="-25"/>
    <s v="CREDITOR"/>
    <n v="0"/>
    <n v="0"/>
    <n v="-25"/>
    <n v="0"/>
    <n v="0"/>
  </r>
  <r>
    <n v="40863544"/>
    <s v="N"/>
    <n v="21328727"/>
    <s v="3000010923120036RC"/>
    <s v="CIVIL"/>
    <d v="2023-06-23T00:00:00"/>
    <d v="2023-07-04T19:38:21"/>
    <m/>
    <d v="2023-07-04T00:00:00"/>
    <n v="1566"/>
    <n v="14356"/>
    <s v="40863544"/>
    <s v="40863544"/>
    <m/>
    <m/>
    <m/>
    <m/>
    <m/>
    <m/>
    <s v="SOLRECOUP"/>
    <s v="SOLRECOUP"/>
    <s v="POARECOUP"/>
    <n v="21328727"/>
    <n v="-30"/>
    <m/>
    <s v="Y"/>
    <n v="2"/>
    <d v="2023-07-04T19:38:22"/>
    <s v="N"/>
    <m/>
    <m/>
    <s v="Expert Disbursement"/>
    <m/>
    <s v="N"/>
    <n v="0"/>
    <n v="-5"/>
    <x v="1"/>
    <s v="VALIDATED"/>
    <n v="1"/>
    <s v="01.11.80.308.2013.0000"/>
    <n v="-5"/>
    <s v="11"/>
    <s v="2013"/>
    <n v="4060.65"/>
    <n v="-5"/>
    <s v="CREDITOR"/>
    <n v="0"/>
    <n v="0"/>
    <n v="-5"/>
    <n v="0"/>
    <n v="0"/>
  </r>
  <r>
    <n v="40863544"/>
    <s v="N"/>
    <n v="21328728"/>
    <s v="3000010923120001RC"/>
    <s v="CIVIL"/>
    <d v="2023-06-23T00:00:00"/>
    <d v="2023-07-04T19:38:21"/>
    <m/>
    <d v="2023-07-04T00:00:00"/>
    <n v="1566"/>
    <n v="14356"/>
    <s v="40863544"/>
    <s v="40863544"/>
    <m/>
    <m/>
    <m/>
    <m/>
    <m/>
    <m/>
    <s v="SOLRECOUP"/>
    <s v="SOLRECOUP"/>
    <s v="POARECOUP"/>
    <n v="21328728"/>
    <n v="-648"/>
    <m/>
    <s v="Y"/>
    <n v="1"/>
    <d v="2023-07-04T19:38:22"/>
    <s v="N"/>
    <m/>
    <m/>
    <s v="Expert Disbursement"/>
    <m/>
    <s v="N"/>
    <n v="-540"/>
    <n v="0"/>
    <x v="1"/>
    <s v="VALIDATED"/>
    <n v="1"/>
    <s v="01.11.80.308.2013.0000"/>
    <n v="-540"/>
    <s v="11"/>
    <s v="2013"/>
    <n v="4060.65"/>
    <n v="-540"/>
    <s v="CREDITOR"/>
    <n v="0"/>
    <n v="0"/>
    <n v="-540"/>
    <n v="0"/>
    <n v="0"/>
  </r>
  <r>
    <n v="40863544"/>
    <s v="N"/>
    <n v="21328728"/>
    <s v="3000010923120001RC"/>
    <s v="CIVIL"/>
    <d v="2023-06-23T00:00:00"/>
    <d v="2023-07-04T19:38:21"/>
    <m/>
    <d v="2023-07-04T00:00:00"/>
    <n v="1566"/>
    <n v="14356"/>
    <s v="40863544"/>
    <s v="40863544"/>
    <m/>
    <m/>
    <m/>
    <m/>
    <m/>
    <m/>
    <s v="SOLRECOUP"/>
    <s v="SOLRECOUP"/>
    <s v="POARECOUP"/>
    <n v="21328728"/>
    <n v="-648"/>
    <m/>
    <s v="Y"/>
    <n v="2"/>
    <d v="2023-07-04T19:38:22"/>
    <s v="N"/>
    <m/>
    <m/>
    <s v="Expert Disbursement"/>
    <m/>
    <s v="N"/>
    <n v="0"/>
    <n v="-108"/>
    <x v="1"/>
    <s v="VALIDATED"/>
    <n v="1"/>
    <s v="01.11.80.308.2013.0000"/>
    <n v="-108"/>
    <s v="11"/>
    <s v="2013"/>
    <n v="4060.65"/>
    <n v="-108"/>
    <s v="CREDITOR"/>
    <n v="0"/>
    <n v="0"/>
    <n v="-108"/>
    <n v="0"/>
    <n v="0"/>
  </r>
  <r>
    <n v="40863544"/>
    <s v="N"/>
    <n v="21328729"/>
    <s v="3000010923120003RC"/>
    <s v="CIVIL"/>
    <d v="2023-06-23T00:00:00"/>
    <d v="2023-07-04T19:38:21"/>
    <m/>
    <d v="2023-07-04T00:00:00"/>
    <n v="1566"/>
    <n v="14356"/>
    <s v="40863544"/>
    <s v="40863544"/>
    <m/>
    <m/>
    <m/>
    <m/>
    <m/>
    <m/>
    <s v="SOLRECOUP"/>
    <s v="SOLRECOUP"/>
    <s v="POARECOUP"/>
    <n v="21328729"/>
    <n v="-264.48"/>
    <m/>
    <s v="Y"/>
    <n v="2"/>
    <d v="2023-07-04T19:38:22"/>
    <s v="N"/>
    <m/>
    <m/>
    <s v="Expert Disbursement"/>
    <m/>
    <s v="N"/>
    <n v="0"/>
    <n v="-44.08"/>
    <x v="1"/>
    <s v="VALIDATED"/>
    <n v="1"/>
    <s v="01.11.80.308.2013.0000"/>
    <n v="-44.08"/>
    <s v="11"/>
    <s v="2013"/>
    <n v="4060.65"/>
    <n v="-44.08"/>
    <s v="CREDITOR"/>
    <n v="0"/>
    <n v="0"/>
    <n v="-44.08"/>
    <n v="0"/>
    <n v="0"/>
  </r>
  <r>
    <n v="62011248"/>
    <s v="N"/>
    <n v="21338316"/>
    <s v="3000016050860001"/>
    <s v="CIVIL"/>
    <d v="2023-06-27T00:00:00"/>
    <d v="2023-07-06T19:21:01"/>
    <m/>
    <d v="2023-07-06T00:00:00"/>
    <n v="1566"/>
    <n v="14356"/>
    <s v="62011248"/>
    <s v="62011248"/>
    <m/>
    <m/>
    <n v="22767126"/>
    <m/>
    <m/>
    <m/>
    <s v="SOLFIN"/>
    <s v="SOLFIN"/>
    <s v="CCMS"/>
    <n v="21338316"/>
    <n v="713.9299999999999"/>
    <m/>
    <s v="N"/>
    <n v="7"/>
    <d v="2023-07-06T19:21:18"/>
    <s v="Y"/>
    <s v="Preparation - other"/>
    <s v="Prescribed Hourly Rates"/>
    <s v="Profit Cost"/>
    <s v="Christopher Dobson"/>
    <s v="Y"/>
    <n v="68.31"/>
    <n v="13.66"/>
    <x v="4"/>
    <s v="VALIDATED"/>
    <n v="1"/>
    <s v="01.11.80.305.6100.0000"/>
    <n v="68.31"/>
    <s v="11"/>
    <s v="6100"/>
    <n v="4060.65"/>
    <n v="68.31"/>
    <s v="CREDITOR"/>
    <n v="0"/>
    <n v="0"/>
    <n v="0"/>
    <n v="0"/>
    <n v="68.31"/>
  </r>
  <r>
    <n v="61219689"/>
    <s v="N"/>
    <n v="21321012"/>
    <s v="3000015389750004"/>
    <s v="CIVIL"/>
    <d v="2023-06-28T00:00:00"/>
    <d v="2023-07-03T19:04:52"/>
    <m/>
    <d v="2023-07-03T00:00:00"/>
    <n v="1566"/>
    <n v="14356"/>
    <s v="61219689"/>
    <s v="61219689"/>
    <m/>
    <m/>
    <n v="22781946"/>
    <m/>
    <m/>
    <m/>
    <s v="SOLPOA"/>
    <s v="SOLPOA"/>
    <s v="CCMS"/>
    <n v="21321012"/>
    <n v="160.8"/>
    <m/>
    <s v="N"/>
    <n v="1"/>
    <d v="2023-07-03T19:04:57"/>
    <s v="N"/>
    <s v="Expert Cost"/>
    <s v="Expert Cost"/>
    <s v="Expert Disbursement"/>
    <s v="CD/Lextox/Brighton"/>
    <s v="N"/>
    <n v="134"/>
    <n v="26.8"/>
    <x v="3"/>
    <s v="VALIDATED"/>
    <n v="1"/>
    <s v="01.11.80.308.2012.0000"/>
    <n v="134"/>
    <s v="11"/>
    <s v="2012"/>
    <n v="4060.65"/>
    <n v="134"/>
    <s v="CREDITOR"/>
    <n v="134"/>
    <n v="0"/>
    <n v="0"/>
    <n v="0"/>
    <n v="0"/>
  </r>
  <r>
    <n v="61858915"/>
    <s v="N"/>
    <n v="21320214"/>
    <s v="3000015923160015"/>
    <s v="CIVIL"/>
    <d v="2023-06-28T00:00:00"/>
    <d v="2023-07-03T19:04:52"/>
    <m/>
    <d v="2023-07-03T00:00:00"/>
    <n v="1566"/>
    <n v="14356"/>
    <s v="61858915"/>
    <s v="61858915"/>
    <m/>
    <m/>
    <n v="22781044"/>
    <m/>
    <m/>
    <m/>
    <s v="SOLPOA"/>
    <s v="SOLPOA"/>
    <s v="CCMS"/>
    <n v="21320214"/>
    <n v="67.5"/>
    <m/>
    <s v="N"/>
    <n v="1"/>
    <d v="2023-07-03T19:04:52"/>
    <s v="N"/>
    <s v="Expert Cost"/>
    <s v="Expert Cost"/>
    <s v="Expert Disbursement"/>
    <s v="SJ/HEK"/>
    <s v="N"/>
    <n v="67.5"/>
    <n v="0"/>
    <x v="3"/>
    <s v="VALIDATED"/>
    <n v="1"/>
    <s v="01.11.80.308.2012.0000"/>
    <n v="67.5"/>
    <s v="11"/>
    <s v="2012"/>
    <n v="4060.65"/>
    <n v="67.5"/>
    <s v="CREDITOR"/>
    <n v="67.5"/>
    <n v="0"/>
    <n v="0"/>
    <n v="0"/>
    <n v="0"/>
  </r>
  <r>
    <n v="62011248"/>
    <s v="N"/>
    <n v="21338316"/>
    <s v="3000016050860001"/>
    <s v="CIVIL"/>
    <d v="2023-06-27T00:00:00"/>
    <d v="2023-07-06T19:21:01"/>
    <m/>
    <d v="2023-07-06T00:00:00"/>
    <n v="1566"/>
    <n v="14356"/>
    <s v="62011248"/>
    <s v="62011248"/>
    <m/>
    <m/>
    <n v="22767126"/>
    <m/>
    <m/>
    <m/>
    <s v="SOLFIN"/>
    <s v="SOLFIN"/>
    <s v="CCMS"/>
    <n v="21338316"/>
    <n v="713.9299999999999"/>
    <m/>
    <s v="N"/>
    <n v="4"/>
    <d v="2023-07-06T19:21:18"/>
    <s v="Y"/>
    <s v="Preparation - drafting application"/>
    <s v="Prescribed Hourly Rates"/>
    <s v="Profit Cost"/>
    <s v="Shamira Jaigirder"/>
    <s v="Y"/>
    <n v="17.82"/>
    <n v="3.56"/>
    <x v="4"/>
    <s v="VALIDATED"/>
    <n v="1"/>
    <s v="01.11.80.305.6100.0000"/>
    <n v="17.82"/>
    <s v="11"/>
    <s v="6100"/>
    <n v="4060.65"/>
    <n v="17.82"/>
    <s v="CREDITOR"/>
    <n v="0"/>
    <n v="0"/>
    <n v="0"/>
    <n v="0"/>
    <n v="17.82"/>
  </r>
  <r>
    <n v="60244417"/>
    <s v="N"/>
    <n v="21320521"/>
    <s v="3000014553170018"/>
    <s v="CIVIL"/>
    <d v="2023-06-28T00:00:00"/>
    <d v="2023-07-03T19:04:52"/>
    <m/>
    <d v="2023-07-03T00:00:00"/>
    <n v="1566"/>
    <n v="14356"/>
    <s v="60244417"/>
    <s v="60244417"/>
    <m/>
    <m/>
    <n v="22782206"/>
    <m/>
    <m/>
    <m/>
    <s v="SOLPOA"/>
    <s v="SOLPOA"/>
    <s v="CCMS"/>
    <n v="21320521"/>
    <n v="243"/>
    <m/>
    <s v="N"/>
    <n v="1"/>
    <d v="2023-07-03T19:04:54"/>
    <s v="N"/>
    <s v="Expert Cost"/>
    <s v="Expert Cost"/>
    <s v="Expert Disbursement"/>
    <s v="CD Charles Musters"/>
    <s v="N"/>
    <n v="202.5"/>
    <n v="40.5"/>
    <x v="3"/>
    <s v="VALIDATED"/>
    <n v="1"/>
    <s v="01.11.80.308.2012.0000"/>
    <n v="202.5"/>
    <s v="11"/>
    <s v="2012"/>
    <n v="4060.65"/>
    <n v="202.5"/>
    <s v="CREDITOR"/>
    <n v="202.5"/>
    <n v="0"/>
    <n v="0"/>
    <n v="0"/>
    <n v="0"/>
  </r>
  <r>
    <n v="40863544"/>
    <s v="N"/>
    <n v="21328012"/>
    <s v="3000010923120062"/>
    <s v="CIVIL"/>
    <d v="2023-06-23T00:00:00"/>
    <d v="2023-07-04T19:00:44"/>
    <m/>
    <d v="2023-07-04T00:00:00"/>
    <n v="1566"/>
    <n v="14356"/>
    <s v="40863544"/>
    <s v="40863544"/>
    <m/>
    <m/>
    <n v="22749856"/>
    <m/>
    <m/>
    <m/>
    <s v="SOLFIN"/>
    <s v="SOLFIN"/>
    <s v="CCMS"/>
    <n v="21328012"/>
    <n v="29304.76"/>
    <m/>
    <s v="N"/>
    <n v="1"/>
    <d v="2023-07-04T19:01:01"/>
    <s v="Y"/>
    <s v="Profit Costs (Summary)"/>
    <s v="VHCC"/>
    <s v="Profit Cost"/>
    <s v="GH"/>
    <s v="Y"/>
    <n v="14616"/>
    <n v="2923.2"/>
    <x v="1"/>
    <s v="VALIDATED"/>
    <n v="1"/>
    <s v="01.11.80.308.6100.0000"/>
    <n v="14616"/>
    <s v="11"/>
    <s v="6100"/>
    <n v="4060.65"/>
    <n v="14616"/>
    <s v="CREDITOR"/>
    <n v="0"/>
    <n v="0"/>
    <n v="0"/>
    <n v="0"/>
    <n v="14616"/>
  </r>
  <r>
    <n v="40863544"/>
    <s v="N"/>
    <n v="21328012"/>
    <s v="3000010923120062"/>
    <s v="CIVIL"/>
    <d v="2023-06-23T00:00:00"/>
    <d v="2023-07-04T19:00:44"/>
    <m/>
    <d v="2023-07-04T00:00:00"/>
    <n v="1566"/>
    <n v="14356"/>
    <s v="40863544"/>
    <s v="40863544"/>
    <m/>
    <m/>
    <n v="22749856"/>
    <m/>
    <m/>
    <m/>
    <s v="SOLFIN"/>
    <s v="SOLFIN"/>
    <s v="CCMS"/>
    <n v="21328012"/>
    <n v="29304.76"/>
    <m/>
    <s v="N"/>
    <n v="2"/>
    <d v="2023-07-04T19:01:01"/>
    <s v="Y"/>
    <s v="Disbursements (Summary)"/>
    <s v="VHCC"/>
    <s v="Non Expert Disbursement"/>
    <s v="GH"/>
    <s v="Y"/>
    <n v="3213.47"/>
    <n v="642.6900000000001"/>
    <x v="1"/>
    <s v="VALIDATED"/>
    <n v="1"/>
    <s v="01.11.80.308.6300.0000"/>
    <n v="3213.47"/>
    <s v="11"/>
    <s v="6300"/>
    <n v="4060.65"/>
    <n v="3213.47"/>
    <s v="CREDITOR"/>
    <n v="0"/>
    <n v="0"/>
    <n v="0"/>
    <n v="0"/>
    <n v="3213.47"/>
  </r>
  <r>
    <n v="62102376"/>
    <s v="N"/>
    <n v="21321724"/>
    <s v="3000016128930002"/>
    <s v="CIVIL"/>
    <d v="2023-06-29T00:00:00"/>
    <d v="2023-07-03T19:05:17"/>
    <m/>
    <d v="2023-07-03T00:00:00"/>
    <n v="1566"/>
    <n v="14356"/>
    <s v="62102376"/>
    <s v="62102376"/>
    <m/>
    <m/>
    <n v="22787764"/>
    <m/>
    <m/>
    <m/>
    <s v="SOLPOA"/>
    <s v="SOLPOA"/>
    <s v="CCMS"/>
    <n v="21321724"/>
    <n v="486"/>
    <m/>
    <s v="N"/>
    <n v="1"/>
    <d v="2023-07-03T19:05:20"/>
    <s v="N"/>
    <s v="Expert Cost"/>
    <s v="Expert Cost"/>
    <s v="Expert Disbursement"/>
    <s v="EH/Anane Dr Castle"/>
    <s v="N"/>
    <n v="405"/>
    <n v="81"/>
    <x v="3"/>
    <s v="VALIDATED"/>
    <n v="1"/>
    <s v="01.11.80.308.2012.0000"/>
    <n v="405"/>
    <s v="11"/>
    <s v="2012"/>
    <n v="4060.65"/>
    <n v="405"/>
    <s v="CREDITOR"/>
    <n v="405"/>
    <n v="0"/>
    <n v="0"/>
    <n v="0"/>
    <n v="0"/>
  </r>
  <r>
    <n v="62011248"/>
    <s v="N"/>
    <n v="21338316"/>
    <s v="3000016050860001"/>
    <s v="CIVIL"/>
    <d v="2023-06-27T00:00:00"/>
    <d v="2023-07-06T19:21:01"/>
    <m/>
    <d v="2023-07-06T00:00:00"/>
    <n v="1566"/>
    <n v="14356"/>
    <s v="62011248"/>
    <s v="62011248"/>
    <m/>
    <m/>
    <n v="22767126"/>
    <m/>
    <m/>
    <m/>
    <s v="SOLFIN"/>
    <s v="SOLFIN"/>
    <s v="CCMS"/>
    <n v="21338316"/>
    <n v="713.9299999999999"/>
    <m/>
    <s v="N"/>
    <n v="6"/>
    <d v="2023-07-06T19:21:18"/>
    <s v="Y"/>
    <s v="Preparation - other"/>
    <s v="Prescribed Hourly Rates"/>
    <s v="Profit Cost"/>
    <s v="Christopher Dobson"/>
    <s v="Y"/>
    <n v="6.83"/>
    <n v="1.37"/>
    <x v="4"/>
    <s v="VALIDATED"/>
    <n v="1"/>
    <s v="01.11.80.305.6100.0000"/>
    <n v="6.83"/>
    <s v="11"/>
    <s v="6100"/>
    <n v="4060.65"/>
    <n v="6.83"/>
    <s v="CREDITOR"/>
    <n v="0"/>
    <n v="0"/>
    <n v="0"/>
    <n v="0"/>
    <n v="6.83"/>
  </r>
  <r>
    <n v="62011248"/>
    <s v="N"/>
    <n v="21338316"/>
    <s v="3000016050860001"/>
    <s v="CIVIL"/>
    <d v="2023-06-27T00:00:00"/>
    <d v="2023-07-06T19:21:01"/>
    <m/>
    <d v="2023-07-06T00:00:00"/>
    <n v="1566"/>
    <n v="14356"/>
    <s v="62011248"/>
    <s v="62011248"/>
    <m/>
    <m/>
    <n v="22767126"/>
    <m/>
    <m/>
    <m/>
    <s v="SOLFIN"/>
    <s v="SOLFIN"/>
    <s v="CCMS"/>
    <n v="21338316"/>
    <n v="713.9299999999999"/>
    <m/>
    <s v="N"/>
    <n v="1"/>
    <d v="2023-07-06T19:21:18"/>
    <s v="Y"/>
    <s v="Routine Letter Out"/>
    <s v="Prescribed Hourly Rates"/>
    <s v="Profit Cost"/>
    <s v="Christopher Dobson"/>
    <s v="Y"/>
    <n v="24.84"/>
    <n v="4.97"/>
    <x v="4"/>
    <s v="VALIDATED"/>
    <n v="1"/>
    <s v="01.11.80.305.6100.0000"/>
    <n v="24.84"/>
    <s v="11"/>
    <s v="6100"/>
    <n v="4060.65"/>
    <n v="24.84"/>
    <s v="CREDITOR"/>
    <n v="0"/>
    <n v="0"/>
    <n v="0"/>
    <n v="0"/>
    <n v="24.84"/>
  </r>
  <r>
    <n v="62011248"/>
    <s v="N"/>
    <n v="21338316"/>
    <s v="3000016050860001"/>
    <s v="CIVIL"/>
    <d v="2023-06-27T00:00:00"/>
    <d v="2023-07-06T19:21:01"/>
    <m/>
    <d v="2023-07-06T00:00:00"/>
    <n v="1566"/>
    <n v="14356"/>
    <s v="62011248"/>
    <s v="62011248"/>
    <m/>
    <m/>
    <n v="22767126"/>
    <m/>
    <m/>
    <m/>
    <s v="SOLFIN"/>
    <s v="SOLFIN"/>
    <s v="CCMS"/>
    <n v="21338316"/>
    <n v="713.9299999999999"/>
    <m/>
    <s v="N"/>
    <n v="3"/>
    <d v="2023-07-06T19:21:18"/>
    <s v="Y"/>
    <s v="Routine Letter In"/>
    <s v="Prescribed Hourly Rates"/>
    <s v="Profit Cost"/>
    <s v="Christopher Dobson"/>
    <s v="Y"/>
    <n v="21.74"/>
    <n v="4.35"/>
    <x v="4"/>
    <s v="VALIDATED"/>
    <n v="1"/>
    <s v="01.11.80.305.6100.0000"/>
    <n v="21.74"/>
    <s v="11"/>
    <s v="6100"/>
    <n v="4060.65"/>
    <n v="21.74"/>
    <s v="CREDITOR"/>
    <n v="0"/>
    <n v="0"/>
    <n v="0"/>
    <n v="0"/>
    <n v="21.74"/>
  </r>
  <r>
    <n v="40863544"/>
    <s v="N"/>
    <n v="21328012"/>
    <s v="3000010923120062"/>
    <s v="CIVIL"/>
    <d v="2023-06-23T00:00:00"/>
    <d v="2023-07-04T19:00:44"/>
    <m/>
    <d v="2023-07-04T00:00:00"/>
    <n v="1566"/>
    <n v="14356"/>
    <s v="40863544"/>
    <s v="40863544"/>
    <m/>
    <m/>
    <n v="22749856"/>
    <m/>
    <m/>
    <m/>
    <s v="SOLFIN"/>
    <s v="SOLFIN"/>
    <s v="CCMS"/>
    <n v="21328012"/>
    <n v="29304.76"/>
    <m/>
    <s v="N"/>
    <n v="4"/>
    <d v="2023-07-04T19:01:01"/>
    <s v="Y"/>
    <s v="Advocacy Costs (Summary)"/>
    <s v="VHCC"/>
    <s v="Advocacy"/>
    <s v="GH"/>
    <s v="Y"/>
    <n v="5785"/>
    <n v="1157"/>
    <x v="1"/>
    <s v="VALIDATED"/>
    <n v="1"/>
    <s v="01.11.80.308.6100.0000"/>
    <n v="5785"/>
    <s v="11"/>
    <s v="6100"/>
    <n v="4060.65"/>
    <n v="5785"/>
    <s v="CREDITOR"/>
    <n v="0"/>
    <n v="0"/>
    <n v="0"/>
    <n v="0"/>
    <n v="5785"/>
  </r>
  <r>
    <n v="62011248"/>
    <s v="N"/>
    <n v="21338316"/>
    <s v="3000016050860001"/>
    <s v="CIVIL"/>
    <d v="2023-06-27T00:00:00"/>
    <d v="2023-07-06T19:21:01"/>
    <m/>
    <d v="2023-07-06T00:00:00"/>
    <n v="1566"/>
    <n v="14356"/>
    <s v="62011248"/>
    <s v="62011248"/>
    <m/>
    <m/>
    <n v="22767126"/>
    <m/>
    <m/>
    <m/>
    <s v="SOLFIN"/>
    <s v="SOLFIN"/>
    <s v="CCMS"/>
    <n v="21338316"/>
    <n v="713.9299999999999"/>
    <m/>
    <s v="N"/>
    <n v="8"/>
    <d v="2023-07-06T19:21:18"/>
    <s v="Y"/>
    <s v="Hearing Unit 2.31 - 5.00 Hours"/>
    <s v="Other Public Law Children"/>
    <s v="Advocacy"/>
    <s v="Christopher Dobson"/>
    <s v="Y"/>
    <n v="417.06"/>
    <n v="83.41"/>
    <x v="4"/>
    <s v="VALIDATED"/>
    <n v="1"/>
    <s v="01.11.80.305.6100.0000"/>
    <n v="417.06"/>
    <s v="11"/>
    <s v="6100"/>
    <n v="4060.65"/>
    <n v="417.06"/>
    <s v="CREDITOR"/>
    <n v="0"/>
    <n v="0"/>
    <n v="0"/>
    <n v="0"/>
    <n v="417.06"/>
  </r>
  <r>
    <n v="59597055"/>
    <s v="N"/>
    <n v="21321107"/>
    <s v="3000014001350023"/>
    <s v="CIVIL"/>
    <d v="2023-06-28T00:00:00"/>
    <d v="2023-07-03T19:04:52"/>
    <m/>
    <d v="2023-07-03T00:00:00"/>
    <n v="1566"/>
    <n v="14356"/>
    <s v="59597055"/>
    <s v="59597055"/>
    <m/>
    <m/>
    <n v="22781794"/>
    <m/>
    <m/>
    <m/>
    <s v="SOLPOA"/>
    <s v="SOLPOA"/>
    <s v="CCMS"/>
    <n v="21321107"/>
    <n v="195.59"/>
    <m/>
    <s v="N"/>
    <n v="1"/>
    <d v="2023-07-03T19:04:57"/>
    <s v="N"/>
    <s v="Expert Cost"/>
    <s v="Expert Cost"/>
    <s v="Expert Disbursement"/>
    <s v="CDJackman"/>
    <s v="N"/>
    <n v="162.99"/>
    <n v="32.6"/>
    <x v="3"/>
    <s v="VALIDATED"/>
    <n v="1"/>
    <s v="01.11.80.308.2012.0000"/>
    <n v="162.99"/>
    <s v="11"/>
    <s v="2012"/>
    <n v="4060.65"/>
    <n v="162.99"/>
    <s v="CREDITOR"/>
    <n v="162.99"/>
    <n v="0"/>
    <n v="0"/>
    <n v="0"/>
    <n v="0"/>
  </r>
  <r>
    <n v="62011248"/>
    <s v="N"/>
    <n v="21338316"/>
    <s v="3000016050860001"/>
    <s v="CIVIL"/>
    <d v="2023-06-27T00:00:00"/>
    <d v="2023-07-06T19:21:01"/>
    <m/>
    <d v="2023-07-06T00:00:00"/>
    <n v="1566"/>
    <n v="14356"/>
    <s v="62011248"/>
    <s v="62011248"/>
    <m/>
    <m/>
    <n v="22767126"/>
    <m/>
    <m/>
    <m/>
    <s v="SOLFIN"/>
    <s v="SOLFIN"/>
    <s v="CCMS"/>
    <n v="21338316"/>
    <n v="713.9299999999999"/>
    <m/>
    <s v="N"/>
    <n v="2"/>
    <d v="2023-07-06T19:21:18"/>
    <s v="Y"/>
    <s v="Routine Letter In"/>
    <s v="Prescribed Hourly Rates"/>
    <s v="Profit Cost"/>
    <s v="Shamira Jaigirder"/>
    <s v="Y"/>
    <n v="2.7"/>
    <n v="0.54"/>
    <x v="4"/>
    <s v="VALIDATED"/>
    <n v="1"/>
    <s v="01.11.80.305.6100.0000"/>
    <n v="2.7"/>
    <s v="11"/>
    <s v="6100"/>
    <n v="4060.65"/>
    <n v="2.7"/>
    <s v="CREDITOR"/>
    <n v="0"/>
    <n v="0"/>
    <n v="0"/>
    <n v="0"/>
    <n v="2.7"/>
  </r>
  <r>
    <n v="40863544"/>
    <s v="N"/>
    <n v="21328012"/>
    <s v="3000010923120062"/>
    <s v="CIVIL"/>
    <d v="2023-06-23T00:00:00"/>
    <d v="2023-07-04T19:00:44"/>
    <m/>
    <d v="2023-07-04T00:00:00"/>
    <n v="1566"/>
    <n v="14356"/>
    <s v="40863544"/>
    <s v="40863544"/>
    <m/>
    <m/>
    <n v="22749856"/>
    <m/>
    <m/>
    <m/>
    <s v="SOLFIN"/>
    <s v="SOLFIN"/>
    <s v="CCMS"/>
    <n v="21328012"/>
    <n v="29304.76"/>
    <m/>
    <s v="N"/>
    <n v="3"/>
    <d v="2023-07-04T19:01:01"/>
    <s v="Y"/>
    <s v="Disbursements (Summary)"/>
    <s v="VHCC"/>
    <s v="Non Expert Disbursement"/>
    <s v="GH"/>
    <s v="Y"/>
    <n v="967.4"/>
    <n v="0"/>
    <x v="1"/>
    <s v="VALIDATED"/>
    <n v="1"/>
    <s v="01.11.80.308.6300.0000"/>
    <n v="967.4"/>
    <s v="11"/>
    <s v="6300"/>
    <n v="4060.65"/>
    <n v="967.4"/>
    <s v="CREDITOR"/>
    <n v="0"/>
    <n v="0"/>
    <n v="0"/>
    <n v="0"/>
    <n v="967.4"/>
  </r>
  <r>
    <n v="62011248"/>
    <s v="N"/>
    <n v="21338316"/>
    <s v="3000016050860001"/>
    <s v="CIVIL"/>
    <d v="2023-06-27T00:00:00"/>
    <d v="2023-07-06T19:21:01"/>
    <m/>
    <d v="2023-07-06T00:00:00"/>
    <n v="1566"/>
    <n v="14356"/>
    <s v="62011248"/>
    <s v="62011248"/>
    <m/>
    <m/>
    <n v="22767126"/>
    <m/>
    <m/>
    <m/>
    <s v="SOLFIN"/>
    <s v="SOLFIN"/>
    <s v="CCMS"/>
    <n v="21338316"/>
    <n v="713.9299999999999"/>
    <m/>
    <s v="N"/>
    <n v="5"/>
    <d v="2023-07-06T19:21:18"/>
    <s v="Y"/>
    <s v="Preparation - drafting bill/claim f"/>
    <s v="Prescribed Hourly Rates"/>
    <s v="Profit Cost"/>
    <s v="Paul Hunn"/>
    <s v="Y"/>
    <n v="35.64"/>
    <n v="7.13"/>
    <x v="4"/>
    <s v="VALIDATED"/>
    <n v="1"/>
    <s v="01.11.80.305.6100.0000"/>
    <n v="35.64"/>
    <s v="11"/>
    <s v="6100"/>
    <n v="4060.65"/>
    <n v="35.64"/>
    <s v="CREDITOR"/>
    <n v="0"/>
    <n v="0"/>
    <n v="0"/>
    <n v="0"/>
    <n v="35.64"/>
  </r>
  <r>
    <n v="40863544"/>
    <s v="N"/>
    <n v="21328729"/>
    <s v="3000010923120003RC"/>
    <s v="CIVIL"/>
    <d v="2023-06-23T00:00:00"/>
    <d v="2023-07-04T19:38:21"/>
    <m/>
    <d v="2023-07-04T00:00:00"/>
    <n v="1566"/>
    <n v="14356"/>
    <s v="40863544"/>
    <s v="40863544"/>
    <m/>
    <m/>
    <m/>
    <m/>
    <m/>
    <m/>
    <s v="SOLRECOUP"/>
    <s v="SOLRECOUP"/>
    <s v="POARECOUP"/>
    <n v="21328729"/>
    <n v="-264.48"/>
    <m/>
    <s v="Y"/>
    <n v="1"/>
    <d v="2023-07-04T19:38:22"/>
    <s v="N"/>
    <m/>
    <m/>
    <s v="Expert Disbursement"/>
    <m/>
    <s v="N"/>
    <n v="-220.4"/>
    <n v="0"/>
    <x v="1"/>
    <s v="VALIDATED"/>
    <n v="1"/>
    <s v="01.11.80.308.2013.0000"/>
    <n v="-220.4"/>
    <s v="11"/>
    <s v="2013"/>
    <n v="4060.65"/>
    <n v="-220.4"/>
    <s v="CREDITOR"/>
    <n v="0"/>
    <n v="0"/>
    <n v="-220.4"/>
    <n v="0"/>
    <n v="0"/>
  </r>
  <r>
    <n v="40863544"/>
    <s v="N"/>
    <n v="21328730"/>
    <s v="3000010923120004RC"/>
    <s v="CIVIL"/>
    <d v="2023-06-23T00:00:00"/>
    <d v="2023-07-04T19:38:21"/>
    <m/>
    <d v="2023-07-04T00:00:00"/>
    <n v="1566"/>
    <n v="14356"/>
    <s v="40863544"/>
    <s v="40863544"/>
    <m/>
    <m/>
    <m/>
    <m/>
    <m/>
    <m/>
    <s v="SOLRECOUP"/>
    <s v="SOLRECOUP"/>
    <s v="POARECOUP"/>
    <n v="21328730"/>
    <n v="-81.25"/>
    <m/>
    <s v="Y"/>
    <n v="1"/>
    <d v="2023-07-04T19:38:22"/>
    <s v="N"/>
    <m/>
    <m/>
    <s v="Expert Disbursement"/>
    <m/>
    <s v="N"/>
    <n v="-81.25"/>
    <n v="0"/>
    <x v="1"/>
    <s v="VALIDATED"/>
    <n v="1"/>
    <s v="01.11.80.308.2013.0000"/>
    <n v="-81.25"/>
    <s v="11"/>
    <s v="2013"/>
    <n v="4060.65"/>
    <n v="-81.25"/>
    <s v="CREDITOR"/>
    <n v="0"/>
    <n v="0"/>
    <n v="-81.25"/>
    <n v="0"/>
    <n v="0"/>
  </r>
  <r>
    <n v="40863544"/>
    <s v="N"/>
    <n v="21328730"/>
    <s v="3000010923120004RC"/>
    <s v="CIVIL"/>
    <d v="2023-06-23T00:00:00"/>
    <d v="2023-07-04T19:38:21"/>
    <m/>
    <d v="2023-07-04T00:00:00"/>
    <n v="1566"/>
    <n v="14356"/>
    <s v="40863544"/>
    <s v="40863544"/>
    <m/>
    <m/>
    <m/>
    <m/>
    <m/>
    <m/>
    <s v="SOLRECOUP"/>
    <s v="SOLRECOUP"/>
    <s v="POARECOUP"/>
    <n v="21328730"/>
    <n v="-81.25"/>
    <m/>
    <s v="Y"/>
    <n v="2"/>
    <d v="2023-07-04T19:38:22"/>
    <s v="N"/>
    <m/>
    <m/>
    <s v="Expert Disbursement"/>
    <m/>
    <s v="N"/>
    <n v="0"/>
    <n v="0"/>
    <x v="1"/>
    <s v="VALIDATED"/>
    <n v="1"/>
    <s v="01.11.80.000.0000.0000"/>
    <n v="0"/>
    <s v="11"/>
    <s v="0000"/>
    <n v="4060.65"/>
    <n v="0"/>
    <s v="CREDITOR"/>
    <n v="0"/>
    <n v="0"/>
    <n v="0"/>
    <n v="0"/>
    <n v="0"/>
  </r>
  <r>
    <n v="40863544"/>
    <s v="N"/>
    <n v="21328731"/>
    <s v="3000010923120012RC"/>
    <s v="CIVIL"/>
    <d v="2023-06-23T00:00:00"/>
    <d v="2023-07-04T19:38:21"/>
    <m/>
    <d v="2023-07-04T00:00:00"/>
    <n v="1566"/>
    <n v="14356"/>
    <s v="40863544"/>
    <s v="40863544"/>
    <m/>
    <m/>
    <m/>
    <m/>
    <m/>
    <m/>
    <s v="SOLRECOUP"/>
    <s v="SOLRECOUP"/>
    <s v="POARECOUP"/>
    <n v="21328731"/>
    <n v="-370.15"/>
    <m/>
    <s v="Y"/>
    <n v="1"/>
    <d v="2023-07-04T19:38:22"/>
    <s v="N"/>
    <m/>
    <m/>
    <s v="Expert Disbursement"/>
    <m/>
    <s v="N"/>
    <n v="-370.15"/>
    <n v="0"/>
    <x v="1"/>
    <s v="VALIDATED"/>
    <n v="1"/>
    <s v="01.11.80.308.2013.0000"/>
    <n v="-370.15"/>
    <s v="11"/>
    <s v="2013"/>
    <n v="4060.65"/>
    <n v="-370.15"/>
    <s v="CREDITOR"/>
    <n v="0"/>
    <n v="0"/>
    <n v="-370.15"/>
    <n v="0"/>
    <n v="0"/>
  </r>
  <r>
    <n v="40863544"/>
    <s v="N"/>
    <n v="21328731"/>
    <s v="3000010923120012RC"/>
    <s v="CIVIL"/>
    <d v="2023-06-23T00:00:00"/>
    <d v="2023-07-04T19:38:21"/>
    <m/>
    <d v="2023-07-04T00:00:00"/>
    <n v="1566"/>
    <n v="14356"/>
    <s v="40863544"/>
    <s v="40863544"/>
    <m/>
    <m/>
    <m/>
    <m/>
    <m/>
    <m/>
    <s v="SOLRECOUP"/>
    <s v="SOLRECOUP"/>
    <s v="POARECOUP"/>
    <n v="21328731"/>
    <n v="-370.15"/>
    <m/>
    <s v="Y"/>
    <n v="2"/>
    <d v="2023-07-04T19:38:22"/>
    <s v="N"/>
    <m/>
    <m/>
    <s v="Expert Disbursement"/>
    <m/>
    <s v="N"/>
    <n v="0"/>
    <n v="0"/>
    <x v="1"/>
    <s v="VALIDATED"/>
    <n v="1"/>
    <s v="01.11.80.000.0000.0000"/>
    <n v="0"/>
    <s v="11"/>
    <s v="0000"/>
    <n v="4060.65"/>
    <n v="0"/>
    <s v="CREDITOR"/>
    <n v="0"/>
    <n v="0"/>
    <n v="0"/>
    <n v="0"/>
    <n v="0"/>
  </r>
  <r>
    <n v="40863544"/>
    <s v="N"/>
    <n v="21328732"/>
    <s v="3000010923120005RC"/>
    <s v="CIVIL"/>
    <d v="2023-06-23T00:00:00"/>
    <d v="2023-07-04T19:38:21"/>
    <m/>
    <d v="2023-07-04T00:00:00"/>
    <n v="1566"/>
    <n v="14356"/>
    <s v="40863544"/>
    <s v="40863544"/>
    <m/>
    <m/>
    <m/>
    <m/>
    <m/>
    <m/>
    <s v="SOLRECOUP"/>
    <s v="SOLRECOUP"/>
    <s v="POARECOUP"/>
    <n v="21328732"/>
    <n v="-65.5"/>
    <m/>
    <s v="Y"/>
    <n v="1"/>
    <d v="2023-07-04T19:38:22"/>
    <s v="N"/>
    <m/>
    <m/>
    <s v="Expert Disbursement"/>
    <m/>
    <s v="N"/>
    <n v="-54.58"/>
    <n v="0"/>
    <x v="1"/>
    <s v="VALIDATED"/>
    <n v="1"/>
    <s v="01.11.80.308.2013.0000"/>
    <n v="-54.58"/>
    <s v="11"/>
    <s v="2013"/>
    <n v="4060.65"/>
    <n v="-54.58"/>
    <s v="CREDITOR"/>
    <n v="0"/>
    <n v="0"/>
    <n v="-54.58"/>
    <n v="0"/>
    <n v="0"/>
  </r>
  <r>
    <n v="40863544"/>
    <s v="N"/>
    <n v="21328732"/>
    <s v="3000010923120005RC"/>
    <s v="CIVIL"/>
    <d v="2023-06-23T00:00:00"/>
    <d v="2023-07-04T19:38:21"/>
    <m/>
    <d v="2023-07-04T00:00:00"/>
    <n v="1566"/>
    <n v="14356"/>
    <s v="40863544"/>
    <s v="40863544"/>
    <m/>
    <m/>
    <m/>
    <m/>
    <m/>
    <m/>
    <s v="SOLRECOUP"/>
    <s v="SOLRECOUP"/>
    <s v="POARECOUP"/>
    <n v="21328732"/>
    <n v="-65.5"/>
    <m/>
    <s v="Y"/>
    <n v="2"/>
    <d v="2023-07-04T19:38:22"/>
    <s v="N"/>
    <m/>
    <m/>
    <s v="Expert Disbursement"/>
    <m/>
    <s v="N"/>
    <n v="0"/>
    <n v="-10.92"/>
    <x v="1"/>
    <s v="VALIDATED"/>
    <n v="1"/>
    <s v="01.11.80.308.2013.0000"/>
    <n v="-10.92"/>
    <s v="11"/>
    <s v="2013"/>
    <n v="4060.65"/>
    <n v="-10.92"/>
    <s v="CREDITOR"/>
    <n v="0"/>
    <n v="0"/>
    <n v="-10.92"/>
    <n v="0"/>
    <n v="0"/>
  </r>
  <r>
    <n v="40863544"/>
    <s v="N"/>
    <n v="21328733"/>
    <s v="3000010923120006RC"/>
    <s v="CIVIL"/>
    <d v="2023-06-23T00:00:00"/>
    <d v="2023-07-04T19:38:21"/>
    <m/>
    <d v="2023-07-04T00:00:00"/>
    <n v="1566"/>
    <n v="14356"/>
    <s v="40863544"/>
    <s v="40863544"/>
    <m/>
    <m/>
    <m/>
    <m/>
    <m/>
    <m/>
    <s v="SOLRECOUP"/>
    <s v="SOLRECOUP"/>
    <s v="POARECOUP"/>
    <n v="21328733"/>
    <n v="-130.8"/>
    <m/>
    <s v="Y"/>
    <n v="1"/>
    <d v="2023-07-04T19:38:22"/>
    <s v="N"/>
    <m/>
    <m/>
    <s v="Expert Disbursement"/>
    <m/>
    <s v="N"/>
    <n v="-109"/>
    <n v="0"/>
    <x v="1"/>
    <s v="VALIDATED"/>
    <n v="1"/>
    <s v="01.11.80.308.2013.0000"/>
    <n v="-109"/>
    <s v="11"/>
    <s v="2013"/>
    <n v="4060.65"/>
    <n v="-109"/>
    <s v="CREDITOR"/>
    <n v="0"/>
    <n v="0"/>
    <n v="-109"/>
    <n v="0"/>
    <n v="0"/>
  </r>
  <r>
    <n v="40863544"/>
    <s v="N"/>
    <n v="21328733"/>
    <s v="3000010923120006RC"/>
    <s v="CIVIL"/>
    <d v="2023-06-23T00:00:00"/>
    <d v="2023-07-04T19:38:21"/>
    <m/>
    <d v="2023-07-04T00:00:00"/>
    <n v="1566"/>
    <n v="14356"/>
    <s v="40863544"/>
    <s v="40863544"/>
    <m/>
    <m/>
    <m/>
    <m/>
    <m/>
    <m/>
    <s v="SOLRECOUP"/>
    <s v="SOLRECOUP"/>
    <s v="POARECOUP"/>
    <n v="21328733"/>
    <n v="-130.8"/>
    <m/>
    <s v="Y"/>
    <n v="2"/>
    <d v="2023-07-04T19:38:22"/>
    <s v="N"/>
    <m/>
    <m/>
    <s v="Expert Disbursement"/>
    <m/>
    <s v="N"/>
    <n v="0"/>
    <n v="-21.8"/>
    <x v="1"/>
    <s v="VALIDATED"/>
    <n v="1"/>
    <s v="01.11.80.308.2013.0000"/>
    <n v="-21.8"/>
    <s v="11"/>
    <s v="2013"/>
    <n v="4060.65"/>
    <n v="-21.8"/>
    <s v="CREDITOR"/>
    <n v="0"/>
    <n v="0"/>
    <n v="-21.8"/>
    <n v="0"/>
    <n v="0"/>
  </r>
  <r>
    <n v="40863544"/>
    <s v="N"/>
    <n v="21328734"/>
    <s v="3000010923120007RC"/>
    <s v="CIVIL"/>
    <d v="2023-06-23T00:00:00"/>
    <d v="2023-07-04T19:38:21"/>
    <m/>
    <d v="2023-07-04T00:00:00"/>
    <n v="1566"/>
    <n v="14356"/>
    <s v="40863544"/>
    <s v="40863544"/>
    <m/>
    <m/>
    <m/>
    <m/>
    <m/>
    <m/>
    <s v="SOLRECOUP"/>
    <s v="SOLRECOUP"/>
    <s v="POARECOUP"/>
    <n v="21328734"/>
    <n v="-30"/>
    <m/>
    <s v="Y"/>
    <n v="1"/>
    <d v="2023-07-04T19:38:22"/>
    <s v="N"/>
    <m/>
    <m/>
    <s v="Expert Disbursement"/>
    <m/>
    <s v="N"/>
    <n v="-25"/>
    <n v="0"/>
    <x v="1"/>
    <s v="VALIDATED"/>
    <n v="1"/>
    <s v="01.11.80.308.2013.0000"/>
    <n v="-25"/>
    <s v="11"/>
    <s v="2013"/>
    <n v="4060.65"/>
    <n v="-25"/>
    <s v="CREDITOR"/>
    <n v="0"/>
    <n v="0"/>
    <n v="-25"/>
    <n v="0"/>
    <n v="0"/>
  </r>
  <r>
    <n v="40863544"/>
    <s v="N"/>
    <n v="21328734"/>
    <s v="3000010923120007RC"/>
    <s v="CIVIL"/>
    <d v="2023-06-23T00:00:00"/>
    <d v="2023-07-04T19:38:21"/>
    <m/>
    <d v="2023-07-04T00:00:00"/>
    <n v="1566"/>
    <n v="14356"/>
    <s v="40863544"/>
    <s v="40863544"/>
    <m/>
    <m/>
    <m/>
    <m/>
    <m/>
    <m/>
    <s v="SOLRECOUP"/>
    <s v="SOLRECOUP"/>
    <s v="POARECOUP"/>
    <n v="21328734"/>
    <n v="-30"/>
    <m/>
    <s v="Y"/>
    <n v="2"/>
    <d v="2023-07-04T19:38:22"/>
    <s v="N"/>
    <m/>
    <m/>
    <s v="Expert Disbursement"/>
    <m/>
    <s v="N"/>
    <n v="0"/>
    <n v="-5"/>
    <x v="1"/>
    <s v="VALIDATED"/>
    <n v="1"/>
    <s v="01.11.80.308.2013.0000"/>
    <n v="-5"/>
    <s v="11"/>
    <s v="2013"/>
    <n v="4060.65"/>
    <n v="-5"/>
    <s v="CREDITOR"/>
    <n v="0"/>
    <n v="0"/>
    <n v="-5"/>
    <n v="0"/>
    <n v="0"/>
  </r>
  <r>
    <n v="40863544"/>
    <s v="N"/>
    <n v="21328735"/>
    <s v="3000010923120013RC"/>
    <s v="CIVIL"/>
    <d v="2023-06-23T00:00:00"/>
    <d v="2023-07-04T19:38:21"/>
    <m/>
    <d v="2023-07-04T00:00:00"/>
    <n v="1566"/>
    <n v="14356"/>
    <s v="40863544"/>
    <s v="40863544"/>
    <m/>
    <m/>
    <m/>
    <m/>
    <m/>
    <m/>
    <s v="SOLRECOUP"/>
    <s v="SOLRECOUP"/>
    <s v="POARECOUP"/>
    <n v="21328735"/>
    <n v="-30"/>
    <m/>
    <s v="Y"/>
    <n v="1"/>
    <d v="2023-07-04T19:38:22"/>
    <s v="N"/>
    <m/>
    <m/>
    <s v="Expert Disbursement"/>
    <m/>
    <s v="N"/>
    <n v="-25"/>
    <n v="0"/>
    <x v="1"/>
    <s v="VALIDATED"/>
    <n v="1"/>
    <s v="01.11.80.308.2013.0000"/>
    <n v="-25"/>
    <s v="11"/>
    <s v="2013"/>
    <n v="4060.65"/>
    <n v="-25"/>
    <s v="CREDITOR"/>
    <n v="0"/>
    <n v="0"/>
    <n v="-25"/>
    <n v="0"/>
    <n v="0"/>
  </r>
  <r>
    <n v="40863544"/>
    <s v="N"/>
    <n v="21328735"/>
    <s v="3000010923120013RC"/>
    <s v="CIVIL"/>
    <d v="2023-06-23T00:00:00"/>
    <d v="2023-07-04T19:38:21"/>
    <m/>
    <d v="2023-07-04T00:00:00"/>
    <n v="1566"/>
    <n v="14356"/>
    <s v="40863544"/>
    <s v="40863544"/>
    <m/>
    <m/>
    <m/>
    <m/>
    <m/>
    <m/>
    <s v="SOLRECOUP"/>
    <s v="SOLRECOUP"/>
    <s v="POARECOUP"/>
    <n v="21328735"/>
    <n v="-30"/>
    <m/>
    <s v="Y"/>
    <n v="2"/>
    <d v="2023-07-04T19:38:22"/>
    <s v="N"/>
    <m/>
    <m/>
    <s v="Expert Disbursement"/>
    <m/>
    <s v="N"/>
    <n v="0"/>
    <n v="-5"/>
    <x v="1"/>
    <s v="VALIDATED"/>
    <n v="1"/>
    <s v="01.11.80.308.2013.0000"/>
    <n v="-5"/>
    <s v="11"/>
    <s v="2013"/>
    <n v="4060.65"/>
    <n v="-5"/>
    <s v="CREDITOR"/>
    <n v="0"/>
    <n v="0"/>
    <n v="-5"/>
    <n v="0"/>
    <n v="0"/>
  </r>
  <r>
    <n v="40863544"/>
    <s v="N"/>
    <n v="21328736"/>
    <s v="3000010923120014RC"/>
    <s v="CIVIL"/>
    <d v="2023-06-23T00:00:00"/>
    <d v="2023-07-04T19:38:21"/>
    <m/>
    <d v="2023-07-04T00:00:00"/>
    <n v="1566"/>
    <n v="14356"/>
    <s v="40863544"/>
    <s v="40863544"/>
    <m/>
    <m/>
    <m/>
    <m/>
    <m/>
    <m/>
    <s v="SOLRECOUP"/>
    <s v="SOLRECOUP"/>
    <s v="POARECOUP"/>
    <n v="21328736"/>
    <n v="-55"/>
    <m/>
    <s v="Y"/>
    <n v="1"/>
    <d v="2023-07-04T19:38:22"/>
    <s v="N"/>
    <m/>
    <m/>
    <s v="Expert Disbursement"/>
    <m/>
    <s v="N"/>
    <n v="-45.83"/>
    <n v="0"/>
    <x v="1"/>
    <s v="VALIDATED"/>
    <n v="1"/>
    <s v="01.11.80.308.2013.0000"/>
    <n v="-45.83"/>
    <s v="11"/>
    <s v="2013"/>
    <n v="4060.65"/>
    <n v="-45.83"/>
    <s v="CREDITOR"/>
    <n v="0"/>
    <n v="0"/>
    <n v="-45.83"/>
    <n v="0"/>
    <n v="0"/>
  </r>
  <r>
    <n v="40863544"/>
    <s v="N"/>
    <n v="21328736"/>
    <s v="3000010923120014RC"/>
    <s v="CIVIL"/>
    <d v="2023-06-23T00:00:00"/>
    <d v="2023-07-04T19:38:21"/>
    <m/>
    <d v="2023-07-04T00:00:00"/>
    <n v="1566"/>
    <n v="14356"/>
    <s v="40863544"/>
    <s v="40863544"/>
    <m/>
    <m/>
    <m/>
    <m/>
    <m/>
    <m/>
    <s v="SOLRECOUP"/>
    <s v="SOLRECOUP"/>
    <s v="POARECOUP"/>
    <n v="21328736"/>
    <n v="-55"/>
    <m/>
    <s v="Y"/>
    <n v="2"/>
    <d v="2023-07-04T19:38:22"/>
    <s v="N"/>
    <m/>
    <m/>
    <s v="Expert Disbursement"/>
    <m/>
    <s v="N"/>
    <n v="0"/>
    <n v="-9.17"/>
    <x v="1"/>
    <s v="VALIDATED"/>
    <n v="1"/>
    <s v="01.11.80.308.2013.0000"/>
    <n v="-9.17"/>
    <s v="11"/>
    <s v="2013"/>
    <n v="4060.65"/>
    <n v="-9.17"/>
    <s v="CREDITOR"/>
    <n v="0"/>
    <n v="0"/>
    <n v="-9.17"/>
    <n v="0"/>
    <n v="0"/>
  </r>
  <r>
    <n v="40863544"/>
    <s v="N"/>
    <n v="21328737"/>
    <s v="3000010923120015RC"/>
    <s v="CIVIL"/>
    <d v="2023-06-23T00:00:00"/>
    <d v="2023-07-04T19:38:21"/>
    <m/>
    <d v="2023-07-04T00:00:00"/>
    <n v="1566"/>
    <n v="14356"/>
    <s v="40863544"/>
    <s v="40863544"/>
    <m/>
    <m/>
    <m/>
    <m/>
    <m/>
    <m/>
    <s v="SOLRECOUP"/>
    <s v="SOLRECOUP"/>
    <s v="POARECOUP"/>
    <n v="21328737"/>
    <n v="-137"/>
    <m/>
    <s v="Y"/>
    <n v="1"/>
    <d v="2023-07-04T19:38:22"/>
    <s v="N"/>
    <m/>
    <m/>
    <s v="Expert Disbursement"/>
    <m/>
    <s v="N"/>
    <n v="-114.17"/>
    <n v="0"/>
    <x v="1"/>
    <s v="VALIDATED"/>
    <n v="1"/>
    <s v="01.11.80.308.2013.0000"/>
    <n v="-114.17"/>
    <s v="11"/>
    <s v="2013"/>
    <n v="4060.65"/>
    <n v="-114.17"/>
    <s v="CREDITOR"/>
    <n v="0"/>
    <n v="0"/>
    <n v="-114.17"/>
    <n v="0"/>
    <n v="0"/>
  </r>
  <r>
    <n v="40863544"/>
    <s v="N"/>
    <n v="21328737"/>
    <s v="3000010923120015RC"/>
    <s v="CIVIL"/>
    <d v="2023-06-23T00:00:00"/>
    <d v="2023-07-04T19:38:21"/>
    <m/>
    <d v="2023-07-04T00:00:00"/>
    <n v="1566"/>
    <n v="14356"/>
    <s v="40863544"/>
    <s v="40863544"/>
    <m/>
    <m/>
    <m/>
    <m/>
    <m/>
    <m/>
    <s v="SOLRECOUP"/>
    <s v="SOLRECOUP"/>
    <s v="POARECOUP"/>
    <n v="21328737"/>
    <n v="-137"/>
    <m/>
    <s v="Y"/>
    <n v="2"/>
    <d v="2023-07-04T19:38:22"/>
    <s v="N"/>
    <m/>
    <m/>
    <s v="Expert Disbursement"/>
    <m/>
    <s v="N"/>
    <n v="0"/>
    <n v="-22.83"/>
    <x v="1"/>
    <s v="VALIDATED"/>
    <n v="1"/>
    <s v="01.11.80.308.2013.0000"/>
    <n v="-22.83"/>
    <s v="11"/>
    <s v="2013"/>
    <n v="4060.65"/>
    <n v="-22.83"/>
    <s v="CREDITOR"/>
    <n v="0"/>
    <n v="0"/>
    <n v="-22.83"/>
    <n v="0"/>
    <n v="0"/>
  </r>
  <r>
    <n v="40863544"/>
    <s v="N"/>
    <n v="21328738"/>
    <s v="3000010923120008RC"/>
    <s v="CIVIL"/>
    <d v="2023-06-23T00:00:00"/>
    <d v="2023-07-04T19:38:21"/>
    <m/>
    <d v="2023-07-04T00:00:00"/>
    <n v="1566"/>
    <n v="14356"/>
    <s v="40863544"/>
    <s v="40863544"/>
    <m/>
    <m/>
    <m/>
    <m/>
    <m/>
    <m/>
    <s v="SOLRECOUP"/>
    <s v="SOLRECOUP"/>
    <s v="POARECOUP"/>
    <n v="21328738"/>
    <n v="-55"/>
    <m/>
    <s v="Y"/>
    <n v="1"/>
    <d v="2023-07-04T19:38:22"/>
    <s v="N"/>
    <m/>
    <m/>
    <s v="Expert Disbursement"/>
    <m/>
    <s v="N"/>
    <n v="-45.83"/>
    <n v="0"/>
    <x v="1"/>
    <s v="VALIDATED"/>
    <n v="1"/>
    <s v="01.11.80.308.2013.0000"/>
    <n v="-45.83"/>
    <s v="11"/>
    <s v="2013"/>
    <n v="4060.65"/>
    <n v="-45.83"/>
    <s v="CREDITOR"/>
    <n v="0"/>
    <n v="0"/>
    <n v="-45.83"/>
    <n v="0"/>
    <n v="0"/>
  </r>
  <r>
    <n v="40863544"/>
    <s v="N"/>
    <n v="21328738"/>
    <s v="3000010923120008RC"/>
    <s v="CIVIL"/>
    <d v="2023-06-23T00:00:00"/>
    <d v="2023-07-04T19:38:21"/>
    <m/>
    <d v="2023-07-04T00:00:00"/>
    <n v="1566"/>
    <n v="14356"/>
    <s v="40863544"/>
    <s v="40863544"/>
    <m/>
    <m/>
    <m/>
    <m/>
    <m/>
    <m/>
    <s v="SOLRECOUP"/>
    <s v="SOLRECOUP"/>
    <s v="POARECOUP"/>
    <n v="21328738"/>
    <n v="-55"/>
    <m/>
    <s v="Y"/>
    <n v="2"/>
    <d v="2023-07-04T19:38:22"/>
    <s v="N"/>
    <m/>
    <m/>
    <s v="Expert Disbursement"/>
    <m/>
    <s v="N"/>
    <n v="0"/>
    <n v="-9.17"/>
    <x v="1"/>
    <s v="VALIDATED"/>
    <n v="1"/>
    <s v="01.11.80.308.2013.0000"/>
    <n v="-9.17"/>
    <s v="11"/>
    <s v="2013"/>
    <n v="4060.65"/>
    <n v="-9.17"/>
    <s v="CREDITOR"/>
    <n v="0"/>
    <n v="0"/>
    <n v="-9.17"/>
    <n v="0"/>
    <n v="0"/>
  </r>
  <r>
    <n v="40863544"/>
    <s v="N"/>
    <n v="21328739"/>
    <s v="3000010923120009RC"/>
    <s v="CIVIL"/>
    <d v="2023-06-23T00:00:00"/>
    <d v="2023-07-04T19:38:21"/>
    <m/>
    <d v="2023-07-04T00:00:00"/>
    <n v="1566"/>
    <n v="14356"/>
    <s v="40863544"/>
    <s v="40863544"/>
    <m/>
    <m/>
    <m/>
    <m/>
    <m/>
    <m/>
    <s v="SOLRECOUP"/>
    <s v="SOLRECOUP"/>
    <s v="POARECOUP"/>
    <n v="21328739"/>
    <n v="-57.5"/>
    <m/>
    <s v="Y"/>
    <n v="1"/>
    <d v="2023-07-04T19:38:22"/>
    <s v="N"/>
    <m/>
    <m/>
    <s v="Expert Disbursement"/>
    <m/>
    <s v="N"/>
    <n v="-47.92"/>
    <n v="0"/>
    <x v="1"/>
    <s v="VALIDATED"/>
    <n v="1"/>
    <s v="01.11.80.308.2013.0000"/>
    <n v="-47.92"/>
    <s v="11"/>
    <s v="2013"/>
    <n v="4060.65"/>
    <n v="-47.92"/>
    <s v="CREDITOR"/>
    <n v="0"/>
    <n v="0"/>
    <n v="-47.92"/>
    <n v="0"/>
    <n v="0"/>
  </r>
  <r>
    <n v="40863544"/>
    <s v="N"/>
    <n v="21328739"/>
    <s v="3000010923120009RC"/>
    <s v="CIVIL"/>
    <d v="2023-06-23T00:00:00"/>
    <d v="2023-07-04T19:38:21"/>
    <m/>
    <d v="2023-07-04T00:00:00"/>
    <n v="1566"/>
    <n v="14356"/>
    <s v="40863544"/>
    <s v="40863544"/>
    <m/>
    <m/>
    <m/>
    <m/>
    <m/>
    <m/>
    <s v="SOLRECOUP"/>
    <s v="SOLRECOUP"/>
    <s v="POARECOUP"/>
    <n v="21328739"/>
    <n v="-57.5"/>
    <m/>
    <s v="Y"/>
    <n v="2"/>
    <d v="2023-07-04T19:38:22"/>
    <s v="N"/>
    <m/>
    <m/>
    <s v="Expert Disbursement"/>
    <m/>
    <s v="N"/>
    <n v="0"/>
    <n v="-9.58"/>
    <x v="1"/>
    <s v="VALIDATED"/>
    <n v="1"/>
    <s v="01.11.80.308.2013.0000"/>
    <n v="-9.58"/>
    <s v="11"/>
    <s v="2013"/>
    <n v="4060.65"/>
    <n v="-9.58"/>
    <s v="CREDITOR"/>
    <n v="0"/>
    <n v="0"/>
    <n v="-9.58"/>
    <n v="0"/>
    <n v="0"/>
  </r>
  <r>
    <n v="40863544"/>
    <s v="N"/>
    <n v="21328740"/>
    <s v="3000010923120010RC"/>
    <s v="CIVIL"/>
    <d v="2023-06-23T00:00:00"/>
    <d v="2023-07-04T19:38:21"/>
    <m/>
    <d v="2023-07-04T00:00:00"/>
    <n v="1566"/>
    <n v="14356"/>
    <s v="40863544"/>
    <s v="40863544"/>
    <m/>
    <m/>
    <m/>
    <m/>
    <m/>
    <m/>
    <s v="SOLRECOUP"/>
    <s v="SOLRECOUP"/>
    <s v="POARECOUP"/>
    <n v="21328740"/>
    <n v="-44.8"/>
    <m/>
    <s v="Y"/>
    <n v="1"/>
    <d v="2023-07-04T19:38:22"/>
    <s v="N"/>
    <m/>
    <m/>
    <s v="Expert Disbursement"/>
    <m/>
    <s v="N"/>
    <n v="-37.33"/>
    <n v="0"/>
    <x v="1"/>
    <s v="VALIDATED"/>
    <n v="1"/>
    <s v="01.11.80.308.2013.0000"/>
    <n v="-37.33"/>
    <s v="11"/>
    <s v="2013"/>
    <n v="4060.65"/>
    <n v="-37.33"/>
    <s v="CREDITOR"/>
    <n v="0"/>
    <n v="0"/>
    <n v="-37.33"/>
    <n v="0"/>
    <n v="0"/>
  </r>
  <r>
    <n v="40863544"/>
    <s v="N"/>
    <n v="21328740"/>
    <s v="3000010923120010RC"/>
    <s v="CIVIL"/>
    <d v="2023-06-23T00:00:00"/>
    <d v="2023-07-04T19:38:21"/>
    <m/>
    <d v="2023-07-04T00:00:00"/>
    <n v="1566"/>
    <n v="14356"/>
    <s v="40863544"/>
    <s v="40863544"/>
    <m/>
    <m/>
    <m/>
    <m/>
    <m/>
    <m/>
    <s v="SOLRECOUP"/>
    <s v="SOLRECOUP"/>
    <s v="POARECOUP"/>
    <n v="21328740"/>
    <n v="-44.8"/>
    <m/>
    <s v="Y"/>
    <n v="2"/>
    <d v="2023-07-04T19:38:22"/>
    <s v="N"/>
    <m/>
    <m/>
    <s v="Expert Disbursement"/>
    <m/>
    <s v="N"/>
    <n v="0"/>
    <n v="-7.47"/>
    <x v="1"/>
    <s v="VALIDATED"/>
    <n v="1"/>
    <s v="01.11.80.308.2013.0000"/>
    <n v="-7.47"/>
    <s v="11"/>
    <s v="2013"/>
    <n v="4060.65"/>
    <n v="-7.47"/>
    <s v="CREDITOR"/>
    <n v="0"/>
    <n v="0"/>
    <n v="-7.47"/>
    <n v="0"/>
    <n v="0"/>
  </r>
  <r>
    <n v="40863544"/>
    <s v="N"/>
    <n v="21328741"/>
    <s v="3000010923120021RC"/>
    <s v="CIVIL"/>
    <d v="2023-06-23T00:00:00"/>
    <d v="2023-07-04T19:38:21"/>
    <m/>
    <d v="2023-07-04T00:00:00"/>
    <n v="1566"/>
    <n v="14356"/>
    <s v="40863544"/>
    <s v="40863544"/>
    <m/>
    <m/>
    <m/>
    <m/>
    <m/>
    <m/>
    <s v="SOLRECOUP"/>
    <s v="SOLRECOUP"/>
    <s v="POARECOUP"/>
    <n v="21328741"/>
    <n v="-30"/>
    <m/>
    <s v="Y"/>
    <n v="1"/>
    <d v="2023-07-04T19:38:22"/>
    <s v="N"/>
    <m/>
    <m/>
    <s v="Expert Disbursement"/>
    <m/>
    <s v="N"/>
    <n v="-25"/>
    <n v="0"/>
    <x v="1"/>
    <s v="VALIDATED"/>
    <n v="1"/>
    <s v="01.11.80.308.2013.0000"/>
    <n v="-25"/>
    <s v="11"/>
    <s v="2013"/>
    <n v="4060.65"/>
    <n v="-25"/>
    <s v="CREDITOR"/>
    <n v="0"/>
    <n v="0"/>
    <n v="-25"/>
    <n v="0"/>
    <n v="0"/>
  </r>
  <r>
    <n v="40863544"/>
    <s v="N"/>
    <n v="21328741"/>
    <s v="3000010923120021RC"/>
    <s v="CIVIL"/>
    <d v="2023-06-23T00:00:00"/>
    <d v="2023-07-04T19:38:21"/>
    <m/>
    <d v="2023-07-04T00:00:00"/>
    <n v="1566"/>
    <n v="14356"/>
    <s v="40863544"/>
    <s v="40863544"/>
    <m/>
    <m/>
    <m/>
    <m/>
    <m/>
    <m/>
    <s v="SOLRECOUP"/>
    <s v="SOLRECOUP"/>
    <s v="POARECOUP"/>
    <n v="21328741"/>
    <n v="-30"/>
    <m/>
    <s v="Y"/>
    <n v="2"/>
    <d v="2023-07-04T19:38:22"/>
    <s v="N"/>
    <m/>
    <m/>
    <s v="Expert Disbursement"/>
    <m/>
    <s v="N"/>
    <n v="0"/>
    <n v="-5"/>
    <x v="1"/>
    <s v="VALIDATED"/>
    <n v="1"/>
    <s v="01.11.80.308.2013.0000"/>
    <n v="-5"/>
    <s v="11"/>
    <s v="2013"/>
    <n v="4060.65"/>
    <n v="-5"/>
    <s v="CREDITOR"/>
    <n v="0"/>
    <n v="0"/>
    <n v="-5"/>
    <n v="0"/>
    <n v="0"/>
  </r>
  <r>
    <n v="40863544"/>
    <s v="N"/>
    <n v="21328742"/>
    <s v="3000010923120022RC"/>
    <s v="CIVIL"/>
    <d v="2023-06-23T00:00:00"/>
    <d v="2023-07-04T19:38:21"/>
    <m/>
    <d v="2023-07-04T00:00:00"/>
    <n v="1566"/>
    <n v="14356"/>
    <s v="40863544"/>
    <s v="40863544"/>
    <m/>
    <m/>
    <m/>
    <m/>
    <m/>
    <m/>
    <s v="SOLRECOUP"/>
    <s v="SOLRECOUP"/>
    <s v="POARECOUP"/>
    <n v="21328742"/>
    <n v="-30"/>
    <m/>
    <s v="Y"/>
    <n v="1"/>
    <d v="2023-07-04T19:38:22"/>
    <s v="N"/>
    <m/>
    <m/>
    <s v="Expert Disbursement"/>
    <m/>
    <s v="N"/>
    <n v="-25"/>
    <n v="0"/>
    <x v="1"/>
    <s v="VALIDATED"/>
    <n v="1"/>
    <s v="01.11.80.308.2013.0000"/>
    <n v="-25"/>
    <s v="11"/>
    <s v="2013"/>
    <n v="4060.65"/>
    <n v="-25"/>
    <s v="CREDITOR"/>
    <n v="0"/>
    <n v="0"/>
    <n v="-25"/>
    <n v="0"/>
    <n v="0"/>
  </r>
  <r>
    <n v="40863544"/>
    <s v="N"/>
    <n v="21328742"/>
    <s v="3000010923120022RC"/>
    <s v="CIVIL"/>
    <d v="2023-06-23T00:00:00"/>
    <d v="2023-07-04T19:38:21"/>
    <m/>
    <d v="2023-07-04T00:00:00"/>
    <n v="1566"/>
    <n v="14356"/>
    <s v="40863544"/>
    <s v="40863544"/>
    <m/>
    <m/>
    <m/>
    <m/>
    <m/>
    <m/>
    <s v="SOLRECOUP"/>
    <s v="SOLRECOUP"/>
    <s v="POARECOUP"/>
    <n v="21328742"/>
    <n v="-30"/>
    <m/>
    <s v="Y"/>
    <n v="2"/>
    <d v="2023-07-04T19:38:22"/>
    <s v="N"/>
    <m/>
    <m/>
    <s v="Expert Disbursement"/>
    <m/>
    <s v="N"/>
    <n v="0"/>
    <n v="-5"/>
    <x v="1"/>
    <s v="VALIDATED"/>
    <n v="1"/>
    <s v="01.11.80.308.2013.0000"/>
    <n v="-5"/>
    <s v="11"/>
    <s v="2013"/>
    <n v="4060.65"/>
    <n v="-5"/>
    <s v="CREDITOR"/>
    <n v="0"/>
    <n v="0"/>
    <n v="-5"/>
    <n v="0"/>
    <n v="0"/>
  </r>
  <r>
    <n v="40863544"/>
    <s v="N"/>
    <n v="21328743"/>
    <s v="3000010923120024RC"/>
    <s v="CIVIL"/>
    <d v="2023-06-23T00:00:00"/>
    <d v="2023-07-04T19:38:21"/>
    <m/>
    <d v="2023-07-04T00:00:00"/>
    <n v="1566"/>
    <n v="14356"/>
    <s v="40863544"/>
    <s v="40863544"/>
    <m/>
    <m/>
    <m/>
    <m/>
    <m/>
    <m/>
    <s v="SOLRECOUP"/>
    <s v="SOLRECOUP"/>
    <s v="POARECOUP"/>
    <n v="21328743"/>
    <n v="-12931.2"/>
    <m/>
    <s v="Y"/>
    <n v="1"/>
    <d v="2023-07-04T19:38:22"/>
    <s v="N"/>
    <m/>
    <m/>
    <s v="Profit Cost"/>
    <m/>
    <s v="N"/>
    <n v="-10776"/>
    <n v="0"/>
    <x v="1"/>
    <s v="VALIDATED"/>
    <n v="1"/>
    <s v="01.11.80.308.2013.0000"/>
    <n v="-10776"/>
    <s v="11"/>
    <s v="2013"/>
    <n v="4060.65"/>
    <n v="-10776"/>
    <s v="CREDITOR"/>
    <n v="0"/>
    <n v="0"/>
    <n v="-10776"/>
    <n v="-2694"/>
    <n v="0"/>
  </r>
  <r>
    <n v="40863544"/>
    <s v="N"/>
    <n v="21328743"/>
    <s v="3000010923120024RC"/>
    <s v="CIVIL"/>
    <d v="2023-06-23T00:00:00"/>
    <d v="2023-07-04T19:38:21"/>
    <m/>
    <d v="2023-07-04T00:00:00"/>
    <n v="1566"/>
    <n v="14356"/>
    <s v="40863544"/>
    <s v="40863544"/>
    <m/>
    <m/>
    <m/>
    <m/>
    <m/>
    <m/>
    <s v="SOLRECOUP"/>
    <s v="SOLRECOUP"/>
    <s v="POARECOUP"/>
    <n v="21328743"/>
    <n v="-12931.2"/>
    <m/>
    <s v="Y"/>
    <n v="2"/>
    <d v="2023-07-04T19:38:22"/>
    <s v="N"/>
    <m/>
    <m/>
    <s v="Profit Cost"/>
    <m/>
    <s v="N"/>
    <n v="0"/>
    <n v="-2155.2"/>
    <x v="1"/>
    <s v="VALIDATED"/>
    <n v="1"/>
    <s v="01.11.80.308.2013.0000"/>
    <n v="-2155.2"/>
    <s v="11"/>
    <s v="2013"/>
    <n v="4060.65"/>
    <n v="-2155.2"/>
    <s v="CREDITOR"/>
    <n v="0"/>
    <n v="0"/>
    <n v="-2155.2"/>
    <n v="-538.8"/>
    <n v="0"/>
  </r>
  <r>
    <n v="40863544"/>
    <s v="N"/>
    <n v="21328744"/>
    <s v="3000010923120028RC"/>
    <s v="CIVIL"/>
    <d v="2023-06-23T00:00:00"/>
    <d v="2023-07-04T19:38:21"/>
    <m/>
    <d v="2023-07-04T00:00:00"/>
    <n v="1566"/>
    <n v="14356"/>
    <s v="40863544"/>
    <s v="40863544"/>
    <m/>
    <m/>
    <m/>
    <m/>
    <m/>
    <m/>
    <s v="SOLRECOUP"/>
    <s v="SOLRECOUP"/>
    <s v="POARECOUP"/>
    <n v="21328744"/>
    <n v="-80"/>
    <m/>
    <s v="Y"/>
    <n v="1"/>
    <d v="2023-07-04T19:38:22"/>
    <s v="N"/>
    <m/>
    <m/>
    <s v="Expert Disbursement"/>
    <m/>
    <s v="N"/>
    <n v="-66.67"/>
    <n v="0"/>
    <x v="1"/>
    <s v="VALIDATED"/>
    <n v="1"/>
    <s v="01.11.80.308.2013.0000"/>
    <n v="-66.67"/>
    <s v="11"/>
    <s v="2013"/>
    <n v="4060.65"/>
    <n v="-66.67"/>
    <s v="CREDITOR"/>
    <n v="0"/>
    <n v="0"/>
    <n v="-66.67"/>
    <n v="0"/>
    <n v="0"/>
  </r>
  <r>
    <n v="40863544"/>
    <s v="N"/>
    <n v="21328744"/>
    <s v="3000010923120028RC"/>
    <s v="CIVIL"/>
    <d v="2023-06-23T00:00:00"/>
    <d v="2023-07-04T19:38:21"/>
    <m/>
    <d v="2023-07-04T00:00:00"/>
    <n v="1566"/>
    <n v="14356"/>
    <s v="40863544"/>
    <s v="40863544"/>
    <m/>
    <m/>
    <m/>
    <m/>
    <m/>
    <m/>
    <s v="SOLRECOUP"/>
    <s v="SOLRECOUP"/>
    <s v="POARECOUP"/>
    <n v="21328744"/>
    <n v="-80"/>
    <m/>
    <s v="Y"/>
    <n v="2"/>
    <d v="2023-07-04T19:38:22"/>
    <s v="N"/>
    <m/>
    <m/>
    <s v="Expert Disbursement"/>
    <m/>
    <s v="N"/>
    <n v="0"/>
    <n v="-13.33"/>
    <x v="1"/>
    <s v="VALIDATED"/>
    <n v="1"/>
    <s v="01.11.80.308.2013.0000"/>
    <n v="-13.33"/>
    <s v="11"/>
    <s v="2013"/>
    <n v="4060.65"/>
    <n v="-13.33"/>
    <s v="CREDITOR"/>
    <n v="0"/>
    <n v="0"/>
    <n v="-13.33"/>
    <n v="0"/>
    <n v="0"/>
  </r>
  <r>
    <n v="40863544"/>
    <s v="N"/>
    <n v="21328745"/>
    <s v="3000010923120025RC"/>
    <s v="CIVIL"/>
    <d v="2023-06-23T00:00:00"/>
    <d v="2023-07-04T19:38:21"/>
    <m/>
    <d v="2023-07-04T00:00:00"/>
    <n v="1566"/>
    <n v="14356"/>
    <s v="40863544"/>
    <s v="40863544"/>
    <m/>
    <m/>
    <m/>
    <m/>
    <m/>
    <m/>
    <s v="SOLRECOUP"/>
    <s v="SOLRECOUP"/>
    <s v="POARECOUP"/>
    <n v="21328745"/>
    <n v="-30"/>
    <m/>
    <s v="Y"/>
    <n v="1"/>
    <d v="2023-07-04T19:38:22"/>
    <s v="N"/>
    <m/>
    <m/>
    <s v="Expert Disbursement"/>
    <m/>
    <s v="N"/>
    <n v="-25"/>
    <n v="0"/>
    <x v="1"/>
    <s v="VALIDATED"/>
    <n v="1"/>
    <s v="01.11.80.308.2013.0000"/>
    <n v="-25"/>
    <s v="11"/>
    <s v="2013"/>
    <n v="4060.65"/>
    <n v="-25"/>
    <s v="CREDITOR"/>
    <n v="0"/>
    <n v="0"/>
    <n v="-25"/>
    <n v="0"/>
    <n v="0"/>
  </r>
  <r>
    <n v="40863544"/>
    <s v="N"/>
    <n v="21328745"/>
    <s v="3000010923120025RC"/>
    <s v="CIVIL"/>
    <d v="2023-06-23T00:00:00"/>
    <d v="2023-07-04T19:38:21"/>
    <m/>
    <d v="2023-07-04T00:00:00"/>
    <n v="1566"/>
    <n v="14356"/>
    <s v="40863544"/>
    <s v="40863544"/>
    <m/>
    <m/>
    <m/>
    <m/>
    <m/>
    <m/>
    <s v="SOLRECOUP"/>
    <s v="SOLRECOUP"/>
    <s v="POARECOUP"/>
    <n v="21328745"/>
    <n v="-30"/>
    <m/>
    <s v="Y"/>
    <n v="2"/>
    <d v="2023-07-04T19:38:22"/>
    <s v="N"/>
    <m/>
    <m/>
    <s v="Expert Disbursement"/>
    <m/>
    <s v="N"/>
    <n v="0"/>
    <n v="-5"/>
    <x v="1"/>
    <s v="VALIDATED"/>
    <n v="1"/>
    <s v="01.11.80.308.2013.0000"/>
    <n v="-5"/>
    <s v="11"/>
    <s v="2013"/>
    <n v="4060.65"/>
    <n v="-5"/>
    <s v="CREDITOR"/>
    <n v="0"/>
    <n v="0"/>
    <n v="-5"/>
    <n v="0"/>
    <n v="0"/>
  </r>
  <r>
    <n v="40863544"/>
    <s v="N"/>
    <n v="21328746"/>
    <s v="3000010923120030RC"/>
    <s v="CIVIL"/>
    <d v="2023-06-23T00:00:00"/>
    <d v="2023-07-04T19:38:21"/>
    <m/>
    <d v="2023-07-04T00:00:00"/>
    <n v="1566"/>
    <n v="14356"/>
    <s v="40863544"/>
    <s v="40863544"/>
    <m/>
    <m/>
    <m/>
    <m/>
    <m/>
    <m/>
    <s v="SOLRECOUP"/>
    <s v="SOLRECOUP"/>
    <s v="POARECOUP"/>
    <n v="21328746"/>
    <n v="-39.8"/>
    <m/>
    <s v="Y"/>
    <n v="1"/>
    <d v="2023-07-04T19:38:22"/>
    <s v="N"/>
    <m/>
    <m/>
    <s v="Non Expert Disbursement"/>
    <m/>
    <s v="N"/>
    <n v="-33.17"/>
    <n v="0"/>
    <x v="1"/>
    <s v="VALIDATED"/>
    <n v="1"/>
    <s v="01.11.80.308.2013.0000"/>
    <n v="-33.17"/>
    <s v="11"/>
    <s v="2013"/>
    <n v="4060.65"/>
    <n v="-33.17"/>
    <s v="CREDITOR"/>
    <n v="0"/>
    <n v="0"/>
    <n v="-33.17"/>
    <n v="0"/>
    <n v="0"/>
  </r>
  <r>
    <n v="40863544"/>
    <s v="N"/>
    <n v="21328746"/>
    <s v="3000010923120030RC"/>
    <s v="CIVIL"/>
    <d v="2023-06-23T00:00:00"/>
    <d v="2023-07-04T19:38:21"/>
    <m/>
    <d v="2023-07-04T00:00:00"/>
    <n v="1566"/>
    <n v="14356"/>
    <s v="40863544"/>
    <s v="40863544"/>
    <m/>
    <m/>
    <m/>
    <m/>
    <m/>
    <m/>
    <s v="SOLRECOUP"/>
    <s v="SOLRECOUP"/>
    <s v="POARECOUP"/>
    <n v="21328746"/>
    <n v="-39.8"/>
    <m/>
    <s v="Y"/>
    <n v="2"/>
    <d v="2023-07-04T19:38:22"/>
    <s v="N"/>
    <m/>
    <m/>
    <s v="Non Expert Disbursement"/>
    <m/>
    <s v="N"/>
    <n v="0"/>
    <n v="-6.63"/>
    <x v="1"/>
    <s v="VALIDATED"/>
    <n v="1"/>
    <s v="01.11.80.308.2013.0000"/>
    <n v="-6.63"/>
    <s v="11"/>
    <s v="2013"/>
    <n v="4060.65"/>
    <n v="-6.63"/>
    <s v="CREDITOR"/>
    <n v="0"/>
    <n v="0"/>
    <n v="-6.63"/>
    <n v="0"/>
    <n v="0"/>
  </r>
  <r>
    <n v="40863544"/>
    <s v="N"/>
    <n v="21328747"/>
    <s v="3000010923120031RC"/>
    <s v="CIVIL"/>
    <d v="2023-06-23T00:00:00"/>
    <d v="2023-07-04T19:38:21"/>
    <m/>
    <d v="2023-07-04T00:00:00"/>
    <n v="1566"/>
    <n v="14356"/>
    <s v="40863544"/>
    <s v="40863544"/>
    <m/>
    <m/>
    <m/>
    <m/>
    <m/>
    <m/>
    <s v="SOLRECOUP"/>
    <s v="SOLRECOUP"/>
    <s v="POARECOUP"/>
    <n v="21328747"/>
    <n v="-120"/>
    <m/>
    <s v="Y"/>
    <n v="1"/>
    <d v="2023-07-04T19:38:22"/>
    <s v="N"/>
    <m/>
    <m/>
    <s v="Non Expert Disbursement"/>
    <m/>
    <s v="N"/>
    <n v="-100"/>
    <n v="0"/>
    <x v="1"/>
    <s v="VALIDATED"/>
    <n v="1"/>
    <s v="01.11.80.308.2013.0000"/>
    <n v="-100"/>
    <s v="11"/>
    <s v="2013"/>
    <n v="4060.65"/>
    <n v="-100"/>
    <s v="CREDITOR"/>
    <n v="0"/>
    <n v="0"/>
    <n v="-100"/>
    <n v="0"/>
    <n v="0"/>
  </r>
  <r>
    <n v="40863544"/>
    <s v="N"/>
    <n v="21328747"/>
    <s v="3000010923120031RC"/>
    <s v="CIVIL"/>
    <d v="2023-06-23T00:00:00"/>
    <d v="2023-07-04T19:38:21"/>
    <m/>
    <d v="2023-07-04T00:00:00"/>
    <n v="1566"/>
    <n v="14356"/>
    <s v="40863544"/>
    <s v="40863544"/>
    <m/>
    <m/>
    <m/>
    <m/>
    <m/>
    <m/>
    <s v="SOLRECOUP"/>
    <s v="SOLRECOUP"/>
    <s v="POARECOUP"/>
    <n v="21328747"/>
    <n v="-120"/>
    <m/>
    <s v="Y"/>
    <n v="2"/>
    <d v="2023-07-04T19:38:22"/>
    <s v="N"/>
    <m/>
    <m/>
    <s v="Non Expert Disbursement"/>
    <m/>
    <s v="N"/>
    <n v="0"/>
    <n v="-20"/>
    <x v="1"/>
    <s v="VALIDATED"/>
    <n v="1"/>
    <s v="01.11.80.308.2013.0000"/>
    <n v="-20"/>
    <s v="11"/>
    <s v="2013"/>
    <n v="4060.65"/>
    <n v="-20"/>
    <s v="CREDITOR"/>
    <n v="0"/>
    <n v="0"/>
    <n v="-20"/>
    <n v="0"/>
    <n v="0"/>
  </r>
  <r>
    <n v="40863544"/>
    <s v="N"/>
    <n v="21328748"/>
    <s v="3000010923120033RC"/>
    <s v="CIVIL"/>
    <d v="2023-06-23T00:00:00"/>
    <d v="2023-07-04T19:38:21"/>
    <m/>
    <d v="2023-07-04T00:00:00"/>
    <n v="1566"/>
    <n v="14356"/>
    <s v="40863544"/>
    <s v="40863544"/>
    <m/>
    <m/>
    <m/>
    <m/>
    <m/>
    <m/>
    <s v="SOLRECOUP"/>
    <s v="SOLRECOUP"/>
    <s v="POARECOUP"/>
    <n v="21328748"/>
    <n v="-65"/>
    <m/>
    <s v="Y"/>
    <n v="1"/>
    <d v="2023-07-04T19:38:22"/>
    <s v="N"/>
    <m/>
    <m/>
    <s v="Non Expert Disbursement"/>
    <m/>
    <s v="N"/>
    <n v="-54.17"/>
    <n v="0"/>
    <x v="1"/>
    <s v="VALIDATED"/>
    <n v="1"/>
    <s v="01.11.80.308.2013.0000"/>
    <n v="-54.17"/>
    <s v="11"/>
    <s v="2013"/>
    <n v="4060.65"/>
    <n v="-54.17"/>
    <s v="CREDITOR"/>
    <n v="0"/>
    <n v="0"/>
    <n v="-54.17"/>
    <n v="0"/>
    <n v="0"/>
  </r>
  <r>
    <n v="40863544"/>
    <s v="N"/>
    <n v="21328748"/>
    <s v="3000010923120033RC"/>
    <s v="CIVIL"/>
    <d v="2023-06-23T00:00:00"/>
    <d v="2023-07-04T19:38:21"/>
    <m/>
    <d v="2023-07-04T00:00:00"/>
    <n v="1566"/>
    <n v="14356"/>
    <s v="40863544"/>
    <s v="40863544"/>
    <m/>
    <m/>
    <m/>
    <m/>
    <m/>
    <m/>
    <s v="SOLRECOUP"/>
    <s v="SOLRECOUP"/>
    <s v="POARECOUP"/>
    <n v="21328748"/>
    <n v="-65"/>
    <m/>
    <s v="Y"/>
    <n v="2"/>
    <d v="2023-07-04T19:38:22"/>
    <s v="N"/>
    <m/>
    <m/>
    <s v="Non Expert Disbursement"/>
    <m/>
    <s v="N"/>
    <n v="0"/>
    <n v="-10.83"/>
    <x v="1"/>
    <s v="VALIDATED"/>
    <n v="1"/>
    <s v="01.11.80.308.2013.0000"/>
    <n v="-10.83"/>
    <s v="11"/>
    <s v="2013"/>
    <n v="4060.65"/>
    <n v="-10.83"/>
    <s v="CREDITOR"/>
    <n v="0"/>
    <n v="0"/>
    <n v="-10.83"/>
    <n v="0"/>
    <n v="0"/>
  </r>
  <r>
    <n v="40863544"/>
    <s v="N"/>
    <n v="21328749"/>
    <s v="3000010923120016RC"/>
    <s v="CIVIL"/>
    <d v="2023-06-23T00:00:00"/>
    <d v="2023-07-04T19:38:21"/>
    <m/>
    <d v="2023-07-04T00:00:00"/>
    <n v="1566"/>
    <n v="14356"/>
    <s v="40863544"/>
    <s v="40863544"/>
    <m/>
    <m/>
    <m/>
    <m/>
    <m/>
    <m/>
    <s v="SOLRECOUP"/>
    <s v="SOLRECOUP"/>
    <s v="POARECOUP"/>
    <n v="21328749"/>
    <n v="-30"/>
    <m/>
    <s v="Y"/>
    <n v="1"/>
    <d v="2023-07-04T19:38:22"/>
    <s v="N"/>
    <m/>
    <m/>
    <s v="Expert Disbursement"/>
    <m/>
    <s v="N"/>
    <n v="-25"/>
    <n v="0"/>
    <x v="1"/>
    <s v="VALIDATED"/>
    <n v="1"/>
    <s v="01.11.80.308.2013.0000"/>
    <n v="-25"/>
    <s v="11"/>
    <s v="2013"/>
    <n v="4060.65"/>
    <n v="-25"/>
    <s v="CREDITOR"/>
    <n v="0"/>
    <n v="0"/>
    <n v="-25"/>
    <n v="0"/>
    <n v="0"/>
  </r>
  <r>
    <n v="40863544"/>
    <s v="N"/>
    <n v="21328749"/>
    <s v="3000010923120016RC"/>
    <s v="CIVIL"/>
    <d v="2023-06-23T00:00:00"/>
    <d v="2023-07-04T19:38:21"/>
    <m/>
    <d v="2023-07-04T00:00:00"/>
    <n v="1566"/>
    <n v="14356"/>
    <s v="40863544"/>
    <s v="40863544"/>
    <m/>
    <m/>
    <m/>
    <m/>
    <m/>
    <m/>
    <s v="SOLRECOUP"/>
    <s v="SOLRECOUP"/>
    <s v="POARECOUP"/>
    <n v="21328749"/>
    <n v="-30"/>
    <m/>
    <s v="Y"/>
    <n v="2"/>
    <d v="2023-07-04T19:38:22"/>
    <s v="N"/>
    <m/>
    <m/>
    <s v="Expert Disbursement"/>
    <m/>
    <s v="N"/>
    <n v="0"/>
    <n v="-5"/>
    <x v="1"/>
    <s v="VALIDATED"/>
    <n v="1"/>
    <s v="01.11.80.308.2013.0000"/>
    <n v="-5"/>
    <s v="11"/>
    <s v="2013"/>
    <n v="4060.65"/>
    <n v="-5"/>
    <s v="CREDITOR"/>
    <n v="0"/>
    <n v="0"/>
    <n v="-5"/>
    <n v="0"/>
    <n v="0"/>
  </r>
  <r>
    <n v="40863544"/>
    <s v="N"/>
    <n v="21328750"/>
    <s v="3000010923120018RC"/>
    <s v="CIVIL"/>
    <d v="2023-06-23T00:00:00"/>
    <d v="2023-07-04T19:38:21"/>
    <m/>
    <d v="2023-07-04T00:00:00"/>
    <n v="1566"/>
    <n v="14356"/>
    <s v="40863544"/>
    <s v="40863544"/>
    <m/>
    <m/>
    <m/>
    <m/>
    <m/>
    <m/>
    <s v="SOLRECOUP"/>
    <s v="SOLRECOUP"/>
    <s v="POARECOUP"/>
    <n v="21328750"/>
    <n v="-30"/>
    <m/>
    <s v="Y"/>
    <n v="1"/>
    <d v="2023-07-04T19:38:22"/>
    <s v="N"/>
    <m/>
    <m/>
    <s v="Expert Disbursement"/>
    <m/>
    <s v="N"/>
    <n v="-25"/>
    <n v="0"/>
    <x v="1"/>
    <s v="VALIDATED"/>
    <n v="1"/>
    <s v="01.11.80.308.2013.0000"/>
    <n v="-25"/>
    <s v="11"/>
    <s v="2013"/>
    <n v="4060.65"/>
    <n v="-25"/>
    <s v="CREDITOR"/>
    <n v="0"/>
    <n v="0"/>
    <n v="-25"/>
    <n v="0"/>
    <n v="0"/>
  </r>
  <r>
    <n v="40863544"/>
    <s v="N"/>
    <n v="21328750"/>
    <s v="3000010923120018RC"/>
    <s v="CIVIL"/>
    <d v="2023-06-23T00:00:00"/>
    <d v="2023-07-04T19:38:21"/>
    <m/>
    <d v="2023-07-04T00:00:00"/>
    <n v="1566"/>
    <n v="14356"/>
    <s v="40863544"/>
    <s v="40863544"/>
    <m/>
    <m/>
    <m/>
    <m/>
    <m/>
    <m/>
    <s v="SOLRECOUP"/>
    <s v="SOLRECOUP"/>
    <s v="POARECOUP"/>
    <n v="21328750"/>
    <n v="-30"/>
    <m/>
    <s v="Y"/>
    <n v="2"/>
    <d v="2023-07-04T19:38:22"/>
    <s v="N"/>
    <m/>
    <m/>
    <s v="Expert Disbursement"/>
    <m/>
    <s v="N"/>
    <n v="0"/>
    <n v="-5"/>
    <x v="1"/>
    <s v="VALIDATED"/>
    <n v="1"/>
    <s v="01.11.80.308.2013.0000"/>
    <n v="-5"/>
    <s v="11"/>
    <s v="2013"/>
    <n v="4060.65"/>
    <n v="-5"/>
    <s v="CREDITOR"/>
    <n v="0"/>
    <n v="0"/>
    <n v="-5"/>
    <n v="0"/>
    <n v="0"/>
  </r>
  <r>
    <n v="40863544"/>
    <s v="N"/>
    <n v="21328751"/>
    <s v="3000010923120032RC"/>
    <s v="CIVIL"/>
    <d v="2023-06-23T00:00:00"/>
    <d v="2023-07-04T19:38:21"/>
    <m/>
    <d v="2023-07-04T00:00:00"/>
    <n v="1566"/>
    <n v="14356"/>
    <s v="40863544"/>
    <s v="40863544"/>
    <m/>
    <m/>
    <m/>
    <m/>
    <m/>
    <m/>
    <s v="SOLRECOUP"/>
    <s v="SOLRECOUP"/>
    <s v="POARECOUP"/>
    <n v="21328751"/>
    <n v="-85"/>
    <m/>
    <s v="Y"/>
    <n v="1"/>
    <d v="2023-07-04T19:38:22"/>
    <s v="N"/>
    <m/>
    <m/>
    <s v="Non Expert Disbursement"/>
    <m/>
    <s v="N"/>
    <n v="-70.83"/>
    <n v="0"/>
    <x v="1"/>
    <s v="VALIDATED"/>
    <n v="1"/>
    <s v="01.11.80.308.2013.0000"/>
    <n v="-70.83"/>
    <s v="11"/>
    <s v="2013"/>
    <n v="4060.65"/>
    <n v="-70.83"/>
    <s v="CREDITOR"/>
    <n v="0"/>
    <n v="0"/>
    <n v="-70.83"/>
    <n v="0"/>
    <n v="0"/>
  </r>
  <r>
    <n v="40863544"/>
    <s v="N"/>
    <n v="21328751"/>
    <s v="3000010923120032RC"/>
    <s v="CIVIL"/>
    <d v="2023-06-23T00:00:00"/>
    <d v="2023-07-04T19:38:21"/>
    <m/>
    <d v="2023-07-04T00:00:00"/>
    <n v="1566"/>
    <n v="14356"/>
    <s v="40863544"/>
    <s v="40863544"/>
    <m/>
    <m/>
    <m/>
    <m/>
    <m/>
    <m/>
    <s v="SOLRECOUP"/>
    <s v="SOLRECOUP"/>
    <s v="POARECOUP"/>
    <n v="21328751"/>
    <n v="-85"/>
    <m/>
    <s v="Y"/>
    <n v="2"/>
    <d v="2023-07-04T19:38:22"/>
    <s v="N"/>
    <m/>
    <m/>
    <s v="Non Expert Disbursement"/>
    <m/>
    <s v="N"/>
    <n v="0"/>
    <n v="-14.17"/>
    <x v="1"/>
    <s v="VALIDATED"/>
    <n v="1"/>
    <s v="01.11.80.308.2013.0000"/>
    <n v="-14.17"/>
    <s v="11"/>
    <s v="2013"/>
    <n v="4060.65"/>
    <n v="-14.17"/>
    <s v="CREDITOR"/>
    <n v="0"/>
    <n v="0"/>
    <n v="-14.17"/>
    <n v="0"/>
    <n v="0"/>
  </r>
  <r>
    <n v="40863544"/>
    <s v="N"/>
    <n v="21328752"/>
    <s v="3000010923120053RC"/>
    <s v="CIVIL"/>
    <d v="2023-06-23T00:00:00"/>
    <d v="2023-07-04T19:38:21"/>
    <m/>
    <d v="2023-07-04T00:00:00"/>
    <n v="1566"/>
    <n v="14356"/>
    <s v="40863544"/>
    <s v="40863544"/>
    <m/>
    <m/>
    <m/>
    <m/>
    <m/>
    <m/>
    <s v="SOLRECOUP"/>
    <s v="SOLRECOUP"/>
    <s v="POARECOUP"/>
    <n v="21328752"/>
    <n v="-60"/>
    <m/>
    <s v="Y"/>
    <n v="1"/>
    <d v="2023-07-04T19:38:22"/>
    <s v="N"/>
    <m/>
    <m/>
    <s v="Expert Disbursement"/>
    <m/>
    <s v="N"/>
    <n v="-50"/>
    <n v="0"/>
    <x v="1"/>
    <s v="VALIDATED"/>
    <n v="1"/>
    <s v="01.11.80.308.2013.0000"/>
    <n v="-50"/>
    <s v="11"/>
    <s v="2013"/>
    <n v="4060.65"/>
    <n v="-50"/>
    <s v="CREDITOR"/>
    <n v="0"/>
    <n v="0"/>
    <n v="-50"/>
    <n v="0"/>
    <n v="0"/>
  </r>
  <r>
    <n v="40863544"/>
    <s v="N"/>
    <n v="21328752"/>
    <s v="3000010923120053RC"/>
    <s v="CIVIL"/>
    <d v="2023-06-23T00:00:00"/>
    <d v="2023-07-04T19:38:21"/>
    <m/>
    <d v="2023-07-04T00:00:00"/>
    <n v="1566"/>
    <n v="14356"/>
    <s v="40863544"/>
    <s v="40863544"/>
    <m/>
    <m/>
    <m/>
    <m/>
    <m/>
    <m/>
    <s v="SOLRECOUP"/>
    <s v="SOLRECOUP"/>
    <s v="POARECOUP"/>
    <n v="21328752"/>
    <n v="-60"/>
    <m/>
    <s v="Y"/>
    <n v="2"/>
    <d v="2023-07-04T19:38:22"/>
    <s v="N"/>
    <m/>
    <m/>
    <s v="Expert Disbursement"/>
    <m/>
    <s v="N"/>
    <n v="0"/>
    <n v="-10"/>
    <x v="1"/>
    <s v="VALIDATED"/>
    <n v="1"/>
    <s v="01.11.80.308.2013.0000"/>
    <n v="-10"/>
    <s v="11"/>
    <s v="2013"/>
    <n v="4060.65"/>
    <n v="-10"/>
    <s v="CREDITOR"/>
    <n v="0"/>
    <n v="0"/>
    <n v="-10"/>
    <n v="0"/>
    <n v="0"/>
  </r>
  <r>
    <n v="59635013"/>
    <s v="N"/>
    <n v="21338340"/>
    <s v="3000014025420005"/>
    <s v="CIVIL"/>
    <d v="2023-06-22T00:00:00"/>
    <d v="2023-07-06T19:21:01"/>
    <m/>
    <d v="2023-07-06T00:00:00"/>
    <n v="1586"/>
    <n v="15796"/>
    <s v="59635013"/>
    <s v="59635013"/>
    <m/>
    <m/>
    <n v="22745166"/>
    <m/>
    <m/>
    <m/>
    <s v="SOLFIN"/>
    <s v="SOLFIN"/>
    <s v="CCMS"/>
    <n v="21338340"/>
    <n v="9250.26"/>
    <m/>
    <s v="N"/>
    <n v="52"/>
    <d v="2023-07-06T19:21:20"/>
    <s v="Y"/>
    <s v="Waiting at court"/>
    <s v="Non Family Hourly Rates"/>
    <s v="Profit Cost"/>
    <s v="NP"/>
    <s v="Y"/>
    <n v="13.14"/>
    <n v="2.63"/>
    <x v="4"/>
    <s v="VALIDATED"/>
    <n v="1"/>
    <s v="01.11.80.210.6100.0000"/>
    <n v="13.14"/>
    <s v="11"/>
    <s v="6100"/>
    <n v="12659.16"/>
    <n v="13.14"/>
    <s v="CREDITOR"/>
    <n v="0"/>
    <n v="0"/>
    <n v="0"/>
    <n v="0"/>
    <n v="13.14"/>
  </r>
  <r>
    <n v="54249002"/>
    <s v="N"/>
    <n v="21344014"/>
    <s v="3000012924670002"/>
    <s v="CIVIL"/>
    <d v="2023-06-28T00:00:00"/>
    <d v="2023-07-07T19:03:00"/>
    <m/>
    <d v="2023-07-07T00:00:00"/>
    <n v="1586"/>
    <n v="15796"/>
    <s v="54249002"/>
    <s v="54249002"/>
    <m/>
    <m/>
    <n v="22778978"/>
    <m/>
    <m/>
    <m/>
    <s v="SOLFIN"/>
    <s v="SOLFIN"/>
    <s v="CCMS"/>
    <n v="21344014"/>
    <n v="3560.34"/>
    <m/>
    <s v="N"/>
    <n v="8"/>
    <d v="2023-07-07T19:03:20"/>
    <s v="Y"/>
    <s v="Travel to court"/>
    <s v="Non Family Hourly Rates"/>
    <s v="Profit Cost"/>
    <s v="JS"/>
    <s v="Y"/>
    <n v="18.4"/>
    <n v="3.68"/>
    <x v="9"/>
    <s v="VALIDATED"/>
    <n v="1"/>
    <s v="01.11.80.208.6100.0000"/>
    <n v="18.4"/>
    <s v="11"/>
    <s v="6100"/>
    <n v="12659.16"/>
    <n v="18.4"/>
    <s v="CREDITOR"/>
    <n v="0"/>
    <n v="0"/>
    <n v="0"/>
    <n v="0"/>
    <n v="18.4"/>
  </r>
  <r>
    <n v="54249002"/>
    <s v="N"/>
    <n v="21344014"/>
    <s v="3000012924670002"/>
    <s v="CIVIL"/>
    <d v="2023-06-28T00:00:00"/>
    <d v="2023-07-07T19:03:00"/>
    <m/>
    <d v="2023-07-07T00:00:00"/>
    <n v="1586"/>
    <n v="15796"/>
    <s v="54249002"/>
    <s v="54249002"/>
    <m/>
    <m/>
    <n v="22778978"/>
    <m/>
    <m/>
    <m/>
    <s v="SOLFIN"/>
    <s v="SOLFIN"/>
    <s v="CCMS"/>
    <n v="21344014"/>
    <n v="3560.34"/>
    <m/>
    <s v="N"/>
    <n v="54"/>
    <d v="2023-07-07T19:03:20"/>
    <s v="Y"/>
    <s v="Preparation - other"/>
    <s v="Non Family Hourly Rates"/>
    <s v="Profit Cost"/>
    <s v="BT"/>
    <s v="Y"/>
    <n v="17.82"/>
    <n v="3.56"/>
    <x v="9"/>
    <s v="VALIDATED"/>
    <n v="1"/>
    <s v="01.11.80.208.6100.0000"/>
    <n v="17.82"/>
    <s v="11"/>
    <s v="6100"/>
    <n v="12659.16"/>
    <n v="17.82"/>
    <s v="CREDITOR"/>
    <n v="0"/>
    <n v="0"/>
    <n v="0"/>
    <n v="0"/>
    <n v="17.82"/>
  </r>
  <r>
    <n v="56440931"/>
    <s v="N"/>
    <n v="21338241"/>
    <s v="3000013433190002"/>
    <s v="CIVIL"/>
    <d v="2023-06-26T00:00:00"/>
    <d v="2023-07-06T19:21:01"/>
    <m/>
    <d v="2023-07-06T00:00:00"/>
    <n v="1586"/>
    <n v="15796"/>
    <s v="56440931"/>
    <s v="56440931"/>
    <m/>
    <m/>
    <n v="22762082"/>
    <m/>
    <m/>
    <m/>
    <s v="SOLFIN"/>
    <s v="SOLFIN"/>
    <s v="CCMS"/>
    <n v="21338241"/>
    <n v="2471.98"/>
    <m/>
    <s v="N"/>
    <n v="29"/>
    <d v="2023-07-06T19:21:13"/>
    <s v="Y"/>
    <s v="Advocacy - Other Hearing"/>
    <s v="Non Family Hourly Rates"/>
    <s v="Advocacy"/>
    <s v="BT"/>
    <s v="Y"/>
    <n v="22.28"/>
    <n v="4.46"/>
    <x v="4"/>
    <s v="VALIDATED"/>
    <n v="1"/>
    <s v="01.11.80.210.6100.0000"/>
    <n v="22.28"/>
    <s v="11"/>
    <s v="6100"/>
    <n v="12659.16"/>
    <n v="22.28"/>
    <s v="CREDITOR"/>
    <n v="0"/>
    <n v="0"/>
    <n v="0"/>
    <n v="0"/>
    <n v="22.28"/>
  </r>
  <r>
    <n v="56440931"/>
    <s v="N"/>
    <n v="21338241"/>
    <s v="3000013433190002"/>
    <s v="CIVIL"/>
    <d v="2023-06-26T00:00:00"/>
    <d v="2023-07-06T19:21:01"/>
    <m/>
    <d v="2023-07-06T00:00:00"/>
    <n v="1586"/>
    <n v="15796"/>
    <s v="56440931"/>
    <s v="56440931"/>
    <m/>
    <m/>
    <n v="22762082"/>
    <m/>
    <m/>
    <m/>
    <s v="SOLFIN"/>
    <s v="SOLFIN"/>
    <s v="CCMS"/>
    <n v="21338241"/>
    <n v="2471.98"/>
    <m/>
    <s v="N"/>
    <n v="7"/>
    <d v="2023-07-06T19:21:13"/>
    <s v="Y"/>
    <s v="Attendance upon other side"/>
    <s v="Non Family Hourly Rates"/>
    <s v="Profit Cost"/>
    <s v="JOS"/>
    <s v="Y"/>
    <n v="22.28"/>
    <n v="4.46"/>
    <x v="4"/>
    <s v="VALIDATED"/>
    <n v="1"/>
    <s v="01.11.80.210.6100.0000"/>
    <n v="22.28"/>
    <s v="11"/>
    <s v="6100"/>
    <n v="12659.16"/>
    <n v="22.28"/>
    <s v="CREDITOR"/>
    <n v="0"/>
    <n v="0"/>
    <n v="0"/>
    <n v="0"/>
    <n v="22.28"/>
  </r>
  <r>
    <n v="59635013"/>
    <s v="N"/>
    <n v="21338340"/>
    <s v="3000014025420005"/>
    <s v="CIVIL"/>
    <d v="2023-06-22T00:00:00"/>
    <d v="2023-07-06T19:21:01"/>
    <m/>
    <d v="2023-07-06T00:00:00"/>
    <n v="1586"/>
    <n v="15796"/>
    <s v="59635013"/>
    <s v="59635013"/>
    <m/>
    <m/>
    <n v="22745166"/>
    <m/>
    <m/>
    <m/>
    <s v="SOLFIN"/>
    <s v="SOLFIN"/>
    <s v="CCMS"/>
    <n v="21338340"/>
    <n v="9250.26"/>
    <m/>
    <s v="N"/>
    <n v="13"/>
    <d v="2023-07-06T19:21:20"/>
    <s v="Y"/>
    <s v="Attendance upon client"/>
    <s v="Non Family Hourly Rates"/>
    <s v="Profit Cost"/>
    <s v="JS"/>
    <s v="Y"/>
    <n v="26.73"/>
    <n v="5.35"/>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7"/>
    <d v="2023-07-06T19:21:20"/>
    <s v="Y"/>
    <s v="Waiting at court"/>
    <s v="Non Family Hourly Rates"/>
    <s v="Profit Cost"/>
    <s v="JS"/>
    <s v="Y"/>
    <n v="21.02"/>
    <n v="4.2"/>
    <x v="4"/>
    <s v="VALIDATED"/>
    <n v="1"/>
    <s v="01.11.80.210.6100.0000"/>
    <n v="21.02"/>
    <s v="11"/>
    <s v="6100"/>
    <n v="12659.16"/>
    <n v="21.02"/>
    <s v="CREDITOR"/>
    <n v="0"/>
    <n v="0"/>
    <n v="0"/>
    <n v="0"/>
    <n v="21.02"/>
  </r>
  <r>
    <n v="54249002"/>
    <s v="N"/>
    <n v="21344014"/>
    <s v="3000012924670002"/>
    <s v="CIVIL"/>
    <d v="2023-06-28T00:00:00"/>
    <d v="2023-07-07T19:03:00"/>
    <m/>
    <d v="2023-07-07T00:00:00"/>
    <n v="1586"/>
    <n v="15796"/>
    <s v="54249002"/>
    <s v="54249002"/>
    <m/>
    <m/>
    <n v="22778978"/>
    <m/>
    <m/>
    <m/>
    <s v="SOLFIN"/>
    <s v="SOLFIN"/>
    <s v="CCMS"/>
    <n v="21344014"/>
    <n v="3560.34"/>
    <m/>
    <s v="N"/>
    <n v="3"/>
    <d v="2023-07-07T19:03:20"/>
    <s v="Y"/>
    <s v="Attendance upon client"/>
    <s v="Non Family Hourly Rates"/>
    <s v="Profit Cost"/>
    <s v="JS"/>
    <s v="Y"/>
    <n v="13.37"/>
    <n v="2.67"/>
    <x v="9"/>
    <s v="VALIDATED"/>
    <n v="1"/>
    <s v="01.11.80.208.6100.0000"/>
    <n v="13.37"/>
    <s v="11"/>
    <s v="6100"/>
    <n v="12659.16"/>
    <n v="13.37"/>
    <s v="CREDITOR"/>
    <n v="0"/>
    <n v="0"/>
    <n v="0"/>
    <n v="0"/>
    <n v="13.37"/>
  </r>
  <r>
    <n v="59541029"/>
    <s v="N"/>
    <n v="21337717"/>
    <s v="3000013946150003"/>
    <s v="CIVIL"/>
    <d v="2023-06-27T00:00:00"/>
    <d v="2023-07-06T19:21:01"/>
    <m/>
    <d v="2023-07-06T00:00:00"/>
    <n v="1586"/>
    <n v="15796"/>
    <s v="59541029"/>
    <s v="59541029"/>
    <m/>
    <m/>
    <n v="22772024"/>
    <m/>
    <m/>
    <m/>
    <s v="SOLFIN"/>
    <s v="SOLFIN"/>
    <s v="CCMS"/>
    <n v="21337717"/>
    <n v="1714.78"/>
    <m/>
    <s v="N"/>
    <n v="17"/>
    <d v="2023-07-06T19:21:05"/>
    <s v="Y"/>
    <s v="Attendance upon client"/>
    <s v="Non Family Hourly Rates"/>
    <s v="Profit Cost"/>
    <s v="JS"/>
    <s v="Y"/>
    <n v="35.64"/>
    <n v="7.13"/>
    <x v="4"/>
    <s v="VALIDATED"/>
    <n v="1"/>
    <s v="01.11.80.208.6100.0000"/>
    <n v="35.64"/>
    <s v="11"/>
    <s v="6100"/>
    <n v="12659.16"/>
    <n v="35.64"/>
    <s v="CREDITOR"/>
    <n v="0"/>
    <n v="0"/>
    <n v="0"/>
    <n v="0"/>
    <n v="35.64"/>
  </r>
  <r>
    <n v="60553858"/>
    <s v="N"/>
    <n v="21343953"/>
    <s v="3000014821250002"/>
    <s v="CIVIL"/>
    <d v="2023-06-21T00:00:00"/>
    <d v="2023-07-07T19:03:00"/>
    <m/>
    <d v="2023-07-07T00:00:00"/>
    <n v="1586"/>
    <n v="15796"/>
    <s v="60553858"/>
    <s v="60553858"/>
    <m/>
    <m/>
    <n v="22733756"/>
    <m/>
    <m/>
    <m/>
    <s v="SOLFIN"/>
    <s v="SOLFIN"/>
    <s v="CCMS"/>
    <n v="21343953"/>
    <n v="3978.67"/>
    <m/>
    <s v="N"/>
    <n v="31"/>
    <d v="2023-07-07T19:03:18"/>
    <s v="Y"/>
    <s v="Preparation - other"/>
    <s v="Non Family Hourly Rates"/>
    <s v="Profit Cost"/>
    <s v="BT"/>
    <s v="Y"/>
    <n v="11.88"/>
    <n v="2.38"/>
    <x v="9"/>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30"/>
    <d v="2023-07-06T19:21:20"/>
    <s v="Y"/>
    <s v="Preparation - other"/>
    <s v="Non Family Hourly Rates"/>
    <s v="Profit Cost"/>
    <s v="JS"/>
    <s v="Y"/>
    <n v="222.75"/>
    <n v="44.55"/>
    <x v="4"/>
    <s v="VALIDATED"/>
    <n v="1"/>
    <s v="01.11.80.210.6100.0000"/>
    <n v="222.75"/>
    <s v="11"/>
    <s v="6100"/>
    <n v="12659.16"/>
    <n v="222.75"/>
    <s v="CREDITOR"/>
    <n v="0"/>
    <n v="0"/>
    <n v="0"/>
    <n v="0"/>
    <n v="222.75"/>
  </r>
  <r>
    <n v="59635013"/>
    <s v="N"/>
    <n v="21338340"/>
    <s v="3000014025420005"/>
    <s v="CIVIL"/>
    <d v="2023-06-22T00:00:00"/>
    <d v="2023-07-06T19:21:01"/>
    <m/>
    <d v="2023-07-06T00:00:00"/>
    <n v="1586"/>
    <n v="15796"/>
    <s v="59635013"/>
    <s v="59635013"/>
    <m/>
    <m/>
    <n v="22745166"/>
    <m/>
    <m/>
    <m/>
    <s v="SOLFIN"/>
    <s v="SOLFIN"/>
    <s v="CCMS"/>
    <n v="21338340"/>
    <n v="9250.26"/>
    <m/>
    <s v="N"/>
    <n v="4"/>
    <d v="2023-07-06T19:21:20"/>
    <s v="Y"/>
    <s v="Attendance upon client"/>
    <s v="Non Family Hourly Rates"/>
    <s v="Profit Cost"/>
    <s v="JS"/>
    <s v="Y"/>
    <n v="71.28"/>
    <n v="14.26"/>
    <x v="4"/>
    <s v="VALIDATED"/>
    <n v="1"/>
    <s v="01.11.80.210.6100.0000"/>
    <n v="71.28"/>
    <s v="11"/>
    <s v="6100"/>
    <n v="12659.16"/>
    <n v="71.28"/>
    <s v="CREDITOR"/>
    <n v="0"/>
    <n v="0"/>
    <n v="0"/>
    <n v="0"/>
    <n v="71.28"/>
  </r>
  <r>
    <n v="56440931"/>
    <s v="N"/>
    <n v="21338241"/>
    <s v="3000013433190002"/>
    <s v="CIVIL"/>
    <d v="2023-06-26T00:00:00"/>
    <d v="2023-07-06T19:21:01"/>
    <m/>
    <d v="2023-07-06T00:00:00"/>
    <n v="1586"/>
    <n v="15796"/>
    <s v="56440931"/>
    <s v="56440931"/>
    <m/>
    <m/>
    <n v="22762082"/>
    <m/>
    <m/>
    <m/>
    <s v="SOLFIN"/>
    <s v="SOLFIN"/>
    <s v="CCMS"/>
    <n v="21338241"/>
    <n v="2471.98"/>
    <m/>
    <s v="N"/>
    <n v="30"/>
    <d v="2023-07-06T19:21:13"/>
    <s v="Y"/>
    <s v="Travel to court"/>
    <s v="Non Family Hourly Rates"/>
    <s v="Profit Cost"/>
    <s v="BT"/>
    <s v="Y"/>
    <n v="36.79"/>
    <n v="7.36"/>
    <x v="4"/>
    <s v="VALIDATED"/>
    <n v="1"/>
    <s v="01.11.80.210.6100.0000"/>
    <n v="36.79"/>
    <s v="11"/>
    <s v="6100"/>
    <n v="12659.16"/>
    <n v="36.79"/>
    <s v="CREDITOR"/>
    <n v="0"/>
    <n v="0"/>
    <n v="0"/>
    <n v="0"/>
    <n v="36.79"/>
  </r>
  <r>
    <n v="56440931"/>
    <s v="N"/>
    <n v="21338241"/>
    <s v="3000013433190002"/>
    <s v="CIVIL"/>
    <d v="2023-06-26T00:00:00"/>
    <d v="2023-07-06T19:21:01"/>
    <m/>
    <d v="2023-07-06T00:00:00"/>
    <n v="1586"/>
    <n v="15796"/>
    <s v="56440931"/>
    <s v="56440931"/>
    <m/>
    <m/>
    <n v="22762082"/>
    <m/>
    <m/>
    <m/>
    <s v="SOLFIN"/>
    <s v="SOLFIN"/>
    <s v="CCMS"/>
    <n v="21338241"/>
    <n v="2471.98"/>
    <m/>
    <s v="N"/>
    <n v="13"/>
    <d v="2023-07-06T19:21:13"/>
    <s v="Y"/>
    <s v="Attendance upon other side"/>
    <s v="Non Family Hourly Rates"/>
    <s v="Profit Cost"/>
    <s v="JOS"/>
    <s v="Y"/>
    <n v="22.28"/>
    <n v="4.46"/>
    <x v="4"/>
    <s v="VALIDATED"/>
    <n v="1"/>
    <s v="01.11.80.210.6100.0000"/>
    <n v="22.28"/>
    <s v="11"/>
    <s v="6100"/>
    <n v="12659.16"/>
    <n v="22.28"/>
    <s v="CREDITOR"/>
    <n v="0"/>
    <n v="0"/>
    <n v="0"/>
    <n v="0"/>
    <n v="22.28"/>
  </r>
  <r>
    <n v="10087452"/>
    <s v="N"/>
    <n v="21391928"/>
    <s v="3000005965680003"/>
    <s v="CIVIL"/>
    <d v="2023-06-28T00:00:00"/>
    <d v="2023-07-18T19:00:27"/>
    <m/>
    <d v="2023-07-18T00:00:00"/>
    <n v="1586"/>
    <n v="15796"/>
    <s v="10087452"/>
    <s v="10087452"/>
    <m/>
    <m/>
    <n v="22777604"/>
    <m/>
    <m/>
    <m/>
    <s v="SOLFIN"/>
    <s v="SOLFIN"/>
    <s v="CCMS"/>
    <n v="21391928"/>
    <n v="1623.53"/>
    <m/>
    <s v="N"/>
    <n v="17"/>
    <d v="2023-07-18T19:00:33"/>
    <s v="Y"/>
    <s v="Attendance upon client"/>
    <s v="Non Family Hourly Rates"/>
    <s v="Profit Cost"/>
    <s v="BT"/>
    <s v="Y"/>
    <n v="35.64"/>
    <n v="7.13"/>
    <x v="14"/>
    <s v="VALIDATED"/>
    <n v="1"/>
    <s v="01.11.80.208.6100.0000"/>
    <n v="35.64"/>
    <s v="11"/>
    <s v="6100"/>
    <n v="12659.16"/>
    <n v="35.64"/>
    <s v="CREDITOR"/>
    <n v="0"/>
    <n v="0"/>
    <n v="0"/>
    <n v="0"/>
    <n v="35.64"/>
  </r>
  <r>
    <n v="54248104"/>
    <s v="N"/>
    <n v="21350007"/>
    <s v="3000012922770007"/>
    <s v="CIVIL"/>
    <d v="2023-06-28T00:00:00"/>
    <d v="2023-07-10T19:01:40"/>
    <m/>
    <d v="2023-07-10T00:00:00"/>
    <n v="1586"/>
    <n v="15796"/>
    <s v="54248104"/>
    <s v="54248104"/>
    <m/>
    <m/>
    <n v="22779004"/>
    <m/>
    <m/>
    <m/>
    <s v="SOLFIN"/>
    <s v="SOLFIN"/>
    <s v="CCMS"/>
    <n v="21350007"/>
    <n v="4461.01"/>
    <m/>
    <s v="N"/>
    <n v="48"/>
    <d v="2023-07-10T19:02:09"/>
    <s v="Y"/>
    <s v="Preparation - drafting statement"/>
    <s v="Non Family Hourly Rates"/>
    <s v="Profit Cost"/>
    <s v="JS"/>
    <s v="Y"/>
    <n v="111.38"/>
    <n v="22.28"/>
    <x v="2"/>
    <s v="VALIDATED"/>
    <n v="1"/>
    <s v="01.11.80.208.6100.0000"/>
    <n v="111.38"/>
    <s v="11"/>
    <s v="6100"/>
    <n v="12659.16"/>
    <n v="111.38"/>
    <s v="CREDITOR"/>
    <n v="0"/>
    <n v="0"/>
    <n v="0"/>
    <n v="0"/>
    <n v="111.38"/>
  </r>
  <r>
    <n v="60553858"/>
    <s v="N"/>
    <n v="21343953"/>
    <s v="3000014821250002"/>
    <s v="CIVIL"/>
    <d v="2023-06-21T00:00:00"/>
    <d v="2023-07-07T19:03:00"/>
    <m/>
    <d v="2023-07-07T00:00:00"/>
    <n v="1586"/>
    <n v="15796"/>
    <s v="60553858"/>
    <s v="60553858"/>
    <m/>
    <m/>
    <n v="22733756"/>
    <m/>
    <m/>
    <m/>
    <s v="SOLFIN"/>
    <s v="SOLFIN"/>
    <s v="CCMS"/>
    <n v="21343953"/>
    <n v="3978.67"/>
    <m/>
    <s v="N"/>
    <n v="11"/>
    <d v="2023-07-07T19:03:18"/>
    <s v="Y"/>
    <s v="Preparation - other"/>
    <s v="Non Family Hourly Rates"/>
    <s v="Profit Cost"/>
    <s v="BT"/>
    <s v="Y"/>
    <n v="5.94"/>
    <n v="1.19"/>
    <x v="9"/>
    <s v="VALIDATED"/>
    <n v="1"/>
    <s v="01.11.80.210.6100.0000"/>
    <n v="5.94"/>
    <s v="11"/>
    <s v="6100"/>
    <n v="12659.16"/>
    <n v="5.94"/>
    <s v="CREDITOR"/>
    <n v="0"/>
    <n v="0"/>
    <n v="0"/>
    <n v="0"/>
    <n v="5.94"/>
  </r>
  <r>
    <n v="59635013"/>
    <s v="N"/>
    <n v="21338340"/>
    <s v="3000014025420005"/>
    <s v="CIVIL"/>
    <d v="2023-06-22T00:00:00"/>
    <d v="2023-07-06T19:21:01"/>
    <m/>
    <d v="2023-07-06T00:00:00"/>
    <n v="1586"/>
    <n v="15796"/>
    <s v="59635013"/>
    <s v="59635013"/>
    <m/>
    <m/>
    <n v="22745166"/>
    <m/>
    <m/>
    <m/>
    <s v="SOLFIN"/>
    <s v="SOLFIN"/>
    <s v="CCMS"/>
    <n v="21338340"/>
    <n v="9250.26"/>
    <m/>
    <s v="N"/>
    <n v="72"/>
    <d v="2023-07-06T19:21:20"/>
    <s v="Y"/>
    <s v="Preparation - other"/>
    <s v="Non Family Hourly Rates"/>
    <s v="Profit Cost"/>
    <s v="JS"/>
    <s v="Y"/>
    <n v="11.88"/>
    <n v="2.38"/>
    <x v="4"/>
    <s v="VALIDATED"/>
    <n v="1"/>
    <s v="01.11.80.210.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27"/>
    <d v="2023-07-06T19:21:13"/>
    <s v="Y"/>
    <s v="Preparation - other"/>
    <s v="Non Family Hourly Rates"/>
    <s v="Profit Cost"/>
    <s v="NP"/>
    <s v="Y"/>
    <n v="11.88"/>
    <n v="2.38"/>
    <x v="4"/>
    <s v="VALIDATED"/>
    <n v="1"/>
    <s v="01.11.80.210.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23"/>
    <d v="2023-07-06T19:21:13"/>
    <s v="Y"/>
    <s v="Advocacy - Other Hearing"/>
    <s v="Non Family Hourly Rates"/>
    <s v="Advocacy"/>
    <s v="NP"/>
    <s v="Y"/>
    <n v="14.85"/>
    <n v="2.97"/>
    <x v="4"/>
    <s v="VALIDATED"/>
    <n v="1"/>
    <s v="01.11.80.210.6100.0000"/>
    <n v="14.85"/>
    <s v="11"/>
    <s v="6100"/>
    <n v="12659.16"/>
    <n v="14.85"/>
    <s v="CREDITOR"/>
    <n v="0"/>
    <n v="0"/>
    <n v="0"/>
    <n v="0"/>
    <n v="14.85"/>
  </r>
  <r>
    <n v="59541029"/>
    <s v="N"/>
    <n v="21337717"/>
    <s v="3000013946150003"/>
    <s v="CIVIL"/>
    <d v="2023-06-27T00:00:00"/>
    <d v="2023-07-06T19:21:01"/>
    <m/>
    <d v="2023-07-06T00:00:00"/>
    <n v="1586"/>
    <n v="15796"/>
    <s v="59541029"/>
    <s v="59541029"/>
    <m/>
    <m/>
    <n v="22772024"/>
    <m/>
    <m/>
    <m/>
    <s v="SOLFIN"/>
    <s v="SOLFIN"/>
    <s v="CCMS"/>
    <n v="21337717"/>
    <n v="1714.78"/>
    <m/>
    <s v="N"/>
    <n v="7"/>
    <d v="2023-07-06T19:21:05"/>
    <s v="Y"/>
    <s v="Advocacy - Other Hearing"/>
    <s v="Non Family Hourly Rates"/>
    <s v="Advocacy"/>
    <s v="JS"/>
    <s v="Y"/>
    <n v="44.55"/>
    <n v="8.91"/>
    <x v="4"/>
    <s v="VALIDATED"/>
    <n v="1"/>
    <s v="01.11.80.208.6100.0000"/>
    <n v="44.55"/>
    <s v="11"/>
    <s v="6100"/>
    <n v="12659.16"/>
    <n v="44.55"/>
    <s v="CREDITOR"/>
    <n v="0"/>
    <n v="0"/>
    <n v="0"/>
    <n v="0"/>
    <n v="44.55"/>
  </r>
  <r>
    <n v="59635013"/>
    <s v="N"/>
    <n v="21338340"/>
    <s v="3000014025420005"/>
    <s v="CIVIL"/>
    <d v="2023-06-22T00:00:00"/>
    <d v="2023-07-06T19:21:01"/>
    <m/>
    <d v="2023-07-06T00:00:00"/>
    <n v="1586"/>
    <n v="15796"/>
    <s v="59635013"/>
    <s v="59635013"/>
    <m/>
    <m/>
    <n v="22745166"/>
    <m/>
    <m/>
    <m/>
    <s v="SOLFIN"/>
    <s v="SOLFIN"/>
    <s v="CCMS"/>
    <n v="21338340"/>
    <n v="9250.26"/>
    <m/>
    <s v="N"/>
    <n v="47"/>
    <d v="2023-07-06T19:21:20"/>
    <s v="Y"/>
    <s v="Preparation - drafting attendance n"/>
    <s v="Non Family Hourly Rates"/>
    <s v="Profit Cost"/>
    <s v="NP"/>
    <s v="Y"/>
    <n v="8.91"/>
    <n v="1.78"/>
    <x v="4"/>
    <s v="VALIDATED"/>
    <n v="1"/>
    <s v="01.11.80.210.6100.0000"/>
    <n v="8.91"/>
    <s v="11"/>
    <s v="6100"/>
    <n v="12659.16"/>
    <n v="8.91"/>
    <s v="CREDITOR"/>
    <n v="0"/>
    <n v="0"/>
    <n v="0"/>
    <n v="0"/>
    <n v="8.91"/>
  </r>
  <r>
    <n v="54248104"/>
    <s v="N"/>
    <n v="21350007"/>
    <s v="3000012922770007"/>
    <s v="CIVIL"/>
    <d v="2023-06-28T00:00:00"/>
    <d v="2023-07-10T19:01:40"/>
    <m/>
    <d v="2023-07-10T00:00:00"/>
    <n v="1586"/>
    <n v="15796"/>
    <s v="54248104"/>
    <s v="54248104"/>
    <m/>
    <m/>
    <n v="22779004"/>
    <m/>
    <m/>
    <m/>
    <s v="SOLFIN"/>
    <s v="SOLFIN"/>
    <s v="CCMS"/>
    <n v="21350007"/>
    <n v="4461.01"/>
    <m/>
    <s v="N"/>
    <n v="27"/>
    <d v="2023-07-10T19:02:09"/>
    <s v="Y"/>
    <s v="Preparation - other"/>
    <s v="Non Family Hourly Rates"/>
    <s v="Profit Cost"/>
    <s v="JS"/>
    <s v="Y"/>
    <n v="40.1"/>
    <n v="8.02"/>
    <x v="2"/>
    <s v="VALIDATED"/>
    <n v="1"/>
    <s v="01.11.80.208.6100.0000"/>
    <n v="40.1"/>
    <s v="11"/>
    <s v="6100"/>
    <n v="12659.16"/>
    <n v="40.1"/>
    <s v="CREDITOR"/>
    <n v="0"/>
    <n v="0"/>
    <n v="0"/>
    <n v="0"/>
    <n v="40.1"/>
  </r>
  <r>
    <n v="54248104"/>
    <s v="N"/>
    <n v="21350007"/>
    <s v="3000012922770007"/>
    <s v="CIVIL"/>
    <d v="2023-06-28T00:00:00"/>
    <d v="2023-07-10T19:01:40"/>
    <m/>
    <d v="2023-07-10T00:00:00"/>
    <n v="1586"/>
    <n v="15796"/>
    <s v="54248104"/>
    <s v="54248104"/>
    <m/>
    <m/>
    <n v="22779004"/>
    <m/>
    <m/>
    <m/>
    <s v="SOLFIN"/>
    <s v="SOLFIN"/>
    <s v="CCMS"/>
    <n v="21350007"/>
    <n v="4461.01"/>
    <m/>
    <s v="N"/>
    <n v="53"/>
    <d v="2023-07-10T19:02:09"/>
    <s v="Y"/>
    <s v="Preparation - other"/>
    <s v="Non Family Hourly Rates"/>
    <s v="Profit Cost"/>
    <s v="BT"/>
    <s v="Y"/>
    <n v="11.88"/>
    <n v="2.38"/>
    <x v="2"/>
    <s v="VALIDATED"/>
    <n v="1"/>
    <s v="01.11.80.208.6100.0000"/>
    <n v="11.88"/>
    <s v="11"/>
    <s v="6100"/>
    <n v="12659.16"/>
    <n v="11.88"/>
    <s v="CREDITOR"/>
    <n v="0"/>
    <n v="0"/>
    <n v="0"/>
    <n v="0"/>
    <n v="11.88"/>
  </r>
  <r>
    <n v="54249002"/>
    <s v="N"/>
    <n v="21344014"/>
    <s v="3000012924670002"/>
    <s v="CIVIL"/>
    <d v="2023-06-28T00:00:00"/>
    <d v="2023-07-07T19:03:00"/>
    <m/>
    <d v="2023-07-07T00:00:00"/>
    <n v="1586"/>
    <n v="15796"/>
    <s v="54249002"/>
    <s v="54249002"/>
    <m/>
    <m/>
    <n v="22778978"/>
    <m/>
    <m/>
    <m/>
    <s v="SOLFIN"/>
    <s v="SOLFIN"/>
    <s v="CCMS"/>
    <n v="21344014"/>
    <n v="3560.34"/>
    <m/>
    <s v="N"/>
    <n v="5"/>
    <d v="2023-07-07T19:03:20"/>
    <s v="Y"/>
    <s v="Preparation - other"/>
    <s v="Non Family Hourly Rates"/>
    <s v="Profit Cost"/>
    <s v="BT"/>
    <s v="Y"/>
    <n v="35.64"/>
    <n v="7.13"/>
    <x v="9"/>
    <s v="VALIDATED"/>
    <n v="1"/>
    <s v="01.11.80.208.6100.0000"/>
    <n v="35.64"/>
    <s v="11"/>
    <s v="6100"/>
    <n v="12659.16"/>
    <n v="35.64"/>
    <s v="CREDITOR"/>
    <n v="0"/>
    <n v="0"/>
    <n v="0"/>
    <n v="0"/>
    <n v="35.64"/>
  </r>
  <r>
    <n v="56440931"/>
    <s v="N"/>
    <n v="21338241"/>
    <s v="3000013433190002"/>
    <s v="CIVIL"/>
    <d v="2023-06-26T00:00:00"/>
    <d v="2023-07-06T19:21:01"/>
    <m/>
    <d v="2023-07-06T00:00:00"/>
    <n v="1586"/>
    <n v="15796"/>
    <s v="56440931"/>
    <s v="56440931"/>
    <m/>
    <m/>
    <n v="22762082"/>
    <m/>
    <m/>
    <m/>
    <s v="SOLFIN"/>
    <s v="SOLFIN"/>
    <s v="CCMS"/>
    <n v="21338241"/>
    <n v="2471.98"/>
    <m/>
    <s v="N"/>
    <n v="48"/>
    <d v="2023-07-06T19:21:13"/>
    <s v="Y"/>
    <s v="Routine Telephone Call"/>
    <s v="Non Family Hourly Rates"/>
    <s v="Profit Cost"/>
    <s v="JOS"/>
    <s v="Y"/>
    <n v="6.58"/>
    <n v="1.32"/>
    <x v="4"/>
    <s v="VALIDATED"/>
    <n v="1"/>
    <s v="01.11.80.210.6100.0000"/>
    <n v="6.58"/>
    <s v="11"/>
    <s v="6100"/>
    <n v="12659.16"/>
    <n v="6.58"/>
    <s v="CREDITOR"/>
    <n v="0"/>
    <n v="0"/>
    <n v="0"/>
    <n v="0"/>
    <n v="6.58"/>
  </r>
  <r>
    <n v="56440931"/>
    <s v="N"/>
    <n v="21338241"/>
    <s v="3000013433190002"/>
    <s v="CIVIL"/>
    <d v="2023-06-26T00:00:00"/>
    <d v="2023-07-06T19:21:01"/>
    <m/>
    <d v="2023-07-06T00:00:00"/>
    <n v="1586"/>
    <n v="15796"/>
    <s v="56440931"/>
    <s v="56440931"/>
    <m/>
    <m/>
    <n v="22762082"/>
    <m/>
    <m/>
    <m/>
    <s v="SOLFIN"/>
    <s v="SOLFIN"/>
    <s v="CCMS"/>
    <n v="21338241"/>
    <n v="2471.98"/>
    <m/>
    <s v="N"/>
    <n v="2"/>
    <d v="2023-07-06T19:21:13"/>
    <s v="Y"/>
    <s v="Advocacy - Other Hearing"/>
    <s v="Non Family Hourly Rates"/>
    <s v="Advocacy"/>
    <s v="JOS"/>
    <s v="Y"/>
    <n v="29.7"/>
    <n v="5.94"/>
    <x v="4"/>
    <s v="VALIDATED"/>
    <n v="1"/>
    <s v="01.11.80.210.6100.0000"/>
    <n v="29.7"/>
    <s v="11"/>
    <s v="6100"/>
    <n v="12659.16"/>
    <n v="29.7"/>
    <s v="CREDITOR"/>
    <n v="0"/>
    <n v="0"/>
    <n v="0"/>
    <n v="0"/>
    <n v="29.7"/>
  </r>
  <r>
    <n v="54248104"/>
    <s v="N"/>
    <n v="21350007"/>
    <s v="3000012922770007"/>
    <s v="CIVIL"/>
    <d v="2023-06-28T00:00:00"/>
    <d v="2023-07-10T19:01:40"/>
    <m/>
    <d v="2023-07-10T00:00:00"/>
    <n v="1586"/>
    <n v="15796"/>
    <s v="54248104"/>
    <s v="54248104"/>
    <m/>
    <m/>
    <n v="22779004"/>
    <m/>
    <m/>
    <m/>
    <s v="SOLFIN"/>
    <s v="SOLFIN"/>
    <s v="CCMS"/>
    <n v="21350007"/>
    <n v="4461.01"/>
    <m/>
    <s v="N"/>
    <n v="22"/>
    <d v="2023-07-10T19:02:09"/>
    <s v="Y"/>
    <s v="Preparation - drafting notice(s)"/>
    <s v="Non Family Hourly Rates"/>
    <s v="Profit Cost"/>
    <s v="JS"/>
    <s v="Y"/>
    <n v="13.37"/>
    <n v="2.67"/>
    <x v="2"/>
    <s v="VALIDATED"/>
    <n v="1"/>
    <s v="01.11.80.208.6100.0000"/>
    <n v="13.37"/>
    <s v="11"/>
    <s v="6100"/>
    <n v="12659.16"/>
    <n v="13.37"/>
    <s v="CREDITOR"/>
    <n v="0"/>
    <n v="0"/>
    <n v="0"/>
    <n v="0"/>
    <n v="13.37"/>
  </r>
  <r>
    <n v="54249002"/>
    <s v="N"/>
    <n v="21344014"/>
    <s v="3000012924670002"/>
    <s v="CIVIL"/>
    <d v="2023-06-28T00:00:00"/>
    <d v="2023-07-07T19:03:00"/>
    <m/>
    <d v="2023-07-07T00:00:00"/>
    <n v="1586"/>
    <n v="15796"/>
    <s v="54249002"/>
    <s v="54249002"/>
    <m/>
    <m/>
    <n v="22778978"/>
    <m/>
    <m/>
    <m/>
    <s v="SOLFIN"/>
    <s v="SOLFIN"/>
    <s v="CCMS"/>
    <n v="21344014"/>
    <n v="3560.34"/>
    <m/>
    <s v="N"/>
    <n v="18"/>
    <d v="2023-07-07T19:03:20"/>
    <s v="Y"/>
    <s v="Preparation - other"/>
    <s v="Non Family Hourly Rates"/>
    <s v="Profit Cost"/>
    <s v="JS"/>
    <s v="Y"/>
    <n v="84.65000000000001"/>
    <n v="16.93"/>
    <x v="9"/>
    <s v="VALIDATED"/>
    <n v="1"/>
    <s v="01.11.80.208.6100.0000"/>
    <n v="84.65000000000001"/>
    <s v="11"/>
    <s v="6100"/>
    <n v="12659.16"/>
    <n v="84.65000000000001"/>
    <s v="CREDITOR"/>
    <n v="0"/>
    <n v="0"/>
    <n v="0"/>
    <n v="0"/>
    <n v="84.65000000000001"/>
  </r>
  <r>
    <n v="60553858"/>
    <s v="N"/>
    <n v="21343953"/>
    <s v="3000014821250002"/>
    <s v="CIVIL"/>
    <d v="2023-06-21T00:00:00"/>
    <d v="2023-07-07T19:03:00"/>
    <m/>
    <d v="2023-07-07T00:00:00"/>
    <n v="1586"/>
    <n v="15796"/>
    <s v="60553858"/>
    <s v="60553858"/>
    <m/>
    <m/>
    <n v="22733756"/>
    <m/>
    <m/>
    <m/>
    <s v="SOLFIN"/>
    <s v="SOLFIN"/>
    <s v="CCMS"/>
    <n v="21343953"/>
    <n v="3978.67"/>
    <m/>
    <s v="N"/>
    <n v="30"/>
    <d v="2023-07-07T19:03:18"/>
    <s v="Y"/>
    <s v="Preparation - other"/>
    <s v="Non Family Hourly Rates"/>
    <s v="Profit Cost"/>
    <s v="BT"/>
    <s v="Y"/>
    <n v="133.65"/>
    <n v="26.73"/>
    <x v="9"/>
    <s v="VALIDATED"/>
    <n v="1"/>
    <s v="01.11.80.210.6100.0000"/>
    <n v="133.65"/>
    <s v="11"/>
    <s v="6100"/>
    <n v="12659.16"/>
    <n v="133.65"/>
    <s v="CREDITOR"/>
    <n v="0"/>
    <n v="0"/>
    <n v="0"/>
    <n v="0"/>
    <n v="133.65"/>
  </r>
  <r>
    <n v="54249002"/>
    <s v="N"/>
    <n v="21344014"/>
    <s v="3000012924670002"/>
    <s v="CIVIL"/>
    <d v="2023-06-28T00:00:00"/>
    <d v="2023-07-07T19:03:00"/>
    <m/>
    <d v="2023-07-07T00:00:00"/>
    <n v="1586"/>
    <n v="15796"/>
    <s v="54249002"/>
    <s v="54249002"/>
    <m/>
    <m/>
    <n v="22778978"/>
    <m/>
    <m/>
    <m/>
    <s v="SOLFIN"/>
    <s v="SOLFIN"/>
    <s v="CCMS"/>
    <n v="21344014"/>
    <n v="3560.34"/>
    <m/>
    <s v="N"/>
    <n v="26"/>
    <d v="2023-07-07T19:03:20"/>
    <s v="Y"/>
    <s v="Preparation - other"/>
    <s v="Non Family Hourly Rates"/>
    <s v="Profit Cost"/>
    <s v="JS"/>
    <s v="Y"/>
    <n v="22.28"/>
    <n v="4.46"/>
    <x v="9"/>
    <s v="VALIDATED"/>
    <n v="1"/>
    <s v="01.11.80.208.6100.0000"/>
    <n v="22.28"/>
    <s v="11"/>
    <s v="6100"/>
    <n v="12659.16"/>
    <n v="22.28"/>
    <s v="CREDITOR"/>
    <n v="0"/>
    <n v="0"/>
    <n v="0"/>
    <n v="0"/>
    <n v="22.28"/>
  </r>
  <r>
    <n v="54249002"/>
    <s v="N"/>
    <n v="21344014"/>
    <s v="3000012924670002"/>
    <s v="CIVIL"/>
    <d v="2023-06-28T00:00:00"/>
    <d v="2023-07-07T19:03:00"/>
    <m/>
    <d v="2023-07-07T00:00:00"/>
    <n v="1586"/>
    <n v="15796"/>
    <s v="54249002"/>
    <s v="54249002"/>
    <m/>
    <m/>
    <n v="22778978"/>
    <m/>
    <m/>
    <m/>
    <s v="SOLFIN"/>
    <s v="SOLFIN"/>
    <s v="CCMS"/>
    <n v="21344014"/>
    <n v="3560.34"/>
    <m/>
    <s v="N"/>
    <n v="35"/>
    <d v="2023-07-07T19:03:20"/>
    <s v="Y"/>
    <s v="Preparation - other"/>
    <s v="Non Family Hourly Rates"/>
    <s v="Profit Cost"/>
    <s v="JS"/>
    <s v="Y"/>
    <n v="178.2"/>
    <n v="35.64"/>
    <x v="9"/>
    <s v="VALIDATED"/>
    <n v="1"/>
    <s v="01.11.80.208.6100.0000"/>
    <n v="178.2"/>
    <s v="11"/>
    <s v="6100"/>
    <n v="12659.16"/>
    <n v="178.2"/>
    <s v="CREDITOR"/>
    <n v="0"/>
    <n v="0"/>
    <n v="0"/>
    <n v="0"/>
    <n v="178.2"/>
  </r>
  <r>
    <n v="54249002"/>
    <s v="N"/>
    <n v="21344014"/>
    <s v="3000012924670002"/>
    <s v="CIVIL"/>
    <d v="2023-06-28T00:00:00"/>
    <d v="2023-07-07T19:03:00"/>
    <m/>
    <d v="2023-07-07T00:00:00"/>
    <n v="1586"/>
    <n v="15796"/>
    <s v="54249002"/>
    <s v="54249002"/>
    <m/>
    <m/>
    <n v="22778978"/>
    <m/>
    <m/>
    <m/>
    <s v="SOLFIN"/>
    <s v="SOLFIN"/>
    <s v="CCMS"/>
    <n v="21344014"/>
    <n v="3560.34"/>
    <m/>
    <s v="N"/>
    <n v="50"/>
    <d v="2023-07-07T19:03:20"/>
    <s v="Y"/>
    <s v="Preparation - other"/>
    <s v="Non Family Hourly Rates"/>
    <s v="Profit Cost"/>
    <s v="JS"/>
    <s v="Y"/>
    <n v="44.55"/>
    <n v="8.91"/>
    <x v="9"/>
    <s v="VALIDATED"/>
    <n v="1"/>
    <s v="01.11.80.208.6100.0000"/>
    <n v="44.55"/>
    <s v="11"/>
    <s v="6100"/>
    <n v="12659.16"/>
    <n v="44.55"/>
    <s v="CREDITOR"/>
    <n v="0"/>
    <n v="0"/>
    <n v="0"/>
    <n v="0"/>
    <n v="44.55"/>
  </r>
  <r>
    <n v="59635013"/>
    <s v="N"/>
    <n v="21338340"/>
    <s v="3000014025420005"/>
    <s v="CIVIL"/>
    <d v="2023-06-22T00:00:00"/>
    <d v="2023-07-06T19:21:01"/>
    <m/>
    <d v="2023-07-06T00:00:00"/>
    <n v="1586"/>
    <n v="15796"/>
    <s v="59635013"/>
    <s v="59635013"/>
    <m/>
    <m/>
    <n v="22745166"/>
    <m/>
    <m/>
    <m/>
    <s v="SOLFIN"/>
    <s v="SOLFIN"/>
    <s v="CCMS"/>
    <n v="21338340"/>
    <n v="9250.26"/>
    <m/>
    <s v="N"/>
    <n v="44"/>
    <d v="2023-07-06T19:21:20"/>
    <s v="Y"/>
    <s v="Preparation - other"/>
    <s v="Non Family Hourly Rates"/>
    <s v="Profit Cost"/>
    <s v="NP"/>
    <s v="Y"/>
    <n v="17.82"/>
    <n v="3.56"/>
    <x v="4"/>
    <s v="VALIDATED"/>
    <n v="1"/>
    <s v="01.11.80.210.6100.0000"/>
    <n v="17.82"/>
    <s v="11"/>
    <s v="6100"/>
    <n v="12659.16"/>
    <n v="17.82"/>
    <s v="CREDITOR"/>
    <n v="0"/>
    <n v="0"/>
    <n v="0"/>
    <n v="0"/>
    <n v="17.82"/>
  </r>
  <r>
    <n v="59635013"/>
    <s v="N"/>
    <n v="21338340"/>
    <s v="3000014025420005"/>
    <s v="CIVIL"/>
    <d v="2023-06-22T00:00:00"/>
    <d v="2023-07-06T19:21:01"/>
    <m/>
    <d v="2023-07-06T00:00:00"/>
    <n v="1586"/>
    <n v="15796"/>
    <s v="59635013"/>
    <s v="59635013"/>
    <m/>
    <m/>
    <n v="22745166"/>
    <m/>
    <m/>
    <m/>
    <s v="SOLFIN"/>
    <s v="SOLFIN"/>
    <s v="CCMS"/>
    <n v="21338340"/>
    <n v="9250.26"/>
    <m/>
    <s v="N"/>
    <n v="57"/>
    <d v="2023-07-06T19:21:20"/>
    <s v="Y"/>
    <s v="Preparation - other"/>
    <s v="Non Family Hourly Rates"/>
    <s v="Profit Cost"/>
    <s v="JS"/>
    <s v="Y"/>
    <n v="712.8"/>
    <n v="142.57"/>
    <x v="4"/>
    <s v="VALIDATED"/>
    <n v="1"/>
    <s v="01.11.80.210.6100.0000"/>
    <n v="712.8"/>
    <s v="11"/>
    <s v="6100"/>
    <n v="12659.16"/>
    <n v="712.8"/>
    <s v="CREDITOR"/>
    <n v="0"/>
    <n v="0"/>
    <n v="0"/>
    <n v="0"/>
    <n v="712.8"/>
  </r>
  <r>
    <n v="59635013"/>
    <s v="N"/>
    <n v="21338340"/>
    <s v="3000014025420005"/>
    <s v="CIVIL"/>
    <d v="2023-06-22T00:00:00"/>
    <d v="2023-07-06T19:21:01"/>
    <m/>
    <d v="2023-07-06T00:00:00"/>
    <n v="1586"/>
    <n v="15796"/>
    <s v="59635013"/>
    <s v="59635013"/>
    <m/>
    <m/>
    <n v="22745166"/>
    <m/>
    <m/>
    <m/>
    <s v="SOLFIN"/>
    <s v="SOLFIN"/>
    <s v="CCMS"/>
    <n v="21338340"/>
    <n v="9250.26"/>
    <m/>
    <s v="N"/>
    <n v="8"/>
    <d v="2023-07-06T19:21:20"/>
    <s v="Y"/>
    <s v="Preparation - other"/>
    <s v="Non Family Hourly Rates"/>
    <s v="Profit Cost"/>
    <s v="JS"/>
    <s v="Y"/>
    <n v="26.73"/>
    <n v="5.35"/>
    <x v="4"/>
    <s v="VALIDATED"/>
    <n v="1"/>
    <s v="01.11.80.210.6100.0000"/>
    <n v="26.73"/>
    <s v="11"/>
    <s v="6100"/>
    <n v="12659.16"/>
    <n v="26.73"/>
    <s v="CREDITOR"/>
    <n v="0"/>
    <n v="0"/>
    <n v="0"/>
    <n v="0"/>
    <n v="26.73"/>
  </r>
  <r>
    <n v="56440931"/>
    <s v="N"/>
    <n v="21338241"/>
    <s v="3000013433190002"/>
    <s v="CIVIL"/>
    <d v="2023-06-26T00:00:00"/>
    <d v="2023-07-06T19:21:01"/>
    <m/>
    <d v="2023-07-06T00:00:00"/>
    <n v="1586"/>
    <n v="15796"/>
    <s v="56440931"/>
    <s v="56440931"/>
    <m/>
    <m/>
    <n v="22762082"/>
    <m/>
    <m/>
    <m/>
    <s v="SOLFIN"/>
    <s v="SOLFIN"/>
    <s v="CCMS"/>
    <n v="21338241"/>
    <n v="2471.98"/>
    <m/>
    <s v="N"/>
    <n v="9"/>
    <d v="2023-07-06T19:21:13"/>
    <s v="Y"/>
    <s v="Preparation - other"/>
    <s v="Non Family Hourly Rates"/>
    <s v="Profit Cost"/>
    <s v="JOS"/>
    <s v="Y"/>
    <n v="11.88"/>
    <n v="2.38"/>
    <x v="4"/>
    <s v="VALIDATED"/>
    <n v="1"/>
    <s v="01.11.80.210.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60"/>
    <d v="2023-07-10T19:02:09"/>
    <s v="Y"/>
    <s v="Preparation - other"/>
    <s v="Non Family Hourly Rates"/>
    <s v="Profit Cost"/>
    <s v="JS"/>
    <s v="Y"/>
    <n v="44.55"/>
    <n v="8.91"/>
    <x v="2"/>
    <s v="VALIDATED"/>
    <n v="1"/>
    <s v="01.11.80.208.6100.0000"/>
    <n v="44.55"/>
    <s v="11"/>
    <s v="6100"/>
    <n v="12659.16"/>
    <n v="44.55"/>
    <s v="CREDITOR"/>
    <n v="0"/>
    <n v="0"/>
    <n v="0"/>
    <n v="0"/>
    <n v="44.55"/>
  </r>
  <r>
    <n v="54248104"/>
    <s v="N"/>
    <n v="21350007"/>
    <s v="3000012922770007"/>
    <s v="CIVIL"/>
    <d v="2023-06-28T00:00:00"/>
    <d v="2023-07-10T19:01:40"/>
    <m/>
    <d v="2023-07-10T00:00:00"/>
    <n v="1586"/>
    <n v="15796"/>
    <s v="54248104"/>
    <s v="54248104"/>
    <m/>
    <m/>
    <n v="22779004"/>
    <m/>
    <m/>
    <m/>
    <s v="SOLFIN"/>
    <s v="SOLFIN"/>
    <s v="CCMS"/>
    <n v="21350007"/>
    <n v="4461.01"/>
    <m/>
    <s v="N"/>
    <n v="30"/>
    <d v="2023-07-10T19:02:09"/>
    <s v="Y"/>
    <s v="Travel to court"/>
    <s v="Non Family Hourly Rates"/>
    <s v="Profit Cost"/>
    <s v="JS"/>
    <s v="Y"/>
    <n v="18.4"/>
    <n v="3.68"/>
    <x v="2"/>
    <s v="VALIDATED"/>
    <n v="1"/>
    <s v="01.11.80.208.6100.0000"/>
    <n v="18.4"/>
    <s v="11"/>
    <s v="6100"/>
    <n v="12659.16"/>
    <n v="18.4"/>
    <s v="CREDITOR"/>
    <n v="0"/>
    <n v="0"/>
    <n v="0"/>
    <n v="0"/>
    <n v="18.4"/>
  </r>
  <r>
    <n v="54249002"/>
    <s v="N"/>
    <n v="21344014"/>
    <s v="3000012924670002"/>
    <s v="CIVIL"/>
    <d v="2023-06-28T00:00:00"/>
    <d v="2023-07-07T19:03:00"/>
    <m/>
    <d v="2023-07-07T00:00:00"/>
    <n v="1586"/>
    <n v="15796"/>
    <s v="54249002"/>
    <s v="54249002"/>
    <m/>
    <m/>
    <n v="22778978"/>
    <m/>
    <m/>
    <m/>
    <s v="SOLFIN"/>
    <s v="SOLFIN"/>
    <s v="CCMS"/>
    <n v="21344014"/>
    <n v="3560.34"/>
    <m/>
    <s v="N"/>
    <n v="56"/>
    <d v="2023-07-07T19:03:20"/>
    <s v="Y"/>
    <s v="Preparation - drafting bill/claim f"/>
    <s v="Non Family Hourly Rates"/>
    <s v="Profit Cost"/>
    <s v="BT"/>
    <s v="Y"/>
    <n v="17.82"/>
    <n v="3.56"/>
    <x v="9"/>
    <s v="VALIDATED"/>
    <n v="1"/>
    <s v="01.11.80.208.6100.0000"/>
    <n v="17.82"/>
    <s v="11"/>
    <s v="6100"/>
    <n v="12659.16"/>
    <n v="17.82"/>
    <s v="CREDITOR"/>
    <n v="0"/>
    <n v="0"/>
    <n v="0"/>
    <n v="0"/>
    <n v="17.82"/>
  </r>
  <r>
    <n v="59635013"/>
    <s v="N"/>
    <n v="21338340"/>
    <s v="3000014025420005"/>
    <s v="CIVIL"/>
    <d v="2023-06-22T00:00:00"/>
    <d v="2023-07-06T19:21:01"/>
    <m/>
    <d v="2023-07-06T00:00:00"/>
    <n v="1586"/>
    <n v="15796"/>
    <s v="59635013"/>
    <s v="59635013"/>
    <m/>
    <m/>
    <n v="22745166"/>
    <m/>
    <m/>
    <m/>
    <s v="SOLFIN"/>
    <s v="SOLFIN"/>
    <s v="CCMS"/>
    <n v="21338340"/>
    <n v="9250.26"/>
    <m/>
    <s v="N"/>
    <n v="33"/>
    <d v="2023-07-06T19:21:20"/>
    <s v="Y"/>
    <s v="Preparation - drafting attendance n"/>
    <s v="Non Family Hourly Rates"/>
    <s v="Profit Cost"/>
    <s v="YM"/>
    <s v="Y"/>
    <n v="8.91"/>
    <n v="1.78"/>
    <x v="4"/>
    <s v="VALIDATED"/>
    <n v="1"/>
    <s v="01.11.80.210.6100.0000"/>
    <n v="8.91"/>
    <s v="11"/>
    <s v="6100"/>
    <n v="12659.16"/>
    <n v="8.91"/>
    <s v="CREDITOR"/>
    <n v="0"/>
    <n v="0"/>
    <n v="0"/>
    <n v="0"/>
    <n v="8.91"/>
  </r>
  <r>
    <n v="59635013"/>
    <s v="N"/>
    <n v="21338340"/>
    <s v="3000014025420005"/>
    <s v="CIVIL"/>
    <d v="2023-06-22T00:00:00"/>
    <d v="2023-07-06T19:21:01"/>
    <m/>
    <d v="2023-07-06T00:00:00"/>
    <n v="1586"/>
    <n v="15796"/>
    <s v="59635013"/>
    <s v="59635013"/>
    <m/>
    <m/>
    <n v="22745166"/>
    <m/>
    <m/>
    <m/>
    <s v="SOLFIN"/>
    <s v="SOLFIN"/>
    <s v="CCMS"/>
    <n v="21338340"/>
    <n v="9250.26"/>
    <m/>
    <s v="N"/>
    <n v="73"/>
    <d v="2023-07-06T19:21:20"/>
    <s v="Y"/>
    <s v="Preparation - drafting bill/claim f"/>
    <s v="Non Family Hourly Rates"/>
    <s v="Profit Cost"/>
    <s v="CD"/>
    <s v="Y"/>
    <n v="285.12"/>
    <n v="57.03"/>
    <x v="4"/>
    <s v="VALIDATED"/>
    <n v="1"/>
    <s v="01.11.80.210.6100.0000"/>
    <n v="285.12"/>
    <s v="11"/>
    <s v="6100"/>
    <n v="12659.16"/>
    <n v="285.12"/>
    <s v="CREDITOR"/>
    <n v="0"/>
    <n v="0"/>
    <n v="0"/>
    <n v="0"/>
    <n v="285.12"/>
  </r>
  <r>
    <n v="59635013"/>
    <s v="N"/>
    <n v="21338340"/>
    <s v="3000014025420005"/>
    <s v="CIVIL"/>
    <d v="2023-06-22T00:00:00"/>
    <d v="2023-07-06T19:21:01"/>
    <m/>
    <d v="2023-07-06T00:00:00"/>
    <n v="1586"/>
    <n v="15796"/>
    <s v="59635013"/>
    <s v="59635013"/>
    <m/>
    <m/>
    <n v="22745166"/>
    <m/>
    <m/>
    <m/>
    <s v="SOLFIN"/>
    <s v="SOLFIN"/>
    <s v="CCMS"/>
    <n v="21338340"/>
    <n v="9250.26"/>
    <m/>
    <s v="N"/>
    <n v="5"/>
    <d v="2023-07-06T19:21:20"/>
    <s v="Y"/>
    <s v="Advocacy - Directions Hearing"/>
    <s v="Non Family Hourly Rates"/>
    <s v="Advocacy"/>
    <s v="JS"/>
    <s v="Y"/>
    <n v="44.55"/>
    <n v="8.91"/>
    <x v="4"/>
    <s v="VALIDATED"/>
    <n v="1"/>
    <s v="01.11.80.210.6100.0000"/>
    <n v="44.55"/>
    <s v="11"/>
    <s v="6100"/>
    <n v="12659.16"/>
    <n v="44.55"/>
    <s v="CREDITOR"/>
    <n v="0"/>
    <n v="0"/>
    <n v="0"/>
    <n v="0"/>
    <n v="44.55"/>
  </r>
  <r>
    <n v="56440931"/>
    <s v="N"/>
    <n v="21338241"/>
    <s v="3000013433190002"/>
    <s v="CIVIL"/>
    <d v="2023-06-26T00:00:00"/>
    <d v="2023-07-06T19:21:01"/>
    <m/>
    <d v="2023-07-06T00:00:00"/>
    <n v="1586"/>
    <n v="15796"/>
    <s v="56440931"/>
    <s v="56440931"/>
    <m/>
    <m/>
    <n v="22762082"/>
    <m/>
    <m/>
    <m/>
    <s v="SOLFIN"/>
    <s v="SOLFIN"/>
    <s v="CCMS"/>
    <n v="21338241"/>
    <n v="2471.98"/>
    <m/>
    <s v="N"/>
    <n v="34"/>
    <d v="2023-07-06T19:21:13"/>
    <s v="Y"/>
    <s v="Advocacy - Other Hearing"/>
    <s v="Non Family Hourly Rates"/>
    <s v="Advocacy"/>
    <s v="BT"/>
    <s v="Y"/>
    <n v="29.7"/>
    <n v="5.94"/>
    <x v="4"/>
    <s v="VALIDATED"/>
    <n v="1"/>
    <s v="01.11.80.210.6100.0000"/>
    <n v="29.7"/>
    <s v="11"/>
    <s v="6100"/>
    <n v="12659.16"/>
    <n v="29.7"/>
    <s v="CREDITOR"/>
    <n v="0"/>
    <n v="0"/>
    <n v="0"/>
    <n v="0"/>
    <n v="29.7"/>
  </r>
  <r>
    <n v="56440931"/>
    <s v="N"/>
    <n v="21338241"/>
    <s v="3000013433190002"/>
    <s v="CIVIL"/>
    <d v="2023-06-26T00:00:00"/>
    <d v="2023-07-06T19:21:01"/>
    <m/>
    <d v="2023-07-06T00:00:00"/>
    <n v="1586"/>
    <n v="15796"/>
    <s v="56440931"/>
    <s v="56440931"/>
    <m/>
    <m/>
    <n v="22762082"/>
    <m/>
    <m/>
    <m/>
    <s v="SOLFIN"/>
    <s v="SOLFIN"/>
    <s v="CCMS"/>
    <n v="21338241"/>
    <n v="2471.98"/>
    <m/>
    <s v="N"/>
    <n v="10"/>
    <d v="2023-07-06T19:21:13"/>
    <s v="Y"/>
    <s v="Preparation - drafting notice(s)"/>
    <s v="Non Family Hourly Rates"/>
    <s v="Profit Cost"/>
    <s v="JOS"/>
    <s v="Y"/>
    <n v="5.94"/>
    <n v="1.19"/>
    <x v="4"/>
    <s v="VALIDATED"/>
    <n v="1"/>
    <s v="01.11.80.210.6100.0000"/>
    <n v="5.94"/>
    <s v="11"/>
    <s v="6100"/>
    <n v="12659.16"/>
    <n v="5.94"/>
    <s v="CREDITOR"/>
    <n v="0"/>
    <n v="0"/>
    <n v="0"/>
    <n v="0"/>
    <n v="5.94"/>
  </r>
  <r>
    <n v="54248104"/>
    <s v="N"/>
    <n v="21350007"/>
    <s v="3000012922770007"/>
    <s v="CIVIL"/>
    <d v="2023-06-28T00:00:00"/>
    <d v="2023-07-10T19:01:40"/>
    <m/>
    <d v="2023-07-10T00:00:00"/>
    <n v="1586"/>
    <n v="15796"/>
    <s v="54248104"/>
    <s v="54248104"/>
    <m/>
    <m/>
    <n v="22779004"/>
    <m/>
    <m/>
    <m/>
    <s v="SOLFIN"/>
    <s v="SOLFIN"/>
    <s v="CCMS"/>
    <n v="21350007"/>
    <n v="4461.01"/>
    <m/>
    <s v="N"/>
    <n v="69"/>
    <d v="2023-07-10T19:02:09"/>
    <s v="Y"/>
    <s v="Routine Letter Out"/>
    <s v="Non Family Hourly Rates"/>
    <s v="Profit Cost"/>
    <s v="JS"/>
    <s v="Y"/>
    <n v="297"/>
    <n v="59.4"/>
    <x v="2"/>
    <s v="VALIDATED"/>
    <n v="1"/>
    <s v="01.11.80.208.6100.0000"/>
    <n v="297"/>
    <s v="11"/>
    <s v="6100"/>
    <n v="12659.16"/>
    <n v="297"/>
    <s v="CREDITOR"/>
    <n v="0"/>
    <n v="0"/>
    <n v="0"/>
    <n v="0"/>
    <n v="297"/>
  </r>
  <r>
    <n v="54248104"/>
    <s v="N"/>
    <n v="21350007"/>
    <s v="3000012922770007"/>
    <s v="CIVIL"/>
    <d v="2023-06-28T00:00:00"/>
    <d v="2023-07-10T19:01:40"/>
    <m/>
    <d v="2023-07-10T00:00:00"/>
    <n v="1586"/>
    <n v="15796"/>
    <s v="54248104"/>
    <s v="54248104"/>
    <m/>
    <m/>
    <n v="22779004"/>
    <m/>
    <m/>
    <m/>
    <s v="SOLFIN"/>
    <s v="SOLFIN"/>
    <s v="CCMS"/>
    <n v="21350007"/>
    <n v="4461.01"/>
    <m/>
    <s v="N"/>
    <n v="45"/>
    <d v="2023-07-10T19:02:09"/>
    <s v="Y"/>
    <s v="Preparation - other"/>
    <s v="Non Family Hourly Rates"/>
    <s v="Profit Cost"/>
    <s v="JS"/>
    <s v="Y"/>
    <n v="178.2"/>
    <n v="35.64"/>
    <x v="2"/>
    <s v="VALIDATED"/>
    <n v="1"/>
    <s v="01.11.80.208.6100.0000"/>
    <n v="178.2"/>
    <s v="11"/>
    <s v="6100"/>
    <n v="12659.16"/>
    <n v="178.2"/>
    <s v="CREDITOR"/>
    <n v="0"/>
    <n v="0"/>
    <n v="0"/>
    <n v="0"/>
    <n v="178.2"/>
  </r>
  <r>
    <n v="56440931"/>
    <s v="N"/>
    <n v="21338241"/>
    <s v="3000013433190002"/>
    <s v="CIVIL"/>
    <d v="2023-06-26T00:00:00"/>
    <d v="2023-07-06T19:21:01"/>
    <m/>
    <d v="2023-07-06T00:00:00"/>
    <n v="1586"/>
    <n v="15796"/>
    <s v="56440931"/>
    <s v="56440931"/>
    <m/>
    <m/>
    <n v="22762082"/>
    <m/>
    <m/>
    <m/>
    <s v="SOLFIN"/>
    <s v="SOLFIN"/>
    <s v="CCMS"/>
    <n v="21338241"/>
    <n v="2471.98"/>
    <m/>
    <s v="N"/>
    <n v="44"/>
    <d v="2023-07-06T19:21:13"/>
    <s v="Y"/>
    <s v="Preparation - other"/>
    <s v="Non Family Hourly Rates"/>
    <s v="Profit Cost"/>
    <s v="JOS"/>
    <s v="Y"/>
    <n v="11.88"/>
    <n v="2.38"/>
    <x v="4"/>
    <s v="VALIDATED"/>
    <n v="1"/>
    <s v="01.11.80.210.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41"/>
    <d v="2023-07-06T19:21:13"/>
    <s v="Y"/>
    <s v="Preparation - other"/>
    <s v="Non Family Hourly Rates"/>
    <s v="Profit Cost"/>
    <s v="JOS"/>
    <s v="Y"/>
    <n v="37.13"/>
    <n v="7.43"/>
    <x v="4"/>
    <s v="VALIDATED"/>
    <n v="1"/>
    <s v="01.11.80.210.6100.0000"/>
    <n v="37.13"/>
    <s v="11"/>
    <s v="6100"/>
    <n v="12659.16"/>
    <n v="37.13"/>
    <s v="CREDITOR"/>
    <n v="0"/>
    <n v="0"/>
    <n v="0"/>
    <n v="0"/>
    <n v="37.13"/>
  </r>
  <r>
    <n v="54248104"/>
    <s v="N"/>
    <n v="21350007"/>
    <s v="3000012922770007"/>
    <s v="CIVIL"/>
    <d v="2023-06-28T00:00:00"/>
    <d v="2023-07-10T19:01:40"/>
    <m/>
    <d v="2023-07-10T00:00:00"/>
    <n v="1586"/>
    <n v="15796"/>
    <s v="54248104"/>
    <s v="54248104"/>
    <m/>
    <m/>
    <n v="22779004"/>
    <m/>
    <m/>
    <m/>
    <s v="SOLFIN"/>
    <s v="SOLFIN"/>
    <s v="CCMS"/>
    <n v="21350007"/>
    <n v="4461.01"/>
    <m/>
    <s v="N"/>
    <n v="59"/>
    <d v="2023-07-10T19:02:09"/>
    <s v="Y"/>
    <s v="Preparation - other"/>
    <s v="Non Family Hourly Rates"/>
    <s v="Profit Cost"/>
    <s v="BT"/>
    <s v="Y"/>
    <n v="5.94"/>
    <n v="1.19"/>
    <x v="2"/>
    <s v="VALIDATED"/>
    <n v="1"/>
    <s v="01.11.80.208.6100.0000"/>
    <n v="5.94"/>
    <s v="11"/>
    <s v="6100"/>
    <n v="12659.16"/>
    <n v="5.94"/>
    <s v="CREDITOR"/>
    <n v="0"/>
    <n v="0"/>
    <n v="0"/>
    <n v="0"/>
    <n v="5.94"/>
  </r>
  <r>
    <n v="54249002"/>
    <s v="N"/>
    <n v="21344014"/>
    <s v="3000012924670002"/>
    <s v="CIVIL"/>
    <d v="2023-06-28T00:00:00"/>
    <d v="2023-07-07T19:03:00"/>
    <m/>
    <d v="2023-07-07T00:00:00"/>
    <n v="1586"/>
    <n v="15796"/>
    <s v="54249002"/>
    <s v="54249002"/>
    <m/>
    <m/>
    <n v="22778978"/>
    <m/>
    <m/>
    <m/>
    <s v="SOLFIN"/>
    <s v="SOLFIN"/>
    <s v="CCMS"/>
    <n v="21344014"/>
    <n v="3560.34"/>
    <m/>
    <s v="N"/>
    <n v="49"/>
    <d v="2023-07-07T19:03:20"/>
    <s v="Y"/>
    <s v="Preparation - other"/>
    <s v="Non Family Hourly Rates"/>
    <s v="Profit Cost"/>
    <s v="JS"/>
    <s v="Y"/>
    <n v="44.55"/>
    <n v="8.91"/>
    <x v="9"/>
    <s v="VALIDATED"/>
    <n v="1"/>
    <s v="01.11.80.208.6100.0000"/>
    <n v="44.55"/>
    <s v="11"/>
    <s v="6100"/>
    <n v="12659.16"/>
    <n v="44.55"/>
    <s v="CREDITOR"/>
    <n v="0"/>
    <n v="0"/>
    <n v="0"/>
    <n v="0"/>
    <n v="44.55"/>
  </r>
  <r>
    <n v="54249002"/>
    <s v="N"/>
    <n v="21344014"/>
    <s v="3000012924670002"/>
    <s v="CIVIL"/>
    <d v="2023-06-28T00:00:00"/>
    <d v="2023-07-07T19:03:00"/>
    <m/>
    <d v="2023-07-07T00:00:00"/>
    <n v="1586"/>
    <n v="15796"/>
    <s v="54249002"/>
    <s v="54249002"/>
    <m/>
    <m/>
    <n v="22778978"/>
    <m/>
    <m/>
    <m/>
    <s v="SOLFIN"/>
    <s v="SOLFIN"/>
    <s v="CCMS"/>
    <n v="21344014"/>
    <n v="3560.34"/>
    <m/>
    <s v="N"/>
    <n v="12"/>
    <d v="2023-07-07T19:03:20"/>
    <s v="Y"/>
    <s v="Preparation - other"/>
    <s v="Non Family Hourly Rates"/>
    <s v="Profit Cost"/>
    <s v="BT"/>
    <s v="Y"/>
    <n v="11.88"/>
    <n v="2.38"/>
    <x v="9"/>
    <s v="VALIDATED"/>
    <n v="1"/>
    <s v="01.11.80.208.6100.0000"/>
    <n v="11.88"/>
    <s v="11"/>
    <s v="6100"/>
    <n v="12659.16"/>
    <n v="11.88"/>
    <s v="CREDITOR"/>
    <n v="0"/>
    <n v="0"/>
    <n v="0"/>
    <n v="0"/>
    <n v="11.88"/>
  </r>
  <r>
    <n v="54249002"/>
    <s v="N"/>
    <n v="21344014"/>
    <s v="3000012924670002"/>
    <s v="CIVIL"/>
    <d v="2023-06-28T00:00:00"/>
    <d v="2023-07-07T19:03:00"/>
    <m/>
    <d v="2023-07-07T00:00:00"/>
    <n v="1586"/>
    <n v="15796"/>
    <s v="54249002"/>
    <s v="54249002"/>
    <m/>
    <m/>
    <n v="22778978"/>
    <m/>
    <m/>
    <m/>
    <s v="SOLFIN"/>
    <s v="SOLFIN"/>
    <s v="CCMS"/>
    <n v="21344014"/>
    <n v="3560.34"/>
    <m/>
    <s v="N"/>
    <n v="25"/>
    <d v="2023-07-07T19:03:20"/>
    <s v="Y"/>
    <s v="Attendance upon client"/>
    <s v="Non Family Hourly Rates"/>
    <s v="Profit Cost"/>
    <s v="JS"/>
    <s v="Y"/>
    <n v="17.82"/>
    <n v="3.56"/>
    <x v="9"/>
    <s v="VALIDATED"/>
    <n v="1"/>
    <s v="01.11.80.208.6100.0000"/>
    <n v="17.82"/>
    <s v="11"/>
    <s v="6100"/>
    <n v="12659.16"/>
    <n v="17.82"/>
    <s v="CREDITOR"/>
    <n v="0"/>
    <n v="0"/>
    <n v="0"/>
    <n v="0"/>
    <n v="17.82"/>
  </r>
  <r>
    <n v="56440931"/>
    <s v="N"/>
    <n v="21338241"/>
    <s v="3000013433190002"/>
    <s v="CIVIL"/>
    <d v="2023-06-26T00:00:00"/>
    <d v="2023-07-06T19:21:01"/>
    <m/>
    <d v="2023-07-06T00:00:00"/>
    <n v="1586"/>
    <n v="15796"/>
    <s v="56440931"/>
    <s v="56440931"/>
    <m/>
    <m/>
    <n v="22762082"/>
    <m/>
    <m/>
    <m/>
    <s v="SOLFIN"/>
    <s v="SOLFIN"/>
    <s v="CCMS"/>
    <n v="21338241"/>
    <n v="2471.98"/>
    <m/>
    <s v="N"/>
    <n v="20"/>
    <d v="2023-07-06T19:21:13"/>
    <s v="Y"/>
    <s v="Attendance upon client"/>
    <s v="Non Family Hourly Rates"/>
    <s v="Profit Cost"/>
    <s v="JOS"/>
    <s v="Y"/>
    <n v="22.28"/>
    <n v="4.46"/>
    <x v="4"/>
    <s v="VALIDATED"/>
    <n v="1"/>
    <s v="01.11.80.210.6100.0000"/>
    <n v="22.28"/>
    <s v="11"/>
    <s v="6100"/>
    <n v="12659.16"/>
    <n v="22.28"/>
    <s v="CREDITOR"/>
    <n v="0"/>
    <n v="0"/>
    <n v="0"/>
    <n v="0"/>
    <n v="22.28"/>
  </r>
  <r>
    <n v="59541029"/>
    <s v="N"/>
    <n v="21337717"/>
    <s v="3000013946150003"/>
    <s v="CIVIL"/>
    <d v="2023-06-27T00:00:00"/>
    <d v="2023-07-06T19:21:01"/>
    <m/>
    <d v="2023-07-06T00:00:00"/>
    <n v="1586"/>
    <n v="15796"/>
    <s v="59541029"/>
    <s v="59541029"/>
    <m/>
    <m/>
    <n v="22772024"/>
    <m/>
    <m/>
    <m/>
    <s v="SOLFIN"/>
    <s v="SOLFIN"/>
    <s v="CCMS"/>
    <n v="21337717"/>
    <n v="1714.78"/>
    <m/>
    <s v="N"/>
    <n v="26"/>
    <d v="2023-07-06T19:21:05"/>
    <s v="Y"/>
    <s v="Routine Letter Out"/>
    <s v="Non Family Hourly Rates"/>
    <s v="Profit Cost"/>
    <s v="JS"/>
    <s v="Y"/>
    <n v="100.98"/>
    <n v="20.2"/>
    <x v="4"/>
    <s v="VALIDATED"/>
    <n v="1"/>
    <s v="01.11.80.208.6100.0000"/>
    <n v="100.98"/>
    <s v="11"/>
    <s v="6100"/>
    <n v="12659.16"/>
    <n v="100.98"/>
    <s v="CREDITOR"/>
    <n v="0"/>
    <n v="0"/>
    <n v="0"/>
    <n v="0"/>
    <n v="100.98"/>
  </r>
  <r>
    <n v="54249002"/>
    <s v="N"/>
    <n v="21344014"/>
    <s v="3000012924670002"/>
    <s v="CIVIL"/>
    <d v="2023-06-28T00:00:00"/>
    <d v="2023-07-07T19:03:00"/>
    <m/>
    <d v="2023-07-07T00:00:00"/>
    <n v="1586"/>
    <n v="15796"/>
    <s v="54249002"/>
    <s v="54249002"/>
    <m/>
    <m/>
    <n v="22778978"/>
    <m/>
    <m/>
    <m/>
    <s v="SOLFIN"/>
    <s v="SOLFIN"/>
    <s v="CCMS"/>
    <n v="21344014"/>
    <n v="3560.34"/>
    <m/>
    <s v="N"/>
    <n v="11"/>
    <d v="2023-07-07T19:03:20"/>
    <s v="Y"/>
    <s v="Preparation - other"/>
    <s v="Non Family Hourly Rates"/>
    <s v="Profit Cost"/>
    <s v="JS"/>
    <s v="Y"/>
    <n v="31.19"/>
    <n v="6.24"/>
    <x v="9"/>
    <s v="VALIDATED"/>
    <n v="1"/>
    <s v="01.11.80.208.6100.0000"/>
    <n v="31.19"/>
    <s v="11"/>
    <s v="6100"/>
    <n v="12659.16"/>
    <n v="31.19"/>
    <s v="CREDITOR"/>
    <n v="0"/>
    <n v="0"/>
    <n v="0"/>
    <n v="0"/>
    <n v="31.19"/>
  </r>
  <r>
    <n v="54249002"/>
    <s v="N"/>
    <n v="21344014"/>
    <s v="3000012924670002"/>
    <s v="CIVIL"/>
    <d v="2023-06-28T00:00:00"/>
    <d v="2023-07-07T19:03:00"/>
    <m/>
    <d v="2023-07-07T00:00:00"/>
    <n v="1586"/>
    <n v="15796"/>
    <s v="54249002"/>
    <s v="54249002"/>
    <m/>
    <m/>
    <n v="22778978"/>
    <m/>
    <m/>
    <m/>
    <s v="SOLFIN"/>
    <s v="SOLFIN"/>
    <s v="CCMS"/>
    <n v="21344014"/>
    <n v="3560.34"/>
    <m/>
    <s v="N"/>
    <n v="40"/>
    <d v="2023-07-07T19:03:20"/>
    <s v="Y"/>
    <s v="Preparation - drafting application"/>
    <s v="Non Family Hourly Rates"/>
    <s v="Profit Cost"/>
    <s v="JS"/>
    <s v="Y"/>
    <n v="89.09999999999999"/>
    <n v="17.82"/>
    <x v="9"/>
    <s v="VALIDATED"/>
    <n v="1"/>
    <s v="01.11.80.208.6100.0000"/>
    <n v="89.09999999999999"/>
    <s v="11"/>
    <s v="6100"/>
    <n v="12659.16"/>
    <n v="89.09999999999999"/>
    <s v="CREDITOR"/>
    <n v="0"/>
    <n v="0"/>
    <n v="0"/>
    <n v="0"/>
    <n v="89.09999999999999"/>
  </r>
  <r>
    <n v="54248104"/>
    <s v="N"/>
    <n v="21350007"/>
    <s v="3000012922770007"/>
    <s v="CIVIL"/>
    <d v="2023-06-28T00:00:00"/>
    <d v="2023-07-10T19:01:40"/>
    <m/>
    <d v="2023-07-10T00:00:00"/>
    <n v="1586"/>
    <n v="15796"/>
    <s v="54248104"/>
    <s v="54248104"/>
    <m/>
    <m/>
    <n v="22779004"/>
    <m/>
    <m/>
    <m/>
    <s v="SOLFIN"/>
    <s v="SOLFIN"/>
    <s v="CCMS"/>
    <n v="21350007"/>
    <n v="4461.01"/>
    <m/>
    <s v="N"/>
    <n v="34"/>
    <d v="2023-07-10T19:02:09"/>
    <s v="Y"/>
    <s v="Preparation - other"/>
    <s v="Non Family Hourly Rates"/>
    <s v="Profit Cost"/>
    <s v="JS"/>
    <s v="Y"/>
    <n v="22.28"/>
    <n v="4.46"/>
    <x v="2"/>
    <s v="VALIDATED"/>
    <n v="1"/>
    <s v="01.11.80.208.6100.0000"/>
    <n v="22.28"/>
    <s v="11"/>
    <s v="6100"/>
    <n v="12659.16"/>
    <n v="22.28"/>
    <s v="CREDITOR"/>
    <n v="0"/>
    <n v="0"/>
    <n v="0"/>
    <n v="0"/>
    <n v="22.28"/>
  </r>
  <r>
    <n v="54248104"/>
    <s v="N"/>
    <n v="21350007"/>
    <s v="3000012922770007"/>
    <s v="CIVIL"/>
    <d v="2023-06-28T00:00:00"/>
    <d v="2023-07-10T19:01:40"/>
    <m/>
    <d v="2023-07-10T00:00:00"/>
    <n v="1586"/>
    <n v="15796"/>
    <s v="54248104"/>
    <s v="54248104"/>
    <m/>
    <m/>
    <n v="22779004"/>
    <m/>
    <m/>
    <m/>
    <s v="SOLFIN"/>
    <s v="SOLFIN"/>
    <s v="CCMS"/>
    <n v="21350007"/>
    <n v="4461.01"/>
    <m/>
    <s v="N"/>
    <n v="50"/>
    <d v="2023-07-10T19:02:09"/>
    <s v="Y"/>
    <s v="Preparation - drafting application"/>
    <s v="Non Family Hourly Rates"/>
    <s v="Profit Cost"/>
    <s v="JS"/>
    <s v="Y"/>
    <n v="89.09999999999999"/>
    <n v="17.82"/>
    <x v="2"/>
    <s v="VALIDATED"/>
    <n v="1"/>
    <s v="01.11.80.208.6100.0000"/>
    <n v="89.09999999999999"/>
    <s v="11"/>
    <s v="6100"/>
    <n v="12659.16"/>
    <n v="89.09999999999999"/>
    <s v="CREDITOR"/>
    <n v="0"/>
    <n v="0"/>
    <n v="0"/>
    <n v="0"/>
    <n v="89.09999999999999"/>
  </r>
  <r>
    <n v="54249002"/>
    <s v="N"/>
    <n v="21344014"/>
    <s v="3000012924670002"/>
    <s v="CIVIL"/>
    <d v="2023-06-28T00:00:00"/>
    <d v="2023-07-07T19:03:00"/>
    <m/>
    <d v="2023-07-07T00:00:00"/>
    <n v="1586"/>
    <n v="15796"/>
    <s v="54249002"/>
    <s v="54249002"/>
    <m/>
    <m/>
    <n v="22778978"/>
    <m/>
    <m/>
    <m/>
    <s v="SOLFIN"/>
    <s v="SOLFIN"/>
    <s v="CCMS"/>
    <n v="21344014"/>
    <n v="3560.34"/>
    <m/>
    <s v="N"/>
    <n v="58"/>
    <d v="2023-07-07T19:03:20"/>
    <s v="Y"/>
    <s v="Routine Telephone Call"/>
    <s v="Non Family Hourly Rates"/>
    <s v="Profit Cost"/>
    <s v="JS"/>
    <s v="Y"/>
    <n v="3.29"/>
    <n v="0.66"/>
    <x v="9"/>
    <s v="VALIDATED"/>
    <n v="1"/>
    <s v="01.11.80.208.6100.0000"/>
    <n v="3.29"/>
    <s v="11"/>
    <s v="6100"/>
    <n v="12659.16"/>
    <n v="3.29"/>
    <s v="CREDITOR"/>
    <n v="0"/>
    <n v="0"/>
    <n v="0"/>
    <n v="0"/>
    <n v="3.29"/>
  </r>
  <r>
    <n v="54249002"/>
    <s v="N"/>
    <n v="21344014"/>
    <s v="3000012924670002"/>
    <s v="CIVIL"/>
    <d v="2023-06-28T00:00:00"/>
    <d v="2023-07-07T19:03:00"/>
    <m/>
    <d v="2023-07-07T00:00:00"/>
    <n v="1586"/>
    <n v="15796"/>
    <s v="54249002"/>
    <s v="54249002"/>
    <m/>
    <m/>
    <n v="22778978"/>
    <m/>
    <m/>
    <m/>
    <s v="SOLFIN"/>
    <s v="SOLFIN"/>
    <s v="CCMS"/>
    <n v="21344014"/>
    <n v="3560.34"/>
    <m/>
    <s v="N"/>
    <n v="59"/>
    <d v="2023-07-07T19:03:20"/>
    <s v="Y"/>
    <s v="Routine Letter Out"/>
    <s v="Non Family Hourly Rates"/>
    <s v="Profit Cost"/>
    <s v="JS"/>
    <s v="Y"/>
    <n v="297"/>
    <n v="59.4"/>
    <x v="9"/>
    <s v="VALIDATED"/>
    <n v="1"/>
    <s v="01.11.80.208.6100.0000"/>
    <n v="297"/>
    <s v="11"/>
    <s v="6100"/>
    <n v="12659.16"/>
    <n v="297"/>
    <s v="CREDITOR"/>
    <n v="0"/>
    <n v="0"/>
    <n v="0"/>
    <n v="0"/>
    <n v="297"/>
  </r>
  <r>
    <n v="59635013"/>
    <s v="N"/>
    <n v="21338340"/>
    <s v="3000014025420005"/>
    <s v="CIVIL"/>
    <d v="2023-06-22T00:00:00"/>
    <d v="2023-07-06T19:21:01"/>
    <m/>
    <d v="2023-07-06T00:00:00"/>
    <n v="1586"/>
    <n v="15796"/>
    <s v="59635013"/>
    <s v="59635013"/>
    <m/>
    <m/>
    <n v="22745166"/>
    <m/>
    <m/>
    <m/>
    <s v="SOLFIN"/>
    <s v="SOLFIN"/>
    <s v="CCMS"/>
    <n v="21338340"/>
    <n v="9250.26"/>
    <m/>
    <s v="N"/>
    <n v="69"/>
    <d v="2023-07-06T19:21:20"/>
    <s v="Y"/>
    <s v="Preparation - other"/>
    <s v="Non Family Hourly Rates"/>
    <s v="Profit Cost"/>
    <s v="JS"/>
    <s v="Y"/>
    <n v="11.88"/>
    <n v="2.38"/>
    <x v="4"/>
    <s v="VALIDATED"/>
    <n v="1"/>
    <s v="01.11.80.210.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50"/>
    <d v="2023-07-06T19:21:13"/>
    <s v="Y"/>
    <s v="Routine Letter Out"/>
    <s v="Non Family Hourly Rates"/>
    <s v="Profit Cost"/>
    <s v="NP"/>
    <s v="Y"/>
    <n v="5.94"/>
    <n v="1.19"/>
    <x v="4"/>
    <s v="VALIDATED"/>
    <n v="1"/>
    <s v="01.11.80.210.6100.0000"/>
    <n v="5.94"/>
    <s v="11"/>
    <s v="6100"/>
    <n v="12659.16"/>
    <n v="5.94"/>
    <s v="CREDITOR"/>
    <n v="0"/>
    <n v="0"/>
    <n v="0"/>
    <n v="0"/>
    <n v="5.94"/>
  </r>
  <r>
    <n v="56440931"/>
    <s v="N"/>
    <n v="21338241"/>
    <s v="3000013433190002"/>
    <s v="CIVIL"/>
    <d v="2023-06-26T00:00:00"/>
    <d v="2023-07-06T19:21:01"/>
    <m/>
    <d v="2023-07-06T00:00:00"/>
    <n v="1586"/>
    <n v="15796"/>
    <s v="56440931"/>
    <s v="56440931"/>
    <m/>
    <m/>
    <n v="22762082"/>
    <m/>
    <m/>
    <m/>
    <s v="SOLFIN"/>
    <s v="SOLFIN"/>
    <s v="CCMS"/>
    <n v="21338241"/>
    <n v="2471.98"/>
    <m/>
    <s v="N"/>
    <n v="40"/>
    <d v="2023-07-06T19:21:13"/>
    <s v="Y"/>
    <s v="Preparation - other"/>
    <s v="Non Family Hourly Rates"/>
    <s v="Profit Cost"/>
    <s v="JOS"/>
    <s v="Y"/>
    <n v="14.85"/>
    <n v="2.97"/>
    <x v="4"/>
    <s v="VALIDATED"/>
    <n v="1"/>
    <s v="01.11.80.210.6100.0000"/>
    <n v="14.85"/>
    <s v="11"/>
    <s v="6100"/>
    <n v="12659.16"/>
    <n v="14.85"/>
    <s v="CREDITOR"/>
    <n v="0"/>
    <n v="0"/>
    <n v="0"/>
    <n v="0"/>
    <n v="14.85"/>
  </r>
  <r>
    <n v="62189765"/>
    <s v="N"/>
    <n v="21331338"/>
    <s v="3000016199330001"/>
    <s v="CIVIL"/>
    <d v="2023-06-20T00:00:00"/>
    <d v="2023-07-05T19:01:47"/>
    <m/>
    <d v="2023-07-05T00:00:00"/>
    <n v="1586"/>
    <n v="15796"/>
    <s v="62189765"/>
    <s v="62189765"/>
    <m/>
    <m/>
    <n v="22723464"/>
    <m/>
    <m/>
    <m/>
    <s v="SOLFIN"/>
    <s v="SOLFIN"/>
    <s v="CCMS"/>
    <n v="21331338"/>
    <n v="0"/>
    <m/>
    <s v="N"/>
    <n v="1"/>
    <d v="2023-07-05T19:02:15"/>
    <s v="N"/>
    <s v="NIL BILL"/>
    <s v="Non Family Hourly Rates"/>
    <s v="Profit Cost"/>
    <s v="BET"/>
    <s v="N"/>
    <n v="0"/>
    <n v="0"/>
    <x v="6"/>
    <s v="VALIDATED"/>
    <n v="1"/>
    <s v="01.11.80.208.6100.0000"/>
    <n v="0"/>
    <s v="11"/>
    <s v="6100"/>
    <n v="12659.16"/>
    <n v="0"/>
    <s v="CREDITOR"/>
    <n v="0"/>
    <n v="0"/>
    <n v="0"/>
    <n v="0"/>
    <n v="0"/>
  </r>
  <r>
    <n v="10087452"/>
    <s v="N"/>
    <n v="21391928"/>
    <s v="3000005965680003"/>
    <s v="CIVIL"/>
    <d v="2023-06-28T00:00:00"/>
    <d v="2023-07-18T19:00:27"/>
    <m/>
    <d v="2023-07-18T00:00:00"/>
    <n v="1586"/>
    <n v="15796"/>
    <s v="10087452"/>
    <s v="10087452"/>
    <m/>
    <m/>
    <n v="22777604"/>
    <m/>
    <m/>
    <m/>
    <s v="SOLFIN"/>
    <s v="SOLFIN"/>
    <s v="CCMS"/>
    <n v="21391928"/>
    <n v="1623.53"/>
    <m/>
    <s v="N"/>
    <n v="6"/>
    <d v="2023-07-18T19:00:33"/>
    <s v="Y"/>
    <s v="Preparation - other"/>
    <s v="Non Family Hourly Rates"/>
    <s v="Profit Cost"/>
    <s v="BT"/>
    <s v="Y"/>
    <n v="89.09999999999999"/>
    <n v="17.82"/>
    <x v="14"/>
    <s v="VALIDATED"/>
    <n v="1"/>
    <s v="01.11.80.208.6100.0000"/>
    <n v="89.09999999999999"/>
    <s v="11"/>
    <s v="6100"/>
    <n v="12659.16"/>
    <n v="89.09999999999999"/>
    <s v="CREDITOR"/>
    <n v="0"/>
    <n v="0"/>
    <n v="0"/>
    <n v="0"/>
    <n v="89.09999999999999"/>
  </r>
  <r>
    <n v="54248104"/>
    <s v="N"/>
    <n v="21350007"/>
    <s v="3000012922770007"/>
    <s v="CIVIL"/>
    <d v="2023-06-28T00:00:00"/>
    <d v="2023-07-10T19:01:40"/>
    <m/>
    <d v="2023-07-10T00:00:00"/>
    <n v="1586"/>
    <n v="15796"/>
    <s v="54248104"/>
    <s v="54248104"/>
    <m/>
    <m/>
    <n v="22779004"/>
    <m/>
    <m/>
    <m/>
    <s v="SOLFIN"/>
    <s v="SOLFIN"/>
    <s v="CCMS"/>
    <n v="21350007"/>
    <n v="4461.01"/>
    <m/>
    <s v="N"/>
    <n v="66"/>
    <d v="2023-07-10T19:02:09"/>
    <s v="Y"/>
    <s v="Preparation - drafting bill/claim f"/>
    <s v="Non Family Hourly Rates"/>
    <s v="Profit Cost"/>
    <s v="BT"/>
    <s v="Y"/>
    <n v="17.82"/>
    <n v="3.56"/>
    <x v="2"/>
    <s v="VALIDATED"/>
    <n v="1"/>
    <s v="01.11.80.208.6100.0000"/>
    <n v="17.82"/>
    <s v="11"/>
    <s v="6100"/>
    <n v="12659.16"/>
    <n v="17.82"/>
    <s v="CREDITOR"/>
    <n v="0"/>
    <n v="0"/>
    <n v="0"/>
    <n v="0"/>
    <n v="17.82"/>
  </r>
  <r>
    <n v="54249002"/>
    <s v="N"/>
    <n v="21344014"/>
    <s v="3000012924670002"/>
    <s v="CIVIL"/>
    <d v="2023-06-28T00:00:00"/>
    <d v="2023-07-07T19:03:00"/>
    <m/>
    <d v="2023-07-07T00:00:00"/>
    <n v="1586"/>
    <n v="15796"/>
    <s v="54249002"/>
    <s v="54249002"/>
    <m/>
    <m/>
    <n v="22778978"/>
    <m/>
    <m/>
    <m/>
    <s v="SOLFIN"/>
    <s v="SOLFIN"/>
    <s v="CCMS"/>
    <n v="21344014"/>
    <n v="3560.34"/>
    <m/>
    <s v="N"/>
    <n v="29"/>
    <d v="2023-07-07T19:03:20"/>
    <s v="Y"/>
    <s v="Preparation - other"/>
    <s v="Non Family Hourly Rates"/>
    <s v="Profit Cost"/>
    <s v="JS"/>
    <s v="Y"/>
    <n v="13.37"/>
    <n v="2.67"/>
    <x v="9"/>
    <s v="VALIDATED"/>
    <n v="1"/>
    <s v="01.11.80.208.6100.0000"/>
    <n v="13.37"/>
    <s v="11"/>
    <s v="6100"/>
    <n v="12659.16"/>
    <n v="13.37"/>
    <s v="CREDITOR"/>
    <n v="0"/>
    <n v="0"/>
    <n v="0"/>
    <n v="0"/>
    <n v="13.37"/>
  </r>
  <r>
    <n v="56440931"/>
    <s v="N"/>
    <n v="21338241"/>
    <s v="3000013433190002"/>
    <s v="CIVIL"/>
    <d v="2023-06-26T00:00:00"/>
    <d v="2023-07-06T19:21:01"/>
    <m/>
    <d v="2023-07-06T00:00:00"/>
    <n v="1586"/>
    <n v="15796"/>
    <s v="56440931"/>
    <s v="56440931"/>
    <m/>
    <m/>
    <n v="22762082"/>
    <m/>
    <m/>
    <m/>
    <s v="SOLFIN"/>
    <s v="SOLFIN"/>
    <s v="CCMS"/>
    <n v="21338241"/>
    <n v="2471.98"/>
    <m/>
    <s v="N"/>
    <n v="12"/>
    <d v="2023-07-06T19:21:13"/>
    <s v="Y"/>
    <s v="Attendance upon other side"/>
    <s v="Non Family Hourly Rates"/>
    <s v="Profit Cost"/>
    <s v="JOS"/>
    <s v="Y"/>
    <n v="22.28"/>
    <n v="4.46"/>
    <x v="4"/>
    <s v="VALIDATED"/>
    <n v="1"/>
    <s v="01.11.80.210.6100.0000"/>
    <n v="22.28"/>
    <s v="11"/>
    <s v="6100"/>
    <n v="12659.16"/>
    <n v="22.28"/>
    <s v="CREDITOR"/>
    <n v="0"/>
    <n v="0"/>
    <n v="0"/>
    <n v="0"/>
    <n v="22.28"/>
  </r>
  <r>
    <n v="54248104"/>
    <s v="N"/>
    <n v="21350007"/>
    <s v="3000012922770007"/>
    <s v="CIVIL"/>
    <d v="2023-06-28T00:00:00"/>
    <d v="2023-07-10T19:01:40"/>
    <m/>
    <d v="2023-07-10T00:00:00"/>
    <n v="1586"/>
    <n v="15796"/>
    <s v="54248104"/>
    <s v="54248104"/>
    <m/>
    <m/>
    <n v="22779004"/>
    <m/>
    <m/>
    <m/>
    <s v="SOLFIN"/>
    <s v="SOLFIN"/>
    <s v="CCMS"/>
    <n v="21350007"/>
    <n v="4461.01"/>
    <m/>
    <s v="N"/>
    <n v="7"/>
    <d v="2023-07-10T19:02:09"/>
    <s v="Y"/>
    <s v="Preparation - drafting pleadings"/>
    <s v="Non Family Hourly Rates"/>
    <s v="Profit Cost"/>
    <s v="JS"/>
    <s v="Y"/>
    <n v="155.93"/>
    <n v="31.19"/>
    <x v="2"/>
    <s v="VALIDATED"/>
    <n v="1"/>
    <s v="01.11.80.208.6100.0000"/>
    <n v="155.93"/>
    <s v="11"/>
    <s v="6100"/>
    <n v="12659.16"/>
    <n v="155.93"/>
    <s v="CREDITOR"/>
    <n v="0"/>
    <n v="0"/>
    <n v="0"/>
    <n v="0"/>
    <n v="155.93"/>
  </r>
  <r>
    <n v="54248104"/>
    <s v="N"/>
    <n v="21350007"/>
    <s v="3000012922770007"/>
    <s v="CIVIL"/>
    <d v="2023-06-28T00:00:00"/>
    <d v="2023-07-10T19:01:40"/>
    <m/>
    <d v="2023-07-10T00:00:00"/>
    <n v="1586"/>
    <n v="15796"/>
    <s v="54248104"/>
    <s v="54248104"/>
    <m/>
    <m/>
    <n v="22779004"/>
    <m/>
    <m/>
    <m/>
    <s v="SOLFIN"/>
    <s v="SOLFIN"/>
    <s v="CCMS"/>
    <n v="21350007"/>
    <n v="4461.01"/>
    <m/>
    <s v="N"/>
    <n v="19"/>
    <d v="2023-07-10T19:02:09"/>
    <s v="Y"/>
    <s v="Preparation - other"/>
    <s v="Non Family Hourly Rates"/>
    <s v="Profit Cost"/>
    <s v="JS"/>
    <s v="Y"/>
    <n v="178.2"/>
    <n v="35.64"/>
    <x v="2"/>
    <s v="VALIDATED"/>
    <n v="1"/>
    <s v="01.11.80.208.6100.0000"/>
    <n v="178.2"/>
    <s v="11"/>
    <s v="6100"/>
    <n v="12659.16"/>
    <n v="178.2"/>
    <s v="CREDITOR"/>
    <n v="0"/>
    <n v="0"/>
    <n v="0"/>
    <n v="0"/>
    <n v="178.2"/>
  </r>
  <r>
    <n v="54248104"/>
    <s v="N"/>
    <n v="21350007"/>
    <s v="3000012922770007"/>
    <s v="CIVIL"/>
    <d v="2023-06-28T00:00:00"/>
    <d v="2023-07-10T19:01:40"/>
    <m/>
    <d v="2023-07-10T00:00:00"/>
    <n v="1586"/>
    <n v="15796"/>
    <s v="54248104"/>
    <s v="54248104"/>
    <m/>
    <m/>
    <n v="22779004"/>
    <m/>
    <m/>
    <m/>
    <s v="SOLFIN"/>
    <s v="SOLFIN"/>
    <s v="CCMS"/>
    <n v="21350007"/>
    <n v="4461.01"/>
    <m/>
    <s v="N"/>
    <n v="26"/>
    <d v="2023-07-10T19:02:09"/>
    <s v="Y"/>
    <s v="Preparation - other"/>
    <s v="Non Family Hourly Rates"/>
    <s v="Profit Cost"/>
    <s v="JS"/>
    <s v="Y"/>
    <n v="84.65000000000001"/>
    <n v="16.93"/>
    <x v="2"/>
    <s v="VALIDATED"/>
    <n v="1"/>
    <s v="01.11.80.208.6100.0000"/>
    <n v="84.65000000000001"/>
    <s v="11"/>
    <s v="6100"/>
    <n v="12659.16"/>
    <n v="84.65000000000001"/>
    <s v="CREDITOR"/>
    <n v="0"/>
    <n v="0"/>
    <n v="0"/>
    <n v="0"/>
    <n v="84.65000000000001"/>
  </r>
  <r>
    <n v="60553858"/>
    <s v="N"/>
    <n v="21343953"/>
    <s v="3000014821250002"/>
    <s v="CIVIL"/>
    <d v="2023-06-21T00:00:00"/>
    <d v="2023-07-07T19:03:00"/>
    <m/>
    <d v="2023-07-07T00:00:00"/>
    <n v="1586"/>
    <n v="15796"/>
    <s v="60553858"/>
    <s v="60553858"/>
    <m/>
    <m/>
    <n v="22733756"/>
    <m/>
    <m/>
    <m/>
    <s v="SOLFIN"/>
    <s v="SOLFIN"/>
    <s v="CCMS"/>
    <n v="21343953"/>
    <n v="3978.67"/>
    <m/>
    <s v="N"/>
    <n v="24"/>
    <d v="2023-07-07T19:03:18"/>
    <s v="Y"/>
    <s v="Attendance upon client"/>
    <s v="Non Family Hourly Rates"/>
    <s v="Profit Cost"/>
    <s v="BT"/>
    <s v="Y"/>
    <n v="35.64"/>
    <n v="7.13"/>
    <x v="9"/>
    <s v="VALIDATED"/>
    <n v="1"/>
    <s v="01.11.80.210.6100.0000"/>
    <n v="35.64"/>
    <s v="11"/>
    <s v="6100"/>
    <n v="12659.16"/>
    <n v="35.64"/>
    <s v="CREDITOR"/>
    <n v="0"/>
    <n v="0"/>
    <n v="0"/>
    <n v="0"/>
    <n v="35.64"/>
  </r>
  <r>
    <n v="54249002"/>
    <s v="N"/>
    <n v="21344014"/>
    <s v="3000012924670002"/>
    <s v="CIVIL"/>
    <d v="2023-06-28T00:00:00"/>
    <d v="2023-07-07T19:03:00"/>
    <m/>
    <d v="2023-07-07T00:00:00"/>
    <n v="1586"/>
    <n v="15796"/>
    <s v="54249002"/>
    <s v="54249002"/>
    <m/>
    <m/>
    <n v="22778978"/>
    <m/>
    <m/>
    <m/>
    <s v="SOLFIN"/>
    <s v="SOLFIN"/>
    <s v="CCMS"/>
    <n v="21344014"/>
    <n v="3560.34"/>
    <m/>
    <s v="N"/>
    <n v="52"/>
    <d v="2023-07-07T19:03:20"/>
    <s v="Y"/>
    <s v="Preparation - other"/>
    <s v="Non Family Hourly Rates"/>
    <s v="Profit Cost"/>
    <s v="BT"/>
    <s v="Y"/>
    <n v="11.88"/>
    <n v="2.38"/>
    <x v="9"/>
    <s v="VALIDATED"/>
    <n v="1"/>
    <s v="01.11.80.208.6100.0000"/>
    <n v="11.88"/>
    <s v="11"/>
    <s v="6100"/>
    <n v="12659.16"/>
    <n v="11.88"/>
    <s v="CREDITOR"/>
    <n v="0"/>
    <n v="0"/>
    <n v="0"/>
    <n v="0"/>
    <n v="11.88"/>
  </r>
  <r>
    <n v="60553858"/>
    <s v="N"/>
    <n v="21343953"/>
    <s v="3000014821250002"/>
    <s v="CIVIL"/>
    <d v="2023-06-21T00:00:00"/>
    <d v="2023-07-07T19:03:00"/>
    <m/>
    <d v="2023-07-07T00:00:00"/>
    <n v="1586"/>
    <n v="15796"/>
    <s v="60553858"/>
    <s v="60553858"/>
    <m/>
    <m/>
    <n v="22733756"/>
    <m/>
    <m/>
    <m/>
    <s v="SOLFIN"/>
    <s v="SOLFIN"/>
    <s v="CCMS"/>
    <n v="21343953"/>
    <n v="3978.67"/>
    <m/>
    <s v="N"/>
    <n v="3"/>
    <d v="2023-07-07T19:03:18"/>
    <s v="Y"/>
    <s v="Preparation - other"/>
    <s v="Non Family Hourly Rates"/>
    <s v="Profit Cost"/>
    <s v="BT"/>
    <s v="Y"/>
    <n v="588.0599999999999"/>
    <n v="117.59"/>
    <x v="9"/>
    <s v="VALIDATED"/>
    <n v="1"/>
    <s v="01.11.80.210.6100.0000"/>
    <n v="588.0599999999999"/>
    <s v="11"/>
    <s v="6100"/>
    <n v="12659.16"/>
    <n v="588.0599999999999"/>
    <s v="CREDITOR"/>
    <n v="0"/>
    <n v="0"/>
    <n v="0"/>
    <n v="0"/>
    <n v="588.0599999999999"/>
  </r>
  <r>
    <n v="59541029"/>
    <s v="N"/>
    <n v="21337717"/>
    <s v="3000013946150003"/>
    <s v="CIVIL"/>
    <d v="2023-06-27T00:00:00"/>
    <d v="2023-07-06T19:21:01"/>
    <m/>
    <d v="2023-07-06T00:00:00"/>
    <n v="1586"/>
    <n v="15796"/>
    <s v="59541029"/>
    <s v="59541029"/>
    <m/>
    <m/>
    <n v="22772024"/>
    <m/>
    <m/>
    <m/>
    <s v="SOLFIN"/>
    <s v="SOLFIN"/>
    <s v="CCMS"/>
    <n v="21337717"/>
    <n v="1714.78"/>
    <m/>
    <s v="N"/>
    <n v="11"/>
    <d v="2023-07-06T19:21:05"/>
    <s v="Y"/>
    <s v="Preparation - other"/>
    <s v="Non Family Hourly Rates"/>
    <s v="Profit Cost"/>
    <s v="JS"/>
    <s v="Y"/>
    <n v="62.37"/>
    <n v="12.48"/>
    <x v="4"/>
    <s v="VALIDATED"/>
    <n v="1"/>
    <s v="01.11.80.208.6100.0000"/>
    <n v="62.37"/>
    <s v="11"/>
    <s v="6100"/>
    <n v="12659.16"/>
    <n v="62.37"/>
    <s v="CREDITOR"/>
    <n v="0"/>
    <n v="0"/>
    <n v="0"/>
    <n v="0"/>
    <n v="62.37"/>
  </r>
  <r>
    <n v="59635013"/>
    <s v="N"/>
    <n v="21338340"/>
    <s v="3000014025420005"/>
    <s v="CIVIL"/>
    <d v="2023-06-22T00:00:00"/>
    <d v="2023-07-06T19:21:01"/>
    <m/>
    <d v="2023-07-06T00:00:00"/>
    <n v="1586"/>
    <n v="15796"/>
    <s v="59635013"/>
    <s v="59635013"/>
    <m/>
    <m/>
    <n v="22745166"/>
    <m/>
    <m/>
    <m/>
    <s v="SOLFIN"/>
    <s v="SOLFIN"/>
    <s v="CCMS"/>
    <n v="21338340"/>
    <n v="9250.26"/>
    <m/>
    <s v="N"/>
    <n v="18"/>
    <d v="2023-07-06T19:21:20"/>
    <s v="Y"/>
    <s v="Waiting at court"/>
    <s v="Non Family Hourly Rates"/>
    <s v="Profit Cost"/>
    <s v="JS"/>
    <s v="Y"/>
    <n v="2.63"/>
    <n v="0.53"/>
    <x v="4"/>
    <s v="VALIDATED"/>
    <n v="1"/>
    <s v="01.11.80.210.6100.0000"/>
    <n v="2.63"/>
    <s v="11"/>
    <s v="6100"/>
    <n v="12659.16"/>
    <n v="2.63"/>
    <s v="CREDITOR"/>
    <n v="0"/>
    <n v="0"/>
    <n v="0"/>
    <n v="0"/>
    <n v="2.63"/>
  </r>
  <r>
    <n v="59635013"/>
    <s v="N"/>
    <n v="21338340"/>
    <s v="3000014025420005"/>
    <s v="CIVIL"/>
    <d v="2023-06-22T00:00:00"/>
    <d v="2023-07-06T19:21:01"/>
    <m/>
    <d v="2023-07-06T00:00:00"/>
    <n v="1586"/>
    <n v="15796"/>
    <s v="59635013"/>
    <s v="59635013"/>
    <m/>
    <m/>
    <n v="22745166"/>
    <m/>
    <m/>
    <m/>
    <s v="SOLFIN"/>
    <s v="SOLFIN"/>
    <s v="CCMS"/>
    <n v="21338340"/>
    <n v="9250.26"/>
    <m/>
    <s v="N"/>
    <n v="36"/>
    <d v="2023-07-06T19:21:20"/>
    <s v="Y"/>
    <s v="Preparation - other"/>
    <s v="Non Family Hourly Rates"/>
    <s v="Profit Cost"/>
    <s v="YM"/>
    <s v="Y"/>
    <n v="44.55"/>
    <n v="8.91"/>
    <x v="4"/>
    <s v="VALIDATED"/>
    <n v="1"/>
    <s v="01.11.80.210.6100.0000"/>
    <n v="44.55"/>
    <s v="11"/>
    <s v="6100"/>
    <n v="12659.16"/>
    <n v="44.55"/>
    <s v="CREDITOR"/>
    <n v="0"/>
    <n v="0"/>
    <n v="0"/>
    <n v="0"/>
    <n v="44.55"/>
  </r>
  <r>
    <n v="10087452"/>
    <s v="N"/>
    <n v="21391928"/>
    <s v="3000005965680003"/>
    <s v="CIVIL"/>
    <d v="2023-06-28T00:00:00"/>
    <d v="2023-07-18T19:00:27"/>
    <m/>
    <d v="2023-07-18T00:00:00"/>
    <n v="1586"/>
    <n v="15796"/>
    <s v="10087452"/>
    <s v="10087452"/>
    <m/>
    <m/>
    <n v="22777604"/>
    <m/>
    <m/>
    <m/>
    <s v="SOLFIN"/>
    <s v="SOLFIN"/>
    <s v="CCMS"/>
    <n v="21391928"/>
    <n v="1623.53"/>
    <m/>
    <s v="N"/>
    <n v="12"/>
    <d v="2023-07-18T19:00:33"/>
    <s v="Y"/>
    <s v="Attendance upon other side"/>
    <s v="Non Family Hourly Rates"/>
    <s v="Profit Cost"/>
    <s v="BT"/>
    <s v="Y"/>
    <n v="17.82"/>
    <n v="3.56"/>
    <x v="14"/>
    <s v="VALIDATED"/>
    <n v="1"/>
    <s v="01.11.80.208.6100.0000"/>
    <n v="17.82"/>
    <s v="11"/>
    <s v="6100"/>
    <n v="12659.16"/>
    <n v="17.82"/>
    <s v="CREDITOR"/>
    <n v="0"/>
    <n v="0"/>
    <n v="0"/>
    <n v="0"/>
    <n v="17.82"/>
  </r>
  <r>
    <n v="54249002"/>
    <s v="N"/>
    <n v="21344014"/>
    <s v="3000012924670002"/>
    <s v="CIVIL"/>
    <d v="2023-06-28T00:00:00"/>
    <d v="2023-07-07T19:03:00"/>
    <m/>
    <d v="2023-07-07T00:00:00"/>
    <n v="1586"/>
    <n v="15796"/>
    <s v="54249002"/>
    <s v="54249002"/>
    <m/>
    <m/>
    <n v="22778978"/>
    <m/>
    <m/>
    <m/>
    <s v="SOLFIN"/>
    <s v="SOLFIN"/>
    <s v="CCMS"/>
    <n v="21344014"/>
    <n v="3560.34"/>
    <m/>
    <s v="N"/>
    <n v="4"/>
    <d v="2023-07-07T19:03:20"/>
    <s v="Y"/>
    <s v="Preparation - drafting pleadings"/>
    <s v="Non Family Hourly Rates"/>
    <s v="Profit Cost"/>
    <s v="JS"/>
    <s v="Y"/>
    <n v="155.93"/>
    <n v="31.19"/>
    <x v="9"/>
    <s v="VALIDATED"/>
    <n v="1"/>
    <s v="01.11.80.208.6100.0000"/>
    <n v="155.93"/>
    <s v="11"/>
    <s v="6100"/>
    <n v="12659.16"/>
    <n v="155.93"/>
    <s v="CREDITOR"/>
    <n v="0"/>
    <n v="0"/>
    <n v="0"/>
    <n v="0"/>
    <n v="155.93"/>
  </r>
  <r>
    <n v="59541029"/>
    <s v="N"/>
    <n v="21337717"/>
    <s v="3000013946150003"/>
    <s v="CIVIL"/>
    <d v="2023-06-27T00:00:00"/>
    <d v="2023-07-06T19:21:01"/>
    <m/>
    <d v="2023-07-06T00:00:00"/>
    <n v="1586"/>
    <n v="15796"/>
    <s v="59541029"/>
    <s v="59541029"/>
    <m/>
    <m/>
    <n v="22772024"/>
    <m/>
    <m/>
    <m/>
    <s v="SOLFIN"/>
    <s v="SOLFIN"/>
    <s v="CCMS"/>
    <n v="21337717"/>
    <n v="1714.78"/>
    <m/>
    <s v="N"/>
    <n v="19"/>
    <d v="2023-07-06T19:21:05"/>
    <s v="Y"/>
    <s v="Advocacy - Other Hearing"/>
    <s v="Non Family Hourly Rates"/>
    <s v="Advocacy"/>
    <s v="BT"/>
    <s v="Y"/>
    <n v="26.73"/>
    <n v="5.35"/>
    <x v="4"/>
    <s v="VALIDATED"/>
    <n v="1"/>
    <s v="01.11.80.208.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49"/>
    <d v="2023-07-06T19:21:20"/>
    <s v="Y"/>
    <s v="Advocacy - Directions Hearing"/>
    <s v="Non Family Hourly Rates"/>
    <s v="Advocacy"/>
    <s v="NP"/>
    <s v="Y"/>
    <n v="26.73"/>
    <n v="5.35"/>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14"/>
    <d v="2023-07-06T19:21:20"/>
    <s v="Y"/>
    <s v="Preparation - other"/>
    <s v="Non Family Hourly Rates"/>
    <s v="Profit Cost"/>
    <s v="JS"/>
    <s v="Y"/>
    <n v="26.73"/>
    <n v="5.35"/>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21"/>
    <d v="2023-07-06T19:21:20"/>
    <s v="Y"/>
    <s v="Attendance upon other side"/>
    <s v="Non Family Hourly Rates"/>
    <s v="Profit Cost"/>
    <s v="JS"/>
    <s v="Y"/>
    <n v="35.64"/>
    <n v="7.13"/>
    <x v="4"/>
    <s v="VALIDATED"/>
    <n v="1"/>
    <s v="01.11.80.210.6100.0000"/>
    <n v="35.64"/>
    <s v="11"/>
    <s v="6100"/>
    <n v="12659.16"/>
    <n v="35.64"/>
    <s v="CREDITOR"/>
    <n v="0"/>
    <n v="0"/>
    <n v="0"/>
    <n v="0"/>
    <n v="35.64"/>
  </r>
  <r>
    <n v="10087452"/>
    <s v="N"/>
    <n v="21391928"/>
    <s v="3000005965680003"/>
    <s v="CIVIL"/>
    <d v="2023-06-28T00:00:00"/>
    <d v="2023-07-18T19:00:27"/>
    <m/>
    <d v="2023-07-18T00:00:00"/>
    <n v="1586"/>
    <n v="15796"/>
    <s v="10087452"/>
    <s v="10087452"/>
    <m/>
    <m/>
    <n v="22777604"/>
    <m/>
    <m/>
    <m/>
    <s v="SOLFIN"/>
    <s v="SOLFIN"/>
    <s v="CCMS"/>
    <n v="21391928"/>
    <n v="1623.53"/>
    <m/>
    <s v="N"/>
    <n v="20"/>
    <d v="2023-07-18T19:00:33"/>
    <s v="Y"/>
    <s v="Preparation - other"/>
    <s v="Non Family Hourly Rates"/>
    <s v="Profit Cost"/>
    <s v="BB"/>
    <s v="Y"/>
    <n v="11.88"/>
    <n v="2.38"/>
    <x v="14"/>
    <s v="VALIDATED"/>
    <n v="1"/>
    <s v="01.11.80.208.6100.0000"/>
    <n v="11.88"/>
    <s v="11"/>
    <s v="6100"/>
    <n v="12659.16"/>
    <n v="11.88"/>
    <s v="CREDITOR"/>
    <n v="0"/>
    <n v="0"/>
    <n v="0"/>
    <n v="0"/>
    <n v="11.88"/>
  </r>
  <r>
    <n v="10087452"/>
    <s v="N"/>
    <n v="21391928"/>
    <s v="3000005965680003"/>
    <s v="CIVIL"/>
    <d v="2023-06-28T00:00:00"/>
    <d v="2023-07-18T19:00:27"/>
    <m/>
    <d v="2023-07-18T00:00:00"/>
    <n v="1586"/>
    <n v="15796"/>
    <s v="10087452"/>
    <s v="10087452"/>
    <m/>
    <m/>
    <n v="22777604"/>
    <m/>
    <m/>
    <m/>
    <s v="SOLFIN"/>
    <s v="SOLFIN"/>
    <s v="CCMS"/>
    <n v="21391928"/>
    <n v="1623.53"/>
    <m/>
    <s v="N"/>
    <n v="18"/>
    <d v="2023-07-18T19:00:33"/>
    <s v="Y"/>
    <s v="Preparation - other"/>
    <s v="Non Family Hourly Rates"/>
    <s v="Profit Cost"/>
    <s v="BB"/>
    <s v="Y"/>
    <n v="11.88"/>
    <n v="2.38"/>
    <x v="14"/>
    <s v="VALIDATED"/>
    <n v="1"/>
    <s v="01.11.80.208.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17"/>
    <d v="2023-07-10T19:02:09"/>
    <s v="Y"/>
    <s v="Preparation - drafting notice(s)"/>
    <s v="Non Family Hourly Rates"/>
    <s v="Profit Cost"/>
    <s v="BT"/>
    <s v="Y"/>
    <n v="23.76"/>
    <n v="4.75"/>
    <x v="2"/>
    <s v="VALIDATED"/>
    <n v="1"/>
    <s v="01.11.80.208.6100.0000"/>
    <n v="23.76"/>
    <s v="11"/>
    <s v="6100"/>
    <n v="12659.16"/>
    <n v="23.76"/>
    <s v="CREDITOR"/>
    <n v="0"/>
    <n v="0"/>
    <n v="0"/>
    <n v="0"/>
    <n v="23.76"/>
  </r>
  <r>
    <n v="56440931"/>
    <s v="N"/>
    <n v="21338241"/>
    <s v="3000013433190002"/>
    <s v="CIVIL"/>
    <d v="2023-06-26T00:00:00"/>
    <d v="2023-07-06T19:21:01"/>
    <m/>
    <d v="2023-07-06T00:00:00"/>
    <n v="1586"/>
    <n v="15796"/>
    <s v="56440931"/>
    <s v="56440931"/>
    <m/>
    <m/>
    <n v="22762082"/>
    <m/>
    <m/>
    <m/>
    <s v="SOLFIN"/>
    <s v="SOLFIN"/>
    <s v="CCMS"/>
    <n v="21338241"/>
    <n v="2471.98"/>
    <m/>
    <s v="N"/>
    <n v="19"/>
    <d v="2023-07-06T19:21:13"/>
    <s v="Y"/>
    <s v="Preparation - drafting notice(s)"/>
    <s v="Non Family Hourly Rates"/>
    <s v="Profit Cost"/>
    <s v="JOS"/>
    <s v="Y"/>
    <n v="5.94"/>
    <n v="1.19"/>
    <x v="4"/>
    <s v="VALIDATED"/>
    <n v="1"/>
    <s v="01.11.80.210.6100.0000"/>
    <n v="5.94"/>
    <s v="11"/>
    <s v="6100"/>
    <n v="12659.16"/>
    <n v="5.94"/>
    <s v="CREDITOR"/>
    <n v="0"/>
    <n v="0"/>
    <n v="0"/>
    <n v="0"/>
    <n v="5.94"/>
  </r>
  <r>
    <n v="59541029"/>
    <s v="N"/>
    <n v="21337717"/>
    <s v="3000013946150003"/>
    <s v="CIVIL"/>
    <d v="2023-06-27T00:00:00"/>
    <d v="2023-07-06T19:21:01"/>
    <m/>
    <d v="2023-07-06T00:00:00"/>
    <n v="1586"/>
    <n v="15796"/>
    <s v="59541029"/>
    <s v="59541029"/>
    <m/>
    <m/>
    <n v="22772024"/>
    <m/>
    <m/>
    <m/>
    <s v="SOLFIN"/>
    <s v="SOLFIN"/>
    <s v="CCMS"/>
    <n v="21337717"/>
    <n v="1714.78"/>
    <m/>
    <s v="N"/>
    <n v="3"/>
    <d v="2023-07-06T19:21:05"/>
    <s v="Y"/>
    <s v="Preparation - drafting pleadings"/>
    <s v="Non Family Hourly Rates"/>
    <s v="Profit Cost"/>
    <s v="JS"/>
    <s v="Y"/>
    <n v="213.84"/>
    <n v="42.74"/>
    <x v="4"/>
    <s v="VALIDATED"/>
    <n v="1"/>
    <s v="01.11.80.208.6100.0000"/>
    <n v="213.84"/>
    <s v="11"/>
    <s v="6100"/>
    <n v="12659.16"/>
    <n v="213.84"/>
    <s v="CREDITOR"/>
    <n v="0"/>
    <n v="0"/>
    <n v="0"/>
    <n v="0"/>
    <n v="213.84"/>
  </r>
  <r>
    <n v="59635013"/>
    <s v="N"/>
    <n v="21338340"/>
    <s v="3000014025420005"/>
    <s v="CIVIL"/>
    <d v="2023-06-22T00:00:00"/>
    <d v="2023-07-06T19:21:01"/>
    <m/>
    <d v="2023-07-06T00:00:00"/>
    <n v="1586"/>
    <n v="15796"/>
    <s v="59635013"/>
    <s v="59635013"/>
    <m/>
    <m/>
    <n v="22745166"/>
    <m/>
    <m/>
    <m/>
    <s v="SOLFIN"/>
    <s v="SOLFIN"/>
    <s v="CCMS"/>
    <n v="21338340"/>
    <n v="9250.26"/>
    <m/>
    <s v="N"/>
    <n v="32"/>
    <d v="2023-07-06T19:21:20"/>
    <s v="Y"/>
    <s v="Preparation - other"/>
    <s v="Non Family Hourly Rates"/>
    <s v="Profit Cost"/>
    <s v="JS"/>
    <s v="Y"/>
    <n v="44.55"/>
    <n v="8.91"/>
    <x v="4"/>
    <s v="VALIDATED"/>
    <n v="1"/>
    <s v="01.11.80.210.6100.0000"/>
    <n v="44.55"/>
    <s v="11"/>
    <s v="6100"/>
    <n v="12659.16"/>
    <n v="44.55"/>
    <s v="CREDITOR"/>
    <n v="0"/>
    <n v="0"/>
    <n v="0"/>
    <n v="0"/>
    <n v="44.55"/>
  </r>
  <r>
    <n v="59635013"/>
    <s v="N"/>
    <n v="21338340"/>
    <s v="3000014025420005"/>
    <s v="CIVIL"/>
    <d v="2023-06-22T00:00:00"/>
    <d v="2023-07-06T19:21:01"/>
    <m/>
    <d v="2023-07-06T00:00:00"/>
    <n v="1586"/>
    <n v="15796"/>
    <s v="59635013"/>
    <s v="59635013"/>
    <m/>
    <m/>
    <n v="22745166"/>
    <m/>
    <m/>
    <m/>
    <s v="SOLFIN"/>
    <s v="SOLFIN"/>
    <s v="CCMS"/>
    <n v="21338340"/>
    <n v="9250.26"/>
    <m/>
    <s v="N"/>
    <n v="55"/>
    <d v="2023-07-06T19:21:20"/>
    <s v="Y"/>
    <s v="Preparation - other"/>
    <s v="Non Family Hourly Rates"/>
    <s v="Profit Cost"/>
    <s v="NP"/>
    <s v="Y"/>
    <n v="8.91"/>
    <n v="1.78"/>
    <x v="4"/>
    <s v="VALIDATED"/>
    <n v="1"/>
    <s v="01.11.80.210.6100.0000"/>
    <n v="8.91"/>
    <s v="11"/>
    <s v="6100"/>
    <n v="12659.16"/>
    <n v="8.91"/>
    <s v="CREDITOR"/>
    <n v="0"/>
    <n v="0"/>
    <n v="0"/>
    <n v="0"/>
    <n v="8.91"/>
  </r>
  <r>
    <n v="10087452"/>
    <s v="N"/>
    <n v="21391928"/>
    <s v="3000005965680003"/>
    <s v="CIVIL"/>
    <d v="2023-06-28T00:00:00"/>
    <d v="2023-07-18T19:00:27"/>
    <m/>
    <d v="2023-07-18T00:00:00"/>
    <n v="1586"/>
    <n v="15796"/>
    <s v="10087452"/>
    <s v="10087452"/>
    <m/>
    <m/>
    <n v="22777604"/>
    <m/>
    <m/>
    <m/>
    <s v="SOLFIN"/>
    <s v="SOLFIN"/>
    <s v="CCMS"/>
    <n v="21391928"/>
    <n v="1623.53"/>
    <m/>
    <s v="N"/>
    <n v="1"/>
    <d v="2023-07-18T19:00:33"/>
    <s v="Y"/>
    <s v="Surveyor (Housing Disrepair)"/>
    <s v="Non Family Hourly Rates"/>
    <s v="Expert Disbursement"/>
    <s v="XXX"/>
    <s v="Y"/>
    <n v="278.6"/>
    <n v="55.72"/>
    <x v="14"/>
    <s v="VALIDATED"/>
    <n v="1"/>
    <s v="01.11.80.208.6300.0000"/>
    <n v="278.6"/>
    <s v="11"/>
    <s v="6300"/>
    <n v="12659.16"/>
    <n v="278.6"/>
    <s v="CREDITOR"/>
    <n v="0"/>
    <n v="0"/>
    <n v="0"/>
    <n v="0"/>
    <n v="278.6"/>
  </r>
  <r>
    <n v="54248104"/>
    <s v="N"/>
    <n v="21350007"/>
    <s v="3000012922770007"/>
    <s v="CIVIL"/>
    <d v="2023-06-28T00:00:00"/>
    <d v="2023-07-10T19:01:40"/>
    <m/>
    <d v="2023-07-10T00:00:00"/>
    <n v="1586"/>
    <n v="15796"/>
    <s v="54248104"/>
    <s v="54248104"/>
    <m/>
    <m/>
    <n v="22779004"/>
    <m/>
    <m/>
    <m/>
    <s v="SOLFIN"/>
    <s v="SOLFIN"/>
    <s v="CCMS"/>
    <n v="21350007"/>
    <n v="4461.01"/>
    <m/>
    <s v="N"/>
    <n v="61"/>
    <d v="2023-07-10T19:02:09"/>
    <s v="Y"/>
    <s v="Preparation - other"/>
    <s v="Non Family Hourly Rates"/>
    <s v="Profit Cost"/>
    <s v="BT"/>
    <s v="Y"/>
    <n v="11.88"/>
    <n v="2.38"/>
    <x v="2"/>
    <s v="VALIDATED"/>
    <n v="1"/>
    <s v="01.11.80.208.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44"/>
    <d v="2023-07-10T19:02:09"/>
    <s v="Y"/>
    <s v="Preparation - other"/>
    <s v="Non Family Hourly Rates"/>
    <s v="Profit Cost"/>
    <s v="JS"/>
    <s v="Y"/>
    <n v="13.37"/>
    <n v="2.67"/>
    <x v="2"/>
    <s v="VALIDATED"/>
    <n v="1"/>
    <s v="01.11.80.208.6100.0000"/>
    <n v="13.37"/>
    <s v="11"/>
    <s v="6100"/>
    <n v="12659.16"/>
    <n v="13.37"/>
    <s v="CREDITOR"/>
    <n v="0"/>
    <n v="0"/>
    <n v="0"/>
    <n v="0"/>
    <n v="13.37"/>
  </r>
  <r>
    <n v="60553858"/>
    <s v="N"/>
    <n v="21343953"/>
    <s v="3000014821250002"/>
    <s v="CIVIL"/>
    <d v="2023-06-21T00:00:00"/>
    <d v="2023-07-07T19:03:00"/>
    <m/>
    <d v="2023-07-07T00:00:00"/>
    <n v="1586"/>
    <n v="15796"/>
    <s v="60553858"/>
    <s v="60553858"/>
    <m/>
    <m/>
    <n v="22733756"/>
    <m/>
    <m/>
    <m/>
    <s v="SOLFIN"/>
    <s v="SOLFIN"/>
    <s v="CCMS"/>
    <n v="21343953"/>
    <n v="3978.67"/>
    <m/>
    <s v="N"/>
    <n v="16"/>
    <d v="2023-07-07T19:03:18"/>
    <s v="Y"/>
    <s v="Preparation - other"/>
    <s v="Non Family Hourly Rates"/>
    <s v="Profit Cost"/>
    <s v="BT"/>
    <s v="Y"/>
    <n v="178.2"/>
    <n v="35.64"/>
    <x v="9"/>
    <s v="VALIDATED"/>
    <n v="1"/>
    <s v="01.11.80.210.6100.0000"/>
    <n v="178.2"/>
    <s v="11"/>
    <s v="6100"/>
    <n v="12659.16"/>
    <n v="178.2"/>
    <s v="CREDITOR"/>
    <n v="0"/>
    <n v="0"/>
    <n v="0"/>
    <n v="0"/>
    <n v="178.2"/>
  </r>
  <r>
    <n v="61696644"/>
    <s v="N"/>
    <n v="21323896"/>
    <s v="3000015790030021"/>
    <s v="CIVIL"/>
    <d v="2023-06-30T00:00:00"/>
    <d v="2023-07-03T19:05:56"/>
    <m/>
    <d v="2023-07-03T00:00:00"/>
    <n v="1586"/>
    <n v="15796"/>
    <s v="61696644"/>
    <s v="61696644"/>
    <m/>
    <m/>
    <n v="22795884"/>
    <m/>
    <m/>
    <m/>
    <s v="SOLPOA"/>
    <s v="SOLPOA"/>
    <s v="CCMS"/>
    <n v="21323896"/>
    <n v="106.36"/>
    <m/>
    <s v="N"/>
    <n v="1"/>
    <d v="2023-07-03T19:05:59"/>
    <s v="N"/>
    <s v="Expert Cost"/>
    <s v="Expert Cost"/>
    <s v="Expert Disbursement"/>
    <s v="OXB"/>
    <s v="N"/>
    <n v="88.63"/>
    <n v="17.73"/>
    <x v="3"/>
    <s v="VALIDATED"/>
    <n v="1"/>
    <s v="01.11.80.308.2012.0000"/>
    <n v="88.63"/>
    <s v="11"/>
    <s v="2012"/>
    <n v="12659.16"/>
    <n v="88.63"/>
    <s v="CREDITOR"/>
    <n v="88.63"/>
    <n v="0"/>
    <n v="0"/>
    <n v="0"/>
    <n v="0"/>
  </r>
  <r>
    <n v="60739209"/>
    <s v="N"/>
    <n v="21323651"/>
    <s v="3000014982060013"/>
    <s v="CIVIL"/>
    <d v="2023-06-30T00:00:00"/>
    <d v="2023-07-03T19:05:56"/>
    <m/>
    <d v="2023-07-03T00:00:00"/>
    <n v="1586"/>
    <n v="15796"/>
    <s v="60739209"/>
    <s v="60739209"/>
    <m/>
    <m/>
    <n v="22800716"/>
    <m/>
    <m/>
    <m/>
    <s v="SOLPOA"/>
    <s v="SOLPOA"/>
    <s v="CCMS"/>
    <n v="21323651"/>
    <n v="40"/>
    <m/>
    <s v="N"/>
    <n v="1"/>
    <d v="2023-07-03T19:05:58"/>
    <s v="N"/>
    <s v="Expert Cost"/>
    <s v="Expert Cost"/>
    <s v="Expert Disbursement"/>
    <s v="LG"/>
    <s v="N"/>
    <n v="33.33"/>
    <n v="6.67"/>
    <x v="3"/>
    <s v="VALIDATED"/>
    <n v="1"/>
    <s v="01.11.80.308.2012.0000"/>
    <n v="33.33"/>
    <s v="11"/>
    <s v="2012"/>
    <n v="12659.16"/>
    <n v="33.33"/>
    <s v="CREDITOR"/>
    <n v="33.33"/>
    <n v="0"/>
    <n v="0"/>
    <n v="0"/>
    <n v="0"/>
  </r>
  <r>
    <n v="54248104"/>
    <s v="N"/>
    <n v="21350007"/>
    <s v="3000012922770007"/>
    <s v="CIVIL"/>
    <d v="2023-06-28T00:00:00"/>
    <d v="2023-07-10T19:01:40"/>
    <m/>
    <d v="2023-07-10T00:00:00"/>
    <n v="1586"/>
    <n v="15796"/>
    <s v="54248104"/>
    <s v="54248104"/>
    <m/>
    <m/>
    <n v="22779004"/>
    <m/>
    <m/>
    <m/>
    <s v="SOLFIN"/>
    <s v="SOLFIN"/>
    <s v="CCMS"/>
    <n v="21350007"/>
    <n v="4461.01"/>
    <m/>
    <s v="N"/>
    <n v="62"/>
    <d v="2023-07-10T19:02:09"/>
    <s v="Y"/>
    <s v="Preparation - other"/>
    <s v="Non Family Hourly Rates"/>
    <s v="Profit Cost"/>
    <s v="BT"/>
    <s v="Y"/>
    <n v="11.88"/>
    <n v="2.38"/>
    <x v="2"/>
    <s v="VALIDATED"/>
    <n v="1"/>
    <s v="01.11.80.208.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37"/>
    <d v="2023-07-10T19:02:09"/>
    <s v="Y"/>
    <s v="Preparation - other"/>
    <s v="Non Family Hourly Rates"/>
    <s v="Profit Cost"/>
    <s v="JS"/>
    <s v="Y"/>
    <n v="13.37"/>
    <n v="2.67"/>
    <x v="2"/>
    <s v="VALIDATED"/>
    <n v="1"/>
    <s v="01.11.80.208.6100.0000"/>
    <n v="13.37"/>
    <s v="11"/>
    <s v="6100"/>
    <n v="12659.16"/>
    <n v="13.37"/>
    <s v="CREDITOR"/>
    <n v="0"/>
    <n v="0"/>
    <n v="0"/>
    <n v="0"/>
    <n v="13.37"/>
  </r>
  <r>
    <n v="54249002"/>
    <s v="N"/>
    <n v="21344014"/>
    <s v="3000012924670002"/>
    <s v="CIVIL"/>
    <d v="2023-06-28T00:00:00"/>
    <d v="2023-07-07T19:03:00"/>
    <m/>
    <d v="2023-07-07T00:00:00"/>
    <n v="1586"/>
    <n v="15796"/>
    <s v="54249002"/>
    <s v="54249002"/>
    <m/>
    <m/>
    <n v="22778978"/>
    <m/>
    <m/>
    <m/>
    <s v="SOLFIN"/>
    <s v="SOLFIN"/>
    <s v="CCMS"/>
    <n v="21344014"/>
    <n v="3560.34"/>
    <m/>
    <s v="N"/>
    <n v="15"/>
    <d v="2023-07-07T19:03:20"/>
    <s v="Y"/>
    <s v="Preparation - drafting notice(s)"/>
    <s v="Non Family Hourly Rates"/>
    <s v="Profit Cost"/>
    <s v="JS"/>
    <s v="Y"/>
    <n v="13.37"/>
    <n v="2.67"/>
    <x v="9"/>
    <s v="VALIDATED"/>
    <n v="1"/>
    <s v="01.11.80.208.6100.0000"/>
    <n v="13.37"/>
    <s v="11"/>
    <s v="6100"/>
    <n v="12659.16"/>
    <n v="13.37"/>
    <s v="CREDITOR"/>
    <n v="0"/>
    <n v="0"/>
    <n v="0"/>
    <n v="0"/>
    <n v="13.37"/>
  </r>
  <r>
    <n v="10087452"/>
    <s v="N"/>
    <n v="21391928"/>
    <s v="3000005965680003"/>
    <s v="CIVIL"/>
    <d v="2023-06-28T00:00:00"/>
    <d v="2023-07-18T19:00:27"/>
    <m/>
    <d v="2023-07-18T00:00:00"/>
    <n v="1586"/>
    <n v="15796"/>
    <s v="10087452"/>
    <s v="10087452"/>
    <m/>
    <m/>
    <n v="22777604"/>
    <m/>
    <m/>
    <m/>
    <s v="SOLFIN"/>
    <s v="SOLFIN"/>
    <s v="CCMS"/>
    <n v="21391928"/>
    <n v="1623.53"/>
    <m/>
    <s v="N"/>
    <n v="21"/>
    <d v="2023-07-18T19:00:33"/>
    <s v="Y"/>
    <s v="Routine Letter Out"/>
    <s v="Non Family Hourly Rates"/>
    <s v="Profit Cost"/>
    <s v="BT"/>
    <s v="Y"/>
    <n v="255.42"/>
    <n v="51.08"/>
    <x v="14"/>
    <s v="VALIDATED"/>
    <n v="1"/>
    <s v="01.11.80.208.6100.0000"/>
    <n v="255.42"/>
    <s v="11"/>
    <s v="6100"/>
    <n v="12659.16"/>
    <n v="255.42"/>
    <s v="CREDITOR"/>
    <n v="0"/>
    <n v="0"/>
    <n v="0"/>
    <n v="0"/>
    <n v="255.42"/>
  </r>
  <r>
    <n v="10087452"/>
    <s v="N"/>
    <n v="21391928"/>
    <s v="3000005965680003"/>
    <s v="CIVIL"/>
    <d v="2023-06-28T00:00:00"/>
    <d v="2023-07-18T19:00:27"/>
    <m/>
    <d v="2023-07-18T00:00:00"/>
    <n v="1586"/>
    <n v="15796"/>
    <s v="10087452"/>
    <s v="10087452"/>
    <m/>
    <m/>
    <n v="22777604"/>
    <m/>
    <m/>
    <m/>
    <s v="SOLFIN"/>
    <s v="SOLFIN"/>
    <s v="CCMS"/>
    <n v="21391928"/>
    <n v="1623.53"/>
    <m/>
    <s v="N"/>
    <n v="2"/>
    <d v="2023-07-18T19:00:33"/>
    <s v="Y"/>
    <s v="Advocacy - Other Hearing"/>
    <s v="Non Family Hourly Rates"/>
    <s v="Advocacy"/>
    <s v="BT"/>
    <s v="Y"/>
    <n v="23.76"/>
    <n v="4.75"/>
    <x v="14"/>
    <s v="VALIDATED"/>
    <n v="1"/>
    <s v="01.11.80.208.6100.0000"/>
    <n v="23.76"/>
    <s v="11"/>
    <s v="6100"/>
    <n v="12659.16"/>
    <n v="23.76"/>
    <s v="CREDITOR"/>
    <n v="0"/>
    <n v="0"/>
    <n v="0"/>
    <n v="0"/>
    <n v="23.76"/>
  </r>
  <r>
    <n v="54248104"/>
    <s v="N"/>
    <n v="21350007"/>
    <s v="3000012922770007"/>
    <s v="CIVIL"/>
    <d v="2023-06-28T00:00:00"/>
    <d v="2023-07-10T19:01:40"/>
    <m/>
    <d v="2023-07-10T00:00:00"/>
    <n v="1586"/>
    <n v="15796"/>
    <s v="54248104"/>
    <s v="54248104"/>
    <m/>
    <m/>
    <n v="22779004"/>
    <m/>
    <m/>
    <m/>
    <s v="SOLFIN"/>
    <s v="SOLFIN"/>
    <s v="CCMS"/>
    <n v="21350007"/>
    <n v="4461.01"/>
    <m/>
    <s v="N"/>
    <n v="67"/>
    <d v="2023-07-10T19:02:09"/>
    <s v="Y"/>
    <s v="Preparation - drafting bill/claim f"/>
    <s v="Non Family Hourly Rates"/>
    <s v="Profit Cost"/>
    <s v="BT"/>
    <s v="Y"/>
    <n v="23.76"/>
    <n v="4.75"/>
    <x v="2"/>
    <s v="VALIDATED"/>
    <n v="1"/>
    <s v="01.11.80.208.6100.0000"/>
    <n v="23.76"/>
    <s v="11"/>
    <s v="6100"/>
    <n v="12659.16"/>
    <n v="23.76"/>
    <s v="CREDITOR"/>
    <n v="0"/>
    <n v="0"/>
    <n v="0"/>
    <n v="0"/>
    <n v="23.76"/>
  </r>
  <r>
    <n v="54248104"/>
    <s v="N"/>
    <n v="21350007"/>
    <s v="3000012922770007"/>
    <s v="CIVIL"/>
    <d v="2023-06-28T00:00:00"/>
    <d v="2023-07-10T19:01:40"/>
    <m/>
    <d v="2023-07-10T00:00:00"/>
    <n v="1586"/>
    <n v="15796"/>
    <s v="54248104"/>
    <s v="54248104"/>
    <m/>
    <m/>
    <n v="22779004"/>
    <m/>
    <m/>
    <m/>
    <s v="SOLFIN"/>
    <s v="SOLFIN"/>
    <s v="CCMS"/>
    <n v="21350007"/>
    <n v="4461.01"/>
    <m/>
    <s v="N"/>
    <n v="41"/>
    <d v="2023-07-10T19:02:09"/>
    <s v="Y"/>
    <s v="Preparation - other"/>
    <s v="Non Family Hourly Rates"/>
    <s v="Profit Cost"/>
    <s v="BT"/>
    <s v="Y"/>
    <n v="5.94"/>
    <n v="1.19"/>
    <x v="2"/>
    <s v="VALIDATED"/>
    <n v="1"/>
    <s v="01.11.80.208.6100.0000"/>
    <n v="5.94"/>
    <s v="11"/>
    <s v="6100"/>
    <n v="12659.16"/>
    <n v="5.94"/>
    <s v="CREDITOR"/>
    <n v="0"/>
    <n v="0"/>
    <n v="0"/>
    <n v="0"/>
    <n v="5.94"/>
  </r>
  <r>
    <n v="56440931"/>
    <s v="N"/>
    <n v="21338241"/>
    <s v="3000013433190002"/>
    <s v="CIVIL"/>
    <d v="2023-06-26T00:00:00"/>
    <d v="2023-07-06T19:21:01"/>
    <m/>
    <d v="2023-07-06T00:00:00"/>
    <n v="1586"/>
    <n v="15796"/>
    <s v="56440931"/>
    <s v="56440931"/>
    <m/>
    <m/>
    <n v="22762082"/>
    <m/>
    <m/>
    <m/>
    <s v="SOLFIN"/>
    <s v="SOLFIN"/>
    <s v="CCMS"/>
    <n v="21338241"/>
    <n v="2471.98"/>
    <m/>
    <s v="N"/>
    <n v="35"/>
    <d v="2023-07-06T19:21:13"/>
    <s v="Y"/>
    <s v="Preparation - other"/>
    <s v="Non Family Hourly Rates"/>
    <s v="Profit Cost"/>
    <s v="BT"/>
    <s v="Y"/>
    <n v="66.83"/>
    <n v="13.37"/>
    <x v="4"/>
    <s v="VALIDATED"/>
    <n v="1"/>
    <s v="01.11.80.210.6100.0000"/>
    <n v="66.83"/>
    <s v="11"/>
    <s v="6100"/>
    <n v="12659.16"/>
    <n v="66.83"/>
    <s v="CREDITOR"/>
    <n v="0"/>
    <n v="0"/>
    <n v="0"/>
    <n v="0"/>
    <n v="66.83"/>
  </r>
  <r>
    <n v="59635013"/>
    <s v="N"/>
    <n v="21338340"/>
    <s v="3000014025420005"/>
    <s v="CIVIL"/>
    <d v="2023-06-22T00:00:00"/>
    <d v="2023-07-06T19:21:01"/>
    <m/>
    <d v="2023-07-06T00:00:00"/>
    <n v="1586"/>
    <n v="15796"/>
    <s v="59635013"/>
    <s v="59635013"/>
    <m/>
    <m/>
    <n v="22745166"/>
    <m/>
    <m/>
    <m/>
    <s v="SOLFIN"/>
    <s v="SOLFIN"/>
    <s v="CCMS"/>
    <n v="21338340"/>
    <n v="9250.26"/>
    <m/>
    <s v="N"/>
    <n v="23"/>
    <d v="2023-07-06T19:21:20"/>
    <s v="Y"/>
    <s v="Attendance upon client"/>
    <s v="Non Family Hourly Rates"/>
    <s v="Profit Cost"/>
    <s v="JS"/>
    <s v="Y"/>
    <n v="35.64"/>
    <n v="7.13"/>
    <x v="4"/>
    <s v="VALIDATED"/>
    <n v="1"/>
    <s v="01.11.80.210.6100.0000"/>
    <n v="35.64"/>
    <s v="11"/>
    <s v="6100"/>
    <n v="12659.16"/>
    <n v="35.64"/>
    <s v="CREDITOR"/>
    <n v="0"/>
    <n v="0"/>
    <n v="0"/>
    <n v="0"/>
    <n v="35.64"/>
  </r>
  <r>
    <n v="59635013"/>
    <s v="N"/>
    <n v="21338340"/>
    <s v="3000014025420005"/>
    <s v="CIVIL"/>
    <d v="2023-06-22T00:00:00"/>
    <d v="2023-07-06T19:21:01"/>
    <m/>
    <d v="2023-07-06T00:00:00"/>
    <n v="1586"/>
    <n v="15796"/>
    <s v="59635013"/>
    <s v="59635013"/>
    <m/>
    <m/>
    <n v="22745166"/>
    <m/>
    <m/>
    <m/>
    <s v="SOLFIN"/>
    <s v="SOLFIN"/>
    <s v="CCMS"/>
    <n v="21338340"/>
    <n v="9250.26"/>
    <m/>
    <s v="N"/>
    <n v="39"/>
    <d v="2023-07-06T19:21:20"/>
    <s v="Y"/>
    <s v="Preparation - other"/>
    <s v="Non Family Hourly Rates"/>
    <s v="Profit Cost"/>
    <s v="JS"/>
    <s v="Y"/>
    <n v="11.88"/>
    <n v="2.38"/>
    <x v="4"/>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50"/>
    <d v="2023-07-06T19:21:20"/>
    <s v="Y"/>
    <s v="Preparation - drafting attendance n"/>
    <s v="Non Family Hourly Rates"/>
    <s v="Profit Cost"/>
    <s v="NP"/>
    <s v="Y"/>
    <n v="8.91"/>
    <n v="1.78"/>
    <x v="4"/>
    <s v="VALIDATED"/>
    <n v="1"/>
    <s v="01.11.80.210.6100.0000"/>
    <n v="8.91"/>
    <s v="11"/>
    <s v="6100"/>
    <n v="12659.16"/>
    <n v="8.91"/>
    <s v="CREDITOR"/>
    <n v="0"/>
    <n v="0"/>
    <n v="0"/>
    <n v="0"/>
    <n v="8.91"/>
  </r>
  <r>
    <n v="10087452"/>
    <s v="N"/>
    <n v="21391928"/>
    <s v="3000005965680003"/>
    <s v="CIVIL"/>
    <d v="2023-06-28T00:00:00"/>
    <d v="2023-07-18T19:00:27"/>
    <m/>
    <d v="2023-07-18T00:00:00"/>
    <n v="1586"/>
    <n v="15796"/>
    <s v="10087452"/>
    <s v="10087452"/>
    <m/>
    <m/>
    <n v="22777604"/>
    <m/>
    <m/>
    <m/>
    <s v="SOLFIN"/>
    <s v="SOLFIN"/>
    <s v="CCMS"/>
    <n v="21391928"/>
    <n v="1623.53"/>
    <m/>
    <s v="N"/>
    <n v="7"/>
    <d v="2023-07-18T19:00:33"/>
    <s v="Y"/>
    <s v="Preparation - drafting application"/>
    <s v="Non Family Hourly Rates"/>
    <s v="Profit Cost"/>
    <s v="BT"/>
    <s v="Y"/>
    <n v="47.52"/>
    <n v="9.5"/>
    <x v="14"/>
    <s v="VALIDATED"/>
    <n v="1"/>
    <s v="01.11.80.208.6100.0000"/>
    <n v="47.52"/>
    <s v="11"/>
    <s v="6100"/>
    <n v="12659.16"/>
    <n v="47.52"/>
    <s v="CREDITOR"/>
    <n v="0"/>
    <n v="0"/>
    <n v="0"/>
    <n v="0"/>
    <n v="47.52"/>
  </r>
  <r>
    <n v="10087452"/>
    <s v="N"/>
    <n v="21391928"/>
    <s v="3000005965680003"/>
    <s v="CIVIL"/>
    <d v="2023-06-28T00:00:00"/>
    <d v="2023-07-18T19:00:27"/>
    <m/>
    <d v="2023-07-18T00:00:00"/>
    <n v="1586"/>
    <n v="15796"/>
    <s v="10087452"/>
    <s v="10087452"/>
    <m/>
    <m/>
    <n v="22777604"/>
    <m/>
    <m/>
    <m/>
    <s v="SOLFIN"/>
    <s v="SOLFIN"/>
    <s v="CCMS"/>
    <n v="21391928"/>
    <n v="1623.53"/>
    <m/>
    <s v="N"/>
    <n v="3"/>
    <d v="2023-07-18T19:00:33"/>
    <s v="Y"/>
    <s v="Advocacy - Other Hearing"/>
    <s v="Non Family Hourly Rates"/>
    <s v="Advocacy"/>
    <s v="BT"/>
    <s v="Y"/>
    <n v="106.92"/>
    <n v="21.38"/>
    <x v="14"/>
    <s v="VALIDATED"/>
    <n v="1"/>
    <s v="01.11.80.208.6100.0000"/>
    <n v="106.92"/>
    <s v="11"/>
    <s v="6100"/>
    <n v="12659.16"/>
    <n v="106.92"/>
    <s v="CREDITOR"/>
    <n v="0"/>
    <n v="0"/>
    <n v="0"/>
    <n v="0"/>
    <n v="106.92"/>
  </r>
  <r>
    <n v="54249002"/>
    <s v="N"/>
    <n v="21344014"/>
    <s v="3000012924670002"/>
    <s v="CIVIL"/>
    <d v="2023-06-28T00:00:00"/>
    <d v="2023-07-07T19:03:00"/>
    <m/>
    <d v="2023-07-07T00:00:00"/>
    <n v="1586"/>
    <n v="15796"/>
    <s v="54249002"/>
    <s v="54249002"/>
    <m/>
    <m/>
    <n v="22778978"/>
    <m/>
    <m/>
    <m/>
    <s v="SOLFIN"/>
    <s v="SOLFIN"/>
    <s v="CCMS"/>
    <n v="21344014"/>
    <n v="3560.34"/>
    <m/>
    <s v="N"/>
    <n v="9"/>
    <d v="2023-07-07T19:03:20"/>
    <s v="Y"/>
    <s v="Preparation - other"/>
    <s v="Non Family Hourly Rates"/>
    <s v="Profit Cost"/>
    <s v="JS"/>
    <s v="Y"/>
    <n v="44.55"/>
    <n v="8.91"/>
    <x v="9"/>
    <s v="VALIDATED"/>
    <n v="1"/>
    <s v="01.11.80.208.6100.0000"/>
    <n v="44.55"/>
    <s v="11"/>
    <s v="6100"/>
    <n v="12659.16"/>
    <n v="44.55"/>
    <s v="CREDITOR"/>
    <n v="0"/>
    <n v="0"/>
    <n v="0"/>
    <n v="0"/>
    <n v="44.55"/>
  </r>
  <r>
    <n v="54249002"/>
    <s v="N"/>
    <n v="21344014"/>
    <s v="3000012924670002"/>
    <s v="CIVIL"/>
    <d v="2023-06-28T00:00:00"/>
    <d v="2023-07-07T19:03:00"/>
    <m/>
    <d v="2023-07-07T00:00:00"/>
    <n v="1586"/>
    <n v="15796"/>
    <s v="54249002"/>
    <s v="54249002"/>
    <m/>
    <m/>
    <n v="22778978"/>
    <m/>
    <m/>
    <m/>
    <s v="SOLFIN"/>
    <s v="SOLFIN"/>
    <s v="CCMS"/>
    <n v="21344014"/>
    <n v="3560.34"/>
    <m/>
    <s v="N"/>
    <n v="6"/>
    <d v="2023-07-07T19:03:20"/>
    <s v="Y"/>
    <s v="Advocacy - Directions Hearing"/>
    <s v="Non Family Hourly Rates"/>
    <s v="Advocacy"/>
    <s v="JS"/>
    <s v="Y"/>
    <n v="35.64"/>
    <n v="7.13"/>
    <x v="9"/>
    <s v="VALIDATED"/>
    <n v="1"/>
    <s v="01.11.80.208.6100.0000"/>
    <n v="35.64"/>
    <s v="11"/>
    <s v="6100"/>
    <n v="12659.16"/>
    <n v="35.64"/>
    <s v="CREDITOR"/>
    <n v="0"/>
    <n v="0"/>
    <n v="0"/>
    <n v="0"/>
    <n v="35.64"/>
  </r>
  <r>
    <n v="54249002"/>
    <s v="N"/>
    <n v="21344014"/>
    <s v="3000012924670002"/>
    <s v="CIVIL"/>
    <d v="2023-06-28T00:00:00"/>
    <d v="2023-07-07T19:03:00"/>
    <m/>
    <d v="2023-07-07T00:00:00"/>
    <n v="1586"/>
    <n v="15796"/>
    <s v="54249002"/>
    <s v="54249002"/>
    <m/>
    <m/>
    <n v="22778978"/>
    <m/>
    <m/>
    <m/>
    <s v="SOLFIN"/>
    <s v="SOLFIN"/>
    <s v="CCMS"/>
    <n v="21344014"/>
    <n v="3560.34"/>
    <m/>
    <s v="N"/>
    <n v="19"/>
    <d v="2023-07-07T19:03:20"/>
    <s v="Y"/>
    <s v="Preparation - other"/>
    <s v="Non Family Hourly Rates"/>
    <s v="Profit Cost"/>
    <s v="JS"/>
    <s v="Y"/>
    <n v="40.1"/>
    <n v="8.02"/>
    <x v="9"/>
    <s v="VALIDATED"/>
    <n v="1"/>
    <s v="01.11.80.208.6100.0000"/>
    <n v="40.1"/>
    <s v="11"/>
    <s v="6100"/>
    <n v="12659.16"/>
    <n v="40.1"/>
    <s v="CREDITOR"/>
    <n v="0"/>
    <n v="0"/>
    <n v="0"/>
    <n v="0"/>
    <n v="40.1"/>
  </r>
  <r>
    <n v="59541029"/>
    <s v="N"/>
    <n v="21337717"/>
    <s v="3000013946150003"/>
    <s v="CIVIL"/>
    <d v="2023-06-27T00:00:00"/>
    <d v="2023-07-06T19:21:01"/>
    <m/>
    <d v="2023-07-06T00:00:00"/>
    <n v="1586"/>
    <n v="15796"/>
    <s v="59541029"/>
    <s v="59541029"/>
    <m/>
    <m/>
    <n v="22772024"/>
    <m/>
    <m/>
    <m/>
    <s v="SOLFIN"/>
    <s v="SOLFIN"/>
    <s v="CCMS"/>
    <n v="21337717"/>
    <n v="1714.78"/>
    <m/>
    <s v="N"/>
    <n v="12"/>
    <d v="2023-07-06T19:21:05"/>
    <s v="Y"/>
    <s v="Preparation - other"/>
    <s v="Non Family Hourly Rates"/>
    <s v="Profit Cost"/>
    <s v="JS"/>
    <s v="Y"/>
    <n v="5.94"/>
    <n v="1.19"/>
    <x v="4"/>
    <s v="VALIDATED"/>
    <n v="1"/>
    <s v="01.11.80.208.6100.0000"/>
    <n v="5.94"/>
    <s v="11"/>
    <s v="6100"/>
    <n v="12659.16"/>
    <n v="5.94"/>
    <s v="CREDITOR"/>
    <n v="0"/>
    <n v="0"/>
    <n v="0"/>
    <n v="0"/>
    <n v="5.94"/>
  </r>
  <r>
    <n v="60553858"/>
    <s v="N"/>
    <n v="21343953"/>
    <s v="3000014821250002"/>
    <s v="CIVIL"/>
    <d v="2023-06-21T00:00:00"/>
    <d v="2023-07-07T19:03:00"/>
    <m/>
    <d v="2023-07-07T00:00:00"/>
    <n v="1586"/>
    <n v="15796"/>
    <s v="60553858"/>
    <s v="60553858"/>
    <m/>
    <m/>
    <n v="22733756"/>
    <m/>
    <m/>
    <m/>
    <s v="SOLFIN"/>
    <s v="SOLFIN"/>
    <s v="CCMS"/>
    <n v="21343953"/>
    <n v="3978.67"/>
    <m/>
    <s v="N"/>
    <n v="22"/>
    <d v="2023-07-07T19:03:18"/>
    <s v="Y"/>
    <s v="Preparation - other"/>
    <s v="Non Family Hourly Rates"/>
    <s v="Profit Cost"/>
    <s v="NP"/>
    <s v="Y"/>
    <n v="89.09999999999999"/>
    <n v="17.82"/>
    <x v="9"/>
    <s v="VALIDATED"/>
    <n v="1"/>
    <s v="01.11.80.210.6100.0000"/>
    <n v="89.09999999999999"/>
    <s v="11"/>
    <s v="6100"/>
    <n v="12659.16"/>
    <n v="89.09999999999999"/>
    <s v="CREDITOR"/>
    <n v="0"/>
    <n v="0"/>
    <n v="0"/>
    <n v="0"/>
    <n v="89.09999999999999"/>
  </r>
  <r>
    <n v="60553858"/>
    <s v="N"/>
    <n v="21343953"/>
    <s v="3000014821250002"/>
    <s v="CIVIL"/>
    <d v="2023-06-21T00:00:00"/>
    <d v="2023-07-07T19:03:00"/>
    <m/>
    <d v="2023-07-07T00:00:00"/>
    <n v="1586"/>
    <n v="15796"/>
    <s v="60553858"/>
    <s v="60553858"/>
    <m/>
    <m/>
    <n v="22733756"/>
    <m/>
    <m/>
    <m/>
    <s v="SOLFIN"/>
    <s v="SOLFIN"/>
    <s v="CCMS"/>
    <n v="21343953"/>
    <n v="3978.67"/>
    <m/>
    <s v="N"/>
    <n v="28"/>
    <d v="2023-07-07T19:03:18"/>
    <s v="Y"/>
    <s v="Waiting at court"/>
    <s v="Non Family Hourly Rates"/>
    <s v="Profit Cost"/>
    <s v="BT"/>
    <s v="Y"/>
    <n v="2.63"/>
    <n v="0.53"/>
    <x v="9"/>
    <s v="VALIDATED"/>
    <n v="1"/>
    <s v="01.11.80.210.6100.0000"/>
    <n v="2.63"/>
    <s v="11"/>
    <s v="6100"/>
    <n v="12659.16"/>
    <n v="2.63"/>
    <s v="CREDITOR"/>
    <n v="0"/>
    <n v="0"/>
    <n v="0"/>
    <n v="0"/>
    <n v="2.63"/>
  </r>
  <r>
    <n v="60553858"/>
    <s v="N"/>
    <n v="21343953"/>
    <s v="3000014821250002"/>
    <s v="CIVIL"/>
    <d v="2023-06-21T00:00:00"/>
    <d v="2023-07-07T19:03:00"/>
    <m/>
    <d v="2023-07-07T00:00:00"/>
    <n v="1586"/>
    <n v="15796"/>
    <s v="60553858"/>
    <s v="60553858"/>
    <m/>
    <m/>
    <n v="22733756"/>
    <m/>
    <m/>
    <m/>
    <s v="SOLFIN"/>
    <s v="SOLFIN"/>
    <s v="CCMS"/>
    <n v="21343953"/>
    <n v="3978.67"/>
    <m/>
    <s v="N"/>
    <n v="6"/>
    <d v="2023-07-07T19:03:18"/>
    <s v="Y"/>
    <s v="Attendance upon client"/>
    <s v="Non Family Hourly Rates"/>
    <s v="Profit Cost"/>
    <s v="BT"/>
    <s v="Y"/>
    <n v="89.09999999999999"/>
    <n v="17.82"/>
    <x v="9"/>
    <s v="VALIDATED"/>
    <n v="1"/>
    <s v="01.11.80.210.6100.0000"/>
    <n v="89.09999999999999"/>
    <s v="11"/>
    <s v="6100"/>
    <n v="12659.16"/>
    <n v="89.09999999999999"/>
    <s v="CREDITOR"/>
    <n v="0"/>
    <n v="0"/>
    <n v="0"/>
    <n v="0"/>
    <n v="89.09999999999999"/>
  </r>
  <r>
    <n v="60553858"/>
    <s v="N"/>
    <n v="21343953"/>
    <s v="3000014821250002"/>
    <s v="CIVIL"/>
    <d v="2023-06-21T00:00:00"/>
    <d v="2023-07-07T19:03:00"/>
    <m/>
    <d v="2023-07-07T00:00:00"/>
    <n v="1586"/>
    <n v="15796"/>
    <s v="60553858"/>
    <s v="60553858"/>
    <m/>
    <m/>
    <n v="22733756"/>
    <m/>
    <m/>
    <m/>
    <s v="SOLFIN"/>
    <s v="SOLFIN"/>
    <s v="CCMS"/>
    <n v="21343953"/>
    <n v="3978.67"/>
    <m/>
    <s v="N"/>
    <n v="15"/>
    <d v="2023-07-07T19:03:18"/>
    <s v="Y"/>
    <s v="Attendance upon client"/>
    <s v="Non Family Hourly Rates"/>
    <s v="Profit Cost"/>
    <s v="VI"/>
    <s v="Y"/>
    <n v="35.64"/>
    <n v="7.13"/>
    <x v="9"/>
    <s v="VALIDATED"/>
    <n v="1"/>
    <s v="01.11.80.210.6100.0000"/>
    <n v="35.64"/>
    <s v="11"/>
    <s v="6100"/>
    <n v="12659.16"/>
    <n v="35.64"/>
    <s v="CREDITOR"/>
    <n v="0"/>
    <n v="0"/>
    <n v="0"/>
    <n v="0"/>
    <n v="35.64"/>
  </r>
  <r>
    <n v="62443937"/>
    <s v="N"/>
    <n v="21323779"/>
    <s v="3000016284210001"/>
    <s v="CIVIL"/>
    <d v="2023-06-30T00:00:00"/>
    <d v="2023-07-03T19:05:56"/>
    <m/>
    <d v="2023-07-03T00:00:00"/>
    <n v="1586"/>
    <n v="15796"/>
    <s v="62443937"/>
    <s v="62443937"/>
    <m/>
    <m/>
    <n v="22800698"/>
    <m/>
    <m/>
    <m/>
    <s v="SOLPOA"/>
    <s v="SOLPOA"/>
    <s v="CCMS"/>
    <n v="21323779"/>
    <n v="750"/>
    <m/>
    <s v="N"/>
    <n v="1"/>
    <d v="2023-07-03T19:05:58"/>
    <s v="N"/>
    <s v="Non Expert Disbursement"/>
    <s v="Non Expert Disbursement"/>
    <s v="Non Expert Disbursement"/>
    <s v="HST"/>
    <s v="N"/>
    <n v="750"/>
    <n v="0"/>
    <x v="3"/>
    <s v="VALIDATED"/>
    <n v="1"/>
    <s v="01.11.80.208.2012.0000"/>
    <n v="750"/>
    <s v="11"/>
    <s v="2012"/>
    <n v="12659.16"/>
    <n v="750"/>
    <s v="CREDITOR"/>
    <n v="750"/>
    <n v="0"/>
    <n v="0"/>
    <n v="0"/>
    <n v="0"/>
  </r>
  <r>
    <n v="56440931"/>
    <s v="N"/>
    <n v="21338241"/>
    <s v="3000013433190002"/>
    <s v="CIVIL"/>
    <d v="2023-06-26T00:00:00"/>
    <d v="2023-07-06T19:21:01"/>
    <m/>
    <d v="2023-07-06T00:00:00"/>
    <n v="1586"/>
    <n v="15796"/>
    <s v="56440931"/>
    <s v="56440931"/>
    <m/>
    <m/>
    <n v="22762082"/>
    <m/>
    <m/>
    <m/>
    <s v="SOLFIN"/>
    <s v="SOLFIN"/>
    <s v="CCMS"/>
    <n v="21338241"/>
    <n v="2471.98"/>
    <m/>
    <s v="N"/>
    <n v="11"/>
    <d v="2023-07-06T19:21:13"/>
    <s v="Y"/>
    <s v="Attendance upon other side"/>
    <s v="Non Family Hourly Rates"/>
    <s v="Profit Cost"/>
    <s v="JOS"/>
    <s v="Y"/>
    <n v="22.28"/>
    <n v="4.46"/>
    <x v="4"/>
    <s v="VALIDATED"/>
    <n v="1"/>
    <s v="01.11.80.210.6100.0000"/>
    <n v="22.28"/>
    <s v="11"/>
    <s v="6100"/>
    <n v="12659.16"/>
    <n v="22.28"/>
    <s v="CREDITOR"/>
    <n v="0"/>
    <n v="0"/>
    <n v="0"/>
    <n v="0"/>
    <n v="22.28"/>
  </r>
  <r>
    <n v="60553858"/>
    <s v="N"/>
    <n v="21343953"/>
    <s v="3000014821250002"/>
    <s v="CIVIL"/>
    <d v="2023-06-21T00:00:00"/>
    <d v="2023-07-07T19:03:00"/>
    <m/>
    <d v="2023-07-07T00:00:00"/>
    <n v="1586"/>
    <n v="15796"/>
    <s v="60553858"/>
    <s v="60553858"/>
    <m/>
    <m/>
    <n v="22733756"/>
    <m/>
    <m/>
    <m/>
    <s v="SOLFIN"/>
    <s v="SOLFIN"/>
    <s v="CCMS"/>
    <n v="21343953"/>
    <n v="3978.67"/>
    <m/>
    <s v="N"/>
    <n v="9"/>
    <d v="2023-07-07T19:03:18"/>
    <s v="Y"/>
    <s v="Preparation - other"/>
    <s v="Non Family Hourly Rates"/>
    <s v="Profit Cost"/>
    <s v="BT"/>
    <s v="Y"/>
    <n v="5.94"/>
    <n v="1.19"/>
    <x v="9"/>
    <s v="VALIDATED"/>
    <n v="1"/>
    <s v="01.11.80.210.6100.0000"/>
    <n v="5.94"/>
    <s v="11"/>
    <s v="6100"/>
    <n v="12659.16"/>
    <n v="5.94"/>
    <s v="CREDITOR"/>
    <n v="0"/>
    <n v="0"/>
    <n v="0"/>
    <n v="0"/>
    <n v="5.94"/>
  </r>
  <r>
    <n v="60553858"/>
    <s v="N"/>
    <n v="21343953"/>
    <s v="3000014821250002"/>
    <s v="CIVIL"/>
    <d v="2023-06-21T00:00:00"/>
    <d v="2023-07-07T19:03:00"/>
    <m/>
    <d v="2023-07-07T00:00:00"/>
    <n v="1586"/>
    <n v="15796"/>
    <s v="60553858"/>
    <s v="60553858"/>
    <m/>
    <m/>
    <n v="22733756"/>
    <m/>
    <m/>
    <m/>
    <s v="SOLFIN"/>
    <s v="SOLFIN"/>
    <s v="CCMS"/>
    <n v="21343953"/>
    <n v="3978.67"/>
    <m/>
    <s v="N"/>
    <n v="13"/>
    <d v="2023-07-07T19:03:18"/>
    <s v="Y"/>
    <s v="Preparation - other"/>
    <s v="Non Family Hourly Rates"/>
    <s v="Profit Cost"/>
    <s v="BT"/>
    <s v="Y"/>
    <n v="133.65"/>
    <n v="26.73"/>
    <x v="9"/>
    <s v="VALIDATED"/>
    <n v="1"/>
    <s v="01.11.80.210.6100.0000"/>
    <n v="133.65"/>
    <s v="11"/>
    <s v="6100"/>
    <n v="12659.16"/>
    <n v="133.65"/>
    <s v="CREDITOR"/>
    <n v="0"/>
    <n v="0"/>
    <n v="0"/>
    <n v="0"/>
    <n v="133.65"/>
  </r>
  <r>
    <n v="59635013"/>
    <s v="N"/>
    <n v="21338340"/>
    <s v="3000014025420005"/>
    <s v="CIVIL"/>
    <d v="2023-06-22T00:00:00"/>
    <d v="2023-07-06T19:21:01"/>
    <m/>
    <d v="2023-07-06T00:00:00"/>
    <n v="1586"/>
    <n v="15796"/>
    <s v="59635013"/>
    <s v="59635013"/>
    <m/>
    <m/>
    <n v="22745166"/>
    <m/>
    <m/>
    <m/>
    <s v="SOLFIN"/>
    <s v="SOLFIN"/>
    <s v="CCMS"/>
    <n v="21338340"/>
    <n v="9250.26"/>
    <m/>
    <s v="N"/>
    <n v="46"/>
    <d v="2023-07-06T19:21:20"/>
    <s v="Y"/>
    <s v="Preparation - other"/>
    <s v="Non Family Hourly Rates"/>
    <s v="Profit Cost"/>
    <s v="NP"/>
    <s v="Y"/>
    <n v="26.73"/>
    <n v="5.35"/>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64"/>
    <d v="2023-07-06T19:21:20"/>
    <s v="Y"/>
    <s v="Waiting at court"/>
    <s v="Non Family Hourly Rates"/>
    <s v="Profit Cost"/>
    <s v="BT"/>
    <s v="Y"/>
    <n v="5.26"/>
    <n v="1.05"/>
    <x v="4"/>
    <s v="VALIDATED"/>
    <n v="1"/>
    <s v="01.11.80.210.6100.0000"/>
    <n v="5.26"/>
    <s v="11"/>
    <s v="6100"/>
    <n v="12659.16"/>
    <n v="5.26"/>
    <s v="CREDITOR"/>
    <n v="0"/>
    <n v="0"/>
    <n v="0"/>
    <n v="0"/>
    <n v="5.26"/>
  </r>
  <r>
    <n v="62185340"/>
    <s v="N"/>
    <n v="21324094"/>
    <s v="3000016196450004"/>
    <s v="CIVIL"/>
    <d v="2023-06-30T00:00:00"/>
    <d v="2023-07-03T19:05:56"/>
    <m/>
    <d v="2023-07-03T00:00:00"/>
    <n v="1586"/>
    <n v="15796"/>
    <s v="62185340"/>
    <s v="62185340"/>
    <m/>
    <m/>
    <n v="22797084"/>
    <m/>
    <m/>
    <m/>
    <s v="SOLPOA"/>
    <s v="SOLPOA"/>
    <s v="CCMS"/>
    <n v="21324094"/>
    <n v="405"/>
    <m/>
    <s v="N"/>
    <n v="1"/>
    <d v="2023-07-03T19:06:00"/>
    <s v="N"/>
    <s v="Expert Cost"/>
    <s v="Expert Cost"/>
    <s v="Expert Disbursement"/>
    <s v="ECW"/>
    <s v="N"/>
    <n v="405"/>
    <n v="0"/>
    <x v="3"/>
    <s v="VALIDATED"/>
    <n v="1"/>
    <s v="01.11.80.308.2012.0000"/>
    <n v="405"/>
    <s v="11"/>
    <s v="2012"/>
    <n v="12659.16"/>
    <n v="405"/>
    <s v="CREDITOR"/>
    <n v="405"/>
    <n v="0"/>
    <n v="0"/>
    <n v="0"/>
    <n v="0"/>
  </r>
  <r>
    <n v="54248104"/>
    <s v="N"/>
    <n v="21350007"/>
    <s v="3000012922770007"/>
    <s v="CIVIL"/>
    <d v="2023-06-28T00:00:00"/>
    <d v="2023-07-10T19:01:40"/>
    <m/>
    <d v="2023-07-10T00:00:00"/>
    <n v="1586"/>
    <n v="15796"/>
    <s v="54248104"/>
    <s v="54248104"/>
    <m/>
    <m/>
    <n v="22779004"/>
    <m/>
    <m/>
    <m/>
    <s v="SOLFIN"/>
    <s v="SOLFIN"/>
    <s v="CCMS"/>
    <n v="21350007"/>
    <n v="4461.01"/>
    <m/>
    <s v="N"/>
    <n v="20"/>
    <d v="2023-07-10T19:02:09"/>
    <s v="Y"/>
    <s v="Preparation - other"/>
    <s v="Non Family Hourly Rates"/>
    <s v="Profit Cost"/>
    <s v="BT"/>
    <s v="Y"/>
    <n v="11.88"/>
    <n v="2.38"/>
    <x v="2"/>
    <s v="VALIDATED"/>
    <n v="1"/>
    <s v="01.11.80.208.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45"/>
    <d v="2023-07-06T19:21:20"/>
    <s v="Y"/>
    <s v="Preparation - other"/>
    <s v="Non Family Hourly Rates"/>
    <s v="Profit Cost"/>
    <s v="NP"/>
    <s v="Y"/>
    <n v="17.82"/>
    <n v="3.56"/>
    <x v="4"/>
    <s v="VALIDATED"/>
    <n v="1"/>
    <s v="01.11.80.210.6100.0000"/>
    <n v="17.82"/>
    <s v="11"/>
    <s v="6100"/>
    <n v="12659.16"/>
    <n v="17.82"/>
    <s v="CREDITOR"/>
    <n v="0"/>
    <n v="0"/>
    <n v="0"/>
    <n v="0"/>
    <n v="17.82"/>
  </r>
  <r>
    <n v="59635013"/>
    <s v="N"/>
    <n v="21338340"/>
    <s v="3000014025420005"/>
    <s v="CIVIL"/>
    <d v="2023-06-22T00:00:00"/>
    <d v="2023-07-06T19:21:01"/>
    <m/>
    <d v="2023-07-06T00:00:00"/>
    <n v="1586"/>
    <n v="15796"/>
    <s v="59635013"/>
    <s v="59635013"/>
    <m/>
    <m/>
    <n v="22745166"/>
    <m/>
    <m/>
    <m/>
    <s v="SOLFIN"/>
    <s v="SOLFIN"/>
    <s v="CCMS"/>
    <n v="21338340"/>
    <n v="9250.26"/>
    <m/>
    <s v="N"/>
    <n v="76"/>
    <d v="2023-07-06T19:21:20"/>
    <s v="Y"/>
    <s v="Routine Telephone Call"/>
    <s v="Non Family Hourly Rates"/>
    <s v="Profit Cost"/>
    <s v="VI"/>
    <s v="Y"/>
    <n v="19.74"/>
    <n v="3.95"/>
    <x v="4"/>
    <s v="VALIDATED"/>
    <n v="1"/>
    <s v="01.11.80.210.6100.0000"/>
    <n v="19.74"/>
    <s v="11"/>
    <s v="6100"/>
    <n v="12659.16"/>
    <n v="19.74"/>
    <s v="CREDITOR"/>
    <n v="0"/>
    <n v="0"/>
    <n v="0"/>
    <n v="0"/>
    <n v="19.74"/>
  </r>
  <r>
    <n v="56440931"/>
    <s v="N"/>
    <n v="21338241"/>
    <s v="3000013433190002"/>
    <s v="CIVIL"/>
    <d v="2023-06-26T00:00:00"/>
    <d v="2023-07-06T19:21:01"/>
    <m/>
    <d v="2023-07-06T00:00:00"/>
    <n v="1586"/>
    <n v="15796"/>
    <s v="56440931"/>
    <s v="56440931"/>
    <m/>
    <m/>
    <n v="22762082"/>
    <m/>
    <m/>
    <m/>
    <s v="SOLFIN"/>
    <s v="SOLFIN"/>
    <s v="CCMS"/>
    <n v="21338241"/>
    <n v="2471.98"/>
    <m/>
    <s v="N"/>
    <n v="21"/>
    <d v="2023-07-06T19:21:13"/>
    <s v="Y"/>
    <s v="Preparation - other"/>
    <s v="Non Family Hourly Rates"/>
    <s v="Profit Cost"/>
    <s v="JOS"/>
    <s v="Y"/>
    <n v="22.28"/>
    <n v="4.46"/>
    <x v="4"/>
    <s v="VALIDATED"/>
    <n v="1"/>
    <s v="01.11.80.210.6100.0000"/>
    <n v="22.28"/>
    <s v="11"/>
    <s v="6100"/>
    <n v="12659.16"/>
    <n v="22.28"/>
    <s v="CREDITOR"/>
    <n v="0"/>
    <n v="0"/>
    <n v="0"/>
    <n v="0"/>
    <n v="22.28"/>
  </r>
  <r>
    <n v="54248104"/>
    <s v="N"/>
    <n v="21350007"/>
    <s v="3000012922770007"/>
    <s v="CIVIL"/>
    <d v="2023-06-28T00:00:00"/>
    <d v="2023-07-10T19:01:40"/>
    <m/>
    <d v="2023-07-10T00:00:00"/>
    <n v="1586"/>
    <n v="15796"/>
    <s v="54248104"/>
    <s v="54248104"/>
    <m/>
    <m/>
    <n v="22779004"/>
    <m/>
    <m/>
    <m/>
    <s v="SOLFIN"/>
    <s v="SOLFIN"/>
    <s v="CCMS"/>
    <n v="21350007"/>
    <n v="4461.01"/>
    <m/>
    <s v="N"/>
    <n v="2"/>
    <d v="2023-07-10T19:02:09"/>
    <s v="Y"/>
    <s v="Court Fee"/>
    <s v="Non Family Hourly Rates"/>
    <s v="Non Expert Disbursement"/>
    <s v="JS"/>
    <s v="Y"/>
    <n v="275"/>
    <n v="0"/>
    <x v="2"/>
    <s v="VALIDATED"/>
    <n v="1"/>
    <s v="01.11.80.208.6300.0000"/>
    <n v="275"/>
    <s v="11"/>
    <s v="6300"/>
    <n v="12659.16"/>
    <n v="275"/>
    <s v="CREDITOR"/>
    <n v="0"/>
    <n v="0"/>
    <n v="0"/>
    <n v="0"/>
    <n v="275"/>
  </r>
  <r>
    <n v="54249002"/>
    <s v="N"/>
    <n v="21344014"/>
    <s v="3000012924670002"/>
    <s v="CIVIL"/>
    <d v="2023-06-28T00:00:00"/>
    <d v="2023-07-07T19:03:00"/>
    <m/>
    <d v="2023-07-07T00:00:00"/>
    <n v="1586"/>
    <n v="15796"/>
    <s v="54249002"/>
    <s v="54249002"/>
    <m/>
    <m/>
    <n v="22778978"/>
    <m/>
    <m/>
    <m/>
    <s v="SOLFIN"/>
    <s v="SOLFIN"/>
    <s v="CCMS"/>
    <n v="21344014"/>
    <n v="3560.34"/>
    <m/>
    <s v="N"/>
    <n v="46"/>
    <d v="2023-07-07T19:03:20"/>
    <s v="Y"/>
    <s v="Advocacy - In court behind Counsel"/>
    <s v="Non Family Hourly Rates"/>
    <s v="Advocacy"/>
    <s v="YM"/>
    <s v="Y"/>
    <n v="65.81999999999999"/>
    <n v="13.16"/>
    <x v="9"/>
    <s v="VALIDATED"/>
    <n v="1"/>
    <s v="01.11.80.208.6100.0000"/>
    <n v="65.81999999999999"/>
    <s v="11"/>
    <s v="6100"/>
    <n v="12659.16"/>
    <n v="65.81999999999999"/>
    <s v="CREDITOR"/>
    <n v="0"/>
    <n v="0"/>
    <n v="0"/>
    <n v="0"/>
    <n v="65.81999999999999"/>
  </r>
  <r>
    <n v="54249002"/>
    <s v="N"/>
    <n v="21344014"/>
    <s v="3000012924670002"/>
    <s v="CIVIL"/>
    <d v="2023-06-28T00:00:00"/>
    <d v="2023-07-07T19:03:00"/>
    <m/>
    <d v="2023-07-07T00:00:00"/>
    <n v="1586"/>
    <n v="15796"/>
    <s v="54249002"/>
    <s v="54249002"/>
    <m/>
    <m/>
    <n v="22778978"/>
    <m/>
    <m/>
    <m/>
    <s v="SOLFIN"/>
    <s v="SOLFIN"/>
    <s v="CCMS"/>
    <n v="21344014"/>
    <n v="3560.34"/>
    <m/>
    <s v="N"/>
    <n v="36"/>
    <d v="2023-07-07T19:03:20"/>
    <s v="Y"/>
    <s v="Preparation - other"/>
    <s v="Non Family Hourly Rates"/>
    <s v="Profit Cost"/>
    <s v="JS"/>
    <s v="Y"/>
    <n v="22.28"/>
    <n v="4.46"/>
    <x v="9"/>
    <s v="VALIDATED"/>
    <n v="1"/>
    <s v="01.11.80.208.6100.0000"/>
    <n v="22.28"/>
    <s v="11"/>
    <s v="6100"/>
    <n v="12659.16"/>
    <n v="22.28"/>
    <s v="CREDITOR"/>
    <n v="0"/>
    <n v="0"/>
    <n v="0"/>
    <n v="0"/>
    <n v="22.28"/>
  </r>
  <r>
    <n v="59635013"/>
    <s v="N"/>
    <n v="21338340"/>
    <s v="3000014025420005"/>
    <s v="CIVIL"/>
    <d v="2023-06-22T00:00:00"/>
    <d v="2023-07-06T19:21:01"/>
    <m/>
    <d v="2023-07-06T00:00:00"/>
    <n v="1586"/>
    <n v="15796"/>
    <s v="59635013"/>
    <s v="59635013"/>
    <m/>
    <m/>
    <n v="22745166"/>
    <m/>
    <m/>
    <m/>
    <s v="SOLFIN"/>
    <s v="SOLFIN"/>
    <s v="CCMS"/>
    <n v="21338340"/>
    <n v="9250.26"/>
    <m/>
    <s v="N"/>
    <n v="12"/>
    <d v="2023-07-06T19:21:20"/>
    <s v="Y"/>
    <s v="Preparation - other"/>
    <s v="Non Family Hourly Rates"/>
    <s v="Profit Cost"/>
    <s v="JS"/>
    <s v="Y"/>
    <n v="258.39"/>
    <n v="51.68"/>
    <x v="4"/>
    <s v="VALIDATED"/>
    <n v="1"/>
    <s v="01.11.80.210.6100.0000"/>
    <n v="258.39"/>
    <s v="11"/>
    <s v="6100"/>
    <n v="12659.16"/>
    <n v="258.39"/>
    <s v="CREDITOR"/>
    <n v="0"/>
    <n v="0"/>
    <n v="0"/>
    <n v="0"/>
    <n v="258.39"/>
  </r>
  <r>
    <n v="60553858"/>
    <s v="N"/>
    <n v="21343953"/>
    <s v="3000014821250002"/>
    <s v="CIVIL"/>
    <d v="2023-06-21T00:00:00"/>
    <d v="2023-07-07T19:03:00"/>
    <m/>
    <d v="2023-07-07T00:00:00"/>
    <n v="1586"/>
    <n v="15796"/>
    <s v="60553858"/>
    <s v="60553858"/>
    <m/>
    <m/>
    <n v="22733756"/>
    <m/>
    <m/>
    <m/>
    <s v="SOLFIN"/>
    <s v="SOLFIN"/>
    <s v="CCMS"/>
    <n v="21343953"/>
    <n v="3978.67"/>
    <m/>
    <s v="N"/>
    <n v="33"/>
    <d v="2023-07-07T19:03:18"/>
    <s v="Y"/>
    <s v="Attendance upon other side"/>
    <s v="Non Family Hourly Rates"/>
    <s v="Profit Cost"/>
    <s v="BT"/>
    <s v="Y"/>
    <n v="17.82"/>
    <n v="3.56"/>
    <x v="9"/>
    <s v="VALIDATED"/>
    <n v="1"/>
    <s v="01.11.80.210.6100.0000"/>
    <n v="17.82"/>
    <s v="11"/>
    <s v="6100"/>
    <n v="12659.16"/>
    <n v="17.82"/>
    <s v="CREDITOR"/>
    <n v="0"/>
    <n v="0"/>
    <n v="0"/>
    <n v="0"/>
    <n v="17.82"/>
  </r>
  <r>
    <n v="60553858"/>
    <s v="N"/>
    <n v="21343953"/>
    <s v="3000014821250002"/>
    <s v="CIVIL"/>
    <d v="2023-06-21T00:00:00"/>
    <d v="2023-07-07T19:03:00"/>
    <m/>
    <d v="2023-07-07T00:00:00"/>
    <n v="1586"/>
    <n v="15796"/>
    <s v="60553858"/>
    <s v="60553858"/>
    <m/>
    <m/>
    <n v="22733756"/>
    <m/>
    <m/>
    <m/>
    <s v="SOLFIN"/>
    <s v="SOLFIN"/>
    <s v="CCMS"/>
    <n v="21343953"/>
    <n v="3978.67"/>
    <m/>
    <s v="N"/>
    <n v="10"/>
    <d v="2023-07-07T19:03:18"/>
    <s v="Y"/>
    <s v="Preparation - drafting notice(s)"/>
    <s v="Non Family Hourly Rates"/>
    <s v="Profit Cost"/>
    <s v="BT"/>
    <s v="Y"/>
    <n v="5.94"/>
    <n v="1.19"/>
    <x v="9"/>
    <s v="VALIDATED"/>
    <n v="1"/>
    <s v="01.11.80.210.6100.0000"/>
    <n v="5.94"/>
    <s v="11"/>
    <s v="6100"/>
    <n v="12659.16"/>
    <n v="5.94"/>
    <s v="CREDITOR"/>
    <n v="0"/>
    <n v="0"/>
    <n v="0"/>
    <n v="0"/>
    <n v="5.94"/>
  </r>
  <r>
    <n v="59635013"/>
    <s v="N"/>
    <n v="21338340"/>
    <s v="3000014025420005"/>
    <s v="CIVIL"/>
    <d v="2023-06-22T00:00:00"/>
    <d v="2023-07-06T19:21:01"/>
    <m/>
    <d v="2023-07-06T00:00:00"/>
    <n v="1586"/>
    <n v="15796"/>
    <s v="59635013"/>
    <s v="59635013"/>
    <m/>
    <m/>
    <n v="22745166"/>
    <m/>
    <m/>
    <m/>
    <s v="SOLFIN"/>
    <s v="SOLFIN"/>
    <s v="CCMS"/>
    <n v="21338340"/>
    <n v="9250.26"/>
    <m/>
    <s v="N"/>
    <n v="53"/>
    <d v="2023-07-06T19:21:20"/>
    <s v="Y"/>
    <s v="Preparation - other"/>
    <s v="Non Family Hourly Rates"/>
    <s v="Profit Cost"/>
    <s v="NP"/>
    <s v="Y"/>
    <n v="89.09999999999999"/>
    <n v="17.82"/>
    <x v="4"/>
    <s v="VALIDATED"/>
    <n v="1"/>
    <s v="01.11.80.210.6100.0000"/>
    <n v="89.09999999999999"/>
    <s v="11"/>
    <s v="6100"/>
    <n v="12659.16"/>
    <n v="89.09999999999999"/>
    <s v="CREDITOR"/>
    <n v="0"/>
    <n v="0"/>
    <n v="0"/>
    <n v="0"/>
    <n v="89.09999999999999"/>
  </r>
  <r>
    <n v="10087452"/>
    <s v="N"/>
    <n v="21391928"/>
    <s v="3000005965680003"/>
    <s v="CIVIL"/>
    <d v="2023-06-28T00:00:00"/>
    <d v="2023-07-18T19:00:27"/>
    <m/>
    <d v="2023-07-18T00:00:00"/>
    <n v="1586"/>
    <n v="15796"/>
    <s v="10087452"/>
    <s v="10087452"/>
    <m/>
    <m/>
    <n v="22777604"/>
    <m/>
    <m/>
    <m/>
    <s v="SOLFIN"/>
    <s v="SOLFIN"/>
    <s v="CCMS"/>
    <n v="21391928"/>
    <n v="1623.53"/>
    <m/>
    <s v="N"/>
    <n v="5"/>
    <d v="2023-07-18T19:00:33"/>
    <s v="Y"/>
    <s v="Waiting at court"/>
    <s v="Non Family Hourly Rates"/>
    <s v="Profit Cost"/>
    <s v="BT"/>
    <s v="Y"/>
    <n v="10.51"/>
    <n v="2.1"/>
    <x v="14"/>
    <s v="VALIDATED"/>
    <n v="1"/>
    <s v="01.11.80.208.6100.0000"/>
    <n v="10.51"/>
    <s v="11"/>
    <s v="6100"/>
    <n v="12659.16"/>
    <n v="10.51"/>
    <s v="CREDITOR"/>
    <n v="0"/>
    <n v="0"/>
    <n v="0"/>
    <n v="0"/>
    <n v="10.51"/>
  </r>
  <r>
    <n v="54248104"/>
    <s v="N"/>
    <n v="21350007"/>
    <s v="3000012922770007"/>
    <s v="CIVIL"/>
    <d v="2023-06-28T00:00:00"/>
    <d v="2023-07-10T19:01:40"/>
    <m/>
    <d v="2023-07-10T00:00:00"/>
    <n v="1586"/>
    <n v="15796"/>
    <s v="54248104"/>
    <s v="54248104"/>
    <m/>
    <m/>
    <n v="22779004"/>
    <m/>
    <m/>
    <m/>
    <s v="SOLFIN"/>
    <s v="SOLFIN"/>
    <s v="CCMS"/>
    <n v="21350007"/>
    <n v="4461.01"/>
    <m/>
    <s v="N"/>
    <n v="23"/>
    <d v="2023-07-10T19:02:09"/>
    <s v="Y"/>
    <s v="Preparation - other"/>
    <s v="Non Family Hourly Rates"/>
    <s v="Profit Cost"/>
    <s v="BT"/>
    <s v="Y"/>
    <n v="11.88"/>
    <n v="2.38"/>
    <x v="2"/>
    <s v="VALIDATED"/>
    <n v="1"/>
    <s v="01.11.80.208.6100.0000"/>
    <n v="11.88"/>
    <s v="11"/>
    <s v="6100"/>
    <n v="12659.16"/>
    <n v="11.88"/>
    <s v="CREDITOR"/>
    <n v="0"/>
    <n v="0"/>
    <n v="0"/>
    <n v="0"/>
    <n v="11.88"/>
  </r>
  <r>
    <n v="54249002"/>
    <s v="N"/>
    <n v="21344014"/>
    <s v="3000012924670002"/>
    <s v="CIVIL"/>
    <d v="2023-06-28T00:00:00"/>
    <d v="2023-07-07T19:03:00"/>
    <m/>
    <d v="2023-07-07T00:00:00"/>
    <n v="1586"/>
    <n v="15796"/>
    <s v="54249002"/>
    <s v="54249002"/>
    <m/>
    <m/>
    <n v="22778978"/>
    <m/>
    <m/>
    <m/>
    <s v="SOLFIN"/>
    <s v="SOLFIN"/>
    <s v="CCMS"/>
    <n v="21344014"/>
    <n v="3560.34"/>
    <m/>
    <s v="N"/>
    <n v="57"/>
    <d v="2023-07-07T19:03:20"/>
    <s v="Y"/>
    <s v="Preparation - drafting bill/claim f"/>
    <s v="Non Family Hourly Rates"/>
    <s v="Profit Cost"/>
    <s v="BT"/>
    <s v="Y"/>
    <n v="23.76"/>
    <n v="4.75"/>
    <x v="9"/>
    <s v="VALIDATED"/>
    <n v="1"/>
    <s v="01.11.80.208.6100.0000"/>
    <n v="23.76"/>
    <s v="11"/>
    <s v="6100"/>
    <n v="12659.16"/>
    <n v="23.76"/>
    <s v="CREDITOR"/>
    <n v="0"/>
    <n v="0"/>
    <n v="0"/>
    <n v="0"/>
    <n v="23.76"/>
  </r>
  <r>
    <n v="54249002"/>
    <s v="N"/>
    <n v="21344014"/>
    <s v="3000012924670002"/>
    <s v="CIVIL"/>
    <d v="2023-06-28T00:00:00"/>
    <d v="2023-07-07T19:03:00"/>
    <m/>
    <d v="2023-07-07T00:00:00"/>
    <n v="1586"/>
    <n v="15796"/>
    <s v="54249002"/>
    <s v="54249002"/>
    <m/>
    <m/>
    <n v="22778978"/>
    <m/>
    <m/>
    <m/>
    <s v="SOLFIN"/>
    <s v="SOLFIN"/>
    <s v="CCMS"/>
    <n v="21344014"/>
    <n v="3560.34"/>
    <m/>
    <s v="N"/>
    <n v="34"/>
    <d v="2023-07-07T19:03:20"/>
    <s v="Y"/>
    <s v="Preparation - other"/>
    <s v="Non Family Hourly Rates"/>
    <s v="Profit Cost"/>
    <s v="JS"/>
    <s v="Y"/>
    <n v="13.37"/>
    <n v="2.67"/>
    <x v="9"/>
    <s v="VALIDATED"/>
    <n v="1"/>
    <s v="01.11.80.208.6100.0000"/>
    <n v="13.37"/>
    <s v="11"/>
    <s v="6100"/>
    <n v="12659.16"/>
    <n v="13.37"/>
    <s v="CREDITOR"/>
    <n v="0"/>
    <n v="0"/>
    <n v="0"/>
    <n v="0"/>
    <n v="13.37"/>
  </r>
  <r>
    <n v="54249002"/>
    <s v="N"/>
    <n v="21344014"/>
    <s v="3000012924670002"/>
    <s v="CIVIL"/>
    <d v="2023-06-28T00:00:00"/>
    <d v="2023-07-07T19:03:00"/>
    <m/>
    <d v="2023-07-07T00:00:00"/>
    <n v="1586"/>
    <n v="15796"/>
    <s v="54249002"/>
    <s v="54249002"/>
    <m/>
    <m/>
    <n v="22778978"/>
    <m/>
    <m/>
    <m/>
    <s v="SOLFIN"/>
    <s v="SOLFIN"/>
    <s v="CCMS"/>
    <n v="21344014"/>
    <n v="3560.34"/>
    <m/>
    <s v="N"/>
    <n v="1"/>
    <d v="2023-07-07T19:03:20"/>
    <s v="Y"/>
    <s v="Attendance upon client"/>
    <s v="Non Family Hourly Rates"/>
    <s v="Profit Cost"/>
    <s v="JS"/>
    <s v="Y"/>
    <n v="22.28"/>
    <n v="4.46"/>
    <x v="9"/>
    <s v="VALIDATED"/>
    <n v="1"/>
    <s v="01.11.80.208.6100.0000"/>
    <n v="22.28"/>
    <s v="11"/>
    <s v="6100"/>
    <n v="12659.16"/>
    <n v="22.28"/>
    <s v="CREDITOR"/>
    <n v="0"/>
    <n v="0"/>
    <n v="0"/>
    <n v="0"/>
    <n v="22.28"/>
  </r>
  <r>
    <n v="56440931"/>
    <s v="N"/>
    <n v="21338241"/>
    <s v="3000013433190002"/>
    <s v="CIVIL"/>
    <d v="2023-06-26T00:00:00"/>
    <d v="2023-07-06T19:21:01"/>
    <m/>
    <d v="2023-07-06T00:00:00"/>
    <n v="1586"/>
    <n v="15796"/>
    <s v="56440931"/>
    <s v="56440931"/>
    <m/>
    <m/>
    <n v="22762082"/>
    <m/>
    <m/>
    <m/>
    <s v="SOLFIN"/>
    <s v="SOLFIN"/>
    <s v="CCMS"/>
    <n v="21338241"/>
    <n v="2471.98"/>
    <m/>
    <s v="N"/>
    <n v="31"/>
    <d v="2023-07-06T19:21:13"/>
    <s v="Y"/>
    <s v="Waiting at court"/>
    <s v="Non Family Hourly Rates"/>
    <s v="Profit Cost"/>
    <s v="BT"/>
    <s v="Y"/>
    <n v="7.88"/>
    <n v="1.58"/>
    <x v="4"/>
    <s v="VALIDATED"/>
    <n v="1"/>
    <s v="01.11.80.210.6100.0000"/>
    <n v="7.88"/>
    <s v="11"/>
    <s v="6100"/>
    <n v="12659.16"/>
    <n v="7.88"/>
    <s v="CREDITOR"/>
    <n v="0"/>
    <n v="0"/>
    <n v="0"/>
    <n v="0"/>
    <n v="7.88"/>
  </r>
  <r>
    <n v="59541029"/>
    <s v="N"/>
    <n v="21337717"/>
    <s v="3000013946150003"/>
    <s v="CIVIL"/>
    <d v="2023-06-27T00:00:00"/>
    <d v="2023-07-06T19:21:01"/>
    <m/>
    <d v="2023-07-06T00:00:00"/>
    <n v="1586"/>
    <n v="15796"/>
    <s v="59541029"/>
    <s v="59541029"/>
    <m/>
    <m/>
    <n v="22772024"/>
    <m/>
    <m/>
    <m/>
    <s v="SOLFIN"/>
    <s v="SOLFIN"/>
    <s v="CCMS"/>
    <n v="21337717"/>
    <n v="1714.78"/>
    <m/>
    <s v="N"/>
    <n v="15"/>
    <d v="2023-07-06T19:21:05"/>
    <s v="Y"/>
    <s v="Preparation - other"/>
    <s v="Non Family Hourly Rates"/>
    <s v="Profit Cost"/>
    <s v="JS"/>
    <s v="Y"/>
    <n v="5.94"/>
    <n v="1.19"/>
    <x v="4"/>
    <s v="VALIDATED"/>
    <n v="1"/>
    <s v="01.11.80.208.6100.0000"/>
    <n v="5.94"/>
    <s v="11"/>
    <s v="6100"/>
    <n v="12659.16"/>
    <n v="5.94"/>
    <s v="CREDITOR"/>
    <n v="0"/>
    <n v="0"/>
    <n v="0"/>
    <n v="0"/>
    <n v="5.94"/>
  </r>
  <r>
    <n v="62300080"/>
    <s v="N"/>
    <n v="21323742"/>
    <s v="3000016291210001"/>
    <s v="CIVIL"/>
    <d v="2023-06-30T00:00:00"/>
    <d v="2023-07-03T19:05:56"/>
    <m/>
    <d v="2023-07-03T00:00:00"/>
    <n v="1586"/>
    <n v="15796"/>
    <s v="62300080"/>
    <s v="62300080"/>
    <m/>
    <m/>
    <n v="22798508"/>
    <m/>
    <m/>
    <m/>
    <s v="SOLPOA"/>
    <s v="SOLPOA"/>
    <s v="CCMS"/>
    <n v="21323742"/>
    <n v="455"/>
    <m/>
    <s v="N"/>
    <n v="1"/>
    <d v="2023-07-03T19:05:58"/>
    <s v="N"/>
    <s v="Non Expert Disbursement"/>
    <s v="Non Expert Disbursement"/>
    <s v="Non Expert Disbursement"/>
    <s v="BT"/>
    <s v="N"/>
    <n v="455"/>
    <n v="0"/>
    <x v="3"/>
    <s v="VALIDATED"/>
    <n v="1"/>
    <s v="01.11.80.208.2012.0000"/>
    <n v="455"/>
    <s v="11"/>
    <s v="2012"/>
    <n v="12659.16"/>
    <n v="455"/>
    <s v="CREDITOR"/>
    <n v="455"/>
    <n v="0"/>
    <n v="0"/>
    <n v="0"/>
    <n v="0"/>
  </r>
  <r>
    <n v="56440931"/>
    <s v="N"/>
    <n v="21338241"/>
    <s v="3000013433190002"/>
    <s v="CIVIL"/>
    <d v="2023-06-26T00:00:00"/>
    <d v="2023-07-06T19:21:01"/>
    <m/>
    <d v="2023-07-06T00:00:00"/>
    <n v="1586"/>
    <n v="15796"/>
    <s v="56440931"/>
    <s v="56440931"/>
    <m/>
    <m/>
    <n v="22762082"/>
    <m/>
    <m/>
    <m/>
    <s v="SOLFIN"/>
    <s v="SOLFIN"/>
    <s v="CCMS"/>
    <n v="21338241"/>
    <n v="2471.98"/>
    <m/>
    <s v="N"/>
    <n v="46"/>
    <d v="2023-07-06T19:21:13"/>
    <s v="Y"/>
    <s v="Preparation - drafting bill/claim f"/>
    <s v="Non Family Hourly Rates"/>
    <s v="Profit Cost"/>
    <s v="BB"/>
    <s v="Y"/>
    <n v="166.32"/>
    <n v="33.27"/>
    <x v="4"/>
    <s v="VALIDATED"/>
    <n v="1"/>
    <s v="01.11.80.210.6100.0000"/>
    <n v="166.32"/>
    <s v="11"/>
    <s v="6100"/>
    <n v="12659.16"/>
    <n v="166.32"/>
    <s v="CREDITOR"/>
    <n v="0"/>
    <n v="0"/>
    <n v="0"/>
    <n v="0"/>
    <n v="166.32"/>
  </r>
  <r>
    <n v="56440931"/>
    <s v="N"/>
    <n v="21338241"/>
    <s v="3000013433190002"/>
    <s v="CIVIL"/>
    <d v="2023-06-26T00:00:00"/>
    <d v="2023-07-06T19:21:01"/>
    <m/>
    <d v="2023-07-06T00:00:00"/>
    <n v="1586"/>
    <n v="15796"/>
    <s v="56440931"/>
    <s v="56440931"/>
    <m/>
    <m/>
    <n v="22762082"/>
    <m/>
    <m/>
    <m/>
    <s v="SOLFIN"/>
    <s v="SOLFIN"/>
    <s v="CCMS"/>
    <n v="21338241"/>
    <n v="2471.98"/>
    <m/>
    <s v="N"/>
    <n v="39"/>
    <d v="2023-07-06T19:21:13"/>
    <s v="Y"/>
    <s v="Waiting at court"/>
    <s v="Non Family Hourly Rates"/>
    <s v="Profit Cost"/>
    <s v="JOS"/>
    <s v="Y"/>
    <n v="18.4"/>
    <n v="3.68"/>
    <x v="4"/>
    <s v="VALIDATED"/>
    <n v="1"/>
    <s v="01.11.80.210.6100.0000"/>
    <n v="18.4"/>
    <s v="11"/>
    <s v="6100"/>
    <n v="12659.16"/>
    <n v="18.4"/>
    <s v="CREDITOR"/>
    <n v="0"/>
    <n v="0"/>
    <n v="0"/>
    <n v="0"/>
    <n v="18.4"/>
  </r>
  <r>
    <n v="54248104"/>
    <s v="N"/>
    <n v="21350007"/>
    <s v="3000012922770007"/>
    <s v="CIVIL"/>
    <d v="2023-06-28T00:00:00"/>
    <d v="2023-07-10T19:01:40"/>
    <m/>
    <d v="2023-07-10T00:00:00"/>
    <n v="1586"/>
    <n v="15796"/>
    <s v="54248104"/>
    <s v="54248104"/>
    <m/>
    <m/>
    <n v="22779004"/>
    <m/>
    <m/>
    <m/>
    <s v="SOLFIN"/>
    <s v="SOLFIN"/>
    <s v="CCMS"/>
    <n v="21350007"/>
    <n v="4461.01"/>
    <m/>
    <s v="N"/>
    <n v="24"/>
    <d v="2023-07-10T19:02:09"/>
    <s v="Y"/>
    <s v="Preparation - other"/>
    <s v="Non Family Hourly Rates"/>
    <s v="Profit Cost"/>
    <s v="BT"/>
    <s v="Y"/>
    <n v="5.94"/>
    <n v="1.19"/>
    <x v="2"/>
    <s v="VALIDATED"/>
    <n v="1"/>
    <s v="01.11.80.208.6100.0000"/>
    <n v="5.94"/>
    <s v="11"/>
    <s v="6100"/>
    <n v="12659.16"/>
    <n v="5.94"/>
    <s v="CREDITOR"/>
    <n v="0"/>
    <n v="0"/>
    <n v="0"/>
    <n v="0"/>
    <n v="5.94"/>
  </r>
  <r>
    <n v="54248104"/>
    <s v="N"/>
    <n v="21350007"/>
    <s v="3000012922770007"/>
    <s v="CIVIL"/>
    <d v="2023-06-28T00:00:00"/>
    <d v="2023-07-10T19:01:40"/>
    <m/>
    <d v="2023-07-10T00:00:00"/>
    <n v="1586"/>
    <n v="15796"/>
    <s v="54248104"/>
    <s v="54248104"/>
    <m/>
    <m/>
    <n v="22779004"/>
    <m/>
    <m/>
    <m/>
    <s v="SOLFIN"/>
    <s v="SOLFIN"/>
    <s v="CCMS"/>
    <n v="21350007"/>
    <n v="4461.01"/>
    <m/>
    <s v="N"/>
    <n v="25"/>
    <d v="2023-07-10T19:02:09"/>
    <s v="Y"/>
    <s v="Preparation - drafting notice(s)"/>
    <s v="Non Family Hourly Rates"/>
    <s v="Profit Cost"/>
    <s v="BT"/>
    <s v="Y"/>
    <n v="23.76"/>
    <n v="4.75"/>
    <x v="2"/>
    <s v="VALIDATED"/>
    <n v="1"/>
    <s v="01.11.80.208.6100.0000"/>
    <n v="23.76"/>
    <s v="11"/>
    <s v="6100"/>
    <n v="12659.16"/>
    <n v="23.76"/>
    <s v="CREDITOR"/>
    <n v="0"/>
    <n v="0"/>
    <n v="0"/>
    <n v="0"/>
    <n v="23.76"/>
  </r>
  <r>
    <n v="59635013"/>
    <s v="N"/>
    <n v="21338340"/>
    <s v="3000014025420005"/>
    <s v="CIVIL"/>
    <d v="2023-06-22T00:00:00"/>
    <d v="2023-07-06T19:21:01"/>
    <m/>
    <d v="2023-07-06T00:00:00"/>
    <n v="1586"/>
    <n v="15796"/>
    <s v="59635013"/>
    <s v="59635013"/>
    <m/>
    <m/>
    <n v="22745166"/>
    <m/>
    <m/>
    <m/>
    <s v="SOLFIN"/>
    <s v="SOLFIN"/>
    <s v="CCMS"/>
    <n v="21338340"/>
    <n v="9250.26"/>
    <m/>
    <s v="N"/>
    <n v="63"/>
    <d v="2023-07-06T19:21:20"/>
    <s v="Y"/>
    <s v="Advocacy - Directions Hearing"/>
    <s v="Non Family Hourly Rates"/>
    <s v="Advocacy"/>
    <s v="BT"/>
    <s v="Y"/>
    <n v="44.55"/>
    <n v="8.91"/>
    <x v="4"/>
    <s v="VALIDATED"/>
    <n v="1"/>
    <s v="01.11.80.210.6100.0000"/>
    <n v="44.55"/>
    <s v="11"/>
    <s v="6100"/>
    <n v="12659.16"/>
    <n v="44.55"/>
    <s v="CREDITOR"/>
    <n v="0"/>
    <n v="0"/>
    <n v="0"/>
    <n v="0"/>
    <n v="44.55"/>
  </r>
  <r>
    <n v="59635013"/>
    <s v="N"/>
    <n v="21338340"/>
    <s v="3000014025420005"/>
    <s v="CIVIL"/>
    <d v="2023-06-22T00:00:00"/>
    <d v="2023-07-06T19:21:01"/>
    <m/>
    <d v="2023-07-06T00:00:00"/>
    <n v="1586"/>
    <n v="15796"/>
    <s v="59635013"/>
    <s v="59635013"/>
    <m/>
    <m/>
    <n v="22745166"/>
    <m/>
    <m/>
    <m/>
    <s v="SOLFIN"/>
    <s v="SOLFIN"/>
    <s v="CCMS"/>
    <n v="21338340"/>
    <n v="9250.26"/>
    <m/>
    <s v="N"/>
    <n v="9"/>
    <d v="2023-07-06T19:21:20"/>
    <s v="Y"/>
    <s v="Preparation - other"/>
    <s v="Non Family Hourly Rates"/>
    <s v="Profit Cost"/>
    <s v="JS"/>
    <s v="Y"/>
    <n v="53.46"/>
    <n v="10.69"/>
    <x v="4"/>
    <s v="VALIDATED"/>
    <n v="1"/>
    <s v="01.11.80.210.6100.0000"/>
    <n v="53.46"/>
    <s v="11"/>
    <s v="6100"/>
    <n v="12659.16"/>
    <n v="53.46"/>
    <s v="CREDITOR"/>
    <n v="0"/>
    <n v="0"/>
    <n v="0"/>
    <n v="0"/>
    <n v="53.46"/>
  </r>
  <r>
    <n v="56440931"/>
    <s v="N"/>
    <n v="21338241"/>
    <s v="3000013433190002"/>
    <s v="CIVIL"/>
    <d v="2023-06-26T00:00:00"/>
    <d v="2023-07-06T19:21:01"/>
    <m/>
    <d v="2023-07-06T00:00:00"/>
    <n v="1586"/>
    <n v="15796"/>
    <s v="56440931"/>
    <s v="56440931"/>
    <m/>
    <m/>
    <n v="22762082"/>
    <m/>
    <m/>
    <m/>
    <s v="SOLFIN"/>
    <s v="SOLFIN"/>
    <s v="CCMS"/>
    <n v="21338241"/>
    <n v="2471.98"/>
    <m/>
    <s v="N"/>
    <n v="25"/>
    <d v="2023-07-06T19:21:13"/>
    <s v="Y"/>
    <s v="Preparation - other"/>
    <s v="Non Family Hourly Rates"/>
    <s v="Profit Cost"/>
    <s v="NP"/>
    <s v="Y"/>
    <n v="44.55"/>
    <n v="8.91"/>
    <x v="4"/>
    <s v="VALIDATED"/>
    <n v="1"/>
    <s v="01.11.80.210.6100.0000"/>
    <n v="44.55"/>
    <s v="11"/>
    <s v="6100"/>
    <n v="12659.16"/>
    <n v="44.55"/>
    <s v="CREDITOR"/>
    <n v="0"/>
    <n v="0"/>
    <n v="0"/>
    <n v="0"/>
    <n v="44.55"/>
  </r>
  <r>
    <n v="54248104"/>
    <s v="N"/>
    <n v="21350007"/>
    <s v="3000012922770007"/>
    <s v="CIVIL"/>
    <d v="2023-06-28T00:00:00"/>
    <d v="2023-07-10T19:01:40"/>
    <m/>
    <d v="2023-07-10T00:00:00"/>
    <n v="1586"/>
    <n v="15796"/>
    <s v="54248104"/>
    <s v="54248104"/>
    <m/>
    <m/>
    <n v="22779004"/>
    <m/>
    <m/>
    <m/>
    <s v="SOLFIN"/>
    <s v="SOLFIN"/>
    <s v="CCMS"/>
    <n v="21350007"/>
    <n v="4461.01"/>
    <m/>
    <s v="N"/>
    <n v="38"/>
    <d v="2023-07-10T19:02:09"/>
    <s v="Y"/>
    <s v="Preparation - other"/>
    <s v="Non Family Hourly Rates"/>
    <s v="Profit Cost"/>
    <s v="JS"/>
    <s v="Y"/>
    <n v="111.38"/>
    <n v="22.28"/>
    <x v="2"/>
    <s v="VALIDATED"/>
    <n v="1"/>
    <s v="01.11.80.208.6100.0000"/>
    <n v="111.38"/>
    <s v="11"/>
    <s v="6100"/>
    <n v="12659.16"/>
    <n v="111.38"/>
    <s v="CREDITOR"/>
    <n v="0"/>
    <n v="0"/>
    <n v="0"/>
    <n v="0"/>
    <n v="111.38"/>
  </r>
  <r>
    <n v="10087452"/>
    <s v="N"/>
    <n v="21391928"/>
    <s v="3000005965680003"/>
    <s v="CIVIL"/>
    <d v="2023-06-28T00:00:00"/>
    <d v="2023-07-18T19:00:27"/>
    <m/>
    <d v="2023-07-18T00:00:00"/>
    <n v="1586"/>
    <n v="15796"/>
    <s v="10087452"/>
    <s v="10087452"/>
    <m/>
    <m/>
    <n v="22777604"/>
    <m/>
    <m/>
    <m/>
    <s v="SOLFIN"/>
    <s v="SOLFIN"/>
    <s v="CCMS"/>
    <n v="21391928"/>
    <n v="1623.53"/>
    <m/>
    <s v="N"/>
    <n v="10"/>
    <d v="2023-07-18T19:00:33"/>
    <s v="Y"/>
    <s v="Attendance upon client"/>
    <s v="Non Family Hourly Rates"/>
    <s v="Profit Cost"/>
    <s v="KB"/>
    <s v="Y"/>
    <n v="5.94"/>
    <n v="1.19"/>
    <x v="14"/>
    <s v="VALIDATED"/>
    <n v="1"/>
    <s v="01.11.80.208.6100.0000"/>
    <n v="5.94"/>
    <s v="11"/>
    <s v="6100"/>
    <n v="12659.16"/>
    <n v="5.94"/>
    <s v="CREDITOR"/>
    <n v="0"/>
    <n v="0"/>
    <n v="0"/>
    <n v="0"/>
    <n v="5.94"/>
  </r>
  <r>
    <n v="54248104"/>
    <s v="N"/>
    <n v="21350007"/>
    <s v="3000012922770007"/>
    <s v="CIVIL"/>
    <d v="2023-06-28T00:00:00"/>
    <d v="2023-07-10T19:01:40"/>
    <m/>
    <d v="2023-07-10T00:00:00"/>
    <n v="1586"/>
    <n v="15796"/>
    <s v="54248104"/>
    <s v="54248104"/>
    <m/>
    <m/>
    <n v="22779004"/>
    <m/>
    <m/>
    <m/>
    <s v="SOLFIN"/>
    <s v="SOLFIN"/>
    <s v="CCMS"/>
    <n v="21350007"/>
    <n v="4461.01"/>
    <m/>
    <s v="N"/>
    <n v="13"/>
    <d v="2023-07-10T19:02:09"/>
    <s v="Y"/>
    <s v="Preparation - drafting pleadings"/>
    <s v="Non Family Hourly Rates"/>
    <s v="Profit Cost"/>
    <s v="JS"/>
    <s v="Y"/>
    <n v="40.1"/>
    <n v="8.02"/>
    <x v="2"/>
    <s v="VALIDATED"/>
    <n v="1"/>
    <s v="01.11.80.208.6100.0000"/>
    <n v="40.1"/>
    <s v="11"/>
    <s v="6100"/>
    <n v="12659.16"/>
    <n v="40.1"/>
    <s v="CREDITOR"/>
    <n v="0"/>
    <n v="0"/>
    <n v="0"/>
    <n v="0"/>
    <n v="40.1"/>
  </r>
  <r>
    <n v="54248104"/>
    <s v="N"/>
    <n v="21350007"/>
    <s v="3000012922770007"/>
    <s v="CIVIL"/>
    <d v="2023-06-28T00:00:00"/>
    <d v="2023-07-10T19:01:40"/>
    <m/>
    <d v="2023-07-10T00:00:00"/>
    <n v="1586"/>
    <n v="15796"/>
    <s v="54248104"/>
    <s v="54248104"/>
    <m/>
    <m/>
    <n v="22779004"/>
    <m/>
    <m/>
    <m/>
    <s v="SOLFIN"/>
    <s v="SOLFIN"/>
    <s v="CCMS"/>
    <n v="21350007"/>
    <n v="4461.01"/>
    <m/>
    <s v="N"/>
    <n v="28"/>
    <d v="2023-07-10T19:02:09"/>
    <s v="Y"/>
    <s v="Attendance upon client"/>
    <s v="Non Family Hourly Rates"/>
    <s v="Profit Cost"/>
    <s v="JS"/>
    <s v="Y"/>
    <n v="13.37"/>
    <n v="2.67"/>
    <x v="2"/>
    <s v="VALIDATED"/>
    <n v="1"/>
    <s v="01.11.80.208.6100.0000"/>
    <n v="13.37"/>
    <s v="11"/>
    <s v="6100"/>
    <n v="12659.16"/>
    <n v="13.37"/>
    <s v="CREDITOR"/>
    <n v="0"/>
    <n v="0"/>
    <n v="0"/>
    <n v="0"/>
    <n v="13.37"/>
  </r>
  <r>
    <n v="54249002"/>
    <s v="N"/>
    <n v="21344014"/>
    <s v="3000012924670002"/>
    <s v="CIVIL"/>
    <d v="2023-06-28T00:00:00"/>
    <d v="2023-07-07T19:03:00"/>
    <m/>
    <d v="2023-07-07T00:00:00"/>
    <n v="1586"/>
    <n v="15796"/>
    <s v="54249002"/>
    <s v="54249002"/>
    <m/>
    <m/>
    <n v="22778978"/>
    <m/>
    <m/>
    <m/>
    <s v="SOLFIN"/>
    <s v="SOLFIN"/>
    <s v="CCMS"/>
    <n v="21344014"/>
    <n v="3560.34"/>
    <m/>
    <s v="N"/>
    <n v="10"/>
    <d v="2023-07-07T19:03:20"/>
    <s v="Y"/>
    <s v="Preparation - drafting pleadings"/>
    <s v="Non Family Hourly Rates"/>
    <s v="Profit Cost"/>
    <s v="JS"/>
    <s v="Y"/>
    <n v="40.1"/>
    <n v="8.02"/>
    <x v="9"/>
    <s v="VALIDATED"/>
    <n v="1"/>
    <s v="01.11.80.208.6100.0000"/>
    <n v="40.1"/>
    <s v="11"/>
    <s v="6100"/>
    <n v="12659.16"/>
    <n v="40.1"/>
    <s v="CREDITOR"/>
    <n v="0"/>
    <n v="0"/>
    <n v="0"/>
    <n v="0"/>
    <n v="40.1"/>
  </r>
  <r>
    <n v="54249002"/>
    <s v="N"/>
    <n v="21344014"/>
    <s v="3000012924670002"/>
    <s v="CIVIL"/>
    <d v="2023-06-28T00:00:00"/>
    <d v="2023-07-07T19:03:00"/>
    <m/>
    <d v="2023-07-07T00:00:00"/>
    <n v="1586"/>
    <n v="15796"/>
    <s v="54249002"/>
    <s v="54249002"/>
    <m/>
    <m/>
    <n v="22778978"/>
    <m/>
    <m/>
    <m/>
    <s v="SOLFIN"/>
    <s v="SOLFIN"/>
    <s v="CCMS"/>
    <n v="21344014"/>
    <n v="3560.34"/>
    <m/>
    <s v="N"/>
    <n v="22"/>
    <d v="2023-07-07T19:03:20"/>
    <s v="Y"/>
    <s v="Travel to court"/>
    <s v="Non Family Hourly Rates"/>
    <s v="Profit Cost"/>
    <s v="JS"/>
    <s v="Y"/>
    <n v="18.4"/>
    <n v="3.68"/>
    <x v="9"/>
    <s v="VALIDATED"/>
    <n v="1"/>
    <s v="01.11.80.208.6100.0000"/>
    <n v="18.4"/>
    <s v="11"/>
    <s v="6100"/>
    <n v="12659.16"/>
    <n v="18.4"/>
    <s v="CREDITOR"/>
    <n v="0"/>
    <n v="0"/>
    <n v="0"/>
    <n v="0"/>
    <n v="18.4"/>
  </r>
  <r>
    <n v="59541029"/>
    <s v="N"/>
    <n v="21337717"/>
    <s v="3000013946150003"/>
    <s v="CIVIL"/>
    <d v="2023-06-27T00:00:00"/>
    <d v="2023-07-06T19:21:01"/>
    <m/>
    <d v="2023-07-06T00:00:00"/>
    <n v="1586"/>
    <n v="15796"/>
    <s v="59541029"/>
    <s v="59541029"/>
    <m/>
    <m/>
    <n v="22772024"/>
    <m/>
    <m/>
    <m/>
    <s v="SOLFIN"/>
    <s v="SOLFIN"/>
    <s v="CCMS"/>
    <n v="21337717"/>
    <n v="1714.78"/>
    <m/>
    <s v="N"/>
    <n v="25"/>
    <d v="2023-07-06T19:21:05"/>
    <s v="Y"/>
    <s v="Preparation - other"/>
    <s v="Non Family Hourly Rates"/>
    <s v="Profit Cost"/>
    <s v="BB"/>
    <s v="Y"/>
    <n v="17.82"/>
    <n v="3.56"/>
    <x v="4"/>
    <s v="VALIDATED"/>
    <n v="1"/>
    <s v="01.11.80.208.6100.0000"/>
    <n v="17.82"/>
    <s v="11"/>
    <s v="6100"/>
    <n v="12659.16"/>
    <n v="17.82"/>
    <s v="CREDITOR"/>
    <n v="0"/>
    <n v="0"/>
    <n v="0"/>
    <n v="0"/>
    <n v="17.82"/>
  </r>
  <r>
    <n v="60553858"/>
    <s v="N"/>
    <n v="21343953"/>
    <s v="3000014821250002"/>
    <s v="CIVIL"/>
    <d v="2023-06-21T00:00:00"/>
    <d v="2023-07-07T19:03:00"/>
    <m/>
    <d v="2023-07-07T00:00:00"/>
    <n v="1586"/>
    <n v="15796"/>
    <s v="60553858"/>
    <s v="60553858"/>
    <m/>
    <m/>
    <n v="22733756"/>
    <m/>
    <m/>
    <m/>
    <s v="SOLFIN"/>
    <s v="SOLFIN"/>
    <s v="CCMS"/>
    <n v="21343953"/>
    <n v="3978.67"/>
    <m/>
    <s v="N"/>
    <n v="26"/>
    <d v="2023-07-07T19:03:18"/>
    <s v="Y"/>
    <s v="Advocacy - Other Hearing"/>
    <s v="Non Family Hourly Rates"/>
    <s v="Advocacy"/>
    <s v="BT"/>
    <s v="Y"/>
    <n v="80.19"/>
    <n v="16.04"/>
    <x v="9"/>
    <s v="VALIDATED"/>
    <n v="1"/>
    <s v="01.11.80.210.6100.0000"/>
    <n v="80.19"/>
    <s v="11"/>
    <s v="6100"/>
    <n v="12659.16"/>
    <n v="80.19"/>
    <s v="CREDITOR"/>
    <n v="0"/>
    <n v="0"/>
    <n v="0"/>
    <n v="0"/>
    <n v="80.19"/>
  </r>
  <r>
    <n v="60553858"/>
    <s v="N"/>
    <n v="21343953"/>
    <s v="3000014821250002"/>
    <s v="CIVIL"/>
    <d v="2023-06-21T00:00:00"/>
    <d v="2023-07-07T19:03:00"/>
    <m/>
    <d v="2023-07-07T00:00:00"/>
    <n v="1586"/>
    <n v="15796"/>
    <s v="60553858"/>
    <s v="60553858"/>
    <m/>
    <m/>
    <n v="22733756"/>
    <m/>
    <m/>
    <m/>
    <s v="SOLFIN"/>
    <s v="SOLFIN"/>
    <s v="CCMS"/>
    <n v="21343953"/>
    <n v="3978.67"/>
    <m/>
    <s v="N"/>
    <n v="4"/>
    <d v="2023-07-07T19:03:18"/>
    <s v="Y"/>
    <s v="Advocacy - Other Hearing"/>
    <s v="Non Family Hourly Rates"/>
    <s v="Advocacy"/>
    <s v="BT"/>
    <s v="Y"/>
    <n v="35.64"/>
    <n v="7.13"/>
    <x v="9"/>
    <s v="VALIDATED"/>
    <n v="1"/>
    <s v="01.11.80.210.6100.0000"/>
    <n v="35.64"/>
    <s v="11"/>
    <s v="6100"/>
    <n v="12659.16"/>
    <n v="35.64"/>
    <s v="CREDITOR"/>
    <n v="0"/>
    <n v="0"/>
    <n v="0"/>
    <n v="0"/>
    <n v="35.64"/>
  </r>
  <r>
    <n v="59635013"/>
    <s v="N"/>
    <n v="21338340"/>
    <s v="3000014025420005"/>
    <s v="CIVIL"/>
    <d v="2023-06-22T00:00:00"/>
    <d v="2023-07-06T19:21:01"/>
    <m/>
    <d v="2023-07-06T00:00:00"/>
    <n v="1586"/>
    <n v="15796"/>
    <s v="59635013"/>
    <s v="59635013"/>
    <m/>
    <m/>
    <n v="22745166"/>
    <m/>
    <m/>
    <m/>
    <s v="SOLFIN"/>
    <s v="SOLFIN"/>
    <s v="CCMS"/>
    <n v="21338340"/>
    <n v="9250.26"/>
    <m/>
    <s v="N"/>
    <n v="75"/>
    <d v="2023-07-06T19:21:20"/>
    <s v="Y"/>
    <s v="Preparation - drafting bill/claim f"/>
    <s v="Non Family Hourly Rates"/>
    <s v="Profit Cost"/>
    <s v="CD"/>
    <s v="Y"/>
    <n v="23.76"/>
    <n v="4.75"/>
    <x v="4"/>
    <s v="VALIDATED"/>
    <n v="1"/>
    <s v="01.11.80.210.6100.0000"/>
    <n v="23.76"/>
    <s v="11"/>
    <s v="6100"/>
    <n v="12659.16"/>
    <n v="23.76"/>
    <s v="CREDITOR"/>
    <n v="0"/>
    <n v="0"/>
    <n v="0"/>
    <n v="0"/>
    <n v="23.76"/>
  </r>
  <r>
    <n v="54248104"/>
    <s v="N"/>
    <n v="21350007"/>
    <s v="3000012922770007"/>
    <s v="CIVIL"/>
    <d v="2023-06-28T00:00:00"/>
    <d v="2023-07-10T19:01:40"/>
    <m/>
    <d v="2023-07-10T00:00:00"/>
    <n v="1586"/>
    <n v="15796"/>
    <s v="54248104"/>
    <s v="54248104"/>
    <m/>
    <m/>
    <n v="22779004"/>
    <m/>
    <m/>
    <m/>
    <s v="SOLFIN"/>
    <s v="SOLFIN"/>
    <s v="CCMS"/>
    <n v="21350007"/>
    <n v="4461.01"/>
    <m/>
    <s v="N"/>
    <n v="68"/>
    <d v="2023-07-10T19:02:09"/>
    <s v="Y"/>
    <s v="Routine Telephone Call"/>
    <s v="Non Family Hourly Rates"/>
    <s v="Profit Cost"/>
    <s v="PT"/>
    <s v="Y"/>
    <n v="6.58"/>
    <n v="1.32"/>
    <x v="2"/>
    <s v="VALIDATED"/>
    <n v="1"/>
    <s v="01.11.80.208.6100.0000"/>
    <n v="6.58"/>
    <s v="11"/>
    <s v="6100"/>
    <n v="12659.16"/>
    <n v="6.58"/>
    <s v="CREDITOR"/>
    <n v="0"/>
    <n v="0"/>
    <n v="0"/>
    <n v="0"/>
    <n v="6.58"/>
  </r>
  <r>
    <n v="54249002"/>
    <s v="N"/>
    <n v="21344014"/>
    <s v="3000012924670002"/>
    <s v="CIVIL"/>
    <d v="2023-06-28T00:00:00"/>
    <d v="2023-07-07T19:03:00"/>
    <m/>
    <d v="2023-07-07T00:00:00"/>
    <n v="1586"/>
    <n v="15796"/>
    <s v="54249002"/>
    <s v="54249002"/>
    <m/>
    <m/>
    <n v="22778978"/>
    <m/>
    <m/>
    <m/>
    <s v="SOLFIN"/>
    <s v="SOLFIN"/>
    <s v="CCMS"/>
    <n v="21344014"/>
    <n v="3560.34"/>
    <m/>
    <s v="N"/>
    <n v="21"/>
    <d v="2023-07-07T19:03:20"/>
    <s v="Y"/>
    <s v="Preparation - other"/>
    <s v="Non Family Hourly Rates"/>
    <s v="Profit Cost"/>
    <s v="JS"/>
    <s v="Y"/>
    <n v="111.38"/>
    <n v="22.28"/>
    <x v="9"/>
    <s v="VALIDATED"/>
    <n v="1"/>
    <s v="01.11.80.208.6100.0000"/>
    <n v="111.38"/>
    <s v="11"/>
    <s v="6100"/>
    <n v="12659.16"/>
    <n v="111.38"/>
    <s v="CREDITOR"/>
    <n v="0"/>
    <n v="0"/>
    <n v="0"/>
    <n v="0"/>
    <n v="111.38"/>
  </r>
  <r>
    <n v="59541029"/>
    <s v="N"/>
    <n v="21337717"/>
    <s v="3000013946150003"/>
    <s v="CIVIL"/>
    <d v="2023-06-27T00:00:00"/>
    <d v="2023-07-06T19:21:01"/>
    <m/>
    <d v="2023-07-06T00:00:00"/>
    <n v="1586"/>
    <n v="15796"/>
    <s v="59541029"/>
    <s v="59541029"/>
    <m/>
    <m/>
    <n v="22772024"/>
    <m/>
    <m/>
    <m/>
    <s v="SOLFIN"/>
    <s v="SOLFIN"/>
    <s v="CCMS"/>
    <n v="21337717"/>
    <n v="1714.78"/>
    <m/>
    <s v="N"/>
    <n v="8"/>
    <d v="2023-07-06T19:21:05"/>
    <s v="Y"/>
    <s v="Advocacy - Other Hearing"/>
    <s v="Non Family Hourly Rates"/>
    <s v="Advocacy"/>
    <s v="JS"/>
    <s v="Y"/>
    <n v="71.28"/>
    <n v="14.26"/>
    <x v="4"/>
    <s v="VALIDATED"/>
    <n v="1"/>
    <s v="01.11.80.208.6100.0000"/>
    <n v="71.28"/>
    <s v="11"/>
    <s v="6100"/>
    <n v="12659.16"/>
    <n v="71.28"/>
    <s v="CREDITOR"/>
    <n v="0"/>
    <n v="0"/>
    <n v="0"/>
    <n v="0"/>
    <n v="71.28"/>
  </r>
  <r>
    <n v="56440931"/>
    <s v="N"/>
    <n v="21338241"/>
    <s v="3000013433190002"/>
    <s v="CIVIL"/>
    <d v="2023-06-26T00:00:00"/>
    <d v="2023-07-06T19:21:01"/>
    <m/>
    <d v="2023-07-06T00:00:00"/>
    <n v="1586"/>
    <n v="15796"/>
    <s v="56440931"/>
    <s v="56440931"/>
    <m/>
    <m/>
    <n v="22762082"/>
    <m/>
    <m/>
    <m/>
    <s v="SOLFIN"/>
    <s v="SOLFIN"/>
    <s v="CCMS"/>
    <n v="21338241"/>
    <n v="2471.98"/>
    <m/>
    <s v="N"/>
    <n v="18"/>
    <d v="2023-07-06T19:21:13"/>
    <s v="Y"/>
    <s v="Preparation - other"/>
    <s v="Non Family Hourly Rates"/>
    <s v="Profit Cost"/>
    <s v="JOS"/>
    <s v="Y"/>
    <n v="5.94"/>
    <n v="1.19"/>
    <x v="4"/>
    <s v="VALIDATED"/>
    <n v="1"/>
    <s v="01.11.80.210.6100.0000"/>
    <n v="5.94"/>
    <s v="11"/>
    <s v="6100"/>
    <n v="12659.16"/>
    <n v="5.94"/>
    <s v="CREDITOR"/>
    <n v="0"/>
    <n v="0"/>
    <n v="0"/>
    <n v="0"/>
    <n v="5.94"/>
  </r>
  <r>
    <n v="59541029"/>
    <s v="N"/>
    <n v="21337717"/>
    <s v="3000013946150003"/>
    <s v="CIVIL"/>
    <d v="2023-06-27T00:00:00"/>
    <d v="2023-07-06T19:21:01"/>
    <m/>
    <d v="2023-07-06T00:00:00"/>
    <n v="1586"/>
    <n v="15796"/>
    <s v="59541029"/>
    <s v="59541029"/>
    <m/>
    <m/>
    <n v="22772024"/>
    <m/>
    <m/>
    <m/>
    <s v="SOLFIN"/>
    <s v="SOLFIN"/>
    <s v="CCMS"/>
    <n v="21337717"/>
    <n v="1714.78"/>
    <m/>
    <s v="N"/>
    <n v="2"/>
    <d v="2023-07-06T19:21:05"/>
    <s v="Y"/>
    <s v="Attendance upon client"/>
    <s v="Non Family Hourly Rates"/>
    <s v="Profit Cost"/>
    <s v="JS"/>
    <s v="Y"/>
    <n v="71.28"/>
    <n v="14.26"/>
    <x v="4"/>
    <s v="VALIDATED"/>
    <n v="1"/>
    <s v="01.11.80.208.6100.0000"/>
    <n v="71.28"/>
    <s v="11"/>
    <s v="6100"/>
    <n v="12659.16"/>
    <n v="71.28"/>
    <s v="CREDITOR"/>
    <n v="0"/>
    <n v="0"/>
    <n v="0"/>
    <n v="0"/>
    <n v="71.28"/>
  </r>
  <r>
    <n v="10087452"/>
    <s v="N"/>
    <n v="21391928"/>
    <s v="3000005965680003"/>
    <s v="CIVIL"/>
    <d v="2023-06-28T00:00:00"/>
    <d v="2023-07-18T19:00:27"/>
    <m/>
    <d v="2023-07-18T00:00:00"/>
    <n v="1586"/>
    <n v="15796"/>
    <s v="10087452"/>
    <s v="10087452"/>
    <m/>
    <m/>
    <n v="22777604"/>
    <m/>
    <m/>
    <m/>
    <s v="SOLFIN"/>
    <s v="SOLFIN"/>
    <s v="CCMS"/>
    <n v="21391928"/>
    <n v="1623.53"/>
    <m/>
    <s v="N"/>
    <n v="15"/>
    <d v="2023-07-18T19:00:33"/>
    <s v="Y"/>
    <s v="Preparation - other"/>
    <s v="Non Family Hourly Rates"/>
    <s v="Profit Cost"/>
    <s v="BT"/>
    <s v="Y"/>
    <n v="124.74"/>
    <n v="24.95"/>
    <x v="14"/>
    <s v="VALIDATED"/>
    <n v="1"/>
    <s v="01.11.80.208.6100.0000"/>
    <n v="124.74"/>
    <s v="11"/>
    <s v="6100"/>
    <n v="12659.16"/>
    <n v="124.74"/>
    <s v="CREDITOR"/>
    <n v="0"/>
    <n v="0"/>
    <n v="0"/>
    <n v="0"/>
    <n v="124.74"/>
  </r>
  <r>
    <n v="54249002"/>
    <s v="N"/>
    <n v="21344014"/>
    <s v="3000012924670002"/>
    <s v="CIVIL"/>
    <d v="2023-06-28T00:00:00"/>
    <d v="2023-07-07T19:03:00"/>
    <m/>
    <d v="2023-07-07T00:00:00"/>
    <n v="1586"/>
    <n v="15796"/>
    <s v="54249002"/>
    <s v="54249002"/>
    <m/>
    <m/>
    <n v="22778978"/>
    <m/>
    <m/>
    <m/>
    <s v="SOLFIN"/>
    <s v="SOLFIN"/>
    <s v="CCMS"/>
    <n v="21344014"/>
    <n v="3560.34"/>
    <m/>
    <s v="N"/>
    <n v="51"/>
    <d v="2023-07-07T19:03:20"/>
    <s v="Y"/>
    <s v="Preparation - other"/>
    <s v="Non Family Hourly Rates"/>
    <s v="Profit Cost"/>
    <s v="BT"/>
    <s v="Y"/>
    <n v="11.88"/>
    <n v="2.38"/>
    <x v="9"/>
    <s v="VALIDATED"/>
    <n v="1"/>
    <s v="01.11.80.208.6100.0000"/>
    <n v="11.88"/>
    <s v="11"/>
    <s v="6100"/>
    <n v="12659.16"/>
    <n v="11.88"/>
    <s v="CREDITOR"/>
    <n v="0"/>
    <n v="0"/>
    <n v="0"/>
    <n v="0"/>
    <n v="11.88"/>
  </r>
  <r>
    <n v="54249002"/>
    <s v="N"/>
    <n v="21344014"/>
    <s v="3000012924670002"/>
    <s v="CIVIL"/>
    <d v="2023-06-28T00:00:00"/>
    <d v="2023-07-07T19:03:00"/>
    <m/>
    <d v="2023-07-07T00:00:00"/>
    <n v="1586"/>
    <n v="15796"/>
    <s v="54249002"/>
    <s v="54249002"/>
    <m/>
    <m/>
    <n v="22778978"/>
    <m/>
    <m/>
    <m/>
    <s v="SOLFIN"/>
    <s v="SOLFIN"/>
    <s v="CCMS"/>
    <n v="21344014"/>
    <n v="3560.34"/>
    <m/>
    <s v="N"/>
    <n v="23"/>
    <d v="2023-07-07T19:03:20"/>
    <s v="Y"/>
    <s v="Waiting at court"/>
    <s v="Non Family Hourly Rates"/>
    <s v="Profit Cost"/>
    <s v="JS"/>
    <s v="Y"/>
    <n v="6.57"/>
    <n v="1.31"/>
    <x v="9"/>
    <s v="VALIDATED"/>
    <n v="1"/>
    <s v="01.11.80.208.6100.0000"/>
    <n v="6.57"/>
    <s v="11"/>
    <s v="6100"/>
    <n v="12659.16"/>
    <n v="6.57"/>
    <s v="CREDITOR"/>
    <n v="0"/>
    <n v="0"/>
    <n v="0"/>
    <n v="0"/>
    <n v="6.57"/>
  </r>
  <r>
    <n v="54248104"/>
    <s v="N"/>
    <n v="21350007"/>
    <s v="3000012922770007"/>
    <s v="CIVIL"/>
    <d v="2023-06-28T00:00:00"/>
    <d v="2023-07-10T19:01:40"/>
    <m/>
    <d v="2023-07-10T00:00:00"/>
    <n v="1586"/>
    <n v="15796"/>
    <s v="54248104"/>
    <s v="54248104"/>
    <m/>
    <m/>
    <n v="22779004"/>
    <m/>
    <m/>
    <m/>
    <s v="SOLFIN"/>
    <s v="SOLFIN"/>
    <s v="CCMS"/>
    <n v="21350007"/>
    <n v="4461.01"/>
    <m/>
    <s v="N"/>
    <n v="49"/>
    <d v="2023-07-10T19:02:09"/>
    <s v="Y"/>
    <s v="Preparation - other"/>
    <s v="Non Family Hourly Rates"/>
    <s v="Profit Cost"/>
    <s v="JS"/>
    <s v="Y"/>
    <n v="22.28"/>
    <n v="4.46"/>
    <x v="2"/>
    <s v="VALIDATED"/>
    <n v="1"/>
    <s v="01.11.80.208.6100.0000"/>
    <n v="22.28"/>
    <s v="11"/>
    <s v="6100"/>
    <n v="12659.16"/>
    <n v="22.28"/>
    <s v="CREDITOR"/>
    <n v="0"/>
    <n v="0"/>
    <n v="0"/>
    <n v="0"/>
    <n v="22.28"/>
  </r>
  <r>
    <n v="54249002"/>
    <s v="N"/>
    <n v="21344014"/>
    <s v="3000012924670002"/>
    <s v="CIVIL"/>
    <d v="2023-06-28T00:00:00"/>
    <d v="2023-07-07T19:03:00"/>
    <m/>
    <d v="2023-07-07T00:00:00"/>
    <n v="1586"/>
    <n v="15796"/>
    <s v="54249002"/>
    <s v="54249002"/>
    <m/>
    <m/>
    <n v="22778978"/>
    <m/>
    <m/>
    <m/>
    <s v="SOLFIN"/>
    <s v="SOLFIN"/>
    <s v="CCMS"/>
    <n v="21344014"/>
    <n v="3560.34"/>
    <m/>
    <s v="N"/>
    <n v="38"/>
    <d v="2023-07-07T19:03:20"/>
    <s v="Y"/>
    <s v="Preparation - drafting statement"/>
    <s v="Non Family Hourly Rates"/>
    <s v="Profit Cost"/>
    <s v="JS"/>
    <s v="Y"/>
    <n v="111.38"/>
    <n v="22.28"/>
    <x v="9"/>
    <s v="VALIDATED"/>
    <n v="1"/>
    <s v="01.11.80.208.6100.0000"/>
    <n v="111.38"/>
    <s v="11"/>
    <s v="6100"/>
    <n v="12659.16"/>
    <n v="111.38"/>
    <s v="CREDITOR"/>
    <n v="0"/>
    <n v="0"/>
    <n v="0"/>
    <n v="0"/>
    <n v="111.38"/>
  </r>
  <r>
    <n v="54249002"/>
    <s v="N"/>
    <n v="21344014"/>
    <s v="3000012924670002"/>
    <s v="CIVIL"/>
    <d v="2023-06-28T00:00:00"/>
    <d v="2023-07-07T19:03:00"/>
    <m/>
    <d v="2023-07-07T00:00:00"/>
    <n v="1586"/>
    <n v="15796"/>
    <s v="54249002"/>
    <s v="54249002"/>
    <m/>
    <m/>
    <n v="22778978"/>
    <m/>
    <m/>
    <m/>
    <s v="SOLFIN"/>
    <s v="SOLFIN"/>
    <s v="CCMS"/>
    <n v="21344014"/>
    <n v="3560.34"/>
    <m/>
    <s v="N"/>
    <n v="43"/>
    <d v="2023-07-07T19:03:20"/>
    <s v="Y"/>
    <s v="Preparation - other"/>
    <s v="Non Family Hourly Rates"/>
    <s v="Profit Cost"/>
    <s v="BT"/>
    <s v="Y"/>
    <n v="11.88"/>
    <n v="2.38"/>
    <x v="9"/>
    <s v="VALIDATED"/>
    <n v="1"/>
    <s v="01.11.80.208.6100.0000"/>
    <n v="11.88"/>
    <s v="11"/>
    <s v="6100"/>
    <n v="12659.16"/>
    <n v="11.88"/>
    <s v="CREDITOR"/>
    <n v="0"/>
    <n v="0"/>
    <n v="0"/>
    <n v="0"/>
    <n v="11.88"/>
  </r>
  <r>
    <n v="54249002"/>
    <s v="N"/>
    <n v="21344014"/>
    <s v="3000012924670002"/>
    <s v="CIVIL"/>
    <d v="2023-06-28T00:00:00"/>
    <d v="2023-07-07T19:03:00"/>
    <m/>
    <d v="2023-07-07T00:00:00"/>
    <n v="1586"/>
    <n v="15796"/>
    <s v="54249002"/>
    <s v="54249002"/>
    <m/>
    <m/>
    <n v="22778978"/>
    <m/>
    <m/>
    <m/>
    <s v="SOLFIN"/>
    <s v="SOLFIN"/>
    <s v="CCMS"/>
    <n v="21344014"/>
    <n v="3560.34"/>
    <m/>
    <s v="N"/>
    <n v="48"/>
    <d v="2023-07-07T19:03:20"/>
    <s v="Y"/>
    <s v="Preparation - other"/>
    <s v="Non Family Hourly Rates"/>
    <s v="Profit Cost"/>
    <s v="BT"/>
    <s v="Y"/>
    <n v="5.94"/>
    <n v="1.19"/>
    <x v="9"/>
    <s v="VALIDATED"/>
    <n v="1"/>
    <s v="01.11.80.208.6100.0000"/>
    <n v="5.94"/>
    <s v="11"/>
    <s v="6100"/>
    <n v="12659.16"/>
    <n v="5.94"/>
    <s v="CREDITOR"/>
    <n v="0"/>
    <n v="0"/>
    <n v="0"/>
    <n v="0"/>
    <n v="5.94"/>
  </r>
  <r>
    <n v="59635013"/>
    <s v="N"/>
    <n v="21338340"/>
    <s v="3000014025420005"/>
    <s v="CIVIL"/>
    <d v="2023-06-22T00:00:00"/>
    <d v="2023-07-06T19:21:01"/>
    <m/>
    <d v="2023-07-06T00:00:00"/>
    <n v="1586"/>
    <n v="15796"/>
    <s v="59635013"/>
    <s v="59635013"/>
    <m/>
    <m/>
    <n v="22745166"/>
    <m/>
    <m/>
    <m/>
    <s v="SOLFIN"/>
    <s v="SOLFIN"/>
    <s v="CCMS"/>
    <n v="21338340"/>
    <n v="9250.26"/>
    <m/>
    <s v="N"/>
    <n v="10"/>
    <d v="2023-07-06T19:21:20"/>
    <s v="Y"/>
    <s v="Preparation - drafting notice(s)"/>
    <s v="Non Family Hourly Rates"/>
    <s v="Profit Cost"/>
    <s v="JS"/>
    <s v="Y"/>
    <n v="26.73"/>
    <n v="5.35"/>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59"/>
    <d v="2023-07-06T19:21:20"/>
    <s v="Y"/>
    <s v="Preparation - other"/>
    <s v="Non Family Hourly Rates"/>
    <s v="Profit Cost"/>
    <s v="JS"/>
    <s v="Y"/>
    <n v="11.88"/>
    <n v="2.38"/>
    <x v="4"/>
    <s v="VALIDATED"/>
    <n v="1"/>
    <s v="01.11.80.210.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47"/>
    <d v="2023-07-06T19:21:13"/>
    <s v="Y"/>
    <s v="Preparation - other"/>
    <s v="Non Family Hourly Rates"/>
    <s v="Profit Cost"/>
    <s v="BB"/>
    <s v="Y"/>
    <n v="11.88"/>
    <n v="2.38"/>
    <x v="4"/>
    <s v="VALIDATED"/>
    <n v="1"/>
    <s v="01.11.80.210.6100.0000"/>
    <n v="11.88"/>
    <s v="11"/>
    <s v="6100"/>
    <n v="12659.16"/>
    <n v="11.88"/>
    <s v="CREDITOR"/>
    <n v="0"/>
    <n v="0"/>
    <n v="0"/>
    <n v="0"/>
    <n v="11.88"/>
  </r>
  <r>
    <n v="10087452"/>
    <s v="N"/>
    <n v="21391928"/>
    <s v="3000005965680003"/>
    <s v="CIVIL"/>
    <d v="2023-06-28T00:00:00"/>
    <d v="2023-07-18T19:00:27"/>
    <m/>
    <d v="2023-07-18T00:00:00"/>
    <n v="1586"/>
    <n v="15796"/>
    <s v="10087452"/>
    <s v="10087452"/>
    <m/>
    <m/>
    <n v="22777604"/>
    <m/>
    <m/>
    <m/>
    <s v="SOLFIN"/>
    <s v="SOLFIN"/>
    <s v="CCMS"/>
    <n v="21391928"/>
    <n v="1623.53"/>
    <m/>
    <s v="N"/>
    <n v="13"/>
    <d v="2023-07-18T19:00:33"/>
    <s v="Y"/>
    <s v="Preparation - other"/>
    <s v="Non Family Hourly Rates"/>
    <s v="Profit Cost"/>
    <s v="BT"/>
    <s v="Y"/>
    <n v="23.76"/>
    <n v="4.75"/>
    <x v="14"/>
    <s v="VALIDATED"/>
    <n v="1"/>
    <s v="01.11.80.208.6100.0000"/>
    <n v="23.76"/>
    <s v="11"/>
    <s v="6100"/>
    <n v="12659.16"/>
    <n v="23.76"/>
    <s v="CREDITOR"/>
    <n v="0"/>
    <n v="0"/>
    <n v="0"/>
    <n v="0"/>
    <n v="23.76"/>
  </r>
  <r>
    <n v="54248104"/>
    <s v="N"/>
    <n v="21350007"/>
    <s v="3000012922770007"/>
    <s v="CIVIL"/>
    <d v="2023-06-28T00:00:00"/>
    <d v="2023-07-10T19:01:40"/>
    <m/>
    <d v="2023-07-10T00:00:00"/>
    <n v="1586"/>
    <n v="15796"/>
    <s v="54248104"/>
    <s v="54248104"/>
    <m/>
    <m/>
    <n v="22779004"/>
    <m/>
    <m/>
    <m/>
    <s v="SOLFIN"/>
    <s v="SOLFIN"/>
    <s v="CCMS"/>
    <n v="21350007"/>
    <n v="4461.01"/>
    <m/>
    <s v="N"/>
    <n v="35"/>
    <d v="2023-07-10T19:02:09"/>
    <s v="Y"/>
    <s v="Preparation - other"/>
    <s v="Non Family Hourly Rates"/>
    <s v="Profit Cost"/>
    <s v="JS"/>
    <s v="Y"/>
    <n v="44.55"/>
    <n v="8.91"/>
    <x v="2"/>
    <s v="VALIDATED"/>
    <n v="1"/>
    <s v="01.11.80.208.6100.0000"/>
    <n v="44.55"/>
    <s v="11"/>
    <s v="6100"/>
    <n v="12659.16"/>
    <n v="44.55"/>
    <s v="CREDITOR"/>
    <n v="0"/>
    <n v="0"/>
    <n v="0"/>
    <n v="0"/>
    <n v="44.55"/>
  </r>
  <r>
    <n v="54248104"/>
    <s v="N"/>
    <n v="21350007"/>
    <s v="3000012922770007"/>
    <s v="CIVIL"/>
    <d v="2023-06-28T00:00:00"/>
    <d v="2023-07-10T19:01:40"/>
    <m/>
    <d v="2023-07-10T00:00:00"/>
    <n v="1586"/>
    <n v="15796"/>
    <s v="54248104"/>
    <s v="54248104"/>
    <m/>
    <m/>
    <n v="22779004"/>
    <m/>
    <m/>
    <m/>
    <s v="SOLFIN"/>
    <s v="SOLFIN"/>
    <s v="CCMS"/>
    <n v="21350007"/>
    <n v="4461.01"/>
    <m/>
    <s v="N"/>
    <n v="42"/>
    <d v="2023-07-10T19:02:09"/>
    <s v="Y"/>
    <s v="Attendance upon client"/>
    <s v="Non Family Hourly Rates"/>
    <s v="Profit Cost"/>
    <s v="JS"/>
    <s v="Y"/>
    <n v="8.91"/>
    <n v="1.78"/>
    <x v="2"/>
    <s v="VALIDATED"/>
    <n v="1"/>
    <s v="01.11.80.208.6100.0000"/>
    <n v="8.91"/>
    <s v="11"/>
    <s v="6100"/>
    <n v="12659.16"/>
    <n v="8.91"/>
    <s v="CREDITOR"/>
    <n v="0"/>
    <n v="0"/>
    <n v="0"/>
    <n v="0"/>
    <n v="8.91"/>
  </r>
  <r>
    <n v="54249002"/>
    <s v="N"/>
    <n v="21344014"/>
    <s v="3000012924670002"/>
    <s v="CIVIL"/>
    <d v="2023-06-28T00:00:00"/>
    <d v="2023-07-07T19:03:00"/>
    <m/>
    <d v="2023-07-07T00:00:00"/>
    <n v="1586"/>
    <n v="15796"/>
    <s v="54249002"/>
    <s v="54249002"/>
    <m/>
    <m/>
    <n v="22778978"/>
    <m/>
    <m/>
    <m/>
    <s v="SOLFIN"/>
    <s v="SOLFIN"/>
    <s v="CCMS"/>
    <n v="21344014"/>
    <n v="3560.34"/>
    <m/>
    <s v="N"/>
    <n v="7"/>
    <d v="2023-07-07T19:03:20"/>
    <s v="Y"/>
    <s v="Waiting at court"/>
    <s v="Non Family Hourly Rates"/>
    <s v="Profit Cost"/>
    <s v="JS"/>
    <s v="Y"/>
    <n v="7.88"/>
    <n v="1.58"/>
    <x v="9"/>
    <s v="VALIDATED"/>
    <n v="1"/>
    <s v="01.11.80.208.6100.0000"/>
    <n v="7.88"/>
    <s v="11"/>
    <s v="6100"/>
    <n v="12659.16"/>
    <n v="7.88"/>
    <s v="CREDITOR"/>
    <n v="0"/>
    <n v="0"/>
    <n v="0"/>
    <n v="0"/>
    <n v="7.88"/>
  </r>
  <r>
    <n v="54249002"/>
    <s v="N"/>
    <n v="21344014"/>
    <s v="3000012924670002"/>
    <s v="CIVIL"/>
    <d v="2023-06-28T00:00:00"/>
    <d v="2023-07-07T19:03:00"/>
    <m/>
    <d v="2023-07-07T00:00:00"/>
    <n v="1586"/>
    <n v="15796"/>
    <s v="54249002"/>
    <s v="54249002"/>
    <m/>
    <m/>
    <n v="22778978"/>
    <m/>
    <m/>
    <m/>
    <s v="SOLFIN"/>
    <s v="SOLFIN"/>
    <s v="CCMS"/>
    <n v="21344014"/>
    <n v="3560.34"/>
    <m/>
    <s v="N"/>
    <n v="16"/>
    <d v="2023-07-07T19:03:20"/>
    <s v="Y"/>
    <s v="Preparation - drafting notice(s)"/>
    <s v="Non Family Hourly Rates"/>
    <s v="Profit Cost"/>
    <s v="BT"/>
    <s v="Y"/>
    <n v="23.76"/>
    <n v="4.75"/>
    <x v="9"/>
    <s v="VALIDATED"/>
    <n v="1"/>
    <s v="01.11.80.208.6100.0000"/>
    <n v="23.76"/>
    <s v="11"/>
    <s v="6100"/>
    <n v="12659.16"/>
    <n v="23.76"/>
    <s v="CREDITOR"/>
    <n v="0"/>
    <n v="0"/>
    <n v="0"/>
    <n v="0"/>
    <n v="23.76"/>
  </r>
  <r>
    <n v="59541029"/>
    <s v="N"/>
    <n v="21337717"/>
    <s v="3000013946150003"/>
    <s v="CIVIL"/>
    <d v="2023-06-27T00:00:00"/>
    <d v="2023-07-06T19:21:01"/>
    <m/>
    <d v="2023-07-06T00:00:00"/>
    <n v="1586"/>
    <n v="15796"/>
    <s v="59541029"/>
    <s v="59541029"/>
    <m/>
    <m/>
    <n v="22772024"/>
    <m/>
    <m/>
    <m/>
    <s v="SOLFIN"/>
    <s v="SOLFIN"/>
    <s v="CCMS"/>
    <n v="21337717"/>
    <n v="1714.78"/>
    <m/>
    <s v="N"/>
    <n v="21"/>
    <d v="2023-07-06T19:21:05"/>
    <s v="Y"/>
    <s v="Preparation - other"/>
    <s v="Non Family Hourly Rates"/>
    <s v="Profit Cost"/>
    <s v="BT"/>
    <s v="Y"/>
    <n v="106.92"/>
    <n v="21.39"/>
    <x v="4"/>
    <s v="VALIDATED"/>
    <n v="1"/>
    <s v="01.11.80.208.6100.0000"/>
    <n v="106.92"/>
    <s v="11"/>
    <s v="6100"/>
    <n v="12659.16"/>
    <n v="106.92"/>
    <s v="CREDITOR"/>
    <n v="0"/>
    <n v="0"/>
    <n v="0"/>
    <n v="0"/>
    <n v="106.92"/>
  </r>
  <r>
    <n v="60553858"/>
    <s v="N"/>
    <n v="21343953"/>
    <s v="3000014821250002"/>
    <s v="CIVIL"/>
    <d v="2023-06-21T00:00:00"/>
    <d v="2023-07-07T19:03:00"/>
    <m/>
    <d v="2023-07-07T00:00:00"/>
    <n v="1586"/>
    <n v="15796"/>
    <s v="60553858"/>
    <s v="60553858"/>
    <m/>
    <m/>
    <n v="22733756"/>
    <m/>
    <m/>
    <m/>
    <s v="SOLFIN"/>
    <s v="SOLFIN"/>
    <s v="CCMS"/>
    <n v="21343953"/>
    <n v="3978.67"/>
    <m/>
    <s v="N"/>
    <n v="36"/>
    <d v="2023-07-07T19:03:18"/>
    <s v="Y"/>
    <s v="Preparation - other"/>
    <s v="Non Family Hourly Rates"/>
    <s v="Profit Cost"/>
    <s v="BB"/>
    <s v="Y"/>
    <n v="11.88"/>
    <n v="2.38"/>
    <x v="9"/>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70"/>
    <d v="2023-07-06T19:21:20"/>
    <s v="Y"/>
    <s v="Preparation - other"/>
    <s v="Non Family Hourly Rates"/>
    <s v="Profit Cost"/>
    <s v="JS"/>
    <s v="Y"/>
    <n v="11.88"/>
    <n v="2.38"/>
    <x v="4"/>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11"/>
    <d v="2023-07-06T19:21:20"/>
    <s v="Y"/>
    <s v="Preparation - other"/>
    <s v="Non Family Hourly Rates"/>
    <s v="Profit Cost"/>
    <s v="JS"/>
    <s v="Y"/>
    <n v="35.64"/>
    <n v="7.13"/>
    <x v="4"/>
    <s v="VALIDATED"/>
    <n v="1"/>
    <s v="01.11.80.210.6100.0000"/>
    <n v="35.64"/>
    <s v="11"/>
    <s v="6100"/>
    <n v="12659.16"/>
    <n v="35.64"/>
    <s v="CREDITOR"/>
    <n v="0"/>
    <n v="0"/>
    <n v="0"/>
    <n v="0"/>
    <n v="35.64"/>
  </r>
  <r>
    <n v="59635013"/>
    <s v="N"/>
    <n v="21338340"/>
    <s v="3000014025420005"/>
    <s v="CIVIL"/>
    <d v="2023-06-22T00:00:00"/>
    <d v="2023-07-06T19:21:01"/>
    <m/>
    <d v="2023-07-06T00:00:00"/>
    <n v="1586"/>
    <n v="15796"/>
    <s v="59635013"/>
    <s v="59635013"/>
    <m/>
    <m/>
    <n v="22745166"/>
    <m/>
    <m/>
    <m/>
    <s v="SOLFIN"/>
    <s v="SOLFIN"/>
    <s v="CCMS"/>
    <n v="21338340"/>
    <n v="9250.26"/>
    <m/>
    <s v="N"/>
    <n v="26"/>
    <d v="2023-07-06T19:21:20"/>
    <s v="Y"/>
    <s v="Preparation - drafting notice(s)"/>
    <s v="Non Family Hourly Rates"/>
    <s v="Profit Cost"/>
    <s v="JS"/>
    <s v="Y"/>
    <n v="23.76"/>
    <n v="4.75"/>
    <x v="4"/>
    <s v="VALIDATED"/>
    <n v="1"/>
    <s v="01.11.80.210.6100.0000"/>
    <n v="23.76"/>
    <s v="11"/>
    <s v="6100"/>
    <n v="12659.16"/>
    <n v="23.76"/>
    <s v="CREDITOR"/>
    <n v="0"/>
    <n v="0"/>
    <n v="0"/>
    <n v="0"/>
    <n v="23.76"/>
  </r>
  <r>
    <n v="54248104"/>
    <s v="N"/>
    <n v="21350007"/>
    <s v="3000012922770007"/>
    <s v="CIVIL"/>
    <d v="2023-06-28T00:00:00"/>
    <d v="2023-07-10T19:01:40"/>
    <m/>
    <d v="2023-07-10T00:00:00"/>
    <n v="1586"/>
    <n v="15796"/>
    <s v="54248104"/>
    <s v="54248104"/>
    <m/>
    <m/>
    <n v="22779004"/>
    <m/>
    <m/>
    <m/>
    <s v="SOLFIN"/>
    <s v="SOLFIN"/>
    <s v="CCMS"/>
    <n v="21350007"/>
    <n v="4461.01"/>
    <m/>
    <s v="N"/>
    <n v="36"/>
    <d v="2023-07-10T19:02:09"/>
    <s v="Y"/>
    <s v="Report - other expert's report"/>
    <s v="Non Family Hourly Rates"/>
    <s v="Profit Cost"/>
    <s v="JS"/>
    <s v="Y"/>
    <n v="13.37"/>
    <n v="2.67"/>
    <x v="2"/>
    <s v="VALIDATED"/>
    <n v="1"/>
    <s v="01.11.80.208.6100.0000"/>
    <n v="13.37"/>
    <s v="11"/>
    <s v="6100"/>
    <n v="12659.16"/>
    <n v="13.37"/>
    <s v="CREDITOR"/>
    <n v="0"/>
    <n v="0"/>
    <n v="0"/>
    <n v="0"/>
    <n v="13.37"/>
  </r>
  <r>
    <n v="60553858"/>
    <s v="N"/>
    <n v="21343953"/>
    <s v="3000014821250002"/>
    <s v="CIVIL"/>
    <d v="2023-06-21T00:00:00"/>
    <d v="2023-07-07T19:03:00"/>
    <m/>
    <d v="2023-07-07T00:00:00"/>
    <n v="1586"/>
    <n v="15796"/>
    <s v="60553858"/>
    <s v="60553858"/>
    <m/>
    <m/>
    <n v="22733756"/>
    <m/>
    <m/>
    <m/>
    <s v="SOLFIN"/>
    <s v="SOLFIN"/>
    <s v="CCMS"/>
    <n v="21343953"/>
    <n v="3978.67"/>
    <m/>
    <s v="N"/>
    <n v="8"/>
    <d v="2023-07-07T19:03:18"/>
    <s v="Y"/>
    <s v="Preparation - other"/>
    <s v="Non Family Hourly Rates"/>
    <s v="Profit Cost"/>
    <s v="BT"/>
    <s v="Y"/>
    <n v="71.28"/>
    <n v="14.26"/>
    <x v="9"/>
    <s v="VALIDATED"/>
    <n v="1"/>
    <s v="01.11.80.210.6100.0000"/>
    <n v="71.28"/>
    <s v="11"/>
    <s v="6100"/>
    <n v="12659.16"/>
    <n v="71.28"/>
    <s v="CREDITOR"/>
    <n v="0"/>
    <n v="0"/>
    <n v="0"/>
    <n v="0"/>
    <n v="71.28"/>
  </r>
  <r>
    <n v="54249002"/>
    <s v="N"/>
    <n v="21344014"/>
    <s v="3000012924670002"/>
    <s v="CIVIL"/>
    <d v="2023-06-28T00:00:00"/>
    <d v="2023-07-07T19:03:00"/>
    <m/>
    <d v="2023-07-07T00:00:00"/>
    <n v="1586"/>
    <n v="15796"/>
    <s v="54249002"/>
    <s v="54249002"/>
    <m/>
    <m/>
    <n v="22778978"/>
    <m/>
    <m/>
    <m/>
    <s v="SOLFIN"/>
    <s v="SOLFIN"/>
    <s v="CCMS"/>
    <n v="21344014"/>
    <n v="3560.34"/>
    <m/>
    <s v="N"/>
    <n v="14"/>
    <d v="2023-07-07T19:03:20"/>
    <s v="Y"/>
    <s v="Preparation - other"/>
    <s v="Non Family Hourly Rates"/>
    <s v="Profit Cost"/>
    <s v="JS"/>
    <s v="Y"/>
    <n v="178.2"/>
    <n v="35.64"/>
    <x v="9"/>
    <s v="VALIDATED"/>
    <n v="1"/>
    <s v="01.11.80.208.6100.0000"/>
    <n v="178.2"/>
    <s v="11"/>
    <s v="6100"/>
    <n v="12659.16"/>
    <n v="178.2"/>
    <s v="CREDITOR"/>
    <n v="0"/>
    <n v="0"/>
    <n v="0"/>
    <n v="0"/>
    <n v="178.2"/>
  </r>
  <r>
    <n v="56440931"/>
    <s v="N"/>
    <n v="21338241"/>
    <s v="3000013433190002"/>
    <s v="CIVIL"/>
    <d v="2023-06-26T00:00:00"/>
    <d v="2023-07-06T19:21:01"/>
    <m/>
    <d v="2023-07-06T00:00:00"/>
    <n v="1586"/>
    <n v="15796"/>
    <s v="56440931"/>
    <s v="56440931"/>
    <m/>
    <m/>
    <n v="22762082"/>
    <m/>
    <m/>
    <m/>
    <s v="SOLFIN"/>
    <s v="SOLFIN"/>
    <s v="CCMS"/>
    <n v="21338241"/>
    <n v="2471.98"/>
    <m/>
    <s v="N"/>
    <n v="37"/>
    <d v="2023-07-06T19:21:13"/>
    <s v="Y"/>
    <s v="Advocacy - Other Hearing"/>
    <s v="Non Family Hourly Rates"/>
    <s v="Advocacy"/>
    <s v="JOS"/>
    <s v="Y"/>
    <n v="29.7"/>
    <n v="5.94"/>
    <x v="4"/>
    <s v="VALIDATED"/>
    <n v="1"/>
    <s v="01.11.80.210.6100.0000"/>
    <n v="29.7"/>
    <s v="11"/>
    <s v="6100"/>
    <n v="12659.16"/>
    <n v="29.7"/>
    <s v="CREDITOR"/>
    <n v="0"/>
    <n v="0"/>
    <n v="0"/>
    <n v="0"/>
    <n v="29.7"/>
  </r>
  <r>
    <n v="59541029"/>
    <s v="N"/>
    <n v="21337717"/>
    <s v="3000013946150003"/>
    <s v="CIVIL"/>
    <d v="2023-06-27T00:00:00"/>
    <d v="2023-07-06T19:21:01"/>
    <m/>
    <d v="2023-07-06T00:00:00"/>
    <n v="1586"/>
    <n v="15796"/>
    <s v="59541029"/>
    <s v="59541029"/>
    <m/>
    <m/>
    <n v="22772024"/>
    <m/>
    <m/>
    <m/>
    <s v="SOLFIN"/>
    <s v="SOLFIN"/>
    <s v="CCMS"/>
    <n v="21337717"/>
    <n v="1714.78"/>
    <m/>
    <s v="N"/>
    <n v="16"/>
    <d v="2023-07-06T19:21:05"/>
    <s v="Y"/>
    <s v="Preparation - drafting notice(s)"/>
    <s v="Non Family Hourly Rates"/>
    <s v="Profit Cost"/>
    <s v="JS"/>
    <s v="Y"/>
    <n v="5.94"/>
    <n v="1.19"/>
    <x v="4"/>
    <s v="VALIDATED"/>
    <n v="1"/>
    <s v="01.11.80.208.6100.0000"/>
    <n v="5.94"/>
    <s v="11"/>
    <s v="6100"/>
    <n v="12659.16"/>
    <n v="5.94"/>
    <s v="CREDITOR"/>
    <n v="0"/>
    <n v="0"/>
    <n v="0"/>
    <n v="0"/>
    <n v="5.94"/>
  </r>
  <r>
    <n v="59635013"/>
    <s v="N"/>
    <n v="21338340"/>
    <s v="3000014025420005"/>
    <s v="CIVIL"/>
    <d v="2023-06-22T00:00:00"/>
    <d v="2023-07-06T19:21:01"/>
    <m/>
    <d v="2023-07-06T00:00:00"/>
    <n v="1586"/>
    <n v="15796"/>
    <s v="59635013"/>
    <s v="59635013"/>
    <m/>
    <m/>
    <n v="22745166"/>
    <m/>
    <m/>
    <m/>
    <s v="SOLFIN"/>
    <s v="SOLFIN"/>
    <s v="CCMS"/>
    <n v="21338340"/>
    <n v="9250.26"/>
    <m/>
    <s v="N"/>
    <n v="35"/>
    <d v="2023-07-06T19:21:20"/>
    <s v="Y"/>
    <s v="Travel to court"/>
    <s v="Non Family Hourly Rates"/>
    <s v="Profit Cost"/>
    <s v="YM"/>
    <s v="Y"/>
    <n v="36.79"/>
    <n v="7.36"/>
    <x v="4"/>
    <s v="VALIDATED"/>
    <n v="1"/>
    <s v="01.11.80.210.6100.0000"/>
    <n v="36.79"/>
    <s v="11"/>
    <s v="6100"/>
    <n v="12659.16"/>
    <n v="36.79"/>
    <s v="CREDITOR"/>
    <n v="0"/>
    <n v="0"/>
    <n v="0"/>
    <n v="0"/>
    <n v="36.79"/>
  </r>
  <r>
    <n v="59635013"/>
    <s v="N"/>
    <n v="21338340"/>
    <s v="3000014025420005"/>
    <s v="CIVIL"/>
    <d v="2023-06-22T00:00:00"/>
    <d v="2023-07-06T19:21:01"/>
    <m/>
    <d v="2023-07-06T00:00:00"/>
    <n v="1586"/>
    <n v="15796"/>
    <s v="59635013"/>
    <s v="59635013"/>
    <m/>
    <m/>
    <n v="22745166"/>
    <m/>
    <m/>
    <m/>
    <s v="SOLFIN"/>
    <s v="SOLFIN"/>
    <s v="CCMS"/>
    <n v="21338340"/>
    <n v="9250.26"/>
    <m/>
    <s v="N"/>
    <n v="51"/>
    <d v="2023-07-06T19:21:20"/>
    <s v="Y"/>
    <s v="Preparation - other"/>
    <s v="Non Family Hourly Rates"/>
    <s v="Profit Cost"/>
    <s v="NP"/>
    <s v="Y"/>
    <n v="8.91"/>
    <n v="1.78"/>
    <x v="4"/>
    <s v="VALIDATED"/>
    <n v="1"/>
    <s v="01.11.80.210.6100.0000"/>
    <n v="8.91"/>
    <s v="11"/>
    <s v="6100"/>
    <n v="12659.16"/>
    <n v="8.91"/>
    <s v="CREDITOR"/>
    <n v="0"/>
    <n v="0"/>
    <n v="0"/>
    <n v="0"/>
    <n v="8.91"/>
  </r>
  <r>
    <n v="59635013"/>
    <s v="N"/>
    <n v="21338340"/>
    <s v="3000014025420005"/>
    <s v="CIVIL"/>
    <d v="2023-06-22T00:00:00"/>
    <d v="2023-07-06T19:21:01"/>
    <m/>
    <d v="2023-07-06T00:00:00"/>
    <n v="1586"/>
    <n v="15796"/>
    <s v="59635013"/>
    <s v="59635013"/>
    <m/>
    <m/>
    <n v="22745166"/>
    <m/>
    <m/>
    <m/>
    <s v="SOLFIN"/>
    <s v="SOLFIN"/>
    <s v="CCMS"/>
    <n v="21338340"/>
    <n v="9250.26"/>
    <m/>
    <s v="N"/>
    <n v="60"/>
    <d v="2023-07-06T19:21:20"/>
    <s v="Y"/>
    <s v="Attendance upon client"/>
    <s v="Non Family Hourly Rates"/>
    <s v="Profit Cost"/>
    <s v="VI"/>
    <s v="Y"/>
    <n v="222.75"/>
    <n v="44.55"/>
    <x v="4"/>
    <s v="VALIDATED"/>
    <n v="1"/>
    <s v="01.11.80.210.6100.0000"/>
    <n v="222.75"/>
    <s v="11"/>
    <s v="6100"/>
    <n v="12659.16"/>
    <n v="222.75"/>
    <s v="CREDITOR"/>
    <n v="0"/>
    <n v="0"/>
    <n v="0"/>
    <n v="0"/>
    <n v="222.75"/>
  </r>
  <r>
    <n v="61923299"/>
    <s v="N"/>
    <n v="21323760"/>
    <s v="3000015977000006"/>
    <s v="CIVIL"/>
    <d v="2023-06-30T00:00:00"/>
    <d v="2023-07-03T19:05:56"/>
    <m/>
    <d v="2023-07-03T00:00:00"/>
    <n v="1586"/>
    <n v="15796"/>
    <s v="61923299"/>
    <s v="61923299"/>
    <m/>
    <m/>
    <n v="22796032"/>
    <m/>
    <m/>
    <m/>
    <s v="SOLPOA"/>
    <s v="SOLPOA"/>
    <s v="CCMS"/>
    <n v="21323760"/>
    <n v="50.4"/>
    <m/>
    <s v="N"/>
    <n v="1"/>
    <d v="2023-07-03T19:05:58"/>
    <s v="N"/>
    <s v="Expert Cost"/>
    <s v="Expert Cost"/>
    <s v="Expert Disbursement"/>
    <s v="ECW"/>
    <s v="N"/>
    <n v="42"/>
    <n v="8.4"/>
    <x v="3"/>
    <s v="VALIDATED"/>
    <n v="1"/>
    <s v="01.11.80.308.2012.0000"/>
    <n v="42"/>
    <s v="11"/>
    <s v="2012"/>
    <n v="12659.16"/>
    <n v="42"/>
    <s v="CREDITOR"/>
    <n v="42"/>
    <n v="0"/>
    <n v="0"/>
    <n v="0"/>
    <n v="0"/>
  </r>
  <r>
    <n v="54248104"/>
    <s v="N"/>
    <n v="21350007"/>
    <s v="3000012922770007"/>
    <s v="CIVIL"/>
    <d v="2023-06-28T00:00:00"/>
    <d v="2023-07-10T19:01:40"/>
    <m/>
    <d v="2023-07-10T00:00:00"/>
    <n v="1586"/>
    <n v="15796"/>
    <s v="54248104"/>
    <s v="54248104"/>
    <m/>
    <m/>
    <n v="22779004"/>
    <m/>
    <m/>
    <m/>
    <s v="SOLFIN"/>
    <s v="SOLFIN"/>
    <s v="CCMS"/>
    <n v="21350007"/>
    <n v="4461.01"/>
    <m/>
    <s v="N"/>
    <n v="11"/>
    <d v="2023-07-10T19:02:09"/>
    <s v="Y"/>
    <s v="Travel to court"/>
    <s v="Non Family Hourly Rates"/>
    <s v="Profit Cost"/>
    <s v="JS"/>
    <s v="Y"/>
    <n v="18.4"/>
    <n v="3.68"/>
    <x v="2"/>
    <s v="VALIDATED"/>
    <n v="1"/>
    <s v="01.11.80.208.6100.0000"/>
    <n v="18.4"/>
    <s v="11"/>
    <s v="6100"/>
    <n v="12659.16"/>
    <n v="18.4"/>
    <s v="CREDITOR"/>
    <n v="0"/>
    <n v="0"/>
    <n v="0"/>
    <n v="0"/>
    <n v="18.4"/>
  </r>
  <r>
    <n v="54249002"/>
    <s v="N"/>
    <n v="21344014"/>
    <s v="3000012924670002"/>
    <s v="CIVIL"/>
    <d v="2023-06-28T00:00:00"/>
    <d v="2023-07-07T19:03:00"/>
    <m/>
    <d v="2023-07-07T00:00:00"/>
    <n v="1586"/>
    <n v="15796"/>
    <s v="54249002"/>
    <s v="54249002"/>
    <m/>
    <m/>
    <n v="22778978"/>
    <m/>
    <m/>
    <m/>
    <s v="SOLFIN"/>
    <s v="SOLFIN"/>
    <s v="CCMS"/>
    <n v="21344014"/>
    <n v="3560.34"/>
    <m/>
    <s v="N"/>
    <n v="53"/>
    <d v="2023-07-07T19:03:20"/>
    <s v="Y"/>
    <s v="Preparation - other"/>
    <s v="Non Family Hourly Rates"/>
    <s v="Profit Cost"/>
    <s v="BT"/>
    <s v="Y"/>
    <n v="11.88"/>
    <n v="2.38"/>
    <x v="9"/>
    <s v="VALIDATED"/>
    <n v="1"/>
    <s v="01.11.80.208.6100.0000"/>
    <n v="11.88"/>
    <s v="11"/>
    <s v="6100"/>
    <n v="12659.16"/>
    <n v="11.88"/>
    <s v="CREDITOR"/>
    <n v="0"/>
    <n v="0"/>
    <n v="0"/>
    <n v="0"/>
    <n v="11.88"/>
  </r>
  <r>
    <n v="60553858"/>
    <s v="N"/>
    <n v="21343953"/>
    <s v="3000014821250002"/>
    <s v="CIVIL"/>
    <d v="2023-06-21T00:00:00"/>
    <d v="2023-07-07T19:03:00"/>
    <m/>
    <d v="2023-07-07T00:00:00"/>
    <n v="1586"/>
    <n v="15796"/>
    <s v="60553858"/>
    <s v="60553858"/>
    <m/>
    <m/>
    <n v="22733756"/>
    <m/>
    <m/>
    <m/>
    <s v="SOLFIN"/>
    <s v="SOLFIN"/>
    <s v="CCMS"/>
    <n v="21343953"/>
    <n v="3978.67"/>
    <m/>
    <s v="N"/>
    <n v="1"/>
    <d v="2023-07-07T19:03:18"/>
    <s v="Y"/>
    <s v="Solicitor Travel Expenses"/>
    <s v="Non Family Hourly Rates"/>
    <s v="Non Expert Disbursement"/>
    <s v="NP"/>
    <s v="Y"/>
    <n v="6"/>
    <n v="0"/>
    <x v="9"/>
    <s v="VALIDATED"/>
    <n v="1"/>
    <s v="01.11.80.210.6300.0000"/>
    <n v="6"/>
    <s v="11"/>
    <s v="6300"/>
    <n v="12659.16"/>
    <n v="6"/>
    <s v="CREDITOR"/>
    <n v="0"/>
    <n v="0"/>
    <n v="0"/>
    <n v="0"/>
    <n v="6"/>
  </r>
  <r>
    <n v="56440931"/>
    <s v="N"/>
    <n v="21338241"/>
    <s v="3000013433190002"/>
    <s v="CIVIL"/>
    <d v="2023-06-26T00:00:00"/>
    <d v="2023-07-06T19:21:01"/>
    <m/>
    <d v="2023-07-06T00:00:00"/>
    <n v="1586"/>
    <n v="15796"/>
    <s v="56440931"/>
    <s v="56440931"/>
    <m/>
    <m/>
    <n v="22762082"/>
    <m/>
    <m/>
    <m/>
    <s v="SOLFIN"/>
    <s v="SOLFIN"/>
    <s v="CCMS"/>
    <n v="21338241"/>
    <n v="2471.98"/>
    <m/>
    <s v="N"/>
    <n v="1"/>
    <d v="2023-07-06T19:21:13"/>
    <s v="Y"/>
    <s v="Advocacy - Other Hearing"/>
    <s v="Non Family Hourly Rates"/>
    <s v="Advocacy"/>
    <s v="JOS"/>
    <s v="Y"/>
    <n v="22.28"/>
    <n v="4.46"/>
    <x v="4"/>
    <s v="VALIDATED"/>
    <n v="1"/>
    <s v="01.11.80.210.6100.0000"/>
    <n v="22.28"/>
    <s v="11"/>
    <s v="6100"/>
    <n v="12659.16"/>
    <n v="22.28"/>
    <s v="CREDITOR"/>
    <n v="0"/>
    <n v="0"/>
    <n v="0"/>
    <n v="0"/>
    <n v="22.28"/>
  </r>
  <r>
    <n v="59635013"/>
    <s v="N"/>
    <n v="21338340"/>
    <s v="3000014025420005"/>
    <s v="CIVIL"/>
    <d v="2023-06-22T00:00:00"/>
    <d v="2023-07-06T19:21:01"/>
    <m/>
    <d v="2023-07-06T00:00:00"/>
    <n v="1586"/>
    <n v="15796"/>
    <s v="59635013"/>
    <s v="59635013"/>
    <m/>
    <m/>
    <n v="22745166"/>
    <m/>
    <m/>
    <m/>
    <s v="SOLFIN"/>
    <s v="SOLFIN"/>
    <s v="CCMS"/>
    <n v="21338340"/>
    <n v="9250.26"/>
    <m/>
    <s v="N"/>
    <n v="43"/>
    <d v="2023-07-06T19:21:20"/>
    <s v="Y"/>
    <s v="Preparation - other"/>
    <s v="Non Family Hourly Rates"/>
    <s v="Profit Cost"/>
    <s v="JS"/>
    <s v="Y"/>
    <n v="17.82"/>
    <n v="3.56"/>
    <x v="4"/>
    <s v="VALIDATED"/>
    <n v="1"/>
    <s v="01.11.80.210.6100.0000"/>
    <n v="17.82"/>
    <s v="11"/>
    <s v="6100"/>
    <n v="12659.16"/>
    <n v="17.82"/>
    <s v="CREDITOR"/>
    <n v="0"/>
    <n v="0"/>
    <n v="0"/>
    <n v="0"/>
    <n v="17.82"/>
  </r>
  <r>
    <n v="54248104"/>
    <s v="N"/>
    <n v="21350007"/>
    <s v="3000012922770007"/>
    <s v="CIVIL"/>
    <d v="2023-06-28T00:00:00"/>
    <d v="2023-07-10T19:01:40"/>
    <m/>
    <d v="2023-07-10T00:00:00"/>
    <n v="1586"/>
    <n v="15796"/>
    <s v="54248104"/>
    <s v="54248104"/>
    <m/>
    <m/>
    <n v="22779004"/>
    <m/>
    <m/>
    <m/>
    <s v="SOLFIN"/>
    <s v="SOLFIN"/>
    <s v="CCMS"/>
    <n v="21350007"/>
    <n v="4461.01"/>
    <m/>
    <s v="N"/>
    <n v="64"/>
    <d v="2023-07-10T19:02:09"/>
    <s v="Y"/>
    <s v="Preparation - other"/>
    <s v="Non Family Hourly Rates"/>
    <s v="Profit Cost"/>
    <s v="BT"/>
    <s v="Y"/>
    <n v="17.82"/>
    <n v="3.56"/>
    <x v="2"/>
    <s v="VALIDATED"/>
    <n v="1"/>
    <s v="01.11.80.208.6100.0000"/>
    <n v="17.82"/>
    <s v="11"/>
    <s v="6100"/>
    <n v="12659.16"/>
    <n v="17.82"/>
    <s v="CREDITOR"/>
    <n v="0"/>
    <n v="0"/>
    <n v="0"/>
    <n v="0"/>
    <n v="17.82"/>
  </r>
  <r>
    <n v="54248104"/>
    <s v="N"/>
    <n v="21350007"/>
    <s v="3000012922770007"/>
    <s v="CIVIL"/>
    <d v="2023-06-28T00:00:00"/>
    <d v="2023-07-10T19:01:40"/>
    <m/>
    <d v="2023-07-10T00:00:00"/>
    <n v="1586"/>
    <n v="15796"/>
    <s v="54248104"/>
    <s v="54248104"/>
    <m/>
    <m/>
    <n v="22779004"/>
    <m/>
    <m/>
    <m/>
    <s v="SOLFIN"/>
    <s v="SOLFIN"/>
    <s v="CCMS"/>
    <n v="21350007"/>
    <n v="4461.01"/>
    <m/>
    <s v="N"/>
    <n v="14"/>
    <d v="2023-07-10T19:02:09"/>
    <s v="Y"/>
    <s v="Preparation - other"/>
    <s v="Non Family Hourly Rates"/>
    <s v="Profit Cost"/>
    <s v="JS"/>
    <s v="Y"/>
    <n v="31.19"/>
    <n v="6.24"/>
    <x v="2"/>
    <s v="VALIDATED"/>
    <n v="1"/>
    <s v="01.11.80.208.6100.0000"/>
    <n v="31.19"/>
    <s v="11"/>
    <s v="6100"/>
    <n v="12659.16"/>
    <n v="31.19"/>
    <s v="CREDITOR"/>
    <n v="0"/>
    <n v="0"/>
    <n v="0"/>
    <n v="0"/>
    <n v="31.19"/>
  </r>
  <r>
    <n v="59541029"/>
    <s v="N"/>
    <n v="21337717"/>
    <s v="3000013946150003"/>
    <s v="CIVIL"/>
    <d v="2023-06-27T00:00:00"/>
    <d v="2023-07-06T19:21:01"/>
    <m/>
    <d v="2023-07-06T00:00:00"/>
    <n v="1586"/>
    <n v="15796"/>
    <s v="59541029"/>
    <s v="59541029"/>
    <m/>
    <m/>
    <n v="22772024"/>
    <m/>
    <m/>
    <m/>
    <s v="SOLFIN"/>
    <s v="SOLFIN"/>
    <s v="CCMS"/>
    <n v="21337717"/>
    <n v="1714.78"/>
    <m/>
    <s v="N"/>
    <n v="22"/>
    <d v="2023-07-06T19:21:05"/>
    <s v="Y"/>
    <s v="Preparation - other"/>
    <s v="Non Family Hourly Rates"/>
    <s v="Profit Cost"/>
    <s v="JS"/>
    <s v="Y"/>
    <n v="11.88"/>
    <n v="2.38"/>
    <x v="4"/>
    <s v="VALIDATED"/>
    <n v="1"/>
    <s v="01.11.80.208.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65"/>
    <d v="2023-07-06T19:21:20"/>
    <s v="Y"/>
    <s v="Travel to court"/>
    <s v="Non Family Hourly Rates"/>
    <s v="Profit Cost"/>
    <s v="BT"/>
    <s v="Y"/>
    <n v="36.79"/>
    <n v="7.36"/>
    <x v="4"/>
    <s v="VALIDATED"/>
    <n v="1"/>
    <s v="01.11.80.210.6100.0000"/>
    <n v="36.79"/>
    <s v="11"/>
    <s v="6100"/>
    <n v="12659.16"/>
    <n v="36.79"/>
    <s v="CREDITOR"/>
    <n v="0"/>
    <n v="0"/>
    <n v="0"/>
    <n v="0"/>
    <n v="36.79"/>
  </r>
  <r>
    <n v="54248104"/>
    <s v="N"/>
    <n v="21350007"/>
    <s v="3000012922770007"/>
    <s v="CIVIL"/>
    <d v="2023-06-28T00:00:00"/>
    <d v="2023-07-10T19:01:40"/>
    <m/>
    <d v="2023-07-10T00:00:00"/>
    <n v="1586"/>
    <n v="15796"/>
    <s v="54248104"/>
    <s v="54248104"/>
    <m/>
    <m/>
    <n v="22779004"/>
    <m/>
    <m/>
    <m/>
    <s v="SOLFIN"/>
    <s v="SOLFIN"/>
    <s v="CCMS"/>
    <n v="21350007"/>
    <n v="4461.01"/>
    <m/>
    <s v="N"/>
    <n v="9"/>
    <d v="2023-07-10T19:02:09"/>
    <s v="Y"/>
    <s v="Advocacy - Directions Hearing"/>
    <s v="Non Family Hourly Rates"/>
    <s v="Advocacy"/>
    <s v="JS"/>
    <s v="Y"/>
    <n v="35.64"/>
    <n v="7.13"/>
    <x v="2"/>
    <s v="VALIDATED"/>
    <n v="1"/>
    <s v="01.11.80.208.6100.0000"/>
    <n v="35.64"/>
    <s v="11"/>
    <s v="6100"/>
    <n v="12659.16"/>
    <n v="35.64"/>
    <s v="CREDITOR"/>
    <n v="0"/>
    <n v="0"/>
    <n v="0"/>
    <n v="0"/>
    <n v="35.64"/>
  </r>
  <r>
    <n v="54248104"/>
    <s v="N"/>
    <n v="21350007"/>
    <s v="3000012922770007"/>
    <s v="CIVIL"/>
    <d v="2023-06-28T00:00:00"/>
    <d v="2023-07-10T19:01:40"/>
    <m/>
    <d v="2023-07-10T00:00:00"/>
    <n v="1586"/>
    <n v="15796"/>
    <s v="54248104"/>
    <s v="54248104"/>
    <m/>
    <m/>
    <n v="22779004"/>
    <m/>
    <m/>
    <m/>
    <s v="SOLFIN"/>
    <s v="SOLFIN"/>
    <s v="CCMS"/>
    <n v="21350007"/>
    <n v="4461.01"/>
    <m/>
    <s v="N"/>
    <n v="21"/>
    <d v="2023-07-10T19:02:09"/>
    <s v="Y"/>
    <s v="Preparation - other"/>
    <s v="Non Family Hourly Rates"/>
    <s v="Profit Cost"/>
    <s v="BT"/>
    <s v="Y"/>
    <n v="5.94"/>
    <n v="1.19"/>
    <x v="2"/>
    <s v="VALIDATED"/>
    <n v="1"/>
    <s v="01.11.80.208.6100.0000"/>
    <n v="5.94"/>
    <s v="11"/>
    <s v="6100"/>
    <n v="12659.16"/>
    <n v="5.94"/>
    <s v="CREDITOR"/>
    <n v="0"/>
    <n v="0"/>
    <n v="0"/>
    <n v="0"/>
    <n v="5.94"/>
  </r>
  <r>
    <n v="60553858"/>
    <s v="N"/>
    <n v="21343953"/>
    <s v="3000014821250002"/>
    <s v="CIVIL"/>
    <d v="2023-06-21T00:00:00"/>
    <d v="2023-07-07T19:03:00"/>
    <m/>
    <d v="2023-07-07T00:00:00"/>
    <n v="1586"/>
    <n v="15796"/>
    <s v="60553858"/>
    <s v="60553858"/>
    <m/>
    <m/>
    <n v="22733756"/>
    <m/>
    <m/>
    <m/>
    <s v="SOLFIN"/>
    <s v="SOLFIN"/>
    <s v="CCMS"/>
    <n v="21343953"/>
    <n v="3978.67"/>
    <m/>
    <s v="N"/>
    <n v="2"/>
    <d v="2023-07-07T19:03:18"/>
    <s v="Y"/>
    <s v="Psychiatrist"/>
    <s v="Non Family Hourly Rates"/>
    <s v="Expert Disbursement"/>
    <s v="XXX"/>
    <s v="Y"/>
    <n v="1112"/>
    <n v="0"/>
    <x v="9"/>
    <s v="VALIDATED"/>
    <n v="1"/>
    <s v="01.11.80.210.6300.0000"/>
    <n v="1112"/>
    <s v="11"/>
    <s v="6300"/>
    <n v="12659.16"/>
    <n v="1112"/>
    <s v="CREDITOR"/>
    <n v="0"/>
    <n v="0"/>
    <n v="0"/>
    <n v="0"/>
    <n v="1112"/>
  </r>
  <r>
    <n v="59635013"/>
    <s v="N"/>
    <n v="21338340"/>
    <s v="3000014025420005"/>
    <s v="CIVIL"/>
    <d v="2023-06-22T00:00:00"/>
    <d v="2023-07-06T19:21:01"/>
    <m/>
    <d v="2023-07-06T00:00:00"/>
    <n v="1586"/>
    <n v="15796"/>
    <s v="59635013"/>
    <s v="59635013"/>
    <m/>
    <m/>
    <n v="22745166"/>
    <m/>
    <m/>
    <m/>
    <s v="SOLFIN"/>
    <s v="SOLFIN"/>
    <s v="CCMS"/>
    <n v="21338340"/>
    <n v="9250.26"/>
    <m/>
    <s v="N"/>
    <n v="37"/>
    <d v="2023-07-06T19:21:20"/>
    <s v="Y"/>
    <s v="Preparation - other"/>
    <s v="Non Family Hourly Rates"/>
    <s v="Profit Cost"/>
    <s v="YM"/>
    <s v="Y"/>
    <n v="17.82"/>
    <n v="3.56"/>
    <x v="4"/>
    <s v="VALIDATED"/>
    <n v="1"/>
    <s v="01.11.80.210.6100.0000"/>
    <n v="17.82"/>
    <s v="11"/>
    <s v="6100"/>
    <n v="12659.16"/>
    <n v="17.82"/>
    <s v="CREDITOR"/>
    <n v="0"/>
    <n v="0"/>
    <n v="0"/>
    <n v="0"/>
    <n v="17.82"/>
  </r>
  <r>
    <n v="61842332"/>
    <s v="N"/>
    <n v="21323540"/>
    <s v="3000015909280002"/>
    <s v="CIVIL"/>
    <d v="2023-06-30T00:00:00"/>
    <d v="2023-07-03T19:05:56"/>
    <m/>
    <d v="2023-07-03T00:00:00"/>
    <n v="1586"/>
    <n v="15796"/>
    <s v="61842332"/>
    <s v="61842332"/>
    <m/>
    <m/>
    <n v="22796138"/>
    <m/>
    <m/>
    <m/>
    <s v="SOLPOA"/>
    <s v="SOLPOA"/>
    <s v="CCMS"/>
    <n v="21323540"/>
    <n v="270"/>
    <m/>
    <s v="N"/>
    <n v="1"/>
    <d v="2023-07-03T19:05:57"/>
    <s v="N"/>
    <s v="Expert Cost"/>
    <s v="Expert Cost"/>
    <s v="Expert Disbursement"/>
    <s v="NP"/>
    <s v="N"/>
    <n v="270"/>
    <n v="0"/>
    <x v="3"/>
    <s v="VALIDATED"/>
    <n v="1"/>
    <s v="01.11.80.210.2012.0000"/>
    <n v="270"/>
    <s v="11"/>
    <s v="2012"/>
    <n v="12659.16"/>
    <n v="270"/>
    <s v="CREDITOR"/>
    <n v="270"/>
    <n v="0"/>
    <n v="0"/>
    <n v="0"/>
    <n v="0"/>
  </r>
  <r>
    <n v="42658570"/>
    <s v="N"/>
    <n v="21323659"/>
    <s v="3000011354950063"/>
    <s v="CIVIL"/>
    <d v="2023-06-30T00:00:00"/>
    <d v="2023-07-03T19:05:56"/>
    <m/>
    <d v="2023-07-03T00:00:00"/>
    <n v="1586"/>
    <n v="15796"/>
    <s v="42658570"/>
    <s v="42658570"/>
    <m/>
    <m/>
    <n v="22797174"/>
    <m/>
    <m/>
    <m/>
    <s v="SOLPOA"/>
    <s v="SOLPOA"/>
    <s v="CCMS"/>
    <n v="21323659"/>
    <n v="28"/>
    <m/>
    <s v="N"/>
    <n v="1"/>
    <d v="2023-07-03T19:05:58"/>
    <s v="N"/>
    <s v="Expert Cost"/>
    <s v="Expert Cost"/>
    <s v="Expert Disbursement"/>
    <s v="ZH"/>
    <s v="N"/>
    <n v="28"/>
    <n v="0"/>
    <x v="3"/>
    <s v="VALIDATED"/>
    <n v="1"/>
    <s v="01.11.80.307.2012.0000"/>
    <n v="28"/>
    <s v="11"/>
    <s v="2012"/>
    <n v="12659.16"/>
    <n v="28"/>
    <s v="CREDITOR"/>
    <n v="28"/>
    <n v="0"/>
    <n v="0"/>
    <n v="0"/>
    <n v="0"/>
  </r>
  <r>
    <n v="61923299"/>
    <s v="N"/>
    <n v="21323668"/>
    <s v="3000015977000005"/>
    <s v="CIVIL"/>
    <d v="2023-06-30T00:00:00"/>
    <d v="2023-07-03T19:05:56"/>
    <m/>
    <d v="2023-07-03T00:00:00"/>
    <n v="1586"/>
    <n v="15796"/>
    <s v="61923299"/>
    <s v="61923299"/>
    <m/>
    <m/>
    <n v="22796562"/>
    <m/>
    <m/>
    <m/>
    <s v="SOLPOA"/>
    <s v="SOLPOA"/>
    <s v="CCMS"/>
    <n v="21323668"/>
    <n v="401.2"/>
    <m/>
    <s v="N"/>
    <n v="1"/>
    <d v="2023-07-03T19:05:58"/>
    <s v="N"/>
    <s v="Expert Cost"/>
    <s v="Expert Cost"/>
    <s v="Expert Disbursement"/>
    <s v="MR"/>
    <s v="N"/>
    <n v="401.2"/>
    <n v="0"/>
    <x v="3"/>
    <s v="VALIDATED"/>
    <n v="1"/>
    <s v="01.11.80.308.2012.0000"/>
    <n v="401.2"/>
    <s v="11"/>
    <s v="2012"/>
    <n v="12659.16"/>
    <n v="401.2"/>
    <s v="CREDITOR"/>
    <n v="401.2"/>
    <n v="0"/>
    <n v="0"/>
    <n v="0"/>
    <n v="0"/>
  </r>
  <r>
    <n v="54249002"/>
    <s v="N"/>
    <n v="21344014"/>
    <s v="3000012924670002"/>
    <s v="CIVIL"/>
    <d v="2023-06-28T00:00:00"/>
    <d v="2023-07-07T19:03:00"/>
    <m/>
    <d v="2023-07-07T00:00:00"/>
    <n v="1586"/>
    <n v="15796"/>
    <s v="54249002"/>
    <s v="54249002"/>
    <m/>
    <m/>
    <n v="22778978"/>
    <m/>
    <m/>
    <m/>
    <s v="SOLFIN"/>
    <s v="SOLFIN"/>
    <s v="CCMS"/>
    <n v="21344014"/>
    <n v="3560.34"/>
    <m/>
    <s v="N"/>
    <n v="37"/>
    <d v="2023-07-07T19:03:20"/>
    <s v="Y"/>
    <s v="Preparation - other"/>
    <s v="Non Family Hourly Rates"/>
    <s v="Profit Cost"/>
    <s v="JS"/>
    <s v="Y"/>
    <n v="22.28"/>
    <n v="4.46"/>
    <x v="9"/>
    <s v="VALIDATED"/>
    <n v="1"/>
    <s v="01.11.80.208.6100.0000"/>
    <n v="22.28"/>
    <s v="11"/>
    <s v="6100"/>
    <n v="12659.16"/>
    <n v="22.28"/>
    <s v="CREDITOR"/>
    <n v="0"/>
    <n v="0"/>
    <n v="0"/>
    <n v="0"/>
    <n v="22.28"/>
  </r>
  <r>
    <n v="56440931"/>
    <s v="N"/>
    <n v="21338241"/>
    <s v="3000013433190002"/>
    <s v="CIVIL"/>
    <d v="2023-06-26T00:00:00"/>
    <d v="2023-07-06T19:21:01"/>
    <m/>
    <d v="2023-07-06T00:00:00"/>
    <n v="1586"/>
    <n v="15796"/>
    <s v="56440931"/>
    <s v="56440931"/>
    <m/>
    <m/>
    <n v="22762082"/>
    <m/>
    <m/>
    <m/>
    <s v="SOLFIN"/>
    <s v="SOLFIN"/>
    <s v="CCMS"/>
    <n v="21338241"/>
    <n v="2471.98"/>
    <m/>
    <s v="N"/>
    <n v="45"/>
    <d v="2023-07-06T19:21:13"/>
    <s v="Y"/>
    <s v="Preparation - other"/>
    <s v="Non Family Hourly Rates"/>
    <s v="Profit Cost"/>
    <s v="BB"/>
    <s v="Y"/>
    <n v="11.88"/>
    <n v="2.38"/>
    <x v="4"/>
    <s v="VALIDATED"/>
    <n v="1"/>
    <s v="01.11.80.210.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63"/>
    <d v="2023-07-10T19:02:09"/>
    <s v="Y"/>
    <s v="Preparation - other"/>
    <s v="Non Family Hourly Rates"/>
    <s v="Profit Cost"/>
    <s v="BT"/>
    <s v="Y"/>
    <n v="11.88"/>
    <n v="2.38"/>
    <x v="2"/>
    <s v="VALIDATED"/>
    <n v="1"/>
    <s v="01.11.80.208.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29"/>
    <d v="2023-07-10T19:02:09"/>
    <s v="Y"/>
    <s v="Preparation - other"/>
    <s v="Non Family Hourly Rates"/>
    <s v="Profit Cost"/>
    <s v="JS"/>
    <s v="Y"/>
    <n v="111.38"/>
    <n v="22.28"/>
    <x v="2"/>
    <s v="VALIDATED"/>
    <n v="1"/>
    <s v="01.11.80.208.6100.0000"/>
    <n v="111.38"/>
    <s v="11"/>
    <s v="6100"/>
    <n v="12659.16"/>
    <n v="111.38"/>
    <s v="CREDITOR"/>
    <n v="0"/>
    <n v="0"/>
    <n v="0"/>
    <n v="0"/>
    <n v="111.38"/>
  </r>
  <r>
    <n v="61440199"/>
    <s v="N"/>
    <n v="21349722"/>
    <s v="3000015573980002"/>
    <s v="CIVIL"/>
    <d v="2023-06-27T00:00:00"/>
    <d v="2023-07-10T19:01:40"/>
    <m/>
    <d v="2023-07-10T00:00:00"/>
    <n v="1586"/>
    <n v="15796"/>
    <s v="61440199"/>
    <s v="61440199"/>
    <m/>
    <m/>
    <n v="22768404"/>
    <m/>
    <m/>
    <m/>
    <s v="SOLPOA"/>
    <s v="SOLPOA"/>
    <s v="CCMS"/>
    <n v="21349722"/>
    <n v="1792.49"/>
    <m/>
    <s v="N"/>
    <n v="1"/>
    <d v="2023-07-10T19:01:56"/>
    <s v="N"/>
    <s v="Profit Cost"/>
    <s v="Profit Cost"/>
    <s v="Profit Cost"/>
    <s v="JOS"/>
    <s v="N"/>
    <n v="1493.74"/>
    <n v="298.75"/>
    <x v="2"/>
    <s v="VALIDATED"/>
    <n v="1"/>
    <s v="01.11.80.210.2012.0000"/>
    <n v="1493.74"/>
    <s v="11"/>
    <s v="2012"/>
    <n v="12659.16"/>
    <n v="1493.74"/>
    <s v="CREDITOR"/>
    <n v="1493.74"/>
    <n v="373.435"/>
    <n v="0"/>
    <n v="0"/>
    <n v="0"/>
  </r>
  <r>
    <n v="54249002"/>
    <s v="N"/>
    <n v="21344014"/>
    <s v="3000012924670002"/>
    <s v="CIVIL"/>
    <d v="2023-06-28T00:00:00"/>
    <d v="2023-07-07T19:03:00"/>
    <m/>
    <d v="2023-07-07T00:00:00"/>
    <n v="1586"/>
    <n v="15796"/>
    <s v="54249002"/>
    <s v="54249002"/>
    <m/>
    <m/>
    <n v="22778978"/>
    <m/>
    <m/>
    <m/>
    <s v="SOLFIN"/>
    <s v="SOLFIN"/>
    <s v="CCMS"/>
    <n v="21344014"/>
    <n v="3560.34"/>
    <m/>
    <s v="N"/>
    <n v="39"/>
    <d v="2023-07-07T19:03:20"/>
    <s v="Y"/>
    <s v="Preparation - other"/>
    <s v="Non Family Hourly Rates"/>
    <s v="Profit Cost"/>
    <s v="JS"/>
    <s v="Y"/>
    <n v="22.28"/>
    <n v="4.46"/>
    <x v="9"/>
    <s v="VALIDATED"/>
    <n v="1"/>
    <s v="01.11.80.208.6100.0000"/>
    <n v="22.28"/>
    <s v="11"/>
    <s v="6100"/>
    <n v="12659.16"/>
    <n v="22.28"/>
    <s v="CREDITOR"/>
    <n v="0"/>
    <n v="0"/>
    <n v="0"/>
    <n v="0"/>
    <n v="22.28"/>
  </r>
  <r>
    <n v="60553858"/>
    <s v="N"/>
    <n v="21343953"/>
    <s v="3000014821250002"/>
    <s v="CIVIL"/>
    <d v="2023-06-21T00:00:00"/>
    <d v="2023-07-07T19:03:00"/>
    <m/>
    <d v="2023-07-07T00:00:00"/>
    <n v="1586"/>
    <n v="15796"/>
    <s v="60553858"/>
    <s v="60553858"/>
    <m/>
    <m/>
    <n v="22733756"/>
    <m/>
    <m/>
    <m/>
    <s v="SOLFIN"/>
    <s v="SOLFIN"/>
    <s v="CCMS"/>
    <n v="21343953"/>
    <n v="3978.67"/>
    <m/>
    <s v="N"/>
    <n v="25"/>
    <d v="2023-07-07T19:03:18"/>
    <s v="Y"/>
    <s v="Advocacy - Other Hearing"/>
    <s v="Non Family Hourly Rates"/>
    <s v="Advocacy"/>
    <s v="BT"/>
    <s v="Y"/>
    <n v="26.73"/>
    <n v="5.35"/>
    <x v="9"/>
    <s v="VALIDATED"/>
    <n v="1"/>
    <s v="01.11.80.210.6100.0000"/>
    <n v="26.73"/>
    <s v="11"/>
    <s v="6100"/>
    <n v="12659.16"/>
    <n v="26.73"/>
    <s v="CREDITOR"/>
    <n v="0"/>
    <n v="0"/>
    <n v="0"/>
    <n v="0"/>
    <n v="26.73"/>
  </r>
  <r>
    <n v="56440931"/>
    <s v="N"/>
    <n v="21338241"/>
    <s v="3000013433190002"/>
    <s v="CIVIL"/>
    <d v="2023-06-26T00:00:00"/>
    <d v="2023-07-06T19:21:01"/>
    <m/>
    <d v="2023-07-06T00:00:00"/>
    <n v="1586"/>
    <n v="15796"/>
    <s v="56440931"/>
    <s v="56440931"/>
    <m/>
    <m/>
    <n v="22762082"/>
    <m/>
    <m/>
    <m/>
    <s v="SOLFIN"/>
    <s v="SOLFIN"/>
    <s v="CCMS"/>
    <n v="21338241"/>
    <n v="2471.98"/>
    <m/>
    <s v="N"/>
    <n v="32"/>
    <d v="2023-07-06T19:21:13"/>
    <s v="Y"/>
    <s v="Preparation - other"/>
    <s v="Non Family Hourly Rates"/>
    <s v="Profit Cost"/>
    <s v="BT"/>
    <s v="Y"/>
    <n v="66.83"/>
    <n v="13.37"/>
    <x v="4"/>
    <s v="VALIDATED"/>
    <n v="1"/>
    <s v="01.11.80.210.6100.0000"/>
    <n v="66.83"/>
    <s v="11"/>
    <s v="6100"/>
    <n v="12659.16"/>
    <n v="66.83"/>
    <s v="CREDITOR"/>
    <n v="0"/>
    <n v="0"/>
    <n v="0"/>
    <n v="0"/>
    <n v="66.83"/>
  </r>
  <r>
    <n v="59541029"/>
    <s v="N"/>
    <n v="21337717"/>
    <s v="3000013946150003"/>
    <s v="CIVIL"/>
    <d v="2023-06-27T00:00:00"/>
    <d v="2023-07-06T19:21:01"/>
    <m/>
    <d v="2023-07-06T00:00:00"/>
    <n v="1586"/>
    <n v="15796"/>
    <s v="59541029"/>
    <s v="59541029"/>
    <m/>
    <m/>
    <n v="22772024"/>
    <m/>
    <m/>
    <m/>
    <s v="SOLFIN"/>
    <s v="SOLFIN"/>
    <s v="CCMS"/>
    <n v="21337717"/>
    <n v="1714.78"/>
    <m/>
    <s v="N"/>
    <n v="4"/>
    <d v="2023-07-06T19:21:05"/>
    <s v="Y"/>
    <s v="Preparation - drafting statement"/>
    <s v="Non Family Hourly Rates"/>
    <s v="Profit Cost"/>
    <s v="JS"/>
    <s v="Y"/>
    <n v="133.65"/>
    <n v="26.73"/>
    <x v="4"/>
    <s v="VALIDATED"/>
    <n v="1"/>
    <s v="01.11.80.208.6100.0000"/>
    <n v="133.65"/>
    <s v="11"/>
    <s v="6100"/>
    <n v="12659.16"/>
    <n v="133.65"/>
    <s v="CREDITOR"/>
    <n v="0"/>
    <n v="0"/>
    <n v="0"/>
    <n v="0"/>
    <n v="133.65"/>
  </r>
  <r>
    <n v="59635013"/>
    <s v="N"/>
    <n v="21338340"/>
    <s v="3000014025420005"/>
    <s v="CIVIL"/>
    <d v="2023-06-22T00:00:00"/>
    <d v="2023-07-06T19:21:01"/>
    <m/>
    <d v="2023-07-06T00:00:00"/>
    <n v="1586"/>
    <n v="15796"/>
    <s v="59635013"/>
    <s v="59635013"/>
    <m/>
    <m/>
    <n v="22745166"/>
    <m/>
    <m/>
    <m/>
    <s v="SOLFIN"/>
    <s v="SOLFIN"/>
    <s v="CCMS"/>
    <n v="21338340"/>
    <n v="9250.26"/>
    <m/>
    <s v="N"/>
    <n v="20"/>
    <d v="2023-07-06T19:21:20"/>
    <s v="Y"/>
    <s v="Preparation - other"/>
    <s v="Non Family Hourly Rates"/>
    <s v="Profit Cost"/>
    <s v="JS"/>
    <s v="Y"/>
    <n v="89.09999999999999"/>
    <n v="17.82"/>
    <x v="4"/>
    <s v="VALIDATED"/>
    <n v="1"/>
    <s v="01.11.80.210.6100.0000"/>
    <n v="89.09999999999999"/>
    <s v="11"/>
    <s v="6100"/>
    <n v="12659.16"/>
    <n v="89.09999999999999"/>
    <s v="CREDITOR"/>
    <n v="0"/>
    <n v="0"/>
    <n v="0"/>
    <n v="0"/>
    <n v="89.09999999999999"/>
  </r>
  <r>
    <n v="59635013"/>
    <s v="N"/>
    <n v="21338340"/>
    <s v="3000014025420005"/>
    <s v="CIVIL"/>
    <d v="2023-06-22T00:00:00"/>
    <d v="2023-07-06T19:21:01"/>
    <m/>
    <d v="2023-07-06T00:00:00"/>
    <n v="1586"/>
    <n v="15796"/>
    <s v="59635013"/>
    <s v="59635013"/>
    <m/>
    <m/>
    <n v="22745166"/>
    <m/>
    <m/>
    <m/>
    <s v="SOLFIN"/>
    <s v="SOLFIN"/>
    <s v="CCMS"/>
    <n v="21338340"/>
    <n v="9250.26"/>
    <m/>
    <s v="N"/>
    <n v="28"/>
    <d v="2023-07-06T19:21:20"/>
    <s v="Y"/>
    <s v="Preparation - other"/>
    <s v="Non Family Hourly Rates"/>
    <s v="Profit Cost"/>
    <s v="JS"/>
    <s v="Y"/>
    <n v="11.88"/>
    <n v="2.38"/>
    <x v="4"/>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41"/>
    <d v="2023-07-06T19:21:20"/>
    <s v="Y"/>
    <s v="Preparation - other"/>
    <s v="Non Family Hourly Rates"/>
    <s v="Profit Cost"/>
    <s v="JS"/>
    <s v="Y"/>
    <n v="11.88"/>
    <n v="2.38"/>
    <x v="4"/>
    <s v="VALIDATED"/>
    <n v="1"/>
    <s v="01.11.80.210.6100.0000"/>
    <n v="11.88"/>
    <s v="11"/>
    <s v="6100"/>
    <n v="12659.16"/>
    <n v="11.88"/>
    <s v="CREDITOR"/>
    <n v="0"/>
    <n v="0"/>
    <n v="0"/>
    <n v="0"/>
    <n v="11.88"/>
  </r>
  <r>
    <n v="10087452"/>
    <s v="N"/>
    <n v="21391928"/>
    <s v="3000005965680003"/>
    <s v="CIVIL"/>
    <d v="2023-06-28T00:00:00"/>
    <d v="2023-07-18T19:00:27"/>
    <m/>
    <d v="2023-07-18T00:00:00"/>
    <n v="1586"/>
    <n v="15796"/>
    <s v="10087452"/>
    <s v="10087452"/>
    <m/>
    <m/>
    <n v="22777604"/>
    <m/>
    <m/>
    <m/>
    <s v="SOLFIN"/>
    <s v="SOLFIN"/>
    <s v="CCMS"/>
    <n v="21391928"/>
    <n v="1623.53"/>
    <m/>
    <s v="N"/>
    <n v="9"/>
    <d v="2023-07-18T19:00:33"/>
    <s v="Y"/>
    <s v="Attendance upon client"/>
    <s v="Non Family Hourly Rates"/>
    <s v="Profit Cost"/>
    <s v="BT"/>
    <s v="Y"/>
    <n v="23.76"/>
    <n v="4.75"/>
    <x v="14"/>
    <s v="VALIDATED"/>
    <n v="1"/>
    <s v="01.11.80.208.6100.0000"/>
    <n v="23.76"/>
    <s v="11"/>
    <s v="6100"/>
    <n v="12659.16"/>
    <n v="23.76"/>
    <s v="CREDITOR"/>
    <n v="0"/>
    <n v="0"/>
    <n v="0"/>
    <n v="0"/>
    <n v="23.76"/>
  </r>
  <r>
    <n v="61721697"/>
    <s v="N"/>
    <n v="21322958"/>
    <s v="3000015809230005"/>
    <s v="CIVIL"/>
    <d v="2023-06-29T00:00:00"/>
    <d v="2023-07-03T19:05:36"/>
    <m/>
    <d v="2023-07-03T00:00:00"/>
    <n v="1586"/>
    <n v="15796"/>
    <s v="61721697"/>
    <s v="61721697"/>
    <m/>
    <m/>
    <n v="22793286"/>
    <m/>
    <m/>
    <m/>
    <s v="SOLPOA"/>
    <s v="SOLPOA"/>
    <s v="CCMS"/>
    <n v="21322958"/>
    <n v="648.8200000000001"/>
    <m/>
    <s v="N"/>
    <n v="1"/>
    <d v="2023-07-03T19:05:41"/>
    <s v="N"/>
    <s v="Expert Cost"/>
    <s v="Expert Cost"/>
    <s v="Expert Disbursement"/>
    <s v="ECW"/>
    <s v="N"/>
    <n v="648.8200000000001"/>
    <n v="0"/>
    <x v="3"/>
    <s v="VALIDATED"/>
    <n v="1"/>
    <s v="01.11.80.308.2012.0000"/>
    <n v="648.8200000000001"/>
    <s v="11"/>
    <s v="2012"/>
    <n v="12659.16"/>
    <n v="648.8200000000001"/>
    <s v="CREDITOR"/>
    <n v="648.8200000000001"/>
    <n v="0"/>
    <n v="0"/>
    <n v="0"/>
    <n v="0"/>
  </r>
  <r>
    <n v="54248104"/>
    <s v="N"/>
    <n v="21350007"/>
    <s v="3000012922770007"/>
    <s v="CIVIL"/>
    <d v="2023-06-28T00:00:00"/>
    <d v="2023-07-10T19:01:40"/>
    <m/>
    <d v="2023-07-10T00:00:00"/>
    <n v="1586"/>
    <n v="15796"/>
    <s v="54248104"/>
    <s v="54248104"/>
    <m/>
    <m/>
    <n v="22779004"/>
    <m/>
    <m/>
    <m/>
    <s v="SOLFIN"/>
    <s v="SOLFIN"/>
    <s v="CCMS"/>
    <n v="21350007"/>
    <n v="4461.01"/>
    <m/>
    <s v="N"/>
    <n v="1"/>
    <d v="2023-07-10T19:02:09"/>
    <s v="Y"/>
    <s v="Court Fee"/>
    <s v="Non Family Hourly Rates"/>
    <s v="Non Expert Disbursement"/>
    <s v="JS"/>
    <s v="Y"/>
    <n v="455"/>
    <n v="0"/>
    <x v="2"/>
    <s v="VALIDATED"/>
    <n v="1"/>
    <s v="01.11.80.208.6300.0000"/>
    <n v="455"/>
    <s v="11"/>
    <s v="6300"/>
    <n v="12659.16"/>
    <n v="455"/>
    <s v="CREDITOR"/>
    <n v="0"/>
    <n v="0"/>
    <n v="0"/>
    <n v="0"/>
    <n v="455"/>
  </r>
  <r>
    <n v="54248104"/>
    <s v="N"/>
    <n v="21350007"/>
    <s v="3000012922770007"/>
    <s v="CIVIL"/>
    <d v="2023-06-28T00:00:00"/>
    <d v="2023-07-10T19:01:40"/>
    <m/>
    <d v="2023-07-10T00:00:00"/>
    <n v="1586"/>
    <n v="15796"/>
    <s v="54248104"/>
    <s v="54248104"/>
    <m/>
    <m/>
    <n v="22779004"/>
    <m/>
    <m/>
    <m/>
    <s v="SOLFIN"/>
    <s v="SOLFIN"/>
    <s v="CCMS"/>
    <n v="21350007"/>
    <n v="4461.01"/>
    <m/>
    <s v="N"/>
    <n v="3"/>
    <d v="2023-07-10T19:02:09"/>
    <s v="Y"/>
    <s v="Surveyor (Housing Disrepair)"/>
    <s v="Non Family Hourly Rates"/>
    <s v="Expert Disbursement"/>
    <s v="JS"/>
    <s v="Y"/>
    <n v="127.5"/>
    <n v="0"/>
    <x v="2"/>
    <s v="VALIDATED"/>
    <n v="1"/>
    <s v="01.11.80.208.6300.0000"/>
    <n v="127.5"/>
    <s v="11"/>
    <s v="6300"/>
    <n v="12659.16"/>
    <n v="127.5"/>
    <s v="CREDITOR"/>
    <n v="0"/>
    <n v="0"/>
    <n v="0"/>
    <n v="0"/>
    <n v="127.5"/>
  </r>
  <r>
    <n v="54249002"/>
    <s v="N"/>
    <n v="21344014"/>
    <s v="3000012924670002"/>
    <s v="CIVIL"/>
    <d v="2023-06-28T00:00:00"/>
    <d v="2023-07-07T19:03:00"/>
    <m/>
    <d v="2023-07-07T00:00:00"/>
    <n v="1586"/>
    <n v="15796"/>
    <s v="54249002"/>
    <s v="54249002"/>
    <m/>
    <m/>
    <n v="22778978"/>
    <m/>
    <m/>
    <m/>
    <s v="SOLFIN"/>
    <s v="SOLFIN"/>
    <s v="CCMS"/>
    <n v="21344014"/>
    <n v="3560.34"/>
    <m/>
    <s v="N"/>
    <n v="44"/>
    <d v="2023-07-07T19:03:20"/>
    <s v="Y"/>
    <s v="Travel to court"/>
    <s v="Non Family Hourly Rates"/>
    <s v="Profit Cost"/>
    <s v="YM"/>
    <s v="Y"/>
    <n v="18.4"/>
    <n v="3.68"/>
    <x v="9"/>
    <s v="VALIDATED"/>
    <n v="1"/>
    <s v="01.11.80.208.6100.0000"/>
    <n v="18.4"/>
    <s v="11"/>
    <s v="6100"/>
    <n v="12659.16"/>
    <n v="18.4"/>
    <s v="CREDITOR"/>
    <n v="0"/>
    <n v="0"/>
    <n v="0"/>
    <n v="0"/>
    <n v="18.4"/>
  </r>
  <r>
    <n v="59541029"/>
    <s v="N"/>
    <n v="21337717"/>
    <s v="3000013946150003"/>
    <s v="CIVIL"/>
    <d v="2023-06-27T00:00:00"/>
    <d v="2023-07-06T19:21:01"/>
    <m/>
    <d v="2023-07-06T00:00:00"/>
    <n v="1586"/>
    <n v="15796"/>
    <s v="59541029"/>
    <s v="59541029"/>
    <m/>
    <m/>
    <n v="22772024"/>
    <m/>
    <m/>
    <m/>
    <s v="SOLFIN"/>
    <s v="SOLFIN"/>
    <s v="CCMS"/>
    <n v="21337717"/>
    <n v="1714.78"/>
    <m/>
    <s v="N"/>
    <n v="13"/>
    <d v="2023-07-06T19:21:05"/>
    <s v="Y"/>
    <s v="Preparation - drafting notice(s)"/>
    <s v="Non Family Hourly Rates"/>
    <s v="Profit Cost"/>
    <s v="JS"/>
    <s v="Y"/>
    <n v="5.94"/>
    <n v="1.19"/>
    <x v="4"/>
    <s v="VALIDATED"/>
    <n v="1"/>
    <s v="01.11.80.208.6100.0000"/>
    <n v="5.94"/>
    <s v="11"/>
    <s v="6100"/>
    <n v="12659.16"/>
    <n v="5.94"/>
    <s v="CREDITOR"/>
    <n v="0"/>
    <n v="0"/>
    <n v="0"/>
    <n v="0"/>
    <n v="5.94"/>
  </r>
  <r>
    <n v="60553858"/>
    <s v="N"/>
    <n v="21343953"/>
    <s v="3000014821250002"/>
    <s v="CIVIL"/>
    <d v="2023-06-21T00:00:00"/>
    <d v="2023-07-07T19:03:00"/>
    <m/>
    <d v="2023-07-07T00:00:00"/>
    <n v="1586"/>
    <n v="15796"/>
    <s v="60553858"/>
    <s v="60553858"/>
    <m/>
    <m/>
    <n v="22733756"/>
    <m/>
    <m/>
    <m/>
    <s v="SOLFIN"/>
    <s v="SOLFIN"/>
    <s v="CCMS"/>
    <n v="21343953"/>
    <n v="3978.67"/>
    <m/>
    <s v="N"/>
    <n v="38"/>
    <d v="2023-07-07T19:03:18"/>
    <s v="Y"/>
    <s v="Preparation - other"/>
    <s v="Non Family Hourly Rates"/>
    <s v="Profit Cost"/>
    <s v="BB"/>
    <s v="Y"/>
    <n v="17.82"/>
    <n v="3.56"/>
    <x v="9"/>
    <s v="VALIDATED"/>
    <n v="1"/>
    <s v="01.11.80.210.6100.0000"/>
    <n v="17.82"/>
    <s v="11"/>
    <s v="6100"/>
    <n v="12659.16"/>
    <n v="17.82"/>
    <s v="CREDITOR"/>
    <n v="0"/>
    <n v="0"/>
    <n v="0"/>
    <n v="0"/>
    <n v="17.82"/>
  </r>
  <r>
    <n v="56440931"/>
    <s v="N"/>
    <n v="21338241"/>
    <s v="3000013433190002"/>
    <s v="CIVIL"/>
    <d v="2023-06-26T00:00:00"/>
    <d v="2023-07-06T19:21:01"/>
    <m/>
    <d v="2023-07-06T00:00:00"/>
    <n v="1586"/>
    <n v="15796"/>
    <s v="56440931"/>
    <s v="56440931"/>
    <m/>
    <m/>
    <n v="22762082"/>
    <m/>
    <m/>
    <m/>
    <s v="SOLFIN"/>
    <s v="SOLFIN"/>
    <s v="CCMS"/>
    <n v="21338241"/>
    <n v="2471.98"/>
    <m/>
    <s v="N"/>
    <n v="49"/>
    <d v="2023-07-06T19:21:13"/>
    <s v="Y"/>
    <s v="Routine Letter Out"/>
    <s v="Non Family Hourly Rates"/>
    <s v="Profit Cost"/>
    <s v="JOS"/>
    <s v="Y"/>
    <n v="255.42"/>
    <n v="51.1"/>
    <x v="4"/>
    <s v="VALIDATED"/>
    <n v="1"/>
    <s v="01.11.80.210.6100.0000"/>
    <n v="255.42"/>
    <s v="11"/>
    <s v="6100"/>
    <n v="12659.16"/>
    <n v="255.42"/>
    <s v="CREDITOR"/>
    <n v="0"/>
    <n v="0"/>
    <n v="0"/>
    <n v="0"/>
    <n v="255.42"/>
  </r>
  <r>
    <n v="56440931"/>
    <s v="N"/>
    <n v="21338241"/>
    <s v="3000013433190002"/>
    <s v="CIVIL"/>
    <d v="2023-06-26T00:00:00"/>
    <d v="2023-07-06T19:21:01"/>
    <m/>
    <d v="2023-07-06T00:00:00"/>
    <n v="1586"/>
    <n v="15796"/>
    <s v="56440931"/>
    <s v="56440931"/>
    <m/>
    <m/>
    <n v="22762082"/>
    <m/>
    <m/>
    <m/>
    <s v="SOLFIN"/>
    <s v="SOLFIN"/>
    <s v="CCMS"/>
    <n v="21338241"/>
    <n v="2471.98"/>
    <m/>
    <s v="N"/>
    <n v="22"/>
    <d v="2023-07-06T19:21:13"/>
    <s v="Y"/>
    <s v="Advocacy - Other Hearing"/>
    <s v="Non Family Hourly Rates"/>
    <s v="Advocacy"/>
    <s v="NP"/>
    <s v="Y"/>
    <n v="14.85"/>
    <n v="2.97"/>
    <x v="4"/>
    <s v="VALIDATED"/>
    <n v="1"/>
    <s v="01.11.80.210.6100.0000"/>
    <n v="14.85"/>
    <s v="11"/>
    <s v="6100"/>
    <n v="12659.16"/>
    <n v="14.85"/>
    <s v="CREDITOR"/>
    <n v="0"/>
    <n v="0"/>
    <n v="0"/>
    <n v="0"/>
    <n v="14.85"/>
  </r>
  <r>
    <n v="59541029"/>
    <s v="N"/>
    <n v="21337717"/>
    <s v="3000013946150003"/>
    <s v="CIVIL"/>
    <d v="2023-06-27T00:00:00"/>
    <d v="2023-07-06T19:21:01"/>
    <m/>
    <d v="2023-07-06T00:00:00"/>
    <n v="1586"/>
    <n v="15796"/>
    <s v="59541029"/>
    <s v="59541029"/>
    <m/>
    <m/>
    <n v="22772024"/>
    <m/>
    <m/>
    <m/>
    <s v="SOLFIN"/>
    <s v="SOLFIN"/>
    <s v="CCMS"/>
    <n v="21337717"/>
    <n v="1714.78"/>
    <m/>
    <s v="N"/>
    <n v="1"/>
    <d v="2023-07-06T19:21:05"/>
    <s v="Y"/>
    <s v="Court Fee"/>
    <s v="Non Family Hourly Rates"/>
    <s v="Non Expert Disbursement"/>
    <s v="XXX"/>
    <s v="Y"/>
    <n v="255"/>
    <n v="0"/>
    <x v="4"/>
    <s v="VALIDATED"/>
    <n v="1"/>
    <s v="01.11.80.208.6300.0000"/>
    <n v="255"/>
    <s v="11"/>
    <s v="6300"/>
    <n v="12659.16"/>
    <n v="255"/>
    <s v="CREDITOR"/>
    <n v="0"/>
    <n v="0"/>
    <n v="0"/>
    <n v="0"/>
    <n v="255"/>
  </r>
  <r>
    <n v="54248104"/>
    <s v="N"/>
    <n v="21350007"/>
    <s v="3000012922770007"/>
    <s v="CIVIL"/>
    <d v="2023-06-28T00:00:00"/>
    <d v="2023-07-10T19:01:40"/>
    <m/>
    <d v="2023-07-10T00:00:00"/>
    <n v="1586"/>
    <n v="15796"/>
    <s v="54248104"/>
    <s v="54248104"/>
    <m/>
    <m/>
    <n v="22779004"/>
    <m/>
    <m/>
    <m/>
    <s v="SOLFIN"/>
    <s v="SOLFIN"/>
    <s v="CCMS"/>
    <n v="21350007"/>
    <n v="4461.01"/>
    <m/>
    <s v="N"/>
    <n v="40"/>
    <d v="2023-07-10T19:02:09"/>
    <s v="Y"/>
    <s v="Preparation - other"/>
    <s v="Non Family Hourly Rates"/>
    <s v="Profit Cost"/>
    <s v="BT"/>
    <s v="Y"/>
    <n v="11.88"/>
    <n v="2.38"/>
    <x v="2"/>
    <s v="VALIDATED"/>
    <n v="1"/>
    <s v="01.11.80.208.6100.0000"/>
    <n v="11.88"/>
    <s v="11"/>
    <s v="6100"/>
    <n v="12659.16"/>
    <n v="11.88"/>
    <s v="CREDITOR"/>
    <n v="0"/>
    <n v="0"/>
    <n v="0"/>
    <n v="0"/>
    <n v="11.88"/>
  </r>
  <r>
    <n v="60553858"/>
    <s v="N"/>
    <n v="21343953"/>
    <s v="3000014821250002"/>
    <s v="CIVIL"/>
    <d v="2023-06-21T00:00:00"/>
    <d v="2023-07-07T19:03:00"/>
    <m/>
    <d v="2023-07-07T00:00:00"/>
    <n v="1586"/>
    <n v="15796"/>
    <s v="60553858"/>
    <s v="60553858"/>
    <m/>
    <m/>
    <n v="22733756"/>
    <m/>
    <m/>
    <m/>
    <s v="SOLFIN"/>
    <s v="SOLFIN"/>
    <s v="CCMS"/>
    <n v="21343953"/>
    <n v="3978.67"/>
    <m/>
    <s v="N"/>
    <n v="23"/>
    <d v="2023-07-07T19:03:18"/>
    <s v="Y"/>
    <s v="Preparation - other"/>
    <s v="Non Family Hourly Rates"/>
    <s v="Profit Cost"/>
    <s v="BT"/>
    <s v="Y"/>
    <n v="5.94"/>
    <n v="1.19"/>
    <x v="9"/>
    <s v="VALIDATED"/>
    <n v="1"/>
    <s v="01.11.80.210.6100.0000"/>
    <n v="5.94"/>
    <s v="11"/>
    <s v="6100"/>
    <n v="12659.16"/>
    <n v="5.94"/>
    <s v="CREDITOR"/>
    <n v="0"/>
    <n v="0"/>
    <n v="0"/>
    <n v="0"/>
    <n v="5.94"/>
  </r>
  <r>
    <n v="59635013"/>
    <s v="N"/>
    <n v="21338340"/>
    <s v="3000014025420005"/>
    <s v="CIVIL"/>
    <d v="2023-06-22T00:00:00"/>
    <d v="2023-07-06T19:21:01"/>
    <m/>
    <d v="2023-07-06T00:00:00"/>
    <n v="1586"/>
    <n v="15796"/>
    <s v="59635013"/>
    <s v="59635013"/>
    <m/>
    <m/>
    <n v="22745166"/>
    <m/>
    <m/>
    <m/>
    <s v="SOLFIN"/>
    <s v="SOLFIN"/>
    <s v="CCMS"/>
    <n v="21338340"/>
    <n v="9250.26"/>
    <m/>
    <s v="N"/>
    <n v="61"/>
    <d v="2023-07-06T19:21:20"/>
    <s v="Y"/>
    <s v="Preparation - other"/>
    <s v="Non Family Hourly Rates"/>
    <s v="Profit Cost"/>
    <s v="VI"/>
    <s v="Y"/>
    <n v="17.82"/>
    <n v="3.56"/>
    <x v="4"/>
    <s v="VALIDATED"/>
    <n v="1"/>
    <s v="01.11.80.210.6100.0000"/>
    <n v="17.82"/>
    <s v="11"/>
    <s v="6100"/>
    <n v="12659.16"/>
    <n v="17.82"/>
    <s v="CREDITOR"/>
    <n v="0"/>
    <n v="0"/>
    <n v="0"/>
    <n v="0"/>
    <n v="17.82"/>
  </r>
  <r>
    <n v="54249002"/>
    <s v="N"/>
    <n v="21344014"/>
    <s v="3000012924670002"/>
    <s v="CIVIL"/>
    <d v="2023-06-28T00:00:00"/>
    <d v="2023-07-07T19:03:00"/>
    <m/>
    <d v="2023-07-07T00:00:00"/>
    <n v="1586"/>
    <n v="15796"/>
    <s v="54249002"/>
    <s v="54249002"/>
    <m/>
    <m/>
    <n v="22778978"/>
    <m/>
    <m/>
    <m/>
    <s v="SOLFIN"/>
    <s v="SOLFIN"/>
    <s v="CCMS"/>
    <n v="21344014"/>
    <n v="3560.34"/>
    <m/>
    <s v="N"/>
    <n v="55"/>
    <d v="2023-07-07T19:03:20"/>
    <s v="Y"/>
    <s v="Preparation - drafting bill/claim f"/>
    <s v="Non Family Hourly Rates"/>
    <s v="Profit Cost"/>
    <s v="CD"/>
    <s v="Y"/>
    <n v="190.08"/>
    <n v="38.02"/>
    <x v="9"/>
    <s v="VALIDATED"/>
    <n v="1"/>
    <s v="01.11.80.208.6100.0000"/>
    <n v="190.08"/>
    <s v="11"/>
    <s v="6100"/>
    <n v="12659.16"/>
    <n v="190.08"/>
    <s v="CREDITOR"/>
    <n v="0"/>
    <n v="0"/>
    <n v="0"/>
    <n v="0"/>
    <n v="190.08"/>
  </r>
  <r>
    <n v="60553858"/>
    <s v="N"/>
    <n v="21343953"/>
    <s v="3000014821250002"/>
    <s v="CIVIL"/>
    <d v="2023-06-21T00:00:00"/>
    <d v="2023-07-07T19:03:00"/>
    <m/>
    <d v="2023-07-07T00:00:00"/>
    <n v="1586"/>
    <n v="15796"/>
    <s v="60553858"/>
    <s v="60553858"/>
    <m/>
    <m/>
    <n v="22733756"/>
    <m/>
    <m/>
    <m/>
    <s v="SOLFIN"/>
    <s v="SOLFIN"/>
    <s v="CCMS"/>
    <n v="21343953"/>
    <n v="3978.67"/>
    <m/>
    <s v="N"/>
    <n v="19"/>
    <d v="2023-07-07T19:03:18"/>
    <s v="Y"/>
    <s v="Travel to court"/>
    <s v="Non Family Hourly Rates"/>
    <s v="Profit Cost"/>
    <s v="NP"/>
    <s v="Y"/>
    <n v="36.79"/>
    <n v="7.36"/>
    <x v="9"/>
    <s v="VALIDATED"/>
    <n v="1"/>
    <s v="01.11.80.210.6100.0000"/>
    <n v="36.79"/>
    <s v="11"/>
    <s v="6100"/>
    <n v="12659.16"/>
    <n v="36.79"/>
    <s v="CREDITOR"/>
    <n v="0"/>
    <n v="0"/>
    <n v="0"/>
    <n v="0"/>
    <n v="36.79"/>
  </r>
  <r>
    <n v="59635013"/>
    <s v="N"/>
    <n v="21338340"/>
    <s v="3000014025420005"/>
    <s v="CIVIL"/>
    <d v="2023-06-22T00:00:00"/>
    <d v="2023-07-06T19:21:01"/>
    <m/>
    <d v="2023-07-06T00:00:00"/>
    <n v="1586"/>
    <n v="15796"/>
    <s v="59635013"/>
    <s v="59635013"/>
    <m/>
    <m/>
    <n v="22745166"/>
    <m/>
    <m/>
    <m/>
    <s v="SOLFIN"/>
    <s v="SOLFIN"/>
    <s v="CCMS"/>
    <n v="21338340"/>
    <n v="9250.26"/>
    <m/>
    <s v="N"/>
    <n v="68"/>
    <d v="2023-07-06T19:21:20"/>
    <s v="Y"/>
    <s v="Preparation - other"/>
    <s v="Non Family Hourly Rates"/>
    <s v="Profit Cost"/>
    <s v="JS"/>
    <s v="Y"/>
    <n v="44.55"/>
    <n v="8.91"/>
    <x v="4"/>
    <s v="VALIDATED"/>
    <n v="1"/>
    <s v="01.11.80.210.6100.0000"/>
    <n v="44.55"/>
    <s v="11"/>
    <s v="6100"/>
    <n v="12659.16"/>
    <n v="44.55"/>
    <s v="CREDITOR"/>
    <n v="0"/>
    <n v="0"/>
    <n v="0"/>
    <n v="0"/>
    <n v="44.55"/>
  </r>
  <r>
    <n v="10087452"/>
    <s v="N"/>
    <n v="21391928"/>
    <s v="3000005965680003"/>
    <s v="CIVIL"/>
    <d v="2023-06-28T00:00:00"/>
    <d v="2023-07-18T19:00:27"/>
    <m/>
    <d v="2023-07-18T00:00:00"/>
    <n v="1586"/>
    <n v="15796"/>
    <s v="10087452"/>
    <s v="10087452"/>
    <m/>
    <m/>
    <n v="22777604"/>
    <m/>
    <m/>
    <m/>
    <s v="SOLFIN"/>
    <s v="SOLFIN"/>
    <s v="CCMS"/>
    <n v="21391928"/>
    <n v="1623.53"/>
    <m/>
    <s v="N"/>
    <n v="14"/>
    <d v="2023-07-18T19:00:33"/>
    <s v="Y"/>
    <s v="Preparation - other"/>
    <s v="Non Family Hourly Rates"/>
    <s v="Profit Cost"/>
    <s v="BT"/>
    <s v="Y"/>
    <n v="17.82"/>
    <n v="3.56"/>
    <x v="14"/>
    <s v="VALIDATED"/>
    <n v="1"/>
    <s v="01.11.80.208.6100.0000"/>
    <n v="17.82"/>
    <s v="11"/>
    <s v="6100"/>
    <n v="12659.16"/>
    <n v="17.82"/>
    <s v="CREDITOR"/>
    <n v="0"/>
    <n v="0"/>
    <n v="0"/>
    <n v="0"/>
    <n v="17.82"/>
  </r>
  <r>
    <n v="10087452"/>
    <s v="N"/>
    <n v="21391928"/>
    <s v="3000005965680003"/>
    <s v="CIVIL"/>
    <d v="2023-06-28T00:00:00"/>
    <d v="2023-07-18T19:00:27"/>
    <m/>
    <d v="2023-07-18T00:00:00"/>
    <n v="1586"/>
    <n v="15796"/>
    <s v="10087452"/>
    <s v="10087452"/>
    <m/>
    <m/>
    <n v="22777604"/>
    <m/>
    <m/>
    <m/>
    <s v="SOLFIN"/>
    <s v="SOLFIN"/>
    <s v="CCMS"/>
    <n v="21391928"/>
    <n v="1623.53"/>
    <m/>
    <s v="N"/>
    <n v="22"/>
    <d v="2023-07-18T19:00:33"/>
    <s v="Y"/>
    <s v="Routine Letter Out"/>
    <s v="Non Family Hourly Rates"/>
    <s v="Profit Cost"/>
    <s v="KB"/>
    <s v="Y"/>
    <n v="11.88"/>
    <n v="2.38"/>
    <x v="14"/>
    <s v="VALIDATED"/>
    <n v="1"/>
    <s v="01.11.80.208.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6"/>
    <d v="2023-07-06T19:21:13"/>
    <s v="Y"/>
    <s v="Preparation - other"/>
    <s v="Non Family Hourly Rates"/>
    <s v="Profit Cost"/>
    <s v="JOS"/>
    <s v="Y"/>
    <n v="259.88"/>
    <n v="51.99"/>
    <x v="4"/>
    <s v="VALIDATED"/>
    <n v="1"/>
    <s v="01.11.80.210.6100.0000"/>
    <n v="259.88"/>
    <s v="11"/>
    <s v="6100"/>
    <n v="12659.16"/>
    <n v="259.88"/>
    <s v="CREDITOR"/>
    <n v="0"/>
    <n v="0"/>
    <n v="0"/>
    <n v="0"/>
    <n v="259.88"/>
  </r>
  <r>
    <n v="54248104"/>
    <s v="N"/>
    <n v="21350007"/>
    <s v="3000012922770007"/>
    <s v="CIVIL"/>
    <d v="2023-06-28T00:00:00"/>
    <d v="2023-07-10T19:01:40"/>
    <m/>
    <d v="2023-07-10T00:00:00"/>
    <n v="1586"/>
    <n v="15796"/>
    <s v="54248104"/>
    <s v="54248104"/>
    <m/>
    <m/>
    <n v="22779004"/>
    <m/>
    <m/>
    <m/>
    <s v="SOLFIN"/>
    <s v="SOLFIN"/>
    <s v="CCMS"/>
    <n v="21350007"/>
    <n v="4461.01"/>
    <m/>
    <s v="N"/>
    <n v="18"/>
    <d v="2023-07-10T19:02:09"/>
    <s v="Y"/>
    <s v="Preparation - other"/>
    <s v="Non Family Hourly Rates"/>
    <s v="Profit Cost"/>
    <s v="BT"/>
    <s v="Y"/>
    <n v="11.88"/>
    <n v="2.38"/>
    <x v="2"/>
    <s v="VALIDATED"/>
    <n v="1"/>
    <s v="01.11.80.208.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54"/>
    <d v="2023-07-10T19:02:09"/>
    <s v="Y"/>
    <s v="Travel to court"/>
    <s v="Non Family Hourly Rates"/>
    <s v="Profit Cost"/>
    <s v="YM"/>
    <s v="Y"/>
    <n v="18.4"/>
    <n v="3.68"/>
    <x v="2"/>
    <s v="VALIDATED"/>
    <n v="1"/>
    <s v="01.11.80.208.6100.0000"/>
    <n v="18.4"/>
    <s v="11"/>
    <s v="6100"/>
    <n v="12659.16"/>
    <n v="18.4"/>
    <s v="CREDITOR"/>
    <n v="0"/>
    <n v="0"/>
    <n v="0"/>
    <n v="0"/>
    <n v="18.4"/>
  </r>
  <r>
    <n v="54249002"/>
    <s v="N"/>
    <n v="21344014"/>
    <s v="3000012924670002"/>
    <s v="CIVIL"/>
    <d v="2023-06-28T00:00:00"/>
    <d v="2023-07-07T19:03:00"/>
    <m/>
    <d v="2023-07-07T00:00:00"/>
    <n v="1586"/>
    <n v="15796"/>
    <s v="54249002"/>
    <s v="54249002"/>
    <m/>
    <m/>
    <n v="22778978"/>
    <m/>
    <m/>
    <m/>
    <s v="SOLFIN"/>
    <s v="SOLFIN"/>
    <s v="CCMS"/>
    <n v="21344014"/>
    <n v="3560.34"/>
    <m/>
    <s v="N"/>
    <n v="45"/>
    <d v="2023-07-07T19:03:20"/>
    <s v="Y"/>
    <s v="Waiting at court"/>
    <s v="Non Family Hourly Rates"/>
    <s v="Profit Cost"/>
    <s v="YM"/>
    <s v="Y"/>
    <n v="6.57"/>
    <n v="1.31"/>
    <x v="9"/>
    <s v="VALIDATED"/>
    <n v="1"/>
    <s v="01.11.80.208.6100.0000"/>
    <n v="6.57"/>
    <s v="11"/>
    <s v="6100"/>
    <n v="12659.16"/>
    <n v="6.57"/>
    <s v="CREDITOR"/>
    <n v="0"/>
    <n v="0"/>
    <n v="0"/>
    <n v="0"/>
    <n v="6.57"/>
  </r>
  <r>
    <n v="60553858"/>
    <s v="N"/>
    <n v="21343953"/>
    <s v="3000014821250002"/>
    <s v="CIVIL"/>
    <d v="2023-06-21T00:00:00"/>
    <d v="2023-07-07T19:03:00"/>
    <m/>
    <d v="2023-07-07T00:00:00"/>
    <n v="1586"/>
    <n v="15796"/>
    <s v="60553858"/>
    <s v="60553858"/>
    <m/>
    <m/>
    <n v="22733756"/>
    <m/>
    <m/>
    <m/>
    <s v="SOLFIN"/>
    <s v="SOLFIN"/>
    <s v="CCMS"/>
    <n v="21343953"/>
    <n v="3978.67"/>
    <m/>
    <s v="N"/>
    <n v="14"/>
    <d v="2023-07-07T19:03:18"/>
    <s v="Y"/>
    <s v="Preparation - drafting notice(s)"/>
    <s v="Non Family Hourly Rates"/>
    <s v="Profit Cost"/>
    <s v="BT"/>
    <s v="Y"/>
    <n v="5.94"/>
    <n v="1.19"/>
    <x v="9"/>
    <s v="VALIDATED"/>
    <n v="1"/>
    <s v="01.11.80.210.6100.0000"/>
    <n v="5.94"/>
    <s v="11"/>
    <s v="6100"/>
    <n v="12659.16"/>
    <n v="5.94"/>
    <s v="CREDITOR"/>
    <n v="0"/>
    <n v="0"/>
    <n v="0"/>
    <n v="0"/>
    <n v="5.94"/>
  </r>
  <r>
    <n v="59635013"/>
    <s v="N"/>
    <n v="21338340"/>
    <s v="3000014025420005"/>
    <s v="CIVIL"/>
    <d v="2023-06-22T00:00:00"/>
    <d v="2023-07-06T19:21:01"/>
    <m/>
    <d v="2023-07-06T00:00:00"/>
    <n v="1586"/>
    <n v="15796"/>
    <s v="59635013"/>
    <s v="59635013"/>
    <m/>
    <m/>
    <n v="22745166"/>
    <m/>
    <m/>
    <m/>
    <s v="SOLFIN"/>
    <s v="SOLFIN"/>
    <s v="CCMS"/>
    <n v="21338340"/>
    <n v="9250.26"/>
    <m/>
    <s v="N"/>
    <n v="38"/>
    <d v="2023-07-06T19:21:20"/>
    <s v="Y"/>
    <s v="Advocacy - Directions Hearing"/>
    <s v="Non Family Hourly Rates"/>
    <s v="Advocacy"/>
    <s v="YM"/>
    <s v="Y"/>
    <n v="26.73"/>
    <n v="5.35"/>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3"/>
    <d v="2023-07-06T19:21:20"/>
    <s v="Y"/>
    <s v="Psychiatrist"/>
    <s v="Non Family Hourly Rates"/>
    <s v="Expert Disbursement"/>
    <s v="JS"/>
    <s v="Y"/>
    <n v="1620"/>
    <n v="323.97"/>
    <x v="4"/>
    <s v="VALIDATED"/>
    <n v="1"/>
    <s v="01.11.80.210.6300.0000"/>
    <n v="1620"/>
    <s v="11"/>
    <s v="6300"/>
    <n v="12659.16"/>
    <n v="1620"/>
    <s v="CREDITOR"/>
    <n v="0"/>
    <n v="0"/>
    <n v="0"/>
    <n v="0"/>
    <n v="1620"/>
  </r>
  <r>
    <n v="56440931"/>
    <s v="N"/>
    <n v="21338241"/>
    <s v="3000013433190002"/>
    <s v="CIVIL"/>
    <d v="2023-06-26T00:00:00"/>
    <d v="2023-07-06T19:21:01"/>
    <m/>
    <d v="2023-07-06T00:00:00"/>
    <n v="1586"/>
    <n v="15796"/>
    <s v="56440931"/>
    <s v="56440931"/>
    <m/>
    <m/>
    <n v="22762082"/>
    <m/>
    <m/>
    <m/>
    <s v="SOLFIN"/>
    <s v="SOLFIN"/>
    <s v="CCMS"/>
    <n v="21338241"/>
    <n v="2471.98"/>
    <m/>
    <s v="N"/>
    <n v="4"/>
    <d v="2023-07-06T19:21:13"/>
    <s v="Y"/>
    <s v="Attendance upon client"/>
    <s v="Non Family Hourly Rates"/>
    <s v="Profit Cost"/>
    <s v="JOS"/>
    <s v="Y"/>
    <n v="44.55"/>
    <n v="8.91"/>
    <x v="4"/>
    <s v="VALIDATED"/>
    <n v="1"/>
    <s v="01.11.80.210.6100.0000"/>
    <n v="44.55"/>
    <s v="11"/>
    <s v="6100"/>
    <n v="12659.16"/>
    <n v="44.55"/>
    <s v="CREDITOR"/>
    <n v="0"/>
    <n v="0"/>
    <n v="0"/>
    <n v="0"/>
    <n v="44.55"/>
  </r>
  <r>
    <n v="56440931"/>
    <s v="N"/>
    <n v="21338241"/>
    <s v="3000013433190002"/>
    <s v="CIVIL"/>
    <d v="2023-06-26T00:00:00"/>
    <d v="2023-07-06T19:21:01"/>
    <m/>
    <d v="2023-07-06T00:00:00"/>
    <n v="1586"/>
    <n v="15796"/>
    <s v="56440931"/>
    <s v="56440931"/>
    <m/>
    <m/>
    <n v="22762082"/>
    <m/>
    <m/>
    <m/>
    <s v="SOLFIN"/>
    <s v="SOLFIN"/>
    <s v="CCMS"/>
    <n v="21338241"/>
    <n v="2471.98"/>
    <m/>
    <s v="N"/>
    <n v="14"/>
    <d v="2023-07-06T19:21:13"/>
    <s v="Y"/>
    <s v="Preparation - other"/>
    <s v="Non Family Hourly Rates"/>
    <s v="Profit Cost"/>
    <s v="JOS"/>
    <s v="Y"/>
    <n v="37.13"/>
    <n v="7.43"/>
    <x v="4"/>
    <s v="VALIDATED"/>
    <n v="1"/>
    <s v="01.11.80.210.6100.0000"/>
    <n v="37.13"/>
    <s v="11"/>
    <s v="6100"/>
    <n v="12659.16"/>
    <n v="37.13"/>
    <s v="CREDITOR"/>
    <n v="0"/>
    <n v="0"/>
    <n v="0"/>
    <n v="0"/>
    <n v="37.13"/>
  </r>
  <r>
    <n v="56440931"/>
    <s v="N"/>
    <n v="21338241"/>
    <s v="3000013433190002"/>
    <s v="CIVIL"/>
    <d v="2023-06-26T00:00:00"/>
    <d v="2023-07-06T19:21:01"/>
    <m/>
    <d v="2023-07-06T00:00:00"/>
    <n v="1586"/>
    <n v="15796"/>
    <s v="56440931"/>
    <s v="56440931"/>
    <m/>
    <m/>
    <n v="22762082"/>
    <m/>
    <m/>
    <m/>
    <s v="SOLFIN"/>
    <s v="SOLFIN"/>
    <s v="CCMS"/>
    <n v="21338241"/>
    <n v="2471.98"/>
    <m/>
    <s v="N"/>
    <n v="16"/>
    <d v="2023-07-06T19:21:13"/>
    <s v="Y"/>
    <s v="Preparation - other"/>
    <s v="Non Family Hourly Rates"/>
    <s v="Profit Cost"/>
    <s v="JOS"/>
    <s v="Y"/>
    <n v="5.94"/>
    <n v="1.19"/>
    <x v="4"/>
    <s v="VALIDATED"/>
    <n v="1"/>
    <s v="01.11.80.210.6100.0000"/>
    <n v="5.94"/>
    <s v="11"/>
    <s v="6100"/>
    <n v="12659.16"/>
    <n v="5.94"/>
    <s v="CREDITOR"/>
    <n v="0"/>
    <n v="0"/>
    <n v="0"/>
    <n v="0"/>
    <n v="5.94"/>
  </r>
  <r>
    <n v="59541029"/>
    <s v="N"/>
    <n v="21337717"/>
    <s v="3000013946150003"/>
    <s v="CIVIL"/>
    <d v="2023-06-27T00:00:00"/>
    <d v="2023-07-06T19:21:01"/>
    <m/>
    <d v="2023-07-06T00:00:00"/>
    <n v="1586"/>
    <n v="15796"/>
    <s v="59541029"/>
    <s v="59541029"/>
    <m/>
    <m/>
    <n v="22772024"/>
    <m/>
    <m/>
    <m/>
    <s v="SOLFIN"/>
    <s v="SOLFIN"/>
    <s v="CCMS"/>
    <n v="21337717"/>
    <n v="1714.78"/>
    <m/>
    <s v="N"/>
    <n v="24"/>
    <d v="2023-07-06T19:21:05"/>
    <s v="Y"/>
    <s v="Preparation - drafting bill/claim f"/>
    <s v="Non Family Hourly Rates"/>
    <s v="Profit Cost"/>
    <s v="BB"/>
    <s v="Y"/>
    <n v="106.92"/>
    <n v="21.39"/>
    <x v="4"/>
    <s v="VALIDATED"/>
    <n v="1"/>
    <s v="01.11.80.208.6100.0000"/>
    <n v="106.92"/>
    <s v="11"/>
    <s v="6100"/>
    <n v="12659.16"/>
    <n v="106.92"/>
    <s v="CREDITOR"/>
    <n v="0"/>
    <n v="0"/>
    <n v="0"/>
    <n v="0"/>
    <n v="106.92"/>
  </r>
  <r>
    <n v="59635013"/>
    <s v="N"/>
    <n v="21338340"/>
    <s v="3000014025420005"/>
    <s v="CIVIL"/>
    <d v="2023-06-22T00:00:00"/>
    <d v="2023-07-06T19:21:01"/>
    <m/>
    <d v="2023-07-06T00:00:00"/>
    <n v="1586"/>
    <n v="15796"/>
    <s v="59635013"/>
    <s v="59635013"/>
    <m/>
    <m/>
    <n v="22745166"/>
    <m/>
    <m/>
    <m/>
    <s v="SOLFIN"/>
    <s v="SOLFIN"/>
    <s v="CCMS"/>
    <n v="21338340"/>
    <n v="9250.26"/>
    <m/>
    <s v="N"/>
    <n v="40"/>
    <d v="2023-07-06T19:21:20"/>
    <s v="Y"/>
    <s v="Preparation - other"/>
    <s v="Non Family Hourly Rates"/>
    <s v="Profit Cost"/>
    <s v="JS"/>
    <s v="Y"/>
    <n v="11.88"/>
    <n v="2.38"/>
    <x v="4"/>
    <s v="VALIDATED"/>
    <n v="1"/>
    <s v="01.11.80.210.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47"/>
    <d v="2023-07-10T19:02:09"/>
    <s v="Y"/>
    <s v="Preparation - other"/>
    <s v="Non Family Hourly Rates"/>
    <s v="Profit Cost"/>
    <s v="JS"/>
    <s v="Y"/>
    <n v="22.28"/>
    <n v="4.46"/>
    <x v="2"/>
    <s v="VALIDATED"/>
    <n v="1"/>
    <s v="01.11.80.208.6100.0000"/>
    <n v="22.28"/>
    <s v="11"/>
    <s v="6100"/>
    <n v="12659.16"/>
    <n v="22.28"/>
    <s v="CREDITOR"/>
    <n v="0"/>
    <n v="0"/>
    <n v="0"/>
    <n v="0"/>
    <n v="22.28"/>
  </r>
  <r>
    <n v="54249002"/>
    <s v="N"/>
    <n v="21344014"/>
    <s v="3000012924670002"/>
    <s v="CIVIL"/>
    <d v="2023-06-28T00:00:00"/>
    <d v="2023-07-07T19:03:00"/>
    <m/>
    <d v="2023-07-07T00:00:00"/>
    <n v="1586"/>
    <n v="15796"/>
    <s v="54249002"/>
    <s v="54249002"/>
    <m/>
    <m/>
    <n v="22778978"/>
    <m/>
    <m/>
    <m/>
    <s v="SOLFIN"/>
    <s v="SOLFIN"/>
    <s v="CCMS"/>
    <n v="21344014"/>
    <n v="3560.34"/>
    <m/>
    <s v="N"/>
    <n v="20"/>
    <d v="2023-07-07T19:03:20"/>
    <s v="Y"/>
    <s v="Attendance upon client"/>
    <s v="Non Family Hourly Rates"/>
    <s v="Profit Cost"/>
    <s v="JS"/>
    <s v="Y"/>
    <n v="13.37"/>
    <n v="2.67"/>
    <x v="9"/>
    <s v="VALIDATED"/>
    <n v="1"/>
    <s v="01.11.80.208.6100.0000"/>
    <n v="13.37"/>
    <s v="11"/>
    <s v="6100"/>
    <n v="12659.16"/>
    <n v="13.37"/>
    <s v="CREDITOR"/>
    <n v="0"/>
    <n v="0"/>
    <n v="0"/>
    <n v="0"/>
    <n v="13.37"/>
  </r>
  <r>
    <n v="60553858"/>
    <s v="N"/>
    <n v="21343953"/>
    <s v="3000014821250002"/>
    <s v="CIVIL"/>
    <d v="2023-06-21T00:00:00"/>
    <d v="2023-07-07T19:03:00"/>
    <m/>
    <d v="2023-07-07T00:00:00"/>
    <n v="1586"/>
    <n v="15796"/>
    <s v="60553858"/>
    <s v="60553858"/>
    <m/>
    <m/>
    <n v="22733756"/>
    <m/>
    <m/>
    <m/>
    <s v="SOLFIN"/>
    <s v="SOLFIN"/>
    <s v="CCMS"/>
    <n v="21343953"/>
    <n v="3978.67"/>
    <m/>
    <s v="N"/>
    <n v="20"/>
    <d v="2023-07-07T19:03:18"/>
    <s v="Y"/>
    <s v="Waiting at court"/>
    <s v="Non Family Hourly Rates"/>
    <s v="Profit Cost"/>
    <s v="NP"/>
    <s v="Y"/>
    <n v="5.26"/>
    <n v="1.05"/>
    <x v="9"/>
    <s v="VALIDATED"/>
    <n v="1"/>
    <s v="01.11.80.210.6100.0000"/>
    <n v="5.26"/>
    <s v="11"/>
    <s v="6100"/>
    <n v="12659.16"/>
    <n v="5.26"/>
    <s v="CREDITOR"/>
    <n v="0"/>
    <n v="0"/>
    <n v="0"/>
    <n v="0"/>
    <n v="5.26"/>
  </r>
  <r>
    <n v="60553858"/>
    <s v="N"/>
    <n v="21343953"/>
    <s v="3000014821250002"/>
    <s v="CIVIL"/>
    <d v="2023-06-21T00:00:00"/>
    <d v="2023-07-07T19:03:00"/>
    <m/>
    <d v="2023-07-07T00:00:00"/>
    <n v="1586"/>
    <n v="15796"/>
    <s v="60553858"/>
    <s v="60553858"/>
    <m/>
    <m/>
    <n v="22733756"/>
    <m/>
    <m/>
    <m/>
    <s v="SOLFIN"/>
    <s v="SOLFIN"/>
    <s v="CCMS"/>
    <n v="21343953"/>
    <n v="3978.67"/>
    <m/>
    <s v="N"/>
    <n v="5"/>
    <d v="2023-07-07T19:03:18"/>
    <s v="Y"/>
    <s v="Advocacy - Other Hearing"/>
    <s v="Non Family Hourly Rates"/>
    <s v="Advocacy"/>
    <s v="BT"/>
    <s v="Y"/>
    <n v="133.65"/>
    <n v="26.73"/>
    <x v="9"/>
    <s v="VALIDATED"/>
    <n v="1"/>
    <s v="01.11.80.210.6100.0000"/>
    <n v="133.65"/>
    <s v="11"/>
    <s v="6100"/>
    <n v="12659.16"/>
    <n v="133.65"/>
    <s v="CREDITOR"/>
    <n v="0"/>
    <n v="0"/>
    <n v="0"/>
    <n v="0"/>
    <n v="133.65"/>
  </r>
  <r>
    <n v="59635013"/>
    <s v="N"/>
    <n v="21338340"/>
    <s v="3000014025420005"/>
    <s v="CIVIL"/>
    <d v="2023-06-22T00:00:00"/>
    <d v="2023-07-06T19:21:01"/>
    <m/>
    <d v="2023-07-06T00:00:00"/>
    <n v="1586"/>
    <n v="15796"/>
    <s v="59635013"/>
    <s v="59635013"/>
    <m/>
    <m/>
    <n v="22745166"/>
    <m/>
    <m/>
    <m/>
    <s v="SOLFIN"/>
    <s v="SOLFIN"/>
    <s v="CCMS"/>
    <n v="21338340"/>
    <n v="9250.26"/>
    <m/>
    <s v="N"/>
    <n v="77"/>
    <d v="2023-07-06T19:21:20"/>
    <s v="Y"/>
    <s v="Routine Letter Out"/>
    <s v="Non Family Hourly Rates"/>
    <s v="Profit Cost"/>
    <s v="BT"/>
    <s v="Y"/>
    <n v="564.3"/>
    <n v="112.87"/>
    <x v="4"/>
    <s v="VALIDATED"/>
    <n v="1"/>
    <s v="01.11.80.210.6100.0000"/>
    <n v="564.3"/>
    <s v="11"/>
    <s v="6100"/>
    <n v="12659.16"/>
    <n v="564.3"/>
    <s v="CREDITOR"/>
    <n v="0"/>
    <n v="0"/>
    <n v="0"/>
    <n v="0"/>
    <n v="564.3"/>
  </r>
  <r>
    <n v="10087452"/>
    <s v="N"/>
    <n v="21391928"/>
    <s v="3000005965680003"/>
    <s v="CIVIL"/>
    <d v="2023-06-28T00:00:00"/>
    <d v="2023-07-18T19:00:27"/>
    <m/>
    <d v="2023-07-18T00:00:00"/>
    <n v="1586"/>
    <n v="15796"/>
    <s v="10087452"/>
    <s v="10087452"/>
    <m/>
    <m/>
    <n v="22777604"/>
    <m/>
    <m/>
    <m/>
    <s v="SOLFIN"/>
    <s v="SOLFIN"/>
    <s v="CCMS"/>
    <n v="21391928"/>
    <n v="1623.53"/>
    <m/>
    <s v="N"/>
    <n v="19"/>
    <d v="2023-07-18T19:00:33"/>
    <s v="Y"/>
    <s v="Preparation - drafting bill/claim f"/>
    <s v="Non Family Hourly Rates"/>
    <s v="Profit Cost"/>
    <s v="BB"/>
    <s v="Y"/>
    <n v="83.16"/>
    <n v="16.63"/>
    <x v="14"/>
    <s v="VALIDATED"/>
    <n v="1"/>
    <s v="01.11.80.208.6100.0000"/>
    <n v="83.16"/>
    <s v="11"/>
    <s v="6100"/>
    <n v="12659.16"/>
    <n v="83.16"/>
    <s v="CREDITOR"/>
    <n v="0"/>
    <n v="0"/>
    <n v="0"/>
    <n v="0"/>
    <n v="83.16"/>
  </r>
  <r>
    <n v="54248104"/>
    <s v="N"/>
    <n v="21350007"/>
    <s v="3000012922770007"/>
    <s v="CIVIL"/>
    <d v="2023-06-28T00:00:00"/>
    <d v="2023-07-10T19:01:40"/>
    <m/>
    <d v="2023-07-10T00:00:00"/>
    <n v="1586"/>
    <n v="15796"/>
    <s v="54248104"/>
    <s v="54248104"/>
    <m/>
    <m/>
    <n v="22779004"/>
    <m/>
    <m/>
    <m/>
    <s v="SOLFIN"/>
    <s v="SOLFIN"/>
    <s v="CCMS"/>
    <n v="21350007"/>
    <n v="4461.01"/>
    <m/>
    <s v="N"/>
    <n v="12"/>
    <d v="2023-07-10T19:02:09"/>
    <s v="Y"/>
    <s v="Preparation - other"/>
    <s v="Non Family Hourly Rates"/>
    <s v="Profit Cost"/>
    <s v="JS"/>
    <s v="Y"/>
    <n v="44.55"/>
    <n v="8.91"/>
    <x v="2"/>
    <s v="VALIDATED"/>
    <n v="1"/>
    <s v="01.11.80.208.6100.0000"/>
    <n v="44.55"/>
    <s v="11"/>
    <s v="6100"/>
    <n v="12659.16"/>
    <n v="44.55"/>
    <s v="CREDITOR"/>
    <n v="0"/>
    <n v="0"/>
    <n v="0"/>
    <n v="0"/>
    <n v="44.55"/>
  </r>
  <r>
    <n v="54249002"/>
    <s v="N"/>
    <n v="21344014"/>
    <s v="3000012924670002"/>
    <s v="CIVIL"/>
    <d v="2023-06-28T00:00:00"/>
    <d v="2023-07-07T19:03:00"/>
    <m/>
    <d v="2023-07-07T00:00:00"/>
    <n v="1586"/>
    <n v="15796"/>
    <s v="54249002"/>
    <s v="54249002"/>
    <m/>
    <m/>
    <n v="22778978"/>
    <m/>
    <m/>
    <m/>
    <s v="SOLFIN"/>
    <s v="SOLFIN"/>
    <s v="CCMS"/>
    <n v="21344014"/>
    <n v="3560.34"/>
    <m/>
    <s v="N"/>
    <n v="42"/>
    <d v="2023-07-07T19:03:20"/>
    <s v="Y"/>
    <s v="Preparation - other"/>
    <s v="Non Family Hourly Rates"/>
    <s v="Profit Cost"/>
    <s v="JS"/>
    <s v="Y"/>
    <n v="374.22"/>
    <n v="74.84"/>
    <x v="9"/>
    <s v="VALIDATED"/>
    <n v="1"/>
    <s v="01.11.80.208.6100.0000"/>
    <n v="374.22"/>
    <s v="11"/>
    <s v="6100"/>
    <n v="12659.16"/>
    <n v="374.22"/>
    <s v="CREDITOR"/>
    <n v="0"/>
    <n v="0"/>
    <n v="0"/>
    <n v="0"/>
    <n v="374.22"/>
  </r>
  <r>
    <n v="60553858"/>
    <s v="N"/>
    <n v="21343953"/>
    <s v="3000014821250002"/>
    <s v="CIVIL"/>
    <d v="2023-06-21T00:00:00"/>
    <d v="2023-07-07T19:03:00"/>
    <m/>
    <d v="2023-07-07T00:00:00"/>
    <n v="1586"/>
    <n v="15796"/>
    <s v="60553858"/>
    <s v="60553858"/>
    <m/>
    <m/>
    <n v="22733756"/>
    <m/>
    <m/>
    <m/>
    <s v="SOLFIN"/>
    <s v="SOLFIN"/>
    <s v="CCMS"/>
    <n v="21343953"/>
    <n v="3978.67"/>
    <m/>
    <s v="N"/>
    <n v="37"/>
    <d v="2023-07-07T19:03:18"/>
    <s v="Y"/>
    <s v="Preparation - drafting bill/claim f"/>
    <s v="Non Family Hourly Rates"/>
    <s v="Profit Cost"/>
    <s v="BB"/>
    <s v="Y"/>
    <n v="136.62"/>
    <n v="27.33"/>
    <x v="9"/>
    <s v="VALIDATED"/>
    <n v="1"/>
    <s v="01.11.80.210.6100.0000"/>
    <n v="136.62"/>
    <s v="11"/>
    <s v="6100"/>
    <n v="12659.16"/>
    <n v="136.62"/>
    <s v="CREDITOR"/>
    <n v="0"/>
    <n v="0"/>
    <n v="0"/>
    <n v="0"/>
    <n v="136.62"/>
  </r>
  <r>
    <n v="59635013"/>
    <s v="N"/>
    <n v="21338340"/>
    <s v="3000014025420005"/>
    <s v="CIVIL"/>
    <d v="2023-06-22T00:00:00"/>
    <d v="2023-07-06T19:21:01"/>
    <m/>
    <d v="2023-07-06T00:00:00"/>
    <n v="1586"/>
    <n v="15796"/>
    <s v="59635013"/>
    <s v="59635013"/>
    <m/>
    <m/>
    <n v="22745166"/>
    <m/>
    <m/>
    <m/>
    <s v="SOLFIN"/>
    <s v="SOLFIN"/>
    <s v="CCMS"/>
    <n v="21338340"/>
    <n v="9250.26"/>
    <m/>
    <s v="N"/>
    <n v="48"/>
    <d v="2023-07-06T19:21:20"/>
    <s v="Y"/>
    <s v="Preparation - other"/>
    <s v="Non Family Hourly Rates"/>
    <s v="Profit Cost"/>
    <s v="NP"/>
    <s v="Y"/>
    <n v="71.28"/>
    <n v="14.26"/>
    <x v="4"/>
    <s v="VALIDATED"/>
    <n v="1"/>
    <s v="01.11.80.210.6100.0000"/>
    <n v="71.28"/>
    <s v="11"/>
    <s v="6100"/>
    <n v="12659.16"/>
    <n v="71.28"/>
    <s v="CREDITOR"/>
    <n v="0"/>
    <n v="0"/>
    <n v="0"/>
    <n v="0"/>
    <n v="71.28"/>
  </r>
  <r>
    <n v="59635013"/>
    <s v="N"/>
    <n v="21338340"/>
    <s v="3000014025420005"/>
    <s v="CIVIL"/>
    <d v="2023-06-22T00:00:00"/>
    <d v="2023-07-06T19:21:01"/>
    <m/>
    <d v="2023-07-06T00:00:00"/>
    <n v="1586"/>
    <n v="15796"/>
    <s v="59635013"/>
    <s v="59635013"/>
    <m/>
    <m/>
    <n v="22745166"/>
    <m/>
    <m/>
    <m/>
    <s v="SOLFIN"/>
    <s v="SOLFIN"/>
    <s v="CCMS"/>
    <n v="21338340"/>
    <n v="9250.26"/>
    <m/>
    <s v="N"/>
    <n v="62"/>
    <d v="2023-07-06T19:21:20"/>
    <s v="Y"/>
    <s v="Preparation - drafting statement"/>
    <s v="Non Family Hourly Rates"/>
    <s v="Profit Cost"/>
    <s v="VI"/>
    <s v="Y"/>
    <n v="267.3"/>
    <n v="53.46"/>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67"/>
    <d v="2023-07-06T19:21:20"/>
    <s v="Y"/>
    <s v="Preparation - other"/>
    <s v="Non Family Hourly Rates"/>
    <s v="Profit Cost"/>
    <s v="BT"/>
    <s v="Y"/>
    <n v="294.03"/>
    <n v="58.81"/>
    <x v="4"/>
    <s v="VALIDATED"/>
    <n v="1"/>
    <s v="01.11.80.210.6100.0000"/>
    <n v="294.03"/>
    <s v="11"/>
    <s v="6100"/>
    <n v="12659.16"/>
    <n v="294.03"/>
    <s v="CREDITOR"/>
    <n v="0"/>
    <n v="0"/>
    <n v="0"/>
    <n v="0"/>
    <n v="294.03"/>
  </r>
  <r>
    <n v="56440931"/>
    <s v="N"/>
    <n v="21338241"/>
    <s v="3000013433190002"/>
    <s v="CIVIL"/>
    <d v="2023-06-26T00:00:00"/>
    <d v="2023-07-06T19:21:01"/>
    <m/>
    <d v="2023-07-06T00:00:00"/>
    <n v="1586"/>
    <n v="15796"/>
    <s v="56440931"/>
    <s v="56440931"/>
    <m/>
    <m/>
    <n v="22762082"/>
    <m/>
    <m/>
    <m/>
    <s v="SOLFIN"/>
    <s v="SOLFIN"/>
    <s v="CCMS"/>
    <n v="21338241"/>
    <n v="2471.98"/>
    <m/>
    <s v="N"/>
    <n v="5"/>
    <d v="2023-07-06T19:21:13"/>
    <s v="Y"/>
    <s v="Report - Medical report"/>
    <s v="Non Family Hourly Rates"/>
    <s v="Profit Cost"/>
    <s v="JOS"/>
    <s v="Y"/>
    <n v="393.53"/>
    <n v="78.67"/>
    <x v="4"/>
    <s v="VALIDATED"/>
    <n v="1"/>
    <s v="01.11.80.210.6100.0000"/>
    <n v="393.53"/>
    <s v="11"/>
    <s v="6100"/>
    <n v="12659.16"/>
    <n v="393.53"/>
    <s v="CREDITOR"/>
    <n v="0"/>
    <n v="0"/>
    <n v="0"/>
    <n v="0"/>
    <n v="393.53"/>
  </r>
  <r>
    <n v="60368889"/>
    <s v="N"/>
    <n v="21323452"/>
    <s v="3000014661600006"/>
    <s v="CIVIL"/>
    <d v="2023-06-30T00:00:00"/>
    <d v="2023-07-03T19:05:56"/>
    <m/>
    <d v="2023-07-03T00:00:00"/>
    <n v="1586"/>
    <n v="15796"/>
    <s v="60368889"/>
    <s v="60368889"/>
    <m/>
    <m/>
    <n v="22798494"/>
    <m/>
    <m/>
    <m/>
    <s v="SOLPOA"/>
    <s v="SOLPOA"/>
    <s v="CCMS"/>
    <n v="21323452"/>
    <n v="108"/>
    <m/>
    <s v="N"/>
    <n v="1"/>
    <d v="2023-07-03T19:05:57"/>
    <s v="N"/>
    <s v="Non Expert Disbursement"/>
    <s v="Non Expert Disbursement"/>
    <s v="Non Expert Disbursement"/>
    <s v="JOS"/>
    <s v="N"/>
    <n v="108"/>
    <n v="0"/>
    <x v="3"/>
    <s v="VALIDATED"/>
    <n v="1"/>
    <s v="01.11.80.208.2012.0000"/>
    <n v="108"/>
    <s v="11"/>
    <s v="2012"/>
    <n v="12659.16"/>
    <n v="108"/>
    <s v="CREDITOR"/>
    <n v="108"/>
    <n v="0"/>
    <n v="0"/>
    <n v="0"/>
    <n v="0"/>
  </r>
  <r>
    <n v="61803539"/>
    <s v="N"/>
    <n v="21323471"/>
    <s v="3000015874380002"/>
    <s v="CIVIL"/>
    <d v="2023-06-30T00:00:00"/>
    <d v="2023-07-03T19:05:56"/>
    <m/>
    <d v="2023-07-03T00:00:00"/>
    <n v="1586"/>
    <n v="15796"/>
    <s v="61803539"/>
    <s v="61803539"/>
    <m/>
    <m/>
    <n v="22796624"/>
    <m/>
    <m/>
    <m/>
    <s v="SOLPOA"/>
    <s v="SOLPOA"/>
    <s v="CCMS"/>
    <n v="21323471"/>
    <n v="912"/>
    <m/>
    <s v="N"/>
    <n v="1"/>
    <d v="2023-07-03T19:05:57"/>
    <s v="N"/>
    <s v="Expert Cost"/>
    <s v="Expert Cost"/>
    <s v="Expert Disbursement"/>
    <s v="VP"/>
    <s v="N"/>
    <n v="760"/>
    <n v="152"/>
    <x v="3"/>
    <s v="VALIDATED"/>
    <n v="1"/>
    <s v="01.11.80.307.2012.0000"/>
    <n v="760"/>
    <s v="11"/>
    <s v="2012"/>
    <n v="12659.16"/>
    <n v="760"/>
    <s v="CREDITOR"/>
    <n v="760"/>
    <n v="0"/>
    <n v="0"/>
    <n v="0"/>
    <n v="0"/>
  </r>
  <r>
    <n v="62119981"/>
    <s v="N"/>
    <n v="21323685"/>
    <s v="3000016143990003"/>
    <s v="CIVIL"/>
    <d v="2023-06-30T00:00:00"/>
    <d v="2023-07-03T19:05:56"/>
    <m/>
    <d v="2023-07-03T00:00:00"/>
    <n v="1586"/>
    <n v="15796"/>
    <s v="62119981"/>
    <s v="62119981"/>
    <m/>
    <m/>
    <n v="22798344"/>
    <m/>
    <m/>
    <m/>
    <s v="SOLPOA"/>
    <s v="SOLPOA"/>
    <s v="CCMS"/>
    <n v="21323685"/>
    <n v="167"/>
    <m/>
    <s v="N"/>
    <n v="1"/>
    <d v="2023-07-03T19:05:58"/>
    <s v="N"/>
    <s v="Non Expert Disbursement"/>
    <s v="Non Expert Disbursement"/>
    <s v="Non Expert Disbursement"/>
    <s v="VP"/>
    <s v="N"/>
    <n v="167"/>
    <n v="0"/>
    <x v="3"/>
    <s v="VALIDATED"/>
    <n v="1"/>
    <s v="01.11.80.308.2012.0000"/>
    <n v="167"/>
    <s v="11"/>
    <s v="2012"/>
    <n v="12659.16"/>
    <n v="167"/>
    <s v="CREDITOR"/>
    <n v="167"/>
    <n v="0"/>
    <n v="0"/>
    <n v="0"/>
    <n v="0"/>
  </r>
  <r>
    <n v="59635013"/>
    <s v="N"/>
    <n v="21338340"/>
    <s v="3000014025420005"/>
    <s v="CIVIL"/>
    <d v="2023-06-22T00:00:00"/>
    <d v="2023-07-06T19:21:01"/>
    <m/>
    <d v="2023-07-06T00:00:00"/>
    <n v="1586"/>
    <n v="15796"/>
    <s v="59635013"/>
    <s v="59635013"/>
    <m/>
    <m/>
    <n v="22745166"/>
    <m/>
    <m/>
    <m/>
    <s v="SOLFIN"/>
    <s v="SOLFIN"/>
    <s v="CCMS"/>
    <n v="21338340"/>
    <n v="9250.26"/>
    <m/>
    <s v="N"/>
    <n v="24"/>
    <d v="2023-07-06T19:21:20"/>
    <s v="Y"/>
    <s v="Preparation - drafting statement"/>
    <s v="Non Family Hourly Rates"/>
    <s v="Profit Cost"/>
    <s v="JS"/>
    <s v="Y"/>
    <n v="29.7"/>
    <n v="5.94"/>
    <x v="4"/>
    <s v="VALIDATED"/>
    <n v="1"/>
    <s v="01.11.80.210.6100.0000"/>
    <n v="29.7"/>
    <s v="11"/>
    <s v="6100"/>
    <n v="12659.16"/>
    <n v="29.7"/>
    <s v="CREDITOR"/>
    <n v="0"/>
    <n v="0"/>
    <n v="0"/>
    <n v="0"/>
    <n v="29.7"/>
  </r>
  <r>
    <n v="59635013"/>
    <s v="N"/>
    <n v="21338340"/>
    <s v="3000014025420005"/>
    <s v="CIVIL"/>
    <d v="2023-06-22T00:00:00"/>
    <d v="2023-07-06T19:21:01"/>
    <m/>
    <d v="2023-07-06T00:00:00"/>
    <n v="1586"/>
    <n v="15796"/>
    <s v="59635013"/>
    <s v="59635013"/>
    <m/>
    <m/>
    <n v="22745166"/>
    <m/>
    <m/>
    <m/>
    <s v="SOLFIN"/>
    <s v="SOLFIN"/>
    <s v="CCMS"/>
    <n v="21338340"/>
    <n v="9250.26"/>
    <m/>
    <s v="N"/>
    <n v="34"/>
    <d v="2023-07-06T19:21:20"/>
    <s v="Y"/>
    <s v="Waiting at court"/>
    <s v="Non Family Hourly Rates"/>
    <s v="Profit Cost"/>
    <s v="YM"/>
    <s v="Y"/>
    <n v="13.14"/>
    <n v="2.63"/>
    <x v="4"/>
    <s v="VALIDATED"/>
    <n v="1"/>
    <s v="01.11.80.210.6100.0000"/>
    <n v="13.14"/>
    <s v="11"/>
    <s v="6100"/>
    <n v="12659.16"/>
    <n v="13.14"/>
    <s v="CREDITOR"/>
    <n v="0"/>
    <n v="0"/>
    <n v="0"/>
    <n v="0"/>
    <n v="13.14"/>
  </r>
  <r>
    <n v="54248104"/>
    <s v="N"/>
    <n v="21350007"/>
    <s v="3000012922770007"/>
    <s v="CIVIL"/>
    <d v="2023-06-28T00:00:00"/>
    <d v="2023-07-10T19:01:40"/>
    <m/>
    <d v="2023-07-10T00:00:00"/>
    <n v="1586"/>
    <n v="15796"/>
    <s v="54248104"/>
    <s v="54248104"/>
    <m/>
    <m/>
    <n v="22779004"/>
    <m/>
    <m/>
    <m/>
    <s v="SOLFIN"/>
    <s v="SOLFIN"/>
    <s v="CCMS"/>
    <n v="21350007"/>
    <n v="4461.01"/>
    <m/>
    <s v="N"/>
    <n v="33"/>
    <d v="2023-07-10T19:02:09"/>
    <s v="Y"/>
    <s v="Attendance upon client"/>
    <s v="Non Family Hourly Rates"/>
    <s v="Profit Cost"/>
    <s v="JS"/>
    <s v="Y"/>
    <n v="17.82"/>
    <n v="3.56"/>
    <x v="2"/>
    <s v="VALIDATED"/>
    <n v="1"/>
    <s v="01.11.80.208.6100.0000"/>
    <n v="17.82"/>
    <s v="11"/>
    <s v="6100"/>
    <n v="12659.16"/>
    <n v="17.82"/>
    <s v="CREDITOR"/>
    <n v="0"/>
    <n v="0"/>
    <n v="0"/>
    <n v="0"/>
    <n v="17.82"/>
  </r>
  <r>
    <n v="60553858"/>
    <s v="N"/>
    <n v="21343953"/>
    <s v="3000014821250002"/>
    <s v="CIVIL"/>
    <d v="2023-06-21T00:00:00"/>
    <d v="2023-07-07T19:03:00"/>
    <m/>
    <d v="2023-07-07T00:00:00"/>
    <n v="1586"/>
    <n v="15796"/>
    <s v="60553858"/>
    <s v="60553858"/>
    <m/>
    <m/>
    <n v="22733756"/>
    <m/>
    <m/>
    <m/>
    <s v="SOLFIN"/>
    <s v="SOLFIN"/>
    <s v="CCMS"/>
    <n v="21343953"/>
    <n v="3978.67"/>
    <m/>
    <s v="N"/>
    <n v="35"/>
    <d v="2023-07-07T19:03:18"/>
    <s v="Y"/>
    <s v="Preparation - other"/>
    <s v="Non Family Hourly Rates"/>
    <s v="Profit Cost"/>
    <s v="BT"/>
    <s v="Y"/>
    <n v="5.94"/>
    <n v="1.19"/>
    <x v="9"/>
    <s v="VALIDATED"/>
    <n v="1"/>
    <s v="01.11.80.210.6100.0000"/>
    <n v="5.94"/>
    <s v="11"/>
    <s v="6100"/>
    <n v="12659.16"/>
    <n v="5.94"/>
    <s v="CREDITOR"/>
    <n v="0"/>
    <n v="0"/>
    <n v="0"/>
    <n v="0"/>
    <n v="5.94"/>
  </r>
  <r>
    <n v="54249002"/>
    <s v="N"/>
    <n v="21344014"/>
    <s v="3000012924670002"/>
    <s v="CIVIL"/>
    <d v="2023-06-28T00:00:00"/>
    <d v="2023-07-07T19:03:00"/>
    <m/>
    <d v="2023-07-07T00:00:00"/>
    <n v="1586"/>
    <n v="15796"/>
    <s v="54249002"/>
    <s v="54249002"/>
    <m/>
    <m/>
    <n v="22778978"/>
    <m/>
    <m/>
    <m/>
    <s v="SOLFIN"/>
    <s v="SOLFIN"/>
    <s v="CCMS"/>
    <n v="21344014"/>
    <n v="3560.34"/>
    <m/>
    <s v="N"/>
    <n v="32"/>
    <d v="2023-07-07T19:03:20"/>
    <s v="Y"/>
    <s v="Attendance upon client"/>
    <s v="Non Family Hourly Rates"/>
    <s v="Profit Cost"/>
    <s v="JS"/>
    <s v="Y"/>
    <n v="8.91"/>
    <n v="1.78"/>
    <x v="9"/>
    <s v="VALIDATED"/>
    <n v="1"/>
    <s v="01.11.80.208.6100.0000"/>
    <n v="8.91"/>
    <s v="11"/>
    <s v="6100"/>
    <n v="12659.16"/>
    <n v="8.91"/>
    <s v="CREDITOR"/>
    <n v="0"/>
    <n v="0"/>
    <n v="0"/>
    <n v="0"/>
    <n v="8.91"/>
  </r>
  <r>
    <n v="56440931"/>
    <s v="N"/>
    <n v="21338241"/>
    <s v="3000013433190002"/>
    <s v="CIVIL"/>
    <d v="2023-06-26T00:00:00"/>
    <d v="2023-07-06T19:21:01"/>
    <m/>
    <d v="2023-07-06T00:00:00"/>
    <n v="1586"/>
    <n v="15796"/>
    <s v="56440931"/>
    <s v="56440931"/>
    <m/>
    <m/>
    <n v="22762082"/>
    <m/>
    <m/>
    <m/>
    <s v="SOLFIN"/>
    <s v="SOLFIN"/>
    <s v="CCMS"/>
    <n v="21338241"/>
    <n v="2471.98"/>
    <m/>
    <s v="N"/>
    <n v="28"/>
    <d v="2023-07-06T19:21:13"/>
    <s v="Y"/>
    <s v="Advocacy - Other Hearing"/>
    <s v="Non Family Hourly Rates"/>
    <s v="Advocacy"/>
    <s v="BT"/>
    <s v="Y"/>
    <n v="22.28"/>
    <n v="4.46"/>
    <x v="4"/>
    <s v="VALIDATED"/>
    <n v="1"/>
    <s v="01.11.80.210.6100.0000"/>
    <n v="22.28"/>
    <s v="11"/>
    <s v="6100"/>
    <n v="12659.16"/>
    <n v="22.28"/>
    <s v="CREDITOR"/>
    <n v="0"/>
    <n v="0"/>
    <n v="0"/>
    <n v="0"/>
    <n v="22.28"/>
  </r>
  <r>
    <n v="56440931"/>
    <s v="N"/>
    <n v="21338241"/>
    <s v="3000013433190002"/>
    <s v="CIVIL"/>
    <d v="2023-06-26T00:00:00"/>
    <d v="2023-07-06T19:21:01"/>
    <m/>
    <d v="2023-07-06T00:00:00"/>
    <n v="1586"/>
    <n v="15796"/>
    <s v="56440931"/>
    <s v="56440931"/>
    <m/>
    <m/>
    <n v="22762082"/>
    <m/>
    <m/>
    <m/>
    <s v="SOLFIN"/>
    <s v="SOLFIN"/>
    <s v="CCMS"/>
    <n v="21338241"/>
    <n v="2471.98"/>
    <m/>
    <s v="N"/>
    <n v="42"/>
    <d v="2023-07-06T19:21:13"/>
    <s v="Y"/>
    <s v="Preparation - other"/>
    <s v="Non Family Hourly Rates"/>
    <s v="Profit Cost"/>
    <s v="JOS"/>
    <s v="Y"/>
    <n v="14.85"/>
    <n v="2.97"/>
    <x v="4"/>
    <s v="VALIDATED"/>
    <n v="1"/>
    <s v="01.11.80.210.6100.0000"/>
    <n v="14.85"/>
    <s v="11"/>
    <s v="6100"/>
    <n v="12659.16"/>
    <n v="14.85"/>
    <s v="CREDITOR"/>
    <n v="0"/>
    <n v="0"/>
    <n v="0"/>
    <n v="0"/>
    <n v="14.85"/>
  </r>
  <r>
    <n v="59541029"/>
    <s v="N"/>
    <n v="21337717"/>
    <s v="3000013946150003"/>
    <s v="CIVIL"/>
    <d v="2023-06-27T00:00:00"/>
    <d v="2023-07-06T19:21:01"/>
    <m/>
    <d v="2023-07-06T00:00:00"/>
    <n v="1586"/>
    <n v="15796"/>
    <s v="59541029"/>
    <s v="59541029"/>
    <m/>
    <m/>
    <n v="22772024"/>
    <m/>
    <m/>
    <m/>
    <s v="SOLFIN"/>
    <s v="SOLFIN"/>
    <s v="CCMS"/>
    <n v="21337717"/>
    <n v="1714.78"/>
    <m/>
    <s v="N"/>
    <n v="23"/>
    <d v="2023-07-06T19:21:05"/>
    <s v="Y"/>
    <s v="Preparation - other"/>
    <s v="Non Family Hourly Rates"/>
    <s v="Profit Cost"/>
    <s v="BB"/>
    <s v="Y"/>
    <n v="11.88"/>
    <n v="2.38"/>
    <x v="4"/>
    <s v="VALIDATED"/>
    <n v="1"/>
    <s v="01.11.80.208.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17"/>
    <d v="2023-07-06T19:21:20"/>
    <s v="Y"/>
    <s v="Preparation - other"/>
    <s v="Non Family Hourly Rates"/>
    <s v="Profit Cost"/>
    <s v="JS"/>
    <s v="Y"/>
    <n v="35.64"/>
    <n v="7.13"/>
    <x v="4"/>
    <s v="VALIDATED"/>
    <n v="1"/>
    <s v="01.11.80.210.6100.0000"/>
    <n v="35.64"/>
    <s v="11"/>
    <s v="6100"/>
    <n v="12659.16"/>
    <n v="35.64"/>
    <s v="CREDITOR"/>
    <n v="0"/>
    <n v="0"/>
    <n v="0"/>
    <n v="0"/>
    <n v="35.64"/>
  </r>
  <r>
    <n v="59635013"/>
    <s v="N"/>
    <n v="21338340"/>
    <s v="3000014025420005"/>
    <s v="CIVIL"/>
    <d v="2023-06-22T00:00:00"/>
    <d v="2023-07-06T19:21:01"/>
    <m/>
    <d v="2023-07-06T00:00:00"/>
    <n v="1586"/>
    <n v="15796"/>
    <s v="59635013"/>
    <s v="59635013"/>
    <m/>
    <m/>
    <n v="22745166"/>
    <m/>
    <m/>
    <m/>
    <s v="SOLFIN"/>
    <s v="SOLFIN"/>
    <s v="CCMS"/>
    <n v="21338340"/>
    <n v="9250.26"/>
    <m/>
    <s v="N"/>
    <n v="31"/>
    <d v="2023-07-06T19:21:20"/>
    <s v="Y"/>
    <s v="Preparation - other"/>
    <s v="Non Family Hourly Rates"/>
    <s v="Profit Cost"/>
    <s v="JS"/>
    <s v="Y"/>
    <n v="267.3"/>
    <n v="53.46"/>
    <x v="4"/>
    <s v="VALIDATED"/>
    <n v="1"/>
    <s v="01.11.80.210.6100.0000"/>
    <n v="267.3"/>
    <s v="11"/>
    <s v="6100"/>
    <n v="12659.16"/>
    <n v="267.3"/>
    <s v="CREDITOR"/>
    <n v="0"/>
    <n v="0"/>
    <n v="0"/>
    <n v="0"/>
    <n v="267.3"/>
  </r>
  <r>
    <n v="56440931"/>
    <s v="N"/>
    <n v="21338241"/>
    <s v="3000013433190002"/>
    <s v="CIVIL"/>
    <d v="2023-06-26T00:00:00"/>
    <d v="2023-07-06T19:21:01"/>
    <m/>
    <d v="2023-07-06T00:00:00"/>
    <n v="1586"/>
    <n v="15796"/>
    <s v="56440931"/>
    <s v="56440931"/>
    <m/>
    <m/>
    <n v="22762082"/>
    <m/>
    <m/>
    <m/>
    <s v="SOLFIN"/>
    <s v="SOLFIN"/>
    <s v="CCMS"/>
    <n v="21338241"/>
    <n v="2471.98"/>
    <m/>
    <s v="N"/>
    <n v="43"/>
    <d v="2023-07-06T19:21:13"/>
    <s v="Y"/>
    <s v="Preparation - drafting application"/>
    <s v="Non Family Hourly Rates"/>
    <s v="Profit Cost"/>
    <s v="JOS"/>
    <s v="Y"/>
    <n v="11.88"/>
    <n v="2.38"/>
    <x v="4"/>
    <s v="VALIDATED"/>
    <n v="1"/>
    <s v="01.11.80.210.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33"/>
    <d v="2023-07-06T19:21:13"/>
    <s v="Y"/>
    <s v="Advocacy - Other Hearing"/>
    <s v="Non Family Hourly Rates"/>
    <s v="Advocacy"/>
    <s v="BT"/>
    <s v="Y"/>
    <n v="22.28"/>
    <n v="4.46"/>
    <x v="4"/>
    <s v="VALIDATED"/>
    <n v="1"/>
    <s v="01.11.80.210.6100.0000"/>
    <n v="22.28"/>
    <s v="11"/>
    <s v="6100"/>
    <n v="12659.16"/>
    <n v="22.28"/>
    <s v="CREDITOR"/>
    <n v="0"/>
    <n v="0"/>
    <n v="0"/>
    <n v="0"/>
    <n v="22.28"/>
  </r>
  <r>
    <n v="10087452"/>
    <s v="N"/>
    <n v="21391928"/>
    <s v="3000005965680003"/>
    <s v="CIVIL"/>
    <d v="2023-06-28T00:00:00"/>
    <d v="2023-07-18T19:00:27"/>
    <m/>
    <d v="2023-07-18T00:00:00"/>
    <n v="1586"/>
    <n v="15796"/>
    <s v="10087452"/>
    <s v="10087452"/>
    <m/>
    <m/>
    <n v="22777604"/>
    <m/>
    <m/>
    <m/>
    <s v="SOLFIN"/>
    <s v="SOLFIN"/>
    <s v="CCMS"/>
    <n v="21391928"/>
    <n v="1623.53"/>
    <m/>
    <s v="N"/>
    <n v="8"/>
    <d v="2023-07-18T19:00:33"/>
    <s v="Y"/>
    <s v="Preparation - drafting notice(s)"/>
    <s v="Non Family Hourly Rates"/>
    <s v="Profit Cost"/>
    <s v="BT"/>
    <s v="Y"/>
    <n v="17.82"/>
    <n v="3.56"/>
    <x v="14"/>
    <s v="VALIDATED"/>
    <n v="1"/>
    <s v="01.11.80.208.6100.0000"/>
    <n v="17.82"/>
    <s v="11"/>
    <s v="6100"/>
    <n v="12659.16"/>
    <n v="17.82"/>
    <s v="CREDITOR"/>
    <n v="0"/>
    <n v="0"/>
    <n v="0"/>
    <n v="0"/>
    <n v="17.82"/>
  </r>
  <r>
    <n v="54248104"/>
    <s v="N"/>
    <n v="21350007"/>
    <s v="3000012922770007"/>
    <s v="CIVIL"/>
    <d v="2023-06-28T00:00:00"/>
    <d v="2023-07-10T19:01:40"/>
    <m/>
    <d v="2023-07-10T00:00:00"/>
    <n v="1586"/>
    <n v="15796"/>
    <s v="54248104"/>
    <s v="54248104"/>
    <m/>
    <m/>
    <n v="22779004"/>
    <m/>
    <m/>
    <m/>
    <s v="SOLFIN"/>
    <s v="SOLFIN"/>
    <s v="CCMS"/>
    <n v="21350007"/>
    <n v="4461.01"/>
    <m/>
    <s v="N"/>
    <n v="52"/>
    <d v="2023-07-10T19:02:09"/>
    <s v="Y"/>
    <s v="Preparation - other"/>
    <s v="Non Family Hourly Rates"/>
    <s v="Profit Cost"/>
    <s v="JS"/>
    <s v="Y"/>
    <n v="374.22"/>
    <n v="74.83"/>
    <x v="2"/>
    <s v="VALIDATED"/>
    <n v="1"/>
    <s v="01.11.80.208.6100.0000"/>
    <n v="374.22"/>
    <s v="11"/>
    <s v="6100"/>
    <n v="12659.16"/>
    <n v="374.22"/>
    <s v="CREDITOR"/>
    <n v="0"/>
    <n v="0"/>
    <n v="0"/>
    <n v="0"/>
    <n v="374.22"/>
  </r>
  <r>
    <n v="54249002"/>
    <s v="N"/>
    <n v="21344014"/>
    <s v="3000012924670002"/>
    <s v="CIVIL"/>
    <d v="2023-06-28T00:00:00"/>
    <d v="2023-07-07T19:03:00"/>
    <m/>
    <d v="2023-07-07T00:00:00"/>
    <n v="1586"/>
    <n v="15796"/>
    <s v="54249002"/>
    <s v="54249002"/>
    <m/>
    <m/>
    <n v="22778978"/>
    <m/>
    <m/>
    <m/>
    <s v="SOLFIN"/>
    <s v="SOLFIN"/>
    <s v="CCMS"/>
    <n v="21344014"/>
    <n v="3560.34"/>
    <m/>
    <s v="N"/>
    <n v="17"/>
    <d v="2023-07-07T19:03:20"/>
    <s v="Y"/>
    <s v="Preparation - drafting notice(s)"/>
    <s v="Non Family Hourly Rates"/>
    <s v="Profit Cost"/>
    <s v="BT"/>
    <s v="Y"/>
    <n v="23.76"/>
    <n v="4.75"/>
    <x v="9"/>
    <s v="VALIDATED"/>
    <n v="1"/>
    <s v="01.11.80.208.6100.0000"/>
    <n v="23.76"/>
    <s v="11"/>
    <s v="6100"/>
    <n v="12659.16"/>
    <n v="23.76"/>
    <s v="CREDITOR"/>
    <n v="0"/>
    <n v="0"/>
    <n v="0"/>
    <n v="0"/>
    <n v="23.76"/>
  </r>
  <r>
    <n v="60553858"/>
    <s v="N"/>
    <n v="21343953"/>
    <s v="3000014821250002"/>
    <s v="CIVIL"/>
    <d v="2023-06-21T00:00:00"/>
    <d v="2023-07-07T19:03:00"/>
    <m/>
    <d v="2023-07-07T00:00:00"/>
    <n v="1586"/>
    <n v="15796"/>
    <s v="60553858"/>
    <s v="60553858"/>
    <m/>
    <m/>
    <n v="22733756"/>
    <m/>
    <m/>
    <m/>
    <s v="SOLFIN"/>
    <s v="SOLFIN"/>
    <s v="CCMS"/>
    <n v="21343953"/>
    <n v="3978.67"/>
    <m/>
    <s v="N"/>
    <n v="7"/>
    <d v="2023-07-07T19:03:18"/>
    <s v="Y"/>
    <s v="Preparation - drafting application"/>
    <s v="Non Family Hourly Rates"/>
    <s v="Profit Cost"/>
    <s v="BT"/>
    <s v="Y"/>
    <n v="47.52"/>
    <n v="9.5"/>
    <x v="9"/>
    <s v="VALIDATED"/>
    <n v="1"/>
    <s v="01.11.80.210.6100.0000"/>
    <n v="47.52"/>
    <s v="11"/>
    <s v="6100"/>
    <n v="12659.16"/>
    <n v="47.52"/>
    <s v="CREDITOR"/>
    <n v="0"/>
    <n v="0"/>
    <n v="0"/>
    <n v="0"/>
    <n v="47.52"/>
  </r>
  <r>
    <n v="59635013"/>
    <s v="N"/>
    <n v="21338340"/>
    <s v="3000014025420005"/>
    <s v="CIVIL"/>
    <d v="2023-06-22T00:00:00"/>
    <d v="2023-07-06T19:21:01"/>
    <m/>
    <d v="2023-07-06T00:00:00"/>
    <n v="1586"/>
    <n v="15796"/>
    <s v="59635013"/>
    <s v="59635013"/>
    <m/>
    <m/>
    <n v="22745166"/>
    <m/>
    <m/>
    <m/>
    <s v="SOLFIN"/>
    <s v="SOLFIN"/>
    <s v="CCMS"/>
    <n v="21338340"/>
    <n v="9250.26"/>
    <m/>
    <s v="N"/>
    <n v="66"/>
    <d v="2023-07-06T19:21:20"/>
    <s v="Y"/>
    <s v="Preparation - other"/>
    <s v="Non Family Hourly Rates"/>
    <s v="Profit Cost"/>
    <s v="BT"/>
    <s v="Y"/>
    <n v="400.95"/>
    <n v="80.19"/>
    <x v="4"/>
    <s v="VALIDATED"/>
    <n v="1"/>
    <s v="01.11.80.210.6100.0000"/>
    <n v="400.95"/>
    <s v="11"/>
    <s v="6100"/>
    <n v="12659.16"/>
    <n v="400.95"/>
    <s v="CREDITOR"/>
    <n v="0"/>
    <n v="0"/>
    <n v="0"/>
    <n v="0"/>
    <n v="400.95"/>
  </r>
  <r>
    <n v="59635013"/>
    <s v="N"/>
    <n v="21338340"/>
    <s v="3000014025420005"/>
    <s v="CIVIL"/>
    <d v="2023-06-22T00:00:00"/>
    <d v="2023-07-06T19:21:01"/>
    <m/>
    <d v="2023-07-06T00:00:00"/>
    <n v="1586"/>
    <n v="15796"/>
    <s v="59635013"/>
    <s v="59635013"/>
    <m/>
    <m/>
    <n v="22745166"/>
    <m/>
    <m/>
    <m/>
    <s v="SOLFIN"/>
    <s v="SOLFIN"/>
    <s v="CCMS"/>
    <n v="21338340"/>
    <n v="9250.26"/>
    <m/>
    <s v="N"/>
    <n v="71"/>
    <d v="2023-07-06T19:21:20"/>
    <s v="Y"/>
    <s v="Preparation - other"/>
    <s v="Non Family Hourly Rates"/>
    <s v="Profit Cost"/>
    <s v="JS"/>
    <s v="Y"/>
    <n v="11.88"/>
    <n v="2.38"/>
    <x v="4"/>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2"/>
    <d v="2023-07-06T19:21:20"/>
    <s v="Y"/>
    <s v="Court Fee"/>
    <s v="Non Family Hourly Rates"/>
    <s v="Non Expert Disbursement"/>
    <s v="JS"/>
    <s v="Y"/>
    <n v="108"/>
    <n v="0"/>
    <x v="4"/>
    <s v="VALIDATED"/>
    <n v="1"/>
    <s v="01.11.80.210.6300.0000"/>
    <n v="108"/>
    <s v="11"/>
    <s v="6300"/>
    <n v="12659.16"/>
    <n v="108"/>
    <s v="CREDITOR"/>
    <n v="0"/>
    <n v="0"/>
    <n v="0"/>
    <n v="0"/>
    <n v="108"/>
  </r>
  <r>
    <n v="54248104"/>
    <s v="N"/>
    <n v="21350007"/>
    <s v="3000012922770007"/>
    <s v="CIVIL"/>
    <d v="2023-06-28T00:00:00"/>
    <d v="2023-07-10T19:01:40"/>
    <m/>
    <d v="2023-07-10T00:00:00"/>
    <n v="1586"/>
    <n v="15796"/>
    <s v="54248104"/>
    <s v="54248104"/>
    <m/>
    <m/>
    <n v="22779004"/>
    <m/>
    <m/>
    <m/>
    <s v="SOLFIN"/>
    <s v="SOLFIN"/>
    <s v="CCMS"/>
    <n v="21350007"/>
    <n v="4461.01"/>
    <m/>
    <s v="N"/>
    <n v="6"/>
    <d v="2023-07-10T19:02:09"/>
    <s v="Y"/>
    <s v="Attendance upon client"/>
    <s v="Non Family Hourly Rates"/>
    <s v="Profit Cost"/>
    <s v="JS"/>
    <s v="Y"/>
    <n v="13.37"/>
    <n v="2.67"/>
    <x v="2"/>
    <s v="VALIDATED"/>
    <n v="1"/>
    <s v="01.11.80.208.6100.0000"/>
    <n v="13.37"/>
    <s v="11"/>
    <s v="6100"/>
    <n v="12659.16"/>
    <n v="13.37"/>
    <s v="CREDITOR"/>
    <n v="0"/>
    <n v="0"/>
    <n v="0"/>
    <n v="0"/>
    <n v="13.37"/>
  </r>
  <r>
    <n v="54248104"/>
    <s v="N"/>
    <n v="21350007"/>
    <s v="3000012922770007"/>
    <s v="CIVIL"/>
    <d v="2023-06-28T00:00:00"/>
    <d v="2023-07-10T19:01:40"/>
    <m/>
    <d v="2023-07-10T00:00:00"/>
    <n v="1586"/>
    <n v="15796"/>
    <s v="54248104"/>
    <s v="54248104"/>
    <m/>
    <m/>
    <n v="22779004"/>
    <m/>
    <m/>
    <m/>
    <s v="SOLFIN"/>
    <s v="SOLFIN"/>
    <s v="CCMS"/>
    <n v="21350007"/>
    <n v="4461.01"/>
    <m/>
    <s v="N"/>
    <n v="31"/>
    <d v="2023-07-10T19:02:09"/>
    <s v="Y"/>
    <s v="Waiting at court"/>
    <s v="Non Family Hourly Rates"/>
    <s v="Profit Cost"/>
    <s v="JS"/>
    <s v="Y"/>
    <n v="6.57"/>
    <n v="1.31"/>
    <x v="2"/>
    <s v="VALIDATED"/>
    <n v="1"/>
    <s v="01.11.80.208.6100.0000"/>
    <n v="6.57"/>
    <s v="11"/>
    <s v="6100"/>
    <n v="12659.16"/>
    <n v="6.57"/>
    <s v="CREDITOR"/>
    <n v="0"/>
    <n v="0"/>
    <n v="0"/>
    <n v="0"/>
    <n v="6.57"/>
  </r>
  <r>
    <n v="59541029"/>
    <s v="N"/>
    <n v="21337717"/>
    <s v="3000013946150003"/>
    <s v="CIVIL"/>
    <d v="2023-06-27T00:00:00"/>
    <d v="2023-07-06T19:21:01"/>
    <m/>
    <d v="2023-07-06T00:00:00"/>
    <n v="1586"/>
    <n v="15796"/>
    <s v="59541029"/>
    <s v="59541029"/>
    <m/>
    <m/>
    <n v="22772024"/>
    <m/>
    <m/>
    <m/>
    <s v="SOLFIN"/>
    <s v="SOLFIN"/>
    <s v="CCMS"/>
    <n v="21337717"/>
    <n v="1714.78"/>
    <m/>
    <s v="N"/>
    <n v="20"/>
    <d v="2023-07-06T19:21:05"/>
    <s v="Y"/>
    <s v="Waiting at court"/>
    <s v="Non Family Hourly Rates"/>
    <s v="Profit Cost"/>
    <s v="BT"/>
    <s v="Y"/>
    <n v="5.26"/>
    <n v="1.05"/>
    <x v="4"/>
    <s v="VALIDATED"/>
    <n v="1"/>
    <s v="01.11.80.208.6100.0000"/>
    <n v="5.26"/>
    <s v="11"/>
    <s v="6100"/>
    <n v="12659.16"/>
    <n v="5.26"/>
    <s v="CREDITOR"/>
    <n v="0"/>
    <n v="0"/>
    <n v="0"/>
    <n v="0"/>
    <n v="5.26"/>
  </r>
  <r>
    <n v="60553858"/>
    <s v="N"/>
    <n v="21343953"/>
    <s v="3000014821250002"/>
    <s v="CIVIL"/>
    <d v="2023-06-21T00:00:00"/>
    <d v="2023-07-07T19:03:00"/>
    <m/>
    <d v="2023-07-07T00:00:00"/>
    <n v="1586"/>
    <n v="15796"/>
    <s v="60553858"/>
    <s v="60553858"/>
    <m/>
    <m/>
    <n v="22733756"/>
    <m/>
    <m/>
    <m/>
    <s v="SOLFIN"/>
    <s v="SOLFIN"/>
    <s v="CCMS"/>
    <n v="21343953"/>
    <n v="3978.67"/>
    <m/>
    <s v="N"/>
    <n v="18"/>
    <d v="2023-07-07T19:03:18"/>
    <s v="Y"/>
    <s v="Advocacy - Other Hearing"/>
    <s v="Non Family Hourly Rates"/>
    <s v="Advocacy"/>
    <s v="NP"/>
    <s v="Y"/>
    <n v="26.73"/>
    <n v="5.35"/>
    <x v="9"/>
    <s v="VALIDATED"/>
    <n v="1"/>
    <s v="01.11.80.210.6100.0000"/>
    <n v="26.73"/>
    <s v="11"/>
    <s v="6100"/>
    <n v="12659.16"/>
    <n v="26.73"/>
    <s v="CREDITOR"/>
    <n v="0"/>
    <n v="0"/>
    <n v="0"/>
    <n v="0"/>
    <n v="26.73"/>
  </r>
  <r>
    <n v="56440931"/>
    <s v="N"/>
    <n v="21338241"/>
    <s v="3000013433190002"/>
    <s v="CIVIL"/>
    <d v="2023-06-26T00:00:00"/>
    <d v="2023-07-06T19:21:01"/>
    <m/>
    <d v="2023-07-06T00:00:00"/>
    <n v="1586"/>
    <n v="15796"/>
    <s v="56440931"/>
    <s v="56440931"/>
    <m/>
    <m/>
    <n v="22762082"/>
    <m/>
    <m/>
    <m/>
    <s v="SOLFIN"/>
    <s v="SOLFIN"/>
    <s v="CCMS"/>
    <n v="21338241"/>
    <n v="2471.98"/>
    <m/>
    <s v="N"/>
    <n v="38"/>
    <d v="2023-07-06T19:21:13"/>
    <s v="Y"/>
    <s v="Advocacy - Other Hearing"/>
    <s v="Non Family Hourly Rates"/>
    <s v="Advocacy"/>
    <s v="JOS"/>
    <s v="Y"/>
    <n v="37.13"/>
    <n v="7.43"/>
    <x v="4"/>
    <s v="VALIDATED"/>
    <n v="1"/>
    <s v="01.11.80.210.6100.0000"/>
    <n v="37.13"/>
    <s v="11"/>
    <s v="6100"/>
    <n v="12659.16"/>
    <n v="37.13"/>
    <s v="CREDITOR"/>
    <n v="0"/>
    <n v="0"/>
    <n v="0"/>
    <n v="0"/>
    <n v="37.13"/>
  </r>
  <r>
    <n v="54248104"/>
    <s v="N"/>
    <n v="21350007"/>
    <s v="3000012922770007"/>
    <s v="CIVIL"/>
    <d v="2023-06-28T00:00:00"/>
    <d v="2023-07-10T19:01:40"/>
    <m/>
    <d v="2023-07-10T00:00:00"/>
    <n v="1586"/>
    <n v="15796"/>
    <s v="54248104"/>
    <s v="54248104"/>
    <m/>
    <m/>
    <n v="22779004"/>
    <m/>
    <m/>
    <m/>
    <s v="SOLFIN"/>
    <s v="SOLFIN"/>
    <s v="CCMS"/>
    <n v="21350007"/>
    <n v="4461.01"/>
    <m/>
    <s v="N"/>
    <n v="58"/>
    <d v="2023-07-10T19:02:09"/>
    <s v="Y"/>
    <s v="Preparation - other"/>
    <s v="Non Family Hourly Rates"/>
    <s v="Profit Cost"/>
    <s v="BT"/>
    <s v="Y"/>
    <n v="11.88"/>
    <n v="2.38"/>
    <x v="2"/>
    <s v="VALIDATED"/>
    <n v="1"/>
    <s v="01.11.80.208.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55"/>
    <d v="2023-07-10T19:02:09"/>
    <s v="Y"/>
    <s v="Waiting at court"/>
    <s v="Non Family Hourly Rates"/>
    <s v="Profit Cost"/>
    <s v="YM"/>
    <s v="Y"/>
    <n v="6.57"/>
    <n v="1.31"/>
    <x v="2"/>
    <s v="VALIDATED"/>
    <n v="1"/>
    <s v="01.11.80.208.6100.0000"/>
    <n v="6.57"/>
    <s v="11"/>
    <s v="6100"/>
    <n v="12659.16"/>
    <n v="6.57"/>
    <s v="CREDITOR"/>
    <n v="0"/>
    <n v="0"/>
    <n v="0"/>
    <n v="0"/>
    <n v="6.57"/>
  </r>
  <r>
    <n v="54249002"/>
    <s v="N"/>
    <n v="21344014"/>
    <s v="3000012924670002"/>
    <s v="CIVIL"/>
    <d v="2023-06-28T00:00:00"/>
    <d v="2023-07-07T19:03:00"/>
    <m/>
    <d v="2023-07-07T00:00:00"/>
    <n v="1586"/>
    <n v="15796"/>
    <s v="54249002"/>
    <s v="54249002"/>
    <m/>
    <m/>
    <n v="22778978"/>
    <m/>
    <m/>
    <m/>
    <s v="SOLFIN"/>
    <s v="SOLFIN"/>
    <s v="CCMS"/>
    <n v="21344014"/>
    <n v="3560.34"/>
    <m/>
    <s v="N"/>
    <n v="41"/>
    <d v="2023-07-07T19:03:20"/>
    <s v="Y"/>
    <s v="Preparation - other"/>
    <s v="Non Family Hourly Rates"/>
    <s v="Profit Cost"/>
    <s v="BT"/>
    <s v="Y"/>
    <n v="29.7"/>
    <n v="5.94"/>
    <x v="9"/>
    <s v="VALIDATED"/>
    <n v="1"/>
    <s v="01.11.80.208.6100.0000"/>
    <n v="29.7"/>
    <s v="11"/>
    <s v="6100"/>
    <n v="12659.16"/>
    <n v="29.7"/>
    <s v="CREDITOR"/>
    <n v="0"/>
    <n v="0"/>
    <n v="0"/>
    <n v="0"/>
    <n v="29.7"/>
  </r>
  <r>
    <n v="54248104"/>
    <s v="N"/>
    <n v="21350007"/>
    <s v="3000012922770007"/>
    <s v="CIVIL"/>
    <d v="2023-06-28T00:00:00"/>
    <d v="2023-07-10T19:01:40"/>
    <m/>
    <d v="2023-07-10T00:00:00"/>
    <n v="1586"/>
    <n v="15796"/>
    <s v="54248104"/>
    <s v="54248104"/>
    <m/>
    <m/>
    <n v="22779004"/>
    <m/>
    <m/>
    <m/>
    <s v="SOLFIN"/>
    <s v="SOLFIN"/>
    <s v="CCMS"/>
    <n v="21350007"/>
    <n v="4461.01"/>
    <m/>
    <s v="N"/>
    <n v="43"/>
    <d v="2023-07-10T19:02:09"/>
    <s v="Y"/>
    <s v="Attendance upon client"/>
    <s v="Non Family Hourly Rates"/>
    <s v="Profit Cost"/>
    <s v="JS"/>
    <s v="Y"/>
    <n v="13.37"/>
    <n v="2.67"/>
    <x v="2"/>
    <s v="VALIDATED"/>
    <n v="1"/>
    <s v="01.11.80.208.6100.0000"/>
    <n v="13.37"/>
    <s v="11"/>
    <s v="6100"/>
    <n v="12659.16"/>
    <n v="13.37"/>
    <s v="CREDITOR"/>
    <n v="0"/>
    <n v="0"/>
    <n v="0"/>
    <n v="0"/>
    <n v="13.37"/>
  </r>
  <r>
    <n v="54248104"/>
    <s v="N"/>
    <n v="21350007"/>
    <s v="3000012922770007"/>
    <s v="CIVIL"/>
    <d v="2023-06-28T00:00:00"/>
    <d v="2023-07-10T19:01:40"/>
    <m/>
    <d v="2023-07-10T00:00:00"/>
    <n v="1586"/>
    <n v="15796"/>
    <s v="54248104"/>
    <s v="54248104"/>
    <m/>
    <m/>
    <n v="22779004"/>
    <m/>
    <m/>
    <m/>
    <s v="SOLFIN"/>
    <s v="SOLFIN"/>
    <s v="CCMS"/>
    <n v="21350007"/>
    <n v="4461.01"/>
    <m/>
    <s v="N"/>
    <n v="51"/>
    <d v="2023-07-10T19:02:09"/>
    <s v="Y"/>
    <s v="Preparation - other"/>
    <s v="Non Family Hourly Rates"/>
    <s v="Profit Cost"/>
    <s v="BT"/>
    <s v="Y"/>
    <n v="29.7"/>
    <n v="5.94"/>
    <x v="2"/>
    <s v="VALIDATED"/>
    <n v="1"/>
    <s v="01.11.80.208.6100.0000"/>
    <n v="29.7"/>
    <s v="11"/>
    <s v="6100"/>
    <n v="12659.16"/>
    <n v="29.7"/>
    <s v="CREDITOR"/>
    <n v="0"/>
    <n v="0"/>
    <n v="0"/>
    <n v="0"/>
    <n v="29.7"/>
  </r>
  <r>
    <n v="60553858"/>
    <s v="N"/>
    <n v="21343953"/>
    <s v="3000014821250002"/>
    <s v="CIVIL"/>
    <d v="2023-06-21T00:00:00"/>
    <d v="2023-07-07T19:03:00"/>
    <m/>
    <d v="2023-07-07T00:00:00"/>
    <n v="1586"/>
    <n v="15796"/>
    <s v="60553858"/>
    <s v="60553858"/>
    <m/>
    <m/>
    <n v="22733756"/>
    <m/>
    <m/>
    <m/>
    <s v="SOLFIN"/>
    <s v="SOLFIN"/>
    <s v="CCMS"/>
    <n v="21343953"/>
    <n v="3978.67"/>
    <m/>
    <s v="N"/>
    <n v="27"/>
    <d v="2023-07-07T19:03:18"/>
    <s v="Y"/>
    <s v="Travel to court"/>
    <s v="Non Family Hourly Rates"/>
    <s v="Profit Cost"/>
    <s v="BT"/>
    <s v="Y"/>
    <n v="36.79"/>
    <n v="7.36"/>
    <x v="9"/>
    <s v="VALIDATED"/>
    <n v="1"/>
    <s v="01.11.80.210.6100.0000"/>
    <n v="36.79"/>
    <s v="11"/>
    <s v="6100"/>
    <n v="12659.16"/>
    <n v="36.79"/>
    <s v="CREDITOR"/>
    <n v="0"/>
    <n v="0"/>
    <n v="0"/>
    <n v="0"/>
    <n v="36.79"/>
  </r>
  <r>
    <n v="60553858"/>
    <s v="N"/>
    <n v="21343953"/>
    <s v="3000014821250002"/>
    <s v="CIVIL"/>
    <d v="2023-06-21T00:00:00"/>
    <d v="2023-07-07T19:03:00"/>
    <m/>
    <d v="2023-07-07T00:00:00"/>
    <n v="1586"/>
    <n v="15796"/>
    <s v="60553858"/>
    <s v="60553858"/>
    <m/>
    <m/>
    <n v="22733756"/>
    <m/>
    <m/>
    <m/>
    <s v="SOLFIN"/>
    <s v="SOLFIN"/>
    <s v="CCMS"/>
    <n v="21343953"/>
    <n v="3978.67"/>
    <m/>
    <s v="N"/>
    <n v="32"/>
    <d v="2023-07-07T19:03:18"/>
    <s v="Y"/>
    <s v="Attendance upon client"/>
    <s v="Non Family Hourly Rates"/>
    <s v="Profit Cost"/>
    <s v="BT"/>
    <s v="Y"/>
    <n v="26.73"/>
    <n v="5.35"/>
    <x v="9"/>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27"/>
    <d v="2023-07-06T19:21:20"/>
    <s v="Y"/>
    <s v="Preparation - other"/>
    <s v="Non Family Hourly Rates"/>
    <s v="Profit Cost"/>
    <s v="JS"/>
    <s v="Y"/>
    <n v="11.88"/>
    <n v="2.38"/>
    <x v="4"/>
    <s v="VALIDATED"/>
    <n v="1"/>
    <s v="01.11.80.210.6100.0000"/>
    <n v="11.88"/>
    <s v="11"/>
    <s v="6100"/>
    <n v="12659.16"/>
    <n v="11.88"/>
    <s v="CREDITOR"/>
    <n v="0"/>
    <n v="0"/>
    <n v="0"/>
    <n v="0"/>
    <n v="11.88"/>
  </r>
  <r>
    <n v="56440931"/>
    <s v="N"/>
    <n v="21338241"/>
    <s v="3000013433190002"/>
    <s v="CIVIL"/>
    <d v="2023-06-26T00:00:00"/>
    <d v="2023-07-06T19:21:01"/>
    <m/>
    <d v="2023-07-06T00:00:00"/>
    <n v="1586"/>
    <n v="15796"/>
    <s v="56440931"/>
    <s v="56440931"/>
    <m/>
    <m/>
    <n v="22762082"/>
    <m/>
    <m/>
    <m/>
    <s v="SOLFIN"/>
    <s v="SOLFIN"/>
    <s v="CCMS"/>
    <n v="21338241"/>
    <n v="2471.98"/>
    <m/>
    <s v="N"/>
    <n v="8"/>
    <d v="2023-07-06T19:21:13"/>
    <s v="Y"/>
    <s v="Attendance upon other side"/>
    <s v="Non Family Hourly Rates"/>
    <s v="Profit Cost"/>
    <s v="JOS"/>
    <s v="Y"/>
    <n v="22.28"/>
    <n v="4.46"/>
    <x v="4"/>
    <s v="VALIDATED"/>
    <n v="1"/>
    <s v="01.11.80.210.6100.0000"/>
    <n v="22.28"/>
    <s v="11"/>
    <s v="6100"/>
    <n v="12659.16"/>
    <n v="22.28"/>
    <s v="CREDITOR"/>
    <n v="0"/>
    <n v="0"/>
    <n v="0"/>
    <n v="0"/>
    <n v="22.28"/>
  </r>
  <r>
    <n v="54248104"/>
    <s v="N"/>
    <n v="21350007"/>
    <s v="3000012922770007"/>
    <s v="CIVIL"/>
    <d v="2023-06-28T00:00:00"/>
    <d v="2023-07-10T19:01:40"/>
    <m/>
    <d v="2023-07-10T00:00:00"/>
    <n v="1586"/>
    <n v="15796"/>
    <s v="54248104"/>
    <s v="54248104"/>
    <m/>
    <m/>
    <n v="22779004"/>
    <m/>
    <m/>
    <m/>
    <s v="SOLFIN"/>
    <s v="SOLFIN"/>
    <s v="CCMS"/>
    <n v="21350007"/>
    <n v="4461.01"/>
    <m/>
    <s v="N"/>
    <n v="5"/>
    <d v="2023-07-10T19:02:09"/>
    <s v="Y"/>
    <s v="Preparation - drafting pleadings"/>
    <s v="Non Family Hourly Rates"/>
    <s v="Profit Cost"/>
    <s v="JS"/>
    <s v="Y"/>
    <n v="44.55"/>
    <n v="8.91"/>
    <x v="2"/>
    <s v="VALIDATED"/>
    <n v="1"/>
    <s v="01.11.80.208.6100.0000"/>
    <n v="44.55"/>
    <s v="11"/>
    <s v="6100"/>
    <n v="12659.16"/>
    <n v="44.55"/>
    <s v="CREDITOR"/>
    <n v="0"/>
    <n v="0"/>
    <n v="0"/>
    <n v="0"/>
    <n v="44.55"/>
  </r>
  <r>
    <n v="54248104"/>
    <s v="N"/>
    <n v="21350007"/>
    <s v="3000012922770007"/>
    <s v="CIVIL"/>
    <d v="2023-06-28T00:00:00"/>
    <d v="2023-07-10T19:01:40"/>
    <m/>
    <d v="2023-07-10T00:00:00"/>
    <n v="1586"/>
    <n v="15796"/>
    <s v="54248104"/>
    <s v="54248104"/>
    <m/>
    <m/>
    <n v="22779004"/>
    <m/>
    <m/>
    <m/>
    <s v="SOLFIN"/>
    <s v="SOLFIN"/>
    <s v="CCMS"/>
    <n v="21350007"/>
    <n v="4461.01"/>
    <m/>
    <s v="N"/>
    <n v="15"/>
    <d v="2023-07-10T19:02:09"/>
    <s v="Y"/>
    <s v="Preparation - other"/>
    <s v="Non Family Hourly Rates"/>
    <s v="Profit Cost"/>
    <s v="BT"/>
    <s v="Y"/>
    <n v="11.88"/>
    <n v="2.38"/>
    <x v="2"/>
    <s v="VALIDATED"/>
    <n v="1"/>
    <s v="01.11.80.208.6100.0000"/>
    <n v="11.88"/>
    <s v="11"/>
    <s v="6100"/>
    <n v="12659.16"/>
    <n v="11.88"/>
    <s v="CREDITOR"/>
    <n v="0"/>
    <n v="0"/>
    <n v="0"/>
    <n v="0"/>
    <n v="11.88"/>
  </r>
  <r>
    <n v="54248104"/>
    <s v="N"/>
    <n v="21350007"/>
    <s v="3000012922770007"/>
    <s v="CIVIL"/>
    <d v="2023-06-28T00:00:00"/>
    <d v="2023-07-10T19:01:40"/>
    <m/>
    <d v="2023-07-10T00:00:00"/>
    <n v="1586"/>
    <n v="15796"/>
    <s v="54248104"/>
    <s v="54248104"/>
    <m/>
    <m/>
    <n v="22779004"/>
    <m/>
    <m/>
    <m/>
    <s v="SOLFIN"/>
    <s v="SOLFIN"/>
    <s v="CCMS"/>
    <n v="21350007"/>
    <n v="4461.01"/>
    <m/>
    <s v="N"/>
    <n v="57"/>
    <d v="2023-07-10T19:02:09"/>
    <s v="Y"/>
    <s v="Preparation - other"/>
    <s v="Non Family Hourly Rates"/>
    <s v="Profit Cost"/>
    <s v="BT"/>
    <s v="Y"/>
    <n v="5.94"/>
    <n v="1.19"/>
    <x v="2"/>
    <s v="VALIDATED"/>
    <n v="1"/>
    <s v="01.11.80.208.6100.0000"/>
    <n v="5.94"/>
    <s v="11"/>
    <s v="6100"/>
    <n v="12659.16"/>
    <n v="5.94"/>
    <s v="CREDITOR"/>
    <n v="0"/>
    <n v="0"/>
    <n v="0"/>
    <n v="0"/>
    <n v="5.94"/>
  </r>
  <r>
    <n v="56440931"/>
    <s v="N"/>
    <n v="21338241"/>
    <s v="3000013433190002"/>
    <s v="CIVIL"/>
    <d v="2023-06-26T00:00:00"/>
    <d v="2023-07-06T19:21:01"/>
    <m/>
    <d v="2023-07-06T00:00:00"/>
    <n v="1586"/>
    <n v="15796"/>
    <s v="56440931"/>
    <s v="56440931"/>
    <m/>
    <m/>
    <n v="22762082"/>
    <m/>
    <m/>
    <m/>
    <s v="SOLFIN"/>
    <s v="SOLFIN"/>
    <s v="CCMS"/>
    <n v="21338241"/>
    <n v="2471.98"/>
    <m/>
    <s v="N"/>
    <n v="3"/>
    <d v="2023-07-06T19:21:13"/>
    <s v="Y"/>
    <s v="Waiting at court"/>
    <s v="Non Family Hourly Rates"/>
    <s v="Profit Cost"/>
    <s v="JOS"/>
    <s v="Y"/>
    <n v="15.77"/>
    <n v="3.15"/>
    <x v="4"/>
    <s v="VALIDATED"/>
    <n v="1"/>
    <s v="01.11.80.210.6100.0000"/>
    <n v="15.77"/>
    <s v="11"/>
    <s v="6100"/>
    <n v="12659.16"/>
    <n v="15.77"/>
    <s v="CREDITOR"/>
    <n v="0"/>
    <n v="0"/>
    <n v="0"/>
    <n v="0"/>
    <n v="15.77"/>
  </r>
  <r>
    <n v="59541029"/>
    <s v="N"/>
    <n v="21337717"/>
    <s v="3000013946150003"/>
    <s v="CIVIL"/>
    <d v="2023-06-27T00:00:00"/>
    <d v="2023-07-06T19:21:01"/>
    <m/>
    <d v="2023-07-06T00:00:00"/>
    <n v="1586"/>
    <n v="15796"/>
    <s v="59541029"/>
    <s v="59541029"/>
    <m/>
    <m/>
    <n v="22772024"/>
    <m/>
    <m/>
    <m/>
    <s v="SOLFIN"/>
    <s v="SOLFIN"/>
    <s v="CCMS"/>
    <n v="21337717"/>
    <n v="1714.78"/>
    <m/>
    <s v="N"/>
    <n v="18"/>
    <d v="2023-07-06T19:21:05"/>
    <s v="Y"/>
    <s v="Advocacy - Other Hearing"/>
    <s v="Non Family Hourly Rates"/>
    <s v="Advocacy"/>
    <s v="BT"/>
    <s v="Y"/>
    <n v="35.64"/>
    <n v="7.13"/>
    <x v="4"/>
    <s v="VALIDATED"/>
    <n v="1"/>
    <s v="01.11.80.208.6100.0000"/>
    <n v="35.64"/>
    <s v="11"/>
    <s v="6100"/>
    <n v="12659.16"/>
    <n v="35.64"/>
    <s v="CREDITOR"/>
    <n v="0"/>
    <n v="0"/>
    <n v="0"/>
    <n v="0"/>
    <n v="35.64"/>
  </r>
  <r>
    <n v="56440931"/>
    <s v="N"/>
    <n v="21338241"/>
    <s v="3000013433190002"/>
    <s v="CIVIL"/>
    <d v="2023-06-26T00:00:00"/>
    <d v="2023-07-06T19:21:01"/>
    <m/>
    <d v="2023-07-06T00:00:00"/>
    <n v="1586"/>
    <n v="15796"/>
    <s v="56440931"/>
    <s v="56440931"/>
    <m/>
    <m/>
    <n v="22762082"/>
    <m/>
    <m/>
    <m/>
    <s v="SOLFIN"/>
    <s v="SOLFIN"/>
    <s v="CCMS"/>
    <n v="21338241"/>
    <n v="2471.98"/>
    <m/>
    <s v="N"/>
    <n v="36"/>
    <d v="2023-07-06T19:21:13"/>
    <s v="Y"/>
    <s v="Preparation - other"/>
    <s v="Non Family Hourly Rates"/>
    <s v="Profit Cost"/>
    <s v="JOS"/>
    <s v="Y"/>
    <n v="14.85"/>
    <n v="2.97"/>
    <x v="4"/>
    <s v="VALIDATED"/>
    <n v="1"/>
    <s v="01.11.80.210.6100.0000"/>
    <n v="14.85"/>
    <s v="11"/>
    <s v="6100"/>
    <n v="12659.16"/>
    <n v="14.85"/>
    <s v="CREDITOR"/>
    <n v="0"/>
    <n v="0"/>
    <n v="0"/>
    <n v="0"/>
    <n v="14.85"/>
  </r>
  <r>
    <n v="56440931"/>
    <s v="N"/>
    <n v="21338241"/>
    <s v="3000013433190002"/>
    <s v="CIVIL"/>
    <d v="2023-06-26T00:00:00"/>
    <d v="2023-07-06T19:21:01"/>
    <m/>
    <d v="2023-07-06T00:00:00"/>
    <n v="1586"/>
    <n v="15796"/>
    <s v="56440931"/>
    <s v="56440931"/>
    <m/>
    <m/>
    <n v="22762082"/>
    <m/>
    <m/>
    <m/>
    <s v="SOLFIN"/>
    <s v="SOLFIN"/>
    <s v="CCMS"/>
    <n v="21338241"/>
    <n v="2471.98"/>
    <m/>
    <s v="N"/>
    <n v="17"/>
    <d v="2023-07-06T19:21:13"/>
    <s v="Y"/>
    <s v="Preparation - drafting notice(s)"/>
    <s v="Non Family Hourly Rates"/>
    <s v="Profit Cost"/>
    <s v="JOS"/>
    <s v="Y"/>
    <n v="5.94"/>
    <n v="1.19"/>
    <x v="4"/>
    <s v="VALIDATED"/>
    <n v="1"/>
    <s v="01.11.80.210.6100.0000"/>
    <n v="5.94"/>
    <s v="11"/>
    <s v="6100"/>
    <n v="12659.16"/>
    <n v="5.94"/>
    <s v="CREDITOR"/>
    <n v="0"/>
    <n v="0"/>
    <n v="0"/>
    <n v="0"/>
    <n v="5.94"/>
  </r>
  <r>
    <n v="59541029"/>
    <s v="N"/>
    <n v="21337717"/>
    <s v="3000013946150003"/>
    <s v="CIVIL"/>
    <d v="2023-06-27T00:00:00"/>
    <d v="2023-07-06T19:21:01"/>
    <m/>
    <d v="2023-07-06T00:00:00"/>
    <n v="1586"/>
    <n v="15796"/>
    <s v="59541029"/>
    <s v="59541029"/>
    <m/>
    <m/>
    <n v="22772024"/>
    <m/>
    <m/>
    <m/>
    <s v="SOLFIN"/>
    <s v="SOLFIN"/>
    <s v="CCMS"/>
    <n v="21337717"/>
    <n v="1714.78"/>
    <m/>
    <s v="N"/>
    <n v="14"/>
    <d v="2023-07-06T19:21:05"/>
    <s v="Y"/>
    <s v="Preparation - drafting notice(s)"/>
    <s v="Non Family Hourly Rates"/>
    <s v="Profit Cost"/>
    <s v="JS"/>
    <s v="Y"/>
    <n v="5.94"/>
    <n v="1.19"/>
    <x v="4"/>
    <s v="VALIDATED"/>
    <n v="1"/>
    <s v="01.11.80.208.6100.0000"/>
    <n v="5.94"/>
    <s v="11"/>
    <s v="6100"/>
    <n v="12659.16"/>
    <n v="5.94"/>
    <s v="CREDITOR"/>
    <n v="0"/>
    <n v="0"/>
    <n v="0"/>
    <n v="0"/>
    <n v="5.94"/>
  </r>
  <r>
    <n v="60553858"/>
    <s v="N"/>
    <n v="21343953"/>
    <s v="3000014821250002"/>
    <s v="CIVIL"/>
    <d v="2023-06-21T00:00:00"/>
    <d v="2023-07-07T19:03:00"/>
    <m/>
    <d v="2023-07-07T00:00:00"/>
    <n v="1586"/>
    <n v="15796"/>
    <s v="60553858"/>
    <s v="60553858"/>
    <m/>
    <m/>
    <n v="22733756"/>
    <m/>
    <m/>
    <m/>
    <s v="SOLFIN"/>
    <s v="SOLFIN"/>
    <s v="CCMS"/>
    <n v="21343953"/>
    <n v="3978.67"/>
    <m/>
    <s v="N"/>
    <n v="40"/>
    <d v="2023-07-07T19:03:18"/>
    <s v="Y"/>
    <s v="Routine Letter Out"/>
    <s v="Non Family Hourly Rates"/>
    <s v="Profit Cost"/>
    <s v="BT"/>
    <s v="Y"/>
    <n v="201.96"/>
    <n v="40.4"/>
    <x v="9"/>
    <s v="VALIDATED"/>
    <n v="1"/>
    <s v="01.11.80.210.6100.0000"/>
    <n v="201.96"/>
    <s v="11"/>
    <s v="6100"/>
    <n v="12659.16"/>
    <n v="201.96"/>
    <s v="CREDITOR"/>
    <n v="0"/>
    <n v="0"/>
    <n v="0"/>
    <n v="0"/>
    <n v="201.96"/>
  </r>
  <r>
    <n v="60553858"/>
    <s v="N"/>
    <n v="21343953"/>
    <s v="3000014821250002"/>
    <s v="CIVIL"/>
    <d v="2023-06-21T00:00:00"/>
    <d v="2023-07-07T19:03:00"/>
    <m/>
    <d v="2023-07-07T00:00:00"/>
    <n v="1586"/>
    <n v="15796"/>
    <s v="60553858"/>
    <s v="60553858"/>
    <m/>
    <m/>
    <n v="22733756"/>
    <m/>
    <m/>
    <m/>
    <s v="SOLFIN"/>
    <s v="SOLFIN"/>
    <s v="CCMS"/>
    <n v="21343953"/>
    <n v="3978.67"/>
    <m/>
    <s v="N"/>
    <n v="12"/>
    <d v="2023-07-07T19:03:18"/>
    <s v="Y"/>
    <s v="Preparation - drafting notice(s)"/>
    <s v="Non Family Hourly Rates"/>
    <s v="Profit Cost"/>
    <s v="BT"/>
    <s v="Y"/>
    <n v="5.94"/>
    <n v="1.19"/>
    <x v="9"/>
    <s v="VALIDATED"/>
    <n v="1"/>
    <s v="01.11.80.210.6100.0000"/>
    <n v="5.94"/>
    <s v="11"/>
    <s v="6100"/>
    <n v="12659.16"/>
    <n v="5.94"/>
    <s v="CREDITOR"/>
    <n v="0"/>
    <n v="0"/>
    <n v="0"/>
    <n v="0"/>
    <n v="5.94"/>
  </r>
  <r>
    <n v="62200427"/>
    <s v="N"/>
    <n v="21323912"/>
    <s v="3000016208480001"/>
    <s v="CIVIL"/>
    <d v="2023-06-30T00:00:00"/>
    <d v="2023-07-03T19:05:56"/>
    <m/>
    <d v="2023-07-03T00:00:00"/>
    <n v="1586"/>
    <n v="15796"/>
    <s v="62200427"/>
    <s v="62200427"/>
    <m/>
    <m/>
    <n v="22796088"/>
    <m/>
    <m/>
    <m/>
    <s v="SOLPOA"/>
    <s v="SOLPOA"/>
    <s v="CCMS"/>
    <n v="21323912"/>
    <n v="885.6"/>
    <m/>
    <s v="N"/>
    <n v="1"/>
    <d v="2023-07-03T19:05:59"/>
    <s v="N"/>
    <s v="Expert Cost"/>
    <s v="Expert Cost"/>
    <s v="Expert Disbursement"/>
    <s v="BET"/>
    <s v="N"/>
    <n v="885.6"/>
    <n v="0"/>
    <x v="3"/>
    <s v="VALIDATED"/>
    <n v="1"/>
    <s v="01.11.80.210.2012.0000"/>
    <n v="885.6"/>
    <s v="11"/>
    <s v="2012"/>
    <n v="12659.16"/>
    <n v="885.6"/>
    <s v="CREDITOR"/>
    <n v="885.6"/>
    <n v="0"/>
    <n v="0"/>
    <n v="0"/>
    <n v="0"/>
  </r>
  <r>
    <n v="54248104"/>
    <s v="N"/>
    <n v="21350007"/>
    <s v="3000012922770007"/>
    <s v="CIVIL"/>
    <d v="2023-06-28T00:00:00"/>
    <d v="2023-07-10T19:01:40"/>
    <m/>
    <d v="2023-07-10T00:00:00"/>
    <n v="1586"/>
    <n v="15796"/>
    <s v="54248104"/>
    <s v="54248104"/>
    <m/>
    <m/>
    <n v="22779004"/>
    <m/>
    <m/>
    <m/>
    <s v="SOLFIN"/>
    <s v="SOLFIN"/>
    <s v="CCMS"/>
    <n v="21350007"/>
    <n v="4461.01"/>
    <m/>
    <s v="N"/>
    <n v="10"/>
    <d v="2023-07-10T19:02:09"/>
    <s v="Y"/>
    <s v="Waiting at court"/>
    <s v="Non Family Hourly Rates"/>
    <s v="Profit Cost"/>
    <s v="JS"/>
    <s v="Y"/>
    <n v="7.88"/>
    <n v="1.58"/>
    <x v="2"/>
    <s v="VALIDATED"/>
    <n v="1"/>
    <s v="01.11.80.208.6100.0000"/>
    <n v="7.88"/>
    <s v="11"/>
    <s v="6100"/>
    <n v="12659.16"/>
    <n v="7.88"/>
    <s v="CREDITOR"/>
    <n v="0"/>
    <n v="0"/>
    <n v="0"/>
    <n v="0"/>
    <n v="7.88"/>
  </r>
  <r>
    <n v="54248104"/>
    <s v="N"/>
    <n v="21350007"/>
    <s v="3000012922770007"/>
    <s v="CIVIL"/>
    <d v="2023-06-28T00:00:00"/>
    <d v="2023-07-10T19:01:40"/>
    <m/>
    <d v="2023-07-10T00:00:00"/>
    <n v="1586"/>
    <n v="15796"/>
    <s v="54248104"/>
    <s v="54248104"/>
    <m/>
    <m/>
    <n v="22779004"/>
    <m/>
    <m/>
    <m/>
    <s v="SOLFIN"/>
    <s v="SOLFIN"/>
    <s v="CCMS"/>
    <n v="21350007"/>
    <n v="4461.01"/>
    <m/>
    <s v="N"/>
    <n v="39"/>
    <d v="2023-07-10T19:02:09"/>
    <s v="Y"/>
    <s v="Attendance upon client"/>
    <s v="Non Family Hourly Rates"/>
    <s v="Profit Cost"/>
    <s v="JS"/>
    <s v="Y"/>
    <n v="8.91"/>
    <n v="1.78"/>
    <x v="2"/>
    <s v="VALIDATED"/>
    <n v="1"/>
    <s v="01.11.80.208.6100.0000"/>
    <n v="8.91"/>
    <s v="11"/>
    <s v="6100"/>
    <n v="12659.16"/>
    <n v="8.91"/>
    <s v="CREDITOR"/>
    <n v="0"/>
    <n v="0"/>
    <n v="0"/>
    <n v="0"/>
    <n v="8.91"/>
  </r>
  <r>
    <n v="60553858"/>
    <s v="N"/>
    <n v="21343953"/>
    <s v="3000014821250002"/>
    <s v="CIVIL"/>
    <d v="2023-06-21T00:00:00"/>
    <d v="2023-07-07T19:03:00"/>
    <m/>
    <d v="2023-07-07T00:00:00"/>
    <n v="1586"/>
    <n v="15796"/>
    <s v="60553858"/>
    <s v="60553858"/>
    <m/>
    <m/>
    <n v="22733756"/>
    <m/>
    <m/>
    <m/>
    <s v="SOLFIN"/>
    <s v="SOLFIN"/>
    <s v="CCMS"/>
    <n v="21343953"/>
    <n v="3978.67"/>
    <m/>
    <s v="N"/>
    <n v="41"/>
    <d v="2023-07-07T19:03:18"/>
    <s v="Y"/>
    <s v="Routine Letter Out"/>
    <s v="Non Family Hourly Rates"/>
    <s v="Profit Cost"/>
    <s v="VI"/>
    <s v="Y"/>
    <n v="11.88"/>
    <n v="2.38"/>
    <x v="9"/>
    <s v="VALIDATED"/>
    <n v="1"/>
    <s v="01.11.80.210.6100.0000"/>
    <n v="11.88"/>
    <s v="11"/>
    <s v="6100"/>
    <n v="12659.16"/>
    <n v="11.88"/>
    <s v="CREDITOR"/>
    <n v="0"/>
    <n v="0"/>
    <n v="0"/>
    <n v="0"/>
    <n v="11.88"/>
  </r>
  <r>
    <n v="54249002"/>
    <s v="N"/>
    <n v="21344014"/>
    <s v="3000012924670002"/>
    <s v="CIVIL"/>
    <d v="2023-06-28T00:00:00"/>
    <d v="2023-07-07T19:03:00"/>
    <m/>
    <d v="2023-07-07T00:00:00"/>
    <n v="1586"/>
    <n v="15796"/>
    <s v="54249002"/>
    <s v="54249002"/>
    <m/>
    <m/>
    <n v="22778978"/>
    <m/>
    <m/>
    <m/>
    <s v="SOLFIN"/>
    <s v="SOLFIN"/>
    <s v="CCMS"/>
    <n v="21344014"/>
    <n v="3560.34"/>
    <m/>
    <s v="N"/>
    <n v="24"/>
    <d v="2023-07-07T19:03:20"/>
    <s v="Y"/>
    <s v="Advocacy - Directions Hearing"/>
    <s v="Non Family Hourly Rates"/>
    <s v="Advocacy"/>
    <s v="JS"/>
    <s v="Y"/>
    <n v="66.83"/>
    <n v="13.37"/>
    <x v="9"/>
    <s v="VALIDATED"/>
    <n v="1"/>
    <s v="01.11.80.208.6100.0000"/>
    <n v="66.83"/>
    <s v="11"/>
    <s v="6100"/>
    <n v="12659.16"/>
    <n v="66.83"/>
    <s v="CREDITOR"/>
    <n v="0"/>
    <n v="0"/>
    <n v="0"/>
    <n v="0"/>
    <n v="66.83"/>
  </r>
  <r>
    <n v="56440931"/>
    <s v="N"/>
    <n v="21338241"/>
    <s v="3000013433190002"/>
    <s v="CIVIL"/>
    <d v="2023-06-26T00:00:00"/>
    <d v="2023-07-06T19:21:01"/>
    <m/>
    <d v="2023-07-06T00:00:00"/>
    <n v="1586"/>
    <n v="15796"/>
    <s v="56440931"/>
    <s v="56440931"/>
    <m/>
    <m/>
    <n v="22762082"/>
    <m/>
    <m/>
    <m/>
    <s v="SOLFIN"/>
    <s v="SOLFIN"/>
    <s v="CCMS"/>
    <n v="21338241"/>
    <n v="2471.98"/>
    <m/>
    <s v="N"/>
    <n v="26"/>
    <d v="2023-07-06T19:21:13"/>
    <s v="Y"/>
    <s v="Preparation - other"/>
    <s v="Non Family Hourly Rates"/>
    <s v="Profit Cost"/>
    <s v="NP"/>
    <s v="Y"/>
    <n v="22.28"/>
    <n v="4.46"/>
    <x v="4"/>
    <s v="VALIDATED"/>
    <n v="1"/>
    <s v="01.11.80.210.6100.0000"/>
    <n v="22.28"/>
    <s v="11"/>
    <s v="6100"/>
    <n v="12659.16"/>
    <n v="22.28"/>
    <s v="CREDITOR"/>
    <n v="0"/>
    <n v="0"/>
    <n v="0"/>
    <n v="0"/>
    <n v="22.28"/>
  </r>
  <r>
    <n v="10087452"/>
    <s v="N"/>
    <n v="21391928"/>
    <s v="3000005965680003"/>
    <s v="CIVIL"/>
    <d v="2023-06-28T00:00:00"/>
    <d v="2023-07-18T19:00:27"/>
    <m/>
    <d v="2023-07-18T00:00:00"/>
    <n v="1586"/>
    <n v="15796"/>
    <s v="10087452"/>
    <s v="10087452"/>
    <m/>
    <m/>
    <n v="22777604"/>
    <m/>
    <m/>
    <m/>
    <s v="SOLFIN"/>
    <s v="SOLFIN"/>
    <s v="CCMS"/>
    <n v="21391928"/>
    <n v="1623.53"/>
    <m/>
    <s v="N"/>
    <n v="16"/>
    <d v="2023-07-18T19:00:33"/>
    <s v="Y"/>
    <s v="Attendance upon client"/>
    <s v="Non Family Hourly Rates"/>
    <s v="Profit Cost"/>
    <s v="BT"/>
    <s v="Y"/>
    <n v="35.64"/>
    <n v="7.13"/>
    <x v="14"/>
    <s v="VALIDATED"/>
    <n v="1"/>
    <s v="01.11.80.208.6100.0000"/>
    <n v="35.64"/>
    <s v="11"/>
    <s v="6100"/>
    <n v="12659.16"/>
    <n v="35.64"/>
    <s v="CREDITOR"/>
    <n v="0"/>
    <n v="0"/>
    <n v="0"/>
    <n v="0"/>
    <n v="35.64"/>
  </r>
  <r>
    <n v="54248104"/>
    <s v="N"/>
    <n v="21350007"/>
    <s v="3000012922770007"/>
    <s v="CIVIL"/>
    <d v="2023-06-28T00:00:00"/>
    <d v="2023-07-10T19:01:40"/>
    <m/>
    <d v="2023-07-10T00:00:00"/>
    <n v="1586"/>
    <n v="15796"/>
    <s v="54248104"/>
    <s v="54248104"/>
    <m/>
    <m/>
    <n v="22779004"/>
    <m/>
    <m/>
    <m/>
    <s v="SOLFIN"/>
    <s v="SOLFIN"/>
    <s v="CCMS"/>
    <n v="21350007"/>
    <n v="4461.01"/>
    <m/>
    <s v="N"/>
    <n v="46"/>
    <d v="2023-07-10T19:02:09"/>
    <s v="Y"/>
    <s v="Preparation - other"/>
    <s v="Non Family Hourly Rates"/>
    <s v="Profit Cost"/>
    <s v="JS"/>
    <s v="Y"/>
    <n v="22.28"/>
    <n v="4.46"/>
    <x v="2"/>
    <s v="VALIDATED"/>
    <n v="1"/>
    <s v="01.11.80.208.6100.0000"/>
    <n v="22.28"/>
    <s v="11"/>
    <s v="6100"/>
    <n v="12659.16"/>
    <n v="22.28"/>
    <s v="CREDITOR"/>
    <n v="0"/>
    <n v="0"/>
    <n v="0"/>
    <n v="0"/>
    <n v="22.28"/>
  </r>
  <r>
    <n v="54249002"/>
    <s v="N"/>
    <n v="21344014"/>
    <s v="3000012924670002"/>
    <s v="CIVIL"/>
    <d v="2023-06-28T00:00:00"/>
    <d v="2023-07-07T19:03:00"/>
    <m/>
    <d v="2023-07-07T00:00:00"/>
    <n v="1586"/>
    <n v="15796"/>
    <s v="54249002"/>
    <s v="54249002"/>
    <m/>
    <m/>
    <n v="22778978"/>
    <m/>
    <m/>
    <m/>
    <s v="SOLFIN"/>
    <s v="SOLFIN"/>
    <s v="CCMS"/>
    <n v="21344014"/>
    <n v="3560.34"/>
    <m/>
    <s v="N"/>
    <n v="31"/>
    <d v="2023-07-07T19:03:20"/>
    <s v="Y"/>
    <s v="Attendance upon client"/>
    <s v="Non Family Hourly Rates"/>
    <s v="Profit Cost"/>
    <s v="JS"/>
    <s v="Y"/>
    <n v="8.91"/>
    <n v="1.78"/>
    <x v="9"/>
    <s v="VALIDATED"/>
    <n v="1"/>
    <s v="01.11.80.208.6100.0000"/>
    <n v="8.91"/>
    <s v="11"/>
    <s v="6100"/>
    <n v="12659.16"/>
    <n v="8.91"/>
    <s v="CREDITOR"/>
    <n v="0"/>
    <n v="0"/>
    <n v="0"/>
    <n v="0"/>
    <n v="8.91"/>
  </r>
  <r>
    <n v="59541029"/>
    <s v="N"/>
    <n v="21337717"/>
    <s v="3000013946150003"/>
    <s v="CIVIL"/>
    <d v="2023-06-27T00:00:00"/>
    <d v="2023-07-06T19:21:01"/>
    <m/>
    <d v="2023-07-06T00:00:00"/>
    <n v="1586"/>
    <n v="15796"/>
    <s v="59541029"/>
    <s v="59541029"/>
    <m/>
    <m/>
    <n v="22772024"/>
    <m/>
    <m/>
    <m/>
    <s v="SOLFIN"/>
    <s v="SOLFIN"/>
    <s v="CCMS"/>
    <n v="21337717"/>
    <n v="1714.78"/>
    <m/>
    <s v="N"/>
    <n v="10"/>
    <d v="2023-07-06T19:21:05"/>
    <s v="Y"/>
    <s v="Waiting at court"/>
    <s v="Non Family Hourly Rates"/>
    <s v="Profit Cost"/>
    <s v="JS"/>
    <s v="Y"/>
    <n v="13.14"/>
    <n v="2.63"/>
    <x v="4"/>
    <s v="VALIDATED"/>
    <n v="1"/>
    <s v="01.11.80.208.6100.0000"/>
    <n v="13.14"/>
    <s v="11"/>
    <s v="6100"/>
    <n v="12659.16"/>
    <n v="13.14"/>
    <s v="CREDITOR"/>
    <n v="0"/>
    <n v="0"/>
    <n v="0"/>
    <n v="0"/>
    <n v="13.14"/>
  </r>
  <r>
    <n v="59635013"/>
    <s v="N"/>
    <n v="21338340"/>
    <s v="3000014025420005"/>
    <s v="CIVIL"/>
    <d v="2023-06-22T00:00:00"/>
    <d v="2023-07-06T19:21:01"/>
    <m/>
    <d v="2023-07-06T00:00:00"/>
    <n v="1586"/>
    <n v="15796"/>
    <s v="59635013"/>
    <s v="59635013"/>
    <m/>
    <m/>
    <n v="22745166"/>
    <m/>
    <m/>
    <m/>
    <s v="SOLFIN"/>
    <s v="SOLFIN"/>
    <s v="CCMS"/>
    <n v="21338340"/>
    <n v="9250.26"/>
    <m/>
    <s v="N"/>
    <n v="58"/>
    <d v="2023-07-06T19:21:20"/>
    <s v="Y"/>
    <s v="Preparation - other"/>
    <s v="Non Family Hourly Rates"/>
    <s v="Profit Cost"/>
    <s v="JS"/>
    <s v="Y"/>
    <n v="11.88"/>
    <n v="2.38"/>
    <x v="4"/>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15"/>
    <d v="2023-07-06T19:21:20"/>
    <s v="Y"/>
    <s v="Preparation - other"/>
    <s v="Non Family Hourly Rates"/>
    <s v="Profit Cost"/>
    <s v="JS"/>
    <s v="Y"/>
    <n v="23.76"/>
    <n v="4.75"/>
    <x v="4"/>
    <s v="VALIDATED"/>
    <n v="1"/>
    <s v="01.11.80.210.6100.0000"/>
    <n v="23.76"/>
    <s v="11"/>
    <s v="6100"/>
    <n v="12659.16"/>
    <n v="23.76"/>
    <s v="CREDITOR"/>
    <n v="0"/>
    <n v="0"/>
    <n v="0"/>
    <n v="0"/>
    <n v="23.76"/>
  </r>
  <r>
    <n v="59635013"/>
    <s v="N"/>
    <n v="21338340"/>
    <s v="3000014025420005"/>
    <s v="CIVIL"/>
    <d v="2023-06-22T00:00:00"/>
    <d v="2023-07-06T19:21:01"/>
    <m/>
    <d v="2023-07-06T00:00:00"/>
    <n v="1586"/>
    <n v="15796"/>
    <s v="59635013"/>
    <s v="59635013"/>
    <m/>
    <m/>
    <n v="22745166"/>
    <m/>
    <m/>
    <m/>
    <s v="SOLFIN"/>
    <s v="SOLFIN"/>
    <s v="CCMS"/>
    <n v="21338340"/>
    <n v="9250.26"/>
    <m/>
    <s v="N"/>
    <n v="22"/>
    <d v="2023-07-06T19:21:20"/>
    <s v="Y"/>
    <s v="Advocacy - Directions Hearing"/>
    <s v="Non Family Hourly Rates"/>
    <s v="Advocacy"/>
    <s v="JS"/>
    <s v="Y"/>
    <n v="26.73"/>
    <n v="5.35"/>
    <x v="4"/>
    <s v="VALIDATED"/>
    <n v="1"/>
    <s v="01.11.80.210.6100.0000"/>
    <n v="26.73"/>
    <s v="11"/>
    <s v="6100"/>
    <n v="12659.16"/>
    <n v="26.73"/>
    <s v="CREDITOR"/>
    <n v="0"/>
    <n v="0"/>
    <n v="0"/>
    <n v="0"/>
    <n v="26.73"/>
  </r>
  <r>
    <n v="54248104"/>
    <s v="N"/>
    <n v="21350007"/>
    <s v="3000012922770007"/>
    <s v="CIVIL"/>
    <d v="2023-06-28T00:00:00"/>
    <d v="2023-07-10T19:01:40"/>
    <m/>
    <d v="2023-07-10T00:00:00"/>
    <n v="1586"/>
    <n v="15796"/>
    <s v="54248104"/>
    <s v="54248104"/>
    <m/>
    <m/>
    <n v="22779004"/>
    <m/>
    <m/>
    <m/>
    <s v="SOLFIN"/>
    <s v="SOLFIN"/>
    <s v="CCMS"/>
    <n v="21350007"/>
    <n v="4461.01"/>
    <m/>
    <s v="N"/>
    <n v="8"/>
    <d v="2023-07-10T19:02:09"/>
    <s v="Y"/>
    <s v="Preparation - other"/>
    <s v="Non Family Hourly Rates"/>
    <s v="Profit Cost"/>
    <s v="BT"/>
    <s v="Y"/>
    <n v="35.64"/>
    <n v="7.13"/>
    <x v="2"/>
    <s v="VALIDATED"/>
    <n v="1"/>
    <s v="01.11.80.208.6100.0000"/>
    <n v="35.64"/>
    <s v="11"/>
    <s v="6100"/>
    <n v="12659.16"/>
    <n v="35.64"/>
    <s v="CREDITOR"/>
    <n v="0"/>
    <n v="0"/>
    <n v="0"/>
    <n v="0"/>
    <n v="35.64"/>
  </r>
  <r>
    <n v="54249002"/>
    <s v="N"/>
    <n v="21344014"/>
    <s v="3000012924670002"/>
    <s v="CIVIL"/>
    <d v="2023-06-28T00:00:00"/>
    <d v="2023-07-07T19:03:00"/>
    <m/>
    <d v="2023-07-07T00:00:00"/>
    <n v="1586"/>
    <n v="15796"/>
    <s v="54249002"/>
    <s v="54249002"/>
    <m/>
    <m/>
    <n v="22778978"/>
    <m/>
    <m/>
    <m/>
    <s v="SOLFIN"/>
    <s v="SOLFIN"/>
    <s v="CCMS"/>
    <n v="21344014"/>
    <n v="3560.34"/>
    <m/>
    <s v="N"/>
    <n v="33"/>
    <d v="2023-07-07T19:03:20"/>
    <s v="Y"/>
    <s v="Attendance upon client"/>
    <s v="Non Family Hourly Rates"/>
    <s v="Profit Cost"/>
    <s v="JS"/>
    <s v="Y"/>
    <n v="13.37"/>
    <n v="2.67"/>
    <x v="9"/>
    <s v="VALIDATED"/>
    <n v="1"/>
    <s v="01.11.80.208.6100.0000"/>
    <n v="13.37"/>
    <s v="11"/>
    <s v="6100"/>
    <n v="12659.16"/>
    <n v="13.37"/>
    <s v="CREDITOR"/>
    <n v="0"/>
    <n v="0"/>
    <n v="0"/>
    <n v="0"/>
    <n v="13.37"/>
  </r>
  <r>
    <n v="59635013"/>
    <s v="N"/>
    <n v="21338340"/>
    <s v="3000014025420005"/>
    <s v="CIVIL"/>
    <d v="2023-06-22T00:00:00"/>
    <d v="2023-07-06T19:21:01"/>
    <m/>
    <d v="2023-07-06T00:00:00"/>
    <n v="1586"/>
    <n v="15796"/>
    <s v="59635013"/>
    <s v="59635013"/>
    <m/>
    <m/>
    <n v="22745166"/>
    <m/>
    <m/>
    <m/>
    <s v="SOLFIN"/>
    <s v="SOLFIN"/>
    <s v="CCMS"/>
    <n v="21338340"/>
    <n v="9250.26"/>
    <m/>
    <s v="N"/>
    <n v="1"/>
    <d v="2023-07-06T19:21:20"/>
    <s v="Y"/>
    <s v="Court Fee"/>
    <s v="Non Family Hourly Rates"/>
    <s v="Non Expert Disbursement"/>
    <s v="JS"/>
    <s v="Y"/>
    <n v="108"/>
    <n v="0"/>
    <x v="4"/>
    <s v="VALIDATED"/>
    <n v="1"/>
    <s v="01.11.80.210.6300.0000"/>
    <n v="108"/>
    <s v="11"/>
    <s v="6300"/>
    <n v="12659.16"/>
    <n v="108"/>
    <s v="CREDITOR"/>
    <n v="0"/>
    <n v="0"/>
    <n v="0"/>
    <n v="0"/>
    <n v="108"/>
  </r>
  <r>
    <n v="54249002"/>
    <s v="N"/>
    <n v="21344014"/>
    <s v="3000012924670002"/>
    <s v="CIVIL"/>
    <d v="2023-06-28T00:00:00"/>
    <d v="2023-07-07T19:03:00"/>
    <m/>
    <d v="2023-07-07T00:00:00"/>
    <n v="1586"/>
    <n v="15796"/>
    <s v="54249002"/>
    <s v="54249002"/>
    <m/>
    <m/>
    <n v="22778978"/>
    <m/>
    <m/>
    <m/>
    <s v="SOLFIN"/>
    <s v="SOLFIN"/>
    <s v="CCMS"/>
    <n v="21344014"/>
    <n v="3560.34"/>
    <m/>
    <s v="N"/>
    <n v="30"/>
    <d v="2023-07-07T19:03:20"/>
    <s v="Y"/>
    <s v="Preparation - other"/>
    <s v="Non Family Hourly Rates"/>
    <s v="Profit Cost"/>
    <s v="JS"/>
    <s v="Y"/>
    <n v="111.38"/>
    <n v="22.28"/>
    <x v="9"/>
    <s v="VALIDATED"/>
    <n v="1"/>
    <s v="01.11.80.208.6100.0000"/>
    <n v="111.38"/>
    <s v="11"/>
    <s v="6100"/>
    <n v="12659.16"/>
    <n v="111.38"/>
    <s v="CREDITOR"/>
    <n v="0"/>
    <n v="0"/>
    <n v="0"/>
    <n v="0"/>
    <n v="111.38"/>
  </r>
  <r>
    <n v="59541029"/>
    <s v="N"/>
    <n v="21337717"/>
    <s v="3000013946150003"/>
    <s v="CIVIL"/>
    <d v="2023-06-27T00:00:00"/>
    <d v="2023-07-06T19:21:01"/>
    <m/>
    <d v="2023-07-06T00:00:00"/>
    <n v="1586"/>
    <n v="15796"/>
    <s v="59541029"/>
    <s v="59541029"/>
    <m/>
    <m/>
    <n v="22772024"/>
    <m/>
    <m/>
    <m/>
    <s v="SOLFIN"/>
    <s v="SOLFIN"/>
    <s v="CCMS"/>
    <n v="21337717"/>
    <n v="1714.78"/>
    <m/>
    <s v="N"/>
    <n v="5"/>
    <d v="2023-07-06T19:21:05"/>
    <s v="Y"/>
    <s v="Preparation - drafting application"/>
    <s v="Non Family Hourly Rates"/>
    <s v="Profit Cost"/>
    <s v="JS"/>
    <s v="Y"/>
    <n v="44.55"/>
    <n v="8.91"/>
    <x v="4"/>
    <s v="VALIDATED"/>
    <n v="1"/>
    <s v="01.11.80.208.6100.0000"/>
    <n v="44.55"/>
    <s v="11"/>
    <s v="6100"/>
    <n v="12659.16"/>
    <n v="44.55"/>
    <s v="CREDITOR"/>
    <n v="0"/>
    <n v="0"/>
    <n v="0"/>
    <n v="0"/>
    <n v="44.55"/>
  </r>
  <r>
    <n v="59541029"/>
    <s v="N"/>
    <n v="21337717"/>
    <s v="3000013946150003"/>
    <s v="CIVIL"/>
    <d v="2023-06-27T00:00:00"/>
    <d v="2023-07-06T19:21:01"/>
    <m/>
    <d v="2023-07-06T00:00:00"/>
    <n v="1586"/>
    <n v="15796"/>
    <s v="59541029"/>
    <s v="59541029"/>
    <m/>
    <m/>
    <n v="22772024"/>
    <m/>
    <m/>
    <m/>
    <s v="SOLFIN"/>
    <s v="SOLFIN"/>
    <s v="CCMS"/>
    <n v="21337717"/>
    <n v="1714.78"/>
    <m/>
    <s v="N"/>
    <n v="9"/>
    <d v="2023-07-06T19:21:05"/>
    <s v="Y"/>
    <s v="Travel to court"/>
    <s v="Non Family Hourly Rates"/>
    <s v="Profit Cost"/>
    <s v="JS"/>
    <s v="Y"/>
    <n v="36.79"/>
    <n v="7.36"/>
    <x v="4"/>
    <s v="VALIDATED"/>
    <n v="1"/>
    <s v="01.11.80.208.6100.0000"/>
    <n v="36.79"/>
    <s v="11"/>
    <s v="6100"/>
    <n v="12659.16"/>
    <n v="36.79"/>
    <s v="CREDITOR"/>
    <n v="0"/>
    <n v="0"/>
    <n v="0"/>
    <n v="0"/>
    <n v="36.79"/>
  </r>
  <r>
    <n v="59635013"/>
    <s v="N"/>
    <n v="21338340"/>
    <s v="3000014025420005"/>
    <s v="CIVIL"/>
    <d v="2023-06-22T00:00:00"/>
    <d v="2023-07-06T19:21:01"/>
    <m/>
    <d v="2023-07-06T00:00:00"/>
    <n v="1586"/>
    <n v="15796"/>
    <s v="59635013"/>
    <s v="59635013"/>
    <m/>
    <m/>
    <n v="22745166"/>
    <m/>
    <m/>
    <m/>
    <s v="SOLFIN"/>
    <s v="SOLFIN"/>
    <s v="CCMS"/>
    <n v="21338340"/>
    <n v="9250.26"/>
    <m/>
    <s v="N"/>
    <n v="56"/>
    <d v="2023-07-06T19:21:20"/>
    <s v="Y"/>
    <s v="Preparation - other"/>
    <s v="Non Family Hourly Rates"/>
    <s v="Profit Cost"/>
    <s v="JS"/>
    <s v="Y"/>
    <n v="8.91"/>
    <n v="1.78"/>
    <x v="4"/>
    <s v="VALIDATED"/>
    <n v="1"/>
    <s v="01.11.80.210.6100.0000"/>
    <n v="8.91"/>
    <s v="11"/>
    <s v="6100"/>
    <n v="12659.16"/>
    <n v="8.91"/>
    <s v="CREDITOR"/>
    <n v="0"/>
    <n v="0"/>
    <n v="0"/>
    <n v="0"/>
    <n v="8.91"/>
  </r>
  <r>
    <n v="61977885"/>
    <s v="N"/>
    <n v="21323886"/>
    <s v="3000016023770002"/>
    <s v="CIVIL"/>
    <d v="2023-06-30T00:00:00"/>
    <d v="2023-07-03T19:05:56"/>
    <m/>
    <d v="2023-07-03T00:00:00"/>
    <n v="1586"/>
    <n v="15796"/>
    <s v="61977885"/>
    <s v="61977885"/>
    <m/>
    <m/>
    <n v="22798476"/>
    <m/>
    <m/>
    <m/>
    <s v="SOLPOA"/>
    <s v="SOLPOA"/>
    <s v="CCMS"/>
    <n v="21323886"/>
    <n v="108"/>
    <m/>
    <s v="N"/>
    <n v="1"/>
    <d v="2023-07-03T19:05:59"/>
    <s v="N"/>
    <s v="Non Expert Disbursement"/>
    <s v="Non Expert Disbursement"/>
    <s v="Non Expert Disbursement"/>
    <s v="HST"/>
    <s v="N"/>
    <n v="108"/>
    <n v="0"/>
    <x v="3"/>
    <s v="VALIDATED"/>
    <n v="1"/>
    <s v="01.11.80.208.2012.0000"/>
    <n v="108"/>
    <s v="11"/>
    <s v="2012"/>
    <n v="12659.16"/>
    <n v="108"/>
    <s v="CREDITOR"/>
    <n v="108"/>
    <n v="0"/>
    <n v="0"/>
    <n v="0"/>
    <n v="0"/>
  </r>
  <r>
    <n v="61768656"/>
    <s v="N"/>
    <n v="21323764"/>
    <s v="3000015846460003"/>
    <s v="CIVIL"/>
    <d v="2023-06-30T00:00:00"/>
    <d v="2023-07-03T19:05:56"/>
    <m/>
    <d v="2023-07-03T00:00:00"/>
    <n v="1586"/>
    <n v="15796"/>
    <s v="61768656"/>
    <s v="61768656"/>
    <m/>
    <m/>
    <n v="22798358"/>
    <m/>
    <m/>
    <m/>
    <s v="SOLPOA"/>
    <s v="SOLPOA"/>
    <s v="CCMS"/>
    <n v="21323764"/>
    <n v="167"/>
    <m/>
    <s v="N"/>
    <n v="1"/>
    <d v="2023-07-03T19:05:58"/>
    <s v="N"/>
    <s v="Non Expert Disbursement"/>
    <s v="Non Expert Disbursement"/>
    <s v="Non Expert Disbursement"/>
    <s v="MR"/>
    <s v="N"/>
    <n v="167"/>
    <n v="0"/>
    <x v="3"/>
    <s v="VALIDATED"/>
    <n v="1"/>
    <s v="01.11.80.308.2012.0000"/>
    <n v="167"/>
    <s v="11"/>
    <s v="2012"/>
    <n v="12659.16"/>
    <n v="167"/>
    <s v="CREDITOR"/>
    <n v="167"/>
    <n v="0"/>
    <n v="0"/>
    <n v="0"/>
    <n v="0"/>
  </r>
  <r>
    <n v="54248104"/>
    <s v="N"/>
    <n v="21350007"/>
    <s v="3000012922770007"/>
    <s v="CIVIL"/>
    <d v="2023-06-28T00:00:00"/>
    <d v="2023-07-10T19:01:40"/>
    <m/>
    <d v="2023-07-10T00:00:00"/>
    <n v="1586"/>
    <n v="15796"/>
    <s v="54248104"/>
    <s v="54248104"/>
    <m/>
    <m/>
    <n v="22779004"/>
    <m/>
    <m/>
    <m/>
    <s v="SOLFIN"/>
    <s v="SOLFIN"/>
    <s v="CCMS"/>
    <n v="21350007"/>
    <n v="4461.01"/>
    <m/>
    <s v="N"/>
    <n v="16"/>
    <d v="2023-07-10T19:02:09"/>
    <s v="Y"/>
    <s v="Preparation - drafting notice(s)"/>
    <s v="Non Family Hourly Rates"/>
    <s v="Profit Cost"/>
    <s v="JS"/>
    <s v="Y"/>
    <n v="13.37"/>
    <n v="2.67"/>
    <x v="2"/>
    <s v="VALIDATED"/>
    <n v="1"/>
    <s v="01.11.80.208.6100.0000"/>
    <n v="13.37"/>
    <s v="11"/>
    <s v="6100"/>
    <n v="12659.16"/>
    <n v="13.37"/>
    <s v="CREDITOR"/>
    <n v="0"/>
    <n v="0"/>
    <n v="0"/>
    <n v="0"/>
    <n v="13.37"/>
  </r>
  <r>
    <n v="54249002"/>
    <s v="N"/>
    <n v="21344014"/>
    <s v="3000012924670002"/>
    <s v="CIVIL"/>
    <d v="2023-06-28T00:00:00"/>
    <d v="2023-07-07T19:03:00"/>
    <m/>
    <d v="2023-07-07T00:00:00"/>
    <n v="1586"/>
    <n v="15796"/>
    <s v="54249002"/>
    <s v="54249002"/>
    <m/>
    <m/>
    <n v="22778978"/>
    <m/>
    <m/>
    <m/>
    <s v="SOLFIN"/>
    <s v="SOLFIN"/>
    <s v="CCMS"/>
    <n v="21344014"/>
    <n v="3560.34"/>
    <m/>
    <s v="N"/>
    <n v="13"/>
    <d v="2023-07-07T19:03:20"/>
    <s v="Y"/>
    <s v="Preparation - drafting notice(s)"/>
    <s v="Non Family Hourly Rates"/>
    <s v="Profit Cost"/>
    <s v="JS"/>
    <s v="Y"/>
    <n v="13.37"/>
    <n v="2.67"/>
    <x v="9"/>
    <s v="VALIDATED"/>
    <n v="1"/>
    <s v="01.11.80.208.6100.0000"/>
    <n v="13.37"/>
    <s v="11"/>
    <s v="6100"/>
    <n v="12659.16"/>
    <n v="13.37"/>
    <s v="CREDITOR"/>
    <n v="0"/>
    <n v="0"/>
    <n v="0"/>
    <n v="0"/>
    <n v="13.37"/>
  </r>
  <r>
    <n v="60553858"/>
    <s v="N"/>
    <n v="21343953"/>
    <s v="3000014821250002"/>
    <s v="CIVIL"/>
    <d v="2023-06-21T00:00:00"/>
    <d v="2023-07-07T19:03:00"/>
    <m/>
    <d v="2023-07-07T00:00:00"/>
    <n v="1586"/>
    <n v="15796"/>
    <s v="60553858"/>
    <s v="60553858"/>
    <m/>
    <m/>
    <n v="22733756"/>
    <m/>
    <m/>
    <m/>
    <s v="SOLFIN"/>
    <s v="SOLFIN"/>
    <s v="CCMS"/>
    <n v="21343953"/>
    <n v="3978.67"/>
    <m/>
    <s v="N"/>
    <n v="39"/>
    <d v="2023-07-07T19:03:18"/>
    <s v="Y"/>
    <s v="Routine Telephone Call"/>
    <s v="Non Family Hourly Rates"/>
    <s v="Profit Cost"/>
    <s v="BT"/>
    <s v="Y"/>
    <n v="6.58"/>
    <n v="1.32"/>
    <x v="9"/>
    <s v="VALIDATED"/>
    <n v="1"/>
    <s v="01.11.80.210.6100.0000"/>
    <n v="6.58"/>
    <s v="11"/>
    <s v="6100"/>
    <n v="12659.16"/>
    <n v="6.58"/>
    <s v="CREDITOR"/>
    <n v="0"/>
    <n v="0"/>
    <n v="0"/>
    <n v="0"/>
    <n v="6.58"/>
  </r>
  <r>
    <n v="60553858"/>
    <s v="N"/>
    <n v="21343953"/>
    <s v="3000014821250002"/>
    <s v="CIVIL"/>
    <d v="2023-06-21T00:00:00"/>
    <d v="2023-07-07T19:03:00"/>
    <m/>
    <d v="2023-07-07T00:00:00"/>
    <n v="1586"/>
    <n v="15796"/>
    <s v="60553858"/>
    <s v="60553858"/>
    <m/>
    <m/>
    <n v="22733756"/>
    <m/>
    <m/>
    <m/>
    <s v="SOLFIN"/>
    <s v="SOLFIN"/>
    <s v="CCMS"/>
    <n v="21343953"/>
    <n v="3978.67"/>
    <m/>
    <s v="N"/>
    <n v="21"/>
    <d v="2023-07-07T19:03:18"/>
    <s v="Y"/>
    <s v="Preparation - other"/>
    <s v="Non Family Hourly Rates"/>
    <s v="Profit Cost"/>
    <s v="NP"/>
    <s v="Y"/>
    <n v="5.94"/>
    <n v="1.19"/>
    <x v="9"/>
    <s v="VALIDATED"/>
    <n v="1"/>
    <s v="01.11.80.210.6100.0000"/>
    <n v="5.94"/>
    <s v="11"/>
    <s v="6100"/>
    <n v="12659.16"/>
    <n v="5.94"/>
    <s v="CREDITOR"/>
    <n v="0"/>
    <n v="0"/>
    <n v="0"/>
    <n v="0"/>
    <n v="5.94"/>
  </r>
  <r>
    <n v="60553858"/>
    <s v="N"/>
    <n v="21343953"/>
    <s v="3000014821250002"/>
    <s v="CIVIL"/>
    <d v="2023-06-21T00:00:00"/>
    <d v="2023-07-07T19:03:00"/>
    <m/>
    <d v="2023-07-07T00:00:00"/>
    <n v="1586"/>
    <n v="15796"/>
    <s v="60553858"/>
    <s v="60553858"/>
    <m/>
    <m/>
    <n v="22733756"/>
    <m/>
    <m/>
    <m/>
    <s v="SOLFIN"/>
    <s v="SOLFIN"/>
    <s v="CCMS"/>
    <n v="21343953"/>
    <n v="3978.67"/>
    <m/>
    <s v="N"/>
    <n v="34"/>
    <d v="2023-07-07T19:03:18"/>
    <s v="Y"/>
    <s v="Preparation - drafting consent orde"/>
    <s v="Non Family Hourly Rates"/>
    <s v="Profit Cost"/>
    <s v="BT"/>
    <s v="Y"/>
    <n v="17.82"/>
    <n v="3.56"/>
    <x v="9"/>
    <s v="VALIDATED"/>
    <n v="1"/>
    <s v="01.11.80.210.6100.0000"/>
    <n v="17.82"/>
    <s v="11"/>
    <s v="6100"/>
    <n v="12659.16"/>
    <n v="17.82"/>
    <s v="CREDITOR"/>
    <n v="0"/>
    <n v="0"/>
    <n v="0"/>
    <n v="0"/>
    <n v="17.82"/>
  </r>
  <r>
    <n v="59635013"/>
    <s v="N"/>
    <n v="21338340"/>
    <s v="3000014025420005"/>
    <s v="CIVIL"/>
    <d v="2023-06-22T00:00:00"/>
    <d v="2023-07-06T19:21:01"/>
    <m/>
    <d v="2023-07-06T00:00:00"/>
    <n v="1586"/>
    <n v="15796"/>
    <s v="59635013"/>
    <s v="59635013"/>
    <m/>
    <m/>
    <n v="22745166"/>
    <m/>
    <m/>
    <m/>
    <s v="SOLFIN"/>
    <s v="SOLFIN"/>
    <s v="CCMS"/>
    <n v="21338340"/>
    <n v="9250.26"/>
    <m/>
    <s v="N"/>
    <n v="25"/>
    <d v="2023-07-06T19:21:20"/>
    <s v="Y"/>
    <s v="Preparation - other"/>
    <s v="Non Family Hourly Rates"/>
    <s v="Profit Cost"/>
    <s v="JS"/>
    <s v="Y"/>
    <n v="11.88"/>
    <n v="2.38"/>
    <x v="4"/>
    <s v="VALIDATED"/>
    <n v="1"/>
    <s v="01.11.80.210.6100.0000"/>
    <n v="11.88"/>
    <s v="11"/>
    <s v="6100"/>
    <n v="12659.16"/>
    <n v="11.88"/>
    <s v="CREDITOR"/>
    <n v="0"/>
    <n v="0"/>
    <n v="0"/>
    <n v="0"/>
    <n v="11.88"/>
  </r>
  <r>
    <n v="59635013"/>
    <s v="N"/>
    <n v="21338340"/>
    <s v="3000014025420005"/>
    <s v="CIVIL"/>
    <d v="2023-06-22T00:00:00"/>
    <d v="2023-07-06T19:21:01"/>
    <m/>
    <d v="2023-07-06T00:00:00"/>
    <n v="1586"/>
    <n v="15796"/>
    <s v="59635013"/>
    <s v="59635013"/>
    <m/>
    <m/>
    <n v="22745166"/>
    <m/>
    <m/>
    <m/>
    <s v="SOLFIN"/>
    <s v="SOLFIN"/>
    <s v="CCMS"/>
    <n v="21338340"/>
    <n v="9250.26"/>
    <m/>
    <s v="N"/>
    <n v="74"/>
    <d v="2023-07-06T19:21:20"/>
    <s v="Y"/>
    <s v="Preparation - drafting bill/claim f"/>
    <s v="Non Family Hourly Rates"/>
    <s v="Profit Cost"/>
    <s v="JS"/>
    <s v="Y"/>
    <n v="17.82"/>
    <n v="3.56"/>
    <x v="4"/>
    <s v="VALIDATED"/>
    <n v="1"/>
    <s v="01.11.80.210.6100.0000"/>
    <n v="17.82"/>
    <s v="11"/>
    <s v="6100"/>
    <n v="12659.16"/>
    <n v="17.82"/>
    <s v="CREDITOR"/>
    <n v="0"/>
    <n v="0"/>
    <n v="0"/>
    <n v="0"/>
    <n v="17.82"/>
  </r>
  <r>
    <n v="59635013"/>
    <s v="N"/>
    <n v="21338340"/>
    <s v="3000014025420005"/>
    <s v="CIVIL"/>
    <d v="2023-06-22T00:00:00"/>
    <d v="2023-07-06T19:21:01"/>
    <m/>
    <d v="2023-07-06T00:00:00"/>
    <n v="1586"/>
    <n v="15796"/>
    <s v="59635013"/>
    <s v="59635013"/>
    <m/>
    <m/>
    <n v="22745166"/>
    <m/>
    <m/>
    <m/>
    <s v="SOLFIN"/>
    <s v="SOLFIN"/>
    <s v="CCMS"/>
    <n v="21338340"/>
    <n v="9250.26"/>
    <m/>
    <s v="N"/>
    <n v="6"/>
    <d v="2023-07-06T19:21:20"/>
    <s v="Y"/>
    <s v="Preparation - other"/>
    <s v="Non Family Hourly Rates"/>
    <s v="Profit Cost"/>
    <s v="JS"/>
    <s v="Y"/>
    <n v="35.64"/>
    <n v="7.13"/>
    <x v="4"/>
    <s v="VALIDATED"/>
    <n v="1"/>
    <s v="01.11.80.210.6100.0000"/>
    <n v="35.64"/>
    <s v="11"/>
    <s v="6100"/>
    <n v="12659.16"/>
    <n v="35.64"/>
    <s v="CREDITOR"/>
    <n v="0"/>
    <n v="0"/>
    <n v="0"/>
    <n v="0"/>
    <n v="35.64"/>
  </r>
  <r>
    <n v="54248104"/>
    <s v="N"/>
    <n v="21350007"/>
    <s v="3000012922770007"/>
    <s v="CIVIL"/>
    <d v="2023-06-28T00:00:00"/>
    <d v="2023-07-10T19:01:40"/>
    <m/>
    <d v="2023-07-10T00:00:00"/>
    <n v="1586"/>
    <n v="15796"/>
    <s v="54248104"/>
    <s v="54248104"/>
    <m/>
    <m/>
    <n v="22779004"/>
    <m/>
    <m/>
    <m/>
    <s v="SOLFIN"/>
    <s v="SOLFIN"/>
    <s v="CCMS"/>
    <n v="21350007"/>
    <n v="4461.01"/>
    <m/>
    <s v="N"/>
    <n v="4"/>
    <d v="2023-07-10T19:02:09"/>
    <s v="Y"/>
    <s v="Attendance upon client"/>
    <s v="Non Family Hourly Rates"/>
    <s v="Profit Cost"/>
    <s v="JS"/>
    <s v="Y"/>
    <n v="22.28"/>
    <n v="4.46"/>
    <x v="2"/>
    <s v="VALIDATED"/>
    <n v="1"/>
    <s v="01.11.80.208.6100.0000"/>
    <n v="22.28"/>
    <s v="11"/>
    <s v="6100"/>
    <n v="12659.16"/>
    <n v="22.28"/>
    <s v="CREDITOR"/>
    <n v="0"/>
    <n v="0"/>
    <n v="0"/>
    <n v="0"/>
    <n v="22.28"/>
  </r>
  <r>
    <n v="60553858"/>
    <s v="N"/>
    <n v="21343953"/>
    <s v="3000014821250002"/>
    <s v="CIVIL"/>
    <d v="2023-06-21T00:00:00"/>
    <d v="2023-07-07T19:03:00"/>
    <m/>
    <d v="2023-07-07T00:00:00"/>
    <n v="1586"/>
    <n v="15796"/>
    <s v="60553858"/>
    <s v="60553858"/>
    <m/>
    <m/>
    <n v="22733756"/>
    <m/>
    <m/>
    <m/>
    <s v="SOLFIN"/>
    <s v="SOLFIN"/>
    <s v="CCMS"/>
    <n v="21343953"/>
    <n v="3978.67"/>
    <m/>
    <s v="N"/>
    <n v="17"/>
    <d v="2023-07-07T19:03:18"/>
    <s v="Y"/>
    <s v="Advocacy - Other Hearing"/>
    <s v="Non Family Hourly Rates"/>
    <s v="Advocacy"/>
    <s v="NP"/>
    <s v="Y"/>
    <n v="17.82"/>
    <n v="3.56"/>
    <x v="9"/>
    <s v="VALIDATED"/>
    <n v="1"/>
    <s v="01.11.80.210.6100.0000"/>
    <n v="17.82"/>
    <s v="11"/>
    <s v="6100"/>
    <n v="12659.16"/>
    <n v="17.82"/>
    <s v="CREDITOR"/>
    <n v="0"/>
    <n v="0"/>
    <n v="0"/>
    <n v="0"/>
    <n v="17.82"/>
  </r>
  <r>
    <n v="60553858"/>
    <s v="N"/>
    <n v="21343953"/>
    <s v="3000014821250002"/>
    <s v="CIVIL"/>
    <d v="2023-06-21T00:00:00"/>
    <d v="2023-07-07T19:03:00"/>
    <m/>
    <d v="2023-07-07T00:00:00"/>
    <n v="1586"/>
    <n v="15796"/>
    <s v="60553858"/>
    <s v="60553858"/>
    <m/>
    <m/>
    <n v="22733756"/>
    <m/>
    <m/>
    <m/>
    <s v="SOLFIN"/>
    <s v="SOLFIN"/>
    <s v="CCMS"/>
    <n v="21343953"/>
    <n v="3978.67"/>
    <m/>
    <s v="N"/>
    <n v="29"/>
    <d v="2023-07-07T19:03:18"/>
    <s v="Y"/>
    <s v="Attendance upon client"/>
    <s v="Non Family Hourly Rates"/>
    <s v="Profit Cost"/>
    <s v="BT"/>
    <s v="Y"/>
    <n v="71.28"/>
    <n v="14.26"/>
    <x v="9"/>
    <s v="VALIDATED"/>
    <n v="1"/>
    <s v="01.11.80.210.6100.0000"/>
    <n v="71.28"/>
    <s v="11"/>
    <s v="6100"/>
    <n v="12659.16"/>
    <n v="71.28"/>
    <s v="CREDITOR"/>
    <n v="0"/>
    <n v="0"/>
    <n v="0"/>
    <n v="0"/>
    <n v="71.28"/>
  </r>
  <r>
    <n v="56440931"/>
    <s v="N"/>
    <n v="21338241"/>
    <s v="3000013433190002"/>
    <s v="CIVIL"/>
    <d v="2023-06-26T00:00:00"/>
    <d v="2023-07-06T19:21:01"/>
    <m/>
    <d v="2023-07-06T00:00:00"/>
    <n v="1586"/>
    <n v="15796"/>
    <s v="56440931"/>
    <s v="56440931"/>
    <m/>
    <m/>
    <n v="22762082"/>
    <m/>
    <m/>
    <m/>
    <s v="SOLFIN"/>
    <s v="SOLFIN"/>
    <s v="CCMS"/>
    <n v="21338241"/>
    <n v="2471.98"/>
    <m/>
    <s v="N"/>
    <n v="24"/>
    <d v="2023-07-06T19:21:13"/>
    <s v="Y"/>
    <s v="Travel to court"/>
    <s v="Non Family Hourly Rates"/>
    <s v="Profit Cost"/>
    <s v="NP"/>
    <s v="Y"/>
    <n v="5.26"/>
    <n v="1.05"/>
    <x v="4"/>
    <s v="VALIDATED"/>
    <n v="1"/>
    <s v="01.11.80.210.6100.0000"/>
    <n v="5.26"/>
    <s v="11"/>
    <s v="6100"/>
    <n v="12659.16"/>
    <n v="5.26"/>
    <s v="CREDITOR"/>
    <n v="0"/>
    <n v="0"/>
    <n v="0"/>
    <n v="0"/>
    <n v="5.26"/>
  </r>
  <r>
    <n v="59635013"/>
    <s v="N"/>
    <n v="21338340"/>
    <s v="3000014025420005"/>
    <s v="CIVIL"/>
    <d v="2023-06-22T00:00:00"/>
    <d v="2023-07-06T19:21:01"/>
    <m/>
    <d v="2023-07-06T00:00:00"/>
    <n v="1586"/>
    <n v="15796"/>
    <s v="59635013"/>
    <s v="59635013"/>
    <m/>
    <m/>
    <n v="22745166"/>
    <m/>
    <m/>
    <m/>
    <s v="SOLFIN"/>
    <s v="SOLFIN"/>
    <s v="CCMS"/>
    <n v="21338340"/>
    <n v="9250.26"/>
    <m/>
    <s v="N"/>
    <n v="16"/>
    <d v="2023-07-06T19:21:20"/>
    <s v="Y"/>
    <s v="Attendance upon other side"/>
    <s v="Non Family Hourly Rates"/>
    <s v="Profit Cost"/>
    <s v="JS"/>
    <s v="Y"/>
    <n v="26.73"/>
    <n v="5.35"/>
    <x v="4"/>
    <s v="VALIDATED"/>
    <n v="1"/>
    <s v="01.11.80.210.6100.0000"/>
    <n v="26.73"/>
    <s v="11"/>
    <s v="6100"/>
    <n v="12659.16"/>
    <n v="26.73"/>
    <s v="CREDITOR"/>
    <n v="0"/>
    <n v="0"/>
    <n v="0"/>
    <n v="0"/>
    <n v="26.73"/>
  </r>
  <r>
    <n v="59635013"/>
    <s v="N"/>
    <n v="21338340"/>
    <s v="3000014025420005"/>
    <s v="CIVIL"/>
    <d v="2023-06-22T00:00:00"/>
    <d v="2023-07-06T19:21:01"/>
    <m/>
    <d v="2023-07-06T00:00:00"/>
    <n v="1586"/>
    <n v="15796"/>
    <s v="59635013"/>
    <s v="59635013"/>
    <m/>
    <m/>
    <n v="22745166"/>
    <m/>
    <m/>
    <m/>
    <s v="SOLFIN"/>
    <s v="SOLFIN"/>
    <s v="CCMS"/>
    <n v="21338340"/>
    <n v="9250.26"/>
    <m/>
    <s v="N"/>
    <n v="29"/>
    <d v="2023-07-06T19:21:20"/>
    <s v="Y"/>
    <s v="Preparation - other"/>
    <s v="Non Family Hourly Rates"/>
    <s v="Profit Cost"/>
    <s v="JS"/>
    <s v="Y"/>
    <n v="784.08"/>
    <n v="156.82"/>
    <x v="4"/>
    <s v="VALIDATED"/>
    <n v="1"/>
    <s v="01.11.80.210.6100.0000"/>
    <n v="784.08"/>
    <s v="11"/>
    <s v="6100"/>
    <n v="12659.16"/>
    <n v="784.08"/>
    <s v="CREDITOR"/>
    <n v="0"/>
    <n v="0"/>
    <n v="0"/>
    <n v="0"/>
    <n v="784.08"/>
  </r>
  <r>
    <n v="62068068"/>
    <s v="N"/>
    <n v="21328196"/>
    <s v="3000016100360001"/>
    <s v="CIVIL"/>
    <d v="2023-06-19T00:00:00"/>
    <d v="2023-07-04T19:00:44"/>
    <m/>
    <d v="2023-07-04T00:00:00"/>
    <n v="1586"/>
    <n v="15796"/>
    <s v="62068068"/>
    <s v="62068068"/>
    <m/>
    <m/>
    <n v="22716562"/>
    <m/>
    <m/>
    <m/>
    <s v="SOLFIN"/>
    <s v="SOLFIN"/>
    <s v="CCMS"/>
    <n v="21328196"/>
    <n v="0"/>
    <m/>
    <s v="N"/>
    <n v="1"/>
    <d v="2023-07-04T19:01:07"/>
    <s v="N"/>
    <s v="NIL BILL"/>
    <s v="Non Family Hourly Rates"/>
    <s v="Profit Cost"/>
    <s v="BET"/>
    <s v="N"/>
    <n v="0"/>
    <n v="0"/>
    <x v="1"/>
    <s v="VALIDATED"/>
    <n v="1"/>
    <s v="01.11.80.208.6100.0000"/>
    <n v="0"/>
    <s v="11"/>
    <s v="6100"/>
    <n v="12659.16"/>
    <n v="0"/>
    <s v="CREDITOR"/>
    <n v="0"/>
    <n v="0"/>
    <n v="0"/>
    <n v="0"/>
    <n v="0"/>
  </r>
  <r>
    <n v="54248104"/>
    <s v="N"/>
    <n v="21350007"/>
    <s v="3000012922770007"/>
    <s v="CIVIL"/>
    <d v="2023-06-28T00:00:00"/>
    <d v="2023-07-10T19:01:40"/>
    <m/>
    <d v="2023-07-10T00:00:00"/>
    <n v="1586"/>
    <n v="15796"/>
    <s v="54248104"/>
    <s v="54248104"/>
    <m/>
    <m/>
    <n v="22779004"/>
    <m/>
    <m/>
    <m/>
    <s v="SOLFIN"/>
    <s v="SOLFIN"/>
    <s v="CCMS"/>
    <n v="21350007"/>
    <n v="4461.01"/>
    <m/>
    <s v="N"/>
    <n v="65"/>
    <d v="2023-07-10T19:02:09"/>
    <s v="Y"/>
    <s v="Preparation - drafting bill/claim f"/>
    <s v="Non Family Hourly Rates"/>
    <s v="Profit Cost"/>
    <s v="CD"/>
    <s v="Y"/>
    <n v="196.02"/>
    <n v="39.21"/>
    <x v="2"/>
    <s v="VALIDATED"/>
    <n v="1"/>
    <s v="01.11.80.208.6100.0000"/>
    <n v="196.02"/>
    <s v="11"/>
    <s v="6100"/>
    <n v="12659.16"/>
    <n v="196.02"/>
    <s v="CREDITOR"/>
    <n v="0"/>
    <n v="0"/>
    <n v="0"/>
    <n v="0"/>
    <n v="196.02"/>
  </r>
  <r>
    <n v="54248104"/>
    <s v="N"/>
    <n v="21350007"/>
    <s v="3000012922770007"/>
    <s v="CIVIL"/>
    <d v="2023-06-28T00:00:00"/>
    <d v="2023-07-10T19:01:40"/>
    <m/>
    <d v="2023-07-10T00:00:00"/>
    <n v="1586"/>
    <n v="15796"/>
    <s v="54248104"/>
    <s v="54248104"/>
    <m/>
    <m/>
    <n v="22779004"/>
    <m/>
    <m/>
    <m/>
    <s v="SOLFIN"/>
    <s v="SOLFIN"/>
    <s v="CCMS"/>
    <n v="21350007"/>
    <n v="4461.01"/>
    <m/>
    <s v="N"/>
    <n v="32"/>
    <d v="2023-07-10T19:02:09"/>
    <s v="Y"/>
    <s v="Advocacy - Directions Hearing"/>
    <s v="Non Family Hourly Rates"/>
    <s v="Advocacy"/>
    <s v="JS"/>
    <s v="Y"/>
    <n v="66.83"/>
    <n v="13.37"/>
    <x v="2"/>
    <s v="VALIDATED"/>
    <n v="1"/>
    <s v="01.11.80.208.6100.0000"/>
    <n v="66.83"/>
    <s v="11"/>
    <s v="6100"/>
    <n v="12659.16"/>
    <n v="66.83"/>
    <s v="CREDITOR"/>
    <n v="0"/>
    <n v="0"/>
    <n v="0"/>
    <n v="0"/>
    <n v="66.83"/>
  </r>
  <r>
    <n v="54249002"/>
    <s v="N"/>
    <n v="21344014"/>
    <s v="3000012924670002"/>
    <s v="CIVIL"/>
    <d v="2023-06-28T00:00:00"/>
    <d v="2023-07-07T19:03:00"/>
    <m/>
    <d v="2023-07-07T00:00:00"/>
    <n v="1586"/>
    <n v="15796"/>
    <s v="54249002"/>
    <s v="54249002"/>
    <m/>
    <m/>
    <n v="22778978"/>
    <m/>
    <m/>
    <m/>
    <s v="SOLFIN"/>
    <s v="SOLFIN"/>
    <s v="CCMS"/>
    <n v="21344014"/>
    <n v="3560.34"/>
    <m/>
    <s v="N"/>
    <n v="27"/>
    <d v="2023-07-07T19:03:20"/>
    <s v="Y"/>
    <s v="Preparation - other"/>
    <s v="Non Family Hourly Rates"/>
    <s v="Profit Cost"/>
    <s v="JS"/>
    <s v="Y"/>
    <n v="44.55"/>
    <n v="8.91"/>
    <x v="9"/>
    <s v="VALIDATED"/>
    <n v="1"/>
    <s v="01.11.80.208.6100.0000"/>
    <n v="44.55"/>
    <s v="11"/>
    <s v="6100"/>
    <n v="12659.16"/>
    <n v="44.55"/>
    <s v="CREDITOR"/>
    <n v="0"/>
    <n v="0"/>
    <n v="0"/>
    <n v="0"/>
    <n v="44.55"/>
  </r>
  <r>
    <n v="54249002"/>
    <s v="N"/>
    <n v="21344014"/>
    <s v="3000012924670002"/>
    <s v="CIVIL"/>
    <d v="2023-06-28T00:00:00"/>
    <d v="2023-07-07T19:03:00"/>
    <m/>
    <d v="2023-07-07T00:00:00"/>
    <n v="1586"/>
    <n v="15796"/>
    <s v="54249002"/>
    <s v="54249002"/>
    <m/>
    <m/>
    <n v="22778978"/>
    <m/>
    <m/>
    <m/>
    <s v="SOLFIN"/>
    <s v="SOLFIN"/>
    <s v="CCMS"/>
    <n v="21344014"/>
    <n v="3560.34"/>
    <m/>
    <s v="N"/>
    <n v="28"/>
    <d v="2023-07-07T19:03:20"/>
    <s v="Y"/>
    <s v="Report - other expert's report"/>
    <s v="Non Family Hourly Rates"/>
    <s v="Profit Cost"/>
    <s v="JS"/>
    <s v="Y"/>
    <n v="13.37"/>
    <n v="2.67"/>
    <x v="9"/>
    <s v="VALIDATED"/>
    <n v="1"/>
    <s v="01.11.80.208.6100.0000"/>
    <n v="13.37"/>
    <s v="11"/>
    <s v="6100"/>
    <n v="12659.16"/>
    <n v="13.37"/>
    <s v="CREDITOR"/>
    <n v="0"/>
    <n v="0"/>
    <n v="0"/>
    <n v="0"/>
    <n v="13.37"/>
  </r>
  <r>
    <n v="54249002"/>
    <s v="N"/>
    <n v="21344014"/>
    <s v="3000012924670002"/>
    <s v="CIVIL"/>
    <d v="2023-06-28T00:00:00"/>
    <d v="2023-07-07T19:03:00"/>
    <m/>
    <d v="2023-07-07T00:00:00"/>
    <n v="1586"/>
    <n v="15796"/>
    <s v="54249002"/>
    <s v="54249002"/>
    <m/>
    <m/>
    <n v="22778978"/>
    <m/>
    <m/>
    <m/>
    <s v="SOLFIN"/>
    <s v="SOLFIN"/>
    <s v="CCMS"/>
    <n v="21344014"/>
    <n v="3560.34"/>
    <m/>
    <s v="N"/>
    <n v="47"/>
    <d v="2023-07-07T19:03:20"/>
    <s v="Y"/>
    <s v="Preparation - other"/>
    <s v="Non Family Hourly Rates"/>
    <s v="Profit Cost"/>
    <s v="BT"/>
    <s v="Y"/>
    <n v="11.88"/>
    <n v="2.38"/>
    <x v="9"/>
    <s v="VALIDATED"/>
    <n v="1"/>
    <s v="01.11.80.208.6100.0000"/>
    <n v="11.88"/>
    <s v="11"/>
    <s v="6100"/>
    <n v="12659.16"/>
    <n v="11.88"/>
    <s v="CREDITOR"/>
    <n v="0"/>
    <n v="0"/>
    <n v="0"/>
    <n v="0"/>
    <n v="11.88"/>
  </r>
  <r>
    <n v="59541029"/>
    <s v="N"/>
    <n v="21337717"/>
    <s v="3000013946150003"/>
    <s v="CIVIL"/>
    <d v="2023-06-27T00:00:00"/>
    <d v="2023-07-06T19:21:01"/>
    <m/>
    <d v="2023-07-06T00:00:00"/>
    <n v="1586"/>
    <n v="15796"/>
    <s v="59541029"/>
    <s v="59541029"/>
    <m/>
    <m/>
    <n v="22772024"/>
    <m/>
    <m/>
    <m/>
    <s v="SOLFIN"/>
    <s v="SOLFIN"/>
    <s v="CCMS"/>
    <n v="21337717"/>
    <n v="1714.78"/>
    <m/>
    <s v="N"/>
    <n v="6"/>
    <d v="2023-07-06T19:21:05"/>
    <s v="Y"/>
    <s v="Preparation - drafting application"/>
    <s v="Non Family Hourly Rates"/>
    <s v="Profit Cost"/>
    <s v="JS"/>
    <s v="Y"/>
    <n v="35.64"/>
    <n v="7.13"/>
    <x v="4"/>
    <s v="VALIDATED"/>
    <n v="1"/>
    <s v="01.11.80.208.6100.0000"/>
    <n v="35.64"/>
    <s v="11"/>
    <s v="6100"/>
    <n v="12659.16"/>
    <n v="35.64"/>
    <s v="CREDITOR"/>
    <n v="0"/>
    <n v="0"/>
    <n v="0"/>
    <n v="0"/>
    <n v="35.64"/>
  </r>
  <r>
    <n v="59635013"/>
    <s v="N"/>
    <n v="21338340"/>
    <s v="3000014025420005"/>
    <s v="CIVIL"/>
    <d v="2023-06-22T00:00:00"/>
    <d v="2023-07-06T19:21:01"/>
    <m/>
    <d v="2023-07-06T00:00:00"/>
    <n v="1586"/>
    <n v="15796"/>
    <s v="59635013"/>
    <s v="59635013"/>
    <m/>
    <m/>
    <n v="22745166"/>
    <m/>
    <m/>
    <m/>
    <s v="SOLFIN"/>
    <s v="SOLFIN"/>
    <s v="CCMS"/>
    <n v="21338340"/>
    <n v="9250.26"/>
    <m/>
    <s v="N"/>
    <n v="19"/>
    <d v="2023-07-06T19:21:20"/>
    <s v="Y"/>
    <s v="Travel to court"/>
    <s v="Non Family Hourly Rates"/>
    <s v="Profit Cost"/>
    <s v="JS"/>
    <s v="Y"/>
    <n v="36.79"/>
    <n v="7.36"/>
    <x v="4"/>
    <s v="VALIDATED"/>
    <n v="1"/>
    <s v="01.11.80.210.6100.0000"/>
    <n v="36.79"/>
    <s v="11"/>
    <s v="6100"/>
    <n v="12659.16"/>
    <n v="36.79"/>
    <s v="CREDITOR"/>
    <n v="0"/>
    <n v="0"/>
    <n v="0"/>
    <n v="0"/>
    <n v="36.79"/>
  </r>
  <r>
    <n v="59635013"/>
    <s v="N"/>
    <n v="21338340"/>
    <s v="3000014025420005"/>
    <s v="CIVIL"/>
    <d v="2023-06-22T00:00:00"/>
    <d v="2023-07-06T19:21:01"/>
    <m/>
    <d v="2023-07-06T00:00:00"/>
    <n v="1586"/>
    <n v="15796"/>
    <s v="59635013"/>
    <s v="59635013"/>
    <m/>
    <m/>
    <n v="22745166"/>
    <m/>
    <m/>
    <m/>
    <s v="SOLFIN"/>
    <s v="SOLFIN"/>
    <s v="CCMS"/>
    <n v="21338340"/>
    <n v="9250.26"/>
    <m/>
    <s v="N"/>
    <n v="42"/>
    <d v="2023-07-06T19:21:20"/>
    <s v="Y"/>
    <s v="Preparation - other"/>
    <s v="Non Family Hourly Rates"/>
    <s v="Profit Cost"/>
    <s v="JS"/>
    <s v="Y"/>
    <n v="5.94"/>
    <n v="1.19"/>
    <x v="4"/>
    <s v="VALIDATED"/>
    <n v="1"/>
    <s v="01.11.80.210.6100.0000"/>
    <n v="5.94"/>
    <s v="11"/>
    <s v="6100"/>
    <n v="12659.16"/>
    <n v="5.94"/>
    <s v="CREDITOR"/>
    <n v="0"/>
    <n v="0"/>
    <n v="0"/>
    <n v="0"/>
    <n v="5.94"/>
  </r>
  <r>
    <n v="59635013"/>
    <s v="N"/>
    <n v="21338340"/>
    <s v="3000014025420005"/>
    <s v="CIVIL"/>
    <d v="2023-06-22T00:00:00"/>
    <d v="2023-07-06T19:21:01"/>
    <m/>
    <d v="2023-07-06T00:00:00"/>
    <n v="1586"/>
    <n v="15796"/>
    <s v="59635013"/>
    <s v="59635013"/>
    <m/>
    <m/>
    <n v="22745166"/>
    <m/>
    <m/>
    <m/>
    <s v="SOLFIN"/>
    <s v="SOLFIN"/>
    <s v="CCMS"/>
    <n v="21338340"/>
    <n v="9250.26"/>
    <m/>
    <s v="N"/>
    <n v="54"/>
    <d v="2023-07-06T19:21:20"/>
    <s v="Y"/>
    <s v="Attendance upon client"/>
    <s v="Non Family Hourly Rates"/>
    <s v="Profit Cost"/>
    <s v="JS"/>
    <s v="Y"/>
    <n v="17.82"/>
    <n v="3.56"/>
    <x v="4"/>
    <s v="VALIDATED"/>
    <n v="1"/>
    <s v="01.11.80.210.6100.0000"/>
    <n v="17.82"/>
    <s v="11"/>
    <s v="6100"/>
    <n v="12659.16"/>
    <n v="17.82"/>
    <s v="CREDITOR"/>
    <n v="0"/>
    <n v="0"/>
    <n v="0"/>
    <n v="0"/>
    <n v="17.82"/>
  </r>
  <r>
    <n v="54249002"/>
    <s v="N"/>
    <n v="21344014"/>
    <s v="3000012924670002"/>
    <s v="CIVIL"/>
    <d v="2023-06-28T00:00:00"/>
    <d v="2023-07-07T19:03:00"/>
    <m/>
    <d v="2023-07-07T00:00:00"/>
    <n v="1586"/>
    <n v="15796"/>
    <s v="54249002"/>
    <s v="54249002"/>
    <m/>
    <m/>
    <n v="22778978"/>
    <m/>
    <m/>
    <m/>
    <s v="SOLFIN"/>
    <s v="SOLFIN"/>
    <s v="CCMS"/>
    <n v="21344014"/>
    <n v="3560.34"/>
    <m/>
    <s v="N"/>
    <n v="2"/>
    <d v="2023-07-07T19:03:20"/>
    <s v="Y"/>
    <s v="Preparation - drafting pleadings"/>
    <s v="Non Family Hourly Rates"/>
    <s v="Profit Cost"/>
    <s v="JS"/>
    <s v="Y"/>
    <n v="44.55"/>
    <n v="8.91"/>
    <x v="9"/>
    <s v="VALIDATED"/>
    <n v="1"/>
    <s v="01.11.80.208.6100.0000"/>
    <n v="44.55"/>
    <s v="11"/>
    <s v="6100"/>
    <n v="12659.16"/>
    <n v="44.55"/>
    <s v="CREDITOR"/>
    <n v="0"/>
    <n v="0"/>
    <n v="0"/>
    <n v="0"/>
    <n v="44.55"/>
  </r>
  <r>
    <n v="56440931"/>
    <s v="N"/>
    <n v="21338241"/>
    <s v="3000013433190002"/>
    <s v="CIVIL"/>
    <d v="2023-06-26T00:00:00"/>
    <d v="2023-07-06T19:21:01"/>
    <m/>
    <d v="2023-07-06T00:00:00"/>
    <n v="1586"/>
    <n v="15796"/>
    <s v="56440931"/>
    <s v="56440931"/>
    <m/>
    <m/>
    <n v="22762082"/>
    <m/>
    <m/>
    <m/>
    <s v="SOLFIN"/>
    <s v="SOLFIN"/>
    <s v="CCMS"/>
    <n v="21338241"/>
    <n v="2471.98"/>
    <m/>
    <s v="N"/>
    <n v="15"/>
    <d v="2023-07-06T19:21:13"/>
    <s v="Y"/>
    <s v="Preparation - drafting consent orde"/>
    <s v="Non Family Hourly Rates"/>
    <s v="Profit Cost"/>
    <s v="JOS"/>
    <s v="Y"/>
    <n v="22.28"/>
    <n v="4.46"/>
    <x v="4"/>
    <s v="VALIDATED"/>
    <n v="1"/>
    <s v="01.11.80.210.6100.0000"/>
    <n v="22.28"/>
    <s v="11"/>
    <s v="6100"/>
    <n v="12659.16"/>
    <n v="22.28"/>
    <s v="CREDITOR"/>
    <n v="0"/>
    <n v="0"/>
    <n v="0"/>
    <n v="0"/>
    <n v="22.28"/>
  </r>
  <r>
    <n v="10087452"/>
    <s v="N"/>
    <n v="21391928"/>
    <s v="3000005965680003"/>
    <s v="CIVIL"/>
    <d v="2023-06-28T00:00:00"/>
    <d v="2023-07-18T19:00:27"/>
    <m/>
    <d v="2023-07-18T00:00:00"/>
    <n v="1586"/>
    <n v="15796"/>
    <s v="10087452"/>
    <s v="10087452"/>
    <m/>
    <m/>
    <n v="22777604"/>
    <m/>
    <m/>
    <m/>
    <s v="SOLFIN"/>
    <s v="SOLFIN"/>
    <s v="CCMS"/>
    <n v="21391928"/>
    <n v="1623.53"/>
    <m/>
    <s v="N"/>
    <n v="11"/>
    <d v="2023-07-18T19:00:33"/>
    <s v="Y"/>
    <s v="Attendance upon client"/>
    <s v="Non Family Hourly Rates"/>
    <s v="Profit Cost"/>
    <s v="KB"/>
    <s v="Y"/>
    <n v="100.98"/>
    <n v="20.2"/>
    <x v="14"/>
    <s v="VALIDATED"/>
    <n v="1"/>
    <s v="01.11.80.208.6100.0000"/>
    <n v="100.98"/>
    <s v="11"/>
    <s v="6100"/>
    <n v="12659.16"/>
    <n v="100.98"/>
    <s v="CREDITOR"/>
    <n v="0"/>
    <n v="0"/>
    <n v="0"/>
    <n v="0"/>
    <n v="100.98"/>
  </r>
  <r>
    <n v="10087452"/>
    <s v="N"/>
    <n v="21391928"/>
    <s v="3000005965680003"/>
    <s v="CIVIL"/>
    <d v="2023-06-28T00:00:00"/>
    <d v="2023-07-18T19:00:27"/>
    <m/>
    <d v="2023-07-18T00:00:00"/>
    <n v="1586"/>
    <n v="15796"/>
    <s v="10087452"/>
    <s v="10087452"/>
    <m/>
    <m/>
    <n v="22777604"/>
    <m/>
    <m/>
    <m/>
    <s v="SOLFIN"/>
    <s v="SOLFIN"/>
    <s v="CCMS"/>
    <n v="21391928"/>
    <n v="1623.53"/>
    <m/>
    <s v="N"/>
    <n v="4"/>
    <d v="2023-07-18T19:00:33"/>
    <s v="Y"/>
    <s v="Travel to court"/>
    <s v="Non Family Hourly Rates"/>
    <s v="Profit Cost"/>
    <s v="BT"/>
    <s v="Y"/>
    <n v="18.4"/>
    <n v="3.68"/>
    <x v="14"/>
    <s v="VALIDATED"/>
    <n v="1"/>
    <s v="01.11.80.208.6100.0000"/>
    <n v="18.4"/>
    <s v="11"/>
    <s v="6100"/>
    <n v="12659.16"/>
    <n v="18.4"/>
    <s v="CREDITOR"/>
    <n v="0"/>
    <n v="0"/>
    <n v="0"/>
    <n v="0"/>
    <n v="18.4"/>
  </r>
  <r>
    <n v="54248104"/>
    <s v="N"/>
    <n v="21350007"/>
    <s v="3000012922770007"/>
    <s v="CIVIL"/>
    <d v="2023-06-28T00:00:00"/>
    <d v="2023-07-10T19:01:40"/>
    <m/>
    <d v="2023-07-10T00:00:00"/>
    <n v="1586"/>
    <n v="15796"/>
    <s v="54248104"/>
    <s v="54248104"/>
    <m/>
    <m/>
    <n v="22779004"/>
    <m/>
    <m/>
    <m/>
    <s v="SOLFIN"/>
    <s v="SOLFIN"/>
    <s v="CCMS"/>
    <n v="21350007"/>
    <n v="4461.01"/>
    <m/>
    <s v="N"/>
    <n v="56"/>
    <d v="2023-07-10T19:02:09"/>
    <s v="Y"/>
    <s v="Advocacy - In court behind Counsel"/>
    <s v="Non Family Hourly Rates"/>
    <s v="Advocacy"/>
    <s v="YM"/>
    <s v="Y"/>
    <n v="65.81999999999999"/>
    <n v="13.16"/>
    <x v="2"/>
    <s v="VALIDATED"/>
    <n v="1"/>
    <s v="01.11.80.208.6100.0000"/>
    <n v="65.81999999999999"/>
    <s v="11"/>
    <s v="6100"/>
    <n v="12659.16"/>
    <n v="65.81999999999999"/>
    <s v="CREDITOR"/>
    <n v="0"/>
    <n v="0"/>
    <n v="0"/>
    <n v="0"/>
    <n v="65.81999999999999"/>
  </r>
  <r>
    <n v="60553858"/>
    <s v="N"/>
    <n v="21346482"/>
    <s v="3000014821250001RC"/>
    <s v="CIVIL"/>
    <d v="2023-06-21T00:00:00"/>
    <d v="2023-07-07T19:34:21"/>
    <m/>
    <d v="2023-07-07T00:00:00"/>
    <n v="1586"/>
    <n v="15796"/>
    <s v="60553858"/>
    <s v="60553858"/>
    <m/>
    <m/>
    <m/>
    <m/>
    <m/>
    <m/>
    <s v="SOLRECOUP"/>
    <s v="SOLRECOUP"/>
    <s v="POARECOUP"/>
    <n v="21346482"/>
    <n v="-1112"/>
    <m/>
    <s v="Y"/>
    <n v="1"/>
    <d v="2023-07-07T19:34:23"/>
    <s v="N"/>
    <m/>
    <m/>
    <s v="Expert Disbursement"/>
    <m/>
    <s v="N"/>
    <n v="-1112"/>
    <n v="0"/>
    <x v="9"/>
    <s v="VALIDATED"/>
    <n v="1"/>
    <s v="01.11.80.210.2013.0000"/>
    <n v="-1112"/>
    <s v="11"/>
    <s v="2013"/>
    <n v="12659.16"/>
    <n v="-1112"/>
    <s v="CREDITOR"/>
    <n v="0"/>
    <n v="0"/>
    <n v="-1112"/>
    <n v="0"/>
    <n v="0"/>
  </r>
  <r>
    <n v="60553858"/>
    <s v="N"/>
    <n v="21346482"/>
    <s v="3000014821250001RC"/>
    <s v="CIVIL"/>
    <d v="2023-06-21T00:00:00"/>
    <d v="2023-07-07T19:34:21"/>
    <m/>
    <d v="2023-07-07T00:00:00"/>
    <n v="1586"/>
    <n v="15796"/>
    <s v="60553858"/>
    <s v="60553858"/>
    <m/>
    <m/>
    <m/>
    <m/>
    <m/>
    <m/>
    <s v="SOLRECOUP"/>
    <s v="SOLRECOUP"/>
    <s v="POARECOUP"/>
    <n v="21346482"/>
    <n v="-1112"/>
    <m/>
    <s v="Y"/>
    <n v="2"/>
    <d v="2023-07-07T19:34:23"/>
    <s v="N"/>
    <m/>
    <m/>
    <s v="Expert Disbursement"/>
    <m/>
    <s v="N"/>
    <n v="0"/>
    <n v="0"/>
    <x v="9"/>
    <s v="VALIDATED"/>
    <n v="1"/>
    <s v="01.11.80.000.0000.0000"/>
    <n v="0"/>
    <s v="11"/>
    <s v="0000"/>
    <n v="12659.16"/>
    <n v="0"/>
    <s v="CREDITOR"/>
    <n v="0"/>
    <n v="0"/>
    <n v="0"/>
    <n v="0"/>
    <n v="0"/>
  </r>
  <r>
    <n v="54249002"/>
    <s v="N"/>
    <n v="21346483"/>
    <s v="3000012924670001RC"/>
    <s v="CIVIL"/>
    <d v="2023-06-28T00:00:00"/>
    <d v="2023-07-07T19:34:21"/>
    <m/>
    <d v="2023-07-07T00:00:00"/>
    <n v="1586"/>
    <n v="15796"/>
    <s v="54249002"/>
    <s v="54249002"/>
    <m/>
    <m/>
    <m/>
    <m/>
    <m/>
    <m/>
    <s v="SOLRECOUP"/>
    <s v="SOLRECOUP"/>
    <s v="POARECOUP"/>
    <n v="21346483"/>
    <n v="-1889.88"/>
    <m/>
    <s v="Y"/>
    <n v="2"/>
    <d v="2023-07-07T19:34:23"/>
    <s v="N"/>
    <m/>
    <m/>
    <s v="Profit Cost"/>
    <m/>
    <s v="N"/>
    <n v="0"/>
    <n v="-314.98"/>
    <x v="9"/>
    <s v="VALIDATED"/>
    <n v="1"/>
    <s v="01.11.80.208.2013.0000"/>
    <n v="-314.98"/>
    <s v="11"/>
    <s v="2013"/>
    <n v="12659.16"/>
    <n v="-314.98"/>
    <s v="CREDITOR"/>
    <n v="0"/>
    <n v="0"/>
    <n v="-314.98"/>
    <n v="-78.745"/>
    <n v="0"/>
  </r>
  <r>
    <n v="54249002"/>
    <s v="N"/>
    <n v="21346483"/>
    <s v="3000012924670001RC"/>
    <s v="CIVIL"/>
    <d v="2023-06-28T00:00:00"/>
    <d v="2023-07-07T19:34:21"/>
    <m/>
    <d v="2023-07-07T00:00:00"/>
    <n v="1586"/>
    <n v="15796"/>
    <s v="54249002"/>
    <s v="54249002"/>
    <m/>
    <m/>
    <m/>
    <m/>
    <m/>
    <m/>
    <s v="SOLRECOUP"/>
    <s v="SOLRECOUP"/>
    <s v="POARECOUP"/>
    <n v="21346483"/>
    <n v="-1889.88"/>
    <m/>
    <s v="Y"/>
    <n v="1"/>
    <d v="2023-07-07T19:34:23"/>
    <s v="N"/>
    <m/>
    <m/>
    <s v="Profit Cost"/>
    <m/>
    <s v="N"/>
    <n v="-1574.9"/>
    <n v="0"/>
    <x v="9"/>
    <s v="VALIDATED"/>
    <n v="1"/>
    <s v="01.11.80.208.2013.0000"/>
    <n v="-1574.9"/>
    <s v="11"/>
    <s v="2013"/>
    <n v="12659.16"/>
    <n v="-1574.9"/>
    <s v="CREDITOR"/>
    <n v="0"/>
    <n v="0"/>
    <n v="-1574.9"/>
    <n v="-393.725"/>
    <n v="0"/>
  </r>
  <r>
    <n v="59635013"/>
    <s v="N"/>
    <n v="21340085"/>
    <s v="3000014025420002RC"/>
    <s v="CIVIL"/>
    <d v="2023-06-22T00:00:00"/>
    <d v="2023-07-06T19:54:22"/>
    <m/>
    <d v="2023-07-06T00:00:00"/>
    <n v="1586"/>
    <n v="15796"/>
    <s v="59635013"/>
    <s v="59635013"/>
    <m/>
    <m/>
    <m/>
    <m/>
    <m/>
    <m/>
    <s v="SOLRECOUP"/>
    <s v="SOLRECOUP"/>
    <s v="POARECOUP"/>
    <n v="21340085"/>
    <n v="-1944"/>
    <m/>
    <s v="Y"/>
    <n v="2"/>
    <d v="2023-07-06T19:54:23"/>
    <s v="N"/>
    <m/>
    <m/>
    <s v="Expert Disbursement"/>
    <m/>
    <s v="N"/>
    <n v="0"/>
    <n v="-324"/>
    <x v="4"/>
    <s v="VALIDATED"/>
    <n v="1"/>
    <s v="01.11.80.210.2013.0000"/>
    <n v="-324"/>
    <s v="11"/>
    <s v="2013"/>
    <n v="12659.16"/>
    <n v="-324"/>
    <s v="CREDITOR"/>
    <n v="0"/>
    <n v="0"/>
    <n v="-324"/>
    <n v="0"/>
    <n v="0"/>
  </r>
  <r>
    <n v="59635013"/>
    <s v="N"/>
    <n v="21340085"/>
    <s v="3000014025420002RC"/>
    <s v="CIVIL"/>
    <d v="2023-06-22T00:00:00"/>
    <d v="2023-07-06T19:54:22"/>
    <m/>
    <d v="2023-07-06T00:00:00"/>
    <n v="1586"/>
    <n v="15796"/>
    <s v="59635013"/>
    <s v="59635013"/>
    <m/>
    <m/>
    <m/>
    <m/>
    <m/>
    <m/>
    <s v="SOLRECOUP"/>
    <s v="SOLRECOUP"/>
    <s v="POARECOUP"/>
    <n v="21340085"/>
    <n v="-1944"/>
    <m/>
    <s v="Y"/>
    <n v="1"/>
    <d v="2023-07-06T19:54:23"/>
    <s v="N"/>
    <m/>
    <m/>
    <s v="Expert Disbursement"/>
    <m/>
    <s v="N"/>
    <n v="-1620"/>
    <n v="0"/>
    <x v="4"/>
    <s v="VALIDATED"/>
    <n v="1"/>
    <s v="01.11.80.210.2013.0000"/>
    <n v="-1620"/>
    <s v="11"/>
    <s v="2013"/>
    <n v="12659.16"/>
    <n v="-1620"/>
    <s v="CREDITOR"/>
    <n v="0"/>
    <n v="0"/>
    <n v="-1620"/>
    <n v="0"/>
    <n v="0"/>
  </r>
  <r>
    <n v="59541029"/>
    <s v="N"/>
    <n v="21340086"/>
    <s v="3000013946150001RC"/>
    <s v="CIVIL"/>
    <d v="2023-06-27T00:00:00"/>
    <d v="2023-07-06T19:54:22"/>
    <m/>
    <d v="2023-07-06T00:00:00"/>
    <n v="1586"/>
    <n v="15796"/>
    <s v="59541029"/>
    <s v="59541029"/>
    <m/>
    <m/>
    <m/>
    <m/>
    <m/>
    <m/>
    <s v="SOLRECOUP"/>
    <s v="SOLRECOUP"/>
    <s v="POARECOUP"/>
    <n v="21340086"/>
    <n v="-255"/>
    <m/>
    <s v="Y"/>
    <n v="1"/>
    <d v="2023-07-06T19:54:23"/>
    <s v="N"/>
    <m/>
    <m/>
    <s v="Expert Disbursement"/>
    <m/>
    <s v="N"/>
    <n v="-255"/>
    <n v="0"/>
    <x v="4"/>
    <s v="VALIDATED"/>
    <n v="1"/>
    <s v="01.11.80.208.2013.0000"/>
    <n v="-255"/>
    <s v="11"/>
    <s v="2013"/>
    <n v="12659.16"/>
    <n v="-255"/>
    <s v="CREDITOR"/>
    <n v="0"/>
    <n v="0"/>
    <n v="-255"/>
    <n v="0"/>
    <n v="0"/>
  </r>
  <r>
    <n v="59541029"/>
    <s v="N"/>
    <n v="21340086"/>
    <s v="3000013946150001RC"/>
    <s v="CIVIL"/>
    <d v="2023-06-27T00:00:00"/>
    <d v="2023-07-06T19:54:22"/>
    <m/>
    <d v="2023-07-06T00:00:00"/>
    <n v="1586"/>
    <n v="15796"/>
    <s v="59541029"/>
    <s v="59541029"/>
    <m/>
    <m/>
    <m/>
    <m/>
    <m/>
    <m/>
    <s v="SOLRECOUP"/>
    <s v="SOLRECOUP"/>
    <s v="POARECOUP"/>
    <n v="21340086"/>
    <n v="-255"/>
    <m/>
    <s v="Y"/>
    <n v="2"/>
    <d v="2023-07-06T19:54:23"/>
    <s v="N"/>
    <m/>
    <m/>
    <s v="Expert Disbursement"/>
    <m/>
    <s v="N"/>
    <n v="0"/>
    <n v="0"/>
    <x v="4"/>
    <s v="VALIDATED"/>
    <n v="1"/>
    <s v="01.11.80.000.0000.0000"/>
    <n v="0"/>
    <s v="11"/>
    <s v="0000"/>
    <n v="12659.16"/>
    <n v="0"/>
    <s v="CREDITOR"/>
    <n v="0"/>
    <n v="0"/>
    <n v="0"/>
    <n v="0"/>
    <n v="0"/>
  </r>
  <r>
    <n v="59635013"/>
    <s v="N"/>
    <n v="21340087"/>
    <s v="3000014025420001RC"/>
    <s v="CIVIL"/>
    <d v="2023-06-22T00:00:00"/>
    <d v="2023-07-06T19:54:22"/>
    <m/>
    <d v="2023-07-06T00:00:00"/>
    <n v="1586"/>
    <n v="15796"/>
    <s v="59635013"/>
    <s v="59635013"/>
    <m/>
    <m/>
    <m/>
    <m/>
    <m/>
    <m/>
    <s v="SOLRECOUP"/>
    <s v="SOLRECOUP"/>
    <s v="POARECOUP"/>
    <n v="21340087"/>
    <n v="-108"/>
    <m/>
    <s v="Y"/>
    <n v="2"/>
    <d v="2023-07-06T19:54:23"/>
    <s v="N"/>
    <m/>
    <m/>
    <s v="Non Expert Disbursement"/>
    <m/>
    <s v="N"/>
    <n v="0"/>
    <n v="0"/>
    <x v="4"/>
    <s v="VALIDATED"/>
    <n v="1"/>
    <s v="01.11.80.000.0000.0000"/>
    <n v="0"/>
    <s v="11"/>
    <s v="0000"/>
    <n v="12659.16"/>
    <n v="0"/>
    <s v="CREDITOR"/>
    <n v="0"/>
    <n v="0"/>
    <n v="0"/>
    <n v="0"/>
    <n v="0"/>
  </r>
  <r>
    <n v="59635013"/>
    <s v="N"/>
    <n v="21340087"/>
    <s v="3000014025420001RC"/>
    <s v="CIVIL"/>
    <d v="2023-06-22T00:00:00"/>
    <d v="2023-07-06T19:54:22"/>
    <m/>
    <d v="2023-07-06T00:00:00"/>
    <n v="1586"/>
    <n v="15796"/>
    <s v="59635013"/>
    <s v="59635013"/>
    <m/>
    <m/>
    <m/>
    <m/>
    <m/>
    <m/>
    <s v="SOLRECOUP"/>
    <s v="SOLRECOUP"/>
    <s v="POARECOUP"/>
    <n v="21340087"/>
    <n v="-108"/>
    <m/>
    <s v="Y"/>
    <n v="1"/>
    <d v="2023-07-06T19:54:23"/>
    <s v="N"/>
    <m/>
    <m/>
    <s v="Non Expert Disbursement"/>
    <m/>
    <s v="N"/>
    <n v="-108"/>
    <n v="0"/>
    <x v="4"/>
    <s v="VALIDATED"/>
    <n v="1"/>
    <s v="01.11.80.210.2013.0000"/>
    <n v="-108"/>
    <s v="11"/>
    <s v="2013"/>
    <n v="12659.16"/>
    <n v="-108"/>
    <s v="CREDITOR"/>
    <n v="0"/>
    <n v="0"/>
    <n v="-108"/>
    <n v="0"/>
    <n v="0"/>
  </r>
  <r>
    <n v="59541029"/>
    <s v="N"/>
    <n v="21340088"/>
    <s v="3000013946150002RC"/>
    <s v="CIVIL"/>
    <d v="2023-06-27T00:00:00"/>
    <d v="2023-07-06T19:54:22"/>
    <m/>
    <d v="2023-07-06T00:00:00"/>
    <n v="1586"/>
    <n v="15796"/>
    <s v="59541029"/>
    <s v="59541029"/>
    <m/>
    <m/>
    <m/>
    <m/>
    <m/>
    <m/>
    <s v="SOLRECOUP"/>
    <s v="SOLRECOUP"/>
    <s v="POARECOUP"/>
    <n v="21340088"/>
    <n v="-749.9"/>
    <m/>
    <s v="Y"/>
    <n v="1"/>
    <d v="2023-07-06T19:54:23"/>
    <s v="N"/>
    <m/>
    <m/>
    <s v="Profit Cost"/>
    <m/>
    <s v="N"/>
    <n v="-624.92"/>
    <n v="0"/>
    <x v="4"/>
    <s v="VALIDATED"/>
    <n v="1"/>
    <s v="01.11.80.208.2013.0000"/>
    <n v="-624.92"/>
    <s v="11"/>
    <s v="2013"/>
    <n v="12659.16"/>
    <n v="-624.92"/>
    <s v="CREDITOR"/>
    <n v="0"/>
    <n v="0"/>
    <n v="-624.92"/>
    <n v="-156.23"/>
    <n v="0"/>
  </r>
  <r>
    <n v="59541029"/>
    <s v="N"/>
    <n v="21340088"/>
    <s v="3000013946150002RC"/>
    <s v="CIVIL"/>
    <d v="2023-06-27T00:00:00"/>
    <d v="2023-07-06T19:54:22"/>
    <m/>
    <d v="2023-07-06T00:00:00"/>
    <n v="1586"/>
    <n v="15796"/>
    <s v="59541029"/>
    <s v="59541029"/>
    <m/>
    <m/>
    <m/>
    <m/>
    <m/>
    <m/>
    <s v="SOLRECOUP"/>
    <s v="SOLRECOUP"/>
    <s v="POARECOUP"/>
    <n v="21340088"/>
    <n v="-749.9"/>
    <m/>
    <s v="Y"/>
    <n v="2"/>
    <d v="2023-07-06T19:54:23"/>
    <s v="N"/>
    <m/>
    <m/>
    <s v="Profit Cost"/>
    <m/>
    <s v="N"/>
    <n v="0"/>
    <n v="-124.98"/>
    <x v="4"/>
    <s v="VALIDATED"/>
    <n v="1"/>
    <s v="01.11.80.208.2013.0000"/>
    <n v="-124.98"/>
    <s v="11"/>
    <s v="2013"/>
    <n v="12659.16"/>
    <n v="-124.98"/>
    <s v="CREDITOR"/>
    <n v="0"/>
    <n v="0"/>
    <n v="-124.98"/>
    <n v="-31.245"/>
    <n v="0"/>
  </r>
  <r>
    <n v="56440931"/>
    <s v="N"/>
    <n v="21340089"/>
    <s v="3000013433190001RC"/>
    <s v="CIVIL"/>
    <d v="2023-06-26T00:00:00"/>
    <d v="2023-07-06T19:54:22"/>
    <m/>
    <d v="2023-07-06T00:00:00"/>
    <n v="1586"/>
    <n v="15796"/>
    <s v="56440931"/>
    <s v="56440931"/>
    <m/>
    <m/>
    <m/>
    <m/>
    <m/>
    <m/>
    <s v="SOLRECOUP"/>
    <s v="SOLRECOUP"/>
    <s v="POARECOUP"/>
    <n v="21340089"/>
    <n v="-1489.67"/>
    <m/>
    <s v="Y"/>
    <n v="1"/>
    <d v="2023-07-06T19:54:23"/>
    <s v="N"/>
    <m/>
    <m/>
    <s v="Profit Cost"/>
    <m/>
    <s v="N"/>
    <n v="-1241.39"/>
    <n v="0"/>
    <x v="4"/>
    <s v="VALIDATED"/>
    <n v="1"/>
    <s v="01.11.80.210.2013.0000"/>
    <n v="-1241.39"/>
    <s v="11"/>
    <s v="2013"/>
    <n v="12659.16"/>
    <n v="-1241.39"/>
    <s v="CREDITOR"/>
    <n v="0"/>
    <n v="0"/>
    <n v="-1241.39"/>
    <n v="-310.3475"/>
    <n v="0"/>
  </r>
  <r>
    <n v="56440931"/>
    <s v="N"/>
    <n v="21340089"/>
    <s v="3000013433190001RC"/>
    <s v="CIVIL"/>
    <d v="2023-06-26T00:00:00"/>
    <d v="2023-07-06T19:54:22"/>
    <m/>
    <d v="2023-07-06T00:00:00"/>
    <n v="1586"/>
    <n v="15796"/>
    <s v="56440931"/>
    <s v="56440931"/>
    <m/>
    <m/>
    <m/>
    <m/>
    <m/>
    <m/>
    <s v="SOLRECOUP"/>
    <s v="SOLRECOUP"/>
    <s v="POARECOUP"/>
    <n v="21340089"/>
    <n v="-1489.67"/>
    <m/>
    <s v="Y"/>
    <n v="2"/>
    <d v="2023-07-06T19:54:23"/>
    <s v="N"/>
    <m/>
    <m/>
    <s v="Profit Cost"/>
    <m/>
    <s v="N"/>
    <n v="0"/>
    <n v="-248.28"/>
    <x v="4"/>
    <s v="VALIDATED"/>
    <n v="1"/>
    <s v="01.11.80.210.2013.0000"/>
    <n v="-248.28"/>
    <s v="11"/>
    <s v="2013"/>
    <n v="12659.16"/>
    <n v="-248.28"/>
    <s v="CREDITOR"/>
    <n v="0"/>
    <n v="0"/>
    <n v="-248.28"/>
    <n v="-62.07"/>
    <n v="0"/>
  </r>
  <r>
    <n v="59635013"/>
    <s v="N"/>
    <n v="21340090"/>
    <s v="3000014025420003RC"/>
    <s v="CIVIL"/>
    <d v="2023-06-22T00:00:00"/>
    <d v="2023-07-06T19:54:22"/>
    <m/>
    <d v="2023-07-06T00:00:00"/>
    <n v="1586"/>
    <n v="15796"/>
    <s v="59635013"/>
    <s v="59635013"/>
    <m/>
    <m/>
    <m/>
    <m/>
    <m/>
    <m/>
    <s v="SOLRECOUP"/>
    <s v="SOLRECOUP"/>
    <s v="POARECOUP"/>
    <n v="21340090"/>
    <n v="-108"/>
    <m/>
    <s v="Y"/>
    <n v="1"/>
    <d v="2023-07-06T19:54:23"/>
    <s v="N"/>
    <m/>
    <m/>
    <s v="Expert Disbursement"/>
    <m/>
    <s v="N"/>
    <n v="-108"/>
    <n v="0"/>
    <x v="4"/>
    <s v="VALIDATED"/>
    <n v="1"/>
    <s v="01.11.80.210.2013.0000"/>
    <n v="-108"/>
    <s v="11"/>
    <s v="2013"/>
    <n v="12659.16"/>
    <n v="-108"/>
    <s v="CREDITOR"/>
    <n v="0"/>
    <n v="0"/>
    <n v="-108"/>
    <n v="0"/>
    <n v="0"/>
  </r>
  <r>
    <n v="59635013"/>
    <s v="N"/>
    <n v="21340090"/>
    <s v="3000014025420003RC"/>
    <s v="CIVIL"/>
    <d v="2023-06-22T00:00:00"/>
    <d v="2023-07-06T19:54:22"/>
    <m/>
    <d v="2023-07-06T00:00:00"/>
    <n v="1586"/>
    <n v="15796"/>
    <s v="59635013"/>
    <s v="59635013"/>
    <m/>
    <m/>
    <m/>
    <m/>
    <m/>
    <m/>
    <s v="SOLRECOUP"/>
    <s v="SOLRECOUP"/>
    <s v="POARECOUP"/>
    <n v="21340090"/>
    <n v="-108"/>
    <m/>
    <s v="Y"/>
    <n v="2"/>
    <d v="2023-07-06T19:54:23"/>
    <s v="N"/>
    <m/>
    <m/>
    <s v="Expert Disbursement"/>
    <m/>
    <s v="N"/>
    <n v="0"/>
    <n v="0"/>
    <x v="4"/>
    <s v="VALIDATED"/>
    <n v="1"/>
    <s v="01.11.80.000.0000.0000"/>
    <n v="0"/>
    <s v="11"/>
    <s v="0000"/>
    <n v="12659.16"/>
    <n v="0"/>
    <s v="CREDITOR"/>
    <n v="0"/>
    <n v="0"/>
    <n v="0"/>
    <n v="0"/>
    <n v="0"/>
  </r>
  <r>
    <n v="59635013"/>
    <s v="N"/>
    <n v="21340091"/>
    <s v="3000014025420004RC"/>
    <s v="CIVIL"/>
    <d v="2023-06-22T00:00:00"/>
    <d v="2023-07-06T19:54:22"/>
    <m/>
    <d v="2023-07-06T00:00:00"/>
    <n v="1586"/>
    <n v="15796"/>
    <s v="59635013"/>
    <s v="59635013"/>
    <m/>
    <m/>
    <m/>
    <m/>
    <m/>
    <m/>
    <s v="SOLRECOUP"/>
    <s v="SOLRECOUP"/>
    <s v="POARECOUP"/>
    <n v="21340091"/>
    <n v="-3681"/>
    <m/>
    <s v="Y"/>
    <n v="1"/>
    <d v="2023-07-06T19:54:23"/>
    <s v="N"/>
    <m/>
    <m/>
    <s v="Profit Cost"/>
    <m/>
    <s v="N"/>
    <n v="-3067.5"/>
    <n v="0"/>
    <x v="4"/>
    <s v="VALIDATED"/>
    <n v="1"/>
    <s v="01.11.80.210.2013.0000"/>
    <n v="-3067.5"/>
    <s v="11"/>
    <s v="2013"/>
    <n v="12659.16"/>
    <n v="-3067.5"/>
    <s v="CREDITOR"/>
    <n v="0"/>
    <n v="0"/>
    <n v="-3067.5"/>
    <n v="-766.875"/>
    <n v="0"/>
  </r>
  <r>
    <n v="59635013"/>
    <s v="N"/>
    <n v="21340091"/>
    <s v="3000014025420004RC"/>
    <s v="CIVIL"/>
    <d v="2023-06-22T00:00:00"/>
    <d v="2023-07-06T19:54:22"/>
    <m/>
    <d v="2023-07-06T00:00:00"/>
    <n v="1586"/>
    <n v="15796"/>
    <s v="59635013"/>
    <s v="59635013"/>
    <m/>
    <m/>
    <m/>
    <m/>
    <m/>
    <m/>
    <s v="SOLRECOUP"/>
    <s v="SOLRECOUP"/>
    <s v="POARECOUP"/>
    <n v="21340091"/>
    <n v="-3681"/>
    <m/>
    <s v="Y"/>
    <n v="2"/>
    <d v="2023-07-06T19:54:23"/>
    <s v="N"/>
    <m/>
    <m/>
    <s v="Profit Cost"/>
    <m/>
    <s v="N"/>
    <n v="0"/>
    <n v="-613.5"/>
    <x v="4"/>
    <s v="VALIDATED"/>
    <n v="1"/>
    <s v="01.11.80.210.2013.0000"/>
    <n v="-613.5"/>
    <s v="11"/>
    <s v="2013"/>
    <n v="12659.16"/>
    <n v="-613.5"/>
    <s v="CREDITOR"/>
    <n v="0"/>
    <n v="0"/>
    <n v="-613.5"/>
    <n v="-153.375"/>
    <n v="0"/>
  </r>
  <r>
    <n v="10087452"/>
    <s v="N"/>
    <n v="21393409"/>
    <s v="3000005965680002RC"/>
    <s v="CIVIL"/>
    <d v="2023-06-28T00:00:00"/>
    <d v="2023-07-18T19:33:39"/>
    <m/>
    <d v="2023-07-18T00:00:00"/>
    <n v="1586"/>
    <n v="15796"/>
    <s v="10087452"/>
    <s v="10087452"/>
    <m/>
    <m/>
    <m/>
    <m/>
    <m/>
    <m/>
    <s v="SOLRECOUP"/>
    <s v="SOLRECOUP"/>
    <s v="POARECOUP"/>
    <n v="21393409"/>
    <n v="-2436"/>
    <m/>
    <s v="Y"/>
    <n v="2"/>
    <d v="2023-07-18T19:33:40"/>
    <s v="N"/>
    <m/>
    <m/>
    <s v="Expert Disbursement"/>
    <m/>
    <s v="N"/>
    <n v="0"/>
    <n v="-406"/>
    <x v="14"/>
    <s v="VALIDATED"/>
    <n v="1"/>
    <s v="01.11.80.208.2013.0000"/>
    <n v="-406"/>
    <s v="11"/>
    <s v="2013"/>
    <n v="12659.16"/>
    <n v="-406"/>
    <s v="CREDITOR"/>
    <n v="0"/>
    <n v="0"/>
    <n v="-406"/>
    <n v="0"/>
    <n v="0"/>
  </r>
  <r>
    <n v="10087452"/>
    <s v="N"/>
    <n v="21393409"/>
    <s v="3000005965680002RC"/>
    <s v="CIVIL"/>
    <d v="2023-06-28T00:00:00"/>
    <d v="2023-07-18T19:33:39"/>
    <m/>
    <d v="2023-07-18T00:00:00"/>
    <n v="1586"/>
    <n v="15796"/>
    <s v="10087452"/>
    <s v="10087452"/>
    <m/>
    <m/>
    <m/>
    <m/>
    <m/>
    <m/>
    <s v="SOLRECOUP"/>
    <s v="SOLRECOUP"/>
    <s v="POARECOUP"/>
    <n v="21393409"/>
    <n v="-2436"/>
    <m/>
    <s v="Y"/>
    <n v="1"/>
    <d v="2023-07-18T19:33:40"/>
    <s v="N"/>
    <m/>
    <m/>
    <s v="Expert Disbursement"/>
    <m/>
    <s v="N"/>
    <n v="-2030"/>
    <n v="0"/>
    <x v="14"/>
    <s v="VALIDATED"/>
    <n v="1"/>
    <s v="01.11.80.208.2013.0000"/>
    <n v="-2030"/>
    <s v="11"/>
    <s v="2013"/>
    <n v="12659.16"/>
    <n v="-2030"/>
    <s v="CREDITOR"/>
    <n v="0"/>
    <n v="0"/>
    <n v="-2030"/>
    <n v="0"/>
    <n v="0"/>
  </r>
  <r>
    <n v="10087452"/>
    <s v="N"/>
    <n v="21393410"/>
    <s v="3000005965680001RC"/>
    <s v="CIVIL"/>
    <d v="2023-06-28T00:00:00"/>
    <d v="2023-07-18T19:33:39"/>
    <m/>
    <d v="2023-07-18T00:00:00"/>
    <n v="1586"/>
    <n v="15796"/>
    <s v="10087452"/>
    <s v="10087452"/>
    <m/>
    <m/>
    <m/>
    <m/>
    <m/>
    <m/>
    <s v="SOLRECOUP"/>
    <s v="SOLRECOUP"/>
    <s v="POARECOUP"/>
    <n v="21393410"/>
    <n v="-334.32"/>
    <m/>
    <s v="Y"/>
    <n v="2"/>
    <d v="2023-07-18T19:33:40"/>
    <s v="N"/>
    <m/>
    <m/>
    <s v="Non Expert Disbursement"/>
    <m/>
    <s v="N"/>
    <n v="0"/>
    <n v="0"/>
    <x v="14"/>
    <s v="VALIDATED"/>
    <n v="1"/>
    <s v="01.11.80.000.0000.0000"/>
    <n v="0"/>
    <s v="11"/>
    <s v="0000"/>
    <n v="12659.16"/>
    <n v="0"/>
    <s v="CREDITOR"/>
    <n v="0"/>
    <n v="0"/>
    <n v="0"/>
    <n v="0"/>
    <n v="0"/>
  </r>
  <r>
    <n v="10087452"/>
    <s v="N"/>
    <n v="21393410"/>
    <s v="3000005965680001RC"/>
    <s v="CIVIL"/>
    <d v="2023-06-28T00:00:00"/>
    <d v="2023-07-18T19:33:39"/>
    <m/>
    <d v="2023-07-18T00:00:00"/>
    <n v="1586"/>
    <n v="15796"/>
    <s v="10087452"/>
    <s v="10087452"/>
    <m/>
    <m/>
    <m/>
    <m/>
    <m/>
    <m/>
    <s v="SOLRECOUP"/>
    <s v="SOLRECOUP"/>
    <s v="POARECOUP"/>
    <n v="21393410"/>
    <n v="-334.32"/>
    <m/>
    <s v="Y"/>
    <n v="1"/>
    <d v="2023-07-18T19:33:40"/>
    <s v="N"/>
    <m/>
    <m/>
    <s v="Non Expert Disbursement"/>
    <m/>
    <s v="N"/>
    <n v="-334.32"/>
    <n v="0"/>
    <x v="14"/>
    <s v="VALIDATED"/>
    <n v="1"/>
    <s v="01.11.80.208.2013.0000"/>
    <n v="-334.32"/>
    <s v="11"/>
    <s v="2013"/>
    <n v="12659.16"/>
    <n v="-334.32"/>
    <s v="CREDITOR"/>
    <n v="0"/>
    <n v="0"/>
    <n v="-334.32"/>
    <n v="0"/>
    <n v="0"/>
  </r>
  <r>
    <n v="54248104"/>
    <s v="N"/>
    <n v="21356742"/>
    <s v="3000012922770001RC"/>
    <s v="CIVIL"/>
    <d v="2023-06-28T00:00:00"/>
    <d v="2023-07-10T19:47:44"/>
    <m/>
    <d v="2023-07-10T00:00:00"/>
    <n v="1586"/>
    <n v="15796"/>
    <s v="54248104"/>
    <s v="54248104"/>
    <m/>
    <m/>
    <m/>
    <m/>
    <m/>
    <m/>
    <s v="SOLRECOUP"/>
    <s v="SOLRECOUP"/>
    <s v="POARECOUP"/>
    <n v="21356742"/>
    <n v="-255"/>
    <m/>
    <s v="Y"/>
    <n v="2"/>
    <d v="2023-07-10T19:47:46"/>
    <s v="N"/>
    <m/>
    <m/>
    <s v="Non Expert Disbursement"/>
    <m/>
    <s v="N"/>
    <n v="0"/>
    <n v="0"/>
    <x v="2"/>
    <s v="VALIDATED"/>
    <n v="1"/>
    <s v="01.11.80.000.0000.0000"/>
    <n v="0"/>
    <s v="11"/>
    <s v="0000"/>
    <n v="12659.16"/>
    <n v="0"/>
    <s v="CREDITOR"/>
    <n v="0"/>
    <n v="0"/>
    <n v="0"/>
    <n v="0"/>
    <n v="0"/>
  </r>
  <r>
    <n v="54248104"/>
    <s v="N"/>
    <n v="21356743"/>
    <s v="3000012922770002RC"/>
    <s v="CIVIL"/>
    <d v="2023-06-28T00:00:00"/>
    <d v="2023-07-10T19:47:44"/>
    <m/>
    <d v="2023-07-10T00:00:00"/>
    <n v="1586"/>
    <n v="15796"/>
    <s v="54248104"/>
    <s v="54248104"/>
    <m/>
    <m/>
    <m/>
    <m/>
    <m/>
    <m/>
    <s v="SOLRECOUP"/>
    <s v="SOLRECOUP"/>
    <s v="POARECOUP"/>
    <n v="21356743"/>
    <n v="-455"/>
    <m/>
    <s v="Y"/>
    <n v="1"/>
    <d v="2023-07-10T19:47:46"/>
    <s v="N"/>
    <m/>
    <m/>
    <s v="Non Expert Disbursement"/>
    <m/>
    <s v="N"/>
    <n v="-455"/>
    <n v="0"/>
    <x v="2"/>
    <s v="VALIDATED"/>
    <n v="1"/>
    <s v="01.11.80.208.2013.0000"/>
    <n v="-455"/>
    <s v="11"/>
    <s v="2013"/>
    <n v="12659.16"/>
    <n v="-455"/>
    <s v="CREDITOR"/>
    <n v="0"/>
    <n v="0"/>
    <n v="-455"/>
    <n v="0"/>
    <n v="0"/>
  </r>
  <r>
    <n v="54248104"/>
    <s v="N"/>
    <n v="21356743"/>
    <s v="3000012922770002RC"/>
    <s v="CIVIL"/>
    <d v="2023-06-28T00:00:00"/>
    <d v="2023-07-10T19:47:44"/>
    <m/>
    <d v="2023-07-10T00:00:00"/>
    <n v="1586"/>
    <n v="15796"/>
    <s v="54248104"/>
    <s v="54248104"/>
    <m/>
    <m/>
    <m/>
    <m/>
    <m/>
    <m/>
    <s v="SOLRECOUP"/>
    <s v="SOLRECOUP"/>
    <s v="POARECOUP"/>
    <n v="21356743"/>
    <n v="-455"/>
    <m/>
    <s v="Y"/>
    <n v="2"/>
    <d v="2023-07-10T19:47:46"/>
    <s v="N"/>
    <m/>
    <m/>
    <s v="Non Expert Disbursement"/>
    <m/>
    <s v="N"/>
    <n v="0"/>
    <n v="0"/>
    <x v="2"/>
    <s v="VALIDATED"/>
    <n v="1"/>
    <s v="01.11.80.000.0000.0000"/>
    <n v="0"/>
    <s v="11"/>
    <s v="0000"/>
    <n v="12659.16"/>
    <n v="0"/>
    <s v="CREDITOR"/>
    <n v="0"/>
    <n v="0"/>
    <n v="0"/>
    <n v="0"/>
    <n v="0"/>
  </r>
  <r>
    <n v="54248104"/>
    <s v="N"/>
    <n v="21356744"/>
    <s v="3000012922770004RC"/>
    <s v="CIVIL"/>
    <d v="2023-06-28T00:00:00"/>
    <d v="2023-07-10T19:47:44"/>
    <m/>
    <d v="2023-07-10T00:00:00"/>
    <n v="1586"/>
    <n v="15796"/>
    <s v="54248104"/>
    <s v="54248104"/>
    <m/>
    <m/>
    <m/>
    <m/>
    <m/>
    <m/>
    <s v="SOLRECOUP"/>
    <s v="SOLRECOUP"/>
    <s v="POARECOUP"/>
    <n v="21356744"/>
    <n v="-275"/>
    <m/>
    <s v="Y"/>
    <n v="1"/>
    <d v="2023-07-10T19:47:46"/>
    <s v="N"/>
    <m/>
    <m/>
    <s v="Non Expert Disbursement"/>
    <m/>
    <s v="N"/>
    <n v="-275"/>
    <n v="0"/>
    <x v="2"/>
    <s v="VALIDATED"/>
    <n v="1"/>
    <s v="01.11.80.208.2013.0000"/>
    <n v="-275"/>
    <s v="11"/>
    <s v="2013"/>
    <n v="12659.16"/>
    <n v="-275"/>
    <s v="CREDITOR"/>
    <n v="0"/>
    <n v="0"/>
    <n v="-275"/>
    <n v="0"/>
    <n v="0"/>
  </r>
  <r>
    <n v="54248104"/>
    <s v="N"/>
    <n v="21356744"/>
    <s v="3000012922770004RC"/>
    <s v="CIVIL"/>
    <d v="2023-06-28T00:00:00"/>
    <d v="2023-07-10T19:47:44"/>
    <m/>
    <d v="2023-07-10T00:00:00"/>
    <n v="1586"/>
    <n v="15796"/>
    <s v="54248104"/>
    <s v="54248104"/>
    <m/>
    <m/>
    <m/>
    <m/>
    <m/>
    <m/>
    <s v="SOLRECOUP"/>
    <s v="SOLRECOUP"/>
    <s v="POARECOUP"/>
    <n v="21356744"/>
    <n v="-275"/>
    <m/>
    <s v="Y"/>
    <n v="2"/>
    <d v="2023-07-10T19:47:46"/>
    <s v="N"/>
    <m/>
    <m/>
    <s v="Non Expert Disbursement"/>
    <m/>
    <s v="N"/>
    <n v="0"/>
    <n v="0"/>
    <x v="2"/>
    <s v="VALIDATED"/>
    <n v="1"/>
    <s v="01.11.80.000.0000.0000"/>
    <n v="0"/>
    <s v="11"/>
    <s v="0000"/>
    <n v="12659.16"/>
    <n v="0"/>
    <s v="CREDITOR"/>
    <n v="0"/>
    <n v="0"/>
    <n v="0"/>
    <n v="0"/>
    <n v="0"/>
  </r>
  <r>
    <n v="54248104"/>
    <s v="N"/>
    <n v="21356745"/>
    <s v="3000012922770003RC"/>
    <s v="CIVIL"/>
    <d v="2023-06-28T00:00:00"/>
    <d v="2023-07-10T19:47:44"/>
    <m/>
    <d v="2023-07-10T00:00:00"/>
    <n v="1586"/>
    <n v="15796"/>
    <s v="54248104"/>
    <s v="54248104"/>
    <m/>
    <m/>
    <m/>
    <m/>
    <m/>
    <m/>
    <s v="SOLRECOUP"/>
    <s v="SOLRECOUP"/>
    <s v="POARECOUP"/>
    <n v="21356745"/>
    <n v="-1478.4"/>
    <m/>
    <s v="Y"/>
    <n v="1"/>
    <d v="2023-07-10T19:47:46"/>
    <s v="N"/>
    <m/>
    <m/>
    <s v="Profit Cost"/>
    <m/>
    <s v="N"/>
    <n v="-1232"/>
    <n v="0"/>
    <x v="2"/>
    <s v="VALIDATED"/>
    <n v="1"/>
    <s v="01.11.80.208.2013.0000"/>
    <n v="-1232"/>
    <s v="11"/>
    <s v="2013"/>
    <n v="12659.16"/>
    <n v="-1232"/>
    <s v="CREDITOR"/>
    <n v="0"/>
    <n v="0"/>
    <n v="-1232"/>
    <n v="-308"/>
    <n v="0"/>
  </r>
  <r>
    <n v="54248104"/>
    <s v="N"/>
    <n v="21356745"/>
    <s v="3000012922770003RC"/>
    <s v="CIVIL"/>
    <d v="2023-06-28T00:00:00"/>
    <d v="2023-07-10T19:47:44"/>
    <m/>
    <d v="2023-07-10T00:00:00"/>
    <n v="1586"/>
    <n v="15796"/>
    <s v="54248104"/>
    <s v="54248104"/>
    <m/>
    <m/>
    <m/>
    <m/>
    <m/>
    <m/>
    <s v="SOLRECOUP"/>
    <s v="SOLRECOUP"/>
    <s v="POARECOUP"/>
    <n v="21356745"/>
    <n v="-1478.4"/>
    <m/>
    <s v="Y"/>
    <n v="2"/>
    <d v="2023-07-10T19:47:46"/>
    <s v="N"/>
    <m/>
    <m/>
    <s v="Profit Cost"/>
    <m/>
    <s v="N"/>
    <n v="0"/>
    <n v="-246.4"/>
    <x v="2"/>
    <s v="VALIDATED"/>
    <n v="1"/>
    <s v="01.11.80.208.2013.0000"/>
    <n v="-246.4"/>
    <s v="11"/>
    <s v="2013"/>
    <n v="12659.16"/>
    <n v="-246.4"/>
    <s v="CREDITOR"/>
    <n v="0"/>
    <n v="0"/>
    <n v="-246.4"/>
    <n v="-61.6"/>
    <n v="0"/>
  </r>
  <r>
    <n v="54248104"/>
    <s v="N"/>
    <n v="21356746"/>
    <s v="3000012922770005RC"/>
    <s v="CIVIL"/>
    <d v="2023-06-28T00:00:00"/>
    <d v="2023-07-10T19:47:44"/>
    <m/>
    <d v="2023-07-10T00:00:00"/>
    <n v="1586"/>
    <n v="15796"/>
    <s v="54248104"/>
    <s v="54248104"/>
    <m/>
    <m/>
    <m/>
    <m/>
    <m/>
    <m/>
    <s v="SOLRECOUP"/>
    <s v="SOLRECOUP"/>
    <s v="POARECOUP"/>
    <n v="21356746"/>
    <n v="-411.48"/>
    <m/>
    <s v="Y"/>
    <n v="1"/>
    <d v="2023-07-10T19:47:46"/>
    <s v="N"/>
    <m/>
    <m/>
    <s v="Profit Cost"/>
    <m/>
    <s v="N"/>
    <n v="-342.9"/>
    <n v="0"/>
    <x v="2"/>
    <s v="VALIDATED"/>
    <n v="1"/>
    <s v="01.11.80.208.2013.0000"/>
    <n v="-342.9"/>
    <s v="11"/>
    <s v="2013"/>
    <n v="12659.16"/>
    <n v="-342.9"/>
    <s v="CREDITOR"/>
    <n v="0"/>
    <n v="0"/>
    <n v="-342.9"/>
    <n v="-85.72499999999999"/>
    <n v="0"/>
  </r>
  <r>
    <n v="54248104"/>
    <s v="N"/>
    <n v="21356746"/>
    <s v="3000012922770005RC"/>
    <s v="CIVIL"/>
    <d v="2023-06-28T00:00:00"/>
    <d v="2023-07-10T19:47:44"/>
    <m/>
    <d v="2023-07-10T00:00:00"/>
    <n v="1586"/>
    <n v="15796"/>
    <s v="54248104"/>
    <s v="54248104"/>
    <m/>
    <m/>
    <m/>
    <m/>
    <m/>
    <m/>
    <s v="SOLRECOUP"/>
    <s v="SOLRECOUP"/>
    <s v="POARECOUP"/>
    <n v="21356746"/>
    <n v="-411.48"/>
    <m/>
    <s v="Y"/>
    <n v="2"/>
    <d v="2023-07-10T19:47:46"/>
    <s v="N"/>
    <m/>
    <m/>
    <s v="Profit Cost"/>
    <m/>
    <s v="N"/>
    <n v="0"/>
    <n v="-68.58"/>
    <x v="2"/>
    <s v="VALIDATED"/>
    <n v="1"/>
    <s v="01.11.80.208.2013.0000"/>
    <n v="-68.58"/>
    <s v="11"/>
    <s v="2013"/>
    <n v="12659.16"/>
    <n v="-68.58"/>
    <s v="CREDITOR"/>
    <n v="0"/>
    <n v="0"/>
    <n v="-68.58"/>
    <n v="-17.145"/>
    <n v="0"/>
  </r>
  <r>
    <n v="54248104"/>
    <s v="N"/>
    <n v="21356747"/>
    <s v="3000012922770006RC"/>
    <s v="CIVIL"/>
    <d v="2023-06-28T00:00:00"/>
    <d v="2023-07-10T19:47:44"/>
    <m/>
    <d v="2023-07-10T00:00:00"/>
    <n v="1586"/>
    <n v="15796"/>
    <s v="54248104"/>
    <s v="54248104"/>
    <m/>
    <m/>
    <m/>
    <m/>
    <m/>
    <m/>
    <s v="SOLRECOUP"/>
    <s v="SOLRECOUP"/>
    <s v="POARECOUP"/>
    <n v="21356747"/>
    <n v="-127.5"/>
    <m/>
    <s v="Y"/>
    <n v="1"/>
    <d v="2023-07-10T19:47:46"/>
    <s v="N"/>
    <m/>
    <m/>
    <s v="Expert Disbursement"/>
    <m/>
    <s v="N"/>
    <n v="-127.5"/>
    <n v="0"/>
    <x v="2"/>
    <s v="VALIDATED"/>
    <n v="1"/>
    <s v="01.11.80.208.2013.0000"/>
    <n v="-127.5"/>
    <s v="11"/>
    <s v="2013"/>
    <n v="12659.16"/>
    <n v="-127.5"/>
    <s v="CREDITOR"/>
    <n v="0"/>
    <n v="0"/>
    <n v="-127.5"/>
    <n v="0"/>
    <n v="0"/>
  </r>
  <r>
    <n v="54248104"/>
    <s v="N"/>
    <n v="21356747"/>
    <s v="3000012922770006RC"/>
    <s v="CIVIL"/>
    <d v="2023-06-28T00:00:00"/>
    <d v="2023-07-10T19:47:44"/>
    <m/>
    <d v="2023-07-10T00:00:00"/>
    <n v="1586"/>
    <n v="15796"/>
    <s v="54248104"/>
    <s v="54248104"/>
    <m/>
    <m/>
    <m/>
    <m/>
    <m/>
    <m/>
    <s v="SOLRECOUP"/>
    <s v="SOLRECOUP"/>
    <s v="POARECOUP"/>
    <n v="21356747"/>
    <n v="-127.5"/>
    <m/>
    <s v="Y"/>
    <n v="2"/>
    <d v="2023-07-10T19:47:46"/>
    <s v="N"/>
    <m/>
    <m/>
    <s v="Expert Disbursement"/>
    <m/>
    <s v="N"/>
    <n v="0"/>
    <n v="0"/>
    <x v="2"/>
    <s v="VALIDATED"/>
    <n v="1"/>
    <s v="01.11.80.000.0000.0000"/>
    <n v="0"/>
    <s v="11"/>
    <s v="0000"/>
    <n v="12659.16"/>
    <n v="0"/>
    <s v="CREDITOR"/>
    <n v="0"/>
    <n v="0"/>
    <n v="0"/>
    <n v="0"/>
    <n v="0"/>
  </r>
  <r>
    <n v="54248104"/>
    <s v="N"/>
    <n v="21356742"/>
    <s v="3000012922770001RC"/>
    <s v="CIVIL"/>
    <d v="2023-06-28T00:00:00"/>
    <d v="2023-07-10T19:47:44"/>
    <m/>
    <d v="2023-07-10T00:00:00"/>
    <n v="1586"/>
    <n v="15796"/>
    <s v="54248104"/>
    <s v="54248104"/>
    <m/>
    <m/>
    <m/>
    <m/>
    <m/>
    <m/>
    <s v="SOLRECOUP"/>
    <s v="SOLRECOUP"/>
    <s v="POARECOUP"/>
    <n v="21356742"/>
    <n v="-255"/>
    <m/>
    <s v="Y"/>
    <n v="1"/>
    <d v="2023-07-10T19:47:46"/>
    <s v="N"/>
    <m/>
    <m/>
    <s v="Non Expert Disbursement"/>
    <m/>
    <s v="N"/>
    <n v="-255"/>
    <n v="0"/>
    <x v="2"/>
    <s v="VALIDATED"/>
    <n v="1"/>
    <s v="01.11.80.208.2013.0000"/>
    <n v="-255"/>
    <s v="11"/>
    <s v="2013"/>
    <n v="12659.16"/>
    <n v="-255"/>
    <s v="CREDITOR"/>
    <n v="0"/>
    <n v="0"/>
    <n v="-255"/>
    <n v="0"/>
    <n v="0"/>
  </r>
  <r>
    <n v="61005185"/>
    <s v="N"/>
    <n v="21349526"/>
    <s v="3000015211450016"/>
    <s v="CIVIL"/>
    <d v="2023-06-29T00:00:00"/>
    <d v="2023-07-10T19:01:40"/>
    <m/>
    <d v="2023-07-10T00:00:00"/>
    <n v="1589"/>
    <n v="15829"/>
    <s v="61005185"/>
    <s v="61005185"/>
    <m/>
    <m/>
    <n v="22791192"/>
    <m/>
    <m/>
    <m/>
    <s v="SOLPOA"/>
    <s v="SOLPOA"/>
    <s v="CCMS"/>
    <n v="21349526"/>
    <n v="4949.08"/>
    <m/>
    <s v="N"/>
    <n v="1"/>
    <d v="2023-07-10T19:01:52"/>
    <s v="N"/>
    <s v="Solicitors Fixed Fee"/>
    <s v="Public Law Children"/>
    <s v="Profit Cost"/>
    <s v="Fahrat Unnisa"/>
    <s v="N"/>
    <n v="4124.23"/>
    <n v="824.85"/>
    <x v="2"/>
    <s v="VALIDATED"/>
    <n v="1"/>
    <s v="01.11.80.308.2012.0000"/>
    <n v="4124.23"/>
    <s v="11"/>
    <s v="2012"/>
    <n v="5783.04"/>
    <n v="4124.23"/>
    <s v="CREDITOR"/>
    <n v="4124.23"/>
    <n v="1031.0575"/>
    <n v="0"/>
    <n v="0"/>
    <n v="0"/>
  </r>
  <r>
    <n v="61378377"/>
    <s v="N"/>
    <n v="21337716"/>
    <s v="3000015522620003"/>
    <s v="CIVIL"/>
    <d v="2023-06-27T00:00:00"/>
    <d v="2023-07-06T19:21:01"/>
    <m/>
    <d v="2023-07-06T00:00:00"/>
    <n v="1589"/>
    <n v="15829"/>
    <s v="61378377"/>
    <s v="61378377"/>
    <m/>
    <m/>
    <n v="22770716"/>
    <m/>
    <m/>
    <m/>
    <s v="SOLFIN"/>
    <s v="SOLFIN"/>
    <s v="CCMS"/>
    <n v="21337716"/>
    <n v="730.48"/>
    <m/>
    <s v="N"/>
    <n v="2"/>
    <d v="2023-07-06T19:21:05"/>
    <s v="Y"/>
    <s v="Hearing Unit 1.01 - 2.30 Hours"/>
    <s v="Private Law Children"/>
    <s v="Advocacy"/>
    <s v="NE"/>
    <s v="Y"/>
    <n v="172.4"/>
    <n v="34.48"/>
    <x v="4"/>
    <s v="VALIDATED"/>
    <n v="1"/>
    <s v="01.11.80.307.6100.0000"/>
    <n v="172.4"/>
    <s v="11"/>
    <s v="6100"/>
    <n v="5783.04"/>
    <n v="172.4"/>
    <s v="CREDITOR"/>
    <n v="0"/>
    <n v="0"/>
    <n v="0"/>
    <n v="0"/>
    <n v="172.4"/>
  </r>
  <r>
    <n v="60276720"/>
    <s v="N"/>
    <n v="21322625"/>
    <s v="3000014556630001"/>
    <s v="CIVIL"/>
    <d v="2023-06-29T00:00:00"/>
    <d v="2023-07-03T19:05:36"/>
    <m/>
    <d v="2023-07-03T00:00:00"/>
    <n v="1589"/>
    <n v="15829"/>
    <s v="60276720"/>
    <s v="60276720"/>
    <m/>
    <m/>
    <n v="22789578"/>
    <m/>
    <m/>
    <m/>
    <s v="SOLPOA"/>
    <s v="SOLPOA"/>
    <s v="CCMS"/>
    <n v="21322625"/>
    <n v="567.8"/>
    <m/>
    <s v="N"/>
    <n v="1"/>
    <d v="2023-07-03T19:05:39"/>
    <s v="N"/>
    <s v="Level 3 Fixed Fee"/>
    <s v="Private Law Children"/>
    <s v="Profit Cost"/>
    <s v="Fahrat Unnisa"/>
    <s v="N"/>
    <n v="473.17"/>
    <n v="94.63"/>
    <x v="3"/>
    <s v="VALIDATED"/>
    <n v="1"/>
    <s v="01.11.80.307.2012.0000"/>
    <n v="473.17"/>
    <s v="11"/>
    <s v="2012"/>
    <n v="5783.04"/>
    <n v="473.17"/>
    <s v="CREDITOR"/>
    <n v="473.17"/>
    <n v="118.2925"/>
    <n v="0"/>
    <n v="0"/>
    <n v="0"/>
  </r>
  <r>
    <n v="62039011"/>
    <s v="N"/>
    <n v="21338343"/>
    <s v="3000016075810002"/>
    <s v="CIVIL"/>
    <d v="2023-06-23T00:00:00"/>
    <d v="2023-07-06T19:21:01"/>
    <m/>
    <d v="2023-07-06T00:00:00"/>
    <n v="1589"/>
    <n v="15829"/>
    <s v="62039011"/>
    <s v="62039011"/>
    <m/>
    <m/>
    <n v="22753554"/>
    <m/>
    <m/>
    <m/>
    <s v="SOLFIN"/>
    <s v="SOLFIN"/>
    <s v="CCMS"/>
    <n v="21338343"/>
    <n v="423.6"/>
    <m/>
    <s v="N"/>
    <n v="1"/>
    <d v="2023-07-06T19:21:20"/>
    <s v="Y"/>
    <s v="Level 3 Fixed Fee"/>
    <s v="Private Law Children"/>
    <s v="Profit Cost"/>
    <s v="Fahrat Unnisa"/>
    <s v="Y"/>
    <n v="353"/>
    <n v="70.59999999999999"/>
    <x v="4"/>
    <s v="VALIDATED"/>
    <n v="1"/>
    <s v="01.11.80.307.6100.0000"/>
    <n v="353"/>
    <s v="11"/>
    <s v="6100"/>
    <n v="5783.04"/>
    <n v="353"/>
    <s v="CREDITOR"/>
    <n v="0"/>
    <n v="0"/>
    <n v="0"/>
    <n v="0"/>
    <n v="353"/>
  </r>
  <r>
    <n v="61378377"/>
    <s v="N"/>
    <n v="21337716"/>
    <s v="3000015522620003"/>
    <s v="CIVIL"/>
    <d v="2023-06-27T00:00:00"/>
    <d v="2023-07-06T19:21:01"/>
    <m/>
    <d v="2023-07-06T00:00:00"/>
    <n v="1589"/>
    <n v="15829"/>
    <s v="61378377"/>
    <s v="61378377"/>
    <m/>
    <m/>
    <n v="22770716"/>
    <m/>
    <m/>
    <m/>
    <s v="SOLFIN"/>
    <s v="SOLFIN"/>
    <s v="CCMS"/>
    <n v="21337716"/>
    <n v="730.48"/>
    <m/>
    <s v="N"/>
    <n v="1"/>
    <d v="2023-07-06T19:21:05"/>
    <s v="Y"/>
    <s v="Police Records"/>
    <s v="Private Law Children"/>
    <s v="Non Expert Disbursement"/>
    <s v="VS"/>
    <s v="Y"/>
    <n v="100"/>
    <n v="0"/>
    <x v="4"/>
    <s v="VALIDATED"/>
    <n v="1"/>
    <s v="01.11.80.307.6300.0000"/>
    <n v="100"/>
    <s v="11"/>
    <s v="6300"/>
    <n v="5783.04"/>
    <n v="100"/>
    <s v="CREDITOR"/>
    <n v="0"/>
    <n v="0"/>
    <n v="0"/>
    <n v="0"/>
    <n v="100"/>
  </r>
  <r>
    <n v="61378377"/>
    <s v="N"/>
    <n v="21337716"/>
    <s v="3000015522620003"/>
    <s v="CIVIL"/>
    <d v="2023-06-27T00:00:00"/>
    <d v="2023-07-06T19:21:01"/>
    <m/>
    <d v="2023-07-06T00:00:00"/>
    <n v="1589"/>
    <n v="15829"/>
    <s v="61378377"/>
    <s v="61378377"/>
    <m/>
    <m/>
    <n v="22770716"/>
    <m/>
    <m/>
    <m/>
    <s v="SOLFIN"/>
    <s v="SOLFIN"/>
    <s v="CCMS"/>
    <n v="21337716"/>
    <n v="730.48"/>
    <m/>
    <s v="N"/>
    <n v="3"/>
    <d v="2023-07-06T19:21:05"/>
    <s v="Y"/>
    <s v="Level 3 Fixed Fee"/>
    <s v="Private Law Children"/>
    <s v="Profit Cost"/>
    <s v="vs"/>
    <s v="Y"/>
    <n v="353"/>
    <n v="70.59999999999999"/>
    <x v="4"/>
    <s v="VALIDATED"/>
    <n v="1"/>
    <s v="01.11.80.307.6100.0000"/>
    <n v="353"/>
    <s v="11"/>
    <s v="6100"/>
    <n v="5783.04"/>
    <n v="353"/>
    <s v="CREDITOR"/>
    <n v="0"/>
    <n v="0"/>
    <n v="0"/>
    <n v="0"/>
    <n v="353"/>
  </r>
  <r>
    <n v="62036949"/>
    <s v="N"/>
    <n v="21343767"/>
    <s v="3000016073570002"/>
    <s v="CIVIL"/>
    <d v="2023-06-30T00:00:00"/>
    <d v="2023-07-07T19:03:00"/>
    <m/>
    <d v="2023-07-07T00:00:00"/>
    <n v="1589"/>
    <n v="15829"/>
    <s v="62036949"/>
    <s v="62036949"/>
    <m/>
    <m/>
    <n v="22796008"/>
    <m/>
    <m/>
    <m/>
    <s v="SOLPOA"/>
    <s v="SOLPOA"/>
    <s v="CCMS"/>
    <n v="21343767"/>
    <n v="100"/>
    <m/>
    <s v="N"/>
    <n v="1"/>
    <d v="2023-07-07T19:03:13"/>
    <s v="N"/>
    <s v="Non Expert Disbursement - Private L"/>
    <s v="Non Expert Disbursement - Priv"/>
    <s v="Non Expert Disbursement"/>
    <s v="NE"/>
    <s v="N"/>
    <n v="100"/>
    <n v="0"/>
    <x v="9"/>
    <s v="VALIDATED"/>
    <n v="1"/>
    <s v="01.11.80.307.2012.0000"/>
    <n v="100"/>
    <s v="11"/>
    <s v="2012"/>
    <n v="5783.04"/>
    <n v="100"/>
    <s v="CREDITOR"/>
    <n v="100"/>
    <n v="0"/>
    <n v="0"/>
    <n v="0"/>
    <n v="0"/>
  </r>
  <r>
    <n v="60917808"/>
    <s v="N"/>
    <n v="21319647"/>
    <s v="3000015137460013"/>
    <s v="CIVIL"/>
    <d v="2023-06-27T00:00:00"/>
    <d v="2023-07-03T19:04:24"/>
    <m/>
    <d v="2023-07-03T00:00:00"/>
    <n v="1589"/>
    <n v="15829"/>
    <s v="60917808"/>
    <s v="60917808"/>
    <m/>
    <m/>
    <n v="22774110"/>
    <m/>
    <m/>
    <m/>
    <s v="SOLPOA"/>
    <s v="SOLPOA"/>
    <s v="CCMS"/>
    <n v="21319647"/>
    <n v="248.69"/>
    <m/>
    <s v="N"/>
    <n v="1"/>
    <d v="2023-07-03T19:04:27"/>
    <s v="N"/>
    <s v="Expert Cost"/>
    <s v="Expert Cost"/>
    <s v="Expert Disbursement"/>
    <s v="vs"/>
    <s v="N"/>
    <n v="207.24"/>
    <n v="41.45"/>
    <x v="3"/>
    <s v="VALIDATED"/>
    <n v="1"/>
    <s v="01.11.80.308.2012.0000"/>
    <n v="207.24"/>
    <s v="11"/>
    <s v="2012"/>
    <n v="5783.04"/>
    <n v="207.24"/>
    <s v="CREDITOR"/>
    <n v="207.24"/>
    <n v="0"/>
    <n v="0"/>
    <n v="0"/>
    <n v="0"/>
  </r>
  <r>
    <n v="61378377"/>
    <s v="N"/>
    <n v="21340092"/>
    <s v="3000015522620001RC"/>
    <s v="CIVIL"/>
    <d v="2023-06-27T00:00:00"/>
    <d v="2023-07-06T19:54:22"/>
    <m/>
    <d v="2023-07-06T00:00:00"/>
    <n v="1589"/>
    <n v="15829"/>
    <s v="61378377"/>
    <s v="61378377"/>
    <m/>
    <m/>
    <m/>
    <m/>
    <m/>
    <m/>
    <s v="SOLRECOUP"/>
    <s v="SOLRECOUP"/>
    <s v="POARECOUP"/>
    <n v="21340092"/>
    <n v="-100"/>
    <m/>
    <s v="Y"/>
    <n v="1"/>
    <d v="2023-07-06T19:54:23"/>
    <s v="N"/>
    <m/>
    <m/>
    <s v="Non Expert Disbursement"/>
    <m/>
    <s v="N"/>
    <n v="-100"/>
    <n v="0"/>
    <x v="4"/>
    <s v="VALIDATED"/>
    <n v="1"/>
    <s v="01.11.80.307.2013.0000"/>
    <n v="-100"/>
    <s v="11"/>
    <s v="2013"/>
    <n v="5783.04"/>
    <n v="-100"/>
    <s v="CREDITOR"/>
    <n v="0"/>
    <n v="0"/>
    <n v="-100"/>
    <n v="0"/>
    <n v="0"/>
  </r>
  <r>
    <n v="61378377"/>
    <s v="N"/>
    <n v="21340092"/>
    <s v="3000015522620001RC"/>
    <s v="CIVIL"/>
    <d v="2023-06-27T00:00:00"/>
    <d v="2023-07-06T19:54:22"/>
    <m/>
    <d v="2023-07-06T00:00:00"/>
    <n v="1589"/>
    <n v="15829"/>
    <s v="61378377"/>
    <s v="61378377"/>
    <m/>
    <m/>
    <m/>
    <m/>
    <m/>
    <m/>
    <s v="SOLRECOUP"/>
    <s v="SOLRECOUP"/>
    <s v="POARECOUP"/>
    <n v="21340092"/>
    <n v="-100"/>
    <m/>
    <s v="Y"/>
    <n v="2"/>
    <d v="2023-07-06T19:54:23"/>
    <s v="N"/>
    <m/>
    <m/>
    <s v="Non Expert Disbursement"/>
    <m/>
    <s v="N"/>
    <n v="0"/>
    <n v="0"/>
    <x v="4"/>
    <s v="VALIDATED"/>
    <n v="1"/>
    <s v="01.11.80.000.0000.0000"/>
    <n v="0"/>
    <s v="11"/>
    <s v="0000"/>
    <n v="5783.04"/>
    <n v="0"/>
    <s v="CREDITOR"/>
    <n v="0"/>
    <n v="0"/>
    <n v="0"/>
    <n v="0"/>
    <n v="0"/>
  </r>
  <r>
    <n v="60052534"/>
    <s v="N"/>
    <n v="21330707"/>
    <s v="3000014390280007"/>
    <s v="CIVIL"/>
    <d v="2023-06-26T00:00:00"/>
    <d v="2023-07-05T19:01:47"/>
    <m/>
    <d v="2023-07-05T00:00:00"/>
    <n v="1595"/>
    <n v="15885"/>
    <s v="60052534"/>
    <s v="60052534"/>
    <m/>
    <m/>
    <n v="22760544"/>
    <m/>
    <m/>
    <m/>
    <s v="SOLFIN"/>
    <s v="SOLFIN"/>
    <s v="CCMS"/>
    <n v="21330707"/>
    <n v="4934.55"/>
    <m/>
    <s v="N"/>
    <n v="6"/>
    <d v="2023-07-05T19:01:53"/>
    <s v="Y"/>
    <s v="Hearing Unit 2.31 - 5.00 Hours"/>
    <s v="Public Law Children"/>
    <s v="Advocacy"/>
    <s v="T. H."/>
    <s v="Y"/>
    <n v="476.92"/>
    <n v="95.38"/>
    <x v="6"/>
    <s v="VALIDATED"/>
    <n v="1"/>
    <s v="01.11.80.308.6100.0000"/>
    <n v="476.92"/>
    <s v="11"/>
    <s v="6100"/>
    <n v="12415.12"/>
    <n v="476.92"/>
    <s v="CREDITOR"/>
    <n v="0"/>
    <n v="0"/>
    <n v="0"/>
    <n v="0"/>
    <n v="476.92"/>
  </r>
  <r>
    <n v="60990459"/>
    <s v="N"/>
    <n v="21363800"/>
    <s v="3000015198620003"/>
    <s v="CIVIL"/>
    <d v="2023-06-29T00:00:00"/>
    <d v="2023-07-12T19:01:49"/>
    <m/>
    <d v="2023-07-12T00:00:00"/>
    <n v="1595"/>
    <n v="15885"/>
    <s v="60990459"/>
    <s v="60990459"/>
    <m/>
    <m/>
    <n v="22785016"/>
    <m/>
    <m/>
    <m/>
    <s v="SOLFIN"/>
    <s v="SOLFIN"/>
    <s v="CCMS"/>
    <n v="21363800"/>
    <n v="6479.08"/>
    <m/>
    <s v="N"/>
    <n v="13"/>
    <d v="2023-07-12T19:02:11"/>
    <s v="Y"/>
    <s v="Hearing Unit 2.31 - 5.00 Hours"/>
    <s v="Public Law Children"/>
    <s v="Advocacy"/>
    <s v="T. H."/>
    <s v="Y"/>
    <n v="476.92"/>
    <n v="95.38"/>
    <x v="0"/>
    <s v="VALIDATED"/>
    <n v="1"/>
    <s v="01.11.80.308.6100.0000"/>
    <n v="476.92"/>
    <s v="11"/>
    <s v="6100"/>
    <n v="12415.12"/>
    <n v="476.92"/>
    <s v="CREDITOR"/>
    <n v="0"/>
    <n v="0"/>
    <n v="0"/>
    <n v="0"/>
    <n v="476.92"/>
  </r>
  <r>
    <n v="61359916"/>
    <s v="N"/>
    <n v="21330888"/>
    <s v="3000015507890002"/>
    <s v="CIVIL"/>
    <d v="2023-06-26T00:00:00"/>
    <d v="2023-07-05T19:01:47"/>
    <m/>
    <d v="2023-07-05T00:00:00"/>
    <n v="1595"/>
    <n v="15885"/>
    <s v="61359916"/>
    <s v="61359916"/>
    <m/>
    <m/>
    <n v="22762794"/>
    <m/>
    <m/>
    <m/>
    <s v="SOLFIN"/>
    <s v="SOLFIN"/>
    <s v="CCMS"/>
    <n v="21330888"/>
    <n v="4922.75"/>
    <m/>
    <s v="N"/>
    <n v="4"/>
    <d v="2023-07-05T19:01:55"/>
    <s v="Y"/>
    <s v="Police Records"/>
    <s v="Public Law Children"/>
    <s v="Non Expert Disbursement"/>
    <s v="T. H."/>
    <s v="Y"/>
    <n v="51.37"/>
    <n v="0"/>
    <x v="6"/>
    <s v="VALIDATED"/>
    <n v="1"/>
    <s v="01.11.80.308.6300.0000"/>
    <n v="51.37"/>
    <s v="11"/>
    <s v="6300"/>
    <n v="12415.12"/>
    <n v="51.37"/>
    <s v="CREDITOR"/>
    <n v="0"/>
    <n v="0"/>
    <n v="0"/>
    <n v="0"/>
    <n v="51.37"/>
  </r>
  <r>
    <n v="61359916"/>
    <s v="N"/>
    <n v="21330888"/>
    <s v="3000015507890002"/>
    <s v="CIVIL"/>
    <d v="2023-06-26T00:00:00"/>
    <d v="2023-07-05T19:01:47"/>
    <m/>
    <d v="2023-07-05T00:00:00"/>
    <n v="1595"/>
    <n v="15885"/>
    <s v="61359916"/>
    <s v="61359916"/>
    <m/>
    <m/>
    <n v="22762794"/>
    <m/>
    <m/>
    <m/>
    <s v="SOLFIN"/>
    <s v="SOLFIN"/>
    <s v="CCMS"/>
    <n v="21330888"/>
    <n v="4922.75"/>
    <m/>
    <s v="N"/>
    <n v="13"/>
    <d v="2023-07-05T19:01:55"/>
    <s v="Y"/>
    <s v="Advocates Meeting"/>
    <s v="Public Law Children"/>
    <s v="Advocacy"/>
    <s v="T. H."/>
    <s v="Y"/>
    <n v="140.99"/>
    <n v="28.2"/>
    <x v="6"/>
    <s v="VALIDATED"/>
    <n v="1"/>
    <s v="01.11.80.308.6100.0000"/>
    <n v="140.99"/>
    <s v="11"/>
    <s v="6100"/>
    <n v="12415.12"/>
    <n v="140.99"/>
    <s v="CREDITOR"/>
    <n v="0"/>
    <n v="0"/>
    <n v="0"/>
    <n v="0"/>
    <n v="140.99"/>
  </r>
  <r>
    <n v="60990459"/>
    <s v="N"/>
    <n v="21363800"/>
    <s v="3000015198620003"/>
    <s v="CIVIL"/>
    <d v="2023-06-29T00:00:00"/>
    <d v="2023-07-12T19:01:49"/>
    <m/>
    <d v="2023-07-12T00:00:00"/>
    <n v="1595"/>
    <n v="15885"/>
    <s v="60990459"/>
    <s v="60990459"/>
    <m/>
    <m/>
    <n v="22785016"/>
    <m/>
    <m/>
    <m/>
    <s v="SOLFIN"/>
    <s v="SOLFIN"/>
    <s v="CCMS"/>
    <n v="21363800"/>
    <n v="6479.08"/>
    <m/>
    <s v="N"/>
    <n v="1"/>
    <d v="2023-07-12T19:02:11"/>
    <s v="Y"/>
    <s v="Final Hearing Court Bundle/Advocate"/>
    <s v="Public Law Children"/>
    <s v="Advocacy"/>
    <s v="T. H."/>
    <s v="Y"/>
    <n v="318.6"/>
    <n v="63.72"/>
    <x v="0"/>
    <s v="VALIDATED"/>
    <n v="1"/>
    <s v="01.11.80.308.6100.0000"/>
    <n v="318.6"/>
    <s v="11"/>
    <s v="6100"/>
    <n v="12415.12"/>
    <n v="318.6"/>
    <s v="CREDITOR"/>
    <n v="0"/>
    <n v="0"/>
    <n v="0"/>
    <n v="0"/>
    <n v="318.6"/>
  </r>
  <r>
    <n v="60990459"/>
    <s v="N"/>
    <n v="21363800"/>
    <s v="3000015198620003"/>
    <s v="CIVIL"/>
    <d v="2023-06-29T00:00:00"/>
    <d v="2023-07-12T19:01:49"/>
    <m/>
    <d v="2023-07-12T00:00:00"/>
    <n v="1595"/>
    <n v="15885"/>
    <s v="60990459"/>
    <s v="60990459"/>
    <m/>
    <m/>
    <n v="22785016"/>
    <m/>
    <m/>
    <m/>
    <s v="SOLFIN"/>
    <s v="SOLFIN"/>
    <s v="CCMS"/>
    <n v="21363800"/>
    <n v="6479.08"/>
    <m/>
    <s v="N"/>
    <n v="10"/>
    <d v="2023-07-12T19:02:11"/>
    <s v="Y"/>
    <s v="Advocates Meeting"/>
    <s v="Public Law Children"/>
    <s v="Advocacy"/>
    <s v="T. H."/>
    <s v="Y"/>
    <n v="140.99"/>
    <n v="28.2"/>
    <x v="0"/>
    <s v="VALIDATED"/>
    <n v="1"/>
    <s v="01.11.80.308.6100.0000"/>
    <n v="140.99"/>
    <s v="11"/>
    <s v="6100"/>
    <n v="12415.12"/>
    <n v="140.99"/>
    <s v="CREDITOR"/>
    <n v="0"/>
    <n v="0"/>
    <n v="0"/>
    <n v="0"/>
    <n v="140.99"/>
  </r>
  <r>
    <n v="60990459"/>
    <s v="N"/>
    <n v="21363800"/>
    <s v="3000015198620003"/>
    <s v="CIVIL"/>
    <d v="2023-06-29T00:00:00"/>
    <d v="2023-07-12T19:01:49"/>
    <m/>
    <d v="2023-07-12T00:00:00"/>
    <n v="1595"/>
    <n v="15885"/>
    <s v="60990459"/>
    <s v="60990459"/>
    <m/>
    <m/>
    <n v="22785016"/>
    <m/>
    <m/>
    <m/>
    <s v="SOLFIN"/>
    <s v="SOLFIN"/>
    <s v="CCMS"/>
    <n v="21363800"/>
    <n v="6479.08"/>
    <m/>
    <s v="N"/>
    <n v="11"/>
    <d v="2023-07-12T19:02:11"/>
    <s v="Y"/>
    <s v="Hearing Unit 2.31 - 5.00 Hours"/>
    <s v="Public Law Children"/>
    <s v="Advocacy"/>
    <s v="T. H."/>
    <s v="Y"/>
    <n v="476.92"/>
    <n v="95.38"/>
    <x v="0"/>
    <s v="VALIDATED"/>
    <n v="1"/>
    <s v="01.11.80.308.6100.0000"/>
    <n v="476.92"/>
    <s v="11"/>
    <s v="6100"/>
    <n v="12415.12"/>
    <n v="476.92"/>
    <s v="CREDITOR"/>
    <n v="0"/>
    <n v="0"/>
    <n v="0"/>
    <n v="0"/>
    <n v="476.92"/>
  </r>
  <r>
    <n v="60052534"/>
    <s v="N"/>
    <n v="21330707"/>
    <s v="3000014390280007"/>
    <s v="CIVIL"/>
    <d v="2023-06-26T00:00:00"/>
    <d v="2023-07-05T19:01:47"/>
    <m/>
    <d v="2023-07-05T00:00:00"/>
    <n v="1595"/>
    <n v="15885"/>
    <s v="60052534"/>
    <s v="60052534"/>
    <m/>
    <m/>
    <n v="22760544"/>
    <m/>
    <m/>
    <m/>
    <s v="SOLFIN"/>
    <s v="SOLFIN"/>
    <s v="CCMS"/>
    <n v="21330707"/>
    <n v="4934.55"/>
    <m/>
    <s v="N"/>
    <n v="4"/>
    <d v="2023-07-05T19:01:53"/>
    <s v="Y"/>
    <s v="Toxicologist"/>
    <s v="Public Law Children"/>
    <s v="Expert Disbursement"/>
    <s v="T. H."/>
    <s v="Y"/>
    <n v="86.25"/>
    <n v="17.25"/>
    <x v="6"/>
    <s v="VALIDATED"/>
    <n v="1"/>
    <s v="01.11.80.308.6300.0000"/>
    <n v="86.25"/>
    <s v="11"/>
    <s v="6300"/>
    <n v="12415.12"/>
    <n v="86.25"/>
    <s v="CREDITOR"/>
    <n v="0"/>
    <n v="0"/>
    <n v="0"/>
    <n v="0"/>
    <n v="86.25"/>
  </r>
  <r>
    <n v="60990459"/>
    <s v="N"/>
    <n v="21363800"/>
    <s v="3000015198620003"/>
    <s v="CIVIL"/>
    <d v="2023-06-29T00:00:00"/>
    <d v="2023-07-12T19:01:49"/>
    <m/>
    <d v="2023-07-12T00:00:00"/>
    <n v="1595"/>
    <n v="15885"/>
    <s v="60990459"/>
    <s v="60990459"/>
    <m/>
    <m/>
    <n v="22785016"/>
    <m/>
    <m/>
    <m/>
    <s v="SOLFIN"/>
    <s v="SOLFIN"/>
    <s v="CCMS"/>
    <n v="21363800"/>
    <n v="6479.08"/>
    <m/>
    <s v="N"/>
    <n v="8"/>
    <d v="2023-07-12T19:02:11"/>
    <s v="Y"/>
    <s v="Advocates Meeting"/>
    <s v="Public Law Children"/>
    <s v="Advocacy"/>
    <s v="T. H."/>
    <s v="Y"/>
    <n v="140.99"/>
    <n v="28.2"/>
    <x v="0"/>
    <s v="VALIDATED"/>
    <n v="1"/>
    <s v="01.11.80.308.6100.0000"/>
    <n v="140.99"/>
    <s v="11"/>
    <s v="6100"/>
    <n v="12415.12"/>
    <n v="140.99"/>
    <s v="CREDITOR"/>
    <n v="0"/>
    <n v="0"/>
    <n v="0"/>
    <n v="0"/>
    <n v="140.99"/>
  </r>
  <r>
    <n v="60990459"/>
    <s v="N"/>
    <n v="21363800"/>
    <s v="3000015198620003"/>
    <s v="CIVIL"/>
    <d v="2023-06-29T00:00:00"/>
    <d v="2023-07-12T19:01:49"/>
    <m/>
    <d v="2023-07-12T00:00:00"/>
    <n v="1595"/>
    <n v="15885"/>
    <s v="60990459"/>
    <s v="60990459"/>
    <m/>
    <m/>
    <n v="22785016"/>
    <m/>
    <m/>
    <m/>
    <s v="SOLFIN"/>
    <s v="SOLFIN"/>
    <s v="CCMS"/>
    <n v="21363800"/>
    <n v="6479.08"/>
    <m/>
    <s v="N"/>
    <n v="5"/>
    <d v="2023-07-12T19:02:11"/>
    <s v="Y"/>
    <s v="Hearing Unit 1.01 - 2.30 Hours"/>
    <s v="Public Law Children"/>
    <s v="Advocacy"/>
    <s v="T. H."/>
    <s v="Y"/>
    <n v="238.46"/>
    <n v="47.69"/>
    <x v="0"/>
    <s v="VALIDATED"/>
    <n v="1"/>
    <s v="01.11.80.308.6100.0000"/>
    <n v="238.46"/>
    <s v="11"/>
    <s v="6100"/>
    <n v="12415.12"/>
    <n v="238.46"/>
    <s v="CREDITOR"/>
    <n v="0"/>
    <n v="0"/>
    <n v="0"/>
    <n v="0"/>
    <n v="238.46"/>
  </r>
  <r>
    <n v="61359916"/>
    <s v="N"/>
    <n v="21330888"/>
    <s v="3000015507890002"/>
    <s v="CIVIL"/>
    <d v="2023-06-26T00:00:00"/>
    <d v="2023-07-05T19:01:47"/>
    <m/>
    <d v="2023-07-05T00:00:00"/>
    <n v="1595"/>
    <n v="15885"/>
    <s v="61359916"/>
    <s v="61359916"/>
    <m/>
    <m/>
    <n v="22762794"/>
    <m/>
    <m/>
    <m/>
    <s v="SOLFIN"/>
    <s v="SOLFIN"/>
    <s v="CCMS"/>
    <n v="21330888"/>
    <n v="4922.75"/>
    <m/>
    <s v="N"/>
    <n v="2"/>
    <d v="2023-07-05T19:01:55"/>
    <s v="Y"/>
    <s v="Interim Hearing Court Bundle/Advoca"/>
    <s v="Public Law Children"/>
    <s v="Advocacy"/>
    <s v="T. H."/>
    <s v="Y"/>
    <n v="89.09999999999999"/>
    <n v="17.82"/>
    <x v="6"/>
    <s v="VALIDATED"/>
    <n v="1"/>
    <s v="01.11.80.308.6100.0000"/>
    <n v="89.09999999999999"/>
    <s v="11"/>
    <s v="6100"/>
    <n v="12415.12"/>
    <n v="89.09999999999999"/>
    <s v="CREDITOR"/>
    <n v="0"/>
    <n v="0"/>
    <n v="0"/>
    <n v="0"/>
    <n v="89.09999999999999"/>
  </r>
  <r>
    <n v="61359916"/>
    <s v="N"/>
    <n v="21330888"/>
    <s v="3000015507890002"/>
    <s v="CIVIL"/>
    <d v="2023-06-26T00:00:00"/>
    <d v="2023-07-05T19:01:47"/>
    <m/>
    <d v="2023-07-05T00:00:00"/>
    <n v="1595"/>
    <n v="15885"/>
    <s v="61359916"/>
    <s v="61359916"/>
    <m/>
    <m/>
    <n v="22762794"/>
    <m/>
    <m/>
    <m/>
    <s v="SOLFIN"/>
    <s v="SOLFIN"/>
    <s v="CCMS"/>
    <n v="21330888"/>
    <n v="4922.75"/>
    <m/>
    <s v="N"/>
    <n v="8"/>
    <d v="2023-07-05T19:01:55"/>
    <s v="Y"/>
    <s v="Solicitor Travel Expenses"/>
    <s v="Public Law Children"/>
    <s v="Non Expert Disbursement"/>
    <s v="T. H."/>
    <s v="Y"/>
    <n v="5"/>
    <n v="0"/>
    <x v="6"/>
    <s v="VALIDATED"/>
    <n v="1"/>
    <s v="01.11.80.308.6300.0000"/>
    <n v="5"/>
    <s v="11"/>
    <s v="6300"/>
    <n v="12415.12"/>
    <n v="5"/>
    <s v="CREDITOR"/>
    <n v="0"/>
    <n v="0"/>
    <n v="0"/>
    <n v="0"/>
    <n v="5"/>
  </r>
  <r>
    <n v="60990459"/>
    <s v="N"/>
    <n v="21363800"/>
    <s v="3000015198620003"/>
    <s v="CIVIL"/>
    <d v="2023-06-29T00:00:00"/>
    <d v="2023-07-12T19:01:49"/>
    <m/>
    <d v="2023-07-12T00:00:00"/>
    <n v="1595"/>
    <n v="15885"/>
    <s v="60990459"/>
    <s v="60990459"/>
    <m/>
    <m/>
    <n v="22785016"/>
    <m/>
    <m/>
    <m/>
    <s v="SOLFIN"/>
    <s v="SOLFIN"/>
    <s v="CCMS"/>
    <n v="21363800"/>
    <n v="6479.08"/>
    <m/>
    <s v="N"/>
    <n v="2"/>
    <d v="2023-07-12T19:02:11"/>
    <s v="Y"/>
    <s v="Interim Hearing Court Bundle/Advoca"/>
    <s v="Public Law Children"/>
    <s v="Advocacy"/>
    <s v="T. H."/>
    <s v="Y"/>
    <n v="89.09999999999999"/>
    <n v="17.82"/>
    <x v="0"/>
    <s v="VALIDATED"/>
    <n v="1"/>
    <s v="01.11.80.308.6100.0000"/>
    <n v="89.09999999999999"/>
    <s v="11"/>
    <s v="6100"/>
    <n v="12415.12"/>
    <n v="89.09999999999999"/>
    <s v="CREDITOR"/>
    <n v="0"/>
    <n v="0"/>
    <n v="0"/>
    <n v="0"/>
    <n v="89.09999999999999"/>
  </r>
  <r>
    <n v="61359916"/>
    <s v="N"/>
    <n v="21330888"/>
    <s v="3000015507890002"/>
    <s v="CIVIL"/>
    <d v="2023-06-26T00:00:00"/>
    <d v="2023-07-05T19:01:47"/>
    <m/>
    <d v="2023-07-05T00:00:00"/>
    <n v="1595"/>
    <n v="15885"/>
    <s v="61359916"/>
    <s v="61359916"/>
    <m/>
    <m/>
    <n v="22762794"/>
    <m/>
    <m/>
    <m/>
    <s v="SOLFIN"/>
    <s v="SOLFIN"/>
    <s v="CCMS"/>
    <n v="21330888"/>
    <n v="4922.75"/>
    <m/>
    <s v="N"/>
    <n v="6"/>
    <d v="2023-07-05T19:01:55"/>
    <s v="Y"/>
    <s v="Solicitor Travel Expenses"/>
    <s v="Public Law Children"/>
    <s v="Non Expert Disbursement"/>
    <s v="T. H."/>
    <s v="Y"/>
    <n v="3.5"/>
    <n v="0"/>
    <x v="6"/>
    <s v="VALIDATED"/>
    <n v="1"/>
    <s v="01.11.80.308.6300.0000"/>
    <n v="3.5"/>
    <s v="11"/>
    <s v="6300"/>
    <n v="12415.12"/>
    <n v="3.5"/>
    <s v="CREDITOR"/>
    <n v="0"/>
    <n v="0"/>
    <n v="0"/>
    <n v="0"/>
    <n v="3.5"/>
  </r>
  <r>
    <n v="61359916"/>
    <s v="N"/>
    <n v="21330888"/>
    <s v="3000015507890002"/>
    <s v="CIVIL"/>
    <d v="2023-06-26T00:00:00"/>
    <d v="2023-07-05T19:01:47"/>
    <m/>
    <d v="2023-07-05T00:00:00"/>
    <n v="1595"/>
    <n v="15885"/>
    <s v="61359916"/>
    <s v="61359916"/>
    <m/>
    <m/>
    <n v="22762794"/>
    <m/>
    <m/>
    <m/>
    <s v="SOLFIN"/>
    <s v="SOLFIN"/>
    <s v="CCMS"/>
    <n v="21330888"/>
    <n v="4922.75"/>
    <m/>
    <s v="N"/>
    <n v="7"/>
    <d v="2023-07-05T19:01:55"/>
    <s v="Y"/>
    <s v="Solicitor Travel Expenses"/>
    <s v="Public Law Children"/>
    <s v="Non Expert Disbursement"/>
    <s v="T. H."/>
    <s v="Y"/>
    <n v="3.5"/>
    <n v="0"/>
    <x v="6"/>
    <s v="VALIDATED"/>
    <n v="1"/>
    <s v="01.11.80.308.6300.0000"/>
    <n v="3.5"/>
    <s v="11"/>
    <s v="6300"/>
    <n v="12415.12"/>
    <n v="3.5"/>
    <s v="CREDITOR"/>
    <n v="0"/>
    <n v="0"/>
    <n v="0"/>
    <n v="0"/>
    <n v="3.5"/>
  </r>
  <r>
    <n v="60990459"/>
    <s v="N"/>
    <n v="21363800"/>
    <s v="3000015198620003"/>
    <s v="CIVIL"/>
    <d v="2023-06-29T00:00:00"/>
    <d v="2023-07-12T19:01:49"/>
    <m/>
    <d v="2023-07-12T00:00:00"/>
    <n v="1595"/>
    <n v="15885"/>
    <s v="60990459"/>
    <s v="60990459"/>
    <m/>
    <m/>
    <n v="22785016"/>
    <m/>
    <m/>
    <m/>
    <s v="SOLFIN"/>
    <s v="SOLFIN"/>
    <s v="CCMS"/>
    <n v="21363800"/>
    <n v="6479.08"/>
    <m/>
    <s v="N"/>
    <n v="3"/>
    <d v="2023-07-12T19:02:11"/>
    <s v="Y"/>
    <s v="Expert - Other"/>
    <s v="Public Law Children"/>
    <s v="Expert Disbursement"/>
    <s v="T. H."/>
    <s v="Y"/>
    <n v="139.28"/>
    <n v="27.86"/>
    <x v="0"/>
    <s v="VALIDATED"/>
    <n v="1"/>
    <s v="01.11.80.308.6300.0000"/>
    <n v="139.28"/>
    <s v="11"/>
    <s v="6300"/>
    <n v="12415.12"/>
    <n v="139.28"/>
    <s v="CREDITOR"/>
    <n v="0"/>
    <n v="0"/>
    <n v="0"/>
    <n v="0"/>
    <n v="139.28"/>
  </r>
  <r>
    <n v="60990459"/>
    <s v="N"/>
    <n v="21363800"/>
    <s v="3000015198620003"/>
    <s v="CIVIL"/>
    <d v="2023-06-29T00:00:00"/>
    <d v="2023-07-12T19:01:49"/>
    <m/>
    <d v="2023-07-12T00:00:00"/>
    <n v="1595"/>
    <n v="15885"/>
    <s v="60990459"/>
    <s v="60990459"/>
    <m/>
    <m/>
    <n v="22785016"/>
    <m/>
    <m/>
    <m/>
    <s v="SOLFIN"/>
    <s v="SOLFIN"/>
    <s v="CCMS"/>
    <n v="21363800"/>
    <n v="6479.08"/>
    <m/>
    <s v="N"/>
    <n v="12"/>
    <d v="2023-07-12T19:02:11"/>
    <s v="Y"/>
    <s v="Advocates Meeting"/>
    <s v="Public Law Children"/>
    <s v="Advocacy"/>
    <s v="T. H."/>
    <s v="Y"/>
    <n v="140.99"/>
    <n v="28.2"/>
    <x v="0"/>
    <s v="VALIDATED"/>
    <n v="1"/>
    <s v="01.11.80.308.6100.0000"/>
    <n v="140.99"/>
    <s v="11"/>
    <s v="6100"/>
    <n v="12415.12"/>
    <n v="140.99"/>
    <s v="CREDITOR"/>
    <n v="0"/>
    <n v="0"/>
    <n v="0"/>
    <n v="0"/>
    <n v="140.99"/>
  </r>
  <r>
    <n v="60052534"/>
    <s v="N"/>
    <n v="21330707"/>
    <s v="3000014390280007"/>
    <s v="CIVIL"/>
    <d v="2023-06-26T00:00:00"/>
    <d v="2023-07-05T19:01:47"/>
    <m/>
    <d v="2023-07-05T00:00:00"/>
    <n v="1595"/>
    <n v="15885"/>
    <s v="60052534"/>
    <s v="60052534"/>
    <m/>
    <m/>
    <n v="22760544"/>
    <m/>
    <m/>
    <m/>
    <s v="SOLFIN"/>
    <s v="SOLFIN"/>
    <s v="CCMS"/>
    <n v="21330707"/>
    <n v="4934.55"/>
    <m/>
    <s v="N"/>
    <n v="7"/>
    <d v="2023-07-05T19:01:53"/>
    <s v="Y"/>
    <s v="Hearing Unit 1.01 - 2.30 Hours"/>
    <s v="Public Law Children"/>
    <s v="Advocacy"/>
    <s v="T. H."/>
    <s v="Y"/>
    <n v="238.46"/>
    <n v="47.69"/>
    <x v="6"/>
    <s v="VALIDATED"/>
    <n v="1"/>
    <s v="01.11.80.308.6100.0000"/>
    <n v="238.46"/>
    <s v="11"/>
    <s v="6100"/>
    <n v="12415.12"/>
    <n v="238.46"/>
    <s v="CREDITOR"/>
    <n v="0"/>
    <n v="0"/>
    <n v="0"/>
    <n v="0"/>
    <n v="238.46"/>
  </r>
  <r>
    <n v="60052534"/>
    <s v="N"/>
    <n v="21330707"/>
    <s v="3000014390280007"/>
    <s v="CIVIL"/>
    <d v="2023-06-26T00:00:00"/>
    <d v="2023-07-05T19:01:47"/>
    <m/>
    <d v="2023-07-05T00:00:00"/>
    <n v="1595"/>
    <n v="15885"/>
    <s v="60052534"/>
    <s v="60052534"/>
    <m/>
    <m/>
    <n v="22760544"/>
    <m/>
    <m/>
    <m/>
    <s v="SOLFIN"/>
    <s v="SOLFIN"/>
    <s v="CCMS"/>
    <n v="21330707"/>
    <n v="4934.55"/>
    <m/>
    <s v="N"/>
    <n v="2"/>
    <d v="2023-07-05T19:01:53"/>
    <s v="Y"/>
    <s v="Toxicologist"/>
    <s v="Public Law Children"/>
    <s v="Expert Disbursement"/>
    <s v="T. H."/>
    <s v="Y"/>
    <n v="186"/>
    <n v="37.2"/>
    <x v="6"/>
    <s v="VALIDATED"/>
    <n v="1"/>
    <s v="01.11.80.308.6300.0000"/>
    <n v="186"/>
    <s v="11"/>
    <s v="6300"/>
    <n v="12415.12"/>
    <n v="186"/>
    <s v="CREDITOR"/>
    <n v="0"/>
    <n v="0"/>
    <n v="0"/>
    <n v="0"/>
    <n v="186"/>
  </r>
  <r>
    <n v="60990459"/>
    <s v="N"/>
    <n v="21363800"/>
    <s v="3000015198620003"/>
    <s v="CIVIL"/>
    <d v="2023-06-29T00:00:00"/>
    <d v="2023-07-12T19:01:49"/>
    <m/>
    <d v="2023-07-12T00:00:00"/>
    <n v="1595"/>
    <n v="15885"/>
    <s v="60990459"/>
    <s v="60990459"/>
    <m/>
    <m/>
    <n v="22785016"/>
    <m/>
    <m/>
    <m/>
    <s v="SOLFIN"/>
    <s v="SOLFIN"/>
    <s v="CCMS"/>
    <n v="21363800"/>
    <n v="6479.08"/>
    <m/>
    <s v="N"/>
    <n v="7"/>
    <d v="2023-07-12T19:02:11"/>
    <s v="Y"/>
    <s v="Final Hearing - 1 Day"/>
    <s v="Public Law Children"/>
    <s v="Advocacy"/>
    <s v="T. H."/>
    <s v="Y"/>
    <n v="556.88"/>
    <n v="111.38"/>
    <x v="0"/>
    <s v="VALIDATED"/>
    <n v="1"/>
    <s v="01.11.80.308.6100.0000"/>
    <n v="556.88"/>
    <s v="11"/>
    <s v="6100"/>
    <n v="12415.12"/>
    <n v="556.88"/>
    <s v="CREDITOR"/>
    <n v="0"/>
    <n v="0"/>
    <n v="0"/>
    <n v="0"/>
    <n v="556.88"/>
  </r>
  <r>
    <n v="61359916"/>
    <s v="N"/>
    <n v="21330888"/>
    <s v="3000015507890002"/>
    <s v="CIVIL"/>
    <d v="2023-06-26T00:00:00"/>
    <d v="2023-07-05T19:01:47"/>
    <m/>
    <d v="2023-07-05T00:00:00"/>
    <n v="1595"/>
    <n v="15885"/>
    <s v="61359916"/>
    <s v="61359916"/>
    <m/>
    <m/>
    <n v="22762794"/>
    <m/>
    <m/>
    <m/>
    <s v="SOLFIN"/>
    <s v="SOLFIN"/>
    <s v="CCMS"/>
    <n v="21330888"/>
    <n v="4922.75"/>
    <m/>
    <s v="N"/>
    <n v="12"/>
    <d v="2023-07-05T19:01:55"/>
    <s v="Y"/>
    <s v="Hearing Unit 1.01 - 2.30 Hours"/>
    <s v="Public Law Children"/>
    <s v="Advocacy"/>
    <s v="T. H."/>
    <s v="Y"/>
    <n v="238.46"/>
    <n v="47.69"/>
    <x v="6"/>
    <s v="VALIDATED"/>
    <n v="1"/>
    <s v="01.11.80.308.6100.0000"/>
    <n v="238.46"/>
    <s v="11"/>
    <s v="6100"/>
    <n v="12415.12"/>
    <n v="238.46"/>
    <s v="CREDITOR"/>
    <n v="0"/>
    <n v="0"/>
    <n v="0"/>
    <n v="0"/>
    <n v="238.46"/>
  </r>
  <r>
    <n v="60990459"/>
    <s v="N"/>
    <n v="21363800"/>
    <s v="3000015198620003"/>
    <s v="CIVIL"/>
    <d v="2023-06-29T00:00:00"/>
    <d v="2023-07-12T19:01:49"/>
    <m/>
    <d v="2023-07-12T00:00:00"/>
    <n v="1595"/>
    <n v="15885"/>
    <s v="60990459"/>
    <s v="60990459"/>
    <m/>
    <m/>
    <n v="22785016"/>
    <m/>
    <m/>
    <m/>
    <s v="SOLFIN"/>
    <s v="SOLFIN"/>
    <s v="CCMS"/>
    <n v="21363800"/>
    <n v="6479.08"/>
    <m/>
    <s v="N"/>
    <n v="9"/>
    <d v="2023-07-12T19:02:11"/>
    <s v="Y"/>
    <s v="Hearing Unit 2.31 - 5.00 Hours"/>
    <s v="Public Law Children"/>
    <s v="Advocacy"/>
    <s v="T. H."/>
    <s v="Y"/>
    <n v="476.92"/>
    <n v="95.38"/>
    <x v="0"/>
    <s v="VALIDATED"/>
    <n v="1"/>
    <s v="01.11.80.308.6100.0000"/>
    <n v="476.92"/>
    <s v="11"/>
    <s v="6100"/>
    <n v="12415.12"/>
    <n v="476.92"/>
    <s v="CREDITOR"/>
    <n v="0"/>
    <n v="0"/>
    <n v="0"/>
    <n v="0"/>
    <n v="476.92"/>
  </r>
  <r>
    <n v="61359916"/>
    <s v="N"/>
    <n v="21330888"/>
    <s v="3000015507890002"/>
    <s v="CIVIL"/>
    <d v="2023-06-26T00:00:00"/>
    <d v="2023-07-05T19:01:47"/>
    <m/>
    <d v="2023-07-05T00:00:00"/>
    <n v="1595"/>
    <n v="15885"/>
    <s v="61359916"/>
    <s v="61359916"/>
    <m/>
    <m/>
    <n v="22762794"/>
    <m/>
    <m/>
    <m/>
    <s v="SOLFIN"/>
    <s v="SOLFIN"/>
    <s v="CCMS"/>
    <n v="21330888"/>
    <n v="4922.75"/>
    <m/>
    <s v="N"/>
    <n v="5"/>
    <d v="2023-07-05T19:01:55"/>
    <s v="Y"/>
    <s v="Psychologist"/>
    <s v="Public Law Children"/>
    <s v="Expert Disbursement"/>
    <s v="T. H."/>
    <s v="Y"/>
    <n v="166.64"/>
    <n v="33.33"/>
    <x v="6"/>
    <s v="VALIDATED"/>
    <n v="1"/>
    <s v="01.11.80.308.6300.0000"/>
    <n v="166.64"/>
    <s v="11"/>
    <s v="6300"/>
    <n v="12415.12"/>
    <n v="166.64"/>
    <s v="CREDITOR"/>
    <n v="0"/>
    <n v="0"/>
    <n v="0"/>
    <n v="0"/>
    <n v="166.64"/>
  </r>
  <r>
    <n v="60052534"/>
    <s v="N"/>
    <n v="21330707"/>
    <s v="3000014390280007"/>
    <s v="CIVIL"/>
    <d v="2023-06-26T00:00:00"/>
    <d v="2023-07-05T19:01:47"/>
    <m/>
    <d v="2023-07-05T00:00:00"/>
    <n v="1595"/>
    <n v="15885"/>
    <s v="60052534"/>
    <s v="60052534"/>
    <m/>
    <m/>
    <n v="22760544"/>
    <m/>
    <m/>
    <m/>
    <s v="SOLFIN"/>
    <s v="SOLFIN"/>
    <s v="CCMS"/>
    <n v="21330707"/>
    <n v="4934.55"/>
    <m/>
    <s v="N"/>
    <n v="10"/>
    <d v="2023-07-05T19:01:53"/>
    <s v="Y"/>
    <s v="Solicitors Fixed Fee"/>
    <s v="Public Law Children"/>
    <s v="Profit Cost"/>
    <s v="T. H."/>
    <s v="Y"/>
    <n v="1911"/>
    <n v="382.2"/>
    <x v="6"/>
    <s v="VALIDATED"/>
    <n v="1"/>
    <s v="01.11.80.308.6100.0000"/>
    <n v="1911"/>
    <s v="11"/>
    <s v="6100"/>
    <n v="12415.12"/>
    <n v="1911"/>
    <s v="CREDITOR"/>
    <n v="0"/>
    <n v="0"/>
    <n v="0"/>
    <n v="0"/>
    <n v="1911"/>
  </r>
  <r>
    <n v="61359916"/>
    <s v="N"/>
    <n v="21330888"/>
    <s v="3000015507890002"/>
    <s v="CIVIL"/>
    <d v="2023-06-26T00:00:00"/>
    <d v="2023-07-05T19:01:47"/>
    <m/>
    <d v="2023-07-05T00:00:00"/>
    <n v="1595"/>
    <n v="15885"/>
    <s v="61359916"/>
    <s v="61359916"/>
    <m/>
    <m/>
    <n v="22762794"/>
    <m/>
    <m/>
    <m/>
    <s v="SOLFIN"/>
    <s v="SOLFIN"/>
    <s v="CCMS"/>
    <n v="21330888"/>
    <n v="4922.75"/>
    <m/>
    <s v="N"/>
    <n v="1"/>
    <d v="2023-07-05T19:01:55"/>
    <s v="Y"/>
    <s v="Interim Hearing Court Bundle/Advoca"/>
    <s v="Public Law Children"/>
    <s v="Advocacy"/>
    <s v="T. H."/>
    <s v="Y"/>
    <n v="89.09999999999999"/>
    <n v="17.82"/>
    <x v="6"/>
    <s v="VALIDATED"/>
    <n v="1"/>
    <s v="01.11.80.308.6100.0000"/>
    <n v="89.09999999999999"/>
    <s v="11"/>
    <s v="6100"/>
    <n v="12415.12"/>
    <n v="89.09999999999999"/>
    <s v="CREDITOR"/>
    <n v="0"/>
    <n v="0"/>
    <n v="0"/>
    <n v="0"/>
    <n v="89.09999999999999"/>
  </r>
  <r>
    <n v="60052534"/>
    <s v="N"/>
    <n v="21330707"/>
    <s v="3000014390280007"/>
    <s v="CIVIL"/>
    <d v="2023-06-26T00:00:00"/>
    <d v="2023-07-05T19:01:47"/>
    <m/>
    <d v="2023-07-05T00:00:00"/>
    <n v="1595"/>
    <n v="15885"/>
    <s v="60052534"/>
    <s v="60052534"/>
    <m/>
    <m/>
    <n v="22760544"/>
    <m/>
    <m/>
    <m/>
    <s v="SOLFIN"/>
    <s v="SOLFIN"/>
    <s v="CCMS"/>
    <n v="21330707"/>
    <n v="4934.55"/>
    <m/>
    <s v="N"/>
    <n v="5"/>
    <d v="2023-07-05T19:01:53"/>
    <s v="Y"/>
    <s v="Advocates Meeting"/>
    <s v="Public Law Children"/>
    <s v="Advocacy"/>
    <s v="T. H."/>
    <s v="Y"/>
    <n v="140.99"/>
    <n v="28.2"/>
    <x v="6"/>
    <s v="VALIDATED"/>
    <n v="1"/>
    <s v="01.11.80.308.6100.0000"/>
    <n v="140.99"/>
    <s v="11"/>
    <s v="6100"/>
    <n v="12415.12"/>
    <n v="140.99"/>
    <s v="CREDITOR"/>
    <n v="0"/>
    <n v="0"/>
    <n v="0"/>
    <n v="0"/>
    <n v="140.99"/>
  </r>
  <r>
    <n v="60052534"/>
    <s v="N"/>
    <n v="21330707"/>
    <s v="3000014390280007"/>
    <s v="CIVIL"/>
    <d v="2023-06-26T00:00:00"/>
    <d v="2023-07-05T19:01:47"/>
    <m/>
    <d v="2023-07-05T00:00:00"/>
    <n v="1595"/>
    <n v="15885"/>
    <s v="60052534"/>
    <s v="60052534"/>
    <m/>
    <m/>
    <n v="22760544"/>
    <m/>
    <m/>
    <m/>
    <s v="SOLFIN"/>
    <s v="SOLFIN"/>
    <s v="CCMS"/>
    <n v="21330707"/>
    <n v="4934.55"/>
    <m/>
    <s v="N"/>
    <n v="8"/>
    <d v="2023-07-05T19:01:53"/>
    <s v="Y"/>
    <s v="Hearing Unit 2.31 - 5.00 Hours"/>
    <s v="Public Law Children"/>
    <s v="Advocacy"/>
    <s v="T. H."/>
    <s v="Y"/>
    <n v="476.92"/>
    <n v="95.38"/>
    <x v="6"/>
    <s v="VALIDATED"/>
    <n v="1"/>
    <s v="01.11.80.308.6100.0000"/>
    <n v="476.92"/>
    <s v="11"/>
    <s v="6100"/>
    <n v="12415.12"/>
    <n v="476.92"/>
    <s v="CREDITOR"/>
    <n v="0"/>
    <n v="0"/>
    <n v="0"/>
    <n v="0"/>
    <n v="476.92"/>
  </r>
  <r>
    <n v="61359916"/>
    <s v="N"/>
    <n v="21330888"/>
    <s v="3000015507890002"/>
    <s v="CIVIL"/>
    <d v="2023-06-26T00:00:00"/>
    <d v="2023-07-05T19:01:47"/>
    <m/>
    <d v="2023-07-05T00:00:00"/>
    <n v="1595"/>
    <n v="15885"/>
    <s v="61359916"/>
    <s v="61359916"/>
    <m/>
    <m/>
    <n v="22762794"/>
    <m/>
    <m/>
    <m/>
    <s v="SOLFIN"/>
    <s v="SOLFIN"/>
    <s v="CCMS"/>
    <n v="21330888"/>
    <n v="4922.75"/>
    <m/>
    <s v="N"/>
    <n v="11"/>
    <d v="2023-07-05T19:01:55"/>
    <s v="Y"/>
    <s v="Final Hearing - 1 Day"/>
    <s v="Public Law Children"/>
    <s v="Advocacy"/>
    <s v="T. H."/>
    <s v="Y"/>
    <n v="556.88"/>
    <n v="111.38"/>
    <x v="6"/>
    <s v="VALIDATED"/>
    <n v="1"/>
    <s v="01.11.80.308.6100.0000"/>
    <n v="556.88"/>
    <s v="11"/>
    <s v="6100"/>
    <n v="12415.12"/>
    <n v="556.88"/>
    <s v="CREDITOR"/>
    <n v="0"/>
    <n v="0"/>
    <n v="0"/>
    <n v="0"/>
    <n v="556.88"/>
  </r>
  <r>
    <n v="60052534"/>
    <s v="N"/>
    <n v="21330707"/>
    <s v="3000014390280007"/>
    <s v="CIVIL"/>
    <d v="2023-06-26T00:00:00"/>
    <d v="2023-07-05T19:01:47"/>
    <m/>
    <d v="2023-07-05T00:00:00"/>
    <n v="1595"/>
    <n v="15885"/>
    <s v="60052534"/>
    <s v="60052534"/>
    <m/>
    <m/>
    <n v="22760544"/>
    <m/>
    <m/>
    <m/>
    <s v="SOLFIN"/>
    <s v="SOLFIN"/>
    <s v="CCMS"/>
    <n v="21330707"/>
    <n v="4934.55"/>
    <m/>
    <s v="N"/>
    <n v="9"/>
    <d v="2023-07-05T19:01:53"/>
    <s v="Y"/>
    <s v="Advocates Meeting"/>
    <s v="Public Law Children"/>
    <s v="Advocacy"/>
    <s v="T. H."/>
    <s v="Y"/>
    <n v="140.99"/>
    <n v="28.2"/>
    <x v="6"/>
    <s v="VALIDATED"/>
    <n v="1"/>
    <s v="01.11.80.308.6100.0000"/>
    <n v="140.99"/>
    <s v="11"/>
    <s v="6100"/>
    <n v="12415.12"/>
    <n v="140.99"/>
    <s v="CREDITOR"/>
    <n v="0"/>
    <n v="0"/>
    <n v="0"/>
    <n v="0"/>
    <n v="140.99"/>
  </r>
  <r>
    <n v="60990459"/>
    <s v="N"/>
    <n v="21363800"/>
    <s v="3000015198620003"/>
    <s v="CIVIL"/>
    <d v="2023-06-29T00:00:00"/>
    <d v="2023-07-12T19:01:49"/>
    <m/>
    <d v="2023-07-12T00:00:00"/>
    <n v="1595"/>
    <n v="15885"/>
    <s v="60990459"/>
    <s v="60990459"/>
    <m/>
    <m/>
    <n v="22785016"/>
    <m/>
    <m/>
    <m/>
    <s v="SOLFIN"/>
    <s v="SOLFIN"/>
    <s v="CCMS"/>
    <n v="21363800"/>
    <n v="6479.08"/>
    <m/>
    <s v="N"/>
    <n v="6"/>
    <d v="2023-07-12T19:02:11"/>
    <s v="Y"/>
    <s v="Advocates Meeting"/>
    <s v="Public Law Children"/>
    <s v="Advocacy"/>
    <s v="T. H."/>
    <s v="Y"/>
    <n v="140.99"/>
    <n v="28.2"/>
    <x v="0"/>
    <s v="VALIDATED"/>
    <n v="1"/>
    <s v="01.11.80.308.6100.0000"/>
    <n v="140.99"/>
    <s v="11"/>
    <s v="6100"/>
    <n v="12415.12"/>
    <n v="140.99"/>
    <s v="CREDITOR"/>
    <n v="0"/>
    <n v="0"/>
    <n v="0"/>
    <n v="0"/>
    <n v="140.99"/>
  </r>
  <r>
    <n v="60052534"/>
    <s v="N"/>
    <n v="21330707"/>
    <s v="3000014390280007"/>
    <s v="CIVIL"/>
    <d v="2023-06-26T00:00:00"/>
    <d v="2023-07-05T19:01:47"/>
    <m/>
    <d v="2023-07-05T00:00:00"/>
    <n v="1595"/>
    <n v="15885"/>
    <s v="60052534"/>
    <s v="60052534"/>
    <m/>
    <m/>
    <n v="22760544"/>
    <m/>
    <m/>
    <m/>
    <s v="SOLFIN"/>
    <s v="SOLFIN"/>
    <s v="CCMS"/>
    <n v="21330707"/>
    <n v="4934.55"/>
    <m/>
    <s v="N"/>
    <n v="3"/>
    <d v="2023-07-05T19:01:53"/>
    <s v="Y"/>
    <s v="Psychologist"/>
    <s v="Public Law Children"/>
    <s v="Expert Disbursement"/>
    <s v="T. H."/>
    <s v="Y"/>
    <n v="239.85"/>
    <n v="47.97"/>
    <x v="6"/>
    <s v="VALIDATED"/>
    <n v="1"/>
    <s v="01.11.80.308.6300.0000"/>
    <n v="239.85"/>
    <s v="11"/>
    <s v="6300"/>
    <n v="12415.12"/>
    <n v="239.85"/>
    <s v="CREDITOR"/>
    <n v="0"/>
    <n v="0"/>
    <n v="0"/>
    <n v="0"/>
    <n v="239.85"/>
  </r>
  <r>
    <n v="61359916"/>
    <s v="N"/>
    <n v="21330888"/>
    <s v="3000015507890002"/>
    <s v="CIVIL"/>
    <d v="2023-06-26T00:00:00"/>
    <d v="2023-07-05T19:01:47"/>
    <m/>
    <d v="2023-07-05T00:00:00"/>
    <n v="1595"/>
    <n v="15885"/>
    <s v="61359916"/>
    <s v="61359916"/>
    <m/>
    <m/>
    <n v="22762794"/>
    <m/>
    <m/>
    <m/>
    <s v="SOLFIN"/>
    <s v="SOLFIN"/>
    <s v="CCMS"/>
    <n v="21330888"/>
    <n v="4922.75"/>
    <m/>
    <s v="N"/>
    <n v="14"/>
    <d v="2023-07-05T19:01:55"/>
    <s v="Y"/>
    <s v="Solicitors Fixed Fee"/>
    <s v="Public Law Children"/>
    <s v="Profit Cost"/>
    <s v="T. H."/>
    <s v="Y"/>
    <n v="1911"/>
    <n v="382.2"/>
    <x v="6"/>
    <s v="VALIDATED"/>
    <n v="1"/>
    <s v="01.11.80.308.6100.0000"/>
    <n v="1911"/>
    <s v="11"/>
    <s v="6100"/>
    <n v="12415.12"/>
    <n v="1911"/>
    <s v="CREDITOR"/>
    <n v="0"/>
    <n v="0"/>
    <n v="0"/>
    <n v="0"/>
    <n v="1911"/>
  </r>
  <r>
    <n v="61359916"/>
    <s v="N"/>
    <n v="21330888"/>
    <s v="3000015507890002"/>
    <s v="CIVIL"/>
    <d v="2023-06-26T00:00:00"/>
    <d v="2023-07-05T19:01:47"/>
    <m/>
    <d v="2023-07-05T00:00:00"/>
    <n v="1595"/>
    <n v="15885"/>
    <s v="61359916"/>
    <s v="61359916"/>
    <m/>
    <m/>
    <n v="22762794"/>
    <m/>
    <m/>
    <m/>
    <s v="SOLFIN"/>
    <s v="SOLFIN"/>
    <s v="CCMS"/>
    <n v="21330888"/>
    <n v="4922.75"/>
    <m/>
    <s v="N"/>
    <n v="10"/>
    <d v="2023-07-05T19:01:55"/>
    <s v="Y"/>
    <s v="Advocates Meeting"/>
    <s v="Public Law Children"/>
    <s v="Advocacy"/>
    <s v="T. H."/>
    <s v="Y"/>
    <n v="140.99"/>
    <n v="28.2"/>
    <x v="6"/>
    <s v="VALIDATED"/>
    <n v="1"/>
    <s v="01.11.80.308.6100.0000"/>
    <n v="140.99"/>
    <s v="11"/>
    <s v="6100"/>
    <n v="12415.12"/>
    <n v="140.99"/>
    <s v="CREDITOR"/>
    <n v="0"/>
    <n v="0"/>
    <n v="0"/>
    <n v="0"/>
    <n v="140.99"/>
  </r>
  <r>
    <n v="60052534"/>
    <s v="N"/>
    <n v="21330707"/>
    <s v="3000014390280007"/>
    <s v="CIVIL"/>
    <d v="2023-06-26T00:00:00"/>
    <d v="2023-07-05T19:01:47"/>
    <m/>
    <d v="2023-07-05T00:00:00"/>
    <n v="1595"/>
    <n v="15885"/>
    <s v="60052534"/>
    <s v="60052534"/>
    <m/>
    <m/>
    <n v="22760544"/>
    <m/>
    <m/>
    <m/>
    <s v="SOLFIN"/>
    <s v="SOLFIN"/>
    <s v="CCMS"/>
    <n v="21330707"/>
    <n v="4934.55"/>
    <m/>
    <s v="N"/>
    <n v="1"/>
    <d v="2023-07-05T19:01:53"/>
    <s v="Y"/>
    <s v="Toxicologist"/>
    <s v="Public Law Children"/>
    <s v="Expert Disbursement"/>
    <s v="T. H."/>
    <s v="Y"/>
    <n v="214.75"/>
    <n v="42.95"/>
    <x v="6"/>
    <s v="VALIDATED"/>
    <n v="1"/>
    <s v="01.11.80.308.6300.0000"/>
    <n v="214.75"/>
    <s v="11"/>
    <s v="6300"/>
    <n v="12415.12"/>
    <n v="214.75"/>
    <s v="CREDITOR"/>
    <n v="0"/>
    <n v="0"/>
    <n v="0"/>
    <n v="0"/>
    <n v="214.75"/>
  </r>
  <r>
    <n v="60990459"/>
    <s v="N"/>
    <n v="21363800"/>
    <s v="3000015198620003"/>
    <s v="CIVIL"/>
    <d v="2023-06-29T00:00:00"/>
    <d v="2023-07-12T19:01:49"/>
    <m/>
    <d v="2023-07-12T00:00:00"/>
    <n v="1595"/>
    <n v="15885"/>
    <s v="60990459"/>
    <s v="60990459"/>
    <m/>
    <m/>
    <n v="22785016"/>
    <m/>
    <m/>
    <m/>
    <s v="SOLFIN"/>
    <s v="SOLFIN"/>
    <s v="CCMS"/>
    <n v="21363800"/>
    <n v="6479.08"/>
    <m/>
    <s v="N"/>
    <n v="14"/>
    <d v="2023-07-12T19:02:11"/>
    <s v="Y"/>
    <s v="Solicitors Fixed Fee"/>
    <s v="Public Law Children"/>
    <s v="Profit Cost"/>
    <s v="T. H."/>
    <s v="Y"/>
    <n v="1911"/>
    <n v="382.2"/>
    <x v="0"/>
    <s v="VALIDATED"/>
    <n v="1"/>
    <s v="01.11.80.308.6100.0000"/>
    <n v="1911"/>
    <s v="11"/>
    <s v="6100"/>
    <n v="12415.12"/>
    <n v="1911"/>
    <s v="CREDITOR"/>
    <n v="0"/>
    <n v="0"/>
    <n v="0"/>
    <n v="0"/>
    <n v="1911"/>
  </r>
  <r>
    <n v="60990459"/>
    <s v="N"/>
    <n v="21363800"/>
    <s v="3000015198620003"/>
    <s v="CIVIL"/>
    <d v="2023-06-29T00:00:00"/>
    <d v="2023-07-12T19:01:49"/>
    <m/>
    <d v="2023-07-12T00:00:00"/>
    <n v="1595"/>
    <n v="15885"/>
    <s v="60990459"/>
    <s v="60990459"/>
    <m/>
    <m/>
    <n v="22785016"/>
    <m/>
    <m/>
    <m/>
    <s v="SOLFIN"/>
    <s v="SOLFIN"/>
    <s v="CCMS"/>
    <n v="21363800"/>
    <n v="6479.08"/>
    <m/>
    <s v="N"/>
    <n v="4"/>
    <d v="2023-07-12T19:02:11"/>
    <s v="Y"/>
    <s v="Police Records"/>
    <s v="Public Law Children"/>
    <s v="Non Expert Disbursement"/>
    <s v="T. H."/>
    <s v="Y"/>
    <n v="181.43"/>
    <n v="0"/>
    <x v="0"/>
    <s v="VALIDATED"/>
    <n v="1"/>
    <s v="01.11.80.308.6300.0000"/>
    <n v="181.43"/>
    <s v="11"/>
    <s v="6300"/>
    <n v="12415.12"/>
    <n v="181.43"/>
    <s v="CREDITOR"/>
    <n v="0"/>
    <n v="0"/>
    <n v="0"/>
    <n v="0"/>
    <n v="181.43"/>
  </r>
  <r>
    <n v="61359916"/>
    <s v="N"/>
    <n v="21330888"/>
    <s v="3000015507890002"/>
    <s v="CIVIL"/>
    <d v="2023-06-26T00:00:00"/>
    <d v="2023-07-05T19:01:47"/>
    <m/>
    <d v="2023-07-05T00:00:00"/>
    <n v="1595"/>
    <n v="15885"/>
    <s v="61359916"/>
    <s v="61359916"/>
    <m/>
    <m/>
    <n v="22762794"/>
    <m/>
    <m/>
    <m/>
    <s v="SOLFIN"/>
    <s v="SOLFIN"/>
    <s v="CCMS"/>
    <n v="21330888"/>
    <n v="4922.75"/>
    <m/>
    <s v="N"/>
    <n v="3"/>
    <d v="2023-07-05T19:01:55"/>
    <s v="Y"/>
    <s v="Final Hearing Court Bundle/Advocate"/>
    <s v="Public Law Children"/>
    <s v="Advocacy"/>
    <s v="T. H."/>
    <s v="Y"/>
    <n v="239.4"/>
    <n v="47.88"/>
    <x v="6"/>
    <s v="VALIDATED"/>
    <n v="1"/>
    <s v="01.11.80.308.6100.0000"/>
    <n v="239.4"/>
    <s v="11"/>
    <s v="6100"/>
    <n v="12415.12"/>
    <n v="239.4"/>
    <s v="CREDITOR"/>
    <n v="0"/>
    <n v="0"/>
    <n v="0"/>
    <n v="0"/>
    <n v="239.4"/>
  </r>
  <r>
    <n v="61359916"/>
    <s v="N"/>
    <n v="21330888"/>
    <s v="3000015507890002"/>
    <s v="CIVIL"/>
    <d v="2023-06-26T00:00:00"/>
    <d v="2023-07-05T19:01:47"/>
    <m/>
    <d v="2023-07-05T00:00:00"/>
    <n v="1595"/>
    <n v="15885"/>
    <s v="61359916"/>
    <s v="61359916"/>
    <m/>
    <m/>
    <n v="22762794"/>
    <m/>
    <m/>
    <m/>
    <s v="SOLFIN"/>
    <s v="SOLFIN"/>
    <s v="CCMS"/>
    <n v="21330888"/>
    <n v="4922.75"/>
    <m/>
    <s v="N"/>
    <n v="9"/>
    <d v="2023-07-05T19:01:55"/>
    <s v="Y"/>
    <s v="Hearing Unit 2.31 - 5.00 Hours"/>
    <s v="Public Law Children"/>
    <s v="Advocacy"/>
    <s v="T. H."/>
    <s v="Y"/>
    <n v="476.92"/>
    <n v="95.38"/>
    <x v="6"/>
    <s v="VALIDATED"/>
    <n v="1"/>
    <s v="01.11.80.308.6100.0000"/>
    <n v="476.92"/>
    <s v="11"/>
    <s v="6100"/>
    <n v="12415.12"/>
    <n v="476.92"/>
    <s v="CREDITOR"/>
    <n v="0"/>
    <n v="0"/>
    <n v="0"/>
    <n v="0"/>
    <n v="476.92"/>
  </r>
  <r>
    <n v="60052534"/>
    <s v="N"/>
    <n v="21333987"/>
    <s v="3000014390280001RC"/>
    <s v="CIVIL"/>
    <d v="2023-06-26T00:00:00"/>
    <d v="2023-07-05T19:42:28"/>
    <m/>
    <d v="2023-07-05T00:00:00"/>
    <n v="1595"/>
    <n v="15885"/>
    <s v="60052534"/>
    <s v="60052534"/>
    <m/>
    <m/>
    <m/>
    <m/>
    <m/>
    <m/>
    <s v="SOLRECOUP"/>
    <s v="SOLRECOUP"/>
    <s v="POARECOUP"/>
    <n v="21333987"/>
    <n v="-257.7"/>
    <m/>
    <s v="Y"/>
    <n v="1"/>
    <d v="2023-07-05T19:42:29"/>
    <s v="N"/>
    <m/>
    <m/>
    <s v="Expert Disbursement"/>
    <m/>
    <s v="N"/>
    <n v="-214.75"/>
    <n v="0"/>
    <x v="6"/>
    <s v="VALIDATED"/>
    <n v="1"/>
    <s v="01.11.80.308.2013.0000"/>
    <n v="-214.75"/>
    <s v="11"/>
    <s v="2013"/>
    <n v="12415.12"/>
    <n v="-214.75"/>
    <s v="CREDITOR"/>
    <n v="0"/>
    <n v="0"/>
    <n v="-214.75"/>
    <n v="0"/>
    <n v="0"/>
  </r>
  <r>
    <n v="60052534"/>
    <s v="N"/>
    <n v="21333987"/>
    <s v="3000014390280001RC"/>
    <s v="CIVIL"/>
    <d v="2023-06-26T00:00:00"/>
    <d v="2023-07-05T19:42:28"/>
    <m/>
    <d v="2023-07-05T00:00:00"/>
    <n v="1595"/>
    <n v="15885"/>
    <s v="60052534"/>
    <s v="60052534"/>
    <m/>
    <m/>
    <m/>
    <m/>
    <m/>
    <m/>
    <s v="SOLRECOUP"/>
    <s v="SOLRECOUP"/>
    <s v="POARECOUP"/>
    <n v="21333987"/>
    <n v="-257.7"/>
    <m/>
    <s v="Y"/>
    <n v="2"/>
    <d v="2023-07-05T19:42:29"/>
    <s v="N"/>
    <m/>
    <m/>
    <s v="Expert Disbursement"/>
    <m/>
    <s v="N"/>
    <n v="0"/>
    <n v="-42.95"/>
    <x v="6"/>
    <s v="VALIDATED"/>
    <n v="1"/>
    <s v="01.11.80.308.2013.0000"/>
    <n v="-42.95"/>
    <s v="11"/>
    <s v="2013"/>
    <n v="12415.12"/>
    <n v="-42.95"/>
    <s v="CREDITOR"/>
    <n v="0"/>
    <n v="0"/>
    <n v="-42.95"/>
    <n v="0"/>
    <n v="0"/>
  </r>
  <r>
    <n v="60052534"/>
    <s v="N"/>
    <n v="21333988"/>
    <s v="3000014390280002RC"/>
    <s v="CIVIL"/>
    <d v="2023-06-26T00:00:00"/>
    <d v="2023-07-05T19:42:28"/>
    <m/>
    <d v="2023-07-05T00:00:00"/>
    <n v="1595"/>
    <n v="15885"/>
    <s v="60052534"/>
    <s v="60052534"/>
    <m/>
    <m/>
    <m/>
    <m/>
    <m/>
    <m/>
    <s v="SOLRECOUP"/>
    <s v="SOLRECOUP"/>
    <s v="POARECOUP"/>
    <n v="21333988"/>
    <n v="-223.2"/>
    <m/>
    <s v="Y"/>
    <n v="1"/>
    <d v="2023-07-05T19:42:29"/>
    <s v="N"/>
    <m/>
    <m/>
    <s v="Expert Disbursement"/>
    <m/>
    <s v="N"/>
    <n v="-186"/>
    <n v="0"/>
    <x v="6"/>
    <s v="VALIDATED"/>
    <n v="1"/>
    <s v="01.11.80.308.2013.0000"/>
    <n v="-186"/>
    <s v="11"/>
    <s v="2013"/>
    <n v="12415.12"/>
    <n v="-186"/>
    <s v="CREDITOR"/>
    <n v="0"/>
    <n v="0"/>
    <n v="-186"/>
    <n v="0"/>
    <n v="0"/>
  </r>
  <r>
    <n v="60052534"/>
    <s v="N"/>
    <n v="21333988"/>
    <s v="3000014390280002RC"/>
    <s v="CIVIL"/>
    <d v="2023-06-26T00:00:00"/>
    <d v="2023-07-05T19:42:28"/>
    <m/>
    <d v="2023-07-05T00:00:00"/>
    <n v="1595"/>
    <n v="15885"/>
    <s v="60052534"/>
    <s v="60052534"/>
    <m/>
    <m/>
    <m/>
    <m/>
    <m/>
    <m/>
    <s v="SOLRECOUP"/>
    <s v="SOLRECOUP"/>
    <s v="POARECOUP"/>
    <n v="21333988"/>
    <n v="-223.2"/>
    <m/>
    <s v="Y"/>
    <n v="2"/>
    <d v="2023-07-05T19:42:29"/>
    <s v="N"/>
    <m/>
    <m/>
    <s v="Expert Disbursement"/>
    <m/>
    <s v="N"/>
    <n v="0"/>
    <n v="-37.2"/>
    <x v="6"/>
    <s v="VALIDATED"/>
    <n v="1"/>
    <s v="01.11.80.308.2013.0000"/>
    <n v="-37.2"/>
    <s v="11"/>
    <s v="2013"/>
    <n v="12415.12"/>
    <n v="-37.2"/>
    <s v="CREDITOR"/>
    <n v="0"/>
    <n v="0"/>
    <n v="-37.2"/>
    <n v="0"/>
    <n v="0"/>
  </r>
  <r>
    <n v="60052534"/>
    <s v="N"/>
    <n v="21333989"/>
    <s v="3000014390280003RC"/>
    <s v="CIVIL"/>
    <d v="2023-06-26T00:00:00"/>
    <d v="2023-07-05T19:42:28"/>
    <m/>
    <d v="2023-07-05T00:00:00"/>
    <n v="1595"/>
    <n v="15885"/>
    <s v="60052534"/>
    <s v="60052534"/>
    <m/>
    <m/>
    <m/>
    <m/>
    <m/>
    <m/>
    <s v="SOLRECOUP"/>
    <s v="SOLRECOUP"/>
    <s v="POARECOUP"/>
    <n v="21333989"/>
    <n v="-287.82"/>
    <m/>
    <s v="Y"/>
    <n v="1"/>
    <d v="2023-07-05T19:42:29"/>
    <s v="N"/>
    <m/>
    <m/>
    <s v="Expert Disbursement"/>
    <m/>
    <s v="N"/>
    <n v="-239.85"/>
    <n v="0"/>
    <x v="6"/>
    <s v="VALIDATED"/>
    <n v="1"/>
    <s v="01.11.80.308.2013.0000"/>
    <n v="-239.85"/>
    <s v="11"/>
    <s v="2013"/>
    <n v="12415.12"/>
    <n v="-239.85"/>
    <s v="CREDITOR"/>
    <n v="0"/>
    <n v="0"/>
    <n v="-239.85"/>
    <n v="0"/>
    <n v="0"/>
  </r>
  <r>
    <n v="60052534"/>
    <s v="N"/>
    <n v="21333989"/>
    <s v="3000014390280003RC"/>
    <s v="CIVIL"/>
    <d v="2023-06-26T00:00:00"/>
    <d v="2023-07-05T19:42:28"/>
    <m/>
    <d v="2023-07-05T00:00:00"/>
    <n v="1595"/>
    <n v="15885"/>
    <s v="60052534"/>
    <s v="60052534"/>
    <m/>
    <m/>
    <m/>
    <m/>
    <m/>
    <m/>
    <s v="SOLRECOUP"/>
    <s v="SOLRECOUP"/>
    <s v="POARECOUP"/>
    <n v="21333989"/>
    <n v="-287.82"/>
    <m/>
    <s v="Y"/>
    <n v="2"/>
    <d v="2023-07-05T19:42:29"/>
    <s v="N"/>
    <m/>
    <m/>
    <s v="Expert Disbursement"/>
    <m/>
    <s v="N"/>
    <n v="0"/>
    <n v="-47.97"/>
    <x v="6"/>
    <s v="VALIDATED"/>
    <n v="1"/>
    <s v="01.11.80.308.2013.0000"/>
    <n v="-47.97"/>
    <s v="11"/>
    <s v="2013"/>
    <n v="12415.12"/>
    <n v="-47.97"/>
    <s v="CREDITOR"/>
    <n v="0"/>
    <n v="0"/>
    <n v="-47.97"/>
    <n v="0"/>
    <n v="0"/>
  </r>
  <r>
    <n v="60052534"/>
    <s v="N"/>
    <n v="21333990"/>
    <s v="3000014390280006RC"/>
    <s v="CIVIL"/>
    <d v="2023-06-26T00:00:00"/>
    <d v="2023-07-05T19:42:28"/>
    <m/>
    <d v="2023-07-05T00:00:00"/>
    <n v="1595"/>
    <n v="15885"/>
    <s v="60052534"/>
    <s v="60052534"/>
    <m/>
    <m/>
    <m/>
    <m/>
    <m/>
    <m/>
    <s v="SOLRECOUP"/>
    <s v="SOLRECOUP"/>
    <s v="POARECOUP"/>
    <n v="21333990"/>
    <n v="-103.5"/>
    <m/>
    <s v="Y"/>
    <n v="1"/>
    <d v="2023-07-05T19:42:29"/>
    <s v="N"/>
    <m/>
    <m/>
    <s v="Non Expert Disbursement"/>
    <m/>
    <s v="N"/>
    <n v="-86.25"/>
    <n v="0"/>
    <x v="6"/>
    <s v="VALIDATED"/>
    <n v="1"/>
    <s v="01.11.80.308.2013.0000"/>
    <n v="-86.25"/>
    <s v="11"/>
    <s v="2013"/>
    <n v="12415.12"/>
    <n v="-86.25"/>
    <s v="CREDITOR"/>
    <n v="0"/>
    <n v="0"/>
    <n v="-86.25"/>
    <n v="0"/>
    <n v="0"/>
  </r>
  <r>
    <n v="60052534"/>
    <s v="N"/>
    <n v="21333990"/>
    <s v="3000014390280006RC"/>
    <s v="CIVIL"/>
    <d v="2023-06-26T00:00:00"/>
    <d v="2023-07-05T19:42:28"/>
    <m/>
    <d v="2023-07-05T00:00:00"/>
    <n v="1595"/>
    <n v="15885"/>
    <s v="60052534"/>
    <s v="60052534"/>
    <m/>
    <m/>
    <m/>
    <m/>
    <m/>
    <m/>
    <s v="SOLRECOUP"/>
    <s v="SOLRECOUP"/>
    <s v="POARECOUP"/>
    <n v="21333990"/>
    <n v="-103.5"/>
    <m/>
    <s v="Y"/>
    <n v="2"/>
    <d v="2023-07-05T19:42:29"/>
    <s v="N"/>
    <m/>
    <m/>
    <s v="Non Expert Disbursement"/>
    <m/>
    <s v="N"/>
    <n v="0"/>
    <n v="-17.25"/>
    <x v="6"/>
    <s v="VALIDATED"/>
    <n v="1"/>
    <s v="01.11.80.308.2013.0000"/>
    <n v="-17.25"/>
    <s v="11"/>
    <s v="2013"/>
    <n v="12415.12"/>
    <n v="-17.25"/>
    <s v="CREDITOR"/>
    <n v="0"/>
    <n v="0"/>
    <n v="-17.25"/>
    <n v="0"/>
    <n v="0"/>
  </r>
  <r>
    <n v="61359916"/>
    <s v="N"/>
    <n v="21333991"/>
    <s v="3000015507890001RC"/>
    <s v="CIVIL"/>
    <d v="2023-06-26T00:00:00"/>
    <d v="2023-07-05T19:42:28"/>
    <m/>
    <d v="2023-07-05T00:00:00"/>
    <n v="1595"/>
    <n v="15885"/>
    <s v="61359916"/>
    <s v="61359916"/>
    <m/>
    <m/>
    <m/>
    <m/>
    <m/>
    <m/>
    <s v="SOLRECOUP"/>
    <s v="SOLRECOUP"/>
    <s v="POARECOUP"/>
    <n v="21333991"/>
    <n v="-199.97"/>
    <m/>
    <s v="Y"/>
    <n v="1"/>
    <d v="2023-07-05T19:42:29"/>
    <s v="N"/>
    <m/>
    <m/>
    <s v="Expert Disbursement"/>
    <m/>
    <s v="N"/>
    <n v="-166.64"/>
    <n v="0"/>
    <x v="6"/>
    <s v="VALIDATED"/>
    <n v="1"/>
    <s v="01.11.80.308.2013.0000"/>
    <n v="-166.64"/>
    <s v="11"/>
    <s v="2013"/>
    <n v="12415.12"/>
    <n v="-166.64"/>
    <s v="CREDITOR"/>
    <n v="0"/>
    <n v="0"/>
    <n v="-166.64"/>
    <n v="0"/>
    <n v="0"/>
  </r>
  <r>
    <n v="61359916"/>
    <s v="N"/>
    <n v="21333991"/>
    <s v="3000015507890001RC"/>
    <s v="CIVIL"/>
    <d v="2023-06-26T00:00:00"/>
    <d v="2023-07-05T19:42:28"/>
    <m/>
    <d v="2023-07-05T00:00:00"/>
    <n v="1595"/>
    <n v="15885"/>
    <s v="61359916"/>
    <s v="61359916"/>
    <m/>
    <m/>
    <m/>
    <m/>
    <m/>
    <m/>
    <s v="SOLRECOUP"/>
    <s v="SOLRECOUP"/>
    <s v="POARECOUP"/>
    <n v="21333991"/>
    <n v="-199.97"/>
    <m/>
    <s v="Y"/>
    <n v="2"/>
    <d v="2023-07-05T19:42:29"/>
    <s v="N"/>
    <m/>
    <m/>
    <s v="Expert Disbursement"/>
    <m/>
    <s v="N"/>
    <n v="0"/>
    <n v="-33.33"/>
    <x v="6"/>
    <s v="VALIDATED"/>
    <n v="1"/>
    <s v="01.11.80.308.2013.0000"/>
    <n v="-33.33"/>
    <s v="11"/>
    <s v="2013"/>
    <n v="12415.12"/>
    <n v="-33.33"/>
    <s v="CREDITOR"/>
    <n v="0"/>
    <n v="0"/>
    <n v="-33.33"/>
    <n v="0"/>
    <n v="0"/>
  </r>
  <r>
    <n v="60990459"/>
    <s v="N"/>
    <n v="21366487"/>
    <s v="3000015198620002RC"/>
    <s v="CIVIL"/>
    <d v="2023-06-29T00:00:00"/>
    <d v="2023-07-12T19:45:17"/>
    <m/>
    <d v="2023-07-12T00:00:00"/>
    <n v="1595"/>
    <n v="15885"/>
    <s v="60990459"/>
    <s v="60990459"/>
    <m/>
    <m/>
    <m/>
    <m/>
    <m/>
    <m/>
    <s v="SOLRECOUP"/>
    <s v="SOLRECOUP"/>
    <s v="POARECOUP"/>
    <n v="21366487"/>
    <n v="-167.14"/>
    <m/>
    <s v="Y"/>
    <n v="2"/>
    <d v="2023-07-12T19:45:18"/>
    <s v="N"/>
    <m/>
    <m/>
    <s v="Expert Disbursement"/>
    <m/>
    <s v="N"/>
    <n v="0"/>
    <n v="-27.86"/>
    <x v="0"/>
    <s v="VALIDATED"/>
    <n v="1"/>
    <s v="01.11.80.308.2013.0000"/>
    <n v="-27.86"/>
    <s v="11"/>
    <s v="2013"/>
    <n v="12415.12"/>
    <n v="-27.86"/>
    <s v="CREDITOR"/>
    <n v="0"/>
    <n v="0"/>
    <n v="-27.86"/>
    <n v="0"/>
    <n v="0"/>
  </r>
  <r>
    <n v="60990459"/>
    <s v="N"/>
    <n v="21366487"/>
    <s v="3000015198620002RC"/>
    <s v="CIVIL"/>
    <d v="2023-06-29T00:00:00"/>
    <d v="2023-07-12T19:45:17"/>
    <m/>
    <d v="2023-07-12T00:00:00"/>
    <n v="1595"/>
    <n v="15885"/>
    <s v="60990459"/>
    <s v="60990459"/>
    <m/>
    <m/>
    <m/>
    <m/>
    <m/>
    <m/>
    <s v="SOLRECOUP"/>
    <s v="SOLRECOUP"/>
    <s v="POARECOUP"/>
    <n v="21366487"/>
    <n v="-167.14"/>
    <m/>
    <s v="Y"/>
    <n v="1"/>
    <d v="2023-07-12T19:45:18"/>
    <s v="N"/>
    <m/>
    <m/>
    <s v="Expert Disbursement"/>
    <m/>
    <s v="N"/>
    <n v="-139.28"/>
    <n v="0"/>
    <x v="0"/>
    <s v="VALIDATED"/>
    <n v="1"/>
    <s v="01.11.80.308.2013.0000"/>
    <n v="-139.28"/>
    <s v="11"/>
    <s v="2013"/>
    <n v="12415.12"/>
    <n v="-139.28"/>
    <s v="CREDITOR"/>
    <n v="0"/>
    <n v="0"/>
    <n v="-139.28"/>
    <n v="0"/>
    <n v="0"/>
  </r>
  <r>
    <n v="61328864"/>
    <s v="N"/>
    <n v="21356751"/>
    <s v="3000015481370002RC"/>
    <s v="CIVIL"/>
    <d v="2023-06-29T00:00:00"/>
    <d v="2023-07-10T19:47:44"/>
    <m/>
    <d v="2023-07-10T00:00:00"/>
    <n v="1599"/>
    <n v="15907"/>
    <s v="61328864"/>
    <s v="61328864"/>
    <m/>
    <m/>
    <m/>
    <m/>
    <m/>
    <m/>
    <s v="SOLRECOUP"/>
    <s v="SOLRECOUP"/>
    <s v="POARECOUP"/>
    <n v="21356751"/>
    <n v="-23.76"/>
    <m/>
    <s v="Y"/>
    <n v="2"/>
    <d v="2023-07-10T19:47:46"/>
    <s v="N"/>
    <m/>
    <m/>
    <s v="Non Expert Disbursement"/>
    <m/>
    <s v="N"/>
    <n v="0"/>
    <n v="-3.96"/>
    <x v="2"/>
    <s v="VALIDATED"/>
    <n v="1"/>
    <s v="01.11.80.308.2013.0000"/>
    <n v="-3.96"/>
    <s v="11"/>
    <s v="2013"/>
    <n v="16331.77"/>
    <n v="-3.96"/>
    <s v="CREDITOR"/>
    <n v="0"/>
    <n v="0"/>
    <n v="-3.96"/>
    <n v="0"/>
    <n v="0"/>
  </r>
  <r>
    <n v="61328864"/>
    <s v="N"/>
    <n v="21356752"/>
    <s v="3000015481370003RC"/>
    <s v="CIVIL"/>
    <d v="2023-06-29T00:00:00"/>
    <d v="2023-07-10T19:47:44"/>
    <m/>
    <d v="2023-07-10T00:00:00"/>
    <n v="1599"/>
    <n v="15907"/>
    <s v="61328864"/>
    <s v="61328864"/>
    <m/>
    <m/>
    <m/>
    <m/>
    <m/>
    <m/>
    <s v="SOLRECOUP"/>
    <s v="SOLRECOUP"/>
    <s v="POARECOUP"/>
    <n v="21356752"/>
    <n v="-1729.46"/>
    <m/>
    <s v="Y"/>
    <n v="1"/>
    <d v="2023-07-10T19:47:46"/>
    <s v="N"/>
    <m/>
    <m/>
    <s v="Profit Cost"/>
    <m/>
    <s v="N"/>
    <n v="-1441.22"/>
    <n v="0"/>
    <x v="2"/>
    <s v="VALIDATED"/>
    <n v="1"/>
    <s v="01.11.80.308.2013.0000"/>
    <n v="-1441.22"/>
    <s v="11"/>
    <s v="2013"/>
    <n v="16331.77"/>
    <n v="-1441.22"/>
    <s v="CREDITOR"/>
    <n v="0"/>
    <n v="0"/>
    <n v="-1441.22"/>
    <n v="-360.305"/>
    <n v="0"/>
  </r>
  <r>
    <n v="61328864"/>
    <s v="N"/>
    <n v="21356752"/>
    <s v="3000015481370003RC"/>
    <s v="CIVIL"/>
    <d v="2023-06-29T00:00:00"/>
    <d v="2023-07-10T19:47:44"/>
    <m/>
    <d v="2023-07-10T00:00:00"/>
    <n v="1599"/>
    <n v="15907"/>
    <s v="61328864"/>
    <s v="61328864"/>
    <m/>
    <m/>
    <m/>
    <m/>
    <m/>
    <m/>
    <s v="SOLRECOUP"/>
    <s v="SOLRECOUP"/>
    <s v="POARECOUP"/>
    <n v="21356752"/>
    <n v="-1729.46"/>
    <m/>
    <s v="Y"/>
    <n v="2"/>
    <d v="2023-07-10T19:47:46"/>
    <s v="N"/>
    <m/>
    <m/>
    <s v="Profit Cost"/>
    <m/>
    <s v="N"/>
    <n v="0"/>
    <n v="-288.24"/>
    <x v="2"/>
    <s v="VALIDATED"/>
    <n v="1"/>
    <s v="01.11.80.308.2013.0000"/>
    <n v="-288.24"/>
    <s v="11"/>
    <s v="2013"/>
    <n v="16331.77"/>
    <n v="-288.24"/>
    <s v="CREDITOR"/>
    <n v="0"/>
    <n v="0"/>
    <n v="-288.24"/>
    <n v="-72.06"/>
    <n v="0"/>
  </r>
  <r>
    <n v="61328864"/>
    <s v="N"/>
    <n v="21356753"/>
    <s v="3000015481370005RC"/>
    <s v="CIVIL"/>
    <d v="2023-06-29T00:00:00"/>
    <d v="2023-07-10T19:47:44"/>
    <m/>
    <d v="2023-07-10T00:00:00"/>
    <n v="1599"/>
    <n v="15907"/>
    <s v="61328864"/>
    <s v="61328864"/>
    <m/>
    <m/>
    <m/>
    <m/>
    <m/>
    <m/>
    <s v="SOLRECOUP"/>
    <s v="SOLRECOUP"/>
    <s v="POARECOUP"/>
    <n v="21356753"/>
    <n v="-244.21"/>
    <m/>
    <s v="Y"/>
    <n v="1"/>
    <d v="2023-07-10T19:47:46"/>
    <s v="N"/>
    <m/>
    <m/>
    <s v="Profit Cost"/>
    <m/>
    <s v="N"/>
    <n v="-203.51"/>
    <n v="0"/>
    <x v="2"/>
    <s v="VALIDATED"/>
    <n v="1"/>
    <s v="01.11.80.308.2013.0000"/>
    <n v="-203.51"/>
    <s v="11"/>
    <s v="2013"/>
    <n v="16331.77"/>
    <n v="-203.51"/>
    <s v="CREDITOR"/>
    <n v="0"/>
    <n v="0"/>
    <n v="-203.51"/>
    <n v="-50.8775"/>
    <n v="0"/>
  </r>
  <r>
    <n v="61328864"/>
    <s v="N"/>
    <n v="21356753"/>
    <s v="3000015481370005RC"/>
    <s v="CIVIL"/>
    <d v="2023-06-29T00:00:00"/>
    <d v="2023-07-10T19:47:44"/>
    <m/>
    <d v="2023-07-10T00:00:00"/>
    <n v="1599"/>
    <n v="15907"/>
    <s v="61328864"/>
    <s v="61328864"/>
    <m/>
    <m/>
    <m/>
    <m/>
    <m/>
    <m/>
    <s v="SOLRECOUP"/>
    <s v="SOLRECOUP"/>
    <s v="POARECOUP"/>
    <n v="21356753"/>
    <n v="-244.21"/>
    <m/>
    <s v="Y"/>
    <n v="2"/>
    <d v="2023-07-10T19:47:46"/>
    <s v="N"/>
    <m/>
    <m/>
    <s v="Profit Cost"/>
    <m/>
    <s v="N"/>
    <n v="0"/>
    <n v="-40.7"/>
    <x v="2"/>
    <s v="VALIDATED"/>
    <n v="1"/>
    <s v="01.11.80.308.2013.0000"/>
    <n v="-40.7"/>
    <s v="11"/>
    <s v="2013"/>
    <n v="16331.77"/>
    <n v="-40.7"/>
    <s v="CREDITOR"/>
    <n v="0"/>
    <n v="0"/>
    <n v="-40.7"/>
    <n v="-10.175"/>
    <n v="0"/>
  </r>
  <r>
    <n v="61328864"/>
    <s v="N"/>
    <n v="21356754"/>
    <s v="3000015481370007RC"/>
    <s v="CIVIL"/>
    <d v="2023-06-29T00:00:00"/>
    <d v="2023-07-10T19:47:44"/>
    <m/>
    <d v="2023-07-10T00:00:00"/>
    <n v="1599"/>
    <n v="15907"/>
    <s v="61328864"/>
    <s v="61328864"/>
    <m/>
    <m/>
    <m/>
    <m/>
    <m/>
    <m/>
    <s v="SOLRECOUP"/>
    <s v="SOLRECOUP"/>
    <s v="POARECOUP"/>
    <n v="21356754"/>
    <n v="-21.6"/>
    <m/>
    <s v="Y"/>
    <n v="1"/>
    <d v="2023-07-10T19:47:46"/>
    <s v="N"/>
    <m/>
    <m/>
    <s v="Non Expert Disbursement"/>
    <m/>
    <s v="N"/>
    <n v="-18"/>
    <n v="0"/>
    <x v="2"/>
    <s v="VALIDATED"/>
    <n v="1"/>
    <s v="01.11.80.308.2013.0000"/>
    <n v="-18"/>
    <s v="11"/>
    <s v="2013"/>
    <n v="16331.77"/>
    <n v="-18"/>
    <s v="CREDITOR"/>
    <n v="0"/>
    <n v="0"/>
    <n v="-18"/>
    <n v="0"/>
    <n v="0"/>
  </r>
  <r>
    <n v="61328864"/>
    <s v="N"/>
    <n v="21356754"/>
    <s v="3000015481370007RC"/>
    <s v="CIVIL"/>
    <d v="2023-06-29T00:00:00"/>
    <d v="2023-07-10T19:47:44"/>
    <m/>
    <d v="2023-07-10T00:00:00"/>
    <n v="1599"/>
    <n v="15907"/>
    <s v="61328864"/>
    <s v="61328864"/>
    <m/>
    <m/>
    <m/>
    <m/>
    <m/>
    <m/>
    <s v="SOLRECOUP"/>
    <s v="SOLRECOUP"/>
    <s v="POARECOUP"/>
    <n v="21356754"/>
    <n v="-21.6"/>
    <m/>
    <s v="Y"/>
    <n v="2"/>
    <d v="2023-07-10T19:47:46"/>
    <s v="N"/>
    <m/>
    <m/>
    <s v="Non Expert Disbursement"/>
    <m/>
    <s v="N"/>
    <n v="0"/>
    <n v="-3.6"/>
    <x v="2"/>
    <s v="VALIDATED"/>
    <n v="1"/>
    <s v="01.11.80.308.2013.0000"/>
    <n v="-3.6"/>
    <s v="11"/>
    <s v="2013"/>
    <n v="16331.77"/>
    <n v="-3.6"/>
    <s v="CREDITOR"/>
    <n v="0"/>
    <n v="0"/>
    <n v="-3.6"/>
    <n v="0"/>
    <n v="0"/>
  </r>
  <r>
    <n v="61328864"/>
    <s v="N"/>
    <n v="21356755"/>
    <s v="3000015481370006RC"/>
    <s v="CIVIL"/>
    <d v="2023-06-29T00:00:00"/>
    <d v="2023-07-10T19:47:44"/>
    <m/>
    <d v="2023-07-10T00:00:00"/>
    <n v="1599"/>
    <n v="15907"/>
    <s v="61328864"/>
    <s v="61328864"/>
    <m/>
    <m/>
    <m/>
    <m/>
    <m/>
    <m/>
    <s v="SOLRECOUP"/>
    <s v="SOLRECOUP"/>
    <s v="POARECOUP"/>
    <n v="21356755"/>
    <n v="-10.34"/>
    <m/>
    <s v="Y"/>
    <n v="1"/>
    <d v="2023-07-10T19:47:46"/>
    <s v="N"/>
    <m/>
    <m/>
    <s v="Non Expert Disbursement"/>
    <m/>
    <s v="N"/>
    <n v="-8.619999999999999"/>
    <n v="0"/>
    <x v="2"/>
    <s v="VALIDATED"/>
    <n v="1"/>
    <s v="01.11.80.308.2013.0000"/>
    <n v="-8.619999999999999"/>
    <s v="11"/>
    <s v="2013"/>
    <n v="16331.77"/>
    <n v="-8.619999999999999"/>
    <s v="CREDITOR"/>
    <n v="0"/>
    <n v="0"/>
    <n v="-8.619999999999999"/>
    <n v="0"/>
    <n v="0"/>
  </r>
  <r>
    <n v="61328864"/>
    <s v="N"/>
    <n v="21356755"/>
    <s v="3000015481370006RC"/>
    <s v="CIVIL"/>
    <d v="2023-06-29T00:00:00"/>
    <d v="2023-07-10T19:47:44"/>
    <m/>
    <d v="2023-07-10T00:00:00"/>
    <n v="1599"/>
    <n v="15907"/>
    <s v="61328864"/>
    <s v="61328864"/>
    <m/>
    <m/>
    <m/>
    <m/>
    <m/>
    <m/>
    <s v="SOLRECOUP"/>
    <s v="SOLRECOUP"/>
    <s v="POARECOUP"/>
    <n v="21356755"/>
    <n v="-10.34"/>
    <m/>
    <s v="Y"/>
    <n v="2"/>
    <d v="2023-07-10T19:47:46"/>
    <s v="N"/>
    <m/>
    <m/>
    <s v="Non Expert Disbursement"/>
    <m/>
    <s v="N"/>
    <n v="0"/>
    <n v="-1.72"/>
    <x v="2"/>
    <s v="VALIDATED"/>
    <n v="1"/>
    <s v="01.11.80.308.2013.0000"/>
    <n v="-1.72"/>
    <s v="11"/>
    <s v="2013"/>
    <n v="16331.77"/>
    <n v="-1.72"/>
    <s v="CREDITOR"/>
    <n v="0"/>
    <n v="0"/>
    <n v="-1.72"/>
    <n v="0"/>
    <n v="0"/>
  </r>
  <r>
    <n v="56446682"/>
    <s v="N"/>
    <n v="21327497"/>
    <s v="3000013438650015"/>
    <s v="CIVIL"/>
    <d v="2023-06-26T00:00:00"/>
    <d v="2023-07-04T19:00:44"/>
    <m/>
    <d v="2023-07-04T00:00:00"/>
    <n v="1599"/>
    <n v="15907"/>
    <s v="56446682"/>
    <s v="56446682"/>
    <m/>
    <m/>
    <n v="22759764"/>
    <m/>
    <m/>
    <m/>
    <s v="SOLFIN"/>
    <s v="SOLFIN"/>
    <s v="CCMS"/>
    <n v="21327497"/>
    <n v="14016.11"/>
    <m/>
    <s v="N"/>
    <n v="25"/>
    <d v="2023-07-04T19:00:48"/>
    <s v="Y"/>
    <s v="Preparation - drafting attendance n"/>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93"/>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62"/>
    <d v="2023-07-04T19:00:48"/>
    <s v="Y"/>
    <s v="Preparation - other"/>
    <s v="Care Remuneration Hourly Rates"/>
    <s v="Profit Cost"/>
    <s v="ACJ"/>
    <s v="Y"/>
    <n v="6.05"/>
    <n v="1.21"/>
    <x v="1"/>
    <s v="VALIDATED"/>
    <n v="1"/>
    <s v="01.11.80.308.6100.0000"/>
    <n v="6.05"/>
    <s v="11"/>
    <s v="6100"/>
    <n v="16331.77"/>
    <n v="6.05"/>
    <s v="CREDITOR"/>
    <n v="0"/>
    <n v="0"/>
    <n v="0"/>
    <n v="0"/>
    <n v="6.05"/>
  </r>
  <r>
    <n v="61431726"/>
    <s v="N"/>
    <n v="21318463"/>
    <s v="3000015566920008"/>
    <s v="CIVIL"/>
    <d v="2023-06-23T00:00:00"/>
    <d v="2023-07-03T19:01:49"/>
    <m/>
    <d v="2023-07-03T00:00:00"/>
    <n v="1599"/>
    <n v="15907"/>
    <s v="61431726"/>
    <s v="61431726"/>
    <m/>
    <m/>
    <n v="22749526"/>
    <m/>
    <m/>
    <m/>
    <s v="SOLFIN"/>
    <s v="SOLFIN"/>
    <s v="CCMS"/>
    <n v="21318463"/>
    <n v="7388.71"/>
    <m/>
    <s v="N"/>
    <n v="3"/>
    <d v="2023-07-03T19:01:56"/>
    <s v="Y"/>
    <s v="Toxicologist"/>
    <s v="Care Remuneration Hourly Rates"/>
    <s v="Expert Disbursement"/>
    <s v="NIH"/>
    <s v="Y"/>
    <n v="648.4"/>
    <n v="129.68"/>
    <x v="3"/>
    <s v="VALIDATED"/>
    <n v="1"/>
    <s v="01.11.80.308.6300.0000"/>
    <n v="648.4"/>
    <s v="11"/>
    <s v="6300"/>
    <n v="16331.77"/>
    <n v="648.4"/>
    <s v="CREDITOR"/>
    <n v="0"/>
    <n v="0"/>
    <n v="0"/>
    <n v="0"/>
    <n v="648.4"/>
  </r>
  <r>
    <n v="8752425"/>
    <s v="N"/>
    <n v="21392667"/>
    <s v="3000004742680013"/>
    <s v="CIVIL"/>
    <d v="2023-06-22T00:00:00"/>
    <d v="2023-07-18T19:00:27"/>
    <m/>
    <d v="2023-07-18T00:00:00"/>
    <n v="1599"/>
    <n v="15907"/>
    <s v="8752425"/>
    <s v="8752425"/>
    <m/>
    <m/>
    <n v="22739322"/>
    <m/>
    <m/>
    <m/>
    <s v="SOLFIN"/>
    <s v="SOLFIN"/>
    <s v="CCMS"/>
    <n v="21392667"/>
    <n v="1478.4"/>
    <m/>
    <s v="N"/>
    <n v="2"/>
    <d v="2023-07-18T19:00:57"/>
    <s v="N"/>
    <s v="Profit Costs (Summary)"/>
    <s v="VHCC"/>
    <s v="Profit Cost"/>
    <s v="MCC"/>
    <s v="N"/>
    <n v="511.28"/>
    <n v="102.26"/>
    <x v="14"/>
    <s v="VALIDATED"/>
    <n v="1"/>
    <s v="01.11.80.214.6100.0000"/>
    <n v="511.28"/>
    <s v="11"/>
    <s v="6100"/>
    <n v="16331.77"/>
    <n v="511.28"/>
    <s v="CREDITOR"/>
    <n v="0"/>
    <n v="0"/>
    <n v="0"/>
    <n v="0"/>
    <n v="511.28"/>
  </r>
  <r>
    <n v="56674615"/>
    <s v="N"/>
    <n v="21327794"/>
    <s v="3000013483820015"/>
    <s v="CIVIL"/>
    <d v="2023-06-27T00:00:00"/>
    <d v="2023-07-04T19:00:44"/>
    <m/>
    <d v="2023-07-04T00:00:00"/>
    <n v="1599"/>
    <n v="15907"/>
    <s v="56674615"/>
    <s v="56674615"/>
    <m/>
    <m/>
    <n v="22767768"/>
    <m/>
    <m/>
    <m/>
    <s v="SOLFIN"/>
    <s v="SOLFIN"/>
    <s v="CCMS"/>
    <n v="21327794"/>
    <n v="2280.66"/>
    <m/>
    <s v="N"/>
    <n v="3"/>
    <d v="2023-07-04T19:00:54"/>
    <s v="N"/>
    <m/>
    <m/>
    <s v="Overall Adjustment"/>
    <m/>
    <s v="N"/>
    <n v="-12.67"/>
    <n v="-2.53"/>
    <x v="1"/>
    <s v="VALIDATED"/>
    <n v="1"/>
    <s v="01.11.80.209.6100.0000"/>
    <n v="-12.67"/>
    <s v="11"/>
    <s v="6100"/>
    <n v="16331.77"/>
    <n v="-12.67"/>
    <s v="CREDITOR"/>
    <n v="0"/>
    <n v="0"/>
    <n v="0"/>
    <n v="0"/>
    <n v="-12.67"/>
  </r>
  <r>
    <n v="56446682"/>
    <s v="N"/>
    <n v="21327497"/>
    <s v="3000013438650015"/>
    <s v="CIVIL"/>
    <d v="2023-06-26T00:00:00"/>
    <d v="2023-07-04T19:00:44"/>
    <m/>
    <d v="2023-07-04T00:00:00"/>
    <n v="1599"/>
    <n v="15907"/>
    <s v="56446682"/>
    <s v="56446682"/>
    <m/>
    <m/>
    <n v="22759764"/>
    <m/>
    <m/>
    <m/>
    <s v="SOLFIN"/>
    <s v="SOLFIN"/>
    <s v="CCMS"/>
    <n v="21327497"/>
    <n v="14016.11"/>
    <m/>
    <s v="N"/>
    <n v="188"/>
    <d v="2023-07-04T19:00:48"/>
    <s v="Y"/>
    <s v="Report - Welfare report"/>
    <s v="Care Remuneration Hourly Rates"/>
    <s v="Profit Cost"/>
    <s v="ACJ"/>
    <s v="Y"/>
    <n v="35.49"/>
    <n v="7.1"/>
    <x v="1"/>
    <s v="VALIDATED"/>
    <n v="1"/>
    <s v="01.11.80.308.6100.0000"/>
    <n v="35.49"/>
    <s v="11"/>
    <s v="6100"/>
    <n v="16331.77"/>
    <n v="35.49"/>
    <s v="CREDITOR"/>
    <n v="0"/>
    <n v="0"/>
    <n v="0"/>
    <n v="0"/>
    <n v="35.49"/>
  </r>
  <r>
    <n v="56446682"/>
    <s v="N"/>
    <n v="21327497"/>
    <s v="3000013438650015"/>
    <s v="CIVIL"/>
    <d v="2023-06-26T00:00:00"/>
    <d v="2023-07-04T19:00:44"/>
    <m/>
    <d v="2023-07-04T00:00:00"/>
    <n v="1599"/>
    <n v="15907"/>
    <s v="56446682"/>
    <s v="56446682"/>
    <m/>
    <m/>
    <n v="22759764"/>
    <m/>
    <m/>
    <m/>
    <s v="SOLFIN"/>
    <s v="SOLFIN"/>
    <s v="CCMS"/>
    <n v="21327497"/>
    <n v="14016.11"/>
    <m/>
    <s v="N"/>
    <n v="12"/>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79"/>
    <d v="2023-07-04T19:00:48"/>
    <s v="Y"/>
    <s v="Preparation - other"/>
    <s v="Care Remuneration Hourly Rates"/>
    <s v="Profit Cost"/>
    <s v="ACJ"/>
    <s v="Y"/>
    <n v="14.19"/>
    <n v="2.84"/>
    <x v="1"/>
    <s v="VALIDATED"/>
    <n v="1"/>
    <s v="01.11.80.308.6100.0000"/>
    <n v="14.19"/>
    <s v="11"/>
    <s v="6100"/>
    <n v="16331.77"/>
    <n v="14.19"/>
    <s v="CREDITOR"/>
    <n v="0"/>
    <n v="0"/>
    <n v="0"/>
    <n v="0"/>
    <n v="14.19"/>
  </r>
  <r>
    <n v="60224440"/>
    <s v="N"/>
    <n v="21321529"/>
    <s v="3000014534980014"/>
    <s v="CIVIL"/>
    <d v="2023-06-29T00:00:00"/>
    <d v="2023-07-03T19:05:17"/>
    <m/>
    <d v="2023-07-03T00:00:00"/>
    <n v="1599"/>
    <n v="15907"/>
    <s v="60224440"/>
    <s v="60224440"/>
    <m/>
    <m/>
    <n v="22785026"/>
    <m/>
    <m/>
    <m/>
    <s v="SOLPOA"/>
    <s v="SOLPOA"/>
    <s v="CCMS"/>
    <n v="21321529"/>
    <n v="74.88"/>
    <m/>
    <s v="N"/>
    <n v="1"/>
    <d v="2023-07-03T19:05:19"/>
    <s v="N"/>
    <s v="Expert Cost"/>
    <s v="Expert Cost"/>
    <s v="Expert Disbursement"/>
    <s v="CEG"/>
    <s v="N"/>
    <n v="62.4"/>
    <n v="12.48"/>
    <x v="3"/>
    <s v="VALIDATED"/>
    <n v="1"/>
    <s v="01.11.80.308.2012.0000"/>
    <n v="62.4"/>
    <s v="11"/>
    <s v="2012"/>
    <n v="16331.77"/>
    <n v="62.4"/>
    <s v="CREDITOR"/>
    <n v="62.4"/>
    <n v="0"/>
    <n v="0"/>
    <n v="0"/>
    <n v="0"/>
  </r>
  <r>
    <n v="56446682"/>
    <s v="N"/>
    <n v="21327497"/>
    <s v="3000013438650015"/>
    <s v="CIVIL"/>
    <d v="2023-06-26T00:00:00"/>
    <d v="2023-07-04T19:00:44"/>
    <m/>
    <d v="2023-07-04T00:00:00"/>
    <n v="1599"/>
    <n v="15907"/>
    <s v="56446682"/>
    <s v="56446682"/>
    <m/>
    <m/>
    <n v="22759764"/>
    <m/>
    <m/>
    <m/>
    <s v="SOLFIN"/>
    <s v="SOLFIN"/>
    <s v="CCMS"/>
    <n v="21327497"/>
    <n v="14016.11"/>
    <m/>
    <s v="N"/>
    <n v="43"/>
    <d v="2023-07-04T19:00:48"/>
    <s v="Y"/>
    <s v="Preparation - other"/>
    <s v="Care Remuneration Hourly Rates"/>
    <s v="Profit Cost"/>
    <s v="NIH"/>
    <s v="Y"/>
    <n v="35.49"/>
    <n v="7.1"/>
    <x v="1"/>
    <s v="VALIDATED"/>
    <n v="1"/>
    <s v="01.11.80.308.6100.0000"/>
    <n v="35.49"/>
    <s v="11"/>
    <s v="6100"/>
    <n v="16331.77"/>
    <n v="35.49"/>
    <s v="CREDITOR"/>
    <n v="0"/>
    <n v="0"/>
    <n v="0"/>
    <n v="0"/>
    <n v="35.49"/>
  </r>
  <r>
    <n v="56446682"/>
    <s v="N"/>
    <n v="21327497"/>
    <s v="3000013438650015"/>
    <s v="CIVIL"/>
    <d v="2023-06-26T00:00:00"/>
    <d v="2023-07-04T19:00:44"/>
    <m/>
    <d v="2023-07-04T00:00:00"/>
    <n v="1599"/>
    <n v="15907"/>
    <s v="56446682"/>
    <s v="56446682"/>
    <m/>
    <m/>
    <n v="22759764"/>
    <m/>
    <m/>
    <m/>
    <s v="SOLFIN"/>
    <s v="SOLFIN"/>
    <s v="CCMS"/>
    <n v="21327497"/>
    <n v="14016.11"/>
    <m/>
    <s v="N"/>
    <n v="159"/>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89"/>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09"/>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96"/>
    <d v="2023-07-04T19:00:48"/>
    <s v="Y"/>
    <s v="Preparation - other"/>
    <s v="Care Remuneration Hourly Rates"/>
    <s v="Profit Cost"/>
    <s v="NIH"/>
    <s v="Y"/>
    <n v="10.51"/>
    <n v="2.1"/>
    <x v="1"/>
    <s v="VALIDATED"/>
    <n v="1"/>
    <s v="01.11.80.308.6100.0000"/>
    <n v="10.51"/>
    <s v="11"/>
    <s v="6100"/>
    <n v="16331.77"/>
    <n v="10.51"/>
    <s v="CREDITOR"/>
    <n v="0"/>
    <n v="0"/>
    <n v="0"/>
    <n v="0"/>
    <n v="10.51"/>
  </r>
  <r>
    <n v="56446682"/>
    <s v="N"/>
    <n v="21327497"/>
    <s v="3000013438650015"/>
    <s v="CIVIL"/>
    <d v="2023-06-26T00:00:00"/>
    <d v="2023-07-04T19:00:44"/>
    <m/>
    <d v="2023-07-04T00:00:00"/>
    <n v="1599"/>
    <n v="15907"/>
    <s v="56446682"/>
    <s v="56446682"/>
    <m/>
    <m/>
    <n v="22759764"/>
    <m/>
    <m/>
    <m/>
    <s v="SOLFIN"/>
    <s v="SOLFIN"/>
    <s v="CCMS"/>
    <n v="21327497"/>
    <n v="14016.11"/>
    <m/>
    <s v="N"/>
    <n v="71"/>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87"/>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66"/>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26"/>
    <d v="2023-07-04T19:00:48"/>
    <s v="Y"/>
    <s v="Routine Letter Out"/>
    <s v="Care Remuneration Hourly Rates"/>
    <s v="Profit Cost"/>
    <s v="NIH"/>
    <s v="Y"/>
    <n v="605.16"/>
    <n v="121.04"/>
    <x v="1"/>
    <s v="VALIDATED"/>
    <n v="1"/>
    <s v="01.11.80.308.6100.0000"/>
    <n v="605.16"/>
    <s v="11"/>
    <s v="6100"/>
    <n v="16331.77"/>
    <n v="605.16"/>
    <s v="CREDITOR"/>
    <n v="0"/>
    <n v="0"/>
    <n v="0"/>
    <n v="0"/>
    <n v="605.16"/>
  </r>
  <r>
    <n v="56446682"/>
    <s v="N"/>
    <n v="21327497"/>
    <s v="3000013438650015"/>
    <s v="CIVIL"/>
    <d v="2023-06-26T00:00:00"/>
    <d v="2023-07-04T19:00:44"/>
    <m/>
    <d v="2023-07-04T00:00:00"/>
    <n v="1599"/>
    <n v="15907"/>
    <s v="56446682"/>
    <s v="56446682"/>
    <m/>
    <m/>
    <n v="22759764"/>
    <m/>
    <m/>
    <m/>
    <s v="SOLFIN"/>
    <s v="SOLFIN"/>
    <s v="CCMS"/>
    <n v="21327497"/>
    <n v="14016.11"/>
    <m/>
    <s v="N"/>
    <n v="157"/>
    <d v="2023-07-04T19:00:48"/>
    <s v="Y"/>
    <s v="Preparation - other"/>
    <s v="Care Remuneration Hourly Rates"/>
    <s v="Profit Cost"/>
    <s v="NIH"/>
    <s v="Y"/>
    <n v="21.03"/>
    <n v="4.21"/>
    <x v="1"/>
    <s v="VALIDATED"/>
    <n v="1"/>
    <s v="01.11.80.308.6100.0000"/>
    <n v="21.03"/>
    <s v="11"/>
    <s v="6100"/>
    <n v="16331.77"/>
    <n v="21.03"/>
    <s v="CREDITOR"/>
    <n v="0"/>
    <n v="0"/>
    <n v="0"/>
    <n v="0"/>
    <n v="21.03"/>
  </r>
  <r>
    <n v="56446682"/>
    <s v="N"/>
    <n v="21327497"/>
    <s v="3000013438650015"/>
    <s v="CIVIL"/>
    <d v="2023-06-26T00:00:00"/>
    <d v="2023-07-04T19:00:44"/>
    <m/>
    <d v="2023-07-04T00:00:00"/>
    <n v="1599"/>
    <n v="15907"/>
    <s v="56446682"/>
    <s v="56446682"/>
    <m/>
    <m/>
    <n v="22759764"/>
    <m/>
    <m/>
    <m/>
    <s v="SOLFIN"/>
    <s v="SOLFIN"/>
    <s v="CCMS"/>
    <n v="21327497"/>
    <n v="14016.11"/>
    <m/>
    <s v="N"/>
    <n v="33"/>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55"/>
    <d v="2023-07-04T19:00:48"/>
    <s v="Y"/>
    <s v="Attendance upon client"/>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04"/>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12"/>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06"/>
    <d v="2023-07-04T19:00:48"/>
    <s v="Y"/>
    <s v="Attendance upon client"/>
    <s v="Care Remuneration Hourly Rates"/>
    <s v="Profit Cost"/>
    <s v="ACJ"/>
    <s v="Y"/>
    <n v="14.19"/>
    <n v="2.84"/>
    <x v="1"/>
    <s v="VALIDATED"/>
    <n v="1"/>
    <s v="01.11.80.308.6100.0000"/>
    <n v="14.19"/>
    <s v="11"/>
    <s v="6100"/>
    <n v="16331.77"/>
    <n v="14.19"/>
    <s v="CREDITOR"/>
    <n v="0"/>
    <n v="0"/>
    <n v="0"/>
    <n v="0"/>
    <n v="14.19"/>
  </r>
  <r>
    <n v="61431726"/>
    <s v="N"/>
    <n v="21324515"/>
    <s v="3000015566920003RC"/>
    <s v="CIVIL"/>
    <d v="2023-06-23T00:00:00"/>
    <d v="2023-07-03T19:42:50"/>
    <m/>
    <d v="2023-07-03T00:00:00"/>
    <n v="1599"/>
    <n v="15907"/>
    <s v="61431726"/>
    <s v="61431726"/>
    <m/>
    <m/>
    <m/>
    <m/>
    <m/>
    <m/>
    <s v="SOLRECOUP"/>
    <s v="SOLRECOUP"/>
    <s v="POARECOUP"/>
    <n v="21324515"/>
    <n v="-778.08"/>
    <m/>
    <s v="Y"/>
    <n v="1"/>
    <d v="2023-07-03T19:42:51"/>
    <s v="N"/>
    <m/>
    <m/>
    <s v="Expert Disbursement"/>
    <m/>
    <s v="N"/>
    <n v="-648.4"/>
    <n v="0"/>
    <x v="3"/>
    <s v="VALIDATED"/>
    <n v="1"/>
    <s v="01.11.80.308.2013.0000"/>
    <n v="-648.4"/>
    <s v="11"/>
    <s v="2013"/>
    <n v="16331.77"/>
    <n v="-648.4"/>
    <s v="CREDITOR"/>
    <n v="0"/>
    <n v="0"/>
    <n v="-648.4"/>
    <n v="0"/>
    <n v="0"/>
  </r>
  <r>
    <n v="61431726"/>
    <s v="N"/>
    <n v="21324515"/>
    <s v="3000015566920003RC"/>
    <s v="CIVIL"/>
    <d v="2023-06-23T00:00:00"/>
    <d v="2023-07-03T19:42:50"/>
    <m/>
    <d v="2023-07-03T00:00:00"/>
    <n v="1599"/>
    <n v="15907"/>
    <s v="61431726"/>
    <s v="61431726"/>
    <m/>
    <m/>
    <m/>
    <m/>
    <m/>
    <m/>
    <s v="SOLRECOUP"/>
    <s v="SOLRECOUP"/>
    <s v="POARECOUP"/>
    <n v="21324515"/>
    <n v="-778.08"/>
    <m/>
    <s v="Y"/>
    <n v="2"/>
    <d v="2023-07-03T19:42:51"/>
    <s v="N"/>
    <m/>
    <m/>
    <s v="Expert Disbursement"/>
    <m/>
    <s v="N"/>
    <n v="0"/>
    <n v="-129.68"/>
    <x v="3"/>
    <s v="VALIDATED"/>
    <n v="1"/>
    <s v="01.11.80.308.2013.0000"/>
    <n v="-129.68"/>
    <s v="11"/>
    <s v="2013"/>
    <n v="16331.77"/>
    <n v="-129.68"/>
    <s v="CREDITOR"/>
    <n v="0"/>
    <n v="0"/>
    <n v="-129.68"/>
    <n v="0"/>
    <n v="0"/>
  </r>
  <r>
    <n v="61431726"/>
    <s v="N"/>
    <n v="21324516"/>
    <s v="3000015566920002RC"/>
    <s v="CIVIL"/>
    <d v="2023-06-23T00:00:00"/>
    <d v="2023-07-03T19:42:50"/>
    <m/>
    <d v="2023-07-03T00:00:00"/>
    <n v="1599"/>
    <n v="15907"/>
    <s v="61431726"/>
    <s v="61431726"/>
    <m/>
    <m/>
    <m/>
    <m/>
    <m/>
    <m/>
    <s v="SOLRECOUP"/>
    <s v="SOLRECOUP"/>
    <s v="POARECOUP"/>
    <n v="21324516"/>
    <n v="-185.6"/>
    <m/>
    <s v="Y"/>
    <n v="1"/>
    <d v="2023-07-03T19:42:51"/>
    <s v="N"/>
    <m/>
    <m/>
    <s v="Expert Disbursement"/>
    <m/>
    <s v="N"/>
    <n v="-154.67"/>
    <n v="0"/>
    <x v="3"/>
    <s v="VALIDATED"/>
    <n v="1"/>
    <s v="01.11.80.308.2013.0000"/>
    <n v="-154.67"/>
    <s v="11"/>
    <s v="2013"/>
    <n v="16331.77"/>
    <n v="-154.67"/>
    <s v="CREDITOR"/>
    <n v="0"/>
    <n v="0"/>
    <n v="-154.67"/>
    <n v="0"/>
    <n v="0"/>
  </r>
  <r>
    <n v="61431726"/>
    <s v="N"/>
    <n v="21324516"/>
    <s v="3000015566920002RC"/>
    <s v="CIVIL"/>
    <d v="2023-06-23T00:00:00"/>
    <d v="2023-07-03T19:42:50"/>
    <m/>
    <d v="2023-07-03T00:00:00"/>
    <n v="1599"/>
    <n v="15907"/>
    <s v="61431726"/>
    <s v="61431726"/>
    <m/>
    <m/>
    <m/>
    <m/>
    <m/>
    <m/>
    <s v="SOLRECOUP"/>
    <s v="SOLRECOUP"/>
    <s v="POARECOUP"/>
    <n v="21324516"/>
    <n v="-185.6"/>
    <m/>
    <s v="Y"/>
    <n v="2"/>
    <d v="2023-07-03T19:42:51"/>
    <s v="N"/>
    <m/>
    <m/>
    <s v="Expert Disbursement"/>
    <m/>
    <s v="N"/>
    <n v="0"/>
    <n v="-30.93"/>
    <x v="3"/>
    <s v="VALIDATED"/>
    <n v="1"/>
    <s v="01.11.80.308.2013.0000"/>
    <n v="-30.93"/>
    <s v="11"/>
    <s v="2013"/>
    <n v="16331.77"/>
    <n v="-30.93"/>
    <s v="CREDITOR"/>
    <n v="0"/>
    <n v="0"/>
    <n v="-30.93"/>
    <n v="0"/>
    <n v="0"/>
  </r>
  <r>
    <n v="61431726"/>
    <s v="N"/>
    <n v="21324517"/>
    <s v="3000015566920006RC"/>
    <s v="CIVIL"/>
    <d v="2023-06-23T00:00:00"/>
    <d v="2023-07-03T19:42:50"/>
    <m/>
    <d v="2023-07-03T00:00:00"/>
    <n v="1599"/>
    <n v="15907"/>
    <s v="61431726"/>
    <s v="61431726"/>
    <m/>
    <m/>
    <m/>
    <m/>
    <m/>
    <m/>
    <s v="SOLRECOUP"/>
    <s v="SOLRECOUP"/>
    <s v="POARECOUP"/>
    <n v="21324517"/>
    <n v="-731.46"/>
    <m/>
    <s v="Y"/>
    <n v="1"/>
    <d v="2023-07-03T19:42:51"/>
    <s v="N"/>
    <m/>
    <m/>
    <s v="Expert Disbursement"/>
    <m/>
    <s v="N"/>
    <n v="-609.55"/>
    <n v="0"/>
    <x v="3"/>
    <s v="VALIDATED"/>
    <n v="1"/>
    <s v="01.11.80.308.2013.0000"/>
    <n v="-609.55"/>
    <s v="11"/>
    <s v="2013"/>
    <n v="16331.77"/>
    <n v="-609.55"/>
    <s v="CREDITOR"/>
    <n v="0"/>
    <n v="0"/>
    <n v="-609.55"/>
    <n v="0"/>
    <n v="0"/>
  </r>
  <r>
    <n v="61431726"/>
    <s v="N"/>
    <n v="21324517"/>
    <s v="3000015566920006RC"/>
    <s v="CIVIL"/>
    <d v="2023-06-23T00:00:00"/>
    <d v="2023-07-03T19:42:50"/>
    <m/>
    <d v="2023-07-03T00:00:00"/>
    <n v="1599"/>
    <n v="15907"/>
    <s v="61431726"/>
    <s v="61431726"/>
    <m/>
    <m/>
    <m/>
    <m/>
    <m/>
    <m/>
    <s v="SOLRECOUP"/>
    <s v="SOLRECOUP"/>
    <s v="POARECOUP"/>
    <n v="21324517"/>
    <n v="-731.46"/>
    <m/>
    <s v="Y"/>
    <n v="2"/>
    <d v="2023-07-03T19:42:51"/>
    <s v="N"/>
    <m/>
    <m/>
    <s v="Expert Disbursement"/>
    <m/>
    <s v="N"/>
    <n v="0"/>
    <n v="-121.91"/>
    <x v="3"/>
    <s v="VALIDATED"/>
    <n v="1"/>
    <s v="01.11.80.308.2013.0000"/>
    <n v="-121.91"/>
    <s v="11"/>
    <s v="2013"/>
    <n v="16331.77"/>
    <n v="-121.91"/>
    <s v="CREDITOR"/>
    <n v="0"/>
    <n v="0"/>
    <n v="-121.91"/>
    <n v="0"/>
    <n v="0"/>
  </r>
  <r>
    <n v="61431726"/>
    <s v="N"/>
    <n v="21324518"/>
    <s v="3000015566920004RC"/>
    <s v="CIVIL"/>
    <d v="2023-06-23T00:00:00"/>
    <d v="2023-07-03T19:42:50"/>
    <m/>
    <d v="2023-07-03T00:00:00"/>
    <n v="1599"/>
    <n v="15907"/>
    <s v="61431726"/>
    <s v="61431726"/>
    <m/>
    <m/>
    <m/>
    <m/>
    <m/>
    <m/>
    <s v="SOLRECOUP"/>
    <s v="SOLRECOUP"/>
    <s v="POARECOUP"/>
    <n v="21324518"/>
    <n v="-1834.56"/>
    <m/>
    <s v="Y"/>
    <n v="1"/>
    <d v="2023-07-03T19:42:51"/>
    <s v="N"/>
    <m/>
    <m/>
    <s v="Profit Cost"/>
    <m/>
    <s v="N"/>
    <n v="-1528.8"/>
    <n v="0"/>
    <x v="3"/>
    <s v="VALIDATED"/>
    <n v="1"/>
    <s v="01.11.80.308.2013.0000"/>
    <n v="-1528.8"/>
    <s v="11"/>
    <s v="2013"/>
    <n v="16331.77"/>
    <n v="-1528.8"/>
    <s v="CREDITOR"/>
    <n v="0"/>
    <n v="0"/>
    <n v="-1528.8"/>
    <n v="-382.2"/>
    <n v="0"/>
  </r>
  <r>
    <n v="61431726"/>
    <s v="N"/>
    <n v="21324518"/>
    <s v="3000015566920004RC"/>
    <s v="CIVIL"/>
    <d v="2023-06-23T00:00:00"/>
    <d v="2023-07-03T19:42:50"/>
    <m/>
    <d v="2023-07-03T00:00:00"/>
    <n v="1599"/>
    <n v="15907"/>
    <s v="61431726"/>
    <s v="61431726"/>
    <m/>
    <m/>
    <m/>
    <m/>
    <m/>
    <m/>
    <s v="SOLRECOUP"/>
    <s v="SOLRECOUP"/>
    <s v="POARECOUP"/>
    <n v="21324518"/>
    <n v="-1834.56"/>
    <m/>
    <s v="Y"/>
    <n v="2"/>
    <d v="2023-07-03T19:42:51"/>
    <s v="N"/>
    <m/>
    <m/>
    <s v="Profit Cost"/>
    <m/>
    <s v="N"/>
    <n v="0"/>
    <n v="-305.76"/>
    <x v="3"/>
    <s v="VALIDATED"/>
    <n v="1"/>
    <s v="01.11.80.308.2013.0000"/>
    <n v="-305.76"/>
    <s v="11"/>
    <s v="2013"/>
    <n v="16331.77"/>
    <n v="-305.76"/>
    <s v="CREDITOR"/>
    <n v="0"/>
    <n v="0"/>
    <n v="-305.76"/>
    <n v="-76.44"/>
    <n v="0"/>
  </r>
  <r>
    <n v="61431726"/>
    <s v="N"/>
    <n v="21324519"/>
    <s v="3000015566920005RC"/>
    <s v="CIVIL"/>
    <d v="2023-06-23T00:00:00"/>
    <d v="2023-07-03T19:42:50"/>
    <m/>
    <d v="2023-07-03T00:00:00"/>
    <n v="1599"/>
    <n v="15907"/>
    <s v="61431726"/>
    <s v="61431726"/>
    <m/>
    <m/>
    <m/>
    <m/>
    <m/>
    <m/>
    <s v="SOLRECOUP"/>
    <s v="SOLRECOUP"/>
    <s v="POARECOUP"/>
    <n v="21324519"/>
    <n v="-602.76"/>
    <m/>
    <s v="Y"/>
    <n v="1"/>
    <d v="2023-07-03T19:42:51"/>
    <s v="N"/>
    <m/>
    <m/>
    <s v="Expert Disbursement"/>
    <m/>
    <s v="N"/>
    <n v="-502.3"/>
    <n v="0"/>
    <x v="3"/>
    <s v="VALIDATED"/>
    <n v="1"/>
    <s v="01.11.80.308.2013.0000"/>
    <n v="-502.3"/>
    <s v="11"/>
    <s v="2013"/>
    <n v="16331.77"/>
    <n v="-502.3"/>
    <s v="CREDITOR"/>
    <n v="0"/>
    <n v="0"/>
    <n v="-502.3"/>
    <n v="0"/>
    <n v="0"/>
  </r>
  <r>
    <n v="61431726"/>
    <s v="N"/>
    <n v="21324519"/>
    <s v="3000015566920005RC"/>
    <s v="CIVIL"/>
    <d v="2023-06-23T00:00:00"/>
    <d v="2023-07-03T19:42:50"/>
    <m/>
    <d v="2023-07-03T00:00:00"/>
    <n v="1599"/>
    <n v="15907"/>
    <s v="61431726"/>
    <s v="61431726"/>
    <m/>
    <m/>
    <m/>
    <m/>
    <m/>
    <m/>
    <s v="SOLRECOUP"/>
    <s v="SOLRECOUP"/>
    <s v="POARECOUP"/>
    <n v="21324519"/>
    <n v="-602.76"/>
    <m/>
    <s v="Y"/>
    <n v="2"/>
    <d v="2023-07-03T19:42:51"/>
    <s v="N"/>
    <m/>
    <m/>
    <s v="Expert Disbursement"/>
    <m/>
    <s v="N"/>
    <n v="0"/>
    <n v="-100.46"/>
    <x v="3"/>
    <s v="VALIDATED"/>
    <n v="1"/>
    <s v="01.11.80.308.2013.0000"/>
    <n v="-100.46"/>
    <s v="11"/>
    <s v="2013"/>
    <n v="16331.77"/>
    <n v="-100.46"/>
    <s v="CREDITOR"/>
    <n v="0"/>
    <n v="0"/>
    <n v="-100.46"/>
    <n v="0"/>
    <n v="0"/>
  </r>
  <r>
    <n v="56446682"/>
    <s v="N"/>
    <n v="21328858"/>
    <s v="3000013438650010RC"/>
    <s v="CIVIL"/>
    <d v="2023-06-26T00:00:00"/>
    <d v="2023-07-04T19:38:21"/>
    <m/>
    <d v="2023-07-04T00:00:00"/>
    <n v="1599"/>
    <n v="15907"/>
    <s v="56446682"/>
    <s v="56446682"/>
    <m/>
    <m/>
    <m/>
    <m/>
    <m/>
    <m/>
    <s v="SOLRECOUP"/>
    <s v="SOLRECOUP"/>
    <s v="POARECOUP"/>
    <n v="21328858"/>
    <n v="-193.74"/>
    <m/>
    <s v="Y"/>
    <n v="1"/>
    <d v="2023-07-04T19:38:23"/>
    <s v="N"/>
    <m/>
    <m/>
    <s v="Expert Disbursement"/>
    <m/>
    <s v="N"/>
    <n v="-161.45"/>
    <n v="0"/>
    <x v="1"/>
    <s v="VALIDATED"/>
    <n v="1"/>
    <s v="01.11.80.308.2013.0000"/>
    <n v="-161.45"/>
    <s v="11"/>
    <s v="2013"/>
    <n v="16331.77"/>
    <n v="-161.45"/>
    <s v="CREDITOR"/>
    <n v="0"/>
    <n v="0"/>
    <n v="-161.45"/>
    <n v="0"/>
    <n v="0"/>
  </r>
  <r>
    <n v="56446682"/>
    <s v="N"/>
    <n v="21328858"/>
    <s v="3000013438650010RC"/>
    <s v="CIVIL"/>
    <d v="2023-06-26T00:00:00"/>
    <d v="2023-07-04T19:38:21"/>
    <m/>
    <d v="2023-07-04T00:00:00"/>
    <n v="1599"/>
    <n v="15907"/>
    <s v="56446682"/>
    <s v="56446682"/>
    <m/>
    <m/>
    <m/>
    <m/>
    <m/>
    <m/>
    <s v="SOLRECOUP"/>
    <s v="SOLRECOUP"/>
    <s v="POARECOUP"/>
    <n v="21328858"/>
    <n v="-193.74"/>
    <m/>
    <s v="Y"/>
    <n v="2"/>
    <d v="2023-07-04T19:38:23"/>
    <s v="N"/>
    <m/>
    <m/>
    <s v="Expert Disbursement"/>
    <m/>
    <s v="N"/>
    <n v="0"/>
    <n v="-32.29"/>
    <x v="1"/>
    <s v="VALIDATED"/>
    <n v="1"/>
    <s v="01.11.80.308.2013.0000"/>
    <n v="-32.29"/>
    <s v="11"/>
    <s v="2013"/>
    <n v="16331.77"/>
    <n v="-32.29"/>
    <s v="CREDITOR"/>
    <n v="0"/>
    <n v="0"/>
    <n v="-32.29"/>
    <n v="0"/>
    <n v="0"/>
  </r>
  <r>
    <n v="56446682"/>
    <s v="N"/>
    <n v="21328859"/>
    <s v="3000013438650002RC"/>
    <s v="CIVIL"/>
    <d v="2023-06-26T00:00:00"/>
    <d v="2023-07-04T19:38:21"/>
    <m/>
    <d v="2023-07-04T00:00:00"/>
    <n v="1599"/>
    <n v="15907"/>
    <s v="56446682"/>
    <s v="56446682"/>
    <m/>
    <m/>
    <m/>
    <m/>
    <m/>
    <m/>
    <s v="SOLRECOUP"/>
    <s v="SOLRECOUP"/>
    <s v="POARECOUP"/>
    <n v="21328859"/>
    <n v="-1966.18"/>
    <m/>
    <s v="Y"/>
    <n v="1"/>
    <d v="2023-07-04T19:38:23"/>
    <s v="N"/>
    <m/>
    <m/>
    <s v="Profit Cost"/>
    <m/>
    <s v="N"/>
    <n v="-1638.48"/>
    <n v="0"/>
    <x v="1"/>
    <s v="VALIDATED"/>
    <n v="1"/>
    <s v="01.11.80.308.2013.0000"/>
    <n v="-1638.48"/>
    <s v="11"/>
    <s v="2013"/>
    <n v="16331.77"/>
    <n v="-1638.48"/>
    <s v="CREDITOR"/>
    <n v="0"/>
    <n v="0"/>
    <n v="-1638.48"/>
    <n v="-409.62"/>
    <n v="0"/>
  </r>
  <r>
    <n v="56446682"/>
    <s v="N"/>
    <n v="21328859"/>
    <s v="3000013438650002RC"/>
    <s v="CIVIL"/>
    <d v="2023-06-26T00:00:00"/>
    <d v="2023-07-04T19:38:21"/>
    <m/>
    <d v="2023-07-04T00:00:00"/>
    <n v="1599"/>
    <n v="15907"/>
    <s v="56446682"/>
    <s v="56446682"/>
    <m/>
    <m/>
    <m/>
    <m/>
    <m/>
    <m/>
    <s v="SOLRECOUP"/>
    <s v="SOLRECOUP"/>
    <s v="POARECOUP"/>
    <n v="21328859"/>
    <n v="-1966.18"/>
    <m/>
    <s v="Y"/>
    <n v="2"/>
    <d v="2023-07-04T19:38:23"/>
    <s v="N"/>
    <m/>
    <m/>
    <s v="Profit Cost"/>
    <m/>
    <s v="N"/>
    <n v="0"/>
    <n v="-327.7"/>
    <x v="1"/>
    <s v="VALIDATED"/>
    <n v="1"/>
    <s v="01.11.80.308.2013.0000"/>
    <n v="-327.7"/>
    <s v="11"/>
    <s v="2013"/>
    <n v="16331.77"/>
    <n v="-327.7"/>
    <s v="CREDITOR"/>
    <n v="0"/>
    <n v="0"/>
    <n v="-327.7"/>
    <n v="-81.925"/>
    <n v="0"/>
  </r>
  <r>
    <n v="56446682"/>
    <s v="N"/>
    <n v="21328860"/>
    <s v="3000013438650005RC"/>
    <s v="CIVIL"/>
    <d v="2023-06-26T00:00:00"/>
    <d v="2023-07-04T19:38:21"/>
    <m/>
    <d v="2023-07-04T00:00:00"/>
    <n v="1599"/>
    <n v="15907"/>
    <s v="56446682"/>
    <s v="56446682"/>
    <m/>
    <m/>
    <m/>
    <m/>
    <m/>
    <m/>
    <s v="SOLRECOUP"/>
    <s v="SOLRECOUP"/>
    <s v="POARECOUP"/>
    <n v="21328860"/>
    <n v="-514.2"/>
    <m/>
    <s v="Y"/>
    <n v="1"/>
    <d v="2023-07-04T19:38:23"/>
    <s v="N"/>
    <m/>
    <m/>
    <s v="Expert Disbursement"/>
    <m/>
    <s v="N"/>
    <n v="-428.5"/>
    <n v="0"/>
    <x v="1"/>
    <s v="VALIDATED"/>
    <n v="1"/>
    <s v="01.11.80.308.2013.0000"/>
    <n v="-428.5"/>
    <s v="11"/>
    <s v="2013"/>
    <n v="16331.77"/>
    <n v="-428.5"/>
    <s v="CREDITOR"/>
    <n v="0"/>
    <n v="0"/>
    <n v="-428.5"/>
    <n v="0"/>
    <n v="0"/>
  </r>
  <r>
    <n v="56446682"/>
    <s v="N"/>
    <n v="21328860"/>
    <s v="3000013438650005RC"/>
    <s v="CIVIL"/>
    <d v="2023-06-26T00:00:00"/>
    <d v="2023-07-04T19:38:21"/>
    <m/>
    <d v="2023-07-04T00:00:00"/>
    <n v="1599"/>
    <n v="15907"/>
    <s v="56446682"/>
    <s v="56446682"/>
    <m/>
    <m/>
    <m/>
    <m/>
    <m/>
    <m/>
    <s v="SOLRECOUP"/>
    <s v="SOLRECOUP"/>
    <s v="POARECOUP"/>
    <n v="21328860"/>
    <n v="-514.2"/>
    <m/>
    <s v="Y"/>
    <n v="2"/>
    <d v="2023-07-04T19:38:23"/>
    <s v="N"/>
    <m/>
    <m/>
    <s v="Expert Disbursement"/>
    <m/>
    <s v="N"/>
    <n v="0"/>
    <n v="-85.7"/>
    <x v="1"/>
    <s v="VALIDATED"/>
    <n v="1"/>
    <s v="01.11.80.308.2013.0000"/>
    <n v="-85.7"/>
    <s v="11"/>
    <s v="2013"/>
    <n v="16331.77"/>
    <n v="-85.7"/>
    <s v="CREDITOR"/>
    <n v="0"/>
    <n v="0"/>
    <n v="-85.7"/>
    <n v="0"/>
    <n v="0"/>
  </r>
  <r>
    <n v="56446682"/>
    <s v="N"/>
    <n v="21328861"/>
    <s v="3000013438650008RC"/>
    <s v="CIVIL"/>
    <d v="2023-06-26T00:00:00"/>
    <d v="2023-07-04T19:38:21"/>
    <m/>
    <d v="2023-07-04T00:00:00"/>
    <n v="1599"/>
    <n v="15907"/>
    <s v="56446682"/>
    <s v="56446682"/>
    <m/>
    <m/>
    <m/>
    <m/>
    <m/>
    <m/>
    <s v="SOLRECOUP"/>
    <s v="SOLRECOUP"/>
    <s v="POARECOUP"/>
    <n v="21328861"/>
    <n v="-11.88"/>
    <m/>
    <s v="Y"/>
    <n v="1"/>
    <d v="2023-07-04T19:38:23"/>
    <s v="N"/>
    <m/>
    <m/>
    <s v="Non Expert Disbursement"/>
    <m/>
    <s v="N"/>
    <n v="-9.9"/>
    <n v="0"/>
    <x v="1"/>
    <s v="VALIDATED"/>
    <n v="1"/>
    <s v="01.11.80.308.2013.0000"/>
    <n v="-9.9"/>
    <s v="11"/>
    <s v="2013"/>
    <n v="16331.77"/>
    <n v="-9.9"/>
    <s v="CREDITOR"/>
    <n v="0"/>
    <n v="0"/>
    <n v="-9.9"/>
    <n v="0"/>
    <n v="0"/>
  </r>
  <r>
    <n v="56446682"/>
    <s v="N"/>
    <n v="21328861"/>
    <s v="3000013438650008RC"/>
    <s v="CIVIL"/>
    <d v="2023-06-26T00:00:00"/>
    <d v="2023-07-04T19:38:21"/>
    <m/>
    <d v="2023-07-04T00:00:00"/>
    <n v="1599"/>
    <n v="15907"/>
    <s v="56446682"/>
    <s v="56446682"/>
    <m/>
    <m/>
    <m/>
    <m/>
    <m/>
    <m/>
    <s v="SOLRECOUP"/>
    <s v="SOLRECOUP"/>
    <s v="POARECOUP"/>
    <n v="21328861"/>
    <n v="-11.88"/>
    <m/>
    <s v="Y"/>
    <n v="2"/>
    <d v="2023-07-04T19:38:23"/>
    <s v="N"/>
    <m/>
    <m/>
    <s v="Non Expert Disbursement"/>
    <m/>
    <s v="N"/>
    <n v="0"/>
    <n v="-1.98"/>
    <x v="1"/>
    <s v="VALIDATED"/>
    <n v="1"/>
    <s v="01.11.80.308.2013.0000"/>
    <n v="-1.98"/>
    <s v="11"/>
    <s v="2013"/>
    <n v="16331.77"/>
    <n v="-1.98"/>
    <s v="CREDITOR"/>
    <n v="0"/>
    <n v="0"/>
    <n v="-1.98"/>
    <n v="0"/>
    <n v="0"/>
  </r>
  <r>
    <n v="56446682"/>
    <s v="N"/>
    <n v="21328862"/>
    <s v="3000013438650011RC"/>
    <s v="CIVIL"/>
    <d v="2023-06-26T00:00:00"/>
    <d v="2023-07-04T19:38:21"/>
    <m/>
    <d v="2023-07-04T00:00:00"/>
    <n v="1599"/>
    <n v="15907"/>
    <s v="56446682"/>
    <s v="56446682"/>
    <m/>
    <m/>
    <m/>
    <m/>
    <m/>
    <m/>
    <s v="SOLRECOUP"/>
    <s v="SOLRECOUP"/>
    <s v="POARECOUP"/>
    <n v="21328862"/>
    <n v="-1837.01"/>
    <m/>
    <s v="Y"/>
    <n v="1"/>
    <d v="2023-07-04T19:38:23"/>
    <s v="N"/>
    <m/>
    <m/>
    <s v="Profit Cost"/>
    <m/>
    <s v="N"/>
    <n v="-1530.84"/>
    <n v="0"/>
    <x v="1"/>
    <s v="VALIDATED"/>
    <n v="1"/>
    <s v="01.11.80.308.2013.0000"/>
    <n v="-1530.84"/>
    <s v="11"/>
    <s v="2013"/>
    <n v="16331.77"/>
    <n v="-1530.84"/>
    <s v="CREDITOR"/>
    <n v="0"/>
    <n v="0"/>
    <n v="-1530.84"/>
    <n v="-382.71"/>
    <n v="0"/>
  </r>
  <r>
    <n v="56446682"/>
    <s v="N"/>
    <n v="21328862"/>
    <s v="3000013438650011RC"/>
    <s v="CIVIL"/>
    <d v="2023-06-26T00:00:00"/>
    <d v="2023-07-04T19:38:21"/>
    <m/>
    <d v="2023-07-04T00:00:00"/>
    <n v="1599"/>
    <n v="15907"/>
    <s v="56446682"/>
    <s v="56446682"/>
    <m/>
    <m/>
    <m/>
    <m/>
    <m/>
    <m/>
    <s v="SOLRECOUP"/>
    <s v="SOLRECOUP"/>
    <s v="POARECOUP"/>
    <n v="21328862"/>
    <n v="-1837.01"/>
    <m/>
    <s v="Y"/>
    <n v="2"/>
    <d v="2023-07-04T19:38:23"/>
    <s v="N"/>
    <m/>
    <m/>
    <s v="Profit Cost"/>
    <m/>
    <s v="N"/>
    <n v="0"/>
    <n v="-306.17"/>
    <x v="1"/>
    <s v="VALIDATED"/>
    <n v="1"/>
    <s v="01.11.80.308.2013.0000"/>
    <n v="-306.17"/>
    <s v="11"/>
    <s v="2013"/>
    <n v="16331.77"/>
    <n v="-306.17"/>
    <s v="CREDITOR"/>
    <n v="0"/>
    <n v="0"/>
    <n v="-306.17"/>
    <n v="-76.5425"/>
    <n v="0"/>
  </r>
  <r>
    <n v="56446682"/>
    <s v="N"/>
    <n v="21328863"/>
    <s v="3000013438650007RC"/>
    <s v="CIVIL"/>
    <d v="2023-06-26T00:00:00"/>
    <d v="2023-07-04T19:38:21"/>
    <m/>
    <d v="2023-07-04T00:00:00"/>
    <n v="1599"/>
    <n v="15907"/>
    <s v="56446682"/>
    <s v="56446682"/>
    <m/>
    <m/>
    <m/>
    <m/>
    <m/>
    <m/>
    <s v="SOLRECOUP"/>
    <s v="SOLRECOUP"/>
    <s v="POARECOUP"/>
    <n v="21328863"/>
    <n v="-3239.9"/>
    <m/>
    <s v="Y"/>
    <n v="1"/>
    <d v="2023-07-04T19:38:23"/>
    <s v="N"/>
    <m/>
    <m/>
    <s v="Profit Cost"/>
    <m/>
    <s v="N"/>
    <n v="-2699.92"/>
    <n v="0"/>
    <x v="1"/>
    <s v="VALIDATED"/>
    <n v="1"/>
    <s v="01.11.80.308.2013.0000"/>
    <n v="-2699.92"/>
    <s v="11"/>
    <s v="2013"/>
    <n v="16331.77"/>
    <n v="-2699.92"/>
    <s v="CREDITOR"/>
    <n v="0"/>
    <n v="0"/>
    <n v="-2699.92"/>
    <n v="-674.98"/>
    <n v="0"/>
  </r>
  <r>
    <n v="56446682"/>
    <s v="N"/>
    <n v="21328863"/>
    <s v="3000013438650007RC"/>
    <s v="CIVIL"/>
    <d v="2023-06-26T00:00:00"/>
    <d v="2023-07-04T19:38:21"/>
    <m/>
    <d v="2023-07-04T00:00:00"/>
    <n v="1599"/>
    <n v="15907"/>
    <s v="56446682"/>
    <s v="56446682"/>
    <m/>
    <m/>
    <m/>
    <m/>
    <m/>
    <m/>
    <s v="SOLRECOUP"/>
    <s v="SOLRECOUP"/>
    <s v="POARECOUP"/>
    <n v="21328863"/>
    <n v="-3239.9"/>
    <m/>
    <s v="Y"/>
    <n v="2"/>
    <d v="2023-07-04T19:38:23"/>
    <s v="N"/>
    <m/>
    <m/>
    <s v="Profit Cost"/>
    <m/>
    <s v="N"/>
    <n v="0"/>
    <n v="-539.98"/>
    <x v="1"/>
    <s v="VALIDATED"/>
    <n v="1"/>
    <s v="01.11.80.308.2013.0000"/>
    <n v="-539.98"/>
    <s v="11"/>
    <s v="2013"/>
    <n v="16331.77"/>
    <n v="-539.98"/>
    <s v="CREDITOR"/>
    <n v="0"/>
    <n v="0"/>
    <n v="-539.98"/>
    <n v="-134.995"/>
    <n v="0"/>
  </r>
  <r>
    <n v="56446682"/>
    <s v="N"/>
    <n v="21328864"/>
    <s v="3000013438650012RC"/>
    <s v="CIVIL"/>
    <d v="2023-06-26T00:00:00"/>
    <d v="2023-07-04T19:38:21"/>
    <m/>
    <d v="2023-07-04T00:00:00"/>
    <n v="1599"/>
    <n v="15907"/>
    <s v="56446682"/>
    <s v="56446682"/>
    <m/>
    <m/>
    <m/>
    <m/>
    <m/>
    <m/>
    <s v="SOLRECOUP"/>
    <s v="SOLRECOUP"/>
    <s v="POARECOUP"/>
    <n v="21328864"/>
    <n v="-1092.56"/>
    <m/>
    <s v="Y"/>
    <n v="1"/>
    <d v="2023-07-04T19:38:23"/>
    <s v="N"/>
    <m/>
    <m/>
    <s v="Profit Cost"/>
    <m/>
    <s v="N"/>
    <n v="-910.47"/>
    <n v="0"/>
    <x v="1"/>
    <s v="VALIDATED"/>
    <n v="1"/>
    <s v="01.11.80.308.2013.0000"/>
    <n v="-910.47"/>
    <s v="11"/>
    <s v="2013"/>
    <n v="16331.77"/>
    <n v="-910.47"/>
    <s v="CREDITOR"/>
    <n v="0"/>
    <n v="0"/>
    <n v="-910.47"/>
    <n v="-227.6175"/>
    <n v="0"/>
  </r>
  <r>
    <n v="56446682"/>
    <s v="N"/>
    <n v="21328864"/>
    <s v="3000013438650012RC"/>
    <s v="CIVIL"/>
    <d v="2023-06-26T00:00:00"/>
    <d v="2023-07-04T19:38:21"/>
    <m/>
    <d v="2023-07-04T00:00:00"/>
    <n v="1599"/>
    <n v="15907"/>
    <s v="56446682"/>
    <s v="56446682"/>
    <m/>
    <m/>
    <m/>
    <m/>
    <m/>
    <m/>
    <s v="SOLRECOUP"/>
    <s v="SOLRECOUP"/>
    <s v="POARECOUP"/>
    <n v="21328864"/>
    <n v="-1092.56"/>
    <m/>
    <s v="Y"/>
    <n v="2"/>
    <d v="2023-07-04T19:38:23"/>
    <s v="N"/>
    <m/>
    <m/>
    <s v="Profit Cost"/>
    <m/>
    <s v="N"/>
    <n v="0"/>
    <n v="-182.09"/>
    <x v="1"/>
    <s v="VALIDATED"/>
    <n v="1"/>
    <s v="01.11.80.308.2013.0000"/>
    <n v="-182.09"/>
    <s v="11"/>
    <s v="2013"/>
    <n v="16331.77"/>
    <n v="-182.09"/>
    <s v="CREDITOR"/>
    <n v="0"/>
    <n v="0"/>
    <n v="-182.09"/>
    <n v="-45.5225"/>
    <n v="0"/>
  </r>
  <r>
    <n v="56446682"/>
    <s v="N"/>
    <n v="21328854"/>
    <s v="3000013438650004RC"/>
    <s v="CIVIL"/>
    <d v="2023-06-26T00:00:00"/>
    <d v="2023-07-04T19:38:21"/>
    <m/>
    <d v="2023-07-04T00:00:00"/>
    <n v="1599"/>
    <n v="15907"/>
    <s v="56446682"/>
    <s v="56446682"/>
    <m/>
    <m/>
    <m/>
    <m/>
    <m/>
    <m/>
    <s v="SOLRECOUP"/>
    <s v="SOLRECOUP"/>
    <s v="POARECOUP"/>
    <n v="21328854"/>
    <n v="-507.12"/>
    <m/>
    <s v="Y"/>
    <n v="1"/>
    <d v="2023-07-04T19:38:23"/>
    <s v="N"/>
    <m/>
    <m/>
    <s v="Profit Cost"/>
    <m/>
    <s v="N"/>
    <n v="-422.6"/>
    <n v="0"/>
    <x v="1"/>
    <s v="VALIDATED"/>
    <n v="1"/>
    <s v="01.11.80.308.2013.0000"/>
    <n v="-422.6"/>
    <s v="11"/>
    <s v="2013"/>
    <n v="16331.77"/>
    <n v="-422.6"/>
    <s v="CREDITOR"/>
    <n v="0"/>
    <n v="0"/>
    <n v="-422.6"/>
    <n v="-105.65"/>
    <n v="0"/>
  </r>
  <r>
    <n v="56446682"/>
    <s v="N"/>
    <n v="21328854"/>
    <s v="3000013438650004RC"/>
    <s v="CIVIL"/>
    <d v="2023-06-26T00:00:00"/>
    <d v="2023-07-04T19:38:21"/>
    <m/>
    <d v="2023-07-04T00:00:00"/>
    <n v="1599"/>
    <n v="15907"/>
    <s v="56446682"/>
    <s v="56446682"/>
    <m/>
    <m/>
    <m/>
    <m/>
    <m/>
    <m/>
    <s v="SOLRECOUP"/>
    <s v="SOLRECOUP"/>
    <s v="POARECOUP"/>
    <n v="21328854"/>
    <n v="-507.12"/>
    <m/>
    <s v="Y"/>
    <n v="2"/>
    <d v="2023-07-04T19:38:23"/>
    <s v="N"/>
    <m/>
    <m/>
    <s v="Profit Cost"/>
    <m/>
    <s v="N"/>
    <n v="0"/>
    <n v="-84.52"/>
    <x v="1"/>
    <s v="VALIDATED"/>
    <n v="1"/>
    <s v="01.11.80.308.2013.0000"/>
    <n v="-84.52"/>
    <s v="11"/>
    <s v="2013"/>
    <n v="16331.77"/>
    <n v="-84.52"/>
    <s v="CREDITOR"/>
    <n v="0"/>
    <n v="0"/>
    <n v="-84.52"/>
    <n v="-21.13"/>
    <n v="0"/>
  </r>
  <r>
    <n v="56446682"/>
    <s v="N"/>
    <n v="21328855"/>
    <s v="3000013438650001RC"/>
    <s v="CIVIL"/>
    <d v="2023-06-26T00:00:00"/>
    <d v="2023-07-04T19:38:21"/>
    <m/>
    <d v="2023-07-04T00:00:00"/>
    <n v="1599"/>
    <n v="15907"/>
    <s v="56446682"/>
    <s v="56446682"/>
    <m/>
    <m/>
    <m/>
    <m/>
    <m/>
    <m/>
    <s v="SOLRECOUP"/>
    <s v="SOLRECOUP"/>
    <s v="POARECOUP"/>
    <n v="21328855"/>
    <n v="-165.6"/>
    <m/>
    <s v="Y"/>
    <n v="1"/>
    <d v="2023-07-04T19:38:23"/>
    <s v="N"/>
    <m/>
    <m/>
    <s v="Expert Disbursement"/>
    <m/>
    <s v="N"/>
    <n v="-138"/>
    <n v="0"/>
    <x v="1"/>
    <s v="VALIDATED"/>
    <n v="1"/>
    <s v="01.11.80.308.2013.0000"/>
    <n v="-138"/>
    <s v="11"/>
    <s v="2013"/>
    <n v="16331.77"/>
    <n v="-138"/>
    <s v="CREDITOR"/>
    <n v="0"/>
    <n v="0"/>
    <n v="-138"/>
    <n v="0"/>
    <n v="0"/>
  </r>
  <r>
    <n v="56446682"/>
    <s v="N"/>
    <n v="21328855"/>
    <s v="3000013438650001RC"/>
    <s v="CIVIL"/>
    <d v="2023-06-26T00:00:00"/>
    <d v="2023-07-04T19:38:21"/>
    <m/>
    <d v="2023-07-04T00:00:00"/>
    <n v="1599"/>
    <n v="15907"/>
    <s v="56446682"/>
    <s v="56446682"/>
    <m/>
    <m/>
    <m/>
    <m/>
    <m/>
    <m/>
    <s v="SOLRECOUP"/>
    <s v="SOLRECOUP"/>
    <s v="POARECOUP"/>
    <n v="21328855"/>
    <n v="-165.6"/>
    <m/>
    <s v="Y"/>
    <n v="2"/>
    <d v="2023-07-04T19:38:23"/>
    <s v="N"/>
    <m/>
    <m/>
    <s v="Expert Disbursement"/>
    <m/>
    <s v="N"/>
    <n v="0"/>
    <n v="-27.6"/>
    <x v="1"/>
    <s v="VALIDATED"/>
    <n v="1"/>
    <s v="01.11.80.308.2013.0000"/>
    <n v="-27.6"/>
    <s v="11"/>
    <s v="2013"/>
    <n v="16331.77"/>
    <n v="-27.6"/>
    <s v="CREDITOR"/>
    <n v="0"/>
    <n v="0"/>
    <n v="-27.6"/>
    <n v="0"/>
    <n v="0"/>
  </r>
  <r>
    <n v="56446682"/>
    <s v="N"/>
    <n v="21328856"/>
    <s v="3000013438650006RC"/>
    <s v="CIVIL"/>
    <d v="2023-06-26T00:00:00"/>
    <d v="2023-07-04T19:38:21"/>
    <m/>
    <d v="2023-07-04T00:00:00"/>
    <n v="1599"/>
    <n v="15907"/>
    <s v="56446682"/>
    <s v="56446682"/>
    <m/>
    <m/>
    <m/>
    <m/>
    <m/>
    <m/>
    <s v="SOLRECOUP"/>
    <s v="SOLRECOUP"/>
    <s v="POARECOUP"/>
    <n v="21328856"/>
    <n v="-167"/>
    <m/>
    <s v="Y"/>
    <n v="1"/>
    <d v="2023-07-04T19:38:23"/>
    <s v="N"/>
    <m/>
    <m/>
    <s v="Non Expert Disbursement"/>
    <m/>
    <s v="N"/>
    <n v="-167"/>
    <n v="0"/>
    <x v="1"/>
    <s v="VALIDATED"/>
    <n v="1"/>
    <s v="01.11.80.308.2013.0000"/>
    <n v="-167"/>
    <s v="11"/>
    <s v="2013"/>
    <n v="16331.77"/>
    <n v="-167"/>
    <s v="CREDITOR"/>
    <n v="0"/>
    <n v="0"/>
    <n v="-167"/>
    <n v="0"/>
    <n v="0"/>
  </r>
  <r>
    <n v="56446682"/>
    <s v="N"/>
    <n v="21328856"/>
    <s v="3000013438650006RC"/>
    <s v="CIVIL"/>
    <d v="2023-06-26T00:00:00"/>
    <d v="2023-07-04T19:38:21"/>
    <m/>
    <d v="2023-07-04T00:00:00"/>
    <n v="1599"/>
    <n v="15907"/>
    <s v="56446682"/>
    <s v="56446682"/>
    <m/>
    <m/>
    <m/>
    <m/>
    <m/>
    <m/>
    <s v="SOLRECOUP"/>
    <s v="SOLRECOUP"/>
    <s v="POARECOUP"/>
    <n v="21328856"/>
    <n v="-167"/>
    <m/>
    <s v="Y"/>
    <n v="2"/>
    <d v="2023-07-04T19:38:23"/>
    <s v="N"/>
    <m/>
    <m/>
    <s v="Non Expert Disbursement"/>
    <m/>
    <s v="N"/>
    <n v="0"/>
    <n v="0"/>
    <x v="1"/>
    <s v="VALIDATED"/>
    <n v="1"/>
    <s v="01.11.80.000.0000.0000"/>
    <n v="0"/>
    <s v="11"/>
    <s v="0000"/>
    <n v="16331.77"/>
    <n v="0"/>
    <s v="CREDITOR"/>
    <n v="0"/>
    <n v="0"/>
    <n v="0"/>
    <n v="0"/>
    <n v="0"/>
  </r>
  <r>
    <n v="56446682"/>
    <s v="N"/>
    <n v="21328857"/>
    <s v="3000013438650009RC"/>
    <s v="CIVIL"/>
    <d v="2023-06-26T00:00:00"/>
    <d v="2023-07-04T19:38:21"/>
    <m/>
    <d v="2023-07-04T00:00:00"/>
    <n v="1599"/>
    <n v="15907"/>
    <s v="56446682"/>
    <s v="56446682"/>
    <m/>
    <m/>
    <m/>
    <m/>
    <m/>
    <m/>
    <s v="SOLRECOUP"/>
    <s v="SOLRECOUP"/>
    <s v="POARECOUP"/>
    <n v="21328857"/>
    <n v="-11.98"/>
    <m/>
    <s v="Y"/>
    <n v="1"/>
    <d v="2023-07-04T19:38:23"/>
    <s v="N"/>
    <m/>
    <m/>
    <s v="Non Expert Disbursement"/>
    <m/>
    <s v="N"/>
    <n v="-9.98"/>
    <n v="0"/>
    <x v="1"/>
    <s v="VALIDATED"/>
    <n v="1"/>
    <s v="01.11.80.308.2013.0000"/>
    <n v="-9.98"/>
    <s v="11"/>
    <s v="2013"/>
    <n v="16331.77"/>
    <n v="-9.98"/>
    <s v="CREDITOR"/>
    <n v="0"/>
    <n v="0"/>
    <n v="-9.98"/>
    <n v="0"/>
    <n v="0"/>
  </r>
  <r>
    <n v="56446682"/>
    <s v="N"/>
    <n v="21328857"/>
    <s v="3000013438650009RC"/>
    <s v="CIVIL"/>
    <d v="2023-06-26T00:00:00"/>
    <d v="2023-07-04T19:38:21"/>
    <m/>
    <d v="2023-07-04T00:00:00"/>
    <n v="1599"/>
    <n v="15907"/>
    <s v="56446682"/>
    <s v="56446682"/>
    <m/>
    <m/>
    <m/>
    <m/>
    <m/>
    <m/>
    <s v="SOLRECOUP"/>
    <s v="SOLRECOUP"/>
    <s v="POARECOUP"/>
    <n v="21328857"/>
    <n v="-11.98"/>
    <m/>
    <s v="Y"/>
    <n v="2"/>
    <d v="2023-07-04T19:38:23"/>
    <s v="N"/>
    <m/>
    <m/>
    <s v="Non Expert Disbursement"/>
    <m/>
    <s v="N"/>
    <n v="0"/>
    <n v="-2"/>
    <x v="1"/>
    <s v="VALIDATED"/>
    <n v="1"/>
    <s v="01.11.80.308.2013.0000"/>
    <n v="-2"/>
    <s v="11"/>
    <s v="2013"/>
    <n v="16331.77"/>
    <n v="-2"/>
    <s v="CREDITOR"/>
    <n v="0"/>
    <n v="0"/>
    <n v="-2"/>
    <n v="0"/>
    <n v="0"/>
  </r>
  <r>
    <n v="61328864"/>
    <s v="N"/>
    <n v="21356748"/>
    <s v="3000015481370008RC"/>
    <s v="CIVIL"/>
    <d v="2023-06-29T00:00:00"/>
    <d v="2023-07-10T19:47:44"/>
    <m/>
    <d v="2023-07-10T00:00:00"/>
    <n v="1599"/>
    <n v="15907"/>
    <s v="61328864"/>
    <s v="61328864"/>
    <m/>
    <m/>
    <m/>
    <m/>
    <m/>
    <m/>
    <s v="SOLRECOUP"/>
    <s v="SOLRECOUP"/>
    <s v="POARECOUP"/>
    <n v="21356748"/>
    <n v="-24.84"/>
    <m/>
    <s v="Y"/>
    <n v="1"/>
    <d v="2023-07-10T19:47:46"/>
    <s v="N"/>
    <m/>
    <m/>
    <s v="Non Expert Disbursement"/>
    <m/>
    <s v="N"/>
    <n v="-20.7"/>
    <n v="0"/>
    <x v="2"/>
    <s v="VALIDATED"/>
    <n v="1"/>
    <s v="01.11.80.308.2013.0000"/>
    <n v="-20.7"/>
    <s v="11"/>
    <s v="2013"/>
    <n v="16331.77"/>
    <n v="-20.7"/>
    <s v="CREDITOR"/>
    <n v="0"/>
    <n v="0"/>
    <n v="-20.7"/>
    <n v="0"/>
    <n v="0"/>
  </r>
  <r>
    <n v="61328864"/>
    <s v="N"/>
    <n v="21356748"/>
    <s v="3000015481370008RC"/>
    <s v="CIVIL"/>
    <d v="2023-06-29T00:00:00"/>
    <d v="2023-07-10T19:47:44"/>
    <m/>
    <d v="2023-07-10T00:00:00"/>
    <n v="1599"/>
    <n v="15907"/>
    <s v="61328864"/>
    <s v="61328864"/>
    <m/>
    <m/>
    <m/>
    <m/>
    <m/>
    <m/>
    <s v="SOLRECOUP"/>
    <s v="SOLRECOUP"/>
    <s v="POARECOUP"/>
    <n v="21356748"/>
    <n v="-24.84"/>
    <m/>
    <s v="Y"/>
    <n v="2"/>
    <d v="2023-07-10T19:47:46"/>
    <s v="N"/>
    <m/>
    <m/>
    <s v="Non Expert Disbursement"/>
    <m/>
    <s v="N"/>
    <n v="0"/>
    <n v="-4.14"/>
    <x v="2"/>
    <s v="VALIDATED"/>
    <n v="1"/>
    <s v="01.11.80.308.2013.0000"/>
    <n v="-4.14"/>
    <s v="11"/>
    <s v="2013"/>
    <n v="16331.77"/>
    <n v="-4.14"/>
    <s v="CREDITOR"/>
    <n v="0"/>
    <n v="0"/>
    <n v="-4.14"/>
    <n v="0"/>
    <n v="0"/>
  </r>
  <r>
    <n v="61328864"/>
    <s v="N"/>
    <n v="21356749"/>
    <s v="3000015481370004RC"/>
    <s v="CIVIL"/>
    <d v="2023-06-29T00:00:00"/>
    <d v="2023-07-10T19:47:44"/>
    <m/>
    <d v="2023-07-10T00:00:00"/>
    <n v="1599"/>
    <n v="15907"/>
    <s v="61328864"/>
    <s v="61328864"/>
    <m/>
    <m/>
    <m/>
    <m/>
    <m/>
    <m/>
    <s v="SOLRECOUP"/>
    <s v="SOLRECOUP"/>
    <s v="POARECOUP"/>
    <n v="21356749"/>
    <n v="-704"/>
    <m/>
    <s v="Y"/>
    <n v="1"/>
    <d v="2023-07-10T19:47:46"/>
    <s v="N"/>
    <m/>
    <m/>
    <s v="Expert Disbursement"/>
    <m/>
    <s v="N"/>
    <n v="-586.67"/>
    <n v="0"/>
    <x v="2"/>
    <s v="VALIDATED"/>
    <n v="1"/>
    <s v="01.11.80.308.2013.0000"/>
    <n v="-586.67"/>
    <s v="11"/>
    <s v="2013"/>
    <n v="16331.77"/>
    <n v="-586.67"/>
    <s v="CREDITOR"/>
    <n v="0"/>
    <n v="0"/>
    <n v="-586.67"/>
    <n v="0"/>
    <n v="0"/>
  </r>
  <r>
    <n v="61328864"/>
    <s v="N"/>
    <n v="21356749"/>
    <s v="3000015481370004RC"/>
    <s v="CIVIL"/>
    <d v="2023-06-29T00:00:00"/>
    <d v="2023-07-10T19:47:44"/>
    <m/>
    <d v="2023-07-10T00:00:00"/>
    <n v="1599"/>
    <n v="15907"/>
    <s v="61328864"/>
    <s v="61328864"/>
    <m/>
    <m/>
    <m/>
    <m/>
    <m/>
    <m/>
    <s v="SOLRECOUP"/>
    <s v="SOLRECOUP"/>
    <s v="POARECOUP"/>
    <n v="21356749"/>
    <n v="-704"/>
    <m/>
    <s v="Y"/>
    <n v="2"/>
    <d v="2023-07-10T19:47:46"/>
    <s v="N"/>
    <m/>
    <m/>
    <s v="Expert Disbursement"/>
    <m/>
    <s v="N"/>
    <n v="0"/>
    <n v="-117.33"/>
    <x v="2"/>
    <s v="VALIDATED"/>
    <n v="1"/>
    <s v="01.11.80.308.2013.0000"/>
    <n v="-117.33"/>
    <s v="11"/>
    <s v="2013"/>
    <n v="16331.77"/>
    <n v="-117.33"/>
    <s v="CREDITOR"/>
    <n v="0"/>
    <n v="0"/>
    <n v="-117.33"/>
    <n v="0"/>
    <n v="0"/>
  </r>
  <r>
    <n v="61328864"/>
    <s v="N"/>
    <n v="21356750"/>
    <s v="3000015481370001RC"/>
    <s v="CIVIL"/>
    <d v="2023-06-29T00:00:00"/>
    <d v="2023-07-10T19:47:44"/>
    <m/>
    <d v="2023-07-10T00:00:00"/>
    <n v="1599"/>
    <n v="15907"/>
    <s v="61328864"/>
    <s v="61328864"/>
    <m/>
    <m/>
    <m/>
    <m/>
    <m/>
    <m/>
    <s v="SOLRECOUP"/>
    <s v="SOLRECOUP"/>
    <s v="POARECOUP"/>
    <n v="21356750"/>
    <n v="-11.8"/>
    <m/>
    <s v="Y"/>
    <n v="1"/>
    <d v="2023-07-10T19:47:46"/>
    <s v="N"/>
    <m/>
    <m/>
    <s v="Non Expert Disbursement"/>
    <m/>
    <s v="N"/>
    <n v="-9.83"/>
    <n v="0"/>
    <x v="2"/>
    <s v="VALIDATED"/>
    <n v="1"/>
    <s v="01.11.80.308.2013.0000"/>
    <n v="-9.83"/>
    <s v="11"/>
    <s v="2013"/>
    <n v="16331.77"/>
    <n v="-9.83"/>
    <s v="CREDITOR"/>
    <n v="0"/>
    <n v="0"/>
    <n v="-9.83"/>
    <n v="0"/>
    <n v="0"/>
  </r>
  <r>
    <n v="61328864"/>
    <s v="N"/>
    <n v="21356750"/>
    <s v="3000015481370001RC"/>
    <s v="CIVIL"/>
    <d v="2023-06-29T00:00:00"/>
    <d v="2023-07-10T19:47:44"/>
    <m/>
    <d v="2023-07-10T00:00:00"/>
    <n v="1599"/>
    <n v="15907"/>
    <s v="61328864"/>
    <s v="61328864"/>
    <m/>
    <m/>
    <m/>
    <m/>
    <m/>
    <m/>
    <s v="SOLRECOUP"/>
    <s v="SOLRECOUP"/>
    <s v="POARECOUP"/>
    <n v="21356750"/>
    <n v="-11.8"/>
    <m/>
    <s v="Y"/>
    <n v="2"/>
    <d v="2023-07-10T19:47:46"/>
    <s v="N"/>
    <m/>
    <m/>
    <s v="Non Expert Disbursement"/>
    <m/>
    <s v="N"/>
    <n v="0"/>
    <n v="-1.97"/>
    <x v="2"/>
    <s v="VALIDATED"/>
    <n v="1"/>
    <s v="01.11.80.308.2013.0000"/>
    <n v="-1.97"/>
    <s v="11"/>
    <s v="2013"/>
    <n v="16331.77"/>
    <n v="-1.97"/>
    <s v="CREDITOR"/>
    <n v="0"/>
    <n v="0"/>
    <n v="-1.97"/>
    <n v="0"/>
    <n v="0"/>
  </r>
  <r>
    <n v="61328864"/>
    <s v="N"/>
    <n v="21356751"/>
    <s v="3000015481370002RC"/>
    <s v="CIVIL"/>
    <d v="2023-06-29T00:00:00"/>
    <d v="2023-07-10T19:47:44"/>
    <m/>
    <d v="2023-07-10T00:00:00"/>
    <n v="1599"/>
    <n v="15907"/>
    <s v="61328864"/>
    <s v="61328864"/>
    <m/>
    <m/>
    <m/>
    <m/>
    <m/>
    <m/>
    <s v="SOLRECOUP"/>
    <s v="SOLRECOUP"/>
    <s v="POARECOUP"/>
    <n v="21356751"/>
    <n v="-23.76"/>
    <m/>
    <s v="Y"/>
    <n v="1"/>
    <d v="2023-07-10T19:47:46"/>
    <s v="N"/>
    <m/>
    <m/>
    <s v="Non Expert Disbursement"/>
    <m/>
    <s v="N"/>
    <n v="-19.8"/>
    <n v="0"/>
    <x v="2"/>
    <s v="VALIDATED"/>
    <n v="1"/>
    <s v="01.11.80.308.2013.0000"/>
    <n v="-19.8"/>
    <s v="11"/>
    <s v="2013"/>
    <n v="16331.77"/>
    <n v="-19.8"/>
    <s v="CREDITOR"/>
    <n v="0"/>
    <n v="0"/>
    <n v="-19.8"/>
    <n v="0"/>
    <n v="0"/>
  </r>
  <r>
    <n v="56446682"/>
    <s v="N"/>
    <n v="21327497"/>
    <s v="3000013438650015"/>
    <s v="CIVIL"/>
    <d v="2023-06-26T00:00:00"/>
    <d v="2023-07-04T19:00:44"/>
    <m/>
    <d v="2023-07-04T00:00:00"/>
    <n v="1599"/>
    <n v="15907"/>
    <s v="56446682"/>
    <s v="56446682"/>
    <m/>
    <m/>
    <n v="22759764"/>
    <m/>
    <m/>
    <m/>
    <s v="SOLFIN"/>
    <s v="SOLFIN"/>
    <s v="CCMS"/>
    <n v="21327497"/>
    <n v="14016.11"/>
    <m/>
    <s v="N"/>
    <n v="4"/>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35"/>
    <d v="2023-07-04T19:00:48"/>
    <s v="Y"/>
    <s v="Psychologist"/>
    <s v="Care Remuneration Hourly Rates"/>
    <s v="Expert Disbursement"/>
    <s v="XXX"/>
    <s v="Y"/>
    <n v="161.45"/>
    <n v="32.29"/>
    <x v="1"/>
    <s v="VALIDATED"/>
    <n v="1"/>
    <s v="01.11.80.308.6300.0000"/>
    <n v="161.45"/>
    <s v="11"/>
    <s v="6300"/>
    <n v="16331.77"/>
    <n v="161.45"/>
    <s v="CREDITOR"/>
    <n v="0"/>
    <n v="0"/>
    <n v="0"/>
    <n v="0"/>
    <n v="161.45"/>
  </r>
  <r>
    <n v="56446682"/>
    <s v="N"/>
    <n v="21327497"/>
    <s v="3000013438650015"/>
    <s v="CIVIL"/>
    <d v="2023-06-26T00:00:00"/>
    <d v="2023-07-04T19:00:44"/>
    <m/>
    <d v="2023-07-04T00:00:00"/>
    <n v="1599"/>
    <n v="15907"/>
    <s v="56446682"/>
    <s v="56446682"/>
    <m/>
    <m/>
    <n v="22759764"/>
    <m/>
    <m/>
    <m/>
    <s v="SOLFIN"/>
    <s v="SOLFIN"/>
    <s v="CCMS"/>
    <n v="21327497"/>
    <n v="14016.11"/>
    <m/>
    <s v="N"/>
    <n v="7"/>
    <d v="2023-07-04T19:00:48"/>
    <s v="Y"/>
    <s v="Attendance upon client"/>
    <s v="Care Remuneration Hourly Rates"/>
    <s v="Profit Cost"/>
    <s v="ACJ"/>
    <s v="Y"/>
    <n v="35.49"/>
    <n v="7.1"/>
    <x v="1"/>
    <s v="VALIDATED"/>
    <n v="1"/>
    <s v="01.11.80.308.6100.0000"/>
    <n v="35.49"/>
    <s v="11"/>
    <s v="6100"/>
    <n v="16331.77"/>
    <n v="35.49"/>
    <s v="CREDITOR"/>
    <n v="0"/>
    <n v="0"/>
    <n v="0"/>
    <n v="0"/>
    <n v="35.49"/>
  </r>
  <r>
    <n v="56446682"/>
    <s v="N"/>
    <n v="21327497"/>
    <s v="3000013438650015"/>
    <s v="CIVIL"/>
    <d v="2023-06-26T00:00:00"/>
    <d v="2023-07-04T19:00:44"/>
    <m/>
    <d v="2023-07-04T00:00:00"/>
    <n v="1599"/>
    <n v="15907"/>
    <s v="56446682"/>
    <s v="56446682"/>
    <m/>
    <m/>
    <n v="22759764"/>
    <m/>
    <m/>
    <m/>
    <s v="SOLFIN"/>
    <s v="SOLFIN"/>
    <s v="CCMS"/>
    <n v="21327497"/>
    <n v="14016.11"/>
    <m/>
    <s v="N"/>
    <n v="19"/>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90"/>
    <d v="2023-07-04T19:00:48"/>
    <s v="Y"/>
    <s v="Preparation - other"/>
    <s v="Care Remuneration Hourly Rates"/>
    <s v="Profit Cost"/>
    <s v="ACJ"/>
    <s v="Y"/>
    <n v="106.46"/>
    <n v="21.29"/>
    <x v="1"/>
    <s v="VALIDATED"/>
    <n v="1"/>
    <s v="01.11.80.308.6100.0000"/>
    <n v="106.46"/>
    <s v="11"/>
    <s v="6100"/>
    <n v="16331.77"/>
    <n v="106.46"/>
    <s v="CREDITOR"/>
    <n v="0"/>
    <n v="0"/>
    <n v="0"/>
    <n v="0"/>
    <n v="106.46"/>
  </r>
  <r>
    <n v="56446682"/>
    <s v="N"/>
    <n v="21327497"/>
    <s v="3000013438650015"/>
    <s v="CIVIL"/>
    <d v="2023-06-26T00:00:00"/>
    <d v="2023-07-04T19:00:44"/>
    <m/>
    <d v="2023-07-04T00:00:00"/>
    <n v="1599"/>
    <n v="15907"/>
    <s v="56446682"/>
    <s v="56446682"/>
    <m/>
    <m/>
    <n v="22759764"/>
    <m/>
    <m/>
    <m/>
    <s v="SOLFIN"/>
    <s v="SOLFIN"/>
    <s v="CCMS"/>
    <n v="21327497"/>
    <n v="14016.11"/>
    <m/>
    <s v="N"/>
    <n v="205"/>
    <d v="2023-07-04T19:00:48"/>
    <s v="Y"/>
    <s v="Preparation - other"/>
    <s v="Care Remuneration Hourly Rates"/>
    <s v="Profit Cost"/>
    <s v="NIH"/>
    <s v="Y"/>
    <n v="42.58"/>
    <n v="8.52"/>
    <x v="1"/>
    <s v="VALIDATED"/>
    <n v="1"/>
    <s v="01.11.80.308.6100.0000"/>
    <n v="42.58"/>
    <s v="11"/>
    <s v="6100"/>
    <n v="16331.77"/>
    <n v="42.58"/>
    <s v="CREDITOR"/>
    <n v="0"/>
    <n v="0"/>
    <n v="0"/>
    <n v="0"/>
    <n v="42.58"/>
  </r>
  <r>
    <n v="56446682"/>
    <s v="N"/>
    <n v="21327497"/>
    <s v="3000013438650015"/>
    <s v="CIVIL"/>
    <d v="2023-06-26T00:00:00"/>
    <d v="2023-07-04T19:00:44"/>
    <m/>
    <d v="2023-07-04T00:00:00"/>
    <n v="1599"/>
    <n v="15907"/>
    <s v="56446682"/>
    <s v="56446682"/>
    <m/>
    <m/>
    <n v="22759764"/>
    <m/>
    <m/>
    <m/>
    <s v="SOLFIN"/>
    <s v="SOLFIN"/>
    <s v="CCMS"/>
    <n v="21327497"/>
    <n v="14016.11"/>
    <m/>
    <s v="N"/>
    <n v="118"/>
    <d v="2023-07-04T19:00:48"/>
    <s v="Y"/>
    <s v="Preparation - other"/>
    <s v="Care Remuneration Hourly Rates"/>
    <s v="Profit Cost"/>
    <s v="ACJ"/>
    <s v="Y"/>
    <n v="12.09"/>
    <n v="2.42"/>
    <x v="1"/>
    <s v="VALIDATED"/>
    <n v="1"/>
    <s v="01.11.80.308.6100.0000"/>
    <n v="12.09"/>
    <s v="11"/>
    <s v="6100"/>
    <n v="16331.77"/>
    <n v="12.09"/>
    <s v="CREDITOR"/>
    <n v="0"/>
    <n v="0"/>
    <n v="0"/>
    <n v="0"/>
    <n v="12.09"/>
  </r>
  <r>
    <n v="8752425"/>
    <s v="N"/>
    <n v="21392667"/>
    <s v="3000004742680013"/>
    <s v="CIVIL"/>
    <d v="2023-06-22T00:00:00"/>
    <d v="2023-07-18T19:00:27"/>
    <m/>
    <d v="2023-07-18T00:00:00"/>
    <n v="1599"/>
    <n v="15907"/>
    <s v="8752425"/>
    <s v="8752425"/>
    <m/>
    <m/>
    <n v="22739322"/>
    <m/>
    <m/>
    <m/>
    <s v="SOLFIN"/>
    <s v="SOLFIN"/>
    <s v="CCMS"/>
    <n v="21392667"/>
    <n v="1478.4"/>
    <m/>
    <s v="N"/>
    <n v="1"/>
    <d v="2023-07-18T19:00:57"/>
    <s v="Y"/>
    <s v="Profit Costs (Summary)"/>
    <s v="VHCC"/>
    <s v="Profit Cost"/>
    <s v="MCC"/>
    <s v="Y"/>
    <n v="1232"/>
    <n v="246.4"/>
    <x v="14"/>
    <s v="VALIDATED"/>
    <n v="1"/>
    <s v="01.11.80.214.6100.0000"/>
    <n v="1232"/>
    <s v="11"/>
    <s v="6100"/>
    <n v="16331.77"/>
    <n v="1232"/>
    <s v="CREDITOR"/>
    <n v="0"/>
    <n v="0"/>
    <n v="0"/>
    <n v="0"/>
    <n v="1232"/>
  </r>
  <r>
    <n v="56446682"/>
    <s v="N"/>
    <n v="21327497"/>
    <s v="3000013438650015"/>
    <s v="CIVIL"/>
    <d v="2023-06-26T00:00:00"/>
    <d v="2023-07-04T19:00:44"/>
    <m/>
    <d v="2023-07-04T00:00:00"/>
    <n v="1599"/>
    <n v="15907"/>
    <s v="56446682"/>
    <s v="56446682"/>
    <m/>
    <m/>
    <n v="22759764"/>
    <m/>
    <m/>
    <m/>
    <s v="SOLFIN"/>
    <s v="SOLFIN"/>
    <s v="CCMS"/>
    <n v="21327497"/>
    <n v="14016.11"/>
    <m/>
    <s v="N"/>
    <n v="164"/>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37"/>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47"/>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38"/>
    <d v="2023-07-04T19:00:48"/>
    <s v="Y"/>
    <s v="Advocates Meeting"/>
    <s v="Public Law Children"/>
    <s v="Advocacy"/>
    <s v="ACJ"/>
    <s v="Y"/>
    <n v="140.99"/>
    <n v="28.2"/>
    <x v="1"/>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126"/>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72"/>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74"/>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96"/>
    <d v="2023-07-04T19:00:48"/>
    <s v="Y"/>
    <s v="Preparation - other"/>
    <s v="Care Remuneration Hourly Rates"/>
    <s v="Profit Cost"/>
    <s v="ACJ"/>
    <s v="Y"/>
    <n v="49.68"/>
    <n v="9.94"/>
    <x v="1"/>
    <s v="VALIDATED"/>
    <n v="1"/>
    <s v="01.11.80.308.6100.0000"/>
    <n v="49.68"/>
    <s v="11"/>
    <s v="6100"/>
    <n v="16331.77"/>
    <n v="49.68"/>
    <s v="CREDITOR"/>
    <n v="0"/>
    <n v="0"/>
    <n v="0"/>
    <n v="0"/>
    <n v="49.68"/>
  </r>
  <r>
    <n v="61431726"/>
    <s v="N"/>
    <n v="21318463"/>
    <s v="3000015566920008"/>
    <s v="CIVIL"/>
    <d v="2023-06-23T00:00:00"/>
    <d v="2023-07-03T19:01:49"/>
    <m/>
    <d v="2023-07-03T00:00:00"/>
    <n v="1599"/>
    <n v="15907"/>
    <s v="61431726"/>
    <s v="61431726"/>
    <m/>
    <m/>
    <n v="22749526"/>
    <m/>
    <m/>
    <m/>
    <s v="SOLFIN"/>
    <s v="SOLFIN"/>
    <s v="CCMS"/>
    <n v="21318463"/>
    <n v="7388.71"/>
    <m/>
    <s v="N"/>
    <n v="4"/>
    <d v="2023-07-03T19:01:56"/>
    <s v="Y"/>
    <s v="Toxicologist"/>
    <s v="Care Remuneration Hourly Rates"/>
    <s v="Expert Disbursement"/>
    <s v="NIH"/>
    <s v="Y"/>
    <n v="502.3"/>
    <n v="100.46"/>
    <x v="3"/>
    <s v="VALIDATED"/>
    <n v="1"/>
    <s v="01.11.80.308.6300.0000"/>
    <n v="502.3"/>
    <s v="11"/>
    <s v="6300"/>
    <n v="16331.77"/>
    <n v="502.3"/>
    <s v="CREDITOR"/>
    <n v="0"/>
    <n v="0"/>
    <n v="0"/>
    <n v="0"/>
    <n v="502.3"/>
  </r>
  <r>
    <n v="56446682"/>
    <s v="N"/>
    <n v="21327497"/>
    <s v="3000013438650015"/>
    <s v="CIVIL"/>
    <d v="2023-06-26T00:00:00"/>
    <d v="2023-07-04T19:00:44"/>
    <m/>
    <d v="2023-07-04T00:00:00"/>
    <n v="1599"/>
    <n v="15907"/>
    <s v="56446682"/>
    <s v="56446682"/>
    <m/>
    <m/>
    <n v="22759764"/>
    <m/>
    <m/>
    <m/>
    <s v="SOLFIN"/>
    <s v="SOLFIN"/>
    <s v="CCMS"/>
    <n v="21327497"/>
    <n v="14016.11"/>
    <m/>
    <s v="N"/>
    <n v="121"/>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9"/>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8"/>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2"/>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48"/>
    <d v="2023-07-04T19:00:48"/>
    <s v="Y"/>
    <s v="Advocates Meeting"/>
    <s v="Public Law Children"/>
    <s v="Advocacy"/>
    <s v="ACJ"/>
    <s v="Y"/>
    <n v="140.99"/>
    <n v="28.2"/>
    <x v="1"/>
    <s v="VALIDATED"/>
    <n v="1"/>
    <s v="01.11.80.308.6100.0000"/>
    <n v="140.99"/>
    <s v="11"/>
    <s v="6100"/>
    <n v="16331.77"/>
    <n v="140.99"/>
    <s v="CREDITOR"/>
    <n v="0"/>
    <n v="0"/>
    <n v="0"/>
    <n v="0"/>
    <n v="140.99"/>
  </r>
  <r>
    <n v="61328864"/>
    <s v="N"/>
    <n v="21350069"/>
    <s v="3000015481370009"/>
    <s v="CIVIL"/>
    <d v="2023-06-29T00:00:00"/>
    <d v="2023-07-10T19:01:40"/>
    <m/>
    <d v="2023-07-10T00:00:00"/>
    <n v="1599"/>
    <n v="15907"/>
    <s v="61328864"/>
    <s v="61328864"/>
    <m/>
    <m/>
    <n v="22792794"/>
    <m/>
    <m/>
    <m/>
    <s v="SOLFIN"/>
    <s v="SOLFIN"/>
    <s v="CCMS"/>
    <n v="21350069"/>
    <n v="4292.04"/>
    <m/>
    <s v="N"/>
    <n v="10"/>
    <d v="2023-07-10T19:02:12"/>
    <s v="Y"/>
    <s v="Final Hearing - 1 Day"/>
    <s v="Public Law Children"/>
    <s v="Advocacy"/>
    <s v="ACJ"/>
    <s v="Y"/>
    <n v="556.88"/>
    <n v="111.38"/>
    <x v="2"/>
    <s v="VALIDATED"/>
    <n v="1"/>
    <s v="01.11.80.308.6100.0000"/>
    <n v="556.88"/>
    <s v="11"/>
    <s v="6100"/>
    <n v="16331.77"/>
    <n v="556.88"/>
    <s v="CREDITOR"/>
    <n v="0"/>
    <n v="0"/>
    <n v="0"/>
    <n v="0"/>
    <n v="556.88"/>
  </r>
  <r>
    <n v="56446682"/>
    <s v="N"/>
    <n v="21327497"/>
    <s v="3000013438650015"/>
    <s v="CIVIL"/>
    <d v="2023-06-26T00:00:00"/>
    <d v="2023-07-04T19:00:44"/>
    <m/>
    <d v="2023-07-04T00:00:00"/>
    <n v="1599"/>
    <n v="15907"/>
    <s v="56446682"/>
    <s v="56446682"/>
    <m/>
    <m/>
    <n v="22759764"/>
    <m/>
    <m/>
    <m/>
    <s v="SOLFIN"/>
    <s v="SOLFIN"/>
    <s v="CCMS"/>
    <n v="21327497"/>
    <n v="14016.11"/>
    <m/>
    <s v="N"/>
    <n v="152"/>
    <d v="2023-07-04T19:00:48"/>
    <s v="Y"/>
    <s v="Preparation - drafting attendance n"/>
    <s v="Care Remuneration Hourly Rates"/>
    <s v="Profit Cost"/>
    <s v="ACJ"/>
    <s v="Y"/>
    <n v="6.05"/>
    <n v="1.21"/>
    <x v="1"/>
    <s v="VALIDATED"/>
    <n v="1"/>
    <s v="01.11.80.308.6100.0000"/>
    <n v="6.05"/>
    <s v="11"/>
    <s v="6100"/>
    <n v="16331.77"/>
    <n v="6.05"/>
    <s v="CREDITOR"/>
    <n v="0"/>
    <n v="0"/>
    <n v="0"/>
    <n v="0"/>
    <n v="6.05"/>
  </r>
  <r>
    <n v="61328864"/>
    <s v="N"/>
    <n v="21350069"/>
    <s v="3000015481370009"/>
    <s v="CIVIL"/>
    <d v="2023-06-29T00:00:00"/>
    <d v="2023-07-10T19:01:40"/>
    <m/>
    <d v="2023-07-10T00:00:00"/>
    <n v="1599"/>
    <n v="15907"/>
    <s v="61328864"/>
    <s v="61328864"/>
    <m/>
    <m/>
    <n v="22792794"/>
    <m/>
    <m/>
    <m/>
    <s v="SOLFIN"/>
    <s v="SOLFIN"/>
    <s v="CCMS"/>
    <n v="21350069"/>
    <n v="4292.04"/>
    <m/>
    <s v="N"/>
    <n v="12"/>
    <d v="2023-07-10T19:02:12"/>
    <s v="Y"/>
    <s v="Solicitors Fixed Fee"/>
    <s v="Public Law Children"/>
    <s v="Profit Cost"/>
    <s v="ACJ"/>
    <s v="Y"/>
    <n v="1438"/>
    <n v="287.6"/>
    <x v="2"/>
    <s v="VALIDATED"/>
    <n v="1"/>
    <s v="01.11.80.308.6100.0000"/>
    <n v="1438"/>
    <s v="11"/>
    <s v="6100"/>
    <n v="16331.77"/>
    <n v="1438"/>
    <s v="CREDITOR"/>
    <n v="0"/>
    <n v="0"/>
    <n v="0"/>
    <n v="0"/>
    <n v="1438"/>
  </r>
  <r>
    <n v="56446682"/>
    <s v="N"/>
    <n v="21327497"/>
    <s v="3000013438650015"/>
    <s v="CIVIL"/>
    <d v="2023-06-26T00:00:00"/>
    <d v="2023-07-04T19:00:44"/>
    <m/>
    <d v="2023-07-04T00:00:00"/>
    <n v="1599"/>
    <n v="15907"/>
    <s v="56446682"/>
    <s v="56446682"/>
    <m/>
    <m/>
    <n v="22759764"/>
    <m/>
    <m/>
    <m/>
    <s v="SOLFIN"/>
    <s v="SOLFIN"/>
    <s v="CCMS"/>
    <n v="21327497"/>
    <n v="14016.11"/>
    <m/>
    <s v="N"/>
    <n v="251"/>
    <d v="2023-07-04T19:00:48"/>
    <s v="Y"/>
    <s v="Interim Hearing Court Bundle/Advoca"/>
    <s v="Public Law Children"/>
    <s v="Advocacy"/>
    <s v="ACJ"/>
    <s v="Y"/>
    <n v="59.4"/>
    <n v="11.88"/>
    <x v="1"/>
    <s v="VALIDATED"/>
    <n v="1"/>
    <s v="01.11.80.308.6100.0000"/>
    <n v="59.4"/>
    <s v="11"/>
    <s v="6100"/>
    <n v="16331.77"/>
    <n v="59.4"/>
    <s v="CREDITOR"/>
    <n v="0"/>
    <n v="0"/>
    <n v="0"/>
    <n v="0"/>
    <n v="59.4"/>
  </r>
  <r>
    <n v="56446682"/>
    <s v="N"/>
    <n v="21327497"/>
    <s v="3000013438650015"/>
    <s v="CIVIL"/>
    <d v="2023-06-26T00:00:00"/>
    <d v="2023-07-04T19:00:44"/>
    <m/>
    <d v="2023-07-04T00:00:00"/>
    <n v="1599"/>
    <n v="15907"/>
    <s v="56446682"/>
    <s v="56446682"/>
    <m/>
    <m/>
    <n v="22759764"/>
    <m/>
    <m/>
    <m/>
    <s v="SOLFIN"/>
    <s v="SOLFIN"/>
    <s v="CCMS"/>
    <n v="21327497"/>
    <n v="14016.11"/>
    <m/>
    <s v="N"/>
    <n v="202"/>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153"/>
    <d v="2023-07-04T19:00:48"/>
    <s v="Y"/>
    <s v="Report - Welfare report"/>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158"/>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73"/>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22"/>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5"/>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88"/>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65"/>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22"/>
    <d v="2023-07-04T19:00:48"/>
    <s v="Y"/>
    <s v="Preparation - drafting bill/claim f"/>
    <s v="Care Remuneration Hourly Rates"/>
    <s v="Profit Cost"/>
    <s v="CD"/>
    <s v="Y"/>
    <n v="515.1900000000001"/>
    <n v="103.05"/>
    <x v="1"/>
    <s v="VALIDATED"/>
    <n v="1"/>
    <s v="01.11.80.308.6100.0000"/>
    <n v="515.1900000000001"/>
    <s v="11"/>
    <s v="6100"/>
    <n v="16331.77"/>
    <n v="515.1900000000001"/>
    <s v="CREDITOR"/>
    <n v="0"/>
    <n v="0"/>
    <n v="0"/>
    <n v="0"/>
    <n v="515.1900000000001"/>
  </r>
  <r>
    <n v="56446682"/>
    <s v="N"/>
    <n v="21327497"/>
    <s v="3000013438650015"/>
    <s v="CIVIL"/>
    <d v="2023-06-26T00:00:00"/>
    <d v="2023-07-04T19:00:44"/>
    <m/>
    <d v="2023-07-04T00:00:00"/>
    <n v="1599"/>
    <n v="15907"/>
    <s v="56446682"/>
    <s v="56446682"/>
    <m/>
    <m/>
    <n v="22759764"/>
    <m/>
    <m/>
    <m/>
    <s v="SOLFIN"/>
    <s v="SOLFIN"/>
    <s v="CCMS"/>
    <n v="21327497"/>
    <n v="14016.11"/>
    <m/>
    <s v="N"/>
    <n v="38"/>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42"/>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20"/>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11"/>
    <d v="2023-07-04T19:00:48"/>
    <s v="Y"/>
    <s v="Preparation - other"/>
    <s v="Care Remuneration Hourly Rates"/>
    <s v="Profit Cost"/>
    <s v="NIH"/>
    <s v="Y"/>
    <n v="10.51"/>
    <n v="2.1"/>
    <x v="1"/>
    <s v="VALIDATED"/>
    <n v="1"/>
    <s v="01.11.80.308.6100.0000"/>
    <n v="10.51"/>
    <s v="11"/>
    <s v="6100"/>
    <n v="16331.77"/>
    <n v="10.51"/>
    <s v="CREDITOR"/>
    <n v="0"/>
    <n v="0"/>
    <n v="0"/>
    <n v="0"/>
    <n v="10.51"/>
  </r>
  <r>
    <n v="56446682"/>
    <s v="N"/>
    <n v="21327497"/>
    <s v="3000013438650015"/>
    <s v="CIVIL"/>
    <d v="2023-06-26T00:00:00"/>
    <d v="2023-07-04T19:00:44"/>
    <m/>
    <d v="2023-07-04T00:00:00"/>
    <n v="1599"/>
    <n v="15907"/>
    <s v="56446682"/>
    <s v="56446682"/>
    <m/>
    <m/>
    <n v="22759764"/>
    <m/>
    <m/>
    <m/>
    <s v="SOLFIN"/>
    <s v="SOLFIN"/>
    <s v="CCMS"/>
    <n v="21327497"/>
    <n v="14016.11"/>
    <m/>
    <s v="N"/>
    <n v="245"/>
    <d v="2023-07-04T19:00:48"/>
    <s v="Y"/>
    <s v="Hearing Unit 1.01 - 2.30 Hours"/>
    <s v="Public Law Children"/>
    <s v="Advocacy"/>
    <s v="ACJ"/>
    <s v="Y"/>
    <n v="238.46"/>
    <n v="47.7"/>
    <x v="1"/>
    <s v="VALIDATED"/>
    <n v="1"/>
    <s v="01.11.80.308.6100.0000"/>
    <n v="238.46"/>
    <s v="11"/>
    <s v="6100"/>
    <n v="16331.77"/>
    <n v="238.46"/>
    <s v="CREDITOR"/>
    <n v="0"/>
    <n v="0"/>
    <n v="0"/>
    <n v="0"/>
    <n v="238.46"/>
  </r>
  <r>
    <n v="56446682"/>
    <s v="N"/>
    <n v="21327497"/>
    <s v="3000013438650015"/>
    <s v="CIVIL"/>
    <d v="2023-06-26T00:00:00"/>
    <d v="2023-07-04T19:00:44"/>
    <m/>
    <d v="2023-07-04T00:00:00"/>
    <n v="1599"/>
    <n v="15907"/>
    <s v="56446682"/>
    <s v="56446682"/>
    <m/>
    <m/>
    <n v="22759764"/>
    <m/>
    <m/>
    <m/>
    <s v="SOLFIN"/>
    <s v="SOLFIN"/>
    <s v="CCMS"/>
    <n v="21327497"/>
    <n v="14016.11"/>
    <m/>
    <s v="N"/>
    <n v="207"/>
    <d v="2023-07-04T19:00:48"/>
    <s v="Y"/>
    <s v="Preparation - other"/>
    <s v="Care Remuneration Hourly Rates"/>
    <s v="Profit Cost"/>
    <s v="NIH"/>
    <s v="Y"/>
    <n v="10.51"/>
    <n v="2.1"/>
    <x v="1"/>
    <s v="VALIDATED"/>
    <n v="1"/>
    <s v="01.11.80.308.6100.0000"/>
    <n v="10.51"/>
    <s v="11"/>
    <s v="6100"/>
    <n v="16331.77"/>
    <n v="10.51"/>
    <s v="CREDITOR"/>
    <n v="0"/>
    <n v="0"/>
    <n v="0"/>
    <n v="0"/>
    <n v="10.51"/>
  </r>
  <r>
    <n v="56446682"/>
    <s v="N"/>
    <n v="21327497"/>
    <s v="3000013438650015"/>
    <s v="CIVIL"/>
    <d v="2023-06-26T00:00:00"/>
    <d v="2023-07-04T19:00:44"/>
    <m/>
    <d v="2023-07-04T00:00:00"/>
    <n v="1599"/>
    <n v="15907"/>
    <s v="56446682"/>
    <s v="56446682"/>
    <m/>
    <m/>
    <n v="22759764"/>
    <m/>
    <m/>
    <m/>
    <s v="SOLFIN"/>
    <s v="SOLFIN"/>
    <s v="CCMS"/>
    <n v="21327497"/>
    <n v="14016.11"/>
    <m/>
    <s v="N"/>
    <n v="249"/>
    <d v="2023-07-04T19:00:48"/>
    <s v="Y"/>
    <s v="Hearing Unit 1.01 - 2.30 Hours"/>
    <s v="Public Law Children"/>
    <s v="Advocacy"/>
    <s v="ACJ"/>
    <s v="Y"/>
    <n v="238.46"/>
    <n v="47.7"/>
    <x v="1"/>
    <s v="VALIDATED"/>
    <n v="1"/>
    <s v="01.11.80.308.6100.0000"/>
    <n v="238.46"/>
    <s v="11"/>
    <s v="6100"/>
    <n v="16331.77"/>
    <n v="238.46"/>
    <s v="CREDITOR"/>
    <n v="0"/>
    <n v="0"/>
    <n v="0"/>
    <n v="0"/>
    <n v="238.46"/>
  </r>
  <r>
    <n v="61328864"/>
    <s v="N"/>
    <n v="21350069"/>
    <s v="3000015481370009"/>
    <s v="CIVIL"/>
    <d v="2023-06-29T00:00:00"/>
    <d v="2023-07-10T19:01:40"/>
    <m/>
    <d v="2023-07-10T00:00:00"/>
    <n v="1599"/>
    <n v="15907"/>
    <s v="61328864"/>
    <s v="61328864"/>
    <m/>
    <m/>
    <n v="22792794"/>
    <m/>
    <m/>
    <m/>
    <s v="SOLFIN"/>
    <s v="SOLFIN"/>
    <s v="CCMS"/>
    <n v="21350069"/>
    <n v="4292.04"/>
    <m/>
    <s v="N"/>
    <n v="3"/>
    <d v="2023-07-10T19:02:12"/>
    <s v="Y"/>
    <s v="Solicitor Travel Expenses"/>
    <s v="Public Law Children"/>
    <s v="Non Expert Disbursement"/>
    <s v="ACJ"/>
    <s v="Y"/>
    <n v="8.619999999999999"/>
    <n v="1.72"/>
    <x v="2"/>
    <s v="VALIDATED"/>
    <n v="1"/>
    <s v="01.11.80.308.6300.0000"/>
    <n v="8.619999999999999"/>
    <s v="11"/>
    <s v="6300"/>
    <n v="16331.77"/>
    <n v="8.619999999999999"/>
    <s v="CREDITOR"/>
    <n v="0"/>
    <n v="0"/>
    <n v="0"/>
    <n v="0"/>
    <n v="8.619999999999999"/>
  </r>
  <r>
    <n v="61328864"/>
    <s v="N"/>
    <n v="21350069"/>
    <s v="3000015481370009"/>
    <s v="CIVIL"/>
    <d v="2023-06-29T00:00:00"/>
    <d v="2023-07-10T19:01:40"/>
    <m/>
    <d v="2023-07-10T00:00:00"/>
    <n v="1599"/>
    <n v="15907"/>
    <s v="61328864"/>
    <s v="61328864"/>
    <m/>
    <m/>
    <n v="22792794"/>
    <m/>
    <m/>
    <m/>
    <s v="SOLFIN"/>
    <s v="SOLFIN"/>
    <s v="CCMS"/>
    <n v="21350069"/>
    <n v="4292.04"/>
    <m/>
    <s v="N"/>
    <n v="4"/>
    <d v="2023-07-10T19:02:12"/>
    <s v="Y"/>
    <s v="Toxicologist"/>
    <s v="Public Law Children"/>
    <s v="Expert Disbursement"/>
    <s v="ACJ"/>
    <s v="Y"/>
    <n v="586.67"/>
    <n v="117.33"/>
    <x v="2"/>
    <s v="VALIDATED"/>
    <n v="1"/>
    <s v="01.11.80.308.6300.0000"/>
    <n v="586.67"/>
    <s v="11"/>
    <s v="6300"/>
    <n v="16331.77"/>
    <n v="586.67"/>
    <s v="CREDITOR"/>
    <n v="0"/>
    <n v="0"/>
    <n v="0"/>
    <n v="0"/>
    <n v="586.67"/>
  </r>
  <r>
    <n v="56446682"/>
    <s v="N"/>
    <n v="21327497"/>
    <s v="3000013438650015"/>
    <s v="CIVIL"/>
    <d v="2023-06-26T00:00:00"/>
    <d v="2023-07-04T19:00:44"/>
    <m/>
    <d v="2023-07-04T00:00:00"/>
    <n v="1599"/>
    <n v="15907"/>
    <s v="56446682"/>
    <s v="56446682"/>
    <m/>
    <m/>
    <n v="22759764"/>
    <m/>
    <m/>
    <m/>
    <s v="SOLFIN"/>
    <s v="SOLFIN"/>
    <s v="CCMS"/>
    <n v="21327497"/>
    <n v="14016.11"/>
    <m/>
    <s v="N"/>
    <n v="76"/>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36"/>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06"/>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131"/>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6"/>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77"/>
    <d v="2023-07-04T19:00:48"/>
    <s v="Y"/>
    <s v="Preparation - other"/>
    <s v="Care Remuneration Hourly Rates"/>
    <s v="Profit Cost"/>
    <s v="ACJ"/>
    <s v="Y"/>
    <n v="7.1"/>
    <n v="1.42"/>
    <x v="1"/>
    <s v="VALIDATED"/>
    <n v="1"/>
    <s v="01.11.80.308.6100.0000"/>
    <n v="7.1"/>
    <s v="11"/>
    <s v="6100"/>
    <n v="16331.77"/>
    <n v="7.1"/>
    <s v="CREDITOR"/>
    <n v="0"/>
    <n v="0"/>
    <n v="0"/>
    <n v="0"/>
    <n v="7.1"/>
  </r>
  <r>
    <n v="56674615"/>
    <s v="N"/>
    <n v="21327794"/>
    <s v="3000013483820015"/>
    <s v="CIVIL"/>
    <d v="2023-06-27T00:00:00"/>
    <d v="2023-07-04T19:00:44"/>
    <m/>
    <d v="2023-07-04T00:00:00"/>
    <n v="1599"/>
    <n v="15907"/>
    <s v="56674615"/>
    <s v="56674615"/>
    <m/>
    <m/>
    <n v="22767768"/>
    <m/>
    <m/>
    <m/>
    <s v="SOLFIN"/>
    <s v="SOLFIN"/>
    <s v="CCMS"/>
    <n v="21327794"/>
    <n v="2280.66"/>
    <m/>
    <s v="N"/>
    <n v="2"/>
    <d v="2023-07-04T19:00:54"/>
    <s v="N"/>
    <s v="Profit Costs (Summary)"/>
    <s v="VHCC"/>
    <s v="Profit Cost"/>
    <s v="SEM"/>
    <s v="N"/>
    <n v="12.67"/>
    <n v="2.53"/>
    <x v="1"/>
    <s v="VALIDATED"/>
    <n v="1"/>
    <s v="01.11.80.209.6100.0000"/>
    <n v="12.67"/>
    <s v="11"/>
    <s v="6100"/>
    <n v="16331.77"/>
    <n v="12.67"/>
    <s v="CREDITOR"/>
    <n v="0"/>
    <n v="0"/>
    <n v="0"/>
    <n v="0"/>
    <n v="12.67"/>
  </r>
  <r>
    <n v="56446682"/>
    <s v="N"/>
    <n v="21327497"/>
    <s v="3000013438650015"/>
    <s v="CIVIL"/>
    <d v="2023-06-26T00:00:00"/>
    <d v="2023-07-04T19:00:44"/>
    <m/>
    <d v="2023-07-04T00:00:00"/>
    <n v="1599"/>
    <n v="15907"/>
    <s v="56446682"/>
    <s v="56446682"/>
    <m/>
    <m/>
    <n v="22759764"/>
    <m/>
    <m/>
    <m/>
    <s v="SOLFIN"/>
    <s v="SOLFIN"/>
    <s v="CCMS"/>
    <n v="21327497"/>
    <n v="14016.11"/>
    <m/>
    <s v="N"/>
    <n v="41"/>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46"/>
    <d v="2023-07-04T19:00:48"/>
    <s v="Y"/>
    <s v="Preparation - other"/>
    <s v="Care Remuneration Hourly Rates"/>
    <s v="Profit Cost"/>
    <s v="NIH"/>
    <s v="Y"/>
    <n v="26.29"/>
    <n v="5.26"/>
    <x v="1"/>
    <s v="VALIDATED"/>
    <n v="1"/>
    <s v="01.11.80.308.6100.0000"/>
    <n v="26.29"/>
    <s v="11"/>
    <s v="6100"/>
    <n v="16331.77"/>
    <n v="26.29"/>
    <s v="CREDITOR"/>
    <n v="0"/>
    <n v="0"/>
    <n v="0"/>
    <n v="0"/>
    <n v="26.29"/>
  </r>
  <r>
    <n v="56446682"/>
    <s v="N"/>
    <n v="21327497"/>
    <s v="3000013438650015"/>
    <s v="CIVIL"/>
    <d v="2023-06-26T00:00:00"/>
    <d v="2023-07-04T19:00:44"/>
    <m/>
    <d v="2023-07-04T00:00:00"/>
    <n v="1599"/>
    <n v="15907"/>
    <s v="56446682"/>
    <s v="56446682"/>
    <m/>
    <m/>
    <n v="22759764"/>
    <m/>
    <m/>
    <m/>
    <s v="SOLFIN"/>
    <s v="SOLFIN"/>
    <s v="CCMS"/>
    <n v="21327497"/>
    <n v="14016.11"/>
    <m/>
    <s v="N"/>
    <n v="155"/>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37"/>
    <d v="2023-07-04T19:00:48"/>
    <s v="Y"/>
    <s v="Hearing Unit 2.31 - 5.00 Hours"/>
    <s v="Public Law Children"/>
    <s v="Advocacy"/>
    <s v="ACJ"/>
    <s v="Y"/>
    <n v="476.92"/>
    <n v="95.39"/>
    <x v="1"/>
    <s v="VALIDATED"/>
    <n v="1"/>
    <s v="01.11.80.308.6100.0000"/>
    <n v="476.92"/>
    <s v="11"/>
    <s v="6100"/>
    <n v="16331.77"/>
    <n v="476.92"/>
    <s v="CREDITOR"/>
    <n v="0"/>
    <n v="0"/>
    <n v="0"/>
    <n v="0"/>
    <n v="476.92"/>
  </r>
  <r>
    <n v="56446682"/>
    <s v="N"/>
    <n v="21327497"/>
    <s v="3000013438650015"/>
    <s v="CIVIL"/>
    <d v="2023-06-26T00:00:00"/>
    <d v="2023-07-04T19:00:44"/>
    <m/>
    <d v="2023-07-04T00:00:00"/>
    <n v="1599"/>
    <n v="15907"/>
    <s v="56446682"/>
    <s v="56446682"/>
    <m/>
    <m/>
    <n v="22759764"/>
    <m/>
    <m/>
    <m/>
    <s v="SOLFIN"/>
    <s v="SOLFIN"/>
    <s v="CCMS"/>
    <n v="21327497"/>
    <n v="14016.11"/>
    <m/>
    <s v="N"/>
    <n v="175"/>
    <d v="2023-07-04T19:00:48"/>
    <s v="Y"/>
    <s v="Preparation - drafting instructions"/>
    <s v="Care Remuneration Hourly Rates"/>
    <s v="Profit Cost"/>
    <s v="ACJ"/>
    <s v="Y"/>
    <n v="14.19"/>
    <n v="2.84"/>
    <x v="1"/>
    <s v="VALIDATED"/>
    <n v="1"/>
    <s v="01.11.80.308.6100.0000"/>
    <n v="14.19"/>
    <s v="11"/>
    <s v="6100"/>
    <n v="16331.77"/>
    <n v="14.19"/>
    <s v="CREDITOR"/>
    <n v="0"/>
    <n v="0"/>
    <n v="0"/>
    <n v="0"/>
    <n v="14.19"/>
  </r>
  <r>
    <n v="30700547"/>
    <s v="N"/>
    <n v="21319961"/>
    <s v="3000009583710039"/>
    <s v="CIVIL"/>
    <d v="2023-06-28T00:00:00"/>
    <d v="2023-07-03T19:04:24"/>
    <m/>
    <d v="2023-07-03T00:00:00"/>
    <n v="1599"/>
    <n v="15907"/>
    <s v="30700547"/>
    <s v="30700547"/>
    <m/>
    <m/>
    <n v="22777034"/>
    <m/>
    <m/>
    <m/>
    <s v="SOLPOA"/>
    <s v="SOLPOA"/>
    <s v="CCMS"/>
    <n v="21319961"/>
    <n v="3022.37"/>
    <m/>
    <s v="N"/>
    <n v="1"/>
    <d v="2023-07-03T19:04:28"/>
    <s v="N"/>
    <s v="Non Expert Disbursement"/>
    <s v="Non Expert Disbursement"/>
    <s v="Non Expert Disbursement"/>
    <s v="VGN"/>
    <s v="N"/>
    <n v="2518.64"/>
    <n v="503.73"/>
    <x v="3"/>
    <s v="VALIDATED"/>
    <n v="1"/>
    <s v="01.11.80.308.2012.0000"/>
    <n v="2518.64"/>
    <s v="11"/>
    <s v="2012"/>
    <n v="16331.77"/>
    <n v="2518.64"/>
    <s v="CREDITOR"/>
    <n v="2518.64"/>
    <n v="0"/>
    <n v="0"/>
    <n v="0"/>
    <n v="0"/>
  </r>
  <r>
    <n v="61328864"/>
    <s v="N"/>
    <n v="21350069"/>
    <s v="3000015481370009"/>
    <s v="CIVIL"/>
    <d v="2023-06-29T00:00:00"/>
    <d v="2023-07-10T19:01:40"/>
    <m/>
    <d v="2023-07-10T00:00:00"/>
    <n v="1599"/>
    <n v="15907"/>
    <s v="61328864"/>
    <s v="61328864"/>
    <m/>
    <m/>
    <n v="22792794"/>
    <m/>
    <m/>
    <m/>
    <s v="SOLFIN"/>
    <s v="SOLFIN"/>
    <s v="CCMS"/>
    <n v="21350069"/>
    <n v="4292.04"/>
    <m/>
    <s v="N"/>
    <n v="9"/>
    <d v="2023-07-10T19:02:12"/>
    <s v="Y"/>
    <s v="Hearing Unit 2.31 - 5.00 Hours"/>
    <s v="Public Law Children"/>
    <s v="Advocacy"/>
    <s v="ACJ"/>
    <s v="Y"/>
    <n v="476.92"/>
    <n v="95.38"/>
    <x v="2"/>
    <s v="VALIDATED"/>
    <n v="1"/>
    <s v="01.11.80.308.6100.0000"/>
    <n v="476.92"/>
    <s v="11"/>
    <s v="6100"/>
    <n v="16331.77"/>
    <n v="476.92"/>
    <s v="CREDITOR"/>
    <n v="0"/>
    <n v="0"/>
    <n v="0"/>
    <n v="0"/>
    <n v="476.92"/>
  </r>
  <r>
    <n v="56446682"/>
    <s v="N"/>
    <n v="21327497"/>
    <s v="3000013438650015"/>
    <s v="CIVIL"/>
    <d v="2023-06-26T00:00:00"/>
    <d v="2023-07-04T19:00:44"/>
    <m/>
    <d v="2023-07-04T00:00:00"/>
    <n v="1599"/>
    <n v="15907"/>
    <s v="56446682"/>
    <s v="56446682"/>
    <m/>
    <m/>
    <n v="22759764"/>
    <m/>
    <m/>
    <m/>
    <s v="SOLFIN"/>
    <s v="SOLFIN"/>
    <s v="CCMS"/>
    <n v="21327497"/>
    <n v="14016.11"/>
    <m/>
    <s v="N"/>
    <n v="124"/>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58"/>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38"/>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08"/>
    <d v="2023-07-04T19:00:48"/>
    <s v="Y"/>
    <s v="Preparation - other"/>
    <s v="Care Remuneration Hourly Rates"/>
    <s v="Profit Cost"/>
    <s v="NIH"/>
    <s v="Y"/>
    <n v="15.77"/>
    <n v="3.15"/>
    <x v="1"/>
    <s v="VALIDATED"/>
    <n v="1"/>
    <s v="01.11.80.308.6100.0000"/>
    <n v="15.77"/>
    <s v="11"/>
    <s v="6100"/>
    <n v="16331.77"/>
    <n v="15.77"/>
    <s v="CREDITOR"/>
    <n v="0"/>
    <n v="0"/>
    <n v="0"/>
    <n v="0"/>
    <n v="15.77"/>
  </r>
  <r>
    <n v="62290620"/>
    <s v="N"/>
    <n v="21321658"/>
    <s v="3000016282800004"/>
    <s v="CIVIL"/>
    <d v="2023-06-29T00:00:00"/>
    <d v="2023-07-03T19:05:17"/>
    <m/>
    <d v="2023-07-03T00:00:00"/>
    <n v="1599"/>
    <n v="15907"/>
    <s v="62290620"/>
    <s v="62290620"/>
    <m/>
    <m/>
    <n v="22785110"/>
    <m/>
    <m/>
    <m/>
    <s v="SOLPOA"/>
    <s v="SOLPOA"/>
    <s v="CCMS"/>
    <n v="21321658"/>
    <n v="167"/>
    <m/>
    <s v="N"/>
    <n v="1"/>
    <d v="2023-07-03T19:05:20"/>
    <s v="N"/>
    <s v="Non Expert Disbursement"/>
    <s v="Non Expert Disbursement"/>
    <s v="Non Expert Disbursement"/>
    <s v="ACJ"/>
    <s v="N"/>
    <n v="167"/>
    <n v="0"/>
    <x v="3"/>
    <s v="VALIDATED"/>
    <n v="1"/>
    <s v="01.11.80.305.2012.0000"/>
    <n v="167"/>
    <s v="11"/>
    <s v="2012"/>
    <n v="16331.77"/>
    <n v="167"/>
    <s v="CREDITOR"/>
    <n v="167"/>
    <n v="0"/>
    <n v="0"/>
    <n v="0"/>
    <n v="0"/>
  </r>
  <r>
    <n v="56446682"/>
    <s v="N"/>
    <n v="21327497"/>
    <s v="3000013438650015"/>
    <s v="CIVIL"/>
    <d v="2023-06-26T00:00:00"/>
    <d v="2023-07-04T19:00:44"/>
    <m/>
    <d v="2023-07-04T00:00:00"/>
    <n v="1599"/>
    <n v="15907"/>
    <s v="56446682"/>
    <s v="56446682"/>
    <m/>
    <m/>
    <n v="22759764"/>
    <m/>
    <m/>
    <m/>
    <s v="SOLFIN"/>
    <s v="SOLFIN"/>
    <s v="CCMS"/>
    <n v="21327497"/>
    <n v="14016.11"/>
    <m/>
    <s v="N"/>
    <n v="50"/>
    <d v="2023-07-04T19:00:48"/>
    <s v="Y"/>
    <s v="Preparation - other"/>
    <s v="Care Remuneration Hourly Rates"/>
    <s v="Profit Cost"/>
    <s v="ACJ"/>
    <s v="Y"/>
    <n v="56.78"/>
    <n v="11.36"/>
    <x v="1"/>
    <s v="VALIDATED"/>
    <n v="1"/>
    <s v="01.11.80.308.6100.0000"/>
    <n v="56.78"/>
    <s v="11"/>
    <s v="6100"/>
    <n v="16331.77"/>
    <n v="56.78"/>
    <s v="CREDITOR"/>
    <n v="0"/>
    <n v="0"/>
    <n v="0"/>
    <n v="0"/>
    <n v="56.78"/>
  </r>
  <r>
    <n v="56446682"/>
    <s v="N"/>
    <n v="21327497"/>
    <s v="3000013438650015"/>
    <s v="CIVIL"/>
    <d v="2023-06-26T00:00:00"/>
    <d v="2023-07-04T19:00:44"/>
    <m/>
    <d v="2023-07-04T00:00:00"/>
    <n v="1599"/>
    <n v="15907"/>
    <s v="56446682"/>
    <s v="56446682"/>
    <m/>
    <m/>
    <n v="22759764"/>
    <m/>
    <m/>
    <m/>
    <s v="SOLFIN"/>
    <s v="SOLFIN"/>
    <s v="CCMS"/>
    <n v="21327497"/>
    <n v="14016.11"/>
    <m/>
    <s v="N"/>
    <n v="218"/>
    <d v="2023-07-04T19:00:48"/>
    <s v="Y"/>
    <s v="Preparation - other"/>
    <s v="Care Remuneration Hourly Rates"/>
    <s v="Profit Cost"/>
    <s v="ACJ"/>
    <s v="Y"/>
    <n v="14.19"/>
    <n v="2.84"/>
    <x v="1"/>
    <s v="VALIDATED"/>
    <n v="1"/>
    <s v="01.11.80.308.6100.0000"/>
    <n v="14.19"/>
    <s v="11"/>
    <s v="6100"/>
    <n v="16331.77"/>
    <n v="14.19"/>
    <s v="CREDITOR"/>
    <n v="0"/>
    <n v="0"/>
    <n v="0"/>
    <n v="0"/>
    <n v="14.19"/>
  </r>
  <r>
    <n v="61328864"/>
    <s v="N"/>
    <n v="21350069"/>
    <s v="3000015481370009"/>
    <s v="CIVIL"/>
    <d v="2023-06-29T00:00:00"/>
    <d v="2023-07-10T19:01:40"/>
    <m/>
    <d v="2023-07-10T00:00:00"/>
    <n v="1599"/>
    <n v="15907"/>
    <s v="61328864"/>
    <s v="61328864"/>
    <m/>
    <m/>
    <n v="22792794"/>
    <m/>
    <m/>
    <m/>
    <s v="SOLFIN"/>
    <s v="SOLFIN"/>
    <s v="CCMS"/>
    <n v="21350069"/>
    <n v="4292.04"/>
    <m/>
    <s v="N"/>
    <n v="7"/>
    <d v="2023-07-10T19:02:12"/>
    <s v="Y"/>
    <s v="Solicitor Travel Mileage"/>
    <s v="Public Law Children"/>
    <s v="Non Expert Disbursement"/>
    <s v="ACJ"/>
    <s v="Y"/>
    <n v="18"/>
    <n v="3.6"/>
    <x v="2"/>
    <s v="VALIDATED"/>
    <n v="1"/>
    <s v="01.11.80.308.6300.0000"/>
    <n v="18"/>
    <s v="11"/>
    <s v="6300"/>
    <n v="16331.77"/>
    <n v="18"/>
    <s v="CREDITOR"/>
    <n v="0"/>
    <n v="0"/>
    <n v="0"/>
    <n v="0"/>
    <n v="18"/>
  </r>
  <r>
    <n v="56446682"/>
    <s v="N"/>
    <n v="21327497"/>
    <s v="3000013438650015"/>
    <s v="CIVIL"/>
    <d v="2023-06-26T00:00:00"/>
    <d v="2023-07-04T19:00:44"/>
    <m/>
    <d v="2023-07-04T00:00:00"/>
    <n v="1599"/>
    <n v="15907"/>
    <s v="56446682"/>
    <s v="56446682"/>
    <m/>
    <m/>
    <n v="22759764"/>
    <m/>
    <m/>
    <m/>
    <s v="SOLFIN"/>
    <s v="SOLFIN"/>
    <s v="CCMS"/>
    <n v="21327497"/>
    <n v="14016.11"/>
    <m/>
    <s v="N"/>
    <n v="134"/>
    <d v="2023-07-04T19:00:48"/>
    <s v="Y"/>
    <s v="Report - other expert's report"/>
    <s v="Care Remuneration Hourly Rates"/>
    <s v="Profit Cost"/>
    <s v="NIH"/>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75"/>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95"/>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221"/>
    <d v="2023-07-04T19:00:48"/>
    <s v="Y"/>
    <s v="Preparation - other"/>
    <s v="Care Remuneration Hourly Rates"/>
    <s v="Profit Cost"/>
    <s v="NIH"/>
    <s v="Y"/>
    <n v="10.51"/>
    <n v="2.1"/>
    <x v="1"/>
    <s v="VALIDATED"/>
    <n v="1"/>
    <s v="01.11.80.308.6100.0000"/>
    <n v="10.51"/>
    <s v="11"/>
    <s v="6100"/>
    <n v="16331.77"/>
    <n v="10.51"/>
    <s v="CREDITOR"/>
    <n v="0"/>
    <n v="0"/>
    <n v="0"/>
    <n v="0"/>
    <n v="10.51"/>
  </r>
  <r>
    <n v="56446682"/>
    <s v="N"/>
    <n v="21327497"/>
    <s v="3000013438650015"/>
    <s v="CIVIL"/>
    <d v="2023-06-26T00:00:00"/>
    <d v="2023-07-04T19:00:44"/>
    <m/>
    <d v="2023-07-04T00:00:00"/>
    <n v="1599"/>
    <n v="15907"/>
    <s v="56446682"/>
    <s v="56446682"/>
    <m/>
    <m/>
    <n v="22759764"/>
    <m/>
    <m/>
    <m/>
    <s v="SOLFIN"/>
    <s v="SOLFIN"/>
    <s v="CCMS"/>
    <n v="21327497"/>
    <n v="14016.11"/>
    <m/>
    <s v="N"/>
    <n v="236"/>
    <d v="2023-07-04T19:00:48"/>
    <s v="Y"/>
    <s v="Advocates Meeting"/>
    <s v="Public Law Children"/>
    <s v="Advocacy"/>
    <s v="ACJ"/>
    <s v="Y"/>
    <n v="140.99"/>
    <n v="28.2"/>
    <x v="1"/>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161"/>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6"/>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98"/>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02"/>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90"/>
    <d v="2023-07-04T19:00:48"/>
    <s v="Y"/>
    <s v="Preparation - other"/>
    <s v="Care Remuneration Hourly Rates"/>
    <s v="Profit Cost"/>
    <s v="NIH"/>
    <s v="Y"/>
    <n v="15.77"/>
    <n v="3.15"/>
    <x v="1"/>
    <s v="VALIDATED"/>
    <n v="1"/>
    <s v="01.11.80.308.6100.0000"/>
    <n v="15.77"/>
    <s v="11"/>
    <s v="6100"/>
    <n v="16331.77"/>
    <n v="15.77"/>
    <s v="CREDITOR"/>
    <n v="0"/>
    <n v="0"/>
    <n v="0"/>
    <n v="0"/>
    <n v="15.77"/>
  </r>
  <r>
    <n v="56446682"/>
    <s v="N"/>
    <n v="21327497"/>
    <s v="3000013438650015"/>
    <s v="CIVIL"/>
    <d v="2023-06-26T00:00:00"/>
    <d v="2023-07-04T19:00:44"/>
    <m/>
    <d v="2023-07-04T00:00:00"/>
    <n v="1599"/>
    <n v="15907"/>
    <s v="56446682"/>
    <s v="56446682"/>
    <m/>
    <m/>
    <n v="22759764"/>
    <m/>
    <m/>
    <m/>
    <s v="SOLFIN"/>
    <s v="SOLFIN"/>
    <s v="CCMS"/>
    <n v="21327497"/>
    <n v="14016.11"/>
    <m/>
    <s v="N"/>
    <n v="92"/>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68"/>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
    <d v="2023-07-04T19:00:48"/>
    <s v="Y"/>
    <s v="Preparation - other"/>
    <s v="Care Remuneration Hourly Rates"/>
    <s v="Profit Cost"/>
    <s v="ACJ"/>
    <s v="Y"/>
    <n v="49.68"/>
    <n v="9.94"/>
    <x v="1"/>
    <s v="VALIDATED"/>
    <n v="1"/>
    <s v="01.11.80.308.6100.0000"/>
    <n v="49.68"/>
    <s v="11"/>
    <s v="6100"/>
    <n v="16331.77"/>
    <n v="49.68"/>
    <s v="CREDITOR"/>
    <n v="0"/>
    <n v="0"/>
    <n v="0"/>
    <n v="0"/>
    <n v="49.68"/>
  </r>
  <r>
    <n v="56446682"/>
    <s v="N"/>
    <n v="21327497"/>
    <s v="3000013438650015"/>
    <s v="CIVIL"/>
    <d v="2023-06-26T00:00:00"/>
    <d v="2023-07-04T19:00:44"/>
    <m/>
    <d v="2023-07-04T00:00:00"/>
    <n v="1599"/>
    <n v="15907"/>
    <s v="56446682"/>
    <s v="56446682"/>
    <m/>
    <m/>
    <n v="22759764"/>
    <m/>
    <m/>
    <m/>
    <s v="SOLFIN"/>
    <s v="SOLFIN"/>
    <s v="CCMS"/>
    <n v="21327497"/>
    <n v="14016.11"/>
    <m/>
    <s v="N"/>
    <n v="219"/>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113"/>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47"/>
    <d v="2023-07-04T19:00:48"/>
    <s v="Y"/>
    <s v="Report - other"/>
    <s v="Care Remuneration Hourly Rates"/>
    <s v="Profit Cost"/>
    <s v="NIH"/>
    <s v="Y"/>
    <n v="35.49"/>
    <n v="7.1"/>
    <x v="1"/>
    <s v="VALIDATED"/>
    <n v="1"/>
    <s v="01.11.80.308.6100.0000"/>
    <n v="35.49"/>
    <s v="11"/>
    <s v="6100"/>
    <n v="16331.77"/>
    <n v="35.49"/>
    <s v="CREDITOR"/>
    <n v="0"/>
    <n v="0"/>
    <n v="0"/>
    <n v="0"/>
    <n v="35.49"/>
  </r>
  <r>
    <n v="56446682"/>
    <s v="N"/>
    <n v="21327497"/>
    <s v="3000013438650015"/>
    <s v="CIVIL"/>
    <d v="2023-06-26T00:00:00"/>
    <d v="2023-07-04T19:00:44"/>
    <m/>
    <d v="2023-07-04T00:00:00"/>
    <n v="1599"/>
    <n v="15907"/>
    <s v="56446682"/>
    <s v="56446682"/>
    <m/>
    <m/>
    <n v="22759764"/>
    <m/>
    <m/>
    <m/>
    <s v="SOLFIN"/>
    <s v="SOLFIN"/>
    <s v="CCMS"/>
    <n v="21327497"/>
    <n v="14016.11"/>
    <m/>
    <s v="N"/>
    <n v="162"/>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30"/>
    <d v="2023-07-04T19:00:48"/>
    <s v="Y"/>
    <s v="Preparation - other"/>
    <s v="Care Remuneration Hourly Rates"/>
    <s v="Profit Cost"/>
    <s v="ACJ"/>
    <s v="Y"/>
    <n v="14.19"/>
    <n v="2.84"/>
    <x v="1"/>
    <s v="VALIDATED"/>
    <n v="1"/>
    <s v="01.11.80.308.6100.0000"/>
    <n v="14.19"/>
    <s v="11"/>
    <s v="6100"/>
    <n v="16331.77"/>
    <n v="14.19"/>
    <s v="CREDITOR"/>
    <n v="0"/>
    <n v="0"/>
    <n v="0"/>
    <n v="0"/>
    <n v="14.19"/>
  </r>
  <r>
    <n v="61328864"/>
    <s v="N"/>
    <n v="21350069"/>
    <s v="3000015481370009"/>
    <s v="CIVIL"/>
    <d v="2023-06-29T00:00:00"/>
    <d v="2023-07-10T19:01:40"/>
    <m/>
    <d v="2023-07-10T00:00:00"/>
    <n v="1599"/>
    <n v="15907"/>
    <s v="61328864"/>
    <s v="61328864"/>
    <m/>
    <m/>
    <n v="22792794"/>
    <m/>
    <m/>
    <m/>
    <s v="SOLFIN"/>
    <s v="SOLFIN"/>
    <s v="CCMS"/>
    <n v="21350069"/>
    <n v="4292.04"/>
    <m/>
    <s v="N"/>
    <n v="1"/>
    <d v="2023-07-10T19:02:12"/>
    <s v="Y"/>
    <s v="Final Hearing Court Bundle/Advocate"/>
    <s v="Public Law Children"/>
    <s v="Advocacy"/>
    <s v="ACJ"/>
    <s v="Y"/>
    <n v="159.3"/>
    <n v="31.86"/>
    <x v="2"/>
    <s v="VALIDATED"/>
    <n v="1"/>
    <s v="01.11.80.308.6100.0000"/>
    <n v="159.3"/>
    <s v="11"/>
    <s v="6100"/>
    <n v="16331.77"/>
    <n v="159.3"/>
    <s v="CREDITOR"/>
    <n v="0"/>
    <n v="0"/>
    <n v="0"/>
    <n v="0"/>
    <n v="159.3"/>
  </r>
  <r>
    <n v="56446682"/>
    <s v="N"/>
    <n v="21327497"/>
    <s v="3000013438650015"/>
    <s v="CIVIL"/>
    <d v="2023-06-26T00:00:00"/>
    <d v="2023-07-04T19:00:44"/>
    <m/>
    <d v="2023-07-04T00:00:00"/>
    <n v="1599"/>
    <n v="15907"/>
    <s v="56446682"/>
    <s v="56446682"/>
    <m/>
    <m/>
    <n v="22759764"/>
    <m/>
    <m/>
    <m/>
    <s v="SOLFIN"/>
    <s v="SOLFIN"/>
    <s v="CCMS"/>
    <n v="21327497"/>
    <n v="14016.11"/>
    <m/>
    <s v="N"/>
    <n v="119"/>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70"/>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54"/>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60"/>
    <d v="2023-07-04T19:00:48"/>
    <s v="Y"/>
    <s v="Preparation - other"/>
    <s v="Care Remuneration Hourly Rates"/>
    <s v="Profit Cost"/>
    <s v="ACJ"/>
    <s v="Y"/>
    <n v="14.19"/>
    <n v="2.84"/>
    <x v="1"/>
    <s v="VALIDATED"/>
    <n v="1"/>
    <s v="01.11.80.308.6100.0000"/>
    <n v="14.19"/>
    <s v="11"/>
    <s v="6100"/>
    <n v="16331.77"/>
    <n v="14.19"/>
    <s v="CREDITOR"/>
    <n v="0"/>
    <n v="0"/>
    <n v="0"/>
    <n v="0"/>
    <n v="14.19"/>
  </r>
  <r>
    <n v="61568103"/>
    <s v="N"/>
    <n v="21321302"/>
    <s v="3000015681990019"/>
    <s v="CIVIL"/>
    <d v="2023-06-29T00:00:00"/>
    <d v="2023-07-03T19:05:17"/>
    <m/>
    <d v="2023-07-03T00:00:00"/>
    <n v="1599"/>
    <n v="15907"/>
    <s v="61568103"/>
    <s v="61568103"/>
    <m/>
    <m/>
    <n v="22785096"/>
    <m/>
    <m/>
    <m/>
    <s v="SOLPOA"/>
    <s v="SOLPOA"/>
    <s v="CCMS"/>
    <n v="21321302"/>
    <n v="167"/>
    <m/>
    <s v="N"/>
    <n v="1"/>
    <d v="2023-07-03T19:05:18"/>
    <s v="N"/>
    <s v="Non Expert Disbursement"/>
    <s v="Non Expert Disbursement"/>
    <s v="Non Expert Disbursement"/>
    <s v="ACJ"/>
    <s v="N"/>
    <n v="167"/>
    <n v="0"/>
    <x v="3"/>
    <s v="VALIDATED"/>
    <n v="1"/>
    <s v="01.11.80.308.2012.0000"/>
    <n v="167"/>
    <s v="11"/>
    <s v="2012"/>
    <n v="16331.77"/>
    <n v="167"/>
    <s v="CREDITOR"/>
    <n v="167"/>
    <n v="0"/>
    <n v="0"/>
    <n v="0"/>
    <n v="0"/>
  </r>
  <r>
    <n v="61328864"/>
    <s v="N"/>
    <n v="21350069"/>
    <s v="3000015481370009"/>
    <s v="CIVIL"/>
    <d v="2023-06-29T00:00:00"/>
    <d v="2023-07-10T19:01:40"/>
    <m/>
    <d v="2023-07-10T00:00:00"/>
    <n v="1599"/>
    <n v="15907"/>
    <s v="61328864"/>
    <s v="61328864"/>
    <m/>
    <m/>
    <n v="22792794"/>
    <m/>
    <m/>
    <m/>
    <s v="SOLFIN"/>
    <s v="SOLFIN"/>
    <s v="CCMS"/>
    <n v="21350069"/>
    <n v="4292.04"/>
    <m/>
    <s v="N"/>
    <n v="2"/>
    <d v="2023-07-10T19:02:12"/>
    <s v="Y"/>
    <s v="Solicitor Travel Mileage"/>
    <s v="Public Law Children"/>
    <s v="Non Expert Disbursement"/>
    <s v="ACJ"/>
    <s v="Y"/>
    <n v="20.7"/>
    <n v="4.14"/>
    <x v="2"/>
    <s v="VALIDATED"/>
    <n v="1"/>
    <s v="01.11.80.308.6300.0000"/>
    <n v="20.7"/>
    <s v="11"/>
    <s v="6300"/>
    <n v="16331.77"/>
    <n v="20.7"/>
    <s v="CREDITOR"/>
    <n v="0"/>
    <n v="0"/>
    <n v="0"/>
    <n v="0"/>
    <n v="20.7"/>
  </r>
  <r>
    <n v="56446682"/>
    <s v="N"/>
    <n v="21327497"/>
    <s v="3000013438650015"/>
    <s v="CIVIL"/>
    <d v="2023-06-26T00:00:00"/>
    <d v="2023-07-04T19:00:44"/>
    <m/>
    <d v="2023-07-04T00:00:00"/>
    <n v="1599"/>
    <n v="15907"/>
    <s v="56446682"/>
    <s v="56446682"/>
    <m/>
    <m/>
    <n v="22759764"/>
    <m/>
    <m/>
    <m/>
    <s v="SOLFIN"/>
    <s v="SOLFIN"/>
    <s v="CCMS"/>
    <n v="21327497"/>
    <n v="14016.11"/>
    <m/>
    <s v="N"/>
    <n v="128"/>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99"/>
    <d v="2023-07-04T19:00:48"/>
    <s v="Y"/>
    <s v="Preparation - drafting application"/>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74"/>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98"/>
    <d v="2023-07-04T19:00:48"/>
    <s v="Y"/>
    <s v="Preparation - other"/>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200"/>
    <d v="2023-07-04T19:00:48"/>
    <s v="Y"/>
    <s v="Preparation - other"/>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242"/>
    <d v="2023-07-04T19:00:48"/>
    <s v="Y"/>
    <s v="Advocates Meeting"/>
    <s v="Public Law Children"/>
    <s v="Advocacy"/>
    <s v="ACJ"/>
    <s v="Y"/>
    <n v="140.99"/>
    <n v="28.2"/>
    <x v="1"/>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191"/>
    <d v="2023-07-04T19:00:48"/>
    <s v="Y"/>
    <s v="Preparation - other"/>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192"/>
    <d v="2023-07-04T19:00:48"/>
    <s v="Y"/>
    <s v="Preparation - other"/>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195"/>
    <d v="2023-07-04T19:00:48"/>
    <s v="Y"/>
    <s v="Preparation - other"/>
    <s v="Care Remuneration Hourly Rates"/>
    <s v="Profit Cost"/>
    <s v="NIH"/>
    <s v="Y"/>
    <n v="7.1"/>
    <n v="1.42"/>
    <x v="1"/>
    <s v="VALIDATED"/>
    <n v="1"/>
    <s v="01.11.80.308.6100.0000"/>
    <n v="7.1"/>
    <s v="11"/>
    <s v="6100"/>
    <n v="16331.77"/>
    <n v="7.1"/>
    <s v="CREDITOR"/>
    <n v="0"/>
    <n v="0"/>
    <n v="0"/>
    <n v="0"/>
    <n v="7.1"/>
  </r>
  <r>
    <n v="61328864"/>
    <s v="N"/>
    <n v="21350069"/>
    <s v="3000015481370009"/>
    <s v="CIVIL"/>
    <d v="2023-06-29T00:00:00"/>
    <d v="2023-07-10T19:01:40"/>
    <m/>
    <d v="2023-07-10T00:00:00"/>
    <n v="1599"/>
    <n v="15907"/>
    <s v="61328864"/>
    <s v="61328864"/>
    <m/>
    <m/>
    <n v="22792794"/>
    <m/>
    <m/>
    <m/>
    <s v="SOLFIN"/>
    <s v="SOLFIN"/>
    <s v="CCMS"/>
    <n v="21350069"/>
    <n v="4292.04"/>
    <m/>
    <s v="N"/>
    <n v="5"/>
    <d v="2023-07-10T19:02:12"/>
    <s v="Y"/>
    <s v="Solicitor Travel Mileage"/>
    <s v="Public Law Children"/>
    <s v="Non Expert Disbursement"/>
    <s v="ACJ"/>
    <s v="Y"/>
    <n v="19.8"/>
    <n v="3.96"/>
    <x v="2"/>
    <s v="VALIDATED"/>
    <n v="1"/>
    <s v="01.11.80.308.6300.0000"/>
    <n v="19.8"/>
    <s v="11"/>
    <s v="6300"/>
    <n v="16331.77"/>
    <n v="19.8"/>
    <s v="CREDITOR"/>
    <n v="0"/>
    <n v="0"/>
    <n v="0"/>
    <n v="0"/>
    <n v="19.8"/>
  </r>
  <r>
    <n v="56446682"/>
    <s v="N"/>
    <n v="21327497"/>
    <s v="3000013438650015"/>
    <s v="CIVIL"/>
    <d v="2023-06-26T00:00:00"/>
    <d v="2023-07-04T19:00:44"/>
    <m/>
    <d v="2023-07-04T00:00:00"/>
    <n v="1599"/>
    <n v="15907"/>
    <s v="56446682"/>
    <s v="56446682"/>
    <m/>
    <m/>
    <n v="22759764"/>
    <m/>
    <m/>
    <m/>
    <s v="SOLFIN"/>
    <s v="SOLFIN"/>
    <s v="CCMS"/>
    <n v="21327497"/>
    <n v="14016.11"/>
    <m/>
    <s v="N"/>
    <n v="243"/>
    <d v="2023-07-04T19:00:48"/>
    <s v="Y"/>
    <s v="Hearing Unit 2.31 - 5.00 Hours"/>
    <s v="Public Law Children"/>
    <s v="Advocacy"/>
    <s v="TJG"/>
    <s v="Y"/>
    <n v="476.92"/>
    <n v="95.39"/>
    <x v="1"/>
    <s v="VALIDATED"/>
    <n v="1"/>
    <s v="01.11.80.308.6100.0000"/>
    <n v="476.92"/>
    <s v="11"/>
    <s v="6100"/>
    <n v="16331.77"/>
    <n v="476.92"/>
    <s v="CREDITOR"/>
    <n v="0"/>
    <n v="0"/>
    <n v="0"/>
    <n v="0"/>
    <n v="476.92"/>
  </r>
  <r>
    <n v="56446682"/>
    <s v="N"/>
    <n v="21327497"/>
    <s v="3000013438650015"/>
    <s v="CIVIL"/>
    <d v="2023-06-26T00:00:00"/>
    <d v="2023-07-04T19:00:44"/>
    <m/>
    <d v="2023-07-04T00:00:00"/>
    <n v="1599"/>
    <n v="15907"/>
    <s v="56446682"/>
    <s v="56446682"/>
    <m/>
    <m/>
    <n v="22759764"/>
    <m/>
    <m/>
    <m/>
    <s v="SOLFIN"/>
    <s v="SOLFIN"/>
    <s v="CCMS"/>
    <n v="21327497"/>
    <n v="14016.11"/>
    <m/>
    <s v="N"/>
    <n v="17"/>
    <d v="2023-07-04T19:00:48"/>
    <s v="Y"/>
    <s v="Report - other expert's report"/>
    <s v="Care Remuneration Hourly Rates"/>
    <s v="Profit Cost"/>
    <s v="NIH"/>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83"/>
    <d v="2023-07-04T19:00:48"/>
    <s v="Y"/>
    <s v="Preparation - other"/>
    <s v="Care Remuneration Hourly Rates"/>
    <s v="Profit Cost"/>
    <s v="NIH"/>
    <s v="Y"/>
    <n v="5.26"/>
    <n v="1.05"/>
    <x v="1"/>
    <s v="VALIDATED"/>
    <n v="1"/>
    <s v="01.11.80.308.6100.0000"/>
    <n v="5.26"/>
    <s v="11"/>
    <s v="6100"/>
    <n v="16331.77"/>
    <n v="5.26"/>
    <s v="CREDITOR"/>
    <n v="0"/>
    <n v="0"/>
    <n v="0"/>
    <n v="0"/>
    <n v="5.26"/>
  </r>
  <r>
    <n v="8752425"/>
    <s v="N"/>
    <n v="21392667"/>
    <s v="3000004742680013"/>
    <s v="CIVIL"/>
    <d v="2023-06-22T00:00:00"/>
    <d v="2023-07-18T19:00:27"/>
    <m/>
    <d v="2023-07-18T00:00:00"/>
    <n v="1599"/>
    <n v="15907"/>
    <s v="8752425"/>
    <s v="8752425"/>
    <m/>
    <m/>
    <n v="22739322"/>
    <m/>
    <m/>
    <m/>
    <s v="SOLFIN"/>
    <s v="SOLFIN"/>
    <s v="CCMS"/>
    <n v="21392667"/>
    <n v="1478.4"/>
    <m/>
    <s v="N"/>
    <n v="3"/>
    <d v="2023-07-18T19:00:57"/>
    <s v="N"/>
    <m/>
    <m/>
    <s v="Overall Adjustment"/>
    <m/>
    <s v="N"/>
    <n v="-511.28"/>
    <n v="-102.26"/>
    <x v="14"/>
    <s v="VALIDATED"/>
    <n v="1"/>
    <s v="01.11.80.214.6100.0000"/>
    <n v="-511.28"/>
    <s v="11"/>
    <s v="6100"/>
    <n v="16331.77"/>
    <n v="-511.28"/>
    <s v="CREDITOR"/>
    <n v="0"/>
    <n v="0"/>
    <n v="0"/>
    <n v="0"/>
    <n v="-511.28"/>
  </r>
  <r>
    <n v="56446682"/>
    <s v="N"/>
    <n v="21327497"/>
    <s v="3000013438650015"/>
    <s v="CIVIL"/>
    <d v="2023-06-26T00:00:00"/>
    <d v="2023-07-04T19:00:44"/>
    <m/>
    <d v="2023-07-04T00:00:00"/>
    <n v="1599"/>
    <n v="15907"/>
    <s v="56446682"/>
    <s v="56446682"/>
    <m/>
    <m/>
    <n v="22759764"/>
    <m/>
    <m/>
    <m/>
    <s v="SOLFIN"/>
    <s v="SOLFIN"/>
    <s v="CCMS"/>
    <n v="21327497"/>
    <n v="14016.11"/>
    <m/>
    <s v="N"/>
    <n v="144"/>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34"/>
    <d v="2023-07-04T19:00:48"/>
    <s v="Y"/>
    <s v="Toxicologist"/>
    <s v="Care Remuneration Hourly Rates"/>
    <s v="Expert Disbursement"/>
    <s v="XXX"/>
    <s v="Y"/>
    <n v="428.5"/>
    <n v="85.70999999999999"/>
    <x v="1"/>
    <s v="VALIDATED"/>
    <n v="1"/>
    <s v="01.11.80.308.6300.0000"/>
    <n v="428.5"/>
    <s v="11"/>
    <s v="6300"/>
    <n v="16331.77"/>
    <n v="428.5"/>
    <s v="CREDITOR"/>
    <n v="0"/>
    <n v="0"/>
    <n v="0"/>
    <n v="0"/>
    <n v="428.5"/>
  </r>
  <r>
    <n v="56446682"/>
    <s v="N"/>
    <n v="21327497"/>
    <s v="3000013438650015"/>
    <s v="CIVIL"/>
    <d v="2023-06-26T00:00:00"/>
    <d v="2023-07-04T19:00:44"/>
    <m/>
    <d v="2023-07-04T00:00:00"/>
    <n v="1599"/>
    <n v="15907"/>
    <s v="56446682"/>
    <s v="56446682"/>
    <m/>
    <m/>
    <n v="22759764"/>
    <m/>
    <m/>
    <m/>
    <s v="SOLFIN"/>
    <s v="SOLFIN"/>
    <s v="CCMS"/>
    <n v="21327497"/>
    <n v="14016.11"/>
    <m/>
    <s v="N"/>
    <n v="120"/>
    <d v="2023-07-04T19:00:48"/>
    <s v="Y"/>
    <s v="Preparation - other"/>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31"/>
    <d v="2023-07-04T19:00:48"/>
    <s v="Y"/>
    <s v="Preparation - other"/>
    <s v="Care Remuneration Hourly Rates"/>
    <s v="Profit Cost"/>
    <s v="NIH"/>
    <s v="Y"/>
    <n v="85.16"/>
    <n v="17.03"/>
    <x v="1"/>
    <s v="VALIDATED"/>
    <n v="1"/>
    <s v="01.11.80.308.6100.0000"/>
    <n v="85.16"/>
    <s v="11"/>
    <s v="6100"/>
    <n v="16331.77"/>
    <n v="85.16"/>
    <s v="CREDITOR"/>
    <n v="0"/>
    <n v="0"/>
    <n v="0"/>
    <n v="0"/>
    <n v="85.16"/>
  </r>
  <r>
    <n v="56446682"/>
    <s v="N"/>
    <n v="21327497"/>
    <s v="3000013438650015"/>
    <s v="CIVIL"/>
    <d v="2023-06-26T00:00:00"/>
    <d v="2023-07-04T19:00:44"/>
    <m/>
    <d v="2023-07-04T00:00:00"/>
    <n v="1599"/>
    <n v="15907"/>
    <s v="56446682"/>
    <s v="56446682"/>
    <m/>
    <m/>
    <n v="22759764"/>
    <m/>
    <m/>
    <m/>
    <s v="SOLFIN"/>
    <s v="SOLFIN"/>
    <s v="CCMS"/>
    <n v="21327497"/>
    <n v="14016.11"/>
    <m/>
    <s v="N"/>
    <n v="59"/>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03"/>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114"/>
    <d v="2023-07-04T19:00:48"/>
    <s v="Y"/>
    <s v="Preparation - other"/>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60"/>
    <d v="2023-07-04T19:00:48"/>
    <s v="Y"/>
    <s v="Report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6"/>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217"/>
    <d v="2023-07-04T19:00:48"/>
    <s v="Y"/>
    <s v="Preparation - drafting attendance n"/>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108"/>
    <d v="2023-07-04T19:00:48"/>
    <s v="Y"/>
    <s v="Preparation - other"/>
    <s v="Care Remuneration Hourly Rates"/>
    <s v="Profit Cost"/>
    <s v="NIH"/>
    <s v="Y"/>
    <n v="5.26"/>
    <n v="1.05"/>
    <x v="1"/>
    <s v="VALIDATED"/>
    <n v="1"/>
    <s v="01.11.80.308.6100.0000"/>
    <n v="5.26"/>
    <s v="11"/>
    <s v="6100"/>
    <n v="16331.77"/>
    <n v="5.26"/>
    <s v="CREDITOR"/>
    <n v="0"/>
    <n v="0"/>
    <n v="0"/>
    <n v="0"/>
    <n v="5.26"/>
  </r>
  <r>
    <n v="61328864"/>
    <s v="N"/>
    <n v="21350069"/>
    <s v="3000015481370009"/>
    <s v="CIVIL"/>
    <d v="2023-06-29T00:00:00"/>
    <d v="2023-07-10T19:01:40"/>
    <m/>
    <d v="2023-07-10T00:00:00"/>
    <n v="1599"/>
    <n v="15907"/>
    <s v="61328864"/>
    <s v="61328864"/>
    <m/>
    <m/>
    <n v="22792794"/>
    <m/>
    <m/>
    <m/>
    <s v="SOLFIN"/>
    <s v="SOLFIN"/>
    <s v="CCMS"/>
    <n v="21350069"/>
    <n v="4292.04"/>
    <m/>
    <s v="N"/>
    <n v="11"/>
    <d v="2023-07-10T19:02:12"/>
    <s v="Y"/>
    <s v="Advocates Meeting"/>
    <s v="Public Law Children"/>
    <s v="Advocacy"/>
    <s v="ACJ"/>
    <s v="Y"/>
    <n v="140.99"/>
    <n v="28.2"/>
    <x v="2"/>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45"/>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229"/>
    <d v="2023-07-04T19:00:48"/>
    <s v="N"/>
    <s v="Solicitors Fixed Fee"/>
    <s v="Public Law Children"/>
    <s v="Profit Cost"/>
    <s v="XXX"/>
    <s v="N"/>
    <n v="0"/>
    <n v="0"/>
    <x v="1"/>
    <s v="VALIDATED"/>
    <n v="1"/>
    <s v="01.11.80.308.6100.0000"/>
    <n v="0"/>
    <s v="11"/>
    <s v="6100"/>
    <n v="16331.77"/>
    <n v="0"/>
    <s v="CREDITOR"/>
    <n v="0"/>
    <n v="0"/>
    <n v="0"/>
    <n v="0"/>
    <n v="0"/>
  </r>
  <r>
    <n v="56446682"/>
    <s v="N"/>
    <n v="21327497"/>
    <s v="3000013438650015"/>
    <s v="CIVIL"/>
    <d v="2023-06-26T00:00:00"/>
    <d v="2023-07-04T19:00:44"/>
    <m/>
    <d v="2023-07-04T00:00:00"/>
    <n v="1599"/>
    <n v="15907"/>
    <s v="56446682"/>
    <s v="56446682"/>
    <m/>
    <m/>
    <n v="22759764"/>
    <m/>
    <m/>
    <m/>
    <s v="SOLFIN"/>
    <s v="SOLFIN"/>
    <s v="CCMS"/>
    <n v="21327497"/>
    <n v="14016.11"/>
    <m/>
    <s v="N"/>
    <n v="69"/>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32"/>
    <d v="2023-07-04T19:00:48"/>
    <s v="Y"/>
    <s v="Preparation - other"/>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79"/>
    <d v="2023-07-04T19:00:48"/>
    <s v="Y"/>
    <s v="Attendance upon/with Counsel at Con"/>
    <s v="Care Remuneration Hourly Rates"/>
    <s v="Profit Cost"/>
    <s v="ACJ"/>
    <s v="Y"/>
    <n v="13.52"/>
    <n v="2.7"/>
    <x v="1"/>
    <s v="VALIDATED"/>
    <n v="1"/>
    <s v="01.11.80.308.6100.0000"/>
    <n v="13.52"/>
    <s v="11"/>
    <s v="6100"/>
    <n v="16331.77"/>
    <n v="13.52"/>
    <s v="CREDITOR"/>
    <n v="0"/>
    <n v="0"/>
    <n v="0"/>
    <n v="0"/>
    <n v="13.52"/>
  </r>
  <r>
    <n v="56446682"/>
    <s v="N"/>
    <n v="21327497"/>
    <s v="3000013438650015"/>
    <s v="CIVIL"/>
    <d v="2023-06-26T00:00:00"/>
    <d v="2023-07-04T19:00:44"/>
    <m/>
    <d v="2023-07-04T00:00:00"/>
    <n v="1599"/>
    <n v="15907"/>
    <s v="56446682"/>
    <s v="56446682"/>
    <m/>
    <m/>
    <n v="22759764"/>
    <m/>
    <m/>
    <m/>
    <s v="SOLFIN"/>
    <s v="SOLFIN"/>
    <s v="CCMS"/>
    <n v="21327497"/>
    <n v="14016.11"/>
    <m/>
    <s v="N"/>
    <n v="11"/>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3"/>
    <d v="2023-07-04T19:00:48"/>
    <s v="Y"/>
    <s v="Preparation - other"/>
    <s v="Care Remuneration Hourly Rates"/>
    <s v="Profit Cost"/>
    <s v="ACJ"/>
    <s v="Y"/>
    <n v="35.49"/>
    <n v="7.1"/>
    <x v="1"/>
    <s v="VALIDATED"/>
    <n v="1"/>
    <s v="01.11.80.308.6100.0000"/>
    <n v="35.49"/>
    <s v="11"/>
    <s v="6100"/>
    <n v="16331.77"/>
    <n v="35.49"/>
    <s v="CREDITOR"/>
    <n v="0"/>
    <n v="0"/>
    <n v="0"/>
    <n v="0"/>
    <n v="35.49"/>
  </r>
  <r>
    <n v="56446682"/>
    <s v="N"/>
    <n v="21327497"/>
    <s v="3000013438650015"/>
    <s v="CIVIL"/>
    <d v="2023-06-26T00:00:00"/>
    <d v="2023-07-04T19:00:44"/>
    <m/>
    <d v="2023-07-04T00:00:00"/>
    <n v="1599"/>
    <n v="15907"/>
    <s v="56446682"/>
    <s v="56446682"/>
    <m/>
    <m/>
    <n v="22759764"/>
    <m/>
    <m/>
    <m/>
    <s v="SOLFIN"/>
    <s v="SOLFIN"/>
    <s v="CCMS"/>
    <n v="21327497"/>
    <n v="14016.11"/>
    <m/>
    <s v="N"/>
    <n v="77"/>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68"/>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44"/>
    <d v="2023-07-04T19:00:48"/>
    <s v="Y"/>
    <s v="Advocates Meeting"/>
    <s v="Public Law Children"/>
    <s v="Advocacy"/>
    <s v="ACJ"/>
    <s v="Y"/>
    <n v="140.99"/>
    <n v="28.2"/>
    <x v="1"/>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28"/>
    <d v="2023-07-04T19:00:48"/>
    <s v="Y"/>
    <s v="Preparation - drafting consent orde"/>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24"/>
    <d v="2023-07-04T19:00:48"/>
    <s v="Y"/>
    <s v="Routine Telephone Call"/>
    <s v="Care Remuneration Hourly Rates"/>
    <s v="Profit Cost"/>
    <s v="NIH"/>
    <s v="Y"/>
    <n v="22.14"/>
    <n v="4.43"/>
    <x v="1"/>
    <s v="VALIDATED"/>
    <n v="1"/>
    <s v="01.11.80.308.6100.0000"/>
    <n v="22.14"/>
    <s v="11"/>
    <s v="6100"/>
    <n v="16331.77"/>
    <n v="22.14"/>
    <s v="CREDITOR"/>
    <n v="0"/>
    <n v="0"/>
    <n v="0"/>
    <n v="0"/>
    <n v="22.14"/>
  </r>
  <r>
    <n v="56446682"/>
    <s v="N"/>
    <n v="21327497"/>
    <s v="3000013438650015"/>
    <s v="CIVIL"/>
    <d v="2023-06-26T00:00:00"/>
    <d v="2023-07-04T19:00:44"/>
    <m/>
    <d v="2023-07-04T00:00:00"/>
    <n v="1599"/>
    <n v="15907"/>
    <s v="56446682"/>
    <s v="56446682"/>
    <m/>
    <m/>
    <n v="22759764"/>
    <m/>
    <m/>
    <m/>
    <s v="SOLFIN"/>
    <s v="SOLFIN"/>
    <s v="CCMS"/>
    <n v="21327497"/>
    <n v="14016.11"/>
    <m/>
    <s v="N"/>
    <n v="185"/>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81"/>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82"/>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01"/>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52"/>
    <d v="2023-07-04T19:00:48"/>
    <s v="Y"/>
    <s v="Attendance upon client"/>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172"/>
    <d v="2023-07-04T19:00:48"/>
    <s v="Y"/>
    <s v="Preparation - drafting application"/>
    <s v="Care Remuneration Hourly Rates"/>
    <s v="Profit Cost"/>
    <s v="NIH"/>
    <s v="Y"/>
    <n v="21.03"/>
    <n v="4.21"/>
    <x v="1"/>
    <s v="VALIDATED"/>
    <n v="1"/>
    <s v="01.11.80.308.6100.0000"/>
    <n v="21.03"/>
    <s v="11"/>
    <s v="6100"/>
    <n v="16331.77"/>
    <n v="21.03"/>
    <s v="CREDITOR"/>
    <n v="0"/>
    <n v="0"/>
    <n v="0"/>
    <n v="0"/>
    <n v="21.03"/>
  </r>
  <r>
    <n v="56446682"/>
    <s v="N"/>
    <n v="21327497"/>
    <s v="3000013438650015"/>
    <s v="CIVIL"/>
    <d v="2023-06-26T00:00:00"/>
    <d v="2023-07-04T19:00:44"/>
    <m/>
    <d v="2023-07-04T00:00:00"/>
    <n v="1599"/>
    <n v="15907"/>
    <s v="56446682"/>
    <s v="56446682"/>
    <m/>
    <m/>
    <n v="22759764"/>
    <m/>
    <m/>
    <m/>
    <s v="SOLFIN"/>
    <s v="SOLFIN"/>
    <s v="CCMS"/>
    <n v="21327497"/>
    <n v="14016.11"/>
    <m/>
    <s v="N"/>
    <n v="135"/>
    <d v="2023-07-04T19:00:48"/>
    <s v="Y"/>
    <s v="Preparation - other"/>
    <s v="Care Remuneration Hourly Rates"/>
    <s v="Profit Cost"/>
    <s v="NIH"/>
    <s v="Y"/>
    <n v="15.77"/>
    <n v="3.15"/>
    <x v="1"/>
    <s v="VALIDATED"/>
    <n v="1"/>
    <s v="01.11.80.308.6100.0000"/>
    <n v="15.77"/>
    <s v="11"/>
    <s v="6100"/>
    <n v="16331.77"/>
    <n v="15.77"/>
    <s v="CREDITOR"/>
    <n v="0"/>
    <n v="0"/>
    <n v="0"/>
    <n v="0"/>
    <n v="15.77"/>
  </r>
  <r>
    <n v="56446682"/>
    <s v="N"/>
    <n v="21327497"/>
    <s v="3000013438650015"/>
    <s v="CIVIL"/>
    <d v="2023-06-26T00:00:00"/>
    <d v="2023-07-04T19:00:44"/>
    <m/>
    <d v="2023-07-04T00:00:00"/>
    <n v="1599"/>
    <n v="15907"/>
    <s v="56446682"/>
    <s v="56446682"/>
    <m/>
    <m/>
    <n v="22759764"/>
    <m/>
    <m/>
    <m/>
    <s v="SOLFIN"/>
    <s v="SOLFIN"/>
    <s v="CCMS"/>
    <n v="21327497"/>
    <n v="14016.11"/>
    <m/>
    <s v="N"/>
    <n v="129"/>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4"/>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4"/>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85"/>
    <d v="2023-07-04T19:00:48"/>
    <s v="Y"/>
    <s v="Report - other"/>
    <s v="Care Remuneration Hourly Rates"/>
    <s v="Profit Cost"/>
    <s v="ACJ"/>
    <s v="Y"/>
    <n v="70.97"/>
    <n v="14.2"/>
    <x v="1"/>
    <s v="VALIDATED"/>
    <n v="1"/>
    <s v="01.11.80.308.6100.0000"/>
    <n v="70.97"/>
    <s v="11"/>
    <s v="6100"/>
    <n v="16331.77"/>
    <n v="70.97"/>
    <s v="CREDITOR"/>
    <n v="0"/>
    <n v="0"/>
    <n v="0"/>
    <n v="0"/>
    <n v="70.97"/>
  </r>
  <r>
    <n v="56446682"/>
    <s v="N"/>
    <n v="21327497"/>
    <s v="3000013438650015"/>
    <s v="CIVIL"/>
    <d v="2023-06-26T00:00:00"/>
    <d v="2023-07-04T19:00:44"/>
    <m/>
    <d v="2023-07-04T00:00:00"/>
    <n v="1599"/>
    <n v="15907"/>
    <s v="56446682"/>
    <s v="56446682"/>
    <m/>
    <m/>
    <n v="22759764"/>
    <m/>
    <m/>
    <m/>
    <s v="SOLFIN"/>
    <s v="SOLFIN"/>
    <s v="CCMS"/>
    <n v="21327497"/>
    <n v="14016.11"/>
    <m/>
    <s v="N"/>
    <n v="89"/>
    <d v="2023-07-04T19:00:48"/>
    <s v="Y"/>
    <s v="Preparation - drafting application"/>
    <s v="Care Remuneration Hourly Rates"/>
    <s v="Profit Cost"/>
    <s v="NIH"/>
    <s v="Y"/>
    <n v="21.03"/>
    <n v="4.21"/>
    <x v="1"/>
    <s v="VALIDATED"/>
    <n v="1"/>
    <s v="01.11.80.308.6100.0000"/>
    <n v="21.03"/>
    <s v="11"/>
    <s v="6100"/>
    <n v="16331.77"/>
    <n v="21.03"/>
    <s v="CREDITOR"/>
    <n v="0"/>
    <n v="0"/>
    <n v="0"/>
    <n v="0"/>
    <n v="21.03"/>
  </r>
  <r>
    <n v="56446682"/>
    <s v="N"/>
    <n v="21327497"/>
    <s v="3000013438650015"/>
    <s v="CIVIL"/>
    <d v="2023-06-26T00:00:00"/>
    <d v="2023-07-04T19:00:44"/>
    <m/>
    <d v="2023-07-04T00:00:00"/>
    <n v="1599"/>
    <n v="15907"/>
    <s v="56446682"/>
    <s v="56446682"/>
    <m/>
    <m/>
    <n v="22759764"/>
    <m/>
    <m/>
    <m/>
    <s v="SOLFIN"/>
    <s v="SOLFIN"/>
    <s v="CCMS"/>
    <n v="21327497"/>
    <n v="14016.11"/>
    <m/>
    <s v="N"/>
    <n v="213"/>
    <d v="2023-07-04T19:00:48"/>
    <s v="Y"/>
    <s v="Preparation - other"/>
    <s v="Care Remuneration Hourly Rates"/>
    <s v="Profit Cost"/>
    <s v="NIH"/>
    <s v="Y"/>
    <n v="10.51"/>
    <n v="2.1"/>
    <x v="1"/>
    <s v="VALIDATED"/>
    <n v="1"/>
    <s v="01.11.80.308.6100.0000"/>
    <n v="10.51"/>
    <s v="11"/>
    <s v="6100"/>
    <n v="16331.77"/>
    <n v="10.51"/>
    <s v="CREDITOR"/>
    <n v="0"/>
    <n v="0"/>
    <n v="0"/>
    <n v="0"/>
    <n v="10.51"/>
  </r>
  <r>
    <n v="56446682"/>
    <s v="N"/>
    <n v="21327497"/>
    <s v="3000013438650015"/>
    <s v="CIVIL"/>
    <d v="2023-06-26T00:00:00"/>
    <d v="2023-07-04T19:00:44"/>
    <m/>
    <d v="2023-07-04T00:00:00"/>
    <n v="1599"/>
    <n v="15907"/>
    <s v="56446682"/>
    <s v="56446682"/>
    <m/>
    <m/>
    <n v="22759764"/>
    <m/>
    <m/>
    <m/>
    <s v="SOLFIN"/>
    <s v="SOLFIN"/>
    <s v="CCMS"/>
    <n v="21327497"/>
    <n v="14016.11"/>
    <m/>
    <s v="N"/>
    <n v="227"/>
    <d v="2023-07-04T19:00:48"/>
    <s v="Y"/>
    <s v="Routine Letter In"/>
    <s v="Care Remuneration Hourly Rates"/>
    <s v="Profit Cost"/>
    <s v="ACJ"/>
    <s v="Y"/>
    <n v="670.16"/>
    <n v="134.04"/>
    <x v="1"/>
    <s v="VALIDATED"/>
    <n v="1"/>
    <s v="01.11.80.308.6100.0000"/>
    <n v="670.16"/>
    <s v="11"/>
    <s v="6100"/>
    <n v="16331.77"/>
    <n v="670.16"/>
    <s v="CREDITOR"/>
    <n v="0"/>
    <n v="0"/>
    <n v="0"/>
    <n v="0"/>
    <n v="670.16"/>
  </r>
  <r>
    <n v="56446682"/>
    <s v="N"/>
    <n v="21327497"/>
    <s v="3000013438650015"/>
    <s v="CIVIL"/>
    <d v="2023-06-26T00:00:00"/>
    <d v="2023-07-04T19:00:44"/>
    <m/>
    <d v="2023-07-04T00:00:00"/>
    <n v="1599"/>
    <n v="15907"/>
    <s v="56446682"/>
    <s v="56446682"/>
    <m/>
    <m/>
    <n v="22759764"/>
    <m/>
    <m/>
    <m/>
    <s v="SOLFIN"/>
    <s v="SOLFIN"/>
    <s v="CCMS"/>
    <n v="21327497"/>
    <n v="14016.11"/>
    <m/>
    <s v="N"/>
    <n v="61"/>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64"/>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66"/>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15"/>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31"/>
    <d v="2023-07-04T19:00:48"/>
    <s v="Y"/>
    <s v="Solicitor Travel Mileage"/>
    <s v="Care Remuneration Hourly Rates"/>
    <s v="Non Expert Disbursement"/>
    <s v="XXX"/>
    <s v="Y"/>
    <n v="9.9"/>
    <n v="1.98"/>
    <x v="1"/>
    <s v="VALIDATED"/>
    <n v="1"/>
    <s v="01.11.80.308.6300.0000"/>
    <n v="9.9"/>
    <s v="11"/>
    <s v="6300"/>
    <n v="16331.77"/>
    <n v="9.9"/>
    <s v="CREDITOR"/>
    <n v="0"/>
    <n v="0"/>
    <n v="0"/>
    <n v="0"/>
    <n v="9.9"/>
  </r>
  <r>
    <n v="56446682"/>
    <s v="N"/>
    <n v="21327497"/>
    <s v="3000013438650015"/>
    <s v="CIVIL"/>
    <d v="2023-06-26T00:00:00"/>
    <d v="2023-07-04T19:00:44"/>
    <m/>
    <d v="2023-07-04T00:00:00"/>
    <n v="1599"/>
    <n v="15907"/>
    <s v="56446682"/>
    <s v="56446682"/>
    <m/>
    <m/>
    <n v="22759764"/>
    <m/>
    <m/>
    <m/>
    <s v="SOLFIN"/>
    <s v="SOLFIN"/>
    <s v="CCMS"/>
    <n v="21327497"/>
    <n v="14016.11"/>
    <m/>
    <s v="N"/>
    <n v="148"/>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9"/>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65"/>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40"/>
    <d v="2023-07-04T19:00:48"/>
    <s v="Y"/>
    <s v="Preparation - other"/>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5"/>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80"/>
    <d v="2023-07-04T19:00:48"/>
    <s v="Y"/>
    <s v="Preparation - other"/>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56"/>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63"/>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210"/>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28"/>
    <d v="2023-07-04T19:00:48"/>
    <s v="Y"/>
    <s v="Routine Letter In"/>
    <s v="Care Remuneration Hourly Rates"/>
    <s v="Profit Cost"/>
    <s v="NIH"/>
    <s v="Y"/>
    <n v="455.1"/>
    <n v="91.03"/>
    <x v="1"/>
    <s v="VALIDATED"/>
    <n v="1"/>
    <s v="01.11.80.308.6100.0000"/>
    <n v="455.1"/>
    <s v="11"/>
    <s v="6100"/>
    <n v="16331.77"/>
    <n v="455.1"/>
    <s v="CREDITOR"/>
    <n v="0"/>
    <n v="0"/>
    <n v="0"/>
    <n v="0"/>
    <n v="455.1"/>
  </r>
  <r>
    <n v="56446682"/>
    <s v="N"/>
    <n v="21327497"/>
    <s v="3000013438650015"/>
    <s v="CIVIL"/>
    <d v="2023-06-26T00:00:00"/>
    <d v="2023-07-04T19:00:44"/>
    <m/>
    <d v="2023-07-04T00:00:00"/>
    <n v="1599"/>
    <n v="15907"/>
    <s v="56446682"/>
    <s v="56446682"/>
    <m/>
    <m/>
    <n v="22759764"/>
    <m/>
    <m/>
    <m/>
    <s v="SOLFIN"/>
    <s v="SOLFIN"/>
    <s v="CCMS"/>
    <n v="21327497"/>
    <n v="14016.11"/>
    <m/>
    <s v="N"/>
    <n v="250"/>
    <d v="2023-07-04T19:00:48"/>
    <s v="Y"/>
    <s v="Interim Hearing Court Bundle/Advoca"/>
    <s v="Public Law Children"/>
    <s v="Advocacy"/>
    <s v="ACJ"/>
    <s v="Y"/>
    <n v="59.4"/>
    <n v="11.88"/>
    <x v="1"/>
    <s v="VALIDATED"/>
    <n v="1"/>
    <s v="01.11.80.308.6100.0000"/>
    <n v="59.4"/>
    <s v="11"/>
    <s v="6100"/>
    <n v="16331.77"/>
    <n v="59.4"/>
    <s v="CREDITOR"/>
    <n v="0"/>
    <n v="0"/>
    <n v="0"/>
    <n v="0"/>
    <n v="59.4"/>
  </r>
  <r>
    <n v="61431726"/>
    <s v="N"/>
    <n v="21318463"/>
    <s v="3000015566920008"/>
    <s v="CIVIL"/>
    <d v="2023-06-23T00:00:00"/>
    <d v="2023-07-03T19:01:49"/>
    <m/>
    <d v="2023-07-03T00:00:00"/>
    <n v="1599"/>
    <n v="15907"/>
    <s v="61431726"/>
    <s v="61431726"/>
    <m/>
    <m/>
    <n v="22749526"/>
    <m/>
    <m/>
    <m/>
    <s v="SOLFIN"/>
    <s v="SOLFIN"/>
    <s v="CCMS"/>
    <n v="21318463"/>
    <n v="7388.71"/>
    <m/>
    <s v="N"/>
    <n v="6"/>
    <d v="2023-07-03T19:01:56"/>
    <s v="N"/>
    <s v="Solicitors Fixed Fee"/>
    <s v="Public Law Children"/>
    <s v="Profit Cost"/>
    <s v="NIH"/>
    <s v="N"/>
    <n v="0"/>
    <n v="0"/>
    <x v="3"/>
    <s v="VALIDATED"/>
    <n v="1"/>
    <s v="01.11.80.308.6100.0000"/>
    <n v="0"/>
    <s v="11"/>
    <s v="6100"/>
    <n v="16331.77"/>
    <n v="0"/>
    <s v="CREDITOR"/>
    <n v="0"/>
    <n v="0"/>
    <n v="0"/>
    <n v="0"/>
    <n v="0"/>
  </r>
  <r>
    <n v="56446682"/>
    <s v="N"/>
    <n v="21327497"/>
    <s v="3000013438650015"/>
    <s v="CIVIL"/>
    <d v="2023-06-26T00:00:00"/>
    <d v="2023-07-04T19:00:44"/>
    <m/>
    <d v="2023-07-04T00:00:00"/>
    <n v="1599"/>
    <n v="15907"/>
    <s v="56446682"/>
    <s v="56446682"/>
    <m/>
    <m/>
    <n v="22759764"/>
    <m/>
    <m/>
    <m/>
    <s v="SOLFIN"/>
    <s v="SOLFIN"/>
    <s v="CCMS"/>
    <n v="21327497"/>
    <n v="14016.11"/>
    <m/>
    <s v="N"/>
    <n v="149"/>
    <d v="2023-07-04T19:00:48"/>
    <s v="Y"/>
    <s v="Preparation - other"/>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193"/>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3"/>
    <d v="2023-07-04T19:00:48"/>
    <s v="Y"/>
    <s v="Attendance upon client"/>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101"/>
    <d v="2023-07-04T19:00:48"/>
    <s v="Y"/>
    <s v="Attendance upon client"/>
    <s v="Care Remuneration Hourly Rates"/>
    <s v="Profit Cost"/>
    <s v="ACJ"/>
    <s v="Y"/>
    <n v="35.49"/>
    <n v="7.1"/>
    <x v="1"/>
    <s v="VALIDATED"/>
    <n v="1"/>
    <s v="01.11.80.308.6100.0000"/>
    <n v="35.49"/>
    <s v="11"/>
    <s v="6100"/>
    <n v="16331.77"/>
    <n v="35.49"/>
    <s v="CREDITOR"/>
    <n v="0"/>
    <n v="0"/>
    <n v="0"/>
    <n v="0"/>
    <n v="35.49"/>
  </r>
  <r>
    <n v="61328864"/>
    <s v="N"/>
    <n v="21350069"/>
    <s v="3000015481370009"/>
    <s v="CIVIL"/>
    <d v="2023-06-29T00:00:00"/>
    <d v="2023-07-10T19:01:40"/>
    <m/>
    <d v="2023-07-10T00:00:00"/>
    <n v="1599"/>
    <n v="15907"/>
    <s v="61328864"/>
    <s v="61328864"/>
    <m/>
    <m/>
    <n v="22792794"/>
    <m/>
    <m/>
    <m/>
    <s v="SOLFIN"/>
    <s v="SOLFIN"/>
    <s v="CCMS"/>
    <n v="21350069"/>
    <n v="4292.04"/>
    <m/>
    <s v="N"/>
    <n v="8"/>
    <d v="2023-07-10T19:02:12"/>
    <s v="Y"/>
    <s v="Advocates Meeting"/>
    <s v="Public Law Children"/>
    <s v="Advocacy"/>
    <s v="ACJ"/>
    <s v="Y"/>
    <n v="140.99"/>
    <n v="28.2"/>
    <x v="2"/>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112"/>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16"/>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43"/>
    <d v="2023-07-04T19:00:48"/>
    <s v="Y"/>
    <s v="Preparation - other"/>
    <s v="Care Remuneration Hourly Rates"/>
    <s v="Profit Cost"/>
    <s v="ACJ"/>
    <s v="Y"/>
    <n v="49.68"/>
    <n v="9.94"/>
    <x v="1"/>
    <s v="VALIDATED"/>
    <n v="1"/>
    <s v="01.11.80.308.6100.0000"/>
    <n v="49.68"/>
    <s v="11"/>
    <s v="6100"/>
    <n v="16331.77"/>
    <n v="49.68"/>
    <s v="CREDITOR"/>
    <n v="0"/>
    <n v="0"/>
    <n v="0"/>
    <n v="0"/>
    <n v="49.68"/>
  </r>
  <r>
    <n v="56446682"/>
    <s v="N"/>
    <n v="21327497"/>
    <s v="3000013438650015"/>
    <s v="CIVIL"/>
    <d v="2023-06-26T00:00:00"/>
    <d v="2023-07-04T19:00:44"/>
    <m/>
    <d v="2023-07-04T00:00:00"/>
    <n v="1599"/>
    <n v="15907"/>
    <s v="56446682"/>
    <s v="56446682"/>
    <m/>
    <m/>
    <n v="22759764"/>
    <m/>
    <m/>
    <m/>
    <s v="SOLFIN"/>
    <s v="SOLFIN"/>
    <s v="CCMS"/>
    <n v="21327497"/>
    <n v="14016.11"/>
    <m/>
    <s v="N"/>
    <n v="151"/>
    <d v="2023-07-04T19:00:48"/>
    <s v="Y"/>
    <s v="Report - Welfare repor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78"/>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46"/>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32"/>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71"/>
    <d v="2023-07-04T19:00:48"/>
    <s v="Y"/>
    <s v="Preparation - drafting attendance n"/>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241"/>
    <d v="2023-07-04T19:00:48"/>
    <s v="Y"/>
    <s v="Hearing Unit 1.01 - 2.30 Hours"/>
    <s v="Public Law Children"/>
    <s v="Advocacy"/>
    <s v="TJG"/>
    <s v="Y"/>
    <n v="238.46"/>
    <n v="47.7"/>
    <x v="1"/>
    <s v="VALIDATED"/>
    <n v="1"/>
    <s v="01.11.80.308.6100.0000"/>
    <n v="238.46"/>
    <s v="11"/>
    <s v="6100"/>
    <n v="16331.77"/>
    <n v="238.46"/>
    <s v="CREDITOR"/>
    <n v="0"/>
    <n v="0"/>
    <n v="0"/>
    <n v="0"/>
    <n v="238.46"/>
  </r>
  <r>
    <n v="56446682"/>
    <s v="N"/>
    <n v="21327497"/>
    <s v="3000013438650015"/>
    <s v="CIVIL"/>
    <d v="2023-06-26T00:00:00"/>
    <d v="2023-07-04T19:00:44"/>
    <m/>
    <d v="2023-07-04T00:00:00"/>
    <n v="1599"/>
    <n v="15907"/>
    <s v="56446682"/>
    <s v="56446682"/>
    <m/>
    <m/>
    <n v="22759764"/>
    <m/>
    <m/>
    <m/>
    <s v="SOLFIN"/>
    <s v="SOLFIN"/>
    <s v="CCMS"/>
    <n v="21327497"/>
    <n v="14016.11"/>
    <m/>
    <s v="N"/>
    <n v="187"/>
    <d v="2023-07-04T19:00:48"/>
    <s v="Y"/>
    <s v="Report - Welfare repor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35"/>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09"/>
    <d v="2023-07-04T19:00:48"/>
    <s v="Y"/>
    <s v="Attendance upon other side"/>
    <s v="Care Remuneration Hourly Rates"/>
    <s v="Profit Cost"/>
    <s v="ACJ"/>
    <s v="Y"/>
    <n v="18.14"/>
    <n v="3.63"/>
    <x v="1"/>
    <s v="VALIDATED"/>
    <n v="1"/>
    <s v="01.11.80.308.6100.0000"/>
    <n v="18.14"/>
    <s v="11"/>
    <s v="6100"/>
    <n v="16331.77"/>
    <n v="18.14"/>
    <s v="CREDITOR"/>
    <n v="0"/>
    <n v="0"/>
    <n v="0"/>
    <n v="0"/>
    <n v="18.14"/>
  </r>
  <r>
    <n v="56446682"/>
    <s v="N"/>
    <n v="21327497"/>
    <s v="3000013438650015"/>
    <s v="CIVIL"/>
    <d v="2023-06-26T00:00:00"/>
    <d v="2023-07-04T19:00:44"/>
    <m/>
    <d v="2023-07-04T00:00:00"/>
    <n v="1599"/>
    <n v="15907"/>
    <s v="56446682"/>
    <s v="56446682"/>
    <m/>
    <m/>
    <n v="22759764"/>
    <m/>
    <m/>
    <m/>
    <s v="SOLFIN"/>
    <s v="SOLFIN"/>
    <s v="CCMS"/>
    <n v="21327497"/>
    <n v="14016.11"/>
    <m/>
    <s v="N"/>
    <n v="136"/>
    <d v="2023-07-04T19:00:48"/>
    <s v="Y"/>
    <s v="Preparation - other"/>
    <s v="Care Remuneration Hourly Rates"/>
    <s v="Profit Cost"/>
    <s v="NIH"/>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239"/>
    <d v="2023-07-04T19:00:48"/>
    <s v="Y"/>
    <s v="Hearing Unit 1.01 - 2.30 Hours"/>
    <s v="Public Law Children"/>
    <s v="Advocacy"/>
    <s v="ACJ"/>
    <s v="Y"/>
    <n v="238.46"/>
    <n v="47.7"/>
    <x v="1"/>
    <s v="VALIDATED"/>
    <n v="1"/>
    <s v="01.11.80.308.6100.0000"/>
    <n v="238.46"/>
    <s v="11"/>
    <s v="6100"/>
    <n v="16331.77"/>
    <n v="238.46"/>
    <s v="CREDITOR"/>
    <n v="0"/>
    <n v="0"/>
    <n v="0"/>
    <n v="0"/>
    <n v="238.46"/>
  </r>
  <r>
    <n v="56446682"/>
    <s v="N"/>
    <n v="21327497"/>
    <s v="3000013438650015"/>
    <s v="CIVIL"/>
    <d v="2023-06-26T00:00:00"/>
    <d v="2023-07-04T19:00:44"/>
    <m/>
    <d v="2023-07-04T00:00:00"/>
    <n v="1599"/>
    <n v="15907"/>
    <s v="56446682"/>
    <s v="56446682"/>
    <m/>
    <m/>
    <n v="22759764"/>
    <m/>
    <m/>
    <m/>
    <s v="SOLFIN"/>
    <s v="SOLFIN"/>
    <s v="CCMS"/>
    <n v="21327497"/>
    <n v="14016.11"/>
    <m/>
    <s v="N"/>
    <n v="139"/>
    <d v="2023-07-04T19:00:48"/>
    <s v="Y"/>
    <s v="Preparation - other"/>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73"/>
    <d v="2023-07-04T19:00:48"/>
    <s v="Y"/>
    <s v="Preparation - drafting instructions"/>
    <s v="Care Remuneration Hourly Rates"/>
    <s v="Profit Cost"/>
    <s v="NIH"/>
    <s v="Y"/>
    <n v="15.77"/>
    <n v="3.15"/>
    <x v="1"/>
    <s v="VALIDATED"/>
    <n v="1"/>
    <s v="01.11.80.308.6100.0000"/>
    <n v="15.77"/>
    <s v="11"/>
    <s v="6100"/>
    <n v="16331.77"/>
    <n v="15.77"/>
    <s v="CREDITOR"/>
    <n v="0"/>
    <n v="0"/>
    <n v="0"/>
    <n v="0"/>
    <n v="15.77"/>
  </r>
  <r>
    <n v="56446682"/>
    <s v="N"/>
    <n v="21327497"/>
    <s v="3000013438650015"/>
    <s v="CIVIL"/>
    <d v="2023-06-26T00:00:00"/>
    <d v="2023-07-04T19:00:44"/>
    <m/>
    <d v="2023-07-04T00:00:00"/>
    <n v="1599"/>
    <n v="15907"/>
    <s v="56446682"/>
    <s v="56446682"/>
    <m/>
    <m/>
    <n v="22759764"/>
    <m/>
    <m/>
    <m/>
    <s v="SOLFIN"/>
    <s v="SOLFIN"/>
    <s v="CCMS"/>
    <n v="21327497"/>
    <n v="14016.11"/>
    <m/>
    <s v="N"/>
    <n v="107"/>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37"/>
    <d v="2023-07-04T19:00:48"/>
    <s v="Y"/>
    <s v="Attendance upon client"/>
    <s v="Care Remuneration Hourly Rates"/>
    <s v="Profit Cost"/>
    <s v="ACJ"/>
    <s v="Y"/>
    <n v="7.1"/>
    <n v="1.42"/>
    <x v="1"/>
    <s v="VALIDATED"/>
    <n v="1"/>
    <s v="01.11.80.308.6100.0000"/>
    <n v="7.1"/>
    <s v="11"/>
    <s v="6100"/>
    <n v="16331.77"/>
    <n v="7.1"/>
    <s v="CREDITOR"/>
    <n v="0"/>
    <n v="0"/>
    <n v="0"/>
    <n v="0"/>
    <n v="7.1"/>
  </r>
  <r>
    <n v="61990879"/>
    <s v="N"/>
    <n v="21321558"/>
    <s v="3000016024340004"/>
    <s v="CIVIL"/>
    <d v="2023-06-29T00:00:00"/>
    <d v="2023-07-03T19:05:17"/>
    <m/>
    <d v="2023-07-03T00:00:00"/>
    <n v="1599"/>
    <n v="15907"/>
    <s v="61990879"/>
    <s v="61990879"/>
    <m/>
    <m/>
    <n v="22785006"/>
    <m/>
    <m/>
    <m/>
    <s v="SOLPOA"/>
    <s v="SOLPOA"/>
    <s v="CCMS"/>
    <n v="21321558"/>
    <n v="343.16"/>
    <m/>
    <s v="N"/>
    <n v="1"/>
    <d v="2023-07-03T19:05:19"/>
    <s v="N"/>
    <s v="Expert Cost"/>
    <s v="Expert Cost"/>
    <s v="Expert Disbursement"/>
    <s v="BEC"/>
    <s v="N"/>
    <n v="285.97"/>
    <n v="57.19"/>
    <x v="3"/>
    <s v="VALIDATED"/>
    <n v="1"/>
    <s v="01.11.80.308.2012.0000"/>
    <n v="285.97"/>
    <s v="11"/>
    <s v="2012"/>
    <n v="16331.77"/>
    <n v="285.97"/>
    <s v="CREDITOR"/>
    <n v="285.97"/>
    <n v="0"/>
    <n v="0"/>
    <n v="0"/>
    <n v="0"/>
  </r>
  <r>
    <n v="59431849"/>
    <s v="N"/>
    <n v="21318819"/>
    <s v="3000013870610030"/>
    <s v="CIVIL"/>
    <d v="2023-06-26T00:00:00"/>
    <d v="2023-07-03T19:01:49"/>
    <m/>
    <d v="2023-07-03T00:00:00"/>
    <n v="1599"/>
    <n v="15907"/>
    <s v="59431849"/>
    <s v="59431849"/>
    <m/>
    <m/>
    <n v="22759216"/>
    <m/>
    <m/>
    <m/>
    <s v="SOLPOA"/>
    <s v="SOLPOA"/>
    <s v="CCMS"/>
    <n v="21318819"/>
    <n v="6199.34"/>
    <m/>
    <s v="N"/>
    <n v="1"/>
    <d v="2023-07-03T19:02:03"/>
    <s v="N"/>
    <s v="Non Expert Disbursement"/>
    <s v="Non Expert Disbursement"/>
    <s v="Non Expert Disbursement"/>
    <s v="VGN"/>
    <s v="N"/>
    <n v="5166.12"/>
    <n v="1033.22"/>
    <x v="3"/>
    <s v="VALIDATED"/>
    <n v="1"/>
    <s v="01.11.80.308.2012.0000"/>
    <n v="5166.12"/>
    <s v="11"/>
    <s v="2012"/>
    <n v="16331.77"/>
    <n v="5166.12"/>
    <s v="CREDITOR"/>
    <n v="5166.12"/>
    <n v="0"/>
    <n v="0"/>
    <n v="0"/>
    <n v="0"/>
  </r>
  <r>
    <n v="61328864"/>
    <s v="N"/>
    <n v="21350069"/>
    <s v="3000015481370009"/>
    <s v="CIVIL"/>
    <d v="2023-06-29T00:00:00"/>
    <d v="2023-07-10T19:01:40"/>
    <m/>
    <d v="2023-07-10T00:00:00"/>
    <n v="1599"/>
    <n v="15907"/>
    <s v="61328864"/>
    <s v="61328864"/>
    <m/>
    <m/>
    <n v="22792794"/>
    <m/>
    <m/>
    <m/>
    <s v="SOLFIN"/>
    <s v="SOLFIN"/>
    <s v="CCMS"/>
    <n v="21350069"/>
    <n v="4292.04"/>
    <m/>
    <s v="N"/>
    <n v="6"/>
    <d v="2023-07-10T19:02:12"/>
    <s v="Y"/>
    <s v="Solicitor Travel Expenses"/>
    <s v="Public Law Children"/>
    <s v="Non Expert Disbursement"/>
    <s v="ACJ"/>
    <s v="Y"/>
    <n v="9.83"/>
    <n v="1.97"/>
    <x v="2"/>
    <s v="VALIDATED"/>
    <n v="1"/>
    <s v="01.11.80.308.6300.0000"/>
    <n v="9.83"/>
    <s v="11"/>
    <s v="6300"/>
    <n v="16331.77"/>
    <n v="9.83"/>
    <s v="CREDITOR"/>
    <n v="0"/>
    <n v="0"/>
    <n v="0"/>
    <n v="0"/>
    <n v="9.83"/>
  </r>
  <r>
    <n v="56446682"/>
    <s v="N"/>
    <n v="21327497"/>
    <s v="3000013438650015"/>
    <s v="CIVIL"/>
    <d v="2023-06-26T00:00:00"/>
    <d v="2023-07-04T19:00:44"/>
    <m/>
    <d v="2023-07-04T00:00:00"/>
    <n v="1599"/>
    <n v="15907"/>
    <s v="56446682"/>
    <s v="56446682"/>
    <m/>
    <m/>
    <n v="22759764"/>
    <m/>
    <m/>
    <m/>
    <s v="SOLFIN"/>
    <s v="SOLFIN"/>
    <s v="CCMS"/>
    <n v="21327497"/>
    <n v="14016.11"/>
    <m/>
    <s v="N"/>
    <n v="233"/>
    <d v="2023-07-04T19:00:48"/>
    <s v="Y"/>
    <s v="Psychologist"/>
    <s v="Care Remuneration Hourly Rates"/>
    <s v="Expert Disbursement"/>
    <s v="XXX"/>
    <s v="Y"/>
    <n v="138"/>
    <n v="27.6"/>
    <x v="1"/>
    <s v="VALIDATED"/>
    <n v="1"/>
    <s v="01.11.80.308.6300.0000"/>
    <n v="138"/>
    <s v="11"/>
    <s v="6300"/>
    <n v="16331.77"/>
    <n v="138"/>
    <s v="CREDITOR"/>
    <n v="0"/>
    <n v="0"/>
    <n v="0"/>
    <n v="0"/>
    <n v="138"/>
  </r>
  <r>
    <n v="56446682"/>
    <s v="N"/>
    <n v="21327497"/>
    <s v="3000013438650015"/>
    <s v="CIVIL"/>
    <d v="2023-06-26T00:00:00"/>
    <d v="2023-07-04T19:00:44"/>
    <m/>
    <d v="2023-07-04T00:00:00"/>
    <n v="1599"/>
    <n v="15907"/>
    <s v="56446682"/>
    <s v="56446682"/>
    <m/>
    <m/>
    <n v="22759764"/>
    <m/>
    <m/>
    <m/>
    <s v="SOLFIN"/>
    <s v="SOLFIN"/>
    <s v="CCMS"/>
    <n v="21327497"/>
    <n v="14016.11"/>
    <m/>
    <s v="N"/>
    <n v="100"/>
    <d v="2023-07-04T19:00:48"/>
    <s v="Y"/>
    <s v="Preparation - other"/>
    <s v="Care Remuneration Hourly Rates"/>
    <s v="Profit Cost"/>
    <s v="NIH"/>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223"/>
    <d v="2023-07-04T19:00:48"/>
    <s v="Y"/>
    <s v="Routine Telephone Call"/>
    <s v="Care Remuneration Hourly Rates"/>
    <s v="Profit Cost"/>
    <s v="ACJ"/>
    <s v="Y"/>
    <n v="33.95"/>
    <n v="6.79"/>
    <x v="1"/>
    <s v="VALIDATED"/>
    <n v="1"/>
    <s v="01.11.80.308.6100.0000"/>
    <n v="33.95"/>
    <s v="11"/>
    <s v="6100"/>
    <n v="16331.77"/>
    <n v="33.95"/>
    <s v="CREDITOR"/>
    <n v="0"/>
    <n v="0"/>
    <n v="0"/>
    <n v="0"/>
    <n v="33.95"/>
  </r>
  <r>
    <n v="56446682"/>
    <s v="N"/>
    <n v="21327497"/>
    <s v="3000013438650015"/>
    <s v="CIVIL"/>
    <d v="2023-06-26T00:00:00"/>
    <d v="2023-07-04T19:00:44"/>
    <m/>
    <d v="2023-07-04T00:00:00"/>
    <n v="1599"/>
    <n v="15907"/>
    <s v="56446682"/>
    <s v="56446682"/>
    <m/>
    <m/>
    <n v="22759764"/>
    <m/>
    <m/>
    <m/>
    <s v="SOLFIN"/>
    <s v="SOLFIN"/>
    <s v="CCMS"/>
    <n v="21327497"/>
    <n v="14016.11"/>
    <m/>
    <s v="N"/>
    <n v="125"/>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1"/>
    <d v="2023-07-04T19:00:48"/>
    <s v="Y"/>
    <s v="Report - Medical report"/>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16"/>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33"/>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80"/>
    <d v="2023-07-04T19:00:48"/>
    <s v="Y"/>
    <s v="Preparation - drafting consent orde"/>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45"/>
    <d v="2023-07-04T19:00:48"/>
    <s v="Y"/>
    <s v="Preparation - other"/>
    <s v="Care Remuneration Hourly Rates"/>
    <s v="Profit Cost"/>
    <s v="NIH"/>
    <s v="Y"/>
    <n v="10.51"/>
    <n v="2.1"/>
    <x v="1"/>
    <s v="VALIDATED"/>
    <n v="1"/>
    <s v="01.11.80.308.6100.0000"/>
    <n v="10.51"/>
    <s v="11"/>
    <s v="6100"/>
    <n v="16331.77"/>
    <n v="10.51"/>
    <s v="CREDITOR"/>
    <n v="0"/>
    <n v="0"/>
    <n v="0"/>
    <n v="0"/>
    <n v="10.51"/>
  </r>
  <r>
    <n v="56446682"/>
    <s v="N"/>
    <n v="21327497"/>
    <s v="3000013438650015"/>
    <s v="CIVIL"/>
    <d v="2023-06-26T00:00:00"/>
    <d v="2023-07-04T19:00:44"/>
    <m/>
    <d v="2023-07-04T00:00:00"/>
    <n v="1599"/>
    <n v="15907"/>
    <s v="56446682"/>
    <s v="56446682"/>
    <m/>
    <m/>
    <n v="22759764"/>
    <m/>
    <m/>
    <m/>
    <s v="SOLFIN"/>
    <s v="SOLFIN"/>
    <s v="CCMS"/>
    <n v="21327497"/>
    <n v="14016.11"/>
    <m/>
    <s v="N"/>
    <n v="197"/>
    <d v="2023-07-04T19:00:48"/>
    <s v="Y"/>
    <s v="Preparation - other"/>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56"/>
    <d v="2023-07-04T19:00:48"/>
    <s v="Y"/>
    <s v="Preparation - other"/>
    <s v="Care Remuneration Hourly Rates"/>
    <s v="Profit Cost"/>
    <s v="NIH"/>
    <s v="Y"/>
    <n v="15.77"/>
    <n v="3.15"/>
    <x v="1"/>
    <s v="VALIDATED"/>
    <n v="1"/>
    <s v="01.11.80.308.6100.0000"/>
    <n v="15.77"/>
    <s v="11"/>
    <s v="6100"/>
    <n v="16331.77"/>
    <n v="15.77"/>
    <s v="CREDITOR"/>
    <n v="0"/>
    <n v="0"/>
    <n v="0"/>
    <n v="0"/>
    <n v="15.77"/>
  </r>
  <r>
    <n v="56446682"/>
    <s v="N"/>
    <n v="21327497"/>
    <s v="3000013438650015"/>
    <s v="CIVIL"/>
    <d v="2023-06-26T00:00:00"/>
    <d v="2023-07-04T19:00:44"/>
    <m/>
    <d v="2023-07-04T00:00:00"/>
    <n v="1599"/>
    <n v="15907"/>
    <s v="56446682"/>
    <s v="56446682"/>
    <m/>
    <m/>
    <n v="22759764"/>
    <m/>
    <m/>
    <m/>
    <s v="SOLFIN"/>
    <s v="SOLFIN"/>
    <s v="CCMS"/>
    <n v="21327497"/>
    <n v="14016.11"/>
    <m/>
    <s v="N"/>
    <n v="246"/>
    <d v="2023-07-04T19:00:48"/>
    <s v="Y"/>
    <s v="Advocates Meeting"/>
    <s v="Public Law Children"/>
    <s v="Advocacy"/>
    <s v="ACJ"/>
    <s v="Y"/>
    <n v="140.99"/>
    <n v="28.2"/>
    <x v="1"/>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8"/>
    <d v="2023-07-04T19:00:48"/>
    <s v="Y"/>
    <s v="Preparation - other"/>
    <s v="Care Remuneration Hourly Rates"/>
    <s v="Profit Cost"/>
    <s v="ACJ"/>
    <s v="Y"/>
    <n v="6.05"/>
    <n v="1.21"/>
    <x v="1"/>
    <s v="VALIDATED"/>
    <n v="1"/>
    <s v="01.11.80.308.6100.0000"/>
    <n v="6.05"/>
    <s v="11"/>
    <s v="6100"/>
    <n v="16331.77"/>
    <n v="6.05"/>
    <s v="CREDITOR"/>
    <n v="0"/>
    <n v="0"/>
    <n v="0"/>
    <n v="0"/>
    <n v="6.05"/>
  </r>
  <r>
    <n v="56446682"/>
    <s v="N"/>
    <n v="21327497"/>
    <s v="3000013438650015"/>
    <s v="CIVIL"/>
    <d v="2023-06-26T00:00:00"/>
    <d v="2023-07-04T19:00:44"/>
    <m/>
    <d v="2023-07-04T00:00:00"/>
    <n v="1599"/>
    <n v="15907"/>
    <s v="56446682"/>
    <s v="56446682"/>
    <m/>
    <m/>
    <n v="22759764"/>
    <m/>
    <m/>
    <m/>
    <s v="SOLFIN"/>
    <s v="SOLFIN"/>
    <s v="CCMS"/>
    <n v="21327497"/>
    <n v="14016.11"/>
    <m/>
    <s v="N"/>
    <n v="104"/>
    <d v="2023-07-04T19:00:48"/>
    <s v="Y"/>
    <s v="Preparation - drafting instructions"/>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247"/>
    <d v="2023-07-04T19:00:48"/>
    <s v="Y"/>
    <s v="Hearing Unit 1.01 - 2.30 Hours"/>
    <s v="Public Law Children"/>
    <s v="Advocacy"/>
    <s v="ACJ"/>
    <s v="Y"/>
    <n v="238.46"/>
    <n v="47.7"/>
    <x v="1"/>
    <s v="VALIDATED"/>
    <n v="1"/>
    <s v="01.11.80.308.6100.0000"/>
    <n v="238.46"/>
    <s v="11"/>
    <s v="6100"/>
    <n v="16331.77"/>
    <n v="238.46"/>
    <s v="CREDITOR"/>
    <n v="0"/>
    <n v="0"/>
    <n v="0"/>
    <n v="0"/>
    <n v="238.46"/>
  </r>
  <r>
    <n v="56446682"/>
    <s v="N"/>
    <n v="21327497"/>
    <s v="3000013438650015"/>
    <s v="CIVIL"/>
    <d v="2023-06-26T00:00:00"/>
    <d v="2023-07-04T19:00:44"/>
    <m/>
    <d v="2023-07-04T00:00:00"/>
    <n v="1599"/>
    <n v="15907"/>
    <s v="56446682"/>
    <s v="56446682"/>
    <m/>
    <m/>
    <n v="22759764"/>
    <m/>
    <m/>
    <m/>
    <s v="SOLFIN"/>
    <s v="SOLFIN"/>
    <s v="CCMS"/>
    <n v="21327497"/>
    <n v="14016.11"/>
    <m/>
    <s v="N"/>
    <n v="214"/>
    <d v="2023-07-04T19:00:48"/>
    <s v="Y"/>
    <s v="Attendance upon client"/>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1"/>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220"/>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41"/>
    <d v="2023-07-04T19:00:48"/>
    <s v="Y"/>
    <s v="Report - other"/>
    <s v="Care Remuneration Hourly Rates"/>
    <s v="Profit Cost"/>
    <s v="ACJ"/>
    <s v="Y"/>
    <n v="49.68"/>
    <n v="9.94"/>
    <x v="1"/>
    <s v="VALIDATED"/>
    <n v="1"/>
    <s v="01.11.80.308.6100.0000"/>
    <n v="49.68"/>
    <s v="11"/>
    <s v="6100"/>
    <n v="16331.77"/>
    <n v="49.68"/>
    <s v="CREDITOR"/>
    <n v="0"/>
    <n v="0"/>
    <n v="0"/>
    <n v="0"/>
    <n v="49.68"/>
  </r>
  <r>
    <n v="56446682"/>
    <s v="N"/>
    <n v="21327497"/>
    <s v="3000013438650015"/>
    <s v="CIVIL"/>
    <d v="2023-06-26T00:00:00"/>
    <d v="2023-07-04T19:00:44"/>
    <m/>
    <d v="2023-07-04T00:00:00"/>
    <n v="1599"/>
    <n v="15907"/>
    <s v="56446682"/>
    <s v="56446682"/>
    <m/>
    <m/>
    <n v="22759764"/>
    <m/>
    <m/>
    <m/>
    <s v="SOLFIN"/>
    <s v="SOLFIN"/>
    <s v="CCMS"/>
    <n v="21327497"/>
    <n v="14016.11"/>
    <m/>
    <s v="N"/>
    <n v="51"/>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232"/>
    <d v="2023-07-04T19:00:48"/>
    <s v="Y"/>
    <s v="Solicitor Travel Expenses"/>
    <s v="Care Remuneration Hourly Rates"/>
    <s v="Non Expert Disbursement"/>
    <s v="XXX"/>
    <s v="Y"/>
    <n v="9.98"/>
    <n v="2"/>
    <x v="1"/>
    <s v="VALIDATED"/>
    <n v="1"/>
    <s v="01.11.80.308.6300.0000"/>
    <n v="9.98"/>
    <s v="11"/>
    <s v="6300"/>
    <n v="16331.77"/>
    <n v="9.98"/>
    <s v="CREDITOR"/>
    <n v="0"/>
    <n v="0"/>
    <n v="0"/>
    <n v="0"/>
    <n v="9.98"/>
  </r>
  <r>
    <n v="56446682"/>
    <s v="N"/>
    <n v="21327497"/>
    <s v="3000013438650015"/>
    <s v="CIVIL"/>
    <d v="2023-06-26T00:00:00"/>
    <d v="2023-07-04T19:00:44"/>
    <m/>
    <d v="2023-07-04T00:00:00"/>
    <n v="1599"/>
    <n v="15907"/>
    <s v="56446682"/>
    <s v="56446682"/>
    <m/>
    <m/>
    <n v="22759764"/>
    <m/>
    <m/>
    <m/>
    <s v="SOLFIN"/>
    <s v="SOLFIN"/>
    <s v="CCMS"/>
    <n v="21327497"/>
    <n v="14016.11"/>
    <m/>
    <s v="N"/>
    <n v="240"/>
    <d v="2023-07-04T19:00:48"/>
    <s v="Y"/>
    <s v="Advocates Meeting"/>
    <s v="Public Law Children"/>
    <s v="Advocacy"/>
    <s v="ACJ"/>
    <s v="Y"/>
    <n v="140.99"/>
    <n v="28.2"/>
    <x v="1"/>
    <s v="VALIDATED"/>
    <n v="1"/>
    <s v="01.11.80.308.6100.0000"/>
    <n v="140.99"/>
    <s v="11"/>
    <s v="6100"/>
    <n v="16331.77"/>
    <n v="140.99"/>
    <s v="CREDITOR"/>
    <n v="0"/>
    <n v="0"/>
    <n v="0"/>
    <n v="0"/>
    <n v="140.99"/>
  </r>
  <r>
    <n v="56446682"/>
    <s v="N"/>
    <n v="21327497"/>
    <s v="3000013438650015"/>
    <s v="CIVIL"/>
    <d v="2023-06-26T00:00:00"/>
    <d v="2023-07-04T19:00:44"/>
    <m/>
    <d v="2023-07-04T00:00:00"/>
    <n v="1599"/>
    <n v="15907"/>
    <s v="56446682"/>
    <s v="56446682"/>
    <m/>
    <m/>
    <n v="22759764"/>
    <m/>
    <m/>
    <m/>
    <s v="SOLFIN"/>
    <s v="SOLFIN"/>
    <s v="CCMS"/>
    <n v="21327497"/>
    <n v="14016.11"/>
    <m/>
    <s v="N"/>
    <n v="86"/>
    <d v="2023-07-04T19:00:48"/>
    <s v="Y"/>
    <s v="Attendance upon client"/>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67"/>
    <d v="2023-07-04T19:00:48"/>
    <s v="Y"/>
    <s v="Attendance upon client"/>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67"/>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34"/>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69"/>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99"/>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3"/>
    <d v="2023-07-04T19:00:48"/>
    <s v="Y"/>
    <s v="Preparation - drafting application"/>
    <s v="Care Remuneration Hourly Rates"/>
    <s v="Profit Cost"/>
    <s v="NIH"/>
    <s v="Y"/>
    <n v="15.77"/>
    <n v="3.15"/>
    <x v="1"/>
    <s v="VALIDATED"/>
    <n v="1"/>
    <s v="01.11.80.308.6100.0000"/>
    <n v="15.77"/>
    <s v="11"/>
    <s v="6100"/>
    <n v="16331.77"/>
    <n v="15.77"/>
    <s v="CREDITOR"/>
    <n v="0"/>
    <n v="0"/>
    <n v="0"/>
    <n v="0"/>
    <n v="15.77"/>
  </r>
  <r>
    <n v="56674615"/>
    <s v="N"/>
    <n v="21327794"/>
    <s v="3000013483820015"/>
    <s v="CIVIL"/>
    <d v="2023-06-27T00:00:00"/>
    <d v="2023-07-04T19:00:44"/>
    <m/>
    <d v="2023-07-04T00:00:00"/>
    <n v="1599"/>
    <n v="15907"/>
    <s v="56674615"/>
    <s v="56674615"/>
    <m/>
    <m/>
    <n v="22767768"/>
    <m/>
    <m/>
    <m/>
    <s v="SOLFIN"/>
    <s v="SOLFIN"/>
    <s v="CCMS"/>
    <n v="21327794"/>
    <n v="2280.66"/>
    <m/>
    <s v="N"/>
    <n v="1"/>
    <d v="2023-07-04T19:00:54"/>
    <s v="Y"/>
    <s v="Profit Costs (Summary)"/>
    <s v="VHCC"/>
    <s v="Profit Cost"/>
    <s v="SEM"/>
    <s v="Y"/>
    <n v="1900.55"/>
    <n v="380.11"/>
    <x v="1"/>
    <s v="VALIDATED"/>
    <n v="1"/>
    <s v="01.11.80.209.6100.0000"/>
    <n v="1900.55"/>
    <s v="11"/>
    <s v="6100"/>
    <n v="16331.77"/>
    <n v="1900.55"/>
    <s v="CREDITOR"/>
    <n v="0"/>
    <n v="0"/>
    <n v="0"/>
    <n v="0"/>
    <n v="1900.55"/>
  </r>
  <r>
    <n v="56446682"/>
    <s v="N"/>
    <n v="21327497"/>
    <s v="3000013438650015"/>
    <s v="CIVIL"/>
    <d v="2023-06-26T00:00:00"/>
    <d v="2023-07-04T19:00:44"/>
    <m/>
    <d v="2023-07-04T00:00:00"/>
    <n v="1599"/>
    <n v="15907"/>
    <s v="56446682"/>
    <s v="56446682"/>
    <m/>
    <m/>
    <n v="22759764"/>
    <m/>
    <m/>
    <m/>
    <s v="SOLFIN"/>
    <s v="SOLFIN"/>
    <s v="CCMS"/>
    <n v="21327497"/>
    <n v="14016.11"/>
    <m/>
    <s v="N"/>
    <n v="53"/>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63"/>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50"/>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27"/>
    <d v="2023-07-04T19:00:48"/>
    <s v="Y"/>
    <s v="Attendance upon client"/>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91"/>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30"/>
    <d v="2023-07-04T19:00:48"/>
    <s v="Y"/>
    <s v="Preparation - other"/>
    <s v="Care Remuneration Hourly Rates"/>
    <s v="Profit Cost"/>
    <s v="NIH"/>
    <s v="Y"/>
    <n v="134.84"/>
    <n v="26.97"/>
    <x v="1"/>
    <s v="VALIDATED"/>
    <n v="1"/>
    <s v="01.11.80.308.6100.0000"/>
    <n v="134.84"/>
    <s v="11"/>
    <s v="6100"/>
    <n v="16331.77"/>
    <n v="134.84"/>
    <s v="CREDITOR"/>
    <n v="0"/>
    <n v="0"/>
    <n v="0"/>
    <n v="0"/>
    <n v="134.84"/>
  </r>
  <r>
    <n v="56446682"/>
    <s v="N"/>
    <n v="21327497"/>
    <s v="3000013438650015"/>
    <s v="CIVIL"/>
    <d v="2023-06-26T00:00:00"/>
    <d v="2023-07-04T19:00:44"/>
    <m/>
    <d v="2023-07-04T00:00:00"/>
    <n v="1599"/>
    <n v="15907"/>
    <s v="56446682"/>
    <s v="56446682"/>
    <m/>
    <m/>
    <n v="22759764"/>
    <m/>
    <m/>
    <m/>
    <s v="SOLFIN"/>
    <s v="SOLFIN"/>
    <s v="CCMS"/>
    <n v="21327497"/>
    <n v="14016.11"/>
    <m/>
    <s v="N"/>
    <n v="115"/>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78"/>
    <d v="2023-07-04T19:00:48"/>
    <s v="Y"/>
    <s v="Attendance upon client"/>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05"/>
    <d v="2023-07-04T19:00:48"/>
    <s v="Y"/>
    <s v="Preparation - drafting consent orde"/>
    <s v="Care Remuneration Hourly Rates"/>
    <s v="Profit Cost"/>
    <s v="NIH"/>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42"/>
    <d v="2023-07-04T19:00:48"/>
    <s v="Y"/>
    <s v="Preparation - other"/>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0"/>
    <d v="2023-07-04T19:00:48"/>
    <s v="Y"/>
    <s v="Report - other expert's repor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82"/>
    <d v="2023-07-04T19:00:48"/>
    <s v="Y"/>
    <s v="Report - other expert's report"/>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84"/>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48"/>
    <d v="2023-07-04T19:00:48"/>
    <s v="Y"/>
    <s v="Attendance upon client"/>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25"/>
    <d v="2023-07-04T19:00:48"/>
    <s v="Y"/>
    <s v="Routine Letter Out"/>
    <s v="Care Remuneration Hourly Rates"/>
    <s v="Profit Cost"/>
    <s v="ACJ"/>
    <s v="Y"/>
    <n v="1718.62"/>
    <n v="343.59"/>
    <x v="1"/>
    <s v="VALIDATED"/>
    <n v="1"/>
    <s v="01.11.80.308.6100.0000"/>
    <n v="1718.62"/>
    <s v="11"/>
    <s v="6100"/>
    <n v="16331.77"/>
    <n v="1718.62"/>
    <s v="CREDITOR"/>
    <n v="0"/>
    <n v="0"/>
    <n v="0"/>
    <n v="0"/>
    <n v="1718.62"/>
  </r>
  <r>
    <n v="56446682"/>
    <s v="N"/>
    <n v="21327497"/>
    <s v="3000013438650015"/>
    <s v="CIVIL"/>
    <d v="2023-06-26T00:00:00"/>
    <d v="2023-07-04T19:00:44"/>
    <m/>
    <d v="2023-07-04T00:00:00"/>
    <n v="1599"/>
    <n v="15907"/>
    <s v="56446682"/>
    <s v="56446682"/>
    <m/>
    <m/>
    <n v="22759764"/>
    <m/>
    <m/>
    <m/>
    <s v="SOLFIN"/>
    <s v="SOLFIN"/>
    <s v="CCMS"/>
    <n v="21327497"/>
    <n v="14016.11"/>
    <m/>
    <s v="N"/>
    <n v="117"/>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86"/>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97"/>
    <d v="2023-07-04T19:00:48"/>
    <s v="Y"/>
    <s v="Attendance upon client"/>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70"/>
    <d v="2023-07-04T19:00:48"/>
    <s v="Y"/>
    <s v="Preparation - other"/>
    <s v="Care Remuneration Hourly Rates"/>
    <s v="Profit Cost"/>
    <s v="ACJ"/>
    <s v="Y"/>
    <n v="14.19"/>
    <n v="2.84"/>
    <x v="1"/>
    <s v="VALIDATED"/>
    <n v="1"/>
    <s v="01.11.80.308.6100.0000"/>
    <n v="14.19"/>
    <s v="11"/>
    <s v="6100"/>
    <n v="16331.77"/>
    <n v="14.19"/>
    <s v="CREDITOR"/>
    <n v="0"/>
    <n v="0"/>
    <n v="0"/>
    <n v="0"/>
    <n v="14.19"/>
  </r>
  <r>
    <n v="61431726"/>
    <s v="N"/>
    <n v="21318463"/>
    <s v="3000015566920008"/>
    <s v="CIVIL"/>
    <d v="2023-06-23T00:00:00"/>
    <d v="2023-07-03T19:01:49"/>
    <m/>
    <d v="2023-07-03T00:00:00"/>
    <n v="1599"/>
    <n v="15907"/>
    <s v="61431726"/>
    <s v="61431726"/>
    <m/>
    <m/>
    <n v="22749526"/>
    <m/>
    <m/>
    <m/>
    <s v="SOLFIN"/>
    <s v="SOLFIN"/>
    <s v="CCMS"/>
    <n v="21318463"/>
    <n v="7388.71"/>
    <m/>
    <s v="N"/>
    <n v="1"/>
    <d v="2023-07-03T19:01:56"/>
    <s v="Y"/>
    <s v="Profit Costs (Summary)"/>
    <s v="Care Remuneration Hourly Rates"/>
    <s v="Profit Cost"/>
    <s v="NIH"/>
    <s v="Y"/>
    <n v="4242.34"/>
    <n v="848.47"/>
    <x v="3"/>
    <s v="VALIDATED"/>
    <n v="1"/>
    <s v="01.11.80.308.6100.0000"/>
    <n v="4242.34"/>
    <s v="11"/>
    <s v="6100"/>
    <n v="16331.77"/>
    <n v="4242.34"/>
    <s v="CREDITOR"/>
    <n v="0"/>
    <n v="0"/>
    <n v="0"/>
    <n v="0"/>
    <n v="4242.34"/>
  </r>
  <r>
    <n v="56446682"/>
    <s v="N"/>
    <n v="21327497"/>
    <s v="3000013438650015"/>
    <s v="CIVIL"/>
    <d v="2023-06-26T00:00:00"/>
    <d v="2023-07-04T19:00:44"/>
    <m/>
    <d v="2023-07-04T00:00:00"/>
    <n v="1599"/>
    <n v="15907"/>
    <s v="56446682"/>
    <s v="56446682"/>
    <m/>
    <m/>
    <n v="22759764"/>
    <m/>
    <m/>
    <m/>
    <s v="SOLFIN"/>
    <s v="SOLFIN"/>
    <s v="CCMS"/>
    <n v="21327497"/>
    <n v="14016.11"/>
    <m/>
    <s v="N"/>
    <n v="57"/>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230"/>
    <d v="2023-07-04T19:00:48"/>
    <s v="Y"/>
    <s v="Court Fee"/>
    <s v="Care Remuneration Hourly Rates"/>
    <s v="Non Expert Disbursement"/>
    <s v="XXX"/>
    <s v="Y"/>
    <n v="167"/>
    <n v="0"/>
    <x v="1"/>
    <s v="VALIDATED"/>
    <n v="1"/>
    <s v="01.11.80.308.6300.0000"/>
    <n v="167"/>
    <s v="11"/>
    <s v="6300"/>
    <n v="16331.77"/>
    <n v="167"/>
    <s v="CREDITOR"/>
    <n v="0"/>
    <n v="0"/>
    <n v="0"/>
    <n v="0"/>
    <n v="167"/>
  </r>
  <r>
    <n v="56446682"/>
    <s v="N"/>
    <n v="21327497"/>
    <s v="3000013438650015"/>
    <s v="CIVIL"/>
    <d v="2023-06-26T00:00:00"/>
    <d v="2023-07-04T19:00:44"/>
    <m/>
    <d v="2023-07-04T00:00:00"/>
    <n v="1599"/>
    <n v="15907"/>
    <s v="56446682"/>
    <s v="56446682"/>
    <m/>
    <m/>
    <n v="22759764"/>
    <m/>
    <m/>
    <m/>
    <s v="SOLFIN"/>
    <s v="SOLFIN"/>
    <s v="CCMS"/>
    <n v="21327497"/>
    <n v="14016.11"/>
    <m/>
    <s v="N"/>
    <n v="40"/>
    <d v="2023-07-04T19:00:48"/>
    <s v="Y"/>
    <s v="Preparation - other"/>
    <s v="Care Remuneration Hourly Rates"/>
    <s v="Profit Cost"/>
    <s v="ACJ"/>
    <s v="Y"/>
    <n v="12.09"/>
    <n v="2.42"/>
    <x v="1"/>
    <s v="VALIDATED"/>
    <n v="1"/>
    <s v="01.11.80.308.6100.0000"/>
    <n v="12.09"/>
    <s v="11"/>
    <s v="6100"/>
    <n v="16331.77"/>
    <n v="12.09"/>
    <s v="CREDITOR"/>
    <n v="0"/>
    <n v="0"/>
    <n v="0"/>
    <n v="0"/>
    <n v="12.09"/>
  </r>
  <r>
    <n v="56446682"/>
    <s v="N"/>
    <n v="21327497"/>
    <s v="3000013438650015"/>
    <s v="CIVIL"/>
    <d v="2023-06-26T00:00:00"/>
    <d v="2023-07-04T19:00:44"/>
    <m/>
    <d v="2023-07-04T00:00:00"/>
    <n v="1599"/>
    <n v="15907"/>
    <s v="56446682"/>
    <s v="56446682"/>
    <m/>
    <m/>
    <n v="22759764"/>
    <m/>
    <m/>
    <m/>
    <s v="SOLFIN"/>
    <s v="SOLFIN"/>
    <s v="CCMS"/>
    <n v="21327497"/>
    <n v="14016.11"/>
    <m/>
    <s v="N"/>
    <n v="44"/>
    <d v="2023-07-04T19:00:48"/>
    <s v="Y"/>
    <s v="Preparation - other"/>
    <s v="Care Remuneration Hourly Rates"/>
    <s v="Profit Cost"/>
    <s v="NIH"/>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27"/>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76"/>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110"/>
    <d v="2023-07-04T19:00:48"/>
    <s v="Y"/>
    <s v="Preparation - other"/>
    <s v="Care Remuneration Hourly Rates"/>
    <s v="Profit Cost"/>
    <s v="ACJ"/>
    <s v="Y"/>
    <n v="14.19"/>
    <n v="2.84"/>
    <x v="1"/>
    <s v="VALIDATED"/>
    <n v="1"/>
    <s v="01.11.80.308.6100.0000"/>
    <n v="14.19"/>
    <s v="11"/>
    <s v="6100"/>
    <n v="16331.77"/>
    <n v="14.19"/>
    <s v="CREDITOR"/>
    <n v="0"/>
    <n v="0"/>
    <n v="0"/>
    <n v="0"/>
    <n v="14.19"/>
  </r>
  <r>
    <n v="61431726"/>
    <s v="N"/>
    <n v="21318463"/>
    <s v="3000015566920008"/>
    <s v="CIVIL"/>
    <d v="2023-06-23T00:00:00"/>
    <d v="2023-07-03T19:01:49"/>
    <m/>
    <d v="2023-07-03T00:00:00"/>
    <n v="1599"/>
    <n v="15907"/>
    <s v="61431726"/>
    <s v="61431726"/>
    <m/>
    <m/>
    <n v="22749526"/>
    <m/>
    <m/>
    <m/>
    <s v="SOLFIN"/>
    <s v="SOLFIN"/>
    <s v="CCMS"/>
    <n v="21318463"/>
    <n v="7388.71"/>
    <m/>
    <s v="N"/>
    <n v="2"/>
    <d v="2023-07-03T19:01:56"/>
    <s v="Y"/>
    <s v="DNA - test of sample"/>
    <s v="Care Remuneration Hourly Rates"/>
    <s v="Expert Disbursement"/>
    <s v="NIH"/>
    <s v="Y"/>
    <n v="154.67"/>
    <n v="30.93"/>
    <x v="3"/>
    <s v="VALIDATED"/>
    <n v="1"/>
    <s v="01.11.80.308.6300.0000"/>
    <n v="154.67"/>
    <s v="11"/>
    <s v="6300"/>
    <n v="16331.77"/>
    <n v="154.67"/>
    <s v="CREDITOR"/>
    <n v="0"/>
    <n v="0"/>
    <n v="0"/>
    <n v="0"/>
    <n v="154.67"/>
  </r>
  <r>
    <n v="61431726"/>
    <s v="N"/>
    <n v="21318463"/>
    <s v="3000015566920008"/>
    <s v="CIVIL"/>
    <d v="2023-06-23T00:00:00"/>
    <d v="2023-07-03T19:01:49"/>
    <m/>
    <d v="2023-07-03T00:00:00"/>
    <n v="1599"/>
    <n v="15907"/>
    <s v="61431726"/>
    <s v="61431726"/>
    <m/>
    <m/>
    <n v="22749526"/>
    <m/>
    <m/>
    <m/>
    <s v="SOLFIN"/>
    <s v="SOLFIN"/>
    <s v="CCMS"/>
    <n v="21318463"/>
    <n v="7388.71"/>
    <m/>
    <s v="N"/>
    <n v="5"/>
    <d v="2023-07-03T19:01:56"/>
    <s v="Y"/>
    <s v="Psychologist"/>
    <s v="Care Remuneration Hourly Rates"/>
    <s v="Expert Disbursement"/>
    <s v="NIH"/>
    <s v="Y"/>
    <n v="609.55"/>
    <n v="121.91"/>
    <x v="3"/>
    <s v="VALIDATED"/>
    <n v="1"/>
    <s v="01.11.80.308.6300.0000"/>
    <n v="609.55"/>
    <s v="11"/>
    <s v="6300"/>
    <n v="16331.77"/>
    <n v="609.55"/>
    <s v="CREDITOR"/>
    <n v="0"/>
    <n v="0"/>
    <n v="0"/>
    <n v="0"/>
    <n v="609.55"/>
  </r>
  <r>
    <n v="56446682"/>
    <s v="N"/>
    <n v="21327497"/>
    <s v="3000013438650015"/>
    <s v="CIVIL"/>
    <d v="2023-06-26T00:00:00"/>
    <d v="2023-07-04T19:00:44"/>
    <m/>
    <d v="2023-07-04T00:00:00"/>
    <n v="1599"/>
    <n v="15907"/>
    <s v="56446682"/>
    <s v="56446682"/>
    <m/>
    <m/>
    <n v="22759764"/>
    <m/>
    <m/>
    <m/>
    <s v="SOLFIN"/>
    <s v="SOLFIN"/>
    <s v="CCMS"/>
    <n v="21327497"/>
    <n v="14016.11"/>
    <m/>
    <s v="N"/>
    <n v="111"/>
    <d v="2023-07-04T19:00:48"/>
    <s v="Y"/>
    <s v="Attendance upon client"/>
    <s v="Care Remuneration Hourly Rates"/>
    <s v="Profit Cost"/>
    <s v="ACJ"/>
    <s v="Y"/>
    <n v="21.29"/>
    <n v="4.26"/>
    <x v="1"/>
    <s v="VALIDATED"/>
    <n v="1"/>
    <s v="01.11.80.308.6100.0000"/>
    <n v="21.29"/>
    <s v="11"/>
    <s v="6100"/>
    <n v="16331.77"/>
    <n v="21.29"/>
    <s v="CREDITOR"/>
    <n v="0"/>
    <n v="0"/>
    <n v="0"/>
    <n v="0"/>
    <n v="21.29"/>
  </r>
  <r>
    <n v="56446682"/>
    <s v="N"/>
    <n v="21327497"/>
    <s v="3000013438650015"/>
    <s v="CIVIL"/>
    <d v="2023-06-26T00:00:00"/>
    <d v="2023-07-04T19:00:44"/>
    <m/>
    <d v="2023-07-04T00:00:00"/>
    <n v="1599"/>
    <n v="15907"/>
    <s v="56446682"/>
    <s v="56446682"/>
    <m/>
    <m/>
    <n v="22759764"/>
    <m/>
    <m/>
    <m/>
    <s v="SOLFIN"/>
    <s v="SOLFIN"/>
    <s v="CCMS"/>
    <n v="21327497"/>
    <n v="14016.11"/>
    <m/>
    <s v="N"/>
    <n v="49"/>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39"/>
    <d v="2023-07-04T19:00:48"/>
    <s v="Y"/>
    <s v="Preparation - drafting instructions"/>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154"/>
    <d v="2023-07-04T19:00:48"/>
    <s v="Y"/>
    <s v="Preparation - other"/>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83"/>
    <d v="2023-07-04T19:00:48"/>
    <s v="Y"/>
    <s v="Preparation - other"/>
    <s v="Care Remuneration Hourly Rates"/>
    <s v="Profit Cost"/>
    <s v="ACJ"/>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184"/>
    <d v="2023-07-04T19:00:48"/>
    <s v="Y"/>
    <s v="Attendance upon client"/>
    <s v="Care Remuneration Hourly Rates"/>
    <s v="Profit Cost"/>
    <s v="ACJ"/>
    <s v="Y"/>
    <n v="28.39"/>
    <n v="5.68"/>
    <x v="1"/>
    <s v="VALIDATED"/>
    <n v="1"/>
    <s v="01.11.80.308.6100.0000"/>
    <n v="28.39"/>
    <s v="11"/>
    <s v="6100"/>
    <n v="16331.77"/>
    <n v="28.39"/>
    <s v="CREDITOR"/>
    <n v="0"/>
    <n v="0"/>
    <n v="0"/>
    <n v="0"/>
    <n v="28.39"/>
  </r>
  <r>
    <n v="56446682"/>
    <s v="N"/>
    <n v="21327497"/>
    <s v="3000013438650015"/>
    <s v="CIVIL"/>
    <d v="2023-06-26T00:00:00"/>
    <d v="2023-07-04T19:00:44"/>
    <m/>
    <d v="2023-07-04T00:00:00"/>
    <n v="1599"/>
    <n v="15907"/>
    <s v="56446682"/>
    <s v="56446682"/>
    <m/>
    <m/>
    <n v="22759764"/>
    <m/>
    <m/>
    <m/>
    <s v="SOLFIN"/>
    <s v="SOLFIN"/>
    <s v="CCMS"/>
    <n v="21327497"/>
    <n v="14016.11"/>
    <m/>
    <s v="N"/>
    <n v="194"/>
    <d v="2023-07-04T19:00:48"/>
    <s v="Y"/>
    <s v="Preparation - other"/>
    <s v="Care Remuneration Hourly Rates"/>
    <s v="Profit Cost"/>
    <s v="NIH"/>
    <s v="Y"/>
    <n v="7.1"/>
    <n v="1.42"/>
    <x v="1"/>
    <s v="VALIDATED"/>
    <n v="1"/>
    <s v="01.11.80.308.6100.0000"/>
    <n v="7.1"/>
    <s v="11"/>
    <s v="6100"/>
    <n v="16331.77"/>
    <n v="7.1"/>
    <s v="CREDITOR"/>
    <n v="0"/>
    <n v="0"/>
    <n v="0"/>
    <n v="0"/>
    <n v="7.1"/>
  </r>
  <r>
    <n v="56446682"/>
    <s v="N"/>
    <n v="21327497"/>
    <s v="3000013438650015"/>
    <s v="CIVIL"/>
    <d v="2023-06-26T00:00:00"/>
    <d v="2023-07-04T19:00:44"/>
    <m/>
    <d v="2023-07-04T00:00:00"/>
    <n v="1599"/>
    <n v="15907"/>
    <s v="56446682"/>
    <s v="56446682"/>
    <m/>
    <m/>
    <n v="22759764"/>
    <m/>
    <m/>
    <m/>
    <s v="SOLFIN"/>
    <s v="SOLFIN"/>
    <s v="CCMS"/>
    <n v="21327497"/>
    <n v="14016.11"/>
    <m/>
    <s v="N"/>
    <n v="94"/>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81"/>
    <d v="2023-07-04T19:00:48"/>
    <s v="Y"/>
    <s v="Preparation - drafting attendance n"/>
    <s v="Care Remuneration Hourly Rates"/>
    <s v="Profit Cost"/>
    <s v="NIH"/>
    <s v="Y"/>
    <n v="5.26"/>
    <n v="1.05"/>
    <x v="1"/>
    <s v="VALIDATED"/>
    <n v="1"/>
    <s v="01.11.80.308.6100.0000"/>
    <n v="5.26"/>
    <s v="11"/>
    <s v="6100"/>
    <n v="16331.77"/>
    <n v="5.26"/>
    <s v="CREDITOR"/>
    <n v="0"/>
    <n v="0"/>
    <n v="0"/>
    <n v="0"/>
    <n v="5.26"/>
  </r>
  <r>
    <n v="56446682"/>
    <s v="N"/>
    <n v="21327497"/>
    <s v="3000013438650015"/>
    <s v="CIVIL"/>
    <d v="2023-06-26T00:00:00"/>
    <d v="2023-07-04T19:00:44"/>
    <m/>
    <d v="2023-07-04T00:00:00"/>
    <n v="1599"/>
    <n v="15907"/>
    <s v="56446682"/>
    <s v="56446682"/>
    <m/>
    <m/>
    <n v="22759764"/>
    <m/>
    <m/>
    <m/>
    <s v="SOLFIN"/>
    <s v="SOLFIN"/>
    <s v="CCMS"/>
    <n v="21327497"/>
    <n v="14016.11"/>
    <m/>
    <s v="N"/>
    <n v="123"/>
    <d v="2023-07-04T19:00:48"/>
    <s v="Y"/>
    <s v="Attendance upon client"/>
    <s v="Care Remuneration Hourly Rates"/>
    <s v="Profit Cost"/>
    <s v="ACJ"/>
    <s v="Y"/>
    <n v="14.19"/>
    <n v="2.84"/>
    <x v="1"/>
    <s v="VALIDATED"/>
    <n v="1"/>
    <s v="01.11.80.308.6100.0000"/>
    <n v="14.19"/>
    <s v="11"/>
    <s v="6100"/>
    <n v="16331.77"/>
    <n v="14.19"/>
    <s v="CREDITOR"/>
    <n v="0"/>
    <n v="0"/>
    <n v="0"/>
    <n v="0"/>
    <n v="14.19"/>
  </r>
  <r>
    <n v="56446682"/>
    <s v="N"/>
    <n v="21327497"/>
    <s v="3000013438650015"/>
    <s v="CIVIL"/>
    <d v="2023-06-26T00:00:00"/>
    <d v="2023-07-04T19:00:44"/>
    <m/>
    <d v="2023-07-04T00:00:00"/>
    <n v="1599"/>
    <n v="15907"/>
    <s v="56446682"/>
    <s v="56446682"/>
    <m/>
    <m/>
    <n v="22759764"/>
    <m/>
    <m/>
    <m/>
    <s v="SOLFIN"/>
    <s v="SOLFIN"/>
    <s v="CCMS"/>
    <n v="21327497"/>
    <n v="14016.11"/>
    <m/>
    <s v="N"/>
    <n v="103"/>
    <d v="2023-07-04T19:00:48"/>
    <s v="Y"/>
    <s v="Preparation - other"/>
    <s v="Care Remuneration Hourly Rates"/>
    <s v="Profit Cost"/>
    <s v="ACJ"/>
    <s v="Y"/>
    <n v="14.19"/>
    <n v="2.84"/>
    <x v="1"/>
    <s v="VALIDATED"/>
    <n v="1"/>
    <s v="01.11.80.308.6100.0000"/>
    <n v="14.19"/>
    <s v="11"/>
    <s v="6100"/>
    <n v="16331.77"/>
    <n v="14.19"/>
    <s v="CREDITOR"/>
    <n v="0"/>
    <n v="0"/>
    <n v="0"/>
    <n v="0"/>
    <n v="14.19"/>
  </r>
  <r>
    <n v="59810816"/>
    <s v="N"/>
    <n v="21318448"/>
    <s v="3000014183000006"/>
    <s v="CIVIL"/>
    <d v="2023-06-22T00:00:00"/>
    <d v="2023-07-03T19:01:49"/>
    <m/>
    <d v="2023-07-03T00:00:00"/>
    <n v="1600"/>
    <n v="15907"/>
    <s v="59810816"/>
    <s v="59810816"/>
    <m/>
    <m/>
    <n v="22744926"/>
    <m/>
    <m/>
    <m/>
    <s v="SOLFIN"/>
    <s v="SOLFIN"/>
    <s v="CCMS"/>
    <n v="21318448"/>
    <n v="8773.290000000001"/>
    <m/>
    <s v="N"/>
    <n v="39"/>
    <d v="2023-07-03T19:01:56"/>
    <s v="Y"/>
    <s v="Preparation - other"/>
    <s v="Prescribed Hourly Rates"/>
    <s v="Profit Cost"/>
    <s v="MCR"/>
    <s v="Y"/>
    <n v="6.58"/>
    <n v="1.32"/>
    <x v="3"/>
    <s v="VALIDATED"/>
    <n v="1"/>
    <s v="01.11.80.305.6100.0000"/>
    <n v="6.58"/>
    <s v="11"/>
    <s v="6100"/>
    <n v="22185.3"/>
    <n v="6.58"/>
    <s v="CREDITOR"/>
    <n v="0"/>
    <n v="0"/>
    <n v="0"/>
    <n v="0"/>
    <n v="6.58"/>
  </r>
  <r>
    <n v="59904503"/>
    <s v="N"/>
    <n v="21360883"/>
    <s v="3000014261050017"/>
    <s v="CIVIL"/>
    <d v="2023-06-30T00:00:00"/>
    <d v="2023-07-11T19:00:25"/>
    <m/>
    <d v="2023-07-11T00:00:00"/>
    <n v="1600"/>
    <n v="15907"/>
    <s v="59904503"/>
    <s v="59904503"/>
    <m/>
    <m/>
    <n v="22794274"/>
    <m/>
    <m/>
    <m/>
    <s v="SOLFIN"/>
    <s v="SOLFIN"/>
    <s v="CCMS"/>
    <n v="21360883"/>
    <n v="7687.47"/>
    <m/>
    <s v="N"/>
    <n v="2"/>
    <d v="2023-07-11T19:00:38"/>
    <s v="Y"/>
    <s v="Toxicologist"/>
    <s v="Public Law Children"/>
    <s v="Expert Disbursement"/>
    <s v="VCG"/>
    <s v="Y"/>
    <n v="300.44"/>
    <n v="60.09"/>
    <x v="7"/>
    <s v="VALIDATED"/>
    <n v="1"/>
    <s v="01.11.80.308.6300.0000"/>
    <n v="300.44"/>
    <s v="11"/>
    <s v="6300"/>
    <n v="22185.3"/>
    <n v="300.44"/>
    <s v="CREDITOR"/>
    <n v="0"/>
    <n v="0"/>
    <n v="0"/>
    <n v="0"/>
    <n v="300.44"/>
  </r>
  <r>
    <n v="62086732"/>
    <s v="N"/>
    <n v="21321009"/>
    <s v="3000016115520003"/>
    <s v="CIVIL"/>
    <d v="2023-06-28T00:00:00"/>
    <d v="2023-07-03T19:04:52"/>
    <m/>
    <d v="2023-07-03T00:00:00"/>
    <n v="1600"/>
    <n v="15907"/>
    <s v="62086732"/>
    <s v="62086732"/>
    <m/>
    <m/>
    <n v="22783392"/>
    <m/>
    <m/>
    <m/>
    <s v="SOLPOA"/>
    <s v="SOLPOA"/>
    <s v="CCMS"/>
    <n v="21321009"/>
    <n v="1578.6"/>
    <m/>
    <s v="N"/>
    <n v="1"/>
    <d v="2023-07-03T19:04:57"/>
    <s v="N"/>
    <s v="Non Expert Disbursement"/>
    <s v="Non Expert Disbursement"/>
    <s v="Non Expert Disbursement"/>
    <s v="UK LITS"/>
    <s v="N"/>
    <n v="1315.5"/>
    <n v="263.1"/>
    <x v="3"/>
    <s v="VALIDATED"/>
    <n v="1"/>
    <s v="01.11.80.305.2012.0000"/>
    <n v="1315.5"/>
    <s v="11"/>
    <s v="2012"/>
    <n v="22185.3"/>
    <n v="1315.5"/>
    <s v="CREDITOR"/>
    <n v="1315.5"/>
    <n v="0"/>
    <n v="0"/>
    <n v="0"/>
    <n v="0"/>
  </r>
  <r>
    <n v="59810816"/>
    <s v="N"/>
    <n v="21318448"/>
    <s v="3000014183000006"/>
    <s v="CIVIL"/>
    <d v="2023-06-22T00:00:00"/>
    <d v="2023-07-03T19:01:49"/>
    <m/>
    <d v="2023-07-03T00:00:00"/>
    <n v="1600"/>
    <n v="15907"/>
    <s v="59810816"/>
    <s v="59810816"/>
    <m/>
    <m/>
    <n v="22744926"/>
    <m/>
    <m/>
    <m/>
    <s v="SOLFIN"/>
    <s v="SOLFIN"/>
    <s v="CCMS"/>
    <n v="21318448"/>
    <n v="8773.290000000001"/>
    <m/>
    <s v="N"/>
    <n v="31"/>
    <d v="2023-07-03T19:01:56"/>
    <s v="Y"/>
    <s v="Routine Letter Out"/>
    <s v="Prescribed Hourly Rates"/>
    <s v="Profit Cost"/>
    <s v="GHJ"/>
    <s v="Y"/>
    <n v="474.66"/>
    <n v="94.93000000000001"/>
    <x v="3"/>
    <s v="VALIDATED"/>
    <n v="1"/>
    <s v="01.11.80.305.6100.0000"/>
    <n v="474.66"/>
    <s v="11"/>
    <s v="6100"/>
    <n v="22185.3"/>
    <n v="474.66"/>
    <s v="CREDITOR"/>
    <n v="0"/>
    <n v="0"/>
    <n v="0"/>
    <n v="0"/>
    <n v="474.66"/>
  </r>
  <r>
    <n v="10058695"/>
    <s v="N"/>
    <n v="21349876"/>
    <s v="3000005948260050"/>
    <s v="CIVIL"/>
    <d v="2023-06-21T00:00:00"/>
    <d v="2023-07-10T19:01:40"/>
    <m/>
    <d v="2023-07-10T00:00:00"/>
    <n v="1600"/>
    <n v="15907"/>
    <s v="10058695"/>
    <s v="10058695"/>
    <m/>
    <m/>
    <n v="22732596"/>
    <m/>
    <m/>
    <m/>
    <s v="SOLFIN"/>
    <s v="SOLFIN"/>
    <s v="CCMS"/>
    <n v="21349876"/>
    <n v="32101.97"/>
    <m/>
    <s v="N"/>
    <n v="18"/>
    <d v="2023-07-10T19:02:01"/>
    <s v="Y"/>
    <s v="Interpreter"/>
    <s v="Public Law Children"/>
    <s v="Expert Disbursement"/>
    <s v="JPR"/>
    <s v="Y"/>
    <n v="304.9"/>
    <n v="60.98"/>
    <x v="2"/>
    <s v="VALIDATED"/>
    <n v="1"/>
    <s v="01.11.80.308.6300.0000"/>
    <n v="304.9"/>
    <s v="11"/>
    <s v="6300"/>
    <n v="22185.3"/>
    <n v="304.9"/>
    <s v="CREDITOR"/>
    <n v="0"/>
    <n v="0"/>
    <n v="0"/>
    <n v="0"/>
    <n v="304.9"/>
  </r>
  <r>
    <n v="61612636"/>
    <s v="N"/>
    <n v="21327983"/>
    <s v="3000015719440004"/>
    <s v="CIVIL"/>
    <d v="2023-06-23T00:00:00"/>
    <d v="2023-07-04T19:00:44"/>
    <m/>
    <d v="2023-07-04T00:00:00"/>
    <n v="1600"/>
    <n v="15907"/>
    <s v="61612636"/>
    <s v="61612636"/>
    <m/>
    <m/>
    <n v="22755254"/>
    <m/>
    <m/>
    <m/>
    <s v="SOLFIN"/>
    <s v="SOLFIN"/>
    <s v="CCMS"/>
    <n v="21327983"/>
    <n v="4452.29"/>
    <m/>
    <s v="N"/>
    <n v="4"/>
    <d v="2023-07-04T19:01:00"/>
    <s v="Y"/>
    <s v="Advocates Meeting"/>
    <s v="Public Law Children"/>
    <s v="Advocacy"/>
    <s v="JPR"/>
    <s v="Y"/>
    <n v="140.99"/>
    <n v="28.2"/>
    <x v="1"/>
    <s v="VALIDATED"/>
    <n v="1"/>
    <s v="01.11.80.308.6100.0000"/>
    <n v="140.99"/>
    <s v="11"/>
    <s v="6100"/>
    <n v="22185.3"/>
    <n v="140.99"/>
    <s v="CREDITOR"/>
    <n v="0"/>
    <n v="0"/>
    <n v="0"/>
    <n v="0"/>
    <n v="140.99"/>
  </r>
  <r>
    <n v="61769070"/>
    <s v="N"/>
    <n v="21331203"/>
    <s v="3000015846750001"/>
    <s v="CIVIL"/>
    <d v="2023-06-26T00:00:00"/>
    <d v="2023-07-05T19:01:47"/>
    <m/>
    <d v="2023-07-05T00:00:00"/>
    <n v="1600"/>
    <n v="15907"/>
    <s v="61769070"/>
    <s v="61769070"/>
    <m/>
    <m/>
    <n v="22762040"/>
    <m/>
    <m/>
    <m/>
    <s v="SOLFIN"/>
    <s v="SOLFIN"/>
    <s v="CCMS"/>
    <n v="21331203"/>
    <n v="1397.31"/>
    <m/>
    <s v="N"/>
    <n v="14"/>
    <d v="2023-07-05T19:02:10"/>
    <s v="Y"/>
    <s v="Preparation - other"/>
    <s v="Care Remuneration Hourly Rates"/>
    <s v="Profit Cost"/>
    <s v="MCR"/>
    <s v="Y"/>
    <n v="11.68"/>
    <n v="2.34"/>
    <x v="6"/>
    <s v="VALIDATED"/>
    <n v="1"/>
    <s v="01.11.80.305.6100.0000"/>
    <n v="11.68"/>
    <s v="11"/>
    <s v="6100"/>
    <n v="22185.3"/>
    <n v="11.68"/>
    <s v="CREDITOR"/>
    <n v="0"/>
    <n v="0"/>
    <n v="0"/>
    <n v="0"/>
    <n v="11.68"/>
  </r>
  <r>
    <n v="62321012"/>
    <s v="N"/>
    <n v="21327711"/>
    <s v="3000016309330001"/>
    <s v="CIVIL"/>
    <d v="2023-06-26T00:00:00"/>
    <d v="2023-07-04T19:00:44"/>
    <m/>
    <d v="2023-07-04T00:00:00"/>
    <n v="1600"/>
    <n v="15907"/>
    <s v="62321012"/>
    <s v="62321012"/>
    <m/>
    <m/>
    <n v="22760362"/>
    <m/>
    <m/>
    <m/>
    <s v="SOLFIN"/>
    <s v="SOLFIN"/>
    <s v="CCMS"/>
    <n v="21327711"/>
    <n v="2700"/>
    <m/>
    <s v="N"/>
    <n v="9"/>
    <d v="2023-07-04T19:00:52"/>
    <s v="Y"/>
    <s v="Final Hearing Court Bundle/Advocate"/>
    <s v="Other Public Law Children"/>
    <s v="Advocacy"/>
    <s v="JPR"/>
    <s v="Y"/>
    <n v="159.3"/>
    <n v="31.86"/>
    <x v="1"/>
    <s v="VALIDATED"/>
    <n v="1"/>
    <s v="01.11.80.305.6100.0000"/>
    <n v="159.3"/>
    <s v="11"/>
    <s v="6100"/>
    <n v="22185.3"/>
    <n v="159.3"/>
    <s v="CREDITOR"/>
    <n v="0"/>
    <n v="0"/>
    <n v="0"/>
    <n v="0"/>
    <n v="159.3"/>
  </r>
  <r>
    <n v="61068646"/>
    <s v="N"/>
    <n v="21319674"/>
    <s v="3000015265570008"/>
    <s v="CIVIL"/>
    <d v="2023-06-28T00:00:00"/>
    <d v="2023-07-03T19:04:24"/>
    <m/>
    <d v="2023-07-03T00:00:00"/>
    <n v="1600"/>
    <n v="15907"/>
    <s v="61068646"/>
    <s v="61068646"/>
    <m/>
    <m/>
    <n v="22777552"/>
    <m/>
    <m/>
    <m/>
    <s v="SOLPOA"/>
    <s v="SOLPOA"/>
    <s v="CCMS"/>
    <n v="21319674"/>
    <n v="2655.52"/>
    <m/>
    <s v="N"/>
    <n v="1"/>
    <d v="2023-07-03T19:04:27"/>
    <s v="N"/>
    <s v="Solicitors Fixed Fee"/>
    <s v="Public Law Children"/>
    <s v="Profit Cost"/>
    <s v="TJG"/>
    <s v="N"/>
    <n v="2212.93"/>
    <n v="442.59"/>
    <x v="3"/>
    <s v="VALIDATED"/>
    <n v="1"/>
    <s v="01.11.80.308.2012.0000"/>
    <n v="2212.93"/>
    <s v="11"/>
    <s v="2012"/>
    <n v="22185.3"/>
    <n v="2212.93"/>
    <s v="CREDITOR"/>
    <n v="2212.93"/>
    <n v="553.2325"/>
    <n v="0"/>
    <n v="0"/>
    <n v="0"/>
  </r>
  <r>
    <n v="59810816"/>
    <s v="N"/>
    <n v="21318448"/>
    <s v="3000014183000006"/>
    <s v="CIVIL"/>
    <d v="2023-06-22T00:00:00"/>
    <d v="2023-07-03T19:01:49"/>
    <m/>
    <d v="2023-07-03T00:00:00"/>
    <n v="1600"/>
    <n v="15907"/>
    <s v="59810816"/>
    <s v="59810816"/>
    <m/>
    <m/>
    <n v="22744926"/>
    <m/>
    <m/>
    <m/>
    <s v="SOLFIN"/>
    <s v="SOLFIN"/>
    <s v="CCMS"/>
    <n v="21318448"/>
    <n v="8773.290000000001"/>
    <m/>
    <s v="N"/>
    <n v="58"/>
    <d v="2023-07-03T19:01:56"/>
    <s v="Y"/>
    <s v="Preparation - other"/>
    <s v="Prescribed Hourly Rates"/>
    <s v="Profit Cost"/>
    <s v="MCR"/>
    <s v="Y"/>
    <n v="6.58"/>
    <n v="1.32"/>
    <x v="3"/>
    <s v="VALIDATED"/>
    <n v="1"/>
    <s v="01.11.80.305.6100.0000"/>
    <n v="6.58"/>
    <s v="11"/>
    <s v="6100"/>
    <n v="22185.3"/>
    <n v="6.58"/>
    <s v="CREDITOR"/>
    <n v="0"/>
    <n v="0"/>
    <n v="0"/>
    <n v="0"/>
    <n v="6.58"/>
  </r>
  <r>
    <n v="59810816"/>
    <s v="N"/>
    <n v="21318448"/>
    <s v="3000014183000006"/>
    <s v="CIVIL"/>
    <d v="2023-06-22T00:00:00"/>
    <d v="2023-07-03T19:01:49"/>
    <m/>
    <d v="2023-07-03T00:00:00"/>
    <n v="1600"/>
    <n v="15907"/>
    <s v="59810816"/>
    <s v="59810816"/>
    <m/>
    <m/>
    <n v="22744926"/>
    <m/>
    <m/>
    <m/>
    <s v="SOLFIN"/>
    <s v="SOLFIN"/>
    <s v="CCMS"/>
    <n v="21318448"/>
    <n v="8773.290000000001"/>
    <m/>
    <s v="N"/>
    <n v="33"/>
    <d v="2023-07-03T19:01:56"/>
    <s v="Y"/>
    <s v="Routine Letter In"/>
    <s v="Prescribed Hourly Rates"/>
    <s v="Profit Cost"/>
    <s v="MCR"/>
    <s v="Y"/>
    <n v="809.55"/>
    <n v="161.91"/>
    <x v="3"/>
    <s v="VALIDATED"/>
    <n v="1"/>
    <s v="01.11.80.305.6100.0000"/>
    <n v="809.55"/>
    <s v="11"/>
    <s v="6100"/>
    <n v="22185.3"/>
    <n v="809.55"/>
    <s v="CREDITOR"/>
    <n v="0"/>
    <n v="0"/>
    <n v="0"/>
    <n v="0"/>
    <n v="809.55"/>
  </r>
  <r>
    <n v="59904503"/>
    <s v="N"/>
    <n v="21360883"/>
    <s v="3000014261050017"/>
    <s v="CIVIL"/>
    <d v="2023-06-30T00:00:00"/>
    <d v="2023-07-11T19:00:25"/>
    <m/>
    <d v="2023-07-11T00:00:00"/>
    <n v="1600"/>
    <n v="15907"/>
    <s v="59904503"/>
    <s v="59904503"/>
    <m/>
    <m/>
    <n v="22794274"/>
    <m/>
    <m/>
    <m/>
    <s v="SOLFIN"/>
    <s v="SOLFIN"/>
    <s v="CCMS"/>
    <n v="21360883"/>
    <n v="7687.47"/>
    <m/>
    <s v="N"/>
    <n v="4"/>
    <d v="2023-07-11T19:00:38"/>
    <s v="Y"/>
    <s v="Toxicologist"/>
    <s v="Public Law Children"/>
    <s v="Expert Disbursement"/>
    <s v="VCG"/>
    <s v="Y"/>
    <n v="185.18"/>
    <n v="37.04"/>
    <x v="7"/>
    <s v="VALIDATED"/>
    <n v="1"/>
    <s v="01.11.80.308.6300.0000"/>
    <n v="185.18"/>
    <s v="11"/>
    <s v="6300"/>
    <n v="22185.3"/>
    <n v="185.18"/>
    <s v="CREDITOR"/>
    <n v="0"/>
    <n v="0"/>
    <n v="0"/>
    <n v="0"/>
    <n v="185.18"/>
  </r>
  <r>
    <n v="10058695"/>
    <s v="N"/>
    <n v="21349876"/>
    <s v="3000005948260050"/>
    <s v="CIVIL"/>
    <d v="2023-06-21T00:00:00"/>
    <d v="2023-07-10T19:01:40"/>
    <m/>
    <d v="2023-07-10T00:00:00"/>
    <n v="1600"/>
    <n v="15907"/>
    <s v="10058695"/>
    <s v="10058695"/>
    <m/>
    <m/>
    <n v="22732596"/>
    <m/>
    <m/>
    <m/>
    <s v="SOLFIN"/>
    <s v="SOLFIN"/>
    <s v="CCMS"/>
    <n v="21349876"/>
    <n v="32101.97"/>
    <m/>
    <s v="N"/>
    <n v="23"/>
    <d v="2023-07-10T19:02:01"/>
    <s v="Y"/>
    <s v="Interpreter"/>
    <s v="Public Law Children"/>
    <s v="Expert Disbursement"/>
    <s v="JPR"/>
    <s v="Y"/>
    <n v="382.99"/>
    <n v="76.59999999999999"/>
    <x v="2"/>
    <s v="VALIDATED"/>
    <n v="1"/>
    <s v="01.11.80.308.6300.0000"/>
    <n v="382.99"/>
    <s v="11"/>
    <s v="6300"/>
    <n v="22185.3"/>
    <n v="382.99"/>
    <s v="CREDITOR"/>
    <n v="0"/>
    <n v="0"/>
    <n v="0"/>
    <n v="0"/>
    <n v="382.99"/>
  </r>
  <r>
    <n v="61769070"/>
    <s v="N"/>
    <n v="21331203"/>
    <s v="3000015846750001"/>
    <s v="CIVIL"/>
    <d v="2023-06-26T00:00:00"/>
    <d v="2023-07-05T19:01:47"/>
    <m/>
    <d v="2023-07-05T00:00:00"/>
    <n v="1600"/>
    <n v="15907"/>
    <s v="61769070"/>
    <s v="61769070"/>
    <m/>
    <m/>
    <n v="22762040"/>
    <m/>
    <m/>
    <m/>
    <s v="SOLFIN"/>
    <s v="SOLFIN"/>
    <s v="CCMS"/>
    <n v="21331203"/>
    <n v="1397.31"/>
    <m/>
    <s v="N"/>
    <n v="5"/>
    <d v="2023-07-05T19:02:10"/>
    <s v="Y"/>
    <s v="Preparation - other"/>
    <s v="Care Remuneration Hourly Rates"/>
    <s v="Profit Cost"/>
    <s v="GHJ"/>
    <s v="Y"/>
    <n v="80.31"/>
    <n v="16.06"/>
    <x v="6"/>
    <s v="VALIDATED"/>
    <n v="1"/>
    <s v="01.11.80.305.6100.0000"/>
    <n v="80.31"/>
    <s v="11"/>
    <s v="6100"/>
    <n v="22185.3"/>
    <n v="80.31"/>
    <s v="CREDITOR"/>
    <n v="0"/>
    <n v="0"/>
    <n v="0"/>
    <n v="0"/>
    <n v="80.31"/>
  </r>
  <r>
    <n v="61612666"/>
    <s v="N"/>
    <n v="21327975"/>
    <s v="3000015719470001"/>
    <s v="CIVIL"/>
    <d v="2023-06-23T00:00:00"/>
    <d v="2023-07-04T19:00:44"/>
    <m/>
    <d v="2023-07-04T00:00:00"/>
    <n v="1600"/>
    <n v="15907"/>
    <s v="61612666"/>
    <s v="61612666"/>
    <m/>
    <m/>
    <n v="22755164"/>
    <m/>
    <m/>
    <m/>
    <s v="SOLFIN"/>
    <s v="SOLFIN"/>
    <s v="CCMS"/>
    <n v="21327975"/>
    <n v="0"/>
    <m/>
    <s v="N"/>
    <n v="1"/>
    <d v="2023-07-04T19:01:00"/>
    <s v="N"/>
    <s v="NIL BILL"/>
    <s v="Public Law Children"/>
    <s v="Profit Cost"/>
    <s v="JPR"/>
    <s v="N"/>
    <n v="0"/>
    <n v="0"/>
    <x v="1"/>
    <s v="VALIDATED"/>
    <n v="1"/>
    <s v="01.11.80.308.6100.0000"/>
    <n v="0"/>
    <s v="11"/>
    <s v="6100"/>
    <n v="22185.3"/>
    <n v="0"/>
    <s v="CREDITOR"/>
    <n v="0"/>
    <n v="0"/>
    <n v="0"/>
    <n v="0"/>
    <n v="0"/>
  </r>
  <r>
    <n v="61157903"/>
    <s v="N"/>
    <n v="21328104"/>
    <s v="3000015340490004"/>
    <s v="CIVIL"/>
    <d v="2023-06-26T00:00:00"/>
    <d v="2023-07-04T19:00:44"/>
    <m/>
    <d v="2023-07-04T00:00:00"/>
    <n v="1600"/>
    <n v="15907"/>
    <s v="61157903"/>
    <s v="61157903"/>
    <m/>
    <m/>
    <n v="22765064"/>
    <m/>
    <m/>
    <m/>
    <s v="SOLFIN"/>
    <s v="SOLFIN"/>
    <s v="CCMS"/>
    <n v="21328104"/>
    <n v="4091.61"/>
    <m/>
    <s v="N"/>
    <n v="1"/>
    <d v="2023-07-04T19:01:04"/>
    <s v="Y"/>
    <s v="Final Hearing Court Bundle/Advocate"/>
    <s v="Public Law Children"/>
    <s v="Advocacy"/>
    <s v="CLP"/>
    <s v="Y"/>
    <n v="159.3"/>
    <n v="31.86"/>
    <x v="1"/>
    <s v="VALIDATED"/>
    <n v="1"/>
    <s v="01.11.80.308.6100.0000"/>
    <n v="159.3"/>
    <s v="11"/>
    <s v="6100"/>
    <n v="22185.3"/>
    <n v="159.3"/>
    <s v="CREDITOR"/>
    <n v="0"/>
    <n v="0"/>
    <n v="0"/>
    <n v="0"/>
    <n v="159.3"/>
  </r>
  <r>
    <n v="61157903"/>
    <s v="N"/>
    <n v="21328104"/>
    <s v="3000015340490004"/>
    <s v="CIVIL"/>
    <d v="2023-06-26T00:00:00"/>
    <d v="2023-07-04T19:00:44"/>
    <m/>
    <d v="2023-07-04T00:00:00"/>
    <n v="1600"/>
    <n v="15907"/>
    <s v="61157903"/>
    <s v="61157903"/>
    <m/>
    <m/>
    <n v="22765064"/>
    <m/>
    <m/>
    <m/>
    <s v="SOLFIN"/>
    <s v="SOLFIN"/>
    <s v="CCMS"/>
    <n v="21328104"/>
    <n v="4091.61"/>
    <m/>
    <s v="N"/>
    <n v="3"/>
    <d v="2023-07-04T19:01:04"/>
    <s v="Y"/>
    <s v="Toxicologist"/>
    <s v="Public Law Children"/>
    <s v="Expert Disbursement"/>
    <s v="CLP"/>
    <s v="Y"/>
    <n v="253.75"/>
    <n v="50.75"/>
    <x v="1"/>
    <s v="VALIDATED"/>
    <n v="1"/>
    <s v="01.11.80.308.6300.0000"/>
    <n v="253.75"/>
    <s v="11"/>
    <s v="6300"/>
    <n v="22185.3"/>
    <n v="253.75"/>
    <s v="CREDITOR"/>
    <n v="0"/>
    <n v="0"/>
    <n v="0"/>
    <n v="0"/>
    <n v="253.75"/>
  </r>
  <r>
    <n v="61500105"/>
    <s v="N"/>
    <n v="21321605"/>
    <s v="3000015623700012"/>
    <s v="CIVIL"/>
    <d v="2023-06-29T00:00:00"/>
    <d v="2023-07-03T19:05:17"/>
    <m/>
    <d v="2023-07-03T00:00:00"/>
    <n v="1600"/>
    <n v="15907"/>
    <s v="61500105"/>
    <s v="61500105"/>
    <m/>
    <m/>
    <n v="22785248"/>
    <m/>
    <m/>
    <m/>
    <s v="SOLPOA"/>
    <s v="SOLPOA"/>
    <s v="CCMS"/>
    <n v="21321605"/>
    <n v="167"/>
    <m/>
    <s v="N"/>
    <n v="1"/>
    <d v="2023-07-03T19:05:19"/>
    <s v="N"/>
    <s v="Non Expert Disbursement"/>
    <s v="Non Expert Disbursement"/>
    <s v="Non Expert Disbursement"/>
    <s v="CLP"/>
    <s v="N"/>
    <n v="167"/>
    <n v="0"/>
    <x v="3"/>
    <s v="VALIDATED"/>
    <n v="1"/>
    <s v="01.11.80.308.2012.0000"/>
    <n v="167"/>
    <s v="11"/>
    <s v="2012"/>
    <n v="22185.3"/>
    <n v="167"/>
    <s v="CREDITOR"/>
    <n v="167"/>
    <n v="0"/>
    <n v="0"/>
    <n v="0"/>
    <n v="0"/>
  </r>
  <r>
    <n v="59810816"/>
    <s v="N"/>
    <n v="21318448"/>
    <s v="3000014183000006"/>
    <s v="CIVIL"/>
    <d v="2023-06-22T00:00:00"/>
    <d v="2023-07-03T19:01:49"/>
    <m/>
    <d v="2023-07-03T00:00:00"/>
    <n v="1600"/>
    <n v="15907"/>
    <s v="59810816"/>
    <s v="59810816"/>
    <m/>
    <m/>
    <n v="22744926"/>
    <m/>
    <m/>
    <m/>
    <s v="SOLFIN"/>
    <s v="SOLFIN"/>
    <s v="CCMS"/>
    <n v="21318448"/>
    <n v="8773.290000000001"/>
    <m/>
    <s v="N"/>
    <n v="60"/>
    <d v="2023-07-03T19:01:56"/>
    <s v="Y"/>
    <s v="Preparation - other"/>
    <s v="Prescribed Hourly Rates"/>
    <s v="Profit Cost"/>
    <s v="MCR"/>
    <s v="Y"/>
    <n v="6.58"/>
    <n v="1.32"/>
    <x v="3"/>
    <s v="VALIDATED"/>
    <n v="1"/>
    <s v="01.11.80.305.6100.0000"/>
    <n v="6.58"/>
    <s v="11"/>
    <s v="6100"/>
    <n v="22185.3"/>
    <n v="6.58"/>
    <s v="CREDITOR"/>
    <n v="0"/>
    <n v="0"/>
    <n v="0"/>
    <n v="0"/>
    <n v="6.58"/>
  </r>
  <r>
    <n v="59810816"/>
    <s v="N"/>
    <n v="21318448"/>
    <s v="3000014183000006"/>
    <s v="CIVIL"/>
    <d v="2023-06-22T00:00:00"/>
    <d v="2023-07-03T19:01:49"/>
    <m/>
    <d v="2023-07-03T00:00:00"/>
    <n v="1600"/>
    <n v="15907"/>
    <s v="59810816"/>
    <s v="59810816"/>
    <m/>
    <m/>
    <n v="22744926"/>
    <m/>
    <m/>
    <m/>
    <s v="SOLFIN"/>
    <s v="SOLFIN"/>
    <s v="CCMS"/>
    <n v="21318448"/>
    <n v="8773.290000000001"/>
    <m/>
    <s v="N"/>
    <n v="1"/>
    <d v="2023-07-03T19:01:56"/>
    <s v="Y"/>
    <s v="Preparation - other"/>
    <s v="Prescribed Hourly Rates"/>
    <s v="Profit Cost"/>
    <s v="GHJ"/>
    <s v="Y"/>
    <n v="13.16"/>
    <n v="2.63"/>
    <x v="3"/>
    <s v="VALIDATED"/>
    <n v="1"/>
    <s v="01.11.80.305.6100.0000"/>
    <n v="13.16"/>
    <s v="11"/>
    <s v="6100"/>
    <n v="22185.3"/>
    <n v="13.16"/>
    <s v="CREDITOR"/>
    <n v="0"/>
    <n v="0"/>
    <n v="0"/>
    <n v="0"/>
    <n v="13.16"/>
  </r>
  <r>
    <n v="61769070"/>
    <s v="N"/>
    <n v="21331203"/>
    <s v="3000015846750001"/>
    <s v="CIVIL"/>
    <d v="2023-06-26T00:00:00"/>
    <d v="2023-07-05T19:01:47"/>
    <m/>
    <d v="2023-07-05T00:00:00"/>
    <n v="1600"/>
    <n v="15907"/>
    <s v="61769070"/>
    <s v="61769070"/>
    <m/>
    <m/>
    <n v="22762040"/>
    <m/>
    <m/>
    <m/>
    <s v="SOLFIN"/>
    <s v="SOLFIN"/>
    <s v="CCMS"/>
    <n v="21331203"/>
    <n v="1397.31"/>
    <m/>
    <s v="N"/>
    <n v="17"/>
    <d v="2023-07-05T19:02:10"/>
    <s v="Y"/>
    <s v="Preparation - drafting bill/claim f"/>
    <s v="Care Remuneration Hourly Rates"/>
    <s v="Profit Cost"/>
    <s v="CAH"/>
    <s v="Y"/>
    <n v="58.41"/>
    <n v="11.68"/>
    <x v="6"/>
    <s v="VALIDATED"/>
    <n v="1"/>
    <s v="01.11.80.305.6100.0000"/>
    <n v="58.41"/>
    <s v="11"/>
    <s v="6100"/>
    <n v="22185.3"/>
    <n v="58.41"/>
    <s v="CREDITOR"/>
    <n v="0"/>
    <n v="0"/>
    <n v="0"/>
    <n v="0"/>
    <n v="58.41"/>
  </r>
  <r>
    <n v="61769070"/>
    <s v="N"/>
    <n v="21331203"/>
    <s v="3000015846750001"/>
    <s v="CIVIL"/>
    <d v="2023-06-26T00:00:00"/>
    <d v="2023-07-05T19:01:47"/>
    <m/>
    <d v="2023-07-05T00:00:00"/>
    <n v="1600"/>
    <n v="15907"/>
    <s v="61769070"/>
    <s v="61769070"/>
    <m/>
    <m/>
    <n v="22762040"/>
    <m/>
    <m/>
    <m/>
    <s v="SOLFIN"/>
    <s v="SOLFIN"/>
    <s v="CCMS"/>
    <n v="21331203"/>
    <n v="1397.31"/>
    <m/>
    <s v="N"/>
    <n v="16"/>
    <d v="2023-07-05T19:02:10"/>
    <s v="Y"/>
    <s v="Routine Letter Out"/>
    <s v="Care Remuneration Hourly Rates"/>
    <s v="Profit Cost"/>
    <s v="MCR"/>
    <s v="Y"/>
    <n v="51.66"/>
    <n v="10.33"/>
    <x v="6"/>
    <s v="VALIDATED"/>
    <n v="1"/>
    <s v="01.11.80.305.6100.0000"/>
    <n v="51.66"/>
    <s v="11"/>
    <s v="6100"/>
    <n v="22185.3"/>
    <n v="51.66"/>
    <s v="CREDITOR"/>
    <n v="0"/>
    <n v="0"/>
    <n v="0"/>
    <n v="0"/>
    <n v="51.66"/>
  </r>
  <r>
    <n v="59810816"/>
    <s v="N"/>
    <n v="21318448"/>
    <s v="3000014183000006"/>
    <s v="CIVIL"/>
    <d v="2023-06-22T00:00:00"/>
    <d v="2023-07-03T19:01:49"/>
    <m/>
    <d v="2023-07-03T00:00:00"/>
    <n v="1600"/>
    <n v="15907"/>
    <s v="59810816"/>
    <s v="59810816"/>
    <m/>
    <m/>
    <n v="22744926"/>
    <m/>
    <m/>
    <m/>
    <s v="SOLFIN"/>
    <s v="SOLFIN"/>
    <s v="CCMS"/>
    <n v="21318448"/>
    <n v="8773.290000000001"/>
    <m/>
    <s v="N"/>
    <n v="30"/>
    <d v="2023-07-03T19:01:56"/>
    <s v="Y"/>
    <s v="Preparation - other"/>
    <s v="Prescribed Hourly Rates"/>
    <s v="Profit Cost"/>
    <s v="GHJ"/>
    <s v="Y"/>
    <n v="65.76000000000001"/>
    <n v="13.15"/>
    <x v="3"/>
    <s v="VALIDATED"/>
    <n v="1"/>
    <s v="01.11.80.305.6100.0000"/>
    <n v="65.76000000000001"/>
    <s v="11"/>
    <s v="6100"/>
    <n v="22185.3"/>
    <n v="65.76000000000001"/>
    <s v="CREDITOR"/>
    <n v="0"/>
    <n v="0"/>
    <n v="0"/>
    <n v="0"/>
    <n v="65.76000000000001"/>
  </r>
  <r>
    <n v="59810816"/>
    <s v="N"/>
    <n v="21318448"/>
    <s v="3000014183000006"/>
    <s v="CIVIL"/>
    <d v="2023-06-22T00:00:00"/>
    <d v="2023-07-03T19:01:49"/>
    <m/>
    <d v="2023-07-03T00:00:00"/>
    <n v="1600"/>
    <n v="15907"/>
    <s v="59810816"/>
    <s v="59810816"/>
    <m/>
    <m/>
    <n v="22744926"/>
    <m/>
    <m/>
    <m/>
    <s v="SOLFIN"/>
    <s v="SOLFIN"/>
    <s v="CCMS"/>
    <n v="21318448"/>
    <n v="8773.290000000001"/>
    <m/>
    <s v="N"/>
    <n v="49"/>
    <d v="2023-07-03T19:01:56"/>
    <s v="Y"/>
    <s v="Attendance upon other side"/>
    <s v="Prescribed Hourly Rates"/>
    <s v="Profit Cost"/>
    <s v="GHJ"/>
    <s v="Y"/>
    <n v="26.3"/>
    <n v="5.26"/>
    <x v="3"/>
    <s v="VALIDATED"/>
    <n v="1"/>
    <s v="01.11.80.305.6100.0000"/>
    <n v="26.3"/>
    <s v="11"/>
    <s v="6100"/>
    <n v="22185.3"/>
    <n v="26.3"/>
    <s v="CREDITOR"/>
    <n v="0"/>
    <n v="0"/>
    <n v="0"/>
    <n v="0"/>
    <n v="26.3"/>
  </r>
  <r>
    <n v="62062679"/>
    <s v="N"/>
    <n v="21320585"/>
    <s v="3000016096210005"/>
    <s v="CIVIL"/>
    <d v="2023-06-28T00:00:00"/>
    <d v="2023-07-03T19:04:52"/>
    <m/>
    <d v="2023-07-03T00:00:00"/>
    <n v="1600"/>
    <n v="15907"/>
    <s v="62062679"/>
    <s v="62062679"/>
    <m/>
    <m/>
    <n v="22782214"/>
    <m/>
    <m/>
    <m/>
    <s v="SOLPOA"/>
    <s v="SOLPOA"/>
    <s v="CCMS"/>
    <n v="21320585"/>
    <n v="618.3"/>
    <m/>
    <s v="N"/>
    <n v="1"/>
    <d v="2023-07-03T19:04:55"/>
    <s v="N"/>
    <s v="Expert Cost"/>
    <s v="Expert Cost"/>
    <s v="Expert Disbursement"/>
    <s v="JPR"/>
    <s v="N"/>
    <n v="515.25"/>
    <n v="103.05"/>
    <x v="3"/>
    <s v="VALIDATED"/>
    <n v="1"/>
    <s v="01.11.80.308.2012.0000"/>
    <n v="515.25"/>
    <s v="11"/>
    <s v="2012"/>
    <n v="22185.3"/>
    <n v="515.25"/>
    <s v="CREDITOR"/>
    <n v="515.25"/>
    <n v="0"/>
    <n v="0"/>
    <n v="0"/>
    <n v="0"/>
  </r>
  <r>
    <n v="10058695"/>
    <s v="N"/>
    <n v="21349876"/>
    <s v="3000005948260050"/>
    <s v="CIVIL"/>
    <d v="2023-06-21T00:00:00"/>
    <d v="2023-07-10T19:01:40"/>
    <m/>
    <d v="2023-07-10T00:00:00"/>
    <n v="1600"/>
    <n v="15907"/>
    <s v="10058695"/>
    <s v="10058695"/>
    <m/>
    <m/>
    <n v="22732596"/>
    <m/>
    <m/>
    <m/>
    <s v="SOLFIN"/>
    <s v="SOLFIN"/>
    <s v="CCMS"/>
    <n v="21349876"/>
    <n v="32101.97"/>
    <m/>
    <s v="N"/>
    <n v="9"/>
    <d v="2023-07-10T19:02:01"/>
    <s v="Y"/>
    <s v="Psychologist"/>
    <s v="Public Law Children"/>
    <s v="Expert Disbursement"/>
    <s v="JPR"/>
    <s v="Y"/>
    <n v="2994.02"/>
    <n v="598.8099999999999"/>
    <x v="2"/>
    <s v="VALIDATED"/>
    <n v="1"/>
    <s v="01.11.80.308.6300.0000"/>
    <n v="2994.02"/>
    <s v="11"/>
    <s v="6300"/>
    <n v="22185.3"/>
    <n v="2994.02"/>
    <s v="CREDITOR"/>
    <n v="0"/>
    <n v="0"/>
    <n v="0"/>
    <n v="0"/>
    <n v="2994.02"/>
  </r>
  <r>
    <n v="10058695"/>
    <s v="N"/>
    <n v="21349876"/>
    <s v="3000005948260050"/>
    <s v="CIVIL"/>
    <d v="2023-06-21T00:00:00"/>
    <d v="2023-07-10T19:01:40"/>
    <m/>
    <d v="2023-07-10T00:00:00"/>
    <n v="1600"/>
    <n v="15907"/>
    <s v="10058695"/>
    <s v="10058695"/>
    <m/>
    <m/>
    <n v="22732596"/>
    <m/>
    <m/>
    <m/>
    <s v="SOLFIN"/>
    <s v="SOLFIN"/>
    <s v="CCMS"/>
    <n v="21349876"/>
    <n v="32101.97"/>
    <m/>
    <s v="N"/>
    <n v="19"/>
    <d v="2023-07-10T19:02:01"/>
    <s v="Y"/>
    <s v="Interpreter"/>
    <s v="Public Law Children"/>
    <s v="Expert Disbursement"/>
    <s v="JPR"/>
    <s v="Y"/>
    <n v="290.9"/>
    <n v="58.18"/>
    <x v="2"/>
    <s v="VALIDATED"/>
    <n v="1"/>
    <s v="01.11.80.308.6300.0000"/>
    <n v="290.9"/>
    <s v="11"/>
    <s v="6300"/>
    <n v="22185.3"/>
    <n v="290.9"/>
    <s v="CREDITOR"/>
    <n v="0"/>
    <n v="0"/>
    <n v="0"/>
    <n v="0"/>
    <n v="290.9"/>
  </r>
  <r>
    <n v="10058695"/>
    <s v="N"/>
    <n v="21349876"/>
    <s v="3000005948260050"/>
    <s v="CIVIL"/>
    <d v="2023-06-21T00:00:00"/>
    <d v="2023-07-10T19:01:40"/>
    <m/>
    <d v="2023-07-10T00:00:00"/>
    <n v="1600"/>
    <n v="15907"/>
    <s v="10058695"/>
    <s v="10058695"/>
    <m/>
    <m/>
    <n v="22732596"/>
    <m/>
    <m/>
    <m/>
    <s v="SOLFIN"/>
    <s v="SOLFIN"/>
    <s v="CCMS"/>
    <n v="21349876"/>
    <n v="32101.97"/>
    <m/>
    <s v="N"/>
    <n v="21"/>
    <d v="2023-07-10T19:02:01"/>
    <s v="Y"/>
    <s v="Interpreter"/>
    <s v="Public Law Children"/>
    <s v="Expert Disbursement"/>
    <s v="JPR"/>
    <s v="Y"/>
    <n v="262.9"/>
    <n v="52.58"/>
    <x v="2"/>
    <s v="VALIDATED"/>
    <n v="1"/>
    <s v="01.11.80.308.6300.0000"/>
    <n v="262.9"/>
    <s v="11"/>
    <s v="6300"/>
    <n v="22185.3"/>
    <n v="262.9"/>
    <s v="CREDITOR"/>
    <n v="0"/>
    <n v="0"/>
    <n v="0"/>
    <n v="0"/>
    <n v="262.9"/>
  </r>
  <r>
    <n v="10058695"/>
    <s v="N"/>
    <n v="21349876"/>
    <s v="3000005948260050"/>
    <s v="CIVIL"/>
    <d v="2023-06-21T00:00:00"/>
    <d v="2023-07-10T19:01:40"/>
    <m/>
    <d v="2023-07-10T00:00:00"/>
    <n v="1600"/>
    <n v="15907"/>
    <s v="10058695"/>
    <s v="10058695"/>
    <m/>
    <m/>
    <n v="22732596"/>
    <m/>
    <m/>
    <m/>
    <s v="SOLFIN"/>
    <s v="SOLFIN"/>
    <s v="CCMS"/>
    <n v="21349876"/>
    <n v="32101.97"/>
    <m/>
    <s v="N"/>
    <n v="30"/>
    <d v="2023-07-10T19:02:01"/>
    <s v="Y"/>
    <s v="Interpreter"/>
    <s v="Public Law Children"/>
    <s v="Expert Disbursement"/>
    <s v="JPR"/>
    <s v="Y"/>
    <n v="262.9"/>
    <n v="52.58"/>
    <x v="2"/>
    <s v="VALIDATED"/>
    <n v="1"/>
    <s v="01.11.80.308.6300.0000"/>
    <n v="262.9"/>
    <s v="11"/>
    <s v="6300"/>
    <n v="22185.3"/>
    <n v="262.9"/>
    <s v="CREDITOR"/>
    <n v="0"/>
    <n v="0"/>
    <n v="0"/>
    <n v="0"/>
    <n v="262.9"/>
  </r>
  <r>
    <n v="59810816"/>
    <s v="N"/>
    <n v="21318448"/>
    <s v="3000014183000006"/>
    <s v="CIVIL"/>
    <d v="2023-06-22T00:00:00"/>
    <d v="2023-07-03T19:01:49"/>
    <m/>
    <d v="2023-07-03T00:00:00"/>
    <n v="1600"/>
    <n v="15907"/>
    <s v="59810816"/>
    <s v="59810816"/>
    <m/>
    <m/>
    <n v="22744926"/>
    <m/>
    <m/>
    <m/>
    <s v="SOLFIN"/>
    <s v="SOLFIN"/>
    <s v="CCMS"/>
    <n v="21318448"/>
    <n v="8773.290000000001"/>
    <m/>
    <s v="N"/>
    <n v="15"/>
    <d v="2023-07-03T19:01:56"/>
    <s v="Y"/>
    <s v="Preparation - other"/>
    <s v="Prescribed Hourly Rates"/>
    <s v="Profit Cost"/>
    <s v="GHJ"/>
    <s v="Y"/>
    <n v="65.76000000000001"/>
    <n v="13.15"/>
    <x v="3"/>
    <s v="VALIDATED"/>
    <n v="1"/>
    <s v="01.11.80.305.6100.0000"/>
    <n v="65.76000000000001"/>
    <s v="11"/>
    <s v="6100"/>
    <n v="22185.3"/>
    <n v="65.76000000000001"/>
    <s v="CREDITOR"/>
    <n v="0"/>
    <n v="0"/>
    <n v="0"/>
    <n v="0"/>
    <n v="65.76000000000001"/>
  </r>
  <r>
    <n v="10058695"/>
    <s v="N"/>
    <n v="21349876"/>
    <s v="3000005948260050"/>
    <s v="CIVIL"/>
    <d v="2023-06-21T00:00:00"/>
    <d v="2023-07-10T19:01:40"/>
    <m/>
    <d v="2023-07-10T00:00:00"/>
    <n v="1600"/>
    <n v="15907"/>
    <s v="10058695"/>
    <s v="10058695"/>
    <m/>
    <m/>
    <n v="22732596"/>
    <m/>
    <m/>
    <m/>
    <s v="SOLFIN"/>
    <s v="SOLFIN"/>
    <s v="CCMS"/>
    <n v="21349876"/>
    <n v="32101.97"/>
    <m/>
    <s v="N"/>
    <n v="17"/>
    <d v="2023-07-10T19:02:01"/>
    <s v="N"/>
    <s v="Interpreter"/>
    <s v="Public Law Children"/>
    <s v="Expert Disbursement"/>
    <s v="JPR"/>
    <s v="N"/>
    <n v="0"/>
    <n v="0"/>
    <x v="2"/>
    <s v="VALIDATED"/>
    <n v="1"/>
    <s v="01.11.80.308.6300.0000"/>
    <n v="0"/>
    <s v="11"/>
    <s v="6300"/>
    <n v="22185.3"/>
    <n v="0"/>
    <s v="CREDITOR"/>
    <n v="0"/>
    <n v="0"/>
    <n v="0"/>
    <n v="0"/>
    <n v="0"/>
  </r>
  <r>
    <n v="61157903"/>
    <s v="N"/>
    <n v="21328104"/>
    <s v="3000015340490004"/>
    <s v="CIVIL"/>
    <d v="2023-06-26T00:00:00"/>
    <d v="2023-07-04T19:00:44"/>
    <m/>
    <d v="2023-07-04T00:00:00"/>
    <n v="1600"/>
    <n v="15907"/>
    <s v="61157903"/>
    <s v="61157903"/>
    <m/>
    <m/>
    <n v="22765064"/>
    <m/>
    <m/>
    <m/>
    <s v="SOLFIN"/>
    <s v="SOLFIN"/>
    <s v="CCMS"/>
    <n v="21328104"/>
    <n v="4091.61"/>
    <m/>
    <s v="N"/>
    <n v="8"/>
    <d v="2023-07-04T19:01:04"/>
    <s v="Y"/>
    <s v="Solicitors Fixed Fee"/>
    <s v="Public Law Children"/>
    <s v="Profit Cost"/>
    <s v="CLP"/>
    <s v="Y"/>
    <n v="1911"/>
    <n v="382.2"/>
    <x v="1"/>
    <s v="VALIDATED"/>
    <n v="1"/>
    <s v="01.11.80.308.6100.0000"/>
    <n v="1911"/>
    <s v="11"/>
    <s v="6100"/>
    <n v="22185.3"/>
    <n v="1911"/>
    <s v="CREDITOR"/>
    <n v="0"/>
    <n v="0"/>
    <n v="0"/>
    <n v="0"/>
    <n v="1911"/>
  </r>
  <r>
    <n v="59810816"/>
    <s v="N"/>
    <n v="21318448"/>
    <s v="3000014183000006"/>
    <s v="CIVIL"/>
    <d v="2023-06-22T00:00:00"/>
    <d v="2023-07-03T19:01:49"/>
    <m/>
    <d v="2023-07-03T00:00:00"/>
    <n v="1600"/>
    <n v="15907"/>
    <s v="59810816"/>
    <s v="59810816"/>
    <m/>
    <m/>
    <n v="22744926"/>
    <m/>
    <m/>
    <m/>
    <s v="SOLFIN"/>
    <s v="SOLFIN"/>
    <s v="CCMS"/>
    <n v="21318448"/>
    <n v="8773.290000000001"/>
    <m/>
    <s v="N"/>
    <n v="7"/>
    <d v="2023-07-03T19:01:56"/>
    <s v="Y"/>
    <s v="Attendance upon client"/>
    <s v="Prescribed Hourly Rates"/>
    <s v="Profit Cost"/>
    <s v="GHJ"/>
    <s v="Y"/>
    <n v="263"/>
    <n v="52.6"/>
    <x v="3"/>
    <s v="VALIDATED"/>
    <n v="1"/>
    <s v="01.11.80.305.6100.0000"/>
    <n v="263"/>
    <s v="11"/>
    <s v="6100"/>
    <n v="22185.3"/>
    <n v="263"/>
    <s v="CREDITOR"/>
    <n v="0"/>
    <n v="0"/>
    <n v="0"/>
    <n v="0"/>
    <n v="263"/>
  </r>
  <r>
    <n v="59904503"/>
    <s v="N"/>
    <n v="21360883"/>
    <s v="3000014261050017"/>
    <s v="CIVIL"/>
    <d v="2023-06-30T00:00:00"/>
    <d v="2023-07-11T19:00:25"/>
    <m/>
    <d v="2023-07-11T00:00:00"/>
    <n v="1600"/>
    <n v="15907"/>
    <s v="59904503"/>
    <s v="59904503"/>
    <m/>
    <m/>
    <n v="22794274"/>
    <m/>
    <m/>
    <m/>
    <s v="SOLFIN"/>
    <s v="SOLFIN"/>
    <s v="CCMS"/>
    <n v="21360883"/>
    <n v="7687.47"/>
    <m/>
    <s v="N"/>
    <n v="17"/>
    <d v="2023-07-11T19:00:38"/>
    <s v="Y"/>
    <s v="Advocates Meeting"/>
    <s v="Public Law Children"/>
    <s v="Advocacy"/>
    <s v="RBE"/>
    <s v="Y"/>
    <n v="140.99"/>
    <n v="28.2"/>
    <x v="7"/>
    <s v="VALIDATED"/>
    <n v="1"/>
    <s v="01.11.80.308.6100.0000"/>
    <n v="140.99"/>
    <s v="11"/>
    <s v="6100"/>
    <n v="22185.3"/>
    <n v="140.99"/>
    <s v="CREDITOR"/>
    <n v="0"/>
    <n v="0"/>
    <n v="0"/>
    <n v="0"/>
    <n v="140.99"/>
  </r>
  <r>
    <n v="59810816"/>
    <s v="N"/>
    <n v="21318448"/>
    <s v="3000014183000006"/>
    <s v="CIVIL"/>
    <d v="2023-06-22T00:00:00"/>
    <d v="2023-07-03T19:01:49"/>
    <m/>
    <d v="2023-07-03T00:00:00"/>
    <n v="1600"/>
    <n v="15907"/>
    <s v="59810816"/>
    <s v="59810816"/>
    <m/>
    <m/>
    <n v="22744926"/>
    <m/>
    <m/>
    <m/>
    <s v="SOLFIN"/>
    <s v="SOLFIN"/>
    <s v="CCMS"/>
    <n v="21318448"/>
    <n v="8773.290000000001"/>
    <m/>
    <s v="N"/>
    <n v="61"/>
    <d v="2023-07-03T19:01:56"/>
    <s v="Y"/>
    <s v="Preparation - other"/>
    <s v="Prescribed Hourly Rates"/>
    <s v="Profit Cost"/>
    <s v="MCR"/>
    <s v="Y"/>
    <n v="6.58"/>
    <n v="1.32"/>
    <x v="3"/>
    <s v="VALIDATED"/>
    <n v="1"/>
    <s v="01.11.80.305.6100.0000"/>
    <n v="6.58"/>
    <s v="11"/>
    <s v="6100"/>
    <n v="22185.3"/>
    <n v="6.58"/>
    <s v="CREDITOR"/>
    <n v="0"/>
    <n v="0"/>
    <n v="0"/>
    <n v="0"/>
    <n v="6.58"/>
  </r>
  <r>
    <n v="59810816"/>
    <s v="N"/>
    <n v="21318448"/>
    <s v="3000014183000006"/>
    <s v="CIVIL"/>
    <d v="2023-06-22T00:00:00"/>
    <d v="2023-07-03T19:01:49"/>
    <m/>
    <d v="2023-07-03T00:00:00"/>
    <n v="1600"/>
    <n v="15907"/>
    <s v="59810816"/>
    <s v="59810816"/>
    <m/>
    <m/>
    <n v="22744926"/>
    <m/>
    <m/>
    <m/>
    <s v="SOLFIN"/>
    <s v="SOLFIN"/>
    <s v="CCMS"/>
    <n v="21318448"/>
    <n v="8773.290000000001"/>
    <m/>
    <s v="N"/>
    <n v="10"/>
    <d v="2023-07-03T19:01:56"/>
    <s v="Y"/>
    <s v="Preparation - other"/>
    <s v="Prescribed Hourly Rates"/>
    <s v="Profit Cost"/>
    <s v="MCR"/>
    <s v="Y"/>
    <n v="13.15"/>
    <n v="2.63"/>
    <x v="3"/>
    <s v="VALIDATED"/>
    <n v="1"/>
    <s v="01.11.80.305.6100.0000"/>
    <n v="13.15"/>
    <s v="11"/>
    <s v="6100"/>
    <n v="22185.3"/>
    <n v="13.15"/>
    <s v="CREDITOR"/>
    <n v="0"/>
    <n v="0"/>
    <n v="0"/>
    <n v="0"/>
    <n v="13.15"/>
  </r>
  <r>
    <n v="59810816"/>
    <s v="N"/>
    <n v="21318448"/>
    <s v="3000014183000006"/>
    <s v="CIVIL"/>
    <d v="2023-06-22T00:00:00"/>
    <d v="2023-07-03T19:01:49"/>
    <m/>
    <d v="2023-07-03T00:00:00"/>
    <n v="1600"/>
    <n v="15907"/>
    <s v="59810816"/>
    <s v="59810816"/>
    <m/>
    <m/>
    <n v="22744926"/>
    <m/>
    <m/>
    <m/>
    <s v="SOLFIN"/>
    <s v="SOLFIN"/>
    <s v="CCMS"/>
    <n v="21318448"/>
    <n v="8773.290000000001"/>
    <m/>
    <s v="N"/>
    <n v="36"/>
    <d v="2023-07-03T19:01:56"/>
    <s v="Y"/>
    <s v="Preparation - drafting application"/>
    <s v="Prescribed Hourly Rates"/>
    <s v="Profit Cost"/>
    <s v="MCR"/>
    <s v="Y"/>
    <n v="39.45"/>
    <n v="7.89"/>
    <x v="3"/>
    <s v="VALIDATED"/>
    <n v="1"/>
    <s v="01.11.80.305.6100.0000"/>
    <n v="39.45"/>
    <s v="11"/>
    <s v="6100"/>
    <n v="22185.3"/>
    <n v="39.45"/>
    <s v="CREDITOR"/>
    <n v="0"/>
    <n v="0"/>
    <n v="0"/>
    <n v="0"/>
    <n v="39.45"/>
  </r>
  <r>
    <n v="59810816"/>
    <s v="N"/>
    <n v="21318448"/>
    <s v="3000014183000006"/>
    <s v="CIVIL"/>
    <d v="2023-06-22T00:00:00"/>
    <d v="2023-07-03T19:01:49"/>
    <m/>
    <d v="2023-07-03T00:00:00"/>
    <n v="1600"/>
    <n v="15907"/>
    <s v="59810816"/>
    <s v="59810816"/>
    <m/>
    <m/>
    <n v="22744926"/>
    <m/>
    <m/>
    <m/>
    <s v="SOLFIN"/>
    <s v="SOLFIN"/>
    <s v="CCMS"/>
    <n v="21318448"/>
    <n v="8773.290000000001"/>
    <m/>
    <s v="N"/>
    <n v="68"/>
    <d v="2023-07-03T19:01:56"/>
    <s v="Y"/>
    <s v="Attendance upon client"/>
    <s v="Prescribed Hourly Rates"/>
    <s v="Profit Cost"/>
    <s v="GHJ"/>
    <s v="Y"/>
    <n v="26.3"/>
    <n v="5.26"/>
    <x v="3"/>
    <s v="VALIDATED"/>
    <n v="1"/>
    <s v="01.11.80.305.6100.0000"/>
    <n v="26.3"/>
    <s v="11"/>
    <s v="6100"/>
    <n v="22185.3"/>
    <n v="26.3"/>
    <s v="CREDITOR"/>
    <n v="0"/>
    <n v="0"/>
    <n v="0"/>
    <n v="0"/>
    <n v="26.3"/>
  </r>
  <r>
    <n v="62321012"/>
    <s v="N"/>
    <n v="21327711"/>
    <s v="3000016309330001"/>
    <s v="CIVIL"/>
    <d v="2023-06-26T00:00:00"/>
    <d v="2023-07-04T19:00:44"/>
    <m/>
    <d v="2023-07-04T00:00:00"/>
    <n v="1600"/>
    <n v="15907"/>
    <s v="62321012"/>
    <s v="62321012"/>
    <m/>
    <m/>
    <n v="22760362"/>
    <m/>
    <m/>
    <m/>
    <s v="SOLFIN"/>
    <s v="SOLFIN"/>
    <s v="CCMS"/>
    <n v="21327711"/>
    <n v="2700"/>
    <m/>
    <s v="N"/>
    <n v="6"/>
    <d v="2023-07-04T19:00:52"/>
    <s v="Y"/>
    <s v="Preparation - drafting bill/claim f"/>
    <s v="Prescribed Hourly Rates"/>
    <s v="Profit Cost"/>
    <s v="CAH"/>
    <s v="Y"/>
    <n v="16.47"/>
    <n v="3.29"/>
    <x v="1"/>
    <s v="VALIDATED"/>
    <n v="1"/>
    <s v="01.11.80.305.6100.0000"/>
    <n v="16.47"/>
    <s v="11"/>
    <s v="6100"/>
    <n v="22185.3"/>
    <n v="16.47"/>
    <s v="CREDITOR"/>
    <n v="0"/>
    <n v="0"/>
    <n v="0"/>
    <n v="0"/>
    <n v="16.47"/>
  </r>
  <r>
    <n v="59810816"/>
    <s v="N"/>
    <n v="21318448"/>
    <s v="3000014183000006"/>
    <s v="CIVIL"/>
    <d v="2023-06-22T00:00:00"/>
    <d v="2023-07-03T19:01:49"/>
    <m/>
    <d v="2023-07-03T00:00:00"/>
    <n v="1600"/>
    <n v="15907"/>
    <s v="59810816"/>
    <s v="59810816"/>
    <m/>
    <m/>
    <n v="22744926"/>
    <m/>
    <m/>
    <m/>
    <s v="SOLFIN"/>
    <s v="SOLFIN"/>
    <s v="CCMS"/>
    <n v="21318448"/>
    <n v="8773.290000000001"/>
    <m/>
    <s v="N"/>
    <n v="56"/>
    <d v="2023-07-03T19:01:56"/>
    <s v="Y"/>
    <s v="Preparation - other"/>
    <s v="Prescribed Hourly Rates"/>
    <s v="Profit Cost"/>
    <s v="GHJ"/>
    <s v="Y"/>
    <n v="131.5"/>
    <n v="26.3"/>
    <x v="3"/>
    <s v="VALIDATED"/>
    <n v="1"/>
    <s v="01.11.80.305.6100.0000"/>
    <n v="131.5"/>
    <s v="11"/>
    <s v="6100"/>
    <n v="22185.3"/>
    <n v="131.5"/>
    <s v="CREDITOR"/>
    <n v="0"/>
    <n v="0"/>
    <n v="0"/>
    <n v="0"/>
    <n v="131.5"/>
  </r>
  <r>
    <n v="59810816"/>
    <s v="N"/>
    <n v="21318448"/>
    <s v="3000014183000006"/>
    <s v="CIVIL"/>
    <d v="2023-06-22T00:00:00"/>
    <d v="2023-07-03T19:01:49"/>
    <m/>
    <d v="2023-07-03T00:00:00"/>
    <n v="1600"/>
    <n v="15907"/>
    <s v="59810816"/>
    <s v="59810816"/>
    <m/>
    <m/>
    <n v="22744926"/>
    <m/>
    <m/>
    <m/>
    <s v="SOLFIN"/>
    <s v="SOLFIN"/>
    <s v="CCMS"/>
    <n v="21318448"/>
    <n v="8773.290000000001"/>
    <m/>
    <s v="N"/>
    <n v="51"/>
    <d v="2023-07-03T19:01:56"/>
    <s v="Y"/>
    <s v="Preparation - other"/>
    <s v="Prescribed Hourly Rates"/>
    <s v="Profit Cost"/>
    <s v="GHJ"/>
    <s v="Y"/>
    <n v="144.66"/>
    <n v="28.93"/>
    <x v="3"/>
    <s v="VALIDATED"/>
    <n v="1"/>
    <s v="01.11.80.305.6100.0000"/>
    <n v="144.66"/>
    <s v="11"/>
    <s v="6100"/>
    <n v="22185.3"/>
    <n v="144.66"/>
    <s v="CREDITOR"/>
    <n v="0"/>
    <n v="0"/>
    <n v="0"/>
    <n v="0"/>
    <n v="144.66"/>
  </r>
  <r>
    <n v="59810816"/>
    <s v="N"/>
    <n v="21318448"/>
    <s v="3000014183000006"/>
    <s v="CIVIL"/>
    <d v="2023-06-22T00:00:00"/>
    <d v="2023-07-03T19:01:49"/>
    <m/>
    <d v="2023-07-03T00:00:00"/>
    <n v="1600"/>
    <n v="15907"/>
    <s v="59810816"/>
    <s v="59810816"/>
    <m/>
    <m/>
    <n v="22744926"/>
    <m/>
    <m/>
    <m/>
    <s v="SOLFIN"/>
    <s v="SOLFIN"/>
    <s v="CCMS"/>
    <n v="21318448"/>
    <n v="8773.290000000001"/>
    <m/>
    <s v="N"/>
    <n v="21"/>
    <d v="2023-07-03T19:01:56"/>
    <s v="Y"/>
    <s v="Preparation - other"/>
    <s v="Prescribed Hourly Rates"/>
    <s v="Profit Cost"/>
    <s v="GHJ"/>
    <s v="Y"/>
    <n v="65.76000000000001"/>
    <n v="13.15"/>
    <x v="3"/>
    <s v="VALIDATED"/>
    <n v="1"/>
    <s v="01.11.80.305.6100.0000"/>
    <n v="65.76000000000001"/>
    <s v="11"/>
    <s v="6100"/>
    <n v="22185.3"/>
    <n v="65.76000000000001"/>
    <s v="CREDITOR"/>
    <n v="0"/>
    <n v="0"/>
    <n v="0"/>
    <n v="0"/>
    <n v="65.76000000000001"/>
  </r>
  <r>
    <n v="59904503"/>
    <s v="N"/>
    <n v="21360883"/>
    <s v="3000014261050017"/>
    <s v="CIVIL"/>
    <d v="2023-06-30T00:00:00"/>
    <d v="2023-07-11T19:00:25"/>
    <m/>
    <d v="2023-07-11T00:00:00"/>
    <n v="1600"/>
    <n v="15907"/>
    <s v="59904503"/>
    <s v="59904503"/>
    <m/>
    <m/>
    <n v="22794274"/>
    <m/>
    <m/>
    <m/>
    <s v="SOLFIN"/>
    <s v="SOLFIN"/>
    <s v="CCMS"/>
    <n v="21360883"/>
    <n v="7687.47"/>
    <m/>
    <s v="N"/>
    <n v="7"/>
    <d v="2023-07-11T19:00:38"/>
    <s v="Y"/>
    <s v="Court Fee"/>
    <s v="Public Law Children"/>
    <s v="Non Expert Disbursement"/>
    <s v="VCG"/>
    <s v="Y"/>
    <n v="167"/>
    <n v="0"/>
    <x v="7"/>
    <s v="VALIDATED"/>
    <n v="1"/>
    <s v="01.11.80.308.6300.0000"/>
    <n v="167"/>
    <s v="11"/>
    <s v="6300"/>
    <n v="22185.3"/>
    <n v="167"/>
    <s v="CREDITOR"/>
    <n v="0"/>
    <n v="0"/>
    <n v="0"/>
    <n v="0"/>
    <n v="167"/>
  </r>
  <r>
    <n v="59904503"/>
    <s v="N"/>
    <n v="21360883"/>
    <s v="3000014261050017"/>
    <s v="CIVIL"/>
    <d v="2023-06-30T00:00:00"/>
    <d v="2023-07-11T19:00:25"/>
    <m/>
    <d v="2023-07-11T00:00:00"/>
    <n v="1600"/>
    <n v="15907"/>
    <s v="59904503"/>
    <s v="59904503"/>
    <m/>
    <m/>
    <n v="22794274"/>
    <m/>
    <m/>
    <m/>
    <s v="SOLFIN"/>
    <s v="SOLFIN"/>
    <s v="CCMS"/>
    <n v="21360883"/>
    <n v="7687.47"/>
    <m/>
    <s v="N"/>
    <n v="3"/>
    <d v="2023-07-11T19:00:38"/>
    <s v="Y"/>
    <s v="Toxicologist"/>
    <s v="Public Law Children"/>
    <s v="Expert Disbursement"/>
    <s v="VCG"/>
    <s v="Y"/>
    <n v="21.6"/>
    <n v="4.32"/>
    <x v="7"/>
    <s v="VALIDATED"/>
    <n v="1"/>
    <s v="01.11.80.308.6300.0000"/>
    <n v="21.6"/>
    <s v="11"/>
    <s v="6300"/>
    <n v="22185.3"/>
    <n v="21.6"/>
    <s v="CREDITOR"/>
    <n v="0"/>
    <n v="0"/>
    <n v="0"/>
    <n v="0"/>
    <n v="21.6"/>
  </r>
  <r>
    <n v="61412273"/>
    <s v="N"/>
    <n v="21343509"/>
    <s v="3000015552920006"/>
    <s v="CIVIL"/>
    <d v="2023-06-28T00:00:00"/>
    <d v="2023-07-07T19:03:00"/>
    <m/>
    <d v="2023-07-07T00:00:00"/>
    <n v="1600"/>
    <n v="15907"/>
    <s v="61412273"/>
    <s v="61412273"/>
    <m/>
    <m/>
    <n v="22782476"/>
    <m/>
    <m/>
    <m/>
    <s v="SOLFIN"/>
    <s v="SOLFIN"/>
    <s v="CCMS"/>
    <n v="21343509"/>
    <n v="3299.84"/>
    <m/>
    <s v="N"/>
    <n v="3"/>
    <d v="2023-07-07T19:03:10"/>
    <s v="Y"/>
    <s v="Advocates Meeting"/>
    <s v="Public Law Children"/>
    <s v="Advocacy"/>
    <s v="NIH"/>
    <s v="Y"/>
    <n v="140.99"/>
    <n v="28.2"/>
    <x v="9"/>
    <s v="VALIDATED"/>
    <n v="1"/>
    <s v="01.11.80.308.6100.0000"/>
    <n v="140.99"/>
    <s v="11"/>
    <s v="6100"/>
    <n v="22185.3"/>
    <n v="140.99"/>
    <s v="CREDITOR"/>
    <n v="0"/>
    <n v="0"/>
    <n v="0"/>
    <n v="0"/>
    <n v="140.99"/>
  </r>
  <r>
    <n v="10058695"/>
    <s v="N"/>
    <n v="21349876"/>
    <s v="3000005948260050"/>
    <s v="CIVIL"/>
    <d v="2023-06-21T00:00:00"/>
    <d v="2023-07-10T19:01:40"/>
    <m/>
    <d v="2023-07-10T00:00:00"/>
    <n v="1600"/>
    <n v="15907"/>
    <s v="10058695"/>
    <s v="10058695"/>
    <m/>
    <m/>
    <n v="22732596"/>
    <m/>
    <m/>
    <m/>
    <s v="SOLFIN"/>
    <s v="SOLFIN"/>
    <s v="CCMS"/>
    <n v="21349876"/>
    <n v="32101.97"/>
    <m/>
    <s v="N"/>
    <n v="15"/>
    <d v="2023-07-10T19:02:01"/>
    <s v="Y"/>
    <s v="Interpreter"/>
    <s v="Public Law Children"/>
    <s v="Expert Disbursement"/>
    <s v="JPR"/>
    <s v="Y"/>
    <n v="248.9"/>
    <n v="49.78"/>
    <x v="2"/>
    <s v="VALIDATED"/>
    <n v="1"/>
    <s v="01.11.80.308.6300.0000"/>
    <n v="248.9"/>
    <s v="11"/>
    <s v="6300"/>
    <n v="22185.3"/>
    <n v="248.9"/>
    <s v="CREDITOR"/>
    <n v="0"/>
    <n v="0"/>
    <n v="0"/>
    <n v="0"/>
    <n v="248.9"/>
  </r>
  <r>
    <n v="59810816"/>
    <s v="N"/>
    <n v="21318448"/>
    <s v="3000014183000006"/>
    <s v="CIVIL"/>
    <d v="2023-06-22T00:00:00"/>
    <d v="2023-07-03T19:01:49"/>
    <m/>
    <d v="2023-07-03T00:00:00"/>
    <n v="1600"/>
    <n v="15907"/>
    <s v="59810816"/>
    <s v="59810816"/>
    <m/>
    <m/>
    <n v="22744926"/>
    <m/>
    <m/>
    <m/>
    <s v="SOLFIN"/>
    <s v="SOLFIN"/>
    <s v="CCMS"/>
    <n v="21318448"/>
    <n v="8773.290000000001"/>
    <m/>
    <s v="N"/>
    <n v="53"/>
    <d v="2023-07-03T19:01:56"/>
    <s v="Y"/>
    <s v="Preparation - other"/>
    <s v="Prescribed Hourly Rates"/>
    <s v="Profit Cost"/>
    <s v="GHJ"/>
    <s v="Y"/>
    <n v="26.3"/>
    <n v="5.26"/>
    <x v="3"/>
    <s v="VALIDATED"/>
    <n v="1"/>
    <s v="01.11.80.305.6100.0000"/>
    <n v="26.3"/>
    <s v="11"/>
    <s v="6100"/>
    <n v="22185.3"/>
    <n v="26.3"/>
    <s v="CREDITOR"/>
    <n v="0"/>
    <n v="0"/>
    <n v="0"/>
    <n v="0"/>
    <n v="26.3"/>
  </r>
  <r>
    <n v="59810816"/>
    <s v="N"/>
    <n v="21318448"/>
    <s v="3000014183000006"/>
    <s v="CIVIL"/>
    <d v="2023-06-22T00:00:00"/>
    <d v="2023-07-03T19:01:49"/>
    <m/>
    <d v="2023-07-03T00:00:00"/>
    <n v="1600"/>
    <n v="15907"/>
    <s v="59810816"/>
    <s v="59810816"/>
    <m/>
    <m/>
    <n v="22744926"/>
    <m/>
    <m/>
    <m/>
    <s v="SOLFIN"/>
    <s v="SOLFIN"/>
    <s v="CCMS"/>
    <n v="21318448"/>
    <n v="8773.290000000001"/>
    <m/>
    <s v="N"/>
    <n v="5"/>
    <d v="2023-07-03T19:01:56"/>
    <s v="Y"/>
    <s v="Preparation - other"/>
    <s v="Prescribed Hourly Rates"/>
    <s v="Profit Cost"/>
    <s v="GHJ"/>
    <s v="Y"/>
    <n v="157.8"/>
    <n v="31.56"/>
    <x v="3"/>
    <s v="VALIDATED"/>
    <n v="1"/>
    <s v="01.11.80.305.6100.0000"/>
    <n v="157.8"/>
    <s v="11"/>
    <s v="6100"/>
    <n v="22185.3"/>
    <n v="157.8"/>
    <s v="CREDITOR"/>
    <n v="0"/>
    <n v="0"/>
    <n v="0"/>
    <n v="0"/>
    <n v="157.8"/>
  </r>
  <r>
    <n v="59810816"/>
    <s v="N"/>
    <n v="21318448"/>
    <s v="3000014183000006"/>
    <s v="CIVIL"/>
    <d v="2023-06-22T00:00:00"/>
    <d v="2023-07-03T19:01:49"/>
    <m/>
    <d v="2023-07-03T00:00:00"/>
    <n v="1600"/>
    <n v="15907"/>
    <s v="59810816"/>
    <s v="59810816"/>
    <m/>
    <m/>
    <n v="22744926"/>
    <m/>
    <m/>
    <m/>
    <s v="SOLFIN"/>
    <s v="SOLFIN"/>
    <s v="CCMS"/>
    <n v="21318448"/>
    <n v="8773.290000000001"/>
    <m/>
    <s v="N"/>
    <n v="69"/>
    <d v="2023-07-03T19:01:56"/>
    <s v="Y"/>
    <s v="Solicitor Travel Mileage"/>
    <s v="Prescribed Hourly Rates"/>
    <s v="Non Expert Disbursement"/>
    <s v="GHJ"/>
    <s v="Y"/>
    <n v="49.5"/>
    <n v="9.9"/>
    <x v="3"/>
    <s v="VALIDATED"/>
    <n v="1"/>
    <s v="01.11.80.305.6300.0000"/>
    <n v="49.5"/>
    <s v="11"/>
    <s v="6300"/>
    <n v="22185.3"/>
    <n v="49.5"/>
    <s v="CREDITOR"/>
    <n v="0"/>
    <n v="0"/>
    <n v="0"/>
    <n v="0"/>
    <n v="49.5"/>
  </r>
  <r>
    <n v="10058695"/>
    <s v="N"/>
    <n v="21349876"/>
    <s v="3000005948260050"/>
    <s v="CIVIL"/>
    <d v="2023-06-21T00:00:00"/>
    <d v="2023-07-10T19:01:40"/>
    <m/>
    <d v="2023-07-10T00:00:00"/>
    <n v="1600"/>
    <n v="15907"/>
    <s v="10058695"/>
    <s v="10058695"/>
    <m/>
    <m/>
    <n v="22732596"/>
    <m/>
    <m/>
    <m/>
    <s v="SOLFIN"/>
    <s v="SOLFIN"/>
    <s v="CCMS"/>
    <n v="21349876"/>
    <n v="32101.97"/>
    <m/>
    <s v="N"/>
    <n v="4"/>
    <d v="2023-07-10T19:02:01"/>
    <s v="N"/>
    <s v="Interpreter"/>
    <s v="Public Law Children"/>
    <s v="Expert Disbursement"/>
    <s v="JPR"/>
    <s v="N"/>
    <n v="0"/>
    <n v="0"/>
    <x v="2"/>
    <s v="VALIDATED"/>
    <n v="1"/>
    <s v="01.11.80.308.6300.0000"/>
    <n v="0"/>
    <s v="11"/>
    <s v="6300"/>
    <n v="22185.3"/>
    <n v="0"/>
    <s v="CREDITOR"/>
    <n v="0"/>
    <n v="0"/>
    <n v="0"/>
    <n v="0"/>
    <n v="0"/>
  </r>
  <r>
    <n v="61859566"/>
    <s v="N"/>
    <n v="21321628"/>
    <s v="3000015923180006"/>
    <s v="CIVIL"/>
    <d v="2023-06-29T00:00:00"/>
    <d v="2023-07-03T19:05:17"/>
    <m/>
    <d v="2023-07-03T00:00:00"/>
    <n v="1600"/>
    <n v="15907"/>
    <s v="61859566"/>
    <s v="61859566"/>
    <m/>
    <m/>
    <n v="22785224"/>
    <m/>
    <m/>
    <m/>
    <s v="SOLPOA"/>
    <s v="SOLPOA"/>
    <s v="CCMS"/>
    <n v="21321628"/>
    <n v="53"/>
    <m/>
    <s v="N"/>
    <n v="1"/>
    <d v="2023-07-03T19:05:20"/>
    <s v="N"/>
    <s v="Non Expert Disbursement"/>
    <s v="Non Expert Disbursement"/>
    <s v="Non Expert Disbursement"/>
    <s v="CLP"/>
    <s v="N"/>
    <n v="53"/>
    <n v="0"/>
    <x v="3"/>
    <s v="VALIDATED"/>
    <n v="1"/>
    <s v="01.11.80.308.2012.0000"/>
    <n v="53"/>
    <s v="11"/>
    <s v="2012"/>
    <n v="22185.3"/>
    <n v="53"/>
    <s v="CREDITOR"/>
    <n v="53"/>
    <n v="0"/>
    <n v="0"/>
    <n v="0"/>
    <n v="0"/>
  </r>
  <r>
    <n v="59810816"/>
    <s v="N"/>
    <n v="21318448"/>
    <s v="3000014183000006"/>
    <s v="CIVIL"/>
    <d v="2023-06-22T00:00:00"/>
    <d v="2023-07-03T19:01:49"/>
    <m/>
    <d v="2023-07-03T00:00:00"/>
    <n v="1600"/>
    <n v="15907"/>
    <s v="59810816"/>
    <s v="59810816"/>
    <m/>
    <m/>
    <n v="22744926"/>
    <m/>
    <m/>
    <m/>
    <s v="SOLFIN"/>
    <s v="SOLFIN"/>
    <s v="CCMS"/>
    <n v="21318448"/>
    <n v="8773.290000000001"/>
    <m/>
    <s v="N"/>
    <n v="55"/>
    <d v="2023-07-03T19:01:56"/>
    <s v="Y"/>
    <s v="Preparation - other"/>
    <s v="Prescribed Hourly Rates"/>
    <s v="Profit Cost"/>
    <s v="GHJ"/>
    <s v="Y"/>
    <n v="78.90000000000001"/>
    <n v="15.78"/>
    <x v="3"/>
    <s v="VALIDATED"/>
    <n v="1"/>
    <s v="01.11.80.305.6100.0000"/>
    <n v="78.90000000000001"/>
    <s v="11"/>
    <s v="6100"/>
    <n v="22185.3"/>
    <n v="78.90000000000001"/>
    <s v="CREDITOR"/>
    <n v="0"/>
    <n v="0"/>
    <n v="0"/>
    <n v="0"/>
    <n v="78.90000000000001"/>
  </r>
  <r>
    <n v="10058695"/>
    <s v="N"/>
    <n v="21349876"/>
    <s v="3000005948260050"/>
    <s v="CIVIL"/>
    <d v="2023-06-21T00:00:00"/>
    <d v="2023-07-10T19:01:40"/>
    <m/>
    <d v="2023-07-10T00:00:00"/>
    <n v="1600"/>
    <n v="15907"/>
    <s v="10058695"/>
    <s v="10058695"/>
    <m/>
    <m/>
    <n v="22732596"/>
    <m/>
    <m/>
    <m/>
    <s v="SOLFIN"/>
    <s v="SOLFIN"/>
    <s v="CCMS"/>
    <n v="21349876"/>
    <n v="32101.97"/>
    <m/>
    <s v="N"/>
    <n v="16"/>
    <d v="2023-07-10T19:02:01"/>
    <s v="Y"/>
    <s v="Interpreter"/>
    <s v="Public Law Children"/>
    <s v="Expert Disbursement"/>
    <s v="JPR"/>
    <s v="Y"/>
    <n v="234.9"/>
    <n v="46.98"/>
    <x v="2"/>
    <s v="VALIDATED"/>
    <n v="1"/>
    <s v="01.11.80.308.6300.0000"/>
    <n v="234.9"/>
    <s v="11"/>
    <s v="6300"/>
    <n v="22185.3"/>
    <n v="234.9"/>
    <s v="CREDITOR"/>
    <n v="0"/>
    <n v="0"/>
    <n v="0"/>
    <n v="0"/>
    <n v="234.9"/>
  </r>
  <r>
    <n v="61157903"/>
    <s v="N"/>
    <n v="21328104"/>
    <s v="3000015340490004"/>
    <s v="CIVIL"/>
    <d v="2023-06-26T00:00:00"/>
    <d v="2023-07-04T19:00:44"/>
    <m/>
    <d v="2023-07-04T00:00:00"/>
    <n v="1600"/>
    <n v="15907"/>
    <s v="61157903"/>
    <s v="61157903"/>
    <m/>
    <m/>
    <n v="22765064"/>
    <m/>
    <m/>
    <m/>
    <s v="SOLFIN"/>
    <s v="SOLFIN"/>
    <s v="CCMS"/>
    <n v="21328104"/>
    <n v="4091.61"/>
    <m/>
    <s v="N"/>
    <n v="7"/>
    <d v="2023-07-04T19:01:04"/>
    <s v="Y"/>
    <s v="Advocates Meeting"/>
    <s v="Public Law Children"/>
    <s v="Advocacy"/>
    <s v="CLP"/>
    <s v="Y"/>
    <n v="128.16"/>
    <n v="25.63"/>
    <x v="1"/>
    <s v="VALIDATED"/>
    <n v="1"/>
    <s v="01.11.80.308.6100.0000"/>
    <n v="128.16"/>
    <s v="11"/>
    <s v="6100"/>
    <n v="22185.3"/>
    <n v="128.16"/>
    <s v="CREDITOR"/>
    <n v="0"/>
    <n v="0"/>
    <n v="0"/>
    <n v="0"/>
    <n v="128.16"/>
  </r>
  <r>
    <n v="10058695"/>
    <s v="N"/>
    <n v="21349876"/>
    <s v="3000005948260050"/>
    <s v="CIVIL"/>
    <d v="2023-06-21T00:00:00"/>
    <d v="2023-07-10T19:01:40"/>
    <m/>
    <d v="2023-07-10T00:00:00"/>
    <n v="1600"/>
    <n v="15907"/>
    <s v="10058695"/>
    <s v="10058695"/>
    <m/>
    <m/>
    <n v="22732596"/>
    <m/>
    <m/>
    <m/>
    <s v="SOLFIN"/>
    <s v="SOLFIN"/>
    <s v="CCMS"/>
    <n v="21349876"/>
    <n v="32101.97"/>
    <m/>
    <s v="N"/>
    <n v="36"/>
    <d v="2023-07-10T19:02:01"/>
    <s v="Y"/>
    <s v="Interpreter"/>
    <s v="Public Law Children"/>
    <s v="Expert Disbursement"/>
    <s v="JPR"/>
    <s v="Y"/>
    <n v="352.04"/>
    <n v="70.41"/>
    <x v="2"/>
    <s v="VALIDATED"/>
    <n v="1"/>
    <s v="01.11.80.308.6300.0000"/>
    <n v="352.04"/>
    <s v="11"/>
    <s v="6300"/>
    <n v="22185.3"/>
    <n v="352.04"/>
    <s v="CREDITOR"/>
    <n v="0"/>
    <n v="0"/>
    <n v="0"/>
    <n v="0"/>
    <n v="352.04"/>
  </r>
  <r>
    <n v="10058695"/>
    <s v="N"/>
    <n v="21349876"/>
    <s v="3000005948260050"/>
    <s v="CIVIL"/>
    <d v="2023-06-21T00:00:00"/>
    <d v="2023-07-10T19:01:40"/>
    <m/>
    <d v="2023-07-10T00:00:00"/>
    <n v="1600"/>
    <n v="15907"/>
    <s v="10058695"/>
    <s v="10058695"/>
    <m/>
    <m/>
    <n v="22732596"/>
    <m/>
    <m/>
    <m/>
    <s v="SOLFIN"/>
    <s v="SOLFIN"/>
    <s v="CCMS"/>
    <n v="21349876"/>
    <n v="32101.97"/>
    <m/>
    <s v="N"/>
    <n v="28"/>
    <d v="2023-07-10T19:02:01"/>
    <s v="Y"/>
    <s v="Interpreter"/>
    <s v="Public Law Children"/>
    <s v="Expert Disbursement"/>
    <s v="JPR"/>
    <s v="Y"/>
    <n v="290.9"/>
    <n v="58.18"/>
    <x v="2"/>
    <s v="VALIDATED"/>
    <n v="1"/>
    <s v="01.11.80.308.6300.0000"/>
    <n v="290.9"/>
    <s v="11"/>
    <s v="6300"/>
    <n v="22185.3"/>
    <n v="290.9"/>
    <s v="CREDITOR"/>
    <n v="0"/>
    <n v="0"/>
    <n v="0"/>
    <n v="0"/>
    <n v="290.9"/>
  </r>
  <r>
    <n v="59810816"/>
    <s v="N"/>
    <n v="21318448"/>
    <s v="3000014183000006"/>
    <s v="CIVIL"/>
    <d v="2023-06-22T00:00:00"/>
    <d v="2023-07-03T19:01:49"/>
    <m/>
    <d v="2023-07-03T00:00:00"/>
    <n v="1600"/>
    <n v="15907"/>
    <s v="59810816"/>
    <s v="59810816"/>
    <m/>
    <m/>
    <n v="22744926"/>
    <m/>
    <m/>
    <m/>
    <s v="SOLFIN"/>
    <s v="SOLFIN"/>
    <s v="CCMS"/>
    <n v="21318448"/>
    <n v="8773.290000000001"/>
    <m/>
    <s v="N"/>
    <n v="28"/>
    <d v="2023-07-03T19:01:56"/>
    <s v="Y"/>
    <s v="Attendance upon/with Counsel at Con"/>
    <s v="Prescribed Hourly Rates"/>
    <s v="Profit Cost"/>
    <s v="GHJ"/>
    <s v="Y"/>
    <n v="185.66"/>
    <n v="37.13"/>
    <x v="3"/>
    <s v="VALIDATED"/>
    <n v="1"/>
    <s v="01.11.80.305.6100.0000"/>
    <n v="185.66"/>
    <s v="11"/>
    <s v="6100"/>
    <n v="22185.3"/>
    <n v="185.66"/>
    <s v="CREDITOR"/>
    <n v="0"/>
    <n v="0"/>
    <n v="0"/>
    <n v="0"/>
    <n v="185.66"/>
  </r>
  <r>
    <n v="61769070"/>
    <s v="N"/>
    <n v="21331203"/>
    <s v="3000015846750001"/>
    <s v="CIVIL"/>
    <d v="2023-06-26T00:00:00"/>
    <d v="2023-07-05T19:01:47"/>
    <m/>
    <d v="2023-07-05T00:00:00"/>
    <n v="1600"/>
    <n v="15907"/>
    <s v="61769070"/>
    <s v="61769070"/>
    <m/>
    <m/>
    <n v="22762040"/>
    <m/>
    <m/>
    <m/>
    <s v="SOLFIN"/>
    <s v="SOLFIN"/>
    <s v="CCMS"/>
    <n v="21331203"/>
    <n v="1397.31"/>
    <m/>
    <s v="N"/>
    <n v="4"/>
    <d v="2023-07-05T19:02:10"/>
    <s v="Y"/>
    <s v="Attendance upon client"/>
    <s v="Care Remuneration Hourly Rates"/>
    <s v="Profit Cost"/>
    <s v="GHJ"/>
    <s v="Y"/>
    <n v="14.6"/>
    <n v="2.92"/>
    <x v="6"/>
    <s v="VALIDATED"/>
    <n v="1"/>
    <s v="01.11.80.305.6100.0000"/>
    <n v="14.6"/>
    <s v="11"/>
    <s v="6100"/>
    <n v="22185.3"/>
    <n v="14.6"/>
    <s v="CREDITOR"/>
    <n v="0"/>
    <n v="0"/>
    <n v="0"/>
    <n v="0"/>
    <n v="14.6"/>
  </r>
  <r>
    <n v="10058695"/>
    <s v="N"/>
    <n v="21349876"/>
    <s v="3000005948260050"/>
    <s v="CIVIL"/>
    <d v="2023-06-21T00:00:00"/>
    <d v="2023-07-10T19:01:40"/>
    <m/>
    <d v="2023-07-10T00:00:00"/>
    <n v="1600"/>
    <n v="15907"/>
    <s v="10058695"/>
    <s v="10058695"/>
    <m/>
    <m/>
    <n v="22732596"/>
    <m/>
    <m/>
    <m/>
    <s v="SOLFIN"/>
    <s v="SOLFIN"/>
    <s v="CCMS"/>
    <n v="21349876"/>
    <n v="32101.97"/>
    <m/>
    <s v="N"/>
    <n v="35"/>
    <d v="2023-07-10T19:02:01"/>
    <s v="Y"/>
    <s v="Interpreter"/>
    <s v="Public Law Children"/>
    <s v="Expert Disbursement"/>
    <s v="JPR"/>
    <s v="Y"/>
    <n v="184.19"/>
    <n v="36.84"/>
    <x v="2"/>
    <s v="VALIDATED"/>
    <n v="1"/>
    <s v="01.11.80.308.6300.0000"/>
    <n v="184.19"/>
    <s v="11"/>
    <s v="6300"/>
    <n v="22185.3"/>
    <n v="184.19"/>
    <s v="CREDITOR"/>
    <n v="0"/>
    <n v="0"/>
    <n v="0"/>
    <n v="0"/>
    <n v="184.19"/>
  </r>
  <r>
    <n v="10058695"/>
    <s v="N"/>
    <n v="21349876"/>
    <s v="3000005948260050"/>
    <s v="CIVIL"/>
    <d v="2023-06-21T00:00:00"/>
    <d v="2023-07-10T19:01:40"/>
    <m/>
    <d v="2023-07-10T00:00:00"/>
    <n v="1600"/>
    <n v="15907"/>
    <s v="10058695"/>
    <s v="10058695"/>
    <m/>
    <m/>
    <n v="22732596"/>
    <m/>
    <m/>
    <m/>
    <s v="SOLFIN"/>
    <s v="SOLFIN"/>
    <s v="CCMS"/>
    <n v="21349876"/>
    <n v="32101.97"/>
    <m/>
    <s v="N"/>
    <n v="8"/>
    <d v="2023-07-10T19:02:01"/>
    <s v="Y"/>
    <s v="Profit Costs (Summary)"/>
    <s v="Public Law Children"/>
    <s v="Profit Cost"/>
    <s v="JPR"/>
    <s v="Y"/>
    <n v="17028"/>
    <n v="3405.59"/>
    <x v="2"/>
    <s v="VALIDATED"/>
    <n v="1"/>
    <s v="01.11.80.308.6100.0000"/>
    <n v="17028"/>
    <s v="11"/>
    <s v="6100"/>
    <n v="22185.3"/>
    <n v="17028"/>
    <s v="CREDITOR"/>
    <n v="0"/>
    <n v="0"/>
    <n v="0"/>
    <n v="0"/>
    <n v="17028"/>
  </r>
  <r>
    <n v="61628393"/>
    <s v="N"/>
    <n v="21338026"/>
    <s v="3000015733190013"/>
    <s v="CIVIL"/>
    <d v="2023-06-29T00:00:00"/>
    <d v="2023-07-06T19:21:01"/>
    <m/>
    <d v="2023-07-06T00:00:00"/>
    <n v="1600"/>
    <n v="15907"/>
    <s v="61628393"/>
    <s v="61628393"/>
    <m/>
    <m/>
    <n v="22789702"/>
    <m/>
    <m/>
    <m/>
    <s v="SOLPOA"/>
    <s v="SOLPOA"/>
    <s v="CCMS"/>
    <n v="21338026"/>
    <n v="491.34"/>
    <m/>
    <s v="N"/>
    <n v="1"/>
    <d v="2023-07-06T19:21:11"/>
    <s v="N"/>
    <s v="Expert Cost"/>
    <s v="Expert Cost"/>
    <s v="Expert Disbursement"/>
    <s v="CLP"/>
    <s v="N"/>
    <n v="409.45"/>
    <n v="81.89"/>
    <x v="4"/>
    <s v="VALIDATED"/>
    <n v="1"/>
    <s v="01.11.80.308.2012.0000"/>
    <n v="409.45"/>
    <s v="11"/>
    <s v="2012"/>
    <n v="22185.3"/>
    <n v="409.45"/>
    <s v="CREDITOR"/>
    <n v="409.45"/>
    <n v="0"/>
    <n v="0"/>
    <n v="0"/>
    <n v="0"/>
  </r>
  <r>
    <n v="59904503"/>
    <s v="N"/>
    <n v="21360883"/>
    <s v="3000014261050017"/>
    <s v="CIVIL"/>
    <d v="2023-06-30T00:00:00"/>
    <d v="2023-07-11T19:00:25"/>
    <m/>
    <d v="2023-07-11T00:00:00"/>
    <n v="1600"/>
    <n v="15907"/>
    <s v="59904503"/>
    <s v="59904503"/>
    <m/>
    <m/>
    <n v="22794274"/>
    <m/>
    <m/>
    <m/>
    <s v="SOLFIN"/>
    <s v="SOLFIN"/>
    <s v="CCMS"/>
    <n v="21360883"/>
    <n v="7687.47"/>
    <m/>
    <s v="N"/>
    <n v="13"/>
    <d v="2023-07-11T19:00:38"/>
    <s v="Y"/>
    <s v="Toxicologist"/>
    <s v="Public Law Children"/>
    <s v="Expert Disbursement"/>
    <s v="VCG"/>
    <s v="Y"/>
    <n v="468"/>
    <n v="93.59999999999999"/>
    <x v="7"/>
    <s v="VALIDATED"/>
    <n v="1"/>
    <s v="01.11.80.308.6300.0000"/>
    <n v="468"/>
    <s v="11"/>
    <s v="6300"/>
    <n v="22185.3"/>
    <n v="468"/>
    <s v="CREDITOR"/>
    <n v="0"/>
    <n v="0"/>
    <n v="0"/>
    <n v="0"/>
    <n v="468"/>
  </r>
  <r>
    <n v="61769070"/>
    <s v="N"/>
    <n v="21331203"/>
    <s v="3000015846750001"/>
    <s v="CIVIL"/>
    <d v="2023-06-26T00:00:00"/>
    <d v="2023-07-05T19:01:47"/>
    <m/>
    <d v="2023-07-05T00:00:00"/>
    <n v="1600"/>
    <n v="15907"/>
    <s v="61769070"/>
    <s v="61769070"/>
    <m/>
    <m/>
    <n v="22762040"/>
    <m/>
    <m/>
    <m/>
    <s v="SOLFIN"/>
    <s v="SOLFIN"/>
    <s v="CCMS"/>
    <n v="21331203"/>
    <n v="1397.31"/>
    <m/>
    <s v="N"/>
    <n v="18"/>
    <d v="2023-07-05T19:02:10"/>
    <s v="Y"/>
    <s v="Final Hearing - 1 Day"/>
    <s v="Other Public Law Children"/>
    <s v="Advocacy"/>
    <s v="GHJ"/>
    <s v="Y"/>
    <n v="510.75"/>
    <n v="102.15"/>
    <x v="6"/>
    <s v="VALIDATED"/>
    <n v="1"/>
    <s v="01.11.80.305.6100.0000"/>
    <n v="510.75"/>
    <s v="11"/>
    <s v="6100"/>
    <n v="22185.3"/>
    <n v="510.75"/>
    <s v="CREDITOR"/>
    <n v="0"/>
    <n v="0"/>
    <n v="0"/>
    <n v="0"/>
    <n v="510.75"/>
  </r>
  <r>
    <n v="59810816"/>
    <s v="N"/>
    <n v="21318448"/>
    <s v="3000014183000006"/>
    <s v="CIVIL"/>
    <d v="2023-06-22T00:00:00"/>
    <d v="2023-07-03T19:01:49"/>
    <m/>
    <d v="2023-07-03T00:00:00"/>
    <n v="1600"/>
    <n v="15907"/>
    <s v="59810816"/>
    <s v="59810816"/>
    <m/>
    <m/>
    <n v="22744926"/>
    <m/>
    <m/>
    <m/>
    <s v="SOLFIN"/>
    <s v="SOLFIN"/>
    <s v="CCMS"/>
    <n v="21318448"/>
    <n v="8773.290000000001"/>
    <m/>
    <s v="N"/>
    <n v="32"/>
    <d v="2023-07-03T19:01:56"/>
    <s v="Y"/>
    <s v="Preparation - other"/>
    <s v="Prescribed Hourly Rates"/>
    <s v="Profit Cost"/>
    <s v="GHJ"/>
    <s v="Y"/>
    <n v="210.4"/>
    <n v="42.08"/>
    <x v="3"/>
    <s v="VALIDATED"/>
    <n v="1"/>
    <s v="01.11.80.305.6100.0000"/>
    <n v="210.4"/>
    <s v="11"/>
    <s v="6100"/>
    <n v="22185.3"/>
    <n v="210.4"/>
    <s v="CREDITOR"/>
    <n v="0"/>
    <n v="0"/>
    <n v="0"/>
    <n v="0"/>
    <n v="210.4"/>
  </r>
  <r>
    <n v="59810816"/>
    <s v="N"/>
    <n v="21318448"/>
    <s v="3000014183000006"/>
    <s v="CIVIL"/>
    <d v="2023-06-22T00:00:00"/>
    <d v="2023-07-03T19:01:49"/>
    <m/>
    <d v="2023-07-03T00:00:00"/>
    <n v="1600"/>
    <n v="15907"/>
    <s v="59810816"/>
    <s v="59810816"/>
    <m/>
    <m/>
    <n v="22744926"/>
    <m/>
    <m/>
    <m/>
    <s v="SOLFIN"/>
    <s v="SOLFIN"/>
    <s v="CCMS"/>
    <n v="21318448"/>
    <n v="8773.290000000001"/>
    <m/>
    <s v="N"/>
    <n v="35"/>
    <d v="2023-07-03T19:01:56"/>
    <s v="Y"/>
    <s v="Preparation - other"/>
    <s v="Prescribed Hourly Rates"/>
    <s v="Profit Cost"/>
    <s v="MCR"/>
    <s v="Y"/>
    <n v="26.3"/>
    <n v="5.26"/>
    <x v="3"/>
    <s v="VALIDATED"/>
    <n v="1"/>
    <s v="01.11.80.305.6100.0000"/>
    <n v="26.3"/>
    <s v="11"/>
    <s v="6100"/>
    <n v="22185.3"/>
    <n v="26.3"/>
    <s v="CREDITOR"/>
    <n v="0"/>
    <n v="0"/>
    <n v="0"/>
    <n v="0"/>
    <n v="26.3"/>
  </r>
  <r>
    <n v="59904503"/>
    <s v="N"/>
    <n v="21360883"/>
    <s v="3000014261050017"/>
    <s v="CIVIL"/>
    <d v="2023-06-30T00:00:00"/>
    <d v="2023-07-11T19:00:25"/>
    <m/>
    <d v="2023-07-11T00:00:00"/>
    <n v="1600"/>
    <n v="15907"/>
    <s v="59904503"/>
    <s v="59904503"/>
    <m/>
    <m/>
    <n v="22794274"/>
    <m/>
    <m/>
    <m/>
    <s v="SOLFIN"/>
    <s v="SOLFIN"/>
    <s v="CCMS"/>
    <n v="21360883"/>
    <n v="7687.47"/>
    <m/>
    <s v="N"/>
    <n v="8"/>
    <d v="2023-07-11T19:00:38"/>
    <s v="Y"/>
    <s v="Psychologist"/>
    <s v="Public Law Children"/>
    <s v="Expert Disbursement"/>
    <s v="VCG"/>
    <s v="Y"/>
    <n v="160.46"/>
    <n v="32.09"/>
    <x v="7"/>
    <s v="VALIDATED"/>
    <n v="1"/>
    <s v="01.11.80.308.6300.0000"/>
    <n v="160.46"/>
    <s v="11"/>
    <s v="6300"/>
    <n v="22185.3"/>
    <n v="160.46"/>
    <s v="CREDITOR"/>
    <n v="0"/>
    <n v="0"/>
    <n v="0"/>
    <n v="0"/>
    <n v="160.46"/>
  </r>
  <r>
    <n v="59904503"/>
    <s v="N"/>
    <n v="21360883"/>
    <s v="3000014261050017"/>
    <s v="CIVIL"/>
    <d v="2023-06-30T00:00:00"/>
    <d v="2023-07-11T19:00:25"/>
    <m/>
    <d v="2023-07-11T00:00:00"/>
    <n v="1600"/>
    <n v="15907"/>
    <s v="59904503"/>
    <s v="59904503"/>
    <m/>
    <m/>
    <n v="22794274"/>
    <m/>
    <m/>
    <m/>
    <s v="SOLFIN"/>
    <s v="SOLFIN"/>
    <s v="CCMS"/>
    <n v="21360883"/>
    <n v="7687.47"/>
    <m/>
    <s v="N"/>
    <n v="11"/>
    <d v="2023-07-11T19:00:38"/>
    <s v="Y"/>
    <s v="Court Fee"/>
    <s v="Public Law Children"/>
    <s v="Non Expert Disbursement"/>
    <s v="VCG"/>
    <s v="Y"/>
    <n v="53"/>
    <n v="0"/>
    <x v="7"/>
    <s v="VALIDATED"/>
    <n v="1"/>
    <s v="01.11.80.308.6300.0000"/>
    <n v="53"/>
    <s v="11"/>
    <s v="6300"/>
    <n v="22185.3"/>
    <n v="53"/>
    <s v="CREDITOR"/>
    <n v="0"/>
    <n v="0"/>
    <n v="0"/>
    <n v="0"/>
    <n v="53"/>
  </r>
  <r>
    <n v="59810816"/>
    <s v="N"/>
    <n v="21318448"/>
    <s v="3000014183000006"/>
    <s v="CIVIL"/>
    <d v="2023-06-22T00:00:00"/>
    <d v="2023-07-03T19:01:49"/>
    <m/>
    <d v="2023-07-03T00:00:00"/>
    <n v="1600"/>
    <n v="15907"/>
    <s v="59810816"/>
    <s v="59810816"/>
    <m/>
    <m/>
    <n v="22744926"/>
    <m/>
    <m/>
    <m/>
    <s v="SOLFIN"/>
    <s v="SOLFIN"/>
    <s v="CCMS"/>
    <n v="21318448"/>
    <n v="8773.290000000001"/>
    <m/>
    <s v="N"/>
    <n v="11"/>
    <d v="2023-07-03T19:01:56"/>
    <s v="Y"/>
    <s v="Preparation - other"/>
    <s v="Prescribed Hourly Rates"/>
    <s v="Profit Cost"/>
    <s v="GHJ"/>
    <s v="Y"/>
    <n v="236.7"/>
    <n v="47.34"/>
    <x v="3"/>
    <s v="VALIDATED"/>
    <n v="1"/>
    <s v="01.11.80.305.6100.0000"/>
    <n v="236.7"/>
    <s v="11"/>
    <s v="6100"/>
    <n v="22185.3"/>
    <n v="236.7"/>
    <s v="CREDITOR"/>
    <n v="0"/>
    <n v="0"/>
    <n v="0"/>
    <n v="0"/>
    <n v="236.7"/>
  </r>
  <r>
    <n v="10058695"/>
    <s v="N"/>
    <n v="21349876"/>
    <s v="3000005948260050"/>
    <s v="CIVIL"/>
    <d v="2023-06-21T00:00:00"/>
    <d v="2023-07-10T19:01:40"/>
    <m/>
    <d v="2023-07-10T00:00:00"/>
    <n v="1600"/>
    <n v="15907"/>
    <s v="10058695"/>
    <s v="10058695"/>
    <m/>
    <m/>
    <n v="22732596"/>
    <m/>
    <m/>
    <m/>
    <s v="SOLFIN"/>
    <s v="SOLFIN"/>
    <s v="CCMS"/>
    <n v="21349876"/>
    <n v="32101.97"/>
    <m/>
    <s v="N"/>
    <n v="34"/>
    <d v="2023-07-10T19:02:01"/>
    <s v="Y"/>
    <s v="Interpreter"/>
    <s v="Public Law Children"/>
    <s v="Expert Disbursement"/>
    <s v="JPR"/>
    <s v="Y"/>
    <n v="153.78"/>
    <n v="30.76"/>
    <x v="2"/>
    <s v="VALIDATED"/>
    <n v="1"/>
    <s v="01.11.80.308.6300.0000"/>
    <n v="153.78"/>
    <s v="11"/>
    <s v="6300"/>
    <n v="22185.3"/>
    <n v="153.78"/>
    <s v="CREDITOR"/>
    <n v="0"/>
    <n v="0"/>
    <n v="0"/>
    <n v="0"/>
    <n v="153.78"/>
  </r>
  <r>
    <n v="61769070"/>
    <s v="N"/>
    <n v="21331203"/>
    <s v="3000015846750001"/>
    <s v="CIVIL"/>
    <d v="2023-06-26T00:00:00"/>
    <d v="2023-07-05T19:01:47"/>
    <m/>
    <d v="2023-07-05T00:00:00"/>
    <n v="1600"/>
    <n v="15907"/>
    <s v="61769070"/>
    <s v="61769070"/>
    <m/>
    <m/>
    <n v="22762040"/>
    <m/>
    <m/>
    <m/>
    <s v="SOLFIN"/>
    <s v="SOLFIN"/>
    <s v="CCMS"/>
    <n v="21331203"/>
    <n v="1397.31"/>
    <m/>
    <s v="N"/>
    <n v="7"/>
    <d v="2023-07-05T19:02:10"/>
    <s v="Y"/>
    <s v="Preparation - other"/>
    <s v="Care Remuneration Hourly Rates"/>
    <s v="Profit Cost"/>
    <s v="GHJ"/>
    <s v="Y"/>
    <n v="14.6"/>
    <n v="2.92"/>
    <x v="6"/>
    <s v="VALIDATED"/>
    <n v="1"/>
    <s v="01.11.80.305.6100.0000"/>
    <n v="14.6"/>
    <s v="11"/>
    <s v="6100"/>
    <n v="22185.3"/>
    <n v="14.6"/>
    <s v="CREDITOR"/>
    <n v="0"/>
    <n v="0"/>
    <n v="0"/>
    <n v="0"/>
    <n v="14.6"/>
  </r>
  <r>
    <n v="61769070"/>
    <s v="N"/>
    <n v="21331203"/>
    <s v="3000015846750001"/>
    <s v="CIVIL"/>
    <d v="2023-06-26T00:00:00"/>
    <d v="2023-07-05T19:01:47"/>
    <m/>
    <d v="2023-07-05T00:00:00"/>
    <n v="1600"/>
    <n v="15907"/>
    <s v="61769070"/>
    <s v="61769070"/>
    <m/>
    <m/>
    <n v="22762040"/>
    <m/>
    <m/>
    <m/>
    <s v="SOLFIN"/>
    <s v="SOLFIN"/>
    <s v="CCMS"/>
    <n v="21331203"/>
    <n v="1397.31"/>
    <m/>
    <s v="N"/>
    <n v="15"/>
    <d v="2023-07-05T19:02:10"/>
    <s v="Y"/>
    <s v="Routine Telephone Call"/>
    <s v="Care Remuneration Hourly Rates"/>
    <s v="Profit Cost"/>
    <s v="GHJ"/>
    <s v="Y"/>
    <n v="12.73"/>
    <n v="2.55"/>
    <x v="6"/>
    <s v="VALIDATED"/>
    <n v="1"/>
    <s v="01.11.80.305.6100.0000"/>
    <n v="12.73"/>
    <s v="11"/>
    <s v="6100"/>
    <n v="22185.3"/>
    <n v="12.73"/>
    <s v="CREDITOR"/>
    <n v="0"/>
    <n v="0"/>
    <n v="0"/>
    <n v="0"/>
    <n v="12.73"/>
  </r>
  <r>
    <n v="59810816"/>
    <s v="N"/>
    <n v="21318448"/>
    <s v="3000014183000006"/>
    <s v="CIVIL"/>
    <d v="2023-06-22T00:00:00"/>
    <d v="2023-07-03T19:01:49"/>
    <m/>
    <d v="2023-07-03T00:00:00"/>
    <n v="1600"/>
    <n v="15907"/>
    <s v="59810816"/>
    <s v="59810816"/>
    <m/>
    <m/>
    <n v="22744926"/>
    <m/>
    <m/>
    <m/>
    <s v="SOLFIN"/>
    <s v="SOLFIN"/>
    <s v="CCMS"/>
    <n v="21318448"/>
    <n v="8773.290000000001"/>
    <m/>
    <s v="N"/>
    <n v="42"/>
    <d v="2023-07-03T19:01:56"/>
    <s v="Y"/>
    <s v="Preparation - other"/>
    <s v="Prescribed Hourly Rates"/>
    <s v="Profit Cost"/>
    <s v="GHJ"/>
    <s v="Y"/>
    <n v="39.46"/>
    <n v="7.89"/>
    <x v="3"/>
    <s v="VALIDATED"/>
    <n v="1"/>
    <s v="01.11.80.305.6100.0000"/>
    <n v="39.46"/>
    <s v="11"/>
    <s v="6100"/>
    <n v="22185.3"/>
    <n v="39.46"/>
    <s v="CREDITOR"/>
    <n v="0"/>
    <n v="0"/>
    <n v="0"/>
    <n v="0"/>
    <n v="39.46"/>
  </r>
  <r>
    <n v="62113945"/>
    <s v="N"/>
    <n v="21321407"/>
    <s v="3000016138880004"/>
    <s v="CIVIL"/>
    <d v="2023-06-29T00:00:00"/>
    <d v="2023-07-03T19:05:17"/>
    <m/>
    <d v="2023-07-03T00:00:00"/>
    <n v="1600"/>
    <n v="15907"/>
    <s v="62113945"/>
    <s v="62113945"/>
    <m/>
    <m/>
    <n v="22784950"/>
    <m/>
    <m/>
    <m/>
    <s v="SOLPOA"/>
    <s v="SOLPOA"/>
    <s v="CCMS"/>
    <n v="21321407"/>
    <n v="1572.12"/>
    <m/>
    <s v="N"/>
    <n v="1"/>
    <d v="2023-07-03T19:05:18"/>
    <s v="N"/>
    <s v="Solicitors Fixed Fee"/>
    <s v="Public Law Children"/>
    <s v="Profit Cost"/>
    <s v="JKP"/>
    <s v="N"/>
    <n v="1310.1"/>
    <n v="262.02"/>
    <x v="3"/>
    <s v="VALIDATED"/>
    <n v="1"/>
    <s v="01.11.80.308.2012.0000"/>
    <n v="1310.1"/>
    <s v="11"/>
    <s v="2012"/>
    <n v="22185.3"/>
    <n v="1310.1"/>
    <s v="CREDITOR"/>
    <n v="1310.1"/>
    <n v="327.525"/>
    <n v="0"/>
    <n v="0"/>
    <n v="0"/>
  </r>
  <r>
    <n v="59810816"/>
    <s v="N"/>
    <n v="21318448"/>
    <s v="3000014183000006"/>
    <s v="CIVIL"/>
    <d v="2023-06-22T00:00:00"/>
    <d v="2023-07-03T19:01:49"/>
    <m/>
    <d v="2023-07-03T00:00:00"/>
    <n v="1600"/>
    <n v="15907"/>
    <s v="59810816"/>
    <s v="59810816"/>
    <m/>
    <m/>
    <n v="22744926"/>
    <m/>
    <m/>
    <m/>
    <s v="SOLFIN"/>
    <s v="SOLFIN"/>
    <s v="CCMS"/>
    <n v="21318448"/>
    <n v="8773.290000000001"/>
    <m/>
    <s v="N"/>
    <n v="46"/>
    <d v="2023-07-03T19:01:56"/>
    <s v="Y"/>
    <s v="Routine Telephone Call"/>
    <s v="Prescribed Hourly Rates"/>
    <s v="Profit Cost"/>
    <s v="GHJ"/>
    <s v="Y"/>
    <n v="36.51"/>
    <n v="7.3"/>
    <x v="3"/>
    <s v="VALIDATED"/>
    <n v="1"/>
    <s v="01.11.80.305.6100.0000"/>
    <n v="36.51"/>
    <s v="11"/>
    <s v="6100"/>
    <n v="22185.3"/>
    <n v="36.51"/>
    <s v="CREDITOR"/>
    <n v="0"/>
    <n v="0"/>
    <n v="0"/>
    <n v="0"/>
    <n v="36.51"/>
  </r>
  <r>
    <n v="59810816"/>
    <s v="N"/>
    <n v="21318448"/>
    <s v="3000014183000006"/>
    <s v="CIVIL"/>
    <d v="2023-06-22T00:00:00"/>
    <d v="2023-07-03T19:01:49"/>
    <m/>
    <d v="2023-07-03T00:00:00"/>
    <n v="1600"/>
    <n v="15907"/>
    <s v="59810816"/>
    <s v="59810816"/>
    <m/>
    <m/>
    <n v="22744926"/>
    <m/>
    <m/>
    <m/>
    <s v="SOLFIN"/>
    <s v="SOLFIN"/>
    <s v="CCMS"/>
    <n v="21318448"/>
    <n v="8773.290000000001"/>
    <m/>
    <s v="N"/>
    <n v="37"/>
    <d v="2023-07-03T19:01:56"/>
    <s v="Y"/>
    <s v="Preparation - other"/>
    <s v="Prescribed Hourly Rates"/>
    <s v="Profit Cost"/>
    <s v="GHJ"/>
    <s v="Y"/>
    <n v="263"/>
    <n v="52.6"/>
    <x v="3"/>
    <s v="VALIDATED"/>
    <n v="1"/>
    <s v="01.11.80.305.6100.0000"/>
    <n v="263"/>
    <s v="11"/>
    <s v="6100"/>
    <n v="22185.3"/>
    <n v="263"/>
    <s v="CREDITOR"/>
    <n v="0"/>
    <n v="0"/>
    <n v="0"/>
    <n v="0"/>
    <n v="263"/>
  </r>
  <r>
    <n v="10058695"/>
    <s v="N"/>
    <n v="21349876"/>
    <s v="3000005948260050"/>
    <s v="CIVIL"/>
    <d v="2023-06-21T00:00:00"/>
    <d v="2023-07-10T19:01:40"/>
    <m/>
    <d v="2023-07-10T00:00:00"/>
    <n v="1600"/>
    <n v="15907"/>
    <s v="10058695"/>
    <s v="10058695"/>
    <m/>
    <m/>
    <n v="22732596"/>
    <m/>
    <m/>
    <m/>
    <s v="SOLFIN"/>
    <s v="SOLFIN"/>
    <s v="CCMS"/>
    <n v="21349876"/>
    <n v="32101.97"/>
    <m/>
    <s v="N"/>
    <n v="2"/>
    <d v="2023-07-10T19:02:01"/>
    <s v="N"/>
    <s v="Interpreter"/>
    <s v="Public Law Children"/>
    <s v="Expert Disbursement"/>
    <s v="JPR"/>
    <s v="N"/>
    <n v="0"/>
    <n v="0"/>
    <x v="2"/>
    <s v="VALIDATED"/>
    <n v="1"/>
    <s v="01.11.80.308.6300.0000"/>
    <n v="0"/>
    <s v="11"/>
    <s v="6300"/>
    <n v="22185.3"/>
    <n v="0"/>
    <s v="CREDITOR"/>
    <n v="0"/>
    <n v="0"/>
    <n v="0"/>
    <n v="0"/>
    <n v="0"/>
  </r>
  <r>
    <n v="10058695"/>
    <s v="N"/>
    <n v="21349876"/>
    <s v="3000005948260050"/>
    <s v="CIVIL"/>
    <d v="2023-06-21T00:00:00"/>
    <d v="2023-07-10T19:01:40"/>
    <m/>
    <d v="2023-07-10T00:00:00"/>
    <n v="1600"/>
    <n v="15907"/>
    <s v="10058695"/>
    <s v="10058695"/>
    <m/>
    <m/>
    <n v="22732596"/>
    <m/>
    <m/>
    <m/>
    <s v="SOLFIN"/>
    <s v="SOLFIN"/>
    <s v="CCMS"/>
    <n v="21349876"/>
    <n v="32101.97"/>
    <m/>
    <s v="N"/>
    <n v="31"/>
    <d v="2023-07-10T19:02:01"/>
    <s v="Y"/>
    <s v="Interpreter"/>
    <s v="Public Law Children"/>
    <s v="Expert Disbursement"/>
    <s v="JPR"/>
    <s v="Y"/>
    <n v="268.09"/>
    <n v="53.62"/>
    <x v="2"/>
    <s v="VALIDATED"/>
    <n v="1"/>
    <s v="01.11.80.308.6300.0000"/>
    <n v="268.09"/>
    <s v="11"/>
    <s v="6300"/>
    <n v="22185.3"/>
    <n v="268.09"/>
    <s v="CREDITOR"/>
    <n v="0"/>
    <n v="0"/>
    <n v="0"/>
    <n v="0"/>
    <n v="268.09"/>
  </r>
  <r>
    <n v="59810816"/>
    <s v="N"/>
    <n v="21318448"/>
    <s v="3000014183000006"/>
    <s v="CIVIL"/>
    <d v="2023-06-22T00:00:00"/>
    <d v="2023-07-03T19:01:49"/>
    <m/>
    <d v="2023-07-03T00:00:00"/>
    <n v="1600"/>
    <n v="15907"/>
    <s v="59810816"/>
    <s v="59810816"/>
    <m/>
    <m/>
    <n v="22744926"/>
    <m/>
    <m/>
    <m/>
    <s v="SOLFIN"/>
    <s v="SOLFIN"/>
    <s v="CCMS"/>
    <n v="21318448"/>
    <n v="8773.290000000001"/>
    <m/>
    <s v="N"/>
    <n v="45"/>
    <d v="2023-07-03T19:01:56"/>
    <s v="Y"/>
    <s v="Routine Telephone Call"/>
    <s v="Prescribed Hourly Rates"/>
    <s v="Profit Cost"/>
    <s v="MCR"/>
    <s v="Y"/>
    <n v="25.4"/>
    <n v="5.08"/>
    <x v="3"/>
    <s v="VALIDATED"/>
    <n v="1"/>
    <s v="01.11.80.305.6100.0000"/>
    <n v="25.4"/>
    <s v="11"/>
    <s v="6100"/>
    <n v="22185.3"/>
    <n v="25.4"/>
    <s v="CREDITOR"/>
    <n v="0"/>
    <n v="0"/>
    <n v="0"/>
    <n v="0"/>
    <n v="25.4"/>
  </r>
  <r>
    <n v="59939122"/>
    <s v="N"/>
    <n v="21321687"/>
    <s v="3000014237730011"/>
    <s v="CIVIL"/>
    <d v="2023-06-29T00:00:00"/>
    <d v="2023-07-03T19:05:17"/>
    <m/>
    <d v="2023-07-03T00:00:00"/>
    <n v="1600"/>
    <n v="15907"/>
    <s v="59939122"/>
    <s v="59939122"/>
    <m/>
    <m/>
    <n v="22784934"/>
    <m/>
    <m/>
    <m/>
    <s v="SOLPOA"/>
    <s v="SOLPOA"/>
    <s v="CCMS"/>
    <n v="21321687"/>
    <n v="167"/>
    <m/>
    <s v="N"/>
    <n v="1"/>
    <d v="2023-07-03T19:05:20"/>
    <s v="N"/>
    <s v="Non Expert Disbursement - Private L"/>
    <s v="Non Expert Disbursement - Priv"/>
    <s v="Non Expert Disbursement"/>
    <s v="CLP"/>
    <s v="N"/>
    <n v="167"/>
    <n v="0"/>
    <x v="3"/>
    <s v="VALIDATED"/>
    <n v="1"/>
    <s v="01.11.80.302.2012.0000"/>
    <n v="167"/>
    <s v="11"/>
    <s v="2012"/>
    <n v="22185.3"/>
    <n v="167"/>
    <s v="CREDITOR"/>
    <n v="167"/>
    <n v="0"/>
    <n v="0"/>
    <n v="0"/>
    <n v="0"/>
  </r>
  <r>
    <n v="61655735"/>
    <s v="N"/>
    <n v="21321261"/>
    <s v="3000015755960010"/>
    <s v="CIVIL"/>
    <d v="2023-06-29T00:00:00"/>
    <d v="2023-07-03T19:05:17"/>
    <m/>
    <d v="2023-07-03T00:00:00"/>
    <n v="1600"/>
    <n v="15907"/>
    <s v="61655735"/>
    <s v="61655735"/>
    <m/>
    <m/>
    <n v="22784936"/>
    <m/>
    <m/>
    <m/>
    <s v="SOLPOA"/>
    <s v="SOLPOA"/>
    <s v="CCMS"/>
    <n v="21321261"/>
    <n v="1269.07"/>
    <m/>
    <s v="N"/>
    <n v="1"/>
    <d v="2023-07-03T19:05:17"/>
    <s v="N"/>
    <s v="Solicitors Fixed Fee"/>
    <s v="Public Law Children"/>
    <s v="Profit Cost"/>
    <s v="JKP"/>
    <s v="N"/>
    <n v="1057.56"/>
    <n v="211.51"/>
    <x v="3"/>
    <s v="VALIDATED"/>
    <n v="1"/>
    <s v="01.11.80.308.2012.0000"/>
    <n v="1057.56"/>
    <s v="11"/>
    <s v="2012"/>
    <n v="22185.3"/>
    <n v="1057.56"/>
    <s v="CREDITOR"/>
    <n v="1057.56"/>
    <n v="264.39"/>
    <n v="0"/>
    <n v="0"/>
    <n v="0"/>
  </r>
  <r>
    <n v="10058695"/>
    <s v="N"/>
    <n v="21349876"/>
    <s v="3000005948260050"/>
    <s v="CIVIL"/>
    <d v="2023-06-21T00:00:00"/>
    <d v="2023-07-10T19:01:40"/>
    <m/>
    <d v="2023-07-10T00:00:00"/>
    <n v="1600"/>
    <n v="15907"/>
    <s v="10058695"/>
    <s v="10058695"/>
    <m/>
    <m/>
    <n v="22732596"/>
    <m/>
    <m/>
    <m/>
    <s v="SOLFIN"/>
    <s v="SOLFIN"/>
    <s v="CCMS"/>
    <n v="21349876"/>
    <n v="32101.97"/>
    <m/>
    <s v="N"/>
    <n v="29"/>
    <d v="2023-07-10T19:02:01"/>
    <s v="Y"/>
    <s v="Interpreter"/>
    <s v="Public Law Children"/>
    <s v="Expert Disbursement"/>
    <s v="JPR"/>
    <s v="Y"/>
    <n v="112"/>
    <n v="22.4"/>
    <x v="2"/>
    <s v="VALIDATED"/>
    <n v="1"/>
    <s v="01.11.80.308.6300.0000"/>
    <n v="112"/>
    <s v="11"/>
    <s v="6300"/>
    <n v="22185.3"/>
    <n v="112"/>
    <s v="CREDITOR"/>
    <n v="0"/>
    <n v="0"/>
    <n v="0"/>
    <n v="0"/>
    <n v="112"/>
  </r>
  <r>
    <n v="62321012"/>
    <s v="N"/>
    <n v="21327711"/>
    <s v="3000016309330001"/>
    <s v="CIVIL"/>
    <d v="2023-06-26T00:00:00"/>
    <d v="2023-07-04T19:00:44"/>
    <m/>
    <d v="2023-07-04T00:00:00"/>
    <n v="1600"/>
    <n v="15907"/>
    <s v="62321012"/>
    <s v="62321012"/>
    <m/>
    <m/>
    <n v="22760362"/>
    <m/>
    <m/>
    <m/>
    <s v="SOLFIN"/>
    <s v="SOLFIN"/>
    <s v="CCMS"/>
    <n v="21327711"/>
    <n v="2700"/>
    <m/>
    <s v="N"/>
    <n v="2"/>
    <d v="2023-07-04T19:00:52"/>
    <s v="N"/>
    <s v="Preparation - drafting statement"/>
    <s v="Prescribed Hourly Rates"/>
    <s v="Profit Cost"/>
    <s v="JOD"/>
    <s v="N"/>
    <n v="38.43"/>
    <n v="7.69"/>
    <x v="1"/>
    <s v="VALIDATED"/>
    <n v="1"/>
    <s v="01.11.80.305.6100.0000"/>
    <n v="38.43"/>
    <s v="11"/>
    <s v="6100"/>
    <n v="22185.3"/>
    <n v="38.43"/>
    <s v="CREDITOR"/>
    <n v="0"/>
    <n v="0"/>
    <n v="0"/>
    <n v="0"/>
    <n v="38.43"/>
  </r>
  <r>
    <n v="59810816"/>
    <s v="N"/>
    <n v="21318448"/>
    <s v="3000014183000006"/>
    <s v="CIVIL"/>
    <d v="2023-06-22T00:00:00"/>
    <d v="2023-07-03T19:01:49"/>
    <m/>
    <d v="2023-07-03T00:00:00"/>
    <n v="1600"/>
    <n v="15907"/>
    <s v="59810816"/>
    <s v="59810816"/>
    <m/>
    <m/>
    <n v="22744926"/>
    <m/>
    <m/>
    <m/>
    <s v="SOLFIN"/>
    <s v="SOLFIN"/>
    <s v="CCMS"/>
    <n v="21318448"/>
    <n v="8773.290000000001"/>
    <m/>
    <s v="N"/>
    <n v="24"/>
    <d v="2023-07-03T19:01:56"/>
    <s v="Y"/>
    <s v="Attendance upon client"/>
    <s v="Prescribed Hourly Rates"/>
    <s v="Profit Cost"/>
    <s v="GHJ"/>
    <s v="Y"/>
    <n v="39.46"/>
    <n v="7.89"/>
    <x v="3"/>
    <s v="VALIDATED"/>
    <n v="1"/>
    <s v="01.11.80.305.6100.0000"/>
    <n v="39.46"/>
    <s v="11"/>
    <s v="6100"/>
    <n v="22185.3"/>
    <n v="39.46"/>
    <s v="CREDITOR"/>
    <n v="0"/>
    <n v="0"/>
    <n v="0"/>
    <n v="0"/>
    <n v="39.46"/>
  </r>
  <r>
    <n v="10058695"/>
    <s v="N"/>
    <n v="21349876"/>
    <s v="3000005948260050"/>
    <s v="CIVIL"/>
    <d v="2023-06-21T00:00:00"/>
    <d v="2023-07-10T19:01:40"/>
    <m/>
    <d v="2023-07-10T00:00:00"/>
    <n v="1600"/>
    <n v="15907"/>
    <s v="10058695"/>
    <s v="10058695"/>
    <m/>
    <m/>
    <n v="22732596"/>
    <m/>
    <m/>
    <m/>
    <s v="SOLFIN"/>
    <s v="SOLFIN"/>
    <s v="CCMS"/>
    <n v="21349876"/>
    <n v="32101.97"/>
    <m/>
    <s v="N"/>
    <n v="11"/>
    <d v="2023-07-10T19:02:01"/>
    <s v="Y"/>
    <s v="Interpreter"/>
    <s v="Public Law Children"/>
    <s v="Expert Disbursement"/>
    <s v="JPR"/>
    <s v="Y"/>
    <n v="89.59999999999999"/>
    <n v="17.92"/>
    <x v="2"/>
    <s v="VALIDATED"/>
    <n v="1"/>
    <s v="01.11.80.308.6300.0000"/>
    <n v="89.59999999999999"/>
    <s v="11"/>
    <s v="6300"/>
    <n v="22185.3"/>
    <n v="89.59999999999999"/>
    <s v="CREDITOR"/>
    <n v="0"/>
    <n v="0"/>
    <n v="0"/>
    <n v="0"/>
    <n v="89.59999999999999"/>
  </r>
  <r>
    <n v="62321012"/>
    <s v="N"/>
    <n v="21327711"/>
    <s v="3000016309330001"/>
    <s v="CIVIL"/>
    <d v="2023-06-26T00:00:00"/>
    <d v="2023-07-04T19:00:44"/>
    <m/>
    <d v="2023-07-04T00:00:00"/>
    <n v="1600"/>
    <n v="15907"/>
    <s v="62321012"/>
    <s v="62321012"/>
    <m/>
    <m/>
    <n v="22760362"/>
    <m/>
    <m/>
    <m/>
    <s v="SOLFIN"/>
    <s v="SOLFIN"/>
    <s v="CCMS"/>
    <n v="21327711"/>
    <n v="2700"/>
    <m/>
    <s v="N"/>
    <n v="3"/>
    <d v="2023-07-04T19:00:52"/>
    <s v="Y"/>
    <s v="Preparation - drafting application"/>
    <s v="Prescribed Hourly Rates"/>
    <s v="Profit Cost"/>
    <s v="JMW"/>
    <s v="Y"/>
    <n v="6.84"/>
    <n v="1.37"/>
    <x v="1"/>
    <s v="VALIDATED"/>
    <n v="1"/>
    <s v="01.11.80.305.6100.0000"/>
    <n v="6.84"/>
    <s v="11"/>
    <s v="6100"/>
    <n v="22185.3"/>
    <n v="6.84"/>
    <s v="CREDITOR"/>
    <n v="0"/>
    <n v="0"/>
    <n v="0"/>
    <n v="0"/>
    <n v="6.84"/>
  </r>
  <r>
    <n v="60980645"/>
    <s v="N"/>
    <n v="21321661"/>
    <s v="3000015190110004"/>
    <s v="CIVIL"/>
    <d v="2023-06-29T00:00:00"/>
    <d v="2023-07-03T19:05:17"/>
    <m/>
    <d v="2023-07-03T00:00:00"/>
    <n v="1600"/>
    <n v="15907"/>
    <s v="60980645"/>
    <s v="60980645"/>
    <m/>
    <m/>
    <n v="22784924"/>
    <m/>
    <m/>
    <m/>
    <s v="SOLPOA"/>
    <s v="SOLPOA"/>
    <s v="CCMS"/>
    <n v="21321661"/>
    <n v="1200.22"/>
    <m/>
    <s v="N"/>
    <n v="1"/>
    <d v="2023-07-03T19:05:20"/>
    <s v="N"/>
    <s v="Solicitors Fixed Fee"/>
    <s v="Public Law Children"/>
    <s v="Profit Cost"/>
    <s v="JPR"/>
    <s v="N"/>
    <n v="1000.18"/>
    <n v="200.04"/>
    <x v="3"/>
    <s v="VALIDATED"/>
    <n v="1"/>
    <s v="01.11.80.308.2012.0000"/>
    <n v="1000.18"/>
    <s v="11"/>
    <s v="2012"/>
    <n v="22185.3"/>
    <n v="1000.18"/>
    <s v="CREDITOR"/>
    <n v="1000.18"/>
    <n v="250.045"/>
    <n v="0"/>
    <n v="0"/>
    <n v="0"/>
  </r>
  <r>
    <n v="59810816"/>
    <s v="N"/>
    <n v="21318448"/>
    <s v="3000014183000006"/>
    <s v="CIVIL"/>
    <d v="2023-06-22T00:00:00"/>
    <d v="2023-07-03T19:01:49"/>
    <m/>
    <d v="2023-07-03T00:00:00"/>
    <n v="1600"/>
    <n v="15907"/>
    <s v="59810816"/>
    <s v="59810816"/>
    <m/>
    <m/>
    <n v="22744926"/>
    <m/>
    <m/>
    <m/>
    <s v="SOLFIN"/>
    <s v="SOLFIN"/>
    <s v="CCMS"/>
    <n v="21318448"/>
    <n v="8773.290000000001"/>
    <m/>
    <s v="N"/>
    <n v="54"/>
    <d v="2023-07-03T19:01:56"/>
    <s v="Y"/>
    <s v="Attendance upon client"/>
    <s v="Prescribed Hourly Rates"/>
    <s v="Profit Cost"/>
    <s v="GHJ"/>
    <s v="Y"/>
    <n v="263"/>
    <n v="52.6"/>
    <x v="3"/>
    <s v="VALIDATED"/>
    <n v="1"/>
    <s v="01.11.80.305.6100.0000"/>
    <n v="263"/>
    <s v="11"/>
    <s v="6100"/>
    <n v="22185.3"/>
    <n v="263"/>
    <s v="CREDITOR"/>
    <n v="0"/>
    <n v="0"/>
    <n v="0"/>
    <n v="0"/>
    <n v="263"/>
  </r>
  <r>
    <n v="59810816"/>
    <s v="N"/>
    <n v="21318448"/>
    <s v="3000014183000006"/>
    <s v="CIVIL"/>
    <d v="2023-06-22T00:00:00"/>
    <d v="2023-07-03T19:01:49"/>
    <m/>
    <d v="2023-07-03T00:00:00"/>
    <n v="1600"/>
    <n v="15907"/>
    <s v="59810816"/>
    <s v="59810816"/>
    <m/>
    <m/>
    <n v="22744926"/>
    <m/>
    <m/>
    <m/>
    <s v="SOLFIN"/>
    <s v="SOLFIN"/>
    <s v="CCMS"/>
    <n v="21318448"/>
    <n v="8773.290000000001"/>
    <m/>
    <s v="N"/>
    <n v="38"/>
    <d v="2023-07-03T19:01:56"/>
    <s v="Y"/>
    <s v="Preparation - drafting notice(s)"/>
    <s v="Prescribed Hourly Rates"/>
    <s v="Profit Cost"/>
    <s v="MCR"/>
    <s v="Y"/>
    <n v="6.58"/>
    <n v="1.32"/>
    <x v="3"/>
    <s v="VALIDATED"/>
    <n v="1"/>
    <s v="01.11.80.305.6100.0000"/>
    <n v="6.58"/>
    <s v="11"/>
    <s v="6100"/>
    <n v="22185.3"/>
    <n v="6.58"/>
    <s v="CREDITOR"/>
    <n v="0"/>
    <n v="0"/>
    <n v="0"/>
    <n v="0"/>
    <n v="6.58"/>
  </r>
  <r>
    <n v="59810816"/>
    <s v="N"/>
    <n v="21318448"/>
    <s v="3000014183000006"/>
    <s v="CIVIL"/>
    <d v="2023-06-22T00:00:00"/>
    <d v="2023-07-03T19:01:49"/>
    <m/>
    <d v="2023-07-03T00:00:00"/>
    <n v="1600"/>
    <n v="15907"/>
    <s v="59810816"/>
    <s v="59810816"/>
    <m/>
    <m/>
    <n v="22744926"/>
    <m/>
    <m/>
    <m/>
    <s v="SOLFIN"/>
    <s v="SOLFIN"/>
    <s v="CCMS"/>
    <n v="21318448"/>
    <n v="8773.290000000001"/>
    <m/>
    <s v="N"/>
    <n v="48"/>
    <d v="2023-07-03T19:01:56"/>
    <s v="Y"/>
    <s v="Preparation - other"/>
    <s v="Prescribed Hourly Rates"/>
    <s v="Profit Cost"/>
    <s v="GHJ"/>
    <s v="Y"/>
    <n v="197.26"/>
    <n v="39.45"/>
    <x v="3"/>
    <s v="VALIDATED"/>
    <n v="1"/>
    <s v="01.11.80.305.6100.0000"/>
    <n v="197.26"/>
    <s v="11"/>
    <s v="6100"/>
    <n v="22185.3"/>
    <n v="197.26"/>
    <s v="CREDITOR"/>
    <n v="0"/>
    <n v="0"/>
    <n v="0"/>
    <n v="0"/>
    <n v="197.26"/>
  </r>
  <r>
    <n v="10058695"/>
    <s v="N"/>
    <n v="21349876"/>
    <s v="3000005948260050"/>
    <s v="CIVIL"/>
    <d v="2023-06-21T00:00:00"/>
    <d v="2023-07-10T19:01:40"/>
    <m/>
    <d v="2023-07-10T00:00:00"/>
    <n v="1600"/>
    <n v="15907"/>
    <s v="10058695"/>
    <s v="10058695"/>
    <m/>
    <m/>
    <n v="22732596"/>
    <m/>
    <m/>
    <m/>
    <s v="SOLFIN"/>
    <s v="SOLFIN"/>
    <s v="CCMS"/>
    <n v="21349876"/>
    <n v="32101.97"/>
    <m/>
    <s v="N"/>
    <n v="27"/>
    <d v="2023-07-10T19:02:01"/>
    <s v="Y"/>
    <s v="Interpreter"/>
    <s v="Public Law Children"/>
    <s v="Expert Disbursement"/>
    <s v="JPR"/>
    <s v="Y"/>
    <n v="382.99"/>
    <n v="76.59999999999999"/>
    <x v="2"/>
    <s v="VALIDATED"/>
    <n v="1"/>
    <s v="01.11.80.308.6300.0000"/>
    <n v="382.99"/>
    <s v="11"/>
    <s v="6300"/>
    <n v="22185.3"/>
    <n v="382.99"/>
    <s v="CREDITOR"/>
    <n v="0"/>
    <n v="0"/>
    <n v="0"/>
    <n v="0"/>
    <n v="382.99"/>
  </r>
  <r>
    <n v="61412273"/>
    <s v="N"/>
    <n v="21343509"/>
    <s v="3000015552920006"/>
    <s v="CIVIL"/>
    <d v="2023-06-28T00:00:00"/>
    <d v="2023-07-07T19:03:00"/>
    <m/>
    <d v="2023-07-07T00:00:00"/>
    <n v="1600"/>
    <n v="15907"/>
    <s v="61412273"/>
    <s v="61412273"/>
    <m/>
    <m/>
    <n v="22782476"/>
    <m/>
    <m/>
    <m/>
    <s v="SOLFIN"/>
    <s v="SOLFIN"/>
    <s v="CCMS"/>
    <n v="21343509"/>
    <n v="3299.84"/>
    <m/>
    <s v="N"/>
    <n v="2"/>
    <d v="2023-07-07T19:03:10"/>
    <s v="Y"/>
    <s v="Advocates Meeting"/>
    <s v="Public Law Children"/>
    <s v="Advocacy"/>
    <s v="ACJ"/>
    <s v="Y"/>
    <n v="140.99"/>
    <n v="28.2"/>
    <x v="9"/>
    <s v="VALIDATED"/>
    <n v="1"/>
    <s v="01.11.80.308.6100.0000"/>
    <n v="140.99"/>
    <s v="11"/>
    <s v="6100"/>
    <n v="22185.3"/>
    <n v="140.99"/>
    <s v="CREDITOR"/>
    <n v="0"/>
    <n v="0"/>
    <n v="0"/>
    <n v="0"/>
    <n v="140.99"/>
  </r>
  <r>
    <n v="61412273"/>
    <s v="N"/>
    <n v="21343509"/>
    <s v="3000015552920006"/>
    <s v="CIVIL"/>
    <d v="2023-06-28T00:00:00"/>
    <d v="2023-07-07T19:03:00"/>
    <m/>
    <d v="2023-07-07T00:00:00"/>
    <n v="1600"/>
    <n v="15907"/>
    <s v="61412273"/>
    <s v="61412273"/>
    <m/>
    <m/>
    <n v="22782476"/>
    <m/>
    <m/>
    <m/>
    <s v="SOLFIN"/>
    <s v="SOLFIN"/>
    <s v="CCMS"/>
    <n v="21343509"/>
    <n v="3299.84"/>
    <m/>
    <s v="N"/>
    <n v="1"/>
    <d v="2023-07-07T19:03:10"/>
    <s v="Y"/>
    <s v="Final Hearing - 1 Day"/>
    <s v="Public Law Children"/>
    <s v="Advocacy"/>
    <s v="ACJ"/>
    <s v="Y"/>
    <n v="556.88"/>
    <n v="111.38"/>
    <x v="9"/>
    <s v="VALIDATED"/>
    <n v="1"/>
    <s v="01.11.80.308.6100.0000"/>
    <n v="556.88"/>
    <s v="11"/>
    <s v="6100"/>
    <n v="22185.3"/>
    <n v="556.88"/>
    <s v="CREDITOR"/>
    <n v="0"/>
    <n v="0"/>
    <n v="0"/>
    <n v="0"/>
    <n v="556.88"/>
  </r>
  <r>
    <n v="59810816"/>
    <s v="N"/>
    <n v="21318448"/>
    <s v="3000014183000006"/>
    <s v="CIVIL"/>
    <d v="2023-06-22T00:00:00"/>
    <d v="2023-07-03T19:01:49"/>
    <m/>
    <d v="2023-07-03T00:00:00"/>
    <n v="1600"/>
    <n v="15907"/>
    <s v="59810816"/>
    <s v="59810816"/>
    <m/>
    <m/>
    <n v="22744926"/>
    <m/>
    <m/>
    <m/>
    <s v="SOLFIN"/>
    <s v="SOLFIN"/>
    <s v="CCMS"/>
    <n v="21318448"/>
    <n v="8773.290000000001"/>
    <m/>
    <s v="N"/>
    <n v="63"/>
    <d v="2023-07-03T19:01:56"/>
    <s v="Y"/>
    <s v="Attendance upon client"/>
    <s v="Prescribed Hourly Rates"/>
    <s v="Profit Cost"/>
    <s v="GHJ"/>
    <s v="Y"/>
    <n v="39.46"/>
    <n v="7.89"/>
    <x v="3"/>
    <s v="VALIDATED"/>
    <n v="1"/>
    <s v="01.11.80.305.6100.0000"/>
    <n v="39.46"/>
    <s v="11"/>
    <s v="6100"/>
    <n v="22185.3"/>
    <n v="39.46"/>
    <s v="CREDITOR"/>
    <n v="0"/>
    <n v="0"/>
    <n v="0"/>
    <n v="0"/>
    <n v="39.46"/>
  </r>
  <r>
    <n v="59904503"/>
    <s v="N"/>
    <n v="21360883"/>
    <s v="3000014261050017"/>
    <s v="CIVIL"/>
    <d v="2023-06-30T00:00:00"/>
    <d v="2023-07-11T19:00:25"/>
    <m/>
    <d v="2023-07-11T00:00:00"/>
    <n v="1600"/>
    <n v="15907"/>
    <s v="59904503"/>
    <s v="59904503"/>
    <m/>
    <m/>
    <n v="22794274"/>
    <m/>
    <m/>
    <m/>
    <s v="SOLFIN"/>
    <s v="SOLFIN"/>
    <s v="CCMS"/>
    <n v="21360883"/>
    <n v="7687.47"/>
    <m/>
    <s v="N"/>
    <n v="12"/>
    <d v="2023-07-11T19:00:38"/>
    <s v="Y"/>
    <s v="Toxicologist"/>
    <s v="Public Law Children"/>
    <s v="Expert Disbursement"/>
    <s v="VCG"/>
    <s v="Y"/>
    <n v="170.78"/>
    <n v="34.16"/>
    <x v="7"/>
    <s v="VALIDATED"/>
    <n v="1"/>
    <s v="01.11.80.308.6300.0000"/>
    <n v="170.78"/>
    <s v="11"/>
    <s v="6300"/>
    <n v="22185.3"/>
    <n v="170.78"/>
    <s v="CREDITOR"/>
    <n v="0"/>
    <n v="0"/>
    <n v="0"/>
    <n v="0"/>
    <n v="170.78"/>
  </r>
  <r>
    <n v="10058695"/>
    <s v="N"/>
    <n v="21349876"/>
    <s v="3000005948260050"/>
    <s v="CIVIL"/>
    <d v="2023-06-21T00:00:00"/>
    <d v="2023-07-10T19:01:40"/>
    <m/>
    <d v="2023-07-10T00:00:00"/>
    <n v="1600"/>
    <n v="15907"/>
    <s v="10058695"/>
    <s v="10058695"/>
    <m/>
    <m/>
    <n v="22732596"/>
    <m/>
    <m/>
    <m/>
    <s v="SOLFIN"/>
    <s v="SOLFIN"/>
    <s v="CCMS"/>
    <n v="21349876"/>
    <n v="32101.97"/>
    <m/>
    <s v="N"/>
    <n v="10"/>
    <d v="2023-07-10T19:02:01"/>
    <s v="N"/>
    <s v="Interpreter"/>
    <s v="Public Law Children"/>
    <s v="Expert Disbursement"/>
    <s v="JPR"/>
    <s v="N"/>
    <n v="0"/>
    <n v="0"/>
    <x v="2"/>
    <s v="VALIDATED"/>
    <n v="1"/>
    <s v="01.11.80.308.6300.0000"/>
    <n v="0"/>
    <s v="11"/>
    <s v="6300"/>
    <n v="22185.3"/>
    <n v="0"/>
    <s v="CREDITOR"/>
    <n v="0"/>
    <n v="0"/>
    <n v="0"/>
    <n v="0"/>
    <n v="0"/>
  </r>
  <r>
    <n v="62321012"/>
    <s v="N"/>
    <n v="21327711"/>
    <s v="3000016309330001"/>
    <s v="CIVIL"/>
    <d v="2023-06-26T00:00:00"/>
    <d v="2023-07-04T19:00:44"/>
    <m/>
    <d v="2023-07-04T00:00:00"/>
    <n v="1600"/>
    <n v="15907"/>
    <s v="62321012"/>
    <s v="62321012"/>
    <m/>
    <m/>
    <n v="22760362"/>
    <m/>
    <m/>
    <m/>
    <s v="SOLFIN"/>
    <s v="SOLFIN"/>
    <s v="CCMS"/>
    <n v="21327711"/>
    <n v="2700"/>
    <m/>
    <s v="N"/>
    <n v="7"/>
    <d v="2023-07-04T19:00:52"/>
    <s v="Y"/>
    <s v="Routine Letter Out"/>
    <s v="Prescribed Hourly Rates"/>
    <s v="Profit Cost"/>
    <s v="JOD"/>
    <s v="Y"/>
    <n v="16.2"/>
    <n v="3.24"/>
    <x v="1"/>
    <s v="VALIDATED"/>
    <n v="1"/>
    <s v="01.11.80.305.6100.0000"/>
    <n v="16.2"/>
    <s v="11"/>
    <s v="6100"/>
    <n v="22185.3"/>
    <n v="16.2"/>
    <s v="CREDITOR"/>
    <n v="0"/>
    <n v="0"/>
    <n v="0"/>
    <n v="0"/>
    <n v="16.2"/>
  </r>
  <r>
    <n v="59810816"/>
    <s v="N"/>
    <n v="21318448"/>
    <s v="3000014183000006"/>
    <s v="CIVIL"/>
    <d v="2023-06-22T00:00:00"/>
    <d v="2023-07-03T19:01:49"/>
    <m/>
    <d v="2023-07-03T00:00:00"/>
    <n v="1600"/>
    <n v="15907"/>
    <s v="59810816"/>
    <s v="59810816"/>
    <m/>
    <m/>
    <n v="22744926"/>
    <m/>
    <m/>
    <m/>
    <s v="SOLFIN"/>
    <s v="SOLFIN"/>
    <s v="CCMS"/>
    <n v="21318448"/>
    <n v="8773.290000000001"/>
    <m/>
    <s v="N"/>
    <n v="34"/>
    <d v="2023-07-03T19:01:56"/>
    <s v="Y"/>
    <s v="Preparation - drafting instructions"/>
    <s v="Prescribed Hourly Rates"/>
    <s v="Profit Cost"/>
    <s v="MCR"/>
    <s v="Y"/>
    <n v="39.45"/>
    <n v="7.89"/>
    <x v="3"/>
    <s v="VALIDATED"/>
    <n v="1"/>
    <s v="01.11.80.305.6100.0000"/>
    <n v="39.45"/>
    <s v="11"/>
    <s v="6100"/>
    <n v="22185.3"/>
    <n v="39.45"/>
    <s v="CREDITOR"/>
    <n v="0"/>
    <n v="0"/>
    <n v="0"/>
    <n v="0"/>
    <n v="39.45"/>
  </r>
  <r>
    <n v="59810816"/>
    <s v="N"/>
    <n v="21318448"/>
    <s v="3000014183000006"/>
    <s v="CIVIL"/>
    <d v="2023-06-22T00:00:00"/>
    <d v="2023-07-03T19:01:49"/>
    <m/>
    <d v="2023-07-03T00:00:00"/>
    <n v="1600"/>
    <n v="15907"/>
    <s v="59810816"/>
    <s v="59810816"/>
    <m/>
    <m/>
    <n v="22744926"/>
    <m/>
    <m/>
    <m/>
    <s v="SOLFIN"/>
    <s v="SOLFIN"/>
    <s v="CCMS"/>
    <n v="21318448"/>
    <n v="8773.290000000001"/>
    <m/>
    <s v="N"/>
    <n v="67"/>
    <d v="2023-07-03T19:01:56"/>
    <s v="Y"/>
    <s v="Attendance upon/with Counsel at Con"/>
    <s v="Prescribed Hourly Rates"/>
    <s v="Profit Cost"/>
    <s v="GHJ"/>
    <s v="Y"/>
    <n v="141.1"/>
    <n v="28.22"/>
    <x v="3"/>
    <s v="VALIDATED"/>
    <n v="1"/>
    <s v="01.11.80.305.6100.0000"/>
    <n v="141.1"/>
    <s v="11"/>
    <s v="6100"/>
    <n v="22185.3"/>
    <n v="141.1"/>
    <s v="CREDITOR"/>
    <n v="0"/>
    <n v="0"/>
    <n v="0"/>
    <n v="0"/>
    <n v="141.1"/>
  </r>
  <r>
    <n v="59810816"/>
    <s v="N"/>
    <n v="21318448"/>
    <s v="3000014183000006"/>
    <s v="CIVIL"/>
    <d v="2023-06-22T00:00:00"/>
    <d v="2023-07-03T19:01:49"/>
    <m/>
    <d v="2023-07-03T00:00:00"/>
    <n v="1600"/>
    <n v="15907"/>
    <s v="59810816"/>
    <s v="59810816"/>
    <m/>
    <m/>
    <n v="22744926"/>
    <m/>
    <m/>
    <m/>
    <s v="SOLFIN"/>
    <s v="SOLFIN"/>
    <s v="CCMS"/>
    <n v="21318448"/>
    <n v="8773.290000000001"/>
    <m/>
    <s v="N"/>
    <n v="23"/>
    <d v="2023-07-03T19:01:56"/>
    <s v="Y"/>
    <s v="Attendance upon client"/>
    <s v="Prescribed Hourly Rates"/>
    <s v="Profit Cost"/>
    <s v="GHJ"/>
    <s v="Y"/>
    <n v="52.6"/>
    <n v="10.52"/>
    <x v="3"/>
    <s v="VALIDATED"/>
    <n v="1"/>
    <s v="01.11.80.305.6100.0000"/>
    <n v="52.6"/>
    <s v="11"/>
    <s v="6100"/>
    <n v="22185.3"/>
    <n v="52.6"/>
    <s v="CREDITOR"/>
    <n v="0"/>
    <n v="0"/>
    <n v="0"/>
    <n v="0"/>
    <n v="52.6"/>
  </r>
  <r>
    <n v="59904503"/>
    <s v="N"/>
    <n v="21360883"/>
    <s v="3000014261050017"/>
    <s v="CIVIL"/>
    <d v="2023-06-30T00:00:00"/>
    <d v="2023-07-11T19:00:25"/>
    <m/>
    <d v="2023-07-11T00:00:00"/>
    <n v="1600"/>
    <n v="15907"/>
    <s v="59904503"/>
    <s v="59904503"/>
    <m/>
    <m/>
    <n v="22794274"/>
    <m/>
    <m/>
    <m/>
    <s v="SOLFIN"/>
    <s v="SOLFIN"/>
    <s v="CCMS"/>
    <n v="21360883"/>
    <n v="7687.47"/>
    <m/>
    <s v="N"/>
    <n v="6"/>
    <d v="2023-07-11T19:00:38"/>
    <s v="Y"/>
    <s v="Toxicologist"/>
    <s v="Public Law Children"/>
    <s v="Expert Disbursement"/>
    <s v="VCG"/>
    <s v="Y"/>
    <n v="43.2"/>
    <n v="8.640000000000001"/>
    <x v="7"/>
    <s v="VALIDATED"/>
    <n v="1"/>
    <s v="01.11.80.308.6300.0000"/>
    <n v="43.2"/>
    <s v="11"/>
    <s v="6300"/>
    <n v="22185.3"/>
    <n v="43.2"/>
    <s v="CREDITOR"/>
    <n v="0"/>
    <n v="0"/>
    <n v="0"/>
    <n v="0"/>
    <n v="43.2"/>
  </r>
  <r>
    <n v="59904503"/>
    <s v="N"/>
    <n v="21360883"/>
    <s v="3000014261050017"/>
    <s v="CIVIL"/>
    <d v="2023-06-30T00:00:00"/>
    <d v="2023-07-11T19:00:25"/>
    <m/>
    <d v="2023-07-11T00:00:00"/>
    <n v="1600"/>
    <n v="15907"/>
    <s v="59904503"/>
    <s v="59904503"/>
    <m/>
    <m/>
    <n v="22794274"/>
    <m/>
    <m/>
    <m/>
    <s v="SOLFIN"/>
    <s v="SOLFIN"/>
    <s v="CCMS"/>
    <n v="21360883"/>
    <n v="7687.47"/>
    <m/>
    <s v="N"/>
    <n v="19"/>
    <d v="2023-07-11T19:00:38"/>
    <s v="Y"/>
    <s v="Advocates Meeting"/>
    <s v="Public Law Children"/>
    <s v="Advocacy"/>
    <s v="VCG"/>
    <s v="Y"/>
    <n v="140.99"/>
    <n v="28.2"/>
    <x v="7"/>
    <s v="VALIDATED"/>
    <n v="1"/>
    <s v="01.11.80.308.6100.0000"/>
    <n v="140.99"/>
    <s v="11"/>
    <s v="6100"/>
    <n v="22185.3"/>
    <n v="140.99"/>
    <s v="CREDITOR"/>
    <n v="0"/>
    <n v="0"/>
    <n v="0"/>
    <n v="0"/>
    <n v="140.99"/>
  </r>
  <r>
    <n v="61769070"/>
    <s v="N"/>
    <n v="21331203"/>
    <s v="3000015846750001"/>
    <s v="CIVIL"/>
    <d v="2023-06-26T00:00:00"/>
    <d v="2023-07-05T19:01:47"/>
    <m/>
    <d v="2023-07-05T00:00:00"/>
    <n v="1600"/>
    <n v="15907"/>
    <s v="61769070"/>
    <s v="61769070"/>
    <m/>
    <m/>
    <n v="22762040"/>
    <m/>
    <m/>
    <m/>
    <s v="SOLFIN"/>
    <s v="SOLFIN"/>
    <s v="CCMS"/>
    <n v="21331203"/>
    <n v="1397.31"/>
    <m/>
    <s v="N"/>
    <n v="10"/>
    <d v="2023-07-05T19:02:10"/>
    <s v="Y"/>
    <s v="Preparation - other"/>
    <s v="Care Remuneration Hourly Rates"/>
    <s v="Profit Cost"/>
    <s v="GHJ"/>
    <s v="Y"/>
    <n v="109.53"/>
    <n v="21.91"/>
    <x v="6"/>
    <s v="VALIDATED"/>
    <n v="1"/>
    <s v="01.11.80.305.6100.0000"/>
    <n v="109.53"/>
    <s v="11"/>
    <s v="6100"/>
    <n v="22185.3"/>
    <n v="109.53"/>
    <s v="CREDITOR"/>
    <n v="0"/>
    <n v="0"/>
    <n v="0"/>
    <n v="0"/>
    <n v="109.53"/>
  </r>
  <r>
    <n v="59904503"/>
    <s v="N"/>
    <n v="21360883"/>
    <s v="3000014261050017"/>
    <s v="CIVIL"/>
    <d v="2023-06-30T00:00:00"/>
    <d v="2023-07-11T19:00:25"/>
    <m/>
    <d v="2023-07-11T00:00:00"/>
    <n v="1600"/>
    <n v="15907"/>
    <s v="59904503"/>
    <s v="59904503"/>
    <m/>
    <m/>
    <n v="22794274"/>
    <m/>
    <m/>
    <m/>
    <s v="SOLFIN"/>
    <s v="SOLFIN"/>
    <s v="CCMS"/>
    <n v="21360883"/>
    <n v="7687.47"/>
    <m/>
    <s v="N"/>
    <n v="15"/>
    <d v="2023-07-11T19:00:38"/>
    <s v="Y"/>
    <s v="Advocates Meeting"/>
    <s v="Public Law Children"/>
    <s v="Advocacy"/>
    <s v="VCG"/>
    <s v="Y"/>
    <n v="140.99"/>
    <n v="28.2"/>
    <x v="7"/>
    <s v="VALIDATED"/>
    <n v="1"/>
    <s v="01.11.80.308.6100.0000"/>
    <n v="140.99"/>
    <s v="11"/>
    <s v="6100"/>
    <n v="22185.3"/>
    <n v="140.99"/>
    <s v="CREDITOR"/>
    <n v="0"/>
    <n v="0"/>
    <n v="0"/>
    <n v="0"/>
    <n v="140.99"/>
  </r>
  <r>
    <n v="59810816"/>
    <s v="N"/>
    <n v="21318448"/>
    <s v="3000014183000006"/>
    <s v="CIVIL"/>
    <d v="2023-06-22T00:00:00"/>
    <d v="2023-07-03T19:01:49"/>
    <m/>
    <d v="2023-07-03T00:00:00"/>
    <n v="1600"/>
    <n v="15907"/>
    <s v="59810816"/>
    <s v="59810816"/>
    <m/>
    <m/>
    <n v="22744926"/>
    <m/>
    <m/>
    <m/>
    <s v="SOLFIN"/>
    <s v="SOLFIN"/>
    <s v="CCMS"/>
    <n v="21318448"/>
    <n v="8773.290000000001"/>
    <m/>
    <s v="N"/>
    <n v="52"/>
    <d v="2023-07-03T19:01:56"/>
    <s v="Y"/>
    <s v="Travel to attend client"/>
    <s v="Prescribed Hourly Rates"/>
    <s v="Profit Cost"/>
    <s v="GHJ"/>
    <s v="Y"/>
    <n v="77.23999999999999"/>
    <n v="15.45"/>
    <x v="3"/>
    <s v="VALIDATED"/>
    <n v="1"/>
    <s v="01.11.80.305.6100.0000"/>
    <n v="77.23999999999999"/>
    <s v="11"/>
    <s v="6100"/>
    <n v="22185.3"/>
    <n v="77.23999999999999"/>
    <s v="CREDITOR"/>
    <n v="0"/>
    <n v="0"/>
    <n v="0"/>
    <n v="0"/>
    <n v="77.23999999999999"/>
  </r>
  <r>
    <n v="59810816"/>
    <s v="N"/>
    <n v="21318448"/>
    <s v="3000014183000006"/>
    <s v="CIVIL"/>
    <d v="2023-06-22T00:00:00"/>
    <d v="2023-07-03T19:01:49"/>
    <m/>
    <d v="2023-07-03T00:00:00"/>
    <n v="1600"/>
    <n v="15907"/>
    <s v="59810816"/>
    <s v="59810816"/>
    <m/>
    <m/>
    <n v="22744926"/>
    <m/>
    <m/>
    <m/>
    <s v="SOLFIN"/>
    <s v="SOLFIN"/>
    <s v="CCMS"/>
    <n v="21318448"/>
    <n v="8773.290000000001"/>
    <m/>
    <s v="N"/>
    <n v="29"/>
    <d v="2023-07-03T19:01:56"/>
    <s v="Y"/>
    <s v="Routine Letter Out"/>
    <s v="Prescribed Hourly Rates"/>
    <s v="Profit Cost"/>
    <s v="MCR"/>
    <s v="Y"/>
    <n v="609.6"/>
    <n v="121.92"/>
    <x v="3"/>
    <s v="VALIDATED"/>
    <n v="1"/>
    <s v="01.11.80.305.6100.0000"/>
    <n v="609.6"/>
    <s v="11"/>
    <s v="6100"/>
    <n v="22185.3"/>
    <n v="609.6"/>
    <s v="CREDITOR"/>
    <n v="0"/>
    <n v="0"/>
    <n v="0"/>
    <n v="0"/>
    <n v="609.6"/>
  </r>
  <r>
    <n v="59810816"/>
    <s v="N"/>
    <n v="21318448"/>
    <s v="3000014183000006"/>
    <s v="CIVIL"/>
    <d v="2023-06-22T00:00:00"/>
    <d v="2023-07-03T19:01:49"/>
    <m/>
    <d v="2023-07-03T00:00:00"/>
    <n v="1600"/>
    <n v="15907"/>
    <s v="59810816"/>
    <s v="59810816"/>
    <m/>
    <m/>
    <n v="22744926"/>
    <m/>
    <m/>
    <m/>
    <s v="SOLFIN"/>
    <s v="SOLFIN"/>
    <s v="CCMS"/>
    <n v="21318448"/>
    <n v="8773.290000000001"/>
    <m/>
    <s v="N"/>
    <n v="57"/>
    <d v="2023-07-03T19:01:56"/>
    <s v="Y"/>
    <s v="Preparation - drafting instructions"/>
    <s v="Prescribed Hourly Rates"/>
    <s v="Profit Cost"/>
    <s v="GHJ"/>
    <s v="Y"/>
    <n v="78.90000000000001"/>
    <n v="15.78"/>
    <x v="3"/>
    <s v="VALIDATED"/>
    <n v="1"/>
    <s v="01.11.80.305.6100.0000"/>
    <n v="78.90000000000001"/>
    <s v="11"/>
    <s v="6100"/>
    <n v="22185.3"/>
    <n v="78.90000000000001"/>
    <s v="CREDITOR"/>
    <n v="0"/>
    <n v="0"/>
    <n v="0"/>
    <n v="0"/>
    <n v="78.90000000000001"/>
  </r>
  <r>
    <n v="59904503"/>
    <s v="N"/>
    <n v="21360883"/>
    <s v="3000014261050017"/>
    <s v="CIVIL"/>
    <d v="2023-06-30T00:00:00"/>
    <d v="2023-07-11T19:00:25"/>
    <m/>
    <d v="2023-07-11T00:00:00"/>
    <n v="1600"/>
    <n v="15907"/>
    <s v="59904503"/>
    <s v="59904503"/>
    <m/>
    <m/>
    <n v="22794274"/>
    <m/>
    <m/>
    <m/>
    <s v="SOLFIN"/>
    <s v="SOLFIN"/>
    <s v="CCMS"/>
    <n v="21360883"/>
    <n v="7687.47"/>
    <m/>
    <s v="N"/>
    <n v="1"/>
    <d v="2023-07-11T19:00:38"/>
    <s v="Y"/>
    <s v="Interim Hearing Court Bundle/Advoca"/>
    <s v="Public Law Children"/>
    <s v="Advocacy"/>
    <s v="RBE"/>
    <s v="Y"/>
    <n v="89.09999999999999"/>
    <n v="17.82"/>
    <x v="7"/>
    <s v="VALIDATED"/>
    <n v="1"/>
    <s v="01.11.80.308.6100.0000"/>
    <n v="89.09999999999999"/>
    <s v="11"/>
    <s v="6100"/>
    <n v="22185.3"/>
    <n v="89.09999999999999"/>
    <s v="CREDITOR"/>
    <n v="0"/>
    <n v="0"/>
    <n v="0"/>
    <n v="0"/>
    <n v="89.09999999999999"/>
  </r>
  <r>
    <n v="61769070"/>
    <s v="N"/>
    <n v="21331203"/>
    <s v="3000015846750001"/>
    <s v="CIVIL"/>
    <d v="2023-06-26T00:00:00"/>
    <d v="2023-07-05T19:01:47"/>
    <m/>
    <d v="2023-07-05T00:00:00"/>
    <n v="1600"/>
    <n v="15907"/>
    <s v="61769070"/>
    <s v="61769070"/>
    <m/>
    <m/>
    <n v="22762040"/>
    <m/>
    <m/>
    <m/>
    <s v="SOLFIN"/>
    <s v="SOLFIN"/>
    <s v="CCMS"/>
    <n v="21331203"/>
    <n v="1397.31"/>
    <m/>
    <s v="N"/>
    <n v="8"/>
    <d v="2023-07-05T19:02:10"/>
    <s v="Y"/>
    <s v="Preparation - drafting attendance n"/>
    <s v="Care Remuneration Hourly Rates"/>
    <s v="Profit Cost"/>
    <s v="GHJ"/>
    <s v="Y"/>
    <n v="6.72"/>
    <n v="1.34"/>
    <x v="6"/>
    <s v="VALIDATED"/>
    <n v="1"/>
    <s v="01.11.80.305.6100.0000"/>
    <n v="6.72"/>
    <s v="11"/>
    <s v="6100"/>
    <n v="22185.3"/>
    <n v="6.72"/>
    <s v="CREDITOR"/>
    <n v="0"/>
    <n v="0"/>
    <n v="0"/>
    <n v="0"/>
    <n v="6.72"/>
  </r>
  <r>
    <n v="61157903"/>
    <s v="N"/>
    <n v="21328104"/>
    <s v="3000015340490004"/>
    <s v="CIVIL"/>
    <d v="2023-06-26T00:00:00"/>
    <d v="2023-07-04T19:00:44"/>
    <m/>
    <d v="2023-07-04T00:00:00"/>
    <n v="1600"/>
    <n v="15907"/>
    <s v="61157903"/>
    <s v="61157903"/>
    <m/>
    <m/>
    <n v="22765064"/>
    <m/>
    <m/>
    <m/>
    <s v="SOLFIN"/>
    <s v="SOLFIN"/>
    <s v="CCMS"/>
    <n v="21328104"/>
    <n v="4091.61"/>
    <m/>
    <s v="N"/>
    <n v="4"/>
    <d v="2023-07-04T19:01:04"/>
    <s v="Y"/>
    <s v="Advocates Meeting"/>
    <s v="Public Law Children"/>
    <s v="Advocacy"/>
    <s v="CLP"/>
    <s v="Y"/>
    <n v="128.16"/>
    <n v="25.63"/>
    <x v="1"/>
    <s v="VALIDATED"/>
    <n v="1"/>
    <s v="01.11.80.308.6100.0000"/>
    <n v="128.16"/>
    <s v="11"/>
    <s v="6100"/>
    <n v="22185.3"/>
    <n v="128.16"/>
    <s v="CREDITOR"/>
    <n v="0"/>
    <n v="0"/>
    <n v="0"/>
    <n v="0"/>
    <n v="128.16"/>
  </r>
  <r>
    <n v="59810816"/>
    <s v="N"/>
    <n v="21318448"/>
    <s v="3000014183000006"/>
    <s v="CIVIL"/>
    <d v="2023-06-22T00:00:00"/>
    <d v="2023-07-03T19:01:49"/>
    <m/>
    <d v="2023-07-03T00:00:00"/>
    <n v="1600"/>
    <n v="15907"/>
    <s v="59810816"/>
    <s v="59810816"/>
    <m/>
    <m/>
    <n v="22744926"/>
    <m/>
    <m/>
    <m/>
    <s v="SOLFIN"/>
    <s v="SOLFIN"/>
    <s v="CCMS"/>
    <n v="21318448"/>
    <n v="8773.290000000001"/>
    <m/>
    <s v="N"/>
    <n v="66"/>
    <d v="2023-07-03T19:01:56"/>
    <s v="Y"/>
    <s v="Preparation - drafting attendance n"/>
    <s v="Prescribed Hourly Rates"/>
    <s v="Profit Cost"/>
    <s v="GHJ"/>
    <s v="Y"/>
    <n v="7.57"/>
    <n v="1.51"/>
    <x v="3"/>
    <s v="VALIDATED"/>
    <n v="1"/>
    <s v="01.11.80.305.6100.0000"/>
    <n v="7.57"/>
    <s v="11"/>
    <s v="6100"/>
    <n v="22185.3"/>
    <n v="7.57"/>
    <s v="CREDITOR"/>
    <n v="0"/>
    <n v="0"/>
    <n v="0"/>
    <n v="0"/>
    <n v="7.57"/>
  </r>
  <r>
    <n v="61232497"/>
    <s v="N"/>
    <n v="21321481"/>
    <s v="3000015401520007"/>
    <s v="CIVIL"/>
    <d v="2023-06-29T00:00:00"/>
    <d v="2023-07-03T19:05:17"/>
    <m/>
    <d v="2023-07-03T00:00:00"/>
    <n v="1600"/>
    <n v="15907"/>
    <s v="61232497"/>
    <s v="61232497"/>
    <m/>
    <m/>
    <n v="22784968"/>
    <m/>
    <m/>
    <m/>
    <s v="SOLPOA"/>
    <s v="SOLPOA"/>
    <s v="CCMS"/>
    <n v="21321481"/>
    <n v="1426.14"/>
    <m/>
    <s v="N"/>
    <n v="1"/>
    <d v="2023-07-03T19:05:19"/>
    <s v="N"/>
    <s v="Solicitors Fixed Fee"/>
    <s v="Public Law Children"/>
    <s v="Profit Cost"/>
    <s v="VIM"/>
    <s v="N"/>
    <n v="1188.45"/>
    <n v="237.69"/>
    <x v="3"/>
    <s v="VALIDATED"/>
    <n v="1"/>
    <s v="01.11.80.308.2012.0000"/>
    <n v="1188.45"/>
    <s v="11"/>
    <s v="2012"/>
    <n v="22185.3"/>
    <n v="1188.45"/>
    <s v="CREDITOR"/>
    <n v="1188.45"/>
    <n v="297.1125"/>
    <n v="0"/>
    <n v="0"/>
    <n v="0"/>
  </r>
  <r>
    <n v="59810816"/>
    <s v="N"/>
    <n v="21318448"/>
    <s v="3000014183000006"/>
    <s v="CIVIL"/>
    <d v="2023-06-22T00:00:00"/>
    <d v="2023-07-03T19:01:49"/>
    <m/>
    <d v="2023-07-03T00:00:00"/>
    <n v="1600"/>
    <n v="15907"/>
    <s v="59810816"/>
    <s v="59810816"/>
    <m/>
    <m/>
    <n v="22744926"/>
    <m/>
    <m/>
    <m/>
    <s v="SOLFIN"/>
    <s v="SOLFIN"/>
    <s v="CCMS"/>
    <n v="21318448"/>
    <n v="8773.290000000001"/>
    <m/>
    <s v="N"/>
    <n v="8"/>
    <d v="2023-07-03T19:01:56"/>
    <s v="Y"/>
    <s v="Preparation - other"/>
    <s v="Prescribed Hourly Rates"/>
    <s v="Profit Cost"/>
    <s v="GHJ"/>
    <s v="Y"/>
    <n v="118.36"/>
    <n v="23.67"/>
    <x v="3"/>
    <s v="VALIDATED"/>
    <n v="1"/>
    <s v="01.11.80.305.6100.0000"/>
    <n v="118.36"/>
    <s v="11"/>
    <s v="6100"/>
    <n v="22185.3"/>
    <n v="118.36"/>
    <s v="CREDITOR"/>
    <n v="0"/>
    <n v="0"/>
    <n v="0"/>
    <n v="0"/>
    <n v="118.36"/>
  </r>
  <r>
    <n v="59810816"/>
    <s v="N"/>
    <n v="21318448"/>
    <s v="3000014183000006"/>
    <s v="CIVIL"/>
    <d v="2023-06-22T00:00:00"/>
    <d v="2023-07-03T19:01:49"/>
    <m/>
    <d v="2023-07-03T00:00:00"/>
    <n v="1600"/>
    <n v="15907"/>
    <s v="59810816"/>
    <s v="59810816"/>
    <m/>
    <m/>
    <n v="22744926"/>
    <m/>
    <m/>
    <m/>
    <s v="SOLFIN"/>
    <s v="SOLFIN"/>
    <s v="CCMS"/>
    <n v="21318448"/>
    <n v="8773.290000000001"/>
    <m/>
    <s v="N"/>
    <n v="19"/>
    <d v="2023-07-03T19:01:56"/>
    <s v="Y"/>
    <s v="Preparation - other"/>
    <s v="Prescribed Hourly Rates"/>
    <s v="Profit Cost"/>
    <s v="MCR"/>
    <s v="Y"/>
    <n v="6.58"/>
    <n v="1.32"/>
    <x v="3"/>
    <s v="VALIDATED"/>
    <n v="1"/>
    <s v="01.11.80.305.6100.0000"/>
    <n v="6.58"/>
    <s v="11"/>
    <s v="6100"/>
    <n v="22185.3"/>
    <n v="6.58"/>
    <s v="CREDITOR"/>
    <n v="0"/>
    <n v="0"/>
    <n v="0"/>
    <n v="0"/>
    <n v="6.58"/>
  </r>
  <r>
    <n v="59810816"/>
    <s v="N"/>
    <n v="21318448"/>
    <s v="3000014183000006"/>
    <s v="CIVIL"/>
    <d v="2023-06-22T00:00:00"/>
    <d v="2023-07-03T19:01:49"/>
    <m/>
    <d v="2023-07-03T00:00:00"/>
    <n v="1600"/>
    <n v="15907"/>
    <s v="59810816"/>
    <s v="59810816"/>
    <m/>
    <m/>
    <n v="22744926"/>
    <m/>
    <m/>
    <m/>
    <s v="SOLFIN"/>
    <s v="SOLFIN"/>
    <s v="CCMS"/>
    <n v="21318448"/>
    <n v="8773.290000000001"/>
    <m/>
    <s v="N"/>
    <n v="22"/>
    <d v="2023-07-03T19:01:56"/>
    <s v="Y"/>
    <s v="Preparation - other"/>
    <s v="Prescribed Hourly Rates"/>
    <s v="Profit Cost"/>
    <s v="GHJ"/>
    <s v="Y"/>
    <n v="26.3"/>
    <n v="5.26"/>
    <x v="3"/>
    <s v="VALIDATED"/>
    <n v="1"/>
    <s v="01.11.80.305.6100.0000"/>
    <n v="26.3"/>
    <s v="11"/>
    <s v="6100"/>
    <n v="22185.3"/>
    <n v="26.3"/>
    <s v="CREDITOR"/>
    <n v="0"/>
    <n v="0"/>
    <n v="0"/>
    <n v="0"/>
    <n v="26.3"/>
  </r>
  <r>
    <n v="59810816"/>
    <s v="N"/>
    <n v="21318448"/>
    <s v="3000014183000006"/>
    <s v="CIVIL"/>
    <d v="2023-06-22T00:00:00"/>
    <d v="2023-07-03T19:01:49"/>
    <m/>
    <d v="2023-07-03T00:00:00"/>
    <n v="1600"/>
    <n v="15907"/>
    <s v="59810816"/>
    <s v="59810816"/>
    <m/>
    <m/>
    <n v="22744926"/>
    <m/>
    <m/>
    <m/>
    <s v="SOLFIN"/>
    <s v="SOLFIN"/>
    <s v="CCMS"/>
    <n v="21318448"/>
    <n v="8773.290000000001"/>
    <m/>
    <s v="N"/>
    <n v="3"/>
    <d v="2023-07-03T19:01:56"/>
    <s v="Y"/>
    <s v="Preparation - other"/>
    <s v="Prescribed Hourly Rates"/>
    <s v="Profit Cost"/>
    <s v="MCR"/>
    <s v="Y"/>
    <n v="6.58"/>
    <n v="1.32"/>
    <x v="3"/>
    <s v="VALIDATED"/>
    <n v="1"/>
    <s v="01.11.80.305.6100.0000"/>
    <n v="6.58"/>
    <s v="11"/>
    <s v="6100"/>
    <n v="22185.3"/>
    <n v="6.58"/>
    <s v="CREDITOR"/>
    <n v="0"/>
    <n v="0"/>
    <n v="0"/>
    <n v="0"/>
    <n v="6.58"/>
  </r>
  <r>
    <n v="59810816"/>
    <s v="N"/>
    <n v="21318448"/>
    <s v="3000014183000006"/>
    <s v="CIVIL"/>
    <d v="2023-06-22T00:00:00"/>
    <d v="2023-07-03T19:01:49"/>
    <m/>
    <d v="2023-07-03T00:00:00"/>
    <n v="1600"/>
    <n v="15907"/>
    <s v="59810816"/>
    <s v="59810816"/>
    <m/>
    <m/>
    <n v="22744926"/>
    <m/>
    <m/>
    <m/>
    <s v="SOLFIN"/>
    <s v="SOLFIN"/>
    <s v="CCMS"/>
    <n v="21318448"/>
    <n v="8773.290000000001"/>
    <m/>
    <s v="N"/>
    <n v="14"/>
    <d v="2023-07-03T19:01:56"/>
    <s v="Y"/>
    <s v="Preparation - other"/>
    <s v="Prescribed Hourly Rates"/>
    <s v="Profit Cost"/>
    <s v="GHJ"/>
    <s v="Y"/>
    <n v="26.3"/>
    <n v="5.26"/>
    <x v="3"/>
    <s v="VALIDATED"/>
    <n v="1"/>
    <s v="01.11.80.305.6100.0000"/>
    <n v="26.3"/>
    <s v="11"/>
    <s v="6100"/>
    <n v="22185.3"/>
    <n v="26.3"/>
    <s v="CREDITOR"/>
    <n v="0"/>
    <n v="0"/>
    <n v="0"/>
    <n v="0"/>
    <n v="26.3"/>
  </r>
  <r>
    <n v="61769070"/>
    <s v="N"/>
    <n v="21331203"/>
    <s v="3000015846750001"/>
    <s v="CIVIL"/>
    <d v="2023-06-26T00:00:00"/>
    <d v="2023-07-05T19:01:47"/>
    <m/>
    <d v="2023-07-05T00:00:00"/>
    <n v="1600"/>
    <n v="15907"/>
    <s v="61769070"/>
    <s v="61769070"/>
    <m/>
    <m/>
    <n v="22762040"/>
    <m/>
    <m/>
    <m/>
    <s v="SOLFIN"/>
    <s v="SOLFIN"/>
    <s v="CCMS"/>
    <n v="21331203"/>
    <n v="1397.31"/>
    <m/>
    <s v="N"/>
    <n v="3"/>
    <d v="2023-07-05T19:02:10"/>
    <s v="Y"/>
    <s v="Preparation - other"/>
    <s v="Care Remuneration Hourly Rates"/>
    <s v="Profit Cost"/>
    <s v="MCR"/>
    <s v="Y"/>
    <n v="5.84"/>
    <n v="1.17"/>
    <x v="6"/>
    <s v="VALIDATED"/>
    <n v="1"/>
    <s v="01.11.80.305.6100.0000"/>
    <n v="5.84"/>
    <s v="11"/>
    <s v="6100"/>
    <n v="22185.3"/>
    <n v="5.84"/>
    <s v="CREDITOR"/>
    <n v="0"/>
    <n v="0"/>
    <n v="0"/>
    <n v="0"/>
    <n v="5.84"/>
  </r>
  <r>
    <n v="59810816"/>
    <s v="N"/>
    <n v="21318448"/>
    <s v="3000014183000006"/>
    <s v="CIVIL"/>
    <d v="2023-06-22T00:00:00"/>
    <d v="2023-07-03T19:01:49"/>
    <m/>
    <d v="2023-07-03T00:00:00"/>
    <n v="1600"/>
    <n v="15907"/>
    <s v="59810816"/>
    <s v="59810816"/>
    <m/>
    <m/>
    <n v="22744926"/>
    <m/>
    <m/>
    <m/>
    <s v="SOLFIN"/>
    <s v="SOLFIN"/>
    <s v="CCMS"/>
    <n v="21318448"/>
    <n v="8773.290000000001"/>
    <m/>
    <s v="N"/>
    <n v="59"/>
    <d v="2023-07-03T19:01:56"/>
    <s v="Y"/>
    <s v="Attendance upon/with Counsel at Con"/>
    <s v="Prescribed Hourly Rates"/>
    <s v="Profit Cost"/>
    <s v="GHJ"/>
    <s v="Y"/>
    <n v="51.98"/>
    <n v="10.4"/>
    <x v="3"/>
    <s v="VALIDATED"/>
    <n v="1"/>
    <s v="01.11.80.305.6100.0000"/>
    <n v="51.98"/>
    <s v="11"/>
    <s v="6100"/>
    <n v="22185.3"/>
    <n v="51.98"/>
    <s v="CREDITOR"/>
    <n v="0"/>
    <n v="0"/>
    <n v="0"/>
    <n v="0"/>
    <n v="51.98"/>
  </r>
  <r>
    <n v="59810816"/>
    <s v="N"/>
    <n v="21318448"/>
    <s v="3000014183000006"/>
    <s v="CIVIL"/>
    <d v="2023-06-22T00:00:00"/>
    <d v="2023-07-03T19:01:49"/>
    <m/>
    <d v="2023-07-03T00:00:00"/>
    <n v="1600"/>
    <n v="15907"/>
    <s v="59810816"/>
    <s v="59810816"/>
    <m/>
    <m/>
    <n v="22744926"/>
    <m/>
    <m/>
    <m/>
    <s v="SOLFIN"/>
    <s v="SOLFIN"/>
    <s v="CCMS"/>
    <n v="21318448"/>
    <n v="8773.290000000001"/>
    <m/>
    <s v="N"/>
    <n v="25"/>
    <d v="2023-07-03T19:01:56"/>
    <s v="Y"/>
    <s v="Preparation - drafting notice(s)"/>
    <s v="Prescribed Hourly Rates"/>
    <s v="Profit Cost"/>
    <s v="MCR"/>
    <s v="Y"/>
    <n v="6.58"/>
    <n v="1.32"/>
    <x v="3"/>
    <s v="VALIDATED"/>
    <n v="1"/>
    <s v="01.11.80.305.6100.0000"/>
    <n v="6.58"/>
    <s v="11"/>
    <s v="6100"/>
    <n v="22185.3"/>
    <n v="6.58"/>
    <s v="CREDITOR"/>
    <n v="0"/>
    <n v="0"/>
    <n v="0"/>
    <n v="0"/>
    <n v="6.58"/>
  </r>
  <r>
    <n v="59904503"/>
    <s v="N"/>
    <n v="21360883"/>
    <s v="3000014261050017"/>
    <s v="CIVIL"/>
    <d v="2023-06-30T00:00:00"/>
    <d v="2023-07-11T19:00:25"/>
    <m/>
    <d v="2023-07-11T00:00:00"/>
    <n v="1600"/>
    <n v="15907"/>
    <s v="59904503"/>
    <s v="59904503"/>
    <m/>
    <m/>
    <n v="22794274"/>
    <m/>
    <m/>
    <m/>
    <s v="SOLFIN"/>
    <s v="SOLFIN"/>
    <s v="CCMS"/>
    <n v="21360883"/>
    <n v="7687.47"/>
    <m/>
    <s v="N"/>
    <n v="9"/>
    <d v="2023-07-11T19:00:38"/>
    <s v="Y"/>
    <s v="Court Fee"/>
    <s v="Public Law Children"/>
    <s v="Non Expert Disbursement"/>
    <s v="VCG"/>
    <s v="Y"/>
    <n v="53"/>
    <n v="0"/>
    <x v="7"/>
    <s v="VALIDATED"/>
    <n v="1"/>
    <s v="01.11.80.308.6300.0000"/>
    <n v="53"/>
    <s v="11"/>
    <s v="6300"/>
    <n v="22185.3"/>
    <n v="53"/>
    <s v="CREDITOR"/>
    <n v="0"/>
    <n v="0"/>
    <n v="0"/>
    <n v="0"/>
    <n v="53"/>
  </r>
  <r>
    <n v="59904503"/>
    <s v="N"/>
    <n v="21360883"/>
    <s v="3000014261050017"/>
    <s v="CIVIL"/>
    <d v="2023-06-30T00:00:00"/>
    <d v="2023-07-11T19:00:25"/>
    <m/>
    <d v="2023-07-11T00:00:00"/>
    <n v="1600"/>
    <n v="15907"/>
    <s v="59904503"/>
    <s v="59904503"/>
    <m/>
    <m/>
    <n v="22794274"/>
    <m/>
    <m/>
    <m/>
    <s v="SOLFIN"/>
    <s v="SOLFIN"/>
    <s v="CCMS"/>
    <n v="21360883"/>
    <n v="7687.47"/>
    <m/>
    <s v="N"/>
    <n v="18"/>
    <d v="2023-07-11T19:00:38"/>
    <s v="Y"/>
    <s v="Hearing Unit 2.31 - 5.00 Hours"/>
    <s v="Public Law Children"/>
    <s v="Advocacy"/>
    <s v="VCG"/>
    <s v="Y"/>
    <n v="476.92"/>
    <n v="95.39"/>
    <x v="7"/>
    <s v="VALIDATED"/>
    <n v="1"/>
    <s v="01.11.80.308.6100.0000"/>
    <n v="476.92"/>
    <s v="11"/>
    <s v="6100"/>
    <n v="22185.3"/>
    <n v="476.92"/>
    <s v="CREDITOR"/>
    <n v="0"/>
    <n v="0"/>
    <n v="0"/>
    <n v="0"/>
    <n v="476.92"/>
  </r>
  <r>
    <n v="59904560"/>
    <s v="N"/>
    <n v="21349913"/>
    <s v="3000014261100001"/>
    <s v="CIVIL"/>
    <d v="2023-06-30T00:00:00"/>
    <d v="2023-07-10T19:01:40"/>
    <m/>
    <d v="2023-07-10T00:00:00"/>
    <n v="1600"/>
    <n v="15907"/>
    <s v="59904560"/>
    <s v="59904560"/>
    <m/>
    <m/>
    <n v="22794252"/>
    <m/>
    <m/>
    <m/>
    <s v="SOLFIN"/>
    <s v="SOLFIN"/>
    <s v="CCMS"/>
    <n v="21349913"/>
    <n v="0"/>
    <m/>
    <s v="N"/>
    <n v="1"/>
    <d v="2023-07-10T19:02:03"/>
    <s v="N"/>
    <s v="NIL BILL"/>
    <s v="Public Law Children"/>
    <s v="Profit Cost"/>
    <s v="VCG"/>
    <s v="N"/>
    <n v="0"/>
    <n v="0"/>
    <x v="2"/>
    <s v="VALIDATED"/>
    <n v="1"/>
    <s v="01.11.80.308.6100.0000"/>
    <n v="0"/>
    <s v="11"/>
    <s v="6100"/>
    <n v="22185.3"/>
    <n v="0"/>
    <s v="CREDITOR"/>
    <n v="0"/>
    <n v="0"/>
    <n v="0"/>
    <n v="0"/>
    <n v="0"/>
  </r>
  <r>
    <n v="10058695"/>
    <s v="N"/>
    <n v="21349876"/>
    <s v="3000005948260050"/>
    <s v="CIVIL"/>
    <d v="2023-06-21T00:00:00"/>
    <d v="2023-07-10T19:01:40"/>
    <m/>
    <d v="2023-07-10T00:00:00"/>
    <n v="1600"/>
    <n v="15907"/>
    <s v="10058695"/>
    <s v="10058695"/>
    <m/>
    <m/>
    <n v="22732596"/>
    <m/>
    <m/>
    <m/>
    <s v="SOLFIN"/>
    <s v="SOLFIN"/>
    <s v="CCMS"/>
    <n v="21349876"/>
    <n v="32101.97"/>
    <m/>
    <s v="N"/>
    <n v="25"/>
    <d v="2023-07-10T19:02:01"/>
    <s v="Y"/>
    <s v="Interpreter"/>
    <s v="Public Law Children"/>
    <s v="Expert Disbursement"/>
    <s v="JPR"/>
    <s v="Y"/>
    <n v="382.99"/>
    <n v="76.59999999999999"/>
    <x v="2"/>
    <s v="VALIDATED"/>
    <n v="1"/>
    <s v="01.11.80.308.6300.0000"/>
    <n v="382.99"/>
    <s v="11"/>
    <s v="6300"/>
    <n v="22185.3"/>
    <n v="382.99"/>
    <s v="CREDITOR"/>
    <n v="0"/>
    <n v="0"/>
    <n v="0"/>
    <n v="0"/>
    <n v="382.99"/>
  </r>
  <r>
    <n v="61715080"/>
    <s v="N"/>
    <n v="21319241"/>
    <s v="3000015779430004"/>
    <s v="CIVIL"/>
    <d v="2023-06-28T00:00:00"/>
    <d v="2023-07-03T19:04:24"/>
    <m/>
    <d v="2023-07-03T00:00:00"/>
    <n v="1600"/>
    <n v="15907"/>
    <s v="61715080"/>
    <s v="61715080"/>
    <m/>
    <m/>
    <n v="22775818"/>
    <m/>
    <m/>
    <m/>
    <s v="SOLPOA"/>
    <s v="SOLPOA"/>
    <s v="CCMS"/>
    <n v="21319241"/>
    <n v="1402.39"/>
    <m/>
    <s v="N"/>
    <n v="1"/>
    <d v="2023-07-03T19:04:24"/>
    <s v="N"/>
    <s v="Profit Cost"/>
    <s v="Profit Cost"/>
    <s v="Profit Cost"/>
    <s v="VCG"/>
    <s v="N"/>
    <n v="1168.66"/>
    <n v="233.73"/>
    <x v="3"/>
    <s v="VALIDATED"/>
    <n v="1"/>
    <s v="01.11.80.305.2012.0000"/>
    <n v="1168.66"/>
    <s v="11"/>
    <s v="2012"/>
    <n v="22185.3"/>
    <n v="1168.66"/>
    <s v="CREDITOR"/>
    <n v="1168.66"/>
    <n v="292.165"/>
    <n v="0"/>
    <n v="0"/>
    <n v="0"/>
  </r>
  <r>
    <n v="59904503"/>
    <s v="N"/>
    <n v="21360883"/>
    <s v="3000014261050017"/>
    <s v="CIVIL"/>
    <d v="2023-06-30T00:00:00"/>
    <d v="2023-07-11T19:00:25"/>
    <m/>
    <d v="2023-07-11T00:00:00"/>
    <n v="1600"/>
    <n v="15907"/>
    <s v="59904503"/>
    <s v="59904503"/>
    <m/>
    <m/>
    <n v="22794274"/>
    <m/>
    <m/>
    <m/>
    <s v="SOLFIN"/>
    <s v="SOLFIN"/>
    <s v="CCMS"/>
    <n v="21360883"/>
    <n v="7687.47"/>
    <m/>
    <s v="N"/>
    <n v="10"/>
    <d v="2023-07-11T19:00:38"/>
    <s v="Y"/>
    <s v="Psychologist"/>
    <s v="Public Law Children"/>
    <s v="Expert Disbursement"/>
    <s v="VCG"/>
    <s v="Y"/>
    <n v="207.88"/>
    <n v="41.58"/>
    <x v="7"/>
    <s v="VALIDATED"/>
    <n v="1"/>
    <s v="01.11.80.308.6300.0000"/>
    <n v="207.88"/>
    <s v="11"/>
    <s v="6300"/>
    <n v="22185.3"/>
    <n v="207.88"/>
    <s v="CREDITOR"/>
    <n v="0"/>
    <n v="0"/>
    <n v="0"/>
    <n v="0"/>
    <n v="207.88"/>
  </r>
  <r>
    <n v="61769070"/>
    <s v="N"/>
    <n v="21331203"/>
    <s v="3000015846750001"/>
    <s v="CIVIL"/>
    <d v="2023-06-26T00:00:00"/>
    <d v="2023-07-05T19:01:47"/>
    <m/>
    <d v="2023-07-05T00:00:00"/>
    <n v="1600"/>
    <n v="15907"/>
    <s v="61769070"/>
    <s v="61769070"/>
    <m/>
    <m/>
    <n v="22762040"/>
    <m/>
    <m/>
    <m/>
    <s v="SOLFIN"/>
    <s v="SOLFIN"/>
    <s v="CCMS"/>
    <n v="21331203"/>
    <n v="1397.31"/>
    <m/>
    <s v="N"/>
    <n v="2"/>
    <d v="2023-07-05T19:02:10"/>
    <s v="Y"/>
    <s v="Preparation - drafting application"/>
    <s v="Care Remuneration Hourly Rates"/>
    <s v="Profit Cost"/>
    <s v="MCR"/>
    <s v="Y"/>
    <n v="35.05"/>
    <n v="7.01"/>
    <x v="6"/>
    <s v="VALIDATED"/>
    <n v="1"/>
    <s v="01.11.80.305.6100.0000"/>
    <n v="35.05"/>
    <s v="11"/>
    <s v="6100"/>
    <n v="22185.3"/>
    <n v="35.05"/>
    <s v="CREDITOR"/>
    <n v="0"/>
    <n v="0"/>
    <n v="0"/>
    <n v="0"/>
    <n v="35.05"/>
  </r>
  <r>
    <n v="61769070"/>
    <s v="N"/>
    <n v="21331203"/>
    <s v="3000015846750001"/>
    <s v="CIVIL"/>
    <d v="2023-06-26T00:00:00"/>
    <d v="2023-07-05T19:01:47"/>
    <m/>
    <d v="2023-07-05T00:00:00"/>
    <n v="1600"/>
    <n v="15907"/>
    <s v="61769070"/>
    <s v="61769070"/>
    <m/>
    <m/>
    <n v="22762040"/>
    <m/>
    <m/>
    <m/>
    <s v="SOLFIN"/>
    <s v="SOLFIN"/>
    <s v="CCMS"/>
    <n v="21331203"/>
    <n v="1397.31"/>
    <m/>
    <s v="N"/>
    <n v="1"/>
    <d v="2023-07-05T19:02:10"/>
    <s v="Y"/>
    <s v="Preparation - drafting notice(s)"/>
    <s v="Care Remuneration Hourly Rates"/>
    <s v="Profit Cost"/>
    <s v="MCR"/>
    <s v="Y"/>
    <n v="5.84"/>
    <n v="1.17"/>
    <x v="6"/>
    <s v="VALIDATED"/>
    <n v="1"/>
    <s v="01.11.80.305.6100.0000"/>
    <n v="5.84"/>
    <s v="11"/>
    <s v="6100"/>
    <n v="22185.3"/>
    <n v="5.84"/>
    <s v="CREDITOR"/>
    <n v="0"/>
    <n v="0"/>
    <n v="0"/>
    <n v="0"/>
    <n v="5.84"/>
  </r>
  <r>
    <n v="62321012"/>
    <s v="N"/>
    <n v="21327711"/>
    <s v="3000016309330001"/>
    <s v="CIVIL"/>
    <d v="2023-06-26T00:00:00"/>
    <d v="2023-07-04T19:00:44"/>
    <m/>
    <d v="2023-07-04T00:00:00"/>
    <n v="1600"/>
    <n v="15907"/>
    <s v="62321012"/>
    <s v="62321012"/>
    <m/>
    <m/>
    <n v="22760362"/>
    <m/>
    <m/>
    <m/>
    <s v="SOLFIN"/>
    <s v="SOLFIN"/>
    <s v="CCMS"/>
    <n v="21327711"/>
    <n v="2700"/>
    <m/>
    <s v="N"/>
    <n v="8"/>
    <d v="2023-07-04T19:00:52"/>
    <s v="Y"/>
    <s v="Routine Letter In"/>
    <s v="Prescribed Hourly Rates"/>
    <s v="Profit Cost"/>
    <s v="JOD"/>
    <s v="Y"/>
    <n v="2.7"/>
    <n v="0.54"/>
    <x v="1"/>
    <s v="VALIDATED"/>
    <n v="1"/>
    <s v="01.11.80.305.6100.0000"/>
    <n v="2.7"/>
    <s v="11"/>
    <s v="6100"/>
    <n v="22185.3"/>
    <n v="2.7"/>
    <s v="CREDITOR"/>
    <n v="0"/>
    <n v="0"/>
    <n v="0"/>
    <n v="0"/>
    <n v="2.7"/>
  </r>
  <r>
    <n v="59904503"/>
    <s v="N"/>
    <n v="21360883"/>
    <s v="3000014261050017"/>
    <s v="CIVIL"/>
    <d v="2023-06-30T00:00:00"/>
    <d v="2023-07-11T19:00:25"/>
    <m/>
    <d v="2023-07-11T00:00:00"/>
    <n v="1600"/>
    <n v="15907"/>
    <s v="59904503"/>
    <s v="59904503"/>
    <m/>
    <m/>
    <n v="22794274"/>
    <m/>
    <m/>
    <m/>
    <s v="SOLFIN"/>
    <s v="SOLFIN"/>
    <s v="CCMS"/>
    <n v="21360883"/>
    <n v="7687.47"/>
    <m/>
    <s v="N"/>
    <n v="5"/>
    <d v="2023-07-11T19:00:38"/>
    <s v="Y"/>
    <s v="Toxicologist"/>
    <s v="Public Law Children"/>
    <s v="Expert Disbursement"/>
    <s v="VCG"/>
    <s v="Y"/>
    <n v="283.88"/>
    <n v="56.78"/>
    <x v="7"/>
    <s v="VALIDATED"/>
    <n v="1"/>
    <s v="01.11.80.308.6300.0000"/>
    <n v="283.88"/>
    <s v="11"/>
    <s v="6300"/>
    <n v="22185.3"/>
    <n v="283.88"/>
    <s v="CREDITOR"/>
    <n v="0"/>
    <n v="0"/>
    <n v="0"/>
    <n v="0"/>
    <n v="283.88"/>
  </r>
  <r>
    <n v="10058695"/>
    <s v="N"/>
    <n v="21349876"/>
    <s v="3000005948260050"/>
    <s v="CIVIL"/>
    <d v="2023-06-21T00:00:00"/>
    <d v="2023-07-10T19:01:40"/>
    <m/>
    <d v="2023-07-10T00:00:00"/>
    <n v="1600"/>
    <n v="15907"/>
    <s v="10058695"/>
    <s v="10058695"/>
    <m/>
    <m/>
    <n v="22732596"/>
    <m/>
    <m/>
    <m/>
    <s v="SOLFIN"/>
    <s v="SOLFIN"/>
    <s v="CCMS"/>
    <n v="21349876"/>
    <n v="32101.97"/>
    <m/>
    <s v="N"/>
    <n v="20"/>
    <d v="2023-07-10T19:02:01"/>
    <s v="Y"/>
    <s v="Interpreter"/>
    <s v="Public Law Children"/>
    <s v="Expert Disbursement"/>
    <s v="JPR"/>
    <s v="Y"/>
    <n v="290.9"/>
    <n v="58.18"/>
    <x v="2"/>
    <s v="VALIDATED"/>
    <n v="1"/>
    <s v="01.11.80.308.6300.0000"/>
    <n v="290.9"/>
    <s v="11"/>
    <s v="6300"/>
    <n v="22185.3"/>
    <n v="290.9"/>
    <s v="CREDITOR"/>
    <n v="0"/>
    <n v="0"/>
    <n v="0"/>
    <n v="0"/>
    <n v="290.9"/>
  </r>
  <r>
    <n v="61769070"/>
    <s v="N"/>
    <n v="21331203"/>
    <s v="3000015846750001"/>
    <s v="CIVIL"/>
    <d v="2023-06-26T00:00:00"/>
    <d v="2023-07-05T19:01:47"/>
    <m/>
    <d v="2023-07-05T00:00:00"/>
    <n v="1600"/>
    <n v="15907"/>
    <s v="61769070"/>
    <s v="61769070"/>
    <m/>
    <m/>
    <n v="22762040"/>
    <m/>
    <m/>
    <m/>
    <s v="SOLFIN"/>
    <s v="SOLFIN"/>
    <s v="CCMS"/>
    <n v="21331203"/>
    <n v="1397.31"/>
    <m/>
    <s v="N"/>
    <n v="11"/>
    <d v="2023-07-05T19:02:10"/>
    <s v="Y"/>
    <s v="Preparation - other"/>
    <s v="Care Remuneration Hourly Rates"/>
    <s v="Profit Cost"/>
    <s v="MCR"/>
    <s v="Y"/>
    <n v="5.84"/>
    <n v="1.17"/>
    <x v="6"/>
    <s v="VALIDATED"/>
    <n v="1"/>
    <s v="01.11.80.305.6100.0000"/>
    <n v="5.84"/>
    <s v="11"/>
    <s v="6100"/>
    <n v="22185.3"/>
    <n v="5.84"/>
    <s v="CREDITOR"/>
    <n v="0"/>
    <n v="0"/>
    <n v="0"/>
    <n v="0"/>
    <n v="5.84"/>
  </r>
  <r>
    <n v="59810816"/>
    <s v="N"/>
    <n v="21318448"/>
    <s v="3000014183000006"/>
    <s v="CIVIL"/>
    <d v="2023-06-22T00:00:00"/>
    <d v="2023-07-03T19:01:49"/>
    <m/>
    <d v="2023-07-03T00:00:00"/>
    <n v="1600"/>
    <n v="15907"/>
    <s v="59810816"/>
    <s v="59810816"/>
    <m/>
    <m/>
    <n v="22744926"/>
    <m/>
    <m/>
    <m/>
    <s v="SOLFIN"/>
    <s v="SOLFIN"/>
    <s v="CCMS"/>
    <n v="21318448"/>
    <n v="8773.290000000001"/>
    <m/>
    <s v="N"/>
    <n v="17"/>
    <d v="2023-07-03T19:01:56"/>
    <s v="Y"/>
    <s v="Preparation - other"/>
    <s v="Prescribed Hourly Rates"/>
    <s v="Profit Cost"/>
    <s v="MCR"/>
    <s v="Y"/>
    <n v="13.15"/>
    <n v="2.63"/>
    <x v="3"/>
    <s v="VALIDATED"/>
    <n v="1"/>
    <s v="01.11.80.305.6100.0000"/>
    <n v="13.15"/>
    <s v="11"/>
    <s v="6100"/>
    <n v="22185.3"/>
    <n v="13.15"/>
    <s v="CREDITOR"/>
    <n v="0"/>
    <n v="0"/>
    <n v="0"/>
    <n v="0"/>
    <n v="13.15"/>
  </r>
  <r>
    <n v="10058695"/>
    <s v="N"/>
    <n v="21349876"/>
    <s v="3000005948260050"/>
    <s v="CIVIL"/>
    <d v="2023-06-21T00:00:00"/>
    <d v="2023-07-10T19:01:40"/>
    <m/>
    <d v="2023-07-10T00:00:00"/>
    <n v="1600"/>
    <n v="15907"/>
    <s v="10058695"/>
    <s v="10058695"/>
    <m/>
    <m/>
    <n v="22732596"/>
    <m/>
    <m/>
    <m/>
    <s v="SOLFIN"/>
    <s v="SOLFIN"/>
    <s v="CCMS"/>
    <n v="21349876"/>
    <n v="32101.97"/>
    <m/>
    <s v="N"/>
    <n v="24"/>
    <d v="2023-07-10T19:02:01"/>
    <s v="Y"/>
    <s v="Court Fee"/>
    <s v="Public Law Children"/>
    <s v="Non Expert Disbursement"/>
    <s v="JPR"/>
    <s v="Y"/>
    <n v="155"/>
    <n v="0"/>
    <x v="2"/>
    <s v="VALIDATED"/>
    <n v="1"/>
    <s v="01.11.80.308.6300.0000"/>
    <n v="155"/>
    <s v="11"/>
    <s v="6300"/>
    <n v="22185.3"/>
    <n v="155"/>
    <s v="CREDITOR"/>
    <n v="0"/>
    <n v="0"/>
    <n v="0"/>
    <n v="0"/>
    <n v="155"/>
  </r>
  <r>
    <n v="10058695"/>
    <s v="N"/>
    <n v="21349876"/>
    <s v="3000005948260050"/>
    <s v="CIVIL"/>
    <d v="2023-06-21T00:00:00"/>
    <d v="2023-07-10T19:01:40"/>
    <m/>
    <d v="2023-07-10T00:00:00"/>
    <n v="1600"/>
    <n v="15907"/>
    <s v="10058695"/>
    <s v="10058695"/>
    <m/>
    <m/>
    <n v="22732596"/>
    <m/>
    <m/>
    <m/>
    <s v="SOLFIN"/>
    <s v="SOLFIN"/>
    <s v="CCMS"/>
    <n v="21349876"/>
    <n v="32101.97"/>
    <m/>
    <s v="N"/>
    <n v="33"/>
    <d v="2023-07-10T19:02:01"/>
    <s v="Y"/>
    <s v="Interpreter"/>
    <s v="Public Law Children"/>
    <s v="Expert Disbursement"/>
    <s v="JPR"/>
    <s v="Y"/>
    <n v="152"/>
    <n v="30.4"/>
    <x v="2"/>
    <s v="VALIDATED"/>
    <n v="1"/>
    <s v="01.11.80.308.6300.0000"/>
    <n v="152"/>
    <s v="11"/>
    <s v="6300"/>
    <n v="22185.3"/>
    <n v="152"/>
    <s v="CREDITOR"/>
    <n v="0"/>
    <n v="0"/>
    <n v="0"/>
    <n v="0"/>
    <n v="152"/>
  </r>
  <r>
    <n v="10058695"/>
    <s v="N"/>
    <n v="21349876"/>
    <s v="3000005948260050"/>
    <s v="CIVIL"/>
    <d v="2023-06-21T00:00:00"/>
    <d v="2023-07-10T19:01:40"/>
    <m/>
    <d v="2023-07-10T00:00:00"/>
    <n v="1600"/>
    <n v="15907"/>
    <s v="10058695"/>
    <s v="10058695"/>
    <m/>
    <m/>
    <n v="22732596"/>
    <m/>
    <m/>
    <m/>
    <s v="SOLFIN"/>
    <s v="SOLFIN"/>
    <s v="CCMS"/>
    <n v="21349876"/>
    <n v="32101.97"/>
    <m/>
    <s v="N"/>
    <n v="6"/>
    <d v="2023-07-10T19:02:01"/>
    <s v="N"/>
    <s v="Interpreter"/>
    <s v="Public Law Children"/>
    <s v="Expert Disbursement"/>
    <s v="JPR"/>
    <s v="N"/>
    <n v="0"/>
    <n v="0"/>
    <x v="2"/>
    <s v="VALIDATED"/>
    <n v="1"/>
    <s v="01.11.80.308.6300.0000"/>
    <n v="0"/>
    <s v="11"/>
    <s v="6300"/>
    <n v="22185.3"/>
    <n v="0"/>
    <s v="CREDITOR"/>
    <n v="0"/>
    <n v="0"/>
    <n v="0"/>
    <n v="0"/>
    <n v="0"/>
  </r>
  <r>
    <n v="61612636"/>
    <s v="N"/>
    <n v="21327983"/>
    <s v="3000015719440004"/>
    <s v="CIVIL"/>
    <d v="2023-06-23T00:00:00"/>
    <d v="2023-07-04T19:00:44"/>
    <m/>
    <d v="2023-07-04T00:00:00"/>
    <n v="1600"/>
    <n v="15907"/>
    <s v="61612636"/>
    <s v="61612636"/>
    <m/>
    <m/>
    <n v="22755254"/>
    <m/>
    <m/>
    <m/>
    <s v="SOLFIN"/>
    <s v="SOLFIN"/>
    <s v="CCMS"/>
    <n v="21327983"/>
    <n v="4452.29"/>
    <m/>
    <s v="N"/>
    <n v="2"/>
    <d v="2023-07-04T19:01:00"/>
    <s v="Y"/>
    <s v="Advocates Meeting"/>
    <s v="Public Law Children"/>
    <s v="Advocacy"/>
    <s v="JPR"/>
    <s v="Y"/>
    <n v="140.99"/>
    <n v="28.2"/>
    <x v="1"/>
    <s v="VALIDATED"/>
    <n v="1"/>
    <s v="01.11.80.308.6100.0000"/>
    <n v="140.99"/>
    <s v="11"/>
    <s v="6100"/>
    <n v="22185.3"/>
    <n v="140.99"/>
    <s v="CREDITOR"/>
    <n v="0"/>
    <n v="0"/>
    <n v="0"/>
    <n v="0"/>
    <n v="140.99"/>
  </r>
  <r>
    <n v="61612636"/>
    <s v="N"/>
    <n v="21327983"/>
    <s v="3000015719440004"/>
    <s v="CIVIL"/>
    <d v="2023-06-23T00:00:00"/>
    <d v="2023-07-04T19:00:44"/>
    <m/>
    <d v="2023-07-04T00:00:00"/>
    <n v="1600"/>
    <n v="15907"/>
    <s v="61612636"/>
    <s v="61612636"/>
    <m/>
    <m/>
    <n v="22755254"/>
    <m/>
    <m/>
    <m/>
    <s v="SOLFIN"/>
    <s v="SOLFIN"/>
    <s v="CCMS"/>
    <n v="21327983"/>
    <n v="4452.29"/>
    <m/>
    <s v="N"/>
    <n v="1"/>
    <d v="2023-07-04T19:01:00"/>
    <s v="Y"/>
    <s v="Hearing Unit 2.31 - 5.00 Hours"/>
    <s v="Public Law Children"/>
    <s v="Advocacy"/>
    <s v="JPR"/>
    <s v="Y"/>
    <n v="476.92"/>
    <n v="95.38"/>
    <x v="1"/>
    <s v="VALIDATED"/>
    <n v="1"/>
    <s v="01.11.80.308.6100.0000"/>
    <n v="476.92"/>
    <s v="11"/>
    <s v="6100"/>
    <n v="22185.3"/>
    <n v="476.92"/>
    <s v="CREDITOR"/>
    <n v="0"/>
    <n v="0"/>
    <n v="0"/>
    <n v="0"/>
    <n v="476.92"/>
  </r>
  <r>
    <n v="59810816"/>
    <s v="N"/>
    <n v="21318448"/>
    <s v="3000014183000006"/>
    <s v="CIVIL"/>
    <d v="2023-06-22T00:00:00"/>
    <d v="2023-07-03T19:01:49"/>
    <m/>
    <d v="2023-07-03T00:00:00"/>
    <n v="1600"/>
    <n v="15907"/>
    <s v="59810816"/>
    <s v="59810816"/>
    <m/>
    <m/>
    <n v="22744926"/>
    <m/>
    <m/>
    <m/>
    <s v="SOLFIN"/>
    <s v="SOLFIN"/>
    <s v="CCMS"/>
    <n v="21318448"/>
    <n v="8773.290000000001"/>
    <m/>
    <s v="N"/>
    <n v="26"/>
    <d v="2023-07-03T19:01:56"/>
    <s v="Y"/>
    <s v="Preparation - drafting instructions"/>
    <s v="Prescribed Hourly Rates"/>
    <s v="Profit Cost"/>
    <s v="GHJ"/>
    <s v="Y"/>
    <n v="39.46"/>
    <n v="7.89"/>
    <x v="3"/>
    <s v="VALIDATED"/>
    <n v="1"/>
    <s v="01.11.80.305.6100.0000"/>
    <n v="39.46"/>
    <s v="11"/>
    <s v="6100"/>
    <n v="22185.3"/>
    <n v="39.46"/>
    <s v="CREDITOR"/>
    <n v="0"/>
    <n v="0"/>
    <n v="0"/>
    <n v="0"/>
    <n v="39.46"/>
  </r>
  <r>
    <n v="61769070"/>
    <s v="N"/>
    <n v="21331203"/>
    <s v="3000015846750001"/>
    <s v="CIVIL"/>
    <d v="2023-06-26T00:00:00"/>
    <d v="2023-07-05T19:01:47"/>
    <m/>
    <d v="2023-07-05T00:00:00"/>
    <n v="1600"/>
    <n v="15907"/>
    <s v="61769070"/>
    <s v="61769070"/>
    <m/>
    <m/>
    <n v="22762040"/>
    <m/>
    <m/>
    <m/>
    <s v="SOLFIN"/>
    <s v="SOLFIN"/>
    <s v="CCMS"/>
    <n v="21331203"/>
    <n v="1397.31"/>
    <m/>
    <s v="N"/>
    <n v="12"/>
    <d v="2023-07-05T19:02:10"/>
    <s v="Y"/>
    <s v="Routine Letter In"/>
    <s v="Care Remuneration Hourly Rates"/>
    <s v="Profit Cost"/>
    <s v="MCR"/>
    <s v="Y"/>
    <n v="59.2"/>
    <n v="11.84"/>
    <x v="6"/>
    <s v="VALIDATED"/>
    <n v="1"/>
    <s v="01.11.80.305.6100.0000"/>
    <n v="59.2"/>
    <s v="11"/>
    <s v="6100"/>
    <n v="22185.3"/>
    <n v="59.2"/>
    <s v="CREDITOR"/>
    <n v="0"/>
    <n v="0"/>
    <n v="0"/>
    <n v="0"/>
    <n v="59.2"/>
  </r>
  <r>
    <n v="61612636"/>
    <s v="N"/>
    <n v="21327983"/>
    <s v="3000015719440004"/>
    <s v="CIVIL"/>
    <d v="2023-06-23T00:00:00"/>
    <d v="2023-07-04T19:00:44"/>
    <m/>
    <d v="2023-07-04T00:00:00"/>
    <n v="1600"/>
    <n v="15907"/>
    <s v="61612636"/>
    <s v="61612636"/>
    <m/>
    <m/>
    <n v="22755254"/>
    <m/>
    <m/>
    <m/>
    <s v="SOLFIN"/>
    <s v="SOLFIN"/>
    <s v="CCMS"/>
    <n v="21327983"/>
    <n v="4452.29"/>
    <m/>
    <s v="N"/>
    <n v="5"/>
    <d v="2023-07-04T19:01:00"/>
    <s v="Y"/>
    <s v="Hearing Unit 1.01 - 2.30 Hours"/>
    <s v="Public Law Children"/>
    <s v="Advocacy"/>
    <s v="VIM"/>
    <s v="Y"/>
    <n v="238.46"/>
    <n v="47.69"/>
    <x v="1"/>
    <s v="VALIDATED"/>
    <n v="1"/>
    <s v="01.11.80.308.6100.0000"/>
    <n v="238.46"/>
    <s v="11"/>
    <s v="6100"/>
    <n v="22185.3"/>
    <n v="238.46"/>
    <s v="CREDITOR"/>
    <n v="0"/>
    <n v="0"/>
    <n v="0"/>
    <n v="0"/>
    <n v="238.46"/>
  </r>
  <r>
    <n v="61157903"/>
    <s v="N"/>
    <n v="21328104"/>
    <s v="3000015340490004"/>
    <s v="CIVIL"/>
    <d v="2023-06-26T00:00:00"/>
    <d v="2023-07-04T19:00:44"/>
    <m/>
    <d v="2023-07-04T00:00:00"/>
    <n v="1600"/>
    <n v="15907"/>
    <s v="61157903"/>
    <s v="61157903"/>
    <m/>
    <m/>
    <n v="22765064"/>
    <m/>
    <m/>
    <m/>
    <s v="SOLFIN"/>
    <s v="SOLFIN"/>
    <s v="CCMS"/>
    <n v="21328104"/>
    <n v="4091.61"/>
    <m/>
    <s v="N"/>
    <n v="5"/>
    <d v="2023-07-04T19:01:04"/>
    <s v="Y"/>
    <s v="Hearing Unit 1.01 - 2.30 Hours"/>
    <s v="Public Law Children"/>
    <s v="Advocacy"/>
    <s v="CLP"/>
    <s v="Y"/>
    <n v="216.81"/>
    <n v="43.36"/>
    <x v="1"/>
    <s v="VALIDATED"/>
    <n v="1"/>
    <s v="01.11.80.308.6100.0000"/>
    <n v="216.81"/>
    <s v="11"/>
    <s v="6100"/>
    <n v="22185.3"/>
    <n v="216.81"/>
    <s v="CREDITOR"/>
    <n v="0"/>
    <n v="0"/>
    <n v="0"/>
    <n v="0"/>
    <n v="216.81"/>
  </r>
  <r>
    <n v="59810816"/>
    <s v="N"/>
    <n v="21318448"/>
    <s v="3000014183000006"/>
    <s v="CIVIL"/>
    <d v="2023-06-22T00:00:00"/>
    <d v="2023-07-03T19:01:49"/>
    <m/>
    <d v="2023-07-03T00:00:00"/>
    <n v="1600"/>
    <n v="15907"/>
    <s v="59810816"/>
    <s v="59810816"/>
    <m/>
    <m/>
    <n v="22744926"/>
    <m/>
    <m/>
    <m/>
    <s v="SOLFIN"/>
    <s v="SOLFIN"/>
    <s v="CCMS"/>
    <n v="21318448"/>
    <n v="8773.290000000001"/>
    <m/>
    <s v="N"/>
    <n v="62"/>
    <d v="2023-07-03T19:01:56"/>
    <s v="Y"/>
    <s v="Preparation - drafting instructions"/>
    <s v="Prescribed Hourly Rates"/>
    <s v="Profit Cost"/>
    <s v="MCR"/>
    <s v="Y"/>
    <n v="13.15"/>
    <n v="2.63"/>
    <x v="3"/>
    <s v="VALIDATED"/>
    <n v="1"/>
    <s v="01.11.80.305.6100.0000"/>
    <n v="13.15"/>
    <s v="11"/>
    <s v="6100"/>
    <n v="22185.3"/>
    <n v="13.15"/>
    <s v="CREDITOR"/>
    <n v="0"/>
    <n v="0"/>
    <n v="0"/>
    <n v="0"/>
    <n v="13.15"/>
  </r>
  <r>
    <n v="59810816"/>
    <s v="N"/>
    <n v="21318448"/>
    <s v="3000014183000006"/>
    <s v="CIVIL"/>
    <d v="2023-06-22T00:00:00"/>
    <d v="2023-07-03T19:01:49"/>
    <m/>
    <d v="2023-07-03T00:00:00"/>
    <n v="1600"/>
    <n v="15907"/>
    <s v="59810816"/>
    <s v="59810816"/>
    <m/>
    <m/>
    <n v="22744926"/>
    <m/>
    <m/>
    <m/>
    <s v="SOLFIN"/>
    <s v="SOLFIN"/>
    <s v="CCMS"/>
    <n v="21318448"/>
    <n v="8773.290000000001"/>
    <m/>
    <s v="N"/>
    <n v="27"/>
    <d v="2023-07-03T19:01:56"/>
    <s v="Y"/>
    <s v="Preparation - drafting bill/claim f"/>
    <s v="Prescribed Hourly Rates"/>
    <s v="Profit Cost"/>
    <s v="CAH"/>
    <s v="Y"/>
    <n v="203.83"/>
    <n v="40.77"/>
    <x v="3"/>
    <s v="VALIDATED"/>
    <n v="1"/>
    <s v="01.11.80.305.6100.0000"/>
    <n v="203.83"/>
    <s v="11"/>
    <s v="6100"/>
    <n v="22185.3"/>
    <n v="203.83"/>
    <s v="CREDITOR"/>
    <n v="0"/>
    <n v="0"/>
    <n v="0"/>
    <n v="0"/>
    <n v="203.83"/>
  </r>
  <r>
    <n v="10058695"/>
    <s v="N"/>
    <n v="21349876"/>
    <s v="3000005948260050"/>
    <s v="CIVIL"/>
    <d v="2023-06-21T00:00:00"/>
    <d v="2023-07-10T19:01:40"/>
    <m/>
    <d v="2023-07-10T00:00:00"/>
    <n v="1600"/>
    <n v="15907"/>
    <s v="10058695"/>
    <s v="10058695"/>
    <m/>
    <m/>
    <n v="22732596"/>
    <m/>
    <m/>
    <m/>
    <s v="SOLFIN"/>
    <s v="SOLFIN"/>
    <s v="CCMS"/>
    <n v="21349876"/>
    <n v="32101.97"/>
    <m/>
    <s v="N"/>
    <n v="3"/>
    <d v="2023-07-10T19:02:01"/>
    <s v="Y"/>
    <s v="Interpreter"/>
    <s v="Public Law Children"/>
    <s v="Expert Disbursement"/>
    <s v="JPR"/>
    <s v="Y"/>
    <n v="112"/>
    <n v="22.4"/>
    <x v="2"/>
    <s v="VALIDATED"/>
    <n v="1"/>
    <s v="01.11.80.308.6300.0000"/>
    <n v="112"/>
    <s v="11"/>
    <s v="6300"/>
    <n v="22185.3"/>
    <n v="112"/>
    <s v="CREDITOR"/>
    <n v="0"/>
    <n v="0"/>
    <n v="0"/>
    <n v="0"/>
    <n v="112"/>
  </r>
  <r>
    <n v="61769070"/>
    <s v="N"/>
    <n v="21331203"/>
    <s v="3000015846750001"/>
    <s v="CIVIL"/>
    <d v="2023-06-26T00:00:00"/>
    <d v="2023-07-05T19:01:47"/>
    <m/>
    <d v="2023-07-05T00:00:00"/>
    <n v="1600"/>
    <n v="15907"/>
    <s v="61769070"/>
    <s v="61769070"/>
    <m/>
    <m/>
    <n v="22762040"/>
    <m/>
    <m/>
    <m/>
    <s v="SOLFIN"/>
    <s v="SOLFIN"/>
    <s v="CCMS"/>
    <n v="21331203"/>
    <n v="1397.31"/>
    <m/>
    <s v="N"/>
    <n v="9"/>
    <d v="2023-07-05T19:02:10"/>
    <s v="Y"/>
    <s v="Preparation - other"/>
    <s v="Care Remuneration Hourly Rates"/>
    <s v="Profit Cost"/>
    <s v="GHJ"/>
    <s v="Y"/>
    <n v="73.01000000000001"/>
    <n v="14.6"/>
    <x v="6"/>
    <s v="VALIDATED"/>
    <n v="1"/>
    <s v="01.11.80.305.6100.0000"/>
    <n v="73.01000000000001"/>
    <s v="11"/>
    <s v="6100"/>
    <n v="22185.3"/>
    <n v="73.01000000000001"/>
    <s v="CREDITOR"/>
    <n v="0"/>
    <n v="0"/>
    <n v="0"/>
    <n v="0"/>
    <n v="73.01000000000001"/>
  </r>
  <r>
    <n v="61157903"/>
    <s v="N"/>
    <n v="21328104"/>
    <s v="3000015340490004"/>
    <s v="CIVIL"/>
    <d v="2023-06-26T00:00:00"/>
    <d v="2023-07-04T19:00:44"/>
    <m/>
    <d v="2023-07-04T00:00:00"/>
    <n v="1600"/>
    <n v="15907"/>
    <s v="61157903"/>
    <s v="61157903"/>
    <m/>
    <m/>
    <n v="22765064"/>
    <m/>
    <m/>
    <m/>
    <s v="SOLFIN"/>
    <s v="SOLFIN"/>
    <s v="CCMS"/>
    <n v="21328104"/>
    <n v="4091.61"/>
    <m/>
    <s v="N"/>
    <n v="2"/>
    <d v="2023-07-04T19:01:04"/>
    <s v="Y"/>
    <s v="Toxicologist"/>
    <s v="Public Law Children"/>
    <s v="Expert Disbursement"/>
    <s v="CLP"/>
    <s v="Y"/>
    <n v="106.25"/>
    <n v="21.25"/>
    <x v="1"/>
    <s v="VALIDATED"/>
    <n v="1"/>
    <s v="01.11.80.308.6300.0000"/>
    <n v="106.25"/>
    <s v="11"/>
    <s v="6300"/>
    <n v="22185.3"/>
    <n v="106.25"/>
    <s v="CREDITOR"/>
    <n v="0"/>
    <n v="0"/>
    <n v="0"/>
    <n v="0"/>
    <n v="106.25"/>
  </r>
  <r>
    <n v="61612636"/>
    <s v="N"/>
    <n v="21327983"/>
    <s v="3000015719440004"/>
    <s v="CIVIL"/>
    <d v="2023-06-23T00:00:00"/>
    <d v="2023-07-04T19:00:44"/>
    <m/>
    <d v="2023-07-04T00:00:00"/>
    <n v="1600"/>
    <n v="15907"/>
    <s v="61612636"/>
    <s v="61612636"/>
    <m/>
    <m/>
    <n v="22755254"/>
    <m/>
    <m/>
    <m/>
    <s v="SOLFIN"/>
    <s v="SOLFIN"/>
    <s v="CCMS"/>
    <n v="21327983"/>
    <n v="4452.29"/>
    <m/>
    <s v="N"/>
    <n v="6"/>
    <d v="2023-07-04T19:01:00"/>
    <s v="Y"/>
    <s v="Solicitors Fixed Fee"/>
    <s v="Public Law Children"/>
    <s v="Profit Cost"/>
    <s v="JPR"/>
    <s v="Y"/>
    <n v="2156"/>
    <n v="431.2"/>
    <x v="1"/>
    <s v="VALIDATED"/>
    <n v="1"/>
    <s v="01.11.80.308.6100.0000"/>
    <n v="2156"/>
    <s v="11"/>
    <s v="6100"/>
    <n v="22185.3"/>
    <n v="2156"/>
    <s v="CREDITOR"/>
    <n v="0"/>
    <n v="0"/>
    <n v="0"/>
    <n v="0"/>
    <n v="2156"/>
  </r>
  <r>
    <n v="62321012"/>
    <s v="N"/>
    <n v="21327711"/>
    <s v="3000016309330001"/>
    <s v="CIVIL"/>
    <d v="2023-06-26T00:00:00"/>
    <d v="2023-07-04T19:00:44"/>
    <m/>
    <d v="2023-07-04T00:00:00"/>
    <n v="1600"/>
    <n v="15907"/>
    <s v="62321012"/>
    <s v="62321012"/>
    <m/>
    <m/>
    <n v="22760362"/>
    <m/>
    <m/>
    <m/>
    <s v="SOLFIN"/>
    <s v="SOLFIN"/>
    <s v="CCMS"/>
    <n v="21327711"/>
    <n v="2700"/>
    <m/>
    <s v="N"/>
    <n v="10"/>
    <d v="2023-07-04T19:00:52"/>
    <s v="Y"/>
    <s v="Final Hearing - 4 Days"/>
    <s v="Other Public Law Children"/>
    <s v="Advocacy"/>
    <s v="JPR"/>
    <s v="Y"/>
    <n v="2043"/>
    <n v="408.6"/>
    <x v="1"/>
    <s v="VALIDATED"/>
    <n v="1"/>
    <s v="01.11.80.305.6100.0000"/>
    <n v="2043"/>
    <s v="11"/>
    <s v="6100"/>
    <n v="22185.3"/>
    <n v="2043"/>
    <s v="CREDITOR"/>
    <n v="0"/>
    <n v="0"/>
    <n v="0"/>
    <n v="0"/>
    <n v="2043"/>
  </r>
  <r>
    <n v="61638278"/>
    <s v="N"/>
    <n v="21321789"/>
    <s v="3000015741180005"/>
    <s v="CIVIL"/>
    <d v="2023-06-29T00:00:00"/>
    <d v="2023-07-03T19:05:17"/>
    <m/>
    <d v="2023-07-03T00:00:00"/>
    <n v="1600"/>
    <n v="15907"/>
    <s v="61638278"/>
    <s v="61638278"/>
    <m/>
    <m/>
    <n v="22784960"/>
    <m/>
    <m/>
    <m/>
    <s v="SOLPOA"/>
    <s v="SOLPOA"/>
    <s v="CCMS"/>
    <n v="21321789"/>
    <n v="353.59"/>
    <m/>
    <s v="N"/>
    <n v="1"/>
    <d v="2023-07-03T19:05:20"/>
    <s v="N"/>
    <s v="Solicitors Fixed Fee"/>
    <s v="Public Law Children"/>
    <s v="Profit Cost"/>
    <s v="VIM"/>
    <s v="N"/>
    <n v="294.66"/>
    <n v="58.93"/>
    <x v="3"/>
    <s v="VALIDATED"/>
    <n v="1"/>
    <s v="01.11.80.308.2012.0000"/>
    <n v="294.66"/>
    <s v="11"/>
    <s v="2012"/>
    <n v="22185.3"/>
    <n v="294.66"/>
    <s v="CREDITOR"/>
    <n v="294.66"/>
    <n v="73.66500000000001"/>
    <n v="0"/>
    <n v="0"/>
    <n v="0"/>
  </r>
  <r>
    <n v="59810816"/>
    <s v="N"/>
    <n v="21318448"/>
    <s v="3000014183000006"/>
    <s v="CIVIL"/>
    <d v="2023-06-22T00:00:00"/>
    <d v="2023-07-03T19:01:49"/>
    <m/>
    <d v="2023-07-03T00:00:00"/>
    <n v="1600"/>
    <n v="15907"/>
    <s v="59810816"/>
    <s v="59810816"/>
    <m/>
    <m/>
    <n v="22744926"/>
    <m/>
    <m/>
    <m/>
    <s v="SOLFIN"/>
    <s v="SOLFIN"/>
    <s v="CCMS"/>
    <n v="21318448"/>
    <n v="8773.290000000001"/>
    <m/>
    <s v="N"/>
    <n v="43"/>
    <d v="2023-07-03T19:01:56"/>
    <s v="Y"/>
    <s v="Preparation - other"/>
    <s v="Prescribed Hourly Rates"/>
    <s v="Profit Cost"/>
    <s v="MCR"/>
    <s v="Y"/>
    <n v="19.73"/>
    <n v="3.95"/>
    <x v="3"/>
    <s v="VALIDATED"/>
    <n v="1"/>
    <s v="01.11.80.305.6100.0000"/>
    <n v="19.73"/>
    <s v="11"/>
    <s v="6100"/>
    <n v="22185.3"/>
    <n v="19.73"/>
    <s v="CREDITOR"/>
    <n v="0"/>
    <n v="0"/>
    <n v="0"/>
    <n v="0"/>
    <n v="19.73"/>
  </r>
  <r>
    <n v="59810816"/>
    <s v="N"/>
    <n v="21318448"/>
    <s v="3000014183000006"/>
    <s v="CIVIL"/>
    <d v="2023-06-22T00:00:00"/>
    <d v="2023-07-03T19:01:49"/>
    <m/>
    <d v="2023-07-03T00:00:00"/>
    <n v="1600"/>
    <n v="15907"/>
    <s v="59810816"/>
    <s v="59810816"/>
    <m/>
    <m/>
    <n v="22744926"/>
    <m/>
    <m/>
    <m/>
    <s v="SOLFIN"/>
    <s v="SOLFIN"/>
    <s v="CCMS"/>
    <n v="21318448"/>
    <n v="8773.290000000001"/>
    <m/>
    <s v="N"/>
    <n v="9"/>
    <d v="2023-07-03T19:01:56"/>
    <s v="Y"/>
    <s v="Attendance upon/with Counsel at Con"/>
    <s v="Prescribed Hourly Rates"/>
    <s v="Profit Cost"/>
    <s v="GHJ"/>
    <s v="Y"/>
    <n v="133.66"/>
    <n v="26.73"/>
    <x v="3"/>
    <s v="VALIDATED"/>
    <n v="1"/>
    <s v="01.11.80.305.6100.0000"/>
    <n v="133.66"/>
    <s v="11"/>
    <s v="6100"/>
    <n v="22185.3"/>
    <n v="133.66"/>
    <s v="CREDITOR"/>
    <n v="0"/>
    <n v="0"/>
    <n v="0"/>
    <n v="0"/>
    <n v="133.66"/>
  </r>
  <r>
    <n v="59810816"/>
    <s v="N"/>
    <n v="21318448"/>
    <s v="3000014183000006"/>
    <s v="CIVIL"/>
    <d v="2023-06-22T00:00:00"/>
    <d v="2023-07-03T19:01:49"/>
    <m/>
    <d v="2023-07-03T00:00:00"/>
    <n v="1600"/>
    <n v="15907"/>
    <s v="59810816"/>
    <s v="59810816"/>
    <m/>
    <m/>
    <n v="22744926"/>
    <m/>
    <m/>
    <m/>
    <s v="SOLFIN"/>
    <s v="SOLFIN"/>
    <s v="CCMS"/>
    <n v="21318448"/>
    <n v="8773.290000000001"/>
    <m/>
    <s v="N"/>
    <n v="41"/>
    <d v="2023-07-03T19:01:56"/>
    <s v="Y"/>
    <s v="Preparation - other"/>
    <s v="Prescribed Hourly Rates"/>
    <s v="Profit Cost"/>
    <s v="GHJ"/>
    <s v="Y"/>
    <n v="118.36"/>
    <n v="23.67"/>
    <x v="3"/>
    <s v="VALIDATED"/>
    <n v="1"/>
    <s v="01.11.80.305.6100.0000"/>
    <n v="118.36"/>
    <s v="11"/>
    <s v="6100"/>
    <n v="22185.3"/>
    <n v="118.36"/>
    <s v="CREDITOR"/>
    <n v="0"/>
    <n v="0"/>
    <n v="0"/>
    <n v="0"/>
    <n v="118.36"/>
  </r>
  <r>
    <n v="59904503"/>
    <s v="N"/>
    <n v="21360883"/>
    <s v="3000014261050017"/>
    <s v="CIVIL"/>
    <d v="2023-06-30T00:00:00"/>
    <d v="2023-07-11T19:00:25"/>
    <m/>
    <d v="2023-07-11T00:00:00"/>
    <n v="1600"/>
    <n v="15907"/>
    <s v="59904503"/>
    <s v="59904503"/>
    <m/>
    <m/>
    <n v="22794274"/>
    <m/>
    <m/>
    <m/>
    <s v="SOLFIN"/>
    <s v="SOLFIN"/>
    <s v="CCMS"/>
    <n v="21360883"/>
    <n v="7687.47"/>
    <m/>
    <s v="N"/>
    <n v="20"/>
    <d v="2023-07-11T19:00:38"/>
    <s v="Y"/>
    <s v="Solicitors Fixed Fee"/>
    <s v="Public Law Children"/>
    <s v="Profit Cost"/>
    <s v="VCG"/>
    <s v="Y"/>
    <n v="2156"/>
    <n v="431.18"/>
    <x v="7"/>
    <s v="VALIDATED"/>
    <n v="1"/>
    <s v="01.11.80.308.6100.0000"/>
    <n v="2156"/>
    <s v="11"/>
    <s v="6100"/>
    <n v="22185.3"/>
    <n v="2156"/>
    <s v="CREDITOR"/>
    <n v="0"/>
    <n v="0"/>
    <n v="0"/>
    <n v="0"/>
    <n v="2156"/>
  </r>
  <r>
    <n v="61769070"/>
    <s v="N"/>
    <n v="21331203"/>
    <s v="3000015846750001"/>
    <s v="CIVIL"/>
    <d v="2023-06-26T00:00:00"/>
    <d v="2023-07-05T19:01:47"/>
    <m/>
    <d v="2023-07-05T00:00:00"/>
    <n v="1600"/>
    <n v="15907"/>
    <s v="61769070"/>
    <s v="61769070"/>
    <m/>
    <m/>
    <n v="22762040"/>
    <m/>
    <m/>
    <m/>
    <s v="SOLFIN"/>
    <s v="SOLFIN"/>
    <s v="CCMS"/>
    <n v="21331203"/>
    <n v="1397.31"/>
    <m/>
    <s v="N"/>
    <n v="6"/>
    <d v="2023-07-05T19:02:10"/>
    <s v="Y"/>
    <s v="Attendance upon client"/>
    <s v="Care Remuneration Hourly Rates"/>
    <s v="Profit Cost"/>
    <s v="GHJ"/>
    <s v="Y"/>
    <n v="36.51"/>
    <n v="7.3"/>
    <x v="6"/>
    <s v="VALIDATED"/>
    <n v="1"/>
    <s v="01.11.80.305.6100.0000"/>
    <n v="36.51"/>
    <s v="11"/>
    <s v="6100"/>
    <n v="22185.3"/>
    <n v="36.51"/>
    <s v="CREDITOR"/>
    <n v="0"/>
    <n v="0"/>
    <n v="0"/>
    <n v="0"/>
    <n v="36.51"/>
  </r>
  <r>
    <n v="59810816"/>
    <s v="N"/>
    <n v="21318448"/>
    <s v="3000014183000006"/>
    <s v="CIVIL"/>
    <d v="2023-06-22T00:00:00"/>
    <d v="2023-07-03T19:01:49"/>
    <m/>
    <d v="2023-07-03T00:00:00"/>
    <n v="1600"/>
    <n v="15907"/>
    <s v="59810816"/>
    <s v="59810816"/>
    <m/>
    <m/>
    <n v="22744926"/>
    <m/>
    <m/>
    <m/>
    <s v="SOLFIN"/>
    <s v="SOLFIN"/>
    <s v="CCMS"/>
    <n v="21318448"/>
    <n v="8773.290000000001"/>
    <m/>
    <s v="N"/>
    <n v="20"/>
    <d v="2023-07-03T19:01:56"/>
    <s v="Y"/>
    <s v="Preparation - other"/>
    <s v="Prescribed Hourly Rates"/>
    <s v="Profit Cost"/>
    <s v="GHJ"/>
    <s v="Y"/>
    <n v="197.26"/>
    <n v="39.45"/>
    <x v="3"/>
    <s v="VALIDATED"/>
    <n v="1"/>
    <s v="01.11.80.305.6100.0000"/>
    <n v="197.26"/>
    <s v="11"/>
    <s v="6100"/>
    <n v="22185.3"/>
    <n v="197.26"/>
    <s v="CREDITOR"/>
    <n v="0"/>
    <n v="0"/>
    <n v="0"/>
    <n v="0"/>
    <n v="197.26"/>
  </r>
  <r>
    <n v="59810816"/>
    <s v="N"/>
    <n v="21318448"/>
    <s v="3000014183000006"/>
    <s v="CIVIL"/>
    <d v="2023-06-22T00:00:00"/>
    <d v="2023-07-03T19:01:49"/>
    <m/>
    <d v="2023-07-03T00:00:00"/>
    <n v="1600"/>
    <n v="15907"/>
    <s v="59810816"/>
    <s v="59810816"/>
    <m/>
    <m/>
    <n v="22744926"/>
    <m/>
    <m/>
    <m/>
    <s v="SOLFIN"/>
    <s v="SOLFIN"/>
    <s v="CCMS"/>
    <n v="21318448"/>
    <n v="8773.290000000001"/>
    <m/>
    <s v="N"/>
    <n v="47"/>
    <d v="2023-07-03T19:01:56"/>
    <s v="Y"/>
    <s v="Preparation - other"/>
    <s v="Prescribed Hourly Rates"/>
    <s v="Profit Cost"/>
    <s v="GHJ"/>
    <s v="Y"/>
    <n v="184.1"/>
    <n v="36.82"/>
    <x v="3"/>
    <s v="VALIDATED"/>
    <n v="1"/>
    <s v="01.11.80.305.6100.0000"/>
    <n v="184.1"/>
    <s v="11"/>
    <s v="6100"/>
    <n v="22185.3"/>
    <n v="184.1"/>
    <s v="CREDITOR"/>
    <n v="0"/>
    <n v="0"/>
    <n v="0"/>
    <n v="0"/>
    <n v="184.1"/>
  </r>
  <r>
    <n v="59810816"/>
    <s v="N"/>
    <n v="21318448"/>
    <s v="3000014183000006"/>
    <s v="CIVIL"/>
    <d v="2023-06-22T00:00:00"/>
    <d v="2023-07-03T19:01:49"/>
    <m/>
    <d v="2023-07-03T00:00:00"/>
    <n v="1600"/>
    <n v="15907"/>
    <s v="59810816"/>
    <s v="59810816"/>
    <m/>
    <m/>
    <n v="22744926"/>
    <m/>
    <m/>
    <m/>
    <s v="SOLFIN"/>
    <s v="SOLFIN"/>
    <s v="CCMS"/>
    <n v="21318448"/>
    <n v="8773.290000000001"/>
    <m/>
    <s v="N"/>
    <n v="40"/>
    <d v="2023-07-03T19:01:56"/>
    <s v="Y"/>
    <s v="Attendance upon client"/>
    <s v="Prescribed Hourly Rates"/>
    <s v="Profit Cost"/>
    <s v="GHJ"/>
    <s v="Y"/>
    <n v="131.5"/>
    <n v="26.3"/>
    <x v="3"/>
    <s v="VALIDATED"/>
    <n v="1"/>
    <s v="01.11.80.305.6100.0000"/>
    <n v="131.5"/>
    <s v="11"/>
    <s v="6100"/>
    <n v="22185.3"/>
    <n v="131.5"/>
    <s v="CREDITOR"/>
    <n v="0"/>
    <n v="0"/>
    <n v="0"/>
    <n v="0"/>
    <n v="131.5"/>
  </r>
  <r>
    <n v="59810816"/>
    <s v="N"/>
    <n v="21318448"/>
    <s v="3000014183000006"/>
    <s v="CIVIL"/>
    <d v="2023-06-22T00:00:00"/>
    <d v="2023-07-03T19:01:49"/>
    <m/>
    <d v="2023-07-03T00:00:00"/>
    <n v="1600"/>
    <n v="15907"/>
    <s v="59810816"/>
    <s v="59810816"/>
    <m/>
    <m/>
    <n v="22744926"/>
    <m/>
    <m/>
    <m/>
    <s v="SOLFIN"/>
    <s v="SOLFIN"/>
    <s v="CCMS"/>
    <n v="21318448"/>
    <n v="8773.290000000001"/>
    <m/>
    <s v="N"/>
    <n v="70"/>
    <d v="2023-07-03T19:01:56"/>
    <s v="Y"/>
    <s v="Solicitor Travel Mileage"/>
    <s v="Prescribed Hourly Rates"/>
    <s v="Non Expert Disbursement"/>
    <s v="GHJ"/>
    <s v="Y"/>
    <n v="9.9"/>
    <n v="1.98"/>
    <x v="3"/>
    <s v="VALIDATED"/>
    <n v="1"/>
    <s v="01.11.80.305.6300.0000"/>
    <n v="9.9"/>
    <s v="11"/>
    <s v="6300"/>
    <n v="22185.3"/>
    <n v="9.9"/>
    <s v="CREDITOR"/>
    <n v="0"/>
    <n v="0"/>
    <n v="0"/>
    <n v="0"/>
    <n v="9.9"/>
  </r>
  <r>
    <n v="59810816"/>
    <s v="N"/>
    <n v="21318448"/>
    <s v="3000014183000006"/>
    <s v="CIVIL"/>
    <d v="2023-06-22T00:00:00"/>
    <d v="2023-07-03T19:01:49"/>
    <m/>
    <d v="2023-07-03T00:00:00"/>
    <n v="1600"/>
    <n v="15907"/>
    <s v="59810816"/>
    <s v="59810816"/>
    <m/>
    <m/>
    <n v="22744926"/>
    <m/>
    <m/>
    <m/>
    <s v="SOLFIN"/>
    <s v="SOLFIN"/>
    <s v="CCMS"/>
    <n v="21318448"/>
    <n v="8773.290000000001"/>
    <m/>
    <s v="N"/>
    <n v="16"/>
    <d v="2023-07-03T19:01:56"/>
    <s v="Y"/>
    <s v="Attendance upon client"/>
    <s v="Prescribed Hourly Rates"/>
    <s v="Profit Cost"/>
    <s v="GHJ"/>
    <s v="Y"/>
    <n v="39.46"/>
    <n v="7.89"/>
    <x v="3"/>
    <s v="VALIDATED"/>
    <n v="1"/>
    <s v="01.11.80.305.6100.0000"/>
    <n v="39.46"/>
    <s v="11"/>
    <s v="6100"/>
    <n v="22185.3"/>
    <n v="39.46"/>
    <s v="CREDITOR"/>
    <n v="0"/>
    <n v="0"/>
    <n v="0"/>
    <n v="0"/>
    <n v="39.46"/>
  </r>
  <r>
    <n v="62321012"/>
    <s v="N"/>
    <n v="21327711"/>
    <s v="3000016309330001"/>
    <s v="CIVIL"/>
    <d v="2023-06-26T00:00:00"/>
    <d v="2023-07-04T19:00:44"/>
    <m/>
    <d v="2023-07-04T00:00:00"/>
    <n v="1600"/>
    <n v="15907"/>
    <s v="62321012"/>
    <s v="62321012"/>
    <m/>
    <m/>
    <n v="22760362"/>
    <m/>
    <m/>
    <m/>
    <s v="SOLFIN"/>
    <s v="SOLFIN"/>
    <s v="CCMS"/>
    <n v="21327711"/>
    <n v="2700"/>
    <m/>
    <s v="N"/>
    <n v="4"/>
    <d v="2023-07-04T19:00:52"/>
    <s v="N"/>
    <s v="Preparation - drafting application"/>
    <s v="Prescribed Hourly Rates"/>
    <s v="Profit Cost"/>
    <s v="JMW"/>
    <s v="N"/>
    <n v="20.61"/>
    <n v="4.12"/>
    <x v="1"/>
    <s v="VALIDATED"/>
    <n v="1"/>
    <s v="01.11.80.305.6100.0000"/>
    <n v="20.61"/>
    <s v="11"/>
    <s v="6100"/>
    <n v="22185.3"/>
    <n v="20.61"/>
    <s v="CREDITOR"/>
    <n v="0"/>
    <n v="0"/>
    <n v="0"/>
    <n v="0"/>
    <n v="20.61"/>
  </r>
  <r>
    <n v="59810816"/>
    <s v="N"/>
    <n v="21318448"/>
    <s v="3000014183000006"/>
    <s v="CIVIL"/>
    <d v="2023-06-22T00:00:00"/>
    <d v="2023-07-03T19:01:49"/>
    <m/>
    <d v="2023-07-03T00:00:00"/>
    <n v="1600"/>
    <n v="15907"/>
    <s v="59810816"/>
    <s v="59810816"/>
    <m/>
    <m/>
    <n v="22744926"/>
    <m/>
    <m/>
    <m/>
    <s v="SOLFIN"/>
    <s v="SOLFIN"/>
    <s v="CCMS"/>
    <n v="21318448"/>
    <n v="8773.290000000001"/>
    <m/>
    <s v="N"/>
    <n v="50"/>
    <d v="2023-07-03T19:01:56"/>
    <s v="Y"/>
    <s v="Preparation - drafting application"/>
    <s v="Prescribed Hourly Rates"/>
    <s v="Profit Cost"/>
    <s v="MCR"/>
    <s v="Y"/>
    <n v="39.45"/>
    <n v="7.89"/>
    <x v="3"/>
    <s v="VALIDATED"/>
    <n v="1"/>
    <s v="01.11.80.305.6100.0000"/>
    <n v="39.45"/>
    <s v="11"/>
    <s v="6100"/>
    <n v="22185.3"/>
    <n v="39.45"/>
    <s v="CREDITOR"/>
    <n v="0"/>
    <n v="0"/>
    <n v="0"/>
    <n v="0"/>
    <n v="39.45"/>
  </r>
  <r>
    <n v="59904503"/>
    <s v="N"/>
    <n v="21360883"/>
    <s v="3000014261050017"/>
    <s v="CIVIL"/>
    <d v="2023-06-30T00:00:00"/>
    <d v="2023-07-11T19:00:25"/>
    <m/>
    <d v="2023-07-11T00:00:00"/>
    <n v="1600"/>
    <n v="15907"/>
    <s v="59904503"/>
    <s v="59904503"/>
    <m/>
    <m/>
    <n v="22794274"/>
    <m/>
    <m/>
    <m/>
    <s v="SOLFIN"/>
    <s v="SOLFIN"/>
    <s v="CCMS"/>
    <n v="21360883"/>
    <n v="7687.47"/>
    <m/>
    <s v="N"/>
    <n v="16"/>
    <d v="2023-07-11T19:00:38"/>
    <s v="Y"/>
    <s v="Hearing Unit 5.01 - 7.30 Hours"/>
    <s v="Public Law Children"/>
    <s v="Advocacy"/>
    <s v="GHJ"/>
    <s v="Y"/>
    <n v="715.38"/>
    <n v="143.08"/>
    <x v="7"/>
    <s v="VALIDATED"/>
    <n v="1"/>
    <s v="01.11.80.308.6100.0000"/>
    <n v="715.38"/>
    <s v="11"/>
    <s v="6100"/>
    <n v="22185.3"/>
    <n v="715.38"/>
    <s v="CREDITOR"/>
    <n v="0"/>
    <n v="0"/>
    <n v="0"/>
    <n v="0"/>
    <n v="715.38"/>
  </r>
  <r>
    <n v="10058695"/>
    <s v="N"/>
    <n v="21349876"/>
    <s v="3000005948260050"/>
    <s v="CIVIL"/>
    <d v="2023-06-21T00:00:00"/>
    <d v="2023-07-10T19:01:40"/>
    <m/>
    <d v="2023-07-10T00:00:00"/>
    <n v="1600"/>
    <n v="15907"/>
    <s v="10058695"/>
    <s v="10058695"/>
    <m/>
    <m/>
    <n v="22732596"/>
    <m/>
    <m/>
    <m/>
    <s v="SOLFIN"/>
    <s v="SOLFIN"/>
    <s v="CCMS"/>
    <n v="21349876"/>
    <n v="32101.97"/>
    <m/>
    <s v="N"/>
    <n v="22"/>
    <d v="2023-07-10T19:02:01"/>
    <s v="Y"/>
    <s v="Interpreter"/>
    <s v="Public Law Children"/>
    <s v="Expert Disbursement"/>
    <s v="JPR"/>
    <s v="Y"/>
    <n v="382.99"/>
    <n v="76.59999999999999"/>
    <x v="2"/>
    <s v="VALIDATED"/>
    <n v="1"/>
    <s v="01.11.80.308.6300.0000"/>
    <n v="382.99"/>
    <s v="11"/>
    <s v="6300"/>
    <n v="22185.3"/>
    <n v="382.99"/>
    <s v="CREDITOR"/>
    <n v="0"/>
    <n v="0"/>
    <n v="0"/>
    <n v="0"/>
    <n v="382.99"/>
  </r>
  <r>
    <n v="10058695"/>
    <s v="N"/>
    <n v="21349876"/>
    <s v="3000005948260050"/>
    <s v="CIVIL"/>
    <d v="2023-06-21T00:00:00"/>
    <d v="2023-07-10T19:01:40"/>
    <m/>
    <d v="2023-07-10T00:00:00"/>
    <n v="1600"/>
    <n v="15907"/>
    <s v="10058695"/>
    <s v="10058695"/>
    <m/>
    <m/>
    <n v="22732596"/>
    <m/>
    <m/>
    <m/>
    <s v="SOLFIN"/>
    <s v="SOLFIN"/>
    <s v="CCMS"/>
    <n v="21349876"/>
    <n v="32101.97"/>
    <m/>
    <s v="N"/>
    <n v="32"/>
    <d v="2023-07-10T19:02:01"/>
    <s v="Y"/>
    <s v="Interpreter"/>
    <s v="Public Law Children"/>
    <s v="Expert Disbursement"/>
    <s v="JPR"/>
    <s v="Y"/>
    <n v="180"/>
    <n v="36"/>
    <x v="2"/>
    <s v="VALIDATED"/>
    <n v="1"/>
    <s v="01.11.80.308.6300.0000"/>
    <n v="180"/>
    <s v="11"/>
    <s v="6300"/>
    <n v="22185.3"/>
    <n v="180"/>
    <s v="CREDITOR"/>
    <n v="0"/>
    <n v="0"/>
    <n v="0"/>
    <n v="0"/>
    <n v="180"/>
  </r>
  <r>
    <n v="59810816"/>
    <s v="N"/>
    <n v="21318448"/>
    <s v="3000014183000006"/>
    <s v="CIVIL"/>
    <d v="2023-06-22T00:00:00"/>
    <d v="2023-07-03T19:01:49"/>
    <m/>
    <d v="2023-07-03T00:00:00"/>
    <n v="1600"/>
    <n v="15907"/>
    <s v="59810816"/>
    <s v="59810816"/>
    <m/>
    <m/>
    <n v="22744926"/>
    <m/>
    <m/>
    <m/>
    <s v="SOLFIN"/>
    <s v="SOLFIN"/>
    <s v="CCMS"/>
    <n v="21318448"/>
    <n v="8773.290000000001"/>
    <m/>
    <s v="N"/>
    <n v="65"/>
    <d v="2023-07-03T19:01:56"/>
    <s v="Y"/>
    <s v="Preparation - other"/>
    <s v="Prescribed Hourly Rates"/>
    <s v="Profit Cost"/>
    <s v="GHJ"/>
    <s v="Y"/>
    <n v="52.6"/>
    <n v="10.52"/>
    <x v="3"/>
    <s v="VALIDATED"/>
    <n v="1"/>
    <s v="01.11.80.305.6100.0000"/>
    <n v="52.6"/>
    <s v="11"/>
    <s v="6100"/>
    <n v="22185.3"/>
    <n v="52.6"/>
    <s v="CREDITOR"/>
    <n v="0"/>
    <n v="0"/>
    <n v="0"/>
    <n v="0"/>
    <n v="52.6"/>
  </r>
  <r>
    <n v="62016024"/>
    <s v="N"/>
    <n v="21321360"/>
    <s v="3000016056150008"/>
    <s v="CIVIL"/>
    <d v="2023-06-29T00:00:00"/>
    <d v="2023-07-03T19:05:17"/>
    <m/>
    <d v="2023-07-03T00:00:00"/>
    <n v="1600"/>
    <n v="15907"/>
    <s v="62016024"/>
    <s v="62016024"/>
    <m/>
    <m/>
    <n v="22785494"/>
    <m/>
    <m/>
    <m/>
    <s v="SOLPOA"/>
    <s v="SOLPOA"/>
    <s v="CCMS"/>
    <n v="21321360"/>
    <n v="179.46"/>
    <m/>
    <s v="N"/>
    <n v="1"/>
    <d v="2023-07-03T19:05:18"/>
    <s v="N"/>
    <s v="Expert Cost"/>
    <s v="Expert Cost"/>
    <s v="Expert Disbursement"/>
    <s v="CLP"/>
    <s v="N"/>
    <n v="149.55"/>
    <n v="29.91"/>
    <x v="3"/>
    <s v="VALIDATED"/>
    <n v="1"/>
    <s v="01.11.80.308.2012.0000"/>
    <n v="149.55"/>
    <s v="11"/>
    <s v="2012"/>
    <n v="22185.3"/>
    <n v="149.55"/>
    <s v="CREDITOR"/>
    <n v="149.55"/>
    <n v="0"/>
    <n v="0"/>
    <n v="0"/>
    <n v="0"/>
  </r>
  <r>
    <n v="59810816"/>
    <s v="N"/>
    <n v="21318448"/>
    <s v="3000014183000006"/>
    <s v="CIVIL"/>
    <d v="2023-06-22T00:00:00"/>
    <d v="2023-07-03T19:01:49"/>
    <m/>
    <d v="2023-07-03T00:00:00"/>
    <n v="1600"/>
    <n v="15907"/>
    <s v="59810816"/>
    <s v="59810816"/>
    <m/>
    <m/>
    <n v="22744926"/>
    <m/>
    <m/>
    <m/>
    <s v="SOLFIN"/>
    <s v="SOLFIN"/>
    <s v="CCMS"/>
    <n v="21318448"/>
    <n v="8773.290000000001"/>
    <m/>
    <s v="N"/>
    <n v="6"/>
    <d v="2023-07-03T19:01:56"/>
    <s v="Y"/>
    <s v="Travel to attend client"/>
    <s v="Prescribed Hourly Rates"/>
    <s v="Profit Cost"/>
    <s v="GHJ"/>
    <s v="Y"/>
    <n v="244.56"/>
    <n v="48.91"/>
    <x v="3"/>
    <s v="VALIDATED"/>
    <n v="1"/>
    <s v="01.11.80.305.6100.0000"/>
    <n v="244.56"/>
    <s v="11"/>
    <s v="6100"/>
    <n v="22185.3"/>
    <n v="244.56"/>
    <s v="CREDITOR"/>
    <n v="0"/>
    <n v="0"/>
    <n v="0"/>
    <n v="0"/>
    <n v="244.56"/>
  </r>
  <r>
    <n v="59810816"/>
    <s v="N"/>
    <n v="21318448"/>
    <s v="3000014183000006"/>
    <s v="CIVIL"/>
    <d v="2023-06-22T00:00:00"/>
    <d v="2023-07-03T19:01:49"/>
    <m/>
    <d v="2023-07-03T00:00:00"/>
    <n v="1600"/>
    <n v="15907"/>
    <s v="59810816"/>
    <s v="59810816"/>
    <m/>
    <m/>
    <n v="22744926"/>
    <m/>
    <m/>
    <m/>
    <s v="SOLFIN"/>
    <s v="SOLFIN"/>
    <s v="CCMS"/>
    <n v="21318448"/>
    <n v="8773.290000000001"/>
    <m/>
    <s v="N"/>
    <n v="13"/>
    <d v="2023-07-03T19:01:56"/>
    <s v="Y"/>
    <s v="Attendance upon client"/>
    <s v="Prescribed Hourly Rates"/>
    <s v="Profit Cost"/>
    <s v="GHJ"/>
    <s v="Y"/>
    <n v="39.46"/>
    <n v="7.89"/>
    <x v="3"/>
    <s v="VALIDATED"/>
    <n v="1"/>
    <s v="01.11.80.305.6100.0000"/>
    <n v="39.46"/>
    <s v="11"/>
    <s v="6100"/>
    <n v="22185.3"/>
    <n v="39.46"/>
    <s v="CREDITOR"/>
    <n v="0"/>
    <n v="0"/>
    <n v="0"/>
    <n v="0"/>
    <n v="39.46"/>
  </r>
  <r>
    <n v="59810816"/>
    <s v="N"/>
    <n v="21318448"/>
    <s v="3000014183000006"/>
    <s v="CIVIL"/>
    <d v="2023-06-22T00:00:00"/>
    <d v="2023-07-03T19:01:49"/>
    <m/>
    <d v="2023-07-03T00:00:00"/>
    <n v="1600"/>
    <n v="15907"/>
    <s v="59810816"/>
    <s v="59810816"/>
    <m/>
    <m/>
    <n v="22744926"/>
    <m/>
    <m/>
    <m/>
    <s v="SOLFIN"/>
    <s v="SOLFIN"/>
    <s v="CCMS"/>
    <n v="21318448"/>
    <n v="8773.290000000001"/>
    <m/>
    <s v="N"/>
    <n v="18"/>
    <d v="2023-07-03T19:01:56"/>
    <s v="Y"/>
    <s v="Preparation - drafting application"/>
    <s v="Prescribed Hourly Rates"/>
    <s v="Profit Cost"/>
    <s v="MCR"/>
    <s v="Y"/>
    <n v="32.88"/>
    <n v="6.58"/>
    <x v="3"/>
    <s v="VALIDATED"/>
    <n v="1"/>
    <s v="01.11.80.305.6100.0000"/>
    <n v="32.88"/>
    <s v="11"/>
    <s v="6100"/>
    <n v="22185.3"/>
    <n v="32.88"/>
    <s v="CREDITOR"/>
    <n v="0"/>
    <n v="0"/>
    <n v="0"/>
    <n v="0"/>
    <n v="32.88"/>
  </r>
  <r>
    <n v="61612636"/>
    <s v="N"/>
    <n v="21327983"/>
    <s v="3000015719440004"/>
    <s v="CIVIL"/>
    <d v="2023-06-23T00:00:00"/>
    <d v="2023-07-04T19:00:44"/>
    <m/>
    <d v="2023-07-04T00:00:00"/>
    <n v="1600"/>
    <n v="15907"/>
    <s v="61612636"/>
    <s v="61612636"/>
    <m/>
    <m/>
    <n v="22755254"/>
    <m/>
    <m/>
    <m/>
    <s v="SOLFIN"/>
    <s v="SOLFIN"/>
    <s v="CCMS"/>
    <n v="21327983"/>
    <n v="4452.29"/>
    <m/>
    <s v="N"/>
    <n v="3"/>
    <d v="2023-07-04T19:01:00"/>
    <s v="Y"/>
    <s v="Final Hearing - 1 Day"/>
    <s v="Public Law Children"/>
    <s v="Advocacy"/>
    <s v="VCG"/>
    <s v="Y"/>
    <n v="556.88"/>
    <n v="111.38"/>
    <x v="1"/>
    <s v="VALIDATED"/>
    <n v="1"/>
    <s v="01.11.80.308.6100.0000"/>
    <n v="556.88"/>
    <s v="11"/>
    <s v="6100"/>
    <n v="22185.3"/>
    <n v="556.88"/>
    <s v="CREDITOR"/>
    <n v="0"/>
    <n v="0"/>
    <n v="0"/>
    <n v="0"/>
    <n v="556.88"/>
  </r>
  <r>
    <n v="62321012"/>
    <s v="N"/>
    <n v="21327711"/>
    <s v="3000016309330001"/>
    <s v="CIVIL"/>
    <d v="2023-06-26T00:00:00"/>
    <d v="2023-07-04T19:00:44"/>
    <m/>
    <d v="2023-07-04T00:00:00"/>
    <n v="1600"/>
    <n v="15907"/>
    <s v="62321012"/>
    <s v="62321012"/>
    <m/>
    <m/>
    <n v="22760362"/>
    <m/>
    <m/>
    <m/>
    <s v="SOLFIN"/>
    <s v="SOLFIN"/>
    <s v="CCMS"/>
    <n v="21327711"/>
    <n v="2700"/>
    <m/>
    <s v="N"/>
    <n v="11"/>
    <d v="2023-07-04T19:00:52"/>
    <s v="N"/>
    <m/>
    <m/>
    <s v="Overall Adjustment"/>
    <m/>
    <s v="N"/>
    <n v="-69.84"/>
    <n v="-13.97"/>
    <x v="1"/>
    <s v="VALIDATED"/>
    <n v="1"/>
    <s v="01.11.80.305.6100.0000"/>
    <n v="-69.84"/>
    <s v="11"/>
    <s v="6100"/>
    <n v="22185.3"/>
    <n v="-69.84"/>
    <s v="CREDITOR"/>
    <n v="0"/>
    <n v="0"/>
    <n v="0"/>
    <n v="0"/>
    <n v="-69.84"/>
  </r>
  <r>
    <n v="61157903"/>
    <s v="N"/>
    <n v="21328104"/>
    <s v="3000015340490004"/>
    <s v="CIVIL"/>
    <d v="2023-06-26T00:00:00"/>
    <d v="2023-07-04T19:00:44"/>
    <m/>
    <d v="2023-07-04T00:00:00"/>
    <n v="1600"/>
    <n v="15907"/>
    <s v="61157903"/>
    <s v="61157903"/>
    <m/>
    <m/>
    <n v="22765064"/>
    <m/>
    <m/>
    <m/>
    <s v="SOLFIN"/>
    <s v="SOLFIN"/>
    <s v="CCMS"/>
    <n v="21328104"/>
    <n v="4091.61"/>
    <m/>
    <s v="N"/>
    <n v="6"/>
    <d v="2023-07-04T19:01:04"/>
    <s v="Y"/>
    <s v="Final Hearing - 1 Day"/>
    <s v="Public Law Children"/>
    <s v="Advocacy"/>
    <s v="CLP"/>
    <s v="Y"/>
    <n v="506.25"/>
    <n v="101.25"/>
    <x v="1"/>
    <s v="VALIDATED"/>
    <n v="1"/>
    <s v="01.11.80.308.6100.0000"/>
    <n v="506.25"/>
    <s v="11"/>
    <s v="6100"/>
    <n v="22185.3"/>
    <n v="506.25"/>
    <s v="CREDITOR"/>
    <n v="0"/>
    <n v="0"/>
    <n v="0"/>
    <n v="0"/>
    <n v="506.25"/>
  </r>
  <r>
    <n v="59810816"/>
    <s v="N"/>
    <n v="21318448"/>
    <s v="3000014183000006"/>
    <s v="CIVIL"/>
    <d v="2023-06-22T00:00:00"/>
    <d v="2023-07-03T19:01:49"/>
    <m/>
    <d v="2023-07-03T00:00:00"/>
    <n v="1600"/>
    <n v="15907"/>
    <s v="59810816"/>
    <s v="59810816"/>
    <m/>
    <m/>
    <n v="22744926"/>
    <m/>
    <m/>
    <m/>
    <s v="SOLFIN"/>
    <s v="SOLFIN"/>
    <s v="CCMS"/>
    <n v="21318448"/>
    <n v="8773.290000000001"/>
    <m/>
    <s v="N"/>
    <n v="2"/>
    <d v="2023-07-03T19:01:56"/>
    <s v="Y"/>
    <s v="Preparation - other"/>
    <s v="Prescribed Hourly Rates"/>
    <s v="Profit Cost"/>
    <s v="GHJ"/>
    <s v="Y"/>
    <n v="276.16"/>
    <n v="55.23"/>
    <x v="3"/>
    <s v="VALIDATED"/>
    <n v="1"/>
    <s v="01.11.80.305.6100.0000"/>
    <n v="276.16"/>
    <s v="11"/>
    <s v="6100"/>
    <n v="22185.3"/>
    <n v="276.16"/>
    <s v="CREDITOR"/>
    <n v="0"/>
    <n v="0"/>
    <n v="0"/>
    <n v="0"/>
    <n v="276.16"/>
  </r>
  <r>
    <n v="10058695"/>
    <s v="N"/>
    <n v="21349876"/>
    <s v="3000005948260050"/>
    <s v="CIVIL"/>
    <d v="2023-06-21T00:00:00"/>
    <d v="2023-07-10T19:01:40"/>
    <m/>
    <d v="2023-07-10T00:00:00"/>
    <n v="1600"/>
    <n v="15907"/>
    <s v="10058695"/>
    <s v="10058695"/>
    <m/>
    <m/>
    <n v="22732596"/>
    <m/>
    <m/>
    <m/>
    <s v="SOLFIN"/>
    <s v="SOLFIN"/>
    <s v="CCMS"/>
    <n v="21349876"/>
    <n v="32101.97"/>
    <m/>
    <s v="N"/>
    <n v="7"/>
    <d v="2023-07-10T19:02:01"/>
    <s v="N"/>
    <s v="Interpreter"/>
    <s v="Public Law Children"/>
    <s v="Expert Disbursement"/>
    <s v="JPR"/>
    <s v="N"/>
    <n v="0"/>
    <n v="0"/>
    <x v="2"/>
    <s v="VALIDATED"/>
    <n v="1"/>
    <s v="01.11.80.308.6300.0000"/>
    <n v="0"/>
    <s v="11"/>
    <s v="6300"/>
    <n v="22185.3"/>
    <n v="0"/>
    <s v="CREDITOR"/>
    <n v="0"/>
    <n v="0"/>
    <n v="0"/>
    <n v="0"/>
    <n v="0"/>
  </r>
  <r>
    <n v="10058695"/>
    <s v="N"/>
    <n v="21349876"/>
    <s v="3000005948260050"/>
    <s v="CIVIL"/>
    <d v="2023-06-21T00:00:00"/>
    <d v="2023-07-10T19:01:40"/>
    <m/>
    <d v="2023-07-10T00:00:00"/>
    <n v="1600"/>
    <n v="15907"/>
    <s v="10058695"/>
    <s v="10058695"/>
    <m/>
    <m/>
    <n v="22732596"/>
    <m/>
    <m/>
    <m/>
    <s v="SOLFIN"/>
    <s v="SOLFIN"/>
    <s v="CCMS"/>
    <n v="21349876"/>
    <n v="32101.97"/>
    <m/>
    <s v="N"/>
    <n v="26"/>
    <d v="2023-07-10T19:02:01"/>
    <s v="Y"/>
    <s v="Interpreter"/>
    <s v="Public Law Children"/>
    <s v="Expert Disbursement"/>
    <s v="JPR"/>
    <s v="Y"/>
    <n v="230.44"/>
    <n v="46.09"/>
    <x v="2"/>
    <s v="VALIDATED"/>
    <n v="1"/>
    <s v="01.11.80.308.6300.0000"/>
    <n v="230.44"/>
    <s v="11"/>
    <s v="6300"/>
    <n v="22185.3"/>
    <n v="230.44"/>
    <s v="CREDITOR"/>
    <n v="0"/>
    <n v="0"/>
    <n v="0"/>
    <n v="0"/>
    <n v="230.44"/>
  </r>
  <r>
    <n v="62321012"/>
    <s v="N"/>
    <n v="21327711"/>
    <s v="3000016309330001"/>
    <s v="CIVIL"/>
    <d v="2023-06-26T00:00:00"/>
    <d v="2023-07-04T19:00:44"/>
    <m/>
    <d v="2023-07-04T00:00:00"/>
    <n v="1600"/>
    <n v="15907"/>
    <s v="62321012"/>
    <s v="62321012"/>
    <m/>
    <m/>
    <n v="22760362"/>
    <m/>
    <m/>
    <m/>
    <s v="SOLFIN"/>
    <s v="SOLFIN"/>
    <s v="CCMS"/>
    <n v="21327711"/>
    <n v="2700"/>
    <m/>
    <s v="N"/>
    <n v="5"/>
    <d v="2023-07-04T19:00:52"/>
    <s v="Y"/>
    <s v="Preparation - drafting notice(s)"/>
    <s v="Prescribed Hourly Rates"/>
    <s v="Profit Cost"/>
    <s v="JOD"/>
    <s v="Y"/>
    <n v="5.49"/>
    <n v="1.1"/>
    <x v="1"/>
    <s v="VALIDATED"/>
    <n v="1"/>
    <s v="01.11.80.305.6100.0000"/>
    <n v="5.49"/>
    <s v="11"/>
    <s v="6100"/>
    <n v="22185.3"/>
    <n v="5.49"/>
    <s v="CREDITOR"/>
    <n v="0"/>
    <n v="0"/>
    <n v="0"/>
    <n v="0"/>
    <n v="5.49"/>
  </r>
  <r>
    <n v="59810816"/>
    <s v="N"/>
    <n v="21318448"/>
    <s v="3000014183000006"/>
    <s v="CIVIL"/>
    <d v="2023-06-22T00:00:00"/>
    <d v="2023-07-03T19:01:49"/>
    <m/>
    <d v="2023-07-03T00:00:00"/>
    <n v="1600"/>
    <n v="15907"/>
    <s v="59810816"/>
    <s v="59810816"/>
    <m/>
    <m/>
    <n v="22744926"/>
    <m/>
    <m/>
    <m/>
    <s v="SOLFIN"/>
    <s v="SOLFIN"/>
    <s v="CCMS"/>
    <n v="21318448"/>
    <n v="8773.290000000001"/>
    <m/>
    <s v="N"/>
    <n v="64"/>
    <d v="2023-07-03T19:01:56"/>
    <s v="Y"/>
    <s v="Attendance upon other"/>
    <s v="Prescribed Hourly Rates"/>
    <s v="Profit Cost"/>
    <s v="GHJ"/>
    <s v="Y"/>
    <n v="26.3"/>
    <n v="5.26"/>
    <x v="3"/>
    <s v="VALIDATED"/>
    <n v="1"/>
    <s v="01.11.80.305.6100.0000"/>
    <n v="26.3"/>
    <s v="11"/>
    <s v="6100"/>
    <n v="22185.3"/>
    <n v="26.3"/>
    <s v="CREDITOR"/>
    <n v="0"/>
    <n v="0"/>
    <n v="0"/>
    <n v="0"/>
    <n v="26.3"/>
  </r>
  <r>
    <n v="62321012"/>
    <s v="N"/>
    <n v="21327711"/>
    <s v="3000016309330001"/>
    <s v="CIVIL"/>
    <d v="2023-06-26T00:00:00"/>
    <d v="2023-07-04T19:00:44"/>
    <m/>
    <d v="2023-07-04T00:00:00"/>
    <n v="1600"/>
    <n v="15907"/>
    <s v="62321012"/>
    <s v="62321012"/>
    <m/>
    <m/>
    <n v="22760362"/>
    <m/>
    <m/>
    <m/>
    <s v="SOLFIN"/>
    <s v="SOLFIN"/>
    <s v="CCMS"/>
    <n v="21327711"/>
    <n v="2700"/>
    <m/>
    <s v="N"/>
    <n v="1"/>
    <d v="2023-07-04T19:00:52"/>
    <s v="N"/>
    <s v="Routine Telephone Call"/>
    <s v="Prescribed Hourly Rates"/>
    <s v="Profit Cost"/>
    <s v="JOD"/>
    <s v="N"/>
    <n v="10.8"/>
    <n v="2.16"/>
    <x v="1"/>
    <s v="VALIDATED"/>
    <n v="1"/>
    <s v="01.11.80.305.6100.0000"/>
    <n v="10.8"/>
    <s v="11"/>
    <s v="6100"/>
    <n v="22185.3"/>
    <n v="10.8"/>
    <s v="CREDITOR"/>
    <n v="0"/>
    <n v="0"/>
    <n v="0"/>
    <n v="0"/>
    <n v="10.8"/>
  </r>
  <r>
    <n v="59904503"/>
    <s v="N"/>
    <n v="21360883"/>
    <s v="3000014261050017"/>
    <s v="CIVIL"/>
    <d v="2023-06-30T00:00:00"/>
    <d v="2023-07-11T19:00:25"/>
    <m/>
    <d v="2023-07-11T00:00:00"/>
    <n v="1600"/>
    <n v="15907"/>
    <s v="59904503"/>
    <s v="59904503"/>
    <m/>
    <m/>
    <n v="22794274"/>
    <m/>
    <m/>
    <m/>
    <s v="SOLFIN"/>
    <s v="SOLFIN"/>
    <s v="CCMS"/>
    <n v="21360883"/>
    <n v="7687.47"/>
    <m/>
    <s v="N"/>
    <n v="14"/>
    <d v="2023-07-11T19:00:38"/>
    <s v="Y"/>
    <s v="Hearing Unit 2.31 - 5.00 Hours"/>
    <s v="Public Law Children"/>
    <s v="Advocacy"/>
    <s v="RBE"/>
    <s v="Y"/>
    <n v="476.92"/>
    <n v="95.39"/>
    <x v="7"/>
    <s v="VALIDATED"/>
    <n v="1"/>
    <s v="01.11.80.308.6100.0000"/>
    <n v="476.92"/>
    <s v="11"/>
    <s v="6100"/>
    <n v="22185.3"/>
    <n v="476.92"/>
    <s v="CREDITOR"/>
    <n v="0"/>
    <n v="0"/>
    <n v="0"/>
    <n v="0"/>
    <n v="476.92"/>
  </r>
  <r>
    <n v="59810816"/>
    <s v="N"/>
    <n v="21318448"/>
    <s v="3000014183000006"/>
    <s v="CIVIL"/>
    <d v="2023-06-22T00:00:00"/>
    <d v="2023-07-03T19:01:49"/>
    <m/>
    <d v="2023-07-03T00:00:00"/>
    <n v="1600"/>
    <n v="15907"/>
    <s v="59810816"/>
    <s v="59810816"/>
    <m/>
    <m/>
    <n v="22744926"/>
    <m/>
    <m/>
    <m/>
    <s v="SOLFIN"/>
    <s v="SOLFIN"/>
    <s v="CCMS"/>
    <n v="21318448"/>
    <n v="8773.290000000001"/>
    <m/>
    <s v="N"/>
    <n v="44"/>
    <d v="2023-07-03T19:01:56"/>
    <s v="Y"/>
    <s v="Routine Letter In"/>
    <s v="Prescribed Hourly Rates"/>
    <s v="Profit Cost"/>
    <s v="GHJ"/>
    <s v="Y"/>
    <n v="28.98"/>
    <n v="5.8"/>
    <x v="3"/>
    <s v="VALIDATED"/>
    <n v="1"/>
    <s v="01.11.80.305.6100.0000"/>
    <n v="28.98"/>
    <s v="11"/>
    <s v="6100"/>
    <n v="22185.3"/>
    <n v="28.98"/>
    <s v="CREDITOR"/>
    <n v="0"/>
    <n v="0"/>
    <n v="0"/>
    <n v="0"/>
    <n v="28.98"/>
  </r>
  <r>
    <n v="59810816"/>
    <s v="N"/>
    <n v="21318448"/>
    <s v="3000014183000006"/>
    <s v="CIVIL"/>
    <d v="2023-06-22T00:00:00"/>
    <d v="2023-07-03T19:01:49"/>
    <m/>
    <d v="2023-07-03T00:00:00"/>
    <n v="1600"/>
    <n v="15907"/>
    <s v="59810816"/>
    <s v="59810816"/>
    <m/>
    <m/>
    <n v="22744926"/>
    <m/>
    <m/>
    <m/>
    <s v="SOLFIN"/>
    <s v="SOLFIN"/>
    <s v="CCMS"/>
    <n v="21318448"/>
    <n v="8773.290000000001"/>
    <m/>
    <s v="N"/>
    <n v="4"/>
    <d v="2023-07-03T19:01:56"/>
    <s v="Y"/>
    <s v="Preparation - other"/>
    <s v="Prescribed Hourly Rates"/>
    <s v="Profit Cost"/>
    <s v="GHJ"/>
    <s v="Y"/>
    <n v="105.2"/>
    <n v="21.04"/>
    <x v="3"/>
    <s v="VALIDATED"/>
    <n v="1"/>
    <s v="01.11.80.305.6100.0000"/>
    <n v="105.2"/>
    <s v="11"/>
    <s v="6100"/>
    <n v="22185.3"/>
    <n v="105.2"/>
    <s v="CREDITOR"/>
    <n v="0"/>
    <n v="0"/>
    <n v="0"/>
    <n v="0"/>
    <n v="105.2"/>
  </r>
  <r>
    <n v="59810816"/>
    <s v="N"/>
    <n v="21318448"/>
    <s v="3000014183000006"/>
    <s v="CIVIL"/>
    <d v="2023-06-22T00:00:00"/>
    <d v="2023-07-03T19:01:49"/>
    <m/>
    <d v="2023-07-03T00:00:00"/>
    <n v="1600"/>
    <n v="15907"/>
    <s v="59810816"/>
    <s v="59810816"/>
    <m/>
    <m/>
    <n v="22744926"/>
    <m/>
    <m/>
    <m/>
    <s v="SOLFIN"/>
    <s v="SOLFIN"/>
    <s v="CCMS"/>
    <n v="21318448"/>
    <n v="8773.290000000001"/>
    <m/>
    <s v="N"/>
    <n v="12"/>
    <d v="2023-07-03T19:01:56"/>
    <s v="Y"/>
    <s v="Preparation - drafting statement"/>
    <s v="Prescribed Hourly Rates"/>
    <s v="Profit Cost"/>
    <s v="GHJ"/>
    <s v="Y"/>
    <n v="65.76000000000001"/>
    <n v="13.15"/>
    <x v="3"/>
    <s v="VALIDATED"/>
    <n v="1"/>
    <s v="01.11.80.305.6100.0000"/>
    <n v="65.76000000000001"/>
    <s v="11"/>
    <s v="6100"/>
    <n v="22185.3"/>
    <n v="65.76000000000001"/>
    <s v="CREDITOR"/>
    <n v="0"/>
    <n v="0"/>
    <n v="0"/>
    <n v="0"/>
    <n v="65.76000000000001"/>
  </r>
  <r>
    <n v="10058695"/>
    <s v="N"/>
    <n v="21349876"/>
    <s v="3000005948260050"/>
    <s v="CIVIL"/>
    <d v="2023-06-21T00:00:00"/>
    <d v="2023-07-10T19:01:40"/>
    <m/>
    <d v="2023-07-10T00:00:00"/>
    <n v="1600"/>
    <n v="15907"/>
    <s v="10058695"/>
    <s v="10058695"/>
    <m/>
    <m/>
    <n v="22732596"/>
    <m/>
    <m/>
    <m/>
    <s v="SOLFIN"/>
    <s v="SOLFIN"/>
    <s v="CCMS"/>
    <n v="21349876"/>
    <n v="32101.97"/>
    <m/>
    <s v="N"/>
    <n v="12"/>
    <d v="2023-07-10T19:02:01"/>
    <s v="Y"/>
    <s v="Cell telephone site analysis"/>
    <s v="Public Law Children"/>
    <s v="Expert Disbursement"/>
    <s v="JPR"/>
    <s v="Y"/>
    <n v="293.02"/>
    <n v="58.6"/>
    <x v="2"/>
    <s v="VALIDATED"/>
    <n v="1"/>
    <s v="01.11.80.308.6300.0000"/>
    <n v="293.02"/>
    <s v="11"/>
    <s v="6300"/>
    <n v="22185.3"/>
    <n v="293.02"/>
    <s v="CREDITOR"/>
    <n v="0"/>
    <n v="0"/>
    <n v="0"/>
    <n v="0"/>
    <n v="293.02"/>
  </r>
  <r>
    <n v="10058695"/>
    <s v="N"/>
    <n v="21349876"/>
    <s v="3000005948260050"/>
    <s v="CIVIL"/>
    <d v="2023-06-21T00:00:00"/>
    <d v="2023-07-10T19:01:40"/>
    <m/>
    <d v="2023-07-10T00:00:00"/>
    <n v="1600"/>
    <n v="15907"/>
    <s v="10058695"/>
    <s v="10058695"/>
    <m/>
    <m/>
    <n v="22732596"/>
    <m/>
    <m/>
    <m/>
    <s v="SOLFIN"/>
    <s v="SOLFIN"/>
    <s v="CCMS"/>
    <n v="21349876"/>
    <n v="32101.97"/>
    <m/>
    <s v="N"/>
    <n v="13"/>
    <d v="2023-07-10T19:02:01"/>
    <s v="N"/>
    <s v="Interpreter"/>
    <s v="Public Law Children"/>
    <s v="Expert Disbursement"/>
    <s v="JPR"/>
    <s v="N"/>
    <n v="0"/>
    <n v="0"/>
    <x v="2"/>
    <s v="VALIDATED"/>
    <n v="1"/>
    <s v="01.11.80.308.6300.0000"/>
    <n v="0"/>
    <s v="11"/>
    <s v="6300"/>
    <n v="22185.3"/>
    <n v="0"/>
    <s v="CREDITOR"/>
    <n v="0"/>
    <n v="0"/>
    <n v="0"/>
    <n v="0"/>
    <n v="0"/>
  </r>
  <r>
    <n v="61412273"/>
    <s v="N"/>
    <n v="21343509"/>
    <s v="3000015552920006"/>
    <s v="CIVIL"/>
    <d v="2023-06-28T00:00:00"/>
    <d v="2023-07-07T19:03:00"/>
    <m/>
    <d v="2023-07-07T00:00:00"/>
    <n v="1600"/>
    <n v="15907"/>
    <s v="61412273"/>
    <s v="61412273"/>
    <m/>
    <m/>
    <n v="22782476"/>
    <m/>
    <m/>
    <m/>
    <s v="SOLFIN"/>
    <s v="SOLFIN"/>
    <s v="CCMS"/>
    <n v="21343509"/>
    <n v="3299.84"/>
    <m/>
    <s v="N"/>
    <n v="4"/>
    <d v="2023-07-07T19:03:10"/>
    <s v="Y"/>
    <s v="Solicitors Fixed Fee"/>
    <s v="Public Law Children"/>
    <s v="Profit Cost"/>
    <s v="ACJ"/>
    <s v="Y"/>
    <n v="1911"/>
    <n v="382.2"/>
    <x v="9"/>
    <s v="VALIDATED"/>
    <n v="1"/>
    <s v="01.11.80.308.6100.0000"/>
    <n v="1911"/>
    <s v="11"/>
    <s v="6100"/>
    <n v="22185.3"/>
    <n v="1911"/>
    <s v="CREDITOR"/>
    <n v="0"/>
    <n v="0"/>
    <n v="0"/>
    <n v="0"/>
    <n v="1911"/>
  </r>
  <r>
    <n v="61769070"/>
    <s v="N"/>
    <n v="21331203"/>
    <s v="3000015846750001"/>
    <s v="CIVIL"/>
    <d v="2023-06-26T00:00:00"/>
    <d v="2023-07-05T19:01:47"/>
    <m/>
    <d v="2023-07-05T00:00:00"/>
    <n v="1600"/>
    <n v="15907"/>
    <s v="61769070"/>
    <s v="61769070"/>
    <m/>
    <m/>
    <n v="22762040"/>
    <m/>
    <m/>
    <m/>
    <s v="SOLFIN"/>
    <s v="SOLFIN"/>
    <s v="CCMS"/>
    <n v="21331203"/>
    <n v="1397.31"/>
    <m/>
    <s v="N"/>
    <n v="13"/>
    <d v="2023-07-05T19:02:10"/>
    <s v="Y"/>
    <s v="Routine Letter Out"/>
    <s v="Care Remuneration Hourly Rates"/>
    <s v="Profit Cost"/>
    <s v="GHJ"/>
    <s v="Y"/>
    <n v="72.14"/>
    <n v="14.43"/>
    <x v="6"/>
    <s v="VALIDATED"/>
    <n v="1"/>
    <s v="01.11.80.305.6100.0000"/>
    <n v="72.14"/>
    <s v="11"/>
    <s v="6100"/>
    <n v="22185.3"/>
    <n v="72.14"/>
    <s v="CREDITOR"/>
    <n v="0"/>
    <n v="0"/>
    <n v="0"/>
    <n v="0"/>
    <n v="72.14"/>
  </r>
  <r>
    <n v="61157903"/>
    <s v="N"/>
    <n v="21328865"/>
    <s v="3000015340490003RC"/>
    <s v="CIVIL"/>
    <d v="2023-06-26T00:00:00"/>
    <d v="2023-07-04T19:38:21"/>
    <m/>
    <d v="2023-07-04T00:00:00"/>
    <n v="1600"/>
    <n v="15907"/>
    <s v="61157903"/>
    <s v="61157903"/>
    <m/>
    <m/>
    <m/>
    <m/>
    <m/>
    <m/>
    <s v="SOLRECOUP"/>
    <s v="SOLRECOUP"/>
    <s v="POARECOUP"/>
    <n v="21328865"/>
    <n v="-304.5"/>
    <m/>
    <s v="Y"/>
    <n v="1"/>
    <d v="2023-07-04T19:38:23"/>
    <s v="N"/>
    <m/>
    <m/>
    <s v="Expert Disbursement"/>
    <m/>
    <s v="N"/>
    <n v="-253.75"/>
    <n v="0"/>
    <x v="1"/>
    <s v="VALIDATED"/>
    <n v="1"/>
    <s v="01.11.80.308.2013.0000"/>
    <n v="-253.75"/>
    <s v="11"/>
    <s v="2013"/>
    <n v="22185.3"/>
    <n v="-253.75"/>
    <s v="CREDITOR"/>
    <n v="0"/>
    <n v="0"/>
    <n v="-253.75"/>
    <n v="0"/>
    <n v="0"/>
  </r>
  <r>
    <n v="61157903"/>
    <s v="N"/>
    <n v="21328865"/>
    <s v="3000015340490003RC"/>
    <s v="CIVIL"/>
    <d v="2023-06-26T00:00:00"/>
    <d v="2023-07-04T19:38:21"/>
    <m/>
    <d v="2023-07-04T00:00:00"/>
    <n v="1600"/>
    <n v="15907"/>
    <s v="61157903"/>
    <s v="61157903"/>
    <m/>
    <m/>
    <m/>
    <m/>
    <m/>
    <m/>
    <s v="SOLRECOUP"/>
    <s v="SOLRECOUP"/>
    <s v="POARECOUP"/>
    <n v="21328865"/>
    <n v="-304.5"/>
    <m/>
    <s v="Y"/>
    <n v="2"/>
    <d v="2023-07-04T19:38:23"/>
    <s v="N"/>
    <m/>
    <m/>
    <s v="Expert Disbursement"/>
    <m/>
    <s v="N"/>
    <n v="0"/>
    <n v="-50.75"/>
    <x v="1"/>
    <s v="VALIDATED"/>
    <n v="1"/>
    <s v="01.11.80.308.2013.0000"/>
    <n v="-50.75"/>
    <s v="11"/>
    <s v="2013"/>
    <n v="22185.3"/>
    <n v="-50.75"/>
    <s v="CREDITOR"/>
    <n v="0"/>
    <n v="0"/>
    <n v="-50.75"/>
    <n v="0"/>
    <n v="0"/>
  </r>
  <r>
    <n v="61612636"/>
    <s v="N"/>
    <n v="21328866"/>
    <s v="3000015719440003RC"/>
    <s v="CIVIL"/>
    <d v="2023-06-23T00:00:00"/>
    <d v="2023-07-04T19:38:21"/>
    <m/>
    <d v="2023-07-04T00:00:00"/>
    <n v="1600"/>
    <n v="15907"/>
    <s v="61612636"/>
    <s v="61612636"/>
    <m/>
    <m/>
    <m/>
    <m/>
    <m/>
    <m/>
    <s v="SOLRECOUP"/>
    <s v="SOLRECOUP"/>
    <s v="POARECOUP"/>
    <n v="21328866"/>
    <n v="-814.75"/>
    <m/>
    <s v="Y"/>
    <n v="1"/>
    <d v="2023-07-04T19:38:23"/>
    <s v="N"/>
    <m/>
    <m/>
    <s v="Profit Cost"/>
    <m/>
    <s v="N"/>
    <n v="-678.96"/>
    <n v="0"/>
    <x v="1"/>
    <s v="VALIDATED"/>
    <n v="1"/>
    <s v="01.11.80.308.2013.0000"/>
    <n v="-678.96"/>
    <s v="11"/>
    <s v="2013"/>
    <n v="22185.3"/>
    <n v="-678.96"/>
    <s v="CREDITOR"/>
    <n v="0"/>
    <n v="0"/>
    <n v="-678.96"/>
    <n v="-169.74"/>
    <n v="0"/>
  </r>
  <r>
    <n v="61612636"/>
    <s v="N"/>
    <n v="21328866"/>
    <s v="3000015719440003RC"/>
    <s v="CIVIL"/>
    <d v="2023-06-23T00:00:00"/>
    <d v="2023-07-04T19:38:21"/>
    <m/>
    <d v="2023-07-04T00:00:00"/>
    <n v="1600"/>
    <n v="15907"/>
    <s v="61612636"/>
    <s v="61612636"/>
    <m/>
    <m/>
    <m/>
    <m/>
    <m/>
    <m/>
    <s v="SOLRECOUP"/>
    <s v="SOLRECOUP"/>
    <s v="POARECOUP"/>
    <n v="21328866"/>
    <n v="-814.75"/>
    <m/>
    <s v="Y"/>
    <n v="2"/>
    <d v="2023-07-04T19:38:23"/>
    <s v="N"/>
    <m/>
    <m/>
    <s v="Profit Cost"/>
    <m/>
    <s v="N"/>
    <n v="0"/>
    <n v="-135.79"/>
    <x v="1"/>
    <s v="VALIDATED"/>
    <n v="1"/>
    <s v="01.11.80.308.2013.0000"/>
    <n v="-135.79"/>
    <s v="11"/>
    <s v="2013"/>
    <n v="22185.3"/>
    <n v="-135.79"/>
    <s v="CREDITOR"/>
    <n v="0"/>
    <n v="0"/>
    <n v="-135.79"/>
    <n v="-33.9475"/>
    <n v="0"/>
  </r>
  <r>
    <n v="61157903"/>
    <s v="N"/>
    <n v="21328867"/>
    <s v="3000015340490001RC"/>
    <s v="CIVIL"/>
    <d v="2023-06-26T00:00:00"/>
    <d v="2023-07-04T19:38:21"/>
    <m/>
    <d v="2023-07-04T00:00:00"/>
    <n v="1600"/>
    <n v="15907"/>
    <s v="61157903"/>
    <s v="61157903"/>
    <m/>
    <m/>
    <m/>
    <m/>
    <m/>
    <m/>
    <s v="SOLRECOUP"/>
    <s v="SOLRECOUP"/>
    <s v="POARECOUP"/>
    <n v="21328867"/>
    <n v="-2373.86"/>
    <m/>
    <s v="Y"/>
    <n v="1"/>
    <d v="2023-07-04T19:38:23"/>
    <s v="N"/>
    <m/>
    <m/>
    <s v="Profit Cost"/>
    <m/>
    <s v="N"/>
    <n v="-1978.22"/>
    <n v="0"/>
    <x v="1"/>
    <s v="VALIDATED"/>
    <n v="1"/>
    <s v="01.11.80.308.2013.0000"/>
    <n v="-1978.22"/>
    <s v="11"/>
    <s v="2013"/>
    <n v="22185.3"/>
    <n v="-1978.22"/>
    <s v="CREDITOR"/>
    <n v="0"/>
    <n v="0"/>
    <n v="-1978.22"/>
    <n v="-494.555"/>
    <n v="0"/>
  </r>
  <r>
    <n v="61157903"/>
    <s v="N"/>
    <n v="21328867"/>
    <s v="3000015340490001RC"/>
    <s v="CIVIL"/>
    <d v="2023-06-26T00:00:00"/>
    <d v="2023-07-04T19:38:21"/>
    <m/>
    <d v="2023-07-04T00:00:00"/>
    <n v="1600"/>
    <n v="15907"/>
    <s v="61157903"/>
    <s v="61157903"/>
    <m/>
    <m/>
    <m/>
    <m/>
    <m/>
    <m/>
    <s v="SOLRECOUP"/>
    <s v="SOLRECOUP"/>
    <s v="POARECOUP"/>
    <n v="21328867"/>
    <n v="-2373.86"/>
    <m/>
    <s v="Y"/>
    <n v="2"/>
    <d v="2023-07-04T19:38:23"/>
    <s v="N"/>
    <m/>
    <m/>
    <s v="Profit Cost"/>
    <m/>
    <s v="N"/>
    <n v="0"/>
    <n v="-395.64"/>
    <x v="1"/>
    <s v="VALIDATED"/>
    <n v="1"/>
    <s v="01.11.80.308.2013.0000"/>
    <n v="-395.64"/>
    <s v="11"/>
    <s v="2013"/>
    <n v="22185.3"/>
    <n v="-395.64"/>
    <s v="CREDITOR"/>
    <n v="0"/>
    <n v="0"/>
    <n v="-395.64"/>
    <n v="-98.91"/>
    <n v="0"/>
  </r>
  <r>
    <n v="61157903"/>
    <s v="N"/>
    <n v="21328868"/>
    <s v="3000015340490002RC"/>
    <s v="CIVIL"/>
    <d v="2023-06-26T00:00:00"/>
    <d v="2023-07-04T19:38:21"/>
    <m/>
    <d v="2023-07-04T00:00:00"/>
    <n v="1600"/>
    <n v="15907"/>
    <s v="61157903"/>
    <s v="61157903"/>
    <m/>
    <m/>
    <m/>
    <m/>
    <m/>
    <m/>
    <s v="SOLRECOUP"/>
    <s v="SOLRECOUP"/>
    <s v="POARECOUP"/>
    <n v="21328868"/>
    <n v="-127.5"/>
    <m/>
    <s v="Y"/>
    <n v="1"/>
    <d v="2023-07-04T19:38:23"/>
    <s v="N"/>
    <m/>
    <m/>
    <s v="Expert Disbursement"/>
    <m/>
    <s v="N"/>
    <n v="-106.25"/>
    <n v="0"/>
    <x v="1"/>
    <s v="VALIDATED"/>
    <n v="1"/>
    <s v="01.11.80.308.2013.0000"/>
    <n v="-106.25"/>
    <s v="11"/>
    <s v="2013"/>
    <n v="22185.3"/>
    <n v="-106.25"/>
    <s v="CREDITOR"/>
    <n v="0"/>
    <n v="0"/>
    <n v="-106.25"/>
    <n v="0"/>
    <n v="0"/>
  </r>
  <r>
    <n v="61157903"/>
    <s v="N"/>
    <n v="21328868"/>
    <s v="3000015340490002RC"/>
    <s v="CIVIL"/>
    <d v="2023-06-26T00:00:00"/>
    <d v="2023-07-04T19:38:21"/>
    <m/>
    <d v="2023-07-04T00:00:00"/>
    <n v="1600"/>
    <n v="15907"/>
    <s v="61157903"/>
    <s v="61157903"/>
    <m/>
    <m/>
    <m/>
    <m/>
    <m/>
    <m/>
    <s v="SOLRECOUP"/>
    <s v="SOLRECOUP"/>
    <s v="POARECOUP"/>
    <n v="21328868"/>
    <n v="-127.5"/>
    <m/>
    <s v="Y"/>
    <n v="2"/>
    <d v="2023-07-04T19:38:23"/>
    <s v="N"/>
    <m/>
    <m/>
    <s v="Expert Disbursement"/>
    <m/>
    <s v="N"/>
    <n v="0"/>
    <n v="-21.25"/>
    <x v="1"/>
    <s v="VALIDATED"/>
    <n v="1"/>
    <s v="01.11.80.308.2013.0000"/>
    <n v="-21.25"/>
    <s v="11"/>
    <s v="2013"/>
    <n v="22185.3"/>
    <n v="-21.25"/>
    <s v="CREDITOR"/>
    <n v="0"/>
    <n v="0"/>
    <n v="-21.25"/>
    <n v="0"/>
    <n v="0"/>
  </r>
  <r>
    <n v="59810816"/>
    <s v="N"/>
    <n v="21324520"/>
    <s v="3000014183000004RC"/>
    <s v="CIVIL"/>
    <d v="2023-06-22T00:00:00"/>
    <d v="2023-07-03T19:42:50"/>
    <m/>
    <d v="2023-07-03T00:00:00"/>
    <n v="1600"/>
    <n v="15907"/>
    <s v="59810816"/>
    <s v="59810816"/>
    <m/>
    <m/>
    <m/>
    <m/>
    <m/>
    <m/>
    <s v="SOLRECOUP"/>
    <s v="SOLRECOUP"/>
    <s v="POARECOUP"/>
    <n v="21324520"/>
    <n v="-33.13"/>
    <m/>
    <s v="Y"/>
    <n v="1"/>
    <d v="2023-07-03T19:42:51"/>
    <s v="N"/>
    <m/>
    <m/>
    <s v="Profit Cost"/>
    <m/>
    <s v="N"/>
    <n v="-27.61"/>
    <n v="0"/>
    <x v="3"/>
    <s v="VALIDATED"/>
    <n v="1"/>
    <s v="01.11.80.305.2013.0000"/>
    <n v="-27.61"/>
    <s v="11"/>
    <s v="2013"/>
    <n v="22185.3"/>
    <n v="-27.61"/>
    <s v="CREDITOR"/>
    <n v="0"/>
    <n v="0"/>
    <n v="-27.61"/>
    <n v="-6.9025"/>
    <n v="0"/>
  </r>
  <r>
    <n v="59810816"/>
    <s v="N"/>
    <n v="21324520"/>
    <s v="3000014183000004RC"/>
    <s v="CIVIL"/>
    <d v="2023-06-22T00:00:00"/>
    <d v="2023-07-03T19:42:50"/>
    <m/>
    <d v="2023-07-03T00:00:00"/>
    <n v="1600"/>
    <n v="15907"/>
    <s v="59810816"/>
    <s v="59810816"/>
    <m/>
    <m/>
    <m/>
    <m/>
    <m/>
    <m/>
    <s v="SOLRECOUP"/>
    <s v="SOLRECOUP"/>
    <s v="POARECOUP"/>
    <n v="21324520"/>
    <n v="-33.13"/>
    <m/>
    <s v="Y"/>
    <n v="2"/>
    <d v="2023-07-03T19:42:51"/>
    <s v="N"/>
    <m/>
    <m/>
    <s v="Profit Cost"/>
    <m/>
    <s v="N"/>
    <n v="0"/>
    <n v="-5.52"/>
    <x v="3"/>
    <s v="VALIDATED"/>
    <n v="1"/>
    <s v="01.11.80.305.2013.0000"/>
    <n v="-5.52"/>
    <s v="11"/>
    <s v="2013"/>
    <n v="22185.3"/>
    <n v="-5.52"/>
    <s v="CREDITOR"/>
    <n v="0"/>
    <n v="0"/>
    <n v="-5.52"/>
    <n v="-1.38"/>
    <n v="0"/>
  </r>
  <r>
    <n v="59810816"/>
    <s v="N"/>
    <n v="21324521"/>
    <s v="3000014183000001RC"/>
    <s v="CIVIL"/>
    <d v="2023-06-22T00:00:00"/>
    <d v="2023-07-03T19:42:50"/>
    <m/>
    <d v="2023-07-03T00:00:00"/>
    <n v="1600"/>
    <n v="15907"/>
    <s v="59810816"/>
    <s v="59810816"/>
    <m/>
    <m/>
    <m/>
    <m/>
    <m/>
    <m/>
    <s v="SOLRECOUP"/>
    <s v="SOLRECOUP"/>
    <s v="POARECOUP"/>
    <n v="21324521"/>
    <n v="-3140.96"/>
    <m/>
    <s v="Y"/>
    <n v="1"/>
    <d v="2023-07-03T19:42:51"/>
    <s v="N"/>
    <m/>
    <m/>
    <s v="Profit Cost"/>
    <m/>
    <s v="N"/>
    <n v="-2617.47"/>
    <n v="0"/>
    <x v="3"/>
    <s v="VALIDATED"/>
    <n v="1"/>
    <s v="01.11.80.305.2013.0000"/>
    <n v="-2617.47"/>
    <s v="11"/>
    <s v="2013"/>
    <n v="22185.3"/>
    <n v="-2617.47"/>
    <s v="CREDITOR"/>
    <n v="0"/>
    <n v="0"/>
    <n v="-2617.47"/>
    <n v="-654.3674999999999"/>
    <n v="0"/>
  </r>
  <r>
    <n v="59810816"/>
    <s v="N"/>
    <n v="21324521"/>
    <s v="3000014183000001RC"/>
    <s v="CIVIL"/>
    <d v="2023-06-22T00:00:00"/>
    <d v="2023-07-03T19:42:50"/>
    <m/>
    <d v="2023-07-03T00:00:00"/>
    <n v="1600"/>
    <n v="15907"/>
    <s v="59810816"/>
    <s v="59810816"/>
    <m/>
    <m/>
    <m/>
    <m/>
    <m/>
    <m/>
    <s v="SOLRECOUP"/>
    <s v="SOLRECOUP"/>
    <s v="POARECOUP"/>
    <n v="21324521"/>
    <n v="-3140.96"/>
    <m/>
    <s v="Y"/>
    <n v="2"/>
    <d v="2023-07-03T19:42:51"/>
    <s v="N"/>
    <m/>
    <m/>
    <s v="Profit Cost"/>
    <m/>
    <s v="N"/>
    <n v="0"/>
    <n v="-523.49"/>
    <x v="3"/>
    <s v="VALIDATED"/>
    <n v="1"/>
    <s v="01.11.80.305.2013.0000"/>
    <n v="-523.49"/>
    <s v="11"/>
    <s v="2013"/>
    <n v="22185.3"/>
    <n v="-523.49"/>
    <s v="CREDITOR"/>
    <n v="0"/>
    <n v="0"/>
    <n v="-523.49"/>
    <n v="-130.8725"/>
    <n v="0"/>
  </r>
  <r>
    <n v="59810816"/>
    <s v="N"/>
    <n v="21324522"/>
    <s v="3000014183000005RC"/>
    <s v="CIVIL"/>
    <d v="2023-06-22T00:00:00"/>
    <d v="2023-07-03T19:42:50"/>
    <m/>
    <d v="2023-07-03T00:00:00"/>
    <n v="1600"/>
    <n v="15907"/>
    <s v="59810816"/>
    <s v="59810816"/>
    <m/>
    <m/>
    <m/>
    <m/>
    <m/>
    <m/>
    <s v="SOLRECOUP"/>
    <s v="SOLRECOUP"/>
    <s v="POARECOUP"/>
    <n v="21324522"/>
    <n v="-733.12"/>
    <m/>
    <s v="Y"/>
    <n v="1"/>
    <d v="2023-07-03T19:42:51"/>
    <s v="N"/>
    <m/>
    <m/>
    <s v="Profit Cost"/>
    <m/>
    <s v="N"/>
    <n v="-610.9299999999999"/>
    <n v="0"/>
    <x v="3"/>
    <s v="VALIDATED"/>
    <n v="1"/>
    <s v="01.11.80.305.2013.0000"/>
    <n v="-610.9299999999999"/>
    <s v="11"/>
    <s v="2013"/>
    <n v="22185.3"/>
    <n v="-610.9299999999999"/>
    <s v="CREDITOR"/>
    <n v="0"/>
    <n v="0"/>
    <n v="-610.9299999999999"/>
    <n v="-152.7325"/>
    <n v="0"/>
  </r>
  <r>
    <n v="59810816"/>
    <s v="N"/>
    <n v="21324522"/>
    <s v="3000014183000005RC"/>
    <s v="CIVIL"/>
    <d v="2023-06-22T00:00:00"/>
    <d v="2023-07-03T19:42:50"/>
    <m/>
    <d v="2023-07-03T00:00:00"/>
    <n v="1600"/>
    <n v="15907"/>
    <s v="59810816"/>
    <s v="59810816"/>
    <m/>
    <m/>
    <m/>
    <m/>
    <m/>
    <m/>
    <s v="SOLRECOUP"/>
    <s v="SOLRECOUP"/>
    <s v="POARECOUP"/>
    <n v="21324522"/>
    <n v="-733.12"/>
    <m/>
    <s v="Y"/>
    <n v="2"/>
    <d v="2023-07-03T19:42:51"/>
    <s v="N"/>
    <m/>
    <m/>
    <s v="Profit Cost"/>
    <m/>
    <s v="N"/>
    <n v="0"/>
    <n v="-122.19"/>
    <x v="3"/>
    <s v="VALIDATED"/>
    <n v="1"/>
    <s v="01.11.80.305.2013.0000"/>
    <n v="-122.19"/>
    <s v="11"/>
    <s v="2013"/>
    <n v="22185.3"/>
    <n v="-122.19"/>
    <s v="CREDITOR"/>
    <n v="0"/>
    <n v="0"/>
    <n v="-122.19"/>
    <n v="-30.5475"/>
    <n v="0"/>
  </r>
  <r>
    <n v="10058695"/>
    <s v="N"/>
    <n v="21349876"/>
    <s v="3000005948260050"/>
    <s v="CIVIL"/>
    <d v="2023-06-21T00:00:00"/>
    <d v="2023-07-10T19:01:40"/>
    <m/>
    <d v="2023-07-10T00:00:00"/>
    <n v="1600"/>
    <n v="15907"/>
    <s v="10058695"/>
    <s v="10058695"/>
    <m/>
    <m/>
    <n v="22732596"/>
    <m/>
    <m/>
    <m/>
    <s v="SOLFIN"/>
    <s v="SOLFIN"/>
    <s v="CCMS"/>
    <n v="21349876"/>
    <n v="32101.97"/>
    <m/>
    <s v="N"/>
    <n v="1"/>
    <d v="2023-07-10T19:02:01"/>
    <s v="N"/>
    <s v="Interpreter"/>
    <s v="Public Law Children"/>
    <s v="Expert Disbursement"/>
    <s v="JPR"/>
    <s v="N"/>
    <n v="0"/>
    <n v="0"/>
    <x v="2"/>
    <s v="VALIDATED"/>
    <n v="1"/>
    <s v="01.11.80.308.6300.0000"/>
    <n v="0"/>
    <s v="11"/>
    <s v="6300"/>
    <n v="22185.3"/>
    <n v="0"/>
    <s v="CREDITOR"/>
    <n v="0"/>
    <n v="0"/>
    <n v="0"/>
    <n v="0"/>
    <n v="0"/>
  </r>
  <r>
    <n v="10058695"/>
    <s v="N"/>
    <n v="21349876"/>
    <s v="3000005948260050"/>
    <s v="CIVIL"/>
    <d v="2023-06-21T00:00:00"/>
    <d v="2023-07-10T19:01:40"/>
    <m/>
    <d v="2023-07-10T00:00:00"/>
    <n v="1600"/>
    <n v="15907"/>
    <s v="10058695"/>
    <s v="10058695"/>
    <m/>
    <m/>
    <n v="22732596"/>
    <m/>
    <m/>
    <m/>
    <s v="SOLFIN"/>
    <s v="SOLFIN"/>
    <s v="CCMS"/>
    <n v="21349876"/>
    <n v="32101.97"/>
    <m/>
    <s v="N"/>
    <n v="5"/>
    <d v="2023-07-10T19:02:01"/>
    <s v="Y"/>
    <s v="Interpreter"/>
    <s v="Public Law Children"/>
    <s v="Expert Disbursement"/>
    <s v="JPR"/>
    <s v="Y"/>
    <n v="258.99"/>
    <n v="51.8"/>
    <x v="2"/>
    <s v="VALIDATED"/>
    <n v="1"/>
    <s v="01.11.80.308.6300.0000"/>
    <n v="258.99"/>
    <s v="11"/>
    <s v="6300"/>
    <n v="22185.3"/>
    <n v="258.99"/>
    <s v="CREDITOR"/>
    <n v="0"/>
    <n v="0"/>
    <n v="0"/>
    <n v="0"/>
    <n v="258.99"/>
  </r>
  <r>
    <n v="10058695"/>
    <s v="N"/>
    <n v="21349876"/>
    <s v="3000005948260050"/>
    <s v="CIVIL"/>
    <d v="2023-06-21T00:00:00"/>
    <d v="2023-07-10T19:01:40"/>
    <m/>
    <d v="2023-07-10T00:00:00"/>
    <n v="1600"/>
    <n v="15907"/>
    <s v="10058695"/>
    <s v="10058695"/>
    <m/>
    <m/>
    <n v="22732596"/>
    <m/>
    <m/>
    <m/>
    <s v="SOLFIN"/>
    <s v="SOLFIN"/>
    <s v="CCMS"/>
    <n v="21349876"/>
    <n v="32101.97"/>
    <m/>
    <s v="N"/>
    <n v="14"/>
    <d v="2023-07-10T19:02:01"/>
    <s v="Y"/>
    <s v="Toxicologist"/>
    <s v="Public Law Children"/>
    <s v="Expert Disbursement"/>
    <s v="JPR"/>
    <s v="Y"/>
    <n v="495.13"/>
    <n v="99.03"/>
    <x v="2"/>
    <s v="VALIDATED"/>
    <n v="1"/>
    <s v="01.11.80.308.6300.0000"/>
    <n v="495.13"/>
    <s v="11"/>
    <s v="6300"/>
    <n v="22185.3"/>
    <n v="495.13"/>
    <s v="CREDITOR"/>
    <n v="0"/>
    <n v="0"/>
    <n v="0"/>
    <n v="0"/>
    <n v="495.13"/>
  </r>
  <r>
    <n v="10058695"/>
    <s v="N"/>
    <n v="21356759"/>
    <s v="3000005948260002RC"/>
    <s v="CIVIL"/>
    <d v="2023-06-21T00:00:00"/>
    <d v="2023-07-10T19:47:44"/>
    <m/>
    <d v="2023-07-10T00:00:00"/>
    <n v="1600"/>
    <n v="15907"/>
    <s v="10058695"/>
    <s v="10058695"/>
    <m/>
    <m/>
    <m/>
    <m/>
    <m/>
    <m/>
    <s v="SOLRECOUP"/>
    <s v="SOLRECOUP"/>
    <s v="POARECOUP"/>
    <n v="21356759"/>
    <n v="-203.98"/>
    <m/>
    <s v="Y"/>
    <n v="2"/>
    <d v="2023-07-10T19:47:46"/>
    <s v="N"/>
    <m/>
    <m/>
    <s v="Non Expert Disbursement"/>
    <m/>
    <s v="N"/>
    <n v="0"/>
    <n v="-34"/>
    <x v="2"/>
    <s v="VALIDATED"/>
    <n v="1"/>
    <s v="01.11.80.308.2013.0000"/>
    <n v="-34"/>
    <s v="11"/>
    <s v="2013"/>
    <n v="22185.3"/>
    <n v="-34"/>
    <s v="CREDITOR"/>
    <n v="0"/>
    <n v="0"/>
    <n v="-34"/>
    <n v="0"/>
    <n v="0"/>
  </r>
  <r>
    <n v="10058695"/>
    <s v="N"/>
    <n v="21356760"/>
    <s v="3000005948260004RC"/>
    <s v="CIVIL"/>
    <d v="2023-06-21T00:00:00"/>
    <d v="2023-07-10T19:47:44"/>
    <m/>
    <d v="2023-07-10T00:00:00"/>
    <n v="1600"/>
    <n v="15907"/>
    <s v="10058695"/>
    <s v="10058695"/>
    <m/>
    <m/>
    <m/>
    <m/>
    <m/>
    <m/>
    <s v="SOLRECOUP"/>
    <s v="SOLRECOUP"/>
    <s v="POARECOUP"/>
    <n v="21356760"/>
    <n v="-152"/>
    <m/>
    <s v="Y"/>
    <n v="1"/>
    <d v="2023-07-10T19:47:46"/>
    <s v="N"/>
    <m/>
    <m/>
    <s v="Expert Disbursement"/>
    <m/>
    <s v="N"/>
    <n v="-152"/>
    <n v="0"/>
    <x v="2"/>
    <s v="VALIDATED"/>
    <n v="1"/>
    <s v="01.11.80.308.2013.0000"/>
    <n v="-152"/>
    <s v="11"/>
    <s v="2013"/>
    <n v="22185.3"/>
    <n v="-152"/>
    <s v="CREDITOR"/>
    <n v="0"/>
    <n v="0"/>
    <n v="-152"/>
    <n v="0"/>
    <n v="0"/>
  </r>
  <r>
    <n v="10058695"/>
    <s v="N"/>
    <n v="21356760"/>
    <s v="3000005948260004RC"/>
    <s v="CIVIL"/>
    <d v="2023-06-21T00:00:00"/>
    <d v="2023-07-10T19:47:44"/>
    <m/>
    <d v="2023-07-10T00:00:00"/>
    <n v="1600"/>
    <n v="15907"/>
    <s v="10058695"/>
    <s v="10058695"/>
    <m/>
    <m/>
    <m/>
    <m/>
    <m/>
    <m/>
    <s v="SOLRECOUP"/>
    <s v="SOLRECOUP"/>
    <s v="POARECOUP"/>
    <n v="21356760"/>
    <n v="-152"/>
    <m/>
    <s v="Y"/>
    <n v="2"/>
    <d v="2023-07-10T19:47:46"/>
    <s v="N"/>
    <m/>
    <m/>
    <s v="Expert Disbursement"/>
    <m/>
    <s v="N"/>
    <n v="0"/>
    <n v="0"/>
    <x v="2"/>
    <s v="VALIDATED"/>
    <n v="1"/>
    <s v="01.11.80.000.0000.0000"/>
    <n v="0"/>
    <s v="11"/>
    <s v="0000"/>
    <n v="22185.3"/>
    <n v="0"/>
    <s v="CREDITOR"/>
    <n v="0"/>
    <n v="0"/>
    <n v="0"/>
    <n v="0"/>
    <n v="0"/>
  </r>
  <r>
    <n v="10058695"/>
    <s v="N"/>
    <n v="21356761"/>
    <s v="3000005948260005RC"/>
    <s v="CIVIL"/>
    <d v="2023-06-21T00:00:00"/>
    <d v="2023-07-10T19:47:44"/>
    <m/>
    <d v="2023-07-10T00:00:00"/>
    <n v="1600"/>
    <n v="15907"/>
    <s v="10058695"/>
    <s v="10058695"/>
    <m/>
    <m/>
    <m/>
    <m/>
    <m/>
    <m/>
    <s v="SOLRECOUP"/>
    <s v="SOLRECOUP"/>
    <s v="POARECOUP"/>
    <n v="21356761"/>
    <n v="-262.9"/>
    <m/>
    <s v="Y"/>
    <n v="1"/>
    <d v="2023-07-10T19:47:46"/>
    <s v="N"/>
    <m/>
    <m/>
    <s v="Expert Disbursement"/>
    <m/>
    <s v="N"/>
    <n v="-262.9"/>
    <n v="0"/>
    <x v="2"/>
    <s v="VALIDATED"/>
    <n v="1"/>
    <s v="01.11.80.308.2013.0000"/>
    <n v="-262.9"/>
    <s v="11"/>
    <s v="2013"/>
    <n v="22185.3"/>
    <n v="-262.9"/>
    <s v="CREDITOR"/>
    <n v="0"/>
    <n v="0"/>
    <n v="-262.9"/>
    <n v="0"/>
    <n v="0"/>
  </r>
  <r>
    <n v="10058695"/>
    <s v="N"/>
    <n v="21356761"/>
    <s v="3000005948260005RC"/>
    <s v="CIVIL"/>
    <d v="2023-06-21T00:00:00"/>
    <d v="2023-07-10T19:47:44"/>
    <m/>
    <d v="2023-07-10T00:00:00"/>
    <n v="1600"/>
    <n v="15907"/>
    <s v="10058695"/>
    <s v="10058695"/>
    <m/>
    <m/>
    <m/>
    <m/>
    <m/>
    <m/>
    <s v="SOLRECOUP"/>
    <s v="SOLRECOUP"/>
    <s v="POARECOUP"/>
    <n v="21356761"/>
    <n v="-262.9"/>
    <m/>
    <s v="Y"/>
    <n v="2"/>
    <d v="2023-07-10T19:47:46"/>
    <s v="N"/>
    <m/>
    <m/>
    <s v="Expert Disbursement"/>
    <m/>
    <s v="N"/>
    <n v="0"/>
    <n v="0"/>
    <x v="2"/>
    <s v="VALIDATED"/>
    <n v="1"/>
    <s v="01.11.80.000.0000.0000"/>
    <n v="0"/>
    <s v="11"/>
    <s v="0000"/>
    <n v="22185.3"/>
    <n v="0"/>
    <s v="CREDITOR"/>
    <n v="0"/>
    <n v="0"/>
    <n v="0"/>
    <n v="0"/>
    <n v="0"/>
  </r>
  <r>
    <n v="10058695"/>
    <s v="N"/>
    <n v="21356762"/>
    <s v="3000005948260008RC"/>
    <s v="CIVIL"/>
    <d v="2023-06-21T00:00:00"/>
    <d v="2023-07-10T19:47:44"/>
    <m/>
    <d v="2023-07-10T00:00:00"/>
    <n v="1600"/>
    <n v="15907"/>
    <s v="10058695"/>
    <s v="10058695"/>
    <m/>
    <m/>
    <m/>
    <m/>
    <m/>
    <m/>
    <s v="SOLRECOUP"/>
    <s v="SOLRECOUP"/>
    <s v="POARECOUP"/>
    <n v="21356762"/>
    <n v="-2832.14"/>
    <m/>
    <s v="Y"/>
    <n v="1"/>
    <d v="2023-07-10T19:47:46"/>
    <s v="N"/>
    <m/>
    <m/>
    <s v="Profit Cost"/>
    <m/>
    <s v="N"/>
    <n v="-2360.12"/>
    <n v="0"/>
    <x v="2"/>
    <s v="VALIDATED"/>
    <n v="1"/>
    <s v="01.11.80.308.2013.0000"/>
    <n v="-2360.12"/>
    <s v="11"/>
    <s v="2013"/>
    <n v="22185.3"/>
    <n v="-2360.12"/>
    <s v="CREDITOR"/>
    <n v="0"/>
    <n v="0"/>
    <n v="-2360.12"/>
    <n v="-590.03"/>
    <n v="0"/>
  </r>
  <r>
    <n v="10058695"/>
    <s v="N"/>
    <n v="21356762"/>
    <s v="3000005948260008RC"/>
    <s v="CIVIL"/>
    <d v="2023-06-21T00:00:00"/>
    <d v="2023-07-10T19:47:44"/>
    <m/>
    <d v="2023-07-10T00:00:00"/>
    <n v="1600"/>
    <n v="15907"/>
    <s v="10058695"/>
    <s v="10058695"/>
    <m/>
    <m/>
    <m/>
    <m/>
    <m/>
    <m/>
    <s v="SOLRECOUP"/>
    <s v="SOLRECOUP"/>
    <s v="POARECOUP"/>
    <n v="21356762"/>
    <n v="-2832.14"/>
    <m/>
    <s v="Y"/>
    <n v="2"/>
    <d v="2023-07-10T19:47:46"/>
    <s v="N"/>
    <m/>
    <m/>
    <s v="Profit Cost"/>
    <m/>
    <s v="N"/>
    <n v="0"/>
    <n v="-472.02"/>
    <x v="2"/>
    <s v="VALIDATED"/>
    <n v="1"/>
    <s v="01.11.80.308.2013.0000"/>
    <n v="-472.02"/>
    <s v="11"/>
    <s v="2013"/>
    <n v="22185.3"/>
    <n v="-472.02"/>
    <s v="CREDITOR"/>
    <n v="0"/>
    <n v="0"/>
    <n v="-472.02"/>
    <n v="-118.005"/>
    <n v="0"/>
  </r>
  <r>
    <n v="10058695"/>
    <s v="N"/>
    <n v="21356763"/>
    <s v="3000005948260010RC"/>
    <s v="CIVIL"/>
    <d v="2023-06-21T00:00:00"/>
    <d v="2023-07-10T19:47:44"/>
    <m/>
    <d v="2023-07-10T00:00:00"/>
    <n v="1600"/>
    <n v="15907"/>
    <s v="10058695"/>
    <s v="10058695"/>
    <m/>
    <m/>
    <m/>
    <m/>
    <m/>
    <m/>
    <s v="SOLRECOUP"/>
    <s v="SOLRECOUP"/>
    <s v="POARECOUP"/>
    <n v="21356763"/>
    <n v="-248.9"/>
    <m/>
    <s v="Y"/>
    <n v="1"/>
    <d v="2023-07-10T19:47:46"/>
    <s v="N"/>
    <m/>
    <m/>
    <s v="Expert Disbursement"/>
    <m/>
    <s v="N"/>
    <n v="-248.9"/>
    <n v="0"/>
    <x v="2"/>
    <s v="VALIDATED"/>
    <n v="1"/>
    <s v="01.11.80.308.2013.0000"/>
    <n v="-248.9"/>
    <s v="11"/>
    <s v="2013"/>
    <n v="22185.3"/>
    <n v="-248.9"/>
    <s v="CREDITOR"/>
    <n v="0"/>
    <n v="0"/>
    <n v="-248.9"/>
    <n v="0"/>
    <n v="0"/>
  </r>
  <r>
    <n v="10058695"/>
    <s v="N"/>
    <n v="21356763"/>
    <s v="3000005948260010RC"/>
    <s v="CIVIL"/>
    <d v="2023-06-21T00:00:00"/>
    <d v="2023-07-10T19:47:44"/>
    <m/>
    <d v="2023-07-10T00:00:00"/>
    <n v="1600"/>
    <n v="15907"/>
    <s v="10058695"/>
    <s v="10058695"/>
    <m/>
    <m/>
    <m/>
    <m/>
    <m/>
    <m/>
    <s v="SOLRECOUP"/>
    <s v="SOLRECOUP"/>
    <s v="POARECOUP"/>
    <n v="21356763"/>
    <n v="-248.9"/>
    <m/>
    <s v="Y"/>
    <n v="2"/>
    <d v="2023-07-10T19:47:46"/>
    <s v="N"/>
    <m/>
    <m/>
    <s v="Expert Disbursement"/>
    <m/>
    <s v="N"/>
    <n v="0"/>
    <n v="0"/>
    <x v="2"/>
    <s v="VALIDATED"/>
    <n v="1"/>
    <s v="01.11.80.000.0000.0000"/>
    <n v="0"/>
    <s v="11"/>
    <s v="0000"/>
    <n v="22185.3"/>
    <n v="0"/>
    <s v="CREDITOR"/>
    <n v="0"/>
    <n v="0"/>
    <n v="0"/>
    <n v="0"/>
    <n v="0"/>
  </r>
  <r>
    <n v="10058695"/>
    <s v="N"/>
    <n v="21356764"/>
    <s v="3000005948260019RC"/>
    <s v="CIVIL"/>
    <d v="2023-06-21T00:00:00"/>
    <d v="2023-07-10T19:47:44"/>
    <m/>
    <d v="2023-07-10T00:00:00"/>
    <n v="1600"/>
    <n v="15907"/>
    <s v="10058695"/>
    <s v="10058695"/>
    <m/>
    <m/>
    <m/>
    <m/>
    <m/>
    <m/>
    <s v="SOLRECOUP"/>
    <s v="SOLRECOUP"/>
    <s v="POARECOUP"/>
    <n v="21356764"/>
    <n v="-84"/>
    <m/>
    <s v="Y"/>
    <n v="1"/>
    <d v="2023-07-10T19:47:46"/>
    <s v="N"/>
    <m/>
    <m/>
    <s v="Expert Disbursement"/>
    <m/>
    <s v="N"/>
    <n v="-84"/>
    <n v="0"/>
    <x v="2"/>
    <s v="VALIDATED"/>
    <n v="1"/>
    <s v="01.11.80.308.2013.0000"/>
    <n v="-84"/>
    <s v="11"/>
    <s v="2013"/>
    <n v="22185.3"/>
    <n v="-84"/>
    <s v="CREDITOR"/>
    <n v="0"/>
    <n v="0"/>
    <n v="-84"/>
    <n v="0"/>
    <n v="0"/>
  </r>
  <r>
    <n v="10058695"/>
    <s v="N"/>
    <n v="21356764"/>
    <s v="3000005948260019RC"/>
    <s v="CIVIL"/>
    <d v="2023-06-21T00:00:00"/>
    <d v="2023-07-10T19:47:44"/>
    <m/>
    <d v="2023-07-10T00:00:00"/>
    <n v="1600"/>
    <n v="15907"/>
    <s v="10058695"/>
    <s v="10058695"/>
    <m/>
    <m/>
    <m/>
    <m/>
    <m/>
    <m/>
    <s v="SOLRECOUP"/>
    <s v="SOLRECOUP"/>
    <s v="POARECOUP"/>
    <n v="21356764"/>
    <n v="-84"/>
    <m/>
    <s v="Y"/>
    <n v="2"/>
    <d v="2023-07-10T19:47:46"/>
    <s v="N"/>
    <m/>
    <m/>
    <s v="Expert Disbursement"/>
    <m/>
    <s v="N"/>
    <n v="0"/>
    <n v="0"/>
    <x v="2"/>
    <s v="VALIDATED"/>
    <n v="1"/>
    <s v="01.11.80.000.0000.0000"/>
    <n v="0"/>
    <s v="11"/>
    <s v="0000"/>
    <n v="22185.3"/>
    <n v="0"/>
    <s v="CREDITOR"/>
    <n v="0"/>
    <n v="0"/>
    <n v="0"/>
    <n v="0"/>
    <n v="0"/>
  </r>
  <r>
    <n v="10058695"/>
    <s v="N"/>
    <n v="21356765"/>
    <s v="3000005948260018RC"/>
    <s v="CIVIL"/>
    <d v="2023-06-21T00:00:00"/>
    <d v="2023-07-10T19:47:44"/>
    <m/>
    <d v="2023-07-10T00:00:00"/>
    <n v="1600"/>
    <n v="15907"/>
    <s v="10058695"/>
    <s v="10058695"/>
    <m/>
    <m/>
    <m/>
    <m/>
    <m/>
    <m/>
    <s v="SOLRECOUP"/>
    <s v="SOLRECOUP"/>
    <s v="POARECOUP"/>
    <n v="21356765"/>
    <n v="-84"/>
    <m/>
    <s v="Y"/>
    <n v="1"/>
    <d v="2023-07-10T19:47:46"/>
    <s v="N"/>
    <m/>
    <m/>
    <s v="Expert Disbursement"/>
    <m/>
    <s v="N"/>
    <n v="-84"/>
    <n v="0"/>
    <x v="2"/>
    <s v="VALIDATED"/>
    <n v="1"/>
    <s v="01.11.80.308.2013.0000"/>
    <n v="-84"/>
    <s v="11"/>
    <s v="2013"/>
    <n v="22185.3"/>
    <n v="-84"/>
    <s v="CREDITOR"/>
    <n v="0"/>
    <n v="0"/>
    <n v="-84"/>
    <n v="0"/>
    <n v="0"/>
  </r>
  <r>
    <n v="10058695"/>
    <s v="N"/>
    <n v="21356765"/>
    <s v="3000005948260018RC"/>
    <s v="CIVIL"/>
    <d v="2023-06-21T00:00:00"/>
    <d v="2023-07-10T19:47:44"/>
    <m/>
    <d v="2023-07-10T00:00:00"/>
    <n v="1600"/>
    <n v="15907"/>
    <s v="10058695"/>
    <s v="10058695"/>
    <m/>
    <m/>
    <m/>
    <m/>
    <m/>
    <m/>
    <s v="SOLRECOUP"/>
    <s v="SOLRECOUP"/>
    <s v="POARECOUP"/>
    <n v="21356765"/>
    <n v="-84"/>
    <m/>
    <s v="Y"/>
    <n v="2"/>
    <d v="2023-07-10T19:47:46"/>
    <s v="N"/>
    <m/>
    <m/>
    <s v="Expert Disbursement"/>
    <m/>
    <s v="N"/>
    <n v="0"/>
    <n v="0"/>
    <x v="2"/>
    <s v="VALIDATED"/>
    <n v="1"/>
    <s v="01.11.80.000.0000.0000"/>
    <n v="0"/>
    <s v="11"/>
    <s v="0000"/>
    <n v="22185.3"/>
    <n v="0"/>
    <s v="CREDITOR"/>
    <n v="0"/>
    <n v="0"/>
    <n v="0"/>
    <n v="0"/>
    <n v="0"/>
  </r>
  <r>
    <n v="10058695"/>
    <s v="N"/>
    <n v="21356766"/>
    <s v="3000005948260021RC"/>
    <s v="CIVIL"/>
    <d v="2023-06-21T00:00:00"/>
    <d v="2023-07-10T19:47:44"/>
    <m/>
    <d v="2023-07-10T00:00:00"/>
    <n v="1600"/>
    <n v="15907"/>
    <s v="10058695"/>
    <s v="10058695"/>
    <m/>
    <m/>
    <m/>
    <m/>
    <m/>
    <m/>
    <s v="SOLRECOUP"/>
    <s v="SOLRECOUP"/>
    <s v="POARECOUP"/>
    <n v="21356766"/>
    <n v="-594.16"/>
    <m/>
    <s v="Y"/>
    <n v="1"/>
    <d v="2023-07-10T19:47:46"/>
    <s v="N"/>
    <m/>
    <m/>
    <s v="Expert Disbursement"/>
    <m/>
    <s v="N"/>
    <n v="-495.13"/>
    <n v="0"/>
    <x v="2"/>
    <s v="VALIDATED"/>
    <n v="1"/>
    <s v="01.11.80.308.2013.0000"/>
    <n v="-495.13"/>
    <s v="11"/>
    <s v="2013"/>
    <n v="22185.3"/>
    <n v="-495.13"/>
    <s v="CREDITOR"/>
    <n v="0"/>
    <n v="0"/>
    <n v="-495.13"/>
    <n v="0"/>
    <n v="0"/>
  </r>
  <r>
    <n v="10058695"/>
    <s v="N"/>
    <n v="21356766"/>
    <s v="3000005948260021RC"/>
    <s v="CIVIL"/>
    <d v="2023-06-21T00:00:00"/>
    <d v="2023-07-10T19:47:44"/>
    <m/>
    <d v="2023-07-10T00:00:00"/>
    <n v="1600"/>
    <n v="15907"/>
    <s v="10058695"/>
    <s v="10058695"/>
    <m/>
    <m/>
    <m/>
    <m/>
    <m/>
    <m/>
    <s v="SOLRECOUP"/>
    <s v="SOLRECOUP"/>
    <s v="POARECOUP"/>
    <n v="21356766"/>
    <n v="-594.16"/>
    <m/>
    <s v="Y"/>
    <n v="2"/>
    <d v="2023-07-10T19:47:46"/>
    <s v="N"/>
    <m/>
    <m/>
    <s v="Expert Disbursement"/>
    <m/>
    <s v="N"/>
    <n v="0"/>
    <n v="-99.03"/>
    <x v="2"/>
    <s v="VALIDATED"/>
    <n v="1"/>
    <s v="01.11.80.308.2013.0000"/>
    <n v="-99.03"/>
    <s v="11"/>
    <s v="2013"/>
    <n v="22185.3"/>
    <n v="-99.03"/>
    <s v="CREDITOR"/>
    <n v="0"/>
    <n v="0"/>
    <n v="-99.03"/>
    <n v="0"/>
    <n v="0"/>
  </r>
  <r>
    <n v="10058695"/>
    <s v="N"/>
    <n v="21356767"/>
    <s v="3000005948260023RC"/>
    <s v="CIVIL"/>
    <d v="2023-06-21T00:00:00"/>
    <d v="2023-07-10T19:47:44"/>
    <m/>
    <d v="2023-07-10T00:00:00"/>
    <n v="1600"/>
    <n v="15907"/>
    <s v="10058695"/>
    <s v="10058695"/>
    <m/>
    <m/>
    <m/>
    <m/>
    <m/>
    <m/>
    <s v="SOLRECOUP"/>
    <s v="SOLRECOUP"/>
    <s v="POARECOUP"/>
    <n v="21356767"/>
    <n v="-112"/>
    <m/>
    <s v="Y"/>
    <n v="1"/>
    <d v="2023-07-10T19:47:46"/>
    <s v="N"/>
    <m/>
    <m/>
    <s v="Expert Disbursement"/>
    <m/>
    <s v="N"/>
    <n v="-112"/>
    <n v="0"/>
    <x v="2"/>
    <s v="VALIDATED"/>
    <n v="1"/>
    <s v="01.11.80.308.2013.0000"/>
    <n v="-112"/>
    <s v="11"/>
    <s v="2013"/>
    <n v="22185.3"/>
    <n v="-112"/>
    <s v="CREDITOR"/>
    <n v="0"/>
    <n v="0"/>
    <n v="-112"/>
    <n v="0"/>
    <n v="0"/>
  </r>
  <r>
    <n v="10058695"/>
    <s v="N"/>
    <n v="21356767"/>
    <s v="3000005948260023RC"/>
    <s v="CIVIL"/>
    <d v="2023-06-21T00:00:00"/>
    <d v="2023-07-10T19:47:44"/>
    <m/>
    <d v="2023-07-10T00:00:00"/>
    <n v="1600"/>
    <n v="15907"/>
    <s v="10058695"/>
    <s v="10058695"/>
    <m/>
    <m/>
    <m/>
    <m/>
    <m/>
    <m/>
    <s v="SOLRECOUP"/>
    <s v="SOLRECOUP"/>
    <s v="POARECOUP"/>
    <n v="21356767"/>
    <n v="-112"/>
    <m/>
    <s v="Y"/>
    <n v="2"/>
    <d v="2023-07-10T19:47:46"/>
    <s v="N"/>
    <m/>
    <m/>
    <s v="Expert Disbursement"/>
    <m/>
    <s v="N"/>
    <n v="0"/>
    <n v="0"/>
    <x v="2"/>
    <s v="VALIDATED"/>
    <n v="1"/>
    <s v="01.11.80.000.0000.0000"/>
    <n v="0"/>
    <s v="11"/>
    <s v="0000"/>
    <n v="22185.3"/>
    <n v="0"/>
    <s v="CREDITOR"/>
    <n v="0"/>
    <n v="0"/>
    <n v="0"/>
    <n v="0"/>
    <n v="0"/>
  </r>
  <r>
    <n v="10058695"/>
    <s v="N"/>
    <n v="21356768"/>
    <s v="3000005948260024RC"/>
    <s v="CIVIL"/>
    <d v="2023-06-21T00:00:00"/>
    <d v="2023-07-10T19:47:44"/>
    <m/>
    <d v="2023-07-10T00:00:00"/>
    <n v="1600"/>
    <n v="15907"/>
    <s v="10058695"/>
    <s v="10058695"/>
    <m/>
    <m/>
    <m/>
    <m/>
    <m/>
    <m/>
    <s v="SOLRECOUP"/>
    <s v="SOLRECOUP"/>
    <s v="POARECOUP"/>
    <n v="21356768"/>
    <n v="-84"/>
    <m/>
    <s v="Y"/>
    <n v="1"/>
    <d v="2023-07-10T19:47:46"/>
    <s v="N"/>
    <m/>
    <m/>
    <s v="Expert Disbursement"/>
    <m/>
    <s v="N"/>
    <n v="-84"/>
    <n v="0"/>
    <x v="2"/>
    <s v="VALIDATED"/>
    <n v="1"/>
    <s v="01.11.80.308.2013.0000"/>
    <n v="-84"/>
    <s v="11"/>
    <s v="2013"/>
    <n v="22185.3"/>
    <n v="-84"/>
    <s v="CREDITOR"/>
    <n v="0"/>
    <n v="0"/>
    <n v="-84"/>
    <n v="0"/>
    <n v="0"/>
  </r>
  <r>
    <n v="10058695"/>
    <s v="N"/>
    <n v="21356768"/>
    <s v="3000005948260024RC"/>
    <s v="CIVIL"/>
    <d v="2023-06-21T00:00:00"/>
    <d v="2023-07-10T19:47:44"/>
    <m/>
    <d v="2023-07-10T00:00:00"/>
    <n v="1600"/>
    <n v="15907"/>
    <s v="10058695"/>
    <s v="10058695"/>
    <m/>
    <m/>
    <m/>
    <m/>
    <m/>
    <m/>
    <s v="SOLRECOUP"/>
    <s v="SOLRECOUP"/>
    <s v="POARECOUP"/>
    <n v="21356768"/>
    <n v="-84"/>
    <m/>
    <s v="Y"/>
    <n v="2"/>
    <d v="2023-07-10T19:47:46"/>
    <s v="N"/>
    <m/>
    <m/>
    <s v="Expert Disbursement"/>
    <m/>
    <s v="N"/>
    <n v="0"/>
    <n v="0"/>
    <x v="2"/>
    <s v="VALIDATED"/>
    <n v="1"/>
    <s v="01.11.80.000.0000.0000"/>
    <n v="0"/>
    <s v="11"/>
    <s v="0000"/>
    <n v="22185.3"/>
    <n v="0"/>
    <s v="CREDITOR"/>
    <n v="0"/>
    <n v="0"/>
    <n v="0"/>
    <n v="0"/>
    <n v="0"/>
  </r>
  <r>
    <n v="10058695"/>
    <s v="N"/>
    <n v="21356769"/>
    <s v="3000005948260006RC"/>
    <s v="CIVIL"/>
    <d v="2023-06-21T00:00:00"/>
    <d v="2023-07-10T19:47:44"/>
    <m/>
    <d v="2023-07-10T00:00:00"/>
    <n v="1600"/>
    <n v="15907"/>
    <s v="10058695"/>
    <s v="10058695"/>
    <m/>
    <m/>
    <m/>
    <m/>
    <m/>
    <m/>
    <s v="SOLRECOUP"/>
    <s v="SOLRECOUP"/>
    <s v="POARECOUP"/>
    <n v="21356769"/>
    <n v="-290.9"/>
    <m/>
    <s v="Y"/>
    <n v="1"/>
    <d v="2023-07-10T19:47:46"/>
    <s v="N"/>
    <m/>
    <m/>
    <s v="Expert Disbursement"/>
    <m/>
    <s v="N"/>
    <n v="-290.9"/>
    <n v="0"/>
    <x v="2"/>
    <s v="VALIDATED"/>
    <n v="1"/>
    <s v="01.11.80.308.2013.0000"/>
    <n v="-290.9"/>
    <s v="11"/>
    <s v="2013"/>
    <n v="22185.3"/>
    <n v="-290.9"/>
    <s v="CREDITOR"/>
    <n v="0"/>
    <n v="0"/>
    <n v="-290.9"/>
    <n v="0"/>
    <n v="0"/>
  </r>
  <r>
    <n v="10058695"/>
    <s v="N"/>
    <n v="21356769"/>
    <s v="3000005948260006RC"/>
    <s v="CIVIL"/>
    <d v="2023-06-21T00:00:00"/>
    <d v="2023-07-10T19:47:44"/>
    <m/>
    <d v="2023-07-10T00:00:00"/>
    <n v="1600"/>
    <n v="15907"/>
    <s v="10058695"/>
    <s v="10058695"/>
    <m/>
    <m/>
    <m/>
    <m/>
    <m/>
    <m/>
    <s v="SOLRECOUP"/>
    <s v="SOLRECOUP"/>
    <s v="POARECOUP"/>
    <n v="21356769"/>
    <n v="-290.9"/>
    <m/>
    <s v="Y"/>
    <n v="2"/>
    <d v="2023-07-10T19:47:46"/>
    <s v="N"/>
    <m/>
    <m/>
    <s v="Expert Disbursement"/>
    <m/>
    <s v="N"/>
    <n v="0"/>
    <n v="0"/>
    <x v="2"/>
    <s v="VALIDATED"/>
    <n v="1"/>
    <s v="01.11.80.000.0000.0000"/>
    <n v="0"/>
    <s v="11"/>
    <s v="0000"/>
    <n v="22185.3"/>
    <n v="0"/>
    <s v="CREDITOR"/>
    <n v="0"/>
    <n v="0"/>
    <n v="0"/>
    <n v="0"/>
    <n v="0"/>
  </r>
  <r>
    <n v="10058695"/>
    <s v="N"/>
    <n v="21356770"/>
    <s v="3000005948260007RC"/>
    <s v="CIVIL"/>
    <d v="2023-06-21T00:00:00"/>
    <d v="2023-07-10T19:47:44"/>
    <m/>
    <d v="2023-07-10T00:00:00"/>
    <n v="1600"/>
    <n v="15907"/>
    <s v="10058695"/>
    <s v="10058695"/>
    <m/>
    <m/>
    <m/>
    <m/>
    <m/>
    <m/>
    <s v="SOLRECOUP"/>
    <s v="SOLRECOUP"/>
    <s v="POARECOUP"/>
    <n v="21356770"/>
    <n v="-441.89"/>
    <m/>
    <s v="Y"/>
    <n v="1"/>
    <d v="2023-07-10T19:47:46"/>
    <s v="N"/>
    <m/>
    <m/>
    <s v="Expert Disbursement"/>
    <m/>
    <s v="N"/>
    <n v="-368.24"/>
    <n v="0"/>
    <x v="2"/>
    <s v="VALIDATED"/>
    <n v="1"/>
    <s v="01.11.80.308.2013.0000"/>
    <n v="-368.24"/>
    <s v="11"/>
    <s v="2013"/>
    <n v="22185.3"/>
    <n v="-368.24"/>
    <s v="CREDITOR"/>
    <n v="0"/>
    <n v="0"/>
    <n v="-368.24"/>
    <n v="0"/>
    <n v="0"/>
  </r>
  <r>
    <n v="10058695"/>
    <s v="N"/>
    <n v="21356770"/>
    <s v="3000005948260007RC"/>
    <s v="CIVIL"/>
    <d v="2023-06-21T00:00:00"/>
    <d v="2023-07-10T19:47:44"/>
    <m/>
    <d v="2023-07-10T00:00:00"/>
    <n v="1600"/>
    <n v="15907"/>
    <s v="10058695"/>
    <s v="10058695"/>
    <m/>
    <m/>
    <m/>
    <m/>
    <m/>
    <m/>
    <s v="SOLRECOUP"/>
    <s v="SOLRECOUP"/>
    <s v="POARECOUP"/>
    <n v="21356770"/>
    <n v="-441.89"/>
    <m/>
    <s v="Y"/>
    <n v="2"/>
    <d v="2023-07-10T19:47:46"/>
    <s v="N"/>
    <m/>
    <m/>
    <s v="Expert Disbursement"/>
    <m/>
    <s v="N"/>
    <n v="0"/>
    <n v="-73.65000000000001"/>
    <x v="2"/>
    <s v="VALIDATED"/>
    <n v="1"/>
    <s v="01.11.80.308.2013.0000"/>
    <n v="-73.65000000000001"/>
    <s v="11"/>
    <s v="2013"/>
    <n v="22185.3"/>
    <n v="-73.65000000000001"/>
    <s v="CREDITOR"/>
    <n v="0"/>
    <n v="0"/>
    <n v="-73.65000000000001"/>
    <n v="0"/>
    <n v="0"/>
  </r>
  <r>
    <n v="10058695"/>
    <s v="N"/>
    <n v="21356771"/>
    <s v="3000005948260011RC"/>
    <s v="CIVIL"/>
    <d v="2023-06-21T00:00:00"/>
    <d v="2023-07-10T19:47:44"/>
    <m/>
    <d v="2023-07-10T00:00:00"/>
    <n v="1600"/>
    <n v="15907"/>
    <s v="10058695"/>
    <s v="10058695"/>
    <m/>
    <m/>
    <m/>
    <m/>
    <m/>
    <m/>
    <s v="SOLRECOUP"/>
    <s v="SOLRECOUP"/>
    <s v="POARECOUP"/>
    <n v="21356771"/>
    <n v="-290.9"/>
    <m/>
    <s v="Y"/>
    <n v="1"/>
    <d v="2023-07-10T19:47:46"/>
    <s v="N"/>
    <m/>
    <m/>
    <s v="Expert Disbursement"/>
    <m/>
    <s v="N"/>
    <n v="-290.9"/>
    <n v="0"/>
    <x v="2"/>
    <s v="VALIDATED"/>
    <n v="1"/>
    <s v="01.11.80.308.2013.0000"/>
    <n v="-290.9"/>
    <s v="11"/>
    <s v="2013"/>
    <n v="22185.3"/>
    <n v="-290.9"/>
    <s v="CREDITOR"/>
    <n v="0"/>
    <n v="0"/>
    <n v="-290.9"/>
    <n v="0"/>
    <n v="0"/>
  </r>
  <r>
    <n v="10058695"/>
    <s v="N"/>
    <n v="21356771"/>
    <s v="3000005948260011RC"/>
    <s v="CIVIL"/>
    <d v="2023-06-21T00:00:00"/>
    <d v="2023-07-10T19:47:44"/>
    <m/>
    <d v="2023-07-10T00:00:00"/>
    <n v="1600"/>
    <n v="15907"/>
    <s v="10058695"/>
    <s v="10058695"/>
    <m/>
    <m/>
    <m/>
    <m/>
    <m/>
    <m/>
    <s v="SOLRECOUP"/>
    <s v="SOLRECOUP"/>
    <s v="POARECOUP"/>
    <n v="21356771"/>
    <n v="-290.9"/>
    <m/>
    <s v="Y"/>
    <n v="2"/>
    <d v="2023-07-10T19:47:46"/>
    <s v="N"/>
    <m/>
    <m/>
    <s v="Expert Disbursement"/>
    <m/>
    <s v="N"/>
    <n v="0"/>
    <n v="0"/>
    <x v="2"/>
    <s v="VALIDATED"/>
    <n v="1"/>
    <s v="01.11.80.000.0000.0000"/>
    <n v="0"/>
    <s v="11"/>
    <s v="0000"/>
    <n v="22185.3"/>
    <n v="0"/>
    <s v="CREDITOR"/>
    <n v="0"/>
    <n v="0"/>
    <n v="0"/>
    <n v="0"/>
    <n v="0"/>
  </r>
  <r>
    <n v="10058695"/>
    <s v="N"/>
    <n v="21356772"/>
    <s v="3000005948260012RC"/>
    <s v="CIVIL"/>
    <d v="2023-06-21T00:00:00"/>
    <d v="2023-07-10T19:47:44"/>
    <m/>
    <d v="2023-07-10T00:00:00"/>
    <n v="1600"/>
    <n v="15907"/>
    <s v="10058695"/>
    <s v="10058695"/>
    <m/>
    <m/>
    <m/>
    <m/>
    <m/>
    <m/>
    <s v="SOLRECOUP"/>
    <s v="SOLRECOUP"/>
    <s v="POARECOUP"/>
    <n v="21356772"/>
    <n v="-234.9"/>
    <m/>
    <s v="Y"/>
    <n v="1"/>
    <d v="2023-07-10T19:47:46"/>
    <s v="N"/>
    <m/>
    <m/>
    <s v="Expert Disbursement"/>
    <m/>
    <s v="N"/>
    <n v="-234.9"/>
    <n v="0"/>
    <x v="2"/>
    <s v="VALIDATED"/>
    <n v="1"/>
    <s v="01.11.80.308.2013.0000"/>
    <n v="-234.9"/>
    <s v="11"/>
    <s v="2013"/>
    <n v="22185.3"/>
    <n v="-234.9"/>
    <s v="CREDITOR"/>
    <n v="0"/>
    <n v="0"/>
    <n v="-234.9"/>
    <n v="0"/>
    <n v="0"/>
  </r>
  <r>
    <n v="10058695"/>
    <s v="N"/>
    <n v="21356772"/>
    <s v="3000005948260012RC"/>
    <s v="CIVIL"/>
    <d v="2023-06-21T00:00:00"/>
    <d v="2023-07-10T19:47:44"/>
    <m/>
    <d v="2023-07-10T00:00:00"/>
    <n v="1600"/>
    <n v="15907"/>
    <s v="10058695"/>
    <s v="10058695"/>
    <m/>
    <m/>
    <m/>
    <m/>
    <m/>
    <m/>
    <s v="SOLRECOUP"/>
    <s v="SOLRECOUP"/>
    <s v="POARECOUP"/>
    <n v="21356772"/>
    <n v="-234.9"/>
    <m/>
    <s v="Y"/>
    <n v="2"/>
    <d v="2023-07-10T19:47:46"/>
    <s v="N"/>
    <m/>
    <m/>
    <s v="Expert Disbursement"/>
    <m/>
    <s v="N"/>
    <n v="0"/>
    <n v="0"/>
    <x v="2"/>
    <s v="VALIDATED"/>
    <n v="1"/>
    <s v="01.11.80.000.0000.0000"/>
    <n v="0"/>
    <s v="11"/>
    <s v="0000"/>
    <n v="22185.3"/>
    <n v="0"/>
    <s v="CREDITOR"/>
    <n v="0"/>
    <n v="0"/>
    <n v="0"/>
    <n v="0"/>
    <n v="0"/>
  </r>
  <r>
    <n v="10058695"/>
    <s v="N"/>
    <n v="21356773"/>
    <s v="3000005948260013RC"/>
    <s v="CIVIL"/>
    <d v="2023-06-21T00:00:00"/>
    <d v="2023-07-10T19:47:44"/>
    <m/>
    <d v="2023-07-10T00:00:00"/>
    <n v="1600"/>
    <n v="15907"/>
    <s v="10058695"/>
    <s v="10058695"/>
    <m/>
    <m/>
    <m/>
    <m/>
    <m/>
    <m/>
    <s v="SOLRECOUP"/>
    <s v="SOLRECOUP"/>
    <s v="POARECOUP"/>
    <n v="21356773"/>
    <n v="-304.9"/>
    <m/>
    <s v="Y"/>
    <n v="1"/>
    <d v="2023-07-10T19:47:46"/>
    <s v="N"/>
    <m/>
    <m/>
    <s v="Expert Disbursement"/>
    <m/>
    <s v="N"/>
    <n v="-304.9"/>
    <n v="0"/>
    <x v="2"/>
    <s v="VALIDATED"/>
    <n v="1"/>
    <s v="01.11.80.308.2013.0000"/>
    <n v="-304.9"/>
    <s v="11"/>
    <s v="2013"/>
    <n v="22185.3"/>
    <n v="-304.9"/>
    <s v="CREDITOR"/>
    <n v="0"/>
    <n v="0"/>
    <n v="-304.9"/>
    <n v="0"/>
    <n v="0"/>
  </r>
  <r>
    <n v="10058695"/>
    <s v="N"/>
    <n v="21356773"/>
    <s v="3000005948260013RC"/>
    <s v="CIVIL"/>
    <d v="2023-06-21T00:00:00"/>
    <d v="2023-07-10T19:47:44"/>
    <m/>
    <d v="2023-07-10T00:00:00"/>
    <n v="1600"/>
    <n v="15907"/>
    <s v="10058695"/>
    <s v="10058695"/>
    <m/>
    <m/>
    <m/>
    <m/>
    <m/>
    <m/>
    <s v="SOLRECOUP"/>
    <s v="SOLRECOUP"/>
    <s v="POARECOUP"/>
    <n v="21356773"/>
    <n v="-304.9"/>
    <m/>
    <s v="Y"/>
    <n v="2"/>
    <d v="2023-07-10T19:47:46"/>
    <s v="N"/>
    <m/>
    <m/>
    <s v="Expert Disbursement"/>
    <m/>
    <s v="N"/>
    <n v="0"/>
    <n v="0"/>
    <x v="2"/>
    <s v="VALIDATED"/>
    <n v="1"/>
    <s v="01.11.80.000.0000.0000"/>
    <n v="0"/>
    <s v="11"/>
    <s v="0000"/>
    <n v="22185.3"/>
    <n v="0"/>
    <s v="CREDITOR"/>
    <n v="0"/>
    <n v="0"/>
    <n v="0"/>
    <n v="0"/>
    <n v="0"/>
  </r>
  <r>
    <n v="10058695"/>
    <s v="N"/>
    <n v="21356774"/>
    <s v="3000005948260014RC"/>
    <s v="CIVIL"/>
    <d v="2023-06-21T00:00:00"/>
    <d v="2023-07-10T19:47:44"/>
    <m/>
    <d v="2023-07-10T00:00:00"/>
    <n v="1600"/>
    <n v="15907"/>
    <s v="10058695"/>
    <s v="10058695"/>
    <m/>
    <m/>
    <m/>
    <m/>
    <m/>
    <m/>
    <s v="SOLRECOUP"/>
    <s v="SOLRECOUP"/>
    <s v="POARECOUP"/>
    <n v="21356774"/>
    <n v="-2944.02"/>
    <m/>
    <s v="Y"/>
    <n v="1"/>
    <d v="2023-07-10T19:47:46"/>
    <s v="N"/>
    <m/>
    <m/>
    <s v="Expert Disbursement"/>
    <m/>
    <s v="N"/>
    <n v="-2944.02"/>
    <n v="0"/>
    <x v="2"/>
    <s v="VALIDATED"/>
    <n v="1"/>
    <s v="01.11.80.308.2013.0000"/>
    <n v="-2944.02"/>
    <s v="11"/>
    <s v="2013"/>
    <n v="22185.3"/>
    <n v="-2944.02"/>
    <s v="CREDITOR"/>
    <n v="0"/>
    <n v="0"/>
    <n v="-2944.02"/>
    <n v="0"/>
    <n v="0"/>
  </r>
  <r>
    <n v="61412273"/>
    <s v="N"/>
    <n v="21346484"/>
    <s v="3000015552920005RC"/>
    <s v="CIVIL"/>
    <d v="2023-06-28T00:00:00"/>
    <d v="2023-07-07T19:34:21"/>
    <m/>
    <d v="2023-07-07T00:00:00"/>
    <n v="1600"/>
    <n v="15907"/>
    <s v="61412273"/>
    <s v="61412273"/>
    <m/>
    <m/>
    <m/>
    <m/>
    <m/>
    <m/>
    <s v="SOLRECOUP"/>
    <s v="SOLRECOUP"/>
    <s v="POARECOUP"/>
    <n v="21346484"/>
    <n v="-628.86"/>
    <m/>
    <s v="Y"/>
    <n v="2"/>
    <d v="2023-07-07T19:34:23"/>
    <s v="N"/>
    <m/>
    <m/>
    <s v="Profit Cost"/>
    <m/>
    <s v="N"/>
    <n v="0"/>
    <n v="-104.81"/>
    <x v="9"/>
    <s v="VALIDATED"/>
    <n v="1"/>
    <s v="01.11.80.308.2013.0000"/>
    <n v="-104.81"/>
    <s v="11"/>
    <s v="2013"/>
    <n v="22185.3"/>
    <n v="-104.81"/>
    <s v="CREDITOR"/>
    <n v="0"/>
    <n v="0"/>
    <n v="-104.81"/>
    <n v="-26.2025"/>
    <n v="0"/>
  </r>
  <r>
    <n v="61412273"/>
    <s v="N"/>
    <n v="21346484"/>
    <s v="3000015552920005RC"/>
    <s v="CIVIL"/>
    <d v="2023-06-28T00:00:00"/>
    <d v="2023-07-07T19:34:21"/>
    <m/>
    <d v="2023-07-07T00:00:00"/>
    <n v="1600"/>
    <n v="15907"/>
    <s v="61412273"/>
    <s v="61412273"/>
    <m/>
    <m/>
    <m/>
    <m/>
    <m/>
    <m/>
    <s v="SOLRECOUP"/>
    <s v="SOLRECOUP"/>
    <s v="POARECOUP"/>
    <n v="21346484"/>
    <n v="-628.86"/>
    <m/>
    <s v="Y"/>
    <n v="1"/>
    <d v="2023-07-07T19:34:23"/>
    <s v="N"/>
    <m/>
    <m/>
    <s v="Profit Cost"/>
    <m/>
    <s v="N"/>
    <n v="-524.05"/>
    <n v="0"/>
    <x v="9"/>
    <s v="VALIDATED"/>
    <n v="1"/>
    <s v="01.11.80.308.2013.0000"/>
    <n v="-524.05"/>
    <s v="11"/>
    <s v="2013"/>
    <n v="22185.3"/>
    <n v="-524.05"/>
    <s v="CREDITOR"/>
    <n v="0"/>
    <n v="0"/>
    <n v="-524.05"/>
    <n v="-131.0125"/>
    <n v="0"/>
  </r>
  <r>
    <n v="61412273"/>
    <s v="N"/>
    <n v="21346485"/>
    <s v="3000015552920003RC"/>
    <s v="CIVIL"/>
    <d v="2023-06-28T00:00:00"/>
    <d v="2023-07-07T19:34:21"/>
    <m/>
    <d v="2023-07-07T00:00:00"/>
    <n v="1600"/>
    <n v="15907"/>
    <s v="61412273"/>
    <s v="61412273"/>
    <m/>
    <m/>
    <m/>
    <m/>
    <m/>
    <m/>
    <s v="SOLRECOUP"/>
    <s v="SOLRECOUP"/>
    <s v="POARECOUP"/>
    <n v="21346485"/>
    <n v="-1341.05"/>
    <m/>
    <s v="Y"/>
    <n v="2"/>
    <d v="2023-07-07T19:34:23"/>
    <s v="N"/>
    <m/>
    <m/>
    <s v="Profit Cost"/>
    <m/>
    <s v="N"/>
    <n v="0"/>
    <n v="-223.51"/>
    <x v="9"/>
    <s v="VALIDATED"/>
    <n v="1"/>
    <s v="01.11.80.308.2013.0000"/>
    <n v="-223.51"/>
    <s v="11"/>
    <s v="2013"/>
    <n v="22185.3"/>
    <n v="-223.51"/>
    <s v="CREDITOR"/>
    <n v="0"/>
    <n v="0"/>
    <n v="-223.51"/>
    <n v="-55.8775"/>
    <n v="0"/>
  </r>
  <r>
    <n v="61412273"/>
    <s v="N"/>
    <n v="21346485"/>
    <s v="3000015552920003RC"/>
    <s v="CIVIL"/>
    <d v="2023-06-28T00:00:00"/>
    <d v="2023-07-07T19:34:21"/>
    <m/>
    <d v="2023-07-07T00:00:00"/>
    <n v="1600"/>
    <n v="15907"/>
    <s v="61412273"/>
    <s v="61412273"/>
    <m/>
    <m/>
    <m/>
    <m/>
    <m/>
    <m/>
    <s v="SOLRECOUP"/>
    <s v="SOLRECOUP"/>
    <s v="POARECOUP"/>
    <n v="21346485"/>
    <n v="-1341.05"/>
    <m/>
    <s v="Y"/>
    <n v="1"/>
    <d v="2023-07-07T19:34:23"/>
    <s v="N"/>
    <m/>
    <m/>
    <s v="Profit Cost"/>
    <m/>
    <s v="N"/>
    <n v="-1117.54"/>
    <n v="0"/>
    <x v="9"/>
    <s v="VALIDATED"/>
    <n v="1"/>
    <s v="01.11.80.308.2013.0000"/>
    <n v="-1117.54"/>
    <s v="11"/>
    <s v="2013"/>
    <n v="22185.3"/>
    <n v="-1117.54"/>
    <s v="CREDITOR"/>
    <n v="0"/>
    <n v="0"/>
    <n v="-1117.54"/>
    <n v="-279.385"/>
    <n v="0"/>
  </r>
  <r>
    <n v="10058695"/>
    <s v="N"/>
    <n v="21356778"/>
    <s v="3000005948260026RC"/>
    <s v="CIVIL"/>
    <d v="2023-06-21T00:00:00"/>
    <d v="2023-07-10T19:47:44"/>
    <m/>
    <d v="2023-07-10T00:00:00"/>
    <n v="1600"/>
    <n v="15907"/>
    <s v="10058695"/>
    <s v="10058695"/>
    <m/>
    <m/>
    <m/>
    <m/>
    <m/>
    <m/>
    <s v="SOLRECOUP"/>
    <s v="SOLRECOUP"/>
    <s v="POARECOUP"/>
    <n v="21356778"/>
    <n v="-295.97"/>
    <m/>
    <s v="Y"/>
    <n v="1"/>
    <d v="2023-07-10T19:47:46"/>
    <s v="N"/>
    <m/>
    <m/>
    <s v="Expert Disbursement"/>
    <m/>
    <s v="N"/>
    <n v="-246.64"/>
    <n v="0"/>
    <x v="2"/>
    <s v="VALIDATED"/>
    <n v="1"/>
    <s v="01.11.80.308.2013.0000"/>
    <n v="-246.64"/>
    <s v="11"/>
    <s v="2013"/>
    <n v="22185.3"/>
    <n v="-246.64"/>
    <s v="CREDITOR"/>
    <n v="0"/>
    <n v="0"/>
    <n v="-246.64"/>
    <n v="0"/>
    <n v="0"/>
  </r>
  <r>
    <n v="10058695"/>
    <s v="N"/>
    <n v="21356778"/>
    <s v="3000005948260026RC"/>
    <s v="CIVIL"/>
    <d v="2023-06-21T00:00:00"/>
    <d v="2023-07-10T19:47:44"/>
    <m/>
    <d v="2023-07-10T00:00:00"/>
    <n v="1600"/>
    <n v="15907"/>
    <s v="10058695"/>
    <s v="10058695"/>
    <m/>
    <m/>
    <m/>
    <m/>
    <m/>
    <m/>
    <s v="SOLRECOUP"/>
    <s v="SOLRECOUP"/>
    <s v="POARECOUP"/>
    <n v="21356778"/>
    <n v="-295.97"/>
    <m/>
    <s v="Y"/>
    <n v="2"/>
    <d v="2023-07-10T19:47:46"/>
    <s v="N"/>
    <m/>
    <m/>
    <s v="Expert Disbursement"/>
    <m/>
    <s v="N"/>
    <n v="0"/>
    <n v="-49.33"/>
    <x v="2"/>
    <s v="VALIDATED"/>
    <n v="1"/>
    <s v="01.11.80.308.2013.0000"/>
    <n v="-49.33"/>
    <s v="11"/>
    <s v="2013"/>
    <n v="22185.3"/>
    <n v="-49.33"/>
    <s v="CREDITOR"/>
    <n v="0"/>
    <n v="0"/>
    <n v="-49.33"/>
    <n v="0"/>
    <n v="0"/>
  </r>
  <r>
    <n v="10058695"/>
    <s v="N"/>
    <n v="21356779"/>
    <s v="3000005948260020RC"/>
    <s v="CIVIL"/>
    <d v="2023-06-21T00:00:00"/>
    <d v="2023-07-10T19:47:44"/>
    <m/>
    <d v="2023-07-10T00:00:00"/>
    <n v="1600"/>
    <n v="15907"/>
    <s v="10058695"/>
    <s v="10058695"/>
    <m/>
    <m/>
    <m/>
    <m/>
    <m/>
    <m/>
    <s v="SOLRECOUP"/>
    <s v="SOLRECOUP"/>
    <s v="POARECOUP"/>
    <n v="21356779"/>
    <n v="-351.62"/>
    <m/>
    <s v="Y"/>
    <n v="1"/>
    <d v="2023-07-10T19:47:46"/>
    <s v="N"/>
    <m/>
    <m/>
    <s v="Expert Disbursement"/>
    <m/>
    <s v="N"/>
    <n v="-293.02"/>
    <n v="0"/>
    <x v="2"/>
    <s v="VALIDATED"/>
    <n v="1"/>
    <s v="01.11.80.308.2013.0000"/>
    <n v="-293.02"/>
    <s v="11"/>
    <s v="2013"/>
    <n v="22185.3"/>
    <n v="-293.02"/>
    <s v="CREDITOR"/>
    <n v="0"/>
    <n v="0"/>
    <n v="-293.02"/>
    <n v="0"/>
    <n v="0"/>
  </r>
  <r>
    <n v="10058695"/>
    <s v="N"/>
    <n v="21356779"/>
    <s v="3000005948260020RC"/>
    <s v="CIVIL"/>
    <d v="2023-06-21T00:00:00"/>
    <d v="2023-07-10T19:47:44"/>
    <m/>
    <d v="2023-07-10T00:00:00"/>
    <n v="1600"/>
    <n v="15907"/>
    <s v="10058695"/>
    <s v="10058695"/>
    <m/>
    <m/>
    <m/>
    <m/>
    <m/>
    <m/>
    <s v="SOLRECOUP"/>
    <s v="SOLRECOUP"/>
    <s v="POARECOUP"/>
    <n v="21356779"/>
    <n v="-351.62"/>
    <m/>
    <s v="Y"/>
    <n v="2"/>
    <d v="2023-07-10T19:47:46"/>
    <s v="N"/>
    <m/>
    <m/>
    <s v="Expert Disbursement"/>
    <m/>
    <s v="N"/>
    <n v="0"/>
    <n v="-58.6"/>
    <x v="2"/>
    <s v="VALIDATED"/>
    <n v="1"/>
    <s v="01.11.80.308.2013.0000"/>
    <n v="-58.6"/>
    <s v="11"/>
    <s v="2013"/>
    <n v="22185.3"/>
    <n v="-58.6"/>
    <s v="CREDITOR"/>
    <n v="0"/>
    <n v="0"/>
    <n v="-58.6"/>
    <n v="0"/>
    <n v="0"/>
  </r>
  <r>
    <n v="10058695"/>
    <s v="N"/>
    <n v="21356780"/>
    <s v="3000005948260022RC"/>
    <s v="CIVIL"/>
    <d v="2023-06-21T00:00:00"/>
    <d v="2023-07-10T19:47:44"/>
    <m/>
    <d v="2023-07-10T00:00:00"/>
    <n v="1600"/>
    <n v="15907"/>
    <s v="10058695"/>
    <s v="10058695"/>
    <m/>
    <m/>
    <m/>
    <m/>
    <m/>
    <m/>
    <s v="SOLRECOUP"/>
    <s v="SOLRECOUP"/>
    <s v="POARECOUP"/>
    <n v="21356780"/>
    <n v="-84"/>
    <m/>
    <s v="Y"/>
    <n v="1"/>
    <d v="2023-07-10T19:47:46"/>
    <s v="N"/>
    <m/>
    <m/>
    <s v="Expert Disbursement"/>
    <m/>
    <s v="N"/>
    <n v="-84"/>
    <n v="0"/>
    <x v="2"/>
    <s v="VALIDATED"/>
    <n v="1"/>
    <s v="01.11.80.308.2013.0000"/>
    <n v="-84"/>
    <s v="11"/>
    <s v="2013"/>
    <n v="22185.3"/>
    <n v="-84"/>
    <s v="CREDITOR"/>
    <n v="0"/>
    <n v="0"/>
    <n v="-84"/>
    <n v="0"/>
    <n v="0"/>
  </r>
  <r>
    <n v="10058695"/>
    <s v="N"/>
    <n v="21356780"/>
    <s v="3000005948260022RC"/>
    <s v="CIVIL"/>
    <d v="2023-06-21T00:00:00"/>
    <d v="2023-07-10T19:47:44"/>
    <m/>
    <d v="2023-07-10T00:00:00"/>
    <n v="1600"/>
    <n v="15907"/>
    <s v="10058695"/>
    <s v="10058695"/>
    <m/>
    <m/>
    <m/>
    <m/>
    <m/>
    <m/>
    <s v="SOLRECOUP"/>
    <s v="SOLRECOUP"/>
    <s v="POARECOUP"/>
    <n v="21356780"/>
    <n v="-84"/>
    <m/>
    <s v="Y"/>
    <n v="2"/>
    <d v="2023-07-10T19:47:46"/>
    <s v="N"/>
    <m/>
    <m/>
    <s v="Expert Disbursement"/>
    <m/>
    <s v="N"/>
    <n v="0"/>
    <n v="0"/>
    <x v="2"/>
    <s v="VALIDATED"/>
    <n v="1"/>
    <s v="01.11.80.000.0000.0000"/>
    <n v="0"/>
    <s v="11"/>
    <s v="0000"/>
    <n v="22185.3"/>
    <n v="0"/>
    <s v="CREDITOR"/>
    <n v="0"/>
    <n v="0"/>
    <n v="0"/>
    <n v="0"/>
    <n v="0"/>
  </r>
  <r>
    <n v="10058695"/>
    <s v="N"/>
    <n v="21356781"/>
    <s v="3000005948260025RC"/>
    <s v="CIVIL"/>
    <d v="2023-06-21T00:00:00"/>
    <d v="2023-07-10T19:47:44"/>
    <m/>
    <d v="2023-07-10T00:00:00"/>
    <n v="1600"/>
    <n v="15907"/>
    <s v="10058695"/>
    <s v="10058695"/>
    <m/>
    <m/>
    <m/>
    <m/>
    <m/>
    <m/>
    <s v="SOLRECOUP"/>
    <s v="SOLRECOUP"/>
    <s v="POARECOUP"/>
    <n v="21356781"/>
    <n v="-155"/>
    <m/>
    <s v="Y"/>
    <n v="1"/>
    <d v="2023-07-10T19:47:46"/>
    <s v="N"/>
    <m/>
    <m/>
    <s v="Non Expert Disbursement"/>
    <m/>
    <s v="N"/>
    <n v="-155"/>
    <n v="0"/>
    <x v="2"/>
    <s v="VALIDATED"/>
    <n v="1"/>
    <s v="01.11.80.308.2013.0000"/>
    <n v="-155"/>
    <s v="11"/>
    <s v="2013"/>
    <n v="22185.3"/>
    <n v="-155"/>
    <s v="CREDITOR"/>
    <n v="0"/>
    <n v="0"/>
    <n v="-155"/>
    <n v="0"/>
    <n v="0"/>
  </r>
  <r>
    <n v="10058695"/>
    <s v="N"/>
    <n v="21356781"/>
    <s v="3000005948260025RC"/>
    <s v="CIVIL"/>
    <d v="2023-06-21T00:00:00"/>
    <d v="2023-07-10T19:47:44"/>
    <m/>
    <d v="2023-07-10T00:00:00"/>
    <n v="1600"/>
    <n v="15907"/>
    <s v="10058695"/>
    <s v="10058695"/>
    <m/>
    <m/>
    <m/>
    <m/>
    <m/>
    <m/>
    <s v="SOLRECOUP"/>
    <s v="SOLRECOUP"/>
    <s v="POARECOUP"/>
    <n v="21356781"/>
    <n v="-155"/>
    <m/>
    <s v="Y"/>
    <n v="2"/>
    <d v="2023-07-10T19:47:46"/>
    <s v="N"/>
    <m/>
    <m/>
    <s v="Non Expert Disbursement"/>
    <m/>
    <s v="N"/>
    <n v="0"/>
    <n v="0"/>
    <x v="2"/>
    <s v="VALIDATED"/>
    <n v="1"/>
    <s v="01.11.80.000.0000.0000"/>
    <n v="0"/>
    <s v="11"/>
    <s v="0000"/>
    <n v="22185.3"/>
    <n v="0"/>
    <s v="CREDITOR"/>
    <n v="0"/>
    <n v="0"/>
    <n v="0"/>
    <n v="0"/>
    <n v="0"/>
  </r>
  <r>
    <n v="10058695"/>
    <s v="N"/>
    <n v="21356782"/>
    <s v="3000005948260027RC"/>
    <s v="CIVIL"/>
    <d v="2023-06-21T00:00:00"/>
    <d v="2023-07-10T19:47:44"/>
    <m/>
    <d v="2023-07-10T00:00:00"/>
    <n v="1600"/>
    <n v="15907"/>
    <s v="10058695"/>
    <s v="10058695"/>
    <m/>
    <m/>
    <m/>
    <m/>
    <m/>
    <m/>
    <s v="SOLRECOUP"/>
    <s v="SOLRECOUP"/>
    <s v="POARECOUP"/>
    <n v="21356782"/>
    <n v="-4575.9"/>
    <m/>
    <s v="Y"/>
    <n v="1"/>
    <d v="2023-07-10T19:47:46"/>
    <s v="N"/>
    <m/>
    <m/>
    <s v="Profit Cost"/>
    <m/>
    <s v="N"/>
    <n v="-3813.25"/>
    <n v="0"/>
    <x v="2"/>
    <s v="VALIDATED"/>
    <n v="1"/>
    <s v="01.11.80.308.2013.0000"/>
    <n v="-3813.25"/>
    <s v="11"/>
    <s v="2013"/>
    <n v="22185.3"/>
    <n v="-3813.25"/>
    <s v="CREDITOR"/>
    <n v="0"/>
    <n v="0"/>
    <n v="-3813.25"/>
    <n v="-953.3125"/>
    <n v="0"/>
  </r>
  <r>
    <n v="10058695"/>
    <s v="N"/>
    <n v="21356782"/>
    <s v="3000005948260027RC"/>
    <s v="CIVIL"/>
    <d v="2023-06-21T00:00:00"/>
    <d v="2023-07-10T19:47:44"/>
    <m/>
    <d v="2023-07-10T00:00:00"/>
    <n v="1600"/>
    <n v="15907"/>
    <s v="10058695"/>
    <s v="10058695"/>
    <m/>
    <m/>
    <m/>
    <m/>
    <m/>
    <m/>
    <s v="SOLRECOUP"/>
    <s v="SOLRECOUP"/>
    <s v="POARECOUP"/>
    <n v="21356782"/>
    <n v="-4575.9"/>
    <m/>
    <s v="Y"/>
    <n v="2"/>
    <d v="2023-07-10T19:47:46"/>
    <s v="N"/>
    <m/>
    <m/>
    <s v="Profit Cost"/>
    <m/>
    <s v="N"/>
    <n v="0"/>
    <n v="-762.65"/>
    <x v="2"/>
    <s v="VALIDATED"/>
    <n v="1"/>
    <s v="01.11.80.308.2013.0000"/>
    <n v="-762.65"/>
    <s v="11"/>
    <s v="2013"/>
    <n v="22185.3"/>
    <n v="-762.65"/>
    <s v="CREDITOR"/>
    <n v="0"/>
    <n v="0"/>
    <n v="-762.65"/>
    <n v="-190.6625"/>
    <n v="0"/>
  </r>
  <r>
    <n v="10058695"/>
    <s v="N"/>
    <n v="21356783"/>
    <s v="3000005948260030RC"/>
    <s v="CIVIL"/>
    <d v="2023-06-21T00:00:00"/>
    <d v="2023-07-10T19:47:44"/>
    <m/>
    <d v="2023-07-10T00:00:00"/>
    <n v="1600"/>
    <n v="15907"/>
    <s v="10058695"/>
    <s v="10058695"/>
    <m/>
    <m/>
    <m/>
    <m/>
    <m/>
    <m/>
    <s v="SOLRECOUP"/>
    <s v="SOLRECOUP"/>
    <s v="POARECOUP"/>
    <n v="21356783"/>
    <n v="-84"/>
    <m/>
    <s v="Y"/>
    <n v="1"/>
    <d v="2023-07-10T19:47:46"/>
    <s v="N"/>
    <m/>
    <m/>
    <s v="Expert Disbursement"/>
    <m/>
    <s v="N"/>
    <n v="-84"/>
    <n v="0"/>
    <x v="2"/>
    <s v="VALIDATED"/>
    <n v="1"/>
    <s v="01.11.80.308.2013.0000"/>
    <n v="-84"/>
    <s v="11"/>
    <s v="2013"/>
    <n v="22185.3"/>
    <n v="-84"/>
    <s v="CREDITOR"/>
    <n v="0"/>
    <n v="0"/>
    <n v="-84"/>
    <n v="0"/>
    <n v="0"/>
  </r>
  <r>
    <n v="10058695"/>
    <s v="N"/>
    <n v="21356783"/>
    <s v="3000005948260030RC"/>
    <s v="CIVIL"/>
    <d v="2023-06-21T00:00:00"/>
    <d v="2023-07-10T19:47:44"/>
    <m/>
    <d v="2023-07-10T00:00:00"/>
    <n v="1600"/>
    <n v="15907"/>
    <s v="10058695"/>
    <s v="10058695"/>
    <m/>
    <m/>
    <m/>
    <m/>
    <m/>
    <m/>
    <s v="SOLRECOUP"/>
    <s v="SOLRECOUP"/>
    <s v="POARECOUP"/>
    <n v="21356783"/>
    <n v="-84"/>
    <m/>
    <s v="Y"/>
    <n v="2"/>
    <d v="2023-07-10T19:47:46"/>
    <s v="N"/>
    <m/>
    <m/>
    <s v="Expert Disbursement"/>
    <m/>
    <s v="N"/>
    <n v="0"/>
    <n v="0"/>
    <x v="2"/>
    <s v="VALIDATED"/>
    <n v="1"/>
    <s v="01.11.80.000.0000.0000"/>
    <n v="0"/>
    <s v="11"/>
    <s v="0000"/>
    <n v="22185.3"/>
    <n v="0"/>
    <s v="CREDITOR"/>
    <n v="0"/>
    <n v="0"/>
    <n v="0"/>
    <n v="0"/>
    <n v="0"/>
  </r>
  <r>
    <n v="10058695"/>
    <s v="N"/>
    <n v="21356784"/>
    <s v="3000005948260039RC"/>
    <s v="CIVIL"/>
    <d v="2023-06-21T00:00:00"/>
    <d v="2023-07-10T19:47:44"/>
    <m/>
    <d v="2023-07-10T00:00:00"/>
    <n v="1600"/>
    <n v="15907"/>
    <s v="10058695"/>
    <s v="10058695"/>
    <m/>
    <m/>
    <m/>
    <m/>
    <m/>
    <m/>
    <s v="SOLRECOUP"/>
    <s v="SOLRECOUP"/>
    <s v="POARECOUP"/>
    <n v="21356784"/>
    <n v="-512.9"/>
    <m/>
    <s v="Y"/>
    <n v="1"/>
    <d v="2023-07-10T19:47:46"/>
    <s v="N"/>
    <m/>
    <m/>
    <s v="Expert Disbursement"/>
    <m/>
    <s v="N"/>
    <n v="-512.9"/>
    <n v="0"/>
    <x v="2"/>
    <s v="VALIDATED"/>
    <n v="1"/>
    <s v="01.11.80.308.2013.0000"/>
    <n v="-512.9"/>
    <s v="11"/>
    <s v="2013"/>
    <n v="22185.3"/>
    <n v="-512.9"/>
    <s v="CREDITOR"/>
    <n v="0"/>
    <n v="0"/>
    <n v="-512.9"/>
    <n v="0"/>
    <n v="0"/>
  </r>
  <r>
    <n v="10058695"/>
    <s v="N"/>
    <n v="21356784"/>
    <s v="3000005948260039RC"/>
    <s v="CIVIL"/>
    <d v="2023-06-21T00:00:00"/>
    <d v="2023-07-10T19:47:44"/>
    <m/>
    <d v="2023-07-10T00:00:00"/>
    <n v="1600"/>
    <n v="15907"/>
    <s v="10058695"/>
    <s v="10058695"/>
    <m/>
    <m/>
    <m/>
    <m/>
    <m/>
    <m/>
    <s v="SOLRECOUP"/>
    <s v="SOLRECOUP"/>
    <s v="POARECOUP"/>
    <n v="21356784"/>
    <n v="-512.9"/>
    <m/>
    <s v="Y"/>
    <n v="2"/>
    <d v="2023-07-10T19:47:46"/>
    <s v="N"/>
    <m/>
    <m/>
    <s v="Expert Disbursement"/>
    <m/>
    <s v="N"/>
    <n v="0"/>
    <n v="0"/>
    <x v="2"/>
    <s v="VALIDATED"/>
    <n v="1"/>
    <s v="01.11.80.000.0000.0000"/>
    <n v="0"/>
    <s v="11"/>
    <s v="0000"/>
    <n v="22185.3"/>
    <n v="0"/>
    <s v="CREDITOR"/>
    <n v="0"/>
    <n v="0"/>
    <n v="0"/>
    <n v="0"/>
    <n v="0"/>
  </r>
  <r>
    <n v="10058695"/>
    <s v="N"/>
    <n v="21356785"/>
    <s v="3000005948260040RC"/>
    <s v="CIVIL"/>
    <d v="2023-06-21T00:00:00"/>
    <d v="2023-07-10T19:47:44"/>
    <m/>
    <d v="2023-07-10T00:00:00"/>
    <n v="1600"/>
    <n v="15907"/>
    <s v="10058695"/>
    <s v="10058695"/>
    <m/>
    <m/>
    <m/>
    <m/>
    <m/>
    <m/>
    <s v="SOLRECOUP"/>
    <s v="SOLRECOUP"/>
    <s v="POARECOUP"/>
    <n v="21356785"/>
    <n v="-112"/>
    <m/>
    <s v="Y"/>
    <n v="1"/>
    <d v="2023-07-10T19:47:46"/>
    <s v="N"/>
    <m/>
    <m/>
    <s v="Expert Disbursement"/>
    <m/>
    <s v="N"/>
    <n v="-112"/>
    <n v="0"/>
    <x v="2"/>
    <s v="VALIDATED"/>
    <n v="1"/>
    <s v="01.11.80.308.2013.0000"/>
    <n v="-112"/>
    <s v="11"/>
    <s v="2013"/>
    <n v="22185.3"/>
    <n v="-112"/>
    <s v="CREDITOR"/>
    <n v="0"/>
    <n v="0"/>
    <n v="-112"/>
    <n v="0"/>
    <n v="0"/>
  </r>
  <r>
    <n v="10058695"/>
    <s v="N"/>
    <n v="21356785"/>
    <s v="3000005948260040RC"/>
    <s v="CIVIL"/>
    <d v="2023-06-21T00:00:00"/>
    <d v="2023-07-10T19:47:44"/>
    <m/>
    <d v="2023-07-10T00:00:00"/>
    <n v="1600"/>
    <n v="15907"/>
    <s v="10058695"/>
    <s v="10058695"/>
    <m/>
    <m/>
    <m/>
    <m/>
    <m/>
    <m/>
    <s v="SOLRECOUP"/>
    <s v="SOLRECOUP"/>
    <s v="POARECOUP"/>
    <n v="21356785"/>
    <n v="-112"/>
    <m/>
    <s v="Y"/>
    <n v="2"/>
    <d v="2023-07-10T19:47:46"/>
    <s v="N"/>
    <m/>
    <m/>
    <s v="Expert Disbursement"/>
    <m/>
    <s v="N"/>
    <n v="0"/>
    <n v="0"/>
    <x v="2"/>
    <s v="VALIDATED"/>
    <n v="1"/>
    <s v="01.11.80.000.0000.0000"/>
    <n v="0"/>
    <s v="11"/>
    <s v="0000"/>
    <n v="22185.3"/>
    <n v="0"/>
    <s v="CREDITOR"/>
    <n v="0"/>
    <n v="0"/>
    <n v="0"/>
    <n v="0"/>
    <n v="0"/>
  </r>
  <r>
    <n v="10058695"/>
    <s v="N"/>
    <n v="21356786"/>
    <s v="3000005948260038RC"/>
    <s v="CIVIL"/>
    <d v="2023-06-21T00:00:00"/>
    <d v="2023-07-10T19:47:44"/>
    <m/>
    <d v="2023-07-10T00:00:00"/>
    <n v="1600"/>
    <n v="15907"/>
    <s v="10058695"/>
    <s v="10058695"/>
    <m/>
    <m/>
    <m/>
    <m/>
    <m/>
    <m/>
    <s v="SOLRECOUP"/>
    <s v="SOLRECOUP"/>
    <s v="POARECOUP"/>
    <n v="21356786"/>
    <n v="-512.9"/>
    <m/>
    <s v="Y"/>
    <n v="1"/>
    <d v="2023-07-10T19:47:46"/>
    <s v="N"/>
    <m/>
    <m/>
    <s v="Expert Disbursement"/>
    <m/>
    <s v="N"/>
    <n v="-512.9"/>
    <n v="0"/>
    <x v="2"/>
    <s v="VALIDATED"/>
    <n v="1"/>
    <s v="01.11.80.308.2013.0000"/>
    <n v="-512.9"/>
    <s v="11"/>
    <s v="2013"/>
    <n v="22185.3"/>
    <n v="-512.9"/>
    <s v="CREDITOR"/>
    <n v="0"/>
    <n v="0"/>
    <n v="-512.9"/>
    <n v="0"/>
    <n v="0"/>
  </r>
  <r>
    <n v="10058695"/>
    <s v="N"/>
    <n v="21356786"/>
    <s v="3000005948260038RC"/>
    <s v="CIVIL"/>
    <d v="2023-06-21T00:00:00"/>
    <d v="2023-07-10T19:47:44"/>
    <m/>
    <d v="2023-07-10T00:00:00"/>
    <n v="1600"/>
    <n v="15907"/>
    <s v="10058695"/>
    <s v="10058695"/>
    <m/>
    <m/>
    <m/>
    <m/>
    <m/>
    <m/>
    <s v="SOLRECOUP"/>
    <s v="SOLRECOUP"/>
    <s v="POARECOUP"/>
    <n v="21356786"/>
    <n v="-512.9"/>
    <m/>
    <s v="Y"/>
    <n v="2"/>
    <d v="2023-07-10T19:47:46"/>
    <s v="N"/>
    <m/>
    <m/>
    <s v="Expert Disbursement"/>
    <m/>
    <s v="N"/>
    <n v="0"/>
    <n v="0"/>
    <x v="2"/>
    <s v="VALIDATED"/>
    <n v="1"/>
    <s v="01.11.80.000.0000.0000"/>
    <n v="0"/>
    <s v="11"/>
    <s v="0000"/>
    <n v="22185.3"/>
    <n v="0"/>
    <s v="CREDITOR"/>
    <n v="0"/>
    <n v="0"/>
    <n v="0"/>
    <n v="0"/>
    <n v="0"/>
  </r>
  <r>
    <n v="10058695"/>
    <s v="N"/>
    <n v="21356787"/>
    <s v="3000005948260029RC"/>
    <s v="CIVIL"/>
    <d v="2023-06-21T00:00:00"/>
    <d v="2023-07-10T19:47:44"/>
    <m/>
    <d v="2023-07-10T00:00:00"/>
    <n v="1600"/>
    <n v="15907"/>
    <s v="10058695"/>
    <s v="10058695"/>
    <m/>
    <m/>
    <m/>
    <m/>
    <m/>
    <m/>
    <s v="SOLRECOUP"/>
    <s v="SOLRECOUP"/>
    <s v="POARECOUP"/>
    <n v="21356787"/>
    <n v="-84"/>
    <m/>
    <s v="Y"/>
    <n v="1"/>
    <d v="2023-07-10T19:47:46"/>
    <s v="N"/>
    <m/>
    <m/>
    <s v="Expert Disbursement"/>
    <m/>
    <s v="N"/>
    <n v="-84"/>
    <n v="0"/>
    <x v="2"/>
    <s v="VALIDATED"/>
    <n v="1"/>
    <s v="01.11.80.308.2013.0000"/>
    <n v="-84"/>
    <s v="11"/>
    <s v="2013"/>
    <n v="22185.3"/>
    <n v="-84"/>
    <s v="CREDITOR"/>
    <n v="0"/>
    <n v="0"/>
    <n v="-84"/>
    <n v="0"/>
    <n v="0"/>
  </r>
  <r>
    <n v="10058695"/>
    <s v="N"/>
    <n v="21356787"/>
    <s v="3000005948260029RC"/>
    <s v="CIVIL"/>
    <d v="2023-06-21T00:00:00"/>
    <d v="2023-07-10T19:47:44"/>
    <m/>
    <d v="2023-07-10T00:00:00"/>
    <n v="1600"/>
    <n v="15907"/>
    <s v="10058695"/>
    <s v="10058695"/>
    <m/>
    <m/>
    <m/>
    <m/>
    <m/>
    <m/>
    <s v="SOLRECOUP"/>
    <s v="SOLRECOUP"/>
    <s v="POARECOUP"/>
    <n v="21356787"/>
    <n v="-84"/>
    <m/>
    <s v="Y"/>
    <n v="2"/>
    <d v="2023-07-10T19:47:46"/>
    <s v="N"/>
    <m/>
    <m/>
    <s v="Expert Disbursement"/>
    <m/>
    <s v="N"/>
    <n v="0"/>
    <n v="0"/>
    <x v="2"/>
    <s v="VALIDATED"/>
    <n v="1"/>
    <s v="01.11.80.000.0000.0000"/>
    <n v="0"/>
    <s v="11"/>
    <s v="0000"/>
    <n v="22185.3"/>
    <n v="0"/>
    <s v="CREDITOR"/>
    <n v="0"/>
    <n v="0"/>
    <n v="0"/>
    <n v="0"/>
    <n v="0"/>
  </r>
  <r>
    <n v="10058695"/>
    <s v="N"/>
    <n v="21356788"/>
    <s v="3000005948260034RC"/>
    <s v="CIVIL"/>
    <d v="2023-06-21T00:00:00"/>
    <d v="2023-07-10T19:47:44"/>
    <m/>
    <d v="2023-07-10T00:00:00"/>
    <n v="1600"/>
    <n v="15907"/>
    <s v="10058695"/>
    <s v="10058695"/>
    <m/>
    <m/>
    <m/>
    <m/>
    <m/>
    <m/>
    <s v="SOLRECOUP"/>
    <s v="SOLRECOUP"/>
    <s v="POARECOUP"/>
    <n v="21356788"/>
    <n v="-112"/>
    <m/>
    <s v="Y"/>
    <n v="1"/>
    <d v="2023-07-10T19:47:46"/>
    <s v="N"/>
    <m/>
    <m/>
    <s v="Expert Disbursement"/>
    <m/>
    <s v="N"/>
    <n v="-112"/>
    <n v="0"/>
    <x v="2"/>
    <s v="VALIDATED"/>
    <n v="1"/>
    <s v="01.11.80.308.2013.0000"/>
    <n v="-112"/>
    <s v="11"/>
    <s v="2013"/>
    <n v="22185.3"/>
    <n v="-112"/>
    <s v="CREDITOR"/>
    <n v="0"/>
    <n v="0"/>
    <n v="-112"/>
    <n v="0"/>
    <n v="0"/>
  </r>
  <r>
    <n v="10058695"/>
    <s v="N"/>
    <n v="21356788"/>
    <s v="3000005948260034RC"/>
    <s v="CIVIL"/>
    <d v="2023-06-21T00:00:00"/>
    <d v="2023-07-10T19:47:44"/>
    <m/>
    <d v="2023-07-10T00:00:00"/>
    <n v="1600"/>
    <n v="15907"/>
    <s v="10058695"/>
    <s v="10058695"/>
    <m/>
    <m/>
    <m/>
    <m/>
    <m/>
    <m/>
    <s v="SOLRECOUP"/>
    <s v="SOLRECOUP"/>
    <s v="POARECOUP"/>
    <n v="21356788"/>
    <n v="-112"/>
    <m/>
    <s v="Y"/>
    <n v="2"/>
    <d v="2023-07-10T19:47:46"/>
    <s v="N"/>
    <m/>
    <m/>
    <s v="Expert Disbursement"/>
    <m/>
    <s v="N"/>
    <n v="0"/>
    <n v="0"/>
    <x v="2"/>
    <s v="VALIDATED"/>
    <n v="1"/>
    <s v="01.11.80.000.0000.0000"/>
    <n v="0"/>
    <s v="11"/>
    <s v="0000"/>
    <n v="22185.3"/>
    <n v="0"/>
    <s v="CREDITOR"/>
    <n v="0"/>
    <n v="0"/>
    <n v="0"/>
    <n v="0"/>
    <n v="0"/>
  </r>
  <r>
    <n v="10058695"/>
    <s v="N"/>
    <n v="21356789"/>
    <s v="3000005948260036RC"/>
    <s v="CIVIL"/>
    <d v="2023-06-21T00:00:00"/>
    <d v="2023-07-10T19:47:44"/>
    <m/>
    <d v="2023-07-10T00:00:00"/>
    <n v="1600"/>
    <n v="15907"/>
    <s v="10058695"/>
    <s v="10058695"/>
    <m/>
    <m/>
    <m/>
    <m/>
    <m/>
    <m/>
    <s v="SOLRECOUP"/>
    <s v="SOLRECOUP"/>
    <s v="POARECOUP"/>
    <n v="21356789"/>
    <n v="-512.9"/>
    <m/>
    <s v="Y"/>
    <n v="1"/>
    <d v="2023-07-10T19:47:46"/>
    <s v="N"/>
    <m/>
    <m/>
    <s v="Expert Disbursement"/>
    <m/>
    <s v="N"/>
    <n v="-512.9"/>
    <n v="0"/>
    <x v="2"/>
    <s v="VALIDATED"/>
    <n v="1"/>
    <s v="01.11.80.308.2013.0000"/>
    <n v="-512.9"/>
    <s v="11"/>
    <s v="2013"/>
    <n v="22185.3"/>
    <n v="-512.9"/>
    <s v="CREDITOR"/>
    <n v="0"/>
    <n v="0"/>
    <n v="-512.9"/>
    <n v="0"/>
    <n v="0"/>
  </r>
  <r>
    <n v="10058695"/>
    <s v="N"/>
    <n v="21356789"/>
    <s v="3000005948260036RC"/>
    <s v="CIVIL"/>
    <d v="2023-06-21T00:00:00"/>
    <d v="2023-07-10T19:47:44"/>
    <m/>
    <d v="2023-07-10T00:00:00"/>
    <n v="1600"/>
    <n v="15907"/>
    <s v="10058695"/>
    <s v="10058695"/>
    <m/>
    <m/>
    <m/>
    <m/>
    <m/>
    <m/>
    <s v="SOLRECOUP"/>
    <s v="SOLRECOUP"/>
    <s v="POARECOUP"/>
    <n v="21356789"/>
    <n v="-512.9"/>
    <m/>
    <s v="Y"/>
    <n v="2"/>
    <d v="2023-07-10T19:47:46"/>
    <s v="N"/>
    <m/>
    <m/>
    <s v="Expert Disbursement"/>
    <m/>
    <s v="N"/>
    <n v="0"/>
    <n v="0"/>
    <x v="2"/>
    <s v="VALIDATED"/>
    <n v="1"/>
    <s v="01.11.80.000.0000.0000"/>
    <n v="0"/>
    <s v="11"/>
    <s v="0000"/>
    <n v="22185.3"/>
    <n v="0"/>
    <s v="CREDITOR"/>
    <n v="0"/>
    <n v="0"/>
    <n v="0"/>
    <n v="0"/>
    <n v="0"/>
  </r>
  <r>
    <n v="10058695"/>
    <s v="N"/>
    <n v="21356790"/>
    <s v="3000005948260037RC"/>
    <s v="CIVIL"/>
    <d v="2023-06-21T00:00:00"/>
    <d v="2023-07-10T19:47:44"/>
    <m/>
    <d v="2023-07-10T00:00:00"/>
    <n v="1600"/>
    <n v="15907"/>
    <s v="10058695"/>
    <s v="10058695"/>
    <m/>
    <m/>
    <m/>
    <m/>
    <m/>
    <m/>
    <s v="SOLRECOUP"/>
    <s v="SOLRECOUP"/>
    <s v="POARECOUP"/>
    <n v="21356790"/>
    <n v="-400.9"/>
    <m/>
    <s v="Y"/>
    <n v="1"/>
    <d v="2023-07-10T19:47:46"/>
    <s v="N"/>
    <m/>
    <m/>
    <s v="Expert Disbursement"/>
    <m/>
    <s v="N"/>
    <n v="-400.9"/>
    <n v="0"/>
    <x v="2"/>
    <s v="VALIDATED"/>
    <n v="1"/>
    <s v="01.11.80.308.2013.0000"/>
    <n v="-400.9"/>
    <s v="11"/>
    <s v="2013"/>
    <n v="22185.3"/>
    <n v="-400.9"/>
    <s v="CREDITOR"/>
    <n v="0"/>
    <n v="0"/>
    <n v="-400.9"/>
    <n v="0"/>
    <n v="0"/>
  </r>
  <r>
    <n v="10058695"/>
    <s v="N"/>
    <n v="21356790"/>
    <s v="3000005948260037RC"/>
    <s v="CIVIL"/>
    <d v="2023-06-21T00:00:00"/>
    <d v="2023-07-10T19:47:44"/>
    <m/>
    <d v="2023-07-10T00:00:00"/>
    <n v="1600"/>
    <n v="15907"/>
    <s v="10058695"/>
    <s v="10058695"/>
    <m/>
    <m/>
    <m/>
    <m/>
    <m/>
    <m/>
    <s v="SOLRECOUP"/>
    <s v="SOLRECOUP"/>
    <s v="POARECOUP"/>
    <n v="21356790"/>
    <n v="-400.9"/>
    <m/>
    <s v="Y"/>
    <n v="2"/>
    <d v="2023-07-10T19:47:46"/>
    <s v="N"/>
    <m/>
    <m/>
    <s v="Expert Disbursement"/>
    <m/>
    <s v="N"/>
    <n v="0"/>
    <n v="0"/>
    <x v="2"/>
    <s v="VALIDATED"/>
    <n v="1"/>
    <s v="01.11.80.000.0000.0000"/>
    <n v="0"/>
    <s v="11"/>
    <s v="0000"/>
    <n v="22185.3"/>
    <n v="0"/>
    <s v="CREDITOR"/>
    <n v="0"/>
    <n v="0"/>
    <n v="0"/>
    <n v="0"/>
    <n v="0"/>
  </r>
  <r>
    <n v="10058695"/>
    <s v="N"/>
    <n v="21356791"/>
    <s v="3000005948260042RC"/>
    <s v="CIVIL"/>
    <d v="2023-06-21T00:00:00"/>
    <d v="2023-07-10T19:47:44"/>
    <m/>
    <d v="2023-07-10T00:00:00"/>
    <n v="1600"/>
    <n v="15907"/>
    <s v="10058695"/>
    <s v="10058695"/>
    <m/>
    <m/>
    <m/>
    <m/>
    <m/>
    <m/>
    <s v="SOLRECOUP"/>
    <s v="SOLRECOUP"/>
    <s v="POARECOUP"/>
    <n v="21356791"/>
    <n v="-359.03"/>
    <m/>
    <s v="Y"/>
    <n v="1"/>
    <d v="2023-07-10T19:47:46"/>
    <s v="N"/>
    <m/>
    <m/>
    <s v="Expert Disbursement"/>
    <m/>
    <s v="N"/>
    <n v="-359.03"/>
    <n v="0"/>
    <x v="2"/>
    <s v="VALIDATED"/>
    <n v="1"/>
    <s v="01.11.80.308.2013.0000"/>
    <n v="-359.03"/>
    <s v="11"/>
    <s v="2013"/>
    <n v="22185.3"/>
    <n v="-359.03"/>
    <s v="CREDITOR"/>
    <n v="0"/>
    <n v="0"/>
    <n v="-359.03"/>
    <n v="0"/>
    <n v="0"/>
  </r>
  <r>
    <n v="10058695"/>
    <s v="N"/>
    <n v="21356791"/>
    <s v="3000005948260042RC"/>
    <s v="CIVIL"/>
    <d v="2023-06-21T00:00:00"/>
    <d v="2023-07-10T19:47:44"/>
    <m/>
    <d v="2023-07-10T00:00:00"/>
    <n v="1600"/>
    <n v="15907"/>
    <s v="10058695"/>
    <s v="10058695"/>
    <m/>
    <m/>
    <m/>
    <m/>
    <m/>
    <m/>
    <s v="SOLRECOUP"/>
    <s v="SOLRECOUP"/>
    <s v="POARECOUP"/>
    <n v="21356791"/>
    <n v="-359.03"/>
    <m/>
    <s v="Y"/>
    <n v="2"/>
    <d v="2023-07-10T19:47:46"/>
    <s v="N"/>
    <m/>
    <m/>
    <s v="Expert Disbursement"/>
    <m/>
    <s v="N"/>
    <n v="0"/>
    <n v="0"/>
    <x v="2"/>
    <s v="VALIDATED"/>
    <n v="1"/>
    <s v="01.11.80.000.0000.0000"/>
    <n v="0"/>
    <s v="11"/>
    <s v="0000"/>
    <n v="22185.3"/>
    <n v="0"/>
    <s v="CREDITOR"/>
    <n v="0"/>
    <n v="0"/>
    <n v="0"/>
    <n v="0"/>
    <n v="0"/>
  </r>
  <r>
    <n v="10058695"/>
    <s v="N"/>
    <n v="21356792"/>
    <s v="3000005948260041RC"/>
    <s v="CIVIL"/>
    <d v="2023-06-21T00:00:00"/>
    <d v="2023-07-10T19:47:44"/>
    <m/>
    <d v="2023-07-10T00:00:00"/>
    <n v="1600"/>
    <n v="15907"/>
    <s v="10058695"/>
    <s v="10058695"/>
    <m/>
    <m/>
    <m/>
    <m/>
    <m/>
    <m/>
    <s v="SOLRECOUP"/>
    <s v="SOLRECOUP"/>
    <s v="POARECOUP"/>
    <n v="21356792"/>
    <n v="-512.9"/>
    <m/>
    <s v="Y"/>
    <n v="1"/>
    <d v="2023-07-10T19:47:46"/>
    <s v="N"/>
    <m/>
    <m/>
    <s v="Expert Disbursement"/>
    <m/>
    <s v="N"/>
    <n v="-512.9"/>
    <n v="0"/>
    <x v="2"/>
    <s v="VALIDATED"/>
    <n v="1"/>
    <s v="01.11.80.308.2013.0000"/>
    <n v="-512.9"/>
    <s v="11"/>
    <s v="2013"/>
    <n v="22185.3"/>
    <n v="-512.9"/>
    <s v="CREDITOR"/>
    <n v="0"/>
    <n v="0"/>
    <n v="-512.9"/>
    <n v="0"/>
    <n v="0"/>
  </r>
  <r>
    <n v="10058695"/>
    <s v="N"/>
    <n v="21356792"/>
    <s v="3000005948260041RC"/>
    <s v="CIVIL"/>
    <d v="2023-06-21T00:00:00"/>
    <d v="2023-07-10T19:47:44"/>
    <m/>
    <d v="2023-07-10T00:00:00"/>
    <n v="1600"/>
    <n v="15907"/>
    <s v="10058695"/>
    <s v="10058695"/>
    <m/>
    <m/>
    <m/>
    <m/>
    <m/>
    <m/>
    <s v="SOLRECOUP"/>
    <s v="SOLRECOUP"/>
    <s v="POARECOUP"/>
    <n v="21356792"/>
    <n v="-512.9"/>
    <m/>
    <s v="Y"/>
    <n v="2"/>
    <d v="2023-07-10T19:47:46"/>
    <s v="N"/>
    <m/>
    <m/>
    <s v="Expert Disbursement"/>
    <m/>
    <s v="N"/>
    <n v="0"/>
    <n v="0"/>
    <x v="2"/>
    <s v="VALIDATED"/>
    <n v="1"/>
    <s v="01.11.80.000.0000.0000"/>
    <n v="0"/>
    <s v="11"/>
    <s v="0000"/>
    <n v="22185.3"/>
    <n v="0"/>
    <s v="CREDITOR"/>
    <n v="0"/>
    <n v="0"/>
    <n v="0"/>
    <n v="0"/>
    <n v="0"/>
  </r>
  <r>
    <n v="10058695"/>
    <s v="N"/>
    <n v="21356793"/>
    <s v="3000005948260043RC"/>
    <s v="CIVIL"/>
    <d v="2023-06-21T00:00:00"/>
    <d v="2023-07-10T19:47:44"/>
    <m/>
    <d v="2023-07-10T00:00:00"/>
    <n v="1600"/>
    <n v="15907"/>
    <s v="10058695"/>
    <s v="10058695"/>
    <m/>
    <m/>
    <m/>
    <m/>
    <m/>
    <m/>
    <s v="SOLRECOUP"/>
    <s v="SOLRECOUP"/>
    <s v="POARECOUP"/>
    <n v="21356793"/>
    <n v="-2074.3"/>
    <m/>
    <s v="Y"/>
    <n v="1"/>
    <d v="2023-07-10T19:47:46"/>
    <s v="N"/>
    <m/>
    <m/>
    <s v="Profit Cost"/>
    <m/>
    <s v="N"/>
    <n v="-1728.58"/>
    <n v="0"/>
    <x v="2"/>
    <s v="VALIDATED"/>
    <n v="1"/>
    <s v="01.11.80.308.2013.0000"/>
    <n v="-1728.58"/>
    <s v="11"/>
    <s v="2013"/>
    <n v="22185.3"/>
    <n v="-1728.58"/>
    <s v="CREDITOR"/>
    <n v="0"/>
    <n v="0"/>
    <n v="-1728.58"/>
    <n v="-432.145"/>
    <n v="0"/>
  </r>
  <r>
    <n v="10058695"/>
    <s v="N"/>
    <n v="21356793"/>
    <s v="3000005948260043RC"/>
    <s v="CIVIL"/>
    <d v="2023-06-21T00:00:00"/>
    <d v="2023-07-10T19:47:44"/>
    <m/>
    <d v="2023-07-10T00:00:00"/>
    <n v="1600"/>
    <n v="15907"/>
    <s v="10058695"/>
    <s v="10058695"/>
    <m/>
    <m/>
    <m/>
    <m/>
    <m/>
    <m/>
    <s v="SOLRECOUP"/>
    <s v="SOLRECOUP"/>
    <s v="POARECOUP"/>
    <n v="21356793"/>
    <n v="-2074.3"/>
    <m/>
    <s v="Y"/>
    <n v="2"/>
    <d v="2023-07-10T19:47:46"/>
    <s v="N"/>
    <m/>
    <m/>
    <s v="Profit Cost"/>
    <m/>
    <s v="N"/>
    <n v="0"/>
    <n v="-345.72"/>
    <x v="2"/>
    <s v="VALIDATED"/>
    <n v="1"/>
    <s v="01.11.80.308.2013.0000"/>
    <n v="-345.72"/>
    <s v="11"/>
    <s v="2013"/>
    <n v="22185.3"/>
    <n v="-345.72"/>
    <s v="CREDITOR"/>
    <n v="0"/>
    <n v="0"/>
    <n v="-345.72"/>
    <n v="-86.43000000000001"/>
    <n v="0"/>
  </r>
  <r>
    <n v="10058695"/>
    <s v="N"/>
    <n v="21356756"/>
    <s v="3000005948260049RC"/>
    <s v="CIVIL"/>
    <d v="2023-06-21T00:00:00"/>
    <d v="2023-07-10T19:47:44"/>
    <m/>
    <d v="2023-07-10T00:00:00"/>
    <n v="1600"/>
    <n v="15907"/>
    <s v="10058695"/>
    <s v="10058695"/>
    <m/>
    <m/>
    <m/>
    <m/>
    <m/>
    <m/>
    <s v="SOLRECOUP"/>
    <s v="SOLRECOUP"/>
    <s v="POARECOUP"/>
    <n v="21356756"/>
    <n v="-6447.66"/>
    <m/>
    <s v="Y"/>
    <n v="1"/>
    <d v="2023-07-10T19:47:46"/>
    <s v="N"/>
    <m/>
    <m/>
    <s v="Non Expert Disbursement"/>
    <m/>
    <s v="N"/>
    <n v="-5373.05"/>
    <n v="0"/>
    <x v="2"/>
    <s v="VALIDATED"/>
    <n v="1"/>
    <s v="01.11.80.308.2013.0000"/>
    <n v="-5373.05"/>
    <s v="11"/>
    <s v="2013"/>
    <n v="22185.3"/>
    <n v="-5373.05"/>
    <s v="CREDITOR"/>
    <n v="0"/>
    <n v="0"/>
    <n v="-5373.05"/>
    <n v="0"/>
    <n v="0"/>
  </r>
  <r>
    <n v="10058695"/>
    <s v="N"/>
    <n v="21356756"/>
    <s v="3000005948260049RC"/>
    <s v="CIVIL"/>
    <d v="2023-06-21T00:00:00"/>
    <d v="2023-07-10T19:47:44"/>
    <m/>
    <d v="2023-07-10T00:00:00"/>
    <n v="1600"/>
    <n v="15907"/>
    <s v="10058695"/>
    <s v="10058695"/>
    <m/>
    <m/>
    <m/>
    <m/>
    <m/>
    <m/>
    <s v="SOLRECOUP"/>
    <s v="SOLRECOUP"/>
    <s v="POARECOUP"/>
    <n v="21356756"/>
    <n v="-6447.66"/>
    <m/>
    <s v="Y"/>
    <n v="2"/>
    <d v="2023-07-10T19:47:46"/>
    <s v="N"/>
    <m/>
    <m/>
    <s v="Non Expert Disbursement"/>
    <m/>
    <s v="N"/>
    <n v="0"/>
    <n v="-1074.61"/>
    <x v="2"/>
    <s v="VALIDATED"/>
    <n v="1"/>
    <s v="01.11.80.308.2013.0000"/>
    <n v="-1074.61"/>
    <s v="11"/>
    <s v="2013"/>
    <n v="22185.3"/>
    <n v="-1074.61"/>
    <s v="CREDITOR"/>
    <n v="0"/>
    <n v="0"/>
    <n v="-1074.61"/>
    <n v="0"/>
    <n v="0"/>
  </r>
  <r>
    <n v="10058695"/>
    <s v="N"/>
    <n v="21356757"/>
    <s v="3000005948260003RC"/>
    <s v="CIVIL"/>
    <d v="2023-06-21T00:00:00"/>
    <d v="2023-07-10T19:47:44"/>
    <m/>
    <d v="2023-07-10T00:00:00"/>
    <n v="1600"/>
    <n v="15907"/>
    <s v="10058695"/>
    <s v="10058695"/>
    <m/>
    <m/>
    <m/>
    <m/>
    <m/>
    <m/>
    <s v="SOLRECOUP"/>
    <s v="SOLRECOUP"/>
    <s v="POARECOUP"/>
    <n v="21356757"/>
    <n v="-240.46"/>
    <m/>
    <s v="Y"/>
    <n v="1"/>
    <d v="2023-07-10T19:47:46"/>
    <s v="N"/>
    <m/>
    <m/>
    <s v="Expert Disbursement"/>
    <m/>
    <s v="N"/>
    <n v="-200.38"/>
    <n v="0"/>
    <x v="2"/>
    <s v="VALIDATED"/>
    <n v="1"/>
    <s v="01.11.80.308.2013.0000"/>
    <n v="-200.38"/>
    <s v="11"/>
    <s v="2013"/>
    <n v="22185.3"/>
    <n v="-200.38"/>
    <s v="CREDITOR"/>
    <n v="0"/>
    <n v="0"/>
    <n v="-200.38"/>
    <n v="0"/>
    <n v="0"/>
  </r>
  <r>
    <n v="10058695"/>
    <s v="N"/>
    <n v="21356757"/>
    <s v="3000005948260003RC"/>
    <s v="CIVIL"/>
    <d v="2023-06-21T00:00:00"/>
    <d v="2023-07-10T19:47:44"/>
    <m/>
    <d v="2023-07-10T00:00:00"/>
    <n v="1600"/>
    <n v="15907"/>
    <s v="10058695"/>
    <s v="10058695"/>
    <m/>
    <m/>
    <m/>
    <m/>
    <m/>
    <m/>
    <s v="SOLRECOUP"/>
    <s v="SOLRECOUP"/>
    <s v="POARECOUP"/>
    <n v="21356757"/>
    <n v="-240.46"/>
    <m/>
    <s v="Y"/>
    <n v="2"/>
    <d v="2023-07-10T19:47:46"/>
    <s v="N"/>
    <m/>
    <m/>
    <s v="Expert Disbursement"/>
    <m/>
    <s v="N"/>
    <n v="0"/>
    <n v="-40.08"/>
    <x v="2"/>
    <s v="VALIDATED"/>
    <n v="1"/>
    <s v="01.11.80.308.2013.0000"/>
    <n v="-40.08"/>
    <s v="11"/>
    <s v="2013"/>
    <n v="22185.3"/>
    <n v="-40.08"/>
    <s v="CREDITOR"/>
    <n v="0"/>
    <n v="0"/>
    <n v="-40.08"/>
    <n v="0"/>
    <n v="0"/>
  </r>
  <r>
    <n v="10058695"/>
    <s v="N"/>
    <n v="21356758"/>
    <s v="3000005948260001RC"/>
    <s v="CIVIL"/>
    <d v="2023-06-21T00:00:00"/>
    <d v="2023-07-10T19:47:44"/>
    <m/>
    <d v="2023-07-10T00:00:00"/>
    <n v="1600"/>
    <n v="15907"/>
    <s v="10058695"/>
    <s v="10058695"/>
    <m/>
    <m/>
    <m/>
    <m/>
    <m/>
    <m/>
    <s v="SOLRECOUP"/>
    <s v="SOLRECOUP"/>
    <s v="POARECOUP"/>
    <n v="21356758"/>
    <n v="-180"/>
    <m/>
    <s v="Y"/>
    <n v="1"/>
    <d v="2023-07-10T19:47:46"/>
    <s v="N"/>
    <m/>
    <m/>
    <s v="Expert Disbursement"/>
    <m/>
    <s v="N"/>
    <n v="-180"/>
    <n v="0"/>
    <x v="2"/>
    <s v="VALIDATED"/>
    <n v="1"/>
    <s v="01.11.80.308.2013.0000"/>
    <n v="-180"/>
    <s v="11"/>
    <s v="2013"/>
    <n v="22185.3"/>
    <n v="-180"/>
    <s v="CREDITOR"/>
    <n v="0"/>
    <n v="0"/>
    <n v="-180"/>
    <n v="0"/>
    <n v="0"/>
  </r>
  <r>
    <n v="10058695"/>
    <s v="N"/>
    <n v="21356758"/>
    <s v="3000005948260001RC"/>
    <s v="CIVIL"/>
    <d v="2023-06-21T00:00:00"/>
    <d v="2023-07-10T19:47:44"/>
    <m/>
    <d v="2023-07-10T00:00:00"/>
    <n v="1600"/>
    <n v="15907"/>
    <s v="10058695"/>
    <s v="10058695"/>
    <m/>
    <m/>
    <m/>
    <m/>
    <m/>
    <m/>
    <s v="SOLRECOUP"/>
    <s v="SOLRECOUP"/>
    <s v="POARECOUP"/>
    <n v="21356758"/>
    <n v="-180"/>
    <m/>
    <s v="Y"/>
    <n v="2"/>
    <d v="2023-07-10T19:47:46"/>
    <s v="N"/>
    <m/>
    <m/>
    <s v="Expert Disbursement"/>
    <m/>
    <s v="N"/>
    <n v="0"/>
    <n v="0"/>
    <x v="2"/>
    <s v="VALIDATED"/>
    <n v="1"/>
    <s v="01.11.80.000.0000.0000"/>
    <n v="0"/>
    <s v="11"/>
    <s v="0000"/>
    <n v="22185.3"/>
    <n v="0"/>
    <s v="CREDITOR"/>
    <n v="0"/>
    <n v="0"/>
    <n v="0"/>
    <n v="0"/>
    <n v="0"/>
  </r>
  <r>
    <n v="10058695"/>
    <s v="N"/>
    <n v="21356759"/>
    <s v="3000005948260002RC"/>
    <s v="CIVIL"/>
    <d v="2023-06-21T00:00:00"/>
    <d v="2023-07-10T19:47:44"/>
    <m/>
    <d v="2023-07-10T00:00:00"/>
    <n v="1600"/>
    <n v="15907"/>
    <s v="10058695"/>
    <s v="10058695"/>
    <m/>
    <m/>
    <m/>
    <m/>
    <m/>
    <m/>
    <s v="SOLRECOUP"/>
    <s v="SOLRECOUP"/>
    <s v="POARECOUP"/>
    <n v="21356759"/>
    <n v="-203.98"/>
    <m/>
    <s v="Y"/>
    <n v="1"/>
    <d v="2023-07-10T19:47:46"/>
    <s v="N"/>
    <m/>
    <m/>
    <s v="Non Expert Disbursement"/>
    <m/>
    <s v="N"/>
    <n v="-169.98"/>
    <n v="0"/>
    <x v="2"/>
    <s v="VALIDATED"/>
    <n v="1"/>
    <s v="01.11.80.308.2013.0000"/>
    <n v="-169.98"/>
    <s v="11"/>
    <s v="2013"/>
    <n v="22185.3"/>
    <n v="-169.98"/>
    <s v="CREDITOR"/>
    <n v="0"/>
    <n v="0"/>
    <n v="-169.98"/>
    <n v="0"/>
    <n v="0"/>
  </r>
  <r>
    <n v="59904503"/>
    <s v="N"/>
    <n v="21361585"/>
    <s v="3000014261050002RC"/>
    <s v="CIVIL"/>
    <d v="2023-06-30T00:00:00"/>
    <d v="2023-07-11T19:38:00"/>
    <m/>
    <d v="2023-07-11T00:00:00"/>
    <n v="1600"/>
    <n v="15907"/>
    <s v="59904503"/>
    <s v="59904503"/>
    <m/>
    <m/>
    <m/>
    <m/>
    <m/>
    <m/>
    <s v="SOLRECOUP"/>
    <s v="SOLRECOUP"/>
    <s v="POARECOUP"/>
    <n v="21361585"/>
    <n v="-249.46"/>
    <m/>
    <s v="Y"/>
    <n v="1"/>
    <d v="2023-07-11T19:38:01"/>
    <s v="N"/>
    <m/>
    <m/>
    <s v="Expert Disbursement"/>
    <m/>
    <s v="N"/>
    <n v="-207.88"/>
    <n v="0"/>
    <x v="7"/>
    <s v="VALIDATED"/>
    <n v="1"/>
    <s v="01.11.80.308.2013.0000"/>
    <n v="-207.88"/>
    <s v="11"/>
    <s v="2013"/>
    <n v="22185.3"/>
    <n v="-207.88"/>
    <s v="CREDITOR"/>
    <n v="0"/>
    <n v="0"/>
    <n v="-207.88"/>
    <n v="0"/>
    <n v="0"/>
  </r>
  <r>
    <n v="59904503"/>
    <s v="N"/>
    <n v="21361585"/>
    <s v="3000014261050002RC"/>
    <s v="CIVIL"/>
    <d v="2023-06-30T00:00:00"/>
    <d v="2023-07-11T19:38:00"/>
    <m/>
    <d v="2023-07-11T00:00:00"/>
    <n v="1600"/>
    <n v="15907"/>
    <s v="59904503"/>
    <s v="59904503"/>
    <m/>
    <m/>
    <m/>
    <m/>
    <m/>
    <m/>
    <s v="SOLRECOUP"/>
    <s v="SOLRECOUP"/>
    <s v="POARECOUP"/>
    <n v="21361585"/>
    <n v="-249.46"/>
    <m/>
    <s v="Y"/>
    <n v="2"/>
    <d v="2023-07-11T19:38:01"/>
    <s v="N"/>
    <m/>
    <m/>
    <s v="Expert Disbursement"/>
    <m/>
    <s v="N"/>
    <n v="0"/>
    <n v="-41.58"/>
    <x v="7"/>
    <s v="VALIDATED"/>
    <n v="1"/>
    <s v="01.11.80.308.2013.0000"/>
    <n v="-41.58"/>
    <s v="11"/>
    <s v="2013"/>
    <n v="22185.3"/>
    <n v="-41.58"/>
    <s v="CREDITOR"/>
    <n v="0"/>
    <n v="0"/>
    <n v="-41.58"/>
    <n v="0"/>
    <n v="0"/>
  </r>
  <r>
    <n v="59904503"/>
    <s v="N"/>
    <n v="21361586"/>
    <s v="3000014261050001RC"/>
    <s v="CIVIL"/>
    <d v="2023-06-30T00:00:00"/>
    <d v="2023-07-11T19:38:00"/>
    <m/>
    <d v="2023-07-11T00:00:00"/>
    <n v="1600"/>
    <n v="15907"/>
    <s v="59904503"/>
    <s v="59904503"/>
    <m/>
    <m/>
    <m/>
    <m/>
    <m/>
    <m/>
    <s v="SOLRECOUP"/>
    <s v="SOLRECOUP"/>
    <s v="POARECOUP"/>
    <n v="21361586"/>
    <n v="-204.94"/>
    <m/>
    <s v="Y"/>
    <n v="1"/>
    <d v="2023-07-11T19:38:01"/>
    <s v="N"/>
    <m/>
    <m/>
    <s v="Non Expert Disbursement"/>
    <m/>
    <s v="N"/>
    <n v="-170.78"/>
    <n v="0"/>
    <x v="7"/>
    <s v="VALIDATED"/>
    <n v="1"/>
    <s v="01.11.80.308.2013.0000"/>
    <n v="-170.78"/>
    <s v="11"/>
    <s v="2013"/>
    <n v="22185.3"/>
    <n v="-170.78"/>
    <s v="CREDITOR"/>
    <n v="0"/>
    <n v="0"/>
    <n v="-170.78"/>
    <n v="0"/>
    <n v="0"/>
  </r>
  <r>
    <n v="59904503"/>
    <s v="N"/>
    <n v="21361586"/>
    <s v="3000014261050001RC"/>
    <s v="CIVIL"/>
    <d v="2023-06-30T00:00:00"/>
    <d v="2023-07-11T19:38:00"/>
    <m/>
    <d v="2023-07-11T00:00:00"/>
    <n v="1600"/>
    <n v="15907"/>
    <s v="59904503"/>
    <s v="59904503"/>
    <m/>
    <m/>
    <m/>
    <m/>
    <m/>
    <m/>
    <s v="SOLRECOUP"/>
    <s v="SOLRECOUP"/>
    <s v="POARECOUP"/>
    <n v="21361586"/>
    <n v="-204.94"/>
    <m/>
    <s v="Y"/>
    <n v="2"/>
    <d v="2023-07-11T19:38:01"/>
    <s v="N"/>
    <m/>
    <m/>
    <s v="Non Expert Disbursement"/>
    <m/>
    <s v="N"/>
    <n v="0"/>
    <n v="-34.16"/>
    <x v="7"/>
    <s v="VALIDATED"/>
    <n v="1"/>
    <s v="01.11.80.308.2013.0000"/>
    <n v="-34.16"/>
    <s v="11"/>
    <s v="2013"/>
    <n v="22185.3"/>
    <n v="-34.16"/>
    <s v="CREDITOR"/>
    <n v="0"/>
    <n v="0"/>
    <n v="-34.16"/>
    <n v="0"/>
    <n v="0"/>
  </r>
  <r>
    <n v="59904503"/>
    <s v="N"/>
    <n v="21361587"/>
    <s v="3000014261050009RC"/>
    <s v="CIVIL"/>
    <d v="2023-06-30T00:00:00"/>
    <d v="2023-07-11T19:38:00"/>
    <m/>
    <d v="2023-07-11T00:00:00"/>
    <n v="1600"/>
    <n v="15907"/>
    <s v="59904503"/>
    <s v="59904503"/>
    <m/>
    <m/>
    <m/>
    <m/>
    <m/>
    <m/>
    <s v="SOLRECOUP"/>
    <s v="SOLRECOUP"/>
    <s v="POARECOUP"/>
    <n v="21361587"/>
    <n v="-340.66"/>
    <m/>
    <s v="Y"/>
    <n v="1"/>
    <d v="2023-07-11T19:38:01"/>
    <s v="N"/>
    <m/>
    <m/>
    <s v="Non Expert Disbursement"/>
    <m/>
    <s v="N"/>
    <n v="-283.88"/>
    <n v="0"/>
    <x v="7"/>
    <s v="VALIDATED"/>
    <n v="1"/>
    <s v="01.11.80.308.2013.0000"/>
    <n v="-283.88"/>
    <s v="11"/>
    <s v="2013"/>
    <n v="22185.3"/>
    <n v="-283.88"/>
    <s v="CREDITOR"/>
    <n v="0"/>
    <n v="0"/>
    <n v="-283.88"/>
    <n v="0"/>
    <n v="0"/>
  </r>
  <r>
    <n v="59904503"/>
    <s v="N"/>
    <n v="21361587"/>
    <s v="3000014261050009RC"/>
    <s v="CIVIL"/>
    <d v="2023-06-30T00:00:00"/>
    <d v="2023-07-11T19:38:00"/>
    <m/>
    <d v="2023-07-11T00:00:00"/>
    <n v="1600"/>
    <n v="15907"/>
    <s v="59904503"/>
    <s v="59904503"/>
    <m/>
    <m/>
    <m/>
    <m/>
    <m/>
    <m/>
    <s v="SOLRECOUP"/>
    <s v="SOLRECOUP"/>
    <s v="POARECOUP"/>
    <n v="21361587"/>
    <n v="-340.66"/>
    <m/>
    <s v="Y"/>
    <n v="2"/>
    <d v="2023-07-11T19:38:01"/>
    <s v="N"/>
    <m/>
    <m/>
    <s v="Non Expert Disbursement"/>
    <m/>
    <s v="N"/>
    <n v="0"/>
    <n v="-56.78"/>
    <x v="7"/>
    <s v="VALIDATED"/>
    <n v="1"/>
    <s v="01.11.80.308.2013.0000"/>
    <n v="-56.78"/>
    <s v="11"/>
    <s v="2013"/>
    <n v="22185.3"/>
    <n v="-56.78"/>
    <s v="CREDITOR"/>
    <n v="0"/>
    <n v="0"/>
    <n v="-56.78"/>
    <n v="0"/>
    <n v="0"/>
  </r>
  <r>
    <n v="59904503"/>
    <s v="N"/>
    <n v="21361588"/>
    <s v="3000014261050010RC"/>
    <s v="CIVIL"/>
    <d v="2023-06-30T00:00:00"/>
    <d v="2023-07-11T19:38:00"/>
    <m/>
    <d v="2023-07-11T00:00:00"/>
    <n v="1600"/>
    <n v="15907"/>
    <s v="59904503"/>
    <s v="59904503"/>
    <m/>
    <m/>
    <m/>
    <m/>
    <m/>
    <m/>
    <s v="SOLRECOUP"/>
    <s v="SOLRECOUP"/>
    <s v="POARECOUP"/>
    <n v="21361588"/>
    <n v="-337.75"/>
    <m/>
    <s v="Y"/>
    <n v="1"/>
    <d v="2023-07-11T19:38:01"/>
    <s v="N"/>
    <m/>
    <m/>
    <s v="Profit Cost"/>
    <m/>
    <s v="N"/>
    <n v="-281.46"/>
    <n v="0"/>
    <x v="7"/>
    <s v="VALIDATED"/>
    <n v="1"/>
    <s v="01.11.80.308.2013.0000"/>
    <n v="-281.46"/>
    <s v="11"/>
    <s v="2013"/>
    <n v="22185.3"/>
    <n v="-281.46"/>
    <s v="CREDITOR"/>
    <n v="0"/>
    <n v="0"/>
    <n v="-281.46"/>
    <n v="-70.36499999999999"/>
    <n v="0"/>
  </r>
  <r>
    <n v="59904503"/>
    <s v="N"/>
    <n v="21361588"/>
    <s v="3000014261050010RC"/>
    <s v="CIVIL"/>
    <d v="2023-06-30T00:00:00"/>
    <d v="2023-07-11T19:38:00"/>
    <m/>
    <d v="2023-07-11T00:00:00"/>
    <n v="1600"/>
    <n v="15907"/>
    <s v="59904503"/>
    <s v="59904503"/>
    <m/>
    <m/>
    <m/>
    <m/>
    <m/>
    <m/>
    <s v="SOLRECOUP"/>
    <s v="SOLRECOUP"/>
    <s v="POARECOUP"/>
    <n v="21361588"/>
    <n v="-337.75"/>
    <m/>
    <s v="Y"/>
    <n v="2"/>
    <d v="2023-07-11T19:38:01"/>
    <s v="N"/>
    <m/>
    <m/>
    <s v="Profit Cost"/>
    <m/>
    <s v="N"/>
    <n v="0"/>
    <n v="-56.29"/>
    <x v="7"/>
    <s v="VALIDATED"/>
    <n v="1"/>
    <s v="01.11.80.308.2013.0000"/>
    <n v="-56.29"/>
    <s v="11"/>
    <s v="2013"/>
    <n v="22185.3"/>
    <n v="-56.29"/>
    <s v="CREDITOR"/>
    <n v="0"/>
    <n v="0"/>
    <n v="-56.29"/>
    <n v="-14.0725"/>
    <n v="0"/>
  </r>
  <r>
    <n v="59904503"/>
    <s v="N"/>
    <n v="21361589"/>
    <s v="3000014261050013RC"/>
    <s v="CIVIL"/>
    <d v="2023-06-30T00:00:00"/>
    <d v="2023-07-11T19:38:00"/>
    <m/>
    <d v="2023-07-11T00:00:00"/>
    <n v="1600"/>
    <n v="15907"/>
    <s v="59904503"/>
    <s v="59904503"/>
    <m/>
    <m/>
    <m/>
    <m/>
    <m/>
    <m/>
    <s v="SOLRECOUP"/>
    <s v="SOLRECOUP"/>
    <s v="POARECOUP"/>
    <n v="21361589"/>
    <n v="-561.6"/>
    <m/>
    <s v="Y"/>
    <n v="1"/>
    <d v="2023-07-11T19:38:01"/>
    <s v="N"/>
    <m/>
    <m/>
    <s v="Expert Disbursement"/>
    <m/>
    <s v="N"/>
    <n v="-468"/>
    <n v="0"/>
    <x v="7"/>
    <s v="VALIDATED"/>
    <n v="1"/>
    <s v="01.11.80.308.2013.0000"/>
    <n v="-468"/>
    <s v="11"/>
    <s v="2013"/>
    <n v="22185.3"/>
    <n v="-468"/>
    <s v="CREDITOR"/>
    <n v="0"/>
    <n v="0"/>
    <n v="-468"/>
    <n v="0"/>
    <n v="0"/>
  </r>
  <r>
    <n v="59904503"/>
    <s v="N"/>
    <n v="21361589"/>
    <s v="3000014261050013RC"/>
    <s v="CIVIL"/>
    <d v="2023-06-30T00:00:00"/>
    <d v="2023-07-11T19:38:00"/>
    <m/>
    <d v="2023-07-11T00:00:00"/>
    <n v="1600"/>
    <n v="15907"/>
    <s v="59904503"/>
    <s v="59904503"/>
    <m/>
    <m/>
    <m/>
    <m/>
    <m/>
    <m/>
    <s v="SOLRECOUP"/>
    <s v="SOLRECOUP"/>
    <s v="POARECOUP"/>
    <n v="21361589"/>
    <n v="-561.6"/>
    <m/>
    <s v="Y"/>
    <n v="2"/>
    <d v="2023-07-11T19:38:01"/>
    <s v="N"/>
    <m/>
    <m/>
    <s v="Expert Disbursement"/>
    <m/>
    <s v="N"/>
    <n v="0"/>
    <n v="-93.59999999999999"/>
    <x v="7"/>
    <s v="VALIDATED"/>
    <n v="1"/>
    <s v="01.11.80.308.2013.0000"/>
    <n v="-93.59999999999999"/>
    <s v="11"/>
    <s v="2013"/>
    <n v="22185.3"/>
    <n v="-93.59999999999999"/>
    <s v="CREDITOR"/>
    <n v="0"/>
    <n v="0"/>
    <n v="-93.59999999999999"/>
    <n v="0"/>
    <n v="0"/>
  </r>
  <r>
    <n v="59904503"/>
    <s v="N"/>
    <n v="21361590"/>
    <s v="3000014261050007RC"/>
    <s v="CIVIL"/>
    <d v="2023-06-30T00:00:00"/>
    <d v="2023-07-11T19:38:00"/>
    <m/>
    <d v="2023-07-11T00:00:00"/>
    <n v="1600"/>
    <n v="15907"/>
    <s v="59904503"/>
    <s v="59904503"/>
    <m/>
    <m/>
    <m/>
    <m/>
    <m/>
    <m/>
    <s v="SOLRECOUP"/>
    <s v="SOLRECOUP"/>
    <s v="POARECOUP"/>
    <n v="21361590"/>
    <n v="-167"/>
    <m/>
    <s v="Y"/>
    <n v="1"/>
    <d v="2023-07-11T19:38:01"/>
    <s v="N"/>
    <m/>
    <m/>
    <s v="Non Expert Disbursement"/>
    <m/>
    <s v="N"/>
    <n v="-167"/>
    <n v="0"/>
    <x v="7"/>
    <s v="VALIDATED"/>
    <n v="1"/>
    <s v="01.11.80.308.2013.0000"/>
    <n v="-167"/>
    <s v="11"/>
    <s v="2013"/>
    <n v="22185.3"/>
    <n v="-167"/>
    <s v="CREDITOR"/>
    <n v="0"/>
    <n v="0"/>
    <n v="-167"/>
    <n v="0"/>
    <n v="0"/>
  </r>
  <r>
    <n v="59904503"/>
    <s v="N"/>
    <n v="21361590"/>
    <s v="3000014261050007RC"/>
    <s v="CIVIL"/>
    <d v="2023-06-30T00:00:00"/>
    <d v="2023-07-11T19:38:00"/>
    <m/>
    <d v="2023-07-11T00:00:00"/>
    <n v="1600"/>
    <n v="15907"/>
    <s v="59904503"/>
    <s v="59904503"/>
    <m/>
    <m/>
    <m/>
    <m/>
    <m/>
    <m/>
    <s v="SOLRECOUP"/>
    <s v="SOLRECOUP"/>
    <s v="POARECOUP"/>
    <n v="21361590"/>
    <n v="-167"/>
    <m/>
    <s v="Y"/>
    <n v="2"/>
    <d v="2023-07-11T19:38:01"/>
    <s v="N"/>
    <m/>
    <m/>
    <s v="Non Expert Disbursement"/>
    <m/>
    <s v="N"/>
    <n v="0"/>
    <n v="0"/>
    <x v="7"/>
    <s v="VALIDATED"/>
    <n v="1"/>
    <s v="01.11.80.000.0000.0000"/>
    <n v="0"/>
    <s v="11"/>
    <s v="0000"/>
    <n v="22185.3"/>
    <n v="0"/>
    <s v="CREDITOR"/>
    <n v="0"/>
    <n v="0"/>
    <n v="0"/>
    <n v="0"/>
    <n v="0"/>
  </r>
  <r>
    <n v="59904503"/>
    <s v="N"/>
    <n v="21361591"/>
    <s v="3000014261050003RC"/>
    <s v="CIVIL"/>
    <d v="2023-06-30T00:00:00"/>
    <d v="2023-07-11T19:38:00"/>
    <m/>
    <d v="2023-07-11T00:00:00"/>
    <n v="1600"/>
    <n v="15907"/>
    <s v="59904503"/>
    <s v="59904503"/>
    <m/>
    <m/>
    <m/>
    <m/>
    <m/>
    <m/>
    <s v="SOLRECOUP"/>
    <s v="SOLRECOUP"/>
    <s v="POARECOUP"/>
    <n v="21361591"/>
    <n v="-360.53"/>
    <m/>
    <s v="Y"/>
    <n v="1"/>
    <d v="2023-07-11T19:38:01"/>
    <s v="N"/>
    <m/>
    <m/>
    <s v="Non Expert Disbursement"/>
    <m/>
    <s v="N"/>
    <n v="-300.44"/>
    <n v="0"/>
    <x v="7"/>
    <s v="VALIDATED"/>
    <n v="1"/>
    <s v="01.11.80.308.2013.0000"/>
    <n v="-300.44"/>
    <s v="11"/>
    <s v="2013"/>
    <n v="22185.3"/>
    <n v="-300.44"/>
    <s v="CREDITOR"/>
    <n v="0"/>
    <n v="0"/>
    <n v="-300.44"/>
    <n v="0"/>
    <n v="0"/>
  </r>
  <r>
    <n v="59904503"/>
    <s v="N"/>
    <n v="21361591"/>
    <s v="3000014261050003RC"/>
    <s v="CIVIL"/>
    <d v="2023-06-30T00:00:00"/>
    <d v="2023-07-11T19:38:00"/>
    <m/>
    <d v="2023-07-11T00:00:00"/>
    <n v="1600"/>
    <n v="15907"/>
    <s v="59904503"/>
    <s v="59904503"/>
    <m/>
    <m/>
    <m/>
    <m/>
    <m/>
    <m/>
    <s v="SOLRECOUP"/>
    <s v="SOLRECOUP"/>
    <s v="POARECOUP"/>
    <n v="21361591"/>
    <n v="-360.53"/>
    <m/>
    <s v="Y"/>
    <n v="2"/>
    <d v="2023-07-11T19:38:01"/>
    <s v="N"/>
    <m/>
    <m/>
    <s v="Non Expert Disbursement"/>
    <m/>
    <s v="N"/>
    <n v="0"/>
    <n v="-60.09"/>
    <x v="7"/>
    <s v="VALIDATED"/>
    <n v="1"/>
    <s v="01.11.80.308.2013.0000"/>
    <n v="-60.09"/>
    <s v="11"/>
    <s v="2013"/>
    <n v="22185.3"/>
    <n v="-60.09"/>
    <s v="CREDITOR"/>
    <n v="0"/>
    <n v="0"/>
    <n v="-60.09"/>
    <n v="0"/>
    <n v="0"/>
  </r>
  <r>
    <n v="59904503"/>
    <s v="N"/>
    <n v="21361592"/>
    <s v="3000014261050004RC"/>
    <s v="CIVIL"/>
    <d v="2023-06-30T00:00:00"/>
    <d v="2023-07-11T19:38:00"/>
    <m/>
    <d v="2023-07-11T00:00:00"/>
    <n v="1600"/>
    <n v="15907"/>
    <s v="59904503"/>
    <s v="59904503"/>
    <m/>
    <m/>
    <m/>
    <m/>
    <m/>
    <m/>
    <s v="SOLRECOUP"/>
    <s v="SOLRECOUP"/>
    <s v="POARECOUP"/>
    <n v="21361592"/>
    <n v="-25.92"/>
    <m/>
    <s v="Y"/>
    <n v="1"/>
    <d v="2023-07-11T19:38:01"/>
    <s v="N"/>
    <m/>
    <m/>
    <s v="Non Expert Disbursement"/>
    <m/>
    <s v="N"/>
    <n v="-21.6"/>
    <n v="0"/>
    <x v="7"/>
    <s v="VALIDATED"/>
    <n v="1"/>
    <s v="01.11.80.308.2013.0000"/>
    <n v="-21.6"/>
    <s v="11"/>
    <s v="2013"/>
    <n v="22185.3"/>
    <n v="-21.6"/>
    <s v="CREDITOR"/>
    <n v="0"/>
    <n v="0"/>
    <n v="-21.6"/>
    <n v="0"/>
    <n v="0"/>
  </r>
  <r>
    <n v="59904503"/>
    <s v="N"/>
    <n v="21361592"/>
    <s v="3000014261050004RC"/>
    <s v="CIVIL"/>
    <d v="2023-06-30T00:00:00"/>
    <d v="2023-07-11T19:38:00"/>
    <m/>
    <d v="2023-07-11T00:00:00"/>
    <n v="1600"/>
    <n v="15907"/>
    <s v="59904503"/>
    <s v="59904503"/>
    <m/>
    <m/>
    <m/>
    <m/>
    <m/>
    <m/>
    <s v="SOLRECOUP"/>
    <s v="SOLRECOUP"/>
    <s v="POARECOUP"/>
    <n v="21361592"/>
    <n v="-25.92"/>
    <m/>
    <s v="Y"/>
    <n v="2"/>
    <d v="2023-07-11T19:38:01"/>
    <s v="N"/>
    <m/>
    <m/>
    <s v="Non Expert Disbursement"/>
    <m/>
    <s v="N"/>
    <n v="0"/>
    <n v="-4.32"/>
    <x v="7"/>
    <s v="VALIDATED"/>
    <n v="1"/>
    <s v="01.11.80.308.2013.0000"/>
    <n v="-4.32"/>
    <s v="11"/>
    <s v="2013"/>
    <n v="22185.3"/>
    <n v="-4.32"/>
    <s v="CREDITOR"/>
    <n v="0"/>
    <n v="0"/>
    <n v="-4.32"/>
    <n v="0"/>
    <n v="0"/>
  </r>
  <r>
    <n v="59904503"/>
    <s v="N"/>
    <n v="21361593"/>
    <s v="3000014261050005RC"/>
    <s v="CIVIL"/>
    <d v="2023-06-30T00:00:00"/>
    <d v="2023-07-11T19:38:00"/>
    <m/>
    <d v="2023-07-11T00:00:00"/>
    <n v="1600"/>
    <n v="15907"/>
    <s v="59904503"/>
    <s v="59904503"/>
    <m/>
    <m/>
    <m/>
    <m/>
    <m/>
    <m/>
    <s v="SOLRECOUP"/>
    <s v="SOLRECOUP"/>
    <s v="POARECOUP"/>
    <n v="21361593"/>
    <n v="-192.55"/>
    <m/>
    <s v="Y"/>
    <n v="1"/>
    <d v="2023-07-11T19:38:01"/>
    <s v="N"/>
    <m/>
    <m/>
    <s v="Expert Disbursement"/>
    <m/>
    <s v="N"/>
    <n v="-160.46"/>
    <n v="0"/>
    <x v="7"/>
    <s v="VALIDATED"/>
    <n v="1"/>
    <s v="01.11.80.308.2013.0000"/>
    <n v="-160.46"/>
    <s v="11"/>
    <s v="2013"/>
    <n v="22185.3"/>
    <n v="-160.46"/>
    <s v="CREDITOR"/>
    <n v="0"/>
    <n v="0"/>
    <n v="-160.46"/>
    <n v="0"/>
    <n v="0"/>
  </r>
  <r>
    <n v="59904503"/>
    <s v="N"/>
    <n v="21361593"/>
    <s v="3000014261050005RC"/>
    <s v="CIVIL"/>
    <d v="2023-06-30T00:00:00"/>
    <d v="2023-07-11T19:38:00"/>
    <m/>
    <d v="2023-07-11T00:00:00"/>
    <n v="1600"/>
    <n v="15907"/>
    <s v="59904503"/>
    <s v="59904503"/>
    <m/>
    <m/>
    <m/>
    <m/>
    <m/>
    <m/>
    <s v="SOLRECOUP"/>
    <s v="SOLRECOUP"/>
    <s v="POARECOUP"/>
    <n v="21361593"/>
    <n v="-192.55"/>
    <m/>
    <s v="Y"/>
    <n v="2"/>
    <d v="2023-07-11T19:38:01"/>
    <s v="N"/>
    <m/>
    <m/>
    <s v="Expert Disbursement"/>
    <m/>
    <s v="N"/>
    <n v="0"/>
    <n v="-32.09"/>
    <x v="7"/>
    <s v="VALIDATED"/>
    <n v="1"/>
    <s v="01.11.80.308.2013.0000"/>
    <n v="-32.09"/>
    <s v="11"/>
    <s v="2013"/>
    <n v="22185.3"/>
    <n v="-32.09"/>
    <s v="CREDITOR"/>
    <n v="0"/>
    <n v="0"/>
    <n v="-32.09"/>
    <n v="0"/>
    <n v="0"/>
  </r>
  <r>
    <n v="59904503"/>
    <s v="N"/>
    <n v="21361594"/>
    <s v="3000014261050006RC"/>
    <s v="CIVIL"/>
    <d v="2023-06-30T00:00:00"/>
    <d v="2023-07-11T19:38:00"/>
    <m/>
    <d v="2023-07-11T00:00:00"/>
    <n v="1600"/>
    <n v="15907"/>
    <s v="59904503"/>
    <s v="59904503"/>
    <m/>
    <m/>
    <m/>
    <m/>
    <m/>
    <m/>
    <s v="SOLRECOUP"/>
    <s v="SOLRECOUP"/>
    <s v="POARECOUP"/>
    <n v="21361594"/>
    <n v="-2918.4"/>
    <m/>
    <s v="Y"/>
    <n v="1"/>
    <d v="2023-07-11T19:38:01"/>
    <s v="N"/>
    <m/>
    <m/>
    <s v="Profit Cost"/>
    <m/>
    <s v="N"/>
    <n v="-2432"/>
    <n v="0"/>
    <x v="7"/>
    <s v="VALIDATED"/>
    <n v="1"/>
    <s v="01.11.80.308.2013.0000"/>
    <n v="-2432"/>
    <s v="11"/>
    <s v="2013"/>
    <n v="22185.3"/>
    <n v="-2432"/>
    <s v="CREDITOR"/>
    <n v="0"/>
    <n v="0"/>
    <n v="-2432"/>
    <n v="-608"/>
    <n v="0"/>
  </r>
  <r>
    <n v="59904503"/>
    <s v="N"/>
    <n v="21361594"/>
    <s v="3000014261050006RC"/>
    <s v="CIVIL"/>
    <d v="2023-06-30T00:00:00"/>
    <d v="2023-07-11T19:38:00"/>
    <m/>
    <d v="2023-07-11T00:00:00"/>
    <n v="1600"/>
    <n v="15907"/>
    <s v="59904503"/>
    <s v="59904503"/>
    <m/>
    <m/>
    <m/>
    <m/>
    <m/>
    <m/>
    <s v="SOLRECOUP"/>
    <s v="SOLRECOUP"/>
    <s v="POARECOUP"/>
    <n v="21361594"/>
    <n v="-2918.4"/>
    <m/>
    <s v="Y"/>
    <n v="2"/>
    <d v="2023-07-11T19:38:01"/>
    <s v="N"/>
    <m/>
    <m/>
    <s v="Profit Cost"/>
    <m/>
    <s v="N"/>
    <n v="0"/>
    <n v="-486.4"/>
    <x v="7"/>
    <s v="VALIDATED"/>
    <n v="1"/>
    <s v="01.11.80.308.2013.0000"/>
    <n v="-486.4"/>
    <s v="11"/>
    <s v="2013"/>
    <n v="22185.3"/>
    <n v="-486.4"/>
    <s v="CREDITOR"/>
    <n v="0"/>
    <n v="0"/>
    <n v="-486.4"/>
    <n v="-121.6"/>
    <n v="0"/>
  </r>
  <r>
    <n v="59904503"/>
    <s v="N"/>
    <n v="21361595"/>
    <s v="3000014261050008RC"/>
    <s v="CIVIL"/>
    <d v="2023-06-30T00:00:00"/>
    <d v="2023-07-11T19:38:00"/>
    <m/>
    <d v="2023-07-11T00:00:00"/>
    <n v="1600"/>
    <n v="15907"/>
    <s v="59904503"/>
    <s v="59904503"/>
    <m/>
    <m/>
    <m/>
    <m/>
    <m/>
    <m/>
    <s v="SOLRECOUP"/>
    <s v="SOLRECOUP"/>
    <s v="POARECOUP"/>
    <n v="21361595"/>
    <n v="-222.22"/>
    <m/>
    <s v="Y"/>
    <n v="1"/>
    <d v="2023-07-11T19:38:01"/>
    <s v="N"/>
    <m/>
    <m/>
    <s v="Non Expert Disbursement"/>
    <m/>
    <s v="N"/>
    <n v="-185.18"/>
    <n v="0"/>
    <x v="7"/>
    <s v="VALIDATED"/>
    <n v="1"/>
    <s v="01.11.80.308.2013.0000"/>
    <n v="-185.18"/>
    <s v="11"/>
    <s v="2013"/>
    <n v="22185.3"/>
    <n v="-185.18"/>
    <s v="CREDITOR"/>
    <n v="0"/>
    <n v="0"/>
    <n v="-185.18"/>
    <n v="0"/>
    <n v="0"/>
  </r>
  <r>
    <n v="10058695"/>
    <s v="N"/>
    <n v="21356774"/>
    <s v="3000005948260014RC"/>
    <s v="CIVIL"/>
    <d v="2023-06-21T00:00:00"/>
    <d v="2023-07-10T19:47:44"/>
    <m/>
    <d v="2023-07-10T00:00:00"/>
    <n v="1600"/>
    <n v="15907"/>
    <s v="10058695"/>
    <s v="10058695"/>
    <m/>
    <m/>
    <m/>
    <m/>
    <m/>
    <m/>
    <s v="SOLRECOUP"/>
    <s v="SOLRECOUP"/>
    <s v="POARECOUP"/>
    <n v="21356774"/>
    <n v="-2944.02"/>
    <m/>
    <s v="Y"/>
    <n v="2"/>
    <d v="2023-07-10T19:47:46"/>
    <s v="N"/>
    <m/>
    <m/>
    <s v="Expert Disbursement"/>
    <m/>
    <s v="N"/>
    <n v="0"/>
    <n v="0"/>
    <x v="2"/>
    <s v="VALIDATED"/>
    <n v="1"/>
    <s v="01.11.80.000.0000.0000"/>
    <n v="0"/>
    <s v="11"/>
    <s v="0000"/>
    <n v="22185.3"/>
    <n v="0"/>
    <s v="CREDITOR"/>
    <n v="0"/>
    <n v="0"/>
    <n v="0"/>
    <n v="0"/>
    <n v="0"/>
  </r>
  <r>
    <n v="10058695"/>
    <s v="N"/>
    <n v="21356775"/>
    <s v="3000005948260015RC"/>
    <s v="CIVIL"/>
    <d v="2023-06-21T00:00:00"/>
    <d v="2023-07-10T19:47:44"/>
    <m/>
    <d v="2023-07-10T00:00:00"/>
    <n v="1600"/>
    <n v="15907"/>
    <s v="10058695"/>
    <s v="10058695"/>
    <m/>
    <m/>
    <m/>
    <m/>
    <m/>
    <m/>
    <s v="SOLRECOUP"/>
    <s v="SOLRECOUP"/>
    <s v="POARECOUP"/>
    <n v="21356775"/>
    <n v="-290.9"/>
    <m/>
    <s v="Y"/>
    <n v="1"/>
    <d v="2023-07-10T19:47:46"/>
    <s v="N"/>
    <m/>
    <m/>
    <s v="Expert Disbursement"/>
    <m/>
    <s v="N"/>
    <n v="-290.9"/>
    <n v="0"/>
    <x v="2"/>
    <s v="VALIDATED"/>
    <n v="1"/>
    <s v="01.11.80.308.2013.0000"/>
    <n v="-290.9"/>
    <s v="11"/>
    <s v="2013"/>
    <n v="22185.3"/>
    <n v="-290.9"/>
    <s v="CREDITOR"/>
    <n v="0"/>
    <n v="0"/>
    <n v="-290.9"/>
    <n v="0"/>
    <n v="0"/>
  </r>
  <r>
    <n v="10058695"/>
    <s v="N"/>
    <n v="21356775"/>
    <s v="3000005948260015RC"/>
    <s v="CIVIL"/>
    <d v="2023-06-21T00:00:00"/>
    <d v="2023-07-10T19:47:44"/>
    <m/>
    <d v="2023-07-10T00:00:00"/>
    <n v="1600"/>
    <n v="15907"/>
    <s v="10058695"/>
    <s v="10058695"/>
    <m/>
    <m/>
    <m/>
    <m/>
    <m/>
    <m/>
    <s v="SOLRECOUP"/>
    <s v="SOLRECOUP"/>
    <s v="POARECOUP"/>
    <n v="21356775"/>
    <n v="-290.9"/>
    <m/>
    <s v="Y"/>
    <n v="2"/>
    <d v="2023-07-10T19:47:46"/>
    <s v="N"/>
    <m/>
    <m/>
    <s v="Expert Disbursement"/>
    <m/>
    <s v="N"/>
    <n v="0"/>
    <n v="0"/>
    <x v="2"/>
    <s v="VALIDATED"/>
    <n v="1"/>
    <s v="01.11.80.000.0000.0000"/>
    <n v="0"/>
    <s v="11"/>
    <s v="0000"/>
    <n v="22185.3"/>
    <n v="0"/>
    <s v="CREDITOR"/>
    <n v="0"/>
    <n v="0"/>
    <n v="0"/>
    <n v="0"/>
    <n v="0"/>
  </r>
  <r>
    <n v="10058695"/>
    <s v="N"/>
    <n v="21356776"/>
    <s v="3000005948260016RC"/>
    <s v="CIVIL"/>
    <d v="2023-06-21T00:00:00"/>
    <d v="2023-07-10T19:47:44"/>
    <m/>
    <d v="2023-07-10T00:00:00"/>
    <n v="1600"/>
    <n v="15907"/>
    <s v="10058695"/>
    <s v="10058695"/>
    <m/>
    <m/>
    <m/>
    <m/>
    <m/>
    <m/>
    <s v="SOLRECOUP"/>
    <s v="SOLRECOUP"/>
    <s v="POARECOUP"/>
    <n v="21356776"/>
    <n v="-262.9"/>
    <m/>
    <s v="Y"/>
    <n v="1"/>
    <d v="2023-07-10T19:47:46"/>
    <s v="N"/>
    <m/>
    <m/>
    <s v="Expert Disbursement"/>
    <m/>
    <s v="N"/>
    <n v="-262.9"/>
    <n v="0"/>
    <x v="2"/>
    <s v="VALIDATED"/>
    <n v="1"/>
    <s v="01.11.80.308.2013.0000"/>
    <n v="-262.9"/>
    <s v="11"/>
    <s v="2013"/>
    <n v="22185.3"/>
    <n v="-262.9"/>
    <s v="CREDITOR"/>
    <n v="0"/>
    <n v="0"/>
    <n v="-262.9"/>
    <n v="0"/>
    <n v="0"/>
  </r>
  <r>
    <n v="10058695"/>
    <s v="N"/>
    <n v="21356776"/>
    <s v="3000005948260016RC"/>
    <s v="CIVIL"/>
    <d v="2023-06-21T00:00:00"/>
    <d v="2023-07-10T19:47:44"/>
    <m/>
    <d v="2023-07-10T00:00:00"/>
    <n v="1600"/>
    <n v="15907"/>
    <s v="10058695"/>
    <s v="10058695"/>
    <m/>
    <m/>
    <m/>
    <m/>
    <m/>
    <m/>
    <s v="SOLRECOUP"/>
    <s v="SOLRECOUP"/>
    <s v="POARECOUP"/>
    <n v="21356776"/>
    <n v="-262.9"/>
    <m/>
    <s v="Y"/>
    <n v="2"/>
    <d v="2023-07-10T19:47:46"/>
    <s v="N"/>
    <m/>
    <m/>
    <s v="Expert Disbursement"/>
    <m/>
    <s v="N"/>
    <n v="0"/>
    <n v="0"/>
    <x v="2"/>
    <s v="VALIDATED"/>
    <n v="1"/>
    <s v="01.11.80.000.0000.0000"/>
    <n v="0"/>
    <s v="11"/>
    <s v="0000"/>
    <n v="22185.3"/>
    <n v="0"/>
    <s v="CREDITOR"/>
    <n v="0"/>
    <n v="0"/>
    <n v="0"/>
    <n v="0"/>
    <n v="0"/>
  </r>
  <r>
    <n v="10058695"/>
    <s v="N"/>
    <n v="21356777"/>
    <s v="3000005948260017RC"/>
    <s v="CIVIL"/>
    <d v="2023-06-21T00:00:00"/>
    <d v="2023-07-10T19:47:44"/>
    <m/>
    <d v="2023-07-10T00:00:00"/>
    <n v="1600"/>
    <n v="15907"/>
    <s v="10058695"/>
    <s v="10058695"/>
    <m/>
    <m/>
    <m/>
    <m/>
    <m/>
    <m/>
    <s v="SOLRECOUP"/>
    <s v="SOLRECOUP"/>
    <s v="POARECOUP"/>
    <n v="21356777"/>
    <n v="-84"/>
    <m/>
    <s v="Y"/>
    <n v="1"/>
    <d v="2023-07-10T19:47:46"/>
    <s v="N"/>
    <m/>
    <m/>
    <s v="Expert Disbursement"/>
    <m/>
    <s v="N"/>
    <n v="-84"/>
    <n v="0"/>
    <x v="2"/>
    <s v="VALIDATED"/>
    <n v="1"/>
    <s v="01.11.80.308.2013.0000"/>
    <n v="-84"/>
    <s v="11"/>
    <s v="2013"/>
    <n v="22185.3"/>
    <n v="-84"/>
    <s v="CREDITOR"/>
    <n v="0"/>
    <n v="0"/>
    <n v="-84"/>
    <n v="0"/>
    <n v="0"/>
  </r>
  <r>
    <n v="10058695"/>
    <s v="N"/>
    <n v="21356777"/>
    <s v="3000005948260017RC"/>
    <s v="CIVIL"/>
    <d v="2023-06-21T00:00:00"/>
    <d v="2023-07-10T19:47:44"/>
    <m/>
    <d v="2023-07-10T00:00:00"/>
    <n v="1600"/>
    <n v="15907"/>
    <s v="10058695"/>
    <s v="10058695"/>
    <m/>
    <m/>
    <m/>
    <m/>
    <m/>
    <m/>
    <s v="SOLRECOUP"/>
    <s v="SOLRECOUP"/>
    <s v="POARECOUP"/>
    <n v="21356777"/>
    <n v="-84"/>
    <m/>
    <s v="Y"/>
    <n v="2"/>
    <d v="2023-07-10T19:47:46"/>
    <s v="N"/>
    <m/>
    <m/>
    <s v="Expert Disbursement"/>
    <m/>
    <s v="N"/>
    <n v="0"/>
    <n v="0"/>
    <x v="2"/>
    <s v="VALIDATED"/>
    <n v="1"/>
    <s v="01.11.80.000.0000.0000"/>
    <n v="0"/>
    <s v="11"/>
    <s v="0000"/>
    <n v="22185.3"/>
    <n v="0"/>
    <s v="CREDITOR"/>
    <n v="0"/>
    <n v="0"/>
    <n v="0"/>
    <n v="0"/>
    <n v="0"/>
  </r>
  <r>
    <n v="59904503"/>
    <s v="N"/>
    <n v="21361595"/>
    <s v="3000014261050008RC"/>
    <s v="CIVIL"/>
    <d v="2023-06-30T00:00:00"/>
    <d v="2023-07-11T19:38:00"/>
    <m/>
    <d v="2023-07-11T00:00:00"/>
    <n v="1600"/>
    <n v="15907"/>
    <s v="59904503"/>
    <s v="59904503"/>
    <m/>
    <m/>
    <m/>
    <m/>
    <m/>
    <m/>
    <s v="SOLRECOUP"/>
    <s v="SOLRECOUP"/>
    <s v="POARECOUP"/>
    <n v="21361595"/>
    <n v="-222.22"/>
    <m/>
    <s v="Y"/>
    <n v="2"/>
    <d v="2023-07-11T19:38:01"/>
    <s v="N"/>
    <m/>
    <m/>
    <s v="Non Expert Disbursement"/>
    <m/>
    <s v="N"/>
    <n v="0"/>
    <n v="-37.04"/>
    <x v="7"/>
    <s v="VALIDATED"/>
    <n v="1"/>
    <s v="01.11.80.308.2013.0000"/>
    <n v="-37.04"/>
    <s v="11"/>
    <s v="2013"/>
    <n v="22185.3"/>
    <n v="-37.04"/>
    <s v="CREDITOR"/>
    <n v="0"/>
    <n v="0"/>
    <n v="-37.04"/>
    <n v="0"/>
    <n v="0"/>
  </r>
  <r>
    <n v="59904503"/>
    <s v="N"/>
    <n v="21361596"/>
    <s v="3000014261050012RC"/>
    <s v="CIVIL"/>
    <d v="2023-06-30T00:00:00"/>
    <d v="2023-07-11T19:38:00"/>
    <m/>
    <d v="2023-07-11T00:00:00"/>
    <n v="1600"/>
    <n v="15907"/>
    <s v="59904503"/>
    <s v="59904503"/>
    <m/>
    <m/>
    <m/>
    <m/>
    <m/>
    <m/>
    <s v="SOLRECOUP"/>
    <s v="SOLRECOUP"/>
    <s v="POARECOUP"/>
    <n v="21361596"/>
    <n v="-51.84"/>
    <m/>
    <s v="Y"/>
    <n v="1"/>
    <d v="2023-07-11T19:38:01"/>
    <s v="N"/>
    <m/>
    <m/>
    <s v="Non Expert Disbursement"/>
    <m/>
    <s v="N"/>
    <n v="-43.2"/>
    <n v="0"/>
    <x v="7"/>
    <s v="VALIDATED"/>
    <n v="1"/>
    <s v="01.11.80.308.2013.0000"/>
    <n v="-43.2"/>
    <s v="11"/>
    <s v="2013"/>
    <n v="22185.3"/>
    <n v="-43.2"/>
    <s v="CREDITOR"/>
    <n v="0"/>
    <n v="0"/>
    <n v="-43.2"/>
    <n v="0"/>
    <n v="0"/>
  </r>
  <r>
    <n v="59904503"/>
    <s v="N"/>
    <n v="21361596"/>
    <s v="3000014261050012RC"/>
    <s v="CIVIL"/>
    <d v="2023-06-30T00:00:00"/>
    <d v="2023-07-11T19:38:00"/>
    <m/>
    <d v="2023-07-11T00:00:00"/>
    <n v="1600"/>
    <n v="15907"/>
    <s v="59904503"/>
    <s v="59904503"/>
    <m/>
    <m/>
    <m/>
    <m/>
    <m/>
    <m/>
    <s v="SOLRECOUP"/>
    <s v="SOLRECOUP"/>
    <s v="POARECOUP"/>
    <n v="21361596"/>
    <n v="-51.84"/>
    <m/>
    <s v="Y"/>
    <n v="2"/>
    <d v="2023-07-11T19:38:01"/>
    <s v="N"/>
    <m/>
    <m/>
    <s v="Non Expert Disbursement"/>
    <m/>
    <s v="N"/>
    <n v="0"/>
    <n v="-8.640000000000001"/>
    <x v="7"/>
    <s v="VALIDATED"/>
    <n v="1"/>
    <s v="01.11.80.308.2013.0000"/>
    <n v="-8.640000000000001"/>
    <s v="11"/>
    <s v="2013"/>
    <n v="22185.3"/>
    <n v="-8.640000000000001"/>
    <s v="CREDITOR"/>
    <n v="0"/>
    <n v="0"/>
    <n v="-8.640000000000001"/>
    <n v="0"/>
    <n v="0"/>
  </r>
  <r>
    <n v="59904503"/>
    <s v="N"/>
    <n v="21361597"/>
    <s v="3000014261050011RC"/>
    <s v="CIVIL"/>
    <d v="2023-06-30T00:00:00"/>
    <d v="2023-07-11T19:38:00"/>
    <m/>
    <d v="2023-07-11T00:00:00"/>
    <n v="1600"/>
    <n v="15907"/>
    <s v="59904503"/>
    <s v="59904503"/>
    <m/>
    <m/>
    <m/>
    <m/>
    <m/>
    <m/>
    <s v="SOLRECOUP"/>
    <s v="SOLRECOUP"/>
    <s v="POARECOUP"/>
    <n v="21361597"/>
    <n v="-53"/>
    <m/>
    <s v="Y"/>
    <n v="1"/>
    <d v="2023-07-11T19:38:01"/>
    <s v="N"/>
    <m/>
    <m/>
    <s v="Non Expert Disbursement"/>
    <m/>
    <s v="N"/>
    <n v="-53"/>
    <n v="0"/>
    <x v="7"/>
    <s v="VALIDATED"/>
    <n v="1"/>
    <s v="01.11.80.308.2013.0000"/>
    <n v="-53"/>
    <s v="11"/>
    <s v="2013"/>
    <n v="22185.3"/>
    <n v="-53"/>
    <s v="CREDITOR"/>
    <n v="0"/>
    <n v="0"/>
    <n v="-53"/>
    <n v="0"/>
    <n v="0"/>
  </r>
  <r>
    <n v="59904503"/>
    <s v="N"/>
    <n v="21361597"/>
    <s v="3000014261050011RC"/>
    <s v="CIVIL"/>
    <d v="2023-06-30T00:00:00"/>
    <d v="2023-07-11T19:38:00"/>
    <m/>
    <d v="2023-07-11T00:00:00"/>
    <n v="1600"/>
    <n v="15907"/>
    <s v="59904503"/>
    <s v="59904503"/>
    <m/>
    <m/>
    <m/>
    <m/>
    <m/>
    <m/>
    <s v="SOLRECOUP"/>
    <s v="SOLRECOUP"/>
    <s v="POARECOUP"/>
    <n v="21361597"/>
    <n v="-53"/>
    <m/>
    <s v="Y"/>
    <n v="2"/>
    <d v="2023-07-11T19:38:01"/>
    <s v="N"/>
    <m/>
    <m/>
    <s v="Non Expert Disbursement"/>
    <m/>
    <s v="N"/>
    <n v="0"/>
    <n v="0"/>
    <x v="7"/>
    <s v="VALIDATED"/>
    <n v="1"/>
    <s v="01.11.80.000.0000.0000"/>
    <n v="0"/>
    <s v="11"/>
    <s v="0000"/>
    <n v="22185.3"/>
    <n v="0"/>
    <s v="CREDITOR"/>
    <n v="0"/>
    <n v="0"/>
    <n v="0"/>
    <n v="0"/>
    <n v="0"/>
  </r>
  <r>
    <n v="59904503"/>
    <s v="N"/>
    <n v="21361598"/>
    <s v="3000014261050015RC"/>
    <s v="CIVIL"/>
    <d v="2023-06-30T00:00:00"/>
    <d v="2023-07-11T19:38:00"/>
    <m/>
    <d v="2023-07-11T00:00:00"/>
    <n v="1600"/>
    <n v="15907"/>
    <s v="59904503"/>
    <s v="59904503"/>
    <m/>
    <m/>
    <m/>
    <m/>
    <m/>
    <m/>
    <s v="SOLRECOUP"/>
    <s v="SOLRECOUP"/>
    <s v="POARECOUP"/>
    <n v="21361598"/>
    <n v="-53"/>
    <m/>
    <s v="Y"/>
    <n v="1"/>
    <d v="2023-07-11T19:38:01"/>
    <s v="N"/>
    <m/>
    <m/>
    <s v="Non Expert Disbursement"/>
    <m/>
    <s v="N"/>
    <n v="-53"/>
    <n v="0"/>
    <x v="7"/>
    <s v="VALIDATED"/>
    <n v="1"/>
    <s v="01.11.80.308.2013.0000"/>
    <n v="-53"/>
    <s v="11"/>
    <s v="2013"/>
    <n v="22185.3"/>
    <n v="-53"/>
    <s v="CREDITOR"/>
    <n v="0"/>
    <n v="0"/>
    <n v="-53"/>
    <n v="0"/>
    <n v="0"/>
  </r>
  <r>
    <n v="59904503"/>
    <s v="N"/>
    <n v="21361598"/>
    <s v="3000014261050015RC"/>
    <s v="CIVIL"/>
    <d v="2023-06-30T00:00:00"/>
    <d v="2023-07-11T19:38:00"/>
    <m/>
    <d v="2023-07-11T00:00:00"/>
    <n v="1600"/>
    <n v="15907"/>
    <s v="59904503"/>
    <s v="59904503"/>
    <m/>
    <m/>
    <m/>
    <m/>
    <m/>
    <m/>
    <s v="SOLRECOUP"/>
    <s v="SOLRECOUP"/>
    <s v="POARECOUP"/>
    <n v="21361598"/>
    <n v="-53"/>
    <m/>
    <s v="Y"/>
    <n v="2"/>
    <d v="2023-07-11T19:38:01"/>
    <s v="N"/>
    <m/>
    <m/>
    <s v="Non Expert Disbursement"/>
    <m/>
    <s v="N"/>
    <n v="0"/>
    <n v="0"/>
    <x v="7"/>
    <s v="VALIDATED"/>
    <n v="1"/>
    <s v="01.11.80.000.0000.0000"/>
    <n v="0"/>
    <s v="11"/>
    <s v="0000"/>
    <n v="22185.3"/>
    <n v="0"/>
    <s v="CREDITOR"/>
    <n v="0"/>
    <n v="0"/>
    <n v="0"/>
    <n v="0"/>
    <n v="0"/>
  </r>
  <r>
    <n v="61728608"/>
    <s v="N"/>
    <n v="21377552"/>
    <s v="3000015721940003"/>
    <s v="CIVIL"/>
    <d v="2023-06-28T00:00:00"/>
    <d v="2023-07-14T12:49:43"/>
    <m/>
    <d v="2023-07-14T00:00:00"/>
    <n v="1621"/>
    <n v="16019"/>
    <s v="61728608"/>
    <s v="61728608"/>
    <m/>
    <m/>
    <n v="22778856"/>
    <m/>
    <m/>
    <m/>
    <s v="SOLFIN"/>
    <s v="SOLFIN"/>
    <s v="CCMS"/>
    <n v="21377552"/>
    <n v="715.4"/>
    <m/>
    <s v="N"/>
    <n v="2"/>
    <d v="2023-07-14T12:49:46"/>
    <s v="Y"/>
    <s v="Level 3 Fixed Fee"/>
    <s v="Finance"/>
    <s v="Profit Cost"/>
    <s v="Mrs N J Board"/>
    <s v="Y"/>
    <n v="392"/>
    <n v="78.40000000000001"/>
    <x v="10"/>
    <s v="VALIDATED"/>
    <n v="1"/>
    <s v="01.11.80.303.6100.0000"/>
    <n v="392"/>
    <s v="11"/>
    <s v="6100"/>
    <n v="3008"/>
    <n v="392"/>
    <s v="CREDITOR"/>
    <n v="0"/>
    <n v="0"/>
    <n v="0"/>
    <n v="0"/>
    <n v="392"/>
  </r>
  <r>
    <n v="61728608"/>
    <s v="N"/>
    <n v="21377552"/>
    <s v="3000015721940003"/>
    <s v="CIVIL"/>
    <d v="2023-06-28T00:00:00"/>
    <d v="2023-07-14T12:49:43"/>
    <m/>
    <d v="2023-07-14T00:00:00"/>
    <n v="1621"/>
    <n v="16019"/>
    <s v="61728608"/>
    <s v="61728608"/>
    <m/>
    <m/>
    <n v="22778856"/>
    <m/>
    <m/>
    <m/>
    <s v="SOLFIN"/>
    <s v="SOLFIN"/>
    <s v="CCMS"/>
    <n v="21377552"/>
    <n v="715.4"/>
    <m/>
    <s v="N"/>
    <n v="1"/>
    <d v="2023-07-14T12:49:46"/>
    <s v="Y"/>
    <s v="Court Fee"/>
    <s v="Finance"/>
    <s v="Non Expert Disbursement"/>
    <s v="Mrs N J Board"/>
    <s v="Y"/>
    <n v="245"/>
    <n v="0"/>
    <x v="10"/>
    <s v="VALIDATED"/>
    <n v="1"/>
    <s v="01.11.80.303.6300.0000"/>
    <n v="245"/>
    <s v="11"/>
    <s v="6300"/>
    <n v="3008"/>
    <n v="245"/>
    <s v="CREDITOR"/>
    <n v="0"/>
    <n v="0"/>
    <n v="0"/>
    <n v="0"/>
    <n v="245"/>
  </r>
  <r>
    <n v="61897650"/>
    <s v="N"/>
    <n v="21327623"/>
    <s v="3000015955300002"/>
    <s v="CIVIL"/>
    <d v="2023-06-28T00:00:00"/>
    <d v="2023-07-04T19:00:44"/>
    <m/>
    <d v="2023-07-04T00:00:00"/>
    <n v="1621"/>
    <n v="16019"/>
    <s v="61897650"/>
    <s v="61897650"/>
    <m/>
    <m/>
    <n v="22778360"/>
    <m/>
    <m/>
    <m/>
    <s v="SOLFIN"/>
    <s v="SOLFIN"/>
    <s v="CCMS"/>
    <n v="21327623"/>
    <n v="3139.2"/>
    <m/>
    <s v="N"/>
    <n v="1"/>
    <d v="2023-07-04T19:00:51"/>
    <s v="Y"/>
    <s v="Solicitors Fixed Fee"/>
    <s v="Public Law Children"/>
    <s v="Profit Cost"/>
    <s v="Mrs N J Board"/>
    <s v="Y"/>
    <n v="2616"/>
    <n v="523.2"/>
    <x v="1"/>
    <s v="VALIDATED"/>
    <n v="1"/>
    <s v="01.11.80.308.6100.0000"/>
    <n v="2616"/>
    <s v="11"/>
    <s v="6100"/>
    <n v="3008"/>
    <n v="2616"/>
    <s v="CREDITOR"/>
    <n v="0"/>
    <n v="0"/>
    <n v="0"/>
    <n v="0"/>
    <n v="2616"/>
  </r>
  <r>
    <n v="61728608"/>
    <s v="N"/>
    <n v="21378268"/>
    <s v="3000015721940001RC"/>
    <s v="CIVIL"/>
    <d v="2023-06-28T00:00:00"/>
    <d v="2023-07-14T19:33:52"/>
    <m/>
    <d v="2023-07-14T00:00:00"/>
    <n v="1621"/>
    <n v="16019"/>
    <s v="61728608"/>
    <s v="61728608"/>
    <m/>
    <m/>
    <m/>
    <m/>
    <m/>
    <m/>
    <s v="SOLRECOUP"/>
    <s v="SOLRECOUP"/>
    <s v="POARECOUP"/>
    <n v="21378268"/>
    <n v="-245"/>
    <m/>
    <s v="Y"/>
    <n v="2"/>
    <d v="2023-07-14T19:33:53"/>
    <s v="N"/>
    <m/>
    <m/>
    <s v="Non Expert Disbursement"/>
    <m/>
    <s v="N"/>
    <n v="0"/>
    <n v="0"/>
    <x v="10"/>
    <s v="VALIDATED"/>
    <n v="1"/>
    <s v="01.11.80.000.0000.0000"/>
    <n v="0"/>
    <s v="11"/>
    <s v="0000"/>
    <n v="3008"/>
    <n v="0"/>
    <s v="CREDITOR"/>
    <n v="0"/>
    <n v="0"/>
    <n v="0"/>
    <n v="0"/>
    <n v="0"/>
  </r>
  <r>
    <n v="61728608"/>
    <s v="N"/>
    <n v="21378268"/>
    <s v="3000015721940001RC"/>
    <s v="CIVIL"/>
    <d v="2023-06-28T00:00:00"/>
    <d v="2023-07-14T19:33:52"/>
    <m/>
    <d v="2023-07-14T00:00:00"/>
    <n v="1621"/>
    <n v="16019"/>
    <s v="61728608"/>
    <s v="61728608"/>
    <m/>
    <m/>
    <m/>
    <m/>
    <m/>
    <m/>
    <s v="SOLRECOUP"/>
    <s v="SOLRECOUP"/>
    <s v="POARECOUP"/>
    <n v="21378268"/>
    <n v="-245"/>
    <m/>
    <s v="Y"/>
    <n v="1"/>
    <d v="2023-07-14T19:33:53"/>
    <s v="N"/>
    <m/>
    <m/>
    <s v="Non Expert Disbursement"/>
    <m/>
    <s v="N"/>
    <n v="-245"/>
    <n v="0"/>
    <x v="10"/>
    <s v="VALIDATED"/>
    <n v="1"/>
    <s v="01.11.80.303.2013.0000"/>
    <n v="-245"/>
    <s v="11"/>
    <s v="2013"/>
    <n v="3008"/>
    <n v="-245"/>
    <s v="CREDITOR"/>
    <n v="0"/>
    <n v="0"/>
    <n v="-245"/>
    <n v="0"/>
    <n v="0"/>
  </r>
  <r>
    <n v="61279559"/>
    <s v="N"/>
    <n v="21350037"/>
    <s v="3000015418720001"/>
    <s v="CIVIL"/>
    <d v="2023-06-29T00:00:00"/>
    <d v="2023-07-10T19:01:40"/>
    <m/>
    <d v="2023-07-10T00:00:00"/>
    <n v="1624"/>
    <n v="16030"/>
    <s v="61279559"/>
    <s v="61279559"/>
    <m/>
    <m/>
    <n v="22788504"/>
    <m/>
    <m/>
    <m/>
    <s v="SOLFIN"/>
    <s v="SOLFIN"/>
    <s v="CCMS"/>
    <n v="21350037"/>
    <n v="1568.31"/>
    <m/>
    <s v="N"/>
    <n v="3"/>
    <d v="2023-07-10T19:02:10"/>
    <s v="Y"/>
    <s v="Level 3 Fixed Fee"/>
    <s v="Finance"/>
    <s v="Profit Cost"/>
    <s v="RSN"/>
    <s v="Y"/>
    <n v="392"/>
    <n v="78.40000000000001"/>
    <x v="2"/>
    <s v="VALIDATED"/>
    <n v="1"/>
    <s v="01.11.80.302.6100.0000"/>
    <n v="392"/>
    <s v="11"/>
    <s v="6100"/>
    <n v="6163.25"/>
    <n v="392"/>
    <s v="CREDITOR"/>
    <n v="0"/>
    <n v="0"/>
    <n v="0"/>
    <n v="0"/>
    <n v="392"/>
  </r>
  <r>
    <n v="56430045"/>
    <s v="N"/>
    <n v="21330820"/>
    <s v="3000013412010011"/>
    <s v="CIVIL"/>
    <d v="2023-06-23T00:00:00"/>
    <d v="2023-07-05T19:01:47"/>
    <m/>
    <d v="2023-07-05T00:00:00"/>
    <n v="1624"/>
    <n v="16030"/>
    <s v="56430045"/>
    <s v="56430045"/>
    <m/>
    <m/>
    <n v="22753924"/>
    <m/>
    <m/>
    <m/>
    <s v="SOLFIN"/>
    <s v="SOLFIN"/>
    <s v="CCMS"/>
    <n v="21330820"/>
    <n v="8090.68"/>
    <m/>
    <s v="N"/>
    <n v="2"/>
    <d v="2023-07-05T19:01:54"/>
    <s v="Y"/>
    <s v="Profit Costs (Summary)"/>
    <s v="Prescribed Hourly Rates"/>
    <s v="Profit Cost"/>
    <s v="RSN"/>
    <s v="Y"/>
    <n v="6244.73"/>
    <n v="1248.95"/>
    <x v="6"/>
    <s v="VALIDATED"/>
    <n v="1"/>
    <s v="01.11.80.307.6100.0000"/>
    <n v="6244.73"/>
    <s v="11"/>
    <s v="6100"/>
    <n v="6163.25"/>
    <n v="6244.73"/>
    <s v="CREDITOR"/>
    <n v="0"/>
    <n v="0"/>
    <n v="0"/>
    <n v="0"/>
    <n v="6244.73"/>
  </r>
  <r>
    <n v="60603573"/>
    <s v="N"/>
    <n v="21321484"/>
    <s v="3000014864700014"/>
    <s v="CIVIL"/>
    <d v="2023-06-29T00:00:00"/>
    <d v="2023-07-03T19:05:17"/>
    <m/>
    <d v="2023-07-03T00:00:00"/>
    <n v="1624"/>
    <n v="16030"/>
    <s v="60603573"/>
    <s v="60603573"/>
    <m/>
    <m/>
    <n v="22785388"/>
    <m/>
    <m/>
    <m/>
    <s v="SOLPOA"/>
    <s v="SOLPOA"/>
    <s v="CCMS"/>
    <n v="21321484"/>
    <n v="234.85"/>
    <m/>
    <s v="N"/>
    <n v="1"/>
    <d v="2023-07-03T19:05:19"/>
    <s v="N"/>
    <s v="Non Expert Disbursement - Domestic "/>
    <s v="Non Expert Disbursement - Dome"/>
    <s v="Non Expert Disbursement"/>
    <s v="TMK"/>
    <s v="N"/>
    <n v="195.71"/>
    <n v="39.14"/>
    <x v="3"/>
    <s v="VALIDATED"/>
    <n v="1"/>
    <s v="01.11.80.302.2012.0000"/>
    <n v="195.71"/>
    <s v="11"/>
    <s v="2012"/>
    <n v="6163.25"/>
    <n v="195.71"/>
    <s v="CREDITOR"/>
    <n v="195.71"/>
    <n v="0"/>
    <n v="0"/>
    <n v="0"/>
    <n v="0"/>
  </r>
  <r>
    <n v="61960640"/>
    <s v="N"/>
    <n v="21327716"/>
    <s v="3000016006780002"/>
    <s v="CIVIL"/>
    <d v="2023-06-23T00:00:00"/>
    <d v="2023-07-04T19:00:44"/>
    <m/>
    <d v="2023-07-04T00:00:00"/>
    <n v="1624"/>
    <n v="16030"/>
    <s v="61960640"/>
    <s v="61960640"/>
    <m/>
    <m/>
    <n v="22755044"/>
    <m/>
    <m/>
    <m/>
    <s v="SOLFIN"/>
    <s v="SOLFIN"/>
    <s v="CCMS"/>
    <n v="21327716"/>
    <n v="423.6"/>
    <m/>
    <s v="N"/>
    <n v="1"/>
    <d v="2023-07-04T19:00:53"/>
    <s v="Y"/>
    <s v="Level 3 Fixed Fee"/>
    <s v="Private Law Children"/>
    <s v="Profit Cost"/>
    <s v="RSN"/>
    <s v="Y"/>
    <n v="353"/>
    <n v="70.59999999999999"/>
    <x v="1"/>
    <s v="VALIDATED"/>
    <n v="1"/>
    <s v="01.11.80.307.6100.0000"/>
    <n v="353"/>
    <s v="11"/>
    <s v="6100"/>
    <n v="6163.25"/>
    <n v="353"/>
    <s v="CREDITOR"/>
    <n v="0"/>
    <n v="0"/>
    <n v="0"/>
    <n v="0"/>
    <n v="353"/>
  </r>
  <r>
    <n v="56430045"/>
    <s v="N"/>
    <n v="21330820"/>
    <s v="3000013412010011"/>
    <s v="CIVIL"/>
    <d v="2023-06-23T00:00:00"/>
    <d v="2023-07-05T19:01:47"/>
    <m/>
    <d v="2023-07-05T00:00:00"/>
    <n v="1624"/>
    <n v="16030"/>
    <s v="56430045"/>
    <s v="56430045"/>
    <m/>
    <m/>
    <n v="22753924"/>
    <m/>
    <m/>
    <m/>
    <s v="SOLFIN"/>
    <s v="SOLFIN"/>
    <s v="CCMS"/>
    <n v="21330820"/>
    <n v="8090.68"/>
    <m/>
    <s v="N"/>
    <n v="1"/>
    <d v="2023-07-05T19:01:54"/>
    <s v="Y"/>
    <s v="Court Fee"/>
    <s v="Prescribed Hourly Rates"/>
    <s v="Non Expert Disbursement"/>
    <s v="RSN"/>
    <s v="Y"/>
    <n v="167"/>
    <n v="0"/>
    <x v="6"/>
    <s v="VALIDATED"/>
    <n v="1"/>
    <s v="01.11.80.307.6300.0000"/>
    <n v="167"/>
    <s v="11"/>
    <s v="6300"/>
    <n v="6163.25"/>
    <n v="167"/>
    <s v="CREDITOR"/>
    <n v="0"/>
    <n v="0"/>
    <n v="0"/>
    <n v="0"/>
    <n v="167"/>
  </r>
  <r>
    <n v="56430045"/>
    <s v="N"/>
    <n v="21330820"/>
    <s v="3000013412010011"/>
    <s v="CIVIL"/>
    <d v="2023-06-23T00:00:00"/>
    <d v="2023-07-05T19:01:47"/>
    <m/>
    <d v="2023-07-05T00:00:00"/>
    <n v="1624"/>
    <n v="16030"/>
    <s v="56430045"/>
    <s v="56430045"/>
    <m/>
    <m/>
    <n v="22753924"/>
    <m/>
    <m/>
    <m/>
    <s v="SOLFIN"/>
    <s v="SOLFIN"/>
    <s v="CCMS"/>
    <n v="21330820"/>
    <n v="8090.68"/>
    <m/>
    <s v="N"/>
    <n v="4"/>
    <d v="2023-07-05T19:01:54"/>
    <s v="Y"/>
    <s v="Court Fee"/>
    <s v="Prescribed Hourly Rates"/>
    <s v="Non Expert Disbursement"/>
    <s v="RSN"/>
    <s v="Y"/>
    <n v="215"/>
    <n v="0"/>
    <x v="6"/>
    <s v="VALIDATED"/>
    <n v="1"/>
    <s v="01.11.80.307.6300.0000"/>
    <n v="215"/>
    <s v="11"/>
    <s v="6300"/>
    <n v="6163.25"/>
    <n v="215"/>
    <s v="CREDITOR"/>
    <n v="0"/>
    <n v="0"/>
    <n v="0"/>
    <n v="0"/>
    <n v="215"/>
  </r>
  <r>
    <n v="61279559"/>
    <s v="N"/>
    <n v="21350037"/>
    <s v="3000015418720001"/>
    <s v="CIVIL"/>
    <d v="2023-06-29T00:00:00"/>
    <d v="2023-07-10T19:01:40"/>
    <m/>
    <d v="2023-07-10T00:00:00"/>
    <n v="1624"/>
    <n v="16030"/>
    <s v="61279559"/>
    <s v="61279559"/>
    <m/>
    <m/>
    <n v="22788504"/>
    <m/>
    <m/>
    <m/>
    <s v="SOLFIN"/>
    <s v="SOLFIN"/>
    <s v="CCMS"/>
    <n v="21350037"/>
    <n v="1568.31"/>
    <m/>
    <s v="N"/>
    <n v="1"/>
    <d v="2023-07-10T19:02:10"/>
    <s v="Y"/>
    <s v="Court Fee"/>
    <s v="Finance"/>
    <s v="Non Expert Disbursement"/>
    <s v="RSN"/>
    <s v="Y"/>
    <n v="245"/>
    <n v="0"/>
    <x v="2"/>
    <s v="VALIDATED"/>
    <n v="1"/>
    <s v="01.11.80.302.6300.0000"/>
    <n v="245"/>
    <s v="11"/>
    <s v="6300"/>
    <n v="6163.25"/>
    <n v="245"/>
    <s v="CREDITOR"/>
    <n v="0"/>
    <n v="0"/>
    <n v="0"/>
    <n v="0"/>
    <n v="245"/>
  </r>
  <r>
    <n v="56155115"/>
    <s v="N"/>
    <n v="21338216"/>
    <s v="3000013301300015"/>
    <s v="CIVIL"/>
    <d v="2023-06-28T00:00:00"/>
    <d v="2023-07-06T19:21:01"/>
    <m/>
    <d v="2023-07-06T00:00:00"/>
    <n v="1624"/>
    <n v="16030"/>
    <s v="56155115"/>
    <s v="56155115"/>
    <m/>
    <m/>
    <n v="22781740"/>
    <m/>
    <m/>
    <m/>
    <s v="SOLPOA"/>
    <s v="SOLPOA"/>
    <s v="CCMS"/>
    <n v="21338216"/>
    <n v="48.25"/>
    <m/>
    <s v="N"/>
    <n v="1"/>
    <d v="2023-07-06T19:21:12"/>
    <s v="N"/>
    <s v="Non Expert Disbursement - Private L"/>
    <s v="Non Expert Disbursement - Priv"/>
    <s v="Non Expert Disbursement"/>
    <s v="Rob Nickless"/>
    <s v="N"/>
    <n v="40.21"/>
    <n v="8.039999999999999"/>
    <x v="4"/>
    <s v="VALIDATED"/>
    <n v="1"/>
    <s v="01.11.80.307.2012.0000"/>
    <n v="40.21"/>
    <s v="11"/>
    <s v="2012"/>
    <n v="6163.25"/>
    <n v="40.21"/>
    <s v="CREDITOR"/>
    <n v="40.21"/>
    <n v="0"/>
    <n v="0"/>
    <n v="0"/>
    <n v="0"/>
  </r>
  <r>
    <n v="56430045"/>
    <s v="N"/>
    <n v="21330820"/>
    <s v="3000013412010011"/>
    <s v="CIVIL"/>
    <d v="2023-06-23T00:00:00"/>
    <d v="2023-07-05T19:01:47"/>
    <m/>
    <d v="2023-07-05T00:00:00"/>
    <n v="1624"/>
    <n v="16030"/>
    <s v="56430045"/>
    <s v="56430045"/>
    <m/>
    <m/>
    <n v="22753924"/>
    <m/>
    <m/>
    <m/>
    <s v="SOLFIN"/>
    <s v="SOLFIN"/>
    <s v="CCMS"/>
    <n v="21330820"/>
    <n v="8090.68"/>
    <m/>
    <s v="N"/>
    <n v="3"/>
    <d v="2023-07-05T19:01:54"/>
    <s v="Y"/>
    <s v="Enquiry Agent"/>
    <s v="Prescribed Hourly Rates"/>
    <s v="Expert Disbursement"/>
    <s v="RSN"/>
    <s v="Y"/>
    <n v="50"/>
    <n v="10"/>
    <x v="6"/>
    <s v="VALIDATED"/>
    <n v="1"/>
    <s v="01.11.80.307.6300.0000"/>
    <n v="50"/>
    <s v="11"/>
    <s v="6300"/>
    <n v="6163.25"/>
    <n v="50"/>
    <s v="CREDITOR"/>
    <n v="0"/>
    <n v="0"/>
    <n v="0"/>
    <n v="0"/>
    <n v="50"/>
  </r>
  <r>
    <n v="61279559"/>
    <s v="N"/>
    <n v="21350037"/>
    <s v="3000015418720001"/>
    <s v="CIVIL"/>
    <d v="2023-06-29T00:00:00"/>
    <d v="2023-07-10T19:01:40"/>
    <m/>
    <d v="2023-07-10T00:00:00"/>
    <n v="1624"/>
    <n v="16030"/>
    <s v="61279559"/>
    <s v="61279559"/>
    <m/>
    <m/>
    <n v="22788504"/>
    <m/>
    <m/>
    <m/>
    <s v="SOLFIN"/>
    <s v="SOLFIN"/>
    <s v="CCMS"/>
    <n v="21350037"/>
    <n v="1568.31"/>
    <m/>
    <s v="N"/>
    <n v="4"/>
    <d v="2023-07-10T19:02:10"/>
    <s v="Y"/>
    <s v="Level 4 Fixed Fee"/>
    <s v="Domestic Abuse"/>
    <s v="Profit Cost"/>
    <s v="RSN"/>
    <s v="Y"/>
    <n v="507"/>
    <n v="101.4"/>
    <x v="2"/>
    <s v="VALIDATED"/>
    <n v="1"/>
    <s v="01.11.80.302.6100.0000"/>
    <n v="507"/>
    <s v="11"/>
    <s v="6100"/>
    <n v="6163.25"/>
    <n v="507"/>
    <s v="CREDITOR"/>
    <n v="0"/>
    <n v="0"/>
    <n v="0"/>
    <n v="0"/>
    <n v="507"/>
  </r>
  <r>
    <n v="61866788"/>
    <s v="N"/>
    <n v="21370375"/>
    <s v="3000015929610003"/>
    <s v="CIVIL"/>
    <d v="2023-06-29T00:00:00"/>
    <d v="2023-07-13T19:21:05"/>
    <m/>
    <d v="2023-07-13T00:00:00"/>
    <n v="1624"/>
    <n v="16030"/>
    <s v="61866788"/>
    <s v="61866788"/>
    <m/>
    <m/>
    <n v="22786184"/>
    <m/>
    <m/>
    <m/>
    <s v="SOLFIN"/>
    <s v="SOLFIN"/>
    <s v="CCMS"/>
    <n v="21370375"/>
    <n v="423.6"/>
    <m/>
    <s v="N"/>
    <n v="1"/>
    <d v="2023-07-13T19:21:23"/>
    <s v="Y"/>
    <s v="Level 3 Fixed Fee"/>
    <s v="Private Law Children"/>
    <s v="Profit Cost"/>
    <s v="TMK"/>
    <s v="Y"/>
    <n v="353"/>
    <n v="70.59999999999999"/>
    <x v="11"/>
    <s v="VALIDATED"/>
    <n v="1"/>
    <s v="01.11.80.307.6100.0000"/>
    <n v="353"/>
    <s v="11"/>
    <s v="6100"/>
    <n v="6163.25"/>
    <n v="353"/>
    <s v="CREDITOR"/>
    <n v="0"/>
    <n v="0"/>
    <n v="0"/>
    <n v="0"/>
    <n v="353"/>
  </r>
  <r>
    <n v="60641037"/>
    <s v="N"/>
    <n v="21321301"/>
    <s v="3000014896410008"/>
    <s v="CIVIL"/>
    <d v="2023-06-29T00:00:00"/>
    <d v="2023-07-03T19:05:17"/>
    <m/>
    <d v="2023-07-03T00:00:00"/>
    <n v="1624"/>
    <n v="16030"/>
    <s v="60641037"/>
    <s v="60641037"/>
    <m/>
    <m/>
    <n v="22785410"/>
    <m/>
    <m/>
    <m/>
    <s v="SOLPOA"/>
    <s v="SOLPOA"/>
    <s v="CCMS"/>
    <n v="21321301"/>
    <n v="193.7"/>
    <m/>
    <s v="N"/>
    <n v="1"/>
    <d v="2023-07-03T19:05:18"/>
    <s v="N"/>
    <s v="Non Expert Disbursement - Domestic "/>
    <s v="Non Expert Disbursement - Dome"/>
    <s v="Non Expert Disbursement"/>
    <s v="TMK"/>
    <s v="N"/>
    <n v="161.42"/>
    <n v="32.28"/>
    <x v="3"/>
    <s v="VALIDATED"/>
    <n v="1"/>
    <s v="01.11.80.302.2012.0000"/>
    <n v="161.42"/>
    <s v="11"/>
    <s v="2012"/>
    <n v="6163.25"/>
    <n v="161.42"/>
    <s v="CREDITOR"/>
    <n v="161.42"/>
    <n v="0"/>
    <n v="0"/>
    <n v="0"/>
    <n v="0"/>
  </r>
  <r>
    <n v="56430045"/>
    <s v="N"/>
    <n v="21330820"/>
    <s v="3000013412010011"/>
    <s v="CIVIL"/>
    <d v="2023-06-23T00:00:00"/>
    <d v="2023-07-05T19:01:47"/>
    <m/>
    <d v="2023-07-05T00:00:00"/>
    <n v="1624"/>
    <n v="16030"/>
    <s v="56430045"/>
    <s v="56430045"/>
    <m/>
    <m/>
    <n v="22753924"/>
    <m/>
    <m/>
    <m/>
    <s v="SOLFIN"/>
    <s v="SOLFIN"/>
    <s v="CCMS"/>
    <n v="21330820"/>
    <n v="8090.68"/>
    <m/>
    <s v="N"/>
    <n v="6"/>
    <d v="2023-07-05T19:01:54"/>
    <s v="N"/>
    <s v="Level 3 &amp; Level 4 Fixed Fee"/>
    <s v="Private Law Children"/>
    <s v="Profit Cost"/>
    <s v="RSN"/>
    <s v="N"/>
    <n v="0"/>
    <n v="0"/>
    <x v="6"/>
    <s v="VALIDATED"/>
    <n v="1"/>
    <s v="01.11.80.307.6100.0000"/>
    <n v="0"/>
    <s v="11"/>
    <s v="6100"/>
    <n v="6163.25"/>
    <n v="0"/>
    <s v="CREDITOR"/>
    <n v="0"/>
    <n v="0"/>
    <n v="0"/>
    <n v="0"/>
    <n v="0"/>
  </r>
  <r>
    <n v="56245141"/>
    <s v="N"/>
    <n v="21338099"/>
    <s v="3000013300190008"/>
    <s v="CIVIL"/>
    <d v="2023-06-28T00:00:00"/>
    <d v="2023-07-06T19:21:01"/>
    <m/>
    <d v="2023-07-06T00:00:00"/>
    <n v="1624"/>
    <n v="16030"/>
    <s v="56245141"/>
    <s v="56245141"/>
    <m/>
    <m/>
    <n v="22781704"/>
    <m/>
    <m/>
    <m/>
    <s v="SOLPOA"/>
    <s v="SOLPOA"/>
    <s v="CCMS"/>
    <n v="21338099"/>
    <n v="279.05"/>
    <m/>
    <s v="N"/>
    <n v="1"/>
    <d v="2023-07-06T19:21:11"/>
    <s v="N"/>
    <s v="Non Expert Disbursement - Private L"/>
    <s v="Non Expert Disbursement - Priv"/>
    <s v="Non Expert Disbursement"/>
    <s v="Rob Nickless"/>
    <s v="N"/>
    <n v="232.54"/>
    <n v="46.51"/>
    <x v="4"/>
    <s v="VALIDATED"/>
    <n v="1"/>
    <s v="01.11.80.307.2012.0000"/>
    <n v="232.54"/>
    <s v="11"/>
    <s v="2012"/>
    <n v="6163.25"/>
    <n v="232.54"/>
    <s v="CREDITOR"/>
    <n v="232.54"/>
    <n v="0"/>
    <n v="0"/>
    <n v="0"/>
    <n v="0"/>
  </r>
  <r>
    <n v="35138542"/>
    <s v="N"/>
    <n v="21349525"/>
    <s v="3000010105510003"/>
    <s v="CIVIL"/>
    <d v="2023-06-29T00:00:00"/>
    <d v="2023-07-10T19:01:40"/>
    <m/>
    <d v="2023-07-10T00:00:00"/>
    <n v="1624"/>
    <n v="16030"/>
    <s v="35138542"/>
    <s v="35138542"/>
    <m/>
    <m/>
    <n v="22789042"/>
    <m/>
    <m/>
    <m/>
    <s v="SOLPOA"/>
    <s v="SOLPOA"/>
    <s v="CCMS"/>
    <n v="21349525"/>
    <n v="2530.56"/>
    <m/>
    <s v="N"/>
    <n v="1"/>
    <d v="2023-07-10T19:01:52"/>
    <s v="N"/>
    <s v="Level 3 &amp; Level 4 Fixed Fee"/>
    <s v="Private Law Children"/>
    <s v="Profit Cost"/>
    <s v="TOM KILLICK"/>
    <s v="N"/>
    <n v="2108.8"/>
    <n v="421.76"/>
    <x v="2"/>
    <s v="VALIDATED"/>
    <n v="1"/>
    <s v="01.11.80.307.2012.0000"/>
    <n v="2108.8"/>
    <s v="11"/>
    <s v="2012"/>
    <n v="6163.25"/>
    <n v="2108.8"/>
    <s v="CREDITOR"/>
    <n v="2108.8"/>
    <n v="527.2"/>
    <n v="0"/>
    <n v="0"/>
    <n v="0"/>
  </r>
  <r>
    <n v="56430045"/>
    <s v="N"/>
    <n v="21330820"/>
    <s v="3000013412010011"/>
    <s v="CIVIL"/>
    <d v="2023-06-23T00:00:00"/>
    <d v="2023-07-05T19:01:47"/>
    <m/>
    <d v="2023-07-05T00:00:00"/>
    <n v="1624"/>
    <n v="16030"/>
    <s v="56430045"/>
    <s v="56430045"/>
    <m/>
    <m/>
    <n v="22753924"/>
    <m/>
    <m/>
    <m/>
    <s v="SOLFIN"/>
    <s v="SOLFIN"/>
    <s v="CCMS"/>
    <n v="21330820"/>
    <n v="8090.68"/>
    <m/>
    <s v="N"/>
    <n v="5"/>
    <d v="2023-07-05T19:01:54"/>
    <s v="Y"/>
    <s v="Court Fee"/>
    <s v="Prescribed Hourly Rates"/>
    <s v="Non Expert Disbursement"/>
    <s v="RSN"/>
    <s v="Y"/>
    <n v="155"/>
    <n v="0"/>
    <x v="6"/>
    <s v="VALIDATED"/>
    <n v="1"/>
    <s v="01.11.80.307.6300.0000"/>
    <n v="155"/>
    <s v="11"/>
    <s v="6300"/>
    <n v="6163.25"/>
    <n v="155"/>
    <s v="CREDITOR"/>
    <n v="0"/>
    <n v="0"/>
    <n v="0"/>
    <n v="0"/>
    <n v="155"/>
  </r>
  <r>
    <n v="61279559"/>
    <s v="N"/>
    <n v="21350037"/>
    <s v="3000015418720001"/>
    <s v="CIVIL"/>
    <d v="2023-06-29T00:00:00"/>
    <d v="2023-07-10T19:01:40"/>
    <m/>
    <d v="2023-07-10T00:00:00"/>
    <n v="1624"/>
    <n v="16030"/>
    <s v="61279559"/>
    <s v="61279559"/>
    <m/>
    <m/>
    <n v="22788504"/>
    <m/>
    <m/>
    <m/>
    <s v="SOLFIN"/>
    <s v="SOLFIN"/>
    <s v="CCMS"/>
    <n v="21350037"/>
    <n v="1568.31"/>
    <m/>
    <s v="N"/>
    <n v="2"/>
    <d v="2023-07-10T19:02:10"/>
    <s v="Y"/>
    <s v="Hearing Unit 1.01 - 2.30 Hours"/>
    <s v="Domestic Abuse"/>
    <s v="Advocacy"/>
    <s v="BB"/>
    <s v="Y"/>
    <n v="203.76"/>
    <n v="40.75"/>
    <x v="2"/>
    <s v="VALIDATED"/>
    <n v="1"/>
    <s v="01.11.80.302.6100.0000"/>
    <n v="203.76"/>
    <s v="11"/>
    <s v="6100"/>
    <n v="6163.25"/>
    <n v="203.76"/>
    <s v="CREDITOR"/>
    <n v="0"/>
    <n v="0"/>
    <n v="0"/>
    <n v="0"/>
    <n v="203.76"/>
  </r>
  <r>
    <n v="56430045"/>
    <s v="N"/>
    <n v="21333992"/>
    <s v="3000013412010001RC"/>
    <s v="CIVIL"/>
    <d v="2023-06-23T00:00:00"/>
    <d v="2023-07-05T19:42:28"/>
    <m/>
    <d v="2023-07-05T00:00:00"/>
    <n v="1624"/>
    <n v="16030"/>
    <s v="56430045"/>
    <s v="56430045"/>
    <m/>
    <m/>
    <m/>
    <m/>
    <m/>
    <m/>
    <s v="SOLRECOUP"/>
    <s v="SOLRECOUP"/>
    <s v="POARECOUP"/>
    <n v="21333992"/>
    <n v="-60"/>
    <m/>
    <s v="Y"/>
    <n v="1"/>
    <d v="2023-07-05T19:42:29"/>
    <s v="N"/>
    <m/>
    <m/>
    <s v="Non Expert Disbursement"/>
    <m/>
    <s v="N"/>
    <n v="-50"/>
    <n v="0"/>
    <x v="6"/>
    <s v="VALIDATED"/>
    <n v="1"/>
    <s v="01.11.80.307.2013.0000"/>
    <n v="-50"/>
    <s v="11"/>
    <s v="2013"/>
    <n v="6163.25"/>
    <n v="-50"/>
    <s v="CREDITOR"/>
    <n v="0"/>
    <n v="0"/>
    <n v="-50"/>
    <n v="0"/>
    <n v="0"/>
  </r>
  <r>
    <n v="56430045"/>
    <s v="N"/>
    <n v="21333992"/>
    <s v="3000013412010001RC"/>
    <s v="CIVIL"/>
    <d v="2023-06-23T00:00:00"/>
    <d v="2023-07-05T19:42:28"/>
    <m/>
    <d v="2023-07-05T00:00:00"/>
    <n v="1624"/>
    <n v="16030"/>
    <s v="56430045"/>
    <s v="56430045"/>
    <m/>
    <m/>
    <m/>
    <m/>
    <m/>
    <m/>
    <s v="SOLRECOUP"/>
    <s v="SOLRECOUP"/>
    <s v="POARECOUP"/>
    <n v="21333992"/>
    <n v="-60"/>
    <m/>
    <s v="Y"/>
    <n v="2"/>
    <d v="2023-07-05T19:42:29"/>
    <s v="N"/>
    <m/>
    <m/>
    <s v="Non Expert Disbursement"/>
    <m/>
    <s v="N"/>
    <n v="0"/>
    <n v="-10"/>
    <x v="6"/>
    <s v="VALIDATED"/>
    <n v="1"/>
    <s v="01.11.80.307.2013.0000"/>
    <n v="-10"/>
    <s v="11"/>
    <s v="2013"/>
    <n v="6163.25"/>
    <n v="-10"/>
    <s v="CREDITOR"/>
    <n v="0"/>
    <n v="0"/>
    <n v="-10"/>
    <n v="0"/>
    <n v="0"/>
  </r>
  <r>
    <n v="56430045"/>
    <s v="N"/>
    <n v="21333993"/>
    <s v="3000013412010005RC"/>
    <s v="CIVIL"/>
    <d v="2023-06-23T00:00:00"/>
    <d v="2023-07-05T19:42:28"/>
    <m/>
    <d v="2023-07-05T00:00:00"/>
    <n v="1624"/>
    <n v="16030"/>
    <s v="56430045"/>
    <s v="56430045"/>
    <m/>
    <m/>
    <m/>
    <m/>
    <m/>
    <m/>
    <s v="SOLRECOUP"/>
    <s v="SOLRECOUP"/>
    <s v="POARECOUP"/>
    <n v="21333993"/>
    <n v="-167"/>
    <m/>
    <s v="Y"/>
    <n v="1"/>
    <d v="2023-07-05T19:42:29"/>
    <s v="N"/>
    <m/>
    <m/>
    <s v="Non Expert Disbursement"/>
    <m/>
    <s v="N"/>
    <n v="-167"/>
    <n v="0"/>
    <x v="6"/>
    <s v="VALIDATED"/>
    <n v="1"/>
    <s v="01.11.80.307.2013.0000"/>
    <n v="-167"/>
    <s v="11"/>
    <s v="2013"/>
    <n v="6163.25"/>
    <n v="-167"/>
    <s v="CREDITOR"/>
    <n v="0"/>
    <n v="0"/>
    <n v="-167"/>
    <n v="0"/>
    <n v="0"/>
  </r>
  <r>
    <n v="56430045"/>
    <s v="N"/>
    <n v="21333993"/>
    <s v="3000013412010005RC"/>
    <s v="CIVIL"/>
    <d v="2023-06-23T00:00:00"/>
    <d v="2023-07-05T19:42:28"/>
    <m/>
    <d v="2023-07-05T00:00:00"/>
    <n v="1624"/>
    <n v="16030"/>
    <s v="56430045"/>
    <s v="56430045"/>
    <m/>
    <m/>
    <m/>
    <m/>
    <m/>
    <m/>
    <s v="SOLRECOUP"/>
    <s v="SOLRECOUP"/>
    <s v="POARECOUP"/>
    <n v="21333993"/>
    <n v="-167"/>
    <m/>
    <s v="Y"/>
    <n v="2"/>
    <d v="2023-07-05T19:42:29"/>
    <s v="N"/>
    <m/>
    <m/>
    <s v="Non Expert Disbursement"/>
    <m/>
    <s v="N"/>
    <n v="0"/>
    <n v="0"/>
    <x v="6"/>
    <s v="VALIDATED"/>
    <n v="1"/>
    <s v="01.11.80.000.0000.0000"/>
    <n v="0"/>
    <s v="11"/>
    <s v="0000"/>
    <n v="6163.25"/>
    <n v="0"/>
    <s v="CREDITOR"/>
    <n v="0"/>
    <n v="0"/>
    <n v="0"/>
    <n v="0"/>
    <n v="0"/>
  </r>
  <r>
    <n v="56430045"/>
    <s v="N"/>
    <n v="21333994"/>
    <s v="3000013412010003RC"/>
    <s v="CIVIL"/>
    <d v="2023-06-23T00:00:00"/>
    <d v="2023-07-05T19:42:28"/>
    <m/>
    <d v="2023-07-05T00:00:00"/>
    <n v="1624"/>
    <n v="16030"/>
    <s v="56430045"/>
    <s v="56430045"/>
    <m/>
    <m/>
    <m/>
    <m/>
    <m/>
    <m/>
    <s v="SOLRECOUP"/>
    <s v="SOLRECOUP"/>
    <s v="POARECOUP"/>
    <n v="21333994"/>
    <n v="-2065.92"/>
    <m/>
    <s v="Y"/>
    <n v="1"/>
    <d v="2023-07-05T19:42:29"/>
    <s v="N"/>
    <m/>
    <m/>
    <s v="Profit Cost"/>
    <m/>
    <s v="N"/>
    <n v="-1721.6"/>
    <n v="0"/>
    <x v="6"/>
    <s v="VALIDATED"/>
    <n v="1"/>
    <s v="01.11.80.307.2013.0000"/>
    <n v="-1721.6"/>
    <s v="11"/>
    <s v="2013"/>
    <n v="6163.25"/>
    <n v="-1721.6"/>
    <s v="CREDITOR"/>
    <n v="0"/>
    <n v="0"/>
    <n v="-1721.6"/>
    <n v="-430.4"/>
    <n v="0"/>
  </r>
  <r>
    <n v="56430045"/>
    <s v="N"/>
    <n v="21333994"/>
    <s v="3000013412010003RC"/>
    <s v="CIVIL"/>
    <d v="2023-06-23T00:00:00"/>
    <d v="2023-07-05T19:42:28"/>
    <m/>
    <d v="2023-07-05T00:00:00"/>
    <n v="1624"/>
    <n v="16030"/>
    <s v="56430045"/>
    <s v="56430045"/>
    <m/>
    <m/>
    <m/>
    <m/>
    <m/>
    <m/>
    <s v="SOLRECOUP"/>
    <s v="SOLRECOUP"/>
    <s v="POARECOUP"/>
    <n v="21333994"/>
    <n v="-2065.92"/>
    <m/>
    <s v="Y"/>
    <n v="2"/>
    <d v="2023-07-05T19:42:29"/>
    <s v="N"/>
    <m/>
    <m/>
    <s v="Profit Cost"/>
    <m/>
    <s v="N"/>
    <n v="0"/>
    <n v="-344.32"/>
    <x v="6"/>
    <s v="VALIDATED"/>
    <n v="1"/>
    <s v="01.11.80.307.2013.0000"/>
    <n v="-344.32"/>
    <s v="11"/>
    <s v="2013"/>
    <n v="6163.25"/>
    <n v="-344.32"/>
    <s v="CREDITOR"/>
    <n v="0"/>
    <n v="0"/>
    <n v="-344.32"/>
    <n v="-86.08"/>
    <n v="0"/>
  </r>
  <r>
    <n v="56430045"/>
    <s v="N"/>
    <n v="21333995"/>
    <s v="3000013412010006RC"/>
    <s v="CIVIL"/>
    <d v="2023-06-23T00:00:00"/>
    <d v="2023-07-05T19:42:28"/>
    <m/>
    <d v="2023-07-05T00:00:00"/>
    <n v="1624"/>
    <n v="16030"/>
    <s v="56430045"/>
    <s v="56430045"/>
    <m/>
    <m/>
    <m/>
    <m/>
    <m/>
    <m/>
    <s v="SOLRECOUP"/>
    <s v="SOLRECOUP"/>
    <s v="POARECOUP"/>
    <n v="21333995"/>
    <n v="-1606.08"/>
    <m/>
    <s v="Y"/>
    <n v="1"/>
    <d v="2023-07-05T19:42:29"/>
    <s v="N"/>
    <m/>
    <m/>
    <s v="Profit Cost"/>
    <m/>
    <s v="N"/>
    <n v="-1338.4"/>
    <n v="0"/>
    <x v="6"/>
    <s v="VALIDATED"/>
    <n v="1"/>
    <s v="01.11.80.307.2013.0000"/>
    <n v="-1338.4"/>
    <s v="11"/>
    <s v="2013"/>
    <n v="6163.25"/>
    <n v="-1338.4"/>
    <s v="CREDITOR"/>
    <n v="0"/>
    <n v="0"/>
    <n v="-1338.4"/>
    <n v="-334.6"/>
    <n v="0"/>
  </r>
  <r>
    <n v="56430045"/>
    <s v="N"/>
    <n v="21333995"/>
    <s v="3000013412010006RC"/>
    <s v="CIVIL"/>
    <d v="2023-06-23T00:00:00"/>
    <d v="2023-07-05T19:42:28"/>
    <m/>
    <d v="2023-07-05T00:00:00"/>
    <n v="1624"/>
    <n v="16030"/>
    <s v="56430045"/>
    <s v="56430045"/>
    <m/>
    <m/>
    <m/>
    <m/>
    <m/>
    <m/>
    <s v="SOLRECOUP"/>
    <s v="SOLRECOUP"/>
    <s v="POARECOUP"/>
    <n v="21333995"/>
    <n v="-1606.08"/>
    <m/>
    <s v="Y"/>
    <n v="2"/>
    <d v="2023-07-05T19:42:29"/>
    <s v="N"/>
    <m/>
    <m/>
    <s v="Profit Cost"/>
    <m/>
    <s v="N"/>
    <n v="0"/>
    <n v="-267.68"/>
    <x v="6"/>
    <s v="VALIDATED"/>
    <n v="1"/>
    <s v="01.11.80.307.2013.0000"/>
    <n v="-267.68"/>
    <s v="11"/>
    <s v="2013"/>
    <n v="6163.25"/>
    <n v="-267.68"/>
    <s v="CREDITOR"/>
    <n v="0"/>
    <n v="0"/>
    <n v="-267.68"/>
    <n v="-66.92"/>
    <n v="0"/>
  </r>
  <r>
    <n v="56430045"/>
    <s v="N"/>
    <n v="21333996"/>
    <s v="3000013412010010RC"/>
    <s v="CIVIL"/>
    <d v="2023-06-23T00:00:00"/>
    <d v="2023-07-05T19:42:28"/>
    <m/>
    <d v="2023-07-05T00:00:00"/>
    <n v="1624"/>
    <n v="16030"/>
    <s v="56430045"/>
    <s v="56430045"/>
    <m/>
    <m/>
    <m/>
    <m/>
    <m/>
    <m/>
    <s v="SOLRECOUP"/>
    <s v="SOLRECOUP"/>
    <s v="POARECOUP"/>
    <n v="21333996"/>
    <n v="-1561.92"/>
    <m/>
    <s v="Y"/>
    <n v="1"/>
    <d v="2023-07-05T19:42:29"/>
    <s v="N"/>
    <m/>
    <m/>
    <s v="Profit Cost"/>
    <m/>
    <s v="N"/>
    <n v="-1301.6"/>
    <n v="0"/>
    <x v="6"/>
    <s v="VALIDATED"/>
    <n v="1"/>
    <s v="01.11.80.307.2013.0000"/>
    <n v="-1301.6"/>
    <s v="11"/>
    <s v="2013"/>
    <n v="6163.25"/>
    <n v="-1301.6"/>
    <s v="CREDITOR"/>
    <n v="0"/>
    <n v="0"/>
    <n v="-1301.6"/>
    <n v="-325.4"/>
    <n v="0"/>
  </r>
  <r>
    <n v="56430045"/>
    <s v="N"/>
    <n v="21333996"/>
    <s v="3000013412010010RC"/>
    <s v="CIVIL"/>
    <d v="2023-06-23T00:00:00"/>
    <d v="2023-07-05T19:42:28"/>
    <m/>
    <d v="2023-07-05T00:00:00"/>
    <n v="1624"/>
    <n v="16030"/>
    <s v="56430045"/>
    <s v="56430045"/>
    <m/>
    <m/>
    <m/>
    <m/>
    <m/>
    <m/>
    <s v="SOLRECOUP"/>
    <s v="SOLRECOUP"/>
    <s v="POARECOUP"/>
    <n v="21333996"/>
    <n v="-1561.92"/>
    <m/>
    <s v="Y"/>
    <n v="2"/>
    <d v="2023-07-05T19:42:29"/>
    <s v="N"/>
    <m/>
    <m/>
    <s v="Profit Cost"/>
    <m/>
    <s v="N"/>
    <n v="0"/>
    <n v="-260.32"/>
    <x v="6"/>
    <s v="VALIDATED"/>
    <n v="1"/>
    <s v="01.11.80.307.2013.0000"/>
    <n v="-260.32"/>
    <s v="11"/>
    <s v="2013"/>
    <n v="6163.25"/>
    <n v="-260.32"/>
    <s v="CREDITOR"/>
    <n v="0"/>
    <n v="0"/>
    <n v="-260.32"/>
    <n v="-65.08"/>
    <n v="0"/>
  </r>
  <r>
    <n v="61533317"/>
    <s v="N"/>
    <n v="21322158"/>
    <s v="3000015641730005"/>
    <s v="CIVIL"/>
    <d v="2023-06-29T00:00:00"/>
    <d v="2023-07-03T19:05:17"/>
    <m/>
    <d v="2023-07-03T00:00:00"/>
    <n v="1641"/>
    <n v="20295"/>
    <s v="61533317"/>
    <s v="61533317"/>
    <m/>
    <m/>
    <n v="22788188"/>
    <m/>
    <m/>
    <m/>
    <s v="SOLPOA"/>
    <s v="SOLPOA"/>
    <s v="CCMS"/>
    <n v="21322158"/>
    <n v="64.8"/>
    <m/>
    <s v="N"/>
    <n v="1"/>
    <d v="2023-07-03T19:05:22"/>
    <s v="N"/>
    <s v="Non Expert Disbursement - Private L"/>
    <s v="Non Expert Disbursement - Priv"/>
    <s v="Non Expert Disbursement"/>
    <s v="Hannah Brook"/>
    <s v="N"/>
    <n v="64.8"/>
    <n v="0"/>
    <x v="3"/>
    <s v="VALIDATED"/>
    <n v="1"/>
    <s v="01.11.80.307.2012.0000"/>
    <n v="64.8"/>
    <s v="11"/>
    <s v="2012"/>
    <n v="-8316.889999999999"/>
    <n v="64.8"/>
    <s v="DEBTOR"/>
    <n v="0"/>
    <n v="0"/>
    <n v="0"/>
    <n v="0"/>
    <n v="0"/>
  </r>
  <r>
    <n v="60302284"/>
    <s v="N"/>
    <n v="21356794"/>
    <s v="3000014605800002RC"/>
    <s v="CIVIL"/>
    <d v="2023-06-16T00:00:00"/>
    <d v="2023-07-10T19:47:44"/>
    <m/>
    <d v="2023-07-10T00:00:00"/>
    <n v="1641"/>
    <n v="20295"/>
    <s v="60302284"/>
    <s v="60302284"/>
    <m/>
    <m/>
    <m/>
    <m/>
    <m/>
    <m/>
    <s v="SOLRECOUP"/>
    <s v="SOLRECOUP"/>
    <s v="POARECOUP"/>
    <n v="21356794"/>
    <n v="-617.52"/>
    <m/>
    <s v="Y"/>
    <n v="1"/>
    <d v="2023-07-10T19:47:46"/>
    <s v="N"/>
    <m/>
    <m/>
    <s v="Expert Disbursement"/>
    <m/>
    <s v="N"/>
    <n v="-514.6"/>
    <n v="0"/>
    <x v="2"/>
    <s v="VALIDATED"/>
    <n v="1"/>
    <s v="01.11.80.308.2013.0000"/>
    <n v="-514.6"/>
    <s v="11"/>
    <s v="2013"/>
    <n v="-8316.889999999999"/>
    <n v="-514.6"/>
    <s v="DEBTOR"/>
    <n v="0"/>
    <n v="0"/>
    <n v="0"/>
    <n v="0"/>
    <n v="0"/>
  </r>
  <r>
    <n v="60302284"/>
    <s v="N"/>
    <n v="21356794"/>
    <s v="3000014605800002RC"/>
    <s v="CIVIL"/>
    <d v="2023-06-16T00:00:00"/>
    <d v="2023-07-10T19:47:44"/>
    <m/>
    <d v="2023-07-10T00:00:00"/>
    <n v="1641"/>
    <n v="20295"/>
    <s v="60302284"/>
    <s v="60302284"/>
    <m/>
    <m/>
    <m/>
    <m/>
    <m/>
    <m/>
    <s v="SOLRECOUP"/>
    <s v="SOLRECOUP"/>
    <s v="POARECOUP"/>
    <n v="21356794"/>
    <n v="-617.52"/>
    <m/>
    <s v="Y"/>
    <n v="2"/>
    <d v="2023-07-10T19:47:46"/>
    <s v="N"/>
    <m/>
    <m/>
    <s v="Expert Disbursement"/>
    <m/>
    <s v="N"/>
    <n v="0"/>
    <n v="-102.92"/>
    <x v="2"/>
    <s v="VALIDATED"/>
    <n v="1"/>
    <s v="01.11.80.308.2013.0000"/>
    <n v="-102.92"/>
    <s v="11"/>
    <s v="2013"/>
    <n v="-8316.889999999999"/>
    <n v="-102.92"/>
    <s v="DEBTOR"/>
    <n v="0"/>
    <n v="0"/>
    <n v="0"/>
    <n v="0"/>
    <n v="0"/>
  </r>
  <r>
    <n v="60302284"/>
    <s v="N"/>
    <n v="21356795"/>
    <s v="3000014605800004RC"/>
    <s v="CIVIL"/>
    <d v="2023-06-16T00:00:00"/>
    <d v="2023-07-10T19:47:44"/>
    <m/>
    <d v="2023-07-10T00:00:00"/>
    <n v="1641"/>
    <n v="20295"/>
    <s v="60302284"/>
    <s v="60302284"/>
    <m/>
    <m/>
    <m/>
    <m/>
    <m/>
    <m/>
    <s v="SOLRECOUP"/>
    <s v="SOLRECOUP"/>
    <s v="POARECOUP"/>
    <n v="21356795"/>
    <n v="-4610.47"/>
    <m/>
    <s v="Y"/>
    <n v="1"/>
    <d v="2023-07-10T19:47:46"/>
    <s v="N"/>
    <m/>
    <m/>
    <s v="Profit Cost"/>
    <m/>
    <s v="N"/>
    <n v="-3842.06"/>
    <n v="0"/>
    <x v="2"/>
    <s v="VALIDATED"/>
    <n v="1"/>
    <s v="01.11.80.308.2013.0000"/>
    <n v="-3842.06"/>
    <s v="11"/>
    <s v="2013"/>
    <n v="-8316.889999999999"/>
    <n v="-3842.06"/>
    <s v="DEBTOR"/>
    <n v="0"/>
    <n v="0"/>
    <n v="0"/>
    <n v="0"/>
    <n v="0"/>
  </r>
  <r>
    <n v="60302284"/>
    <s v="N"/>
    <n v="21356795"/>
    <s v="3000014605800004RC"/>
    <s v="CIVIL"/>
    <d v="2023-06-16T00:00:00"/>
    <d v="2023-07-10T19:47:44"/>
    <m/>
    <d v="2023-07-10T00:00:00"/>
    <n v="1641"/>
    <n v="20295"/>
    <s v="60302284"/>
    <s v="60302284"/>
    <m/>
    <m/>
    <m/>
    <m/>
    <m/>
    <m/>
    <s v="SOLRECOUP"/>
    <s v="SOLRECOUP"/>
    <s v="POARECOUP"/>
    <n v="21356795"/>
    <n v="-4610.47"/>
    <m/>
    <s v="Y"/>
    <n v="2"/>
    <d v="2023-07-10T19:47:46"/>
    <s v="N"/>
    <m/>
    <m/>
    <s v="Profit Cost"/>
    <m/>
    <s v="N"/>
    <n v="0"/>
    <n v="-768.41"/>
    <x v="2"/>
    <s v="VALIDATED"/>
    <n v="1"/>
    <s v="01.11.80.308.2013.0000"/>
    <n v="-768.41"/>
    <s v="11"/>
    <s v="2013"/>
    <n v="-8316.889999999999"/>
    <n v="-768.41"/>
    <s v="DEBTOR"/>
    <n v="0"/>
    <n v="0"/>
    <n v="0"/>
    <n v="0"/>
    <n v="0"/>
  </r>
  <r>
    <n v="60302284"/>
    <s v="N"/>
    <n v="21356796"/>
    <s v="3000014605800001RC"/>
    <s v="CIVIL"/>
    <d v="2023-06-16T00:00:00"/>
    <d v="2023-07-10T19:47:44"/>
    <m/>
    <d v="2023-07-10T00:00:00"/>
    <n v="1641"/>
    <n v="20295"/>
    <s v="60302284"/>
    <s v="60302284"/>
    <m/>
    <m/>
    <m/>
    <m/>
    <m/>
    <m/>
    <s v="SOLRECOUP"/>
    <s v="SOLRECOUP"/>
    <s v="POARECOUP"/>
    <n v="21356796"/>
    <n v="-699.76"/>
    <m/>
    <s v="Y"/>
    <n v="1"/>
    <d v="2023-07-10T19:47:46"/>
    <s v="N"/>
    <m/>
    <m/>
    <s v="Expert Disbursement"/>
    <m/>
    <s v="N"/>
    <n v="-583.13"/>
    <n v="0"/>
    <x v="2"/>
    <s v="VALIDATED"/>
    <n v="1"/>
    <s v="01.11.80.308.2013.0000"/>
    <n v="-583.13"/>
    <s v="11"/>
    <s v="2013"/>
    <n v="-8316.889999999999"/>
    <n v="-583.13"/>
    <s v="DEBTOR"/>
    <n v="0"/>
    <n v="0"/>
    <n v="0"/>
    <n v="0"/>
    <n v="0"/>
  </r>
  <r>
    <n v="60302284"/>
    <s v="N"/>
    <n v="21356796"/>
    <s v="3000014605800001RC"/>
    <s v="CIVIL"/>
    <d v="2023-06-16T00:00:00"/>
    <d v="2023-07-10T19:47:44"/>
    <m/>
    <d v="2023-07-10T00:00:00"/>
    <n v="1641"/>
    <n v="20295"/>
    <s v="60302284"/>
    <s v="60302284"/>
    <m/>
    <m/>
    <m/>
    <m/>
    <m/>
    <m/>
    <s v="SOLRECOUP"/>
    <s v="SOLRECOUP"/>
    <s v="POARECOUP"/>
    <n v="21356796"/>
    <n v="-699.76"/>
    <m/>
    <s v="Y"/>
    <n v="2"/>
    <d v="2023-07-10T19:47:46"/>
    <s v="N"/>
    <m/>
    <m/>
    <s v="Expert Disbursement"/>
    <m/>
    <s v="N"/>
    <n v="0"/>
    <n v="-116.63"/>
    <x v="2"/>
    <s v="VALIDATED"/>
    <n v="1"/>
    <s v="01.11.80.308.2013.0000"/>
    <n v="-116.63"/>
    <s v="11"/>
    <s v="2013"/>
    <n v="-8316.889999999999"/>
    <n v="-116.63"/>
    <s v="DEBTOR"/>
    <n v="0"/>
    <n v="0"/>
    <n v="0"/>
    <n v="0"/>
    <n v="0"/>
  </r>
  <r>
    <n v="60302284"/>
    <s v="N"/>
    <n v="21356797"/>
    <s v="3000014605800003RC"/>
    <s v="CIVIL"/>
    <d v="2023-06-16T00:00:00"/>
    <d v="2023-07-10T19:47:44"/>
    <m/>
    <d v="2023-07-10T00:00:00"/>
    <n v="1641"/>
    <n v="20295"/>
    <s v="60302284"/>
    <s v="60302284"/>
    <m/>
    <m/>
    <m/>
    <m/>
    <m/>
    <m/>
    <s v="SOLRECOUP"/>
    <s v="SOLRECOUP"/>
    <s v="POARECOUP"/>
    <n v="21356797"/>
    <n v="-337.39"/>
    <m/>
    <s v="Y"/>
    <n v="1"/>
    <d v="2023-07-10T19:47:46"/>
    <s v="N"/>
    <m/>
    <m/>
    <s v="Expert Disbursement"/>
    <m/>
    <s v="N"/>
    <n v="-281.16"/>
    <n v="0"/>
    <x v="2"/>
    <s v="VALIDATED"/>
    <n v="1"/>
    <s v="01.11.80.308.2013.0000"/>
    <n v="-281.16"/>
    <s v="11"/>
    <s v="2013"/>
    <n v="-8316.889999999999"/>
    <n v="-281.16"/>
    <s v="DEBTOR"/>
    <n v="0"/>
    <n v="0"/>
    <n v="0"/>
    <n v="0"/>
    <n v="0"/>
  </r>
  <r>
    <n v="60302284"/>
    <s v="N"/>
    <n v="21356797"/>
    <s v="3000014605800003RC"/>
    <s v="CIVIL"/>
    <d v="2023-06-16T00:00:00"/>
    <d v="2023-07-10T19:47:44"/>
    <m/>
    <d v="2023-07-10T00:00:00"/>
    <n v="1641"/>
    <n v="20295"/>
    <s v="60302284"/>
    <s v="60302284"/>
    <m/>
    <m/>
    <m/>
    <m/>
    <m/>
    <m/>
    <s v="SOLRECOUP"/>
    <s v="SOLRECOUP"/>
    <s v="POARECOUP"/>
    <n v="21356797"/>
    <n v="-337.39"/>
    <m/>
    <s v="Y"/>
    <n v="2"/>
    <d v="2023-07-10T19:47:46"/>
    <s v="N"/>
    <m/>
    <m/>
    <s v="Expert Disbursement"/>
    <m/>
    <s v="N"/>
    <n v="0"/>
    <n v="-56.23"/>
    <x v="2"/>
    <s v="VALIDATED"/>
    <n v="1"/>
    <s v="01.11.80.308.2013.0000"/>
    <n v="-56.23"/>
    <s v="11"/>
    <s v="2013"/>
    <n v="-8316.889999999999"/>
    <n v="-56.23"/>
    <s v="DEBTOR"/>
    <n v="0"/>
    <n v="0"/>
    <n v="0"/>
    <n v="0"/>
    <n v="0"/>
  </r>
  <r>
    <n v="60302284"/>
    <s v="N"/>
    <n v="21356798"/>
    <s v="3000014605800006RC"/>
    <s v="CIVIL"/>
    <d v="2023-06-16T00:00:00"/>
    <d v="2023-07-10T19:47:44"/>
    <m/>
    <d v="2023-07-10T00:00:00"/>
    <n v="1641"/>
    <n v="20295"/>
    <s v="60302284"/>
    <s v="60302284"/>
    <m/>
    <m/>
    <m/>
    <m/>
    <m/>
    <m/>
    <s v="SOLRECOUP"/>
    <s v="SOLRECOUP"/>
    <s v="POARECOUP"/>
    <n v="21356798"/>
    <n v="-474.12"/>
    <m/>
    <s v="Y"/>
    <n v="1"/>
    <d v="2023-07-10T19:47:46"/>
    <s v="N"/>
    <m/>
    <m/>
    <s v="Expert Disbursement"/>
    <m/>
    <s v="N"/>
    <n v="-395.1"/>
    <n v="0"/>
    <x v="2"/>
    <s v="VALIDATED"/>
    <n v="1"/>
    <s v="01.11.80.308.2013.0000"/>
    <n v="-395.1"/>
    <s v="11"/>
    <s v="2013"/>
    <n v="-8316.889999999999"/>
    <n v="-395.1"/>
    <s v="DEBTOR"/>
    <n v="0"/>
    <n v="0"/>
    <n v="0"/>
    <n v="0"/>
    <n v="0"/>
  </r>
  <r>
    <n v="60302284"/>
    <s v="N"/>
    <n v="21356798"/>
    <s v="3000014605800006RC"/>
    <s v="CIVIL"/>
    <d v="2023-06-16T00:00:00"/>
    <d v="2023-07-10T19:47:44"/>
    <m/>
    <d v="2023-07-10T00:00:00"/>
    <n v="1641"/>
    <n v="20295"/>
    <s v="60302284"/>
    <s v="60302284"/>
    <m/>
    <m/>
    <m/>
    <m/>
    <m/>
    <m/>
    <s v="SOLRECOUP"/>
    <s v="SOLRECOUP"/>
    <s v="POARECOUP"/>
    <n v="21356798"/>
    <n v="-474.12"/>
    <m/>
    <s v="Y"/>
    <n v="2"/>
    <d v="2023-07-10T19:47:46"/>
    <s v="N"/>
    <m/>
    <m/>
    <s v="Expert Disbursement"/>
    <m/>
    <s v="N"/>
    <n v="0"/>
    <n v="-79.02"/>
    <x v="2"/>
    <s v="VALIDATED"/>
    <n v="1"/>
    <s v="01.11.80.308.2013.0000"/>
    <n v="-79.02"/>
    <s v="11"/>
    <s v="2013"/>
    <n v="-8316.889999999999"/>
    <n v="-79.02"/>
    <s v="DEBTOR"/>
    <n v="0"/>
    <n v="0"/>
    <n v="0"/>
    <n v="0"/>
    <n v="0"/>
  </r>
  <r>
    <n v="60302284"/>
    <s v="N"/>
    <n v="21356799"/>
    <s v="3000014605800005RC"/>
    <s v="CIVIL"/>
    <d v="2023-06-16T00:00:00"/>
    <d v="2023-07-10T19:47:44"/>
    <m/>
    <d v="2023-07-10T00:00:00"/>
    <n v="1641"/>
    <n v="20295"/>
    <s v="60302284"/>
    <s v="60302284"/>
    <m/>
    <m/>
    <m/>
    <m/>
    <m/>
    <m/>
    <s v="SOLRECOUP"/>
    <s v="SOLRECOUP"/>
    <s v="POARECOUP"/>
    <n v="21356799"/>
    <n v="-1642.43"/>
    <m/>
    <s v="Y"/>
    <n v="1"/>
    <d v="2023-07-10T19:47:46"/>
    <s v="N"/>
    <m/>
    <m/>
    <s v="Profit Cost"/>
    <m/>
    <s v="N"/>
    <n v="-1368.69"/>
    <n v="0"/>
    <x v="2"/>
    <s v="VALIDATED"/>
    <n v="1"/>
    <s v="01.11.80.308.2013.0000"/>
    <n v="-1368.69"/>
    <s v="11"/>
    <s v="2013"/>
    <n v="-8316.889999999999"/>
    <n v="-1368.69"/>
    <s v="DEBTOR"/>
    <n v="0"/>
    <n v="0"/>
    <n v="0"/>
    <n v="0"/>
    <n v="0"/>
  </r>
  <r>
    <n v="60302284"/>
    <s v="N"/>
    <n v="21356799"/>
    <s v="3000014605800005RC"/>
    <s v="CIVIL"/>
    <d v="2023-06-16T00:00:00"/>
    <d v="2023-07-10T19:47:44"/>
    <m/>
    <d v="2023-07-10T00:00:00"/>
    <n v="1641"/>
    <n v="20295"/>
    <s v="60302284"/>
    <s v="60302284"/>
    <m/>
    <m/>
    <m/>
    <m/>
    <m/>
    <m/>
    <s v="SOLRECOUP"/>
    <s v="SOLRECOUP"/>
    <s v="POARECOUP"/>
    <n v="21356799"/>
    <n v="-1642.43"/>
    <m/>
    <s v="Y"/>
    <n v="2"/>
    <d v="2023-07-10T19:47:46"/>
    <s v="N"/>
    <m/>
    <m/>
    <s v="Profit Cost"/>
    <m/>
    <s v="N"/>
    <n v="0"/>
    <n v="-273.74"/>
    <x v="2"/>
    <s v="VALIDATED"/>
    <n v="1"/>
    <s v="01.11.80.308.2013.0000"/>
    <n v="-273.74"/>
    <s v="11"/>
    <s v="2013"/>
    <n v="-8316.889999999999"/>
    <n v="-273.74"/>
    <s v="DEBTOR"/>
    <n v="0"/>
    <n v="0"/>
    <n v="0"/>
    <n v="0"/>
    <n v="0"/>
  </r>
  <r>
    <n v="61227906"/>
    <s v="N"/>
    <n v="21360961"/>
    <s v="3000015398320003"/>
    <s v="CIVIL"/>
    <d v="2023-06-30T00:00:00"/>
    <d v="2023-07-11T19:00:25"/>
    <m/>
    <d v="2023-07-11T00:00:00"/>
    <n v="1656"/>
    <n v="15"/>
    <s v="61227906"/>
    <s v="61227906"/>
    <m/>
    <m/>
    <n v="22797584"/>
    <m/>
    <m/>
    <m/>
    <s v="SOLFIN"/>
    <s v="SOLFIN"/>
    <s v="CCMS"/>
    <n v="21360961"/>
    <n v="3172.87"/>
    <m/>
    <s v="N"/>
    <n v="4"/>
    <d v="2023-07-11T19:00:40"/>
    <s v="Y"/>
    <s v="Hearing Unit 2.31 - 5.00 Hours"/>
    <s v="Public Law Children"/>
    <s v="Advocacy"/>
    <s v="AT"/>
    <s v="Y"/>
    <n v="433.62"/>
    <n v="86.72"/>
    <x v="7"/>
    <s v="VALIDATED"/>
    <n v="1"/>
    <s v="01.11.80.308.6100.0000"/>
    <n v="433.62"/>
    <s v="11"/>
    <s v="6100"/>
    <n v="24809.75"/>
    <n v="433.62"/>
    <s v="CREDITOR"/>
    <n v="0"/>
    <n v="0"/>
    <n v="0"/>
    <n v="0"/>
    <n v="433.62"/>
  </r>
  <r>
    <n v="61772942"/>
    <s v="N"/>
    <n v="21323169"/>
    <s v="3000015850470007"/>
    <s v="CIVIL"/>
    <d v="2023-06-29T00:00:00"/>
    <d v="2023-07-03T19:05:36"/>
    <m/>
    <d v="2023-07-03T00:00:00"/>
    <n v="1656"/>
    <n v="15"/>
    <s v="61772942"/>
    <s v="61772942"/>
    <m/>
    <m/>
    <n v="22791516"/>
    <m/>
    <m/>
    <m/>
    <s v="SOLPOA"/>
    <s v="SOLPOA"/>
    <s v="CCMS"/>
    <n v="21323169"/>
    <n v="133.62"/>
    <m/>
    <s v="N"/>
    <n v="1"/>
    <d v="2023-07-03T19:05:42"/>
    <s v="N"/>
    <s v="Non Expert Disbursement"/>
    <s v="Non Expert Disbursement"/>
    <s v="Non Expert Disbursement"/>
    <s v="TL"/>
    <s v="N"/>
    <n v="111.35"/>
    <n v="22.27"/>
    <x v="3"/>
    <s v="VALIDATED"/>
    <n v="1"/>
    <s v="01.11.80.308.2012.0000"/>
    <n v="111.35"/>
    <s v="11"/>
    <s v="2012"/>
    <n v="24809.75"/>
    <n v="111.35"/>
    <s v="CREDITOR"/>
    <n v="111.35"/>
    <n v="0"/>
    <n v="0"/>
    <n v="0"/>
    <n v="0"/>
  </r>
  <r>
    <n v="61049069"/>
    <s v="N"/>
    <n v="21318381"/>
    <s v="3000015248580009"/>
    <s v="CIVIL"/>
    <d v="2023-06-15T00:00:00"/>
    <d v="2023-07-03T19:01:49"/>
    <m/>
    <d v="2023-07-03T00:00:00"/>
    <n v="1656"/>
    <n v="15"/>
    <s v="61049069"/>
    <s v="61049069"/>
    <m/>
    <m/>
    <n v="22701498"/>
    <m/>
    <m/>
    <m/>
    <s v="SOLFIN"/>
    <s v="SOLFIN"/>
    <s v="CCMS"/>
    <n v="21318381"/>
    <n v="8695.4"/>
    <m/>
    <s v="N"/>
    <n v="10"/>
    <d v="2023-07-03T19:01:54"/>
    <s v="Y"/>
    <s v="Preparation - drafting application"/>
    <s v="Prescribed Hourly Rates"/>
    <s v="Profit Cost"/>
    <s v="OB"/>
    <s v="Y"/>
    <n v="35.69"/>
    <n v="7.14"/>
    <x v="3"/>
    <s v="VALIDATED"/>
    <n v="1"/>
    <s v="01.11.80.307.6100.0000"/>
    <n v="35.69"/>
    <s v="11"/>
    <s v="6100"/>
    <n v="24809.75"/>
    <n v="35.69"/>
    <s v="CREDITOR"/>
    <n v="0"/>
    <n v="0"/>
    <n v="0"/>
    <n v="0"/>
    <n v="35.69"/>
  </r>
  <r>
    <n v="61035075"/>
    <s v="N"/>
    <n v="21331005"/>
    <s v="3000015236260008"/>
    <s v="CIVIL"/>
    <d v="2023-06-23T00:00:00"/>
    <d v="2023-07-05T19:01:47"/>
    <m/>
    <d v="2023-07-05T00:00:00"/>
    <n v="1656"/>
    <n v="15"/>
    <s v="61035075"/>
    <s v="61035075"/>
    <m/>
    <m/>
    <n v="22755974"/>
    <m/>
    <m/>
    <m/>
    <s v="SOLFIN"/>
    <s v="SOLFIN"/>
    <s v="CCMS"/>
    <n v="21331005"/>
    <n v="13010.51"/>
    <m/>
    <s v="N"/>
    <n v="83"/>
    <d v="2023-07-05T19:02:01"/>
    <s v="Y"/>
    <s v="Preparation - drafting application"/>
    <s v="Prescribed Hourly Rates"/>
    <s v="Profit Cost"/>
    <s v="CD"/>
    <s v="Y"/>
    <n v="505.08"/>
    <n v="101.01"/>
    <x v="6"/>
    <s v="VALIDATED"/>
    <n v="1"/>
    <s v="01.11.80.307.6100.0000"/>
    <n v="505.08"/>
    <s v="11"/>
    <s v="6100"/>
    <n v="24809.75"/>
    <n v="505.08"/>
    <s v="CREDITOR"/>
    <n v="0"/>
    <n v="0"/>
    <n v="0"/>
    <n v="0"/>
    <n v="505.08"/>
  </r>
  <r>
    <n v="60815703"/>
    <s v="N"/>
    <n v="21328116"/>
    <s v="3000015047580009"/>
    <s v="CIVIL"/>
    <d v="2023-06-26T00:00:00"/>
    <d v="2023-07-04T19:00:44"/>
    <m/>
    <d v="2023-07-04T00:00:00"/>
    <n v="1656"/>
    <n v="15"/>
    <s v="60815703"/>
    <s v="60815703"/>
    <m/>
    <m/>
    <n v="22761074"/>
    <m/>
    <m/>
    <m/>
    <s v="SOLFIN"/>
    <s v="SOLFIN"/>
    <s v="CCMS"/>
    <n v="21328116"/>
    <n v="7019.44"/>
    <m/>
    <s v="N"/>
    <n v="29"/>
    <d v="2023-07-04T19:01:05"/>
    <s v="Y"/>
    <s v="Preparation - drafting statement"/>
    <s v="Prescribed Hourly Rates"/>
    <s v="Profit Cost"/>
    <s v="AT"/>
    <s v="Y"/>
    <n v="48.04"/>
    <n v="9.609999999999999"/>
    <x v="1"/>
    <s v="VALIDATED"/>
    <n v="1"/>
    <s v="01.11.80.307.6100.0000"/>
    <n v="48.04"/>
    <s v="11"/>
    <s v="6100"/>
    <n v="24809.75"/>
    <n v="48.04"/>
    <s v="CREDITOR"/>
    <n v="0"/>
    <n v="0"/>
    <n v="0"/>
    <n v="0"/>
    <n v="48.04"/>
  </r>
  <r>
    <n v="60815703"/>
    <s v="N"/>
    <n v="21328116"/>
    <s v="3000015047580009"/>
    <s v="CIVIL"/>
    <d v="2023-06-26T00:00:00"/>
    <d v="2023-07-04T19:00:44"/>
    <m/>
    <d v="2023-07-04T00:00:00"/>
    <n v="1656"/>
    <n v="15"/>
    <s v="60815703"/>
    <s v="60815703"/>
    <m/>
    <m/>
    <n v="22761074"/>
    <m/>
    <m/>
    <m/>
    <s v="SOLFIN"/>
    <s v="SOLFIN"/>
    <s v="CCMS"/>
    <n v="21328116"/>
    <n v="7019.44"/>
    <m/>
    <s v="N"/>
    <n v="35"/>
    <d v="2023-07-04T19:01:05"/>
    <s v="Y"/>
    <s v="Attendance upon client"/>
    <s v="Prescribed Hourly Rates"/>
    <s v="Profit Cost"/>
    <s v="AT"/>
    <s v="Y"/>
    <n v="20.59"/>
    <n v="4.12"/>
    <x v="1"/>
    <s v="VALIDATED"/>
    <n v="1"/>
    <s v="01.11.80.307.6100.0000"/>
    <n v="20.59"/>
    <s v="11"/>
    <s v="6100"/>
    <n v="24809.75"/>
    <n v="20.59"/>
    <s v="CREDITOR"/>
    <n v="0"/>
    <n v="0"/>
    <n v="0"/>
    <n v="0"/>
    <n v="20.59"/>
  </r>
  <r>
    <n v="60815703"/>
    <s v="N"/>
    <n v="21328116"/>
    <s v="3000015047580009"/>
    <s v="CIVIL"/>
    <d v="2023-06-26T00:00:00"/>
    <d v="2023-07-04T19:00:44"/>
    <m/>
    <d v="2023-07-04T00:00:00"/>
    <n v="1656"/>
    <n v="15"/>
    <s v="60815703"/>
    <s v="60815703"/>
    <m/>
    <m/>
    <n v="22761074"/>
    <m/>
    <m/>
    <m/>
    <s v="SOLFIN"/>
    <s v="SOLFIN"/>
    <s v="CCMS"/>
    <n v="21328116"/>
    <n v="7019.44"/>
    <m/>
    <s v="N"/>
    <n v="38"/>
    <d v="2023-07-04T19:01:05"/>
    <s v="Y"/>
    <s v="Preparation - other"/>
    <s v="Prescribed Hourly Rates"/>
    <s v="Profit Cost"/>
    <s v="AT"/>
    <s v="Y"/>
    <n v="123.53"/>
    <n v="24.71"/>
    <x v="1"/>
    <s v="VALIDATED"/>
    <n v="1"/>
    <s v="01.11.80.307.6100.0000"/>
    <n v="123.53"/>
    <s v="11"/>
    <s v="6100"/>
    <n v="24809.75"/>
    <n v="123.53"/>
    <s v="CREDITOR"/>
    <n v="0"/>
    <n v="0"/>
    <n v="0"/>
    <n v="0"/>
    <n v="123.53"/>
  </r>
  <r>
    <n v="60932128"/>
    <s v="N"/>
    <n v="21318505"/>
    <s v="3000015149480005"/>
    <s v="CIVIL"/>
    <d v="2023-05-25T00:00:00"/>
    <d v="2023-07-03T19:01:49"/>
    <m/>
    <d v="2023-07-03T00:00:00"/>
    <n v="1656"/>
    <n v="15"/>
    <s v="60932128"/>
    <s v="60932128"/>
    <m/>
    <m/>
    <n v="22574720"/>
    <m/>
    <m/>
    <m/>
    <s v="SOLPOA"/>
    <s v="SOLPOA"/>
    <s v="CCMS"/>
    <n v="21318505"/>
    <n v="414.52"/>
    <m/>
    <s v="N"/>
    <n v="1"/>
    <d v="2023-07-03T19:01:57"/>
    <s v="N"/>
    <s v="Expert Cost"/>
    <s v="Expert Cost"/>
    <s v="Expert Disbursement"/>
    <s v="Karah Lane"/>
    <s v="N"/>
    <n v="345.43"/>
    <n v="69.09"/>
    <x v="3"/>
    <s v="VALIDATED"/>
    <n v="1"/>
    <s v="01.11.80.308.2012.0000"/>
    <n v="345.43"/>
    <s v="11"/>
    <s v="2012"/>
    <n v="24809.75"/>
    <n v="345.43"/>
    <s v="CREDITOR"/>
    <n v="345.43"/>
    <n v="0"/>
    <n v="0"/>
    <n v="0"/>
    <n v="0"/>
  </r>
  <r>
    <n v="61049069"/>
    <s v="N"/>
    <n v="21318381"/>
    <s v="3000015248580009"/>
    <s v="CIVIL"/>
    <d v="2023-06-15T00:00:00"/>
    <d v="2023-07-03T19:01:49"/>
    <m/>
    <d v="2023-07-03T00:00:00"/>
    <n v="1656"/>
    <n v="15"/>
    <s v="61049069"/>
    <s v="61049069"/>
    <m/>
    <m/>
    <n v="22701498"/>
    <m/>
    <m/>
    <m/>
    <s v="SOLFIN"/>
    <s v="SOLFIN"/>
    <s v="CCMS"/>
    <n v="21318381"/>
    <n v="8695.4"/>
    <m/>
    <s v="N"/>
    <n v="52"/>
    <d v="2023-07-03T19:01:54"/>
    <s v="Y"/>
    <s v="Preparation - other"/>
    <s v="Prescribed Hourly Rates"/>
    <s v="Profit Cost"/>
    <s v="OB"/>
    <s v="Y"/>
    <n v="7.14"/>
    <n v="1.43"/>
    <x v="3"/>
    <s v="VALIDATED"/>
    <n v="1"/>
    <s v="01.11.80.307.6100.0000"/>
    <n v="7.14"/>
    <s v="11"/>
    <s v="6100"/>
    <n v="24809.75"/>
    <n v="7.14"/>
    <s v="CREDITOR"/>
    <n v="0"/>
    <n v="0"/>
    <n v="0"/>
    <n v="0"/>
    <n v="7.14"/>
  </r>
  <r>
    <n v="61049069"/>
    <s v="N"/>
    <n v="21318381"/>
    <s v="3000015248580009"/>
    <s v="CIVIL"/>
    <d v="2023-06-15T00:00:00"/>
    <d v="2023-07-03T19:01:49"/>
    <m/>
    <d v="2023-07-03T00:00:00"/>
    <n v="1656"/>
    <n v="15"/>
    <s v="61049069"/>
    <s v="61049069"/>
    <m/>
    <m/>
    <n v="22701498"/>
    <m/>
    <m/>
    <m/>
    <s v="SOLFIN"/>
    <s v="SOLFIN"/>
    <s v="CCMS"/>
    <n v="21318381"/>
    <n v="8695.4"/>
    <m/>
    <s v="N"/>
    <n v="35"/>
    <d v="2023-07-03T19:01:54"/>
    <s v="Y"/>
    <s v="Preparation - other"/>
    <s v="Prescribed Hourly Rates"/>
    <s v="Profit Cost"/>
    <s v="JW"/>
    <s v="Y"/>
    <n v="5.49"/>
    <n v="1.1"/>
    <x v="3"/>
    <s v="VALIDATED"/>
    <n v="1"/>
    <s v="01.11.80.307.6100.0000"/>
    <n v="5.49"/>
    <s v="11"/>
    <s v="6100"/>
    <n v="24809.75"/>
    <n v="5.49"/>
    <s v="CREDITOR"/>
    <n v="0"/>
    <n v="0"/>
    <n v="0"/>
    <n v="0"/>
    <n v="5.49"/>
  </r>
  <r>
    <n v="61041926"/>
    <s v="N"/>
    <n v="21320179"/>
    <s v="3000015242680001"/>
    <s v="CIVIL"/>
    <d v="2023-06-27T00:00:00"/>
    <d v="2023-07-03T19:04:24"/>
    <m/>
    <d v="2023-07-03T00:00:00"/>
    <n v="1656"/>
    <n v="15"/>
    <s v="61041926"/>
    <s v="61041926"/>
    <m/>
    <m/>
    <n v="22769526"/>
    <m/>
    <m/>
    <m/>
    <s v="SOLFIN"/>
    <s v="SOLFIN"/>
    <s v="CCMS"/>
    <n v="21320179"/>
    <n v="0"/>
    <m/>
    <s v="N"/>
    <n v="1"/>
    <d v="2023-07-03T19:04:31"/>
    <s v="N"/>
    <s v="NIL BILL"/>
    <s v="Public Law Children"/>
    <s v="Profit Cost"/>
    <s v="Anthony Theakston"/>
    <s v="N"/>
    <n v="0"/>
    <n v="0"/>
    <x v="3"/>
    <s v="VALIDATED"/>
    <n v="1"/>
    <s v="01.11.80.308.6100.0000"/>
    <n v="0"/>
    <s v="11"/>
    <s v="6100"/>
    <n v="24809.75"/>
    <n v="0"/>
    <s v="CREDITOR"/>
    <n v="0"/>
    <n v="0"/>
    <n v="0"/>
    <n v="0"/>
    <n v="0"/>
  </r>
  <r>
    <n v="56437778"/>
    <s v="N"/>
    <n v="21350078"/>
    <s v="3000013430710007"/>
    <s v="CIVIL"/>
    <d v="2023-06-29T00:00:00"/>
    <d v="2023-07-10T19:01:40"/>
    <m/>
    <d v="2023-07-10T00:00:00"/>
    <n v="1656"/>
    <n v="15"/>
    <s v="56437778"/>
    <s v="56437778"/>
    <m/>
    <m/>
    <n v="22785264"/>
    <m/>
    <m/>
    <m/>
    <s v="SOLFIN"/>
    <s v="SOLFIN"/>
    <s v="CCMS"/>
    <n v="21350078"/>
    <n v="8978.99"/>
    <m/>
    <s v="N"/>
    <n v="25"/>
    <d v="2023-07-10T19:02:13"/>
    <s v="Y"/>
    <s v="Attendance upon client"/>
    <s v="Care Remuneration Hourly Rates"/>
    <s v="Profit Cost"/>
    <s v="KA"/>
    <s v="Y"/>
    <n v="12.09"/>
    <n v="2.42"/>
    <x v="2"/>
    <s v="VALIDATED"/>
    <n v="1"/>
    <s v="01.11.80.308.6100.0000"/>
    <n v="12.09"/>
    <s v="11"/>
    <s v="6100"/>
    <n v="24809.75"/>
    <n v="12.09"/>
    <s v="CREDITOR"/>
    <n v="0"/>
    <n v="0"/>
    <n v="0"/>
    <n v="0"/>
    <n v="12.09"/>
  </r>
  <r>
    <n v="56437778"/>
    <s v="N"/>
    <n v="21350078"/>
    <s v="3000013430710007"/>
    <s v="CIVIL"/>
    <d v="2023-06-29T00:00:00"/>
    <d v="2023-07-10T19:01:40"/>
    <m/>
    <d v="2023-07-10T00:00:00"/>
    <n v="1656"/>
    <n v="15"/>
    <s v="56437778"/>
    <s v="56437778"/>
    <m/>
    <m/>
    <n v="22785264"/>
    <m/>
    <m/>
    <m/>
    <s v="SOLFIN"/>
    <s v="SOLFIN"/>
    <s v="CCMS"/>
    <n v="21350078"/>
    <n v="8978.99"/>
    <m/>
    <s v="N"/>
    <n v="51"/>
    <d v="2023-07-10T19:02:13"/>
    <s v="Y"/>
    <s v="Preparation - drafting application"/>
    <s v="Care Remuneration Hourly Rates"/>
    <s v="Profit Cost"/>
    <s v="JK"/>
    <s v="Y"/>
    <n v="5.26"/>
    <n v="1.05"/>
    <x v="2"/>
    <s v="VALIDATED"/>
    <n v="1"/>
    <s v="01.11.80.308.6100.0000"/>
    <n v="5.26"/>
    <s v="11"/>
    <s v="6100"/>
    <n v="24809.75"/>
    <n v="5.26"/>
    <s v="CREDITOR"/>
    <n v="0"/>
    <n v="0"/>
    <n v="0"/>
    <n v="0"/>
    <n v="5.26"/>
  </r>
  <r>
    <n v="61681898"/>
    <s v="N"/>
    <n v="21338489"/>
    <s v="3000015777230002"/>
    <s v="CIVIL"/>
    <d v="2023-06-30T00:00:00"/>
    <d v="2023-07-06T19:21:01"/>
    <m/>
    <d v="2023-07-06T00:00:00"/>
    <n v="1656"/>
    <n v="15"/>
    <s v="61681898"/>
    <s v="61681898"/>
    <m/>
    <m/>
    <n v="22797476"/>
    <m/>
    <m/>
    <m/>
    <s v="SOLFIN"/>
    <s v="SOLFIN"/>
    <s v="CCMS"/>
    <n v="21338489"/>
    <n v="4180.32"/>
    <m/>
    <s v="N"/>
    <n v="1"/>
    <d v="2023-07-06T19:21:26"/>
    <s v="Y"/>
    <s v="Solicitors Fixed Fee"/>
    <s v="Public Law Children"/>
    <s v="Profit Cost"/>
    <s v="XXX"/>
    <s v="Y"/>
    <n v="1438"/>
    <n v="287.61"/>
    <x v="4"/>
    <s v="VALIDATED"/>
    <n v="1"/>
    <s v="01.11.80.308.6100.0000"/>
    <n v="1438"/>
    <s v="11"/>
    <s v="6100"/>
    <n v="24809.75"/>
    <n v="1438"/>
    <s v="CREDITOR"/>
    <n v="0"/>
    <n v="0"/>
    <n v="0"/>
    <n v="0"/>
    <n v="1438"/>
  </r>
  <r>
    <n v="60815703"/>
    <s v="N"/>
    <n v="21328116"/>
    <s v="3000015047580009"/>
    <s v="CIVIL"/>
    <d v="2023-06-26T00:00:00"/>
    <d v="2023-07-04T19:00:44"/>
    <m/>
    <d v="2023-07-04T00:00:00"/>
    <n v="1656"/>
    <n v="15"/>
    <s v="60815703"/>
    <s v="60815703"/>
    <m/>
    <m/>
    <n v="22761074"/>
    <m/>
    <m/>
    <m/>
    <s v="SOLFIN"/>
    <s v="SOLFIN"/>
    <s v="CCMS"/>
    <n v="21328116"/>
    <n v="7019.44"/>
    <m/>
    <s v="N"/>
    <n v="10"/>
    <d v="2023-07-04T19:01:05"/>
    <s v="Y"/>
    <s v="Preparation - drafting application"/>
    <s v="Prescribed Hourly Rates"/>
    <s v="Profit Cost"/>
    <s v="AT"/>
    <s v="Y"/>
    <n v="68.63"/>
    <n v="13.73"/>
    <x v="1"/>
    <s v="VALIDATED"/>
    <n v="1"/>
    <s v="01.11.80.307.6100.0000"/>
    <n v="68.63"/>
    <s v="11"/>
    <s v="6100"/>
    <n v="24809.75"/>
    <n v="68.63"/>
    <s v="CREDITOR"/>
    <n v="0"/>
    <n v="0"/>
    <n v="0"/>
    <n v="0"/>
    <n v="68.63"/>
  </r>
  <r>
    <n v="61035075"/>
    <s v="N"/>
    <n v="21331005"/>
    <s v="3000015236260008"/>
    <s v="CIVIL"/>
    <d v="2023-06-23T00:00:00"/>
    <d v="2023-07-05T19:01:47"/>
    <m/>
    <d v="2023-07-05T00:00:00"/>
    <n v="1656"/>
    <n v="15"/>
    <s v="61035075"/>
    <s v="61035075"/>
    <m/>
    <m/>
    <n v="22755974"/>
    <m/>
    <m/>
    <m/>
    <s v="SOLFIN"/>
    <s v="SOLFIN"/>
    <s v="CCMS"/>
    <n v="21331005"/>
    <n v="13010.51"/>
    <m/>
    <s v="N"/>
    <n v="4"/>
    <d v="2023-07-05T19:02:01"/>
    <s v="Y"/>
    <s v="Child psychologist"/>
    <s v="Prescribed Hourly Rates"/>
    <s v="Expert Disbursement"/>
    <s v="XXX"/>
    <s v="Y"/>
    <n v="4658"/>
    <n v="0"/>
    <x v="6"/>
    <s v="VALIDATED"/>
    <n v="1"/>
    <s v="01.11.80.307.6300.0000"/>
    <n v="4658"/>
    <s v="11"/>
    <s v="6300"/>
    <n v="24809.75"/>
    <n v="4658"/>
    <s v="CREDITOR"/>
    <n v="0"/>
    <n v="0"/>
    <n v="0"/>
    <n v="0"/>
    <n v="4658"/>
  </r>
  <r>
    <n v="61035075"/>
    <s v="N"/>
    <n v="21331005"/>
    <s v="3000015236260008"/>
    <s v="CIVIL"/>
    <d v="2023-06-23T00:00:00"/>
    <d v="2023-07-05T19:01:47"/>
    <m/>
    <d v="2023-07-05T00:00:00"/>
    <n v="1656"/>
    <n v="15"/>
    <s v="61035075"/>
    <s v="61035075"/>
    <m/>
    <m/>
    <n v="22755974"/>
    <m/>
    <m/>
    <m/>
    <s v="SOLFIN"/>
    <s v="SOLFIN"/>
    <s v="CCMS"/>
    <n v="21331005"/>
    <n v="13010.51"/>
    <m/>
    <s v="N"/>
    <n v="10"/>
    <d v="2023-07-05T19:02:01"/>
    <s v="Y"/>
    <s v="Preparation - drafting application"/>
    <s v="Prescribed Hourly Rates"/>
    <s v="Profit Cost"/>
    <s v="OB"/>
    <s v="Y"/>
    <n v="79.61"/>
    <n v="15.92"/>
    <x v="6"/>
    <s v="VALIDATED"/>
    <n v="1"/>
    <s v="01.11.80.307.6100.0000"/>
    <n v="79.61"/>
    <s v="11"/>
    <s v="6100"/>
    <n v="24809.75"/>
    <n v="79.61"/>
    <s v="CREDITOR"/>
    <n v="0"/>
    <n v="0"/>
    <n v="0"/>
    <n v="0"/>
    <n v="79.61"/>
  </r>
  <r>
    <n v="61035075"/>
    <s v="N"/>
    <n v="21331005"/>
    <s v="3000015236260008"/>
    <s v="CIVIL"/>
    <d v="2023-06-23T00:00:00"/>
    <d v="2023-07-05T19:01:47"/>
    <m/>
    <d v="2023-07-05T00:00:00"/>
    <n v="1656"/>
    <n v="15"/>
    <s v="61035075"/>
    <s v="61035075"/>
    <m/>
    <m/>
    <n v="22755974"/>
    <m/>
    <m/>
    <m/>
    <s v="SOLFIN"/>
    <s v="SOLFIN"/>
    <s v="CCMS"/>
    <n v="21331005"/>
    <n v="13010.51"/>
    <m/>
    <s v="N"/>
    <n v="82"/>
    <d v="2023-07-05T19:02:01"/>
    <s v="Y"/>
    <s v="Preparation - drafting consent orde"/>
    <s v="Prescribed Hourly Rates"/>
    <s v="Profit Cost"/>
    <s v="OB"/>
    <s v="Y"/>
    <n v="31.84"/>
    <n v="6.37"/>
    <x v="6"/>
    <s v="VALIDATED"/>
    <n v="1"/>
    <s v="01.11.80.307.6100.0000"/>
    <n v="31.84"/>
    <s v="11"/>
    <s v="6100"/>
    <n v="24809.75"/>
    <n v="31.84"/>
    <s v="CREDITOR"/>
    <n v="0"/>
    <n v="0"/>
    <n v="0"/>
    <n v="0"/>
    <n v="31.84"/>
  </r>
  <r>
    <n v="60815703"/>
    <s v="N"/>
    <n v="21328116"/>
    <s v="3000015047580009"/>
    <s v="CIVIL"/>
    <d v="2023-06-26T00:00:00"/>
    <d v="2023-07-04T19:00:44"/>
    <m/>
    <d v="2023-07-04T00:00:00"/>
    <n v="1656"/>
    <n v="15"/>
    <s v="60815703"/>
    <s v="60815703"/>
    <m/>
    <m/>
    <n v="22761074"/>
    <m/>
    <m/>
    <m/>
    <s v="SOLFIN"/>
    <s v="SOLFIN"/>
    <s v="CCMS"/>
    <n v="21328116"/>
    <n v="7019.44"/>
    <m/>
    <s v="N"/>
    <n v="32"/>
    <d v="2023-07-04T19:01:05"/>
    <s v="Y"/>
    <s v="Preparation - drafting notice(s)"/>
    <s v="Prescribed Hourly Rates"/>
    <s v="Profit Cost"/>
    <s v="AT"/>
    <s v="Y"/>
    <n v="6.86"/>
    <n v="1.37"/>
    <x v="1"/>
    <s v="VALIDATED"/>
    <n v="1"/>
    <s v="01.11.80.307.6100.0000"/>
    <n v="6.86"/>
    <s v="11"/>
    <s v="6100"/>
    <n v="24809.75"/>
    <n v="6.86"/>
    <s v="CREDITOR"/>
    <n v="0"/>
    <n v="0"/>
    <n v="0"/>
    <n v="0"/>
    <n v="6.86"/>
  </r>
  <r>
    <n v="61681898"/>
    <s v="N"/>
    <n v="21338489"/>
    <s v="3000015777230002"/>
    <s v="CIVIL"/>
    <d v="2023-06-30T00:00:00"/>
    <d v="2023-07-06T19:21:01"/>
    <m/>
    <d v="2023-07-06T00:00:00"/>
    <n v="1656"/>
    <n v="15"/>
    <s v="61681898"/>
    <s v="61681898"/>
    <m/>
    <m/>
    <n v="22797476"/>
    <m/>
    <m/>
    <m/>
    <s v="SOLFIN"/>
    <s v="SOLFIN"/>
    <s v="CCMS"/>
    <n v="21338489"/>
    <n v="4180.32"/>
    <m/>
    <s v="N"/>
    <n v="4"/>
    <d v="2023-07-06T19:21:26"/>
    <s v="Y"/>
    <s v="Hearing Unit 2.31 - 5.00 Hours"/>
    <s v="Public Law Children"/>
    <s v="Advocacy"/>
    <s v="KL"/>
    <s v="Y"/>
    <n v="433.62"/>
    <n v="86.72"/>
    <x v="4"/>
    <s v="VALIDATED"/>
    <n v="1"/>
    <s v="01.11.80.308.6100.0000"/>
    <n v="433.62"/>
    <s v="11"/>
    <s v="6100"/>
    <n v="24809.75"/>
    <n v="433.62"/>
    <s v="CREDITOR"/>
    <n v="0"/>
    <n v="0"/>
    <n v="0"/>
    <n v="0"/>
    <n v="433.62"/>
  </r>
  <r>
    <n v="61035075"/>
    <s v="N"/>
    <n v="21331005"/>
    <s v="3000015236260008"/>
    <s v="CIVIL"/>
    <d v="2023-06-23T00:00:00"/>
    <d v="2023-07-05T19:01:47"/>
    <m/>
    <d v="2023-07-05T00:00:00"/>
    <n v="1656"/>
    <n v="15"/>
    <s v="61035075"/>
    <s v="61035075"/>
    <m/>
    <m/>
    <n v="22755974"/>
    <m/>
    <m/>
    <m/>
    <s v="SOLFIN"/>
    <s v="SOLFIN"/>
    <s v="CCMS"/>
    <n v="21331005"/>
    <n v="13010.51"/>
    <m/>
    <s v="N"/>
    <n v="28"/>
    <d v="2023-07-05T19:02:01"/>
    <s v="Y"/>
    <s v="Attendance upon other"/>
    <s v="Prescribed Hourly Rates"/>
    <s v="Profit Cost"/>
    <s v="OB"/>
    <s v="Y"/>
    <n v="15.92"/>
    <n v="3.18"/>
    <x v="6"/>
    <s v="VALIDATED"/>
    <n v="1"/>
    <s v="01.11.80.307.6100.0000"/>
    <n v="15.92"/>
    <s v="11"/>
    <s v="6100"/>
    <n v="24809.75"/>
    <n v="15.92"/>
    <s v="CREDITOR"/>
    <n v="0"/>
    <n v="0"/>
    <n v="0"/>
    <n v="0"/>
    <n v="15.92"/>
  </r>
  <r>
    <n v="61035075"/>
    <s v="N"/>
    <n v="21331005"/>
    <s v="3000015236260008"/>
    <s v="CIVIL"/>
    <d v="2023-06-23T00:00:00"/>
    <d v="2023-07-05T19:01:47"/>
    <m/>
    <d v="2023-07-05T00:00:00"/>
    <n v="1656"/>
    <n v="15"/>
    <s v="61035075"/>
    <s v="61035075"/>
    <m/>
    <m/>
    <n v="22755974"/>
    <m/>
    <m/>
    <m/>
    <s v="SOLFIN"/>
    <s v="SOLFIN"/>
    <s v="CCMS"/>
    <n v="21331005"/>
    <n v="13010.51"/>
    <m/>
    <s v="N"/>
    <n v="84"/>
    <d v="2023-07-05T19:02:01"/>
    <s v="Y"/>
    <s v="Preparation - drafting bill/claim f"/>
    <s v="Prescribed Hourly Rates"/>
    <s v="Profit Cost"/>
    <s v="OB"/>
    <s v="Y"/>
    <n v="47.76"/>
    <n v="9.550000000000001"/>
    <x v="6"/>
    <s v="VALIDATED"/>
    <n v="1"/>
    <s v="01.11.80.307.6100.0000"/>
    <n v="47.76"/>
    <s v="11"/>
    <s v="6100"/>
    <n v="24809.75"/>
    <n v="47.76"/>
    <s v="CREDITOR"/>
    <n v="0"/>
    <n v="0"/>
    <n v="0"/>
    <n v="0"/>
    <n v="47.76"/>
  </r>
  <r>
    <n v="60815703"/>
    <s v="N"/>
    <n v="21328116"/>
    <s v="3000015047580009"/>
    <s v="CIVIL"/>
    <d v="2023-06-26T00:00:00"/>
    <d v="2023-07-04T19:00:44"/>
    <m/>
    <d v="2023-07-04T00:00:00"/>
    <n v="1656"/>
    <n v="15"/>
    <s v="60815703"/>
    <s v="60815703"/>
    <m/>
    <m/>
    <n v="22761074"/>
    <m/>
    <m/>
    <m/>
    <s v="SOLFIN"/>
    <s v="SOLFIN"/>
    <s v="CCMS"/>
    <n v="21328116"/>
    <n v="7019.44"/>
    <m/>
    <s v="N"/>
    <n v="33"/>
    <d v="2023-07-04T19:01:05"/>
    <s v="Y"/>
    <s v="Report - Medical report"/>
    <s v="Prescribed Hourly Rates"/>
    <s v="Profit Cost"/>
    <s v="HS"/>
    <s v="Y"/>
    <n v="192.15"/>
    <n v="38.43"/>
    <x v="1"/>
    <s v="VALIDATED"/>
    <n v="1"/>
    <s v="01.11.80.307.6100.0000"/>
    <n v="192.15"/>
    <s v="11"/>
    <s v="6100"/>
    <n v="24809.75"/>
    <n v="192.15"/>
    <s v="CREDITOR"/>
    <n v="0"/>
    <n v="0"/>
    <n v="0"/>
    <n v="0"/>
    <n v="192.15"/>
  </r>
  <r>
    <n v="61556511"/>
    <s v="N"/>
    <n v="21320621"/>
    <s v="3000015669440006"/>
    <s v="CIVIL"/>
    <d v="2023-06-28T00:00:00"/>
    <d v="2023-07-03T19:04:52"/>
    <m/>
    <d v="2023-07-03T00:00:00"/>
    <n v="1656"/>
    <n v="15"/>
    <s v="61556511"/>
    <s v="61556511"/>
    <m/>
    <m/>
    <n v="22780078"/>
    <m/>
    <m/>
    <m/>
    <s v="SOLPOA"/>
    <s v="SOLPOA"/>
    <s v="CCMS"/>
    <n v="21320621"/>
    <n v="117.1"/>
    <m/>
    <s v="N"/>
    <n v="1"/>
    <d v="2023-07-03T19:04:55"/>
    <s v="N"/>
    <s v="Non Expert Disbursement"/>
    <s v="Non Expert Disbursement"/>
    <s v="Non Expert Disbursement"/>
    <s v="HW"/>
    <s v="N"/>
    <n v="97.58"/>
    <n v="19.52"/>
    <x v="3"/>
    <s v="VALIDATED"/>
    <n v="1"/>
    <s v="01.11.80.308.2012.0000"/>
    <n v="97.58"/>
    <s v="11"/>
    <s v="2012"/>
    <n v="24809.75"/>
    <n v="97.58"/>
    <s v="CREDITOR"/>
    <n v="97.58"/>
    <n v="0"/>
    <n v="0"/>
    <n v="0"/>
    <n v="0"/>
  </r>
  <r>
    <n v="56437778"/>
    <s v="N"/>
    <n v="21350078"/>
    <s v="3000013430710007"/>
    <s v="CIVIL"/>
    <d v="2023-06-29T00:00:00"/>
    <d v="2023-07-10T19:01:40"/>
    <m/>
    <d v="2023-07-10T00:00:00"/>
    <n v="1656"/>
    <n v="15"/>
    <s v="56437778"/>
    <s v="56437778"/>
    <m/>
    <m/>
    <n v="22785264"/>
    <m/>
    <m/>
    <m/>
    <s v="SOLFIN"/>
    <s v="SOLFIN"/>
    <s v="CCMS"/>
    <n v="21350078"/>
    <n v="8978.99"/>
    <m/>
    <s v="N"/>
    <n v="58"/>
    <d v="2023-07-10T19:02:13"/>
    <s v="Y"/>
    <s v="Routine Letter Out"/>
    <s v="Care Remuneration Hourly Rates"/>
    <s v="Profit Cost"/>
    <s v="HS"/>
    <s v="Y"/>
    <n v="346.86"/>
    <n v="69.37"/>
    <x v="2"/>
    <s v="VALIDATED"/>
    <n v="1"/>
    <s v="01.11.80.308.6100.0000"/>
    <n v="346.86"/>
    <s v="11"/>
    <s v="6100"/>
    <n v="24809.75"/>
    <n v="346.86"/>
    <s v="CREDITOR"/>
    <n v="0"/>
    <n v="0"/>
    <n v="0"/>
    <n v="0"/>
    <n v="346.86"/>
  </r>
  <r>
    <n v="56437778"/>
    <s v="N"/>
    <n v="21350078"/>
    <s v="3000013430710007"/>
    <s v="CIVIL"/>
    <d v="2023-06-29T00:00:00"/>
    <d v="2023-07-10T19:01:40"/>
    <m/>
    <d v="2023-07-10T00:00:00"/>
    <n v="1656"/>
    <n v="15"/>
    <s v="56437778"/>
    <s v="56437778"/>
    <m/>
    <m/>
    <n v="22785264"/>
    <m/>
    <m/>
    <m/>
    <s v="SOLFIN"/>
    <s v="SOLFIN"/>
    <s v="CCMS"/>
    <n v="21350078"/>
    <n v="8978.99"/>
    <m/>
    <s v="N"/>
    <n v="69"/>
    <d v="2023-07-10T19:02:13"/>
    <s v="Y"/>
    <s v="Advocates Meeting"/>
    <s v="Public Law Children"/>
    <s v="Advocacy"/>
    <s v="KA"/>
    <s v="Y"/>
    <n v="140.99"/>
    <n v="28.2"/>
    <x v="2"/>
    <s v="VALIDATED"/>
    <n v="1"/>
    <s v="01.11.80.308.6100.0000"/>
    <n v="140.99"/>
    <s v="11"/>
    <s v="6100"/>
    <n v="24809.75"/>
    <n v="140.99"/>
    <s v="CREDITOR"/>
    <n v="0"/>
    <n v="0"/>
    <n v="0"/>
    <n v="0"/>
    <n v="140.99"/>
  </r>
  <r>
    <n v="61035075"/>
    <s v="N"/>
    <n v="21331005"/>
    <s v="3000015236260008"/>
    <s v="CIVIL"/>
    <d v="2023-06-23T00:00:00"/>
    <d v="2023-07-05T19:01:47"/>
    <m/>
    <d v="2023-07-05T00:00:00"/>
    <n v="1656"/>
    <n v="15"/>
    <s v="61035075"/>
    <s v="61035075"/>
    <m/>
    <m/>
    <n v="22755974"/>
    <m/>
    <m/>
    <m/>
    <s v="SOLFIN"/>
    <s v="SOLFIN"/>
    <s v="CCMS"/>
    <n v="21331005"/>
    <n v="13010.51"/>
    <m/>
    <s v="N"/>
    <n v="33"/>
    <d v="2023-07-05T19:02:01"/>
    <s v="Y"/>
    <s v="Preparation - other"/>
    <s v="Prescribed Hourly Rates"/>
    <s v="Profit Cost"/>
    <s v="OB"/>
    <s v="Y"/>
    <n v="39.8"/>
    <n v="7.96"/>
    <x v="6"/>
    <s v="VALIDATED"/>
    <n v="1"/>
    <s v="01.11.80.307.6100.0000"/>
    <n v="39.8"/>
    <s v="11"/>
    <s v="6100"/>
    <n v="24809.75"/>
    <n v="39.8"/>
    <s v="CREDITOR"/>
    <n v="0"/>
    <n v="0"/>
    <n v="0"/>
    <n v="0"/>
    <n v="39.8"/>
  </r>
  <r>
    <n v="61049069"/>
    <s v="N"/>
    <n v="21318381"/>
    <s v="3000015248580009"/>
    <s v="CIVIL"/>
    <d v="2023-06-15T00:00:00"/>
    <d v="2023-07-03T19:01:49"/>
    <m/>
    <d v="2023-07-03T00:00:00"/>
    <n v="1656"/>
    <n v="15"/>
    <s v="61049069"/>
    <s v="61049069"/>
    <m/>
    <m/>
    <n v="22701498"/>
    <m/>
    <m/>
    <m/>
    <s v="SOLFIN"/>
    <s v="SOLFIN"/>
    <s v="CCMS"/>
    <n v="21318381"/>
    <n v="8695.4"/>
    <m/>
    <s v="N"/>
    <n v="24"/>
    <d v="2023-07-03T19:01:54"/>
    <s v="Y"/>
    <s v="Preparation - drafting consent orde"/>
    <s v="Prescribed Hourly Rates"/>
    <s v="Profit Cost"/>
    <s v="OB"/>
    <s v="Y"/>
    <n v="28.55"/>
    <n v="5.71"/>
    <x v="3"/>
    <s v="VALIDATED"/>
    <n v="1"/>
    <s v="01.11.80.307.6100.0000"/>
    <n v="28.55"/>
    <s v="11"/>
    <s v="6100"/>
    <n v="24809.75"/>
    <n v="28.55"/>
    <s v="CREDITOR"/>
    <n v="0"/>
    <n v="0"/>
    <n v="0"/>
    <n v="0"/>
    <n v="28.55"/>
  </r>
  <r>
    <n v="56437778"/>
    <s v="N"/>
    <n v="21350078"/>
    <s v="3000013430710007"/>
    <s v="CIVIL"/>
    <d v="2023-06-29T00:00:00"/>
    <d v="2023-07-10T19:01:40"/>
    <m/>
    <d v="2023-07-10T00:00:00"/>
    <n v="1656"/>
    <n v="15"/>
    <s v="56437778"/>
    <s v="56437778"/>
    <m/>
    <m/>
    <n v="22785264"/>
    <m/>
    <m/>
    <m/>
    <s v="SOLFIN"/>
    <s v="SOLFIN"/>
    <s v="CCMS"/>
    <n v="21350078"/>
    <n v="8978.99"/>
    <m/>
    <s v="N"/>
    <n v="1"/>
    <d v="2023-07-10T19:02:13"/>
    <s v="Y"/>
    <s v="Preparation - drafting notice(s)"/>
    <s v="Care Remuneration Hourly Rates"/>
    <s v="Profit Cost"/>
    <s v="KA"/>
    <s v="Y"/>
    <n v="6.05"/>
    <n v="1.21"/>
    <x v="2"/>
    <s v="VALIDATED"/>
    <n v="1"/>
    <s v="01.11.80.308.6100.0000"/>
    <n v="6.05"/>
    <s v="11"/>
    <s v="6100"/>
    <n v="24809.75"/>
    <n v="6.05"/>
    <s v="CREDITOR"/>
    <n v="0"/>
    <n v="0"/>
    <n v="0"/>
    <n v="0"/>
    <n v="6.05"/>
  </r>
  <r>
    <n v="61391363"/>
    <s v="N"/>
    <n v="21344062"/>
    <s v="3000015534470002"/>
    <s v="CIVIL"/>
    <d v="2023-06-28T00:00:00"/>
    <d v="2023-07-07T19:03:00"/>
    <m/>
    <d v="2023-07-07T00:00:00"/>
    <n v="1656"/>
    <n v="15"/>
    <s v="61391363"/>
    <s v="61391363"/>
    <m/>
    <m/>
    <n v="22779196"/>
    <m/>
    <m/>
    <m/>
    <s v="SOLFIN"/>
    <s v="SOLFIN"/>
    <s v="CCMS"/>
    <n v="21344062"/>
    <n v="4661.35"/>
    <m/>
    <s v="N"/>
    <n v="4"/>
    <d v="2023-07-07T19:03:22"/>
    <s v="Y"/>
    <s v="Hearing Unit 2.31 - 5.00 Hours"/>
    <s v="Public Law Children"/>
    <s v="Advocacy"/>
    <s v="dm"/>
    <s v="Y"/>
    <n v="476.92"/>
    <n v="95.38"/>
    <x v="9"/>
    <s v="VALIDATED"/>
    <n v="1"/>
    <s v="01.11.80.308.6100.0000"/>
    <n v="476.92"/>
    <s v="11"/>
    <s v="6100"/>
    <n v="24809.75"/>
    <n v="476.92"/>
    <s v="CREDITOR"/>
    <n v="0"/>
    <n v="0"/>
    <n v="0"/>
    <n v="0"/>
    <n v="476.92"/>
  </r>
  <r>
    <n v="61035075"/>
    <s v="N"/>
    <n v="21331005"/>
    <s v="3000015236260008"/>
    <s v="CIVIL"/>
    <d v="2023-06-23T00:00:00"/>
    <d v="2023-07-05T19:01:47"/>
    <m/>
    <d v="2023-07-05T00:00:00"/>
    <n v="1656"/>
    <n v="15"/>
    <s v="61035075"/>
    <s v="61035075"/>
    <m/>
    <m/>
    <n v="22755974"/>
    <m/>
    <m/>
    <m/>
    <s v="SOLFIN"/>
    <s v="SOLFIN"/>
    <s v="CCMS"/>
    <n v="21331005"/>
    <n v="13010.51"/>
    <m/>
    <s v="N"/>
    <n v="62"/>
    <d v="2023-07-05T19:02:01"/>
    <s v="Y"/>
    <s v="Preparation - other"/>
    <s v="Prescribed Hourly Rates"/>
    <s v="Profit Cost"/>
    <s v="OB"/>
    <s v="Y"/>
    <n v="23.88"/>
    <n v="4.78"/>
    <x v="6"/>
    <s v="VALIDATED"/>
    <n v="1"/>
    <s v="01.11.80.307.6100.0000"/>
    <n v="23.88"/>
    <s v="11"/>
    <s v="6100"/>
    <n v="24809.75"/>
    <n v="23.88"/>
    <s v="CREDITOR"/>
    <n v="0"/>
    <n v="0"/>
    <n v="0"/>
    <n v="0"/>
    <n v="23.88"/>
  </r>
  <r>
    <n v="61035075"/>
    <s v="N"/>
    <n v="21331005"/>
    <s v="3000015236260008"/>
    <s v="CIVIL"/>
    <d v="2023-06-23T00:00:00"/>
    <d v="2023-07-05T19:01:47"/>
    <m/>
    <d v="2023-07-05T00:00:00"/>
    <n v="1656"/>
    <n v="15"/>
    <s v="61035075"/>
    <s v="61035075"/>
    <m/>
    <m/>
    <n v="22755974"/>
    <m/>
    <m/>
    <m/>
    <s v="SOLFIN"/>
    <s v="SOLFIN"/>
    <s v="CCMS"/>
    <n v="21331005"/>
    <n v="13010.51"/>
    <m/>
    <s v="N"/>
    <n v="73"/>
    <d v="2023-07-05T19:02:01"/>
    <s v="Y"/>
    <s v="Attendance upon court"/>
    <s v="Prescribed Hourly Rates"/>
    <s v="Profit Cost"/>
    <s v="HW"/>
    <s v="Y"/>
    <n v="151.25"/>
    <n v="30.25"/>
    <x v="6"/>
    <s v="VALIDATED"/>
    <n v="1"/>
    <s v="01.11.80.307.6100.0000"/>
    <n v="151.25"/>
    <s v="11"/>
    <s v="6100"/>
    <n v="24809.75"/>
    <n v="151.25"/>
    <s v="CREDITOR"/>
    <n v="0"/>
    <n v="0"/>
    <n v="0"/>
    <n v="0"/>
    <n v="151.25"/>
  </r>
  <r>
    <n v="59411845"/>
    <s v="N"/>
    <n v="21328190"/>
    <s v="3000013854850006"/>
    <s v="CIVIL"/>
    <d v="2023-06-26T00:00:00"/>
    <d v="2023-07-04T19:00:44"/>
    <m/>
    <d v="2023-07-04T00:00:00"/>
    <n v="1656"/>
    <n v="15"/>
    <s v="59411845"/>
    <s v="59411845"/>
    <m/>
    <m/>
    <n v="22764268"/>
    <m/>
    <m/>
    <m/>
    <s v="SOLFIN"/>
    <s v="SOLFIN"/>
    <s v="CCMS"/>
    <n v="21328190"/>
    <n v="3208.74"/>
    <m/>
    <s v="N"/>
    <n v="4"/>
    <d v="2023-07-04T19:01:07"/>
    <s v="Y"/>
    <s v="Hearing Unit 1.01 - 2.30 Hours"/>
    <s v="Public Law Children"/>
    <s v="Advocacy"/>
    <s v="CE"/>
    <s v="Y"/>
    <n v="238.46"/>
    <n v="47.69"/>
    <x v="1"/>
    <s v="VALIDATED"/>
    <n v="1"/>
    <s v="01.11.80.308.6100.0000"/>
    <n v="238.46"/>
    <s v="11"/>
    <s v="6100"/>
    <n v="24809.75"/>
    <n v="238.46"/>
    <s v="CREDITOR"/>
    <n v="0"/>
    <n v="0"/>
    <n v="0"/>
    <n v="0"/>
    <n v="238.46"/>
  </r>
  <r>
    <n v="61049069"/>
    <s v="N"/>
    <n v="21318381"/>
    <s v="3000015248580009"/>
    <s v="CIVIL"/>
    <d v="2023-06-15T00:00:00"/>
    <d v="2023-07-03T19:01:49"/>
    <m/>
    <d v="2023-07-03T00:00:00"/>
    <n v="1656"/>
    <n v="15"/>
    <s v="61049069"/>
    <s v="61049069"/>
    <m/>
    <m/>
    <n v="22701498"/>
    <m/>
    <m/>
    <m/>
    <s v="SOLFIN"/>
    <s v="SOLFIN"/>
    <s v="CCMS"/>
    <n v="21318381"/>
    <n v="8695.4"/>
    <m/>
    <s v="N"/>
    <n v="54"/>
    <d v="2023-07-03T19:01:54"/>
    <s v="Y"/>
    <s v="Preparation - drafting instructions"/>
    <s v="Prescribed Hourly Rates"/>
    <s v="Profit Cost"/>
    <s v="OB"/>
    <s v="Y"/>
    <n v="7.14"/>
    <n v="1.43"/>
    <x v="3"/>
    <s v="VALIDATED"/>
    <n v="1"/>
    <s v="01.11.80.307.6100.0000"/>
    <n v="7.14"/>
    <s v="11"/>
    <s v="6100"/>
    <n v="24809.75"/>
    <n v="7.14"/>
    <s v="CREDITOR"/>
    <n v="0"/>
    <n v="0"/>
    <n v="0"/>
    <n v="0"/>
    <n v="7.14"/>
  </r>
  <r>
    <n v="60815703"/>
    <s v="N"/>
    <n v="21328116"/>
    <s v="3000015047580009"/>
    <s v="CIVIL"/>
    <d v="2023-06-26T00:00:00"/>
    <d v="2023-07-04T19:00:44"/>
    <m/>
    <d v="2023-07-04T00:00:00"/>
    <n v="1656"/>
    <n v="15"/>
    <s v="60815703"/>
    <s v="60815703"/>
    <m/>
    <m/>
    <n v="22761074"/>
    <m/>
    <m/>
    <m/>
    <s v="SOLFIN"/>
    <s v="SOLFIN"/>
    <s v="CCMS"/>
    <n v="21328116"/>
    <n v="7019.44"/>
    <m/>
    <s v="N"/>
    <n v="13"/>
    <d v="2023-07-04T19:01:05"/>
    <s v="Y"/>
    <s v="Preparation - drafting application"/>
    <s v="Prescribed Hourly Rates"/>
    <s v="Profit Cost"/>
    <s v="AT"/>
    <s v="Y"/>
    <n v="41.18"/>
    <n v="8.24"/>
    <x v="1"/>
    <s v="VALIDATED"/>
    <n v="1"/>
    <s v="01.11.80.307.6100.0000"/>
    <n v="41.18"/>
    <s v="11"/>
    <s v="6100"/>
    <n v="24809.75"/>
    <n v="41.18"/>
    <s v="CREDITOR"/>
    <n v="0"/>
    <n v="0"/>
    <n v="0"/>
    <n v="0"/>
    <n v="41.18"/>
  </r>
  <r>
    <n v="60815703"/>
    <s v="N"/>
    <n v="21328116"/>
    <s v="3000015047580009"/>
    <s v="CIVIL"/>
    <d v="2023-06-26T00:00:00"/>
    <d v="2023-07-04T19:00:44"/>
    <m/>
    <d v="2023-07-04T00:00:00"/>
    <n v="1656"/>
    <n v="15"/>
    <s v="60815703"/>
    <s v="60815703"/>
    <m/>
    <m/>
    <n v="22761074"/>
    <m/>
    <m/>
    <m/>
    <s v="SOLFIN"/>
    <s v="SOLFIN"/>
    <s v="CCMS"/>
    <n v="21328116"/>
    <n v="7019.44"/>
    <m/>
    <s v="N"/>
    <n v="70"/>
    <d v="2023-07-04T19:01:05"/>
    <s v="Y"/>
    <s v="Preparation - drafting consent orde"/>
    <s v="Prescribed Hourly Rates"/>
    <s v="Profit Cost"/>
    <s v="AT"/>
    <s v="Y"/>
    <n v="13.73"/>
    <n v="2.75"/>
    <x v="1"/>
    <s v="VALIDATED"/>
    <n v="1"/>
    <s v="01.11.80.307.6100.0000"/>
    <n v="13.73"/>
    <s v="11"/>
    <s v="6100"/>
    <n v="24809.75"/>
    <n v="13.73"/>
    <s v="CREDITOR"/>
    <n v="0"/>
    <n v="0"/>
    <n v="0"/>
    <n v="0"/>
    <n v="13.73"/>
  </r>
  <r>
    <n v="61049069"/>
    <s v="N"/>
    <n v="21318381"/>
    <s v="3000015248580009"/>
    <s v="CIVIL"/>
    <d v="2023-06-15T00:00:00"/>
    <d v="2023-07-03T19:01:49"/>
    <m/>
    <d v="2023-07-03T00:00:00"/>
    <n v="1656"/>
    <n v="15"/>
    <s v="61049069"/>
    <s v="61049069"/>
    <m/>
    <m/>
    <n v="22701498"/>
    <m/>
    <m/>
    <m/>
    <s v="SOLFIN"/>
    <s v="SOLFIN"/>
    <s v="CCMS"/>
    <n v="21318381"/>
    <n v="8695.4"/>
    <m/>
    <s v="N"/>
    <n v="53"/>
    <d v="2023-07-03T19:01:54"/>
    <s v="Y"/>
    <s v="Preparation - other"/>
    <s v="Prescribed Hourly Rates"/>
    <s v="Profit Cost"/>
    <s v="OB"/>
    <s v="Y"/>
    <n v="71.37"/>
    <n v="14.27"/>
    <x v="3"/>
    <s v="VALIDATED"/>
    <n v="1"/>
    <s v="01.11.80.307.6100.0000"/>
    <n v="71.37"/>
    <s v="11"/>
    <s v="6100"/>
    <n v="24809.75"/>
    <n v="71.37"/>
    <s v="CREDITOR"/>
    <n v="0"/>
    <n v="0"/>
    <n v="0"/>
    <n v="0"/>
    <n v="71.37"/>
  </r>
  <r>
    <n v="61337332"/>
    <s v="N"/>
    <n v="21321121"/>
    <s v="3000015488430009"/>
    <s v="CIVIL"/>
    <d v="2023-06-28T00:00:00"/>
    <d v="2023-07-03T19:04:52"/>
    <m/>
    <d v="2023-07-03T00:00:00"/>
    <n v="1656"/>
    <n v="15"/>
    <s v="61337332"/>
    <s v="61337332"/>
    <m/>
    <m/>
    <n v="22779566"/>
    <m/>
    <m/>
    <m/>
    <s v="SOLPOA"/>
    <s v="SOLPOA"/>
    <s v="CCMS"/>
    <n v="21321121"/>
    <n v="1061.86"/>
    <m/>
    <s v="N"/>
    <n v="1"/>
    <d v="2023-07-03T19:04:58"/>
    <s v="N"/>
    <s v="Non Expert Disbursement"/>
    <s v="Non Expert Disbursement"/>
    <s v="Non Expert Disbursement"/>
    <s v="TL"/>
    <s v="N"/>
    <n v="884.88"/>
    <n v="176.98"/>
    <x v="3"/>
    <s v="VALIDATED"/>
    <n v="1"/>
    <s v="01.11.80.308.2012.0000"/>
    <n v="884.88"/>
    <s v="11"/>
    <s v="2012"/>
    <n v="24809.75"/>
    <n v="884.88"/>
    <s v="CREDITOR"/>
    <n v="884.88"/>
    <n v="0"/>
    <n v="0"/>
    <n v="0"/>
    <n v="0"/>
  </r>
  <r>
    <n v="56437778"/>
    <s v="N"/>
    <n v="21350078"/>
    <s v="3000013430710007"/>
    <s v="CIVIL"/>
    <d v="2023-06-29T00:00:00"/>
    <d v="2023-07-10T19:01:40"/>
    <m/>
    <d v="2023-07-10T00:00:00"/>
    <n v="1656"/>
    <n v="15"/>
    <s v="56437778"/>
    <s v="56437778"/>
    <m/>
    <m/>
    <n v="22785264"/>
    <m/>
    <m/>
    <m/>
    <s v="SOLFIN"/>
    <s v="SOLFIN"/>
    <s v="CCMS"/>
    <n v="21350078"/>
    <n v="8978.99"/>
    <m/>
    <s v="N"/>
    <n v="34"/>
    <d v="2023-07-10T19:02:13"/>
    <s v="Y"/>
    <s v="Attendance upon client"/>
    <s v="Care Remuneration Hourly Rates"/>
    <s v="Profit Cost"/>
    <s v="KA"/>
    <s v="Y"/>
    <n v="12.09"/>
    <n v="2.42"/>
    <x v="2"/>
    <s v="VALIDATED"/>
    <n v="1"/>
    <s v="01.11.80.308.6100.0000"/>
    <n v="12.09"/>
    <s v="11"/>
    <s v="6100"/>
    <n v="24809.75"/>
    <n v="12.09"/>
    <s v="CREDITOR"/>
    <n v="0"/>
    <n v="0"/>
    <n v="0"/>
    <n v="0"/>
    <n v="12.09"/>
  </r>
  <r>
    <n v="56437778"/>
    <s v="N"/>
    <n v="21350078"/>
    <s v="3000013430710007"/>
    <s v="CIVIL"/>
    <d v="2023-06-29T00:00:00"/>
    <d v="2023-07-10T19:01:40"/>
    <m/>
    <d v="2023-07-10T00:00:00"/>
    <n v="1656"/>
    <n v="15"/>
    <s v="56437778"/>
    <s v="56437778"/>
    <m/>
    <m/>
    <n v="22785264"/>
    <m/>
    <m/>
    <m/>
    <s v="SOLFIN"/>
    <s v="SOLFIN"/>
    <s v="CCMS"/>
    <n v="21350078"/>
    <n v="8978.99"/>
    <m/>
    <s v="N"/>
    <n v="8"/>
    <d v="2023-07-10T19:02:13"/>
    <s v="Y"/>
    <s v="Preparation - drafting application"/>
    <s v="Care Remuneration Hourly Rates"/>
    <s v="Profit Cost"/>
    <s v="HS"/>
    <s v="Y"/>
    <n v="26.29"/>
    <n v="5.26"/>
    <x v="2"/>
    <s v="VALIDATED"/>
    <n v="1"/>
    <s v="01.11.80.308.6100.0000"/>
    <n v="26.29"/>
    <s v="11"/>
    <s v="6100"/>
    <n v="24809.75"/>
    <n v="26.29"/>
    <s v="CREDITOR"/>
    <n v="0"/>
    <n v="0"/>
    <n v="0"/>
    <n v="0"/>
    <n v="26.29"/>
  </r>
  <r>
    <n v="61049069"/>
    <s v="N"/>
    <n v="21318381"/>
    <s v="3000015248580009"/>
    <s v="CIVIL"/>
    <d v="2023-06-15T00:00:00"/>
    <d v="2023-07-03T19:01:49"/>
    <m/>
    <d v="2023-07-03T00:00:00"/>
    <n v="1656"/>
    <n v="15"/>
    <s v="61049069"/>
    <s v="61049069"/>
    <m/>
    <m/>
    <n v="22701498"/>
    <m/>
    <m/>
    <m/>
    <s v="SOLFIN"/>
    <s v="SOLFIN"/>
    <s v="CCMS"/>
    <n v="21318381"/>
    <n v="8695.4"/>
    <m/>
    <s v="N"/>
    <n v="6"/>
    <d v="2023-07-03T19:01:54"/>
    <s v="Y"/>
    <s v="Toxicologist"/>
    <s v="Prescribed Hourly Rates"/>
    <s v="Expert Disbursement"/>
    <s v="XXX"/>
    <s v="Y"/>
    <n v="1340.2"/>
    <n v="268.04"/>
    <x v="3"/>
    <s v="VALIDATED"/>
    <n v="1"/>
    <s v="01.11.80.307.6300.0000"/>
    <n v="1340.2"/>
    <s v="11"/>
    <s v="6300"/>
    <n v="24809.75"/>
    <n v="1340.2"/>
    <s v="CREDITOR"/>
    <n v="0"/>
    <n v="0"/>
    <n v="0"/>
    <n v="0"/>
    <n v="1340.2"/>
  </r>
  <r>
    <n v="56437778"/>
    <s v="N"/>
    <n v="21350078"/>
    <s v="3000013430710007"/>
    <s v="CIVIL"/>
    <d v="2023-06-29T00:00:00"/>
    <d v="2023-07-10T19:01:40"/>
    <m/>
    <d v="2023-07-10T00:00:00"/>
    <n v="1656"/>
    <n v="15"/>
    <s v="56437778"/>
    <s v="56437778"/>
    <m/>
    <m/>
    <n v="22785264"/>
    <m/>
    <m/>
    <m/>
    <s v="SOLFIN"/>
    <s v="SOLFIN"/>
    <s v="CCMS"/>
    <n v="21350078"/>
    <n v="8978.99"/>
    <m/>
    <s v="N"/>
    <n v="38"/>
    <d v="2023-07-10T19:02:13"/>
    <s v="Y"/>
    <s v="Attendance upon client"/>
    <s v="Care Remuneration Hourly Rates"/>
    <s v="Profit Cost"/>
    <s v="KA"/>
    <s v="Y"/>
    <n v="24.18"/>
    <n v="4.84"/>
    <x v="2"/>
    <s v="VALIDATED"/>
    <n v="1"/>
    <s v="01.11.80.308.6100.0000"/>
    <n v="24.18"/>
    <s v="11"/>
    <s v="6100"/>
    <n v="24809.75"/>
    <n v="24.18"/>
    <s v="CREDITOR"/>
    <n v="0"/>
    <n v="0"/>
    <n v="0"/>
    <n v="0"/>
    <n v="24.18"/>
  </r>
  <r>
    <n v="60815703"/>
    <s v="N"/>
    <n v="21328116"/>
    <s v="3000015047580009"/>
    <s v="CIVIL"/>
    <d v="2023-06-26T00:00:00"/>
    <d v="2023-07-04T19:00:44"/>
    <m/>
    <d v="2023-07-04T00:00:00"/>
    <n v="1656"/>
    <n v="15"/>
    <s v="60815703"/>
    <s v="60815703"/>
    <m/>
    <m/>
    <n v="22761074"/>
    <m/>
    <m/>
    <m/>
    <s v="SOLFIN"/>
    <s v="SOLFIN"/>
    <s v="CCMS"/>
    <n v="21328116"/>
    <n v="7019.44"/>
    <m/>
    <s v="N"/>
    <n v="61"/>
    <d v="2023-07-04T19:01:05"/>
    <s v="Y"/>
    <s v="Attendance upon client"/>
    <s v="Prescribed Hourly Rates"/>
    <s v="Profit Cost"/>
    <s v="AT"/>
    <s v="Y"/>
    <n v="34.31"/>
    <n v="6.86"/>
    <x v="1"/>
    <s v="VALIDATED"/>
    <n v="1"/>
    <s v="01.11.80.307.6100.0000"/>
    <n v="34.31"/>
    <s v="11"/>
    <s v="6100"/>
    <n v="24809.75"/>
    <n v="34.31"/>
    <s v="CREDITOR"/>
    <n v="0"/>
    <n v="0"/>
    <n v="0"/>
    <n v="0"/>
    <n v="34.31"/>
  </r>
  <r>
    <n v="61049069"/>
    <s v="N"/>
    <n v="21318381"/>
    <s v="3000015248580009"/>
    <s v="CIVIL"/>
    <d v="2023-06-15T00:00:00"/>
    <d v="2023-07-03T19:01:49"/>
    <m/>
    <d v="2023-07-03T00:00:00"/>
    <n v="1656"/>
    <n v="15"/>
    <s v="61049069"/>
    <s v="61049069"/>
    <m/>
    <m/>
    <n v="22701498"/>
    <m/>
    <m/>
    <m/>
    <s v="SOLFIN"/>
    <s v="SOLFIN"/>
    <s v="CCMS"/>
    <n v="21318381"/>
    <n v="8695.4"/>
    <m/>
    <s v="N"/>
    <n v="32"/>
    <d v="2023-07-03T19:01:54"/>
    <s v="Y"/>
    <s v="Preparation - other"/>
    <s v="Prescribed Hourly Rates"/>
    <s v="Profit Cost"/>
    <s v="OB"/>
    <s v="Y"/>
    <n v="42.82"/>
    <n v="8.56"/>
    <x v="3"/>
    <s v="VALIDATED"/>
    <n v="1"/>
    <s v="01.11.80.307.6100.0000"/>
    <n v="42.82"/>
    <s v="11"/>
    <s v="6100"/>
    <n v="24809.75"/>
    <n v="42.82"/>
    <s v="CREDITOR"/>
    <n v="0"/>
    <n v="0"/>
    <n v="0"/>
    <n v="0"/>
    <n v="42.82"/>
  </r>
  <r>
    <n v="61035075"/>
    <s v="N"/>
    <n v="21331005"/>
    <s v="3000015236260008"/>
    <s v="CIVIL"/>
    <d v="2023-06-23T00:00:00"/>
    <d v="2023-07-05T19:01:47"/>
    <m/>
    <d v="2023-07-05T00:00:00"/>
    <n v="1656"/>
    <n v="15"/>
    <s v="61035075"/>
    <s v="61035075"/>
    <m/>
    <m/>
    <n v="22755974"/>
    <m/>
    <m/>
    <m/>
    <s v="SOLFIN"/>
    <s v="SOLFIN"/>
    <s v="CCMS"/>
    <n v="21331005"/>
    <n v="13010.51"/>
    <m/>
    <s v="N"/>
    <n v="89"/>
    <d v="2023-07-05T19:02:01"/>
    <s v="Y"/>
    <s v="Routine Letter In"/>
    <s v="Prescribed Hourly Rates"/>
    <s v="Profit Cost"/>
    <s v="JW"/>
    <s v="Y"/>
    <n v="32.4"/>
    <n v="6.48"/>
    <x v="6"/>
    <s v="VALIDATED"/>
    <n v="1"/>
    <s v="01.11.80.307.6100.0000"/>
    <n v="32.4"/>
    <s v="11"/>
    <s v="6100"/>
    <n v="24809.75"/>
    <n v="32.4"/>
    <s v="CREDITOR"/>
    <n v="0"/>
    <n v="0"/>
    <n v="0"/>
    <n v="0"/>
    <n v="32.4"/>
  </r>
  <r>
    <n v="61035075"/>
    <s v="N"/>
    <n v="21331005"/>
    <s v="3000015236260008"/>
    <s v="CIVIL"/>
    <d v="2023-06-23T00:00:00"/>
    <d v="2023-07-05T19:01:47"/>
    <m/>
    <d v="2023-07-05T00:00:00"/>
    <n v="1656"/>
    <n v="15"/>
    <s v="61035075"/>
    <s v="61035075"/>
    <m/>
    <m/>
    <n v="22755974"/>
    <m/>
    <m/>
    <m/>
    <s v="SOLFIN"/>
    <s v="SOLFIN"/>
    <s v="CCMS"/>
    <n v="21331005"/>
    <n v="13010.51"/>
    <m/>
    <s v="N"/>
    <n v="29"/>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31"/>
    <d v="2023-07-05T19:02:01"/>
    <s v="Y"/>
    <s v="Report - other expert's report"/>
    <s v="Prescribed Hourly Rates"/>
    <s v="Profit Cost"/>
    <s v="OB"/>
    <s v="Y"/>
    <n v="7.96"/>
    <n v="1.59"/>
    <x v="6"/>
    <s v="VALIDATED"/>
    <n v="1"/>
    <s v="01.11.80.307.6100.0000"/>
    <n v="7.96"/>
    <s v="11"/>
    <s v="6100"/>
    <n v="24809.75"/>
    <n v="7.96"/>
    <s v="CREDITOR"/>
    <n v="0"/>
    <n v="0"/>
    <n v="0"/>
    <n v="0"/>
    <n v="7.96"/>
  </r>
  <r>
    <n v="61049069"/>
    <s v="N"/>
    <n v="21318381"/>
    <s v="3000015248580009"/>
    <s v="CIVIL"/>
    <d v="2023-06-15T00:00:00"/>
    <d v="2023-07-03T19:01:49"/>
    <m/>
    <d v="2023-07-03T00:00:00"/>
    <n v="1656"/>
    <n v="15"/>
    <s v="61049069"/>
    <s v="61049069"/>
    <m/>
    <m/>
    <n v="22701498"/>
    <m/>
    <m/>
    <m/>
    <s v="SOLFIN"/>
    <s v="SOLFIN"/>
    <s v="CCMS"/>
    <n v="21318381"/>
    <n v="8695.4"/>
    <m/>
    <s v="N"/>
    <n v="44"/>
    <d v="2023-07-03T19:01:54"/>
    <s v="Y"/>
    <s v="Preparation - other"/>
    <s v="Prescribed Hourly Rates"/>
    <s v="Profit Cost"/>
    <s v="OB"/>
    <s v="Y"/>
    <n v="99.92"/>
    <n v="19.98"/>
    <x v="3"/>
    <s v="VALIDATED"/>
    <n v="1"/>
    <s v="01.11.80.307.6100.0000"/>
    <n v="99.92"/>
    <s v="11"/>
    <s v="6100"/>
    <n v="24809.75"/>
    <n v="99.92"/>
    <s v="CREDITOR"/>
    <n v="0"/>
    <n v="0"/>
    <n v="0"/>
    <n v="0"/>
    <n v="99.92"/>
  </r>
  <r>
    <n v="56437778"/>
    <s v="N"/>
    <n v="21350078"/>
    <s v="3000013430710007"/>
    <s v="CIVIL"/>
    <d v="2023-06-29T00:00:00"/>
    <d v="2023-07-10T19:01:40"/>
    <m/>
    <d v="2023-07-10T00:00:00"/>
    <n v="1656"/>
    <n v="15"/>
    <s v="56437778"/>
    <s v="56437778"/>
    <m/>
    <m/>
    <n v="22785264"/>
    <m/>
    <m/>
    <m/>
    <s v="SOLFIN"/>
    <s v="SOLFIN"/>
    <s v="CCMS"/>
    <n v="21350078"/>
    <n v="8978.99"/>
    <m/>
    <s v="N"/>
    <n v="46"/>
    <d v="2023-07-10T19:02:13"/>
    <s v="Y"/>
    <s v="Preparation - other"/>
    <s v="Care Remuneration Hourly Rates"/>
    <s v="Profit Cost"/>
    <s v="HK"/>
    <s v="Y"/>
    <n v="24.18"/>
    <n v="4.84"/>
    <x v="2"/>
    <s v="VALIDATED"/>
    <n v="1"/>
    <s v="01.11.80.308.6100.0000"/>
    <n v="24.18"/>
    <s v="11"/>
    <s v="6100"/>
    <n v="24809.75"/>
    <n v="24.18"/>
    <s v="CREDITOR"/>
    <n v="0"/>
    <n v="0"/>
    <n v="0"/>
    <n v="0"/>
    <n v="24.18"/>
  </r>
  <r>
    <n v="61391363"/>
    <s v="N"/>
    <n v="21344062"/>
    <s v="3000015534470002"/>
    <s v="CIVIL"/>
    <d v="2023-06-28T00:00:00"/>
    <d v="2023-07-07T19:03:00"/>
    <m/>
    <d v="2023-07-07T00:00:00"/>
    <n v="1656"/>
    <n v="15"/>
    <s v="61391363"/>
    <s v="61391363"/>
    <m/>
    <m/>
    <n v="22779196"/>
    <m/>
    <m/>
    <m/>
    <s v="SOLFIN"/>
    <s v="SOLFIN"/>
    <s v="CCMS"/>
    <n v="21344062"/>
    <n v="4661.35"/>
    <m/>
    <s v="N"/>
    <n v="7"/>
    <d v="2023-07-07T19:03:22"/>
    <s v="Y"/>
    <s v="Advocates Meeting"/>
    <s v="Public Law Children"/>
    <s v="Advocacy"/>
    <s v="dm"/>
    <s v="Y"/>
    <n v="140.99"/>
    <n v="28.2"/>
    <x v="9"/>
    <s v="VALIDATED"/>
    <n v="1"/>
    <s v="01.11.80.308.6100.0000"/>
    <n v="140.99"/>
    <s v="11"/>
    <s v="6100"/>
    <n v="24809.75"/>
    <n v="140.99"/>
    <s v="CREDITOR"/>
    <n v="0"/>
    <n v="0"/>
    <n v="0"/>
    <n v="0"/>
    <n v="140.99"/>
  </r>
  <r>
    <n v="60815703"/>
    <s v="N"/>
    <n v="21328116"/>
    <s v="3000015047580009"/>
    <s v="CIVIL"/>
    <d v="2023-06-26T00:00:00"/>
    <d v="2023-07-04T19:00:44"/>
    <m/>
    <d v="2023-07-04T00:00:00"/>
    <n v="1656"/>
    <n v="15"/>
    <s v="60815703"/>
    <s v="60815703"/>
    <m/>
    <m/>
    <n v="22761074"/>
    <m/>
    <m/>
    <m/>
    <s v="SOLFIN"/>
    <s v="SOLFIN"/>
    <s v="CCMS"/>
    <n v="21328116"/>
    <n v="7019.44"/>
    <m/>
    <s v="N"/>
    <n v="42"/>
    <d v="2023-07-04T19:01:05"/>
    <s v="Y"/>
    <s v="Preparation - drafting attendance n"/>
    <s v="Prescribed Hourly Rates"/>
    <s v="Profit Cost"/>
    <s v="AT"/>
    <s v="Y"/>
    <n v="6.86"/>
    <n v="1.37"/>
    <x v="1"/>
    <s v="VALIDATED"/>
    <n v="1"/>
    <s v="01.11.80.307.6100.0000"/>
    <n v="6.86"/>
    <s v="11"/>
    <s v="6100"/>
    <n v="24809.75"/>
    <n v="6.86"/>
    <s v="CREDITOR"/>
    <n v="0"/>
    <n v="0"/>
    <n v="0"/>
    <n v="0"/>
    <n v="6.86"/>
  </r>
  <r>
    <n v="56437778"/>
    <s v="N"/>
    <n v="21350078"/>
    <s v="3000013430710007"/>
    <s v="CIVIL"/>
    <d v="2023-06-29T00:00:00"/>
    <d v="2023-07-10T19:01:40"/>
    <m/>
    <d v="2023-07-10T00:00:00"/>
    <n v="1656"/>
    <n v="15"/>
    <s v="56437778"/>
    <s v="56437778"/>
    <m/>
    <m/>
    <n v="22785264"/>
    <m/>
    <m/>
    <m/>
    <s v="SOLFIN"/>
    <s v="SOLFIN"/>
    <s v="CCMS"/>
    <n v="21350078"/>
    <n v="8978.99"/>
    <m/>
    <s v="N"/>
    <n v="30"/>
    <d v="2023-07-10T19:02:13"/>
    <s v="Y"/>
    <s v="Preparation - other"/>
    <s v="Care Remuneration Hourly Rates"/>
    <s v="Profit Cost"/>
    <s v="KA"/>
    <s v="Y"/>
    <n v="48.37"/>
    <n v="9.67"/>
    <x v="2"/>
    <s v="VALIDATED"/>
    <n v="1"/>
    <s v="01.11.80.308.6100.0000"/>
    <n v="48.37"/>
    <s v="11"/>
    <s v="6100"/>
    <n v="24809.75"/>
    <n v="48.37"/>
    <s v="CREDITOR"/>
    <n v="0"/>
    <n v="0"/>
    <n v="0"/>
    <n v="0"/>
    <n v="48.37"/>
  </r>
  <r>
    <n v="56437778"/>
    <s v="N"/>
    <n v="21350078"/>
    <s v="3000013430710007"/>
    <s v="CIVIL"/>
    <d v="2023-06-29T00:00:00"/>
    <d v="2023-07-10T19:01:40"/>
    <m/>
    <d v="2023-07-10T00:00:00"/>
    <n v="1656"/>
    <n v="15"/>
    <s v="56437778"/>
    <s v="56437778"/>
    <m/>
    <m/>
    <n v="22785264"/>
    <m/>
    <m/>
    <m/>
    <s v="SOLFIN"/>
    <s v="SOLFIN"/>
    <s v="CCMS"/>
    <n v="21350078"/>
    <n v="8978.99"/>
    <m/>
    <s v="N"/>
    <n v="42"/>
    <d v="2023-07-10T19:02:13"/>
    <s v="Y"/>
    <s v="Preparation - drafting statement"/>
    <s v="Care Remuneration Hourly Rates"/>
    <s v="Profit Cost"/>
    <s v="KA"/>
    <s v="Y"/>
    <n v="54.41"/>
    <n v="10.88"/>
    <x v="2"/>
    <s v="VALIDATED"/>
    <n v="1"/>
    <s v="01.11.80.308.6100.0000"/>
    <n v="54.41"/>
    <s v="11"/>
    <s v="6100"/>
    <n v="24809.75"/>
    <n v="54.41"/>
    <s v="CREDITOR"/>
    <n v="0"/>
    <n v="0"/>
    <n v="0"/>
    <n v="0"/>
    <n v="54.41"/>
  </r>
  <r>
    <n v="60815703"/>
    <s v="N"/>
    <n v="21328116"/>
    <s v="3000015047580009"/>
    <s v="CIVIL"/>
    <d v="2023-06-26T00:00:00"/>
    <d v="2023-07-04T19:00:44"/>
    <m/>
    <d v="2023-07-04T00:00:00"/>
    <n v="1656"/>
    <n v="15"/>
    <s v="60815703"/>
    <s v="60815703"/>
    <m/>
    <m/>
    <n v="22761074"/>
    <m/>
    <m/>
    <m/>
    <s v="SOLFIN"/>
    <s v="SOLFIN"/>
    <s v="CCMS"/>
    <n v="21328116"/>
    <n v="7019.44"/>
    <m/>
    <s v="N"/>
    <n v="18"/>
    <d v="2023-07-04T19:01:05"/>
    <s v="Y"/>
    <s v="Preparation - drafting attendance n"/>
    <s v="Prescribed Hourly Rates"/>
    <s v="Profit Cost"/>
    <s v="AT"/>
    <s v="Y"/>
    <n v="13.73"/>
    <n v="2.75"/>
    <x v="1"/>
    <s v="VALIDATED"/>
    <n v="1"/>
    <s v="01.11.80.307.6100.0000"/>
    <n v="13.73"/>
    <s v="11"/>
    <s v="6100"/>
    <n v="24809.75"/>
    <n v="13.73"/>
    <s v="CREDITOR"/>
    <n v="0"/>
    <n v="0"/>
    <n v="0"/>
    <n v="0"/>
    <n v="13.73"/>
  </r>
  <r>
    <n v="61035075"/>
    <s v="N"/>
    <n v="21331005"/>
    <s v="3000015236260008"/>
    <s v="CIVIL"/>
    <d v="2023-06-23T00:00:00"/>
    <d v="2023-07-05T19:01:47"/>
    <m/>
    <d v="2023-07-05T00:00:00"/>
    <n v="1656"/>
    <n v="15"/>
    <s v="61035075"/>
    <s v="61035075"/>
    <m/>
    <m/>
    <n v="22755974"/>
    <m/>
    <m/>
    <m/>
    <s v="SOLFIN"/>
    <s v="SOLFIN"/>
    <s v="CCMS"/>
    <n v="21331005"/>
    <n v="13010.51"/>
    <m/>
    <s v="N"/>
    <n v="77"/>
    <d v="2023-07-05T19:02:01"/>
    <s v="Y"/>
    <s v="Preparation - drafting consent orde"/>
    <s v="Prescribed Hourly Rates"/>
    <s v="Profit Cost"/>
    <s v="OB"/>
    <s v="Y"/>
    <n v="63.68"/>
    <n v="12.74"/>
    <x v="6"/>
    <s v="VALIDATED"/>
    <n v="1"/>
    <s v="01.11.80.307.6100.0000"/>
    <n v="63.68"/>
    <s v="11"/>
    <s v="6100"/>
    <n v="24809.75"/>
    <n v="63.68"/>
    <s v="CREDITOR"/>
    <n v="0"/>
    <n v="0"/>
    <n v="0"/>
    <n v="0"/>
    <n v="63.68"/>
  </r>
  <r>
    <n v="61049069"/>
    <s v="N"/>
    <n v="21318381"/>
    <s v="3000015248580009"/>
    <s v="CIVIL"/>
    <d v="2023-06-15T00:00:00"/>
    <d v="2023-07-03T19:01:49"/>
    <m/>
    <d v="2023-07-03T00:00:00"/>
    <n v="1656"/>
    <n v="15"/>
    <s v="61049069"/>
    <s v="61049069"/>
    <m/>
    <m/>
    <n v="22701498"/>
    <m/>
    <m/>
    <m/>
    <s v="SOLFIN"/>
    <s v="SOLFIN"/>
    <s v="CCMS"/>
    <n v="21318381"/>
    <n v="8695.4"/>
    <m/>
    <s v="N"/>
    <n v="34"/>
    <d v="2023-07-03T19:01:54"/>
    <s v="Y"/>
    <s v="Preparation - drafting attendance n"/>
    <s v="Prescribed Hourly Rates"/>
    <s v="Profit Cost"/>
    <s v="OB"/>
    <s v="Y"/>
    <n v="7.14"/>
    <n v="1.43"/>
    <x v="3"/>
    <s v="VALIDATED"/>
    <n v="1"/>
    <s v="01.11.80.307.6100.0000"/>
    <n v="7.14"/>
    <s v="11"/>
    <s v="6100"/>
    <n v="24809.75"/>
    <n v="7.14"/>
    <s v="CREDITOR"/>
    <n v="0"/>
    <n v="0"/>
    <n v="0"/>
    <n v="0"/>
    <n v="7.14"/>
  </r>
  <r>
    <n v="61049069"/>
    <s v="N"/>
    <n v="21318381"/>
    <s v="3000015248580009"/>
    <s v="CIVIL"/>
    <d v="2023-06-15T00:00:00"/>
    <d v="2023-07-03T19:01:49"/>
    <m/>
    <d v="2023-07-03T00:00:00"/>
    <n v="1656"/>
    <n v="15"/>
    <s v="61049069"/>
    <s v="61049069"/>
    <m/>
    <m/>
    <n v="22701498"/>
    <m/>
    <m/>
    <m/>
    <s v="SOLFIN"/>
    <s v="SOLFIN"/>
    <s v="CCMS"/>
    <n v="21318381"/>
    <n v="8695.4"/>
    <m/>
    <s v="N"/>
    <n v="13"/>
    <d v="2023-07-03T19:01:54"/>
    <s v="Y"/>
    <s v="Preparation - other"/>
    <s v="Prescribed Hourly Rates"/>
    <s v="Profit Cost"/>
    <s v="OB"/>
    <s v="Y"/>
    <n v="7.14"/>
    <n v="1.43"/>
    <x v="3"/>
    <s v="VALIDATED"/>
    <n v="1"/>
    <s v="01.11.80.307.6100.0000"/>
    <n v="7.14"/>
    <s v="11"/>
    <s v="6100"/>
    <n v="24809.75"/>
    <n v="7.14"/>
    <s v="CREDITOR"/>
    <n v="0"/>
    <n v="0"/>
    <n v="0"/>
    <n v="0"/>
    <n v="7.14"/>
  </r>
  <r>
    <n v="56437778"/>
    <s v="N"/>
    <n v="21350078"/>
    <s v="3000013430710007"/>
    <s v="CIVIL"/>
    <d v="2023-06-29T00:00:00"/>
    <d v="2023-07-10T19:01:40"/>
    <m/>
    <d v="2023-07-10T00:00:00"/>
    <n v="1656"/>
    <n v="15"/>
    <s v="56437778"/>
    <s v="56437778"/>
    <m/>
    <m/>
    <n v="22785264"/>
    <m/>
    <m/>
    <m/>
    <s v="SOLFIN"/>
    <s v="SOLFIN"/>
    <s v="CCMS"/>
    <n v="21350078"/>
    <n v="8978.99"/>
    <m/>
    <s v="N"/>
    <n v="27"/>
    <d v="2023-07-10T19:02:13"/>
    <s v="Y"/>
    <s v="Preparation - drafting application"/>
    <s v="Care Remuneration Hourly Rates"/>
    <s v="Profit Cost"/>
    <s v="CD"/>
    <s v="Y"/>
    <n v="5.26"/>
    <n v="1.05"/>
    <x v="2"/>
    <s v="VALIDATED"/>
    <n v="1"/>
    <s v="01.11.80.308.6100.0000"/>
    <n v="5.26"/>
    <s v="11"/>
    <s v="6100"/>
    <n v="24809.75"/>
    <n v="5.26"/>
    <s v="CREDITOR"/>
    <n v="0"/>
    <n v="0"/>
    <n v="0"/>
    <n v="0"/>
    <n v="5.26"/>
  </r>
  <r>
    <n v="56437778"/>
    <s v="N"/>
    <n v="21350078"/>
    <s v="3000013430710007"/>
    <s v="CIVIL"/>
    <d v="2023-06-29T00:00:00"/>
    <d v="2023-07-10T19:01:40"/>
    <m/>
    <d v="2023-07-10T00:00:00"/>
    <n v="1656"/>
    <n v="15"/>
    <s v="56437778"/>
    <s v="56437778"/>
    <m/>
    <m/>
    <n v="22785264"/>
    <m/>
    <m/>
    <m/>
    <s v="SOLFIN"/>
    <s v="SOLFIN"/>
    <s v="CCMS"/>
    <n v="21350078"/>
    <n v="8978.99"/>
    <m/>
    <s v="N"/>
    <n v="37"/>
    <d v="2023-07-10T19:02:13"/>
    <s v="Y"/>
    <s v="Preparation - drafting application"/>
    <s v="Care Remuneration Hourly Rates"/>
    <s v="Profit Cost"/>
    <s v="KA"/>
    <s v="Y"/>
    <n v="18.14"/>
    <n v="3.63"/>
    <x v="2"/>
    <s v="VALIDATED"/>
    <n v="1"/>
    <s v="01.11.80.308.6100.0000"/>
    <n v="18.14"/>
    <s v="11"/>
    <s v="6100"/>
    <n v="24809.75"/>
    <n v="18.14"/>
    <s v="CREDITOR"/>
    <n v="0"/>
    <n v="0"/>
    <n v="0"/>
    <n v="0"/>
    <n v="18.14"/>
  </r>
  <r>
    <n v="60815703"/>
    <s v="N"/>
    <n v="21328116"/>
    <s v="3000015047580009"/>
    <s v="CIVIL"/>
    <d v="2023-06-26T00:00:00"/>
    <d v="2023-07-04T19:00:44"/>
    <m/>
    <d v="2023-07-04T00:00:00"/>
    <n v="1656"/>
    <n v="15"/>
    <s v="60815703"/>
    <s v="60815703"/>
    <m/>
    <m/>
    <n v="22761074"/>
    <m/>
    <m/>
    <m/>
    <s v="SOLFIN"/>
    <s v="SOLFIN"/>
    <s v="CCMS"/>
    <n v="21328116"/>
    <n v="7019.44"/>
    <m/>
    <s v="N"/>
    <n v="16"/>
    <d v="2023-07-04T19:01:05"/>
    <s v="Y"/>
    <s v="Preparation - other"/>
    <s v="Prescribed Hourly Rates"/>
    <s v="Profit Cost"/>
    <s v="AT"/>
    <s v="Y"/>
    <n v="13.73"/>
    <n v="2.75"/>
    <x v="1"/>
    <s v="VALIDATED"/>
    <n v="1"/>
    <s v="01.11.80.307.6100.0000"/>
    <n v="13.73"/>
    <s v="11"/>
    <s v="6100"/>
    <n v="24809.75"/>
    <n v="13.73"/>
    <s v="CREDITOR"/>
    <n v="0"/>
    <n v="0"/>
    <n v="0"/>
    <n v="0"/>
    <n v="13.73"/>
  </r>
  <r>
    <n v="60815703"/>
    <s v="N"/>
    <n v="21328116"/>
    <s v="3000015047580009"/>
    <s v="CIVIL"/>
    <d v="2023-06-26T00:00:00"/>
    <d v="2023-07-04T19:00:44"/>
    <m/>
    <d v="2023-07-04T00:00:00"/>
    <n v="1656"/>
    <n v="15"/>
    <s v="60815703"/>
    <s v="60815703"/>
    <m/>
    <m/>
    <n v="22761074"/>
    <m/>
    <m/>
    <m/>
    <s v="SOLFIN"/>
    <s v="SOLFIN"/>
    <s v="CCMS"/>
    <n v="21328116"/>
    <n v="7019.44"/>
    <m/>
    <s v="N"/>
    <n v="28"/>
    <d v="2023-07-04T19:01:05"/>
    <s v="Y"/>
    <s v="Preparation - drafting application"/>
    <s v="Prescribed Hourly Rates"/>
    <s v="Profit Cost"/>
    <s v="AT"/>
    <s v="Y"/>
    <n v="34.31"/>
    <n v="6.86"/>
    <x v="1"/>
    <s v="VALIDATED"/>
    <n v="1"/>
    <s v="01.11.80.307.6100.0000"/>
    <n v="34.31"/>
    <s v="11"/>
    <s v="6100"/>
    <n v="24809.75"/>
    <n v="34.31"/>
    <s v="CREDITOR"/>
    <n v="0"/>
    <n v="0"/>
    <n v="0"/>
    <n v="0"/>
    <n v="34.31"/>
  </r>
  <r>
    <n v="61578398"/>
    <s v="N"/>
    <n v="21320129"/>
    <s v="3000015690370006"/>
    <s v="CIVIL"/>
    <d v="2023-06-27T00:00:00"/>
    <d v="2023-07-03T19:04:24"/>
    <m/>
    <d v="2023-07-03T00:00:00"/>
    <n v="1656"/>
    <n v="15"/>
    <s v="61578398"/>
    <s v="61578398"/>
    <m/>
    <m/>
    <n v="22772014"/>
    <m/>
    <m/>
    <m/>
    <s v="SOLPOA"/>
    <s v="SOLPOA"/>
    <s v="CCMS"/>
    <n v="21320129"/>
    <n v="167"/>
    <m/>
    <s v="N"/>
    <n v="1"/>
    <d v="2023-07-03T19:04:29"/>
    <s v="N"/>
    <s v="Non Expert Disbursement"/>
    <s v="Non Expert Disbursement"/>
    <s v="Non Expert Disbursement"/>
    <s v="AT"/>
    <s v="N"/>
    <n v="167"/>
    <n v="0"/>
    <x v="3"/>
    <s v="VALIDATED"/>
    <n v="1"/>
    <s v="01.11.80.308.2012.0000"/>
    <n v="167"/>
    <s v="11"/>
    <s v="2012"/>
    <n v="24809.75"/>
    <n v="167"/>
    <s v="CREDITOR"/>
    <n v="167"/>
    <n v="0"/>
    <n v="0"/>
    <n v="0"/>
    <n v="0"/>
  </r>
  <r>
    <n v="60815703"/>
    <s v="N"/>
    <n v="21328116"/>
    <s v="3000015047580009"/>
    <s v="CIVIL"/>
    <d v="2023-06-26T00:00:00"/>
    <d v="2023-07-04T19:00:44"/>
    <m/>
    <d v="2023-07-04T00:00:00"/>
    <n v="1656"/>
    <n v="15"/>
    <s v="60815703"/>
    <s v="60815703"/>
    <m/>
    <m/>
    <n v="22761074"/>
    <m/>
    <m/>
    <m/>
    <s v="SOLFIN"/>
    <s v="SOLFIN"/>
    <s v="CCMS"/>
    <n v="21328116"/>
    <n v="7019.44"/>
    <m/>
    <s v="N"/>
    <n v="6"/>
    <d v="2023-07-04T19:01:05"/>
    <s v="Y"/>
    <s v="Court Fee"/>
    <s v="Prescribed Hourly Rates"/>
    <s v="Non Expert Disbursement"/>
    <s v="XXX"/>
    <s v="Y"/>
    <n v="167"/>
    <n v="0"/>
    <x v="1"/>
    <s v="VALIDATED"/>
    <n v="1"/>
    <s v="01.11.80.307.6300.0000"/>
    <n v="167"/>
    <s v="11"/>
    <s v="6300"/>
    <n v="24809.75"/>
    <n v="167"/>
    <s v="CREDITOR"/>
    <n v="0"/>
    <n v="0"/>
    <n v="0"/>
    <n v="0"/>
    <n v="167"/>
  </r>
  <r>
    <n v="56437778"/>
    <s v="N"/>
    <n v="21350078"/>
    <s v="3000013430710007"/>
    <s v="CIVIL"/>
    <d v="2023-06-29T00:00:00"/>
    <d v="2023-07-10T19:01:40"/>
    <m/>
    <d v="2023-07-10T00:00:00"/>
    <n v="1656"/>
    <n v="15"/>
    <s v="56437778"/>
    <s v="56437778"/>
    <m/>
    <m/>
    <n v="22785264"/>
    <m/>
    <m/>
    <m/>
    <s v="SOLFIN"/>
    <s v="SOLFIN"/>
    <s v="CCMS"/>
    <n v="21350078"/>
    <n v="8978.99"/>
    <m/>
    <s v="N"/>
    <n v="57"/>
    <d v="2023-07-10T19:02:13"/>
    <s v="Y"/>
    <s v="Routine Letter Out"/>
    <s v="Care Remuneration Hourly Rates"/>
    <s v="Profit Cost"/>
    <s v="KA"/>
    <s v="Y"/>
    <n v="1476.74"/>
    <n v="295.31"/>
    <x v="2"/>
    <s v="VALIDATED"/>
    <n v="1"/>
    <s v="01.11.80.308.6100.0000"/>
    <n v="1476.74"/>
    <s v="11"/>
    <s v="6100"/>
    <n v="24809.75"/>
    <n v="1476.74"/>
    <s v="CREDITOR"/>
    <n v="0"/>
    <n v="0"/>
    <n v="0"/>
    <n v="0"/>
    <n v="1476.74"/>
  </r>
  <r>
    <n v="56437778"/>
    <s v="N"/>
    <n v="21350078"/>
    <s v="3000013430710007"/>
    <s v="CIVIL"/>
    <d v="2023-06-29T00:00:00"/>
    <d v="2023-07-10T19:01:40"/>
    <m/>
    <d v="2023-07-10T00:00:00"/>
    <n v="1656"/>
    <n v="15"/>
    <s v="56437778"/>
    <s v="56437778"/>
    <m/>
    <m/>
    <n v="22785264"/>
    <m/>
    <m/>
    <m/>
    <s v="SOLFIN"/>
    <s v="SOLFIN"/>
    <s v="CCMS"/>
    <n v="21350078"/>
    <n v="8978.99"/>
    <m/>
    <s v="N"/>
    <n v="60"/>
    <d v="2023-07-10T19:02:13"/>
    <s v="Y"/>
    <s v="Routine Letter In"/>
    <s v="Care Remuneration Hourly Rates"/>
    <s v="Profit Cost"/>
    <s v="HS"/>
    <s v="Y"/>
    <n v="162.8"/>
    <n v="32.56"/>
    <x v="2"/>
    <s v="VALIDATED"/>
    <n v="1"/>
    <s v="01.11.80.308.6100.0000"/>
    <n v="162.8"/>
    <s v="11"/>
    <s v="6100"/>
    <n v="24809.75"/>
    <n v="162.8"/>
    <s v="CREDITOR"/>
    <n v="0"/>
    <n v="0"/>
    <n v="0"/>
    <n v="0"/>
    <n v="162.8"/>
  </r>
  <r>
    <n v="56437778"/>
    <s v="N"/>
    <n v="21350078"/>
    <s v="3000013430710007"/>
    <s v="CIVIL"/>
    <d v="2023-06-29T00:00:00"/>
    <d v="2023-07-10T19:01:40"/>
    <m/>
    <d v="2023-07-10T00:00:00"/>
    <n v="1656"/>
    <n v="15"/>
    <s v="56437778"/>
    <s v="56437778"/>
    <m/>
    <m/>
    <n v="22785264"/>
    <m/>
    <m/>
    <m/>
    <s v="SOLFIN"/>
    <s v="SOLFIN"/>
    <s v="CCMS"/>
    <n v="21350078"/>
    <n v="8978.99"/>
    <m/>
    <s v="N"/>
    <n v="65"/>
    <d v="2023-07-10T19:02:13"/>
    <s v="Y"/>
    <s v="Hearing Unit 2.31 - 5.00 Hours"/>
    <s v="Public Law Children"/>
    <s v="Advocacy"/>
    <s v="CE"/>
    <s v="Y"/>
    <n v="476.92"/>
    <n v="95.39"/>
    <x v="2"/>
    <s v="VALIDATED"/>
    <n v="1"/>
    <s v="01.11.80.308.6100.0000"/>
    <n v="476.92"/>
    <s v="11"/>
    <s v="6100"/>
    <n v="24809.75"/>
    <n v="476.92"/>
    <s v="CREDITOR"/>
    <n v="0"/>
    <n v="0"/>
    <n v="0"/>
    <n v="0"/>
    <n v="476.92"/>
  </r>
  <r>
    <n v="56437778"/>
    <s v="N"/>
    <n v="21350078"/>
    <s v="3000013430710007"/>
    <s v="CIVIL"/>
    <d v="2023-06-29T00:00:00"/>
    <d v="2023-07-10T19:01:40"/>
    <m/>
    <d v="2023-07-10T00:00:00"/>
    <n v="1656"/>
    <n v="15"/>
    <s v="56437778"/>
    <s v="56437778"/>
    <m/>
    <m/>
    <n v="22785264"/>
    <m/>
    <m/>
    <m/>
    <s v="SOLFIN"/>
    <s v="SOLFIN"/>
    <s v="CCMS"/>
    <n v="21350078"/>
    <n v="8978.99"/>
    <m/>
    <s v="N"/>
    <n v="70"/>
    <d v="2023-07-10T19:02:13"/>
    <s v="Y"/>
    <s v="Hearing Unit 1.01 - 2.30 Hours"/>
    <s v="Public Law Children"/>
    <s v="Advocacy"/>
    <s v="KA"/>
    <s v="Y"/>
    <n v="238.46"/>
    <n v="47.69"/>
    <x v="2"/>
    <s v="VALIDATED"/>
    <n v="1"/>
    <s v="01.11.80.308.6100.0000"/>
    <n v="238.46"/>
    <s v="11"/>
    <s v="6100"/>
    <n v="24809.75"/>
    <n v="238.46"/>
    <s v="CREDITOR"/>
    <n v="0"/>
    <n v="0"/>
    <n v="0"/>
    <n v="0"/>
    <n v="238.46"/>
  </r>
  <r>
    <n v="61681898"/>
    <s v="N"/>
    <n v="21338489"/>
    <s v="3000015777230002"/>
    <s v="CIVIL"/>
    <d v="2023-06-30T00:00:00"/>
    <d v="2023-07-06T19:21:01"/>
    <m/>
    <d v="2023-07-06T00:00:00"/>
    <n v="1656"/>
    <n v="15"/>
    <s v="61681898"/>
    <s v="61681898"/>
    <m/>
    <m/>
    <n v="22797476"/>
    <m/>
    <m/>
    <m/>
    <s v="SOLFIN"/>
    <s v="SOLFIN"/>
    <s v="CCMS"/>
    <n v="21338489"/>
    <n v="4180.32"/>
    <m/>
    <s v="N"/>
    <n v="7"/>
    <d v="2023-07-06T19:21:26"/>
    <s v="Y"/>
    <s v="Advocates Meeting"/>
    <s v="Public Law Children"/>
    <s v="Advocacy"/>
    <s v="KL"/>
    <s v="Y"/>
    <n v="128.16"/>
    <n v="25.63"/>
    <x v="4"/>
    <s v="VALIDATED"/>
    <n v="1"/>
    <s v="01.11.80.308.6100.0000"/>
    <n v="128.16"/>
    <s v="11"/>
    <s v="6100"/>
    <n v="24809.75"/>
    <n v="128.16"/>
    <s v="CREDITOR"/>
    <n v="0"/>
    <n v="0"/>
    <n v="0"/>
    <n v="0"/>
    <n v="128.16"/>
  </r>
  <r>
    <n v="61035075"/>
    <s v="N"/>
    <n v="21331005"/>
    <s v="3000015236260008"/>
    <s v="CIVIL"/>
    <d v="2023-06-23T00:00:00"/>
    <d v="2023-07-05T19:01:47"/>
    <m/>
    <d v="2023-07-05T00:00:00"/>
    <n v="1656"/>
    <n v="15"/>
    <s v="61035075"/>
    <s v="61035075"/>
    <m/>
    <m/>
    <n v="22755974"/>
    <m/>
    <m/>
    <m/>
    <s v="SOLFIN"/>
    <s v="SOLFIN"/>
    <s v="CCMS"/>
    <n v="21331005"/>
    <n v="13010.51"/>
    <m/>
    <s v="N"/>
    <n v="2"/>
    <d v="2023-07-05T19:02:01"/>
    <s v="Y"/>
    <s v="Solicitor Travel Expenses"/>
    <s v="Prescribed Hourly Rates"/>
    <s v="Non Expert Disbursement"/>
    <s v="HW"/>
    <s v="Y"/>
    <n v="10"/>
    <n v="0"/>
    <x v="6"/>
    <s v="VALIDATED"/>
    <n v="1"/>
    <s v="01.11.80.307.6300.0000"/>
    <n v="10"/>
    <s v="11"/>
    <s v="6300"/>
    <n v="24809.75"/>
    <n v="10"/>
    <s v="CREDITOR"/>
    <n v="0"/>
    <n v="0"/>
    <n v="0"/>
    <n v="0"/>
    <n v="10"/>
  </r>
  <r>
    <n v="60815703"/>
    <s v="N"/>
    <n v="21328116"/>
    <s v="3000015047580009"/>
    <s v="CIVIL"/>
    <d v="2023-06-26T00:00:00"/>
    <d v="2023-07-04T19:00:44"/>
    <m/>
    <d v="2023-07-04T00:00:00"/>
    <n v="1656"/>
    <n v="15"/>
    <s v="60815703"/>
    <s v="60815703"/>
    <m/>
    <m/>
    <n v="22761074"/>
    <m/>
    <m/>
    <m/>
    <s v="SOLFIN"/>
    <s v="SOLFIN"/>
    <s v="CCMS"/>
    <n v="21328116"/>
    <n v="7019.44"/>
    <m/>
    <s v="N"/>
    <n v="43"/>
    <d v="2023-07-04T19:01:05"/>
    <s v="Y"/>
    <s v="Preparation - drafting consent orde"/>
    <s v="Prescribed Hourly Rates"/>
    <s v="Profit Cost"/>
    <s v="AT"/>
    <s v="Y"/>
    <n v="68.63"/>
    <n v="13.73"/>
    <x v="1"/>
    <s v="VALIDATED"/>
    <n v="1"/>
    <s v="01.11.80.307.6100.0000"/>
    <n v="68.63"/>
    <s v="11"/>
    <s v="6100"/>
    <n v="24809.75"/>
    <n v="68.63"/>
    <s v="CREDITOR"/>
    <n v="0"/>
    <n v="0"/>
    <n v="0"/>
    <n v="0"/>
    <n v="68.63"/>
  </r>
  <r>
    <n v="60815703"/>
    <s v="N"/>
    <n v="21328116"/>
    <s v="3000015047580009"/>
    <s v="CIVIL"/>
    <d v="2023-06-26T00:00:00"/>
    <d v="2023-07-04T19:00:44"/>
    <m/>
    <d v="2023-07-04T00:00:00"/>
    <n v="1656"/>
    <n v="15"/>
    <s v="60815703"/>
    <s v="60815703"/>
    <m/>
    <m/>
    <n v="22761074"/>
    <m/>
    <m/>
    <m/>
    <s v="SOLFIN"/>
    <s v="SOLFIN"/>
    <s v="CCMS"/>
    <n v="21328116"/>
    <n v="7019.44"/>
    <m/>
    <s v="N"/>
    <n v="74"/>
    <d v="2023-07-04T19:01:05"/>
    <s v="Y"/>
    <s v="Preparation - drafting bill/claim f"/>
    <s v="Prescribed Hourly Rates"/>
    <s v="Profit Cost"/>
    <s v="AT"/>
    <s v="Y"/>
    <n v="34.31"/>
    <n v="6.86"/>
    <x v="1"/>
    <s v="VALIDATED"/>
    <n v="1"/>
    <s v="01.11.80.307.6100.0000"/>
    <n v="34.31"/>
    <s v="11"/>
    <s v="6100"/>
    <n v="24809.75"/>
    <n v="34.31"/>
    <s v="CREDITOR"/>
    <n v="0"/>
    <n v="0"/>
    <n v="0"/>
    <n v="0"/>
    <n v="34.31"/>
  </r>
  <r>
    <n v="60815703"/>
    <s v="N"/>
    <n v="21328116"/>
    <s v="3000015047580009"/>
    <s v="CIVIL"/>
    <d v="2023-06-26T00:00:00"/>
    <d v="2023-07-04T19:00:44"/>
    <m/>
    <d v="2023-07-04T00:00:00"/>
    <n v="1656"/>
    <n v="15"/>
    <s v="60815703"/>
    <s v="60815703"/>
    <m/>
    <m/>
    <n v="22761074"/>
    <m/>
    <m/>
    <m/>
    <s v="SOLFIN"/>
    <s v="SOLFIN"/>
    <s v="CCMS"/>
    <n v="21328116"/>
    <n v="7019.44"/>
    <m/>
    <s v="N"/>
    <n v="79"/>
    <d v="2023-07-04T19:01:05"/>
    <s v="Y"/>
    <s v="Routine Letter In"/>
    <s v="Prescribed Hourly Rates"/>
    <s v="Profit Cost"/>
    <s v="JN"/>
    <s v="Y"/>
    <n v="43.2"/>
    <n v="8.640000000000001"/>
    <x v="1"/>
    <s v="VALIDATED"/>
    <n v="1"/>
    <s v="01.11.80.307.6100.0000"/>
    <n v="43.2"/>
    <s v="11"/>
    <s v="6100"/>
    <n v="24809.75"/>
    <n v="43.2"/>
    <s v="CREDITOR"/>
    <n v="0"/>
    <n v="0"/>
    <n v="0"/>
    <n v="0"/>
    <n v="43.2"/>
  </r>
  <r>
    <n v="60815703"/>
    <s v="N"/>
    <n v="21328116"/>
    <s v="3000015047580009"/>
    <s v="CIVIL"/>
    <d v="2023-06-26T00:00:00"/>
    <d v="2023-07-04T19:00:44"/>
    <m/>
    <d v="2023-07-04T00:00:00"/>
    <n v="1656"/>
    <n v="15"/>
    <s v="60815703"/>
    <s v="60815703"/>
    <m/>
    <m/>
    <n v="22761074"/>
    <m/>
    <m/>
    <m/>
    <s v="SOLFIN"/>
    <s v="SOLFIN"/>
    <s v="CCMS"/>
    <n v="21328116"/>
    <n v="7019.44"/>
    <m/>
    <s v="N"/>
    <n v="39"/>
    <d v="2023-07-04T19:01:05"/>
    <s v="Y"/>
    <s v="Attendance upon court"/>
    <s v="Prescribed Hourly Rates"/>
    <s v="Profit Cost"/>
    <s v="AT"/>
    <s v="Y"/>
    <n v="137.25"/>
    <n v="27.45"/>
    <x v="1"/>
    <s v="VALIDATED"/>
    <n v="1"/>
    <s v="01.11.80.307.6100.0000"/>
    <n v="137.25"/>
    <s v="11"/>
    <s v="6100"/>
    <n v="24809.75"/>
    <n v="137.25"/>
    <s v="CREDITOR"/>
    <n v="0"/>
    <n v="0"/>
    <n v="0"/>
    <n v="0"/>
    <n v="137.25"/>
  </r>
  <r>
    <n v="56437778"/>
    <s v="N"/>
    <n v="21350078"/>
    <s v="3000013430710007"/>
    <s v="CIVIL"/>
    <d v="2023-06-29T00:00:00"/>
    <d v="2023-07-10T19:01:40"/>
    <m/>
    <d v="2023-07-10T00:00:00"/>
    <n v="1656"/>
    <n v="15"/>
    <s v="56437778"/>
    <s v="56437778"/>
    <m/>
    <m/>
    <n v="22785264"/>
    <m/>
    <m/>
    <m/>
    <s v="SOLFIN"/>
    <s v="SOLFIN"/>
    <s v="CCMS"/>
    <n v="21350078"/>
    <n v="8978.99"/>
    <m/>
    <s v="N"/>
    <n v="47"/>
    <d v="2023-07-10T19:02:13"/>
    <s v="Y"/>
    <s v="Preparation - drafting statement"/>
    <s v="Care Remuneration Hourly Rates"/>
    <s v="Profit Cost"/>
    <s v="KA"/>
    <s v="Y"/>
    <n v="18.14"/>
    <n v="3.63"/>
    <x v="2"/>
    <s v="VALIDATED"/>
    <n v="1"/>
    <s v="01.11.80.308.6100.0000"/>
    <n v="18.14"/>
    <s v="11"/>
    <s v="6100"/>
    <n v="24809.75"/>
    <n v="18.14"/>
    <s v="CREDITOR"/>
    <n v="0"/>
    <n v="0"/>
    <n v="0"/>
    <n v="0"/>
    <n v="18.14"/>
  </r>
  <r>
    <n v="56437778"/>
    <s v="N"/>
    <n v="21350078"/>
    <s v="3000013430710007"/>
    <s v="CIVIL"/>
    <d v="2023-06-29T00:00:00"/>
    <d v="2023-07-10T19:01:40"/>
    <m/>
    <d v="2023-07-10T00:00:00"/>
    <n v="1656"/>
    <n v="15"/>
    <s v="56437778"/>
    <s v="56437778"/>
    <m/>
    <m/>
    <n v="22785264"/>
    <m/>
    <m/>
    <m/>
    <s v="SOLFIN"/>
    <s v="SOLFIN"/>
    <s v="CCMS"/>
    <n v="21350078"/>
    <n v="8978.99"/>
    <m/>
    <s v="N"/>
    <n v="64"/>
    <d v="2023-07-10T19:02:13"/>
    <s v="Y"/>
    <s v="Psychiatrist"/>
    <s v="Care Remuneration Hourly Rates"/>
    <s v="Expert Disbursement"/>
    <s v="XXX"/>
    <s v="Y"/>
    <n v="346.15"/>
    <n v="69.23"/>
    <x v="2"/>
    <s v="VALIDATED"/>
    <n v="1"/>
    <s v="01.11.80.308.6300.0000"/>
    <n v="346.15"/>
    <s v="11"/>
    <s v="6300"/>
    <n v="24809.75"/>
    <n v="346.15"/>
    <s v="CREDITOR"/>
    <n v="0"/>
    <n v="0"/>
    <n v="0"/>
    <n v="0"/>
    <n v="346.15"/>
  </r>
  <r>
    <n v="61391363"/>
    <s v="N"/>
    <n v="21344062"/>
    <s v="3000015534470002"/>
    <s v="CIVIL"/>
    <d v="2023-06-28T00:00:00"/>
    <d v="2023-07-07T19:03:00"/>
    <m/>
    <d v="2023-07-07T00:00:00"/>
    <n v="1656"/>
    <n v="15"/>
    <s v="61391363"/>
    <s v="61391363"/>
    <m/>
    <m/>
    <n v="22779196"/>
    <m/>
    <m/>
    <m/>
    <s v="SOLFIN"/>
    <s v="SOLFIN"/>
    <s v="CCMS"/>
    <n v="21344062"/>
    <n v="4661.35"/>
    <m/>
    <s v="N"/>
    <n v="9"/>
    <d v="2023-07-07T19:03:22"/>
    <s v="Y"/>
    <s v="Final Hearing Court Bundle/Advocate"/>
    <s v="Public Law Children"/>
    <s v="Advocacy"/>
    <s v="dm"/>
    <s v="Y"/>
    <n v="159.3"/>
    <n v="31.86"/>
    <x v="9"/>
    <s v="VALIDATED"/>
    <n v="1"/>
    <s v="01.11.80.308.6100.0000"/>
    <n v="159.3"/>
    <s v="11"/>
    <s v="6100"/>
    <n v="24809.75"/>
    <n v="159.3"/>
    <s v="CREDITOR"/>
    <n v="0"/>
    <n v="0"/>
    <n v="0"/>
    <n v="0"/>
    <n v="159.3"/>
  </r>
  <r>
    <n v="61035075"/>
    <s v="N"/>
    <n v="21331005"/>
    <s v="3000015236260008"/>
    <s v="CIVIL"/>
    <d v="2023-06-23T00:00:00"/>
    <d v="2023-07-05T19:01:47"/>
    <m/>
    <d v="2023-07-05T00:00:00"/>
    <n v="1656"/>
    <n v="15"/>
    <s v="61035075"/>
    <s v="61035075"/>
    <m/>
    <m/>
    <n v="22755974"/>
    <m/>
    <m/>
    <m/>
    <s v="SOLFIN"/>
    <s v="SOLFIN"/>
    <s v="CCMS"/>
    <n v="21331005"/>
    <n v="13010.51"/>
    <m/>
    <s v="N"/>
    <n v="71"/>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41"/>
    <d v="2023-07-05T19:02:01"/>
    <s v="Y"/>
    <s v="Preparation - drafting consent orde"/>
    <s v="Prescribed Hourly Rates"/>
    <s v="Profit Cost"/>
    <s v="OB"/>
    <s v="Y"/>
    <n v="79.61"/>
    <n v="15.92"/>
    <x v="6"/>
    <s v="VALIDATED"/>
    <n v="1"/>
    <s v="01.11.80.307.6100.0000"/>
    <n v="79.61"/>
    <s v="11"/>
    <s v="6100"/>
    <n v="24809.75"/>
    <n v="79.61"/>
    <s v="CREDITOR"/>
    <n v="0"/>
    <n v="0"/>
    <n v="0"/>
    <n v="0"/>
    <n v="79.61"/>
  </r>
  <r>
    <n v="61035075"/>
    <s v="N"/>
    <n v="21331005"/>
    <s v="3000015236260008"/>
    <s v="CIVIL"/>
    <d v="2023-06-23T00:00:00"/>
    <d v="2023-07-05T19:01:47"/>
    <m/>
    <d v="2023-07-05T00:00:00"/>
    <n v="1656"/>
    <n v="15"/>
    <s v="61035075"/>
    <s v="61035075"/>
    <m/>
    <m/>
    <n v="22755974"/>
    <m/>
    <m/>
    <m/>
    <s v="SOLFIN"/>
    <s v="SOLFIN"/>
    <s v="CCMS"/>
    <n v="21331005"/>
    <n v="13010.51"/>
    <m/>
    <s v="N"/>
    <n v="75"/>
    <d v="2023-07-05T19:02:01"/>
    <s v="Y"/>
    <s v="Travel to court"/>
    <s v="Prescribed Hourly Rates"/>
    <s v="Profit Cost"/>
    <s v="HW"/>
    <s v="Y"/>
    <n v="44.92"/>
    <n v="8.98"/>
    <x v="6"/>
    <s v="VALIDATED"/>
    <n v="1"/>
    <s v="01.11.80.307.6100.0000"/>
    <n v="44.92"/>
    <s v="11"/>
    <s v="6100"/>
    <n v="24809.75"/>
    <n v="44.92"/>
    <s v="CREDITOR"/>
    <n v="0"/>
    <n v="0"/>
    <n v="0"/>
    <n v="0"/>
    <n v="44.92"/>
  </r>
  <r>
    <n v="60815703"/>
    <s v="N"/>
    <n v="21328116"/>
    <s v="3000015047580009"/>
    <s v="CIVIL"/>
    <d v="2023-06-26T00:00:00"/>
    <d v="2023-07-04T19:00:44"/>
    <m/>
    <d v="2023-07-04T00:00:00"/>
    <n v="1656"/>
    <n v="15"/>
    <s v="60815703"/>
    <s v="60815703"/>
    <m/>
    <m/>
    <n v="22761074"/>
    <m/>
    <m/>
    <m/>
    <s v="SOLFIN"/>
    <s v="SOLFIN"/>
    <s v="CCMS"/>
    <n v="21328116"/>
    <n v="7019.44"/>
    <m/>
    <s v="N"/>
    <n v="1"/>
    <d v="2023-07-04T19:01:05"/>
    <s v="Y"/>
    <s v="Solicitor Travel Expenses"/>
    <s v="Prescribed Hourly Rates"/>
    <s v="Non Expert Disbursement"/>
    <s v="AT"/>
    <s v="Y"/>
    <n v="11.85"/>
    <n v="0"/>
    <x v="1"/>
    <s v="VALIDATED"/>
    <n v="1"/>
    <s v="01.11.80.307.6300.0000"/>
    <n v="11.85"/>
    <s v="11"/>
    <s v="6300"/>
    <n v="24809.75"/>
    <n v="11.85"/>
    <s v="CREDITOR"/>
    <n v="0"/>
    <n v="0"/>
    <n v="0"/>
    <n v="0"/>
    <n v="11.85"/>
  </r>
  <r>
    <n v="60815703"/>
    <s v="N"/>
    <n v="21328116"/>
    <s v="3000015047580009"/>
    <s v="CIVIL"/>
    <d v="2023-06-26T00:00:00"/>
    <d v="2023-07-04T19:00:44"/>
    <m/>
    <d v="2023-07-04T00:00:00"/>
    <n v="1656"/>
    <n v="15"/>
    <s v="60815703"/>
    <s v="60815703"/>
    <m/>
    <m/>
    <n v="22761074"/>
    <m/>
    <m/>
    <m/>
    <s v="SOLFIN"/>
    <s v="SOLFIN"/>
    <s v="CCMS"/>
    <n v="21328116"/>
    <n v="7019.44"/>
    <m/>
    <s v="N"/>
    <n v="77"/>
    <d v="2023-07-04T19:01:05"/>
    <s v="Y"/>
    <s v="Routine Letter Out"/>
    <s v="Prescribed Hourly Rates"/>
    <s v="Profit Cost"/>
    <s v="JN"/>
    <s v="Y"/>
    <n v="37.8"/>
    <n v="7.56"/>
    <x v="1"/>
    <s v="VALIDATED"/>
    <n v="1"/>
    <s v="01.11.80.307.6100.0000"/>
    <n v="37.8"/>
    <s v="11"/>
    <s v="6100"/>
    <n v="24809.75"/>
    <n v="37.8"/>
    <s v="CREDITOR"/>
    <n v="0"/>
    <n v="0"/>
    <n v="0"/>
    <n v="0"/>
    <n v="37.8"/>
  </r>
  <r>
    <n v="60815703"/>
    <s v="N"/>
    <n v="21328116"/>
    <s v="3000015047580009"/>
    <s v="CIVIL"/>
    <d v="2023-06-26T00:00:00"/>
    <d v="2023-07-04T19:00:44"/>
    <m/>
    <d v="2023-07-04T00:00:00"/>
    <n v="1656"/>
    <n v="15"/>
    <s v="60815703"/>
    <s v="60815703"/>
    <m/>
    <m/>
    <n v="22761074"/>
    <m/>
    <m/>
    <m/>
    <s v="SOLFIN"/>
    <s v="SOLFIN"/>
    <s v="CCMS"/>
    <n v="21328116"/>
    <n v="7019.44"/>
    <m/>
    <s v="N"/>
    <n v="54"/>
    <d v="2023-07-04T19:01:05"/>
    <s v="Y"/>
    <s v="Preparation - other"/>
    <s v="Prescribed Hourly Rates"/>
    <s v="Profit Cost"/>
    <s v="AT"/>
    <s v="Y"/>
    <n v="82.34999999999999"/>
    <n v="16.47"/>
    <x v="1"/>
    <s v="VALIDATED"/>
    <n v="1"/>
    <s v="01.11.80.307.6100.0000"/>
    <n v="82.34999999999999"/>
    <s v="11"/>
    <s v="6100"/>
    <n v="24809.75"/>
    <n v="82.34999999999999"/>
    <s v="CREDITOR"/>
    <n v="0"/>
    <n v="0"/>
    <n v="0"/>
    <n v="0"/>
    <n v="82.34999999999999"/>
  </r>
  <r>
    <n v="61049069"/>
    <s v="N"/>
    <n v="21318381"/>
    <s v="3000015248580009"/>
    <s v="CIVIL"/>
    <d v="2023-06-15T00:00:00"/>
    <d v="2023-07-03T19:01:49"/>
    <m/>
    <d v="2023-07-03T00:00:00"/>
    <n v="1656"/>
    <n v="15"/>
    <s v="61049069"/>
    <s v="61049069"/>
    <m/>
    <m/>
    <n v="22701498"/>
    <m/>
    <m/>
    <m/>
    <s v="SOLFIN"/>
    <s v="SOLFIN"/>
    <s v="CCMS"/>
    <n v="21318381"/>
    <n v="8695.4"/>
    <m/>
    <s v="N"/>
    <n v="38"/>
    <d v="2023-07-03T19:01:54"/>
    <s v="Y"/>
    <s v="Preparation - other"/>
    <s v="Prescribed Hourly Rates"/>
    <s v="Profit Cost"/>
    <s v="OB"/>
    <s v="Y"/>
    <n v="21.41"/>
    <n v="4.28"/>
    <x v="3"/>
    <s v="VALIDATED"/>
    <n v="1"/>
    <s v="01.11.80.307.6100.0000"/>
    <n v="21.41"/>
    <s v="11"/>
    <s v="6100"/>
    <n v="24809.75"/>
    <n v="21.41"/>
    <s v="CREDITOR"/>
    <n v="0"/>
    <n v="0"/>
    <n v="0"/>
    <n v="0"/>
    <n v="21.41"/>
  </r>
  <r>
    <n v="56437778"/>
    <s v="N"/>
    <n v="21350078"/>
    <s v="3000013430710007"/>
    <s v="CIVIL"/>
    <d v="2023-06-29T00:00:00"/>
    <d v="2023-07-10T19:01:40"/>
    <m/>
    <d v="2023-07-10T00:00:00"/>
    <n v="1656"/>
    <n v="15"/>
    <s v="56437778"/>
    <s v="56437778"/>
    <m/>
    <m/>
    <n v="22785264"/>
    <m/>
    <m/>
    <m/>
    <s v="SOLFIN"/>
    <s v="SOLFIN"/>
    <s v="CCMS"/>
    <n v="21350078"/>
    <n v="8978.99"/>
    <m/>
    <s v="N"/>
    <n v="26"/>
    <d v="2023-07-10T19:02:13"/>
    <s v="Y"/>
    <s v="Attendance upon client"/>
    <s v="Care Remuneration Hourly Rates"/>
    <s v="Profit Cost"/>
    <s v="KA"/>
    <s v="Y"/>
    <n v="12.09"/>
    <n v="2.42"/>
    <x v="2"/>
    <s v="VALIDATED"/>
    <n v="1"/>
    <s v="01.11.80.308.6100.0000"/>
    <n v="12.09"/>
    <s v="11"/>
    <s v="6100"/>
    <n v="24809.75"/>
    <n v="12.09"/>
    <s v="CREDITOR"/>
    <n v="0"/>
    <n v="0"/>
    <n v="0"/>
    <n v="0"/>
    <n v="12.09"/>
  </r>
  <r>
    <n v="62026207"/>
    <s v="N"/>
    <n v="21337802"/>
    <s v="3000016065090003"/>
    <s v="CIVIL"/>
    <d v="2023-06-30T00:00:00"/>
    <d v="2023-07-06T19:21:01"/>
    <m/>
    <d v="2023-07-06T00:00:00"/>
    <n v="1656"/>
    <n v="15"/>
    <s v="62026207"/>
    <s v="62026207"/>
    <m/>
    <m/>
    <n v="22796656"/>
    <m/>
    <m/>
    <m/>
    <s v="SOLPOA"/>
    <s v="SOLPOA"/>
    <s v="CCMS"/>
    <n v="21337802"/>
    <n v="167"/>
    <m/>
    <s v="N"/>
    <n v="1"/>
    <d v="2023-07-06T19:21:08"/>
    <s v="N"/>
    <s v="Non Expert Disbursement"/>
    <s v="Non Expert Disbursement"/>
    <s v="Non Expert Disbursement"/>
    <s v="KA"/>
    <s v="N"/>
    <n v="167"/>
    <n v="0"/>
    <x v="4"/>
    <s v="VALIDATED"/>
    <n v="1"/>
    <s v="01.11.80.308.2012.0000"/>
    <n v="167"/>
    <s v="11"/>
    <s v="2012"/>
    <n v="24809.75"/>
    <n v="167"/>
    <s v="CREDITOR"/>
    <n v="167"/>
    <n v="0"/>
    <n v="0"/>
    <n v="0"/>
    <n v="0"/>
  </r>
  <r>
    <n v="60815703"/>
    <s v="N"/>
    <n v="21328116"/>
    <s v="3000015047580009"/>
    <s v="CIVIL"/>
    <d v="2023-06-26T00:00:00"/>
    <d v="2023-07-04T19:00:44"/>
    <m/>
    <d v="2023-07-04T00:00:00"/>
    <n v="1656"/>
    <n v="15"/>
    <s v="60815703"/>
    <s v="60815703"/>
    <m/>
    <m/>
    <n v="22761074"/>
    <m/>
    <m/>
    <m/>
    <s v="SOLFIN"/>
    <s v="SOLFIN"/>
    <s v="CCMS"/>
    <n v="21328116"/>
    <n v="7019.44"/>
    <m/>
    <s v="N"/>
    <n v="12"/>
    <d v="2023-07-04T19:01:05"/>
    <s v="Y"/>
    <s v="Preparation - drafting notice(s)"/>
    <s v="Prescribed Hourly Rates"/>
    <s v="Profit Cost"/>
    <s v="AT"/>
    <s v="Y"/>
    <n v="6.86"/>
    <n v="1.37"/>
    <x v="1"/>
    <s v="VALIDATED"/>
    <n v="1"/>
    <s v="01.11.80.307.6100.0000"/>
    <n v="6.86"/>
    <s v="11"/>
    <s v="6100"/>
    <n v="24809.75"/>
    <n v="6.86"/>
    <s v="CREDITOR"/>
    <n v="0"/>
    <n v="0"/>
    <n v="0"/>
    <n v="0"/>
    <n v="6.86"/>
  </r>
  <r>
    <n v="61049069"/>
    <s v="N"/>
    <n v="21318381"/>
    <s v="3000015248580009"/>
    <s v="CIVIL"/>
    <d v="2023-06-15T00:00:00"/>
    <d v="2023-07-03T19:01:49"/>
    <m/>
    <d v="2023-07-03T00:00:00"/>
    <n v="1656"/>
    <n v="15"/>
    <s v="61049069"/>
    <s v="61049069"/>
    <m/>
    <m/>
    <n v="22701498"/>
    <m/>
    <m/>
    <m/>
    <s v="SOLFIN"/>
    <s v="SOLFIN"/>
    <s v="CCMS"/>
    <n v="21318381"/>
    <n v="8695.4"/>
    <m/>
    <s v="N"/>
    <n v="67"/>
    <d v="2023-07-03T19:01:54"/>
    <s v="Y"/>
    <s v="Routine Letter Out"/>
    <s v="Prescribed Hourly Rates"/>
    <s v="Profit Cost"/>
    <s v="OB"/>
    <s v="Y"/>
    <n v="1415.88"/>
    <n v="283.18"/>
    <x v="3"/>
    <s v="VALIDATED"/>
    <n v="1"/>
    <s v="01.11.80.307.6100.0000"/>
    <n v="1415.88"/>
    <s v="11"/>
    <s v="6100"/>
    <n v="24809.75"/>
    <n v="1415.88"/>
    <s v="CREDITOR"/>
    <n v="0"/>
    <n v="0"/>
    <n v="0"/>
    <n v="0"/>
    <n v="1415.88"/>
  </r>
  <r>
    <n v="61049069"/>
    <s v="N"/>
    <n v="21318381"/>
    <s v="3000015248580009"/>
    <s v="CIVIL"/>
    <d v="2023-06-15T00:00:00"/>
    <d v="2023-07-03T19:01:49"/>
    <m/>
    <d v="2023-07-03T00:00:00"/>
    <n v="1656"/>
    <n v="15"/>
    <s v="61049069"/>
    <s v="61049069"/>
    <m/>
    <m/>
    <n v="22701498"/>
    <m/>
    <m/>
    <m/>
    <s v="SOLFIN"/>
    <s v="SOLFIN"/>
    <s v="CCMS"/>
    <n v="21318381"/>
    <n v="8695.4"/>
    <m/>
    <s v="N"/>
    <n v="4"/>
    <d v="2023-07-03T19:01:54"/>
    <s v="Y"/>
    <s v="Court Fee"/>
    <s v="Prescribed Hourly Rates"/>
    <s v="Non Expert Disbursement"/>
    <s v="XXX"/>
    <s v="Y"/>
    <n v="167"/>
    <n v="0"/>
    <x v="3"/>
    <s v="VALIDATED"/>
    <n v="1"/>
    <s v="01.11.80.307.6300.0000"/>
    <n v="167"/>
    <s v="11"/>
    <s v="6300"/>
    <n v="24809.75"/>
    <n v="167"/>
    <s v="CREDITOR"/>
    <n v="0"/>
    <n v="0"/>
    <n v="0"/>
    <n v="0"/>
    <n v="167"/>
  </r>
  <r>
    <n v="61391363"/>
    <s v="N"/>
    <n v="21344062"/>
    <s v="3000015534470002"/>
    <s v="CIVIL"/>
    <d v="2023-06-28T00:00:00"/>
    <d v="2023-07-07T19:03:00"/>
    <m/>
    <d v="2023-07-07T00:00:00"/>
    <n v="1656"/>
    <n v="15"/>
    <s v="61391363"/>
    <s v="61391363"/>
    <m/>
    <m/>
    <n v="22779196"/>
    <m/>
    <m/>
    <m/>
    <s v="SOLFIN"/>
    <s v="SOLFIN"/>
    <s v="CCMS"/>
    <n v="21344062"/>
    <n v="4661.35"/>
    <m/>
    <s v="N"/>
    <n v="6"/>
    <d v="2023-07-07T19:03:22"/>
    <s v="Y"/>
    <s v="Hearing Unit 1.01 - 2.30 Hours"/>
    <s v="Public Law Children"/>
    <s v="Advocacy"/>
    <s v="dm"/>
    <s v="Y"/>
    <n v="238.46"/>
    <n v="47.69"/>
    <x v="9"/>
    <s v="VALIDATED"/>
    <n v="1"/>
    <s v="01.11.80.308.6100.0000"/>
    <n v="238.46"/>
    <s v="11"/>
    <s v="6100"/>
    <n v="24809.75"/>
    <n v="238.46"/>
    <s v="CREDITOR"/>
    <n v="0"/>
    <n v="0"/>
    <n v="0"/>
    <n v="0"/>
    <n v="238.46"/>
  </r>
  <r>
    <n v="61681898"/>
    <s v="N"/>
    <n v="21338489"/>
    <s v="3000015777230002"/>
    <s v="CIVIL"/>
    <d v="2023-06-30T00:00:00"/>
    <d v="2023-07-06T19:21:01"/>
    <m/>
    <d v="2023-07-06T00:00:00"/>
    <n v="1656"/>
    <n v="15"/>
    <s v="61681898"/>
    <s v="61681898"/>
    <m/>
    <m/>
    <n v="22797476"/>
    <m/>
    <m/>
    <m/>
    <s v="SOLFIN"/>
    <s v="SOLFIN"/>
    <s v="CCMS"/>
    <n v="21338489"/>
    <n v="4180.32"/>
    <m/>
    <s v="N"/>
    <n v="3"/>
    <d v="2023-07-06T19:21:26"/>
    <s v="Y"/>
    <s v="Solicitor Travel Expenses"/>
    <s v="Public Law Children"/>
    <s v="Non Expert Disbursement"/>
    <s v="XXX"/>
    <s v="Y"/>
    <n v="14.75"/>
    <n v="0"/>
    <x v="4"/>
    <s v="VALIDATED"/>
    <n v="1"/>
    <s v="01.11.80.308.6300.0000"/>
    <n v="14.75"/>
    <s v="11"/>
    <s v="6300"/>
    <n v="24809.75"/>
    <n v="14.75"/>
    <s v="CREDITOR"/>
    <n v="0"/>
    <n v="0"/>
    <n v="0"/>
    <n v="0"/>
    <n v="14.75"/>
  </r>
  <r>
    <n v="61035075"/>
    <s v="N"/>
    <n v="21331005"/>
    <s v="3000015236260008"/>
    <s v="CIVIL"/>
    <d v="2023-06-23T00:00:00"/>
    <d v="2023-07-05T19:01:47"/>
    <m/>
    <d v="2023-07-05T00:00:00"/>
    <n v="1656"/>
    <n v="15"/>
    <s v="61035075"/>
    <s v="61035075"/>
    <m/>
    <m/>
    <n v="22755974"/>
    <m/>
    <m/>
    <m/>
    <s v="SOLFIN"/>
    <s v="SOLFIN"/>
    <s v="CCMS"/>
    <n v="21331005"/>
    <n v="13010.51"/>
    <m/>
    <s v="N"/>
    <n v="64"/>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43"/>
    <d v="2023-07-05T19:02:01"/>
    <s v="Y"/>
    <s v="Report - other expert's report"/>
    <s v="Prescribed Hourly Rates"/>
    <s v="Profit Cost"/>
    <s v="OB"/>
    <s v="Y"/>
    <n v="159.21"/>
    <n v="31.84"/>
    <x v="6"/>
    <s v="VALIDATED"/>
    <n v="1"/>
    <s v="01.11.80.307.6100.0000"/>
    <n v="159.21"/>
    <s v="11"/>
    <s v="6100"/>
    <n v="24809.75"/>
    <n v="159.21"/>
    <s v="CREDITOR"/>
    <n v="0"/>
    <n v="0"/>
    <n v="0"/>
    <n v="0"/>
    <n v="159.21"/>
  </r>
  <r>
    <n v="60815703"/>
    <s v="N"/>
    <n v="21328116"/>
    <s v="3000015047580009"/>
    <s v="CIVIL"/>
    <d v="2023-06-26T00:00:00"/>
    <d v="2023-07-04T19:00:44"/>
    <m/>
    <d v="2023-07-04T00:00:00"/>
    <n v="1656"/>
    <n v="15"/>
    <s v="60815703"/>
    <s v="60815703"/>
    <m/>
    <m/>
    <n v="22761074"/>
    <m/>
    <m/>
    <m/>
    <s v="SOLFIN"/>
    <s v="SOLFIN"/>
    <s v="CCMS"/>
    <n v="21328116"/>
    <n v="7019.44"/>
    <m/>
    <s v="N"/>
    <n v="59"/>
    <d v="2023-07-04T19:01:05"/>
    <s v="Y"/>
    <s v="Preparation - drafting application"/>
    <s v="Prescribed Hourly Rates"/>
    <s v="Profit Cost"/>
    <s v="CD"/>
    <s v="Y"/>
    <n v="5.49"/>
    <n v="1.1"/>
    <x v="1"/>
    <s v="VALIDATED"/>
    <n v="1"/>
    <s v="01.11.80.307.6100.0000"/>
    <n v="5.49"/>
    <s v="11"/>
    <s v="6100"/>
    <n v="24809.75"/>
    <n v="5.49"/>
    <s v="CREDITOR"/>
    <n v="0"/>
    <n v="0"/>
    <n v="0"/>
    <n v="0"/>
    <n v="5.49"/>
  </r>
  <r>
    <n v="62111736"/>
    <s v="N"/>
    <n v="21323040"/>
    <s v="3000016136600002"/>
    <s v="CIVIL"/>
    <d v="2023-06-29T00:00:00"/>
    <d v="2023-07-03T19:05:36"/>
    <m/>
    <d v="2023-07-03T00:00:00"/>
    <n v="1656"/>
    <n v="15"/>
    <s v="62111736"/>
    <s v="62111736"/>
    <m/>
    <m/>
    <n v="22791592"/>
    <m/>
    <m/>
    <m/>
    <s v="SOLPOA"/>
    <s v="SOLPOA"/>
    <s v="CCMS"/>
    <n v="21323040"/>
    <n v="61.49"/>
    <m/>
    <s v="N"/>
    <n v="1"/>
    <d v="2023-07-03T19:05:41"/>
    <s v="N"/>
    <s v="Non Expert Disbursement"/>
    <s v="Non Expert Disbursement"/>
    <s v="Non Expert Disbursement"/>
    <s v="HW"/>
    <s v="N"/>
    <n v="51.24"/>
    <n v="10.25"/>
    <x v="3"/>
    <s v="VALIDATED"/>
    <n v="1"/>
    <s v="01.11.80.308.2012.0000"/>
    <n v="51.24"/>
    <s v="11"/>
    <s v="2012"/>
    <n v="24809.75"/>
    <n v="51.24"/>
    <s v="CREDITOR"/>
    <n v="51.24"/>
    <n v="0"/>
    <n v="0"/>
    <n v="0"/>
    <n v="0"/>
  </r>
  <r>
    <n v="61049069"/>
    <s v="N"/>
    <n v="21318381"/>
    <s v="3000015248580009"/>
    <s v="CIVIL"/>
    <d v="2023-06-15T00:00:00"/>
    <d v="2023-07-03T19:01:49"/>
    <m/>
    <d v="2023-07-03T00:00:00"/>
    <n v="1656"/>
    <n v="15"/>
    <s v="61049069"/>
    <s v="61049069"/>
    <m/>
    <m/>
    <n v="22701498"/>
    <m/>
    <m/>
    <m/>
    <s v="SOLFIN"/>
    <s v="SOLFIN"/>
    <s v="CCMS"/>
    <n v="21318381"/>
    <n v="8695.4"/>
    <m/>
    <s v="N"/>
    <n v="26"/>
    <d v="2023-07-03T19:01:54"/>
    <s v="Y"/>
    <s v="Preparation - other"/>
    <s v="Prescribed Hourly Rates"/>
    <s v="Profit Cost"/>
    <s v="OB"/>
    <s v="Y"/>
    <n v="71.37"/>
    <n v="14.27"/>
    <x v="3"/>
    <s v="VALIDATED"/>
    <n v="1"/>
    <s v="01.11.80.307.6100.0000"/>
    <n v="71.37"/>
    <s v="11"/>
    <s v="6100"/>
    <n v="24809.75"/>
    <n v="71.37"/>
    <s v="CREDITOR"/>
    <n v="0"/>
    <n v="0"/>
    <n v="0"/>
    <n v="0"/>
    <n v="71.37"/>
  </r>
  <r>
    <n v="56437778"/>
    <s v="N"/>
    <n v="21350078"/>
    <s v="3000013430710007"/>
    <s v="CIVIL"/>
    <d v="2023-06-29T00:00:00"/>
    <d v="2023-07-10T19:01:40"/>
    <m/>
    <d v="2023-07-10T00:00:00"/>
    <n v="1656"/>
    <n v="15"/>
    <s v="56437778"/>
    <s v="56437778"/>
    <m/>
    <m/>
    <n v="22785264"/>
    <m/>
    <m/>
    <m/>
    <s v="SOLFIN"/>
    <s v="SOLFIN"/>
    <s v="CCMS"/>
    <n v="21350078"/>
    <n v="8978.99"/>
    <m/>
    <s v="N"/>
    <n v="59"/>
    <d v="2023-07-10T19:02:13"/>
    <s v="Y"/>
    <s v="Routine Letter In"/>
    <s v="Care Remuneration Hourly Rates"/>
    <s v="Profit Cost"/>
    <s v="KA"/>
    <s v="Y"/>
    <n v="731.86"/>
    <n v="146.38"/>
    <x v="2"/>
    <s v="VALIDATED"/>
    <n v="1"/>
    <s v="01.11.80.308.6100.0000"/>
    <n v="731.86"/>
    <s v="11"/>
    <s v="6100"/>
    <n v="24809.75"/>
    <n v="731.86"/>
    <s v="CREDITOR"/>
    <n v="0"/>
    <n v="0"/>
    <n v="0"/>
    <n v="0"/>
    <n v="731.86"/>
  </r>
  <r>
    <n v="61869128"/>
    <s v="N"/>
    <n v="21338151"/>
    <s v="3000015932420004"/>
    <s v="CIVIL"/>
    <d v="2023-06-30T00:00:00"/>
    <d v="2023-07-06T19:21:01"/>
    <m/>
    <d v="2023-07-06T00:00:00"/>
    <n v="1656"/>
    <n v="15"/>
    <s v="61869128"/>
    <s v="61869128"/>
    <m/>
    <m/>
    <n v="22797416"/>
    <m/>
    <m/>
    <m/>
    <s v="SOLPOA"/>
    <s v="SOLPOA"/>
    <s v="CCMS"/>
    <n v="21338151"/>
    <n v="1638"/>
    <m/>
    <s v="N"/>
    <n v="1"/>
    <d v="2023-07-06T19:21:12"/>
    <s v="N"/>
    <s v="Expert Cost"/>
    <s v="Expert Cost"/>
    <s v="Expert Disbursement"/>
    <s v="KL"/>
    <s v="N"/>
    <n v="1638"/>
    <n v="0"/>
    <x v="4"/>
    <s v="VALIDATED"/>
    <n v="1"/>
    <s v="01.11.80.307.2012.0000"/>
    <n v="1638"/>
    <s v="11"/>
    <s v="2012"/>
    <n v="24809.75"/>
    <n v="1638"/>
    <s v="CREDITOR"/>
    <n v="1638"/>
    <n v="0"/>
    <n v="0"/>
    <n v="0"/>
    <n v="0"/>
  </r>
  <r>
    <n v="61035075"/>
    <s v="N"/>
    <n v="21331005"/>
    <s v="3000015236260008"/>
    <s v="CIVIL"/>
    <d v="2023-06-23T00:00:00"/>
    <d v="2023-07-05T19:01:47"/>
    <m/>
    <d v="2023-07-05T00:00:00"/>
    <n v="1656"/>
    <n v="15"/>
    <s v="61035075"/>
    <s v="61035075"/>
    <m/>
    <m/>
    <n v="22755974"/>
    <m/>
    <m/>
    <m/>
    <s v="SOLFIN"/>
    <s v="SOLFIN"/>
    <s v="CCMS"/>
    <n v="21331005"/>
    <n v="13010.51"/>
    <m/>
    <s v="N"/>
    <n v="51"/>
    <d v="2023-07-05T19:02:01"/>
    <s v="Y"/>
    <s v="Preparation - drafting statement"/>
    <s v="Prescribed Hourly Rates"/>
    <s v="Profit Cost"/>
    <s v="OB"/>
    <s v="Y"/>
    <n v="63.68"/>
    <n v="12.74"/>
    <x v="6"/>
    <s v="VALIDATED"/>
    <n v="1"/>
    <s v="01.11.80.307.6100.0000"/>
    <n v="63.68"/>
    <s v="11"/>
    <s v="6100"/>
    <n v="24809.75"/>
    <n v="63.68"/>
    <s v="CREDITOR"/>
    <n v="0"/>
    <n v="0"/>
    <n v="0"/>
    <n v="0"/>
    <n v="63.68"/>
  </r>
  <r>
    <n v="61035075"/>
    <s v="N"/>
    <n v="21331005"/>
    <s v="3000015236260008"/>
    <s v="CIVIL"/>
    <d v="2023-06-23T00:00:00"/>
    <d v="2023-07-05T19:01:47"/>
    <m/>
    <d v="2023-07-05T00:00:00"/>
    <n v="1656"/>
    <n v="15"/>
    <s v="61035075"/>
    <s v="61035075"/>
    <m/>
    <m/>
    <n v="22755974"/>
    <m/>
    <m/>
    <m/>
    <s v="SOLFIN"/>
    <s v="SOLFIN"/>
    <s v="CCMS"/>
    <n v="21331005"/>
    <n v="13010.51"/>
    <m/>
    <s v="N"/>
    <n v="32"/>
    <d v="2023-07-05T19:02:01"/>
    <s v="Y"/>
    <s v="Preparation - other"/>
    <s v="Prescribed Hourly Rates"/>
    <s v="Profit Cost"/>
    <s v="OB"/>
    <s v="Y"/>
    <n v="485.59"/>
    <n v="97.11"/>
    <x v="6"/>
    <s v="VALIDATED"/>
    <n v="1"/>
    <s v="01.11.80.307.6100.0000"/>
    <n v="485.59"/>
    <s v="11"/>
    <s v="6100"/>
    <n v="24809.75"/>
    <n v="485.59"/>
    <s v="CREDITOR"/>
    <n v="0"/>
    <n v="0"/>
    <n v="0"/>
    <n v="0"/>
    <n v="485.59"/>
  </r>
  <r>
    <n v="61049069"/>
    <s v="N"/>
    <n v="21318381"/>
    <s v="3000015248580009"/>
    <s v="CIVIL"/>
    <d v="2023-06-15T00:00:00"/>
    <d v="2023-07-03T19:01:49"/>
    <m/>
    <d v="2023-07-03T00:00:00"/>
    <n v="1656"/>
    <n v="15"/>
    <s v="61049069"/>
    <s v="61049069"/>
    <m/>
    <m/>
    <n v="22701498"/>
    <m/>
    <m/>
    <m/>
    <s v="SOLFIN"/>
    <s v="SOLFIN"/>
    <s v="CCMS"/>
    <n v="21318381"/>
    <n v="8695.4"/>
    <m/>
    <s v="N"/>
    <n v="1"/>
    <d v="2023-07-03T19:01:54"/>
    <s v="Y"/>
    <s v="Solicitor Travel Expenses"/>
    <s v="Prescribed Hourly Rates"/>
    <s v="Non Expert Disbursement"/>
    <s v="OB"/>
    <s v="Y"/>
    <n v="11.85"/>
    <n v="0"/>
    <x v="3"/>
    <s v="VALIDATED"/>
    <n v="1"/>
    <s v="01.11.80.307.6300.0000"/>
    <n v="11.85"/>
    <s v="11"/>
    <s v="6300"/>
    <n v="24809.75"/>
    <n v="11.85"/>
    <s v="CREDITOR"/>
    <n v="0"/>
    <n v="0"/>
    <n v="0"/>
    <n v="0"/>
    <n v="11.85"/>
  </r>
  <r>
    <n v="61049069"/>
    <s v="N"/>
    <n v="21318381"/>
    <s v="3000015248580009"/>
    <s v="CIVIL"/>
    <d v="2023-06-15T00:00:00"/>
    <d v="2023-07-03T19:01:49"/>
    <m/>
    <d v="2023-07-03T00:00:00"/>
    <n v="1656"/>
    <n v="15"/>
    <s v="61049069"/>
    <s v="61049069"/>
    <m/>
    <m/>
    <n v="22701498"/>
    <m/>
    <m/>
    <m/>
    <s v="SOLFIN"/>
    <s v="SOLFIN"/>
    <s v="CCMS"/>
    <n v="21318381"/>
    <n v="8695.4"/>
    <m/>
    <s v="N"/>
    <n v="16"/>
    <d v="2023-07-03T19:01:54"/>
    <s v="Y"/>
    <s v="Preparation - drafting instructions"/>
    <s v="Prescribed Hourly Rates"/>
    <s v="Profit Cost"/>
    <s v="OB"/>
    <s v="Y"/>
    <n v="7.14"/>
    <n v="1.43"/>
    <x v="3"/>
    <s v="VALIDATED"/>
    <n v="1"/>
    <s v="01.11.80.307.6100.0000"/>
    <n v="7.14"/>
    <s v="11"/>
    <s v="6100"/>
    <n v="24809.75"/>
    <n v="7.14"/>
    <s v="CREDITOR"/>
    <n v="0"/>
    <n v="0"/>
    <n v="0"/>
    <n v="0"/>
    <n v="7.14"/>
  </r>
  <r>
    <n v="56437778"/>
    <s v="N"/>
    <n v="21350078"/>
    <s v="3000013430710007"/>
    <s v="CIVIL"/>
    <d v="2023-06-29T00:00:00"/>
    <d v="2023-07-10T19:01:40"/>
    <m/>
    <d v="2023-07-10T00:00:00"/>
    <n v="1656"/>
    <n v="15"/>
    <s v="56437778"/>
    <s v="56437778"/>
    <m/>
    <m/>
    <n v="22785264"/>
    <m/>
    <m/>
    <m/>
    <s v="SOLFIN"/>
    <s v="SOLFIN"/>
    <s v="CCMS"/>
    <n v="21350078"/>
    <n v="8978.99"/>
    <m/>
    <s v="N"/>
    <n v="33"/>
    <d v="2023-07-10T19:02:13"/>
    <s v="Y"/>
    <s v="Preparation - other"/>
    <s v="Care Remuneration Hourly Rates"/>
    <s v="Profit Cost"/>
    <s v="KA"/>
    <s v="Y"/>
    <n v="54.41"/>
    <n v="10.88"/>
    <x v="2"/>
    <s v="VALIDATED"/>
    <n v="1"/>
    <s v="01.11.80.308.6100.0000"/>
    <n v="54.41"/>
    <s v="11"/>
    <s v="6100"/>
    <n v="24809.75"/>
    <n v="54.41"/>
    <s v="CREDITOR"/>
    <n v="0"/>
    <n v="0"/>
    <n v="0"/>
    <n v="0"/>
    <n v="54.41"/>
  </r>
  <r>
    <n v="56437778"/>
    <s v="N"/>
    <n v="21350078"/>
    <s v="3000013430710007"/>
    <s v="CIVIL"/>
    <d v="2023-06-29T00:00:00"/>
    <d v="2023-07-10T19:01:40"/>
    <m/>
    <d v="2023-07-10T00:00:00"/>
    <n v="1656"/>
    <n v="15"/>
    <s v="56437778"/>
    <s v="56437778"/>
    <m/>
    <m/>
    <n v="22785264"/>
    <m/>
    <m/>
    <m/>
    <s v="SOLFIN"/>
    <s v="SOLFIN"/>
    <s v="CCMS"/>
    <n v="21350078"/>
    <n v="8978.99"/>
    <m/>
    <s v="N"/>
    <n v="55"/>
    <d v="2023-07-10T19:02:13"/>
    <s v="Y"/>
    <s v="Routine Telephone Call"/>
    <s v="Care Remuneration Hourly Rates"/>
    <s v="Profit Cost"/>
    <s v="KA"/>
    <s v="Y"/>
    <n v="21.22"/>
    <n v="4.24"/>
    <x v="2"/>
    <s v="VALIDATED"/>
    <n v="1"/>
    <s v="01.11.80.308.6100.0000"/>
    <n v="21.22"/>
    <s v="11"/>
    <s v="6100"/>
    <n v="24809.75"/>
    <n v="21.22"/>
    <s v="CREDITOR"/>
    <n v="0"/>
    <n v="0"/>
    <n v="0"/>
    <n v="0"/>
    <n v="21.22"/>
  </r>
  <r>
    <n v="56437778"/>
    <s v="N"/>
    <n v="21350078"/>
    <s v="3000013430710007"/>
    <s v="CIVIL"/>
    <d v="2023-06-29T00:00:00"/>
    <d v="2023-07-10T19:01:40"/>
    <m/>
    <d v="2023-07-10T00:00:00"/>
    <n v="1656"/>
    <n v="15"/>
    <s v="56437778"/>
    <s v="56437778"/>
    <m/>
    <m/>
    <n v="22785264"/>
    <m/>
    <m/>
    <m/>
    <s v="SOLFIN"/>
    <s v="SOLFIN"/>
    <s v="CCMS"/>
    <n v="21350078"/>
    <n v="8978.99"/>
    <m/>
    <s v="N"/>
    <n v="43"/>
    <d v="2023-07-10T19:02:13"/>
    <s v="Y"/>
    <s v="Attendance upon client"/>
    <s v="Care Remuneration Hourly Rates"/>
    <s v="Profit Cost"/>
    <s v="KA"/>
    <s v="Y"/>
    <n v="24.18"/>
    <n v="4.84"/>
    <x v="2"/>
    <s v="VALIDATED"/>
    <n v="1"/>
    <s v="01.11.80.308.6100.0000"/>
    <n v="24.18"/>
    <s v="11"/>
    <s v="6100"/>
    <n v="24809.75"/>
    <n v="24.18"/>
    <s v="CREDITOR"/>
    <n v="0"/>
    <n v="0"/>
    <n v="0"/>
    <n v="0"/>
    <n v="24.18"/>
  </r>
  <r>
    <n v="61035075"/>
    <s v="N"/>
    <n v="21331005"/>
    <s v="3000015236260008"/>
    <s v="CIVIL"/>
    <d v="2023-06-23T00:00:00"/>
    <d v="2023-07-05T19:01:47"/>
    <m/>
    <d v="2023-07-05T00:00:00"/>
    <n v="1656"/>
    <n v="15"/>
    <s v="61035075"/>
    <s v="61035075"/>
    <m/>
    <m/>
    <n v="22755974"/>
    <m/>
    <m/>
    <m/>
    <s v="SOLFIN"/>
    <s v="SOLFIN"/>
    <s v="CCMS"/>
    <n v="21331005"/>
    <n v="13010.51"/>
    <m/>
    <s v="N"/>
    <n v="26"/>
    <d v="2023-07-05T19:02:01"/>
    <s v="Y"/>
    <s v="Preparation - Periodic file review"/>
    <s v="Prescribed Hourly Rates"/>
    <s v="Profit Cost"/>
    <s v="OB"/>
    <s v="Y"/>
    <n v="47.76"/>
    <n v="9.550000000000001"/>
    <x v="6"/>
    <s v="VALIDATED"/>
    <n v="1"/>
    <s v="01.11.80.307.6100.0000"/>
    <n v="47.76"/>
    <s v="11"/>
    <s v="6100"/>
    <n v="24809.75"/>
    <n v="47.76"/>
    <s v="CREDITOR"/>
    <n v="0"/>
    <n v="0"/>
    <n v="0"/>
    <n v="0"/>
    <n v="47.76"/>
  </r>
  <r>
    <n v="60815703"/>
    <s v="N"/>
    <n v="21328116"/>
    <s v="3000015047580009"/>
    <s v="CIVIL"/>
    <d v="2023-06-26T00:00:00"/>
    <d v="2023-07-04T19:00:44"/>
    <m/>
    <d v="2023-07-04T00:00:00"/>
    <n v="1656"/>
    <n v="15"/>
    <s v="60815703"/>
    <s v="60815703"/>
    <m/>
    <m/>
    <n v="22761074"/>
    <m/>
    <m/>
    <m/>
    <s v="SOLFIN"/>
    <s v="SOLFIN"/>
    <s v="CCMS"/>
    <n v="21328116"/>
    <n v="7019.44"/>
    <m/>
    <s v="N"/>
    <n v="21"/>
    <d v="2023-07-04T19:01:05"/>
    <s v="Y"/>
    <s v="Advocacy - Directions Hearing"/>
    <s v="Prescribed Hourly Rates"/>
    <s v="Advocacy"/>
    <s v="AT"/>
    <s v="Y"/>
    <n v="56.7"/>
    <n v="11.34"/>
    <x v="1"/>
    <s v="VALIDATED"/>
    <n v="1"/>
    <s v="01.11.80.307.6100.0000"/>
    <n v="56.7"/>
    <s v="11"/>
    <s v="6100"/>
    <n v="24809.75"/>
    <n v="56.7"/>
    <s v="CREDITOR"/>
    <n v="0"/>
    <n v="0"/>
    <n v="0"/>
    <n v="0"/>
    <n v="56.7"/>
  </r>
  <r>
    <n v="60815703"/>
    <s v="N"/>
    <n v="21328116"/>
    <s v="3000015047580009"/>
    <s v="CIVIL"/>
    <d v="2023-06-26T00:00:00"/>
    <d v="2023-07-04T19:00:44"/>
    <m/>
    <d v="2023-07-04T00:00:00"/>
    <n v="1656"/>
    <n v="15"/>
    <s v="60815703"/>
    <s v="60815703"/>
    <m/>
    <m/>
    <n v="22761074"/>
    <m/>
    <m/>
    <m/>
    <s v="SOLFIN"/>
    <s v="SOLFIN"/>
    <s v="CCMS"/>
    <n v="21328116"/>
    <n v="7019.44"/>
    <m/>
    <s v="N"/>
    <n v="78"/>
    <d v="2023-07-04T19:01:05"/>
    <s v="Y"/>
    <s v="Routine Letter In"/>
    <s v="Prescribed Hourly Rates"/>
    <s v="Profit Cost"/>
    <s v="AT"/>
    <s v="Y"/>
    <n v="847.67"/>
    <n v="169.54"/>
    <x v="1"/>
    <s v="VALIDATED"/>
    <n v="1"/>
    <s v="01.11.80.307.6100.0000"/>
    <n v="847.67"/>
    <s v="11"/>
    <s v="6100"/>
    <n v="24809.75"/>
    <n v="847.67"/>
    <s v="CREDITOR"/>
    <n v="0"/>
    <n v="0"/>
    <n v="0"/>
    <n v="0"/>
    <n v="847.67"/>
  </r>
  <r>
    <n v="60815703"/>
    <s v="N"/>
    <n v="21328116"/>
    <s v="3000015047580009"/>
    <s v="CIVIL"/>
    <d v="2023-06-26T00:00:00"/>
    <d v="2023-07-04T19:00:44"/>
    <m/>
    <d v="2023-07-04T00:00:00"/>
    <n v="1656"/>
    <n v="15"/>
    <s v="60815703"/>
    <s v="60815703"/>
    <m/>
    <m/>
    <n v="22761074"/>
    <m/>
    <m/>
    <m/>
    <s v="SOLFIN"/>
    <s v="SOLFIN"/>
    <s v="CCMS"/>
    <n v="21328116"/>
    <n v="7019.44"/>
    <m/>
    <s v="N"/>
    <n v="56"/>
    <d v="2023-07-04T19:01:05"/>
    <s v="Y"/>
    <s v="Preparation - drafting application"/>
    <s v="Prescribed Hourly Rates"/>
    <s v="Profit Cost"/>
    <s v="AT"/>
    <s v="Y"/>
    <n v="13.73"/>
    <n v="2.75"/>
    <x v="1"/>
    <s v="VALIDATED"/>
    <n v="1"/>
    <s v="01.11.80.307.6100.0000"/>
    <n v="13.73"/>
    <s v="11"/>
    <s v="6100"/>
    <n v="24809.75"/>
    <n v="13.73"/>
    <s v="CREDITOR"/>
    <n v="0"/>
    <n v="0"/>
    <n v="0"/>
    <n v="0"/>
    <n v="13.73"/>
  </r>
  <r>
    <n v="60815703"/>
    <s v="N"/>
    <n v="21328116"/>
    <s v="3000015047580009"/>
    <s v="CIVIL"/>
    <d v="2023-06-26T00:00:00"/>
    <d v="2023-07-04T19:00:44"/>
    <m/>
    <d v="2023-07-04T00:00:00"/>
    <n v="1656"/>
    <n v="15"/>
    <s v="60815703"/>
    <s v="60815703"/>
    <m/>
    <m/>
    <n v="22761074"/>
    <m/>
    <m/>
    <m/>
    <s v="SOLFIN"/>
    <s v="SOLFIN"/>
    <s v="CCMS"/>
    <n v="21328116"/>
    <n v="7019.44"/>
    <m/>
    <s v="N"/>
    <n v="63"/>
    <d v="2023-07-04T19:01:05"/>
    <s v="Y"/>
    <s v="Preparation - drafting attendance n"/>
    <s v="Prescribed Hourly Rates"/>
    <s v="Profit Cost"/>
    <s v="AT"/>
    <s v="Y"/>
    <n v="13.73"/>
    <n v="2.75"/>
    <x v="1"/>
    <s v="VALIDATED"/>
    <n v="1"/>
    <s v="01.11.80.307.6100.0000"/>
    <n v="13.73"/>
    <s v="11"/>
    <s v="6100"/>
    <n v="24809.75"/>
    <n v="13.73"/>
    <s v="CREDITOR"/>
    <n v="0"/>
    <n v="0"/>
    <n v="0"/>
    <n v="0"/>
    <n v="13.73"/>
  </r>
  <r>
    <n v="61049069"/>
    <s v="N"/>
    <n v="21318381"/>
    <s v="3000015248580009"/>
    <s v="CIVIL"/>
    <d v="2023-06-15T00:00:00"/>
    <d v="2023-07-03T19:01:49"/>
    <m/>
    <d v="2023-07-03T00:00:00"/>
    <n v="1656"/>
    <n v="15"/>
    <s v="61049069"/>
    <s v="61049069"/>
    <m/>
    <m/>
    <n v="22701498"/>
    <m/>
    <m/>
    <m/>
    <s v="SOLFIN"/>
    <s v="SOLFIN"/>
    <s v="CCMS"/>
    <n v="21318381"/>
    <n v="8695.4"/>
    <m/>
    <s v="N"/>
    <n v="47"/>
    <d v="2023-07-03T19:01:54"/>
    <s v="Y"/>
    <s v="Preparation - other"/>
    <s v="Prescribed Hourly Rates"/>
    <s v="Profit Cost"/>
    <s v="OB"/>
    <s v="Y"/>
    <n v="121.33"/>
    <n v="24.27"/>
    <x v="3"/>
    <s v="VALIDATED"/>
    <n v="1"/>
    <s v="01.11.80.307.6100.0000"/>
    <n v="121.33"/>
    <s v="11"/>
    <s v="6100"/>
    <n v="24809.75"/>
    <n v="121.33"/>
    <s v="CREDITOR"/>
    <n v="0"/>
    <n v="0"/>
    <n v="0"/>
    <n v="0"/>
    <n v="121.33"/>
  </r>
  <r>
    <n v="61049069"/>
    <s v="N"/>
    <n v="21318381"/>
    <s v="3000015248580009"/>
    <s v="CIVIL"/>
    <d v="2023-06-15T00:00:00"/>
    <d v="2023-07-03T19:01:49"/>
    <m/>
    <d v="2023-07-03T00:00:00"/>
    <n v="1656"/>
    <n v="15"/>
    <s v="61049069"/>
    <s v="61049069"/>
    <m/>
    <m/>
    <n v="22701498"/>
    <m/>
    <m/>
    <m/>
    <s v="SOLFIN"/>
    <s v="SOLFIN"/>
    <s v="CCMS"/>
    <n v="21318381"/>
    <n v="8695.4"/>
    <m/>
    <s v="N"/>
    <n v="22"/>
    <d v="2023-07-03T19:01:54"/>
    <s v="Y"/>
    <s v="Advocacy - Directions Hearing"/>
    <s v="Prescribed Hourly Rates"/>
    <s v="Advocacy"/>
    <s v="OB"/>
    <s v="Y"/>
    <n v="44.23"/>
    <n v="8.85"/>
    <x v="3"/>
    <s v="VALIDATED"/>
    <n v="1"/>
    <s v="01.11.80.307.6100.0000"/>
    <n v="44.23"/>
    <s v="11"/>
    <s v="6100"/>
    <n v="24809.75"/>
    <n v="44.23"/>
    <s v="CREDITOR"/>
    <n v="0"/>
    <n v="0"/>
    <n v="0"/>
    <n v="0"/>
    <n v="44.23"/>
  </r>
  <r>
    <n v="61049069"/>
    <s v="N"/>
    <n v="21318381"/>
    <s v="3000015248580009"/>
    <s v="CIVIL"/>
    <d v="2023-06-15T00:00:00"/>
    <d v="2023-07-03T19:01:49"/>
    <m/>
    <d v="2023-07-03T00:00:00"/>
    <n v="1656"/>
    <n v="15"/>
    <s v="61049069"/>
    <s v="61049069"/>
    <m/>
    <m/>
    <n v="22701498"/>
    <m/>
    <m/>
    <m/>
    <s v="SOLFIN"/>
    <s v="SOLFIN"/>
    <s v="CCMS"/>
    <n v="21318381"/>
    <n v="8695.4"/>
    <m/>
    <s v="N"/>
    <n v="30"/>
    <d v="2023-07-03T19:01:54"/>
    <s v="Y"/>
    <s v="Preparation - other"/>
    <s v="Prescribed Hourly Rates"/>
    <s v="Profit Cost"/>
    <s v="OB"/>
    <s v="Y"/>
    <n v="292.62"/>
    <n v="58.52"/>
    <x v="3"/>
    <s v="VALIDATED"/>
    <n v="1"/>
    <s v="01.11.80.307.6100.0000"/>
    <n v="292.62"/>
    <s v="11"/>
    <s v="6100"/>
    <n v="24809.75"/>
    <n v="292.62"/>
    <s v="CREDITOR"/>
    <n v="0"/>
    <n v="0"/>
    <n v="0"/>
    <n v="0"/>
    <n v="292.62"/>
  </r>
  <r>
    <n v="56437778"/>
    <s v="N"/>
    <n v="21350078"/>
    <s v="3000013430710007"/>
    <s v="CIVIL"/>
    <d v="2023-06-29T00:00:00"/>
    <d v="2023-07-10T19:01:40"/>
    <m/>
    <d v="2023-07-10T00:00:00"/>
    <n v="1656"/>
    <n v="15"/>
    <s v="56437778"/>
    <s v="56437778"/>
    <m/>
    <m/>
    <n v="22785264"/>
    <m/>
    <m/>
    <m/>
    <s v="SOLFIN"/>
    <s v="SOLFIN"/>
    <s v="CCMS"/>
    <n v="21350078"/>
    <n v="8978.99"/>
    <m/>
    <s v="N"/>
    <n v="72"/>
    <d v="2023-07-10T19:02:13"/>
    <s v="Y"/>
    <s v="Final Hearing - 1 Day"/>
    <s v="Public Law Children"/>
    <s v="Advocacy"/>
    <s v="KA"/>
    <s v="Y"/>
    <n v="556.88"/>
    <n v="111.38"/>
    <x v="2"/>
    <s v="VALIDATED"/>
    <n v="1"/>
    <s v="01.11.80.308.6100.0000"/>
    <n v="556.88"/>
    <s v="11"/>
    <s v="6100"/>
    <n v="24809.75"/>
    <n v="556.88"/>
    <s v="CREDITOR"/>
    <n v="0"/>
    <n v="0"/>
    <n v="0"/>
    <n v="0"/>
    <n v="556.88"/>
  </r>
  <r>
    <n v="61035075"/>
    <s v="N"/>
    <n v="21331005"/>
    <s v="3000015236260008"/>
    <s v="CIVIL"/>
    <d v="2023-06-23T00:00:00"/>
    <d v="2023-07-05T19:01:47"/>
    <m/>
    <d v="2023-07-05T00:00:00"/>
    <n v="1656"/>
    <n v="15"/>
    <s v="61035075"/>
    <s v="61035075"/>
    <m/>
    <m/>
    <n v="22755974"/>
    <m/>
    <m/>
    <m/>
    <s v="SOLFIN"/>
    <s v="SOLFIN"/>
    <s v="CCMS"/>
    <n v="21331005"/>
    <n v="13010.51"/>
    <m/>
    <s v="N"/>
    <n v="18"/>
    <d v="2023-07-05T19:02:01"/>
    <s v="Y"/>
    <s v="Preparation - other"/>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61"/>
    <d v="2023-07-05T19:02:01"/>
    <s v="Y"/>
    <s v="Preparation - drafting attendance n"/>
    <s v="Prescribed Hourly Rates"/>
    <s v="Profit Cost"/>
    <s v="OB"/>
    <s v="Y"/>
    <n v="23.88"/>
    <n v="4.78"/>
    <x v="6"/>
    <s v="VALIDATED"/>
    <n v="1"/>
    <s v="01.11.80.307.6100.0000"/>
    <n v="23.88"/>
    <s v="11"/>
    <s v="6100"/>
    <n v="24809.75"/>
    <n v="23.88"/>
    <s v="CREDITOR"/>
    <n v="0"/>
    <n v="0"/>
    <n v="0"/>
    <n v="0"/>
    <n v="23.88"/>
  </r>
  <r>
    <n v="61035075"/>
    <s v="N"/>
    <n v="21331005"/>
    <s v="3000015236260008"/>
    <s v="CIVIL"/>
    <d v="2023-06-23T00:00:00"/>
    <d v="2023-07-05T19:01:47"/>
    <m/>
    <d v="2023-07-05T00:00:00"/>
    <n v="1656"/>
    <n v="15"/>
    <s v="61035075"/>
    <s v="61035075"/>
    <m/>
    <m/>
    <n v="22755974"/>
    <m/>
    <m/>
    <m/>
    <s v="SOLFIN"/>
    <s v="SOLFIN"/>
    <s v="CCMS"/>
    <n v="21331005"/>
    <n v="13010.51"/>
    <m/>
    <s v="N"/>
    <n v="66"/>
    <d v="2023-07-05T19:02:01"/>
    <s v="Y"/>
    <s v="Preparation - Periodic file review"/>
    <s v="Prescribed Hourly Rates"/>
    <s v="Profit Cost"/>
    <s v="OB"/>
    <s v="Y"/>
    <n v="7.96"/>
    <n v="1.59"/>
    <x v="6"/>
    <s v="VALIDATED"/>
    <n v="1"/>
    <s v="01.11.80.307.6100.0000"/>
    <n v="7.96"/>
    <s v="11"/>
    <s v="6100"/>
    <n v="24809.75"/>
    <n v="7.96"/>
    <s v="CREDITOR"/>
    <n v="0"/>
    <n v="0"/>
    <n v="0"/>
    <n v="0"/>
    <n v="7.96"/>
  </r>
  <r>
    <n v="60815703"/>
    <s v="N"/>
    <n v="21328116"/>
    <s v="3000015047580009"/>
    <s v="CIVIL"/>
    <d v="2023-06-26T00:00:00"/>
    <d v="2023-07-04T19:00:44"/>
    <m/>
    <d v="2023-07-04T00:00:00"/>
    <n v="1656"/>
    <n v="15"/>
    <s v="60815703"/>
    <s v="60815703"/>
    <m/>
    <m/>
    <n v="22761074"/>
    <m/>
    <m/>
    <m/>
    <s v="SOLFIN"/>
    <s v="SOLFIN"/>
    <s v="CCMS"/>
    <n v="21328116"/>
    <n v="7019.44"/>
    <m/>
    <s v="N"/>
    <n v="25"/>
    <d v="2023-07-04T19:01:05"/>
    <s v="Y"/>
    <s v="Preparation - drafting application"/>
    <s v="Prescribed Hourly Rates"/>
    <s v="Profit Cost"/>
    <s v="JK"/>
    <s v="Y"/>
    <n v="5.49"/>
    <n v="1.1"/>
    <x v="1"/>
    <s v="VALIDATED"/>
    <n v="1"/>
    <s v="01.11.80.307.6100.0000"/>
    <n v="5.49"/>
    <s v="11"/>
    <s v="6100"/>
    <n v="24809.75"/>
    <n v="5.49"/>
    <s v="CREDITOR"/>
    <n v="0"/>
    <n v="0"/>
    <n v="0"/>
    <n v="0"/>
    <n v="5.49"/>
  </r>
  <r>
    <n v="61035075"/>
    <s v="N"/>
    <n v="21331005"/>
    <s v="3000015236260008"/>
    <s v="CIVIL"/>
    <d v="2023-06-23T00:00:00"/>
    <d v="2023-07-05T19:01:47"/>
    <m/>
    <d v="2023-07-05T00:00:00"/>
    <n v="1656"/>
    <n v="15"/>
    <s v="61035075"/>
    <s v="61035075"/>
    <m/>
    <m/>
    <n v="22755974"/>
    <m/>
    <m/>
    <m/>
    <s v="SOLFIN"/>
    <s v="SOLFIN"/>
    <s v="CCMS"/>
    <n v="21331005"/>
    <n v="13010.51"/>
    <m/>
    <s v="N"/>
    <n v="8"/>
    <d v="2023-07-05T19:02:01"/>
    <s v="Y"/>
    <s v="Attendance upon client"/>
    <s v="Prescribed Hourly Rates"/>
    <s v="Profit Cost"/>
    <s v="OB"/>
    <s v="Y"/>
    <n v="23.88"/>
    <n v="4.78"/>
    <x v="6"/>
    <s v="VALIDATED"/>
    <n v="1"/>
    <s v="01.11.80.307.6100.0000"/>
    <n v="23.88"/>
    <s v="11"/>
    <s v="6100"/>
    <n v="24809.75"/>
    <n v="23.88"/>
    <s v="CREDITOR"/>
    <n v="0"/>
    <n v="0"/>
    <n v="0"/>
    <n v="0"/>
    <n v="23.88"/>
  </r>
  <r>
    <n v="60815703"/>
    <s v="N"/>
    <n v="21328116"/>
    <s v="3000015047580009"/>
    <s v="CIVIL"/>
    <d v="2023-06-26T00:00:00"/>
    <d v="2023-07-04T19:00:44"/>
    <m/>
    <d v="2023-07-04T00:00:00"/>
    <n v="1656"/>
    <n v="15"/>
    <s v="60815703"/>
    <s v="60815703"/>
    <m/>
    <m/>
    <n v="22761074"/>
    <m/>
    <m/>
    <m/>
    <s v="SOLFIN"/>
    <s v="SOLFIN"/>
    <s v="CCMS"/>
    <n v="21328116"/>
    <n v="7019.44"/>
    <m/>
    <s v="N"/>
    <n v="55"/>
    <d v="2023-07-04T19:01:05"/>
    <s v="Y"/>
    <s v="Preparation - other"/>
    <s v="Prescribed Hourly Rates"/>
    <s v="Profit Cost"/>
    <s v="AT"/>
    <s v="Y"/>
    <n v="20.59"/>
    <n v="4.12"/>
    <x v="1"/>
    <s v="VALIDATED"/>
    <n v="1"/>
    <s v="01.11.80.307.6100.0000"/>
    <n v="20.59"/>
    <s v="11"/>
    <s v="6100"/>
    <n v="24809.75"/>
    <n v="20.59"/>
    <s v="CREDITOR"/>
    <n v="0"/>
    <n v="0"/>
    <n v="0"/>
    <n v="0"/>
    <n v="20.59"/>
  </r>
  <r>
    <n v="60117819"/>
    <s v="N"/>
    <n v="21318797"/>
    <s v="3000014447020013"/>
    <s v="CIVIL"/>
    <d v="2023-06-22T00:00:00"/>
    <d v="2023-07-03T19:01:49"/>
    <m/>
    <d v="2023-07-03T00:00:00"/>
    <n v="1656"/>
    <n v="15"/>
    <s v="60117819"/>
    <s v="60117819"/>
    <m/>
    <m/>
    <n v="22742098"/>
    <m/>
    <m/>
    <m/>
    <s v="SOLPOA"/>
    <s v="SOLPOA"/>
    <s v="CCMS"/>
    <n v="21318797"/>
    <n v="149.76"/>
    <m/>
    <s v="N"/>
    <n v="1"/>
    <d v="2023-07-03T19:02:03"/>
    <s v="N"/>
    <s v="Expert Cost"/>
    <s v="Expert Cost"/>
    <s v="Expert Disbursement"/>
    <s v="Daniela Maggioni"/>
    <s v="N"/>
    <n v="124.8"/>
    <n v="24.96"/>
    <x v="3"/>
    <s v="VALIDATED"/>
    <n v="1"/>
    <s v="01.11.80.307.2012.0000"/>
    <n v="124.8"/>
    <s v="11"/>
    <s v="2012"/>
    <n v="24809.75"/>
    <n v="124.8"/>
    <s v="CREDITOR"/>
    <n v="124.8"/>
    <n v="0"/>
    <n v="0"/>
    <n v="0"/>
    <n v="0"/>
  </r>
  <r>
    <n v="60815703"/>
    <s v="N"/>
    <n v="21328116"/>
    <s v="3000015047580009"/>
    <s v="CIVIL"/>
    <d v="2023-06-26T00:00:00"/>
    <d v="2023-07-04T19:00:44"/>
    <m/>
    <d v="2023-07-04T00:00:00"/>
    <n v="1656"/>
    <n v="15"/>
    <s v="60815703"/>
    <s v="60815703"/>
    <m/>
    <m/>
    <n v="22761074"/>
    <m/>
    <m/>
    <m/>
    <s v="SOLFIN"/>
    <s v="SOLFIN"/>
    <s v="CCMS"/>
    <n v="21328116"/>
    <n v="7019.44"/>
    <m/>
    <s v="N"/>
    <n v="9"/>
    <d v="2023-07-04T19:01:05"/>
    <s v="Y"/>
    <s v="Preparation - drafting notice(s)"/>
    <s v="Prescribed Hourly Rates"/>
    <s v="Profit Cost"/>
    <s v="AT"/>
    <s v="Y"/>
    <n v="6.86"/>
    <n v="1.37"/>
    <x v="1"/>
    <s v="VALIDATED"/>
    <n v="1"/>
    <s v="01.11.80.307.6100.0000"/>
    <n v="6.86"/>
    <s v="11"/>
    <s v="6100"/>
    <n v="24809.75"/>
    <n v="6.86"/>
    <s v="CREDITOR"/>
    <n v="0"/>
    <n v="0"/>
    <n v="0"/>
    <n v="0"/>
    <n v="6.86"/>
  </r>
  <r>
    <n v="61035075"/>
    <s v="N"/>
    <n v="21331005"/>
    <s v="3000015236260008"/>
    <s v="CIVIL"/>
    <d v="2023-06-23T00:00:00"/>
    <d v="2023-07-05T19:01:47"/>
    <m/>
    <d v="2023-07-05T00:00:00"/>
    <n v="1656"/>
    <n v="15"/>
    <s v="61035075"/>
    <s v="61035075"/>
    <m/>
    <m/>
    <n v="22755974"/>
    <m/>
    <m/>
    <m/>
    <s v="SOLFIN"/>
    <s v="SOLFIN"/>
    <s v="CCMS"/>
    <n v="21331005"/>
    <n v="13010.51"/>
    <m/>
    <s v="N"/>
    <n v="88"/>
    <d v="2023-07-05T19:02:01"/>
    <s v="Y"/>
    <s v="Routine Letter In"/>
    <s v="Prescribed Hourly Rates"/>
    <s v="Profit Cost"/>
    <s v="OB"/>
    <s v="Y"/>
    <n v="568.22"/>
    <n v="113.64"/>
    <x v="6"/>
    <s v="VALIDATED"/>
    <n v="1"/>
    <s v="01.11.80.307.6100.0000"/>
    <n v="568.22"/>
    <s v="11"/>
    <s v="6100"/>
    <n v="24809.75"/>
    <n v="568.22"/>
    <s v="CREDITOR"/>
    <n v="0"/>
    <n v="0"/>
    <n v="0"/>
    <n v="0"/>
    <n v="568.22"/>
  </r>
  <r>
    <n v="61035075"/>
    <s v="N"/>
    <n v="21331005"/>
    <s v="3000015236260008"/>
    <s v="CIVIL"/>
    <d v="2023-06-23T00:00:00"/>
    <d v="2023-07-05T19:01:47"/>
    <m/>
    <d v="2023-07-05T00:00:00"/>
    <n v="1656"/>
    <n v="15"/>
    <s v="61035075"/>
    <s v="61035075"/>
    <m/>
    <m/>
    <n v="22755974"/>
    <m/>
    <m/>
    <m/>
    <s v="SOLFIN"/>
    <s v="SOLFIN"/>
    <s v="CCMS"/>
    <n v="21331005"/>
    <n v="13010.51"/>
    <m/>
    <s v="N"/>
    <n v="38"/>
    <d v="2023-07-05T19:02:01"/>
    <s v="Y"/>
    <s v="Preparation - drafting statement"/>
    <s v="Prescribed Hourly Rates"/>
    <s v="Profit Cost"/>
    <s v="OB"/>
    <s v="Y"/>
    <n v="39.8"/>
    <n v="7.96"/>
    <x v="6"/>
    <s v="VALIDATED"/>
    <n v="1"/>
    <s v="01.11.80.307.6100.0000"/>
    <n v="39.8"/>
    <s v="11"/>
    <s v="6100"/>
    <n v="24809.75"/>
    <n v="39.8"/>
    <s v="CREDITOR"/>
    <n v="0"/>
    <n v="0"/>
    <n v="0"/>
    <n v="0"/>
    <n v="39.8"/>
  </r>
  <r>
    <n v="61059951"/>
    <s v="N"/>
    <n v="21327981"/>
    <s v="3000015257840011"/>
    <s v="CIVIL"/>
    <d v="2023-06-26T00:00:00"/>
    <d v="2023-07-04T19:00:44"/>
    <m/>
    <d v="2023-07-04T00:00:00"/>
    <n v="1656"/>
    <n v="15"/>
    <s v="61059951"/>
    <s v="61059951"/>
    <m/>
    <m/>
    <n v="22757692"/>
    <m/>
    <m/>
    <m/>
    <s v="SOLFIN"/>
    <s v="SOLFIN"/>
    <s v="CCMS"/>
    <n v="21327981"/>
    <n v="5656.38"/>
    <m/>
    <s v="N"/>
    <n v="11"/>
    <d v="2023-07-04T19:01:00"/>
    <s v="Y"/>
    <s v="Hearing Unit 5.01 - 7.30 Hours"/>
    <s v="Public Law Children"/>
    <s v="Advocacy"/>
    <s v="HW"/>
    <s v="Y"/>
    <n v="715.38"/>
    <n v="143.08"/>
    <x v="1"/>
    <s v="VALIDATED"/>
    <n v="1"/>
    <s v="01.11.80.308.6100.0000"/>
    <n v="715.38"/>
    <s v="11"/>
    <s v="6100"/>
    <n v="24809.75"/>
    <n v="715.38"/>
    <s v="CREDITOR"/>
    <n v="0"/>
    <n v="0"/>
    <n v="0"/>
    <n v="0"/>
    <n v="715.38"/>
  </r>
  <r>
    <n v="60815703"/>
    <s v="N"/>
    <n v="21328116"/>
    <s v="3000015047580009"/>
    <s v="CIVIL"/>
    <d v="2023-06-26T00:00:00"/>
    <d v="2023-07-04T19:00:44"/>
    <m/>
    <d v="2023-07-04T00:00:00"/>
    <n v="1656"/>
    <n v="15"/>
    <s v="60815703"/>
    <s v="60815703"/>
    <m/>
    <m/>
    <n v="22761074"/>
    <m/>
    <m/>
    <m/>
    <s v="SOLFIN"/>
    <s v="SOLFIN"/>
    <s v="CCMS"/>
    <n v="21328116"/>
    <n v="7019.44"/>
    <m/>
    <s v="N"/>
    <n v="44"/>
    <d v="2023-07-04T19:01:05"/>
    <s v="Y"/>
    <s v="Preparation - drafting consent orde"/>
    <s v="Prescribed Hourly Rates"/>
    <s v="Profit Cost"/>
    <s v="AT"/>
    <s v="Y"/>
    <n v="20.59"/>
    <n v="4.12"/>
    <x v="1"/>
    <s v="VALIDATED"/>
    <n v="1"/>
    <s v="01.11.80.307.6100.0000"/>
    <n v="20.59"/>
    <s v="11"/>
    <s v="6100"/>
    <n v="24809.75"/>
    <n v="20.59"/>
    <s v="CREDITOR"/>
    <n v="0"/>
    <n v="0"/>
    <n v="0"/>
    <n v="0"/>
    <n v="20.59"/>
  </r>
  <r>
    <n v="60815703"/>
    <s v="N"/>
    <n v="21328116"/>
    <s v="3000015047580009"/>
    <s v="CIVIL"/>
    <d v="2023-06-26T00:00:00"/>
    <d v="2023-07-04T19:00:44"/>
    <m/>
    <d v="2023-07-04T00:00:00"/>
    <n v="1656"/>
    <n v="15"/>
    <s v="60815703"/>
    <s v="60815703"/>
    <m/>
    <m/>
    <n v="22761074"/>
    <m/>
    <m/>
    <m/>
    <s v="SOLFIN"/>
    <s v="SOLFIN"/>
    <s v="CCMS"/>
    <n v="21328116"/>
    <n v="7019.44"/>
    <m/>
    <s v="N"/>
    <n v="52"/>
    <d v="2023-07-04T19:01:05"/>
    <s v="Y"/>
    <s v="Attendance upon client"/>
    <s v="Prescribed Hourly Rates"/>
    <s v="Profit Cost"/>
    <s v="AT"/>
    <s v="Y"/>
    <n v="27.45"/>
    <n v="5.49"/>
    <x v="1"/>
    <s v="VALIDATED"/>
    <n v="1"/>
    <s v="01.11.80.307.6100.0000"/>
    <n v="27.45"/>
    <s v="11"/>
    <s v="6100"/>
    <n v="24809.75"/>
    <n v="27.45"/>
    <s v="CREDITOR"/>
    <n v="0"/>
    <n v="0"/>
    <n v="0"/>
    <n v="0"/>
    <n v="27.45"/>
  </r>
  <r>
    <n v="61049069"/>
    <s v="N"/>
    <n v="21318381"/>
    <s v="3000015248580009"/>
    <s v="CIVIL"/>
    <d v="2023-06-15T00:00:00"/>
    <d v="2023-07-03T19:01:49"/>
    <m/>
    <d v="2023-07-03T00:00:00"/>
    <n v="1656"/>
    <n v="15"/>
    <s v="61049069"/>
    <s v="61049069"/>
    <m/>
    <m/>
    <n v="22701498"/>
    <m/>
    <m/>
    <m/>
    <s v="SOLFIN"/>
    <s v="SOLFIN"/>
    <s v="CCMS"/>
    <n v="21318381"/>
    <n v="8695.4"/>
    <m/>
    <s v="N"/>
    <n v="7"/>
    <d v="2023-07-03T19:01:54"/>
    <s v="Y"/>
    <s v="Preparation - other"/>
    <s v="Prescribed Hourly Rates"/>
    <s v="Profit Cost"/>
    <s v="CD"/>
    <s v="Y"/>
    <n v="5.49"/>
    <n v="1.1"/>
    <x v="3"/>
    <s v="VALIDATED"/>
    <n v="1"/>
    <s v="01.11.80.307.6100.0000"/>
    <n v="5.49"/>
    <s v="11"/>
    <s v="6100"/>
    <n v="24809.75"/>
    <n v="5.49"/>
    <s v="CREDITOR"/>
    <n v="0"/>
    <n v="0"/>
    <n v="0"/>
    <n v="0"/>
    <n v="5.49"/>
  </r>
  <r>
    <n v="56437778"/>
    <s v="N"/>
    <n v="21350078"/>
    <s v="3000013430710007"/>
    <s v="CIVIL"/>
    <d v="2023-06-29T00:00:00"/>
    <d v="2023-07-10T19:01:40"/>
    <m/>
    <d v="2023-07-10T00:00:00"/>
    <n v="1656"/>
    <n v="15"/>
    <s v="56437778"/>
    <s v="56437778"/>
    <m/>
    <m/>
    <n v="22785264"/>
    <m/>
    <m/>
    <m/>
    <s v="SOLFIN"/>
    <s v="SOLFIN"/>
    <s v="CCMS"/>
    <n v="21350078"/>
    <n v="8978.99"/>
    <m/>
    <s v="N"/>
    <n v="32"/>
    <d v="2023-07-10T19:02:13"/>
    <s v="Y"/>
    <s v="Attendance upon client"/>
    <s v="Care Remuneration Hourly Rates"/>
    <s v="Profit Cost"/>
    <s v="KA"/>
    <s v="Y"/>
    <n v="12.09"/>
    <n v="2.42"/>
    <x v="2"/>
    <s v="VALIDATED"/>
    <n v="1"/>
    <s v="01.11.80.308.6100.0000"/>
    <n v="12.09"/>
    <s v="11"/>
    <s v="6100"/>
    <n v="24809.75"/>
    <n v="12.09"/>
    <s v="CREDITOR"/>
    <n v="0"/>
    <n v="0"/>
    <n v="0"/>
    <n v="0"/>
    <n v="12.09"/>
  </r>
  <r>
    <n v="61391363"/>
    <s v="N"/>
    <n v="21344062"/>
    <s v="3000015534470002"/>
    <s v="CIVIL"/>
    <d v="2023-06-28T00:00:00"/>
    <d v="2023-07-07T19:03:00"/>
    <m/>
    <d v="2023-07-07T00:00:00"/>
    <n v="1656"/>
    <n v="15"/>
    <s v="61391363"/>
    <s v="61391363"/>
    <m/>
    <m/>
    <n v="22779196"/>
    <m/>
    <m/>
    <m/>
    <s v="SOLFIN"/>
    <s v="SOLFIN"/>
    <s v="CCMS"/>
    <n v="21344062"/>
    <n v="4661.35"/>
    <m/>
    <s v="N"/>
    <n v="5"/>
    <d v="2023-07-07T19:03:22"/>
    <s v="Y"/>
    <s v="Advocates Meeting"/>
    <s v="Public Law Children"/>
    <s v="Advocacy"/>
    <s v="dm"/>
    <s v="Y"/>
    <n v="140.99"/>
    <n v="28.2"/>
    <x v="9"/>
    <s v="VALIDATED"/>
    <n v="1"/>
    <s v="01.11.80.308.6100.0000"/>
    <n v="140.99"/>
    <s v="11"/>
    <s v="6100"/>
    <n v="24809.75"/>
    <n v="140.99"/>
    <s v="CREDITOR"/>
    <n v="0"/>
    <n v="0"/>
    <n v="0"/>
    <n v="0"/>
    <n v="140.99"/>
  </r>
  <r>
    <n v="60815703"/>
    <s v="N"/>
    <n v="21328116"/>
    <s v="3000015047580009"/>
    <s v="CIVIL"/>
    <d v="2023-06-26T00:00:00"/>
    <d v="2023-07-04T19:00:44"/>
    <m/>
    <d v="2023-07-04T00:00:00"/>
    <n v="1656"/>
    <n v="15"/>
    <s v="60815703"/>
    <s v="60815703"/>
    <m/>
    <m/>
    <n v="22761074"/>
    <m/>
    <m/>
    <m/>
    <s v="SOLFIN"/>
    <s v="SOLFIN"/>
    <s v="CCMS"/>
    <n v="21328116"/>
    <n v="7019.44"/>
    <m/>
    <s v="N"/>
    <n v="19"/>
    <d v="2023-07-04T19:01:05"/>
    <s v="Y"/>
    <s v="Preparation - drafting statement"/>
    <s v="Prescribed Hourly Rates"/>
    <s v="Profit Cost"/>
    <s v="AT"/>
    <s v="Y"/>
    <n v="34.31"/>
    <n v="6.86"/>
    <x v="1"/>
    <s v="VALIDATED"/>
    <n v="1"/>
    <s v="01.11.80.307.6100.0000"/>
    <n v="34.31"/>
    <s v="11"/>
    <s v="6100"/>
    <n v="24809.75"/>
    <n v="34.31"/>
    <s v="CREDITOR"/>
    <n v="0"/>
    <n v="0"/>
    <n v="0"/>
    <n v="0"/>
    <n v="34.31"/>
  </r>
  <r>
    <n v="61035075"/>
    <s v="N"/>
    <n v="21331005"/>
    <s v="3000015236260008"/>
    <s v="CIVIL"/>
    <d v="2023-06-23T00:00:00"/>
    <d v="2023-07-05T19:01:47"/>
    <m/>
    <d v="2023-07-05T00:00:00"/>
    <n v="1656"/>
    <n v="15"/>
    <s v="61035075"/>
    <s v="61035075"/>
    <m/>
    <m/>
    <n v="22755974"/>
    <m/>
    <m/>
    <m/>
    <s v="SOLFIN"/>
    <s v="SOLFIN"/>
    <s v="CCMS"/>
    <n v="21331005"/>
    <n v="13010.51"/>
    <m/>
    <s v="N"/>
    <n v="15"/>
    <d v="2023-07-05T19:02:01"/>
    <s v="Y"/>
    <s v="Preparation - other"/>
    <s v="Prescribed Hourly Rates"/>
    <s v="Profit Cost"/>
    <s v="OB"/>
    <s v="Y"/>
    <n v="15.92"/>
    <n v="3.18"/>
    <x v="6"/>
    <s v="VALIDATED"/>
    <n v="1"/>
    <s v="01.11.80.307.6100.0000"/>
    <n v="15.92"/>
    <s v="11"/>
    <s v="6100"/>
    <n v="24809.75"/>
    <n v="15.92"/>
    <s v="CREDITOR"/>
    <n v="0"/>
    <n v="0"/>
    <n v="0"/>
    <n v="0"/>
    <n v="15.92"/>
  </r>
  <r>
    <n v="61035075"/>
    <s v="N"/>
    <n v="21331005"/>
    <s v="3000015236260008"/>
    <s v="CIVIL"/>
    <d v="2023-06-23T00:00:00"/>
    <d v="2023-07-05T19:01:47"/>
    <m/>
    <d v="2023-07-05T00:00:00"/>
    <n v="1656"/>
    <n v="15"/>
    <s v="61035075"/>
    <s v="61035075"/>
    <m/>
    <m/>
    <n v="22755974"/>
    <m/>
    <m/>
    <m/>
    <s v="SOLFIN"/>
    <s v="SOLFIN"/>
    <s v="CCMS"/>
    <n v="21331005"/>
    <n v="13010.51"/>
    <m/>
    <s v="N"/>
    <n v="46"/>
    <d v="2023-07-05T19:02:01"/>
    <s v="Y"/>
    <s v="Preparation - drafting statement"/>
    <s v="Prescribed Hourly Rates"/>
    <s v="Profit Cost"/>
    <s v="OB"/>
    <s v="Y"/>
    <n v="15.92"/>
    <n v="3.18"/>
    <x v="6"/>
    <s v="VALIDATED"/>
    <n v="1"/>
    <s v="01.11.80.307.6100.0000"/>
    <n v="15.92"/>
    <s v="11"/>
    <s v="6100"/>
    <n v="24809.75"/>
    <n v="15.92"/>
    <s v="CREDITOR"/>
    <n v="0"/>
    <n v="0"/>
    <n v="0"/>
    <n v="0"/>
    <n v="15.92"/>
  </r>
  <r>
    <n v="61035075"/>
    <s v="N"/>
    <n v="21331005"/>
    <s v="3000015236260008"/>
    <s v="CIVIL"/>
    <d v="2023-06-23T00:00:00"/>
    <d v="2023-07-05T19:01:47"/>
    <m/>
    <d v="2023-07-05T00:00:00"/>
    <n v="1656"/>
    <n v="15"/>
    <s v="61035075"/>
    <s v="61035075"/>
    <m/>
    <m/>
    <n v="22755974"/>
    <m/>
    <m/>
    <m/>
    <s v="SOLFIN"/>
    <s v="SOLFIN"/>
    <s v="CCMS"/>
    <n v="21331005"/>
    <n v="13010.51"/>
    <m/>
    <s v="N"/>
    <n v="47"/>
    <d v="2023-07-05T19:02:01"/>
    <s v="Y"/>
    <s v="Preparation - drafting application"/>
    <s v="Prescribed Hourly Rates"/>
    <s v="Profit Cost"/>
    <s v="CD"/>
    <s v="Y"/>
    <n v="5.49"/>
    <n v="1.1"/>
    <x v="6"/>
    <s v="VALIDATED"/>
    <n v="1"/>
    <s v="01.11.80.307.6100.0000"/>
    <n v="5.49"/>
    <s v="11"/>
    <s v="6100"/>
    <n v="24809.75"/>
    <n v="5.49"/>
    <s v="CREDITOR"/>
    <n v="0"/>
    <n v="0"/>
    <n v="0"/>
    <n v="0"/>
    <n v="5.49"/>
  </r>
  <r>
    <n v="61035075"/>
    <s v="N"/>
    <n v="21331005"/>
    <s v="3000015236260008"/>
    <s v="CIVIL"/>
    <d v="2023-06-23T00:00:00"/>
    <d v="2023-07-05T19:01:47"/>
    <m/>
    <d v="2023-07-05T00:00:00"/>
    <n v="1656"/>
    <n v="15"/>
    <s v="61035075"/>
    <s v="61035075"/>
    <m/>
    <m/>
    <n v="22755974"/>
    <m/>
    <m/>
    <m/>
    <s v="SOLFIN"/>
    <s v="SOLFIN"/>
    <s v="CCMS"/>
    <n v="21331005"/>
    <n v="13010.51"/>
    <m/>
    <s v="N"/>
    <n v="78"/>
    <d v="2023-07-05T19:02:01"/>
    <s v="Y"/>
    <s v="Preparation - drafting instructions"/>
    <s v="Prescribed Hourly Rates"/>
    <s v="Profit Cost"/>
    <s v="OB"/>
    <s v="Y"/>
    <n v="79.61"/>
    <n v="15.92"/>
    <x v="6"/>
    <s v="VALIDATED"/>
    <n v="1"/>
    <s v="01.11.80.307.6100.0000"/>
    <n v="79.61"/>
    <s v="11"/>
    <s v="6100"/>
    <n v="24809.75"/>
    <n v="79.61"/>
    <s v="CREDITOR"/>
    <n v="0"/>
    <n v="0"/>
    <n v="0"/>
    <n v="0"/>
    <n v="79.61"/>
  </r>
  <r>
    <n v="60815703"/>
    <s v="N"/>
    <n v="21328116"/>
    <s v="3000015047580009"/>
    <s v="CIVIL"/>
    <d v="2023-06-26T00:00:00"/>
    <d v="2023-07-04T19:00:44"/>
    <m/>
    <d v="2023-07-04T00:00:00"/>
    <n v="1656"/>
    <n v="15"/>
    <s v="60815703"/>
    <s v="60815703"/>
    <m/>
    <m/>
    <n v="22761074"/>
    <m/>
    <m/>
    <m/>
    <s v="SOLFIN"/>
    <s v="SOLFIN"/>
    <s v="CCMS"/>
    <n v="21328116"/>
    <n v="7019.44"/>
    <m/>
    <s v="N"/>
    <n v="53"/>
    <d v="2023-07-04T19:01:05"/>
    <s v="Y"/>
    <s v="Preparation - other"/>
    <s v="Prescribed Hourly Rates"/>
    <s v="Profit Cost"/>
    <s v="AT"/>
    <s v="Y"/>
    <n v="89.20999999999999"/>
    <n v="17.84"/>
    <x v="1"/>
    <s v="VALIDATED"/>
    <n v="1"/>
    <s v="01.11.80.307.6100.0000"/>
    <n v="89.20999999999999"/>
    <s v="11"/>
    <s v="6100"/>
    <n v="24809.75"/>
    <n v="89.20999999999999"/>
    <s v="CREDITOR"/>
    <n v="0"/>
    <n v="0"/>
    <n v="0"/>
    <n v="0"/>
    <n v="89.20999999999999"/>
  </r>
  <r>
    <n v="61227906"/>
    <s v="N"/>
    <n v="21360961"/>
    <s v="3000015398320003"/>
    <s v="CIVIL"/>
    <d v="2023-06-30T00:00:00"/>
    <d v="2023-07-11T19:00:25"/>
    <m/>
    <d v="2023-07-11T00:00:00"/>
    <n v="1656"/>
    <n v="15"/>
    <s v="61227906"/>
    <s v="61227906"/>
    <m/>
    <m/>
    <n v="22797584"/>
    <m/>
    <m/>
    <m/>
    <s v="SOLFIN"/>
    <s v="SOLFIN"/>
    <s v="CCMS"/>
    <n v="21360961"/>
    <n v="3172.87"/>
    <m/>
    <s v="N"/>
    <n v="5"/>
    <d v="2023-07-11T19:00:40"/>
    <s v="Y"/>
    <s v="Advocates Meeting"/>
    <s v="Public Law Children"/>
    <s v="Advocacy"/>
    <s v="AT"/>
    <s v="Y"/>
    <n v="128.16"/>
    <n v="25.63"/>
    <x v="7"/>
    <s v="VALIDATED"/>
    <n v="1"/>
    <s v="01.11.80.308.6100.0000"/>
    <n v="128.16"/>
    <s v="11"/>
    <s v="6100"/>
    <n v="24809.75"/>
    <n v="128.16"/>
    <s v="CREDITOR"/>
    <n v="0"/>
    <n v="0"/>
    <n v="0"/>
    <n v="0"/>
    <n v="128.16"/>
  </r>
  <r>
    <n v="56437778"/>
    <s v="N"/>
    <n v="21350078"/>
    <s v="3000013430710007"/>
    <s v="CIVIL"/>
    <d v="2023-06-29T00:00:00"/>
    <d v="2023-07-10T19:01:40"/>
    <m/>
    <d v="2023-07-10T00:00:00"/>
    <n v="1656"/>
    <n v="15"/>
    <s v="56437778"/>
    <s v="56437778"/>
    <m/>
    <m/>
    <n v="22785264"/>
    <m/>
    <m/>
    <m/>
    <s v="SOLFIN"/>
    <s v="SOLFIN"/>
    <s v="CCMS"/>
    <n v="21350078"/>
    <n v="8978.99"/>
    <m/>
    <s v="N"/>
    <n v="56"/>
    <d v="2023-07-10T19:02:13"/>
    <s v="Y"/>
    <s v="Routine Telephone Call"/>
    <s v="Care Remuneration Hourly Rates"/>
    <s v="Profit Cost"/>
    <s v="HS"/>
    <s v="Y"/>
    <n v="29.52"/>
    <n v="5.9"/>
    <x v="2"/>
    <s v="VALIDATED"/>
    <n v="1"/>
    <s v="01.11.80.308.6100.0000"/>
    <n v="29.52"/>
    <s v="11"/>
    <s v="6100"/>
    <n v="24809.75"/>
    <n v="29.52"/>
    <s v="CREDITOR"/>
    <n v="0"/>
    <n v="0"/>
    <n v="0"/>
    <n v="0"/>
    <n v="29.52"/>
  </r>
  <r>
    <n v="56437778"/>
    <s v="N"/>
    <n v="21350078"/>
    <s v="3000013430710007"/>
    <s v="CIVIL"/>
    <d v="2023-06-29T00:00:00"/>
    <d v="2023-07-10T19:01:40"/>
    <m/>
    <d v="2023-07-10T00:00:00"/>
    <n v="1656"/>
    <n v="15"/>
    <s v="56437778"/>
    <s v="56437778"/>
    <m/>
    <m/>
    <n v="22785264"/>
    <m/>
    <m/>
    <m/>
    <s v="SOLFIN"/>
    <s v="SOLFIN"/>
    <s v="CCMS"/>
    <n v="21350078"/>
    <n v="8978.99"/>
    <m/>
    <s v="N"/>
    <n v="41"/>
    <d v="2023-07-10T19:02:13"/>
    <s v="Y"/>
    <s v="Preparation - Periodic file review"/>
    <s v="Care Remuneration Hourly Rates"/>
    <s v="Profit Cost"/>
    <s v="KA"/>
    <s v="Y"/>
    <n v="18.14"/>
    <n v="3.63"/>
    <x v="2"/>
    <s v="VALIDATED"/>
    <n v="1"/>
    <s v="01.11.80.308.6100.0000"/>
    <n v="18.14"/>
    <s v="11"/>
    <s v="6100"/>
    <n v="24809.75"/>
    <n v="18.14"/>
    <s v="CREDITOR"/>
    <n v="0"/>
    <n v="0"/>
    <n v="0"/>
    <n v="0"/>
    <n v="18.14"/>
  </r>
  <r>
    <n v="61035075"/>
    <s v="N"/>
    <n v="21331005"/>
    <s v="3000015236260008"/>
    <s v="CIVIL"/>
    <d v="2023-06-23T00:00:00"/>
    <d v="2023-07-05T19:01:47"/>
    <m/>
    <d v="2023-07-05T00:00:00"/>
    <n v="1656"/>
    <n v="15"/>
    <s v="61035075"/>
    <s v="61035075"/>
    <m/>
    <m/>
    <n v="22755974"/>
    <m/>
    <m/>
    <m/>
    <s v="SOLFIN"/>
    <s v="SOLFIN"/>
    <s v="CCMS"/>
    <n v="21331005"/>
    <n v="13010.51"/>
    <m/>
    <s v="N"/>
    <n v="36"/>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11"/>
    <d v="2023-07-05T19:02:01"/>
    <s v="Y"/>
    <s v="Preparation - drafting instructions"/>
    <s v="Prescribed Hourly Rates"/>
    <s v="Profit Cost"/>
    <s v="OB"/>
    <s v="Y"/>
    <n v="63.68"/>
    <n v="12.74"/>
    <x v="6"/>
    <s v="VALIDATED"/>
    <n v="1"/>
    <s v="01.11.80.307.6100.0000"/>
    <n v="63.68"/>
    <s v="11"/>
    <s v="6100"/>
    <n v="24809.75"/>
    <n v="63.68"/>
    <s v="CREDITOR"/>
    <n v="0"/>
    <n v="0"/>
    <n v="0"/>
    <n v="0"/>
    <n v="63.68"/>
  </r>
  <r>
    <n v="61035075"/>
    <s v="N"/>
    <n v="21331005"/>
    <s v="3000015236260008"/>
    <s v="CIVIL"/>
    <d v="2023-06-23T00:00:00"/>
    <d v="2023-07-05T19:01:47"/>
    <m/>
    <d v="2023-07-05T00:00:00"/>
    <n v="1656"/>
    <n v="15"/>
    <s v="61035075"/>
    <s v="61035075"/>
    <m/>
    <m/>
    <n v="22755974"/>
    <m/>
    <m/>
    <m/>
    <s v="SOLFIN"/>
    <s v="SOLFIN"/>
    <s v="CCMS"/>
    <n v="21331005"/>
    <n v="13010.51"/>
    <m/>
    <s v="N"/>
    <n v="16"/>
    <d v="2023-07-05T19:02:01"/>
    <s v="Y"/>
    <s v="Preparation - drafting statement"/>
    <s v="Prescribed Hourly Rates"/>
    <s v="Profit Cost"/>
    <s v="OB"/>
    <s v="Y"/>
    <n v="79.61"/>
    <n v="15.92"/>
    <x v="6"/>
    <s v="VALIDATED"/>
    <n v="1"/>
    <s v="01.11.80.307.6100.0000"/>
    <n v="79.61"/>
    <s v="11"/>
    <s v="6100"/>
    <n v="24809.75"/>
    <n v="79.61"/>
    <s v="CREDITOR"/>
    <n v="0"/>
    <n v="0"/>
    <n v="0"/>
    <n v="0"/>
    <n v="79.61"/>
  </r>
  <r>
    <n v="61035075"/>
    <s v="N"/>
    <n v="21331005"/>
    <s v="3000015236260008"/>
    <s v="CIVIL"/>
    <d v="2023-06-23T00:00:00"/>
    <d v="2023-07-05T19:01:47"/>
    <m/>
    <d v="2023-07-05T00:00:00"/>
    <n v="1656"/>
    <n v="15"/>
    <s v="61035075"/>
    <s v="61035075"/>
    <m/>
    <m/>
    <n v="22755974"/>
    <m/>
    <m/>
    <m/>
    <s v="SOLFIN"/>
    <s v="SOLFIN"/>
    <s v="CCMS"/>
    <n v="21331005"/>
    <n v="13010.51"/>
    <m/>
    <s v="N"/>
    <n v="19"/>
    <d v="2023-07-05T19:02:01"/>
    <s v="Y"/>
    <s v="Preparation - drafting notice(s)"/>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24"/>
    <d v="2023-07-05T19:02:01"/>
    <s v="Y"/>
    <s v="Preparation - other"/>
    <s v="Prescribed Hourly Rates"/>
    <s v="Profit Cost"/>
    <s v="OB"/>
    <s v="Y"/>
    <n v="612.96"/>
    <n v="122.59"/>
    <x v="6"/>
    <s v="VALIDATED"/>
    <n v="1"/>
    <s v="01.11.80.307.6100.0000"/>
    <n v="612.96"/>
    <s v="11"/>
    <s v="6100"/>
    <n v="24809.75"/>
    <n v="612.96"/>
    <s v="CREDITOR"/>
    <n v="0"/>
    <n v="0"/>
    <n v="0"/>
    <n v="0"/>
    <n v="612.96"/>
  </r>
  <r>
    <n v="61283261"/>
    <s v="N"/>
    <n v="21318722"/>
    <s v="3000015445640007"/>
    <s v="CIVIL"/>
    <d v="2023-06-26T00:00:00"/>
    <d v="2023-07-03T19:01:49"/>
    <m/>
    <d v="2023-07-03T00:00:00"/>
    <n v="1656"/>
    <n v="15"/>
    <s v="61283261"/>
    <s v="61283261"/>
    <m/>
    <m/>
    <n v="22759264"/>
    <m/>
    <m/>
    <m/>
    <s v="SOLPOA"/>
    <s v="SOLPOA"/>
    <s v="CCMS"/>
    <n v="21318722"/>
    <n v="568.87"/>
    <m/>
    <s v="N"/>
    <n v="1"/>
    <d v="2023-07-03T19:02:02"/>
    <s v="N"/>
    <s v="Expert Cost"/>
    <s v="Expert Cost"/>
    <s v="Expert Disbursement"/>
    <s v="FD"/>
    <s v="N"/>
    <n v="568.87"/>
    <n v="0"/>
    <x v="3"/>
    <s v="VALIDATED"/>
    <n v="1"/>
    <s v="01.11.80.308.2012.0000"/>
    <n v="568.87"/>
    <s v="11"/>
    <s v="2012"/>
    <n v="24809.75"/>
    <n v="568.87"/>
    <s v="CREDITOR"/>
    <n v="568.87"/>
    <n v="0"/>
    <n v="0"/>
    <n v="0"/>
    <n v="0"/>
  </r>
  <r>
    <n v="56437778"/>
    <s v="N"/>
    <n v="21350078"/>
    <s v="3000013430710007"/>
    <s v="CIVIL"/>
    <d v="2023-06-29T00:00:00"/>
    <d v="2023-07-10T19:01:40"/>
    <m/>
    <d v="2023-07-10T00:00:00"/>
    <n v="1656"/>
    <n v="15"/>
    <s v="56437778"/>
    <s v="56437778"/>
    <m/>
    <m/>
    <n v="22785264"/>
    <m/>
    <m/>
    <m/>
    <s v="SOLFIN"/>
    <s v="SOLFIN"/>
    <s v="CCMS"/>
    <n v="21350078"/>
    <n v="8978.99"/>
    <m/>
    <s v="N"/>
    <n v="9"/>
    <d v="2023-07-10T19:02:13"/>
    <s v="Y"/>
    <s v="Preparation - drafting application"/>
    <s v="Care Remuneration Hourly Rates"/>
    <s v="Profit Cost"/>
    <s v="HS"/>
    <s v="Y"/>
    <n v="26.29"/>
    <n v="5.26"/>
    <x v="2"/>
    <s v="VALIDATED"/>
    <n v="1"/>
    <s v="01.11.80.308.6100.0000"/>
    <n v="26.29"/>
    <s v="11"/>
    <s v="6100"/>
    <n v="24809.75"/>
    <n v="26.29"/>
    <s v="CREDITOR"/>
    <n v="0"/>
    <n v="0"/>
    <n v="0"/>
    <n v="0"/>
    <n v="26.29"/>
  </r>
  <r>
    <n v="61391363"/>
    <s v="N"/>
    <n v="21344062"/>
    <s v="3000015534470002"/>
    <s v="CIVIL"/>
    <d v="2023-06-28T00:00:00"/>
    <d v="2023-07-07T19:03:00"/>
    <m/>
    <d v="2023-07-07T00:00:00"/>
    <n v="1656"/>
    <n v="15"/>
    <s v="61391363"/>
    <s v="61391363"/>
    <m/>
    <m/>
    <n v="22779196"/>
    <m/>
    <m/>
    <m/>
    <s v="SOLFIN"/>
    <s v="SOLFIN"/>
    <s v="CCMS"/>
    <n v="21344062"/>
    <n v="4661.35"/>
    <m/>
    <s v="N"/>
    <n v="1"/>
    <d v="2023-07-07T19:03:22"/>
    <s v="Y"/>
    <s v="Solicitors Fixed Fee"/>
    <s v="Public Law Children"/>
    <s v="Profit Cost"/>
    <s v="XXX"/>
    <s v="Y"/>
    <n v="2156"/>
    <n v="431.2"/>
    <x v="9"/>
    <s v="VALIDATED"/>
    <n v="1"/>
    <s v="01.11.80.308.6100.0000"/>
    <n v="2156"/>
    <s v="11"/>
    <s v="6100"/>
    <n v="24809.75"/>
    <n v="2156"/>
    <s v="CREDITOR"/>
    <n v="0"/>
    <n v="0"/>
    <n v="0"/>
    <n v="0"/>
    <n v="2156"/>
  </r>
  <r>
    <n v="61681898"/>
    <s v="N"/>
    <n v="21338489"/>
    <s v="3000015777230002"/>
    <s v="CIVIL"/>
    <d v="2023-06-30T00:00:00"/>
    <d v="2023-07-06T19:21:01"/>
    <m/>
    <d v="2023-07-06T00:00:00"/>
    <n v="1656"/>
    <n v="15"/>
    <s v="61681898"/>
    <s v="61681898"/>
    <m/>
    <m/>
    <n v="22797476"/>
    <m/>
    <m/>
    <m/>
    <s v="SOLFIN"/>
    <s v="SOLFIN"/>
    <s v="CCMS"/>
    <n v="21338489"/>
    <n v="4180.32"/>
    <m/>
    <s v="N"/>
    <n v="9"/>
    <d v="2023-07-06T19:21:26"/>
    <s v="Y"/>
    <s v="Final Hearing Court Bundle/Advocate"/>
    <s v="Public Law Children"/>
    <s v="Advocacy"/>
    <s v="KL"/>
    <s v="Y"/>
    <n v="318.6"/>
    <n v="63.72"/>
    <x v="4"/>
    <s v="VALIDATED"/>
    <n v="1"/>
    <s v="01.11.80.308.6100.0000"/>
    <n v="318.6"/>
    <s v="11"/>
    <s v="6100"/>
    <n v="24809.75"/>
    <n v="318.6"/>
    <s v="CREDITOR"/>
    <n v="0"/>
    <n v="0"/>
    <n v="0"/>
    <n v="0"/>
    <n v="318.6"/>
  </r>
  <r>
    <n v="61279566"/>
    <s v="N"/>
    <n v="21318662"/>
    <s v="3000015441870006"/>
    <s v="CIVIL"/>
    <d v="2023-06-22T00:00:00"/>
    <d v="2023-07-03T19:01:49"/>
    <m/>
    <d v="2023-07-03T00:00:00"/>
    <n v="1656"/>
    <n v="15"/>
    <s v="61279566"/>
    <s v="61279566"/>
    <m/>
    <m/>
    <n v="22740548"/>
    <m/>
    <m/>
    <m/>
    <s v="SOLPOA"/>
    <s v="SOLPOA"/>
    <s v="CCMS"/>
    <n v="21318662"/>
    <n v="115.5"/>
    <m/>
    <s v="N"/>
    <n v="1"/>
    <d v="2023-07-03T19:02:00"/>
    <s v="N"/>
    <s v="Expert Cost"/>
    <s v="Expert Cost"/>
    <s v="Expert Disbursement"/>
    <s v="Charlotte Ellingham"/>
    <s v="N"/>
    <n v="96.25"/>
    <n v="19.25"/>
    <x v="3"/>
    <s v="VALIDATED"/>
    <n v="1"/>
    <s v="01.11.80.308.2012.0000"/>
    <n v="96.25"/>
    <s v="11"/>
    <s v="2012"/>
    <n v="24809.75"/>
    <n v="96.25"/>
    <s v="CREDITOR"/>
    <n v="96.25"/>
    <n v="0"/>
    <n v="0"/>
    <n v="0"/>
    <n v="0"/>
  </r>
  <r>
    <n v="61049069"/>
    <s v="N"/>
    <n v="21318381"/>
    <s v="3000015248580009"/>
    <s v="CIVIL"/>
    <d v="2023-06-15T00:00:00"/>
    <d v="2023-07-03T19:01:49"/>
    <m/>
    <d v="2023-07-03T00:00:00"/>
    <n v="1656"/>
    <n v="15"/>
    <s v="61049069"/>
    <s v="61049069"/>
    <m/>
    <m/>
    <n v="22701498"/>
    <m/>
    <m/>
    <m/>
    <s v="SOLFIN"/>
    <s v="SOLFIN"/>
    <s v="CCMS"/>
    <n v="21318381"/>
    <n v="8695.4"/>
    <m/>
    <s v="N"/>
    <n v="18"/>
    <d v="2023-07-03T19:01:54"/>
    <s v="Y"/>
    <s v="Preparation - drafting application"/>
    <s v="Prescribed Hourly Rates"/>
    <s v="Profit Cost"/>
    <s v="OB"/>
    <s v="Y"/>
    <n v="21.41"/>
    <n v="4.28"/>
    <x v="3"/>
    <s v="VALIDATED"/>
    <n v="1"/>
    <s v="01.11.80.307.6100.0000"/>
    <n v="21.41"/>
    <s v="11"/>
    <s v="6100"/>
    <n v="24809.75"/>
    <n v="21.41"/>
    <s v="CREDITOR"/>
    <n v="0"/>
    <n v="0"/>
    <n v="0"/>
    <n v="0"/>
    <n v="21.41"/>
  </r>
  <r>
    <n v="56437778"/>
    <s v="N"/>
    <n v="21350078"/>
    <s v="3000013430710007"/>
    <s v="CIVIL"/>
    <d v="2023-06-29T00:00:00"/>
    <d v="2023-07-10T19:01:40"/>
    <m/>
    <d v="2023-07-10T00:00:00"/>
    <n v="1656"/>
    <n v="15"/>
    <s v="56437778"/>
    <s v="56437778"/>
    <m/>
    <m/>
    <n v="22785264"/>
    <m/>
    <m/>
    <m/>
    <s v="SOLFIN"/>
    <s v="SOLFIN"/>
    <s v="CCMS"/>
    <n v="21350078"/>
    <n v="8978.99"/>
    <m/>
    <s v="N"/>
    <n v="7"/>
    <d v="2023-07-10T19:02:13"/>
    <s v="Y"/>
    <s v="Preparation - drafting application"/>
    <s v="Care Remuneration Hourly Rates"/>
    <s v="Profit Cost"/>
    <s v="HS"/>
    <s v="Y"/>
    <n v="57.83"/>
    <n v="11.57"/>
    <x v="2"/>
    <s v="VALIDATED"/>
    <n v="1"/>
    <s v="01.11.80.308.6100.0000"/>
    <n v="57.83"/>
    <s v="11"/>
    <s v="6100"/>
    <n v="24809.75"/>
    <n v="57.83"/>
    <s v="CREDITOR"/>
    <n v="0"/>
    <n v="0"/>
    <n v="0"/>
    <n v="0"/>
    <n v="57.83"/>
  </r>
  <r>
    <n v="56437778"/>
    <s v="N"/>
    <n v="21350078"/>
    <s v="3000013430710007"/>
    <s v="CIVIL"/>
    <d v="2023-06-29T00:00:00"/>
    <d v="2023-07-10T19:01:40"/>
    <m/>
    <d v="2023-07-10T00:00:00"/>
    <n v="1656"/>
    <n v="15"/>
    <s v="56437778"/>
    <s v="56437778"/>
    <m/>
    <m/>
    <n v="22785264"/>
    <m/>
    <m/>
    <m/>
    <s v="SOLFIN"/>
    <s v="SOLFIN"/>
    <s v="CCMS"/>
    <n v="21350078"/>
    <n v="8978.99"/>
    <m/>
    <s v="N"/>
    <n v="19"/>
    <d v="2023-07-10T19:02:13"/>
    <s v="Y"/>
    <s v="Attendance upon client"/>
    <s v="Care Remuneration Hourly Rates"/>
    <s v="Profit Cost"/>
    <s v="KA"/>
    <s v="Y"/>
    <n v="12.09"/>
    <n v="2.42"/>
    <x v="2"/>
    <s v="VALIDATED"/>
    <n v="1"/>
    <s v="01.11.80.308.6100.0000"/>
    <n v="12.09"/>
    <s v="11"/>
    <s v="6100"/>
    <n v="24809.75"/>
    <n v="12.09"/>
    <s v="CREDITOR"/>
    <n v="0"/>
    <n v="0"/>
    <n v="0"/>
    <n v="0"/>
    <n v="12.09"/>
  </r>
  <r>
    <n v="56437778"/>
    <s v="N"/>
    <n v="21350078"/>
    <s v="3000013430710007"/>
    <s v="CIVIL"/>
    <d v="2023-06-29T00:00:00"/>
    <d v="2023-07-10T19:01:40"/>
    <m/>
    <d v="2023-07-10T00:00:00"/>
    <n v="1656"/>
    <n v="15"/>
    <s v="56437778"/>
    <s v="56437778"/>
    <m/>
    <m/>
    <n v="22785264"/>
    <m/>
    <m/>
    <m/>
    <s v="SOLFIN"/>
    <s v="SOLFIN"/>
    <s v="CCMS"/>
    <n v="21350078"/>
    <n v="8978.99"/>
    <m/>
    <s v="N"/>
    <n v="22"/>
    <d v="2023-07-10T19:02:13"/>
    <s v="Y"/>
    <s v="Preparation - drafting application"/>
    <s v="Care Remuneration Hourly Rates"/>
    <s v="Profit Cost"/>
    <s v="KA"/>
    <s v="Y"/>
    <n v="12.09"/>
    <n v="2.42"/>
    <x v="2"/>
    <s v="VALIDATED"/>
    <n v="1"/>
    <s v="01.11.80.308.6100.0000"/>
    <n v="12.09"/>
    <s v="11"/>
    <s v="6100"/>
    <n v="24809.75"/>
    <n v="12.09"/>
    <s v="CREDITOR"/>
    <n v="0"/>
    <n v="0"/>
    <n v="0"/>
    <n v="0"/>
    <n v="12.09"/>
  </r>
  <r>
    <n v="59411845"/>
    <s v="N"/>
    <n v="21328190"/>
    <s v="3000013854850006"/>
    <s v="CIVIL"/>
    <d v="2023-06-26T00:00:00"/>
    <d v="2023-07-04T19:00:44"/>
    <m/>
    <d v="2023-07-04T00:00:00"/>
    <n v="1656"/>
    <n v="15"/>
    <s v="59411845"/>
    <s v="59411845"/>
    <m/>
    <m/>
    <n v="22764268"/>
    <m/>
    <m/>
    <m/>
    <s v="SOLFIN"/>
    <s v="SOLFIN"/>
    <s v="CCMS"/>
    <n v="21328190"/>
    <n v="3208.74"/>
    <m/>
    <s v="N"/>
    <n v="5"/>
    <d v="2023-07-04T19:01:07"/>
    <s v="Y"/>
    <s v="Advocates Meeting"/>
    <s v="Public Law Children"/>
    <s v="Advocacy"/>
    <s v="CE"/>
    <s v="Y"/>
    <n v="140.99"/>
    <n v="28.2"/>
    <x v="1"/>
    <s v="VALIDATED"/>
    <n v="1"/>
    <s v="01.11.80.308.6100.0000"/>
    <n v="140.99"/>
    <s v="11"/>
    <s v="6100"/>
    <n v="24809.75"/>
    <n v="140.99"/>
    <s v="CREDITOR"/>
    <n v="0"/>
    <n v="0"/>
    <n v="0"/>
    <n v="0"/>
    <n v="140.99"/>
  </r>
  <r>
    <n v="61049069"/>
    <s v="N"/>
    <n v="21318381"/>
    <s v="3000015248580009"/>
    <s v="CIVIL"/>
    <d v="2023-06-15T00:00:00"/>
    <d v="2023-07-03T19:01:49"/>
    <m/>
    <d v="2023-07-03T00:00:00"/>
    <n v="1656"/>
    <n v="15"/>
    <s v="61049069"/>
    <s v="61049069"/>
    <m/>
    <m/>
    <n v="22701498"/>
    <m/>
    <m/>
    <m/>
    <s v="SOLFIN"/>
    <s v="SOLFIN"/>
    <s v="CCMS"/>
    <n v="21318381"/>
    <n v="8695.4"/>
    <m/>
    <s v="N"/>
    <n v="49"/>
    <d v="2023-07-03T19:01:54"/>
    <s v="Y"/>
    <s v="Attendance upon client"/>
    <s v="Prescribed Hourly Rates"/>
    <s v="Profit Cost"/>
    <s v="OB"/>
    <s v="Y"/>
    <n v="14.27"/>
    <n v="2.85"/>
    <x v="3"/>
    <s v="VALIDATED"/>
    <n v="1"/>
    <s v="01.11.80.307.6100.0000"/>
    <n v="14.27"/>
    <s v="11"/>
    <s v="6100"/>
    <n v="24809.75"/>
    <n v="14.27"/>
    <s v="CREDITOR"/>
    <n v="0"/>
    <n v="0"/>
    <n v="0"/>
    <n v="0"/>
    <n v="14.27"/>
  </r>
  <r>
    <n v="61049069"/>
    <s v="N"/>
    <n v="21318381"/>
    <s v="3000015248580009"/>
    <s v="CIVIL"/>
    <d v="2023-06-15T00:00:00"/>
    <d v="2023-07-03T19:01:49"/>
    <m/>
    <d v="2023-07-03T00:00:00"/>
    <n v="1656"/>
    <n v="15"/>
    <s v="61049069"/>
    <s v="61049069"/>
    <m/>
    <m/>
    <n v="22701498"/>
    <m/>
    <m/>
    <m/>
    <s v="SOLFIN"/>
    <s v="SOLFIN"/>
    <s v="CCMS"/>
    <n v="21318381"/>
    <n v="8695.4"/>
    <m/>
    <s v="N"/>
    <n v="63"/>
    <d v="2023-07-03T19:01:54"/>
    <s v="Y"/>
    <s v="Preparation - drafting consent orde"/>
    <s v="Prescribed Hourly Rates"/>
    <s v="Profit Cost"/>
    <s v="OB"/>
    <s v="Y"/>
    <n v="7.14"/>
    <n v="1.43"/>
    <x v="3"/>
    <s v="VALIDATED"/>
    <n v="1"/>
    <s v="01.11.80.307.6100.0000"/>
    <n v="7.14"/>
    <s v="11"/>
    <s v="6100"/>
    <n v="24809.75"/>
    <n v="7.14"/>
    <s v="CREDITOR"/>
    <n v="0"/>
    <n v="0"/>
    <n v="0"/>
    <n v="0"/>
    <n v="7.14"/>
  </r>
  <r>
    <n v="61035075"/>
    <s v="N"/>
    <n v="21331005"/>
    <s v="3000015236260008"/>
    <s v="CIVIL"/>
    <d v="2023-06-23T00:00:00"/>
    <d v="2023-07-05T19:01:47"/>
    <m/>
    <d v="2023-07-05T00:00:00"/>
    <n v="1656"/>
    <n v="15"/>
    <s v="61035075"/>
    <s v="61035075"/>
    <m/>
    <m/>
    <n v="22755974"/>
    <m/>
    <m/>
    <m/>
    <s v="SOLFIN"/>
    <s v="SOLFIN"/>
    <s v="CCMS"/>
    <n v="21331005"/>
    <n v="13010.51"/>
    <m/>
    <s v="N"/>
    <n v="6"/>
    <d v="2023-07-05T19:02:01"/>
    <s v="Y"/>
    <s v="Preparation - drafting instructions"/>
    <s v="Prescribed Hourly Rates"/>
    <s v="Profit Cost"/>
    <s v="OB"/>
    <s v="Y"/>
    <n v="54.4"/>
    <n v="10.88"/>
    <x v="6"/>
    <s v="VALIDATED"/>
    <n v="1"/>
    <s v="01.11.80.307.6100.0000"/>
    <n v="54.4"/>
    <s v="11"/>
    <s v="6100"/>
    <n v="24809.75"/>
    <n v="54.4"/>
    <s v="CREDITOR"/>
    <n v="0"/>
    <n v="0"/>
    <n v="0"/>
    <n v="0"/>
    <n v="54.4"/>
  </r>
  <r>
    <n v="61035075"/>
    <s v="N"/>
    <n v="21331005"/>
    <s v="3000015236260008"/>
    <s v="CIVIL"/>
    <d v="2023-06-23T00:00:00"/>
    <d v="2023-07-05T19:01:47"/>
    <m/>
    <d v="2023-07-05T00:00:00"/>
    <n v="1656"/>
    <n v="15"/>
    <s v="61035075"/>
    <s v="61035075"/>
    <m/>
    <m/>
    <n v="22755974"/>
    <m/>
    <m/>
    <m/>
    <s v="SOLFIN"/>
    <s v="SOLFIN"/>
    <s v="CCMS"/>
    <n v="21331005"/>
    <n v="13010.51"/>
    <m/>
    <s v="N"/>
    <n v="67"/>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81"/>
    <d v="2023-07-05T19:02:01"/>
    <s v="Y"/>
    <s v="Preparation - drafting instructions"/>
    <s v="Prescribed Hourly Rates"/>
    <s v="Profit Cost"/>
    <s v="OB"/>
    <s v="Y"/>
    <n v="7.96"/>
    <n v="1.59"/>
    <x v="6"/>
    <s v="VALIDATED"/>
    <n v="1"/>
    <s v="01.11.80.307.6100.0000"/>
    <n v="7.96"/>
    <s v="11"/>
    <s v="6100"/>
    <n v="24809.75"/>
    <n v="7.96"/>
    <s v="CREDITOR"/>
    <n v="0"/>
    <n v="0"/>
    <n v="0"/>
    <n v="0"/>
    <n v="7.96"/>
  </r>
  <r>
    <n v="60815703"/>
    <s v="N"/>
    <n v="21328116"/>
    <s v="3000015047580009"/>
    <s v="CIVIL"/>
    <d v="2023-06-26T00:00:00"/>
    <d v="2023-07-04T19:00:44"/>
    <m/>
    <d v="2023-07-04T00:00:00"/>
    <n v="1656"/>
    <n v="15"/>
    <s v="60815703"/>
    <s v="60815703"/>
    <m/>
    <m/>
    <n v="22761074"/>
    <m/>
    <m/>
    <m/>
    <s v="SOLFIN"/>
    <s v="SOLFIN"/>
    <s v="CCMS"/>
    <n v="21328116"/>
    <n v="7019.44"/>
    <m/>
    <s v="N"/>
    <n v="27"/>
    <d v="2023-07-04T19:01:05"/>
    <s v="Y"/>
    <s v="Preparation - drafting application"/>
    <s v="Prescribed Hourly Rates"/>
    <s v="Profit Cost"/>
    <s v="AT"/>
    <s v="Y"/>
    <n v="61.76"/>
    <n v="12.35"/>
    <x v="1"/>
    <s v="VALIDATED"/>
    <n v="1"/>
    <s v="01.11.80.307.6100.0000"/>
    <n v="61.76"/>
    <s v="11"/>
    <s v="6100"/>
    <n v="24809.75"/>
    <n v="61.76"/>
    <s v="CREDITOR"/>
    <n v="0"/>
    <n v="0"/>
    <n v="0"/>
    <n v="0"/>
    <n v="61.76"/>
  </r>
  <r>
    <n v="61059951"/>
    <s v="N"/>
    <n v="21327981"/>
    <s v="3000015257840011"/>
    <s v="CIVIL"/>
    <d v="2023-06-26T00:00:00"/>
    <d v="2023-07-04T19:00:44"/>
    <m/>
    <d v="2023-07-04T00:00:00"/>
    <n v="1656"/>
    <n v="15"/>
    <s v="61059951"/>
    <s v="61059951"/>
    <m/>
    <m/>
    <n v="22757692"/>
    <m/>
    <m/>
    <m/>
    <s v="SOLFIN"/>
    <s v="SOLFIN"/>
    <s v="CCMS"/>
    <n v="21327981"/>
    <n v="5656.38"/>
    <m/>
    <s v="N"/>
    <n v="5"/>
    <d v="2023-07-04T19:01:00"/>
    <s v="Y"/>
    <s v="Cell telephone site analysis"/>
    <s v="Public Law Children"/>
    <s v="Expert Disbursement"/>
    <s v="XXX"/>
    <s v="Y"/>
    <n v="236.46"/>
    <n v="47.29"/>
    <x v="1"/>
    <s v="VALIDATED"/>
    <n v="1"/>
    <s v="01.11.80.308.6300.0000"/>
    <n v="236.46"/>
    <s v="11"/>
    <s v="6300"/>
    <n v="24809.75"/>
    <n v="236.46"/>
    <s v="CREDITOR"/>
    <n v="0"/>
    <n v="0"/>
    <n v="0"/>
    <n v="0"/>
    <n v="236.46"/>
  </r>
  <r>
    <n v="61702597"/>
    <s v="N"/>
    <n v="21323041"/>
    <s v="3000015793780006"/>
    <s v="CIVIL"/>
    <d v="2023-06-29T00:00:00"/>
    <d v="2023-07-03T19:05:36"/>
    <m/>
    <d v="2023-07-03T00:00:00"/>
    <n v="1656"/>
    <n v="15"/>
    <s v="61702597"/>
    <s v="61702597"/>
    <m/>
    <m/>
    <n v="22789570"/>
    <m/>
    <m/>
    <m/>
    <s v="SOLPOA"/>
    <s v="SOLPOA"/>
    <s v="CCMS"/>
    <n v="21323041"/>
    <n v="372.32"/>
    <m/>
    <s v="N"/>
    <n v="1"/>
    <d v="2023-07-03T19:05:41"/>
    <s v="N"/>
    <s v="Expert Cost"/>
    <s v="Expert Cost"/>
    <s v="Expert Disbursement"/>
    <s v="AT"/>
    <s v="N"/>
    <n v="310.27"/>
    <n v="62.05"/>
    <x v="3"/>
    <s v="VALIDATED"/>
    <n v="1"/>
    <s v="01.11.80.307.2012.0000"/>
    <n v="310.27"/>
    <s v="11"/>
    <s v="2012"/>
    <n v="24809.75"/>
    <n v="310.27"/>
    <s v="CREDITOR"/>
    <n v="310.27"/>
    <n v="0"/>
    <n v="0"/>
    <n v="0"/>
    <n v="0"/>
  </r>
  <r>
    <n v="61049069"/>
    <s v="N"/>
    <n v="21318381"/>
    <s v="3000015248580009"/>
    <s v="CIVIL"/>
    <d v="2023-06-15T00:00:00"/>
    <d v="2023-07-03T19:01:49"/>
    <m/>
    <d v="2023-07-03T00:00:00"/>
    <n v="1656"/>
    <n v="15"/>
    <s v="61049069"/>
    <s v="61049069"/>
    <m/>
    <m/>
    <n v="22701498"/>
    <m/>
    <m/>
    <m/>
    <s v="SOLFIN"/>
    <s v="SOLFIN"/>
    <s v="CCMS"/>
    <n v="21318381"/>
    <n v="8695.4"/>
    <m/>
    <s v="N"/>
    <n v="41"/>
    <d v="2023-07-03T19:01:54"/>
    <s v="Y"/>
    <s v="Preparation - other"/>
    <s v="Prescribed Hourly Rates"/>
    <s v="Profit Cost"/>
    <s v="JW"/>
    <s v="Y"/>
    <n v="5.49"/>
    <n v="1.1"/>
    <x v="3"/>
    <s v="VALIDATED"/>
    <n v="1"/>
    <s v="01.11.80.307.6100.0000"/>
    <n v="5.49"/>
    <s v="11"/>
    <s v="6100"/>
    <n v="24809.75"/>
    <n v="5.49"/>
    <s v="CREDITOR"/>
    <n v="0"/>
    <n v="0"/>
    <n v="0"/>
    <n v="0"/>
    <n v="5.49"/>
  </r>
  <r>
    <n v="61049069"/>
    <s v="N"/>
    <n v="21318381"/>
    <s v="3000015248580009"/>
    <s v="CIVIL"/>
    <d v="2023-06-15T00:00:00"/>
    <d v="2023-07-03T19:01:49"/>
    <m/>
    <d v="2023-07-03T00:00:00"/>
    <n v="1656"/>
    <n v="15"/>
    <s v="61049069"/>
    <s v="61049069"/>
    <m/>
    <m/>
    <n v="22701498"/>
    <m/>
    <m/>
    <m/>
    <s v="SOLFIN"/>
    <s v="SOLFIN"/>
    <s v="CCMS"/>
    <n v="21318381"/>
    <n v="8695.4"/>
    <m/>
    <s v="N"/>
    <n v="37"/>
    <d v="2023-07-03T19:01:54"/>
    <s v="Y"/>
    <s v="Preparation - drafting consent orde"/>
    <s v="Prescribed Hourly Rates"/>
    <s v="Profit Cost"/>
    <s v="OB"/>
    <s v="Y"/>
    <n v="21.41"/>
    <n v="4.28"/>
    <x v="3"/>
    <s v="VALIDATED"/>
    <n v="1"/>
    <s v="01.11.80.307.6100.0000"/>
    <n v="21.41"/>
    <s v="11"/>
    <s v="6100"/>
    <n v="24809.75"/>
    <n v="21.41"/>
    <s v="CREDITOR"/>
    <n v="0"/>
    <n v="0"/>
    <n v="0"/>
    <n v="0"/>
    <n v="21.41"/>
  </r>
  <r>
    <n v="56437778"/>
    <s v="N"/>
    <n v="21350078"/>
    <s v="3000013430710007"/>
    <s v="CIVIL"/>
    <d v="2023-06-29T00:00:00"/>
    <d v="2023-07-10T19:01:40"/>
    <m/>
    <d v="2023-07-10T00:00:00"/>
    <n v="1656"/>
    <n v="15"/>
    <s v="56437778"/>
    <s v="56437778"/>
    <m/>
    <m/>
    <n v="22785264"/>
    <m/>
    <m/>
    <m/>
    <s v="SOLFIN"/>
    <s v="SOLFIN"/>
    <s v="CCMS"/>
    <n v="21350078"/>
    <n v="8978.99"/>
    <m/>
    <s v="N"/>
    <n v="10"/>
    <d v="2023-07-10T19:02:13"/>
    <s v="Y"/>
    <s v="Report - other expert's report"/>
    <s v="Care Remuneration Hourly Rates"/>
    <s v="Profit Cost"/>
    <s v="HS"/>
    <s v="Y"/>
    <n v="52.57"/>
    <n v="10.51"/>
    <x v="2"/>
    <s v="VALIDATED"/>
    <n v="1"/>
    <s v="01.11.80.308.6100.0000"/>
    <n v="52.57"/>
    <s v="11"/>
    <s v="6100"/>
    <n v="24809.75"/>
    <n v="52.57"/>
    <s v="CREDITOR"/>
    <n v="0"/>
    <n v="0"/>
    <n v="0"/>
    <n v="0"/>
    <n v="52.57"/>
  </r>
  <r>
    <n v="56437778"/>
    <s v="N"/>
    <n v="21350078"/>
    <s v="3000013430710007"/>
    <s v="CIVIL"/>
    <d v="2023-06-29T00:00:00"/>
    <d v="2023-07-10T19:01:40"/>
    <m/>
    <d v="2023-07-10T00:00:00"/>
    <n v="1656"/>
    <n v="15"/>
    <s v="56437778"/>
    <s v="56437778"/>
    <m/>
    <m/>
    <n v="22785264"/>
    <m/>
    <m/>
    <m/>
    <s v="SOLFIN"/>
    <s v="SOLFIN"/>
    <s v="CCMS"/>
    <n v="21350078"/>
    <n v="8978.99"/>
    <m/>
    <s v="N"/>
    <n v="15"/>
    <d v="2023-07-10T19:02:13"/>
    <s v="Y"/>
    <s v="Preparation - drafting consent orde"/>
    <s v="Care Remuneration Hourly Rates"/>
    <s v="Profit Cost"/>
    <s v="KA"/>
    <s v="Y"/>
    <n v="12.09"/>
    <n v="2.42"/>
    <x v="2"/>
    <s v="VALIDATED"/>
    <n v="1"/>
    <s v="01.11.80.308.6100.0000"/>
    <n v="12.09"/>
    <s v="11"/>
    <s v="6100"/>
    <n v="24809.75"/>
    <n v="12.09"/>
    <s v="CREDITOR"/>
    <n v="0"/>
    <n v="0"/>
    <n v="0"/>
    <n v="0"/>
    <n v="12.09"/>
  </r>
  <r>
    <n v="61391363"/>
    <s v="N"/>
    <n v="21344062"/>
    <s v="3000015534470002"/>
    <s v="CIVIL"/>
    <d v="2023-06-28T00:00:00"/>
    <d v="2023-07-07T19:03:00"/>
    <m/>
    <d v="2023-07-07T00:00:00"/>
    <n v="1656"/>
    <n v="15"/>
    <s v="61391363"/>
    <s v="61391363"/>
    <m/>
    <m/>
    <n v="22779196"/>
    <m/>
    <m/>
    <m/>
    <s v="SOLFIN"/>
    <s v="SOLFIN"/>
    <s v="CCMS"/>
    <n v="21344062"/>
    <n v="4661.35"/>
    <m/>
    <s v="N"/>
    <n v="8"/>
    <d v="2023-07-07T19:03:22"/>
    <s v="Y"/>
    <s v="Final Hearing - 1 Day"/>
    <s v="Public Law Children"/>
    <s v="Advocacy"/>
    <s v="dm"/>
    <s v="Y"/>
    <n v="556.88"/>
    <n v="111.38"/>
    <x v="9"/>
    <s v="VALIDATED"/>
    <n v="1"/>
    <s v="01.11.80.308.6100.0000"/>
    <n v="556.88"/>
    <s v="11"/>
    <s v="6100"/>
    <n v="24809.75"/>
    <n v="556.88"/>
    <s v="CREDITOR"/>
    <n v="0"/>
    <n v="0"/>
    <n v="0"/>
    <n v="0"/>
    <n v="556.88"/>
  </r>
  <r>
    <n v="61391610"/>
    <s v="N"/>
    <n v="21343992"/>
    <s v="3000015535070001"/>
    <s v="CIVIL"/>
    <d v="2023-06-28T00:00:00"/>
    <d v="2023-07-07T19:03:00"/>
    <m/>
    <d v="2023-07-07T00:00:00"/>
    <n v="1656"/>
    <n v="15"/>
    <s v="61391610"/>
    <s v="61391610"/>
    <m/>
    <m/>
    <n v="22779074"/>
    <m/>
    <m/>
    <m/>
    <s v="SOLFIN"/>
    <s v="SOLFIN"/>
    <s v="CCMS"/>
    <n v="21343992"/>
    <n v="0"/>
    <m/>
    <s v="N"/>
    <n v="1"/>
    <d v="2023-07-07T19:03:19"/>
    <s v="N"/>
    <s v="NIL BILL"/>
    <s v="Public Law Children"/>
    <s v="Profit Cost"/>
    <s v="daniela maggioni"/>
    <s v="N"/>
    <n v="0"/>
    <n v="0"/>
    <x v="9"/>
    <s v="VALIDATED"/>
    <n v="1"/>
    <s v="01.11.80.308.6100.0000"/>
    <n v="0"/>
    <s v="11"/>
    <s v="6100"/>
    <n v="24809.75"/>
    <n v="0"/>
    <s v="CREDITOR"/>
    <n v="0"/>
    <n v="0"/>
    <n v="0"/>
    <n v="0"/>
    <n v="0"/>
  </r>
  <r>
    <n v="59411845"/>
    <s v="N"/>
    <n v="21328190"/>
    <s v="3000013854850006"/>
    <s v="CIVIL"/>
    <d v="2023-06-26T00:00:00"/>
    <d v="2023-07-04T19:00:44"/>
    <m/>
    <d v="2023-07-04T00:00:00"/>
    <n v="1656"/>
    <n v="15"/>
    <s v="59411845"/>
    <s v="59411845"/>
    <m/>
    <m/>
    <n v="22764268"/>
    <m/>
    <m/>
    <m/>
    <s v="SOLFIN"/>
    <s v="SOLFIN"/>
    <s v="CCMS"/>
    <n v="21328190"/>
    <n v="3208.74"/>
    <m/>
    <s v="N"/>
    <n v="3"/>
    <d v="2023-07-04T19:01:07"/>
    <s v="Y"/>
    <s v="Toxicologist"/>
    <s v="Public Law Children"/>
    <s v="Expert Disbursement"/>
    <s v="XXX"/>
    <s v="Y"/>
    <n v="130"/>
    <n v="26"/>
    <x v="1"/>
    <s v="VALIDATED"/>
    <n v="1"/>
    <s v="01.11.80.308.6300.0000"/>
    <n v="130"/>
    <s v="11"/>
    <s v="6300"/>
    <n v="24809.75"/>
    <n v="130"/>
    <s v="CREDITOR"/>
    <n v="0"/>
    <n v="0"/>
    <n v="0"/>
    <n v="0"/>
    <n v="130"/>
  </r>
  <r>
    <n v="61911483"/>
    <s v="N"/>
    <n v="21318648"/>
    <s v="3000015967600004"/>
    <s v="CIVIL"/>
    <d v="2023-05-25T00:00:00"/>
    <d v="2023-07-03T19:01:49"/>
    <m/>
    <d v="2023-07-03T00:00:00"/>
    <n v="1656"/>
    <n v="15"/>
    <s v="61911483"/>
    <s v="61911483"/>
    <m/>
    <m/>
    <n v="22577138"/>
    <m/>
    <m/>
    <m/>
    <s v="SOLPOA"/>
    <s v="SOLPOA"/>
    <s v="CCMS"/>
    <n v="21318648"/>
    <n v="167"/>
    <m/>
    <s v="N"/>
    <n v="1"/>
    <d v="2023-07-03T19:02:00"/>
    <s v="N"/>
    <s v="Non Expert Disbursement"/>
    <s v="Non Expert Disbursement"/>
    <s v="Non Expert Disbursement"/>
    <s v="Karah Lane"/>
    <s v="N"/>
    <n v="167"/>
    <n v="0"/>
    <x v="3"/>
    <s v="VALIDATED"/>
    <n v="1"/>
    <s v="01.11.80.308.2012.0000"/>
    <n v="167"/>
    <s v="11"/>
    <s v="2012"/>
    <n v="24809.75"/>
    <n v="167"/>
    <s v="CREDITOR"/>
    <n v="167"/>
    <n v="0"/>
    <n v="0"/>
    <n v="0"/>
    <n v="0"/>
  </r>
  <r>
    <n v="61391363"/>
    <s v="N"/>
    <n v="21344062"/>
    <s v="3000015534470002"/>
    <s v="CIVIL"/>
    <d v="2023-06-28T00:00:00"/>
    <d v="2023-07-07T19:03:00"/>
    <m/>
    <d v="2023-07-07T00:00:00"/>
    <n v="1656"/>
    <n v="15"/>
    <s v="61391363"/>
    <s v="61391363"/>
    <m/>
    <m/>
    <n v="22779196"/>
    <m/>
    <m/>
    <m/>
    <s v="SOLFIN"/>
    <s v="SOLFIN"/>
    <s v="CCMS"/>
    <n v="21344062"/>
    <n v="4661.35"/>
    <m/>
    <s v="N"/>
    <n v="3"/>
    <d v="2023-07-07T19:03:22"/>
    <s v="Y"/>
    <s v="Solicitor Travel Expenses"/>
    <s v="Public Law Children"/>
    <s v="Non Expert Disbursement"/>
    <s v="XXX"/>
    <s v="Y"/>
    <n v="8.949999999999999"/>
    <n v="0"/>
    <x v="9"/>
    <s v="VALIDATED"/>
    <n v="1"/>
    <s v="01.11.80.308.6300.0000"/>
    <n v="8.949999999999999"/>
    <s v="11"/>
    <s v="6300"/>
    <n v="24809.75"/>
    <n v="8.949999999999999"/>
    <s v="CREDITOR"/>
    <n v="0"/>
    <n v="0"/>
    <n v="0"/>
    <n v="0"/>
    <n v="8.949999999999999"/>
  </r>
  <r>
    <n v="61035075"/>
    <s v="N"/>
    <n v="21331005"/>
    <s v="3000015236260008"/>
    <s v="CIVIL"/>
    <d v="2023-06-23T00:00:00"/>
    <d v="2023-07-05T19:01:47"/>
    <m/>
    <d v="2023-07-05T00:00:00"/>
    <n v="1656"/>
    <n v="15"/>
    <s v="61035075"/>
    <s v="61035075"/>
    <m/>
    <m/>
    <n v="22755974"/>
    <m/>
    <m/>
    <m/>
    <s v="SOLFIN"/>
    <s v="SOLFIN"/>
    <s v="CCMS"/>
    <n v="21331005"/>
    <n v="13010.51"/>
    <m/>
    <s v="N"/>
    <n v="65"/>
    <d v="2023-07-05T19:02:01"/>
    <s v="Y"/>
    <s v="Preparation - drafting statement"/>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34"/>
    <d v="2023-07-05T19:02:01"/>
    <s v="Y"/>
    <s v="Attendance upon client"/>
    <s v="Prescribed Hourly Rates"/>
    <s v="Profit Cost"/>
    <s v="OB"/>
    <s v="Y"/>
    <n v="23.88"/>
    <n v="4.78"/>
    <x v="6"/>
    <s v="VALIDATED"/>
    <n v="1"/>
    <s v="01.11.80.307.6100.0000"/>
    <n v="23.88"/>
    <s v="11"/>
    <s v="6100"/>
    <n v="24809.75"/>
    <n v="23.88"/>
    <s v="CREDITOR"/>
    <n v="0"/>
    <n v="0"/>
    <n v="0"/>
    <n v="0"/>
    <n v="23.88"/>
  </r>
  <r>
    <n v="60815703"/>
    <s v="N"/>
    <n v="21328116"/>
    <s v="3000015047580009"/>
    <s v="CIVIL"/>
    <d v="2023-06-26T00:00:00"/>
    <d v="2023-07-04T19:00:44"/>
    <m/>
    <d v="2023-07-04T00:00:00"/>
    <n v="1656"/>
    <n v="15"/>
    <s v="60815703"/>
    <s v="60815703"/>
    <m/>
    <m/>
    <n v="22761074"/>
    <m/>
    <m/>
    <m/>
    <s v="SOLFIN"/>
    <s v="SOLFIN"/>
    <s v="CCMS"/>
    <n v="21328116"/>
    <n v="7019.44"/>
    <m/>
    <s v="N"/>
    <n v="34"/>
    <d v="2023-07-04T19:01:05"/>
    <s v="Y"/>
    <s v="Preparation - other"/>
    <s v="Prescribed Hourly Rates"/>
    <s v="Profit Cost"/>
    <s v="AT"/>
    <s v="Y"/>
    <n v="150.98"/>
    <n v="30.2"/>
    <x v="1"/>
    <s v="VALIDATED"/>
    <n v="1"/>
    <s v="01.11.80.307.6100.0000"/>
    <n v="150.98"/>
    <s v="11"/>
    <s v="6100"/>
    <n v="24809.75"/>
    <n v="150.98"/>
    <s v="CREDITOR"/>
    <n v="0"/>
    <n v="0"/>
    <n v="0"/>
    <n v="0"/>
    <n v="150.98"/>
  </r>
  <r>
    <n v="59411845"/>
    <s v="N"/>
    <n v="21328190"/>
    <s v="3000013854850006"/>
    <s v="CIVIL"/>
    <d v="2023-06-26T00:00:00"/>
    <d v="2023-07-04T19:00:44"/>
    <m/>
    <d v="2023-07-04T00:00:00"/>
    <n v="1656"/>
    <n v="15"/>
    <s v="59411845"/>
    <s v="59411845"/>
    <m/>
    <m/>
    <n v="22764268"/>
    <m/>
    <m/>
    <m/>
    <s v="SOLFIN"/>
    <s v="SOLFIN"/>
    <s v="CCMS"/>
    <n v="21328190"/>
    <n v="3208.74"/>
    <m/>
    <s v="N"/>
    <n v="1"/>
    <d v="2023-07-04T19:01:07"/>
    <s v="Y"/>
    <s v="Solicitors Fixed Fee"/>
    <s v="Public Law Children"/>
    <s v="Profit Cost"/>
    <s v="XXX"/>
    <s v="Y"/>
    <n v="1911"/>
    <n v="382.2"/>
    <x v="1"/>
    <s v="VALIDATED"/>
    <n v="1"/>
    <s v="01.11.80.308.6100.0000"/>
    <n v="1911"/>
    <s v="11"/>
    <s v="6100"/>
    <n v="24809.75"/>
    <n v="1911"/>
    <s v="CREDITOR"/>
    <n v="0"/>
    <n v="0"/>
    <n v="0"/>
    <n v="0"/>
    <n v="1911"/>
  </r>
  <r>
    <n v="61035075"/>
    <s v="N"/>
    <n v="21331005"/>
    <s v="3000015236260008"/>
    <s v="CIVIL"/>
    <d v="2023-06-23T00:00:00"/>
    <d v="2023-07-05T19:01:47"/>
    <m/>
    <d v="2023-07-05T00:00:00"/>
    <n v="1656"/>
    <n v="15"/>
    <s v="61035075"/>
    <s v="61035075"/>
    <m/>
    <m/>
    <n v="22755974"/>
    <m/>
    <m/>
    <m/>
    <s v="SOLFIN"/>
    <s v="SOLFIN"/>
    <s v="CCMS"/>
    <n v="21331005"/>
    <n v="13010.51"/>
    <m/>
    <s v="N"/>
    <n v="35"/>
    <d v="2023-07-05T19:02:01"/>
    <s v="Y"/>
    <s v="Preparation - other"/>
    <s v="Prescribed Hourly Rates"/>
    <s v="Profit Cost"/>
    <s v="OB"/>
    <s v="Y"/>
    <n v="55.72"/>
    <n v="11.14"/>
    <x v="6"/>
    <s v="VALIDATED"/>
    <n v="1"/>
    <s v="01.11.80.307.6100.0000"/>
    <n v="55.72"/>
    <s v="11"/>
    <s v="6100"/>
    <n v="24809.75"/>
    <n v="55.72"/>
    <s v="CREDITOR"/>
    <n v="0"/>
    <n v="0"/>
    <n v="0"/>
    <n v="0"/>
    <n v="55.72"/>
  </r>
  <r>
    <n v="61049069"/>
    <s v="N"/>
    <n v="21318381"/>
    <s v="3000015248580009"/>
    <s v="CIVIL"/>
    <d v="2023-06-15T00:00:00"/>
    <d v="2023-07-03T19:01:49"/>
    <m/>
    <d v="2023-07-03T00:00:00"/>
    <n v="1656"/>
    <n v="15"/>
    <s v="61049069"/>
    <s v="61049069"/>
    <m/>
    <m/>
    <n v="22701498"/>
    <m/>
    <m/>
    <m/>
    <s v="SOLFIN"/>
    <s v="SOLFIN"/>
    <s v="CCMS"/>
    <n v="21318381"/>
    <n v="8695.4"/>
    <m/>
    <s v="N"/>
    <n v="9"/>
    <d v="2023-07-03T19:01:54"/>
    <s v="Y"/>
    <s v="Preparation - drafting application"/>
    <s v="Prescribed Hourly Rates"/>
    <s v="Profit Cost"/>
    <s v="OB"/>
    <s v="Y"/>
    <n v="85.64"/>
    <n v="17.13"/>
    <x v="3"/>
    <s v="VALIDATED"/>
    <n v="1"/>
    <s v="01.11.80.307.6100.0000"/>
    <n v="85.64"/>
    <s v="11"/>
    <s v="6100"/>
    <n v="24809.75"/>
    <n v="85.64"/>
    <s v="CREDITOR"/>
    <n v="0"/>
    <n v="0"/>
    <n v="0"/>
    <n v="0"/>
    <n v="85.64"/>
  </r>
  <r>
    <n v="61049069"/>
    <s v="N"/>
    <n v="21318381"/>
    <s v="3000015248580009"/>
    <s v="CIVIL"/>
    <d v="2023-06-15T00:00:00"/>
    <d v="2023-07-03T19:01:49"/>
    <m/>
    <d v="2023-07-03T00:00:00"/>
    <n v="1656"/>
    <n v="15"/>
    <s v="61049069"/>
    <s v="61049069"/>
    <m/>
    <m/>
    <n v="22701498"/>
    <m/>
    <m/>
    <m/>
    <s v="SOLFIN"/>
    <s v="SOLFIN"/>
    <s v="CCMS"/>
    <n v="21318381"/>
    <n v="8695.4"/>
    <m/>
    <s v="N"/>
    <n v="19"/>
    <d v="2023-07-03T19:01:54"/>
    <s v="Y"/>
    <s v="Preparation - drafting notice(s)"/>
    <s v="Prescribed Hourly Rates"/>
    <s v="Profit Cost"/>
    <s v="OB"/>
    <s v="Y"/>
    <n v="7.14"/>
    <n v="1.43"/>
    <x v="3"/>
    <s v="VALIDATED"/>
    <n v="1"/>
    <s v="01.11.80.307.6100.0000"/>
    <n v="7.14"/>
    <s v="11"/>
    <s v="6100"/>
    <n v="24809.75"/>
    <n v="7.14"/>
    <s v="CREDITOR"/>
    <n v="0"/>
    <n v="0"/>
    <n v="0"/>
    <n v="0"/>
    <n v="7.14"/>
  </r>
  <r>
    <n v="56437778"/>
    <s v="N"/>
    <n v="21350078"/>
    <s v="3000013430710007"/>
    <s v="CIVIL"/>
    <d v="2023-06-29T00:00:00"/>
    <d v="2023-07-10T19:01:40"/>
    <m/>
    <d v="2023-07-10T00:00:00"/>
    <n v="1656"/>
    <n v="15"/>
    <s v="56437778"/>
    <s v="56437778"/>
    <m/>
    <m/>
    <n v="22785264"/>
    <m/>
    <m/>
    <m/>
    <s v="SOLFIN"/>
    <s v="SOLFIN"/>
    <s v="CCMS"/>
    <n v="21350078"/>
    <n v="8978.99"/>
    <m/>
    <s v="N"/>
    <n v="18"/>
    <d v="2023-07-10T19:02:13"/>
    <s v="Y"/>
    <s v="Preparation - drafting application"/>
    <s v="Care Remuneration Hourly Rates"/>
    <s v="Profit Cost"/>
    <s v="JK"/>
    <s v="Y"/>
    <n v="5.26"/>
    <n v="1.05"/>
    <x v="2"/>
    <s v="VALIDATED"/>
    <n v="1"/>
    <s v="01.11.80.308.6100.0000"/>
    <n v="5.26"/>
    <s v="11"/>
    <s v="6100"/>
    <n v="24809.75"/>
    <n v="5.26"/>
    <s v="CREDITOR"/>
    <n v="0"/>
    <n v="0"/>
    <n v="0"/>
    <n v="0"/>
    <n v="5.26"/>
  </r>
  <r>
    <n v="60815703"/>
    <s v="N"/>
    <n v="21328116"/>
    <s v="3000015047580009"/>
    <s v="CIVIL"/>
    <d v="2023-06-26T00:00:00"/>
    <d v="2023-07-04T19:00:44"/>
    <m/>
    <d v="2023-07-04T00:00:00"/>
    <n v="1656"/>
    <n v="15"/>
    <s v="60815703"/>
    <s v="60815703"/>
    <m/>
    <m/>
    <n v="22761074"/>
    <m/>
    <m/>
    <m/>
    <s v="SOLFIN"/>
    <s v="SOLFIN"/>
    <s v="CCMS"/>
    <n v="21328116"/>
    <n v="7019.44"/>
    <m/>
    <s v="N"/>
    <n v="7"/>
    <d v="2023-07-04T19:01:05"/>
    <s v="Y"/>
    <s v="Police Records"/>
    <s v="Prescribed Hourly Rates"/>
    <s v="Non Expert Disbursement"/>
    <s v="XXX"/>
    <s v="Y"/>
    <n v="17.6"/>
    <n v="0"/>
    <x v="1"/>
    <s v="VALIDATED"/>
    <n v="1"/>
    <s v="01.11.80.307.6300.0000"/>
    <n v="17.6"/>
    <s v="11"/>
    <s v="6300"/>
    <n v="24809.75"/>
    <n v="17.6"/>
    <s v="CREDITOR"/>
    <n v="0"/>
    <n v="0"/>
    <n v="0"/>
    <n v="0"/>
    <n v="17.6"/>
  </r>
  <r>
    <n v="61059951"/>
    <s v="N"/>
    <n v="21327981"/>
    <s v="3000015257840011"/>
    <s v="CIVIL"/>
    <d v="2023-06-26T00:00:00"/>
    <d v="2023-07-04T19:00:44"/>
    <m/>
    <d v="2023-07-04T00:00:00"/>
    <n v="1656"/>
    <n v="15"/>
    <s v="61059951"/>
    <s v="61059951"/>
    <m/>
    <m/>
    <n v="22757692"/>
    <m/>
    <m/>
    <m/>
    <s v="SOLFIN"/>
    <s v="SOLFIN"/>
    <s v="CCMS"/>
    <n v="21327981"/>
    <n v="5656.38"/>
    <m/>
    <s v="N"/>
    <n v="4"/>
    <d v="2023-07-04T19:01:00"/>
    <s v="Y"/>
    <s v="Paediatrician"/>
    <s v="Public Law Children"/>
    <s v="Expert Disbursement"/>
    <s v="XXX"/>
    <s v="Y"/>
    <n v="108"/>
    <n v="21.6"/>
    <x v="1"/>
    <s v="VALIDATED"/>
    <n v="1"/>
    <s v="01.11.80.308.6300.0000"/>
    <n v="108"/>
    <s v="11"/>
    <s v="6300"/>
    <n v="24809.75"/>
    <n v="108"/>
    <s v="CREDITOR"/>
    <n v="0"/>
    <n v="0"/>
    <n v="0"/>
    <n v="0"/>
    <n v="108"/>
  </r>
  <r>
    <n v="61059951"/>
    <s v="N"/>
    <n v="21327981"/>
    <s v="3000015257840011"/>
    <s v="CIVIL"/>
    <d v="2023-06-26T00:00:00"/>
    <d v="2023-07-04T19:00:44"/>
    <m/>
    <d v="2023-07-04T00:00:00"/>
    <n v="1656"/>
    <n v="15"/>
    <s v="61059951"/>
    <s v="61059951"/>
    <m/>
    <m/>
    <n v="22757692"/>
    <m/>
    <m/>
    <m/>
    <s v="SOLFIN"/>
    <s v="SOLFIN"/>
    <s v="CCMS"/>
    <n v="21327981"/>
    <n v="5656.38"/>
    <m/>
    <s v="N"/>
    <n v="7"/>
    <d v="2023-07-04T19:01:00"/>
    <s v="Y"/>
    <s v="Hearing Unit 2.31 - 5.00 Hours"/>
    <s v="Public Law Children"/>
    <s v="Advocacy"/>
    <s v="HW"/>
    <s v="Y"/>
    <n v="476.92"/>
    <n v="95.38"/>
    <x v="1"/>
    <s v="VALIDATED"/>
    <n v="1"/>
    <s v="01.11.80.308.6100.0000"/>
    <n v="476.92"/>
    <s v="11"/>
    <s v="6100"/>
    <n v="24809.75"/>
    <n v="476.92"/>
    <s v="CREDITOR"/>
    <n v="0"/>
    <n v="0"/>
    <n v="0"/>
    <n v="0"/>
    <n v="476.92"/>
  </r>
  <r>
    <n v="60815703"/>
    <s v="N"/>
    <n v="21328116"/>
    <s v="3000015047580009"/>
    <s v="CIVIL"/>
    <d v="2023-06-26T00:00:00"/>
    <d v="2023-07-04T19:00:44"/>
    <m/>
    <d v="2023-07-04T00:00:00"/>
    <n v="1656"/>
    <n v="15"/>
    <s v="60815703"/>
    <s v="60815703"/>
    <m/>
    <m/>
    <n v="22761074"/>
    <m/>
    <m/>
    <m/>
    <s v="SOLFIN"/>
    <s v="SOLFIN"/>
    <s v="CCMS"/>
    <n v="21328116"/>
    <n v="7019.44"/>
    <m/>
    <s v="N"/>
    <n v="45"/>
    <d v="2023-07-04T19:01:05"/>
    <s v="Y"/>
    <s v="Preparation - other"/>
    <s v="Prescribed Hourly Rates"/>
    <s v="Profit Cost"/>
    <s v="JK"/>
    <s v="Y"/>
    <n v="5.49"/>
    <n v="1.1"/>
    <x v="1"/>
    <s v="VALIDATED"/>
    <n v="1"/>
    <s v="01.11.80.307.6100.0000"/>
    <n v="5.49"/>
    <s v="11"/>
    <s v="6100"/>
    <n v="24809.75"/>
    <n v="5.49"/>
    <s v="CREDITOR"/>
    <n v="0"/>
    <n v="0"/>
    <n v="0"/>
    <n v="0"/>
    <n v="5.49"/>
  </r>
  <r>
    <n v="61049069"/>
    <s v="N"/>
    <n v="21318381"/>
    <s v="3000015248580009"/>
    <s v="CIVIL"/>
    <d v="2023-06-15T00:00:00"/>
    <d v="2023-07-03T19:01:49"/>
    <m/>
    <d v="2023-07-03T00:00:00"/>
    <n v="1656"/>
    <n v="15"/>
    <s v="61049069"/>
    <s v="61049069"/>
    <m/>
    <m/>
    <n v="22701498"/>
    <m/>
    <m/>
    <m/>
    <s v="SOLFIN"/>
    <s v="SOLFIN"/>
    <s v="CCMS"/>
    <n v="21318381"/>
    <n v="8695.4"/>
    <m/>
    <s v="N"/>
    <n v="43"/>
    <d v="2023-07-03T19:01:54"/>
    <s v="Y"/>
    <s v="Preparation - Periodic file review"/>
    <s v="Prescribed Hourly Rates"/>
    <s v="Profit Cost"/>
    <s v="OB"/>
    <s v="Y"/>
    <n v="413.95"/>
    <n v="82.79000000000001"/>
    <x v="3"/>
    <s v="VALIDATED"/>
    <n v="1"/>
    <s v="01.11.80.307.6100.0000"/>
    <n v="413.95"/>
    <s v="11"/>
    <s v="6100"/>
    <n v="24809.75"/>
    <n v="413.95"/>
    <s v="CREDITOR"/>
    <n v="0"/>
    <n v="0"/>
    <n v="0"/>
    <n v="0"/>
    <n v="413.95"/>
  </r>
  <r>
    <n v="61227906"/>
    <s v="N"/>
    <n v="21360961"/>
    <s v="3000015398320003"/>
    <s v="CIVIL"/>
    <d v="2023-06-30T00:00:00"/>
    <d v="2023-07-11T19:00:25"/>
    <m/>
    <d v="2023-07-11T00:00:00"/>
    <n v="1656"/>
    <n v="15"/>
    <s v="61227906"/>
    <s v="61227906"/>
    <m/>
    <m/>
    <n v="22797584"/>
    <m/>
    <m/>
    <m/>
    <s v="SOLFIN"/>
    <s v="SOLFIN"/>
    <s v="CCMS"/>
    <n v="21360961"/>
    <n v="3172.87"/>
    <m/>
    <s v="N"/>
    <n v="6"/>
    <d v="2023-07-11T19:00:40"/>
    <s v="Y"/>
    <s v="Final Hearing - 1 Day"/>
    <s v="Public Law Children"/>
    <s v="Advocacy"/>
    <s v="AT"/>
    <s v="Y"/>
    <n v="506.25"/>
    <n v="101.25"/>
    <x v="7"/>
    <s v="VALIDATED"/>
    <n v="1"/>
    <s v="01.11.80.308.6100.0000"/>
    <n v="506.25"/>
    <s v="11"/>
    <s v="6100"/>
    <n v="24809.75"/>
    <n v="506.25"/>
    <s v="CREDITOR"/>
    <n v="0"/>
    <n v="0"/>
    <n v="0"/>
    <n v="0"/>
    <n v="506.25"/>
  </r>
  <r>
    <n v="61059951"/>
    <s v="N"/>
    <n v="21327981"/>
    <s v="3000015257840011"/>
    <s v="CIVIL"/>
    <d v="2023-06-26T00:00:00"/>
    <d v="2023-07-04T19:00:44"/>
    <m/>
    <d v="2023-07-04T00:00:00"/>
    <n v="1656"/>
    <n v="15"/>
    <s v="61059951"/>
    <s v="61059951"/>
    <m/>
    <m/>
    <n v="22757692"/>
    <m/>
    <m/>
    <m/>
    <s v="SOLFIN"/>
    <s v="SOLFIN"/>
    <s v="CCMS"/>
    <n v="21327981"/>
    <n v="5656.38"/>
    <m/>
    <s v="N"/>
    <n v="6"/>
    <d v="2023-07-04T19:01:00"/>
    <s v="Y"/>
    <s v="Advocates Meeting"/>
    <s v="Public Law Children"/>
    <s v="Advocacy"/>
    <s v="HW"/>
    <s v="Y"/>
    <n v="140.99"/>
    <n v="28.2"/>
    <x v="1"/>
    <s v="VALIDATED"/>
    <n v="1"/>
    <s v="01.11.80.308.6100.0000"/>
    <n v="140.99"/>
    <s v="11"/>
    <s v="6100"/>
    <n v="24809.75"/>
    <n v="140.99"/>
    <s v="CREDITOR"/>
    <n v="0"/>
    <n v="0"/>
    <n v="0"/>
    <n v="0"/>
    <n v="140.99"/>
  </r>
  <r>
    <n v="60815703"/>
    <s v="N"/>
    <n v="21328116"/>
    <s v="3000015047580009"/>
    <s v="CIVIL"/>
    <d v="2023-06-26T00:00:00"/>
    <d v="2023-07-04T19:00:44"/>
    <m/>
    <d v="2023-07-04T00:00:00"/>
    <n v="1656"/>
    <n v="15"/>
    <s v="60815703"/>
    <s v="60815703"/>
    <m/>
    <m/>
    <n v="22761074"/>
    <m/>
    <m/>
    <m/>
    <s v="SOLFIN"/>
    <s v="SOLFIN"/>
    <s v="CCMS"/>
    <n v="21328116"/>
    <n v="7019.44"/>
    <m/>
    <s v="N"/>
    <n v="57"/>
    <d v="2023-07-04T19:01:05"/>
    <s v="Y"/>
    <s v="Attendance upon client"/>
    <s v="Prescribed Hourly Rates"/>
    <s v="Profit Cost"/>
    <s v="AT"/>
    <s v="Y"/>
    <n v="13.73"/>
    <n v="2.75"/>
    <x v="1"/>
    <s v="VALIDATED"/>
    <n v="1"/>
    <s v="01.11.80.307.6100.0000"/>
    <n v="13.73"/>
    <s v="11"/>
    <s v="6100"/>
    <n v="24809.75"/>
    <n v="13.73"/>
    <s v="CREDITOR"/>
    <n v="0"/>
    <n v="0"/>
    <n v="0"/>
    <n v="0"/>
    <n v="13.73"/>
  </r>
  <r>
    <n v="61049069"/>
    <s v="N"/>
    <n v="21318381"/>
    <s v="3000015248580009"/>
    <s v="CIVIL"/>
    <d v="2023-06-15T00:00:00"/>
    <d v="2023-07-03T19:01:49"/>
    <m/>
    <d v="2023-07-03T00:00:00"/>
    <n v="1656"/>
    <n v="15"/>
    <s v="61049069"/>
    <s v="61049069"/>
    <m/>
    <m/>
    <n v="22701498"/>
    <m/>
    <m/>
    <m/>
    <s v="SOLFIN"/>
    <s v="SOLFIN"/>
    <s v="CCMS"/>
    <n v="21318381"/>
    <n v="8695.4"/>
    <m/>
    <s v="N"/>
    <n v="65"/>
    <d v="2023-07-03T19:01:54"/>
    <s v="Y"/>
    <s v="Preparation - drafting bill/claim f"/>
    <s v="Prescribed Hourly Rates"/>
    <s v="Profit Cost"/>
    <s v="OB"/>
    <s v="Y"/>
    <n v="35.69"/>
    <n v="7.14"/>
    <x v="3"/>
    <s v="VALIDATED"/>
    <n v="1"/>
    <s v="01.11.80.307.6100.0000"/>
    <n v="35.69"/>
    <s v="11"/>
    <s v="6100"/>
    <n v="24809.75"/>
    <n v="35.69"/>
    <s v="CREDITOR"/>
    <n v="0"/>
    <n v="0"/>
    <n v="0"/>
    <n v="0"/>
    <n v="35.69"/>
  </r>
  <r>
    <n v="61049069"/>
    <s v="N"/>
    <n v="21318381"/>
    <s v="3000015248580009"/>
    <s v="CIVIL"/>
    <d v="2023-06-15T00:00:00"/>
    <d v="2023-07-03T19:01:49"/>
    <m/>
    <d v="2023-07-03T00:00:00"/>
    <n v="1656"/>
    <n v="15"/>
    <s v="61049069"/>
    <s v="61049069"/>
    <m/>
    <m/>
    <n v="22701498"/>
    <m/>
    <m/>
    <m/>
    <s v="SOLFIN"/>
    <s v="SOLFIN"/>
    <s v="CCMS"/>
    <n v="21318381"/>
    <n v="8695.4"/>
    <m/>
    <s v="N"/>
    <n v="21"/>
    <d v="2023-07-03T19:01:54"/>
    <s v="Y"/>
    <s v="Attendance upon court"/>
    <s v="Prescribed Hourly Rates"/>
    <s v="Profit Cost"/>
    <s v="OB"/>
    <s v="Y"/>
    <n v="178.43"/>
    <n v="35.69"/>
    <x v="3"/>
    <s v="VALIDATED"/>
    <n v="1"/>
    <s v="01.11.80.307.6100.0000"/>
    <n v="178.43"/>
    <s v="11"/>
    <s v="6100"/>
    <n v="24809.75"/>
    <n v="178.43"/>
    <s v="CREDITOR"/>
    <n v="0"/>
    <n v="0"/>
    <n v="0"/>
    <n v="0"/>
    <n v="178.43"/>
  </r>
  <r>
    <n v="56437778"/>
    <s v="N"/>
    <n v="21350078"/>
    <s v="3000013430710007"/>
    <s v="CIVIL"/>
    <d v="2023-06-29T00:00:00"/>
    <d v="2023-07-10T19:01:40"/>
    <m/>
    <d v="2023-07-10T00:00:00"/>
    <n v="1656"/>
    <n v="15"/>
    <s v="56437778"/>
    <s v="56437778"/>
    <m/>
    <m/>
    <n v="22785264"/>
    <m/>
    <m/>
    <m/>
    <s v="SOLFIN"/>
    <s v="SOLFIN"/>
    <s v="CCMS"/>
    <n v="21350078"/>
    <n v="8978.99"/>
    <m/>
    <s v="N"/>
    <n v="36"/>
    <d v="2023-07-10T19:02:13"/>
    <s v="Y"/>
    <s v="Preparation - drafting notice(s)"/>
    <s v="Care Remuneration Hourly Rates"/>
    <s v="Profit Cost"/>
    <s v="KA"/>
    <s v="Y"/>
    <n v="6.05"/>
    <n v="1.21"/>
    <x v="2"/>
    <s v="VALIDATED"/>
    <n v="1"/>
    <s v="01.11.80.308.6100.0000"/>
    <n v="6.05"/>
    <s v="11"/>
    <s v="6100"/>
    <n v="24809.75"/>
    <n v="6.05"/>
    <s v="CREDITOR"/>
    <n v="0"/>
    <n v="0"/>
    <n v="0"/>
    <n v="0"/>
    <n v="6.05"/>
  </r>
  <r>
    <n v="56437778"/>
    <s v="N"/>
    <n v="21350078"/>
    <s v="3000013430710007"/>
    <s v="CIVIL"/>
    <d v="2023-06-29T00:00:00"/>
    <d v="2023-07-10T19:01:40"/>
    <m/>
    <d v="2023-07-10T00:00:00"/>
    <n v="1656"/>
    <n v="15"/>
    <s v="56437778"/>
    <s v="56437778"/>
    <m/>
    <m/>
    <n v="22785264"/>
    <m/>
    <m/>
    <m/>
    <s v="SOLFIN"/>
    <s v="SOLFIN"/>
    <s v="CCMS"/>
    <n v="21350078"/>
    <n v="8978.99"/>
    <m/>
    <s v="N"/>
    <n v="4"/>
    <d v="2023-07-10T19:02:13"/>
    <s v="Y"/>
    <s v="Preparation - other"/>
    <s v="Care Remuneration Hourly Rates"/>
    <s v="Profit Cost"/>
    <s v="KA"/>
    <s v="Y"/>
    <n v="6.05"/>
    <n v="1.21"/>
    <x v="2"/>
    <s v="VALIDATED"/>
    <n v="1"/>
    <s v="01.11.80.308.6100.0000"/>
    <n v="6.05"/>
    <s v="11"/>
    <s v="6100"/>
    <n v="24809.75"/>
    <n v="6.05"/>
    <s v="CREDITOR"/>
    <n v="0"/>
    <n v="0"/>
    <n v="0"/>
    <n v="0"/>
    <n v="6.05"/>
  </r>
  <r>
    <n v="61227906"/>
    <s v="N"/>
    <n v="21360961"/>
    <s v="3000015398320003"/>
    <s v="CIVIL"/>
    <d v="2023-06-30T00:00:00"/>
    <d v="2023-07-11T19:00:25"/>
    <m/>
    <d v="2023-07-11T00:00:00"/>
    <n v="1656"/>
    <n v="15"/>
    <s v="61227906"/>
    <s v="61227906"/>
    <m/>
    <m/>
    <n v="22797584"/>
    <m/>
    <m/>
    <m/>
    <s v="SOLFIN"/>
    <s v="SOLFIN"/>
    <s v="CCMS"/>
    <n v="21360961"/>
    <n v="3172.87"/>
    <m/>
    <s v="N"/>
    <n v="1"/>
    <d v="2023-07-11T19:00:40"/>
    <s v="Y"/>
    <s v="Solicitors Fixed Fee"/>
    <s v="Public Law Children"/>
    <s v="Profit Cost"/>
    <s v="XXX"/>
    <s v="Y"/>
    <n v="1438"/>
    <n v="287.6"/>
    <x v="7"/>
    <s v="VALIDATED"/>
    <n v="1"/>
    <s v="01.11.80.308.6100.0000"/>
    <n v="1438"/>
    <s v="11"/>
    <s v="6100"/>
    <n v="24809.75"/>
    <n v="1438"/>
    <s v="CREDITOR"/>
    <n v="0"/>
    <n v="0"/>
    <n v="0"/>
    <n v="0"/>
    <n v="1438"/>
  </r>
  <r>
    <n v="61391363"/>
    <s v="N"/>
    <n v="21344062"/>
    <s v="3000015534470002"/>
    <s v="CIVIL"/>
    <d v="2023-06-28T00:00:00"/>
    <d v="2023-07-07T19:03:00"/>
    <m/>
    <d v="2023-07-07T00:00:00"/>
    <n v="1656"/>
    <n v="15"/>
    <s v="61391363"/>
    <s v="61391363"/>
    <m/>
    <m/>
    <n v="22779196"/>
    <m/>
    <m/>
    <m/>
    <s v="SOLFIN"/>
    <s v="SOLFIN"/>
    <s v="CCMS"/>
    <n v="21344062"/>
    <n v="4661.35"/>
    <m/>
    <s v="N"/>
    <n v="2"/>
    <d v="2023-07-07T19:03:22"/>
    <s v="Y"/>
    <s v="Solicitor Travel Expenses"/>
    <s v="Public Law Children"/>
    <s v="Non Expert Disbursement"/>
    <s v="XXX"/>
    <s v="Y"/>
    <n v="8.949999999999999"/>
    <n v="0"/>
    <x v="9"/>
    <s v="VALIDATED"/>
    <n v="1"/>
    <s v="01.11.80.308.6300.0000"/>
    <n v="8.949999999999999"/>
    <s v="11"/>
    <s v="6300"/>
    <n v="24809.75"/>
    <n v="8.949999999999999"/>
    <s v="CREDITOR"/>
    <n v="0"/>
    <n v="0"/>
    <n v="0"/>
    <n v="0"/>
    <n v="8.949999999999999"/>
  </r>
  <r>
    <n v="61391784"/>
    <s v="N"/>
    <n v="21343978"/>
    <s v="3000015535220001"/>
    <s v="CIVIL"/>
    <d v="2023-06-28T00:00:00"/>
    <d v="2023-07-07T19:03:00"/>
    <m/>
    <d v="2023-07-07T00:00:00"/>
    <n v="1656"/>
    <n v="15"/>
    <s v="61391784"/>
    <s v="61391784"/>
    <m/>
    <m/>
    <n v="22779032"/>
    <m/>
    <m/>
    <m/>
    <s v="SOLFIN"/>
    <s v="SOLFIN"/>
    <s v="CCMS"/>
    <n v="21343978"/>
    <n v="0"/>
    <m/>
    <s v="N"/>
    <n v="1"/>
    <d v="2023-07-07T19:03:19"/>
    <s v="N"/>
    <s v="NIL BILL"/>
    <s v="Public Law Children"/>
    <s v="Profit Cost"/>
    <s v="daniela maggioni"/>
    <s v="N"/>
    <n v="0"/>
    <n v="0"/>
    <x v="9"/>
    <s v="VALIDATED"/>
    <n v="1"/>
    <s v="01.11.80.308.6100.0000"/>
    <n v="0"/>
    <s v="11"/>
    <s v="6100"/>
    <n v="24809.75"/>
    <n v="0"/>
    <s v="CREDITOR"/>
    <n v="0"/>
    <n v="0"/>
    <n v="0"/>
    <n v="0"/>
    <n v="0"/>
  </r>
  <r>
    <n v="61035075"/>
    <s v="N"/>
    <n v="21331005"/>
    <s v="3000015236260008"/>
    <s v="CIVIL"/>
    <d v="2023-06-23T00:00:00"/>
    <d v="2023-07-05T19:01:47"/>
    <m/>
    <d v="2023-07-05T00:00:00"/>
    <n v="1656"/>
    <n v="15"/>
    <s v="61035075"/>
    <s v="61035075"/>
    <m/>
    <m/>
    <n v="22755974"/>
    <m/>
    <m/>
    <m/>
    <s v="SOLFIN"/>
    <s v="SOLFIN"/>
    <s v="CCMS"/>
    <n v="21331005"/>
    <n v="13010.51"/>
    <m/>
    <s v="N"/>
    <n v="69"/>
    <d v="2023-07-05T19:02:01"/>
    <s v="Y"/>
    <s v="Preparation - other"/>
    <s v="Prescribed Hourly Rates"/>
    <s v="Profit Cost"/>
    <s v="OB"/>
    <s v="Y"/>
    <n v="79.61"/>
    <n v="15.92"/>
    <x v="6"/>
    <s v="VALIDATED"/>
    <n v="1"/>
    <s v="01.11.80.307.6100.0000"/>
    <n v="79.61"/>
    <s v="11"/>
    <s v="6100"/>
    <n v="24809.75"/>
    <n v="79.61"/>
    <s v="CREDITOR"/>
    <n v="0"/>
    <n v="0"/>
    <n v="0"/>
    <n v="0"/>
    <n v="79.61"/>
  </r>
  <r>
    <n v="61059951"/>
    <s v="N"/>
    <n v="21327981"/>
    <s v="3000015257840011"/>
    <s v="CIVIL"/>
    <d v="2023-06-26T00:00:00"/>
    <d v="2023-07-04T19:00:44"/>
    <m/>
    <d v="2023-07-04T00:00:00"/>
    <n v="1656"/>
    <n v="15"/>
    <s v="61059951"/>
    <s v="61059951"/>
    <m/>
    <m/>
    <n v="22757692"/>
    <m/>
    <m/>
    <m/>
    <s v="SOLFIN"/>
    <s v="SOLFIN"/>
    <s v="CCMS"/>
    <n v="21327981"/>
    <n v="5656.38"/>
    <m/>
    <s v="N"/>
    <n v="10"/>
    <d v="2023-07-04T19:01:00"/>
    <s v="Y"/>
    <s v="Advocates Meeting"/>
    <s v="Public Law Children"/>
    <s v="Advocacy"/>
    <s v="HW"/>
    <s v="Y"/>
    <n v="140.99"/>
    <n v="28.2"/>
    <x v="1"/>
    <s v="VALIDATED"/>
    <n v="1"/>
    <s v="01.11.80.308.6100.0000"/>
    <n v="140.99"/>
    <s v="11"/>
    <s v="6100"/>
    <n v="24809.75"/>
    <n v="140.99"/>
    <s v="CREDITOR"/>
    <n v="0"/>
    <n v="0"/>
    <n v="0"/>
    <n v="0"/>
    <n v="140.99"/>
  </r>
  <r>
    <n v="60815703"/>
    <s v="N"/>
    <n v="21328116"/>
    <s v="3000015047580009"/>
    <s v="CIVIL"/>
    <d v="2023-06-26T00:00:00"/>
    <d v="2023-07-04T19:00:44"/>
    <m/>
    <d v="2023-07-04T00:00:00"/>
    <n v="1656"/>
    <n v="15"/>
    <s v="60815703"/>
    <s v="60815703"/>
    <m/>
    <m/>
    <n v="22761074"/>
    <m/>
    <m/>
    <m/>
    <s v="SOLFIN"/>
    <s v="SOLFIN"/>
    <s v="CCMS"/>
    <n v="21328116"/>
    <n v="7019.44"/>
    <m/>
    <s v="N"/>
    <n v="65"/>
    <d v="2023-07-04T19:01:05"/>
    <s v="Y"/>
    <s v="Preparation - drafting application"/>
    <s v="Prescribed Hourly Rates"/>
    <s v="Profit Cost"/>
    <s v="AT"/>
    <s v="Y"/>
    <n v="20.59"/>
    <n v="4.12"/>
    <x v="1"/>
    <s v="VALIDATED"/>
    <n v="1"/>
    <s v="01.11.80.307.6100.0000"/>
    <n v="20.59"/>
    <s v="11"/>
    <s v="6100"/>
    <n v="24809.75"/>
    <n v="20.59"/>
    <s v="CREDITOR"/>
    <n v="0"/>
    <n v="0"/>
    <n v="0"/>
    <n v="0"/>
    <n v="20.59"/>
  </r>
  <r>
    <n v="60815984"/>
    <s v="N"/>
    <n v="21327763"/>
    <s v="3000015048880001"/>
    <s v="CIVIL"/>
    <d v="2023-06-26T00:00:00"/>
    <d v="2023-07-04T19:00:44"/>
    <m/>
    <d v="2023-07-04T00:00:00"/>
    <n v="1656"/>
    <n v="15"/>
    <s v="60815984"/>
    <s v="60815984"/>
    <m/>
    <m/>
    <n v="22760376"/>
    <m/>
    <m/>
    <m/>
    <s v="SOLFIN"/>
    <s v="SOLFIN"/>
    <s v="CCMS"/>
    <n v="21327763"/>
    <n v="0"/>
    <m/>
    <s v="N"/>
    <n v="1"/>
    <d v="2023-07-04T19:00:54"/>
    <s v="N"/>
    <s v="NIL BILL"/>
    <s v="Prescribed Hourly Rates"/>
    <s v="Profit Cost"/>
    <s v="Anthony Theakston"/>
    <s v="N"/>
    <n v="0"/>
    <n v="0"/>
    <x v="1"/>
    <s v="VALIDATED"/>
    <n v="1"/>
    <s v="01.11.80.307.6100.0000"/>
    <n v="0"/>
    <s v="11"/>
    <s v="6100"/>
    <n v="24809.75"/>
    <n v="0"/>
    <s v="CREDITOR"/>
    <n v="0"/>
    <n v="0"/>
    <n v="0"/>
    <n v="0"/>
    <n v="0"/>
  </r>
  <r>
    <n v="61049069"/>
    <s v="N"/>
    <n v="21318381"/>
    <s v="3000015248580009"/>
    <s v="CIVIL"/>
    <d v="2023-06-15T00:00:00"/>
    <d v="2023-07-03T19:01:49"/>
    <m/>
    <d v="2023-07-03T00:00:00"/>
    <n v="1656"/>
    <n v="15"/>
    <s v="61049069"/>
    <s v="61049069"/>
    <m/>
    <m/>
    <n v="22701498"/>
    <m/>
    <m/>
    <m/>
    <s v="SOLFIN"/>
    <s v="SOLFIN"/>
    <s v="CCMS"/>
    <n v="21318381"/>
    <n v="8695.4"/>
    <m/>
    <s v="N"/>
    <n v="68"/>
    <d v="2023-07-03T19:01:54"/>
    <s v="Y"/>
    <s v="Routine Letter In"/>
    <s v="Prescribed Hourly Rates"/>
    <s v="Profit Cost"/>
    <s v="OB"/>
    <s v="Y"/>
    <n v="673.79"/>
    <n v="134.76"/>
    <x v="3"/>
    <s v="VALIDATED"/>
    <n v="1"/>
    <s v="01.11.80.307.6100.0000"/>
    <n v="673.79"/>
    <s v="11"/>
    <s v="6100"/>
    <n v="24809.75"/>
    <n v="673.79"/>
    <s v="CREDITOR"/>
    <n v="0"/>
    <n v="0"/>
    <n v="0"/>
    <n v="0"/>
    <n v="673.79"/>
  </r>
  <r>
    <n v="56437778"/>
    <s v="N"/>
    <n v="21350078"/>
    <s v="3000013430710007"/>
    <s v="CIVIL"/>
    <d v="2023-06-29T00:00:00"/>
    <d v="2023-07-10T19:01:40"/>
    <m/>
    <d v="2023-07-10T00:00:00"/>
    <n v="1656"/>
    <n v="15"/>
    <s v="56437778"/>
    <s v="56437778"/>
    <m/>
    <m/>
    <n v="22785264"/>
    <m/>
    <m/>
    <m/>
    <s v="SOLFIN"/>
    <s v="SOLFIN"/>
    <s v="CCMS"/>
    <n v="21350078"/>
    <n v="8978.99"/>
    <m/>
    <s v="N"/>
    <n v="17"/>
    <d v="2023-07-10T19:02:13"/>
    <s v="Y"/>
    <s v="Attendance upon client"/>
    <s v="Care Remuneration Hourly Rates"/>
    <s v="Profit Cost"/>
    <s v="KA"/>
    <s v="Y"/>
    <n v="24.18"/>
    <n v="4.84"/>
    <x v="2"/>
    <s v="VALIDATED"/>
    <n v="1"/>
    <s v="01.11.80.308.6100.0000"/>
    <n v="24.18"/>
    <s v="11"/>
    <s v="6100"/>
    <n v="24809.75"/>
    <n v="24.18"/>
    <s v="CREDITOR"/>
    <n v="0"/>
    <n v="0"/>
    <n v="0"/>
    <n v="0"/>
    <n v="24.18"/>
  </r>
  <r>
    <n v="61035075"/>
    <s v="N"/>
    <n v="21331005"/>
    <s v="3000015236260008"/>
    <s v="CIVIL"/>
    <d v="2023-06-23T00:00:00"/>
    <d v="2023-07-05T19:01:47"/>
    <m/>
    <d v="2023-07-05T00:00:00"/>
    <n v="1656"/>
    <n v="15"/>
    <s v="61035075"/>
    <s v="61035075"/>
    <m/>
    <m/>
    <n v="22755974"/>
    <m/>
    <m/>
    <m/>
    <s v="SOLFIN"/>
    <s v="SOLFIN"/>
    <s v="CCMS"/>
    <n v="21331005"/>
    <n v="13010.51"/>
    <m/>
    <s v="N"/>
    <n v="30"/>
    <d v="2023-07-05T19:02:01"/>
    <s v="Y"/>
    <s v="Preparation - other"/>
    <s v="Prescribed Hourly Rates"/>
    <s v="Profit Cost"/>
    <s v="OB"/>
    <s v="Y"/>
    <n v="31.84"/>
    <n v="6.37"/>
    <x v="6"/>
    <s v="VALIDATED"/>
    <n v="1"/>
    <s v="01.11.80.307.6100.0000"/>
    <n v="31.84"/>
    <s v="11"/>
    <s v="6100"/>
    <n v="24809.75"/>
    <n v="31.84"/>
    <s v="CREDITOR"/>
    <n v="0"/>
    <n v="0"/>
    <n v="0"/>
    <n v="0"/>
    <n v="31.84"/>
  </r>
  <r>
    <n v="61035075"/>
    <s v="N"/>
    <n v="21331005"/>
    <s v="3000015236260008"/>
    <s v="CIVIL"/>
    <d v="2023-06-23T00:00:00"/>
    <d v="2023-07-05T19:01:47"/>
    <m/>
    <d v="2023-07-05T00:00:00"/>
    <n v="1656"/>
    <n v="15"/>
    <s v="61035075"/>
    <s v="61035075"/>
    <m/>
    <m/>
    <n v="22755974"/>
    <m/>
    <m/>
    <m/>
    <s v="SOLFIN"/>
    <s v="SOLFIN"/>
    <s v="CCMS"/>
    <n v="21331005"/>
    <n v="13010.51"/>
    <m/>
    <s v="N"/>
    <n v="76"/>
    <d v="2023-07-05T19:02:01"/>
    <s v="Y"/>
    <s v="Preparation - drafting attendance n"/>
    <s v="Prescribed Hourly Rates"/>
    <s v="Profit Cost"/>
    <s v="OB"/>
    <s v="Y"/>
    <n v="31.84"/>
    <n v="6.37"/>
    <x v="6"/>
    <s v="VALIDATED"/>
    <n v="1"/>
    <s v="01.11.80.307.6100.0000"/>
    <n v="31.84"/>
    <s v="11"/>
    <s v="6100"/>
    <n v="24809.75"/>
    <n v="31.84"/>
    <s v="CREDITOR"/>
    <n v="0"/>
    <n v="0"/>
    <n v="0"/>
    <n v="0"/>
    <n v="31.84"/>
  </r>
  <r>
    <n v="61049069"/>
    <s v="N"/>
    <n v="21318381"/>
    <s v="3000015248580009"/>
    <s v="CIVIL"/>
    <d v="2023-06-15T00:00:00"/>
    <d v="2023-07-03T19:01:49"/>
    <m/>
    <d v="2023-07-03T00:00:00"/>
    <n v="1656"/>
    <n v="15"/>
    <s v="61049069"/>
    <s v="61049069"/>
    <m/>
    <m/>
    <n v="22701498"/>
    <m/>
    <m/>
    <m/>
    <s v="SOLFIN"/>
    <s v="SOLFIN"/>
    <s v="CCMS"/>
    <n v="21318381"/>
    <n v="8695.4"/>
    <m/>
    <s v="N"/>
    <n v="3"/>
    <d v="2023-07-03T19:01:54"/>
    <s v="Y"/>
    <s v="Court Fee"/>
    <s v="Prescribed Hourly Rates"/>
    <s v="Non Expert Disbursement"/>
    <s v="XXX"/>
    <s v="Y"/>
    <n v="167"/>
    <n v="0"/>
    <x v="3"/>
    <s v="VALIDATED"/>
    <n v="1"/>
    <s v="01.11.80.307.6300.0000"/>
    <n v="167"/>
    <s v="11"/>
    <s v="6300"/>
    <n v="24809.75"/>
    <n v="167"/>
    <s v="CREDITOR"/>
    <n v="0"/>
    <n v="0"/>
    <n v="0"/>
    <n v="0"/>
    <n v="167"/>
  </r>
  <r>
    <n v="61049069"/>
    <s v="N"/>
    <n v="21318381"/>
    <s v="3000015248580009"/>
    <s v="CIVIL"/>
    <d v="2023-06-15T00:00:00"/>
    <d v="2023-07-03T19:01:49"/>
    <m/>
    <d v="2023-07-03T00:00:00"/>
    <n v="1656"/>
    <n v="15"/>
    <s v="61049069"/>
    <s v="61049069"/>
    <m/>
    <m/>
    <n v="22701498"/>
    <m/>
    <m/>
    <m/>
    <s v="SOLFIN"/>
    <s v="SOLFIN"/>
    <s v="CCMS"/>
    <n v="21318381"/>
    <n v="8695.4"/>
    <m/>
    <s v="N"/>
    <n v="14"/>
    <d v="2023-07-03T19:01:54"/>
    <s v="Y"/>
    <s v="Preparation - drafting notice(s)"/>
    <s v="Prescribed Hourly Rates"/>
    <s v="Profit Cost"/>
    <s v="OB"/>
    <s v="Y"/>
    <n v="7.14"/>
    <n v="1.43"/>
    <x v="3"/>
    <s v="VALIDATED"/>
    <n v="1"/>
    <s v="01.11.80.307.6100.0000"/>
    <n v="7.14"/>
    <s v="11"/>
    <s v="6100"/>
    <n v="24809.75"/>
    <n v="7.14"/>
    <s v="CREDITOR"/>
    <n v="0"/>
    <n v="0"/>
    <n v="0"/>
    <n v="0"/>
    <n v="7.14"/>
  </r>
  <r>
    <n v="56437778"/>
    <s v="N"/>
    <n v="21350078"/>
    <s v="3000013430710007"/>
    <s v="CIVIL"/>
    <d v="2023-06-29T00:00:00"/>
    <d v="2023-07-10T19:01:40"/>
    <m/>
    <d v="2023-07-10T00:00:00"/>
    <n v="1656"/>
    <n v="15"/>
    <s v="56437778"/>
    <s v="56437778"/>
    <m/>
    <m/>
    <n v="22785264"/>
    <m/>
    <m/>
    <m/>
    <s v="SOLFIN"/>
    <s v="SOLFIN"/>
    <s v="CCMS"/>
    <n v="21350078"/>
    <n v="8978.99"/>
    <m/>
    <s v="N"/>
    <n v="68"/>
    <d v="2023-07-10T19:02:13"/>
    <s v="Y"/>
    <s v="Hearing Unit 1.01 - 2.30 Hours"/>
    <s v="Public Law Children"/>
    <s v="Advocacy"/>
    <s v="KA"/>
    <s v="Y"/>
    <n v="238.46"/>
    <n v="47.69"/>
    <x v="2"/>
    <s v="VALIDATED"/>
    <n v="1"/>
    <s v="01.11.80.308.6100.0000"/>
    <n v="238.46"/>
    <s v="11"/>
    <s v="6100"/>
    <n v="24809.75"/>
    <n v="238.46"/>
    <s v="CREDITOR"/>
    <n v="0"/>
    <n v="0"/>
    <n v="0"/>
    <n v="0"/>
    <n v="238.46"/>
  </r>
  <r>
    <n v="61035075"/>
    <s v="N"/>
    <n v="21331005"/>
    <s v="3000015236260008"/>
    <s v="CIVIL"/>
    <d v="2023-06-23T00:00:00"/>
    <d v="2023-07-05T19:01:47"/>
    <m/>
    <d v="2023-07-05T00:00:00"/>
    <n v="1656"/>
    <n v="15"/>
    <s v="61035075"/>
    <s v="61035075"/>
    <m/>
    <m/>
    <n v="22755974"/>
    <m/>
    <m/>
    <m/>
    <s v="SOLFIN"/>
    <s v="SOLFIN"/>
    <s v="CCMS"/>
    <n v="21331005"/>
    <n v="13010.51"/>
    <m/>
    <s v="N"/>
    <n v="57"/>
    <d v="2023-07-05T19:02:01"/>
    <s v="Y"/>
    <s v="Attendance upon client"/>
    <s v="Prescribed Hourly Rates"/>
    <s v="Profit Cost"/>
    <s v="OB"/>
    <s v="Y"/>
    <n v="15.92"/>
    <n v="3.18"/>
    <x v="6"/>
    <s v="VALIDATED"/>
    <n v="1"/>
    <s v="01.11.80.307.6100.0000"/>
    <n v="15.92"/>
    <s v="11"/>
    <s v="6100"/>
    <n v="24809.75"/>
    <n v="15.92"/>
    <s v="CREDITOR"/>
    <n v="0"/>
    <n v="0"/>
    <n v="0"/>
    <n v="0"/>
    <n v="15.92"/>
  </r>
  <r>
    <n v="61035075"/>
    <s v="N"/>
    <n v="21331005"/>
    <s v="3000015236260008"/>
    <s v="CIVIL"/>
    <d v="2023-06-23T00:00:00"/>
    <d v="2023-07-05T19:01:47"/>
    <m/>
    <d v="2023-07-05T00:00:00"/>
    <n v="1656"/>
    <n v="15"/>
    <s v="61035075"/>
    <s v="61035075"/>
    <m/>
    <m/>
    <n v="22755974"/>
    <m/>
    <m/>
    <m/>
    <s v="SOLFIN"/>
    <s v="SOLFIN"/>
    <s v="CCMS"/>
    <n v="21331005"/>
    <n v="13010.51"/>
    <m/>
    <s v="N"/>
    <n v="68"/>
    <d v="2023-07-05T19:02:01"/>
    <s v="Y"/>
    <s v="Attendance upon client"/>
    <s v="Prescribed Hourly Rates"/>
    <s v="Profit Cost"/>
    <s v="OB"/>
    <s v="Y"/>
    <n v="23.88"/>
    <n v="4.78"/>
    <x v="6"/>
    <s v="VALIDATED"/>
    <n v="1"/>
    <s v="01.11.80.307.6100.0000"/>
    <n v="23.88"/>
    <s v="11"/>
    <s v="6100"/>
    <n v="24809.75"/>
    <n v="23.88"/>
    <s v="CREDITOR"/>
    <n v="0"/>
    <n v="0"/>
    <n v="0"/>
    <n v="0"/>
    <n v="23.88"/>
  </r>
  <r>
    <n v="61279566"/>
    <s v="N"/>
    <n v="21318670"/>
    <s v="3000015441870007"/>
    <s v="CIVIL"/>
    <d v="2023-06-22T00:00:00"/>
    <d v="2023-07-03T19:01:49"/>
    <m/>
    <d v="2023-07-03T00:00:00"/>
    <n v="1656"/>
    <n v="15"/>
    <s v="61279566"/>
    <s v="61279566"/>
    <m/>
    <m/>
    <n v="22740892"/>
    <m/>
    <m/>
    <m/>
    <s v="SOLPOA"/>
    <s v="SOLPOA"/>
    <s v="CCMS"/>
    <n v="21318670"/>
    <n v="118.5"/>
    <m/>
    <s v="N"/>
    <n v="1"/>
    <d v="2023-07-03T19:02:01"/>
    <s v="N"/>
    <s v="Expert Cost"/>
    <s v="Expert Cost"/>
    <s v="Expert Disbursement"/>
    <s v="Charlotte Ellingham"/>
    <s v="N"/>
    <n v="98.75"/>
    <n v="19.75"/>
    <x v="3"/>
    <s v="VALIDATED"/>
    <n v="1"/>
    <s v="01.11.80.308.2012.0000"/>
    <n v="98.75"/>
    <s v="11"/>
    <s v="2012"/>
    <n v="24809.75"/>
    <n v="98.75"/>
    <s v="CREDITOR"/>
    <n v="98.75"/>
    <n v="0"/>
    <n v="0"/>
    <n v="0"/>
    <n v="0"/>
  </r>
  <r>
    <n v="61049069"/>
    <s v="N"/>
    <n v="21318381"/>
    <s v="3000015248580009"/>
    <s v="CIVIL"/>
    <d v="2023-06-15T00:00:00"/>
    <d v="2023-07-03T19:01:49"/>
    <m/>
    <d v="2023-07-03T00:00:00"/>
    <n v="1656"/>
    <n v="15"/>
    <s v="61049069"/>
    <s v="61049069"/>
    <m/>
    <m/>
    <n v="22701498"/>
    <m/>
    <m/>
    <m/>
    <s v="SOLFIN"/>
    <s v="SOLFIN"/>
    <s v="CCMS"/>
    <n v="21318381"/>
    <n v="8695.4"/>
    <m/>
    <s v="N"/>
    <n v="60"/>
    <d v="2023-07-03T19:01:54"/>
    <s v="Y"/>
    <s v="Attendance upon court"/>
    <s v="Prescribed Hourly Rates"/>
    <s v="Profit Cost"/>
    <s v="OB"/>
    <s v="Y"/>
    <n v="85.64"/>
    <n v="17.13"/>
    <x v="3"/>
    <s v="VALIDATED"/>
    <n v="1"/>
    <s v="01.11.80.307.6100.0000"/>
    <n v="85.64"/>
    <s v="11"/>
    <s v="6100"/>
    <n v="24809.75"/>
    <n v="85.64"/>
    <s v="CREDITOR"/>
    <n v="0"/>
    <n v="0"/>
    <n v="0"/>
    <n v="0"/>
    <n v="85.64"/>
  </r>
  <r>
    <n v="61049069"/>
    <s v="N"/>
    <n v="21318381"/>
    <s v="3000015248580009"/>
    <s v="CIVIL"/>
    <d v="2023-06-15T00:00:00"/>
    <d v="2023-07-03T19:01:49"/>
    <m/>
    <d v="2023-07-03T00:00:00"/>
    <n v="1656"/>
    <n v="15"/>
    <s v="61049069"/>
    <s v="61049069"/>
    <m/>
    <m/>
    <n v="22701498"/>
    <m/>
    <m/>
    <m/>
    <s v="SOLFIN"/>
    <s v="SOLFIN"/>
    <s v="CCMS"/>
    <n v="21318381"/>
    <n v="8695.4"/>
    <m/>
    <s v="N"/>
    <n v="25"/>
    <d v="2023-07-03T19:01:54"/>
    <s v="Y"/>
    <s v="Preparation - other"/>
    <s v="Prescribed Hourly Rates"/>
    <s v="Profit Cost"/>
    <s v="OB"/>
    <s v="Y"/>
    <n v="7.14"/>
    <n v="1.43"/>
    <x v="3"/>
    <s v="VALIDATED"/>
    <n v="1"/>
    <s v="01.11.80.307.6100.0000"/>
    <n v="7.14"/>
    <s v="11"/>
    <s v="6100"/>
    <n v="24809.75"/>
    <n v="7.14"/>
    <s v="CREDITOR"/>
    <n v="0"/>
    <n v="0"/>
    <n v="0"/>
    <n v="0"/>
    <n v="7.14"/>
  </r>
  <r>
    <n v="56437778"/>
    <s v="N"/>
    <n v="21350078"/>
    <s v="3000013430710007"/>
    <s v="CIVIL"/>
    <d v="2023-06-29T00:00:00"/>
    <d v="2023-07-10T19:01:40"/>
    <m/>
    <d v="2023-07-10T00:00:00"/>
    <n v="1656"/>
    <n v="15"/>
    <s v="56437778"/>
    <s v="56437778"/>
    <m/>
    <m/>
    <n v="22785264"/>
    <m/>
    <m/>
    <m/>
    <s v="SOLFIN"/>
    <s v="SOLFIN"/>
    <s v="CCMS"/>
    <n v="21350078"/>
    <n v="8978.99"/>
    <m/>
    <s v="N"/>
    <n v="35"/>
    <d v="2023-07-10T19:02:13"/>
    <s v="Y"/>
    <s v="Preparation - drafting consent orde"/>
    <s v="Care Remuneration Hourly Rates"/>
    <s v="Profit Cost"/>
    <s v="KA"/>
    <s v="Y"/>
    <n v="6.05"/>
    <n v="1.21"/>
    <x v="2"/>
    <s v="VALIDATED"/>
    <n v="1"/>
    <s v="01.11.80.308.6100.0000"/>
    <n v="6.05"/>
    <s v="11"/>
    <s v="6100"/>
    <n v="24809.75"/>
    <n v="6.05"/>
    <s v="CREDITOR"/>
    <n v="0"/>
    <n v="0"/>
    <n v="0"/>
    <n v="0"/>
    <n v="6.05"/>
  </r>
  <r>
    <n v="56437778"/>
    <s v="N"/>
    <n v="21350078"/>
    <s v="3000013430710007"/>
    <s v="CIVIL"/>
    <d v="2023-06-29T00:00:00"/>
    <d v="2023-07-10T19:01:40"/>
    <m/>
    <d v="2023-07-10T00:00:00"/>
    <n v="1656"/>
    <n v="15"/>
    <s v="56437778"/>
    <s v="56437778"/>
    <m/>
    <m/>
    <n v="22785264"/>
    <m/>
    <m/>
    <m/>
    <s v="SOLFIN"/>
    <s v="SOLFIN"/>
    <s v="CCMS"/>
    <n v="21350078"/>
    <n v="8978.99"/>
    <m/>
    <s v="N"/>
    <n v="73"/>
    <d v="2023-07-10T19:02:13"/>
    <s v="Y"/>
    <s v="Final Hearing Court Bundle/Advocate"/>
    <s v="Public Law Children"/>
    <s v="Advocacy"/>
    <s v="KA"/>
    <s v="Y"/>
    <n v="159.3"/>
    <n v="31.86"/>
    <x v="2"/>
    <s v="VALIDATED"/>
    <n v="1"/>
    <s v="01.11.80.308.6100.0000"/>
    <n v="159.3"/>
    <s v="11"/>
    <s v="6100"/>
    <n v="24809.75"/>
    <n v="159.3"/>
    <s v="CREDITOR"/>
    <n v="0"/>
    <n v="0"/>
    <n v="0"/>
    <n v="0"/>
    <n v="159.3"/>
  </r>
  <r>
    <n v="56437778"/>
    <s v="N"/>
    <n v="21350078"/>
    <s v="3000013430710007"/>
    <s v="CIVIL"/>
    <d v="2023-06-29T00:00:00"/>
    <d v="2023-07-10T19:01:40"/>
    <m/>
    <d v="2023-07-10T00:00:00"/>
    <n v="1656"/>
    <n v="15"/>
    <s v="56437778"/>
    <s v="56437778"/>
    <m/>
    <m/>
    <n v="22785264"/>
    <m/>
    <m/>
    <m/>
    <s v="SOLFIN"/>
    <s v="SOLFIN"/>
    <s v="CCMS"/>
    <n v="21350078"/>
    <n v="8978.99"/>
    <m/>
    <s v="N"/>
    <n v="16"/>
    <d v="2023-07-10T19:02:13"/>
    <s v="Y"/>
    <s v="Preparation - drafting application"/>
    <s v="Care Remuneration Hourly Rates"/>
    <s v="Profit Cost"/>
    <s v="CD"/>
    <s v="Y"/>
    <n v="5.26"/>
    <n v="1.05"/>
    <x v="2"/>
    <s v="VALIDATED"/>
    <n v="1"/>
    <s v="01.11.80.308.6100.0000"/>
    <n v="5.26"/>
    <s v="11"/>
    <s v="6100"/>
    <n v="24809.75"/>
    <n v="5.26"/>
    <s v="CREDITOR"/>
    <n v="0"/>
    <n v="0"/>
    <n v="0"/>
    <n v="0"/>
    <n v="5.26"/>
  </r>
  <r>
    <n v="61035075"/>
    <s v="N"/>
    <n v="21331005"/>
    <s v="3000015236260008"/>
    <s v="CIVIL"/>
    <d v="2023-06-23T00:00:00"/>
    <d v="2023-07-05T19:01:47"/>
    <m/>
    <d v="2023-07-05T00:00:00"/>
    <n v="1656"/>
    <n v="15"/>
    <s v="61035075"/>
    <s v="61035075"/>
    <m/>
    <m/>
    <n v="22755974"/>
    <m/>
    <m/>
    <m/>
    <s v="SOLFIN"/>
    <s v="SOLFIN"/>
    <s v="CCMS"/>
    <n v="21331005"/>
    <n v="13010.51"/>
    <m/>
    <s v="N"/>
    <n v="9"/>
    <d v="2023-07-05T19:02:01"/>
    <s v="Y"/>
    <s v="Attendance upon client"/>
    <s v="Prescribed Hourly Rates"/>
    <s v="Profit Cost"/>
    <s v="OB"/>
    <s v="Y"/>
    <n v="23.88"/>
    <n v="4.78"/>
    <x v="6"/>
    <s v="VALIDATED"/>
    <n v="1"/>
    <s v="01.11.80.307.6100.0000"/>
    <n v="23.88"/>
    <s v="11"/>
    <s v="6100"/>
    <n v="24809.75"/>
    <n v="23.88"/>
    <s v="CREDITOR"/>
    <n v="0"/>
    <n v="0"/>
    <n v="0"/>
    <n v="0"/>
    <n v="23.88"/>
  </r>
  <r>
    <n v="61035075"/>
    <s v="N"/>
    <n v="21331005"/>
    <s v="3000015236260008"/>
    <s v="CIVIL"/>
    <d v="2023-06-23T00:00:00"/>
    <d v="2023-07-05T19:01:47"/>
    <m/>
    <d v="2023-07-05T00:00:00"/>
    <n v="1656"/>
    <n v="15"/>
    <s v="61035075"/>
    <s v="61035075"/>
    <m/>
    <m/>
    <n v="22755974"/>
    <m/>
    <m/>
    <m/>
    <s v="SOLFIN"/>
    <s v="SOLFIN"/>
    <s v="CCMS"/>
    <n v="21331005"/>
    <n v="13010.51"/>
    <m/>
    <s v="N"/>
    <n v="55"/>
    <d v="2023-07-05T19:02:01"/>
    <s v="Y"/>
    <s v="Travel to court"/>
    <s v="Prescribed Hourly Rates"/>
    <s v="Profit Cost"/>
    <s v="OB"/>
    <s v="Y"/>
    <n v="51.34"/>
    <n v="10.27"/>
    <x v="6"/>
    <s v="VALIDATED"/>
    <n v="1"/>
    <s v="01.11.80.307.6100.0000"/>
    <n v="51.34"/>
    <s v="11"/>
    <s v="6100"/>
    <n v="24809.75"/>
    <n v="51.34"/>
    <s v="CREDITOR"/>
    <n v="0"/>
    <n v="0"/>
    <n v="0"/>
    <n v="0"/>
    <n v="51.34"/>
  </r>
  <r>
    <n v="61035075"/>
    <s v="N"/>
    <n v="21331005"/>
    <s v="3000015236260008"/>
    <s v="CIVIL"/>
    <d v="2023-06-23T00:00:00"/>
    <d v="2023-07-05T19:01:47"/>
    <m/>
    <d v="2023-07-05T00:00:00"/>
    <n v="1656"/>
    <n v="15"/>
    <s v="61035075"/>
    <s v="61035075"/>
    <m/>
    <m/>
    <n v="22755974"/>
    <m/>
    <m/>
    <m/>
    <s v="SOLFIN"/>
    <s v="SOLFIN"/>
    <s v="CCMS"/>
    <n v="21331005"/>
    <n v="13010.51"/>
    <m/>
    <s v="N"/>
    <n v="48"/>
    <d v="2023-07-05T19:02:01"/>
    <s v="Y"/>
    <s v="Attendance upon client"/>
    <s v="Prescribed Hourly Rates"/>
    <s v="Profit Cost"/>
    <s v="OB"/>
    <s v="Y"/>
    <n v="15.92"/>
    <n v="3.18"/>
    <x v="6"/>
    <s v="VALIDATED"/>
    <n v="1"/>
    <s v="01.11.80.307.6100.0000"/>
    <n v="15.92"/>
    <s v="11"/>
    <s v="6100"/>
    <n v="24809.75"/>
    <n v="15.92"/>
    <s v="CREDITOR"/>
    <n v="0"/>
    <n v="0"/>
    <n v="0"/>
    <n v="0"/>
    <n v="15.92"/>
  </r>
  <r>
    <n v="61059951"/>
    <s v="N"/>
    <n v="21327981"/>
    <s v="3000015257840011"/>
    <s v="CIVIL"/>
    <d v="2023-06-26T00:00:00"/>
    <d v="2023-07-04T19:00:44"/>
    <m/>
    <d v="2023-07-04T00:00:00"/>
    <n v="1656"/>
    <n v="15"/>
    <s v="61059951"/>
    <s v="61059951"/>
    <m/>
    <m/>
    <n v="22757692"/>
    <m/>
    <m/>
    <m/>
    <s v="SOLFIN"/>
    <s v="SOLFIN"/>
    <s v="CCMS"/>
    <n v="21327981"/>
    <n v="5656.38"/>
    <m/>
    <s v="N"/>
    <n v="1"/>
    <d v="2023-07-04T19:01:00"/>
    <s v="Y"/>
    <s v="Solicitors Fixed Fee"/>
    <s v="Public Law Children"/>
    <s v="Profit Cost"/>
    <s v="XXX"/>
    <s v="Y"/>
    <n v="1911"/>
    <n v="382.2"/>
    <x v="1"/>
    <s v="VALIDATED"/>
    <n v="1"/>
    <s v="01.11.80.308.6100.0000"/>
    <n v="1911"/>
    <s v="11"/>
    <s v="6100"/>
    <n v="24809.75"/>
    <n v="1911"/>
    <s v="CREDITOR"/>
    <n v="0"/>
    <n v="0"/>
    <n v="0"/>
    <n v="0"/>
    <n v="1911"/>
  </r>
  <r>
    <n v="59411845"/>
    <s v="N"/>
    <n v="21328190"/>
    <s v="3000013854850006"/>
    <s v="CIVIL"/>
    <d v="2023-06-26T00:00:00"/>
    <d v="2023-07-04T19:00:44"/>
    <m/>
    <d v="2023-07-04T00:00:00"/>
    <n v="1656"/>
    <n v="15"/>
    <s v="59411845"/>
    <s v="59411845"/>
    <m/>
    <m/>
    <n v="22764268"/>
    <m/>
    <m/>
    <m/>
    <s v="SOLFIN"/>
    <s v="SOLFIN"/>
    <s v="CCMS"/>
    <n v="21328190"/>
    <n v="3208.74"/>
    <m/>
    <s v="N"/>
    <n v="2"/>
    <d v="2023-07-04T19:01:07"/>
    <s v="Y"/>
    <s v="Toxicologist"/>
    <s v="Public Law Children"/>
    <s v="Expert Disbursement"/>
    <s v="XXX"/>
    <s v="Y"/>
    <n v="253.5"/>
    <n v="50.7"/>
    <x v="1"/>
    <s v="VALIDATED"/>
    <n v="1"/>
    <s v="01.11.80.308.6300.0000"/>
    <n v="253.5"/>
    <s v="11"/>
    <s v="6300"/>
    <n v="24809.75"/>
    <n v="253.5"/>
    <s v="CREDITOR"/>
    <n v="0"/>
    <n v="0"/>
    <n v="0"/>
    <n v="0"/>
    <n v="253.5"/>
  </r>
  <r>
    <n v="61049069"/>
    <s v="N"/>
    <n v="21318381"/>
    <s v="3000015248580009"/>
    <s v="CIVIL"/>
    <d v="2023-06-15T00:00:00"/>
    <d v="2023-07-03T19:01:49"/>
    <m/>
    <d v="2023-07-03T00:00:00"/>
    <n v="1656"/>
    <n v="15"/>
    <s v="61049069"/>
    <s v="61049069"/>
    <m/>
    <m/>
    <n v="22701498"/>
    <m/>
    <m/>
    <m/>
    <s v="SOLFIN"/>
    <s v="SOLFIN"/>
    <s v="CCMS"/>
    <n v="21318381"/>
    <n v="8695.4"/>
    <m/>
    <s v="N"/>
    <n v="48"/>
    <d v="2023-07-03T19:01:54"/>
    <s v="Y"/>
    <s v="Preparation - other"/>
    <s v="Prescribed Hourly Rates"/>
    <s v="Profit Cost"/>
    <s v="OB"/>
    <s v="Y"/>
    <n v="71.37"/>
    <n v="14.27"/>
    <x v="3"/>
    <s v="VALIDATED"/>
    <n v="1"/>
    <s v="01.11.80.307.6100.0000"/>
    <n v="71.37"/>
    <s v="11"/>
    <s v="6100"/>
    <n v="24809.75"/>
    <n v="71.37"/>
    <s v="CREDITOR"/>
    <n v="0"/>
    <n v="0"/>
    <n v="0"/>
    <n v="0"/>
    <n v="71.37"/>
  </r>
  <r>
    <n v="61049069"/>
    <s v="N"/>
    <n v="21318381"/>
    <s v="3000015248580009"/>
    <s v="CIVIL"/>
    <d v="2023-06-15T00:00:00"/>
    <d v="2023-07-03T19:01:49"/>
    <m/>
    <d v="2023-07-03T00:00:00"/>
    <n v="1656"/>
    <n v="15"/>
    <s v="61049069"/>
    <s v="61049069"/>
    <m/>
    <m/>
    <n v="22701498"/>
    <m/>
    <m/>
    <m/>
    <s v="SOLFIN"/>
    <s v="SOLFIN"/>
    <s v="CCMS"/>
    <n v="21318381"/>
    <n v="8695.4"/>
    <m/>
    <s v="N"/>
    <n v="2"/>
    <d v="2023-07-03T19:01:54"/>
    <s v="Y"/>
    <s v="Solicitor Travel Expenses"/>
    <s v="Prescribed Hourly Rates"/>
    <s v="Non Expert Disbursement"/>
    <s v="OB"/>
    <s v="Y"/>
    <n v="9.27"/>
    <n v="1.85"/>
    <x v="3"/>
    <s v="VALIDATED"/>
    <n v="1"/>
    <s v="01.11.80.307.6300.0000"/>
    <n v="9.27"/>
    <s v="11"/>
    <s v="6300"/>
    <n v="24809.75"/>
    <n v="9.27"/>
    <s v="CREDITOR"/>
    <n v="0"/>
    <n v="0"/>
    <n v="0"/>
    <n v="0"/>
    <n v="9.27"/>
  </r>
  <r>
    <n v="56437778"/>
    <s v="N"/>
    <n v="21350078"/>
    <s v="3000013430710007"/>
    <s v="CIVIL"/>
    <d v="2023-06-29T00:00:00"/>
    <d v="2023-07-10T19:01:40"/>
    <m/>
    <d v="2023-07-10T00:00:00"/>
    <n v="1656"/>
    <n v="15"/>
    <s v="56437778"/>
    <s v="56437778"/>
    <m/>
    <m/>
    <n v="22785264"/>
    <m/>
    <m/>
    <m/>
    <s v="SOLFIN"/>
    <s v="SOLFIN"/>
    <s v="CCMS"/>
    <n v="21350078"/>
    <n v="8978.99"/>
    <m/>
    <s v="N"/>
    <n v="52"/>
    <d v="2023-07-10T19:02:13"/>
    <s v="Y"/>
    <s v="Preparation - drafting consent orde"/>
    <s v="Care Remuneration Hourly Rates"/>
    <s v="Profit Cost"/>
    <s v="KA"/>
    <s v="Y"/>
    <n v="6.05"/>
    <n v="1.21"/>
    <x v="2"/>
    <s v="VALIDATED"/>
    <n v="1"/>
    <s v="01.11.80.308.6100.0000"/>
    <n v="6.05"/>
    <s v="11"/>
    <s v="6100"/>
    <n v="24809.75"/>
    <n v="6.05"/>
    <s v="CREDITOR"/>
    <n v="0"/>
    <n v="0"/>
    <n v="0"/>
    <n v="0"/>
    <n v="6.05"/>
  </r>
  <r>
    <n v="61035075"/>
    <s v="N"/>
    <n v="21331005"/>
    <s v="3000015236260008"/>
    <s v="CIVIL"/>
    <d v="2023-06-23T00:00:00"/>
    <d v="2023-07-05T19:01:47"/>
    <m/>
    <d v="2023-07-05T00:00:00"/>
    <n v="1656"/>
    <n v="15"/>
    <s v="61035075"/>
    <s v="61035075"/>
    <m/>
    <m/>
    <n v="22755974"/>
    <m/>
    <m/>
    <m/>
    <s v="SOLFIN"/>
    <s v="SOLFIN"/>
    <s v="CCMS"/>
    <n v="21331005"/>
    <n v="13010.51"/>
    <m/>
    <s v="N"/>
    <n v="21"/>
    <d v="2023-07-05T19:02:01"/>
    <s v="Y"/>
    <s v="Preparation - drafting application"/>
    <s v="Prescribed Hourly Rates"/>
    <s v="Profit Cost"/>
    <s v="JW"/>
    <s v="Y"/>
    <n v="5.49"/>
    <n v="1.1"/>
    <x v="6"/>
    <s v="VALIDATED"/>
    <n v="1"/>
    <s v="01.11.80.307.6100.0000"/>
    <n v="5.49"/>
    <s v="11"/>
    <s v="6100"/>
    <n v="24809.75"/>
    <n v="5.49"/>
    <s v="CREDITOR"/>
    <n v="0"/>
    <n v="0"/>
    <n v="0"/>
    <n v="0"/>
    <n v="5.49"/>
  </r>
  <r>
    <n v="61049069"/>
    <s v="N"/>
    <n v="21318381"/>
    <s v="3000015248580009"/>
    <s v="CIVIL"/>
    <d v="2023-06-15T00:00:00"/>
    <d v="2023-07-03T19:01:49"/>
    <m/>
    <d v="2023-07-03T00:00:00"/>
    <n v="1656"/>
    <n v="15"/>
    <s v="61049069"/>
    <s v="61049069"/>
    <m/>
    <m/>
    <n v="22701498"/>
    <m/>
    <m/>
    <m/>
    <s v="SOLFIN"/>
    <s v="SOLFIN"/>
    <s v="CCMS"/>
    <n v="21318381"/>
    <n v="8695.4"/>
    <m/>
    <s v="N"/>
    <n v="5"/>
    <d v="2023-07-03T19:01:54"/>
    <s v="Y"/>
    <s v="Police Records"/>
    <s v="Prescribed Hourly Rates"/>
    <s v="Non Expert Disbursement"/>
    <s v="XXX"/>
    <s v="Y"/>
    <n v="208"/>
    <n v="0"/>
    <x v="3"/>
    <s v="VALIDATED"/>
    <n v="1"/>
    <s v="01.11.80.307.6300.0000"/>
    <n v="208"/>
    <s v="11"/>
    <s v="6300"/>
    <n v="24809.75"/>
    <n v="208"/>
    <s v="CREDITOR"/>
    <n v="0"/>
    <n v="0"/>
    <n v="0"/>
    <n v="0"/>
    <n v="208"/>
  </r>
  <r>
    <n v="60815703"/>
    <s v="N"/>
    <n v="21328116"/>
    <s v="3000015047580009"/>
    <s v="CIVIL"/>
    <d v="2023-06-26T00:00:00"/>
    <d v="2023-07-04T19:00:44"/>
    <m/>
    <d v="2023-07-04T00:00:00"/>
    <n v="1656"/>
    <n v="15"/>
    <s v="60815703"/>
    <s v="60815703"/>
    <m/>
    <m/>
    <n v="22761074"/>
    <m/>
    <m/>
    <m/>
    <s v="SOLFIN"/>
    <s v="SOLFIN"/>
    <s v="CCMS"/>
    <n v="21328116"/>
    <n v="7019.44"/>
    <m/>
    <s v="N"/>
    <n v="41"/>
    <d v="2023-07-04T19:01:05"/>
    <s v="Y"/>
    <s v="Travel to court"/>
    <s v="Prescribed Hourly Rates"/>
    <s v="Profit Cost"/>
    <s v="AT"/>
    <s v="Y"/>
    <n v="51.34"/>
    <n v="10.27"/>
    <x v="1"/>
    <s v="VALIDATED"/>
    <n v="1"/>
    <s v="01.11.80.307.6100.0000"/>
    <n v="51.34"/>
    <s v="11"/>
    <s v="6100"/>
    <n v="24809.75"/>
    <n v="51.34"/>
    <s v="CREDITOR"/>
    <n v="0"/>
    <n v="0"/>
    <n v="0"/>
    <n v="0"/>
    <n v="51.34"/>
  </r>
  <r>
    <n v="62047793"/>
    <s v="N"/>
    <n v="21318681"/>
    <s v="3000016082470001"/>
    <s v="CIVIL"/>
    <d v="2023-06-22T00:00:00"/>
    <d v="2023-07-03T19:01:49"/>
    <m/>
    <d v="2023-07-03T00:00:00"/>
    <n v="1656"/>
    <n v="15"/>
    <s v="62047793"/>
    <s v="62047793"/>
    <m/>
    <m/>
    <n v="22743252"/>
    <m/>
    <m/>
    <m/>
    <s v="SOLPOA"/>
    <s v="SOLPOA"/>
    <s v="CCMS"/>
    <n v="21318681"/>
    <n v="100.02"/>
    <m/>
    <s v="N"/>
    <n v="1"/>
    <d v="2023-07-03T19:02:01"/>
    <s v="N"/>
    <s v="Expert Cost"/>
    <s v="Expert Cost"/>
    <s v="Expert Disbursement"/>
    <s v="Charlotte Ellingham"/>
    <s v="N"/>
    <n v="83.34999999999999"/>
    <n v="16.67"/>
    <x v="3"/>
    <s v="VALIDATED"/>
    <n v="1"/>
    <s v="01.11.80.308.2012.0000"/>
    <n v="83.34999999999999"/>
    <s v="11"/>
    <s v="2012"/>
    <n v="24809.75"/>
    <n v="83.34999999999999"/>
    <s v="CREDITOR"/>
    <n v="83.34999999999999"/>
    <n v="0"/>
    <n v="0"/>
    <n v="0"/>
    <n v="0"/>
  </r>
  <r>
    <n v="61049069"/>
    <s v="N"/>
    <n v="21318381"/>
    <s v="3000015248580009"/>
    <s v="CIVIL"/>
    <d v="2023-06-15T00:00:00"/>
    <d v="2023-07-03T19:01:49"/>
    <m/>
    <d v="2023-07-03T00:00:00"/>
    <n v="1656"/>
    <n v="15"/>
    <s v="61049069"/>
    <s v="61049069"/>
    <m/>
    <m/>
    <n v="22701498"/>
    <m/>
    <m/>
    <m/>
    <s v="SOLFIN"/>
    <s v="SOLFIN"/>
    <s v="CCMS"/>
    <n v="21318381"/>
    <n v="8695.4"/>
    <m/>
    <s v="N"/>
    <n v="61"/>
    <d v="2023-07-03T19:01:54"/>
    <s v="Y"/>
    <s v="Advocacy - Final Hearing"/>
    <s v="Prescribed Hourly Rates"/>
    <s v="Advocacy"/>
    <s v="OB"/>
    <s v="Y"/>
    <n v="22.11"/>
    <n v="4.42"/>
    <x v="3"/>
    <s v="VALIDATED"/>
    <n v="1"/>
    <s v="01.11.80.307.6100.0000"/>
    <n v="22.11"/>
    <s v="11"/>
    <s v="6100"/>
    <n v="24809.75"/>
    <n v="22.11"/>
    <s v="CREDITOR"/>
    <n v="0"/>
    <n v="0"/>
    <n v="0"/>
    <n v="0"/>
    <n v="22.11"/>
  </r>
  <r>
    <n v="56437778"/>
    <s v="N"/>
    <n v="21350078"/>
    <s v="3000013430710007"/>
    <s v="CIVIL"/>
    <d v="2023-06-29T00:00:00"/>
    <d v="2023-07-10T19:01:40"/>
    <m/>
    <d v="2023-07-10T00:00:00"/>
    <n v="1656"/>
    <n v="15"/>
    <s v="56437778"/>
    <s v="56437778"/>
    <m/>
    <m/>
    <n v="22785264"/>
    <m/>
    <m/>
    <m/>
    <s v="SOLFIN"/>
    <s v="SOLFIN"/>
    <s v="CCMS"/>
    <n v="21350078"/>
    <n v="8978.99"/>
    <m/>
    <s v="N"/>
    <n v="63"/>
    <d v="2023-07-10T19:02:13"/>
    <s v="Y"/>
    <s v="Psychiatrist"/>
    <s v="Care Remuneration Hourly Rates"/>
    <s v="Expert Disbursement"/>
    <s v="XXX"/>
    <s v="Y"/>
    <n v="210.44"/>
    <n v="42.09"/>
    <x v="2"/>
    <s v="VALIDATED"/>
    <n v="1"/>
    <s v="01.11.80.308.6300.0000"/>
    <n v="210.44"/>
    <s v="11"/>
    <s v="6300"/>
    <n v="24809.75"/>
    <n v="210.44"/>
    <s v="CREDITOR"/>
    <n v="0"/>
    <n v="0"/>
    <n v="0"/>
    <n v="0"/>
    <n v="210.44"/>
  </r>
  <r>
    <n v="61035075"/>
    <s v="N"/>
    <n v="21331005"/>
    <s v="3000015236260008"/>
    <s v="CIVIL"/>
    <d v="2023-06-23T00:00:00"/>
    <d v="2023-07-05T19:01:47"/>
    <m/>
    <d v="2023-07-05T00:00:00"/>
    <n v="1656"/>
    <n v="15"/>
    <s v="61035075"/>
    <s v="61035075"/>
    <m/>
    <m/>
    <n v="22755974"/>
    <m/>
    <m/>
    <m/>
    <s v="SOLFIN"/>
    <s v="SOLFIN"/>
    <s v="CCMS"/>
    <n v="21331005"/>
    <n v="13010.51"/>
    <m/>
    <s v="N"/>
    <n v="80"/>
    <d v="2023-07-05T19:02:01"/>
    <s v="Y"/>
    <s v="Preparation - drafting instructions"/>
    <s v="Prescribed Hourly Rates"/>
    <s v="Profit Cost"/>
    <s v="OB"/>
    <s v="Y"/>
    <n v="7.96"/>
    <n v="1.59"/>
    <x v="6"/>
    <s v="VALIDATED"/>
    <n v="1"/>
    <s v="01.11.80.307.6100.0000"/>
    <n v="7.96"/>
    <s v="11"/>
    <s v="6100"/>
    <n v="24809.75"/>
    <n v="7.96"/>
    <s v="CREDITOR"/>
    <n v="0"/>
    <n v="0"/>
    <n v="0"/>
    <n v="0"/>
    <n v="7.96"/>
  </r>
  <r>
    <n v="61059951"/>
    <s v="N"/>
    <n v="21327981"/>
    <s v="3000015257840011"/>
    <s v="CIVIL"/>
    <d v="2023-06-26T00:00:00"/>
    <d v="2023-07-04T19:00:44"/>
    <m/>
    <d v="2023-07-04T00:00:00"/>
    <n v="1656"/>
    <n v="15"/>
    <s v="61059951"/>
    <s v="61059951"/>
    <m/>
    <m/>
    <n v="22757692"/>
    <m/>
    <m/>
    <m/>
    <s v="SOLFIN"/>
    <s v="SOLFIN"/>
    <s v="CCMS"/>
    <n v="21327981"/>
    <n v="5656.38"/>
    <m/>
    <s v="N"/>
    <n v="2"/>
    <d v="2023-07-04T19:01:00"/>
    <s v="Y"/>
    <s v="GP (records report)"/>
    <s v="Public Law Children"/>
    <s v="Expert Disbursement"/>
    <s v="XXX"/>
    <s v="Y"/>
    <n v="50.4"/>
    <n v="0"/>
    <x v="1"/>
    <s v="VALIDATED"/>
    <n v="1"/>
    <s v="01.11.80.308.6300.0000"/>
    <n v="50.4"/>
    <s v="11"/>
    <s v="6300"/>
    <n v="24809.75"/>
    <n v="50.4"/>
    <s v="CREDITOR"/>
    <n v="0"/>
    <n v="0"/>
    <n v="0"/>
    <n v="0"/>
    <n v="50.4"/>
  </r>
  <r>
    <n v="60815703"/>
    <s v="N"/>
    <n v="21328116"/>
    <s v="3000015047580009"/>
    <s v="CIVIL"/>
    <d v="2023-06-26T00:00:00"/>
    <d v="2023-07-04T19:00:44"/>
    <m/>
    <d v="2023-07-04T00:00:00"/>
    <n v="1656"/>
    <n v="15"/>
    <s v="60815703"/>
    <s v="60815703"/>
    <m/>
    <m/>
    <n v="22761074"/>
    <m/>
    <m/>
    <m/>
    <s v="SOLFIN"/>
    <s v="SOLFIN"/>
    <s v="CCMS"/>
    <n v="21328116"/>
    <n v="7019.44"/>
    <m/>
    <s v="N"/>
    <n v="68"/>
    <d v="2023-07-04T19:01:05"/>
    <s v="Y"/>
    <s v="Preparation - drafting statement"/>
    <s v="Prescribed Hourly Rates"/>
    <s v="Profit Cost"/>
    <s v="AT"/>
    <s v="Y"/>
    <n v="6.86"/>
    <n v="1.37"/>
    <x v="1"/>
    <s v="VALIDATED"/>
    <n v="1"/>
    <s v="01.11.80.307.6100.0000"/>
    <n v="6.86"/>
    <s v="11"/>
    <s v="6100"/>
    <n v="24809.75"/>
    <n v="6.86"/>
    <s v="CREDITOR"/>
    <n v="0"/>
    <n v="0"/>
    <n v="0"/>
    <n v="0"/>
    <n v="6.86"/>
  </r>
  <r>
    <n v="61049069"/>
    <s v="N"/>
    <n v="21318381"/>
    <s v="3000015248580009"/>
    <s v="CIVIL"/>
    <d v="2023-06-15T00:00:00"/>
    <d v="2023-07-03T19:01:49"/>
    <m/>
    <d v="2023-07-03T00:00:00"/>
    <n v="1656"/>
    <n v="15"/>
    <s v="61049069"/>
    <s v="61049069"/>
    <m/>
    <m/>
    <n v="22701498"/>
    <m/>
    <m/>
    <m/>
    <s v="SOLFIN"/>
    <s v="SOLFIN"/>
    <s v="CCMS"/>
    <n v="21318381"/>
    <n v="8695.4"/>
    <m/>
    <s v="N"/>
    <n v="45"/>
    <d v="2023-07-03T19:01:54"/>
    <s v="Y"/>
    <s v="Preparation - other"/>
    <s v="Prescribed Hourly Rates"/>
    <s v="Profit Cost"/>
    <s v="OB"/>
    <s v="Y"/>
    <n v="128.47"/>
    <n v="25.69"/>
    <x v="3"/>
    <s v="VALIDATED"/>
    <n v="1"/>
    <s v="01.11.80.307.6100.0000"/>
    <n v="128.47"/>
    <s v="11"/>
    <s v="6100"/>
    <n v="24809.75"/>
    <n v="128.47"/>
    <s v="CREDITOR"/>
    <n v="0"/>
    <n v="0"/>
    <n v="0"/>
    <n v="0"/>
    <n v="128.47"/>
  </r>
  <r>
    <n v="56437778"/>
    <s v="N"/>
    <n v="21350078"/>
    <s v="3000013430710007"/>
    <s v="CIVIL"/>
    <d v="2023-06-29T00:00:00"/>
    <d v="2023-07-10T19:01:40"/>
    <m/>
    <d v="2023-07-10T00:00:00"/>
    <n v="1656"/>
    <n v="15"/>
    <s v="56437778"/>
    <s v="56437778"/>
    <m/>
    <m/>
    <n v="22785264"/>
    <m/>
    <m/>
    <m/>
    <s v="SOLFIN"/>
    <s v="SOLFIN"/>
    <s v="CCMS"/>
    <n v="21350078"/>
    <n v="8978.99"/>
    <m/>
    <s v="N"/>
    <n v="28"/>
    <d v="2023-07-10T19:02:13"/>
    <s v="Y"/>
    <s v="Attendance upon client"/>
    <s v="Care Remuneration Hourly Rates"/>
    <s v="Profit Cost"/>
    <s v="HK"/>
    <s v="Y"/>
    <n v="12.09"/>
    <n v="2.42"/>
    <x v="2"/>
    <s v="VALIDATED"/>
    <n v="1"/>
    <s v="01.11.80.308.6100.0000"/>
    <n v="12.09"/>
    <s v="11"/>
    <s v="6100"/>
    <n v="24809.75"/>
    <n v="12.09"/>
    <s v="CREDITOR"/>
    <n v="0"/>
    <n v="0"/>
    <n v="0"/>
    <n v="0"/>
    <n v="12.09"/>
  </r>
  <r>
    <n v="56437778"/>
    <s v="N"/>
    <n v="21350078"/>
    <s v="3000013430710007"/>
    <s v="CIVIL"/>
    <d v="2023-06-29T00:00:00"/>
    <d v="2023-07-10T19:01:40"/>
    <m/>
    <d v="2023-07-10T00:00:00"/>
    <n v="1656"/>
    <n v="15"/>
    <s v="56437778"/>
    <s v="56437778"/>
    <m/>
    <m/>
    <n v="22785264"/>
    <m/>
    <m/>
    <m/>
    <s v="SOLFIN"/>
    <s v="SOLFIN"/>
    <s v="CCMS"/>
    <n v="21350078"/>
    <n v="8978.99"/>
    <m/>
    <s v="N"/>
    <n v="20"/>
    <d v="2023-07-10T19:02:13"/>
    <s v="Y"/>
    <s v="Attendance upon client"/>
    <s v="Care Remuneration Hourly Rates"/>
    <s v="Profit Cost"/>
    <s v="KA"/>
    <s v="Y"/>
    <n v="12.09"/>
    <n v="2.42"/>
    <x v="2"/>
    <s v="VALIDATED"/>
    <n v="1"/>
    <s v="01.11.80.308.6100.0000"/>
    <n v="12.09"/>
    <s v="11"/>
    <s v="6100"/>
    <n v="24809.75"/>
    <n v="12.09"/>
    <s v="CREDITOR"/>
    <n v="0"/>
    <n v="0"/>
    <n v="0"/>
    <n v="0"/>
    <n v="12.09"/>
  </r>
  <r>
    <n v="60566502"/>
    <s v="N"/>
    <n v="21337870"/>
    <s v="3000014832340001"/>
    <s v="CIVIL"/>
    <d v="2023-06-30T00:00:00"/>
    <d v="2023-07-06T19:21:01"/>
    <m/>
    <d v="2023-07-06T00:00:00"/>
    <n v="1656"/>
    <n v="15"/>
    <s v="60566502"/>
    <s v="60566502"/>
    <m/>
    <m/>
    <n v="22794568"/>
    <m/>
    <m/>
    <m/>
    <s v="SOLPOA"/>
    <s v="SOLPOA"/>
    <s v="CCMS"/>
    <n v="21337870"/>
    <n v="53"/>
    <m/>
    <s v="N"/>
    <n v="1"/>
    <d v="2023-07-06T19:21:09"/>
    <s v="N"/>
    <s v="Non Expert Disbursement - Finance"/>
    <s v="Non Expert Disbursement - Fina"/>
    <s v="Non Expert Disbursement"/>
    <s v="Chiara Ozuzu"/>
    <s v="N"/>
    <n v="53"/>
    <n v="0"/>
    <x v="4"/>
    <s v="VALIDATED"/>
    <n v="1"/>
    <s v="01.11.80.303.2012.0000"/>
    <n v="53"/>
    <s v="11"/>
    <s v="2012"/>
    <n v="24809.75"/>
    <n v="53"/>
    <s v="CREDITOR"/>
    <n v="53"/>
    <n v="0"/>
    <n v="0"/>
    <n v="0"/>
    <n v="0"/>
  </r>
  <r>
    <n v="61035075"/>
    <s v="N"/>
    <n v="21331005"/>
    <s v="3000015236260008"/>
    <s v="CIVIL"/>
    <d v="2023-06-23T00:00:00"/>
    <d v="2023-07-05T19:01:47"/>
    <m/>
    <d v="2023-07-05T00:00:00"/>
    <n v="1656"/>
    <n v="15"/>
    <s v="61035075"/>
    <s v="61035075"/>
    <m/>
    <m/>
    <n v="22755974"/>
    <m/>
    <m/>
    <m/>
    <s v="SOLFIN"/>
    <s v="SOLFIN"/>
    <s v="CCMS"/>
    <n v="21331005"/>
    <n v="13010.51"/>
    <m/>
    <s v="N"/>
    <n v="5"/>
    <d v="2023-07-05T19:02:01"/>
    <s v="Y"/>
    <s v="Preparation - drafting notice(s)"/>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52"/>
    <d v="2023-07-05T19:02:01"/>
    <s v="Y"/>
    <s v="Preparation - other"/>
    <s v="Prescribed Hourly Rates"/>
    <s v="Profit Cost"/>
    <s v="OB"/>
    <s v="Y"/>
    <n v="47.76"/>
    <n v="9.550000000000001"/>
    <x v="6"/>
    <s v="VALIDATED"/>
    <n v="1"/>
    <s v="01.11.80.307.6100.0000"/>
    <n v="47.76"/>
    <s v="11"/>
    <s v="6100"/>
    <n v="24809.75"/>
    <n v="47.76"/>
    <s v="CREDITOR"/>
    <n v="0"/>
    <n v="0"/>
    <n v="0"/>
    <n v="0"/>
    <n v="47.76"/>
  </r>
  <r>
    <n v="61035075"/>
    <s v="N"/>
    <n v="21331005"/>
    <s v="3000015236260008"/>
    <s v="CIVIL"/>
    <d v="2023-06-23T00:00:00"/>
    <d v="2023-07-05T19:01:47"/>
    <m/>
    <d v="2023-07-05T00:00:00"/>
    <n v="1656"/>
    <n v="15"/>
    <s v="61035075"/>
    <s v="61035075"/>
    <m/>
    <m/>
    <n v="22755974"/>
    <m/>
    <m/>
    <m/>
    <s v="SOLFIN"/>
    <s v="SOLFIN"/>
    <s v="CCMS"/>
    <n v="21331005"/>
    <n v="13010.51"/>
    <m/>
    <s v="N"/>
    <n v="20"/>
    <d v="2023-07-05T19:02:01"/>
    <s v="Y"/>
    <s v="Preparation - other"/>
    <s v="Prescribed Hourly Rates"/>
    <s v="Profit Cost"/>
    <s v="OB"/>
    <s v="Y"/>
    <n v="7.96"/>
    <n v="1.59"/>
    <x v="6"/>
    <s v="VALIDATED"/>
    <n v="1"/>
    <s v="01.11.80.307.6100.0000"/>
    <n v="7.96"/>
    <s v="11"/>
    <s v="6100"/>
    <n v="24809.75"/>
    <n v="7.96"/>
    <s v="CREDITOR"/>
    <n v="0"/>
    <n v="0"/>
    <n v="0"/>
    <n v="0"/>
    <n v="7.96"/>
  </r>
  <r>
    <n v="60815703"/>
    <s v="N"/>
    <n v="21328116"/>
    <s v="3000015047580009"/>
    <s v="CIVIL"/>
    <d v="2023-06-26T00:00:00"/>
    <d v="2023-07-04T19:00:44"/>
    <m/>
    <d v="2023-07-04T00:00:00"/>
    <n v="1656"/>
    <n v="15"/>
    <s v="60815703"/>
    <s v="60815703"/>
    <m/>
    <m/>
    <n v="22761074"/>
    <m/>
    <m/>
    <m/>
    <s v="SOLFIN"/>
    <s v="SOLFIN"/>
    <s v="CCMS"/>
    <n v="21328116"/>
    <n v="7019.44"/>
    <m/>
    <s v="N"/>
    <n v="73"/>
    <d v="2023-07-04T19:01:05"/>
    <s v="Y"/>
    <s v="Preparation - drafting application"/>
    <s v="Prescribed Hourly Rates"/>
    <s v="Profit Cost"/>
    <s v="CD"/>
    <s v="Y"/>
    <n v="356.85"/>
    <n v="71.37"/>
    <x v="1"/>
    <s v="VALIDATED"/>
    <n v="1"/>
    <s v="01.11.80.307.6100.0000"/>
    <n v="356.85"/>
    <s v="11"/>
    <s v="6100"/>
    <n v="24809.75"/>
    <n v="356.85"/>
    <s v="CREDITOR"/>
    <n v="0"/>
    <n v="0"/>
    <n v="0"/>
    <n v="0"/>
    <n v="356.85"/>
  </r>
  <r>
    <n v="61911483"/>
    <s v="N"/>
    <n v="21318586"/>
    <s v="3000015967600003"/>
    <s v="CIVIL"/>
    <d v="2023-06-13T00:00:00"/>
    <d v="2023-07-03T19:01:49"/>
    <m/>
    <d v="2023-07-03T00:00:00"/>
    <n v="1656"/>
    <n v="15"/>
    <s v="61911483"/>
    <s v="61911483"/>
    <m/>
    <m/>
    <n v="22679780"/>
    <m/>
    <m/>
    <m/>
    <s v="SOLPOA"/>
    <s v="SOLPOA"/>
    <s v="CCMS"/>
    <n v="21318586"/>
    <n v="33"/>
    <m/>
    <s v="N"/>
    <n v="1"/>
    <d v="2023-07-03T19:01:59"/>
    <s v="N"/>
    <s v="Expert Cost"/>
    <s v="Expert Cost"/>
    <s v="Expert Disbursement"/>
    <s v="KL"/>
    <s v="N"/>
    <n v="27.5"/>
    <n v="5.5"/>
    <x v="3"/>
    <s v="VALIDATED"/>
    <n v="1"/>
    <s v="01.11.80.308.2012.0000"/>
    <n v="27.5"/>
    <s v="11"/>
    <s v="2012"/>
    <n v="24809.75"/>
    <n v="27.5"/>
    <s v="CREDITOR"/>
    <n v="27.5"/>
    <n v="0"/>
    <n v="0"/>
    <n v="0"/>
    <n v="0"/>
  </r>
  <r>
    <n v="61059951"/>
    <s v="N"/>
    <n v="21327981"/>
    <s v="3000015257840011"/>
    <s v="CIVIL"/>
    <d v="2023-06-26T00:00:00"/>
    <d v="2023-07-04T19:00:44"/>
    <m/>
    <d v="2023-07-04T00:00:00"/>
    <n v="1656"/>
    <n v="15"/>
    <s v="61059951"/>
    <s v="61059951"/>
    <m/>
    <m/>
    <n v="22757692"/>
    <m/>
    <m/>
    <m/>
    <s v="SOLFIN"/>
    <s v="SOLFIN"/>
    <s v="CCMS"/>
    <n v="21327981"/>
    <n v="5656.38"/>
    <m/>
    <s v="N"/>
    <n v="8"/>
    <d v="2023-07-04T19:01:00"/>
    <s v="Y"/>
    <s v="Advocates Meeting"/>
    <s v="Public Law Children"/>
    <s v="Advocacy"/>
    <s v="HW"/>
    <s v="Y"/>
    <n v="140.99"/>
    <n v="28.2"/>
    <x v="1"/>
    <s v="VALIDATED"/>
    <n v="1"/>
    <s v="01.11.80.308.6100.0000"/>
    <n v="140.99"/>
    <s v="11"/>
    <s v="6100"/>
    <n v="24809.75"/>
    <n v="140.99"/>
    <s v="CREDITOR"/>
    <n v="0"/>
    <n v="0"/>
    <n v="0"/>
    <n v="0"/>
    <n v="140.99"/>
  </r>
  <r>
    <n v="60815703"/>
    <s v="N"/>
    <n v="21328116"/>
    <s v="3000015047580009"/>
    <s v="CIVIL"/>
    <d v="2023-06-26T00:00:00"/>
    <d v="2023-07-04T19:00:44"/>
    <m/>
    <d v="2023-07-04T00:00:00"/>
    <n v="1656"/>
    <n v="15"/>
    <s v="60815703"/>
    <s v="60815703"/>
    <m/>
    <m/>
    <n v="22761074"/>
    <m/>
    <m/>
    <m/>
    <s v="SOLFIN"/>
    <s v="SOLFIN"/>
    <s v="CCMS"/>
    <n v="21328116"/>
    <n v="7019.44"/>
    <m/>
    <s v="N"/>
    <n v="66"/>
    <d v="2023-07-04T19:01:05"/>
    <s v="Y"/>
    <s v="Preparation - drafting application"/>
    <s v="Prescribed Hourly Rates"/>
    <s v="Profit Cost"/>
    <s v="AT"/>
    <s v="Y"/>
    <n v="82.34999999999999"/>
    <n v="16.47"/>
    <x v="1"/>
    <s v="VALIDATED"/>
    <n v="1"/>
    <s v="01.11.80.307.6100.0000"/>
    <n v="82.34999999999999"/>
    <s v="11"/>
    <s v="6100"/>
    <n v="24809.75"/>
    <n v="82.34999999999999"/>
    <s v="CREDITOR"/>
    <n v="0"/>
    <n v="0"/>
    <n v="0"/>
    <n v="0"/>
    <n v="82.34999999999999"/>
  </r>
  <r>
    <n v="60226428"/>
    <s v="N"/>
    <n v="21323648"/>
    <s v="3000014537990011"/>
    <s v="CIVIL"/>
    <d v="2023-06-30T00:00:00"/>
    <d v="2023-07-03T19:05:56"/>
    <m/>
    <d v="2023-07-03T00:00:00"/>
    <n v="1656"/>
    <n v="15"/>
    <s v="60226428"/>
    <s v="60226428"/>
    <m/>
    <m/>
    <n v="22795094"/>
    <m/>
    <m/>
    <m/>
    <s v="SOLPOA"/>
    <s v="SOLPOA"/>
    <s v="CCMS"/>
    <n v="21323648"/>
    <n v="167"/>
    <m/>
    <s v="N"/>
    <n v="1"/>
    <d v="2023-07-03T19:05:58"/>
    <s v="N"/>
    <s v="Non Expert Disbursement"/>
    <s v="Non Expert Disbursement"/>
    <s v="Non Expert Disbursement"/>
    <s v="HW"/>
    <s v="N"/>
    <n v="167"/>
    <n v="0"/>
    <x v="3"/>
    <s v="VALIDATED"/>
    <n v="1"/>
    <s v="01.11.80.308.2012.0000"/>
    <n v="167"/>
    <s v="11"/>
    <s v="2012"/>
    <n v="24809.75"/>
    <n v="167"/>
    <s v="CREDITOR"/>
    <n v="167"/>
    <n v="0"/>
    <n v="0"/>
    <n v="0"/>
    <n v="0"/>
  </r>
  <r>
    <n v="56437778"/>
    <s v="N"/>
    <n v="21350078"/>
    <s v="3000013430710007"/>
    <s v="CIVIL"/>
    <d v="2023-06-29T00:00:00"/>
    <d v="2023-07-10T19:01:40"/>
    <m/>
    <d v="2023-07-10T00:00:00"/>
    <n v="1656"/>
    <n v="15"/>
    <s v="56437778"/>
    <s v="56437778"/>
    <m/>
    <m/>
    <n v="22785264"/>
    <m/>
    <m/>
    <m/>
    <s v="SOLFIN"/>
    <s v="SOLFIN"/>
    <s v="CCMS"/>
    <n v="21350078"/>
    <n v="8978.99"/>
    <m/>
    <s v="N"/>
    <n v="49"/>
    <d v="2023-07-10T19:02:13"/>
    <s v="Y"/>
    <s v="Preparation - drafting application"/>
    <s v="Care Remuneration Hourly Rates"/>
    <s v="Profit Cost"/>
    <s v="CD"/>
    <s v="Y"/>
    <n v="5.26"/>
    <n v="1.05"/>
    <x v="2"/>
    <s v="VALIDATED"/>
    <n v="1"/>
    <s v="01.11.80.308.6100.0000"/>
    <n v="5.26"/>
    <s v="11"/>
    <s v="6100"/>
    <n v="24809.75"/>
    <n v="5.26"/>
    <s v="CREDITOR"/>
    <n v="0"/>
    <n v="0"/>
    <n v="0"/>
    <n v="0"/>
    <n v="5.26"/>
  </r>
  <r>
    <n v="56437778"/>
    <s v="N"/>
    <n v="21350078"/>
    <s v="3000013430710007"/>
    <s v="CIVIL"/>
    <d v="2023-06-29T00:00:00"/>
    <d v="2023-07-10T19:01:40"/>
    <m/>
    <d v="2023-07-10T00:00:00"/>
    <n v="1656"/>
    <n v="15"/>
    <s v="56437778"/>
    <s v="56437778"/>
    <m/>
    <m/>
    <n v="22785264"/>
    <m/>
    <m/>
    <m/>
    <s v="SOLFIN"/>
    <s v="SOLFIN"/>
    <s v="CCMS"/>
    <n v="21350078"/>
    <n v="8978.99"/>
    <m/>
    <s v="N"/>
    <n v="29"/>
    <d v="2023-07-10T19:02:13"/>
    <s v="Y"/>
    <s v="Attendance upon client"/>
    <s v="Care Remuneration Hourly Rates"/>
    <s v="Profit Cost"/>
    <s v="KA"/>
    <s v="Y"/>
    <n v="12.09"/>
    <n v="2.42"/>
    <x v="2"/>
    <s v="VALIDATED"/>
    <n v="1"/>
    <s v="01.11.80.308.6100.0000"/>
    <n v="12.09"/>
    <s v="11"/>
    <s v="6100"/>
    <n v="24809.75"/>
    <n v="12.09"/>
    <s v="CREDITOR"/>
    <n v="0"/>
    <n v="0"/>
    <n v="0"/>
    <n v="0"/>
    <n v="12.09"/>
  </r>
  <r>
    <n v="60815703"/>
    <s v="N"/>
    <n v="21328116"/>
    <s v="3000015047580009"/>
    <s v="CIVIL"/>
    <d v="2023-06-26T00:00:00"/>
    <d v="2023-07-04T19:00:44"/>
    <m/>
    <d v="2023-07-04T00:00:00"/>
    <n v="1656"/>
    <n v="15"/>
    <s v="60815703"/>
    <s v="60815703"/>
    <m/>
    <m/>
    <n v="22761074"/>
    <m/>
    <m/>
    <m/>
    <s v="SOLFIN"/>
    <s v="SOLFIN"/>
    <s v="CCMS"/>
    <n v="21328116"/>
    <n v="7019.44"/>
    <m/>
    <s v="N"/>
    <n v="36"/>
    <d v="2023-07-04T19:01:05"/>
    <s v="Y"/>
    <s v="Attendance upon other"/>
    <s v="Prescribed Hourly Rates"/>
    <s v="Profit Cost"/>
    <s v="AT"/>
    <s v="Y"/>
    <n v="27.45"/>
    <n v="5.49"/>
    <x v="1"/>
    <s v="VALIDATED"/>
    <n v="1"/>
    <s v="01.11.80.307.6100.0000"/>
    <n v="27.45"/>
    <s v="11"/>
    <s v="6100"/>
    <n v="24809.75"/>
    <n v="27.45"/>
    <s v="CREDITOR"/>
    <n v="0"/>
    <n v="0"/>
    <n v="0"/>
    <n v="0"/>
    <n v="27.45"/>
  </r>
  <r>
    <n v="61035284"/>
    <s v="N"/>
    <n v="21328032"/>
    <s v="3000015236900001"/>
    <s v="CIVIL"/>
    <d v="2023-06-23T00:00:00"/>
    <d v="2023-07-04T19:00:44"/>
    <m/>
    <d v="2023-07-04T00:00:00"/>
    <n v="1656"/>
    <n v="15"/>
    <s v="61035284"/>
    <s v="61035284"/>
    <m/>
    <m/>
    <n v="22755942"/>
    <m/>
    <m/>
    <m/>
    <s v="SOLFIN"/>
    <s v="SOLFIN"/>
    <s v="CCMS"/>
    <n v="21328032"/>
    <n v="0"/>
    <m/>
    <s v="N"/>
    <n v="1"/>
    <d v="2023-07-04T19:01:02"/>
    <s v="N"/>
    <s v="NIL BILL"/>
    <s v="Prescribed Hourly Rates"/>
    <s v="Profit Cost"/>
    <s v="Olivia Bell"/>
    <s v="N"/>
    <n v="0"/>
    <n v="0"/>
    <x v="1"/>
    <s v="VALIDATED"/>
    <n v="1"/>
    <s v="01.11.80.307.6100.0000"/>
    <n v="0"/>
    <s v="11"/>
    <s v="6100"/>
    <n v="24809.75"/>
    <n v="0"/>
    <s v="CREDITOR"/>
    <n v="0"/>
    <n v="0"/>
    <n v="0"/>
    <n v="0"/>
    <n v="0"/>
  </r>
  <r>
    <n v="60815703"/>
    <s v="N"/>
    <n v="21328116"/>
    <s v="3000015047580009"/>
    <s v="CIVIL"/>
    <d v="2023-06-26T00:00:00"/>
    <d v="2023-07-04T19:00:44"/>
    <m/>
    <d v="2023-07-04T00:00:00"/>
    <n v="1656"/>
    <n v="15"/>
    <s v="60815703"/>
    <s v="60815703"/>
    <m/>
    <m/>
    <n v="22761074"/>
    <m/>
    <m/>
    <m/>
    <s v="SOLFIN"/>
    <s v="SOLFIN"/>
    <s v="CCMS"/>
    <n v="21328116"/>
    <n v="7019.44"/>
    <m/>
    <s v="N"/>
    <n v="8"/>
    <d v="2023-07-04T19:01:05"/>
    <s v="Y"/>
    <s v="Police Records"/>
    <s v="Prescribed Hourly Rates"/>
    <s v="Non Expert Disbursement"/>
    <s v="XXX"/>
    <s v="Y"/>
    <n v="60.8"/>
    <n v="0"/>
    <x v="1"/>
    <s v="VALIDATED"/>
    <n v="1"/>
    <s v="01.11.80.307.6300.0000"/>
    <n v="60.8"/>
    <s v="11"/>
    <s v="6300"/>
    <n v="24809.75"/>
    <n v="60.8"/>
    <s v="CREDITOR"/>
    <n v="0"/>
    <n v="0"/>
    <n v="0"/>
    <n v="0"/>
    <n v="60.8"/>
  </r>
  <r>
    <n v="60815703"/>
    <s v="N"/>
    <n v="21328116"/>
    <s v="3000015047580009"/>
    <s v="CIVIL"/>
    <d v="2023-06-26T00:00:00"/>
    <d v="2023-07-04T19:00:44"/>
    <m/>
    <d v="2023-07-04T00:00:00"/>
    <n v="1656"/>
    <n v="15"/>
    <s v="60815703"/>
    <s v="60815703"/>
    <m/>
    <m/>
    <n v="22761074"/>
    <m/>
    <m/>
    <m/>
    <s v="SOLFIN"/>
    <s v="SOLFIN"/>
    <s v="CCMS"/>
    <n v="21328116"/>
    <n v="7019.44"/>
    <m/>
    <s v="N"/>
    <n v="69"/>
    <d v="2023-07-04T19:01:05"/>
    <s v="Y"/>
    <s v="Attendance upon client"/>
    <s v="Prescribed Hourly Rates"/>
    <s v="Profit Cost"/>
    <s v="AT"/>
    <s v="Y"/>
    <n v="20.59"/>
    <n v="4.12"/>
    <x v="1"/>
    <s v="VALIDATED"/>
    <n v="1"/>
    <s v="01.11.80.307.6100.0000"/>
    <n v="20.59"/>
    <s v="11"/>
    <s v="6100"/>
    <n v="24809.75"/>
    <n v="20.59"/>
    <s v="CREDITOR"/>
    <n v="0"/>
    <n v="0"/>
    <n v="0"/>
    <n v="0"/>
    <n v="20.59"/>
  </r>
  <r>
    <n v="56437778"/>
    <s v="N"/>
    <n v="21350078"/>
    <s v="3000013430710007"/>
    <s v="CIVIL"/>
    <d v="2023-06-29T00:00:00"/>
    <d v="2023-07-10T19:01:40"/>
    <m/>
    <d v="2023-07-10T00:00:00"/>
    <n v="1656"/>
    <n v="15"/>
    <s v="56437778"/>
    <s v="56437778"/>
    <m/>
    <m/>
    <n v="22785264"/>
    <m/>
    <m/>
    <m/>
    <s v="SOLFIN"/>
    <s v="SOLFIN"/>
    <s v="CCMS"/>
    <n v="21350078"/>
    <n v="8978.99"/>
    <m/>
    <s v="N"/>
    <n v="50"/>
    <d v="2023-07-10T19:02:13"/>
    <s v="Y"/>
    <s v="Preparation - other"/>
    <s v="Care Remuneration Hourly Rates"/>
    <s v="Profit Cost"/>
    <s v="KA"/>
    <s v="Y"/>
    <n v="30.23"/>
    <n v="6.05"/>
    <x v="2"/>
    <s v="VALIDATED"/>
    <n v="1"/>
    <s v="01.11.80.308.6100.0000"/>
    <n v="30.23"/>
    <s v="11"/>
    <s v="6100"/>
    <n v="24809.75"/>
    <n v="30.23"/>
    <s v="CREDITOR"/>
    <n v="0"/>
    <n v="0"/>
    <n v="0"/>
    <n v="0"/>
    <n v="30.23"/>
  </r>
  <r>
    <n v="56437778"/>
    <s v="N"/>
    <n v="21350078"/>
    <s v="3000013430710007"/>
    <s v="CIVIL"/>
    <d v="2023-06-29T00:00:00"/>
    <d v="2023-07-10T19:01:40"/>
    <m/>
    <d v="2023-07-10T00:00:00"/>
    <n v="1656"/>
    <n v="15"/>
    <s v="56437778"/>
    <s v="56437778"/>
    <m/>
    <m/>
    <n v="22785264"/>
    <m/>
    <m/>
    <m/>
    <s v="SOLFIN"/>
    <s v="SOLFIN"/>
    <s v="CCMS"/>
    <n v="21350078"/>
    <n v="8978.99"/>
    <m/>
    <s v="N"/>
    <n v="13"/>
    <d v="2023-07-10T19:02:13"/>
    <s v="Y"/>
    <s v="Attendance upon client"/>
    <s v="Care Remuneration Hourly Rates"/>
    <s v="Profit Cost"/>
    <s v="KA"/>
    <s v="Y"/>
    <n v="18.14"/>
    <n v="3.63"/>
    <x v="2"/>
    <s v="VALIDATED"/>
    <n v="1"/>
    <s v="01.11.80.308.6100.0000"/>
    <n v="18.14"/>
    <s v="11"/>
    <s v="6100"/>
    <n v="24809.75"/>
    <n v="18.14"/>
    <s v="CREDITOR"/>
    <n v="0"/>
    <n v="0"/>
    <n v="0"/>
    <n v="0"/>
    <n v="18.14"/>
  </r>
  <r>
    <n v="61035075"/>
    <s v="N"/>
    <n v="21331005"/>
    <s v="3000015236260008"/>
    <s v="CIVIL"/>
    <d v="2023-06-23T00:00:00"/>
    <d v="2023-07-05T19:01:47"/>
    <m/>
    <d v="2023-07-05T00:00:00"/>
    <n v="1656"/>
    <n v="15"/>
    <s v="61035075"/>
    <s v="61035075"/>
    <m/>
    <m/>
    <n v="22755974"/>
    <m/>
    <m/>
    <m/>
    <s v="SOLFIN"/>
    <s v="SOLFIN"/>
    <s v="CCMS"/>
    <n v="21331005"/>
    <n v="13010.51"/>
    <m/>
    <s v="N"/>
    <n v="23"/>
    <d v="2023-07-05T19:02:01"/>
    <s v="Y"/>
    <s v="Preparation - drafting consent orde"/>
    <s v="Prescribed Hourly Rates"/>
    <s v="Profit Cost"/>
    <s v="OB"/>
    <s v="Y"/>
    <n v="23.88"/>
    <n v="4.78"/>
    <x v="6"/>
    <s v="VALIDATED"/>
    <n v="1"/>
    <s v="01.11.80.307.6100.0000"/>
    <n v="23.88"/>
    <s v="11"/>
    <s v="6100"/>
    <n v="24809.75"/>
    <n v="23.88"/>
    <s v="CREDITOR"/>
    <n v="0"/>
    <n v="0"/>
    <n v="0"/>
    <n v="0"/>
    <n v="23.88"/>
  </r>
  <r>
    <n v="60815703"/>
    <s v="N"/>
    <n v="21328116"/>
    <s v="3000015047580009"/>
    <s v="CIVIL"/>
    <d v="2023-06-26T00:00:00"/>
    <d v="2023-07-04T19:00:44"/>
    <m/>
    <d v="2023-07-04T00:00:00"/>
    <n v="1656"/>
    <n v="15"/>
    <s v="60815703"/>
    <s v="60815703"/>
    <m/>
    <m/>
    <n v="22761074"/>
    <m/>
    <m/>
    <m/>
    <s v="SOLFIN"/>
    <s v="SOLFIN"/>
    <s v="CCMS"/>
    <n v="21328116"/>
    <n v="7019.44"/>
    <m/>
    <s v="N"/>
    <n v="72"/>
    <d v="2023-07-04T19:01:05"/>
    <s v="Y"/>
    <s v="Preparation - drafting consent orde"/>
    <s v="Prescribed Hourly Rates"/>
    <s v="Profit Cost"/>
    <s v="AT"/>
    <s v="Y"/>
    <n v="34.31"/>
    <n v="6.86"/>
    <x v="1"/>
    <s v="VALIDATED"/>
    <n v="1"/>
    <s v="01.11.80.307.6100.0000"/>
    <n v="34.31"/>
    <s v="11"/>
    <s v="6100"/>
    <n v="24809.75"/>
    <n v="34.31"/>
    <s v="CREDITOR"/>
    <n v="0"/>
    <n v="0"/>
    <n v="0"/>
    <n v="0"/>
    <n v="34.31"/>
  </r>
  <r>
    <n v="60815703"/>
    <s v="N"/>
    <n v="21328116"/>
    <s v="3000015047580009"/>
    <s v="CIVIL"/>
    <d v="2023-06-26T00:00:00"/>
    <d v="2023-07-04T19:00:44"/>
    <m/>
    <d v="2023-07-04T00:00:00"/>
    <n v="1656"/>
    <n v="15"/>
    <s v="60815703"/>
    <s v="60815703"/>
    <m/>
    <m/>
    <n v="22761074"/>
    <m/>
    <m/>
    <m/>
    <s v="SOLFIN"/>
    <s v="SOLFIN"/>
    <s v="CCMS"/>
    <n v="21328116"/>
    <n v="7019.44"/>
    <m/>
    <s v="N"/>
    <n v="51"/>
    <d v="2023-07-04T19:01:05"/>
    <s v="Y"/>
    <s v="Report - Medical report"/>
    <s v="Prescribed Hourly Rates"/>
    <s v="Profit Cost"/>
    <s v="AT"/>
    <s v="Y"/>
    <n v="27.45"/>
    <n v="5.49"/>
    <x v="1"/>
    <s v="VALIDATED"/>
    <n v="1"/>
    <s v="01.11.80.307.6100.0000"/>
    <n v="27.45"/>
    <s v="11"/>
    <s v="6100"/>
    <n v="24809.75"/>
    <n v="27.45"/>
    <s v="CREDITOR"/>
    <n v="0"/>
    <n v="0"/>
    <n v="0"/>
    <n v="0"/>
    <n v="27.45"/>
  </r>
  <r>
    <n v="61049069"/>
    <s v="N"/>
    <n v="21318381"/>
    <s v="3000015248580009"/>
    <s v="CIVIL"/>
    <d v="2023-06-15T00:00:00"/>
    <d v="2023-07-03T19:01:49"/>
    <m/>
    <d v="2023-07-03T00:00:00"/>
    <n v="1656"/>
    <n v="15"/>
    <s v="61049069"/>
    <s v="61049069"/>
    <m/>
    <m/>
    <n v="22701498"/>
    <m/>
    <m/>
    <m/>
    <s v="SOLFIN"/>
    <s v="SOLFIN"/>
    <s v="CCMS"/>
    <n v="21318381"/>
    <n v="8695.4"/>
    <m/>
    <s v="N"/>
    <n v="58"/>
    <d v="2023-07-03T19:01:54"/>
    <s v="Y"/>
    <s v="Preparation - drafting instructions"/>
    <s v="Prescribed Hourly Rates"/>
    <s v="Profit Cost"/>
    <s v="OB"/>
    <s v="Y"/>
    <n v="7.14"/>
    <n v="1.43"/>
    <x v="3"/>
    <s v="VALIDATED"/>
    <n v="1"/>
    <s v="01.11.80.307.6100.0000"/>
    <n v="7.14"/>
    <s v="11"/>
    <s v="6100"/>
    <n v="24809.75"/>
    <n v="7.14"/>
    <s v="CREDITOR"/>
    <n v="0"/>
    <n v="0"/>
    <n v="0"/>
    <n v="0"/>
    <n v="7.14"/>
  </r>
  <r>
    <n v="61049069"/>
    <s v="N"/>
    <n v="21318381"/>
    <s v="3000015248580009"/>
    <s v="CIVIL"/>
    <d v="2023-06-15T00:00:00"/>
    <d v="2023-07-03T19:01:49"/>
    <m/>
    <d v="2023-07-03T00:00:00"/>
    <n v="1656"/>
    <n v="15"/>
    <s v="61049069"/>
    <s v="61049069"/>
    <m/>
    <m/>
    <n v="22701498"/>
    <m/>
    <m/>
    <m/>
    <s v="SOLFIN"/>
    <s v="SOLFIN"/>
    <s v="CCMS"/>
    <n v="21318381"/>
    <n v="8695.4"/>
    <m/>
    <s v="N"/>
    <n v="28"/>
    <d v="2023-07-03T19:01:54"/>
    <s v="Y"/>
    <s v="Preparation - drafting statement"/>
    <s v="Prescribed Hourly Rates"/>
    <s v="Profit Cost"/>
    <s v="OB"/>
    <s v="Y"/>
    <n v="114.19"/>
    <n v="22.84"/>
    <x v="3"/>
    <s v="VALIDATED"/>
    <n v="1"/>
    <s v="01.11.80.307.6100.0000"/>
    <n v="114.19"/>
    <s v="11"/>
    <s v="6100"/>
    <n v="24809.75"/>
    <n v="114.19"/>
    <s v="CREDITOR"/>
    <n v="0"/>
    <n v="0"/>
    <n v="0"/>
    <n v="0"/>
    <n v="114.19"/>
  </r>
  <r>
    <n v="61049069"/>
    <s v="N"/>
    <n v="21318381"/>
    <s v="3000015248580009"/>
    <s v="CIVIL"/>
    <d v="2023-06-15T00:00:00"/>
    <d v="2023-07-03T19:01:49"/>
    <m/>
    <d v="2023-07-03T00:00:00"/>
    <n v="1656"/>
    <n v="15"/>
    <s v="61049069"/>
    <s v="61049069"/>
    <m/>
    <m/>
    <n v="22701498"/>
    <m/>
    <m/>
    <m/>
    <s v="SOLFIN"/>
    <s v="SOLFIN"/>
    <s v="CCMS"/>
    <n v="21318381"/>
    <n v="8695.4"/>
    <m/>
    <s v="N"/>
    <n v="29"/>
    <d v="2023-07-03T19:01:54"/>
    <s v="Y"/>
    <s v="Preparation - drafting statement"/>
    <s v="Prescribed Hourly Rates"/>
    <s v="Profit Cost"/>
    <s v="OB"/>
    <s v="Y"/>
    <n v="85.64"/>
    <n v="17.13"/>
    <x v="3"/>
    <s v="VALIDATED"/>
    <n v="1"/>
    <s v="01.11.80.307.6100.0000"/>
    <n v="85.64"/>
    <s v="11"/>
    <s v="6100"/>
    <n v="24809.75"/>
    <n v="85.64"/>
    <s v="CREDITOR"/>
    <n v="0"/>
    <n v="0"/>
    <n v="0"/>
    <n v="0"/>
    <n v="85.64"/>
  </r>
  <r>
    <n v="56437778"/>
    <s v="N"/>
    <n v="21350078"/>
    <s v="3000013430710007"/>
    <s v="CIVIL"/>
    <d v="2023-06-29T00:00:00"/>
    <d v="2023-07-10T19:01:40"/>
    <m/>
    <d v="2023-07-10T00:00:00"/>
    <n v="1656"/>
    <n v="15"/>
    <s v="56437778"/>
    <s v="56437778"/>
    <m/>
    <m/>
    <n v="22785264"/>
    <m/>
    <m/>
    <m/>
    <s v="SOLFIN"/>
    <s v="SOLFIN"/>
    <s v="CCMS"/>
    <n v="21350078"/>
    <n v="8978.99"/>
    <m/>
    <s v="N"/>
    <n v="45"/>
    <d v="2023-07-10T19:02:13"/>
    <s v="Y"/>
    <s v="Attendance upon client"/>
    <s v="Care Remuneration Hourly Rates"/>
    <s v="Profit Cost"/>
    <s v="KA"/>
    <s v="Y"/>
    <n v="24.18"/>
    <n v="4.84"/>
    <x v="2"/>
    <s v="VALIDATED"/>
    <n v="1"/>
    <s v="01.11.80.308.6100.0000"/>
    <n v="24.18"/>
    <s v="11"/>
    <s v="6100"/>
    <n v="24809.75"/>
    <n v="24.18"/>
    <s v="CREDITOR"/>
    <n v="0"/>
    <n v="0"/>
    <n v="0"/>
    <n v="0"/>
    <n v="24.18"/>
  </r>
  <r>
    <n v="61035075"/>
    <s v="N"/>
    <n v="21331005"/>
    <s v="3000015236260008"/>
    <s v="CIVIL"/>
    <d v="2023-06-23T00:00:00"/>
    <d v="2023-07-05T19:01:47"/>
    <m/>
    <d v="2023-07-05T00:00:00"/>
    <n v="1656"/>
    <n v="15"/>
    <s v="61035075"/>
    <s v="61035075"/>
    <m/>
    <m/>
    <n v="22755974"/>
    <m/>
    <m/>
    <m/>
    <s v="SOLFIN"/>
    <s v="SOLFIN"/>
    <s v="CCMS"/>
    <n v="21331005"/>
    <n v="13010.51"/>
    <m/>
    <s v="N"/>
    <n v="3"/>
    <d v="2023-07-05T19:02:01"/>
    <s v="Y"/>
    <s v="Court Fee"/>
    <s v="Prescribed Hourly Rates"/>
    <s v="Non Expert Disbursement"/>
    <s v="XXX"/>
    <s v="Y"/>
    <n v="167"/>
    <n v="0"/>
    <x v="6"/>
    <s v="VALIDATED"/>
    <n v="1"/>
    <s v="01.11.80.307.6300.0000"/>
    <n v="167"/>
    <s v="11"/>
    <s v="6300"/>
    <n v="24809.75"/>
    <n v="167"/>
    <s v="CREDITOR"/>
    <n v="0"/>
    <n v="0"/>
    <n v="0"/>
    <n v="0"/>
    <n v="167"/>
  </r>
  <r>
    <n v="61035075"/>
    <s v="N"/>
    <n v="21331005"/>
    <s v="3000015236260008"/>
    <s v="CIVIL"/>
    <d v="2023-06-23T00:00:00"/>
    <d v="2023-07-05T19:01:47"/>
    <m/>
    <d v="2023-07-05T00:00:00"/>
    <n v="1656"/>
    <n v="15"/>
    <s v="61035075"/>
    <s v="61035075"/>
    <m/>
    <m/>
    <n v="22755974"/>
    <m/>
    <m/>
    <m/>
    <s v="SOLFIN"/>
    <s v="SOLFIN"/>
    <s v="CCMS"/>
    <n v="21331005"/>
    <n v="13010.51"/>
    <m/>
    <s v="N"/>
    <n v="14"/>
    <d v="2023-07-05T19:02:01"/>
    <s v="Y"/>
    <s v="Preparation - drafting consent orde"/>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50"/>
    <d v="2023-07-05T19:02:01"/>
    <s v="Y"/>
    <s v="Preparation - drafting attendance n"/>
    <s v="Prescribed Hourly Rates"/>
    <s v="Profit Cost"/>
    <s v="OB"/>
    <s v="Y"/>
    <n v="15.92"/>
    <n v="3.18"/>
    <x v="6"/>
    <s v="VALIDATED"/>
    <n v="1"/>
    <s v="01.11.80.307.6100.0000"/>
    <n v="15.92"/>
    <s v="11"/>
    <s v="6100"/>
    <n v="24809.75"/>
    <n v="15.92"/>
    <s v="CREDITOR"/>
    <n v="0"/>
    <n v="0"/>
    <n v="0"/>
    <n v="0"/>
    <n v="15.92"/>
  </r>
  <r>
    <n v="60815703"/>
    <s v="N"/>
    <n v="21328116"/>
    <s v="3000015047580009"/>
    <s v="CIVIL"/>
    <d v="2023-06-26T00:00:00"/>
    <d v="2023-07-04T19:00:44"/>
    <m/>
    <d v="2023-07-04T00:00:00"/>
    <n v="1656"/>
    <n v="15"/>
    <s v="60815703"/>
    <s v="60815703"/>
    <m/>
    <m/>
    <n v="22761074"/>
    <m/>
    <m/>
    <m/>
    <s v="SOLFIN"/>
    <s v="SOLFIN"/>
    <s v="CCMS"/>
    <n v="21328116"/>
    <n v="7019.44"/>
    <m/>
    <s v="N"/>
    <n v="71"/>
    <d v="2023-07-04T19:01:05"/>
    <s v="Y"/>
    <s v="Preparation - drafting instructions"/>
    <s v="Prescribed Hourly Rates"/>
    <s v="Profit Cost"/>
    <s v="JN"/>
    <s v="Y"/>
    <n v="5.49"/>
    <n v="1.1"/>
    <x v="1"/>
    <s v="VALIDATED"/>
    <n v="1"/>
    <s v="01.11.80.307.6100.0000"/>
    <n v="5.49"/>
    <s v="11"/>
    <s v="6100"/>
    <n v="24809.75"/>
    <n v="5.49"/>
    <s v="CREDITOR"/>
    <n v="0"/>
    <n v="0"/>
    <n v="0"/>
    <n v="0"/>
    <n v="5.49"/>
  </r>
  <r>
    <n v="60815703"/>
    <s v="N"/>
    <n v="21328116"/>
    <s v="3000015047580009"/>
    <s v="CIVIL"/>
    <d v="2023-06-26T00:00:00"/>
    <d v="2023-07-04T19:00:44"/>
    <m/>
    <d v="2023-07-04T00:00:00"/>
    <n v="1656"/>
    <n v="15"/>
    <s v="60815703"/>
    <s v="60815703"/>
    <m/>
    <m/>
    <n v="22761074"/>
    <m/>
    <m/>
    <m/>
    <s v="SOLFIN"/>
    <s v="SOLFIN"/>
    <s v="CCMS"/>
    <n v="21328116"/>
    <n v="7019.44"/>
    <m/>
    <s v="N"/>
    <n v="4"/>
    <d v="2023-07-04T19:01:05"/>
    <s v="Y"/>
    <s v="Police Records"/>
    <s v="Prescribed Hourly Rates"/>
    <s v="Non Expert Disbursement"/>
    <s v="XXX"/>
    <s v="Y"/>
    <n v="185.17"/>
    <n v="0"/>
    <x v="1"/>
    <s v="VALIDATED"/>
    <n v="1"/>
    <s v="01.11.80.307.6300.0000"/>
    <n v="185.17"/>
    <s v="11"/>
    <s v="6300"/>
    <n v="24809.75"/>
    <n v="185.17"/>
    <s v="CREDITOR"/>
    <n v="0"/>
    <n v="0"/>
    <n v="0"/>
    <n v="0"/>
    <n v="185.17"/>
  </r>
  <r>
    <n v="61059951"/>
    <s v="N"/>
    <n v="21327981"/>
    <s v="3000015257840011"/>
    <s v="CIVIL"/>
    <d v="2023-06-26T00:00:00"/>
    <d v="2023-07-04T19:00:44"/>
    <m/>
    <d v="2023-07-04T00:00:00"/>
    <n v="1656"/>
    <n v="15"/>
    <s v="61059951"/>
    <s v="61059951"/>
    <m/>
    <m/>
    <n v="22757692"/>
    <m/>
    <m/>
    <m/>
    <s v="SOLFIN"/>
    <s v="SOLFIN"/>
    <s v="CCMS"/>
    <n v="21327981"/>
    <n v="5656.38"/>
    <m/>
    <s v="N"/>
    <n v="3"/>
    <d v="2023-07-04T19:01:00"/>
    <s v="Y"/>
    <s v="Paediatrician"/>
    <s v="Public Law Children"/>
    <s v="Expert Disbursement"/>
    <s v="XXX"/>
    <s v="Y"/>
    <n v="388.8"/>
    <n v="0"/>
    <x v="1"/>
    <s v="VALIDATED"/>
    <n v="1"/>
    <s v="01.11.80.308.6300.0000"/>
    <n v="388.8"/>
    <s v="11"/>
    <s v="6300"/>
    <n v="24809.75"/>
    <n v="388.8"/>
    <s v="CREDITOR"/>
    <n v="0"/>
    <n v="0"/>
    <n v="0"/>
    <n v="0"/>
    <n v="388.8"/>
  </r>
  <r>
    <n v="61049069"/>
    <s v="N"/>
    <n v="21318381"/>
    <s v="3000015248580009"/>
    <s v="CIVIL"/>
    <d v="2023-06-15T00:00:00"/>
    <d v="2023-07-03T19:01:49"/>
    <m/>
    <d v="2023-07-03T00:00:00"/>
    <n v="1656"/>
    <n v="15"/>
    <s v="61049069"/>
    <s v="61049069"/>
    <m/>
    <m/>
    <n v="22701498"/>
    <m/>
    <m/>
    <m/>
    <s v="SOLFIN"/>
    <s v="SOLFIN"/>
    <s v="CCMS"/>
    <n v="21318381"/>
    <n v="8695.4"/>
    <m/>
    <s v="N"/>
    <n v="50"/>
    <d v="2023-07-03T19:01:54"/>
    <s v="Y"/>
    <s v="Preparation - other"/>
    <s v="Prescribed Hourly Rates"/>
    <s v="Profit Cost"/>
    <s v="OB"/>
    <s v="Y"/>
    <n v="35.69"/>
    <n v="7.14"/>
    <x v="3"/>
    <s v="VALIDATED"/>
    <n v="1"/>
    <s v="01.11.80.307.6100.0000"/>
    <n v="35.69"/>
    <s v="11"/>
    <s v="6100"/>
    <n v="24809.75"/>
    <n v="35.69"/>
    <s v="CREDITOR"/>
    <n v="0"/>
    <n v="0"/>
    <n v="0"/>
    <n v="0"/>
    <n v="35.69"/>
  </r>
  <r>
    <n v="61049069"/>
    <s v="N"/>
    <n v="21318381"/>
    <s v="3000015248580009"/>
    <s v="CIVIL"/>
    <d v="2023-06-15T00:00:00"/>
    <d v="2023-07-03T19:01:49"/>
    <m/>
    <d v="2023-07-03T00:00:00"/>
    <n v="1656"/>
    <n v="15"/>
    <s v="61049069"/>
    <s v="61049069"/>
    <m/>
    <m/>
    <n v="22701498"/>
    <m/>
    <m/>
    <m/>
    <s v="SOLFIN"/>
    <s v="SOLFIN"/>
    <s v="CCMS"/>
    <n v="21318381"/>
    <n v="8695.4"/>
    <m/>
    <s v="N"/>
    <n v="62"/>
    <d v="2023-07-03T19:01:54"/>
    <s v="Y"/>
    <s v="Travel to court"/>
    <s v="Prescribed Hourly Rates"/>
    <s v="Profit Cost"/>
    <s v="OB"/>
    <s v="Y"/>
    <n v="25.67"/>
    <n v="5.13"/>
    <x v="3"/>
    <s v="VALIDATED"/>
    <n v="1"/>
    <s v="01.11.80.307.6100.0000"/>
    <n v="25.67"/>
    <s v="11"/>
    <s v="6100"/>
    <n v="24809.75"/>
    <n v="25.67"/>
    <s v="CREDITOR"/>
    <n v="0"/>
    <n v="0"/>
    <n v="0"/>
    <n v="0"/>
    <n v="25.67"/>
  </r>
  <r>
    <n v="61049069"/>
    <s v="N"/>
    <n v="21318381"/>
    <s v="3000015248580009"/>
    <s v="CIVIL"/>
    <d v="2023-06-15T00:00:00"/>
    <d v="2023-07-03T19:01:49"/>
    <m/>
    <d v="2023-07-03T00:00:00"/>
    <n v="1656"/>
    <n v="15"/>
    <s v="61049069"/>
    <s v="61049069"/>
    <m/>
    <m/>
    <n v="22701498"/>
    <m/>
    <m/>
    <m/>
    <s v="SOLFIN"/>
    <s v="SOLFIN"/>
    <s v="CCMS"/>
    <n v="21318381"/>
    <n v="8695.4"/>
    <m/>
    <s v="N"/>
    <n v="40"/>
    <d v="2023-07-03T19:01:54"/>
    <s v="Y"/>
    <s v="Preparation - drafting attendance n"/>
    <s v="Prescribed Hourly Rates"/>
    <s v="Profit Cost"/>
    <s v="OB"/>
    <s v="Y"/>
    <n v="7.14"/>
    <n v="1.43"/>
    <x v="3"/>
    <s v="VALIDATED"/>
    <n v="1"/>
    <s v="01.11.80.307.6100.0000"/>
    <n v="7.14"/>
    <s v="11"/>
    <s v="6100"/>
    <n v="24809.75"/>
    <n v="7.14"/>
    <s v="CREDITOR"/>
    <n v="0"/>
    <n v="0"/>
    <n v="0"/>
    <n v="0"/>
    <n v="7.14"/>
  </r>
  <r>
    <n v="61227906"/>
    <s v="N"/>
    <n v="21360961"/>
    <s v="3000015398320003"/>
    <s v="CIVIL"/>
    <d v="2023-06-30T00:00:00"/>
    <d v="2023-07-11T19:00:25"/>
    <m/>
    <d v="2023-07-11T00:00:00"/>
    <n v="1656"/>
    <n v="15"/>
    <s v="61227906"/>
    <s v="61227906"/>
    <m/>
    <m/>
    <n v="22797584"/>
    <m/>
    <m/>
    <m/>
    <s v="SOLFIN"/>
    <s v="SOLFIN"/>
    <s v="CCMS"/>
    <n v="21360961"/>
    <n v="3172.87"/>
    <m/>
    <s v="N"/>
    <n v="2"/>
    <d v="2023-07-11T19:00:40"/>
    <s v="Y"/>
    <s v="Solicitor Travel Expenses"/>
    <s v="Public Law Children"/>
    <s v="Non Expert Disbursement"/>
    <s v="XXX"/>
    <s v="Y"/>
    <n v="11.85"/>
    <n v="0"/>
    <x v="7"/>
    <s v="VALIDATED"/>
    <n v="1"/>
    <s v="01.11.80.308.6300.0000"/>
    <n v="11.85"/>
    <s v="11"/>
    <s v="6300"/>
    <n v="24809.75"/>
    <n v="11.85"/>
    <s v="CREDITOR"/>
    <n v="0"/>
    <n v="0"/>
    <n v="0"/>
    <n v="0"/>
    <n v="11.85"/>
  </r>
  <r>
    <n v="61681898"/>
    <s v="N"/>
    <n v="21338489"/>
    <s v="3000015777230002"/>
    <s v="CIVIL"/>
    <d v="2023-06-30T00:00:00"/>
    <d v="2023-07-06T19:21:01"/>
    <m/>
    <d v="2023-07-06T00:00:00"/>
    <n v="1656"/>
    <n v="15"/>
    <s v="61681898"/>
    <s v="61681898"/>
    <m/>
    <m/>
    <n v="22797476"/>
    <m/>
    <m/>
    <m/>
    <s v="SOLFIN"/>
    <s v="SOLFIN"/>
    <s v="CCMS"/>
    <n v="21338489"/>
    <n v="4180.32"/>
    <m/>
    <s v="N"/>
    <n v="5"/>
    <d v="2023-07-06T19:21:26"/>
    <s v="Y"/>
    <s v="Advocates Meeting"/>
    <s v="Public Law Children"/>
    <s v="Advocacy"/>
    <s v="KL"/>
    <s v="Y"/>
    <n v="128.16"/>
    <n v="25.63"/>
    <x v="4"/>
    <s v="VALIDATED"/>
    <n v="1"/>
    <s v="01.11.80.308.6100.0000"/>
    <n v="128.16"/>
    <s v="11"/>
    <s v="6100"/>
    <n v="24809.75"/>
    <n v="128.16"/>
    <s v="CREDITOR"/>
    <n v="0"/>
    <n v="0"/>
    <n v="0"/>
    <n v="0"/>
    <n v="128.16"/>
  </r>
  <r>
    <n v="61035075"/>
    <s v="N"/>
    <n v="21331005"/>
    <s v="3000015236260008"/>
    <s v="CIVIL"/>
    <d v="2023-06-23T00:00:00"/>
    <d v="2023-07-05T19:01:47"/>
    <m/>
    <d v="2023-07-05T00:00:00"/>
    <n v="1656"/>
    <n v="15"/>
    <s v="61035075"/>
    <s v="61035075"/>
    <m/>
    <m/>
    <n v="22755974"/>
    <m/>
    <m/>
    <m/>
    <s v="SOLFIN"/>
    <s v="SOLFIN"/>
    <s v="CCMS"/>
    <n v="21331005"/>
    <n v="13010.51"/>
    <m/>
    <s v="N"/>
    <n v="17"/>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22"/>
    <d v="2023-07-05T19:02:01"/>
    <s v="Y"/>
    <s v="Report - Medical report"/>
    <s v="Prescribed Hourly Rates"/>
    <s v="Profit Cost"/>
    <s v="OB"/>
    <s v="Y"/>
    <n v="15.92"/>
    <n v="3.18"/>
    <x v="6"/>
    <s v="VALIDATED"/>
    <n v="1"/>
    <s v="01.11.80.307.6100.0000"/>
    <n v="15.92"/>
    <s v="11"/>
    <s v="6100"/>
    <n v="24809.75"/>
    <n v="15.92"/>
    <s v="CREDITOR"/>
    <n v="0"/>
    <n v="0"/>
    <n v="0"/>
    <n v="0"/>
    <n v="15.92"/>
  </r>
  <r>
    <n v="60815703"/>
    <s v="N"/>
    <n v="21328116"/>
    <s v="3000015047580009"/>
    <s v="CIVIL"/>
    <d v="2023-06-26T00:00:00"/>
    <d v="2023-07-04T19:00:44"/>
    <m/>
    <d v="2023-07-04T00:00:00"/>
    <n v="1656"/>
    <n v="15"/>
    <s v="60815703"/>
    <s v="60815703"/>
    <m/>
    <m/>
    <n v="22761074"/>
    <m/>
    <m/>
    <m/>
    <s v="SOLFIN"/>
    <s v="SOLFIN"/>
    <s v="CCMS"/>
    <n v="21328116"/>
    <n v="7019.44"/>
    <m/>
    <s v="N"/>
    <n v="22"/>
    <d v="2023-07-04T19:01:05"/>
    <s v="Y"/>
    <s v="Travel to court"/>
    <s v="Prescribed Hourly Rates"/>
    <s v="Profit Cost"/>
    <s v="AT"/>
    <s v="Y"/>
    <n v="51.34"/>
    <n v="10.27"/>
    <x v="1"/>
    <s v="VALIDATED"/>
    <n v="1"/>
    <s v="01.11.80.307.6100.0000"/>
    <n v="51.34"/>
    <s v="11"/>
    <s v="6100"/>
    <n v="24809.75"/>
    <n v="51.34"/>
    <s v="CREDITOR"/>
    <n v="0"/>
    <n v="0"/>
    <n v="0"/>
    <n v="0"/>
    <n v="51.34"/>
  </r>
  <r>
    <n v="60815703"/>
    <s v="N"/>
    <n v="21328116"/>
    <s v="3000015047580009"/>
    <s v="CIVIL"/>
    <d v="2023-06-26T00:00:00"/>
    <d v="2023-07-04T19:00:44"/>
    <m/>
    <d v="2023-07-04T00:00:00"/>
    <n v="1656"/>
    <n v="15"/>
    <s v="60815703"/>
    <s v="60815703"/>
    <m/>
    <m/>
    <n v="22761074"/>
    <m/>
    <m/>
    <m/>
    <s v="SOLFIN"/>
    <s v="SOLFIN"/>
    <s v="CCMS"/>
    <n v="21328116"/>
    <n v="7019.44"/>
    <m/>
    <s v="N"/>
    <n v="23"/>
    <d v="2023-07-04T19:01:05"/>
    <s v="Y"/>
    <s v="Preparation - drafting attendance n"/>
    <s v="Prescribed Hourly Rates"/>
    <s v="Profit Cost"/>
    <s v="AT"/>
    <s v="Y"/>
    <n v="13.73"/>
    <n v="2.75"/>
    <x v="1"/>
    <s v="VALIDATED"/>
    <n v="1"/>
    <s v="01.11.80.307.6100.0000"/>
    <n v="13.73"/>
    <s v="11"/>
    <s v="6100"/>
    <n v="24809.75"/>
    <n v="13.73"/>
    <s v="CREDITOR"/>
    <n v="0"/>
    <n v="0"/>
    <n v="0"/>
    <n v="0"/>
    <n v="13.73"/>
  </r>
  <r>
    <n v="62111736"/>
    <s v="N"/>
    <n v="21323119"/>
    <s v="3000016136600003"/>
    <s v="CIVIL"/>
    <d v="2023-06-29T00:00:00"/>
    <d v="2023-07-03T19:05:36"/>
    <m/>
    <d v="2023-07-03T00:00:00"/>
    <n v="1656"/>
    <n v="15"/>
    <s v="62111736"/>
    <s v="62111736"/>
    <m/>
    <m/>
    <n v="22791626"/>
    <m/>
    <m/>
    <m/>
    <s v="SOLPOA"/>
    <s v="SOLPOA"/>
    <s v="CCMS"/>
    <n v="21323119"/>
    <n v="116.33"/>
    <m/>
    <s v="N"/>
    <n v="1"/>
    <d v="2023-07-03T19:05:41"/>
    <s v="N"/>
    <s v="Non Expert Disbursement"/>
    <s v="Non Expert Disbursement"/>
    <s v="Non Expert Disbursement"/>
    <s v="HW"/>
    <s v="N"/>
    <n v="96.94"/>
    <n v="19.39"/>
    <x v="3"/>
    <s v="VALIDATED"/>
    <n v="1"/>
    <s v="01.11.80.308.2012.0000"/>
    <n v="96.94"/>
    <s v="11"/>
    <s v="2012"/>
    <n v="24809.75"/>
    <n v="96.94"/>
    <s v="CREDITOR"/>
    <n v="96.94"/>
    <n v="0"/>
    <n v="0"/>
    <n v="0"/>
    <n v="0"/>
  </r>
  <r>
    <n v="56437778"/>
    <s v="N"/>
    <n v="21350078"/>
    <s v="3000013430710007"/>
    <s v="CIVIL"/>
    <d v="2023-06-29T00:00:00"/>
    <d v="2023-07-10T19:01:40"/>
    <m/>
    <d v="2023-07-10T00:00:00"/>
    <n v="1656"/>
    <n v="15"/>
    <s v="56437778"/>
    <s v="56437778"/>
    <m/>
    <m/>
    <n v="22785264"/>
    <m/>
    <m/>
    <m/>
    <s v="SOLFIN"/>
    <s v="SOLFIN"/>
    <s v="CCMS"/>
    <n v="21350078"/>
    <n v="8978.99"/>
    <m/>
    <s v="N"/>
    <n v="40"/>
    <d v="2023-07-10T19:02:13"/>
    <s v="Y"/>
    <s v="Preparation - Periodic file review"/>
    <s v="Care Remuneration Hourly Rates"/>
    <s v="Profit Cost"/>
    <s v="KA"/>
    <s v="Y"/>
    <n v="18.14"/>
    <n v="3.63"/>
    <x v="2"/>
    <s v="VALIDATED"/>
    <n v="1"/>
    <s v="01.11.80.308.6100.0000"/>
    <n v="18.14"/>
    <s v="11"/>
    <s v="6100"/>
    <n v="24809.75"/>
    <n v="18.14"/>
    <s v="CREDITOR"/>
    <n v="0"/>
    <n v="0"/>
    <n v="0"/>
    <n v="0"/>
    <n v="18.14"/>
  </r>
  <r>
    <n v="61681898"/>
    <s v="N"/>
    <n v="21338489"/>
    <s v="3000015777230002"/>
    <s v="CIVIL"/>
    <d v="2023-06-30T00:00:00"/>
    <d v="2023-07-06T19:21:01"/>
    <m/>
    <d v="2023-07-06T00:00:00"/>
    <n v="1656"/>
    <n v="15"/>
    <s v="61681898"/>
    <s v="61681898"/>
    <m/>
    <m/>
    <n v="22797476"/>
    <m/>
    <m/>
    <m/>
    <s v="SOLFIN"/>
    <s v="SOLFIN"/>
    <s v="CCMS"/>
    <n v="21338489"/>
    <n v="4180.32"/>
    <m/>
    <s v="N"/>
    <n v="6"/>
    <d v="2023-07-06T19:21:26"/>
    <s v="Y"/>
    <s v="Hearing Unit 2.31 - 5.00 Hours"/>
    <s v="Public Law Children"/>
    <s v="Advocacy"/>
    <s v="KL"/>
    <s v="Y"/>
    <n v="433.62"/>
    <n v="86.72"/>
    <x v="4"/>
    <s v="VALIDATED"/>
    <n v="1"/>
    <s v="01.11.80.308.6100.0000"/>
    <n v="433.62"/>
    <s v="11"/>
    <s v="6100"/>
    <n v="24809.75"/>
    <n v="433.62"/>
    <s v="CREDITOR"/>
    <n v="0"/>
    <n v="0"/>
    <n v="0"/>
    <n v="0"/>
    <n v="433.62"/>
  </r>
  <r>
    <n v="60926076"/>
    <s v="N"/>
    <n v="21318612"/>
    <s v="3000015144550009"/>
    <s v="CIVIL"/>
    <d v="2023-06-26T00:00:00"/>
    <d v="2023-07-03T19:01:49"/>
    <m/>
    <d v="2023-07-03T00:00:00"/>
    <n v="1656"/>
    <n v="15"/>
    <s v="60926076"/>
    <s v="60926076"/>
    <m/>
    <m/>
    <n v="22760596"/>
    <m/>
    <m/>
    <m/>
    <s v="SOLPOA"/>
    <s v="SOLPOA"/>
    <s v="CCMS"/>
    <n v="21318612"/>
    <n v="811.84"/>
    <m/>
    <s v="N"/>
    <n v="1"/>
    <d v="2023-07-03T19:02:00"/>
    <s v="N"/>
    <s v="Expert Cost"/>
    <s v="Expert Cost"/>
    <s v="Expert Disbursement"/>
    <s v="KA"/>
    <s v="N"/>
    <n v="676.53"/>
    <n v="135.31"/>
    <x v="3"/>
    <s v="VALIDATED"/>
    <n v="1"/>
    <s v="01.11.80.308.2012.0000"/>
    <n v="676.53"/>
    <s v="11"/>
    <s v="2012"/>
    <n v="24809.75"/>
    <n v="676.53"/>
    <s v="CREDITOR"/>
    <n v="676.53"/>
    <n v="0"/>
    <n v="0"/>
    <n v="0"/>
    <n v="0"/>
  </r>
  <r>
    <n v="56437778"/>
    <s v="N"/>
    <n v="21350078"/>
    <s v="3000013430710007"/>
    <s v="CIVIL"/>
    <d v="2023-06-29T00:00:00"/>
    <d v="2023-07-10T19:01:40"/>
    <m/>
    <d v="2023-07-10T00:00:00"/>
    <n v="1656"/>
    <n v="15"/>
    <s v="56437778"/>
    <s v="56437778"/>
    <m/>
    <m/>
    <n v="22785264"/>
    <m/>
    <m/>
    <m/>
    <s v="SOLFIN"/>
    <s v="SOLFIN"/>
    <s v="CCMS"/>
    <n v="21350078"/>
    <n v="8978.99"/>
    <m/>
    <s v="N"/>
    <n v="54"/>
    <d v="2023-07-10T19:02:13"/>
    <s v="Y"/>
    <s v="Preparation - drafting bill/claim f"/>
    <s v="Care Remuneration Hourly Rates"/>
    <s v="Profit Cost"/>
    <s v="KA"/>
    <s v="Y"/>
    <n v="30.23"/>
    <n v="6.05"/>
    <x v="2"/>
    <s v="VALIDATED"/>
    <n v="1"/>
    <s v="01.11.80.308.6100.0000"/>
    <n v="30.23"/>
    <s v="11"/>
    <s v="6100"/>
    <n v="24809.75"/>
    <n v="30.23"/>
    <s v="CREDITOR"/>
    <n v="0"/>
    <n v="0"/>
    <n v="0"/>
    <n v="0"/>
    <n v="30.23"/>
  </r>
  <r>
    <n v="61049069"/>
    <s v="N"/>
    <n v="21318381"/>
    <s v="3000015248580009"/>
    <s v="CIVIL"/>
    <d v="2023-06-15T00:00:00"/>
    <d v="2023-07-03T19:01:49"/>
    <m/>
    <d v="2023-07-03T00:00:00"/>
    <n v="1656"/>
    <n v="15"/>
    <s v="61049069"/>
    <s v="61049069"/>
    <m/>
    <m/>
    <n v="22701498"/>
    <m/>
    <m/>
    <m/>
    <s v="SOLFIN"/>
    <s v="SOLFIN"/>
    <s v="CCMS"/>
    <n v="21318381"/>
    <n v="8695.4"/>
    <m/>
    <s v="N"/>
    <n v="8"/>
    <d v="2023-07-03T19:01:54"/>
    <s v="Y"/>
    <s v="Preparation - drafting notice(s)"/>
    <s v="Prescribed Hourly Rates"/>
    <s v="Profit Cost"/>
    <s v="OB"/>
    <s v="Y"/>
    <n v="7.14"/>
    <n v="1.43"/>
    <x v="3"/>
    <s v="VALIDATED"/>
    <n v="1"/>
    <s v="01.11.80.307.6100.0000"/>
    <n v="7.14"/>
    <s v="11"/>
    <s v="6100"/>
    <n v="24809.75"/>
    <n v="7.14"/>
    <s v="CREDITOR"/>
    <n v="0"/>
    <n v="0"/>
    <n v="0"/>
    <n v="0"/>
    <n v="7.14"/>
  </r>
  <r>
    <n v="56437778"/>
    <s v="N"/>
    <n v="21350078"/>
    <s v="3000013430710007"/>
    <s v="CIVIL"/>
    <d v="2023-06-29T00:00:00"/>
    <d v="2023-07-10T19:01:40"/>
    <m/>
    <d v="2023-07-10T00:00:00"/>
    <n v="1656"/>
    <n v="15"/>
    <s v="56437778"/>
    <s v="56437778"/>
    <m/>
    <m/>
    <n v="22785264"/>
    <m/>
    <m/>
    <m/>
    <s v="SOLFIN"/>
    <s v="SOLFIN"/>
    <s v="CCMS"/>
    <n v="21350078"/>
    <n v="8978.99"/>
    <m/>
    <s v="N"/>
    <n v="3"/>
    <d v="2023-07-10T19:02:13"/>
    <s v="Y"/>
    <s v="Preparation - drafting notice(s)"/>
    <s v="Care Remuneration Hourly Rates"/>
    <s v="Profit Cost"/>
    <s v="KA"/>
    <s v="Y"/>
    <n v="6.05"/>
    <n v="1.21"/>
    <x v="2"/>
    <s v="VALIDATED"/>
    <n v="1"/>
    <s v="01.11.80.308.6100.0000"/>
    <n v="6.05"/>
    <s v="11"/>
    <s v="6100"/>
    <n v="24809.75"/>
    <n v="6.05"/>
    <s v="CREDITOR"/>
    <n v="0"/>
    <n v="0"/>
    <n v="0"/>
    <n v="0"/>
    <n v="6.05"/>
  </r>
  <r>
    <n v="61035075"/>
    <s v="N"/>
    <n v="21331005"/>
    <s v="3000015236260008"/>
    <s v="CIVIL"/>
    <d v="2023-06-23T00:00:00"/>
    <d v="2023-07-05T19:01:47"/>
    <m/>
    <d v="2023-07-05T00:00:00"/>
    <n v="1656"/>
    <n v="15"/>
    <s v="61035075"/>
    <s v="61035075"/>
    <m/>
    <m/>
    <n v="22755974"/>
    <m/>
    <m/>
    <m/>
    <s v="SOLFIN"/>
    <s v="SOLFIN"/>
    <s v="CCMS"/>
    <n v="21331005"/>
    <n v="13010.51"/>
    <m/>
    <s v="N"/>
    <n v="44"/>
    <d v="2023-07-05T19:02:01"/>
    <s v="Y"/>
    <s v="Preparation - drafting application"/>
    <s v="Prescribed Hourly Rates"/>
    <s v="Profit Cost"/>
    <s v="JW"/>
    <s v="Y"/>
    <n v="5.49"/>
    <n v="1.1"/>
    <x v="6"/>
    <s v="VALIDATED"/>
    <n v="1"/>
    <s v="01.11.80.307.6100.0000"/>
    <n v="5.49"/>
    <s v="11"/>
    <s v="6100"/>
    <n v="24809.75"/>
    <n v="5.49"/>
    <s v="CREDITOR"/>
    <n v="0"/>
    <n v="0"/>
    <n v="0"/>
    <n v="0"/>
    <n v="5.49"/>
  </r>
  <r>
    <n v="61035075"/>
    <s v="N"/>
    <n v="21331005"/>
    <s v="3000015236260008"/>
    <s v="CIVIL"/>
    <d v="2023-06-23T00:00:00"/>
    <d v="2023-07-05T19:01:47"/>
    <m/>
    <d v="2023-07-05T00:00:00"/>
    <n v="1656"/>
    <n v="15"/>
    <s v="61035075"/>
    <s v="61035075"/>
    <m/>
    <m/>
    <n v="22755974"/>
    <m/>
    <m/>
    <m/>
    <s v="SOLFIN"/>
    <s v="SOLFIN"/>
    <s v="CCMS"/>
    <n v="21331005"/>
    <n v="13010.51"/>
    <m/>
    <s v="N"/>
    <n v="72"/>
    <d v="2023-07-05T19:02:01"/>
    <s v="Y"/>
    <s v="Preparation - other"/>
    <s v="Prescribed Hourly Rates"/>
    <s v="Profit Cost"/>
    <s v="OB"/>
    <s v="Y"/>
    <n v="79.61"/>
    <n v="15.92"/>
    <x v="6"/>
    <s v="VALIDATED"/>
    <n v="1"/>
    <s v="01.11.80.307.6100.0000"/>
    <n v="79.61"/>
    <s v="11"/>
    <s v="6100"/>
    <n v="24809.75"/>
    <n v="79.61"/>
    <s v="CREDITOR"/>
    <n v="0"/>
    <n v="0"/>
    <n v="0"/>
    <n v="0"/>
    <n v="79.61"/>
  </r>
  <r>
    <n v="61035075"/>
    <s v="N"/>
    <n v="21331005"/>
    <s v="3000015236260008"/>
    <s v="CIVIL"/>
    <d v="2023-06-23T00:00:00"/>
    <d v="2023-07-05T19:01:47"/>
    <m/>
    <d v="2023-07-05T00:00:00"/>
    <n v="1656"/>
    <n v="15"/>
    <s v="61035075"/>
    <s v="61035075"/>
    <m/>
    <m/>
    <n v="22755974"/>
    <m/>
    <m/>
    <m/>
    <s v="SOLFIN"/>
    <s v="SOLFIN"/>
    <s v="CCMS"/>
    <n v="21331005"/>
    <n v="13010.51"/>
    <m/>
    <s v="N"/>
    <n v="39"/>
    <d v="2023-07-05T19:02:01"/>
    <s v="Y"/>
    <s v="Attendance upon court"/>
    <s v="Prescribed Hourly Rates"/>
    <s v="Profit Cost"/>
    <s v="OB"/>
    <s v="Y"/>
    <n v="119.41"/>
    <n v="23.88"/>
    <x v="6"/>
    <s v="VALIDATED"/>
    <n v="1"/>
    <s v="01.11.80.307.6100.0000"/>
    <n v="119.41"/>
    <s v="11"/>
    <s v="6100"/>
    <n v="24809.75"/>
    <n v="119.41"/>
    <s v="CREDITOR"/>
    <n v="0"/>
    <n v="0"/>
    <n v="0"/>
    <n v="0"/>
    <n v="119.41"/>
  </r>
  <r>
    <n v="61035075"/>
    <s v="N"/>
    <n v="21331005"/>
    <s v="3000015236260008"/>
    <s v="CIVIL"/>
    <d v="2023-06-23T00:00:00"/>
    <d v="2023-07-05T19:01:47"/>
    <m/>
    <d v="2023-07-05T00:00:00"/>
    <n v="1656"/>
    <n v="15"/>
    <s v="61035075"/>
    <s v="61035075"/>
    <m/>
    <m/>
    <n v="22755974"/>
    <m/>
    <m/>
    <m/>
    <s v="SOLFIN"/>
    <s v="SOLFIN"/>
    <s v="CCMS"/>
    <n v="21331005"/>
    <n v="13010.51"/>
    <m/>
    <s v="N"/>
    <n v="42"/>
    <d v="2023-07-05T19:02:01"/>
    <s v="Y"/>
    <s v="Preparation - drafting attendance n"/>
    <s v="Prescribed Hourly Rates"/>
    <s v="Profit Cost"/>
    <s v="OB"/>
    <s v="Y"/>
    <n v="7.96"/>
    <n v="1.59"/>
    <x v="6"/>
    <s v="VALIDATED"/>
    <n v="1"/>
    <s v="01.11.80.307.6100.0000"/>
    <n v="7.96"/>
    <s v="11"/>
    <s v="6100"/>
    <n v="24809.75"/>
    <n v="7.96"/>
    <s v="CREDITOR"/>
    <n v="0"/>
    <n v="0"/>
    <n v="0"/>
    <n v="0"/>
    <n v="7.96"/>
  </r>
  <r>
    <n v="60815703"/>
    <s v="N"/>
    <n v="21328116"/>
    <s v="3000015047580009"/>
    <s v="CIVIL"/>
    <d v="2023-06-26T00:00:00"/>
    <d v="2023-07-04T19:00:44"/>
    <m/>
    <d v="2023-07-04T00:00:00"/>
    <n v="1656"/>
    <n v="15"/>
    <s v="60815703"/>
    <s v="60815703"/>
    <m/>
    <m/>
    <n v="22761074"/>
    <m/>
    <m/>
    <m/>
    <s v="SOLFIN"/>
    <s v="SOLFIN"/>
    <s v="CCMS"/>
    <n v="21328116"/>
    <n v="7019.44"/>
    <m/>
    <s v="N"/>
    <n v="50"/>
    <d v="2023-07-04T19:01:05"/>
    <s v="Y"/>
    <s v="Preparation - drafting application"/>
    <s v="Prescribed Hourly Rates"/>
    <s v="Profit Cost"/>
    <s v="JK"/>
    <s v="Y"/>
    <n v="5.49"/>
    <n v="1.1"/>
    <x v="1"/>
    <s v="VALIDATED"/>
    <n v="1"/>
    <s v="01.11.80.307.6100.0000"/>
    <n v="5.49"/>
    <s v="11"/>
    <s v="6100"/>
    <n v="24809.75"/>
    <n v="5.49"/>
    <s v="CREDITOR"/>
    <n v="0"/>
    <n v="0"/>
    <n v="0"/>
    <n v="0"/>
    <n v="5.49"/>
  </r>
  <r>
    <n v="60815703"/>
    <s v="N"/>
    <n v="21328116"/>
    <s v="3000015047580009"/>
    <s v="CIVIL"/>
    <d v="2023-06-26T00:00:00"/>
    <d v="2023-07-04T19:00:44"/>
    <m/>
    <d v="2023-07-04T00:00:00"/>
    <n v="1656"/>
    <n v="15"/>
    <s v="60815703"/>
    <s v="60815703"/>
    <m/>
    <m/>
    <n v="22761074"/>
    <m/>
    <m/>
    <m/>
    <s v="SOLFIN"/>
    <s v="SOLFIN"/>
    <s v="CCMS"/>
    <n v="21328116"/>
    <n v="7019.44"/>
    <m/>
    <s v="N"/>
    <n v="37"/>
    <d v="2023-07-04T19:01:05"/>
    <s v="Y"/>
    <s v="Preparation - drafting attendance n"/>
    <s v="Prescribed Hourly Rates"/>
    <s v="Profit Cost"/>
    <s v="AT"/>
    <s v="Y"/>
    <n v="6.86"/>
    <n v="1.37"/>
    <x v="1"/>
    <s v="VALIDATED"/>
    <n v="1"/>
    <s v="01.11.80.307.6100.0000"/>
    <n v="6.86"/>
    <s v="11"/>
    <s v="6100"/>
    <n v="24809.75"/>
    <n v="6.86"/>
    <s v="CREDITOR"/>
    <n v="0"/>
    <n v="0"/>
    <n v="0"/>
    <n v="0"/>
    <n v="6.86"/>
  </r>
  <r>
    <n v="60815703"/>
    <s v="N"/>
    <n v="21328116"/>
    <s v="3000015047580009"/>
    <s v="CIVIL"/>
    <d v="2023-06-26T00:00:00"/>
    <d v="2023-07-04T19:00:44"/>
    <m/>
    <d v="2023-07-04T00:00:00"/>
    <n v="1656"/>
    <n v="15"/>
    <s v="60815703"/>
    <s v="60815703"/>
    <m/>
    <m/>
    <n v="22761074"/>
    <m/>
    <m/>
    <m/>
    <s v="SOLFIN"/>
    <s v="SOLFIN"/>
    <s v="CCMS"/>
    <n v="21328116"/>
    <n v="7019.44"/>
    <m/>
    <s v="N"/>
    <n v="15"/>
    <d v="2023-07-04T19:01:05"/>
    <s v="Y"/>
    <s v="Preparation - drafting statement"/>
    <s v="Prescribed Hourly Rates"/>
    <s v="Profit Cost"/>
    <s v="AT"/>
    <s v="Y"/>
    <n v="6.86"/>
    <n v="1.37"/>
    <x v="1"/>
    <s v="VALIDATED"/>
    <n v="1"/>
    <s v="01.11.80.307.6100.0000"/>
    <n v="6.86"/>
    <s v="11"/>
    <s v="6100"/>
    <n v="24809.75"/>
    <n v="6.86"/>
    <s v="CREDITOR"/>
    <n v="0"/>
    <n v="0"/>
    <n v="0"/>
    <n v="0"/>
    <n v="6.86"/>
  </r>
  <r>
    <n v="61049069"/>
    <s v="N"/>
    <n v="21318381"/>
    <s v="3000015248580009"/>
    <s v="CIVIL"/>
    <d v="2023-06-15T00:00:00"/>
    <d v="2023-07-03T19:01:49"/>
    <m/>
    <d v="2023-07-03T00:00:00"/>
    <n v="1656"/>
    <n v="15"/>
    <s v="61049069"/>
    <s v="61049069"/>
    <m/>
    <m/>
    <n v="22701498"/>
    <m/>
    <m/>
    <m/>
    <s v="SOLFIN"/>
    <s v="SOLFIN"/>
    <s v="CCMS"/>
    <n v="21318381"/>
    <n v="8695.4"/>
    <m/>
    <s v="N"/>
    <n v="46"/>
    <d v="2023-07-03T19:01:54"/>
    <s v="Y"/>
    <s v="Preparation - other"/>
    <s v="Prescribed Hourly Rates"/>
    <s v="Profit Cost"/>
    <s v="OB"/>
    <s v="Y"/>
    <n v="128.47"/>
    <n v="25.69"/>
    <x v="3"/>
    <s v="VALIDATED"/>
    <n v="1"/>
    <s v="01.11.80.307.6100.0000"/>
    <n v="128.47"/>
    <s v="11"/>
    <s v="6100"/>
    <n v="24809.75"/>
    <n v="128.47"/>
    <s v="CREDITOR"/>
    <n v="0"/>
    <n v="0"/>
    <n v="0"/>
    <n v="0"/>
    <n v="128.47"/>
  </r>
  <r>
    <n v="61049069"/>
    <s v="N"/>
    <n v="21318381"/>
    <s v="3000015248580009"/>
    <s v="CIVIL"/>
    <d v="2023-06-15T00:00:00"/>
    <d v="2023-07-03T19:01:49"/>
    <m/>
    <d v="2023-07-03T00:00:00"/>
    <n v="1656"/>
    <n v="15"/>
    <s v="61049069"/>
    <s v="61049069"/>
    <m/>
    <m/>
    <n v="22701498"/>
    <m/>
    <m/>
    <m/>
    <s v="SOLFIN"/>
    <s v="SOLFIN"/>
    <s v="CCMS"/>
    <n v="21318381"/>
    <n v="8695.4"/>
    <m/>
    <s v="N"/>
    <n v="57"/>
    <d v="2023-07-03T19:01:54"/>
    <s v="Y"/>
    <s v="Preparation - drafting instructions"/>
    <s v="Prescribed Hourly Rates"/>
    <s v="Profit Cost"/>
    <s v="OB"/>
    <s v="Y"/>
    <n v="14.27"/>
    <n v="2.85"/>
    <x v="3"/>
    <s v="VALIDATED"/>
    <n v="1"/>
    <s v="01.11.80.307.6100.0000"/>
    <n v="14.27"/>
    <s v="11"/>
    <s v="6100"/>
    <n v="24809.75"/>
    <n v="14.27"/>
    <s v="CREDITOR"/>
    <n v="0"/>
    <n v="0"/>
    <n v="0"/>
    <n v="0"/>
    <n v="14.27"/>
  </r>
  <r>
    <n v="61049069"/>
    <s v="N"/>
    <n v="21318381"/>
    <s v="3000015248580009"/>
    <s v="CIVIL"/>
    <d v="2023-06-15T00:00:00"/>
    <d v="2023-07-03T19:01:49"/>
    <m/>
    <d v="2023-07-03T00:00:00"/>
    <n v="1656"/>
    <n v="15"/>
    <s v="61049069"/>
    <s v="61049069"/>
    <m/>
    <m/>
    <n v="22701498"/>
    <m/>
    <m/>
    <m/>
    <s v="SOLFIN"/>
    <s v="SOLFIN"/>
    <s v="CCMS"/>
    <n v="21318381"/>
    <n v="8695.4"/>
    <m/>
    <s v="N"/>
    <n v="66"/>
    <d v="2023-07-03T19:01:54"/>
    <s v="Y"/>
    <s v="Routine Telephone Call"/>
    <s v="Prescribed Hourly Rates"/>
    <s v="Profit Cost"/>
    <s v="OB"/>
    <s v="Y"/>
    <n v="37.26"/>
    <n v="7.45"/>
    <x v="3"/>
    <s v="VALIDATED"/>
    <n v="1"/>
    <s v="01.11.80.307.6100.0000"/>
    <n v="37.26"/>
    <s v="11"/>
    <s v="6100"/>
    <n v="24809.75"/>
    <n v="37.26"/>
    <s v="CREDITOR"/>
    <n v="0"/>
    <n v="0"/>
    <n v="0"/>
    <n v="0"/>
    <n v="37.26"/>
  </r>
  <r>
    <n v="56437778"/>
    <s v="N"/>
    <n v="21350078"/>
    <s v="3000013430710007"/>
    <s v="CIVIL"/>
    <d v="2023-06-29T00:00:00"/>
    <d v="2023-07-10T19:01:40"/>
    <m/>
    <d v="2023-07-10T00:00:00"/>
    <n v="1656"/>
    <n v="15"/>
    <s v="56437778"/>
    <s v="56437778"/>
    <m/>
    <m/>
    <n v="22785264"/>
    <m/>
    <m/>
    <m/>
    <s v="SOLFIN"/>
    <s v="SOLFIN"/>
    <s v="CCMS"/>
    <n v="21350078"/>
    <n v="8978.99"/>
    <m/>
    <s v="N"/>
    <n v="48"/>
    <d v="2023-07-10T19:02:13"/>
    <s v="Y"/>
    <s v="Preparation - Periodic file review"/>
    <s v="Care Remuneration Hourly Rates"/>
    <s v="Profit Cost"/>
    <s v="KA"/>
    <s v="Y"/>
    <n v="18.14"/>
    <n v="3.63"/>
    <x v="2"/>
    <s v="VALIDATED"/>
    <n v="1"/>
    <s v="01.11.80.308.6100.0000"/>
    <n v="18.14"/>
    <s v="11"/>
    <s v="6100"/>
    <n v="24809.75"/>
    <n v="18.14"/>
    <s v="CREDITOR"/>
    <n v="0"/>
    <n v="0"/>
    <n v="0"/>
    <n v="0"/>
    <n v="18.14"/>
  </r>
  <r>
    <n v="56437778"/>
    <s v="N"/>
    <n v="21350078"/>
    <s v="3000013430710007"/>
    <s v="CIVIL"/>
    <d v="2023-06-29T00:00:00"/>
    <d v="2023-07-10T19:01:40"/>
    <m/>
    <d v="2023-07-10T00:00:00"/>
    <n v="1656"/>
    <n v="15"/>
    <s v="56437778"/>
    <s v="56437778"/>
    <m/>
    <m/>
    <n v="22785264"/>
    <m/>
    <m/>
    <m/>
    <s v="SOLFIN"/>
    <s v="SOLFIN"/>
    <s v="CCMS"/>
    <n v="21350078"/>
    <n v="8978.99"/>
    <m/>
    <s v="N"/>
    <n v="62"/>
    <d v="2023-07-10T19:02:13"/>
    <s v="Y"/>
    <s v="Court Fee"/>
    <s v="Care Remuneration Hourly Rates"/>
    <s v="Non Expert Disbursement"/>
    <s v="XXX"/>
    <s v="Y"/>
    <n v="155"/>
    <n v="0"/>
    <x v="2"/>
    <s v="VALIDATED"/>
    <n v="1"/>
    <s v="01.11.80.308.6300.0000"/>
    <n v="155"/>
    <s v="11"/>
    <s v="6300"/>
    <n v="24809.75"/>
    <n v="155"/>
    <s v="CREDITOR"/>
    <n v="0"/>
    <n v="0"/>
    <n v="0"/>
    <n v="0"/>
    <n v="155"/>
  </r>
  <r>
    <n v="60815703"/>
    <s v="N"/>
    <n v="21328116"/>
    <s v="3000015047580009"/>
    <s v="CIVIL"/>
    <d v="2023-06-26T00:00:00"/>
    <d v="2023-07-04T19:00:44"/>
    <m/>
    <d v="2023-07-04T00:00:00"/>
    <n v="1656"/>
    <n v="15"/>
    <s v="60815703"/>
    <s v="60815703"/>
    <m/>
    <m/>
    <n v="22761074"/>
    <m/>
    <m/>
    <m/>
    <s v="SOLFIN"/>
    <s v="SOLFIN"/>
    <s v="CCMS"/>
    <n v="21328116"/>
    <n v="7019.44"/>
    <m/>
    <s v="N"/>
    <n v="62"/>
    <d v="2023-07-04T19:01:05"/>
    <s v="Y"/>
    <s v="Preparation - drafting instructions"/>
    <s v="Prescribed Hourly Rates"/>
    <s v="Profit Cost"/>
    <s v="JK"/>
    <s v="Y"/>
    <n v="87.84"/>
    <n v="17.57"/>
    <x v="1"/>
    <s v="VALIDATED"/>
    <n v="1"/>
    <s v="01.11.80.307.6100.0000"/>
    <n v="87.84"/>
    <s v="11"/>
    <s v="6100"/>
    <n v="24809.75"/>
    <n v="87.84"/>
    <s v="CREDITOR"/>
    <n v="0"/>
    <n v="0"/>
    <n v="0"/>
    <n v="0"/>
    <n v="87.84"/>
  </r>
  <r>
    <n v="56437778"/>
    <s v="N"/>
    <n v="21350078"/>
    <s v="3000013430710007"/>
    <s v="CIVIL"/>
    <d v="2023-06-29T00:00:00"/>
    <d v="2023-07-10T19:01:40"/>
    <m/>
    <d v="2023-07-10T00:00:00"/>
    <n v="1656"/>
    <n v="15"/>
    <s v="56437778"/>
    <s v="56437778"/>
    <m/>
    <m/>
    <n v="22785264"/>
    <m/>
    <m/>
    <m/>
    <s v="SOLFIN"/>
    <s v="SOLFIN"/>
    <s v="CCMS"/>
    <n v="21350078"/>
    <n v="8978.99"/>
    <m/>
    <s v="N"/>
    <n v="61"/>
    <d v="2023-07-10T19:02:13"/>
    <s v="N"/>
    <s v="Solicitors Fixed Fee"/>
    <s v="Public Law Children"/>
    <s v="Profit Cost"/>
    <s v="XXX"/>
    <s v="N"/>
    <n v="0"/>
    <n v="0"/>
    <x v="2"/>
    <s v="VALIDATED"/>
    <n v="1"/>
    <s v="01.11.80.308.6100.0000"/>
    <n v="0"/>
    <s v="11"/>
    <s v="6100"/>
    <n v="24809.75"/>
    <n v="0"/>
    <s v="CREDITOR"/>
    <n v="0"/>
    <n v="0"/>
    <n v="0"/>
    <n v="0"/>
    <n v="0"/>
  </r>
  <r>
    <n v="56437778"/>
    <s v="N"/>
    <n v="21350078"/>
    <s v="3000013430710007"/>
    <s v="CIVIL"/>
    <d v="2023-06-29T00:00:00"/>
    <d v="2023-07-10T19:01:40"/>
    <m/>
    <d v="2023-07-10T00:00:00"/>
    <n v="1656"/>
    <n v="15"/>
    <s v="56437778"/>
    <s v="56437778"/>
    <m/>
    <m/>
    <n v="22785264"/>
    <m/>
    <m/>
    <m/>
    <s v="SOLFIN"/>
    <s v="SOLFIN"/>
    <s v="CCMS"/>
    <n v="21350078"/>
    <n v="8978.99"/>
    <m/>
    <s v="N"/>
    <n v="71"/>
    <d v="2023-07-10T19:02:13"/>
    <s v="Y"/>
    <s v="Hearing Unit 2.31 - 5.00 Hours"/>
    <s v="Public Law Children"/>
    <s v="Advocacy"/>
    <s v="KA"/>
    <s v="Y"/>
    <n v="476.92"/>
    <n v="95.39"/>
    <x v="2"/>
    <s v="VALIDATED"/>
    <n v="1"/>
    <s v="01.11.80.308.6100.0000"/>
    <n v="476.92"/>
    <s v="11"/>
    <s v="6100"/>
    <n v="24809.75"/>
    <n v="476.92"/>
    <s v="CREDITOR"/>
    <n v="0"/>
    <n v="0"/>
    <n v="0"/>
    <n v="0"/>
    <n v="476.92"/>
  </r>
  <r>
    <n v="56437778"/>
    <s v="N"/>
    <n v="21350078"/>
    <s v="3000013430710007"/>
    <s v="CIVIL"/>
    <d v="2023-06-29T00:00:00"/>
    <d v="2023-07-10T19:01:40"/>
    <m/>
    <d v="2023-07-10T00:00:00"/>
    <n v="1656"/>
    <n v="15"/>
    <s v="56437778"/>
    <s v="56437778"/>
    <m/>
    <m/>
    <n v="22785264"/>
    <m/>
    <m/>
    <m/>
    <s v="SOLFIN"/>
    <s v="SOLFIN"/>
    <s v="CCMS"/>
    <n v="21350078"/>
    <n v="8978.99"/>
    <m/>
    <s v="N"/>
    <n v="11"/>
    <d v="2023-07-10T19:02:13"/>
    <s v="Y"/>
    <s v="Preparation - drafting consent orde"/>
    <s v="Care Remuneration Hourly Rates"/>
    <s v="Profit Cost"/>
    <s v="HS"/>
    <s v="Y"/>
    <n v="10.51"/>
    <n v="2.1"/>
    <x v="2"/>
    <s v="VALIDATED"/>
    <n v="1"/>
    <s v="01.11.80.308.6100.0000"/>
    <n v="10.51"/>
    <s v="11"/>
    <s v="6100"/>
    <n v="24809.75"/>
    <n v="10.51"/>
    <s v="CREDITOR"/>
    <n v="0"/>
    <n v="0"/>
    <n v="0"/>
    <n v="0"/>
    <n v="10.51"/>
  </r>
  <r>
    <n v="60815703"/>
    <s v="N"/>
    <n v="21328116"/>
    <s v="3000015047580009"/>
    <s v="CIVIL"/>
    <d v="2023-06-26T00:00:00"/>
    <d v="2023-07-04T19:00:44"/>
    <m/>
    <d v="2023-07-04T00:00:00"/>
    <n v="1656"/>
    <n v="15"/>
    <s v="60815703"/>
    <s v="60815703"/>
    <m/>
    <m/>
    <n v="22761074"/>
    <m/>
    <m/>
    <m/>
    <s v="SOLFIN"/>
    <s v="SOLFIN"/>
    <s v="CCMS"/>
    <n v="21328116"/>
    <n v="7019.44"/>
    <m/>
    <s v="N"/>
    <n v="24"/>
    <d v="2023-07-04T19:01:05"/>
    <s v="Y"/>
    <s v="Preparation - drafting consent orde"/>
    <s v="Prescribed Hourly Rates"/>
    <s v="Profit Cost"/>
    <s v="AT"/>
    <s v="Y"/>
    <n v="27.45"/>
    <n v="5.49"/>
    <x v="1"/>
    <s v="VALIDATED"/>
    <n v="1"/>
    <s v="01.11.80.307.6100.0000"/>
    <n v="27.45"/>
    <s v="11"/>
    <s v="6100"/>
    <n v="24809.75"/>
    <n v="27.45"/>
    <s v="CREDITOR"/>
    <n v="0"/>
    <n v="0"/>
    <n v="0"/>
    <n v="0"/>
    <n v="27.45"/>
  </r>
  <r>
    <n v="61035075"/>
    <s v="N"/>
    <n v="21331005"/>
    <s v="3000015236260008"/>
    <s v="CIVIL"/>
    <d v="2023-06-23T00:00:00"/>
    <d v="2023-07-05T19:01:47"/>
    <m/>
    <d v="2023-07-05T00:00:00"/>
    <n v="1656"/>
    <n v="15"/>
    <s v="61035075"/>
    <s v="61035075"/>
    <m/>
    <m/>
    <n v="22755974"/>
    <m/>
    <m/>
    <m/>
    <s v="SOLFIN"/>
    <s v="SOLFIN"/>
    <s v="CCMS"/>
    <n v="21331005"/>
    <n v="13010.51"/>
    <m/>
    <s v="N"/>
    <n v="70"/>
    <d v="2023-07-05T19:02:01"/>
    <s v="Y"/>
    <s v="Preparation - other"/>
    <s v="Prescribed Hourly Rates"/>
    <s v="Profit Cost"/>
    <s v="OB"/>
    <s v="Y"/>
    <n v="39.8"/>
    <n v="7.96"/>
    <x v="6"/>
    <s v="VALIDATED"/>
    <n v="1"/>
    <s v="01.11.80.307.6100.0000"/>
    <n v="39.8"/>
    <s v="11"/>
    <s v="6100"/>
    <n v="24809.75"/>
    <n v="39.8"/>
    <s v="CREDITOR"/>
    <n v="0"/>
    <n v="0"/>
    <n v="0"/>
    <n v="0"/>
    <n v="39.8"/>
  </r>
  <r>
    <n v="60815703"/>
    <s v="N"/>
    <n v="21328116"/>
    <s v="3000015047580009"/>
    <s v="CIVIL"/>
    <d v="2023-06-26T00:00:00"/>
    <d v="2023-07-04T19:00:44"/>
    <m/>
    <d v="2023-07-04T00:00:00"/>
    <n v="1656"/>
    <n v="15"/>
    <s v="60815703"/>
    <s v="60815703"/>
    <m/>
    <m/>
    <n v="22761074"/>
    <m/>
    <m/>
    <m/>
    <s v="SOLFIN"/>
    <s v="SOLFIN"/>
    <s v="CCMS"/>
    <n v="21328116"/>
    <n v="7019.44"/>
    <m/>
    <s v="N"/>
    <n v="2"/>
    <d v="2023-07-04T19:01:05"/>
    <s v="Y"/>
    <s v="Solicitor Travel Expenses"/>
    <s v="Prescribed Hourly Rates"/>
    <s v="Non Expert Disbursement"/>
    <s v="AT"/>
    <s v="Y"/>
    <n v="9.31"/>
    <n v="0"/>
    <x v="1"/>
    <s v="VALIDATED"/>
    <n v="1"/>
    <s v="01.11.80.307.6300.0000"/>
    <n v="9.31"/>
    <s v="11"/>
    <s v="6300"/>
    <n v="24809.75"/>
    <n v="9.31"/>
    <s v="CREDITOR"/>
    <n v="0"/>
    <n v="0"/>
    <n v="0"/>
    <n v="0"/>
    <n v="9.31"/>
  </r>
  <r>
    <n v="60815703"/>
    <s v="N"/>
    <n v="21328116"/>
    <s v="3000015047580009"/>
    <s v="CIVIL"/>
    <d v="2023-06-26T00:00:00"/>
    <d v="2023-07-04T19:00:44"/>
    <m/>
    <d v="2023-07-04T00:00:00"/>
    <n v="1656"/>
    <n v="15"/>
    <s v="60815703"/>
    <s v="60815703"/>
    <m/>
    <m/>
    <n v="22761074"/>
    <m/>
    <m/>
    <m/>
    <s v="SOLFIN"/>
    <s v="SOLFIN"/>
    <s v="CCMS"/>
    <n v="21328116"/>
    <n v="7019.44"/>
    <m/>
    <s v="N"/>
    <n v="47"/>
    <d v="2023-07-04T19:01:05"/>
    <s v="Y"/>
    <s v="Preparation - drafting notice(s)"/>
    <s v="Prescribed Hourly Rates"/>
    <s v="Profit Cost"/>
    <s v="AT"/>
    <s v="Y"/>
    <n v="6.86"/>
    <n v="1.37"/>
    <x v="1"/>
    <s v="VALIDATED"/>
    <n v="1"/>
    <s v="01.11.80.307.6100.0000"/>
    <n v="6.86"/>
    <s v="11"/>
    <s v="6100"/>
    <n v="24809.75"/>
    <n v="6.86"/>
    <s v="CREDITOR"/>
    <n v="0"/>
    <n v="0"/>
    <n v="0"/>
    <n v="0"/>
    <n v="6.86"/>
  </r>
  <r>
    <n v="61049069"/>
    <s v="N"/>
    <n v="21318381"/>
    <s v="3000015248580009"/>
    <s v="CIVIL"/>
    <d v="2023-06-15T00:00:00"/>
    <d v="2023-07-03T19:01:49"/>
    <m/>
    <d v="2023-07-03T00:00:00"/>
    <n v="1656"/>
    <n v="15"/>
    <s v="61049069"/>
    <s v="61049069"/>
    <m/>
    <m/>
    <n v="22701498"/>
    <m/>
    <m/>
    <m/>
    <s v="SOLFIN"/>
    <s v="SOLFIN"/>
    <s v="CCMS"/>
    <n v="21318381"/>
    <n v="8695.4"/>
    <m/>
    <s v="N"/>
    <n v="20"/>
    <d v="2023-07-03T19:01:54"/>
    <s v="Y"/>
    <s v="Preparation - other"/>
    <s v="Prescribed Hourly Rates"/>
    <s v="Profit Cost"/>
    <s v="OB"/>
    <s v="Y"/>
    <n v="35.69"/>
    <n v="7.14"/>
    <x v="3"/>
    <s v="VALIDATED"/>
    <n v="1"/>
    <s v="01.11.80.307.6100.0000"/>
    <n v="35.69"/>
    <s v="11"/>
    <s v="6100"/>
    <n v="24809.75"/>
    <n v="35.69"/>
    <s v="CREDITOR"/>
    <n v="0"/>
    <n v="0"/>
    <n v="0"/>
    <n v="0"/>
    <n v="35.69"/>
  </r>
  <r>
    <n v="61035075"/>
    <s v="N"/>
    <n v="21331005"/>
    <s v="3000015236260008"/>
    <s v="CIVIL"/>
    <d v="2023-06-23T00:00:00"/>
    <d v="2023-07-05T19:01:47"/>
    <m/>
    <d v="2023-07-05T00:00:00"/>
    <n v="1656"/>
    <n v="15"/>
    <s v="61035075"/>
    <s v="61035075"/>
    <m/>
    <m/>
    <n v="22755974"/>
    <m/>
    <m/>
    <m/>
    <s v="SOLFIN"/>
    <s v="SOLFIN"/>
    <s v="CCMS"/>
    <n v="21331005"/>
    <n v="13010.51"/>
    <m/>
    <s v="N"/>
    <n v="1"/>
    <d v="2023-07-05T19:02:01"/>
    <s v="Y"/>
    <s v="Solicitor Travel Expenses"/>
    <s v="Prescribed Hourly Rates"/>
    <s v="Non Expert Disbursement"/>
    <s v="OB"/>
    <s v="Y"/>
    <n v="6.7"/>
    <n v="0"/>
    <x v="6"/>
    <s v="VALIDATED"/>
    <n v="1"/>
    <s v="01.11.80.307.6300.0000"/>
    <n v="6.7"/>
    <s v="11"/>
    <s v="6300"/>
    <n v="24809.75"/>
    <n v="6.7"/>
    <s v="CREDITOR"/>
    <n v="0"/>
    <n v="0"/>
    <n v="0"/>
    <n v="0"/>
    <n v="6.7"/>
  </r>
  <r>
    <n v="61035075"/>
    <s v="N"/>
    <n v="21331005"/>
    <s v="3000015236260008"/>
    <s v="CIVIL"/>
    <d v="2023-06-23T00:00:00"/>
    <d v="2023-07-05T19:01:47"/>
    <m/>
    <d v="2023-07-05T00:00:00"/>
    <n v="1656"/>
    <n v="15"/>
    <s v="61035075"/>
    <s v="61035075"/>
    <m/>
    <m/>
    <n v="22755974"/>
    <m/>
    <m/>
    <m/>
    <s v="SOLFIN"/>
    <s v="SOLFIN"/>
    <s v="CCMS"/>
    <n v="21331005"/>
    <n v="13010.51"/>
    <m/>
    <s v="N"/>
    <n v="45"/>
    <d v="2023-07-05T19:02:01"/>
    <s v="Y"/>
    <s v="Preparation - Periodic file review"/>
    <s v="Prescribed Hourly Rates"/>
    <s v="Profit Cost"/>
    <s v="OB"/>
    <s v="Y"/>
    <n v="79.61"/>
    <n v="15.92"/>
    <x v="6"/>
    <s v="VALIDATED"/>
    <n v="1"/>
    <s v="01.11.80.307.6100.0000"/>
    <n v="79.61"/>
    <s v="11"/>
    <s v="6100"/>
    <n v="24809.75"/>
    <n v="79.61"/>
    <s v="CREDITOR"/>
    <n v="0"/>
    <n v="0"/>
    <n v="0"/>
    <n v="0"/>
    <n v="79.61"/>
  </r>
  <r>
    <n v="61770541"/>
    <s v="N"/>
    <n v="21322159"/>
    <s v="3000015848260003"/>
    <s v="CIVIL"/>
    <d v="2023-06-29T00:00:00"/>
    <d v="2023-07-03T19:05:17"/>
    <m/>
    <d v="2023-07-03T00:00:00"/>
    <n v="1656"/>
    <n v="15"/>
    <s v="61770541"/>
    <s v="61770541"/>
    <m/>
    <m/>
    <n v="22788850"/>
    <m/>
    <m/>
    <m/>
    <s v="SOLPOA"/>
    <s v="SOLPOA"/>
    <s v="CCMS"/>
    <n v="21322159"/>
    <n v="1027.6"/>
    <m/>
    <s v="N"/>
    <n v="1"/>
    <d v="2023-07-03T19:05:22"/>
    <s v="N"/>
    <s v="Expert Cost"/>
    <s v="Expert Cost"/>
    <s v="Expert Disbursement"/>
    <s v="Daniela Maggioni"/>
    <s v="N"/>
    <n v="856.33"/>
    <n v="171.27"/>
    <x v="3"/>
    <s v="VALIDATED"/>
    <n v="1"/>
    <s v="01.11.80.308.2012.0000"/>
    <n v="856.33"/>
    <s v="11"/>
    <s v="2012"/>
    <n v="24809.75"/>
    <n v="856.33"/>
    <s v="CREDITOR"/>
    <n v="856.33"/>
    <n v="0"/>
    <n v="0"/>
    <n v="0"/>
    <n v="0"/>
  </r>
  <r>
    <n v="60815703"/>
    <s v="N"/>
    <n v="21328116"/>
    <s v="3000015047580009"/>
    <s v="CIVIL"/>
    <d v="2023-06-26T00:00:00"/>
    <d v="2023-07-04T19:00:44"/>
    <m/>
    <d v="2023-07-04T00:00:00"/>
    <n v="1656"/>
    <n v="15"/>
    <s v="60815703"/>
    <s v="60815703"/>
    <m/>
    <m/>
    <n v="22761074"/>
    <m/>
    <m/>
    <m/>
    <s v="SOLFIN"/>
    <s v="SOLFIN"/>
    <s v="CCMS"/>
    <n v="21328116"/>
    <n v="7019.44"/>
    <m/>
    <s v="N"/>
    <n v="46"/>
    <d v="2023-07-04T19:01:05"/>
    <s v="Y"/>
    <s v="Preparation - drafting application"/>
    <s v="Prescribed Hourly Rates"/>
    <s v="Profit Cost"/>
    <s v="JK"/>
    <s v="Y"/>
    <n v="5.49"/>
    <n v="1.1"/>
    <x v="1"/>
    <s v="VALIDATED"/>
    <n v="1"/>
    <s v="01.11.80.307.6100.0000"/>
    <n v="5.49"/>
    <s v="11"/>
    <s v="6100"/>
    <n v="24809.75"/>
    <n v="5.49"/>
    <s v="CREDITOR"/>
    <n v="0"/>
    <n v="0"/>
    <n v="0"/>
    <n v="0"/>
    <n v="5.49"/>
  </r>
  <r>
    <n v="60815703"/>
    <s v="N"/>
    <n v="21328116"/>
    <s v="3000015047580009"/>
    <s v="CIVIL"/>
    <d v="2023-06-26T00:00:00"/>
    <d v="2023-07-04T19:00:44"/>
    <m/>
    <d v="2023-07-04T00:00:00"/>
    <n v="1656"/>
    <n v="15"/>
    <s v="60815703"/>
    <s v="60815703"/>
    <m/>
    <m/>
    <n v="22761074"/>
    <m/>
    <m/>
    <m/>
    <s v="SOLFIN"/>
    <s v="SOLFIN"/>
    <s v="CCMS"/>
    <n v="21328116"/>
    <n v="7019.44"/>
    <m/>
    <s v="N"/>
    <n v="48"/>
    <d v="2023-07-04T19:01:05"/>
    <s v="Y"/>
    <s v="Preparation - drafting application"/>
    <s v="Prescribed Hourly Rates"/>
    <s v="Profit Cost"/>
    <s v="JK"/>
    <s v="Y"/>
    <n v="5.49"/>
    <n v="1.1"/>
    <x v="1"/>
    <s v="VALIDATED"/>
    <n v="1"/>
    <s v="01.11.80.307.6100.0000"/>
    <n v="5.49"/>
    <s v="11"/>
    <s v="6100"/>
    <n v="24809.75"/>
    <n v="5.49"/>
    <s v="CREDITOR"/>
    <n v="0"/>
    <n v="0"/>
    <n v="0"/>
    <n v="0"/>
    <n v="5.49"/>
  </r>
  <r>
    <n v="61049069"/>
    <s v="N"/>
    <n v="21318381"/>
    <s v="3000015248580009"/>
    <s v="CIVIL"/>
    <d v="2023-06-15T00:00:00"/>
    <d v="2023-07-03T19:01:49"/>
    <m/>
    <d v="2023-07-03T00:00:00"/>
    <n v="1656"/>
    <n v="15"/>
    <s v="61049069"/>
    <s v="61049069"/>
    <m/>
    <m/>
    <n v="22701498"/>
    <m/>
    <m/>
    <m/>
    <s v="SOLFIN"/>
    <s v="SOLFIN"/>
    <s v="CCMS"/>
    <n v="21318381"/>
    <n v="8695.4"/>
    <m/>
    <s v="N"/>
    <n v="31"/>
    <d v="2023-07-03T19:01:54"/>
    <s v="Y"/>
    <s v="Preparation - drafting application"/>
    <s v="Prescribed Hourly Rates"/>
    <s v="Profit Cost"/>
    <s v="OB"/>
    <s v="Y"/>
    <n v="21.41"/>
    <n v="4.28"/>
    <x v="3"/>
    <s v="VALIDATED"/>
    <n v="1"/>
    <s v="01.11.80.307.6100.0000"/>
    <n v="21.41"/>
    <s v="11"/>
    <s v="6100"/>
    <n v="24809.75"/>
    <n v="21.41"/>
    <s v="CREDITOR"/>
    <n v="0"/>
    <n v="0"/>
    <n v="0"/>
    <n v="0"/>
    <n v="21.41"/>
  </r>
  <r>
    <n v="56437778"/>
    <s v="N"/>
    <n v="21350078"/>
    <s v="3000013430710007"/>
    <s v="CIVIL"/>
    <d v="2023-06-29T00:00:00"/>
    <d v="2023-07-10T19:01:40"/>
    <m/>
    <d v="2023-07-10T00:00:00"/>
    <n v="1656"/>
    <n v="15"/>
    <s v="56437778"/>
    <s v="56437778"/>
    <m/>
    <m/>
    <n v="22785264"/>
    <m/>
    <m/>
    <m/>
    <s v="SOLFIN"/>
    <s v="SOLFIN"/>
    <s v="CCMS"/>
    <n v="21350078"/>
    <n v="8978.99"/>
    <m/>
    <s v="N"/>
    <n v="53"/>
    <d v="2023-07-10T19:02:13"/>
    <s v="Y"/>
    <s v="Preparation - drafting application"/>
    <s v="Care Remuneration Hourly Rates"/>
    <s v="Profit Cost"/>
    <s v="CD"/>
    <s v="Y"/>
    <n v="389.02"/>
    <n v="77.81"/>
    <x v="2"/>
    <s v="VALIDATED"/>
    <n v="1"/>
    <s v="01.11.80.308.6100.0000"/>
    <n v="389.02"/>
    <s v="11"/>
    <s v="6100"/>
    <n v="24809.75"/>
    <n v="389.02"/>
    <s v="CREDITOR"/>
    <n v="0"/>
    <n v="0"/>
    <n v="0"/>
    <n v="0"/>
    <n v="389.02"/>
  </r>
  <r>
    <n v="56437778"/>
    <s v="N"/>
    <n v="21350078"/>
    <s v="3000013430710007"/>
    <s v="CIVIL"/>
    <d v="2023-06-29T00:00:00"/>
    <d v="2023-07-10T19:01:40"/>
    <m/>
    <d v="2023-07-10T00:00:00"/>
    <n v="1656"/>
    <n v="15"/>
    <s v="56437778"/>
    <s v="56437778"/>
    <m/>
    <m/>
    <n v="22785264"/>
    <m/>
    <m/>
    <m/>
    <s v="SOLFIN"/>
    <s v="SOLFIN"/>
    <s v="CCMS"/>
    <n v="21350078"/>
    <n v="8978.99"/>
    <m/>
    <s v="N"/>
    <n v="66"/>
    <d v="2023-07-10T19:02:13"/>
    <s v="Y"/>
    <s v="Advocates Meeting"/>
    <s v="Public Law Children"/>
    <s v="Advocacy"/>
    <s v="ka"/>
    <s v="Y"/>
    <n v="140.99"/>
    <n v="28.2"/>
    <x v="2"/>
    <s v="VALIDATED"/>
    <n v="1"/>
    <s v="01.11.80.308.6100.0000"/>
    <n v="140.99"/>
    <s v="11"/>
    <s v="6100"/>
    <n v="24809.75"/>
    <n v="140.99"/>
    <s v="CREDITOR"/>
    <n v="0"/>
    <n v="0"/>
    <n v="0"/>
    <n v="0"/>
    <n v="140.99"/>
  </r>
  <r>
    <n v="56437778"/>
    <s v="N"/>
    <n v="21350078"/>
    <s v="3000013430710007"/>
    <s v="CIVIL"/>
    <d v="2023-06-29T00:00:00"/>
    <d v="2023-07-10T19:01:40"/>
    <m/>
    <d v="2023-07-10T00:00:00"/>
    <n v="1656"/>
    <n v="15"/>
    <s v="56437778"/>
    <s v="56437778"/>
    <m/>
    <m/>
    <n v="22785264"/>
    <m/>
    <m/>
    <m/>
    <s v="SOLFIN"/>
    <s v="SOLFIN"/>
    <s v="CCMS"/>
    <n v="21350078"/>
    <n v="8978.99"/>
    <m/>
    <s v="N"/>
    <n v="12"/>
    <d v="2023-07-10T19:02:13"/>
    <s v="Y"/>
    <s v="Attendance upon client"/>
    <s v="Care Remuneration Hourly Rates"/>
    <s v="Profit Cost"/>
    <s v="HS"/>
    <s v="Y"/>
    <n v="10.51"/>
    <n v="2.1"/>
    <x v="2"/>
    <s v="VALIDATED"/>
    <n v="1"/>
    <s v="01.11.80.308.6100.0000"/>
    <n v="10.51"/>
    <s v="11"/>
    <s v="6100"/>
    <n v="24809.75"/>
    <n v="10.51"/>
    <s v="CREDITOR"/>
    <n v="0"/>
    <n v="0"/>
    <n v="0"/>
    <n v="0"/>
    <n v="10.51"/>
  </r>
  <r>
    <n v="56437778"/>
    <s v="N"/>
    <n v="21350078"/>
    <s v="3000013430710007"/>
    <s v="CIVIL"/>
    <d v="2023-06-29T00:00:00"/>
    <d v="2023-07-10T19:01:40"/>
    <m/>
    <d v="2023-07-10T00:00:00"/>
    <n v="1656"/>
    <n v="15"/>
    <s v="56437778"/>
    <s v="56437778"/>
    <m/>
    <m/>
    <n v="22785264"/>
    <m/>
    <m/>
    <m/>
    <s v="SOLFIN"/>
    <s v="SOLFIN"/>
    <s v="CCMS"/>
    <n v="21350078"/>
    <n v="8978.99"/>
    <m/>
    <s v="N"/>
    <n v="39"/>
    <d v="2023-07-10T19:02:13"/>
    <s v="Y"/>
    <s v="Preparation - other"/>
    <s v="Care Remuneration Hourly Rates"/>
    <s v="Profit Cost"/>
    <s v="KA"/>
    <s v="Y"/>
    <n v="30.23"/>
    <n v="6.05"/>
    <x v="2"/>
    <s v="VALIDATED"/>
    <n v="1"/>
    <s v="01.11.80.308.6100.0000"/>
    <n v="30.23"/>
    <s v="11"/>
    <s v="6100"/>
    <n v="24809.75"/>
    <n v="30.23"/>
    <s v="CREDITOR"/>
    <n v="0"/>
    <n v="0"/>
    <n v="0"/>
    <n v="0"/>
    <n v="30.23"/>
  </r>
  <r>
    <n v="61035075"/>
    <s v="N"/>
    <n v="21331005"/>
    <s v="3000015236260008"/>
    <s v="CIVIL"/>
    <d v="2023-06-23T00:00:00"/>
    <d v="2023-07-05T19:01:47"/>
    <m/>
    <d v="2023-07-05T00:00:00"/>
    <n v="1656"/>
    <n v="15"/>
    <s v="61035075"/>
    <s v="61035075"/>
    <m/>
    <m/>
    <n v="22755974"/>
    <m/>
    <m/>
    <m/>
    <s v="SOLFIN"/>
    <s v="SOLFIN"/>
    <s v="CCMS"/>
    <n v="21331005"/>
    <n v="13010.51"/>
    <m/>
    <s v="N"/>
    <n v="79"/>
    <d v="2023-07-05T19:02:01"/>
    <s v="Y"/>
    <s v="Preparation - other"/>
    <s v="Prescribed Hourly Rates"/>
    <s v="Profit Cost"/>
    <s v="OB"/>
    <s v="Y"/>
    <n v="55.72"/>
    <n v="11.14"/>
    <x v="6"/>
    <s v="VALIDATED"/>
    <n v="1"/>
    <s v="01.11.80.307.6100.0000"/>
    <n v="55.72"/>
    <s v="11"/>
    <s v="6100"/>
    <n v="24809.75"/>
    <n v="55.72"/>
    <s v="CREDITOR"/>
    <n v="0"/>
    <n v="0"/>
    <n v="0"/>
    <n v="0"/>
    <n v="55.72"/>
  </r>
  <r>
    <n v="61035075"/>
    <s v="N"/>
    <n v="21331005"/>
    <s v="3000015236260008"/>
    <s v="CIVIL"/>
    <d v="2023-06-23T00:00:00"/>
    <d v="2023-07-05T19:01:47"/>
    <m/>
    <d v="2023-07-05T00:00:00"/>
    <n v="1656"/>
    <n v="15"/>
    <s v="61035075"/>
    <s v="61035075"/>
    <m/>
    <m/>
    <n v="22755974"/>
    <m/>
    <m/>
    <m/>
    <s v="SOLFIN"/>
    <s v="SOLFIN"/>
    <s v="CCMS"/>
    <n v="21331005"/>
    <n v="13010.51"/>
    <m/>
    <s v="N"/>
    <n v="58"/>
    <d v="2023-07-05T19:02:01"/>
    <s v="Y"/>
    <s v="Preparation - drafting consent orde"/>
    <s v="Prescribed Hourly Rates"/>
    <s v="Profit Cost"/>
    <s v="OB"/>
    <s v="Y"/>
    <n v="79.61"/>
    <n v="15.92"/>
    <x v="6"/>
    <s v="VALIDATED"/>
    <n v="1"/>
    <s v="01.11.80.307.6100.0000"/>
    <n v="79.61"/>
    <s v="11"/>
    <s v="6100"/>
    <n v="24809.75"/>
    <n v="79.61"/>
    <s v="CREDITOR"/>
    <n v="0"/>
    <n v="0"/>
    <n v="0"/>
    <n v="0"/>
    <n v="79.61"/>
  </r>
  <r>
    <n v="60815703"/>
    <s v="N"/>
    <n v="21328116"/>
    <s v="3000015047580009"/>
    <s v="CIVIL"/>
    <d v="2023-06-26T00:00:00"/>
    <d v="2023-07-04T19:00:44"/>
    <m/>
    <d v="2023-07-04T00:00:00"/>
    <n v="1656"/>
    <n v="15"/>
    <s v="60815703"/>
    <s v="60815703"/>
    <m/>
    <m/>
    <n v="22761074"/>
    <m/>
    <m/>
    <m/>
    <s v="SOLFIN"/>
    <s v="SOLFIN"/>
    <s v="CCMS"/>
    <n v="21328116"/>
    <n v="7019.44"/>
    <m/>
    <s v="N"/>
    <n v="49"/>
    <d v="2023-07-04T19:01:05"/>
    <s v="Y"/>
    <s v="Preparation - drafting consent orde"/>
    <s v="Prescribed Hourly Rates"/>
    <s v="Profit Cost"/>
    <s v="AT"/>
    <s v="Y"/>
    <n v="6.86"/>
    <n v="1.37"/>
    <x v="1"/>
    <s v="VALIDATED"/>
    <n v="1"/>
    <s v="01.11.80.307.6100.0000"/>
    <n v="6.86"/>
    <s v="11"/>
    <s v="6100"/>
    <n v="24809.75"/>
    <n v="6.86"/>
    <s v="CREDITOR"/>
    <n v="0"/>
    <n v="0"/>
    <n v="0"/>
    <n v="0"/>
    <n v="6.86"/>
  </r>
  <r>
    <n v="61049069"/>
    <s v="N"/>
    <n v="21318381"/>
    <s v="3000015248580009"/>
    <s v="CIVIL"/>
    <d v="2023-06-15T00:00:00"/>
    <d v="2023-07-03T19:01:49"/>
    <m/>
    <d v="2023-07-03T00:00:00"/>
    <n v="1656"/>
    <n v="15"/>
    <s v="61049069"/>
    <s v="61049069"/>
    <m/>
    <m/>
    <n v="22701498"/>
    <m/>
    <m/>
    <m/>
    <s v="SOLFIN"/>
    <s v="SOLFIN"/>
    <s v="CCMS"/>
    <n v="21318381"/>
    <n v="8695.4"/>
    <m/>
    <s v="N"/>
    <n v="39"/>
    <d v="2023-07-03T19:01:54"/>
    <s v="Y"/>
    <s v="Attendance upon client"/>
    <s v="Prescribed Hourly Rates"/>
    <s v="Profit Cost"/>
    <s v="OB"/>
    <s v="Y"/>
    <n v="14.27"/>
    <n v="2.85"/>
    <x v="3"/>
    <s v="VALIDATED"/>
    <n v="1"/>
    <s v="01.11.80.307.6100.0000"/>
    <n v="14.27"/>
    <s v="11"/>
    <s v="6100"/>
    <n v="24809.75"/>
    <n v="14.27"/>
    <s v="CREDITOR"/>
    <n v="0"/>
    <n v="0"/>
    <n v="0"/>
    <n v="0"/>
    <n v="14.27"/>
  </r>
  <r>
    <n v="61049069"/>
    <s v="N"/>
    <n v="21318381"/>
    <s v="3000015248580009"/>
    <s v="CIVIL"/>
    <d v="2023-06-15T00:00:00"/>
    <d v="2023-07-03T19:01:49"/>
    <m/>
    <d v="2023-07-03T00:00:00"/>
    <n v="1656"/>
    <n v="15"/>
    <s v="61049069"/>
    <s v="61049069"/>
    <m/>
    <m/>
    <n v="22701498"/>
    <m/>
    <m/>
    <m/>
    <s v="SOLFIN"/>
    <s v="SOLFIN"/>
    <s v="CCMS"/>
    <n v="21318381"/>
    <n v="8695.4"/>
    <m/>
    <s v="N"/>
    <n v="27"/>
    <d v="2023-07-03T19:01:54"/>
    <s v="Y"/>
    <s v="Attendance upon client"/>
    <s v="Prescribed Hourly Rates"/>
    <s v="Profit Cost"/>
    <s v="OB"/>
    <s v="Y"/>
    <n v="14.27"/>
    <n v="2.85"/>
    <x v="3"/>
    <s v="VALIDATED"/>
    <n v="1"/>
    <s v="01.11.80.307.6100.0000"/>
    <n v="14.27"/>
    <s v="11"/>
    <s v="6100"/>
    <n v="24809.75"/>
    <n v="14.27"/>
    <s v="CREDITOR"/>
    <n v="0"/>
    <n v="0"/>
    <n v="0"/>
    <n v="0"/>
    <n v="14.27"/>
  </r>
  <r>
    <n v="56437778"/>
    <s v="N"/>
    <n v="21350078"/>
    <s v="3000013430710007"/>
    <s v="CIVIL"/>
    <d v="2023-06-29T00:00:00"/>
    <d v="2023-07-10T19:01:40"/>
    <m/>
    <d v="2023-07-10T00:00:00"/>
    <n v="1656"/>
    <n v="15"/>
    <s v="56437778"/>
    <s v="56437778"/>
    <m/>
    <m/>
    <n v="22785264"/>
    <m/>
    <m/>
    <m/>
    <s v="SOLFIN"/>
    <s v="SOLFIN"/>
    <s v="CCMS"/>
    <n v="21350078"/>
    <n v="8978.99"/>
    <m/>
    <s v="N"/>
    <n v="67"/>
    <d v="2023-07-10T19:02:13"/>
    <s v="Y"/>
    <s v="Hearing Unit 1.01 - 2.30 Hours"/>
    <s v="Public Law Children"/>
    <s v="Advocacy"/>
    <s v="AT"/>
    <s v="Y"/>
    <n v="238.46"/>
    <n v="47.69"/>
    <x v="2"/>
    <s v="VALIDATED"/>
    <n v="1"/>
    <s v="01.11.80.308.6100.0000"/>
    <n v="238.46"/>
    <s v="11"/>
    <s v="6100"/>
    <n v="24809.75"/>
    <n v="238.46"/>
    <s v="CREDITOR"/>
    <n v="0"/>
    <n v="0"/>
    <n v="0"/>
    <n v="0"/>
    <n v="238.46"/>
  </r>
  <r>
    <n v="56437778"/>
    <s v="N"/>
    <n v="21350078"/>
    <s v="3000013430710007"/>
    <s v="CIVIL"/>
    <d v="2023-06-29T00:00:00"/>
    <d v="2023-07-10T19:01:40"/>
    <m/>
    <d v="2023-07-10T00:00:00"/>
    <n v="1656"/>
    <n v="15"/>
    <s v="56437778"/>
    <s v="56437778"/>
    <m/>
    <m/>
    <n v="22785264"/>
    <m/>
    <m/>
    <m/>
    <s v="SOLFIN"/>
    <s v="SOLFIN"/>
    <s v="CCMS"/>
    <n v="21350078"/>
    <n v="8978.99"/>
    <m/>
    <s v="N"/>
    <n v="23"/>
    <d v="2023-07-10T19:02:13"/>
    <s v="Y"/>
    <s v="Preparation - drafting consent orde"/>
    <s v="Care Remuneration Hourly Rates"/>
    <s v="Profit Cost"/>
    <s v="KA"/>
    <s v="Y"/>
    <n v="6.05"/>
    <n v="1.21"/>
    <x v="2"/>
    <s v="VALIDATED"/>
    <n v="1"/>
    <s v="01.11.80.308.6100.0000"/>
    <n v="6.05"/>
    <s v="11"/>
    <s v="6100"/>
    <n v="24809.75"/>
    <n v="6.05"/>
    <s v="CREDITOR"/>
    <n v="0"/>
    <n v="0"/>
    <n v="0"/>
    <n v="0"/>
    <n v="6.05"/>
  </r>
  <r>
    <n v="61035075"/>
    <s v="N"/>
    <n v="21331005"/>
    <s v="3000015236260008"/>
    <s v="CIVIL"/>
    <d v="2023-06-23T00:00:00"/>
    <d v="2023-07-05T19:01:47"/>
    <m/>
    <d v="2023-07-05T00:00:00"/>
    <n v="1656"/>
    <n v="15"/>
    <s v="61035075"/>
    <s v="61035075"/>
    <m/>
    <m/>
    <n v="22755974"/>
    <m/>
    <m/>
    <m/>
    <s v="SOLFIN"/>
    <s v="SOLFIN"/>
    <s v="CCMS"/>
    <n v="21331005"/>
    <n v="13010.51"/>
    <m/>
    <s v="N"/>
    <n v="12"/>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54"/>
    <d v="2023-07-05T19:02:01"/>
    <s v="Y"/>
    <s v="Advocacy - Directions Hearing"/>
    <s v="Prescribed Hourly Rates"/>
    <s v="Advocacy"/>
    <s v="OB"/>
    <s v="Y"/>
    <n v="65.77"/>
    <n v="13.15"/>
    <x v="6"/>
    <s v="VALIDATED"/>
    <n v="1"/>
    <s v="01.11.80.307.6100.0000"/>
    <n v="65.77"/>
    <s v="11"/>
    <s v="6100"/>
    <n v="24809.75"/>
    <n v="65.77"/>
    <s v="CREDITOR"/>
    <n v="0"/>
    <n v="0"/>
    <n v="0"/>
    <n v="0"/>
    <n v="65.77"/>
  </r>
  <r>
    <n v="61035075"/>
    <s v="N"/>
    <n v="21331005"/>
    <s v="3000015236260008"/>
    <s v="CIVIL"/>
    <d v="2023-06-23T00:00:00"/>
    <d v="2023-07-05T19:01:47"/>
    <m/>
    <d v="2023-07-05T00:00:00"/>
    <n v="1656"/>
    <n v="15"/>
    <s v="61035075"/>
    <s v="61035075"/>
    <m/>
    <m/>
    <n v="22755974"/>
    <m/>
    <m/>
    <m/>
    <s v="SOLFIN"/>
    <s v="SOLFIN"/>
    <s v="CCMS"/>
    <n v="21331005"/>
    <n v="13010.51"/>
    <m/>
    <s v="N"/>
    <n v="63"/>
    <d v="2023-07-05T19:02:01"/>
    <s v="Y"/>
    <s v="Attendance upon client"/>
    <s v="Prescribed Hourly Rates"/>
    <s v="Profit Cost"/>
    <s v="OB"/>
    <s v="Y"/>
    <n v="15.92"/>
    <n v="3.18"/>
    <x v="6"/>
    <s v="VALIDATED"/>
    <n v="1"/>
    <s v="01.11.80.307.6100.0000"/>
    <n v="15.92"/>
    <s v="11"/>
    <s v="6100"/>
    <n v="24809.75"/>
    <n v="15.92"/>
    <s v="CREDITOR"/>
    <n v="0"/>
    <n v="0"/>
    <n v="0"/>
    <n v="0"/>
    <n v="15.92"/>
  </r>
  <r>
    <n v="60815703"/>
    <s v="N"/>
    <n v="21328116"/>
    <s v="3000015047580009"/>
    <s v="CIVIL"/>
    <d v="2023-06-26T00:00:00"/>
    <d v="2023-07-04T19:00:44"/>
    <m/>
    <d v="2023-07-04T00:00:00"/>
    <n v="1656"/>
    <n v="15"/>
    <s v="60815703"/>
    <s v="60815703"/>
    <m/>
    <m/>
    <n v="22761074"/>
    <m/>
    <m/>
    <m/>
    <s v="SOLFIN"/>
    <s v="SOLFIN"/>
    <s v="CCMS"/>
    <n v="21328116"/>
    <n v="7019.44"/>
    <m/>
    <s v="N"/>
    <n v="3"/>
    <d v="2023-07-04T19:01:05"/>
    <s v="Y"/>
    <s v="Police Records"/>
    <s v="Prescribed Hourly Rates"/>
    <s v="Non Expert Disbursement"/>
    <s v="XXX"/>
    <s v="Y"/>
    <n v="75.75"/>
    <n v="0"/>
    <x v="1"/>
    <s v="VALIDATED"/>
    <n v="1"/>
    <s v="01.11.80.307.6300.0000"/>
    <n v="75.75"/>
    <s v="11"/>
    <s v="6300"/>
    <n v="24809.75"/>
    <n v="75.75"/>
    <s v="CREDITOR"/>
    <n v="0"/>
    <n v="0"/>
    <n v="0"/>
    <n v="0"/>
    <n v="75.75"/>
  </r>
  <r>
    <n v="61049069"/>
    <s v="N"/>
    <n v="21318381"/>
    <s v="3000015248580009"/>
    <s v="CIVIL"/>
    <d v="2023-06-15T00:00:00"/>
    <d v="2023-07-03T19:01:49"/>
    <m/>
    <d v="2023-07-03T00:00:00"/>
    <n v="1656"/>
    <n v="15"/>
    <s v="61049069"/>
    <s v="61049069"/>
    <m/>
    <m/>
    <n v="22701498"/>
    <m/>
    <m/>
    <m/>
    <s v="SOLFIN"/>
    <s v="SOLFIN"/>
    <s v="CCMS"/>
    <n v="21318381"/>
    <n v="8695.4"/>
    <m/>
    <s v="N"/>
    <n v="11"/>
    <d v="2023-07-03T19:01:54"/>
    <s v="Y"/>
    <s v="Preparation - drafting instructions"/>
    <s v="Prescribed Hourly Rates"/>
    <s v="Profit Cost"/>
    <s v="OB"/>
    <s v="Y"/>
    <n v="57.1"/>
    <n v="11.42"/>
    <x v="3"/>
    <s v="VALIDATED"/>
    <n v="1"/>
    <s v="01.11.80.307.6100.0000"/>
    <n v="57.1"/>
    <s v="11"/>
    <s v="6100"/>
    <n v="24809.75"/>
    <n v="57.1"/>
    <s v="CREDITOR"/>
    <n v="0"/>
    <n v="0"/>
    <n v="0"/>
    <n v="0"/>
    <n v="57.1"/>
  </r>
  <r>
    <n v="61049069"/>
    <s v="N"/>
    <n v="21318381"/>
    <s v="3000015248580009"/>
    <s v="CIVIL"/>
    <d v="2023-06-15T00:00:00"/>
    <d v="2023-07-03T19:01:49"/>
    <m/>
    <d v="2023-07-03T00:00:00"/>
    <n v="1656"/>
    <n v="15"/>
    <s v="61049069"/>
    <s v="61049069"/>
    <m/>
    <m/>
    <n v="22701498"/>
    <m/>
    <m/>
    <m/>
    <s v="SOLFIN"/>
    <s v="SOLFIN"/>
    <s v="CCMS"/>
    <n v="21318381"/>
    <n v="8695.4"/>
    <m/>
    <s v="N"/>
    <n v="33"/>
    <d v="2023-07-03T19:01:54"/>
    <s v="Y"/>
    <s v="Preparation - drafting instructions"/>
    <s v="Prescribed Hourly Rates"/>
    <s v="Profit Cost"/>
    <s v="OB"/>
    <s v="Y"/>
    <n v="64.23"/>
    <n v="12.85"/>
    <x v="3"/>
    <s v="VALIDATED"/>
    <n v="1"/>
    <s v="01.11.80.307.6100.0000"/>
    <n v="64.23"/>
    <s v="11"/>
    <s v="6100"/>
    <n v="24809.75"/>
    <n v="64.23"/>
    <s v="CREDITOR"/>
    <n v="0"/>
    <n v="0"/>
    <n v="0"/>
    <n v="0"/>
    <n v="64.23"/>
  </r>
  <r>
    <n v="62110713"/>
    <s v="N"/>
    <n v="21318533"/>
    <s v="3000016135530001"/>
    <s v="CIVIL"/>
    <d v="2023-06-26T00:00:00"/>
    <d v="2023-07-03T19:01:49"/>
    <m/>
    <d v="2023-07-03T00:00:00"/>
    <n v="1656"/>
    <n v="15"/>
    <s v="62110713"/>
    <s v="62110713"/>
    <m/>
    <m/>
    <n v="22758290"/>
    <m/>
    <m/>
    <m/>
    <s v="SOLPOA"/>
    <s v="SOLPOA"/>
    <s v="CCMS"/>
    <n v="21318533"/>
    <n v="716.7"/>
    <m/>
    <s v="N"/>
    <n v="1"/>
    <d v="2023-07-03T19:01:58"/>
    <s v="N"/>
    <s v="Expert Cost"/>
    <s v="Expert Cost"/>
    <s v="Expert Disbursement"/>
    <s v="FD"/>
    <s v="N"/>
    <n v="597.25"/>
    <n v="119.45"/>
    <x v="3"/>
    <s v="VALIDATED"/>
    <n v="1"/>
    <s v="01.11.80.308.2012.0000"/>
    <n v="597.25"/>
    <s v="11"/>
    <s v="2012"/>
    <n v="24809.75"/>
    <n v="597.25"/>
    <s v="CREDITOR"/>
    <n v="597.25"/>
    <n v="0"/>
    <n v="0"/>
    <n v="0"/>
    <n v="0"/>
  </r>
  <r>
    <n v="56437778"/>
    <s v="N"/>
    <n v="21350078"/>
    <s v="3000013430710007"/>
    <s v="CIVIL"/>
    <d v="2023-06-29T00:00:00"/>
    <d v="2023-07-10T19:01:40"/>
    <m/>
    <d v="2023-07-10T00:00:00"/>
    <n v="1656"/>
    <n v="15"/>
    <s v="56437778"/>
    <s v="56437778"/>
    <m/>
    <m/>
    <n v="22785264"/>
    <m/>
    <m/>
    <m/>
    <s v="SOLFIN"/>
    <s v="SOLFIN"/>
    <s v="CCMS"/>
    <n v="21350078"/>
    <n v="8978.99"/>
    <m/>
    <s v="N"/>
    <n v="5"/>
    <d v="2023-07-10T19:02:13"/>
    <s v="Y"/>
    <s v="Preparation - drafting application"/>
    <s v="Care Remuneration Hourly Rates"/>
    <s v="Profit Cost"/>
    <s v="KA"/>
    <s v="Y"/>
    <n v="12.09"/>
    <n v="2.42"/>
    <x v="2"/>
    <s v="VALIDATED"/>
    <n v="1"/>
    <s v="01.11.80.308.6100.0000"/>
    <n v="12.09"/>
    <s v="11"/>
    <s v="6100"/>
    <n v="24809.75"/>
    <n v="12.09"/>
    <s v="CREDITOR"/>
    <n v="0"/>
    <n v="0"/>
    <n v="0"/>
    <n v="0"/>
    <n v="12.09"/>
  </r>
  <r>
    <n v="61035075"/>
    <s v="N"/>
    <n v="21331005"/>
    <s v="3000015236260008"/>
    <s v="CIVIL"/>
    <d v="2023-06-23T00:00:00"/>
    <d v="2023-07-05T19:01:47"/>
    <m/>
    <d v="2023-07-05T00:00:00"/>
    <n v="1656"/>
    <n v="15"/>
    <s v="61035075"/>
    <s v="61035075"/>
    <m/>
    <m/>
    <n v="22755974"/>
    <m/>
    <m/>
    <m/>
    <s v="SOLFIN"/>
    <s v="SOLFIN"/>
    <s v="CCMS"/>
    <n v="21331005"/>
    <n v="13010.51"/>
    <m/>
    <s v="N"/>
    <n v="85"/>
    <d v="2023-07-05T19:02:01"/>
    <s v="Y"/>
    <s v="Routine Telephone Call"/>
    <s v="Prescribed Hourly Rates"/>
    <s v="Profit Cost"/>
    <s v="OB"/>
    <s v="Y"/>
    <n v="24.84"/>
    <n v="4.97"/>
    <x v="6"/>
    <s v="VALIDATED"/>
    <n v="1"/>
    <s v="01.11.80.307.6100.0000"/>
    <n v="24.84"/>
    <s v="11"/>
    <s v="6100"/>
    <n v="24809.75"/>
    <n v="24.84"/>
    <s v="CREDITOR"/>
    <n v="0"/>
    <n v="0"/>
    <n v="0"/>
    <n v="0"/>
    <n v="24.84"/>
  </r>
  <r>
    <n v="60815703"/>
    <s v="N"/>
    <n v="21328116"/>
    <s v="3000015047580009"/>
    <s v="CIVIL"/>
    <d v="2023-06-26T00:00:00"/>
    <d v="2023-07-04T19:00:44"/>
    <m/>
    <d v="2023-07-04T00:00:00"/>
    <n v="1656"/>
    <n v="15"/>
    <s v="60815703"/>
    <s v="60815703"/>
    <m/>
    <m/>
    <n v="22761074"/>
    <m/>
    <m/>
    <m/>
    <s v="SOLFIN"/>
    <s v="SOLFIN"/>
    <s v="CCMS"/>
    <n v="21328116"/>
    <n v="7019.44"/>
    <m/>
    <s v="N"/>
    <n v="75"/>
    <d v="2023-07-04T19:01:05"/>
    <s v="Y"/>
    <s v="Routine Telephone Call"/>
    <s v="Prescribed Hourly Rates"/>
    <s v="Profit Cost"/>
    <s v="AT"/>
    <s v="Y"/>
    <n v="12.42"/>
    <n v="2.48"/>
    <x v="1"/>
    <s v="VALIDATED"/>
    <n v="1"/>
    <s v="01.11.80.307.6100.0000"/>
    <n v="12.42"/>
    <s v="11"/>
    <s v="6100"/>
    <n v="24809.75"/>
    <n v="12.42"/>
    <s v="CREDITOR"/>
    <n v="0"/>
    <n v="0"/>
    <n v="0"/>
    <n v="0"/>
    <n v="12.42"/>
  </r>
  <r>
    <n v="61049069"/>
    <s v="N"/>
    <n v="21318381"/>
    <s v="3000015248580009"/>
    <s v="CIVIL"/>
    <d v="2023-06-15T00:00:00"/>
    <d v="2023-07-03T19:01:49"/>
    <m/>
    <d v="2023-07-03T00:00:00"/>
    <n v="1656"/>
    <n v="15"/>
    <s v="61049069"/>
    <s v="61049069"/>
    <m/>
    <m/>
    <n v="22701498"/>
    <m/>
    <m/>
    <m/>
    <s v="SOLFIN"/>
    <s v="SOLFIN"/>
    <s v="CCMS"/>
    <n v="21318381"/>
    <n v="8695.4"/>
    <m/>
    <s v="N"/>
    <n v="59"/>
    <d v="2023-07-03T19:01:54"/>
    <s v="Y"/>
    <s v="Preparation - other"/>
    <s v="Prescribed Hourly Rates"/>
    <s v="Profit Cost"/>
    <s v="OB"/>
    <s v="Y"/>
    <n v="35.69"/>
    <n v="7.14"/>
    <x v="3"/>
    <s v="VALIDATED"/>
    <n v="1"/>
    <s v="01.11.80.307.6100.0000"/>
    <n v="35.69"/>
    <s v="11"/>
    <s v="6100"/>
    <n v="24809.75"/>
    <n v="35.69"/>
    <s v="CREDITOR"/>
    <n v="0"/>
    <n v="0"/>
    <n v="0"/>
    <n v="0"/>
    <n v="35.69"/>
  </r>
  <r>
    <n v="61049069"/>
    <s v="N"/>
    <n v="21318381"/>
    <s v="3000015248580009"/>
    <s v="CIVIL"/>
    <d v="2023-06-15T00:00:00"/>
    <d v="2023-07-03T19:01:49"/>
    <m/>
    <d v="2023-07-03T00:00:00"/>
    <n v="1656"/>
    <n v="15"/>
    <s v="61049069"/>
    <s v="61049069"/>
    <m/>
    <m/>
    <n v="22701498"/>
    <m/>
    <m/>
    <m/>
    <s v="SOLFIN"/>
    <s v="SOLFIN"/>
    <s v="CCMS"/>
    <n v="21318381"/>
    <n v="8695.4"/>
    <m/>
    <s v="N"/>
    <n v="36"/>
    <d v="2023-07-03T19:01:54"/>
    <s v="Y"/>
    <s v="Preparation - drafting statement"/>
    <s v="Prescribed Hourly Rates"/>
    <s v="Profit Cost"/>
    <s v="OB"/>
    <s v="Y"/>
    <n v="7.14"/>
    <n v="1.43"/>
    <x v="3"/>
    <s v="VALIDATED"/>
    <n v="1"/>
    <s v="01.11.80.307.6100.0000"/>
    <n v="7.14"/>
    <s v="11"/>
    <s v="6100"/>
    <n v="24809.75"/>
    <n v="7.14"/>
    <s v="CREDITOR"/>
    <n v="0"/>
    <n v="0"/>
    <n v="0"/>
    <n v="0"/>
    <n v="7.14"/>
  </r>
  <r>
    <n v="60815703"/>
    <s v="N"/>
    <n v="21328116"/>
    <s v="3000015047580009"/>
    <s v="CIVIL"/>
    <d v="2023-06-26T00:00:00"/>
    <d v="2023-07-04T19:00:44"/>
    <m/>
    <d v="2023-07-04T00:00:00"/>
    <n v="1656"/>
    <n v="15"/>
    <s v="60815703"/>
    <s v="60815703"/>
    <m/>
    <m/>
    <n v="22761074"/>
    <m/>
    <m/>
    <m/>
    <s v="SOLFIN"/>
    <s v="SOLFIN"/>
    <s v="CCMS"/>
    <n v="21328116"/>
    <n v="7019.44"/>
    <m/>
    <s v="N"/>
    <n v="11"/>
    <d v="2023-07-04T19:01:05"/>
    <s v="Y"/>
    <s v="Preparation - other"/>
    <s v="Prescribed Hourly Rates"/>
    <s v="Profit Cost"/>
    <s v="AT"/>
    <s v="Y"/>
    <n v="13.73"/>
    <n v="2.75"/>
    <x v="1"/>
    <s v="VALIDATED"/>
    <n v="1"/>
    <s v="01.11.80.307.6100.0000"/>
    <n v="13.73"/>
    <s v="11"/>
    <s v="6100"/>
    <n v="24809.75"/>
    <n v="13.73"/>
    <s v="CREDITOR"/>
    <n v="0"/>
    <n v="0"/>
    <n v="0"/>
    <n v="0"/>
    <n v="13.73"/>
  </r>
  <r>
    <n v="61059951"/>
    <s v="N"/>
    <n v="21327981"/>
    <s v="3000015257840011"/>
    <s v="CIVIL"/>
    <d v="2023-06-26T00:00:00"/>
    <d v="2023-07-04T19:00:44"/>
    <m/>
    <d v="2023-07-04T00:00:00"/>
    <n v="1656"/>
    <n v="15"/>
    <s v="61059951"/>
    <s v="61059951"/>
    <m/>
    <m/>
    <n v="22757692"/>
    <m/>
    <m/>
    <m/>
    <s v="SOLFIN"/>
    <s v="SOLFIN"/>
    <s v="CCMS"/>
    <n v="21327981"/>
    <n v="5656.38"/>
    <m/>
    <s v="N"/>
    <n v="9"/>
    <d v="2023-07-04T19:01:00"/>
    <s v="Y"/>
    <s v="Hearing Unit 2.31 - 5.00 Hours"/>
    <s v="Public Law Children"/>
    <s v="Advocacy"/>
    <s v="HW"/>
    <s v="Y"/>
    <n v="476.92"/>
    <n v="95.38"/>
    <x v="1"/>
    <s v="VALIDATED"/>
    <n v="1"/>
    <s v="01.11.80.308.6100.0000"/>
    <n v="476.92"/>
    <s v="11"/>
    <s v="6100"/>
    <n v="24809.75"/>
    <n v="476.92"/>
    <s v="CREDITOR"/>
    <n v="0"/>
    <n v="0"/>
    <n v="0"/>
    <n v="0"/>
    <n v="476.92"/>
  </r>
  <r>
    <n v="60815703"/>
    <s v="N"/>
    <n v="21328116"/>
    <s v="3000015047580009"/>
    <s v="CIVIL"/>
    <d v="2023-06-26T00:00:00"/>
    <d v="2023-07-04T19:00:44"/>
    <m/>
    <d v="2023-07-04T00:00:00"/>
    <n v="1656"/>
    <n v="15"/>
    <s v="60815703"/>
    <s v="60815703"/>
    <m/>
    <m/>
    <n v="22761074"/>
    <m/>
    <m/>
    <m/>
    <s v="SOLFIN"/>
    <s v="SOLFIN"/>
    <s v="CCMS"/>
    <n v="21328116"/>
    <n v="7019.44"/>
    <m/>
    <s v="N"/>
    <n v="60"/>
    <d v="2023-07-04T19:01:05"/>
    <s v="Y"/>
    <s v="Preparation - Periodic file review"/>
    <s v="Prescribed Hourly Rates"/>
    <s v="Profit Cost"/>
    <s v="AT"/>
    <s v="Y"/>
    <n v="34.31"/>
    <n v="6.86"/>
    <x v="1"/>
    <s v="VALIDATED"/>
    <n v="1"/>
    <s v="01.11.80.307.6100.0000"/>
    <n v="34.31"/>
    <s v="11"/>
    <s v="6100"/>
    <n v="24809.75"/>
    <n v="34.31"/>
    <s v="CREDITOR"/>
    <n v="0"/>
    <n v="0"/>
    <n v="0"/>
    <n v="0"/>
    <n v="34.31"/>
  </r>
  <r>
    <n v="61227906"/>
    <s v="N"/>
    <n v="21360961"/>
    <s v="3000015398320003"/>
    <s v="CIVIL"/>
    <d v="2023-06-30T00:00:00"/>
    <d v="2023-07-11T19:00:25"/>
    <m/>
    <d v="2023-07-11T00:00:00"/>
    <n v="1656"/>
    <n v="15"/>
    <s v="61227906"/>
    <s v="61227906"/>
    <m/>
    <m/>
    <n v="22797584"/>
    <m/>
    <m/>
    <m/>
    <s v="SOLFIN"/>
    <s v="SOLFIN"/>
    <s v="CCMS"/>
    <n v="21360961"/>
    <n v="3172.87"/>
    <m/>
    <s v="N"/>
    <n v="3"/>
    <d v="2023-07-11T19:00:40"/>
    <s v="Y"/>
    <s v="Advocates Meeting"/>
    <s v="Public Law Children"/>
    <s v="Advocacy"/>
    <s v="AT"/>
    <s v="Y"/>
    <n v="128.16"/>
    <n v="25.63"/>
    <x v="7"/>
    <s v="VALIDATED"/>
    <n v="1"/>
    <s v="01.11.80.308.6100.0000"/>
    <n v="128.16"/>
    <s v="11"/>
    <s v="6100"/>
    <n v="24809.75"/>
    <n v="128.16"/>
    <s v="CREDITOR"/>
    <n v="0"/>
    <n v="0"/>
    <n v="0"/>
    <n v="0"/>
    <n v="128.16"/>
  </r>
  <r>
    <n v="61035075"/>
    <s v="N"/>
    <n v="21331005"/>
    <s v="3000015236260008"/>
    <s v="CIVIL"/>
    <d v="2023-06-23T00:00:00"/>
    <d v="2023-07-05T19:01:47"/>
    <m/>
    <d v="2023-07-05T00:00:00"/>
    <n v="1656"/>
    <n v="15"/>
    <s v="61035075"/>
    <s v="61035075"/>
    <m/>
    <m/>
    <n v="22755974"/>
    <m/>
    <m/>
    <m/>
    <s v="SOLFIN"/>
    <s v="SOLFIN"/>
    <s v="CCMS"/>
    <n v="21331005"/>
    <n v="13010.51"/>
    <m/>
    <s v="N"/>
    <n v="60"/>
    <d v="2023-07-05T19:02:01"/>
    <s v="Y"/>
    <s v="Preparation - drafting attendance n"/>
    <s v="Prescribed Hourly Rates"/>
    <s v="Profit Cost"/>
    <s v="OB"/>
    <s v="Y"/>
    <n v="7.96"/>
    <n v="1.59"/>
    <x v="6"/>
    <s v="VALIDATED"/>
    <n v="1"/>
    <s v="01.11.80.307.6100.0000"/>
    <n v="7.96"/>
    <s v="11"/>
    <s v="6100"/>
    <n v="24809.75"/>
    <n v="7.96"/>
    <s v="CREDITOR"/>
    <n v="0"/>
    <n v="0"/>
    <n v="0"/>
    <n v="0"/>
    <n v="7.96"/>
  </r>
  <r>
    <n v="61035075"/>
    <s v="N"/>
    <n v="21331005"/>
    <s v="3000015236260008"/>
    <s v="CIVIL"/>
    <d v="2023-06-23T00:00:00"/>
    <d v="2023-07-05T19:01:47"/>
    <m/>
    <d v="2023-07-05T00:00:00"/>
    <n v="1656"/>
    <n v="15"/>
    <s v="61035075"/>
    <s v="61035075"/>
    <m/>
    <m/>
    <n v="22755974"/>
    <m/>
    <m/>
    <m/>
    <s v="SOLFIN"/>
    <s v="SOLFIN"/>
    <s v="CCMS"/>
    <n v="21331005"/>
    <n v="13010.51"/>
    <m/>
    <s v="N"/>
    <n v="37"/>
    <d v="2023-07-05T19:02:01"/>
    <s v="Y"/>
    <s v="Preparation - other"/>
    <s v="Prescribed Hourly Rates"/>
    <s v="Profit Cost"/>
    <s v="OB"/>
    <s v="Y"/>
    <n v="15.92"/>
    <n v="3.18"/>
    <x v="6"/>
    <s v="VALIDATED"/>
    <n v="1"/>
    <s v="01.11.80.307.6100.0000"/>
    <n v="15.92"/>
    <s v="11"/>
    <s v="6100"/>
    <n v="24809.75"/>
    <n v="15.92"/>
    <s v="CREDITOR"/>
    <n v="0"/>
    <n v="0"/>
    <n v="0"/>
    <n v="0"/>
    <n v="15.92"/>
  </r>
  <r>
    <n v="60815703"/>
    <s v="N"/>
    <n v="21328116"/>
    <s v="3000015047580009"/>
    <s v="CIVIL"/>
    <d v="2023-06-26T00:00:00"/>
    <d v="2023-07-04T19:00:44"/>
    <m/>
    <d v="2023-07-04T00:00:00"/>
    <n v="1656"/>
    <n v="15"/>
    <s v="60815703"/>
    <s v="60815703"/>
    <m/>
    <m/>
    <n v="22761074"/>
    <m/>
    <m/>
    <m/>
    <s v="SOLFIN"/>
    <s v="SOLFIN"/>
    <s v="CCMS"/>
    <n v="21328116"/>
    <n v="7019.44"/>
    <m/>
    <s v="N"/>
    <n v="58"/>
    <d v="2023-07-04T19:01:05"/>
    <s v="Y"/>
    <s v="Preparation - drafting notice(s)"/>
    <s v="Prescribed Hourly Rates"/>
    <s v="Profit Cost"/>
    <s v="AT"/>
    <s v="Y"/>
    <n v="6.86"/>
    <n v="1.37"/>
    <x v="1"/>
    <s v="VALIDATED"/>
    <n v="1"/>
    <s v="01.11.80.307.6100.0000"/>
    <n v="6.86"/>
    <s v="11"/>
    <s v="6100"/>
    <n v="24809.75"/>
    <n v="6.86"/>
    <s v="CREDITOR"/>
    <n v="0"/>
    <n v="0"/>
    <n v="0"/>
    <n v="0"/>
    <n v="6.86"/>
  </r>
  <r>
    <n v="61049069"/>
    <s v="N"/>
    <n v="21318381"/>
    <s v="3000015248580009"/>
    <s v="CIVIL"/>
    <d v="2023-06-15T00:00:00"/>
    <d v="2023-07-03T19:01:49"/>
    <m/>
    <d v="2023-07-03T00:00:00"/>
    <n v="1656"/>
    <n v="15"/>
    <s v="61049069"/>
    <s v="61049069"/>
    <m/>
    <m/>
    <n v="22701498"/>
    <m/>
    <m/>
    <m/>
    <s v="SOLFIN"/>
    <s v="SOLFIN"/>
    <s v="CCMS"/>
    <n v="21318381"/>
    <n v="8695.4"/>
    <m/>
    <s v="N"/>
    <n v="69"/>
    <d v="2023-07-03T19:01:54"/>
    <s v="Y"/>
    <s v="Routine Letter In"/>
    <s v="Prescribed Hourly Rates"/>
    <s v="Profit Cost"/>
    <s v="JW"/>
    <s v="Y"/>
    <n v="43.2"/>
    <n v="8.640000000000001"/>
    <x v="3"/>
    <s v="VALIDATED"/>
    <n v="1"/>
    <s v="01.11.80.307.6100.0000"/>
    <n v="43.2"/>
    <s v="11"/>
    <s v="6100"/>
    <n v="24809.75"/>
    <n v="43.2"/>
    <s v="CREDITOR"/>
    <n v="0"/>
    <n v="0"/>
    <n v="0"/>
    <n v="0"/>
    <n v="43.2"/>
  </r>
  <r>
    <n v="61049069"/>
    <s v="N"/>
    <n v="21318381"/>
    <s v="3000015248580009"/>
    <s v="CIVIL"/>
    <d v="2023-06-15T00:00:00"/>
    <d v="2023-07-03T19:01:49"/>
    <m/>
    <d v="2023-07-03T00:00:00"/>
    <n v="1656"/>
    <n v="15"/>
    <s v="61049069"/>
    <s v="61049069"/>
    <m/>
    <m/>
    <n v="22701498"/>
    <m/>
    <m/>
    <m/>
    <s v="SOLFIN"/>
    <s v="SOLFIN"/>
    <s v="CCMS"/>
    <n v="21318381"/>
    <n v="8695.4"/>
    <m/>
    <s v="N"/>
    <n v="12"/>
    <d v="2023-07-03T19:01:54"/>
    <s v="Y"/>
    <s v="Preparation - other"/>
    <s v="Prescribed Hourly Rates"/>
    <s v="Profit Cost"/>
    <s v="OB"/>
    <s v="Y"/>
    <n v="7.14"/>
    <n v="1.43"/>
    <x v="3"/>
    <s v="VALIDATED"/>
    <n v="1"/>
    <s v="01.11.80.307.6100.0000"/>
    <n v="7.14"/>
    <s v="11"/>
    <s v="6100"/>
    <n v="24809.75"/>
    <n v="7.14"/>
    <s v="CREDITOR"/>
    <n v="0"/>
    <n v="0"/>
    <n v="0"/>
    <n v="0"/>
    <n v="7.14"/>
  </r>
  <r>
    <n v="61681898"/>
    <s v="N"/>
    <n v="21338489"/>
    <s v="3000015777230002"/>
    <s v="CIVIL"/>
    <d v="2023-06-30T00:00:00"/>
    <d v="2023-07-06T19:21:01"/>
    <m/>
    <d v="2023-07-06T00:00:00"/>
    <n v="1656"/>
    <n v="15"/>
    <s v="61681898"/>
    <s v="61681898"/>
    <m/>
    <m/>
    <n v="22797476"/>
    <m/>
    <m/>
    <m/>
    <s v="SOLFIN"/>
    <s v="SOLFIN"/>
    <s v="CCMS"/>
    <n v="21338489"/>
    <n v="4180.32"/>
    <m/>
    <s v="N"/>
    <n v="8"/>
    <d v="2023-07-06T19:21:26"/>
    <s v="Y"/>
    <s v="Final Hearing - 1 Day"/>
    <s v="Public Law Children"/>
    <s v="Advocacy"/>
    <s v="KL"/>
    <s v="Y"/>
    <n v="556.88"/>
    <n v="111.37"/>
    <x v="4"/>
    <s v="VALIDATED"/>
    <n v="1"/>
    <s v="01.11.80.308.6100.0000"/>
    <n v="556.88"/>
    <s v="11"/>
    <s v="6100"/>
    <n v="24809.75"/>
    <n v="556.88"/>
    <s v="CREDITOR"/>
    <n v="0"/>
    <n v="0"/>
    <n v="0"/>
    <n v="0"/>
    <n v="556.88"/>
  </r>
  <r>
    <n v="60815703"/>
    <s v="N"/>
    <n v="21328116"/>
    <s v="3000015047580009"/>
    <s v="CIVIL"/>
    <d v="2023-06-26T00:00:00"/>
    <d v="2023-07-04T19:00:44"/>
    <m/>
    <d v="2023-07-04T00:00:00"/>
    <n v="1656"/>
    <n v="15"/>
    <s v="60815703"/>
    <s v="60815703"/>
    <m/>
    <m/>
    <n v="22761074"/>
    <m/>
    <m/>
    <m/>
    <s v="SOLFIN"/>
    <s v="SOLFIN"/>
    <s v="CCMS"/>
    <n v="21328116"/>
    <n v="7019.44"/>
    <m/>
    <s v="N"/>
    <n v="31"/>
    <d v="2023-07-04T19:01:05"/>
    <s v="Y"/>
    <s v="Preparation - drafting application"/>
    <s v="Prescribed Hourly Rates"/>
    <s v="Profit Cost"/>
    <s v="CD"/>
    <s v="Y"/>
    <n v="5.49"/>
    <n v="1.1"/>
    <x v="1"/>
    <s v="VALIDATED"/>
    <n v="1"/>
    <s v="01.11.80.307.6100.0000"/>
    <n v="5.49"/>
    <s v="11"/>
    <s v="6100"/>
    <n v="24809.75"/>
    <n v="5.49"/>
    <s v="CREDITOR"/>
    <n v="0"/>
    <n v="0"/>
    <n v="0"/>
    <n v="0"/>
    <n v="5.49"/>
  </r>
  <r>
    <n v="61049069"/>
    <s v="N"/>
    <n v="21318381"/>
    <s v="3000015248580009"/>
    <s v="CIVIL"/>
    <d v="2023-06-15T00:00:00"/>
    <d v="2023-07-03T19:01:49"/>
    <m/>
    <d v="2023-07-03T00:00:00"/>
    <n v="1656"/>
    <n v="15"/>
    <s v="61049069"/>
    <s v="61049069"/>
    <m/>
    <m/>
    <n v="22701498"/>
    <m/>
    <m/>
    <m/>
    <s v="SOLFIN"/>
    <s v="SOLFIN"/>
    <s v="CCMS"/>
    <n v="21318381"/>
    <n v="8695.4"/>
    <m/>
    <s v="N"/>
    <n v="51"/>
    <d v="2023-07-03T19:01:54"/>
    <s v="Y"/>
    <s v="Preparation - drafting statement"/>
    <s v="Prescribed Hourly Rates"/>
    <s v="Profit Cost"/>
    <s v="OB"/>
    <s v="Y"/>
    <n v="14.27"/>
    <n v="2.85"/>
    <x v="3"/>
    <s v="VALIDATED"/>
    <n v="1"/>
    <s v="01.11.80.307.6100.0000"/>
    <n v="14.27"/>
    <s v="11"/>
    <s v="6100"/>
    <n v="24809.75"/>
    <n v="14.27"/>
    <s v="CREDITOR"/>
    <n v="0"/>
    <n v="0"/>
    <n v="0"/>
    <n v="0"/>
    <n v="14.27"/>
  </r>
  <r>
    <n v="61035075"/>
    <s v="N"/>
    <n v="21331005"/>
    <s v="3000015236260008"/>
    <s v="CIVIL"/>
    <d v="2023-06-23T00:00:00"/>
    <d v="2023-07-05T19:01:47"/>
    <m/>
    <d v="2023-07-05T00:00:00"/>
    <n v="1656"/>
    <n v="15"/>
    <s v="61035075"/>
    <s v="61035075"/>
    <m/>
    <m/>
    <n v="22755974"/>
    <m/>
    <m/>
    <m/>
    <s v="SOLFIN"/>
    <s v="SOLFIN"/>
    <s v="CCMS"/>
    <n v="21331005"/>
    <n v="13010.51"/>
    <m/>
    <s v="N"/>
    <n v="13"/>
    <d v="2023-07-05T19:02:01"/>
    <s v="Y"/>
    <s v="Preparation - drafting consent orde"/>
    <s v="Prescribed Hourly Rates"/>
    <s v="Profit Cost"/>
    <s v="OB"/>
    <s v="Y"/>
    <n v="47.76"/>
    <n v="9.550000000000001"/>
    <x v="6"/>
    <s v="VALIDATED"/>
    <n v="1"/>
    <s v="01.11.80.307.6100.0000"/>
    <n v="47.76"/>
    <s v="11"/>
    <s v="6100"/>
    <n v="24809.75"/>
    <n v="47.76"/>
    <s v="CREDITOR"/>
    <n v="0"/>
    <n v="0"/>
    <n v="0"/>
    <n v="0"/>
    <n v="47.76"/>
  </r>
  <r>
    <n v="61035075"/>
    <s v="N"/>
    <n v="21331005"/>
    <s v="3000015236260008"/>
    <s v="CIVIL"/>
    <d v="2023-06-23T00:00:00"/>
    <d v="2023-07-05T19:01:47"/>
    <m/>
    <d v="2023-07-05T00:00:00"/>
    <n v="1656"/>
    <n v="15"/>
    <s v="61035075"/>
    <s v="61035075"/>
    <m/>
    <m/>
    <n v="22755974"/>
    <m/>
    <m/>
    <m/>
    <s v="SOLFIN"/>
    <s v="SOLFIN"/>
    <s v="CCMS"/>
    <n v="21331005"/>
    <n v="13010.51"/>
    <m/>
    <s v="N"/>
    <n v="40"/>
    <d v="2023-07-05T19:02:01"/>
    <s v="Y"/>
    <s v="Advocacy - Directions Hearing"/>
    <s v="Prescribed Hourly Rates"/>
    <s v="Advocacy"/>
    <s v="OB"/>
    <s v="Y"/>
    <n v="41.11"/>
    <n v="8.220000000000001"/>
    <x v="6"/>
    <s v="VALIDATED"/>
    <n v="1"/>
    <s v="01.11.80.307.6100.0000"/>
    <n v="41.11"/>
    <s v="11"/>
    <s v="6100"/>
    <n v="24809.75"/>
    <n v="41.11"/>
    <s v="CREDITOR"/>
    <n v="0"/>
    <n v="0"/>
    <n v="0"/>
    <n v="0"/>
    <n v="41.11"/>
  </r>
  <r>
    <n v="60815703"/>
    <s v="N"/>
    <n v="21328116"/>
    <s v="3000015047580009"/>
    <s v="CIVIL"/>
    <d v="2023-06-26T00:00:00"/>
    <d v="2023-07-04T19:00:44"/>
    <m/>
    <d v="2023-07-04T00:00:00"/>
    <n v="1656"/>
    <n v="15"/>
    <s v="60815703"/>
    <s v="60815703"/>
    <m/>
    <m/>
    <n v="22761074"/>
    <m/>
    <m/>
    <m/>
    <s v="SOLFIN"/>
    <s v="SOLFIN"/>
    <s v="CCMS"/>
    <n v="21328116"/>
    <n v="7019.44"/>
    <m/>
    <s v="N"/>
    <n v="76"/>
    <d v="2023-07-04T19:01:05"/>
    <s v="Y"/>
    <s v="Routine Letter Out"/>
    <s v="Prescribed Hourly Rates"/>
    <s v="Profit Cost"/>
    <s v="AT"/>
    <s v="Y"/>
    <n v="1651.86"/>
    <n v="330.36"/>
    <x v="1"/>
    <s v="VALIDATED"/>
    <n v="1"/>
    <s v="01.11.80.307.6100.0000"/>
    <n v="1651.86"/>
    <s v="11"/>
    <s v="6100"/>
    <n v="24809.75"/>
    <n v="1651.86"/>
    <s v="CREDITOR"/>
    <n v="0"/>
    <n v="0"/>
    <n v="0"/>
    <n v="0"/>
    <n v="1651.86"/>
  </r>
  <r>
    <n v="60815703"/>
    <s v="N"/>
    <n v="21328116"/>
    <s v="3000015047580009"/>
    <s v="CIVIL"/>
    <d v="2023-06-26T00:00:00"/>
    <d v="2023-07-04T19:00:44"/>
    <m/>
    <d v="2023-07-04T00:00:00"/>
    <n v="1656"/>
    <n v="15"/>
    <s v="60815703"/>
    <s v="60815703"/>
    <m/>
    <m/>
    <n v="22761074"/>
    <m/>
    <m/>
    <m/>
    <s v="SOLFIN"/>
    <s v="SOLFIN"/>
    <s v="CCMS"/>
    <n v="21328116"/>
    <n v="7019.44"/>
    <m/>
    <s v="N"/>
    <n v="64"/>
    <d v="2023-07-04T19:01:05"/>
    <s v="Y"/>
    <s v="Attendance upon client"/>
    <s v="Prescribed Hourly Rates"/>
    <s v="Profit Cost"/>
    <s v="AT"/>
    <s v="Y"/>
    <n v="20.59"/>
    <n v="4.12"/>
    <x v="1"/>
    <s v="VALIDATED"/>
    <n v="1"/>
    <s v="01.11.80.307.6100.0000"/>
    <n v="20.59"/>
    <s v="11"/>
    <s v="6100"/>
    <n v="24809.75"/>
    <n v="20.59"/>
    <s v="CREDITOR"/>
    <n v="0"/>
    <n v="0"/>
    <n v="0"/>
    <n v="0"/>
    <n v="20.59"/>
  </r>
  <r>
    <n v="61049069"/>
    <s v="N"/>
    <n v="21318381"/>
    <s v="3000015248580009"/>
    <s v="CIVIL"/>
    <d v="2023-06-15T00:00:00"/>
    <d v="2023-07-03T19:01:49"/>
    <m/>
    <d v="2023-07-03T00:00:00"/>
    <n v="1656"/>
    <n v="15"/>
    <s v="61049069"/>
    <s v="61049069"/>
    <m/>
    <m/>
    <n v="22701498"/>
    <m/>
    <m/>
    <m/>
    <s v="SOLFIN"/>
    <s v="SOLFIN"/>
    <s v="CCMS"/>
    <n v="21318381"/>
    <n v="8695.4"/>
    <m/>
    <s v="N"/>
    <n v="42"/>
    <d v="2023-07-03T19:01:54"/>
    <s v="Y"/>
    <s v="Preparation - other"/>
    <s v="Prescribed Hourly Rates"/>
    <s v="Profit Cost"/>
    <s v="JW"/>
    <s v="Y"/>
    <n v="5.49"/>
    <n v="1.1"/>
    <x v="3"/>
    <s v="VALIDATED"/>
    <n v="1"/>
    <s v="01.11.80.307.6100.0000"/>
    <n v="5.49"/>
    <s v="11"/>
    <s v="6100"/>
    <n v="24809.75"/>
    <n v="5.49"/>
    <s v="CREDITOR"/>
    <n v="0"/>
    <n v="0"/>
    <n v="0"/>
    <n v="0"/>
    <n v="5.49"/>
  </r>
  <r>
    <n v="56437778"/>
    <s v="N"/>
    <n v="21350078"/>
    <s v="3000013430710007"/>
    <s v="CIVIL"/>
    <d v="2023-06-29T00:00:00"/>
    <d v="2023-07-10T19:01:40"/>
    <m/>
    <d v="2023-07-10T00:00:00"/>
    <n v="1656"/>
    <n v="15"/>
    <s v="56437778"/>
    <s v="56437778"/>
    <m/>
    <m/>
    <n v="22785264"/>
    <m/>
    <m/>
    <m/>
    <s v="SOLFIN"/>
    <s v="SOLFIN"/>
    <s v="CCMS"/>
    <n v="21350078"/>
    <n v="8978.99"/>
    <m/>
    <s v="N"/>
    <n v="24"/>
    <d v="2023-07-10T19:02:13"/>
    <s v="Y"/>
    <s v="Attendance upon client"/>
    <s v="Care Remuneration Hourly Rates"/>
    <s v="Profit Cost"/>
    <s v="KA"/>
    <s v="Y"/>
    <n v="12.09"/>
    <n v="2.42"/>
    <x v="2"/>
    <s v="VALIDATED"/>
    <n v="1"/>
    <s v="01.11.80.308.6100.0000"/>
    <n v="12.09"/>
    <s v="11"/>
    <s v="6100"/>
    <n v="24809.75"/>
    <n v="12.09"/>
    <s v="CREDITOR"/>
    <n v="0"/>
    <n v="0"/>
    <n v="0"/>
    <n v="0"/>
    <n v="12.09"/>
  </r>
  <r>
    <n v="61715535"/>
    <s v="N"/>
    <n v="21337986"/>
    <s v="3000015804210003"/>
    <s v="CIVIL"/>
    <d v="2023-06-29T00:00:00"/>
    <d v="2023-07-06T19:21:01"/>
    <m/>
    <d v="2023-07-06T00:00:00"/>
    <n v="1656"/>
    <n v="15"/>
    <s v="61715535"/>
    <s v="61715535"/>
    <m/>
    <m/>
    <n v="22792576"/>
    <m/>
    <m/>
    <m/>
    <s v="SOLPOA"/>
    <s v="SOLPOA"/>
    <s v="CCMS"/>
    <n v="21337986"/>
    <n v="645.84"/>
    <m/>
    <s v="N"/>
    <n v="1"/>
    <d v="2023-07-06T19:21:10"/>
    <s v="N"/>
    <s v="Expert Cost"/>
    <s v="Expert Cost"/>
    <s v="Expert Disbursement"/>
    <s v="KL"/>
    <s v="N"/>
    <n v="538.2"/>
    <n v="107.64"/>
    <x v="4"/>
    <s v="VALIDATED"/>
    <n v="1"/>
    <s v="01.11.80.308.2012.0000"/>
    <n v="538.2"/>
    <s v="11"/>
    <s v="2012"/>
    <n v="24809.75"/>
    <n v="538.2"/>
    <s v="CREDITOR"/>
    <n v="538.2"/>
    <n v="0"/>
    <n v="0"/>
    <n v="0"/>
    <n v="0"/>
  </r>
  <r>
    <n v="61035075"/>
    <s v="N"/>
    <n v="21331005"/>
    <s v="3000015236260008"/>
    <s v="CIVIL"/>
    <d v="2023-06-23T00:00:00"/>
    <d v="2023-07-05T19:01:47"/>
    <m/>
    <d v="2023-07-05T00:00:00"/>
    <n v="1656"/>
    <n v="15"/>
    <s v="61035075"/>
    <s v="61035075"/>
    <m/>
    <m/>
    <n v="22755974"/>
    <m/>
    <m/>
    <m/>
    <s v="SOLFIN"/>
    <s v="SOLFIN"/>
    <s v="CCMS"/>
    <n v="21331005"/>
    <n v="13010.51"/>
    <m/>
    <s v="N"/>
    <n v="86"/>
    <d v="2023-07-05T19:02:01"/>
    <s v="Y"/>
    <s v="Routine Letter Out"/>
    <s v="Prescribed Hourly Rates"/>
    <s v="Profit Cost"/>
    <s v="OB"/>
    <s v="Y"/>
    <n v="1446.93"/>
    <n v="289.42"/>
    <x v="6"/>
    <s v="VALIDATED"/>
    <n v="1"/>
    <s v="01.11.80.307.6100.0000"/>
    <n v="1446.93"/>
    <s v="11"/>
    <s v="6100"/>
    <n v="24809.75"/>
    <n v="1446.93"/>
    <s v="CREDITOR"/>
    <n v="0"/>
    <n v="0"/>
    <n v="0"/>
    <n v="0"/>
    <n v="1446.93"/>
  </r>
  <r>
    <n v="61035075"/>
    <s v="N"/>
    <n v="21331005"/>
    <s v="3000015236260008"/>
    <s v="CIVIL"/>
    <d v="2023-06-23T00:00:00"/>
    <d v="2023-07-05T19:01:47"/>
    <m/>
    <d v="2023-07-05T00:00:00"/>
    <n v="1656"/>
    <n v="15"/>
    <s v="61035075"/>
    <s v="61035075"/>
    <m/>
    <m/>
    <n v="22755974"/>
    <m/>
    <m/>
    <m/>
    <s v="SOLFIN"/>
    <s v="SOLFIN"/>
    <s v="CCMS"/>
    <n v="21331005"/>
    <n v="13010.51"/>
    <m/>
    <s v="N"/>
    <n v="87"/>
    <d v="2023-07-05T19:02:01"/>
    <s v="Y"/>
    <s v="Routine Letter Out"/>
    <s v="Prescribed Hourly Rates"/>
    <s v="Profit Cost"/>
    <s v="JW"/>
    <s v="Y"/>
    <n v="37.8"/>
    <n v="7.56"/>
    <x v="6"/>
    <s v="VALIDATED"/>
    <n v="1"/>
    <s v="01.11.80.307.6100.0000"/>
    <n v="37.8"/>
    <s v="11"/>
    <s v="6100"/>
    <n v="24809.75"/>
    <n v="37.8"/>
    <s v="CREDITOR"/>
    <n v="0"/>
    <n v="0"/>
    <n v="0"/>
    <n v="0"/>
    <n v="37.8"/>
  </r>
  <r>
    <n v="60815703"/>
    <s v="N"/>
    <n v="21328116"/>
    <s v="3000015047580009"/>
    <s v="CIVIL"/>
    <d v="2023-06-26T00:00:00"/>
    <d v="2023-07-04T19:00:44"/>
    <m/>
    <d v="2023-07-04T00:00:00"/>
    <n v="1656"/>
    <n v="15"/>
    <s v="60815703"/>
    <s v="60815703"/>
    <m/>
    <m/>
    <n v="22761074"/>
    <m/>
    <m/>
    <m/>
    <s v="SOLFIN"/>
    <s v="SOLFIN"/>
    <s v="CCMS"/>
    <n v="21328116"/>
    <n v="7019.44"/>
    <m/>
    <s v="N"/>
    <n v="40"/>
    <d v="2023-07-04T19:01:05"/>
    <s v="Y"/>
    <s v="Advocacy - Directions Hearing"/>
    <s v="Prescribed Hourly Rates"/>
    <s v="Advocacy"/>
    <s v="AT"/>
    <s v="Y"/>
    <n v="35.44"/>
    <n v="7.09"/>
    <x v="1"/>
    <s v="VALIDATED"/>
    <n v="1"/>
    <s v="01.11.80.307.6100.0000"/>
    <n v="35.44"/>
    <s v="11"/>
    <s v="6100"/>
    <n v="24809.75"/>
    <n v="35.44"/>
    <s v="CREDITOR"/>
    <n v="0"/>
    <n v="0"/>
    <n v="0"/>
    <n v="0"/>
    <n v="35.44"/>
  </r>
  <r>
    <n v="61049069"/>
    <s v="N"/>
    <n v="21318381"/>
    <s v="3000015248580009"/>
    <s v="CIVIL"/>
    <d v="2023-06-15T00:00:00"/>
    <d v="2023-07-03T19:01:49"/>
    <m/>
    <d v="2023-07-03T00:00:00"/>
    <n v="1656"/>
    <n v="15"/>
    <s v="61049069"/>
    <s v="61049069"/>
    <m/>
    <m/>
    <n v="22701498"/>
    <m/>
    <m/>
    <m/>
    <s v="SOLFIN"/>
    <s v="SOLFIN"/>
    <s v="CCMS"/>
    <n v="21318381"/>
    <n v="8695.4"/>
    <m/>
    <s v="N"/>
    <n v="55"/>
    <d v="2023-07-03T19:01:54"/>
    <s v="Y"/>
    <s v="Preparation - drafting instructions"/>
    <s v="Prescribed Hourly Rates"/>
    <s v="Profit Cost"/>
    <s v="OB"/>
    <s v="Y"/>
    <n v="71.37"/>
    <n v="14.27"/>
    <x v="3"/>
    <s v="VALIDATED"/>
    <n v="1"/>
    <s v="01.11.80.307.6100.0000"/>
    <n v="71.37"/>
    <s v="11"/>
    <s v="6100"/>
    <n v="24809.75"/>
    <n v="71.37"/>
    <s v="CREDITOR"/>
    <n v="0"/>
    <n v="0"/>
    <n v="0"/>
    <n v="0"/>
    <n v="71.37"/>
  </r>
  <r>
    <n v="61049069"/>
    <s v="N"/>
    <n v="21318381"/>
    <s v="3000015248580009"/>
    <s v="CIVIL"/>
    <d v="2023-06-15T00:00:00"/>
    <d v="2023-07-03T19:01:49"/>
    <m/>
    <d v="2023-07-03T00:00:00"/>
    <n v="1656"/>
    <n v="15"/>
    <s v="61049069"/>
    <s v="61049069"/>
    <m/>
    <m/>
    <n v="22701498"/>
    <m/>
    <m/>
    <m/>
    <s v="SOLFIN"/>
    <s v="SOLFIN"/>
    <s v="CCMS"/>
    <n v="21318381"/>
    <n v="8695.4"/>
    <m/>
    <s v="N"/>
    <n v="64"/>
    <d v="2023-07-03T19:01:54"/>
    <s v="Y"/>
    <s v="Preparation - drafting application"/>
    <s v="Prescribed Hourly Rates"/>
    <s v="Profit Cost"/>
    <s v="CD"/>
    <s v="Y"/>
    <n v="367.83"/>
    <n v="73.56999999999999"/>
    <x v="3"/>
    <s v="VALIDATED"/>
    <n v="1"/>
    <s v="01.11.80.307.6100.0000"/>
    <n v="367.83"/>
    <s v="11"/>
    <s v="6100"/>
    <n v="24809.75"/>
    <n v="367.83"/>
    <s v="CREDITOR"/>
    <n v="0"/>
    <n v="0"/>
    <n v="0"/>
    <n v="0"/>
    <n v="367.83"/>
  </r>
  <r>
    <n v="61049069"/>
    <s v="N"/>
    <n v="21318381"/>
    <s v="3000015248580009"/>
    <s v="CIVIL"/>
    <d v="2023-06-15T00:00:00"/>
    <d v="2023-07-03T19:01:49"/>
    <m/>
    <d v="2023-07-03T00:00:00"/>
    <n v="1656"/>
    <n v="15"/>
    <s v="61049069"/>
    <s v="61049069"/>
    <m/>
    <m/>
    <n v="22701498"/>
    <m/>
    <m/>
    <m/>
    <s v="SOLFIN"/>
    <s v="SOLFIN"/>
    <s v="CCMS"/>
    <n v="21318381"/>
    <n v="8695.4"/>
    <m/>
    <s v="N"/>
    <n v="17"/>
    <d v="2023-07-03T19:01:54"/>
    <s v="Y"/>
    <s v="Preparation - other"/>
    <s v="Prescribed Hourly Rates"/>
    <s v="Profit Cost"/>
    <s v="JW"/>
    <s v="Y"/>
    <n v="5.49"/>
    <n v="1.1"/>
    <x v="3"/>
    <s v="VALIDATED"/>
    <n v="1"/>
    <s v="01.11.80.307.6100.0000"/>
    <n v="5.49"/>
    <s v="11"/>
    <s v="6100"/>
    <n v="24809.75"/>
    <n v="5.49"/>
    <s v="CREDITOR"/>
    <n v="0"/>
    <n v="0"/>
    <n v="0"/>
    <n v="0"/>
    <n v="5.49"/>
  </r>
  <r>
    <n v="56437778"/>
    <s v="N"/>
    <n v="21350078"/>
    <s v="3000013430710007"/>
    <s v="CIVIL"/>
    <d v="2023-06-29T00:00:00"/>
    <d v="2023-07-10T19:01:40"/>
    <m/>
    <d v="2023-07-10T00:00:00"/>
    <n v="1656"/>
    <n v="15"/>
    <s v="56437778"/>
    <s v="56437778"/>
    <m/>
    <m/>
    <n v="22785264"/>
    <m/>
    <m/>
    <m/>
    <s v="SOLFIN"/>
    <s v="SOLFIN"/>
    <s v="CCMS"/>
    <n v="21350078"/>
    <n v="8978.99"/>
    <m/>
    <s v="N"/>
    <n v="14"/>
    <d v="2023-07-10T19:02:13"/>
    <s v="Y"/>
    <s v="Preparation - drafting application"/>
    <s v="Care Remuneration Hourly Rates"/>
    <s v="Profit Cost"/>
    <s v="JK"/>
    <s v="Y"/>
    <n v="5.26"/>
    <n v="1.05"/>
    <x v="2"/>
    <s v="VALIDATED"/>
    <n v="1"/>
    <s v="01.11.80.308.6100.0000"/>
    <n v="5.26"/>
    <s v="11"/>
    <s v="6100"/>
    <n v="24809.75"/>
    <n v="5.26"/>
    <s v="CREDITOR"/>
    <n v="0"/>
    <n v="0"/>
    <n v="0"/>
    <n v="0"/>
    <n v="5.26"/>
  </r>
  <r>
    <n v="56437778"/>
    <s v="N"/>
    <n v="21350078"/>
    <s v="3000013430710007"/>
    <s v="CIVIL"/>
    <d v="2023-06-29T00:00:00"/>
    <d v="2023-07-10T19:01:40"/>
    <m/>
    <d v="2023-07-10T00:00:00"/>
    <n v="1656"/>
    <n v="15"/>
    <s v="56437778"/>
    <s v="56437778"/>
    <m/>
    <m/>
    <n v="22785264"/>
    <m/>
    <m/>
    <m/>
    <s v="SOLFIN"/>
    <s v="SOLFIN"/>
    <s v="CCMS"/>
    <n v="21350078"/>
    <n v="8978.99"/>
    <m/>
    <s v="N"/>
    <n v="21"/>
    <d v="2023-07-10T19:02:13"/>
    <s v="Y"/>
    <s v="Attendance upon client"/>
    <s v="Care Remuneration Hourly Rates"/>
    <s v="Profit Cost"/>
    <s v="KA"/>
    <s v="Y"/>
    <n v="12.09"/>
    <n v="2.42"/>
    <x v="2"/>
    <s v="VALIDATED"/>
    <n v="1"/>
    <s v="01.11.80.308.6100.0000"/>
    <n v="12.09"/>
    <s v="11"/>
    <s v="6100"/>
    <n v="24809.75"/>
    <n v="12.09"/>
    <s v="CREDITOR"/>
    <n v="0"/>
    <n v="0"/>
    <n v="0"/>
    <n v="0"/>
    <n v="12.09"/>
  </r>
  <r>
    <n v="61035075"/>
    <s v="N"/>
    <n v="21331005"/>
    <s v="3000015236260008"/>
    <s v="CIVIL"/>
    <d v="2023-06-23T00:00:00"/>
    <d v="2023-07-05T19:01:47"/>
    <m/>
    <d v="2023-07-05T00:00:00"/>
    <n v="1656"/>
    <n v="15"/>
    <s v="61035075"/>
    <s v="61035075"/>
    <m/>
    <m/>
    <n v="22755974"/>
    <m/>
    <m/>
    <m/>
    <s v="SOLFIN"/>
    <s v="SOLFIN"/>
    <s v="CCMS"/>
    <n v="21331005"/>
    <n v="13010.51"/>
    <m/>
    <s v="N"/>
    <n v="53"/>
    <d v="2023-07-05T19:02:01"/>
    <s v="Y"/>
    <s v="Attendance upon court"/>
    <s v="Prescribed Hourly Rates"/>
    <s v="Profit Cost"/>
    <s v="OB"/>
    <s v="Y"/>
    <n v="175.13"/>
    <n v="35.02"/>
    <x v="6"/>
    <s v="VALIDATED"/>
    <n v="1"/>
    <s v="01.11.80.307.6100.0000"/>
    <n v="175.13"/>
    <s v="11"/>
    <s v="6100"/>
    <n v="24809.75"/>
    <n v="175.13"/>
    <s v="CREDITOR"/>
    <n v="0"/>
    <n v="0"/>
    <n v="0"/>
    <n v="0"/>
    <n v="175.13"/>
  </r>
  <r>
    <n v="61035075"/>
    <s v="N"/>
    <n v="21331005"/>
    <s v="3000015236260008"/>
    <s v="CIVIL"/>
    <d v="2023-06-23T00:00:00"/>
    <d v="2023-07-05T19:01:47"/>
    <m/>
    <d v="2023-07-05T00:00:00"/>
    <n v="1656"/>
    <n v="15"/>
    <s v="61035075"/>
    <s v="61035075"/>
    <m/>
    <m/>
    <n v="22755974"/>
    <m/>
    <m/>
    <m/>
    <s v="SOLFIN"/>
    <s v="SOLFIN"/>
    <s v="CCMS"/>
    <n v="21331005"/>
    <n v="13010.51"/>
    <m/>
    <s v="N"/>
    <n v="25"/>
    <d v="2023-07-05T19:02:01"/>
    <s v="Y"/>
    <s v="Preparation - other"/>
    <s v="Prescribed Hourly Rates"/>
    <s v="Profit Cost"/>
    <s v="OB"/>
    <s v="Y"/>
    <n v="39.8"/>
    <n v="7.96"/>
    <x v="6"/>
    <s v="VALIDATED"/>
    <n v="1"/>
    <s v="01.11.80.307.6100.0000"/>
    <n v="39.8"/>
    <s v="11"/>
    <s v="6100"/>
    <n v="24809.75"/>
    <n v="39.8"/>
    <s v="CREDITOR"/>
    <n v="0"/>
    <n v="0"/>
    <n v="0"/>
    <n v="0"/>
    <n v="39.8"/>
  </r>
  <r>
    <n v="61035075"/>
    <s v="N"/>
    <n v="21331005"/>
    <s v="3000015236260008"/>
    <s v="CIVIL"/>
    <d v="2023-06-23T00:00:00"/>
    <d v="2023-07-05T19:01:47"/>
    <m/>
    <d v="2023-07-05T00:00:00"/>
    <n v="1656"/>
    <n v="15"/>
    <s v="61035075"/>
    <s v="61035075"/>
    <m/>
    <m/>
    <n v="22755974"/>
    <m/>
    <m/>
    <m/>
    <s v="SOLFIN"/>
    <s v="SOLFIN"/>
    <s v="CCMS"/>
    <n v="21331005"/>
    <n v="13010.51"/>
    <m/>
    <s v="N"/>
    <n v="56"/>
    <d v="2023-07-05T19:02:01"/>
    <s v="Y"/>
    <s v="Preparation - Periodic file review"/>
    <s v="Prescribed Hourly Rates"/>
    <s v="Profit Cost"/>
    <s v="OB"/>
    <s v="Y"/>
    <n v="55.72"/>
    <n v="11.14"/>
    <x v="6"/>
    <s v="VALIDATED"/>
    <n v="1"/>
    <s v="01.11.80.307.6100.0000"/>
    <n v="55.72"/>
    <s v="11"/>
    <s v="6100"/>
    <n v="24809.75"/>
    <n v="55.72"/>
    <s v="CREDITOR"/>
    <n v="0"/>
    <n v="0"/>
    <n v="0"/>
    <n v="0"/>
    <n v="55.72"/>
  </r>
  <r>
    <n v="61035075"/>
    <s v="N"/>
    <n v="21331005"/>
    <s v="3000015236260008"/>
    <s v="CIVIL"/>
    <d v="2023-06-23T00:00:00"/>
    <d v="2023-07-05T19:01:47"/>
    <m/>
    <d v="2023-07-05T00:00:00"/>
    <n v="1656"/>
    <n v="15"/>
    <s v="61035075"/>
    <s v="61035075"/>
    <m/>
    <m/>
    <n v="22755974"/>
    <m/>
    <m/>
    <m/>
    <s v="SOLFIN"/>
    <s v="SOLFIN"/>
    <s v="CCMS"/>
    <n v="21331005"/>
    <n v="13010.51"/>
    <m/>
    <s v="N"/>
    <n v="74"/>
    <d v="2023-07-05T19:02:01"/>
    <s v="Y"/>
    <s v="Advocacy - Directions Hearing"/>
    <s v="Prescribed Hourly Rates"/>
    <s v="Advocacy"/>
    <s v="HW"/>
    <s v="Y"/>
    <n v="49.33"/>
    <n v="9.869999999999999"/>
    <x v="6"/>
    <s v="VALIDATED"/>
    <n v="1"/>
    <s v="01.11.80.307.6100.0000"/>
    <n v="49.33"/>
    <s v="11"/>
    <s v="6100"/>
    <n v="24809.75"/>
    <n v="49.33"/>
    <s v="CREDITOR"/>
    <n v="0"/>
    <n v="0"/>
    <n v="0"/>
    <n v="0"/>
    <n v="49.33"/>
  </r>
  <r>
    <n v="60815703"/>
    <s v="N"/>
    <n v="21328116"/>
    <s v="3000015047580009"/>
    <s v="CIVIL"/>
    <d v="2023-06-26T00:00:00"/>
    <d v="2023-07-04T19:00:44"/>
    <m/>
    <d v="2023-07-04T00:00:00"/>
    <n v="1656"/>
    <n v="15"/>
    <s v="60815703"/>
    <s v="60815703"/>
    <m/>
    <m/>
    <n v="22761074"/>
    <m/>
    <m/>
    <m/>
    <s v="SOLFIN"/>
    <s v="SOLFIN"/>
    <s v="CCMS"/>
    <n v="21328116"/>
    <n v="7019.44"/>
    <m/>
    <s v="N"/>
    <n v="14"/>
    <d v="2023-07-04T19:01:05"/>
    <s v="Y"/>
    <s v="Preparation - other"/>
    <s v="Prescribed Hourly Rates"/>
    <s v="Profit Cost"/>
    <s v="AT"/>
    <s v="Y"/>
    <n v="75.48999999999999"/>
    <n v="15.1"/>
    <x v="1"/>
    <s v="VALIDATED"/>
    <n v="1"/>
    <s v="01.11.80.307.6100.0000"/>
    <n v="75.48999999999999"/>
    <s v="11"/>
    <s v="6100"/>
    <n v="24809.75"/>
    <n v="75.48999999999999"/>
    <s v="CREDITOR"/>
    <n v="0"/>
    <n v="0"/>
    <n v="0"/>
    <n v="0"/>
    <n v="75.48999999999999"/>
  </r>
  <r>
    <n v="60815703"/>
    <s v="N"/>
    <n v="21328116"/>
    <s v="3000015047580009"/>
    <s v="CIVIL"/>
    <d v="2023-06-26T00:00:00"/>
    <d v="2023-07-04T19:00:44"/>
    <m/>
    <d v="2023-07-04T00:00:00"/>
    <n v="1656"/>
    <n v="15"/>
    <s v="60815703"/>
    <s v="60815703"/>
    <m/>
    <m/>
    <n v="22761074"/>
    <m/>
    <m/>
    <m/>
    <s v="SOLFIN"/>
    <s v="SOLFIN"/>
    <s v="CCMS"/>
    <n v="21328116"/>
    <n v="7019.44"/>
    <m/>
    <s v="N"/>
    <n v="20"/>
    <d v="2023-07-04T19:01:05"/>
    <s v="Y"/>
    <s v="Attendance upon court"/>
    <s v="Prescribed Hourly Rates"/>
    <s v="Profit Cost"/>
    <s v="AT"/>
    <s v="Y"/>
    <n v="109.8"/>
    <n v="21.96"/>
    <x v="1"/>
    <s v="VALIDATED"/>
    <n v="1"/>
    <s v="01.11.80.307.6100.0000"/>
    <n v="109.8"/>
    <s v="11"/>
    <s v="6100"/>
    <n v="24809.75"/>
    <n v="109.8"/>
    <s v="CREDITOR"/>
    <n v="0"/>
    <n v="0"/>
    <n v="0"/>
    <n v="0"/>
    <n v="109.8"/>
  </r>
  <r>
    <n v="60815703"/>
    <s v="N"/>
    <n v="21328116"/>
    <s v="3000015047580009"/>
    <s v="CIVIL"/>
    <d v="2023-06-26T00:00:00"/>
    <d v="2023-07-04T19:00:44"/>
    <m/>
    <d v="2023-07-04T00:00:00"/>
    <n v="1656"/>
    <n v="15"/>
    <s v="60815703"/>
    <s v="60815703"/>
    <m/>
    <m/>
    <n v="22761074"/>
    <m/>
    <m/>
    <m/>
    <s v="SOLFIN"/>
    <s v="SOLFIN"/>
    <s v="CCMS"/>
    <n v="21328116"/>
    <n v="7019.44"/>
    <m/>
    <s v="N"/>
    <n v="5"/>
    <d v="2023-07-04T19:01:05"/>
    <s v="Y"/>
    <s v="Police Records"/>
    <s v="Prescribed Hourly Rates"/>
    <s v="Non Expert Disbursement"/>
    <s v="XXX"/>
    <s v="Y"/>
    <n v="65"/>
    <n v="0"/>
    <x v="1"/>
    <s v="VALIDATED"/>
    <n v="1"/>
    <s v="01.11.80.307.6300.0000"/>
    <n v="65"/>
    <s v="11"/>
    <s v="6300"/>
    <n v="24809.75"/>
    <n v="65"/>
    <s v="CREDITOR"/>
    <n v="0"/>
    <n v="0"/>
    <n v="0"/>
    <n v="0"/>
    <n v="65"/>
  </r>
  <r>
    <n v="60815703"/>
    <s v="N"/>
    <n v="21328116"/>
    <s v="3000015047580009"/>
    <s v="CIVIL"/>
    <d v="2023-06-26T00:00:00"/>
    <d v="2023-07-04T19:00:44"/>
    <m/>
    <d v="2023-07-04T00:00:00"/>
    <n v="1656"/>
    <n v="15"/>
    <s v="60815703"/>
    <s v="60815703"/>
    <m/>
    <m/>
    <n v="22761074"/>
    <m/>
    <m/>
    <m/>
    <s v="SOLFIN"/>
    <s v="SOLFIN"/>
    <s v="CCMS"/>
    <n v="21328116"/>
    <n v="7019.44"/>
    <m/>
    <s v="N"/>
    <n v="30"/>
    <d v="2023-07-04T19:01:05"/>
    <s v="Y"/>
    <s v="Preparation - drafting statement"/>
    <s v="Prescribed Hourly Rates"/>
    <s v="Profit Cost"/>
    <s v="AT"/>
    <s v="Y"/>
    <n v="48.04"/>
    <n v="9.609999999999999"/>
    <x v="1"/>
    <s v="VALIDATED"/>
    <n v="1"/>
    <s v="01.11.80.307.6100.0000"/>
    <n v="48.04"/>
    <s v="11"/>
    <s v="6100"/>
    <n v="24809.75"/>
    <n v="48.04"/>
    <s v="CREDITOR"/>
    <n v="0"/>
    <n v="0"/>
    <n v="0"/>
    <n v="0"/>
    <n v="48.04"/>
  </r>
  <r>
    <n v="61877371"/>
    <s v="N"/>
    <n v="21318346"/>
    <s v="3000015925650004"/>
    <s v="CIVIL"/>
    <d v="2023-06-22T00:00:00"/>
    <d v="2023-07-03T19:01:49"/>
    <m/>
    <d v="2023-07-03T00:00:00"/>
    <n v="1656"/>
    <n v="15"/>
    <s v="61877371"/>
    <s v="61877371"/>
    <m/>
    <m/>
    <n v="22742700"/>
    <m/>
    <m/>
    <m/>
    <s v="SOLPOA"/>
    <s v="SOLPOA"/>
    <s v="CCMS"/>
    <n v="21318346"/>
    <n v="53"/>
    <m/>
    <s v="N"/>
    <n v="1"/>
    <d v="2023-07-03T19:01:54"/>
    <s v="N"/>
    <s v="Non Expert Disbursement"/>
    <s v="Non Expert Disbursement"/>
    <s v="Non Expert Disbursement"/>
    <s v="Daniela Maggioni"/>
    <s v="N"/>
    <n v="53"/>
    <n v="0"/>
    <x v="3"/>
    <s v="VALIDATED"/>
    <n v="1"/>
    <s v="01.11.80.307.2012.0000"/>
    <n v="53"/>
    <s v="11"/>
    <s v="2012"/>
    <n v="24809.75"/>
    <n v="53"/>
    <s v="CREDITOR"/>
    <n v="53"/>
    <n v="0"/>
    <n v="0"/>
    <n v="0"/>
    <n v="0"/>
  </r>
  <r>
    <n v="62041173"/>
    <s v="N"/>
    <n v="21318589"/>
    <s v="3000016077560001"/>
    <s v="CIVIL"/>
    <d v="2023-06-22T00:00:00"/>
    <d v="2023-07-03T19:01:49"/>
    <m/>
    <d v="2023-07-03T00:00:00"/>
    <n v="1656"/>
    <n v="15"/>
    <s v="62041173"/>
    <s v="62041173"/>
    <m/>
    <m/>
    <n v="22743488"/>
    <m/>
    <m/>
    <m/>
    <s v="SOLPOA"/>
    <s v="SOLPOA"/>
    <s v="CCMS"/>
    <n v="21318589"/>
    <n v="596.16"/>
    <m/>
    <s v="N"/>
    <n v="1"/>
    <d v="2023-07-03T19:02:00"/>
    <s v="N"/>
    <s v="Expert Cost"/>
    <s v="Expert Cost"/>
    <s v="Expert Disbursement"/>
    <s v="Charlotte Ellingham"/>
    <s v="N"/>
    <n v="496.8"/>
    <n v="99.36"/>
    <x v="3"/>
    <s v="VALIDATED"/>
    <n v="1"/>
    <s v="01.11.80.308.2012.0000"/>
    <n v="496.8"/>
    <s v="11"/>
    <s v="2012"/>
    <n v="24809.75"/>
    <n v="496.8"/>
    <s v="CREDITOR"/>
    <n v="496.8"/>
    <n v="0"/>
    <n v="0"/>
    <n v="0"/>
    <n v="0"/>
  </r>
  <r>
    <n v="60815703"/>
    <s v="N"/>
    <n v="21328116"/>
    <s v="3000015047580009"/>
    <s v="CIVIL"/>
    <d v="2023-06-26T00:00:00"/>
    <d v="2023-07-04T19:00:44"/>
    <m/>
    <d v="2023-07-04T00:00:00"/>
    <n v="1656"/>
    <n v="15"/>
    <s v="60815703"/>
    <s v="60815703"/>
    <m/>
    <m/>
    <n v="22761074"/>
    <m/>
    <m/>
    <m/>
    <s v="SOLFIN"/>
    <s v="SOLFIN"/>
    <s v="CCMS"/>
    <n v="21328116"/>
    <n v="7019.44"/>
    <m/>
    <s v="N"/>
    <n v="17"/>
    <d v="2023-07-04T19:01:05"/>
    <s v="Y"/>
    <s v="Attendance upon client"/>
    <s v="Prescribed Hourly Rates"/>
    <s v="Profit Cost"/>
    <s v="AT"/>
    <s v="Y"/>
    <n v="34.31"/>
    <n v="6.86"/>
    <x v="1"/>
    <s v="VALIDATED"/>
    <n v="1"/>
    <s v="01.11.80.307.6100.0000"/>
    <n v="34.31"/>
    <s v="11"/>
    <s v="6100"/>
    <n v="24809.75"/>
    <n v="34.31"/>
    <s v="CREDITOR"/>
    <n v="0"/>
    <n v="0"/>
    <n v="0"/>
    <n v="0"/>
    <n v="34.31"/>
  </r>
  <r>
    <n v="60815703"/>
    <s v="N"/>
    <n v="21328116"/>
    <s v="3000015047580009"/>
    <s v="CIVIL"/>
    <d v="2023-06-26T00:00:00"/>
    <d v="2023-07-04T19:00:44"/>
    <m/>
    <d v="2023-07-04T00:00:00"/>
    <n v="1656"/>
    <n v="15"/>
    <s v="60815703"/>
    <s v="60815703"/>
    <m/>
    <m/>
    <n v="22761074"/>
    <m/>
    <m/>
    <m/>
    <s v="SOLFIN"/>
    <s v="SOLFIN"/>
    <s v="CCMS"/>
    <n v="21328116"/>
    <n v="7019.44"/>
    <m/>
    <s v="N"/>
    <n v="67"/>
    <d v="2023-07-04T19:01:05"/>
    <s v="Y"/>
    <s v="Preparation - other"/>
    <s v="Prescribed Hourly Rates"/>
    <s v="Profit Cost"/>
    <s v="AT"/>
    <s v="Y"/>
    <n v="34.31"/>
    <n v="6.86"/>
    <x v="1"/>
    <s v="VALIDATED"/>
    <n v="1"/>
    <s v="01.11.80.307.6100.0000"/>
    <n v="34.31"/>
    <s v="11"/>
    <s v="6100"/>
    <n v="24809.75"/>
    <n v="34.31"/>
    <s v="CREDITOR"/>
    <n v="0"/>
    <n v="0"/>
    <n v="0"/>
    <n v="0"/>
    <n v="34.31"/>
  </r>
  <r>
    <n v="61049069"/>
    <s v="N"/>
    <n v="21318381"/>
    <s v="3000015248580009"/>
    <s v="CIVIL"/>
    <d v="2023-06-15T00:00:00"/>
    <d v="2023-07-03T19:01:49"/>
    <m/>
    <d v="2023-07-03T00:00:00"/>
    <n v="1656"/>
    <n v="15"/>
    <s v="61049069"/>
    <s v="61049069"/>
    <m/>
    <m/>
    <n v="22701498"/>
    <m/>
    <m/>
    <m/>
    <s v="SOLFIN"/>
    <s v="SOLFIN"/>
    <s v="CCMS"/>
    <n v="21318381"/>
    <n v="8695.4"/>
    <m/>
    <s v="N"/>
    <n v="56"/>
    <d v="2023-07-03T19:01:54"/>
    <s v="Y"/>
    <s v="Preparation - other"/>
    <s v="Prescribed Hourly Rates"/>
    <s v="Profit Cost"/>
    <s v="OB"/>
    <s v="Y"/>
    <n v="42.82"/>
    <n v="8.56"/>
    <x v="3"/>
    <s v="VALIDATED"/>
    <n v="1"/>
    <s v="01.11.80.307.6100.0000"/>
    <n v="42.82"/>
    <s v="11"/>
    <s v="6100"/>
    <n v="24809.75"/>
    <n v="42.82"/>
    <s v="CREDITOR"/>
    <n v="0"/>
    <n v="0"/>
    <n v="0"/>
    <n v="0"/>
    <n v="42.82"/>
  </r>
  <r>
    <n v="61049069"/>
    <s v="N"/>
    <n v="21318381"/>
    <s v="3000015248580009"/>
    <s v="CIVIL"/>
    <d v="2023-06-15T00:00:00"/>
    <d v="2023-07-03T19:01:49"/>
    <m/>
    <d v="2023-07-03T00:00:00"/>
    <n v="1656"/>
    <n v="15"/>
    <s v="61049069"/>
    <s v="61049069"/>
    <m/>
    <m/>
    <n v="22701498"/>
    <m/>
    <m/>
    <m/>
    <s v="SOLFIN"/>
    <s v="SOLFIN"/>
    <s v="CCMS"/>
    <n v="21318381"/>
    <n v="8695.4"/>
    <m/>
    <s v="N"/>
    <n v="23"/>
    <d v="2023-07-03T19:01:54"/>
    <s v="Y"/>
    <s v="Travel to court"/>
    <s v="Prescribed Hourly Rates"/>
    <s v="Profit Cost"/>
    <s v="OB"/>
    <s v="Y"/>
    <n v="51.34"/>
    <n v="10.27"/>
    <x v="3"/>
    <s v="VALIDATED"/>
    <n v="1"/>
    <s v="01.11.80.307.6100.0000"/>
    <n v="51.34"/>
    <s v="11"/>
    <s v="6100"/>
    <n v="24809.75"/>
    <n v="51.34"/>
    <s v="CREDITOR"/>
    <n v="0"/>
    <n v="0"/>
    <n v="0"/>
    <n v="0"/>
    <n v="51.34"/>
  </r>
  <r>
    <n v="56437778"/>
    <s v="N"/>
    <n v="21350078"/>
    <s v="3000013430710007"/>
    <s v="CIVIL"/>
    <d v="2023-06-29T00:00:00"/>
    <d v="2023-07-10T19:01:40"/>
    <m/>
    <d v="2023-07-10T00:00:00"/>
    <n v="1656"/>
    <n v="15"/>
    <s v="56437778"/>
    <s v="56437778"/>
    <m/>
    <m/>
    <n v="22785264"/>
    <m/>
    <m/>
    <m/>
    <s v="SOLFIN"/>
    <s v="SOLFIN"/>
    <s v="CCMS"/>
    <n v="21350078"/>
    <n v="8978.99"/>
    <m/>
    <s v="N"/>
    <n v="2"/>
    <d v="2023-07-10T19:02:13"/>
    <s v="Y"/>
    <s v="Preparation - drafting application"/>
    <s v="Care Remuneration Hourly Rates"/>
    <s v="Profit Cost"/>
    <s v="KA"/>
    <s v="Y"/>
    <n v="30.23"/>
    <n v="6.05"/>
    <x v="2"/>
    <s v="VALIDATED"/>
    <n v="1"/>
    <s v="01.11.80.308.6100.0000"/>
    <n v="30.23"/>
    <s v="11"/>
    <s v="6100"/>
    <n v="24809.75"/>
    <n v="30.23"/>
    <s v="CREDITOR"/>
    <n v="0"/>
    <n v="0"/>
    <n v="0"/>
    <n v="0"/>
    <n v="30.23"/>
  </r>
  <r>
    <n v="56437778"/>
    <s v="N"/>
    <n v="21350078"/>
    <s v="3000013430710007"/>
    <s v="CIVIL"/>
    <d v="2023-06-29T00:00:00"/>
    <d v="2023-07-10T19:01:40"/>
    <m/>
    <d v="2023-07-10T00:00:00"/>
    <n v="1656"/>
    <n v="15"/>
    <s v="56437778"/>
    <s v="56437778"/>
    <m/>
    <m/>
    <n v="22785264"/>
    <m/>
    <m/>
    <m/>
    <s v="SOLFIN"/>
    <s v="SOLFIN"/>
    <s v="CCMS"/>
    <n v="21350078"/>
    <n v="8978.99"/>
    <m/>
    <s v="N"/>
    <n v="6"/>
    <d v="2023-07-10T19:02:13"/>
    <s v="Y"/>
    <s v="Attendance upon client"/>
    <s v="Care Remuneration Hourly Rates"/>
    <s v="Profit Cost"/>
    <s v="KA"/>
    <s v="Y"/>
    <n v="30.23"/>
    <n v="6.05"/>
    <x v="2"/>
    <s v="VALIDATED"/>
    <n v="1"/>
    <s v="01.11.80.308.6100.0000"/>
    <n v="30.23"/>
    <s v="11"/>
    <s v="6100"/>
    <n v="24809.75"/>
    <n v="30.23"/>
    <s v="CREDITOR"/>
    <n v="0"/>
    <n v="0"/>
    <n v="0"/>
    <n v="0"/>
    <n v="30.23"/>
  </r>
  <r>
    <n v="60815703"/>
    <s v="N"/>
    <n v="21328116"/>
    <s v="3000015047580009"/>
    <s v="CIVIL"/>
    <d v="2023-06-26T00:00:00"/>
    <d v="2023-07-04T19:00:44"/>
    <m/>
    <d v="2023-07-04T00:00:00"/>
    <n v="1656"/>
    <n v="15"/>
    <s v="60815703"/>
    <s v="60815703"/>
    <m/>
    <m/>
    <n v="22761074"/>
    <m/>
    <m/>
    <m/>
    <s v="SOLFIN"/>
    <s v="SOLFIN"/>
    <s v="CCMS"/>
    <n v="21328116"/>
    <n v="7019.44"/>
    <m/>
    <s v="N"/>
    <n v="26"/>
    <d v="2023-07-04T19:01:05"/>
    <s v="Y"/>
    <s v="Preparation - drafting statement"/>
    <s v="Prescribed Hourly Rates"/>
    <s v="Profit Cost"/>
    <s v="AT"/>
    <s v="Y"/>
    <n v="13.73"/>
    <n v="2.75"/>
    <x v="1"/>
    <s v="VALIDATED"/>
    <n v="1"/>
    <s v="01.11.80.307.6100.0000"/>
    <n v="13.73"/>
    <s v="11"/>
    <s v="6100"/>
    <n v="24809.75"/>
    <n v="13.73"/>
    <s v="CREDITOR"/>
    <n v="0"/>
    <n v="0"/>
    <n v="0"/>
    <n v="0"/>
    <n v="13.73"/>
  </r>
  <r>
    <n v="60815703"/>
    <s v="N"/>
    <n v="21328884"/>
    <s v="3000015047580007RC"/>
    <s v="CIVIL"/>
    <d v="2023-06-26T00:00:00"/>
    <d v="2023-07-04T19:38:21"/>
    <m/>
    <d v="2023-07-04T00:00:00"/>
    <n v="1656"/>
    <n v="15"/>
    <s v="60815703"/>
    <s v="60815703"/>
    <m/>
    <m/>
    <m/>
    <m/>
    <m/>
    <m/>
    <s v="SOLRECOUP"/>
    <s v="SOLRECOUP"/>
    <s v="POARECOUP"/>
    <n v="21328884"/>
    <n v="-1449.6"/>
    <m/>
    <s v="Y"/>
    <n v="2"/>
    <d v="2023-07-04T19:38:23"/>
    <s v="N"/>
    <m/>
    <m/>
    <s v="Profit Cost"/>
    <m/>
    <s v="N"/>
    <n v="0"/>
    <n v="-241.6"/>
    <x v="1"/>
    <s v="VALIDATED"/>
    <n v="1"/>
    <s v="01.11.80.307.2013.0000"/>
    <n v="-241.6"/>
    <s v="11"/>
    <s v="2013"/>
    <n v="24809.75"/>
    <n v="-241.6"/>
    <s v="CREDITOR"/>
    <n v="0"/>
    <n v="0"/>
    <n v="-241.6"/>
    <n v="-60.4"/>
    <n v="0"/>
  </r>
  <r>
    <n v="61059951"/>
    <s v="N"/>
    <n v="21328885"/>
    <s v="3000015257840009RC"/>
    <s v="CIVIL"/>
    <d v="2023-06-26T00:00:00"/>
    <d v="2023-07-04T19:38:21"/>
    <m/>
    <d v="2023-07-04T00:00:00"/>
    <n v="1656"/>
    <n v="15"/>
    <s v="61059951"/>
    <s v="61059951"/>
    <m/>
    <m/>
    <m/>
    <m/>
    <m/>
    <m/>
    <s v="SOLRECOUP"/>
    <s v="SOLRECOUP"/>
    <s v="POARECOUP"/>
    <n v="21328885"/>
    <n v="-1642.56"/>
    <m/>
    <s v="Y"/>
    <n v="1"/>
    <d v="2023-07-04T19:38:23"/>
    <s v="N"/>
    <m/>
    <m/>
    <s v="Profit Cost"/>
    <m/>
    <s v="N"/>
    <n v="-1368.8"/>
    <n v="0"/>
    <x v="1"/>
    <s v="VALIDATED"/>
    <n v="1"/>
    <s v="01.11.80.308.2013.0000"/>
    <n v="-1368.8"/>
    <s v="11"/>
    <s v="2013"/>
    <n v="24809.75"/>
    <n v="-1368.8"/>
    <s v="CREDITOR"/>
    <n v="0"/>
    <n v="0"/>
    <n v="-1368.8"/>
    <n v="-342.2"/>
    <n v="0"/>
  </r>
  <r>
    <n v="61059951"/>
    <s v="N"/>
    <n v="21328885"/>
    <s v="3000015257840009RC"/>
    <s v="CIVIL"/>
    <d v="2023-06-26T00:00:00"/>
    <d v="2023-07-04T19:38:21"/>
    <m/>
    <d v="2023-07-04T00:00:00"/>
    <n v="1656"/>
    <n v="15"/>
    <s v="61059951"/>
    <s v="61059951"/>
    <m/>
    <m/>
    <m/>
    <m/>
    <m/>
    <m/>
    <s v="SOLRECOUP"/>
    <s v="SOLRECOUP"/>
    <s v="POARECOUP"/>
    <n v="21328885"/>
    <n v="-1642.56"/>
    <m/>
    <s v="Y"/>
    <n v="2"/>
    <d v="2023-07-04T19:38:23"/>
    <s v="N"/>
    <m/>
    <m/>
    <s v="Profit Cost"/>
    <m/>
    <s v="N"/>
    <n v="0"/>
    <n v="-273.76"/>
    <x v="1"/>
    <s v="VALIDATED"/>
    <n v="1"/>
    <s v="01.11.80.308.2013.0000"/>
    <n v="-273.76"/>
    <s v="11"/>
    <s v="2013"/>
    <n v="24809.75"/>
    <n v="-273.76"/>
    <s v="CREDITOR"/>
    <n v="0"/>
    <n v="0"/>
    <n v="-273.76"/>
    <n v="-68.44"/>
    <n v="0"/>
  </r>
  <r>
    <n v="59411845"/>
    <s v="N"/>
    <n v="21328869"/>
    <s v="3000013854850002RC"/>
    <s v="CIVIL"/>
    <d v="2023-06-26T00:00:00"/>
    <d v="2023-07-04T19:38:21"/>
    <m/>
    <d v="2023-07-04T00:00:00"/>
    <n v="1656"/>
    <n v="15"/>
    <s v="59411845"/>
    <s v="59411845"/>
    <m/>
    <m/>
    <m/>
    <m/>
    <m/>
    <m/>
    <s v="SOLRECOUP"/>
    <s v="SOLRECOUP"/>
    <s v="POARECOUP"/>
    <n v="21328869"/>
    <n v="-156"/>
    <m/>
    <s v="Y"/>
    <n v="1"/>
    <d v="2023-07-04T19:38:23"/>
    <s v="N"/>
    <m/>
    <m/>
    <s v="Expert Disbursement"/>
    <m/>
    <s v="N"/>
    <n v="-130"/>
    <n v="0"/>
    <x v="1"/>
    <s v="VALIDATED"/>
    <n v="1"/>
    <s v="01.11.80.308.2013.0000"/>
    <n v="-130"/>
    <s v="11"/>
    <s v="2013"/>
    <n v="24809.75"/>
    <n v="-130"/>
    <s v="CREDITOR"/>
    <n v="0"/>
    <n v="0"/>
    <n v="-130"/>
    <n v="0"/>
    <n v="0"/>
  </r>
  <r>
    <n v="59411845"/>
    <s v="N"/>
    <n v="21328869"/>
    <s v="3000013854850002RC"/>
    <s v="CIVIL"/>
    <d v="2023-06-26T00:00:00"/>
    <d v="2023-07-04T19:38:21"/>
    <m/>
    <d v="2023-07-04T00:00:00"/>
    <n v="1656"/>
    <n v="15"/>
    <s v="59411845"/>
    <s v="59411845"/>
    <m/>
    <m/>
    <m/>
    <m/>
    <m/>
    <m/>
    <s v="SOLRECOUP"/>
    <s v="SOLRECOUP"/>
    <s v="POARECOUP"/>
    <n v="21328869"/>
    <n v="-156"/>
    <m/>
    <s v="Y"/>
    <n v="2"/>
    <d v="2023-07-04T19:38:23"/>
    <s v="N"/>
    <m/>
    <m/>
    <s v="Expert Disbursement"/>
    <m/>
    <s v="N"/>
    <n v="0"/>
    <n v="-26"/>
    <x v="1"/>
    <s v="VALIDATED"/>
    <n v="1"/>
    <s v="01.11.80.308.2013.0000"/>
    <n v="-26"/>
    <s v="11"/>
    <s v="2013"/>
    <n v="24809.75"/>
    <n v="-26"/>
    <s v="CREDITOR"/>
    <n v="0"/>
    <n v="0"/>
    <n v="-26"/>
    <n v="0"/>
    <n v="0"/>
  </r>
  <r>
    <n v="59411845"/>
    <s v="N"/>
    <n v="21328870"/>
    <s v="3000013854850004RC"/>
    <s v="CIVIL"/>
    <d v="2023-06-26T00:00:00"/>
    <d v="2023-07-04T19:38:21"/>
    <m/>
    <d v="2023-07-04T00:00:00"/>
    <n v="1656"/>
    <n v="15"/>
    <s v="59411845"/>
    <s v="59411845"/>
    <m/>
    <m/>
    <m/>
    <m/>
    <m/>
    <m/>
    <s v="SOLRECOUP"/>
    <s v="SOLRECOUP"/>
    <s v="POARECOUP"/>
    <n v="21328870"/>
    <n v="-1728"/>
    <m/>
    <s v="Y"/>
    <n v="1"/>
    <d v="2023-07-04T19:38:23"/>
    <s v="N"/>
    <m/>
    <m/>
    <s v="Profit Cost"/>
    <m/>
    <s v="N"/>
    <n v="-1440"/>
    <n v="0"/>
    <x v="1"/>
    <s v="VALIDATED"/>
    <n v="1"/>
    <s v="01.11.80.308.2013.0000"/>
    <n v="-1440"/>
    <s v="11"/>
    <s v="2013"/>
    <n v="24809.75"/>
    <n v="-1440"/>
    <s v="CREDITOR"/>
    <n v="0"/>
    <n v="0"/>
    <n v="-1440"/>
    <n v="-360"/>
    <n v="0"/>
  </r>
  <r>
    <n v="59411845"/>
    <s v="N"/>
    <n v="21328870"/>
    <s v="3000013854850004RC"/>
    <s v="CIVIL"/>
    <d v="2023-06-26T00:00:00"/>
    <d v="2023-07-04T19:38:21"/>
    <m/>
    <d v="2023-07-04T00:00:00"/>
    <n v="1656"/>
    <n v="15"/>
    <s v="59411845"/>
    <s v="59411845"/>
    <m/>
    <m/>
    <m/>
    <m/>
    <m/>
    <m/>
    <s v="SOLRECOUP"/>
    <s v="SOLRECOUP"/>
    <s v="POARECOUP"/>
    <n v="21328870"/>
    <n v="-1728"/>
    <m/>
    <s v="Y"/>
    <n v="2"/>
    <d v="2023-07-04T19:38:23"/>
    <s v="N"/>
    <m/>
    <m/>
    <s v="Profit Cost"/>
    <m/>
    <s v="N"/>
    <n v="0"/>
    <n v="-288"/>
    <x v="1"/>
    <s v="VALIDATED"/>
    <n v="1"/>
    <s v="01.11.80.308.2013.0000"/>
    <n v="-288"/>
    <s v="11"/>
    <s v="2013"/>
    <n v="24809.75"/>
    <n v="-288"/>
    <s v="CREDITOR"/>
    <n v="0"/>
    <n v="0"/>
    <n v="-288"/>
    <n v="-72"/>
    <n v="0"/>
  </r>
  <r>
    <n v="59411845"/>
    <s v="N"/>
    <n v="21328871"/>
    <s v="3000013854850001RC"/>
    <s v="CIVIL"/>
    <d v="2023-06-26T00:00:00"/>
    <d v="2023-07-04T19:38:21"/>
    <m/>
    <d v="2023-07-04T00:00:00"/>
    <n v="1656"/>
    <n v="15"/>
    <s v="59411845"/>
    <s v="59411845"/>
    <m/>
    <m/>
    <m/>
    <m/>
    <m/>
    <m/>
    <s v="SOLRECOUP"/>
    <s v="SOLRECOUP"/>
    <s v="POARECOUP"/>
    <n v="21328871"/>
    <n v="-304.2"/>
    <m/>
    <s v="Y"/>
    <n v="1"/>
    <d v="2023-07-04T19:38:23"/>
    <s v="N"/>
    <m/>
    <m/>
    <s v="Expert Disbursement"/>
    <m/>
    <s v="N"/>
    <n v="-253.5"/>
    <n v="0"/>
    <x v="1"/>
    <s v="VALIDATED"/>
    <n v="1"/>
    <s v="01.11.80.308.2013.0000"/>
    <n v="-253.5"/>
    <s v="11"/>
    <s v="2013"/>
    <n v="24809.75"/>
    <n v="-253.5"/>
    <s v="CREDITOR"/>
    <n v="0"/>
    <n v="0"/>
    <n v="-253.5"/>
    <n v="0"/>
    <n v="0"/>
  </r>
  <r>
    <n v="59411845"/>
    <s v="N"/>
    <n v="21328871"/>
    <s v="3000013854850001RC"/>
    <s v="CIVIL"/>
    <d v="2023-06-26T00:00:00"/>
    <d v="2023-07-04T19:38:21"/>
    <m/>
    <d v="2023-07-04T00:00:00"/>
    <n v="1656"/>
    <n v="15"/>
    <s v="59411845"/>
    <s v="59411845"/>
    <m/>
    <m/>
    <m/>
    <m/>
    <m/>
    <m/>
    <s v="SOLRECOUP"/>
    <s v="SOLRECOUP"/>
    <s v="POARECOUP"/>
    <n v="21328871"/>
    <n v="-304.2"/>
    <m/>
    <s v="Y"/>
    <n v="2"/>
    <d v="2023-07-04T19:38:23"/>
    <s v="N"/>
    <m/>
    <m/>
    <s v="Expert Disbursement"/>
    <m/>
    <s v="N"/>
    <n v="0"/>
    <n v="-50.7"/>
    <x v="1"/>
    <s v="VALIDATED"/>
    <n v="1"/>
    <s v="01.11.80.308.2013.0000"/>
    <n v="-50.7"/>
    <s v="11"/>
    <s v="2013"/>
    <n v="24809.75"/>
    <n v="-50.7"/>
    <s v="CREDITOR"/>
    <n v="0"/>
    <n v="0"/>
    <n v="-50.7"/>
    <n v="0"/>
    <n v="0"/>
  </r>
  <r>
    <n v="59411845"/>
    <s v="N"/>
    <n v="21328872"/>
    <s v="3000013854850005RC"/>
    <s v="CIVIL"/>
    <d v="2023-06-26T00:00:00"/>
    <d v="2023-07-04T19:38:21"/>
    <m/>
    <d v="2023-07-04T00:00:00"/>
    <n v="1656"/>
    <n v="15"/>
    <s v="59411845"/>
    <s v="59411845"/>
    <m/>
    <m/>
    <m/>
    <m/>
    <m/>
    <m/>
    <s v="SOLRECOUP"/>
    <s v="SOLRECOUP"/>
    <s v="POARECOUP"/>
    <n v="21328872"/>
    <n v="-120"/>
    <m/>
    <s v="Y"/>
    <n v="1"/>
    <d v="2023-07-04T19:38:23"/>
    <s v="N"/>
    <m/>
    <m/>
    <s v="Expert Disbursement"/>
    <m/>
    <s v="N"/>
    <n v="-100"/>
    <n v="0"/>
    <x v="1"/>
    <s v="VALIDATED"/>
    <n v="1"/>
    <s v="01.11.80.308.2013.0000"/>
    <n v="-100"/>
    <s v="11"/>
    <s v="2013"/>
    <n v="24809.75"/>
    <n v="-100"/>
    <s v="CREDITOR"/>
    <n v="0"/>
    <n v="0"/>
    <n v="-100"/>
    <n v="0"/>
    <n v="0"/>
  </r>
  <r>
    <n v="59411845"/>
    <s v="N"/>
    <n v="21328872"/>
    <s v="3000013854850005RC"/>
    <s v="CIVIL"/>
    <d v="2023-06-26T00:00:00"/>
    <d v="2023-07-04T19:38:21"/>
    <m/>
    <d v="2023-07-04T00:00:00"/>
    <n v="1656"/>
    <n v="15"/>
    <s v="59411845"/>
    <s v="59411845"/>
    <m/>
    <m/>
    <m/>
    <m/>
    <m/>
    <m/>
    <s v="SOLRECOUP"/>
    <s v="SOLRECOUP"/>
    <s v="POARECOUP"/>
    <n v="21328872"/>
    <n v="-120"/>
    <m/>
    <s v="Y"/>
    <n v="2"/>
    <d v="2023-07-04T19:38:23"/>
    <s v="N"/>
    <m/>
    <m/>
    <s v="Expert Disbursement"/>
    <m/>
    <s v="N"/>
    <n v="0"/>
    <n v="-20"/>
    <x v="1"/>
    <s v="VALIDATED"/>
    <n v="1"/>
    <s v="01.11.80.308.2013.0000"/>
    <n v="-20"/>
    <s v="11"/>
    <s v="2013"/>
    <n v="24809.75"/>
    <n v="-20"/>
    <s v="CREDITOR"/>
    <n v="0"/>
    <n v="0"/>
    <n v="-20"/>
    <n v="0"/>
    <n v="0"/>
  </r>
  <r>
    <n v="61059951"/>
    <s v="N"/>
    <n v="21328873"/>
    <s v="3000015257840004RC"/>
    <s v="CIVIL"/>
    <d v="2023-06-26T00:00:00"/>
    <d v="2023-07-04T19:38:21"/>
    <m/>
    <d v="2023-07-04T00:00:00"/>
    <n v="1656"/>
    <n v="15"/>
    <s v="61059951"/>
    <s v="61059951"/>
    <m/>
    <m/>
    <m/>
    <m/>
    <m/>
    <m/>
    <s v="SOLRECOUP"/>
    <s v="SOLRECOUP"/>
    <s v="POARECOUP"/>
    <n v="21328873"/>
    <n v="-129.6"/>
    <m/>
    <s v="Y"/>
    <n v="1"/>
    <d v="2023-07-04T19:38:23"/>
    <s v="N"/>
    <m/>
    <m/>
    <s v="Expert Disbursement"/>
    <m/>
    <s v="N"/>
    <n v="-108"/>
    <n v="0"/>
    <x v="1"/>
    <s v="VALIDATED"/>
    <n v="1"/>
    <s v="01.11.80.308.2013.0000"/>
    <n v="-108"/>
    <s v="11"/>
    <s v="2013"/>
    <n v="24809.75"/>
    <n v="-108"/>
    <s v="CREDITOR"/>
    <n v="0"/>
    <n v="0"/>
    <n v="-108"/>
    <n v="0"/>
    <n v="0"/>
  </r>
  <r>
    <n v="61059951"/>
    <s v="N"/>
    <n v="21328873"/>
    <s v="3000015257840004RC"/>
    <s v="CIVIL"/>
    <d v="2023-06-26T00:00:00"/>
    <d v="2023-07-04T19:38:21"/>
    <m/>
    <d v="2023-07-04T00:00:00"/>
    <n v="1656"/>
    <n v="15"/>
    <s v="61059951"/>
    <s v="61059951"/>
    <m/>
    <m/>
    <m/>
    <m/>
    <m/>
    <m/>
    <s v="SOLRECOUP"/>
    <s v="SOLRECOUP"/>
    <s v="POARECOUP"/>
    <n v="21328873"/>
    <n v="-129.6"/>
    <m/>
    <s v="Y"/>
    <n v="2"/>
    <d v="2023-07-04T19:38:23"/>
    <s v="N"/>
    <m/>
    <m/>
    <s v="Expert Disbursement"/>
    <m/>
    <s v="N"/>
    <n v="0"/>
    <n v="-21.6"/>
    <x v="1"/>
    <s v="VALIDATED"/>
    <n v="1"/>
    <s v="01.11.80.308.2013.0000"/>
    <n v="-21.6"/>
    <s v="11"/>
    <s v="2013"/>
    <n v="24809.75"/>
    <n v="-21.6"/>
    <s v="CREDITOR"/>
    <n v="0"/>
    <n v="0"/>
    <n v="-21.6"/>
    <n v="0"/>
    <n v="0"/>
  </r>
  <r>
    <n v="61059951"/>
    <s v="N"/>
    <n v="21328874"/>
    <s v="3000015257840007RC"/>
    <s v="CIVIL"/>
    <d v="2023-06-26T00:00:00"/>
    <d v="2023-07-04T19:38:21"/>
    <m/>
    <d v="2023-07-04T00:00:00"/>
    <n v="1656"/>
    <n v="15"/>
    <s v="61059951"/>
    <s v="61059951"/>
    <m/>
    <m/>
    <m/>
    <m/>
    <m/>
    <m/>
    <s v="SOLRECOUP"/>
    <s v="SOLRECOUP"/>
    <s v="POARECOUP"/>
    <n v="21328874"/>
    <n v="-283.75"/>
    <m/>
    <s v="Y"/>
    <n v="1"/>
    <d v="2023-07-04T19:38:23"/>
    <s v="N"/>
    <m/>
    <m/>
    <s v="Non Expert Disbursement"/>
    <m/>
    <s v="N"/>
    <n v="-236.46"/>
    <n v="0"/>
    <x v="1"/>
    <s v="VALIDATED"/>
    <n v="1"/>
    <s v="01.11.80.308.2013.0000"/>
    <n v="-236.46"/>
    <s v="11"/>
    <s v="2013"/>
    <n v="24809.75"/>
    <n v="-236.46"/>
    <s v="CREDITOR"/>
    <n v="0"/>
    <n v="0"/>
    <n v="-236.46"/>
    <n v="0"/>
    <n v="0"/>
  </r>
  <r>
    <n v="61059951"/>
    <s v="N"/>
    <n v="21328874"/>
    <s v="3000015257840007RC"/>
    <s v="CIVIL"/>
    <d v="2023-06-26T00:00:00"/>
    <d v="2023-07-04T19:38:21"/>
    <m/>
    <d v="2023-07-04T00:00:00"/>
    <n v="1656"/>
    <n v="15"/>
    <s v="61059951"/>
    <s v="61059951"/>
    <m/>
    <m/>
    <m/>
    <m/>
    <m/>
    <m/>
    <s v="SOLRECOUP"/>
    <s v="SOLRECOUP"/>
    <s v="POARECOUP"/>
    <n v="21328874"/>
    <n v="-283.75"/>
    <m/>
    <s v="Y"/>
    <n v="2"/>
    <d v="2023-07-04T19:38:23"/>
    <s v="N"/>
    <m/>
    <m/>
    <s v="Non Expert Disbursement"/>
    <m/>
    <s v="N"/>
    <n v="0"/>
    <n v="-47.29"/>
    <x v="1"/>
    <s v="VALIDATED"/>
    <n v="1"/>
    <s v="01.11.80.308.2013.0000"/>
    <n v="-47.29"/>
    <s v="11"/>
    <s v="2013"/>
    <n v="24809.75"/>
    <n v="-47.29"/>
    <s v="CREDITOR"/>
    <n v="0"/>
    <n v="0"/>
    <n v="-47.29"/>
    <n v="0"/>
    <n v="0"/>
  </r>
  <r>
    <n v="60815703"/>
    <s v="N"/>
    <n v="21328875"/>
    <s v="3000015047580003RC"/>
    <s v="CIVIL"/>
    <d v="2023-06-26T00:00:00"/>
    <d v="2023-07-04T19:38:21"/>
    <m/>
    <d v="2023-07-04T00:00:00"/>
    <n v="1656"/>
    <n v="15"/>
    <s v="60815703"/>
    <s v="60815703"/>
    <m/>
    <m/>
    <m/>
    <m/>
    <m/>
    <m/>
    <s v="SOLRECOUP"/>
    <s v="SOLRECOUP"/>
    <s v="POARECOUP"/>
    <n v="21328875"/>
    <n v="-65"/>
    <m/>
    <s v="Y"/>
    <n v="1"/>
    <d v="2023-07-04T19:38:23"/>
    <s v="N"/>
    <m/>
    <m/>
    <s v="Non Expert Disbursement"/>
    <m/>
    <s v="N"/>
    <n v="-65"/>
    <n v="0"/>
    <x v="1"/>
    <s v="VALIDATED"/>
    <n v="1"/>
    <s v="01.11.80.307.2013.0000"/>
    <n v="-65"/>
    <s v="11"/>
    <s v="2013"/>
    <n v="24809.75"/>
    <n v="-65"/>
    <s v="CREDITOR"/>
    <n v="0"/>
    <n v="0"/>
    <n v="-65"/>
    <n v="0"/>
    <n v="0"/>
  </r>
  <r>
    <n v="60815703"/>
    <s v="N"/>
    <n v="21328875"/>
    <s v="3000015047580003RC"/>
    <s v="CIVIL"/>
    <d v="2023-06-26T00:00:00"/>
    <d v="2023-07-04T19:38:21"/>
    <m/>
    <d v="2023-07-04T00:00:00"/>
    <n v="1656"/>
    <n v="15"/>
    <s v="60815703"/>
    <s v="60815703"/>
    <m/>
    <m/>
    <m/>
    <m/>
    <m/>
    <m/>
    <s v="SOLRECOUP"/>
    <s v="SOLRECOUP"/>
    <s v="POARECOUP"/>
    <n v="21328875"/>
    <n v="-65"/>
    <m/>
    <s v="Y"/>
    <n v="2"/>
    <d v="2023-07-04T19:38:23"/>
    <s v="N"/>
    <m/>
    <m/>
    <s v="Non Expert Disbursement"/>
    <m/>
    <s v="N"/>
    <n v="0"/>
    <n v="0"/>
    <x v="1"/>
    <s v="VALIDATED"/>
    <n v="1"/>
    <s v="01.11.80.000.0000.0000"/>
    <n v="0"/>
    <s v="11"/>
    <s v="0000"/>
    <n v="24809.75"/>
    <n v="0"/>
    <s v="CREDITOR"/>
    <n v="0"/>
    <n v="0"/>
    <n v="0"/>
    <n v="0"/>
    <n v="0"/>
  </r>
  <r>
    <n v="60815703"/>
    <s v="N"/>
    <n v="21328876"/>
    <s v="3000015047580006RC"/>
    <s v="CIVIL"/>
    <d v="2023-06-26T00:00:00"/>
    <d v="2023-07-04T19:38:21"/>
    <m/>
    <d v="2023-07-04T00:00:00"/>
    <n v="1656"/>
    <n v="15"/>
    <s v="60815703"/>
    <s v="60815703"/>
    <m/>
    <m/>
    <m/>
    <m/>
    <m/>
    <m/>
    <s v="SOLRECOUP"/>
    <s v="SOLRECOUP"/>
    <s v="POARECOUP"/>
    <n v="21328876"/>
    <n v="-17.6"/>
    <m/>
    <s v="Y"/>
    <n v="1"/>
    <d v="2023-07-04T19:38:23"/>
    <s v="N"/>
    <m/>
    <m/>
    <s v="Non Expert Disbursement"/>
    <m/>
    <s v="N"/>
    <n v="-17.6"/>
    <n v="0"/>
    <x v="1"/>
    <s v="VALIDATED"/>
    <n v="1"/>
    <s v="01.11.80.307.2013.0000"/>
    <n v="-17.6"/>
    <s v="11"/>
    <s v="2013"/>
    <n v="24809.75"/>
    <n v="-17.6"/>
    <s v="CREDITOR"/>
    <n v="0"/>
    <n v="0"/>
    <n v="-17.6"/>
    <n v="0"/>
    <n v="0"/>
  </r>
  <r>
    <n v="60815703"/>
    <s v="N"/>
    <n v="21328876"/>
    <s v="3000015047580006RC"/>
    <s v="CIVIL"/>
    <d v="2023-06-26T00:00:00"/>
    <d v="2023-07-04T19:38:21"/>
    <m/>
    <d v="2023-07-04T00:00:00"/>
    <n v="1656"/>
    <n v="15"/>
    <s v="60815703"/>
    <s v="60815703"/>
    <m/>
    <m/>
    <m/>
    <m/>
    <m/>
    <m/>
    <s v="SOLRECOUP"/>
    <s v="SOLRECOUP"/>
    <s v="POARECOUP"/>
    <n v="21328876"/>
    <n v="-17.6"/>
    <m/>
    <s v="Y"/>
    <n v="2"/>
    <d v="2023-07-04T19:38:23"/>
    <s v="N"/>
    <m/>
    <m/>
    <s v="Non Expert Disbursement"/>
    <m/>
    <s v="N"/>
    <n v="0"/>
    <n v="0"/>
    <x v="1"/>
    <s v="VALIDATED"/>
    <n v="1"/>
    <s v="01.11.80.000.0000.0000"/>
    <n v="0"/>
    <s v="11"/>
    <s v="0000"/>
    <n v="24809.75"/>
    <n v="0"/>
    <s v="CREDITOR"/>
    <n v="0"/>
    <n v="0"/>
    <n v="0"/>
    <n v="0"/>
    <n v="0"/>
  </r>
  <r>
    <n v="60815703"/>
    <s v="N"/>
    <n v="21328877"/>
    <s v="3000015047580001RC"/>
    <s v="CIVIL"/>
    <d v="2023-06-26T00:00:00"/>
    <d v="2023-07-04T19:38:21"/>
    <m/>
    <d v="2023-07-04T00:00:00"/>
    <n v="1656"/>
    <n v="15"/>
    <s v="60815703"/>
    <s v="60815703"/>
    <m/>
    <m/>
    <m/>
    <m/>
    <m/>
    <m/>
    <s v="SOLRECOUP"/>
    <s v="SOLRECOUP"/>
    <s v="POARECOUP"/>
    <n v="21328877"/>
    <n v="-75.75"/>
    <m/>
    <s v="Y"/>
    <n v="1"/>
    <d v="2023-07-04T19:38:23"/>
    <s v="N"/>
    <m/>
    <m/>
    <s v="Non Expert Disbursement"/>
    <m/>
    <s v="N"/>
    <n v="-75.75"/>
    <n v="0"/>
    <x v="1"/>
    <s v="VALIDATED"/>
    <n v="1"/>
    <s v="01.11.80.307.2013.0000"/>
    <n v="-75.75"/>
    <s v="11"/>
    <s v="2013"/>
    <n v="24809.75"/>
    <n v="-75.75"/>
    <s v="CREDITOR"/>
    <n v="0"/>
    <n v="0"/>
    <n v="-75.75"/>
    <n v="0"/>
    <n v="0"/>
  </r>
  <r>
    <n v="60815703"/>
    <s v="N"/>
    <n v="21328877"/>
    <s v="3000015047580001RC"/>
    <s v="CIVIL"/>
    <d v="2023-06-26T00:00:00"/>
    <d v="2023-07-04T19:38:21"/>
    <m/>
    <d v="2023-07-04T00:00:00"/>
    <n v="1656"/>
    <n v="15"/>
    <s v="60815703"/>
    <s v="60815703"/>
    <m/>
    <m/>
    <m/>
    <m/>
    <m/>
    <m/>
    <s v="SOLRECOUP"/>
    <s v="SOLRECOUP"/>
    <s v="POARECOUP"/>
    <n v="21328877"/>
    <n v="-75.75"/>
    <m/>
    <s v="Y"/>
    <n v="2"/>
    <d v="2023-07-04T19:38:23"/>
    <s v="N"/>
    <m/>
    <m/>
    <s v="Non Expert Disbursement"/>
    <m/>
    <s v="N"/>
    <n v="0"/>
    <n v="0"/>
    <x v="1"/>
    <s v="VALIDATED"/>
    <n v="1"/>
    <s v="01.11.80.000.0000.0000"/>
    <n v="0"/>
    <s v="11"/>
    <s v="0000"/>
    <n v="24809.75"/>
    <n v="0"/>
    <s v="CREDITOR"/>
    <n v="0"/>
    <n v="0"/>
    <n v="0"/>
    <n v="0"/>
    <n v="0"/>
  </r>
  <r>
    <n v="61059951"/>
    <s v="N"/>
    <n v="21328878"/>
    <s v="3000015257840001RC"/>
    <s v="CIVIL"/>
    <d v="2023-06-26T00:00:00"/>
    <d v="2023-07-04T19:38:21"/>
    <m/>
    <d v="2023-07-04T00:00:00"/>
    <n v="1656"/>
    <n v="15"/>
    <s v="61059951"/>
    <s v="61059951"/>
    <m/>
    <m/>
    <m/>
    <m/>
    <m/>
    <m/>
    <s v="SOLRECOUP"/>
    <s v="SOLRECOUP"/>
    <s v="POARECOUP"/>
    <n v="21328878"/>
    <n v="-50.4"/>
    <m/>
    <s v="Y"/>
    <n v="1"/>
    <d v="2023-07-04T19:38:23"/>
    <s v="N"/>
    <m/>
    <m/>
    <s v="Non Expert Disbursement"/>
    <m/>
    <s v="N"/>
    <n v="-50.4"/>
    <n v="0"/>
    <x v="1"/>
    <s v="VALIDATED"/>
    <n v="1"/>
    <s v="01.11.80.308.2013.0000"/>
    <n v="-50.4"/>
    <s v="11"/>
    <s v="2013"/>
    <n v="24809.75"/>
    <n v="-50.4"/>
    <s v="CREDITOR"/>
    <n v="0"/>
    <n v="0"/>
    <n v="-50.4"/>
    <n v="0"/>
    <n v="0"/>
  </r>
  <r>
    <n v="61059951"/>
    <s v="N"/>
    <n v="21328878"/>
    <s v="3000015257840001RC"/>
    <s v="CIVIL"/>
    <d v="2023-06-26T00:00:00"/>
    <d v="2023-07-04T19:38:21"/>
    <m/>
    <d v="2023-07-04T00:00:00"/>
    <n v="1656"/>
    <n v="15"/>
    <s v="61059951"/>
    <s v="61059951"/>
    <m/>
    <m/>
    <m/>
    <m/>
    <m/>
    <m/>
    <s v="SOLRECOUP"/>
    <s v="SOLRECOUP"/>
    <s v="POARECOUP"/>
    <n v="21328878"/>
    <n v="-50.4"/>
    <m/>
    <s v="Y"/>
    <n v="2"/>
    <d v="2023-07-04T19:38:23"/>
    <s v="N"/>
    <m/>
    <m/>
    <s v="Non Expert Disbursement"/>
    <m/>
    <s v="N"/>
    <n v="0"/>
    <n v="0"/>
    <x v="1"/>
    <s v="VALIDATED"/>
    <n v="1"/>
    <s v="01.11.80.000.0000.0000"/>
    <n v="0"/>
    <s v="11"/>
    <s v="0000"/>
    <n v="24809.75"/>
    <n v="0"/>
    <s v="CREDITOR"/>
    <n v="0"/>
    <n v="0"/>
    <n v="0"/>
    <n v="0"/>
    <n v="0"/>
  </r>
  <r>
    <n v="61059951"/>
    <s v="N"/>
    <n v="21328879"/>
    <s v="3000015257840003RC"/>
    <s v="CIVIL"/>
    <d v="2023-06-26T00:00:00"/>
    <d v="2023-07-04T19:38:21"/>
    <m/>
    <d v="2023-07-04T00:00:00"/>
    <n v="1656"/>
    <n v="15"/>
    <s v="61059951"/>
    <s v="61059951"/>
    <m/>
    <m/>
    <m/>
    <m/>
    <m/>
    <m/>
    <s v="SOLRECOUP"/>
    <s v="SOLRECOUP"/>
    <s v="POARECOUP"/>
    <n v="21328879"/>
    <n v="-388.8"/>
    <m/>
    <s v="Y"/>
    <n v="1"/>
    <d v="2023-07-04T19:38:23"/>
    <s v="N"/>
    <m/>
    <m/>
    <s v="Expert Disbursement"/>
    <m/>
    <s v="N"/>
    <n v="-324"/>
    <n v="0"/>
    <x v="1"/>
    <s v="VALIDATED"/>
    <n v="1"/>
    <s v="01.11.80.308.2013.0000"/>
    <n v="-324"/>
    <s v="11"/>
    <s v="2013"/>
    <n v="24809.75"/>
    <n v="-324"/>
    <s v="CREDITOR"/>
    <n v="0"/>
    <n v="0"/>
    <n v="-324"/>
    <n v="0"/>
    <n v="0"/>
  </r>
  <r>
    <n v="61049069"/>
    <s v="N"/>
    <n v="21324523"/>
    <s v="3000015248580005RC"/>
    <s v="CIVIL"/>
    <d v="2023-06-15T00:00:00"/>
    <d v="2023-07-03T19:42:50"/>
    <m/>
    <d v="2023-07-03T00:00:00"/>
    <n v="1656"/>
    <n v="15"/>
    <s v="61049069"/>
    <s v="61049069"/>
    <m/>
    <m/>
    <m/>
    <m/>
    <m/>
    <m/>
    <s v="SOLRECOUP"/>
    <s v="SOLRECOUP"/>
    <s v="POARECOUP"/>
    <n v="21324523"/>
    <n v="-2784"/>
    <m/>
    <s v="Y"/>
    <n v="1"/>
    <d v="2023-07-03T19:42:51"/>
    <s v="N"/>
    <m/>
    <m/>
    <s v="Profit Cost"/>
    <m/>
    <s v="N"/>
    <n v="-2320"/>
    <n v="0"/>
    <x v="3"/>
    <s v="VALIDATED"/>
    <n v="1"/>
    <s v="01.11.80.307.2013.0000"/>
    <n v="-2320"/>
    <s v="11"/>
    <s v="2013"/>
    <n v="24809.75"/>
    <n v="-2320"/>
    <s v="CREDITOR"/>
    <n v="0"/>
    <n v="0"/>
    <n v="-2320"/>
    <n v="-580"/>
    <n v="0"/>
  </r>
  <r>
    <n v="61049069"/>
    <s v="N"/>
    <n v="21324523"/>
    <s v="3000015248580005RC"/>
    <s v="CIVIL"/>
    <d v="2023-06-15T00:00:00"/>
    <d v="2023-07-03T19:42:50"/>
    <m/>
    <d v="2023-07-03T00:00:00"/>
    <n v="1656"/>
    <n v="15"/>
    <s v="61049069"/>
    <s v="61049069"/>
    <m/>
    <m/>
    <m/>
    <m/>
    <m/>
    <m/>
    <s v="SOLRECOUP"/>
    <s v="SOLRECOUP"/>
    <s v="POARECOUP"/>
    <n v="21324523"/>
    <n v="-2784"/>
    <m/>
    <s v="Y"/>
    <n v="2"/>
    <d v="2023-07-03T19:42:51"/>
    <s v="N"/>
    <m/>
    <m/>
    <s v="Profit Cost"/>
    <m/>
    <s v="N"/>
    <n v="0"/>
    <n v="-464"/>
    <x v="3"/>
    <s v="VALIDATED"/>
    <n v="1"/>
    <s v="01.11.80.307.2013.0000"/>
    <n v="-464"/>
    <s v="11"/>
    <s v="2013"/>
    <n v="24809.75"/>
    <n v="-464"/>
    <s v="CREDITOR"/>
    <n v="0"/>
    <n v="0"/>
    <n v="-464"/>
    <n v="-116"/>
    <n v="0"/>
  </r>
  <r>
    <n v="61049069"/>
    <s v="N"/>
    <n v="21324524"/>
    <s v="3000015248580004RC"/>
    <s v="CIVIL"/>
    <d v="2023-06-15T00:00:00"/>
    <d v="2023-07-03T19:42:50"/>
    <m/>
    <d v="2023-07-03T00:00:00"/>
    <n v="1656"/>
    <n v="15"/>
    <s v="61049069"/>
    <s v="61049069"/>
    <m/>
    <m/>
    <m/>
    <m/>
    <m/>
    <m/>
    <s v="SOLRECOUP"/>
    <s v="SOLRECOUP"/>
    <s v="POARECOUP"/>
    <n v="21324524"/>
    <n v="-1608.24"/>
    <m/>
    <s v="Y"/>
    <n v="1"/>
    <d v="2023-07-03T19:42:51"/>
    <s v="N"/>
    <m/>
    <m/>
    <s v="Non Expert Disbursement"/>
    <m/>
    <s v="N"/>
    <n v="-1340.2"/>
    <n v="0"/>
    <x v="3"/>
    <s v="VALIDATED"/>
    <n v="1"/>
    <s v="01.11.80.307.2013.0000"/>
    <n v="-1340.2"/>
    <s v="11"/>
    <s v="2013"/>
    <n v="24809.75"/>
    <n v="-1340.2"/>
    <s v="CREDITOR"/>
    <n v="0"/>
    <n v="0"/>
    <n v="-1340.2"/>
    <n v="0"/>
    <n v="0"/>
  </r>
  <r>
    <n v="61049069"/>
    <s v="N"/>
    <n v="21324524"/>
    <s v="3000015248580004RC"/>
    <s v="CIVIL"/>
    <d v="2023-06-15T00:00:00"/>
    <d v="2023-07-03T19:42:50"/>
    <m/>
    <d v="2023-07-03T00:00:00"/>
    <n v="1656"/>
    <n v="15"/>
    <s v="61049069"/>
    <s v="61049069"/>
    <m/>
    <m/>
    <m/>
    <m/>
    <m/>
    <m/>
    <s v="SOLRECOUP"/>
    <s v="SOLRECOUP"/>
    <s v="POARECOUP"/>
    <n v="21324524"/>
    <n v="-1608.24"/>
    <m/>
    <s v="Y"/>
    <n v="2"/>
    <d v="2023-07-03T19:42:51"/>
    <s v="N"/>
    <m/>
    <m/>
    <s v="Non Expert Disbursement"/>
    <m/>
    <s v="N"/>
    <n v="0"/>
    <n v="-268.04"/>
    <x v="3"/>
    <s v="VALIDATED"/>
    <n v="1"/>
    <s v="01.11.80.307.2013.0000"/>
    <n v="-268.04"/>
    <s v="11"/>
    <s v="2013"/>
    <n v="24809.75"/>
    <n v="-268.04"/>
    <s v="CREDITOR"/>
    <n v="0"/>
    <n v="0"/>
    <n v="-268.04"/>
    <n v="0"/>
    <n v="0"/>
  </r>
  <r>
    <n v="61049069"/>
    <s v="N"/>
    <n v="21324525"/>
    <s v="3000015248580001RC"/>
    <s v="CIVIL"/>
    <d v="2023-06-15T00:00:00"/>
    <d v="2023-07-03T19:42:50"/>
    <m/>
    <d v="2023-07-03T00:00:00"/>
    <n v="1656"/>
    <n v="15"/>
    <s v="61049069"/>
    <s v="61049069"/>
    <m/>
    <m/>
    <m/>
    <m/>
    <m/>
    <m/>
    <s v="SOLRECOUP"/>
    <s v="SOLRECOUP"/>
    <s v="POARECOUP"/>
    <n v="21324525"/>
    <n v="-167"/>
    <m/>
    <s v="Y"/>
    <n v="1"/>
    <d v="2023-07-03T19:42:51"/>
    <s v="N"/>
    <m/>
    <m/>
    <s v="Non Expert Disbursement"/>
    <m/>
    <s v="N"/>
    <n v="-167"/>
    <n v="0"/>
    <x v="3"/>
    <s v="VALIDATED"/>
    <n v="1"/>
    <s v="01.11.80.307.2013.0000"/>
    <n v="-167"/>
    <s v="11"/>
    <s v="2013"/>
    <n v="24809.75"/>
    <n v="-167"/>
    <s v="CREDITOR"/>
    <n v="0"/>
    <n v="0"/>
    <n v="-167"/>
    <n v="0"/>
    <n v="0"/>
  </r>
  <r>
    <n v="61049069"/>
    <s v="N"/>
    <n v="21324525"/>
    <s v="3000015248580001RC"/>
    <s v="CIVIL"/>
    <d v="2023-06-15T00:00:00"/>
    <d v="2023-07-03T19:42:50"/>
    <m/>
    <d v="2023-07-03T00:00:00"/>
    <n v="1656"/>
    <n v="15"/>
    <s v="61049069"/>
    <s v="61049069"/>
    <m/>
    <m/>
    <m/>
    <m/>
    <m/>
    <m/>
    <s v="SOLRECOUP"/>
    <s v="SOLRECOUP"/>
    <s v="POARECOUP"/>
    <n v="21324525"/>
    <n v="-167"/>
    <m/>
    <s v="Y"/>
    <n v="2"/>
    <d v="2023-07-03T19:42:51"/>
    <s v="N"/>
    <m/>
    <m/>
    <s v="Non Expert Disbursement"/>
    <m/>
    <s v="N"/>
    <n v="0"/>
    <n v="0"/>
    <x v="3"/>
    <s v="VALIDATED"/>
    <n v="1"/>
    <s v="01.11.80.000.0000.0000"/>
    <n v="0"/>
    <s v="11"/>
    <s v="0000"/>
    <n v="24809.75"/>
    <n v="0"/>
    <s v="CREDITOR"/>
    <n v="0"/>
    <n v="0"/>
    <n v="0"/>
    <n v="0"/>
    <n v="0"/>
  </r>
  <r>
    <n v="61049069"/>
    <s v="N"/>
    <n v="21324526"/>
    <s v="3000015248580003RC"/>
    <s v="CIVIL"/>
    <d v="2023-06-15T00:00:00"/>
    <d v="2023-07-03T19:42:50"/>
    <m/>
    <d v="2023-07-03T00:00:00"/>
    <n v="1656"/>
    <n v="15"/>
    <s v="61049069"/>
    <s v="61049069"/>
    <m/>
    <m/>
    <m/>
    <m/>
    <m/>
    <m/>
    <s v="SOLRECOUP"/>
    <s v="SOLRECOUP"/>
    <s v="POARECOUP"/>
    <n v="21324526"/>
    <n v="-208"/>
    <m/>
    <s v="Y"/>
    <n v="1"/>
    <d v="2023-07-03T19:42:51"/>
    <s v="N"/>
    <m/>
    <m/>
    <s v="Non Expert Disbursement"/>
    <m/>
    <s v="N"/>
    <n v="-208"/>
    <n v="0"/>
    <x v="3"/>
    <s v="VALIDATED"/>
    <n v="1"/>
    <s v="01.11.80.307.2013.0000"/>
    <n v="-208"/>
    <s v="11"/>
    <s v="2013"/>
    <n v="24809.75"/>
    <n v="-208"/>
    <s v="CREDITOR"/>
    <n v="0"/>
    <n v="0"/>
    <n v="-208"/>
    <n v="0"/>
    <n v="0"/>
  </r>
  <r>
    <n v="61049069"/>
    <s v="N"/>
    <n v="21324526"/>
    <s v="3000015248580003RC"/>
    <s v="CIVIL"/>
    <d v="2023-06-15T00:00:00"/>
    <d v="2023-07-03T19:42:50"/>
    <m/>
    <d v="2023-07-03T00:00:00"/>
    <n v="1656"/>
    <n v="15"/>
    <s v="61049069"/>
    <s v="61049069"/>
    <m/>
    <m/>
    <m/>
    <m/>
    <m/>
    <m/>
    <s v="SOLRECOUP"/>
    <s v="SOLRECOUP"/>
    <s v="POARECOUP"/>
    <n v="21324526"/>
    <n v="-208"/>
    <m/>
    <s v="Y"/>
    <n v="2"/>
    <d v="2023-07-03T19:42:51"/>
    <s v="N"/>
    <m/>
    <m/>
    <s v="Non Expert Disbursement"/>
    <m/>
    <s v="N"/>
    <n v="0"/>
    <n v="0"/>
    <x v="3"/>
    <s v="VALIDATED"/>
    <n v="1"/>
    <s v="01.11.80.000.0000.0000"/>
    <n v="0"/>
    <s v="11"/>
    <s v="0000"/>
    <n v="24809.75"/>
    <n v="0"/>
    <s v="CREDITOR"/>
    <n v="0"/>
    <n v="0"/>
    <n v="0"/>
    <n v="0"/>
    <n v="0"/>
  </r>
  <r>
    <n v="61049069"/>
    <s v="N"/>
    <n v="21324527"/>
    <s v="3000015248580002RC"/>
    <s v="CIVIL"/>
    <d v="2023-06-15T00:00:00"/>
    <d v="2023-07-03T19:42:50"/>
    <m/>
    <d v="2023-07-03T00:00:00"/>
    <n v="1656"/>
    <n v="15"/>
    <s v="61049069"/>
    <s v="61049069"/>
    <m/>
    <m/>
    <m/>
    <m/>
    <m/>
    <m/>
    <s v="SOLRECOUP"/>
    <s v="SOLRECOUP"/>
    <s v="POARECOUP"/>
    <n v="21324527"/>
    <n v="-167"/>
    <m/>
    <s v="Y"/>
    <n v="1"/>
    <d v="2023-07-03T19:42:51"/>
    <s v="N"/>
    <m/>
    <m/>
    <s v="Non Expert Disbursement"/>
    <m/>
    <s v="N"/>
    <n v="-167"/>
    <n v="0"/>
    <x v="3"/>
    <s v="VALIDATED"/>
    <n v="1"/>
    <s v="01.11.80.307.2013.0000"/>
    <n v="-167"/>
    <s v="11"/>
    <s v="2013"/>
    <n v="24809.75"/>
    <n v="-167"/>
    <s v="CREDITOR"/>
    <n v="0"/>
    <n v="0"/>
    <n v="-167"/>
    <n v="0"/>
    <n v="0"/>
  </r>
  <r>
    <n v="61049069"/>
    <s v="N"/>
    <n v="21324527"/>
    <s v="3000015248580002RC"/>
    <s v="CIVIL"/>
    <d v="2023-06-15T00:00:00"/>
    <d v="2023-07-03T19:42:50"/>
    <m/>
    <d v="2023-07-03T00:00:00"/>
    <n v="1656"/>
    <n v="15"/>
    <s v="61049069"/>
    <s v="61049069"/>
    <m/>
    <m/>
    <m/>
    <m/>
    <m/>
    <m/>
    <s v="SOLRECOUP"/>
    <s v="SOLRECOUP"/>
    <s v="POARECOUP"/>
    <n v="21324527"/>
    <n v="-167"/>
    <m/>
    <s v="Y"/>
    <n v="2"/>
    <d v="2023-07-03T19:42:51"/>
    <s v="N"/>
    <m/>
    <m/>
    <s v="Non Expert Disbursement"/>
    <m/>
    <s v="N"/>
    <n v="0"/>
    <n v="0"/>
    <x v="3"/>
    <s v="VALIDATED"/>
    <n v="1"/>
    <s v="01.11.80.000.0000.0000"/>
    <n v="0"/>
    <s v="11"/>
    <s v="0000"/>
    <n v="24809.75"/>
    <n v="0"/>
    <s v="CREDITOR"/>
    <n v="0"/>
    <n v="0"/>
    <n v="0"/>
    <n v="0"/>
    <n v="0"/>
  </r>
  <r>
    <n v="56437778"/>
    <s v="N"/>
    <n v="21350078"/>
    <s v="3000013430710007"/>
    <s v="CIVIL"/>
    <d v="2023-06-29T00:00:00"/>
    <d v="2023-07-10T19:01:40"/>
    <m/>
    <d v="2023-07-10T00:00:00"/>
    <n v="1656"/>
    <n v="15"/>
    <s v="56437778"/>
    <s v="56437778"/>
    <m/>
    <m/>
    <n v="22785264"/>
    <m/>
    <m/>
    <m/>
    <s v="SOLFIN"/>
    <s v="SOLFIN"/>
    <s v="CCMS"/>
    <n v="21350078"/>
    <n v="8978.99"/>
    <m/>
    <s v="N"/>
    <n v="31"/>
    <d v="2023-07-10T19:02:13"/>
    <s v="Y"/>
    <s v="Attendance upon client"/>
    <s v="Care Remuneration Hourly Rates"/>
    <s v="Profit Cost"/>
    <s v="KA"/>
    <s v="Y"/>
    <n v="12.09"/>
    <n v="2.42"/>
    <x v="2"/>
    <s v="VALIDATED"/>
    <n v="1"/>
    <s v="01.11.80.308.6100.0000"/>
    <n v="12.09"/>
    <s v="11"/>
    <s v="6100"/>
    <n v="24809.75"/>
    <n v="12.09"/>
    <s v="CREDITOR"/>
    <n v="0"/>
    <n v="0"/>
    <n v="0"/>
    <n v="0"/>
    <n v="12.09"/>
  </r>
  <r>
    <n v="61035075"/>
    <s v="N"/>
    <n v="21331005"/>
    <s v="3000015236260008"/>
    <s v="CIVIL"/>
    <d v="2023-06-23T00:00:00"/>
    <d v="2023-07-05T19:01:47"/>
    <m/>
    <d v="2023-07-05T00:00:00"/>
    <n v="1656"/>
    <n v="15"/>
    <s v="61035075"/>
    <s v="61035075"/>
    <m/>
    <m/>
    <n v="22755974"/>
    <m/>
    <m/>
    <m/>
    <s v="SOLFIN"/>
    <s v="SOLFIN"/>
    <s v="CCMS"/>
    <n v="21331005"/>
    <n v="13010.51"/>
    <m/>
    <s v="N"/>
    <n v="27"/>
    <d v="2023-07-05T19:02:01"/>
    <s v="Y"/>
    <s v="Report - other expert's report"/>
    <s v="Prescribed Hourly Rates"/>
    <s v="Profit Cost"/>
    <s v="OB"/>
    <s v="Y"/>
    <n v="79.61"/>
    <n v="15.92"/>
    <x v="6"/>
    <s v="VALIDATED"/>
    <n v="1"/>
    <s v="01.11.80.307.6100.0000"/>
    <n v="79.61"/>
    <s v="11"/>
    <s v="6100"/>
    <n v="24809.75"/>
    <n v="79.61"/>
    <s v="CREDITOR"/>
    <n v="0"/>
    <n v="0"/>
    <n v="0"/>
    <n v="0"/>
    <n v="79.61"/>
  </r>
  <r>
    <n v="61049069"/>
    <s v="N"/>
    <n v="21318381"/>
    <s v="3000015248580009"/>
    <s v="CIVIL"/>
    <d v="2023-06-15T00:00:00"/>
    <d v="2023-07-03T19:01:49"/>
    <m/>
    <d v="2023-07-03T00:00:00"/>
    <n v="1656"/>
    <n v="15"/>
    <s v="61049069"/>
    <s v="61049069"/>
    <m/>
    <m/>
    <n v="22701498"/>
    <m/>
    <m/>
    <m/>
    <s v="SOLFIN"/>
    <s v="SOLFIN"/>
    <s v="CCMS"/>
    <n v="21318381"/>
    <n v="8695.4"/>
    <m/>
    <s v="N"/>
    <n v="15"/>
    <d v="2023-07-03T19:01:54"/>
    <s v="Y"/>
    <s v="Preparation - drafting consent orde"/>
    <s v="Prescribed Hourly Rates"/>
    <s v="Profit Cost"/>
    <s v="OB"/>
    <s v="Y"/>
    <n v="35.69"/>
    <n v="7.14"/>
    <x v="3"/>
    <s v="VALIDATED"/>
    <n v="1"/>
    <s v="01.11.80.307.6100.0000"/>
    <n v="35.69"/>
    <s v="11"/>
    <s v="6100"/>
    <n v="24809.75"/>
    <n v="35.69"/>
    <s v="CREDITOR"/>
    <n v="0"/>
    <n v="0"/>
    <n v="0"/>
    <n v="0"/>
    <n v="35.69"/>
  </r>
  <r>
    <n v="61681898"/>
    <s v="N"/>
    <n v="21338489"/>
    <s v="3000015777230002"/>
    <s v="CIVIL"/>
    <d v="2023-06-30T00:00:00"/>
    <d v="2023-07-06T19:21:01"/>
    <m/>
    <d v="2023-07-06T00:00:00"/>
    <n v="1656"/>
    <n v="15"/>
    <s v="61681898"/>
    <s v="61681898"/>
    <m/>
    <m/>
    <n v="22797476"/>
    <m/>
    <m/>
    <m/>
    <s v="SOLFIN"/>
    <s v="SOLFIN"/>
    <s v="CCMS"/>
    <n v="21338489"/>
    <n v="4180.32"/>
    <m/>
    <s v="N"/>
    <n v="2"/>
    <d v="2023-07-06T19:21:26"/>
    <s v="Y"/>
    <s v="Solicitor Travel Mileage"/>
    <s v="Public Law Children"/>
    <s v="Non Expert Disbursement"/>
    <s v="XXX"/>
    <s v="Y"/>
    <n v="41.13"/>
    <n v="0"/>
    <x v="4"/>
    <s v="VALIDATED"/>
    <n v="1"/>
    <s v="01.11.80.308.6300.0000"/>
    <n v="41.13"/>
    <s v="11"/>
    <s v="6300"/>
    <n v="24809.75"/>
    <n v="41.13"/>
    <s v="CREDITOR"/>
    <n v="0"/>
    <n v="0"/>
    <n v="0"/>
    <n v="0"/>
    <n v="41.13"/>
  </r>
  <r>
    <n v="61035075"/>
    <s v="N"/>
    <n v="21331005"/>
    <s v="3000015236260008"/>
    <s v="CIVIL"/>
    <d v="2023-06-23T00:00:00"/>
    <d v="2023-07-05T19:01:47"/>
    <m/>
    <d v="2023-07-05T00:00:00"/>
    <n v="1656"/>
    <n v="15"/>
    <s v="61035075"/>
    <s v="61035075"/>
    <m/>
    <m/>
    <n v="22755974"/>
    <m/>
    <m/>
    <m/>
    <s v="SOLFIN"/>
    <s v="SOLFIN"/>
    <s v="CCMS"/>
    <n v="21331005"/>
    <n v="13010.51"/>
    <m/>
    <s v="N"/>
    <n v="7"/>
    <d v="2023-07-05T19:02:01"/>
    <s v="Y"/>
    <s v="Preparation - drafting application"/>
    <s v="Prescribed Hourly Rates"/>
    <s v="Profit Cost"/>
    <s v="OB"/>
    <s v="Y"/>
    <n v="79.61"/>
    <n v="15.92"/>
    <x v="6"/>
    <s v="VALIDATED"/>
    <n v="1"/>
    <s v="01.11.80.307.6100.0000"/>
    <n v="79.61"/>
    <s v="11"/>
    <s v="6100"/>
    <n v="24809.75"/>
    <n v="79.61"/>
    <s v="CREDITOR"/>
    <n v="0"/>
    <n v="0"/>
    <n v="0"/>
    <n v="0"/>
    <n v="79.61"/>
  </r>
  <r>
    <n v="61035075"/>
    <s v="N"/>
    <n v="21331005"/>
    <s v="3000015236260008"/>
    <s v="CIVIL"/>
    <d v="2023-06-23T00:00:00"/>
    <d v="2023-07-05T19:01:47"/>
    <m/>
    <d v="2023-07-05T00:00:00"/>
    <n v="1656"/>
    <n v="15"/>
    <s v="61035075"/>
    <s v="61035075"/>
    <m/>
    <m/>
    <n v="22755974"/>
    <m/>
    <m/>
    <m/>
    <s v="SOLFIN"/>
    <s v="SOLFIN"/>
    <s v="CCMS"/>
    <n v="21331005"/>
    <n v="13010.51"/>
    <m/>
    <s v="N"/>
    <n v="49"/>
    <d v="2023-07-05T19:02:01"/>
    <s v="Y"/>
    <s v="Attendance upon client"/>
    <s v="Prescribed Hourly Rates"/>
    <s v="Profit Cost"/>
    <s v="OB"/>
    <s v="Y"/>
    <n v="23.88"/>
    <n v="4.78"/>
    <x v="6"/>
    <s v="VALIDATED"/>
    <n v="1"/>
    <s v="01.11.80.307.6100.0000"/>
    <n v="23.88"/>
    <s v="11"/>
    <s v="6100"/>
    <n v="24809.75"/>
    <n v="23.88"/>
    <s v="CREDITOR"/>
    <n v="0"/>
    <n v="0"/>
    <n v="0"/>
    <n v="0"/>
    <n v="23.88"/>
  </r>
  <r>
    <n v="61035075"/>
    <s v="N"/>
    <n v="21331005"/>
    <s v="3000015236260008"/>
    <s v="CIVIL"/>
    <d v="2023-06-23T00:00:00"/>
    <d v="2023-07-05T19:01:47"/>
    <m/>
    <d v="2023-07-05T00:00:00"/>
    <n v="1656"/>
    <n v="15"/>
    <s v="61035075"/>
    <s v="61035075"/>
    <m/>
    <m/>
    <n v="22755974"/>
    <m/>
    <m/>
    <m/>
    <s v="SOLFIN"/>
    <s v="SOLFIN"/>
    <s v="CCMS"/>
    <n v="21331005"/>
    <n v="13010.51"/>
    <m/>
    <s v="N"/>
    <n v="59"/>
    <d v="2023-07-05T19:02:01"/>
    <s v="Y"/>
    <s v="Preparation - drafting consent orde"/>
    <s v="Prescribed Hourly Rates"/>
    <s v="Profit Cost"/>
    <s v="OB"/>
    <s v="Y"/>
    <n v="79.61"/>
    <n v="15.92"/>
    <x v="6"/>
    <s v="VALIDATED"/>
    <n v="1"/>
    <s v="01.11.80.307.6100.0000"/>
    <n v="79.61"/>
    <s v="11"/>
    <s v="6100"/>
    <n v="24809.75"/>
    <n v="79.61"/>
    <s v="CREDITOR"/>
    <n v="0"/>
    <n v="0"/>
    <n v="0"/>
    <n v="0"/>
    <n v="79.61"/>
  </r>
  <r>
    <n v="56437778"/>
    <s v="N"/>
    <n v="21350078"/>
    <s v="3000013430710007"/>
    <s v="CIVIL"/>
    <d v="2023-06-29T00:00:00"/>
    <d v="2023-07-10T19:01:40"/>
    <m/>
    <d v="2023-07-10T00:00:00"/>
    <n v="1656"/>
    <n v="15"/>
    <s v="56437778"/>
    <s v="56437778"/>
    <m/>
    <m/>
    <n v="22785264"/>
    <m/>
    <m/>
    <m/>
    <s v="SOLFIN"/>
    <s v="SOLFIN"/>
    <s v="CCMS"/>
    <n v="21350078"/>
    <n v="8978.99"/>
    <m/>
    <s v="N"/>
    <n v="44"/>
    <d v="2023-07-10T19:02:13"/>
    <s v="Y"/>
    <s v="Preparation - drafting consent orde"/>
    <s v="Care Remuneration Hourly Rates"/>
    <s v="Profit Cost"/>
    <s v="KA"/>
    <s v="Y"/>
    <n v="6.05"/>
    <n v="1.21"/>
    <x v="2"/>
    <s v="VALIDATED"/>
    <n v="1"/>
    <s v="01.11.80.308.6100.0000"/>
    <n v="6.05"/>
    <s v="11"/>
    <s v="6100"/>
    <n v="24809.75"/>
    <n v="6.05"/>
    <s v="CREDITOR"/>
    <n v="0"/>
    <n v="0"/>
    <n v="0"/>
    <n v="0"/>
    <n v="6.05"/>
  </r>
  <r>
    <n v="61391363"/>
    <s v="N"/>
    <n v="21346486"/>
    <s v="3000015534470001RC"/>
    <s v="CIVIL"/>
    <d v="2023-06-28T00:00:00"/>
    <d v="2023-07-07T19:34:21"/>
    <m/>
    <d v="2023-07-07T00:00:00"/>
    <n v="1656"/>
    <n v="15"/>
    <s v="61391363"/>
    <s v="61391363"/>
    <m/>
    <m/>
    <m/>
    <m/>
    <m/>
    <m/>
    <s v="SOLRECOUP"/>
    <s v="SOLRECOUP"/>
    <s v="POARECOUP"/>
    <n v="21346486"/>
    <n v="-2208"/>
    <m/>
    <s v="Y"/>
    <n v="2"/>
    <d v="2023-07-07T19:34:23"/>
    <s v="N"/>
    <m/>
    <m/>
    <s v="Profit Cost"/>
    <m/>
    <s v="N"/>
    <n v="0"/>
    <n v="-368"/>
    <x v="9"/>
    <s v="VALIDATED"/>
    <n v="1"/>
    <s v="01.11.80.308.2013.0000"/>
    <n v="-368"/>
    <s v="11"/>
    <s v="2013"/>
    <n v="24809.75"/>
    <n v="-368"/>
    <s v="CREDITOR"/>
    <n v="0"/>
    <n v="0"/>
    <n v="-368"/>
    <n v="-92"/>
    <n v="0"/>
  </r>
  <r>
    <n v="61391363"/>
    <s v="N"/>
    <n v="21346486"/>
    <s v="3000015534470001RC"/>
    <s v="CIVIL"/>
    <d v="2023-06-28T00:00:00"/>
    <d v="2023-07-07T19:34:21"/>
    <m/>
    <d v="2023-07-07T00:00:00"/>
    <n v="1656"/>
    <n v="15"/>
    <s v="61391363"/>
    <s v="61391363"/>
    <m/>
    <m/>
    <m/>
    <m/>
    <m/>
    <m/>
    <s v="SOLRECOUP"/>
    <s v="SOLRECOUP"/>
    <s v="POARECOUP"/>
    <n v="21346486"/>
    <n v="-2208"/>
    <m/>
    <s v="Y"/>
    <n v="1"/>
    <d v="2023-07-07T19:34:23"/>
    <s v="N"/>
    <m/>
    <m/>
    <s v="Profit Cost"/>
    <m/>
    <s v="N"/>
    <n v="-1840"/>
    <n v="0"/>
    <x v="9"/>
    <s v="VALIDATED"/>
    <n v="1"/>
    <s v="01.11.80.308.2013.0000"/>
    <n v="-1840"/>
    <s v="11"/>
    <s v="2013"/>
    <n v="24809.75"/>
    <n v="-1840"/>
    <s v="CREDITOR"/>
    <n v="0"/>
    <n v="0"/>
    <n v="-1840"/>
    <n v="-460"/>
    <n v="0"/>
  </r>
  <r>
    <n v="61681898"/>
    <s v="N"/>
    <n v="21340097"/>
    <s v="3000015777230001RC"/>
    <s v="CIVIL"/>
    <d v="2023-06-30T00:00:00"/>
    <d v="2023-07-06T19:54:22"/>
    <m/>
    <d v="2023-07-06T00:00:00"/>
    <n v="1656"/>
    <n v="15"/>
    <s v="61681898"/>
    <s v="61681898"/>
    <m/>
    <m/>
    <m/>
    <m/>
    <m/>
    <m/>
    <s v="SOLRECOUP"/>
    <s v="SOLRECOUP"/>
    <s v="POARECOUP"/>
    <n v="21340097"/>
    <n v="-2820.48"/>
    <m/>
    <s v="Y"/>
    <n v="1"/>
    <d v="2023-07-06T19:54:23"/>
    <s v="N"/>
    <m/>
    <m/>
    <s v="Profit Cost"/>
    <m/>
    <s v="N"/>
    <n v="-2350.4"/>
    <n v="0"/>
    <x v="4"/>
    <s v="VALIDATED"/>
    <n v="1"/>
    <s v="01.11.80.308.2013.0000"/>
    <n v="-2350.4"/>
    <s v="11"/>
    <s v="2013"/>
    <n v="24809.75"/>
    <n v="-2350.4"/>
    <s v="CREDITOR"/>
    <n v="0"/>
    <n v="0"/>
    <n v="-2350.4"/>
    <n v="-587.6"/>
    <n v="0"/>
  </r>
  <r>
    <n v="61681898"/>
    <s v="N"/>
    <n v="21340097"/>
    <s v="3000015777230001RC"/>
    <s v="CIVIL"/>
    <d v="2023-06-30T00:00:00"/>
    <d v="2023-07-06T19:54:22"/>
    <m/>
    <d v="2023-07-06T00:00:00"/>
    <n v="1656"/>
    <n v="15"/>
    <s v="61681898"/>
    <s v="61681898"/>
    <m/>
    <m/>
    <m/>
    <m/>
    <m/>
    <m/>
    <s v="SOLRECOUP"/>
    <s v="SOLRECOUP"/>
    <s v="POARECOUP"/>
    <n v="21340097"/>
    <n v="-2820.48"/>
    <m/>
    <s v="Y"/>
    <n v="2"/>
    <d v="2023-07-06T19:54:23"/>
    <s v="N"/>
    <m/>
    <m/>
    <s v="Profit Cost"/>
    <m/>
    <s v="N"/>
    <n v="0"/>
    <n v="-470.08"/>
    <x v="4"/>
    <s v="VALIDATED"/>
    <n v="1"/>
    <s v="01.11.80.308.2013.0000"/>
    <n v="-470.08"/>
    <s v="11"/>
    <s v="2013"/>
    <n v="24809.75"/>
    <n v="-470.08"/>
    <s v="CREDITOR"/>
    <n v="0"/>
    <n v="0"/>
    <n v="-470.08"/>
    <n v="-117.52"/>
    <n v="0"/>
  </r>
  <r>
    <n v="61035075"/>
    <s v="N"/>
    <n v="21333997"/>
    <s v="3000015236260001RC"/>
    <s v="CIVIL"/>
    <d v="2023-06-23T00:00:00"/>
    <d v="2023-07-05T19:42:28"/>
    <m/>
    <d v="2023-07-05T00:00:00"/>
    <n v="1656"/>
    <n v="15"/>
    <s v="61035075"/>
    <s v="61035075"/>
    <m/>
    <m/>
    <m/>
    <m/>
    <m/>
    <m/>
    <s v="SOLRECOUP"/>
    <s v="SOLRECOUP"/>
    <s v="POARECOUP"/>
    <n v="21333997"/>
    <n v="-167"/>
    <m/>
    <s v="Y"/>
    <n v="1"/>
    <d v="2023-07-05T19:42:29"/>
    <s v="N"/>
    <m/>
    <m/>
    <s v="Non Expert Disbursement"/>
    <m/>
    <s v="N"/>
    <n v="-167"/>
    <n v="0"/>
    <x v="6"/>
    <s v="VALIDATED"/>
    <n v="1"/>
    <s v="01.11.80.307.2013.0000"/>
    <n v="-167"/>
    <s v="11"/>
    <s v="2013"/>
    <n v="24809.75"/>
    <n v="-167"/>
    <s v="CREDITOR"/>
    <n v="0"/>
    <n v="0"/>
    <n v="-167"/>
    <n v="0"/>
    <n v="0"/>
  </r>
  <r>
    <n v="61035075"/>
    <s v="N"/>
    <n v="21333997"/>
    <s v="3000015236260001RC"/>
    <s v="CIVIL"/>
    <d v="2023-06-23T00:00:00"/>
    <d v="2023-07-05T19:42:28"/>
    <m/>
    <d v="2023-07-05T00:00:00"/>
    <n v="1656"/>
    <n v="15"/>
    <s v="61035075"/>
    <s v="61035075"/>
    <m/>
    <m/>
    <m/>
    <m/>
    <m/>
    <m/>
    <s v="SOLRECOUP"/>
    <s v="SOLRECOUP"/>
    <s v="POARECOUP"/>
    <n v="21333997"/>
    <n v="-167"/>
    <m/>
    <s v="Y"/>
    <n v="2"/>
    <d v="2023-07-05T19:42:29"/>
    <s v="N"/>
    <m/>
    <m/>
    <s v="Non Expert Disbursement"/>
    <m/>
    <s v="N"/>
    <n v="0"/>
    <n v="0"/>
    <x v="6"/>
    <s v="VALIDATED"/>
    <n v="1"/>
    <s v="01.11.80.000.0000.0000"/>
    <n v="0"/>
    <s v="11"/>
    <s v="0000"/>
    <n v="24809.75"/>
    <n v="0"/>
    <s v="CREDITOR"/>
    <n v="0"/>
    <n v="0"/>
    <n v="0"/>
    <n v="0"/>
    <n v="0"/>
  </r>
  <r>
    <n v="61035075"/>
    <s v="N"/>
    <n v="21333998"/>
    <s v="3000015236260002RC"/>
    <s v="CIVIL"/>
    <d v="2023-06-23T00:00:00"/>
    <d v="2023-07-05T19:42:28"/>
    <m/>
    <d v="2023-07-05T00:00:00"/>
    <n v="1656"/>
    <n v="15"/>
    <s v="61035075"/>
    <s v="61035075"/>
    <m/>
    <m/>
    <m/>
    <m/>
    <m/>
    <m/>
    <s v="SOLRECOUP"/>
    <s v="SOLRECOUP"/>
    <s v="POARECOUP"/>
    <n v="21333998"/>
    <n v="-4658"/>
    <m/>
    <s v="Y"/>
    <n v="1"/>
    <d v="2023-07-05T19:42:29"/>
    <s v="N"/>
    <m/>
    <m/>
    <s v="Expert Disbursement"/>
    <m/>
    <s v="N"/>
    <n v="-4658"/>
    <n v="0"/>
    <x v="6"/>
    <s v="VALIDATED"/>
    <n v="1"/>
    <s v="01.11.80.307.2013.0000"/>
    <n v="-4658"/>
    <s v="11"/>
    <s v="2013"/>
    <n v="24809.75"/>
    <n v="-4658"/>
    <s v="CREDITOR"/>
    <n v="0"/>
    <n v="0"/>
    <n v="-4658"/>
    <n v="0"/>
    <n v="0"/>
  </r>
  <r>
    <n v="61035075"/>
    <s v="N"/>
    <n v="21333998"/>
    <s v="3000015236260002RC"/>
    <s v="CIVIL"/>
    <d v="2023-06-23T00:00:00"/>
    <d v="2023-07-05T19:42:28"/>
    <m/>
    <d v="2023-07-05T00:00:00"/>
    <n v="1656"/>
    <n v="15"/>
    <s v="61035075"/>
    <s v="61035075"/>
    <m/>
    <m/>
    <m/>
    <m/>
    <m/>
    <m/>
    <s v="SOLRECOUP"/>
    <s v="SOLRECOUP"/>
    <s v="POARECOUP"/>
    <n v="21333998"/>
    <n v="-4658"/>
    <m/>
    <s v="Y"/>
    <n v="2"/>
    <d v="2023-07-05T19:42:29"/>
    <s v="N"/>
    <m/>
    <m/>
    <s v="Expert Disbursement"/>
    <m/>
    <s v="N"/>
    <n v="0"/>
    <n v="0"/>
    <x v="6"/>
    <s v="VALIDATED"/>
    <n v="1"/>
    <s v="01.11.80.000.0000.0000"/>
    <n v="0"/>
    <s v="11"/>
    <s v="0000"/>
    <n v="24809.75"/>
    <n v="0"/>
    <s v="CREDITOR"/>
    <n v="0"/>
    <n v="0"/>
    <n v="0"/>
    <n v="0"/>
    <n v="0"/>
  </r>
  <r>
    <n v="61035075"/>
    <s v="N"/>
    <n v="21333999"/>
    <s v="3000015236260003RC"/>
    <s v="CIVIL"/>
    <d v="2023-06-23T00:00:00"/>
    <d v="2023-07-05T19:42:28"/>
    <m/>
    <d v="2023-07-05T00:00:00"/>
    <n v="1656"/>
    <n v="15"/>
    <s v="61035075"/>
    <s v="61035075"/>
    <m/>
    <m/>
    <m/>
    <m/>
    <m/>
    <m/>
    <s v="SOLRECOUP"/>
    <s v="SOLRECOUP"/>
    <s v="POARECOUP"/>
    <n v="21333999"/>
    <n v="-1920"/>
    <m/>
    <s v="Y"/>
    <n v="1"/>
    <d v="2023-07-05T19:42:29"/>
    <s v="N"/>
    <m/>
    <m/>
    <s v="Profit Cost"/>
    <m/>
    <s v="N"/>
    <n v="-1600"/>
    <n v="0"/>
    <x v="6"/>
    <s v="VALIDATED"/>
    <n v="1"/>
    <s v="01.11.80.307.2013.0000"/>
    <n v="-1600"/>
    <s v="11"/>
    <s v="2013"/>
    <n v="24809.75"/>
    <n v="-1600"/>
    <s v="CREDITOR"/>
    <n v="0"/>
    <n v="0"/>
    <n v="-1600"/>
    <n v="-400"/>
    <n v="0"/>
  </r>
  <r>
    <n v="61035075"/>
    <s v="N"/>
    <n v="21333999"/>
    <s v="3000015236260003RC"/>
    <s v="CIVIL"/>
    <d v="2023-06-23T00:00:00"/>
    <d v="2023-07-05T19:42:28"/>
    <m/>
    <d v="2023-07-05T00:00:00"/>
    <n v="1656"/>
    <n v="15"/>
    <s v="61035075"/>
    <s v="61035075"/>
    <m/>
    <m/>
    <m/>
    <m/>
    <m/>
    <m/>
    <s v="SOLRECOUP"/>
    <s v="SOLRECOUP"/>
    <s v="POARECOUP"/>
    <n v="21333999"/>
    <n v="-1920"/>
    <m/>
    <s v="Y"/>
    <n v="2"/>
    <d v="2023-07-05T19:42:29"/>
    <s v="N"/>
    <m/>
    <m/>
    <s v="Profit Cost"/>
    <m/>
    <s v="N"/>
    <n v="0"/>
    <n v="-320"/>
    <x v="6"/>
    <s v="VALIDATED"/>
    <n v="1"/>
    <s v="01.11.80.307.2013.0000"/>
    <n v="-320"/>
    <s v="11"/>
    <s v="2013"/>
    <n v="24809.75"/>
    <n v="-320"/>
    <s v="CREDITOR"/>
    <n v="0"/>
    <n v="0"/>
    <n v="-320"/>
    <n v="-80"/>
    <n v="0"/>
  </r>
  <r>
    <n v="61059951"/>
    <s v="N"/>
    <n v="21328879"/>
    <s v="3000015257840003RC"/>
    <s v="CIVIL"/>
    <d v="2023-06-26T00:00:00"/>
    <d v="2023-07-04T19:38:21"/>
    <m/>
    <d v="2023-07-04T00:00:00"/>
    <n v="1656"/>
    <n v="15"/>
    <s v="61059951"/>
    <s v="61059951"/>
    <m/>
    <m/>
    <m/>
    <m/>
    <m/>
    <m/>
    <s v="SOLRECOUP"/>
    <s v="SOLRECOUP"/>
    <s v="POARECOUP"/>
    <n v="21328879"/>
    <n v="-388.8"/>
    <m/>
    <s v="Y"/>
    <n v="2"/>
    <d v="2023-07-04T19:38:23"/>
    <s v="N"/>
    <m/>
    <m/>
    <s v="Expert Disbursement"/>
    <m/>
    <s v="N"/>
    <n v="0"/>
    <n v="-64.8"/>
    <x v="1"/>
    <s v="VALIDATED"/>
    <n v="1"/>
    <s v="01.11.80.308.2013.0000"/>
    <n v="-64.8"/>
    <s v="11"/>
    <s v="2013"/>
    <n v="24809.75"/>
    <n v="-64.8"/>
    <s v="CREDITOR"/>
    <n v="0"/>
    <n v="0"/>
    <n v="-64.8"/>
    <n v="0"/>
    <n v="0"/>
  </r>
  <r>
    <n v="60815703"/>
    <s v="N"/>
    <n v="21328880"/>
    <s v="3000015047580002RC"/>
    <s v="CIVIL"/>
    <d v="2023-06-26T00:00:00"/>
    <d v="2023-07-04T19:38:21"/>
    <m/>
    <d v="2023-07-04T00:00:00"/>
    <n v="1656"/>
    <n v="15"/>
    <s v="60815703"/>
    <s v="60815703"/>
    <m/>
    <m/>
    <m/>
    <m/>
    <m/>
    <m/>
    <s v="SOLRECOUP"/>
    <s v="SOLRECOUP"/>
    <s v="POARECOUP"/>
    <n v="21328880"/>
    <n v="-1056"/>
    <m/>
    <s v="Y"/>
    <n v="1"/>
    <d v="2023-07-04T19:38:23"/>
    <s v="N"/>
    <m/>
    <m/>
    <s v="Profit Cost"/>
    <m/>
    <s v="N"/>
    <n v="-880"/>
    <n v="0"/>
    <x v="1"/>
    <s v="VALIDATED"/>
    <n v="1"/>
    <s v="01.11.80.307.2013.0000"/>
    <n v="-880"/>
    <s v="11"/>
    <s v="2013"/>
    <n v="24809.75"/>
    <n v="-880"/>
    <s v="CREDITOR"/>
    <n v="0"/>
    <n v="0"/>
    <n v="-880"/>
    <n v="-220"/>
    <n v="0"/>
  </r>
  <r>
    <n v="60815703"/>
    <s v="N"/>
    <n v="21328880"/>
    <s v="3000015047580002RC"/>
    <s v="CIVIL"/>
    <d v="2023-06-26T00:00:00"/>
    <d v="2023-07-04T19:38:21"/>
    <m/>
    <d v="2023-07-04T00:00:00"/>
    <n v="1656"/>
    <n v="15"/>
    <s v="60815703"/>
    <s v="60815703"/>
    <m/>
    <m/>
    <m/>
    <m/>
    <m/>
    <m/>
    <s v="SOLRECOUP"/>
    <s v="SOLRECOUP"/>
    <s v="POARECOUP"/>
    <n v="21328880"/>
    <n v="-1056"/>
    <m/>
    <s v="Y"/>
    <n v="2"/>
    <d v="2023-07-04T19:38:23"/>
    <s v="N"/>
    <m/>
    <m/>
    <s v="Profit Cost"/>
    <m/>
    <s v="N"/>
    <n v="0"/>
    <n v="-176"/>
    <x v="1"/>
    <s v="VALIDATED"/>
    <n v="1"/>
    <s v="01.11.80.307.2013.0000"/>
    <n v="-176"/>
    <s v="11"/>
    <s v="2013"/>
    <n v="24809.75"/>
    <n v="-176"/>
    <s v="CREDITOR"/>
    <n v="0"/>
    <n v="0"/>
    <n v="-176"/>
    <n v="-44"/>
    <n v="0"/>
  </r>
  <r>
    <n v="60815703"/>
    <s v="N"/>
    <n v="21328881"/>
    <s v="3000015047580004RC"/>
    <s v="CIVIL"/>
    <d v="2023-06-26T00:00:00"/>
    <d v="2023-07-04T19:38:21"/>
    <m/>
    <d v="2023-07-04T00:00:00"/>
    <n v="1656"/>
    <n v="15"/>
    <s v="60815703"/>
    <s v="60815703"/>
    <m/>
    <m/>
    <m/>
    <m/>
    <m/>
    <m/>
    <s v="SOLRECOUP"/>
    <s v="SOLRECOUP"/>
    <s v="POARECOUP"/>
    <n v="21328881"/>
    <n v="-185.17"/>
    <m/>
    <s v="Y"/>
    <n v="1"/>
    <d v="2023-07-04T19:38:23"/>
    <s v="N"/>
    <m/>
    <m/>
    <s v="Non Expert Disbursement"/>
    <m/>
    <s v="N"/>
    <n v="-185.17"/>
    <n v="0"/>
    <x v="1"/>
    <s v="VALIDATED"/>
    <n v="1"/>
    <s v="01.11.80.307.2013.0000"/>
    <n v="-185.17"/>
    <s v="11"/>
    <s v="2013"/>
    <n v="24809.75"/>
    <n v="-185.17"/>
    <s v="CREDITOR"/>
    <n v="0"/>
    <n v="0"/>
    <n v="-185.17"/>
    <n v="0"/>
    <n v="0"/>
  </r>
  <r>
    <n v="60815703"/>
    <s v="N"/>
    <n v="21328881"/>
    <s v="3000015047580004RC"/>
    <s v="CIVIL"/>
    <d v="2023-06-26T00:00:00"/>
    <d v="2023-07-04T19:38:21"/>
    <m/>
    <d v="2023-07-04T00:00:00"/>
    <n v="1656"/>
    <n v="15"/>
    <s v="60815703"/>
    <s v="60815703"/>
    <m/>
    <m/>
    <m/>
    <m/>
    <m/>
    <m/>
    <s v="SOLRECOUP"/>
    <s v="SOLRECOUP"/>
    <s v="POARECOUP"/>
    <n v="21328881"/>
    <n v="-185.17"/>
    <m/>
    <s v="Y"/>
    <n v="2"/>
    <d v="2023-07-04T19:38:23"/>
    <s v="N"/>
    <m/>
    <m/>
    <s v="Non Expert Disbursement"/>
    <m/>
    <s v="N"/>
    <n v="0"/>
    <n v="0"/>
    <x v="1"/>
    <s v="VALIDATED"/>
    <n v="1"/>
    <s v="01.11.80.000.0000.0000"/>
    <n v="0"/>
    <s v="11"/>
    <s v="0000"/>
    <n v="24809.75"/>
    <n v="0"/>
    <s v="CREDITOR"/>
    <n v="0"/>
    <n v="0"/>
    <n v="0"/>
    <n v="0"/>
    <n v="0"/>
  </r>
  <r>
    <n v="61059951"/>
    <s v="N"/>
    <n v="21328882"/>
    <s v="3000015257840002RC"/>
    <s v="CIVIL"/>
    <d v="2023-06-26T00:00:00"/>
    <d v="2023-07-04T19:38:21"/>
    <m/>
    <d v="2023-07-04T00:00:00"/>
    <n v="1656"/>
    <n v="15"/>
    <s v="61059951"/>
    <s v="61059951"/>
    <m/>
    <m/>
    <m/>
    <m/>
    <m/>
    <m/>
    <s v="SOLRECOUP"/>
    <s v="SOLRECOUP"/>
    <s v="POARECOUP"/>
    <n v="21328882"/>
    <n v="-2496"/>
    <m/>
    <s v="Y"/>
    <n v="1"/>
    <d v="2023-07-04T19:38:23"/>
    <s v="N"/>
    <m/>
    <m/>
    <s v="Profit Cost"/>
    <m/>
    <s v="N"/>
    <n v="-2080"/>
    <n v="0"/>
    <x v="1"/>
    <s v="VALIDATED"/>
    <n v="1"/>
    <s v="01.11.80.308.2013.0000"/>
    <n v="-2080"/>
    <s v="11"/>
    <s v="2013"/>
    <n v="24809.75"/>
    <n v="-2080"/>
    <s v="CREDITOR"/>
    <n v="0"/>
    <n v="0"/>
    <n v="-2080"/>
    <n v="-520"/>
    <n v="0"/>
  </r>
  <r>
    <n v="61059951"/>
    <s v="N"/>
    <n v="21328882"/>
    <s v="3000015257840002RC"/>
    <s v="CIVIL"/>
    <d v="2023-06-26T00:00:00"/>
    <d v="2023-07-04T19:38:21"/>
    <m/>
    <d v="2023-07-04T00:00:00"/>
    <n v="1656"/>
    <n v="15"/>
    <s v="61059951"/>
    <s v="61059951"/>
    <m/>
    <m/>
    <m/>
    <m/>
    <m/>
    <m/>
    <s v="SOLRECOUP"/>
    <s v="SOLRECOUP"/>
    <s v="POARECOUP"/>
    <n v="21328882"/>
    <n v="-2496"/>
    <m/>
    <s v="Y"/>
    <n v="2"/>
    <d v="2023-07-04T19:38:23"/>
    <s v="N"/>
    <m/>
    <m/>
    <s v="Profit Cost"/>
    <m/>
    <s v="N"/>
    <n v="0"/>
    <n v="-416"/>
    <x v="1"/>
    <s v="VALIDATED"/>
    <n v="1"/>
    <s v="01.11.80.308.2013.0000"/>
    <n v="-416"/>
    <s v="11"/>
    <s v="2013"/>
    <n v="24809.75"/>
    <n v="-416"/>
    <s v="CREDITOR"/>
    <n v="0"/>
    <n v="0"/>
    <n v="-416"/>
    <n v="-104"/>
    <n v="0"/>
  </r>
  <r>
    <n v="60815703"/>
    <s v="N"/>
    <n v="21328883"/>
    <s v="3000015047580005RC"/>
    <s v="CIVIL"/>
    <d v="2023-06-26T00:00:00"/>
    <d v="2023-07-04T19:38:21"/>
    <m/>
    <d v="2023-07-04T00:00:00"/>
    <n v="1656"/>
    <n v="15"/>
    <s v="60815703"/>
    <s v="60815703"/>
    <m/>
    <m/>
    <m/>
    <m/>
    <m/>
    <m/>
    <s v="SOLRECOUP"/>
    <s v="SOLRECOUP"/>
    <s v="POARECOUP"/>
    <n v="21328883"/>
    <n v="-60.8"/>
    <m/>
    <s v="Y"/>
    <n v="1"/>
    <d v="2023-07-04T19:38:23"/>
    <s v="N"/>
    <m/>
    <m/>
    <s v="Non Expert Disbursement"/>
    <m/>
    <s v="N"/>
    <n v="-60.8"/>
    <n v="0"/>
    <x v="1"/>
    <s v="VALIDATED"/>
    <n v="1"/>
    <s v="01.11.80.307.2013.0000"/>
    <n v="-60.8"/>
    <s v="11"/>
    <s v="2013"/>
    <n v="24809.75"/>
    <n v="-60.8"/>
    <s v="CREDITOR"/>
    <n v="0"/>
    <n v="0"/>
    <n v="-60.8"/>
    <n v="0"/>
    <n v="0"/>
  </r>
  <r>
    <n v="60815703"/>
    <s v="N"/>
    <n v="21328883"/>
    <s v="3000015047580005RC"/>
    <s v="CIVIL"/>
    <d v="2023-06-26T00:00:00"/>
    <d v="2023-07-04T19:38:21"/>
    <m/>
    <d v="2023-07-04T00:00:00"/>
    <n v="1656"/>
    <n v="15"/>
    <s v="60815703"/>
    <s v="60815703"/>
    <m/>
    <m/>
    <m/>
    <m/>
    <m/>
    <m/>
    <s v="SOLRECOUP"/>
    <s v="SOLRECOUP"/>
    <s v="POARECOUP"/>
    <n v="21328883"/>
    <n v="-60.8"/>
    <m/>
    <s v="Y"/>
    <n v="2"/>
    <d v="2023-07-04T19:38:23"/>
    <s v="N"/>
    <m/>
    <m/>
    <s v="Non Expert Disbursement"/>
    <m/>
    <s v="N"/>
    <n v="0"/>
    <n v="0"/>
    <x v="1"/>
    <s v="VALIDATED"/>
    <n v="1"/>
    <s v="01.11.80.000.0000.0000"/>
    <n v="0"/>
    <s v="11"/>
    <s v="0000"/>
    <n v="24809.75"/>
    <n v="0"/>
    <s v="CREDITOR"/>
    <n v="0"/>
    <n v="0"/>
    <n v="0"/>
    <n v="0"/>
    <n v="0"/>
  </r>
  <r>
    <n v="60815703"/>
    <s v="N"/>
    <n v="21328884"/>
    <s v="3000015047580007RC"/>
    <s v="CIVIL"/>
    <d v="2023-06-26T00:00:00"/>
    <d v="2023-07-04T19:38:21"/>
    <m/>
    <d v="2023-07-04T00:00:00"/>
    <n v="1656"/>
    <n v="15"/>
    <s v="60815703"/>
    <s v="60815703"/>
    <m/>
    <m/>
    <m/>
    <m/>
    <m/>
    <m/>
    <s v="SOLRECOUP"/>
    <s v="SOLRECOUP"/>
    <s v="POARECOUP"/>
    <n v="21328884"/>
    <n v="-1449.6"/>
    <m/>
    <s v="Y"/>
    <n v="1"/>
    <d v="2023-07-04T19:38:23"/>
    <s v="N"/>
    <m/>
    <m/>
    <s v="Profit Cost"/>
    <m/>
    <s v="N"/>
    <n v="-1208"/>
    <n v="0"/>
    <x v="1"/>
    <s v="VALIDATED"/>
    <n v="1"/>
    <s v="01.11.80.307.2013.0000"/>
    <n v="-1208"/>
    <s v="11"/>
    <s v="2013"/>
    <n v="24809.75"/>
    <n v="-1208"/>
    <s v="CREDITOR"/>
    <n v="0"/>
    <n v="0"/>
    <n v="-1208"/>
    <n v="-302"/>
    <n v="0"/>
  </r>
  <r>
    <n v="56437778"/>
    <s v="N"/>
    <n v="21356800"/>
    <s v="3000013430710001RC"/>
    <s v="CIVIL"/>
    <d v="2023-06-29T00:00:00"/>
    <d v="2023-07-10T19:47:44"/>
    <m/>
    <d v="2023-07-10T00:00:00"/>
    <n v="1656"/>
    <n v="15"/>
    <s v="56437778"/>
    <s v="56437778"/>
    <m/>
    <m/>
    <m/>
    <m/>
    <m/>
    <m/>
    <s v="SOLRECOUP"/>
    <s v="SOLRECOUP"/>
    <s v="POARECOUP"/>
    <n v="21356800"/>
    <n v="-155"/>
    <m/>
    <s v="Y"/>
    <n v="2"/>
    <d v="2023-07-10T19:47:46"/>
    <s v="N"/>
    <m/>
    <m/>
    <s v="Non Expert Disbursement"/>
    <m/>
    <s v="N"/>
    <n v="0"/>
    <n v="0"/>
    <x v="2"/>
    <s v="VALIDATED"/>
    <n v="1"/>
    <s v="01.11.80.000.0000.0000"/>
    <n v="0"/>
    <s v="11"/>
    <s v="0000"/>
    <n v="24809.75"/>
    <n v="0"/>
    <s v="CREDITOR"/>
    <n v="0"/>
    <n v="0"/>
    <n v="0"/>
    <n v="0"/>
    <n v="0"/>
  </r>
  <r>
    <n v="56437778"/>
    <s v="N"/>
    <n v="21356800"/>
    <s v="3000013430710001RC"/>
    <s v="CIVIL"/>
    <d v="2023-06-29T00:00:00"/>
    <d v="2023-07-10T19:47:44"/>
    <m/>
    <d v="2023-07-10T00:00:00"/>
    <n v="1656"/>
    <n v="15"/>
    <s v="56437778"/>
    <s v="56437778"/>
    <m/>
    <m/>
    <m/>
    <m/>
    <m/>
    <m/>
    <s v="SOLRECOUP"/>
    <s v="SOLRECOUP"/>
    <s v="POARECOUP"/>
    <n v="21356800"/>
    <n v="-155"/>
    <m/>
    <s v="Y"/>
    <n v="1"/>
    <d v="2023-07-10T19:47:46"/>
    <s v="N"/>
    <m/>
    <m/>
    <s v="Non Expert Disbursement"/>
    <m/>
    <s v="N"/>
    <n v="-155"/>
    <n v="0"/>
    <x v="2"/>
    <s v="VALIDATED"/>
    <n v="1"/>
    <s v="01.11.80.308.2013.0000"/>
    <n v="-155"/>
    <s v="11"/>
    <s v="2013"/>
    <n v="24809.75"/>
    <n v="-155"/>
    <s v="CREDITOR"/>
    <n v="0"/>
    <n v="0"/>
    <n v="-155"/>
    <n v="0"/>
    <n v="0"/>
  </r>
  <r>
    <n v="56437778"/>
    <s v="N"/>
    <n v="21356801"/>
    <s v="3000013430710003RC"/>
    <s v="CIVIL"/>
    <d v="2023-06-29T00:00:00"/>
    <d v="2023-07-10T19:47:44"/>
    <m/>
    <d v="2023-07-10T00:00:00"/>
    <n v="1656"/>
    <n v="15"/>
    <s v="56437778"/>
    <s v="56437778"/>
    <m/>
    <m/>
    <m/>
    <m/>
    <m/>
    <m/>
    <s v="SOLRECOUP"/>
    <s v="SOLRECOUP"/>
    <s v="POARECOUP"/>
    <n v="21356801"/>
    <n v="-252.53"/>
    <m/>
    <s v="Y"/>
    <n v="2"/>
    <d v="2023-07-10T19:47:46"/>
    <s v="N"/>
    <m/>
    <m/>
    <s v="Expert Disbursement"/>
    <m/>
    <s v="N"/>
    <n v="0"/>
    <n v="-42.09"/>
    <x v="2"/>
    <s v="VALIDATED"/>
    <n v="1"/>
    <s v="01.11.80.308.2013.0000"/>
    <n v="-42.09"/>
    <s v="11"/>
    <s v="2013"/>
    <n v="24809.75"/>
    <n v="-42.09"/>
    <s v="CREDITOR"/>
    <n v="0"/>
    <n v="0"/>
    <n v="-42.09"/>
    <n v="0"/>
    <n v="0"/>
  </r>
  <r>
    <n v="56437778"/>
    <s v="N"/>
    <n v="21356801"/>
    <s v="3000013430710003RC"/>
    <s v="CIVIL"/>
    <d v="2023-06-29T00:00:00"/>
    <d v="2023-07-10T19:47:44"/>
    <m/>
    <d v="2023-07-10T00:00:00"/>
    <n v="1656"/>
    <n v="15"/>
    <s v="56437778"/>
    <s v="56437778"/>
    <m/>
    <m/>
    <m/>
    <m/>
    <m/>
    <m/>
    <s v="SOLRECOUP"/>
    <s v="SOLRECOUP"/>
    <s v="POARECOUP"/>
    <n v="21356801"/>
    <n v="-252.53"/>
    <m/>
    <s v="Y"/>
    <n v="1"/>
    <d v="2023-07-10T19:47:46"/>
    <s v="N"/>
    <m/>
    <m/>
    <s v="Expert Disbursement"/>
    <m/>
    <s v="N"/>
    <n v="-210.44"/>
    <n v="0"/>
    <x v="2"/>
    <s v="VALIDATED"/>
    <n v="1"/>
    <s v="01.11.80.308.2013.0000"/>
    <n v="-210.44"/>
    <s v="11"/>
    <s v="2013"/>
    <n v="24809.75"/>
    <n v="-210.44"/>
    <s v="CREDITOR"/>
    <n v="0"/>
    <n v="0"/>
    <n v="-210.44"/>
    <n v="0"/>
    <n v="0"/>
  </r>
  <r>
    <n v="56437778"/>
    <s v="N"/>
    <n v="21356802"/>
    <s v="3000013430710002RC"/>
    <s v="CIVIL"/>
    <d v="2023-06-29T00:00:00"/>
    <d v="2023-07-10T19:47:44"/>
    <m/>
    <d v="2023-07-10T00:00:00"/>
    <n v="1656"/>
    <n v="15"/>
    <s v="56437778"/>
    <s v="56437778"/>
    <m/>
    <m/>
    <m/>
    <m/>
    <m/>
    <m/>
    <s v="SOLRECOUP"/>
    <s v="SOLRECOUP"/>
    <s v="POARECOUP"/>
    <n v="21356802"/>
    <n v="-1824"/>
    <m/>
    <s v="Y"/>
    <n v="1"/>
    <d v="2023-07-10T19:47:46"/>
    <s v="N"/>
    <m/>
    <m/>
    <s v="Profit Cost"/>
    <m/>
    <s v="N"/>
    <n v="-1520"/>
    <n v="0"/>
    <x v="2"/>
    <s v="VALIDATED"/>
    <n v="1"/>
    <s v="01.11.80.308.2013.0000"/>
    <n v="-1520"/>
    <s v="11"/>
    <s v="2013"/>
    <n v="24809.75"/>
    <n v="-1520"/>
    <s v="CREDITOR"/>
    <n v="0"/>
    <n v="0"/>
    <n v="-1520"/>
    <n v="-380"/>
    <n v="0"/>
  </r>
  <r>
    <n v="56437778"/>
    <s v="N"/>
    <n v="21356802"/>
    <s v="3000013430710002RC"/>
    <s v="CIVIL"/>
    <d v="2023-06-29T00:00:00"/>
    <d v="2023-07-10T19:47:44"/>
    <m/>
    <d v="2023-07-10T00:00:00"/>
    <n v="1656"/>
    <n v="15"/>
    <s v="56437778"/>
    <s v="56437778"/>
    <m/>
    <m/>
    <m/>
    <m/>
    <m/>
    <m/>
    <s v="SOLRECOUP"/>
    <s v="SOLRECOUP"/>
    <s v="POARECOUP"/>
    <n v="21356802"/>
    <n v="-1824"/>
    <m/>
    <s v="Y"/>
    <n v="2"/>
    <d v="2023-07-10T19:47:46"/>
    <s v="N"/>
    <m/>
    <m/>
    <s v="Profit Cost"/>
    <m/>
    <s v="N"/>
    <n v="0"/>
    <n v="-304"/>
    <x v="2"/>
    <s v="VALIDATED"/>
    <n v="1"/>
    <s v="01.11.80.308.2013.0000"/>
    <n v="-304"/>
    <s v="11"/>
    <s v="2013"/>
    <n v="24809.75"/>
    <n v="-304"/>
    <s v="CREDITOR"/>
    <n v="0"/>
    <n v="0"/>
    <n v="-304"/>
    <n v="-76"/>
    <n v="0"/>
  </r>
  <r>
    <n v="56437778"/>
    <s v="N"/>
    <n v="21356803"/>
    <s v="3000013430710004RC"/>
    <s v="CIVIL"/>
    <d v="2023-06-29T00:00:00"/>
    <d v="2023-07-10T19:47:44"/>
    <m/>
    <d v="2023-07-10T00:00:00"/>
    <n v="1656"/>
    <n v="15"/>
    <s v="56437778"/>
    <s v="56437778"/>
    <m/>
    <m/>
    <m/>
    <m/>
    <m/>
    <m/>
    <s v="SOLRECOUP"/>
    <s v="SOLRECOUP"/>
    <s v="POARECOUP"/>
    <n v="21356803"/>
    <n v="-708.48"/>
    <m/>
    <s v="Y"/>
    <n v="1"/>
    <d v="2023-07-10T19:47:46"/>
    <s v="N"/>
    <m/>
    <m/>
    <s v="Profit Cost"/>
    <m/>
    <s v="N"/>
    <n v="-590.4"/>
    <n v="0"/>
    <x v="2"/>
    <s v="VALIDATED"/>
    <n v="1"/>
    <s v="01.11.80.308.2013.0000"/>
    <n v="-590.4"/>
    <s v="11"/>
    <s v="2013"/>
    <n v="24809.75"/>
    <n v="-590.4"/>
    <s v="CREDITOR"/>
    <n v="0"/>
    <n v="0"/>
    <n v="-590.4"/>
    <n v="-147.6"/>
    <n v="0"/>
  </r>
  <r>
    <n v="56437778"/>
    <s v="N"/>
    <n v="21356803"/>
    <s v="3000013430710004RC"/>
    <s v="CIVIL"/>
    <d v="2023-06-29T00:00:00"/>
    <d v="2023-07-10T19:47:44"/>
    <m/>
    <d v="2023-07-10T00:00:00"/>
    <n v="1656"/>
    <n v="15"/>
    <s v="56437778"/>
    <s v="56437778"/>
    <m/>
    <m/>
    <m/>
    <m/>
    <m/>
    <m/>
    <s v="SOLRECOUP"/>
    <s v="SOLRECOUP"/>
    <s v="POARECOUP"/>
    <n v="21356803"/>
    <n v="-708.48"/>
    <m/>
    <s v="Y"/>
    <n v="2"/>
    <d v="2023-07-10T19:47:46"/>
    <s v="N"/>
    <m/>
    <m/>
    <s v="Profit Cost"/>
    <m/>
    <s v="N"/>
    <n v="0"/>
    <n v="-118.08"/>
    <x v="2"/>
    <s v="VALIDATED"/>
    <n v="1"/>
    <s v="01.11.80.308.2013.0000"/>
    <n v="-118.08"/>
    <s v="11"/>
    <s v="2013"/>
    <n v="24809.75"/>
    <n v="-118.08"/>
    <s v="CREDITOR"/>
    <n v="0"/>
    <n v="0"/>
    <n v="-118.08"/>
    <n v="-29.52"/>
    <n v="0"/>
  </r>
  <r>
    <n v="56437778"/>
    <s v="N"/>
    <n v="21356804"/>
    <s v="3000013430710005RC"/>
    <s v="CIVIL"/>
    <d v="2023-06-29T00:00:00"/>
    <d v="2023-07-10T19:47:44"/>
    <m/>
    <d v="2023-07-10T00:00:00"/>
    <n v="1656"/>
    <n v="15"/>
    <s v="56437778"/>
    <s v="56437778"/>
    <m/>
    <m/>
    <m/>
    <m/>
    <m/>
    <m/>
    <s v="SOLRECOUP"/>
    <s v="SOLRECOUP"/>
    <s v="POARECOUP"/>
    <n v="21356804"/>
    <n v="-1499.52"/>
    <m/>
    <s v="Y"/>
    <n v="2"/>
    <d v="2023-07-10T19:47:46"/>
    <s v="N"/>
    <m/>
    <m/>
    <s v="Profit Cost"/>
    <m/>
    <s v="N"/>
    <n v="0"/>
    <n v="-249.92"/>
    <x v="2"/>
    <s v="VALIDATED"/>
    <n v="1"/>
    <s v="01.11.80.308.2013.0000"/>
    <n v="-249.92"/>
    <s v="11"/>
    <s v="2013"/>
    <n v="24809.75"/>
    <n v="-249.92"/>
    <s v="CREDITOR"/>
    <n v="0"/>
    <n v="0"/>
    <n v="-249.92"/>
    <n v="-62.48"/>
    <n v="0"/>
  </r>
  <r>
    <n v="56437778"/>
    <s v="N"/>
    <n v="21356804"/>
    <s v="3000013430710005RC"/>
    <s v="CIVIL"/>
    <d v="2023-06-29T00:00:00"/>
    <d v="2023-07-10T19:47:44"/>
    <m/>
    <d v="2023-07-10T00:00:00"/>
    <n v="1656"/>
    <n v="15"/>
    <s v="56437778"/>
    <s v="56437778"/>
    <m/>
    <m/>
    <m/>
    <m/>
    <m/>
    <m/>
    <s v="SOLRECOUP"/>
    <s v="SOLRECOUP"/>
    <s v="POARECOUP"/>
    <n v="21356804"/>
    <n v="-1499.52"/>
    <m/>
    <s v="Y"/>
    <n v="1"/>
    <d v="2023-07-10T19:47:46"/>
    <s v="N"/>
    <m/>
    <m/>
    <s v="Profit Cost"/>
    <m/>
    <s v="N"/>
    <n v="-1249.6"/>
    <n v="0"/>
    <x v="2"/>
    <s v="VALIDATED"/>
    <n v="1"/>
    <s v="01.11.80.308.2013.0000"/>
    <n v="-1249.6"/>
    <s v="11"/>
    <s v="2013"/>
    <n v="24809.75"/>
    <n v="-1249.6"/>
    <s v="CREDITOR"/>
    <n v="0"/>
    <n v="0"/>
    <n v="-1249.6"/>
    <n v="-312.4"/>
    <n v="0"/>
  </r>
  <r>
    <n v="56437778"/>
    <s v="N"/>
    <n v="21356805"/>
    <s v="3000013430710006RC"/>
    <s v="CIVIL"/>
    <d v="2023-06-29T00:00:00"/>
    <d v="2023-07-10T19:47:44"/>
    <m/>
    <d v="2023-07-10T00:00:00"/>
    <n v="1656"/>
    <n v="15"/>
    <s v="56437778"/>
    <s v="56437778"/>
    <m/>
    <m/>
    <m/>
    <m/>
    <m/>
    <m/>
    <s v="SOLRECOUP"/>
    <s v="SOLRECOUP"/>
    <s v="POARECOUP"/>
    <n v="21356805"/>
    <n v="-415.38"/>
    <m/>
    <s v="Y"/>
    <n v="1"/>
    <d v="2023-07-10T19:47:46"/>
    <s v="N"/>
    <m/>
    <m/>
    <s v="Expert Disbursement"/>
    <m/>
    <s v="N"/>
    <n v="-346.15"/>
    <n v="0"/>
    <x v="2"/>
    <s v="VALIDATED"/>
    <n v="1"/>
    <s v="01.11.80.308.2013.0000"/>
    <n v="-346.15"/>
    <s v="11"/>
    <s v="2013"/>
    <n v="24809.75"/>
    <n v="-346.15"/>
    <s v="CREDITOR"/>
    <n v="0"/>
    <n v="0"/>
    <n v="-346.15"/>
    <n v="0"/>
    <n v="0"/>
  </r>
  <r>
    <n v="56437778"/>
    <s v="N"/>
    <n v="21356805"/>
    <s v="3000013430710006RC"/>
    <s v="CIVIL"/>
    <d v="2023-06-29T00:00:00"/>
    <d v="2023-07-10T19:47:44"/>
    <m/>
    <d v="2023-07-10T00:00:00"/>
    <n v="1656"/>
    <n v="15"/>
    <s v="56437778"/>
    <s v="56437778"/>
    <m/>
    <m/>
    <m/>
    <m/>
    <m/>
    <m/>
    <s v="SOLRECOUP"/>
    <s v="SOLRECOUP"/>
    <s v="POARECOUP"/>
    <n v="21356805"/>
    <n v="-415.38"/>
    <m/>
    <s v="Y"/>
    <n v="2"/>
    <d v="2023-07-10T19:47:46"/>
    <s v="N"/>
    <m/>
    <m/>
    <s v="Expert Disbursement"/>
    <m/>
    <s v="N"/>
    <n v="0"/>
    <n v="-69.23"/>
    <x v="2"/>
    <s v="VALIDATED"/>
    <n v="1"/>
    <s v="01.11.80.308.2013.0000"/>
    <n v="-69.23"/>
    <s v="11"/>
    <s v="2013"/>
    <n v="24809.75"/>
    <n v="-69.23"/>
    <s v="CREDITOR"/>
    <n v="0"/>
    <n v="0"/>
    <n v="-69.23"/>
    <n v="0"/>
    <n v="0"/>
  </r>
  <r>
    <n v="61227906"/>
    <s v="N"/>
    <n v="21361601"/>
    <s v="3000015398320002RC"/>
    <s v="CIVIL"/>
    <d v="2023-06-30T00:00:00"/>
    <d v="2023-07-11T19:38:00"/>
    <m/>
    <d v="2023-07-11T00:00:00"/>
    <n v="1656"/>
    <n v="15"/>
    <s v="61227906"/>
    <s v="61227906"/>
    <m/>
    <m/>
    <m/>
    <m/>
    <m/>
    <m/>
    <s v="SOLRECOUP"/>
    <s v="SOLRECOUP"/>
    <s v="POARECOUP"/>
    <n v="21361601"/>
    <n v="-1824"/>
    <m/>
    <s v="Y"/>
    <n v="1"/>
    <d v="2023-07-11T19:38:01"/>
    <s v="N"/>
    <m/>
    <m/>
    <s v="Profit Cost"/>
    <m/>
    <s v="N"/>
    <n v="-1520"/>
    <n v="0"/>
    <x v="7"/>
    <s v="VALIDATED"/>
    <n v="1"/>
    <s v="01.11.80.308.2013.0000"/>
    <n v="-1520"/>
    <s v="11"/>
    <s v="2013"/>
    <n v="24809.75"/>
    <n v="-1520"/>
    <s v="CREDITOR"/>
    <n v="0"/>
    <n v="0"/>
    <n v="-1520"/>
    <n v="-380"/>
    <n v="0"/>
  </r>
  <r>
    <n v="61227906"/>
    <s v="N"/>
    <n v="21361601"/>
    <s v="3000015398320002RC"/>
    <s v="CIVIL"/>
    <d v="2023-06-30T00:00:00"/>
    <d v="2023-07-11T19:38:00"/>
    <m/>
    <d v="2023-07-11T00:00:00"/>
    <n v="1656"/>
    <n v="15"/>
    <s v="61227906"/>
    <s v="61227906"/>
    <m/>
    <m/>
    <m/>
    <m/>
    <m/>
    <m/>
    <s v="SOLRECOUP"/>
    <s v="SOLRECOUP"/>
    <s v="POARECOUP"/>
    <n v="21361601"/>
    <n v="-1824"/>
    <m/>
    <s v="Y"/>
    <n v="2"/>
    <d v="2023-07-11T19:38:01"/>
    <s v="N"/>
    <m/>
    <m/>
    <s v="Profit Cost"/>
    <m/>
    <s v="N"/>
    <n v="0"/>
    <n v="-304"/>
    <x v="7"/>
    <s v="VALIDATED"/>
    <n v="1"/>
    <s v="01.11.80.308.2013.0000"/>
    <n v="-304"/>
    <s v="11"/>
    <s v="2013"/>
    <n v="24809.75"/>
    <n v="-304"/>
    <s v="CREDITOR"/>
    <n v="0"/>
    <n v="0"/>
    <n v="-304"/>
    <n v="-76"/>
    <n v="0"/>
  </r>
  <r>
    <n v="61250738"/>
    <s v="N"/>
    <n v="21356808"/>
    <s v="3000015417450003RC"/>
    <s v="CIVIL"/>
    <d v="2023-06-30T00:00:00"/>
    <d v="2023-07-10T19:47:44"/>
    <m/>
    <d v="2023-07-10T00:00:00"/>
    <n v="1670"/>
    <n v="769"/>
    <s v="61250738"/>
    <s v="61250738"/>
    <m/>
    <m/>
    <m/>
    <m/>
    <m/>
    <m/>
    <s v="SOLRECOUP"/>
    <s v="SOLRECOUP"/>
    <s v="POARECOUP"/>
    <n v="21356808"/>
    <n v="-2947.2"/>
    <m/>
    <s v="Y"/>
    <n v="2"/>
    <d v="2023-07-10T19:47:46"/>
    <s v="N"/>
    <m/>
    <m/>
    <s v="Profit Cost"/>
    <m/>
    <s v="N"/>
    <n v="0"/>
    <n v="-491.2"/>
    <x v="2"/>
    <s v="VALIDATED"/>
    <n v="1"/>
    <s v="01.11.80.308.2013.0000"/>
    <n v="-491.2"/>
    <s v="11"/>
    <s v="2013"/>
    <n v="9980.030000000001"/>
    <n v="-491.2"/>
    <s v="CREDITOR"/>
    <n v="0"/>
    <n v="0"/>
    <n v="-491.2"/>
    <n v="-122.8"/>
    <n v="0"/>
  </r>
  <r>
    <n v="61250738"/>
    <s v="N"/>
    <n v="21356809"/>
    <s v="3000015417450004RC"/>
    <s v="CIVIL"/>
    <d v="2023-06-30T00:00:00"/>
    <d v="2023-07-10T19:47:44"/>
    <m/>
    <d v="2023-07-10T00:00:00"/>
    <n v="1670"/>
    <n v="769"/>
    <s v="61250738"/>
    <s v="61250738"/>
    <m/>
    <m/>
    <m/>
    <m/>
    <m/>
    <m/>
    <s v="SOLRECOUP"/>
    <s v="SOLRECOUP"/>
    <s v="POARECOUP"/>
    <n v="21356809"/>
    <n v="-405"/>
    <m/>
    <s v="Y"/>
    <n v="1"/>
    <d v="2023-07-10T19:47:46"/>
    <s v="N"/>
    <m/>
    <m/>
    <s v="Expert Disbursement"/>
    <m/>
    <s v="N"/>
    <n v="-405"/>
    <n v="0"/>
    <x v="2"/>
    <s v="VALIDATED"/>
    <n v="1"/>
    <s v="01.11.80.308.2013.0000"/>
    <n v="-405"/>
    <s v="11"/>
    <s v="2013"/>
    <n v="9980.030000000001"/>
    <n v="-405"/>
    <s v="CREDITOR"/>
    <n v="0"/>
    <n v="0"/>
    <n v="-405"/>
    <n v="0"/>
    <n v="0"/>
  </r>
  <r>
    <n v="61250738"/>
    <s v="N"/>
    <n v="21356809"/>
    <s v="3000015417450004RC"/>
    <s v="CIVIL"/>
    <d v="2023-06-30T00:00:00"/>
    <d v="2023-07-10T19:47:44"/>
    <m/>
    <d v="2023-07-10T00:00:00"/>
    <n v="1670"/>
    <n v="769"/>
    <s v="61250738"/>
    <s v="61250738"/>
    <m/>
    <m/>
    <m/>
    <m/>
    <m/>
    <m/>
    <s v="SOLRECOUP"/>
    <s v="SOLRECOUP"/>
    <s v="POARECOUP"/>
    <n v="21356809"/>
    <n v="-405"/>
    <m/>
    <s v="Y"/>
    <n v="2"/>
    <d v="2023-07-10T19:47:46"/>
    <s v="N"/>
    <m/>
    <m/>
    <s v="Expert Disbursement"/>
    <m/>
    <s v="N"/>
    <n v="0"/>
    <n v="0"/>
    <x v="2"/>
    <s v="VALIDATED"/>
    <n v="1"/>
    <s v="01.11.80.000.0000.0000"/>
    <n v="0"/>
    <s v="11"/>
    <s v="0000"/>
    <n v="9980.030000000001"/>
    <n v="0"/>
    <s v="CREDITOR"/>
    <n v="0"/>
    <n v="0"/>
    <n v="0"/>
    <n v="0"/>
    <n v="0"/>
  </r>
  <r>
    <n v="61632880"/>
    <s v="N"/>
    <n v="21361602"/>
    <s v="3000015737190009RC"/>
    <s v="CIVIL"/>
    <d v="2023-06-30T00:00:00"/>
    <d v="2023-07-11T19:38:00"/>
    <m/>
    <d v="2023-07-11T00:00:00"/>
    <n v="1670"/>
    <n v="769"/>
    <s v="61632880"/>
    <s v="61632880"/>
    <m/>
    <m/>
    <m/>
    <m/>
    <m/>
    <m/>
    <s v="SOLRECOUP"/>
    <s v="SOLRECOUP"/>
    <s v="POARECOUP"/>
    <n v="21361602"/>
    <n v="-657.3"/>
    <m/>
    <s v="Y"/>
    <n v="1"/>
    <d v="2023-07-11T19:38:01"/>
    <s v="N"/>
    <m/>
    <m/>
    <s v="Expert Disbursement"/>
    <m/>
    <s v="N"/>
    <n v="-547.75"/>
    <n v="0"/>
    <x v="7"/>
    <s v="VALIDATED"/>
    <n v="1"/>
    <s v="01.11.80.308.2013.0000"/>
    <n v="-547.75"/>
    <s v="11"/>
    <s v="2013"/>
    <n v="9980.030000000001"/>
    <n v="-547.75"/>
    <s v="CREDITOR"/>
    <n v="0"/>
    <n v="0"/>
    <n v="-547.75"/>
    <n v="0"/>
    <n v="0"/>
  </r>
  <r>
    <n v="61632880"/>
    <s v="N"/>
    <n v="21361602"/>
    <s v="3000015737190009RC"/>
    <s v="CIVIL"/>
    <d v="2023-06-30T00:00:00"/>
    <d v="2023-07-11T19:38:00"/>
    <m/>
    <d v="2023-07-11T00:00:00"/>
    <n v="1670"/>
    <n v="769"/>
    <s v="61632880"/>
    <s v="61632880"/>
    <m/>
    <m/>
    <m/>
    <m/>
    <m/>
    <m/>
    <s v="SOLRECOUP"/>
    <s v="SOLRECOUP"/>
    <s v="POARECOUP"/>
    <n v="21361602"/>
    <n v="-657.3"/>
    <m/>
    <s v="Y"/>
    <n v="2"/>
    <d v="2023-07-11T19:38:01"/>
    <s v="N"/>
    <m/>
    <m/>
    <s v="Expert Disbursement"/>
    <m/>
    <s v="N"/>
    <n v="0"/>
    <n v="-109.55"/>
    <x v="7"/>
    <s v="VALIDATED"/>
    <n v="1"/>
    <s v="01.11.80.308.2013.0000"/>
    <n v="-109.55"/>
    <s v="11"/>
    <s v="2013"/>
    <n v="9980.030000000001"/>
    <n v="-109.55"/>
    <s v="CREDITOR"/>
    <n v="0"/>
    <n v="0"/>
    <n v="-109.55"/>
    <n v="0"/>
    <n v="0"/>
  </r>
  <r>
    <n v="43107761"/>
    <s v="N"/>
    <n v="21361603"/>
    <s v="3000011463560001RC"/>
    <s v="CIVIL"/>
    <d v="2023-06-21T00:00:00"/>
    <d v="2023-07-11T19:38:00"/>
    <m/>
    <d v="2023-07-11T00:00:00"/>
    <n v="1670"/>
    <n v="769"/>
    <s v="43107761"/>
    <s v="43107761"/>
    <m/>
    <m/>
    <m/>
    <m/>
    <m/>
    <m/>
    <s v="SOLRECOUP"/>
    <s v="SOLRECOUP"/>
    <s v="POARECOUP"/>
    <n v="21361603"/>
    <n v="-2520"/>
    <m/>
    <s v="Y"/>
    <n v="2"/>
    <d v="2023-07-11T19:38:01"/>
    <s v="N"/>
    <m/>
    <m/>
    <s v="Profit Cost"/>
    <m/>
    <s v="N"/>
    <n v="0"/>
    <n v="-420"/>
    <x v="7"/>
    <s v="VALIDATED"/>
    <n v="1"/>
    <s v="01.11.80.308.2013.0000"/>
    <n v="-420"/>
    <s v="11"/>
    <s v="2013"/>
    <n v="9980.030000000001"/>
    <n v="-420"/>
    <s v="CREDITOR"/>
    <n v="0"/>
    <n v="0"/>
    <n v="-420"/>
    <n v="-105"/>
    <n v="0"/>
  </r>
  <r>
    <n v="61632880"/>
    <s v="N"/>
    <n v="21360910"/>
    <s v="3000015737190010"/>
    <s v="CIVIL"/>
    <d v="2023-06-30T00:00:00"/>
    <d v="2023-07-11T19:00:25"/>
    <m/>
    <d v="2023-07-11T00:00:00"/>
    <n v="1670"/>
    <n v="769"/>
    <s v="61632880"/>
    <s v="61632880"/>
    <m/>
    <m/>
    <n v="22801278"/>
    <m/>
    <m/>
    <m/>
    <s v="SOLFIN"/>
    <s v="SOLFIN"/>
    <s v="CCMS"/>
    <n v="21360910"/>
    <n v="13955.26"/>
    <m/>
    <s v="N"/>
    <n v="11"/>
    <d v="2023-07-11T19:00:39"/>
    <s v="Y"/>
    <s v="Toxicologist"/>
    <s v="Public Law Children"/>
    <s v="Expert Disbursement"/>
    <s v="LEXTOX"/>
    <s v="Y"/>
    <n v="1265.5"/>
    <n v="253.1"/>
    <x v="7"/>
    <s v="VALIDATED"/>
    <n v="1"/>
    <s v="01.11.80.308.6300.0000"/>
    <n v="1265.5"/>
    <s v="11"/>
    <s v="6300"/>
    <n v="9980.030000000001"/>
    <n v="1265.5"/>
    <s v="CREDITOR"/>
    <n v="0"/>
    <n v="0"/>
    <n v="0"/>
    <n v="0"/>
    <n v="1265.5"/>
  </r>
  <r>
    <n v="61632880"/>
    <s v="N"/>
    <n v="21360910"/>
    <s v="3000015737190010"/>
    <s v="CIVIL"/>
    <d v="2023-06-30T00:00:00"/>
    <d v="2023-07-11T19:00:25"/>
    <m/>
    <d v="2023-07-11T00:00:00"/>
    <n v="1670"/>
    <n v="769"/>
    <s v="61632880"/>
    <s v="61632880"/>
    <m/>
    <m/>
    <n v="22801278"/>
    <m/>
    <m/>
    <m/>
    <s v="SOLFIN"/>
    <s v="SOLFIN"/>
    <s v="CCMS"/>
    <n v="21360910"/>
    <n v="13955.26"/>
    <m/>
    <s v="N"/>
    <n v="17"/>
    <d v="2023-07-11T19:00:39"/>
    <s v="Y"/>
    <s v="Solicitors Fixed Fee"/>
    <s v="Public Law Children"/>
    <s v="Profit Cost"/>
    <s v="M R Bowerman"/>
    <s v="Y"/>
    <n v="2370"/>
    <n v="474"/>
    <x v="7"/>
    <s v="VALIDATED"/>
    <n v="1"/>
    <s v="01.11.80.308.6100.0000"/>
    <n v="2370"/>
    <s v="11"/>
    <s v="6100"/>
    <n v="9980.030000000001"/>
    <n v="2370"/>
    <s v="CREDITOR"/>
    <n v="0"/>
    <n v="0"/>
    <n v="0"/>
    <n v="0"/>
    <n v="2370"/>
  </r>
  <r>
    <n v="61250738"/>
    <s v="N"/>
    <n v="21350002"/>
    <s v="3000015417450005"/>
    <s v="CIVIL"/>
    <d v="2023-06-30T00:00:00"/>
    <d v="2023-07-10T19:01:40"/>
    <m/>
    <d v="2023-07-10T00:00:00"/>
    <n v="1670"/>
    <n v="769"/>
    <s v="61250738"/>
    <s v="61250738"/>
    <m/>
    <m/>
    <n v="22797296"/>
    <m/>
    <m/>
    <m/>
    <s v="SOLFIN"/>
    <s v="SOLFIN"/>
    <s v="CCMS"/>
    <n v="21350002"/>
    <n v="10576.07"/>
    <m/>
    <s v="N"/>
    <n v="2"/>
    <d v="2023-07-10T19:02:09"/>
    <s v="Y"/>
    <s v="Interim Hearing Court Bundle/Advoca"/>
    <s v="Public Law Children"/>
    <s v="Advocacy"/>
    <s v="M R Bowerman"/>
    <s v="Y"/>
    <n v="89.09999999999999"/>
    <n v="17.82"/>
    <x v="2"/>
    <s v="VALIDATED"/>
    <n v="1"/>
    <s v="01.11.80.308.6100.0000"/>
    <n v="89.09999999999999"/>
    <s v="11"/>
    <s v="6100"/>
    <n v="9980.030000000001"/>
    <n v="89.09999999999999"/>
    <s v="CREDITOR"/>
    <n v="0"/>
    <n v="0"/>
    <n v="0"/>
    <n v="0"/>
    <n v="89.09999999999999"/>
  </r>
  <r>
    <n v="43107761"/>
    <s v="N"/>
    <n v="21360571"/>
    <s v="3000011463560004"/>
    <s v="CIVIL"/>
    <d v="2023-06-21T00:00:00"/>
    <d v="2023-07-11T11:50:54"/>
    <m/>
    <d v="2023-07-11T00:00:00"/>
    <n v="1670"/>
    <n v="769"/>
    <s v="43107761"/>
    <s v="43107761"/>
    <m/>
    <m/>
    <n v="22736538"/>
    <m/>
    <m/>
    <m/>
    <s v="SOLFIN"/>
    <s v="SOLFIN"/>
    <s v="CCMS"/>
    <n v="21360571"/>
    <n v="4133.24"/>
    <m/>
    <s v="N"/>
    <n v="2"/>
    <d v="2023-07-11T11:51:10"/>
    <s v="Y"/>
    <s v="Advocates Meeting"/>
    <s v="Public Law Children"/>
    <s v="Advocacy"/>
    <s v="L J Howe"/>
    <s v="Y"/>
    <n v="140.99"/>
    <n v="28.2"/>
    <x v="7"/>
    <s v="VALIDATED"/>
    <n v="1"/>
    <s v="01.11.80.308.6100.0000"/>
    <n v="140.99"/>
    <s v="11"/>
    <s v="6100"/>
    <n v="9980.030000000001"/>
    <n v="140.99"/>
    <s v="CREDITOR"/>
    <n v="0"/>
    <n v="0"/>
    <n v="0"/>
    <n v="0"/>
    <n v="140.99"/>
  </r>
  <r>
    <n v="61250738"/>
    <s v="N"/>
    <n v="21350002"/>
    <s v="3000015417450005"/>
    <s v="CIVIL"/>
    <d v="2023-06-30T00:00:00"/>
    <d v="2023-07-10T19:01:40"/>
    <m/>
    <d v="2023-07-10T00:00:00"/>
    <n v="1670"/>
    <n v="769"/>
    <s v="61250738"/>
    <s v="61250738"/>
    <m/>
    <m/>
    <n v="22797296"/>
    <m/>
    <m/>
    <m/>
    <s v="SOLFIN"/>
    <s v="SOLFIN"/>
    <s v="CCMS"/>
    <n v="21350002"/>
    <n v="10576.07"/>
    <m/>
    <s v="N"/>
    <n v="11"/>
    <d v="2023-07-10T19:02:09"/>
    <s v="Y"/>
    <s v="Advocates Meeting"/>
    <s v="Public Law Children"/>
    <s v="Advocacy"/>
    <s v="M R Bowerman"/>
    <s v="Y"/>
    <n v="140.99"/>
    <n v="28.2"/>
    <x v="2"/>
    <s v="VALIDATED"/>
    <n v="1"/>
    <s v="01.11.80.308.6100.0000"/>
    <n v="140.99"/>
    <s v="11"/>
    <s v="6100"/>
    <n v="9980.030000000001"/>
    <n v="140.99"/>
    <s v="CREDITOR"/>
    <n v="0"/>
    <n v="0"/>
    <n v="0"/>
    <n v="0"/>
    <n v="140.99"/>
  </r>
  <r>
    <n v="61250738"/>
    <s v="N"/>
    <n v="21350002"/>
    <s v="3000015417450005"/>
    <s v="CIVIL"/>
    <d v="2023-06-30T00:00:00"/>
    <d v="2023-07-10T19:01:40"/>
    <m/>
    <d v="2023-07-10T00:00:00"/>
    <n v="1670"/>
    <n v="769"/>
    <s v="61250738"/>
    <s v="61250738"/>
    <m/>
    <m/>
    <n v="22797296"/>
    <m/>
    <m/>
    <m/>
    <s v="SOLFIN"/>
    <s v="SOLFIN"/>
    <s v="CCMS"/>
    <n v="21350002"/>
    <n v="10576.07"/>
    <m/>
    <s v="N"/>
    <n v="5"/>
    <d v="2023-07-10T19:02:09"/>
    <s v="Y"/>
    <s v="Paediatrician"/>
    <s v="Public Law Children"/>
    <s v="Expert Disbursement"/>
    <s v="Dr R Mittal"/>
    <s v="Y"/>
    <n v="405"/>
    <n v="0"/>
    <x v="2"/>
    <s v="VALIDATED"/>
    <n v="1"/>
    <s v="01.11.80.308.6300.0000"/>
    <n v="405"/>
    <s v="11"/>
    <s v="6300"/>
    <n v="9980.030000000001"/>
    <n v="405"/>
    <s v="CREDITOR"/>
    <n v="0"/>
    <n v="0"/>
    <n v="0"/>
    <n v="0"/>
    <n v="405"/>
  </r>
  <r>
    <n v="10459636"/>
    <s v="N"/>
    <n v="21360800"/>
    <s v="3000006302880001"/>
    <s v="CIVIL"/>
    <d v="2023-06-22T00:00:00"/>
    <d v="2023-07-11T19:00:25"/>
    <m/>
    <d v="2023-07-11T00:00:00"/>
    <n v="1670"/>
    <n v="769"/>
    <s v="10459636"/>
    <s v="10459636"/>
    <m/>
    <m/>
    <n v="22745690"/>
    <m/>
    <m/>
    <m/>
    <s v="SOLFIN"/>
    <s v="SOLFIN"/>
    <s v="CCMS"/>
    <n v="21360800"/>
    <n v="0"/>
    <m/>
    <s v="N"/>
    <n v="1"/>
    <d v="2023-07-11T19:00:34"/>
    <s v="N"/>
    <s v="NIL BILL"/>
    <s v="Public Law Children"/>
    <s v="Profit Cost"/>
    <s v="L J Howe"/>
    <s v="N"/>
    <n v="0"/>
    <n v="0"/>
    <x v="7"/>
    <s v="VALIDATED"/>
    <n v="1"/>
    <s v="01.11.80.308.6100.0000"/>
    <n v="0"/>
    <s v="11"/>
    <s v="6100"/>
    <n v="9980.030000000001"/>
    <n v="0"/>
    <s v="CREDITOR"/>
    <n v="0"/>
    <n v="0"/>
    <n v="0"/>
    <n v="0"/>
    <n v="0"/>
  </r>
  <r>
    <n v="61250738"/>
    <s v="N"/>
    <n v="21350002"/>
    <s v="3000015417450005"/>
    <s v="CIVIL"/>
    <d v="2023-06-30T00:00:00"/>
    <d v="2023-07-10T19:01:40"/>
    <m/>
    <d v="2023-07-10T00:00:00"/>
    <n v="1670"/>
    <n v="769"/>
    <s v="61250738"/>
    <s v="61250738"/>
    <m/>
    <m/>
    <n v="22797296"/>
    <m/>
    <m/>
    <m/>
    <s v="SOLFIN"/>
    <s v="SOLFIN"/>
    <s v="CCMS"/>
    <n v="21350002"/>
    <n v="10576.07"/>
    <m/>
    <s v="N"/>
    <n v="6"/>
    <d v="2023-07-10T19:02:09"/>
    <s v="Y"/>
    <s v="Radiologist"/>
    <s v="Public Law Children"/>
    <s v="Expert Disbursement"/>
    <s v="Dr Olsen Paediatric Radiographer"/>
    <s v="Y"/>
    <n v="202.5"/>
    <n v="40.5"/>
    <x v="2"/>
    <s v="VALIDATED"/>
    <n v="1"/>
    <s v="01.11.80.308.6300.0000"/>
    <n v="202.5"/>
    <s v="11"/>
    <s v="6300"/>
    <n v="9980.030000000001"/>
    <n v="202.5"/>
    <s v="CREDITOR"/>
    <n v="0"/>
    <n v="0"/>
    <n v="0"/>
    <n v="0"/>
    <n v="202.5"/>
  </r>
  <r>
    <n v="61632880"/>
    <s v="N"/>
    <n v="21360910"/>
    <s v="3000015737190010"/>
    <s v="CIVIL"/>
    <d v="2023-06-30T00:00:00"/>
    <d v="2023-07-11T19:00:25"/>
    <m/>
    <d v="2023-07-11T00:00:00"/>
    <n v="1670"/>
    <n v="769"/>
    <s v="61632880"/>
    <s v="61632880"/>
    <m/>
    <m/>
    <n v="22801278"/>
    <m/>
    <m/>
    <m/>
    <s v="SOLFIN"/>
    <s v="SOLFIN"/>
    <s v="CCMS"/>
    <n v="21360910"/>
    <n v="13955.26"/>
    <m/>
    <s v="N"/>
    <n v="14"/>
    <d v="2023-07-11T19:00:39"/>
    <s v="Y"/>
    <s v="Final Hearing - 2 Days"/>
    <s v="Public Law Children"/>
    <s v="Advocacy"/>
    <s v="M R Bowerman"/>
    <s v="Y"/>
    <n v="1113.76"/>
    <n v="222.75"/>
    <x v="7"/>
    <s v="VALIDATED"/>
    <n v="1"/>
    <s v="01.11.80.308.6100.0000"/>
    <n v="1113.76"/>
    <s v="11"/>
    <s v="6100"/>
    <n v="9980.030000000001"/>
    <n v="1113.76"/>
    <s v="CREDITOR"/>
    <n v="0"/>
    <n v="0"/>
    <n v="0"/>
    <n v="0"/>
    <n v="1113.76"/>
  </r>
  <r>
    <n v="43107761"/>
    <s v="N"/>
    <n v="21360571"/>
    <s v="3000011463560004"/>
    <s v="CIVIL"/>
    <d v="2023-06-21T00:00:00"/>
    <d v="2023-07-11T11:50:54"/>
    <m/>
    <d v="2023-07-11T00:00:00"/>
    <n v="1670"/>
    <n v="769"/>
    <s v="43107761"/>
    <s v="43107761"/>
    <m/>
    <m/>
    <n v="22736538"/>
    <m/>
    <m/>
    <m/>
    <s v="SOLFIN"/>
    <s v="SOLFIN"/>
    <s v="CCMS"/>
    <n v="21360571"/>
    <n v="4133.24"/>
    <m/>
    <s v="N"/>
    <n v="5"/>
    <d v="2023-07-11T11:51:10"/>
    <s v="Y"/>
    <s v="Solicitors Fixed Fee"/>
    <s v="Public Law Children"/>
    <s v="Profit Cost"/>
    <s v="L J Howe"/>
    <s v="Y"/>
    <n v="1965"/>
    <n v="393"/>
    <x v="7"/>
    <s v="VALIDATED"/>
    <n v="1"/>
    <s v="01.11.80.308.6100.0000"/>
    <n v="1965"/>
    <s v="11"/>
    <s v="6100"/>
    <n v="9980.030000000001"/>
    <n v="1965"/>
    <s v="CREDITOR"/>
    <n v="0"/>
    <n v="0"/>
    <n v="0"/>
    <n v="0"/>
    <n v="1965"/>
  </r>
  <r>
    <n v="61250738"/>
    <s v="N"/>
    <n v="21350002"/>
    <s v="3000015417450005"/>
    <s v="CIVIL"/>
    <d v="2023-06-30T00:00:00"/>
    <d v="2023-07-10T19:01:40"/>
    <m/>
    <d v="2023-07-10T00:00:00"/>
    <n v="1670"/>
    <n v="769"/>
    <s v="61250738"/>
    <s v="61250738"/>
    <m/>
    <m/>
    <n v="22797296"/>
    <m/>
    <m/>
    <m/>
    <s v="SOLFIN"/>
    <s v="SOLFIN"/>
    <s v="CCMS"/>
    <n v="21350002"/>
    <n v="10576.07"/>
    <m/>
    <s v="N"/>
    <n v="9"/>
    <d v="2023-07-10T19:02:09"/>
    <s v="Y"/>
    <s v="Final Hearing - 3 Days"/>
    <s v="Public Law Children"/>
    <s v="Advocacy"/>
    <s v="M R Bowerman"/>
    <s v="Y"/>
    <n v="2088.3"/>
    <n v="417.66"/>
    <x v="2"/>
    <s v="VALIDATED"/>
    <n v="1"/>
    <s v="01.11.80.308.6100.0000"/>
    <n v="2088.3"/>
    <s v="11"/>
    <s v="6100"/>
    <n v="9980.030000000001"/>
    <n v="2088.3"/>
    <s v="CREDITOR"/>
    <n v="0"/>
    <n v="0"/>
    <n v="0"/>
    <n v="0"/>
    <n v="2088.3"/>
  </r>
  <r>
    <n v="61632880"/>
    <s v="N"/>
    <n v="21360910"/>
    <s v="3000015737190010"/>
    <s v="CIVIL"/>
    <d v="2023-06-30T00:00:00"/>
    <d v="2023-07-11T19:00:25"/>
    <m/>
    <d v="2023-07-11T00:00:00"/>
    <n v="1670"/>
    <n v="769"/>
    <s v="61632880"/>
    <s v="61632880"/>
    <m/>
    <m/>
    <n v="22801278"/>
    <m/>
    <m/>
    <m/>
    <s v="SOLFIN"/>
    <s v="SOLFIN"/>
    <s v="CCMS"/>
    <n v="21360910"/>
    <n v="13955.26"/>
    <m/>
    <s v="N"/>
    <n v="6"/>
    <d v="2023-07-11T19:00:39"/>
    <s v="Y"/>
    <s v="Other"/>
    <s v="Public Law Children"/>
    <s v="Non Expert Disbursement"/>
    <s v="eScribers transcription agents."/>
    <s v="Y"/>
    <n v="14.71"/>
    <n v="2.94"/>
    <x v="7"/>
    <s v="VALIDATED"/>
    <n v="1"/>
    <s v="01.11.80.308.6300.0000"/>
    <n v="14.71"/>
    <s v="11"/>
    <s v="6300"/>
    <n v="9980.030000000001"/>
    <n v="14.71"/>
    <s v="CREDITOR"/>
    <n v="0"/>
    <n v="0"/>
    <n v="0"/>
    <n v="0"/>
    <n v="14.71"/>
  </r>
  <r>
    <n v="61632880"/>
    <s v="N"/>
    <n v="21360910"/>
    <s v="3000015737190010"/>
    <s v="CIVIL"/>
    <d v="2023-06-30T00:00:00"/>
    <d v="2023-07-11T19:00:25"/>
    <m/>
    <d v="2023-07-11T00:00:00"/>
    <n v="1670"/>
    <n v="769"/>
    <s v="61632880"/>
    <s v="61632880"/>
    <m/>
    <m/>
    <n v="22801278"/>
    <m/>
    <m/>
    <m/>
    <s v="SOLFIN"/>
    <s v="SOLFIN"/>
    <s v="CCMS"/>
    <n v="21360910"/>
    <n v="13955.26"/>
    <m/>
    <s v="N"/>
    <n v="8"/>
    <d v="2023-07-11T19:00:39"/>
    <s v="Y"/>
    <s v="Toxicologist"/>
    <s v="Public Law Children"/>
    <s v="Expert Disbursement"/>
    <s v="LEXTOX"/>
    <s v="Y"/>
    <n v="803.75"/>
    <n v="160.75"/>
    <x v="7"/>
    <s v="VALIDATED"/>
    <n v="1"/>
    <s v="01.11.80.308.6300.0000"/>
    <n v="803.75"/>
    <s v="11"/>
    <s v="6300"/>
    <n v="9980.030000000001"/>
    <n v="803.75"/>
    <s v="CREDITOR"/>
    <n v="0"/>
    <n v="0"/>
    <n v="0"/>
    <n v="0"/>
    <n v="803.75"/>
  </r>
  <r>
    <n v="61632880"/>
    <s v="N"/>
    <n v="21360910"/>
    <s v="3000015737190010"/>
    <s v="CIVIL"/>
    <d v="2023-06-30T00:00:00"/>
    <d v="2023-07-11T19:00:25"/>
    <m/>
    <d v="2023-07-11T00:00:00"/>
    <n v="1670"/>
    <n v="769"/>
    <s v="61632880"/>
    <s v="61632880"/>
    <m/>
    <m/>
    <n v="22801278"/>
    <m/>
    <m/>
    <m/>
    <s v="SOLFIN"/>
    <s v="SOLFIN"/>
    <s v="CCMS"/>
    <n v="21360910"/>
    <n v="13955.26"/>
    <m/>
    <s v="N"/>
    <n v="16"/>
    <d v="2023-07-11T19:00:39"/>
    <s v="Y"/>
    <s v="Advocates Meeting"/>
    <s v="Public Law Children"/>
    <s v="Advocacy"/>
    <s v="L J Howe"/>
    <s v="Y"/>
    <n v="140.99"/>
    <n v="28.2"/>
    <x v="7"/>
    <s v="VALIDATED"/>
    <n v="1"/>
    <s v="01.11.80.308.6100.0000"/>
    <n v="140.99"/>
    <s v="11"/>
    <s v="6100"/>
    <n v="9980.030000000001"/>
    <n v="140.99"/>
    <s v="CREDITOR"/>
    <n v="0"/>
    <n v="0"/>
    <n v="0"/>
    <n v="0"/>
    <n v="140.99"/>
  </r>
  <r>
    <n v="61632880"/>
    <s v="N"/>
    <n v="21360910"/>
    <s v="3000015737190010"/>
    <s v="CIVIL"/>
    <d v="2023-06-30T00:00:00"/>
    <d v="2023-07-11T19:00:25"/>
    <m/>
    <d v="2023-07-11T00:00:00"/>
    <n v="1670"/>
    <n v="769"/>
    <s v="61632880"/>
    <s v="61632880"/>
    <m/>
    <m/>
    <n v="22801278"/>
    <m/>
    <m/>
    <m/>
    <s v="SOLFIN"/>
    <s v="SOLFIN"/>
    <s v="CCMS"/>
    <n v="21360910"/>
    <n v="13955.26"/>
    <m/>
    <s v="N"/>
    <n v="9"/>
    <d v="2023-07-11T19:00:39"/>
    <s v="Y"/>
    <s v="Toxicologist"/>
    <s v="Public Law Children"/>
    <s v="Expert Disbursement"/>
    <s v="LEXTOX"/>
    <s v="Y"/>
    <n v="732.25"/>
    <n v="146.45"/>
    <x v="7"/>
    <s v="VALIDATED"/>
    <n v="1"/>
    <s v="01.11.80.308.6300.0000"/>
    <n v="732.25"/>
    <s v="11"/>
    <s v="6300"/>
    <n v="9980.030000000001"/>
    <n v="732.25"/>
    <s v="CREDITOR"/>
    <n v="0"/>
    <n v="0"/>
    <n v="0"/>
    <n v="0"/>
    <n v="732.25"/>
  </r>
  <r>
    <n v="61632880"/>
    <s v="N"/>
    <n v="21360910"/>
    <s v="3000015737190010"/>
    <s v="CIVIL"/>
    <d v="2023-06-30T00:00:00"/>
    <d v="2023-07-11T19:00:25"/>
    <m/>
    <d v="2023-07-11T00:00:00"/>
    <n v="1670"/>
    <n v="769"/>
    <s v="61632880"/>
    <s v="61632880"/>
    <m/>
    <m/>
    <n v="22801278"/>
    <m/>
    <m/>
    <m/>
    <s v="SOLFIN"/>
    <s v="SOLFIN"/>
    <s v="CCMS"/>
    <n v="21360910"/>
    <n v="13955.26"/>
    <m/>
    <s v="N"/>
    <n v="12"/>
    <d v="2023-07-11T19:00:39"/>
    <s v="Y"/>
    <s v="Hearing Unit 2.31 - 5.00 Hours"/>
    <s v="Public Law Children"/>
    <s v="Advocacy"/>
    <s v="L J Howe"/>
    <s v="Y"/>
    <n v="476.92"/>
    <n v="95.38"/>
    <x v="7"/>
    <s v="VALIDATED"/>
    <n v="1"/>
    <s v="01.11.80.308.6100.0000"/>
    <n v="476.92"/>
    <s v="11"/>
    <s v="6100"/>
    <n v="9980.030000000001"/>
    <n v="476.92"/>
    <s v="CREDITOR"/>
    <n v="0"/>
    <n v="0"/>
    <n v="0"/>
    <n v="0"/>
    <n v="476.92"/>
  </r>
  <r>
    <n v="61632880"/>
    <s v="N"/>
    <n v="21360910"/>
    <s v="3000015737190010"/>
    <s v="CIVIL"/>
    <d v="2023-06-30T00:00:00"/>
    <d v="2023-07-11T19:00:25"/>
    <m/>
    <d v="2023-07-11T00:00:00"/>
    <n v="1670"/>
    <n v="769"/>
    <s v="61632880"/>
    <s v="61632880"/>
    <m/>
    <m/>
    <n v="22801278"/>
    <m/>
    <m/>
    <m/>
    <s v="SOLFIN"/>
    <s v="SOLFIN"/>
    <s v="CCMS"/>
    <n v="21360910"/>
    <n v="13955.26"/>
    <m/>
    <s v="N"/>
    <n v="13"/>
    <d v="2023-07-11T19:00:39"/>
    <s v="Y"/>
    <s v="Advocates Meeting"/>
    <s v="Public Law Children"/>
    <s v="Advocacy"/>
    <s v="M R Bowerman"/>
    <s v="Y"/>
    <n v="140.99"/>
    <n v="28.2"/>
    <x v="7"/>
    <s v="VALIDATED"/>
    <n v="1"/>
    <s v="01.11.80.308.6100.0000"/>
    <n v="140.99"/>
    <s v="11"/>
    <s v="6100"/>
    <n v="9980.030000000001"/>
    <n v="140.99"/>
    <s v="CREDITOR"/>
    <n v="0"/>
    <n v="0"/>
    <n v="0"/>
    <n v="0"/>
    <n v="140.99"/>
  </r>
  <r>
    <n v="61632880"/>
    <s v="N"/>
    <n v="21360910"/>
    <s v="3000015737190010"/>
    <s v="CIVIL"/>
    <d v="2023-06-30T00:00:00"/>
    <d v="2023-07-11T19:00:25"/>
    <m/>
    <d v="2023-07-11T00:00:00"/>
    <n v="1670"/>
    <n v="769"/>
    <s v="61632880"/>
    <s v="61632880"/>
    <m/>
    <m/>
    <n v="22801278"/>
    <m/>
    <m/>
    <m/>
    <s v="SOLFIN"/>
    <s v="SOLFIN"/>
    <s v="CCMS"/>
    <n v="21360910"/>
    <n v="13955.26"/>
    <m/>
    <s v="N"/>
    <n v="2"/>
    <d v="2023-07-11T19:00:39"/>
    <s v="Y"/>
    <s v="Interim Hearing Court Bundle/Advoca"/>
    <s v="Public Law Children"/>
    <s v="Advocacy"/>
    <s v="L J Howe"/>
    <s v="Y"/>
    <n v="59.4"/>
    <n v="11.88"/>
    <x v="7"/>
    <s v="VALIDATED"/>
    <n v="1"/>
    <s v="01.11.80.308.6100.0000"/>
    <n v="59.4"/>
    <s v="11"/>
    <s v="6100"/>
    <n v="9980.030000000001"/>
    <n v="59.4"/>
    <s v="CREDITOR"/>
    <n v="0"/>
    <n v="0"/>
    <n v="0"/>
    <n v="0"/>
    <n v="59.4"/>
  </r>
  <r>
    <n v="61632880"/>
    <s v="N"/>
    <n v="21360910"/>
    <s v="3000015737190010"/>
    <s v="CIVIL"/>
    <d v="2023-06-30T00:00:00"/>
    <d v="2023-07-11T19:00:25"/>
    <m/>
    <d v="2023-07-11T00:00:00"/>
    <n v="1670"/>
    <n v="769"/>
    <s v="61632880"/>
    <s v="61632880"/>
    <m/>
    <m/>
    <n v="22801278"/>
    <m/>
    <m/>
    <m/>
    <s v="SOLFIN"/>
    <s v="SOLFIN"/>
    <s v="CCMS"/>
    <n v="21360910"/>
    <n v="13955.26"/>
    <m/>
    <s v="N"/>
    <n v="10"/>
    <d v="2023-07-11T19:00:39"/>
    <s v="Y"/>
    <s v="Toxicologist"/>
    <s v="Public Law Children"/>
    <s v="Expert Disbursement"/>
    <s v="LEXTOX"/>
    <s v="Y"/>
    <n v="1265.5"/>
    <n v="253.1"/>
    <x v="7"/>
    <s v="VALIDATED"/>
    <n v="1"/>
    <s v="01.11.80.308.6300.0000"/>
    <n v="1265.5"/>
    <s v="11"/>
    <s v="6300"/>
    <n v="9980.030000000001"/>
    <n v="1265.5"/>
    <s v="CREDITOR"/>
    <n v="0"/>
    <n v="0"/>
    <n v="0"/>
    <n v="0"/>
    <n v="1265.5"/>
  </r>
  <r>
    <n v="61250738"/>
    <s v="N"/>
    <n v="21350002"/>
    <s v="3000015417450005"/>
    <s v="CIVIL"/>
    <d v="2023-06-30T00:00:00"/>
    <d v="2023-07-10T19:01:40"/>
    <m/>
    <d v="2023-07-10T00:00:00"/>
    <n v="1670"/>
    <n v="769"/>
    <s v="61250738"/>
    <s v="61250738"/>
    <m/>
    <m/>
    <n v="22797296"/>
    <m/>
    <m/>
    <m/>
    <s v="SOLFIN"/>
    <s v="SOLFIN"/>
    <s v="CCMS"/>
    <n v="21350002"/>
    <n v="10576.07"/>
    <m/>
    <s v="N"/>
    <n v="12"/>
    <d v="2023-07-10T19:02:09"/>
    <s v="Y"/>
    <s v="Hearing Unit 1.01 - 2.30 Hours"/>
    <s v="Public Law Children"/>
    <s v="Advocacy"/>
    <s v="M R Bowerman"/>
    <s v="Y"/>
    <n v="298.08"/>
    <n v="59.62"/>
    <x v="2"/>
    <s v="VALIDATED"/>
    <n v="1"/>
    <s v="01.11.80.308.6100.0000"/>
    <n v="298.08"/>
    <s v="11"/>
    <s v="6100"/>
    <n v="9980.030000000001"/>
    <n v="298.08"/>
    <s v="CREDITOR"/>
    <n v="0"/>
    <n v="0"/>
    <n v="0"/>
    <n v="0"/>
    <n v="298.08"/>
  </r>
  <r>
    <n v="61632880"/>
    <s v="N"/>
    <n v="21360910"/>
    <s v="3000015737190010"/>
    <s v="CIVIL"/>
    <d v="2023-06-30T00:00:00"/>
    <d v="2023-07-11T19:00:25"/>
    <m/>
    <d v="2023-07-11T00:00:00"/>
    <n v="1670"/>
    <n v="769"/>
    <s v="61632880"/>
    <s v="61632880"/>
    <m/>
    <m/>
    <n v="22801278"/>
    <m/>
    <m/>
    <m/>
    <s v="SOLFIN"/>
    <s v="SOLFIN"/>
    <s v="CCMS"/>
    <n v="21360910"/>
    <n v="13955.26"/>
    <m/>
    <s v="N"/>
    <n v="3"/>
    <d v="2023-07-11T19:00:39"/>
    <s v="Y"/>
    <s v="Final Hearing Court Bundle/Advocate"/>
    <s v="Public Law Children"/>
    <s v="Advocacy"/>
    <s v="M R Bowerman"/>
    <s v="Y"/>
    <n v="318.6"/>
    <n v="63.72"/>
    <x v="7"/>
    <s v="VALIDATED"/>
    <n v="1"/>
    <s v="01.11.80.308.6100.0000"/>
    <n v="318.6"/>
    <s v="11"/>
    <s v="6100"/>
    <n v="9980.030000000001"/>
    <n v="318.6"/>
    <s v="CREDITOR"/>
    <n v="0"/>
    <n v="0"/>
    <n v="0"/>
    <n v="0"/>
    <n v="318.6"/>
  </r>
  <r>
    <n v="61250738"/>
    <s v="N"/>
    <n v="21350002"/>
    <s v="3000015417450005"/>
    <s v="CIVIL"/>
    <d v="2023-06-30T00:00:00"/>
    <d v="2023-07-10T19:01:40"/>
    <m/>
    <d v="2023-07-10T00:00:00"/>
    <n v="1670"/>
    <n v="769"/>
    <s v="61250738"/>
    <s v="61250738"/>
    <m/>
    <m/>
    <n v="22797296"/>
    <m/>
    <m/>
    <m/>
    <s v="SOLFIN"/>
    <s v="SOLFIN"/>
    <s v="CCMS"/>
    <n v="21350002"/>
    <n v="10576.07"/>
    <m/>
    <s v="N"/>
    <n v="3"/>
    <d v="2023-07-10T19:02:09"/>
    <s v="Y"/>
    <s v="Psychologist"/>
    <s v="Public Law Children"/>
    <s v="Expert Disbursement"/>
    <s v="Prof N Gray"/>
    <s v="Y"/>
    <n v="912.6"/>
    <n v="182.52"/>
    <x v="2"/>
    <s v="VALIDATED"/>
    <n v="1"/>
    <s v="01.11.80.308.6300.0000"/>
    <n v="912.6"/>
    <s v="11"/>
    <s v="6300"/>
    <n v="9980.030000000001"/>
    <n v="912.6"/>
    <s v="CREDITOR"/>
    <n v="0"/>
    <n v="0"/>
    <n v="0"/>
    <n v="0"/>
    <n v="912.6"/>
  </r>
  <r>
    <n v="61250738"/>
    <s v="N"/>
    <n v="21350002"/>
    <s v="3000015417450005"/>
    <s v="CIVIL"/>
    <d v="2023-06-30T00:00:00"/>
    <d v="2023-07-10T19:01:40"/>
    <m/>
    <d v="2023-07-10T00:00:00"/>
    <n v="1670"/>
    <n v="769"/>
    <s v="61250738"/>
    <s v="61250738"/>
    <m/>
    <m/>
    <n v="22797296"/>
    <m/>
    <m/>
    <m/>
    <s v="SOLFIN"/>
    <s v="SOLFIN"/>
    <s v="CCMS"/>
    <n v="21350002"/>
    <n v="10576.07"/>
    <m/>
    <s v="N"/>
    <n v="7"/>
    <d v="2023-07-10T19:02:09"/>
    <s v="Y"/>
    <s v="Hearing Unit 2.31 - 5.00 Hours"/>
    <s v="Public Law Children"/>
    <s v="Advocacy"/>
    <s v="M R Bowerman"/>
    <s v="Y"/>
    <n v="476.92"/>
    <n v="95.38"/>
    <x v="2"/>
    <s v="VALIDATED"/>
    <n v="1"/>
    <s v="01.11.80.308.6100.0000"/>
    <n v="476.92"/>
    <s v="11"/>
    <s v="6100"/>
    <n v="9980.030000000001"/>
    <n v="476.92"/>
    <s v="CREDITOR"/>
    <n v="0"/>
    <n v="0"/>
    <n v="0"/>
    <n v="0"/>
    <n v="476.92"/>
  </r>
  <r>
    <n v="61250738"/>
    <s v="N"/>
    <n v="21350002"/>
    <s v="3000015417450005"/>
    <s v="CIVIL"/>
    <d v="2023-06-30T00:00:00"/>
    <d v="2023-07-10T19:01:40"/>
    <m/>
    <d v="2023-07-10T00:00:00"/>
    <n v="1670"/>
    <n v="769"/>
    <s v="61250738"/>
    <s v="61250738"/>
    <m/>
    <m/>
    <n v="22797296"/>
    <m/>
    <m/>
    <m/>
    <s v="SOLFIN"/>
    <s v="SOLFIN"/>
    <s v="CCMS"/>
    <n v="21350002"/>
    <n v="10576.07"/>
    <m/>
    <s v="N"/>
    <n v="13"/>
    <d v="2023-07-10T19:02:09"/>
    <s v="Y"/>
    <s v="Hearing Unit 2.31 - 5.00 Hours"/>
    <s v="Public Law Children"/>
    <s v="Advocacy"/>
    <s v="M R Bowerman"/>
    <s v="Y"/>
    <n v="476.92"/>
    <n v="95.38"/>
    <x v="2"/>
    <s v="VALIDATED"/>
    <n v="1"/>
    <s v="01.11.80.308.6100.0000"/>
    <n v="476.92"/>
    <s v="11"/>
    <s v="6100"/>
    <n v="9980.030000000001"/>
    <n v="476.92"/>
    <s v="CREDITOR"/>
    <n v="0"/>
    <n v="0"/>
    <n v="0"/>
    <n v="0"/>
    <n v="476.92"/>
  </r>
  <r>
    <n v="61632880"/>
    <s v="N"/>
    <n v="21360910"/>
    <s v="3000015737190010"/>
    <s v="CIVIL"/>
    <d v="2023-06-30T00:00:00"/>
    <d v="2023-07-11T19:00:25"/>
    <m/>
    <d v="2023-07-11T00:00:00"/>
    <n v="1670"/>
    <n v="769"/>
    <s v="61632880"/>
    <s v="61632880"/>
    <m/>
    <m/>
    <n v="22801278"/>
    <m/>
    <m/>
    <m/>
    <s v="SOLFIN"/>
    <s v="SOLFIN"/>
    <s v="CCMS"/>
    <n v="21360910"/>
    <n v="13955.26"/>
    <m/>
    <s v="N"/>
    <n v="5"/>
    <d v="2023-07-11T19:00:39"/>
    <s v="Y"/>
    <s v="Toxicologist"/>
    <s v="Public Law Children"/>
    <s v="Expert Disbursement"/>
    <s v="LEXTOX"/>
    <s v="Y"/>
    <n v="547.75"/>
    <n v="109.55"/>
    <x v="7"/>
    <s v="VALIDATED"/>
    <n v="1"/>
    <s v="01.11.80.308.6300.0000"/>
    <n v="547.75"/>
    <s v="11"/>
    <s v="6300"/>
    <n v="9980.030000000001"/>
    <n v="547.75"/>
    <s v="CREDITOR"/>
    <n v="0"/>
    <n v="0"/>
    <n v="0"/>
    <n v="0"/>
    <n v="547.75"/>
  </r>
  <r>
    <n v="61632880"/>
    <s v="N"/>
    <n v="21360910"/>
    <s v="3000015737190010"/>
    <s v="CIVIL"/>
    <d v="2023-06-30T00:00:00"/>
    <d v="2023-07-11T19:00:25"/>
    <m/>
    <d v="2023-07-11T00:00:00"/>
    <n v="1670"/>
    <n v="769"/>
    <s v="61632880"/>
    <s v="61632880"/>
    <m/>
    <m/>
    <n v="22801278"/>
    <m/>
    <m/>
    <m/>
    <s v="SOLFIN"/>
    <s v="SOLFIN"/>
    <s v="CCMS"/>
    <n v="21360910"/>
    <n v="13955.26"/>
    <m/>
    <s v="N"/>
    <n v="15"/>
    <d v="2023-07-11T19:00:39"/>
    <s v="Y"/>
    <s v="Hearing Unit 2.31 - 5.00 Hours"/>
    <s v="Public Law Children"/>
    <s v="Advocacy"/>
    <s v="M R Bowerman"/>
    <s v="Y"/>
    <n v="476.92"/>
    <n v="95.38"/>
    <x v="7"/>
    <s v="VALIDATED"/>
    <n v="1"/>
    <s v="01.11.80.308.6100.0000"/>
    <n v="476.92"/>
    <s v="11"/>
    <s v="6100"/>
    <n v="9980.030000000001"/>
    <n v="476.92"/>
    <s v="CREDITOR"/>
    <n v="0"/>
    <n v="0"/>
    <n v="0"/>
    <n v="0"/>
    <n v="476.92"/>
  </r>
  <r>
    <n v="61250738"/>
    <s v="N"/>
    <n v="21350002"/>
    <s v="3000015417450005"/>
    <s v="CIVIL"/>
    <d v="2023-06-30T00:00:00"/>
    <d v="2023-07-10T19:01:40"/>
    <m/>
    <d v="2023-07-10T00:00:00"/>
    <n v="1670"/>
    <n v="769"/>
    <s v="61250738"/>
    <s v="61250738"/>
    <m/>
    <m/>
    <n v="22797296"/>
    <m/>
    <m/>
    <m/>
    <s v="SOLFIN"/>
    <s v="SOLFIN"/>
    <s v="CCMS"/>
    <n v="21350002"/>
    <n v="10576.07"/>
    <m/>
    <s v="N"/>
    <n v="10"/>
    <d v="2023-07-10T19:02:09"/>
    <s v="Y"/>
    <s v="Advocates Meeting"/>
    <s v="Public Law Children"/>
    <s v="Advocacy"/>
    <s v="M R Bowerman"/>
    <s v="Y"/>
    <n v="140.99"/>
    <n v="28.2"/>
    <x v="2"/>
    <s v="VALIDATED"/>
    <n v="1"/>
    <s v="01.11.80.308.6100.0000"/>
    <n v="140.99"/>
    <s v="11"/>
    <s v="6100"/>
    <n v="9980.030000000001"/>
    <n v="140.99"/>
    <s v="CREDITOR"/>
    <n v="0"/>
    <n v="0"/>
    <n v="0"/>
    <n v="0"/>
    <n v="140.99"/>
  </r>
  <r>
    <n v="10451306"/>
    <s v="N"/>
    <n v="21360787"/>
    <s v="3000006302560001"/>
    <s v="CIVIL"/>
    <d v="2023-06-22T00:00:00"/>
    <d v="2023-07-11T19:00:25"/>
    <m/>
    <d v="2023-07-11T00:00:00"/>
    <n v="1670"/>
    <n v="769"/>
    <s v="10451306"/>
    <s v="10451306"/>
    <m/>
    <m/>
    <n v="22747154"/>
    <m/>
    <m/>
    <m/>
    <s v="SOLFIN"/>
    <s v="SOLFIN"/>
    <s v="CCMS"/>
    <n v="21360787"/>
    <n v="0"/>
    <m/>
    <s v="N"/>
    <n v="1"/>
    <d v="2023-07-11T19:00:34"/>
    <s v="N"/>
    <s v="NIL BILL"/>
    <s v="Public Law Children"/>
    <s v="Profit Cost"/>
    <s v="L J Howe"/>
    <s v="N"/>
    <n v="0"/>
    <n v="0"/>
    <x v="7"/>
    <s v="VALIDATED"/>
    <n v="1"/>
    <s v="01.11.80.308.6100.0000"/>
    <n v="0"/>
    <s v="11"/>
    <s v="6100"/>
    <n v="9980.030000000001"/>
    <n v="0"/>
    <s v="CREDITOR"/>
    <n v="0"/>
    <n v="0"/>
    <n v="0"/>
    <n v="0"/>
    <n v="0"/>
  </r>
  <r>
    <n v="61250738"/>
    <s v="N"/>
    <n v="21350002"/>
    <s v="3000015417450005"/>
    <s v="CIVIL"/>
    <d v="2023-06-30T00:00:00"/>
    <d v="2023-07-10T19:01:40"/>
    <m/>
    <d v="2023-07-10T00:00:00"/>
    <n v="1670"/>
    <n v="769"/>
    <s v="61250738"/>
    <s v="61250738"/>
    <m/>
    <m/>
    <n v="22797296"/>
    <m/>
    <m/>
    <m/>
    <s v="SOLFIN"/>
    <s v="SOLFIN"/>
    <s v="CCMS"/>
    <n v="21350002"/>
    <n v="10576.07"/>
    <m/>
    <s v="N"/>
    <n v="1"/>
    <d v="2023-07-10T19:02:09"/>
    <s v="Y"/>
    <s v="Final Hearing Court Bundle/Advocate"/>
    <s v="Public Law Children"/>
    <s v="Advocacy"/>
    <s v="M R Bowerman"/>
    <s v="Y"/>
    <n v="318.6"/>
    <n v="63.72"/>
    <x v="2"/>
    <s v="VALIDATED"/>
    <n v="1"/>
    <s v="01.11.80.308.6100.0000"/>
    <n v="318.6"/>
    <s v="11"/>
    <s v="6100"/>
    <n v="9980.030000000001"/>
    <n v="318.6"/>
    <s v="CREDITOR"/>
    <n v="0"/>
    <n v="0"/>
    <n v="0"/>
    <n v="0"/>
    <n v="318.6"/>
  </r>
  <r>
    <n v="43107761"/>
    <s v="N"/>
    <n v="21360571"/>
    <s v="3000011463560004"/>
    <s v="CIVIL"/>
    <d v="2023-06-21T00:00:00"/>
    <d v="2023-07-11T11:50:54"/>
    <m/>
    <d v="2023-07-11T00:00:00"/>
    <n v="1670"/>
    <n v="769"/>
    <s v="43107761"/>
    <s v="43107761"/>
    <m/>
    <m/>
    <n v="22736538"/>
    <m/>
    <m/>
    <m/>
    <s v="SOLFIN"/>
    <s v="SOLFIN"/>
    <s v="CCMS"/>
    <n v="21360571"/>
    <n v="4133.24"/>
    <m/>
    <s v="N"/>
    <n v="4"/>
    <d v="2023-07-11T11:51:10"/>
    <s v="Y"/>
    <s v="Hearing Unit 2.31 - 5.00 Hours"/>
    <s v="Public Law Children"/>
    <s v="Advocacy"/>
    <s v="L J Howe"/>
    <s v="Y"/>
    <n v="476.92"/>
    <n v="95.38"/>
    <x v="7"/>
    <s v="VALIDATED"/>
    <n v="1"/>
    <s v="01.11.80.308.6100.0000"/>
    <n v="476.92"/>
    <s v="11"/>
    <s v="6100"/>
    <n v="9980.030000000001"/>
    <n v="476.92"/>
    <s v="CREDITOR"/>
    <n v="0"/>
    <n v="0"/>
    <n v="0"/>
    <n v="0"/>
    <n v="476.92"/>
  </r>
  <r>
    <n v="61250738"/>
    <s v="N"/>
    <n v="21350002"/>
    <s v="3000015417450005"/>
    <s v="CIVIL"/>
    <d v="2023-06-30T00:00:00"/>
    <d v="2023-07-10T19:01:40"/>
    <m/>
    <d v="2023-07-10T00:00:00"/>
    <n v="1670"/>
    <n v="769"/>
    <s v="61250738"/>
    <s v="61250738"/>
    <m/>
    <m/>
    <n v="22797296"/>
    <m/>
    <m/>
    <m/>
    <s v="SOLFIN"/>
    <s v="SOLFIN"/>
    <s v="CCMS"/>
    <n v="21350002"/>
    <n v="10576.07"/>
    <m/>
    <s v="N"/>
    <n v="4"/>
    <d v="2023-07-10T19:02:09"/>
    <s v="Y"/>
    <s v="Toxicologist"/>
    <s v="Public Law Children"/>
    <s v="Expert Disbursement"/>
    <s v="Atkinson Lewis"/>
    <s v="Y"/>
    <n v="223.75"/>
    <n v="44.75"/>
    <x v="2"/>
    <s v="VALIDATED"/>
    <n v="1"/>
    <s v="01.11.80.308.6300.0000"/>
    <n v="223.75"/>
    <s v="11"/>
    <s v="6300"/>
    <n v="9980.030000000001"/>
    <n v="223.75"/>
    <s v="CREDITOR"/>
    <n v="0"/>
    <n v="0"/>
    <n v="0"/>
    <n v="0"/>
    <n v="223.75"/>
  </r>
  <r>
    <n v="61250738"/>
    <s v="N"/>
    <n v="21350002"/>
    <s v="3000015417450005"/>
    <s v="CIVIL"/>
    <d v="2023-06-30T00:00:00"/>
    <d v="2023-07-10T19:01:40"/>
    <m/>
    <d v="2023-07-10T00:00:00"/>
    <n v="1670"/>
    <n v="769"/>
    <s v="61250738"/>
    <s v="61250738"/>
    <m/>
    <m/>
    <n v="22797296"/>
    <m/>
    <m/>
    <m/>
    <s v="SOLFIN"/>
    <s v="SOLFIN"/>
    <s v="CCMS"/>
    <n v="21350002"/>
    <n v="10576.07"/>
    <m/>
    <s v="N"/>
    <n v="8"/>
    <d v="2023-07-10T19:02:09"/>
    <s v="Y"/>
    <s v="Hearing Unit 2.31 - 5.00 Hours"/>
    <s v="Public Law Children"/>
    <s v="Advocacy"/>
    <s v="M R Bowerman"/>
    <s v="Y"/>
    <n v="596.15"/>
    <n v="119.23"/>
    <x v="2"/>
    <s v="VALIDATED"/>
    <n v="1"/>
    <s v="01.11.80.308.6100.0000"/>
    <n v="596.15"/>
    <s v="11"/>
    <s v="6100"/>
    <n v="9980.030000000001"/>
    <n v="596.15"/>
    <s v="CREDITOR"/>
    <n v="0"/>
    <n v="0"/>
    <n v="0"/>
    <n v="0"/>
    <n v="596.15"/>
  </r>
  <r>
    <n v="61250738"/>
    <s v="N"/>
    <n v="21350002"/>
    <s v="3000015417450005"/>
    <s v="CIVIL"/>
    <d v="2023-06-30T00:00:00"/>
    <d v="2023-07-10T19:01:40"/>
    <m/>
    <d v="2023-07-10T00:00:00"/>
    <n v="1670"/>
    <n v="769"/>
    <s v="61250738"/>
    <s v="61250738"/>
    <m/>
    <m/>
    <n v="22797296"/>
    <m/>
    <m/>
    <m/>
    <s v="SOLFIN"/>
    <s v="SOLFIN"/>
    <s v="CCMS"/>
    <n v="21350002"/>
    <n v="10576.07"/>
    <m/>
    <s v="N"/>
    <n v="15"/>
    <d v="2023-07-10T19:02:09"/>
    <s v="Y"/>
    <s v="Solicitors Fixed Fee"/>
    <s v="Public Law Children"/>
    <s v="Profit Cost"/>
    <s v="M R Bowerman"/>
    <s v="Y"/>
    <n v="2370"/>
    <n v="474"/>
    <x v="2"/>
    <s v="VALIDATED"/>
    <n v="1"/>
    <s v="01.11.80.308.6100.0000"/>
    <n v="2370"/>
    <s v="11"/>
    <s v="6100"/>
    <n v="9980.030000000001"/>
    <n v="2370"/>
    <s v="CREDITOR"/>
    <n v="0"/>
    <n v="0"/>
    <n v="0"/>
    <n v="0"/>
    <n v="2370"/>
  </r>
  <r>
    <n v="61632880"/>
    <s v="N"/>
    <n v="21360910"/>
    <s v="3000015737190010"/>
    <s v="CIVIL"/>
    <d v="2023-06-30T00:00:00"/>
    <d v="2023-07-11T19:00:25"/>
    <m/>
    <d v="2023-07-11T00:00:00"/>
    <n v="1670"/>
    <n v="769"/>
    <s v="61632880"/>
    <s v="61632880"/>
    <m/>
    <m/>
    <n v="22801278"/>
    <m/>
    <m/>
    <m/>
    <s v="SOLFIN"/>
    <s v="SOLFIN"/>
    <s v="CCMS"/>
    <n v="21360910"/>
    <n v="13955.26"/>
    <m/>
    <s v="N"/>
    <n v="4"/>
    <d v="2023-07-11T19:00:39"/>
    <s v="Y"/>
    <s v="Toxicologist"/>
    <s v="Public Law Children"/>
    <s v="Expert Disbursement"/>
    <s v="LEXTOX"/>
    <s v="Y"/>
    <n v="1265.5"/>
    <n v="253.1"/>
    <x v="7"/>
    <s v="VALIDATED"/>
    <n v="1"/>
    <s v="01.11.80.308.6300.0000"/>
    <n v="1265.5"/>
    <s v="11"/>
    <s v="6300"/>
    <n v="9980.030000000001"/>
    <n v="1265.5"/>
    <s v="CREDITOR"/>
    <n v="0"/>
    <n v="0"/>
    <n v="0"/>
    <n v="0"/>
    <n v="1265.5"/>
  </r>
  <r>
    <n v="61930395"/>
    <s v="N"/>
    <n v="21338123"/>
    <s v="3000015983550003"/>
    <s v="CIVIL"/>
    <d v="2023-06-30T00:00:00"/>
    <d v="2023-07-06T19:21:01"/>
    <m/>
    <d v="2023-07-06T00:00:00"/>
    <n v="1670"/>
    <n v="769"/>
    <s v="61930395"/>
    <s v="61930395"/>
    <m/>
    <m/>
    <n v="22800172"/>
    <m/>
    <m/>
    <m/>
    <s v="SOLPOA"/>
    <s v="SOLPOA"/>
    <s v="CCMS"/>
    <n v="21338123"/>
    <n v="486"/>
    <m/>
    <s v="N"/>
    <n v="1"/>
    <d v="2023-07-06T19:21:12"/>
    <s v="N"/>
    <s v="Expert Cost"/>
    <s v="Expert Cost"/>
    <s v="Expert Disbursement"/>
    <s v="Dr Magid"/>
    <s v="N"/>
    <n v="405"/>
    <n v="81"/>
    <x v="4"/>
    <s v="VALIDATED"/>
    <n v="1"/>
    <s v="01.11.80.308.2012.0000"/>
    <n v="405"/>
    <s v="11"/>
    <s v="2012"/>
    <n v="9980.030000000001"/>
    <n v="405"/>
    <s v="CREDITOR"/>
    <n v="405"/>
    <n v="0"/>
    <n v="0"/>
    <n v="0"/>
    <n v="0"/>
  </r>
  <r>
    <n v="61632880"/>
    <s v="N"/>
    <n v="21360910"/>
    <s v="3000015737190010"/>
    <s v="CIVIL"/>
    <d v="2023-06-30T00:00:00"/>
    <d v="2023-07-11T19:00:25"/>
    <m/>
    <d v="2023-07-11T00:00:00"/>
    <n v="1670"/>
    <n v="769"/>
    <s v="61632880"/>
    <s v="61632880"/>
    <m/>
    <m/>
    <n v="22801278"/>
    <m/>
    <m/>
    <m/>
    <s v="SOLFIN"/>
    <s v="SOLFIN"/>
    <s v="CCMS"/>
    <n v="21360910"/>
    <n v="13955.26"/>
    <m/>
    <s v="N"/>
    <n v="7"/>
    <d v="2023-07-11T19:00:39"/>
    <s v="Y"/>
    <s v="Toxicologist"/>
    <s v="Public Law Children"/>
    <s v="Expert Disbursement"/>
    <s v="LEXTOX"/>
    <s v="Y"/>
    <n v="547.75"/>
    <n v="109.55"/>
    <x v="7"/>
    <s v="VALIDATED"/>
    <n v="1"/>
    <s v="01.11.80.308.6300.0000"/>
    <n v="547.75"/>
    <s v="11"/>
    <s v="6300"/>
    <n v="9980.030000000001"/>
    <n v="547.75"/>
    <s v="CREDITOR"/>
    <n v="0"/>
    <n v="0"/>
    <n v="0"/>
    <n v="0"/>
    <n v="547.75"/>
  </r>
  <r>
    <n v="61250738"/>
    <s v="N"/>
    <n v="21350002"/>
    <s v="3000015417450005"/>
    <s v="CIVIL"/>
    <d v="2023-06-30T00:00:00"/>
    <d v="2023-07-10T19:01:40"/>
    <m/>
    <d v="2023-07-10T00:00:00"/>
    <n v="1670"/>
    <n v="769"/>
    <s v="61250738"/>
    <s v="61250738"/>
    <m/>
    <m/>
    <n v="22797296"/>
    <m/>
    <m/>
    <m/>
    <s v="SOLFIN"/>
    <s v="SOLFIN"/>
    <s v="CCMS"/>
    <n v="21350002"/>
    <n v="10576.07"/>
    <m/>
    <s v="N"/>
    <n v="14"/>
    <d v="2023-07-10T19:02:09"/>
    <s v="Y"/>
    <s v="Advocates Meeting"/>
    <s v="Public Law Children"/>
    <s v="Advocacy"/>
    <s v="M R Bowerman"/>
    <s v="Y"/>
    <n v="140.99"/>
    <n v="28.2"/>
    <x v="2"/>
    <s v="VALIDATED"/>
    <n v="1"/>
    <s v="01.11.80.308.6100.0000"/>
    <n v="140.99"/>
    <s v="11"/>
    <s v="6100"/>
    <n v="9980.030000000001"/>
    <n v="140.99"/>
    <s v="CREDITOR"/>
    <n v="0"/>
    <n v="0"/>
    <n v="0"/>
    <n v="0"/>
    <n v="140.99"/>
  </r>
  <r>
    <n v="62138601"/>
    <s v="N"/>
    <n v="21323272"/>
    <s v="3000016160030001"/>
    <s v="CIVIL"/>
    <d v="2023-06-30T00:00:00"/>
    <d v="2023-07-03T19:05:56"/>
    <m/>
    <d v="2023-07-03T00:00:00"/>
    <n v="1670"/>
    <n v="769"/>
    <s v="62138601"/>
    <s v="62138601"/>
    <m/>
    <m/>
    <n v="22795374"/>
    <m/>
    <m/>
    <m/>
    <s v="SOLPOA"/>
    <s v="SOLPOA"/>
    <s v="CCMS"/>
    <n v="21323272"/>
    <n v="2558.4"/>
    <m/>
    <s v="N"/>
    <n v="1"/>
    <d v="2023-07-03T19:05:56"/>
    <s v="N"/>
    <s v="Solicitors Fixed Fee"/>
    <s v="Public Law Children"/>
    <s v="Profit Cost"/>
    <s v="L J Howe"/>
    <s v="N"/>
    <n v="2132"/>
    <n v="426.4"/>
    <x v="3"/>
    <s v="VALIDATED"/>
    <n v="1"/>
    <s v="01.11.80.308.2012.0000"/>
    <n v="2132"/>
    <s v="11"/>
    <s v="2012"/>
    <n v="9980.030000000001"/>
    <n v="2132"/>
    <s v="CREDITOR"/>
    <n v="2132"/>
    <n v="533"/>
    <n v="0"/>
    <n v="0"/>
    <n v="0"/>
  </r>
  <r>
    <n v="62145143"/>
    <s v="N"/>
    <n v="21322943"/>
    <s v="3000016164460003"/>
    <s v="CIVIL"/>
    <d v="2023-06-29T00:00:00"/>
    <d v="2023-07-03T19:05:36"/>
    <m/>
    <d v="2023-07-03T00:00:00"/>
    <n v="1670"/>
    <n v="769"/>
    <s v="62145143"/>
    <s v="62145143"/>
    <m/>
    <m/>
    <n v="22791002"/>
    <m/>
    <m/>
    <m/>
    <s v="SOLPOA"/>
    <s v="SOLPOA"/>
    <s v="CCMS"/>
    <n v="21322943"/>
    <n v="2558.4"/>
    <m/>
    <s v="N"/>
    <n v="1"/>
    <d v="2023-07-03T19:05:41"/>
    <s v="N"/>
    <s v="Solicitors Fixed Fee"/>
    <s v="Public Law Children"/>
    <s v="Profit Cost"/>
    <s v="L J Howe"/>
    <s v="N"/>
    <n v="2132"/>
    <n v="426.4"/>
    <x v="3"/>
    <s v="VALIDATED"/>
    <n v="1"/>
    <s v="01.11.80.308.2012.0000"/>
    <n v="2132"/>
    <s v="11"/>
    <s v="2012"/>
    <n v="9980.030000000001"/>
    <n v="2132"/>
    <s v="CREDITOR"/>
    <n v="2132"/>
    <n v="533"/>
    <n v="0"/>
    <n v="0"/>
    <n v="0"/>
  </r>
  <r>
    <n v="43107761"/>
    <s v="N"/>
    <n v="21360571"/>
    <s v="3000011463560004"/>
    <s v="CIVIL"/>
    <d v="2023-06-21T00:00:00"/>
    <d v="2023-07-11T11:50:54"/>
    <m/>
    <d v="2023-07-11T00:00:00"/>
    <n v="1670"/>
    <n v="769"/>
    <s v="43107761"/>
    <s v="43107761"/>
    <m/>
    <m/>
    <n v="22736538"/>
    <m/>
    <m/>
    <m/>
    <s v="SOLFIN"/>
    <s v="SOLFIN"/>
    <s v="CCMS"/>
    <n v="21360571"/>
    <n v="4133.24"/>
    <m/>
    <s v="N"/>
    <n v="1"/>
    <d v="2023-07-11T11:51:10"/>
    <s v="Y"/>
    <s v="Child psychologist"/>
    <s v="Public Law Children"/>
    <s v="Expert Disbursement"/>
    <s v="Carter Brown Dr McFarlane"/>
    <s v="Y"/>
    <n v="623"/>
    <n v="124.6"/>
    <x v="7"/>
    <s v="VALIDATED"/>
    <n v="1"/>
    <s v="01.11.80.308.6300.0000"/>
    <n v="623"/>
    <s v="11"/>
    <s v="6300"/>
    <n v="9980.030000000001"/>
    <n v="623"/>
    <s v="CREDITOR"/>
    <n v="0"/>
    <n v="0"/>
    <n v="0"/>
    <n v="0"/>
    <n v="623"/>
  </r>
  <r>
    <n v="61632880"/>
    <s v="N"/>
    <n v="21360910"/>
    <s v="3000015737190010"/>
    <s v="CIVIL"/>
    <d v="2023-06-30T00:00:00"/>
    <d v="2023-07-11T19:00:25"/>
    <m/>
    <d v="2023-07-11T00:00:00"/>
    <n v="1670"/>
    <n v="769"/>
    <s v="61632880"/>
    <s v="61632880"/>
    <m/>
    <m/>
    <n v="22801278"/>
    <m/>
    <m/>
    <m/>
    <s v="SOLFIN"/>
    <s v="SOLFIN"/>
    <s v="CCMS"/>
    <n v="21360910"/>
    <n v="13955.26"/>
    <m/>
    <s v="N"/>
    <n v="1"/>
    <d v="2023-07-11T19:00:39"/>
    <s v="Y"/>
    <s v="Interim Hearing Court Bundle/Advoca"/>
    <s v="Public Law Children"/>
    <s v="Advocacy"/>
    <s v="M R Bowerman"/>
    <s v="Y"/>
    <n v="89.09999999999999"/>
    <n v="17.82"/>
    <x v="7"/>
    <s v="VALIDATED"/>
    <n v="1"/>
    <s v="01.11.80.308.6100.0000"/>
    <n v="89.09999999999999"/>
    <s v="11"/>
    <s v="6100"/>
    <n v="9980.030000000001"/>
    <n v="89.09999999999999"/>
    <s v="CREDITOR"/>
    <n v="0"/>
    <n v="0"/>
    <n v="0"/>
    <n v="0"/>
    <n v="89.09999999999999"/>
  </r>
  <r>
    <n v="43107761"/>
    <s v="N"/>
    <n v="21360571"/>
    <s v="3000011463560004"/>
    <s v="CIVIL"/>
    <d v="2023-06-21T00:00:00"/>
    <d v="2023-07-11T11:50:54"/>
    <m/>
    <d v="2023-07-11T00:00:00"/>
    <n v="1670"/>
    <n v="769"/>
    <s v="43107761"/>
    <s v="43107761"/>
    <m/>
    <m/>
    <n v="22736538"/>
    <m/>
    <m/>
    <m/>
    <s v="SOLFIN"/>
    <s v="SOLFIN"/>
    <s v="CCMS"/>
    <n v="21360571"/>
    <n v="4133.24"/>
    <m/>
    <s v="N"/>
    <n v="3"/>
    <d v="2023-07-11T11:51:10"/>
    <s v="Y"/>
    <s v="Hearing Unit 1.01 - 2.30 Hours"/>
    <s v="Public Law Children"/>
    <s v="Advocacy"/>
    <s v="T Rawlings"/>
    <s v="Y"/>
    <n v="238.46"/>
    <n v="47.69"/>
    <x v="7"/>
    <s v="VALIDATED"/>
    <n v="1"/>
    <s v="01.11.80.308.6100.0000"/>
    <n v="238.46"/>
    <s v="11"/>
    <s v="6100"/>
    <n v="9980.030000000001"/>
    <n v="238.46"/>
    <s v="CREDITOR"/>
    <n v="0"/>
    <n v="0"/>
    <n v="0"/>
    <n v="0"/>
    <n v="238.46"/>
  </r>
  <r>
    <n v="61250738"/>
    <s v="N"/>
    <n v="21356806"/>
    <s v="3000015417450002RC"/>
    <s v="CIVIL"/>
    <d v="2023-06-30T00:00:00"/>
    <d v="2023-07-10T19:47:44"/>
    <m/>
    <d v="2023-07-10T00:00:00"/>
    <n v="1670"/>
    <n v="769"/>
    <s v="61250738"/>
    <s v="61250738"/>
    <m/>
    <m/>
    <m/>
    <m/>
    <m/>
    <m/>
    <s v="SOLRECOUP"/>
    <s v="SOLRECOUP"/>
    <s v="POARECOUP"/>
    <n v="21356806"/>
    <n v="-1095.12"/>
    <m/>
    <s v="Y"/>
    <n v="2"/>
    <d v="2023-07-10T19:47:46"/>
    <s v="N"/>
    <m/>
    <m/>
    <s v="Expert Disbursement"/>
    <m/>
    <s v="N"/>
    <n v="0"/>
    <n v="-182.52"/>
    <x v="2"/>
    <s v="VALIDATED"/>
    <n v="1"/>
    <s v="01.11.80.308.2013.0000"/>
    <n v="-182.52"/>
    <s v="11"/>
    <s v="2013"/>
    <n v="9980.030000000001"/>
    <n v="-182.52"/>
    <s v="CREDITOR"/>
    <n v="0"/>
    <n v="0"/>
    <n v="-182.52"/>
    <n v="0"/>
    <n v="0"/>
  </r>
  <r>
    <n v="43107761"/>
    <s v="N"/>
    <n v="21361603"/>
    <s v="3000011463560001RC"/>
    <s v="CIVIL"/>
    <d v="2023-06-21T00:00:00"/>
    <d v="2023-07-11T19:38:00"/>
    <m/>
    <d v="2023-07-11T00:00:00"/>
    <n v="1670"/>
    <n v="769"/>
    <s v="43107761"/>
    <s v="43107761"/>
    <m/>
    <m/>
    <m/>
    <m/>
    <m/>
    <m/>
    <s v="SOLRECOUP"/>
    <s v="SOLRECOUP"/>
    <s v="POARECOUP"/>
    <n v="21361603"/>
    <n v="-2520"/>
    <m/>
    <s v="Y"/>
    <n v="1"/>
    <d v="2023-07-11T19:38:01"/>
    <s v="N"/>
    <m/>
    <m/>
    <s v="Profit Cost"/>
    <m/>
    <s v="N"/>
    <n v="-2100"/>
    <n v="0"/>
    <x v="7"/>
    <s v="VALIDATED"/>
    <n v="1"/>
    <s v="01.11.80.308.2013.0000"/>
    <n v="-2100"/>
    <s v="11"/>
    <s v="2013"/>
    <n v="9980.030000000001"/>
    <n v="-2100"/>
    <s v="CREDITOR"/>
    <n v="0"/>
    <n v="0"/>
    <n v="-2100"/>
    <n v="-525"/>
    <n v="0"/>
  </r>
  <r>
    <n v="43107761"/>
    <s v="N"/>
    <n v="21361604"/>
    <s v="3000011463560002RC"/>
    <s v="CIVIL"/>
    <d v="2023-06-21T00:00:00"/>
    <d v="2023-07-11T19:38:00"/>
    <m/>
    <d v="2023-07-11T00:00:00"/>
    <n v="1670"/>
    <n v="769"/>
    <s v="43107761"/>
    <s v="43107761"/>
    <m/>
    <m/>
    <m/>
    <m/>
    <m/>
    <m/>
    <s v="SOLRECOUP"/>
    <s v="SOLRECOUP"/>
    <s v="POARECOUP"/>
    <n v="21361604"/>
    <n v="-747.6"/>
    <m/>
    <s v="Y"/>
    <n v="2"/>
    <d v="2023-07-11T19:38:01"/>
    <s v="N"/>
    <m/>
    <m/>
    <s v="Expert Disbursement"/>
    <m/>
    <s v="N"/>
    <n v="0"/>
    <n v="-124.6"/>
    <x v="7"/>
    <s v="VALIDATED"/>
    <n v="1"/>
    <s v="01.11.80.308.2013.0000"/>
    <n v="-124.6"/>
    <s v="11"/>
    <s v="2013"/>
    <n v="9980.030000000001"/>
    <n v="-124.6"/>
    <s v="CREDITOR"/>
    <n v="0"/>
    <n v="0"/>
    <n v="-124.6"/>
    <n v="0"/>
    <n v="0"/>
  </r>
  <r>
    <n v="43107761"/>
    <s v="N"/>
    <n v="21361604"/>
    <s v="3000011463560002RC"/>
    <s v="CIVIL"/>
    <d v="2023-06-21T00:00:00"/>
    <d v="2023-07-11T19:38:00"/>
    <m/>
    <d v="2023-07-11T00:00:00"/>
    <n v="1670"/>
    <n v="769"/>
    <s v="43107761"/>
    <s v="43107761"/>
    <m/>
    <m/>
    <m/>
    <m/>
    <m/>
    <m/>
    <s v="SOLRECOUP"/>
    <s v="SOLRECOUP"/>
    <s v="POARECOUP"/>
    <n v="21361604"/>
    <n v="-747.6"/>
    <m/>
    <s v="Y"/>
    <n v="1"/>
    <d v="2023-07-11T19:38:01"/>
    <s v="N"/>
    <m/>
    <m/>
    <s v="Expert Disbursement"/>
    <m/>
    <s v="N"/>
    <n v="-623"/>
    <n v="0"/>
    <x v="7"/>
    <s v="VALIDATED"/>
    <n v="1"/>
    <s v="01.11.80.308.2013.0000"/>
    <n v="-623"/>
    <s v="11"/>
    <s v="2013"/>
    <n v="9980.030000000001"/>
    <n v="-623"/>
    <s v="CREDITOR"/>
    <n v="0"/>
    <n v="0"/>
    <n v="-623"/>
    <n v="0"/>
    <n v="0"/>
  </r>
  <r>
    <n v="61632880"/>
    <s v="N"/>
    <n v="21361605"/>
    <s v="3000015737190006RC"/>
    <s v="CIVIL"/>
    <d v="2023-06-30T00:00:00"/>
    <d v="2023-07-11T19:38:00"/>
    <m/>
    <d v="2023-07-11T00:00:00"/>
    <n v="1670"/>
    <n v="769"/>
    <s v="61632880"/>
    <s v="61632880"/>
    <m/>
    <m/>
    <m/>
    <m/>
    <m/>
    <m/>
    <s v="SOLRECOUP"/>
    <s v="SOLRECOUP"/>
    <s v="POARECOUP"/>
    <n v="21361605"/>
    <n v="-1518"/>
    <m/>
    <s v="Y"/>
    <n v="2"/>
    <d v="2023-07-11T19:38:01"/>
    <s v="N"/>
    <m/>
    <m/>
    <s v="Expert Disbursement"/>
    <m/>
    <s v="N"/>
    <n v="0"/>
    <n v="-253"/>
    <x v="7"/>
    <s v="VALIDATED"/>
    <n v="1"/>
    <s v="01.11.80.308.2013.0000"/>
    <n v="-253"/>
    <s v="11"/>
    <s v="2013"/>
    <n v="9980.030000000001"/>
    <n v="-253"/>
    <s v="CREDITOR"/>
    <n v="0"/>
    <n v="0"/>
    <n v="-253"/>
    <n v="0"/>
    <n v="0"/>
  </r>
  <r>
    <n v="61632880"/>
    <s v="N"/>
    <n v="21361605"/>
    <s v="3000015737190006RC"/>
    <s v="CIVIL"/>
    <d v="2023-06-30T00:00:00"/>
    <d v="2023-07-11T19:38:00"/>
    <m/>
    <d v="2023-07-11T00:00:00"/>
    <n v="1670"/>
    <n v="769"/>
    <s v="61632880"/>
    <s v="61632880"/>
    <m/>
    <m/>
    <m/>
    <m/>
    <m/>
    <m/>
    <s v="SOLRECOUP"/>
    <s v="SOLRECOUP"/>
    <s v="POARECOUP"/>
    <n v="21361605"/>
    <n v="-1518"/>
    <m/>
    <s v="Y"/>
    <n v="1"/>
    <d v="2023-07-11T19:38:01"/>
    <s v="N"/>
    <m/>
    <m/>
    <s v="Expert Disbursement"/>
    <m/>
    <s v="N"/>
    <n v="-1265"/>
    <n v="0"/>
    <x v="7"/>
    <s v="VALIDATED"/>
    <n v="1"/>
    <s v="01.11.80.308.2013.0000"/>
    <n v="-1265"/>
    <s v="11"/>
    <s v="2013"/>
    <n v="9980.030000000001"/>
    <n v="-1265"/>
    <s v="CREDITOR"/>
    <n v="0"/>
    <n v="0"/>
    <n v="-1265"/>
    <n v="0"/>
    <n v="0"/>
  </r>
  <r>
    <n v="61632880"/>
    <s v="N"/>
    <n v="21361606"/>
    <s v="3000015737190007RC"/>
    <s v="CIVIL"/>
    <d v="2023-06-30T00:00:00"/>
    <d v="2023-07-11T19:38:00"/>
    <m/>
    <d v="2023-07-11T00:00:00"/>
    <n v="1670"/>
    <n v="769"/>
    <s v="61632880"/>
    <s v="61632880"/>
    <m/>
    <m/>
    <m/>
    <m/>
    <m/>
    <m/>
    <s v="SOLRECOUP"/>
    <s v="SOLRECOUP"/>
    <s v="POARECOUP"/>
    <n v="21361606"/>
    <n v="-1518.6"/>
    <m/>
    <s v="Y"/>
    <n v="1"/>
    <d v="2023-07-11T19:38:01"/>
    <s v="N"/>
    <m/>
    <m/>
    <s v="Expert Disbursement"/>
    <m/>
    <s v="N"/>
    <n v="-1265.5"/>
    <n v="0"/>
    <x v="7"/>
    <s v="VALIDATED"/>
    <n v="1"/>
    <s v="01.11.80.308.2013.0000"/>
    <n v="-1265.5"/>
    <s v="11"/>
    <s v="2013"/>
    <n v="9980.030000000001"/>
    <n v="-1265.5"/>
    <s v="CREDITOR"/>
    <n v="0"/>
    <n v="0"/>
    <n v="-1265.5"/>
    <n v="0"/>
    <n v="0"/>
  </r>
  <r>
    <n v="61632880"/>
    <s v="N"/>
    <n v="21361606"/>
    <s v="3000015737190007RC"/>
    <s v="CIVIL"/>
    <d v="2023-06-30T00:00:00"/>
    <d v="2023-07-11T19:38:00"/>
    <m/>
    <d v="2023-07-11T00:00:00"/>
    <n v="1670"/>
    <n v="769"/>
    <s v="61632880"/>
    <s v="61632880"/>
    <m/>
    <m/>
    <m/>
    <m/>
    <m/>
    <m/>
    <s v="SOLRECOUP"/>
    <s v="SOLRECOUP"/>
    <s v="POARECOUP"/>
    <n v="21361606"/>
    <n v="-1518.6"/>
    <m/>
    <s v="Y"/>
    <n v="2"/>
    <d v="2023-07-11T19:38:01"/>
    <s v="N"/>
    <m/>
    <m/>
    <s v="Expert Disbursement"/>
    <m/>
    <s v="N"/>
    <n v="0"/>
    <n v="-253.1"/>
    <x v="7"/>
    <s v="VALIDATED"/>
    <n v="1"/>
    <s v="01.11.80.308.2013.0000"/>
    <n v="-253.1"/>
    <s v="11"/>
    <s v="2013"/>
    <n v="9980.030000000001"/>
    <n v="-253.1"/>
    <s v="CREDITOR"/>
    <n v="0"/>
    <n v="0"/>
    <n v="-253.1"/>
    <n v="0"/>
    <n v="0"/>
  </r>
  <r>
    <n v="61632880"/>
    <s v="N"/>
    <n v="21361607"/>
    <s v="3000015737190005RC"/>
    <s v="CIVIL"/>
    <d v="2023-06-30T00:00:00"/>
    <d v="2023-07-11T19:38:00"/>
    <m/>
    <d v="2023-07-11T00:00:00"/>
    <n v="1670"/>
    <n v="769"/>
    <s v="61632880"/>
    <s v="61632880"/>
    <m/>
    <m/>
    <m/>
    <m/>
    <m/>
    <m/>
    <s v="SOLRECOUP"/>
    <s v="SOLRECOUP"/>
    <s v="POARECOUP"/>
    <n v="21361607"/>
    <n v="-1518.6"/>
    <m/>
    <s v="Y"/>
    <n v="1"/>
    <d v="2023-07-11T19:38:01"/>
    <s v="N"/>
    <m/>
    <m/>
    <s v="Expert Disbursement"/>
    <m/>
    <s v="N"/>
    <n v="-1265.5"/>
    <n v="0"/>
    <x v="7"/>
    <s v="VALIDATED"/>
    <n v="1"/>
    <s v="01.11.80.308.2013.0000"/>
    <n v="-1265.5"/>
    <s v="11"/>
    <s v="2013"/>
    <n v="9980.030000000001"/>
    <n v="-1265.5"/>
    <s v="CREDITOR"/>
    <n v="0"/>
    <n v="0"/>
    <n v="-1265.5"/>
    <n v="0"/>
    <n v="0"/>
  </r>
  <r>
    <n v="61632880"/>
    <s v="N"/>
    <n v="21361607"/>
    <s v="3000015737190005RC"/>
    <s v="CIVIL"/>
    <d v="2023-06-30T00:00:00"/>
    <d v="2023-07-11T19:38:00"/>
    <m/>
    <d v="2023-07-11T00:00:00"/>
    <n v="1670"/>
    <n v="769"/>
    <s v="61632880"/>
    <s v="61632880"/>
    <m/>
    <m/>
    <m/>
    <m/>
    <m/>
    <m/>
    <s v="SOLRECOUP"/>
    <s v="SOLRECOUP"/>
    <s v="POARECOUP"/>
    <n v="21361607"/>
    <n v="-1518.6"/>
    <m/>
    <s v="Y"/>
    <n v="2"/>
    <d v="2023-07-11T19:38:01"/>
    <s v="N"/>
    <m/>
    <m/>
    <s v="Expert Disbursement"/>
    <m/>
    <s v="N"/>
    <n v="0"/>
    <n v="-253.1"/>
    <x v="7"/>
    <s v="VALIDATED"/>
    <n v="1"/>
    <s v="01.11.80.308.2013.0000"/>
    <n v="-253.1"/>
    <s v="11"/>
    <s v="2013"/>
    <n v="9980.030000000001"/>
    <n v="-253.1"/>
    <s v="CREDITOR"/>
    <n v="0"/>
    <n v="0"/>
    <n v="-253.1"/>
    <n v="0"/>
    <n v="0"/>
  </r>
  <r>
    <n v="61632880"/>
    <s v="N"/>
    <n v="21361608"/>
    <s v="3000015737190004RC"/>
    <s v="CIVIL"/>
    <d v="2023-06-30T00:00:00"/>
    <d v="2023-07-11T19:38:00"/>
    <m/>
    <d v="2023-07-11T00:00:00"/>
    <n v="1670"/>
    <n v="769"/>
    <s v="61632880"/>
    <s v="61632880"/>
    <m/>
    <m/>
    <m/>
    <m/>
    <m/>
    <m/>
    <s v="SOLRECOUP"/>
    <s v="SOLRECOUP"/>
    <s v="POARECOUP"/>
    <n v="21361608"/>
    <n v="-2947.2"/>
    <m/>
    <s v="Y"/>
    <n v="2"/>
    <d v="2023-07-11T19:38:01"/>
    <s v="N"/>
    <m/>
    <m/>
    <s v="Profit Cost"/>
    <m/>
    <s v="N"/>
    <n v="0"/>
    <n v="-491.2"/>
    <x v="7"/>
    <s v="VALIDATED"/>
    <n v="1"/>
    <s v="01.11.80.308.2013.0000"/>
    <n v="-491.2"/>
    <s v="11"/>
    <s v="2013"/>
    <n v="9980.030000000001"/>
    <n v="-491.2"/>
    <s v="CREDITOR"/>
    <n v="0"/>
    <n v="0"/>
    <n v="-491.2"/>
    <n v="-122.8"/>
    <n v="0"/>
  </r>
  <r>
    <n v="61632880"/>
    <s v="N"/>
    <n v="21361608"/>
    <s v="3000015737190004RC"/>
    <s v="CIVIL"/>
    <d v="2023-06-30T00:00:00"/>
    <d v="2023-07-11T19:38:00"/>
    <m/>
    <d v="2023-07-11T00:00:00"/>
    <n v="1670"/>
    <n v="769"/>
    <s v="61632880"/>
    <s v="61632880"/>
    <m/>
    <m/>
    <m/>
    <m/>
    <m/>
    <m/>
    <s v="SOLRECOUP"/>
    <s v="SOLRECOUP"/>
    <s v="POARECOUP"/>
    <n v="21361608"/>
    <n v="-2947.2"/>
    <m/>
    <s v="Y"/>
    <n v="1"/>
    <d v="2023-07-11T19:38:01"/>
    <s v="N"/>
    <m/>
    <m/>
    <s v="Profit Cost"/>
    <m/>
    <s v="N"/>
    <n v="-2456"/>
    <n v="0"/>
    <x v="7"/>
    <s v="VALIDATED"/>
    <n v="1"/>
    <s v="01.11.80.308.2013.0000"/>
    <n v="-2456"/>
    <s v="11"/>
    <s v="2013"/>
    <n v="9980.030000000001"/>
    <n v="-2456"/>
    <s v="CREDITOR"/>
    <n v="0"/>
    <n v="0"/>
    <n v="-2456"/>
    <n v="-614"/>
    <n v="0"/>
  </r>
  <r>
    <n v="61632880"/>
    <s v="N"/>
    <n v="21361609"/>
    <s v="3000015737190002RC"/>
    <s v="CIVIL"/>
    <d v="2023-06-30T00:00:00"/>
    <d v="2023-07-11T19:38:00"/>
    <m/>
    <d v="2023-07-11T00:00:00"/>
    <n v="1670"/>
    <n v="769"/>
    <s v="61632880"/>
    <s v="61632880"/>
    <m/>
    <m/>
    <m/>
    <m/>
    <m/>
    <m/>
    <s v="SOLRECOUP"/>
    <s v="SOLRECOUP"/>
    <s v="POARECOUP"/>
    <n v="21361609"/>
    <n v="-964.5"/>
    <m/>
    <s v="Y"/>
    <n v="1"/>
    <d v="2023-07-11T19:38:01"/>
    <s v="N"/>
    <m/>
    <m/>
    <s v="Expert Disbursement"/>
    <m/>
    <s v="N"/>
    <n v="-803.75"/>
    <n v="0"/>
    <x v="7"/>
    <s v="VALIDATED"/>
    <n v="1"/>
    <s v="01.11.80.308.2013.0000"/>
    <n v="-803.75"/>
    <s v="11"/>
    <s v="2013"/>
    <n v="9980.030000000001"/>
    <n v="-803.75"/>
    <s v="CREDITOR"/>
    <n v="0"/>
    <n v="0"/>
    <n v="-803.75"/>
    <n v="0"/>
    <n v="0"/>
  </r>
  <r>
    <n v="61632880"/>
    <s v="N"/>
    <n v="21361609"/>
    <s v="3000015737190002RC"/>
    <s v="CIVIL"/>
    <d v="2023-06-30T00:00:00"/>
    <d v="2023-07-11T19:38:00"/>
    <m/>
    <d v="2023-07-11T00:00:00"/>
    <n v="1670"/>
    <n v="769"/>
    <s v="61632880"/>
    <s v="61632880"/>
    <m/>
    <m/>
    <m/>
    <m/>
    <m/>
    <m/>
    <s v="SOLRECOUP"/>
    <s v="SOLRECOUP"/>
    <s v="POARECOUP"/>
    <n v="21361609"/>
    <n v="-964.5"/>
    <m/>
    <s v="Y"/>
    <n v="2"/>
    <d v="2023-07-11T19:38:01"/>
    <s v="N"/>
    <m/>
    <m/>
    <s v="Expert Disbursement"/>
    <m/>
    <s v="N"/>
    <n v="0"/>
    <n v="-160.75"/>
    <x v="7"/>
    <s v="VALIDATED"/>
    <n v="1"/>
    <s v="01.11.80.308.2013.0000"/>
    <n v="-160.75"/>
    <s v="11"/>
    <s v="2013"/>
    <n v="9980.030000000001"/>
    <n v="-160.75"/>
    <s v="CREDITOR"/>
    <n v="0"/>
    <n v="0"/>
    <n v="-160.75"/>
    <n v="0"/>
    <n v="0"/>
  </r>
  <r>
    <n v="61632880"/>
    <s v="N"/>
    <n v="21361610"/>
    <s v="3000015737190003RC"/>
    <s v="CIVIL"/>
    <d v="2023-06-30T00:00:00"/>
    <d v="2023-07-11T19:38:00"/>
    <m/>
    <d v="2023-07-11T00:00:00"/>
    <n v="1670"/>
    <n v="769"/>
    <s v="61632880"/>
    <s v="61632880"/>
    <m/>
    <m/>
    <m/>
    <m/>
    <m/>
    <m/>
    <s v="SOLRECOUP"/>
    <s v="SOLRECOUP"/>
    <s v="POARECOUP"/>
    <n v="21361610"/>
    <n v="-878.7"/>
    <m/>
    <s v="Y"/>
    <n v="1"/>
    <d v="2023-07-11T19:38:01"/>
    <s v="N"/>
    <m/>
    <m/>
    <s v="Expert Disbursement"/>
    <m/>
    <s v="N"/>
    <n v="-732.25"/>
    <n v="0"/>
    <x v="7"/>
    <s v="VALIDATED"/>
    <n v="1"/>
    <s v="01.11.80.308.2013.0000"/>
    <n v="-732.25"/>
    <s v="11"/>
    <s v="2013"/>
    <n v="9980.030000000001"/>
    <n v="-732.25"/>
    <s v="CREDITOR"/>
    <n v="0"/>
    <n v="0"/>
    <n v="-732.25"/>
    <n v="0"/>
    <n v="0"/>
  </r>
  <r>
    <n v="61632880"/>
    <s v="N"/>
    <n v="21361610"/>
    <s v="3000015737190003RC"/>
    <s v="CIVIL"/>
    <d v="2023-06-30T00:00:00"/>
    <d v="2023-07-11T19:38:00"/>
    <m/>
    <d v="2023-07-11T00:00:00"/>
    <n v="1670"/>
    <n v="769"/>
    <s v="61632880"/>
    <s v="61632880"/>
    <m/>
    <m/>
    <m/>
    <m/>
    <m/>
    <m/>
    <s v="SOLRECOUP"/>
    <s v="SOLRECOUP"/>
    <s v="POARECOUP"/>
    <n v="21361610"/>
    <n v="-878.7"/>
    <m/>
    <s v="Y"/>
    <n v="2"/>
    <d v="2023-07-11T19:38:01"/>
    <s v="N"/>
    <m/>
    <m/>
    <s v="Expert Disbursement"/>
    <m/>
    <s v="N"/>
    <n v="0"/>
    <n v="-146.45"/>
    <x v="7"/>
    <s v="VALIDATED"/>
    <n v="1"/>
    <s v="01.11.80.308.2013.0000"/>
    <n v="-146.45"/>
    <s v="11"/>
    <s v="2013"/>
    <n v="9980.030000000001"/>
    <n v="-146.45"/>
    <s v="CREDITOR"/>
    <n v="0"/>
    <n v="0"/>
    <n v="-146.45"/>
    <n v="0"/>
    <n v="0"/>
  </r>
  <r>
    <n v="61632880"/>
    <s v="N"/>
    <n v="21361611"/>
    <s v="3000015737190008RC"/>
    <s v="CIVIL"/>
    <d v="2023-06-30T00:00:00"/>
    <d v="2023-07-11T19:38:00"/>
    <m/>
    <d v="2023-07-11T00:00:00"/>
    <n v="1670"/>
    <n v="769"/>
    <s v="61632880"/>
    <s v="61632880"/>
    <m/>
    <m/>
    <m/>
    <m/>
    <m/>
    <m/>
    <s v="SOLRECOUP"/>
    <s v="SOLRECOUP"/>
    <s v="POARECOUP"/>
    <n v="21361611"/>
    <n v="-657.3"/>
    <m/>
    <s v="Y"/>
    <n v="1"/>
    <d v="2023-07-11T19:38:01"/>
    <s v="N"/>
    <m/>
    <m/>
    <s v="Expert Disbursement"/>
    <m/>
    <s v="N"/>
    <n v="-547.75"/>
    <n v="0"/>
    <x v="7"/>
    <s v="VALIDATED"/>
    <n v="1"/>
    <s v="01.11.80.308.2013.0000"/>
    <n v="-547.75"/>
    <s v="11"/>
    <s v="2013"/>
    <n v="9980.030000000001"/>
    <n v="-547.75"/>
    <s v="CREDITOR"/>
    <n v="0"/>
    <n v="0"/>
    <n v="-547.75"/>
    <n v="0"/>
    <n v="0"/>
  </r>
  <r>
    <n v="61632880"/>
    <s v="N"/>
    <n v="21361611"/>
    <s v="3000015737190008RC"/>
    <s v="CIVIL"/>
    <d v="2023-06-30T00:00:00"/>
    <d v="2023-07-11T19:38:00"/>
    <m/>
    <d v="2023-07-11T00:00:00"/>
    <n v="1670"/>
    <n v="769"/>
    <s v="61632880"/>
    <s v="61632880"/>
    <m/>
    <m/>
    <m/>
    <m/>
    <m/>
    <m/>
    <s v="SOLRECOUP"/>
    <s v="SOLRECOUP"/>
    <s v="POARECOUP"/>
    <n v="21361611"/>
    <n v="-657.3"/>
    <m/>
    <s v="Y"/>
    <n v="2"/>
    <d v="2023-07-11T19:38:01"/>
    <s v="N"/>
    <m/>
    <m/>
    <s v="Expert Disbursement"/>
    <m/>
    <s v="N"/>
    <n v="0"/>
    <n v="-109.55"/>
    <x v="7"/>
    <s v="VALIDATED"/>
    <n v="1"/>
    <s v="01.11.80.308.2013.0000"/>
    <n v="-109.55"/>
    <s v="11"/>
    <s v="2013"/>
    <n v="9980.030000000001"/>
    <n v="-109.55"/>
    <s v="CREDITOR"/>
    <n v="0"/>
    <n v="0"/>
    <n v="-109.55"/>
    <n v="0"/>
    <n v="0"/>
  </r>
  <r>
    <n v="61250738"/>
    <s v="N"/>
    <n v="21356806"/>
    <s v="3000015417450002RC"/>
    <s v="CIVIL"/>
    <d v="2023-06-30T00:00:00"/>
    <d v="2023-07-10T19:47:44"/>
    <m/>
    <d v="2023-07-10T00:00:00"/>
    <n v="1670"/>
    <n v="769"/>
    <s v="61250738"/>
    <s v="61250738"/>
    <m/>
    <m/>
    <m/>
    <m/>
    <m/>
    <m/>
    <s v="SOLRECOUP"/>
    <s v="SOLRECOUP"/>
    <s v="POARECOUP"/>
    <n v="21356806"/>
    <n v="-1095.12"/>
    <m/>
    <s v="Y"/>
    <n v="1"/>
    <d v="2023-07-10T19:47:46"/>
    <s v="N"/>
    <m/>
    <m/>
    <s v="Expert Disbursement"/>
    <m/>
    <s v="N"/>
    <n v="-912.6"/>
    <n v="0"/>
    <x v="2"/>
    <s v="VALIDATED"/>
    <n v="1"/>
    <s v="01.11.80.308.2013.0000"/>
    <n v="-912.6"/>
    <s v="11"/>
    <s v="2013"/>
    <n v="9980.030000000001"/>
    <n v="-912.6"/>
    <s v="CREDITOR"/>
    <n v="0"/>
    <n v="0"/>
    <n v="-912.6"/>
    <n v="0"/>
    <n v="0"/>
  </r>
  <r>
    <n v="61250738"/>
    <s v="N"/>
    <n v="21356807"/>
    <s v="3000015417450001RC"/>
    <s v="CIVIL"/>
    <d v="2023-06-30T00:00:00"/>
    <d v="2023-07-10T19:47:44"/>
    <m/>
    <d v="2023-07-10T00:00:00"/>
    <n v="1670"/>
    <n v="769"/>
    <s v="61250738"/>
    <s v="61250738"/>
    <m/>
    <m/>
    <m/>
    <m/>
    <m/>
    <m/>
    <s v="SOLRECOUP"/>
    <s v="SOLRECOUP"/>
    <s v="POARECOUP"/>
    <n v="21356807"/>
    <n v="-268.5"/>
    <m/>
    <s v="Y"/>
    <n v="2"/>
    <d v="2023-07-10T19:47:46"/>
    <s v="N"/>
    <m/>
    <m/>
    <s v="Expert Disbursement"/>
    <m/>
    <s v="N"/>
    <n v="0"/>
    <n v="-44.75"/>
    <x v="2"/>
    <s v="VALIDATED"/>
    <n v="1"/>
    <s v="01.11.80.308.2013.0000"/>
    <n v="-44.75"/>
    <s v="11"/>
    <s v="2013"/>
    <n v="9980.030000000001"/>
    <n v="-44.75"/>
    <s v="CREDITOR"/>
    <n v="0"/>
    <n v="0"/>
    <n v="-44.75"/>
    <n v="0"/>
    <n v="0"/>
  </r>
  <r>
    <n v="61250738"/>
    <s v="N"/>
    <n v="21356807"/>
    <s v="3000015417450001RC"/>
    <s v="CIVIL"/>
    <d v="2023-06-30T00:00:00"/>
    <d v="2023-07-10T19:47:44"/>
    <m/>
    <d v="2023-07-10T00:00:00"/>
    <n v="1670"/>
    <n v="769"/>
    <s v="61250738"/>
    <s v="61250738"/>
    <m/>
    <m/>
    <m/>
    <m/>
    <m/>
    <m/>
    <s v="SOLRECOUP"/>
    <s v="SOLRECOUP"/>
    <s v="POARECOUP"/>
    <n v="21356807"/>
    <n v="-268.5"/>
    <m/>
    <s v="Y"/>
    <n v="1"/>
    <d v="2023-07-10T19:47:46"/>
    <s v="N"/>
    <m/>
    <m/>
    <s v="Expert Disbursement"/>
    <m/>
    <s v="N"/>
    <n v="-223.75"/>
    <n v="0"/>
    <x v="2"/>
    <s v="VALIDATED"/>
    <n v="1"/>
    <s v="01.11.80.308.2013.0000"/>
    <n v="-223.75"/>
    <s v="11"/>
    <s v="2013"/>
    <n v="9980.030000000001"/>
    <n v="-223.75"/>
    <s v="CREDITOR"/>
    <n v="0"/>
    <n v="0"/>
    <n v="-223.75"/>
    <n v="0"/>
    <n v="0"/>
  </r>
  <r>
    <n v="61250738"/>
    <s v="N"/>
    <n v="21356808"/>
    <s v="3000015417450003RC"/>
    <s v="CIVIL"/>
    <d v="2023-06-30T00:00:00"/>
    <d v="2023-07-10T19:47:44"/>
    <m/>
    <d v="2023-07-10T00:00:00"/>
    <n v="1670"/>
    <n v="769"/>
    <s v="61250738"/>
    <s v="61250738"/>
    <m/>
    <m/>
    <m/>
    <m/>
    <m/>
    <m/>
    <s v="SOLRECOUP"/>
    <s v="SOLRECOUP"/>
    <s v="POARECOUP"/>
    <n v="21356808"/>
    <n v="-2947.2"/>
    <m/>
    <s v="Y"/>
    <n v="1"/>
    <d v="2023-07-10T19:47:46"/>
    <s v="N"/>
    <m/>
    <m/>
    <s v="Profit Cost"/>
    <m/>
    <s v="N"/>
    <n v="-2456"/>
    <n v="0"/>
    <x v="2"/>
    <s v="VALIDATED"/>
    <n v="1"/>
    <s v="01.11.80.308.2013.0000"/>
    <n v="-2456"/>
    <s v="11"/>
    <s v="2013"/>
    <n v="9980.030000000001"/>
    <n v="-2456"/>
    <s v="CREDITOR"/>
    <n v="0"/>
    <n v="0"/>
    <n v="-2456"/>
    <n v="-614"/>
    <n v="0"/>
  </r>
  <r>
    <n v="61179587"/>
    <s v="N"/>
    <n v="21412558"/>
    <s v="3000015358730011RC"/>
    <s v="CIVIL"/>
    <d v="2023-06-28T00:00:00"/>
    <d v="2023-07-21T19:28:22"/>
    <m/>
    <d v="2023-07-21T00:00:00"/>
    <n v="1688"/>
    <n v="19951"/>
    <s v="61179587"/>
    <s v="61179587"/>
    <m/>
    <m/>
    <m/>
    <m/>
    <m/>
    <m/>
    <s v="SOLRECOUP"/>
    <s v="SOLRECOUP"/>
    <s v="POARECOUP"/>
    <n v="21412558"/>
    <n v="-67.2"/>
    <m/>
    <s v="Y"/>
    <n v="2"/>
    <d v="2023-07-21T19:28:25"/>
    <s v="N"/>
    <m/>
    <m/>
    <s v="Expert Disbursement"/>
    <m/>
    <s v="N"/>
    <n v="0"/>
    <n v="-11.2"/>
    <x v="12"/>
    <s v="VALIDATED"/>
    <n v="1"/>
    <s v="01.11.80.308.2013.0000"/>
    <n v="-11.2"/>
    <s v="11"/>
    <s v="2013"/>
    <n v="2350.95"/>
    <n v="-11.2"/>
    <s v="CREDITOR"/>
    <n v="0"/>
    <n v="0"/>
    <n v="-11.2"/>
    <n v="0"/>
    <n v="0"/>
  </r>
  <r>
    <n v="61179587"/>
    <s v="N"/>
    <n v="21412558"/>
    <s v="3000015358730011RC"/>
    <s v="CIVIL"/>
    <d v="2023-06-28T00:00:00"/>
    <d v="2023-07-21T19:28:22"/>
    <m/>
    <d v="2023-07-21T00:00:00"/>
    <n v="1688"/>
    <n v="19951"/>
    <s v="61179587"/>
    <s v="61179587"/>
    <m/>
    <m/>
    <m/>
    <m/>
    <m/>
    <m/>
    <s v="SOLRECOUP"/>
    <s v="SOLRECOUP"/>
    <s v="POARECOUP"/>
    <n v="21412558"/>
    <n v="-67.2"/>
    <m/>
    <s v="Y"/>
    <n v="1"/>
    <d v="2023-07-21T19:28:25"/>
    <s v="N"/>
    <m/>
    <m/>
    <s v="Expert Disbursement"/>
    <m/>
    <s v="N"/>
    <n v="-56"/>
    <n v="0"/>
    <x v="12"/>
    <s v="VALIDATED"/>
    <n v="1"/>
    <s v="01.11.80.308.2013.0000"/>
    <n v="-56"/>
    <s v="11"/>
    <s v="2013"/>
    <n v="2350.95"/>
    <n v="-56"/>
    <s v="CREDITOR"/>
    <n v="0"/>
    <n v="0"/>
    <n v="-56"/>
    <n v="0"/>
    <n v="0"/>
  </r>
  <r>
    <n v="61311588"/>
    <s v="N"/>
    <n v="21321404"/>
    <s v="3000015467880008"/>
    <s v="CIVIL"/>
    <d v="2023-06-29T00:00:00"/>
    <d v="2023-07-03T19:05:17"/>
    <m/>
    <d v="2023-07-03T00:00:00"/>
    <n v="1688"/>
    <n v="19951"/>
    <s v="61311588"/>
    <s v="61311588"/>
    <m/>
    <m/>
    <n v="22787322"/>
    <m/>
    <m/>
    <m/>
    <s v="SOLPOA"/>
    <s v="SOLPOA"/>
    <s v="CCMS"/>
    <n v="21321404"/>
    <n v="32.4"/>
    <m/>
    <s v="N"/>
    <n v="1"/>
    <d v="2023-07-03T19:05:18"/>
    <s v="N"/>
    <s v="Expert Cost"/>
    <s v="Expert Cost"/>
    <s v="Expert Disbursement"/>
    <s v="CF"/>
    <s v="N"/>
    <n v="27"/>
    <n v="5.4"/>
    <x v="3"/>
    <s v="VALIDATED"/>
    <n v="1"/>
    <s v="01.11.80.305.2012.0000"/>
    <n v="27"/>
    <s v="11"/>
    <s v="2012"/>
    <n v="2350.95"/>
    <n v="27"/>
    <s v="CREDITOR"/>
    <n v="27"/>
    <n v="0"/>
    <n v="0"/>
    <n v="0"/>
    <n v="0"/>
  </r>
  <r>
    <n v="60871236"/>
    <s v="N"/>
    <n v="21323585"/>
    <s v="3000015005650055"/>
    <s v="CIVIL"/>
    <d v="2023-06-30T00:00:00"/>
    <d v="2023-07-03T19:05:56"/>
    <m/>
    <d v="2023-07-03T00:00:00"/>
    <n v="1688"/>
    <n v="19951"/>
    <s v="60871236"/>
    <s v="60871236"/>
    <m/>
    <m/>
    <n v="22794902"/>
    <m/>
    <m/>
    <m/>
    <s v="SOLPOA"/>
    <s v="SOLPOA"/>
    <s v="CCMS"/>
    <n v="21323585"/>
    <n v="226.8"/>
    <m/>
    <s v="N"/>
    <n v="1"/>
    <d v="2023-07-03T19:05:57"/>
    <s v="N"/>
    <s v="Expert Cost"/>
    <s v="Expert Cost"/>
    <s v="Expert Disbursement"/>
    <s v="BB"/>
    <s v="N"/>
    <n v="189"/>
    <n v="37.8"/>
    <x v="3"/>
    <s v="VALIDATED"/>
    <n v="1"/>
    <s v="01.11.80.308.2012.0000"/>
    <n v="189"/>
    <s v="11"/>
    <s v="2012"/>
    <n v="2350.95"/>
    <n v="189"/>
    <s v="CREDITOR"/>
    <n v="189"/>
    <n v="0"/>
    <n v="0"/>
    <n v="0"/>
    <n v="0"/>
  </r>
  <r>
    <n v="61179587"/>
    <s v="N"/>
    <n v="21321113"/>
    <s v="3000015358730023"/>
    <s v="CIVIL"/>
    <d v="2023-06-28T00:00:00"/>
    <d v="2023-07-03T19:04:52"/>
    <m/>
    <d v="2023-07-03T00:00:00"/>
    <n v="1688"/>
    <n v="19951"/>
    <s v="61179587"/>
    <s v="61179587"/>
    <m/>
    <m/>
    <n v="22779300"/>
    <m/>
    <m/>
    <m/>
    <s v="SOLPOA"/>
    <s v="SOLPOA"/>
    <s v="CCMS"/>
    <n v="21321113"/>
    <n v="295.08"/>
    <m/>
    <s v="N"/>
    <n v="1"/>
    <d v="2023-07-03T19:04:58"/>
    <s v="N"/>
    <s v="Expert Cost"/>
    <s v="Expert Cost"/>
    <s v="Expert Disbursement"/>
    <s v="BB"/>
    <s v="N"/>
    <n v="245.9"/>
    <n v="49.18"/>
    <x v="3"/>
    <s v="VALIDATED"/>
    <n v="1"/>
    <s v="01.11.80.308.2012.0000"/>
    <n v="245.9"/>
    <s v="11"/>
    <s v="2012"/>
    <n v="2350.95"/>
    <n v="245.9"/>
    <s v="CREDITOR"/>
    <n v="245.9"/>
    <n v="0"/>
    <n v="0"/>
    <n v="0"/>
    <n v="0"/>
  </r>
  <r>
    <n v="62084508"/>
    <s v="N"/>
    <n v="21323490"/>
    <s v="3000016113740004"/>
    <s v="CIVIL"/>
    <d v="2023-06-30T00:00:00"/>
    <d v="2023-07-03T19:05:56"/>
    <m/>
    <d v="2023-07-03T00:00:00"/>
    <n v="1688"/>
    <n v="19951"/>
    <s v="62084508"/>
    <s v="62084508"/>
    <m/>
    <m/>
    <n v="22794944"/>
    <m/>
    <m/>
    <m/>
    <s v="SOLPOA"/>
    <s v="SOLPOA"/>
    <s v="CCMS"/>
    <n v="21323490"/>
    <n v="113.5"/>
    <m/>
    <s v="N"/>
    <n v="1"/>
    <d v="2023-07-03T19:05:57"/>
    <s v="N"/>
    <s v="Expert Cost"/>
    <s v="Expert Cost"/>
    <s v="Expert Disbursement"/>
    <s v="TH"/>
    <s v="N"/>
    <n v="113.5"/>
    <n v="0"/>
    <x v="3"/>
    <s v="VALIDATED"/>
    <n v="1"/>
    <s v="01.11.80.307.2012.0000"/>
    <n v="113.5"/>
    <s v="11"/>
    <s v="2012"/>
    <n v="2350.95"/>
    <n v="113.5"/>
    <s v="CREDITOR"/>
    <n v="113.5"/>
    <n v="0"/>
    <n v="0"/>
    <n v="0"/>
    <n v="0"/>
  </r>
  <r>
    <n v="61743028"/>
    <s v="N"/>
    <n v="21319882"/>
    <s v="3000015823690003"/>
    <s v="CIVIL"/>
    <d v="2023-06-28T00:00:00"/>
    <d v="2023-07-03T19:04:24"/>
    <m/>
    <d v="2023-07-03T00:00:00"/>
    <n v="1688"/>
    <n v="19951"/>
    <s v="61743028"/>
    <s v="61743028"/>
    <m/>
    <m/>
    <n v="22776200"/>
    <m/>
    <m/>
    <m/>
    <s v="SOLPOA"/>
    <s v="SOLPOA"/>
    <s v="CCMS"/>
    <n v="21319882"/>
    <n v="2063.71"/>
    <m/>
    <s v="N"/>
    <n v="1"/>
    <d v="2023-07-03T19:04:28"/>
    <s v="N"/>
    <s v="Solicitors Fixed Fee"/>
    <s v="Public Law Children"/>
    <s v="Profit Cost"/>
    <s v="CF"/>
    <s v="N"/>
    <n v="1719.76"/>
    <n v="343.95"/>
    <x v="3"/>
    <s v="VALIDATED"/>
    <n v="1"/>
    <s v="01.11.80.308.2012.0000"/>
    <n v="1719.76"/>
    <s v="11"/>
    <s v="2012"/>
    <n v="2350.95"/>
    <n v="1719.76"/>
    <s v="CREDITOR"/>
    <n v="1719.76"/>
    <n v="429.94"/>
    <n v="0"/>
    <n v="0"/>
    <n v="0"/>
  </r>
  <r>
    <n v="62360173"/>
    <s v="N"/>
    <n v="21321709"/>
    <s v="3000016341530002"/>
    <s v="CIVIL"/>
    <d v="2023-06-29T00:00:00"/>
    <d v="2023-07-03T19:05:17"/>
    <m/>
    <d v="2023-07-03T00:00:00"/>
    <n v="1688"/>
    <n v="19951"/>
    <s v="62360173"/>
    <s v="62360173"/>
    <m/>
    <m/>
    <n v="22787598"/>
    <m/>
    <m/>
    <m/>
    <s v="SOLPOA"/>
    <s v="SOLPOA"/>
    <s v="CCMS"/>
    <n v="21321709"/>
    <n v="209.6"/>
    <m/>
    <s v="N"/>
    <n v="1"/>
    <d v="2023-07-03T19:05:20"/>
    <s v="N"/>
    <s v="Expert Cost"/>
    <s v="Expert Cost"/>
    <s v="Expert Disbursement"/>
    <s v="TH"/>
    <s v="N"/>
    <n v="174.67"/>
    <n v="34.93"/>
    <x v="3"/>
    <s v="VALIDATED"/>
    <n v="1"/>
    <s v="01.11.80.308.2012.0000"/>
    <n v="174.67"/>
    <s v="11"/>
    <s v="2012"/>
    <n v="2350.95"/>
    <n v="174.67"/>
    <s v="CREDITOR"/>
    <n v="174.67"/>
    <n v="0"/>
    <n v="0"/>
    <n v="0"/>
    <n v="0"/>
  </r>
  <r>
    <n v="61826404"/>
    <s v="N"/>
    <n v="21321416"/>
    <s v="3000015895140006"/>
    <s v="CIVIL"/>
    <d v="2023-06-29T00:00:00"/>
    <d v="2023-07-03T19:05:17"/>
    <m/>
    <d v="2023-07-03T00:00:00"/>
    <n v="1688"/>
    <n v="19951"/>
    <s v="61826404"/>
    <s v="61826404"/>
    <m/>
    <m/>
    <n v="22787250"/>
    <m/>
    <m/>
    <m/>
    <s v="SOLPOA"/>
    <s v="SOLPOA"/>
    <s v="CCMS"/>
    <n v="21321416"/>
    <n v="420.16"/>
    <m/>
    <s v="N"/>
    <n v="1"/>
    <d v="2023-07-03T19:05:18"/>
    <s v="N"/>
    <s v="Expert Cost"/>
    <s v="Expert Cost"/>
    <s v="Expert Disbursement"/>
    <s v="CF"/>
    <s v="N"/>
    <n v="350.13"/>
    <n v="70.03"/>
    <x v="3"/>
    <s v="VALIDATED"/>
    <n v="1"/>
    <s v="01.11.80.308.2012.0000"/>
    <n v="350.13"/>
    <s v="11"/>
    <s v="2012"/>
    <n v="2350.95"/>
    <n v="350.13"/>
    <s v="CREDITOR"/>
    <n v="350.13"/>
    <n v="0"/>
    <n v="0"/>
    <n v="0"/>
    <n v="0"/>
  </r>
  <r>
    <n v="62163635"/>
    <s v="N"/>
    <n v="21338118"/>
    <s v="3000016178990001"/>
    <s v="CIVIL"/>
    <d v="2023-06-30T00:00:00"/>
    <d v="2023-07-06T19:21:01"/>
    <m/>
    <d v="2023-07-06T00:00:00"/>
    <n v="1688"/>
    <n v="19951"/>
    <s v="62163635"/>
    <s v="62163635"/>
    <m/>
    <m/>
    <n v="22801094"/>
    <m/>
    <m/>
    <m/>
    <s v="SOLPOA"/>
    <s v="SOLPOA"/>
    <s v="CCMS"/>
    <n v="21338118"/>
    <n v="936"/>
    <m/>
    <s v="N"/>
    <n v="1"/>
    <d v="2023-07-06T19:21:12"/>
    <s v="N"/>
    <s v="Expert Cost"/>
    <s v="Expert Cost"/>
    <s v="Expert Disbursement"/>
    <s v="TH"/>
    <s v="N"/>
    <n v="780"/>
    <n v="156"/>
    <x v="4"/>
    <s v="VALIDATED"/>
    <n v="1"/>
    <s v="01.11.80.308.2012.0000"/>
    <n v="780"/>
    <s v="11"/>
    <s v="2012"/>
    <n v="2350.95"/>
    <n v="780"/>
    <s v="CREDITOR"/>
    <n v="780"/>
    <n v="0"/>
    <n v="0"/>
    <n v="0"/>
    <n v="0"/>
  </r>
  <r>
    <n v="62364055"/>
    <s v="N"/>
    <n v="21322376"/>
    <s v="3000016344930001"/>
    <s v="CIVIL"/>
    <d v="2023-06-29T00:00:00"/>
    <d v="2023-07-03T19:05:36"/>
    <m/>
    <d v="2023-07-03T00:00:00"/>
    <n v="1688"/>
    <n v="19951"/>
    <s v="62364055"/>
    <s v="62364055"/>
    <m/>
    <m/>
    <n v="22790092"/>
    <m/>
    <m/>
    <m/>
    <s v="SOLPOA"/>
    <s v="SOLPOA"/>
    <s v="CCMS"/>
    <n v="21322376"/>
    <n v="113.22"/>
    <m/>
    <s v="N"/>
    <n v="1"/>
    <d v="2023-07-03T19:05:37"/>
    <s v="N"/>
    <s v="Expert Cost"/>
    <s v="Expert Cost"/>
    <s v="Expert Disbursement"/>
    <s v="CW"/>
    <s v="N"/>
    <n v="94.34999999999999"/>
    <n v="18.87"/>
    <x v="3"/>
    <s v="VALIDATED"/>
    <n v="1"/>
    <s v="01.11.80.308.2012.0000"/>
    <n v="94.34999999999999"/>
    <s v="11"/>
    <s v="2012"/>
    <n v="2350.95"/>
    <n v="94.34999999999999"/>
    <s v="CREDITOR"/>
    <n v="94.34999999999999"/>
    <n v="0"/>
    <n v="0"/>
    <n v="0"/>
    <n v="0"/>
  </r>
  <r>
    <n v="61101994"/>
    <s v="N"/>
    <n v="21338211"/>
    <s v="3000015293310009"/>
    <s v="CIVIL"/>
    <d v="2023-06-30T00:00:00"/>
    <d v="2023-07-06T19:21:01"/>
    <m/>
    <d v="2023-07-06T00:00:00"/>
    <n v="1688"/>
    <n v="19951"/>
    <s v="61101994"/>
    <s v="61101994"/>
    <m/>
    <m/>
    <n v="22801120"/>
    <m/>
    <m/>
    <m/>
    <s v="SOLPOA"/>
    <s v="SOLPOA"/>
    <s v="CCMS"/>
    <n v="21338211"/>
    <n v="129.6"/>
    <m/>
    <s v="N"/>
    <n v="1"/>
    <d v="2023-07-06T19:21:12"/>
    <s v="N"/>
    <s v="Expert Cost"/>
    <s v="Expert Cost"/>
    <s v="Expert Disbursement"/>
    <s v="CF"/>
    <s v="N"/>
    <n v="108"/>
    <n v="21.6"/>
    <x v="4"/>
    <s v="VALIDATED"/>
    <n v="1"/>
    <s v="01.11.80.308.2012.0000"/>
    <n v="108"/>
    <s v="11"/>
    <s v="2012"/>
    <n v="2350.95"/>
    <n v="108"/>
    <s v="CREDITOR"/>
    <n v="108"/>
    <n v="0"/>
    <n v="0"/>
    <n v="0"/>
    <n v="0"/>
  </r>
  <r>
    <n v="61101994"/>
    <s v="N"/>
    <n v="21321477"/>
    <s v="3000015293310008"/>
    <s v="CIVIL"/>
    <d v="2023-06-29T00:00:00"/>
    <d v="2023-07-03T19:05:17"/>
    <m/>
    <d v="2023-07-03T00:00:00"/>
    <n v="1688"/>
    <n v="19951"/>
    <s v="61101994"/>
    <s v="61101994"/>
    <m/>
    <m/>
    <n v="22787124"/>
    <m/>
    <m/>
    <m/>
    <s v="SOLPOA"/>
    <s v="SOLPOA"/>
    <s v="CCMS"/>
    <n v="21321477"/>
    <n v="259.76"/>
    <m/>
    <s v="N"/>
    <n v="1"/>
    <d v="2023-07-03T19:05:19"/>
    <s v="N"/>
    <s v="Expert Cost"/>
    <s v="Expert Cost"/>
    <s v="Expert Disbursement"/>
    <s v="CF"/>
    <s v="N"/>
    <n v="216.47"/>
    <n v="43.29"/>
    <x v="3"/>
    <s v="VALIDATED"/>
    <n v="1"/>
    <s v="01.11.80.308.2012.0000"/>
    <n v="216.47"/>
    <s v="11"/>
    <s v="2012"/>
    <n v="2350.95"/>
    <n v="216.47"/>
    <s v="CREDITOR"/>
    <n v="216.47"/>
    <n v="0"/>
    <n v="0"/>
    <n v="0"/>
    <n v="0"/>
  </r>
  <r>
    <n v="60871236"/>
    <s v="N"/>
    <n v="21323469"/>
    <s v="3000015005650054"/>
    <s v="CIVIL"/>
    <d v="2023-06-30T00:00:00"/>
    <d v="2023-07-03T19:05:56"/>
    <m/>
    <d v="2023-07-03T00:00:00"/>
    <n v="1688"/>
    <n v="19951"/>
    <s v="60871236"/>
    <s v="60871236"/>
    <m/>
    <m/>
    <n v="22794798"/>
    <m/>
    <m/>
    <m/>
    <s v="SOLPOA"/>
    <s v="SOLPOA"/>
    <s v="CCMS"/>
    <n v="21323469"/>
    <n v="178.56"/>
    <m/>
    <s v="N"/>
    <n v="1"/>
    <d v="2023-07-03T19:05:57"/>
    <s v="N"/>
    <s v="Expert Cost"/>
    <s v="Expert Cost"/>
    <s v="Expert Disbursement"/>
    <s v="BB"/>
    <s v="N"/>
    <n v="148.8"/>
    <n v="29.76"/>
    <x v="3"/>
    <s v="VALIDATED"/>
    <n v="1"/>
    <s v="01.11.80.308.2012.0000"/>
    <n v="148.8"/>
    <s v="11"/>
    <s v="2012"/>
    <n v="2350.95"/>
    <n v="148.8"/>
    <s v="CREDITOR"/>
    <n v="148.8"/>
    <n v="0"/>
    <n v="0"/>
    <n v="0"/>
    <n v="0"/>
  </r>
  <r>
    <n v="62198218"/>
    <s v="N"/>
    <n v="21323402"/>
    <s v="3000016206730003"/>
    <s v="CIVIL"/>
    <d v="2023-06-30T00:00:00"/>
    <d v="2023-07-03T19:05:56"/>
    <m/>
    <d v="2023-07-03T00:00:00"/>
    <n v="1688"/>
    <n v="19951"/>
    <s v="62198218"/>
    <s v="62198218"/>
    <m/>
    <m/>
    <n v="22794826"/>
    <m/>
    <m/>
    <m/>
    <s v="SOLPOA"/>
    <s v="SOLPOA"/>
    <s v="CCMS"/>
    <n v="21323402"/>
    <n v="524.16"/>
    <m/>
    <s v="N"/>
    <n v="1"/>
    <d v="2023-07-03T19:05:57"/>
    <s v="N"/>
    <s v="Expert Cost"/>
    <s v="Expert Cost"/>
    <s v="Expert Disbursement"/>
    <s v="CF"/>
    <s v="N"/>
    <n v="436.8"/>
    <n v="87.36"/>
    <x v="3"/>
    <s v="VALIDATED"/>
    <n v="1"/>
    <s v="01.11.80.308.2012.0000"/>
    <n v="436.8"/>
    <s v="11"/>
    <s v="2012"/>
    <n v="2350.95"/>
    <n v="436.8"/>
    <s v="CREDITOR"/>
    <n v="436.8"/>
    <n v="0"/>
    <n v="0"/>
    <n v="0"/>
    <n v="0"/>
  </r>
  <r>
    <n v="61711403"/>
    <s v="N"/>
    <n v="21319923"/>
    <s v="3000015794130003"/>
    <s v="CIVIL"/>
    <d v="2023-06-28T00:00:00"/>
    <d v="2023-07-03T19:04:24"/>
    <m/>
    <d v="2023-07-03T00:00:00"/>
    <n v="1688"/>
    <n v="19951"/>
    <s v="61711403"/>
    <s v="61711403"/>
    <m/>
    <m/>
    <n v="22776920"/>
    <m/>
    <m/>
    <m/>
    <s v="SOLPOA"/>
    <s v="SOLPOA"/>
    <s v="CCMS"/>
    <n v="21319923"/>
    <n v="474.43"/>
    <m/>
    <s v="N"/>
    <n v="1"/>
    <d v="2023-07-03T19:04:28"/>
    <s v="N"/>
    <s v="Level 3 Fixed Fee"/>
    <s v="Private Law Children"/>
    <s v="Profit Cost"/>
    <s v="LB"/>
    <s v="N"/>
    <n v="395.36"/>
    <n v="79.06999999999999"/>
    <x v="3"/>
    <s v="VALIDATED"/>
    <n v="1"/>
    <s v="01.11.80.307.2012.0000"/>
    <n v="395.36"/>
    <s v="11"/>
    <s v="2012"/>
    <n v="2350.95"/>
    <n v="395.36"/>
    <s v="CREDITOR"/>
    <n v="395.36"/>
    <n v="98.84"/>
    <n v="0"/>
    <n v="0"/>
    <n v="0"/>
  </r>
  <r>
    <n v="60153657"/>
    <s v="N"/>
    <n v="21319405"/>
    <s v="3000014477680010"/>
    <s v="CIVIL"/>
    <d v="2023-06-28T00:00:00"/>
    <d v="2023-07-03T19:04:24"/>
    <m/>
    <d v="2023-07-03T00:00:00"/>
    <n v="1688"/>
    <n v="19951"/>
    <s v="60153657"/>
    <s v="60153657"/>
    <m/>
    <m/>
    <n v="22777766"/>
    <m/>
    <m/>
    <m/>
    <s v="SOLPOA"/>
    <s v="SOLPOA"/>
    <s v="CCMS"/>
    <n v="21319405"/>
    <n v="2768.63"/>
    <m/>
    <s v="N"/>
    <n v="1"/>
    <d v="2023-07-03T19:04:25"/>
    <s v="N"/>
    <s v="Solicitors Fixed Fee"/>
    <s v="Public Law Children"/>
    <s v="Profit Cost"/>
    <s v="PJ"/>
    <s v="N"/>
    <n v="2307.19"/>
    <n v="461.44"/>
    <x v="3"/>
    <s v="VALIDATED"/>
    <n v="1"/>
    <s v="01.11.80.308.2012.0000"/>
    <n v="2307.19"/>
    <s v="11"/>
    <s v="2012"/>
    <n v="2350.95"/>
    <n v="2307.19"/>
    <s v="CREDITOR"/>
    <n v="2307.19"/>
    <n v="576.7975"/>
    <n v="0"/>
    <n v="0"/>
    <n v="0"/>
  </r>
  <r>
    <n v="61801103"/>
    <s v="N"/>
    <n v="21337928"/>
    <s v="3000015873800005"/>
    <s v="CIVIL"/>
    <d v="2023-06-30T00:00:00"/>
    <d v="2023-07-06T19:21:01"/>
    <m/>
    <d v="2023-07-06T00:00:00"/>
    <n v="1688"/>
    <n v="19951"/>
    <s v="61801103"/>
    <s v="61801103"/>
    <m/>
    <m/>
    <n v="22801062"/>
    <m/>
    <m/>
    <m/>
    <s v="SOLPOA"/>
    <s v="SOLPOA"/>
    <s v="CCMS"/>
    <n v="21337928"/>
    <n v="74.88"/>
    <m/>
    <s v="N"/>
    <n v="1"/>
    <d v="2023-07-06T19:21:10"/>
    <s v="N"/>
    <s v="Expert Cost"/>
    <s v="Expert Cost"/>
    <s v="Expert Disbursement"/>
    <s v="TH"/>
    <s v="N"/>
    <n v="62.4"/>
    <n v="12.48"/>
    <x v="4"/>
    <s v="VALIDATED"/>
    <n v="1"/>
    <s v="01.11.80.308.2012.0000"/>
    <n v="62.4"/>
    <s v="11"/>
    <s v="2012"/>
    <n v="2350.95"/>
    <n v="62.4"/>
    <s v="CREDITOR"/>
    <n v="62.4"/>
    <n v="0"/>
    <n v="0"/>
    <n v="0"/>
    <n v="0"/>
  </r>
  <r>
    <n v="60374016"/>
    <s v="N"/>
    <n v="21327553"/>
    <s v="3000014666600001"/>
    <s v="CIVIL"/>
    <d v="2023-06-26T00:00:00"/>
    <d v="2023-07-04T19:00:44"/>
    <m/>
    <d v="2023-07-04T00:00:00"/>
    <n v="1688"/>
    <n v="19951"/>
    <s v="60374016"/>
    <s v="60374016"/>
    <m/>
    <m/>
    <n v="22759878"/>
    <m/>
    <m/>
    <m/>
    <s v="SOLFIN"/>
    <s v="SOLFIN"/>
    <s v="CCMS"/>
    <n v="21327553"/>
    <n v="0"/>
    <m/>
    <s v="N"/>
    <n v="1"/>
    <d v="2023-07-04T19:00:50"/>
    <s v="N"/>
    <s v="NIL BILL"/>
    <s v="Prescribed Hourly Rates"/>
    <s v="Profit Cost"/>
    <s v="TH"/>
    <s v="N"/>
    <n v="0"/>
    <n v="0"/>
    <x v="1"/>
    <s v="VALIDATED"/>
    <n v="1"/>
    <s v="01.11.80.307.6100.0000"/>
    <n v="0"/>
    <s v="11"/>
    <s v="6100"/>
    <n v="2350.95"/>
    <n v="0"/>
    <s v="CREDITOR"/>
    <n v="0"/>
    <n v="0"/>
    <n v="0"/>
    <n v="0"/>
    <n v="0"/>
  </r>
  <r>
    <n v="61567402"/>
    <s v="N"/>
    <n v="21319247"/>
    <s v="3000015680430006"/>
    <s v="CIVIL"/>
    <d v="2023-06-28T00:00:00"/>
    <d v="2023-07-03T19:04:24"/>
    <m/>
    <d v="2023-07-03T00:00:00"/>
    <n v="1688"/>
    <n v="19951"/>
    <s v="61567402"/>
    <s v="61567402"/>
    <m/>
    <m/>
    <n v="22776722"/>
    <m/>
    <m/>
    <m/>
    <s v="SOLPOA"/>
    <s v="SOLPOA"/>
    <s v="CCMS"/>
    <n v="21319247"/>
    <n v="1649.96"/>
    <m/>
    <s v="N"/>
    <n v="1"/>
    <d v="2023-07-03T19:04:24"/>
    <s v="N"/>
    <s v="Level 3 Fixed Fee"/>
    <s v="Private Law Children"/>
    <s v="Profit Cost"/>
    <s v="LB"/>
    <s v="N"/>
    <n v="1374.97"/>
    <n v="274.99"/>
    <x v="3"/>
    <s v="VALIDATED"/>
    <n v="1"/>
    <s v="01.11.80.307.2012.0000"/>
    <n v="1374.97"/>
    <s v="11"/>
    <s v="2012"/>
    <n v="2350.95"/>
    <n v="1374.97"/>
    <s v="CREDITOR"/>
    <n v="1374.97"/>
    <n v="343.7425"/>
    <n v="0"/>
    <n v="0"/>
    <n v="0"/>
  </r>
  <r>
    <n v="62103855"/>
    <s v="N"/>
    <n v="21319287"/>
    <s v="3000016130190001"/>
    <s v="CIVIL"/>
    <d v="2023-06-28T00:00:00"/>
    <d v="2023-07-03T19:04:24"/>
    <m/>
    <d v="2023-07-03T00:00:00"/>
    <n v="1688"/>
    <n v="19951"/>
    <s v="62103855"/>
    <s v="62103855"/>
    <m/>
    <m/>
    <n v="22776520"/>
    <m/>
    <m/>
    <m/>
    <s v="SOLPOA"/>
    <s v="SOLPOA"/>
    <s v="CCMS"/>
    <n v="21319287"/>
    <n v="3661.57"/>
    <m/>
    <s v="N"/>
    <n v="1"/>
    <d v="2023-07-03T19:04:25"/>
    <s v="N"/>
    <s v="Profit Cost"/>
    <s v="Profit Cost"/>
    <s v="Profit Cost"/>
    <s v="Trish Hassell"/>
    <s v="N"/>
    <n v="3051.31"/>
    <n v="610.26"/>
    <x v="3"/>
    <s v="VALIDATED"/>
    <n v="1"/>
    <s v="01.11.80.307.2012.0000"/>
    <n v="3051.31"/>
    <s v="11"/>
    <s v="2012"/>
    <n v="2350.95"/>
    <n v="3051.31"/>
    <s v="CREDITOR"/>
    <n v="3051.31"/>
    <n v="762.8275"/>
    <n v="0"/>
    <n v="0"/>
    <n v="0"/>
  </r>
  <r>
    <n v="60604920"/>
    <s v="N"/>
    <n v="21320624"/>
    <s v="3000014866130031"/>
    <s v="CIVIL"/>
    <d v="2023-06-28T00:00:00"/>
    <d v="2023-07-03T19:04:52"/>
    <m/>
    <d v="2023-07-03T00:00:00"/>
    <n v="1688"/>
    <n v="19951"/>
    <s v="60604920"/>
    <s v="60604920"/>
    <m/>
    <m/>
    <n v="22778650"/>
    <m/>
    <m/>
    <m/>
    <s v="SOLPOA"/>
    <s v="SOLPOA"/>
    <s v="CCMS"/>
    <n v="21320624"/>
    <n v="1424.58"/>
    <m/>
    <s v="N"/>
    <n v="1"/>
    <d v="2023-07-03T19:04:55"/>
    <s v="N"/>
    <s v="Solicitors Fixed Fee"/>
    <s v="Public Law Children"/>
    <s v="Profit Cost"/>
    <s v="CF"/>
    <s v="N"/>
    <n v="1187.15"/>
    <n v="237.43"/>
    <x v="3"/>
    <s v="VALIDATED"/>
    <n v="1"/>
    <s v="01.11.80.308.2012.0000"/>
    <n v="1187.15"/>
    <s v="11"/>
    <s v="2012"/>
    <n v="2350.95"/>
    <n v="1187.15"/>
    <s v="CREDITOR"/>
    <n v="1187.15"/>
    <n v="296.7875"/>
    <n v="0"/>
    <n v="0"/>
    <n v="0"/>
  </r>
  <r>
    <n v="60374107"/>
    <s v="N"/>
    <n v="21327568"/>
    <s v="3000014666730001"/>
    <s v="CIVIL"/>
    <d v="2023-06-26T00:00:00"/>
    <d v="2023-07-04T19:00:44"/>
    <m/>
    <d v="2023-07-04T00:00:00"/>
    <n v="1688"/>
    <n v="19951"/>
    <s v="60374107"/>
    <s v="60374107"/>
    <m/>
    <m/>
    <n v="22759912"/>
    <m/>
    <m/>
    <m/>
    <s v="SOLFIN"/>
    <s v="SOLFIN"/>
    <s v="CCMS"/>
    <n v="21327568"/>
    <n v="0"/>
    <m/>
    <s v="N"/>
    <n v="1"/>
    <d v="2023-07-04T19:00:50"/>
    <s v="N"/>
    <s v="NIL BILL"/>
    <s v="Prescribed Hourly Rates"/>
    <s v="Profit Cost"/>
    <s v="TH"/>
    <s v="N"/>
    <n v="0"/>
    <n v="0"/>
    <x v="1"/>
    <s v="VALIDATED"/>
    <n v="1"/>
    <s v="01.11.80.307.6100.0000"/>
    <n v="0"/>
    <s v="11"/>
    <s v="6100"/>
    <n v="2350.95"/>
    <n v="0"/>
    <s v="CREDITOR"/>
    <n v="0"/>
    <n v="0"/>
    <n v="0"/>
    <n v="0"/>
    <n v="0"/>
  </r>
  <r>
    <n v="61101994"/>
    <s v="N"/>
    <n v="21319486"/>
    <s v="3000015293310007"/>
    <s v="CIVIL"/>
    <d v="2023-06-28T00:00:00"/>
    <d v="2023-07-03T19:04:24"/>
    <m/>
    <d v="2023-07-03T00:00:00"/>
    <n v="1688"/>
    <n v="19951"/>
    <s v="61101994"/>
    <s v="61101994"/>
    <m/>
    <m/>
    <n v="22776240"/>
    <m/>
    <m/>
    <m/>
    <s v="SOLPOA"/>
    <s v="SOLPOA"/>
    <s v="CCMS"/>
    <n v="21319486"/>
    <n v="1807.94"/>
    <m/>
    <s v="N"/>
    <n v="1"/>
    <d v="2023-07-03T19:04:26"/>
    <s v="N"/>
    <s v="Solicitors Fixed Fee"/>
    <s v="Public Law Children"/>
    <s v="Profit Cost"/>
    <s v="CF"/>
    <s v="N"/>
    <n v="1506.62"/>
    <n v="301.32"/>
    <x v="3"/>
    <s v="VALIDATED"/>
    <n v="1"/>
    <s v="01.11.80.308.2012.0000"/>
    <n v="1506.62"/>
    <s v="11"/>
    <s v="2012"/>
    <n v="2350.95"/>
    <n v="1506.62"/>
    <s v="CREDITOR"/>
    <n v="1506.62"/>
    <n v="376.655"/>
    <n v="0"/>
    <n v="0"/>
    <n v="0"/>
  </r>
  <r>
    <n v="61179587"/>
    <s v="N"/>
    <n v="21412649"/>
    <s v="3000015358730012RC"/>
    <s v="CIVIL"/>
    <d v="2023-06-28T00:00:00"/>
    <d v="2023-07-21T19:28:22"/>
    <m/>
    <d v="2023-07-21T00:00:00"/>
    <n v="1688"/>
    <n v="19951"/>
    <s v="61179587"/>
    <s v="61179587"/>
    <m/>
    <m/>
    <m/>
    <m/>
    <m/>
    <m/>
    <s v="SOLRECOUP"/>
    <s v="SOLRECOUP"/>
    <s v="POARECOUP"/>
    <n v="21412649"/>
    <n v="-254.16"/>
    <m/>
    <s v="Y"/>
    <n v="1"/>
    <d v="2023-07-21T19:28:25"/>
    <s v="N"/>
    <m/>
    <m/>
    <s v="Expert Disbursement"/>
    <m/>
    <s v="N"/>
    <n v="-211.8"/>
    <n v="0"/>
    <x v="12"/>
    <s v="VALIDATED"/>
    <n v="1"/>
    <s v="01.11.80.308.2013.0000"/>
    <n v="-211.8"/>
    <s v="11"/>
    <s v="2013"/>
    <n v="2350.95"/>
    <n v="-211.8"/>
    <s v="CREDITOR"/>
    <n v="0"/>
    <n v="0"/>
    <n v="-211.8"/>
    <n v="0"/>
    <n v="0"/>
  </r>
  <r>
    <n v="61179587"/>
    <s v="N"/>
    <n v="21412649"/>
    <s v="3000015358730012RC"/>
    <s v="CIVIL"/>
    <d v="2023-06-28T00:00:00"/>
    <d v="2023-07-21T19:28:22"/>
    <m/>
    <d v="2023-07-21T00:00:00"/>
    <n v="1688"/>
    <n v="19951"/>
    <s v="61179587"/>
    <s v="61179587"/>
    <m/>
    <m/>
    <m/>
    <m/>
    <m/>
    <m/>
    <s v="SOLRECOUP"/>
    <s v="SOLRECOUP"/>
    <s v="POARECOUP"/>
    <n v="21412649"/>
    <n v="-254.16"/>
    <m/>
    <s v="Y"/>
    <n v="2"/>
    <d v="2023-07-21T19:28:25"/>
    <s v="N"/>
    <m/>
    <m/>
    <s v="Expert Disbursement"/>
    <m/>
    <s v="N"/>
    <n v="0"/>
    <n v="-42.36"/>
    <x v="12"/>
    <s v="VALIDATED"/>
    <n v="1"/>
    <s v="01.11.80.308.2013.0000"/>
    <n v="-42.36"/>
    <s v="11"/>
    <s v="2013"/>
    <n v="2350.95"/>
    <n v="-42.36"/>
    <s v="CREDITOR"/>
    <n v="0"/>
    <n v="0"/>
    <n v="-42.36"/>
    <n v="0"/>
    <n v="0"/>
  </r>
  <r>
    <n v="61179587"/>
    <s v="N"/>
    <n v="21412658"/>
    <s v="3000015358730013RC"/>
    <s v="CIVIL"/>
    <d v="2023-06-28T00:00:00"/>
    <d v="2023-07-21T19:28:22"/>
    <m/>
    <d v="2023-07-21T00:00:00"/>
    <n v="1688"/>
    <n v="19951"/>
    <s v="61179587"/>
    <s v="61179587"/>
    <m/>
    <m/>
    <m/>
    <m/>
    <m/>
    <m/>
    <s v="SOLRECOUP"/>
    <s v="SOLRECOUP"/>
    <s v="POARECOUP"/>
    <n v="21412658"/>
    <n v="-296.4"/>
    <m/>
    <s v="Y"/>
    <n v="1"/>
    <d v="2023-07-21T19:28:25"/>
    <s v="N"/>
    <m/>
    <m/>
    <s v="Expert Disbursement"/>
    <m/>
    <s v="N"/>
    <n v="-247"/>
    <n v="0"/>
    <x v="12"/>
    <s v="VALIDATED"/>
    <n v="1"/>
    <s v="01.11.80.308.2013.0000"/>
    <n v="-247"/>
    <s v="11"/>
    <s v="2013"/>
    <n v="2350.95"/>
    <n v="-247"/>
    <s v="CREDITOR"/>
    <n v="0"/>
    <n v="0"/>
    <n v="-247"/>
    <n v="0"/>
    <n v="0"/>
  </r>
  <r>
    <n v="61179587"/>
    <s v="N"/>
    <n v="21412658"/>
    <s v="3000015358730013RC"/>
    <s v="CIVIL"/>
    <d v="2023-06-28T00:00:00"/>
    <d v="2023-07-21T19:28:22"/>
    <m/>
    <d v="2023-07-21T00:00:00"/>
    <n v="1688"/>
    <n v="19951"/>
    <s v="61179587"/>
    <s v="61179587"/>
    <m/>
    <m/>
    <m/>
    <m/>
    <m/>
    <m/>
    <s v="SOLRECOUP"/>
    <s v="SOLRECOUP"/>
    <s v="POARECOUP"/>
    <n v="21412658"/>
    <n v="-296.4"/>
    <m/>
    <s v="Y"/>
    <n v="2"/>
    <d v="2023-07-21T19:28:25"/>
    <s v="N"/>
    <m/>
    <m/>
    <s v="Expert Disbursement"/>
    <m/>
    <s v="N"/>
    <n v="0"/>
    <n v="-49.4"/>
    <x v="12"/>
    <s v="VALIDATED"/>
    <n v="1"/>
    <s v="01.11.80.308.2013.0000"/>
    <n v="-49.4"/>
    <s v="11"/>
    <s v="2013"/>
    <n v="2350.95"/>
    <n v="-49.4"/>
    <s v="CREDITOR"/>
    <n v="0"/>
    <n v="0"/>
    <n v="-49.4"/>
    <n v="0"/>
    <n v="0"/>
  </r>
  <r>
    <n v="61179587"/>
    <s v="N"/>
    <n v="21412670"/>
    <s v="3000015358730014RC"/>
    <s v="CIVIL"/>
    <d v="2023-06-28T00:00:00"/>
    <d v="2023-07-21T19:28:22"/>
    <m/>
    <d v="2023-07-21T00:00:00"/>
    <n v="1688"/>
    <n v="19951"/>
    <s v="61179587"/>
    <s v="61179587"/>
    <m/>
    <m/>
    <m/>
    <m/>
    <m/>
    <m/>
    <s v="SOLRECOUP"/>
    <s v="SOLRECOUP"/>
    <s v="POARECOUP"/>
    <n v="21412670"/>
    <n v="-510"/>
    <m/>
    <s v="Y"/>
    <n v="2"/>
    <d v="2023-07-21T19:28:25"/>
    <s v="N"/>
    <m/>
    <m/>
    <s v="Expert Disbursement"/>
    <m/>
    <s v="N"/>
    <n v="0"/>
    <n v="-85"/>
    <x v="12"/>
    <s v="VALIDATED"/>
    <n v="1"/>
    <s v="01.11.80.308.2013.0000"/>
    <n v="-85"/>
    <s v="11"/>
    <s v="2013"/>
    <n v="2350.95"/>
    <n v="-85"/>
    <s v="CREDITOR"/>
    <n v="0"/>
    <n v="0"/>
    <n v="-85"/>
    <n v="0"/>
    <n v="0"/>
  </r>
  <r>
    <n v="61179587"/>
    <s v="N"/>
    <n v="21412670"/>
    <s v="3000015358730014RC"/>
    <s v="CIVIL"/>
    <d v="2023-06-28T00:00:00"/>
    <d v="2023-07-21T19:28:22"/>
    <m/>
    <d v="2023-07-21T00:00:00"/>
    <n v="1688"/>
    <n v="19951"/>
    <s v="61179587"/>
    <s v="61179587"/>
    <m/>
    <m/>
    <m/>
    <m/>
    <m/>
    <m/>
    <s v="SOLRECOUP"/>
    <s v="SOLRECOUP"/>
    <s v="POARECOUP"/>
    <n v="21412670"/>
    <n v="-510"/>
    <m/>
    <s v="Y"/>
    <n v="1"/>
    <d v="2023-07-21T19:28:25"/>
    <s v="N"/>
    <m/>
    <m/>
    <s v="Expert Disbursement"/>
    <m/>
    <s v="N"/>
    <n v="-425"/>
    <n v="0"/>
    <x v="12"/>
    <s v="VALIDATED"/>
    <n v="1"/>
    <s v="01.11.80.308.2013.0000"/>
    <n v="-425"/>
    <s v="11"/>
    <s v="2013"/>
    <n v="2350.95"/>
    <n v="-425"/>
    <s v="CREDITOR"/>
    <n v="0"/>
    <n v="0"/>
    <n v="-425"/>
    <n v="0"/>
    <n v="0"/>
  </r>
  <r>
    <n v="61179587"/>
    <s v="N"/>
    <n v="21412671"/>
    <s v="3000015358730015RC"/>
    <s v="CIVIL"/>
    <d v="2023-06-28T00:00:00"/>
    <d v="2023-07-21T19:28:22"/>
    <m/>
    <d v="2023-07-21T00:00:00"/>
    <n v="1688"/>
    <n v="19951"/>
    <s v="61179587"/>
    <s v="61179587"/>
    <m/>
    <m/>
    <m/>
    <m/>
    <m/>
    <m/>
    <s v="SOLRECOUP"/>
    <s v="SOLRECOUP"/>
    <s v="POARECOUP"/>
    <n v="21412671"/>
    <n v="-26.88"/>
    <m/>
    <s v="Y"/>
    <n v="2"/>
    <d v="2023-07-21T19:28:25"/>
    <s v="N"/>
    <m/>
    <m/>
    <s v="Expert Disbursement"/>
    <m/>
    <s v="N"/>
    <n v="0"/>
    <n v="-4.48"/>
    <x v="12"/>
    <s v="VALIDATED"/>
    <n v="1"/>
    <s v="01.11.80.308.2013.0000"/>
    <n v="-4.48"/>
    <s v="11"/>
    <s v="2013"/>
    <n v="2350.95"/>
    <n v="-4.48"/>
    <s v="CREDITOR"/>
    <n v="0"/>
    <n v="0"/>
    <n v="-4.48"/>
    <n v="0"/>
    <n v="0"/>
  </r>
  <r>
    <n v="61179587"/>
    <s v="N"/>
    <n v="21412671"/>
    <s v="3000015358730015RC"/>
    <s v="CIVIL"/>
    <d v="2023-06-28T00:00:00"/>
    <d v="2023-07-21T19:28:22"/>
    <m/>
    <d v="2023-07-21T00:00:00"/>
    <n v="1688"/>
    <n v="19951"/>
    <s v="61179587"/>
    <s v="61179587"/>
    <m/>
    <m/>
    <m/>
    <m/>
    <m/>
    <m/>
    <s v="SOLRECOUP"/>
    <s v="SOLRECOUP"/>
    <s v="POARECOUP"/>
    <n v="21412671"/>
    <n v="-26.88"/>
    <m/>
    <s v="Y"/>
    <n v="1"/>
    <d v="2023-07-21T19:28:25"/>
    <s v="N"/>
    <m/>
    <m/>
    <s v="Expert Disbursement"/>
    <m/>
    <s v="N"/>
    <n v="-22.4"/>
    <n v="0"/>
    <x v="12"/>
    <s v="VALIDATED"/>
    <n v="1"/>
    <s v="01.11.80.308.2013.0000"/>
    <n v="-22.4"/>
    <s v="11"/>
    <s v="2013"/>
    <n v="2350.95"/>
    <n v="-22.4"/>
    <s v="CREDITOR"/>
    <n v="0"/>
    <n v="0"/>
    <n v="-22.4"/>
    <n v="0"/>
    <n v="0"/>
  </r>
  <r>
    <n v="61179587"/>
    <s v="N"/>
    <n v="21412684"/>
    <s v="3000015358730016RC"/>
    <s v="CIVIL"/>
    <d v="2023-06-28T00:00:00"/>
    <d v="2023-07-21T19:28:22"/>
    <m/>
    <d v="2023-07-21T00:00:00"/>
    <n v="1688"/>
    <n v="19951"/>
    <s v="61179587"/>
    <s v="61179587"/>
    <m/>
    <m/>
    <m/>
    <m/>
    <m/>
    <m/>
    <s v="SOLRECOUP"/>
    <s v="SOLRECOUP"/>
    <s v="POARECOUP"/>
    <n v="21412684"/>
    <n v="-213.66"/>
    <m/>
    <s v="Y"/>
    <n v="1"/>
    <d v="2023-07-21T19:28:25"/>
    <s v="N"/>
    <m/>
    <m/>
    <s v="Expert Disbursement"/>
    <m/>
    <s v="N"/>
    <n v="-178.05"/>
    <n v="0"/>
    <x v="12"/>
    <s v="VALIDATED"/>
    <n v="1"/>
    <s v="01.11.80.308.2013.0000"/>
    <n v="-178.05"/>
    <s v="11"/>
    <s v="2013"/>
    <n v="2350.95"/>
    <n v="-178.05"/>
    <s v="CREDITOR"/>
    <n v="0"/>
    <n v="0"/>
    <n v="-178.05"/>
    <n v="0"/>
    <n v="0"/>
  </r>
  <r>
    <n v="61179587"/>
    <s v="N"/>
    <n v="21412684"/>
    <s v="3000015358730016RC"/>
    <s v="CIVIL"/>
    <d v="2023-06-28T00:00:00"/>
    <d v="2023-07-21T19:28:22"/>
    <m/>
    <d v="2023-07-21T00:00:00"/>
    <n v="1688"/>
    <n v="19951"/>
    <s v="61179587"/>
    <s v="61179587"/>
    <m/>
    <m/>
    <m/>
    <m/>
    <m/>
    <m/>
    <s v="SOLRECOUP"/>
    <s v="SOLRECOUP"/>
    <s v="POARECOUP"/>
    <n v="21412684"/>
    <n v="-213.66"/>
    <m/>
    <s v="Y"/>
    <n v="2"/>
    <d v="2023-07-21T19:28:25"/>
    <s v="N"/>
    <m/>
    <m/>
    <s v="Expert Disbursement"/>
    <m/>
    <s v="N"/>
    <n v="0"/>
    <n v="-35.61"/>
    <x v="12"/>
    <s v="VALIDATED"/>
    <n v="1"/>
    <s v="01.11.80.308.2013.0000"/>
    <n v="-35.61"/>
    <s v="11"/>
    <s v="2013"/>
    <n v="2350.95"/>
    <n v="-35.61"/>
    <s v="CREDITOR"/>
    <n v="0"/>
    <n v="0"/>
    <n v="-35.61"/>
    <n v="0"/>
    <n v="0"/>
  </r>
  <r>
    <n v="61179587"/>
    <s v="N"/>
    <n v="21412686"/>
    <s v="3000015358730017RC"/>
    <s v="CIVIL"/>
    <d v="2023-06-28T00:00:00"/>
    <d v="2023-07-21T19:28:22"/>
    <m/>
    <d v="2023-07-21T00:00:00"/>
    <n v="1688"/>
    <n v="19951"/>
    <s v="61179587"/>
    <s v="61179587"/>
    <m/>
    <m/>
    <m/>
    <m/>
    <m/>
    <m/>
    <s v="SOLRECOUP"/>
    <s v="SOLRECOUP"/>
    <s v="POARECOUP"/>
    <n v="21412686"/>
    <n v="-1373.53"/>
    <m/>
    <s v="Y"/>
    <n v="2"/>
    <d v="2023-07-21T19:28:25"/>
    <s v="N"/>
    <m/>
    <m/>
    <s v="Profit Cost"/>
    <m/>
    <s v="N"/>
    <n v="0"/>
    <n v="-228.92"/>
    <x v="12"/>
    <s v="VALIDATED"/>
    <n v="1"/>
    <s v="01.11.80.308.2013.0000"/>
    <n v="-228.92"/>
    <s v="11"/>
    <s v="2013"/>
    <n v="2350.95"/>
    <n v="-228.92"/>
    <s v="CREDITOR"/>
    <n v="0"/>
    <n v="0"/>
    <n v="-228.92"/>
    <n v="-57.23"/>
    <n v="0"/>
  </r>
  <r>
    <n v="61179587"/>
    <s v="N"/>
    <n v="21412686"/>
    <s v="3000015358730017RC"/>
    <s v="CIVIL"/>
    <d v="2023-06-28T00:00:00"/>
    <d v="2023-07-21T19:28:22"/>
    <m/>
    <d v="2023-07-21T00:00:00"/>
    <n v="1688"/>
    <n v="19951"/>
    <s v="61179587"/>
    <s v="61179587"/>
    <m/>
    <m/>
    <m/>
    <m/>
    <m/>
    <m/>
    <s v="SOLRECOUP"/>
    <s v="SOLRECOUP"/>
    <s v="POARECOUP"/>
    <n v="21412686"/>
    <n v="-1373.53"/>
    <m/>
    <s v="Y"/>
    <n v="1"/>
    <d v="2023-07-21T19:28:25"/>
    <s v="N"/>
    <m/>
    <m/>
    <s v="Profit Cost"/>
    <m/>
    <s v="N"/>
    <n v="-1144.61"/>
    <n v="0"/>
    <x v="12"/>
    <s v="VALIDATED"/>
    <n v="1"/>
    <s v="01.11.80.308.2013.0000"/>
    <n v="-1144.61"/>
    <s v="11"/>
    <s v="2013"/>
    <n v="2350.95"/>
    <n v="-1144.61"/>
    <s v="CREDITOR"/>
    <n v="0"/>
    <n v="0"/>
    <n v="-1144.61"/>
    <n v="-286.1525"/>
    <n v="0"/>
  </r>
  <r>
    <n v="61179587"/>
    <s v="N"/>
    <n v="21412761"/>
    <s v="3000015358730018RC"/>
    <s v="CIVIL"/>
    <d v="2023-06-28T00:00:00"/>
    <d v="2023-07-21T19:28:22"/>
    <m/>
    <d v="2023-07-21T00:00:00"/>
    <n v="1688"/>
    <n v="19951"/>
    <s v="61179587"/>
    <s v="61179587"/>
    <m/>
    <m/>
    <m/>
    <m/>
    <m/>
    <m/>
    <s v="SOLRECOUP"/>
    <s v="SOLRECOUP"/>
    <s v="POARECOUP"/>
    <n v="21412761"/>
    <n v="-1052.4"/>
    <m/>
    <s v="Y"/>
    <n v="2"/>
    <d v="2023-07-21T19:28:25"/>
    <s v="N"/>
    <m/>
    <m/>
    <s v="Expert Disbursement"/>
    <m/>
    <s v="N"/>
    <n v="0"/>
    <n v="-175.4"/>
    <x v="12"/>
    <s v="VALIDATED"/>
    <n v="1"/>
    <s v="01.11.80.308.2013.0000"/>
    <n v="-175.4"/>
    <s v="11"/>
    <s v="2013"/>
    <n v="2350.95"/>
    <n v="-175.4"/>
    <s v="CREDITOR"/>
    <n v="0"/>
    <n v="0"/>
    <n v="-175.4"/>
    <n v="0"/>
    <n v="0"/>
  </r>
  <r>
    <n v="61179587"/>
    <s v="N"/>
    <n v="21412761"/>
    <s v="3000015358730018RC"/>
    <s v="CIVIL"/>
    <d v="2023-06-28T00:00:00"/>
    <d v="2023-07-21T19:28:22"/>
    <m/>
    <d v="2023-07-21T00:00:00"/>
    <n v="1688"/>
    <n v="19951"/>
    <s v="61179587"/>
    <s v="61179587"/>
    <m/>
    <m/>
    <m/>
    <m/>
    <m/>
    <m/>
    <s v="SOLRECOUP"/>
    <s v="SOLRECOUP"/>
    <s v="POARECOUP"/>
    <n v="21412761"/>
    <n v="-1052.4"/>
    <m/>
    <s v="Y"/>
    <n v="1"/>
    <d v="2023-07-21T19:28:25"/>
    <s v="N"/>
    <m/>
    <m/>
    <s v="Expert Disbursement"/>
    <m/>
    <s v="N"/>
    <n v="-877"/>
    <n v="0"/>
    <x v="12"/>
    <s v="VALIDATED"/>
    <n v="1"/>
    <s v="01.11.80.308.2013.0000"/>
    <n v="-877"/>
    <s v="11"/>
    <s v="2013"/>
    <n v="2350.95"/>
    <n v="-877"/>
    <s v="CREDITOR"/>
    <n v="0"/>
    <n v="0"/>
    <n v="-877"/>
    <n v="0"/>
    <n v="0"/>
  </r>
  <r>
    <n v="61179587"/>
    <s v="N"/>
    <n v="21412768"/>
    <s v="3000015358730020RC"/>
    <s v="CIVIL"/>
    <d v="2023-06-28T00:00:00"/>
    <d v="2023-07-21T19:28:22"/>
    <m/>
    <d v="2023-07-21T00:00:00"/>
    <n v="1688"/>
    <n v="19951"/>
    <s v="61179587"/>
    <s v="61179587"/>
    <m/>
    <m/>
    <m/>
    <m/>
    <m/>
    <m/>
    <s v="SOLRECOUP"/>
    <s v="SOLRECOUP"/>
    <s v="POARECOUP"/>
    <n v="21412768"/>
    <n v="-259.2"/>
    <m/>
    <s v="Y"/>
    <n v="1"/>
    <d v="2023-07-21T19:28:25"/>
    <s v="N"/>
    <m/>
    <m/>
    <s v="Expert Disbursement"/>
    <m/>
    <s v="N"/>
    <n v="-216"/>
    <n v="0"/>
    <x v="12"/>
    <s v="VALIDATED"/>
    <n v="1"/>
    <s v="01.11.80.308.2013.0000"/>
    <n v="-216"/>
    <s v="11"/>
    <s v="2013"/>
    <n v="2350.95"/>
    <n v="-216"/>
    <s v="CREDITOR"/>
    <n v="0"/>
    <n v="0"/>
    <n v="-216"/>
    <n v="0"/>
    <n v="0"/>
  </r>
  <r>
    <n v="61179587"/>
    <s v="N"/>
    <n v="21412768"/>
    <s v="3000015358730020RC"/>
    <s v="CIVIL"/>
    <d v="2023-06-28T00:00:00"/>
    <d v="2023-07-21T19:28:22"/>
    <m/>
    <d v="2023-07-21T00:00:00"/>
    <n v="1688"/>
    <n v="19951"/>
    <s v="61179587"/>
    <s v="61179587"/>
    <m/>
    <m/>
    <m/>
    <m/>
    <m/>
    <m/>
    <s v="SOLRECOUP"/>
    <s v="SOLRECOUP"/>
    <s v="POARECOUP"/>
    <n v="21412768"/>
    <n v="-259.2"/>
    <m/>
    <s v="Y"/>
    <n v="2"/>
    <d v="2023-07-21T19:28:25"/>
    <s v="N"/>
    <m/>
    <m/>
    <s v="Expert Disbursement"/>
    <m/>
    <s v="N"/>
    <n v="0"/>
    <n v="-43.2"/>
    <x v="12"/>
    <s v="VALIDATED"/>
    <n v="1"/>
    <s v="01.11.80.308.2013.0000"/>
    <n v="-43.2"/>
    <s v="11"/>
    <s v="2013"/>
    <n v="2350.95"/>
    <n v="-43.2"/>
    <s v="CREDITOR"/>
    <n v="0"/>
    <n v="0"/>
    <n v="-43.2"/>
    <n v="0"/>
    <n v="0"/>
  </r>
  <r>
    <n v="61179587"/>
    <s v="N"/>
    <n v="21412769"/>
    <s v="3000015358730019RC"/>
    <s v="CIVIL"/>
    <d v="2023-06-28T00:00:00"/>
    <d v="2023-07-21T19:28:22"/>
    <m/>
    <d v="2023-07-21T00:00:00"/>
    <n v="1688"/>
    <n v="19951"/>
    <s v="61179587"/>
    <s v="61179587"/>
    <m/>
    <m/>
    <m/>
    <m/>
    <m/>
    <m/>
    <s v="SOLRECOUP"/>
    <s v="SOLRECOUP"/>
    <s v="POARECOUP"/>
    <n v="21412769"/>
    <n v="-228.78"/>
    <m/>
    <s v="Y"/>
    <n v="2"/>
    <d v="2023-07-21T19:28:25"/>
    <s v="N"/>
    <m/>
    <m/>
    <s v="Expert Disbursement"/>
    <m/>
    <s v="N"/>
    <n v="0"/>
    <n v="-38.13"/>
    <x v="12"/>
    <s v="VALIDATED"/>
    <n v="1"/>
    <s v="01.11.80.308.2013.0000"/>
    <n v="-38.13"/>
    <s v="11"/>
    <s v="2013"/>
    <n v="2350.95"/>
    <n v="-38.13"/>
    <s v="CREDITOR"/>
    <n v="0"/>
    <n v="0"/>
    <n v="-38.13"/>
    <n v="0"/>
    <n v="0"/>
  </r>
  <r>
    <n v="61179587"/>
    <s v="N"/>
    <n v="21412769"/>
    <s v="3000015358730019RC"/>
    <s v="CIVIL"/>
    <d v="2023-06-28T00:00:00"/>
    <d v="2023-07-21T19:28:22"/>
    <m/>
    <d v="2023-07-21T00:00:00"/>
    <n v="1688"/>
    <n v="19951"/>
    <s v="61179587"/>
    <s v="61179587"/>
    <m/>
    <m/>
    <m/>
    <m/>
    <m/>
    <m/>
    <s v="SOLRECOUP"/>
    <s v="SOLRECOUP"/>
    <s v="POARECOUP"/>
    <n v="21412769"/>
    <n v="-228.78"/>
    <m/>
    <s v="Y"/>
    <n v="1"/>
    <d v="2023-07-21T19:28:25"/>
    <s v="N"/>
    <m/>
    <m/>
    <s v="Expert Disbursement"/>
    <m/>
    <s v="N"/>
    <n v="-190.65"/>
    <n v="0"/>
    <x v="12"/>
    <s v="VALIDATED"/>
    <n v="1"/>
    <s v="01.11.80.308.2013.0000"/>
    <n v="-190.65"/>
    <s v="11"/>
    <s v="2013"/>
    <n v="2350.95"/>
    <n v="-190.65"/>
    <s v="CREDITOR"/>
    <n v="0"/>
    <n v="0"/>
    <n v="-190.65"/>
    <n v="0"/>
    <n v="0"/>
  </r>
  <r>
    <n v="61179587"/>
    <s v="N"/>
    <n v="21412770"/>
    <s v="3000015358730021RC"/>
    <s v="CIVIL"/>
    <d v="2023-06-28T00:00:00"/>
    <d v="2023-07-21T19:28:22"/>
    <m/>
    <d v="2023-07-21T00:00:00"/>
    <n v="1688"/>
    <n v="19951"/>
    <s v="61179587"/>
    <s v="61179587"/>
    <m/>
    <m/>
    <m/>
    <m/>
    <m/>
    <m/>
    <s v="SOLRECOUP"/>
    <s v="SOLRECOUP"/>
    <s v="POARECOUP"/>
    <n v="21412770"/>
    <n v="-345.42"/>
    <m/>
    <s v="Y"/>
    <n v="1"/>
    <d v="2023-07-21T19:28:25"/>
    <s v="N"/>
    <m/>
    <m/>
    <s v="Expert Disbursement"/>
    <m/>
    <s v="N"/>
    <n v="-345.42"/>
    <n v="0"/>
    <x v="12"/>
    <s v="VALIDATED"/>
    <n v="1"/>
    <s v="01.11.80.308.2013.0000"/>
    <n v="-345.42"/>
    <s v="11"/>
    <s v="2013"/>
    <n v="2350.95"/>
    <n v="-345.42"/>
    <s v="CREDITOR"/>
    <n v="0"/>
    <n v="0"/>
    <n v="-345.42"/>
    <n v="0"/>
    <n v="0"/>
  </r>
  <r>
    <n v="61179587"/>
    <s v="N"/>
    <n v="21412770"/>
    <s v="3000015358730021RC"/>
    <s v="CIVIL"/>
    <d v="2023-06-28T00:00:00"/>
    <d v="2023-07-21T19:28:22"/>
    <m/>
    <d v="2023-07-21T00:00:00"/>
    <n v="1688"/>
    <n v="19951"/>
    <s v="61179587"/>
    <s v="61179587"/>
    <m/>
    <m/>
    <m/>
    <m/>
    <m/>
    <m/>
    <s v="SOLRECOUP"/>
    <s v="SOLRECOUP"/>
    <s v="POARECOUP"/>
    <n v="21412770"/>
    <n v="-345.42"/>
    <m/>
    <s v="Y"/>
    <n v="2"/>
    <d v="2023-07-21T19:28:25"/>
    <s v="N"/>
    <m/>
    <m/>
    <s v="Expert Disbursement"/>
    <m/>
    <s v="N"/>
    <n v="0"/>
    <n v="0"/>
    <x v="12"/>
    <s v="VALIDATED"/>
    <n v="1"/>
    <s v="01.11.80.000.0000.0000"/>
    <n v="0"/>
    <s v="11"/>
    <s v="0000"/>
    <n v="2350.95"/>
    <n v="0"/>
    <s v="CREDITOR"/>
    <n v="0"/>
    <n v="0"/>
    <n v="0"/>
    <n v="0"/>
    <n v="0"/>
  </r>
  <r>
    <n v="61179587"/>
    <s v="N"/>
    <n v="21412801"/>
    <s v="3000015358730022RC"/>
    <s v="CIVIL"/>
    <d v="2023-06-28T00:00:00"/>
    <d v="2023-07-21T19:28:22"/>
    <m/>
    <d v="2023-07-21T00:00:00"/>
    <n v="1688"/>
    <n v="19951"/>
    <s v="61179587"/>
    <s v="61179587"/>
    <m/>
    <m/>
    <m/>
    <m/>
    <m/>
    <m/>
    <s v="SOLRECOUP"/>
    <s v="SOLRECOUP"/>
    <s v="POARECOUP"/>
    <n v="21412801"/>
    <n v="-2442.56"/>
    <m/>
    <s v="Y"/>
    <n v="1"/>
    <d v="2023-07-21T19:28:26"/>
    <s v="N"/>
    <m/>
    <m/>
    <s v="Profit Cost"/>
    <m/>
    <s v="N"/>
    <n v="-2035.47"/>
    <n v="0"/>
    <x v="12"/>
    <s v="VALIDATED"/>
    <n v="1"/>
    <s v="01.11.80.308.2013.0000"/>
    <n v="-2035.47"/>
    <s v="11"/>
    <s v="2013"/>
    <n v="2350.95"/>
    <n v="-2035.47"/>
    <s v="CREDITOR"/>
    <n v="0"/>
    <n v="0"/>
    <n v="-2035.47"/>
    <n v="-508.8675"/>
    <n v="0"/>
  </r>
  <r>
    <n v="61179587"/>
    <s v="N"/>
    <n v="21412801"/>
    <s v="3000015358730022RC"/>
    <s v="CIVIL"/>
    <d v="2023-06-28T00:00:00"/>
    <d v="2023-07-21T19:28:22"/>
    <m/>
    <d v="2023-07-21T00:00:00"/>
    <n v="1688"/>
    <n v="19951"/>
    <s v="61179587"/>
    <s v="61179587"/>
    <m/>
    <m/>
    <m/>
    <m/>
    <m/>
    <m/>
    <s v="SOLRECOUP"/>
    <s v="SOLRECOUP"/>
    <s v="POARECOUP"/>
    <n v="21412801"/>
    <n v="-2442.56"/>
    <m/>
    <s v="Y"/>
    <n v="2"/>
    <d v="2023-07-21T19:28:26"/>
    <s v="N"/>
    <m/>
    <m/>
    <s v="Profit Cost"/>
    <m/>
    <s v="N"/>
    <n v="0"/>
    <n v="-407.09"/>
    <x v="12"/>
    <s v="VALIDATED"/>
    <n v="1"/>
    <s v="01.11.80.308.2013.0000"/>
    <n v="-407.09"/>
    <s v="11"/>
    <s v="2013"/>
    <n v="2350.95"/>
    <n v="-407.09"/>
    <s v="CREDITOR"/>
    <n v="0"/>
    <n v="0"/>
    <n v="-407.09"/>
    <n v="-101.7725"/>
    <n v="0"/>
  </r>
  <r>
    <n v="61179587"/>
    <s v="N"/>
    <n v="21412807"/>
    <s v="3000015358730023RC"/>
    <s v="CIVIL"/>
    <d v="2023-06-28T00:00:00"/>
    <d v="2023-07-21T19:28:22"/>
    <m/>
    <d v="2023-07-21T00:00:00"/>
    <n v="1688"/>
    <n v="19951"/>
    <s v="61179587"/>
    <s v="61179587"/>
    <m/>
    <m/>
    <m/>
    <m/>
    <m/>
    <m/>
    <s v="SOLRECOUP"/>
    <s v="SOLRECOUP"/>
    <s v="POARECOUP"/>
    <n v="21412807"/>
    <n v="-295.08"/>
    <m/>
    <s v="Y"/>
    <n v="1"/>
    <d v="2023-07-21T19:28:26"/>
    <s v="N"/>
    <m/>
    <m/>
    <s v="Expert Disbursement"/>
    <m/>
    <s v="N"/>
    <n v="-245.9"/>
    <n v="0"/>
    <x v="12"/>
    <s v="VALIDATED"/>
    <n v="1"/>
    <s v="01.11.80.308.2013.0000"/>
    <n v="-245.9"/>
    <s v="11"/>
    <s v="2013"/>
    <n v="2350.95"/>
    <n v="-245.9"/>
    <s v="CREDITOR"/>
    <n v="0"/>
    <n v="0"/>
    <n v="-245.9"/>
    <n v="0"/>
    <n v="0"/>
  </r>
  <r>
    <n v="61179587"/>
    <s v="N"/>
    <n v="21412807"/>
    <s v="3000015358730023RC"/>
    <s v="CIVIL"/>
    <d v="2023-06-28T00:00:00"/>
    <d v="2023-07-21T19:28:22"/>
    <m/>
    <d v="2023-07-21T00:00:00"/>
    <n v="1688"/>
    <n v="19951"/>
    <s v="61179587"/>
    <s v="61179587"/>
    <m/>
    <m/>
    <m/>
    <m/>
    <m/>
    <m/>
    <s v="SOLRECOUP"/>
    <s v="SOLRECOUP"/>
    <s v="POARECOUP"/>
    <n v="21412807"/>
    <n v="-295.08"/>
    <m/>
    <s v="Y"/>
    <n v="2"/>
    <d v="2023-07-21T19:28:26"/>
    <s v="N"/>
    <m/>
    <m/>
    <s v="Expert Disbursement"/>
    <m/>
    <s v="N"/>
    <n v="0"/>
    <n v="-49.18"/>
    <x v="12"/>
    <s v="VALIDATED"/>
    <n v="1"/>
    <s v="01.11.80.308.2013.0000"/>
    <n v="-49.18"/>
    <s v="11"/>
    <s v="2013"/>
    <n v="2350.95"/>
    <n v="-49.18"/>
    <s v="CREDITOR"/>
    <n v="0"/>
    <n v="0"/>
    <n v="-49.18"/>
    <n v="0"/>
    <n v="0"/>
  </r>
  <r>
    <n v="61179587"/>
    <s v="N"/>
    <n v="21412824"/>
    <s v="3000015358730002RC"/>
    <s v="CIVIL"/>
    <d v="2023-06-28T00:00:00"/>
    <d v="2023-07-21T19:28:38"/>
    <m/>
    <d v="2023-07-21T00:00:00"/>
    <n v="1688"/>
    <n v="19951"/>
    <s v="61179587"/>
    <s v="61179587"/>
    <m/>
    <m/>
    <m/>
    <m/>
    <m/>
    <m/>
    <s v="SOLRECOUP"/>
    <s v="SOLRECOUP"/>
    <s v="POARECOUP"/>
    <n v="21412824"/>
    <n v="-136.68"/>
    <m/>
    <s v="Y"/>
    <n v="2"/>
    <d v="2023-07-21T19:28:38"/>
    <s v="N"/>
    <m/>
    <m/>
    <s v="Expert Disbursement"/>
    <m/>
    <s v="N"/>
    <n v="0"/>
    <n v="-22.78"/>
    <x v="12"/>
    <s v="VALIDATED"/>
    <n v="1"/>
    <s v="01.11.80.308.2013.0000"/>
    <n v="-22.78"/>
    <s v="11"/>
    <s v="2013"/>
    <n v="2350.95"/>
    <n v="-22.78"/>
    <s v="CREDITOR"/>
    <n v="0"/>
    <n v="0"/>
    <n v="-22.78"/>
    <n v="0"/>
    <n v="0"/>
  </r>
  <r>
    <n v="61179587"/>
    <s v="N"/>
    <n v="21412824"/>
    <s v="3000015358730002RC"/>
    <s v="CIVIL"/>
    <d v="2023-06-28T00:00:00"/>
    <d v="2023-07-21T19:28:38"/>
    <m/>
    <d v="2023-07-21T00:00:00"/>
    <n v="1688"/>
    <n v="19951"/>
    <s v="61179587"/>
    <s v="61179587"/>
    <m/>
    <m/>
    <m/>
    <m/>
    <m/>
    <m/>
    <s v="SOLRECOUP"/>
    <s v="SOLRECOUP"/>
    <s v="POARECOUP"/>
    <n v="21412824"/>
    <n v="-136.68"/>
    <m/>
    <s v="Y"/>
    <n v="1"/>
    <d v="2023-07-21T19:28:38"/>
    <s v="N"/>
    <m/>
    <m/>
    <s v="Expert Disbursement"/>
    <m/>
    <s v="N"/>
    <n v="-113.9"/>
    <n v="0"/>
    <x v="12"/>
    <s v="VALIDATED"/>
    <n v="1"/>
    <s v="01.11.80.308.2013.0000"/>
    <n v="-113.9"/>
    <s v="11"/>
    <s v="2013"/>
    <n v="2350.95"/>
    <n v="-113.9"/>
    <s v="CREDITOR"/>
    <n v="0"/>
    <n v="0"/>
    <n v="-113.9"/>
    <n v="0"/>
    <n v="0"/>
  </r>
  <r>
    <n v="61179587"/>
    <s v="N"/>
    <n v="21412831"/>
    <s v="3000015358730003RC"/>
    <s v="CIVIL"/>
    <d v="2023-06-28T00:00:00"/>
    <d v="2023-07-21T19:28:38"/>
    <m/>
    <d v="2023-07-21T00:00:00"/>
    <n v="1688"/>
    <n v="19951"/>
    <s v="61179587"/>
    <s v="61179587"/>
    <m/>
    <m/>
    <m/>
    <m/>
    <m/>
    <m/>
    <s v="SOLRECOUP"/>
    <s v="SOLRECOUP"/>
    <s v="POARECOUP"/>
    <n v="21412831"/>
    <n v="-225"/>
    <m/>
    <s v="Y"/>
    <n v="1"/>
    <d v="2023-07-21T19:28:38"/>
    <s v="N"/>
    <m/>
    <m/>
    <s v="Expert Disbursement"/>
    <m/>
    <s v="N"/>
    <n v="-225"/>
    <n v="0"/>
    <x v="12"/>
    <s v="VALIDATED"/>
    <n v="1"/>
    <s v="01.11.80.308.2013.0000"/>
    <n v="-225"/>
    <s v="11"/>
    <s v="2013"/>
    <n v="2350.95"/>
    <n v="-225"/>
    <s v="CREDITOR"/>
    <n v="0"/>
    <n v="0"/>
    <n v="-225"/>
    <n v="0"/>
    <n v="0"/>
  </r>
  <r>
    <n v="61179587"/>
    <s v="N"/>
    <n v="21412831"/>
    <s v="3000015358730003RC"/>
    <s v="CIVIL"/>
    <d v="2023-06-28T00:00:00"/>
    <d v="2023-07-21T19:28:38"/>
    <m/>
    <d v="2023-07-21T00:00:00"/>
    <n v="1688"/>
    <n v="19951"/>
    <s v="61179587"/>
    <s v="61179587"/>
    <m/>
    <m/>
    <m/>
    <m/>
    <m/>
    <m/>
    <s v="SOLRECOUP"/>
    <s v="SOLRECOUP"/>
    <s v="POARECOUP"/>
    <n v="21412831"/>
    <n v="-225"/>
    <m/>
    <s v="Y"/>
    <n v="2"/>
    <d v="2023-07-21T19:28:38"/>
    <s v="N"/>
    <m/>
    <m/>
    <s v="Expert Disbursement"/>
    <m/>
    <s v="N"/>
    <n v="0"/>
    <n v="0"/>
    <x v="12"/>
    <s v="VALIDATED"/>
    <n v="1"/>
    <s v="01.11.80.000.0000.0000"/>
    <n v="0"/>
    <s v="11"/>
    <s v="0000"/>
    <n v="2350.95"/>
    <n v="0"/>
    <s v="CREDITOR"/>
    <n v="0"/>
    <n v="0"/>
    <n v="0"/>
    <n v="0"/>
    <n v="0"/>
  </r>
  <r>
    <n v="61179587"/>
    <s v="N"/>
    <n v="21412489"/>
    <s v="3000015358730005RC"/>
    <s v="CIVIL"/>
    <d v="2023-06-28T00:00:00"/>
    <d v="2023-07-21T19:28:22"/>
    <m/>
    <d v="2023-07-21T00:00:00"/>
    <n v="1688"/>
    <n v="19951"/>
    <s v="61179587"/>
    <s v="61179587"/>
    <m/>
    <m/>
    <m/>
    <m/>
    <m/>
    <m/>
    <s v="SOLRECOUP"/>
    <s v="SOLRECOUP"/>
    <s v="POARECOUP"/>
    <n v="21412489"/>
    <n v="-439.58"/>
    <m/>
    <s v="Y"/>
    <n v="2"/>
    <d v="2023-07-21T19:28:24"/>
    <s v="N"/>
    <m/>
    <m/>
    <s v="Expert Disbursement"/>
    <m/>
    <s v="N"/>
    <n v="0"/>
    <n v="-73.26000000000001"/>
    <x v="12"/>
    <s v="VALIDATED"/>
    <n v="1"/>
    <s v="01.11.80.308.2013.0000"/>
    <n v="-73.26000000000001"/>
    <s v="11"/>
    <s v="2013"/>
    <n v="2350.95"/>
    <n v="-73.26000000000001"/>
    <s v="CREDITOR"/>
    <n v="0"/>
    <n v="0"/>
    <n v="-73.26000000000001"/>
    <n v="0"/>
    <n v="0"/>
  </r>
  <r>
    <n v="61179587"/>
    <s v="N"/>
    <n v="21412489"/>
    <s v="3000015358730005RC"/>
    <s v="CIVIL"/>
    <d v="2023-06-28T00:00:00"/>
    <d v="2023-07-21T19:28:22"/>
    <m/>
    <d v="2023-07-21T00:00:00"/>
    <n v="1688"/>
    <n v="19951"/>
    <s v="61179587"/>
    <s v="61179587"/>
    <m/>
    <m/>
    <m/>
    <m/>
    <m/>
    <m/>
    <s v="SOLRECOUP"/>
    <s v="SOLRECOUP"/>
    <s v="POARECOUP"/>
    <n v="21412489"/>
    <n v="-439.58"/>
    <m/>
    <s v="Y"/>
    <n v="1"/>
    <d v="2023-07-21T19:28:24"/>
    <s v="N"/>
    <m/>
    <m/>
    <s v="Expert Disbursement"/>
    <m/>
    <s v="N"/>
    <n v="-366.32"/>
    <n v="0"/>
    <x v="12"/>
    <s v="VALIDATED"/>
    <n v="1"/>
    <s v="01.11.80.308.2013.0000"/>
    <n v="-366.32"/>
    <s v="11"/>
    <s v="2013"/>
    <n v="2350.95"/>
    <n v="-366.32"/>
    <s v="CREDITOR"/>
    <n v="0"/>
    <n v="0"/>
    <n v="-366.32"/>
    <n v="0"/>
    <n v="0"/>
  </r>
  <r>
    <n v="61179587"/>
    <s v="N"/>
    <n v="21412491"/>
    <s v="3000015358730004RC"/>
    <s v="CIVIL"/>
    <d v="2023-06-28T00:00:00"/>
    <d v="2023-07-21T19:28:22"/>
    <m/>
    <d v="2023-07-21T00:00:00"/>
    <n v="1688"/>
    <n v="19951"/>
    <s v="61179587"/>
    <s v="61179587"/>
    <m/>
    <m/>
    <m/>
    <m/>
    <m/>
    <m/>
    <s v="SOLRECOUP"/>
    <s v="SOLRECOUP"/>
    <s v="POARECOUP"/>
    <n v="21412491"/>
    <n v="-100.8"/>
    <m/>
    <s v="Y"/>
    <n v="2"/>
    <d v="2023-07-21T19:28:24"/>
    <s v="N"/>
    <m/>
    <m/>
    <s v="Expert Disbursement"/>
    <m/>
    <s v="N"/>
    <n v="0"/>
    <n v="-16.8"/>
    <x v="12"/>
    <s v="VALIDATED"/>
    <n v="1"/>
    <s v="01.11.80.308.2013.0000"/>
    <n v="-16.8"/>
    <s v="11"/>
    <s v="2013"/>
    <n v="2350.95"/>
    <n v="-16.8"/>
    <s v="CREDITOR"/>
    <n v="0"/>
    <n v="0"/>
    <n v="-16.8"/>
    <n v="0"/>
    <n v="0"/>
  </r>
  <r>
    <n v="61179587"/>
    <s v="N"/>
    <n v="21412491"/>
    <s v="3000015358730004RC"/>
    <s v="CIVIL"/>
    <d v="2023-06-28T00:00:00"/>
    <d v="2023-07-21T19:28:22"/>
    <m/>
    <d v="2023-07-21T00:00:00"/>
    <n v="1688"/>
    <n v="19951"/>
    <s v="61179587"/>
    <s v="61179587"/>
    <m/>
    <m/>
    <m/>
    <m/>
    <m/>
    <m/>
    <s v="SOLRECOUP"/>
    <s v="SOLRECOUP"/>
    <s v="POARECOUP"/>
    <n v="21412491"/>
    <n v="-100.8"/>
    <m/>
    <s v="Y"/>
    <n v="1"/>
    <d v="2023-07-21T19:28:24"/>
    <s v="N"/>
    <m/>
    <m/>
    <s v="Expert Disbursement"/>
    <m/>
    <s v="N"/>
    <n v="-84"/>
    <n v="0"/>
    <x v="12"/>
    <s v="VALIDATED"/>
    <n v="1"/>
    <s v="01.11.80.308.2013.0000"/>
    <n v="-84"/>
    <s v="11"/>
    <s v="2013"/>
    <n v="2350.95"/>
    <n v="-84"/>
    <s v="CREDITOR"/>
    <n v="0"/>
    <n v="0"/>
    <n v="-84"/>
    <n v="0"/>
    <n v="0"/>
  </r>
  <r>
    <n v="61179587"/>
    <s v="N"/>
    <n v="21412494"/>
    <s v="3000015358730006RC"/>
    <s v="CIVIL"/>
    <d v="2023-06-28T00:00:00"/>
    <d v="2023-07-21T19:28:22"/>
    <m/>
    <d v="2023-07-21T00:00:00"/>
    <n v="1688"/>
    <n v="19951"/>
    <s v="61179587"/>
    <s v="61179587"/>
    <m/>
    <m/>
    <m/>
    <m/>
    <m/>
    <m/>
    <s v="SOLRECOUP"/>
    <s v="SOLRECOUP"/>
    <s v="POARECOUP"/>
    <n v="21412494"/>
    <n v="-100.8"/>
    <m/>
    <s v="Y"/>
    <n v="2"/>
    <d v="2023-07-21T19:28:24"/>
    <s v="N"/>
    <m/>
    <m/>
    <s v="Expert Disbursement"/>
    <m/>
    <s v="N"/>
    <n v="0"/>
    <n v="-16.8"/>
    <x v="12"/>
    <s v="VALIDATED"/>
    <n v="1"/>
    <s v="01.11.80.308.2013.0000"/>
    <n v="-16.8"/>
    <s v="11"/>
    <s v="2013"/>
    <n v="2350.95"/>
    <n v="-16.8"/>
    <s v="CREDITOR"/>
    <n v="0"/>
    <n v="0"/>
    <n v="-16.8"/>
    <n v="0"/>
    <n v="0"/>
  </r>
  <r>
    <n v="61179587"/>
    <s v="N"/>
    <n v="21412494"/>
    <s v="3000015358730006RC"/>
    <s v="CIVIL"/>
    <d v="2023-06-28T00:00:00"/>
    <d v="2023-07-21T19:28:22"/>
    <m/>
    <d v="2023-07-21T00:00:00"/>
    <n v="1688"/>
    <n v="19951"/>
    <s v="61179587"/>
    <s v="61179587"/>
    <m/>
    <m/>
    <m/>
    <m/>
    <m/>
    <m/>
    <s v="SOLRECOUP"/>
    <s v="SOLRECOUP"/>
    <s v="POARECOUP"/>
    <n v="21412494"/>
    <n v="-100.8"/>
    <m/>
    <s v="Y"/>
    <n v="1"/>
    <d v="2023-07-21T19:28:24"/>
    <s v="N"/>
    <m/>
    <m/>
    <s v="Expert Disbursement"/>
    <m/>
    <s v="N"/>
    <n v="-84"/>
    <n v="0"/>
    <x v="12"/>
    <s v="VALIDATED"/>
    <n v="1"/>
    <s v="01.11.80.308.2013.0000"/>
    <n v="-84"/>
    <s v="11"/>
    <s v="2013"/>
    <n v="2350.95"/>
    <n v="-84"/>
    <s v="CREDITOR"/>
    <n v="0"/>
    <n v="0"/>
    <n v="-84"/>
    <n v="0"/>
    <n v="0"/>
  </r>
  <r>
    <n v="61179587"/>
    <s v="N"/>
    <n v="21412495"/>
    <s v="3000015358730007RC"/>
    <s v="CIVIL"/>
    <d v="2023-06-28T00:00:00"/>
    <d v="2023-07-21T19:28:22"/>
    <m/>
    <d v="2023-07-21T00:00:00"/>
    <n v="1688"/>
    <n v="19951"/>
    <s v="61179587"/>
    <s v="61179587"/>
    <m/>
    <m/>
    <m/>
    <m/>
    <m/>
    <m/>
    <s v="SOLRECOUP"/>
    <s v="SOLRECOUP"/>
    <s v="POARECOUP"/>
    <n v="21412495"/>
    <n v="-344.34"/>
    <m/>
    <s v="Y"/>
    <n v="1"/>
    <d v="2023-07-21T19:28:24"/>
    <s v="N"/>
    <m/>
    <m/>
    <s v="Expert Disbursement"/>
    <m/>
    <s v="N"/>
    <n v="-286.95"/>
    <n v="0"/>
    <x v="12"/>
    <s v="VALIDATED"/>
    <n v="1"/>
    <s v="01.11.80.308.2013.0000"/>
    <n v="-286.95"/>
    <s v="11"/>
    <s v="2013"/>
    <n v="2350.95"/>
    <n v="-286.95"/>
    <s v="CREDITOR"/>
    <n v="0"/>
    <n v="0"/>
    <n v="-286.95"/>
    <n v="0"/>
    <n v="0"/>
  </r>
  <r>
    <n v="61179587"/>
    <s v="N"/>
    <n v="21412495"/>
    <s v="3000015358730007RC"/>
    <s v="CIVIL"/>
    <d v="2023-06-28T00:00:00"/>
    <d v="2023-07-21T19:28:22"/>
    <m/>
    <d v="2023-07-21T00:00:00"/>
    <n v="1688"/>
    <n v="19951"/>
    <s v="61179587"/>
    <s v="61179587"/>
    <m/>
    <m/>
    <m/>
    <m/>
    <m/>
    <m/>
    <s v="SOLRECOUP"/>
    <s v="SOLRECOUP"/>
    <s v="POARECOUP"/>
    <n v="21412495"/>
    <n v="-344.34"/>
    <m/>
    <s v="Y"/>
    <n v="2"/>
    <d v="2023-07-21T19:28:24"/>
    <s v="N"/>
    <m/>
    <m/>
    <s v="Expert Disbursement"/>
    <m/>
    <s v="N"/>
    <n v="0"/>
    <n v="-57.39"/>
    <x v="12"/>
    <s v="VALIDATED"/>
    <n v="1"/>
    <s v="01.11.80.308.2013.0000"/>
    <n v="-57.39"/>
    <s v="11"/>
    <s v="2013"/>
    <n v="2350.95"/>
    <n v="-57.39"/>
    <s v="CREDITOR"/>
    <n v="0"/>
    <n v="0"/>
    <n v="-57.39"/>
    <n v="0"/>
    <n v="0"/>
  </r>
  <r>
    <n v="61179587"/>
    <s v="N"/>
    <n v="21412496"/>
    <s v="3000015358730008RC"/>
    <s v="CIVIL"/>
    <d v="2023-06-28T00:00:00"/>
    <d v="2023-07-21T19:28:22"/>
    <m/>
    <d v="2023-07-21T00:00:00"/>
    <n v="1688"/>
    <n v="19951"/>
    <s v="61179587"/>
    <s v="61179587"/>
    <m/>
    <m/>
    <m/>
    <m/>
    <m/>
    <m/>
    <s v="SOLRECOUP"/>
    <s v="SOLRECOUP"/>
    <s v="POARECOUP"/>
    <n v="21412496"/>
    <n v="-334.08"/>
    <m/>
    <s v="Y"/>
    <n v="1"/>
    <d v="2023-07-21T19:28:24"/>
    <s v="N"/>
    <m/>
    <m/>
    <s v="Expert Disbursement"/>
    <m/>
    <s v="N"/>
    <n v="-278.4"/>
    <n v="0"/>
    <x v="12"/>
    <s v="VALIDATED"/>
    <n v="1"/>
    <s v="01.11.80.308.2013.0000"/>
    <n v="-278.4"/>
    <s v="11"/>
    <s v="2013"/>
    <n v="2350.95"/>
    <n v="-278.4"/>
    <s v="CREDITOR"/>
    <n v="0"/>
    <n v="0"/>
    <n v="-278.4"/>
    <n v="0"/>
    <n v="0"/>
  </r>
  <r>
    <n v="61179587"/>
    <s v="N"/>
    <n v="21412496"/>
    <s v="3000015358730008RC"/>
    <s v="CIVIL"/>
    <d v="2023-06-28T00:00:00"/>
    <d v="2023-07-21T19:28:22"/>
    <m/>
    <d v="2023-07-21T00:00:00"/>
    <n v="1688"/>
    <n v="19951"/>
    <s v="61179587"/>
    <s v="61179587"/>
    <m/>
    <m/>
    <m/>
    <m/>
    <m/>
    <m/>
    <s v="SOLRECOUP"/>
    <s v="SOLRECOUP"/>
    <s v="POARECOUP"/>
    <n v="21412496"/>
    <n v="-334.08"/>
    <m/>
    <s v="Y"/>
    <n v="2"/>
    <d v="2023-07-21T19:28:24"/>
    <s v="N"/>
    <m/>
    <m/>
    <s v="Expert Disbursement"/>
    <m/>
    <s v="N"/>
    <n v="0"/>
    <n v="-55.68"/>
    <x v="12"/>
    <s v="VALIDATED"/>
    <n v="1"/>
    <s v="01.11.80.308.2013.0000"/>
    <n v="-55.68"/>
    <s v="11"/>
    <s v="2013"/>
    <n v="2350.95"/>
    <n v="-55.68"/>
    <s v="CREDITOR"/>
    <n v="0"/>
    <n v="0"/>
    <n v="-55.68"/>
    <n v="0"/>
    <n v="0"/>
  </r>
  <r>
    <n v="61179587"/>
    <s v="N"/>
    <n v="21412512"/>
    <s v="3000015358730009RC"/>
    <s v="CIVIL"/>
    <d v="2023-06-28T00:00:00"/>
    <d v="2023-07-21T19:28:22"/>
    <m/>
    <d v="2023-07-21T00:00:00"/>
    <n v="1688"/>
    <n v="19951"/>
    <s v="61179587"/>
    <s v="61179587"/>
    <m/>
    <m/>
    <m/>
    <m/>
    <m/>
    <m/>
    <s v="SOLRECOUP"/>
    <s v="SOLRECOUP"/>
    <s v="POARECOUP"/>
    <n v="21412512"/>
    <n v="-2750.24"/>
    <m/>
    <s v="Y"/>
    <n v="2"/>
    <d v="2023-07-21T19:28:24"/>
    <s v="N"/>
    <m/>
    <m/>
    <s v="Profit Cost"/>
    <m/>
    <s v="N"/>
    <n v="0"/>
    <n v="-458.37"/>
    <x v="12"/>
    <s v="VALIDATED"/>
    <n v="1"/>
    <s v="01.11.80.308.2013.0000"/>
    <n v="-458.37"/>
    <s v="11"/>
    <s v="2013"/>
    <n v="2350.95"/>
    <n v="-458.37"/>
    <s v="CREDITOR"/>
    <n v="0"/>
    <n v="0"/>
    <n v="-458.37"/>
    <n v="-114.5925"/>
    <n v="0"/>
  </r>
  <r>
    <n v="61179587"/>
    <s v="N"/>
    <n v="21412512"/>
    <s v="3000015358730009RC"/>
    <s v="CIVIL"/>
    <d v="2023-06-28T00:00:00"/>
    <d v="2023-07-21T19:28:22"/>
    <m/>
    <d v="2023-07-21T00:00:00"/>
    <n v="1688"/>
    <n v="19951"/>
    <s v="61179587"/>
    <s v="61179587"/>
    <m/>
    <m/>
    <m/>
    <m/>
    <m/>
    <m/>
    <s v="SOLRECOUP"/>
    <s v="SOLRECOUP"/>
    <s v="POARECOUP"/>
    <n v="21412512"/>
    <n v="-2750.24"/>
    <m/>
    <s v="Y"/>
    <n v="1"/>
    <d v="2023-07-21T19:28:24"/>
    <s v="N"/>
    <m/>
    <m/>
    <s v="Profit Cost"/>
    <m/>
    <s v="N"/>
    <n v="-2291.87"/>
    <n v="0"/>
    <x v="12"/>
    <s v="VALIDATED"/>
    <n v="1"/>
    <s v="01.11.80.308.2013.0000"/>
    <n v="-2291.87"/>
    <s v="11"/>
    <s v="2013"/>
    <n v="2350.95"/>
    <n v="-2291.87"/>
    <s v="CREDITOR"/>
    <n v="0"/>
    <n v="0"/>
    <n v="-2291.87"/>
    <n v="-572.9675"/>
    <n v="0"/>
  </r>
  <r>
    <n v="61179587"/>
    <s v="N"/>
    <n v="21412556"/>
    <s v="3000015358730010RC"/>
    <s v="CIVIL"/>
    <d v="2023-06-28T00:00:00"/>
    <d v="2023-07-21T19:28:22"/>
    <m/>
    <d v="2023-07-21T00:00:00"/>
    <n v="1688"/>
    <n v="19951"/>
    <s v="61179587"/>
    <s v="61179587"/>
    <m/>
    <m/>
    <m/>
    <m/>
    <m/>
    <m/>
    <s v="SOLRECOUP"/>
    <s v="SOLRECOUP"/>
    <s v="POARECOUP"/>
    <n v="21412556"/>
    <n v="-341.64"/>
    <m/>
    <s v="Y"/>
    <n v="2"/>
    <d v="2023-07-21T19:28:25"/>
    <s v="N"/>
    <m/>
    <m/>
    <s v="Expert Disbursement"/>
    <m/>
    <s v="N"/>
    <n v="0"/>
    <n v="-56.94"/>
    <x v="12"/>
    <s v="VALIDATED"/>
    <n v="1"/>
    <s v="01.11.80.308.2013.0000"/>
    <n v="-56.94"/>
    <s v="11"/>
    <s v="2013"/>
    <n v="2350.95"/>
    <n v="-56.94"/>
    <s v="CREDITOR"/>
    <n v="0"/>
    <n v="0"/>
    <n v="-56.94"/>
    <n v="0"/>
    <n v="0"/>
  </r>
  <r>
    <n v="61179587"/>
    <s v="N"/>
    <n v="21412556"/>
    <s v="3000015358730010RC"/>
    <s v="CIVIL"/>
    <d v="2023-06-28T00:00:00"/>
    <d v="2023-07-21T19:28:22"/>
    <m/>
    <d v="2023-07-21T00:00:00"/>
    <n v="1688"/>
    <n v="19951"/>
    <s v="61179587"/>
    <s v="61179587"/>
    <m/>
    <m/>
    <m/>
    <m/>
    <m/>
    <m/>
    <s v="SOLRECOUP"/>
    <s v="SOLRECOUP"/>
    <s v="POARECOUP"/>
    <n v="21412556"/>
    <n v="-341.64"/>
    <m/>
    <s v="Y"/>
    <n v="1"/>
    <d v="2023-07-21T19:28:25"/>
    <s v="N"/>
    <m/>
    <m/>
    <s v="Expert Disbursement"/>
    <m/>
    <s v="N"/>
    <n v="-284.7"/>
    <n v="0"/>
    <x v="12"/>
    <s v="VALIDATED"/>
    <n v="1"/>
    <s v="01.11.80.308.2013.0000"/>
    <n v="-284.7"/>
    <s v="11"/>
    <s v="2013"/>
    <n v="2350.95"/>
    <n v="-284.7"/>
    <s v="CREDITOR"/>
    <n v="0"/>
    <n v="0"/>
    <n v="-284.7"/>
    <n v="0"/>
    <n v="0"/>
  </r>
  <r>
    <n v="54300921"/>
    <s v="N"/>
    <n v="21349700"/>
    <s v="3000012970150018"/>
    <s v="CIVIL"/>
    <d v="2023-06-29T00:00:00"/>
    <d v="2023-07-10T19:01:40"/>
    <m/>
    <d v="2023-07-10T00:00:00"/>
    <n v="1693"/>
    <n v="20007"/>
    <s v="54300921"/>
    <s v="54300921"/>
    <m/>
    <m/>
    <n v="22786080"/>
    <m/>
    <m/>
    <m/>
    <s v="SOLFIN"/>
    <s v="SOLFIN"/>
    <s v="CCMS"/>
    <n v="21349700"/>
    <n v="12343.79"/>
    <m/>
    <s v="N"/>
    <n v="3"/>
    <d v="2023-07-10T19:01:56"/>
    <s v="Y"/>
    <s v="Independent Social Worker"/>
    <s v="Public Law Children"/>
    <s v="Expert Disbursement"/>
    <s v="MH"/>
    <s v="Y"/>
    <n v="46.2"/>
    <n v="9.24"/>
    <x v="2"/>
    <s v="VALIDATED"/>
    <n v="1"/>
    <s v="01.11.80.308.6300.0000"/>
    <n v="46.2"/>
    <s v="11"/>
    <s v="6300"/>
    <n v="9598.6"/>
    <n v="46.2"/>
    <s v="CREDITOR"/>
    <n v="0"/>
    <n v="0"/>
    <n v="0"/>
    <n v="0"/>
    <n v="46.2"/>
  </r>
  <r>
    <n v="61520018"/>
    <s v="N"/>
    <n v="21321381"/>
    <s v="3000015639020002"/>
    <s v="CIVIL"/>
    <d v="2023-06-29T00:00:00"/>
    <d v="2023-07-03T19:05:17"/>
    <m/>
    <d v="2023-07-03T00:00:00"/>
    <n v="1693"/>
    <n v="20007"/>
    <s v="61520018"/>
    <s v="61520018"/>
    <m/>
    <m/>
    <n v="22786470"/>
    <m/>
    <m/>
    <m/>
    <s v="SOLPOA"/>
    <s v="SOLPOA"/>
    <s v="CCMS"/>
    <n v="21321381"/>
    <n v="825.41"/>
    <m/>
    <s v="N"/>
    <n v="1"/>
    <d v="2023-07-03T19:05:18"/>
    <s v="N"/>
    <s v="Expert Cost"/>
    <s v="Expert Cost"/>
    <s v="Expert Disbursement"/>
    <s v="ELIZABETH  SANDELANDS"/>
    <s v="N"/>
    <n v="687.84"/>
    <n v="137.57"/>
    <x v="3"/>
    <s v="VALIDATED"/>
    <n v="1"/>
    <s v="01.11.80.308.2012.0000"/>
    <n v="687.84"/>
    <s v="11"/>
    <s v="2012"/>
    <n v="9598.6"/>
    <n v="687.84"/>
    <s v="CREDITOR"/>
    <n v="687.84"/>
    <n v="0"/>
    <n v="0"/>
    <n v="0"/>
    <n v="0"/>
  </r>
  <r>
    <n v="43900647"/>
    <s v="N"/>
    <n v="21331062"/>
    <s v="3000011625310022"/>
    <s v="CIVIL"/>
    <d v="2023-06-26T00:00:00"/>
    <d v="2023-07-05T19:01:47"/>
    <m/>
    <d v="2023-07-05T00:00:00"/>
    <n v="1693"/>
    <n v="20007"/>
    <s v="43900647"/>
    <s v="43900647"/>
    <m/>
    <m/>
    <n v="22763876"/>
    <m/>
    <m/>
    <m/>
    <s v="SOLINT"/>
    <s v="SOLINT"/>
    <s v="CCMS"/>
    <n v="21331062"/>
    <n v="2106.88"/>
    <m/>
    <s v="N"/>
    <n v="4"/>
    <d v="2023-07-05T19:02:04"/>
    <s v="Y"/>
    <s v="Hearing Unit 1.01 - 2.30 Hours"/>
    <s v="Public Law Children"/>
    <s v="Advocacy"/>
    <s v="MH"/>
    <s v="Y"/>
    <n v="238.46"/>
    <n v="47.69"/>
    <x v="6"/>
    <s v="VALIDATED"/>
    <n v="1"/>
    <s v="01.11.80.308.6100.0000"/>
    <n v="238.46"/>
    <s v="11"/>
    <s v="6100"/>
    <n v="9598.6"/>
    <n v="238.46"/>
    <s v="CREDITOR"/>
    <n v="0"/>
    <n v="0"/>
    <n v="0"/>
    <n v="0"/>
    <n v="238.46"/>
  </r>
  <r>
    <n v="43900647"/>
    <s v="N"/>
    <n v="21331062"/>
    <s v="3000011625310022"/>
    <s v="CIVIL"/>
    <d v="2023-06-26T00:00:00"/>
    <d v="2023-07-05T19:01:47"/>
    <m/>
    <d v="2023-07-05T00:00:00"/>
    <n v="1693"/>
    <n v="20007"/>
    <s v="43900647"/>
    <s v="43900647"/>
    <m/>
    <m/>
    <n v="22763876"/>
    <m/>
    <m/>
    <m/>
    <s v="SOLINT"/>
    <s v="SOLINT"/>
    <s v="CCMS"/>
    <n v="21331062"/>
    <n v="2106.88"/>
    <m/>
    <s v="N"/>
    <n v="1"/>
    <d v="2023-07-05T19:02:04"/>
    <s v="Y"/>
    <s v="Solicitors Fixed Fee"/>
    <s v="Public Law Children"/>
    <s v="Profit Cost"/>
    <s v="MH"/>
    <s v="Y"/>
    <n v="955.5"/>
    <n v="191.1"/>
    <x v="6"/>
    <s v="VALIDATED"/>
    <n v="1"/>
    <s v="01.11.80.308.6100.0000"/>
    <n v="955.5"/>
    <s v="11"/>
    <s v="6100"/>
    <n v="9598.6"/>
    <n v="955.5"/>
    <s v="CREDITOR"/>
    <n v="0"/>
    <n v="0"/>
    <n v="0"/>
    <n v="0"/>
    <n v="955.5"/>
  </r>
  <r>
    <n v="43900647"/>
    <s v="N"/>
    <n v="21331062"/>
    <s v="3000011625310022"/>
    <s v="CIVIL"/>
    <d v="2023-06-26T00:00:00"/>
    <d v="2023-07-05T19:01:47"/>
    <m/>
    <d v="2023-07-05T00:00:00"/>
    <n v="1693"/>
    <n v="20007"/>
    <s v="43900647"/>
    <s v="43900647"/>
    <m/>
    <m/>
    <n v="22763876"/>
    <m/>
    <m/>
    <m/>
    <s v="SOLINT"/>
    <s v="SOLINT"/>
    <s v="CCMS"/>
    <n v="21331062"/>
    <n v="2106.88"/>
    <m/>
    <s v="N"/>
    <n v="2"/>
    <d v="2023-07-05T19:02:04"/>
    <s v="Y"/>
    <s v="Advocates Meeting"/>
    <s v="Public Law Children"/>
    <s v="Advocacy"/>
    <s v="MH"/>
    <s v="Y"/>
    <n v="128.16"/>
    <n v="25.63"/>
    <x v="6"/>
    <s v="VALIDATED"/>
    <n v="1"/>
    <s v="01.11.80.308.6100.0000"/>
    <n v="128.16"/>
    <s v="11"/>
    <s v="6100"/>
    <n v="9598.6"/>
    <n v="128.16"/>
    <s v="CREDITOR"/>
    <n v="0"/>
    <n v="0"/>
    <n v="0"/>
    <n v="0"/>
    <n v="128.16"/>
  </r>
  <r>
    <n v="54300921"/>
    <s v="N"/>
    <n v="21349700"/>
    <s v="3000012970150018"/>
    <s v="CIVIL"/>
    <d v="2023-06-29T00:00:00"/>
    <d v="2023-07-10T19:01:40"/>
    <m/>
    <d v="2023-07-10T00:00:00"/>
    <n v="1693"/>
    <n v="20007"/>
    <s v="54300921"/>
    <s v="54300921"/>
    <m/>
    <m/>
    <n v="22786080"/>
    <m/>
    <m/>
    <m/>
    <s v="SOLFIN"/>
    <s v="SOLFIN"/>
    <s v="CCMS"/>
    <n v="21349700"/>
    <n v="12343.79"/>
    <m/>
    <s v="N"/>
    <n v="20"/>
    <d v="2023-07-10T19:01:56"/>
    <s v="Y"/>
    <s v="Advocates Meeting"/>
    <s v="Public Law Children"/>
    <s v="Advocacy"/>
    <s v="MH"/>
    <s v="Y"/>
    <n v="140.99"/>
    <n v="28.2"/>
    <x v="2"/>
    <s v="VALIDATED"/>
    <n v="1"/>
    <s v="01.11.80.308.6100.0000"/>
    <n v="140.99"/>
    <s v="11"/>
    <s v="6100"/>
    <n v="9598.6"/>
    <n v="140.99"/>
    <s v="CREDITOR"/>
    <n v="0"/>
    <n v="0"/>
    <n v="0"/>
    <n v="0"/>
    <n v="140.99"/>
  </r>
  <r>
    <n v="54300921"/>
    <s v="N"/>
    <n v="21349700"/>
    <s v="3000012970150018"/>
    <s v="CIVIL"/>
    <d v="2023-06-29T00:00:00"/>
    <d v="2023-07-10T19:01:40"/>
    <m/>
    <d v="2023-07-10T00:00:00"/>
    <n v="1693"/>
    <n v="20007"/>
    <s v="54300921"/>
    <s v="54300921"/>
    <m/>
    <m/>
    <n v="22786080"/>
    <m/>
    <m/>
    <m/>
    <s v="SOLFIN"/>
    <s v="SOLFIN"/>
    <s v="CCMS"/>
    <n v="21349700"/>
    <n v="12343.79"/>
    <m/>
    <s v="N"/>
    <n v="15"/>
    <d v="2023-07-10T19:01:56"/>
    <s v="Y"/>
    <s v="Advocates Meeting"/>
    <s v="Public Law Children"/>
    <s v="Advocacy"/>
    <s v="MH"/>
    <s v="Y"/>
    <n v="140.99"/>
    <n v="28.2"/>
    <x v="2"/>
    <s v="VALIDATED"/>
    <n v="1"/>
    <s v="01.11.80.308.6100.0000"/>
    <n v="140.99"/>
    <s v="11"/>
    <s v="6100"/>
    <n v="9598.6"/>
    <n v="140.99"/>
    <s v="CREDITOR"/>
    <n v="0"/>
    <n v="0"/>
    <n v="0"/>
    <n v="0"/>
    <n v="140.99"/>
  </r>
  <r>
    <n v="54300921"/>
    <s v="N"/>
    <n v="21349700"/>
    <s v="3000012970150018"/>
    <s v="CIVIL"/>
    <d v="2023-06-29T00:00:00"/>
    <d v="2023-07-10T19:01:40"/>
    <m/>
    <d v="2023-07-10T00:00:00"/>
    <n v="1693"/>
    <n v="20007"/>
    <s v="54300921"/>
    <s v="54300921"/>
    <m/>
    <m/>
    <n v="22786080"/>
    <m/>
    <m/>
    <m/>
    <s v="SOLFIN"/>
    <s v="SOLFIN"/>
    <s v="CCMS"/>
    <n v="21349700"/>
    <n v="12343.79"/>
    <m/>
    <s v="N"/>
    <n v="1"/>
    <d v="2023-07-10T19:01:56"/>
    <s v="Y"/>
    <s v="Independent Social Worker"/>
    <s v="Public Law Children"/>
    <s v="Expert Disbursement"/>
    <s v="MH"/>
    <s v="Y"/>
    <n v="112.2"/>
    <n v="22.44"/>
    <x v="2"/>
    <s v="VALIDATED"/>
    <n v="1"/>
    <s v="01.11.80.308.6300.0000"/>
    <n v="112.2"/>
    <s v="11"/>
    <s v="6300"/>
    <n v="9598.6"/>
    <n v="112.2"/>
    <s v="CREDITOR"/>
    <n v="0"/>
    <n v="0"/>
    <n v="0"/>
    <n v="0"/>
    <n v="112.2"/>
  </r>
  <r>
    <n v="60365739"/>
    <s v="N"/>
    <n v="21321815"/>
    <s v="3000014653710004"/>
    <s v="CIVIL"/>
    <d v="2023-06-29T00:00:00"/>
    <d v="2023-07-03T19:05:17"/>
    <m/>
    <d v="2023-07-03T00:00:00"/>
    <n v="1693"/>
    <n v="20007"/>
    <s v="60365739"/>
    <s v="60365739"/>
    <m/>
    <m/>
    <n v="22786232"/>
    <m/>
    <m/>
    <m/>
    <s v="SOLPOA"/>
    <s v="SOLPOA"/>
    <s v="CCMS"/>
    <n v="21321815"/>
    <n v="34.88"/>
    <m/>
    <s v="N"/>
    <n v="1"/>
    <d v="2023-07-03T19:05:21"/>
    <s v="N"/>
    <s v="Expert Cost"/>
    <s v="Expert Cost"/>
    <s v="Expert Disbursement"/>
    <s v="ELIZABETH  SANDELANDS"/>
    <s v="N"/>
    <n v="34.88"/>
    <n v="0"/>
    <x v="3"/>
    <s v="VALIDATED"/>
    <n v="1"/>
    <s v="01.11.80.308.2012.0000"/>
    <n v="34.88"/>
    <s v="11"/>
    <s v="2012"/>
    <n v="9598.6"/>
    <n v="34.88"/>
    <s v="CREDITOR"/>
    <n v="34.88"/>
    <n v="0"/>
    <n v="0"/>
    <n v="0"/>
    <n v="0"/>
  </r>
  <r>
    <n v="54300921"/>
    <s v="N"/>
    <n v="21349700"/>
    <s v="3000012970150018"/>
    <s v="CIVIL"/>
    <d v="2023-06-29T00:00:00"/>
    <d v="2023-07-10T19:01:40"/>
    <m/>
    <d v="2023-07-10T00:00:00"/>
    <n v="1693"/>
    <n v="20007"/>
    <s v="54300921"/>
    <s v="54300921"/>
    <m/>
    <m/>
    <n v="22786080"/>
    <m/>
    <m/>
    <m/>
    <s v="SOLFIN"/>
    <s v="SOLFIN"/>
    <s v="CCMS"/>
    <n v="21349700"/>
    <n v="12343.79"/>
    <m/>
    <s v="N"/>
    <n v="16"/>
    <d v="2023-07-10T19:01:56"/>
    <s v="Y"/>
    <s v="Advocates Meeting"/>
    <s v="Public Law Children"/>
    <s v="Advocacy"/>
    <s v="MH"/>
    <s v="Y"/>
    <n v="140.99"/>
    <n v="28.2"/>
    <x v="2"/>
    <s v="VALIDATED"/>
    <n v="1"/>
    <s v="01.11.80.308.6100.0000"/>
    <n v="140.99"/>
    <s v="11"/>
    <s v="6100"/>
    <n v="9598.6"/>
    <n v="140.99"/>
    <s v="CREDITOR"/>
    <n v="0"/>
    <n v="0"/>
    <n v="0"/>
    <n v="0"/>
    <n v="140.99"/>
  </r>
  <r>
    <n v="43900647"/>
    <s v="N"/>
    <n v="21331062"/>
    <s v="3000011625310022"/>
    <s v="CIVIL"/>
    <d v="2023-06-26T00:00:00"/>
    <d v="2023-07-05T19:01:47"/>
    <m/>
    <d v="2023-07-05T00:00:00"/>
    <n v="1693"/>
    <n v="20007"/>
    <s v="43900647"/>
    <s v="43900647"/>
    <m/>
    <m/>
    <n v="22763876"/>
    <m/>
    <m/>
    <m/>
    <s v="SOLINT"/>
    <s v="SOLINT"/>
    <s v="CCMS"/>
    <n v="21331062"/>
    <n v="2106.88"/>
    <m/>
    <s v="N"/>
    <n v="3"/>
    <d v="2023-07-05T19:02:04"/>
    <s v="Y"/>
    <s v="Hearing Unit 2.31 - 5.00 Hours"/>
    <s v="Public Law Children"/>
    <s v="Advocacy"/>
    <s v="MH"/>
    <s v="Y"/>
    <n v="433.62"/>
    <n v="86.72"/>
    <x v="6"/>
    <s v="VALIDATED"/>
    <n v="1"/>
    <s v="01.11.80.308.6100.0000"/>
    <n v="433.62"/>
    <s v="11"/>
    <s v="6100"/>
    <n v="9598.6"/>
    <n v="433.62"/>
    <s v="CREDITOR"/>
    <n v="0"/>
    <n v="0"/>
    <n v="0"/>
    <n v="0"/>
    <n v="433.62"/>
  </r>
  <r>
    <n v="54300921"/>
    <s v="N"/>
    <n v="21349700"/>
    <s v="3000012970150018"/>
    <s v="CIVIL"/>
    <d v="2023-06-29T00:00:00"/>
    <d v="2023-07-10T19:01:40"/>
    <m/>
    <d v="2023-07-10T00:00:00"/>
    <n v="1693"/>
    <n v="20007"/>
    <s v="54300921"/>
    <s v="54300921"/>
    <m/>
    <m/>
    <n v="22786080"/>
    <m/>
    <m/>
    <m/>
    <s v="SOLFIN"/>
    <s v="SOLFIN"/>
    <s v="CCMS"/>
    <n v="21349700"/>
    <n v="12343.79"/>
    <m/>
    <s v="N"/>
    <n v="9"/>
    <d v="2023-07-10T19:01:56"/>
    <s v="Y"/>
    <s v="Advocates Meeting"/>
    <s v="Public Law Children"/>
    <s v="Advocacy"/>
    <s v="MH"/>
    <s v="Y"/>
    <n v="140.99"/>
    <n v="28.2"/>
    <x v="2"/>
    <s v="VALIDATED"/>
    <n v="1"/>
    <s v="01.11.80.308.6100.0000"/>
    <n v="140.99"/>
    <s v="11"/>
    <s v="6100"/>
    <n v="9598.6"/>
    <n v="140.99"/>
    <s v="CREDITOR"/>
    <n v="0"/>
    <n v="0"/>
    <n v="0"/>
    <n v="0"/>
    <n v="140.99"/>
  </r>
  <r>
    <n v="54300921"/>
    <s v="N"/>
    <n v="21349700"/>
    <s v="3000012970150018"/>
    <s v="CIVIL"/>
    <d v="2023-06-29T00:00:00"/>
    <d v="2023-07-10T19:01:40"/>
    <m/>
    <d v="2023-07-10T00:00:00"/>
    <n v="1693"/>
    <n v="20007"/>
    <s v="54300921"/>
    <s v="54300921"/>
    <m/>
    <m/>
    <n v="22786080"/>
    <m/>
    <m/>
    <m/>
    <s v="SOLFIN"/>
    <s v="SOLFIN"/>
    <s v="CCMS"/>
    <n v="21349700"/>
    <n v="12343.79"/>
    <m/>
    <s v="N"/>
    <n v="4"/>
    <d v="2023-07-10T19:01:56"/>
    <s v="Y"/>
    <s v="Profit Costs (Summary)"/>
    <s v="Public Law Children"/>
    <s v="Profit Cost"/>
    <s v="MH"/>
    <s v="Y"/>
    <n v="5801.25"/>
    <n v="1160.25"/>
    <x v="2"/>
    <s v="VALIDATED"/>
    <n v="1"/>
    <s v="01.11.80.308.6100.0000"/>
    <n v="5801.25"/>
    <s v="11"/>
    <s v="6100"/>
    <n v="9598.6"/>
    <n v="5801.25"/>
    <s v="CREDITOR"/>
    <n v="0"/>
    <n v="0"/>
    <n v="0"/>
    <n v="0"/>
    <n v="5801.25"/>
  </r>
  <r>
    <n v="54300921"/>
    <s v="N"/>
    <n v="21349700"/>
    <s v="3000012970150018"/>
    <s v="CIVIL"/>
    <d v="2023-06-29T00:00:00"/>
    <d v="2023-07-10T19:01:40"/>
    <m/>
    <d v="2023-07-10T00:00:00"/>
    <n v="1693"/>
    <n v="20007"/>
    <s v="54300921"/>
    <s v="54300921"/>
    <m/>
    <m/>
    <n v="22786080"/>
    <m/>
    <m/>
    <m/>
    <s v="SOLFIN"/>
    <s v="SOLFIN"/>
    <s v="CCMS"/>
    <n v="21349700"/>
    <n v="12343.79"/>
    <m/>
    <s v="N"/>
    <n v="11"/>
    <d v="2023-07-10T19:01:56"/>
    <s v="Y"/>
    <s v="Advocates Meeting"/>
    <s v="Public Law Children"/>
    <s v="Advocacy"/>
    <s v="MH"/>
    <s v="Y"/>
    <n v="140.99"/>
    <n v="28.2"/>
    <x v="2"/>
    <s v="VALIDATED"/>
    <n v="1"/>
    <s v="01.11.80.308.6100.0000"/>
    <n v="140.99"/>
    <s v="11"/>
    <s v="6100"/>
    <n v="9598.6"/>
    <n v="140.99"/>
    <s v="CREDITOR"/>
    <n v="0"/>
    <n v="0"/>
    <n v="0"/>
    <n v="0"/>
    <n v="140.99"/>
  </r>
  <r>
    <n v="54300921"/>
    <s v="N"/>
    <n v="21349700"/>
    <s v="3000012970150018"/>
    <s v="CIVIL"/>
    <d v="2023-06-29T00:00:00"/>
    <d v="2023-07-10T19:01:40"/>
    <m/>
    <d v="2023-07-10T00:00:00"/>
    <n v="1693"/>
    <n v="20007"/>
    <s v="54300921"/>
    <s v="54300921"/>
    <m/>
    <m/>
    <n v="22786080"/>
    <m/>
    <m/>
    <m/>
    <s v="SOLFIN"/>
    <s v="SOLFIN"/>
    <s v="CCMS"/>
    <n v="21349700"/>
    <n v="12343.79"/>
    <m/>
    <s v="N"/>
    <n v="7"/>
    <d v="2023-07-10T19:01:56"/>
    <s v="Y"/>
    <s v="Psychologist"/>
    <s v="Public Law Children"/>
    <s v="Expert Disbursement"/>
    <s v="MH"/>
    <s v="Y"/>
    <n v="369.5"/>
    <n v="73.90000000000001"/>
    <x v="2"/>
    <s v="VALIDATED"/>
    <n v="1"/>
    <s v="01.11.80.308.6300.0000"/>
    <n v="369.5"/>
    <s v="11"/>
    <s v="6300"/>
    <n v="9598.6"/>
    <n v="369.5"/>
    <s v="CREDITOR"/>
    <n v="0"/>
    <n v="0"/>
    <n v="0"/>
    <n v="0"/>
    <n v="369.5"/>
  </r>
  <r>
    <n v="54300921"/>
    <s v="N"/>
    <n v="21349700"/>
    <s v="3000012970150018"/>
    <s v="CIVIL"/>
    <d v="2023-06-29T00:00:00"/>
    <d v="2023-07-10T19:01:40"/>
    <m/>
    <d v="2023-07-10T00:00:00"/>
    <n v="1693"/>
    <n v="20007"/>
    <s v="54300921"/>
    <s v="54300921"/>
    <m/>
    <m/>
    <n v="22786080"/>
    <m/>
    <m/>
    <m/>
    <s v="SOLFIN"/>
    <s v="SOLFIN"/>
    <s v="CCMS"/>
    <n v="21349700"/>
    <n v="12343.79"/>
    <m/>
    <s v="N"/>
    <n v="17"/>
    <d v="2023-07-10T19:01:56"/>
    <s v="Y"/>
    <s v="Hearing Unit 5.01 - 7.30 Hours"/>
    <s v="Public Law Children"/>
    <s v="Advocacy"/>
    <s v="ECS"/>
    <s v="Y"/>
    <n v="715.38"/>
    <n v="143.08"/>
    <x v="2"/>
    <s v="VALIDATED"/>
    <n v="1"/>
    <s v="01.11.80.308.6100.0000"/>
    <n v="715.38"/>
    <s v="11"/>
    <s v="6100"/>
    <n v="9598.6"/>
    <n v="715.38"/>
    <s v="CREDITOR"/>
    <n v="0"/>
    <n v="0"/>
    <n v="0"/>
    <n v="0"/>
    <n v="715.38"/>
  </r>
  <r>
    <n v="54300921"/>
    <s v="N"/>
    <n v="21349700"/>
    <s v="3000012970150018"/>
    <s v="CIVIL"/>
    <d v="2023-06-29T00:00:00"/>
    <d v="2023-07-10T19:01:40"/>
    <m/>
    <d v="2023-07-10T00:00:00"/>
    <n v="1693"/>
    <n v="20007"/>
    <s v="54300921"/>
    <s v="54300921"/>
    <m/>
    <m/>
    <n v="22786080"/>
    <m/>
    <m/>
    <m/>
    <s v="SOLFIN"/>
    <s v="SOLFIN"/>
    <s v="CCMS"/>
    <n v="21349700"/>
    <n v="12343.79"/>
    <m/>
    <s v="N"/>
    <n v="14"/>
    <d v="2023-07-10T19:01:56"/>
    <s v="Y"/>
    <s v="Hearing Unit 1.01 - 2.30 Hours"/>
    <s v="Public Law Children"/>
    <s v="Advocacy"/>
    <s v="MH"/>
    <s v="Y"/>
    <n v="238.46"/>
    <n v="47.69"/>
    <x v="2"/>
    <s v="VALIDATED"/>
    <n v="1"/>
    <s v="01.11.80.308.6100.0000"/>
    <n v="238.46"/>
    <s v="11"/>
    <s v="6100"/>
    <n v="9598.6"/>
    <n v="238.46"/>
    <s v="CREDITOR"/>
    <n v="0"/>
    <n v="0"/>
    <n v="0"/>
    <n v="0"/>
    <n v="238.46"/>
  </r>
  <r>
    <n v="54300921"/>
    <s v="N"/>
    <n v="21349700"/>
    <s v="3000012970150018"/>
    <s v="CIVIL"/>
    <d v="2023-06-29T00:00:00"/>
    <d v="2023-07-10T19:01:40"/>
    <m/>
    <d v="2023-07-10T00:00:00"/>
    <n v="1693"/>
    <n v="20007"/>
    <s v="54300921"/>
    <s v="54300921"/>
    <m/>
    <m/>
    <n v="22786080"/>
    <m/>
    <m/>
    <m/>
    <s v="SOLFIN"/>
    <s v="SOLFIN"/>
    <s v="CCMS"/>
    <n v="21349700"/>
    <n v="12343.79"/>
    <m/>
    <s v="N"/>
    <n v="13"/>
    <d v="2023-07-10T19:01:56"/>
    <s v="Y"/>
    <s v="Hearing Unit 1.01 - 2.30 Hours"/>
    <s v="Public Law Children"/>
    <s v="Advocacy"/>
    <s v="MH"/>
    <s v="Y"/>
    <n v="238.46"/>
    <n v="47.69"/>
    <x v="2"/>
    <s v="VALIDATED"/>
    <n v="1"/>
    <s v="01.11.80.308.6100.0000"/>
    <n v="238.46"/>
    <s v="11"/>
    <s v="6100"/>
    <n v="9598.6"/>
    <n v="238.46"/>
    <s v="CREDITOR"/>
    <n v="0"/>
    <n v="0"/>
    <n v="0"/>
    <n v="0"/>
    <n v="238.46"/>
  </r>
  <r>
    <n v="54300921"/>
    <s v="N"/>
    <n v="21349700"/>
    <s v="3000012970150018"/>
    <s v="CIVIL"/>
    <d v="2023-06-29T00:00:00"/>
    <d v="2023-07-10T19:01:40"/>
    <m/>
    <d v="2023-07-10T00:00:00"/>
    <n v="1693"/>
    <n v="20007"/>
    <s v="54300921"/>
    <s v="54300921"/>
    <m/>
    <m/>
    <n v="22786080"/>
    <m/>
    <m/>
    <m/>
    <s v="SOLFIN"/>
    <s v="SOLFIN"/>
    <s v="CCMS"/>
    <n v="21349700"/>
    <n v="12343.79"/>
    <m/>
    <s v="N"/>
    <n v="12"/>
    <d v="2023-07-10T19:01:56"/>
    <s v="Y"/>
    <s v="Advocates Meeting"/>
    <s v="Public Law Children"/>
    <s v="Advocacy"/>
    <s v="MH"/>
    <s v="Y"/>
    <n v="140.99"/>
    <n v="28.2"/>
    <x v="2"/>
    <s v="VALIDATED"/>
    <n v="1"/>
    <s v="01.11.80.308.6100.0000"/>
    <n v="140.99"/>
    <s v="11"/>
    <s v="6100"/>
    <n v="9598.6"/>
    <n v="140.99"/>
    <s v="CREDITOR"/>
    <n v="0"/>
    <n v="0"/>
    <n v="0"/>
    <n v="0"/>
    <n v="140.99"/>
  </r>
  <r>
    <n v="54300921"/>
    <s v="N"/>
    <n v="21349700"/>
    <s v="3000012970150018"/>
    <s v="CIVIL"/>
    <d v="2023-06-29T00:00:00"/>
    <d v="2023-07-10T19:01:40"/>
    <m/>
    <d v="2023-07-10T00:00:00"/>
    <n v="1693"/>
    <n v="20007"/>
    <s v="54300921"/>
    <s v="54300921"/>
    <m/>
    <m/>
    <n v="22786080"/>
    <m/>
    <m/>
    <m/>
    <s v="SOLFIN"/>
    <s v="SOLFIN"/>
    <s v="CCMS"/>
    <n v="21349700"/>
    <n v="12343.79"/>
    <m/>
    <s v="N"/>
    <n v="5"/>
    <d v="2023-07-10T19:01:56"/>
    <s v="Y"/>
    <s v="Court Fee"/>
    <s v="Public Law Children"/>
    <s v="Non Expert Disbursement"/>
    <s v="MH"/>
    <s v="Y"/>
    <n v="167"/>
    <n v="0"/>
    <x v="2"/>
    <s v="VALIDATED"/>
    <n v="1"/>
    <s v="01.11.80.308.6300.0000"/>
    <n v="167"/>
    <s v="11"/>
    <s v="6300"/>
    <n v="9598.6"/>
    <n v="167"/>
    <s v="CREDITOR"/>
    <n v="0"/>
    <n v="0"/>
    <n v="0"/>
    <n v="0"/>
    <n v="167"/>
  </r>
  <r>
    <n v="54300921"/>
    <s v="N"/>
    <n v="21349700"/>
    <s v="3000012970150018"/>
    <s v="CIVIL"/>
    <d v="2023-06-29T00:00:00"/>
    <d v="2023-07-10T19:01:40"/>
    <m/>
    <d v="2023-07-10T00:00:00"/>
    <n v="1693"/>
    <n v="20007"/>
    <s v="54300921"/>
    <s v="54300921"/>
    <m/>
    <m/>
    <n v="22786080"/>
    <m/>
    <m/>
    <m/>
    <s v="SOLFIN"/>
    <s v="SOLFIN"/>
    <s v="CCMS"/>
    <n v="21349700"/>
    <n v="12343.79"/>
    <m/>
    <s v="N"/>
    <n v="18"/>
    <d v="2023-07-10T19:01:56"/>
    <s v="Y"/>
    <s v="Advocates Meeting"/>
    <s v="Public Law Children"/>
    <s v="Advocacy"/>
    <s v="MH"/>
    <s v="Y"/>
    <n v="140.99"/>
    <n v="28.2"/>
    <x v="2"/>
    <s v="VALIDATED"/>
    <n v="1"/>
    <s v="01.11.80.308.6100.0000"/>
    <n v="140.99"/>
    <s v="11"/>
    <s v="6100"/>
    <n v="9598.6"/>
    <n v="140.99"/>
    <s v="CREDITOR"/>
    <n v="0"/>
    <n v="0"/>
    <n v="0"/>
    <n v="0"/>
    <n v="140.99"/>
  </r>
  <r>
    <n v="60365739"/>
    <s v="N"/>
    <n v="21321819"/>
    <s v="3000014653710005"/>
    <s v="CIVIL"/>
    <d v="2023-06-29T00:00:00"/>
    <d v="2023-07-03T19:05:17"/>
    <m/>
    <d v="2023-07-03T00:00:00"/>
    <n v="1693"/>
    <n v="20007"/>
    <s v="60365739"/>
    <s v="60365739"/>
    <m/>
    <m/>
    <n v="22786254"/>
    <m/>
    <m/>
    <m/>
    <s v="SOLPOA"/>
    <s v="SOLPOA"/>
    <s v="CCMS"/>
    <n v="21321819"/>
    <n v="390.03"/>
    <m/>
    <s v="N"/>
    <n v="1"/>
    <d v="2023-07-03T19:05:21"/>
    <s v="N"/>
    <s v="Expert Cost"/>
    <s v="Expert Cost"/>
    <s v="Expert Disbursement"/>
    <s v="ELIZABETH  SANDELANDS"/>
    <s v="N"/>
    <n v="390.03"/>
    <n v="0"/>
    <x v="3"/>
    <s v="VALIDATED"/>
    <n v="1"/>
    <s v="01.11.80.308.2012.0000"/>
    <n v="390.03"/>
    <s v="11"/>
    <s v="2012"/>
    <n v="9598.6"/>
    <n v="390.03"/>
    <s v="CREDITOR"/>
    <n v="390.03"/>
    <n v="0"/>
    <n v="0"/>
    <n v="0"/>
    <n v="0"/>
  </r>
  <r>
    <n v="54300921"/>
    <s v="N"/>
    <n v="21349700"/>
    <s v="3000012970150018"/>
    <s v="CIVIL"/>
    <d v="2023-06-29T00:00:00"/>
    <d v="2023-07-10T19:01:40"/>
    <m/>
    <d v="2023-07-10T00:00:00"/>
    <n v="1693"/>
    <n v="20007"/>
    <s v="54300921"/>
    <s v="54300921"/>
    <m/>
    <m/>
    <n v="22786080"/>
    <m/>
    <m/>
    <m/>
    <s v="SOLFIN"/>
    <s v="SOLFIN"/>
    <s v="CCMS"/>
    <n v="21349700"/>
    <n v="12343.79"/>
    <m/>
    <s v="N"/>
    <n v="10"/>
    <d v="2023-07-10T19:01:56"/>
    <s v="Y"/>
    <s v="Hearing Unit 2.31 - 5.00 Hours"/>
    <s v="Public Law Children"/>
    <s v="Advocacy"/>
    <s v="MH"/>
    <s v="Y"/>
    <n v="476.92"/>
    <n v="95.38"/>
    <x v="2"/>
    <s v="VALIDATED"/>
    <n v="1"/>
    <s v="01.11.80.308.6100.0000"/>
    <n v="476.92"/>
    <s v="11"/>
    <s v="6100"/>
    <n v="9598.6"/>
    <n v="476.92"/>
    <s v="CREDITOR"/>
    <n v="0"/>
    <n v="0"/>
    <n v="0"/>
    <n v="0"/>
    <n v="476.92"/>
  </r>
  <r>
    <n v="54300921"/>
    <s v="N"/>
    <n v="21349700"/>
    <s v="3000012970150018"/>
    <s v="CIVIL"/>
    <d v="2023-06-29T00:00:00"/>
    <d v="2023-07-10T19:01:40"/>
    <m/>
    <d v="2023-07-10T00:00:00"/>
    <n v="1693"/>
    <n v="20007"/>
    <s v="54300921"/>
    <s v="54300921"/>
    <m/>
    <m/>
    <n v="22786080"/>
    <m/>
    <m/>
    <m/>
    <s v="SOLFIN"/>
    <s v="SOLFIN"/>
    <s v="CCMS"/>
    <n v="21349700"/>
    <n v="12343.79"/>
    <m/>
    <s v="N"/>
    <n v="19"/>
    <d v="2023-07-10T19:01:56"/>
    <s v="Y"/>
    <s v="Advocates Meeting"/>
    <s v="Public Law Children"/>
    <s v="Advocacy"/>
    <s v="MH"/>
    <s v="Y"/>
    <n v="140.99"/>
    <n v="28.2"/>
    <x v="2"/>
    <s v="VALIDATED"/>
    <n v="1"/>
    <s v="01.11.80.308.6100.0000"/>
    <n v="140.99"/>
    <s v="11"/>
    <s v="6100"/>
    <n v="9598.6"/>
    <n v="140.99"/>
    <s v="CREDITOR"/>
    <n v="0"/>
    <n v="0"/>
    <n v="0"/>
    <n v="0"/>
    <n v="140.99"/>
  </r>
  <r>
    <n v="54300921"/>
    <s v="N"/>
    <n v="21349700"/>
    <s v="3000012970150018"/>
    <s v="CIVIL"/>
    <d v="2023-06-29T00:00:00"/>
    <d v="2023-07-10T19:01:40"/>
    <m/>
    <d v="2023-07-10T00:00:00"/>
    <n v="1693"/>
    <n v="20007"/>
    <s v="54300921"/>
    <s v="54300921"/>
    <m/>
    <m/>
    <n v="22786080"/>
    <m/>
    <m/>
    <m/>
    <s v="SOLFIN"/>
    <s v="SOLFIN"/>
    <s v="CCMS"/>
    <n v="21349700"/>
    <n v="12343.79"/>
    <m/>
    <s v="N"/>
    <n v="8"/>
    <d v="2023-07-10T19:01:56"/>
    <s v="Y"/>
    <s v="Hearing Unit 1.01 - 2.30 Hours"/>
    <s v="Public Law Children"/>
    <s v="Advocacy"/>
    <s v="MH"/>
    <s v="Y"/>
    <n v="238.46"/>
    <n v="47.69"/>
    <x v="2"/>
    <s v="VALIDATED"/>
    <n v="1"/>
    <s v="01.11.80.308.6100.0000"/>
    <n v="238.46"/>
    <s v="11"/>
    <s v="6100"/>
    <n v="9598.6"/>
    <n v="238.46"/>
    <s v="CREDITOR"/>
    <n v="0"/>
    <n v="0"/>
    <n v="0"/>
    <n v="0"/>
    <n v="238.46"/>
  </r>
  <r>
    <n v="54300921"/>
    <s v="N"/>
    <n v="21349700"/>
    <s v="3000012970150018"/>
    <s v="CIVIL"/>
    <d v="2023-06-29T00:00:00"/>
    <d v="2023-07-10T19:01:40"/>
    <m/>
    <d v="2023-07-10T00:00:00"/>
    <n v="1693"/>
    <n v="20007"/>
    <s v="54300921"/>
    <s v="54300921"/>
    <m/>
    <m/>
    <n v="22786080"/>
    <m/>
    <m/>
    <m/>
    <s v="SOLFIN"/>
    <s v="SOLFIN"/>
    <s v="CCMS"/>
    <n v="21349700"/>
    <n v="12343.79"/>
    <m/>
    <s v="N"/>
    <n v="2"/>
    <d v="2023-07-10T19:01:56"/>
    <s v="Y"/>
    <s v="Child psychologist"/>
    <s v="Public Law Children"/>
    <s v="Expert Disbursement"/>
    <s v="MH"/>
    <s v="Y"/>
    <n v="697.77"/>
    <n v="139.55"/>
    <x v="2"/>
    <s v="VALIDATED"/>
    <n v="1"/>
    <s v="01.11.80.308.6300.0000"/>
    <n v="697.77"/>
    <s v="11"/>
    <s v="6300"/>
    <n v="9598.6"/>
    <n v="697.77"/>
    <s v="CREDITOR"/>
    <n v="0"/>
    <n v="0"/>
    <n v="0"/>
    <n v="0"/>
    <n v="697.77"/>
  </r>
  <r>
    <n v="54300921"/>
    <s v="N"/>
    <n v="21349700"/>
    <s v="3000012970150018"/>
    <s v="CIVIL"/>
    <d v="2023-06-29T00:00:00"/>
    <d v="2023-07-10T19:01:40"/>
    <m/>
    <d v="2023-07-10T00:00:00"/>
    <n v="1693"/>
    <n v="20007"/>
    <s v="54300921"/>
    <s v="54300921"/>
    <m/>
    <m/>
    <n v="22786080"/>
    <m/>
    <m/>
    <m/>
    <s v="SOLFIN"/>
    <s v="SOLFIN"/>
    <s v="CCMS"/>
    <n v="21349700"/>
    <n v="12343.79"/>
    <m/>
    <s v="N"/>
    <n v="6"/>
    <d v="2023-07-10T19:01:56"/>
    <s v="Y"/>
    <s v="DNA - test of sample"/>
    <s v="Public Law Children"/>
    <s v="Expert Disbursement"/>
    <s v="MH"/>
    <s v="Y"/>
    <n v="84.8"/>
    <n v="16.96"/>
    <x v="2"/>
    <s v="VALIDATED"/>
    <n v="1"/>
    <s v="01.11.80.308.6300.0000"/>
    <n v="84.8"/>
    <s v="11"/>
    <s v="6300"/>
    <n v="9598.6"/>
    <n v="84.8"/>
    <s v="CREDITOR"/>
    <n v="0"/>
    <n v="0"/>
    <n v="0"/>
    <n v="0"/>
    <n v="84.8"/>
  </r>
  <r>
    <n v="54300921"/>
    <s v="N"/>
    <n v="21356810"/>
    <s v="3000012970150001RC"/>
    <s v="CIVIL"/>
    <d v="2023-06-29T00:00:00"/>
    <d v="2023-07-10T19:47:44"/>
    <m/>
    <d v="2023-07-10T00:00:00"/>
    <n v="1693"/>
    <n v="20007"/>
    <s v="54300921"/>
    <s v="54300921"/>
    <m/>
    <m/>
    <m/>
    <m/>
    <m/>
    <m/>
    <s v="SOLRECOUP"/>
    <s v="SOLRECOUP"/>
    <s v="POARECOUP"/>
    <n v="21356810"/>
    <n v="-101.76"/>
    <m/>
    <s v="Y"/>
    <n v="2"/>
    <d v="2023-07-10T19:47:46"/>
    <s v="N"/>
    <m/>
    <m/>
    <s v="Expert Disbursement"/>
    <m/>
    <s v="N"/>
    <n v="0"/>
    <n v="-16.96"/>
    <x v="2"/>
    <s v="VALIDATED"/>
    <n v="1"/>
    <s v="01.11.80.308.2013.0000"/>
    <n v="-16.96"/>
    <s v="11"/>
    <s v="2013"/>
    <n v="9598.6"/>
    <n v="-16.96"/>
    <s v="CREDITOR"/>
    <n v="0"/>
    <n v="0"/>
    <n v="-16.96"/>
    <n v="0"/>
    <n v="0"/>
  </r>
  <r>
    <n v="54300921"/>
    <s v="N"/>
    <n v="21356810"/>
    <s v="3000012970150001RC"/>
    <s v="CIVIL"/>
    <d v="2023-06-29T00:00:00"/>
    <d v="2023-07-10T19:47:44"/>
    <m/>
    <d v="2023-07-10T00:00:00"/>
    <n v="1693"/>
    <n v="20007"/>
    <s v="54300921"/>
    <s v="54300921"/>
    <m/>
    <m/>
    <m/>
    <m/>
    <m/>
    <m/>
    <s v="SOLRECOUP"/>
    <s v="SOLRECOUP"/>
    <s v="POARECOUP"/>
    <n v="21356810"/>
    <n v="-101.76"/>
    <m/>
    <s v="Y"/>
    <n v="1"/>
    <d v="2023-07-10T19:47:46"/>
    <s v="N"/>
    <m/>
    <m/>
    <s v="Expert Disbursement"/>
    <m/>
    <s v="N"/>
    <n v="-84.8"/>
    <n v="0"/>
    <x v="2"/>
    <s v="VALIDATED"/>
    <n v="1"/>
    <s v="01.11.80.308.2013.0000"/>
    <n v="-84.8"/>
    <s v="11"/>
    <s v="2013"/>
    <n v="9598.6"/>
    <n v="-84.8"/>
    <s v="CREDITOR"/>
    <n v="0"/>
    <n v="0"/>
    <n v="-84.8"/>
    <n v="0"/>
    <n v="0"/>
  </r>
  <r>
    <n v="54300921"/>
    <s v="N"/>
    <n v="21356811"/>
    <s v="3000012970150009RC"/>
    <s v="CIVIL"/>
    <d v="2023-06-29T00:00:00"/>
    <d v="2023-07-10T19:47:44"/>
    <m/>
    <d v="2023-07-10T00:00:00"/>
    <n v="1693"/>
    <n v="20007"/>
    <s v="54300921"/>
    <s v="54300921"/>
    <m/>
    <m/>
    <m/>
    <m/>
    <m/>
    <m/>
    <s v="SOLRECOUP"/>
    <s v="SOLRECOUP"/>
    <s v="POARECOUP"/>
    <n v="21356811"/>
    <n v="-134.64"/>
    <m/>
    <s v="Y"/>
    <n v="1"/>
    <d v="2023-07-10T19:47:46"/>
    <s v="N"/>
    <m/>
    <m/>
    <s v="Expert Disbursement"/>
    <m/>
    <s v="N"/>
    <n v="-112.2"/>
    <n v="0"/>
    <x v="2"/>
    <s v="VALIDATED"/>
    <n v="1"/>
    <s v="01.11.80.308.2013.0000"/>
    <n v="-112.2"/>
    <s v="11"/>
    <s v="2013"/>
    <n v="9598.6"/>
    <n v="-112.2"/>
    <s v="CREDITOR"/>
    <n v="0"/>
    <n v="0"/>
    <n v="-112.2"/>
    <n v="0"/>
    <n v="0"/>
  </r>
  <r>
    <n v="54300921"/>
    <s v="N"/>
    <n v="21356811"/>
    <s v="3000012970150009RC"/>
    <s v="CIVIL"/>
    <d v="2023-06-29T00:00:00"/>
    <d v="2023-07-10T19:47:44"/>
    <m/>
    <d v="2023-07-10T00:00:00"/>
    <n v="1693"/>
    <n v="20007"/>
    <s v="54300921"/>
    <s v="54300921"/>
    <m/>
    <m/>
    <m/>
    <m/>
    <m/>
    <m/>
    <s v="SOLRECOUP"/>
    <s v="SOLRECOUP"/>
    <s v="POARECOUP"/>
    <n v="21356811"/>
    <n v="-134.64"/>
    <m/>
    <s v="Y"/>
    <n v="2"/>
    <d v="2023-07-10T19:47:46"/>
    <s v="N"/>
    <m/>
    <m/>
    <s v="Expert Disbursement"/>
    <m/>
    <s v="N"/>
    <n v="0"/>
    <n v="-22.44"/>
    <x v="2"/>
    <s v="VALIDATED"/>
    <n v="1"/>
    <s v="01.11.80.308.2013.0000"/>
    <n v="-22.44"/>
    <s v="11"/>
    <s v="2013"/>
    <n v="9598.6"/>
    <n v="-22.44"/>
    <s v="CREDITOR"/>
    <n v="0"/>
    <n v="0"/>
    <n v="-22.44"/>
    <n v="0"/>
    <n v="0"/>
  </r>
  <r>
    <n v="54300921"/>
    <s v="N"/>
    <n v="21356812"/>
    <s v="3000012970150003RC"/>
    <s v="CIVIL"/>
    <d v="2023-06-29T00:00:00"/>
    <d v="2023-07-10T19:47:44"/>
    <m/>
    <d v="2023-07-10T00:00:00"/>
    <n v="1693"/>
    <n v="20007"/>
    <s v="54300921"/>
    <s v="54300921"/>
    <m/>
    <m/>
    <m/>
    <m/>
    <m/>
    <m/>
    <s v="SOLRECOUP"/>
    <s v="SOLRECOUP"/>
    <s v="POARECOUP"/>
    <n v="21356812"/>
    <n v="-2011.66"/>
    <m/>
    <s v="Y"/>
    <n v="1"/>
    <d v="2023-07-10T19:47:46"/>
    <s v="N"/>
    <m/>
    <m/>
    <s v="Profit Cost"/>
    <m/>
    <s v="N"/>
    <n v="-1676.38"/>
    <n v="0"/>
    <x v="2"/>
    <s v="VALIDATED"/>
    <n v="1"/>
    <s v="01.11.80.308.2013.0000"/>
    <n v="-1676.38"/>
    <s v="11"/>
    <s v="2013"/>
    <n v="9598.6"/>
    <n v="-1676.38"/>
    <s v="CREDITOR"/>
    <n v="0"/>
    <n v="0"/>
    <n v="-1676.38"/>
    <n v="-419.095"/>
    <n v="0"/>
  </r>
  <r>
    <n v="54300921"/>
    <s v="N"/>
    <n v="21356812"/>
    <s v="3000012970150003RC"/>
    <s v="CIVIL"/>
    <d v="2023-06-29T00:00:00"/>
    <d v="2023-07-10T19:47:44"/>
    <m/>
    <d v="2023-07-10T00:00:00"/>
    <n v="1693"/>
    <n v="20007"/>
    <s v="54300921"/>
    <s v="54300921"/>
    <m/>
    <m/>
    <m/>
    <m/>
    <m/>
    <m/>
    <s v="SOLRECOUP"/>
    <s v="SOLRECOUP"/>
    <s v="POARECOUP"/>
    <n v="21356812"/>
    <n v="-2011.66"/>
    <m/>
    <s v="Y"/>
    <n v="2"/>
    <d v="2023-07-10T19:47:46"/>
    <s v="N"/>
    <m/>
    <m/>
    <s v="Profit Cost"/>
    <m/>
    <s v="N"/>
    <n v="0"/>
    <n v="-335.28"/>
    <x v="2"/>
    <s v="VALIDATED"/>
    <n v="1"/>
    <s v="01.11.80.308.2013.0000"/>
    <n v="-335.28"/>
    <s v="11"/>
    <s v="2013"/>
    <n v="9598.6"/>
    <n v="-335.28"/>
    <s v="CREDITOR"/>
    <n v="0"/>
    <n v="0"/>
    <n v="-335.28"/>
    <n v="-83.81999999999999"/>
    <n v="0"/>
  </r>
  <r>
    <n v="54300921"/>
    <s v="N"/>
    <n v="21356813"/>
    <s v="3000012970150006RC"/>
    <s v="CIVIL"/>
    <d v="2023-06-29T00:00:00"/>
    <d v="2023-07-10T19:47:44"/>
    <m/>
    <d v="2023-07-10T00:00:00"/>
    <n v="1693"/>
    <n v="20007"/>
    <s v="54300921"/>
    <s v="54300921"/>
    <m/>
    <m/>
    <m/>
    <m/>
    <m/>
    <m/>
    <s v="SOLRECOUP"/>
    <s v="SOLRECOUP"/>
    <s v="POARECOUP"/>
    <n v="21356813"/>
    <n v="-443.4"/>
    <m/>
    <s v="Y"/>
    <n v="1"/>
    <d v="2023-07-10T19:47:46"/>
    <s v="N"/>
    <m/>
    <m/>
    <s v="Expert Disbursement"/>
    <m/>
    <s v="N"/>
    <n v="-369.5"/>
    <n v="0"/>
    <x v="2"/>
    <s v="VALIDATED"/>
    <n v="1"/>
    <s v="01.11.80.308.2013.0000"/>
    <n v="-369.5"/>
    <s v="11"/>
    <s v="2013"/>
    <n v="9598.6"/>
    <n v="-369.5"/>
    <s v="CREDITOR"/>
    <n v="0"/>
    <n v="0"/>
    <n v="-369.5"/>
    <n v="0"/>
    <n v="0"/>
  </r>
  <r>
    <n v="54300921"/>
    <s v="N"/>
    <n v="21356813"/>
    <s v="3000012970150006RC"/>
    <s v="CIVIL"/>
    <d v="2023-06-29T00:00:00"/>
    <d v="2023-07-10T19:47:44"/>
    <m/>
    <d v="2023-07-10T00:00:00"/>
    <n v="1693"/>
    <n v="20007"/>
    <s v="54300921"/>
    <s v="54300921"/>
    <m/>
    <m/>
    <m/>
    <m/>
    <m/>
    <m/>
    <s v="SOLRECOUP"/>
    <s v="SOLRECOUP"/>
    <s v="POARECOUP"/>
    <n v="21356813"/>
    <n v="-443.4"/>
    <m/>
    <s v="Y"/>
    <n v="2"/>
    <d v="2023-07-10T19:47:46"/>
    <s v="N"/>
    <m/>
    <m/>
    <s v="Expert Disbursement"/>
    <m/>
    <s v="N"/>
    <n v="0"/>
    <n v="-73.90000000000001"/>
    <x v="2"/>
    <s v="VALIDATED"/>
    <n v="1"/>
    <s v="01.11.80.308.2013.0000"/>
    <n v="-73.90000000000001"/>
    <s v="11"/>
    <s v="2013"/>
    <n v="9598.6"/>
    <n v="-73.90000000000001"/>
    <s v="CREDITOR"/>
    <n v="0"/>
    <n v="0"/>
    <n v="-73.90000000000001"/>
    <n v="0"/>
    <n v="0"/>
  </r>
  <r>
    <n v="54300921"/>
    <s v="N"/>
    <n v="21356814"/>
    <s v="3000012970150017RC"/>
    <s v="CIVIL"/>
    <d v="2023-06-29T00:00:00"/>
    <d v="2023-07-10T19:47:44"/>
    <m/>
    <d v="2023-07-10T00:00:00"/>
    <n v="1693"/>
    <n v="20007"/>
    <s v="54300921"/>
    <s v="54300921"/>
    <m/>
    <m/>
    <m/>
    <m/>
    <m/>
    <m/>
    <s v="SOLRECOUP"/>
    <s v="SOLRECOUP"/>
    <s v="POARECOUP"/>
    <n v="21356814"/>
    <n v="-55.44"/>
    <m/>
    <s v="Y"/>
    <n v="2"/>
    <d v="2023-07-10T19:47:46"/>
    <s v="N"/>
    <m/>
    <m/>
    <s v="Expert Disbursement"/>
    <m/>
    <s v="N"/>
    <n v="0"/>
    <n v="-9.24"/>
    <x v="2"/>
    <s v="VALIDATED"/>
    <n v="1"/>
    <s v="01.11.80.308.2013.0000"/>
    <n v="-9.24"/>
    <s v="11"/>
    <s v="2013"/>
    <n v="9598.6"/>
    <n v="-9.24"/>
    <s v="CREDITOR"/>
    <n v="0"/>
    <n v="0"/>
    <n v="-9.24"/>
    <n v="0"/>
    <n v="0"/>
  </r>
  <r>
    <n v="54300921"/>
    <s v="N"/>
    <n v="21356814"/>
    <s v="3000012970150017RC"/>
    <s v="CIVIL"/>
    <d v="2023-06-29T00:00:00"/>
    <d v="2023-07-10T19:47:44"/>
    <m/>
    <d v="2023-07-10T00:00:00"/>
    <n v="1693"/>
    <n v="20007"/>
    <s v="54300921"/>
    <s v="54300921"/>
    <m/>
    <m/>
    <m/>
    <m/>
    <m/>
    <m/>
    <s v="SOLRECOUP"/>
    <s v="SOLRECOUP"/>
    <s v="POARECOUP"/>
    <n v="21356814"/>
    <n v="-55.44"/>
    <m/>
    <s v="Y"/>
    <n v="1"/>
    <d v="2023-07-10T19:47:46"/>
    <s v="N"/>
    <m/>
    <m/>
    <s v="Expert Disbursement"/>
    <m/>
    <s v="N"/>
    <n v="-46.2"/>
    <n v="0"/>
    <x v="2"/>
    <s v="VALIDATED"/>
    <n v="1"/>
    <s v="01.11.80.308.2013.0000"/>
    <n v="-46.2"/>
    <s v="11"/>
    <s v="2013"/>
    <n v="9598.6"/>
    <n v="-46.2"/>
    <s v="CREDITOR"/>
    <n v="0"/>
    <n v="0"/>
    <n v="-46.2"/>
    <n v="0"/>
    <n v="0"/>
  </r>
  <r>
    <n v="54300921"/>
    <s v="N"/>
    <n v="21356815"/>
    <s v="3000012970150012RC"/>
    <s v="CIVIL"/>
    <d v="2023-06-29T00:00:00"/>
    <d v="2023-07-10T19:47:44"/>
    <m/>
    <d v="2023-07-10T00:00:00"/>
    <n v="1693"/>
    <n v="20007"/>
    <s v="54300921"/>
    <s v="54300921"/>
    <m/>
    <m/>
    <m/>
    <m/>
    <m/>
    <m/>
    <s v="SOLRECOUP"/>
    <s v="SOLRECOUP"/>
    <s v="POARECOUP"/>
    <n v="21356815"/>
    <n v="-837.3099999999999"/>
    <m/>
    <s v="Y"/>
    <n v="2"/>
    <d v="2023-07-10T19:47:46"/>
    <s v="N"/>
    <m/>
    <m/>
    <s v="Expert Disbursement"/>
    <m/>
    <s v="N"/>
    <n v="0"/>
    <n v="-139.55"/>
    <x v="2"/>
    <s v="VALIDATED"/>
    <n v="1"/>
    <s v="01.11.80.308.2013.0000"/>
    <n v="-139.55"/>
    <s v="11"/>
    <s v="2013"/>
    <n v="9598.6"/>
    <n v="-139.55"/>
    <s v="CREDITOR"/>
    <n v="0"/>
    <n v="0"/>
    <n v="-139.55"/>
    <n v="0"/>
    <n v="0"/>
  </r>
  <r>
    <n v="54300921"/>
    <s v="N"/>
    <n v="21356815"/>
    <s v="3000012970150012RC"/>
    <s v="CIVIL"/>
    <d v="2023-06-29T00:00:00"/>
    <d v="2023-07-10T19:47:44"/>
    <m/>
    <d v="2023-07-10T00:00:00"/>
    <n v="1693"/>
    <n v="20007"/>
    <s v="54300921"/>
    <s v="54300921"/>
    <m/>
    <m/>
    <m/>
    <m/>
    <m/>
    <m/>
    <s v="SOLRECOUP"/>
    <s v="SOLRECOUP"/>
    <s v="POARECOUP"/>
    <n v="21356815"/>
    <n v="-837.3099999999999"/>
    <m/>
    <s v="Y"/>
    <n v="1"/>
    <d v="2023-07-10T19:47:46"/>
    <s v="N"/>
    <m/>
    <m/>
    <s v="Expert Disbursement"/>
    <m/>
    <s v="N"/>
    <n v="-697.76"/>
    <n v="0"/>
    <x v="2"/>
    <s v="VALIDATED"/>
    <n v="1"/>
    <s v="01.11.80.308.2013.0000"/>
    <n v="-697.76"/>
    <s v="11"/>
    <s v="2013"/>
    <n v="9598.6"/>
    <n v="-697.76"/>
    <s v="CREDITOR"/>
    <n v="0"/>
    <n v="0"/>
    <n v="-697.76"/>
    <n v="0"/>
    <n v="0"/>
  </r>
  <r>
    <n v="60362380"/>
    <s v="N"/>
    <n v="21392574"/>
    <s v="3000014654310004"/>
    <s v="CIVIL"/>
    <d v="2023-05-25T00:00:00"/>
    <d v="2023-07-18T19:00:27"/>
    <m/>
    <d v="2023-07-18T00:00:00"/>
    <n v="1695"/>
    <n v="20029"/>
    <s v="60362380"/>
    <s v="60362380"/>
    <m/>
    <m/>
    <n v="22579652"/>
    <m/>
    <m/>
    <m/>
    <s v="SOLFIN"/>
    <s v="SOLFIN"/>
    <s v="CCMS"/>
    <n v="21392574"/>
    <n v="6232.65"/>
    <m/>
    <s v="N"/>
    <n v="4"/>
    <d v="2023-07-18T19:00:53"/>
    <s v="Y"/>
    <s v="Psychologist"/>
    <s v="Public Law Children"/>
    <s v="Expert Disbursement"/>
    <s v="Jeremy Fish"/>
    <s v="Y"/>
    <n v="280.8"/>
    <n v="56.16"/>
    <x v="14"/>
    <s v="VALIDATED"/>
    <n v="1"/>
    <s v="01.11.80.308.6300.0000"/>
    <n v="280.8"/>
    <s v="11"/>
    <s v="6300"/>
    <n v="4721.43"/>
    <n v="280.8"/>
    <s v="CREDITOR"/>
    <n v="0"/>
    <n v="0"/>
    <n v="0"/>
    <n v="0"/>
    <n v="280.8"/>
  </r>
  <r>
    <n v="60362380"/>
    <s v="N"/>
    <n v="21392574"/>
    <s v="3000014654310004"/>
    <s v="CIVIL"/>
    <d v="2023-05-25T00:00:00"/>
    <d v="2023-07-18T19:00:27"/>
    <m/>
    <d v="2023-07-18T00:00:00"/>
    <n v="1695"/>
    <n v="20029"/>
    <s v="60362380"/>
    <s v="60362380"/>
    <m/>
    <m/>
    <n v="22579652"/>
    <m/>
    <m/>
    <m/>
    <s v="SOLFIN"/>
    <s v="SOLFIN"/>
    <s v="CCMS"/>
    <n v="21392574"/>
    <n v="6232.65"/>
    <m/>
    <s v="N"/>
    <n v="7"/>
    <d v="2023-07-18T19:00:53"/>
    <s v="Y"/>
    <s v="Advocates Meeting"/>
    <s v="Public Law Children"/>
    <s v="Advocacy"/>
    <s v="Jeremy Fish"/>
    <s v="Y"/>
    <n v="140.99"/>
    <n v="28.2"/>
    <x v="14"/>
    <s v="VALIDATED"/>
    <n v="1"/>
    <s v="01.11.80.308.6100.0000"/>
    <n v="140.99"/>
    <s v="11"/>
    <s v="6100"/>
    <n v="4721.43"/>
    <n v="140.99"/>
    <s v="CREDITOR"/>
    <n v="0"/>
    <n v="0"/>
    <n v="0"/>
    <n v="0"/>
    <n v="140.99"/>
  </r>
  <r>
    <n v="60362380"/>
    <s v="N"/>
    <n v="21392574"/>
    <s v="3000014654310004"/>
    <s v="CIVIL"/>
    <d v="2023-05-25T00:00:00"/>
    <d v="2023-07-18T19:00:27"/>
    <m/>
    <d v="2023-07-18T00:00:00"/>
    <n v="1695"/>
    <n v="20029"/>
    <s v="60362380"/>
    <s v="60362380"/>
    <m/>
    <m/>
    <n v="22579652"/>
    <m/>
    <m/>
    <m/>
    <s v="SOLFIN"/>
    <s v="SOLFIN"/>
    <s v="CCMS"/>
    <n v="21392574"/>
    <n v="6232.65"/>
    <m/>
    <s v="N"/>
    <n v="5"/>
    <d v="2023-07-18T19:00:53"/>
    <s v="Y"/>
    <s v="Psychologist"/>
    <s v="Public Law Children"/>
    <s v="Expert Disbursement"/>
    <s v="Jeremy Fish"/>
    <s v="Y"/>
    <n v="93.59999999999999"/>
    <n v="18.72"/>
    <x v="14"/>
    <s v="VALIDATED"/>
    <n v="1"/>
    <s v="01.11.80.308.6300.0000"/>
    <n v="93.59999999999999"/>
    <s v="11"/>
    <s v="6300"/>
    <n v="4721.43"/>
    <n v="93.59999999999999"/>
    <s v="CREDITOR"/>
    <n v="0"/>
    <n v="0"/>
    <n v="0"/>
    <n v="0"/>
    <n v="93.59999999999999"/>
  </r>
  <r>
    <n v="60362380"/>
    <s v="N"/>
    <n v="21392574"/>
    <s v="3000014654310004"/>
    <s v="CIVIL"/>
    <d v="2023-05-25T00:00:00"/>
    <d v="2023-07-18T19:00:27"/>
    <m/>
    <d v="2023-07-18T00:00:00"/>
    <n v="1695"/>
    <n v="20029"/>
    <s v="60362380"/>
    <s v="60362380"/>
    <m/>
    <m/>
    <n v="22579652"/>
    <m/>
    <m/>
    <m/>
    <s v="SOLFIN"/>
    <s v="SOLFIN"/>
    <s v="CCMS"/>
    <n v="21392574"/>
    <n v="6232.65"/>
    <m/>
    <s v="N"/>
    <n v="15"/>
    <d v="2023-07-18T19:00:53"/>
    <s v="Y"/>
    <s v="Solicitors Fixed Fee"/>
    <s v="Public Law Children"/>
    <s v="Profit Cost"/>
    <s v="Jeremy Fish"/>
    <s v="Y"/>
    <n v="1911"/>
    <n v="382.2"/>
    <x v="14"/>
    <s v="VALIDATED"/>
    <n v="1"/>
    <s v="01.11.80.308.6100.0000"/>
    <n v="1911"/>
    <s v="11"/>
    <s v="6100"/>
    <n v="4721.43"/>
    <n v="1911"/>
    <s v="CREDITOR"/>
    <n v="0"/>
    <n v="0"/>
    <n v="0"/>
    <n v="0"/>
    <n v="1911"/>
  </r>
  <r>
    <n v="60279922"/>
    <s v="N"/>
    <n v="21337765"/>
    <s v="3000014571620015"/>
    <s v="CIVIL"/>
    <d v="2023-06-29T00:00:00"/>
    <d v="2023-07-06T19:21:01"/>
    <m/>
    <d v="2023-07-06T00:00:00"/>
    <n v="1695"/>
    <n v="20029"/>
    <s v="60279922"/>
    <s v="60279922"/>
    <m/>
    <m/>
    <n v="22788118"/>
    <m/>
    <m/>
    <m/>
    <s v="SOLPOA"/>
    <s v="SOLPOA"/>
    <s v="CCMS"/>
    <n v="21337765"/>
    <n v="140.4"/>
    <m/>
    <s v="N"/>
    <n v="1"/>
    <d v="2023-07-06T19:21:07"/>
    <s v="N"/>
    <s v="Expert Cost"/>
    <s v="Expert Cost"/>
    <s v="Expert Disbursement"/>
    <s v="Jeremy Fish"/>
    <s v="N"/>
    <n v="117"/>
    <n v="23.4"/>
    <x v="4"/>
    <s v="VALIDATED"/>
    <n v="1"/>
    <s v="01.11.80.308.2012.0000"/>
    <n v="117"/>
    <s v="11"/>
    <s v="2012"/>
    <n v="4721.43"/>
    <n v="117"/>
    <s v="CREDITOR"/>
    <n v="117"/>
    <n v="0"/>
    <n v="0"/>
    <n v="0"/>
    <n v="0"/>
  </r>
  <r>
    <n v="60362380"/>
    <s v="N"/>
    <n v="21392574"/>
    <s v="3000014654310004"/>
    <s v="CIVIL"/>
    <d v="2023-05-25T00:00:00"/>
    <d v="2023-07-18T19:00:27"/>
    <m/>
    <d v="2023-07-18T00:00:00"/>
    <n v="1695"/>
    <n v="20029"/>
    <s v="60362380"/>
    <s v="60362380"/>
    <m/>
    <m/>
    <n v="22579652"/>
    <m/>
    <m/>
    <m/>
    <s v="SOLFIN"/>
    <s v="SOLFIN"/>
    <s v="CCMS"/>
    <n v="21392574"/>
    <n v="6232.65"/>
    <m/>
    <s v="N"/>
    <n v="13"/>
    <d v="2023-07-18T19:00:53"/>
    <s v="Y"/>
    <s v="Hearing Unit 1.01 - 2.30 Hours"/>
    <s v="Public Law Children"/>
    <s v="Advocacy"/>
    <s v="Jeremy Fish"/>
    <s v="Y"/>
    <n v="238.46"/>
    <n v="47.69"/>
    <x v="14"/>
    <s v="VALIDATED"/>
    <n v="1"/>
    <s v="01.11.80.308.6100.0000"/>
    <n v="238.46"/>
    <s v="11"/>
    <s v="6100"/>
    <n v="4721.43"/>
    <n v="238.46"/>
    <s v="CREDITOR"/>
    <n v="0"/>
    <n v="0"/>
    <n v="0"/>
    <n v="0"/>
    <n v="238.46"/>
  </r>
  <r>
    <n v="60362380"/>
    <s v="N"/>
    <n v="21392574"/>
    <s v="3000014654310004"/>
    <s v="CIVIL"/>
    <d v="2023-05-25T00:00:00"/>
    <d v="2023-07-18T19:00:27"/>
    <m/>
    <d v="2023-07-18T00:00:00"/>
    <n v="1695"/>
    <n v="20029"/>
    <s v="60362380"/>
    <s v="60362380"/>
    <m/>
    <m/>
    <n v="22579652"/>
    <m/>
    <m/>
    <m/>
    <s v="SOLFIN"/>
    <s v="SOLFIN"/>
    <s v="CCMS"/>
    <n v="21392574"/>
    <n v="6232.65"/>
    <m/>
    <s v="N"/>
    <n v="3"/>
    <d v="2023-07-18T19:00:53"/>
    <s v="Y"/>
    <s v="Toxicologist"/>
    <s v="Public Law Children"/>
    <s v="Expert Disbursement"/>
    <s v="Jeremy Fish"/>
    <s v="Y"/>
    <n v="140"/>
    <n v="28"/>
    <x v="14"/>
    <s v="VALIDATED"/>
    <n v="1"/>
    <s v="01.11.80.308.6300.0000"/>
    <n v="140"/>
    <s v="11"/>
    <s v="6300"/>
    <n v="4721.43"/>
    <n v="140"/>
    <s v="CREDITOR"/>
    <n v="0"/>
    <n v="0"/>
    <n v="0"/>
    <n v="0"/>
    <n v="140"/>
  </r>
  <r>
    <n v="60362380"/>
    <s v="N"/>
    <n v="21392574"/>
    <s v="3000014654310004"/>
    <s v="CIVIL"/>
    <d v="2023-05-25T00:00:00"/>
    <d v="2023-07-18T19:00:27"/>
    <m/>
    <d v="2023-07-18T00:00:00"/>
    <n v="1695"/>
    <n v="20029"/>
    <s v="60362380"/>
    <s v="60362380"/>
    <m/>
    <m/>
    <n v="22579652"/>
    <m/>
    <m/>
    <m/>
    <s v="SOLFIN"/>
    <s v="SOLFIN"/>
    <s v="CCMS"/>
    <n v="21392574"/>
    <n v="6232.65"/>
    <m/>
    <s v="N"/>
    <n v="10"/>
    <d v="2023-07-18T19:00:53"/>
    <s v="Y"/>
    <s v="Hearing Unit 2.31 - 5.00 Hours"/>
    <s v="Public Law Children"/>
    <s v="Advocacy"/>
    <s v="Jeremy Fish"/>
    <s v="Y"/>
    <n v="476.92"/>
    <n v="95.38"/>
    <x v="14"/>
    <s v="VALIDATED"/>
    <n v="1"/>
    <s v="01.11.80.308.6100.0000"/>
    <n v="476.92"/>
    <s v="11"/>
    <s v="6100"/>
    <n v="4721.43"/>
    <n v="476.92"/>
    <s v="CREDITOR"/>
    <n v="0"/>
    <n v="0"/>
    <n v="0"/>
    <n v="0"/>
    <n v="476.92"/>
  </r>
  <r>
    <n v="60362380"/>
    <s v="N"/>
    <n v="21392574"/>
    <s v="3000014654310004"/>
    <s v="CIVIL"/>
    <d v="2023-05-25T00:00:00"/>
    <d v="2023-07-18T19:00:27"/>
    <m/>
    <d v="2023-07-18T00:00:00"/>
    <n v="1695"/>
    <n v="20029"/>
    <s v="60362380"/>
    <s v="60362380"/>
    <m/>
    <m/>
    <n v="22579652"/>
    <m/>
    <m/>
    <m/>
    <s v="SOLFIN"/>
    <s v="SOLFIN"/>
    <s v="CCMS"/>
    <n v="21392574"/>
    <n v="6232.65"/>
    <m/>
    <s v="N"/>
    <n v="9"/>
    <d v="2023-07-18T19:00:53"/>
    <s v="Y"/>
    <s v="Advocates Meeting"/>
    <s v="Public Law Children"/>
    <s v="Advocacy"/>
    <s v="Jeremy Fish"/>
    <s v="Y"/>
    <n v="140.99"/>
    <n v="28.2"/>
    <x v="14"/>
    <s v="VALIDATED"/>
    <n v="1"/>
    <s v="01.11.80.308.6100.0000"/>
    <n v="140.99"/>
    <s v="11"/>
    <s v="6100"/>
    <n v="4721.43"/>
    <n v="140.99"/>
    <s v="CREDITOR"/>
    <n v="0"/>
    <n v="0"/>
    <n v="0"/>
    <n v="0"/>
    <n v="140.99"/>
  </r>
  <r>
    <n v="60362380"/>
    <s v="N"/>
    <n v="21392574"/>
    <s v="3000014654310004"/>
    <s v="CIVIL"/>
    <d v="2023-05-25T00:00:00"/>
    <d v="2023-07-18T19:00:27"/>
    <m/>
    <d v="2023-07-18T00:00:00"/>
    <n v="1695"/>
    <n v="20029"/>
    <s v="60362380"/>
    <s v="60362380"/>
    <m/>
    <m/>
    <n v="22579652"/>
    <m/>
    <m/>
    <m/>
    <s v="SOLFIN"/>
    <s v="SOLFIN"/>
    <s v="CCMS"/>
    <n v="21392574"/>
    <n v="6232.65"/>
    <m/>
    <s v="N"/>
    <n v="2"/>
    <d v="2023-07-18T19:00:53"/>
    <s v="Y"/>
    <s v="Interim Hearing Court Bundle/Advoca"/>
    <s v="Public Law Children"/>
    <s v="Advocacy"/>
    <s v="Jeremy Fish"/>
    <s v="Y"/>
    <n v="59.4"/>
    <n v="11.88"/>
    <x v="14"/>
    <s v="VALIDATED"/>
    <n v="1"/>
    <s v="01.11.80.308.6100.0000"/>
    <n v="59.4"/>
    <s v="11"/>
    <s v="6100"/>
    <n v="4721.43"/>
    <n v="59.4"/>
    <s v="CREDITOR"/>
    <n v="0"/>
    <n v="0"/>
    <n v="0"/>
    <n v="0"/>
    <n v="59.4"/>
  </r>
  <r>
    <n v="60362380"/>
    <s v="N"/>
    <n v="21392574"/>
    <s v="3000014654310004"/>
    <s v="CIVIL"/>
    <d v="2023-05-25T00:00:00"/>
    <d v="2023-07-18T19:00:27"/>
    <m/>
    <d v="2023-07-18T00:00:00"/>
    <n v="1695"/>
    <n v="20029"/>
    <s v="60362380"/>
    <s v="60362380"/>
    <m/>
    <m/>
    <n v="22579652"/>
    <m/>
    <m/>
    <m/>
    <s v="SOLFIN"/>
    <s v="SOLFIN"/>
    <s v="CCMS"/>
    <n v="21392574"/>
    <n v="6232.65"/>
    <m/>
    <s v="N"/>
    <n v="1"/>
    <d v="2023-07-18T19:00:53"/>
    <s v="Y"/>
    <s v="Final Hearing Court Bundle/Advocate"/>
    <s v="Public Law Children"/>
    <s v="Advocacy"/>
    <s v="Jeremy Fish"/>
    <s v="Y"/>
    <n v="159.3"/>
    <n v="31.86"/>
    <x v="14"/>
    <s v="VALIDATED"/>
    <n v="1"/>
    <s v="01.11.80.308.6100.0000"/>
    <n v="159.3"/>
    <s v="11"/>
    <s v="6100"/>
    <n v="4721.43"/>
    <n v="159.3"/>
    <s v="CREDITOR"/>
    <n v="0"/>
    <n v="0"/>
    <n v="0"/>
    <n v="0"/>
    <n v="159.3"/>
  </r>
  <r>
    <n v="60362380"/>
    <s v="N"/>
    <n v="21392574"/>
    <s v="3000014654310004"/>
    <s v="CIVIL"/>
    <d v="2023-05-25T00:00:00"/>
    <d v="2023-07-18T19:00:27"/>
    <m/>
    <d v="2023-07-18T00:00:00"/>
    <n v="1695"/>
    <n v="20029"/>
    <s v="60362380"/>
    <s v="60362380"/>
    <m/>
    <m/>
    <n v="22579652"/>
    <m/>
    <m/>
    <m/>
    <s v="SOLFIN"/>
    <s v="SOLFIN"/>
    <s v="CCMS"/>
    <n v="21392574"/>
    <n v="6232.65"/>
    <m/>
    <s v="N"/>
    <n v="12"/>
    <d v="2023-07-18T19:00:53"/>
    <s v="Y"/>
    <s v="Final Hearing - 1 Day"/>
    <s v="Public Law Children"/>
    <s v="Advocacy"/>
    <s v="Jeremy Fish"/>
    <s v="Y"/>
    <n v="556.88"/>
    <n v="111.38"/>
    <x v="14"/>
    <s v="VALIDATED"/>
    <n v="1"/>
    <s v="01.11.80.308.6100.0000"/>
    <n v="556.88"/>
    <s v="11"/>
    <s v="6100"/>
    <n v="4721.43"/>
    <n v="556.88"/>
    <s v="CREDITOR"/>
    <n v="0"/>
    <n v="0"/>
    <n v="0"/>
    <n v="0"/>
    <n v="556.88"/>
  </r>
  <r>
    <n v="60362380"/>
    <s v="N"/>
    <n v="21392574"/>
    <s v="3000014654310004"/>
    <s v="CIVIL"/>
    <d v="2023-05-25T00:00:00"/>
    <d v="2023-07-18T19:00:27"/>
    <m/>
    <d v="2023-07-18T00:00:00"/>
    <n v="1695"/>
    <n v="20029"/>
    <s v="60362380"/>
    <s v="60362380"/>
    <m/>
    <m/>
    <n v="22579652"/>
    <m/>
    <m/>
    <m/>
    <s v="SOLFIN"/>
    <s v="SOLFIN"/>
    <s v="CCMS"/>
    <n v="21392574"/>
    <n v="6232.65"/>
    <m/>
    <s v="N"/>
    <n v="11"/>
    <d v="2023-07-18T19:00:53"/>
    <s v="Y"/>
    <s v="Hearing Unit 1.01 - 2.30 Hours"/>
    <s v="Public Law Children"/>
    <s v="Advocacy"/>
    <s v="Jeremy Fish"/>
    <s v="Y"/>
    <n v="238.46"/>
    <n v="47.69"/>
    <x v="14"/>
    <s v="VALIDATED"/>
    <n v="1"/>
    <s v="01.11.80.308.6100.0000"/>
    <n v="238.46"/>
    <s v="11"/>
    <s v="6100"/>
    <n v="4721.43"/>
    <n v="238.46"/>
    <s v="CREDITOR"/>
    <n v="0"/>
    <n v="0"/>
    <n v="0"/>
    <n v="0"/>
    <n v="238.46"/>
  </r>
  <r>
    <n v="60362380"/>
    <s v="N"/>
    <n v="21392574"/>
    <s v="3000014654310004"/>
    <s v="CIVIL"/>
    <d v="2023-05-25T00:00:00"/>
    <d v="2023-07-18T19:00:27"/>
    <m/>
    <d v="2023-07-18T00:00:00"/>
    <n v="1695"/>
    <n v="20029"/>
    <s v="60362380"/>
    <s v="60362380"/>
    <m/>
    <m/>
    <n v="22579652"/>
    <m/>
    <m/>
    <m/>
    <s v="SOLFIN"/>
    <s v="SOLFIN"/>
    <s v="CCMS"/>
    <n v="21392574"/>
    <n v="6232.65"/>
    <m/>
    <s v="N"/>
    <n v="8"/>
    <d v="2023-07-18T19:00:53"/>
    <s v="Y"/>
    <s v="Advocates Meeting"/>
    <s v="Public Law Children"/>
    <s v="Advocacy"/>
    <s v="Jeremy Fish"/>
    <s v="Y"/>
    <n v="140.99"/>
    <n v="28.2"/>
    <x v="14"/>
    <s v="VALIDATED"/>
    <n v="1"/>
    <s v="01.11.80.308.6100.0000"/>
    <n v="140.99"/>
    <s v="11"/>
    <s v="6100"/>
    <n v="4721.43"/>
    <n v="140.99"/>
    <s v="CREDITOR"/>
    <n v="0"/>
    <n v="0"/>
    <n v="0"/>
    <n v="0"/>
    <n v="140.99"/>
  </r>
  <r>
    <n v="60362380"/>
    <s v="N"/>
    <n v="21392574"/>
    <s v="3000014654310004"/>
    <s v="CIVIL"/>
    <d v="2023-05-25T00:00:00"/>
    <d v="2023-07-18T19:00:27"/>
    <m/>
    <d v="2023-07-18T00:00:00"/>
    <n v="1695"/>
    <n v="20029"/>
    <s v="60362380"/>
    <s v="60362380"/>
    <m/>
    <m/>
    <n v="22579652"/>
    <m/>
    <m/>
    <m/>
    <s v="SOLFIN"/>
    <s v="SOLFIN"/>
    <s v="CCMS"/>
    <n v="21392574"/>
    <n v="6232.65"/>
    <m/>
    <s v="N"/>
    <n v="6"/>
    <d v="2023-07-18T19:00:53"/>
    <s v="Y"/>
    <s v="Court Fee"/>
    <s v="Public Law Children"/>
    <s v="Non Expert Disbursement"/>
    <s v="Jeremy Fish"/>
    <s v="Y"/>
    <n v="167"/>
    <n v="0"/>
    <x v="14"/>
    <s v="VALIDATED"/>
    <n v="1"/>
    <s v="01.11.80.308.6300.0000"/>
    <n v="167"/>
    <s v="11"/>
    <s v="6300"/>
    <n v="4721.43"/>
    <n v="167"/>
    <s v="CREDITOR"/>
    <n v="0"/>
    <n v="0"/>
    <n v="0"/>
    <n v="0"/>
    <n v="167"/>
  </r>
  <r>
    <n v="60362380"/>
    <s v="N"/>
    <n v="21392574"/>
    <s v="3000014654310004"/>
    <s v="CIVIL"/>
    <d v="2023-05-25T00:00:00"/>
    <d v="2023-07-18T19:00:27"/>
    <m/>
    <d v="2023-07-18T00:00:00"/>
    <n v="1695"/>
    <n v="20029"/>
    <s v="60362380"/>
    <s v="60362380"/>
    <m/>
    <m/>
    <n v="22579652"/>
    <m/>
    <m/>
    <m/>
    <s v="SOLFIN"/>
    <s v="SOLFIN"/>
    <s v="CCMS"/>
    <n v="21392574"/>
    <n v="6232.65"/>
    <m/>
    <s v="N"/>
    <n v="14"/>
    <d v="2023-07-18T19:00:53"/>
    <s v="Y"/>
    <s v="Hearing Unit 2.31 - 5.00 Hours"/>
    <s v="Public Law Children"/>
    <s v="Advocacy"/>
    <s v="Jeremy Fish"/>
    <s v="Y"/>
    <n v="476.92"/>
    <n v="95.38"/>
    <x v="14"/>
    <s v="VALIDATED"/>
    <n v="1"/>
    <s v="01.11.80.308.6100.0000"/>
    <n v="476.92"/>
    <s v="11"/>
    <s v="6100"/>
    <n v="4721.43"/>
    <n v="476.92"/>
    <s v="CREDITOR"/>
    <n v="0"/>
    <n v="0"/>
    <n v="0"/>
    <n v="0"/>
    <n v="476.92"/>
  </r>
  <r>
    <n v="60362380"/>
    <s v="N"/>
    <n v="21393426"/>
    <s v="3000014654310001RC"/>
    <s v="CIVIL"/>
    <d v="2023-05-25T00:00:00"/>
    <d v="2023-07-18T19:33:39"/>
    <m/>
    <d v="2023-07-18T00:00:00"/>
    <n v="1695"/>
    <n v="20029"/>
    <s v="60362380"/>
    <s v="60362380"/>
    <m/>
    <m/>
    <m/>
    <m/>
    <m/>
    <m/>
    <s v="SOLRECOUP"/>
    <s v="SOLRECOUP"/>
    <s v="POARECOUP"/>
    <n v="21393426"/>
    <n v="-336.96"/>
    <m/>
    <s v="Y"/>
    <n v="1"/>
    <d v="2023-07-18T19:33:40"/>
    <s v="N"/>
    <m/>
    <m/>
    <s v="Expert Disbursement"/>
    <m/>
    <s v="N"/>
    <n v="-280.8"/>
    <n v="0"/>
    <x v="14"/>
    <s v="VALIDATED"/>
    <n v="1"/>
    <s v="01.11.80.308.2013.0000"/>
    <n v="-280.8"/>
    <s v="11"/>
    <s v="2013"/>
    <n v="4721.43"/>
    <n v="-280.8"/>
    <s v="CREDITOR"/>
    <n v="0"/>
    <n v="0"/>
    <n v="-280.8"/>
    <n v="0"/>
    <n v="0"/>
  </r>
  <r>
    <n v="60362380"/>
    <s v="N"/>
    <n v="21393426"/>
    <s v="3000014654310001RC"/>
    <s v="CIVIL"/>
    <d v="2023-05-25T00:00:00"/>
    <d v="2023-07-18T19:33:39"/>
    <m/>
    <d v="2023-07-18T00:00:00"/>
    <n v="1695"/>
    <n v="20029"/>
    <s v="60362380"/>
    <s v="60362380"/>
    <m/>
    <m/>
    <m/>
    <m/>
    <m/>
    <m/>
    <s v="SOLRECOUP"/>
    <s v="SOLRECOUP"/>
    <s v="POARECOUP"/>
    <n v="21393426"/>
    <n v="-336.96"/>
    <m/>
    <s v="Y"/>
    <n v="2"/>
    <d v="2023-07-18T19:33:40"/>
    <s v="N"/>
    <m/>
    <m/>
    <s v="Expert Disbursement"/>
    <m/>
    <s v="N"/>
    <n v="0"/>
    <n v="-56.16"/>
    <x v="14"/>
    <s v="VALIDATED"/>
    <n v="1"/>
    <s v="01.11.80.308.2013.0000"/>
    <n v="-56.16"/>
    <s v="11"/>
    <s v="2013"/>
    <n v="4721.43"/>
    <n v="-56.16"/>
    <s v="CREDITOR"/>
    <n v="0"/>
    <n v="0"/>
    <n v="-56.16"/>
    <n v="0"/>
    <n v="0"/>
  </r>
  <r>
    <n v="60362380"/>
    <s v="N"/>
    <n v="21393427"/>
    <s v="3000014654310002RC"/>
    <s v="CIVIL"/>
    <d v="2023-05-25T00:00:00"/>
    <d v="2023-07-18T19:33:39"/>
    <m/>
    <d v="2023-07-18T00:00:00"/>
    <n v="1695"/>
    <n v="20029"/>
    <s v="60362380"/>
    <s v="60362380"/>
    <m/>
    <m/>
    <m/>
    <m/>
    <m/>
    <m/>
    <s v="SOLRECOUP"/>
    <s v="SOLRECOUP"/>
    <s v="POARECOUP"/>
    <n v="21393427"/>
    <n v="-112.32"/>
    <m/>
    <s v="Y"/>
    <n v="1"/>
    <d v="2023-07-18T19:33:40"/>
    <s v="N"/>
    <m/>
    <m/>
    <s v="Expert Disbursement"/>
    <m/>
    <s v="N"/>
    <n v="-93.59999999999999"/>
    <n v="0"/>
    <x v="14"/>
    <s v="VALIDATED"/>
    <n v="1"/>
    <s v="01.11.80.308.2013.0000"/>
    <n v="-93.59999999999999"/>
    <s v="11"/>
    <s v="2013"/>
    <n v="4721.43"/>
    <n v="-93.59999999999999"/>
    <s v="CREDITOR"/>
    <n v="0"/>
    <n v="0"/>
    <n v="-93.59999999999999"/>
    <n v="0"/>
    <n v="0"/>
  </r>
  <r>
    <n v="60362380"/>
    <s v="N"/>
    <n v="21393427"/>
    <s v="3000014654310002RC"/>
    <s v="CIVIL"/>
    <d v="2023-05-25T00:00:00"/>
    <d v="2023-07-18T19:33:39"/>
    <m/>
    <d v="2023-07-18T00:00:00"/>
    <n v="1695"/>
    <n v="20029"/>
    <s v="60362380"/>
    <s v="60362380"/>
    <m/>
    <m/>
    <m/>
    <m/>
    <m/>
    <m/>
    <s v="SOLRECOUP"/>
    <s v="SOLRECOUP"/>
    <s v="POARECOUP"/>
    <n v="21393427"/>
    <n v="-112.32"/>
    <m/>
    <s v="Y"/>
    <n v="2"/>
    <d v="2023-07-18T19:33:40"/>
    <s v="N"/>
    <m/>
    <m/>
    <s v="Expert Disbursement"/>
    <m/>
    <s v="N"/>
    <n v="0"/>
    <n v="-18.72"/>
    <x v="14"/>
    <s v="VALIDATED"/>
    <n v="1"/>
    <s v="01.11.80.308.2013.0000"/>
    <n v="-18.72"/>
    <s v="11"/>
    <s v="2013"/>
    <n v="4721.43"/>
    <n v="-18.72"/>
    <s v="CREDITOR"/>
    <n v="0"/>
    <n v="0"/>
    <n v="-18.72"/>
    <n v="0"/>
    <n v="0"/>
  </r>
  <r>
    <n v="60362380"/>
    <s v="N"/>
    <n v="21393428"/>
    <s v="3000014654310003RC"/>
    <s v="CIVIL"/>
    <d v="2023-05-25T00:00:00"/>
    <d v="2023-07-18T19:33:39"/>
    <m/>
    <d v="2023-07-18T00:00:00"/>
    <n v="1695"/>
    <n v="20029"/>
    <s v="60362380"/>
    <s v="60362380"/>
    <m/>
    <m/>
    <m/>
    <m/>
    <m/>
    <m/>
    <s v="SOLRECOUP"/>
    <s v="SOLRECOUP"/>
    <s v="POARECOUP"/>
    <n v="21393428"/>
    <n v="-168"/>
    <m/>
    <s v="Y"/>
    <n v="2"/>
    <d v="2023-07-18T19:33:40"/>
    <s v="N"/>
    <m/>
    <m/>
    <s v="Expert Disbursement"/>
    <m/>
    <s v="N"/>
    <n v="0"/>
    <n v="-28"/>
    <x v="14"/>
    <s v="VALIDATED"/>
    <n v="1"/>
    <s v="01.11.80.308.2013.0000"/>
    <n v="-28"/>
    <s v="11"/>
    <s v="2013"/>
    <n v="4721.43"/>
    <n v="-28"/>
    <s v="CREDITOR"/>
    <n v="0"/>
    <n v="0"/>
    <n v="-28"/>
    <n v="0"/>
    <n v="0"/>
  </r>
  <r>
    <n v="60362380"/>
    <s v="N"/>
    <n v="21393428"/>
    <s v="3000014654310003RC"/>
    <s v="CIVIL"/>
    <d v="2023-05-25T00:00:00"/>
    <d v="2023-07-18T19:33:39"/>
    <m/>
    <d v="2023-07-18T00:00:00"/>
    <n v="1695"/>
    <n v="20029"/>
    <s v="60362380"/>
    <s v="60362380"/>
    <m/>
    <m/>
    <m/>
    <m/>
    <m/>
    <m/>
    <s v="SOLRECOUP"/>
    <s v="SOLRECOUP"/>
    <s v="POARECOUP"/>
    <n v="21393428"/>
    <n v="-168"/>
    <m/>
    <s v="Y"/>
    <n v="1"/>
    <d v="2023-07-18T19:33:40"/>
    <s v="N"/>
    <m/>
    <m/>
    <s v="Expert Disbursement"/>
    <m/>
    <s v="N"/>
    <n v="-140"/>
    <n v="0"/>
    <x v="14"/>
    <s v="VALIDATED"/>
    <n v="1"/>
    <s v="01.11.80.308.2013.0000"/>
    <n v="-140"/>
    <s v="11"/>
    <s v="2013"/>
    <n v="4721.43"/>
    <n v="-140"/>
    <s v="CREDITOR"/>
    <n v="0"/>
    <n v="0"/>
    <n v="-140"/>
    <n v="0"/>
    <n v="0"/>
  </r>
  <r>
    <n v="61184267"/>
    <s v="N"/>
    <n v="21318364"/>
    <s v="3000015362820001"/>
    <s v="CIVIL"/>
    <d v="2023-06-22T00:00:00"/>
    <d v="2023-07-03T19:01:49"/>
    <m/>
    <d v="2023-07-03T00:00:00"/>
    <n v="1696"/>
    <n v="20040"/>
    <s v="61184267"/>
    <s v="61184267"/>
    <m/>
    <m/>
    <n v="22743496"/>
    <m/>
    <m/>
    <m/>
    <s v="SOLFIN"/>
    <s v="SOLFIN"/>
    <s v="CCMS"/>
    <n v="21318364"/>
    <n v="2767.86"/>
    <m/>
    <s v="N"/>
    <n v="11"/>
    <d v="2023-07-03T19:01:54"/>
    <s v="Y"/>
    <s v="Hearing Unit 1.01 - 2.30 Hours"/>
    <s v="Public Law Children"/>
    <s v="Advocacy"/>
    <s v="GC"/>
    <s v="Y"/>
    <n v="238.46"/>
    <n v="47.69"/>
    <x v="3"/>
    <s v="VALIDATED"/>
    <n v="1"/>
    <s v="01.11.80.305.6100.0000"/>
    <n v="238.46"/>
    <s v="11"/>
    <s v="6100"/>
    <n v="7034.77"/>
    <n v="238.46"/>
    <s v="CREDITOR"/>
    <n v="0"/>
    <n v="0"/>
    <n v="0"/>
    <n v="0"/>
    <n v="238.46"/>
  </r>
  <r>
    <n v="61184267"/>
    <s v="N"/>
    <n v="21318364"/>
    <s v="3000015362820001"/>
    <s v="CIVIL"/>
    <d v="2023-06-22T00:00:00"/>
    <d v="2023-07-03T19:01:49"/>
    <m/>
    <d v="2023-07-03T00:00:00"/>
    <n v="1696"/>
    <n v="20040"/>
    <s v="61184267"/>
    <s v="61184267"/>
    <m/>
    <m/>
    <n v="22743496"/>
    <m/>
    <m/>
    <m/>
    <s v="SOLFIN"/>
    <s v="SOLFIN"/>
    <s v="CCMS"/>
    <n v="21318364"/>
    <n v="2767.86"/>
    <m/>
    <s v="N"/>
    <n v="4"/>
    <d v="2023-07-03T19:01:54"/>
    <s v="Y"/>
    <s v="Solicitor Travel Expenses"/>
    <s v="Public Law Children"/>
    <s v="Non Expert Disbursement"/>
    <s v="GC"/>
    <s v="Y"/>
    <n v="2.9"/>
    <n v="0.58"/>
    <x v="3"/>
    <s v="VALIDATED"/>
    <n v="1"/>
    <s v="01.11.80.305.6300.0000"/>
    <n v="2.9"/>
    <s v="11"/>
    <s v="6300"/>
    <n v="7034.77"/>
    <n v="2.9"/>
    <s v="CREDITOR"/>
    <n v="0"/>
    <n v="0"/>
    <n v="0"/>
    <n v="0"/>
    <n v="2.9"/>
  </r>
  <r>
    <n v="61184267"/>
    <s v="N"/>
    <n v="21318364"/>
    <s v="3000015362820001"/>
    <s v="CIVIL"/>
    <d v="2023-06-22T00:00:00"/>
    <d v="2023-07-03T19:01:49"/>
    <m/>
    <d v="2023-07-03T00:00:00"/>
    <n v="1696"/>
    <n v="20040"/>
    <s v="61184267"/>
    <s v="61184267"/>
    <m/>
    <m/>
    <n v="22743496"/>
    <m/>
    <m/>
    <m/>
    <s v="SOLFIN"/>
    <s v="SOLFIN"/>
    <s v="CCMS"/>
    <n v="21318364"/>
    <n v="2767.86"/>
    <m/>
    <s v="N"/>
    <n v="12"/>
    <d v="2023-07-03T19:01:54"/>
    <s v="Y"/>
    <s v="Hearing Unit 1.01 - 2.30 Hours"/>
    <s v="Public Law Children"/>
    <s v="Advocacy"/>
    <s v="GC"/>
    <s v="Y"/>
    <n v="238.46"/>
    <n v="47.69"/>
    <x v="3"/>
    <s v="VALIDATED"/>
    <n v="1"/>
    <s v="01.11.80.305.6100.0000"/>
    <n v="238.46"/>
    <s v="11"/>
    <s v="6100"/>
    <n v="7034.77"/>
    <n v="238.46"/>
    <s v="CREDITOR"/>
    <n v="0"/>
    <n v="0"/>
    <n v="0"/>
    <n v="0"/>
    <n v="238.46"/>
  </r>
  <r>
    <n v="62032258"/>
    <s v="N"/>
    <n v="21327837"/>
    <s v="3000016068850002"/>
    <s v="CIVIL"/>
    <d v="2023-06-22T00:00:00"/>
    <d v="2023-07-04T19:00:44"/>
    <m/>
    <d v="2023-07-04T00:00:00"/>
    <n v="1696"/>
    <n v="20040"/>
    <s v="62032258"/>
    <s v="62032258"/>
    <m/>
    <m/>
    <n v="22742632"/>
    <m/>
    <m/>
    <m/>
    <s v="SOLFIN"/>
    <s v="SOLFIN"/>
    <s v="CCMS"/>
    <n v="21327837"/>
    <n v="1510.2"/>
    <m/>
    <s v="N"/>
    <n v="5"/>
    <d v="2023-07-04T19:00:56"/>
    <s v="Y"/>
    <s v="Hearing Unit 1.01 - 2.30 Hours"/>
    <s v="Domestic Abuse"/>
    <s v="Advocacy"/>
    <s v="LJM"/>
    <s v="Y"/>
    <n v="203.76"/>
    <n v="40.75"/>
    <x v="1"/>
    <s v="VALIDATED"/>
    <n v="1"/>
    <s v="01.11.80.302.6100.0000"/>
    <n v="203.76"/>
    <s v="11"/>
    <s v="6100"/>
    <n v="7034.77"/>
    <n v="203.76"/>
    <s v="CREDITOR"/>
    <n v="0"/>
    <n v="0"/>
    <n v="0"/>
    <n v="0"/>
    <n v="203.76"/>
  </r>
  <r>
    <n v="61184267"/>
    <s v="N"/>
    <n v="21318364"/>
    <s v="3000015362820001"/>
    <s v="CIVIL"/>
    <d v="2023-06-22T00:00:00"/>
    <d v="2023-07-03T19:01:49"/>
    <m/>
    <d v="2023-07-03T00:00:00"/>
    <n v="1696"/>
    <n v="20040"/>
    <s v="61184267"/>
    <s v="61184267"/>
    <m/>
    <m/>
    <n v="22743496"/>
    <m/>
    <m/>
    <m/>
    <s v="SOLFIN"/>
    <s v="SOLFIN"/>
    <s v="CCMS"/>
    <n v="21318364"/>
    <n v="2767.86"/>
    <m/>
    <s v="N"/>
    <n v="9"/>
    <d v="2023-07-03T19:01:54"/>
    <s v="Y"/>
    <s v="Hearing Unit 2.31 - 5.00 Hours"/>
    <s v="Public Law Children"/>
    <s v="Advocacy"/>
    <s v="GC"/>
    <s v="Y"/>
    <n v="476.92"/>
    <n v="95.38"/>
    <x v="3"/>
    <s v="VALIDATED"/>
    <n v="1"/>
    <s v="01.11.80.305.6100.0000"/>
    <n v="476.92"/>
    <s v="11"/>
    <s v="6100"/>
    <n v="7034.77"/>
    <n v="476.92"/>
    <s v="CREDITOR"/>
    <n v="0"/>
    <n v="0"/>
    <n v="0"/>
    <n v="0"/>
    <n v="476.92"/>
  </r>
  <r>
    <n v="61620183"/>
    <s v="N"/>
    <n v="21319125"/>
    <s v="3000015725920001"/>
    <s v="CIVIL"/>
    <d v="2023-06-22T00:00:00"/>
    <d v="2023-07-03T19:01:49"/>
    <m/>
    <d v="2023-07-03T00:00:00"/>
    <n v="1696"/>
    <n v="20040"/>
    <s v="61620183"/>
    <s v="61620183"/>
    <m/>
    <m/>
    <n v="22742558"/>
    <m/>
    <m/>
    <m/>
    <s v="SOLFIN"/>
    <s v="SOLFIN"/>
    <s v="CCMS"/>
    <n v="21319125"/>
    <n v="4444.44"/>
    <m/>
    <s v="N"/>
    <n v="3"/>
    <d v="2023-07-03T19:02:12"/>
    <s v="Y"/>
    <s v="Final Hearing - 1 Day"/>
    <s v="Public Law Children"/>
    <s v="Advocacy"/>
    <s v="GC"/>
    <s v="Y"/>
    <n v="556.88"/>
    <n v="111.38"/>
    <x v="3"/>
    <s v="VALIDATED"/>
    <n v="1"/>
    <s v="01.11.80.308.6100.0000"/>
    <n v="556.88"/>
    <s v="11"/>
    <s v="6100"/>
    <n v="7034.77"/>
    <n v="556.88"/>
    <s v="CREDITOR"/>
    <n v="0"/>
    <n v="0"/>
    <n v="0"/>
    <n v="0"/>
    <n v="556.88"/>
  </r>
  <r>
    <n v="61620183"/>
    <s v="N"/>
    <n v="21319125"/>
    <s v="3000015725920001"/>
    <s v="CIVIL"/>
    <d v="2023-06-22T00:00:00"/>
    <d v="2023-07-03T19:01:49"/>
    <m/>
    <d v="2023-07-03T00:00:00"/>
    <n v="1696"/>
    <n v="20040"/>
    <s v="61620183"/>
    <s v="61620183"/>
    <m/>
    <m/>
    <n v="22742558"/>
    <m/>
    <m/>
    <m/>
    <s v="SOLFIN"/>
    <s v="SOLFIN"/>
    <s v="CCMS"/>
    <n v="21319125"/>
    <n v="4444.44"/>
    <m/>
    <s v="N"/>
    <n v="2"/>
    <d v="2023-07-03T19:02:12"/>
    <s v="Y"/>
    <s v="Hearing Unit 2.31 - 5.00 Hours"/>
    <s v="Public Law Children"/>
    <s v="Advocacy"/>
    <s v="CSR"/>
    <s v="Y"/>
    <n v="476.92"/>
    <n v="95.38"/>
    <x v="3"/>
    <s v="VALIDATED"/>
    <n v="1"/>
    <s v="01.11.80.308.6100.0000"/>
    <n v="476.92"/>
    <s v="11"/>
    <s v="6100"/>
    <n v="7034.77"/>
    <n v="476.92"/>
    <s v="CREDITOR"/>
    <n v="0"/>
    <n v="0"/>
    <n v="0"/>
    <n v="0"/>
    <n v="476.92"/>
  </r>
  <r>
    <n v="62032258"/>
    <s v="N"/>
    <n v="21327837"/>
    <s v="3000016068850002"/>
    <s v="CIVIL"/>
    <d v="2023-06-22T00:00:00"/>
    <d v="2023-07-04T19:00:44"/>
    <m/>
    <d v="2023-07-04T00:00:00"/>
    <n v="1696"/>
    <n v="20040"/>
    <s v="62032258"/>
    <s v="62032258"/>
    <m/>
    <m/>
    <n v="22742632"/>
    <m/>
    <m/>
    <m/>
    <s v="SOLFIN"/>
    <s v="SOLFIN"/>
    <s v="CCMS"/>
    <n v="21327837"/>
    <n v="1510.2"/>
    <m/>
    <s v="N"/>
    <n v="1"/>
    <d v="2023-07-04T19:00:56"/>
    <s v="Y"/>
    <s v="Process server"/>
    <s v="Domestic Abuse"/>
    <s v="Expert Disbursement"/>
    <s v="GROSVENOR INVESTIGATIONS"/>
    <s v="Y"/>
    <n v="174.24"/>
    <n v="34.85"/>
    <x v="1"/>
    <s v="VALIDATED"/>
    <n v="1"/>
    <s v="01.11.80.302.6300.0000"/>
    <n v="174.24"/>
    <s v="11"/>
    <s v="6300"/>
    <n v="7034.77"/>
    <n v="174.24"/>
    <s v="CREDITOR"/>
    <n v="0"/>
    <n v="0"/>
    <n v="0"/>
    <n v="0"/>
    <n v="174.24"/>
  </r>
  <r>
    <n v="62032258"/>
    <s v="N"/>
    <n v="21327837"/>
    <s v="3000016068850002"/>
    <s v="CIVIL"/>
    <d v="2023-06-22T00:00:00"/>
    <d v="2023-07-04T19:00:44"/>
    <m/>
    <d v="2023-07-04T00:00:00"/>
    <n v="1696"/>
    <n v="20040"/>
    <s v="62032258"/>
    <s v="62032258"/>
    <m/>
    <m/>
    <n v="22742632"/>
    <m/>
    <m/>
    <m/>
    <s v="SOLFIN"/>
    <s v="SOLFIN"/>
    <s v="CCMS"/>
    <n v="21327837"/>
    <n v="1510.2"/>
    <m/>
    <s v="N"/>
    <n v="4"/>
    <d v="2023-07-04T19:00:56"/>
    <s v="Y"/>
    <s v="Final Hearing - 1 Day"/>
    <s v="Domestic Abuse"/>
    <s v="Advocacy"/>
    <s v="LJM"/>
    <s v="Y"/>
    <n v="361.17"/>
    <n v="72.23"/>
    <x v="1"/>
    <s v="VALIDATED"/>
    <n v="1"/>
    <s v="01.11.80.302.6100.0000"/>
    <n v="361.17"/>
    <s v="11"/>
    <s v="6100"/>
    <n v="7034.77"/>
    <n v="361.17"/>
    <s v="CREDITOR"/>
    <n v="0"/>
    <n v="0"/>
    <n v="0"/>
    <n v="0"/>
    <n v="361.17"/>
  </r>
  <r>
    <n v="62032258"/>
    <s v="N"/>
    <n v="21327837"/>
    <s v="3000016068850002"/>
    <s v="CIVIL"/>
    <d v="2023-06-22T00:00:00"/>
    <d v="2023-07-04T19:00:44"/>
    <m/>
    <d v="2023-07-04T00:00:00"/>
    <n v="1696"/>
    <n v="20040"/>
    <s v="62032258"/>
    <s v="62032258"/>
    <m/>
    <m/>
    <n v="22742632"/>
    <m/>
    <m/>
    <m/>
    <s v="SOLFIN"/>
    <s v="SOLFIN"/>
    <s v="CCMS"/>
    <n v="21327837"/>
    <n v="1510.2"/>
    <m/>
    <s v="N"/>
    <n v="6"/>
    <d v="2023-07-04T19:00:56"/>
    <s v="Y"/>
    <s v="Level 4 Fixed Fee"/>
    <s v="Domestic Abuse"/>
    <s v="Profit Cost"/>
    <s v="LJM"/>
    <s v="Y"/>
    <n v="507"/>
    <n v="101.4"/>
    <x v="1"/>
    <s v="VALIDATED"/>
    <n v="1"/>
    <s v="01.11.80.302.6100.0000"/>
    <n v="507"/>
    <s v="11"/>
    <s v="6100"/>
    <n v="7034.77"/>
    <n v="507"/>
    <s v="CREDITOR"/>
    <n v="0"/>
    <n v="0"/>
    <n v="0"/>
    <n v="0"/>
    <n v="507"/>
  </r>
  <r>
    <n v="61620183"/>
    <s v="N"/>
    <n v="21319125"/>
    <s v="3000015725920001"/>
    <s v="CIVIL"/>
    <d v="2023-06-22T00:00:00"/>
    <d v="2023-07-03T19:01:49"/>
    <m/>
    <d v="2023-07-03T00:00:00"/>
    <n v="1696"/>
    <n v="20040"/>
    <s v="61620183"/>
    <s v="61620183"/>
    <m/>
    <m/>
    <n v="22742558"/>
    <m/>
    <m/>
    <m/>
    <s v="SOLFIN"/>
    <s v="SOLFIN"/>
    <s v="CCMS"/>
    <n v="21319125"/>
    <n v="4444.44"/>
    <m/>
    <s v="N"/>
    <n v="4"/>
    <d v="2023-07-03T19:02:12"/>
    <s v="Y"/>
    <s v="Advocates Meeting"/>
    <s v="Public Law Children"/>
    <s v="Advocacy"/>
    <s v="CSR"/>
    <s v="Y"/>
    <n v="140.99"/>
    <n v="28.2"/>
    <x v="3"/>
    <s v="VALIDATED"/>
    <n v="1"/>
    <s v="01.11.80.308.6100.0000"/>
    <n v="140.99"/>
    <s v="11"/>
    <s v="6100"/>
    <n v="7034.77"/>
    <n v="140.99"/>
    <s v="CREDITOR"/>
    <n v="0"/>
    <n v="0"/>
    <n v="0"/>
    <n v="0"/>
    <n v="140.99"/>
  </r>
  <r>
    <n v="61620183"/>
    <s v="N"/>
    <n v="21319125"/>
    <s v="3000015725920001"/>
    <s v="CIVIL"/>
    <d v="2023-06-22T00:00:00"/>
    <d v="2023-07-03T19:01:49"/>
    <m/>
    <d v="2023-07-03T00:00:00"/>
    <n v="1696"/>
    <n v="20040"/>
    <s v="61620183"/>
    <s v="61620183"/>
    <m/>
    <m/>
    <n v="22742558"/>
    <m/>
    <m/>
    <m/>
    <s v="SOLFIN"/>
    <s v="SOLFIN"/>
    <s v="CCMS"/>
    <n v="21319125"/>
    <n v="4444.44"/>
    <m/>
    <s v="N"/>
    <n v="6"/>
    <d v="2023-07-03T19:02:12"/>
    <s v="Y"/>
    <s v="Solicitors Fixed Fee"/>
    <s v="Public Law Children"/>
    <s v="Profit Cost"/>
    <s v="CSR"/>
    <s v="Y"/>
    <n v="1911"/>
    <n v="382.2"/>
    <x v="3"/>
    <s v="VALIDATED"/>
    <n v="1"/>
    <s v="01.11.80.308.6100.0000"/>
    <n v="1911"/>
    <s v="11"/>
    <s v="6100"/>
    <n v="7034.77"/>
    <n v="1911"/>
    <s v="CREDITOR"/>
    <n v="0"/>
    <n v="0"/>
    <n v="0"/>
    <n v="0"/>
    <n v="1911"/>
  </r>
  <r>
    <n v="61184267"/>
    <s v="N"/>
    <n v="21318364"/>
    <s v="3000015362820001"/>
    <s v="CIVIL"/>
    <d v="2023-06-22T00:00:00"/>
    <d v="2023-07-03T19:01:49"/>
    <m/>
    <d v="2023-07-03T00:00:00"/>
    <n v="1696"/>
    <n v="20040"/>
    <s v="61184267"/>
    <s v="61184267"/>
    <m/>
    <m/>
    <n v="22743496"/>
    <m/>
    <m/>
    <m/>
    <s v="SOLFIN"/>
    <s v="SOLFIN"/>
    <s v="CCMS"/>
    <n v="21318364"/>
    <n v="2767.86"/>
    <m/>
    <s v="N"/>
    <n v="8"/>
    <d v="2023-07-03T19:01:54"/>
    <s v="Y"/>
    <s v="Solicitor Travel Expenses"/>
    <s v="Public Law Children"/>
    <s v="Non Expert Disbursement"/>
    <s v="GC"/>
    <s v="Y"/>
    <n v="3.6"/>
    <n v="0.72"/>
    <x v="3"/>
    <s v="VALIDATED"/>
    <n v="1"/>
    <s v="01.11.80.305.6300.0000"/>
    <n v="3.6"/>
    <s v="11"/>
    <s v="6300"/>
    <n v="7034.77"/>
    <n v="3.6"/>
    <s v="CREDITOR"/>
    <n v="0"/>
    <n v="0"/>
    <n v="0"/>
    <n v="0"/>
    <n v="3.6"/>
  </r>
  <r>
    <n v="62032258"/>
    <s v="N"/>
    <n v="21327837"/>
    <s v="3000016068850002"/>
    <s v="CIVIL"/>
    <d v="2023-06-22T00:00:00"/>
    <d v="2023-07-04T19:00:44"/>
    <m/>
    <d v="2023-07-04T00:00:00"/>
    <n v="1696"/>
    <n v="20040"/>
    <s v="62032258"/>
    <s v="62032258"/>
    <m/>
    <m/>
    <n v="22742632"/>
    <m/>
    <m/>
    <m/>
    <s v="SOLFIN"/>
    <s v="SOLFIN"/>
    <s v="CCMS"/>
    <n v="21327837"/>
    <n v="1510.2"/>
    <m/>
    <s v="N"/>
    <n v="3"/>
    <d v="2023-07-04T19:00:56"/>
    <s v="Y"/>
    <s v="Solicitor Travel Expenses"/>
    <s v="Domestic Abuse"/>
    <s v="Non Expert Disbursement"/>
    <s v="LJM"/>
    <s v="Y"/>
    <n v="2.7"/>
    <n v="0.54"/>
    <x v="1"/>
    <s v="VALIDATED"/>
    <n v="1"/>
    <s v="01.11.80.302.6300.0000"/>
    <n v="2.7"/>
    <s v="11"/>
    <s v="6300"/>
    <n v="7034.77"/>
    <n v="2.7"/>
    <s v="CREDITOR"/>
    <n v="0"/>
    <n v="0"/>
    <n v="0"/>
    <n v="0"/>
    <n v="2.7"/>
  </r>
  <r>
    <n v="61184267"/>
    <s v="N"/>
    <n v="21318364"/>
    <s v="3000015362820001"/>
    <s v="CIVIL"/>
    <d v="2023-06-22T00:00:00"/>
    <d v="2023-07-03T19:01:49"/>
    <m/>
    <d v="2023-07-03T00:00:00"/>
    <n v="1696"/>
    <n v="20040"/>
    <s v="61184267"/>
    <s v="61184267"/>
    <m/>
    <m/>
    <n v="22743496"/>
    <m/>
    <m/>
    <m/>
    <s v="SOLFIN"/>
    <s v="SOLFIN"/>
    <s v="CCMS"/>
    <n v="21318364"/>
    <n v="2767.86"/>
    <m/>
    <s v="N"/>
    <n v="1"/>
    <d v="2023-07-03T19:01:54"/>
    <s v="Y"/>
    <s v="Interim Hearing Court Bundle/Advoca"/>
    <s v="Public Law Children"/>
    <s v="Advocacy"/>
    <s v="GC"/>
    <s v="Y"/>
    <n v="59.4"/>
    <n v="11.88"/>
    <x v="3"/>
    <s v="VALIDATED"/>
    <n v="1"/>
    <s v="01.11.80.305.6100.0000"/>
    <n v="59.4"/>
    <s v="11"/>
    <s v="6100"/>
    <n v="7034.77"/>
    <n v="59.4"/>
    <s v="CREDITOR"/>
    <n v="0"/>
    <n v="0"/>
    <n v="0"/>
    <n v="0"/>
    <n v="59.4"/>
  </r>
  <r>
    <n v="61184267"/>
    <s v="N"/>
    <n v="21318364"/>
    <s v="3000015362820001"/>
    <s v="CIVIL"/>
    <d v="2023-06-22T00:00:00"/>
    <d v="2023-07-03T19:01:49"/>
    <m/>
    <d v="2023-07-03T00:00:00"/>
    <n v="1696"/>
    <n v="20040"/>
    <s v="61184267"/>
    <s v="61184267"/>
    <m/>
    <m/>
    <n v="22743496"/>
    <m/>
    <m/>
    <m/>
    <s v="SOLFIN"/>
    <s v="SOLFIN"/>
    <s v="CCMS"/>
    <n v="21318364"/>
    <n v="2767.86"/>
    <m/>
    <s v="N"/>
    <n v="6"/>
    <d v="2023-07-03T19:01:54"/>
    <s v="Y"/>
    <s v="Solicitor Travel Expenses"/>
    <s v="Public Law Children"/>
    <s v="Non Expert Disbursement"/>
    <s v="GC"/>
    <s v="Y"/>
    <n v="3.6"/>
    <n v="0.72"/>
    <x v="3"/>
    <s v="VALIDATED"/>
    <n v="1"/>
    <s v="01.11.80.305.6300.0000"/>
    <n v="3.6"/>
    <s v="11"/>
    <s v="6300"/>
    <n v="7034.77"/>
    <n v="3.6"/>
    <s v="CREDITOR"/>
    <n v="0"/>
    <n v="0"/>
    <n v="0"/>
    <n v="0"/>
    <n v="3.6"/>
  </r>
  <r>
    <n v="61184267"/>
    <s v="N"/>
    <n v="21318364"/>
    <s v="3000015362820001"/>
    <s v="CIVIL"/>
    <d v="2023-06-22T00:00:00"/>
    <d v="2023-07-03T19:01:49"/>
    <m/>
    <d v="2023-07-03T00:00:00"/>
    <n v="1696"/>
    <n v="20040"/>
    <s v="61184267"/>
    <s v="61184267"/>
    <m/>
    <m/>
    <n v="22743496"/>
    <m/>
    <m/>
    <m/>
    <s v="SOLFIN"/>
    <s v="SOLFIN"/>
    <s v="CCMS"/>
    <n v="21318364"/>
    <n v="2767.86"/>
    <m/>
    <s v="N"/>
    <n v="3"/>
    <d v="2023-07-03T19:01:54"/>
    <s v="Y"/>
    <s v="Solicitor Travel Mileage"/>
    <s v="Public Law Children"/>
    <s v="Non Expert Disbursement"/>
    <s v="GC"/>
    <s v="Y"/>
    <n v="9.630000000000001"/>
    <n v="1.93"/>
    <x v="3"/>
    <s v="VALIDATED"/>
    <n v="1"/>
    <s v="01.11.80.305.6300.0000"/>
    <n v="9.630000000000001"/>
    <s v="11"/>
    <s v="6300"/>
    <n v="7034.77"/>
    <n v="9.630000000000001"/>
    <s v="CREDITOR"/>
    <n v="0"/>
    <n v="0"/>
    <n v="0"/>
    <n v="0"/>
    <n v="9.630000000000001"/>
  </r>
  <r>
    <n v="61620183"/>
    <s v="N"/>
    <n v="21319125"/>
    <s v="3000015725920001"/>
    <s v="CIVIL"/>
    <d v="2023-06-22T00:00:00"/>
    <d v="2023-07-03T19:01:49"/>
    <m/>
    <d v="2023-07-03T00:00:00"/>
    <n v="1696"/>
    <n v="20040"/>
    <s v="61620183"/>
    <s v="61620183"/>
    <m/>
    <m/>
    <n v="22742558"/>
    <m/>
    <m/>
    <m/>
    <s v="SOLFIN"/>
    <s v="SOLFIN"/>
    <s v="CCMS"/>
    <n v="21319125"/>
    <n v="4444.44"/>
    <m/>
    <s v="N"/>
    <n v="1"/>
    <d v="2023-07-03T19:02:12"/>
    <s v="Y"/>
    <s v="Advocates Meeting"/>
    <s v="Public Law Children"/>
    <s v="Advocacy"/>
    <s v="CSR"/>
    <s v="Y"/>
    <n v="140.99"/>
    <n v="28.2"/>
    <x v="3"/>
    <s v="VALIDATED"/>
    <n v="1"/>
    <s v="01.11.80.308.6100.0000"/>
    <n v="140.99"/>
    <s v="11"/>
    <s v="6100"/>
    <n v="7034.77"/>
    <n v="140.99"/>
    <s v="CREDITOR"/>
    <n v="0"/>
    <n v="0"/>
    <n v="0"/>
    <n v="0"/>
    <n v="140.99"/>
  </r>
  <r>
    <n v="61184267"/>
    <s v="N"/>
    <n v="21318364"/>
    <s v="3000015362820001"/>
    <s v="CIVIL"/>
    <d v="2023-06-22T00:00:00"/>
    <d v="2023-07-03T19:01:49"/>
    <m/>
    <d v="2023-07-03T00:00:00"/>
    <n v="1696"/>
    <n v="20040"/>
    <s v="61184267"/>
    <s v="61184267"/>
    <m/>
    <m/>
    <n v="22743496"/>
    <m/>
    <m/>
    <m/>
    <s v="SOLFIN"/>
    <s v="SOLFIN"/>
    <s v="CCMS"/>
    <n v="21318364"/>
    <n v="2767.86"/>
    <m/>
    <s v="N"/>
    <n v="13"/>
    <d v="2023-07-03T19:01:54"/>
    <s v="Y"/>
    <s v="Solicitors Fixed Fee"/>
    <s v="Public Law Children"/>
    <s v="Profit Cost"/>
    <s v="GC"/>
    <s v="Y"/>
    <n v="718"/>
    <n v="143.6"/>
    <x v="3"/>
    <s v="VALIDATED"/>
    <n v="1"/>
    <s v="01.11.80.305.6100.0000"/>
    <n v="718"/>
    <s v="11"/>
    <s v="6100"/>
    <n v="7034.77"/>
    <n v="718"/>
    <s v="CREDITOR"/>
    <n v="0"/>
    <n v="0"/>
    <n v="0"/>
    <n v="0"/>
    <n v="718"/>
  </r>
  <r>
    <n v="61184267"/>
    <s v="N"/>
    <n v="21318364"/>
    <s v="3000015362820001"/>
    <s v="CIVIL"/>
    <d v="2023-06-22T00:00:00"/>
    <d v="2023-07-03T19:01:49"/>
    <m/>
    <d v="2023-07-03T00:00:00"/>
    <n v="1696"/>
    <n v="20040"/>
    <s v="61184267"/>
    <s v="61184267"/>
    <m/>
    <m/>
    <n v="22743496"/>
    <m/>
    <m/>
    <m/>
    <s v="SOLFIN"/>
    <s v="SOLFIN"/>
    <s v="CCMS"/>
    <n v="21318364"/>
    <n v="2767.86"/>
    <m/>
    <s v="N"/>
    <n v="2"/>
    <d v="2023-07-03T19:01:54"/>
    <s v="Y"/>
    <s v="Interim Hearing Court Bundle/Advoca"/>
    <s v="Public Law Children"/>
    <s v="Advocacy"/>
    <s v="GC"/>
    <s v="Y"/>
    <n v="59.4"/>
    <n v="11.88"/>
    <x v="3"/>
    <s v="VALIDATED"/>
    <n v="1"/>
    <s v="01.11.80.305.6100.0000"/>
    <n v="59.4"/>
    <s v="11"/>
    <s v="6100"/>
    <n v="7034.77"/>
    <n v="59.4"/>
    <s v="CREDITOR"/>
    <n v="0"/>
    <n v="0"/>
    <n v="0"/>
    <n v="0"/>
    <n v="59.4"/>
  </r>
  <r>
    <n v="62032258"/>
    <s v="N"/>
    <n v="21327837"/>
    <s v="3000016068850002"/>
    <s v="CIVIL"/>
    <d v="2023-06-22T00:00:00"/>
    <d v="2023-07-04T19:00:44"/>
    <m/>
    <d v="2023-07-04T00:00:00"/>
    <n v="1696"/>
    <n v="20040"/>
    <s v="62032258"/>
    <s v="62032258"/>
    <m/>
    <m/>
    <n v="22742632"/>
    <m/>
    <m/>
    <m/>
    <s v="SOLFIN"/>
    <s v="SOLFIN"/>
    <s v="CCMS"/>
    <n v="21327837"/>
    <n v="1510.2"/>
    <m/>
    <s v="N"/>
    <n v="2"/>
    <d v="2023-07-04T19:00:56"/>
    <s v="Y"/>
    <s v="Solicitor Travel Mileage"/>
    <s v="Domestic Abuse"/>
    <s v="Non Expert Disbursement"/>
    <s v="LJM"/>
    <s v="Y"/>
    <n v="9.630000000000001"/>
    <n v="1.93"/>
    <x v="1"/>
    <s v="VALIDATED"/>
    <n v="1"/>
    <s v="01.11.80.302.6300.0000"/>
    <n v="9.630000000000001"/>
    <s v="11"/>
    <s v="6300"/>
    <n v="7034.77"/>
    <n v="9.630000000000001"/>
    <s v="CREDITOR"/>
    <n v="0"/>
    <n v="0"/>
    <n v="0"/>
    <n v="0"/>
    <n v="9.630000000000001"/>
  </r>
  <r>
    <n v="61620183"/>
    <s v="N"/>
    <n v="21319125"/>
    <s v="3000015725920001"/>
    <s v="CIVIL"/>
    <d v="2023-06-22T00:00:00"/>
    <d v="2023-07-03T19:01:49"/>
    <m/>
    <d v="2023-07-03T00:00:00"/>
    <n v="1696"/>
    <n v="20040"/>
    <s v="61620183"/>
    <s v="61620183"/>
    <m/>
    <m/>
    <n v="22742558"/>
    <m/>
    <m/>
    <m/>
    <s v="SOLFIN"/>
    <s v="SOLFIN"/>
    <s v="CCMS"/>
    <n v="21319125"/>
    <n v="4444.44"/>
    <m/>
    <s v="N"/>
    <n v="5"/>
    <d v="2023-07-03T19:02:12"/>
    <s v="Y"/>
    <s v="Hearing Unit 2.31 - 5.00 Hours"/>
    <s v="Public Law Children"/>
    <s v="Advocacy"/>
    <s v="CSR"/>
    <s v="Y"/>
    <n v="476.92"/>
    <n v="95.38"/>
    <x v="3"/>
    <s v="VALIDATED"/>
    <n v="1"/>
    <s v="01.11.80.308.6100.0000"/>
    <n v="476.92"/>
    <s v="11"/>
    <s v="6100"/>
    <n v="7034.77"/>
    <n v="476.92"/>
    <s v="CREDITOR"/>
    <n v="0"/>
    <n v="0"/>
    <n v="0"/>
    <n v="0"/>
    <n v="476.92"/>
  </r>
  <r>
    <n v="61184267"/>
    <s v="N"/>
    <n v="21318364"/>
    <s v="3000015362820001"/>
    <s v="CIVIL"/>
    <d v="2023-06-22T00:00:00"/>
    <d v="2023-07-03T19:01:49"/>
    <m/>
    <d v="2023-07-03T00:00:00"/>
    <n v="1696"/>
    <n v="20040"/>
    <s v="61184267"/>
    <s v="61184267"/>
    <m/>
    <m/>
    <n v="22743496"/>
    <m/>
    <m/>
    <m/>
    <s v="SOLFIN"/>
    <s v="SOLFIN"/>
    <s v="CCMS"/>
    <n v="21318364"/>
    <n v="2767.86"/>
    <m/>
    <s v="N"/>
    <n v="10"/>
    <d v="2023-07-03T19:01:54"/>
    <s v="Y"/>
    <s v="Hearing Unit 2.31 - 5.00 Hours"/>
    <s v="Public Law Children"/>
    <s v="Advocacy"/>
    <s v="GC"/>
    <s v="Y"/>
    <n v="476.92"/>
    <n v="95.38"/>
    <x v="3"/>
    <s v="VALIDATED"/>
    <n v="1"/>
    <s v="01.11.80.305.6100.0000"/>
    <n v="476.92"/>
    <s v="11"/>
    <s v="6100"/>
    <n v="7034.77"/>
    <n v="476.92"/>
    <s v="CREDITOR"/>
    <n v="0"/>
    <n v="0"/>
    <n v="0"/>
    <n v="0"/>
    <n v="476.92"/>
  </r>
  <r>
    <n v="61184267"/>
    <s v="N"/>
    <n v="21318364"/>
    <s v="3000015362820001"/>
    <s v="CIVIL"/>
    <d v="2023-06-22T00:00:00"/>
    <d v="2023-07-03T19:01:49"/>
    <m/>
    <d v="2023-07-03T00:00:00"/>
    <n v="1696"/>
    <n v="20040"/>
    <s v="61184267"/>
    <s v="61184267"/>
    <m/>
    <m/>
    <n v="22743496"/>
    <m/>
    <m/>
    <m/>
    <s v="SOLFIN"/>
    <s v="SOLFIN"/>
    <s v="CCMS"/>
    <n v="21318364"/>
    <n v="2767.86"/>
    <m/>
    <s v="N"/>
    <n v="7"/>
    <d v="2023-07-03T19:01:54"/>
    <s v="Y"/>
    <s v="Solicitor Travel Mileage"/>
    <s v="Public Law Children"/>
    <s v="Non Expert Disbursement"/>
    <s v="GC"/>
    <s v="Y"/>
    <n v="9.630000000000001"/>
    <n v="1.93"/>
    <x v="3"/>
    <s v="VALIDATED"/>
    <n v="1"/>
    <s v="01.11.80.305.6300.0000"/>
    <n v="9.630000000000001"/>
    <s v="11"/>
    <s v="6300"/>
    <n v="7034.77"/>
    <n v="9.630000000000001"/>
    <s v="CREDITOR"/>
    <n v="0"/>
    <n v="0"/>
    <n v="0"/>
    <n v="0"/>
    <n v="9.630000000000001"/>
  </r>
  <r>
    <n v="61184267"/>
    <s v="N"/>
    <n v="21318364"/>
    <s v="3000015362820001"/>
    <s v="CIVIL"/>
    <d v="2023-06-22T00:00:00"/>
    <d v="2023-07-03T19:01:49"/>
    <m/>
    <d v="2023-07-03T00:00:00"/>
    <n v="1696"/>
    <n v="20040"/>
    <s v="61184267"/>
    <s v="61184267"/>
    <m/>
    <m/>
    <n v="22743496"/>
    <m/>
    <m/>
    <m/>
    <s v="SOLFIN"/>
    <s v="SOLFIN"/>
    <s v="CCMS"/>
    <n v="21318364"/>
    <n v="2767.86"/>
    <m/>
    <s v="N"/>
    <n v="5"/>
    <d v="2023-07-03T19:01:54"/>
    <s v="Y"/>
    <s v="Solicitor Travel Mileage"/>
    <s v="Public Law Children"/>
    <s v="Non Expert Disbursement"/>
    <s v="GC"/>
    <s v="Y"/>
    <n v="9.630000000000001"/>
    <n v="1.93"/>
    <x v="3"/>
    <s v="VALIDATED"/>
    <n v="1"/>
    <s v="01.11.80.305.6300.0000"/>
    <n v="9.630000000000001"/>
    <s v="11"/>
    <s v="6300"/>
    <n v="7034.77"/>
    <n v="9.630000000000001"/>
    <s v="CREDITOR"/>
    <n v="0"/>
    <n v="0"/>
    <n v="0"/>
    <n v="0"/>
    <n v="9.630000000000001"/>
  </r>
  <r>
    <n v="62032258"/>
    <s v="N"/>
    <n v="21328886"/>
    <s v="3000016068850001RC"/>
    <s v="CIVIL"/>
    <d v="2023-06-22T00:00:00"/>
    <d v="2023-07-04T19:38:21"/>
    <m/>
    <d v="2023-07-04T00:00:00"/>
    <n v="1696"/>
    <n v="20040"/>
    <s v="62032258"/>
    <s v="62032258"/>
    <m/>
    <m/>
    <m/>
    <m/>
    <m/>
    <m/>
    <s v="SOLRECOUP"/>
    <s v="SOLRECOUP"/>
    <s v="POARECOUP"/>
    <n v="21328886"/>
    <n v="-233.98"/>
    <m/>
    <s v="Y"/>
    <n v="1"/>
    <d v="2023-07-04T19:38:23"/>
    <s v="N"/>
    <m/>
    <m/>
    <s v="Expert Disbursement"/>
    <m/>
    <s v="N"/>
    <n v="-194.98"/>
    <n v="0"/>
    <x v="1"/>
    <s v="VALIDATED"/>
    <n v="1"/>
    <s v="01.11.80.302.2013.0000"/>
    <n v="-194.98"/>
    <s v="11"/>
    <s v="2013"/>
    <n v="7034.77"/>
    <n v="-194.98"/>
    <s v="CREDITOR"/>
    <n v="0"/>
    <n v="0"/>
    <n v="-194.98"/>
    <n v="0"/>
    <n v="0"/>
  </r>
  <r>
    <n v="62032258"/>
    <s v="N"/>
    <n v="21328886"/>
    <s v="3000016068850001RC"/>
    <s v="CIVIL"/>
    <d v="2023-06-22T00:00:00"/>
    <d v="2023-07-04T19:38:21"/>
    <m/>
    <d v="2023-07-04T00:00:00"/>
    <n v="1696"/>
    <n v="20040"/>
    <s v="62032258"/>
    <s v="62032258"/>
    <m/>
    <m/>
    <m/>
    <m/>
    <m/>
    <m/>
    <s v="SOLRECOUP"/>
    <s v="SOLRECOUP"/>
    <s v="POARECOUP"/>
    <n v="21328886"/>
    <n v="-233.98"/>
    <m/>
    <s v="Y"/>
    <n v="2"/>
    <d v="2023-07-04T19:38:23"/>
    <s v="N"/>
    <m/>
    <m/>
    <s v="Expert Disbursement"/>
    <m/>
    <s v="N"/>
    <n v="0"/>
    <n v="-39"/>
    <x v="1"/>
    <s v="VALIDATED"/>
    <n v="1"/>
    <s v="01.11.80.302.2013.0000"/>
    <n v="-39"/>
    <s v="11"/>
    <s v="2013"/>
    <n v="7034.77"/>
    <n v="-39"/>
    <s v="CREDITOR"/>
    <n v="0"/>
    <n v="0"/>
    <n v="-39"/>
    <n v="0"/>
    <n v="0"/>
  </r>
  <r>
    <n v="60725353"/>
    <s v="N"/>
    <n v="21319257"/>
    <s v="3000014969260010"/>
    <s v="CIVIL"/>
    <d v="2023-06-27T00:00:00"/>
    <d v="2023-07-03T19:04:24"/>
    <m/>
    <d v="2023-07-03T00:00:00"/>
    <n v="1699"/>
    <n v="20073"/>
    <s v="60725353"/>
    <s v="60725353"/>
    <m/>
    <m/>
    <n v="22774094"/>
    <m/>
    <m/>
    <m/>
    <s v="SOLPOA"/>
    <s v="SOLPOA"/>
    <s v="CCMS"/>
    <n v="21319257"/>
    <n v="658.8"/>
    <m/>
    <s v="N"/>
    <n v="1"/>
    <d v="2023-07-03T19:04:24"/>
    <s v="N"/>
    <s v="Non Expert Disbursement"/>
    <s v="Non Expert Disbursement"/>
    <s v="Non Expert Disbursement"/>
    <s v="LEXTOX"/>
    <s v="N"/>
    <n v="549"/>
    <n v="109.8"/>
    <x v="3"/>
    <s v="VALIDATED"/>
    <n v="1"/>
    <s v="01.11.80.308.2012.0000"/>
    <n v="549"/>
    <s v="11"/>
    <s v="2012"/>
    <n v="681.95"/>
    <n v="549"/>
    <s v="CREDITOR"/>
    <n v="549"/>
    <n v="0"/>
    <n v="0"/>
    <n v="0"/>
    <n v="0"/>
  </r>
  <r>
    <n v="59593848"/>
    <s v="N"/>
    <n v="21322498"/>
    <s v="3000013970230015"/>
    <s v="CIVIL"/>
    <d v="2023-06-29T00:00:00"/>
    <d v="2023-07-03T19:05:36"/>
    <m/>
    <d v="2023-07-03T00:00:00"/>
    <n v="1699"/>
    <n v="20073"/>
    <s v="59593848"/>
    <s v="59593848"/>
    <m/>
    <m/>
    <n v="22789324"/>
    <m/>
    <m/>
    <m/>
    <s v="SOLPOA"/>
    <s v="SOLPOA"/>
    <s v="CCMS"/>
    <n v="21322498"/>
    <n v="29.94"/>
    <m/>
    <s v="N"/>
    <n v="1"/>
    <d v="2023-07-03T19:05:38"/>
    <s v="N"/>
    <s v="Non Expert Disbursement - Private L"/>
    <s v="Non Expert Disbursement - Priv"/>
    <s v="Non Expert Disbursement"/>
    <s v="AVR Transcription"/>
    <s v="N"/>
    <n v="24.95"/>
    <n v="4.99"/>
    <x v="3"/>
    <s v="VALIDATED"/>
    <n v="1"/>
    <s v="01.11.80.307.2012.0000"/>
    <n v="24.95"/>
    <s v="11"/>
    <s v="2012"/>
    <n v="681.95"/>
    <n v="24.95"/>
    <s v="CREDITOR"/>
    <n v="24.95"/>
    <n v="0"/>
    <n v="0"/>
    <n v="0"/>
    <n v="0"/>
  </r>
  <r>
    <n v="61910404"/>
    <s v="N"/>
    <n v="21349753"/>
    <s v="3000015965760007"/>
    <s v="CIVIL"/>
    <d v="2023-06-29T00:00:00"/>
    <d v="2023-07-10T19:01:40"/>
    <m/>
    <d v="2023-07-10T00:00:00"/>
    <n v="1699"/>
    <n v="20073"/>
    <s v="61910404"/>
    <s v="61910404"/>
    <m/>
    <m/>
    <n v="22793394"/>
    <m/>
    <m/>
    <m/>
    <s v="SOLPOA"/>
    <s v="SOLPOA"/>
    <s v="CCMS"/>
    <n v="21349753"/>
    <n v="129.6"/>
    <m/>
    <s v="N"/>
    <n v="1"/>
    <d v="2023-07-10T19:01:56"/>
    <s v="N"/>
    <s v="Non Expert Disbursement"/>
    <s v="Non Expert Disbursement"/>
    <s v="Non Expert Disbursement"/>
    <s v="Carter Brown"/>
    <s v="N"/>
    <n v="108"/>
    <n v="21.6"/>
    <x v="2"/>
    <s v="VALIDATED"/>
    <n v="1"/>
    <s v="01.11.80.308.2012.0000"/>
    <n v="108"/>
    <s v="11"/>
    <s v="2012"/>
    <n v="681.95"/>
    <n v="108"/>
    <s v="CREDITOR"/>
    <n v="108"/>
    <n v="0"/>
    <n v="0"/>
    <n v="0"/>
    <n v="0"/>
  </r>
  <r>
    <n v="61391762"/>
    <s v="N"/>
    <n v="21327979"/>
    <s v="3000015535160003"/>
    <s v="CIVIL"/>
    <d v="2023-06-20T00:00:00"/>
    <d v="2023-07-04T19:00:44"/>
    <m/>
    <d v="2023-07-04T00:00:00"/>
    <n v="1700"/>
    <n v="20084"/>
    <s v="61391762"/>
    <s v="61391762"/>
    <m/>
    <m/>
    <n v="22727068"/>
    <m/>
    <m/>
    <m/>
    <s v="SOLFIN"/>
    <s v="SOLFIN"/>
    <s v="CCMS"/>
    <n v="21327979"/>
    <n v="2247.04"/>
    <m/>
    <s v="N"/>
    <n v="1"/>
    <d v="2023-07-04T19:01:00"/>
    <s v="Y"/>
    <s v="Process server"/>
    <s v="Domestic Abuse"/>
    <s v="Expert Disbursement"/>
    <s v="Centrepoint Investigations (Invoice 123361)"/>
    <s v="Y"/>
    <n v="129.4"/>
    <n v="0"/>
    <x v="1"/>
    <s v="VALIDATED"/>
    <n v="1"/>
    <s v="01.11.80.302.6300.0000"/>
    <n v="129.4"/>
    <s v="11"/>
    <s v="6300"/>
    <n v="2225.41"/>
    <n v="129.4"/>
    <s v="CREDITOR"/>
    <n v="0"/>
    <n v="0"/>
    <n v="0"/>
    <n v="0"/>
    <n v="129.4"/>
  </r>
  <r>
    <n v="61391762"/>
    <s v="N"/>
    <n v="21327979"/>
    <s v="3000015535160003"/>
    <s v="CIVIL"/>
    <d v="2023-06-20T00:00:00"/>
    <d v="2023-07-04T19:00:44"/>
    <m/>
    <d v="2023-07-04T00:00:00"/>
    <n v="1700"/>
    <n v="20084"/>
    <s v="61391762"/>
    <s v="61391762"/>
    <m/>
    <m/>
    <n v="22727068"/>
    <m/>
    <m/>
    <m/>
    <s v="SOLFIN"/>
    <s v="SOLFIN"/>
    <s v="CCMS"/>
    <n v="21327979"/>
    <n v="2247.04"/>
    <m/>
    <s v="N"/>
    <n v="7"/>
    <d v="2023-07-04T19:01:00"/>
    <s v="Y"/>
    <s v="Level 4 Fixed Fee"/>
    <s v="Domestic Abuse"/>
    <s v="Profit Cost"/>
    <s v="OB"/>
    <s v="Y"/>
    <n v="507"/>
    <n v="101.4"/>
    <x v="1"/>
    <s v="VALIDATED"/>
    <n v="1"/>
    <s v="01.11.80.302.6100.0000"/>
    <n v="507"/>
    <s v="11"/>
    <s v="6100"/>
    <n v="2225.41"/>
    <n v="507"/>
    <s v="CREDITOR"/>
    <n v="0"/>
    <n v="0"/>
    <n v="0"/>
    <n v="0"/>
    <n v="507"/>
  </r>
  <r>
    <n v="61391762"/>
    <s v="N"/>
    <n v="21327979"/>
    <s v="3000015535160003"/>
    <s v="CIVIL"/>
    <d v="2023-06-20T00:00:00"/>
    <d v="2023-07-04T19:00:44"/>
    <m/>
    <d v="2023-07-04T00:00:00"/>
    <n v="1700"/>
    <n v="20084"/>
    <s v="61391762"/>
    <s v="61391762"/>
    <m/>
    <m/>
    <n v="22727068"/>
    <m/>
    <m/>
    <m/>
    <s v="SOLFIN"/>
    <s v="SOLFIN"/>
    <s v="CCMS"/>
    <n v="21327979"/>
    <n v="2247.04"/>
    <m/>
    <s v="N"/>
    <n v="5"/>
    <d v="2023-07-04T19:01:00"/>
    <s v="Y"/>
    <s v="Hearing Unit 1.01 - 2.30 Hours"/>
    <s v="Domestic Abuse"/>
    <s v="Advocacy"/>
    <s v="OB"/>
    <s v="Y"/>
    <n v="203.76"/>
    <n v="40.75"/>
    <x v="1"/>
    <s v="VALIDATED"/>
    <n v="1"/>
    <s v="01.11.80.302.6100.0000"/>
    <n v="203.76"/>
    <s v="11"/>
    <s v="6100"/>
    <n v="2225.41"/>
    <n v="203.76"/>
    <s v="CREDITOR"/>
    <n v="0"/>
    <n v="0"/>
    <n v="0"/>
    <n v="0"/>
    <n v="203.76"/>
  </r>
  <r>
    <n v="61391762"/>
    <s v="N"/>
    <n v="21327979"/>
    <s v="3000015535160003"/>
    <s v="CIVIL"/>
    <d v="2023-06-20T00:00:00"/>
    <d v="2023-07-04T19:00:44"/>
    <m/>
    <d v="2023-07-04T00:00:00"/>
    <n v="1700"/>
    <n v="20084"/>
    <s v="61391762"/>
    <s v="61391762"/>
    <m/>
    <m/>
    <n v="22727068"/>
    <m/>
    <m/>
    <m/>
    <s v="SOLFIN"/>
    <s v="SOLFIN"/>
    <s v="CCMS"/>
    <n v="21327979"/>
    <n v="2247.04"/>
    <m/>
    <s v="N"/>
    <n v="4"/>
    <d v="2023-07-04T19:01:00"/>
    <s v="Y"/>
    <s v="Final Hearing - 1 Day"/>
    <s v="Domestic Abuse"/>
    <s v="Advocacy"/>
    <s v="OB"/>
    <s v="Y"/>
    <n v="361.17"/>
    <n v="72.23"/>
    <x v="1"/>
    <s v="VALIDATED"/>
    <n v="1"/>
    <s v="01.11.80.302.6100.0000"/>
    <n v="361.17"/>
    <s v="11"/>
    <s v="6100"/>
    <n v="2225.41"/>
    <n v="361.17"/>
    <s v="CREDITOR"/>
    <n v="0"/>
    <n v="0"/>
    <n v="0"/>
    <n v="0"/>
    <n v="361.17"/>
  </r>
  <r>
    <n v="61391762"/>
    <s v="N"/>
    <n v="21327979"/>
    <s v="3000015535160003"/>
    <s v="CIVIL"/>
    <d v="2023-06-20T00:00:00"/>
    <d v="2023-07-04T19:00:44"/>
    <m/>
    <d v="2023-07-04T00:00:00"/>
    <n v="1700"/>
    <n v="20084"/>
    <s v="61391762"/>
    <s v="61391762"/>
    <m/>
    <m/>
    <n v="22727068"/>
    <m/>
    <m/>
    <m/>
    <s v="SOLFIN"/>
    <s v="SOLFIN"/>
    <s v="CCMS"/>
    <n v="21327979"/>
    <n v="2247.04"/>
    <m/>
    <s v="N"/>
    <n v="6"/>
    <d v="2023-07-04T19:01:00"/>
    <s v="Y"/>
    <s v="Hearing Unit 0.00 - 1.00 Hours"/>
    <s v="Domestic Abuse"/>
    <s v="Advocacy"/>
    <s v="BP"/>
    <s v="Y"/>
    <n v="81.5"/>
    <n v="16.3"/>
    <x v="1"/>
    <s v="VALIDATED"/>
    <n v="1"/>
    <s v="01.11.80.302.6100.0000"/>
    <n v="81.5"/>
    <s v="11"/>
    <s v="6100"/>
    <n v="2225.41"/>
    <n v="81.5"/>
    <s v="CREDITOR"/>
    <n v="0"/>
    <n v="0"/>
    <n v="0"/>
    <n v="0"/>
    <n v="81.5"/>
  </r>
  <r>
    <n v="16259863"/>
    <s v="N"/>
    <n v="21343958"/>
    <s v="3000007874470043"/>
    <s v="CIVIL"/>
    <d v="2023-06-26T00:00:00"/>
    <d v="2023-07-07T19:03:00"/>
    <m/>
    <d v="2023-07-07T00:00:00"/>
    <n v="1700"/>
    <n v="20084"/>
    <s v="16259863"/>
    <s v="16259863"/>
    <m/>
    <m/>
    <n v="22757652"/>
    <m/>
    <m/>
    <m/>
    <s v="SOLADJ"/>
    <s v="SOLADJ"/>
    <s v="CCMS"/>
    <n v="21343958"/>
    <n v="431.88"/>
    <m/>
    <s v="N"/>
    <n v="2"/>
    <d v="2023-07-07T19:03:18"/>
    <s v="Y"/>
    <s v="Interpreter"/>
    <s v="Private Law Children"/>
    <s v="Expert Disbursement"/>
    <s v="MTL (Invoice IS0582/2223)"/>
    <s v="Y"/>
    <n v="188.1"/>
    <n v="37.62"/>
    <x v="9"/>
    <s v="VALIDATED"/>
    <n v="1"/>
    <s v="01.11.80.307.6300.0000"/>
    <n v="188.1"/>
    <s v="11"/>
    <s v="6300"/>
    <n v="2225.41"/>
    <n v="188.1"/>
    <s v="CREDITOR"/>
    <n v="0"/>
    <n v="0"/>
    <n v="0"/>
    <n v="0"/>
    <n v="188.1"/>
  </r>
  <r>
    <n v="61391762"/>
    <s v="N"/>
    <n v="21327979"/>
    <s v="3000015535160003"/>
    <s v="CIVIL"/>
    <d v="2023-06-20T00:00:00"/>
    <d v="2023-07-04T19:00:44"/>
    <m/>
    <d v="2023-07-04T00:00:00"/>
    <n v="1700"/>
    <n v="20084"/>
    <s v="61391762"/>
    <s v="61391762"/>
    <m/>
    <m/>
    <n v="22727068"/>
    <m/>
    <m/>
    <m/>
    <s v="SOLFIN"/>
    <s v="SOLFIN"/>
    <s v="CCMS"/>
    <n v="21327979"/>
    <n v="2247.04"/>
    <m/>
    <s v="N"/>
    <n v="3"/>
    <d v="2023-07-04T19:01:00"/>
    <s v="Y"/>
    <s v="Hearing Unit 2.31 - 5.00 Hours"/>
    <s v="Domestic Abuse"/>
    <s v="Advocacy"/>
    <s v="CGR"/>
    <s v="Y"/>
    <n v="407.52"/>
    <n v="81.5"/>
    <x v="1"/>
    <s v="VALIDATED"/>
    <n v="1"/>
    <s v="01.11.80.302.6100.0000"/>
    <n v="407.52"/>
    <s v="11"/>
    <s v="6100"/>
    <n v="2225.41"/>
    <n v="407.52"/>
    <s v="CREDITOR"/>
    <n v="0"/>
    <n v="0"/>
    <n v="0"/>
    <n v="0"/>
    <n v="407.52"/>
  </r>
  <r>
    <n v="61391762"/>
    <s v="N"/>
    <n v="21328887"/>
    <s v="3000015535160001RC"/>
    <s v="CIVIL"/>
    <d v="2023-06-20T00:00:00"/>
    <d v="2023-07-04T19:38:21"/>
    <m/>
    <d v="2023-07-04T00:00:00"/>
    <n v="1700"/>
    <n v="20084"/>
    <s v="61391762"/>
    <s v="61391762"/>
    <m/>
    <m/>
    <m/>
    <m/>
    <m/>
    <m/>
    <s v="SOLRECOUP"/>
    <s v="SOLRECOUP"/>
    <s v="POARECOUP"/>
    <n v="21328887"/>
    <n v="-129.4"/>
    <m/>
    <s v="Y"/>
    <n v="1"/>
    <d v="2023-07-04T19:38:23"/>
    <s v="N"/>
    <m/>
    <m/>
    <s v="Expert Disbursement"/>
    <m/>
    <s v="N"/>
    <n v="-129.4"/>
    <n v="0"/>
    <x v="1"/>
    <s v="VALIDATED"/>
    <n v="1"/>
    <s v="01.11.80.302.2013.0000"/>
    <n v="-129.4"/>
    <s v="11"/>
    <s v="2013"/>
    <n v="2225.41"/>
    <n v="-129.4"/>
    <s v="CREDITOR"/>
    <n v="0"/>
    <n v="0"/>
    <n v="-129.4"/>
    <n v="0"/>
    <n v="0"/>
  </r>
  <r>
    <n v="61391762"/>
    <s v="N"/>
    <n v="21328887"/>
    <s v="3000015535160001RC"/>
    <s v="CIVIL"/>
    <d v="2023-06-20T00:00:00"/>
    <d v="2023-07-04T19:38:21"/>
    <m/>
    <d v="2023-07-04T00:00:00"/>
    <n v="1700"/>
    <n v="20084"/>
    <s v="61391762"/>
    <s v="61391762"/>
    <m/>
    <m/>
    <m/>
    <m/>
    <m/>
    <m/>
    <s v="SOLRECOUP"/>
    <s v="SOLRECOUP"/>
    <s v="POARECOUP"/>
    <n v="21328887"/>
    <n v="-129.4"/>
    <m/>
    <s v="Y"/>
    <n v="2"/>
    <d v="2023-07-04T19:38:23"/>
    <s v="N"/>
    <m/>
    <m/>
    <s v="Expert Disbursement"/>
    <m/>
    <s v="N"/>
    <n v="0"/>
    <n v="0"/>
    <x v="1"/>
    <s v="VALIDATED"/>
    <n v="1"/>
    <s v="01.11.80.000.0000.0000"/>
    <n v="0"/>
    <s v="11"/>
    <s v="0000"/>
    <n v="2225.41"/>
    <n v="0"/>
    <s v="CREDITOR"/>
    <n v="0"/>
    <n v="0"/>
    <n v="0"/>
    <n v="0"/>
    <n v="0"/>
  </r>
  <r>
    <n v="16259863"/>
    <s v="N"/>
    <n v="21343958"/>
    <s v="3000007874470043"/>
    <s v="CIVIL"/>
    <d v="2023-06-26T00:00:00"/>
    <d v="2023-07-07T19:03:00"/>
    <m/>
    <d v="2023-07-07T00:00:00"/>
    <n v="1700"/>
    <n v="20084"/>
    <s v="16259863"/>
    <s v="16259863"/>
    <m/>
    <m/>
    <n v="22757652"/>
    <m/>
    <m/>
    <m/>
    <s v="SOLADJ"/>
    <s v="SOLADJ"/>
    <s v="CCMS"/>
    <n v="21343958"/>
    <n v="431.88"/>
    <m/>
    <s v="N"/>
    <n v="1"/>
    <d v="2023-07-07T19:03:18"/>
    <s v="Y"/>
    <s v="Interpreter"/>
    <s v="Private Law Children"/>
    <s v="Expert Disbursement"/>
    <s v="MTL (Invoice IS3163/2122)"/>
    <s v="Y"/>
    <n v="171.8"/>
    <n v="34.36"/>
    <x v="9"/>
    <s v="VALIDATED"/>
    <n v="1"/>
    <s v="01.11.80.307.6300.0000"/>
    <n v="171.8"/>
    <s v="11"/>
    <s v="6300"/>
    <n v="2225.41"/>
    <n v="171.8"/>
    <s v="CREDITOR"/>
    <n v="0"/>
    <n v="0"/>
    <n v="0"/>
    <n v="0"/>
    <n v="171.8"/>
  </r>
  <r>
    <n v="61391762"/>
    <s v="N"/>
    <n v="21327979"/>
    <s v="3000015535160003"/>
    <s v="CIVIL"/>
    <d v="2023-06-20T00:00:00"/>
    <d v="2023-07-04T19:00:44"/>
    <m/>
    <d v="2023-07-04T00:00:00"/>
    <n v="1700"/>
    <n v="20084"/>
    <s v="61391762"/>
    <s v="61391762"/>
    <m/>
    <m/>
    <n v="22727068"/>
    <m/>
    <m/>
    <m/>
    <s v="SOLFIN"/>
    <s v="SOLFIN"/>
    <s v="CCMS"/>
    <n v="21327979"/>
    <n v="2247.04"/>
    <m/>
    <s v="N"/>
    <n v="2"/>
    <d v="2023-07-04T19:01:00"/>
    <s v="Y"/>
    <s v="Hearing Unit 1.01 - 2.30 Hours"/>
    <s v="Domestic Abuse"/>
    <s v="Advocacy"/>
    <s v="OB"/>
    <s v="Y"/>
    <n v="203.76"/>
    <n v="40.75"/>
    <x v="1"/>
    <s v="VALIDATED"/>
    <n v="1"/>
    <s v="01.11.80.302.6100.0000"/>
    <n v="203.76"/>
    <s v="11"/>
    <s v="6100"/>
    <n v="2225.41"/>
    <n v="203.76"/>
    <s v="CREDITOR"/>
    <n v="0"/>
    <n v="0"/>
    <n v="0"/>
    <n v="0"/>
    <n v="203.76"/>
  </r>
  <r>
    <n v="60553079"/>
    <s v="N"/>
    <n v="21321464"/>
    <s v="3000014820750004"/>
    <s v="CIVIL"/>
    <d v="2023-06-29T00:00:00"/>
    <d v="2023-07-03T19:05:17"/>
    <m/>
    <d v="2023-07-03T00:00:00"/>
    <n v="1700"/>
    <n v="20084"/>
    <s v="60553079"/>
    <s v="60553079"/>
    <m/>
    <m/>
    <n v="22786914"/>
    <m/>
    <m/>
    <m/>
    <s v="SOLPOA"/>
    <s v="SOLPOA"/>
    <s v="CCMS"/>
    <n v="21321464"/>
    <n v="50.4"/>
    <m/>
    <s v="N"/>
    <n v="1"/>
    <d v="2023-07-03T19:05:19"/>
    <s v="N"/>
    <s v="Non Expert Disbursement - Private L"/>
    <s v="Non Expert Disbursement - Priv"/>
    <s v="Non Expert Disbursement"/>
    <s v="CES"/>
    <s v="N"/>
    <n v="50.4"/>
    <n v="0"/>
    <x v="3"/>
    <s v="VALIDATED"/>
    <n v="1"/>
    <s v="01.11.80.307.2012.0000"/>
    <n v="50.4"/>
    <s v="11"/>
    <s v="2012"/>
    <n v="2225.41"/>
    <n v="50.4"/>
    <s v="CREDITOR"/>
    <n v="50.4"/>
    <n v="0"/>
    <n v="0"/>
    <n v="0"/>
    <n v="0"/>
  </r>
  <r>
    <n v="60553079"/>
    <s v="N"/>
    <n v="21321591"/>
    <s v="3000014820750005"/>
    <s v="CIVIL"/>
    <d v="2023-06-29T00:00:00"/>
    <d v="2023-07-03T19:05:17"/>
    <m/>
    <d v="2023-07-03T00:00:00"/>
    <n v="1700"/>
    <n v="20084"/>
    <s v="60553079"/>
    <s v="60553079"/>
    <m/>
    <m/>
    <n v="22786856"/>
    <m/>
    <m/>
    <m/>
    <s v="SOLPOA"/>
    <s v="SOLPOA"/>
    <s v="CCMS"/>
    <n v="21321591"/>
    <n v="50.4"/>
    <m/>
    <s v="N"/>
    <n v="1"/>
    <d v="2023-07-03T19:05:19"/>
    <s v="N"/>
    <s v="Non Expert Disbursement - Private L"/>
    <s v="Non Expert Disbursement - Priv"/>
    <s v="Non Expert Disbursement"/>
    <s v="CES"/>
    <s v="N"/>
    <n v="50.4"/>
    <n v="0"/>
    <x v="3"/>
    <s v="VALIDATED"/>
    <n v="1"/>
    <s v="01.11.80.307.2012.0000"/>
    <n v="50.4"/>
    <s v="11"/>
    <s v="2012"/>
    <n v="2225.41"/>
    <n v="50.4"/>
    <s v="CREDITOR"/>
    <n v="50.4"/>
    <n v="0"/>
    <n v="0"/>
    <n v="0"/>
    <n v="0"/>
  </r>
  <r>
    <n v="60878159"/>
    <s v="N"/>
    <n v="21349816"/>
    <s v="3000015102260007"/>
    <s v="CIVIL"/>
    <d v="2023-06-29T00:00:00"/>
    <d v="2023-07-10T19:01:40"/>
    <m/>
    <d v="2023-07-10T00:00:00"/>
    <n v="1701"/>
    <n v="20084"/>
    <s v="60878159"/>
    <s v="60878159"/>
    <m/>
    <m/>
    <n v="22793322"/>
    <m/>
    <m/>
    <m/>
    <s v="SOLFIN"/>
    <s v="SOLFIN"/>
    <s v="CCMS"/>
    <n v="21349816"/>
    <n v="7587"/>
    <m/>
    <s v="N"/>
    <n v="16"/>
    <d v="2023-07-10T19:01:58"/>
    <s v="Y"/>
    <s v="Hearing Unit 2.31 - 5.00 Hours"/>
    <s v="Public Law Children"/>
    <s v="Advocacy"/>
    <s v="CES"/>
    <s v="Y"/>
    <n v="433.62"/>
    <n v="86.72"/>
    <x v="2"/>
    <s v="VALIDATED"/>
    <n v="1"/>
    <s v="01.11.80.308.6100.0000"/>
    <n v="433.62"/>
    <s v="11"/>
    <s v="6100"/>
    <n v="18760.56"/>
    <n v="433.62"/>
    <s v="CREDITOR"/>
    <n v="0"/>
    <n v="0"/>
    <n v="0"/>
    <n v="0"/>
    <n v="433.62"/>
  </r>
  <r>
    <n v="61211429"/>
    <s v="N"/>
    <n v="21344000"/>
    <s v="3000015384060004"/>
    <s v="CIVIL"/>
    <d v="2023-06-28T00:00:00"/>
    <d v="2023-07-07T19:03:00"/>
    <m/>
    <d v="2023-07-07T00:00:00"/>
    <n v="1701"/>
    <n v="20084"/>
    <s v="61211429"/>
    <s v="61211429"/>
    <m/>
    <m/>
    <n v="22776324"/>
    <m/>
    <m/>
    <m/>
    <s v="SOLFIN"/>
    <s v="SOLFIN"/>
    <s v="CCMS"/>
    <n v="21344000"/>
    <n v="6523.96"/>
    <m/>
    <s v="N"/>
    <n v="5"/>
    <d v="2023-07-07T19:03:20"/>
    <s v="Y"/>
    <s v="Toxicologist"/>
    <s v="Public Law Children"/>
    <s v="Expert Disbursement"/>
    <s v="AlphaBiolabs (Invoice 620210)"/>
    <s v="Y"/>
    <n v="97"/>
    <n v="19.4"/>
    <x v="9"/>
    <s v="VALIDATED"/>
    <n v="1"/>
    <s v="01.11.80.308.6300.0000"/>
    <n v="97"/>
    <s v="11"/>
    <s v="6300"/>
    <n v="18760.56"/>
    <n v="97"/>
    <s v="CREDITOR"/>
    <n v="0"/>
    <n v="0"/>
    <n v="0"/>
    <n v="0"/>
    <n v="97"/>
  </r>
  <r>
    <n v="60995071"/>
    <s v="N"/>
    <n v="21349491"/>
    <s v="3000015202400002"/>
    <s v="CIVIL"/>
    <d v="2023-06-29T00:00:00"/>
    <d v="2023-07-10T19:01:40"/>
    <m/>
    <d v="2023-07-10T00:00:00"/>
    <n v="1701"/>
    <n v="20084"/>
    <s v="60995071"/>
    <s v="60995071"/>
    <m/>
    <m/>
    <n v="22788998"/>
    <m/>
    <m/>
    <m/>
    <s v="SOLFIN"/>
    <s v="SOLFIN"/>
    <s v="CCMS"/>
    <n v="21349491"/>
    <n v="3217.79"/>
    <m/>
    <s v="N"/>
    <n v="23"/>
    <d v="2023-07-10T19:01:51"/>
    <s v="Y"/>
    <s v="Hearing Unit 2.31 - 5.00 Hours"/>
    <s v="Other Public Law Children"/>
    <s v="Advocacy"/>
    <s v="RMC"/>
    <s v="Y"/>
    <n v="417.06"/>
    <n v="83.41"/>
    <x v="2"/>
    <s v="VALIDATED"/>
    <n v="1"/>
    <s v="01.11.80.305.6100.0000"/>
    <n v="417.06"/>
    <s v="11"/>
    <s v="6100"/>
    <n v="18760.56"/>
    <n v="417.06"/>
    <s v="CREDITOR"/>
    <n v="0"/>
    <n v="0"/>
    <n v="0"/>
    <n v="0"/>
    <n v="417.06"/>
  </r>
  <r>
    <n v="60878159"/>
    <s v="N"/>
    <n v="21349816"/>
    <s v="3000015102260007"/>
    <s v="CIVIL"/>
    <d v="2023-06-29T00:00:00"/>
    <d v="2023-07-10T19:01:40"/>
    <m/>
    <d v="2023-07-10T00:00:00"/>
    <n v="1701"/>
    <n v="20084"/>
    <s v="60878159"/>
    <s v="60878159"/>
    <m/>
    <m/>
    <n v="22793322"/>
    <m/>
    <m/>
    <m/>
    <s v="SOLFIN"/>
    <s v="SOLFIN"/>
    <s v="CCMS"/>
    <n v="21349816"/>
    <n v="7587"/>
    <m/>
    <s v="N"/>
    <n v="20"/>
    <d v="2023-07-10T19:01:58"/>
    <s v="Y"/>
    <s v="Advocates Meeting"/>
    <s v="Public Law Children"/>
    <s v="Advocacy"/>
    <s v="KT"/>
    <s v="Y"/>
    <n v="128.16"/>
    <n v="25.63"/>
    <x v="2"/>
    <s v="VALIDATED"/>
    <n v="1"/>
    <s v="01.11.80.308.6100.0000"/>
    <n v="128.16"/>
    <s v="11"/>
    <s v="6100"/>
    <n v="18760.56"/>
    <n v="128.16"/>
    <s v="CREDITOR"/>
    <n v="0"/>
    <n v="0"/>
    <n v="0"/>
    <n v="0"/>
    <n v="128.16"/>
  </r>
  <r>
    <n v="60878159"/>
    <s v="N"/>
    <n v="21349816"/>
    <s v="3000015102260007"/>
    <s v="CIVIL"/>
    <d v="2023-06-29T00:00:00"/>
    <d v="2023-07-10T19:01:40"/>
    <m/>
    <d v="2023-07-10T00:00:00"/>
    <n v="1701"/>
    <n v="20084"/>
    <s v="60878159"/>
    <s v="60878159"/>
    <m/>
    <m/>
    <n v="22793322"/>
    <m/>
    <m/>
    <m/>
    <s v="SOLFIN"/>
    <s v="SOLFIN"/>
    <s v="CCMS"/>
    <n v="21349816"/>
    <n v="7587"/>
    <m/>
    <s v="N"/>
    <n v="17"/>
    <d v="2023-07-10T19:01:58"/>
    <s v="Y"/>
    <s v="Hearing Unit 2.31 - 5.00 Hours"/>
    <s v="Public Law Children"/>
    <s v="Advocacy"/>
    <s v="CES"/>
    <s v="Y"/>
    <n v="433.62"/>
    <n v="86.72"/>
    <x v="2"/>
    <s v="VALIDATED"/>
    <n v="1"/>
    <s v="01.11.80.308.6100.0000"/>
    <n v="433.62"/>
    <s v="11"/>
    <s v="6100"/>
    <n v="18760.56"/>
    <n v="433.62"/>
    <s v="CREDITOR"/>
    <n v="0"/>
    <n v="0"/>
    <n v="0"/>
    <n v="0"/>
    <n v="433.62"/>
  </r>
  <r>
    <n v="60878159"/>
    <s v="N"/>
    <n v="21349816"/>
    <s v="3000015102260007"/>
    <s v="CIVIL"/>
    <d v="2023-06-29T00:00:00"/>
    <d v="2023-07-10T19:01:40"/>
    <m/>
    <d v="2023-07-10T00:00:00"/>
    <n v="1701"/>
    <n v="20084"/>
    <s v="60878159"/>
    <s v="60878159"/>
    <m/>
    <m/>
    <n v="22793322"/>
    <m/>
    <m/>
    <m/>
    <s v="SOLFIN"/>
    <s v="SOLFIN"/>
    <s v="CCMS"/>
    <n v="21349816"/>
    <n v="7587"/>
    <m/>
    <s v="N"/>
    <n v="3"/>
    <d v="2023-07-10T19:01:58"/>
    <s v="Y"/>
    <s v="Exceptional Travel"/>
    <s v="Public Law Children"/>
    <s v="Advocacy"/>
    <s v="CES"/>
    <s v="Y"/>
    <n v="32.04"/>
    <n v="6.41"/>
    <x v="2"/>
    <s v="VALIDATED"/>
    <n v="1"/>
    <s v="01.11.80.308.6100.0000"/>
    <n v="32.04"/>
    <s v="11"/>
    <s v="6100"/>
    <n v="18760.56"/>
    <n v="32.04"/>
    <s v="CREDITOR"/>
    <n v="0"/>
    <n v="0"/>
    <n v="0"/>
    <n v="0"/>
    <n v="32.04"/>
  </r>
  <r>
    <n v="60995071"/>
    <s v="N"/>
    <n v="21349491"/>
    <s v="3000015202400002"/>
    <s v="CIVIL"/>
    <d v="2023-06-29T00:00:00"/>
    <d v="2023-07-10T19:01:40"/>
    <m/>
    <d v="2023-07-10T00:00:00"/>
    <n v="1701"/>
    <n v="20084"/>
    <s v="60995071"/>
    <s v="60995071"/>
    <m/>
    <m/>
    <n v="22788998"/>
    <m/>
    <m/>
    <m/>
    <s v="SOLFIN"/>
    <s v="SOLFIN"/>
    <s v="CCMS"/>
    <n v="21349491"/>
    <n v="3217.79"/>
    <m/>
    <s v="N"/>
    <n v="19"/>
    <d v="2023-07-10T19:01:51"/>
    <s v="Y"/>
    <s v="Preparation - drafting statement"/>
    <s v="Care Remuneration Hourly Rates"/>
    <s v="Profit Cost"/>
    <s v="RMC"/>
    <s v="Y"/>
    <n v="13.43"/>
    <n v="2.69"/>
    <x v="2"/>
    <s v="VALIDATED"/>
    <n v="1"/>
    <s v="01.11.80.305.6100.0000"/>
    <n v="13.43"/>
    <s v="11"/>
    <s v="6100"/>
    <n v="18760.56"/>
    <n v="13.43"/>
    <s v="CREDITOR"/>
    <n v="0"/>
    <n v="0"/>
    <n v="0"/>
    <n v="0"/>
    <n v="13.43"/>
  </r>
  <r>
    <n v="60878159"/>
    <s v="N"/>
    <n v="21349816"/>
    <s v="3000015102260007"/>
    <s v="CIVIL"/>
    <d v="2023-06-29T00:00:00"/>
    <d v="2023-07-10T19:01:40"/>
    <m/>
    <d v="2023-07-10T00:00:00"/>
    <n v="1701"/>
    <n v="20084"/>
    <s v="60878159"/>
    <s v="60878159"/>
    <m/>
    <m/>
    <n v="22793322"/>
    <m/>
    <m/>
    <m/>
    <s v="SOLFIN"/>
    <s v="SOLFIN"/>
    <s v="CCMS"/>
    <n v="21349816"/>
    <n v="7587"/>
    <m/>
    <s v="N"/>
    <n v="12"/>
    <d v="2023-07-10T19:01:58"/>
    <s v="Y"/>
    <s v="Solicitor Travel Mileage"/>
    <s v="Public Law Children"/>
    <s v="Non Expert Disbursement"/>
    <s v="CES"/>
    <s v="Y"/>
    <n v="76.14"/>
    <n v="15.23"/>
    <x v="2"/>
    <s v="VALIDATED"/>
    <n v="1"/>
    <s v="01.11.80.308.6300.0000"/>
    <n v="76.14"/>
    <s v="11"/>
    <s v="6300"/>
    <n v="18760.56"/>
    <n v="76.14"/>
    <s v="CREDITOR"/>
    <n v="0"/>
    <n v="0"/>
    <n v="0"/>
    <n v="0"/>
    <n v="76.14"/>
  </r>
  <r>
    <n v="60878159"/>
    <s v="N"/>
    <n v="21349816"/>
    <s v="3000015102260007"/>
    <s v="CIVIL"/>
    <d v="2023-06-29T00:00:00"/>
    <d v="2023-07-10T19:01:40"/>
    <m/>
    <d v="2023-07-10T00:00:00"/>
    <n v="1701"/>
    <n v="20084"/>
    <s v="60878159"/>
    <s v="60878159"/>
    <m/>
    <m/>
    <n v="22793322"/>
    <m/>
    <m/>
    <m/>
    <s v="SOLFIN"/>
    <s v="SOLFIN"/>
    <s v="CCMS"/>
    <n v="21349816"/>
    <n v="7587"/>
    <m/>
    <s v="N"/>
    <n v="13"/>
    <d v="2023-07-10T19:01:58"/>
    <s v="Y"/>
    <s v="Solicitor Travel Expenses"/>
    <s v="Public Law Children"/>
    <s v="Non Expert Disbursement"/>
    <s v="CES"/>
    <s v="Y"/>
    <n v="5"/>
    <n v="0"/>
    <x v="2"/>
    <s v="VALIDATED"/>
    <n v="1"/>
    <s v="01.11.80.308.6300.0000"/>
    <n v="5"/>
    <s v="11"/>
    <s v="6300"/>
    <n v="18760.56"/>
    <n v="5"/>
    <s v="CREDITOR"/>
    <n v="0"/>
    <n v="0"/>
    <n v="0"/>
    <n v="0"/>
    <n v="5"/>
  </r>
  <r>
    <n v="60995071"/>
    <s v="N"/>
    <n v="21349491"/>
    <s v="3000015202400002"/>
    <s v="CIVIL"/>
    <d v="2023-06-29T00:00:00"/>
    <d v="2023-07-10T19:01:40"/>
    <m/>
    <d v="2023-07-10T00:00:00"/>
    <n v="1701"/>
    <n v="20084"/>
    <s v="60995071"/>
    <s v="60995071"/>
    <m/>
    <m/>
    <n v="22788998"/>
    <m/>
    <m/>
    <m/>
    <s v="SOLFIN"/>
    <s v="SOLFIN"/>
    <s v="CCMS"/>
    <n v="21349491"/>
    <n v="3217.79"/>
    <m/>
    <s v="N"/>
    <n v="26"/>
    <d v="2023-07-10T19:01:51"/>
    <s v="Y"/>
    <s v="Hearing Unit 1.01 - 2.30 Hours"/>
    <s v="Other Public Law Children"/>
    <s v="Advocacy"/>
    <s v="RMC"/>
    <s v="Y"/>
    <n v="208.53"/>
    <n v="41.71"/>
    <x v="2"/>
    <s v="VALIDATED"/>
    <n v="1"/>
    <s v="01.11.80.305.6100.0000"/>
    <n v="208.53"/>
    <s v="11"/>
    <s v="6100"/>
    <n v="18760.56"/>
    <n v="208.53"/>
    <s v="CREDITOR"/>
    <n v="0"/>
    <n v="0"/>
    <n v="0"/>
    <n v="0"/>
    <n v="208.53"/>
  </r>
  <r>
    <n v="61211429"/>
    <s v="N"/>
    <n v="21344000"/>
    <s v="3000015384060004"/>
    <s v="CIVIL"/>
    <d v="2023-06-28T00:00:00"/>
    <d v="2023-07-07T19:03:00"/>
    <m/>
    <d v="2023-07-07T00:00:00"/>
    <n v="1701"/>
    <n v="20084"/>
    <s v="61211429"/>
    <s v="61211429"/>
    <m/>
    <m/>
    <n v="22776324"/>
    <m/>
    <m/>
    <m/>
    <s v="SOLFIN"/>
    <s v="SOLFIN"/>
    <s v="CCMS"/>
    <n v="21344000"/>
    <n v="6523.96"/>
    <m/>
    <s v="N"/>
    <n v="4"/>
    <d v="2023-07-07T19:03:20"/>
    <s v="Y"/>
    <s v="Toxicologist"/>
    <s v="Public Law Children"/>
    <s v="Expert Disbursement"/>
    <s v="FTS (Invoice 93989)"/>
    <s v="Y"/>
    <n v="141.96"/>
    <n v="28.39"/>
    <x v="9"/>
    <s v="VALIDATED"/>
    <n v="1"/>
    <s v="01.11.80.308.6300.0000"/>
    <n v="141.96"/>
    <s v="11"/>
    <s v="6300"/>
    <n v="18760.56"/>
    <n v="141.96"/>
    <s v="CREDITOR"/>
    <n v="0"/>
    <n v="0"/>
    <n v="0"/>
    <n v="0"/>
    <n v="141.96"/>
  </r>
  <r>
    <n v="60995071"/>
    <s v="N"/>
    <n v="21349491"/>
    <s v="3000015202400002"/>
    <s v="CIVIL"/>
    <d v="2023-06-29T00:00:00"/>
    <d v="2023-07-10T19:01:40"/>
    <m/>
    <d v="2023-07-10T00:00:00"/>
    <n v="1701"/>
    <n v="20084"/>
    <s v="60995071"/>
    <s v="60995071"/>
    <m/>
    <m/>
    <n v="22788998"/>
    <m/>
    <m/>
    <m/>
    <s v="SOLFIN"/>
    <s v="SOLFIN"/>
    <s v="CCMS"/>
    <n v="21349491"/>
    <n v="3217.79"/>
    <m/>
    <s v="N"/>
    <n v="1"/>
    <d v="2023-07-10T19:01:51"/>
    <s v="Y"/>
    <s v="Solicitor Travel Expenses"/>
    <s v="Care Remuneration Hourly Rates"/>
    <s v="Non Expert Disbursement"/>
    <s v="ML"/>
    <s v="Y"/>
    <n v="7.5"/>
    <n v="0"/>
    <x v="2"/>
    <s v="VALIDATED"/>
    <n v="1"/>
    <s v="01.11.80.305.6300.0000"/>
    <n v="7.5"/>
    <s v="11"/>
    <s v="6300"/>
    <n v="18760.56"/>
    <n v="7.5"/>
    <s v="CREDITOR"/>
    <n v="0"/>
    <n v="0"/>
    <n v="0"/>
    <n v="0"/>
    <n v="7.5"/>
  </r>
  <r>
    <n v="60995071"/>
    <s v="N"/>
    <n v="21349491"/>
    <s v="3000015202400002"/>
    <s v="CIVIL"/>
    <d v="2023-06-29T00:00:00"/>
    <d v="2023-07-10T19:01:40"/>
    <m/>
    <d v="2023-07-10T00:00:00"/>
    <n v="1701"/>
    <n v="20084"/>
    <s v="60995071"/>
    <s v="60995071"/>
    <m/>
    <m/>
    <n v="22788998"/>
    <m/>
    <m/>
    <m/>
    <s v="SOLFIN"/>
    <s v="SOLFIN"/>
    <s v="CCMS"/>
    <n v="21349491"/>
    <n v="3217.79"/>
    <m/>
    <s v="N"/>
    <n v="4"/>
    <d v="2023-07-10T19:01:51"/>
    <s v="Y"/>
    <s v="Court Fee"/>
    <s v="Care Remuneration Hourly Rates"/>
    <s v="Non Expert Disbursement"/>
    <s v="RMC"/>
    <s v="Y"/>
    <n v="167"/>
    <n v="0"/>
    <x v="2"/>
    <s v="VALIDATED"/>
    <n v="1"/>
    <s v="01.11.80.305.6300.0000"/>
    <n v="167"/>
    <s v="11"/>
    <s v="6300"/>
    <n v="18760.56"/>
    <n v="167"/>
    <s v="CREDITOR"/>
    <n v="0"/>
    <n v="0"/>
    <n v="0"/>
    <n v="0"/>
    <n v="167"/>
  </r>
  <r>
    <n v="61717228"/>
    <s v="N"/>
    <n v="21395352"/>
    <s v="3000015805720001"/>
    <s v="CIVIL"/>
    <d v="2023-06-29T00:00:00"/>
    <d v="2023-07-19T19:02:01"/>
    <m/>
    <d v="2023-07-19T00:00:00"/>
    <n v="1701"/>
    <n v="20084"/>
    <s v="61717228"/>
    <s v="61717228"/>
    <m/>
    <m/>
    <n v="22791208"/>
    <m/>
    <m/>
    <m/>
    <s v="SOLFIN"/>
    <s v="SOLFIN"/>
    <s v="CCMS"/>
    <n v="21395352"/>
    <n v="3203.05"/>
    <m/>
    <s v="N"/>
    <n v="5"/>
    <d v="2023-07-19T19:02:23"/>
    <s v="Y"/>
    <s v="Hearing Unit 2.31 - 5.00 Hours"/>
    <s v="Public Law Children"/>
    <s v="Advocacy"/>
    <s v="RMC"/>
    <s v="Y"/>
    <n v="433.62"/>
    <n v="86.72"/>
    <x v="5"/>
    <s v="VALIDATED"/>
    <n v="1"/>
    <s v="01.11.80.308.6100.0000"/>
    <n v="433.62"/>
    <s v="11"/>
    <s v="6100"/>
    <n v="18760.56"/>
    <n v="433.62"/>
    <s v="CREDITOR"/>
    <n v="0"/>
    <n v="0"/>
    <n v="0"/>
    <n v="0"/>
    <n v="433.62"/>
  </r>
  <r>
    <n v="60995071"/>
    <s v="N"/>
    <n v="21349491"/>
    <s v="3000015202400002"/>
    <s v="CIVIL"/>
    <d v="2023-06-29T00:00:00"/>
    <d v="2023-07-10T19:01:40"/>
    <m/>
    <d v="2023-07-10T00:00:00"/>
    <n v="1701"/>
    <n v="20084"/>
    <s v="60995071"/>
    <s v="60995071"/>
    <m/>
    <m/>
    <n v="22788998"/>
    <m/>
    <m/>
    <m/>
    <s v="SOLFIN"/>
    <s v="SOLFIN"/>
    <s v="CCMS"/>
    <n v="21349491"/>
    <n v="3217.79"/>
    <m/>
    <s v="N"/>
    <n v="18"/>
    <d v="2023-07-10T19:01:51"/>
    <s v="Y"/>
    <s v="Preparation - drafting statement"/>
    <s v="Care Remuneration Hourly Rates"/>
    <s v="Profit Cost"/>
    <s v="RMC"/>
    <s v="Y"/>
    <n v="6.72"/>
    <n v="1.34"/>
    <x v="2"/>
    <s v="VALIDATED"/>
    <n v="1"/>
    <s v="01.11.80.305.6100.0000"/>
    <n v="6.72"/>
    <s v="11"/>
    <s v="6100"/>
    <n v="18760.56"/>
    <n v="6.72"/>
    <s v="CREDITOR"/>
    <n v="0"/>
    <n v="0"/>
    <n v="0"/>
    <n v="0"/>
    <n v="6.72"/>
  </r>
  <r>
    <n v="60878159"/>
    <s v="N"/>
    <n v="21349816"/>
    <s v="3000015102260007"/>
    <s v="CIVIL"/>
    <d v="2023-06-29T00:00:00"/>
    <d v="2023-07-10T19:01:40"/>
    <m/>
    <d v="2023-07-10T00:00:00"/>
    <n v="1701"/>
    <n v="20084"/>
    <s v="60878159"/>
    <s v="60878159"/>
    <m/>
    <m/>
    <n v="22793322"/>
    <m/>
    <m/>
    <m/>
    <s v="SOLFIN"/>
    <s v="SOLFIN"/>
    <s v="CCMS"/>
    <n v="21349816"/>
    <n v="7587"/>
    <m/>
    <s v="N"/>
    <n v="9"/>
    <d v="2023-07-10T19:01:58"/>
    <s v="Y"/>
    <s v="Solicitor Travel Mileage"/>
    <s v="Public Law Children"/>
    <s v="Non Expert Disbursement"/>
    <s v="CES"/>
    <s v="Y"/>
    <n v="18.45"/>
    <n v="3.69"/>
    <x v="2"/>
    <s v="VALIDATED"/>
    <n v="1"/>
    <s v="01.11.80.308.6300.0000"/>
    <n v="18.45"/>
    <s v="11"/>
    <s v="6300"/>
    <n v="18760.56"/>
    <n v="18.45"/>
    <s v="CREDITOR"/>
    <n v="0"/>
    <n v="0"/>
    <n v="0"/>
    <n v="0"/>
    <n v="18.45"/>
  </r>
  <r>
    <n v="61211429"/>
    <s v="N"/>
    <n v="21344000"/>
    <s v="3000015384060004"/>
    <s v="CIVIL"/>
    <d v="2023-06-28T00:00:00"/>
    <d v="2023-07-07T19:03:00"/>
    <m/>
    <d v="2023-07-07T00:00:00"/>
    <n v="1701"/>
    <n v="20084"/>
    <s v="61211429"/>
    <s v="61211429"/>
    <m/>
    <m/>
    <n v="22776324"/>
    <m/>
    <m/>
    <m/>
    <s v="SOLFIN"/>
    <s v="SOLFIN"/>
    <s v="CCMS"/>
    <n v="21344000"/>
    <n v="6523.96"/>
    <m/>
    <s v="N"/>
    <n v="10"/>
    <d v="2023-07-07T19:03:20"/>
    <s v="Y"/>
    <s v="Hearing Unit 1.01 - 2.30 Hours"/>
    <s v="Public Law Children"/>
    <s v="Advocacy"/>
    <s v="ML"/>
    <s v="Y"/>
    <n v="238.46"/>
    <n v="47.69"/>
    <x v="9"/>
    <s v="VALIDATED"/>
    <n v="1"/>
    <s v="01.11.80.308.6100.0000"/>
    <n v="238.46"/>
    <s v="11"/>
    <s v="6100"/>
    <n v="18760.56"/>
    <n v="238.46"/>
    <s v="CREDITOR"/>
    <n v="0"/>
    <n v="0"/>
    <n v="0"/>
    <n v="0"/>
    <n v="238.46"/>
  </r>
  <r>
    <n v="62385426"/>
    <s v="N"/>
    <n v="21323801"/>
    <s v="3000016362550001"/>
    <s v="CIVIL"/>
    <d v="2023-06-30T00:00:00"/>
    <d v="2023-07-03T19:05:56"/>
    <m/>
    <d v="2023-07-03T00:00:00"/>
    <n v="1701"/>
    <n v="20084"/>
    <s v="62385426"/>
    <s v="62385426"/>
    <m/>
    <m/>
    <n v="22795468"/>
    <m/>
    <m/>
    <m/>
    <s v="SOLPOA"/>
    <s v="SOLPOA"/>
    <s v="CCMS"/>
    <n v="21323801"/>
    <n v="50.4"/>
    <m/>
    <s v="N"/>
    <n v="1"/>
    <d v="2023-07-03T19:05:59"/>
    <s v="N"/>
    <s v="Expert Cost"/>
    <s v="Expert Cost"/>
    <s v="Expert Disbursement"/>
    <s v="Kalesha Titchen"/>
    <s v="N"/>
    <n v="50.4"/>
    <n v="0"/>
    <x v="3"/>
    <s v="VALIDATED"/>
    <n v="1"/>
    <s v="01.11.80.308.2012.0000"/>
    <n v="50.4"/>
    <s v="11"/>
    <s v="2012"/>
    <n v="18760.56"/>
    <n v="50.4"/>
    <s v="CREDITOR"/>
    <n v="50.4"/>
    <n v="0"/>
    <n v="0"/>
    <n v="0"/>
    <n v="0"/>
  </r>
  <r>
    <n v="62283461"/>
    <s v="N"/>
    <n v="21322382"/>
    <s v="3000016277990003"/>
    <s v="CIVIL"/>
    <d v="2023-06-29T00:00:00"/>
    <d v="2023-07-03T19:05:36"/>
    <m/>
    <d v="2023-07-03T00:00:00"/>
    <n v="1701"/>
    <n v="20084"/>
    <s v="62283461"/>
    <s v="62283461"/>
    <m/>
    <m/>
    <n v="22791996"/>
    <m/>
    <m/>
    <m/>
    <s v="SOLPOA"/>
    <s v="SOLPOA"/>
    <s v="CCMS"/>
    <n v="21322382"/>
    <n v="474.84"/>
    <m/>
    <s v="N"/>
    <n v="1"/>
    <d v="2023-07-03T19:05:37"/>
    <s v="N"/>
    <s v="Expert Cost"/>
    <s v="Expert Cost"/>
    <s v="Expert Disbursement"/>
    <s v="Rachael cox"/>
    <s v="N"/>
    <n v="395.7"/>
    <n v="79.14"/>
    <x v="3"/>
    <s v="VALIDATED"/>
    <n v="1"/>
    <s v="01.11.80.308.2012.0000"/>
    <n v="395.7"/>
    <s v="11"/>
    <s v="2012"/>
    <n v="18760.56"/>
    <n v="395.7"/>
    <s v="CREDITOR"/>
    <n v="395.7"/>
    <n v="0"/>
    <n v="0"/>
    <n v="0"/>
    <n v="0"/>
  </r>
  <r>
    <n v="60995071"/>
    <s v="N"/>
    <n v="21349491"/>
    <s v="3000015202400002"/>
    <s v="CIVIL"/>
    <d v="2023-06-29T00:00:00"/>
    <d v="2023-07-10T19:01:40"/>
    <m/>
    <d v="2023-07-10T00:00:00"/>
    <n v="1701"/>
    <n v="20084"/>
    <s v="60995071"/>
    <s v="60995071"/>
    <m/>
    <m/>
    <n v="22788998"/>
    <m/>
    <m/>
    <m/>
    <s v="SOLFIN"/>
    <s v="SOLFIN"/>
    <s v="CCMS"/>
    <n v="21349491"/>
    <n v="3217.79"/>
    <m/>
    <s v="N"/>
    <n v="5"/>
    <d v="2023-07-10T19:01:51"/>
    <s v="Y"/>
    <s v="Routine Letter Out"/>
    <s v="Care Remuneration Hourly Rates"/>
    <s v="Profit Cost"/>
    <s v="RMC"/>
    <s v="Y"/>
    <n v="157.01"/>
    <n v="31.4"/>
    <x v="2"/>
    <s v="VALIDATED"/>
    <n v="1"/>
    <s v="01.11.80.305.6100.0000"/>
    <n v="157.01"/>
    <s v="11"/>
    <s v="6100"/>
    <n v="18760.56"/>
    <n v="157.01"/>
    <s v="CREDITOR"/>
    <n v="0"/>
    <n v="0"/>
    <n v="0"/>
    <n v="0"/>
    <n v="157.01"/>
  </r>
  <r>
    <n v="61212616"/>
    <s v="N"/>
    <n v="21344113"/>
    <s v="3000015385150001"/>
    <s v="CIVIL"/>
    <d v="2023-06-29T00:00:00"/>
    <d v="2023-07-07T19:03:00"/>
    <m/>
    <d v="2023-07-07T00:00:00"/>
    <n v="1701"/>
    <n v="20084"/>
    <s v="61212616"/>
    <s v="61212616"/>
    <m/>
    <m/>
    <n v="22793396"/>
    <m/>
    <m/>
    <m/>
    <s v="SOLFIN"/>
    <s v="SOLFIN"/>
    <s v="CCMS"/>
    <n v="21344113"/>
    <n v="3574.44"/>
    <m/>
    <s v="N"/>
    <n v="7"/>
    <d v="2023-07-07T19:03:23"/>
    <s v="Y"/>
    <s v="Solicitors Fixed Fee"/>
    <s v="Public Law Children"/>
    <s v="Profit Cost"/>
    <s v="CES"/>
    <s v="Y"/>
    <n v="1911"/>
    <n v="382.2"/>
    <x v="9"/>
    <s v="VALIDATED"/>
    <n v="1"/>
    <s v="01.11.80.308.6100.0000"/>
    <n v="1911"/>
    <s v="11"/>
    <s v="6100"/>
    <n v="18760.56"/>
    <n v="1911"/>
    <s v="CREDITOR"/>
    <n v="0"/>
    <n v="0"/>
    <n v="0"/>
    <n v="0"/>
    <n v="1911"/>
  </r>
  <r>
    <n v="60995071"/>
    <s v="N"/>
    <n v="21349491"/>
    <s v="3000015202400002"/>
    <s v="CIVIL"/>
    <d v="2023-06-29T00:00:00"/>
    <d v="2023-07-10T19:01:40"/>
    <m/>
    <d v="2023-07-10T00:00:00"/>
    <n v="1701"/>
    <n v="20084"/>
    <s v="60995071"/>
    <s v="60995071"/>
    <m/>
    <m/>
    <n v="22788998"/>
    <m/>
    <m/>
    <m/>
    <s v="SOLFIN"/>
    <s v="SOLFIN"/>
    <s v="CCMS"/>
    <n v="21349491"/>
    <n v="3217.79"/>
    <m/>
    <s v="N"/>
    <n v="10"/>
    <d v="2023-07-10T19:01:51"/>
    <s v="Y"/>
    <s v="Preparation - other"/>
    <s v="Care Remuneration Hourly Rates"/>
    <s v="Profit Cost"/>
    <s v="RMC"/>
    <s v="Y"/>
    <n v="134.34"/>
    <n v="26.87"/>
    <x v="2"/>
    <s v="VALIDATED"/>
    <n v="1"/>
    <s v="01.11.80.305.6100.0000"/>
    <n v="134.34"/>
    <s v="11"/>
    <s v="6100"/>
    <n v="18760.56"/>
    <n v="134.34"/>
    <s v="CREDITOR"/>
    <n v="0"/>
    <n v="0"/>
    <n v="0"/>
    <n v="0"/>
    <n v="134.34"/>
  </r>
  <r>
    <n v="60878159"/>
    <s v="N"/>
    <n v="21349816"/>
    <s v="3000015102260007"/>
    <s v="CIVIL"/>
    <d v="2023-06-29T00:00:00"/>
    <d v="2023-07-10T19:01:40"/>
    <m/>
    <d v="2023-07-10T00:00:00"/>
    <n v="1701"/>
    <n v="20084"/>
    <s v="60878159"/>
    <s v="60878159"/>
    <m/>
    <m/>
    <n v="22793322"/>
    <m/>
    <m/>
    <m/>
    <s v="SOLFIN"/>
    <s v="SOLFIN"/>
    <s v="CCMS"/>
    <n v="21349816"/>
    <n v="7587"/>
    <m/>
    <s v="N"/>
    <n v="15"/>
    <d v="2023-07-10T19:01:58"/>
    <s v="Y"/>
    <s v="Hearing Unit 2.31 - 5.00 Hours"/>
    <s v="Public Law Children"/>
    <s v="Advocacy"/>
    <s v="CES"/>
    <s v="Y"/>
    <n v="476.92"/>
    <n v="95.38"/>
    <x v="2"/>
    <s v="VALIDATED"/>
    <n v="1"/>
    <s v="01.11.80.308.6100.0000"/>
    <n v="476.92"/>
    <s v="11"/>
    <s v="6100"/>
    <n v="18760.56"/>
    <n v="476.92"/>
    <s v="CREDITOR"/>
    <n v="0"/>
    <n v="0"/>
    <n v="0"/>
    <n v="0"/>
    <n v="476.92"/>
  </r>
  <r>
    <n v="60878159"/>
    <s v="N"/>
    <n v="21349816"/>
    <s v="3000015102260007"/>
    <s v="CIVIL"/>
    <d v="2023-06-29T00:00:00"/>
    <d v="2023-07-10T19:01:40"/>
    <m/>
    <d v="2023-07-10T00:00:00"/>
    <n v="1701"/>
    <n v="20084"/>
    <s v="60878159"/>
    <s v="60878159"/>
    <m/>
    <m/>
    <n v="22793322"/>
    <m/>
    <m/>
    <m/>
    <s v="SOLFIN"/>
    <s v="SOLFIN"/>
    <s v="CCMS"/>
    <n v="21349816"/>
    <n v="7587"/>
    <m/>
    <s v="N"/>
    <n v="1"/>
    <d v="2023-07-10T19:01:58"/>
    <s v="Y"/>
    <s v="Final Hearing Court Bundle/Advocate"/>
    <s v="Public Law Children"/>
    <s v="Advocacy"/>
    <s v="CES"/>
    <s v="Y"/>
    <n v="239.4"/>
    <n v="47.88"/>
    <x v="2"/>
    <s v="VALIDATED"/>
    <n v="1"/>
    <s v="01.11.80.308.6100.0000"/>
    <n v="239.4"/>
    <s v="11"/>
    <s v="6100"/>
    <n v="18760.56"/>
    <n v="239.4"/>
    <s v="CREDITOR"/>
    <n v="0"/>
    <n v="0"/>
    <n v="0"/>
    <n v="0"/>
    <n v="239.4"/>
  </r>
  <r>
    <n v="60878159"/>
    <s v="N"/>
    <n v="21349816"/>
    <s v="3000015102260007"/>
    <s v="CIVIL"/>
    <d v="2023-06-29T00:00:00"/>
    <d v="2023-07-10T19:01:40"/>
    <m/>
    <d v="2023-07-10T00:00:00"/>
    <n v="1701"/>
    <n v="20084"/>
    <s v="60878159"/>
    <s v="60878159"/>
    <m/>
    <m/>
    <n v="22793322"/>
    <m/>
    <m/>
    <m/>
    <s v="SOLFIN"/>
    <s v="SOLFIN"/>
    <s v="CCMS"/>
    <n v="21349816"/>
    <n v="7587"/>
    <m/>
    <s v="N"/>
    <n v="8"/>
    <d v="2023-07-10T19:01:58"/>
    <s v="Y"/>
    <s v="Toxicologist"/>
    <s v="Public Law Children"/>
    <s v="Expert Disbursement"/>
    <s v="Lextox (Invoice 275065)"/>
    <s v="Y"/>
    <n v="194.57"/>
    <n v="38.91"/>
    <x v="2"/>
    <s v="VALIDATED"/>
    <n v="1"/>
    <s v="01.11.80.308.6300.0000"/>
    <n v="194.57"/>
    <s v="11"/>
    <s v="6300"/>
    <n v="18760.56"/>
    <n v="194.57"/>
    <s v="CREDITOR"/>
    <n v="0"/>
    <n v="0"/>
    <n v="0"/>
    <n v="0"/>
    <n v="194.57"/>
  </r>
  <r>
    <n v="62375338"/>
    <s v="N"/>
    <n v="21320934"/>
    <s v="3000016354940002"/>
    <s v="CIVIL"/>
    <d v="2023-06-28T00:00:00"/>
    <d v="2023-07-03T19:04:52"/>
    <m/>
    <d v="2023-07-03T00:00:00"/>
    <n v="1701"/>
    <n v="20084"/>
    <s v="62375338"/>
    <s v="62375338"/>
    <m/>
    <m/>
    <n v="22782074"/>
    <m/>
    <m/>
    <m/>
    <s v="SOLPOA"/>
    <s v="SOLPOA"/>
    <s v="CCMS"/>
    <n v="21320934"/>
    <n v="301.56"/>
    <m/>
    <s v="N"/>
    <n v="1"/>
    <d v="2023-07-03T19:04:57"/>
    <s v="N"/>
    <s v="Expert Cost"/>
    <s v="Expert Cost"/>
    <s v="Expert Disbursement"/>
    <s v="Rachael cox"/>
    <s v="N"/>
    <n v="251.3"/>
    <n v="50.26"/>
    <x v="3"/>
    <s v="VALIDATED"/>
    <n v="1"/>
    <s v="01.11.80.308.2012.0000"/>
    <n v="251.3"/>
    <s v="11"/>
    <s v="2012"/>
    <n v="18760.56"/>
    <n v="251.3"/>
    <s v="CREDITOR"/>
    <n v="251.3"/>
    <n v="0"/>
    <n v="0"/>
    <n v="0"/>
    <n v="0"/>
  </r>
  <r>
    <n v="60878159"/>
    <s v="N"/>
    <n v="21349816"/>
    <s v="3000015102260007"/>
    <s v="CIVIL"/>
    <d v="2023-06-29T00:00:00"/>
    <d v="2023-07-10T19:01:40"/>
    <m/>
    <d v="2023-07-10T00:00:00"/>
    <n v="1701"/>
    <n v="20084"/>
    <s v="60878159"/>
    <s v="60878159"/>
    <m/>
    <m/>
    <n v="22793322"/>
    <m/>
    <m/>
    <m/>
    <s v="SOLFIN"/>
    <s v="SOLFIN"/>
    <s v="CCMS"/>
    <n v="21349816"/>
    <n v="7587"/>
    <m/>
    <s v="N"/>
    <n v="7"/>
    <d v="2023-07-10T19:01:58"/>
    <s v="Y"/>
    <s v="Toxicologist"/>
    <s v="Public Law Children"/>
    <s v="Expert Disbursement"/>
    <s v="Lextox (Invoice 273801)"/>
    <s v="Y"/>
    <n v="292"/>
    <n v="58.4"/>
    <x v="2"/>
    <s v="VALIDATED"/>
    <n v="1"/>
    <s v="01.11.80.308.6300.0000"/>
    <n v="292"/>
    <s v="11"/>
    <s v="6300"/>
    <n v="18760.56"/>
    <n v="292"/>
    <s v="CREDITOR"/>
    <n v="0"/>
    <n v="0"/>
    <n v="0"/>
    <n v="0"/>
    <n v="292"/>
  </r>
  <r>
    <n v="60995071"/>
    <s v="N"/>
    <n v="21349491"/>
    <s v="3000015202400002"/>
    <s v="CIVIL"/>
    <d v="2023-06-29T00:00:00"/>
    <d v="2023-07-10T19:01:40"/>
    <m/>
    <d v="2023-07-10T00:00:00"/>
    <n v="1701"/>
    <n v="20084"/>
    <s v="60995071"/>
    <s v="60995071"/>
    <m/>
    <m/>
    <n v="22788998"/>
    <m/>
    <m/>
    <m/>
    <s v="SOLFIN"/>
    <s v="SOLFIN"/>
    <s v="CCMS"/>
    <n v="21349491"/>
    <n v="3217.79"/>
    <m/>
    <s v="N"/>
    <n v="24"/>
    <d v="2023-07-10T19:01:51"/>
    <s v="Y"/>
    <s v="Advocates Meeting"/>
    <s v="Other Public Law Children"/>
    <s v="Advocacy"/>
    <s v="KT"/>
    <s v="Y"/>
    <n v="140.99"/>
    <n v="28.2"/>
    <x v="2"/>
    <s v="VALIDATED"/>
    <n v="1"/>
    <s v="01.11.80.305.6100.0000"/>
    <n v="140.99"/>
    <s v="11"/>
    <s v="6100"/>
    <n v="18760.56"/>
    <n v="140.99"/>
    <s v="CREDITOR"/>
    <n v="0"/>
    <n v="0"/>
    <n v="0"/>
    <n v="0"/>
    <n v="140.99"/>
  </r>
  <r>
    <n v="61211429"/>
    <s v="N"/>
    <n v="21344000"/>
    <s v="3000015384060004"/>
    <s v="CIVIL"/>
    <d v="2023-06-28T00:00:00"/>
    <d v="2023-07-07T19:03:00"/>
    <m/>
    <d v="2023-07-07T00:00:00"/>
    <n v="1701"/>
    <n v="20084"/>
    <s v="61211429"/>
    <s v="61211429"/>
    <m/>
    <m/>
    <n v="22776324"/>
    <m/>
    <m/>
    <m/>
    <s v="SOLFIN"/>
    <s v="SOLFIN"/>
    <s v="CCMS"/>
    <n v="21344000"/>
    <n v="6523.96"/>
    <m/>
    <s v="N"/>
    <n v="12"/>
    <d v="2023-07-07T19:03:20"/>
    <s v="Y"/>
    <s v="Final Hearing - 1 Day"/>
    <s v="Public Law Children"/>
    <s v="Advocacy"/>
    <s v="CES"/>
    <s v="Y"/>
    <n v="556.88"/>
    <n v="111.37"/>
    <x v="9"/>
    <s v="VALIDATED"/>
    <n v="1"/>
    <s v="01.11.80.308.6100.0000"/>
    <n v="556.88"/>
    <s v="11"/>
    <s v="6100"/>
    <n v="18760.56"/>
    <n v="556.88"/>
    <s v="CREDITOR"/>
    <n v="0"/>
    <n v="0"/>
    <n v="0"/>
    <n v="0"/>
    <n v="556.88"/>
  </r>
  <r>
    <n v="61212616"/>
    <s v="N"/>
    <n v="21344113"/>
    <s v="3000015385150001"/>
    <s v="CIVIL"/>
    <d v="2023-06-29T00:00:00"/>
    <d v="2023-07-07T19:03:00"/>
    <m/>
    <d v="2023-07-07T00:00:00"/>
    <n v="1701"/>
    <n v="20084"/>
    <s v="61212616"/>
    <s v="61212616"/>
    <m/>
    <m/>
    <n v="22793396"/>
    <m/>
    <m/>
    <m/>
    <s v="SOLFIN"/>
    <s v="SOLFIN"/>
    <s v="CCMS"/>
    <n v="21344113"/>
    <n v="3574.44"/>
    <m/>
    <s v="N"/>
    <n v="2"/>
    <d v="2023-07-07T19:03:23"/>
    <s v="Y"/>
    <s v="Solicitor Travel Mileage"/>
    <s v="Public Law Children"/>
    <s v="Non Expert Disbursement"/>
    <s v="CES"/>
    <s v="Y"/>
    <n v="37.18"/>
    <n v="7.44"/>
    <x v="9"/>
    <s v="VALIDATED"/>
    <n v="1"/>
    <s v="01.11.80.308.6300.0000"/>
    <n v="37.18"/>
    <s v="11"/>
    <s v="6300"/>
    <n v="18760.56"/>
    <n v="37.18"/>
    <s v="CREDITOR"/>
    <n v="0"/>
    <n v="0"/>
    <n v="0"/>
    <n v="0"/>
    <n v="37.18"/>
  </r>
  <r>
    <n v="62283035"/>
    <s v="N"/>
    <n v="21321717"/>
    <s v="3000016277660002"/>
    <s v="CIVIL"/>
    <d v="2023-06-29T00:00:00"/>
    <d v="2023-07-03T19:05:17"/>
    <m/>
    <d v="2023-07-03T00:00:00"/>
    <n v="1701"/>
    <n v="20084"/>
    <s v="62283035"/>
    <s v="62283035"/>
    <m/>
    <m/>
    <n v="22787036"/>
    <m/>
    <m/>
    <m/>
    <s v="SOLPOA"/>
    <s v="SOLPOA"/>
    <s v="CCMS"/>
    <n v="21321717"/>
    <n v="167"/>
    <m/>
    <s v="N"/>
    <n v="1"/>
    <d v="2023-07-03T19:05:20"/>
    <s v="N"/>
    <s v="Non Expert Disbursement"/>
    <s v="Non Expert Disbursement"/>
    <s v="Non Expert Disbursement"/>
    <s v="Rachael cox"/>
    <s v="N"/>
    <n v="167"/>
    <n v="0"/>
    <x v="3"/>
    <s v="VALIDATED"/>
    <n v="1"/>
    <s v="01.11.80.308.2012.0000"/>
    <n v="167"/>
    <s v="11"/>
    <s v="2012"/>
    <n v="18760.56"/>
    <n v="167"/>
    <s v="CREDITOR"/>
    <n v="167"/>
    <n v="0"/>
    <n v="0"/>
    <n v="0"/>
    <n v="0"/>
  </r>
  <r>
    <n v="60995071"/>
    <s v="N"/>
    <n v="21349491"/>
    <s v="3000015202400002"/>
    <s v="CIVIL"/>
    <d v="2023-06-29T00:00:00"/>
    <d v="2023-07-10T19:01:40"/>
    <m/>
    <d v="2023-07-10T00:00:00"/>
    <n v="1701"/>
    <n v="20084"/>
    <s v="60995071"/>
    <s v="60995071"/>
    <m/>
    <m/>
    <n v="22788998"/>
    <m/>
    <m/>
    <m/>
    <s v="SOLFIN"/>
    <s v="SOLFIN"/>
    <s v="CCMS"/>
    <n v="21349491"/>
    <n v="3217.79"/>
    <m/>
    <s v="N"/>
    <n v="21"/>
    <d v="2023-07-10T19:01:51"/>
    <s v="Y"/>
    <s v="Preparation - other"/>
    <s v="Care Remuneration Hourly Rates"/>
    <s v="Profit Cost"/>
    <s v="Law Costs Draftsman"/>
    <s v="Y"/>
    <n v="11.68"/>
    <n v="2.34"/>
    <x v="2"/>
    <s v="VALIDATED"/>
    <n v="1"/>
    <s v="01.11.80.305.6100.0000"/>
    <n v="11.68"/>
    <s v="11"/>
    <s v="6100"/>
    <n v="18760.56"/>
    <n v="11.68"/>
    <s v="CREDITOR"/>
    <n v="0"/>
    <n v="0"/>
    <n v="0"/>
    <n v="0"/>
    <n v="11.68"/>
  </r>
  <r>
    <n v="61211429"/>
    <s v="N"/>
    <n v="21344000"/>
    <s v="3000015384060004"/>
    <s v="CIVIL"/>
    <d v="2023-06-28T00:00:00"/>
    <d v="2023-07-07T19:03:00"/>
    <m/>
    <d v="2023-07-07T00:00:00"/>
    <n v="1701"/>
    <n v="20084"/>
    <s v="61211429"/>
    <s v="61211429"/>
    <m/>
    <m/>
    <n v="22776324"/>
    <m/>
    <m/>
    <m/>
    <s v="SOLFIN"/>
    <s v="SOLFIN"/>
    <s v="CCMS"/>
    <n v="21344000"/>
    <n v="6523.96"/>
    <m/>
    <s v="N"/>
    <n v="14"/>
    <d v="2023-07-07T19:03:20"/>
    <s v="Y"/>
    <s v="Hearing Unit 2.31 - 5.00 Hours"/>
    <s v="Public Law Children"/>
    <s v="Advocacy"/>
    <s v="ML"/>
    <s v="Y"/>
    <n v="476.92"/>
    <n v="95.38"/>
    <x v="9"/>
    <s v="VALIDATED"/>
    <n v="1"/>
    <s v="01.11.80.308.6100.0000"/>
    <n v="476.92"/>
    <s v="11"/>
    <s v="6100"/>
    <n v="18760.56"/>
    <n v="476.92"/>
    <s v="CREDITOR"/>
    <n v="0"/>
    <n v="0"/>
    <n v="0"/>
    <n v="0"/>
    <n v="476.92"/>
  </r>
  <r>
    <n v="61212616"/>
    <s v="N"/>
    <n v="21344113"/>
    <s v="3000015385150001"/>
    <s v="CIVIL"/>
    <d v="2023-06-29T00:00:00"/>
    <d v="2023-07-07T19:03:00"/>
    <m/>
    <d v="2023-07-07T00:00:00"/>
    <n v="1701"/>
    <n v="20084"/>
    <s v="61212616"/>
    <s v="61212616"/>
    <m/>
    <m/>
    <n v="22793396"/>
    <m/>
    <m/>
    <m/>
    <s v="SOLFIN"/>
    <s v="SOLFIN"/>
    <s v="CCMS"/>
    <n v="21344113"/>
    <n v="3574.44"/>
    <m/>
    <s v="N"/>
    <n v="4"/>
    <d v="2023-07-07T19:03:23"/>
    <s v="Y"/>
    <s v="Hearing Unit 2.31 - 5.00 Hours"/>
    <s v="Public Law Children"/>
    <s v="Advocacy"/>
    <s v="CES"/>
    <s v="Y"/>
    <n v="433.62"/>
    <n v="86.72"/>
    <x v="9"/>
    <s v="VALIDATED"/>
    <n v="1"/>
    <s v="01.11.80.308.6100.0000"/>
    <n v="433.62"/>
    <s v="11"/>
    <s v="6100"/>
    <n v="18760.56"/>
    <n v="433.62"/>
    <s v="CREDITOR"/>
    <n v="0"/>
    <n v="0"/>
    <n v="0"/>
    <n v="0"/>
    <n v="433.62"/>
  </r>
  <r>
    <n v="61211429"/>
    <s v="N"/>
    <n v="21344000"/>
    <s v="3000015384060004"/>
    <s v="CIVIL"/>
    <d v="2023-06-28T00:00:00"/>
    <d v="2023-07-07T19:03:00"/>
    <m/>
    <d v="2023-07-07T00:00:00"/>
    <n v="1701"/>
    <n v="20084"/>
    <s v="61211429"/>
    <s v="61211429"/>
    <m/>
    <m/>
    <n v="22776324"/>
    <m/>
    <m/>
    <m/>
    <s v="SOLFIN"/>
    <s v="SOLFIN"/>
    <s v="CCMS"/>
    <n v="21344000"/>
    <n v="6523.96"/>
    <m/>
    <s v="N"/>
    <n v="2"/>
    <d v="2023-07-07T19:03:20"/>
    <s v="Y"/>
    <s v="Solicitor Travel Expenses"/>
    <s v="Public Law Children"/>
    <s v="Non Expert Disbursement"/>
    <s v="ML"/>
    <s v="Y"/>
    <n v="7.5"/>
    <n v="0"/>
    <x v="9"/>
    <s v="VALIDATED"/>
    <n v="1"/>
    <s v="01.11.80.308.6300.0000"/>
    <n v="7.5"/>
    <s v="11"/>
    <s v="6300"/>
    <n v="18760.56"/>
    <n v="7.5"/>
    <s v="CREDITOR"/>
    <n v="0"/>
    <n v="0"/>
    <n v="0"/>
    <n v="0"/>
    <n v="7.5"/>
  </r>
  <r>
    <n v="61211429"/>
    <s v="N"/>
    <n v="21344000"/>
    <s v="3000015384060004"/>
    <s v="CIVIL"/>
    <d v="2023-06-28T00:00:00"/>
    <d v="2023-07-07T19:03:00"/>
    <m/>
    <d v="2023-07-07T00:00:00"/>
    <n v="1701"/>
    <n v="20084"/>
    <s v="61211429"/>
    <s v="61211429"/>
    <m/>
    <m/>
    <n v="22776324"/>
    <m/>
    <m/>
    <m/>
    <s v="SOLFIN"/>
    <s v="SOLFIN"/>
    <s v="CCMS"/>
    <n v="21344000"/>
    <n v="6523.96"/>
    <m/>
    <s v="N"/>
    <n v="11"/>
    <d v="2023-07-07T19:03:20"/>
    <s v="Y"/>
    <s v="Hearing Unit 1.01 - 2.30 Hours"/>
    <s v="Public Law Children"/>
    <s v="Advocacy"/>
    <s v="ML"/>
    <s v="Y"/>
    <n v="238.46"/>
    <n v="47.69"/>
    <x v="9"/>
    <s v="VALIDATED"/>
    <n v="1"/>
    <s v="01.11.80.308.6100.0000"/>
    <n v="238.46"/>
    <s v="11"/>
    <s v="6100"/>
    <n v="18760.56"/>
    <n v="238.46"/>
    <s v="CREDITOR"/>
    <n v="0"/>
    <n v="0"/>
    <n v="0"/>
    <n v="0"/>
    <n v="238.46"/>
  </r>
  <r>
    <n v="61717228"/>
    <s v="N"/>
    <n v="21395352"/>
    <s v="3000015805720001"/>
    <s v="CIVIL"/>
    <d v="2023-06-29T00:00:00"/>
    <d v="2023-07-19T19:02:01"/>
    <m/>
    <d v="2023-07-19T00:00:00"/>
    <n v="1701"/>
    <n v="20084"/>
    <s v="61717228"/>
    <s v="61717228"/>
    <m/>
    <m/>
    <n v="22791208"/>
    <m/>
    <m/>
    <m/>
    <s v="SOLFIN"/>
    <s v="SOLFIN"/>
    <s v="CCMS"/>
    <n v="21395352"/>
    <n v="3203.05"/>
    <m/>
    <s v="N"/>
    <n v="1"/>
    <d v="2023-07-19T19:02:23"/>
    <s v="Y"/>
    <s v="Solicitor Travel Expenses"/>
    <s v="Public Law Children"/>
    <s v="Non Expert Disbursement"/>
    <s v="RMC"/>
    <s v="Y"/>
    <n v="17.25"/>
    <n v="0"/>
    <x v="5"/>
    <s v="VALIDATED"/>
    <n v="1"/>
    <s v="01.11.80.308.6300.0000"/>
    <n v="17.25"/>
    <s v="11"/>
    <s v="6300"/>
    <n v="18760.56"/>
    <n v="17.25"/>
    <s v="CREDITOR"/>
    <n v="0"/>
    <n v="0"/>
    <n v="0"/>
    <n v="0"/>
    <n v="17.25"/>
  </r>
  <r>
    <n v="61212616"/>
    <s v="N"/>
    <n v="21344113"/>
    <s v="3000015385150001"/>
    <s v="CIVIL"/>
    <d v="2023-06-29T00:00:00"/>
    <d v="2023-07-07T19:03:00"/>
    <m/>
    <d v="2023-07-07T00:00:00"/>
    <n v="1701"/>
    <n v="20084"/>
    <s v="61212616"/>
    <s v="61212616"/>
    <m/>
    <m/>
    <n v="22793396"/>
    <m/>
    <m/>
    <m/>
    <s v="SOLFIN"/>
    <s v="SOLFIN"/>
    <s v="CCMS"/>
    <n v="21344113"/>
    <n v="3574.44"/>
    <m/>
    <s v="N"/>
    <n v="5"/>
    <d v="2023-07-07T19:03:23"/>
    <s v="Y"/>
    <s v="Advocates Meeting"/>
    <s v="Public Law Children"/>
    <s v="Advocacy"/>
    <s v="CES"/>
    <s v="Y"/>
    <n v="128.16"/>
    <n v="25.63"/>
    <x v="9"/>
    <s v="VALIDATED"/>
    <n v="1"/>
    <s v="01.11.80.308.6100.0000"/>
    <n v="128.16"/>
    <s v="11"/>
    <s v="6100"/>
    <n v="18760.56"/>
    <n v="128.16"/>
    <s v="CREDITOR"/>
    <n v="0"/>
    <n v="0"/>
    <n v="0"/>
    <n v="0"/>
    <n v="128.16"/>
  </r>
  <r>
    <n v="60995071"/>
    <s v="N"/>
    <n v="21349491"/>
    <s v="3000015202400002"/>
    <s v="CIVIL"/>
    <d v="2023-06-29T00:00:00"/>
    <d v="2023-07-10T19:01:40"/>
    <m/>
    <d v="2023-07-10T00:00:00"/>
    <n v="1701"/>
    <n v="20084"/>
    <s v="60995071"/>
    <s v="60995071"/>
    <m/>
    <m/>
    <n v="22788998"/>
    <m/>
    <m/>
    <m/>
    <s v="SOLFIN"/>
    <s v="SOLFIN"/>
    <s v="CCMS"/>
    <n v="21349491"/>
    <n v="3217.79"/>
    <m/>
    <s v="N"/>
    <n v="27"/>
    <d v="2023-07-10T19:01:51"/>
    <s v="Y"/>
    <s v="Hearing Unit 1.01 - 2.30 Hours"/>
    <s v="Other Public Law Children"/>
    <s v="Advocacy"/>
    <s v="ML"/>
    <s v="Y"/>
    <n v="208.53"/>
    <n v="41.71"/>
    <x v="2"/>
    <s v="VALIDATED"/>
    <n v="1"/>
    <s v="01.11.80.305.6100.0000"/>
    <n v="208.53"/>
    <s v="11"/>
    <s v="6100"/>
    <n v="18760.56"/>
    <n v="208.53"/>
    <s v="CREDITOR"/>
    <n v="0"/>
    <n v="0"/>
    <n v="0"/>
    <n v="0"/>
    <n v="208.53"/>
  </r>
  <r>
    <n v="60878159"/>
    <s v="N"/>
    <n v="21349816"/>
    <s v="3000015102260007"/>
    <s v="CIVIL"/>
    <d v="2023-06-29T00:00:00"/>
    <d v="2023-07-10T19:01:40"/>
    <m/>
    <d v="2023-07-10T00:00:00"/>
    <n v="1701"/>
    <n v="20084"/>
    <s v="60878159"/>
    <s v="60878159"/>
    <m/>
    <m/>
    <n v="22793322"/>
    <m/>
    <m/>
    <m/>
    <s v="SOLFIN"/>
    <s v="SOLFIN"/>
    <s v="CCMS"/>
    <n v="21349816"/>
    <n v="7587"/>
    <m/>
    <s v="N"/>
    <n v="19"/>
    <d v="2023-07-10T19:01:58"/>
    <s v="Y"/>
    <s v="Hearing Unit 2.31 - 5.00 Hours"/>
    <s v="Public Law Children"/>
    <s v="Advocacy"/>
    <s v="SJA"/>
    <s v="Y"/>
    <n v="433.62"/>
    <n v="86.72"/>
    <x v="2"/>
    <s v="VALIDATED"/>
    <n v="1"/>
    <s v="01.11.80.308.6100.0000"/>
    <n v="433.62"/>
    <s v="11"/>
    <s v="6100"/>
    <n v="18760.56"/>
    <n v="433.62"/>
    <s v="CREDITOR"/>
    <n v="0"/>
    <n v="0"/>
    <n v="0"/>
    <n v="0"/>
    <n v="433.62"/>
  </r>
  <r>
    <n v="61211429"/>
    <s v="N"/>
    <n v="21344000"/>
    <s v="3000015384060004"/>
    <s v="CIVIL"/>
    <d v="2023-06-28T00:00:00"/>
    <d v="2023-07-07T19:03:00"/>
    <m/>
    <d v="2023-07-07T00:00:00"/>
    <n v="1701"/>
    <n v="20084"/>
    <s v="61211429"/>
    <s v="61211429"/>
    <m/>
    <m/>
    <n v="22776324"/>
    <m/>
    <m/>
    <m/>
    <s v="SOLFIN"/>
    <s v="SOLFIN"/>
    <s v="CCMS"/>
    <n v="21344000"/>
    <n v="6523.96"/>
    <m/>
    <s v="N"/>
    <n v="18"/>
    <d v="2023-07-07T19:03:20"/>
    <s v="Y"/>
    <s v="Solicitors Fixed Fee"/>
    <s v="Public Law Children"/>
    <s v="Profit Cost"/>
    <s v="ML"/>
    <s v="Y"/>
    <n v="1911"/>
    <n v="382.21"/>
    <x v="9"/>
    <s v="VALIDATED"/>
    <n v="1"/>
    <s v="01.11.80.308.6100.0000"/>
    <n v="1911"/>
    <s v="11"/>
    <s v="6100"/>
    <n v="18760.56"/>
    <n v="1911"/>
    <s v="CREDITOR"/>
    <n v="0"/>
    <n v="0"/>
    <n v="0"/>
    <n v="0"/>
    <n v="1911"/>
  </r>
  <r>
    <n v="61211429"/>
    <s v="N"/>
    <n v="21344000"/>
    <s v="3000015384060004"/>
    <s v="CIVIL"/>
    <d v="2023-06-28T00:00:00"/>
    <d v="2023-07-07T19:03:00"/>
    <m/>
    <d v="2023-07-07T00:00:00"/>
    <n v="1701"/>
    <n v="20084"/>
    <s v="61211429"/>
    <s v="61211429"/>
    <m/>
    <m/>
    <n v="22776324"/>
    <m/>
    <m/>
    <m/>
    <s v="SOLFIN"/>
    <s v="SOLFIN"/>
    <s v="CCMS"/>
    <n v="21344000"/>
    <n v="6523.96"/>
    <m/>
    <s v="N"/>
    <n v="8"/>
    <d v="2023-07-07T19:03:20"/>
    <s v="Y"/>
    <s v="Solicitor Travel Expenses"/>
    <s v="Public Law Children"/>
    <s v="Non Expert Disbursement"/>
    <s v="ML"/>
    <s v="Y"/>
    <n v="11"/>
    <n v="0"/>
    <x v="9"/>
    <s v="VALIDATED"/>
    <n v="1"/>
    <s v="01.11.80.308.6300.0000"/>
    <n v="11"/>
    <s v="11"/>
    <s v="6300"/>
    <n v="18760.56"/>
    <n v="11"/>
    <s v="CREDITOR"/>
    <n v="0"/>
    <n v="0"/>
    <n v="0"/>
    <n v="0"/>
    <n v="11"/>
  </r>
  <r>
    <n v="60995071"/>
    <s v="N"/>
    <n v="21349491"/>
    <s v="3000015202400002"/>
    <s v="CIVIL"/>
    <d v="2023-06-29T00:00:00"/>
    <d v="2023-07-10T19:01:40"/>
    <m/>
    <d v="2023-07-10T00:00:00"/>
    <n v="1701"/>
    <n v="20084"/>
    <s v="60995071"/>
    <s v="60995071"/>
    <m/>
    <m/>
    <n v="22788998"/>
    <m/>
    <m/>
    <m/>
    <s v="SOLFIN"/>
    <s v="SOLFIN"/>
    <s v="CCMS"/>
    <n v="21349491"/>
    <n v="3217.79"/>
    <m/>
    <s v="N"/>
    <n v="12"/>
    <d v="2023-07-10T19:01:51"/>
    <s v="Y"/>
    <s v="Preparation - other"/>
    <s v="Care Remuneration Hourly Rates"/>
    <s v="Profit Cost"/>
    <s v="RMC"/>
    <s v="Y"/>
    <n v="26.86"/>
    <n v="5.37"/>
    <x v="2"/>
    <s v="VALIDATED"/>
    <n v="1"/>
    <s v="01.11.80.305.6100.0000"/>
    <n v="26.86"/>
    <s v="11"/>
    <s v="6100"/>
    <n v="18760.56"/>
    <n v="26.86"/>
    <s v="CREDITOR"/>
    <n v="0"/>
    <n v="0"/>
    <n v="0"/>
    <n v="0"/>
    <n v="26.86"/>
  </r>
  <r>
    <n v="61211429"/>
    <s v="N"/>
    <n v="21344000"/>
    <s v="3000015384060004"/>
    <s v="CIVIL"/>
    <d v="2023-06-28T00:00:00"/>
    <d v="2023-07-07T19:03:00"/>
    <m/>
    <d v="2023-07-07T00:00:00"/>
    <n v="1701"/>
    <n v="20084"/>
    <s v="61211429"/>
    <s v="61211429"/>
    <m/>
    <m/>
    <n v="22776324"/>
    <m/>
    <m/>
    <m/>
    <s v="SOLFIN"/>
    <s v="SOLFIN"/>
    <s v="CCMS"/>
    <n v="21344000"/>
    <n v="6523.96"/>
    <m/>
    <s v="N"/>
    <n v="3"/>
    <d v="2023-07-07T19:03:20"/>
    <s v="Y"/>
    <s v="Solicitor Travel Expenses"/>
    <s v="Public Law Children"/>
    <s v="Non Expert Disbursement"/>
    <s v="CES"/>
    <s v="Y"/>
    <n v="9.9"/>
    <n v="0"/>
    <x v="9"/>
    <s v="VALIDATED"/>
    <n v="1"/>
    <s v="01.11.80.308.6300.0000"/>
    <n v="9.9"/>
    <s v="11"/>
    <s v="6300"/>
    <n v="18760.56"/>
    <n v="9.9"/>
    <s v="CREDITOR"/>
    <n v="0"/>
    <n v="0"/>
    <n v="0"/>
    <n v="0"/>
    <n v="9.9"/>
  </r>
  <r>
    <n v="61630341"/>
    <s v="N"/>
    <n v="21323052"/>
    <s v="3000015734620002"/>
    <s v="CIVIL"/>
    <d v="2023-06-29T00:00:00"/>
    <d v="2023-07-03T19:05:36"/>
    <m/>
    <d v="2023-07-03T00:00:00"/>
    <n v="1701"/>
    <n v="20084"/>
    <s v="61630341"/>
    <s v="61630341"/>
    <m/>
    <m/>
    <n v="22791968"/>
    <m/>
    <m/>
    <m/>
    <s v="SOLPOA"/>
    <s v="SOLPOA"/>
    <s v="CCMS"/>
    <n v="21323052"/>
    <n v="119.7"/>
    <m/>
    <s v="N"/>
    <n v="1"/>
    <d v="2023-07-03T19:05:41"/>
    <s v="N"/>
    <s v="Non Expert Disbursement - Domestic "/>
    <s v="Non Expert Disbursement - Dome"/>
    <s v="Non Expert Disbursement"/>
    <s v="CES"/>
    <s v="N"/>
    <n v="119.7"/>
    <n v="0"/>
    <x v="3"/>
    <s v="VALIDATED"/>
    <n v="1"/>
    <s v="01.11.80.302.2012.0000"/>
    <n v="119.7"/>
    <s v="11"/>
    <s v="2012"/>
    <n v="18760.56"/>
    <n v="119.7"/>
    <s v="CREDITOR"/>
    <n v="119.7"/>
    <n v="0"/>
    <n v="0"/>
    <n v="0"/>
    <n v="0"/>
  </r>
  <r>
    <n v="60995071"/>
    <s v="N"/>
    <n v="21349491"/>
    <s v="3000015202400002"/>
    <s v="CIVIL"/>
    <d v="2023-06-29T00:00:00"/>
    <d v="2023-07-10T19:01:40"/>
    <m/>
    <d v="2023-07-10T00:00:00"/>
    <n v="1701"/>
    <n v="20084"/>
    <s v="60995071"/>
    <s v="60995071"/>
    <m/>
    <m/>
    <n v="22788998"/>
    <m/>
    <m/>
    <m/>
    <s v="SOLFIN"/>
    <s v="SOLFIN"/>
    <s v="CCMS"/>
    <n v="21349491"/>
    <n v="3217.79"/>
    <m/>
    <s v="N"/>
    <n v="7"/>
    <d v="2023-07-10T19:01:51"/>
    <s v="Y"/>
    <s v="Preparation - drafting notice(s)"/>
    <s v="Care Remuneration Hourly Rates"/>
    <s v="Profit Cost"/>
    <s v="RMC"/>
    <s v="Y"/>
    <n v="6.72"/>
    <n v="1.34"/>
    <x v="2"/>
    <s v="VALIDATED"/>
    <n v="1"/>
    <s v="01.11.80.305.6100.0000"/>
    <n v="6.72"/>
    <s v="11"/>
    <s v="6100"/>
    <n v="18760.56"/>
    <n v="6.72"/>
    <s v="CREDITOR"/>
    <n v="0"/>
    <n v="0"/>
    <n v="0"/>
    <n v="0"/>
    <n v="6.72"/>
  </r>
  <r>
    <n v="61211429"/>
    <s v="N"/>
    <n v="21344000"/>
    <s v="3000015384060004"/>
    <s v="CIVIL"/>
    <d v="2023-06-28T00:00:00"/>
    <d v="2023-07-07T19:03:00"/>
    <m/>
    <d v="2023-07-07T00:00:00"/>
    <n v="1701"/>
    <n v="20084"/>
    <s v="61211429"/>
    <s v="61211429"/>
    <m/>
    <m/>
    <n v="22776324"/>
    <m/>
    <m/>
    <m/>
    <s v="SOLFIN"/>
    <s v="SOLFIN"/>
    <s v="CCMS"/>
    <n v="21344000"/>
    <n v="6523.96"/>
    <m/>
    <s v="N"/>
    <n v="7"/>
    <d v="2023-07-07T19:03:20"/>
    <s v="Y"/>
    <s v="Solicitor Travel Expenses"/>
    <s v="Public Law Children"/>
    <s v="Non Expert Disbursement"/>
    <s v="ML"/>
    <s v="Y"/>
    <n v="9"/>
    <n v="0"/>
    <x v="9"/>
    <s v="VALIDATED"/>
    <n v="1"/>
    <s v="01.11.80.308.6300.0000"/>
    <n v="9"/>
    <s v="11"/>
    <s v="6300"/>
    <n v="18760.56"/>
    <n v="9"/>
    <s v="CREDITOR"/>
    <n v="0"/>
    <n v="0"/>
    <n v="0"/>
    <n v="0"/>
    <n v="9"/>
  </r>
  <r>
    <n v="61211429"/>
    <s v="N"/>
    <n v="21344000"/>
    <s v="3000015384060004"/>
    <s v="CIVIL"/>
    <d v="2023-06-28T00:00:00"/>
    <d v="2023-07-07T19:03:00"/>
    <m/>
    <d v="2023-07-07T00:00:00"/>
    <n v="1701"/>
    <n v="20084"/>
    <s v="61211429"/>
    <s v="61211429"/>
    <m/>
    <m/>
    <n v="22776324"/>
    <m/>
    <m/>
    <m/>
    <s v="SOLFIN"/>
    <s v="SOLFIN"/>
    <s v="CCMS"/>
    <n v="21344000"/>
    <n v="6523.96"/>
    <m/>
    <s v="N"/>
    <n v="16"/>
    <d v="2023-07-07T19:03:20"/>
    <s v="Y"/>
    <s v="Advocates Meeting"/>
    <s v="Public Law Children"/>
    <s v="Advocacy"/>
    <s v="KT"/>
    <s v="Y"/>
    <n v="140.99"/>
    <n v="28.2"/>
    <x v="9"/>
    <s v="VALIDATED"/>
    <n v="1"/>
    <s v="01.11.80.308.6100.0000"/>
    <n v="140.99"/>
    <s v="11"/>
    <s v="6100"/>
    <n v="18760.56"/>
    <n v="140.99"/>
    <s v="CREDITOR"/>
    <n v="0"/>
    <n v="0"/>
    <n v="0"/>
    <n v="0"/>
    <n v="140.99"/>
  </r>
  <r>
    <n v="60995071"/>
    <s v="N"/>
    <n v="21349491"/>
    <s v="3000015202400002"/>
    <s v="CIVIL"/>
    <d v="2023-06-29T00:00:00"/>
    <d v="2023-07-10T19:01:40"/>
    <m/>
    <d v="2023-07-10T00:00:00"/>
    <n v="1701"/>
    <n v="20084"/>
    <s v="60995071"/>
    <s v="60995071"/>
    <m/>
    <m/>
    <n v="22788998"/>
    <m/>
    <m/>
    <m/>
    <s v="SOLFIN"/>
    <s v="SOLFIN"/>
    <s v="CCMS"/>
    <n v="21349491"/>
    <n v="3217.79"/>
    <m/>
    <s v="N"/>
    <n v="6"/>
    <d v="2023-07-10T19:01:51"/>
    <s v="Y"/>
    <s v="Routine Letter In"/>
    <s v="Care Remuneration Hourly Rates"/>
    <s v="Profit Cost"/>
    <s v="RMC"/>
    <s v="Y"/>
    <n v="178.71"/>
    <n v="35.74"/>
    <x v="2"/>
    <s v="VALIDATED"/>
    <n v="1"/>
    <s v="01.11.80.305.6100.0000"/>
    <n v="178.71"/>
    <s v="11"/>
    <s v="6100"/>
    <n v="18760.56"/>
    <n v="178.71"/>
    <s v="CREDITOR"/>
    <n v="0"/>
    <n v="0"/>
    <n v="0"/>
    <n v="0"/>
    <n v="178.71"/>
  </r>
  <r>
    <n v="60995071"/>
    <s v="N"/>
    <n v="21349491"/>
    <s v="3000015202400002"/>
    <s v="CIVIL"/>
    <d v="2023-06-29T00:00:00"/>
    <d v="2023-07-10T19:01:40"/>
    <m/>
    <d v="2023-07-10T00:00:00"/>
    <n v="1701"/>
    <n v="20084"/>
    <s v="60995071"/>
    <s v="60995071"/>
    <m/>
    <m/>
    <n v="22788998"/>
    <m/>
    <m/>
    <m/>
    <s v="SOLFIN"/>
    <s v="SOLFIN"/>
    <s v="CCMS"/>
    <n v="21349491"/>
    <n v="3217.79"/>
    <m/>
    <s v="N"/>
    <n v="17"/>
    <d v="2023-07-10T19:01:51"/>
    <s v="Y"/>
    <s v="Preparation - drafting statement"/>
    <s v="Care Remuneration Hourly Rates"/>
    <s v="Profit Cost"/>
    <s v="RMC"/>
    <s v="Y"/>
    <n v="6.72"/>
    <n v="1.34"/>
    <x v="2"/>
    <s v="VALIDATED"/>
    <n v="1"/>
    <s v="01.11.80.305.6100.0000"/>
    <n v="6.72"/>
    <s v="11"/>
    <s v="6100"/>
    <n v="18760.56"/>
    <n v="6.72"/>
    <s v="CREDITOR"/>
    <n v="0"/>
    <n v="0"/>
    <n v="0"/>
    <n v="0"/>
    <n v="6.72"/>
  </r>
  <r>
    <n v="60878159"/>
    <s v="N"/>
    <n v="21349816"/>
    <s v="3000015102260007"/>
    <s v="CIVIL"/>
    <d v="2023-06-29T00:00:00"/>
    <d v="2023-07-10T19:01:40"/>
    <m/>
    <d v="2023-07-10T00:00:00"/>
    <n v="1701"/>
    <n v="20084"/>
    <s v="60878159"/>
    <s v="60878159"/>
    <m/>
    <m/>
    <n v="22793322"/>
    <m/>
    <m/>
    <m/>
    <s v="SOLFIN"/>
    <s v="SOLFIN"/>
    <s v="CCMS"/>
    <n v="21349816"/>
    <n v="7587"/>
    <m/>
    <s v="N"/>
    <n v="2"/>
    <d v="2023-07-10T19:01:58"/>
    <s v="Y"/>
    <s v="Interim Hearing Court Bundle/Advoca"/>
    <s v="Public Law Children"/>
    <s v="Advocacy"/>
    <s v="CES"/>
    <s v="Y"/>
    <n v="89.09999999999999"/>
    <n v="17.82"/>
    <x v="2"/>
    <s v="VALIDATED"/>
    <n v="1"/>
    <s v="01.11.80.308.6100.0000"/>
    <n v="89.09999999999999"/>
    <s v="11"/>
    <s v="6100"/>
    <n v="18760.56"/>
    <n v="89.09999999999999"/>
    <s v="CREDITOR"/>
    <n v="0"/>
    <n v="0"/>
    <n v="0"/>
    <n v="0"/>
    <n v="89.09999999999999"/>
  </r>
  <r>
    <n v="60995071"/>
    <s v="N"/>
    <n v="21349491"/>
    <s v="3000015202400002"/>
    <s v="CIVIL"/>
    <d v="2023-06-29T00:00:00"/>
    <d v="2023-07-10T19:01:40"/>
    <m/>
    <d v="2023-07-10T00:00:00"/>
    <n v="1701"/>
    <n v="20084"/>
    <s v="60995071"/>
    <s v="60995071"/>
    <m/>
    <m/>
    <n v="22788998"/>
    <m/>
    <m/>
    <m/>
    <s v="SOLFIN"/>
    <s v="SOLFIN"/>
    <s v="CCMS"/>
    <n v="21349491"/>
    <n v="3217.79"/>
    <m/>
    <s v="N"/>
    <n v="9"/>
    <d v="2023-07-10T19:01:51"/>
    <s v="Y"/>
    <s v="Preparation - drafting notice(s)"/>
    <s v="Care Remuneration Hourly Rates"/>
    <s v="Profit Cost"/>
    <s v="RMC"/>
    <s v="Y"/>
    <n v="6.72"/>
    <n v="1.34"/>
    <x v="2"/>
    <s v="VALIDATED"/>
    <n v="1"/>
    <s v="01.11.80.305.6100.0000"/>
    <n v="6.72"/>
    <s v="11"/>
    <s v="6100"/>
    <n v="18760.56"/>
    <n v="6.72"/>
    <s v="CREDITOR"/>
    <n v="0"/>
    <n v="0"/>
    <n v="0"/>
    <n v="0"/>
    <n v="6.72"/>
  </r>
  <r>
    <n v="61212616"/>
    <s v="N"/>
    <n v="21344113"/>
    <s v="3000015385150001"/>
    <s v="CIVIL"/>
    <d v="2023-06-29T00:00:00"/>
    <d v="2023-07-07T19:03:00"/>
    <m/>
    <d v="2023-07-07T00:00:00"/>
    <n v="1701"/>
    <n v="20084"/>
    <s v="61212616"/>
    <s v="61212616"/>
    <m/>
    <m/>
    <n v="22793396"/>
    <m/>
    <m/>
    <m/>
    <s v="SOLFIN"/>
    <s v="SOLFIN"/>
    <s v="CCMS"/>
    <n v="21344113"/>
    <n v="3574.44"/>
    <m/>
    <s v="N"/>
    <n v="1"/>
    <d v="2023-07-07T19:03:23"/>
    <s v="Y"/>
    <s v="Exceptional Travel"/>
    <s v="Public Law Children"/>
    <s v="Advocacy"/>
    <s v="CES"/>
    <s v="Y"/>
    <n v="32.04"/>
    <n v="6.41"/>
    <x v="9"/>
    <s v="VALIDATED"/>
    <n v="1"/>
    <s v="01.11.80.308.6100.0000"/>
    <n v="32.04"/>
    <s v="11"/>
    <s v="6100"/>
    <n v="18760.56"/>
    <n v="32.04"/>
    <s v="CREDITOR"/>
    <n v="0"/>
    <n v="0"/>
    <n v="0"/>
    <n v="0"/>
    <n v="32.04"/>
  </r>
  <r>
    <n v="61717228"/>
    <s v="N"/>
    <n v="21395352"/>
    <s v="3000015805720001"/>
    <s v="CIVIL"/>
    <d v="2023-06-29T00:00:00"/>
    <d v="2023-07-19T19:02:01"/>
    <m/>
    <d v="2023-07-19T00:00:00"/>
    <n v="1701"/>
    <n v="20084"/>
    <s v="61717228"/>
    <s v="61717228"/>
    <m/>
    <m/>
    <n v="22791208"/>
    <m/>
    <m/>
    <m/>
    <s v="SOLFIN"/>
    <s v="SOLFIN"/>
    <s v="CCMS"/>
    <n v="21395352"/>
    <n v="3203.05"/>
    <m/>
    <s v="N"/>
    <n v="2"/>
    <d v="2023-07-19T19:02:23"/>
    <s v="Y"/>
    <s v="Solicitor Travel Expenses"/>
    <s v="Public Law Children"/>
    <s v="Non Expert Disbursement"/>
    <s v="ML"/>
    <s v="Y"/>
    <n v="7.5"/>
    <n v="0"/>
    <x v="5"/>
    <s v="VALIDATED"/>
    <n v="1"/>
    <s v="01.11.80.308.6300.0000"/>
    <n v="7.5"/>
    <s v="11"/>
    <s v="6300"/>
    <n v="18760.56"/>
    <n v="7.5"/>
    <s v="CREDITOR"/>
    <n v="0"/>
    <n v="0"/>
    <n v="0"/>
    <n v="0"/>
    <n v="7.5"/>
  </r>
  <r>
    <n v="61372883"/>
    <s v="N"/>
    <n v="21370300"/>
    <s v="3000015519020001"/>
    <s v="CIVIL"/>
    <d v="2023-05-25T00:00:00"/>
    <d v="2023-07-13T19:21:05"/>
    <m/>
    <d v="2023-07-13T00:00:00"/>
    <n v="1701"/>
    <n v="20084"/>
    <s v="61372883"/>
    <s v="61372883"/>
    <m/>
    <m/>
    <n v="22575068"/>
    <m/>
    <m/>
    <m/>
    <s v="SOLFIN"/>
    <s v="SOLFIN"/>
    <s v="CCMS"/>
    <n v="21370300"/>
    <n v="0"/>
    <m/>
    <s v="N"/>
    <n v="1"/>
    <d v="2023-07-13T19:21:20"/>
    <s v="N"/>
    <s v="NIL BILL"/>
    <s v="Care Remuneration Hourly Rates"/>
    <s v="Profit Cost"/>
    <s v="ML"/>
    <s v="N"/>
    <n v="0"/>
    <n v="0"/>
    <x v="11"/>
    <s v="VALIDATED"/>
    <n v="1"/>
    <s v="01.11.80.305.6100.0000"/>
    <n v="0"/>
    <s v="11"/>
    <s v="6100"/>
    <n v="18760.56"/>
    <n v="0"/>
    <s v="CREDITOR"/>
    <n v="0"/>
    <n v="0"/>
    <n v="0"/>
    <n v="0"/>
    <n v="0"/>
  </r>
  <r>
    <n v="61630341"/>
    <s v="N"/>
    <n v="21412810"/>
    <s v="3000015734620002RC"/>
    <s v="CIVIL"/>
    <d v="2023-06-29T00:00:00"/>
    <d v="2023-07-21T19:28:22"/>
    <m/>
    <d v="2023-07-21T00:00:00"/>
    <n v="1701"/>
    <n v="20084"/>
    <s v="61630341"/>
    <s v="61630341"/>
    <m/>
    <m/>
    <m/>
    <m/>
    <m/>
    <m/>
    <s v="SOLRECOUP"/>
    <s v="SOLRECOUP"/>
    <s v="POARECOUP"/>
    <n v="21412810"/>
    <n v="-119.7"/>
    <m/>
    <s v="Y"/>
    <n v="2"/>
    <d v="2023-07-21T19:28:26"/>
    <s v="N"/>
    <m/>
    <m/>
    <s v="Non Expert Disbursement"/>
    <m/>
    <s v="N"/>
    <n v="0"/>
    <n v="0"/>
    <x v="12"/>
    <s v="VALIDATED"/>
    <n v="1"/>
    <s v="01.11.80.000.0000.0000"/>
    <n v="0"/>
    <s v="11"/>
    <s v="0000"/>
    <n v="18760.56"/>
    <n v="0"/>
    <s v="CREDITOR"/>
    <n v="0"/>
    <n v="0"/>
    <n v="0"/>
    <n v="0"/>
    <n v="0"/>
  </r>
  <r>
    <n v="61630341"/>
    <s v="N"/>
    <n v="21412810"/>
    <s v="3000015734620002RC"/>
    <s v="CIVIL"/>
    <d v="2023-06-29T00:00:00"/>
    <d v="2023-07-21T19:28:22"/>
    <m/>
    <d v="2023-07-21T00:00:00"/>
    <n v="1701"/>
    <n v="20084"/>
    <s v="61630341"/>
    <s v="61630341"/>
    <m/>
    <m/>
    <m/>
    <m/>
    <m/>
    <m/>
    <s v="SOLRECOUP"/>
    <s v="SOLRECOUP"/>
    <s v="POARECOUP"/>
    <n v="21412810"/>
    <n v="-119.7"/>
    <m/>
    <s v="Y"/>
    <n v="1"/>
    <d v="2023-07-21T19:28:26"/>
    <s v="N"/>
    <m/>
    <m/>
    <s v="Non Expert Disbursement"/>
    <m/>
    <s v="N"/>
    <n v="-119.7"/>
    <n v="0"/>
    <x v="12"/>
    <s v="VALIDATED"/>
    <n v="1"/>
    <s v="01.11.80.302.2013.0000"/>
    <n v="-119.7"/>
    <s v="11"/>
    <s v="2013"/>
    <n v="18760.56"/>
    <n v="-119.7"/>
    <s v="CREDITOR"/>
    <n v="0"/>
    <n v="0"/>
    <n v="-119.7"/>
    <n v="0"/>
    <n v="0"/>
  </r>
  <r>
    <n v="61630341"/>
    <s v="N"/>
    <n v="21412576"/>
    <s v="3000015734620001RC"/>
    <s v="CIVIL"/>
    <d v="2023-06-29T00:00:00"/>
    <d v="2023-07-21T19:28:22"/>
    <m/>
    <d v="2023-07-21T00:00:00"/>
    <n v="1701"/>
    <n v="20084"/>
    <s v="61630341"/>
    <s v="61630341"/>
    <m/>
    <m/>
    <m/>
    <m/>
    <m/>
    <m/>
    <s v="SOLRECOUP"/>
    <s v="SOLRECOUP"/>
    <s v="POARECOUP"/>
    <n v="21412576"/>
    <n v="-220"/>
    <m/>
    <s v="Y"/>
    <n v="1"/>
    <d v="2023-07-21T19:28:25"/>
    <s v="N"/>
    <m/>
    <m/>
    <s v="Non Expert Disbursement"/>
    <m/>
    <s v="N"/>
    <n v="-220"/>
    <n v="0"/>
    <x v="12"/>
    <s v="VALIDATED"/>
    <n v="1"/>
    <s v="01.11.80.302.2013.0000"/>
    <n v="-220"/>
    <s v="11"/>
    <s v="2013"/>
    <n v="18760.56"/>
    <n v="-220"/>
    <s v="CREDITOR"/>
    <n v="0"/>
    <n v="0"/>
    <n v="-220"/>
    <n v="0"/>
    <n v="0"/>
  </r>
  <r>
    <n v="61630341"/>
    <s v="N"/>
    <n v="21412576"/>
    <s v="3000015734620001RC"/>
    <s v="CIVIL"/>
    <d v="2023-06-29T00:00:00"/>
    <d v="2023-07-21T19:28:22"/>
    <m/>
    <d v="2023-07-21T00:00:00"/>
    <n v="1701"/>
    <n v="20084"/>
    <s v="61630341"/>
    <s v="61630341"/>
    <m/>
    <m/>
    <m/>
    <m/>
    <m/>
    <m/>
    <s v="SOLRECOUP"/>
    <s v="SOLRECOUP"/>
    <s v="POARECOUP"/>
    <n v="21412576"/>
    <n v="-220"/>
    <m/>
    <s v="Y"/>
    <n v="2"/>
    <d v="2023-07-21T19:28:25"/>
    <s v="N"/>
    <m/>
    <m/>
    <s v="Non Expert Disbursement"/>
    <m/>
    <s v="N"/>
    <n v="0"/>
    <n v="0"/>
    <x v="12"/>
    <s v="VALIDATED"/>
    <n v="1"/>
    <s v="01.11.80.000.0000.0000"/>
    <n v="0"/>
    <s v="11"/>
    <s v="0000"/>
    <n v="18760.56"/>
    <n v="0"/>
    <s v="CREDITOR"/>
    <n v="0"/>
    <n v="0"/>
    <n v="0"/>
    <n v="0"/>
    <n v="0"/>
  </r>
  <r>
    <n v="60878159"/>
    <s v="N"/>
    <n v="21356816"/>
    <s v="3000015102260005RC"/>
    <s v="CIVIL"/>
    <d v="2023-06-29T00:00:00"/>
    <d v="2023-07-10T19:47:44"/>
    <m/>
    <d v="2023-07-10T00:00:00"/>
    <n v="1701"/>
    <n v="20084"/>
    <s v="60878159"/>
    <s v="60878159"/>
    <m/>
    <m/>
    <m/>
    <m/>
    <m/>
    <m/>
    <s v="SOLRECOUP"/>
    <s v="SOLRECOUP"/>
    <s v="POARECOUP"/>
    <n v="21356816"/>
    <n v="-513.9"/>
    <m/>
    <s v="Y"/>
    <n v="2"/>
    <d v="2023-07-10T19:47:46"/>
    <s v="N"/>
    <m/>
    <m/>
    <s v="Non Expert Disbursement"/>
    <m/>
    <s v="N"/>
    <n v="0"/>
    <n v="-85.65000000000001"/>
    <x v="2"/>
    <s v="VALIDATED"/>
    <n v="1"/>
    <s v="01.11.80.308.2013.0000"/>
    <n v="-85.65000000000001"/>
    <s v="11"/>
    <s v="2013"/>
    <n v="18760.56"/>
    <n v="-85.65000000000001"/>
    <s v="CREDITOR"/>
    <n v="0"/>
    <n v="0"/>
    <n v="-85.65000000000001"/>
    <n v="0"/>
    <n v="0"/>
  </r>
  <r>
    <n v="60878159"/>
    <s v="N"/>
    <n v="21356816"/>
    <s v="3000015102260005RC"/>
    <s v="CIVIL"/>
    <d v="2023-06-29T00:00:00"/>
    <d v="2023-07-10T19:47:44"/>
    <m/>
    <d v="2023-07-10T00:00:00"/>
    <n v="1701"/>
    <n v="20084"/>
    <s v="60878159"/>
    <s v="60878159"/>
    <m/>
    <m/>
    <m/>
    <m/>
    <m/>
    <m/>
    <s v="SOLRECOUP"/>
    <s v="SOLRECOUP"/>
    <s v="POARECOUP"/>
    <n v="21356816"/>
    <n v="-513.9"/>
    <m/>
    <s v="Y"/>
    <n v="1"/>
    <d v="2023-07-10T19:47:46"/>
    <s v="N"/>
    <m/>
    <m/>
    <s v="Non Expert Disbursement"/>
    <m/>
    <s v="N"/>
    <n v="-428.25"/>
    <n v="0"/>
    <x v="2"/>
    <s v="VALIDATED"/>
    <n v="1"/>
    <s v="01.11.80.308.2013.0000"/>
    <n v="-428.25"/>
    <s v="11"/>
    <s v="2013"/>
    <n v="18760.56"/>
    <n v="-428.25"/>
    <s v="CREDITOR"/>
    <n v="0"/>
    <n v="0"/>
    <n v="-428.25"/>
    <n v="0"/>
    <n v="0"/>
  </r>
  <r>
    <n v="60878159"/>
    <s v="N"/>
    <n v="21356817"/>
    <s v="3000015102260004RC"/>
    <s v="CIVIL"/>
    <d v="2023-06-29T00:00:00"/>
    <d v="2023-07-10T19:47:44"/>
    <m/>
    <d v="2023-07-10T00:00:00"/>
    <n v="1701"/>
    <n v="20084"/>
    <s v="60878159"/>
    <s v="60878159"/>
    <m/>
    <m/>
    <m/>
    <m/>
    <m/>
    <m/>
    <s v="SOLRECOUP"/>
    <s v="SOLRECOUP"/>
    <s v="POARECOUP"/>
    <n v="21356817"/>
    <n v="-233.48"/>
    <m/>
    <s v="Y"/>
    <n v="2"/>
    <d v="2023-07-10T19:47:46"/>
    <s v="N"/>
    <m/>
    <m/>
    <s v="Non Expert Disbursement"/>
    <m/>
    <s v="N"/>
    <n v="0"/>
    <n v="-38.91"/>
    <x v="2"/>
    <s v="VALIDATED"/>
    <n v="1"/>
    <s v="01.11.80.308.2013.0000"/>
    <n v="-38.91"/>
    <s v="11"/>
    <s v="2013"/>
    <n v="18760.56"/>
    <n v="-38.91"/>
    <s v="CREDITOR"/>
    <n v="0"/>
    <n v="0"/>
    <n v="-38.91"/>
    <n v="0"/>
    <n v="0"/>
  </r>
  <r>
    <n v="60878159"/>
    <s v="N"/>
    <n v="21356817"/>
    <s v="3000015102260004RC"/>
    <s v="CIVIL"/>
    <d v="2023-06-29T00:00:00"/>
    <d v="2023-07-10T19:47:44"/>
    <m/>
    <d v="2023-07-10T00:00:00"/>
    <n v="1701"/>
    <n v="20084"/>
    <s v="60878159"/>
    <s v="60878159"/>
    <m/>
    <m/>
    <m/>
    <m/>
    <m/>
    <m/>
    <s v="SOLRECOUP"/>
    <s v="SOLRECOUP"/>
    <s v="POARECOUP"/>
    <n v="21356817"/>
    <n v="-233.48"/>
    <m/>
    <s v="Y"/>
    <n v="1"/>
    <d v="2023-07-10T19:47:46"/>
    <s v="N"/>
    <m/>
    <m/>
    <s v="Non Expert Disbursement"/>
    <m/>
    <s v="N"/>
    <n v="-194.57"/>
    <n v="0"/>
    <x v="2"/>
    <s v="VALIDATED"/>
    <n v="1"/>
    <s v="01.11.80.308.2013.0000"/>
    <n v="-194.57"/>
    <s v="11"/>
    <s v="2013"/>
    <n v="18760.56"/>
    <n v="-194.57"/>
    <s v="CREDITOR"/>
    <n v="0"/>
    <n v="0"/>
    <n v="-194.57"/>
    <n v="0"/>
    <n v="0"/>
  </r>
  <r>
    <n v="60878159"/>
    <s v="N"/>
    <n v="21356818"/>
    <s v="3000015102260002RC"/>
    <s v="CIVIL"/>
    <d v="2023-06-29T00:00:00"/>
    <d v="2023-07-10T19:47:44"/>
    <m/>
    <d v="2023-07-10T00:00:00"/>
    <n v="1701"/>
    <n v="20084"/>
    <s v="60878159"/>
    <s v="60878159"/>
    <m/>
    <m/>
    <m/>
    <m/>
    <m/>
    <m/>
    <s v="SOLRECOUP"/>
    <s v="SOLRECOUP"/>
    <s v="POARECOUP"/>
    <n v="21356818"/>
    <n v="-390"/>
    <m/>
    <s v="Y"/>
    <n v="2"/>
    <d v="2023-07-10T19:47:46"/>
    <s v="N"/>
    <m/>
    <m/>
    <s v="Non Expert Disbursement"/>
    <m/>
    <s v="N"/>
    <n v="0"/>
    <n v="-65"/>
    <x v="2"/>
    <s v="VALIDATED"/>
    <n v="1"/>
    <s v="01.11.80.308.2013.0000"/>
    <n v="-65"/>
    <s v="11"/>
    <s v="2013"/>
    <n v="18760.56"/>
    <n v="-65"/>
    <s v="CREDITOR"/>
    <n v="0"/>
    <n v="0"/>
    <n v="-65"/>
    <n v="0"/>
    <n v="0"/>
  </r>
  <r>
    <n v="60878159"/>
    <s v="N"/>
    <n v="21356818"/>
    <s v="3000015102260002RC"/>
    <s v="CIVIL"/>
    <d v="2023-06-29T00:00:00"/>
    <d v="2023-07-10T19:47:44"/>
    <m/>
    <d v="2023-07-10T00:00:00"/>
    <n v="1701"/>
    <n v="20084"/>
    <s v="60878159"/>
    <s v="60878159"/>
    <m/>
    <m/>
    <m/>
    <m/>
    <m/>
    <m/>
    <s v="SOLRECOUP"/>
    <s v="SOLRECOUP"/>
    <s v="POARECOUP"/>
    <n v="21356818"/>
    <n v="-390"/>
    <m/>
    <s v="Y"/>
    <n v="1"/>
    <d v="2023-07-10T19:47:46"/>
    <s v="N"/>
    <m/>
    <m/>
    <s v="Non Expert Disbursement"/>
    <m/>
    <s v="N"/>
    <n v="-325"/>
    <n v="0"/>
    <x v="2"/>
    <s v="VALIDATED"/>
    <n v="1"/>
    <s v="01.11.80.308.2013.0000"/>
    <n v="-325"/>
    <s v="11"/>
    <s v="2013"/>
    <n v="18760.56"/>
    <n v="-325"/>
    <s v="CREDITOR"/>
    <n v="0"/>
    <n v="0"/>
    <n v="-325"/>
    <n v="0"/>
    <n v="0"/>
  </r>
  <r>
    <n v="60878159"/>
    <s v="N"/>
    <n v="21356819"/>
    <s v="3000015102260003RC"/>
    <s v="CIVIL"/>
    <d v="2023-06-29T00:00:00"/>
    <d v="2023-07-10T19:47:44"/>
    <m/>
    <d v="2023-07-10T00:00:00"/>
    <n v="1701"/>
    <n v="20084"/>
    <s v="60878159"/>
    <s v="60878159"/>
    <m/>
    <m/>
    <m/>
    <m/>
    <m/>
    <m/>
    <s v="SOLRECOUP"/>
    <s v="SOLRECOUP"/>
    <s v="POARECOUP"/>
    <n v="21356819"/>
    <n v="-350.4"/>
    <m/>
    <s v="Y"/>
    <n v="2"/>
    <d v="2023-07-10T19:47:46"/>
    <s v="N"/>
    <m/>
    <m/>
    <s v="Non Expert Disbursement"/>
    <m/>
    <s v="N"/>
    <n v="0"/>
    <n v="-58.4"/>
    <x v="2"/>
    <s v="VALIDATED"/>
    <n v="1"/>
    <s v="01.11.80.308.2013.0000"/>
    <n v="-58.4"/>
    <s v="11"/>
    <s v="2013"/>
    <n v="18760.56"/>
    <n v="-58.4"/>
    <s v="CREDITOR"/>
    <n v="0"/>
    <n v="0"/>
    <n v="-58.4"/>
    <n v="0"/>
    <n v="0"/>
  </r>
  <r>
    <n v="60878159"/>
    <s v="N"/>
    <n v="21356819"/>
    <s v="3000015102260003RC"/>
    <s v="CIVIL"/>
    <d v="2023-06-29T00:00:00"/>
    <d v="2023-07-10T19:47:44"/>
    <m/>
    <d v="2023-07-10T00:00:00"/>
    <n v="1701"/>
    <n v="20084"/>
    <s v="60878159"/>
    <s v="60878159"/>
    <m/>
    <m/>
    <m/>
    <m/>
    <m/>
    <m/>
    <s v="SOLRECOUP"/>
    <s v="SOLRECOUP"/>
    <s v="POARECOUP"/>
    <n v="21356819"/>
    <n v="-350.4"/>
    <m/>
    <s v="Y"/>
    <n v="1"/>
    <d v="2023-07-10T19:47:46"/>
    <s v="N"/>
    <m/>
    <m/>
    <s v="Non Expert Disbursement"/>
    <m/>
    <s v="N"/>
    <n v="-292"/>
    <n v="0"/>
    <x v="2"/>
    <s v="VALIDATED"/>
    <n v="1"/>
    <s v="01.11.80.308.2013.0000"/>
    <n v="-292"/>
    <s v="11"/>
    <s v="2013"/>
    <n v="18760.56"/>
    <n v="-292"/>
    <s v="CREDITOR"/>
    <n v="0"/>
    <n v="0"/>
    <n v="-292"/>
    <n v="0"/>
    <n v="0"/>
  </r>
  <r>
    <n v="60878159"/>
    <s v="N"/>
    <n v="21356820"/>
    <s v="3000015102260001RC"/>
    <s v="CIVIL"/>
    <d v="2023-06-29T00:00:00"/>
    <d v="2023-07-10T19:47:44"/>
    <m/>
    <d v="2023-07-10T00:00:00"/>
    <n v="1701"/>
    <n v="20084"/>
    <s v="60878159"/>
    <s v="60878159"/>
    <m/>
    <m/>
    <m/>
    <m/>
    <m/>
    <m/>
    <s v="SOLRECOUP"/>
    <s v="SOLRECOUP"/>
    <s v="POARECOUP"/>
    <n v="21356820"/>
    <n v="-25"/>
    <m/>
    <s v="Y"/>
    <n v="1"/>
    <d v="2023-07-10T19:47:46"/>
    <s v="N"/>
    <m/>
    <m/>
    <s v="Non Expert Disbursement"/>
    <m/>
    <s v="N"/>
    <n v="-25"/>
    <n v="0"/>
    <x v="2"/>
    <s v="VALIDATED"/>
    <n v="1"/>
    <s v="01.11.80.308.2013.0000"/>
    <n v="-25"/>
    <s v="11"/>
    <s v="2013"/>
    <n v="18760.56"/>
    <n v="-25"/>
    <s v="CREDITOR"/>
    <n v="0"/>
    <n v="0"/>
    <n v="-25"/>
    <n v="0"/>
    <n v="0"/>
  </r>
  <r>
    <n v="60878159"/>
    <s v="N"/>
    <n v="21356820"/>
    <s v="3000015102260001RC"/>
    <s v="CIVIL"/>
    <d v="2023-06-29T00:00:00"/>
    <d v="2023-07-10T19:47:44"/>
    <m/>
    <d v="2023-07-10T00:00:00"/>
    <n v="1701"/>
    <n v="20084"/>
    <s v="60878159"/>
    <s v="60878159"/>
    <m/>
    <m/>
    <m/>
    <m/>
    <m/>
    <m/>
    <s v="SOLRECOUP"/>
    <s v="SOLRECOUP"/>
    <s v="POARECOUP"/>
    <n v="21356820"/>
    <n v="-25"/>
    <m/>
    <s v="Y"/>
    <n v="2"/>
    <d v="2023-07-10T19:47:46"/>
    <s v="N"/>
    <m/>
    <m/>
    <s v="Non Expert Disbursement"/>
    <m/>
    <s v="N"/>
    <n v="0"/>
    <n v="0"/>
    <x v="2"/>
    <s v="VALIDATED"/>
    <n v="1"/>
    <s v="01.11.80.000.0000.0000"/>
    <n v="0"/>
    <s v="11"/>
    <s v="0000"/>
    <n v="18760.56"/>
    <n v="0"/>
    <s v="CREDITOR"/>
    <n v="0"/>
    <n v="0"/>
    <n v="0"/>
    <n v="0"/>
    <n v="0"/>
  </r>
  <r>
    <n v="60995071"/>
    <s v="N"/>
    <n v="21356821"/>
    <s v="3000015202400001RC"/>
    <s v="CIVIL"/>
    <d v="2023-06-29T00:00:00"/>
    <d v="2023-07-10T19:47:44"/>
    <m/>
    <d v="2023-07-10T00:00:00"/>
    <n v="1701"/>
    <n v="20084"/>
    <s v="60995071"/>
    <s v="60995071"/>
    <m/>
    <m/>
    <m/>
    <m/>
    <m/>
    <m/>
    <s v="SOLRECOUP"/>
    <s v="SOLRECOUP"/>
    <s v="POARECOUP"/>
    <n v="21356821"/>
    <n v="-167"/>
    <m/>
    <s v="Y"/>
    <n v="1"/>
    <d v="2023-07-10T19:47:46"/>
    <s v="N"/>
    <m/>
    <m/>
    <s v="Non Expert Disbursement"/>
    <m/>
    <s v="N"/>
    <n v="-167"/>
    <n v="0"/>
    <x v="2"/>
    <s v="VALIDATED"/>
    <n v="1"/>
    <s v="01.11.80.305.2013.0000"/>
    <n v="-167"/>
    <s v="11"/>
    <s v="2013"/>
    <n v="18760.56"/>
    <n v="-167"/>
    <s v="CREDITOR"/>
    <n v="0"/>
    <n v="0"/>
    <n v="-167"/>
    <n v="0"/>
    <n v="0"/>
  </r>
  <r>
    <n v="60995071"/>
    <s v="N"/>
    <n v="21356821"/>
    <s v="3000015202400001RC"/>
    <s v="CIVIL"/>
    <d v="2023-06-29T00:00:00"/>
    <d v="2023-07-10T19:47:44"/>
    <m/>
    <d v="2023-07-10T00:00:00"/>
    <n v="1701"/>
    <n v="20084"/>
    <s v="60995071"/>
    <s v="60995071"/>
    <m/>
    <m/>
    <m/>
    <m/>
    <m/>
    <m/>
    <s v="SOLRECOUP"/>
    <s v="SOLRECOUP"/>
    <s v="POARECOUP"/>
    <n v="21356821"/>
    <n v="-167"/>
    <m/>
    <s v="Y"/>
    <n v="2"/>
    <d v="2023-07-10T19:47:46"/>
    <s v="N"/>
    <m/>
    <m/>
    <s v="Non Expert Disbursement"/>
    <m/>
    <s v="N"/>
    <n v="0"/>
    <n v="0"/>
    <x v="2"/>
    <s v="VALIDATED"/>
    <n v="1"/>
    <s v="01.11.80.000.0000.0000"/>
    <n v="0"/>
    <s v="11"/>
    <s v="0000"/>
    <n v="18760.56"/>
    <n v="0"/>
    <s v="CREDITOR"/>
    <n v="0"/>
    <n v="0"/>
    <n v="0"/>
    <n v="0"/>
    <n v="0"/>
  </r>
  <r>
    <n v="60878159"/>
    <s v="N"/>
    <n v="21356822"/>
    <s v="3000015102260006RC"/>
    <s v="CIVIL"/>
    <d v="2023-06-29T00:00:00"/>
    <d v="2023-07-10T19:47:44"/>
    <m/>
    <d v="2023-07-10T00:00:00"/>
    <n v="1701"/>
    <n v="20084"/>
    <s v="60878159"/>
    <s v="60878159"/>
    <m/>
    <m/>
    <m/>
    <m/>
    <m/>
    <m/>
    <s v="SOLRECOUP"/>
    <s v="SOLRECOUP"/>
    <s v="POARECOUP"/>
    <n v="21356822"/>
    <n v="-101.6"/>
    <m/>
    <s v="Y"/>
    <n v="2"/>
    <d v="2023-07-10T19:47:46"/>
    <s v="N"/>
    <m/>
    <m/>
    <s v="Non Expert Disbursement"/>
    <m/>
    <s v="N"/>
    <n v="0"/>
    <n v="-16.93"/>
    <x v="2"/>
    <s v="VALIDATED"/>
    <n v="1"/>
    <s v="01.11.80.308.2013.0000"/>
    <n v="-16.93"/>
    <s v="11"/>
    <s v="2013"/>
    <n v="18760.56"/>
    <n v="-16.93"/>
    <s v="CREDITOR"/>
    <n v="0"/>
    <n v="0"/>
    <n v="-16.93"/>
    <n v="0"/>
    <n v="0"/>
  </r>
  <r>
    <n v="60878159"/>
    <s v="N"/>
    <n v="21356822"/>
    <s v="3000015102260006RC"/>
    <s v="CIVIL"/>
    <d v="2023-06-29T00:00:00"/>
    <d v="2023-07-10T19:47:44"/>
    <m/>
    <d v="2023-07-10T00:00:00"/>
    <n v="1701"/>
    <n v="20084"/>
    <s v="60878159"/>
    <s v="60878159"/>
    <m/>
    <m/>
    <m/>
    <m/>
    <m/>
    <m/>
    <s v="SOLRECOUP"/>
    <s v="SOLRECOUP"/>
    <s v="POARECOUP"/>
    <n v="21356822"/>
    <n v="-101.6"/>
    <m/>
    <s v="Y"/>
    <n v="1"/>
    <d v="2023-07-10T19:47:46"/>
    <s v="N"/>
    <m/>
    <m/>
    <s v="Non Expert Disbursement"/>
    <m/>
    <s v="N"/>
    <n v="-84.67"/>
    <n v="0"/>
    <x v="2"/>
    <s v="VALIDATED"/>
    <n v="1"/>
    <s v="01.11.80.308.2013.0000"/>
    <n v="-84.67"/>
    <s v="11"/>
    <s v="2013"/>
    <n v="18760.56"/>
    <n v="-84.67"/>
    <s v="CREDITOR"/>
    <n v="0"/>
    <n v="0"/>
    <n v="-84.67"/>
    <n v="0"/>
    <n v="0"/>
  </r>
  <r>
    <n v="61211429"/>
    <s v="N"/>
    <n v="21346487"/>
    <s v="3000015384060001RC"/>
    <s v="CIVIL"/>
    <d v="2023-06-28T00:00:00"/>
    <d v="2023-07-07T19:34:21"/>
    <m/>
    <d v="2023-07-07T00:00:00"/>
    <n v="1701"/>
    <n v="20084"/>
    <s v="61211429"/>
    <s v="61211429"/>
    <m/>
    <m/>
    <m/>
    <m/>
    <m/>
    <m/>
    <s v="SOLRECOUP"/>
    <s v="SOLRECOUP"/>
    <s v="POARECOUP"/>
    <n v="21346487"/>
    <n v="-300.82"/>
    <m/>
    <s v="Y"/>
    <n v="2"/>
    <d v="2023-07-07T19:34:23"/>
    <s v="N"/>
    <m/>
    <m/>
    <s v="Expert Disbursement"/>
    <m/>
    <s v="N"/>
    <n v="0"/>
    <n v="-50.14"/>
    <x v="9"/>
    <s v="VALIDATED"/>
    <n v="1"/>
    <s v="01.11.80.308.2013.0000"/>
    <n v="-50.14"/>
    <s v="11"/>
    <s v="2013"/>
    <n v="18760.56"/>
    <n v="-50.14"/>
    <s v="CREDITOR"/>
    <n v="0"/>
    <n v="0"/>
    <n v="-50.14"/>
    <n v="0"/>
    <n v="0"/>
  </r>
  <r>
    <n v="61211429"/>
    <s v="N"/>
    <n v="21346487"/>
    <s v="3000015384060001RC"/>
    <s v="CIVIL"/>
    <d v="2023-06-28T00:00:00"/>
    <d v="2023-07-07T19:34:21"/>
    <m/>
    <d v="2023-07-07T00:00:00"/>
    <n v="1701"/>
    <n v="20084"/>
    <s v="61211429"/>
    <s v="61211429"/>
    <m/>
    <m/>
    <m/>
    <m/>
    <m/>
    <m/>
    <s v="SOLRECOUP"/>
    <s v="SOLRECOUP"/>
    <s v="POARECOUP"/>
    <n v="21346487"/>
    <n v="-300.82"/>
    <m/>
    <s v="Y"/>
    <n v="1"/>
    <d v="2023-07-07T19:34:23"/>
    <s v="N"/>
    <m/>
    <m/>
    <s v="Expert Disbursement"/>
    <m/>
    <s v="N"/>
    <n v="-250.68"/>
    <n v="0"/>
    <x v="9"/>
    <s v="VALIDATED"/>
    <n v="1"/>
    <s v="01.11.80.308.2013.0000"/>
    <n v="-250.68"/>
    <s v="11"/>
    <s v="2013"/>
    <n v="18760.56"/>
    <n v="-250.68"/>
    <s v="CREDITOR"/>
    <n v="0"/>
    <n v="0"/>
    <n v="-250.68"/>
    <n v="0"/>
    <n v="0"/>
  </r>
  <r>
    <n v="61211429"/>
    <s v="N"/>
    <n v="21346488"/>
    <s v="3000015384060002RC"/>
    <s v="CIVIL"/>
    <d v="2023-06-28T00:00:00"/>
    <d v="2023-07-07T19:34:21"/>
    <m/>
    <d v="2023-07-07T00:00:00"/>
    <n v="1701"/>
    <n v="20084"/>
    <s v="61211429"/>
    <s v="61211429"/>
    <m/>
    <m/>
    <m/>
    <m/>
    <m/>
    <m/>
    <s v="SOLRECOUP"/>
    <s v="SOLRECOUP"/>
    <s v="POARECOUP"/>
    <n v="21346488"/>
    <n v="-170.35"/>
    <m/>
    <s v="Y"/>
    <n v="2"/>
    <d v="2023-07-07T19:34:23"/>
    <s v="N"/>
    <m/>
    <m/>
    <s v="Expert Disbursement"/>
    <m/>
    <s v="N"/>
    <n v="0"/>
    <n v="-28.39"/>
    <x v="9"/>
    <s v="VALIDATED"/>
    <n v="1"/>
    <s v="01.11.80.308.2013.0000"/>
    <n v="-28.39"/>
    <s v="11"/>
    <s v="2013"/>
    <n v="18760.56"/>
    <n v="-28.39"/>
    <s v="CREDITOR"/>
    <n v="0"/>
    <n v="0"/>
    <n v="-28.39"/>
    <n v="0"/>
    <n v="0"/>
  </r>
  <r>
    <n v="61211429"/>
    <s v="N"/>
    <n v="21346488"/>
    <s v="3000015384060002RC"/>
    <s v="CIVIL"/>
    <d v="2023-06-28T00:00:00"/>
    <d v="2023-07-07T19:34:21"/>
    <m/>
    <d v="2023-07-07T00:00:00"/>
    <n v="1701"/>
    <n v="20084"/>
    <s v="61211429"/>
    <s v="61211429"/>
    <m/>
    <m/>
    <m/>
    <m/>
    <m/>
    <m/>
    <s v="SOLRECOUP"/>
    <s v="SOLRECOUP"/>
    <s v="POARECOUP"/>
    <n v="21346488"/>
    <n v="-170.35"/>
    <m/>
    <s v="Y"/>
    <n v="1"/>
    <d v="2023-07-07T19:34:23"/>
    <s v="N"/>
    <m/>
    <m/>
    <s v="Expert Disbursement"/>
    <m/>
    <s v="N"/>
    <n v="-141.96"/>
    <n v="0"/>
    <x v="9"/>
    <s v="VALIDATED"/>
    <n v="1"/>
    <s v="01.11.80.308.2013.0000"/>
    <n v="-141.96"/>
    <s v="11"/>
    <s v="2013"/>
    <n v="18760.56"/>
    <n v="-141.96"/>
    <s v="CREDITOR"/>
    <n v="0"/>
    <n v="0"/>
    <n v="-141.96"/>
    <n v="0"/>
    <n v="0"/>
  </r>
  <r>
    <n v="61211429"/>
    <s v="N"/>
    <n v="21346489"/>
    <s v="3000015384060003RC"/>
    <s v="CIVIL"/>
    <d v="2023-06-28T00:00:00"/>
    <d v="2023-07-07T19:34:21"/>
    <m/>
    <d v="2023-07-07T00:00:00"/>
    <n v="1701"/>
    <n v="20084"/>
    <s v="61211429"/>
    <s v="61211429"/>
    <m/>
    <m/>
    <m/>
    <m/>
    <m/>
    <m/>
    <s v="SOLRECOUP"/>
    <s v="SOLRECOUP"/>
    <s v="POARECOUP"/>
    <n v="21346489"/>
    <n v="-116.4"/>
    <m/>
    <s v="Y"/>
    <n v="2"/>
    <d v="2023-07-07T19:34:23"/>
    <s v="N"/>
    <m/>
    <m/>
    <s v="Expert Disbursement"/>
    <m/>
    <s v="N"/>
    <n v="0"/>
    <n v="-19.4"/>
    <x v="9"/>
    <s v="VALIDATED"/>
    <n v="1"/>
    <s v="01.11.80.308.2013.0000"/>
    <n v="-19.4"/>
    <s v="11"/>
    <s v="2013"/>
    <n v="18760.56"/>
    <n v="-19.4"/>
    <s v="CREDITOR"/>
    <n v="0"/>
    <n v="0"/>
    <n v="-19.4"/>
    <n v="0"/>
    <n v="0"/>
  </r>
  <r>
    <n v="61211429"/>
    <s v="N"/>
    <n v="21346489"/>
    <s v="3000015384060003RC"/>
    <s v="CIVIL"/>
    <d v="2023-06-28T00:00:00"/>
    <d v="2023-07-07T19:34:21"/>
    <m/>
    <d v="2023-07-07T00:00:00"/>
    <n v="1701"/>
    <n v="20084"/>
    <s v="61211429"/>
    <s v="61211429"/>
    <m/>
    <m/>
    <m/>
    <m/>
    <m/>
    <m/>
    <s v="SOLRECOUP"/>
    <s v="SOLRECOUP"/>
    <s v="POARECOUP"/>
    <n v="21346489"/>
    <n v="-116.4"/>
    <m/>
    <s v="Y"/>
    <n v="1"/>
    <d v="2023-07-07T19:34:23"/>
    <s v="N"/>
    <m/>
    <m/>
    <s v="Expert Disbursement"/>
    <m/>
    <s v="N"/>
    <n v="-97"/>
    <n v="0"/>
    <x v="9"/>
    <s v="VALIDATED"/>
    <n v="1"/>
    <s v="01.11.80.308.2013.0000"/>
    <n v="-97"/>
    <s v="11"/>
    <s v="2013"/>
    <n v="18760.56"/>
    <n v="-97"/>
    <s v="CREDITOR"/>
    <n v="0"/>
    <n v="0"/>
    <n v="-97"/>
    <n v="0"/>
    <n v="0"/>
  </r>
  <r>
    <n v="60995071"/>
    <s v="N"/>
    <n v="21349491"/>
    <s v="3000015202400002"/>
    <s v="CIVIL"/>
    <d v="2023-06-29T00:00:00"/>
    <d v="2023-07-10T19:01:40"/>
    <m/>
    <d v="2023-07-10T00:00:00"/>
    <n v="1701"/>
    <n v="20084"/>
    <s v="60995071"/>
    <s v="60995071"/>
    <m/>
    <m/>
    <n v="22788998"/>
    <m/>
    <m/>
    <m/>
    <s v="SOLFIN"/>
    <s v="SOLFIN"/>
    <s v="CCMS"/>
    <n v="21349491"/>
    <n v="3217.79"/>
    <m/>
    <s v="N"/>
    <n v="13"/>
    <d v="2023-07-10T19:01:51"/>
    <s v="Y"/>
    <s v="Preparation - drafting statement"/>
    <s v="Care Remuneration Hourly Rates"/>
    <s v="Profit Cost"/>
    <s v="RMC"/>
    <s v="Y"/>
    <n v="20.15"/>
    <n v="4.03"/>
    <x v="2"/>
    <s v="VALIDATED"/>
    <n v="1"/>
    <s v="01.11.80.305.6100.0000"/>
    <n v="20.15"/>
    <s v="11"/>
    <s v="6100"/>
    <n v="18760.56"/>
    <n v="20.15"/>
    <s v="CREDITOR"/>
    <n v="0"/>
    <n v="0"/>
    <n v="0"/>
    <n v="0"/>
    <n v="20.15"/>
  </r>
  <r>
    <n v="60995071"/>
    <s v="N"/>
    <n v="21349491"/>
    <s v="3000015202400002"/>
    <s v="CIVIL"/>
    <d v="2023-06-29T00:00:00"/>
    <d v="2023-07-10T19:01:40"/>
    <m/>
    <d v="2023-07-10T00:00:00"/>
    <n v="1701"/>
    <n v="20084"/>
    <s v="60995071"/>
    <s v="60995071"/>
    <m/>
    <m/>
    <n v="22788998"/>
    <m/>
    <m/>
    <m/>
    <s v="SOLFIN"/>
    <s v="SOLFIN"/>
    <s v="CCMS"/>
    <n v="21349491"/>
    <n v="3217.79"/>
    <m/>
    <s v="N"/>
    <n v="16"/>
    <d v="2023-07-10T19:01:51"/>
    <s v="Y"/>
    <s v="Preparation - drafting statement"/>
    <s v="Care Remuneration Hourly Rates"/>
    <s v="Profit Cost"/>
    <s v="RMC"/>
    <s v="Y"/>
    <n v="33.59"/>
    <n v="6.72"/>
    <x v="2"/>
    <s v="VALIDATED"/>
    <n v="1"/>
    <s v="01.11.80.305.6100.0000"/>
    <n v="33.59"/>
    <s v="11"/>
    <s v="6100"/>
    <n v="18760.56"/>
    <n v="33.59"/>
    <s v="CREDITOR"/>
    <n v="0"/>
    <n v="0"/>
    <n v="0"/>
    <n v="0"/>
    <n v="33.59"/>
  </r>
  <r>
    <n v="61717228"/>
    <s v="N"/>
    <n v="21395352"/>
    <s v="3000015805720001"/>
    <s v="CIVIL"/>
    <d v="2023-06-29T00:00:00"/>
    <d v="2023-07-19T19:02:01"/>
    <m/>
    <d v="2023-07-19T00:00:00"/>
    <n v="1701"/>
    <n v="20084"/>
    <s v="61717228"/>
    <s v="61717228"/>
    <m/>
    <m/>
    <n v="22791208"/>
    <m/>
    <m/>
    <m/>
    <s v="SOLFIN"/>
    <s v="SOLFIN"/>
    <s v="CCMS"/>
    <n v="21395352"/>
    <n v="3203.05"/>
    <m/>
    <s v="N"/>
    <n v="4"/>
    <d v="2023-07-19T19:02:23"/>
    <s v="Y"/>
    <s v="Advocates Meeting"/>
    <s v="Public Law Children"/>
    <s v="Advocacy"/>
    <s v="ML"/>
    <s v="Y"/>
    <n v="128.16"/>
    <n v="25.63"/>
    <x v="5"/>
    <s v="VALIDATED"/>
    <n v="1"/>
    <s v="01.11.80.308.6100.0000"/>
    <n v="128.16"/>
    <s v="11"/>
    <s v="6100"/>
    <n v="18760.56"/>
    <n v="128.16"/>
    <s v="CREDITOR"/>
    <n v="0"/>
    <n v="0"/>
    <n v="0"/>
    <n v="0"/>
    <n v="128.16"/>
  </r>
  <r>
    <n v="60878159"/>
    <s v="N"/>
    <n v="21349816"/>
    <s v="3000015102260007"/>
    <s v="CIVIL"/>
    <d v="2023-06-29T00:00:00"/>
    <d v="2023-07-10T19:01:40"/>
    <m/>
    <d v="2023-07-10T00:00:00"/>
    <n v="1701"/>
    <n v="20084"/>
    <s v="60878159"/>
    <s v="60878159"/>
    <m/>
    <m/>
    <n v="22793322"/>
    <m/>
    <m/>
    <m/>
    <s v="SOLFIN"/>
    <s v="SOLFIN"/>
    <s v="CCMS"/>
    <n v="21349816"/>
    <n v="7587"/>
    <m/>
    <s v="N"/>
    <n v="5"/>
    <d v="2023-07-10T19:01:58"/>
    <s v="Y"/>
    <s v="Toxicologist"/>
    <s v="Public Law Children"/>
    <s v="Expert Disbursement"/>
    <s v="Lextox (Invoice 267926)"/>
    <s v="Y"/>
    <n v="325"/>
    <n v="65"/>
    <x v="2"/>
    <s v="VALIDATED"/>
    <n v="1"/>
    <s v="01.11.80.308.6300.0000"/>
    <n v="325"/>
    <s v="11"/>
    <s v="6300"/>
    <n v="18760.56"/>
    <n v="325"/>
    <s v="CREDITOR"/>
    <n v="0"/>
    <n v="0"/>
    <n v="0"/>
    <n v="0"/>
    <n v="325"/>
  </r>
  <r>
    <n v="61212616"/>
    <s v="N"/>
    <n v="21344113"/>
    <s v="3000015385150001"/>
    <s v="CIVIL"/>
    <d v="2023-06-29T00:00:00"/>
    <d v="2023-07-07T19:03:00"/>
    <m/>
    <d v="2023-07-07T00:00:00"/>
    <n v="1701"/>
    <n v="20084"/>
    <s v="61212616"/>
    <s v="61212616"/>
    <m/>
    <m/>
    <n v="22793396"/>
    <m/>
    <m/>
    <m/>
    <s v="SOLFIN"/>
    <s v="SOLFIN"/>
    <s v="CCMS"/>
    <n v="21344113"/>
    <n v="3574.44"/>
    <m/>
    <s v="N"/>
    <n v="3"/>
    <d v="2023-07-07T19:03:23"/>
    <s v="Y"/>
    <s v="Solicitor Travel Expenses"/>
    <s v="Public Law Children"/>
    <s v="Non Expert Disbursement"/>
    <s v="CES"/>
    <s v="Y"/>
    <n v="3.7"/>
    <n v="0"/>
    <x v="9"/>
    <s v="VALIDATED"/>
    <n v="1"/>
    <s v="01.11.80.308.6300.0000"/>
    <n v="3.7"/>
    <s v="11"/>
    <s v="6300"/>
    <n v="18760.56"/>
    <n v="3.7"/>
    <s v="CREDITOR"/>
    <n v="0"/>
    <n v="0"/>
    <n v="0"/>
    <n v="0"/>
    <n v="3.7"/>
  </r>
  <r>
    <n v="62283461"/>
    <s v="N"/>
    <n v="21322188"/>
    <s v="3000016277990002"/>
    <s v="CIVIL"/>
    <d v="2023-06-29T00:00:00"/>
    <d v="2023-07-03T19:05:36"/>
    <m/>
    <d v="2023-07-03T00:00:00"/>
    <n v="1701"/>
    <n v="20084"/>
    <s v="62283461"/>
    <s v="62283461"/>
    <m/>
    <m/>
    <n v="22791784"/>
    <m/>
    <m/>
    <m/>
    <s v="SOLPOA"/>
    <s v="SOLPOA"/>
    <s v="CCMS"/>
    <n v="21322188"/>
    <n v="39.5"/>
    <m/>
    <s v="N"/>
    <n v="1"/>
    <d v="2023-07-03T19:05:36"/>
    <s v="N"/>
    <s v="Expert Cost"/>
    <s v="Expert Cost"/>
    <s v="Expert Disbursement"/>
    <s v="Rachael cox"/>
    <s v="N"/>
    <n v="32.92"/>
    <n v="6.58"/>
    <x v="3"/>
    <s v="VALIDATED"/>
    <n v="1"/>
    <s v="01.11.80.308.2012.0000"/>
    <n v="32.92"/>
    <s v="11"/>
    <s v="2012"/>
    <n v="18760.56"/>
    <n v="32.92"/>
    <s v="CREDITOR"/>
    <n v="32.92"/>
    <n v="0"/>
    <n v="0"/>
    <n v="0"/>
    <n v="0"/>
  </r>
  <r>
    <n v="60995071"/>
    <s v="N"/>
    <n v="21349491"/>
    <s v="3000015202400002"/>
    <s v="CIVIL"/>
    <d v="2023-06-29T00:00:00"/>
    <d v="2023-07-10T19:01:40"/>
    <m/>
    <d v="2023-07-10T00:00:00"/>
    <n v="1701"/>
    <n v="20084"/>
    <s v="60995071"/>
    <s v="60995071"/>
    <m/>
    <m/>
    <n v="22788998"/>
    <m/>
    <m/>
    <m/>
    <s v="SOLFIN"/>
    <s v="SOLFIN"/>
    <s v="CCMS"/>
    <n v="21349491"/>
    <n v="3217.79"/>
    <m/>
    <s v="N"/>
    <n v="25"/>
    <d v="2023-07-10T19:01:51"/>
    <s v="Y"/>
    <s v="Final Hearing - 1 Day"/>
    <s v="Other Public Law Children"/>
    <s v="Advocacy"/>
    <s v="RMC"/>
    <s v="Y"/>
    <n v="510.75"/>
    <n v="102.15"/>
    <x v="2"/>
    <s v="VALIDATED"/>
    <n v="1"/>
    <s v="01.11.80.305.6100.0000"/>
    <n v="510.75"/>
    <s v="11"/>
    <s v="6100"/>
    <n v="18760.56"/>
    <n v="510.75"/>
    <s v="CREDITOR"/>
    <n v="0"/>
    <n v="0"/>
    <n v="0"/>
    <n v="0"/>
    <n v="510.75"/>
  </r>
  <r>
    <n v="60995071"/>
    <s v="N"/>
    <n v="21349491"/>
    <s v="3000015202400002"/>
    <s v="CIVIL"/>
    <d v="2023-06-29T00:00:00"/>
    <d v="2023-07-10T19:01:40"/>
    <m/>
    <d v="2023-07-10T00:00:00"/>
    <n v="1701"/>
    <n v="20084"/>
    <s v="60995071"/>
    <s v="60995071"/>
    <m/>
    <m/>
    <n v="22788998"/>
    <m/>
    <m/>
    <m/>
    <s v="SOLFIN"/>
    <s v="SOLFIN"/>
    <s v="CCMS"/>
    <n v="21349491"/>
    <n v="3217.79"/>
    <m/>
    <s v="N"/>
    <n v="3"/>
    <d v="2023-07-10T19:01:51"/>
    <s v="Y"/>
    <s v="Solicitor Travel Expenses"/>
    <s v="Care Remuneration Hourly Rates"/>
    <s v="Non Expert Disbursement"/>
    <s v="RMC"/>
    <s v="Y"/>
    <n v="3.3"/>
    <n v="0"/>
    <x v="2"/>
    <s v="VALIDATED"/>
    <n v="1"/>
    <s v="01.11.80.305.6300.0000"/>
    <n v="3.3"/>
    <s v="11"/>
    <s v="6300"/>
    <n v="18760.56"/>
    <n v="3.3"/>
    <s v="CREDITOR"/>
    <n v="0"/>
    <n v="0"/>
    <n v="0"/>
    <n v="0"/>
    <n v="3.3"/>
  </r>
  <r>
    <n v="61211429"/>
    <s v="N"/>
    <n v="21344000"/>
    <s v="3000015384060004"/>
    <s v="CIVIL"/>
    <d v="2023-06-28T00:00:00"/>
    <d v="2023-07-07T19:03:00"/>
    <m/>
    <d v="2023-07-07T00:00:00"/>
    <n v="1701"/>
    <n v="20084"/>
    <s v="61211429"/>
    <s v="61211429"/>
    <m/>
    <m/>
    <n v="22776324"/>
    <m/>
    <m/>
    <m/>
    <s v="SOLFIN"/>
    <s v="SOLFIN"/>
    <s v="CCMS"/>
    <n v="21344000"/>
    <n v="6523.96"/>
    <m/>
    <s v="N"/>
    <n v="15"/>
    <d v="2023-07-07T19:03:20"/>
    <s v="Y"/>
    <s v="Hearing Unit 2.31 - 5.00 Hours"/>
    <s v="Public Law Children"/>
    <s v="Advocacy"/>
    <s v="ML"/>
    <s v="Y"/>
    <n v="476.92"/>
    <n v="95.38"/>
    <x v="9"/>
    <s v="VALIDATED"/>
    <n v="1"/>
    <s v="01.11.80.308.6100.0000"/>
    <n v="476.92"/>
    <s v="11"/>
    <s v="6100"/>
    <n v="18760.56"/>
    <n v="476.92"/>
    <s v="CREDITOR"/>
    <n v="0"/>
    <n v="0"/>
    <n v="0"/>
    <n v="0"/>
    <n v="476.92"/>
  </r>
  <r>
    <n v="60995071"/>
    <s v="N"/>
    <n v="21349491"/>
    <s v="3000015202400002"/>
    <s v="CIVIL"/>
    <d v="2023-06-29T00:00:00"/>
    <d v="2023-07-10T19:01:40"/>
    <m/>
    <d v="2023-07-10T00:00:00"/>
    <n v="1701"/>
    <n v="20084"/>
    <s v="60995071"/>
    <s v="60995071"/>
    <m/>
    <m/>
    <n v="22788998"/>
    <m/>
    <m/>
    <m/>
    <s v="SOLFIN"/>
    <s v="SOLFIN"/>
    <s v="CCMS"/>
    <n v="21349491"/>
    <n v="3217.79"/>
    <m/>
    <s v="N"/>
    <n v="20"/>
    <d v="2023-07-10T19:01:51"/>
    <s v="Y"/>
    <s v="Preparation - other"/>
    <s v="Care Remuneration Hourly Rates"/>
    <s v="Profit Cost"/>
    <s v="Law Costs Draftsman"/>
    <s v="Y"/>
    <n v="46.73"/>
    <n v="9.35"/>
    <x v="2"/>
    <s v="VALIDATED"/>
    <n v="1"/>
    <s v="01.11.80.305.6100.0000"/>
    <n v="46.73"/>
    <s v="11"/>
    <s v="6100"/>
    <n v="18760.56"/>
    <n v="46.73"/>
    <s v="CREDITOR"/>
    <n v="0"/>
    <n v="0"/>
    <n v="0"/>
    <n v="0"/>
    <n v="46.73"/>
  </r>
  <r>
    <n v="60995071"/>
    <s v="N"/>
    <n v="21349491"/>
    <s v="3000015202400002"/>
    <s v="CIVIL"/>
    <d v="2023-06-29T00:00:00"/>
    <d v="2023-07-10T19:01:40"/>
    <m/>
    <d v="2023-07-10T00:00:00"/>
    <n v="1701"/>
    <n v="20084"/>
    <s v="60995071"/>
    <s v="60995071"/>
    <m/>
    <m/>
    <n v="22788998"/>
    <m/>
    <m/>
    <m/>
    <s v="SOLFIN"/>
    <s v="SOLFIN"/>
    <s v="CCMS"/>
    <n v="21349491"/>
    <n v="3217.79"/>
    <m/>
    <s v="N"/>
    <n v="22"/>
    <d v="2023-07-10T19:01:51"/>
    <s v="Y"/>
    <s v="Preparation - drafting bill/claim f"/>
    <s v="Care Remuneration Hourly Rates"/>
    <s v="Profit Cost"/>
    <s v="Law Costs Draftsman"/>
    <s v="Y"/>
    <n v="157.71"/>
    <n v="31.54"/>
    <x v="2"/>
    <s v="VALIDATED"/>
    <n v="1"/>
    <s v="01.11.80.305.6100.0000"/>
    <n v="157.71"/>
    <s v="11"/>
    <s v="6100"/>
    <n v="18760.56"/>
    <n v="157.71"/>
    <s v="CREDITOR"/>
    <n v="0"/>
    <n v="0"/>
    <n v="0"/>
    <n v="0"/>
    <n v="157.71"/>
  </r>
  <r>
    <n v="60995071"/>
    <s v="N"/>
    <n v="21349491"/>
    <s v="3000015202400002"/>
    <s v="CIVIL"/>
    <d v="2023-06-29T00:00:00"/>
    <d v="2023-07-10T19:01:40"/>
    <m/>
    <d v="2023-07-10T00:00:00"/>
    <n v="1701"/>
    <n v="20084"/>
    <s v="60995071"/>
    <s v="60995071"/>
    <m/>
    <m/>
    <n v="22788998"/>
    <m/>
    <m/>
    <m/>
    <s v="SOLFIN"/>
    <s v="SOLFIN"/>
    <s v="CCMS"/>
    <n v="21349491"/>
    <n v="3217.79"/>
    <m/>
    <s v="N"/>
    <n v="11"/>
    <d v="2023-07-10T19:01:51"/>
    <s v="Y"/>
    <s v="Report - other report"/>
    <s v="Care Remuneration Hourly Rates"/>
    <s v="Profit Cost"/>
    <s v="RMC"/>
    <s v="Y"/>
    <n v="134.34"/>
    <n v="26.87"/>
    <x v="2"/>
    <s v="VALIDATED"/>
    <n v="1"/>
    <s v="01.11.80.305.6100.0000"/>
    <n v="134.34"/>
    <s v="11"/>
    <s v="6100"/>
    <n v="18760.56"/>
    <n v="134.34"/>
    <s v="CREDITOR"/>
    <n v="0"/>
    <n v="0"/>
    <n v="0"/>
    <n v="0"/>
    <n v="134.34"/>
  </r>
  <r>
    <n v="62138355"/>
    <s v="N"/>
    <n v="21320286"/>
    <s v="3000016159710003"/>
    <s v="CIVIL"/>
    <d v="2023-06-28T00:00:00"/>
    <d v="2023-07-03T19:04:52"/>
    <m/>
    <d v="2023-07-03T00:00:00"/>
    <n v="1701"/>
    <n v="20084"/>
    <s v="62138355"/>
    <s v="62138355"/>
    <m/>
    <m/>
    <n v="22782246"/>
    <m/>
    <m/>
    <m/>
    <s v="SOLPOA"/>
    <s v="SOLPOA"/>
    <s v="CCMS"/>
    <n v="21320286"/>
    <n v="374.69"/>
    <m/>
    <s v="N"/>
    <n v="1"/>
    <d v="2023-07-03T19:04:53"/>
    <s v="N"/>
    <s v="Non Expert Disbursement"/>
    <s v="Non Expert Disbursement"/>
    <s v="Non Expert Disbursement"/>
    <s v="CES"/>
    <s v="N"/>
    <n v="312.24"/>
    <n v="62.45"/>
    <x v="3"/>
    <s v="VALIDATED"/>
    <n v="1"/>
    <s v="01.11.80.308.2012.0000"/>
    <n v="312.24"/>
    <s v="11"/>
    <s v="2012"/>
    <n v="18760.56"/>
    <n v="312.24"/>
    <s v="CREDITOR"/>
    <n v="312.24"/>
    <n v="0"/>
    <n v="0"/>
    <n v="0"/>
    <n v="0"/>
  </r>
  <r>
    <n v="60995071"/>
    <s v="N"/>
    <n v="21349491"/>
    <s v="3000015202400002"/>
    <s v="CIVIL"/>
    <d v="2023-06-29T00:00:00"/>
    <d v="2023-07-10T19:01:40"/>
    <m/>
    <d v="2023-07-10T00:00:00"/>
    <n v="1701"/>
    <n v="20084"/>
    <s v="60995071"/>
    <s v="60995071"/>
    <m/>
    <m/>
    <n v="22788998"/>
    <m/>
    <m/>
    <m/>
    <s v="SOLFIN"/>
    <s v="SOLFIN"/>
    <s v="CCMS"/>
    <n v="21349491"/>
    <n v="3217.79"/>
    <m/>
    <s v="N"/>
    <n v="2"/>
    <d v="2023-07-10T19:01:51"/>
    <s v="Y"/>
    <s v="Solicitor Travel Expenses"/>
    <s v="Care Remuneration Hourly Rates"/>
    <s v="Non Expert Disbursement"/>
    <s v="RMC"/>
    <s v="Y"/>
    <n v="14.4"/>
    <n v="0"/>
    <x v="2"/>
    <s v="VALIDATED"/>
    <n v="1"/>
    <s v="01.11.80.305.6300.0000"/>
    <n v="14.4"/>
    <s v="11"/>
    <s v="6300"/>
    <n v="18760.56"/>
    <n v="14.4"/>
    <s v="CREDITOR"/>
    <n v="0"/>
    <n v="0"/>
    <n v="0"/>
    <n v="0"/>
    <n v="14.4"/>
  </r>
  <r>
    <n v="60878159"/>
    <s v="N"/>
    <n v="21349816"/>
    <s v="3000015102260007"/>
    <s v="CIVIL"/>
    <d v="2023-06-29T00:00:00"/>
    <d v="2023-07-10T19:01:40"/>
    <m/>
    <d v="2023-07-10T00:00:00"/>
    <n v="1701"/>
    <n v="20084"/>
    <s v="60878159"/>
    <s v="60878159"/>
    <m/>
    <m/>
    <n v="22793322"/>
    <m/>
    <m/>
    <m/>
    <s v="SOLFIN"/>
    <s v="SOLFIN"/>
    <s v="CCMS"/>
    <n v="21349816"/>
    <n v="7587"/>
    <m/>
    <s v="N"/>
    <n v="10"/>
    <d v="2023-07-10T19:01:58"/>
    <s v="Y"/>
    <s v="Toxicologist"/>
    <s v="Public Law Children"/>
    <s v="Expert Disbursement"/>
    <s v="Lextox (Invoice 285973)"/>
    <s v="Y"/>
    <n v="84.67"/>
    <n v="16.93"/>
    <x v="2"/>
    <s v="VALIDATED"/>
    <n v="1"/>
    <s v="01.11.80.308.6300.0000"/>
    <n v="84.67"/>
    <s v="11"/>
    <s v="6300"/>
    <n v="18760.56"/>
    <n v="84.67"/>
    <s v="CREDITOR"/>
    <n v="0"/>
    <n v="0"/>
    <n v="0"/>
    <n v="0"/>
    <n v="84.67"/>
  </r>
  <r>
    <n v="60878159"/>
    <s v="N"/>
    <n v="21349816"/>
    <s v="3000015102260007"/>
    <s v="CIVIL"/>
    <d v="2023-06-29T00:00:00"/>
    <d v="2023-07-10T19:01:40"/>
    <m/>
    <d v="2023-07-10T00:00:00"/>
    <n v="1701"/>
    <n v="20084"/>
    <s v="60878159"/>
    <s v="60878159"/>
    <m/>
    <m/>
    <n v="22793322"/>
    <m/>
    <m/>
    <m/>
    <s v="SOLFIN"/>
    <s v="SOLFIN"/>
    <s v="CCMS"/>
    <n v="21349816"/>
    <n v="7587"/>
    <m/>
    <s v="N"/>
    <n v="11"/>
    <d v="2023-07-10T19:01:58"/>
    <s v="Y"/>
    <s v="Solicitor Travel Expenses"/>
    <s v="Public Law Children"/>
    <s v="Non Expert Disbursement"/>
    <s v="CES"/>
    <s v="Y"/>
    <n v="3.7"/>
    <n v="0"/>
    <x v="2"/>
    <s v="VALIDATED"/>
    <n v="1"/>
    <s v="01.11.80.308.6300.0000"/>
    <n v="3.7"/>
    <s v="11"/>
    <s v="6300"/>
    <n v="18760.56"/>
    <n v="3.7"/>
    <s v="CREDITOR"/>
    <n v="0"/>
    <n v="0"/>
    <n v="0"/>
    <n v="0"/>
    <n v="3.7"/>
  </r>
  <r>
    <n v="61211429"/>
    <s v="N"/>
    <n v="21344000"/>
    <s v="3000015384060004"/>
    <s v="CIVIL"/>
    <d v="2023-06-28T00:00:00"/>
    <d v="2023-07-07T19:03:00"/>
    <m/>
    <d v="2023-07-07T00:00:00"/>
    <n v="1701"/>
    <n v="20084"/>
    <s v="61211429"/>
    <s v="61211429"/>
    <m/>
    <m/>
    <n v="22776324"/>
    <m/>
    <m/>
    <m/>
    <s v="SOLFIN"/>
    <s v="SOLFIN"/>
    <s v="CCMS"/>
    <n v="21344000"/>
    <n v="6523.96"/>
    <m/>
    <s v="N"/>
    <n v="6"/>
    <d v="2023-07-07T19:03:20"/>
    <s v="Y"/>
    <s v="Solicitor Travel Expenses"/>
    <s v="Public Law Children"/>
    <s v="Non Expert Disbursement"/>
    <s v="ML"/>
    <s v="Y"/>
    <n v="9"/>
    <n v="0"/>
    <x v="9"/>
    <s v="VALIDATED"/>
    <n v="1"/>
    <s v="01.11.80.308.6300.0000"/>
    <n v="9"/>
    <s v="11"/>
    <s v="6300"/>
    <n v="18760.56"/>
    <n v="9"/>
    <s v="CREDITOR"/>
    <n v="0"/>
    <n v="0"/>
    <n v="0"/>
    <n v="0"/>
    <n v="9"/>
  </r>
  <r>
    <n v="61717228"/>
    <s v="N"/>
    <n v="21395352"/>
    <s v="3000015805720001"/>
    <s v="CIVIL"/>
    <d v="2023-06-29T00:00:00"/>
    <d v="2023-07-19T19:02:01"/>
    <m/>
    <d v="2023-07-19T00:00:00"/>
    <n v="1701"/>
    <n v="20084"/>
    <s v="61717228"/>
    <s v="61717228"/>
    <m/>
    <m/>
    <n v="22791208"/>
    <m/>
    <m/>
    <m/>
    <s v="SOLFIN"/>
    <s v="SOLFIN"/>
    <s v="CCMS"/>
    <n v="21395352"/>
    <n v="3203.05"/>
    <m/>
    <s v="N"/>
    <n v="8"/>
    <d v="2023-07-19T19:02:23"/>
    <s v="Y"/>
    <s v="Solicitors Fixed Fee"/>
    <s v="Public Law Children"/>
    <s v="Profit Cost"/>
    <s v="RMC"/>
    <s v="Y"/>
    <n v="1438"/>
    <n v="287.6"/>
    <x v="5"/>
    <s v="VALIDATED"/>
    <n v="1"/>
    <s v="01.11.80.308.6100.0000"/>
    <n v="1438"/>
    <s v="11"/>
    <s v="6100"/>
    <n v="18760.56"/>
    <n v="1438"/>
    <s v="CREDITOR"/>
    <n v="0"/>
    <n v="0"/>
    <n v="0"/>
    <n v="0"/>
    <n v="1438"/>
  </r>
  <r>
    <n v="60878159"/>
    <s v="N"/>
    <n v="21349816"/>
    <s v="3000015102260007"/>
    <s v="CIVIL"/>
    <d v="2023-06-29T00:00:00"/>
    <d v="2023-07-10T19:01:40"/>
    <m/>
    <d v="2023-07-10T00:00:00"/>
    <n v="1701"/>
    <n v="20084"/>
    <s v="60878159"/>
    <s v="60878159"/>
    <m/>
    <m/>
    <n v="22793322"/>
    <m/>
    <m/>
    <m/>
    <s v="SOLFIN"/>
    <s v="SOLFIN"/>
    <s v="CCMS"/>
    <n v="21349816"/>
    <n v="7587"/>
    <m/>
    <s v="N"/>
    <n v="21"/>
    <d v="2023-07-10T19:01:58"/>
    <s v="Y"/>
    <s v="Solicitors Fixed Fee"/>
    <s v="Public Law Children"/>
    <s v="Profit Cost"/>
    <s v="CES"/>
    <s v="Y"/>
    <n v="1911"/>
    <n v="382.21"/>
    <x v="2"/>
    <s v="VALIDATED"/>
    <n v="1"/>
    <s v="01.11.80.308.6100.0000"/>
    <n v="1911"/>
    <s v="11"/>
    <s v="6100"/>
    <n v="18760.56"/>
    <n v="1911"/>
    <s v="CREDITOR"/>
    <n v="0"/>
    <n v="0"/>
    <n v="0"/>
    <n v="0"/>
    <n v="1911"/>
  </r>
  <r>
    <n v="60995071"/>
    <s v="N"/>
    <n v="21349491"/>
    <s v="3000015202400002"/>
    <s v="CIVIL"/>
    <d v="2023-06-29T00:00:00"/>
    <d v="2023-07-10T19:01:40"/>
    <m/>
    <d v="2023-07-10T00:00:00"/>
    <n v="1701"/>
    <n v="20084"/>
    <s v="60995071"/>
    <s v="60995071"/>
    <m/>
    <m/>
    <n v="22788998"/>
    <m/>
    <m/>
    <m/>
    <s v="SOLFIN"/>
    <s v="SOLFIN"/>
    <s v="CCMS"/>
    <n v="21349491"/>
    <n v="3217.79"/>
    <m/>
    <s v="N"/>
    <n v="15"/>
    <d v="2023-07-10T19:01:51"/>
    <s v="Y"/>
    <s v="Report - other report"/>
    <s v="Care Remuneration Hourly Rates"/>
    <s v="Profit Cost"/>
    <s v="RMC"/>
    <s v="Y"/>
    <n v="67.17"/>
    <n v="13.43"/>
    <x v="2"/>
    <s v="VALIDATED"/>
    <n v="1"/>
    <s v="01.11.80.305.6100.0000"/>
    <n v="67.17"/>
    <s v="11"/>
    <s v="6100"/>
    <n v="18760.56"/>
    <n v="67.17"/>
    <s v="CREDITOR"/>
    <n v="0"/>
    <n v="0"/>
    <n v="0"/>
    <n v="0"/>
    <n v="67.17"/>
  </r>
  <r>
    <n v="61211429"/>
    <s v="N"/>
    <n v="21344000"/>
    <s v="3000015384060004"/>
    <s v="CIVIL"/>
    <d v="2023-06-28T00:00:00"/>
    <d v="2023-07-07T19:03:00"/>
    <m/>
    <d v="2023-07-07T00:00:00"/>
    <n v="1701"/>
    <n v="20084"/>
    <s v="61211429"/>
    <s v="61211429"/>
    <m/>
    <m/>
    <n v="22776324"/>
    <m/>
    <m/>
    <m/>
    <s v="SOLFIN"/>
    <s v="SOLFIN"/>
    <s v="CCMS"/>
    <n v="21344000"/>
    <n v="6523.96"/>
    <m/>
    <s v="N"/>
    <n v="9"/>
    <d v="2023-07-07T19:03:20"/>
    <s v="Y"/>
    <s v="Solicitor Travel Expenses"/>
    <s v="Public Law Children"/>
    <s v="Non Expert Disbursement"/>
    <s v="ML"/>
    <s v="Y"/>
    <n v="7.5"/>
    <n v="0"/>
    <x v="9"/>
    <s v="VALIDATED"/>
    <n v="1"/>
    <s v="01.11.80.308.6300.0000"/>
    <n v="7.5"/>
    <s v="11"/>
    <s v="6300"/>
    <n v="18760.56"/>
    <n v="7.5"/>
    <s v="CREDITOR"/>
    <n v="0"/>
    <n v="0"/>
    <n v="0"/>
    <n v="0"/>
    <n v="7.5"/>
  </r>
  <r>
    <n v="61211429"/>
    <s v="N"/>
    <n v="21344000"/>
    <s v="3000015384060004"/>
    <s v="CIVIL"/>
    <d v="2023-06-28T00:00:00"/>
    <d v="2023-07-07T19:03:00"/>
    <m/>
    <d v="2023-07-07T00:00:00"/>
    <n v="1701"/>
    <n v="20084"/>
    <s v="61211429"/>
    <s v="61211429"/>
    <m/>
    <m/>
    <n v="22776324"/>
    <m/>
    <m/>
    <m/>
    <s v="SOLFIN"/>
    <s v="SOLFIN"/>
    <s v="CCMS"/>
    <n v="21344000"/>
    <n v="6523.96"/>
    <m/>
    <s v="N"/>
    <n v="17"/>
    <d v="2023-07-07T19:03:20"/>
    <s v="Y"/>
    <s v="Hearing Unit 2.31 - 5.00 Hours"/>
    <s v="Public Law Children"/>
    <s v="Advocacy"/>
    <s v="ML"/>
    <s v="Y"/>
    <n v="476.92"/>
    <n v="95.38"/>
    <x v="9"/>
    <s v="VALIDATED"/>
    <n v="1"/>
    <s v="01.11.80.308.6100.0000"/>
    <n v="476.92"/>
    <s v="11"/>
    <s v="6100"/>
    <n v="18760.56"/>
    <n v="476.92"/>
    <s v="CREDITOR"/>
    <n v="0"/>
    <n v="0"/>
    <n v="0"/>
    <n v="0"/>
    <n v="476.92"/>
  </r>
  <r>
    <n v="60878159"/>
    <s v="N"/>
    <n v="21349816"/>
    <s v="3000015102260007"/>
    <s v="CIVIL"/>
    <d v="2023-06-29T00:00:00"/>
    <d v="2023-07-10T19:01:40"/>
    <m/>
    <d v="2023-07-10T00:00:00"/>
    <n v="1701"/>
    <n v="20084"/>
    <s v="60878159"/>
    <s v="60878159"/>
    <m/>
    <m/>
    <n v="22793322"/>
    <m/>
    <m/>
    <m/>
    <s v="SOLFIN"/>
    <s v="SOLFIN"/>
    <s v="CCMS"/>
    <n v="21349816"/>
    <n v="7587"/>
    <m/>
    <s v="N"/>
    <n v="6"/>
    <d v="2023-07-10T19:01:58"/>
    <s v="Y"/>
    <s v="GP (records report)"/>
    <s v="Public Law Children"/>
    <s v="Expert Disbursement"/>
    <s v="The Stewart Medical Centre (Invoice 0883)"/>
    <s v="Y"/>
    <n v="25"/>
    <n v="0"/>
    <x v="2"/>
    <s v="VALIDATED"/>
    <n v="1"/>
    <s v="01.11.80.308.6300.0000"/>
    <n v="25"/>
    <s v="11"/>
    <s v="6300"/>
    <n v="18760.56"/>
    <n v="25"/>
    <s v="CREDITOR"/>
    <n v="0"/>
    <n v="0"/>
    <n v="0"/>
    <n v="0"/>
    <n v="25"/>
  </r>
  <r>
    <n v="61211429"/>
    <s v="N"/>
    <n v="21344000"/>
    <s v="3000015384060004"/>
    <s v="CIVIL"/>
    <d v="2023-06-28T00:00:00"/>
    <d v="2023-07-07T19:03:00"/>
    <m/>
    <d v="2023-07-07T00:00:00"/>
    <n v="1701"/>
    <n v="20084"/>
    <s v="61211429"/>
    <s v="61211429"/>
    <m/>
    <m/>
    <n v="22776324"/>
    <m/>
    <m/>
    <m/>
    <s v="SOLFIN"/>
    <s v="SOLFIN"/>
    <s v="CCMS"/>
    <n v="21344000"/>
    <n v="6523.96"/>
    <m/>
    <s v="N"/>
    <n v="13"/>
    <d v="2023-07-07T19:03:20"/>
    <s v="Y"/>
    <s v="Hearing Unit 2.31 - 5.00 Hours"/>
    <s v="Public Law Children"/>
    <s v="Advocacy"/>
    <s v="ML"/>
    <s v="Y"/>
    <n v="476.92"/>
    <n v="95.38"/>
    <x v="9"/>
    <s v="VALIDATED"/>
    <n v="1"/>
    <s v="01.11.80.308.6100.0000"/>
    <n v="476.92"/>
    <s v="11"/>
    <s v="6100"/>
    <n v="18760.56"/>
    <n v="476.92"/>
    <s v="CREDITOR"/>
    <n v="0"/>
    <n v="0"/>
    <n v="0"/>
    <n v="0"/>
    <n v="476.92"/>
  </r>
  <r>
    <n v="60878159"/>
    <s v="N"/>
    <n v="21349816"/>
    <s v="3000015102260007"/>
    <s v="CIVIL"/>
    <d v="2023-06-29T00:00:00"/>
    <d v="2023-07-10T19:01:40"/>
    <m/>
    <d v="2023-07-10T00:00:00"/>
    <n v="1701"/>
    <n v="20084"/>
    <s v="60878159"/>
    <s v="60878159"/>
    <m/>
    <m/>
    <n v="22793322"/>
    <m/>
    <m/>
    <m/>
    <s v="SOLFIN"/>
    <s v="SOLFIN"/>
    <s v="CCMS"/>
    <n v="21349816"/>
    <n v="7587"/>
    <m/>
    <s v="N"/>
    <n v="4"/>
    <d v="2023-07-10T19:01:58"/>
    <s v="Y"/>
    <s v="Toxicologist"/>
    <s v="Public Law Children"/>
    <s v="Expert Disbursement"/>
    <s v="Lextox (Invoice 265458)"/>
    <s v="Y"/>
    <n v="428.25"/>
    <n v="85.65000000000001"/>
    <x v="2"/>
    <s v="VALIDATED"/>
    <n v="1"/>
    <s v="01.11.80.308.6300.0000"/>
    <n v="428.25"/>
    <s v="11"/>
    <s v="6300"/>
    <n v="18760.56"/>
    <n v="428.25"/>
    <s v="CREDITOR"/>
    <n v="0"/>
    <n v="0"/>
    <n v="0"/>
    <n v="0"/>
    <n v="428.25"/>
  </r>
  <r>
    <n v="60995071"/>
    <s v="N"/>
    <n v="21349491"/>
    <s v="3000015202400002"/>
    <s v="CIVIL"/>
    <d v="2023-06-29T00:00:00"/>
    <d v="2023-07-10T19:01:40"/>
    <m/>
    <d v="2023-07-10T00:00:00"/>
    <n v="1701"/>
    <n v="20084"/>
    <s v="60995071"/>
    <s v="60995071"/>
    <m/>
    <m/>
    <n v="22788998"/>
    <m/>
    <m/>
    <m/>
    <s v="SOLFIN"/>
    <s v="SOLFIN"/>
    <s v="CCMS"/>
    <n v="21349491"/>
    <n v="3217.79"/>
    <m/>
    <s v="N"/>
    <n v="14"/>
    <d v="2023-07-10T19:01:51"/>
    <s v="Y"/>
    <s v="Preparation - drafting statement"/>
    <s v="Care Remuneration Hourly Rates"/>
    <s v="Profit Cost"/>
    <s v="RMC"/>
    <s v="Y"/>
    <n v="20.15"/>
    <n v="4.03"/>
    <x v="2"/>
    <s v="VALIDATED"/>
    <n v="1"/>
    <s v="01.11.80.305.6100.0000"/>
    <n v="20.15"/>
    <s v="11"/>
    <s v="6100"/>
    <n v="18760.56"/>
    <n v="20.15"/>
    <s v="CREDITOR"/>
    <n v="0"/>
    <n v="0"/>
    <n v="0"/>
    <n v="0"/>
    <n v="20.15"/>
  </r>
  <r>
    <n v="61211429"/>
    <s v="N"/>
    <n v="21344000"/>
    <s v="3000015384060004"/>
    <s v="CIVIL"/>
    <d v="2023-06-28T00:00:00"/>
    <d v="2023-07-07T19:03:00"/>
    <m/>
    <d v="2023-07-07T00:00:00"/>
    <n v="1701"/>
    <n v="20084"/>
    <s v="61211429"/>
    <s v="61211429"/>
    <m/>
    <m/>
    <n v="22776324"/>
    <m/>
    <m/>
    <m/>
    <s v="SOLFIN"/>
    <s v="SOLFIN"/>
    <s v="CCMS"/>
    <n v="21344000"/>
    <n v="6523.96"/>
    <m/>
    <s v="N"/>
    <n v="1"/>
    <d v="2023-07-07T19:03:20"/>
    <s v="Y"/>
    <s v="Final Hearing Court Bundle/Advocate"/>
    <s v="Public Law Children"/>
    <s v="Advocacy"/>
    <s v="CES"/>
    <s v="Y"/>
    <n v="159.3"/>
    <n v="31.86"/>
    <x v="9"/>
    <s v="VALIDATED"/>
    <n v="1"/>
    <s v="01.11.80.308.6100.0000"/>
    <n v="159.3"/>
    <s v="11"/>
    <s v="6100"/>
    <n v="18760.56"/>
    <n v="159.3"/>
    <s v="CREDITOR"/>
    <n v="0"/>
    <n v="0"/>
    <n v="0"/>
    <n v="0"/>
    <n v="159.3"/>
  </r>
  <r>
    <n v="61717228"/>
    <s v="N"/>
    <n v="21395352"/>
    <s v="3000015805720001"/>
    <s v="CIVIL"/>
    <d v="2023-06-29T00:00:00"/>
    <d v="2023-07-19T19:02:01"/>
    <m/>
    <d v="2023-07-19T00:00:00"/>
    <n v="1701"/>
    <n v="20084"/>
    <s v="61717228"/>
    <s v="61717228"/>
    <m/>
    <m/>
    <n v="22791208"/>
    <m/>
    <m/>
    <m/>
    <s v="SOLFIN"/>
    <s v="SOLFIN"/>
    <s v="CCMS"/>
    <n v="21395352"/>
    <n v="3203.05"/>
    <m/>
    <s v="N"/>
    <n v="7"/>
    <d v="2023-07-19T19:02:23"/>
    <s v="Y"/>
    <s v="Advocates Meeting"/>
    <s v="Public Law Children"/>
    <s v="Advocacy"/>
    <s v="RMC"/>
    <s v="Y"/>
    <n v="128.16"/>
    <n v="25.63"/>
    <x v="5"/>
    <s v="VALIDATED"/>
    <n v="1"/>
    <s v="01.11.80.308.6100.0000"/>
    <n v="128.16"/>
    <s v="11"/>
    <s v="6100"/>
    <n v="18760.56"/>
    <n v="128.16"/>
    <s v="CREDITOR"/>
    <n v="0"/>
    <n v="0"/>
    <n v="0"/>
    <n v="0"/>
    <n v="128.16"/>
  </r>
  <r>
    <n v="61717228"/>
    <s v="N"/>
    <n v="21395352"/>
    <s v="3000015805720001"/>
    <s v="CIVIL"/>
    <d v="2023-06-29T00:00:00"/>
    <d v="2023-07-19T19:02:01"/>
    <m/>
    <d v="2023-07-19T00:00:00"/>
    <n v="1701"/>
    <n v="20084"/>
    <s v="61717228"/>
    <s v="61717228"/>
    <m/>
    <m/>
    <n v="22791208"/>
    <m/>
    <m/>
    <m/>
    <s v="SOLFIN"/>
    <s v="SOLFIN"/>
    <s v="CCMS"/>
    <n v="21395352"/>
    <n v="3203.05"/>
    <m/>
    <s v="N"/>
    <n v="3"/>
    <d v="2023-07-19T19:02:23"/>
    <s v="Y"/>
    <s v="Solicitor Travel Mileage"/>
    <s v="Public Law Children"/>
    <s v="Non Expert Disbursement"/>
    <s v="RMC"/>
    <s v="Y"/>
    <n v="14.4"/>
    <n v="2.88"/>
    <x v="5"/>
    <s v="VALIDATED"/>
    <n v="1"/>
    <s v="01.11.80.308.6300.0000"/>
    <n v="14.4"/>
    <s v="11"/>
    <s v="6300"/>
    <n v="18760.56"/>
    <n v="14.4"/>
    <s v="CREDITOR"/>
    <n v="0"/>
    <n v="0"/>
    <n v="0"/>
    <n v="0"/>
    <n v="14.4"/>
  </r>
  <r>
    <n v="60878159"/>
    <s v="N"/>
    <n v="21349816"/>
    <s v="3000015102260007"/>
    <s v="CIVIL"/>
    <d v="2023-06-29T00:00:00"/>
    <d v="2023-07-10T19:01:40"/>
    <m/>
    <d v="2023-07-10T00:00:00"/>
    <n v="1701"/>
    <n v="20084"/>
    <s v="60878159"/>
    <s v="60878159"/>
    <m/>
    <m/>
    <n v="22793322"/>
    <m/>
    <m/>
    <m/>
    <s v="SOLFIN"/>
    <s v="SOLFIN"/>
    <s v="CCMS"/>
    <n v="21349816"/>
    <n v="7587"/>
    <m/>
    <s v="N"/>
    <n v="14"/>
    <d v="2023-07-10T19:01:58"/>
    <s v="Y"/>
    <s v="Final Hearing - 1 Day"/>
    <s v="Public Law Children"/>
    <s v="Advocacy"/>
    <s v="CES"/>
    <s v="Y"/>
    <n v="556.88"/>
    <n v="111.37"/>
    <x v="2"/>
    <s v="VALIDATED"/>
    <n v="1"/>
    <s v="01.11.80.308.6100.0000"/>
    <n v="556.88"/>
    <s v="11"/>
    <s v="6100"/>
    <n v="18760.56"/>
    <n v="556.88"/>
    <s v="CREDITOR"/>
    <n v="0"/>
    <n v="0"/>
    <n v="0"/>
    <n v="0"/>
    <n v="556.88"/>
  </r>
  <r>
    <n v="60878159"/>
    <s v="N"/>
    <n v="21349816"/>
    <s v="3000015102260007"/>
    <s v="CIVIL"/>
    <d v="2023-06-29T00:00:00"/>
    <d v="2023-07-10T19:01:40"/>
    <m/>
    <d v="2023-07-10T00:00:00"/>
    <n v="1701"/>
    <n v="20084"/>
    <s v="60878159"/>
    <s v="60878159"/>
    <m/>
    <m/>
    <n v="22793322"/>
    <m/>
    <m/>
    <m/>
    <s v="SOLFIN"/>
    <s v="SOLFIN"/>
    <s v="CCMS"/>
    <n v="21349816"/>
    <n v="7587"/>
    <m/>
    <s v="N"/>
    <n v="18"/>
    <d v="2023-07-10T19:01:58"/>
    <s v="Y"/>
    <s v="Advocates Meeting"/>
    <s v="Public Law Children"/>
    <s v="Advocacy"/>
    <s v="KT"/>
    <s v="Y"/>
    <n v="140.99"/>
    <n v="28.2"/>
    <x v="2"/>
    <s v="VALIDATED"/>
    <n v="1"/>
    <s v="01.11.80.308.6100.0000"/>
    <n v="140.99"/>
    <s v="11"/>
    <s v="6100"/>
    <n v="18760.56"/>
    <n v="140.99"/>
    <s v="CREDITOR"/>
    <n v="0"/>
    <n v="0"/>
    <n v="0"/>
    <n v="0"/>
    <n v="140.99"/>
  </r>
  <r>
    <n v="60995071"/>
    <s v="N"/>
    <n v="21349491"/>
    <s v="3000015202400002"/>
    <s v="CIVIL"/>
    <d v="2023-06-29T00:00:00"/>
    <d v="2023-07-10T19:01:40"/>
    <m/>
    <d v="2023-07-10T00:00:00"/>
    <n v="1701"/>
    <n v="20084"/>
    <s v="60995071"/>
    <s v="60995071"/>
    <m/>
    <m/>
    <n v="22788998"/>
    <m/>
    <m/>
    <m/>
    <s v="SOLFIN"/>
    <s v="SOLFIN"/>
    <s v="CCMS"/>
    <n v="21349491"/>
    <n v="3217.79"/>
    <m/>
    <s v="N"/>
    <n v="8"/>
    <d v="2023-07-10T19:01:51"/>
    <s v="Y"/>
    <s v="Preparation - other"/>
    <s v="Care Remuneration Hourly Rates"/>
    <s v="Profit Cost"/>
    <s v="RMC"/>
    <s v="Y"/>
    <n v="6.72"/>
    <n v="1.34"/>
    <x v="2"/>
    <s v="VALIDATED"/>
    <n v="1"/>
    <s v="01.11.80.305.6100.0000"/>
    <n v="6.72"/>
    <s v="11"/>
    <s v="6100"/>
    <n v="18760.56"/>
    <n v="6.72"/>
    <s v="CREDITOR"/>
    <n v="0"/>
    <n v="0"/>
    <n v="0"/>
    <n v="0"/>
    <n v="6.72"/>
  </r>
  <r>
    <n v="61212616"/>
    <s v="N"/>
    <n v="21344113"/>
    <s v="3000015385150001"/>
    <s v="CIVIL"/>
    <d v="2023-06-29T00:00:00"/>
    <d v="2023-07-07T19:03:00"/>
    <m/>
    <d v="2023-07-07T00:00:00"/>
    <n v="1701"/>
    <n v="20084"/>
    <s v="61212616"/>
    <s v="61212616"/>
    <m/>
    <m/>
    <n v="22793396"/>
    <m/>
    <m/>
    <m/>
    <s v="SOLFIN"/>
    <s v="SOLFIN"/>
    <s v="CCMS"/>
    <n v="21344113"/>
    <n v="3574.44"/>
    <m/>
    <s v="N"/>
    <n v="6"/>
    <d v="2023-07-07T19:03:23"/>
    <s v="Y"/>
    <s v="Hearing Unit 2.31 - 5.00 Hours"/>
    <s v="Public Law Children"/>
    <s v="Advocacy"/>
    <s v="CES"/>
    <s v="Y"/>
    <n v="433.62"/>
    <n v="86.72"/>
    <x v="9"/>
    <s v="VALIDATED"/>
    <n v="1"/>
    <s v="01.11.80.308.6100.0000"/>
    <n v="433.62"/>
    <s v="11"/>
    <s v="6100"/>
    <n v="18760.56"/>
    <n v="433.62"/>
    <s v="CREDITOR"/>
    <n v="0"/>
    <n v="0"/>
    <n v="0"/>
    <n v="0"/>
    <n v="433.62"/>
  </r>
  <r>
    <n v="61717228"/>
    <s v="N"/>
    <n v="21395352"/>
    <s v="3000015805720001"/>
    <s v="CIVIL"/>
    <d v="2023-06-29T00:00:00"/>
    <d v="2023-07-19T19:02:01"/>
    <m/>
    <d v="2023-07-19T00:00:00"/>
    <n v="1701"/>
    <n v="20084"/>
    <s v="61717228"/>
    <s v="61717228"/>
    <m/>
    <m/>
    <n v="22791208"/>
    <m/>
    <m/>
    <m/>
    <s v="SOLFIN"/>
    <s v="SOLFIN"/>
    <s v="CCMS"/>
    <n v="21395352"/>
    <n v="3203.05"/>
    <m/>
    <s v="N"/>
    <n v="6"/>
    <d v="2023-07-19T19:02:23"/>
    <s v="Y"/>
    <s v="Final Hearing - 1 Day"/>
    <s v="Public Law Children"/>
    <s v="Advocacy"/>
    <s v="ML"/>
    <s v="Y"/>
    <n v="506.25"/>
    <n v="101.25"/>
    <x v="5"/>
    <s v="VALIDATED"/>
    <n v="1"/>
    <s v="01.11.80.308.6100.0000"/>
    <n v="506.25"/>
    <s v="11"/>
    <s v="6100"/>
    <n v="18760.56"/>
    <n v="506.25"/>
    <s v="CREDITOR"/>
    <n v="0"/>
    <n v="0"/>
    <n v="0"/>
    <n v="0"/>
    <n v="506.25"/>
  </r>
  <r>
    <n v="61062540"/>
    <s v="N"/>
    <n v="21400066"/>
    <s v="3000015260060014RC"/>
    <s v="CIVIL"/>
    <d v="2023-06-30T00:00:00"/>
    <d v="2023-07-19T19:44:15"/>
    <m/>
    <d v="2023-07-19T00:00:00"/>
    <n v="1712"/>
    <n v="16452"/>
    <s v="61062540"/>
    <s v="61062540"/>
    <m/>
    <m/>
    <m/>
    <m/>
    <m/>
    <m/>
    <s v="SOLRECOUP"/>
    <s v="SOLRECOUP"/>
    <s v="POARECOUP"/>
    <n v="21400066"/>
    <n v="-9"/>
    <m/>
    <s v="Y"/>
    <n v="2"/>
    <d v="2023-07-19T19:44:17"/>
    <s v="N"/>
    <m/>
    <m/>
    <s v="Non Expert Disbursement"/>
    <m/>
    <s v="N"/>
    <n v="0"/>
    <n v="0"/>
    <x v="5"/>
    <s v="VALIDATED"/>
    <n v="1"/>
    <s v="01.11.80.000.0000.0000"/>
    <n v="0"/>
    <s v="11"/>
    <s v="0000"/>
    <n v="4585.13"/>
    <n v="0"/>
    <s v="CREDITOR"/>
    <n v="0"/>
    <n v="0"/>
    <n v="0"/>
    <n v="0"/>
    <n v="0"/>
  </r>
  <r>
    <n v="61062540"/>
    <s v="N"/>
    <n v="21400066"/>
    <s v="3000015260060014RC"/>
    <s v="CIVIL"/>
    <d v="2023-06-30T00:00:00"/>
    <d v="2023-07-19T19:44:15"/>
    <m/>
    <d v="2023-07-19T00:00:00"/>
    <n v="1712"/>
    <n v="16452"/>
    <s v="61062540"/>
    <s v="61062540"/>
    <m/>
    <m/>
    <m/>
    <m/>
    <m/>
    <m/>
    <s v="SOLRECOUP"/>
    <s v="SOLRECOUP"/>
    <s v="POARECOUP"/>
    <n v="21400066"/>
    <n v="-9"/>
    <m/>
    <s v="Y"/>
    <n v="1"/>
    <d v="2023-07-19T19:44:17"/>
    <s v="N"/>
    <m/>
    <m/>
    <s v="Non Expert Disbursement"/>
    <m/>
    <s v="N"/>
    <n v="-9"/>
    <n v="0"/>
    <x v="5"/>
    <s v="VALIDATED"/>
    <n v="1"/>
    <s v="01.11.80.308.2013.0000"/>
    <n v="-9"/>
    <s v="11"/>
    <s v="2013"/>
    <n v="4585.13"/>
    <n v="-9"/>
    <s v="CREDITOR"/>
    <n v="0"/>
    <n v="0"/>
    <n v="-9"/>
    <n v="0"/>
    <n v="0"/>
  </r>
  <r>
    <n v="60070179"/>
    <s v="N"/>
    <n v="21324528"/>
    <s v="3000014404080010RC"/>
    <s v="CIVIL"/>
    <d v="2023-06-12T00:00:00"/>
    <d v="2023-07-03T19:42:50"/>
    <m/>
    <d v="2023-07-03T00:00:00"/>
    <n v="1712"/>
    <n v="16452"/>
    <s v="60070179"/>
    <s v="60070179"/>
    <m/>
    <m/>
    <m/>
    <m/>
    <m/>
    <m/>
    <s v="SOLRECOUP"/>
    <s v="SOLRECOUP"/>
    <s v="POARECOUP"/>
    <n v="21324528"/>
    <n v="-425.71"/>
    <m/>
    <s v="Y"/>
    <n v="1"/>
    <d v="2023-07-03T19:42:52"/>
    <s v="N"/>
    <m/>
    <m/>
    <s v="Profit Cost"/>
    <m/>
    <s v="N"/>
    <n v="-354.76"/>
    <n v="0"/>
    <x v="3"/>
    <s v="VALIDATED"/>
    <n v="1"/>
    <s v="01.11.80.308.2013.0000"/>
    <n v="-354.76"/>
    <s v="11"/>
    <s v="2013"/>
    <n v="4585.13"/>
    <n v="-354.76"/>
    <s v="CREDITOR"/>
    <n v="0"/>
    <n v="0"/>
    <n v="-354.76"/>
    <n v="-88.69"/>
    <n v="0"/>
  </r>
  <r>
    <n v="60070179"/>
    <s v="N"/>
    <n v="21324528"/>
    <s v="3000014404080010RC"/>
    <s v="CIVIL"/>
    <d v="2023-06-12T00:00:00"/>
    <d v="2023-07-03T19:42:50"/>
    <m/>
    <d v="2023-07-03T00:00:00"/>
    <n v="1712"/>
    <n v="16452"/>
    <s v="60070179"/>
    <s v="60070179"/>
    <m/>
    <m/>
    <m/>
    <m/>
    <m/>
    <m/>
    <s v="SOLRECOUP"/>
    <s v="SOLRECOUP"/>
    <s v="POARECOUP"/>
    <n v="21324528"/>
    <n v="-425.71"/>
    <m/>
    <s v="Y"/>
    <n v="2"/>
    <d v="2023-07-03T19:42:52"/>
    <s v="N"/>
    <m/>
    <m/>
    <s v="Profit Cost"/>
    <m/>
    <s v="N"/>
    <n v="0"/>
    <n v="-70.95"/>
    <x v="3"/>
    <s v="VALIDATED"/>
    <n v="1"/>
    <s v="01.11.80.308.2013.0000"/>
    <n v="-70.95"/>
    <s v="11"/>
    <s v="2013"/>
    <n v="4585.13"/>
    <n v="-70.95"/>
    <s v="CREDITOR"/>
    <n v="0"/>
    <n v="0"/>
    <n v="-70.95"/>
    <n v="-17.7375"/>
    <n v="0"/>
  </r>
  <r>
    <n v="60070179"/>
    <s v="N"/>
    <n v="21324529"/>
    <s v="3000014404080001RC"/>
    <s v="CIVIL"/>
    <d v="2023-06-12T00:00:00"/>
    <d v="2023-07-03T19:42:50"/>
    <m/>
    <d v="2023-07-03T00:00:00"/>
    <n v="1712"/>
    <n v="16452"/>
    <s v="60070179"/>
    <s v="60070179"/>
    <m/>
    <m/>
    <m/>
    <m/>
    <m/>
    <m/>
    <s v="SOLRECOUP"/>
    <s v="SOLRECOUP"/>
    <s v="POARECOUP"/>
    <n v="21324529"/>
    <n v="-300"/>
    <m/>
    <s v="Y"/>
    <n v="1"/>
    <d v="2023-07-03T19:42:52"/>
    <s v="N"/>
    <m/>
    <m/>
    <s v="Expert Disbursement"/>
    <m/>
    <s v="N"/>
    <n v="-250"/>
    <n v="0"/>
    <x v="3"/>
    <s v="VALIDATED"/>
    <n v="1"/>
    <s v="01.11.80.308.2013.0000"/>
    <n v="-250"/>
    <s v="11"/>
    <s v="2013"/>
    <n v="4585.13"/>
    <n v="-250"/>
    <s v="CREDITOR"/>
    <n v="0"/>
    <n v="0"/>
    <n v="-250"/>
    <n v="0"/>
    <n v="0"/>
  </r>
  <r>
    <n v="60070179"/>
    <s v="N"/>
    <n v="21324529"/>
    <s v="3000014404080001RC"/>
    <s v="CIVIL"/>
    <d v="2023-06-12T00:00:00"/>
    <d v="2023-07-03T19:42:50"/>
    <m/>
    <d v="2023-07-03T00:00:00"/>
    <n v="1712"/>
    <n v="16452"/>
    <s v="60070179"/>
    <s v="60070179"/>
    <m/>
    <m/>
    <m/>
    <m/>
    <m/>
    <m/>
    <s v="SOLRECOUP"/>
    <s v="SOLRECOUP"/>
    <s v="POARECOUP"/>
    <n v="21324529"/>
    <n v="-300"/>
    <m/>
    <s v="Y"/>
    <n v="2"/>
    <d v="2023-07-03T19:42:52"/>
    <s v="N"/>
    <m/>
    <m/>
    <s v="Expert Disbursement"/>
    <m/>
    <s v="N"/>
    <n v="0"/>
    <n v="-50"/>
    <x v="3"/>
    <s v="VALIDATED"/>
    <n v="1"/>
    <s v="01.11.80.308.2013.0000"/>
    <n v="-50"/>
    <s v="11"/>
    <s v="2013"/>
    <n v="4585.13"/>
    <n v="-50"/>
    <s v="CREDITOR"/>
    <n v="0"/>
    <n v="0"/>
    <n v="-50"/>
    <n v="0"/>
    <n v="0"/>
  </r>
  <r>
    <n v="60070179"/>
    <s v="N"/>
    <n v="21324530"/>
    <s v="3000014404080002RC"/>
    <s v="CIVIL"/>
    <d v="2023-06-12T00:00:00"/>
    <d v="2023-07-03T19:42:50"/>
    <m/>
    <d v="2023-07-03T00:00:00"/>
    <n v="1712"/>
    <n v="16452"/>
    <s v="60070179"/>
    <s v="60070179"/>
    <m/>
    <m/>
    <m/>
    <m/>
    <m/>
    <m/>
    <s v="SOLRECOUP"/>
    <s v="SOLRECOUP"/>
    <s v="POARECOUP"/>
    <n v="21324530"/>
    <n v="-167"/>
    <m/>
    <s v="Y"/>
    <n v="1"/>
    <d v="2023-07-03T19:42:52"/>
    <s v="N"/>
    <m/>
    <m/>
    <s v="Non Expert Disbursement"/>
    <m/>
    <s v="N"/>
    <n v="-167"/>
    <n v="0"/>
    <x v="3"/>
    <s v="VALIDATED"/>
    <n v="1"/>
    <s v="01.11.80.308.2013.0000"/>
    <n v="-167"/>
    <s v="11"/>
    <s v="2013"/>
    <n v="4585.13"/>
    <n v="-167"/>
    <s v="CREDITOR"/>
    <n v="0"/>
    <n v="0"/>
    <n v="-167"/>
    <n v="0"/>
    <n v="0"/>
  </r>
  <r>
    <n v="60070179"/>
    <s v="N"/>
    <n v="21324530"/>
    <s v="3000014404080002RC"/>
    <s v="CIVIL"/>
    <d v="2023-06-12T00:00:00"/>
    <d v="2023-07-03T19:42:50"/>
    <m/>
    <d v="2023-07-03T00:00:00"/>
    <n v="1712"/>
    <n v="16452"/>
    <s v="60070179"/>
    <s v="60070179"/>
    <m/>
    <m/>
    <m/>
    <m/>
    <m/>
    <m/>
    <s v="SOLRECOUP"/>
    <s v="SOLRECOUP"/>
    <s v="POARECOUP"/>
    <n v="21324530"/>
    <n v="-167"/>
    <m/>
    <s v="Y"/>
    <n v="2"/>
    <d v="2023-07-03T19:42:52"/>
    <s v="N"/>
    <m/>
    <m/>
    <s v="Non Expert Disbursement"/>
    <m/>
    <s v="N"/>
    <n v="0"/>
    <n v="0"/>
    <x v="3"/>
    <s v="VALIDATED"/>
    <n v="1"/>
    <s v="01.11.80.000.0000.0000"/>
    <n v="0"/>
    <s v="11"/>
    <s v="0000"/>
    <n v="4585.13"/>
    <n v="0"/>
    <s v="CREDITOR"/>
    <n v="0"/>
    <n v="0"/>
    <n v="0"/>
    <n v="0"/>
    <n v="0"/>
  </r>
  <r>
    <n v="60070179"/>
    <s v="N"/>
    <n v="21324531"/>
    <s v="3000014404080003RC"/>
    <s v="CIVIL"/>
    <d v="2023-06-12T00:00:00"/>
    <d v="2023-07-03T19:42:50"/>
    <m/>
    <d v="2023-07-03T00:00:00"/>
    <n v="1712"/>
    <n v="16452"/>
    <s v="60070179"/>
    <s v="60070179"/>
    <m/>
    <m/>
    <m/>
    <m/>
    <m/>
    <m/>
    <s v="SOLRECOUP"/>
    <s v="SOLRECOUP"/>
    <s v="POARECOUP"/>
    <n v="21324531"/>
    <n v="-2375.48"/>
    <m/>
    <s v="Y"/>
    <n v="1"/>
    <d v="2023-07-03T19:42:52"/>
    <s v="N"/>
    <m/>
    <m/>
    <s v="Profit Cost"/>
    <m/>
    <s v="N"/>
    <n v="-1979.57"/>
    <n v="0"/>
    <x v="3"/>
    <s v="VALIDATED"/>
    <n v="1"/>
    <s v="01.11.80.308.2013.0000"/>
    <n v="-1979.57"/>
    <s v="11"/>
    <s v="2013"/>
    <n v="4585.13"/>
    <n v="-1979.57"/>
    <s v="CREDITOR"/>
    <n v="0"/>
    <n v="0"/>
    <n v="-1979.57"/>
    <n v="-494.8925"/>
    <n v="0"/>
  </r>
  <r>
    <n v="60070179"/>
    <s v="N"/>
    <n v="21324531"/>
    <s v="3000014404080003RC"/>
    <s v="CIVIL"/>
    <d v="2023-06-12T00:00:00"/>
    <d v="2023-07-03T19:42:50"/>
    <m/>
    <d v="2023-07-03T00:00:00"/>
    <n v="1712"/>
    <n v="16452"/>
    <s v="60070179"/>
    <s v="60070179"/>
    <m/>
    <m/>
    <m/>
    <m/>
    <m/>
    <m/>
    <s v="SOLRECOUP"/>
    <s v="SOLRECOUP"/>
    <s v="POARECOUP"/>
    <n v="21324531"/>
    <n v="-2375.48"/>
    <m/>
    <s v="Y"/>
    <n v="2"/>
    <d v="2023-07-03T19:42:52"/>
    <s v="N"/>
    <m/>
    <m/>
    <s v="Profit Cost"/>
    <m/>
    <s v="N"/>
    <n v="0"/>
    <n v="-395.91"/>
    <x v="3"/>
    <s v="VALIDATED"/>
    <n v="1"/>
    <s v="01.11.80.308.2013.0000"/>
    <n v="-395.91"/>
    <s v="11"/>
    <s v="2013"/>
    <n v="4585.13"/>
    <n v="-395.91"/>
    <s v="CREDITOR"/>
    <n v="0"/>
    <n v="0"/>
    <n v="-395.91"/>
    <n v="-98.97750000000001"/>
    <n v="0"/>
  </r>
  <r>
    <n v="60070179"/>
    <s v="N"/>
    <n v="21324532"/>
    <s v="3000014404080005RC"/>
    <s v="CIVIL"/>
    <d v="2023-06-12T00:00:00"/>
    <d v="2023-07-03T19:42:50"/>
    <m/>
    <d v="2023-07-03T00:00:00"/>
    <n v="1712"/>
    <n v="16452"/>
    <s v="60070179"/>
    <s v="60070179"/>
    <m/>
    <m/>
    <m/>
    <m/>
    <m/>
    <m/>
    <s v="SOLRECOUP"/>
    <s v="SOLRECOUP"/>
    <s v="POARECOUP"/>
    <n v="21324532"/>
    <n v="-304.8"/>
    <m/>
    <s v="Y"/>
    <n v="1"/>
    <d v="2023-07-03T19:42:52"/>
    <s v="N"/>
    <m/>
    <m/>
    <s v="Expert Disbursement"/>
    <m/>
    <s v="N"/>
    <n v="-254"/>
    <n v="0"/>
    <x v="3"/>
    <s v="VALIDATED"/>
    <n v="1"/>
    <s v="01.11.80.308.2013.0000"/>
    <n v="-254"/>
    <s v="11"/>
    <s v="2013"/>
    <n v="4585.13"/>
    <n v="-254"/>
    <s v="CREDITOR"/>
    <n v="0"/>
    <n v="0"/>
    <n v="-254"/>
    <n v="0"/>
    <n v="0"/>
  </r>
  <r>
    <n v="60070179"/>
    <s v="N"/>
    <n v="21324532"/>
    <s v="3000014404080005RC"/>
    <s v="CIVIL"/>
    <d v="2023-06-12T00:00:00"/>
    <d v="2023-07-03T19:42:50"/>
    <m/>
    <d v="2023-07-03T00:00:00"/>
    <n v="1712"/>
    <n v="16452"/>
    <s v="60070179"/>
    <s v="60070179"/>
    <m/>
    <m/>
    <m/>
    <m/>
    <m/>
    <m/>
    <s v="SOLRECOUP"/>
    <s v="SOLRECOUP"/>
    <s v="POARECOUP"/>
    <n v="21324532"/>
    <n v="-304.8"/>
    <m/>
    <s v="Y"/>
    <n v="2"/>
    <d v="2023-07-03T19:42:52"/>
    <s v="N"/>
    <m/>
    <m/>
    <s v="Expert Disbursement"/>
    <m/>
    <s v="N"/>
    <n v="0"/>
    <n v="-50.8"/>
    <x v="3"/>
    <s v="VALIDATED"/>
    <n v="1"/>
    <s v="01.11.80.308.2013.0000"/>
    <n v="-50.8"/>
    <s v="11"/>
    <s v="2013"/>
    <n v="4585.13"/>
    <n v="-50.8"/>
    <s v="CREDITOR"/>
    <n v="0"/>
    <n v="0"/>
    <n v="-50.8"/>
    <n v="0"/>
    <n v="0"/>
  </r>
  <r>
    <n v="60070179"/>
    <s v="N"/>
    <n v="21324533"/>
    <s v="3000014404080009RC"/>
    <s v="CIVIL"/>
    <d v="2023-06-12T00:00:00"/>
    <d v="2023-07-03T19:42:50"/>
    <m/>
    <d v="2023-07-03T00:00:00"/>
    <n v="1712"/>
    <n v="16452"/>
    <s v="60070179"/>
    <s v="60070179"/>
    <m/>
    <m/>
    <m/>
    <m/>
    <m/>
    <m/>
    <s v="SOLRECOUP"/>
    <s v="SOLRECOUP"/>
    <s v="POARECOUP"/>
    <n v="21324533"/>
    <n v="-1548.3"/>
    <m/>
    <s v="Y"/>
    <n v="1"/>
    <d v="2023-07-03T19:42:52"/>
    <s v="N"/>
    <m/>
    <m/>
    <s v="Expert Disbursement"/>
    <m/>
    <s v="N"/>
    <n v="-1548.3"/>
    <n v="0"/>
    <x v="3"/>
    <s v="VALIDATED"/>
    <n v="1"/>
    <s v="01.11.80.308.2013.0000"/>
    <n v="-1548.3"/>
    <s v="11"/>
    <s v="2013"/>
    <n v="4585.13"/>
    <n v="-1548.3"/>
    <s v="CREDITOR"/>
    <n v="0"/>
    <n v="0"/>
    <n v="-1548.3"/>
    <n v="0"/>
    <n v="0"/>
  </r>
  <r>
    <n v="60070179"/>
    <s v="N"/>
    <n v="21324533"/>
    <s v="3000014404080009RC"/>
    <s v="CIVIL"/>
    <d v="2023-06-12T00:00:00"/>
    <d v="2023-07-03T19:42:50"/>
    <m/>
    <d v="2023-07-03T00:00:00"/>
    <n v="1712"/>
    <n v="16452"/>
    <s v="60070179"/>
    <s v="60070179"/>
    <m/>
    <m/>
    <m/>
    <m/>
    <m/>
    <m/>
    <s v="SOLRECOUP"/>
    <s v="SOLRECOUP"/>
    <s v="POARECOUP"/>
    <n v="21324533"/>
    <n v="-1548.3"/>
    <m/>
    <s v="Y"/>
    <n v="2"/>
    <d v="2023-07-03T19:42:52"/>
    <s v="N"/>
    <m/>
    <m/>
    <s v="Expert Disbursement"/>
    <m/>
    <s v="N"/>
    <n v="0"/>
    <n v="0"/>
    <x v="3"/>
    <s v="VALIDATED"/>
    <n v="1"/>
    <s v="01.11.80.000.0000.0000"/>
    <n v="0"/>
    <s v="11"/>
    <s v="0000"/>
    <n v="4585.13"/>
    <n v="0"/>
    <s v="CREDITOR"/>
    <n v="0"/>
    <n v="0"/>
    <n v="0"/>
    <n v="0"/>
    <n v="0"/>
  </r>
  <r>
    <n v="60070179"/>
    <s v="N"/>
    <n v="21324534"/>
    <s v="3000014404080008RC"/>
    <s v="CIVIL"/>
    <d v="2023-06-12T00:00:00"/>
    <d v="2023-07-03T19:42:50"/>
    <m/>
    <d v="2023-07-03T00:00:00"/>
    <n v="1712"/>
    <n v="16452"/>
    <s v="60070179"/>
    <s v="60070179"/>
    <m/>
    <m/>
    <m/>
    <m/>
    <m/>
    <m/>
    <s v="SOLRECOUP"/>
    <s v="SOLRECOUP"/>
    <s v="POARECOUP"/>
    <n v="21324534"/>
    <n v="-90.59999999999999"/>
    <m/>
    <s v="Y"/>
    <n v="1"/>
    <d v="2023-07-03T19:42:52"/>
    <s v="N"/>
    <m/>
    <m/>
    <s v="Expert Disbursement"/>
    <m/>
    <s v="N"/>
    <n v="-75.5"/>
    <n v="0"/>
    <x v="3"/>
    <s v="VALIDATED"/>
    <n v="1"/>
    <s v="01.11.80.308.2013.0000"/>
    <n v="-75.5"/>
    <s v="11"/>
    <s v="2013"/>
    <n v="4585.13"/>
    <n v="-75.5"/>
    <s v="CREDITOR"/>
    <n v="0"/>
    <n v="0"/>
    <n v="-75.5"/>
    <n v="0"/>
    <n v="0"/>
  </r>
  <r>
    <n v="60070179"/>
    <s v="N"/>
    <n v="21324534"/>
    <s v="3000014404080008RC"/>
    <s v="CIVIL"/>
    <d v="2023-06-12T00:00:00"/>
    <d v="2023-07-03T19:42:50"/>
    <m/>
    <d v="2023-07-03T00:00:00"/>
    <n v="1712"/>
    <n v="16452"/>
    <s v="60070179"/>
    <s v="60070179"/>
    <m/>
    <m/>
    <m/>
    <m/>
    <m/>
    <m/>
    <s v="SOLRECOUP"/>
    <s v="SOLRECOUP"/>
    <s v="POARECOUP"/>
    <n v="21324534"/>
    <n v="-90.59999999999999"/>
    <m/>
    <s v="Y"/>
    <n v="2"/>
    <d v="2023-07-03T19:42:52"/>
    <s v="N"/>
    <m/>
    <m/>
    <s v="Expert Disbursement"/>
    <m/>
    <s v="N"/>
    <n v="0"/>
    <n v="-15.1"/>
    <x v="3"/>
    <s v="VALIDATED"/>
    <n v="1"/>
    <s v="01.11.80.308.2013.0000"/>
    <n v="-15.1"/>
    <s v="11"/>
    <s v="2013"/>
    <n v="4585.13"/>
    <n v="-15.1"/>
    <s v="CREDITOR"/>
    <n v="0"/>
    <n v="0"/>
    <n v="-15.1"/>
    <n v="0"/>
    <n v="0"/>
  </r>
  <r>
    <n v="60070179"/>
    <s v="N"/>
    <n v="21324535"/>
    <s v="3000014404080012RC"/>
    <s v="CIVIL"/>
    <d v="2023-06-12T00:00:00"/>
    <d v="2023-07-03T19:42:50"/>
    <m/>
    <d v="2023-07-03T00:00:00"/>
    <n v="1712"/>
    <n v="16452"/>
    <s v="60070179"/>
    <s v="60070179"/>
    <m/>
    <m/>
    <m/>
    <m/>
    <m/>
    <m/>
    <s v="SOLRECOUP"/>
    <s v="SOLRECOUP"/>
    <s v="POARECOUP"/>
    <n v="21324535"/>
    <n v="-20.09"/>
    <m/>
    <s v="Y"/>
    <n v="1"/>
    <d v="2023-07-03T19:42:52"/>
    <s v="N"/>
    <m/>
    <m/>
    <s v="Non Expert Disbursement"/>
    <m/>
    <s v="N"/>
    <n v="-16.74"/>
    <n v="0"/>
    <x v="3"/>
    <s v="VALIDATED"/>
    <n v="1"/>
    <s v="01.11.80.308.2013.0000"/>
    <n v="-16.74"/>
    <s v="11"/>
    <s v="2013"/>
    <n v="4585.13"/>
    <n v="-16.74"/>
    <s v="CREDITOR"/>
    <n v="0"/>
    <n v="0"/>
    <n v="-16.74"/>
    <n v="0"/>
    <n v="0"/>
  </r>
  <r>
    <n v="60070179"/>
    <s v="N"/>
    <n v="21324535"/>
    <s v="3000014404080012RC"/>
    <s v="CIVIL"/>
    <d v="2023-06-12T00:00:00"/>
    <d v="2023-07-03T19:42:50"/>
    <m/>
    <d v="2023-07-03T00:00:00"/>
    <n v="1712"/>
    <n v="16452"/>
    <s v="60070179"/>
    <s v="60070179"/>
    <m/>
    <m/>
    <m/>
    <m/>
    <m/>
    <m/>
    <s v="SOLRECOUP"/>
    <s v="SOLRECOUP"/>
    <s v="POARECOUP"/>
    <n v="21324535"/>
    <n v="-20.09"/>
    <m/>
    <s v="Y"/>
    <n v="2"/>
    <d v="2023-07-03T19:42:52"/>
    <s v="N"/>
    <m/>
    <m/>
    <s v="Non Expert Disbursement"/>
    <m/>
    <s v="N"/>
    <n v="0"/>
    <n v="-3.35"/>
    <x v="3"/>
    <s v="VALIDATED"/>
    <n v="1"/>
    <s v="01.11.80.308.2013.0000"/>
    <n v="-3.35"/>
    <s v="11"/>
    <s v="2013"/>
    <n v="4585.13"/>
    <n v="-3.35"/>
    <s v="CREDITOR"/>
    <n v="0"/>
    <n v="0"/>
    <n v="-3.35"/>
    <n v="0"/>
    <n v="0"/>
  </r>
  <r>
    <n v="60070179"/>
    <s v="N"/>
    <n v="21324536"/>
    <s v="3000014404080013RC"/>
    <s v="CIVIL"/>
    <d v="2023-06-12T00:00:00"/>
    <d v="2023-07-03T19:42:50"/>
    <m/>
    <d v="2023-07-03T00:00:00"/>
    <n v="1712"/>
    <n v="16452"/>
    <s v="60070179"/>
    <s v="60070179"/>
    <m/>
    <m/>
    <m/>
    <m/>
    <m/>
    <m/>
    <s v="SOLRECOUP"/>
    <s v="SOLRECOUP"/>
    <s v="POARECOUP"/>
    <n v="21324536"/>
    <n v="-7"/>
    <m/>
    <s v="Y"/>
    <n v="1"/>
    <d v="2023-07-03T19:42:52"/>
    <s v="N"/>
    <m/>
    <m/>
    <s v="Non Expert Disbursement"/>
    <m/>
    <s v="N"/>
    <n v="-5.83"/>
    <n v="0"/>
    <x v="3"/>
    <s v="VALIDATED"/>
    <n v="1"/>
    <s v="01.11.80.308.2013.0000"/>
    <n v="-5.83"/>
    <s v="11"/>
    <s v="2013"/>
    <n v="4585.13"/>
    <n v="-5.83"/>
    <s v="CREDITOR"/>
    <n v="0"/>
    <n v="0"/>
    <n v="-5.83"/>
    <n v="0"/>
    <n v="0"/>
  </r>
  <r>
    <n v="60070179"/>
    <s v="N"/>
    <n v="21324536"/>
    <s v="3000014404080013RC"/>
    <s v="CIVIL"/>
    <d v="2023-06-12T00:00:00"/>
    <d v="2023-07-03T19:42:50"/>
    <m/>
    <d v="2023-07-03T00:00:00"/>
    <n v="1712"/>
    <n v="16452"/>
    <s v="60070179"/>
    <s v="60070179"/>
    <m/>
    <m/>
    <m/>
    <m/>
    <m/>
    <m/>
    <s v="SOLRECOUP"/>
    <s v="SOLRECOUP"/>
    <s v="POARECOUP"/>
    <n v="21324536"/>
    <n v="-7"/>
    <m/>
    <s v="Y"/>
    <n v="2"/>
    <d v="2023-07-03T19:42:52"/>
    <s v="N"/>
    <m/>
    <m/>
    <s v="Non Expert Disbursement"/>
    <m/>
    <s v="N"/>
    <n v="0"/>
    <n v="-1.17"/>
    <x v="3"/>
    <s v="VALIDATED"/>
    <n v="1"/>
    <s v="01.11.80.308.2013.0000"/>
    <n v="-1.17"/>
    <s v="11"/>
    <s v="2013"/>
    <n v="4585.13"/>
    <n v="-1.17"/>
    <s v="CREDITOR"/>
    <n v="0"/>
    <n v="0"/>
    <n v="-1.17"/>
    <n v="0"/>
    <n v="0"/>
  </r>
  <r>
    <n v="60070179"/>
    <s v="N"/>
    <n v="21324537"/>
    <s v="3000014404080015RC"/>
    <s v="CIVIL"/>
    <d v="2023-06-12T00:00:00"/>
    <d v="2023-07-03T19:42:50"/>
    <m/>
    <d v="2023-07-03T00:00:00"/>
    <n v="1712"/>
    <n v="16452"/>
    <s v="60070179"/>
    <s v="60070179"/>
    <m/>
    <m/>
    <m/>
    <m/>
    <m/>
    <m/>
    <s v="SOLRECOUP"/>
    <s v="SOLRECOUP"/>
    <s v="POARECOUP"/>
    <n v="21324537"/>
    <n v="-127.5"/>
    <m/>
    <s v="Y"/>
    <n v="1"/>
    <d v="2023-07-03T19:42:52"/>
    <s v="N"/>
    <m/>
    <m/>
    <s v="Expert Disbursement"/>
    <m/>
    <s v="N"/>
    <n v="-106.25"/>
    <n v="0"/>
    <x v="3"/>
    <s v="VALIDATED"/>
    <n v="1"/>
    <s v="01.11.80.308.2013.0000"/>
    <n v="-106.25"/>
    <s v="11"/>
    <s v="2013"/>
    <n v="4585.13"/>
    <n v="-106.25"/>
    <s v="CREDITOR"/>
    <n v="0"/>
    <n v="0"/>
    <n v="-106.25"/>
    <n v="0"/>
    <n v="0"/>
  </r>
  <r>
    <n v="60070179"/>
    <s v="N"/>
    <n v="21324537"/>
    <s v="3000014404080015RC"/>
    <s v="CIVIL"/>
    <d v="2023-06-12T00:00:00"/>
    <d v="2023-07-03T19:42:50"/>
    <m/>
    <d v="2023-07-03T00:00:00"/>
    <n v="1712"/>
    <n v="16452"/>
    <s v="60070179"/>
    <s v="60070179"/>
    <m/>
    <m/>
    <m/>
    <m/>
    <m/>
    <m/>
    <s v="SOLRECOUP"/>
    <s v="SOLRECOUP"/>
    <s v="POARECOUP"/>
    <n v="21324537"/>
    <n v="-127.5"/>
    <m/>
    <s v="Y"/>
    <n v="2"/>
    <d v="2023-07-03T19:42:52"/>
    <s v="N"/>
    <m/>
    <m/>
    <s v="Expert Disbursement"/>
    <m/>
    <s v="N"/>
    <n v="0"/>
    <n v="-21.25"/>
    <x v="3"/>
    <s v="VALIDATED"/>
    <n v="1"/>
    <s v="01.11.80.308.2013.0000"/>
    <n v="-21.25"/>
    <s v="11"/>
    <s v="2013"/>
    <n v="4585.13"/>
    <n v="-21.25"/>
    <s v="CREDITOR"/>
    <n v="0"/>
    <n v="0"/>
    <n v="-21.25"/>
    <n v="0"/>
    <n v="0"/>
  </r>
  <r>
    <n v="60070179"/>
    <s v="N"/>
    <n v="21324538"/>
    <s v="3000014404080014RC"/>
    <s v="CIVIL"/>
    <d v="2023-06-12T00:00:00"/>
    <d v="2023-07-03T19:42:50"/>
    <m/>
    <d v="2023-07-03T00:00:00"/>
    <n v="1712"/>
    <n v="16452"/>
    <s v="60070179"/>
    <s v="60070179"/>
    <m/>
    <m/>
    <m/>
    <m/>
    <m/>
    <m/>
    <s v="SOLRECOUP"/>
    <s v="SOLRECOUP"/>
    <s v="POARECOUP"/>
    <n v="21324538"/>
    <n v="-2756.64"/>
    <m/>
    <s v="Y"/>
    <n v="1"/>
    <d v="2023-07-03T19:42:52"/>
    <s v="N"/>
    <m/>
    <m/>
    <s v="Profit Cost"/>
    <m/>
    <s v="N"/>
    <n v="-2297.2"/>
    <n v="0"/>
    <x v="3"/>
    <s v="VALIDATED"/>
    <n v="1"/>
    <s v="01.11.80.308.2013.0000"/>
    <n v="-2297.2"/>
    <s v="11"/>
    <s v="2013"/>
    <n v="4585.13"/>
    <n v="-2297.2"/>
    <s v="CREDITOR"/>
    <n v="0"/>
    <n v="0"/>
    <n v="-2297.2"/>
    <n v="-574.3"/>
    <n v="0"/>
  </r>
  <r>
    <n v="60070179"/>
    <s v="N"/>
    <n v="21324538"/>
    <s v="3000014404080014RC"/>
    <s v="CIVIL"/>
    <d v="2023-06-12T00:00:00"/>
    <d v="2023-07-03T19:42:50"/>
    <m/>
    <d v="2023-07-03T00:00:00"/>
    <n v="1712"/>
    <n v="16452"/>
    <s v="60070179"/>
    <s v="60070179"/>
    <m/>
    <m/>
    <m/>
    <m/>
    <m/>
    <m/>
    <s v="SOLRECOUP"/>
    <s v="SOLRECOUP"/>
    <s v="POARECOUP"/>
    <n v="21324538"/>
    <n v="-2756.64"/>
    <m/>
    <s v="Y"/>
    <n v="2"/>
    <d v="2023-07-03T19:42:52"/>
    <s v="N"/>
    <m/>
    <m/>
    <s v="Profit Cost"/>
    <m/>
    <s v="N"/>
    <n v="0"/>
    <n v="-459.44"/>
    <x v="3"/>
    <s v="VALIDATED"/>
    <n v="1"/>
    <s v="01.11.80.308.2013.0000"/>
    <n v="-459.44"/>
    <s v="11"/>
    <s v="2013"/>
    <n v="4585.13"/>
    <n v="-459.44"/>
    <s v="CREDITOR"/>
    <n v="0"/>
    <n v="0"/>
    <n v="-459.44"/>
    <n v="-114.86"/>
    <n v="0"/>
  </r>
  <r>
    <n v="60070179"/>
    <s v="N"/>
    <n v="21324539"/>
    <s v="3000014404080016RC"/>
    <s v="CIVIL"/>
    <d v="2023-06-12T00:00:00"/>
    <d v="2023-07-03T19:42:50"/>
    <m/>
    <d v="2023-07-03T00:00:00"/>
    <n v="1712"/>
    <n v="16452"/>
    <s v="60070179"/>
    <s v="60070179"/>
    <m/>
    <m/>
    <m/>
    <m/>
    <m/>
    <m/>
    <s v="SOLRECOUP"/>
    <s v="SOLRECOUP"/>
    <s v="POARECOUP"/>
    <n v="21324539"/>
    <n v="-232.5"/>
    <m/>
    <s v="Y"/>
    <n v="1"/>
    <d v="2023-07-03T19:42:52"/>
    <s v="N"/>
    <m/>
    <m/>
    <s v="Expert Disbursement"/>
    <m/>
    <s v="N"/>
    <n v="-193.75"/>
    <n v="0"/>
    <x v="3"/>
    <s v="VALIDATED"/>
    <n v="1"/>
    <s v="01.11.80.308.2013.0000"/>
    <n v="-193.75"/>
    <s v="11"/>
    <s v="2013"/>
    <n v="4585.13"/>
    <n v="-193.75"/>
    <s v="CREDITOR"/>
    <n v="0"/>
    <n v="0"/>
    <n v="-193.75"/>
    <n v="0"/>
    <n v="0"/>
  </r>
  <r>
    <n v="60070179"/>
    <s v="N"/>
    <n v="21324539"/>
    <s v="3000014404080016RC"/>
    <s v="CIVIL"/>
    <d v="2023-06-12T00:00:00"/>
    <d v="2023-07-03T19:42:50"/>
    <m/>
    <d v="2023-07-03T00:00:00"/>
    <n v="1712"/>
    <n v="16452"/>
    <s v="60070179"/>
    <s v="60070179"/>
    <m/>
    <m/>
    <m/>
    <m/>
    <m/>
    <m/>
    <s v="SOLRECOUP"/>
    <s v="SOLRECOUP"/>
    <s v="POARECOUP"/>
    <n v="21324539"/>
    <n v="-232.5"/>
    <m/>
    <s v="Y"/>
    <n v="2"/>
    <d v="2023-07-03T19:42:52"/>
    <s v="N"/>
    <m/>
    <m/>
    <s v="Expert Disbursement"/>
    <m/>
    <s v="N"/>
    <n v="0"/>
    <n v="-38.75"/>
    <x v="3"/>
    <s v="VALIDATED"/>
    <n v="1"/>
    <s v="01.11.80.308.2013.0000"/>
    <n v="-38.75"/>
    <s v="11"/>
    <s v="2013"/>
    <n v="4585.13"/>
    <n v="-38.75"/>
    <s v="CREDITOR"/>
    <n v="0"/>
    <n v="0"/>
    <n v="-38.75"/>
    <n v="0"/>
    <n v="0"/>
  </r>
  <r>
    <n v="60070179"/>
    <s v="N"/>
    <n v="21324540"/>
    <s v="3000014404080017RC"/>
    <s v="CIVIL"/>
    <d v="2023-06-12T00:00:00"/>
    <d v="2023-07-03T19:42:50"/>
    <m/>
    <d v="2023-07-03T00:00:00"/>
    <n v="1712"/>
    <n v="16452"/>
    <s v="60070179"/>
    <s v="60070179"/>
    <m/>
    <m/>
    <m/>
    <m/>
    <m/>
    <m/>
    <s v="SOLRECOUP"/>
    <s v="SOLRECOUP"/>
    <s v="POARECOUP"/>
    <n v="21324540"/>
    <n v="-509.92"/>
    <m/>
    <s v="Y"/>
    <n v="1"/>
    <d v="2023-07-03T19:42:52"/>
    <s v="N"/>
    <m/>
    <m/>
    <s v="Profit Cost"/>
    <m/>
    <s v="N"/>
    <n v="-424.93"/>
    <n v="0"/>
    <x v="3"/>
    <s v="VALIDATED"/>
    <n v="1"/>
    <s v="01.11.80.308.2013.0000"/>
    <n v="-424.93"/>
    <s v="11"/>
    <s v="2013"/>
    <n v="4585.13"/>
    <n v="-424.93"/>
    <s v="CREDITOR"/>
    <n v="0"/>
    <n v="0"/>
    <n v="-424.93"/>
    <n v="-106.2325"/>
    <n v="0"/>
  </r>
  <r>
    <n v="60070179"/>
    <s v="N"/>
    <n v="21324540"/>
    <s v="3000014404080017RC"/>
    <s v="CIVIL"/>
    <d v="2023-06-12T00:00:00"/>
    <d v="2023-07-03T19:42:50"/>
    <m/>
    <d v="2023-07-03T00:00:00"/>
    <n v="1712"/>
    <n v="16452"/>
    <s v="60070179"/>
    <s v="60070179"/>
    <m/>
    <m/>
    <m/>
    <m/>
    <m/>
    <m/>
    <s v="SOLRECOUP"/>
    <s v="SOLRECOUP"/>
    <s v="POARECOUP"/>
    <n v="21324540"/>
    <n v="-509.92"/>
    <m/>
    <s v="Y"/>
    <n v="2"/>
    <d v="2023-07-03T19:42:52"/>
    <s v="N"/>
    <m/>
    <m/>
    <s v="Profit Cost"/>
    <m/>
    <s v="N"/>
    <n v="0"/>
    <n v="-84.98999999999999"/>
    <x v="3"/>
    <s v="VALIDATED"/>
    <n v="1"/>
    <s v="01.11.80.308.2013.0000"/>
    <n v="-84.98999999999999"/>
    <s v="11"/>
    <s v="2013"/>
    <n v="4585.13"/>
    <n v="-84.98999999999999"/>
    <s v="CREDITOR"/>
    <n v="0"/>
    <n v="0"/>
    <n v="-84.98999999999999"/>
    <n v="-21.2475"/>
    <n v="0"/>
  </r>
  <r>
    <n v="60070179"/>
    <s v="N"/>
    <n v="21318829"/>
    <s v="3000014404080019"/>
    <s v="CIVIL"/>
    <d v="2023-06-12T00:00:00"/>
    <d v="2023-07-03T19:01:49"/>
    <m/>
    <d v="2023-07-03T00:00:00"/>
    <n v="1712"/>
    <n v="16452"/>
    <s v="60070179"/>
    <s v="60070179"/>
    <m/>
    <m/>
    <n v="22666156"/>
    <m/>
    <m/>
    <m/>
    <s v="SOLFIN"/>
    <s v="SOLFIN"/>
    <s v="CCMS"/>
    <n v="21318829"/>
    <n v="14924.69"/>
    <m/>
    <s v="N"/>
    <n v="161"/>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83"/>
    <d v="2023-07-03T19:02:03"/>
    <s v="Y"/>
    <s v="Advocates Meeting"/>
    <s v="Public Law Children"/>
    <s v="Advocacy"/>
    <s v="MC"/>
    <s v="Y"/>
    <n v="140.99"/>
    <n v="28.2"/>
    <x v="3"/>
    <s v="VALIDATED"/>
    <n v="1"/>
    <s v="01.11.80.308.6100.0000"/>
    <n v="140.99"/>
    <s v="11"/>
    <s v="6100"/>
    <n v="4585.13"/>
    <n v="140.99"/>
    <s v="CREDITOR"/>
    <n v="0"/>
    <n v="0"/>
    <n v="0"/>
    <n v="0"/>
    <n v="140.99"/>
  </r>
  <r>
    <n v="60070179"/>
    <s v="N"/>
    <n v="21318829"/>
    <s v="3000014404080019"/>
    <s v="CIVIL"/>
    <d v="2023-06-12T00:00:00"/>
    <d v="2023-07-03T19:01:49"/>
    <m/>
    <d v="2023-07-03T00:00:00"/>
    <n v="1712"/>
    <n v="16452"/>
    <s v="60070179"/>
    <s v="60070179"/>
    <m/>
    <m/>
    <n v="22666156"/>
    <m/>
    <m/>
    <m/>
    <s v="SOLFIN"/>
    <s v="SOLFIN"/>
    <s v="CCMS"/>
    <n v="21318829"/>
    <n v="14924.69"/>
    <m/>
    <s v="N"/>
    <n v="166"/>
    <d v="2023-07-03T19:02:03"/>
    <s v="Y"/>
    <s v="Preparation - drafting bill/claim f"/>
    <s v="Care Remuneration Hourly Rates"/>
    <s v="Profit Cost"/>
    <s v="SF"/>
    <s v="Y"/>
    <n v="30.23"/>
    <n v="6.05"/>
    <x v="3"/>
    <s v="VALIDATED"/>
    <n v="1"/>
    <s v="01.11.80.308.6100.0000"/>
    <n v="30.23"/>
    <s v="11"/>
    <s v="6100"/>
    <n v="4585.13"/>
    <n v="30.23"/>
    <s v="CREDITOR"/>
    <n v="0"/>
    <n v="0"/>
    <n v="0"/>
    <n v="0"/>
    <n v="30.23"/>
  </r>
  <r>
    <n v="60070179"/>
    <s v="N"/>
    <n v="21318829"/>
    <s v="3000014404080019"/>
    <s v="CIVIL"/>
    <d v="2023-06-12T00:00:00"/>
    <d v="2023-07-03T19:01:49"/>
    <m/>
    <d v="2023-07-03T00:00:00"/>
    <n v="1712"/>
    <n v="16452"/>
    <s v="60070179"/>
    <s v="60070179"/>
    <m/>
    <m/>
    <n v="22666156"/>
    <m/>
    <m/>
    <m/>
    <s v="SOLFIN"/>
    <s v="SOLFIN"/>
    <s v="CCMS"/>
    <n v="21318829"/>
    <n v="14924.69"/>
    <m/>
    <s v="N"/>
    <n v="117"/>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01"/>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77"/>
    <d v="2023-07-03T19:02:03"/>
    <s v="Y"/>
    <s v="Toxicologist"/>
    <s v="Care Remuneration Hourly Rates"/>
    <s v="Expert Disbursement"/>
    <s v="XXX"/>
    <s v="Y"/>
    <n v="250"/>
    <n v="50"/>
    <x v="3"/>
    <s v="VALIDATED"/>
    <n v="1"/>
    <s v="01.11.80.308.6300.0000"/>
    <n v="250"/>
    <s v="11"/>
    <s v="6300"/>
    <n v="4585.13"/>
    <n v="250"/>
    <s v="CREDITOR"/>
    <n v="0"/>
    <n v="0"/>
    <n v="0"/>
    <n v="0"/>
    <n v="250"/>
  </r>
  <r>
    <n v="60070179"/>
    <s v="N"/>
    <n v="21318829"/>
    <s v="3000014404080019"/>
    <s v="CIVIL"/>
    <d v="2023-06-12T00:00:00"/>
    <d v="2023-07-03T19:01:49"/>
    <m/>
    <d v="2023-07-03T00:00:00"/>
    <n v="1712"/>
    <n v="16452"/>
    <s v="60070179"/>
    <s v="60070179"/>
    <m/>
    <m/>
    <n v="22666156"/>
    <m/>
    <m/>
    <m/>
    <s v="SOLFIN"/>
    <s v="SOLFIN"/>
    <s v="CCMS"/>
    <n v="21318829"/>
    <n v="14924.69"/>
    <m/>
    <s v="N"/>
    <n v="46"/>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84"/>
    <d v="2023-07-03T19:02:03"/>
    <s v="Y"/>
    <s v="Hearing Unit 2.31 - 5.00 Hours"/>
    <s v="Public Law Children"/>
    <s v="Advocacy"/>
    <s v="MC"/>
    <s v="Y"/>
    <n v="476.92"/>
    <n v="95.38"/>
    <x v="3"/>
    <s v="VALIDATED"/>
    <n v="1"/>
    <s v="01.11.80.308.6100.0000"/>
    <n v="476.92"/>
    <s v="11"/>
    <s v="6100"/>
    <n v="4585.13"/>
    <n v="476.92"/>
    <s v="CREDITOR"/>
    <n v="0"/>
    <n v="0"/>
    <n v="0"/>
    <n v="0"/>
    <n v="476.92"/>
  </r>
  <r>
    <n v="60070179"/>
    <s v="N"/>
    <n v="21318829"/>
    <s v="3000014404080019"/>
    <s v="CIVIL"/>
    <d v="2023-06-12T00:00:00"/>
    <d v="2023-07-03T19:01:49"/>
    <m/>
    <d v="2023-07-03T00:00:00"/>
    <n v="1712"/>
    <n v="16452"/>
    <s v="60070179"/>
    <s v="60070179"/>
    <m/>
    <m/>
    <n v="22666156"/>
    <m/>
    <m/>
    <m/>
    <s v="SOLFIN"/>
    <s v="SOLFIN"/>
    <s v="CCMS"/>
    <n v="21318829"/>
    <n v="14924.69"/>
    <m/>
    <s v="N"/>
    <n v="114"/>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56"/>
    <d v="2023-07-03T19:02:03"/>
    <s v="Y"/>
    <s v="Preparation - drafting statement"/>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30"/>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84"/>
    <d v="2023-07-03T19:02:03"/>
    <s v="Y"/>
    <s v="Preparation - other"/>
    <s v="Care Remuneration Hourly Rates"/>
    <s v="Profit Cost"/>
    <s v="SF"/>
    <s v="Y"/>
    <n v="66.23"/>
    <n v="13.25"/>
    <x v="3"/>
    <s v="VALIDATED"/>
    <n v="1"/>
    <s v="01.11.80.308.6100.0000"/>
    <n v="66.23"/>
    <s v="11"/>
    <s v="6100"/>
    <n v="4585.13"/>
    <n v="66.23"/>
    <s v="CREDITOR"/>
    <n v="0"/>
    <n v="0"/>
    <n v="0"/>
    <n v="0"/>
    <n v="66.23"/>
  </r>
  <r>
    <n v="60070179"/>
    <s v="N"/>
    <n v="21318829"/>
    <s v="3000014404080019"/>
    <s v="CIVIL"/>
    <d v="2023-06-12T00:00:00"/>
    <d v="2023-07-03T19:01:49"/>
    <m/>
    <d v="2023-07-03T00:00:00"/>
    <n v="1712"/>
    <n v="16452"/>
    <s v="60070179"/>
    <s v="60070179"/>
    <m/>
    <m/>
    <n v="22666156"/>
    <m/>
    <m/>
    <m/>
    <s v="SOLFIN"/>
    <s v="SOLFIN"/>
    <s v="CCMS"/>
    <n v="21318829"/>
    <n v="14924.69"/>
    <m/>
    <s v="N"/>
    <n v="118"/>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2"/>
    <d v="2023-07-03T19:02:03"/>
    <s v="Y"/>
    <s v="Preparation - other"/>
    <s v="Care Remuneration Hourly Rates"/>
    <s v="Profit Cost"/>
    <s v="SF"/>
    <s v="Y"/>
    <n v="12.09"/>
    <n v="2.42"/>
    <x v="3"/>
    <s v="VALIDATED"/>
    <n v="1"/>
    <s v="01.11.80.308.6100.0000"/>
    <n v="12.09"/>
    <s v="11"/>
    <s v="6100"/>
    <n v="4585.13"/>
    <n v="12.09"/>
    <s v="CREDITOR"/>
    <n v="0"/>
    <n v="0"/>
    <n v="0"/>
    <n v="0"/>
    <n v="12.09"/>
  </r>
  <r>
    <n v="62090245"/>
    <s v="N"/>
    <n v="21321546"/>
    <s v="3000016114790001"/>
    <s v="CIVIL"/>
    <d v="2023-06-29T00:00:00"/>
    <d v="2023-07-03T19:05:17"/>
    <m/>
    <d v="2023-07-03T00:00:00"/>
    <n v="1712"/>
    <n v="16452"/>
    <s v="62090245"/>
    <s v="62090245"/>
    <m/>
    <m/>
    <n v="22785578"/>
    <m/>
    <m/>
    <m/>
    <s v="SOLPOA"/>
    <s v="SOLPOA"/>
    <s v="CCMS"/>
    <n v="21321546"/>
    <n v="167"/>
    <m/>
    <s v="N"/>
    <n v="1"/>
    <d v="2023-07-03T19:05:19"/>
    <s v="N"/>
    <s v="Non Expert Disbursement - Private L"/>
    <s v="Non Expert Disbursement - Priv"/>
    <s v="Non Expert Disbursement"/>
    <s v="Maria Chainani"/>
    <s v="N"/>
    <n v="167"/>
    <n v="0"/>
    <x v="3"/>
    <s v="VALIDATED"/>
    <n v="1"/>
    <s v="01.11.80.307.2012.0000"/>
    <n v="167"/>
    <s v="11"/>
    <s v="2012"/>
    <n v="4585.13"/>
    <n v="167"/>
    <s v="CREDITOR"/>
    <n v="167"/>
    <n v="0"/>
    <n v="0"/>
    <n v="0"/>
    <n v="0"/>
  </r>
  <r>
    <n v="60070179"/>
    <s v="N"/>
    <n v="21318829"/>
    <s v="3000014404080019"/>
    <s v="CIVIL"/>
    <d v="2023-06-12T00:00:00"/>
    <d v="2023-07-03T19:01:49"/>
    <m/>
    <d v="2023-07-03T00:00:00"/>
    <n v="1712"/>
    <n v="16452"/>
    <s v="60070179"/>
    <s v="60070179"/>
    <m/>
    <m/>
    <n v="22666156"/>
    <m/>
    <m/>
    <m/>
    <s v="SOLFIN"/>
    <s v="SOLFIN"/>
    <s v="CCMS"/>
    <n v="21318829"/>
    <n v="14924.69"/>
    <m/>
    <s v="N"/>
    <n v="143"/>
    <d v="2023-07-03T19:02:03"/>
    <s v="Y"/>
    <s v="Preparation - other"/>
    <s v="Care Remuneration Hourly Rates"/>
    <s v="Profit Cost"/>
    <s v="SF"/>
    <s v="Y"/>
    <n v="213.43"/>
    <n v="42.69"/>
    <x v="3"/>
    <s v="VALIDATED"/>
    <n v="1"/>
    <s v="01.11.80.308.6100.0000"/>
    <n v="213.43"/>
    <s v="11"/>
    <s v="6100"/>
    <n v="4585.13"/>
    <n v="213.43"/>
    <s v="CREDITOR"/>
    <n v="0"/>
    <n v="0"/>
    <n v="0"/>
    <n v="0"/>
    <n v="213.43"/>
  </r>
  <r>
    <n v="60070179"/>
    <s v="N"/>
    <n v="21318829"/>
    <s v="3000014404080019"/>
    <s v="CIVIL"/>
    <d v="2023-06-12T00:00:00"/>
    <d v="2023-07-03T19:01:49"/>
    <m/>
    <d v="2023-07-03T00:00:00"/>
    <n v="1712"/>
    <n v="16452"/>
    <s v="60070179"/>
    <s v="60070179"/>
    <m/>
    <m/>
    <n v="22666156"/>
    <m/>
    <m/>
    <m/>
    <s v="SOLFIN"/>
    <s v="SOLFIN"/>
    <s v="CCMS"/>
    <n v="21318829"/>
    <n v="14924.69"/>
    <m/>
    <s v="N"/>
    <n v="26"/>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82"/>
    <d v="2023-07-03T19:02:03"/>
    <s v="Y"/>
    <s v="Preparation - other"/>
    <s v="Care Remuneration Hourly Rates"/>
    <s v="Profit Cost"/>
    <s v="SF"/>
    <s v="Y"/>
    <n v="323.83"/>
    <n v="64.76000000000001"/>
    <x v="3"/>
    <s v="VALIDATED"/>
    <n v="1"/>
    <s v="01.11.80.308.6100.0000"/>
    <n v="323.83"/>
    <s v="11"/>
    <s v="6100"/>
    <n v="4585.13"/>
    <n v="323.83"/>
    <s v="CREDITOR"/>
    <n v="0"/>
    <n v="0"/>
    <n v="0"/>
    <n v="0"/>
    <n v="323.83"/>
  </r>
  <r>
    <n v="60070179"/>
    <s v="N"/>
    <n v="21318829"/>
    <s v="3000014404080019"/>
    <s v="CIVIL"/>
    <d v="2023-06-12T00:00:00"/>
    <d v="2023-07-03T19:01:49"/>
    <m/>
    <d v="2023-07-03T00:00:00"/>
    <n v="1712"/>
    <n v="16452"/>
    <s v="60070179"/>
    <s v="60070179"/>
    <m/>
    <m/>
    <n v="22666156"/>
    <m/>
    <m/>
    <m/>
    <s v="SOLFIN"/>
    <s v="SOLFIN"/>
    <s v="CCMS"/>
    <n v="21318829"/>
    <n v="14924.69"/>
    <m/>
    <s v="N"/>
    <n v="112"/>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47"/>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41"/>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74"/>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47"/>
    <d v="2023-07-03T19:02:03"/>
    <s v="Y"/>
    <s v="Preparation - other"/>
    <s v="Care Remuneration Hourly Rates"/>
    <s v="Profit Cost"/>
    <s v="SF"/>
    <s v="Y"/>
    <n v="24.18"/>
    <n v="4.84"/>
    <x v="3"/>
    <s v="VALIDATED"/>
    <n v="1"/>
    <s v="01.11.80.308.6100.0000"/>
    <n v="24.18"/>
    <s v="11"/>
    <s v="6100"/>
    <n v="4585.13"/>
    <n v="24.18"/>
    <s v="CREDITOR"/>
    <n v="0"/>
    <n v="0"/>
    <n v="0"/>
    <n v="0"/>
    <n v="24.18"/>
  </r>
  <r>
    <n v="60070179"/>
    <s v="N"/>
    <n v="21318829"/>
    <s v="3000014404080019"/>
    <s v="CIVIL"/>
    <d v="2023-06-12T00:00:00"/>
    <d v="2023-07-03T19:01:49"/>
    <m/>
    <d v="2023-07-03T00:00:00"/>
    <n v="1712"/>
    <n v="16452"/>
    <s v="60070179"/>
    <s v="60070179"/>
    <m/>
    <m/>
    <n v="22666156"/>
    <m/>
    <m/>
    <m/>
    <s v="SOLFIN"/>
    <s v="SOLFIN"/>
    <s v="CCMS"/>
    <n v="21318829"/>
    <n v="14924.69"/>
    <m/>
    <s v="N"/>
    <n v="97"/>
    <d v="2023-07-03T19:02:03"/>
    <s v="Y"/>
    <s v="Preparation - other"/>
    <s v="Care Remuneration Hourly Rates"/>
    <s v="Profit Cost"/>
    <s v="SF"/>
    <s v="Y"/>
    <n v="7.36"/>
    <n v="1.47"/>
    <x v="3"/>
    <s v="VALIDATED"/>
    <n v="1"/>
    <s v="01.11.80.308.6100.0000"/>
    <n v="7.36"/>
    <s v="11"/>
    <s v="6100"/>
    <n v="4585.13"/>
    <n v="7.36"/>
    <s v="CREDITOR"/>
    <n v="0"/>
    <n v="0"/>
    <n v="0"/>
    <n v="0"/>
    <n v="7.36"/>
  </r>
  <r>
    <n v="62086786"/>
    <s v="N"/>
    <n v="21323210"/>
    <s v="3000016111930001"/>
    <s v="CIVIL"/>
    <d v="2023-06-30T00:00:00"/>
    <d v="2023-07-03T19:05:56"/>
    <m/>
    <d v="2023-07-03T00:00:00"/>
    <n v="1712"/>
    <n v="16452"/>
    <s v="62086786"/>
    <s v="62086786"/>
    <m/>
    <m/>
    <n v="22796538"/>
    <m/>
    <m/>
    <m/>
    <s v="SOLPOA"/>
    <s v="SOLPOA"/>
    <s v="CCMS"/>
    <n v="21323210"/>
    <n v="8.5"/>
    <m/>
    <s v="N"/>
    <n v="1"/>
    <d v="2023-07-03T19:05:56"/>
    <s v="N"/>
    <s v="Non Expert Disbursement"/>
    <s v="Non Expert Disbursement"/>
    <s v="Non Expert Disbursement"/>
    <s v="Maria Chainani"/>
    <s v="N"/>
    <n v="7.08"/>
    <n v="1.42"/>
    <x v="3"/>
    <s v="VALIDATED"/>
    <n v="1"/>
    <s v="01.11.80.305.2012.0000"/>
    <n v="7.08"/>
    <s v="11"/>
    <s v="2012"/>
    <n v="4585.13"/>
    <n v="7.08"/>
    <s v="CREDITOR"/>
    <n v="7.08"/>
    <n v="0"/>
    <n v="0"/>
    <n v="0"/>
    <n v="0"/>
  </r>
  <r>
    <n v="60070179"/>
    <s v="N"/>
    <n v="21318829"/>
    <s v="3000014404080019"/>
    <s v="CIVIL"/>
    <d v="2023-06-12T00:00:00"/>
    <d v="2023-07-03T19:01:49"/>
    <m/>
    <d v="2023-07-03T00:00:00"/>
    <n v="1712"/>
    <n v="16452"/>
    <s v="60070179"/>
    <s v="60070179"/>
    <m/>
    <m/>
    <n v="22666156"/>
    <m/>
    <m/>
    <m/>
    <s v="SOLFIN"/>
    <s v="SOLFIN"/>
    <s v="CCMS"/>
    <n v="21318829"/>
    <n v="14924.69"/>
    <m/>
    <s v="N"/>
    <n v="163"/>
    <d v="2023-07-03T19:02:03"/>
    <s v="Y"/>
    <s v="Preparation - other"/>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37"/>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78"/>
    <d v="2023-07-03T19:02:03"/>
    <s v="Y"/>
    <s v="Toxicologist"/>
    <s v="Care Remuneration Hourly Rates"/>
    <s v="Expert Disbursement"/>
    <s v="XXX"/>
    <s v="Y"/>
    <n v="254"/>
    <n v="50.8"/>
    <x v="3"/>
    <s v="VALIDATED"/>
    <n v="1"/>
    <s v="01.11.80.308.6300.0000"/>
    <n v="254"/>
    <s v="11"/>
    <s v="6300"/>
    <n v="4585.13"/>
    <n v="254"/>
    <s v="CREDITOR"/>
    <n v="0"/>
    <n v="0"/>
    <n v="0"/>
    <n v="0"/>
    <n v="254"/>
  </r>
  <r>
    <n v="60070179"/>
    <s v="N"/>
    <n v="21318829"/>
    <s v="3000014404080019"/>
    <s v="CIVIL"/>
    <d v="2023-06-12T00:00:00"/>
    <d v="2023-07-03T19:01:49"/>
    <m/>
    <d v="2023-07-03T00:00:00"/>
    <n v="1712"/>
    <n v="16452"/>
    <s v="60070179"/>
    <s v="60070179"/>
    <m/>
    <m/>
    <n v="22666156"/>
    <m/>
    <m/>
    <m/>
    <s v="SOLFIN"/>
    <s v="SOLFIN"/>
    <s v="CCMS"/>
    <n v="21318829"/>
    <n v="14924.69"/>
    <m/>
    <s v="N"/>
    <n v="99"/>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38"/>
    <d v="2023-07-03T19:02:03"/>
    <s v="Y"/>
    <s v="Preparation - other"/>
    <s v="Care Remuneration Hourly Rates"/>
    <s v="Profit Cost"/>
    <s v="SF"/>
    <s v="Y"/>
    <n v="235.51"/>
    <n v="47.1"/>
    <x v="3"/>
    <s v="VALIDATED"/>
    <n v="1"/>
    <s v="01.11.80.308.6100.0000"/>
    <n v="235.51"/>
    <s v="11"/>
    <s v="6100"/>
    <n v="4585.13"/>
    <n v="235.51"/>
    <s v="CREDITOR"/>
    <n v="0"/>
    <n v="0"/>
    <n v="0"/>
    <n v="0"/>
    <n v="235.51"/>
  </r>
  <r>
    <n v="60070179"/>
    <s v="N"/>
    <n v="21318829"/>
    <s v="3000014404080019"/>
    <s v="CIVIL"/>
    <d v="2023-06-12T00:00:00"/>
    <d v="2023-07-03T19:01:49"/>
    <m/>
    <d v="2023-07-03T00:00:00"/>
    <n v="1712"/>
    <n v="16452"/>
    <s v="60070179"/>
    <s v="60070179"/>
    <m/>
    <m/>
    <n v="22666156"/>
    <m/>
    <m/>
    <m/>
    <s v="SOLFIN"/>
    <s v="SOLFIN"/>
    <s v="CCMS"/>
    <n v="21318829"/>
    <n v="14924.69"/>
    <m/>
    <s v="N"/>
    <n v="69"/>
    <d v="2023-07-03T19:02:03"/>
    <s v="Y"/>
    <s v="Preparation - other"/>
    <s v="Care Remuneration Hourly Rates"/>
    <s v="Profit Cost"/>
    <s v="SF"/>
    <s v="Y"/>
    <n v="80.95999999999999"/>
    <n v="16.19"/>
    <x v="3"/>
    <s v="VALIDATED"/>
    <n v="1"/>
    <s v="01.11.80.308.6100.0000"/>
    <n v="80.95999999999999"/>
    <s v="11"/>
    <s v="6100"/>
    <n v="4585.13"/>
    <n v="80.95999999999999"/>
    <s v="CREDITOR"/>
    <n v="0"/>
    <n v="0"/>
    <n v="0"/>
    <n v="0"/>
    <n v="80.95999999999999"/>
  </r>
  <r>
    <n v="60070179"/>
    <s v="N"/>
    <n v="21318829"/>
    <s v="3000014404080019"/>
    <s v="CIVIL"/>
    <d v="2023-06-12T00:00:00"/>
    <d v="2023-07-03T19:01:49"/>
    <m/>
    <d v="2023-07-03T00:00:00"/>
    <n v="1712"/>
    <n v="16452"/>
    <s v="60070179"/>
    <s v="60070179"/>
    <m/>
    <m/>
    <n v="22666156"/>
    <m/>
    <m/>
    <m/>
    <s v="SOLFIN"/>
    <s v="SOLFIN"/>
    <s v="CCMS"/>
    <n v="21318829"/>
    <n v="14924.69"/>
    <m/>
    <s v="N"/>
    <n v="72"/>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91"/>
    <d v="2023-07-03T19:02:03"/>
    <s v="Y"/>
    <s v="Attendance upon client"/>
    <s v="Care Remuneration Hourly Rates"/>
    <s v="Profit Cost"/>
    <s v="SF"/>
    <s v="Y"/>
    <n v="88.31"/>
    <n v="17.66"/>
    <x v="3"/>
    <s v="VALIDATED"/>
    <n v="1"/>
    <s v="01.11.80.308.6100.0000"/>
    <n v="88.31"/>
    <s v="11"/>
    <s v="6100"/>
    <n v="4585.13"/>
    <n v="88.31"/>
    <s v="CREDITOR"/>
    <n v="0"/>
    <n v="0"/>
    <n v="0"/>
    <n v="0"/>
    <n v="88.31"/>
  </r>
  <r>
    <n v="60070179"/>
    <s v="N"/>
    <n v="21318829"/>
    <s v="3000014404080019"/>
    <s v="CIVIL"/>
    <d v="2023-06-12T00:00:00"/>
    <d v="2023-07-03T19:01:49"/>
    <m/>
    <d v="2023-07-03T00:00:00"/>
    <n v="1712"/>
    <n v="16452"/>
    <s v="60070179"/>
    <s v="60070179"/>
    <m/>
    <m/>
    <n v="22666156"/>
    <m/>
    <m/>
    <m/>
    <s v="SOLFIN"/>
    <s v="SOLFIN"/>
    <s v="CCMS"/>
    <n v="21318829"/>
    <n v="14924.69"/>
    <m/>
    <s v="N"/>
    <n v="132"/>
    <d v="2023-07-03T19:02:03"/>
    <s v="Y"/>
    <s v="Preparation - other"/>
    <s v="Care Remuneration Hourly Rates"/>
    <s v="Profit Cost"/>
    <s v="SF"/>
    <s v="Y"/>
    <n v="12.09"/>
    <n v="2.42"/>
    <x v="3"/>
    <s v="VALIDATED"/>
    <n v="1"/>
    <s v="01.11.80.308.6100.0000"/>
    <n v="12.09"/>
    <s v="11"/>
    <s v="6100"/>
    <n v="4585.13"/>
    <n v="12.09"/>
    <s v="CREDITOR"/>
    <n v="0"/>
    <n v="0"/>
    <n v="0"/>
    <n v="0"/>
    <n v="12.09"/>
  </r>
  <r>
    <n v="61314695"/>
    <s v="N"/>
    <n v="21323291"/>
    <s v="3000015468150014"/>
    <s v="CIVIL"/>
    <d v="2023-06-30T00:00:00"/>
    <d v="2023-07-03T19:05:56"/>
    <m/>
    <d v="2023-07-03T00:00:00"/>
    <n v="1712"/>
    <n v="16452"/>
    <s v="61314695"/>
    <s v="61314695"/>
    <m/>
    <m/>
    <n v="22796146"/>
    <m/>
    <m/>
    <m/>
    <s v="SOLPOA"/>
    <s v="SOLPOA"/>
    <s v="CCMS"/>
    <n v="21323291"/>
    <n v="13"/>
    <m/>
    <s v="N"/>
    <n v="1"/>
    <d v="2023-07-03T19:05:56"/>
    <s v="N"/>
    <s v="Non Expert Disbursement"/>
    <s v="Non Expert Disbursement"/>
    <s v="Non Expert Disbursement"/>
    <s v="Maria Chainani"/>
    <s v="N"/>
    <n v="13"/>
    <n v="0"/>
    <x v="3"/>
    <s v="VALIDATED"/>
    <n v="1"/>
    <s v="01.11.80.308.2012.0000"/>
    <n v="13"/>
    <s v="11"/>
    <s v="2012"/>
    <n v="4585.13"/>
    <n v="13"/>
    <s v="CREDITOR"/>
    <n v="13"/>
    <n v="0"/>
    <n v="0"/>
    <n v="0"/>
    <n v="0"/>
  </r>
  <r>
    <n v="60596979"/>
    <s v="N"/>
    <n v="21323426"/>
    <s v="3000014851030015"/>
    <s v="CIVIL"/>
    <d v="2023-06-30T00:00:00"/>
    <d v="2023-07-03T19:05:56"/>
    <m/>
    <d v="2023-07-03T00:00:00"/>
    <n v="1712"/>
    <n v="16452"/>
    <s v="60596979"/>
    <s v="60596979"/>
    <m/>
    <m/>
    <n v="22796620"/>
    <m/>
    <m/>
    <m/>
    <s v="SOLPOA"/>
    <s v="SOLPOA"/>
    <s v="CCMS"/>
    <n v="21323426"/>
    <n v="108.94"/>
    <m/>
    <s v="N"/>
    <n v="1"/>
    <d v="2023-07-03T19:05:57"/>
    <s v="N"/>
    <s v="Non Expert Disbursement - Private L"/>
    <s v="Non Expert Disbursement - Priv"/>
    <s v="Non Expert Disbursement"/>
    <s v="Sadia French"/>
    <s v="N"/>
    <n v="90.78"/>
    <n v="18.16"/>
    <x v="3"/>
    <s v="VALIDATED"/>
    <n v="1"/>
    <s v="01.11.80.307.2012.0000"/>
    <n v="90.78"/>
    <s v="11"/>
    <s v="2012"/>
    <n v="4585.13"/>
    <n v="90.78"/>
    <s v="CREDITOR"/>
    <n v="90.78"/>
    <n v="0"/>
    <n v="0"/>
    <n v="0"/>
    <n v="0"/>
  </r>
  <r>
    <n v="60070179"/>
    <s v="N"/>
    <n v="21318829"/>
    <s v="3000014404080019"/>
    <s v="CIVIL"/>
    <d v="2023-06-12T00:00:00"/>
    <d v="2023-07-03T19:01:49"/>
    <m/>
    <d v="2023-07-03T00:00:00"/>
    <n v="1712"/>
    <n v="16452"/>
    <s v="60070179"/>
    <s v="60070179"/>
    <m/>
    <m/>
    <n v="22666156"/>
    <m/>
    <m/>
    <m/>
    <s v="SOLFIN"/>
    <s v="SOLFIN"/>
    <s v="CCMS"/>
    <n v="21318829"/>
    <n v="14924.69"/>
    <m/>
    <s v="N"/>
    <n v="158"/>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38"/>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25"/>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131"/>
    <d v="2023-07-03T19:02:03"/>
    <s v="Y"/>
    <s v="Preparation - other"/>
    <s v="Care Remuneration Hourly Rates"/>
    <s v="Profit Cost"/>
    <s v="SF"/>
    <s v="Y"/>
    <n v="24.18"/>
    <n v="4.84"/>
    <x v="3"/>
    <s v="VALIDATED"/>
    <n v="1"/>
    <s v="01.11.80.308.6100.0000"/>
    <n v="24.18"/>
    <s v="11"/>
    <s v="6100"/>
    <n v="4585.13"/>
    <n v="24.18"/>
    <s v="CREDITOR"/>
    <n v="0"/>
    <n v="0"/>
    <n v="0"/>
    <n v="0"/>
    <n v="24.18"/>
  </r>
  <r>
    <n v="60070179"/>
    <s v="N"/>
    <n v="21318829"/>
    <s v="3000014404080019"/>
    <s v="CIVIL"/>
    <d v="2023-06-12T00:00:00"/>
    <d v="2023-07-03T19:01:49"/>
    <m/>
    <d v="2023-07-03T00:00:00"/>
    <n v="1712"/>
    <n v="16452"/>
    <s v="60070179"/>
    <s v="60070179"/>
    <m/>
    <m/>
    <n v="22666156"/>
    <m/>
    <m/>
    <m/>
    <s v="SOLFIN"/>
    <s v="SOLFIN"/>
    <s v="CCMS"/>
    <n v="21318829"/>
    <n v="14924.69"/>
    <m/>
    <s v="N"/>
    <n v="167"/>
    <d v="2023-07-03T19:02:03"/>
    <s v="Y"/>
    <s v="Routine Telephone Call"/>
    <s v="Care Remuneration Hourly Rates"/>
    <s v="Profit Cost"/>
    <s v="SF"/>
    <s v="Y"/>
    <n v="127.31"/>
    <n v="25.46"/>
    <x v="3"/>
    <s v="VALIDATED"/>
    <n v="1"/>
    <s v="01.11.80.308.6100.0000"/>
    <n v="127.31"/>
    <s v="11"/>
    <s v="6100"/>
    <n v="4585.13"/>
    <n v="127.31"/>
    <s v="CREDITOR"/>
    <n v="0"/>
    <n v="0"/>
    <n v="0"/>
    <n v="0"/>
    <n v="127.31"/>
  </r>
  <r>
    <n v="60070179"/>
    <s v="N"/>
    <n v="21318829"/>
    <s v="3000014404080019"/>
    <s v="CIVIL"/>
    <d v="2023-06-12T00:00:00"/>
    <d v="2023-07-03T19:01:49"/>
    <m/>
    <d v="2023-07-03T00:00:00"/>
    <n v="1712"/>
    <n v="16452"/>
    <s v="60070179"/>
    <s v="60070179"/>
    <m/>
    <m/>
    <n v="22666156"/>
    <m/>
    <m/>
    <m/>
    <s v="SOLFIN"/>
    <s v="SOLFIN"/>
    <s v="CCMS"/>
    <n v="21318829"/>
    <n v="14924.69"/>
    <m/>
    <s v="N"/>
    <n v="170"/>
    <d v="2023-07-03T19:02:03"/>
    <s v="Y"/>
    <s v="Routine Letter Out"/>
    <s v="Care Remuneration Hourly Rates"/>
    <s v="Profit Cost"/>
    <s v="OB"/>
    <s v="Y"/>
    <n v="232.47"/>
    <n v="46.49"/>
    <x v="3"/>
    <s v="VALIDATED"/>
    <n v="1"/>
    <s v="01.11.80.308.6100.0000"/>
    <n v="232.47"/>
    <s v="11"/>
    <s v="6100"/>
    <n v="4585.13"/>
    <n v="232.47"/>
    <s v="CREDITOR"/>
    <n v="0"/>
    <n v="0"/>
    <n v="0"/>
    <n v="0"/>
    <n v="232.47"/>
  </r>
  <r>
    <n v="60070179"/>
    <s v="N"/>
    <n v="21318829"/>
    <s v="3000014404080019"/>
    <s v="CIVIL"/>
    <d v="2023-06-12T00:00:00"/>
    <d v="2023-07-03T19:01:49"/>
    <m/>
    <d v="2023-07-03T00:00:00"/>
    <n v="1712"/>
    <n v="16452"/>
    <s v="60070179"/>
    <s v="60070179"/>
    <m/>
    <m/>
    <n v="22666156"/>
    <m/>
    <m/>
    <m/>
    <s v="SOLFIN"/>
    <s v="SOLFIN"/>
    <s v="CCMS"/>
    <n v="21318829"/>
    <n v="14924.69"/>
    <m/>
    <s v="N"/>
    <n v="64"/>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32"/>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49"/>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35"/>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53"/>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40"/>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31"/>
    <d v="2023-07-03T19:02:03"/>
    <s v="Y"/>
    <s v="Preparation - other"/>
    <s v="Care Remuneration Hourly Rates"/>
    <s v="Profit Cost"/>
    <s v="SF"/>
    <s v="Y"/>
    <n v="36.81"/>
    <n v="7.36"/>
    <x v="3"/>
    <s v="VALIDATED"/>
    <n v="1"/>
    <s v="01.11.80.308.6100.0000"/>
    <n v="36.81"/>
    <s v="11"/>
    <s v="6100"/>
    <n v="4585.13"/>
    <n v="36.81"/>
    <s v="CREDITOR"/>
    <n v="0"/>
    <n v="0"/>
    <n v="0"/>
    <n v="0"/>
    <n v="36.81"/>
  </r>
  <r>
    <n v="60070179"/>
    <s v="N"/>
    <n v="21318829"/>
    <s v="3000014404080019"/>
    <s v="CIVIL"/>
    <d v="2023-06-12T00:00:00"/>
    <d v="2023-07-03T19:01:49"/>
    <m/>
    <d v="2023-07-03T00:00:00"/>
    <n v="1712"/>
    <n v="16452"/>
    <s v="60070179"/>
    <s v="60070179"/>
    <m/>
    <m/>
    <n v="22666156"/>
    <m/>
    <m/>
    <m/>
    <s v="SOLFIN"/>
    <s v="SOLFIN"/>
    <s v="CCMS"/>
    <n v="21318829"/>
    <n v="14924.69"/>
    <m/>
    <s v="N"/>
    <n v="86"/>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8"/>
    <d v="2023-07-03T19:02:03"/>
    <s v="Y"/>
    <s v="Attendance upon client"/>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88"/>
    <d v="2023-07-03T19:02:03"/>
    <s v="Y"/>
    <s v="Attendance upon client"/>
    <s v="Care Remuneration Hourly Rates"/>
    <s v="Profit Cost"/>
    <s v="SF"/>
    <s v="Y"/>
    <n v="117.75"/>
    <n v="23.55"/>
    <x v="3"/>
    <s v="VALIDATED"/>
    <n v="1"/>
    <s v="01.11.80.308.6100.0000"/>
    <n v="117.75"/>
    <s v="11"/>
    <s v="6100"/>
    <n v="4585.13"/>
    <n v="117.75"/>
    <s v="CREDITOR"/>
    <n v="0"/>
    <n v="0"/>
    <n v="0"/>
    <n v="0"/>
    <n v="117.75"/>
  </r>
  <r>
    <n v="60070179"/>
    <s v="N"/>
    <n v="21318829"/>
    <s v="3000014404080019"/>
    <s v="CIVIL"/>
    <d v="2023-06-12T00:00:00"/>
    <d v="2023-07-03T19:01:49"/>
    <m/>
    <d v="2023-07-03T00:00:00"/>
    <n v="1712"/>
    <n v="16452"/>
    <s v="60070179"/>
    <s v="60070179"/>
    <m/>
    <m/>
    <n v="22666156"/>
    <m/>
    <m/>
    <m/>
    <s v="SOLFIN"/>
    <s v="SOLFIN"/>
    <s v="CCMS"/>
    <n v="21318829"/>
    <n v="14924.69"/>
    <m/>
    <s v="N"/>
    <n v="119"/>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181"/>
    <d v="2023-07-03T19:02:03"/>
    <s v="Y"/>
    <s v="Toxicologist"/>
    <s v="Care Remuneration Hourly Rates"/>
    <s v="Expert Disbursement"/>
    <s v="XXX"/>
    <s v="Y"/>
    <n v="106.25"/>
    <n v="21.25"/>
    <x v="3"/>
    <s v="VALIDATED"/>
    <n v="1"/>
    <s v="01.11.80.308.6300.0000"/>
    <n v="106.25"/>
    <s v="11"/>
    <s v="6300"/>
    <n v="4585.13"/>
    <n v="106.25"/>
    <s v="CREDITOR"/>
    <n v="0"/>
    <n v="0"/>
    <n v="0"/>
    <n v="0"/>
    <n v="106.25"/>
  </r>
  <r>
    <n v="60070179"/>
    <s v="N"/>
    <n v="21318829"/>
    <s v="3000014404080019"/>
    <s v="CIVIL"/>
    <d v="2023-06-12T00:00:00"/>
    <d v="2023-07-03T19:01:49"/>
    <m/>
    <d v="2023-07-03T00:00:00"/>
    <n v="1712"/>
    <n v="16452"/>
    <s v="60070179"/>
    <s v="60070179"/>
    <m/>
    <m/>
    <n v="22666156"/>
    <m/>
    <m/>
    <m/>
    <s v="SOLFIN"/>
    <s v="SOLFIN"/>
    <s v="CCMS"/>
    <n v="21318829"/>
    <n v="14924.69"/>
    <m/>
    <s v="N"/>
    <n v="48"/>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68"/>
    <d v="2023-07-03T19:02:03"/>
    <s v="Y"/>
    <s v="Preparation - other"/>
    <s v="Care Remuneration Hourly Rates"/>
    <s v="Profit Cost"/>
    <s v="SF"/>
    <s v="Y"/>
    <n v="110.4"/>
    <n v="22.08"/>
    <x v="3"/>
    <s v="VALIDATED"/>
    <n v="1"/>
    <s v="01.11.80.308.6100.0000"/>
    <n v="110.4"/>
    <s v="11"/>
    <s v="6100"/>
    <n v="4585.13"/>
    <n v="110.4"/>
    <s v="CREDITOR"/>
    <n v="0"/>
    <n v="0"/>
    <n v="0"/>
    <n v="0"/>
    <n v="110.4"/>
  </r>
  <r>
    <n v="60070179"/>
    <s v="N"/>
    <n v="21318829"/>
    <s v="3000014404080019"/>
    <s v="CIVIL"/>
    <d v="2023-06-12T00:00:00"/>
    <d v="2023-07-03T19:01:49"/>
    <m/>
    <d v="2023-07-03T00:00:00"/>
    <n v="1712"/>
    <n v="16452"/>
    <s v="60070179"/>
    <s v="60070179"/>
    <m/>
    <m/>
    <n v="22666156"/>
    <m/>
    <m/>
    <m/>
    <s v="SOLFIN"/>
    <s v="SOLFIN"/>
    <s v="CCMS"/>
    <n v="21318829"/>
    <n v="14924.69"/>
    <m/>
    <s v="N"/>
    <n v="180"/>
    <d v="2023-07-03T19:02:03"/>
    <s v="Y"/>
    <s v="Psychologist"/>
    <s v="Care Remuneration Hourly Rates"/>
    <s v="Expert Disbursement"/>
    <s v="XXX"/>
    <s v="Y"/>
    <n v="1548.3"/>
    <n v="0"/>
    <x v="3"/>
    <s v="VALIDATED"/>
    <n v="1"/>
    <s v="01.11.80.308.6300.0000"/>
    <n v="1548.3"/>
    <s v="11"/>
    <s v="6300"/>
    <n v="4585.13"/>
    <n v="1548.3"/>
    <s v="CREDITOR"/>
    <n v="0"/>
    <n v="0"/>
    <n v="0"/>
    <n v="0"/>
    <n v="1548.3"/>
  </r>
  <r>
    <n v="60070179"/>
    <s v="N"/>
    <n v="21318829"/>
    <s v="3000014404080019"/>
    <s v="CIVIL"/>
    <d v="2023-06-12T00:00:00"/>
    <d v="2023-07-03T19:01:49"/>
    <m/>
    <d v="2023-07-03T00:00:00"/>
    <n v="1712"/>
    <n v="16452"/>
    <s v="60070179"/>
    <s v="60070179"/>
    <m/>
    <m/>
    <n v="22666156"/>
    <m/>
    <m/>
    <m/>
    <s v="SOLFIN"/>
    <s v="SOLFIN"/>
    <s v="CCMS"/>
    <n v="21318829"/>
    <n v="14924.69"/>
    <m/>
    <s v="N"/>
    <n v="104"/>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29"/>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30"/>
    <d v="2023-07-03T19:02:03"/>
    <s v="Y"/>
    <s v="Attendance upon client"/>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25"/>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50"/>
    <d v="2023-07-03T19:02:03"/>
    <s v="Y"/>
    <s v="Preparation - other"/>
    <s v="Care Remuneration Hourly Rates"/>
    <s v="Profit Cost"/>
    <s v="SF"/>
    <s v="Y"/>
    <n v="80.95999999999999"/>
    <n v="16.19"/>
    <x v="3"/>
    <s v="VALIDATED"/>
    <n v="1"/>
    <s v="01.11.80.308.6100.0000"/>
    <n v="80.95999999999999"/>
    <s v="11"/>
    <s v="6100"/>
    <n v="4585.13"/>
    <n v="80.95999999999999"/>
    <s v="CREDITOR"/>
    <n v="0"/>
    <n v="0"/>
    <n v="0"/>
    <n v="0"/>
    <n v="80.95999999999999"/>
  </r>
  <r>
    <n v="60070179"/>
    <s v="N"/>
    <n v="21318829"/>
    <s v="3000014404080019"/>
    <s v="CIVIL"/>
    <d v="2023-06-12T00:00:00"/>
    <d v="2023-07-03T19:01:49"/>
    <m/>
    <d v="2023-07-03T00:00:00"/>
    <n v="1712"/>
    <n v="16452"/>
    <s v="60070179"/>
    <s v="60070179"/>
    <m/>
    <m/>
    <n v="22666156"/>
    <m/>
    <m/>
    <m/>
    <s v="SOLFIN"/>
    <s v="SOLFIN"/>
    <s v="CCMS"/>
    <n v="21318829"/>
    <n v="14924.69"/>
    <m/>
    <s v="N"/>
    <n v="123"/>
    <d v="2023-07-03T19:02:03"/>
    <s v="Y"/>
    <s v="Preparation - drafting statement"/>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172"/>
    <d v="2023-07-03T19:02:03"/>
    <s v="Y"/>
    <s v="Routine Letter In"/>
    <s v="Care Remuneration Hourly Rates"/>
    <s v="Profit Cost"/>
    <s v="OB"/>
    <s v="Y"/>
    <n v="251.6"/>
    <n v="50.32"/>
    <x v="3"/>
    <s v="VALIDATED"/>
    <n v="1"/>
    <s v="01.11.80.308.6100.0000"/>
    <n v="251.6"/>
    <s v="11"/>
    <s v="6100"/>
    <n v="4585.13"/>
    <n v="251.6"/>
    <s v="CREDITOR"/>
    <n v="0"/>
    <n v="0"/>
    <n v="0"/>
    <n v="0"/>
    <n v="251.6"/>
  </r>
  <r>
    <n v="60070179"/>
    <s v="N"/>
    <n v="21318829"/>
    <s v="3000014404080019"/>
    <s v="CIVIL"/>
    <d v="2023-06-12T00:00:00"/>
    <d v="2023-07-03T19:01:49"/>
    <m/>
    <d v="2023-07-03T00:00:00"/>
    <n v="1712"/>
    <n v="16452"/>
    <s v="60070179"/>
    <s v="60070179"/>
    <m/>
    <m/>
    <n v="22666156"/>
    <m/>
    <m/>
    <m/>
    <s v="SOLFIN"/>
    <s v="SOLFIN"/>
    <s v="CCMS"/>
    <n v="21318829"/>
    <n v="14924.69"/>
    <m/>
    <s v="N"/>
    <n v="79"/>
    <d v="2023-07-03T19:02:03"/>
    <s v="Y"/>
    <s v="Preparation - other"/>
    <s v="Care Remuneration Hourly Rates"/>
    <s v="Profit Cost"/>
    <s v="SF"/>
    <s v="Y"/>
    <n v="29.44"/>
    <n v="5.89"/>
    <x v="3"/>
    <s v="VALIDATED"/>
    <n v="1"/>
    <s v="01.11.80.308.6100.0000"/>
    <n v="29.44"/>
    <s v="11"/>
    <s v="6100"/>
    <n v="4585.13"/>
    <n v="29.44"/>
    <s v="CREDITOR"/>
    <n v="0"/>
    <n v="0"/>
    <n v="0"/>
    <n v="0"/>
    <n v="29.44"/>
  </r>
  <r>
    <n v="61077905"/>
    <s v="N"/>
    <n v="21323829"/>
    <s v="3000015273450010"/>
    <s v="CIVIL"/>
    <d v="2023-06-30T00:00:00"/>
    <d v="2023-07-03T19:05:56"/>
    <m/>
    <d v="2023-07-03T00:00:00"/>
    <n v="1712"/>
    <n v="16452"/>
    <s v="61077905"/>
    <s v="61077905"/>
    <m/>
    <m/>
    <n v="22795526"/>
    <m/>
    <m/>
    <m/>
    <s v="SOLPOA"/>
    <s v="SOLPOA"/>
    <s v="CCMS"/>
    <n v="21323829"/>
    <n v="226.8"/>
    <m/>
    <s v="N"/>
    <n v="1"/>
    <d v="2023-07-03T19:05:59"/>
    <s v="N"/>
    <s v="Expert Cost"/>
    <s v="Expert Cost"/>
    <s v="Expert Disbursement"/>
    <s v="Maria Chainani"/>
    <s v="N"/>
    <n v="189"/>
    <n v="37.8"/>
    <x v="3"/>
    <s v="VALIDATED"/>
    <n v="1"/>
    <s v="01.11.80.308.2012.0000"/>
    <n v="189"/>
    <s v="11"/>
    <s v="2012"/>
    <n v="4585.13"/>
    <n v="189"/>
    <s v="CREDITOR"/>
    <n v="189"/>
    <n v="0"/>
    <n v="0"/>
    <n v="0"/>
    <n v="0"/>
  </r>
  <r>
    <n v="61513184"/>
    <s v="N"/>
    <n v="21323256"/>
    <s v="3000015634640006"/>
    <s v="CIVIL"/>
    <d v="2023-06-30T00:00:00"/>
    <d v="2023-07-03T19:05:56"/>
    <m/>
    <d v="2023-07-03T00:00:00"/>
    <n v="1712"/>
    <n v="16452"/>
    <s v="61513184"/>
    <s v="61513184"/>
    <m/>
    <m/>
    <n v="22796274"/>
    <m/>
    <m/>
    <m/>
    <s v="SOLPOA"/>
    <s v="SOLPOA"/>
    <s v="CCMS"/>
    <n v="21323256"/>
    <n v="20.09"/>
    <m/>
    <s v="N"/>
    <n v="1"/>
    <d v="2023-07-03T19:05:56"/>
    <s v="N"/>
    <s v="Non Expert Disbursement"/>
    <s v="Non Expert Disbursement"/>
    <s v="Non Expert Disbursement"/>
    <s v="Maria Chainani"/>
    <s v="N"/>
    <n v="16.74"/>
    <n v="3.35"/>
    <x v="3"/>
    <s v="VALIDATED"/>
    <n v="1"/>
    <s v="01.11.80.308.2012.0000"/>
    <n v="16.74"/>
    <s v="11"/>
    <s v="2012"/>
    <n v="4585.13"/>
    <n v="16.74"/>
    <s v="CREDITOR"/>
    <n v="16.74"/>
    <n v="0"/>
    <n v="0"/>
    <n v="0"/>
    <n v="0"/>
  </r>
  <r>
    <n v="60070179"/>
    <s v="N"/>
    <n v="21318829"/>
    <s v="3000014404080019"/>
    <s v="CIVIL"/>
    <d v="2023-06-12T00:00:00"/>
    <d v="2023-07-03T19:01:49"/>
    <m/>
    <d v="2023-07-03T00:00:00"/>
    <n v="1712"/>
    <n v="16452"/>
    <s v="60070179"/>
    <s v="60070179"/>
    <m/>
    <m/>
    <n v="22666156"/>
    <m/>
    <m/>
    <m/>
    <s v="SOLFIN"/>
    <s v="SOLFIN"/>
    <s v="CCMS"/>
    <n v="21318829"/>
    <n v="14924.69"/>
    <m/>
    <s v="N"/>
    <n v="78"/>
    <d v="2023-07-03T19:02:03"/>
    <s v="Y"/>
    <s v="Preparation - other"/>
    <s v="Care Remuneration Hourly Rates"/>
    <s v="Profit Cost"/>
    <s v="SF"/>
    <s v="Y"/>
    <n v="7.36"/>
    <n v="1.47"/>
    <x v="3"/>
    <s v="VALIDATED"/>
    <n v="1"/>
    <s v="01.11.80.308.6100.0000"/>
    <n v="7.36"/>
    <s v="11"/>
    <s v="6100"/>
    <n v="4585.13"/>
    <n v="7.36"/>
    <s v="CREDITOR"/>
    <n v="0"/>
    <n v="0"/>
    <n v="0"/>
    <n v="0"/>
    <n v="7.36"/>
  </r>
  <r>
    <n v="61062540"/>
    <s v="N"/>
    <n v="21323517"/>
    <s v="3000015260060016"/>
    <s v="CIVIL"/>
    <d v="2023-06-30T00:00:00"/>
    <d v="2023-07-03T19:05:56"/>
    <m/>
    <d v="2023-07-03T00:00:00"/>
    <n v="1712"/>
    <n v="16452"/>
    <s v="61062540"/>
    <s v="61062540"/>
    <m/>
    <m/>
    <n v="22795878"/>
    <m/>
    <m/>
    <m/>
    <s v="SOLPOA"/>
    <s v="SOLPOA"/>
    <s v="CCMS"/>
    <n v="21323517"/>
    <n v="20.56"/>
    <m/>
    <s v="N"/>
    <n v="1"/>
    <d v="2023-07-03T19:05:57"/>
    <s v="N"/>
    <s v="Non Expert Disbursement"/>
    <s v="Non Expert Disbursement"/>
    <s v="Non Expert Disbursement"/>
    <s v="Sadia French"/>
    <s v="N"/>
    <n v="20.56"/>
    <n v="0"/>
    <x v="3"/>
    <s v="VALIDATED"/>
    <n v="1"/>
    <s v="01.11.80.308.2012.0000"/>
    <n v="20.56"/>
    <s v="11"/>
    <s v="2012"/>
    <n v="4585.13"/>
    <n v="20.56"/>
    <s v="CREDITOR"/>
    <n v="20.56"/>
    <n v="0"/>
    <n v="0"/>
    <n v="0"/>
    <n v="0"/>
  </r>
  <r>
    <n v="60070179"/>
    <s v="N"/>
    <n v="21318829"/>
    <s v="3000014404080019"/>
    <s v="CIVIL"/>
    <d v="2023-06-12T00:00:00"/>
    <d v="2023-07-03T19:01:49"/>
    <m/>
    <d v="2023-07-03T00:00:00"/>
    <n v="1712"/>
    <n v="16452"/>
    <s v="60070179"/>
    <s v="60070179"/>
    <m/>
    <m/>
    <n v="22666156"/>
    <m/>
    <m/>
    <m/>
    <s v="SOLFIN"/>
    <s v="SOLFIN"/>
    <s v="CCMS"/>
    <n v="21318829"/>
    <n v="14924.69"/>
    <m/>
    <s v="N"/>
    <n v="154"/>
    <d v="2023-07-03T19:02:03"/>
    <s v="Y"/>
    <s v="Preparation - other"/>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157"/>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148"/>
    <d v="2023-07-03T19:02:03"/>
    <s v="Y"/>
    <s v="Preparation - other"/>
    <s v="Care Remuneration Hourly Rates"/>
    <s v="Profit Cost"/>
    <s v="SF"/>
    <s v="Y"/>
    <n v="110.4"/>
    <n v="22.08"/>
    <x v="3"/>
    <s v="VALIDATED"/>
    <n v="1"/>
    <s v="01.11.80.308.6100.0000"/>
    <n v="110.4"/>
    <s v="11"/>
    <s v="6100"/>
    <n v="4585.13"/>
    <n v="110.4"/>
    <s v="CREDITOR"/>
    <n v="0"/>
    <n v="0"/>
    <n v="0"/>
    <n v="0"/>
    <n v="110.4"/>
  </r>
  <r>
    <n v="60070179"/>
    <s v="N"/>
    <n v="21318829"/>
    <s v="3000014404080019"/>
    <s v="CIVIL"/>
    <d v="2023-06-12T00:00:00"/>
    <d v="2023-07-03T19:01:49"/>
    <m/>
    <d v="2023-07-03T00:00:00"/>
    <n v="1712"/>
    <n v="16452"/>
    <s v="60070179"/>
    <s v="60070179"/>
    <m/>
    <m/>
    <n v="22666156"/>
    <m/>
    <m/>
    <m/>
    <s v="SOLFIN"/>
    <s v="SOLFIN"/>
    <s v="CCMS"/>
    <n v="21318829"/>
    <n v="14924.69"/>
    <m/>
    <s v="N"/>
    <n v="136"/>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0"/>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142"/>
    <d v="2023-07-03T19:02:03"/>
    <s v="Y"/>
    <s v="Preparation - other"/>
    <s v="Care Remuneration Hourly Rates"/>
    <s v="Profit Cost"/>
    <s v="SF"/>
    <s v="Y"/>
    <n v="242.87"/>
    <n v="48.57"/>
    <x v="3"/>
    <s v="VALIDATED"/>
    <n v="1"/>
    <s v="01.11.80.308.6100.0000"/>
    <n v="242.87"/>
    <s v="11"/>
    <s v="6100"/>
    <n v="4585.13"/>
    <n v="242.87"/>
    <s v="CREDITOR"/>
    <n v="0"/>
    <n v="0"/>
    <n v="0"/>
    <n v="0"/>
    <n v="242.87"/>
  </r>
  <r>
    <n v="60070179"/>
    <s v="N"/>
    <n v="21318829"/>
    <s v="3000014404080019"/>
    <s v="CIVIL"/>
    <d v="2023-06-12T00:00:00"/>
    <d v="2023-07-03T19:01:49"/>
    <m/>
    <d v="2023-07-03T00:00:00"/>
    <n v="1712"/>
    <n v="16452"/>
    <s v="60070179"/>
    <s v="60070179"/>
    <m/>
    <m/>
    <n v="22666156"/>
    <m/>
    <m/>
    <m/>
    <s v="SOLFIN"/>
    <s v="SOLFIN"/>
    <s v="CCMS"/>
    <n v="21318829"/>
    <n v="14924.69"/>
    <m/>
    <s v="N"/>
    <n v="90"/>
    <d v="2023-07-03T19:02:03"/>
    <s v="Y"/>
    <s v="Preparation - other"/>
    <s v="Care Remuneration Hourly Rates"/>
    <s v="Profit Cost"/>
    <s v="SF"/>
    <s v="Y"/>
    <n v="125.12"/>
    <n v="25.02"/>
    <x v="3"/>
    <s v="VALIDATED"/>
    <n v="1"/>
    <s v="01.11.80.308.6100.0000"/>
    <n v="125.12"/>
    <s v="11"/>
    <s v="6100"/>
    <n v="4585.13"/>
    <n v="125.12"/>
    <s v="CREDITOR"/>
    <n v="0"/>
    <n v="0"/>
    <n v="0"/>
    <n v="0"/>
    <n v="125.12"/>
  </r>
  <r>
    <n v="60070179"/>
    <s v="N"/>
    <n v="21318829"/>
    <s v="3000014404080019"/>
    <s v="CIVIL"/>
    <d v="2023-06-12T00:00:00"/>
    <d v="2023-07-03T19:01:49"/>
    <m/>
    <d v="2023-07-03T00:00:00"/>
    <n v="1712"/>
    <n v="16452"/>
    <s v="60070179"/>
    <s v="60070179"/>
    <m/>
    <m/>
    <n v="22666156"/>
    <m/>
    <m/>
    <m/>
    <s v="SOLFIN"/>
    <s v="SOLFIN"/>
    <s v="CCMS"/>
    <n v="21318829"/>
    <n v="14924.69"/>
    <m/>
    <s v="N"/>
    <n v="57"/>
    <d v="2023-07-03T19:02:03"/>
    <s v="Y"/>
    <s v="Attendance upon client"/>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58"/>
    <d v="2023-07-03T19:02:03"/>
    <s v="Y"/>
    <s v="Attendance upon client"/>
    <s v="Care Remuneration Hourly Rates"/>
    <s v="Profit Cost"/>
    <s v="SF"/>
    <s v="Y"/>
    <n v="36.81"/>
    <n v="7.36"/>
    <x v="3"/>
    <s v="VALIDATED"/>
    <n v="1"/>
    <s v="01.11.80.308.6100.0000"/>
    <n v="36.81"/>
    <s v="11"/>
    <s v="6100"/>
    <n v="4585.13"/>
    <n v="36.81"/>
    <s v="CREDITOR"/>
    <n v="0"/>
    <n v="0"/>
    <n v="0"/>
    <n v="0"/>
    <n v="36.81"/>
  </r>
  <r>
    <n v="60070179"/>
    <s v="N"/>
    <n v="21318829"/>
    <s v="3000014404080019"/>
    <s v="CIVIL"/>
    <d v="2023-06-12T00:00:00"/>
    <d v="2023-07-03T19:01:49"/>
    <m/>
    <d v="2023-07-03T00:00:00"/>
    <n v="1712"/>
    <n v="16452"/>
    <s v="60070179"/>
    <s v="60070179"/>
    <m/>
    <m/>
    <n v="22666156"/>
    <m/>
    <m/>
    <m/>
    <s v="SOLFIN"/>
    <s v="SOLFIN"/>
    <s v="CCMS"/>
    <n v="21318829"/>
    <n v="14924.69"/>
    <m/>
    <s v="N"/>
    <n v="93"/>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165"/>
    <d v="2023-07-03T19:02:03"/>
    <s v="Y"/>
    <s v="Preparation - drafting bill/claim f"/>
    <s v="Care Remuneration Hourly Rates"/>
    <s v="Profit Cost"/>
    <s v="CD"/>
    <s v="Y"/>
    <n v="620.33"/>
    <n v="124.06"/>
    <x v="3"/>
    <s v="VALIDATED"/>
    <n v="1"/>
    <s v="01.11.80.308.6100.0000"/>
    <n v="620.33"/>
    <s v="11"/>
    <s v="6100"/>
    <n v="4585.13"/>
    <n v="620.33"/>
    <s v="CREDITOR"/>
    <n v="0"/>
    <n v="0"/>
    <n v="0"/>
    <n v="0"/>
    <n v="620.33"/>
  </r>
  <r>
    <n v="60070179"/>
    <s v="N"/>
    <n v="21318829"/>
    <s v="3000014404080019"/>
    <s v="CIVIL"/>
    <d v="2023-06-12T00:00:00"/>
    <d v="2023-07-03T19:01:49"/>
    <m/>
    <d v="2023-07-03T00:00:00"/>
    <n v="1712"/>
    <n v="16452"/>
    <s v="60070179"/>
    <s v="60070179"/>
    <m/>
    <m/>
    <n v="22666156"/>
    <m/>
    <m/>
    <m/>
    <s v="SOLFIN"/>
    <s v="SOLFIN"/>
    <s v="CCMS"/>
    <n v="21318829"/>
    <n v="14924.69"/>
    <m/>
    <s v="N"/>
    <n v="173"/>
    <d v="2023-07-03T19:02:03"/>
    <s v="N"/>
    <s v="Solicitors Fixed Fee"/>
    <s v="Public Law Children"/>
    <s v="Profit Cost"/>
    <s v="XXX"/>
    <s v="N"/>
    <n v="0"/>
    <n v="0"/>
    <x v="3"/>
    <s v="VALIDATED"/>
    <n v="1"/>
    <s v="01.11.80.308.6100.0000"/>
    <n v="0"/>
    <s v="11"/>
    <s v="6100"/>
    <n v="4585.13"/>
    <n v="0"/>
    <s v="CREDITOR"/>
    <n v="0"/>
    <n v="0"/>
    <n v="0"/>
    <n v="0"/>
    <n v="0"/>
  </r>
  <r>
    <n v="60070179"/>
    <s v="N"/>
    <n v="21318829"/>
    <s v="3000014404080019"/>
    <s v="CIVIL"/>
    <d v="2023-06-12T00:00:00"/>
    <d v="2023-07-03T19:01:49"/>
    <m/>
    <d v="2023-07-03T00:00:00"/>
    <n v="1712"/>
    <n v="16452"/>
    <s v="60070179"/>
    <s v="60070179"/>
    <m/>
    <m/>
    <n v="22666156"/>
    <m/>
    <m/>
    <m/>
    <s v="SOLFIN"/>
    <s v="SOLFIN"/>
    <s v="CCMS"/>
    <n v="21318829"/>
    <n v="14924.69"/>
    <m/>
    <s v="N"/>
    <n v="106"/>
    <d v="2023-07-03T19:02:03"/>
    <s v="Y"/>
    <s v="Preparation - other"/>
    <s v="Care Remuneration Hourly Rates"/>
    <s v="Profit Cost"/>
    <s v="SF"/>
    <s v="Y"/>
    <n v="18.14"/>
    <n v="3.63"/>
    <x v="3"/>
    <s v="VALIDATED"/>
    <n v="1"/>
    <s v="01.11.80.308.6100.0000"/>
    <n v="18.14"/>
    <s v="11"/>
    <s v="6100"/>
    <n v="4585.13"/>
    <n v="18.14"/>
    <s v="CREDITOR"/>
    <n v="0"/>
    <n v="0"/>
    <n v="0"/>
    <n v="0"/>
    <n v="18.14"/>
  </r>
  <r>
    <n v="60070179"/>
    <s v="N"/>
    <n v="21318829"/>
    <s v="3000014404080019"/>
    <s v="CIVIL"/>
    <d v="2023-06-12T00:00:00"/>
    <d v="2023-07-03T19:01:49"/>
    <m/>
    <d v="2023-07-03T00:00:00"/>
    <n v="1712"/>
    <n v="16452"/>
    <s v="60070179"/>
    <s v="60070179"/>
    <m/>
    <m/>
    <n v="22666156"/>
    <m/>
    <m/>
    <m/>
    <s v="SOLFIN"/>
    <s v="SOLFIN"/>
    <s v="CCMS"/>
    <n v="21318829"/>
    <n v="14924.69"/>
    <m/>
    <s v="N"/>
    <n v="19"/>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22"/>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62"/>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94"/>
    <d v="2023-07-03T19:02:03"/>
    <s v="Y"/>
    <s v="Attendance upon client"/>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102"/>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64"/>
    <d v="2023-07-03T19:02:03"/>
    <s v="Y"/>
    <s v="Preparation - other"/>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89"/>
    <d v="2023-07-03T19:02:03"/>
    <s v="Y"/>
    <s v="Preparation - other"/>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24"/>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83"/>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96"/>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27"/>
    <d v="2023-07-03T19:02:03"/>
    <s v="Y"/>
    <s v="Preparation - other"/>
    <s v="Care Remuneration Hourly Rates"/>
    <s v="Profit Cost"/>
    <s v="SF"/>
    <s v="Y"/>
    <n v="66.23"/>
    <n v="13.25"/>
    <x v="3"/>
    <s v="VALIDATED"/>
    <n v="1"/>
    <s v="01.11.80.308.6100.0000"/>
    <n v="66.23"/>
    <s v="11"/>
    <s v="6100"/>
    <n v="4585.13"/>
    <n v="66.23"/>
    <s v="CREDITOR"/>
    <n v="0"/>
    <n v="0"/>
    <n v="0"/>
    <n v="0"/>
    <n v="66.23"/>
  </r>
  <r>
    <n v="60070179"/>
    <s v="N"/>
    <n v="21318829"/>
    <s v="3000014404080019"/>
    <s v="CIVIL"/>
    <d v="2023-06-12T00:00:00"/>
    <d v="2023-07-03T19:01:49"/>
    <m/>
    <d v="2023-07-03T00:00:00"/>
    <n v="1712"/>
    <n v="16452"/>
    <s v="60070179"/>
    <s v="60070179"/>
    <m/>
    <m/>
    <n v="22666156"/>
    <m/>
    <m/>
    <m/>
    <s v="SOLFIN"/>
    <s v="SOLFIN"/>
    <s v="CCMS"/>
    <n v="21318829"/>
    <n v="14924.69"/>
    <m/>
    <s v="N"/>
    <n v="134"/>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50"/>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54"/>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80"/>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76"/>
    <d v="2023-07-03T19:02:03"/>
    <s v="Y"/>
    <s v="Solicitor Travel Expenses"/>
    <s v="Care Remuneration Hourly Rates"/>
    <s v="Non Expert Disbursement"/>
    <s v="MC"/>
    <s v="Y"/>
    <n v="5.83"/>
    <n v="1.17"/>
    <x v="3"/>
    <s v="VALIDATED"/>
    <n v="1"/>
    <s v="01.11.80.308.6300.0000"/>
    <n v="5.83"/>
    <s v="11"/>
    <s v="6300"/>
    <n v="4585.13"/>
    <n v="5.83"/>
    <s v="CREDITOR"/>
    <n v="0"/>
    <n v="0"/>
    <n v="0"/>
    <n v="0"/>
    <n v="5.83"/>
  </r>
  <r>
    <n v="60070179"/>
    <s v="N"/>
    <n v="21318829"/>
    <s v="3000014404080019"/>
    <s v="CIVIL"/>
    <d v="2023-06-12T00:00:00"/>
    <d v="2023-07-03T19:01:49"/>
    <m/>
    <d v="2023-07-03T00:00:00"/>
    <n v="1712"/>
    <n v="16452"/>
    <s v="60070179"/>
    <s v="60070179"/>
    <m/>
    <m/>
    <n v="22666156"/>
    <m/>
    <m/>
    <m/>
    <s v="SOLFIN"/>
    <s v="SOLFIN"/>
    <s v="CCMS"/>
    <n v="21318829"/>
    <n v="14924.69"/>
    <m/>
    <s v="N"/>
    <n v="87"/>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03"/>
    <d v="2023-07-03T19:02:03"/>
    <s v="Y"/>
    <s v="Preparation - drafting consent orde"/>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68"/>
    <d v="2023-07-03T19:02:03"/>
    <s v="Y"/>
    <s v="Routine Telephone Call"/>
    <s v="Care Remuneration Hourly Rates"/>
    <s v="Profit Cost"/>
    <s v="EM"/>
    <s v="Y"/>
    <n v="55.35"/>
    <n v="11.07"/>
    <x v="3"/>
    <s v="VALIDATED"/>
    <n v="1"/>
    <s v="01.11.80.308.6100.0000"/>
    <n v="55.35"/>
    <s v="11"/>
    <s v="6100"/>
    <n v="4585.13"/>
    <n v="55.35"/>
    <s v="CREDITOR"/>
    <n v="0"/>
    <n v="0"/>
    <n v="0"/>
    <n v="0"/>
    <n v="55.35"/>
  </r>
  <r>
    <n v="60070179"/>
    <s v="N"/>
    <n v="21318829"/>
    <s v="3000014404080019"/>
    <s v="CIVIL"/>
    <d v="2023-06-12T00:00:00"/>
    <d v="2023-07-03T19:01:49"/>
    <m/>
    <d v="2023-07-03T00:00:00"/>
    <n v="1712"/>
    <n v="16452"/>
    <s v="60070179"/>
    <s v="60070179"/>
    <m/>
    <m/>
    <n v="22666156"/>
    <m/>
    <m/>
    <m/>
    <s v="SOLFIN"/>
    <s v="SOLFIN"/>
    <s v="CCMS"/>
    <n v="21318829"/>
    <n v="14924.69"/>
    <m/>
    <s v="N"/>
    <n v="171"/>
    <d v="2023-07-03T19:02:03"/>
    <s v="Y"/>
    <s v="Routine Letter In"/>
    <s v="Care Remuneration Hourly Rates"/>
    <s v="Profit Cost"/>
    <s v="SF"/>
    <s v="Y"/>
    <n v="919.08"/>
    <n v="183.81"/>
    <x v="3"/>
    <s v="VALIDATED"/>
    <n v="1"/>
    <s v="01.11.80.308.6100.0000"/>
    <n v="919.08"/>
    <s v="11"/>
    <s v="6100"/>
    <n v="4585.13"/>
    <n v="919.08"/>
    <s v="CREDITOR"/>
    <n v="0"/>
    <n v="0"/>
    <n v="0"/>
    <n v="0"/>
    <n v="919.08"/>
  </r>
  <r>
    <n v="60070179"/>
    <s v="N"/>
    <n v="21318829"/>
    <s v="3000014404080019"/>
    <s v="CIVIL"/>
    <d v="2023-06-12T00:00:00"/>
    <d v="2023-07-03T19:01:49"/>
    <m/>
    <d v="2023-07-03T00:00:00"/>
    <n v="1712"/>
    <n v="16452"/>
    <s v="60070179"/>
    <s v="60070179"/>
    <m/>
    <m/>
    <n v="22666156"/>
    <m/>
    <m/>
    <m/>
    <s v="SOLFIN"/>
    <s v="SOLFIN"/>
    <s v="CCMS"/>
    <n v="21318829"/>
    <n v="14924.69"/>
    <m/>
    <s v="N"/>
    <n v="85"/>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41"/>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16"/>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24"/>
    <d v="2023-07-03T19:02:03"/>
    <s v="Y"/>
    <s v="Attendance upon client"/>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5"/>
    <d v="2023-07-03T19:02:03"/>
    <s v="Y"/>
    <s v="Preparation - other"/>
    <s v="Care Remuneration Hourly Rates"/>
    <s v="Profit Cost"/>
    <s v="SF"/>
    <s v="Y"/>
    <n v="7.36"/>
    <n v="1.47"/>
    <x v="3"/>
    <s v="VALIDATED"/>
    <n v="1"/>
    <s v="01.11.80.308.6100.0000"/>
    <n v="7.36"/>
    <s v="11"/>
    <s v="6100"/>
    <n v="4585.13"/>
    <n v="7.36"/>
    <s v="CREDITOR"/>
    <n v="0"/>
    <n v="0"/>
    <n v="0"/>
    <n v="0"/>
    <n v="7.36"/>
  </r>
  <r>
    <n v="62147269"/>
    <s v="N"/>
    <n v="21322823"/>
    <s v="3000016166350005"/>
    <s v="CIVIL"/>
    <d v="2023-06-29T00:00:00"/>
    <d v="2023-07-03T19:05:36"/>
    <m/>
    <d v="2023-07-03T00:00:00"/>
    <n v="1712"/>
    <n v="16452"/>
    <s v="62147269"/>
    <s v="62147269"/>
    <m/>
    <m/>
    <n v="22793340"/>
    <m/>
    <m/>
    <m/>
    <s v="SOLPOA"/>
    <s v="SOLPOA"/>
    <s v="CCMS"/>
    <n v="21322823"/>
    <n v="21.6"/>
    <m/>
    <s v="N"/>
    <n v="1"/>
    <d v="2023-07-03T19:05:40"/>
    <s v="N"/>
    <s v="Non Expert Disbursement"/>
    <s v="Non Expert Disbursement"/>
    <s v="Non Expert Disbursement"/>
    <s v="Maria Chainani"/>
    <s v="N"/>
    <n v="18"/>
    <n v="3.6"/>
    <x v="3"/>
    <s v="VALIDATED"/>
    <n v="1"/>
    <s v="01.11.80.308.2012.0000"/>
    <n v="18"/>
    <s v="11"/>
    <s v="2012"/>
    <n v="4585.13"/>
    <n v="18"/>
    <s v="CREDITOR"/>
    <n v="18"/>
    <n v="0"/>
    <n v="0"/>
    <n v="0"/>
    <n v="0"/>
  </r>
  <r>
    <n v="60070179"/>
    <s v="N"/>
    <n v="21318829"/>
    <s v="3000014404080019"/>
    <s v="CIVIL"/>
    <d v="2023-06-12T00:00:00"/>
    <d v="2023-07-03T19:01:49"/>
    <m/>
    <d v="2023-07-03T00:00:00"/>
    <n v="1712"/>
    <n v="16452"/>
    <s v="60070179"/>
    <s v="60070179"/>
    <m/>
    <m/>
    <n v="22666156"/>
    <m/>
    <m/>
    <m/>
    <s v="SOLFIN"/>
    <s v="SOLFIN"/>
    <s v="CCMS"/>
    <n v="21318829"/>
    <n v="14924.69"/>
    <m/>
    <s v="N"/>
    <n v="17"/>
    <d v="2023-07-03T19:02:03"/>
    <s v="Y"/>
    <s v="Preparation - drafting instructions"/>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66"/>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15"/>
    <d v="2023-07-03T19:02:03"/>
    <s v="Y"/>
    <s v="Preparation - drafting instructions"/>
    <s v="Care Remuneration Hourly Rates"/>
    <s v="Profit Cost"/>
    <s v="SF"/>
    <s v="Y"/>
    <n v="36.81"/>
    <n v="7.36"/>
    <x v="3"/>
    <s v="VALIDATED"/>
    <n v="1"/>
    <s v="01.11.80.308.6100.0000"/>
    <n v="36.81"/>
    <s v="11"/>
    <s v="6100"/>
    <n v="4585.13"/>
    <n v="36.81"/>
    <s v="CREDITOR"/>
    <n v="0"/>
    <n v="0"/>
    <n v="0"/>
    <n v="0"/>
    <n v="36.81"/>
  </r>
  <r>
    <n v="60070179"/>
    <s v="N"/>
    <n v="21318829"/>
    <s v="3000014404080019"/>
    <s v="CIVIL"/>
    <d v="2023-06-12T00:00:00"/>
    <d v="2023-07-03T19:01:49"/>
    <m/>
    <d v="2023-07-03T00:00:00"/>
    <n v="1712"/>
    <n v="16452"/>
    <s v="60070179"/>
    <s v="60070179"/>
    <m/>
    <m/>
    <n v="22666156"/>
    <m/>
    <m/>
    <m/>
    <s v="SOLFIN"/>
    <s v="SOLFIN"/>
    <s v="CCMS"/>
    <n v="21318829"/>
    <n v="14924.69"/>
    <m/>
    <s v="N"/>
    <n v="4"/>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45"/>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56"/>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86"/>
    <d v="2023-07-03T19:02:03"/>
    <s v="Y"/>
    <s v="Interim Hearing Court Bundle/Advoca"/>
    <s v="Public Law Children"/>
    <s v="Advocacy"/>
    <s v="MC"/>
    <s v="Y"/>
    <n v="89.09999999999999"/>
    <n v="17.82"/>
    <x v="3"/>
    <s v="VALIDATED"/>
    <n v="1"/>
    <s v="01.11.80.308.6100.0000"/>
    <n v="89.09999999999999"/>
    <s v="11"/>
    <s v="6100"/>
    <n v="4585.13"/>
    <n v="89.09999999999999"/>
    <s v="CREDITOR"/>
    <n v="0"/>
    <n v="0"/>
    <n v="0"/>
    <n v="0"/>
    <n v="89.09999999999999"/>
  </r>
  <r>
    <n v="60070179"/>
    <s v="N"/>
    <n v="21318829"/>
    <s v="3000014404080019"/>
    <s v="CIVIL"/>
    <d v="2023-06-12T00:00:00"/>
    <d v="2023-07-03T19:01:49"/>
    <m/>
    <d v="2023-07-03T00:00:00"/>
    <n v="1712"/>
    <n v="16452"/>
    <s v="60070179"/>
    <s v="60070179"/>
    <m/>
    <m/>
    <n v="22666156"/>
    <m/>
    <m/>
    <m/>
    <s v="SOLFIN"/>
    <s v="SOLFIN"/>
    <s v="CCMS"/>
    <n v="21318829"/>
    <n v="14924.69"/>
    <m/>
    <s v="N"/>
    <n v="73"/>
    <d v="2023-07-03T19:02:03"/>
    <s v="Y"/>
    <s v="Preparation - other"/>
    <s v="Care Remuneration Hourly Rates"/>
    <s v="Profit Cost"/>
    <s v="SF"/>
    <s v="Y"/>
    <n v="18.14"/>
    <n v="3.63"/>
    <x v="3"/>
    <s v="VALIDATED"/>
    <n v="1"/>
    <s v="01.11.80.308.6100.0000"/>
    <n v="18.14"/>
    <s v="11"/>
    <s v="6100"/>
    <n v="4585.13"/>
    <n v="18.14"/>
    <s v="CREDITOR"/>
    <n v="0"/>
    <n v="0"/>
    <n v="0"/>
    <n v="0"/>
    <n v="18.14"/>
  </r>
  <r>
    <n v="60070179"/>
    <s v="N"/>
    <n v="21318829"/>
    <s v="3000014404080019"/>
    <s v="CIVIL"/>
    <d v="2023-06-12T00:00:00"/>
    <d v="2023-07-03T19:01:49"/>
    <m/>
    <d v="2023-07-03T00:00:00"/>
    <n v="1712"/>
    <n v="16452"/>
    <s v="60070179"/>
    <s v="60070179"/>
    <m/>
    <m/>
    <n v="22666156"/>
    <m/>
    <m/>
    <m/>
    <s v="SOLFIN"/>
    <s v="SOLFIN"/>
    <s v="CCMS"/>
    <n v="21318829"/>
    <n v="14924.69"/>
    <m/>
    <s v="N"/>
    <n v="77"/>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20"/>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2"/>
    <d v="2023-07-03T19:02:03"/>
    <s v="Y"/>
    <s v="Attendance upon client"/>
    <s v="Care Remuneration Hourly Rates"/>
    <s v="Profit Cost"/>
    <s v="SF"/>
    <s v="Y"/>
    <n v="132.48"/>
    <n v="26.5"/>
    <x v="3"/>
    <s v="VALIDATED"/>
    <n v="1"/>
    <s v="01.11.80.308.6100.0000"/>
    <n v="132.48"/>
    <s v="11"/>
    <s v="6100"/>
    <n v="4585.13"/>
    <n v="132.48"/>
    <s v="CREDITOR"/>
    <n v="0"/>
    <n v="0"/>
    <n v="0"/>
    <n v="0"/>
    <n v="132.48"/>
  </r>
  <r>
    <n v="60070179"/>
    <s v="N"/>
    <n v="21318829"/>
    <s v="3000014404080019"/>
    <s v="CIVIL"/>
    <d v="2023-06-12T00:00:00"/>
    <d v="2023-07-03T19:01:49"/>
    <m/>
    <d v="2023-07-03T00:00:00"/>
    <n v="1712"/>
    <n v="16452"/>
    <s v="60070179"/>
    <s v="60070179"/>
    <m/>
    <m/>
    <n v="22666156"/>
    <m/>
    <m/>
    <m/>
    <s v="SOLFIN"/>
    <s v="SOLFIN"/>
    <s v="CCMS"/>
    <n v="21318829"/>
    <n v="14924.69"/>
    <m/>
    <s v="N"/>
    <n v="20"/>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11"/>
    <d v="2023-07-03T19:02:03"/>
    <s v="Y"/>
    <s v="Attendance upon client"/>
    <s v="Care Remuneration Hourly Rates"/>
    <s v="Profit Cost"/>
    <s v="SF"/>
    <s v="Y"/>
    <n v="36.81"/>
    <n v="7.36"/>
    <x v="3"/>
    <s v="VALIDATED"/>
    <n v="1"/>
    <s v="01.11.80.308.6100.0000"/>
    <n v="36.81"/>
    <s v="11"/>
    <s v="6100"/>
    <n v="4585.13"/>
    <n v="36.81"/>
    <s v="CREDITOR"/>
    <n v="0"/>
    <n v="0"/>
    <n v="0"/>
    <n v="0"/>
    <n v="36.81"/>
  </r>
  <r>
    <n v="62147269"/>
    <s v="N"/>
    <n v="21323055"/>
    <s v="3000016166350006"/>
    <s v="CIVIL"/>
    <d v="2023-06-29T00:00:00"/>
    <d v="2023-07-03T19:05:36"/>
    <m/>
    <d v="2023-07-03T00:00:00"/>
    <n v="1712"/>
    <n v="16452"/>
    <s v="62147269"/>
    <s v="62147269"/>
    <m/>
    <m/>
    <n v="22793272"/>
    <m/>
    <m/>
    <m/>
    <s v="SOLPOA"/>
    <s v="SOLPOA"/>
    <s v="CCMS"/>
    <n v="21323055"/>
    <n v="27.3"/>
    <m/>
    <s v="N"/>
    <n v="1"/>
    <d v="2023-07-03T19:05:41"/>
    <s v="N"/>
    <s v="Non Expert Disbursement"/>
    <s v="Non Expert Disbursement"/>
    <s v="Non Expert Disbursement"/>
    <s v="Maria Chainani"/>
    <s v="N"/>
    <n v="27.3"/>
    <n v="0"/>
    <x v="3"/>
    <s v="VALIDATED"/>
    <n v="1"/>
    <s v="01.11.80.308.2012.0000"/>
    <n v="27.3"/>
    <s v="11"/>
    <s v="2012"/>
    <n v="4585.13"/>
    <n v="27.3"/>
    <s v="CREDITOR"/>
    <n v="27.3"/>
    <n v="0"/>
    <n v="0"/>
    <n v="0"/>
    <n v="0"/>
  </r>
  <r>
    <n v="60070179"/>
    <s v="N"/>
    <n v="21318829"/>
    <s v="3000014404080019"/>
    <s v="CIVIL"/>
    <d v="2023-06-12T00:00:00"/>
    <d v="2023-07-03T19:01:49"/>
    <m/>
    <d v="2023-07-03T00:00:00"/>
    <n v="1712"/>
    <n v="16452"/>
    <s v="60070179"/>
    <s v="60070179"/>
    <m/>
    <m/>
    <n v="22666156"/>
    <m/>
    <m/>
    <m/>
    <s v="SOLFIN"/>
    <s v="SOLFIN"/>
    <s v="CCMS"/>
    <n v="21318829"/>
    <n v="14924.69"/>
    <m/>
    <s v="N"/>
    <n v="62"/>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82"/>
    <d v="2023-07-03T19:02:03"/>
    <s v="Y"/>
    <s v="Toxicologist"/>
    <s v="Care Remuneration Hourly Rates"/>
    <s v="Expert Disbursement"/>
    <s v="XXX"/>
    <s v="Y"/>
    <n v="193.75"/>
    <n v="38.75"/>
    <x v="3"/>
    <s v="VALIDATED"/>
    <n v="1"/>
    <s v="01.11.80.308.6300.0000"/>
    <n v="193.75"/>
    <s v="11"/>
    <s v="6300"/>
    <n v="4585.13"/>
    <n v="193.75"/>
    <s v="CREDITOR"/>
    <n v="0"/>
    <n v="0"/>
    <n v="0"/>
    <n v="0"/>
    <n v="193.75"/>
  </r>
  <r>
    <n v="60070179"/>
    <s v="N"/>
    <n v="21318829"/>
    <s v="3000014404080019"/>
    <s v="CIVIL"/>
    <d v="2023-06-12T00:00:00"/>
    <d v="2023-07-03T19:01:49"/>
    <m/>
    <d v="2023-07-03T00:00:00"/>
    <n v="1712"/>
    <n v="16452"/>
    <s v="60070179"/>
    <s v="60070179"/>
    <m/>
    <m/>
    <n v="22666156"/>
    <m/>
    <m/>
    <m/>
    <s v="SOLFIN"/>
    <s v="SOLFIN"/>
    <s v="CCMS"/>
    <n v="21318829"/>
    <n v="14924.69"/>
    <m/>
    <s v="N"/>
    <n v="107"/>
    <d v="2023-07-03T19:02:03"/>
    <s v="Y"/>
    <s v="Preparation - other"/>
    <s v="Care Remuneration Hourly Rates"/>
    <s v="Profit Cost"/>
    <s v="SF"/>
    <s v="Y"/>
    <n v="6.05"/>
    <n v="1.21"/>
    <x v="3"/>
    <s v="VALIDATED"/>
    <n v="1"/>
    <s v="01.11.80.308.6100.0000"/>
    <n v="6.05"/>
    <s v="11"/>
    <s v="6100"/>
    <n v="4585.13"/>
    <n v="6.05"/>
    <s v="CREDITOR"/>
    <n v="0"/>
    <n v="0"/>
    <n v="0"/>
    <n v="0"/>
    <n v="6.05"/>
  </r>
  <r>
    <n v="61314695"/>
    <s v="N"/>
    <n v="21323413"/>
    <s v="3000015468150016"/>
    <s v="CIVIL"/>
    <d v="2023-06-30T00:00:00"/>
    <d v="2023-07-03T19:05:56"/>
    <m/>
    <d v="2023-07-03T00:00:00"/>
    <n v="1712"/>
    <n v="16452"/>
    <s v="61314695"/>
    <s v="61314695"/>
    <m/>
    <m/>
    <n v="22796202"/>
    <m/>
    <m/>
    <m/>
    <s v="SOLPOA"/>
    <s v="SOLPOA"/>
    <s v="CCMS"/>
    <n v="21323413"/>
    <n v="24"/>
    <m/>
    <s v="N"/>
    <n v="1"/>
    <d v="2023-07-03T19:05:57"/>
    <s v="N"/>
    <s v="Non Expert Disbursement"/>
    <s v="Non Expert Disbursement"/>
    <s v="Non Expert Disbursement"/>
    <s v="Maria Chainani"/>
    <s v="N"/>
    <n v="24"/>
    <n v="0"/>
    <x v="3"/>
    <s v="VALIDATED"/>
    <n v="1"/>
    <s v="01.11.80.308.2012.0000"/>
    <n v="24"/>
    <s v="11"/>
    <s v="2012"/>
    <n v="4585.13"/>
    <n v="24"/>
    <s v="CREDITOR"/>
    <n v="24"/>
    <n v="0"/>
    <n v="0"/>
    <n v="0"/>
    <n v="0"/>
  </r>
  <r>
    <n v="62086786"/>
    <s v="N"/>
    <n v="21323226"/>
    <s v="3000016111930002"/>
    <s v="CIVIL"/>
    <d v="2023-06-30T00:00:00"/>
    <d v="2023-07-03T19:05:56"/>
    <m/>
    <d v="2023-07-03T00:00:00"/>
    <n v="1712"/>
    <n v="16452"/>
    <s v="62086786"/>
    <s v="62086786"/>
    <m/>
    <m/>
    <n v="22796462"/>
    <m/>
    <m/>
    <m/>
    <s v="SOLPOA"/>
    <s v="SOLPOA"/>
    <s v="CCMS"/>
    <n v="21323226"/>
    <n v="20.09"/>
    <m/>
    <s v="N"/>
    <n v="1"/>
    <d v="2023-07-03T19:05:56"/>
    <s v="N"/>
    <s v="Non Expert Disbursement"/>
    <s v="Non Expert Disbursement"/>
    <s v="Non Expert Disbursement"/>
    <s v="Maria Chainani"/>
    <s v="N"/>
    <n v="16.74"/>
    <n v="3.35"/>
    <x v="3"/>
    <s v="VALIDATED"/>
    <n v="1"/>
    <s v="01.11.80.305.2012.0000"/>
    <n v="16.74"/>
    <s v="11"/>
    <s v="2012"/>
    <n v="4585.13"/>
    <n v="16.74"/>
    <s v="CREDITOR"/>
    <n v="16.74"/>
    <n v="0"/>
    <n v="0"/>
    <n v="0"/>
    <n v="0"/>
  </r>
  <r>
    <n v="62147269"/>
    <s v="N"/>
    <n v="21322794"/>
    <s v="3000016166350004"/>
    <s v="CIVIL"/>
    <d v="2023-06-29T00:00:00"/>
    <d v="2023-07-03T19:05:36"/>
    <m/>
    <d v="2023-07-03T00:00:00"/>
    <n v="1712"/>
    <n v="16452"/>
    <s v="62147269"/>
    <s v="62147269"/>
    <m/>
    <m/>
    <n v="22793444"/>
    <m/>
    <m/>
    <m/>
    <s v="SOLPOA"/>
    <s v="SOLPOA"/>
    <s v="CCMS"/>
    <n v="21322794"/>
    <n v="20"/>
    <m/>
    <s v="N"/>
    <n v="1"/>
    <d v="2023-07-03T19:05:40"/>
    <s v="N"/>
    <s v="Non Expert Disbursement"/>
    <s v="Non Expert Disbursement"/>
    <s v="Non Expert Disbursement"/>
    <s v="Maria Chainani"/>
    <s v="N"/>
    <n v="20"/>
    <n v="0"/>
    <x v="3"/>
    <s v="VALIDATED"/>
    <n v="1"/>
    <s v="01.11.80.308.2012.0000"/>
    <n v="20"/>
    <s v="11"/>
    <s v="2012"/>
    <n v="4585.13"/>
    <n v="20"/>
    <s v="CREDITOR"/>
    <n v="20"/>
    <n v="0"/>
    <n v="0"/>
    <n v="0"/>
    <n v="0"/>
  </r>
  <r>
    <n v="60070179"/>
    <s v="N"/>
    <n v="21318829"/>
    <s v="3000014404080019"/>
    <s v="CIVIL"/>
    <d v="2023-06-12T00:00:00"/>
    <d v="2023-07-03T19:01:49"/>
    <m/>
    <d v="2023-07-03T00:00:00"/>
    <n v="1712"/>
    <n v="16452"/>
    <s v="60070179"/>
    <s v="60070179"/>
    <m/>
    <m/>
    <n v="22666156"/>
    <m/>
    <m/>
    <m/>
    <s v="SOLFIN"/>
    <s v="SOLFIN"/>
    <s v="CCMS"/>
    <n v="21318829"/>
    <n v="14924.69"/>
    <m/>
    <s v="N"/>
    <n v="44"/>
    <d v="2023-07-03T19:02:03"/>
    <s v="Y"/>
    <s v="Preparation - other"/>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92"/>
    <d v="2023-07-03T19:02:03"/>
    <s v="Y"/>
    <s v="Preparation - drafting statement"/>
    <s v="Care Remuneration Hourly Rates"/>
    <s v="Profit Cost"/>
    <s v="SF"/>
    <s v="Y"/>
    <n v="125.12"/>
    <n v="25.02"/>
    <x v="3"/>
    <s v="VALIDATED"/>
    <n v="1"/>
    <s v="01.11.80.308.6100.0000"/>
    <n v="125.12"/>
    <s v="11"/>
    <s v="6100"/>
    <n v="4585.13"/>
    <n v="125.12"/>
    <s v="CREDITOR"/>
    <n v="0"/>
    <n v="0"/>
    <n v="0"/>
    <n v="0"/>
    <n v="125.12"/>
  </r>
  <r>
    <n v="60070179"/>
    <s v="N"/>
    <n v="21318829"/>
    <s v="3000014404080019"/>
    <s v="CIVIL"/>
    <d v="2023-06-12T00:00:00"/>
    <d v="2023-07-03T19:01:49"/>
    <m/>
    <d v="2023-07-03T00:00:00"/>
    <n v="1712"/>
    <n v="16452"/>
    <s v="60070179"/>
    <s v="60070179"/>
    <m/>
    <m/>
    <n v="22666156"/>
    <m/>
    <m/>
    <m/>
    <s v="SOLFIN"/>
    <s v="SOLFIN"/>
    <s v="CCMS"/>
    <n v="21318829"/>
    <n v="14924.69"/>
    <m/>
    <s v="N"/>
    <n v="15"/>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42"/>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60"/>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3"/>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11"/>
    <d v="2023-07-03T19:02:03"/>
    <s v="Y"/>
    <s v="Preparation - drafting statement"/>
    <s v="Care Remuneration Hourly Rates"/>
    <s v="Profit Cost"/>
    <s v="SF"/>
    <s v="Y"/>
    <n v="147.2"/>
    <n v="29.44"/>
    <x v="3"/>
    <s v="VALIDATED"/>
    <n v="1"/>
    <s v="01.11.80.308.6100.0000"/>
    <n v="147.2"/>
    <s v="11"/>
    <s v="6100"/>
    <n v="4585.13"/>
    <n v="147.2"/>
    <s v="CREDITOR"/>
    <n v="0"/>
    <n v="0"/>
    <n v="0"/>
    <n v="0"/>
    <n v="147.2"/>
  </r>
  <r>
    <n v="60070179"/>
    <s v="N"/>
    <n v="21318829"/>
    <s v="3000014404080019"/>
    <s v="CIVIL"/>
    <d v="2023-06-12T00:00:00"/>
    <d v="2023-07-03T19:01:49"/>
    <m/>
    <d v="2023-07-03T00:00:00"/>
    <n v="1712"/>
    <n v="16452"/>
    <s v="60070179"/>
    <s v="60070179"/>
    <m/>
    <m/>
    <n v="22666156"/>
    <m/>
    <m/>
    <m/>
    <s v="SOLFIN"/>
    <s v="SOLFIN"/>
    <s v="CCMS"/>
    <n v="21318829"/>
    <n v="14924.69"/>
    <m/>
    <s v="N"/>
    <n v="28"/>
    <d v="2023-07-03T19:02:03"/>
    <s v="Y"/>
    <s v="Preparation - other"/>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6"/>
    <d v="2023-07-03T19:02:03"/>
    <s v="Y"/>
    <s v="Preparation - other"/>
    <s v="Care Remuneration Hourly Rates"/>
    <s v="Profit Cost"/>
    <s v="SF"/>
    <s v="Y"/>
    <n v="58.88"/>
    <n v="11.78"/>
    <x v="3"/>
    <s v="VALIDATED"/>
    <n v="1"/>
    <s v="01.11.80.308.6100.0000"/>
    <n v="58.88"/>
    <s v="11"/>
    <s v="6100"/>
    <n v="4585.13"/>
    <n v="58.88"/>
    <s v="CREDITOR"/>
    <n v="0"/>
    <n v="0"/>
    <n v="0"/>
    <n v="0"/>
    <n v="58.88"/>
  </r>
  <r>
    <n v="60070179"/>
    <s v="N"/>
    <n v="21318829"/>
    <s v="3000014404080019"/>
    <s v="CIVIL"/>
    <d v="2023-06-12T00:00:00"/>
    <d v="2023-07-03T19:01:49"/>
    <m/>
    <d v="2023-07-03T00:00:00"/>
    <n v="1712"/>
    <n v="16452"/>
    <s v="60070179"/>
    <s v="60070179"/>
    <m/>
    <m/>
    <n v="22666156"/>
    <m/>
    <m/>
    <m/>
    <s v="SOLFIN"/>
    <s v="SOLFIN"/>
    <s v="CCMS"/>
    <n v="21318829"/>
    <n v="14924.69"/>
    <m/>
    <s v="N"/>
    <n v="59"/>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70"/>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40"/>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51"/>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52"/>
    <d v="2023-07-03T19:02:03"/>
    <s v="Y"/>
    <s v="Attendance upon client"/>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76"/>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13"/>
    <d v="2023-07-03T19:02:03"/>
    <s v="Y"/>
    <s v="Preparation - drafting consent orde"/>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26"/>
    <d v="2023-07-03T19:02:03"/>
    <s v="Y"/>
    <s v="Preparation - other"/>
    <s v="Care Remuneration Hourly Rates"/>
    <s v="Profit Cost"/>
    <s v="SF"/>
    <s v="Y"/>
    <n v="125.12"/>
    <n v="25.02"/>
    <x v="3"/>
    <s v="VALIDATED"/>
    <n v="1"/>
    <s v="01.11.80.308.6100.0000"/>
    <n v="125.12"/>
    <s v="11"/>
    <s v="6100"/>
    <n v="4585.13"/>
    <n v="125.12"/>
    <s v="CREDITOR"/>
    <n v="0"/>
    <n v="0"/>
    <n v="0"/>
    <n v="0"/>
    <n v="125.12"/>
  </r>
  <r>
    <n v="60070179"/>
    <s v="N"/>
    <n v="21318829"/>
    <s v="3000014404080019"/>
    <s v="CIVIL"/>
    <d v="2023-06-12T00:00:00"/>
    <d v="2023-07-03T19:01:49"/>
    <m/>
    <d v="2023-07-03T00:00:00"/>
    <n v="1712"/>
    <n v="16452"/>
    <s v="60070179"/>
    <s v="60070179"/>
    <m/>
    <m/>
    <n v="22666156"/>
    <m/>
    <m/>
    <m/>
    <s v="SOLFIN"/>
    <s v="SOLFIN"/>
    <s v="CCMS"/>
    <n v="21318829"/>
    <n v="14924.69"/>
    <m/>
    <s v="N"/>
    <n v="174"/>
    <d v="2023-07-03T19:02:03"/>
    <s v="Y"/>
    <s v="Court Fee"/>
    <s v="Care Remuneration Hourly Rates"/>
    <s v="Non Expert Disbursement"/>
    <s v="XXX"/>
    <s v="Y"/>
    <n v="167"/>
    <n v="0"/>
    <x v="3"/>
    <s v="VALIDATED"/>
    <n v="1"/>
    <s v="01.11.80.308.6300.0000"/>
    <n v="167"/>
    <s v="11"/>
    <s v="6300"/>
    <n v="4585.13"/>
    <n v="167"/>
    <s v="CREDITOR"/>
    <n v="0"/>
    <n v="0"/>
    <n v="0"/>
    <n v="0"/>
    <n v="167"/>
  </r>
  <r>
    <n v="60070179"/>
    <s v="N"/>
    <n v="21318829"/>
    <s v="3000014404080019"/>
    <s v="CIVIL"/>
    <d v="2023-06-12T00:00:00"/>
    <d v="2023-07-03T19:01:49"/>
    <m/>
    <d v="2023-07-03T00:00:00"/>
    <n v="1712"/>
    <n v="16452"/>
    <s v="60070179"/>
    <s v="60070179"/>
    <m/>
    <m/>
    <n v="22666156"/>
    <m/>
    <m/>
    <m/>
    <s v="SOLFIN"/>
    <s v="SOLFIN"/>
    <s v="CCMS"/>
    <n v="21318829"/>
    <n v="14924.69"/>
    <m/>
    <s v="N"/>
    <n v="61"/>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33"/>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71"/>
    <d v="2023-07-03T19:02:03"/>
    <s v="Y"/>
    <s v="Preparation - other"/>
    <s v="Care Remuneration Hourly Rates"/>
    <s v="Profit Cost"/>
    <s v="SF"/>
    <s v="Y"/>
    <n v="36.81"/>
    <n v="7.36"/>
    <x v="3"/>
    <s v="VALIDATED"/>
    <n v="1"/>
    <s v="01.11.80.308.6100.0000"/>
    <n v="36.81"/>
    <s v="11"/>
    <s v="6100"/>
    <n v="4585.13"/>
    <n v="36.81"/>
    <s v="CREDITOR"/>
    <n v="0"/>
    <n v="0"/>
    <n v="0"/>
    <n v="0"/>
    <n v="36.81"/>
  </r>
  <r>
    <n v="60070179"/>
    <s v="N"/>
    <n v="21318829"/>
    <s v="3000014404080019"/>
    <s v="CIVIL"/>
    <d v="2023-06-12T00:00:00"/>
    <d v="2023-07-03T19:01:49"/>
    <m/>
    <d v="2023-07-03T00:00:00"/>
    <n v="1712"/>
    <n v="16452"/>
    <s v="60070179"/>
    <s v="60070179"/>
    <m/>
    <m/>
    <n v="22666156"/>
    <m/>
    <m/>
    <m/>
    <s v="SOLFIN"/>
    <s v="SOLFIN"/>
    <s v="CCMS"/>
    <n v="21318829"/>
    <n v="14924.69"/>
    <m/>
    <s v="N"/>
    <n v="81"/>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36"/>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60"/>
    <d v="2023-07-03T19:02:03"/>
    <s v="Y"/>
    <s v="Preparation - other"/>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100"/>
    <d v="2023-07-03T19:02:03"/>
    <s v="Y"/>
    <s v="Preparation - other"/>
    <s v="Care Remuneration Hourly Rates"/>
    <s v="Profit Cost"/>
    <s v="SF"/>
    <s v="Y"/>
    <n v="6.05"/>
    <n v="1.21"/>
    <x v="3"/>
    <s v="VALIDATED"/>
    <n v="1"/>
    <s v="01.11.80.308.6100.0000"/>
    <n v="6.05"/>
    <s v="11"/>
    <s v="6100"/>
    <n v="4585.13"/>
    <n v="6.05"/>
    <s v="CREDITOR"/>
    <n v="0"/>
    <n v="0"/>
    <n v="0"/>
    <n v="0"/>
    <n v="6.05"/>
  </r>
  <r>
    <n v="61062540"/>
    <s v="N"/>
    <n v="21324047"/>
    <s v="3000015260060018"/>
    <s v="CIVIL"/>
    <d v="2023-06-30T00:00:00"/>
    <d v="2023-07-03T19:05:56"/>
    <m/>
    <d v="2023-07-03T00:00:00"/>
    <n v="1712"/>
    <n v="16452"/>
    <s v="61062540"/>
    <s v="61062540"/>
    <m/>
    <m/>
    <n v="22795834"/>
    <m/>
    <m/>
    <m/>
    <s v="SOLPOA"/>
    <s v="SOLPOA"/>
    <s v="CCMS"/>
    <n v="21324047"/>
    <n v="20.56"/>
    <m/>
    <s v="N"/>
    <n v="1"/>
    <d v="2023-07-03T19:06:00"/>
    <s v="N"/>
    <s v="Non Expert Disbursement"/>
    <s v="Non Expert Disbursement"/>
    <s v="Non Expert Disbursement"/>
    <s v="Sadia French"/>
    <s v="N"/>
    <n v="20.56"/>
    <n v="0"/>
    <x v="3"/>
    <s v="VALIDATED"/>
    <n v="1"/>
    <s v="01.11.80.308.2012.0000"/>
    <n v="20.56"/>
    <s v="11"/>
    <s v="2012"/>
    <n v="4585.13"/>
    <n v="20.56"/>
    <s v="CREDITOR"/>
    <n v="20.56"/>
    <n v="0"/>
    <n v="0"/>
    <n v="0"/>
    <n v="0"/>
  </r>
  <r>
    <n v="60070179"/>
    <s v="N"/>
    <n v="21318829"/>
    <s v="3000014404080019"/>
    <s v="CIVIL"/>
    <d v="2023-06-12T00:00:00"/>
    <d v="2023-07-03T19:01:49"/>
    <m/>
    <d v="2023-07-03T00:00:00"/>
    <n v="1712"/>
    <n v="16452"/>
    <s v="60070179"/>
    <s v="60070179"/>
    <m/>
    <m/>
    <n v="22666156"/>
    <m/>
    <m/>
    <m/>
    <s v="SOLFIN"/>
    <s v="SOLFIN"/>
    <s v="CCMS"/>
    <n v="21318829"/>
    <n v="14924.69"/>
    <m/>
    <s v="N"/>
    <n v="152"/>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59"/>
    <d v="2023-07-03T19:02:03"/>
    <s v="Y"/>
    <s v="Preparation - other"/>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63"/>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27"/>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79"/>
    <d v="2023-07-03T19:02:03"/>
    <s v="Y"/>
    <s v="Toxicologist"/>
    <s v="Care Remuneration Hourly Rates"/>
    <s v="Expert Disbursement"/>
    <s v="XXX"/>
    <s v="Y"/>
    <n v="75.5"/>
    <n v="15.1"/>
    <x v="3"/>
    <s v="VALIDATED"/>
    <n v="1"/>
    <s v="01.11.80.308.6300.0000"/>
    <n v="75.5"/>
    <s v="11"/>
    <s v="6300"/>
    <n v="4585.13"/>
    <n v="75.5"/>
    <s v="CREDITOR"/>
    <n v="0"/>
    <n v="0"/>
    <n v="0"/>
    <n v="0"/>
    <n v="75.5"/>
  </r>
  <r>
    <n v="60070179"/>
    <s v="N"/>
    <n v="21318829"/>
    <s v="3000014404080019"/>
    <s v="CIVIL"/>
    <d v="2023-06-12T00:00:00"/>
    <d v="2023-07-03T19:01:49"/>
    <m/>
    <d v="2023-07-03T00:00:00"/>
    <n v="1712"/>
    <n v="16452"/>
    <s v="60070179"/>
    <s v="60070179"/>
    <m/>
    <m/>
    <n v="22666156"/>
    <m/>
    <m/>
    <m/>
    <s v="SOLFIN"/>
    <s v="SOLFIN"/>
    <s v="CCMS"/>
    <n v="21318829"/>
    <n v="14924.69"/>
    <m/>
    <s v="N"/>
    <n v="98"/>
    <d v="2023-07-03T19:02:03"/>
    <s v="Y"/>
    <s v="Preparation - other"/>
    <s v="Care Remuneration Hourly Rates"/>
    <s v="Profit Cost"/>
    <s v="SF"/>
    <s v="Y"/>
    <n v="6.05"/>
    <n v="1.21"/>
    <x v="3"/>
    <s v="VALIDATED"/>
    <n v="1"/>
    <s v="01.11.80.308.6100.0000"/>
    <n v="6.05"/>
    <s v="11"/>
    <s v="6100"/>
    <n v="4585.13"/>
    <n v="6.05"/>
    <s v="CREDITOR"/>
    <n v="0"/>
    <n v="0"/>
    <n v="0"/>
    <n v="0"/>
    <n v="6.05"/>
  </r>
  <r>
    <n v="61062540"/>
    <s v="N"/>
    <n v="21323319"/>
    <s v="3000015260060015"/>
    <s v="CIVIL"/>
    <d v="2023-06-30T00:00:00"/>
    <d v="2023-07-03T19:05:56"/>
    <m/>
    <d v="2023-07-03T00:00:00"/>
    <n v="1712"/>
    <n v="16452"/>
    <s v="61062540"/>
    <s v="61062540"/>
    <m/>
    <m/>
    <n v="22795858"/>
    <m/>
    <m/>
    <m/>
    <s v="SOLPOA"/>
    <s v="SOLPOA"/>
    <s v="CCMS"/>
    <n v="21323319"/>
    <n v="18.94"/>
    <m/>
    <s v="N"/>
    <n v="1"/>
    <d v="2023-07-03T19:05:56"/>
    <s v="N"/>
    <s v="Non Expert Disbursement"/>
    <s v="Non Expert Disbursement"/>
    <s v="Non Expert Disbursement"/>
    <s v="Sadia French"/>
    <s v="N"/>
    <n v="18.94"/>
    <n v="0"/>
    <x v="3"/>
    <s v="VALIDATED"/>
    <n v="1"/>
    <s v="01.11.80.308.2012.0000"/>
    <n v="18.94"/>
    <s v="11"/>
    <s v="2012"/>
    <n v="4585.13"/>
    <n v="18.94"/>
    <s v="CREDITOR"/>
    <n v="18.94"/>
    <n v="0"/>
    <n v="0"/>
    <n v="0"/>
    <n v="0"/>
  </r>
  <r>
    <n v="60070179"/>
    <s v="N"/>
    <n v="21318829"/>
    <s v="3000014404080019"/>
    <s v="CIVIL"/>
    <d v="2023-06-12T00:00:00"/>
    <d v="2023-07-03T19:01:49"/>
    <m/>
    <d v="2023-07-03T00:00:00"/>
    <n v="1712"/>
    <n v="16452"/>
    <s v="60070179"/>
    <s v="60070179"/>
    <m/>
    <m/>
    <n v="22666156"/>
    <m/>
    <m/>
    <m/>
    <s v="SOLFIN"/>
    <s v="SOLFIN"/>
    <s v="CCMS"/>
    <n v="21318829"/>
    <n v="14924.69"/>
    <m/>
    <s v="N"/>
    <n v="53"/>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29"/>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85"/>
    <d v="2023-07-03T19:02:03"/>
    <s v="Y"/>
    <s v="Hearing Unit 2.31 - 5.00 Hours"/>
    <s v="Public Law Children"/>
    <s v="Advocacy"/>
    <s v="MC"/>
    <s v="Y"/>
    <n v="476.92"/>
    <n v="95.38"/>
    <x v="3"/>
    <s v="VALIDATED"/>
    <n v="1"/>
    <s v="01.11.80.308.6100.0000"/>
    <n v="476.92"/>
    <s v="11"/>
    <s v="6100"/>
    <n v="4585.13"/>
    <n v="476.92"/>
    <s v="CREDITOR"/>
    <n v="0"/>
    <n v="0"/>
    <n v="0"/>
    <n v="0"/>
    <n v="476.92"/>
  </r>
  <r>
    <n v="60070179"/>
    <s v="N"/>
    <n v="21318829"/>
    <s v="3000014404080019"/>
    <s v="CIVIL"/>
    <d v="2023-06-12T00:00:00"/>
    <d v="2023-07-03T19:01:49"/>
    <m/>
    <d v="2023-07-03T00:00:00"/>
    <n v="1712"/>
    <n v="16452"/>
    <s v="60070179"/>
    <s v="60070179"/>
    <m/>
    <m/>
    <n v="22666156"/>
    <m/>
    <m/>
    <m/>
    <s v="SOLFIN"/>
    <s v="SOLFIN"/>
    <s v="CCMS"/>
    <n v="21318829"/>
    <n v="14924.69"/>
    <m/>
    <s v="N"/>
    <n v="18"/>
    <d v="2023-07-03T19:02:03"/>
    <s v="Y"/>
    <s v="Attendance upon client"/>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9"/>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23"/>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151"/>
    <d v="2023-07-03T19:02:03"/>
    <s v="Y"/>
    <s v="Preparation - drafting statement"/>
    <s v="Care Remuneration Hourly Rates"/>
    <s v="Profit Cost"/>
    <s v="SF"/>
    <s v="Y"/>
    <n v="103.04"/>
    <n v="20.61"/>
    <x v="3"/>
    <s v="VALIDATED"/>
    <n v="1"/>
    <s v="01.11.80.308.6100.0000"/>
    <n v="103.04"/>
    <s v="11"/>
    <s v="6100"/>
    <n v="4585.13"/>
    <n v="103.04"/>
    <s v="CREDITOR"/>
    <n v="0"/>
    <n v="0"/>
    <n v="0"/>
    <n v="0"/>
    <n v="103.04"/>
  </r>
  <r>
    <n v="60070179"/>
    <s v="N"/>
    <n v="21318829"/>
    <s v="3000014404080019"/>
    <s v="CIVIL"/>
    <d v="2023-06-12T00:00:00"/>
    <d v="2023-07-03T19:01:49"/>
    <m/>
    <d v="2023-07-03T00:00:00"/>
    <n v="1712"/>
    <n v="16452"/>
    <s v="60070179"/>
    <s v="60070179"/>
    <m/>
    <m/>
    <n v="22666156"/>
    <m/>
    <m/>
    <m/>
    <s v="SOLFIN"/>
    <s v="SOLFIN"/>
    <s v="CCMS"/>
    <n v="21318829"/>
    <n v="14924.69"/>
    <m/>
    <s v="N"/>
    <n v="175"/>
    <d v="2023-07-03T19:02:03"/>
    <s v="Y"/>
    <s v="Solicitor Travel Mileage"/>
    <s v="Care Remuneration Hourly Rates"/>
    <s v="Non Expert Disbursement"/>
    <s v="MC"/>
    <s v="Y"/>
    <n v="16.74"/>
    <n v="3.35"/>
    <x v="3"/>
    <s v="VALIDATED"/>
    <n v="1"/>
    <s v="01.11.80.308.6300.0000"/>
    <n v="16.74"/>
    <s v="11"/>
    <s v="6300"/>
    <n v="4585.13"/>
    <n v="16.74"/>
    <s v="CREDITOR"/>
    <n v="0"/>
    <n v="0"/>
    <n v="0"/>
    <n v="0"/>
    <n v="16.74"/>
  </r>
  <r>
    <n v="60070179"/>
    <s v="N"/>
    <n v="21318829"/>
    <s v="3000014404080019"/>
    <s v="CIVIL"/>
    <d v="2023-06-12T00:00:00"/>
    <d v="2023-07-03T19:01:49"/>
    <m/>
    <d v="2023-07-03T00:00:00"/>
    <n v="1712"/>
    <n v="16452"/>
    <s v="60070179"/>
    <s v="60070179"/>
    <m/>
    <m/>
    <n v="22666156"/>
    <m/>
    <m/>
    <m/>
    <s v="SOLFIN"/>
    <s v="SOLFIN"/>
    <s v="CCMS"/>
    <n v="21318829"/>
    <n v="14924.69"/>
    <m/>
    <s v="N"/>
    <n v="67"/>
    <d v="2023-07-03T19:02:03"/>
    <s v="Y"/>
    <s v="Preparation - other"/>
    <s v="Care Remuneration Hourly Rates"/>
    <s v="Profit Cost"/>
    <s v="SF"/>
    <s v="Y"/>
    <n v="6.05"/>
    <n v="1.21"/>
    <x v="3"/>
    <s v="VALIDATED"/>
    <n v="1"/>
    <s v="01.11.80.308.6100.0000"/>
    <n v="6.05"/>
    <s v="11"/>
    <s v="6100"/>
    <n v="4585.13"/>
    <n v="6.05"/>
    <s v="CREDITOR"/>
    <n v="0"/>
    <n v="0"/>
    <n v="0"/>
    <n v="0"/>
    <n v="6.05"/>
  </r>
  <r>
    <n v="60070179"/>
    <s v="N"/>
    <n v="21318829"/>
    <s v="3000014404080019"/>
    <s v="CIVIL"/>
    <d v="2023-06-12T00:00:00"/>
    <d v="2023-07-03T19:01:49"/>
    <m/>
    <d v="2023-07-03T00:00:00"/>
    <n v="1712"/>
    <n v="16452"/>
    <s v="60070179"/>
    <s v="60070179"/>
    <m/>
    <m/>
    <n v="22666156"/>
    <m/>
    <m/>
    <m/>
    <s v="SOLFIN"/>
    <s v="SOLFIN"/>
    <s v="CCMS"/>
    <n v="21318829"/>
    <n v="14924.69"/>
    <m/>
    <s v="N"/>
    <n v="34"/>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
    <d v="2023-07-03T19:02:03"/>
    <s v="Y"/>
    <s v="Preparation - other"/>
    <s v="Care Remuneration Hourly Rates"/>
    <s v="Profit Cost"/>
    <s v="SF"/>
    <s v="Y"/>
    <n v="24.18"/>
    <n v="4.84"/>
    <x v="3"/>
    <s v="VALIDATED"/>
    <n v="1"/>
    <s v="01.11.80.308.6100.0000"/>
    <n v="24.18"/>
    <s v="11"/>
    <s v="6100"/>
    <n v="4585.13"/>
    <n v="24.18"/>
    <s v="CREDITOR"/>
    <n v="0"/>
    <n v="0"/>
    <n v="0"/>
    <n v="0"/>
    <n v="24.18"/>
  </r>
  <r>
    <n v="60070179"/>
    <s v="N"/>
    <n v="21318829"/>
    <s v="3000014404080019"/>
    <s v="CIVIL"/>
    <d v="2023-06-12T00:00:00"/>
    <d v="2023-07-03T19:01:49"/>
    <m/>
    <d v="2023-07-03T00:00:00"/>
    <n v="1712"/>
    <n v="16452"/>
    <s v="60070179"/>
    <s v="60070179"/>
    <m/>
    <m/>
    <n v="22666156"/>
    <m/>
    <m/>
    <m/>
    <s v="SOLFIN"/>
    <s v="SOLFIN"/>
    <s v="CCMS"/>
    <n v="21318829"/>
    <n v="14924.69"/>
    <m/>
    <s v="N"/>
    <n v="39"/>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43"/>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55"/>
    <d v="2023-07-03T19:02:03"/>
    <s v="Y"/>
    <s v="Preparation - other"/>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65"/>
    <d v="2023-07-03T19:02:03"/>
    <s v="Y"/>
    <s v="Preparation - other"/>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75"/>
    <d v="2023-07-03T19:02:03"/>
    <s v="Y"/>
    <s v="Preparation - other"/>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144"/>
    <d v="2023-07-03T19:02:03"/>
    <s v="Y"/>
    <s v="Preparation - other"/>
    <s v="Care Remuneration Hourly Rates"/>
    <s v="Profit Cost"/>
    <s v="SF"/>
    <s v="Y"/>
    <n v="161.91"/>
    <n v="32.38"/>
    <x v="3"/>
    <s v="VALIDATED"/>
    <n v="1"/>
    <s v="01.11.80.308.6100.0000"/>
    <n v="161.91"/>
    <s v="11"/>
    <s v="6100"/>
    <n v="4585.13"/>
    <n v="161.91"/>
    <s v="CREDITOR"/>
    <n v="0"/>
    <n v="0"/>
    <n v="0"/>
    <n v="0"/>
    <n v="161.91"/>
  </r>
  <r>
    <n v="61062540"/>
    <s v="N"/>
    <n v="21323696"/>
    <s v="3000015260060017"/>
    <s v="CIVIL"/>
    <d v="2023-06-30T00:00:00"/>
    <d v="2023-07-03T19:05:56"/>
    <m/>
    <d v="2023-07-03T00:00:00"/>
    <n v="1712"/>
    <n v="16452"/>
    <s v="61062540"/>
    <s v="61062540"/>
    <m/>
    <m/>
    <n v="22796010"/>
    <m/>
    <m/>
    <m/>
    <s v="SOLPOA"/>
    <s v="SOLPOA"/>
    <s v="CCMS"/>
    <n v="21323696"/>
    <n v="20.56"/>
    <m/>
    <s v="N"/>
    <n v="1"/>
    <d v="2023-07-03T19:05:58"/>
    <s v="N"/>
    <s v="Non Expert Disbursement"/>
    <s v="Non Expert Disbursement"/>
    <s v="Non Expert Disbursement"/>
    <s v="Sadia French"/>
    <s v="N"/>
    <n v="20.56"/>
    <n v="0"/>
    <x v="3"/>
    <s v="VALIDATED"/>
    <n v="1"/>
    <s v="01.11.80.308.2012.0000"/>
    <n v="20.56"/>
    <s v="11"/>
    <s v="2012"/>
    <n v="4585.13"/>
    <n v="20.56"/>
    <s v="CREDITOR"/>
    <n v="20.56"/>
    <n v="0"/>
    <n v="0"/>
    <n v="0"/>
    <n v="0"/>
  </r>
  <r>
    <n v="60070179"/>
    <s v="N"/>
    <n v="21318829"/>
    <s v="3000014404080019"/>
    <s v="CIVIL"/>
    <d v="2023-06-12T00:00:00"/>
    <d v="2023-07-03T19:01:49"/>
    <m/>
    <d v="2023-07-03T00:00:00"/>
    <n v="1712"/>
    <n v="16452"/>
    <s v="60070179"/>
    <s v="60070179"/>
    <m/>
    <m/>
    <n v="22666156"/>
    <m/>
    <m/>
    <m/>
    <s v="SOLFIN"/>
    <s v="SOLFIN"/>
    <s v="CCMS"/>
    <n v="21318829"/>
    <n v="14924.69"/>
    <m/>
    <s v="N"/>
    <n v="14"/>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110"/>
    <d v="2023-07-03T19:02:03"/>
    <s v="Y"/>
    <s v="Preparation - other"/>
    <s v="Care Remuneration Hourly Rates"/>
    <s v="Profit Cost"/>
    <s v="SF"/>
    <s v="Y"/>
    <n v="58.88"/>
    <n v="11.78"/>
    <x v="3"/>
    <s v="VALIDATED"/>
    <n v="1"/>
    <s v="01.11.80.308.6100.0000"/>
    <n v="58.88"/>
    <s v="11"/>
    <s v="6100"/>
    <n v="4585.13"/>
    <n v="58.88"/>
    <s v="CREDITOR"/>
    <n v="0"/>
    <n v="0"/>
    <n v="0"/>
    <n v="0"/>
    <n v="58.88"/>
  </r>
  <r>
    <n v="60070179"/>
    <s v="N"/>
    <n v="21318829"/>
    <s v="3000014404080019"/>
    <s v="CIVIL"/>
    <d v="2023-06-12T00:00:00"/>
    <d v="2023-07-03T19:01:49"/>
    <m/>
    <d v="2023-07-03T00:00:00"/>
    <n v="1712"/>
    <n v="16452"/>
    <s v="60070179"/>
    <s v="60070179"/>
    <m/>
    <m/>
    <n v="22666156"/>
    <m/>
    <m/>
    <m/>
    <s v="SOLFIN"/>
    <s v="SOLFIN"/>
    <s v="CCMS"/>
    <n v="21318829"/>
    <n v="14924.69"/>
    <m/>
    <s v="N"/>
    <n v="7"/>
    <d v="2023-07-03T19:02:03"/>
    <s v="Y"/>
    <s v="Preparation - other"/>
    <s v="Care Remuneration Hourly Rates"/>
    <s v="Profit Cost"/>
    <s v="SF"/>
    <s v="Y"/>
    <n v="6.05"/>
    <n v="1.21"/>
    <x v="3"/>
    <s v="VALIDATED"/>
    <n v="1"/>
    <s v="01.11.80.308.6100.0000"/>
    <n v="6.05"/>
    <s v="11"/>
    <s v="6100"/>
    <n v="4585.13"/>
    <n v="6.05"/>
    <s v="CREDITOR"/>
    <n v="0"/>
    <n v="0"/>
    <n v="0"/>
    <n v="0"/>
    <n v="6.05"/>
  </r>
  <r>
    <n v="61062540"/>
    <s v="N"/>
    <n v="21323305"/>
    <s v="3000015260060014"/>
    <s v="CIVIL"/>
    <d v="2023-06-30T00:00:00"/>
    <d v="2023-07-03T19:05:56"/>
    <m/>
    <d v="2023-07-03T00:00:00"/>
    <n v="1712"/>
    <n v="16452"/>
    <s v="61062540"/>
    <s v="61062540"/>
    <m/>
    <m/>
    <n v="22796052"/>
    <m/>
    <m/>
    <m/>
    <s v="SOLPOA"/>
    <s v="SOLPOA"/>
    <s v="CCMS"/>
    <n v="21323305"/>
    <n v="9"/>
    <m/>
    <s v="N"/>
    <n v="1"/>
    <d v="2023-07-03T19:05:56"/>
    <s v="N"/>
    <s v="Non Expert Disbursement"/>
    <s v="Non Expert Disbursement"/>
    <s v="Non Expert Disbursement"/>
    <s v="Maria Chainani"/>
    <s v="N"/>
    <n v="9"/>
    <n v="0"/>
    <x v="3"/>
    <s v="VALIDATED"/>
    <n v="1"/>
    <s v="01.11.80.308.2012.0000"/>
    <n v="9"/>
    <s v="11"/>
    <s v="2012"/>
    <n v="4585.13"/>
    <n v="9"/>
    <s v="CREDITOR"/>
    <n v="9"/>
    <n v="0"/>
    <n v="0"/>
    <n v="0"/>
    <n v="0"/>
  </r>
  <r>
    <n v="60070179"/>
    <s v="N"/>
    <n v="21318829"/>
    <s v="3000014404080019"/>
    <s v="CIVIL"/>
    <d v="2023-06-12T00:00:00"/>
    <d v="2023-07-03T19:01:49"/>
    <m/>
    <d v="2023-07-03T00:00:00"/>
    <n v="1712"/>
    <n v="16452"/>
    <s v="60070179"/>
    <s v="60070179"/>
    <m/>
    <m/>
    <n v="22666156"/>
    <m/>
    <m/>
    <m/>
    <s v="SOLFIN"/>
    <s v="SOLFIN"/>
    <s v="CCMS"/>
    <n v="21318829"/>
    <n v="14924.69"/>
    <m/>
    <s v="N"/>
    <n v="13"/>
    <d v="2023-07-03T19:02:03"/>
    <s v="Y"/>
    <s v="Preparation - other"/>
    <s v="Care Remuneration Hourly Rates"/>
    <s v="Profit Cost"/>
    <s v="SF"/>
    <s v="Y"/>
    <n v="54.41"/>
    <n v="10.88"/>
    <x v="3"/>
    <s v="VALIDATED"/>
    <n v="1"/>
    <s v="01.11.80.308.6100.0000"/>
    <n v="54.41"/>
    <s v="11"/>
    <s v="6100"/>
    <n v="4585.13"/>
    <n v="54.41"/>
    <s v="CREDITOR"/>
    <n v="0"/>
    <n v="0"/>
    <n v="0"/>
    <n v="0"/>
    <n v="54.41"/>
  </r>
  <r>
    <n v="60070179"/>
    <s v="N"/>
    <n v="21318829"/>
    <s v="3000014404080019"/>
    <s v="CIVIL"/>
    <d v="2023-06-12T00:00:00"/>
    <d v="2023-07-03T19:01:49"/>
    <m/>
    <d v="2023-07-03T00:00:00"/>
    <n v="1712"/>
    <n v="16452"/>
    <s v="60070179"/>
    <s v="60070179"/>
    <m/>
    <m/>
    <n v="22666156"/>
    <m/>
    <m/>
    <m/>
    <s v="SOLFIN"/>
    <s v="SOLFIN"/>
    <s v="CCMS"/>
    <n v="21318829"/>
    <n v="14924.69"/>
    <m/>
    <s v="N"/>
    <n v="16"/>
    <d v="2023-07-03T19:02:03"/>
    <s v="Y"/>
    <s v="Preparation - drafting notice(s)"/>
    <s v="Care Remuneration Hourly Rates"/>
    <s v="Profit Cost"/>
    <s v="SF"/>
    <s v="Y"/>
    <n v="12.09"/>
    <n v="2.42"/>
    <x v="3"/>
    <s v="VALIDATED"/>
    <n v="1"/>
    <s v="01.11.80.308.6100.0000"/>
    <n v="12.09"/>
    <s v="11"/>
    <s v="6100"/>
    <n v="4585.13"/>
    <n v="12.09"/>
    <s v="CREDITOR"/>
    <n v="0"/>
    <n v="0"/>
    <n v="0"/>
    <n v="0"/>
    <n v="12.09"/>
  </r>
  <r>
    <n v="60070179"/>
    <s v="N"/>
    <n v="21318829"/>
    <s v="3000014404080019"/>
    <s v="CIVIL"/>
    <d v="2023-06-12T00:00:00"/>
    <d v="2023-07-03T19:01:49"/>
    <m/>
    <d v="2023-07-03T00:00:00"/>
    <n v="1712"/>
    <n v="16452"/>
    <s v="60070179"/>
    <s v="60070179"/>
    <m/>
    <m/>
    <n v="22666156"/>
    <m/>
    <m/>
    <m/>
    <s v="SOLFIN"/>
    <s v="SOLFIN"/>
    <s v="CCMS"/>
    <n v="21318829"/>
    <n v="14924.69"/>
    <m/>
    <s v="N"/>
    <n v="155"/>
    <d v="2023-07-03T19:02:03"/>
    <s v="Y"/>
    <s v="Preparation - drafting statement"/>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49"/>
    <d v="2023-07-03T19:02:03"/>
    <s v="Y"/>
    <s v="Attendance upon client"/>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122"/>
    <d v="2023-07-03T19:02:03"/>
    <s v="Y"/>
    <s v="Attendance upon client"/>
    <s v="Care Remuneration Hourly Rates"/>
    <s v="Profit Cost"/>
    <s v="SF"/>
    <s v="Y"/>
    <n v="66.23"/>
    <n v="13.25"/>
    <x v="3"/>
    <s v="VALIDATED"/>
    <n v="1"/>
    <s v="01.11.80.308.6100.0000"/>
    <n v="66.23"/>
    <s v="11"/>
    <s v="6100"/>
    <n v="4585.13"/>
    <n v="66.23"/>
    <s v="CREDITOR"/>
    <n v="0"/>
    <n v="0"/>
    <n v="0"/>
    <n v="0"/>
    <n v="66.23"/>
  </r>
  <r>
    <n v="60070179"/>
    <s v="N"/>
    <n v="21318829"/>
    <s v="3000014404080019"/>
    <s v="CIVIL"/>
    <d v="2023-06-12T00:00:00"/>
    <d v="2023-07-03T19:01:49"/>
    <m/>
    <d v="2023-07-03T00:00:00"/>
    <n v="1712"/>
    <n v="16452"/>
    <s v="60070179"/>
    <s v="60070179"/>
    <m/>
    <m/>
    <n v="22666156"/>
    <m/>
    <m/>
    <m/>
    <s v="SOLFIN"/>
    <s v="SOLFIN"/>
    <s v="CCMS"/>
    <n v="21318829"/>
    <n v="14924.69"/>
    <m/>
    <s v="N"/>
    <n v="135"/>
    <d v="2023-07-03T19:02:03"/>
    <s v="Y"/>
    <s v="Preparation - other"/>
    <s v="Care Remuneration Hourly Rates"/>
    <s v="Profit Cost"/>
    <s v="SF"/>
    <s v="Y"/>
    <n v="66.23"/>
    <n v="13.25"/>
    <x v="3"/>
    <s v="VALIDATED"/>
    <n v="1"/>
    <s v="01.11.80.308.6100.0000"/>
    <n v="66.23"/>
    <s v="11"/>
    <s v="6100"/>
    <n v="4585.13"/>
    <n v="66.23"/>
    <s v="CREDITOR"/>
    <n v="0"/>
    <n v="0"/>
    <n v="0"/>
    <n v="0"/>
    <n v="66.23"/>
  </r>
  <r>
    <n v="60070179"/>
    <s v="N"/>
    <n v="21318829"/>
    <s v="3000014404080019"/>
    <s v="CIVIL"/>
    <d v="2023-06-12T00:00:00"/>
    <d v="2023-07-03T19:01:49"/>
    <m/>
    <d v="2023-07-03T00:00:00"/>
    <n v="1712"/>
    <n v="16452"/>
    <s v="60070179"/>
    <s v="60070179"/>
    <m/>
    <m/>
    <n v="22666156"/>
    <m/>
    <m/>
    <m/>
    <s v="SOLFIN"/>
    <s v="SOLFIN"/>
    <s v="CCMS"/>
    <n v="21318829"/>
    <n v="14924.69"/>
    <m/>
    <s v="N"/>
    <n v="128"/>
    <d v="2023-07-03T19:02:03"/>
    <s v="Y"/>
    <s v="Preparation - other"/>
    <s v="Care Remuneration Hourly Rates"/>
    <s v="Profit Cost"/>
    <s v="SF"/>
    <s v="Y"/>
    <n v="7.36"/>
    <n v="1.47"/>
    <x v="3"/>
    <s v="VALIDATED"/>
    <n v="1"/>
    <s v="01.11.80.308.6100.0000"/>
    <n v="7.36"/>
    <s v="11"/>
    <s v="6100"/>
    <n v="4585.13"/>
    <n v="7.36"/>
    <s v="CREDITOR"/>
    <n v="0"/>
    <n v="0"/>
    <n v="0"/>
    <n v="0"/>
    <n v="7.36"/>
  </r>
  <r>
    <n v="60070179"/>
    <s v="N"/>
    <n v="21318829"/>
    <s v="3000014404080019"/>
    <s v="CIVIL"/>
    <d v="2023-06-12T00:00:00"/>
    <d v="2023-07-03T19:01:49"/>
    <m/>
    <d v="2023-07-03T00:00:00"/>
    <n v="1712"/>
    <n v="16452"/>
    <s v="60070179"/>
    <s v="60070179"/>
    <m/>
    <m/>
    <n v="22666156"/>
    <m/>
    <m/>
    <m/>
    <s v="SOLFIN"/>
    <s v="SOLFIN"/>
    <s v="CCMS"/>
    <n v="21318829"/>
    <n v="14924.69"/>
    <m/>
    <s v="N"/>
    <n v="108"/>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137"/>
    <d v="2023-07-03T19:02:03"/>
    <s v="Y"/>
    <s v="Preparation - other"/>
    <s v="Care Remuneration Hourly Rates"/>
    <s v="Profit Cost"/>
    <s v="SF"/>
    <s v="Y"/>
    <n v="73.59999999999999"/>
    <n v="14.72"/>
    <x v="3"/>
    <s v="VALIDATED"/>
    <n v="1"/>
    <s v="01.11.80.308.6100.0000"/>
    <n v="73.59999999999999"/>
    <s v="11"/>
    <s v="6100"/>
    <n v="4585.13"/>
    <n v="73.59999999999999"/>
    <s v="CREDITOR"/>
    <n v="0"/>
    <n v="0"/>
    <n v="0"/>
    <n v="0"/>
    <n v="73.59999999999999"/>
  </r>
  <r>
    <n v="60070179"/>
    <s v="N"/>
    <n v="21318829"/>
    <s v="3000014404080019"/>
    <s v="CIVIL"/>
    <d v="2023-06-12T00:00:00"/>
    <d v="2023-07-03T19:01:49"/>
    <m/>
    <d v="2023-07-03T00:00:00"/>
    <n v="1712"/>
    <n v="16452"/>
    <s v="60070179"/>
    <s v="60070179"/>
    <m/>
    <m/>
    <n v="22666156"/>
    <m/>
    <m/>
    <m/>
    <s v="SOLFIN"/>
    <s v="SOLFIN"/>
    <s v="CCMS"/>
    <n v="21318829"/>
    <n v="14924.69"/>
    <m/>
    <s v="N"/>
    <n v="109"/>
    <d v="2023-07-03T19:02:03"/>
    <s v="Y"/>
    <s v="Preparation - other"/>
    <s v="Care Remuneration Hourly Rates"/>
    <s v="Profit Cost"/>
    <s v="SF"/>
    <s v="Y"/>
    <n v="14.71"/>
    <n v="2.94"/>
    <x v="3"/>
    <s v="VALIDATED"/>
    <n v="1"/>
    <s v="01.11.80.308.6100.0000"/>
    <n v="14.71"/>
    <s v="11"/>
    <s v="6100"/>
    <n v="4585.13"/>
    <n v="14.71"/>
    <s v="CREDITOR"/>
    <n v="0"/>
    <n v="0"/>
    <n v="0"/>
    <n v="0"/>
    <n v="14.71"/>
  </r>
  <r>
    <n v="61314695"/>
    <s v="N"/>
    <n v="21323313"/>
    <s v="3000015468150015"/>
    <s v="CIVIL"/>
    <d v="2023-06-30T00:00:00"/>
    <d v="2023-07-03T19:05:56"/>
    <m/>
    <d v="2023-07-03T00:00:00"/>
    <n v="1712"/>
    <n v="16452"/>
    <s v="61314695"/>
    <s v="61314695"/>
    <m/>
    <m/>
    <n v="22796100"/>
    <m/>
    <m/>
    <m/>
    <s v="SOLPOA"/>
    <s v="SOLPOA"/>
    <s v="CCMS"/>
    <n v="21323313"/>
    <n v="9"/>
    <m/>
    <s v="N"/>
    <n v="1"/>
    <d v="2023-07-03T19:05:56"/>
    <s v="N"/>
    <s v="Non Expert Disbursement"/>
    <s v="Non Expert Disbursement"/>
    <s v="Non Expert Disbursement"/>
    <s v="Maria Chainani"/>
    <s v="N"/>
    <n v="9"/>
    <n v="0"/>
    <x v="3"/>
    <s v="VALIDATED"/>
    <n v="1"/>
    <s v="01.11.80.308.2012.0000"/>
    <n v="9"/>
    <s v="11"/>
    <s v="2012"/>
    <n v="4585.13"/>
    <n v="9"/>
    <s v="CREDITOR"/>
    <n v="9"/>
    <n v="0"/>
    <n v="0"/>
    <n v="0"/>
    <n v="0"/>
  </r>
  <r>
    <n v="60596979"/>
    <s v="N"/>
    <n v="21323824"/>
    <s v="3000014851030016"/>
    <s v="CIVIL"/>
    <d v="2023-06-30T00:00:00"/>
    <d v="2023-07-03T19:05:56"/>
    <m/>
    <d v="2023-07-03T00:00:00"/>
    <n v="1712"/>
    <n v="16452"/>
    <s v="60596979"/>
    <s v="60596979"/>
    <m/>
    <m/>
    <n v="22796566"/>
    <m/>
    <m/>
    <m/>
    <s v="SOLPOA"/>
    <s v="SOLPOA"/>
    <s v="CCMS"/>
    <n v="21323824"/>
    <n v="48.25"/>
    <m/>
    <s v="N"/>
    <n v="1"/>
    <d v="2023-07-03T19:05:59"/>
    <s v="N"/>
    <s v="Expert Cost - Private Law Children"/>
    <s v="Expert Cost - Private Law Chil"/>
    <s v="Expert Disbursement"/>
    <s v="Sadia French"/>
    <s v="N"/>
    <n v="48.25"/>
    <n v="0"/>
    <x v="3"/>
    <s v="VALIDATED"/>
    <n v="1"/>
    <s v="01.11.80.307.2012.0000"/>
    <n v="48.25"/>
    <s v="11"/>
    <s v="2012"/>
    <n v="4585.13"/>
    <n v="48.25"/>
    <s v="CREDITOR"/>
    <n v="48.25"/>
    <n v="0"/>
    <n v="0"/>
    <n v="0"/>
    <n v="0"/>
  </r>
  <r>
    <n v="60070179"/>
    <s v="N"/>
    <n v="21318829"/>
    <s v="3000014404080019"/>
    <s v="CIVIL"/>
    <d v="2023-06-12T00:00:00"/>
    <d v="2023-07-03T19:01:49"/>
    <m/>
    <d v="2023-07-03T00:00:00"/>
    <n v="1712"/>
    <n v="16452"/>
    <s v="60070179"/>
    <s v="60070179"/>
    <m/>
    <m/>
    <n v="22666156"/>
    <m/>
    <m/>
    <m/>
    <s v="SOLFIN"/>
    <s v="SOLFIN"/>
    <s v="CCMS"/>
    <n v="21318829"/>
    <n v="14924.69"/>
    <m/>
    <s v="N"/>
    <n v="139"/>
    <d v="2023-07-03T19:02:03"/>
    <s v="Y"/>
    <s v="Preparation - other"/>
    <s v="Care Remuneration Hourly Rates"/>
    <s v="Profit Cost"/>
    <s v="SF"/>
    <s v="Y"/>
    <n v="250.24"/>
    <n v="50.05"/>
    <x v="3"/>
    <s v="VALIDATED"/>
    <n v="1"/>
    <s v="01.11.80.308.6100.0000"/>
    <n v="250.24"/>
    <s v="11"/>
    <s v="6100"/>
    <n v="4585.13"/>
    <n v="250.24"/>
    <s v="CREDITOR"/>
    <n v="0"/>
    <n v="0"/>
    <n v="0"/>
    <n v="0"/>
    <n v="250.24"/>
  </r>
  <r>
    <n v="60070179"/>
    <s v="N"/>
    <n v="21318829"/>
    <s v="3000014404080019"/>
    <s v="CIVIL"/>
    <d v="2023-06-12T00:00:00"/>
    <d v="2023-07-03T19:01:49"/>
    <m/>
    <d v="2023-07-03T00:00:00"/>
    <n v="1712"/>
    <n v="16452"/>
    <s v="60070179"/>
    <s v="60070179"/>
    <m/>
    <m/>
    <n v="22666156"/>
    <m/>
    <m/>
    <m/>
    <s v="SOLFIN"/>
    <s v="SOLFIN"/>
    <s v="CCMS"/>
    <n v="21318829"/>
    <n v="14924.69"/>
    <m/>
    <s v="N"/>
    <n v="169"/>
    <d v="2023-07-03T19:02:03"/>
    <s v="Y"/>
    <s v="Routine Letter Out"/>
    <s v="Care Remuneration Hourly Rates"/>
    <s v="Profit Cost"/>
    <s v="SF"/>
    <s v="Y"/>
    <n v="1090.58"/>
    <n v="218.15"/>
    <x v="3"/>
    <s v="VALIDATED"/>
    <n v="1"/>
    <s v="01.11.80.308.6100.0000"/>
    <n v="1090.58"/>
    <s v="11"/>
    <s v="6100"/>
    <n v="4585.13"/>
    <n v="1090.58"/>
    <s v="CREDITOR"/>
    <n v="0"/>
    <n v="0"/>
    <n v="0"/>
    <n v="0"/>
    <n v="1090.58"/>
  </r>
  <r>
    <n v="60070179"/>
    <s v="N"/>
    <n v="21318829"/>
    <s v="3000014404080019"/>
    <s v="CIVIL"/>
    <d v="2023-06-12T00:00:00"/>
    <d v="2023-07-03T19:01:49"/>
    <m/>
    <d v="2023-07-03T00:00:00"/>
    <n v="1712"/>
    <n v="16452"/>
    <s v="60070179"/>
    <s v="60070179"/>
    <m/>
    <m/>
    <n v="22666156"/>
    <m/>
    <m/>
    <m/>
    <s v="SOLFIN"/>
    <s v="SOLFIN"/>
    <s v="CCMS"/>
    <n v="21318829"/>
    <n v="14924.69"/>
    <m/>
    <s v="N"/>
    <n v="21"/>
    <d v="2023-07-03T19:02:03"/>
    <s v="Y"/>
    <s v="Preparation - drafting application"/>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45"/>
    <d v="2023-07-03T19:02:03"/>
    <s v="Y"/>
    <s v="Preparation - other"/>
    <s v="Care Remuneration Hourly Rates"/>
    <s v="Profit Cost"/>
    <s v="SF"/>
    <s v="Y"/>
    <n v="14.71"/>
    <n v="2.94"/>
    <x v="3"/>
    <s v="VALIDATED"/>
    <n v="1"/>
    <s v="01.11.80.308.6100.0000"/>
    <n v="14.71"/>
    <s v="11"/>
    <s v="6100"/>
    <n v="4585.13"/>
    <n v="14.71"/>
    <s v="CREDITOR"/>
    <n v="0"/>
    <n v="0"/>
    <n v="0"/>
    <n v="0"/>
    <n v="14.71"/>
  </r>
  <r>
    <n v="60070179"/>
    <s v="N"/>
    <n v="21318829"/>
    <s v="3000014404080019"/>
    <s v="CIVIL"/>
    <d v="2023-06-12T00:00:00"/>
    <d v="2023-07-03T19:01:49"/>
    <m/>
    <d v="2023-07-03T00:00:00"/>
    <n v="1712"/>
    <n v="16452"/>
    <s v="60070179"/>
    <s v="60070179"/>
    <m/>
    <m/>
    <n v="22666156"/>
    <m/>
    <m/>
    <m/>
    <s v="SOLFIN"/>
    <s v="SOLFIN"/>
    <s v="CCMS"/>
    <n v="21318829"/>
    <n v="14924.69"/>
    <m/>
    <s v="N"/>
    <n v="146"/>
    <d v="2023-07-03T19:02:03"/>
    <s v="Y"/>
    <s v="Preparation - other"/>
    <s v="Care Remuneration Hourly Rates"/>
    <s v="Profit Cost"/>
    <s v="SF"/>
    <s v="Y"/>
    <n v="73.59999999999999"/>
    <n v="14.72"/>
    <x v="3"/>
    <s v="VALIDATED"/>
    <n v="1"/>
    <s v="01.11.80.308.6100.0000"/>
    <n v="73.59999999999999"/>
    <s v="11"/>
    <s v="6100"/>
    <n v="4585.13"/>
    <n v="73.59999999999999"/>
    <s v="CREDITOR"/>
    <n v="0"/>
    <n v="0"/>
    <n v="0"/>
    <n v="0"/>
    <n v="73.59999999999999"/>
  </r>
  <r>
    <n v="60070179"/>
    <s v="N"/>
    <n v="21318829"/>
    <s v="3000014404080019"/>
    <s v="CIVIL"/>
    <d v="2023-06-12T00:00:00"/>
    <d v="2023-07-03T19:01:49"/>
    <m/>
    <d v="2023-07-03T00:00:00"/>
    <n v="1712"/>
    <n v="16452"/>
    <s v="60070179"/>
    <s v="60070179"/>
    <m/>
    <m/>
    <n v="22666156"/>
    <m/>
    <m/>
    <m/>
    <s v="SOLFIN"/>
    <s v="SOLFIN"/>
    <s v="CCMS"/>
    <n v="21318829"/>
    <n v="14924.69"/>
    <m/>
    <s v="N"/>
    <n v="95"/>
    <d v="2023-07-03T19:02:03"/>
    <s v="Y"/>
    <s v="Preparation - drafting instructions"/>
    <s v="Care Remuneration Hourly Rates"/>
    <s v="Profit Cost"/>
    <s v="SF"/>
    <s v="Y"/>
    <n v="44.16"/>
    <n v="8.83"/>
    <x v="3"/>
    <s v="VALIDATED"/>
    <n v="1"/>
    <s v="01.11.80.308.6100.0000"/>
    <n v="44.16"/>
    <s v="11"/>
    <s v="6100"/>
    <n v="4585.13"/>
    <n v="44.16"/>
    <s v="CREDITOR"/>
    <n v="0"/>
    <n v="0"/>
    <n v="0"/>
    <n v="0"/>
    <n v="44.16"/>
  </r>
  <r>
    <n v="60070179"/>
    <s v="N"/>
    <n v="21318829"/>
    <s v="3000014404080019"/>
    <s v="CIVIL"/>
    <d v="2023-06-12T00:00:00"/>
    <d v="2023-07-03T19:01:49"/>
    <m/>
    <d v="2023-07-03T00:00:00"/>
    <n v="1712"/>
    <n v="16452"/>
    <s v="60070179"/>
    <s v="60070179"/>
    <m/>
    <m/>
    <n v="22666156"/>
    <m/>
    <m/>
    <m/>
    <s v="SOLFIN"/>
    <s v="SOLFIN"/>
    <s v="CCMS"/>
    <n v="21318829"/>
    <n v="14924.69"/>
    <m/>
    <s v="N"/>
    <n v="121"/>
    <d v="2023-07-03T19:02:03"/>
    <s v="Y"/>
    <s v="Preparation - other"/>
    <s v="Care Remuneration Hourly Rates"/>
    <s v="Profit Cost"/>
    <s v="SF"/>
    <s v="Y"/>
    <n v="29.44"/>
    <n v="5.89"/>
    <x v="3"/>
    <s v="VALIDATED"/>
    <n v="1"/>
    <s v="01.11.80.308.6100.0000"/>
    <n v="29.44"/>
    <s v="11"/>
    <s v="6100"/>
    <n v="4585.13"/>
    <n v="29.44"/>
    <s v="CREDITOR"/>
    <n v="0"/>
    <n v="0"/>
    <n v="0"/>
    <n v="0"/>
    <n v="29.44"/>
  </r>
  <r>
    <n v="60070179"/>
    <s v="N"/>
    <n v="21318829"/>
    <s v="3000014404080019"/>
    <s v="CIVIL"/>
    <d v="2023-06-12T00:00:00"/>
    <d v="2023-07-03T19:01:49"/>
    <m/>
    <d v="2023-07-03T00:00:00"/>
    <n v="1712"/>
    <n v="16452"/>
    <s v="60070179"/>
    <s v="60070179"/>
    <m/>
    <m/>
    <n v="22666156"/>
    <m/>
    <m/>
    <m/>
    <s v="SOLFIN"/>
    <s v="SOLFIN"/>
    <s v="CCMS"/>
    <n v="21318829"/>
    <n v="14924.69"/>
    <m/>
    <s v="N"/>
    <n v="105"/>
    <d v="2023-07-03T19:02:03"/>
    <s v="Y"/>
    <s v="Preparation - other"/>
    <s v="Care Remuneration Hourly Rates"/>
    <s v="Profit Cost"/>
    <s v="SF"/>
    <s v="Y"/>
    <n v="22.08"/>
    <n v="4.42"/>
    <x v="3"/>
    <s v="VALIDATED"/>
    <n v="1"/>
    <s v="01.11.80.308.6100.0000"/>
    <n v="22.08"/>
    <s v="11"/>
    <s v="6100"/>
    <n v="4585.13"/>
    <n v="22.08"/>
    <s v="CREDITOR"/>
    <n v="0"/>
    <n v="0"/>
    <n v="0"/>
    <n v="0"/>
    <n v="22.08"/>
  </r>
  <r>
    <n v="60070179"/>
    <s v="N"/>
    <n v="21318829"/>
    <s v="3000014404080019"/>
    <s v="CIVIL"/>
    <d v="2023-06-12T00:00:00"/>
    <d v="2023-07-03T19:01:49"/>
    <m/>
    <d v="2023-07-03T00:00:00"/>
    <n v="1712"/>
    <n v="16452"/>
    <s v="60070179"/>
    <s v="60070179"/>
    <m/>
    <m/>
    <n v="22666156"/>
    <m/>
    <m/>
    <m/>
    <s v="SOLFIN"/>
    <s v="SOLFIN"/>
    <s v="CCMS"/>
    <n v="21318829"/>
    <n v="14924.69"/>
    <m/>
    <s v="N"/>
    <n v="133"/>
    <d v="2023-07-03T19:02:03"/>
    <s v="Y"/>
    <s v="Preparation - other"/>
    <s v="Care Remuneration Hourly Rates"/>
    <s v="Profit Cost"/>
    <s v="SF"/>
    <s v="Y"/>
    <n v="36.81"/>
    <n v="7.36"/>
    <x v="3"/>
    <s v="VALIDATED"/>
    <n v="1"/>
    <s v="01.11.80.308.6100.0000"/>
    <n v="36.81"/>
    <s v="11"/>
    <s v="6100"/>
    <n v="4585.13"/>
    <n v="36.81"/>
    <s v="CREDITOR"/>
    <n v="0"/>
    <n v="0"/>
    <n v="0"/>
    <n v="0"/>
    <n v="36.81"/>
  </r>
  <r>
    <n v="19450633"/>
    <s v="N"/>
    <n v="21357225"/>
    <s v="3000008265510020RC"/>
    <s v="CIVIL"/>
    <d v="2023-06-26T00:00:00"/>
    <d v="2023-07-10T19:48:00"/>
    <m/>
    <d v="2023-07-10T00:00:00"/>
    <n v="1722"/>
    <n v="16529"/>
    <s v="19450633"/>
    <s v="19450633"/>
    <m/>
    <m/>
    <m/>
    <m/>
    <m/>
    <m/>
    <s v="SOLRECOUP"/>
    <s v="SOLRECOUP"/>
    <s v="POARECOUP"/>
    <n v="21357225"/>
    <n v="-156"/>
    <m/>
    <s v="Y"/>
    <n v="2"/>
    <d v="2023-07-10T19:48:00"/>
    <s v="N"/>
    <m/>
    <m/>
    <s v="Expert Disbursement"/>
    <m/>
    <s v="N"/>
    <n v="0"/>
    <n v="-26"/>
    <x v="2"/>
    <s v="VALIDATED"/>
    <n v="1"/>
    <s v="01.11.80.308.2013.0000"/>
    <n v="-26"/>
    <s v="11"/>
    <s v="2013"/>
    <n v="-26602.14"/>
    <n v="-26"/>
    <s v="DEBTOR"/>
    <n v="0"/>
    <n v="0"/>
    <n v="0"/>
    <n v="0"/>
    <n v="0"/>
  </r>
  <r>
    <n v="19450633"/>
    <s v="N"/>
    <n v="21357225"/>
    <s v="3000008265510020RC"/>
    <s v="CIVIL"/>
    <d v="2023-06-26T00:00:00"/>
    <d v="2023-07-10T19:48:00"/>
    <m/>
    <d v="2023-07-10T00:00:00"/>
    <n v="1722"/>
    <n v="16529"/>
    <s v="19450633"/>
    <s v="19450633"/>
    <m/>
    <m/>
    <m/>
    <m/>
    <m/>
    <m/>
    <s v="SOLRECOUP"/>
    <s v="SOLRECOUP"/>
    <s v="POARECOUP"/>
    <n v="21357225"/>
    <n v="-156"/>
    <m/>
    <s v="Y"/>
    <n v="1"/>
    <d v="2023-07-10T19:48:00"/>
    <s v="N"/>
    <m/>
    <m/>
    <s v="Expert Disbursement"/>
    <m/>
    <s v="N"/>
    <n v="-130"/>
    <n v="0"/>
    <x v="2"/>
    <s v="VALIDATED"/>
    <n v="1"/>
    <s v="01.11.80.308.2013.0000"/>
    <n v="-130"/>
    <s v="11"/>
    <s v="2013"/>
    <n v="-26602.14"/>
    <n v="-130"/>
    <s v="DEBTOR"/>
    <n v="0"/>
    <n v="0"/>
    <n v="0"/>
    <n v="0"/>
    <n v="0"/>
  </r>
  <r>
    <n v="19450633"/>
    <s v="N"/>
    <n v="21357226"/>
    <s v="3000008265510027RC"/>
    <s v="CIVIL"/>
    <d v="2023-06-26T00:00:00"/>
    <d v="2023-07-10T19:48:00"/>
    <m/>
    <d v="2023-07-10T00:00:00"/>
    <n v="1722"/>
    <n v="16529"/>
    <s v="19450633"/>
    <s v="19450633"/>
    <m/>
    <m/>
    <m/>
    <m/>
    <m/>
    <m/>
    <s v="SOLRECOUP"/>
    <s v="SOLRECOUP"/>
    <s v="POARECOUP"/>
    <n v="21357226"/>
    <n v="-4902.2"/>
    <m/>
    <s v="Y"/>
    <n v="2"/>
    <d v="2023-07-10T19:48:00"/>
    <s v="N"/>
    <m/>
    <m/>
    <s v="Profit Cost"/>
    <m/>
    <s v="N"/>
    <n v="0"/>
    <n v="-817.03"/>
    <x v="2"/>
    <s v="VALIDATED"/>
    <n v="1"/>
    <s v="01.11.80.308.2013.0000"/>
    <n v="-817.03"/>
    <s v="11"/>
    <s v="2013"/>
    <n v="-26602.14"/>
    <n v="-817.03"/>
    <s v="DEBTOR"/>
    <n v="0"/>
    <n v="0"/>
    <n v="0"/>
    <n v="0"/>
    <n v="0"/>
  </r>
  <r>
    <n v="19450633"/>
    <s v="N"/>
    <n v="21357226"/>
    <s v="3000008265510027RC"/>
    <s v="CIVIL"/>
    <d v="2023-06-26T00:00:00"/>
    <d v="2023-07-10T19:48:00"/>
    <m/>
    <d v="2023-07-10T00:00:00"/>
    <n v="1722"/>
    <n v="16529"/>
    <s v="19450633"/>
    <s v="19450633"/>
    <m/>
    <m/>
    <m/>
    <m/>
    <m/>
    <m/>
    <s v="SOLRECOUP"/>
    <s v="SOLRECOUP"/>
    <s v="POARECOUP"/>
    <n v="21357226"/>
    <n v="-4902.2"/>
    <m/>
    <s v="Y"/>
    <n v="1"/>
    <d v="2023-07-10T19:48:00"/>
    <s v="N"/>
    <m/>
    <m/>
    <s v="Profit Cost"/>
    <m/>
    <s v="N"/>
    <n v="-4085.17"/>
    <n v="0"/>
    <x v="2"/>
    <s v="VALIDATED"/>
    <n v="1"/>
    <s v="01.11.80.308.2013.0000"/>
    <n v="-4085.17"/>
    <s v="11"/>
    <s v="2013"/>
    <n v="-26602.14"/>
    <n v="-4085.17"/>
    <s v="DEBTOR"/>
    <n v="0"/>
    <n v="0"/>
    <n v="0"/>
    <n v="0"/>
    <n v="0"/>
  </r>
  <r>
    <n v="19450633"/>
    <s v="N"/>
    <n v="21357227"/>
    <s v="3000008265510026RC"/>
    <s v="CIVIL"/>
    <d v="2023-06-26T00:00:00"/>
    <d v="2023-07-10T19:48:00"/>
    <m/>
    <d v="2023-07-10T00:00:00"/>
    <n v="1722"/>
    <n v="16529"/>
    <s v="19450633"/>
    <s v="19450633"/>
    <m/>
    <m/>
    <m/>
    <m/>
    <m/>
    <m/>
    <s v="SOLRECOUP"/>
    <s v="SOLRECOUP"/>
    <s v="POARECOUP"/>
    <n v="21357227"/>
    <n v="-167"/>
    <m/>
    <s v="Y"/>
    <n v="2"/>
    <d v="2023-07-10T19:48:00"/>
    <s v="N"/>
    <m/>
    <m/>
    <s v="Non Expert Disbursement"/>
    <m/>
    <s v="N"/>
    <n v="0"/>
    <n v="0"/>
    <x v="2"/>
    <s v="VALIDATED"/>
    <n v="1"/>
    <s v="01.11.80.000.0000.0000"/>
    <n v="0"/>
    <s v="11"/>
    <s v="0000"/>
    <n v="-26602.14"/>
    <n v="0"/>
    <s v="DEBTOR"/>
    <n v="0"/>
    <n v="0"/>
    <n v="0"/>
    <n v="0"/>
    <n v="0"/>
  </r>
  <r>
    <n v="19450633"/>
    <s v="N"/>
    <n v="21357227"/>
    <s v="3000008265510026RC"/>
    <s v="CIVIL"/>
    <d v="2023-06-26T00:00:00"/>
    <d v="2023-07-10T19:48:00"/>
    <m/>
    <d v="2023-07-10T00:00:00"/>
    <n v="1722"/>
    <n v="16529"/>
    <s v="19450633"/>
    <s v="19450633"/>
    <m/>
    <m/>
    <m/>
    <m/>
    <m/>
    <m/>
    <s v="SOLRECOUP"/>
    <s v="SOLRECOUP"/>
    <s v="POARECOUP"/>
    <n v="21357227"/>
    <n v="-167"/>
    <m/>
    <s v="Y"/>
    <n v="1"/>
    <d v="2023-07-10T19:48:00"/>
    <s v="N"/>
    <m/>
    <m/>
    <s v="Non Expert Disbursement"/>
    <m/>
    <s v="N"/>
    <n v="-167"/>
    <n v="0"/>
    <x v="2"/>
    <s v="VALIDATED"/>
    <n v="1"/>
    <s v="01.11.80.308.2013.0000"/>
    <n v="-167"/>
    <s v="11"/>
    <s v="2013"/>
    <n v="-26602.14"/>
    <n v="-167"/>
    <s v="DEBTOR"/>
    <n v="0"/>
    <n v="0"/>
    <n v="0"/>
    <n v="0"/>
    <n v="0"/>
  </r>
  <r>
    <n v="19450633"/>
    <s v="N"/>
    <n v="21357228"/>
    <s v="3000008265510030RC"/>
    <s v="CIVIL"/>
    <d v="2023-06-26T00:00:00"/>
    <d v="2023-07-10T19:48:00"/>
    <m/>
    <d v="2023-07-10T00:00:00"/>
    <n v="1722"/>
    <n v="16529"/>
    <s v="19450633"/>
    <s v="19450633"/>
    <m/>
    <m/>
    <m/>
    <m/>
    <m/>
    <m/>
    <s v="SOLRECOUP"/>
    <s v="SOLRECOUP"/>
    <s v="POARECOUP"/>
    <n v="21357228"/>
    <n v="-3715.2"/>
    <m/>
    <s v="Y"/>
    <n v="2"/>
    <d v="2023-07-10T19:48:00"/>
    <s v="N"/>
    <m/>
    <m/>
    <s v="Non Expert Disbursement"/>
    <m/>
    <s v="N"/>
    <n v="0"/>
    <n v="-619.2"/>
    <x v="2"/>
    <s v="VALIDATED"/>
    <n v="1"/>
    <s v="01.11.80.308.2013.0000"/>
    <n v="-619.2"/>
    <s v="11"/>
    <s v="2013"/>
    <n v="-26602.14"/>
    <n v="-619.2"/>
    <s v="DEBTOR"/>
    <n v="0"/>
    <n v="0"/>
    <n v="0"/>
    <n v="0"/>
    <n v="0"/>
  </r>
  <r>
    <n v="19450633"/>
    <s v="N"/>
    <n v="21357228"/>
    <s v="3000008265510030RC"/>
    <s v="CIVIL"/>
    <d v="2023-06-26T00:00:00"/>
    <d v="2023-07-10T19:48:00"/>
    <m/>
    <d v="2023-07-10T00:00:00"/>
    <n v="1722"/>
    <n v="16529"/>
    <s v="19450633"/>
    <s v="19450633"/>
    <m/>
    <m/>
    <m/>
    <m/>
    <m/>
    <m/>
    <s v="SOLRECOUP"/>
    <s v="SOLRECOUP"/>
    <s v="POARECOUP"/>
    <n v="21357228"/>
    <n v="-3715.2"/>
    <m/>
    <s v="Y"/>
    <n v="1"/>
    <d v="2023-07-10T19:48:00"/>
    <s v="N"/>
    <m/>
    <m/>
    <s v="Non Expert Disbursement"/>
    <m/>
    <s v="N"/>
    <n v="-3096"/>
    <n v="0"/>
    <x v="2"/>
    <s v="VALIDATED"/>
    <n v="1"/>
    <s v="01.11.80.308.2013.0000"/>
    <n v="-3096"/>
    <s v="11"/>
    <s v="2013"/>
    <n v="-26602.14"/>
    <n v="-3096"/>
    <s v="DEBTOR"/>
    <n v="0"/>
    <n v="0"/>
    <n v="0"/>
    <n v="0"/>
    <n v="0"/>
  </r>
  <r>
    <n v="27782543"/>
    <s v="N"/>
    <n v="21334022"/>
    <s v="3000009165120028RC"/>
    <s v="CIVIL"/>
    <d v="2023-06-28T00:00:00"/>
    <d v="2023-07-05T19:42:28"/>
    <m/>
    <d v="2023-07-05T00:00:00"/>
    <n v="1722"/>
    <n v="16529"/>
    <s v="27782543"/>
    <s v="27782543"/>
    <m/>
    <m/>
    <m/>
    <m/>
    <m/>
    <m/>
    <s v="SOLRECOUP"/>
    <s v="SOLRECOUP"/>
    <s v="POARECOUP"/>
    <n v="21334022"/>
    <n v="-31.68"/>
    <m/>
    <s v="Y"/>
    <n v="2"/>
    <d v="2023-07-05T19:42:29"/>
    <s v="N"/>
    <m/>
    <m/>
    <s v="Expert Disbursement"/>
    <m/>
    <s v="N"/>
    <n v="0"/>
    <n v="-5.28"/>
    <x v="6"/>
    <s v="VALIDATED"/>
    <n v="1"/>
    <s v="01.11.80.308.2013.0000"/>
    <n v="-5.28"/>
    <s v="11"/>
    <s v="2013"/>
    <n v="-26602.14"/>
    <n v="-5.28"/>
    <s v="DEBTOR"/>
    <n v="0"/>
    <n v="0"/>
    <n v="0"/>
    <n v="0"/>
    <n v="0"/>
  </r>
  <r>
    <n v="27782543"/>
    <s v="N"/>
    <n v="21334022"/>
    <s v="3000009165120028RC"/>
    <s v="CIVIL"/>
    <d v="2023-06-28T00:00:00"/>
    <d v="2023-07-05T19:42:28"/>
    <m/>
    <d v="2023-07-05T00:00:00"/>
    <n v="1722"/>
    <n v="16529"/>
    <s v="27782543"/>
    <s v="27782543"/>
    <m/>
    <m/>
    <m/>
    <m/>
    <m/>
    <m/>
    <s v="SOLRECOUP"/>
    <s v="SOLRECOUP"/>
    <s v="POARECOUP"/>
    <n v="21334022"/>
    <n v="-31.68"/>
    <m/>
    <s v="Y"/>
    <n v="1"/>
    <d v="2023-07-05T19:42:29"/>
    <s v="N"/>
    <m/>
    <m/>
    <s v="Expert Disbursement"/>
    <m/>
    <s v="N"/>
    <n v="-26.4"/>
    <n v="0"/>
    <x v="6"/>
    <s v="VALIDATED"/>
    <n v="1"/>
    <s v="01.11.80.308.2013.0000"/>
    <n v="-26.4"/>
    <s v="11"/>
    <s v="2013"/>
    <n v="-26602.14"/>
    <n v="-26.4"/>
    <s v="DEBTOR"/>
    <n v="0"/>
    <n v="0"/>
    <n v="0"/>
    <n v="0"/>
    <n v="0"/>
  </r>
  <r>
    <n v="27782543"/>
    <s v="N"/>
    <n v="21334023"/>
    <s v="3000009165120034RC"/>
    <s v="CIVIL"/>
    <d v="2023-06-28T00:00:00"/>
    <d v="2023-07-05T19:42:28"/>
    <m/>
    <d v="2023-07-05T00:00:00"/>
    <n v="1722"/>
    <n v="16529"/>
    <s v="27782543"/>
    <s v="27782543"/>
    <m/>
    <m/>
    <m/>
    <m/>
    <m/>
    <m/>
    <s v="SOLRECOUP"/>
    <s v="SOLRECOUP"/>
    <s v="POARECOUP"/>
    <n v="21334023"/>
    <n v="-163.2"/>
    <m/>
    <s v="Y"/>
    <n v="2"/>
    <d v="2023-07-05T19:42:29"/>
    <s v="N"/>
    <m/>
    <m/>
    <s v="Expert Disbursement"/>
    <m/>
    <s v="N"/>
    <n v="0"/>
    <n v="-27.2"/>
    <x v="6"/>
    <s v="VALIDATED"/>
    <n v="1"/>
    <s v="01.11.80.308.2013.0000"/>
    <n v="-27.2"/>
    <s v="11"/>
    <s v="2013"/>
    <n v="-26602.14"/>
    <n v="-27.2"/>
    <s v="DEBTOR"/>
    <n v="0"/>
    <n v="0"/>
    <n v="0"/>
    <n v="0"/>
    <n v="0"/>
  </r>
  <r>
    <n v="27782543"/>
    <s v="N"/>
    <n v="21334023"/>
    <s v="3000009165120034RC"/>
    <s v="CIVIL"/>
    <d v="2023-06-28T00:00:00"/>
    <d v="2023-07-05T19:42:28"/>
    <m/>
    <d v="2023-07-05T00:00:00"/>
    <n v="1722"/>
    <n v="16529"/>
    <s v="27782543"/>
    <s v="27782543"/>
    <m/>
    <m/>
    <m/>
    <m/>
    <m/>
    <m/>
    <s v="SOLRECOUP"/>
    <s v="SOLRECOUP"/>
    <s v="POARECOUP"/>
    <n v="21334023"/>
    <n v="-163.2"/>
    <m/>
    <s v="Y"/>
    <n v="1"/>
    <d v="2023-07-05T19:42:29"/>
    <s v="N"/>
    <m/>
    <m/>
    <s v="Expert Disbursement"/>
    <m/>
    <s v="N"/>
    <n v="-136"/>
    <n v="0"/>
    <x v="6"/>
    <s v="VALIDATED"/>
    <n v="1"/>
    <s v="01.11.80.308.2013.0000"/>
    <n v="-136"/>
    <s v="11"/>
    <s v="2013"/>
    <n v="-26602.14"/>
    <n v="-136"/>
    <s v="DEBTOR"/>
    <n v="0"/>
    <n v="0"/>
    <n v="0"/>
    <n v="0"/>
    <n v="0"/>
  </r>
  <r>
    <n v="27782543"/>
    <s v="N"/>
    <n v="21334024"/>
    <s v="3000009165120031RC"/>
    <s v="CIVIL"/>
    <d v="2023-06-28T00:00:00"/>
    <d v="2023-07-05T19:42:28"/>
    <m/>
    <d v="2023-07-05T00:00:00"/>
    <n v="1722"/>
    <n v="16529"/>
    <s v="27782543"/>
    <s v="27782543"/>
    <m/>
    <m/>
    <m/>
    <m/>
    <m/>
    <m/>
    <s v="SOLRECOUP"/>
    <s v="SOLRECOUP"/>
    <s v="POARECOUP"/>
    <n v="21334024"/>
    <n v="-512.16"/>
    <m/>
    <s v="Y"/>
    <n v="2"/>
    <d v="2023-07-05T19:42:29"/>
    <s v="N"/>
    <m/>
    <m/>
    <s v="Expert Disbursement"/>
    <m/>
    <s v="N"/>
    <n v="0"/>
    <n v="-85.36"/>
    <x v="6"/>
    <s v="VALIDATED"/>
    <n v="1"/>
    <s v="01.11.80.308.2013.0000"/>
    <n v="-85.36"/>
    <s v="11"/>
    <s v="2013"/>
    <n v="-26602.14"/>
    <n v="-85.36"/>
    <s v="DEBTOR"/>
    <n v="0"/>
    <n v="0"/>
    <n v="0"/>
    <n v="0"/>
    <n v="0"/>
  </r>
  <r>
    <n v="27782543"/>
    <s v="N"/>
    <n v="21334024"/>
    <s v="3000009165120031RC"/>
    <s v="CIVIL"/>
    <d v="2023-06-28T00:00:00"/>
    <d v="2023-07-05T19:42:28"/>
    <m/>
    <d v="2023-07-05T00:00:00"/>
    <n v="1722"/>
    <n v="16529"/>
    <s v="27782543"/>
    <s v="27782543"/>
    <m/>
    <m/>
    <m/>
    <m/>
    <m/>
    <m/>
    <s v="SOLRECOUP"/>
    <s v="SOLRECOUP"/>
    <s v="POARECOUP"/>
    <n v="21334024"/>
    <n v="-512.16"/>
    <m/>
    <s v="Y"/>
    <n v="1"/>
    <d v="2023-07-05T19:42:29"/>
    <s v="N"/>
    <m/>
    <m/>
    <s v="Expert Disbursement"/>
    <m/>
    <s v="N"/>
    <n v="-426.8"/>
    <n v="0"/>
    <x v="6"/>
    <s v="VALIDATED"/>
    <n v="1"/>
    <s v="01.11.80.308.2013.0000"/>
    <n v="-426.8"/>
    <s v="11"/>
    <s v="2013"/>
    <n v="-26602.14"/>
    <n v="-426.8"/>
    <s v="DEBTOR"/>
    <n v="0"/>
    <n v="0"/>
    <n v="0"/>
    <n v="0"/>
    <n v="0"/>
  </r>
  <r>
    <n v="27782543"/>
    <s v="N"/>
    <n v="21334025"/>
    <s v="3000009165120033RC"/>
    <s v="CIVIL"/>
    <d v="2023-06-28T00:00:00"/>
    <d v="2023-07-05T19:42:28"/>
    <m/>
    <d v="2023-07-05T00:00:00"/>
    <n v="1722"/>
    <n v="16529"/>
    <s v="27782543"/>
    <s v="27782543"/>
    <m/>
    <m/>
    <m/>
    <m/>
    <m/>
    <m/>
    <s v="SOLRECOUP"/>
    <s v="SOLRECOUP"/>
    <s v="POARECOUP"/>
    <n v="21334025"/>
    <n v="-349.01"/>
    <m/>
    <s v="Y"/>
    <n v="2"/>
    <d v="2023-07-05T19:42:29"/>
    <s v="N"/>
    <m/>
    <m/>
    <s v="Expert Disbursement"/>
    <m/>
    <s v="N"/>
    <n v="0"/>
    <n v="-58.17"/>
    <x v="6"/>
    <s v="VALIDATED"/>
    <n v="1"/>
    <s v="01.11.80.308.2013.0000"/>
    <n v="-58.17"/>
    <s v="11"/>
    <s v="2013"/>
    <n v="-26602.14"/>
    <n v="-58.17"/>
    <s v="DEBTOR"/>
    <n v="0"/>
    <n v="0"/>
    <n v="0"/>
    <n v="0"/>
    <n v="0"/>
  </r>
  <r>
    <n v="27782543"/>
    <s v="N"/>
    <n v="21334025"/>
    <s v="3000009165120033RC"/>
    <s v="CIVIL"/>
    <d v="2023-06-28T00:00:00"/>
    <d v="2023-07-05T19:42:28"/>
    <m/>
    <d v="2023-07-05T00:00:00"/>
    <n v="1722"/>
    <n v="16529"/>
    <s v="27782543"/>
    <s v="27782543"/>
    <m/>
    <m/>
    <m/>
    <m/>
    <m/>
    <m/>
    <s v="SOLRECOUP"/>
    <s v="SOLRECOUP"/>
    <s v="POARECOUP"/>
    <n v="21334025"/>
    <n v="-349.01"/>
    <m/>
    <s v="Y"/>
    <n v="1"/>
    <d v="2023-07-05T19:42:29"/>
    <s v="N"/>
    <m/>
    <m/>
    <s v="Expert Disbursement"/>
    <m/>
    <s v="N"/>
    <n v="-290.84"/>
    <n v="0"/>
    <x v="6"/>
    <s v="VALIDATED"/>
    <n v="1"/>
    <s v="01.11.80.308.2013.0000"/>
    <n v="-290.84"/>
    <s v="11"/>
    <s v="2013"/>
    <n v="-26602.14"/>
    <n v="-290.84"/>
    <s v="DEBTOR"/>
    <n v="0"/>
    <n v="0"/>
    <n v="0"/>
    <n v="0"/>
    <n v="0"/>
  </r>
  <r>
    <n v="10916222"/>
    <s v="N"/>
    <n v="21346490"/>
    <s v="3000006682680001RC"/>
    <s v="CIVIL"/>
    <d v="2023-06-23T00:00:00"/>
    <d v="2023-07-07T19:34:21"/>
    <m/>
    <d v="2023-07-07T00:00:00"/>
    <n v="1722"/>
    <n v="16529"/>
    <s v="10916222"/>
    <s v="10916222"/>
    <m/>
    <m/>
    <m/>
    <m/>
    <m/>
    <m/>
    <s v="SOLRECOUP"/>
    <s v="SOLRECOUP"/>
    <s v="POARECOUP"/>
    <n v="21346490"/>
    <n v="-1719.9"/>
    <m/>
    <s v="Y"/>
    <n v="2"/>
    <d v="2023-07-07T19:34:23"/>
    <s v="N"/>
    <m/>
    <m/>
    <s v="Profit Cost"/>
    <m/>
    <s v="N"/>
    <n v="0"/>
    <n v="-286.65"/>
    <x v="9"/>
    <s v="VALIDATED"/>
    <n v="1"/>
    <s v="01.11.80.308.2013.0000"/>
    <n v="-286.65"/>
    <s v="11"/>
    <s v="2013"/>
    <n v="-26602.14"/>
    <n v="-286.65"/>
    <s v="DEBTOR"/>
    <n v="0"/>
    <n v="0"/>
    <n v="0"/>
    <n v="0"/>
    <n v="0"/>
  </r>
  <r>
    <n v="10916222"/>
    <s v="N"/>
    <n v="21346490"/>
    <s v="3000006682680001RC"/>
    <s v="CIVIL"/>
    <d v="2023-06-23T00:00:00"/>
    <d v="2023-07-07T19:34:21"/>
    <m/>
    <d v="2023-07-07T00:00:00"/>
    <n v="1722"/>
    <n v="16529"/>
    <s v="10916222"/>
    <s v="10916222"/>
    <m/>
    <m/>
    <m/>
    <m/>
    <m/>
    <m/>
    <s v="SOLRECOUP"/>
    <s v="SOLRECOUP"/>
    <s v="POARECOUP"/>
    <n v="21346490"/>
    <n v="-1719.9"/>
    <m/>
    <s v="Y"/>
    <n v="1"/>
    <d v="2023-07-07T19:34:23"/>
    <s v="N"/>
    <m/>
    <m/>
    <s v="Profit Cost"/>
    <m/>
    <s v="N"/>
    <n v="-1433.25"/>
    <n v="0"/>
    <x v="9"/>
    <s v="VALIDATED"/>
    <n v="1"/>
    <s v="01.11.80.308.2013.0000"/>
    <n v="-1433.25"/>
    <s v="11"/>
    <s v="2013"/>
    <n v="-26602.14"/>
    <n v="-1433.25"/>
    <s v="DEBTOR"/>
    <n v="0"/>
    <n v="0"/>
    <n v="0"/>
    <n v="0"/>
    <n v="0"/>
  </r>
  <r>
    <n v="10916222"/>
    <s v="N"/>
    <n v="21346491"/>
    <s v="3000006682680004RC"/>
    <s v="CIVIL"/>
    <d v="2023-06-23T00:00:00"/>
    <d v="2023-07-07T19:34:21"/>
    <m/>
    <d v="2023-07-07T00:00:00"/>
    <n v="1722"/>
    <n v="16529"/>
    <s v="10916222"/>
    <s v="10916222"/>
    <m/>
    <m/>
    <m/>
    <m/>
    <m/>
    <m/>
    <s v="SOLRECOUP"/>
    <s v="SOLRECOUP"/>
    <s v="POARECOUP"/>
    <n v="21346491"/>
    <n v="-2178.97"/>
    <m/>
    <s v="Y"/>
    <n v="2"/>
    <d v="2023-07-07T19:34:23"/>
    <s v="N"/>
    <m/>
    <m/>
    <s v="Profit Cost"/>
    <m/>
    <s v="N"/>
    <n v="0"/>
    <n v="-363.16"/>
    <x v="9"/>
    <s v="VALIDATED"/>
    <n v="1"/>
    <s v="01.11.80.308.2013.0000"/>
    <n v="-363.16"/>
    <s v="11"/>
    <s v="2013"/>
    <n v="-26602.14"/>
    <n v="-363.16"/>
    <s v="DEBTOR"/>
    <n v="0"/>
    <n v="0"/>
    <n v="0"/>
    <n v="0"/>
    <n v="0"/>
  </r>
  <r>
    <n v="10916222"/>
    <s v="N"/>
    <n v="21346491"/>
    <s v="3000006682680004RC"/>
    <s v="CIVIL"/>
    <d v="2023-06-23T00:00:00"/>
    <d v="2023-07-07T19:34:21"/>
    <m/>
    <d v="2023-07-07T00:00:00"/>
    <n v="1722"/>
    <n v="16529"/>
    <s v="10916222"/>
    <s v="10916222"/>
    <m/>
    <m/>
    <m/>
    <m/>
    <m/>
    <m/>
    <s v="SOLRECOUP"/>
    <s v="SOLRECOUP"/>
    <s v="POARECOUP"/>
    <n v="21346491"/>
    <n v="-2178.97"/>
    <m/>
    <s v="Y"/>
    <n v="1"/>
    <d v="2023-07-07T19:34:23"/>
    <s v="N"/>
    <m/>
    <m/>
    <s v="Profit Cost"/>
    <m/>
    <s v="N"/>
    <n v="-1815.81"/>
    <n v="0"/>
    <x v="9"/>
    <s v="VALIDATED"/>
    <n v="1"/>
    <s v="01.11.80.308.2013.0000"/>
    <n v="-1815.81"/>
    <s v="11"/>
    <s v="2013"/>
    <n v="-26602.14"/>
    <n v="-1815.81"/>
    <s v="DEBTOR"/>
    <n v="0"/>
    <n v="0"/>
    <n v="0"/>
    <n v="0"/>
    <n v="0"/>
  </r>
  <r>
    <n v="10916222"/>
    <s v="N"/>
    <n v="21346492"/>
    <s v="3000006682680011RC"/>
    <s v="CIVIL"/>
    <d v="2023-06-23T00:00:00"/>
    <d v="2023-07-07T19:34:21"/>
    <m/>
    <d v="2023-07-07T00:00:00"/>
    <n v="1722"/>
    <n v="16529"/>
    <s v="10916222"/>
    <s v="10916222"/>
    <m/>
    <m/>
    <m/>
    <m/>
    <m/>
    <m/>
    <s v="SOLRECOUP"/>
    <s v="SOLRECOUP"/>
    <s v="POARECOUP"/>
    <n v="21346492"/>
    <n v="-769.87"/>
    <m/>
    <s v="Y"/>
    <n v="2"/>
    <d v="2023-07-07T19:34:23"/>
    <s v="N"/>
    <m/>
    <m/>
    <s v="Expert Disbursement"/>
    <m/>
    <s v="N"/>
    <n v="0"/>
    <n v="-128.31"/>
    <x v="9"/>
    <s v="VALIDATED"/>
    <n v="1"/>
    <s v="01.11.80.308.2013.0000"/>
    <n v="-128.31"/>
    <s v="11"/>
    <s v="2013"/>
    <n v="-26602.14"/>
    <n v="-128.31"/>
    <s v="DEBTOR"/>
    <n v="0"/>
    <n v="0"/>
    <n v="0"/>
    <n v="0"/>
    <n v="0"/>
  </r>
  <r>
    <n v="10916222"/>
    <s v="N"/>
    <n v="21346492"/>
    <s v="3000006682680011RC"/>
    <s v="CIVIL"/>
    <d v="2023-06-23T00:00:00"/>
    <d v="2023-07-07T19:34:21"/>
    <m/>
    <d v="2023-07-07T00:00:00"/>
    <n v="1722"/>
    <n v="16529"/>
    <s v="10916222"/>
    <s v="10916222"/>
    <m/>
    <m/>
    <m/>
    <m/>
    <m/>
    <m/>
    <s v="SOLRECOUP"/>
    <s v="SOLRECOUP"/>
    <s v="POARECOUP"/>
    <n v="21346492"/>
    <n v="-769.87"/>
    <m/>
    <s v="Y"/>
    <n v="1"/>
    <d v="2023-07-07T19:34:23"/>
    <s v="N"/>
    <m/>
    <m/>
    <s v="Expert Disbursement"/>
    <m/>
    <s v="N"/>
    <n v="-641.5599999999999"/>
    <n v="0"/>
    <x v="9"/>
    <s v="VALIDATED"/>
    <n v="1"/>
    <s v="01.11.80.308.2013.0000"/>
    <n v="-641.5599999999999"/>
    <s v="11"/>
    <s v="2013"/>
    <n v="-26602.14"/>
    <n v="-641.5599999999999"/>
    <s v="DEBTOR"/>
    <n v="0"/>
    <n v="0"/>
    <n v="0"/>
    <n v="0"/>
    <n v="0"/>
  </r>
  <r>
    <n v="10916222"/>
    <s v="N"/>
    <n v="21346493"/>
    <s v="3000006682680007RC"/>
    <s v="CIVIL"/>
    <d v="2023-06-23T00:00:00"/>
    <d v="2023-07-07T19:34:21"/>
    <m/>
    <d v="2023-07-07T00:00:00"/>
    <n v="1722"/>
    <n v="16529"/>
    <s v="10916222"/>
    <s v="10916222"/>
    <m/>
    <m/>
    <m/>
    <m/>
    <m/>
    <m/>
    <s v="SOLRECOUP"/>
    <s v="SOLRECOUP"/>
    <s v="POARECOUP"/>
    <n v="21346493"/>
    <n v="-2657.05"/>
    <m/>
    <s v="Y"/>
    <n v="2"/>
    <d v="2023-07-07T19:34:23"/>
    <s v="N"/>
    <m/>
    <m/>
    <s v="Profit Cost"/>
    <m/>
    <s v="N"/>
    <n v="0"/>
    <n v="-442.84"/>
    <x v="9"/>
    <s v="VALIDATED"/>
    <n v="1"/>
    <s v="01.11.80.308.2013.0000"/>
    <n v="-442.84"/>
    <s v="11"/>
    <s v="2013"/>
    <n v="-26602.14"/>
    <n v="-442.84"/>
    <s v="DEBTOR"/>
    <n v="0"/>
    <n v="0"/>
    <n v="0"/>
    <n v="0"/>
    <n v="0"/>
  </r>
  <r>
    <n v="10916222"/>
    <s v="N"/>
    <n v="21346493"/>
    <s v="3000006682680007RC"/>
    <s v="CIVIL"/>
    <d v="2023-06-23T00:00:00"/>
    <d v="2023-07-07T19:34:21"/>
    <m/>
    <d v="2023-07-07T00:00:00"/>
    <n v="1722"/>
    <n v="16529"/>
    <s v="10916222"/>
    <s v="10916222"/>
    <m/>
    <m/>
    <m/>
    <m/>
    <m/>
    <m/>
    <s v="SOLRECOUP"/>
    <s v="SOLRECOUP"/>
    <s v="POARECOUP"/>
    <n v="21346493"/>
    <n v="-2657.05"/>
    <m/>
    <s v="Y"/>
    <n v="1"/>
    <d v="2023-07-07T19:34:23"/>
    <s v="N"/>
    <m/>
    <m/>
    <s v="Profit Cost"/>
    <m/>
    <s v="N"/>
    <n v="-2214.21"/>
    <n v="0"/>
    <x v="9"/>
    <s v="VALIDATED"/>
    <n v="1"/>
    <s v="01.11.80.308.2013.0000"/>
    <n v="-2214.21"/>
    <s v="11"/>
    <s v="2013"/>
    <n v="-26602.14"/>
    <n v="-2214.21"/>
    <s v="DEBTOR"/>
    <n v="0"/>
    <n v="0"/>
    <n v="0"/>
    <n v="0"/>
    <n v="0"/>
  </r>
  <r>
    <n v="10916222"/>
    <s v="N"/>
    <n v="21346494"/>
    <s v="3000006682680003RC"/>
    <s v="CIVIL"/>
    <d v="2023-06-23T00:00:00"/>
    <d v="2023-07-07T19:34:21"/>
    <m/>
    <d v="2023-07-07T00:00:00"/>
    <n v="1722"/>
    <n v="16529"/>
    <s v="10916222"/>
    <s v="10916222"/>
    <m/>
    <m/>
    <m/>
    <m/>
    <m/>
    <m/>
    <s v="SOLRECOUP"/>
    <s v="SOLRECOUP"/>
    <s v="POARECOUP"/>
    <n v="21346494"/>
    <n v="-10"/>
    <m/>
    <s v="Y"/>
    <n v="2"/>
    <d v="2023-07-07T19:34:23"/>
    <s v="N"/>
    <m/>
    <m/>
    <s v="Non Expert Disbursement"/>
    <m/>
    <s v="N"/>
    <n v="0"/>
    <n v="0"/>
    <x v="9"/>
    <s v="VALIDATED"/>
    <n v="1"/>
    <s v="01.11.80.000.0000.0000"/>
    <n v="0"/>
    <s v="11"/>
    <s v="0000"/>
    <n v="-26602.14"/>
    <n v="0"/>
    <s v="DEBTOR"/>
    <n v="0"/>
    <n v="0"/>
    <n v="0"/>
    <n v="0"/>
    <n v="0"/>
  </r>
  <r>
    <n v="10916222"/>
    <s v="N"/>
    <n v="21346494"/>
    <s v="3000006682680003RC"/>
    <s v="CIVIL"/>
    <d v="2023-06-23T00:00:00"/>
    <d v="2023-07-07T19:34:21"/>
    <m/>
    <d v="2023-07-07T00:00:00"/>
    <n v="1722"/>
    <n v="16529"/>
    <s v="10916222"/>
    <s v="10916222"/>
    <m/>
    <m/>
    <m/>
    <m/>
    <m/>
    <m/>
    <s v="SOLRECOUP"/>
    <s v="SOLRECOUP"/>
    <s v="POARECOUP"/>
    <n v="21346494"/>
    <n v="-10"/>
    <m/>
    <s v="Y"/>
    <n v="1"/>
    <d v="2023-07-07T19:34:23"/>
    <s v="N"/>
    <m/>
    <m/>
    <s v="Non Expert Disbursement"/>
    <m/>
    <s v="N"/>
    <n v="-10"/>
    <n v="0"/>
    <x v="9"/>
    <s v="VALIDATED"/>
    <n v="1"/>
    <s v="01.11.80.308.2013.0000"/>
    <n v="-10"/>
    <s v="11"/>
    <s v="2013"/>
    <n v="-26602.14"/>
    <n v="-10"/>
    <s v="DEBTOR"/>
    <n v="0"/>
    <n v="0"/>
    <n v="0"/>
    <n v="0"/>
    <n v="0"/>
  </r>
  <r>
    <n v="10916222"/>
    <s v="N"/>
    <n v="21346495"/>
    <s v="3000006682680008RC"/>
    <s v="CIVIL"/>
    <d v="2023-06-23T00:00:00"/>
    <d v="2023-07-07T19:34:21"/>
    <m/>
    <d v="2023-07-07T00:00:00"/>
    <n v="1722"/>
    <n v="16529"/>
    <s v="10916222"/>
    <s v="10916222"/>
    <m/>
    <m/>
    <m/>
    <m/>
    <m/>
    <m/>
    <s v="SOLRECOUP"/>
    <s v="SOLRECOUP"/>
    <s v="POARECOUP"/>
    <n v="21346495"/>
    <n v="-69.18000000000001"/>
    <m/>
    <s v="Y"/>
    <n v="2"/>
    <d v="2023-07-07T19:34:23"/>
    <s v="N"/>
    <m/>
    <m/>
    <s v="Expert Disbursement"/>
    <m/>
    <s v="N"/>
    <n v="0"/>
    <n v="-11.53"/>
    <x v="9"/>
    <s v="VALIDATED"/>
    <n v="1"/>
    <s v="01.11.80.308.2013.0000"/>
    <n v="-11.53"/>
    <s v="11"/>
    <s v="2013"/>
    <n v="-26602.14"/>
    <n v="-11.53"/>
    <s v="DEBTOR"/>
    <n v="0"/>
    <n v="0"/>
    <n v="0"/>
    <n v="0"/>
    <n v="0"/>
  </r>
  <r>
    <n v="10916222"/>
    <s v="N"/>
    <n v="21346495"/>
    <s v="3000006682680008RC"/>
    <s v="CIVIL"/>
    <d v="2023-06-23T00:00:00"/>
    <d v="2023-07-07T19:34:21"/>
    <m/>
    <d v="2023-07-07T00:00:00"/>
    <n v="1722"/>
    <n v="16529"/>
    <s v="10916222"/>
    <s v="10916222"/>
    <m/>
    <m/>
    <m/>
    <m/>
    <m/>
    <m/>
    <s v="SOLRECOUP"/>
    <s v="SOLRECOUP"/>
    <s v="POARECOUP"/>
    <n v="21346495"/>
    <n v="-69.18000000000001"/>
    <m/>
    <s v="Y"/>
    <n v="1"/>
    <d v="2023-07-07T19:34:23"/>
    <s v="N"/>
    <m/>
    <m/>
    <s v="Expert Disbursement"/>
    <m/>
    <s v="N"/>
    <n v="-57.65"/>
    <n v="0"/>
    <x v="9"/>
    <s v="VALIDATED"/>
    <n v="1"/>
    <s v="01.11.80.308.2013.0000"/>
    <n v="-57.65"/>
    <s v="11"/>
    <s v="2013"/>
    <n v="-26602.14"/>
    <n v="-57.65"/>
    <s v="DEBTOR"/>
    <n v="0"/>
    <n v="0"/>
    <n v="0"/>
    <n v="0"/>
    <n v="0"/>
  </r>
  <r>
    <n v="10916222"/>
    <s v="N"/>
    <n v="21346496"/>
    <s v="3000006682680009RC"/>
    <s v="CIVIL"/>
    <d v="2023-06-23T00:00:00"/>
    <d v="2023-07-07T19:34:21"/>
    <m/>
    <d v="2023-07-07T00:00:00"/>
    <n v="1722"/>
    <n v="16529"/>
    <s v="10916222"/>
    <s v="10916222"/>
    <m/>
    <m/>
    <m/>
    <m/>
    <m/>
    <m/>
    <s v="SOLRECOUP"/>
    <s v="SOLRECOUP"/>
    <s v="POARECOUP"/>
    <n v="21346496"/>
    <n v="-114"/>
    <m/>
    <s v="Y"/>
    <n v="2"/>
    <d v="2023-07-07T19:34:23"/>
    <s v="N"/>
    <m/>
    <m/>
    <s v="Expert Disbursement"/>
    <m/>
    <s v="N"/>
    <n v="0"/>
    <n v="-19"/>
    <x v="9"/>
    <s v="VALIDATED"/>
    <n v="1"/>
    <s v="01.11.80.308.2013.0000"/>
    <n v="-19"/>
    <s v="11"/>
    <s v="2013"/>
    <n v="-26602.14"/>
    <n v="-19"/>
    <s v="DEBTOR"/>
    <n v="0"/>
    <n v="0"/>
    <n v="0"/>
    <n v="0"/>
    <n v="0"/>
  </r>
  <r>
    <n v="10916222"/>
    <s v="N"/>
    <n v="21346496"/>
    <s v="3000006682680009RC"/>
    <s v="CIVIL"/>
    <d v="2023-06-23T00:00:00"/>
    <d v="2023-07-07T19:34:21"/>
    <m/>
    <d v="2023-07-07T00:00:00"/>
    <n v="1722"/>
    <n v="16529"/>
    <s v="10916222"/>
    <s v="10916222"/>
    <m/>
    <m/>
    <m/>
    <m/>
    <m/>
    <m/>
    <s v="SOLRECOUP"/>
    <s v="SOLRECOUP"/>
    <s v="POARECOUP"/>
    <n v="21346496"/>
    <n v="-114"/>
    <m/>
    <s v="Y"/>
    <n v="1"/>
    <d v="2023-07-07T19:34:23"/>
    <s v="N"/>
    <m/>
    <m/>
    <s v="Expert Disbursement"/>
    <m/>
    <s v="N"/>
    <n v="-95"/>
    <n v="0"/>
    <x v="9"/>
    <s v="VALIDATED"/>
    <n v="1"/>
    <s v="01.11.80.308.2013.0000"/>
    <n v="-95"/>
    <s v="11"/>
    <s v="2013"/>
    <n v="-26602.14"/>
    <n v="-95"/>
    <s v="DEBTOR"/>
    <n v="0"/>
    <n v="0"/>
    <n v="0"/>
    <n v="0"/>
    <n v="0"/>
  </r>
  <r>
    <n v="10916222"/>
    <s v="N"/>
    <n v="21346497"/>
    <s v="3000006682680013RC"/>
    <s v="CIVIL"/>
    <d v="2023-06-23T00:00:00"/>
    <d v="2023-07-07T19:34:21"/>
    <m/>
    <d v="2023-07-07T00:00:00"/>
    <n v="1722"/>
    <n v="16529"/>
    <s v="10916222"/>
    <s v="10916222"/>
    <m/>
    <m/>
    <m/>
    <m/>
    <m/>
    <m/>
    <s v="SOLRECOUP"/>
    <s v="SOLRECOUP"/>
    <s v="POARECOUP"/>
    <n v="21346497"/>
    <n v="-37.3"/>
    <m/>
    <s v="Y"/>
    <n v="2"/>
    <d v="2023-07-07T19:34:23"/>
    <s v="N"/>
    <m/>
    <m/>
    <s v="Expert Disbursement"/>
    <m/>
    <s v="N"/>
    <n v="0"/>
    <n v="-6.22"/>
    <x v="9"/>
    <s v="VALIDATED"/>
    <n v="1"/>
    <s v="01.11.80.308.2013.0000"/>
    <n v="-6.22"/>
    <s v="11"/>
    <s v="2013"/>
    <n v="-26602.14"/>
    <n v="-6.22"/>
    <s v="DEBTOR"/>
    <n v="0"/>
    <n v="0"/>
    <n v="0"/>
    <n v="0"/>
    <n v="0"/>
  </r>
  <r>
    <n v="10916222"/>
    <s v="N"/>
    <n v="21346497"/>
    <s v="3000006682680013RC"/>
    <s v="CIVIL"/>
    <d v="2023-06-23T00:00:00"/>
    <d v="2023-07-07T19:34:21"/>
    <m/>
    <d v="2023-07-07T00:00:00"/>
    <n v="1722"/>
    <n v="16529"/>
    <s v="10916222"/>
    <s v="10916222"/>
    <m/>
    <m/>
    <m/>
    <m/>
    <m/>
    <m/>
    <s v="SOLRECOUP"/>
    <s v="SOLRECOUP"/>
    <s v="POARECOUP"/>
    <n v="21346497"/>
    <n v="-37.3"/>
    <m/>
    <s v="Y"/>
    <n v="1"/>
    <d v="2023-07-07T19:34:23"/>
    <s v="N"/>
    <m/>
    <m/>
    <s v="Expert Disbursement"/>
    <m/>
    <s v="N"/>
    <n v="-31.08"/>
    <n v="0"/>
    <x v="9"/>
    <s v="VALIDATED"/>
    <n v="1"/>
    <s v="01.11.80.308.2013.0000"/>
    <n v="-31.08"/>
    <s v="11"/>
    <s v="2013"/>
    <n v="-26602.14"/>
    <n v="-31.08"/>
    <s v="DEBTOR"/>
    <n v="0"/>
    <n v="0"/>
    <n v="0"/>
    <n v="0"/>
    <n v="0"/>
  </r>
  <r>
    <n v="10916222"/>
    <s v="N"/>
    <n v="21346498"/>
    <s v="3000006682680014RC"/>
    <s v="CIVIL"/>
    <d v="2023-06-23T00:00:00"/>
    <d v="2023-07-07T19:34:21"/>
    <m/>
    <d v="2023-07-07T00:00:00"/>
    <n v="1722"/>
    <n v="16529"/>
    <s v="10916222"/>
    <s v="10916222"/>
    <m/>
    <m/>
    <m/>
    <m/>
    <m/>
    <m/>
    <s v="SOLRECOUP"/>
    <s v="SOLRECOUP"/>
    <s v="POARECOUP"/>
    <n v="21346498"/>
    <n v="-59.02"/>
    <m/>
    <s v="Y"/>
    <n v="2"/>
    <d v="2023-07-07T19:34:23"/>
    <s v="N"/>
    <m/>
    <m/>
    <s v="Expert Disbursement"/>
    <m/>
    <s v="N"/>
    <n v="0"/>
    <n v="-9.84"/>
    <x v="9"/>
    <s v="VALIDATED"/>
    <n v="1"/>
    <s v="01.11.80.308.2013.0000"/>
    <n v="-9.84"/>
    <s v="11"/>
    <s v="2013"/>
    <n v="-26602.14"/>
    <n v="-9.84"/>
    <s v="DEBTOR"/>
    <n v="0"/>
    <n v="0"/>
    <n v="0"/>
    <n v="0"/>
    <n v="0"/>
  </r>
  <r>
    <n v="10916222"/>
    <s v="N"/>
    <n v="21346498"/>
    <s v="3000006682680014RC"/>
    <s v="CIVIL"/>
    <d v="2023-06-23T00:00:00"/>
    <d v="2023-07-07T19:34:21"/>
    <m/>
    <d v="2023-07-07T00:00:00"/>
    <n v="1722"/>
    <n v="16529"/>
    <s v="10916222"/>
    <s v="10916222"/>
    <m/>
    <m/>
    <m/>
    <m/>
    <m/>
    <m/>
    <s v="SOLRECOUP"/>
    <s v="SOLRECOUP"/>
    <s v="POARECOUP"/>
    <n v="21346498"/>
    <n v="-59.02"/>
    <m/>
    <s v="Y"/>
    <n v="1"/>
    <d v="2023-07-07T19:34:23"/>
    <s v="N"/>
    <m/>
    <m/>
    <s v="Expert Disbursement"/>
    <m/>
    <s v="N"/>
    <n v="-49.18"/>
    <n v="0"/>
    <x v="9"/>
    <s v="VALIDATED"/>
    <n v="1"/>
    <s v="01.11.80.308.2013.0000"/>
    <n v="-49.18"/>
    <s v="11"/>
    <s v="2013"/>
    <n v="-26602.14"/>
    <n v="-49.18"/>
    <s v="DEBTOR"/>
    <n v="0"/>
    <n v="0"/>
    <n v="0"/>
    <n v="0"/>
    <n v="0"/>
  </r>
  <r>
    <n v="10916222"/>
    <s v="N"/>
    <n v="21346499"/>
    <s v="3000006682680015RC"/>
    <s v="CIVIL"/>
    <d v="2023-06-23T00:00:00"/>
    <d v="2023-07-07T19:34:21"/>
    <m/>
    <d v="2023-07-07T00:00:00"/>
    <n v="1722"/>
    <n v="16529"/>
    <s v="10916222"/>
    <s v="10916222"/>
    <m/>
    <m/>
    <m/>
    <m/>
    <m/>
    <m/>
    <s v="SOLRECOUP"/>
    <s v="SOLRECOUP"/>
    <s v="POARECOUP"/>
    <n v="21346499"/>
    <n v="-2609.52"/>
    <m/>
    <s v="Y"/>
    <n v="2"/>
    <d v="2023-07-07T19:34:23"/>
    <s v="N"/>
    <m/>
    <m/>
    <s v="Profit Cost"/>
    <m/>
    <s v="N"/>
    <n v="0"/>
    <n v="-434.92"/>
    <x v="9"/>
    <s v="VALIDATED"/>
    <n v="1"/>
    <s v="01.11.80.308.2013.0000"/>
    <n v="-434.92"/>
    <s v="11"/>
    <s v="2013"/>
    <n v="-26602.14"/>
    <n v="-434.92"/>
    <s v="DEBTOR"/>
    <n v="0"/>
    <n v="0"/>
    <n v="0"/>
    <n v="0"/>
    <n v="0"/>
  </r>
  <r>
    <n v="10916222"/>
    <s v="N"/>
    <n v="21346499"/>
    <s v="3000006682680015RC"/>
    <s v="CIVIL"/>
    <d v="2023-06-23T00:00:00"/>
    <d v="2023-07-07T19:34:21"/>
    <m/>
    <d v="2023-07-07T00:00:00"/>
    <n v="1722"/>
    <n v="16529"/>
    <s v="10916222"/>
    <s v="10916222"/>
    <m/>
    <m/>
    <m/>
    <m/>
    <m/>
    <m/>
    <s v="SOLRECOUP"/>
    <s v="SOLRECOUP"/>
    <s v="POARECOUP"/>
    <n v="21346499"/>
    <n v="-2609.52"/>
    <m/>
    <s v="Y"/>
    <n v="1"/>
    <d v="2023-07-07T19:34:23"/>
    <s v="N"/>
    <m/>
    <m/>
    <s v="Profit Cost"/>
    <m/>
    <s v="N"/>
    <n v="-2174.6"/>
    <n v="0"/>
    <x v="9"/>
    <s v="VALIDATED"/>
    <n v="1"/>
    <s v="01.11.80.308.2013.0000"/>
    <n v="-2174.6"/>
    <s v="11"/>
    <s v="2013"/>
    <n v="-26602.14"/>
    <n v="-2174.6"/>
    <s v="DEBTOR"/>
    <n v="0"/>
    <n v="0"/>
    <n v="0"/>
    <n v="0"/>
    <n v="0"/>
  </r>
  <r>
    <n v="10916222"/>
    <s v="N"/>
    <n v="21346500"/>
    <s v="3000006682680018RC"/>
    <s v="CIVIL"/>
    <d v="2023-06-23T00:00:00"/>
    <d v="2023-07-07T19:34:21"/>
    <m/>
    <d v="2023-07-07T00:00:00"/>
    <n v="1722"/>
    <n v="16529"/>
    <s v="10916222"/>
    <s v="10916222"/>
    <m/>
    <m/>
    <m/>
    <m/>
    <m/>
    <m/>
    <s v="SOLRECOUP"/>
    <s v="SOLRECOUP"/>
    <s v="POARECOUP"/>
    <n v="21346500"/>
    <n v="-480"/>
    <m/>
    <s v="Y"/>
    <n v="1"/>
    <d v="2023-07-07T19:34:23"/>
    <s v="N"/>
    <m/>
    <m/>
    <s v="Expert Disbursement"/>
    <m/>
    <s v="N"/>
    <n v="-400"/>
    <n v="0"/>
    <x v="9"/>
    <s v="VALIDATED"/>
    <n v="1"/>
    <s v="01.11.80.308.2013.0000"/>
    <n v="-400"/>
    <s v="11"/>
    <s v="2013"/>
    <n v="-26602.14"/>
    <n v="-400"/>
    <s v="DEBTOR"/>
    <n v="0"/>
    <n v="0"/>
    <n v="0"/>
    <n v="0"/>
    <n v="0"/>
  </r>
  <r>
    <n v="10916222"/>
    <s v="N"/>
    <n v="21346500"/>
    <s v="3000006682680018RC"/>
    <s v="CIVIL"/>
    <d v="2023-06-23T00:00:00"/>
    <d v="2023-07-07T19:34:21"/>
    <m/>
    <d v="2023-07-07T00:00:00"/>
    <n v="1722"/>
    <n v="16529"/>
    <s v="10916222"/>
    <s v="10916222"/>
    <m/>
    <m/>
    <m/>
    <m/>
    <m/>
    <m/>
    <s v="SOLRECOUP"/>
    <s v="SOLRECOUP"/>
    <s v="POARECOUP"/>
    <n v="21346500"/>
    <n v="-480"/>
    <m/>
    <s v="Y"/>
    <n v="2"/>
    <d v="2023-07-07T19:34:23"/>
    <s v="N"/>
    <m/>
    <m/>
    <s v="Expert Disbursement"/>
    <m/>
    <s v="N"/>
    <n v="0"/>
    <n v="-80"/>
    <x v="9"/>
    <s v="VALIDATED"/>
    <n v="1"/>
    <s v="01.11.80.308.2013.0000"/>
    <n v="-80"/>
    <s v="11"/>
    <s v="2013"/>
    <n v="-26602.14"/>
    <n v="-80"/>
    <s v="DEBTOR"/>
    <n v="0"/>
    <n v="0"/>
    <n v="0"/>
    <n v="0"/>
    <n v="0"/>
  </r>
  <r>
    <n v="10916222"/>
    <s v="N"/>
    <n v="21346501"/>
    <s v="3000006682680021RC"/>
    <s v="CIVIL"/>
    <d v="2023-06-23T00:00:00"/>
    <d v="2023-07-07T19:34:21"/>
    <m/>
    <d v="2023-07-07T00:00:00"/>
    <n v="1722"/>
    <n v="16529"/>
    <s v="10916222"/>
    <s v="10916222"/>
    <m/>
    <m/>
    <m/>
    <m/>
    <m/>
    <m/>
    <s v="SOLRECOUP"/>
    <s v="SOLRECOUP"/>
    <s v="POARECOUP"/>
    <n v="21346501"/>
    <n v="-1501.94"/>
    <m/>
    <s v="Y"/>
    <n v="2"/>
    <d v="2023-07-07T19:34:23"/>
    <s v="N"/>
    <m/>
    <m/>
    <s v="Profit Cost"/>
    <m/>
    <s v="N"/>
    <n v="0"/>
    <n v="-250.32"/>
    <x v="9"/>
    <s v="VALIDATED"/>
    <n v="1"/>
    <s v="01.11.80.308.2013.0000"/>
    <n v="-250.32"/>
    <s v="11"/>
    <s v="2013"/>
    <n v="-26602.14"/>
    <n v="-250.32"/>
    <s v="DEBTOR"/>
    <n v="0"/>
    <n v="0"/>
    <n v="0"/>
    <n v="0"/>
    <n v="0"/>
  </r>
  <r>
    <n v="10916222"/>
    <s v="N"/>
    <n v="21346501"/>
    <s v="3000006682680021RC"/>
    <s v="CIVIL"/>
    <d v="2023-06-23T00:00:00"/>
    <d v="2023-07-07T19:34:21"/>
    <m/>
    <d v="2023-07-07T00:00:00"/>
    <n v="1722"/>
    <n v="16529"/>
    <s v="10916222"/>
    <s v="10916222"/>
    <m/>
    <m/>
    <m/>
    <m/>
    <m/>
    <m/>
    <s v="SOLRECOUP"/>
    <s v="SOLRECOUP"/>
    <s v="POARECOUP"/>
    <n v="21346501"/>
    <n v="-1501.94"/>
    <m/>
    <s v="Y"/>
    <n v="1"/>
    <d v="2023-07-07T19:34:23"/>
    <s v="N"/>
    <m/>
    <m/>
    <s v="Profit Cost"/>
    <m/>
    <s v="N"/>
    <n v="-1251.62"/>
    <n v="0"/>
    <x v="9"/>
    <s v="VALIDATED"/>
    <n v="1"/>
    <s v="01.11.80.308.2013.0000"/>
    <n v="-1251.62"/>
    <s v="11"/>
    <s v="2013"/>
    <n v="-26602.14"/>
    <n v="-1251.62"/>
    <s v="DEBTOR"/>
    <n v="0"/>
    <n v="0"/>
    <n v="0"/>
    <n v="0"/>
    <n v="0"/>
  </r>
  <r>
    <n v="10916222"/>
    <s v="N"/>
    <n v="21346508"/>
    <s v="3000006682680023RC"/>
    <s v="CIVIL"/>
    <d v="2023-06-23T00:00:00"/>
    <d v="2023-07-07T19:34:21"/>
    <m/>
    <d v="2023-07-07T00:00:00"/>
    <n v="1722"/>
    <n v="16529"/>
    <s v="10916222"/>
    <s v="10916222"/>
    <m/>
    <m/>
    <m/>
    <m/>
    <m/>
    <m/>
    <s v="SOLRECOUP"/>
    <s v="SOLRECOUP"/>
    <s v="POARECOUP"/>
    <n v="21346508"/>
    <n v="-34.85"/>
    <m/>
    <s v="Y"/>
    <n v="1"/>
    <d v="2023-07-07T19:34:23"/>
    <s v="N"/>
    <m/>
    <m/>
    <s v="Expert Disbursement"/>
    <m/>
    <s v="N"/>
    <n v="-29.04"/>
    <n v="0"/>
    <x v="9"/>
    <s v="VALIDATED"/>
    <n v="1"/>
    <s v="01.11.80.308.2013.0000"/>
    <n v="-29.04"/>
    <s v="11"/>
    <s v="2013"/>
    <n v="-26602.14"/>
    <n v="-29.04"/>
    <s v="DEBTOR"/>
    <n v="0"/>
    <n v="0"/>
    <n v="0"/>
    <n v="0"/>
    <n v="0"/>
  </r>
  <r>
    <n v="10916222"/>
    <s v="N"/>
    <n v="21346508"/>
    <s v="3000006682680023RC"/>
    <s v="CIVIL"/>
    <d v="2023-06-23T00:00:00"/>
    <d v="2023-07-07T19:34:21"/>
    <m/>
    <d v="2023-07-07T00:00:00"/>
    <n v="1722"/>
    <n v="16529"/>
    <s v="10916222"/>
    <s v="10916222"/>
    <m/>
    <m/>
    <m/>
    <m/>
    <m/>
    <m/>
    <s v="SOLRECOUP"/>
    <s v="SOLRECOUP"/>
    <s v="POARECOUP"/>
    <n v="21346508"/>
    <n v="-34.85"/>
    <m/>
    <s v="Y"/>
    <n v="2"/>
    <d v="2023-07-07T19:34:23"/>
    <s v="N"/>
    <m/>
    <m/>
    <s v="Expert Disbursement"/>
    <m/>
    <s v="N"/>
    <n v="0"/>
    <n v="-5.81"/>
    <x v="9"/>
    <s v="VALIDATED"/>
    <n v="1"/>
    <s v="01.11.80.308.2013.0000"/>
    <n v="-5.81"/>
    <s v="11"/>
    <s v="2013"/>
    <n v="-26602.14"/>
    <n v="-5.81"/>
    <s v="DEBTOR"/>
    <n v="0"/>
    <n v="0"/>
    <n v="0"/>
    <n v="0"/>
    <n v="0"/>
  </r>
  <r>
    <n v="19450633"/>
    <s v="N"/>
    <n v="21357229"/>
    <s v="3000008265510034RC"/>
    <s v="CIVIL"/>
    <d v="2023-06-26T00:00:00"/>
    <d v="2023-07-10T19:48:00"/>
    <m/>
    <d v="2023-07-10T00:00:00"/>
    <n v="1722"/>
    <n v="16529"/>
    <s v="19450633"/>
    <s v="19450633"/>
    <m/>
    <m/>
    <m/>
    <m/>
    <m/>
    <m/>
    <s v="SOLRECOUP"/>
    <s v="SOLRECOUP"/>
    <s v="POARECOUP"/>
    <n v="21357229"/>
    <n v="-6480"/>
    <m/>
    <s v="Y"/>
    <n v="2"/>
    <d v="2023-07-10T19:48:00"/>
    <s v="N"/>
    <m/>
    <m/>
    <s v="Non Expert Disbursement"/>
    <m/>
    <s v="N"/>
    <n v="0"/>
    <n v="-1080"/>
    <x v="2"/>
    <s v="VALIDATED"/>
    <n v="1"/>
    <s v="01.11.80.308.2013.0000"/>
    <n v="-1080"/>
    <s v="11"/>
    <s v="2013"/>
    <n v="-26602.14"/>
    <n v="-1080"/>
    <s v="DEBTOR"/>
    <n v="0"/>
    <n v="0"/>
    <n v="0"/>
    <n v="0"/>
    <n v="0"/>
  </r>
  <r>
    <n v="19450633"/>
    <s v="N"/>
    <n v="21357229"/>
    <s v="3000008265510034RC"/>
    <s v="CIVIL"/>
    <d v="2023-06-26T00:00:00"/>
    <d v="2023-07-10T19:48:00"/>
    <m/>
    <d v="2023-07-10T00:00:00"/>
    <n v="1722"/>
    <n v="16529"/>
    <s v="19450633"/>
    <s v="19450633"/>
    <m/>
    <m/>
    <m/>
    <m/>
    <m/>
    <m/>
    <s v="SOLRECOUP"/>
    <s v="SOLRECOUP"/>
    <s v="POARECOUP"/>
    <n v="21357229"/>
    <n v="-6480"/>
    <m/>
    <s v="Y"/>
    <n v="1"/>
    <d v="2023-07-10T19:48:00"/>
    <s v="N"/>
    <m/>
    <m/>
    <s v="Non Expert Disbursement"/>
    <m/>
    <s v="N"/>
    <n v="-5400"/>
    <n v="0"/>
    <x v="2"/>
    <s v="VALIDATED"/>
    <n v="1"/>
    <s v="01.11.80.308.2013.0000"/>
    <n v="-5400"/>
    <s v="11"/>
    <s v="2013"/>
    <n v="-26602.14"/>
    <n v="-5400"/>
    <s v="DEBTOR"/>
    <n v="0"/>
    <n v="0"/>
    <n v="0"/>
    <n v="0"/>
    <n v="0"/>
  </r>
  <r>
    <n v="19450633"/>
    <s v="N"/>
    <n v="21357230"/>
    <s v="3000008265510035RC"/>
    <s v="CIVIL"/>
    <d v="2023-06-26T00:00:00"/>
    <d v="2023-07-10T19:48:00"/>
    <m/>
    <d v="2023-07-10T00:00:00"/>
    <n v="1722"/>
    <n v="16529"/>
    <s v="19450633"/>
    <s v="19450633"/>
    <m/>
    <m/>
    <m/>
    <m/>
    <m/>
    <m/>
    <s v="SOLRECOUP"/>
    <s v="SOLRECOUP"/>
    <s v="POARECOUP"/>
    <n v="21357230"/>
    <n v="-3600"/>
    <m/>
    <s v="Y"/>
    <n v="2"/>
    <d v="2023-07-10T19:48:00"/>
    <s v="N"/>
    <m/>
    <m/>
    <s v="Non Expert Disbursement"/>
    <m/>
    <s v="N"/>
    <n v="0"/>
    <n v="-600"/>
    <x v="2"/>
    <s v="VALIDATED"/>
    <n v="1"/>
    <s v="01.11.80.308.2013.0000"/>
    <n v="-600"/>
    <s v="11"/>
    <s v="2013"/>
    <n v="-26602.14"/>
    <n v="-600"/>
    <s v="DEBTOR"/>
    <n v="0"/>
    <n v="0"/>
    <n v="0"/>
    <n v="0"/>
    <n v="0"/>
  </r>
  <r>
    <n v="19450633"/>
    <s v="N"/>
    <n v="21357230"/>
    <s v="3000008265510035RC"/>
    <s v="CIVIL"/>
    <d v="2023-06-26T00:00:00"/>
    <d v="2023-07-10T19:48:00"/>
    <m/>
    <d v="2023-07-10T00:00:00"/>
    <n v="1722"/>
    <n v="16529"/>
    <s v="19450633"/>
    <s v="19450633"/>
    <m/>
    <m/>
    <m/>
    <m/>
    <m/>
    <m/>
    <s v="SOLRECOUP"/>
    <s v="SOLRECOUP"/>
    <s v="POARECOUP"/>
    <n v="21357230"/>
    <n v="-3600"/>
    <m/>
    <s v="Y"/>
    <n v="1"/>
    <d v="2023-07-10T19:48:00"/>
    <s v="N"/>
    <m/>
    <m/>
    <s v="Non Expert Disbursement"/>
    <m/>
    <s v="N"/>
    <n v="-3000"/>
    <n v="0"/>
    <x v="2"/>
    <s v="VALIDATED"/>
    <n v="1"/>
    <s v="01.11.80.308.2013.0000"/>
    <n v="-3000"/>
    <s v="11"/>
    <s v="2013"/>
    <n v="-26602.14"/>
    <n v="-3000"/>
    <s v="DEBTOR"/>
    <n v="0"/>
    <n v="0"/>
    <n v="0"/>
    <n v="0"/>
    <n v="0"/>
  </r>
  <r>
    <n v="19450633"/>
    <s v="N"/>
    <n v="21356823"/>
    <s v="3000008265510015RC"/>
    <s v="CIVIL"/>
    <d v="2023-06-26T00:00:00"/>
    <d v="2023-07-10T19:47:44"/>
    <m/>
    <d v="2023-07-10T00:00:00"/>
    <n v="1722"/>
    <n v="16529"/>
    <s v="19450633"/>
    <s v="19450633"/>
    <m/>
    <m/>
    <m/>
    <m/>
    <m/>
    <m/>
    <s v="SOLRECOUP"/>
    <s v="SOLRECOUP"/>
    <s v="POARECOUP"/>
    <n v="21356823"/>
    <n v="-128.4"/>
    <m/>
    <s v="Y"/>
    <n v="1"/>
    <d v="2023-07-10T19:47:46"/>
    <s v="N"/>
    <m/>
    <m/>
    <s v="Expert Disbursement"/>
    <m/>
    <s v="N"/>
    <n v="-107"/>
    <n v="0"/>
    <x v="2"/>
    <s v="VALIDATED"/>
    <n v="1"/>
    <s v="01.11.80.308.2013.0000"/>
    <n v="-107"/>
    <s v="11"/>
    <s v="2013"/>
    <n v="-26602.14"/>
    <n v="-107"/>
    <s v="DEBTOR"/>
    <n v="0"/>
    <n v="0"/>
    <n v="0"/>
    <n v="0"/>
    <n v="0"/>
  </r>
  <r>
    <n v="19450633"/>
    <s v="N"/>
    <n v="21356823"/>
    <s v="3000008265510015RC"/>
    <s v="CIVIL"/>
    <d v="2023-06-26T00:00:00"/>
    <d v="2023-07-10T19:47:44"/>
    <m/>
    <d v="2023-07-10T00:00:00"/>
    <n v="1722"/>
    <n v="16529"/>
    <s v="19450633"/>
    <s v="19450633"/>
    <m/>
    <m/>
    <m/>
    <m/>
    <m/>
    <m/>
    <s v="SOLRECOUP"/>
    <s v="SOLRECOUP"/>
    <s v="POARECOUP"/>
    <n v="21356823"/>
    <n v="-128.4"/>
    <m/>
    <s v="Y"/>
    <n v="2"/>
    <d v="2023-07-10T19:47:46"/>
    <s v="N"/>
    <m/>
    <m/>
    <s v="Expert Disbursement"/>
    <m/>
    <s v="N"/>
    <n v="0"/>
    <n v="-21.4"/>
    <x v="2"/>
    <s v="VALIDATED"/>
    <n v="1"/>
    <s v="01.11.80.308.2013.0000"/>
    <n v="-21.4"/>
    <s v="11"/>
    <s v="2013"/>
    <n v="-26602.14"/>
    <n v="-21.4"/>
    <s v="DEBTOR"/>
    <n v="0"/>
    <n v="0"/>
    <n v="0"/>
    <n v="0"/>
    <n v="0"/>
  </r>
  <r>
    <n v="19450633"/>
    <s v="N"/>
    <n v="21356824"/>
    <s v="3000008265510003RC"/>
    <s v="CIVIL"/>
    <d v="2023-06-26T00:00:00"/>
    <d v="2023-07-10T19:47:44"/>
    <m/>
    <d v="2023-07-10T00:00:00"/>
    <n v="1722"/>
    <n v="16529"/>
    <s v="19450633"/>
    <s v="19450633"/>
    <m/>
    <m/>
    <m/>
    <m/>
    <m/>
    <m/>
    <s v="SOLRECOUP"/>
    <s v="SOLRECOUP"/>
    <s v="POARECOUP"/>
    <n v="21356824"/>
    <n v="-219"/>
    <m/>
    <s v="Y"/>
    <n v="1"/>
    <d v="2023-07-10T19:47:46"/>
    <s v="N"/>
    <m/>
    <m/>
    <s v="Expert Disbursement"/>
    <m/>
    <s v="N"/>
    <n v="-182.5"/>
    <n v="0"/>
    <x v="2"/>
    <s v="VALIDATED"/>
    <n v="1"/>
    <s v="01.11.80.308.2013.0000"/>
    <n v="-182.5"/>
    <s v="11"/>
    <s v="2013"/>
    <n v="-26602.14"/>
    <n v="-182.5"/>
    <s v="DEBTOR"/>
    <n v="0"/>
    <n v="0"/>
    <n v="0"/>
    <n v="0"/>
    <n v="0"/>
  </r>
  <r>
    <n v="19450633"/>
    <s v="N"/>
    <n v="21356824"/>
    <s v="3000008265510003RC"/>
    <s v="CIVIL"/>
    <d v="2023-06-26T00:00:00"/>
    <d v="2023-07-10T19:47:44"/>
    <m/>
    <d v="2023-07-10T00:00:00"/>
    <n v="1722"/>
    <n v="16529"/>
    <s v="19450633"/>
    <s v="19450633"/>
    <m/>
    <m/>
    <m/>
    <m/>
    <m/>
    <m/>
    <s v="SOLRECOUP"/>
    <s v="SOLRECOUP"/>
    <s v="POARECOUP"/>
    <n v="21356824"/>
    <n v="-219"/>
    <m/>
    <s v="Y"/>
    <n v="2"/>
    <d v="2023-07-10T19:47:46"/>
    <s v="N"/>
    <m/>
    <m/>
    <s v="Expert Disbursement"/>
    <m/>
    <s v="N"/>
    <n v="0"/>
    <n v="-36.5"/>
    <x v="2"/>
    <s v="VALIDATED"/>
    <n v="1"/>
    <s v="01.11.80.308.2013.0000"/>
    <n v="-36.5"/>
    <s v="11"/>
    <s v="2013"/>
    <n v="-26602.14"/>
    <n v="-36.5"/>
    <s v="DEBTOR"/>
    <n v="0"/>
    <n v="0"/>
    <n v="0"/>
    <n v="0"/>
    <n v="0"/>
  </r>
  <r>
    <n v="19450633"/>
    <s v="N"/>
    <n v="21356825"/>
    <s v="3000008265510002RC"/>
    <s v="CIVIL"/>
    <d v="2023-06-26T00:00:00"/>
    <d v="2023-07-10T19:47:44"/>
    <m/>
    <d v="2023-07-10T00:00:00"/>
    <n v="1722"/>
    <n v="16529"/>
    <s v="19450633"/>
    <s v="19450633"/>
    <m/>
    <m/>
    <m/>
    <m/>
    <m/>
    <m/>
    <s v="SOLRECOUP"/>
    <s v="SOLRECOUP"/>
    <s v="POARECOUP"/>
    <n v="21356825"/>
    <n v="-1834.56"/>
    <m/>
    <s v="Y"/>
    <n v="2"/>
    <d v="2023-07-10T19:47:46"/>
    <s v="N"/>
    <m/>
    <m/>
    <s v="Profit Cost"/>
    <m/>
    <s v="N"/>
    <n v="0"/>
    <n v="-305.76"/>
    <x v="2"/>
    <s v="VALIDATED"/>
    <n v="1"/>
    <s v="01.11.80.308.2013.0000"/>
    <n v="-305.76"/>
    <s v="11"/>
    <s v="2013"/>
    <n v="-26602.14"/>
    <n v="-305.76"/>
    <s v="DEBTOR"/>
    <n v="0"/>
    <n v="0"/>
    <n v="0"/>
    <n v="0"/>
    <n v="0"/>
  </r>
  <r>
    <n v="19450633"/>
    <s v="N"/>
    <n v="21356825"/>
    <s v="3000008265510002RC"/>
    <s v="CIVIL"/>
    <d v="2023-06-26T00:00:00"/>
    <d v="2023-07-10T19:47:44"/>
    <m/>
    <d v="2023-07-10T00:00:00"/>
    <n v="1722"/>
    <n v="16529"/>
    <s v="19450633"/>
    <s v="19450633"/>
    <m/>
    <m/>
    <m/>
    <m/>
    <m/>
    <m/>
    <s v="SOLRECOUP"/>
    <s v="SOLRECOUP"/>
    <s v="POARECOUP"/>
    <n v="21356825"/>
    <n v="-1834.56"/>
    <m/>
    <s v="Y"/>
    <n v="1"/>
    <d v="2023-07-10T19:47:46"/>
    <s v="N"/>
    <m/>
    <m/>
    <s v="Profit Cost"/>
    <m/>
    <s v="N"/>
    <n v="-1528.8"/>
    <n v="0"/>
    <x v="2"/>
    <s v="VALIDATED"/>
    <n v="1"/>
    <s v="01.11.80.308.2013.0000"/>
    <n v="-1528.8"/>
    <s v="11"/>
    <s v="2013"/>
    <n v="-26602.14"/>
    <n v="-1528.8"/>
    <s v="DEBTOR"/>
    <n v="0"/>
    <n v="0"/>
    <n v="0"/>
    <n v="0"/>
    <n v="0"/>
  </r>
  <r>
    <n v="19450633"/>
    <s v="N"/>
    <n v="21356826"/>
    <s v="3000008265510001RC"/>
    <s v="CIVIL"/>
    <d v="2023-06-26T00:00:00"/>
    <d v="2023-07-10T19:47:44"/>
    <m/>
    <d v="2023-07-10T00:00:00"/>
    <n v="1722"/>
    <n v="16529"/>
    <s v="19450633"/>
    <s v="19450633"/>
    <m/>
    <m/>
    <m/>
    <m/>
    <m/>
    <m/>
    <s v="SOLRECOUP"/>
    <s v="SOLRECOUP"/>
    <s v="POARECOUP"/>
    <n v="21356826"/>
    <n v="-187.6"/>
    <m/>
    <s v="Y"/>
    <n v="2"/>
    <d v="2023-07-10T19:47:46"/>
    <s v="N"/>
    <m/>
    <m/>
    <s v="Expert Disbursement"/>
    <m/>
    <s v="N"/>
    <n v="0"/>
    <n v="-31.27"/>
    <x v="2"/>
    <s v="VALIDATED"/>
    <n v="1"/>
    <s v="01.11.80.308.2013.0000"/>
    <n v="-31.27"/>
    <s v="11"/>
    <s v="2013"/>
    <n v="-26602.14"/>
    <n v="-31.27"/>
    <s v="DEBTOR"/>
    <n v="0"/>
    <n v="0"/>
    <n v="0"/>
    <n v="0"/>
    <n v="0"/>
  </r>
  <r>
    <n v="19450633"/>
    <s v="N"/>
    <n v="21356826"/>
    <s v="3000008265510001RC"/>
    <s v="CIVIL"/>
    <d v="2023-06-26T00:00:00"/>
    <d v="2023-07-10T19:47:44"/>
    <m/>
    <d v="2023-07-10T00:00:00"/>
    <n v="1722"/>
    <n v="16529"/>
    <s v="19450633"/>
    <s v="19450633"/>
    <m/>
    <m/>
    <m/>
    <m/>
    <m/>
    <m/>
    <s v="SOLRECOUP"/>
    <s v="SOLRECOUP"/>
    <s v="POARECOUP"/>
    <n v="21356826"/>
    <n v="-187.6"/>
    <m/>
    <s v="Y"/>
    <n v="1"/>
    <d v="2023-07-10T19:47:46"/>
    <s v="N"/>
    <m/>
    <m/>
    <s v="Expert Disbursement"/>
    <m/>
    <s v="N"/>
    <n v="-156.33"/>
    <n v="0"/>
    <x v="2"/>
    <s v="VALIDATED"/>
    <n v="1"/>
    <s v="01.11.80.308.2013.0000"/>
    <n v="-156.33"/>
    <s v="11"/>
    <s v="2013"/>
    <n v="-26602.14"/>
    <n v="-156.33"/>
    <s v="DEBTOR"/>
    <n v="0"/>
    <n v="0"/>
    <n v="0"/>
    <n v="0"/>
    <n v="0"/>
  </r>
  <r>
    <n v="19450633"/>
    <s v="N"/>
    <n v="21356827"/>
    <s v="3000008265510014RC"/>
    <s v="CIVIL"/>
    <d v="2023-06-26T00:00:00"/>
    <d v="2023-07-10T19:47:44"/>
    <m/>
    <d v="2023-07-10T00:00:00"/>
    <n v="1722"/>
    <n v="16529"/>
    <s v="19450633"/>
    <s v="19450633"/>
    <m/>
    <m/>
    <m/>
    <m/>
    <m/>
    <m/>
    <s v="SOLRECOUP"/>
    <s v="SOLRECOUP"/>
    <s v="POARECOUP"/>
    <n v="21356827"/>
    <n v="-2077.12"/>
    <m/>
    <s v="Y"/>
    <n v="2"/>
    <d v="2023-07-10T19:47:46"/>
    <s v="N"/>
    <m/>
    <m/>
    <s v="Profit Cost"/>
    <m/>
    <s v="N"/>
    <n v="0"/>
    <n v="-346.19"/>
    <x v="2"/>
    <s v="VALIDATED"/>
    <n v="1"/>
    <s v="01.11.80.308.2013.0000"/>
    <n v="-346.19"/>
    <s v="11"/>
    <s v="2013"/>
    <n v="-26602.14"/>
    <n v="-346.19"/>
    <s v="DEBTOR"/>
    <n v="0"/>
    <n v="0"/>
    <n v="0"/>
    <n v="0"/>
    <n v="0"/>
  </r>
  <r>
    <n v="19450633"/>
    <s v="N"/>
    <n v="21356827"/>
    <s v="3000008265510014RC"/>
    <s v="CIVIL"/>
    <d v="2023-06-26T00:00:00"/>
    <d v="2023-07-10T19:47:44"/>
    <m/>
    <d v="2023-07-10T00:00:00"/>
    <n v="1722"/>
    <n v="16529"/>
    <s v="19450633"/>
    <s v="19450633"/>
    <m/>
    <m/>
    <m/>
    <m/>
    <m/>
    <m/>
    <s v="SOLRECOUP"/>
    <s v="SOLRECOUP"/>
    <s v="POARECOUP"/>
    <n v="21356827"/>
    <n v="-2077.12"/>
    <m/>
    <s v="Y"/>
    <n v="1"/>
    <d v="2023-07-10T19:47:46"/>
    <s v="N"/>
    <m/>
    <m/>
    <s v="Profit Cost"/>
    <m/>
    <s v="N"/>
    <n v="-1730.93"/>
    <n v="0"/>
    <x v="2"/>
    <s v="VALIDATED"/>
    <n v="1"/>
    <s v="01.11.80.308.2013.0000"/>
    <n v="-1730.93"/>
    <s v="11"/>
    <s v="2013"/>
    <n v="-26602.14"/>
    <n v="-1730.93"/>
    <s v="DEBTOR"/>
    <n v="0"/>
    <n v="0"/>
    <n v="0"/>
    <n v="0"/>
    <n v="0"/>
  </r>
  <r>
    <n v="19450633"/>
    <s v="N"/>
    <n v="21356828"/>
    <s v="3000008265510010RC"/>
    <s v="CIVIL"/>
    <d v="2023-06-26T00:00:00"/>
    <d v="2023-07-10T19:47:44"/>
    <m/>
    <d v="2023-07-10T00:00:00"/>
    <n v="1722"/>
    <n v="16529"/>
    <s v="19450633"/>
    <s v="19450633"/>
    <m/>
    <m/>
    <m/>
    <m/>
    <m/>
    <m/>
    <s v="SOLRECOUP"/>
    <s v="SOLRECOUP"/>
    <s v="POARECOUP"/>
    <n v="21356828"/>
    <n v="-5824.18"/>
    <m/>
    <s v="Y"/>
    <n v="1"/>
    <d v="2023-07-10T19:47:46"/>
    <s v="N"/>
    <m/>
    <m/>
    <s v="Profit Cost"/>
    <m/>
    <s v="N"/>
    <n v="-4853.48"/>
    <n v="0"/>
    <x v="2"/>
    <s v="VALIDATED"/>
    <n v="1"/>
    <s v="01.11.80.308.2013.0000"/>
    <n v="-4853.48"/>
    <s v="11"/>
    <s v="2013"/>
    <n v="-26602.14"/>
    <n v="-4853.48"/>
    <s v="DEBTOR"/>
    <n v="0"/>
    <n v="0"/>
    <n v="0"/>
    <n v="0"/>
    <n v="0"/>
  </r>
  <r>
    <n v="19450633"/>
    <s v="N"/>
    <n v="21356828"/>
    <s v="3000008265510010RC"/>
    <s v="CIVIL"/>
    <d v="2023-06-26T00:00:00"/>
    <d v="2023-07-10T19:47:44"/>
    <m/>
    <d v="2023-07-10T00:00:00"/>
    <n v="1722"/>
    <n v="16529"/>
    <s v="19450633"/>
    <s v="19450633"/>
    <m/>
    <m/>
    <m/>
    <m/>
    <m/>
    <m/>
    <s v="SOLRECOUP"/>
    <s v="SOLRECOUP"/>
    <s v="POARECOUP"/>
    <n v="21356828"/>
    <n v="-5824.18"/>
    <m/>
    <s v="Y"/>
    <n v="2"/>
    <d v="2023-07-10T19:47:46"/>
    <s v="N"/>
    <m/>
    <m/>
    <s v="Profit Cost"/>
    <m/>
    <s v="N"/>
    <n v="0"/>
    <n v="-970.7"/>
    <x v="2"/>
    <s v="VALIDATED"/>
    <n v="1"/>
    <s v="01.11.80.308.2013.0000"/>
    <n v="-970.7"/>
    <s v="11"/>
    <s v="2013"/>
    <n v="-26602.14"/>
    <n v="-970.7"/>
    <s v="DEBTOR"/>
    <n v="0"/>
    <n v="0"/>
    <n v="0"/>
    <n v="0"/>
    <n v="0"/>
  </r>
  <r>
    <n v="19450633"/>
    <s v="N"/>
    <n v="21356829"/>
    <s v="3000008265510011RC"/>
    <s v="CIVIL"/>
    <d v="2023-06-26T00:00:00"/>
    <d v="2023-07-10T19:47:44"/>
    <m/>
    <d v="2023-07-10T00:00:00"/>
    <n v="1722"/>
    <n v="16529"/>
    <s v="19450633"/>
    <s v="19450633"/>
    <m/>
    <m/>
    <m/>
    <m/>
    <m/>
    <m/>
    <s v="SOLRECOUP"/>
    <s v="SOLRECOUP"/>
    <s v="POARECOUP"/>
    <n v="21356829"/>
    <n v="-155"/>
    <m/>
    <s v="Y"/>
    <n v="1"/>
    <d v="2023-07-10T19:47:46"/>
    <s v="N"/>
    <m/>
    <m/>
    <s v="Non Expert Disbursement"/>
    <m/>
    <s v="N"/>
    <n v="-155"/>
    <n v="0"/>
    <x v="2"/>
    <s v="VALIDATED"/>
    <n v="1"/>
    <s v="01.11.80.308.2013.0000"/>
    <n v="-155"/>
    <s v="11"/>
    <s v="2013"/>
    <n v="-26602.14"/>
    <n v="-155"/>
    <s v="DEBTOR"/>
    <n v="0"/>
    <n v="0"/>
    <n v="0"/>
    <n v="0"/>
    <n v="0"/>
  </r>
  <r>
    <n v="19450633"/>
    <s v="N"/>
    <n v="21356829"/>
    <s v="3000008265510011RC"/>
    <s v="CIVIL"/>
    <d v="2023-06-26T00:00:00"/>
    <d v="2023-07-10T19:47:44"/>
    <m/>
    <d v="2023-07-10T00:00:00"/>
    <n v="1722"/>
    <n v="16529"/>
    <s v="19450633"/>
    <s v="19450633"/>
    <m/>
    <m/>
    <m/>
    <m/>
    <m/>
    <m/>
    <s v="SOLRECOUP"/>
    <s v="SOLRECOUP"/>
    <s v="POARECOUP"/>
    <n v="21356829"/>
    <n v="-155"/>
    <m/>
    <s v="Y"/>
    <n v="2"/>
    <d v="2023-07-10T19:47:46"/>
    <s v="N"/>
    <m/>
    <m/>
    <s v="Non Expert Disbursement"/>
    <m/>
    <s v="N"/>
    <n v="0"/>
    <n v="0"/>
    <x v="2"/>
    <s v="VALIDATED"/>
    <n v="1"/>
    <s v="01.11.80.000.0000.0000"/>
    <n v="0"/>
    <s v="11"/>
    <s v="0000"/>
    <n v="-26602.14"/>
    <n v="0"/>
    <s v="DEBTOR"/>
    <n v="0"/>
    <n v="0"/>
    <n v="0"/>
    <n v="0"/>
    <n v="0"/>
  </r>
  <r>
    <n v="19450633"/>
    <s v="N"/>
    <n v="21356830"/>
    <s v="3000008265510013RC"/>
    <s v="CIVIL"/>
    <d v="2023-06-26T00:00:00"/>
    <d v="2023-07-10T19:47:44"/>
    <m/>
    <d v="2023-07-10T00:00:00"/>
    <n v="1722"/>
    <n v="16529"/>
    <s v="19450633"/>
    <s v="19450633"/>
    <m/>
    <m/>
    <m/>
    <m/>
    <m/>
    <m/>
    <s v="SOLRECOUP"/>
    <s v="SOLRECOUP"/>
    <s v="POARECOUP"/>
    <n v="21356830"/>
    <n v="-50.4"/>
    <m/>
    <s v="Y"/>
    <n v="1"/>
    <d v="2023-07-10T19:47:46"/>
    <s v="N"/>
    <m/>
    <m/>
    <s v="Non Expert Disbursement"/>
    <m/>
    <s v="N"/>
    <n v="-50.4"/>
    <n v="0"/>
    <x v="2"/>
    <s v="VALIDATED"/>
    <n v="1"/>
    <s v="01.11.80.308.2013.0000"/>
    <n v="-50.4"/>
    <s v="11"/>
    <s v="2013"/>
    <n v="-26602.14"/>
    <n v="-50.4"/>
    <s v="DEBTOR"/>
    <n v="0"/>
    <n v="0"/>
    <n v="0"/>
    <n v="0"/>
    <n v="0"/>
  </r>
  <r>
    <n v="19450633"/>
    <s v="N"/>
    <n v="21356830"/>
    <s v="3000008265510013RC"/>
    <s v="CIVIL"/>
    <d v="2023-06-26T00:00:00"/>
    <d v="2023-07-10T19:47:44"/>
    <m/>
    <d v="2023-07-10T00:00:00"/>
    <n v="1722"/>
    <n v="16529"/>
    <s v="19450633"/>
    <s v="19450633"/>
    <m/>
    <m/>
    <m/>
    <m/>
    <m/>
    <m/>
    <s v="SOLRECOUP"/>
    <s v="SOLRECOUP"/>
    <s v="POARECOUP"/>
    <n v="21356830"/>
    <n v="-50.4"/>
    <m/>
    <s v="Y"/>
    <n v="2"/>
    <d v="2023-07-10T19:47:46"/>
    <s v="N"/>
    <m/>
    <m/>
    <s v="Non Expert Disbursement"/>
    <m/>
    <s v="N"/>
    <n v="0"/>
    <n v="0"/>
    <x v="2"/>
    <s v="VALIDATED"/>
    <n v="1"/>
    <s v="01.11.80.000.0000.0000"/>
    <n v="0"/>
    <s v="11"/>
    <s v="0000"/>
    <n v="-26602.14"/>
    <n v="0"/>
    <s v="DEBTOR"/>
    <n v="0"/>
    <n v="0"/>
    <n v="0"/>
    <n v="0"/>
    <n v="0"/>
  </r>
  <r>
    <n v="19450633"/>
    <s v="N"/>
    <n v="21356831"/>
    <s v="3000008265510021RC"/>
    <s v="CIVIL"/>
    <d v="2023-06-26T00:00:00"/>
    <d v="2023-07-10T19:47:44"/>
    <m/>
    <d v="2023-07-10T00:00:00"/>
    <n v="1722"/>
    <n v="16529"/>
    <s v="19450633"/>
    <s v="19450633"/>
    <m/>
    <m/>
    <m/>
    <m/>
    <m/>
    <m/>
    <s v="SOLRECOUP"/>
    <s v="SOLRECOUP"/>
    <s v="POARECOUP"/>
    <n v="21356831"/>
    <n v="-1233.01"/>
    <m/>
    <s v="Y"/>
    <n v="1"/>
    <d v="2023-07-10T19:47:46"/>
    <s v="N"/>
    <m/>
    <m/>
    <s v="Profit Cost"/>
    <m/>
    <s v="N"/>
    <n v="-1027.51"/>
    <n v="0"/>
    <x v="2"/>
    <s v="VALIDATED"/>
    <n v="1"/>
    <s v="01.11.80.308.2013.0000"/>
    <n v="-1027.51"/>
    <s v="11"/>
    <s v="2013"/>
    <n v="-26602.14"/>
    <n v="-1027.51"/>
    <s v="DEBTOR"/>
    <n v="0"/>
    <n v="0"/>
    <n v="0"/>
    <n v="0"/>
    <n v="0"/>
  </r>
  <r>
    <n v="19450633"/>
    <s v="N"/>
    <n v="21356831"/>
    <s v="3000008265510021RC"/>
    <s v="CIVIL"/>
    <d v="2023-06-26T00:00:00"/>
    <d v="2023-07-10T19:47:44"/>
    <m/>
    <d v="2023-07-10T00:00:00"/>
    <n v="1722"/>
    <n v="16529"/>
    <s v="19450633"/>
    <s v="19450633"/>
    <m/>
    <m/>
    <m/>
    <m/>
    <m/>
    <m/>
    <s v="SOLRECOUP"/>
    <s v="SOLRECOUP"/>
    <s v="POARECOUP"/>
    <n v="21356831"/>
    <n v="-1233.01"/>
    <m/>
    <s v="Y"/>
    <n v="2"/>
    <d v="2023-07-10T19:47:46"/>
    <s v="N"/>
    <m/>
    <m/>
    <s v="Profit Cost"/>
    <m/>
    <s v="N"/>
    <n v="0"/>
    <n v="-205.5"/>
    <x v="2"/>
    <s v="VALIDATED"/>
    <n v="1"/>
    <s v="01.11.80.308.2013.0000"/>
    <n v="-205.5"/>
    <s v="11"/>
    <s v="2013"/>
    <n v="-26602.14"/>
    <n v="-205.5"/>
    <s v="DEBTOR"/>
    <n v="0"/>
    <n v="0"/>
    <n v="0"/>
    <n v="0"/>
    <n v="0"/>
  </r>
  <r>
    <n v="19450633"/>
    <s v="N"/>
    <n v="21356832"/>
    <s v="3000008265510018RC"/>
    <s v="CIVIL"/>
    <d v="2023-06-26T00:00:00"/>
    <d v="2023-07-10T19:47:44"/>
    <m/>
    <d v="2023-07-10T00:00:00"/>
    <n v="1722"/>
    <n v="16529"/>
    <s v="19450633"/>
    <s v="19450633"/>
    <m/>
    <m/>
    <m/>
    <m/>
    <m/>
    <m/>
    <s v="SOLRECOUP"/>
    <s v="SOLRECOUP"/>
    <s v="POARECOUP"/>
    <n v="21356832"/>
    <n v="-1291"/>
    <m/>
    <s v="Y"/>
    <n v="1"/>
    <d v="2023-07-10T19:47:46"/>
    <s v="N"/>
    <m/>
    <m/>
    <s v="Profit Cost"/>
    <m/>
    <s v="N"/>
    <n v="-1075.83"/>
    <n v="0"/>
    <x v="2"/>
    <s v="VALIDATED"/>
    <n v="1"/>
    <s v="01.11.80.308.2013.0000"/>
    <n v="-1075.83"/>
    <s v="11"/>
    <s v="2013"/>
    <n v="-26602.14"/>
    <n v="-1075.83"/>
    <s v="DEBTOR"/>
    <n v="0"/>
    <n v="0"/>
    <n v="0"/>
    <n v="0"/>
    <n v="0"/>
  </r>
  <r>
    <n v="19450633"/>
    <s v="N"/>
    <n v="21356832"/>
    <s v="3000008265510018RC"/>
    <s v="CIVIL"/>
    <d v="2023-06-26T00:00:00"/>
    <d v="2023-07-10T19:47:44"/>
    <m/>
    <d v="2023-07-10T00:00:00"/>
    <n v="1722"/>
    <n v="16529"/>
    <s v="19450633"/>
    <s v="19450633"/>
    <m/>
    <m/>
    <m/>
    <m/>
    <m/>
    <m/>
    <s v="SOLRECOUP"/>
    <s v="SOLRECOUP"/>
    <s v="POARECOUP"/>
    <n v="21356832"/>
    <n v="-1291"/>
    <m/>
    <s v="Y"/>
    <n v="2"/>
    <d v="2023-07-10T19:47:46"/>
    <s v="N"/>
    <m/>
    <m/>
    <s v="Profit Cost"/>
    <m/>
    <s v="N"/>
    <n v="0"/>
    <n v="-215.17"/>
    <x v="2"/>
    <s v="VALIDATED"/>
    <n v="1"/>
    <s v="01.11.80.308.2013.0000"/>
    <n v="-215.17"/>
    <s v="11"/>
    <s v="2013"/>
    <n v="-26602.14"/>
    <n v="-215.17"/>
    <s v="DEBTOR"/>
    <n v="0"/>
    <n v="0"/>
    <n v="0"/>
    <n v="0"/>
    <n v="0"/>
  </r>
  <r>
    <n v="19450633"/>
    <s v="N"/>
    <n v="21356833"/>
    <s v="3000008265510019RC"/>
    <s v="CIVIL"/>
    <d v="2023-06-26T00:00:00"/>
    <d v="2023-07-10T19:47:44"/>
    <m/>
    <d v="2023-07-10T00:00:00"/>
    <n v="1722"/>
    <n v="16529"/>
    <s v="19450633"/>
    <s v="19450633"/>
    <m/>
    <m/>
    <m/>
    <m/>
    <m/>
    <m/>
    <s v="SOLRECOUP"/>
    <s v="SOLRECOUP"/>
    <s v="POARECOUP"/>
    <n v="21356833"/>
    <n v="-236.8"/>
    <m/>
    <s v="Y"/>
    <n v="1"/>
    <d v="2023-07-10T19:47:46"/>
    <s v="N"/>
    <m/>
    <m/>
    <s v="Expert Disbursement"/>
    <m/>
    <s v="N"/>
    <n v="-197.33"/>
    <n v="0"/>
    <x v="2"/>
    <s v="VALIDATED"/>
    <n v="1"/>
    <s v="01.11.80.308.2013.0000"/>
    <n v="-197.33"/>
    <s v="11"/>
    <s v="2013"/>
    <n v="-26602.14"/>
    <n v="-197.33"/>
    <s v="DEBTOR"/>
    <n v="0"/>
    <n v="0"/>
    <n v="0"/>
    <n v="0"/>
    <n v="0"/>
  </r>
  <r>
    <n v="19450633"/>
    <s v="N"/>
    <n v="21356833"/>
    <s v="3000008265510019RC"/>
    <s v="CIVIL"/>
    <d v="2023-06-26T00:00:00"/>
    <d v="2023-07-10T19:47:44"/>
    <m/>
    <d v="2023-07-10T00:00:00"/>
    <n v="1722"/>
    <n v="16529"/>
    <s v="19450633"/>
    <s v="19450633"/>
    <m/>
    <m/>
    <m/>
    <m/>
    <m/>
    <m/>
    <s v="SOLRECOUP"/>
    <s v="SOLRECOUP"/>
    <s v="POARECOUP"/>
    <n v="21356833"/>
    <n v="-236.8"/>
    <m/>
    <s v="Y"/>
    <n v="2"/>
    <d v="2023-07-10T19:47:46"/>
    <s v="N"/>
    <m/>
    <m/>
    <s v="Expert Disbursement"/>
    <m/>
    <s v="N"/>
    <n v="0"/>
    <n v="-39.47"/>
    <x v="2"/>
    <s v="VALIDATED"/>
    <n v="1"/>
    <s v="01.11.80.308.2013.0000"/>
    <n v="-39.47"/>
    <s v="11"/>
    <s v="2013"/>
    <n v="-26602.14"/>
    <n v="-39.47"/>
    <s v="DEBTOR"/>
    <n v="0"/>
    <n v="0"/>
    <n v="0"/>
    <n v="0"/>
    <n v="0"/>
  </r>
  <r>
    <n v="19450663"/>
    <s v="N"/>
    <n v="21361612"/>
    <s v="3000008261710002RC"/>
    <s v="CIVIL"/>
    <d v="2023-06-28T00:00:00"/>
    <d v="2023-07-11T19:38:00"/>
    <m/>
    <d v="2023-07-11T00:00:00"/>
    <n v="1722"/>
    <n v="16529"/>
    <s v="19450663"/>
    <s v="19450663"/>
    <m/>
    <m/>
    <m/>
    <m/>
    <m/>
    <m/>
    <s v="SOLRECOUP"/>
    <s v="SOLRECOUP"/>
    <s v="POARECOUP"/>
    <n v="21361612"/>
    <n v="-1408.32"/>
    <m/>
    <s v="Y"/>
    <n v="1"/>
    <d v="2023-07-11T19:38:01"/>
    <s v="N"/>
    <m/>
    <m/>
    <s v="Profit Cost"/>
    <m/>
    <s v="N"/>
    <n v="-1173.6"/>
    <n v="0"/>
    <x v="7"/>
    <s v="VALIDATED"/>
    <n v="1"/>
    <s v="01.11.80.307.2013.0000"/>
    <n v="-1173.6"/>
    <s v="11"/>
    <s v="2013"/>
    <n v="-26602.14"/>
    <n v="-1173.6"/>
    <s v="DEBTOR"/>
    <n v="0"/>
    <n v="0"/>
    <n v="0"/>
    <n v="0"/>
    <n v="0"/>
  </r>
  <r>
    <n v="19450663"/>
    <s v="N"/>
    <n v="21361612"/>
    <s v="3000008261710002RC"/>
    <s v="CIVIL"/>
    <d v="2023-06-28T00:00:00"/>
    <d v="2023-07-11T19:38:00"/>
    <m/>
    <d v="2023-07-11T00:00:00"/>
    <n v="1722"/>
    <n v="16529"/>
    <s v="19450663"/>
    <s v="19450663"/>
    <m/>
    <m/>
    <m/>
    <m/>
    <m/>
    <m/>
    <s v="SOLRECOUP"/>
    <s v="SOLRECOUP"/>
    <s v="POARECOUP"/>
    <n v="21361612"/>
    <n v="-1408.32"/>
    <m/>
    <s v="Y"/>
    <n v="2"/>
    <d v="2023-07-11T19:38:01"/>
    <s v="N"/>
    <m/>
    <m/>
    <s v="Profit Cost"/>
    <m/>
    <s v="N"/>
    <n v="0"/>
    <n v="-234.72"/>
    <x v="7"/>
    <s v="VALIDATED"/>
    <n v="1"/>
    <s v="01.11.80.307.2013.0000"/>
    <n v="-234.72"/>
    <s v="11"/>
    <s v="2013"/>
    <n v="-26602.14"/>
    <n v="-234.72"/>
    <s v="DEBTOR"/>
    <n v="0"/>
    <n v="0"/>
    <n v="0"/>
    <n v="0"/>
    <n v="0"/>
  </r>
  <r>
    <n v="19450663"/>
    <s v="N"/>
    <n v="21361613"/>
    <s v="3000008261710001RC"/>
    <s v="CIVIL"/>
    <d v="2023-06-28T00:00:00"/>
    <d v="2023-07-11T19:38:00"/>
    <m/>
    <d v="2023-07-11T00:00:00"/>
    <n v="1722"/>
    <n v="16529"/>
    <s v="19450663"/>
    <s v="19450663"/>
    <m/>
    <m/>
    <m/>
    <m/>
    <m/>
    <m/>
    <s v="SOLRECOUP"/>
    <s v="SOLRECOUP"/>
    <s v="POARECOUP"/>
    <n v="21361613"/>
    <n v="-45.65"/>
    <m/>
    <s v="Y"/>
    <n v="1"/>
    <d v="2023-07-11T19:38:01"/>
    <s v="N"/>
    <m/>
    <m/>
    <s v="Non Expert Disbursement"/>
    <m/>
    <s v="N"/>
    <n v="-45.65"/>
    <n v="0"/>
    <x v="7"/>
    <s v="VALIDATED"/>
    <n v="1"/>
    <s v="01.11.80.307.2013.0000"/>
    <n v="-45.65"/>
    <s v="11"/>
    <s v="2013"/>
    <n v="-26602.14"/>
    <n v="-45.65"/>
    <s v="DEBTOR"/>
    <n v="0"/>
    <n v="0"/>
    <n v="0"/>
    <n v="0"/>
    <n v="0"/>
  </r>
  <r>
    <n v="19450663"/>
    <s v="N"/>
    <n v="21361613"/>
    <s v="3000008261710001RC"/>
    <s v="CIVIL"/>
    <d v="2023-06-28T00:00:00"/>
    <d v="2023-07-11T19:38:00"/>
    <m/>
    <d v="2023-07-11T00:00:00"/>
    <n v="1722"/>
    <n v="16529"/>
    <s v="19450663"/>
    <s v="19450663"/>
    <m/>
    <m/>
    <m/>
    <m/>
    <m/>
    <m/>
    <s v="SOLRECOUP"/>
    <s v="SOLRECOUP"/>
    <s v="POARECOUP"/>
    <n v="21361613"/>
    <n v="-45.65"/>
    <m/>
    <s v="Y"/>
    <n v="2"/>
    <d v="2023-07-11T19:38:01"/>
    <s v="N"/>
    <m/>
    <m/>
    <s v="Non Expert Disbursement"/>
    <m/>
    <s v="N"/>
    <n v="0"/>
    <n v="0"/>
    <x v="7"/>
    <s v="VALIDATED"/>
    <n v="1"/>
    <s v="01.11.80.000.0000.0000"/>
    <n v="0"/>
    <s v="11"/>
    <s v="0000"/>
    <n v="-26602.14"/>
    <n v="0"/>
    <s v="DEBTOR"/>
    <n v="0"/>
    <n v="0"/>
    <n v="0"/>
    <n v="0"/>
    <n v="0"/>
  </r>
  <r>
    <n v="10916222"/>
    <s v="N"/>
    <n v="21343408"/>
    <s v="3000006682680024"/>
    <s v="CIVIL"/>
    <d v="2023-06-23T00:00:00"/>
    <d v="2023-07-07T19:03:00"/>
    <m/>
    <d v="2023-07-07T00:00:00"/>
    <n v="1722"/>
    <n v="16529"/>
    <s v="10916222"/>
    <s v="10916222"/>
    <m/>
    <m/>
    <n v="22749120"/>
    <m/>
    <m/>
    <m/>
    <s v="SOLFIN"/>
    <s v="SOLFIN"/>
    <s v="CCMS"/>
    <n v="21343408"/>
    <n v="14742.77"/>
    <m/>
    <s v="N"/>
    <n v="3"/>
    <d v="2023-07-07T19:03:09"/>
    <s v="Y"/>
    <s v="Disbursements (Summary)"/>
    <s v="Public Law Children"/>
    <s v="Non Expert Disbursement"/>
    <s v="Nicola Harris"/>
    <s v="Y"/>
    <n v="10"/>
    <n v="0"/>
    <x v="9"/>
    <s v="VALIDATED"/>
    <n v="1"/>
    <s v="01.11.80.308.6300.0000"/>
    <n v="10"/>
    <s v="11"/>
    <s v="6300"/>
    <n v="-26602.14"/>
    <n v="10"/>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1"/>
    <d v="2023-07-05T19:02:04"/>
    <s v="Y"/>
    <s v="Preparation - other"/>
    <s v="Prescribed Hourly Rates"/>
    <s v="Profit Cost"/>
    <s v="Stephanie Stubbs"/>
    <s v="Y"/>
    <n v="5.49"/>
    <n v="1.1"/>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2"/>
    <d v="2023-07-05T19:02:04"/>
    <s v="Y"/>
    <s v="Attendance upon/with Counsel at Con"/>
    <s v="Prescribed Hourly Rates"/>
    <s v="Profit Cost"/>
    <s v="Stephanie Stubbs"/>
    <s v="Y"/>
    <n v="12.96"/>
    <n v="2.59"/>
    <x v="6"/>
    <s v="VALIDATED"/>
    <n v="1"/>
    <s v="01.11.80.302.6100.0000"/>
    <n v="12.96"/>
    <s v="11"/>
    <s v="6100"/>
    <n v="-26602.14"/>
    <n v="12.96"/>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6"/>
    <d v="2023-07-11T11:51:09"/>
    <s v="Y"/>
    <s v="Preparation - other"/>
    <s v="Prescribed Hourly Rates"/>
    <s v="Profit Cost"/>
    <s v="Hayley Catherall"/>
    <s v="Y"/>
    <n v="63.14"/>
    <n v="12.63"/>
    <x v="7"/>
    <s v="VALIDATED"/>
    <n v="1"/>
    <s v="01.11.80.307.6100.0000"/>
    <n v="63.14"/>
    <s v="11"/>
    <s v="6100"/>
    <n v="-26602.14"/>
    <n v="63.14"/>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8"/>
    <d v="2023-07-11T11:51:09"/>
    <s v="Y"/>
    <s v="Preparation - other"/>
    <s v="Prescribed Hourly Rates"/>
    <s v="Profit Cost"/>
    <s v="Hayley Catherall"/>
    <s v="Y"/>
    <n v="12.63"/>
    <n v="2.53"/>
    <x v="7"/>
    <s v="VALIDATED"/>
    <n v="1"/>
    <s v="01.11.80.307.6100.0000"/>
    <n v="12.63"/>
    <s v="11"/>
    <s v="6100"/>
    <n v="-26602.14"/>
    <n v="12.63"/>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3"/>
    <d v="2023-07-11T11:51:09"/>
    <s v="Y"/>
    <s v="Routine Letter Out"/>
    <s v="Prescribed Hourly Rates"/>
    <s v="Profit Cost"/>
    <s v="Hayley Catherall"/>
    <s v="Y"/>
    <n v="322.92"/>
    <n v="64.58"/>
    <x v="7"/>
    <s v="VALIDATED"/>
    <n v="1"/>
    <s v="01.11.80.307.6100.0000"/>
    <n v="322.92"/>
    <s v="11"/>
    <s v="6100"/>
    <n v="-26602.14"/>
    <n v="322.92"/>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2"/>
    <d v="2023-07-11T11:51:09"/>
    <s v="Y"/>
    <s v="Waiting at court"/>
    <s v="Prescribed Hourly Rates"/>
    <s v="Profit Cost"/>
    <s v="Susie Packer"/>
    <s v="Y"/>
    <n v="2.79"/>
    <n v="0.5600000000000001"/>
    <x v="7"/>
    <s v="VALIDATED"/>
    <n v="1"/>
    <s v="01.11.80.307.6100.0000"/>
    <n v="2.79"/>
    <s v="11"/>
    <s v="6100"/>
    <n v="-26602.14"/>
    <n v="2.7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3"/>
    <d v="2023-07-05T19:02:04"/>
    <s v="Y"/>
    <s v="Attendance upon client"/>
    <s v="Prescribed Hourly Rates"/>
    <s v="Profit Cost"/>
    <s v="Stephanie Stubbs"/>
    <s v="Y"/>
    <n v="16.47"/>
    <n v="3.29"/>
    <x v="6"/>
    <s v="VALIDATED"/>
    <n v="1"/>
    <s v="01.11.80.302.6100.0000"/>
    <n v="16.47"/>
    <s v="11"/>
    <s v="6100"/>
    <n v="-26602.14"/>
    <n v="16.4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
    <d v="2023-07-05T19:02:17"/>
    <s v="Y"/>
    <s v="Child psychologist"/>
    <s v="VHCC"/>
    <s v="Expert Disbursement"/>
    <s v="Mary Holmes"/>
    <s v="Y"/>
    <n v="1333.6"/>
    <n v="266.72"/>
    <x v="6"/>
    <s v="VALIDATED"/>
    <n v="1"/>
    <s v="01.11.80.308.6300.0000"/>
    <n v="1333.6"/>
    <s v="11"/>
    <s v="6300"/>
    <n v="-26602.14"/>
    <n v="1333.6"/>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6"/>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5"/>
    <d v="2023-07-05T19:02:04"/>
    <s v="Y"/>
    <s v="Police Records"/>
    <s v="Domestic Abuse"/>
    <s v="Non Expert Disbursement"/>
    <s v="Nicola Harris"/>
    <s v="Y"/>
    <n v="182"/>
    <n v="0"/>
    <x v="6"/>
    <s v="VALIDATED"/>
    <n v="1"/>
    <s v="01.11.80.302.6300.0000"/>
    <n v="182"/>
    <s v="11"/>
    <s v="6300"/>
    <n v="-26602.14"/>
    <n v="182"/>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9"/>
    <d v="2023-07-05T19:02:04"/>
    <s v="Y"/>
    <s v="Attendance upon client"/>
    <s v="Prescribed Hourly Rates"/>
    <s v="Profit Cost"/>
    <s v="Stephanie Stubbs"/>
    <s v="Y"/>
    <n v="10.98"/>
    <n v="2.2"/>
    <x v="6"/>
    <s v="VALIDATED"/>
    <n v="1"/>
    <s v="01.11.80.302.6100.0000"/>
    <n v="10.98"/>
    <s v="11"/>
    <s v="6100"/>
    <n v="-26602.14"/>
    <n v="10.9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2"/>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0"/>
    <d v="2023-07-05T19:02:04"/>
    <s v="Y"/>
    <s v="Attendance upon client"/>
    <s v="Prescribed Hourly Rates"/>
    <s v="Profit Cost"/>
    <s v="Stephanie Stubbs"/>
    <s v="Y"/>
    <n v="10.98"/>
    <n v="2.2"/>
    <x v="6"/>
    <s v="VALIDATED"/>
    <n v="1"/>
    <s v="01.11.80.302.6100.0000"/>
    <n v="10.98"/>
    <s v="11"/>
    <s v="6100"/>
    <n v="-26602.14"/>
    <n v="10.9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7"/>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6"/>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0"/>
    <d v="2023-07-11T11:51:09"/>
    <s v="Y"/>
    <s v="Attendance upon/with Counsel at Con"/>
    <s v="Prescribed Hourly Rates"/>
    <s v="Profit Cost"/>
    <s v="Susie Packer"/>
    <s v="Y"/>
    <n v="6.48"/>
    <n v="1.3"/>
    <x v="7"/>
    <s v="VALIDATED"/>
    <n v="1"/>
    <s v="01.11.80.307.6100.0000"/>
    <n v="6.48"/>
    <s v="11"/>
    <s v="6100"/>
    <n v="-26602.14"/>
    <n v="6.4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4"/>
    <d v="2023-07-05T19:02:04"/>
    <s v="Y"/>
    <s v="Routine Telephone Call"/>
    <s v="Prescribed Hourly Rates"/>
    <s v="Profit Cost"/>
    <s v="Stephanie Stubbs"/>
    <s v="Y"/>
    <n v="135"/>
    <n v="27"/>
    <x v="6"/>
    <s v="VALIDATED"/>
    <n v="1"/>
    <s v="01.11.80.302.6100.0000"/>
    <n v="135"/>
    <s v="11"/>
    <s v="6100"/>
    <n v="-26602.14"/>
    <n v="135"/>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9"/>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8"/>
    <d v="2023-07-11T11:51:09"/>
    <s v="Y"/>
    <s v="Preparation - other"/>
    <s v="Prescribed Hourly Rates"/>
    <s v="Profit Cost"/>
    <s v="Hayley Catherall"/>
    <s v="Y"/>
    <n v="6.31"/>
    <n v="1.26"/>
    <x v="7"/>
    <s v="VALIDATED"/>
    <n v="1"/>
    <s v="01.11.80.307.6100.0000"/>
    <n v="6.31"/>
    <s v="11"/>
    <s v="6100"/>
    <n v="-26602.14"/>
    <n v="6.31"/>
    <s v="DEBTOR"/>
    <n v="0"/>
    <n v="0"/>
    <n v="0"/>
    <n v="0"/>
    <n v="0"/>
  </r>
  <r>
    <n v="27782543"/>
    <s v="N"/>
    <n v="21334000"/>
    <s v="3000009165120004RC"/>
    <s v="CIVIL"/>
    <d v="2023-06-28T00:00:00"/>
    <d v="2023-07-05T19:42:28"/>
    <m/>
    <d v="2023-07-05T00:00:00"/>
    <n v="1722"/>
    <n v="16529"/>
    <s v="27782543"/>
    <s v="27782543"/>
    <m/>
    <m/>
    <m/>
    <m/>
    <m/>
    <m/>
    <s v="SOLRECOUP"/>
    <s v="SOLRECOUP"/>
    <s v="POARECOUP"/>
    <n v="21334000"/>
    <n v="-1834.56"/>
    <m/>
    <s v="Y"/>
    <n v="1"/>
    <d v="2023-07-05T19:42:29"/>
    <s v="N"/>
    <m/>
    <m/>
    <s v="Profit Cost"/>
    <m/>
    <s v="N"/>
    <n v="-1528.8"/>
    <n v="0"/>
    <x v="6"/>
    <s v="VALIDATED"/>
    <n v="1"/>
    <s v="01.11.80.308.2013.0000"/>
    <n v="-1528.8"/>
    <s v="11"/>
    <s v="2013"/>
    <n v="-26602.14"/>
    <n v="-1528.8"/>
    <s v="DEBTOR"/>
    <n v="0"/>
    <n v="0"/>
    <n v="0"/>
    <n v="0"/>
    <n v="0"/>
  </r>
  <r>
    <n v="27782543"/>
    <s v="N"/>
    <n v="21334000"/>
    <s v="3000009165120004RC"/>
    <s v="CIVIL"/>
    <d v="2023-06-28T00:00:00"/>
    <d v="2023-07-05T19:42:28"/>
    <m/>
    <d v="2023-07-05T00:00:00"/>
    <n v="1722"/>
    <n v="16529"/>
    <s v="27782543"/>
    <s v="27782543"/>
    <m/>
    <m/>
    <m/>
    <m/>
    <m/>
    <m/>
    <s v="SOLRECOUP"/>
    <s v="SOLRECOUP"/>
    <s v="POARECOUP"/>
    <n v="21334000"/>
    <n v="-1834.56"/>
    <m/>
    <s v="Y"/>
    <n v="2"/>
    <d v="2023-07-05T19:42:29"/>
    <s v="N"/>
    <m/>
    <m/>
    <s v="Profit Cost"/>
    <m/>
    <s v="N"/>
    <n v="0"/>
    <n v="-305.76"/>
    <x v="6"/>
    <s v="VALIDATED"/>
    <n v="1"/>
    <s v="01.11.80.308.2013.0000"/>
    <n v="-305.76"/>
    <s v="11"/>
    <s v="2013"/>
    <n v="-26602.14"/>
    <n v="-305.76"/>
    <s v="DEBTOR"/>
    <n v="0"/>
    <n v="0"/>
    <n v="0"/>
    <n v="0"/>
    <n v="0"/>
  </r>
  <r>
    <n v="27782543"/>
    <s v="N"/>
    <n v="21334001"/>
    <s v="3000009165120010RC"/>
    <s v="CIVIL"/>
    <d v="2023-06-28T00:00:00"/>
    <d v="2023-07-05T19:42:28"/>
    <m/>
    <d v="2023-07-05T00:00:00"/>
    <n v="1722"/>
    <n v="16529"/>
    <s v="27782543"/>
    <s v="27782543"/>
    <m/>
    <m/>
    <m/>
    <m/>
    <m/>
    <m/>
    <s v="SOLRECOUP"/>
    <s v="SOLRECOUP"/>
    <s v="POARECOUP"/>
    <n v="21334001"/>
    <n v="-781.2"/>
    <m/>
    <s v="Y"/>
    <n v="1"/>
    <d v="2023-07-05T19:42:29"/>
    <s v="N"/>
    <m/>
    <m/>
    <s v="Expert Disbursement"/>
    <m/>
    <s v="N"/>
    <n v="-651"/>
    <n v="0"/>
    <x v="6"/>
    <s v="VALIDATED"/>
    <n v="1"/>
    <s v="01.11.80.308.2013.0000"/>
    <n v="-651"/>
    <s v="11"/>
    <s v="2013"/>
    <n v="-26602.14"/>
    <n v="-651"/>
    <s v="DEBTOR"/>
    <n v="0"/>
    <n v="0"/>
    <n v="0"/>
    <n v="0"/>
    <n v="0"/>
  </r>
  <r>
    <n v="27782543"/>
    <s v="N"/>
    <n v="21334001"/>
    <s v="3000009165120010RC"/>
    <s v="CIVIL"/>
    <d v="2023-06-28T00:00:00"/>
    <d v="2023-07-05T19:42:28"/>
    <m/>
    <d v="2023-07-05T00:00:00"/>
    <n v="1722"/>
    <n v="16529"/>
    <s v="27782543"/>
    <s v="27782543"/>
    <m/>
    <m/>
    <m/>
    <m/>
    <m/>
    <m/>
    <s v="SOLRECOUP"/>
    <s v="SOLRECOUP"/>
    <s v="POARECOUP"/>
    <n v="21334001"/>
    <n v="-781.2"/>
    <m/>
    <s v="Y"/>
    <n v="2"/>
    <d v="2023-07-05T19:42:29"/>
    <s v="N"/>
    <m/>
    <m/>
    <s v="Expert Disbursement"/>
    <m/>
    <s v="N"/>
    <n v="0"/>
    <n v="-130.2"/>
    <x v="6"/>
    <s v="VALIDATED"/>
    <n v="1"/>
    <s v="01.11.80.308.2013.0000"/>
    <n v="-130.2"/>
    <s v="11"/>
    <s v="2013"/>
    <n v="-26602.14"/>
    <n v="-130.2"/>
    <s v="DEBTOR"/>
    <n v="0"/>
    <n v="0"/>
    <n v="0"/>
    <n v="0"/>
    <n v="0"/>
  </r>
  <r>
    <n v="27782543"/>
    <s v="N"/>
    <n v="21334002"/>
    <s v="3000009165120003RC"/>
    <s v="CIVIL"/>
    <d v="2023-06-28T00:00:00"/>
    <d v="2023-07-05T19:42:28"/>
    <m/>
    <d v="2023-07-05T00:00:00"/>
    <n v="1722"/>
    <n v="16529"/>
    <s v="27782543"/>
    <s v="27782543"/>
    <m/>
    <m/>
    <m/>
    <m/>
    <m/>
    <m/>
    <s v="SOLRECOUP"/>
    <s v="SOLRECOUP"/>
    <s v="POARECOUP"/>
    <n v="21334002"/>
    <n v="-432"/>
    <m/>
    <s v="Y"/>
    <n v="1"/>
    <d v="2023-07-05T19:42:29"/>
    <s v="N"/>
    <m/>
    <m/>
    <s v="Expert Disbursement"/>
    <m/>
    <s v="N"/>
    <n v="-432"/>
    <n v="0"/>
    <x v="6"/>
    <s v="VALIDATED"/>
    <n v="1"/>
    <s v="01.11.80.308.2013.0000"/>
    <n v="-432"/>
    <s v="11"/>
    <s v="2013"/>
    <n v="-26602.14"/>
    <n v="-432"/>
    <s v="DEBTOR"/>
    <n v="0"/>
    <n v="0"/>
    <n v="0"/>
    <n v="0"/>
    <n v="0"/>
  </r>
  <r>
    <n v="27782543"/>
    <s v="N"/>
    <n v="21334002"/>
    <s v="3000009165120003RC"/>
    <s v="CIVIL"/>
    <d v="2023-06-28T00:00:00"/>
    <d v="2023-07-05T19:42:28"/>
    <m/>
    <d v="2023-07-05T00:00:00"/>
    <n v="1722"/>
    <n v="16529"/>
    <s v="27782543"/>
    <s v="27782543"/>
    <m/>
    <m/>
    <m/>
    <m/>
    <m/>
    <m/>
    <s v="SOLRECOUP"/>
    <s v="SOLRECOUP"/>
    <s v="POARECOUP"/>
    <n v="21334002"/>
    <n v="-432"/>
    <m/>
    <s v="Y"/>
    <n v="2"/>
    <d v="2023-07-05T19:42:29"/>
    <s v="N"/>
    <m/>
    <m/>
    <s v="Expert Disbursement"/>
    <m/>
    <s v="N"/>
    <n v="0"/>
    <n v="0"/>
    <x v="6"/>
    <s v="VALIDATED"/>
    <n v="1"/>
    <s v="01.11.80.000.0000.0000"/>
    <n v="0"/>
    <s v="11"/>
    <s v="0000"/>
    <n v="-26602.14"/>
    <n v="0"/>
    <s v="DEBTOR"/>
    <n v="0"/>
    <n v="0"/>
    <n v="0"/>
    <n v="0"/>
    <n v="0"/>
  </r>
  <r>
    <n v="27782543"/>
    <s v="N"/>
    <n v="21334003"/>
    <s v="3000009165120006RC"/>
    <s v="CIVIL"/>
    <d v="2023-06-28T00:00:00"/>
    <d v="2023-07-05T19:42:28"/>
    <m/>
    <d v="2023-07-05T00:00:00"/>
    <n v="1722"/>
    <n v="16529"/>
    <s v="27782543"/>
    <s v="27782543"/>
    <m/>
    <m/>
    <m/>
    <m/>
    <m/>
    <m/>
    <s v="SOLRECOUP"/>
    <s v="SOLRECOUP"/>
    <s v="POARECOUP"/>
    <n v="21334003"/>
    <n v="-163.2"/>
    <m/>
    <s v="Y"/>
    <n v="1"/>
    <d v="2023-07-05T19:42:29"/>
    <s v="N"/>
    <m/>
    <m/>
    <s v="Expert Disbursement"/>
    <m/>
    <s v="N"/>
    <n v="-136"/>
    <n v="0"/>
    <x v="6"/>
    <s v="VALIDATED"/>
    <n v="1"/>
    <s v="01.11.80.308.2013.0000"/>
    <n v="-136"/>
    <s v="11"/>
    <s v="2013"/>
    <n v="-26602.14"/>
    <n v="-136"/>
    <s v="DEBTOR"/>
    <n v="0"/>
    <n v="0"/>
    <n v="0"/>
    <n v="0"/>
    <n v="0"/>
  </r>
  <r>
    <n v="27782543"/>
    <s v="N"/>
    <n v="21334003"/>
    <s v="3000009165120006RC"/>
    <s v="CIVIL"/>
    <d v="2023-06-28T00:00:00"/>
    <d v="2023-07-05T19:42:28"/>
    <m/>
    <d v="2023-07-05T00:00:00"/>
    <n v="1722"/>
    <n v="16529"/>
    <s v="27782543"/>
    <s v="27782543"/>
    <m/>
    <m/>
    <m/>
    <m/>
    <m/>
    <m/>
    <s v="SOLRECOUP"/>
    <s v="SOLRECOUP"/>
    <s v="POARECOUP"/>
    <n v="21334003"/>
    <n v="-163.2"/>
    <m/>
    <s v="Y"/>
    <n v="2"/>
    <d v="2023-07-05T19:42:29"/>
    <s v="N"/>
    <m/>
    <m/>
    <s v="Expert Disbursement"/>
    <m/>
    <s v="N"/>
    <n v="0"/>
    <n v="-27.2"/>
    <x v="6"/>
    <s v="VALIDATED"/>
    <n v="1"/>
    <s v="01.11.80.308.2013.0000"/>
    <n v="-27.2"/>
    <s v="11"/>
    <s v="2013"/>
    <n v="-26602.14"/>
    <n v="-27.2"/>
    <s v="DEBTOR"/>
    <n v="0"/>
    <n v="0"/>
    <n v="0"/>
    <n v="0"/>
    <n v="0"/>
  </r>
  <r>
    <n v="27782543"/>
    <s v="N"/>
    <n v="21334004"/>
    <s v="3000009165120008RC"/>
    <s v="CIVIL"/>
    <d v="2023-06-28T00:00:00"/>
    <d v="2023-07-05T19:42:28"/>
    <m/>
    <d v="2023-07-05T00:00:00"/>
    <n v="1722"/>
    <n v="16529"/>
    <s v="27782543"/>
    <s v="27782543"/>
    <m/>
    <m/>
    <m/>
    <m/>
    <m/>
    <m/>
    <s v="SOLRECOUP"/>
    <s v="SOLRECOUP"/>
    <s v="POARECOUP"/>
    <n v="21334004"/>
    <n v="-314.16"/>
    <m/>
    <s v="Y"/>
    <n v="1"/>
    <d v="2023-07-05T19:42:29"/>
    <s v="N"/>
    <m/>
    <m/>
    <s v="Expert Disbursement"/>
    <m/>
    <s v="N"/>
    <n v="-261.8"/>
    <n v="0"/>
    <x v="6"/>
    <s v="VALIDATED"/>
    <n v="1"/>
    <s v="01.11.80.308.2013.0000"/>
    <n v="-261.8"/>
    <s v="11"/>
    <s v="2013"/>
    <n v="-26602.14"/>
    <n v="-261.8"/>
    <s v="DEBTOR"/>
    <n v="0"/>
    <n v="0"/>
    <n v="0"/>
    <n v="0"/>
    <n v="0"/>
  </r>
  <r>
    <n v="27782543"/>
    <s v="N"/>
    <n v="21334004"/>
    <s v="3000009165120008RC"/>
    <s v="CIVIL"/>
    <d v="2023-06-28T00:00:00"/>
    <d v="2023-07-05T19:42:28"/>
    <m/>
    <d v="2023-07-05T00:00:00"/>
    <n v="1722"/>
    <n v="16529"/>
    <s v="27782543"/>
    <s v="27782543"/>
    <m/>
    <m/>
    <m/>
    <m/>
    <m/>
    <m/>
    <s v="SOLRECOUP"/>
    <s v="SOLRECOUP"/>
    <s v="POARECOUP"/>
    <n v="21334004"/>
    <n v="-314.16"/>
    <m/>
    <s v="Y"/>
    <n v="2"/>
    <d v="2023-07-05T19:42:29"/>
    <s v="N"/>
    <m/>
    <m/>
    <s v="Expert Disbursement"/>
    <m/>
    <s v="N"/>
    <n v="0"/>
    <n v="-52.36"/>
    <x v="6"/>
    <s v="VALIDATED"/>
    <n v="1"/>
    <s v="01.11.80.308.2013.0000"/>
    <n v="-52.36"/>
    <s v="11"/>
    <s v="2013"/>
    <n v="-26602.14"/>
    <n v="-52.36"/>
    <s v="DEBTOR"/>
    <n v="0"/>
    <n v="0"/>
    <n v="0"/>
    <n v="0"/>
    <n v="0"/>
  </r>
  <r>
    <n v="27782543"/>
    <s v="N"/>
    <n v="21334005"/>
    <s v="3000009165120007RC"/>
    <s v="CIVIL"/>
    <d v="2023-06-28T00:00:00"/>
    <d v="2023-07-05T19:42:28"/>
    <m/>
    <d v="2023-07-05T00:00:00"/>
    <n v="1722"/>
    <n v="16529"/>
    <s v="27782543"/>
    <s v="27782543"/>
    <m/>
    <m/>
    <m/>
    <m/>
    <m/>
    <m/>
    <s v="SOLRECOUP"/>
    <s v="SOLRECOUP"/>
    <s v="POARECOUP"/>
    <n v="21334005"/>
    <n v="-2706.26"/>
    <m/>
    <s v="Y"/>
    <n v="1"/>
    <d v="2023-07-05T19:42:29"/>
    <s v="N"/>
    <m/>
    <m/>
    <s v="Profit Cost"/>
    <m/>
    <s v="N"/>
    <n v="-2255.22"/>
    <n v="0"/>
    <x v="6"/>
    <s v="VALIDATED"/>
    <n v="1"/>
    <s v="01.11.80.308.2013.0000"/>
    <n v="-2255.22"/>
    <s v="11"/>
    <s v="2013"/>
    <n v="-26602.14"/>
    <n v="-2255.22"/>
    <s v="DEBTOR"/>
    <n v="0"/>
    <n v="0"/>
    <n v="0"/>
    <n v="0"/>
    <n v="0"/>
  </r>
  <r>
    <n v="27782543"/>
    <s v="N"/>
    <n v="21334005"/>
    <s v="3000009165120007RC"/>
    <s v="CIVIL"/>
    <d v="2023-06-28T00:00:00"/>
    <d v="2023-07-05T19:42:28"/>
    <m/>
    <d v="2023-07-05T00:00:00"/>
    <n v="1722"/>
    <n v="16529"/>
    <s v="27782543"/>
    <s v="27782543"/>
    <m/>
    <m/>
    <m/>
    <m/>
    <m/>
    <m/>
    <s v="SOLRECOUP"/>
    <s v="SOLRECOUP"/>
    <s v="POARECOUP"/>
    <n v="21334005"/>
    <n v="-2706.26"/>
    <m/>
    <s v="Y"/>
    <n v="2"/>
    <d v="2023-07-05T19:42:29"/>
    <s v="N"/>
    <m/>
    <m/>
    <s v="Profit Cost"/>
    <m/>
    <s v="N"/>
    <n v="0"/>
    <n v="-451.04"/>
    <x v="6"/>
    <s v="VALIDATED"/>
    <n v="1"/>
    <s v="01.11.80.308.2013.0000"/>
    <n v="-451.04"/>
    <s v="11"/>
    <s v="2013"/>
    <n v="-26602.14"/>
    <n v="-451.04"/>
    <s v="DEBTOR"/>
    <n v="0"/>
    <n v="0"/>
    <n v="0"/>
    <n v="0"/>
    <n v="0"/>
  </r>
  <r>
    <n v="27782543"/>
    <s v="N"/>
    <n v="21334006"/>
    <s v="3000009165120001RC"/>
    <s v="CIVIL"/>
    <d v="2023-06-28T00:00:00"/>
    <d v="2023-07-05T19:42:28"/>
    <m/>
    <d v="2023-07-05T00:00:00"/>
    <n v="1722"/>
    <n v="16529"/>
    <s v="27782543"/>
    <s v="27782543"/>
    <m/>
    <m/>
    <m/>
    <m/>
    <m/>
    <m/>
    <s v="SOLRECOUP"/>
    <s v="SOLRECOUP"/>
    <s v="POARECOUP"/>
    <n v="21334006"/>
    <n v="-369.6"/>
    <m/>
    <s v="Y"/>
    <n v="1"/>
    <d v="2023-07-05T19:42:29"/>
    <s v="N"/>
    <m/>
    <m/>
    <s v="Expert Disbursement"/>
    <m/>
    <s v="N"/>
    <n v="-308"/>
    <n v="0"/>
    <x v="6"/>
    <s v="VALIDATED"/>
    <n v="1"/>
    <s v="01.11.80.308.2013.0000"/>
    <n v="-308"/>
    <s v="11"/>
    <s v="2013"/>
    <n v="-26602.14"/>
    <n v="-308"/>
    <s v="DEBTOR"/>
    <n v="0"/>
    <n v="0"/>
    <n v="0"/>
    <n v="0"/>
    <n v="0"/>
  </r>
  <r>
    <n v="27782543"/>
    <s v="N"/>
    <n v="21334006"/>
    <s v="3000009165120001RC"/>
    <s v="CIVIL"/>
    <d v="2023-06-28T00:00:00"/>
    <d v="2023-07-05T19:42:28"/>
    <m/>
    <d v="2023-07-05T00:00:00"/>
    <n v="1722"/>
    <n v="16529"/>
    <s v="27782543"/>
    <s v="27782543"/>
    <m/>
    <m/>
    <m/>
    <m/>
    <m/>
    <m/>
    <s v="SOLRECOUP"/>
    <s v="SOLRECOUP"/>
    <s v="POARECOUP"/>
    <n v="21334006"/>
    <n v="-369.6"/>
    <m/>
    <s v="Y"/>
    <n v="2"/>
    <d v="2023-07-05T19:42:29"/>
    <s v="N"/>
    <m/>
    <m/>
    <s v="Expert Disbursement"/>
    <m/>
    <s v="N"/>
    <n v="0"/>
    <n v="-61.6"/>
    <x v="6"/>
    <s v="VALIDATED"/>
    <n v="1"/>
    <s v="01.11.80.308.2013.0000"/>
    <n v="-61.6"/>
    <s v="11"/>
    <s v="2013"/>
    <n v="-26602.14"/>
    <n v="-61.6"/>
    <s v="DEBTOR"/>
    <n v="0"/>
    <n v="0"/>
    <n v="0"/>
    <n v="0"/>
    <n v="0"/>
  </r>
  <r>
    <n v="27782543"/>
    <s v="N"/>
    <n v="21334007"/>
    <s v="3000009165120012RC"/>
    <s v="CIVIL"/>
    <d v="2023-06-28T00:00:00"/>
    <d v="2023-07-05T19:42:28"/>
    <m/>
    <d v="2023-07-05T00:00:00"/>
    <n v="1722"/>
    <n v="16529"/>
    <s v="27782543"/>
    <s v="27782543"/>
    <m/>
    <m/>
    <m/>
    <m/>
    <m/>
    <m/>
    <s v="SOLRECOUP"/>
    <s v="SOLRECOUP"/>
    <s v="POARECOUP"/>
    <n v="21334007"/>
    <n v="-2563.75"/>
    <m/>
    <s v="Y"/>
    <n v="1"/>
    <d v="2023-07-05T19:42:29"/>
    <s v="N"/>
    <m/>
    <m/>
    <s v="Profit Cost"/>
    <m/>
    <s v="N"/>
    <n v="-2136.46"/>
    <n v="0"/>
    <x v="6"/>
    <s v="VALIDATED"/>
    <n v="1"/>
    <s v="01.11.80.308.2013.0000"/>
    <n v="-2136.46"/>
    <s v="11"/>
    <s v="2013"/>
    <n v="-26602.14"/>
    <n v="-2136.46"/>
    <s v="DEBTOR"/>
    <n v="0"/>
    <n v="0"/>
    <n v="0"/>
    <n v="0"/>
    <n v="0"/>
  </r>
  <r>
    <n v="27782543"/>
    <s v="N"/>
    <n v="21334007"/>
    <s v="3000009165120012RC"/>
    <s v="CIVIL"/>
    <d v="2023-06-28T00:00:00"/>
    <d v="2023-07-05T19:42:28"/>
    <m/>
    <d v="2023-07-05T00:00:00"/>
    <n v="1722"/>
    <n v="16529"/>
    <s v="27782543"/>
    <s v="27782543"/>
    <m/>
    <m/>
    <m/>
    <m/>
    <m/>
    <m/>
    <s v="SOLRECOUP"/>
    <s v="SOLRECOUP"/>
    <s v="POARECOUP"/>
    <n v="21334007"/>
    <n v="-2563.75"/>
    <m/>
    <s v="Y"/>
    <n v="2"/>
    <d v="2023-07-05T19:42:29"/>
    <s v="N"/>
    <m/>
    <m/>
    <s v="Profit Cost"/>
    <m/>
    <s v="N"/>
    <n v="0"/>
    <n v="-427.29"/>
    <x v="6"/>
    <s v="VALIDATED"/>
    <n v="1"/>
    <s v="01.11.80.308.2013.0000"/>
    <n v="-427.29"/>
    <s v="11"/>
    <s v="2013"/>
    <n v="-26602.14"/>
    <n v="-427.29"/>
    <s v="DEBTOR"/>
    <n v="0"/>
    <n v="0"/>
    <n v="0"/>
    <n v="0"/>
    <n v="0"/>
  </r>
  <r>
    <n v="43878369"/>
    <s v="N"/>
    <n v="21334008"/>
    <s v="3000011602320003RC"/>
    <s v="CIVIL"/>
    <d v="2023-06-27T00:00:00"/>
    <d v="2023-07-05T19:42:28"/>
    <m/>
    <d v="2023-07-05T00:00:00"/>
    <n v="1722"/>
    <n v="16529"/>
    <s v="43878369"/>
    <s v="43878369"/>
    <m/>
    <m/>
    <m/>
    <m/>
    <m/>
    <m/>
    <s v="SOLRECOUP"/>
    <s v="SOLRECOUP"/>
    <s v="POARECOUP"/>
    <n v="21334008"/>
    <n v="-182"/>
    <m/>
    <s v="Y"/>
    <n v="1"/>
    <d v="2023-07-05T19:42:29"/>
    <s v="N"/>
    <m/>
    <m/>
    <s v="Non Expert Disbursement"/>
    <m/>
    <s v="N"/>
    <n v="-182"/>
    <n v="0"/>
    <x v="6"/>
    <s v="VALIDATED"/>
    <n v="1"/>
    <s v="01.11.80.302.2013.0000"/>
    <n v="-182"/>
    <s v="11"/>
    <s v="2013"/>
    <n v="-26602.14"/>
    <n v="-182"/>
    <s v="DEBTOR"/>
    <n v="0"/>
    <n v="0"/>
    <n v="0"/>
    <n v="0"/>
    <n v="0"/>
  </r>
  <r>
    <n v="43878369"/>
    <s v="N"/>
    <n v="21334008"/>
    <s v="3000011602320003RC"/>
    <s v="CIVIL"/>
    <d v="2023-06-27T00:00:00"/>
    <d v="2023-07-05T19:42:28"/>
    <m/>
    <d v="2023-07-05T00:00:00"/>
    <n v="1722"/>
    <n v="16529"/>
    <s v="43878369"/>
    <s v="43878369"/>
    <m/>
    <m/>
    <m/>
    <m/>
    <m/>
    <m/>
    <s v="SOLRECOUP"/>
    <s v="SOLRECOUP"/>
    <s v="POARECOUP"/>
    <n v="21334008"/>
    <n v="-182"/>
    <m/>
    <s v="Y"/>
    <n v="2"/>
    <d v="2023-07-05T19:42:29"/>
    <s v="N"/>
    <m/>
    <m/>
    <s v="Non Expert Disbursement"/>
    <m/>
    <s v="N"/>
    <n v="0"/>
    <n v="0"/>
    <x v="6"/>
    <s v="VALIDATED"/>
    <n v="1"/>
    <s v="01.11.80.000.0000.0000"/>
    <n v="0"/>
    <s v="11"/>
    <s v="0000"/>
    <n v="-26602.14"/>
    <n v="0"/>
    <s v="DEBTOR"/>
    <n v="0"/>
    <n v="0"/>
    <n v="0"/>
    <n v="0"/>
    <n v="0"/>
  </r>
  <r>
    <n v="27782543"/>
    <s v="N"/>
    <n v="21334009"/>
    <s v="3000009165120013RC"/>
    <s v="CIVIL"/>
    <d v="2023-06-28T00:00:00"/>
    <d v="2023-07-05T19:42:28"/>
    <m/>
    <d v="2023-07-05T00:00:00"/>
    <n v="1722"/>
    <n v="16529"/>
    <s v="27782543"/>
    <s v="27782543"/>
    <m/>
    <m/>
    <m/>
    <m/>
    <m/>
    <m/>
    <s v="SOLRECOUP"/>
    <s v="SOLRECOUP"/>
    <s v="POARECOUP"/>
    <n v="21334009"/>
    <n v="-118.8"/>
    <m/>
    <s v="Y"/>
    <n v="1"/>
    <d v="2023-07-05T19:42:29"/>
    <s v="N"/>
    <m/>
    <m/>
    <s v="Expert Disbursement"/>
    <m/>
    <s v="N"/>
    <n v="-99"/>
    <n v="0"/>
    <x v="6"/>
    <s v="VALIDATED"/>
    <n v="1"/>
    <s v="01.11.80.308.2013.0000"/>
    <n v="-99"/>
    <s v="11"/>
    <s v="2013"/>
    <n v="-26602.14"/>
    <n v="-99"/>
    <s v="DEBTOR"/>
    <n v="0"/>
    <n v="0"/>
    <n v="0"/>
    <n v="0"/>
    <n v="0"/>
  </r>
  <r>
    <n v="27782543"/>
    <s v="N"/>
    <n v="21334009"/>
    <s v="3000009165120013RC"/>
    <s v="CIVIL"/>
    <d v="2023-06-28T00:00:00"/>
    <d v="2023-07-05T19:42:28"/>
    <m/>
    <d v="2023-07-05T00:00:00"/>
    <n v="1722"/>
    <n v="16529"/>
    <s v="27782543"/>
    <s v="27782543"/>
    <m/>
    <m/>
    <m/>
    <m/>
    <m/>
    <m/>
    <s v="SOLRECOUP"/>
    <s v="SOLRECOUP"/>
    <s v="POARECOUP"/>
    <n v="21334009"/>
    <n v="-118.8"/>
    <m/>
    <s v="Y"/>
    <n v="2"/>
    <d v="2023-07-05T19:42:29"/>
    <s v="N"/>
    <m/>
    <m/>
    <s v="Expert Disbursement"/>
    <m/>
    <s v="N"/>
    <n v="0"/>
    <n v="-19.8"/>
    <x v="6"/>
    <s v="VALIDATED"/>
    <n v="1"/>
    <s v="01.11.80.308.2013.0000"/>
    <n v="-19.8"/>
    <s v="11"/>
    <s v="2013"/>
    <n v="-26602.14"/>
    <n v="-19.8"/>
    <s v="DEBTOR"/>
    <n v="0"/>
    <n v="0"/>
    <n v="0"/>
    <n v="0"/>
    <n v="0"/>
  </r>
  <r>
    <n v="27782543"/>
    <s v="N"/>
    <n v="21334010"/>
    <s v="3000009165120019RC"/>
    <s v="CIVIL"/>
    <d v="2023-06-28T00:00:00"/>
    <d v="2023-07-05T19:42:28"/>
    <m/>
    <d v="2023-07-05T00:00:00"/>
    <n v="1722"/>
    <n v="16529"/>
    <s v="27782543"/>
    <s v="27782543"/>
    <m/>
    <m/>
    <m/>
    <m/>
    <m/>
    <m/>
    <s v="SOLRECOUP"/>
    <s v="SOLRECOUP"/>
    <s v="POARECOUP"/>
    <n v="21334010"/>
    <n v="-518.4"/>
    <m/>
    <s v="Y"/>
    <n v="1"/>
    <d v="2023-07-05T19:42:29"/>
    <s v="N"/>
    <m/>
    <m/>
    <s v="Expert Disbursement"/>
    <m/>
    <s v="N"/>
    <n v="-432"/>
    <n v="0"/>
    <x v="6"/>
    <s v="VALIDATED"/>
    <n v="1"/>
    <s v="01.11.80.308.2013.0000"/>
    <n v="-432"/>
    <s v="11"/>
    <s v="2013"/>
    <n v="-26602.14"/>
    <n v="-432"/>
    <s v="DEBTOR"/>
    <n v="0"/>
    <n v="0"/>
    <n v="0"/>
    <n v="0"/>
    <n v="0"/>
  </r>
  <r>
    <n v="27782543"/>
    <s v="N"/>
    <n v="21334010"/>
    <s v="3000009165120019RC"/>
    <s v="CIVIL"/>
    <d v="2023-06-28T00:00:00"/>
    <d v="2023-07-05T19:42:28"/>
    <m/>
    <d v="2023-07-05T00:00:00"/>
    <n v="1722"/>
    <n v="16529"/>
    <s v="27782543"/>
    <s v="27782543"/>
    <m/>
    <m/>
    <m/>
    <m/>
    <m/>
    <m/>
    <s v="SOLRECOUP"/>
    <s v="SOLRECOUP"/>
    <s v="POARECOUP"/>
    <n v="21334010"/>
    <n v="-518.4"/>
    <m/>
    <s v="Y"/>
    <n v="2"/>
    <d v="2023-07-05T19:42:29"/>
    <s v="N"/>
    <m/>
    <m/>
    <s v="Expert Disbursement"/>
    <m/>
    <s v="N"/>
    <n v="0"/>
    <n v="-86.40000000000001"/>
    <x v="6"/>
    <s v="VALIDATED"/>
    <n v="1"/>
    <s v="01.11.80.308.2013.0000"/>
    <n v="-86.40000000000001"/>
    <s v="11"/>
    <s v="2013"/>
    <n v="-26602.14"/>
    <n v="-86.40000000000001"/>
    <s v="DEBTOR"/>
    <n v="0"/>
    <n v="0"/>
    <n v="0"/>
    <n v="0"/>
    <n v="0"/>
  </r>
  <r>
    <n v="43878369"/>
    <s v="N"/>
    <n v="21334011"/>
    <s v="3000011602320004RC"/>
    <s v="CIVIL"/>
    <d v="2023-06-27T00:00:00"/>
    <d v="2023-07-05T19:42:28"/>
    <m/>
    <d v="2023-07-05T00:00:00"/>
    <n v="1722"/>
    <n v="16529"/>
    <s v="43878369"/>
    <s v="43878369"/>
    <m/>
    <m/>
    <m/>
    <m/>
    <m/>
    <m/>
    <s v="SOLRECOUP"/>
    <s v="SOLRECOUP"/>
    <s v="POARECOUP"/>
    <n v="21334011"/>
    <n v="-1860.18"/>
    <m/>
    <s v="Y"/>
    <n v="1"/>
    <d v="2023-07-05T19:42:29"/>
    <s v="N"/>
    <m/>
    <m/>
    <s v="Profit Cost"/>
    <m/>
    <s v="N"/>
    <n v="-1550.15"/>
    <n v="0"/>
    <x v="6"/>
    <s v="VALIDATED"/>
    <n v="1"/>
    <s v="01.11.80.302.2013.0000"/>
    <n v="-1550.15"/>
    <s v="11"/>
    <s v="2013"/>
    <n v="-26602.14"/>
    <n v="-1550.15"/>
    <s v="DEBTOR"/>
    <n v="0"/>
    <n v="0"/>
    <n v="0"/>
    <n v="0"/>
    <n v="0"/>
  </r>
  <r>
    <n v="43878369"/>
    <s v="N"/>
    <n v="21334011"/>
    <s v="3000011602320004RC"/>
    <s v="CIVIL"/>
    <d v="2023-06-27T00:00:00"/>
    <d v="2023-07-05T19:42:28"/>
    <m/>
    <d v="2023-07-05T00:00:00"/>
    <n v="1722"/>
    <n v="16529"/>
    <s v="43878369"/>
    <s v="43878369"/>
    <m/>
    <m/>
    <m/>
    <m/>
    <m/>
    <m/>
    <s v="SOLRECOUP"/>
    <s v="SOLRECOUP"/>
    <s v="POARECOUP"/>
    <n v="21334011"/>
    <n v="-1860.18"/>
    <m/>
    <s v="Y"/>
    <n v="2"/>
    <d v="2023-07-05T19:42:29"/>
    <s v="N"/>
    <m/>
    <m/>
    <s v="Profit Cost"/>
    <m/>
    <s v="N"/>
    <n v="0"/>
    <n v="-310.03"/>
    <x v="6"/>
    <s v="VALIDATED"/>
    <n v="1"/>
    <s v="01.11.80.302.2013.0000"/>
    <n v="-310.03"/>
    <s v="11"/>
    <s v="2013"/>
    <n v="-26602.14"/>
    <n v="-310.03"/>
    <s v="DEBTOR"/>
    <n v="0"/>
    <n v="0"/>
    <n v="0"/>
    <n v="0"/>
    <n v="0"/>
  </r>
  <r>
    <n v="27782543"/>
    <s v="N"/>
    <n v="21334012"/>
    <s v="3000009165120014RC"/>
    <s v="CIVIL"/>
    <d v="2023-06-28T00:00:00"/>
    <d v="2023-07-05T19:42:28"/>
    <m/>
    <d v="2023-07-05T00:00:00"/>
    <n v="1722"/>
    <n v="16529"/>
    <s v="27782543"/>
    <s v="27782543"/>
    <m/>
    <m/>
    <m/>
    <m/>
    <m/>
    <m/>
    <s v="SOLRECOUP"/>
    <s v="SOLRECOUP"/>
    <s v="POARECOUP"/>
    <n v="21334012"/>
    <n v="-7152.62"/>
    <m/>
    <s v="Y"/>
    <n v="2"/>
    <d v="2023-07-05T19:42:29"/>
    <s v="N"/>
    <m/>
    <m/>
    <s v="Profit Cost"/>
    <m/>
    <s v="N"/>
    <n v="0"/>
    <n v="-1192.1"/>
    <x v="6"/>
    <s v="VALIDATED"/>
    <n v="1"/>
    <s v="01.11.80.308.2013.0000"/>
    <n v="-1192.1"/>
    <s v="11"/>
    <s v="2013"/>
    <n v="-26602.14"/>
    <n v="-1192.1"/>
    <s v="DEBTOR"/>
    <n v="0"/>
    <n v="0"/>
    <n v="0"/>
    <n v="0"/>
    <n v="0"/>
  </r>
  <r>
    <n v="27782543"/>
    <s v="N"/>
    <n v="21334012"/>
    <s v="3000009165120014RC"/>
    <s v="CIVIL"/>
    <d v="2023-06-28T00:00:00"/>
    <d v="2023-07-05T19:42:28"/>
    <m/>
    <d v="2023-07-05T00:00:00"/>
    <n v="1722"/>
    <n v="16529"/>
    <s v="27782543"/>
    <s v="27782543"/>
    <m/>
    <m/>
    <m/>
    <m/>
    <m/>
    <m/>
    <s v="SOLRECOUP"/>
    <s v="SOLRECOUP"/>
    <s v="POARECOUP"/>
    <n v="21334012"/>
    <n v="-7152.62"/>
    <m/>
    <s v="Y"/>
    <n v="1"/>
    <d v="2023-07-05T19:42:29"/>
    <s v="N"/>
    <m/>
    <m/>
    <s v="Profit Cost"/>
    <m/>
    <s v="N"/>
    <n v="-5960.52"/>
    <n v="0"/>
    <x v="6"/>
    <s v="VALIDATED"/>
    <n v="1"/>
    <s v="01.11.80.308.2013.0000"/>
    <n v="-5960.52"/>
    <s v="11"/>
    <s v="2013"/>
    <n v="-26602.14"/>
    <n v="-5960.52"/>
    <s v="DEBTOR"/>
    <n v="0"/>
    <n v="0"/>
    <n v="0"/>
    <n v="0"/>
    <n v="0"/>
  </r>
  <r>
    <n v="43878369"/>
    <s v="N"/>
    <n v="21334013"/>
    <s v="3000011602320005RC"/>
    <s v="CIVIL"/>
    <d v="2023-06-27T00:00:00"/>
    <d v="2023-07-05T19:42:28"/>
    <m/>
    <d v="2023-07-05T00:00:00"/>
    <n v="1722"/>
    <n v="16529"/>
    <s v="43878369"/>
    <s v="43878369"/>
    <m/>
    <m/>
    <m/>
    <m/>
    <m/>
    <m/>
    <s v="SOLRECOUP"/>
    <s v="SOLRECOUP"/>
    <s v="POARECOUP"/>
    <n v="21334013"/>
    <n v="-108"/>
    <m/>
    <s v="Y"/>
    <n v="2"/>
    <d v="2023-07-05T19:42:29"/>
    <s v="N"/>
    <m/>
    <m/>
    <s v="Expert Disbursement"/>
    <m/>
    <s v="N"/>
    <n v="0"/>
    <n v="-18"/>
    <x v="6"/>
    <s v="VALIDATED"/>
    <n v="1"/>
    <s v="01.11.80.302.2013.0000"/>
    <n v="-18"/>
    <s v="11"/>
    <s v="2013"/>
    <n v="-26602.14"/>
    <n v="-18"/>
    <s v="DEBTOR"/>
    <n v="0"/>
    <n v="0"/>
    <n v="0"/>
    <n v="0"/>
    <n v="0"/>
  </r>
  <r>
    <n v="43878369"/>
    <s v="N"/>
    <n v="21334013"/>
    <s v="3000011602320005RC"/>
    <s v="CIVIL"/>
    <d v="2023-06-27T00:00:00"/>
    <d v="2023-07-05T19:42:28"/>
    <m/>
    <d v="2023-07-05T00:00:00"/>
    <n v="1722"/>
    <n v="16529"/>
    <s v="43878369"/>
    <s v="43878369"/>
    <m/>
    <m/>
    <m/>
    <m/>
    <m/>
    <m/>
    <s v="SOLRECOUP"/>
    <s v="SOLRECOUP"/>
    <s v="POARECOUP"/>
    <n v="21334013"/>
    <n v="-108"/>
    <m/>
    <s v="Y"/>
    <n v="1"/>
    <d v="2023-07-05T19:42:29"/>
    <s v="N"/>
    <m/>
    <m/>
    <s v="Expert Disbursement"/>
    <m/>
    <s v="N"/>
    <n v="-90"/>
    <n v="0"/>
    <x v="6"/>
    <s v="VALIDATED"/>
    <n v="1"/>
    <s v="01.11.80.302.2013.0000"/>
    <n v="-90"/>
    <s v="11"/>
    <s v="2013"/>
    <n v="-26602.14"/>
    <n v="-90"/>
    <s v="DEBTOR"/>
    <n v="0"/>
    <n v="0"/>
    <n v="0"/>
    <n v="0"/>
    <n v="0"/>
  </r>
  <r>
    <n v="27782543"/>
    <s v="N"/>
    <n v="21334014"/>
    <s v="3000009165120020RC"/>
    <s v="CIVIL"/>
    <d v="2023-06-28T00:00:00"/>
    <d v="2023-07-05T19:42:28"/>
    <m/>
    <d v="2023-07-05T00:00:00"/>
    <n v="1722"/>
    <n v="16529"/>
    <s v="27782543"/>
    <s v="27782543"/>
    <m/>
    <m/>
    <m/>
    <m/>
    <m/>
    <m/>
    <s v="SOLRECOUP"/>
    <s v="SOLRECOUP"/>
    <s v="POARECOUP"/>
    <n v="21334014"/>
    <n v="-1600.32"/>
    <m/>
    <s v="Y"/>
    <n v="2"/>
    <d v="2023-07-05T19:42:29"/>
    <s v="N"/>
    <m/>
    <m/>
    <s v="Expert Disbursement"/>
    <m/>
    <s v="N"/>
    <n v="0"/>
    <n v="-266.72"/>
    <x v="6"/>
    <s v="VALIDATED"/>
    <n v="1"/>
    <s v="01.11.80.308.2013.0000"/>
    <n v="-266.72"/>
    <s v="11"/>
    <s v="2013"/>
    <n v="-26602.14"/>
    <n v="-266.72"/>
    <s v="DEBTOR"/>
    <n v="0"/>
    <n v="0"/>
    <n v="0"/>
    <n v="0"/>
    <n v="0"/>
  </r>
  <r>
    <n v="27782543"/>
    <s v="N"/>
    <n v="21334014"/>
    <s v="3000009165120020RC"/>
    <s v="CIVIL"/>
    <d v="2023-06-28T00:00:00"/>
    <d v="2023-07-05T19:42:28"/>
    <m/>
    <d v="2023-07-05T00:00:00"/>
    <n v="1722"/>
    <n v="16529"/>
    <s v="27782543"/>
    <s v="27782543"/>
    <m/>
    <m/>
    <m/>
    <m/>
    <m/>
    <m/>
    <s v="SOLRECOUP"/>
    <s v="SOLRECOUP"/>
    <s v="POARECOUP"/>
    <n v="21334014"/>
    <n v="-1600.32"/>
    <m/>
    <s v="Y"/>
    <n v="1"/>
    <d v="2023-07-05T19:42:29"/>
    <s v="N"/>
    <m/>
    <m/>
    <s v="Expert Disbursement"/>
    <m/>
    <s v="N"/>
    <n v="-1333.6"/>
    <n v="0"/>
    <x v="6"/>
    <s v="VALIDATED"/>
    <n v="1"/>
    <s v="01.11.80.308.2013.0000"/>
    <n v="-1333.6"/>
    <s v="11"/>
    <s v="2013"/>
    <n v="-26602.14"/>
    <n v="-1333.6"/>
    <s v="DEBTOR"/>
    <n v="0"/>
    <n v="0"/>
    <n v="0"/>
    <n v="0"/>
    <n v="0"/>
  </r>
  <r>
    <n v="27782543"/>
    <s v="N"/>
    <n v="21334015"/>
    <s v="3000009165120025RC"/>
    <s v="CIVIL"/>
    <d v="2023-06-28T00:00:00"/>
    <d v="2023-07-05T19:42:28"/>
    <m/>
    <d v="2023-07-05T00:00:00"/>
    <n v="1722"/>
    <n v="16529"/>
    <s v="27782543"/>
    <s v="27782543"/>
    <m/>
    <m/>
    <m/>
    <m/>
    <m/>
    <m/>
    <s v="SOLRECOUP"/>
    <s v="SOLRECOUP"/>
    <s v="POARECOUP"/>
    <n v="21334015"/>
    <n v="-411.36"/>
    <m/>
    <s v="Y"/>
    <n v="2"/>
    <d v="2023-07-05T19:42:29"/>
    <s v="N"/>
    <m/>
    <m/>
    <s v="Expert Disbursement"/>
    <m/>
    <s v="N"/>
    <n v="0"/>
    <n v="-68.56"/>
    <x v="6"/>
    <s v="VALIDATED"/>
    <n v="1"/>
    <s v="01.11.80.308.2013.0000"/>
    <n v="-68.56"/>
    <s v="11"/>
    <s v="2013"/>
    <n v="-26602.14"/>
    <n v="-68.56"/>
    <s v="DEBTOR"/>
    <n v="0"/>
    <n v="0"/>
    <n v="0"/>
    <n v="0"/>
    <n v="0"/>
  </r>
  <r>
    <n v="27782543"/>
    <s v="N"/>
    <n v="21334015"/>
    <s v="3000009165120025RC"/>
    <s v="CIVIL"/>
    <d v="2023-06-28T00:00:00"/>
    <d v="2023-07-05T19:42:28"/>
    <m/>
    <d v="2023-07-05T00:00:00"/>
    <n v="1722"/>
    <n v="16529"/>
    <s v="27782543"/>
    <s v="27782543"/>
    <m/>
    <m/>
    <m/>
    <m/>
    <m/>
    <m/>
    <s v="SOLRECOUP"/>
    <s v="SOLRECOUP"/>
    <s v="POARECOUP"/>
    <n v="21334015"/>
    <n v="-411.36"/>
    <m/>
    <s v="Y"/>
    <n v="1"/>
    <d v="2023-07-05T19:42:29"/>
    <s v="N"/>
    <m/>
    <m/>
    <s v="Expert Disbursement"/>
    <m/>
    <s v="N"/>
    <n v="-342.8"/>
    <n v="0"/>
    <x v="6"/>
    <s v="VALIDATED"/>
    <n v="1"/>
    <s v="01.11.80.308.2013.0000"/>
    <n v="-342.8"/>
    <s v="11"/>
    <s v="2013"/>
    <n v="-26602.14"/>
    <n v="-342.8"/>
    <s v="DEBTOR"/>
    <n v="0"/>
    <n v="0"/>
    <n v="0"/>
    <n v="0"/>
    <n v="0"/>
  </r>
  <r>
    <n v="27782543"/>
    <s v="N"/>
    <n v="21334016"/>
    <s v="3000009165120029RC"/>
    <s v="CIVIL"/>
    <d v="2023-06-28T00:00:00"/>
    <d v="2023-07-05T19:42:28"/>
    <m/>
    <d v="2023-07-05T00:00:00"/>
    <n v="1722"/>
    <n v="16529"/>
    <s v="27782543"/>
    <s v="27782543"/>
    <m/>
    <m/>
    <m/>
    <m/>
    <m/>
    <m/>
    <s v="SOLRECOUP"/>
    <s v="SOLRECOUP"/>
    <s v="POARECOUP"/>
    <n v="21334016"/>
    <n v="-289.81"/>
    <m/>
    <s v="Y"/>
    <n v="2"/>
    <d v="2023-07-05T19:42:29"/>
    <s v="N"/>
    <m/>
    <m/>
    <s v="Expert Disbursement"/>
    <m/>
    <s v="N"/>
    <n v="0"/>
    <n v="-48.3"/>
    <x v="6"/>
    <s v="VALIDATED"/>
    <n v="1"/>
    <s v="01.11.80.308.2013.0000"/>
    <n v="-48.3"/>
    <s v="11"/>
    <s v="2013"/>
    <n v="-26602.14"/>
    <n v="-48.3"/>
    <s v="DEBTOR"/>
    <n v="0"/>
    <n v="0"/>
    <n v="0"/>
    <n v="0"/>
    <n v="0"/>
  </r>
  <r>
    <n v="27782543"/>
    <s v="N"/>
    <n v="21334016"/>
    <s v="3000009165120029RC"/>
    <s v="CIVIL"/>
    <d v="2023-06-28T00:00:00"/>
    <d v="2023-07-05T19:42:28"/>
    <m/>
    <d v="2023-07-05T00:00:00"/>
    <n v="1722"/>
    <n v="16529"/>
    <s v="27782543"/>
    <s v="27782543"/>
    <m/>
    <m/>
    <m/>
    <m/>
    <m/>
    <m/>
    <s v="SOLRECOUP"/>
    <s v="SOLRECOUP"/>
    <s v="POARECOUP"/>
    <n v="21334016"/>
    <n v="-289.81"/>
    <m/>
    <s v="Y"/>
    <n v="1"/>
    <d v="2023-07-05T19:42:29"/>
    <s v="N"/>
    <m/>
    <m/>
    <s v="Expert Disbursement"/>
    <m/>
    <s v="N"/>
    <n v="-241.51"/>
    <n v="0"/>
    <x v="6"/>
    <s v="VALIDATED"/>
    <n v="1"/>
    <s v="01.11.80.308.2013.0000"/>
    <n v="-241.51"/>
    <s v="11"/>
    <s v="2013"/>
    <n v="-26602.14"/>
    <n v="-241.51"/>
    <s v="DEBTOR"/>
    <n v="0"/>
    <n v="0"/>
    <n v="0"/>
    <n v="0"/>
    <n v="0"/>
  </r>
  <r>
    <n v="27782543"/>
    <s v="N"/>
    <n v="21334017"/>
    <s v="3000009165120030RC"/>
    <s v="CIVIL"/>
    <d v="2023-06-28T00:00:00"/>
    <d v="2023-07-05T19:42:28"/>
    <m/>
    <d v="2023-07-05T00:00:00"/>
    <n v="1722"/>
    <n v="16529"/>
    <s v="27782543"/>
    <s v="27782543"/>
    <m/>
    <m/>
    <m/>
    <m/>
    <m/>
    <m/>
    <s v="SOLRECOUP"/>
    <s v="SOLRECOUP"/>
    <s v="POARECOUP"/>
    <n v="21334017"/>
    <n v="-260.36"/>
    <m/>
    <s v="Y"/>
    <n v="2"/>
    <d v="2023-07-05T19:42:29"/>
    <s v="N"/>
    <m/>
    <m/>
    <s v="Expert Disbursement"/>
    <m/>
    <s v="N"/>
    <n v="0"/>
    <n v="-43.39"/>
    <x v="6"/>
    <s v="VALIDATED"/>
    <n v="1"/>
    <s v="01.11.80.308.2013.0000"/>
    <n v="-43.39"/>
    <s v="11"/>
    <s v="2013"/>
    <n v="-26602.14"/>
    <n v="-43.39"/>
    <s v="DEBTOR"/>
    <n v="0"/>
    <n v="0"/>
    <n v="0"/>
    <n v="0"/>
    <n v="0"/>
  </r>
  <r>
    <n v="27782543"/>
    <s v="N"/>
    <n v="21334017"/>
    <s v="3000009165120030RC"/>
    <s v="CIVIL"/>
    <d v="2023-06-28T00:00:00"/>
    <d v="2023-07-05T19:42:28"/>
    <m/>
    <d v="2023-07-05T00:00:00"/>
    <n v="1722"/>
    <n v="16529"/>
    <s v="27782543"/>
    <s v="27782543"/>
    <m/>
    <m/>
    <m/>
    <m/>
    <m/>
    <m/>
    <s v="SOLRECOUP"/>
    <s v="SOLRECOUP"/>
    <s v="POARECOUP"/>
    <n v="21334017"/>
    <n v="-260.36"/>
    <m/>
    <s v="Y"/>
    <n v="1"/>
    <d v="2023-07-05T19:42:29"/>
    <s v="N"/>
    <m/>
    <m/>
    <s v="Expert Disbursement"/>
    <m/>
    <s v="N"/>
    <n v="-216.97"/>
    <n v="0"/>
    <x v="6"/>
    <s v="VALIDATED"/>
    <n v="1"/>
    <s v="01.11.80.308.2013.0000"/>
    <n v="-216.97"/>
    <s v="11"/>
    <s v="2013"/>
    <n v="-26602.14"/>
    <n v="-216.97"/>
    <s v="DEBTOR"/>
    <n v="0"/>
    <n v="0"/>
    <n v="0"/>
    <n v="0"/>
    <n v="0"/>
  </r>
  <r>
    <n v="27782543"/>
    <s v="N"/>
    <n v="21334018"/>
    <s v="3000009165120016RC"/>
    <s v="CIVIL"/>
    <d v="2023-06-28T00:00:00"/>
    <d v="2023-07-05T19:42:28"/>
    <m/>
    <d v="2023-07-05T00:00:00"/>
    <n v="1722"/>
    <n v="16529"/>
    <s v="27782543"/>
    <s v="27782543"/>
    <m/>
    <m/>
    <m/>
    <m/>
    <m/>
    <m/>
    <s v="SOLRECOUP"/>
    <s v="SOLRECOUP"/>
    <s v="POARECOUP"/>
    <n v="21334018"/>
    <n v="-74.40000000000001"/>
    <m/>
    <s v="Y"/>
    <n v="2"/>
    <d v="2023-07-05T19:42:29"/>
    <s v="N"/>
    <m/>
    <m/>
    <s v="Expert Disbursement"/>
    <m/>
    <s v="N"/>
    <n v="0"/>
    <n v="-12.4"/>
    <x v="6"/>
    <s v="VALIDATED"/>
    <n v="1"/>
    <s v="01.11.80.308.2013.0000"/>
    <n v="-12.4"/>
    <s v="11"/>
    <s v="2013"/>
    <n v="-26602.14"/>
    <n v="-12.4"/>
    <s v="DEBTOR"/>
    <n v="0"/>
    <n v="0"/>
    <n v="0"/>
    <n v="0"/>
    <n v="0"/>
  </r>
  <r>
    <n v="27782543"/>
    <s v="N"/>
    <n v="21334018"/>
    <s v="3000009165120016RC"/>
    <s v="CIVIL"/>
    <d v="2023-06-28T00:00:00"/>
    <d v="2023-07-05T19:42:28"/>
    <m/>
    <d v="2023-07-05T00:00:00"/>
    <n v="1722"/>
    <n v="16529"/>
    <s v="27782543"/>
    <s v="27782543"/>
    <m/>
    <m/>
    <m/>
    <m/>
    <m/>
    <m/>
    <s v="SOLRECOUP"/>
    <s v="SOLRECOUP"/>
    <s v="POARECOUP"/>
    <n v="21334018"/>
    <n v="-74.40000000000001"/>
    <m/>
    <s v="Y"/>
    <n v="1"/>
    <d v="2023-07-05T19:42:29"/>
    <s v="N"/>
    <m/>
    <m/>
    <s v="Expert Disbursement"/>
    <m/>
    <s v="N"/>
    <n v="-62"/>
    <n v="0"/>
    <x v="6"/>
    <s v="VALIDATED"/>
    <n v="1"/>
    <s v="01.11.80.308.2013.0000"/>
    <n v="-62"/>
    <s v="11"/>
    <s v="2013"/>
    <n v="-26602.14"/>
    <n v="-62"/>
    <s v="DEBTOR"/>
    <n v="0"/>
    <n v="0"/>
    <n v="0"/>
    <n v="0"/>
    <n v="0"/>
  </r>
  <r>
    <n v="43878369"/>
    <s v="N"/>
    <n v="21334019"/>
    <s v="3000011602320007RC"/>
    <s v="CIVIL"/>
    <d v="2023-06-27T00:00:00"/>
    <d v="2023-07-05T19:42:28"/>
    <m/>
    <d v="2023-07-05T00:00:00"/>
    <n v="1722"/>
    <n v="16529"/>
    <s v="43878369"/>
    <s v="43878369"/>
    <m/>
    <m/>
    <m/>
    <m/>
    <m/>
    <m/>
    <s v="SOLRECOUP"/>
    <s v="SOLRECOUP"/>
    <s v="POARECOUP"/>
    <n v="21334019"/>
    <n v="-593.92"/>
    <m/>
    <s v="Y"/>
    <n v="2"/>
    <d v="2023-07-05T19:42:29"/>
    <s v="N"/>
    <m/>
    <m/>
    <s v="Profit Cost"/>
    <m/>
    <s v="N"/>
    <n v="0"/>
    <n v="-98.98999999999999"/>
    <x v="6"/>
    <s v="VALIDATED"/>
    <n v="1"/>
    <s v="01.11.80.302.2013.0000"/>
    <n v="-98.98999999999999"/>
    <s v="11"/>
    <s v="2013"/>
    <n v="-26602.14"/>
    <n v="-98.98999999999999"/>
    <s v="DEBTOR"/>
    <n v="0"/>
    <n v="0"/>
    <n v="0"/>
    <n v="0"/>
    <n v="0"/>
  </r>
  <r>
    <n v="43878369"/>
    <s v="N"/>
    <n v="21334019"/>
    <s v="3000011602320007RC"/>
    <s v="CIVIL"/>
    <d v="2023-06-27T00:00:00"/>
    <d v="2023-07-05T19:42:28"/>
    <m/>
    <d v="2023-07-05T00:00:00"/>
    <n v="1722"/>
    <n v="16529"/>
    <s v="43878369"/>
    <s v="43878369"/>
    <m/>
    <m/>
    <m/>
    <m/>
    <m/>
    <m/>
    <s v="SOLRECOUP"/>
    <s v="SOLRECOUP"/>
    <s v="POARECOUP"/>
    <n v="21334019"/>
    <n v="-593.92"/>
    <m/>
    <s v="Y"/>
    <n v="1"/>
    <d v="2023-07-05T19:42:29"/>
    <s v="N"/>
    <m/>
    <m/>
    <s v="Profit Cost"/>
    <m/>
    <s v="N"/>
    <n v="-494.93"/>
    <n v="0"/>
    <x v="6"/>
    <s v="VALIDATED"/>
    <n v="1"/>
    <s v="01.11.80.302.2013.0000"/>
    <n v="-494.93"/>
    <s v="11"/>
    <s v="2013"/>
    <n v="-26602.14"/>
    <n v="-494.93"/>
    <s v="DEBTOR"/>
    <n v="0"/>
    <n v="0"/>
    <n v="0"/>
    <n v="0"/>
    <n v="0"/>
  </r>
  <r>
    <n v="27782543"/>
    <s v="N"/>
    <n v="21334020"/>
    <s v="3000009165120021RC"/>
    <s v="CIVIL"/>
    <d v="2023-06-28T00:00:00"/>
    <d v="2023-07-05T19:42:28"/>
    <m/>
    <d v="2023-07-05T00:00:00"/>
    <n v="1722"/>
    <n v="16529"/>
    <s v="27782543"/>
    <s v="27782543"/>
    <m/>
    <m/>
    <m/>
    <m/>
    <m/>
    <m/>
    <s v="SOLRECOUP"/>
    <s v="SOLRECOUP"/>
    <s v="POARECOUP"/>
    <n v="21334020"/>
    <n v="-465.6"/>
    <m/>
    <s v="Y"/>
    <n v="2"/>
    <d v="2023-07-05T19:42:29"/>
    <s v="N"/>
    <m/>
    <m/>
    <s v="Expert Disbursement"/>
    <m/>
    <s v="N"/>
    <n v="0"/>
    <n v="-77.59999999999999"/>
    <x v="6"/>
    <s v="VALIDATED"/>
    <n v="1"/>
    <s v="01.11.80.308.2013.0000"/>
    <n v="-77.59999999999999"/>
    <s v="11"/>
    <s v="2013"/>
    <n v="-26602.14"/>
    <n v="-77.59999999999999"/>
    <s v="DEBTOR"/>
    <n v="0"/>
    <n v="0"/>
    <n v="0"/>
    <n v="0"/>
    <n v="0"/>
  </r>
  <r>
    <n v="27782543"/>
    <s v="N"/>
    <n v="21334020"/>
    <s v="3000009165120021RC"/>
    <s v="CIVIL"/>
    <d v="2023-06-28T00:00:00"/>
    <d v="2023-07-05T19:42:28"/>
    <m/>
    <d v="2023-07-05T00:00:00"/>
    <n v="1722"/>
    <n v="16529"/>
    <s v="27782543"/>
    <s v="27782543"/>
    <m/>
    <m/>
    <m/>
    <m/>
    <m/>
    <m/>
    <s v="SOLRECOUP"/>
    <s v="SOLRECOUP"/>
    <s v="POARECOUP"/>
    <n v="21334020"/>
    <n v="-465.6"/>
    <m/>
    <s v="Y"/>
    <n v="1"/>
    <d v="2023-07-05T19:42:29"/>
    <s v="N"/>
    <m/>
    <m/>
    <s v="Expert Disbursement"/>
    <m/>
    <s v="N"/>
    <n v="-388"/>
    <n v="0"/>
    <x v="6"/>
    <s v="VALIDATED"/>
    <n v="1"/>
    <s v="01.11.80.308.2013.0000"/>
    <n v="-388"/>
    <s v="11"/>
    <s v="2013"/>
    <n v="-26602.14"/>
    <n v="-388"/>
    <s v="DEBTOR"/>
    <n v="0"/>
    <n v="0"/>
    <n v="0"/>
    <n v="0"/>
    <n v="0"/>
  </r>
  <r>
    <n v="27782543"/>
    <s v="N"/>
    <n v="21334021"/>
    <s v="3000009165120023RC"/>
    <s v="CIVIL"/>
    <d v="2023-06-28T00:00:00"/>
    <d v="2023-07-05T19:42:28"/>
    <m/>
    <d v="2023-07-05T00:00:00"/>
    <n v="1722"/>
    <n v="16529"/>
    <s v="27782543"/>
    <s v="27782543"/>
    <m/>
    <m/>
    <m/>
    <m/>
    <m/>
    <m/>
    <s v="SOLRECOUP"/>
    <s v="SOLRECOUP"/>
    <s v="POARECOUP"/>
    <n v="21334021"/>
    <n v="-163.2"/>
    <m/>
    <s v="Y"/>
    <n v="2"/>
    <d v="2023-07-05T19:42:29"/>
    <s v="N"/>
    <m/>
    <m/>
    <s v="Expert Disbursement"/>
    <m/>
    <s v="N"/>
    <n v="0"/>
    <n v="-27.2"/>
    <x v="6"/>
    <s v="VALIDATED"/>
    <n v="1"/>
    <s v="01.11.80.308.2013.0000"/>
    <n v="-27.2"/>
    <s v="11"/>
    <s v="2013"/>
    <n v="-26602.14"/>
    <n v="-27.2"/>
    <s v="DEBTOR"/>
    <n v="0"/>
    <n v="0"/>
    <n v="0"/>
    <n v="0"/>
    <n v="0"/>
  </r>
  <r>
    <n v="27782543"/>
    <s v="N"/>
    <n v="21334021"/>
    <s v="3000009165120023RC"/>
    <s v="CIVIL"/>
    <d v="2023-06-28T00:00:00"/>
    <d v="2023-07-05T19:42:28"/>
    <m/>
    <d v="2023-07-05T00:00:00"/>
    <n v="1722"/>
    <n v="16529"/>
    <s v="27782543"/>
    <s v="27782543"/>
    <m/>
    <m/>
    <m/>
    <m/>
    <m/>
    <m/>
    <s v="SOLRECOUP"/>
    <s v="SOLRECOUP"/>
    <s v="POARECOUP"/>
    <n v="21334021"/>
    <n v="-163.2"/>
    <m/>
    <s v="Y"/>
    <n v="1"/>
    <d v="2023-07-05T19:42:29"/>
    <s v="N"/>
    <m/>
    <m/>
    <s v="Expert Disbursement"/>
    <m/>
    <s v="N"/>
    <n v="-136"/>
    <n v="0"/>
    <x v="6"/>
    <s v="VALIDATED"/>
    <n v="1"/>
    <s v="01.11.80.308.2013.0000"/>
    <n v="-136"/>
    <s v="11"/>
    <s v="2013"/>
    <n v="-26602.14"/>
    <n v="-136"/>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8"/>
    <d v="2023-07-05T19:02:04"/>
    <s v="Y"/>
    <s v="Preparation - drafting application"/>
    <s v="Prescribed Hourly Rates"/>
    <s v="Profit Cost"/>
    <s v="Stephanie Stubbs"/>
    <s v="Y"/>
    <n v="16.47"/>
    <n v="3.29"/>
    <x v="6"/>
    <s v="VALIDATED"/>
    <n v="1"/>
    <s v="01.11.80.302.6100.0000"/>
    <n v="16.47"/>
    <s v="11"/>
    <s v="6100"/>
    <n v="-26602.14"/>
    <n v="16.4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3"/>
    <d v="2023-07-05T19:02:17"/>
    <s v="Y"/>
    <s v="Independent Social Worker"/>
    <s v="VHCC"/>
    <s v="Expert Disbursement"/>
    <s v="Mary Holmes"/>
    <s v="Y"/>
    <n v="290.84"/>
    <n v="58.17"/>
    <x v="6"/>
    <s v="VALIDATED"/>
    <n v="1"/>
    <s v="01.11.80.308.6300.0000"/>
    <n v="290.84"/>
    <s v="11"/>
    <s v="6300"/>
    <n v="-26602.14"/>
    <n v="290.84"/>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7"/>
    <d v="2023-07-05T19:02:04"/>
    <s v="Y"/>
    <s v="Preparation - other"/>
    <s v="Prescribed Hourly Rates"/>
    <s v="Profit Cost"/>
    <s v="Stephanie Stubbs"/>
    <s v="Y"/>
    <n v="27.45"/>
    <n v="5.49"/>
    <x v="6"/>
    <s v="VALIDATED"/>
    <n v="1"/>
    <s v="01.11.80.302.6100.0000"/>
    <n v="27.45"/>
    <s v="11"/>
    <s v="6100"/>
    <n v="-26602.14"/>
    <n v="27.45"/>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5"/>
    <d v="2023-07-05T19:02:04"/>
    <s v="Y"/>
    <s v="Preparation - drafting statement"/>
    <s v="Prescribed Hourly Rates"/>
    <s v="Profit Cost"/>
    <s v="Stephanie Stubbs"/>
    <s v="Y"/>
    <n v="54.9"/>
    <n v="10.98"/>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
    <d v="2023-07-11T11:51:09"/>
    <s v="Y"/>
    <s v="Waiting at court"/>
    <s v="Prescribed Hourly Rates"/>
    <s v="Profit Cost"/>
    <s v="Susie Packer"/>
    <s v="Y"/>
    <n v="27.9"/>
    <n v="5.58"/>
    <x v="7"/>
    <s v="VALIDATED"/>
    <n v="1"/>
    <s v="01.11.80.307.6100.0000"/>
    <n v="27.9"/>
    <s v="11"/>
    <s v="6100"/>
    <n v="-26602.14"/>
    <n v="27.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7"/>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9"/>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6"/>
    <d v="2023-07-11T11:51:09"/>
    <s v="Y"/>
    <s v="Preparation - other"/>
    <s v="Prescribed Hourly Rates"/>
    <s v="Profit Cost"/>
    <s v="Hayley Catherall"/>
    <s v="Y"/>
    <n v="6.31"/>
    <n v="1.26"/>
    <x v="7"/>
    <s v="VALIDATED"/>
    <n v="1"/>
    <s v="01.11.80.307.6100.0000"/>
    <n v="6.31"/>
    <s v="11"/>
    <s v="6100"/>
    <n v="-26602.14"/>
    <n v="6.31"/>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
    <d v="2023-07-11T11:51:09"/>
    <s v="N"/>
    <s v="Advocacy - In court behind counsel"/>
    <s v="Prescribed Hourly Rates"/>
    <s v="Advocacy"/>
    <s v="Susie Packer"/>
    <s v="N"/>
    <n v="0"/>
    <n v="0"/>
    <x v="7"/>
    <s v="VALIDATED"/>
    <n v="1"/>
    <s v="01.11.80.307.6100.0000"/>
    <n v="0"/>
    <s v="11"/>
    <s v="6100"/>
    <n v="-26602.14"/>
    <n v="0"/>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
    <d v="2023-07-11T11:51:09"/>
    <s v="Y"/>
    <s v="Attendance upon/with Counsel at Con"/>
    <s v="Prescribed Hourly Rates"/>
    <s v="Profit Cost"/>
    <s v="Susie Packer"/>
    <s v="Y"/>
    <n v="6.48"/>
    <n v="1.3"/>
    <x v="7"/>
    <s v="VALIDATED"/>
    <n v="1"/>
    <s v="01.11.80.307.6100.0000"/>
    <n v="6.48"/>
    <s v="11"/>
    <s v="6100"/>
    <n v="-26602.14"/>
    <n v="6.48"/>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9"/>
    <d v="2023-07-05T19:02:17"/>
    <s v="Y"/>
    <s v="Toxicologist"/>
    <s v="VHCC"/>
    <s v="Expert Disbursement"/>
    <s v="Mary Holmes"/>
    <s v="Y"/>
    <n v="62"/>
    <n v="12.4"/>
    <x v="6"/>
    <s v="VALIDATED"/>
    <n v="1"/>
    <s v="01.11.80.308.6300.0000"/>
    <n v="62"/>
    <s v="11"/>
    <s v="6300"/>
    <n v="-26602.14"/>
    <n v="62"/>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
    <d v="2023-07-05T19:02:04"/>
    <s v="Y"/>
    <s v="Preparation - drafting bill/claim f"/>
    <s v="Prescribed Hourly Rates"/>
    <s v="Profit Cost"/>
    <s v="Stephanie Stubbs"/>
    <s v="Y"/>
    <n v="10.98"/>
    <n v="2.2"/>
    <x v="6"/>
    <s v="VALIDATED"/>
    <n v="1"/>
    <s v="01.11.80.302.6100.0000"/>
    <n v="10.98"/>
    <s v="11"/>
    <s v="6100"/>
    <n v="-26602.14"/>
    <n v="10.9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6"/>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
    <d v="2023-07-11T11:51:09"/>
    <s v="Y"/>
    <s v="Waiting at court"/>
    <s v="Prescribed Hourly Rates"/>
    <s v="Profit Cost"/>
    <s v="Susie Packer"/>
    <s v="Y"/>
    <n v="61.38"/>
    <n v="12.28"/>
    <x v="7"/>
    <s v="VALIDATED"/>
    <n v="1"/>
    <s v="01.11.80.307.6100.0000"/>
    <n v="61.38"/>
    <s v="11"/>
    <s v="6100"/>
    <n v="-26602.14"/>
    <n v="61.3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2"/>
    <d v="2023-07-11T11:51:09"/>
    <s v="Y"/>
    <s v="Preparation - other"/>
    <s v="Prescribed Hourly Rates"/>
    <s v="Profit Cost"/>
    <s v="Hayley Catherall"/>
    <s v="Y"/>
    <n v="12.63"/>
    <n v="2.53"/>
    <x v="7"/>
    <s v="VALIDATED"/>
    <n v="1"/>
    <s v="01.11.80.307.6100.0000"/>
    <n v="12.63"/>
    <s v="11"/>
    <s v="6100"/>
    <n v="-26602.14"/>
    <n v="12.63"/>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6"/>
    <d v="2023-07-05T19:02:04"/>
    <s v="Y"/>
    <s v="Preparation - other"/>
    <s v="Prescribed Hourly Rates"/>
    <s v="Profit Cost"/>
    <s v="Stephanie Stubbs"/>
    <s v="Y"/>
    <n v="10.98"/>
    <n v="2.2"/>
    <x v="6"/>
    <s v="VALIDATED"/>
    <n v="1"/>
    <s v="01.11.80.302.6100.0000"/>
    <n v="10.98"/>
    <s v="11"/>
    <s v="6100"/>
    <n v="-26602.14"/>
    <n v="10.98"/>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8"/>
    <d v="2023-07-05T19:02:17"/>
    <s v="Y"/>
    <s v="Toxicologist"/>
    <s v="VHCC"/>
    <s v="Expert Disbursement"/>
    <s v="Mary Holmes"/>
    <s v="Y"/>
    <n v="261.8"/>
    <n v="52.36"/>
    <x v="6"/>
    <s v="VALIDATED"/>
    <n v="1"/>
    <s v="01.11.80.308.6300.0000"/>
    <n v="261.8"/>
    <s v="11"/>
    <s v="6300"/>
    <n v="-26602.14"/>
    <n v="261.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9"/>
    <d v="2023-07-05T19:02:04"/>
    <s v="Y"/>
    <s v="Routine Letter Out"/>
    <s v="Prescribed Hourly Rates"/>
    <s v="Profit Cost"/>
    <s v="Nicola Harris"/>
    <s v="Y"/>
    <n v="86.94"/>
    <n v="17.39"/>
    <x v="6"/>
    <s v="VALIDATED"/>
    <n v="1"/>
    <s v="01.11.80.302.6100.0000"/>
    <n v="86.94"/>
    <s v="11"/>
    <s v="6100"/>
    <n v="-26602.14"/>
    <n v="86.94"/>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3"/>
    <d v="2023-07-11T11:51:09"/>
    <s v="Y"/>
    <s v="Preparation - other"/>
    <s v="Prescribed Hourly Rates"/>
    <s v="Profit Cost"/>
    <s v="Hayley Catherall"/>
    <s v="Y"/>
    <n v="31.57"/>
    <n v="6.31"/>
    <x v="7"/>
    <s v="VALIDATED"/>
    <n v="1"/>
    <s v="01.11.80.307.6100.0000"/>
    <n v="31.57"/>
    <s v="11"/>
    <s v="6100"/>
    <n v="-26602.14"/>
    <n v="31.57"/>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2"/>
    <d v="2023-07-11T11:51:09"/>
    <s v="Y"/>
    <s v="Attendance upon client"/>
    <s v="Prescribed Hourly Rates"/>
    <s v="Profit Cost"/>
    <s v="Hayley Catherall"/>
    <s v="Y"/>
    <n v="94.7"/>
    <n v="18.94"/>
    <x v="7"/>
    <s v="VALIDATED"/>
    <n v="1"/>
    <s v="01.11.80.307.6100.0000"/>
    <n v="94.7"/>
    <s v="11"/>
    <s v="6100"/>
    <n v="-26602.14"/>
    <n v="94.7"/>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1"/>
    <d v="2023-07-11T11:51:09"/>
    <s v="Y"/>
    <s v="Preparation - other"/>
    <s v="Prescribed Hourly Rates"/>
    <s v="Profit Cost"/>
    <s v="Hayley Catherall"/>
    <s v="Y"/>
    <n v="12.63"/>
    <n v="2.53"/>
    <x v="7"/>
    <s v="VALIDATED"/>
    <n v="1"/>
    <s v="01.11.80.307.6100.0000"/>
    <n v="12.63"/>
    <s v="11"/>
    <s v="6100"/>
    <n v="-26602.14"/>
    <n v="12.63"/>
    <s v="DEBTOR"/>
    <n v="0"/>
    <n v="0"/>
    <n v="0"/>
    <n v="0"/>
    <n v="0"/>
  </r>
  <r>
    <n v="10916222"/>
    <s v="N"/>
    <n v="21343408"/>
    <s v="3000006682680024"/>
    <s v="CIVIL"/>
    <d v="2023-06-23T00:00:00"/>
    <d v="2023-07-07T19:03:00"/>
    <m/>
    <d v="2023-07-07T00:00:00"/>
    <n v="1722"/>
    <n v="16529"/>
    <s v="10916222"/>
    <s v="10916222"/>
    <m/>
    <m/>
    <n v="22749120"/>
    <m/>
    <m/>
    <m/>
    <s v="SOLFIN"/>
    <s v="SOLFIN"/>
    <s v="CCMS"/>
    <n v="21343408"/>
    <n v="14742.77"/>
    <m/>
    <s v="N"/>
    <n v="2"/>
    <d v="2023-07-07T19:03:09"/>
    <s v="Y"/>
    <s v="Disbursements (Summary)"/>
    <s v="Public Law Children"/>
    <s v="Non Expert Disbursement"/>
    <s v="Nicola Harris"/>
    <s v="Y"/>
    <n v="1303.51"/>
    <n v="260.7"/>
    <x v="9"/>
    <s v="VALIDATED"/>
    <n v="1"/>
    <s v="01.11.80.308.6300.0000"/>
    <n v="1303.51"/>
    <s v="11"/>
    <s v="6300"/>
    <n v="-26602.14"/>
    <n v="1303.5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1"/>
    <d v="2023-07-05T19:02:04"/>
    <s v="Y"/>
    <s v="Preparation - other"/>
    <s v="Prescribed Hourly Rates"/>
    <s v="Profit Cost"/>
    <s v="Stephanie Stubbs"/>
    <s v="Y"/>
    <n v="10.98"/>
    <n v="2.2"/>
    <x v="6"/>
    <s v="VALIDATED"/>
    <n v="1"/>
    <s v="01.11.80.302.6100.0000"/>
    <n v="10.98"/>
    <s v="11"/>
    <s v="6100"/>
    <n v="-26602.14"/>
    <n v="10.98"/>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3"/>
    <d v="2023-07-05T19:02:17"/>
    <s v="Y"/>
    <s v="Toxicologist"/>
    <s v="VHCC"/>
    <s v="Expert Disbursement"/>
    <s v="Mary Holmes"/>
    <s v="Y"/>
    <n v="388"/>
    <n v="77.59999999999999"/>
    <x v="6"/>
    <s v="VALIDATED"/>
    <n v="1"/>
    <s v="01.11.80.308.6300.0000"/>
    <n v="388"/>
    <s v="11"/>
    <s v="6300"/>
    <n v="-26602.14"/>
    <n v="38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4"/>
    <d v="2023-07-11T11:51:09"/>
    <s v="Y"/>
    <s v="Preparation - other"/>
    <s v="Prescribed Hourly Rates"/>
    <s v="Profit Cost"/>
    <s v="Hayley Catherall"/>
    <s v="Y"/>
    <n v="18.94"/>
    <n v="3.79"/>
    <x v="7"/>
    <s v="VALIDATED"/>
    <n v="1"/>
    <s v="01.11.80.307.6100.0000"/>
    <n v="18.94"/>
    <s v="11"/>
    <s v="6100"/>
    <n v="-26602.14"/>
    <n v="18.94"/>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5"/>
    <d v="2023-07-11T11:51:09"/>
    <s v="Y"/>
    <s v="Preparation - drafting instructions"/>
    <s v="Prescribed Hourly Rates"/>
    <s v="Profit Cost"/>
    <s v="Hayley Catherall"/>
    <s v="Y"/>
    <n v="31.57"/>
    <n v="6.31"/>
    <x v="7"/>
    <s v="VALIDATED"/>
    <n v="1"/>
    <s v="01.11.80.307.6100.0000"/>
    <n v="31.57"/>
    <s v="11"/>
    <s v="6100"/>
    <n v="-26602.14"/>
    <n v="31.5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5"/>
    <d v="2023-07-05T19:02:17"/>
    <s v="Y"/>
    <s v="Independent Social Worker"/>
    <s v="VHCC"/>
    <s v="Expert Disbursement"/>
    <s v="Mary Holmes"/>
    <s v="Y"/>
    <n v="26.4"/>
    <n v="5.28"/>
    <x v="6"/>
    <s v="VALIDATED"/>
    <n v="1"/>
    <s v="01.11.80.308.6300.0000"/>
    <n v="26.4"/>
    <s v="11"/>
    <s v="6300"/>
    <n v="-26602.14"/>
    <n v="26.4"/>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3"/>
    <d v="2023-07-05T19:02:04"/>
    <s v="Y"/>
    <s v="Attendance upon client"/>
    <s v="Prescribed Hourly Rates"/>
    <s v="Profit Cost"/>
    <s v="Stephanie Stubbs"/>
    <s v="Y"/>
    <n v="54.9"/>
    <n v="10.98"/>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7"/>
    <d v="2023-07-05T19:02:04"/>
    <s v="Y"/>
    <s v="Preparation - other"/>
    <s v="Prescribed Hourly Rates"/>
    <s v="Profit Cost"/>
    <s v="Stephanie Stubbs"/>
    <s v="Y"/>
    <n v="5.49"/>
    <n v="1.1"/>
    <x v="6"/>
    <s v="VALIDATED"/>
    <n v="1"/>
    <s v="01.11.80.302.6100.0000"/>
    <n v="5.49"/>
    <s v="11"/>
    <s v="6100"/>
    <n v="-26602.14"/>
    <n v="5.49"/>
    <s v="DEBTOR"/>
    <n v="0"/>
    <n v="0"/>
    <n v="0"/>
    <n v="0"/>
    <n v="0"/>
  </r>
  <r>
    <n v="60940284"/>
    <s v="N"/>
    <n v="21321208"/>
    <s v="3000015156290009"/>
    <s v="CIVIL"/>
    <d v="2023-06-29T00:00:00"/>
    <d v="2023-07-03T19:05:17"/>
    <m/>
    <d v="2023-07-03T00:00:00"/>
    <n v="1722"/>
    <n v="16529"/>
    <s v="60940284"/>
    <s v="60940284"/>
    <m/>
    <m/>
    <n v="22787286"/>
    <m/>
    <m/>
    <m/>
    <s v="SOLPOA"/>
    <s v="SOLPOA"/>
    <s v="CCMS"/>
    <n v="21321208"/>
    <n v="682.8"/>
    <m/>
    <s v="N"/>
    <n v="1"/>
    <d v="2023-07-03T19:05:17"/>
    <s v="N"/>
    <s v="Expert Cost"/>
    <s v="Expert Cost"/>
    <s v="Expert Disbursement"/>
    <s v="Emma Hannah"/>
    <s v="N"/>
    <n v="569"/>
    <n v="113.8"/>
    <x v="3"/>
    <s v="VALIDATED"/>
    <n v="1"/>
    <s v="01.11.80.308.2012.0000"/>
    <n v="569"/>
    <s v="11"/>
    <s v="2012"/>
    <n v="-26602.14"/>
    <n v="569"/>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6"/>
    <d v="2023-07-05T19:02:17"/>
    <s v="Y"/>
    <s v="Toxicologist"/>
    <s v="VHCC"/>
    <s v="Expert Disbursement"/>
    <s v="Mary Holmes"/>
    <s v="Y"/>
    <n v="136"/>
    <n v="27.2"/>
    <x v="6"/>
    <s v="VALIDATED"/>
    <n v="1"/>
    <s v="01.11.80.308.6300.0000"/>
    <n v="136"/>
    <s v="11"/>
    <s v="6300"/>
    <n v="-26602.14"/>
    <n v="136"/>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0"/>
    <d v="2023-07-05T19:02:04"/>
    <s v="Y"/>
    <s v="Preparation - drafting statement"/>
    <s v="Prescribed Hourly Rates"/>
    <s v="Profit Cost"/>
    <s v="Stephanie Stubbs"/>
    <s v="Y"/>
    <n v="16.47"/>
    <n v="3.29"/>
    <x v="6"/>
    <s v="VALIDATED"/>
    <n v="1"/>
    <s v="01.11.80.302.6100.0000"/>
    <n v="16.47"/>
    <s v="11"/>
    <s v="6100"/>
    <n v="-26602.14"/>
    <n v="16.47"/>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2"/>
    <d v="2023-07-05T19:02:04"/>
    <s v="Y"/>
    <s v="Preparation - drafting bill/claim f"/>
    <s v="Prescribed Hourly Rates"/>
    <s v="Profit Cost"/>
    <s v="Stephanie Stubbs"/>
    <s v="Y"/>
    <n v="10.98"/>
    <n v="2.2"/>
    <x v="6"/>
    <s v="VALIDATED"/>
    <n v="1"/>
    <s v="01.11.80.302.6100.0000"/>
    <n v="10.98"/>
    <s v="11"/>
    <s v="6100"/>
    <n v="-26602.14"/>
    <n v="10.98"/>
    <s v="DEBTOR"/>
    <n v="0"/>
    <n v="0"/>
    <n v="0"/>
    <n v="0"/>
    <n v="0"/>
  </r>
  <r>
    <n v="62119960"/>
    <s v="N"/>
    <n v="21323252"/>
    <s v="3000016143870009"/>
    <s v="CIVIL"/>
    <d v="2023-06-30T00:00:00"/>
    <d v="2023-07-03T19:05:56"/>
    <m/>
    <d v="2023-07-03T00:00:00"/>
    <n v="1722"/>
    <n v="16529"/>
    <s v="62119960"/>
    <s v="62119960"/>
    <m/>
    <m/>
    <n v="22795414"/>
    <m/>
    <m/>
    <m/>
    <s v="SOLPOA"/>
    <s v="SOLPOA"/>
    <s v="CCMS"/>
    <n v="21323252"/>
    <n v="2439.36"/>
    <m/>
    <s v="N"/>
    <n v="1"/>
    <d v="2023-07-03T19:05:56"/>
    <s v="N"/>
    <s v="Solicitors Fixed Fee"/>
    <s v="Public Law Children"/>
    <s v="Profit Cost"/>
    <s v="Emma Palmer"/>
    <s v="N"/>
    <n v="2032.8"/>
    <n v="406.56"/>
    <x v="3"/>
    <s v="VALIDATED"/>
    <n v="1"/>
    <s v="01.11.80.308.2012.0000"/>
    <n v="2032.8"/>
    <s v="11"/>
    <s v="2012"/>
    <n v="-26602.14"/>
    <n v="2032.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3"/>
    <d v="2023-07-11T11:51:09"/>
    <s v="Y"/>
    <s v="Routine Letter In"/>
    <s v="Prescribed Hourly Rates"/>
    <s v="Profit Cost"/>
    <s v="Susie Packer"/>
    <s v="Y"/>
    <n v="94.5"/>
    <n v="18.9"/>
    <x v="7"/>
    <s v="VALIDATED"/>
    <n v="1"/>
    <s v="01.11.80.307.6100.0000"/>
    <n v="94.5"/>
    <s v="11"/>
    <s v="6100"/>
    <n v="-26602.14"/>
    <n v="94.5"/>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6"/>
    <d v="2023-07-11T11:51:09"/>
    <s v="Y"/>
    <s v="Attendance upon/with Counsel at Con"/>
    <s v="Prescribed Hourly Rates"/>
    <s v="Profit Cost"/>
    <s v="Susie Packer"/>
    <s v="Y"/>
    <n v="16.2"/>
    <n v="3.24"/>
    <x v="7"/>
    <s v="VALIDATED"/>
    <n v="1"/>
    <s v="01.11.80.307.6100.0000"/>
    <n v="16.2"/>
    <s v="11"/>
    <s v="6100"/>
    <n v="-26602.14"/>
    <n v="16.2"/>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0"/>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6"/>
    <d v="2023-07-05T19:02:04"/>
    <s v="Y"/>
    <s v="Preparation - other"/>
    <s v="Prescribed Hourly Rates"/>
    <s v="Profit Cost"/>
    <s v="Stephanie Stubbs"/>
    <s v="Y"/>
    <n v="5.49"/>
    <n v="1.1"/>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6"/>
    <d v="2023-07-05T19:02:04"/>
    <s v="Y"/>
    <s v="Routine Telephone Call"/>
    <s v="Prescribed Hourly Rates"/>
    <s v="Profit Cost"/>
    <s v="Nicola Harris"/>
    <s v="Y"/>
    <n v="6.21"/>
    <n v="1.24"/>
    <x v="6"/>
    <s v="VALIDATED"/>
    <n v="1"/>
    <s v="01.11.80.302.6100.0000"/>
    <n v="6.21"/>
    <s v="11"/>
    <s v="6100"/>
    <n v="-26602.14"/>
    <n v="6.21"/>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7"/>
    <d v="2023-07-11T11:51:09"/>
    <s v="Y"/>
    <s v="Preparation - other"/>
    <s v="Prescribed Hourly Rates"/>
    <s v="Profit Cost"/>
    <s v="Hayley Catherall"/>
    <s v="Y"/>
    <n v="6.31"/>
    <n v="1.26"/>
    <x v="7"/>
    <s v="VALIDATED"/>
    <n v="1"/>
    <s v="01.11.80.307.6100.0000"/>
    <n v="6.31"/>
    <s v="11"/>
    <s v="6100"/>
    <n v="-26602.14"/>
    <n v="6.31"/>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4"/>
    <d v="2023-07-05T19:02:17"/>
    <s v="Y"/>
    <s v="Toxicologist"/>
    <s v="VHCC"/>
    <s v="Expert Disbursement"/>
    <s v="Mary Holmes"/>
    <s v="Y"/>
    <n v="136"/>
    <n v="27.2"/>
    <x v="6"/>
    <s v="VALIDATED"/>
    <n v="1"/>
    <s v="01.11.80.308.6300.0000"/>
    <n v="136"/>
    <s v="11"/>
    <s v="6300"/>
    <n v="-26602.14"/>
    <n v="136"/>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3"/>
    <d v="2023-07-05T19:02:04"/>
    <s v="Y"/>
    <s v="Preparation - drafting instructions"/>
    <s v="Prescribed Hourly Rates"/>
    <s v="Profit Cost"/>
    <s v="Stephanie Stubbs"/>
    <s v="Y"/>
    <n v="54.9"/>
    <n v="10.98"/>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5"/>
    <d v="2023-07-05T19:02:04"/>
    <s v="Y"/>
    <s v="Preparation - other"/>
    <s v="Prescribed Hourly Rates"/>
    <s v="Profit Cost"/>
    <s v="Stephanie Stubbs"/>
    <s v="Y"/>
    <n v="10.98"/>
    <n v="2.2"/>
    <x v="6"/>
    <s v="VALIDATED"/>
    <n v="1"/>
    <s v="01.11.80.302.6100.0000"/>
    <n v="10.98"/>
    <s v="11"/>
    <s v="6100"/>
    <n v="-26602.14"/>
    <n v="10.98"/>
    <s v="DEBTOR"/>
    <n v="0"/>
    <n v="0"/>
    <n v="0"/>
    <n v="0"/>
    <n v="0"/>
  </r>
  <r>
    <n v="12765035"/>
    <s v="N"/>
    <n v="21321545"/>
    <s v="3000007227590008"/>
    <s v="CIVIL"/>
    <d v="2023-06-29T00:00:00"/>
    <d v="2023-07-03T19:05:17"/>
    <m/>
    <d v="2023-07-03T00:00:00"/>
    <n v="1722"/>
    <n v="16529"/>
    <s v="12765035"/>
    <s v="12765035"/>
    <m/>
    <m/>
    <n v="22787068"/>
    <m/>
    <m/>
    <m/>
    <s v="SOLPOA"/>
    <s v="SOLPOA"/>
    <s v="CCMS"/>
    <n v="21321545"/>
    <n v="362.88"/>
    <m/>
    <s v="N"/>
    <n v="1"/>
    <d v="2023-07-03T19:05:19"/>
    <s v="N"/>
    <s v="Expert Cost"/>
    <s v="Expert Cost"/>
    <s v="Expert Disbursement"/>
    <s v="Emma Hannah"/>
    <s v="N"/>
    <n v="302.4"/>
    <n v="60.48"/>
    <x v="3"/>
    <s v="VALIDATED"/>
    <n v="1"/>
    <s v="01.11.80.308.2012.0000"/>
    <n v="302.4"/>
    <s v="11"/>
    <s v="2012"/>
    <n v="-26602.14"/>
    <n v="302.4"/>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7"/>
    <d v="2023-07-11T11:51:09"/>
    <s v="Y"/>
    <s v="Routine Telephone Call"/>
    <s v="Prescribed Hourly Rates"/>
    <s v="Profit Cost"/>
    <s v="Susie Packer"/>
    <s v="Y"/>
    <n v="16.2"/>
    <n v="3.24"/>
    <x v="7"/>
    <s v="VALIDATED"/>
    <n v="1"/>
    <s v="01.11.80.307.6100.0000"/>
    <n v="16.2"/>
    <s v="11"/>
    <s v="6100"/>
    <n v="-26602.14"/>
    <n v="16.2"/>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1"/>
    <d v="2023-07-05T19:02:04"/>
    <s v="Y"/>
    <s v="Preparation - drafting application"/>
    <s v="Prescribed Hourly Rates"/>
    <s v="Profit Cost"/>
    <s v="Stephanie Stubbs"/>
    <s v="Y"/>
    <n v="21.96"/>
    <n v="4.39"/>
    <x v="6"/>
    <s v="VALIDATED"/>
    <n v="1"/>
    <s v="01.11.80.302.6100.0000"/>
    <n v="21.96"/>
    <s v="11"/>
    <s v="6100"/>
    <n v="-26602.14"/>
    <n v="21.96"/>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0"/>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3"/>
    <d v="2023-07-05T19:02:04"/>
    <s v="Y"/>
    <s v="Preparation - research"/>
    <s v="Prescribed Hourly Rates"/>
    <s v="Profit Cost"/>
    <s v="Stephanie Stubbs"/>
    <s v="Y"/>
    <n v="10.98"/>
    <n v="2.2"/>
    <x v="6"/>
    <s v="VALIDATED"/>
    <n v="1"/>
    <s v="01.11.80.302.6100.0000"/>
    <n v="10.98"/>
    <s v="11"/>
    <s v="6100"/>
    <n v="-26602.14"/>
    <n v="10.98"/>
    <s v="DEBTOR"/>
    <n v="0"/>
    <n v="0"/>
    <n v="0"/>
    <n v="0"/>
    <n v="0"/>
  </r>
  <r>
    <n v="62047412"/>
    <s v="N"/>
    <n v="21321784"/>
    <s v="3000016072590011"/>
    <s v="CIVIL"/>
    <d v="2023-06-29T00:00:00"/>
    <d v="2023-07-03T19:05:17"/>
    <m/>
    <d v="2023-07-03T00:00:00"/>
    <n v="1722"/>
    <n v="16529"/>
    <s v="62047412"/>
    <s v="62047412"/>
    <m/>
    <m/>
    <n v="22786624"/>
    <m/>
    <m/>
    <m/>
    <s v="SOLPOA"/>
    <s v="SOLPOA"/>
    <s v="CCMS"/>
    <n v="21321784"/>
    <n v="117.11"/>
    <m/>
    <s v="N"/>
    <n v="1"/>
    <d v="2023-07-03T19:05:20"/>
    <s v="N"/>
    <s v="Expert Cost"/>
    <s v="Expert Cost"/>
    <s v="Expert Disbursement"/>
    <s v="Emma Palmer"/>
    <s v="N"/>
    <n v="97.59"/>
    <n v="19.52"/>
    <x v="3"/>
    <s v="VALIDATED"/>
    <n v="1"/>
    <s v="01.11.80.302.2012.0000"/>
    <n v="97.59"/>
    <s v="11"/>
    <s v="2012"/>
    <n v="-26602.14"/>
    <n v="97.5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5"/>
    <d v="2023-07-11T11:51:09"/>
    <s v="Y"/>
    <s v="Preparation - other"/>
    <s v="Prescribed Hourly Rates"/>
    <s v="Profit Cost"/>
    <s v="Hayley Catherall"/>
    <s v="Y"/>
    <n v="6.31"/>
    <n v="1.26"/>
    <x v="7"/>
    <s v="VALIDATED"/>
    <n v="1"/>
    <s v="01.11.80.307.6100.0000"/>
    <n v="6.31"/>
    <s v="11"/>
    <s v="6100"/>
    <n v="-26602.14"/>
    <n v="6.31"/>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8"/>
    <d v="2023-07-11T11:51:09"/>
    <s v="Y"/>
    <s v="Preparation - other"/>
    <s v="Prescribed Hourly Rates"/>
    <s v="Profit Cost"/>
    <s v="Hayley Catherall"/>
    <s v="Y"/>
    <n v="31.57"/>
    <n v="6.31"/>
    <x v="7"/>
    <s v="VALIDATED"/>
    <n v="1"/>
    <s v="01.11.80.307.6100.0000"/>
    <n v="31.57"/>
    <s v="11"/>
    <s v="6100"/>
    <n v="-26602.14"/>
    <n v="31.57"/>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8"/>
    <d v="2023-07-05T19:02:04"/>
    <s v="Y"/>
    <s v="Preparation - drafting notice(s)"/>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61"/>
    <d v="2023-07-11T11:51:09"/>
    <s v="N"/>
    <s v="Level 3 Fixed Fee"/>
    <s v="Private Law Children"/>
    <s v="Profit Cost"/>
    <s v="Hayley Catherall"/>
    <s v="N"/>
    <n v="0"/>
    <n v="0"/>
    <x v="7"/>
    <s v="VALIDATED"/>
    <n v="1"/>
    <s v="01.11.80.307.6100.0000"/>
    <n v="0"/>
    <s v="11"/>
    <s v="6100"/>
    <n v="-26602.14"/>
    <n v="0"/>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0"/>
    <d v="2023-07-05T19:02:04"/>
    <s v="Y"/>
    <s v="Preparation - drafting notice(s)"/>
    <s v="Prescribed Hourly Rates"/>
    <s v="Profit Cost"/>
    <s v="Stephanie Stubbs"/>
    <s v="Y"/>
    <n v="16.47"/>
    <n v="3.29"/>
    <x v="6"/>
    <s v="VALIDATED"/>
    <n v="1"/>
    <s v="01.11.80.302.6100.0000"/>
    <n v="16.47"/>
    <s v="11"/>
    <s v="6100"/>
    <n v="-26602.14"/>
    <n v="16.4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7"/>
    <d v="2023-07-05T19:02:17"/>
    <s v="Y"/>
    <s v="Independent Social Worker"/>
    <s v="VHCC"/>
    <s v="Expert Disbursement"/>
    <s v="Mary Holmes"/>
    <s v="Y"/>
    <n v="241.51"/>
    <n v="48.3"/>
    <x v="6"/>
    <s v="VALIDATED"/>
    <n v="1"/>
    <s v="01.11.80.308.6300.0000"/>
    <n v="241.51"/>
    <s v="11"/>
    <s v="6300"/>
    <n v="-26602.14"/>
    <n v="241.51"/>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7"/>
    <d v="2023-07-05T19:02:17"/>
    <s v="Y"/>
    <s v="Psychiatrist"/>
    <s v="VHCC"/>
    <s v="Expert Disbursement"/>
    <s v="Mary Holmes"/>
    <s v="Y"/>
    <n v="651"/>
    <n v="130.2"/>
    <x v="6"/>
    <s v="VALIDATED"/>
    <n v="1"/>
    <s v="01.11.80.308.6300.0000"/>
    <n v="651"/>
    <s v="11"/>
    <s v="6300"/>
    <n v="-26602.14"/>
    <n v="651"/>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9"/>
    <d v="2023-07-11T11:51:09"/>
    <s v="N"/>
    <s v="Advocacy - In court behind counsel"/>
    <s v="Prescribed Hourly Rates"/>
    <s v="Advocacy"/>
    <s v="Susie Packer"/>
    <s v="N"/>
    <n v="0"/>
    <n v="0"/>
    <x v="7"/>
    <s v="VALIDATED"/>
    <n v="1"/>
    <s v="01.11.80.307.6100.0000"/>
    <n v="0"/>
    <s v="11"/>
    <s v="6100"/>
    <n v="-26602.14"/>
    <n v="0"/>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7"/>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
    <d v="2023-07-05T19:02:04"/>
    <s v="Y"/>
    <s v="Preparation - other"/>
    <s v="Prescribed Hourly Rates"/>
    <s v="Profit Cost"/>
    <s v="Stephanie Stubbs"/>
    <s v="Y"/>
    <n v="16.47"/>
    <n v="3.29"/>
    <x v="6"/>
    <s v="VALIDATED"/>
    <n v="1"/>
    <s v="01.11.80.302.6100.0000"/>
    <n v="16.47"/>
    <s v="11"/>
    <s v="6100"/>
    <n v="-26602.14"/>
    <n v="16.47"/>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4"/>
    <d v="2023-07-05T19:02:04"/>
    <s v="Y"/>
    <s v="Preparation - drafting bill/claim f"/>
    <s v="Prescribed Hourly Rates"/>
    <s v="Profit Cost"/>
    <s v="Stephanie Stubbs"/>
    <s v="Y"/>
    <n v="10.98"/>
    <n v="2.2"/>
    <x v="6"/>
    <s v="VALIDATED"/>
    <n v="1"/>
    <s v="01.11.80.302.6100.0000"/>
    <n v="10.98"/>
    <s v="11"/>
    <s v="6100"/>
    <n v="-26602.14"/>
    <n v="10.98"/>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9"/>
    <d v="2023-07-05T19:02:17"/>
    <s v="Y"/>
    <s v="Psychologist"/>
    <s v="VHCC"/>
    <s v="Expert Disbursement"/>
    <s v="Mary Holmes"/>
    <s v="Y"/>
    <n v="432"/>
    <n v="0"/>
    <x v="6"/>
    <s v="VALIDATED"/>
    <n v="1"/>
    <s v="01.11.80.308.6300.0000"/>
    <n v="432"/>
    <s v="11"/>
    <s v="6300"/>
    <n v="-26602.14"/>
    <n v="432"/>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22"/>
    <d v="2023-07-05T19:02:17"/>
    <s v="Y"/>
    <s v="Interim/Directions/Review Hearing ("/>
    <s v="VHCC"/>
    <s v="Profit Cost"/>
    <s v="Mary Holmes"/>
    <s v="Y"/>
    <n v="8514"/>
    <n v="1702.8"/>
    <x v="6"/>
    <s v="VALIDATED"/>
    <n v="1"/>
    <s v="01.11.80.308.6100.0000"/>
    <n v="8514"/>
    <s v="11"/>
    <s v="6100"/>
    <n v="-26602.14"/>
    <n v="8514"/>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5"/>
    <d v="2023-07-05T19:02:17"/>
    <s v="Y"/>
    <s v="Toxicologist"/>
    <s v="VHCC"/>
    <s v="Expert Disbursement"/>
    <s v="Mary Holmes"/>
    <s v="Y"/>
    <n v="426.8"/>
    <n v="85.36"/>
    <x v="6"/>
    <s v="VALIDATED"/>
    <n v="1"/>
    <s v="01.11.80.308.6300.0000"/>
    <n v="426.8"/>
    <s v="11"/>
    <s v="6300"/>
    <n v="-26602.14"/>
    <n v="426.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
    <d v="2023-07-05T19:02:04"/>
    <s v="Y"/>
    <s v="Preparation - drafting bill/claim f"/>
    <s v="Prescribed Hourly Rates"/>
    <s v="Profit Cost"/>
    <s v="Stephanie Stubbs"/>
    <s v="Y"/>
    <n v="10.98"/>
    <n v="2.2"/>
    <x v="6"/>
    <s v="VALIDATED"/>
    <n v="1"/>
    <s v="01.11.80.302.6100.0000"/>
    <n v="10.98"/>
    <s v="11"/>
    <s v="6100"/>
    <n v="-26602.14"/>
    <n v="10.9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7"/>
    <d v="2023-07-05T19:02:04"/>
    <s v="Y"/>
    <s v="Advocacy - In court behind counsel"/>
    <s v="Prescribed Hourly Rates"/>
    <s v="Advocacy"/>
    <s v="Stephanie Stubbs"/>
    <s v="Y"/>
    <n v="61.56"/>
    <n v="12.31"/>
    <x v="6"/>
    <s v="VALIDATED"/>
    <n v="1"/>
    <s v="01.11.80.302.6100.0000"/>
    <n v="61.56"/>
    <s v="11"/>
    <s v="6100"/>
    <n v="-26602.14"/>
    <n v="61.56"/>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
    <d v="2023-07-05T19:02:04"/>
    <s v="Y"/>
    <s v="Preparation - other"/>
    <s v="Prescribed Hourly Rates"/>
    <s v="Profit Cost"/>
    <s v="Stephanie Stubbs"/>
    <s v="Y"/>
    <n v="43.92"/>
    <n v="8.779999999999999"/>
    <x v="6"/>
    <s v="VALIDATED"/>
    <n v="1"/>
    <s v="01.11.80.302.6100.0000"/>
    <n v="43.92"/>
    <s v="11"/>
    <s v="6100"/>
    <n v="-26602.14"/>
    <n v="43.92"/>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9"/>
    <d v="2023-07-05T19:02:04"/>
    <s v="Y"/>
    <s v="Preparation - other"/>
    <s v="Prescribed Hourly Rates"/>
    <s v="Profit Cost"/>
    <s v="Stephanie Stubbs"/>
    <s v="Y"/>
    <n v="5.49"/>
    <n v="1.1"/>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8"/>
    <d v="2023-07-05T19:02:04"/>
    <s v="Y"/>
    <s v="Preparation - drafting notice(s)"/>
    <s v="Prescribed Hourly Rates"/>
    <s v="Profit Cost"/>
    <s v="Stephanie Stubbs"/>
    <s v="Y"/>
    <n v="5.49"/>
    <n v="1.1"/>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3"/>
    <d v="2023-07-05T19:02:04"/>
    <s v="Y"/>
    <s v="Preparation - other"/>
    <s v="Prescribed Hourly Rates"/>
    <s v="Profit Cost"/>
    <s v="Stephanie Stubbs"/>
    <s v="Y"/>
    <n v="71.37"/>
    <n v="14.28"/>
    <x v="6"/>
    <s v="VALIDATED"/>
    <n v="1"/>
    <s v="01.11.80.302.6100.0000"/>
    <n v="71.37"/>
    <s v="11"/>
    <s v="6100"/>
    <n v="-26602.14"/>
    <n v="71.37"/>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5"/>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5"/>
    <d v="2023-07-11T11:51:09"/>
    <s v="Y"/>
    <s v="Attendance upon client"/>
    <s v="Prescribed Hourly Rates"/>
    <s v="Profit Cost"/>
    <s v="Hayley Catherall"/>
    <s v="Y"/>
    <n v="18.94"/>
    <n v="3.79"/>
    <x v="7"/>
    <s v="VALIDATED"/>
    <n v="1"/>
    <s v="01.11.80.307.6100.0000"/>
    <n v="18.94"/>
    <s v="11"/>
    <s v="6100"/>
    <n v="-26602.14"/>
    <n v="18.94"/>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2"/>
    <d v="2023-07-05T19:02:17"/>
    <s v="Y"/>
    <s v="Toxicologist"/>
    <s v="VHCC"/>
    <s v="Expert Disbursement"/>
    <s v="Mary Holmes"/>
    <s v="Y"/>
    <n v="342.8"/>
    <n v="68.56"/>
    <x v="6"/>
    <s v="VALIDATED"/>
    <n v="1"/>
    <s v="01.11.80.308.6300.0000"/>
    <n v="342.8"/>
    <s v="11"/>
    <s v="6300"/>
    <n v="-26602.14"/>
    <n v="342.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9"/>
    <d v="2023-07-11T11:51:09"/>
    <s v="Y"/>
    <s v="Preparation - drafting bill/claim f"/>
    <s v="Prescribed Hourly Rates"/>
    <s v="Profit Cost"/>
    <s v="Angela Badrock"/>
    <s v="Y"/>
    <n v="164.7"/>
    <n v="32.94"/>
    <x v="7"/>
    <s v="VALIDATED"/>
    <n v="1"/>
    <s v="01.11.80.307.6100.0000"/>
    <n v="164.7"/>
    <s v="11"/>
    <s v="6100"/>
    <n v="-26602.14"/>
    <n v="164.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2"/>
    <d v="2023-07-05T19:02:17"/>
    <s v="Y"/>
    <s v="Toxicologist"/>
    <s v="VHCC"/>
    <s v="Expert Disbursement"/>
    <s v="Mary Holmes"/>
    <s v="Y"/>
    <n v="432"/>
    <n v="86.40000000000001"/>
    <x v="6"/>
    <s v="VALIDATED"/>
    <n v="1"/>
    <s v="01.11.80.308.6300.0000"/>
    <n v="432"/>
    <s v="11"/>
    <s v="6300"/>
    <n v="-26602.14"/>
    <n v="432"/>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8"/>
    <d v="2023-07-05T19:02:04"/>
    <s v="Y"/>
    <s v="Preparation - other"/>
    <s v="Prescribed Hourly Rates"/>
    <s v="Profit Cost"/>
    <s v="Stephanie Stubbs"/>
    <s v="Y"/>
    <n v="5.49"/>
    <n v="1.1"/>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8"/>
    <d v="2023-07-05T19:02:04"/>
    <s v="Y"/>
    <s v="Routine Letter Out"/>
    <s v="Prescribed Hourly Rates"/>
    <s v="Profit Cost"/>
    <s v="Stephanie Stubbs"/>
    <s v="Y"/>
    <n v="626.4"/>
    <n v="125.26"/>
    <x v="6"/>
    <s v="VALIDATED"/>
    <n v="1"/>
    <s v="01.11.80.302.6100.0000"/>
    <n v="626.4"/>
    <s v="11"/>
    <s v="6100"/>
    <n v="-26602.14"/>
    <n v="626.4"/>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9"/>
    <d v="2023-07-11T11:51:09"/>
    <s v="Y"/>
    <s v="Preparation - other"/>
    <s v="Prescribed Hourly Rates"/>
    <s v="Profit Cost"/>
    <s v="Hayley Catherall"/>
    <s v="Y"/>
    <n v="18.94"/>
    <n v="3.79"/>
    <x v="7"/>
    <s v="VALIDATED"/>
    <n v="1"/>
    <s v="01.11.80.307.6100.0000"/>
    <n v="18.94"/>
    <s v="11"/>
    <s v="6100"/>
    <n v="-26602.14"/>
    <n v="18.94"/>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9"/>
    <d v="2023-07-11T11:51:09"/>
    <s v="Y"/>
    <s v="Preparation - other"/>
    <s v="Prescribed Hourly Rates"/>
    <s v="Profit Cost"/>
    <s v="Hayley Catherall"/>
    <s v="Y"/>
    <n v="31.57"/>
    <n v="6.31"/>
    <x v="7"/>
    <s v="VALIDATED"/>
    <n v="1"/>
    <s v="01.11.80.307.6100.0000"/>
    <n v="31.57"/>
    <s v="11"/>
    <s v="6100"/>
    <n v="-26602.14"/>
    <n v="31.57"/>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9"/>
    <d v="2023-07-11T11:51:09"/>
    <s v="Y"/>
    <s v="Preparation - other"/>
    <s v="Prescribed Hourly Rates"/>
    <s v="Profit Cost"/>
    <s v="Hayley Catherall"/>
    <s v="Y"/>
    <n v="50.51"/>
    <n v="10.1"/>
    <x v="7"/>
    <s v="VALIDATED"/>
    <n v="1"/>
    <s v="01.11.80.307.6100.0000"/>
    <n v="50.51"/>
    <s v="11"/>
    <s v="6100"/>
    <n v="-26602.14"/>
    <n v="50.5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2"/>
    <d v="2023-07-05T19:02:04"/>
    <s v="Y"/>
    <s v="Preparation - drafting bill/claim f"/>
    <s v="Prescribed Hourly Rates"/>
    <s v="Profit Cost"/>
    <s v="Stephanie Stubbs"/>
    <s v="Y"/>
    <n v="164.7"/>
    <n v="32.94"/>
    <x v="6"/>
    <s v="VALIDATED"/>
    <n v="1"/>
    <s v="01.11.80.302.6100.0000"/>
    <n v="164.7"/>
    <s v="11"/>
    <s v="6100"/>
    <n v="-26602.14"/>
    <n v="164.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8"/>
    <d v="2023-07-05T19:02:17"/>
    <s v="Y"/>
    <s v="Final Hearing (Events Model)"/>
    <s v="VHCC"/>
    <s v="Profit Cost"/>
    <s v="Mary Holmes"/>
    <s v="Y"/>
    <n v="774"/>
    <n v="154.8"/>
    <x v="6"/>
    <s v="VALIDATED"/>
    <n v="1"/>
    <s v="01.11.80.308.6100.0000"/>
    <n v="774"/>
    <s v="11"/>
    <s v="6100"/>
    <n v="-26602.14"/>
    <n v="774"/>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6"/>
    <d v="2023-07-05T19:02:17"/>
    <s v="Y"/>
    <s v="Toxicologist"/>
    <s v="VHCC"/>
    <s v="Expert Disbursement"/>
    <s v="Mary Holmes"/>
    <s v="Y"/>
    <n v="136"/>
    <n v="27.2"/>
    <x v="6"/>
    <s v="VALIDATED"/>
    <n v="1"/>
    <s v="01.11.80.308.6300.0000"/>
    <n v="136"/>
    <s v="11"/>
    <s v="6300"/>
    <n v="-26602.14"/>
    <n v="136"/>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5"/>
    <d v="2023-07-05T19:02:04"/>
    <s v="Y"/>
    <s v="Attendance upon/with Counsel at Con"/>
    <s v="Prescribed Hourly Rates"/>
    <s v="Profit Cost"/>
    <s v="Stephanie Stubbs"/>
    <s v="Y"/>
    <n v="6.48"/>
    <n v="1.3"/>
    <x v="6"/>
    <s v="VALIDATED"/>
    <n v="1"/>
    <s v="01.11.80.302.6100.0000"/>
    <n v="6.48"/>
    <s v="11"/>
    <s v="6100"/>
    <n v="-26602.14"/>
    <n v="6.4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5"/>
    <d v="2023-07-11T11:51:09"/>
    <s v="Y"/>
    <s v="Routine Letter In"/>
    <s v="Prescribed Hourly Rates"/>
    <s v="Profit Cost"/>
    <s v="Hayley Catherall"/>
    <s v="Y"/>
    <n v="46.58"/>
    <n v="9.32"/>
    <x v="7"/>
    <s v="VALIDATED"/>
    <n v="1"/>
    <s v="01.11.80.307.6100.0000"/>
    <n v="46.58"/>
    <s v="11"/>
    <s v="6100"/>
    <n v="-26602.14"/>
    <n v="46.5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3"/>
    <d v="2023-07-11T11:51:09"/>
    <s v="Y"/>
    <s v="Preparation - other"/>
    <s v="Prescribed Hourly Rates"/>
    <s v="Profit Cost"/>
    <s v="Adam Stringer"/>
    <s v="Y"/>
    <n v="10.98"/>
    <n v="2.2"/>
    <x v="7"/>
    <s v="VALIDATED"/>
    <n v="1"/>
    <s v="01.11.80.307.6100.0000"/>
    <n v="10.98"/>
    <s v="11"/>
    <s v="6100"/>
    <n v="-26602.14"/>
    <n v="10.9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8"/>
    <d v="2023-07-11T11:51:09"/>
    <s v="Y"/>
    <s v="Preparation - other"/>
    <s v="Prescribed Hourly Rates"/>
    <s v="Profit Cost"/>
    <s v="Adam Stringer"/>
    <s v="Y"/>
    <n v="10.98"/>
    <n v="2.2"/>
    <x v="7"/>
    <s v="VALIDATED"/>
    <n v="1"/>
    <s v="01.11.80.307.6100.0000"/>
    <n v="10.98"/>
    <s v="11"/>
    <s v="6100"/>
    <n v="-26602.14"/>
    <n v="10.9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4"/>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4"/>
    <d v="2023-07-11T11:51:09"/>
    <s v="Y"/>
    <s v="Preparation - other"/>
    <s v="Prescribed Hourly Rates"/>
    <s v="Profit Cost"/>
    <s v="Hayley Catherall"/>
    <s v="Y"/>
    <n v="6.31"/>
    <n v="1.26"/>
    <x v="7"/>
    <s v="VALIDATED"/>
    <n v="1"/>
    <s v="01.11.80.307.6100.0000"/>
    <n v="6.31"/>
    <s v="11"/>
    <s v="6100"/>
    <n v="-26602.14"/>
    <n v="6.31"/>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0"/>
    <d v="2023-07-05T19:02:17"/>
    <s v="Y"/>
    <s v="Toxicologist"/>
    <s v="VHCC"/>
    <s v="Expert Disbursement"/>
    <s v="Mary Holmes"/>
    <s v="Y"/>
    <n v="308"/>
    <n v="61.6"/>
    <x v="6"/>
    <s v="VALIDATED"/>
    <n v="1"/>
    <s v="01.11.80.308.6300.0000"/>
    <n v="308"/>
    <s v="11"/>
    <s v="6300"/>
    <n v="-26602.14"/>
    <n v="30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8"/>
    <d v="2023-07-11T11:51:09"/>
    <s v="Y"/>
    <s v="Attendance upon/with Counsel at Con"/>
    <s v="Prescribed Hourly Rates"/>
    <s v="Profit Cost"/>
    <s v="Susie Packer"/>
    <s v="Y"/>
    <n v="9.720000000000001"/>
    <n v="1.94"/>
    <x v="7"/>
    <s v="VALIDATED"/>
    <n v="1"/>
    <s v="01.11.80.307.6100.0000"/>
    <n v="9.720000000000001"/>
    <s v="11"/>
    <s v="6100"/>
    <n v="-26602.14"/>
    <n v="9.720000000000001"/>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3"/>
    <d v="2023-07-11T11:51:09"/>
    <s v="Y"/>
    <s v="Attendance upon/with Counsel at Con"/>
    <s v="Prescribed Hourly Rates"/>
    <s v="Profit Cost"/>
    <s v="Susie Packer"/>
    <s v="Y"/>
    <n v="25.92"/>
    <n v="5.18"/>
    <x v="7"/>
    <s v="VALIDATED"/>
    <n v="1"/>
    <s v="01.11.80.307.6100.0000"/>
    <n v="25.92"/>
    <s v="11"/>
    <s v="6100"/>
    <n v="-26602.14"/>
    <n v="25.92"/>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7"/>
    <d v="2023-07-11T11:51:09"/>
    <s v="Y"/>
    <s v="Preparation - other"/>
    <s v="Prescribed Hourly Rates"/>
    <s v="Profit Cost"/>
    <s v="Hayley Catherall"/>
    <s v="Y"/>
    <n v="31.57"/>
    <n v="6.31"/>
    <x v="7"/>
    <s v="VALIDATED"/>
    <n v="1"/>
    <s v="01.11.80.307.6100.0000"/>
    <n v="31.57"/>
    <s v="11"/>
    <s v="6100"/>
    <n v="-26602.14"/>
    <n v="31.57"/>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9"/>
    <d v="2023-07-11T11:51:09"/>
    <s v="Y"/>
    <s v="Routine Telephone Call"/>
    <s v="Prescribed Hourly Rates"/>
    <s v="Profit Cost"/>
    <s v="Hayley Catherall"/>
    <s v="Y"/>
    <n v="86.94"/>
    <n v="17.39"/>
    <x v="7"/>
    <s v="VALIDATED"/>
    <n v="1"/>
    <s v="01.11.80.307.6100.0000"/>
    <n v="86.94"/>
    <s v="11"/>
    <s v="6100"/>
    <n v="-26602.14"/>
    <n v="86.94"/>
    <s v="DEBTOR"/>
    <n v="0"/>
    <n v="0"/>
    <n v="0"/>
    <n v="0"/>
    <n v="0"/>
  </r>
  <r>
    <n v="10916222"/>
    <s v="N"/>
    <n v="21343408"/>
    <s v="3000006682680024"/>
    <s v="CIVIL"/>
    <d v="2023-06-23T00:00:00"/>
    <d v="2023-07-07T19:03:00"/>
    <m/>
    <d v="2023-07-07T00:00:00"/>
    <n v="1722"/>
    <n v="16529"/>
    <s v="10916222"/>
    <s v="10916222"/>
    <m/>
    <m/>
    <n v="22749120"/>
    <m/>
    <m/>
    <m/>
    <s v="SOLFIN"/>
    <s v="SOLFIN"/>
    <s v="CCMS"/>
    <n v="21343408"/>
    <n v="14742.77"/>
    <m/>
    <s v="N"/>
    <n v="1"/>
    <d v="2023-07-07T19:03:09"/>
    <s v="Y"/>
    <s v="Profit Costs (Summary)"/>
    <s v="Public Law Children"/>
    <s v="Profit Cost"/>
    <s v="Nicola Harris"/>
    <s v="Y"/>
    <n v="10973.8"/>
    <n v="2194.76"/>
    <x v="9"/>
    <s v="VALIDATED"/>
    <n v="1"/>
    <s v="01.11.80.308.6100.0000"/>
    <n v="10973.8"/>
    <s v="11"/>
    <s v="6100"/>
    <n v="-26602.14"/>
    <n v="10973.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
    <d v="2023-07-05T19:02:04"/>
    <s v="Y"/>
    <s v="Preparation - other"/>
    <s v="Prescribed Hourly Rates"/>
    <s v="Profit Cost"/>
    <s v="Stephanie Stubbs"/>
    <s v="Y"/>
    <n v="38.43"/>
    <n v="7.69"/>
    <x v="6"/>
    <s v="VALIDATED"/>
    <n v="1"/>
    <s v="01.11.80.302.6100.0000"/>
    <n v="38.43"/>
    <s v="11"/>
    <s v="6100"/>
    <n v="-26602.14"/>
    <n v="38.43"/>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7"/>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8"/>
    <d v="2023-07-11T11:51:09"/>
    <s v="Y"/>
    <s v="Preparation - other"/>
    <s v="Prescribed Hourly Rates"/>
    <s v="Profit Cost"/>
    <s v="Hayley Catherall"/>
    <s v="Y"/>
    <n v="18.94"/>
    <n v="3.79"/>
    <x v="7"/>
    <s v="VALIDATED"/>
    <n v="1"/>
    <s v="01.11.80.307.6100.0000"/>
    <n v="18.94"/>
    <s v="11"/>
    <s v="6100"/>
    <n v="-26602.14"/>
    <n v="18.94"/>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7"/>
    <d v="2023-07-05T19:02:04"/>
    <s v="N"/>
    <s v="Level 4 Fixed Fee"/>
    <s v="Domestic Abuse"/>
    <s v="Profit Cost"/>
    <s v="nicola harris"/>
    <s v="N"/>
    <n v="0"/>
    <n v="0"/>
    <x v="6"/>
    <s v="VALIDATED"/>
    <n v="1"/>
    <s v="01.11.80.302.6100.0000"/>
    <n v="0"/>
    <s v="11"/>
    <s v="6100"/>
    <n v="-26602.14"/>
    <n v="0"/>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1"/>
    <d v="2023-07-11T11:51:09"/>
    <s v="N"/>
    <s v="Advocacy - In court behind counsel"/>
    <s v="Prescribed Hourly Rates"/>
    <s v="Advocacy"/>
    <s v="Susie Packer"/>
    <s v="N"/>
    <n v="0"/>
    <n v="0"/>
    <x v="7"/>
    <s v="VALIDATED"/>
    <n v="1"/>
    <s v="01.11.80.307.6100.0000"/>
    <n v="0"/>
    <s v="11"/>
    <s v="6100"/>
    <n v="-26602.14"/>
    <n v="0"/>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21"/>
    <d v="2023-07-05T19:02:17"/>
    <s v="Y"/>
    <s v="Independent Social Worker"/>
    <s v="VHCC"/>
    <s v="Expert Disbursement"/>
    <s v="Mary Holmes"/>
    <s v="Y"/>
    <n v="216.97"/>
    <n v="43.39"/>
    <x v="6"/>
    <s v="VALIDATED"/>
    <n v="1"/>
    <s v="01.11.80.308.6300.0000"/>
    <n v="216.97"/>
    <s v="11"/>
    <s v="6300"/>
    <n v="-26602.14"/>
    <n v="216.97"/>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6"/>
    <d v="2023-07-11T11:51:09"/>
    <s v="Y"/>
    <s v="Attendance upon/with Counsel at Con"/>
    <s v="Prescribed Hourly Rates"/>
    <s v="Profit Cost"/>
    <s v="Hayley Catherall"/>
    <s v="Y"/>
    <n v="18.63"/>
    <n v="3.73"/>
    <x v="7"/>
    <s v="VALIDATED"/>
    <n v="1"/>
    <s v="01.11.80.307.6100.0000"/>
    <n v="18.63"/>
    <s v="11"/>
    <s v="6100"/>
    <n v="-26602.14"/>
    <n v="18.63"/>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7"/>
    <d v="2023-07-05T19:02:04"/>
    <s v="Y"/>
    <s v="Preparation - other"/>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0"/>
    <d v="2023-07-11T11:51:09"/>
    <s v="Y"/>
    <s v="Attendance upon client"/>
    <s v="Prescribed Hourly Rates"/>
    <s v="Profit Cost"/>
    <s v="Hayley Catherall"/>
    <s v="Y"/>
    <n v="63.14"/>
    <n v="12.63"/>
    <x v="7"/>
    <s v="VALIDATED"/>
    <n v="1"/>
    <s v="01.11.80.307.6100.0000"/>
    <n v="63.14"/>
    <s v="11"/>
    <s v="6100"/>
    <n v="-26602.14"/>
    <n v="63.14"/>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60"/>
    <d v="2023-07-11T11:51:09"/>
    <s v="Y"/>
    <s v="Police Records"/>
    <s v="Private Law Children"/>
    <s v="Non Expert Disbursement"/>
    <s v="Hayley Catherall"/>
    <s v="Y"/>
    <n v="91.3"/>
    <n v="0"/>
    <x v="7"/>
    <s v="VALIDATED"/>
    <n v="1"/>
    <s v="01.11.80.307.6300.0000"/>
    <n v="91.3"/>
    <s v="11"/>
    <s v="6300"/>
    <n v="-26602.14"/>
    <n v="91.3"/>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4"/>
    <d v="2023-07-05T19:02:04"/>
    <s v="Y"/>
    <s v="Preparation - other"/>
    <s v="Prescribed Hourly Rates"/>
    <s v="Profit Cost"/>
    <s v="Stephanie Stubbs"/>
    <s v="Y"/>
    <n v="10.98"/>
    <n v="2.2"/>
    <x v="6"/>
    <s v="VALIDATED"/>
    <n v="1"/>
    <s v="01.11.80.302.6100.0000"/>
    <n v="10.98"/>
    <s v="11"/>
    <s v="6100"/>
    <n v="-26602.14"/>
    <n v="10.98"/>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41"/>
    <d v="2023-07-05T19:02:04"/>
    <s v="Y"/>
    <s v="Attendance upon client"/>
    <s v="Prescribed Hourly Rates"/>
    <s v="Profit Cost"/>
    <s v="Stephanie Stubbs"/>
    <s v="Y"/>
    <n v="16.47"/>
    <n v="3.29"/>
    <x v="6"/>
    <s v="VALIDATED"/>
    <n v="1"/>
    <s v="01.11.80.302.6100.0000"/>
    <n v="16.47"/>
    <s v="11"/>
    <s v="6100"/>
    <n v="-26602.14"/>
    <n v="16.4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4"/>
    <d v="2023-07-05T19:02:17"/>
    <s v="Y"/>
    <s v="Toxicologist"/>
    <s v="VHCC"/>
    <s v="Expert Disbursement"/>
    <s v="Mary Holmes"/>
    <s v="Y"/>
    <n v="99"/>
    <n v="19.8"/>
    <x v="6"/>
    <s v="VALIDATED"/>
    <n v="1"/>
    <s v="01.11.80.308.6300.0000"/>
    <n v="99"/>
    <s v="11"/>
    <s v="6300"/>
    <n v="-26602.14"/>
    <n v="99"/>
    <s v="DEBTOR"/>
    <n v="0"/>
    <n v="0"/>
    <n v="0"/>
    <n v="0"/>
    <n v="0"/>
  </r>
  <r>
    <n v="62060916"/>
    <s v="N"/>
    <n v="21320630"/>
    <s v="3000016092870002"/>
    <s v="CIVIL"/>
    <d v="2023-06-28T00:00:00"/>
    <d v="2023-07-03T19:04:52"/>
    <m/>
    <d v="2023-07-03T00:00:00"/>
    <n v="1722"/>
    <n v="16529"/>
    <s v="62060916"/>
    <s v="62060916"/>
    <m/>
    <m/>
    <n v="22782686"/>
    <m/>
    <m/>
    <m/>
    <s v="SOLPOA"/>
    <s v="SOLPOA"/>
    <s v="CCMS"/>
    <n v="21320630"/>
    <n v="1588.03"/>
    <m/>
    <s v="N"/>
    <n v="1"/>
    <d v="2023-07-03T19:04:55"/>
    <s v="N"/>
    <s v="Profit Cost"/>
    <s v="Profit Cost"/>
    <s v="Profit Cost"/>
    <s v="Michael Boland"/>
    <s v="N"/>
    <n v="1323.36"/>
    <n v="264.67"/>
    <x v="3"/>
    <s v="VALIDATED"/>
    <n v="1"/>
    <s v="01.11.80.305.2012.0000"/>
    <n v="1323.36"/>
    <s v="11"/>
    <s v="2012"/>
    <n v="-26602.14"/>
    <n v="1323.36"/>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1"/>
    <d v="2023-07-11T11:51:09"/>
    <s v="Y"/>
    <s v="Attendance upon/with Counsel at Con"/>
    <s v="Prescribed Hourly Rates"/>
    <s v="Profit Cost"/>
    <s v="Susie Packer"/>
    <s v="Y"/>
    <n v="6.48"/>
    <n v="1.3"/>
    <x v="7"/>
    <s v="VALIDATED"/>
    <n v="1"/>
    <s v="01.11.80.307.6100.0000"/>
    <n v="6.48"/>
    <s v="11"/>
    <s v="6100"/>
    <n v="-26602.14"/>
    <n v="6.48"/>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1"/>
    <d v="2023-07-11T11:51:09"/>
    <s v="Y"/>
    <s v="Preparation - drafting statement"/>
    <s v="Prescribed Hourly Rates"/>
    <s v="Profit Cost"/>
    <s v="Hayley Catherall"/>
    <s v="Y"/>
    <n v="63.14"/>
    <n v="12.63"/>
    <x v="7"/>
    <s v="VALIDATED"/>
    <n v="1"/>
    <s v="01.11.80.307.6100.0000"/>
    <n v="63.14"/>
    <s v="11"/>
    <s v="6100"/>
    <n v="-26602.14"/>
    <n v="63.14"/>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24"/>
    <d v="2023-07-05T19:02:04"/>
    <s v="Y"/>
    <s v="Attendance upon client"/>
    <s v="Prescribed Hourly Rates"/>
    <s v="Profit Cost"/>
    <s v="Stephanie Stubbs"/>
    <s v="Y"/>
    <n v="82.34999999999999"/>
    <n v="16.47"/>
    <x v="6"/>
    <s v="VALIDATED"/>
    <n v="1"/>
    <s v="01.11.80.302.6100.0000"/>
    <n v="82.34999999999999"/>
    <s v="11"/>
    <s v="6100"/>
    <n v="-26602.14"/>
    <n v="82.34999999999999"/>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11"/>
    <d v="2023-07-05T19:02:17"/>
    <s v="Y"/>
    <s v="Advocates Meeting (Events Model)"/>
    <s v="VHCC"/>
    <s v="Profit Cost"/>
    <s v="Mary Holmes"/>
    <s v="Y"/>
    <n v="6192"/>
    <n v="1238.4"/>
    <x v="6"/>
    <s v="VALIDATED"/>
    <n v="1"/>
    <s v="01.11.80.308.6100.0000"/>
    <n v="6192"/>
    <s v="11"/>
    <s v="6100"/>
    <n v="-26602.14"/>
    <n v="6192"/>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2"/>
    <d v="2023-07-05T19:02:04"/>
    <s v="Y"/>
    <s v="Preparation - other"/>
    <s v="Prescribed Hourly Rates"/>
    <s v="Profit Cost"/>
    <s v="Stephanie Stubbs"/>
    <s v="Y"/>
    <n v="5.49"/>
    <n v="1.1"/>
    <x v="6"/>
    <s v="VALIDATED"/>
    <n v="1"/>
    <s v="01.11.80.302.6100.0000"/>
    <n v="5.49"/>
    <s v="11"/>
    <s v="6100"/>
    <n v="-26602.14"/>
    <n v="5.49"/>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0"/>
    <d v="2023-07-05T19:02:04"/>
    <s v="Y"/>
    <s v="Routine Letter In"/>
    <s v="Prescribed Hourly Rates"/>
    <s v="Profit Cost"/>
    <s v="Stephanie Stubbs"/>
    <s v="Y"/>
    <n v="229.5"/>
    <n v="45.9"/>
    <x v="6"/>
    <s v="VALIDATED"/>
    <n v="1"/>
    <s v="01.11.80.302.6100.0000"/>
    <n v="229.5"/>
    <s v="11"/>
    <s v="6100"/>
    <n v="-26602.14"/>
    <n v="229.5"/>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6"/>
    <d v="2023-07-11T11:51:09"/>
    <s v="Y"/>
    <s v="Preparation - other"/>
    <s v="Prescribed Hourly Rates"/>
    <s v="Profit Cost"/>
    <s v="Hayley Catherall"/>
    <s v="Y"/>
    <n v="6.31"/>
    <n v="1.26"/>
    <x v="7"/>
    <s v="VALIDATED"/>
    <n v="1"/>
    <s v="01.11.80.307.6100.0000"/>
    <n v="6.31"/>
    <s v="11"/>
    <s v="6100"/>
    <n v="-26602.14"/>
    <n v="6.31"/>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0"/>
    <d v="2023-07-11T11:51:09"/>
    <s v="Y"/>
    <s v="Preparation - other"/>
    <s v="Prescribed Hourly Rates"/>
    <s v="Profit Cost"/>
    <s v="Hayley Catherall"/>
    <s v="Y"/>
    <n v="31.57"/>
    <n v="6.31"/>
    <x v="7"/>
    <s v="VALIDATED"/>
    <n v="1"/>
    <s v="01.11.80.307.6100.0000"/>
    <n v="31.57"/>
    <s v="11"/>
    <s v="6100"/>
    <n v="-26602.14"/>
    <n v="31.57"/>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51"/>
    <d v="2023-07-11T11:51:09"/>
    <s v="Y"/>
    <s v="Routine Letter Out"/>
    <s v="Prescribed Hourly Rates"/>
    <s v="Profit Cost"/>
    <s v="Susie Packer"/>
    <s v="Y"/>
    <n v="178.2"/>
    <n v="35.64"/>
    <x v="7"/>
    <s v="VALIDATED"/>
    <n v="1"/>
    <s v="01.11.80.307.6100.0000"/>
    <n v="178.2"/>
    <s v="11"/>
    <s v="6100"/>
    <n v="-26602.14"/>
    <n v="178.2"/>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24"/>
    <d v="2023-07-11T11:51:09"/>
    <s v="Y"/>
    <s v="Preparation - other"/>
    <s v="Prescribed Hourly Rates"/>
    <s v="Profit Cost"/>
    <s v="Hayley Catherall"/>
    <s v="Y"/>
    <n v="31.57"/>
    <n v="6.31"/>
    <x v="7"/>
    <s v="VALIDATED"/>
    <n v="1"/>
    <s v="01.11.80.307.6100.0000"/>
    <n v="31.57"/>
    <s v="11"/>
    <s v="6100"/>
    <n v="-26602.14"/>
    <n v="31.57"/>
    <s v="DEBTOR"/>
    <n v="0"/>
    <n v="0"/>
    <n v="0"/>
    <n v="0"/>
    <n v="0"/>
  </r>
  <r>
    <n v="27782543"/>
    <s v="N"/>
    <n v="21331394"/>
    <s v="3000009165120035"/>
    <s v="CIVIL"/>
    <d v="2023-06-28T00:00:00"/>
    <d v="2023-07-05T19:01:47"/>
    <m/>
    <d v="2023-07-05T00:00:00"/>
    <n v="1722"/>
    <n v="16529"/>
    <s v="27782543"/>
    <s v="27782543"/>
    <m/>
    <m/>
    <n v="22781700"/>
    <m/>
    <m/>
    <m/>
    <s v="SOLFIN"/>
    <s v="SOLFIN"/>
    <s v="CCMS"/>
    <n v="21331394"/>
    <n v="26523.26"/>
    <m/>
    <s v="N"/>
    <n v="20"/>
    <d v="2023-07-05T19:02:17"/>
    <s v="Y"/>
    <s v="Issues Resolution Hearing (Events M"/>
    <s v="VHCC"/>
    <s v="Profit Cost"/>
    <s v="Mary Holmes"/>
    <s v="Y"/>
    <n v="774"/>
    <n v="154.8"/>
    <x v="6"/>
    <s v="VALIDATED"/>
    <n v="1"/>
    <s v="01.11.80.308.6100.0000"/>
    <n v="774"/>
    <s v="11"/>
    <s v="6100"/>
    <n v="-26602.14"/>
    <n v="774"/>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0"/>
    <d v="2023-07-05T19:02:04"/>
    <s v="Y"/>
    <s v="Preparation - Periodic file review"/>
    <s v="Prescribed Hourly Rates"/>
    <s v="Profit Cost"/>
    <s v="Stephanie Stubbs"/>
    <s v="Y"/>
    <n v="5.49"/>
    <n v="1.1"/>
    <x v="6"/>
    <s v="VALIDATED"/>
    <n v="1"/>
    <s v="01.11.80.302.6100.0000"/>
    <n v="5.49"/>
    <s v="11"/>
    <s v="6100"/>
    <n v="-26602.14"/>
    <n v="5.49"/>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5"/>
    <d v="2023-07-11T11:51:09"/>
    <s v="Y"/>
    <s v="Preparation - other"/>
    <s v="Prescribed Hourly Rates"/>
    <s v="Profit Cost"/>
    <s v="Hayley Catherall"/>
    <s v="Y"/>
    <n v="6.31"/>
    <n v="1.26"/>
    <x v="7"/>
    <s v="VALIDATED"/>
    <n v="1"/>
    <s v="01.11.80.307.6100.0000"/>
    <n v="6.31"/>
    <s v="11"/>
    <s v="6100"/>
    <n v="-26602.14"/>
    <n v="6.31"/>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56"/>
    <d v="2023-07-05T19:02:04"/>
    <s v="Y"/>
    <s v="Process server"/>
    <s v="Domestic Abuse"/>
    <s v="Expert Disbursement"/>
    <s v="Nicola Harris"/>
    <s v="Y"/>
    <n v="90"/>
    <n v="18"/>
    <x v="6"/>
    <s v="VALIDATED"/>
    <n v="1"/>
    <s v="01.11.80.302.6300.0000"/>
    <n v="90"/>
    <s v="11"/>
    <s v="6300"/>
    <n v="-26602.14"/>
    <n v="90"/>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
    <d v="2023-07-11T11:51:09"/>
    <s v="N"/>
    <s v="Advocacy - In court behind counsel"/>
    <s v="Prescribed Hourly Rates"/>
    <s v="Advocacy"/>
    <s v="Susie Packer"/>
    <s v="N"/>
    <n v="0"/>
    <n v="0"/>
    <x v="7"/>
    <s v="VALIDATED"/>
    <n v="1"/>
    <s v="01.11.80.307.6100.0000"/>
    <n v="0"/>
    <s v="11"/>
    <s v="6100"/>
    <n v="-26602.14"/>
    <n v="0"/>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12"/>
    <d v="2023-07-11T11:51:09"/>
    <s v="N"/>
    <s v="Advocacy - In court behind counsel"/>
    <s v="Prescribed Hourly Rates"/>
    <s v="Advocacy"/>
    <s v="Susie Packer"/>
    <s v="N"/>
    <n v="0"/>
    <n v="0"/>
    <x v="7"/>
    <s v="VALIDATED"/>
    <n v="1"/>
    <s v="01.11.80.307.6100.0000"/>
    <n v="0"/>
    <s v="11"/>
    <s v="6100"/>
    <n v="-26602.14"/>
    <n v="0"/>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34"/>
    <d v="2023-07-11T11:51:09"/>
    <s v="Y"/>
    <s v="Preparation - drafting instructions"/>
    <s v="Prescribed Hourly Rates"/>
    <s v="Profit Cost"/>
    <s v="Hayley Catherall"/>
    <s v="Y"/>
    <n v="31.57"/>
    <n v="6.31"/>
    <x v="7"/>
    <s v="VALIDATED"/>
    <n v="1"/>
    <s v="01.11.80.307.6100.0000"/>
    <n v="31.57"/>
    <s v="11"/>
    <s v="6100"/>
    <n v="-26602.14"/>
    <n v="31.57"/>
    <s v="DEBTOR"/>
    <n v="0"/>
    <n v="0"/>
    <n v="0"/>
    <n v="0"/>
    <n v="0"/>
  </r>
  <r>
    <n v="19450663"/>
    <s v="N"/>
    <n v="21360543"/>
    <s v="3000008261710010"/>
    <s v="CIVIL"/>
    <d v="2023-06-28T00:00:00"/>
    <d v="2023-07-11T11:50:54"/>
    <m/>
    <d v="2023-07-11T00:00:00"/>
    <n v="1722"/>
    <n v="16529"/>
    <s v="19450663"/>
    <s v="19450663"/>
    <m/>
    <m/>
    <n v="22780072"/>
    <m/>
    <m/>
    <m/>
    <s v="SOLINT"/>
    <s v="SOLINT"/>
    <s v="CCMS"/>
    <n v="21360543"/>
    <n v="2375.08"/>
    <m/>
    <s v="N"/>
    <n v="44"/>
    <d v="2023-07-11T11:51:09"/>
    <s v="N"/>
    <s v="Advocacy - In court behind counsel"/>
    <s v="Prescribed Hourly Rates"/>
    <s v="Advocacy"/>
    <s v="Susie Packer"/>
    <s v="N"/>
    <n v="0"/>
    <n v="0"/>
    <x v="7"/>
    <s v="VALIDATED"/>
    <n v="1"/>
    <s v="01.11.80.307.6100.0000"/>
    <n v="0"/>
    <s v="11"/>
    <s v="6100"/>
    <n v="-26602.14"/>
    <n v="0"/>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12"/>
    <d v="2023-07-05T19:02:04"/>
    <s v="Y"/>
    <s v="Preparation - other"/>
    <s v="Prescribed Hourly Rates"/>
    <s v="Profit Cost"/>
    <s v="Stephanie Stubbs"/>
    <s v="Y"/>
    <n v="208.62"/>
    <n v="41.73"/>
    <x v="6"/>
    <s v="VALIDATED"/>
    <n v="1"/>
    <s v="01.11.80.302.6100.0000"/>
    <n v="208.62"/>
    <s v="11"/>
    <s v="6100"/>
    <n v="-26602.14"/>
    <n v="208.62"/>
    <s v="DEBTOR"/>
    <n v="0"/>
    <n v="0"/>
    <n v="0"/>
    <n v="0"/>
    <n v="0"/>
  </r>
  <r>
    <n v="43878369"/>
    <s v="N"/>
    <n v="21331068"/>
    <s v="3000011602320008"/>
    <s v="CIVIL"/>
    <d v="2023-06-27T00:00:00"/>
    <d v="2023-07-05T19:01:47"/>
    <m/>
    <d v="2023-07-05T00:00:00"/>
    <n v="1722"/>
    <n v="16529"/>
    <s v="43878369"/>
    <s v="43878369"/>
    <m/>
    <m/>
    <n v="22773190"/>
    <m/>
    <m/>
    <m/>
    <s v="SOLFIN"/>
    <s v="SOLFIN"/>
    <s v="CCMS"/>
    <n v="21331068"/>
    <n v="3070.46"/>
    <m/>
    <s v="N"/>
    <n v="31"/>
    <d v="2023-07-05T19:02:04"/>
    <s v="Y"/>
    <s v="Routine Letter In"/>
    <s v="Prescribed Hourly Rates"/>
    <s v="Profit Cost"/>
    <s v="Nicola Harris"/>
    <s v="Y"/>
    <n v="15.53"/>
    <n v="3.11"/>
    <x v="6"/>
    <s v="VALIDATED"/>
    <n v="1"/>
    <s v="01.11.80.302.6100.0000"/>
    <n v="15.53"/>
    <s v="11"/>
    <s v="6100"/>
    <n v="-26602.14"/>
    <n v="15.53"/>
    <s v="DEBTOR"/>
    <n v="0"/>
    <n v="0"/>
    <n v="0"/>
    <n v="0"/>
    <n v="0"/>
  </r>
  <r>
    <n v="61670453"/>
    <s v="N"/>
    <n v="21361638"/>
    <s v="3000015767050006RC"/>
    <s v="CIVIL"/>
    <d v="2023-06-30T00:00:00"/>
    <d v="2023-07-11T19:38:00"/>
    <m/>
    <d v="2023-07-11T00:00:00"/>
    <n v="1749"/>
    <n v="19529"/>
    <s v="61670453"/>
    <s v="61670453"/>
    <m/>
    <m/>
    <m/>
    <m/>
    <m/>
    <m/>
    <s v="SOLRECOUP"/>
    <s v="SOLRECOUP"/>
    <s v="POARECOUP"/>
    <n v="21361638"/>
    <n v="-112"/>
    <m/>
    <s v="Y"/>
    <n v="2"/>
    <d v="2023-07-11T19:38:02"/>
    <s v="N"/>
    <m/>
    <m/>
    <s v="Expert Disbursement"/>
    <m/>
    <s v="N"/>
    <n v="0"/>
    <n v="-18.67"/>
    <x v="7"/>
    <s v="VALIDATED"/>
    <n v="1"/>
    <s v="01.11.80.308.2013.0000"/>
    <n v="-18.67"/>
    <s v="11"/>
    <s v="2013"/>
    <n v="41014.84"/>
    <n v="-18.67"/>
    <s v="CREDITOR"/>
    <n v="0"/>
    <n v="0"/>
    <n v="-18.67"/>
    <n v="0"/>
    <n v="0"/>
  </r>
  <r>
    <n v="61670453"/>
    <s v="N"/>
    <n v="21361640"/>
    <s v="3000015767050005RC"/>
    <s v="CIVIL"/>
    <d v="2023-06-30T00:00:00"/>
    <d v="2023-07-11T19:38:00"/>
    <m/>
    <d v="2023-07-11T00:00:00"/>
    <n v="1749"/>
    <n v="19529"/>
    <s v="61670453"/>
    <s v="61670453"/>
    <m/>
    <m/>
    <m/>
    <m/>
    <m/>
    <m/>
    <s v="SOLRECOUP"/>
    <s v="SOLRECOUP"/>
    <s v="POARECOUP"/>
    <n v="21361640"/>
    <n v="-1834.56"/>
    <m/>
    <s v="Y"/>
    <n v="1"/>
    <d v="2023-07-11T19:38:02"/>
    <s v="N"/>
    <m/>
    <m/>
    <s v="Profit Cost"/>
    <m/>
    <s v="N"/>
    <n v="-1528.8"/>
    <n v="0"/>
    <x v="7"/>
    <s v="VALIDATED"/>
    <n v="1"/>
    <s v="01.11.80.308.2013.0000"/>
    <n v="-1528.8"/>
    <s v="11"/>
    <s v="2013"/>
    <n v="41014.84"/>
    <n v="-1528.8"/>
    <s v="CREDITOR"/>
    <n v="0"/>
    <n v="0"/>
    <n v="-1528.8"/>
    <n v="-382.2"/>
    <n v="0"/>
  </r>
  <r>
    <n v="61670453"/>
    <s v="N"/>
    <n v="21361640"/>
    <s v="3000015767050005RC"/>
    <s v="CIVIL"/>
    <d v="2023-06-30T00:00:00"/>
    <d v="2023-07-11T19:38:00"/>
    <m/>
    <d v="2023-07-11T00:00:00"/>
    <n v="1749"/>
    <n v="19529"/>
    <s v="61670453"/>
    <s v="61670453"/>
    <m/>
    <m/>
    <m/>
    <m/>
    <m/>
    <m/>
    <s v="SOLRECOUP"/>
    <s v="SOLRECOUP"/>
    <s v="POARECOUP"/>
    <n v="21361640"/>
    <n v="-1834.56"/>
    <m/>
    <s v="Y"/>
    <n v="2"/>
    <d v="2023-07-11T19:38:02"/>
    <s v="N"/>
    <m/>
    <m/>
    <s v="Profit Cost"/>
    <m/>
    <s v="N"/>
    <n v="0"/>
    <n v="-305.76"/>
    <x v="7"/>
    <s v="VALIDATED"/>
    <n v="1"/>
    <s v="01.11.80.308.2013.0000"/>
    <n v="-305.76"/>
    <s v="11"/>
    <s v="2013"/>
    <n v="41014.84"/>
    <n v="-305.76"/>
    <s v="CREDITOR"/>
    <n v="0"/>
    <n v="0"/>
    <n v="-305.76"/>
    <n v="-76.44"/>
    <n v="0"/>
  </r>
  <r>
    <n v="60309343"/>
    <s v="N"/>
    <n v="21324542"/>
    <s v="3000014610440010RC"/>
    <s v="CIVIL"/>
    <d v="2023-06-26T00:00:00"/>
    <d v="2023-07-03T19:42:50"/>
    <m/>
    <d v="2023-07-03T00:00:00"/>
    <n v="1749"/>
    <n v="19529"/>
    <s v="60309343"/>
    <s v="60309343"/>
    <m/>
    <m/>
    <m/>
    <m/>
    <m/>
    <m/>
    <s v="SOLRECOUP"/>
    <s v="SOLRECOUP"/>
    <s v="POARECOUP"/>
    <n v="21324542"/>
    <n v="-167"/>
    <m/>
    <s v="Y"/>
    <n v="1"/>
    <d v="2023-07-03T19:42:52"/>
    <s v="N"/>
    <m/>
    <m/>
    <s v="Non Expert Disbursement"/>
    <m/>
    <s v="N"/>
    <n v="-167"/>
    <n v="0"/>
    <x v="3"/>
    <s v="VALIDATED"/>
    <n v="1"/>
    <s v="01.11.80.308.2013.0000"/>
    <n v="-167"/>
    <s v="11"/>
    <s v="2013"/>
    <n v="41014.84"/>
    <n v="-167"/>
    <s v="CREDITOR"/>
    <n v="0"/>
    <n v="0"/>
    <n v="-167"/>
    <n v="0"/>
    <n v="0"/>
  </r>
  <r>
    <n v="60994134"/>
    <s v="N"/>
    <n v="21334029"/>
    <s v="3000015197670001RC"/>
    <s v="CIVIL"/>
    <d v="2023-06-27T00:00:00"/>
    <d v="2023-07-05T19:42:28"/>
    <m/>
    <d v="2023-07-05T00:00:00"/>
    <n v="1749"/>
    <n v="19529"/>
    <s v="60994134"/>
    <s v="60994134"/>
    <m/>
    <m/>
    <m/>
    <m/>
    <m/>
    <m/>
    <s v="SOLRECOUP"/>
    <s v="SOLRECOUP"/>
    <s v="POARECOUP"/>
    <n v="21334029"/>
    <n v="-141.91"/>
    <m/>
    <s v="Y"/>
    <n v="1"/>
    <d v="2023-07-05T19:42:29"/>
    <s v="N"/>
    <m/>
    <m/>
    <s v="Expert Disbursement"/>
    <m/>
    <s v="N"/>
    <n v="-118.26"/>
    <n v="0"/>
    <x v="6"/>
    <s v="VALIDATED"/>
    <n v="1"/>
    <s v="01.11.80.308.2013.0000"/>
    <n v="-118.26"/>
    <s v="11"/>
    <s v="2013"/>
    <n v="41014.84"/>
    <n v="-118.26"/>
    <s v="CREDITOR"/>
    <n v="0"/>
    <n v="0"/>
    <n v="-118.26"/>
    <n v="0"/>
    <n v="0"/>
  </r>
  <r>
    <n v="60994134"/>
    <s v="N"/>
    <n v="21334029"/>
    <s v="3000015197670001RC"/>
    <s v="CIVIL"/>
    <d v="2023-06-27T00:00:00"/>
    <d v="2023-07-05T19:42:28"/>
    <m/>
    <d v="2023-07-05T00:00:00"/>
    <n v="1749"/>
    <n v="19529"/>
    <s v="60994134"/>
    <s v="60994134"/>
    <m/>
    <m/>
    <m/>
    <m/>
    <m/>
    <m/>
    <s v="SOLRECOUP"/>
    <s v="SOLRECOUP"/>
    <s v="POARECOUP"/>
    <n v="21334029"/>
    <n v="-141.91"/>
    <m/>
    <s v="Y"/>
    <n v="2"/>
    <d v="2023-07-05T19:42:29"/>
    <s v="N"/>
    <m/>
    <m/>
    <s v="Expert Disbursement"/>
    <m/>
    <s v="N"/>
    <n v="0"/>
    <n v="-23.65"/>
    <x v="6"/>
    <s v="VALIDATED"/>
    <n v="1"/>
    <s v="01.11.80.308.2013.0000"/>
    <n v="-23.65"/>
    <s v="11"/>
    <s v="2013"/>
    <n v="41014.84"/>
    <n v="-23.65"/>
    <s v="CREDITOR"/>
    <n v="0"/>
    <n v="0"/>
    <n v="-23.65"/>
    <n v="0"/>
    <n v="0"/>
  </r>
  <r>
    <n v="60994134"/>
    <s v="N"/>
    <n v="21334030"/>
    <s v="3000015197670005RC"/>
    <s v="CIVIL"/>
    <d v="2023-06-27T00:00:00"/>
    <d v="2023-07-05T19:42:28"/>
    <m/>
    <d v="2023-07-05T00:00:00"/>
    <n v="1749"/>
    <n v="19529"/>
    <s v="60994134"/>
    <s v="60994134"/>
    <m/>
    <m/>
    <m/>
    <m/>
    <m/>
    <m/>
    <s v="SOLRECOUP"/>
    <s v="SOLRECOUP"/>
    <s v="POARECOUP"/>
    <n v="21334030"/>
    <n v="-232.5"/>
    <m/>
    <s v="Y"/>
    <n v="1"/>
    <d v="2023-07-05T19:42:29"/>
    <s v="N"/>
    <m/>
    <m/>
    <s v="Expert Disbursement"/>
    <m/>
    <s v="N"/>
    <n v="-193.75"/>
    <n v="0"/>
    <x v="6"/>
    <s v="VALIDATED"/>
    <n v="1"/>
    <s v="01.11.80.308.2013.0000"/>
    <n v="-193.75"/>
    <s v="11"/>
    <s v="2013"/>
    <n v="41014.84"/>
    <n v="-193.75"/>
    <s v="CREDITOR"/>
    <n v="0"/>
    <n v="0"/>
    <n v="-193.75"/>
    <n v="0"/>
    <n v="0"/>
  </r>
  <r>
    <n v="60994134"/>
    <s v="N"/>
    <n v="21334030"/>
    <s v="3000015197670005RC"/>
    <s v="CIVIL"/>
    <d v="2023-06-27T00:00:00"/>
    <d v="2023-07-05T19:42:28"/>
    <m/>
    <d v="2023-07-05T00:00:00"/>
    <n v="1749"/>
    <n v="19529"/>
    <s v="60994134"/>
    <s v="60994134"/>
    <m/>
    <m/>
    <m/>
    <m/>
    <m/>
    <m/>
    <s v="SOLRECOUP"/>
    <s v="SOLRECOUP"/>
    <s v="POARECOUP"/>
    <n v="21334030"/>
    <n v="-232.5"/>
    <m/>
    <s v="Y"/>
    <n v="2"/>
    <d v="2023-07-05T19:42:29"/>
    <s v="N"/>
    <m/>
    <m/>
    <s v="Expert Disbursement"/>
    <m/>
    <s v="N"/>
    <n v="0"/>
    <n v="-38.75"/>
    <x v="6"/>
    <s v="VALIDATED"/>
    <n v="1"/>
    <s v="01.11.80.308.2013.0000"/>
    <n v="-38.75"/>
    <s v="11"/>
    <s v="2013"/>
    <n v="41014.84"/>
    <n v="-38.75"/>
    <s v="CREDITOR"/>
    <n v="0"/>
    <n v="0"/>
    <n v="-38.75"/>
    <n v="0"/>
    <n v="0"/>
  </r>
  <r>
    <n v="60994134"/>
    <s v="N"/>
    <n v="21334026"/>
    <s v="3000015197670004RC"/>
    <s v="CIVIL"/>
    <d v="2023-06-27T00:00:00"/>
    <d v="2023-07-05T19:42:28"/>
    <m/>
    <d v="2023-07-05T00:00:00"/>
    <n v="1749"/>
    <n v="19529"/>
    <s v="60994134"/>
    <s v="60994134"/>
    <m/>
    <m/>
    <m/>
    <m/>
    <m/>
    <m/>
    <s v="SOLRECOUP"/>
    <s v="SOLRECOUP"/>
    <s v="POARECOUP"/>
    <n v="21334026"/>
    <n v="-827.05"/>
    <m/>
    <s v="Y"/>
    <n v="2"/>
    <d v="2023-07-05T19:42:29"/>
    <s v="N"/>
    <m/>
    <m/>
    <s v="Profit Cost"/>
    <m/>
    <s v="N"/>
    <n v="0"/>
    <n v="-137.84"/>
    <x v="6"/>
    <s v="VALIDATED"/>
    <n v="1"/>
    <s v="01.11.80.308.2013.0000"/>
    <n v="-137.84"/>
    <s v="11"/>
    <s v="2013"/>
    <n v="41014.84"/>
    <n v="-137.84"/>
    <s v="CREDITOR"/>
    <n v="0"/>
    <n v="0"/>
    <n v="-137.84"/>
    <n v="-34.46"/>
    <n v="0"/>
  </r>
  <r>
    <n v="60994134"/>
    <s v="N"/>
    <n v="21334026"/>
    <s v="3000015197670004RC"/>
    <s v="CIVIL"/>
    <d v="2023-06-27T00:00:00"/>
    <d v="2023-07-05T19:42:28"/>
    <m/>
    <d v="2023-07-05T00:00:00"/>
    <n v="1749"/>
    <n v="19529"/>
    <s v="60994134"/>
    <s v="60994134"/>
    <m/>
    <m/>
    <m/>
    <m/>
    <m/>
    <m/>
    <s v="SOLRECOUP"/>
    <s v="SOLRECOUP"/>
    <s v="POARECOUP"/>
    <n v="21334026"/>
    <n v="-827.05"/>
    <m/>
    <s v="Y"/>
    <n v="1"/>
    <d v="2023-07-05T19:42:29"/>
    <s v="N"/>
    <m/>
    <m/>
    <s v="Profit Cost"/>
    <m/>
    <s v="N"/>
    <n v="-689.21"/>
    <n v="0"/>
    <x v="6"/>
    <s v="VALIDATED"/>
    <n v="1"/>
    <s v="01.11.80.308.2013.0000"/>
    <n v="-689.21"/>
    <s v="11"/>
    <s v="2013"/>
    <n v="41014.84"/>
    <n v="-689.21"/>
    <s v="CREDITOR"/>
    <n v="0"/>
    <n v="0"/>
    <n v="-689.21"/>
    <n v="-172.3025"/>
    <n v="0"/>
  </r>
  <r>
    <n v="60994134"/>
    <s v="N"/>
    <n v="21334027"/>
    <s v="3000015197670002RC"/>
    <s v="CIVIL"/>
    <d v="2023-06-27T00:00:00"/>
    <d v="2023-07-05T19:42:28"/>
    <m/>
    <d v="2023-07-05T00:00:00"/>
    <n v="1749"/>
    <n v="19529"/>
    <s v="60994134"/>
    <s v="60994134"/>
    <m/>
    <m/>
    <m/>
    <m/>
    <m/>
    <m/>
    <s v="SOLRECOUP"/>
    <s v="SOLRECOUP"/>
    <s v="POARECOUP"/>
    <n v="21334027"/>
    <n v="-166.34"/>
    <m/>
    <s v="Y"/>
    <n v="1"/>
    <d v="2023-07-05T19:42:29"/>
    <s v="N"/>
    <m/>
    <m/>
    <s v="Expert Disbursement"/>
    <m/>
    <s v="N"/>
    <n v="-138.62"/>
    <n v="0"/>
    <x v="6"/>
    <s v="VALIDATED"/>
    <n v="1"/>
    <s v="01.11.80.308.2013.0000"/>
    <n v="-138.62"/>
    <s v="11"/>
    <s v="2013"/>
    <n v="41014.84"/>
    <n v="-138.62"/>
    <s v="CREDITOR"/>
    <n v="0"/>
    <n v="0"/>
    <n v="-138.62"/>
    <n v="0"/>
    <n v="0"/>
  </r>
  <r>
    <n v="60994134"/>
    <s v="N"/>
    <n v="21334027"/>
    <s v="3000015197670002RC"/>
    <s v="CIVIL"/>
    <d v="2023-06-27T00:00:00"/>
    <d v="2023-07-05T19:42:28"/>
    <m/>
    <d v="2023-07-05T00:00:00"/>
    <n v="1749"/>
    <n v="19529"/>
    <s v="60994134"/>
    <s v="60994134"/>
    <m/>
    <m/>
    <m/>
    <m/>
    <m/>
    <m/>
    <s v="SOLRECOUP"/>
    <s v="SOLRECOUP"/>
    <s v="POARECOUP"/>
    <n v="21334027"/>
    <n v="-166.34"/>
    <m/>
    <s v="Y"/>
    <n v="2"/>
    <d v="2023-07-05T19:42:29"/>
    <s v="N"/>
    <m/>
    <m/>
    <s v="Expert Disbursement"/>
    <m/>
    <s v="N"/>
    <n v="0"/>
    <n v="-27.72"/>
    <x v="6"/>
    <s v="VALIDATED"/>
    <n v="1"/>
    <s v="01.11.80.308.2013.0000"/>
    <n v="-27.72"/>
    <s v="11"/>
    <s v="2013"/>
    <n v="41014.84"/>
    <n v="-27.72"/>
    <s v="CREDITOR"/>
    <n v="0"/>
    <n v="0"/>
    <n v="-27.72"/>
    <n v="0"/>
    <n v="0"/>
  </r>
  <r>
    <n v="60994134"/>
    <s v="N"/>
    <n v="21334028"/>
    <s v="3000015197670003RC"/>
    <s v="CIVIL"/>
    <d v="2023-06-27T00:00:00"/>
    <d v="2023-07-05T19:42:28"/>
    <m/>
    <d v="2023-07-05T00:00:00"/>
    <n v="1749"/>
    <n v="19529"/>
    <s v="60994134"/>
    <s v="60994134"/>
    <m/>
    <m/>
    <m/>
    <m/>
    <m/>
    <m/>
    <s v="SOLRECOUP"/>
    <s v="SOLRECOUP"/>
    <s v="POARECOUP"/>
    <n v="21334028"/>
    <n v="-1342.72"/>
    <m/>
    <s v="Y"/>
    <n v="1"/>
    <d v="2023-07-05T19:42:29"/>
    <s v="N"/>
    <m/>
    <m/>
    <s v="Profit Cost"/>
    <m/>
    <s v="N"/>
    <n v="-1118.93"/>
    <n v="0"/>
    <x v="6"/>
    <s v="VALIDATED"/>
    <n v="1"/>
    <s v="01.11.80.308.2013.0000"/>
    <n v="-1118.93"/>
    <s v="11"/>
    <s v="2013"/>
    <n v="41014.84"/>
    <n v="-1118.93"/>
    <s v="CREDITOR"/>
    <n v="0"/>
    <n v="0"/>
    <n v="-1118.93"/>
    <n v="-279.7325"/>
    <n v="0"/>
  </r>
  <r>
    <n v="60994134"/>
    <s v="N"/>
    <n v="21334028"/>
    <s v="3000015197670003RC"/>
    <s v="CIVIL"/>
    <d v="2023-06-27T00:00:00"/>
    <d v="2023-07-05T19:42:28"/>
    <m/>
    <d v="2023-07-05T00:00:00"/>
    <n v="1749"/>
    <n v="19529"/>
    <s v="60994134"/>
    <s v="60994134"/>
    <m/>
    <m/>
    <m/>
    <m/>
    <m/>
    <m/>
    <s v="SOLRECOUP"/>
    <s v="SOLRECOUP"/>
    <s v="POARECOUP"/>
    <n v="21334028"/>
    <n v="-1342.72"/>
    <m/>
    <s v="Y"/>
    <n v="2"/>
    <d v="2023-07-05T19:42:29"/>
    <s v="N"/>
    <m/>
    <m/>
    <s v="Profit Cost"/>
    <m/>
    <s v="N"/>
    <n v="0"/>
    <n v="-223.79"/>
    <x v="6"/>
    <s v="VALIDATED"/>
    <n v="1"/>
    <s v="01.11.80.308.2013.0000"/>
    <n v="-223.79"/>
    <s v="11"/>
    <s v="2013"/>
    <n v="41014.84"/>
    <n v="-223.79"/>
    <s v="CREDITOR"/>
    <n v="0"/>
    <n v="0"/>
    <n v="-223.79"/>
    <n v="-55.9475"/>
    <n v="0"/>
  </r>
  <r>
    <n v="60696754"/>
    <s v="N"/>
    <n v="21340098"/>
    <s v="3000014940080004RC"/>
    <s v="CIVIL"/>
    <d v="2023-06-26T00:00:00"/>
    <d v="2023-07-06T19:54:22"/>
    <m/>
    <d v="2023-07-06T00:00:00"/>
    <n v="1749"/>
    <n v="19529"/>
    <s v="60696754"/>
    <s v="60696754"/>
    <m/>
    <m/>
    <m/>
    <m/>
    <m/>
    <m/>
    <s v="SOLRECOUP"/>
    <s v="SOLRECOUP"/>
    <s v="POARECOUP"/>
    <n v="21340098"/>
    <n v="-4486.3"/>
    <m/>
    <s v="Y"/>
    <n v="1"/>
    <d v="2023-07-06T19:54:23"/>
    <s v="N"/>
    <m/>
    <m/>
    <s v="Profit Cost"/>
    <m/>
    <s v="N"/>
    <n v="-3738.58"/>
    <n v="0"/>
    <x v="4"/>
    <s v="VALIDATED"/>
    <n v="1"/>
    <s v="01.11.80.308.2013.0000"/>
    <n v="-3738.58"/>
    <s v="11"/>
    <s v="2013"/>
    <n v="41014.84"/>
    <n v="-3738.58"/>
    <s v="CREDITOR"/>
    <n v="0"/>
    <n v="0"/>
    <n v="-3738.58"/>
    <n v="-934.645"/>
    <n v="0"/>
  </r>
  <r>
    <n v="60696754"/>
    <s v="N"/>
    <n v="21340098"/>
    <s v="3000014940080004RC"/>
    <s v="CIVIL"/>
    <d v="2023-06-26T00:00:00"/>
    <d v="2023-07-06T19:54:22"/>
    <m/>
    <d v="2023-07-06T00:00:00"/>
    <n v="1749"/>
    <n v="19529"/>
    <s v="60696754"/>
    <s v="60696754"/>
    <m/>
    <m/>
    <m/>
    <m/>
    <m/>
    <m/>
    <s v="SOLRECOUP"/>
    <s v="SOLRECOUP"/>
    <s v="POARECOUP"/>
    <n v="21340098"/>
    <n v="-4486.3"/>
    <m/>
    <s v="Y"/>
    <n v="2"/>
    <d v="2023-07-06T19:54:23"/>
    <s v="N"/>
    <m/>
    <m/>
    <s v="Profit Cost"/>
    <m/>
    <s v="N"/>
    <n v="0"/>
    <n v="-747.72"/>
    <x v="4"/>
    <s v="VALIDATED"/>
    <n v="1"/>
    <s v="01.11.80.308.2013.0000"/>
    <n v="-747.72"/>
    <s v="11"/>
    <s v="2013"/>
    <n v="41014.84"/>
    <n v="-747.72"/>
    <s v="CREDITOR"/>
    <n v="0"/>
    <n v="0"/>
    <n v="-747.72"/>
    <n v="-186.93"/>
    <n v="0"/>
  </r>
  <r>
    <n v="60696754"/>
    <s v="N"/>
    <n v="21340099"/>
    <s v="3000014940080002RC"/>
    <s v="CIVIL"/>
    <d v="2023-06-26T00:00:00"/>
    <d v="2023-07-06T19:54:22"/>
    <m/>
    <d v="2023-07-06T00:00:00"/>
    <n v="1749"/>
    <n v="19529"/>
    <s v="60696754"/>
    <s v="60696754"/>
    <m/>
    <m/>
    <m/>
    <m/>
    <m/>
    <m/>
    <s v="SOLRECOUP"/>
    <s v="SOLRECOUP"/>
    <s v="POARECOUP"/>
    <n v="21340099"/>
    <n v="-167"/>
    <m/>
    <s v="Y"/>
    <n v="2"/>
    <d v="2023-07-06T19:54:23"/>
    <s v="N"/>
    <m/>
    <m/>
    <s v="Non Expert Disbursement"/>
    <m/>
    <s v="N"/>
    <n v="0"/>
    <n v="0"/>
    <x v="4"/>
    <s v="VALIDATED"/>
    <n v="1"/>
    <s v="01.11.80.000.0000.0000"/>
    <n v="0"/>
    <s v="11"/>
    <s v="0000"/>
    <n v="41014.84"/>
    <n v="0"/>
    <s v="CREDITOR"/>
    <n v="0"/>
    <n v="0"/>
    <n v="0"/>
    <n v="0"/>
    <n v="0"/>
  </r>
  <r>
    <n v="60696754"/>
    <s v="N"/>
    <n v="21340099"/>
    <s v="3000014940080002RC"/>
    <s v="CIVIL"/>
    <d v="2023-06-26T00:00:00"/>
    <d v="2023-07-06T19:54:22"/>
    <m/>
    <d v="2023-07-06T00:00:00"/>
    <n v="1749"/>
    <n v="19529"/>
    <s v="60696754"/>
    <s v="60696754"/>
    <m/>
    <m/>
    <m/>
    <m/>
    <m/>
    <m/>
    <s v="SOLRECOUP"/>
    <s v="SOLRECOUP"/>
    <s v="POARECOUP"/>
    <n v="21340099"/>
    <n v="-167"/>
    <m/>
    <s v="Y"/>
    <n v="1"/>
    <d v="2023-07-06T19:54:23"/>
    <s v="N"/>
    <m/>
    <m/>
    <s v="Non Expert Disbursement"/>
    <m/>
    <s v="N"/>
    <n v="-167"/>
    <n v="0"/>
    <x v="4"/>
    <s v="VALIDATED"/>
    <n v="1"/>
    <s v="01.11.80.308.2013.0000"/>
    <n v="-167"/>
    <s v="11"/>
    <s v="2013"/>
    <n v="41014.84"/>
    <n v="-167"/>
    <s v="CREDITOR"/>
    <n v="0"/>
    <n v="0"/>
    <n v="-167"/>
    <n v="0"/>
    <n v="0"/>
  </r>
  <r>
    <n v="60696754"/>
    <s v="N"/>
    <n v="21340100"/>
    <s v="3000014940080003RC"/>
    <s v="CIVIL"/>
    <d v="2023-06-26T00:00:00"/>
    <d v="2023-07-06T19:54:22"/>
    <m/>
    <d v="2023-07-06T00:00:00"/>
    <n v="1749"/>
    <n v="19529"/>
    <s v="60696754"/>
    <s v="60696754"/>
    <m/>
    <m/>
    <m/>
    <m/>
    <m/>
    <m/>
    <s v="SOLRECOUP"/>
    <s v="SOLRECOUP"/>
    <s v="POARECOUP"/>
    <n v="21340100"/>
    <n v="-519"/>
    <m/>
    <s v="Y"/>
    <n v="1"/>
    <d v="2023-07-06T19:54:23"/>
    <s v="N"/>
    <m/>
    <m/>
    <s v="Expert Disbursement"/>
    <m/>
    <s v="N"/>
    <n v="-432.5"/>
    <n v="0"/>
    <x v="4"/>
    <s v="VALIDATED"/>
    <n v="1"/>
    <s v="01.11.80.308.2013.0000"/>
    <n v="-432.5"/>
    <s v="11"/>
    <s v="2013"/>
    <n v="41014.84"/>
    <n v="-432.5"/>
    <s v="CREDITOR"/>
    <n v="0"/>
    <n v="0"/>
    <n v="-432.5"/>
    <n v="0"/>
    <n v="0"/>
  </r>
  <r>
    <n v="60696754"/>
    <s v="N"/>
    <n v="21340100"/>
    <s v="3000014940080003RC"/>
    <s v="CIVIL"/>
    <d v="2023-06-26T00:00:00"/>
    <d v="2023-07-06T19:54:22"/>
    <m/>
    <d v="2023-07-06T00:00:00"/>
    <n v="1749"/>
    <n v="19529"/>
    <s v="60696754"/>
    <s v="60696754"/>
    <m/>
    <m/>
    <m/>
    <m/>
    <m/>
    <m/>
    <s v="SOLRECOUP"/>
    <s v="SOLRECOUP"/>
    <s v="POARECOUP"/>
    <n v="21340100"/>
    <n v="-519"/>
    <m/>
    <s v="Y"/>
    <n v="2"/>
    <d v="2023-07-06T19:54:23"/>
    <s v="N"/>
    <m/>
    <m/>
    <s v="Expert Disbursement"/>
    <m/>
    <s v="N"/>
    <n v="0"/>
    <n v="-86.5"/>
    <x v="4"/>
    <s v="VALIDATED"/>
    <n v="1"/>
    <s v="01.11.80.308.2013.0000"/>
    <n v="-86.5"/>
    <s v="11"/>
    <s v="2013"/>
    <n v="41014.84"/>
    <n v="-86.5"/>
    <s v="CREDITOR"/>
    <n v="0"/>
    <n v="0"/>
    <n v="-86.5"/>
    <n v="0"/>
    <n v="0"/>
  </r>
  <r>
    <n v="60696754"/>
    <s v="N"/>
    <n v="21340101"/>
    <s v="3000014940080005RC"/>
    <s v="CIVIL"/>
    <d v="2023-06-26T00:00:00"/>
    <d v="2023-07-06T19:54:22"/>
    <m/>
    <d v="2023-07-06T00:00:00"/>
    <n v="1749"/>
    <n v="19529"/>
    <s v="60696754"/>
    <s v="60696754"/>
    <m/>
    <m/>
    <m/>
    <m/>
    <m/>
    <m/>
    <s v="SOLRECOUP"/>
    <s v="SOLRECOUP"/>
    <s v="POARECOUP"/>
    <n v="21340101"/>
    <n v="-2257.51"/>
    <m/>
    <s v="Y"/>
    <n v="1"/>
    <d v="2023-07-06T19:54:23"/>
    <s v="N"/>
    <m/>
    <m/>
    <s v="Expert Disbursement"/>
    <m/>
    <s v="N"/>
    <n v="-1881.26"/>
    <n v="0"/>
    <x v="4"/>
    <s v="VALIDATED"/>
    <n v="1"/>
    <s v="01.11.80.308.2013.0000"/>
    <n v="-1881.26"/>
    <s v="11"/>
    <s v="2013"/>
    <n v="41014.84"/>
    <n v="-1881.26"/>
    <s v="CREDITOR"/>
    <n v="0"/>
    <n v="0"/>
    <n v="-1881.26"/>
    <n v="0"/>
    <n v="0"/>
  </r>
  <r>
    <n v="60696754"/>
    <s v="N"/>
    <n v="21340101"/>
    <s v="3000014940080005RC"/>
    <s v="CIVIL"/>
    <d v="2023-06-26T00:00:00"/>
    <d v="2023-07-06T19:54:22"/>
    <m/>
    <d v="2023-07-06T00:00:00"/>
    <n v="1749"/>
    <n v="19529"/>
    <s v="60696754"/>
    <s v="60696754"/>
    <m/>
    <m/>
    <m/>
    <m/>
    <m/>
    <m/>
    <s v="SOLRECOUP"/>
    <s v="SOLRECOUP"/>
    <s v="POARECOUP"/>
    <n v="21340101"/>
    <n v="-2257.51"/>
    <m/>
    <s v="Y"/>
    <n v="2"/>
    <d v="2023-07-06T19:54:23"/>
    <s v="N"/>
    <m/>
    <m/>
    <s v="Expert Disbursement"/>
    <m/>
    <s v="N"/>
    <n v="0"/>
    <n v="-376.25"/>
    <x v="4"/>
    <s v="VALIDATED"/>
    <n v="1"/>
    <s v="01.11.80.308.2013.0000"/>
    <n v="-376.25"/>
    <s v="11"/>
    <s v="2013"/>
    <n v="41014.84"/>
    <n v="-376.25"/>
    <s v="CREDITOR"/>
    <n v="0"/>
    <n v="0"/>
    <n v="-376.25"/>
    <n v="0"/>
    <n v="0"/>
  </r>
  <r>
    <n v="60696754"/>
    <s v="N"/>
    <n v="21340102"/>
    <s v="3000014940080006RC"/>
    <s v="CIVIL"/>
    <d v="2023-06-26T00:00:00"/>
    <d v="2023-07-06T19:54:22"/>
    <m/>
    <d v="2023-07-06T00:00:00"/>
    <n v="1749"/>
    <n v="19529"/>
    <s v="60696754"/>
    <s v="60696754"/>
    <m/>
    <m/>
    <m/>
    <m/>
    <m/>
    <m/>
    <s v="SOLRECOUP"/>
    <s v="SOLRECOUP"/>
    <s v="POARECOUP"/>
    <n v="21340102"/>
    <n v="-228.91"/>
    <m/>
    <s v="Y"/>
    <n v="1"/>
    <d v="2023-07-06T19:54:23"/>
    <s v="N"/>
    <m/>
    <m/>
    <s v="Profit Cost"/>
    <m/>
    <s v="N"/>
    <n v="-190.76"/>
    <n v="0"/>
    <x v="4"/>
    <s v="VALIDATED"/>
    <n v="1"/>
    <s v="01.11.80.308.2013.0000"/>
    <n v="-190.76"/>
    <s v="11"/>
    <s v="2013"/>
    <n v="41014.84"/>
    <n v="-190.76"/>
    <s v="CREDITOR"/>
    <n v="0"/>
    <n v="0"/>
    <n v="-190.76"/>
    <n v="-47.69"/>
    <n v="0"/>
  </r>
  <r>
    <n v="60696754"/>
    <s v="N"/>
    <n v="21340102"/>
    <s v="3000014940080006RC"/>
    <s v="CIVIL"/>
    <d v="2023-06-26T00:00:00"/>
    <d v="2023-07-06T19:54:22"/>
    <m/>
    <d v="2023-07-06T00:00:00"/>
    <n v="1749"/>
    <n v="19529"/>
    <s v="60696754"/>
    <s v="60696754"/>
    <m/>
    <m/>
    <m/>
    <m/>
    <m/>
    <m/>
    <s v="SOLRECOUP"/>
    <s v="SOLRECOUP"/>
    <s v="POARECOUP"/>
    <n v="21340102"/>
    <n v="-228.91"/>
    <m/>
    <s v="Y"/>
    <n v="2"/>
    <d v="2023-07-06T19:54:23"/>
    <s v="N"/>
    <m/>
    <m/>
    <s v="Profit Cost"/>
    <m/>
    <s v="N"/>
    <n v="0"/>
    <n v="-38.15"/>
    <x v="4"/>
    <s v="VALIDATED"/>
    <n v="1"/>
    <s v="01.11.80.308.2013.0000"/>
    <n v="-38.15"/>
    <s v="11"/>
    <s v="2013"/>
    <n v="41014.84"/>
    <n v="-38.15"/>
    <s v="CREDITOR"/>
    <n v="0"/>
    <n v="0"/>
    <n v="-38.15"/>
    <n v="-9.5375"/>
    <n v="0"/>
  </r>
  <r>
    <n v="60696754"/>
    <s v="N"/>
    <n v="21340103"/>
    <s v="3000014940080008RC"/>
    <s v="CIVIL"/>
    <d v="2023-06-26T00:00:00"/>
    <d v="2023-07-06T19:54:22"/>
    <m/>
    <d v="2023-07-06T00:00:00"/>
    <n v="1749"/>
    <n v="19529"/>
    <s v="60696754"/>
    <s v="60696754"/>
    <m/>
    <m/>
    <m/>
    <m/>
    <m/>
    <m/>
    <s v="SOLRECOUP"/>
    <s v="SOLRECOUP"/>
    <s v="POARECOUP"/>
    <n v="21340103"/>
    <n v="-3171.7"/>
    <m/>
    <s v="Y"/>
    <n v="1"/>
    <d v="2023-07-06T19:54:23"/>
    <s v="N"/>
    <m/>
    <m/>
    <s v="Profit Cost"/>
    <m/>
    <s v="N"/>
    <n v="-2643.08"/>
    <n v="0"/>
    <x v="4"/>
    <s v="VALIDATED"/>
    <n v="1"/>
    <s v="01.11.80.308.2013.0000"/>
    <n v="-2643.08"/>
    <s v="11"/>
    <s v="2013"/>
    <n v="41014.84"/>
    <n v="-2643.08"/>
    <s v="CREDITOR"/>
    <n v="0"/>
    <n v="0"/>
    <n v="-2643.08"/>
    <n v="-660.77"/>
    <n v="0"/>
  </r>
  <r>
    <n v="60696754"/>
    <s v="N"/>
    <n v="21340103"/>
    <s v="3000014940080008RC"/>
    <s v="CIVIL"/>
    <d v="2023-06-26T00:00:00"/>
    <d v="2023-07-06T19:54:22"/>
    <m/>
    <d v="2023-07-06T00:00:00"/>
    <n v="1749"/>
    <n v="19529"/>
    <s v="60696754"/>
    <s v="60696754"/>
    <m/>
    <m/>
    <m/>
    <m/>
    <m/>
    <m/>
    <s v="SOLRECOUP"/>
    <s v="SOLRECOUP"/>
    <s v="POARECOUP"/>
    <n v="21340103"/>
    <n v="-3171.7"/>
    <m/>
    <s v="Y"/>
    <n v="2"/>
    <d v="2023-07-06T19:54:23"/>
    <s v="N"/>
    <m/>
    <m/>
    <s v="Profit Cost"/>
    <m/>
    <s v="N"/>
    <n v="0"/>
    <n v="-528.62"/>
    <x v="4"/>
    <s v="VALIDATED"/>
    <n v="1"/>
    <s v="01.11.80.308.2013.0000"/>
    <n v="-528.62"/>
    <s v="11"/>
    <s v="2013"/>
    <n v="41014.84"/>
    <n v="-528.62"/>
    <s v="CREDITOR"/>
    <n v="0"/>
    <n v="0"/>
    <n v="-528.62"/>
    <n v="-132.155"/>
    <n v="0"/>
  </r>
  <r>
    <n v="60696754"/>
    <s v="N"/>
    <n v="21340104"/>
    <s v="3000014940080007RC"/>
    <s v="CIVIL"/>
    <d v="2023-06-26T00:00:00"/>
    <d v="2023-07-06T19:54:22"/>
    <m/>
    <d v="2023-07-06T00:00:00"/>
    <n v="1749"/>
    <n v="19529"/>
    <s v="60696754"/>
    <s v="60696754"/>
    <m/>
    <m/>
    <m/>
    <m/>
    <m/>
    <m/>
    <s v="SOLRECOUP"/>
    <s v="SOLRECOUP"/>
    <s v="POARECOUP"/>
    <n v="21340104"/>
    <n v="-2113.01"/>
    <m/>
    <s v="Y"/>
    <n v="1"/>
    <d v="2023-07-06T19:54:23"/>
    <s v="N"/>
    <m/>
    <m/>
    <s v="Profit Cost"/>
    <m/>
    <s v="N"/>
    <n v="-1760.84"/>
    <n v="0"/>
    <x v="4"/>
    <s v="VALIDATED"/>
    <n v="1"/>
    <s v="01.11.80.308.2013.0000"/>
    <n v="-1760.84"/>
    <s v="11"/>
    <s v="2013"/>
    <n v="41014.84"/>
    <n v="-1760.84"/>
    <s v="CREDITOR"/>
    <n v="0"/>
    <n v="0"/>
    <n v="-1760.84"/>
    <n v="-440.21"/>
    <n v="0"/>
  </r>
  <r>
    <n v="60696754"/>
    <s v="N"/>
    <n v="21340104"/>
    <s v="3000014940080007RC"/>
    <s v="CIVIL"/>
    <d v="2023-06-26T00:00:00"/>
    <d v="2023-07-06T19:54:22"/>
    <m/>
    <d v="2023-07-06T00:00:00"/>
    <n v="1749"/>
    <n v="19529"/>
    <s v="60696754"/>
    <s v="60696754"/>
    <m/>
    <m/>
    <m/>
    <m/>
    <m/>
    <m/>
    <s v="SOLRECOUP"/>
    <s v="SOLRECOUP"/>
    <s v="POARECOUP"/>
    <n v="21340104"/>
    <n v="-2113.01"/>
    <m/>
    <s v="Y"/>
    <n v="2"/>
    <d v="2023-07-06T19:54:23"/>
    <s v="N"/>
    <m/>
    <m/>
    <s v="Profit Cost"/>
    <m/>
    <s v="N"/>
    <n v="0"/>
    <n v="-352.17"/>
    <x v="4"/>
    <s v="VALIDATED"/>
    <n v="1"/>
    <s v="01.11.80.308.2013.0000"/>
    <n v="-352.17"/>
    <s v="11"/>
    <s v="2013"/>
    <n v="41014.84"/>
    <n v="-352.17"/>
    <s v="CREDITOR"/>
    <n v="0"/>
    <n v="0"/>
    <n v="-352.17"/>
    <n v="-88.0425"/>
    <n v="0"/>
  </r>
  <r>
    <n v="60696754"/>
    <s v="N"/>
    <n v="21340105"/>
    <s v="3000014940080009RC"/>
    <s v="CIVIL"/>
    <d v="2023-06-26T00:00:00"/>
    <d v="2023-07-06T19:54:22"/>
    <m/>
    <d v="2023-07-06T00:00:00"/>
    <n v="1749"/>
    <n v="19529"/>
    <s v="60696754"/>
    <s v="60696754"/>
    <m/>
    <m/>
    <m/>
    <m/>
    <m/>
    <m/>
    <s v="SOLRECOUP"/>
    <s v="SOLRECOUP"/>
    <s v="POARECOUP"/>
    <n v="21340105"/>
    <n v="-181.44"/>
    <m/>
    <s v="Y"/>
    <n v="1"/>
    <d v="2023-07-06T19:54:23"/>
    <s v="N"/>
    <m/>
    <m/>
    <s v="Expert Disbursement"/>
    <m/>
    <s v="N"/>
    <n v="-151.2"/>
    <n v="0"/>
    <x v="4"/>
    <s v="VALIDATED"/>
    <n v="1"/>
    <s v="01.11.80.308.2013.0000"/>
    <n v="-151.2"/>
    <s v="11"/>
    <s v="2013"/>
    <n v="41014.84"/>
    <n v="-151.2"/>
    <s v="CREDITOR"/>
    <n v="0"/>
    <n v="0"/>
    <n v="-151.2"/>
    <n v="0"/>
    <n v="0"/>
  </r>
  <r>
    <n v="60696754"/>
    <s v="N"/>
    <n v="21340105"/>
    <s v="3000014940080009RC"/>
    <s v="CIVIL"/>
    <d v="2023-06-26T00:00:00"/>
    <d v="2023-07-06T19:54:22"/>
    <m/>
    <d v="2023-07-06T00:00:00"/>
    <n v="1749"/>
    <n v="19529"/>
    <s v="60696754"/>
    <s v="60696754"/>
    <m/>
    <m/>
    <m/>
    <m/>
    <m/>
    <m/>
    <s v="SOLRECOUP"/>
    <s v="SOLRECOUP"/>
    <s v="POARECOUP"/>
    <n v="21340105"/>
    <n v="-181.44"/>
    <m/>
    <s v="Y"/>
    <n v="2"/>
    <d v="2023-07-06T19:54:23"/>
    <s v="N"/>
    <m/>
    <m/>
    <s v="Expert Disbursement"/>
    <m/>
    <s v="N"/>
    <n v="0"/>
    <n v="-30.24"/>
    <x v="4"/>
    <s v="VALIDATED"/>
    <n v="1"/>
    <s v="01.11.80.308.2013.0000"/>
    <n v="-30.24"/>
    <s v="11"/>
    <s v="2013"/>
    <n v="41014.84"/>
    <n v="-30.24"/>
    <s v="CREDITOR"/>
    <n v="0"/>
    <n v="0"/>
    <n v="-30.24"/>
    <n v="0"/>
    <n v="0"/>
  </r>
  <r>
    <n v="56378698"/>
    <s v="N"/>
    <n v="21357231"/>
    <s v="3000013381950003RC"/>
    <s v="CIVIL"/>
    <d v="2023-06-28T00:00:00"/>
    <d v="2023-07-10T19:48:00"/>
    <m/>
    <d v="2023-07-10T00:00:00"/>
    <n v="1749"/>
    <n v="19529"/>
    <s v="56378698"/>
    <s v="56378698"/>
    <m/>
    <m/>
    <m/>
    <m/>
    <m/>
    <m/>
    <s v="SOLRECOUP"/>
    <s v="SOLRECOUP"/>
    <s v="POARECOUP"/>
    <n v="21357231"/>
    <n v="-78"/>
    <m/>
    <s v="Y"/>
    <n v="2"/>
    <d v="2023-07-10T19:48:00"/>
    <s v="N"/>
    <m/>
    <m/>
    <s v="Expert Disbursement"/>
    <m/>
    <s v="N"/>
    <n v="0"/>
    <n v="-13"/>
    <x v="2"/>
    <s v="VALIDATED"/>
    <n v="1"/>
    <s v="01.11.80.308.2013.0000"/>
    <n v="-13"/>
    <s v="11"/>
    <s v="2013"/>
    <n v="41014.84"/>
    <n v="-13"/>
    <s v="CREDITOR"/>
    <n v="0"/>
    <n v="0"/>
    <n v="-13"/>
    <n v="0"/>
    <n v="0"/>
  </r>
  <r>
    <n v="56378698"/>
    <s v="N"/>
    <n v="21357231"/>
    <s v="3000013381950003RC"/>
    <s v="CIVIL"/>
    <d v="2023-06-28T00:00:00"/>
    <d v="2023-07-10T19:48:00"/>
    <m/>
    <d v="2023-07-10T00:00:00"/>
    <n v="1749"/>
    <n v="19529"/>
    <s v="56378698"/>
    <s v="56378698"/>
    <m/>
    <m/>
    <m/>
    <m/>
    <m/>
    <m/>
    <s v="SOLRECOUP"/>
    <s v="SOLRECOUP"/>
    <s v="POARECOUP"/>
    <n v="21357231"/>
    <n v="-78"/>
    <m/>
    <s v="Y"/>
    <n v="1"/>
    <d v="2023-07-10T19:48:00"/>
    <s v="N"/>
    <m/>
    <m/>
    <s v="Expert Disbursement"/>
    <m/>
    <s v="N"/>
    <n v="-65"/>
    <n v="0"/>
    <x v="2"/>
    <s v="VALIDATED"/>
    <n v="1"/>
    <s v="01.11.80.308.2013.0000"/>
    <n v="-65"/>
    <s v="11"/>
    <s v="2013"/>
    <n v="41014.84"/>
    <n v="-65"/>
    <s v="CREDITOR"/>
    <n v="0"/>
    <n v="0"/>
    <n v="-65"/>
    <n v="0"/>
    <n v="0"/>
  </r>
  <r>
    <n v="56378698"/>
    <s v="N"/>
    <n v="21357232"/>
    <s v="3000013381950010RC"/>
    <s v="CIVIL"/>
    <d v="2023-06-28T00:00:00"/>
    <d v="2023-07-10T19:48:00"/>
    <m/>
    <d v="2023-07-10T00:00:00"/>
    <n v="1749"/>
    <n v="19529"/>
    <s v="56378698"/>
    <s v="56378698"/>
    <m/>
    <m/>
    <m/>
    <m/>
    <m/>
    <m/>
    <s v="SOLRECOUP"/>
    <s v="SOLRECOUP"/>
    <s v="POARECOUP"/>
    <n v="21357232"/>
    <n v="-514.86"/>
    <m/>
    <s v="Y"/>
    <n v="2"/>
    <d v="2023-07-10T19:48:00"/>
    <s v="N"/>
    <m/>
    <m/>
    <s v="Profit Cost"/>
    <m/>
    <s v="N"/>
    <n v="0"/>
    <n v="-85.81"/>
    <x v="2"/>
    <s v="VALIDATED"/>
    <n v="1"/>
    <s v="01.11.80.308.2013.0000"/>
    <n v="-85.81"/>
    <s v="11"/>
    <s v="2013"/>
    <n v="41014.84"/>
    <n v="-85.81"/>
    <s v="CREDITOR"/>
    <n v="0"/>
    <n v="0"/>
    <n v="-85.81"/>
    <n v="-21.4525"/>
    <n v="0"/>
  </r>
  <r>
    <n v="56378698"/>
    <s v="N"/>
    <n v="21357232"/>
    <s v="3000013381950010RC"/>
    <s v="CIVIL"/>
    <d v="2023-06-28T00:00:00"/>
    <d v="2023-07-10T19:48:00"/>
    <m/>
    <d v="2023-07-10T00:00:00"/>
    <n v="1749"/>
    <n v="19529"/>
    <s v="56378698"/>
    <s v="56378698"/>
    <m/>
    <m/>
    <m/>
    <m/>
    <m/>
    <m/>
    <s v="SOLRECOUP"/>
    <s v="SOLRECOUP"/>
    <s v="POARECOUP"/>
    <n v="21357232"/>
    <n v="-514.86"/>
    <m/>
    <s v="Y"/>
    <n v="1"/>
    <d v="2023-07-10T19:48:00"/>
    <s v="N"/>
    <m/>
    <m/>
    <s v="Profit Cost"/>
    <m/>
    <s v="N"/>
    <n v="-429.05"/>
    <n v="0"/>
    <x v="2"/>
    <s v="VALIDATED"/>
    <n v="1"/>
    <s v="01.11.80.308.2013.0000"/>
    <n v="-429.05"/>
    <s v="11"/>
    <s v="2013"/>
    <n v="41014.84"/>
    <n v="-429.05"/>
    <s v="CREDITOR"/>
    <n v="0"/>
    <n v="0"/>
    <n v="-429.05"/>
    <n v="-107.2625"/>
    <n v="0"/>
  </r>
  <r>
    <n v="56378698"/>
    <s v="N"/>
    <n v="21357233"/>
    <s v="3000013381950002RC"/>
    <s v="CIVIL"/>
    <d v="2023-06-28T00:00:00"/>
    <d v="2023-07-10T19:48:00"/>
    <m/>
    <d v="2023-07-10T00:00:00"/>
    <n v="1749"/>
    <n v="19529"/>
    <s v="56378698"/>
    <s v="56378698"/>
    <m/>
    <m/>
    <m/>
    <m/>
    <m/>
    <m/>
    <s v="SOLRECOUP"/>
    <s v="SOLRECOUP"/>
    <s v="POARECOUP"/>
    <n v="21357233"/>
    <n v="-476.74"/>
    <m/>
    <s v="Y"/>
    <n v="2"/>
    <d v="2023-07-10T19:48:00"/>
    <s v="N"/>
    <m/>
    <m/>
    <s v="Expert Disbursement"/>
    <m/>
    <s v="N"/>
    <n v="0"/>
    <n v="-79.45999999999999"/>
    <x v="2"/>
    <s v="VALIDATED"/>
    <n v="1"/>
    <s v="01.11.80.308.2013.0000"/>
    <n v="-79.45999999999999"/>
    <s v="11"/>
    <s v="2013"/>
    <n v="41014.84"/>
    <n v="-79.45999999999999"/>
    <s v="CREDITOR"/>
    <n v="0"/>
    <n v="0"/>
    <n v="-79.45999999999999"/>
    <n v="0"/>
    <n v="0"/>
  </r>
  <r>
    <n v="56378698"/>
    <s v="N"/>
    <n v="21357233"/>
    <s v="3000013381950002RC"/>
    <s v="CIVIL"/>
    <d v="2023-06-28T00:00:00"/>
    <d v="2023-07-10T19:48:00"/>
    <m/>
    <d v="2023-07-10T00:00:00"/>
    <n v="1749"/>
    <n v="19529"/>
    <s v="56378698"/>
    <s v="56378698"/>
    <m/>
    <m/>
    <m/>
    <m/>
    <m/>
    <m/>
    <s v="SOLRECOUP"/>
    <s v="SOLRECOUP"/>
    <s v="POARECOUP"/>
    <n v="21357233"/>
    <n v="-476.74"/>
    <m/>
    <s v="Y"/>
    <n v="1"/>
    <d v="2023-07-10T19:48:00"/>
    <s v="N"/>
    <m/>
    <m/>
    <s v="Expert Disbursement"/>
    <m/>
    <s v="N"/>
    <n v="-397.28"/>
    <n v="0"/>
    <x v="2"/>
    <s v="VALIDATED"/>
    <n v="1"/>
    <s v="01.11.80.308.2013.0000"/>
    <n v="-397.28"/>
    <s v="11"/>
    <s v="2013"/>
    <n v="41014.84"/>
    <n v="-397.28"/>
    <s v="CREDITOR"/>
    <n v="0"/>
    <n v="0"/>
    <n v="-397.28"/>
    <n v="0"/>
    <n v="0"/>
  </r>
  <r>
    <n v="56378698"/>
    <s v="N"/>
    <n v="21357234"/>
    <s v="3000013381950006RC"/>
    <s v="CIVIL"/>
    <d v="2023-06-28T00:00:00"/>
    <d v="2023-07-10T19:48:00"/>
    <m/>
    <d v="2023-07-10T00:00:00"/>
    <n v="1749"/>
    <n v="19529"/>
    <s v="56378698"/>
    <s v="56378698"/>
    <m/>
    <m/>
    <m/>
    <m/>
    <m/>
    <m/>
    <s v="SOLRECOUP"/>
    <s v="SOLRECOUP"/>
    <s v="POARECOUP"/>
    <n v="21357234"/>
    <n v="-476.74"/>
    <m/>
    <s v="Y"/>
    <n v="2"/>
    <d v="2023-07-10T19:48:00"/>
    <s v="N"/>
    <m/>
    <m/>
    <s v="Expert Disbursement"/>
    <m/>
    <s v="N"/>
    <n v="0"/>
    <n v="-79.45999999999999"/>
    <x v="2"/>
    <s v="VALIDATED"/>
    <n v="1"/>
    <s v="01.11.80.308.2013.0000"/>
    <n v="-79.45999999999999"/>
    <s v="11"/>
    <s v="2013"/>
    <n v="41014.84"/>
    <n v="-79.45999999999999"/>
    <s v="CREDITOR"/>
    <n v="0"/>
    <n v="0"/>
    <n v="-79.45999999999999"/>
    <n v="0"/>
    <n v="0"/>
  </r>
  <r>
    <n v="56378698"/>
    <s v="N"/>
    <n v="21357234"/>
    <s v="3000013381950006RC"/>
    <s v="CIVIL"/>
    <d v="2023-06-28T00:00:00"/>
    <d v="2023-07-10T19:48:00"/>
    <m/>
    <d v="2023-07-10T00:00:00"/>
    <n v="1749"/>
    <n v="19529"/>
    <s v="56378698"/>
    <s v="56378698"/>
    <m/>
    <m/>
    <m/>
    <m/>
    <m/>
    <m/>
    <s v="SOLRECOUP"/>
    <s v="SOLRECOUP"/>
    <s v="POARECOUP"/>
    <n v="21357234"/>
    <n v="-476.74"/>
    <m/>
    <s v="Y"/>
    <n v="1"/>
    <d v="2023-07-10T19:48:00"/>
    <s v="N"/>
    <m/>
    <m/>
    <s v="Expert Disbursement"/>
    <m/>
    <s v="N"/>
    <n v="-397.28"/>
    <n v="0"/>
    <x v="2"/>
    <s v="VALIDATED"/>
    <n v="1"/>
    <s v="01.11.80.308.2013.0000"/>
    <n v="-397.28"/>
    <s v="11"/>
    <s v="2013"/>
    <n v="41014.84"/>
    <n v="-397.28"/>
    <s v="CREDITOR"/>
    <n v="0"/>
    <n v="0"/>
    <n v="-397.28"/>
    <n v="0"/>
    <n v="0"/>
  </r>
  <r>
    <n v="61891359"/>
    <s v="N"/>
    <n v="21356838"/>
    <s v="3000015950310003RC"/>
    <s v="CIVIL"/>
    <d v="2023-06-29T00:00:00"/>
    <d v="2023-07-10T19:47:44"/>
    <m/>
    <d v="2023-07-10T00:00:00"/>
    <n v="1749"/>
    <n v="19529"/>
    <s v="61891359"/>
    <s v="61891359"/>
    <m/>
    <m/>
    <m/>
    <m/>
    <m/>
    <m/>
    <s v="SOLRECOUP"/>
    <s v="SOLRECOUP"/>
    <s v="POARECOUP"/>
    <n v="21356838"/>
    <n v="-2466.65"/>
    <m/>
    <s v="Y"/>
    <n v="2"/>
    <d v="2023-07-10T19:47:46"/>
    <s v="N"/>
    <m/>
    <m/>
    <s v="Profit Cost"/>
    <m/>
    <s v="N"/>
    <n v="0"/>
    <n v="-411.11"/>
    <x v="2"/>
    <s v="VALIDATED"/>
    <n v="1"/>
    <s v="01.11.80.308.2013.0000"/>
    <n v="-411.11"/>
    <s v="11"/>
    <s v="2013"/>
    <n v="41014.84"/>
    <n v="-411.11"/>
    <s v="CREDITOR"/>
    <n v="0"/>
    <n v="0"/>
    <n v="-411.11"/>
    <n v="-102.7775"/>
    <n v="0"/>
  </r>
  <r>
    <n v="56378698"/>
    <s v="N"/>
    <n v="21356839"/>
    <s v="3000013381950013RC"/>
    <s v="CIVIL"/>
    <d v="2023-06-28T00:00:00"/>
    <d v="2023-07-10T19:47:44"/>
    <m/>
    <d v="2023-07-10T00:00:00"/>
    <n v="1749"/>
    <n v="19529"/>
    <s v="56378698"/>
    <s v="56378698"/>
    <m/>
    <m/>
    <m/>
    <m/>
    <m/>
    <m/>
    <s v="SOLRECOUP"/>
    <s v="SOLRECOUP"/>
    <s v="POARECOUP"/>
    <n v="21356839"/>
    <n v="-167"/>
    <m/>
    <s v="Y"/>
    <n v="1"/>
    <d v="2023-07-10T19:47:46"/>
    <s v="N"/>
    <m/>
    <m/>
    <s v="Non Expert Disbursement"/>
    <m/>
    <s v="N"/>
    <n v="-167"/>
    <n v="0"/>
    <x v="2"/>
    <s v="VALIDATED"/>
    <n v="1"/>
    <s v="01.11.80.308.2013.0000"/>
    <n v="-167"/>
    <s v="11"/>
    <s v="2013"/>
    <n v="41014.84"/>
    <n v="-167"/>
    <s v="CREDITOR"/>
    <n v="0"/>
    <n v="0"/>
    <n v="-167"/>
    <n v="0"/>
    <n v="0"/>
  </r>
  <r>
    <n v="56378698"/>
    <s v="N"/>
    <n v="21356839"/>
    <s v="3000013381950013RC"/>
    <s v="CIVIL"/>
    <d v="2023-06-28T00:00:00"/>
    <d v="2023-07-10T19:47:44"/>
    <m/>
    <d v="2023-07-10T00:00:00"/>
    <n v="1749"/>
    <n v="19529"/>
    <s v="56378698"/>
    <s v="56378698"/>
    <m/>
    <m/>
    <m/>
    <m/>
    <m/>
    <m/>
    <s v="SOLRECOUP"/>
    <s v="SOLRECOUP"/>
    <s v="POARECOUP"/>
    <n v="21356839"/>
    <n v="-167"/>
    <m/>
    <s v="Y"/>
    <n v="2"/>
    <d v="2023-07-10T19:47:46"/>
    <s v="N"/>
    <m/>
    <m/>
    <s v="Non Expert Disbursement"/>
    <m/>
    <s v="N"/>
    <n v="0"/>
    <n v="0"/>
    <x v="2"/>
    <s v="VALIDATED"/>
    <n v="1"/>
    <s v="01.11.80.000.0000.0000"/>
    <n v="0"/>
    <s v="11"/>
    <s v="0000"/>
    <n v="41014.84"/>
    <n v="0"/>
    <s v="CREDITOR"/>
    <n v="0"/>
    <n v="0"/>
    <n v="0"/>
    <n v="0"/>
    <n v="0"/>
  </r>
  <r>
    <n v="56378698"/>
    <s v="N"/>
    <n v="21356840"/>
    <s v="3000013381950011RC"/>
    <s v="CIVIL"/>
    <d v="2023-06-28T00:00:00"/>
    <d v="2023-07-10T19:47:44"/>
    <m/>
    <d v="2023-07-10T00:00:00"/>
    <n v="1749"/>
    <n v="19529"/>
    <s v="56378698"/>
    <s v="56378698"/>
    <m/>
    <m/>
    <m/>
    <m/>
    <m/>
    <m/>
    <s v="SOLRECOUP"/>
    <s v="SOLRECOUP"/>
    <s v="POARECOUP"/>
    <n v="21356840"/>
    <n v="-650.22"/>
    <m/>
    <s v="Y"/>
    <n v="1"/>
    <d v="2023-07-10T19:47:46"/>
    <s v="N"/>
    <m/>
    <m/>
    <s v="Profit Cost"/>
    <m/>
    <s v="N"/>
    <n v="-541.85"/>
    <n v="0"/>
    <x v="2"/>
    <s v="VALIDATED"/>
    <n v="1"/>
    <s v="01.11.80.308.2013.0000"/>
    <n v="-541.85"/>
    <s v="11"/>
    <s v="2013"/>
    <n v="41014.84"/>
    <n v="-541.85"/>
    <s v="CREDITOR"/>
    <n v="0"/>
    <n v="0"/>
    <n v="-541.85"/>
    <n v="-135.4625"/>
    <n v="0"/>
  </r>
  <r>
    <n v="56378698"/>
    <s v="N"/>
    <n v="21356840"/>
    <s v="3000013381950011RC"/>
    <s v="CIVIL"/>
    <d v="2023-06-28T00:00:00"/>
    <d v="2023-07-10T19:47:44"/>
    <m/>
    <d v="2023-07-10T00:00:00"/>
    <n v="1749"/>
    <n v="19529"/>
    <s v="56378698"/>
    <s v="56378698"/>
    <m/>
    <m/>
    <m/>
    <m/>
    <m/>
    <m/>
    <s v="SOLRECOUP"/>
    <s v="SOLRECOUP"/>
    <s v="POARECOUP"/>
    <n v="21356840"/>
    <n v="-650.22"/>
    <m/>
    <s v="Y"/>
    <n v="2"/>
    <d v="2023-07-10T19:47:46"/>
    <s v="N"/>
    <m/>
    <m/>
    <s v="Profit Cost"/>
    <m/>
    <s v="N"/>
    <n v="0"/>
    <n v="-108.37"/>
    <x v="2"/>
    <s v="VALIDATED"/>
    <n v="1"/>
    <s v="01.11.80.308.2013.0000"/>
    <n v="-108.37"/>
    <s v="11"/>
    <s v="2013"/>
    <n v="41014.84"/>
    <n v="-108.37"/>
    <s v="CREDITOR"/>
    <n v="0"/>
    <n v="0"/>
    <n v="-108.37"/>
    <n v="-27.0925"/>
    <n v="0"/>
  </r>
  <r>
    <n v="56378698"/>
    <s v="N"/>
    <n v="21356841"/>
    <s v="3000013381950012RC"/>
    <s v="CIVIL"/>
    <d v="2023-06-28T00:00:00"/>
    <d v="2023-07-10T19:47:44"/>
    <m/>
    <d v="2023-07-10T00:00:00"/>
    <n v="1749"/>
    <n v="19529"/>
    <s v="56378698"/>
    <s v="56378698"/>
    <m/>
    <m/>
    <m/>
    <m/>
    <m/>
    <m/>
    <s v="SOLRECOUP"/>
    <s v="SOLRECOUP"/>
    <s v="POARECOUP"/>
    <n v="21356841"/>
    <n v="-2330.87"/>
    <m/>
    <s v="Y"/>
    <n v="1"/>
    <d v="2023-07-10T19:47:46"/>
    <s v="N"/>
    <m/>
    <m/>
    <s v="Profit Cost"/>
    <m/>
    <s v="N"/>
    <n v="-1942.39"/>
    <n v="0"/>
    <x v="2"/>
    <s v="VALIDATED"/>
    <n v="1"/>
    <s v="01.11.80.308.2013.0000"/>
    <n v="-1942.39"/>
    <s v="11"/>
    <s v="2013"/>
    <n v="41014.84"/>
    <n v="-1942.39"/>
    <s v="CREDITOR"/>
    <n v="0"/>
    <n v="0"/>
    <n v="-1942.39"/>
    <n v="-485.5975"/>
    <n v="0"/>
  </r>
  <r>
    <n v="56378698"/>
    <s v="N"/>
    <n v="21356841"/>
    <s v="3000013381950012RC"/>
    <s v="CIVIL"/>
    <d v="2023-06-28T00:00:00"/>
    <d v="2023-07-10T19:47:44"/>
    <m/>
    <d v="2023-07-10T00:00:00"/>
    <n v="1749"/>
    <n v="19529"/>
    <s v="56378698"/>
    <s v="56378698"/>
    <m/>
    <m/>
    <m/>
    <m/>
    <m/>
    <m/>
    <s v="SOLRECOUP"/>
    <s v="SOLRECOUP"/>
    <s v="POARECOUP"/>
    <n v="21356841"/>
    <n v="-2330.87"/>
    <m/>
    <s v="Y"/>
    <n v="2"/>
    <d v="2023-07-10T19:47:46"/>
    <s v="N"/>
    <m/>
    <m/>
    <s v="Profit Cost"/>
    <m/>
    <s v="N"/>
    <n v="0"/>
    <n v="-388.48"/>
    <x v="2"/>
    <s v="VALIDATED"/>
    <n v="1"/>
    <s v="01.11.80.308.2013.0000"/>
    <n v="-388.48"/>
    <s v="11"/>
    <s v="2013"/>
    <n v="41014.84"/>
    <n v="-388.48"/>
    <s v="CREDITOR"/>
    <n v="0"/>
    <n v="0"/>
    <n v="-388.48"/>
    <n v="-97.12"/>
    <n v="0"/>
  </r>
  <r>
    <n v="61891359"/>
    <s v="N"/>
    <n v="21356842"/>
    <s v="3000015950310001RC"/>
    <s v="CIVIL"/>
    <d v="2023-06-29T00:00:00"/>
    <d v="2023-07-10T19:47:44"/>
    <m/>
    <d v="2023-07-10T00:00:00"/>
    <n v="1749"/>
    <n v="19529"/>
    <s v="61891359"/>
    <s v="61891359"/>
    <m/>
    <m/>
    <m/>
    <m/>
    <m/>
    <m/>
    <s v="SOLRECOUP"/>
    <s v="SOLRECOUP"/>
    <s v="POARECOUP"/>
    <n v="21356842"/>
    <n v="-50.4"/>
    <m/>
    <s v="Y"/>
    <n v="1"/>
    <d v="2023-07-10T19:47:46"/>
    <s v="N"/>
    <m/>
    <m/>
    <s v="Non Expert Disbursement"/>
    <m/>
    <s v="N"/>
    <n v="-50.4"/>
    <n v="0"/>
    <x v="2"/>
    <s v="VALIDATED"/>
    <n v="1"/>
    <s v="01.11.80.308.2013.0000"/>
    <n v="-50.4"/>
    <s v="11"/>
    <s v="2013"/>
    <n v="41014.84"/>
    <n v="-50.4"/>
    <s v="CREDITOR"/>
    <n v="0"/>
    <n v="0"/>
    <n v="-50.4"/>
    <n v="0"/>
    <n v="0"/>
  </r>
  <r>
    <n v="61891359"/>
    <s v="N"/>
    <n v="21356842"/>
    <s v="3000015950310001RC"/>
    <s v="CIVIL"/>
    <d v="2023-06-29T00:00:00"/>
    <d v="2023-07-10T19:47:44"/>
    <m/>
    <d v="2023-07-10T00:00:00"/>
    <n v="1749"/>
    <n v="19529"/>
    <s v="61891359"/>
    <s v="61891359"/>
    <m/>
    <m/>
    <m/>
    <m/>
    <m/>
    <m/>
    <s v="SOLRECOUP"/>
    <s v="SOLRECOUP"/>
    <s v="POARECOUP"/>
    <n v="21356842"/>
    <n v="-50.4"/>
    <m/>
    <s v="Y"/>
    <n v="2"/>
    <d v="2023-07-10T19:47:46"/>
    <s v="N"/>
    <m/>
    <m/>
    <s v="Non Expert Disbursement"/>
    <m/>
    <s v="N"/>
    <n v="0"/>
    <n v="0"/>
    <x v="2"/>
    <s v="VALIDATED"/>
    <n v="1"/>
    <s v="01.11.80.000.0000.0000"/>
    <n v="0"/>
    <s v="11"/>
    <s v="0000"/>
    <n v="41014.84"/>
    <n v="0"/>
    <s v="CREDITOR"/>
    <n v="0"/>
    <n v="0"/>
    <n v="0"/>
    <n v="0"/>
    <n v="0"/>
  </r>
  <r>
    <n v="61891359"/>
    <s v="N"/>
    <n v="21356843"/>
    <s v="3000015950310002RC"/>
    <s v="CIVIL"/>
    <d v="2023-06-29T00:00:00"/>
    <d v="2023-07-10T19:47:44"/>
    <m/>
    <d v="2023-07-10T00:00:00"/>
    <n v="1749"/>
    <n v="19529"/>
    <s v="61891359"/>
    <s v="61891359"/>
    <m/>
    <m/>
    <m/>
    <m/>
    <m/>
    <m/>
    <s v="SOLRECOUP"/>
    <s v="SOLRECOUP"/>
    <s v="POARECOUP"/>
    <n v="21356843"/>
    <n v="-167"/>
    <m/>
    <s v="Y"/>
    <n v="1"/>
    <d v="2023-07-10T19:47:46"/>
    <s v="N"/>
    <m/>
    <m/>
    <s v="Non Expert Disbursement"/>
    <m/>
    <s v="N"/>
    <n v="-167"/>
    <n v="0"/>
    <x v="2"/>
    <s v="VALIDATED"/>
    <n v="1"/>
    <s v="01.11.80.308.2013.0000"/>
    <n v="-167"/>
    <s v="11"/>
    <s v="2013"/>
    <n v="41014.84"/>
    <n v="-167"/>
    <s v="CREDITOR"/>
    <n v="0"/>
    <n v="0"/>
    <n v="-167"/>
    <n v="0"/>
    <n v="0"/>
  </r>
  <r>
    <n v="61891359"/>
    <s v="N"/>
    <n v="21356843"/>
    <s v="3000015950310002RC"/>
    <s v="CIVIL"/>
    <d v="2023-06-29T00:00:00"/>
    <d v="2023-07-10T19:47:44"/>
    <m/>
    <d v="2023-07-10T00:00:00"/>
    <n v="1749"/>
    <n v="19529"/>
    <s v="61891359"/>
    <s v="61891359"/>
    <m/>
    <m/>
    <m/>
    <m/>
    <m/>
    <m/>
    <s v="SOLRECOUP"/>
    <s v="SOLRECOUP"/>
    <s v="POARECOUP"/>
    <n v="21356843"/>
    <n v="-167"/>
    <m/>
    <s v="Y"/>
    <n v="2"/>
    <d v="2023-07-10T19:47:46"/>
    <s v="N"/>
    <m/>
    <m/>
    <s v="Non Expert Disbursement"/>
    <m/>
    <s v="N"/>
    <n v="0"/>
    <n v="0"/>
    <x v="2"/>
    <s v="VALIDATED"/>
    <n v="1"/>
    <s v="01.11.80.000.0000.0000"/>
    <n v="0"/>
    <s v="11"/>
    <s v="0000"/>
    <n v="41014.84"/>
    <n v="0"/>
    <s v="CREDITOR"/>
    <n v="0"/>
    <n v="0"/>
    <n v="0"/>
    <n v="0"/>
    <n v="0"/>
  </r>
  <r>
    <n v="56378698"/>
    <s v="N"/>
    <n v="21356844"/>
    <s v="3000013381950014RC"/>
    <s v="CIVIL"/>
    <d v="2023-06-28T00:00:00"/>
    <d v="2023-07-10T19:47:44"/>
    <m/>
    <d v="2023-07-10T00:00:00"/>
    <n v="1749"/>
    <n v="19529"/>
    <s v="56378698"/>
    <s v="56378698"/>
    <m/>
    <m/>
    <m/>
    <m/>
    <m/>
    <m/>
    <s v="SOLRECOUP"/>
    <s v="SOLRECOUP"/>
    <s v="POARECOUP"/>
    <n v="21356844"/>
    <n v="-2630.88"/>
    <m/>
    <s v="Y"/>
    <n v="1"/>
    <d v="2023-07-10T19:47:46"/>
    <s v="N"/>
    <m/>
    <m/>
    <s v="Profit Cost"/>
    <m/>
    <s v="N"/>
    <n v="-2192.4"/>
    <n v="0"/>
    <x v="2"/>
    <s v="VALIDATED"/>
    <n v="1"/>
    <s v="01.11.80.308.2013.0000"/>
    <n v="-2192.4"/>
    <s v="11"/>
    <s v="2013"/>
    <n v="41014.84"/>
    <n v="-2192.4"/>
    <s v="CREDITOR"/>
    <n v="0"/>
    <n v="0"/>
    <n v="-2192.4"/>
    <n v="-548.1"/>
    <n v="0"/>
  </r>
  <r>
    <n v="56378698"/>
    <s v="N"/>
    <n v="21356844"/>
    <s v="3000013381950014RC"/>
    <s v="CIVIL"/>
    <d v="2023-06-28T00:00:00"/>
    <d v="2023-07-10T19:47:44"/>
    <m/>
    <d v="2023-07-10T00:00:00"/>
    <n v="1749"/>
    <n v="19529"/>
    <s v="56378698"/>
    <s v="56378698"/>
    <m/>
    <m/>
    <m/>
    <m/>
    <m/>
    <m/>
    <s v="SOLRECOUP"/>
    <s v="SOLRECOUP"/>
    <s v="POARECOUP"/>
    <n v="21356844"/>
    <n v="-2630.88"/>
    <m/>
    <s v="Y"/>
    <n v="2"/>
    <d v="2023-07-10T19:47:46"/>
    <s v="N"/>
    <m/>
    <m/>
    <s v="Profit Cost"/>
    <m/>
    <s v="N"/>
    <n v="0"/>
    <n v="-438.48"/>
    <x v="2"/>
    <s v="VALIDATED"/>
    <n v="1"/>
    <s v="01.11.80.308.2013.0000"/>
    <n v="-438.48"/>
    <s v="11"/>
    <s v="2013"/>
    <n v="41014.84"/>
    <n v="-438.48"/>
    <s v="CREDITOR"/>
    <n v="0"/>
    <n v="0"/>
    <n v="-438.48"/>
    <n v="-109.62"/>
    <n v="0"/>
  </r>
  <r>
    <n v="56378698"/>
    <s v="N"/>
    <n v="21356845"/>
    <s v="3000013381950015RC"/>
    <s v="CIVIL"/>
    <d v="2023-06-28T00:00:00"/>
    <d v="2023-07-10T19:47:44"/>
    <m/>
    <d v="2023-07-10T00:00:00"/>
    <n v="1749"/>
    <n v="19529"/>
    <s v="56378698"/>
    <s v="56378698"/>
    <m/>
    <m/>
    <m/>
    <m/>
    <m/>
    <m/>
    <s v="SOLRECOUP"/>
    <s v="SOLRECOUP"/>
    <s v="POARECOUP"/>
    <n v="21356845"/>
    <n v="-1061.11"/>
    <m/>
    <s v="Y"/>
    <n v="1"/>
    <d v="2023-07-10T19:47:46"/>
    <s v="N"/>
    <m/>
    <m/>
    <s v="Profit Cost"/>
    <m/>
    <s v="N"/>
    <n v="-884.26"/>
    <n v="0"/>
    <x v="2"/>
    <s v="VALIDATED"/>
    <n v="1"/>
    <s v="01.11.80.308.2013.0000"/>
    <n v="-884.26"/>
    <s v="11"/>
    <s v="2013"/>
    <n v="41014.84"/>
    <n v="-884.26"/>
    <s v="CREDITOR"/>
    <n v="0"/>
    <n v="0"/>
    <n v="-884.26"/>
    <n v="-221.065"/>
    <n v="0"/>
  </r>
  <r>
    <n v="56378698"/>
    <s v="N"/>
    <n v="21356845"/>
    <s v="3000013381950015RC"/>
    <s v="CIVIL"/>
    <d v="2023-06-28T00:00:00"/>
    <d v="2023-07-10T19:47:44"/>
    <m/>
    <d v="2023-07-10T00:00:00"/>
    <n v="1749"/>
    <n v="19529"/>
    <s v="56378698"/>
    <s v="56378698"/>
    <m/>
    <m/>
    <m/>
    <m/>
    <m/>
    <m/>
    <s v="SOLRECOUP"/>
    <s v="SOLRECOUP"/>
    <s v="POARECOUP"/>
    <n v="21356845"/>
    <n v="-1061.11"/>
    <m/>
    <s v="Y"/>
    <n v="2"/>
    <d v="2023-07-10T19:47:46"/>
    <s v="N"/>
    <m/>
    <m/>
    <s v="Profit Cost"/>
    <m/>
    <s v="N"/>
    <n v="0"/>
    <n v="-176.85"/>
    <x v="2"/>
    <s v="VALIDATED"/>
    <n v="1"/>
    <s v="01.11.80.308.2013.0000"/>
    <n v="-176.85"/>
    <s v="11"/>
    <s v="2013"/>
    <n v="41014.84"/>
    <n v="-176.85"/>
    <s v="CREDITOR"/>
    <n v="0"/>
    <n v="0"/>
    <n v="-176.85"/>
    <n v="-44.2125"/>
    <n v="0"/>
  </r>
  <r>
    <n v="56378698"/>
    <s v="N"/>
    <n v="21356834"/>
    <s v="3000013381950005RC"/>
    <s v="CIVIL"/>
    <d v="2023-06-28T00:00:00"/>
    <d v="2023-07-10T19:47:44"/>
    <m/>
    <d v="2023-07-10T00:00:00"/>
    <n v="1749"/>
    <n v="19529"/>
    <s v="56378698"/>
    <s v="56378698"/>
    <m/>
    <m/>
    <m/>
    <m/>
    <m/>
    <m/>
    <s v="SOLRECOUP"/>
    <s v="SOLRECOUP"/>
    <s v="POARECOUP"/>
    <n v="21356834"/>
    <n v="-2231.29"/>
    <m/>
    <s v="Y"/>
    <n v="1"/>
    <d v="2023-07-10T19:47:46"/>
    <s v="N"/>
    <m/>
    <m/>
    <s v="Profit Cost"/>
    <m/>
    <s v="N"/>
    <n v="-1859.41"/>
    <n v="0"/>
    <x v="2"/>
    <s v="VALIDATED"/>
    <n v="1"/>
    <s v="01.11.80.308.2013.0000"/>
    <n v="-1859.41"/>
    <s v="11"/>
    <s v="2013"/>
    <n v="41014.84"/>
    <n v="-1859.41"/>
    <s v="CREDITOR"/>
    <n v="0"/>
    <n v="0"/>
    <n v="-1859.41"/>
    <n v="-464.8525"/>
    <n v="0"/>
  </r>
  <r>
    <n v="56378698"/>
    <s v="N"/>
    <n v="21356834"/>
    <s v="3000013381950005RC"/>
    <s v="CIVIL"/>
    <d v="2023-06-28T00:00:00"/>
    <d v="2023-07-10T19:47:44"/>
    <m/>
    <d v="2023-07-10T00:00:00"/>
    <n v="1749"/>
    <n v="19529"/>
    <s v="56378698"/>
    <s v="56378698"/>
    <m/>
    <m/>
    <m/>
    <m/>
    <m/>
    <m/>
    <s v="SOLRECOUP"/>
    <s v="SOLRECOUP"/>
    <s v="POARECOUP"/>
    <n v="21356834"/>
    <n v="-2231.29"/>
    <m/>
    <s v="Y"/>
    <n v="2"/>
    <d v="2023-07-10T19:47:46"/>
    <s v="N"/>
    <m/>
    <m/>
    <s v="Profit Cost"/>
    <m/>
    <s v="N"/>
    <n v="0"/>
    <n v="-371.88"/>
    <x v="2"/>
    <s v="VALIDATED"/>
    <n v="1"/>
    <s v="01.11.80.308.2013.0000"/>
    <n v="-371.88"/>
    <s v="11"/>
    <s v="2013"/>
    <n v="41014.84"/>
    <n v="-371.88"/>
    <s v="CREDITOR"/>
    <n v="0"/>
    <n v="0"/>
    <n v="-371.88"/>
    <n v="-92.97"/>
    <n v="0"/>
  </r>
  <r>
    <n v="56378698"/>
    <s v="N"/>
    <n v="21356835"/>
    <s v="3000013381950007RC"/>
    <s v="CIVIL"/>
    <d v="2023-06-28T00:00:00"/>
    <d v="2023-07-10T19:47:44"/>
    <m/>
    <d v="2023-07-10T00:00:00"/>
    <n v="1749"/>
    <n v="19529"/>
    <s v="56378698"/>
    <s v="56378698"/>
    <m/>
    <m/>
    <m/>
    <m/>
    <m/>
    <m/>
    <s v="SOLRECOUP"/>
    <s v="SOLRECOUP"/>
    <s v="POARECOUP"/>
    <n v="21356835"/>
    <n v="-59.4"/>
    <m/>
    <s v="Y"/>
    <n v="1"/>
    <d v="2023-07-10T19:47:46"/>
    <s v="N"/>
    <m/>
    <m/>
    <s v="Expert Disbursement"/>
    <m/>
    <s v="N"/>
    <n v="-49.5"/>
    <n v="0"/>
    <x v="2"/>
    <s v="VALIDATED"/>
    <n v="1"/>
    <s v="01.11.80.308.2013.0000"/>
    <n v="-49.5"/>
    <s v="11"/>
    <s v="2013"/>
    <n v="41014.84"/>
    <n v="-49.5"/>
    <s v="CREDITOR"/>
    <n v="0"/>
    <n v="0"/>
    <n v="-49.5"/>
    <n v="0"/>
    <n v="0"/>
  </r>
  <r>
    <n v="56378698"/>
    <s v="N"/>
    <n v="21356835"/>
    <s v="3000013381950007RC"/>
    <s v="CIVIL"/>
    <d v="2023-06-28T00:00:00"/>
    <d v="2023-07-10T19:47:44"/>
    <m/>
    <d v="2023-07-10T00:00:00"/>
    <n v="1749"/>
    <n v="19529"/>
    <s v="56378698"/>
    <s v="56378698"/>
    <m/>
    <m/>
    <m/>
    <m/>
    <m/>
    <m/>
    <s v="SOLRECOUP"/>
    <s v="SOLRECOUP"/>
    <s v="POARECOUP"/>
    <n v="21356835"/>
    <n v="-59.4"/>
    <m/>
    <s v="Y"/>
    <n v="2"/>
    <d v="2023-07-10T19:47:46"/>
    <s v="N"/>
    <m/>
    <m/>
    <s v="Expert Disbursement"/>
    <m/>
    <s v="N"/>
    <n v="0"/>
    <n v="-9.9"/>
    <x v="2"/>
    <s v="VALIDATED"/>
    <n v="1"/>
    <s v="01.11.80.308.2013.0000"/>
    <n v="-9.9"/>
    <s v="11"/>
    <s v="2013"/>
    <n v="41014.84"/>
    <n v="-9.9"/>
    <s v="CREDITOR"/>
    <n v="0"/>
    <n v="0"/>
    <n v="-9.9"/>
    <n v="0"/>
    <n v="0"/>
  </r>
  <r>
    <n v="56378698"/>
    <s v="N"/>
    <n v="21356836"/>
    <s v="3000013381950008RC"/>
    <s v="CIVIL"/>
    <d v="2023-06-28T00:00:00"/>
    <d v="2023-07-10T19:47:44"/>
    <m/>
    <d v="2023-07-10T00:00:00"/>
    <n v="1749"/>
    <n v="19529"/>
    <s v="56378698"/>
    <s v="56378698"/>
    <m/>
    <m/>
    <m/>
    <m/>
    <m/>
    <m/>
    <s v="SOLRECOUP"/>
    <s v="SOLRECOUP"/>
    <s v="POARECOUP"/>
    <n v="21356836"/>
    <n v="-702"/>
    <m/>
    <s v="Y"/>
    <n v="1"/>
    <d v="2023-07-10T19:47:46"/>
    <s v="N"/>
    <m/>
    <m/>
    <s v="Expert Disbursement"/>
    <m/>
    <s v="N"/>
    <n v="-585"/>
    <n v="0"/>
    <x v="2"/>
    <s v="VALIDATED"/>
    <n v="1"/>
    <s v="01.11.80.308.2013.0000"/>
    <n v="-585"/>
    <s v="11"/>
    <s v="2013"/>
    <n v="41014.84"/>
    <n v="-585"/>
    <s v="CREDITOR"/>
    <n v="0"/>
    <n v="0"/>
    <n v="-585"/>
    <n v="0"/>
    <n v="0"/>
  </r>
  <r>
    <n v="56378698"/>
    <s v="N"/>
    <n v="21356836"/>
    <s v="3000013381950008RC"/>
    <s v="CIVIL"/>
    <d v="2023-06-28T00:00:00"/>
    <d v="2023-07-10T19:47:44"/>
    <m/>
    <d v="2023-07-10T00:00:00"/>
    <n v="1749"/>
    <n v="19529"/>
    <s v="56378698"/>
    <s v="56378698"/>
    <m/>
    <m/>
    <m/>
    <m/>
    <m/>
    <m/>
    <s v="SOLRECOUP"/>
    <s v="SOLRECOUP"/>
    <s v="POARECOUP"/>
    <n v="21356836"/>
    <n v="-702"/>
    <m/>
    <s v="Y"/>
    <n v="2"/>
    <d v="2023-07-10T19:47:46"/>
    <s v="N"/>
    <m/>
    <m/>
    <s v="Expert Disbursement"/>
    <m/>
    <s v="N"/>
    <n v="0"/>
    <n v="-117"/>
    <x v="2"/>
    <s v="VALIDATED"/>
    <n v="1"/>
    <s v="01.11.80.308.2013.0000"/>
    <n v="-117"/>
    <s v="11"/>
    <s v="2013"/>
    <n v="41014.84"/>
    <n v="-117"/>
    <s v="CREDITOR"/>
    <n v="0"/>
    <n v="0"/>
    <n v="-117"/>
    <n v="0"/>
    <n v="0"/>
  </r>
  <r>
    <n v="56378698"/>
    <s v="N"/>
    <n v="21356837"/>
    <s v="3000013381950009RC"/>
    <s v="CIVIL"/>
    <d v="2023-06-28T00:00:00"/>
    <d v="2023-07-10T19:47:44"/>
    <m/>
    <d v="2023-07-10T00:00:00"/>
    <n v="1749"/>
    <n v="19529"/>
    <s v="56378698"/>
    <s v="56378698"/>
    <m/>
    <m/>
    <m/>
    <m/>
    <m/>
    <m/>
    <s v="SOLRECOUP"/>
    <s v="SOLRECOUP"/>
    <s v="POARECOUP"/>
    <n v="21356837"/>
    <n v="-470.93"/>
    <m/>
    <s v="Y"/>
    <n v="1"/>
    <d v="2023-07-10T19:47:46"/>
    <s v="N"/>
    <m/>
    <m/>
    <s v="Profit Cost"/>
    <m/>
    <s v="N"/>
    <n v="-392.44"/>
    <n v="0"/>
    <x v="2"/>
    <s v="VALIDATED"/>
    <n v="1"/>
    <s v="01.11.80.308.2013.0000"/>
    <n v="-392.44"/>
    <s v="11"/>
    <s v="2013"/>
    <n v="41014.84"/>
    <n v="-392.44"/>
    <s v="CREDITOR"/>
    <n v="0"/>
    <n v="0"/>
    <n v="-392.44"/>
    <n v="-98.11"/>
    <n v="0"/>
  </r>
  <r>
    <n v="56378698"/>
    <s v="N"/>
    <n v="21356837"/>
    <s v="3000013381950009RC"/>
    <s v="CIVIL"/>
    <d v="2023-06-28T00:00:00"/>
    <d v="2023-07-10T19:47:44"/>
    <m/>
    <d v="2023-07-10T00:00:00"/>
    <n v="1749"/>
    <n v="19529"/>
    <s v="56378698"/>
    <s v="56378698"/>
    <m/>
    <m/>
    <m/>
    <m/>
    <m/>
    <m/>
    <s v="SOLRECOUP"/>
    <s v="SOLRECOUP"/>
    <s v="POARECOUP"/>
    <n v="21356837"/>
    <n v="-470.93"/>
    <m/>
    <s v="Y"/>
    <n v="2"/>
    <d v="2023-07-10T19:47:46"/>
    <s v="N"/>
    <m/>
    <m/>
    <s v="Profit Cost"/>
    <m/>
    <s v="N"/>
    <n v="0"/>
    <n v="-78.48999999999999"/>
    <x v="2"/>
    <s v="VALIDATED"/>
    <n v="1"/>
    <s v="01.11.80.308.2013.0000"/>
    <n v="-78.48999999999999"/>
    <s v="11"/>
    <s v="2013"/>
    <n v="41014.84"/>
    <n v="-78.48999999999999"/>
    <s v="CREDITOR"/>
    <n v="0"/>
    <n v="0"/>
    <n v="-78.48999999999999"/>
    <n v="-19.6225"/>
    <n v="0"/>
  </r>
  <r>
    <n v="61891359"/>
    <s v="N"/>
    <n v="21356838"/>
    <s v="3000015950310003RC"/>
    <s v="CIVIL"/>
    <d v="2023-06-29T00:00:00"/>
    <d v="2023-07-10T19:47:44"/>
    <m/>
    <d v="2023-07-10T00:00:00"/>
    <n v="1749"/>
    <n v="19529"/>
    <s v="61891359"/>
    <s v="61891359"/>
    <m/>
    <m/>
    <m/>
    <m/>
    <m/>
    <m/>
    <s v="SOLRECOUP"/>
    <s v="SOLRECOUP"/>
    <s v="POARECOUP"/>
    <n v="21356838"/>
    <n v="-2466.65"/>
    <m/>
    <s v="Y"/>
    <n v="1"/>
    <d v="2023-07-10T19:47:46"/>
    <s v="N"/>
    <m/>
    <m/>
    <s v="Profit Cost"/>
    <m/>
    <s v="N"/>
    <n v="-2055.54"/>
    <n v="0"/>
    <x v="2"/>
    <s v="VALIDATED"/>
    <n v="1"/>
    <s v="01.11.80.308.2013.0000"/>
    <n v="-2055.54"/>
    <s v="11"/>
    <s v="2013"/>
    <n v="41014.84"/>
    <n v="-2055.54"/>
    <s v="CREDITOR"/>
    <n v="0"/>
    <n v="0"/>
    <n v="-2055.54"/>
    <n v="-513.885"/>
    <n v="0"/>
  </r>
  <r>
    <n v="61670453"/>
    <s v="N"/>
    <n v="21361627"/>
    <s v="3000015767050007RC"/>
    <s v="CIVIL"/>
    <d v="2023-06-30T00:00:00"/>
    <d v="2023-07-11T19:38:00"/>
    <m/>
    <d v="2023-07-11T00:00:00"/>
    <n v="1749"/>
    <n v="19529"/>
    <s v="61670453"/>
    <s v="61670453"/>
    <m/>
    <m/>
    <m/>
    <m/>
    <m/>
    <m/>
    <s v="SOLRECOUP"/>
    <s v="SOLRECOUP"/>
    <s v="POARECOUP"/>
    <n v="21361627"/>
    <n v="-878.4400000000001"/>
    <m/>
    <s v="Y"/>
    <n v="1"/>
    <d v="2023-07-11T19:38:01"/>
    <s v="N"/>
    <m/>
    <m/>
    <s v="Expert Disbursement"/>
    <m/>
    <s v="N"/>
    <n v="-732.03"/>
    <n v="0"/>
    <x v="7"/>
    <s v="VALIDATED"/>
    <n v="1"/>
    <s v="01.11.80.308.2013.0000"/>
    <n v="-732.03"/>
    <s v="11"/>
    <s v="2013"/>
    <n v="41014.84"/>
    <n v="-732.03"/>
    <s v="CREDITOR"/>
    <n v="0"/>
    <n v="0"/>
    <n v="-732.03"/>
    <n v="0"/>
    <n v="0"/>
  </r>
  <r>
    <n v="61670453"/>
    <s v="N"/>
    <n v="21361627"/>
    <s v="3000015767050007RC"/>
    <s v="CIVIL"/>
    <d v="2023-06-30T00:00:00"/>
    <d v="2023-07-11T19:38:00"/>
    <m/>
    <d v="2023-07-11T00:00:00"/>
    <n v="1749"/>
    <n v="19529"/>
    <s v="61670453"/>
    <s v="61670453"/>
    <m/>
    <m/>
    <m/>
    <m/>
    <m/>
    <m/>
    <s v="SOLRECOUP"/>
    <s v="SOLRECOUP"/>
    <s v="POARECOUP"/>
    <n v="21361627"/>
    <n v="-878.4400000000001"/>
    <m/>
    <s v="Y"/>
    <n v="2"/>
    <d v="2023-07-11T19:38:01"/>
    <s v="N"/>
    <m/>
    <m/>
    <s v="Expert Disbursement"/>
    <m/>
    <s v="N"/>
    <n v="0"/>
    <n v="-146.41"/>
    <x v="7"/>
    <s v="VALIDATED"/>
    <n v="1"/>
    <s v="01.11.80.308.2013.0000"/>
    <n v="-146.41"/>
    <s v="11"/>
    <s v="2013"/>
    <n v="41014.84"/>
    <n v="-146.41"/>
    <s v="CREDITOR"/>
    <n v="0"/>
    <n v="0"/>
    <n v="-146.41"/>
    <n v="0"/>
    <n v="0"/>
  </r>
  <r>
    <n v="61670453"/>
    <s v="N"/>
    <n v="21361636"/>
    <s v="3000015767050003RC"/>
    <s v="CIVIL"/>
    <d v="2023-06-30T00:00:00"/>
    <d v="2023-07-11T19:38:00"/>
    <m/>
    <d v="2023-07-11T00:00:00"/>
    <n v="1749"/>
    <n v="19529"/>
    <s v="61670453"/>
    <s v="61670453"/>
    <m/>
    <m/>
    <m/>
    <m/>
    <m/>
    <m/>
    <s v="SOLRECOUP"/>
    <s v="SOLRECOUP"/>
    <s v="POARECOUP"/>
    <n v="21361636"/>
    <n v="-829.63"/>
    <m/>
    <s v="Y"/>
    <n v="1"/>
    <d v="2023-07-11T19:38:02"/>
    <s v="N"/>
    <m/>
    <m/>
    <s v="Expert Disbursement"/>
    <m/>
    <s v="N"/>
    <n v="-691.36"/>
    <n v="0"/>
    <x v="7"/>
    <s v="VALIDATED"/>
    <n v="1"/>
    <s v="01.11.80.308.2013.0000"/>
    <n v="-691.36"/>
    <s v="11"/>
    <s v="2013"/>
    <n v="41014.84"/>
    <n v="-691.36"/>
    <s v="CREDITOR"/>
    <n v="0"/>
    <n v="0"/>
    <n v="-691.36"/>
    <n v="0"/>
    <n v="0"/>
  </r>
  <r>
    <n v="61670453"/>
    <s v="N"/>
    <n v="21361636"/>
    <s v="3000015767050003RC"/>
    <s v="CIVIL"/>
    <d v="2023-06-30T00:00:00"/>
    <d v="2023-07-11T19:38:00"/>
    <m/>
    <d v="2023-07-11T00:00:00"/>
    <n v="1749"/>
    <n v="19529"/>
    <s v="61670453"/>
    <s v="61670453"/>
    <m/>
    <m/>
    <m/>
    <m/>
    <m/>
    <m/>
    <s v="SOLRECOUP"/>
    <s v="SOLRECOUP"/>
    <s v="POARECOUP"/>
    <n v="21361636"/>
    <n v="-829.63"/>
    <m/>
    <s v="Y"/>
    <n v="2"/>
    <d v="2023-07-11T19:38:02"/>
    <s v="N"/>
    <m/>
    <m/>
    <s v="Expert Disbursement"/>
    <m/>
    <s v="N"/>
    <n v="0"/>
    <n v="-138.27"/>
    <x v="7"/>
    <s v="VALIDATED"/>
    <n v="1"/>
    <s v="01.11.80.308.2013.0000"/>
    <n v="-138.27"/>
    <s v="11"/>
    <s v="2013"/>
    <n v="41014.84"/>
    <n v="-138.27"/>
    <s v="CREDITOR"/>
    <n v="0"/>
    <n v="0"/>
    <n v="-138.27"/>
    <n v="0"/>
    <n v="0"/>
  </r>
  <r>
    <n v="61670453"/>
    <s v="N"/>
    <n v="21361638"/>
    <s v="3000015767050006RC"/>
    <s v="CIVIL"/>
    <d v="2023-06-30T00:00:00"/>
    <d v="2023-07-11T19:38:00"/>
    <m/>
    <d v="2023-07-11T00:00:00"/>
    <n v="1749"/>
    <n v="19529"/>
    <s v="61670453"/>
    <s v="61670453"/>
    <m/>
    <m/>
    <m/>
    <m/>
    <m/>
    <m/>
    <s v="SOLRECOUP"/>
    <s v="SOLRECOUP"/>
    <s v="POARECOUP"/>
    <n v="21361638"/>
    <n v="-112"/>
    <m/>
    <s v="Y"/>
    <n v="1"/>
    <d v="2023-07-11T19:38:02"/>
    <s v="N"/>
    <m/>
    <m/>
    <s v="Expert Disbursement"/>
    <m/>
    <s v="N"/>
    <n v="-93.33"/>
    <n v="0"/>
    <x v="7"/>
    <s v="VALIDATED"/>
    <n v="1"/>
    <s v="01.11.80.308.2013.0000"/>
    <n v="-93.33"/>
    <s v="11"/>
    <s v="2013"/>
    <n v="41014.84"/>
    <n v="-93.33"/>
    <s v="CREDITOR"/>
    <n v="0"/>
    <n v="0"/>
    <n v="-93.33"/>
    <n v="0"/>
    <n v="0"/>
  </r>
  <r>
    <n v="62248633"/>
    <s v="N"/>
    <n v="21349774"/>
    <s v="3000016248660001"/>
    <s v="CIVIL"/>
    <d v="2023-06-30T00:00:00"/>
    <d v="2023-07-10T19:01:40"/>
    <m/>
    <d v="2023-07-10T00:00:00"/>
    <n v="1749"/>
    <n v="19529"/>
    <s v="62248633"/>
    <s v="62248633"/>
    <m/>
    <m/>
    <n v="22796056"/>
    <m/>
    <m/>
    <m/>
    <s v="SOLFIN"/>
    <s v="SOLFIN"/>
    <s v="CCMS"/>
    <n v="21349774"/>
    <n v="609.83"/>
    <m/>
    <s v="N"/>
    <n v="5"/>
    <d v="2023-07-10T19:01:57"/>
    <s v="Y"/>
    <s v="Preparation - drafting attendance n"/>
    <s v="Care Remuneration Hourly Rates"/>
    <s v="Profit Cost"/>
    <s v="HR"/>
    <s v="Y"/>
    <n v="6.72"/>
    <n v="1.34"/>
    <x v="2"/>
    <s v="VALIDATED"/>
    <n v="1"/>
    <s v="01.11.80.308.6100.0000"/>
    <n v="6.72"/>
    <s v="11"/>
    <s v="6100"/>
    <n v="41014.84"/>
    <n v="6.72"/>
    <s v="CREDITOR"/>
    <n v="0"/>
    <n v="0"/>
    <n v="0"/>
    <n v="0"/>
    <n v="6.72"/>
  </r>
  <r>
    <n v="56378698"/>
    <s v="N"/>
    <n v="21350058"/>
    <s v="3000013381950016"/>
    <s v="CIVIL"/>
    <d v="2023-06-28T00:00:00"/>
    <d v="2023-07-10T19:01:40"/>
    <m/>
    <d v="2023-07-10T00:00:00"/>
    <n v="1749"/>
    <n v="19529"/>
    <s v="56378698"/>
    <s v="56378698"/>
    <m/>
    <m/>
    <n v="22781026"/>
    <m/>
    <m/>
    <m/>
    <s v="SOLFIN"/>
    <s v="SOLFIN"/>
    <s v="CCMS"/>
    <n v="21350058"/>
    <n v="15196.66"/>
    <m/>
    <s v="N"/>
    <n v="60"/>
    <d v="2023-07-10T19:02:12"/>
    <s v="Y"/>
    <s v="Preparation - other"/>
    <s v="Care Remuneration Hourly Rates"/>
    <s v="Profit Cost"/>
    <s v="REB"/>
    <s v="Y"/>
    <n v="89.37"/>
    <n v="17.87"/>
    <x v="2"/>
    <s v="VALIDATED"/>
    <n v="1"/>
    <s v="01.11.80.308.6100.0000"/>
    <n v="89.37"/>
    <s v="11"/>
    <s v="6100"/>
    <n v="41014.84"/>
    <n v="89.37"/>
    <s v="CREDITOR"/>
    <n v="0"/>
    <n v="0"/>
    <n v="0"/>
    <n v="0"/>
    <n v="89.37"/>
  </r>
  <r>
    <n v="62179919"/>
    <s v="N"/>
    <n v="21370392"/>
    <s v="3000016165870001"/>
    <s v="CIVIL"/>
    <d v="2023-06-30T00:00:00"/>
    <d v="2023-07-13T19:21:05"/>
    <m/>
    <d v="2023-07-13T00:00:00"/>
    <n v="1749"/>
    <n v="19529"/>
    <s v="62179919"/>
    <s v="62179919"/>
    <m/>
    <m/>
    <n v="22794182"/>
    <m/>
    <m/>
    <m/>
    <s v="SOLFIN"/>
    <s v="SOLFIN"/>
    <s v="CCMS"/>
    <n v="21370392"/>
    <n v="1471.28"/>
    <m/>
    <s v="N"/>
    <n v="15"/>
    <d v="2023-07-13T19:21:24"/>
    <s v="Y"/>
    <s v="Attendance upon client"/>
    <s v="Prescribed Hourly Rates"/>
    <s v="Profit Cost"/>
    <s v="HR"/>
    <s v="Y"/>
    <n v="22.69"/>
    <n v="4.54"/>
    <x v="11"/>
    <s v="VALIDATED"/>
    <n v="1"/>
    <s v="01.11.80.305.6100.0000"/>
    <n v="22.69"/>
    <s v="11"/>
    <s v="6100"/>
    <n v="41014.84"/>
    <n v="22.69"/>
    <s v="CREDITOR"/>
    <n v="0"/>
    <n v="0"/>
    <n v="0"/>
    <n v="0"/>
    <n v="22.69"/>
  </r>
  <r>
    <n v="56378698"/>
    <s v="N"/>
    <n v="21350058"/>
    <s v="3000013381950016"/>
    <s v="CIVIL"/>
    <d v="2023-06-28T00:00:00"/>
    <d v="2023-07-10T19:01:40"/>
    <m/>
    <d v="2023-07-10T00:00:00"/>
    <n v="1749"/>
    <n v="19529"/>
    <s v="56378698"/>
    <s v="56378698"/>
    <m/>
    <m/>
    <n v="22781026"/>
    <m/>
    <m/>
    <m/>
    <s v="SOLFIN"/>
    <s v="SOLFIN"/>
    <s v="CCMS"/>
    <n v="21350058"/>
    <n v="15196.66"/>
    <m/>
    <s v="N"/>
    <n v="2"/>
    <d v="2023-07-10T19:02:12"/>
    <s v="Y"/>
    <s v="Interim Hearing Court Bundle/Advoca"/>
    <s v="Public Law Children"/>
    <s v="Advocacy"/>
    <s v="RLA"/>
    <s v="Y"/>
    <n v="59.4"/>
    <n v="11.88"/>
    <x v="2"/>
    <s v="VALIDATED"/>
    <n v="1"/>
    <s v="01.11.80.308.6100.0000"/>
    <n v="59.4"/>
    <s v="11"/>
    <s v="6100"/>
    <n v="41014.84"/>
    <n v="59.4"/>
    <s v="CREDITOR"/>
    <n v="0"/>
    <n v="0"/>
    <n v="0"/>
    <n v="0"/>
    <n v="59.4"/>
  </r>
  <r>
    <n v="60696754"/>
    <s v="N"/>
    <n v="21338339"/>
    <s v="3000014940080010"/>
    <s v="CIVIL"/>
    <d v="2023-06-26T00:00:00"/>
    <d v="2023-07-06T19:21:01"/>
    <m/>
    <d v="2023-07-06T00:00:00"/>
    <n v="1749"/>
    <n v="19529"/>
    <s v="60696754"/>
    <s v="60696754"/>
    <m/>
    <m/>
    <n v="22764422"/>
    <m/>
    <m/>
    <m/>
    <s v="SOLFIN"/>
    <s v="SOLFIN"/>
    <s v="CCMS"/>
    <n v="21338339"/>
    <n v="19664.59"/>
    <m/>
    <s v="N"/>
    <n v="13"/>
    <d v="2023-07-06T19:21:20"/>
    <s v="Y"/>
    <s v="Hearing Unit 1.01 - 2.30 Hours"/>
    <s v="Public Law Children"/>
    <s v="Advocacy"/>
    <s v="Hazel Roberts"/>
    <s v="Y"/>
    <n v="238.46"/>
    <n v="47.69"/>
    <x v="4"/>
    <s v="VALIDATED"/>
    <n v="1"/>
    <s v="01.11.80.308.6100.0000"/>
    <n v="238.46"/>
    <s v="11"/>
    <s v="6100"/>
    <n v="41014.84"/>
    <n v="238.46"/>
    <s v="CREDITOR"/>
    <n v="0"/>
    <n v="0"/>
    <n v="0"/>
    <n v="0"/>
    <n v="238.46"/>
  </r>
  <r>
    <n v="60309343"/>
    <s v="N"/>
    <n v="21324542"/>
    <s v="3000014610440010RC"/>
    <s v="CIVIL"/>
    <d v="2023-06-26T00:00:00"/>
    <d v="2023-07-03T19:42:50"/>
    <m/>
    <d v="2023-07-03T00:00:00"/>
    <n v="1749"/>
    <n v="19529"/>
    <s v="60309343"/>
    <s v="60309343"/>
    <m/>
    <m/>
    <m/>
    <m/>
    <m/>
    <m/>
    <s v="SOLRECOUP"/>
    <s v="SOLRECOUP"/>
    <s v="POARECOUP"/>
    <n v="21324542"/>
    <n v="-167"/>
    <m/>
    <s v="Y"/>
    <n v="2"/>
    <d v="2023-07-03T19:42:52"/>
    <s v="N"/>
    <m/>
    <m/>
    <s v="Non Expert Disbursement"/>
    <m/>
    <s v="N"/>
    <n v="0"/>
    <n v="0"/>
    <x v="3"/>
    <s v="VALIDATED"/>
    <n v="1"/>
    <s v="01.11.80.000.0000.0000"/>
    <n v="0"/>
    <s v="11"/>
    <s v="0000"/>
    <n v="41014.84"/>
    <n v="0"/>
    <s v="CREDITOR"/>
    <n v="0"/>
    <n v="0"/>
    <n v="0"/>
    <n v="0"/>
    <n v="0"/>
  </r>
  <r>
    <n v="60309343"/>
    <s v="N"/>
    <n v="21324543"/>
    <s v="3000014610440003RC"/>
    <s v="CIVIL"/>
    <d v="2023-06-26T00:00:00"/>
    <d v="2023-07-03T19:42:50"/>
    <m/>
    <d v="2023-07-03T00:00:00"/>
    <n v="1749"/>
    <n v="19529"/>
    <s v="60309343"/>
    <s v="60309343"/>
    <m/>
    <m/>
    <m/>
    <m/>
    <m/>
    <m/>
    <s v="SOLRECOUP"/>
    <s v="SOLRECOUP"/>
    <s v="POARECOUP"/>
    <n v="21324543"/>
    <n v="-4788.19"/>
    <m/>
    <s v="Y"/>
    <n v="1"/>
    <d v="2023-07-03T19:42:52"/>
    <s v="N"/>
    <m/>
    <m/>
    <s v="Profit Cost"/>
    <m/>
    <s v="N"/>
    <n v="-3990.16"/>
    <n v="0"/>
    <x v="3"/>
    <s v="VALIDATED"/>
    <n v="1"/>
    <s v="01.11.80.308.2013.0000"/>
    <n v="-3990.16"/>
    <s v="11"/>
    <s v="2013"/>
    <n v="41014.84"/>
    <n v="-3990.16"/>
    <s v="CREDITOR"/>
    <n v="0"/>
    <n v="0"/>
    <n v="-3990.16"/>
    <n v="-997.54"/>
    <n v="0"/>
  </r>
  <r>
    <n v="60309343"/>
    <s v="N"/>
    <n v="21324543"/>
    <s v="3000014610440003RC"/>
    <s v="CIVIL"/>
    <d v="2023-06-26T00:00:00"/>
    <d v="2023-07-03T19:42:50"/>
    <m/>
    <d v="2023-07-03T00:00:00"/>
    <n v="1749"/>
    <n v="19529"/>
    <s v="60309343"/>
    <s v="60309343"/>
    <m/>
    <m/>
    <m/>
    <m/>
    <m/>
    <m/>
    <s v="SOLRECOUP"/>
    <s v="SOLRECOUP"/>
    <s v="POARECOUP"/>
    <n v="21324543"/>
    <n v="-4788.19"/>
    <m/>
    <s v="Y"/>
    <n v="2"/>
    <d v="2023-07-03T19:42:52"/>
    <s v="N"/>
    <m/>
    <m/>
    <s v="Profit Cost"/>
    <m/>
    <s v="N"/>
    <n v="0"/>
    <n v="-798.03"/>
    <x v="3"/>
    <s v="VALIDATED"/>
    <n v="1"/>
    <s v="01.11.80.308.2013.0000"/>
    <n v="-798.03"/>
    <s v="11"/>
    <s v="2013"/>
    <n v="41014.84"/>
    <n v="-798.03"/>
    <s v="CREDITOR"/>
    <n v="0"/>
    <n v="0"/>
    <n v="-798.03"/>
    <n v="-199.5075"/>
    <n v="0"/>
  </r>
  <r>
    <n v="60309343"/>
    <s v="N"/>
    <n v="21324544"/>
    <s v="3000014610440004RC"/>
    <s v="CIVIL"/>
    <d v="2023-06-26T00:00:00"/>
    <d v="2023-07-03T19:42:50"/>
    <m/>
    <d v="2023-07-03T00:00:00"/>
    <n v="1749"/>
    <n v="19529"/>
    <s v="60309343"/>
    <s v="60309343"/>
    <m/>
    <m/>
    <m/>
    <m/>
    <m/>
    <m/>
    <s v="SOLRECOUP"/>
    <s v="SOLRECOUP"/>
    <s v="POARECOUP"/>
    <n v="21324544"/>
    <n v="-239.99"/>
    <m/>
    <s v="Y"/>
    <n v="1"/>
    <d v="2023-07-03T19:42:52"/>
    <s v="N"/>
    <m/>
    <m/>
    <s v="Expert Disbursement"/>
    <m/>
    <s v="N"/>
    <n v="-199.99"/>
    <n v="0"/>
    <x v="3"/>
    <s v="VALIDATED"/>
    <n v="1"/>
    <s v="01.11.80.308.2013.0000"/>
    <n v="-199.99"/>
    <s v="11"/>
    <s v="2013"/>
    <n v="41014.84"/>
    <n v="-199.99"/>
    <s v="CREDITOR"/>
    <n v="0"/>
    <n v="0"/>
    <n v="-199.99"/>
    <n v="0"/>
    <n v="0"/>
  </r>
  <r>
    <n v="56378698"/>
    <s v="N"/>
    <n v="21350058"/>
    <s v="3000013381950016"/>
    <s v="CIVIL"/>
    <d v="2023-06-28T00:00:00"/>
    <d v="2023-07-10T19:01:40"/>
    <m/>
    <d v="2023-07-10T00:00:00"/>
    <n v="1749"/>
    <n v="19529"/>
    <s v="56378698"/>
    <s v="56378698"/>
    <m/>
    <m/>
    <n v="22781026"/>
    <m/>
    <m/>
    <m/>
    <s v="SOLFIN"/>
    <s v="SOLFIN"/>
    <s v="CCMS"/>
    <n v="21350058"/>
    <n v="15196.66"/>
    <m/>
    <s v="N"/>
    <n v="78"/>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28"/>
    <d v="2023-07-10T19:02:12"/>
    <s v="Y"/>
    <s v="Preparation - other"/>
    <s v="Care Remuneration Hourly Rates"/>
    <s v="Profit Cost"/>
    <s v="RLA"/>
    <s v="Y"/>
    <n v="6.05"/>
    <n v="1.21"/>
    <x v="2"/>
    <s v="VALIDATED"/>
    <n v="1"/>
    <s v="01.11.80.308.6100.0000"/>
    <n v="6.05"/>
    <s v="11"/>
    <s v="6100"/>
    <n v="41014.84"/>
    <n v="6.05"/>
    <s v="CREDITOR"/>
    <n v="0"/>
    <n v="0"/>
    <n v="0"/>
    <n v="0"/>
    <n v="6.05"/>
  </r>
  <r>
    <n v="60696754"/>
    <s v="N"/>
    <n v="21338339"/>
    <s v="3000014940080010"/>
    <s v="CIVIL"/>
    <d v="2023-06-26T00:00:00"/>
    <d v="2023-07-06T19:21:01"/>
    <m/>
    <d v="2023-07-06T00:00:00"/>
    <n v="1749"/>
    <n v="19529"/>
    <s v="60696754"/>
    <s v="60696754"/>
    <m/>
    <m/>
    <n v="22764422"/>
    <m/>
    <m/>
    <m/>
    <s v="SOLFIN"/>
    <s v="SOLFIN"/>
    <s v="CCMS"/>
    <n v="21338339"/>
    <n v="19664.59"/>
    <m/>
    <s v="N"/>
    <n v="2"/>
    <d v="2023-07-06T19:21:20"/>
    <s v="Y"/>
    <s v="Interim Hearing Court Bundle/Advoca"/>
    <s v="Public Law Children"/>
    <s v="Advocacy"/>
    <s v="Hazel Roberts"/>
    <s v="Y"/>
    <n v="89.09999999999999"/>
    <n v="17.82"/>
    <x v="4"/>
    <s v="VALIDATED"/>
    <n v="1"/>
    <s v="01.11.80.308.6100.0000"/>
    <n v="89.09999999999999"/>
    <s v="11"/>
    <s v="6100"/>
    <n v="41014.84"/>
    <n v="89.09999999999999"/>
    <s v="CREDITOR"/>
    <n v="0"/>
    <n v="0"/>
    <n v="0"/>
    <n v="0"/>
    <n v="89.09999999999999"/>
  </r>
  <r>
    <n v="60994134"/>
    <s v="N"/>
    <n v="21331368"/>
    <s v="3000015197670010"/>
    <s v="CIVIL"/>
    <d v="2023-06-27T00:00:00"/>
    <d v="2023-07-05T19:01:47"/>
    <m/>
    <d v="2023-07-05T00:00:00"/>
    <n v="1749"/>
    <n v="19529"/>
    <s v="60994134"/>
    <s v="60994134"/>
    <m/>
    <m/>
    <n v="22768058"/>
    <m/>
    <m/>
    <m/>
    <s v="SOLFIN"/>
    <s v="SOLFIN"/>
    <s v="CCMS"/>
    <n v="21331368"/>
    <n v="3433.53"/>
    <m/>
    <s v="N"/>
    <n v="4"/>
    <d v="2023-07-05T19:02:16"/>
    <s v="Y"/>
    <s v="Advocates Meeting"/>
    <s v="Public Law Children"/>
    <s v="Advocacy"/>
    <s v="HB"/>
    <s v="Y"/>
    <n v="140.99"/>
    <n v="28.2"/>
    <x v="6"/>
    <s v="VALIDATED"/>
    <n v="1"/>
    <s v="01.11.80.308.6100.0000"/>
    <n v="140.99"/>
    <s v="11"/>
    <s v="6100"/>
    <n v="41014.84"/>
    <n v="140.99"/>
    <s v="CREDITOR"/>
    <n v="0"/>
    <n v="0"/>
    <n v="0"/>
    <n v="0"/>
    <n v="140.99"/>
  </r>
  <r>
    <n v="62114967"/>
    <s v="N"/>
    <n v="21319524"/>
    <s v="3000016139130005"/>
    <s v="CIVIL"/>
    <d v="2023-06-27T00:00:00"/>
    <d v="2023-07-03T19:04:24"/>
    <m/>
    <d v="2023-07-03T00:00:00"/>
    <n v="1749"/>
    <n v="19529"/>
    <s v="62114967"/>
    <s v="62114967"/>
    <m/>
    <m/>
    <n v="22768222"/>
    <m/>
    <m/>
    <m/>
    <s v="SOLPOA"/>
    <s v="SOLPOA"/>
    <s v="CCMS"/>
    <n v="21319524"/>
    <n v="132"/>
    <m/>
    <s v="N"/>
    <n v="1"/>
    <d v="2023-07-03T19:04:26"/>
    <s v="N"/>
    <s v="Expert Cost"/>
    <s v="Expert Cost"/>
    <s v="Expert Disbursement"/>
    <s v="BFL"/>
    <s v="N"/>
    <n v="110"/>
    <n v="22"/>
    <x v="3"/>
    <s v="VALIDATED"/>
    <n v="1"/>
    <s v="01.11.80.308.2012.0000"/>
    <n v="110"/>
    <s v="11"/>
    <s v="2012"/>
    <n v="41014.84"/>
    <n v="110"/>
    <s v="CREDITOR"/>
    <n v="110"/>
    <n v="0"/>
    <n v="0"/>
    <n v="0"/>
    <n v="0"/>
  </r>
  <r>
    <n v="61039369"/>
    <s v="N"/>
    <n v="21323918"/>
    <s v="3000015226980016"/>
    <s v="CIVIL"/>
    <d v="2023-06-30T00:00:00"/>
    <d v="2023-07-03T19:05:56"/>
    <m/>
    <d v="2023-07-03T00:00:00"/>
    <n v="1749"/>
    <n v="19529"/>
    <s v="61039369"/>
    <s v="61039369"/>
    <m/>
    <m/>
    <n v="22796226"/>
    <m/>
    <m/>
    <m/>
    <s v="SOLPOA"/>
    <s v="SOLPOA"/>
    <s v="CCMS"/>
    <n v="21323918"/>
    <n v="2802.31"/>
    <m/>
    <s v="N"/>
    <n v="1"/>
    <d v="2023-07-03T19:05:59"/>
    <s v="N"/>
    <s v="Solicitors Fixed Fee"/>
    <s v="Public Law Children"/>
    <s v="Profit Cost"/>
    <s v="RLA"/>
    <s v="N"/>
    <n v="2335.26"/>
    <n v="467.05"/>
    <x v="3"/>
    <s v="VALIDATED"/>
    <n v="1"/>
    <s v="01.11.80.308.2012.0000"/>
    <n v="2335.26"/>
    <s v="11"/>
    <s v="2012"/>
    <n v="41014.84"/>
    <n v="2335.26"/>
    <s v="CREDITOR"/>
    <n v="2335.26"/>
    <n v="583.8150000000001"/>
    <n v="0"/>
    <n v="0"/>
    <n v="0"/>
  </r>
  <r>
    <n v="62168005"/>
    <s v="N"/>
    <n v="21323584"/>
    <s v="3000016165860003"/>
    <s v="CIVIL"/>
    <d v="2023-06-30T00:00:00"/>
    <d v="2023-07-03T19:05:56"/>
    <m/>
    <d v="2023-07-03T00:00:00"/>
    <n v="1749"/>
    <n v="19529"/>
    <s v="62168005"/>
    <s v="62168005"/>
    <m/>
    <m/>
    <n v="22795378"/>
    <m/>
    <m/>
    <m/>
    <s v="SOLPOA"/>
    <s v="SOLPOA"/>
    <s v="CCMS"/>
    <n v="21323584"/>
    <n v="586.14"/>
    <m/>
    <s v="N"/>
    <n v="1"/>
    <d v="2023-07-03T19:05:57"/>
    <s v="N"/>
    <s v="Profit Cost"/>
    <s v="Profit Cost"/>
    <s v="Profit Cost"/>
    <s v="CFL"/>
    <s v="N"/>
    <n v="488.45"/>
    <n v="97.69"/>
    <x v="3"/>
    <s v="VALIDATED"/>
    <n v="1"/>
    <s v="01.11.80.307.2012.0000"/>
    <n v="488.45"/>
    <s v="11"/>
    <s v="2012"/>
    <n v="41014.84"/>
    <n v="488.45"/>
    <s v="CREDITOR"/>
    <n v="488.45"/>
    <n v="122.1125"/>
    <n v="0"/>
    <n v="0"/>
    <n v="0"/>
  </r>
  <r>
    <n v="62248633"/>
    <s v="N"/>
    <n v="21349774"/>
    <s v="3000016248660001"/>
    <s v="CIVIL"/>
    <d v="2023-06-30T00:00:00"/>
    <d v="2023-07-10T19:01:40"/>
    <m/>
    <d v="2023-07-10T00:00:00"/>
    <n v="1749"/>
    <n v="19529"/>
    <s v="62248633"/>
    <s v="62248633"/>
    <m/>
    <m/>
    <n v="22796056"/>
    <m/>
    <m/>
    <m/>
    <s v="SOLFIN"/>
    <s v="SOLFIN"/>
    <s v="CCMS"/>
    <n v="21349774"/>
    <n v="609.83"/>
    <m/>
    <s v="N"/>
    <n v="11"/>
    <d v="2023-07-10T19:01:57"/>
    <s v="Y"/>
    <s v="Routine Letter Out"/>
    <s v="Care Remuneration Hourly Rates"/>
    <s v="Profit Cost"/>
    <s v="AM/CLB"/>
    <s v="Y"/>
    <n v="55.35"/>
    <n v="11.07"/>
    <x v="2"/>
    <s v="VALIDATED"/>
    <n v="1"/>
    <s v="01.11.80.308.6100.0000"/>
    <n v="55.35"/>
    <s v="11"/>
    <s v="6100"/>
    <n v="41014.84"/>
    <n v="55.35"/>
    <s v="CREDITOR"/>
    <n v="0"/>
    <n v="0"/>
    <n v="0"/>
    <n v="0"/>
    <n v="55.35"/>
  </r>
  <r>
    <n v="56378698"/>
    <s v="N"/>
    <n v="21350058"/>
    <s v="3000013381950016"/>
    <s v="CIVIL"/>
    <d v="2023-06-28T00:00:00"/>
    <d v="2023-07-10T19:01:40"/>
    <m/>
    <d v="2023-07-10T00:00:00"/>
    <n v="1749"/>
    <n v="19529"/>
    <s v="56378698"/>
    <s v="56378698"/>
    <m/>
    <m/>
    <n v="22781026"/>
    <m/>
    <m/>
    <m/>
    <s v="SOLFIN"/>
    <s v="SOLFIN"/>
    <s v="CCMS"/>
    <n v="21350058"/>
    <n v="15196.66"/>
    <m/>
    <s v="N"/>
    <n v="148"/>
    <d v="2023-07-10T19:02:12"/>
    <s v="N"/>
    <s v="Solicitors Fixed Fee"/>
    <s v="Public Law Children"/>
    <s v="Profit Cost"/>
    <s v="RLA"/>
    <s v="N"/>
    <n v="0"/>
    <n v="0"/>
    <x v="2"/>
    <s v="VALIDATED"/>
    <n v="1"/>
    <s v="01.11.80.308.6100.0000"/>
    <n v="0"/>
    <s v="11"/>
    <s v="6100"/>
    <n v="41014.84"/>
    <n v="0"/>
    <s v="CREDITOR"/>
    <n v="0"/>
    <n v="0"/>
    <n v="0"/>
    <n v="0"/>
    <n v="0"/>
  </r>
  <r>
    <n v="56378698"/>
    <s v="N"/>
    <n v="21350058"/>
    <s v="3000013381950016"/>
    <s v="CIVIL"/>
    <d v="2023-06-28T00:00:00"/>
    <d v="2023-07-10T19:01:40"/>
    <m/>
    <d v="2023-07-10T00:00:00"/>
    <n v="1749"/>
    <n v="19529"/>
    <s v="56378698"/>
    <s v="56378698"/>
    <m/>
    <m/>
    <n v="22781026"/>
    <m/>
    <m/>
    <m/>
    <s v="SOLFIN"/>
    <s v="SOLFIN"/>
    <s v="CCMS"/>
    <n v="21350058"/>
    <n v="15196.66"/>
    <m/>
    <s v="N"/>
    <n v="25"/>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63"/>
    <d v="2023-07-10T19:02:12"/>
    <s v="Y"/>
    <s v="Preparation - other"/>
    <s v="Care Remuneration Hourly Rates"/>
    <s v="Profit Cost"/>
    <s v="ML"/>
    <s v="Y"/>
    <n v="5.26"/>
    <n v="1.05"/>
    <x v="2"/>
    <s v="VALIDATED"/>
    <n v="1"/>
    <s v="01.11.80.308.6100.0000"/>
    <n v="5.26"/>
    <s v="11"/>
    <s v="6100"/>
    <n v="41014.84"/>
    <n v="5.26"/>
    <s v="CREDITOR"/>
    <n v="0"/>
    <n v="0"/>
    <n v="0"/>
    <n v="0"/>
    <n v="5.26"/>
  </r>
  <r>
    <n v="61192903"/>
    <s v="N"/>
    <n v="21323751"/>
    <s v="3000015369980008"/>
    <s v="CIVIL"/>
    <d v="2023-06-30T00:00:00"/>
    <d v="2023-07-03T19:05:56"/>
    <m/>
    <d v="2023-07-03T00:00:00"/>
    <n v="1749"/>
    <n v="19529"/>
    <s v="61192903"/>
    <s v="61192903"/>
    <m/>
    <m/>
    <n v="22796006"/>
    <m/>
    <m/>
    <m/>
    <s v="SOLPOA"/>
    <s v="SOLPOA"/>
    <s v="CCMS"/>
    <n v="21323751"/>
    <n v="3939.48"/>
    <m/>
    <s v="N"/>
    <n v="1"/>
    <d v="2023-07-03T19:05:58"/>
    <s v="N"/>
    <s v="Solicitors Fixed Fee"/>
    <s v="Public Law Children"/>
    <s v="Profit Cost"/>
    <s v="HB"/>
    <s v="N"/>
    <n v="3282.9"/>
    <n v="656.58"/>
    <x v="3"/>
    <s v="VALIDATED"/>
    <n v="1"/>
    <s v="01.11.80.308.2012.0000"/>
    <n v="3282.9"/>
    <s v="11"/>
    <s v="2012"/>
    <n v="41014.84"/>
    <n v="3282.9"/>
    <s v="CREDITOR"/>
    <n v="3282.9"/>
    <n v="820.725"/>
    <n v="0"/>
    <n v="0"/>
    <n v="0"/>
  </r>
  <r>
    <n v="59962191"/>
    <s v="N"/>
    <n v="21382048"/>
    <s v="3000014309290018"/>
    <s v="CIVIL"/>
    <d v="2023-06-05T00:00:00"/>
    <d v="2023-07-17T19:01:46"/>
    <m/>
    <d v="2023-07-17T00:00:00"/>
    <n v="1749"/>
    <n v="19529"/>
    <s v="59962191"/>
    <s v="59962191"/>
    <m/>
    <m/>
    <n v="22615406"/>
    <m/>
    <m/>
    <m/>
    <s v="SOLPOA"/>
    <s v="SOLPOA"/>
    <s v="CCMS"/>
    <n v="21382048"/>
    <n v="526.24"/>
    <m/>
    <s v="N"/>
    <n v="1"/>
    <d v="2023-07-17T19:02:00"/>
    <s v="N"/>
    <s v="Expert Cost"/>
    <s v="Expert Cost"/>
    <s v="Expert Disbursement"/>
    <s v="Darren Matthews"/>
    <s v="N"/>
    <n v="438.53"/>
    <n v="87.70999999999999"/>
    <x v="8"/>
    <s v="VALIDATED"/>
    <n v="1"/>
    <s v="01.11.80.308.2012.0000"/>
    <n v="438.53"/>
    <s v="11"/>
    <s v="2012"/>
    <n v="41014.84"/>
    <n v="438.53"/>
    <s v="CREDITOR"/>
    <n v="438.53"/>
    <n v="0"/>
    <n v="0"/>
    <n v="0"/>
    <n v="0"/>
  </r>
  <r>
    <n v="56378698"/>
    <s v="N"/>
    <n v="21350058"/>
    <s v="3000013381950016"/>
    <s v="CIVIL"/>
    <d v="2023-06-28T00:00:00"/>
    <d v="2023-07-10T19:01:40"/>
    <m/>
    <d v="2023-07-10T00:00:00"/>
    <n v="1749"/>
    <n v="19529"/>
    <s v="56378698"/>
    <s v="56378698"/>
    <m/>
    <m/>
    <n v="22781026"/>
    <m/>
    <m/>
    <m/>
    <s v="SOLFIN"/>
    <s v="SOLFIN"/>
    <s v="CCMS"/>
    <n v="21350058"/>
    <n v="15196.66"/>
    <m/>
    <s v="N"/>
    <n v="53"/>
    <d v="2023-07-10T19:02:12"/>
    <s v="Y"/>
    <s v="Preparation - drafting bill/claim f"/>
    <s v="Care Remuneration Hourly Rates"/>
    <s v="Profit Cost"/>
    <s v="VB"/>
    <s v="Y"/>
    <n v="420.56"/>
    <n v="84.11"/>
    <x v="2"/>
    <s v="VALIDATED"/>
    <n v="1"/>
    <s v="01.11.80.308.6100.0000"/>
    <n v="420.56"/>
    <s v="11"/>
    <s v="6100"/>
    <n v="41014.84"/>
    <n v="420.56"/>
    <s v="CREDITOR"/>
    <n v="0"/>
    <n v="0"/>
    <n v="0"/>
    <n v="0"/>
    <n v="420.56"/>
  </r>
  <r>
    <n v="56378698"/>
    <s v="N"/>
    <n v="21350058"/>
    <s v="3000013381950016"/>
    <s v="CIVIL"/>
    <d v="2023-06-28T00:00:00"/>
    <d v="2023-07-10T19:01:40"/>
    <m/>
    <d v="2023-07-10T00:00:00"/>
    <n v="1749"/>
    <n v="19529"/>
    <s v="56378698"/>
    <s v="56378698"/>
    <m/>
    <m/>
    <n v="22781026"/>
    <m/>
    <m/>
    <m/>
    <s v="SOLFIN"/>
    <s v="SOLFIN"/>
    <s v="CCMS"/>
    <n v="21350058"/>
    <n v="15196.66"/>
    <m/>
    <s v="N"/>
    <n v="67"/>
    <d v="2023-07-10T19:02:12"/>
    <s v="Y"/>
    <s v="Attendance upon client"/>
    <s v="Care Remuneration Hourly Rates"/>
    <s v="Profit Cost"/>
    <s v="RLA"/>
    <s v="Y"/>
    <n v="30.23"/>
    <n v="6.05"/>
    <x v="2"/>
    <s v="VALIDATED"/>
    <n v="1"/>
    <s v="01.11.80.308.6100.0000"/>
    <n v="30.23"/>
    <s v="11"/>
    <s v="6100"/>
    <n v="41014.84"/>
    <n v="30.23"/>
    <s v="CREDITOR"/>
    <n v="0"/>
    <n v="0"/>
    <n v="0"/>
    <n v="0"/>
    <n v="30.23"/>
  </r>
  <r>
    <n v="60239005"/>
    <s v="N"/>
    <n v="21323819"/>
    <s v="3000014458250019"/>
    <s v="CIVIL"/>
    <d v="2023-06-30T00:00:00"/>
    <d v="2023-07-03T19:05:56"/>
    <m/>
    <d v="2023-07-03T00:00:00"/>
    <n v="1749"/>
    <n v="19529"/>
    <s v="60239005"/>
    <s v="60239005"/>
    <m/>
    <m/>
    <n v="22798644"/>
    <m/>
    <m/>
    <m/>
    <s v="SOLPOA"/>
    <s v="SOLPOA"/>
    <s v="CCMS"/>
    <n v="21323819"/>
    <n v="167"/>
    <m/>
    <s v="N"/>
    <n v="1"/>
    <d v="2023-07-03T19:05:59"/>
    <s v="N"/>
    <s v="Non Expert Disbursement"/>
    <s v="Non Expert Disbursement"/>
    <s v="Non Expert Disbursement"/>
    <s v="BFL"/>
    <s v="N"/>
    <n v="167"/>
    <n v="0"/>
    <x v="3"/>
    <s v="VALIDATED"/>
    <n v="1"/>
    <s v="01.11.80.308.2012.0000"/>
    <n v="167"/>
    <s v="11"/>
    <s v="2012"/>
    <n v="41014.84"/>
    <n v="167"/>
    <s v="CREDITOR"/>
    <n v="167"/>
    <n v="0"/>
    <n v="0"/>
    <n v="0"/>
    <n v="0"/>
  </r>
  <r>
    <n v="56378698"/>
    <s v="N"/>
    <n v="21350058"/>
    <s v="3000013381950016"/>
    <s v="CIVIL"/>
    <d v="2023-06-28T00:00:00"/>
    <d v="2023-07-10T19:01:40"/>
    <m/>
    <d v="2023-07-10T00:00:00"/>
    <n v="1749"/>
    <n v="19529"/>
    <s v="56378698"/>
    <s v="56378698"/>
    <m/>
    <m/>
    <n v="22781026"/>
    <m/>
    <m/>
    <m/>
    <s v="SOLFIN"/>
    <s v="SOLFIN"/>
    <s v="CCMS"/>
    <n v="21350058"/>
    <n v="15196.66"/>
    <m/>
    <s v="N"/>
    <n v="3"/>
    <d v="2023-07-10T19:02:12"/>
    <s v="Y"/>
    <s v="Final Hearing Court Bundle/Advocate"/>
    <s v="Public Law Children"/>
    <s v="Advocacy"/>
    <s v="RLA"/>
    <s v="Y"/>
    <n v="239.4"/>
    <n v="47.88"/>
    <x v="2"/>
    <s v="VALIDATED"/>
    <n v="1"/>
    <s v="01.11.80.308.6100.0000"/>
    <n v="239.4"/>
    <s v="11"/>
    <s v="6100"/>
    <n v="41014.84"/>
    <n v="239.4"/>
    <s v="CREDITOR"/>
    <n v="0"/>
    <n v="0"/>
    <n v="0"/>
    <n v="0"/>
    <n v="239.4"/>
  </r>
  <r>
    <n v="60696754"/>
    <s v="N"/>
    <n v="21338339"/>
    <s v="3000014940080010"/>
    <s v="CIVIL"/>
    <d v="2023-06-26T00:00:00"/>
    <d v="2023-07-06T19:21:01"/>
    <m/>
    <d v="2023-07-06T00:00:00"/>
    <n v="1749"/>
    <n v="19529"/>
    <s v="60696754"/>
    <s v="60696754"/>
    <m/>
    <m/>
    <n v="22764422"/>
    <m/>
    <m/>
    <m/>
    <s v="SOLFIN"/>
    <s v="SOLFIN"/>
    <s v="CCMS"/>
    <n v="21338339"/>
    <n v="19664.59"/>
    <m/>
    <s v="N"/>
    <n v="15"/>
    <d v="2023-07-06T19:21:20"/>
    <s v="Y"/>
    <s v="Hearing Unit 2.31 - 5.00 Hours"/>
    <s v="Public Law Children"/>
    <s v="Advocacy"/>
    <s v="Hazel Roberts"/>
    <s v="Y"/>
    <n v="476.92"/>
    <n v="95.38"/>
    <x v="4"/>
    <s v="VALIDATED"/>
    <n v="1"/>
    <s v="01.11.80.308.6100.0000"/>
    <n v="476.92"/>
    <s v="11"/>
    <s v="6100"/>
    <n v="41014.84"/>
    <n v="476.92"/>
    <s v="CREDITOR"/>
    <n v="0"/>
    <n v="0"/>
    <n v="0"/>
    <n v="0"/>
    <n v="476.92"/>
  </r>
  <r>
    <n v="61670453"/>
    <s v="N"/>
    <n v="21360465"/>
    <s v="3000015767050009"/>
    <s v="CIVIL"/>
    <d v="2023-06-30T00:00:00"/>
    <d v="2023-07-11T11:50:54"/>
    <m/>
    <d v="2023-07-11T00:00:00"/>
    <n v="1749"/>
    <n v="19529"/>
    <s v="61670453"/>
    <s v="61670453"/>
    <m/>
    <m/>
    <n v="22796560"/>
    <m/>
    <m/>
    <m/>
    <s v="SOLFIN"/>
    <s v="SOLFIN"/>
    <s v="CCMS"/>
    <n v="21360465"/>
    <n v="4113.27"/>
    <m/>
    <s v="N"/>
    <n v="4"/>
    <d v="2023-07-11T11:51:05"/>
    <s v="Y"/>
    <s v="Solicitors Fixed Fee"/>
    <s v="Public Law Children"/>
    <s v="Profit Cost"/>
    <s v="ES"/>
    <s v="Y"/>
    <n v="1911"/>
    <n v="382.2"/>
    <x v="7"/>
    <s v="VALIDATED"/>
    <n v="1"/>
    <s v="01.11.80.308.6100.0000"/>
    <n v="1911"/>
    <s v="11"/>
    <s v="6100"/>
    <n v="41014.84"/>
    <n v="1911"/>
    <s v="CREDITOR"/>
    <n v="0"/>
    <n v="0"/>
    <n v="0"/>
    <n v="0"/>
    <n v="1911"/>
  </r>
  <r>
    <n v="62179919"/>
    <s v="N"/>
    <n v="21370392"/>
    <s v="3000016165870001"/>
    <s v="CIVIL"/>
    <d v="2023-06-30T00:00:00"/>
    <d v="2023-07-13T19:21:05"/>
    <m/>
    <d v="2023-07-13T00:00:00"/>
    <n v="1749"/>
    <n v="19529"/>
    <s v="62179919"/>
    <s v="62179919"/>
    <m/>
    <m/>
    <n v="22794182"/>
    <m/>
    <m/>
    <m/>
    <s v="SOLFIN"/>
    <s v="SOLFIN"/>
    <s v="CCMS"/>
    <n v="21370392"/>
    <n v="1471.28"/>
    <m/>
    <s v="N"/>
    <n v="11"/>
    <d v="2023-07-13T19:21:24"/>
    <s v="Y"/>
    <s v="Preparation - other"/>
    <s v="Prescribed Hourly Rates"/>
    <s v="Profit Cost"/>
    <s v="CLB"/>
    <s v="Y"/>
    <n v="6.58"/>
    <n v="1.32"/>
    <x v="11"/>
    <s v="VALIDATED"/>
    <n v="1"/>
    <s v="01.11.80.305.6100.0000"/>
    <n v="6.58"/>
    <s v="11"/>
    <s v="6100"/>
    <n v="41014.84"/>
    <n v="6.58"/>
    <s v="CREDITOR"/>
    <n v="0"/>
    <n v="0"/>
    <n v="0"/>
    <n v="0"/>
    <n v="6.58"/>
  </r>
  <r>
    <n v="62179919"/>
    <s v="N"/>
    <n v="21370392"/>
    <s v="3000016165870001"/>
    <s v="CIVIL"/>
    <d v="2023-06-30T00:00:00"/>
    <d v="2023-07-13T19:21:05"/>
    <m/>
    <d v="2023-07-13T00:00:00"/>
    <n v="1749"/>
    <n v="19529"/>
    <s v="62179919"/>
    <s v="62179919"/>
    <m/>
    <m/>
    <n v="22794182"/>
    <m/>
    <m/>
    <m/>
    <s v="SOLFIN"/>
    <s v="SOLFIN"/>
    <s v="CCMS"/>
    <n v="21370392"/>
    <n v="1471.28"/>
    <m/>
    <s v="N"/>
    <n v="13"/>
    <d v="2023-07-13T19:21:24"/>
    <s v="Y"/>
    <s v="Advocacy - Directions Hearing"/>
    <s v="Prescribed Hourly Rates"/>
    <s v="Advocacy"/>
    <s v="HR"/>
    <s v="Y"/>
    <n v="105.86"/>
    <n v="21.17"/>
    <x v="11"/>
    <s v="VALIDATED"/>
    <n v="1"/>
    <s v="01.11.80.305.6100.0000"/>
    <n v="105.86"/>
    <s v="11"/>
    <s v="6100"/>
    <n v="41014.84"/>
    <n v="105.86"/>
    <s v="CREDITOR"/>
    <n v="0"/>
    <n v="0"/>
    <n v="0"/>
    <n v="0"/>
    <n v="105.86"/>
  </r>
  <r>
    <n v="56378698"/>
    <s v="N"/>
    <n v="21350058"/>
    <s v="3000013381950016"/>
    <s v="CIVIL"/>
    <d v="2023-06-28T00:00:00"/>
    <d v="2023-07-10T19:01:40"/>
    <m/>
    <d v="2023-07-10T00:00:00"/>
    <n v="1749"/>
    <n v="19529"/>
    <s v="56378698"/>
    <s v="56378698"/>
    <m/>
    <m/>
    <n v="22781026"/>
    <m/>
    <m/>
    <m/>
    <s v="SOLFIN"/>
    <s v="SOLFIN"/>
    <s v="CCMS"/>
    <n v="21350058"/>
    <n v="15196.66"/>
    <m/>
    <s v="N"/>
    <n v="4"/>
    <d v="2023-07-10T19:02:12"/>
    <s v="Y"/>
    <s v="Psychologist"/>
    <s v="Care Remuneration Hourly Rates"/>
    <s v="Expert Disbursement"/>
    <s v="PSYCHOLOGY EXPERTS"/>
    <s v="Y"/>
    <n v="585"/>
    <n v="117"/>
    <x v="2"/>
    <s v="VALIDATED"/>
    <n v="1"/>
    <s v="01.11.80.308.6300.0000"/>
    <n v="585"/>
    <s v="11"/>
    <s v="6300"/>
    <n v="41014.84"/>
    <n v="585"/>
    <s v="CREDITOR"/>
    <n v="0"/>
    <n v="0"/>
    <n v="0"/>
    <n v="0"/>
    <n v="585"/>
  </r>
  <r>
    <n v="60309343"/>
    <s v="N"/>
    <n v="21324544"/>
    <s v="3000014610440004RC"/>
    <s v="CIVIL"/>
    <d v="2023-06-26T00:00:00"/>
    <d v="2023-07-03T19:42:50"/>
    <m/>
    <d v="2023-07-03T00:00:00"/>
    <n v="1749"/>
    <n v="19529"/>
    <s v="60309343"/>
    <s v="60309343"/>
    <m/>
    <m/>
    <m/>
    <m/>
    <m/>
    <m/>
    <s v="SOLRECOUP"/>
    <s v="SOLRECOUP"/>
    <s v="POARECOUP"/>
    <n v="21324544"/>
    <n v="-239.99"/>
    <m/>
    <s v="Y"/>
    <n v="2"/>
    <d v="2023-07-03T19:42:52"/>
    <s v="N"/>
    <m/>
    <m/>
    <s v="Expert Disbursement"/>
    <m/>
    <s v="N"/>
    <n v="0"/>
    <n v="-40"/>
    <x v="3"/>
    <s v="VALIDATED"/>
    <n v="1"/>
    <s v="01.11.80.308.2013.0000"/>
    <n v="-40"/>
    <s v="11"/>
    <s v="2013"/>
    <n v="41014.84"/>
    <n v="-40"/>
    <s v="CREDITOR"/>
    <n v="0"/>
    <n v="0"/>
    <n v="-40"/>
    <n v="0"/>
    <n v="0"/>
  </r>
  <r>
    <n v="60309343"/>
    <s v="N"/>
    <n v="21324545"/>
    <s v="3000014610440007RC"/>
    <s v="CIVIL"/>
    <d v="2023-06-26T00:00:00"/>
    <d v="2023-07-03T19:42:50"/>
    <m/>
    <d v="2023-07-03T00:00:00"/>
    <n v="1749"/>
    <n v="19529"/>
    <s v="60309343"/>
    <s v="60309343"/>
    <m/>
    <m/>
    <m/>
    <m/>
    <m/>
    <m/>
    <s v="SOLRECOUP"/>
    <s v="SOLRECOUP"/>
    <s v="POARECOUP"/>
    <n v="21324545"/>
    <n v="-299.52"/>
    <m/>
    <s v="Y"/>
    <n v="1"/>
    <d v="2023-07-03T19:42:52"/>
    <s v="N"/>
    <m/>
    <m/>
    <s v="Expert Disbursement"/>
    <m/>
    <s v="N"/>
    <n v="-249.6"/>
    <n v="0"/>
    <x v="3"/>
    <s v="VALIDATED"/>
    <n v="1"/>
    <s v="01.11.80.308.2013.0000"/>
    <n v="-249.6"/>
    <s v="11"/>
    <s v="2013"/>
    <n v="41014.84"/>
    <n v="-249.6"/>
    <s v="CREDITOR"/>
    <n v="0"/>
    <n v="0"/>
    <n v="-249.6"/>
    <n v="0"/>
    <n v="0"/>
  </r>
  <r>
    <n v="60309343"/>
    <s v="N"/>
    <n v="21324545"/>
    <s v="3000014610440007RC"/>
    <s v="CIVIL"/>
    <d v="2023-06-26T00:00:00"/>
    <d v="2023-07-03T19:42:50"/>
    <m/>
    <d v="2023-07-03T00:00:00"/>
    <n v="1749"/>
    <n v="19529"/>
    <s v="60309343"/>
    <s v="60309343"/>
    <m/>
    <m/>
    <m/>
    <m/>
    <m/>
    <m/>
    <s v="SOLRECOUP"/>
    <s v="SOLRECOUP"/>
    <s v="POARECOUP"/>
    <n v="21324545"/>
    <n v="-299.52"/>
    <m/>
    <s v="Y"/>
    <n v="2"/>
    <d v="2023-07-03T19:42:52"/>
    <s v="N"/>
    <m/>
    <m/>
    <s v="Expert Disbursement"/>
    <m/>
    <s v="N"/>
    <n v="0"/>
    <n v="-49.92"/>
    <x v="3"/>
    <s v="VALIDATED"/>
    <n v="1"/>
    <s v="01.11.80.308.2013.0000"/>
    <n v="-49.92"/>
    <s v="11"/>
    <s v="2013"/>
    <n v="41014.84"/>
    <n v="-49.92"/>
    <s v="CREDITOR"/>
    <n v="0"/>
    <n v="0"/>
    <n v="-49.92"/>
    <n v="0"/>
    <n v="0"/>
  </r>
  <r>
    <n v="60309343"/>
    <s v="N"/>
    <n v="21324546"/>
    <s v="3000014610440024RC"/>
    <s v="CIVIL"/>
    <d v="2023-06-26T00:00:00"/>
    <d v="2023-07-03T19:42:50"/>
    <m/>
    <d v="2023-07-03T00:00:00"/>
    <n v="1749"/>
    <n v="19529"/>
    <s v="60309343"/>
    <s v="60309343"/>
    <m/>
    <m/>
    <m/>
    <m/>
    <m/>
    <m/>
    <s v="SOLRECOUP"/>
    <s v="SOLRECOUP"/>
    <s v="POARECOUP"/>
    <n v="21324546"/>
    <n v="-3423.1"/>
    <m/>
    <s v="Y"/>
    <n v="1"/>
    <d v="2023-07-03T19:42:52"/>
    <s v="N"/>
    <m/>
    <m/>
    <s v="Non Expert Disbursement"/>
    <m/>
    <s v="N"/>
    <n v="-2852.58"/>
    <n v="0"/>
    <x v="3"/>
    <s v="VALIDATED"/>
    <n v="1"/>
    <s v="01.11.80.308.2013.0000"/>
    <n v="-2852.58"/>
    <s v="11"/>
    <s v="2013"/>
    <n v="41014.84"/>
    <n v="-2852.58"/>
    <s v="CREDITOR"/>
    <n v="0"/>
    <n v="0"/>
    <n v="-2852.58"/>
    <n v="0"/>
    <n v="0"/>
  </r>
  <r>
    <n v="60309343"/>
    <s v="N"/>
    <n v="21324546"/>
    <s v="3000014610440024RC"/>
    <s v="CIVIL"/>
    <d v="2023-06-26T00:00:00"/>
    <d v="2023-07-03T19:42:50"/>
    <m/>
    <d v="2023-07-03T00:00:00"/>
    <n v="1749"/>
    <n v="19529"/>
    <s v="60309343"/>
    <s v="60309343"/>
    <m/>
    <m/>
    <m/>
    <m/>
    <m/>
    <m/>
    <s v="SOLRECOUP"/>
    <s v="SOLRECOUP"/>
    <s v="POARECOUP"/>
    <n v="21324546"/>
    <n v="-3423.1"/>
    <m/>
    <s v="Y"/>
    <n v="2"/>
    <d v="2023-07-03T19:42:52"/>
    <s v="N"/>
    <m/>
    <m/>
    <s v="Non Expert Disbursement"/>
    <m/>
    <s v="N"/>
    <n v="0"/>
    <n v="-570.52"/>
    <x v="3"/>
    <s v="VALIDATED"/>
    <n v="1"/>
    <s v="01.11.80.308.2013.0000"/>
    <n v="-570.52"/>
    <s v="11"/>
    <s v="2013"/>
    <n v="41014.84"/>
    <n v="-570.52"/>
    <s v="CREDITOR"/>
    <n v="0"/>
    <n v="0"/>
    <n v="-570.52"/>
    <n v="0"/>
    <n v="0"/>
  </r>
  <r>
    <n v="60309343"/>
    <s v="N"/>
    <n v="21324547"/>
    <s v="3000014610440005RC"/>
    <s v="CIVIL"/>
    <d v="2023-06-26T00:00:00"/>
    <d v="2023-07-03T19:42:50"/>
    <m/>
    <d v="2023-07-03T00:00:00"/>
    <n v="1749"/>
    <n v="19529"/>
    <s v="60309343"/>
    <s v="60309343"/>
    <m/>
    <m/>
    <m/>
    <m/>
    <m/>
    <m/>
    <s v="SOLRECOUP"/>
    <s v="SOLRECOUP"/>
    <s v="POARECOUP"/>
    <n v="21324547"/>
    <n v="-809.6"/>
    <m/>
    <s v="Y"/>
    <n v="1"/>
    <d v="2023-07-03T19:42:52"/>
    <s v="N"/>
    <m/>
    <m/>
    <s v="Expert Disbursement"/>
    <m/>
    <s v="N"/>
    <n v="-674.67"/>
    <n v="0"/>
    <x v="3"/>
    <s v="VALIDATED"/>
    <n v="1"/>
    <s v="01.11.80.308.2013.0000"/>
    <n v="-674.67"/>
    <s v="11"/>
    <s v="2013"/>
    <n v="41014.84"/>
    <n v="-674.67"/>
    <s v="CREDITOR"/>
    <n v="0"/>
    <n v="0"/>
    <n v="-674.67"/>
    <n v="0"/>
    <n v="0"/>
  </r>
  <r>
    <n v="60309343"/>
    <s v="N"/>
    <n v="21324547"/>
    <s v="3000014610440005RC"/>
    <s v="CIVIL"/>
    <d v="2023-06-26T00:00:00"/>
    <d v="2023-07-03T19:42:50"/>
    <m/>
    <d v="2023-07-03T00:00:00"/>
    <n v="1749"/>
    <n v="19529"/>
    <s v="60309343"/>
    <s v="60309343"/>
    <m/>
    <m/>
    <m/>
    <m/>
    <m/>
    <m/>
    <s v="SOLRECOUP"/>
    <s v="SOLRECOUP"/>
    <s v="POARECOUP"/>
    <n v="21324547"/>
    <n v="-809.6"/>
    <m/>
    <s v="Y"/>
    <n v="2"/>
    <d v="2023-07-03T19:42:52"/>
    <s v="N"/>
    <m/>
    <m/>
    <s v="Expert Disbursement"/>
    <m/>
    <s v="N"/>
    <n v="0"/>
    <n v="-134.93"/>
    <x v="3"/>
    <s v="VALIDATED"/>
    <n v="1"/>
    <s v="01.11.80.308.2013.0000"/>
    <n v="-134.93"/>
    <s v="11"/>
    <s v="2013"/>
    <n v="41014.84"/>
    <n v="-134.93"/>
    <s v="CREDITOR"/>
    <n v="0"/>
    <n v="0"/>
    <n v="-134.93"/>
    <n v="0"/>
    <n v="0"/>
  </r>
  <r>
    <n v="60309343"/>
    <s v="N"/>
    <n v="21324548"/>
    <s v="3000014610440008RC"/>
    <s v="CIVIL"/>
    <d v="2023-06-26T00:00:00"/>
    <d v="2023-07-03T19:42:50"/>
    <m/>
    <d v="2023-07-03T00:00:00"/>
    <n v="1749"/>
    <n v="19529"/>
    <s v="60309343"/>
    <s v="60309343"/>
    <m/>
    <m/>
    <m/>
    <m/>
    <m/>
    <m/>
    <s v="SOLRECOUP"/>
    <s v="SOLRECOUP"/>
    <s v="POARECOUP"/>
    <n v="21324548"/>
    <n v="-2425.18"/>
    <m/>
    <s v="Y"/>
    <n v="1"/>
    <d v="2023-07-03T19:42:52"/>
    <s v="N"/>
    <m/>
    <m/>
    <s v="Profit Cost"/>
    <m/>
    <s v="N"/>
    <n v="-2020.98"/>
    <n v="0"/>
    <x v="3"/>
    <s v="VALIDATED"/>
    <n v="1"/>
    <s v="01.11.80.308.2013.0000"/>
    <n v="-2020.98"/>
    <s v="11"/>
    <s v="2013"/>
    <n v="41014.84"/>
    <n v="-2020.98"/>
    <s v="CREDITOR"/>
    <n v="0"/>
    <n v="0"/>
    <n v="-2020.98"/>
    <n v="-505.245"/>
    <n v="0"/>
  </r>
  <r>
    <n v="60309343"/>
    <s v="N"/>
    <n v="21324548"/>
    <s v="3000014610440008RC"/>
    <s v="CIVIL"/>
    <d v="2023-06-26T00:00:00"/>
    <d v="2023-07-03T19:42:50"/>
    <m/>
    <d v="2023-07-03T00:00:00"/>
    <n v="1749"/>
    <n v="19529"/>
    <s v="60309343"/>
    <s v="60309343"/>
    <m/>
    <m/>
    <m/>
    <m/>
    <m/>
    <m/>
    <s v="SOLRECOUP"/>
    <s v="SOLRECOUP"/>
    <s v="POARECOUP"/>
    <n v="21324548"/>
    <n v="-2425.18"/>
    <m/>
    <s v="Y"/>
    <n v="2"/>
    <d v="2023-07-03T19:42:52"/>
    <s v="N"/>
    <m/>
    <m/>
    <s v="Profit Cost"/>
    <m/>
    <s v="N"/>
    <n v="0"/>
    <n v="-404.2"/>
    <x v="3"/>
    <s v="VALIDATED"/>
    <n v="1"/>
    <s v="01.11.80.308.2013.0000"/>
    <n v="-404.2"/>
    <s v="11"/>
    <s v="2013"/>
    <n v="41014.84"/>
    <n v="-404.2"/>
    <s v="CREDITOR"/>
    <n v="0"/>
    <n v="0"/>
    <n v="-404.2"/>
    <n v="-101.05"/>
    <n v="0"/>
  </r>
  <r>
    <n v="60309343"/>
    <s v="N"/>
    <n v="21324549"/>
    <s v="3000014610440009RC"/>
    <s v="CIVIL"/>
    <d v="2023-06-26T00:00:00"/>
    <d v="2023-07-03T19:42:50"/>
    <m/>
    <d v="2023-07-03T00:00:00"/>
    <n v="1749"/>
    <n v="19529"/>
    <s v="60309343"/>
    <s v="60309343"/>
    <m/>
    <m/>
    <m/>
    <m/>
    <m/>
    <m/>
    <s v="SOLRECOUP"/>
    <s v="SOLRECOUP"/>
    <s v="POARECOUP"/>
    <n v="21324549"/>
    <n v="-748.8"/>
    <m/>
    <s v="Y"/>
    <n v="1"/>
    <d v="2023-07-03T19:42:52"/>
    <s v="N"/>
    <m/>
    <m/>
    <s v="Expert Disbursement"/>
    <m/>
    <s v="N"/>
    <n v="-624"/>
    <n v="0"/>
    <x v="3"/>
    <s v="VALIDATED"/>
    <n v="1"/>
    <s v="01.11.80.308.2013.0000"/>
    <n v="-624"/>
    <s v="11"/>
    <s v="2013"/>
    <n v="41014.84"/>
    <n v="-624"/>
    <s v="CREDITOR"/>
    <n v="0"/>
    <n v="0"/>
    <n v="-624"/>
    <n v="0"/>
    <n v="0"/>
  </r>
  <r>
    <n v="60309343"/>
    <s v="N"/>
    <n v="21324549"/>
    <s v="3000014610440009RC"/>
    <s v="CIVIL"/>
    <d v="2023-06-26T00:00:00"/>
    <d v="2023-07-03T19:42:50"/>
    <m/>
    <d v="2023-07-03T00:00:00"/>
    <n v="1749"/>
    <n v="19529"/>
    <s v="60309343"/>
    <s v="60309343"/>
    <m/>
    <m/>
    <m/>
    <m/>
    <m/>
    <m/>
    <s v="SOLRECOUP"/>
    <s v="SOLRECOUP"/>
    <s v="POARECOUP"/>
    <n v="21324549"/>
    <n v="-748.8"/>
    <m/>
    <s v="Y"/>
    <n v="2"/>
    <d v="2023-07-03T19:42:52"/>
    <s v="N"/>
    <m/>
    <m/>
    <s v="Expert Disbursement"/>
    <m/>
    <s v="N"/>
    <n v="0"/>
    <n v="-124.8"/>
    <x v="3"/>
    <s v="VALIDATED"/>
    <n v="1"/>
    <s v="01.11.80.308.2013.0000"/>
    <n v="-124.8"/>
    <s v="11"/>
    <s v="2013"/>
    <n v="41014.84"/>
    <n v="-124.8"/>
    <s v="CREDITOR"/>
    <n v="0"/>
    <n v="0"/>
    <n v="-124.8"/>
    <n v="0"/>
    <n v="0"/>
  </r>
  <r>
    <n v="60309343"/>
    <s v="N"/>
    <n v="21324550"/>
    <s v="3000014610440006RC"/>
    <s v="CIVIL"/>
    <d v="2023-06-26T00:00:00"/>
    <d v="2023-07-03T19:42:50"/>
    <m/>
    <d v="2023-07-03T00:00:00"/>
    <n v="1749"/>
    <n v="19529"/>
    <s v="60309343"/>
    <s v="60309343"/>
    <m/>
    <m/>
    <m/>
    <m/>
    <m/>
    <m/>
    <s v="SOLRECOUP"/>
    <s v="SOLRECOUP"/>
    <s v="POARECOUP"/>
    <n v="21324550"/>
    <n v="-748.8"/>
    <m/>
    <s v="Y"/>
    <n v="1"/>
    <d v="2023-07-03T19:42:52"/>
    <s v="N"/>
    <m/>
    <m/>
    <s v="Expert Disbursement"/>
    <m/>
    <s v="N"/>
    <n v="-624"/>
    <n v="0"/>
    <x v="3"/>
    <s v="VALIDATED"/>
    <n v="1"/>
    <s v="01.11.80.308.2013.0000"/>
    <n v="-624"/>
    <s v="11"/>
    <s v="2013"/>
    <n v="41014.84"/>
    <n v="-624"/>
    <s v="CREDITOR"/>
    <n v="0"/>
    <n v="0"/>
    <n v="-624"/>
    <n v="0"/>
    <n v="0"/>
  </r>
  <r>
    <n v="60309343"/>
    <s v="N"/>
    <n v="21324550"/>
    <s v="3000014610440006RC"/>
    <s v="CIVIL"/>
    <d v="2023-06-26T00:00:00"/>
    <d v="2023-07-03T19:42:50"/>
    <m/>
    <d v="2023-07-03T00:00:00"/>
    <n v="1749"/>
    <n v="19529"/>
    <s v="60309343"/>
    <s v="60309343"/>
    <m/>
    <m/>
    <m/>
    <m/>
    <m/>
    <m/>
    <s v="SOLRECOUP"/>
    <s v="SOLRECOUP"/>
    <s v="POARECOUP"/>
    <n v="21324550"/>
    <n v="-748.8"/>
    <m/>
    <s v="Y"/>
    <n v="2"/>
    <d v="2023-07-03T19:42:52"/>
    <s v="N"/>
    <m/>
    <m/>
    <s v="Expert Disbursement"/>
    <m/>
    <s v="N"/>
    <n v="0"/>
    <n v="-124.8"/>
    <x v="3"/>
    <s v="VALIDATED"/>
    <n v="1"/>
    <s v="01.11.80.308.2013.0000"/>
    <n v="-124.8"/>
    <s v="11"/>
    <s v="2013"/>
    <n v="41014.84"/>
    <n v="-124.8"/>
    <s v="CREDITOR"/>
    <n v="0"/>
    <n v="0"/>
    <n v="-124.8"/>
    <n v="0"/>
    <n v="0"/>
  </r>
  <r>
    <n v="60309343"/>
    <s v="N"/>
    <n v="21324551"/>
    <s v="3000014610440011RC"/>
    <s v="CIVIL"/>
    <d v="2023-06-26T00:00:00"/>
    <d v="2023-07-03T19:42:50"/>
    <m/>
    <d v="2023-07-03T00:00:00"/>
    <n v="1749"/>
    <n v="19529"/>
    <s v="60309343"/>
    <s v="60309343"/>
    <m/>
    <m/>
    <m/>
    <m/>
    <m/>
    <m/>
    <s v="SOLRECOUP"/>
    <s v="SOLRECOUP"/>
    <s v="POARECOUP"/>
    <n v="21324551"/>
    <n v="-187.2"/>
    <m/>
    <s v="Y"/>
    <n v="1"/>
    <d v="2023-07-03T19:42:52"/>
    <s v="N"/>
    <m/>
    <m/>
    <s v="Expert Disbursement"/>
    <m/>
    <s v="N"/>
    <n v="-156"/>
    <n v="0"/>
    <x v="3"/>
    <s v="VALIDATED"/>
    <n v="1"/>
    <s v="01.11.80.308.2013.0000"/>
    <n v="-156"/>
    <s v="11"/>
    <s v="2013"/>
    <n v="41014.84"/>
    <n v="-156"/>
    <s v="CREDITOR"/>
    <n v="0"/>
    <n v="0"/>
    <n v="-156"/>
    <n v="0"/>
    <n v="0"/>
  </r>
  <r>
    <n v="60309343"/>
    <s v="N"/>
    <n v="21324551"/>
    <s v="3000014610440011RC"/>
    <s v="CIVIL"/>
    <d v="2023-06-26T00:00:00"/>
    <d v="2023-07-03T19:42:50"/>
    <m/>
    <d v="2023-07-03T00:00:00"/>
    <n v="1749"/>
    <n v="19529"/>
    <s v="60309343"/>
    <s v="60309343"/>
    <m/>
    <m/>
    <m/>
    <m/>
    <m/>
    <m/>
    <s v="SOLRECOUP"/>
    <s v="SOLRECOUP"/>
    <s v="POARECOUP"/>
    <n v="21324551"/>
    <n v="-187.2"/>
    <m/>
    <s v="Y"/>
    <n v="2"/>
    <d v="2023-07-03T19:42:52"/>
    <s v="N"/>
    <m/>
    <m/>
    <s v="Expert Disbursement"/>
    <m/>
    <s v="N"/>
    <n v="0"/>
    <n v="-31.2"/>
    <x v="3"/>
    <s v="VALIDATED"/>
    <n v="1"/>
    <s v="01.11.80.308.2013.0000"/>
    <n v="-31.2"/>
    <s v="11"/>
    <s v="2013"/>
    <n v="41014.84"/>
    <n v="-31.2"/>
    <s v="CREDITOR"/>
    <n v="0"/>
    <n v="0"/>
    <n v="-31.2"/>
    <n v="0"/>
    <n v="0"/>
  </r>
  <r>
    <n v="60309343"/>
    <s v="N"/>
    <n v="21324552"/>
    <s v="3000014610440013RC"/>
    <s v="CIVIL"/>
    <d v="2023-06-26T00:00:00"/>
    <d v="2023-07-03T19:42:50"/>
    <m/>
    <d v="2023-07-03T00:00:00"/>
    <n v="1749"/>
    <n v="19529"/>
    <s v="60309343"/>
    <s v="60309343"/>
    <m/>
    <m/>
    <m/>
    <m/>
    <m/>
    <m/>
    <s v="SOLRECOUP"/>
    <s v="SOLRECOUP"/>
    <s v="POARECOUP"/>
    <n v="21324552"/>
    <n v="-1131.53"/>
    <m/>
    <s v="Y"/>
    <n v="1"/>
    <d v="2023-07-03T19:42:52"/>
    <s v="N"/>
    <m/>
    <m/>
    <s v="Profit Cost"/>
    <m/>
    <s v="N"/>
    <n v="-942.9400000000001"/>
    <n v="0"/>
    <x v="3"/>
    <s v="VALIDATED"/>
    <n v="1"/>
    <s v="01.11.80.308.2013.0000"/>
    <n v="-942.9400000000001"/>
    <s v="11"/>
    <s v="2013"/>
    <n v="41014.84"/>
    <n v="-942.9400000000001"/>
    <s v="CREDITOR"/>
    <n v="0"/>
    <n v="0"/>
    <n v="-942.9400000000001"/>
    <n v="-235.735"/>
    <n v="0"/>
  </r>
  <r>
    <n v="60309343"/>
    <s v="N"/>
    <n v="21324552"/>
    <s v="3000014610440013RC"/>
    <s v="CIVIL"/>
    <d v="2023-06-26T00:00:00"/>
    <d v="2023-07-03T19:42:50"/>
    <m/>
    <d v="2023-07-03T00:00:00"/>
    <n v="1749"/>
    <n v="19529"/>
    <s v="60309343"/>
    <s v="60309343"/>
    <m/>
    <m/>
    <m/>
    <m/>
    <m/>
    <m/>
    <s v="SOLRECOUP"/>
    <s v="SOLRECOUP"/>
    <s v="POARECOUP"/>
    <n v="21324552"/>
    <n v="-1131.53"/>
    <m/>
    <s v="Y"/>
    <n v="2"/>
    <d v="2023-07-03T19:42:52"/>
    <s v="N"/>
    <m/>
    <m/>
    <s v="Profit Cost"/>
    <m/>
    <s v="N"/>
    <n v="0"/>
    <n v="-188.59"/>
    <x v="3"/>
    <s v="VALIDATED"/>
    <n v="1"/>
    <s v="01.11.80.308.2013.0000"/>
    <n v="-188.59"/>
    <s v="11"/>
    <s v="2013"/>
    <n v="41014.84"/>
    <n v="-188.59"/>
    <s v="CREDITOR"/>
    <n v="0"/>
    <n v="0"/>
    <n v="-188.59"/>
    <n v="-47.1475"/>
    <n v="0"/>
  </r>
  <r>
    <n v="60309343"/>
    <s v="N"/>
    <n v="21324553"/>
    <s v="3000014610440015RC"/>
    <s v="CIVIL"/>
    <d v="2023-06-26T00:00:00"/>
    <d v="2023-07-03T19:42:50"/>
    <m/>
    <d v="2023-07-03T00:00:00"/>
    <n v="1749"/>
    <n v="19529"/>
    <s v="60309343"/>
    <s v="60309343"/>
    <m/>
    <m/>
    <m/>
    <m/>
    <m/>
    <m/>
    <s v="SOLRECOUP"/>
    <s v="SOLRECOUP"/>
    <s v="POARECOUP"/>
    <n v="21324553"/>
    <n v="-100.8"/>
    <m/>
    <s v="Y"/>
    <n v="1"/>
    <d v="2023-07-03T19:42:52"/>
    <s v="N"/>
    <m/>
    <m/>
    <s v="Expert Disbursement"/>
    <m/>
    <s v="N"/>
    <n v="-100.8"/>
    <n v="0"/>
    <x v="3"/>
    <s v="VALIDATED"/>
    <n v="1"/>
    <s v="01.11.80.308.2013.0000"/>
    <n v="-100.8"/>
    <s v="11"/>
    <s v="2013"/>
    <n v="41014.84"/>
    <n v="-100.8"/>
    <s v="CREDITOR"/>
    <n v="0"/>
    <n v="0"/>
    <n v="-100.8"/>
    <n v="0"/>
    <n v="0"/>
  </r>
  <r>
    <n v="60309343"/>
    <s v="N"/>
    <n v="21324553"/>
    <s v="3000014610440015RC"/>
    <s v="CIVIL"/>
    <d v="2023-06-26T00:00:00"/>
    <d v="2023-07-03T19:42:50"/>
    <m/>
    <d v="2023-07-03T00:00:00"/>
    <n v="1749"/>
    <n v="19529"/>
    <s v="60309343"/>
    <s v="60309343"/>
    <m/>
    <m/>
    <m/>
    <m/>
    <m/>
    <m/>
    <s v="SOLRECOUP"/>
    <s v="SOLRECOUP"/>
    <s v="POARECOUP"/>
    <n v="21324553"/>
    <n v="-100.8"/>
    <m/>
    <s v="Y"/>
    <n v="2"/>
    <d v="2023-07-03T19:42:52"/>
    <s v="N"/>
    <m/>
    <m/>
    <s v="Expert Disbursement"/>
    <m/>
    <s v="N"/>
    <n v="0"/>
    <n v="0"/>
    <x v="3"/>
    <s v="VALIDATED"/>
    <n v="1"/>
    <s v="01.11.80.000.0000.0000"/>
    <n v="0"/>
    <s v="11"/>
    <s v="0000"/>
    <n v="41014.84"/>
    <n v="0"/>
    <s v="CREDITOR"/>
    <n v="0"/>
    <n v="0"/>
    <n v="0"/>
    <n v="0"/>
    <n v="0"/>
  </r>
  <r>
    <n v="60309343"/>
    <s v="N"/>
    <n v="21324554"/>
    <s v="3000014610440016RC"/>
    <s v="CIVIL"/>
    <d v="2023-06-26T00:00:00"/>
    <d v="2023-07-03T19:42:50"/>
    <m/>
    <d v="2023-07-03T00:00:00"/>
    <n v="1749"/>
    <n v="19529"/>
    <s v="60309343"/>
    <s v="60309343"/>
    <m/>
    <m/>
    <m/>
    <m/>
    <m/>
    <m/>
    <s v="SOLRECOUP"/>
    <s v="SOLRECOUP"/>
    <s v="POARECOUP"/>
    <n v="21324554"/>
    <n v="-74.88"/>
    <m/>
    <s v="Y"/>
    <n v="1"/>
    <d v="2023-07-03T19:42:52"/>
    <s v="N"/>
    <m/>
    <m/>
    <s v="Expert Disbursement"/>
    <m/>
    <s v="N"/>
    <n v="-62.4"/>
    <n v="0"/>
    <x v="3"/>
    <s v="VALIDATED"/>
    <n v="1"/>
    <s v="01.11.80.308.2013.0000"/>
    <n v="-62.4"/>
    <s v="11"/>
    <s v="2013"/>
    <n v="41014.84"/>
    <n v="-62.4"/>
    <s v="CREDITOR"/>
    <n v="0"/>
    <n v="0"/>
    <n v="-62.4"/>
    <n v="0"/>
    <n v="0"/>
  </r>
  <r>
    <n v="60309343"/>
    <s v="N"/>
    <n v="21324554"/>
    <s v="3000014610440016RC"/>
    <s v="CIVIL"/>
    <d v="2023-06-26T00:00:00"/>
    <d v="2023-07-03T19:42:50"/>
    <m/>
    <d v="2023-07-03T00:00:00"/>
    <n v="1749"/>
    <n v="19529"/>
    <s v="60309343"/>
    <s v="60309343"/>
    <m/>
    <m/>
    <m/>
    <m/>
    <m/>
    <m/>
    <s v="SOLRECOUP"/>
    <s v="SOLRECOUP"/>
    <s v="POARECOUP"/>
    <n v="21324554"/>
    <n v="-74.88"/>
    <m/>
    <s v="Y"/>
    <n v="2"/>
    <d v="2023-07-03T19:42:52"/>
    <s v="N"/>
    <m/>
    <m/>
    <s v="Expert Disbursement"/>
    <m/>
    <s v="N"/>
    <n v="0"/>
    <n v="-12.48"/>
    <x v="3"/>
    <s v="VALIDATED"/>
    <n v="1"/>
    <s v="01.11.80.308.2013.0000"/>
    <n v="-12.48"/>
    <s v="11"/>
    <s v="2013"/>
    <n v="41014.84"/>
    <n v="-12.48"/>
    <s v="CREDITOR"/>
    <n v="0"/>
    <n v="0"/>
    <n v="-12.48"/>
    <n v="0"/>
    <n v="0"/>
  </r>
  <r>
    <n v="60309343"/>
    <s v="N"/>
    <n v="21324555"/>
    <s v="3000014610440012RC"/>
    <s v="CIVIL"/>
    <d v="2023-06-26T00:00:00"/>
    <d v="2023-07-03T19:42:50"/>
    <m/>
    <d v="2023-07-03T00:00:00"/>
    <n v="1749"/>
    <n v="19529"/>
    <s v="60309343"/>
    <s v="60309343"/>
    <m/>
    <m/>
    <m/>
    <m/>
    <m/>
    <m/>
    <s v="SOLRECOUP"/>
    <s v="SOLRECOUP"/>
    <s v="POARECOUP"/>
    <n v="21324555"/>
    <n v="-120"/>
    <m/>
    <s v="Y"/>
    <n v="1"/>
    <d v="2023-07-03T19:42:52"/>
    <s v="N"/>
    <m/>
    <m/>
    <s v="Expert Disbursement"/>
    <m/>
    <s v="N"/>
    <n v="-100"/>
    <n v="0"/>
    <x v="3"/>
    <s v="VALIDATED"/>
    <n v="1"/>
    <s v="01.11.80.308.2013.0000"/>
    <n v="-100"/>
    <s v="11"/>
    <s v="2013"/>
    <n v="41014.84"/>
    <n v="-100"/>
    <s v="CREDITOR"/>
    <n v="0"/>
    <n v="0"/>
    <n v="-100"/>
    <n v="0"/>
    <n v="0"/>
  </r>
  <r>
    <n v="60309343"/>
    <s v="N"/>
    <n v="21324555"/>
    <s v="3000014610440012RC"/>
    <s v="CIVIL"/>
    <d v="2023-06-26T00:00:00"/>
    <d v="2023-07-03T19:42:50"/>
    <m/>
    <d v="2023-07-03T00:00:00"/>
    <n v="1749"/>
    <n v="19529"/>
    <s v="60309343"/>
    <s v="60309343"/>
    <m/>
    <m/>
    <m/>
    <m/>
    <m/>
    <m/>
    <s v="SOLRECOUP"/>
    <s v="SOLRECOUP"/>
    <s v="POARECOUP"/>
    <n v="21324555"/>
    <n v="-120"/>
    <m/>
    <s v="Y"/>
    <n v="2"/>
    <d v="2023-07-03T19:42:52"/>
    <s v="N"/>
    <m/>
    <m/>
    <s v="Expert Disbursement"/>
    <m/>
    <s v="N"/>
    <n v="0"/>
    <n v="-20"/>
    <x v="3"/>
    <s v="VALIDATED"/>
    <n v="1"/>
    <s v="01.11.80.308.2013.0000"/>
    <n v="-20"/>
    <s v="11"/>
    <s v="2013"/>
    <n v="41014.84"/>
    <n v="-20"/>
    <s v="CREDITOR"/>
    <n v="0"/>
    <n v="0"/>
    <n v="-20"/>
    <n v="0"/>
    <n v="0"/>
  </r>
  <r>
    <n v="60309343"/>
    <s v="N"/>
    <n v="21324556"/>
    <s v="3000014610440014RC"/>
    <s v="CIVIL"/>
    <d v="2023-06-26T00:00:00"/>
    <d v="2023-07-03T19:42:50"/>
    <m/>
    <d v="2023-07-03T00:00:00"/>
    <n v="1749"/>
    <n v="19529"/>
    <s v="60309343"/>
    <s v="60309343"/>
    <m/>
    <m/>
    <m/>
    <m/>
    <m/>
    <m/>
    <s v="SOLRECOUP"/>
    <s v="SOLRECOUP"/>
    <s v="POARECOUP"/>
    <n v="21324556"/>
    <n v="-1160.73"/>
    <m/>
    <s v="Y"/>
    <n v="1"/>
    <d v="2023-07-03T19:42:52"/>
    <s v="N"/>
    <m/>
    <m/>
    <s v="Expert Disbursement"/>
    <m/>
    <s v="N"/>
    <n v="-1160.73"/>
    <n v="0"/>
    <x v="3"/>
    <s v="VALIDATED"/>
    <n v="1"/>
    <s v="01.11.80.308.2013.0000"/>
    <n v="-1160.73"/>
    <s v="11"/>
    <s v="2013"/>
    <n v="41014.84"/>
    <n v="-1160.73"/>
    <s v="CREDITOR"/>
    <n v="0"/>
    <n v="0"/>
    <n v="-1160.73"/>
    <n v="0"/>
    <n v="0"/>
  </r>
  <r>
    <n v="60309343"/>
    <s v="N"/>
    <n v="21324556"/>
    <s v="3000014610440014RC"/>
    <s v="CIVIL"/>
    <d v="2023-06-26T00:00:00"/>
    <d v="2023-07-03T19:42:50"/>
    <m/>
    <d v="2023-07-03T00:00:00"/>
    <n v="1749"/>
    <n v="19529"/>
    <s v="60309343"/>
    <s v="60309343"/>
    <m/>
    <m/>
    <m/>
    <m/>
    <m/>
    <m/>
    <s v="SOLRECOUP"/>
    <s v="SOLRECOUP"/>
    <s v="POARECOUP"/>
    <n v="21324556"/>
    <n v="-1160.73"/>
    <m/>
    <s v="Y"/>
    <n v="2"/>
    <d v="2023-07-03T19:42:52"/>
    <s v="N"/>
    <m/>
    <m/>
    <s v="Expert Disbursement"/>
    <m/>
    <s v="N"/>
    <n v="0"/>
    <n v="0"/>
    <x v="3"/>
    <s v="VALIDATED"/>
    <n v="1"/>
    <s v="01.11.80.000.0000.0000"/>
    <n v="0"/>
    <s v="11"/>
    <s v="0000"/>
    <n v="41014.84"/>
    <n v="0"/>
    <s v="CREDITOR"/>
    <n v="0"/>
    <n v="0"/>
    <n v="0"/>
    <n v="0"/>
    <n v="0"/>
  </r>
  <r>
    <n v="60309343"/>
    <s v="N"/>
    <n v="21324557"/>
    <s v="3000014610440017RC"/>
    <s v="CIVIL"/>
    <d v="2023-06-26T00:00:00"/>
    <d v="2023-07-03T19:42:50"/>
    <m/>
    <d v="2023-07-03T00:00:00"/>
    <n v="1749"/>
    <n v="19529"/>
    <s v="60309343"/>
    <s v="60309343"/>
    <m/>
    <m/>
    <m/>
    <m/>
    <m/>
    <m/>
    <s v="SOLRECOUP"/>
    <s v="SOLRECOUP"/>
    <s v="POARECOUP"/>
    <n v="21324557"/>
    <n v="-804.41"/>
    <m/>
    <s v="Y"/>
    <n v="1"/>
    <d v="2023-07-03T19:42:52"/>
    <s v="N"/>
    <m/>
    <m/>
    <s v="Profit Cost"/>
    <m/>
    <s v="N"/>
    <n v="-670.34"/>
    <n v="0"/>
    <x v="3"/>
    <s v="VALIDATED"/>
    <n v="1"/>
    <s v="01.11.80.308.2013.0000"/>
    <n v="-670.34"/>
    <s v="11"/>
    <s v="2013"/>
    <n v="41014.84"/>
    <n v="-670.34"/>
    <s v="CREDITOR"/>
    <n v="0"/>
    <n v="0"/>
    <n v="-670.34"/>
    <n v="-167.585"/>
    <n v="0"/>
  </r>
  <r>
    <n v="60309343"/>
    <s v="N"/>
    <n v="21324557"/>
    <s v="3000014610440017RC"/>
    <s v="CIVIL"/>
    <d v="2023-06-26T00:00:00"/>
    <d v="2023-07-03T19:42:50"/>
    <m/>
    <d v="2023-07-03T00:00:00"/>
    <n v="1749"/>
    <n v="19529"/>
    <s v="60309343"/>
    <s v="60309343"/>
    <m/>
    <m/>
    <m/>
    <m/>
    <m/>
    <m/>
    <s v="SOLRECOUP"/>
    <s v="SOLRECOUP"/>
    <s v="POARECOUP"/>
    <n v="21324557"/>
    <n v="-804.41"/>
    <m/>
    <s v="Y"/>
    <n v="2"/>
    <d v="2023-07-03T19:42:52"/>
    <s v="N"/>
    <m/>
    <m/>
    <s v="Profit Cost"/>
    <m/>
    <s v="N"/>
    <n v="0"/>
    <n v="-134.07"/>
    <x v="3"/>
    <s v="VALIDATED"/>
    <n v="1"/>
    <s v="01.11.80.308.2013.0000"/>
    <n v="-134.07"/>
    <s v="11"/>
    <s v="2013"/>
    <n v="41014.84"/>
    <n v="-134.07"/>
    <s v="CREDITOR"/>
    <n v="0"/>
    <n v="0"/>
    <n v="-134.07"/>
    <n v="-33.5175"/>
    <n v="0"/>
  </r>
  <r>
    <n v="60309343"/>
    <s v="N"/>
    <n v="21324558"/>
    <s v="3000014610440022RC"/>
    <s v="CIVIL"/>
    <d v="2023-06-26T00:00:00"/>
    <d v="2023-07-03T19:42:50"/>
    <m/>
    <d v="2023-07-03T00:00:00"/>
    <n v="1749"/>
    <n v="19529"/>
    <s v="60309343"/>
    <s v="60309343"/>
    <m/>
    <m/>
    <m/>
    <m/>
    <m/>
    <m/>
    <s v="SOLRECOUP"/>
    <s v="SOLRECOUP"/>
    <s v="POARECOUP"/>
    <n v="21324558"/>
    <n v="-167"/>
    <m/>
    <s v="Y"/>
    <n v="1"/>
    <d v="2023-07-03T19:42:52"/>
    <s v="N"/>
    <m/>
    <m/>
    <s v="Non Expert Disbursement"/>
    <m/>
    <s v="N"/>
    <n v="-167"/>
    <n v="0"/>
    <x v="3"/>
    <s v="VALIDATED"/>
    <n v="1"/>
    <s v="01.11.80.308.2013.0000"/>
    <n v="-167"/>
    <s v="11"/>
    <s v="2013"/>
    <n v="41014.84"/>
    <n v="-167"/>
    <s v="CREDITOR"/>
    <n v="0"/>
    <n v="0"/>
    <n v="-167"/>
    <n v="0"/>
    <n v="0"/>
  </r>
  <r>
    <n v="60309343"/>
    <s v="N"/>
    <n v="21324558"/>
    <s v="3000014610440022RC"/>
    <s v="CIVIL"/>
    <d v="2023-06-26T00:00:00"/>
    <d v="2023-07-03T19:42:50"/>
    <m/>
    <d v="2023-07-03T00:00:00"/>
    <n v="1749"/>
    <n v="19529"/>
    <s v="60309343"/>
    <s v="60309343"/>
    <m/>
    <m/>
    <m/>
    <m/>
    <m/>
    <m/>
    <s v="SOLRECOUP"/>
    <s v="SOLRECOUP"/>
    <s v="POARECOUP"/>
    <n v="21324558"/>
    <n v="-167"/>
    <m/>
    <s v="Y"/>
    <n v="2"/>
    <d v="2023-07-03T19:42:52"/>
    <s v="N"/>
    <m/>
    <m/>
    <s v="Non Expert Disbursement"/>
    <m/>
    <s v="N"/>
    <n v="0"/>
    <n v="0"/>
    <x v="3"/>
    <s v="VALIDATED"/>
    <n v="1"/>
    <s v="01.11.80.000.0000.0000"/>
    <n v="0"/>
    <s v="11"/>
    <s v="0000"/>
    <n v="41014.84"/>
    <n v="0"/>
    <s v="CREDITOR"/>
    <n v="0"/>
    <n v="0"/>
    <n v="0"/>
    <n v="0"/>
    <n v="0"/>
  </r>
  <r>
    <n v="60309343"/>
    <s v="N"/>
    <n v="21324559"/>
    <s v="3000014610440021RC"/>
    <s v="CIVIL"/>
    <d v="2023-06-26T00:00:00"/>
    <d v="2023-07-03T19:42:50"/>
    <m/>
    <d v="2023-07-03T00:00:00"/>
    <n v="1749"/>
    <n v="19529"/>
    <s v="60309343"/>
    <s v="60309343"/>
    <m/>
    <m/>
    <m/>
    <m/>
    <m/>
    <m/>
    <s v="SOLRECOUP"/>
    <s v="SOLRECOUP"/>
    <s v="POARECOUP"/>
    <n v="21324559"/>
    <n v="-470.4"/>
    <m/>
    <s v="Y"/>
    <n v="1"/>
    <d v="2023-07-03T19:42:52"/>
    <s v="N"/>
    <m/>
    <m/>
    <s v="Expert Disbursement"/>
    <m/>
    <s v="N"/>
    <n v="-470.4"/>
    <n v="0"/>
    <x v="3"/>
    <s v="VALIDATED"/>
    <n v="1"/>
    <s v="01.11.80.308.2013.0000"/>
    <n v="-470.4"/>
    <s v="11"/>
    <s v="2013"/>
    <n v="41014.84"/>
    <n v="-470.4"/>
    <s v="CREDITOR"/>
    <n v="0"/>
    <n v="0"/>
    <n v="-470.4"/>
    <n v="0"/>
    <n v="0"/>
  </r>
  <r>
    <n v="60309343"/>
    <s v="N"/>
    <n v="21324559"/>
    <s v="3000014610440021RC"/>
    <s v="CIVIL"/>
    <d v="2023-06-26T00:00:00"/>
    <d v="2023-07-03T19:42:50"/>
    <m/>
    <d v="2023-07-03T00:00:00"/>
    <n v="1749"/>
    <n v="19529"/>
    <s v="60309343"/>
    <s v="60309343"/>
    <m/>
    <m/>
    <m/>
    <m/>
    <m/>
    <m/>
    <s v="SOLRECOUP"/>
    <s v="SOLRECOUP"/>
    <s v="POARECOUP"/>
    <n v="21324559"/>
    <n v="-470.4"/>
    <m/>
    <s v="Y"/>
    <n v="2"/>
    <d v="2023-07-03T19:42:52"/>
    <s v="N"/>
    <m/>
    <m/>
    <s v="Expert Disbursement"/>
    <m/>
    <s v="N"/>
    <n v="0"/>
    <n v="0"/>
    <x v="3"/>
    <s v="VALIDATED"/>
    <n v="1"/>
    <s v="01.11.80.000.0000.0000"/>
    <n v="0"/>
    <s v="11"/>
    <s v="0000"/>
    <n v="41014.84"/>
    <n v="0"/>
    <s v="CREDITOR"/>
    <n v="0"/>
    <n v="0"/>
    <n v="0"/>
    <n v="0"/>
    <n v="0"/>
  </r>
  <r>
    <n v="60309343"/>
    <s v="N"/>
    <n v="21324541"/>
    <s v="3000014610440001RC"/>
    <s v="CIVIL"/>
    <d v="2023-06-26T00:00:00"/>
    <d v="2023-07-03T19:42:50"/>
    <m/>
    <d v="2023-07-03T00:00:00"/>
    <n v="1749"/>
    <n v="19529"/>
    <s v="60309343"/>
    <s v="60309343"/>
    <m/>
    <m/>
    <m/>
    <m/>
    <m/>
    <m/>
    <s v="SOLRECOUP"/>
    <s v="SOLRECOUP"/>
    <s v="POARECOUP"/>
    <n v="21324541"/>
    <n v="-435.36"/>
    <m/>
    <s v="Y"/>
    <n v="1"/>
    <d v="2023-07-03T19:42:52"/>
    <s v="N"/>
    <m/>
    <m/>
    <s v="Expert Disbursement"/>
    <m/>
    <s v="N"/>
    <n v="-362.8"/>
    <n v="0"/>
    <x v="3"/>
    <s v="VALIDATED"/>
    <n v="1"/>
    <s v="01.11.80.308.2013.0000"/>
    <n v="-362.8"/>
    <s v="11"/>
    <s v="2013"/>
    <n v="41014.84"/>
    <n v="-362.8"/>
    <s v="CREDITOR"/>
    <n v="0"/>
    <n v="0"/>
    <n v="-362.8"/>
    <n v="0"/>
    <n v="0"/>
  </r>
  <r>
    <n v="60309343"/>
    <s v="N"/>
    <n v="21324541"/>
    <s v="3000014610440001RC"/>
    <s v="CIVIL"/>
    <d v="2023-06-26T00:00:00"/>
    <d v="2023-07-03T19:42:50"/>
    <m/>
    <d v="2023-07-03T00:00:00"/>
    <n v="1749"/>
    <n v="19529"/>
    <s v="60309343"/>
    <s v="60309343"/>
    <m/>
    <m/>
    <m/>
    <m/>
    <m/>
    <m/>
    <s v="SOLRECOUP"/>
    <s v="SOLRECOUP"/>
    <s v="POARECOUP"/>
    <n v="21324541"/>
    <n v="-435.36"/>
    <m/>
    <s v="Y"/>
    <n v="2"/>
    <d v="2023-07-03T19:42:52"/>
    <s v="N"/>
    <m/>
    <m/>
    <s v="Expert Disbursement"/>
    <m/>
    <s v="N"/>
    <n v="0"/>
    <n v="-72.56"/>
    <x v="3"/>
    <s v="VALIDATED"/>
    <n v="1"/>
    <s v="01.11.80.308.2013.0000"/>
    <n v="-72.56"/>
    <s v="11"/>
    <s v="2013"/>
    <n v="41014.84"/>
    <n v="-72.56"/>
    <s v="CREDITOR"/>
    <n v="0"/>
    <n v="0"/>
    <n v="-72.56"/>
    <n v="0"/>
    <n v="0"/>
  </r>
  <r>
    <n v="56378698"/>
    <s v="N"/>
    <n v="21350058"/>
    <s v="3000013381950016"/>
    <s v="CIVIL"/>
    <d v="2023-06-28T00:00:00"/>
    <d v="2023-07-10T19:01:40"/>
    <m/>
    <d v="2023-07-10T00:00:00"/>
    <n v="1749"/>
    <n v="19529"/>
    <s v="56378698"/>
    <s v="56378698"/>
    <m/>
    <m/>
    <n v="22781026"/>
    <m/>
    <m/>
    <m/>
    <s v="SOLFIN"/>
    <s v="SOLFIN"/>
    <s v="CCMS"/>
    <n v="21350058"/>
    <n v="15196.66"/>
    <m/>
    <s v="N"/>
    <n v="81"/>
    <d v="2023-07-10T19:02:12"/>
    <s v="Y"/>
    <s v="Preparation - other"/>
    <s v="Care Remuneration Hourly Rates"/>
    <s v="Profit Cost"/>
    <s v="LW"/>
    <s v="Y"/>
    <n v="5.26"/>
    <n v="1.05"/>
    <x v="2"/>
    <s v="VALIDATED"/>
    <n v="1"/>
    <s v="01.11.80.308.6100.0000"/>
    <n v="5.26"/>
    <s v="11"/>
    <s v="6100"/>
    <n v="41014.84"/>
    <n v="5.26"/>
    <s v="CREDITOR"/>
    <n v="0"/>
    <n v="0"/>
    <n v="0"/>
    <n v="0"/>
    <n v="5.26"/>
  </r>
  <r>
    <n v="62125299"/>
    <s v="N"/>
    <n v="21323265"/>
    <s v="3000016146970004"/>
    <s v="CIVIL"/>
    <d v="2023-06-30T00:00:00"/>
    <d v="2023-07-03T19:05:56"/>
    <m/>
    <d v="2023-07-03T00:00:00"/>
    <n v="1749"/>
    <n v="19529"/>
    <s v="62125299"/>
    <s v="62125299"/>
    <m/>
    <m/>
    <n v="22795394"/>
    <m/>
    <m/>
    <m/>
    <s v="SOLPOA"/>
    <s v="SOLPOA"/>
    <s v="CCMS"/>
    <n v="21323265"/>
    <n v="1834.56"/>
    <m/>
    <s v="N"/>
    <n v="1"/>
    <d v="2023-07-03T19:05:56"/>
    <s v="N"/>
    <s v="Solicitors Fixed Fee"/>
    <s v="Public Law Children"/>
    <s v="Profit Cost"/>
    <s v="HB"/>
    <s v="N"/>
    <n v="1528.8"/>
    <n v="305.76"/>
    <x v="3"/>
    <s v="VALIDATED"/>
    <n v="1"/>
    <s v="01.11.80.308.2012.0000"/>
    <n v="1528.8"/>
    <s v="11"/>
    <s v="2012"/>
    <n v="41014.84"/>
    <n v="1528.8"/>
    <s v="CREDITOR"/>
    <n v="1528.8"/>
    <n v="382.2"/>
    <n v="0"/>
    <n v="0"/>
    <n v="0"/>
  </r>
  <r>
    <n v="56378698"/>
    <s v="N"/>
    <n v="21350058"/>
    <s v="3000013381950016"/>
    <s v="CIVIL"/>
    <d v="2023-06-28T00:00:00"/>
    <d v="2023-07-10T19:01:40"/>
    <m/>
    <d v="2023-07-10T00:00:00"/>
    <n v="1749"/>
    <n v="19529"/>
    <s v="56378698"/>
    <s v="56378698"/>
    <m/>
    <m/>
    <n v="22781026"/>
    <m/>
    <m/>
    <m/>
    <s v="SOLFIN"/>
    <s v="SOLFIN"/>
    <s v="CCMS"/>
    <n v="21350058"/>
    <n v="15196.66"/>
    <m/>
    <s v="N"/>
    <n v="56"/>
    <d v="2023-07-10T19:02:12"/>
    <s v="Y"/>
    <s v="Preparation - other"/>
    <s v="Care Remuneration Hourly Rates"/>
    <s v="Profit Cost"/>
    <s v="LW"/>
    <s v="Y"/>
    <n v="5.26"/>
    <n v="1.05"/>
    <x v="2"/>
    <s v="VALIDATED"/>
    <n v="1"/>
    <s v="01.11.80.308.6100.0000"/>
    <n v="5.26"/>
    <s v="11"/>
    <s v="6100"/>
    <n v="41014.84"/>
    <n v="5.26"/>
    <s v="CREDITOR"/>
    <n v="0"/>
    <n v="0"/>
    <n v="0"/>
    <n v="0"/>
    <n v="5.26"/>
  </r>
  <r>
    <n v="60309343"/>
    <s v="N"/>
    <n v="21319986"/>
    <s v="3000014610440025"/>
    <s v="CIVIL"/>
    <d v="2023-06-26T00:00:00"/>
    <d v="2023-07-03T19:04:24"/>
    <m/>
    <d v="2023-07-03T00:00:00"/>
    <n v="1749"/>
    <n v="19529"/>
    <s v="60309343"/>
    <s v="60309343"/>
    <m/>
    <m/>
    <n v="22763414"/>
    <m/>
    <m/>
    <m/>
    <s v="SOLFIN"/>
    <s v="SOLFIN"/>
    <s v="CCMS"/>
    <n v="21319986"/>
    <n v="17867.12"/>
    <m/>
    <s v="N"/>
    <n v="5"/>
    <d v="2023-07-03T19:04:28"/>
    <s v="Y"/>
    <s v="Psychologist"/>
    <s v="VHCC"/>
    <s v="Expert Disbursement"/>
    <s v="FORESIGHT - inv 34061"/>
    <s v="Y"/>
    <n v="624"/>
    <n v="124.8"/>
    <x v="3"/>
    <s v="VALIDATED"/>
    <n v="1"/>
    <s v="01.11.80.308.6300.0000"/>
    <n v="624"/>
    <s v="11"/>
    <s v="6300"/>
    <n v="41014.84"/>
    <n v="624"/>
    <s v="CREDITOR"/>
    <n v="0"/>
    <n v="0"/>
    <n v="0"/>
    <n v="0"/>
    <n v="624"/>
  </r>
  <r>
    <n v="61891359"/>
    <s v="N"/>
    <n v="21349626"/>
    <s v="3000015950310004"/>
    <s v="CIVIL"/>
    <d v="2023-06-29T00:00:00"/>
    <d v="2023-07-10T19:01:40"/>
    <m/>
    <d v="2023-07-10T00:00:00"/>
    <n v="1749"/>
    <n v="19529"/>
    <s v="61891359"/>
    <s v="61891359"/>
    <m/>
    <m/>
    <n v="22784714"/>
    <m/>
    <m/>
    <m/>
    <s v="SOLFIN"/>
    <s v="SOLFIN"/>
    <s v="CCMS"/>
    <n v="21349626"/>
    <n v="4857.03"/>
    <m/>
    <s v="N"/>
    <n v="2"/>
    <d v="2023-07-10T19:01:54"/>
    <s v="N"/>
    <s v="Medical Records"/>
    <s v="Public Law Children"/>
    <s v="Non Expert Disbursement"/>
    <s v="MED RECS"/>
    <s v="N"/>
    <n v="0"/>
    <n v="0"/>
    <x v="2"/>
    <s v="VALIDATED"/>
    <n v="1"/>
    <s v="01.11.80.308.6300.0000"/>
    <n v="0"/>
    <s v="11"/>
    <s v="6300"/>
    <n v="41014.84"/>
    <n v="0"/>
    <s v="CREDITOR"/>
    <n v="0"/>
    <n v="0"/>
    <n v="0"/>
    <n v="0"/>
    <n v="0"/>
  </r>
  <r>
    <n v="56378698"/>
    <s v="N"/>
    <n v="21350058"/>
    <s v="3000013381950016"/>
    <s v="CIVIL"/>
    <d v="2023-06-28T00:00:00"/>
    <d v="2023-07-10T19:01:40"/>
    <m/>
    <d v="2023-07-10T00:00:00"/>
    <n v="1749"/>
    <n v="19529"/>
    <s v="56378698"/>
    <s v="56378698"/>
    <m/>
    <m/>
    <n v="22781026"/>
    <m/>
    <m/>
    <m/>
    <s v="SOLFIN"/>
    <s v="SOLFIN"/>
    <s v="CCMS"/>
    <n v="21350058"/>
    <n v="15196.66"/>
    <m/>
    <s v="N"/>
    <n v="145"/>
    <d v="2023-07-10T19:02:12"/>
    <s v="Y"/>
    <s v="Hearing Unit 2.31 - 5.00 Hours"/>
    <s v="Public Law Children"/>
    <s v="Advocacy"/>
    <s v="RLA"/>
    <s v="Y"/>
    <n v="476.92"/>
    <n v="95.38"/>
    <x v="2"/>
    <s v="VALIDATED"/>
    <n v="1"/>
    <s v="01.11.80.308.6100.0000"/>
    <n v="476.92"/>
    <s v="11"/>
    <s v="6100"/>
    <n v="41014.84"/>
    <n v="476.92"/>
    <s v="CREDITOR"/>
    <n v="0"/>
    <n v="0"/>
    <n v="0"/>
    <n v="0"/>
    <n v="476.92"/>
  </r>
  <r>
    <n v="56378698"/>
    <s v="N"/>
    <n v="21350058"/>
    <s v="3000013381950016"/>
    <s v="CIVIL"/>
    <d v="2023-06-28T00:00:00"/>
    <d v="2023-07-10T19:01:40"/>
    <m/>
    <d v="2023-07-10T00:00:00"/>
    <n v="1749"/>
    <n v="19529"/>
    <s v="56378698"/>
    <s v="56378698"/>
    <m/>
    <m/>
    <n v="22781026"/>
    <m/>
    <m/>
    <m/>
    <s v="SOLFIN"/>
    <s v="SOLFIN"/>
    <s v="CCMS"/>
    <n v="21350058"/>
    <n v="15196.66"/>
    <m/>
    <s v="N"/>
    <n v="74"/>
    <d v="2023-07-10T19:02:12"/>
    <s v="Y"/>
    <s v="Preparation - other"/>
    <s v="Care Remuneration Hourly Rates"/>
    <s v="Profit Cost"/>
    <s v="RLA"/>
    <s v="Y"/>
    <n v="6.05"/>
    <n v="1.21"/>
    <x v="2"/>
    <s v="VALIDATED"/>
    <n v="1"/>
    <s v="01.11.80.308.6100.0000"/>
    <n v="6.05"/>
    <s v="11"/>
    <s v="6100"/>
    <n v="41014.84"/>
    <n v="6.05"/>
    <s v="CREDITOR"/>
    <n v="0"/>
    <n v="0"/>
    <n v="0"/>
    <n v="0"/>
    <n v="6.05"/>
  </r>
  <r>
    <n v="60696754"/>
    <s v="N"/>
    <n v="21338339"/>
    <s v="3000014940080010"/>
    <s v="CIVIL"/>
    <d v="2023-06-26T00:00:00"/>
    <d v="2023-07-06T19:21:01"/>
    <m/>
    <d v="2023-07-06T00:00:00"/>
    <n v="1749"/>
    <n v="19529"/>
    <s v="60696754"/>
    <s v="60696754"/>
    <m/>
    <m/>
    <n v="22764422"/>
    <m/>
    <m/>
    <m/>
    <s v="SOLFIN"/>
    <s v="SOLFIN"/>
    <s v="CCMS"/>
    <n v="21338339"/>
    <n v="19664.59"/>
    <m/>
    <s v="N"/>
    <n v="19"/>
    <d v="2023-07-06T19:21:20"/>
    <s v="Y"/>
    <s v="Final Hearing - 2 Days"/>
    <s v="Public Law Children"/>
    <s v="Advocacy"/>
    <s v="Hazel Roberts"/>
    <s v="Y"/>
    <n v="1113.76"/>
    <n v="222.75"/>
    <x v="4"/>
    <s v="VALIDATED"/>
    <n v="1"/>
    <s v="01.11.80.308.6100.0000"/>
    <n v="1113.76"/>
    <s v="11"/>
    <s v="6100"/>
    <n v="41014.84"/>
    <n v="1113.76"/>
    <s v="CREDITOR"/>
    <n v="0"/>
    <n v="0"/>
    <n v="0"/>
    <n v="0"/>
    <n v="1113.76"/>
  </r>
  <r>
    <n v="60994134"/>
    <s v="N"/>
    <n v="21331368"/>
    <s v="3000015197670010"/>
    <s v="CIVIL"/>
    <d v="2023-06-27T00:00:00"/>
    <d v="2023-07-05T19:01:47"/>
    <m/>
    <d v="2023-07-05T00:00:00"/>
    <n v="1749"/>
    <n v="19529"/>
    <s v="60994134"/>
    <s v="60994134"/>
    <m/>
    <m/>
    <n v="22768058"/>
    <m/>
    <m/>
    <m/>
    <s v="SOLFIN"/>
    <s v="SOLFIN"/>
    <s v="CCMS"/>
    <n v="21331368"/>
    <n v="3433.53"/>
    <m/>
    <s v="N"/>
    <n v="1"/>
    <d v="2023-07-05T19:02:16"/>
    <s v="Y"/>
    <s v="Expert - Other"/>
    <s v="Public Law Children"/>
    <s v="Expert Disbursement"/>
    <s v="ALPHABIOLABS - inv 614665"/>
    <s v="Y"/>
    <n v="138.62"/>
    <n v="27.72"/>
    <x v="6"/>
    <s v="VALIDATED"/>
    <n v="1"/>
    <s v="01.11.80.308.6300.0000"/>
    <n v="138.62"/>
    <s v="11"/>
    <s v="6300"/>
    <n v="41014.84"/>
    <n v="138.62"/>
    <s v="CREDITOR"/>
    <n v="0"/>
    <n v="0"/>
    <n v="0"/>
    <n v="0"/>
    <n v="138.62"/>
  </r>
  <r>
    <n v="62179919"/>
    <s v="N"/>
    <n v="21370392"/>
    <s v="3000016165870001"/>
    <s v="CIVIL"/>
    <d v="2023-06-30T00:00:00"/>
    <d v="2023-07-13T19:21:05"/>
    <m/>
    <d v="2023-07-13T00:00:00"/>
    <n v="1749"/>
    <n v="19529"/>
    <s v="62179919"/>
    <s v="62179919"/>
    <m/>
    <m/>
    <n v="22794182"/>
    <m/>
    <m/>
    <m/>
    <s v="SOLFIN"/>
    <s v="SOLFIN"/>
    <s v="CCMS"/>
    <n v="21370392"/>
    <n v="1471.28"/>
    <m/>
    <s v="N"/>
    <n v="8"/>
    <d v="2023-07-13T19:21:24"/>
    <s v="Y"/>
    <s v="Preparation - other"/>
    <s v="Prescribed Hourly Rates"/>
    <s v="Profit Cost"/>
    <s v="AM"/>
    <s v="Y"/>
    <n v="13.15"/>
    <n v="2.63"/>
    <x v="11"/>
    <s v="VALIDATED"/>
    <n v="1"/>
    <s v="01.11.80.305.6100.0000"/>
    <n v="13.15"/>
    <s v="11"/>
    <s v="6100"/>
    <n v="41014.84"/>
    <n v="13.15"/>
    <s v="CREDITOR"/>
    <n v="0"/>
    <n v="0"/>
    <n v="0"/>
    <n v="0"/>
    <n v="13.15"/>
  </r>
  <r>
    <n v="56378698"/>
    <s v="N"/>
    <n v="21350058"/>
    <s v="3000013381950016"/>
    <s v="CIVIL"/>
    <d v="2023-06-28T00:00:00"/>
    <d v="2023-07-10T19:01:40"/>
    <m/>
    <d v="2023-07-10T00:00:00"/>
    <n v="1749"/>
    <n v="19529"/>
    <s v="56378698"/>
    <s v="56378698"/>
    <m/>
    <m/>
    <n v="22781026"/>
    <m/>
    <m/>
    <m/>
    <s v="SOLFIN"/>
    <s v="SOLFIN"/>
    <s v="CCMS"/>
    <n v="21350058"/>
    <n v="15196.66"/>
    <m/>
    <s v="N"/>
    <n v="16"/>
    <d v="2023-07-10T19:02:12"/>
    <s v="Y"/>
    <s v="Routine Letter Out"/>
    <s v="Care Remuneration Hourly Rates"/>
    <s v="Profit Cost"/>
    <s v="LW"/>
    <s v="Y"/>
    <n v="527.67"/>
    <n v="105.53"/>
    <x v="2"/>
    <s v="VALIDATED"/>
    <n v="1"/>
    <s v="01.11.80.308.6100.0000"/>
    <n v="527.67"/>
    <s v="11"/>
    <s v="6100"/>
    <n v="41014.84"/>
    <n v="527.67"/>
    <s v="CREDITOR"/>
    <n v="0"/>
    <n v="0"/>
    <n v="0"/>
    <n v="0"/>
    <n v="527.67"/>
  </r>
  <r>
    <n v="62248633"/>
    <s v="N"/>
    <n v="21349774"/>
    <s v="3000016248660001"/>
    <s v="CIVIL"/>
    <d v="2023-06-30T00:00:00"/>
    <d v="2023-07-10T19:01:40"/>
    <m/>
    <d v="2023-07-10T00:00:00"/>
    <n v="1749"/>
    <n v="19529"/>
    <s v="62248633"/>
    <s v="62248633"/>
    <m/>
    <m/>
    <n v="22796056"/>
    <m/>
    <m/>
    <m/>
    <s v="SOLFIN"/>
    <s v="SOLFIN"/>
    <s v="CCMS"/>
    <n v="21349774"/>
    <n v="609.83"/>
    <m/>
    <s v="N"/>
    <n v="12"/>
    <d v="2023-07-10T19:01:57"/>
    <s v="Y"/>
    <s v="Routine Telephone Call"/>
    <s v="Care Remuneration Hourly Rates"/>
    <s v="Profit Cost"/>
    <s v="HR"/>
    <s v="Y"/>
    <n v="16.97"/>
    <n v="3.39"/>
    <x v="2"/>
    <s v="VALIDATED"/>
    <n v="1"/>
    <s v="01.11.80.308.6100.0000"/>
    <n v="16.97"/>
    <s v="11"/>
    <s v="6100"/>
    <n v="41014.84"/>
    <n v="16.97"/>
    <s v="CREDITOR"/>
    <n v="0"/>
    <n v="0"/>
    <n v="0"/>
    <n v="0"/>
    <n v="16.97"/>
  </r>
  <r>
    <n v="61891359"/>
    <s v="N"/>
    <n v="21349626"/>
    <s v="3000015950310004"/>
    <s v="CIVIL"/>
    <d v="2023-06-29T00:00:00"/>
    <d v="2023-07-10T19:01:40"/>
    <m/>
    <d v="2023-07-10T00:00:00"/>
    <n v="1749"/>
    <n v="19529"/>
    <s v="61891359"/>
    <s v="61891359"/>
    <m/>
    <m/>
    <n v="22784714"/>
    <m/>
    <m/>
    <m/>
    <s v="SOLFIN"/>
    <s v="SOLFIN"/>
    <s v="CCMS"/>
    <n v="21349626"/>
    <n v="4857.03"/>
    <m/>
    <s v="N"/>
    <n v="10"/>
    <d v="2023-07-10T19:01:54"/>
    <s v="Y"/>
    <s v="Solicitors Fixed Fee"/>
    <s v="Public Law Children"/>
    <s v="Profit Cost"/>
    <s v="ES"/>
    <s v="Y"/>
    <n v="1911"/>
    <n v="382.2"/>
    <x v="2"/>
    <s v="VALIDATED"/>
    <n v="1"/>
    <s v="01.11.80.308.6100.0000"/>
    <n v="1911"/>
    <s v="11"/>
    <s v="6100"/>
    <n v="41014.84"/>
    <n v="1911"/>
    <s v="CREDITOR"/>
    <n v="0"/>
    <n v="0"/>
    <n v="0"/>
    <n v="0"/>
    <n v="1911"/>
  </r>
  <r>
    <n v="56378698"/>
    <s v="N"/>
    <n v="21350058"/>
    <s v="3000013381950016"/>
    <s v="CIVIL"/>
    <d v="2023-06-28T00:00:00"/>
    <d v="2023-07-10T19:01:40"/>
    <m/>
    <d v="2023-07-10T00:00:00"/>
    <n v="1749"/>
    <n v="19529"/>
    <s v="56378698"/>
    <s v="56378698"/>
    <m/>
    <m/>
    <n v="22781026"/>
    <m/>
    <m/>
    <m/>
    <s v="SOLFIN"/>
    <s v="SOLFIN"/>
    <s v="CCMS"/>
    <n v="21350058"/>
    <n v="15196.66"/>
    <m/>
    <s v="N"/>
    <n v="125"/>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65"/>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75"/>
    <d v="2023-07-10T19:02:12"/>
    <s v="Y"/>
    <s v="Preparation - other"/>
    <s v="Care Remuneration Hourly Rates"/>
    <s v="Profit Cost"/>
    <s v="RLA"/>
    <s v="Y"/>
    <n v="6.05"/>
    <n v="1.21"/>
    <x v="2"/>
    <s v="VALIDATED"/>
    <n v="1"/>
    <s v="01.11.80.308.6100.0000"/>
    <n v="6.05"/>
    <s v="11"/>
    <s v="6100"/>
    <n v="41014.84"/>
    <n v="6.05"/>
    <s v="CREDITOR"/>
    <n v="0"/>
    <n v="0"/>
    <n v="0"/>
    <n v="0"/>
    <n v="6.05"/>
  </r>
  <r>
    <n v="62248633"/>
    <s v="N"/>
    <n v="21349774"/>
    <s v="3000016248660001"/>
    <s v="CIVIL"/>
    <d v="2023-06-30T00:00:00"/>
    <d v="2023-07-10T19:01:40"/>
    <m/>
    <d v="2023-07-10T00:00:00"/>
    <n v="1749"/>
    <n v="19529"/>
    <s v="62248633"/>
    <s v="62248633"/>
    <m/>
    <m/>
    <n v="22796056"/>
    <m/>
    <m/>
    <m/>
    <s v="SOLFIN"/>
    <s v="SOLFIN"/>
    <s v="CCMS"/>
    <n v="21349774"/>
    <n v="609.83"/>
    <m/>
    <s v="N"/>
    <n v="6"/>
    <d v="2023-07-10T19:01:57"/>
    <s v="Y"/>
    <s v="Preparation - drafting attendance n"/>
    <s v="Care Remuneration Hourly Rates"/>
    <s v="Profit Cost"/>
    <s v="HR"/>
    <s v="Y"/>
    <n v="6.72"/>
    <n v="1.34"/>
    <x v="2"/>
    <s v="VALIDATED"/>
    <n v="1"/>
    <s v="01.11.80.308.6100.0000"/>
    <n v="6.72"/>
    <s v="11"/>
    <s v="6100"/>
    <n v="41014.84"/>
    <n v="6.72"/>
    <s v="CREDITOR"/>
    <n v="0"/>
    <n v="0"/>
    <n v="0"/>
    <n v="0"/>
    <n v="6.72"/>
  </r>
  <r>
    <n v="60994134"/>
    <s v="N"/>
    <n v="21331368"/>
    <s v="3000015197670010"/>
    <s v="CIVIL"/>
    <d v="2023-06-27T00:00:00"/>
    <d v="2023-07-05T19:01:47"/>
    <m/>
    <d v="2023-07-05T00:00:00"/>
    <n v="1749"/>
    <n v="19529"/>
    <s v="60994134"/>
    <s v="60994134"/>
    <m/>
    <m/>
    <n v="22768058"/>
    <m/>
    <m/>
    <m/>
    <s v="SOLFIN"/>
    <s v="SOLFIN"/>
    <s v="CCMS"/>
    <n v="21331368"/>
    <n v="3433.53"/>
    <m/>
    <s v="N"/>
    <n v="2"/>
    <d v="2023-07-05T19:02:16"/>
    <s v="Y"/>
    <s v="Expert - Other"/>
    <s v="Public Law Children"/>
    <s v="Expert Disbursement"/>
    <s v="ALPHABIOLABS - inv 623116"/>
    <s v="Y"/>
    <n v="193.75"/>
    <n v="38.75"/>
    <x v="6"/>
    <s v="VALIDATED"/>
    <n v="1"/>
    <s v="01.11.80.308.6300.0000"/>
    <n v="193.75"/>
    <s v="11"/>
    <s v="6300"/>
    <n v="41014.84"/>
    <n v="193.75"/>
    <s v="CREDITOR"/>
    <n v="0"/>
    <n v="0"/>
    <n v="0"/>
    <n v="0"/>
    <n v="193.75"/>
  </r>
  <r>
    <n v="61670453"/>
    <s v="N"/>
    <n v="21360465"/>
    <s v="3000015767050009"/>
    <s v="CIVIL"/>
    <d v="2023-06-30T00:00:00"/>
    <d v="2023-07-11T11:50:54"/>
    <m/>
    <d v="2023-07-11T00:00:00"/>
    <n v="1749"/>
    <n v="19529"/>
    <s v="61670453"/>
    <s v="61670453"/>
    <m/>
    <m/>
    <n v="22796560"/>
    <m/>
    <m/>
    <m/>
    <s v="SOLFIN"/>
    <s v="SOLFIN"/>
    <s v="CCMS"/>
    <n v="21360465"/>
    <n v="4113.27"/>
    <m/>
    <s v="N"/>
    <n v="1"/>
    <d v="2023-07-11T11:51:05"/>
    <s v="Y"/>
    <s v="Expert - Other"/>
    <s v="Public Law Children"/>
    <s v="Expert Disbursement"/>
    <s v="LEXTOX - inv 281902"/>
    <s v="Y"/>
    <n v="691.36"/>
    <n v="138.27"/>
    <x v="7"/>
    <s v="VALIDATED"/>
    <n v="1"/>
    <s v="01.11.80.308.6300.0000"/>
    <n v="691.36"/>
    <s v="11"/>
    <s v="6300"/>
    <n v="41014.84"/>
    <n v="691.36"/>
    <s v="CREDITOR"/>
    <n v="0"/>
    <n v="0"/>
    <n v="0"/>
    <n v="0"/>
    <n v="691.36"/>
  </r>
  <r>
    <n v="62248633"/>
    <s v="N"/>
    <n v="21349774"/>
    <s v="3000016248660001"/>
    <s v="CIVIL"/>
    <d v="2023-06-30T00:00:00"/>
    <d v="2023-07-10T19:01:40"/>
    <m/>
    <d v="2023-07-10T00:00:00"/>
    <n v="1749"/>
    <n v="19529"/>
    <s v="62248633"/>
    <s v="62248633"/>
    <m/>
    <m/>
    <n v="22796056"/>
    <m/>
    <m/>
    <m/>
    <s v="SOLFIN"/>
    <s v="SOLFIN"/>
    <s v="CCMS"/>
    <n v="21349774"/>
    <n v="609.83"/>
    <m/>
    <s v="N"/>
    <n v="2"/>
    <d v="2023-07-10T19:01:57"/>
    <s v="Y"/>
    <s v="Preparation - other"/>
    <s v="Care Remuneration Hourly Rates"/>
    <s v="Profit Cost"/>
    <s v="AM"/>
    <s v="Y"/>
    <n v="29.21"/>
    <n v="5.84"/>
    <x v="2"/>
    <s v="VALIDATED"/>
    <n v="1"/>
    <s v="01.11.80.308.6100.0000"/>
    <n v="29.21"/>
    <s v="11"/>
    <s v="6100"/>
    <n v="41014.84"/>
    <n v="29.21"/>
    <s v="CREDITOR"/>
    <n v="0"/>
    <n v="0"/>
    <n v="0"/>
    <n v="0"/>
    <n v="29.21"/>
  </r>
  <r>
    <n v="56378698"/>
    <s v="N"/>
    <n v="21350058"/>
    <s v="3000013381950016"/>
    <s v="CIVIL"/>
    <d v="2023-06-28T00:00:00"/>
    <d v="2023-07-10T19:01:40"/>
    <m/>
    <d v="2023-07-10T00:00:00"/>
    <n v="1749"/>
    <n v="19529"/>
    <s v="56378698"/>
    <s v="56378698"/>
    <m/>
    <m/>
    <n v="22781026"/>
    <m/>
    <m/>
    <m/>
    <s v="SOLFIN"/>
    <s v="SOLFIN"/>
    <s v="CCMS"/>
    <n v="21350058"/>
    <n v="15196.66"/>
    <m/>
    <s v="N"/>
    <n v="119"/>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90"/>
    <d v="2023-07-10T19:02:12"/>
    <s v="Y"/>
    <s v="Preparation - other"/>
    <s v="Care Remuneration Hourly Rates"/>
    <s v="Profit Cost"/>
    <s v="DT"/>
    <s v="Y"/>
    <n v="42.06"/>
    <n v="8.41"/>
    <x v="2"/>
    <s v="VALIDATED"/>
    <n v="1"/>
    <s v="01.11.80.308.6100.0000"/>
    <n v="42.06"/>
    <s v="11"/>
    <s v="6100"/>
    <n v="41014.84"/>
    <n v="42.06"/>
    <s v="CREDITOR"/>
    <n v="0"/>
    <n v="0"/>
    <n v="0"/>
    <n v="0"/>
    <n v="42.06"/>
  </r>
  <r>
    <n v="62248633"/>
    <s v="N"/>
    <n v="21349774"/>
    <s v="3000016248660001"/>
    <s v="CIVIL"/>
    <d v="2023-06-30T00:00:00"/>
    <d v="2023-07-10T19:01:40"/>
    <m/>
    <d v="2023-07-10T00:00:00"/>
    <n v="1749"/>
    <n v="19529"/>
    <s v="62248633"/>
    <s v="62248633"/>
    <m/>
    <m/>
    <n v="22796056"/>
    <m/>
    <m/>
    <m/>
    <s v="SOLFIN"/>
    <s v="SOLFIN"/>
    <s v="CCMS"/>
    <n v="21349774"/>
    <n v="609.83"/>
    <m/>
    <s v="N"/>
    <n v="8"/>
    <d v="2023-07-10T19:01:57"/>
    <s v="Y"/>
    <s v="Preparation - other"/>
    <s v="Care Remuneration Hourly Rates"/>
    <s v="Profit Cost"/>
    <s v="CLB"/>
    <s v="Y"/>
    <n v="5.84"/>
    <n v="1.17"/>
    <x v="2"/>
    <s v="VALIDATED"/>
    <n v="1"/>
    <s v="01.11.80.308.6100.0000"/>
    <n v="5.84"/>
    <s v="11"/>
    <s v="6100"/>
    <n v="41014.84"/>
    <n v="5.84"/>
    <s v="CREDITOR"/>
    <n v="0"/>
    <n v="0"/>
    <n v="0"/>
    <n v="0"/>
    <n v="5.84"/>
  </r>
  <r>
    <n v="56378698"/>
    <s v="N"/>
    <n v="21350058"/>
    <s v="3000013381950016"/>
    <s v="CIVIL"/>
    <d v="2023-06-28T00:00:00"/>
    <d v="2023-07-10T19:01:40"/>
    <m/>
    <d v="2023-07-10T00:00:00"/>
    <n v="1749"/>
    <n v="19529"/>
    <s v="56378698"/>
    <s v="56378698"/>
    <m/>
    <m/>
    <n v="22781026"/>
    <m/>
    <m/>
    <m/>
    <s v="SOLFIN"/>
    <s v="SOLFIN"/>
    <s v="CCMS"/>
    <n v="21350058"/>
    <n v="15196.66"/>
    <m/>
    <s v="N"/>
    <n v="93"/>
    <d v="2023-07-10T19:02:12"/>
    <s v="Y"/>
    <s v="Preparation - other"/>
    <s v="Care Remuneration Hourly Rates"/>
    <s v="Profit Cost"/>
    <s v="SW"/>
    <s v="Y"/>
    <n v="5.26"/>
    <n v="1.05"/>
    <x v="2"/>
    <s v="VALIDATED"/>
    <n v="1"/>
    <s v="01.11.80.308.6100.0000"/>
    <n v="5.26"/>
    <s v="11"/>
    <s v="6100"/>
    <n v="41014.84"/>
    <n v="5.26"/>
    <s v="CREDITOR"/>
    <n v="0"/>
    <n v="0"/>
    <n v="0"/>
    <n v="0"/>
    <n v="5.26"/>
  </r>
  <r>
    <n v="61150578"/>
    <s v="N"/>
    <n v="21323348"/>
    <s v="3000015333350005"/>
    <s v="CIVIL"/>
    <d v="2023-06-30T00:00:00"/>
    <d v="2023-07-03T19:05:56"/>
    <m/>
    <d v="2023-07-03T00:00:00"/>
    <n v="1749"/>
    <n v="19529"/>
    <s v="61150578"/>
    <s v="61150578"/>
    <m/>
    <m/>
    <n v="22798144"/>
    <m/>
    <m/>
    <m/>
    <s v="SOLPOA"/>
    <s v="SOLPOA"/>
    <s v="CCMS"/>
    <n v="21323348"/>
    <n v="907.09"/>
    <m/>
    <s v="N"/>
    <n v="1"/>
    <d v="2023-07-03T19:05:56"/>
    <s v="N"/>
    <s v="Solicitors Fixed Fee"/>
    <s v="Public Law Children"/>
    <s v="Profit Cost"/>
    <s v="RLA"/>
    <s v="N"/>
    <n v="755.91"/>
    <n v="151.18"/>
    <x v="3"/>
    <s v="VALIDATED"/>
    <n v="1"/>
    <s v="01.11.80.308.2012.0000"/>
    <n v="755.91"/>
    <s v="11"/>
    <s v="2012"/>
    <n v="41014.84"/>
    <n v="755.91"/>
    <s v="CREDITOR"/>
    <n v="755.91"/>
    <n v="188.9775"/>
    <n v="0"/>
    <n v="0"/>
    <n v="0"/>
  </r>
  <r>
    <n v="62179919"/>
    <s v="N"/>
    <n v="21370392"/>
    <s v="3000016165870001"/>
    <s v="CIVIL"/>
    <d v="2023-06-30T00:00:00"/>
    <d v="2023-07-13T19:21:05"/>
    <m/>
    <d v="2023-07-13T00:00:00"/>
    <n v="1749"/>
    <n v="19529"/>
    <s v="62179919"/>
    <s v="62179919"/>
    <m/>
    <m/>
    <n v="22794182"/>
    <m/>
    <m/>
    <m/>
    <s v="SOLFIN"/>
    <s v="SOLFIN"/>
    <s v="CCMS"/>
    <n v="21370392"/>
    <n v="1471.28"/>
    <m/>
    <s v="N"/>
    <n v="4"/>
    <d v="2023-07-13T19:21:24"/>
    <s v="Y"/>
    <s v="Routine Letter Out"/>
    <s v="Prescribed Hourly Rates"/>
    <s v="Profit Cost"/>
    <s v="AM/CLB"/>
    <s v="Y"/>
    <n v="146.05"/>
    <n v="29.21"/>
    <x v="11"/>
    <s v="VALIDATED"/>
    <n v="1"/>
    <s v="01.11.80.305.6100.0000"/>
    <n v="146.05"/>
    <s v="11"/>
    <s v="6100"/>
    <n v="41014.84"/>
    <n v="146.05"/>
    <s v="CREDITOR"/>
    <n v="0"/>
    <n v="0"/>
    <n v="0"/>
    <n v="0"/>
    <n v="146.05"/>
  </r>
  <r>
    <n v="62248633"/>
    <s v="N"/>
    <n v="21349774"/>
    <s v="3000016248660001"/>
    <s v="CIVIL"/>
    <d v="2023-06-30T00:00:00"/>
    <d v="2023-07-10T19:01:40"/>
    <m/>
    <d v="2023-07-10T00:00:00"/>
    <n v="1749"/>
    <n v="19529"/>
    <s v="62248633"/>
    <s v="62248633"/>
    <m/>
    <m/>
    <n v="22796056"/>
    <m/>
    <m/>
    <m/>
    <s v="SOLFIN"/>
    <s v="SOLFIN"/>
    <s v="CCMS"/>
    <n v="21349774"/>
    <n v="609.83"/>
    <m/>
    <s v="N"/>
    <n v="3"/>
    <d v="2023-07-10T19:01:57"/>
    <s v="Y"/>
    <s v="Preparation - other"/>
    <s v="Care Remuneration Hourly Rates"/>
    <s v="Profit Cost"/>
    <s v="AM"/>
    <s v="Y"/>
    <n v="5.84"/>
    <n v="1.17"/>
    <x v="2"/>
    <s v="VALIDATED"/>
    <n v="1"/>
    <s v="01.11.80.308.6100.0000"/>
    <n v="5.84"/>
    <s v="11"/>
    <s v="6100"/>
    <n v="41014.84"/>
    <n v="5.84"/>
    <s v="CREDITOR"/>
    <n v="0"/>
    <n v="0"/>
    <n v="0"/>
    <n v="0"/>
    <n v="5.84"/>
  </r>
  <r>
    <n v="56378698"/>
    <s v="N"/>
    <n v="21350058"/>
    <s v="3000013381950016"/>
    <s v="CIVIL"/>
    <d v="2023-06-28T00:00:00"/>
    <d v="2023-07-10T19:01:40"/>
    <m/>
    <d v="2023-07-10T00:00:00"/>
    <n v="1749"/>
    <n v="19529"/>
    <s v="56378698"/>
    <s v="56378698"/>
    <m/>
    <m/>
    <n v="22781026"/>
    <m/>
    <m/>
    <m/>
    <s v="SOLFIN"/>
    <s v="SOLFIN"/>
    <s v="CCMS"/>
    <n v="21350058"/>
    <n v="15196.66"/>
    <m/>
    <s v="N"/>
    <n v="131"/>
    <d v="2023-07-10T19:02:12"/>
    <s v="Y"/>
    <s v="Advocates Meeting"/>
    <s v="Public Law Children"/>
    <s v="Advocacy"/>
    <s v="RLA"/>
    <s v="Y"/>
    <n v="140.99"/>
    <n v="28.2"/>
    <x v="2"/>
    <s v="VALIDATED"/>
    <n v="1"/>
    <s v="01.11.80.308.6100.0000"/>
    <n v="140.99"/>
    <s v="11"/>
    <s v="6100"/>
    <n v="41014.84"/>
    <n v="140.99"/>
    <s v="CREDITOR"/>
    <n v="0"/>
    <n v="0"/>
    <n v="0"/>
    <n v="0"/>
    <n v="140.99"/>
  </r>
  <r>
    <n v="56378698"/>
    <s v="N"/>
    <n v="21350058"/>
    <s v="3000013381950016"/>
    <s v="CIVIL"/>
    <d v="2023-06-28T00:00:00"/>
    <d v="2023-07-10T19:01:40"/>
    <m/>
    <d v="2023-07-10T00:00:00"/>
    <n v="1749"/>
    <n v="19529"/>
    <s v="56378698"/>
    <s v="56378698"/>
    <m/>
    <m/>
    <n v="22781026"/>
    <m/>
    <m/>
    <m/>
    <s v="SOLFIN"/>
    <s v="SOLFIN"/>
    <s v="CCMS"/>
    <n v="21350058"/>
    <n v="15196.66"/>
    <m/>
    <s v="N"/>
    <n v="138"/>
    <d v="2023-07-10T19:02:12"/>
    <s v="Y"/>
    <s v="Hearing Unit 2.31 - 5.00 Hours"/>
    <s v="Public Law Children"/>
    <s v="Advocacy"/>
    <s v="RLA"/>
    <s v="Y"/>
    <n v="476.92"/>
    <n v="95.38"/>
    <x v="2"/>
    <s v="VALIDATED"/>
    <n v="1"/>
    <s v="01.11.80.308.6100.0000"/>
    <n v="476.92"/>
    <s v="11"/>
    <s v="6100"/>
    <n v="41014.84"/>
    <n v="476.92"/>
    <s v="CREDITOR"/>
    <n v="0"/>
    <n v="0"/>
    <n v="0"/>
    <n v="0"/>
    <n v="476.92"/>
  </r>
  <r>
    <n v="56378698"/>
    <s v="N"/>
    <n v="21350058"/>
    <s v="3000013381950016"/>
    <s v="CIVIL"/>
    <d v="2023-06-28T00:00:00"/>
    <d v="2023-07-10T19:01:40"/>
    <m/>
    <d v="2023-07-10T00:00:00"/>
    <n v="1749"/>
    <n v="19529"/>
    <s v="56378698"/>
    <s v="56378698"/>
    <m/>
    <m/>
    <n v="22781026"/>
    <m/>
    <m/>
    <m/>
    <s v="SOLFIN"/>
    <s v="SOLFIN"/>
    <s v="CCMS"/>
    <n v="21350058"/>
    <n v="15196.66"/>
    <m/>
    <s v="N"/>
    <n v="116"/>
    <d v="2023-07-10T19:02:12"/>
    <s v="Y"/>
    <s v="Attendance upon client"/>
    <s v="Care Remuneration Hourly Rates"/>
    <s v="Profit Cost"/>
    <s v="RLA"/>
    <s v="Y"/>
    <n v="12.09"/>
    <n v="2.42"/>
    <x v="2"/>
    <s v="VALIDATED"/>
    <n v="1"/>
    <s v="01.11.80.308.6100.0000"/>
    <n v="12.09"/>
    <s v="11"/>
    <s v="6100"/>
    <n v="41014.84"/>
    <n v="12.09"/>
    <s v="CREDITOR"/>
    <n v="0"/>
    <n v="0"/>
    <n v="0"/>
    <n v="0"/>
    <n v="12.09"/>
  </r>
  <r>
    <n v="56378698"/>
    <s v="N"/>
    <n v="21350058"/>
    <s v="3000013381950016"/>
    <s v="CIVIL"/>
    <d v="2023-06-28T00:00:00"/>
    <d v="2023-07-10T19:01:40"/>
    <m/>
    <d v="2023-07-10T00:00:00"/>
    <n v="1749"/>
    <n v="19529"/>
    <s v="56378698"/>
    <s v="56378698"/>
    <m/>
    <m/>
    <n v="22781026"/>
    <m/>
    <m/>
    <m/>
    <s v="SOLFIN"/>
    <s v="SOLFIN"/>
    <s v="CCMS"/>
    <n v="21350058"/>
    <n v="15196.66"/>
    <m/>
    <s v="N"/>
    <n v="86"/>
    <d v="2023-07-10T19:02:12"/>
    <s v="Y"/>
    <s v="Preparation - other"/>
    <s v="Care Remuneration Hourly Rates"/>
    <s v="Profit Cost"/>
    <s v="SW"/>
    <s v="Y"/>
    <n v="5.26"/>
    <n v="1.05"/>
    <x v="2"/>
    <s v="VALIDATED"/>
    <n v="1"/>
    <s v="01.11.80.308.6100.0000"/>
    <n v="5.26"/>
    <s v="11"/>
    <s v="6100"/>
    <n v="41014.84"/>
    <n v="5.26"/>
    <s v="CREDITOR"/>
    <n v="0"/>
    <n v="0"/>
    <n v="0"/>
    <n v="0"/>
    <n v="5.26"/>
  </r>
  <r>
    <n v="60527246"/>
    <s v="N"/>
    <n v="21323876"/>
    <s v="3000014794680027"/>
    <s v="CIVIL"/>
    <d v="2023-06-30T00:00:00"/>
    <d v="2023-07-03T19:05:56"/>
    <m/>
    <d v="2023-07-03T00:00:00"/>
    <n v="1749"/>
    <n v="19529"/>
    <s v="60527246"/>
    <s v="60527246"/>
    <m/>
    <m/>
    <n v="22795326"/>
    <m/>
    <m/>
    <m/>
    <s v="SOLPOA"/>
    <s v="SOLPOA"/>
    <s v="CCMS"/>
    <n v="21323876"/>
    <n v="2483.3"/>
    <m/>
    <s v="N"/>
    <n v="1"/>
    <d v="2023-07-03T19:05:59"/>
    <s v="N"/>
    <s v="Solicitors Fixed Fee"/>
    <s v="Public Law Children"/>
    <s v="Profit Cost"/>
    <s v="HR"/>
    <s v="N"/>
    <n v="2069.42"/>
    <n v="413.88"/>
    <x v="3"/>
    <s v="VALIDATED"/>
    <n v="1"/>
    <s v="01.11.80.308.2012.0000"/>
    <n v="2069.42"/>
    <s v="11"/>
    <s v="2012"/>
    <n v="41014.84"/>
    <n v="2069.42"/>
    <s v="CREDITOR"/>
    <n v="2069.42"/>
    <n v="517.355"/>
    <n v="0"/>
    <n v="0"/>
    <n v="0"/>
  </r>
  <r>
    <n v="61891359"/>
    <s v="N"/>
    <n v="21349626"/>
    <s v="3000015950310004"/>
    <s v="CIVIL"/>
    <d v="2023-06-29T00:00:00"/>
    <d v="2023-07-10T19:01:40"/>
    <m/>
    <d v="2023-07-10T00:00:00"/>
    <n v="1749"/>
    <n v="19529"/>
    <s v="61891359"/>
    <s v="61891359"/>
    <m/>
    <m/>
    <n v="22784714"/>
    <m/>
    <m/>
    <m/>
    <s v="SOLFIN"/>
    <s v="SOLFIN"/>
    <s v="CCMS"/>
    <n v="21349626"/>
    <n v="4857.03"/>
    <m/>
    <s v="N"/>
    <n v="8"/>
    <d v="2023-07-10T19:01:54"/>
    <s v="Y"/>
    <s v="Hearing Unit 2.31 - 5.00 Hours"/>
    <s v="Public Law Children"/>
    <s v="Advocacy"/>
    <s v="ES"/>
    <s v="Y"/>
    <n v="433.62"/>
    <n v="86.72"/>
    <x v="2"/>
    <s v="VALIDATED"/>
    <n v="1"/>
    <s v="01.11.80.308.6100.0000"/>
    <n v="433.62"/>
    <s v="11"/>
    <s v="6100"/>
    <n v="41014.84"/>
    <n v="433.62"/>
    <s v="CREDITOR"/>
    <n v="0"/>
    <n v="0"/>
    <n v="0"/>
    <n v="0"/>
    <n v="433.62"/>
  </r>
  <r>
    <n v="56378698"/>
    <s v="N"/>
    <n v="21350058"/>
    <s v="3000013381950016"/>
    <s v="CIVIL"/>
    <d v="2023-06-28T00:00:00"/>
    <d v="2023-07-10T19:01:40"/>
    <m/>
    <d v="2023-07-10T00:00:00"/>
    <n v="1749"/>
    <n v="19529"/>
    <s v="56378698"/>
    <s v="56378698"/>
    <m/>
    <m/>
    <n v="22781026"/>
    <m/>
    <m/>
    <m/>
    <s v="SOLFIN"/>
    <s v="SOLFIN"/>
    <s v="CCMS"/>
    <n v="21350058"/>
    <n v="15196.66"/>
    <m/>
    <s v="N"/>
    <n v="102"/>
    <d v="2023-07-10T19:02:12"/>
    <s v="Y"/>
    <s v="Preparation - other"/>
    <s v="Care Remuneration Hourly Rates"/>
    <s v="Profit Cost"/>
    <s v="MEG"/>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04"/>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36"/>
    <d v="2023-07-10T19:02:12"/>
    <s v="Y"/>
    <s v="Hearing Unit 1.01 - 2.30 Hours"/>
    <s v="Public Law Children"/>
    <s v="Advocacy"/>
    <s v="RLA"/>
    <s v="Y"/>
    <n v="238.46"/>
    <n v="47.69"/>
    <x v="2"/>
    <s v="VALIDATED"/>
    <n v="1"/>
    <s v="01.11.80.308.6100.0000"/>
    <n v="238.46"/>
    <s v="11"/>
    <s v="6100"/>
    <n v="41014.84"/>
    <n v="238.46"/>
    <s v="CREDITOR"/>
    <n v="0"/>
    <n v="0"/>
    <n v="0"/>
    <n v="0"/>
    <n v="238.46"/>
  </r>
  <r>
    <n v="61713695"/>
    <s v="N"/>
    <n v="21323845"/>
    <s v="3000015783200003"/>
    <s v="CIVIL"/>
    <d v="2023-06-30T00:00:00"/>
    <d v="2023-07-03T19:05:56"/>
    <m/>
    <d v="2023-07-03T00:00:00"/>
    <n v="1749"/>
    <n v="19529"/>
    <s v="61713695"/>
    <s v="61713695"/>
    <m/>
    <m/>
    <n v="22797150"/>
    <m/>
    <m/>
    <m/>
    <s v="SOLPOA"/>
    <s v="SOLPOA"/>
    <s v="CCMS"/>
    <n v="21323845"/>
    <n v="1157.14"/>
    <m/>
    <s v="N"/>
    <n v="1"/>
    <d v="2023-07-03T19:05:59"/>
    <s v="N"/>
    <s v="Level 3 &amp; Enforcement Fixed Fee"/>
    <s v="Private Law Children"/>
    <s v="Profit Cost"/>
    <s v="ES"/>
    <s v="N"/>
    <n v="964.28"/>
    <n v="192.86"/>
    <x v="3"/>
    <s v="VALIDATED"/>
    <n v="1"/>
    <s v="01.11.80.307.2012.0000"/>
    <n v="964.28"/>
    <s v="11"/>
    <s v="2012"/>
    <n v="41014.84"/>
    <n v="964.28"/>
    <s v="CREDITOR"/>
    <n v="964.28"/>
    <n v="241.07"/>
    <n v="0"/>
    <n v="0"/>
    <n v="0"/>
  </r>
  <r>
    <n v="62244277"/>
    <s v="N"/>
    <n v="21338083"/>
    <s v="3000016235060002"/>
    <s v="CIVIL"/>
    <d v="2023-06-27T00:00:00"/>
    <d v="2023-07-06T19:21:01"/>
    <m/>
    <d v="2023-07-06T00:00:00"/>
    <n v="1749"/>
    <n v="19529"/>
    <s v="62244277"/>
    <s v="62244277"/>
    <m/>
    <m/>
    <n v="22773564"/>
    <m/>
    <m/>
    <m/>
    <s v="SOLPOA"/>
    <s v="SOLPOA"/>
    <s v="CCMS"/>
    <n v="21338083"/>
    <n v="167"/>
    <m/>
    <s v="N"/>
    <n v="1"/>
    <d v="2023-07-06T19:21:11"/>
    <s v="N"/>
    <s v="Non Expert Disbursement"/>
    <s v="Non Expert Disbursement"/>
    <s v="Non Expert Disbursement"/>
    <s v="Berkson Family Law"/>
    <s v="N"/>
    <n v="167"/>
    <n v="0"/>
    <x v="4"/>
    <s v="VALIDATED"/>
    <n v="1"/>
    <s v="01.11.80.307.2012.0000"/>
    <n v="167"/>
    <s v="11"/>
    <s v="2012"/>
    <n v="41014.84"/>
    <n v="167"/>
    <s v="CREDITOR"/>
    <n v="167"/>
    <n v="0"/>
    <n v="0"/>
    <n v="0"/>
    <n v="0"/>
  </r>
  <r>
    <n v="60409128"/>
    <s v="N"/>
    <n v="21318786"/>
    <s v="3000014696220023"/>
    <s v="CIVIL"/>
    <d v="2023-06-19T00:00:00"/>
    <d v="2023-07-03T19:01:49"/>
    <m/>
    <d v="2023-07-03T00:00:00"/>
    <n v="1749"/>
    <n v="19529"/>
    <s v="60409128"/>
    <s v="60409128"/>
    <m/>
    <m/>
    <n v="22712456"/>
    <m/>
    <m/>
    <m/>
    <s v="SOLPOA"/>
    <s v="SOLPOA"/>
    <s v="CCMS"/>
    <n v="21318786"/>
    <n v="34.2"/>
    <m/>
    <s v="N"/>
    <n v="1"/>
    <d v="2023-07-03T19:02:03"/>
    <s v="N"/>
    <s v="Non Expert Disbursement"/>
    <s v="Non Expert Disbursement"/>
    <s v="Non Expert Disbursement"/>
    <s v="Adele Schofield"/>
    <s v="N"/>
    <n v="34.2"/>
    <n v="0"/>
    <x v="3"/>
    <s v="VALIDATED"/>
    <n v="1"/>
    <s v="01.11.80.308.2012.0000"/>
    <n v="34.2"/>
    <s v="11"/>
    <s v="2012"/>
    <n v="41014.84"/>
    <n v="34.2"/>
    <s v="CREDITOR"/>
    <n v="34.2"/>
    <n v="0"/>
    <n v="0"/>
    <n v="0"/>
    <n v="0"/>
  </r>
  <r>
    <n v="60309343"/>
    <s v="N"/>
    <n v="21319986"/>
    <s v="3000014610440025"/>
    <s v="CIVIL"/>
    <d v="2023-06-26T00:00:00"/>
    <d v="2023-07-03T19:04:24"/>
    <m/>
    <d v="2023-07-03T00:00:00"/>
    <n v="1749"/>
    <n v="19529"/>
    <s v="60309343"/>
    <s v="60309343"/>
    <m/>
    <m/>
    <n v="22763414"/>
    <m/>
    <m/>
    <m/>
    <s v="SOLFIN"/>
    <s v="SOLFIN"/>
    <s v="CCMS"/>
    <n v="21319986"/>
    <n v="17867.12"/>
    <m/>
    <s v="N"/>
    <n v="15"/>
    <d v="2023-07-03T19:04:28"/>
    <s v="Y"/>
    <s v="Child psychologist"/>
    <s v="VHCC"/>
    <s v="Expert Disbursement"/>
    <s v="PSYLEWIS LTD - inv PSYL/1022/0H4"/>
    <s v="Y"/>
    <n v="100.8"/>
    <n v="0"/>
    <x v="3"/>
    <s v="VALIDATED"/>
    <n v="1"/>
    <s v="01.11.80.308.6300.0000"/>
    <n v="100.8"/>
    <s v="11"/>
    <s v="6300"/>
    <n v="41014.84"/>
    <n v="100.8"/>
    <s v="CREDITOR"/>
    <n v="0"/>
    <n v="0"/>
    <n v="0"/>
    <n v="0"/>
    <n v="100.8"/>
  </r>
  <r>
    <n v="56378698"/>
    <s v="N"/>
    <n v="21350058"/>
    <s v="3000013381950016"/>
    <s v="CIVIL"/>
    <d v="2023-06-28T00:00:00"/>
    <d v="2023-07-10T19:01:40"/>
    <m/>
    <d v="2023-07-10T00:00:00"/>
    <n v="1749"/>
    <n v="19529"/>
    <s v="56378698"/>
    <s v="56378698"/>
    <m/>
    <m/>
    <n v="22781026"/>
    <m/>
    <m/>
    <m/>
    <s v="SOLFIN"/>
    <s v="SOLFIN"/>
    <s v="CCMS"/>
    <n v="21350058"/>
    <n v="15196.66"/>
    <m/>
    <s v="N"/>
    <n v="47"/>
    <d v="2023-07-10T19:02:12"/>
    <s v="Y"/>
    <s v="Preparation - other"/>
    <s v="Care Remuneration Hourly Rates"/>
    <s v="Profit Cost"/>
    <s v="LW"/>
    <s v="Y"/>
    <n v="21.03"/>
    <n v="4.21"/>
    <x v="2"/>
    <s v="VALIDATED"/>
    <n v="1"/>
    <s v="01.11.80.308.6100.0000"/>
    <n v="21.03"/>
    <s v="11"/>
    <s v="6100"/>
    <n v="41014.84"/>
    <n v="21.03"/>
    <s v="CREDITOR"/>
    <n v="0"/>
    <n v="0"/>
    <n v="0"/>
    <n v="0"/>
    <n v="21.03"/>
  </r>
  <r>
    <n v="56378698"/>
    <s v="N"/>
    <n v="21350058"/>
    <s v="3000013381950016"/>
    <s v="CIVIL"/>
    <d v="2023-06-28T00:00:00"/>
    <d v="2023-07-10T19:01:40"/>
    <m/>
    <d v="2023-07-10T00:00:00"/>
    <n v="1749"/>
    <n v="19529"/>
    <s v="56378698"/>
    <s v="56378698"/>
    <m/>
    <m/>
    <n v="22781026"/>
    <m/>
    <m/>
    <m/>
    <s v="SOLFIN"/>
    <s v="SOLFIN"/>
    <s v="CCMS"/>
    <n v="21350058"/>
    <n v="15196.66"/>
    <m/>
    <s v="N"/>
    <n v="13"/>
    <d v="2023-07-10T19:02:12"/>
    <s v="Y"/>
    <s v="Attendance upon client"/>
    <s v="Care Remuneration Hourly Rates"/>
    <s v="Profit Cost"/>
    <s v="RLA"/>
    <s v="Y"/>
    <n v="18.14"/>
    <n v="3.63"/>
    <x v="2"/>
    <s v="VALIDATED"/>
    <n v="1"/>
    <s v="01.11.80.308.6100.0000"/>
    <n v="18.14"/>
    <s v="11"/>
    <s v="6100"/>
    <n v="41014.84"/>
    <n v="18.14"/>
    <s v="CREDITOR"/>
    <n v="0"/>
    <n v="0"/>
    <n v="0"/>
    <n v="0"/>
    <n v="18.14"/>
  </r>
  <r>
    <n v="61865676"/>
    <s v="N"/>
    <n v="21343362"/>
    <s v="3000015925930002"/>
    <s v="CIVIL"/>
    <d v="2023-06-05T00:00:00"/>
    <d v="2023-07-07T19:03:00"/>
    <m/>
    <d v="2023-07-07T00:00:00"/>
    <n v="1749"/>
    <n v="19529"/>
    <s v="61865676"/>
    <s v="61865676"/>
    <m/>
    <m/>
    <n v="22614494"/>
    <m/>
    <m/>
    <m/>
    <s v="SOLPOA"/>
    <s v="SOLPOA"/>
    <s v="CCMS"/>
    <n v="21343362"/>
    <n v="589.8"/>
    <m/>
    <s v="N"/>
    <n v="1"/>
    <d v="2023-07-07T19:03:08"/>
    <s v="N"/>
    <s v="Expert Cost"/>
    <s v="Expert Cost"/>
    <s v="Expert Disbursement"/>
    <s v="Darren Matthews"/>
    <s v="N"/>
    <n v="491.5"/>
    <n v="98.3"/>
    <x v="9"/>
    <s v="VALIDATED"/>
    <n v="1"/>
    <s v="01.11.80.308.2012.0000"/>
    <n v="491.5"/>
    <s v="11"/>
    <s v="2012"/>
    <n v="41014.84"/>
    <n v="491.5"/>
    <s v="CREDITOR"/>
    <n v="491.5"/>
    <n v="0"/>
    <n v="0"/>
    <n v="0"/>
    <n v="0"/>
  </r>
  <r>
    <n v="60696754"/>
    <s v="N"/>
    <n v="21338339"/>
    <s v="3000014940080010"/>
    <s v="CIVIL"/>
    <d v="2023-06-26T00:00:00"/>
    <d v="2023-07-06T19:21:01"/>
    <m/>
    <d v="2023-07-06T00:00:00"/>
    <n v="1749"/>
    <n v="19529"/>
    <s v="60696754"/>
    <s v="60696754"/>
    <m/>
    <m/>
    <n v="22764422"/>
    <m/>
    <m/>
    <m/>
    <s v="SOLFIN"/>
    <s v="SOLFIN"/>
    <s v="CCMS"/>
    <n v="21338339"/>
    <n v="19664.59"/>
    <m/>
    <s v="N"/>
    <n v="9"/>
    <d v="2023-07-06T19:21:20"/>
    <s v="Y"/>
    <s v="Disbursements (Summary)"/>
    <s v="Public Law Children"/>
    <s v="Non Expert Disbursement"/>
    <s v="Hazel Roberts"/>
    <s v="Y"/>
    <n v="1881.26"/>
    <n v="376.25"/>
    <x v="4"/>
    <s v="VALIDATED"/>
    <n v="1"/>
    <s v="01.11.80.308.6300.0000"/>
    <n v="1881.26"/>
    <s v="11"/>
    <s v="6300"/>
    <n v="41014.84"/>
    <n v="1881.26"/>
    <s v="CREDITOR"/>
    <n v="0"/>
    <n v="0"/>
    <n v="0"/>
    <n v="0"/>
    <n v="1881.26"/>
  </r>
  <r>
    <n v="62179919"/>
    <s v="N"/>
    <n v="21370392"/>
    <s v="3000016165870001"/>
    <s v="CIVIL"/>
    <d v="2023-06-30T00:00:00"/>
    <d v="2023-07-13T19:21:05"/>
    <m/>
    <d v="2023-07-13T00:00:00"/>
    <n v="1749"/>
    <n v="19529"/>
    <s v="62179919"/>
    <s v="62179919"/>
    <m/>
    <m/>
    <n v="22794182"/>
    <m/>
    <m/>
    <m/>
    <s v="SOLFIN"/>
    <s v="SOLFIN"/>
    <s v="CCMS"/>
    <n v="21370392"/>
    <n v="1471.28"/>
    <m/>
    <s v="N"/>
    <n v="26"/>
    <d v="2023-07-13T19:21:24"/>
    <s v="Y"/>
    <s v="Preparation - drafting attendance n"/>
    <s v="Prescribed Hourly Rates"/>
    <s v="Profit Cost"/>
    <s v="HR"/>
    <s v="Y"/>
    <n v="15.12"/>
    <n v="3.02"/>
    <x v="11"/>
    <s v="VALIDATED"/>
    <n v="1"/>
    <s v="01.11.80.305.6100.0000"/>
    <n v="15.12"/>
    <s v="11"/>
    <s v="6100"/>
    <n v="41014.84"/>
    <n v="15.12"/>
    <s v="CREDITOR"/>
    <n v="0"/>
    <n v="0"/>
    <n v="0"/>
    <n v="0"/>
    <n v="15.12"/>
  </r>
  <r>
    <n v="60696754"/>
    <s v="N"/>
    <n v="21338339"/>
    <s v="3000014940080010"/>
    <s v="CIVIL"/>
    <d v="2023-06-26T00:00:00"/>
    <d v="2023-07-06T19:21:01"/>
    <m/>
    <d v="2023-07-06T00:00:00"/>
    <n v="1749"/>
    <n v="19529"/>
    <s v="60696754"/>
    <s v="60696754"/>
    <m/>
    <m/>
    <n v="22764422"/>
    <m/>
    <m/>
    <m/>
    <s v="SOLFIN"/>
    <s v="SOLFIN"/>
    <s v="CCMS"/>
    <n v="21338339"/>
    <n v="19664.59"/>
    <m/>
    <s v="N"/>
    <n v="17"/>
    <d v="2023-07-06T19:21:20"/>
    <s v="Y"/>
    <s v="Advocates Meeting"/>
    <s v="Public Law Children"/>
    <s v="Advocacy"/>
    <s v="Hazel Roberts"/>
    <s v="Y"/>
    <n v="140.99"/>
    <n v="28.2"/>
    <x v="4"/>
    <s v="VALIDATED"/>
    <n v="1"/>
    <s v="01.11.80.308.6100.0000"/>
    <n v="140.99"/>
    <s v="11"/>
    <s v="6100"/>
    <n v="41014.84"/>
    <n v="140.99"/>
    <s v="CREDITOR"/>
    <n v="0"/>
    <n v="0"/>
    <n v="0"/>
    <n v="0"/>
    <n v="140.99"/>
  </r>
  <r>
    <n v="60696754"/>
    <s v="N"/>
    <n v="21338339"/>
    <s v="3000014940080010"/>
    <s v="CIVIL"/>
    <d v="2023-06-26T00:00:00"/>
    <d v="2023-07-06T19:21:01"/>
    <m/>
    <d v="2023-07-06T00:00:00"/>
    <n v="1749"/>
    <n v="19529"/>
    <s v="60696754"/>
    <s v="60696754"/>
    <m/>
    <m/>
    <n v="22764422"/>
    <m/>
    <m/>
    <m/>
    <s v="SOLFIN"/>
    <s v="SOLFIN"/>
    <s v="CCMS"/>
    <n v="21338339"/>
    <n v="19664.59"/>
    <m/>
    <s v="N"/>
    <n v="3"/>
    <d v="2023-07-06T19:21:20"/>
    <s v="Y"/>
    <s v="Final Hearing Court Bundle/Advocate"/>
    <s v="Public Law Children"/>
    <s v="Advocacy"/>
    <s v="Hazel Roberts"/>
    <s v="Y"/>
    <n v="239.4"/>
    <n v="47.88"/>
    <x v="4"/>
    <s v="VALIDATED"/>
    <n v="1"/>
    <s v="01.11.80.308.6100.0000"/>
    <n v="239.4"/>
    <s v="11"/>
    <s v="6100"/>
    <n v="41014.84"/>
    <n v="239.4"/>
    <s v="CREDITOR"/>
    <n v="0"/>
    <n v="0"/>
    <n v="0"/>
    <n v="0"/>
    <n v="239.4"/>
  </r>
  <r>
    <n v="56378698"/>
    <s v="N"/>
    <n v="21350058"/>
    <s v="3000013381950016"/>
    <s v="CIVIL"/>
    <d v="2023-06-28T00:00:00"/>
    <d v="2023-07-10T19:01:40"/>
    <m/>
    <d v="2023-07-10T00:00:00"/>
    <n v="1749"/>
    <n v="19529"/>
    <s v="56378698"/>
    <s v="56378698"/>
    <m/>
    <m/>
    <n v="22781026"/>
    <m/>
    <m/>
    <m/>
    <s v="SOLFIN"/>
    <s v="SOLFIN"/>
    <s v="CCMS"/>
    <n v="21350058"/>
    <n v="15196.66"/>
    <m/>
    <s v="N"/>
    <n v="9"/>
    <d v="2023-07-10T19:02:12"/>
    <s v="Y"/>
    <s v="Routine Telephone Call"/>
    <s v="Care Remuneration Hourly Rates"/>
    <s v="Profit Cost"/>
    <s v="LW"/>
    <s v="Y"/>
    <n v="3.69"/>
    <n v="0.74"/>
    <x v="2"/>
    <s v="VALIDATED"/>
    <n v="1"/>
    <s v="01.11.80.308.6100.0000"/>
    <n v="3.69"/>
    <s v="11"/>
    <s v="6100"/>
    <n v="41014.84"/>
    <n v="3.69"/>
    <s v="CREDITOR"/>
    <n v="0"/>
    <n v="0"/>
    <n v="0"/>
    <n v="0"/>
    <n v="3.69"/>
  </r>
  <r>
    <n v="60994134"/>
    <s v="N"/>
    <n v="21331368"/>
    <s v="3000015197670010"/>
    <s v="CIVIL"/>
    <d v="2023-06-27T00:00:00"/>
    <d v="2023-07-05T19:01:47"/>
    <m/>
    <d v="2023-07-05T00:00:00"/>
    <n v="1749"/>
    <n v="19529"/>
    <s v="60994134"/>
    <s v="60994134"/>
    <m/>
    <m/>
    <n v="22768058"/>
    <m/>
    <m/>
    <m/>
    <s v="SOLFIN"/>
    <s v="SOLFIN"/>
    <s v="CCMS"/>
    <n v="21331368"/>
    <n v="3433.53"/>
    <m/>
    <s v="N"/>
    <n v="5"/>
    <d v="2023-07-05T19:02:16"/>
    <s v="Y"/>
    <s v="Solicitors Fixed Fee"/>
    <s v="Public Law Children"/>
    <s v="Profit Cost"/>
    <s v="HB"/>
    <s v="Y"/>
    <n v="1911"/>
    <n v="382.2"/>
    <x v="6"/>
    <s v="VALIDATED"/>
    <n v="1"/>
    <s v="01.11.80.308.6100.0000"/>
    <n v="1911"/>
    <s v="11"/>
    <s v="6100"/>
    <n v="41014.84"/>
    <n v="1911"/>
    <s v="CREDITOR"/>
    <n v="0"/>
    <n v="0"/>
    <n v="0"/>
    <n v="0"/>
    <n v="1911"/>
  </r>
  <r>
    <n v="60511036"/>
    <s v="N"/>
    <n v="21330978"/>
    <s v="3000014779230005"/>
    <s v="CIVIL"/>
    <d v="2023-06-29T00:00:00"/>
    <d v="2023-07-05T19:01:47"/>
    <m/>
    <d v="2023-07-05T00:00:00"/>
    <n v="1749"/>
    <n v="19529"/>
    <s v="60511036"/>
    <s v="60511036"/>
    <m/>
    <m/>
    <n v="22785150"/>
    <m/>
    <m/>
    <m/>
    <s v="SOLADJ"/>
    <s v="SOLADJ"/>
    <s v="CCMS"/>
    <n v="21330978"/>
    <n v="104.7"/>
    <m/>
    <s v="N"/>
    <n v="1"/>
    <d v="2023-07-05T19:02:00"/>
    <s v="Y"/>
    <s v="DNA - test of sample"/>
    <s v="Public Law Children"/>
    <s v="Expert Disbursement"/>
    <s v="Alphabiolabs - Inv 622297"/>
    <s v="Y"/>
    <n v="87.25"/>
    <n v="17.45"/>
    <x v="6"/>
    <s v="VALIDATED"/>
    <n v="1"/>
    <s v="01.11.80.308.6300.0000"/>
    <n v="87.25"/>
    <s v="11"/>
    <s v="6300"/>
    <n v="41014.84"/>
    <n v="87.25"/>
    <s v="CREDITOR"/>
    <n v="0"/>
    <n v="0"/>
    <n v="0"/>
    <n v="0"/>
    <n v="87.25"/>
  </r>
  <r>
    <n v="62179919"/>
    <s v="N"/>
    <n v="21370392"/>
    <s v="3000016165870001"/>
    <s v="CIVIL"/>
    <d v="2023-06-30T00:00:00"/>
    <d v="2023-07-13T19:21:05"/>
    <m/>
    <d v="2023-07-13T00:00:00"/>
    <n v="1749"/>
    <n v="19529"/>
    <s v="62179919"/>
    <s v="62179919"/>
    <m/>
    <m/>
    <n v="22794182"/>
    <m/>
    <m/>
    <m/>
    <s v="SOLFIN"/>
    <s v="SOLFIN"/>
    <s v="CCMS"/>
    <n v="21370392"/>
    <n v="1471.28"/>
    <m/>
    <s v="N"/>
    <n v="10"/>
    <d v="2023-07-13T19:21:24"/>
    <s v="Y"/>
    <s v="Preparation - other"/>
    <s v="Prescribed Hourly Rates"/>
    <s v="Profit Cost"/>
    <s v="CLB"/>
    <s v="Y"/>
    <n v="32.88"/>
    <n v="6.58"/>
    <x v="11"/>
    <s v="VALIDATED"/>
    <n v="1"/>
    <s v="01.11.80.305.6100.0000"/>
    <n v="32.88"/>
    <s v="11"/>
    <s v="6100"/>
    <n v="41014.84"/>
    <n v="32.88"/>
    <s v="CREDITOR"/>
    <n v="0"/>
    <n v="0"/>
    <n v="0"/>
    <n v="0"/>
    <n v="32.88"/>
  </r>
  <r>
    <n v="56378698"/>
    <s v="N"/>
    <n v="21350058"/>
    <s v="3000013381950016"/>
    <s v="CIVIL"/>
    <d v="2023-06-28T00:00:00"/>
    <d v="2023-07-10T19:01:40"/>
    <m/>
    <d v="2023-07-10T00:00:00"/>
    <n v="1749"/>
    <n v="19529"/>
    <s v="56378698"/>
    <s v="56378698"/>
    <m/>
    <m/>
    <n v="22781026"/>
    <m/>
    <m/>
    <m/>
    <s v="SOLFIN"/>
    <s v="SOLFIN"/>
    <s v="CCMS"/>
    <n v="21350058"/>
    <n v="15196.66"/>
    <m/>
    <s v="N"/>
    <n v="101"/>
    <d v="2023-07-10T19:02:12"/>
    <s v="Y"/>
    <s v="Preparation - other"/>
    <s v="Care Remuneration Hourly Rates"/>
    <s v="Profit Cost"/>
    <s v="RLA"/>
    <s v="Y"/>
    <n v="211.6"/>
    <n v="42.32"/>
    <x v="2"/>
    <s v="VALIDATED"/>
    <n v="1"/>
    <s v="01.11.80.308.6100.0000"/>
    <n v="211.6"/>
    <s v="11"/>
    <s v="6100"/>
    <n v="41014.84"/>
    <n v="211.6"/>
    <s v="CREDITOR"/>
    <n v="0"/>
    <n v="0"/>
    <n v="0"/>
    <n v="0"/>
    <n v="211.6"/>
  </r>
  <r>
    <n v="56378698"/>
    <s v="N"/>
    <n v="21350058"/>
    <s v="3000013381950016"/>
    <s v="CIVIL"/>
    <d v="2023-06-28T00:00:00"/>
    <d v="2023-07-10T19:01:40"/>
    <m/>
    <d v="2023-07-10T00:00:00"/>
    <n v="1749"/>
    <n v="19529"/>
    <s v="56378698"/>
    <s v="56378698"/>
    <m/>
    <m/>
    <n v="22781026"/>
    <m/>
    <m/>
    <m/>
    <s v="SOLFIN"/>
    <s v="SOLFIN"/>
    <s v="CCMS"/>
    <n v="21350058"/>
    <n v="15196.66"/>
    <m/>
    <s v="N"/>
    <n v="141"/>
    <d v="2023-07-10T19:02:12"/>
    <s v="Y"/>
    <s v="Hearing Unit 5.01 - 7.30 Hours"/>
    <s v="Public Law Children"/>
    <s v="Advocacy"/>
    <s v="RLA"/>
    <s v="Y"/>
    <n v="715.38"/>
    <n v="143.07"/>
    <x v="2"/>
    <s v="VALIDATED"/>
    <n v="1"/>
    <s v="01.11.80.308.6100.0000"/>
    <n v="715.38"/>
    <s v="11"/>
    <s v="6100"/>
    <n v="41014.84"/>
    <n v="715.38"/>
    <s v="CREDITOR"/>
    <n v="0"/>
    <n v="0"/>
    <n v="0"/>
    <n v="0"/>
    <n v="715.38"/>
  </r>
  <r>
    <n v="56378698"/>
    <s v="N"/>
    <n v="21350058"/>
    <s v="3000013381950016"/>
    <s v="CIVIL"/>
    <d v="2023-06-28T00:00:00"/>
    <d v="2023-07-10T19:01:40"/>
    <m/>
    <d v="2023-07-10T00:00:00"/>
    <n v="1749"/>
    <n v="19529"/>
    <s v="56378698"/>
    <s v="56378698"/>
    <m/>
    <m/>
    <n v="22781026"/>
    <m/>
    <m/>
    <m/>
    <s v="SOLFIN"/>
    <s v="SOLFIN"/>
    <s v="CCMS"/>
    <n v="21350058"/>
    <n v="15196.66"/>
    <m/>
    <s v="N"/>
    <n v="30"/>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71"/>
    <d v="2023-07-10T19:02:12"/>
    <s v="Y"/>
    <s v="Preparation - other"/>
    <s v="Care Remuneration Hourly Rates"/>
    <s v="Profit Cost"/>
    <s v="LW"/>
    <s v="Y"/>
    <n v="26.29"/>
    <n v="5.26"/>
    <x v="2"/>
    <s v="VALIDATED"/>
    <n v="1"/>
    <s v="01.11.80.308.6100.0000"/>
    <n v="26.29"/>
    <s v="11"/>
    <s v="6100"/>
    <n v="41014.84"/>
    <n v="26.29"/>
    <s v="CREDITOR"/>
    <n v="0"/>
    <n v="0"/>
    <n v="0"/>
    <n v="0"/>
    <n v="26.29"/>
  </r>
  <r>
    <n v="56378698"/>
    <s v="N"/>
    <n v="21350058"/>
    <s v="3000013381950016"/>
    <s v="CIVIL"/>
    <d v="2023-06-28T00:00:00"/>
    <d v="2023-07-10T19:01:40"/>
    <m/>
    <d v="2023-07-10T00:00:00"/>
    <n v="1749"/>
    <n v="19529"/>
    <s v="56378698"/>
    <s v="56378698"/>
    <m/>
    <m/>
    <n v="22781026"/>
    <m/>
    <m/>
    <m/>
    <s v="SOLFIN"/>
    <s v="SOLFIN"/>
    <s v="CCMS"/>
    <n v="21350058"/>
    <n v="15196.66"/>
    <m/>
    <s v="N"/>
    <n v="88"/>
    <d v="2023-07-10T19:02:12"/>
    <s v="Y"/>
    <s v="Preparation - other"/>
    <s v="Care Remuneration Hourly Rates"/>
    <s v="Profit Cost"/>
    <s v="DT"/>
    <s v="Y"/>
    <n v="21.03"/>
    <n v="4.21"/>
    <x v="2"/>
    <s v="VALIDATED"/>
    <n v="1"/>
    <s v="01.11.80.308.6100.0000"/>
    <n v="21.03"/>
    <s v="11"/>
    <s v="6100"/>
    <n v="41014.84"/>
    <n v="21.03"/>
    <s v="CREDITOR"/>
    <n v="0"/>
    <n v="0"/>
    <n v="0"/>
    <n v="0"/>
    <n v="21.03"/>
  </r>
  <r>
    <n v="60696754"/>
    <s v="N"/>
    <n v="21338339"/>
    <s v="3000014940080010"/>
    <s v="CIVIL"/>
    <d v="2023-06-26T00:00:00"/>
    <d v="2023-07-06T19:21:01"/>
    <m/>
    <d v="2023-07-06T00:00:00"/>
    <n v="1749"/>
    <n v="19529"/>
    <s v="60696754"/>
    <s v="60696754"/>
    <m/>
    <m/>
    <n v="22764422"/>
    <m/>
    <m/>
    <m/>
    <s v="SOLFIN"/>
    <s v="SOLFIN"/>
    <s v="CCMS"/>
    <n v="21338339"/>
    <n v="19664.59"/>
    <m/>
    <s v="N"/>
    <n v="11"/>
    <d v="2023-07-06T19:21:20"/>
    <s v="Y"/>
    <s v="Advocates Meeting"/>
    <s v="Public Law Children"/>
    <s v="Advocacy"/>
    <s v="Hazel Roberts"/>
    <s v="Y"/>
    <n v="140.99"/>
    <n v="28.2"/>
    <x v="4"/>
    <s v="VALIDATED"/>
    <n v="1"/>
    <s v="01.11.80.308.6100.0000"/>
    <n v="140.99"/>
    <s v="11"/>
    <s v="6100"/>
    <n v="41014.84"/>
    <n v="140.99"/>
    <s v="CREDITOR"/>
    <n v="0"/>
    <n v="0"/>
    <n v="0"/>
    <n v="0"/>
    <n v="140.99"/>
  </r>
  <r>
    <n v="60309343"/>
    <s v="N"/>
    <n v="21319986"/>
    <s v="3000014610440025"/>
    <s v="CIVIL"/>
    <d v="2023-06-26T00:00:00"/>
    <d v="2023-07-03T19:04:24"/>
    <m/>
    <d v="2023-07-03T00:00:00"/>
    <n v="1749"/>
    <n v="19529"/>
    <s v="60309343"/>
    <s v="60309343"/>
    <m/>
    <m/>
    <n v="22763414"/>
    <m/>
    <m/>
    <m/>
    <s v="SOLFIN"/>
    <s v="SOLFIN"/>
    <s v="CCMS"/>
    <n v="21319986"/>
    <n v="17867.12"/>
    <m/>
    <s v="N"/>
    <n v="6"/>
    <d v="2023-07-03T19:04:28"/>
    <s v="Y"/>
    <s v="Expert - Other"/>
    <s v="VHCC"/>
    <s v="Expert Disbursement"/>
    <s v="CYFOR - inv 9931B"/>
    <s v="Y"/>
    <n v="624"/>
    <n v="124.8"/>
    <x v="3"/>
    <s v="VALIDATED"/>
    <n v="1"/>
    <s v="01.11.80.308.6300.0000"/>
    <n v="624"/>
    <s v="11"/>
    <s v="6300"/>
    <n v="41014.84"/>
    <n v="624"/>
    <s v="CREDITOR"/>
    <n v="0"/>
    <n v="0"/>
    <n v="0"/>
    <n v="0"/>
    <n v="624"/>
  </r>
  <r>
    <n v="61797685"/>
    <s v="N"/>
    <n v="21323525"/>
    <s v="3000015867060008"/>
    <s v="CIVIL"/>
    <d v="2023-06-30T00:00:00"/>
    <d v="2023-07-03T19:05:56"/>
    <m/>
    <d v="2023-07-03T00:00:00"/>
    <n v="1749"/>
    <n v="19529"/>
    <s v="61797685"/>
    <s v="61797685"/>
    <m/>
    <m/>
    <n v="22798348"/>
    <m/>
    <m/>
    <m/>
    <s v="SOLPOA"/>
    <s v="SOLPOA"/>
    <s v="CCMS"/>
    <n v="21323525"/>
    <n v="463.19"/>
    <m/>
    <s v="N"/>
    <n v="1"/>
    <d v="2023-07-03T19:05:57"/>
    <s v="N"/>
    <s v="Level 3 Fixed Fee"/>
    <s v="Private Law Children"/>
    <s v="Profit Cost"/>
    <s v="ES"/>
    <s v="N"/>
    <n v="385.99"/>
    <n v="77.2"/>
    <x v="3"/>
    <s v="VALIDATED"/>
    <n v="1"/>
    <s v="01.11.80.307.2012.0000"/>
    <n v="385.99"/>
    <s v="11"/>
    <s v="2012"/>
    <n v="41014.84"/>
    <n v="385.99"/>
    <s v="CREDITOR"/>
    <n v="385.99"/>
    <n v="96.4975"/>
    <n v="0"/>
    <n v="0"/>
    <n v="0"/>
  </r>
  <r>
    <n v="62179919"/>
    <s v="N"/>
    <n v="21370392"/>
    <s v="3000016165870001"/>
    <s v="CIVIL"/>
    <d v="2023-06-30T00:00:00"/>
    <d v="2023-07-13T19:21:05"/>
    <m/>
    <d v="2023-07-13T00:00:00"/>
    <n v="1749"/>
    <n v="19529"/>
    <s v="62179919"/>
    <s v="62179919"/>
    <m/>
    <m/>
    <n v="22794182"/>
    <m/>
    <m/>
    <m/>
    <s v="SOLFIN"/>
    <s v="SOLFIN"/>
    <s v="CCMS"/>
    <n v="21370392"/>
    <n v="1471.28"/>
    <m/>
    <s v="N"/>
    <n v="3"/>
    <d v="2023-07-13T19:21:24"/>
    <s v="Y"/>
    <s v="Preparation - drafting attendance n"/>
    <s v="Prescribed Hourly Rates"/>
    <s v="Profit Cost"/>
    <s v="HR"/>
    <s v="Y"/>
    <n v="15.12"/>
    <n v="3.02"/>
    <x v="11"/>
    <s v="VALIDATED"/>
    <n v="1"/>
    <s v="01.11.80.305.6100.0000"/>
    <n v="15.12"/>
    <s v="11"/>
    <s v="6100"/>
    <n v="41014.84"/>
    <n v="15.12"/>
    <s v="CREDITOR"/>
    <n v="0"/>
    <n v="0"/>
    <n v="0"/>
    <n v="0"/>
    <n v="15.12"/>
  </r>
  <r>
    <n v="61891359"/>
    <s v="N"/>
    <n v="21349626"/>
    <s v="3000015950310004"/>
    <s v="CIVIL"/>
    <d v="2023-06-29T00:00:00"/>
    <d v="2023-07-10T19:01:40"/>
    <m/>
    <d v="2023-07-10T00:00:00"/>
    <n v="1749"/>
    <n v="19529"/>
    <s v="61891359"/>
    <s v="61891359"/>
    <m/>
    <m/>
    <n v="22784714"/>
    <m/>
    <m/>
    <m/>
    <s v="SOLFIN"/>
    <s v="SOLFIN"/>
    <s v="CCMS"/>
    <n v="21349626"/>
    <n v="4857.03"/>
    <m/>
    <s v="N"/>
    <n v="3"/>
    <d v="2023-07-10T19:01:54"/>
    <s v="Y"/>
    <s v="Court Fee"/>
    <s v="Public Law Children"/>
    <s v="Non Expert Disbursement"/>
    <s v="HMCTS ISSUE FEE"/>
    <s v="Y"/>
    <n v="167"/>
    <n v="0"/>
    <x v="2"/>
    <s v="VALIDATED"/>
    <n v="1"/>
    <s v="01.11.80.308.6300.0000"/>
    <n v="167"/>
    <s v="11"/>
    <s v="6300"/>
    <n v="41014.84"/>
    <n v="167"/>
    <s v="CREDITOR"/>
    <n v="0"/>
    <n v="0"/>
    <n v="0"/>
    <n v="0"/>
    <n v="167"/>
  </r>
  <r>
    <n v="56378698"/>
    <s v="N"/>
    <n v="21350058"/>
    <s v="3000013381950016"/>
    <s v="CIVIL"/>
    <d v="2023-06-28T00:00:00"/>
    <d v="2023-07-10T19:01:40"/>
    <m/>
    <d v="2023-07-10T00:00:00"/>
    <n v="1749"/>
    <n v="19529"/>
    <s v="56378698"/>
    <s v="56378698"/>
    <m/>
    <m/>
    <n v="22781026"/>
    <m/>
    <m/>
    <m/>
    <s v="SOLFIN"/>
    <s v="SOLFIN"/>
    <s v="CCMS"/>
    <n v="21350058"/>
    <n v="15196.66"/>
    <m/>
    <s v="N"/>
    <n v="96"/>
    <d v="2023-07-10T19:02:12"/>
    <s v="Y"/>
    <s v="Preparation - other"/>
    <s v="Care Remuneration Hourly Rates"/>
    <s v="Profit Cost"/>
    <s v="RLA"/>
    <s v="Y"/>
    <n v="12.09"/>
    <n v="2.42"/>
    <x v="2"/>
    <s v="VALIDATED"/>
    <n v="1"/>
    <s v="01.11.80.308.6100.0000"/>
    <n v="12.09"/>
    <s v="11"/>
    <s v="6100"/>
    <n v="41014.84"/>
    <n v="12.09"/>
    <s v="CREDITOR"/>
    <n v="0"/>
    <n v="0"/>
    <n v="0"/>
    <n v="0"/>
    <n v="12.09"/>
  </r>
  <r>
    <n v="56378698"/>
    <s v="N"/>
    <n v="21350058"/>
    <s v="3000013381950016"/>
    <s v="CIVIL"/>
    <d v="2023-06-28T00:00:00"/>
    <d v="2023-07-10T19:01:40"/>
    <m/>
    <d v="2023-07-10T00:00:00"/>
    <n v="1749"/>
    <n v="19529"/>
    <s v="56378698"/>
    <s v="56378698"/>
    <m/>
    <m/>
    <n v="22781026"/>
    <m/>
    <m/>
    <m/>
    <s v="SOLFIN"/>
    <s v="SOLFIN"/>
    <s v="CCMS"/>
    <n v="21350058"/>
    <n v="15196.66"/>
    <m/>
    <s v="N"/>
    <n v="100"/>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24"/>
    <d v="2023-07-10T19:02:12"/>
    <s v="Y"/>
    <s v="Preparation - other"/>
    <s v="Care Remuneration Hourly Rates"/>
    <s v="Profit Cost"/>
    <s v="RLA"/>
    <s v="Y"/>
    <n v="6.05"/>
    <n v="1.21"/>
    <x v="2"/>
    <s v="VALIDATED"/>
    <n v="1"/>
    <s v="01.11.80.308.6100.0000"/>
    <n v="6.05"/>
    <s v="11"/>
    <s v="6100"/>
    <n v="41014.84"/>
    <n v="6.05"/>
    <s v="CREDITOR"/>
    <n v="0"/>
    <n v="0"/>
    <n v="0"/>
    <n v="0"/>
    <n v="6.05"/>
  </r>
  <r>
    <n v="56378698"/>
    <s v="N"/>
    <n v="21350058"/>
    <s v="3000013381950016"/>
    <s v="CIVIL"/>
    <d v="2023-06-28T00:00:00"/>
    <d v="2023-07-10T19:01:40"/>
    <m/>
    <d v="2023-07-10T00:00:00"/>
    <n v="1749"/>
    <n v="19529"/>
    <s v="56378698"/>
    <s v="56378698"/>
    <m/>
    <m/>
    <n v="22781026"/>
    <m/>
    <m/>
    <m/>
    <s v="SOLFIN"/>
    <s v="SOLFIN"/>
    <s v="CCMS"/>
    <n v="21350058"/>
    <n v="15196.66"/>
    <m/>
    <s v="N"/>
    <n v="32"/>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
    <d v="2023-07-10T19:02:12"/>
    <s v="Y"/>
    <s v="Interim Hearing Court Bundle/Advoca"/>
    <s v="Public Law Children"/>
    <s v="Advocacy"/>
    <s v="RLA"/>
    <s v="Y"/>
    <n v="89.09999999999999"/>
    <n v="17.82"/>
    <x v="2"/>
    <s v="VALIDATED"/>
    <n v="1"/>
    <s v="01.11.80.308.6100.0000"/>
    <n v="89.09999999999999"/>
    <s v="11"/>
    <s v="6100"/>
    <n v="41014.84"/>
    <n v="89.09999999999999"/>
    <s v="CREDITOR"/>
    <n v="0"/>
    <n v="0"/>
    <n v="0"/>
    <n v="0"/>
    <n v="89.09999999999999"/>
  </r>
  <r>
    <n v="56378698"/>
    <s v="N"/>
    <n v="21350058"/>
    <s v="3000013381950016"/>
    <s v="CIVIL"/>
    <d v="2023-06-28T00:00:00"/>
    <d v="2023-07-10T19:01:40"/>
    <m/>
    <d v="2023-07-10T00:00:00"/>
    <n v="1749"/>
    <n v="19529"/>
    <s v="56378698"/>
    <s v="56378698"/>
    <m/>
    <m/>
    <n v="22781026"/>
    <m/>
    <m/>
    <m/>
    <s v="SOLFIN"/>
    <s v="SOLFIN"/>
    <s v="CCMS"/>
    <n v="21350058"/>
    <n v="15196.66"/>
    <m/>
    <s v="N"/>
    <n v="14"/>
    <d v="2023-07-10T19:02:12"/>
    <s v="Y"/>
    <s v="Routine Telephone Call"/>
    <s v="Care Remuneration Hourly Rates"/>
    <s v="Profit Cost"/>
    <s v="RLA"/>
    <s v="Y"/>
    <n v="33.95"/>
    <n v="6.79"/>
    <x v="2"/>
    <s v="VALIDATED"/>
    <n v="1"/>
    <s v="01.11.80.308.6100.0000"/>
    <n v="33.95"/>
    <s v="11"/>
    <s v="6100"/>
    <n v="41014.84"/>
    <n v="33.95"/>
    <s v="CREDITOR"/>
    <n v="0"/>
    <n v="0"/>
    <n v="0"/>
    <n v="0"/>
    <n v="33.95"/>
  </r>
  <r>
    <n v="56378698"/>
    <s v="N"/>
    <n v="21350058"/>
    <s v="3000013381950016"/>
    <s v="CIVIL"/>
    <d v="2023-06-28T00:00:00"/>
    <d v="2023-07-10T19:01:40"/>
    <m/>
    <d v="2023-07-10T00:00:00"/>
    <n v="1749"/>
    <n v="19529"/>
    <s v="56378698"/>
    <s v="56378698"/>
    <m/>
    <m/>
    <n v="22781026"/>
    <m/>
    <m/>
    <m/>
    <s v="SOLFIN"/>
    <s v="SOLFIN"/>
    <s v="CCMS"/>
    <n v="21350058"/>
    <n v="15196.66"/>
    <m/>
    <s v="N"/>
    <n v="18"/>
    <d v="2023-07-10T19:02:12"/>
    <s v="Y"/>
    <s v="Routine Letter In"/>
    <s v="Care Remuneration Hourly Rates"/>
    <s v="Profit Cost"/>
    <s v="LW"/>
    <s v="Y"/>
    <n v="838.05"/>
    <n v="167.66"/>
    <x v="2"/>
    <s v="VALIDATED"/>
    <n v="1"/>
    <s v="01.11.80.308.6100.0000"/>
    <n v="838.05"/>
    <s v="11"/>
    <s v="6100"/>
    <n v="41014.84"/>
    <n v="838.05"/>
    <s v="CREDITOR"/>
    <n v="0"/>
    <n v="0"/>
    <n v="0"/>
    <n v="0"/>
    <n v="838.05"/>
  </r>
  <r>
    <n v="60696754"/>
    <s v="N"/>
    <n v="21338339"/>
    <s v="3000014940080010"/>
    <s v="CIVIL"/>
    <d v="2023-06-26T00:00:00"/>
    <d v="2023-07-06T19:21:01"/>
    <m/>
    <d v="2023-07-06T00:00:00"/>
    <n v="1749"/>
    <n v="19529"/>
    <s v="60696754"/>
    <s v="60696754"/>
    <m/>
    <m/>
    <n v="22764422"/>
    <m/>
    <m/>
    <m/>
    <s v="SOLFIN"/>
    <s v="SOLFIN"/>
    <s v="CCMS"/>
    <n v="21338339"/>
    <n v="19664.59"/>
    <m/>
    <s v="N"/>
    <n v="18"/>
    <d v="2023-07-06T19:21:20"/>
    <s v="Y"/>
    <s v="Hearing Unit 2.31 - 5.00 Hours"/>
    <s v="Public Law Children"/>
    <s v="Advocacy"/>
    <s v="Hazel Roberts"/>
    <s v="Y"/>
    <n v="476.92"/>
    <n v="95.38"/>
    <x v="4"/>
    <s v="VALIDATED"/>
    <n v="1"/>
    <s v="01.11.80.308.6100.0000"/>
    <n v="476.92"/>
    <s v="11"/>
    <s v="6100"/>
    <n v="41014.84"/>
    <n v="476.92"/>
    <s v="CREDITOR"/>
    <n v="0"/>
    <n v="0"/>
    <n v="0"/>
    <n v="0"/>
    <n v="476.92"/>
  </r>
  <r>
    <n v="61811949"/>
    <s v="N"/>
    <n v="21318514"/>
    <s v="3000015875500004"/>
    <s v="CIVIL"/>
    <d v="2023-06-12T00:00:00"/>
    <d v="2023-07-03T19:01:49"/>
    <m/>
    <d v="2023-07-03T00:00:00"/>
    <n v="1749"/>
    <n v="19529"/>
    <s v="61811949"/>
    <s v="61811949"/>
    <m/>
    <m/>
    <n v="22672386"/>
    <m/>
    <m/>
    <m/>
    <s v="SOLPOA"/>
    <s v="SOLPOA"/>
    <s v="CCMS"/>
    <n v="21318514"/>
    <n v="576"/>
    <m/>
    <s v="N"/>
    <n v="1"/>
    <d v="2023-07-03T19:01:57"/>
    <s v="N"/>
    <s v="Non Expert Disbursement"/>
    <s v="Non Expert Disbursement"/>
    <s v="Non Expert Disbursement"/>
    <s v="Clare Lamb"/>
    <s v="N"/>
    <n v="480"/>
    <n v="96"/>
    <x v="3"/>
    <s v="VALIDATED"/>
    <n v="1"/>
    <s v="01.11.80.308.2012.0000"/>
    <n v="480"/>
    <s v="11"/>
    <s v="2012"/>
    <n v="41014.84"/>
    <n v="480"/>
    <s v="CREDITOR"/>
    <n v="480"/>
    <n v="0"/>
    <n v="0"/>
    <n v="0"/>
    <n v="0"/>
  </r>
  <r>
    <n v="61891359"/>
    <s v="N"/>
    <n v="21349626"/>
    <s v="3000015950310004"/>
    <s v="CIVIL"/>
    <d v="2023-06-29T00:00:00"/>
    <d v="2023-07-10T19:01:40"/>
    <m/>
    <d v="2023-07-10T00:00:00"/>
    <n v="1749"/>
    <n v="19529"/>
    <s v="61891359"/>
    <s v="61891359"/>
    <m/>
    <m/>
    <n v="22784714"/>
    <m/>
    <m/>
    <m/>
    <s v="SOLFIN"/>
    <s v="SOLFIN"/>
    <s v="CCMS"/>
    <n v="21349626"/>
    <n v="4857.03"/>
    <m/>
    <s v="N"/>
    <n v="6"/>
    <d v="2023-07-10T19:01:54"/>
    <s v="Y"/>
    <s v="Hearing Unit 2.31 - 5.00 Hours"/>
    <s v="Public Law Children"/>
    <s v="Advocacy"/>
    <s v="ES"/>
    <s v="Y"/>
    <n v="433.62"/>
    <n v="86.72"/>
    <x v="2"/>
    <s v="VALIDATED"/>
    <n v="1"/>
    <s v="01.11.80.308.6100.0000"/>
    <n v="433.62"/>
    <s v="11"/>
    <s v="6100"/>
    <n v="41014.84"/>
    <n v="433.62"/>
    <s v="CREDITOR"/>
    <n v="0"/>
    <n v="0"/>
    <n v="0"/>
    <n v="0"/>
    <n v="433.62"/>
  </r>
  <r>
    <n v="61891359"/>
    <s v="N"/>
    <n v="21349626"/>
    <s v="3000015950310004"/>
    <s v="CIVIL"/>
    <d v="2023-06-29T00:00:00"/>
    <d v="2023-07-10T19:01:40"/>
    <m/>
    <d v="2023-07-10T00:00:00"/>
    <n v="1749"/>
    <n v="19529"/>
    <s v="61891359"/>
    <s v="61891359"/>
    <m/>
    <m/>
    <n v="22784714"/>
    <m/>
    <m/>
    <m/>
    <s v="SOLFIN"/>
    <s v="SOLFIN"/>
    <s v="CCMS"/>
    <n v="21349626"/>
    <n v="4857.03"/>
    <m/>
    <s v="N"/>
    <n v="9"/>
    <d v="2023-07-10T19:01:54"/>
    <s v="Y"/>
    <s v="Advocates Meeting"/>
    <s v="Public Law Children"/>
    <s v="Advocacy"/>
    <s v="ES"/>
    <s v="Y"/>
    <n v="128.16"/>
    <n v="25.63"/>
    <x v="2"/>
    <s v="VALIDATED"/>
    <n v="1"/>
    <s v="01.11.80.308.6100.0000"/>
    <n v="128.16"/>
    <s v="11"/>
    <s v="6100"/>
    <n v="41014.84"/>
    <n v="128.16"/>
    <s v="CREDITOR"/>
    <n v="0"/>
    <n v="0"/>
    <n v="0"/>
    <n v="0"/>
    <n v="128.16"/>
  </r>
  <r>
    <n v="56378698"/>
    <s v="N"/>
    <n v="21350058"/>
    <s v="3000013381950016"/>
    <s v="CIVIL"/>
    <d v="2023-06-28T00:00:00"/>
    <d v="2023-07-10T19:01:40"/>
    <m/>
    <d v="2023-07-10T00:00:00"/>
    <n v="1749"/>
    <n v="19529"/>
    <s v="56378698"/>
    <s v="56378698"/>
    <m/>
    <m/>
    <n v="22781026"/>
    <m/>
    <m/>
    <m/>
    <s v="SOLFIN"/>
    <s v="SOLFIN"/>
    <s v="CCMS"/>
    <n v="21350058"/>
    <n v="15196.66"/>
    <m/>
    <s v="N"/>
    <n v="8"/>
    <d v="2023-07-10T19:02:12"/>
    <s v="Y"/>
    <s v="Court Fee"/>
    <s v="Care Remuneration Hourly Rates"/>
    <s v="Non Expert Disbursement"/>
    <s v="COURT FEE"/>
    <s v="Y"/>
    <n v="167"/>
    <n v="0"/>
    <x v="2"/>
    <s v="VALIDATED"/>
    <n v="1"/>
    <s v="01.11.80.308.6300.0000"/>
    <n v="167"/>
    <s v="11"/>
    <s v="6300"/>
    <n v="41014.84"/>
    <n v="167"/>
    <s v="CREDITOR"/>
    <n v="0"/>
    <n v="0"/>
    <n v="0"/>
    <n v="0"/>
    <n v="167"/>
  </r>
  <r>
    <n v="56378698"/>
    <s v="N"/>
    <n v="21350058"/>
    <s v="3000013381950016"/>
    <s v="CIVIL"/>
    <d v="2023-06-28T00:00:00"/>
    <d v="2023-07-10T19:01:40"/>
    <m/>
    <d v="2023-07-10T00:00:00"/>
    <n v="1749"/>
    <n v="19529"/>
    <s v="56378698"/>
    <s v="56378698"/>
    <m/>
    <m/>
    <n v="22781026"/>
    <m/>
    <m/>
    <m/>
    <s v="SOLFIN"/>
    <s v="SOLFIN"/>
    <s v="CCMS"/>
    <n v="21350058"/>
    <n v="15196.66"/>
    <m/>
    <s v="N"/>
    <n v="134"/>
    <d v="2023-07-10T19:02:12"/>
    <s v="Y"/>
    <s v="Hearing Unit 2.31 - 5.00 Hours"/>
    <s v="Public Law Children"/>
    <s v="Advocacy"/>
    <s v="RLA"/>
    <s v="Y"/>
    <n v="476.92"/>
    <n v="95.38"/>
    <x v="2"/>
    <s v="VALIDATED"/>
    <n v="1"/>
    <s v="01.11.80.308.6100.0000"/>
    <n v="476.92"/>
    <s v="11"/>
    <s v="6100"/>
    <n v="41014.84"/>
    <n v="476.92"/>
    <s v="CREDITOR"/>
    <n v="0"/>
    <n v="0"/>
    <n v="0"/>
    <n v="0"/>
    <n v="476.92"/>
  </r>
  <r>
    <n v="56378698"/>
    <s v="N"/>
    <n v="21350058"/>
    <s v="3000013381950016"/>
    <s v="CIVIL"/>
    <d v="2023-06-28T00:00:00"/>
    <d v="2023-07-10T19:01:40"/>
    <m/>
    <d v="2023-07-10T00:00:00"/>
    <n v="1749"/>
    <n v="19529"/>
    <s v="56378698"/>
    <s v="56378698"/>
    <m/>
    <m/>
    <n v="22781026"/>
    <m/>
    <m/>
    <m/>
    <s v="SOLFIN"/>
    <s v="SOLFIN"/>
    <s v="CCMS"/>
    <n v="21350058"/>
    <n v="15196.66"/>
    <m/>
    <s v="N"/>
    <n v="40"/>
    <d v="2023-07-10T19:02:12"/>
    <s v="Y"/>
    <s v="Preparation - other"/>
    <s v="Care Remuneration Hourly Rates"/>
    <s v="Profit Cost"/>
    <s v="ML"/>
    <s v="Y"/>
    <n v="15.77"/>
    <n v="3.15"/>
    <x v="2"/>
    <s v="VALIDATED"/>
    <n v="1"/>
    <s v="01.11.80.308.6100.0000"/>
    <n v="15.77"/>
    <s v="11"/>
    <s v="6100"/>
    <n v="41014.84"/>
    <n v="15.77"/>
    <s v="CREDITOR"/>
    <n v="0"/>
    <n v="0"/>
    <n v="0"/>
    <n v="0"/>
    <n v="15.77"/>
  </r>
  <r>
    <n v="60696754"/>
    <s v="N"/>
    <n v="21338339"/>
    <s v="3000014940080010"/>
    <s v="CIVIL"/>
    <d v="2023-06-26T00:00:00"/>
    <d v="2023-07-06T19:21:01"/>
    <m/>
    <d v="2023-07-06T00:00:00"/>
    <n v="1749"/>
    <n v="19529"/>
    <s v="60696754"/>
    <s v="60696754"/>
    <m/>
    <m/>
    <n v="22764422"/>
    <m/>
    <m/>
    <m/>
    <s v="SOLFIN"/>
    <s v="SOLFIN"/>
    <s v="CCMS"/>
    <n v="21338339"/>
    <n v="19664.59"/>
    <m/>
    <s v="N"/>
    <n v="4"/>
    <d v="2023-07-06T19:21:20"/>
    <s v="Y"/>
    <s v="Disbursements (Summary)"/>
    <s v="Public Law Children"/>
    <s v="Non Expert Disbursement"/>
    <s v="Hazel Roberts"/>
    <s v="Y"/>
    <n v="151.2"/>
    <n v="30.24"/>
    <x v="4"/>
    <s v="VALIDATED"/>
    <n v="1"/>
    <s v="01.11.80.308.6300.0000"/>
    <n v="151.2"/>
    <s v="11"/>
    <s v="6300"/>
    <n v="41014.84"/>
    <n v="151.2"/>
    <s v="CREDITOR"/>
    <n v="0"/>
    <n v="0"/>
    <n v="0"/>
    <n v="0"/>
    <n v="151.2"/>
  </r>
  <r>
    <n v="61193915"/>
    <s v="N"/>
    <n v="21408789"/>
    <s v="3000015346220012"/>
    <s v="CIVIL"/>
    <d v="2023-06-16T00:00:00"/>
    <d v="2023-07-21T10:00:02"/>
    <m/>
    <d v="2023-07-21T00:00:00"/>
    <n v="1749"/>
    <n v="19529"/>
    <s v="61193915"/>
    <s v="61193915"/>
    <m/>
    <m/>
    <n v="22706830"/>
    <m/>
    <m/>
    <m/>
    <s v="SOLPOA"/>
    <s v="SOLPOA"/>
    <s v="CCMS"/>
    <n v="21408789"/>
    <n v="205.06"/>
    <m/>
    <s v="N"/>
    <n v="1"/>
    <d v="2023-07-21T10:00:10"/>
    <s v="N"/>
    <s v="Expert Cost"/>
    <s v="Expert Cost"/>
    <s v="Expert Disbursement"/>
    <s v="Darren Matthews"/>
    <s v="N"/>
    <n v="170.88"/>
    <n v="34.18"/>
    <x v="12"/>
    <s v="VALIDATED"/>
    <n v="1"/>
    <s v="01.11.80.307.2012.0000"/>
    <n v="170.88"/>
    <s v="11"/>
    <s v="2012"/>
    <n v="41014.84"/>
    <n v="170.88"/>
    <s v="CREDITOR"/>
    <n v="170.88"/>
    <n v="0"/>
    <n v="0"/>
    <n v="0"/>
    <n v="0"/>
  </r>
  <r>
    <n v="56378698"/>
    <s v="N"/>
    <n v="21350058"/>
    <s v="3000013381950016"/>
    <s v="CIVIL"/>
    <d v="2023-06-28T00:00:00"/>
    <d v="2023-07-10T19:01:40"/>
    <m/>
    <d v="2023-07-10T00:00:00"/>
    <n v="1749"/>
    <n v="19529"/>
    <s v="56378698"/>
    <s v="56378698"/>
    <m/>
    <m/>
    <n v="22781026"/>
    <m/>
    <m/>
    <m/>
    <s v="SOLFIN"/>
    <s v="SOLFIN"/>
    <s v="CCMS"/>
    <n v="21350058"/>
    <n v="15196.66"/>
    <m/>
    <s v="N"/>
    <n v="107"/>
    <d v="2023-07-10T19:02:12"/>
    <s v="Y"/>
    <s v="Preparation - other"/>
    <s v="Care Remuneration Hourly Rates"/>
    <s v="Profit Cost"/>
    <s v="RLA"/>
    <s v="Y"/>
    <n v="6.05"/>
    <n v="1.21"/>
    <x v="2"/>
    <s v="VALIDATED"/>
    <n v="1"/>
    <s v="01.11.80.308.6100.0000"/>
    <n v="6.05"/>
    <s v="11"/>
    <s v="6100"/>
    <n v="41014.84"/>
    <n v="6.05"/>
    <s v="CREDITOR"/>
    <n v="0"/>
    <n v="0"/>
    <n v="0"/>
    <n v="0"/>
    <n v="6.05"/>
  </r>
  <r>
    <n v="56378698"/>
    <s v="N"/>
    <n v="21350058"/>
    <s v="3000013381950016"/>
    <s v="CIVIL"/>
    <d v="2023-06-28T00:00:00"/>
    <d v="2023-07-10T19:01:40"/>
    <m/>
    <d v="2023-07-10T00:00:00"/>
    <n v="1749"/>
    <n v="19529"/>
    <s v="56378698"/>
    <s v="56378698"/>
    <m/>
    <m/>
    <n v="22781026"/>
    <m/>
    <m/>
    <m/>
    <s v="SOLFIN"/>
    <s v="SOLFIN"/>
    <s v="CCMS"/>
    <n v="21350058"/>
    <n v="15196.66"/>
    <m/>
    <s v="N"/>
    <n v="110"/>
    <d v="2023-07-10T19:02:12"/>
    <s v="Y"/>
    <s v="Attendance upon client"/>
    <s v="Care Remuneration Hourly Rates"/>
    <s v="Profit Cost"/>
    <s v="RLA"/>
    <s v="Y"/>
    <n v="12.09"/>
    <n v="2.42"/>
    <x v="2"/>
    <s v="VALIDATED"/>
    <n v="1"/>
    <s v="01.11.80.308.6100.0000"/>
    <n v="12.09"/>
    <s v="11"/>
    <s v="6100"/>
    <n v="41014.84"/>
    <n v="12.09"/>
    <s v="CREDITOR"/>
    <n v="0"/>
    <n v="0"/>
    <n v="0"/>
    <n v="0"/>
    <n v="12.09"/>
  </r>
  <r>
    <n v="56378698"/>
    <s v="N"/>
    <n v="21350058"/>
    <s v="3000013381950016"/>
    <s v="CIVIL"/>
    <d v="2023-06-28T00:00:00"/>
    <d v="2023-07-10T19:01:40"/>
    <m/>
    <d v="2023-07-10T00:00:00"/>
    <n v="1749"/>
    <n v="19529"/>
    <s v="56378698"/>
    <s v="56378698"/>
    <m/>
    <m/>
    <n v="22781026"/>
    <m/>
    <m/>
    <m/>
    <s v="SOLFIN"/>
    <s v="SOLFIN"/>
    <s v="CCMS"/>
    <n v="21350058"/>
    <n v="15196.66"/>
    <m/>
    <s v="N"/>
    <n v="19"/>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61"/>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97"/>
    <d v="2023-07-10T19:02:12"/>
    <s v="Y"/>
    <s v="Preparation - other"/>
    <s v="Care Remuneration Hourly Rates"/>
    <s v="Profit Cost"/>
    <s v="MEG"/>
    <s v="Y"/>
    <n v="10.51"/>
    <n v="2.1"/>
    <x v="2"/>
    <s v="VALIDATED"/>
    <n v="1"/>
    <s v="01.11.80.308.6100.0000"/>
    <n v="10.51"/>
    <s v="11"/>
    <s v="6100"/>
    <n v="41014.84"/>
    <n v="10.51"/>
    <s v="CREDITOR"/>
    <n v="0"/>
    <n v="0"/>
    <n v="0"/>
    <n v="0"/>
    <n v="10.51"/>
  </r>
  <r>
    <n v="61876340"/>
    <s v="N"/>
    <n v="21337803"/>
    <s v="3000015926450004"/>
    <s v="CIVIL"/>
    <d v="2023-06-30T00:00:00"/>
    <d v="2023-07-06T19:21:01"/>
    <m/>
    <d v="2023-07-06T00:00:00"/>
    <n v="1749"/>
    <n v="19529"/>
    <s v="61876340"/>
    <s v="61876340"/>
    <m/>
    <m/>
    <n v="22795082"/>
    <m/>
    <m/>
    <m/>
    <s v="SOLPOA"/>
    <s v="SOLPOA"/>
    <s v="CCMS"/>
    <n v="21337803"/>
    <n v="167"/>
    <m/>
    <s v="N"/>
    <n v="1"/>
    <d v="2023-07-06T19:21:08"/>
    <s v="N"/>
    <s v="Non Expert Disbursement"/>
    <s v="Non Expert Disbursement"/>
    <s v="Non Expert Disbursement"/>
    <s v="EH"/>
    <s v="N"/>
    <n v="167"/>
    <n v="0"/>
    <x v="4"/>
    <s v="VALIDATED"/>
    <n v="1"/>
    <s v="01.11.80.308.2012.0000"/>
    <n v="167"/>
    <s v="11"/>
    <s v="2012"/>
    <n v="41014.84"/>
    <n v="167"/>
    <s v="CREDITOR"/>
    <n v="167"/>
    <n v="0"/>
    <n v="0"/>
    <n v="0"/>
    <n v="0"/>
  </r>
  <r>
    <n v="59738786"/>
    <s v="N"/>
    <n v="21323065"/>
    <s v="3000014105140028"/>
    <s v="CIVIL"/>
    <d v="2023-06-30T00:00:00"/>
    <d v="2023-07-03T19:05:36"/>
    <m/>
    <d v="2023-07-03T00:00:00"/>
    <n v="1749"/>
    <n v="19529"/>
    <s v="59738786"/>
    <s v="59738786"/>
    <m/>
    <m/>
    <n v="22794100"/>
    <m/>
    <m/>
    <m/>
    <s v="SOLPOA"/>
    <s v="SOLPOA"/>
    <s v="CCMS"/>
    <n v="21323065"/>
    <n v="11699.16"/>
    <m/>
    <s v="N"/>
    <n v="1"/>
    <d v="2023-07-03T19:05:41"/>
    <s v="N"/>
    <s v="Non Expert Disbursement"/>
    <s v="Non Expert Disbursement"/>
    <s v="Non Expert Disbursement"/>
    <s v="RA"/>
    <s v="N"/>
    <n v="9749.299999999999"/>
    <n v="1949.86"/>
    <x v="3"/>
    <s v="VALIDATED"/>
    <n v="1"/>
    <s v="01.11.80.308.2012.0000"/>
    <n v="9749.299999999999"/>
    <s v="11"/>
    <s v="2012"/>
    <n v="41014.84"/>
    <n v="9749.299999999999"/>
    <s v="CREDITOR"/>
    <n v="9749.299999999999"/>
    <n v="0"/>
    <n v="0"/>
    <n v="0"/>
    <n v="0"/>
  </r>
  <r>
    <n v="56378698"/>
    <s v="N"/>
    <n v="21350058"/>
    <s v="3000013381950016"/>
    <s v="CIVIL"/>
    <d v="2023-06-28T00:00:00"/>
    <d v="2023-07-10T19:01:40"/>
    <m/>
    <d v="2023-07-10T00:00:00"/>
    <n v="1749"/>
    <n v="19529"/>
    <s v="56378698"/>
    <s v="56378698"/>
    <m/>
    <m/>
    <n v="22781026"/>
    <m/>
    <m/>
    <m/>
    <s v="SOLFIN"/>
    <s v="SOLFIN"/>
    <s v="CCMS"/>
    <n v="21350058"/>
    <n v="15196.66"/>
    <m/>
    <s v="N"/>
    <n v="87"/>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03"/>
    <d v="2023-07-10T19:02:12"/>
    <s v="Y"/>
    <s v="Preparation - other"/>
    <s v="Care Remuneration Hourly Rates"/>
    <s v="Profit Cost"/>
    <s v="MEG"/>
    <s v="Y"/>
    <n v="15.77"/>
    <n v="3.15"/>
    <x v="2"/>
    <s v="VALIDATED"/>
    <n v="1"/>
    <s v="01.11.80.308.6100.0000"/>
    <n v="15.77"/>
    <s v="11"/>
    <s v="6100"/>
    <n v="41014.84"/>
    <n v="15.77"/>
    <s v="CREDITOR"/>
    <n v="0"/>
    <n v="0"/>
    <n v="0"/>
    <n v="0"/>
    <n v="15.77"/>
  </r>
  <r>
    <n v="56378698"/>
    <s v="N"/>
    <n v="21350058"/>
    <s v="3000013381950016"/>
    <s v="CIVIL"/>
    <d v="2023-06-28T00:00:00"/>
    <d v="2023-07-10T19:01:40"/>
    <m/>
    <d v="2023-07-10T00:00:00"/>
    <n v="1749"/>
    <n v="19529"/>
    <s v="56378698"/>
    <s v="56378698"/>
    <m/>
    <m/>
    <n v="22781026"/>
    <m/>
    <m/>
    <m/>
    <s v="SOLFIN"/>
    <s v="SOLFIN"/>
    <s v="CCMS"/>
    <n v="21350058"/>
    <n v="15196.66"/>
    <m/>
    <s v="N"/>
    <n v="108"/>
    <d v="2023-07-10T19:02:12"/>
    <s v="Y"/>
    <s v="Preparation - other"/>
    <s v="Care Remuneration Hourly Rates"/>
    <s v="Profit Cost"/>
    <s v="RLA"/>
    <s v="Y"/>
    <n v="12.09"/>
    <n v="2.42"/>
    <x v="2"/>
    <s v="VALIDATED"/>
    <n v="1"/>
    <s v="01.11.80.308.6100.0000"/>
    <n v="12.09"/>
    <s v="11"/>
    <s v="6100"/>
    <n v="41014.84"/>
    <n v="12.09"/>
    <s v="CREDITOR"/>
    <n v="0"/>
    <n v="0"/>
    <n v="0"/>
    <n v="0"/>
    <n v="12.09"/>
  </r>
  <r>
    <n v="59657099"/>
    <s v="N"/>
    <n v="21319618"/>
    <s v="3000014051110021"/>
    <s v="CIVIL"/>
    <d v="2023-06-28T00:00:00"/>
    <d v="2023-07-03T19:04:24"/>
    <m/>
    <d v="2023-07-03T00:00:00"/>
    <n v="1749"/>
    <n v="19529"/>
    <s v="59657099"/>
    <s v="59657099"/>
    <m/>
    <m/>
    <n v="22777696"/>
    <m/>
    <m/>
    <m/>
    <s v="SOLPOA"/>
    <s v="SOLPOA"/>
    <s v="CCMS"/>
    <n v="21319618"/>
    <n v="167"/>
    <m/>
    <s v="N"/>
    <n v="1"/>
    <d v="2023-07-03T19:04:26"/>
    <s v="N"/>
    <s v="Non Expert Disbursement"/>
    <s v="Non Expert Disbursement"/>
    <s v="Non Expert Disbursement"/>
    <s v="Hazel Roberts"/>
    <s v="N"/>
    <n v="167"/>
    <n v="0"/>
    <x v="3"/>
    <s v="VALIDATED"/>
    <n v="1"/>
    <s v="01.11.80.308.2012.0000"/>
    <n v="167"/>
    <s v="11"/>
    <s v="2012"/>
    <n v="41014.84"/>
    <n v="167"/>
    <s v="CREDITOR"/>
    <n v="167"/>
    <n v="0"/>
    <n v="0"/>
    <n v="0"/>
    <n v="0"/>
  </r>
  <r>
    <n v="61958022"/>
    <s v="N"/>
    <n v="21323239"/>
    <s v="3000016003980003"/>
    <s v="CIVIL"/>
    <d v="2023-06-30T00:00:00"/>
    <d v="2023-07-03T19:05:56"/>
    <m/>
    <d v="2023-07-03T00:00:00"/>
    <n v="1749"/>
    <n v="19529"/>
    <s v="61958022"/>
    <s v="61958022"/>
    <m/>
    <m/>
    <n v="22797322"/>
    <m/>
    <m/>
    <m/>
    <s v="SOLPOA"/>
    <s v="SOLPOA"/>
    <s v="CCMS"/>
    <n v="21323239"/>
    <n v="1151.39"/>
    <m/>
    <s v="N"/>
    <n v="1"/>
    <d v="2023-07-03T19:05:56"/>
    <s v="N"/>
    <s v="Solicitors Fixed Fee"/>
    <s v="Public Law Children"/>
    <s v="Profit Cost"/>
    <s v="RLA"/>
    <s v="N"/>
    <n v="959.49"/>
    <n v="191.9"/>
    <x v="3"/>
    <s v="VALIDATED"/>
    <n v="1"/>
    <s v="01.11.80.308.2012.0000"/>
    <n v="959.49"/>
    <s v="11"/>
    <s v="2012"/>
    <n v="41014.84"/>
    <n v="959.49"/>
    <s v="CREDITOR"/>
    <n v="959.49"/>
    <n v="239.8725"/>
    <n v="0"/>
    <n v="0"/>
    <n v="0"/>
  </r>
  <r>
    <n v="60309343"/>
    <s v="N"/>
    <n v="21319986"/>
    <s v="3000014610440025"/>
    <s v="CIVIL"/>
    <d v="2023-06-26T00:00:00"/>
    <d v="2023-07-03T19:04:24"/>
    <m/>
    <d v="2023-07-03T00:00:00"/>
    <n v="1749"/>
    <n v="19529"/>
    <s v="60309343"/>
    <s v="60309343"/>
    <m/>
    <m/>
    <n v="22763414"/>
    <m/>
    <m/>
    <m/>
    <s v="SOLFIN"/>
    <s v="SOLFIN"/>
    <s v="CCMS"/>
    <n v="21319986"/>
    <n v="17867.12"/>
    <m/>
    <s v="N"/>
    <n v="2"/>
    <d v="2023-07-03T19:04:28"/>
    <s v="Y"/>
    <s v="Expert - Other"/>
    <s v="VHCC"/>
    <s v="Expert Disbursement"/>
    <s v="HUTCHISON 3G UK LTD"/>
    <s v="Y"/>
    <n v="100"/>
    <n v="20"/>
    <x v="3"/>
    <s v="VALIDATED"/>
    <n v="1"/>
    <s v="01.11.80.308.6300.0000"/>
    <n v="100"/>
    <s v="11"/>
    <s v="6300"/>
    <n v="41014.84"/>
    <n v="100"/>
    <s v="CREDITOR"/>
    <n v="0"/>
    <n v="0"/>
    <n v="0"/>
    <n v="0"/>
    <n v="100"/>
  </r>
  <r>
    <n v="61891359"/>
    <s v="N"/>
    <n v="21349626"/>
    <s v="3000015950310004"/>
    <s v="CIVIL"/>
    <d v="2023-06-29T00:00:00"/>
    <d v="2023-07-10T19:01:40"/>
    <m/>
    <d v="2023-07-10T00:00:00"/>
    <n v="1749"/>
    <n v="19529"/>
    <s v="61891359"/>
    <s v="61891359"/>
    <m/>
    <m/>
    <n v="22784714"/>
    <m/>
    <m/>
    <m/>
    <s v="SOLFIN"/>
    <s v="SOLFIN"/>
    <s v="CCMS"/>
    <n v="21349626"/>
    <n v="4857.03"/>
    <m/>
    <s v="N"/>
    <n v="4"/>
    <d v="2023-07-10T19:01:54"/>
    <s v="Y"/>
    <s v="Final Hearing - 1 Day"/>
    <s v="Public Law Children"/>
    <s v="Advocacy"/>
    <s v="ES"/>
    <s v="Y"/>
    <n v="506.25"/>
    <n v="101.25"/>
    <x v="2"/>
    <s v="VALIDATED"/>
    <n v="1"/>
    <s v="01.11.80.308.6100.0000"/>
    <n v="506.25"/>
    <s v="11"/>
    <s v="6100"/>
    <n v="41014.84"/>
    <n v="506.25"/>
    <s v="CREDITOR"/>
    <n v="0"/>
    <n v="0"/>
    <n v="0"/>
    <n v="0"/>
    <n v="506.25"/>
  </r>
  <r>
    <n v="56378698"/>
    <s v="N"/>
    <n v="21350058"/>
    <s v="3000013381950016"/>
    <s v="CIVIL"/>
    <d v="2023-06-28T00:00:00"/>
    <d v="2023-07-10T19:01:40"/>
    <m/>
    <d v="2023-07-10T00:00:00"/>
    <n v="1749"/>
    <n v="19529"/>
    <s v="56378698"/>
    <s v="56378698"/>
    <m/>
    <m/>
    <n v="22781026"/>
    <m/>
    <m/>
    <m/>
    <s v="SOLFIN"/>
    <s v="SOLFIN"/>
    <s v="CCMS"/>
    <n v="21350058"/>
    <n v="15196.66"/>
    <m/>
    <s v="N"/>
    <n v="143"/>
    <d v="2023-07-10T19:02:12"/>
    <s v="Y"/>
    <s v="Hearing Unit 2.31 - 5.00 Hours"/>
    <s v="Public Law Children"/>
    <s v="Advocacy"/>
    <s v="RLA"/>
    <s v="Y"/>
    <n v="476.92"/>
    <n v="95.38"/>
    <x v="2"/>
    <s v="VALIDATED"/>
    <n v="1"/>
    <s v="01.11.80.308.6100.0000"/>
    <n v="476.92"/>
    <s v="11"/>
    <s v="6100"/>
    <n v="41014.84"/>
    <n v="476.92"/>
    <s v="CREDITOR"/>
    <n v="0"/>
    <n v="0"/>
    <n v="0"/>
    <n v="0"/>
    <n v="476.92"/>
  </r>
  <r>
    <n v="56378698"/>
    <s v="N"/>
    <n v="21350058"/>
    <s v="3000013381950016"/>
    <s v="CIVIL"/>
    <d v="2023-06-28T00:00:00"/>
    <d v="2023-07-10T19:01:40"/>
    <m/>
    <d v="2023-07-10T00:00:00"/>
    <n v="1749"/>
    <n v="19529"/>
    <s v="56378698"/>
    <s v="56378698"/>
    <m/>
    <m/>
    <n v="22781026"/>
    <m/>
    <m/>
    <m/>
    <s v="SOLFIN"/>
    <s v="SOLFIN"/>
    <s v="CCMS"/>
    <n v="21350058"/>
    <n v="15196.66"/>
    <m/>
    <s v="N"/>
    <n v="10"/>
    <d v="2023-07-10T19:02:12"/>
    <s v="Y"/>
    <s v="Preparation - other"/>
    <s v="Care Remuneration Hourly Rates"/>
    <s v="Profit Cost"/>
    <s v="ML"/>
    <s v="Y"/>
    <n v="15.77"/>
    <n v="3.15"/>
    <x v="2"/>
    <s v="VALIDATED"/>
    <n v="1"/>
    <s v="01.11.80.308.6100.0000"/>
    <n v="15.77"/>
    <s v="11"/>
    <s v="6100"/>
    <n v="41014.84"/>
    <n v="15.77"/>
    <s v="CREDITOR"/>
    <n v="0"/>
    <n v="0"/>
    <n v="0"/>
    <n v="0"/>
    <n v="15.77"/>
  </r>
  <r>
    <n v="56378698"/>
    <s v="N"/>
    <n v="21350058"/>
    <s v="3000013381950016"/>
    <s v="CIVIL"/>
    <d v="2023-06-28T00:00:00"/>
    <d v="2023-07-10T19:01:40"/>
    <m/>
    <d v="2023-07-10T00:00:00"/>
    <n v="1749"/>
    <n v="19529"/>
    <s v="56378698"/>
    <s v="56378698"/>
    <m/>
    <m/>
    <n v="22781026"/>
    <m/>
    <m/>
    <m/>
    <s v="SOLFIN"/>
    <s v="SOLFIN"/>
    <s v="CCMS"/>
    <n v="21350058"/>
    <n v="15196.66"/>
    <m/>
    <s v="N"/>
    <n v="92"/>
    <d v="2023-07-10T19:02:12"/>
    <s v="Y"/>
    <s v="Preparation - other"/>
    <s v="Care Remuneration Hourly Rates"/>
    <s v="Profit Cost"/>
    <s v="RLA"/>
    <s v="Y"/>
    <n v="18.14"/>
    <n v="3.63"/>
    <x v="2"/>
    <s v="VALIDATED"/>
    <n v="1"/>
    <s v="01.11.80.308.6100.0000"/>
    <n v="18.14"/>
    <s v="11"/>
    <s v="6100"/>
    <n v="41014.84"/>
    <n v="18.14"/>
    <s v="CREDITOR"/>
    <n v="0"/>
    <n v="0"/>
    <n v="0"/>
    <n v="0"/>
    <n v="18.14"/>
  </r>
  <r>
    <n v="56378698"/>
    <s v="N"/>
    <n v="21350058"/>
    <s v="3000013381950016"/>
    <s v="CIVIL"/>
    <d v="2023-06-28T00:00:00"/>
    <d v="2023-07-10T19:01:40"/>
    <m/>
    <d v="2023-07-10T00:00:00"/>
    <n v="1749"/>
    <n v="19529"/>
    <s v="56378698"/>
    <s v="56378698"/>
    <m/>
    <m/>
    <n v="22781026"/>
    <m/>
    <m/>
    <m/>
    <s v="SOLFIN"/>
    <s v="SOLFIN"/>
    <s v="CCMS"/>
    <n v="21350058"/>
    <n v="15196.66"/>
    <m/>
    <s v="N"/>
    <n v="105"/>
    <d v="2023-07-10T19:02:12"/>
    <s v="Y"/>
    <s v="Preparation - other"/>
    <s v="Care Remuneration Hourly Rates"/>
    <s v="Profit Cost"/>
    <s v="ML"/>
    <s v="Y"/>
    <n v="5.26"/>
    <n v="1.05"/>
    <x v="2"/>
    <s v="VALIDATED"/>
    <n v="1"/>
    <s v="01.11.80.308.6100.0000"/>
    <n v="5.26"/>
    <s v="11"/>
    <s v="6100"/>
    <n v="41014.84"/>
    <n v="5.26"/>
    <s v="CREDITOR"/>
    <n v="0"/>
    <n v="0"/>
    <n v="0"/>
    <n v="0"/>
    <n v="5.26"/>
  </r>
  <r>
    <n v="60696754"/>
    <s v="N"/>
    <n v="21338339"/>
    <s v="3000014940080010"/>
    <s v="CIVIL"/>
    <d v="2023-06-26T00:00:00"/>
    <d v="2023-07-06T19:21:01"/>
    <m/>
    <d v="2023-07-06T00:00:00"/>
    <n v="1749"/>
    <n v="19529"/>
    <s v="60696754"/>
    <s v="60696754"/>
    <m/>
    <m/>
    <n v="22764422"/>
    <m/>
    <m/>
    <m/>
    <s v="SOLFIN"/>
    <s v="SOLFIN"/>
    <s v="CCMS"/>
    <n v="21338339"/>
    <n v="19664.59"/>
    <m/>
    <s v="N"/>
    <n v="14"/>
    <d v="2023-07-06T19:21:20"/>
    <s v="Y"/>
    <s v="Hearing Unit 2.31 - 5.00 Hours"/>
    <s v="Public Law Children"/>
    <s v="Advocacy"/>
    <s v="Hazel Roberts"/>
    <s v="Y"/>
    <n v="476.92"/>
    <n v="95.38"/>
    <x v="4"/>
    <s v="VALIDATED"/>
    <n v="1"/>
    <s v="01.11.80.308.6100.0000"/>
    <n v="476.92"/>
    <s v="11"/>
    <s v="6100"/>
    <n v="41014.84"/>
    <n v="476.92"/>
    <s v="CREDITOR"/>
    <n v="0"/>
    <n v="0"/>
    <n v="0"/>
    <n v="0"/>
    <n v="476.92"/>
  </r>
  <r>
    <n v="60994134"/>
    <s v="N"/>
    <n v="21331368"/>
    <s v="3000015197670010"/>
    <s v="CIVIL"/>
    <d v="2023-06-27T00:00:00"/>
    <d v="2023-07-05T19:01:47"/>
    <m/>
    <d v="2023-07-05T00:00:00"/>
    <n v="1749"/>
    <n v="19529"/>
    <s v="60994134"/>
    <s v="60994134"/>
    <m/>
    <m/>
    <n v="22768058"/>
    <m/>
    <m/>
    <m/>
    <s v="SOLFIN"/>
    <s v="SOLFIN"/>
    <s v="CCMS"/>
    <n v="21331368"/>
    <n v="3433.53"/>
    <m/>
    <s v="N"/>
    <n v="3"/>
    <d v="2023-07-05T19:02:16"/>
    <s v="Y"/>
    <s v="Hearing Unit 2.31 - 5.00 Hours"/>
    <s v="Public Law Children"/>
    <s v="Advocacy"/>
    <s v="HB"/>
    <s v="Y"/>
    <n v="476.92"/>
    <n v="95.38"/>
    <x v="6"/>
    <s v="VALIDATED"/>
    <n v="1"/>
    <s v="01.11.80.308.6100.0000"/>
    <n v="476.92"/>
    <s v="11"/>
    <s v="6100"/>
    <n v="41014.84"/>
    <n v="476.92"/>
    <s v="CREDITOR"/>
    <n v="0"/>
    <n v="0"/>
    <n v="0"/>
    <n v="0"/>
    <n v="476.92"/>
  </r>
  <r>
    <n v="60696754"/>
    <s v="N"/>
    <n v="21338339"/>
    <s v="3000014940080010"/>
    <s v="CIVIL"/>
    <d v="2023-06-26T00:00:00"/>
    <d v="2023-07-06T19:21:01"/>
    <m/>
    <d v="2023-07-06T00:00:00"/>
    <n v="1749"/>
    <n v="19529"/>
    <s v="60696754"/>
    <s v="60696754"/>
    <m/>
    <m/>
    <n v="22764422"/>
    <m/>
    <m/>
    <m/>
    <s v="SOLFIN"/>
    <s v="SOLFIN"/>
    <s v="CCMS"/>
    <n v="21338339"/>
    <n v="19664.59"/>
    <m/>
    <s v="N"/>
    <n v="10"/>
    <d v="2023-07-06T19:21:20"/>
    <s v="Y"/>
    <s v="Hearing Unit 2.31 - 5.00 Hours"/>
    <s v="Public Law Children"/>
    <s v="Advocacy"/>
    <s v="Hazel Roberts"/>
    <s v="Y"/>
    <n v="476.92"/>
    <n v="95.38"/>
    <x v="4"/>
    <s v="VALIDATED"/>
    <n v="1"/>
    <s v="01.11.80.308.6100.0000"/>
    <n v="476.92"/>
    <s v="11"/>
    <s v="6100"/>
    <n v="41014.84"/>
    <n v="476.92"/>
    <s v="CREDITOR"/>
    <n v="0"/>
    <n v="0"/>
    <n v="0"/>
    <n v="0"/>
    <n v="476.92"/>
  </r>
  <r>
    <n v="60696754"/>
    <s v="N"/>
    <n v="21338339"/>
    <s v="3000014940080010"/>
    <s v="CIVIL"/>
    <d v="2023-06-26T00:00:00"/>
    <d v="2023-07-06T19:21:01"/>
    <m/>
    <d v="2023-07-06T00:00:00"/>
    <n v="1749"/>
    <n v="19529"/>
    <s v="60696754"/>
    <s v="60696754"/>
    <m/>
    <m/>
    <n v="22764422"/>
    <m/>
    <m/>
    <m/>
    <s v="SOLFIN"/>
    <s v="SOLFIN"/>
    <s v="CCMS"/>
    <n v="21338339"/>
    <n v="19664.59"/>
    <m/>
    <s v="N"/>
    <n v="16"/>
    <d v="2023-07-06T19:21:20"/>
    <s v="Y"/>
    <s v="Hearing Unit 2.31 - 5.00 Hours"/>
    <s v="Public Law Children"/>
    <s v="Advocacy"/>
    <s v="Adele Schofield"/>
    <s v="Y"/>
    <n v="476.92"/>
    <n v="95.38"/>
    <x v="4"/>
    <s v="VALIDATED"/>
    <n v="1"/>
    <s v="01.11.80.308.6100.0000"/>
    <n v="476.92"/>
    <s v="11"/>
    <s v="6100"/>
    <n v="41014.84"/>
    <n v="476.92"/>
    <s v="CREDITOR"/>
    <n v="0"/>
    <n v="0"/>
    <n v="0"/>
    <n v="0"/>
    <n v="476.92"/>
  </r>
  <r>
    <n v="62168094"/>
    <s v="N"/>
    <n v="21324110"/>
    <s v="3000016166290002"/>
    <s v="CIVIL"/>
    <d v="2023-06-30T00:00:00"/>
    <d v="2023-07-03T19:05:56"/>
    <m/>
    <d v="2023-07-03T00:00:00"/>
    <n v="1749"/>
    <n v="19529"/>
    <s v="62168094"/>
    <s v="62168094"/>
    <m/>
    <m/>
    <n v="22795354"/>
    <m/>
    <m/>
    <m/>
    <s v="SOLPOA"/>
    <s v="SOLPOA"/>
    <s v="CCMS"/>
    <n v="21324110"/>
    <n v="1704.07"/>
    <m/>
    <s v="N"/>
    <n v="1"/>
    <d v="2023-07-03T19:06:00"/>
    <s v="N"/>
    <s v="Profit Cost"/>
    <s v="Profit Cost"/>
    <s v="Profit Cost"/>
    <s v="CFL"/>
    <s v="N"/>
    <n v="1420.06"/>
    <n v="284.01"/>
    <x v="3"/>
    <s v="VALIDATED"/>
    <n v="1"/>
    <s v="01.11.80.305.2012.0000"/>
    <n v="1420.06"/>
    <s v="11"/>
    <s v="2012"/>
    <n v="41014.84"/>
    <n v="1420.06"/>
    <s v="CREDITOR"/>
    <n v="1420.06"/>
    <n v="355.015"/>
    <n v="0"/>
    <n v="0"/>
    <n v="0"/>
  </r>
  <r>
    <n v="61891359"/>
    <s v="N"/>
    <n v="21349626"/>
    <s v="3000015950310004"/>
    <s v="CIVIL"/>
    <d v="2023-06-29T00:00:00"/>
    <d v="2023-07-10T19:01:40"/>
    <m/>
    <d v="2023-07-10T00:00:00"/>
    <n v="1749"/>
    <n v="19529"/>
    <s v="61891359"/>
    <s v="61891359"/>
    <m/>
    <m/>
    <n v="22784714"/>
    <m/>
    <m/>
    <m/>
    <s v="SOLFIN"/>
    <s v="SOLFIN"/>
    <s v="CCMS"/>
    <n v="21349626"/>
    <n v="4857.03"/>
    <m/>
    <s v="N"/>
    <n v="1"/>
    <d v="2023-07-10T19:01:54"/>
    <s v="Y"/>
    <s v="Final Hearing Court Bundle/Advocate"/>
    <s v="Public Law Children"/>
    <s v="Advocacy"/>
    <s v="ES"/>
    <s v="Y"/>
    <n v="239.4"/>
    <n v="47.88"/>
    <x v="2"/>
    <s v="VALIDATED"/>
    <n v="1"/>
    <s v="01.11.80.308.6100.0000"/>
    <n v="239.4"/>
    <s v="11"/>
    <s v="6100"/>
    <n v="41014.84"/>
    <n v="239.4"/>
    <s v="CREDITOR"/>
    <n v="0"/>
    <n v="0"/>
    <n v="0"/>
    <n v="0"/>
    <n v="239.4"/>
  </r>
  <r>
    <n v="56378698"/>
    <s v="N"/>
    <n v="21350058"/>
    <s v="3000013381950016"/>
    <s v="CIVIL"/>
    <d v="2023-06-28T00:00:00"/>
    <d v="2023-07-10T19:01:40"/>
    <m/>
    <d v="2023-07-10T00:00:00"/>
    <n v="1749"/>
    <n v="19529"/>
    <s v="56378698"/>
    <s v="56378698"/>
    <m/>
    <m/>
    <n v="22781026"/>
    <m/>
    <m/>
    <m/>
    <s v="SOLFIN"/>
    <s v="SOLFIN"/>
    <s v="CCMS"/>
    <n v="21350058"/>
    <n v="15196.66"/>
    <m/>
    <s v="N"/>
    <n v="27"/>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21"/>
    <d v="2023-07-10T19:02:12"/>
    <s v="Y"/>
    <s v="Preparation - other"/>
    <s v="Care Remuneration Hourly Rates"/>
    <s v="Profit Cost"/>
    <s v="LW"/>
    <s v="Y"/>
    <n v="42.06"/>
    <n v="8.41"/>
    <x v="2"/>
    <s v="VALIDATED"/>
    <n v="1"/>
    <s v="01.11.80.308.6100.0000"/>
    <n v="42.06"/>
    <s v="11"/>
    <s v="6100"/>
    <n v="41014.84"/>
    <n v="42.06"/>
    <s v="CREDITOR"/>
    <n v="0"/>
    <n v="0"/>
    <n v="0"/>
    <n v="0"/>
    <n v="42.06"/>
  </r>
  <r>
    <n v="56378698"/>
    <s v="N"/>
    <n v="21350058"/>
    <s v="3000013381950016"/>
    <s v="CIVIL"/>
    <d v="2023-06-28T00:00:00"/>
    <d v="2023-07-10T19:01:40"/>
    <m/>
    <d v="2023-07-10T00:00:00"/>
    <n v="1749"/>
    <n v="19529"/>
    <s v="56378698"/>
    <s v="56378698"/>
    <m/>
    <m/>
    <n v="22781026"/>
    <m/>
    <m/>
    <m/>
    <s v="SOLFIN"/>
    <s v="SOLFIN"/>
    <s v="CCMS"/>
    <n v="21350058"/>
    <n v="15196.66"/>
    <m/>
    <s v="N"/>
    <n v="123"/>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54"/>
    <d v="2023-07-10T19:02:12"/>
    <s v="Y"/>
    <s v="Routine Letter Out"/>
    <s v="Care Remuneration Hourly Rates"/>
    <s v="Profit Cost"/>
    <s v="RLA"/>
    <s v="Y"/>
    <n v="504.98"/>
    <n v="100.99"/>
    <x v="2"/>
    <s v="VALIDATED"/>
    <n v="1"/>
    <s v="01.11.80.308.6100.0000"/>
    <n v="504.98"/>
    <s v="11"/>
    <s v="6100"/>
    <n v="41014.84"/>
    <n v="504.98"/>
    <s v="CREDITOR"/>
    <n v="0"/>
    <n v="0"/>
    <n v="0"/>
    <n v="0"/>
    <n v="504.98"/>
  </r>
  <r>
    <n v="56378698"/>
    <s v="N"/>
    <n v="21350058"/>
    <s v="3000013381950016"/>
    <s v="CIVIL"/>
    <d v="2023-06-28T00:00:00"/>
    <d v="2023-07-10T19:01:40"/>
    <m/>
    <d v="2023-07-10T00:00:00"/>
    <n v="1749"/>
    <n v="19529"/>
    <s v="56378698"/>
    <s v="56378698"/>
    <m/>
    <m/>
    <n v="22781026"/>
    <m/>
    <m/>
    <m/>
    <s v="SOLFIN"/>
    <s v="SOLFIN"/>
    <s v="CCMS"/>
    <n v="21350058"/>
    <n v="15196.66"/>
    <m/>
    <s v="N"/>
    <n v="46"/>
    <d v="2023-07-10T19:02:12"/>
    <s v="Y"/>
    <s v="Preparation - other"/>
    <s v="Care Remuneration Hourly Rates"/>
    <s v="Profit Cost"/>
    <s v="ALH"/>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5"/>
    <d v="2023-07-10T19:02:12"/>
    <s v="Y"/>
    <s v="Psychologist"/>
    <s v="Care Remuneration Hourly Rates"/>
    <s v="Expert Disbursement"/>
    <s v="PYSCHOLOGY EXPERTS"/>
    <s v="Y"/>
    <n v="397.28"/>
    <n v="79.45"/>
    <x v="2"/>
    <s v="VALIDATED"/>
    <n v="1"/>
    <s v="01.11.80.308.6300.0000"/>
    <n v="397.28"/>
    <s v="11"/>
    <s v="6300"/>
    <n v="41014.84"/>
    <n v="397.28"/>
    <s v="CREDITOR"/>
    <n v="0"/>
    <n v="0"/>
    <n v="0"/>
    <n v="0"/>
    <n v="397.28"/>
  </r>
  <r>
    <n v="60409128"/>
    <s v="N"/>
    <n v="21321970"/>
    <s v="3000014696220022"/>
    <s v="CIVIL"/>
    <d v="2023-06-29T00:00:00"/>
    <d v="2023-07-03T19:05:17"/>
    <m/>
    <d v="2023-07-03T00:00:00"/>
    <n v="1749"/>
    <n v="19529"/>
    <s v="60409128"/>
    <s v="60409128"/>
    <m/>
    <m/>
    <n v="22788310"/>
    <m/>
    <m/>
    <m/>
    <s v="SOLPOA"/>
    <s v="SOLPOA"/>
    <s v="CCMS"/>
    <n v="21321970"/>
    <n v="8962.99"/>
    <m/>
    <s v="N"/>
    <n v="1"/>
    <d v="2023-07-03T19:05:21"/>
    <s v="N"/>
    <s v="Non Expert Disbursement"/>
    <s v="Non Expert Disbursement"/>
    <s v="Non Expert Disbursement"/>
    <s v="ASF"/>
    <s v="N"/>
    <n v="7469.16"/>
    <n v="1493.83"/>
    <x v="3"/>
    <s v="VALIDATED"/>
    <n v="1"/>
    <s v="01.11.80.308.2012.0000"/>
    <n v="7469.16"/>
    <s v="11"/>
    <s v="2012"/>
    <n v="41014.84"/>
    <n v="7469.16"/>
    <s v="CREDITOR"/>
    <n v="7469.16"/>
    <n v="0"/>
    <n v="0"/>
    <n v="0"/>
    <n v="0"/>
  </r>
  <r>
    <n v="62179919"/>
    <s v="N"/>
    <n v="21370392"/>
    <s v="3000016165870001"/>
    <s v="CIVIL"/>
    <d v="2023-06-30T00:00:00"/>
    <d v="2023-07-13T19:21:05"/>
    <m/>
    <d v="2023-07-13T00:00:00"/>
    <n v="1749"/>
    <n v="19529"/>
    <s v="62179919"/>
    <s v="62179919"/>
    <m/>
    <m/>
    <n v="22794182"/>
    <m/>
    <m/>
    <m/>
    <s v="SOLFIN"/>
    <s v="SOLFIN"/>
    <s v="CCMS"/>
    <n v="21370392"/>
    <n v="1471.28"/>
    <m/>
    <s v="N"/>
    <n v="18"/>
    <d v="2023-07-13T19:21:24"/>
    <s v="Y"/>
    <s v="Attendance upon solicitor"/>
    <s v="Prescribed Hourly Rates"/>
    <s v="Profit Cost"/>
    <s v="HR"/>
    <s v="Y"/>
    <n v="60.49"/>
    <n v="12.1"/>
    <x v="11"/>
    <s v="VALIDATED"/>
    <n v="1"/>
    <s v="01.11.80.305.6100.0000"/>
    <n v="60.49"/>
    <s v="11"/>
    <s v="6100"/>
    <n v="41014.84"/>
    <n v="60.49"/>
    <s v="CREDITOR"/>
    <n v="0"/>
    <n v="0"/>
    <n v="0"/>
    <n v="0"/>
    <n v="60.49"/>
  </r>
  <r>
    <n v="56378698"/>
    <s v="N"/>
    <n v="21350058"/>
    <s v="3000013381950016"/>
    <s v="CIVIL"/>
    <d v="2023-06-28T00:00:00"/>
    <d v="2023-07-10T19:01:40"/>
    <m/>
    <d v="2023-07-10T00:00:00"/>
    <n v="1749"/>
    <n v="19529"/>
    <s v="56378698"/>
    <s v="56378698"/>
    <m/>
    <m/>
    <n v="22781026"/>
    <m/>
    <m/>
    <m/>
    <s v="SOLFIN"/>
    <s v="SOLFIN"/>
    <s v="CCMS"/>
    <n v="21350058"/>
    <n v="15196.66"/>
    <m/>
    <s v="N"/>
    <n v="80"/>
    <d v="2023-07-10T19:02:12"/>
    <s v="Y"/>
    <s v="Preparation - other"/>
    <s v="Care Remuneration Hourly Rates"/>
    <s v="Profit Cost"/>
    <s v="LW"/>
    <s v="Y"/>
    <n v="42.06"/>
    <n v="8.41"/>
    <x v="2"/>
    <s v="VALIDATED"/>
    <n v="1"/>
    <s v="01.11.80.308.6100.0000"/>
    <n v="42.06"/>
    <s v="11"/>
    <s v="6100"/>
    <n v="41014.84"/>
    <n v="42.06"/>
    <s v="CREDITOR"/>
    <n v="0"/>
    <n v="0"/>
    <n v="0"/>
    <n v="0"/>
    <n v="42.06"/>
  </r>
  <r>
    <n v="62248633"/>
    <s v="N"/>
    <n v="21349774"/>
    <s v="3000016248660001"/>
    <s v="CIVIL"/>
    <d v="2023-06-30T00:00:00"/>
    <d v="2023-07-10T19:01:40"/>
    <m/>
    <d v="2023-07-10T00:00:00"/>
    <n v="1749"/>
    <n v="19529"/>
    <s v="62248633"/>
    <s v="62248633"/>
    <m/>
    <m/>
    <n v="22796056"/>
    <m/>
    <m/>
    <m/>
    <s v="SOLFIN"/>
    <s v="SOLFIN"/>
    <s v="CCMS"/>
    <n v="21349774"/>
    <n v="609.83"/>
    <m/>
    <s v="N"/>
    <n v="1"/>
    <d v="2023-07-10T19:01:57"/>
    <s v="Y"/>
    <s v="Preparation - other"/>
    <s v="Care Remuneration Hourly Rates"/>
    <s v="Profit Cost"/>
    <s v="AM"/>
    <s v="Y"/>
    <n v="11.68"/>
    <n v="2.34"/>
    <x v="2"/>
    <s v="VALIDATED"/>
    <n v="1"/>
    <s v="01.11.80.308.6100.0000"/>
    <n v="11.68"/>
    <s v="11"/>
    <s v="6100"/>
    <n v="41014.84"/>
    <n v="11.68"/>
    <s v="CREDITOR"/>
    <n v="0"/>
    <n v="0"/>
    <n v="0"/>
    <n v="0"/>
    <n v="11.68"/>
  </r>
  <r>
    <n v="62248633"/>
    <s v="N"/>
    <n v="21349774"/>
    <s v="3000016248660001"/>
    <s v="CIVIL"/>
    <d v="2023-06-30T00:00:00"/>
    <d v="2023-07-10T19:01:40"/>
    <m/>
    <d v="2023-07-10T00:00:00"/>
    <n v="1749"/>
    <n v="19529"/>
    <s v="62248633"/>
    <s v="62248633"/>
    <m/>
    <m/>
    <n v="22796056"/>
    <m/>
    <m/>
    <m/>
    <s v="SOLFIN"/>
    <s v="SOLFIN"/>
    <s v="CCMS"/>
    <n v="21349774"/>
    <n v="609.83"/>
    <m/>
    <s v="N"/>
    <n v="7"/>
    <d v="2023-07-10T19:01:57"/>
    <s v="Y"/>
    <s v="Preparation - other"/>
    <s v="Care Remuneration Hourly Rates"/>
    <s v="Profit Cost"/>
    <s v="AM"/>
    <s v="Y"/>
    <n v="5.84"/>
    <n v="1.17"/>
    <x v="2"/>
    <s v="VALIDATED"/>
    <n v="1"/>
    <s v="01.11.80.308.6100.0000"/>
    <n v="5.84"/>
    <s v="11"/>
    <s v="6100"/>
    <n v="41014.84"/>
    <n v="5.84"/>
    <s v="CREDITOR"/>
    <n v="0"/>
    <n v="0"/>
    <n v="0"/>
    <n v="0"/>
    <n v="5.84"/>
  </r>
  <r>
    <n v="62248633"/>
    <s v="N"/>
    <n v="21349774"/>
    <s v="3000016248660001"/>
    <s v="CIVIL"/>
    <d v="2023-06-30T00:00:00"/>
    <d v="2023-07-10T19:01:40"/>
    <m/>
    <d v="2023-07-10T00:00:00"/>
    <n v="1749"/>
    <n v="19529"/>
    <s v="62248633"/>
    <s v="62248633"/>
    <m/>
    <m/>
    <n v="22796056"/>
    <m/>
    <m/>
    <m/>
    <s v="SOLFIN"/>
    <s v="SOLFIN"/>
    <s v="CCMS"/>
    <n v="21349774"/>
    <n v="609.83"/>
    <m/>
    <s v="N"/>
    <n v="13"/>
    <d v="2023-07-10T19:01:57"/>
    <s v="Y"/>
    <s v="Routine Letter In"/>
    <s v="Care Remuneration Hourly Rates"/>
    <s v="Profit Cost"/>
    <s v="HR"/>
    <s v="Y"/>
    <n v="2.13"/>
    <n v="0.43"/>
    <x v="2"/>
    <s v="VALIDATED"/>
    <n v="1"/>
    <s v="01.11.80.308.6100.0000"/>
    <n v="2.13"/>
    <s v="11"/>
    <s v="6100"/>
    <n v="41014.84"/>
    <n v="2.13"/>
    <s v="CREDITOR"/>
    <n v="0"/>
    <n v="0"/>
    <n v="0"/>
    <n v="0"/>
    <n v="2.13"/>
  </r>
  <r>
    <n v="60696754"/>
    <s v="N"/>
    <n v="21338339"/>
    <s v="3000014940080010"/>
    <s v="CIVIL"/>
    <d v="2023-06-26T00:00:00"/>
    <d v="2023-07-06T19:21:01"/>
    <m/>
    <d v="2023-07-06T00:00:00"/>
    <n v="1749"/>
    <n v="19529"/>
    <s v="60696754"/>
    <s v="60696754"/>
    <m/>
    <m/>
    <n v="22764422"/>
    <m/>
    <m/>
    <m/>
    <s v="SOLFIN"/>
    <s v="SOLFIN"/>
    <s v="CCMS"/>
    <n v="21338339"/>
    <n v="19664.59"/>
    <m/>
    <s v="N"/>
    <n v="5"/>
    <d v="2023-07-06T19:21:20"/>
    <s v="Y"/>
    <s v="Disbursements (Summary)"/>
    <s v="Public Law Children"/>
    <s v="Non Expert Disbursement"/>
    <s v="Hazel Roberts"/>
    <s v="Y"/>
    <n v="56"/>
    <n v="11.2"/>
    <x v="4"/>
    <s v="VALIDATED"/>
    <n v="1"/>
    <s v="01.11.80.308.6300.0000"/>
    <n v="56"/>
    <s v="11"/>
    <s v="6300"/>
    <n v="41014.84"/>
    <n v="56"/>
    <s v="CREDITOR"/>
    <n v="0"/>
    <n v="0"/>
    <n v="0"/>
    <n v="0"/>
    <n v="56"/>
  </r>
  <r>
    <n v="56378698"/>
    <s v="N"/>
    <n v="21350058"/>
    <s v="3000013381950016"/>
    <s v="CIVIL"/>
    <d v="2023-06-28T00:00:00"/>
    <d v="2023-07-10T19:01:40"/>
    <m/>
    <d v="2023-07-10T00:00:00"/>
    <n v="1749"/>
    <n v="19529"/>
    <s v="56378698"/>
    <s v="56378698"/>
    <m/>
    <m/>
    <n v="22781026"/>
    <m/>
    <m/>
    <m/>
    <s v="SOLFIN"/>
    <s v="SOLFIN"/>
    <s v="CCMS"/>
    <n v="21350058"/>
    <n v="15196.66"/>
    <m/>
    <s v="N"/>
    <n v="24"/>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29"/>
    <d v="2023-07-10T19:02:12"/>
    <s v="Y"/>
    <s v="Preparation - other"/>
    <s v="Care Remuneration Hourly Rates"/>
    <s v="Profit Cost"/>
    <s v="LW"/>
    <s v="Y"/>
    <n v="10.51"/>
    <n v="2.1"/>
    <x v="2"/>
    <s v="VALIDATED"/>
    <n v="1"/>
    <s v="01.11.80.308.6100.0000"/>
    <n v="10.51"/>
    <s v="11"/>
    <s v="6100"/>
    <n v="41014.84"/>
    <n v="10.51"/>
    <s v="CREDITOR"/>
    <n v="0"/>
    <n v="0"/>
    <n v="0"/>
    <n v="0"/>
    <n v="10.51"/>
  </r>
  <r>
    <n v="56378698"/>
    <s v="N"/>
    <n v="21350058"/>
    <s v="3000013381950016"/>
    <s v="CIVIL"/>
    <d v="2023-06-28T00:00:00"/>
    <d v="2023-07-10T19:01:40"/>
    <m/>
    <d v="2023-07-10T00:00:00"/>
    <n v="1749"/>
    <n v="19529"/>
    <s v="56378698"/>
    <s v="56378698"/>
    <m/>
    <m/>
    <n v="22781026"/>
    <m/>
    <m/>
    <m/>
    <s v="SOLFIN"/>
    <s v="SOLFIN"/>
    <s v="CCMS"/>
    <n v="21350058"/>
    <n v="15196.66"/>
    <m/>
    <s v="N"/>
    <n v="50"/>
    <d v="2023-07-10T19:02:12"/>
    <s v="Y"/>
    <s v="Preparation - other"/>
    <s v="Care Remuneration Hourly Rates"/>
    <s v="Profit Cost"/>
    <s v="ML"/>
    <s v="Y"/>
    <n v="5.26"/>
    <n v="1.05"/>
    <x v="2"/>
    <s v="VALIDATED"/>
    <n v="1"/>
    <s v="01.11.80.308.6100.0000"/>
    <n v="5.26"/>
    <s v="11"/>
    <s v="6100"/>
    <n v="41014.84"/>
    <n v="5.26"/>
    <s v="CREDITOR"/>
    <n v="0"/>
    <n v="0"/>
    <n v="0"/>
    <n v="0"/>
    <n v="5.26"/>
  </r>
  <r>
    <n v="62179919"/>
    <s v="N"/>
    <n v="21370392"/>
    <s v="3000016165870001"/>
    <s v="CIVIL"/>
    <d v="2023-06-30T00:00:00"/>
    <d v="2023-07-13T19:21:05"/>
    <m/>
    <d v="2023-07-13T00:00:00"/>
    <n v="1749"/>
    <n v="19529"/>
    <s v="62179919"/>
    <s v="62179919"/>
    <m/>
    <m/>
    <n v="22794182"/>
    <m/>
    <m/>
    <m/>
    <s v="SOLFIN"/>
    <s v="SOLFIN"/>
    <s v="CCMS"/>
    <n v="21370392"/>
    <n v="1471.28"/>
    <m/>
    <s v="N"/>
    <n v="24"/>
    <d v="2023-07-13T19:21:24"/>
    <s v="Y"/>
    <s v="Attendance upon client"/>
    <s v="Prescribed Hourly Rates"/>
    <s v="Profit Cost"/>
    <s v="HR"/>
    <s v="Y"/>
    <n v="30.25"/>
    <n v="6.05"/>
    <x v="11"/>
    <s v="VALIDATED"/>
    <n v="1"/>
    <s v="01.11.80.305.6100.0000"/>
    <n v="30.25"/>
    <s v="11"/>
    <s v="6100"/>
    <n v="41014.84"/>
    <n v="30.25"/>
    <s v="CREDITOR"/>
    <n v="0"/>
    <n v="0"/>
    <n v="0"/>
    <n v="0"/>
    <n v="30.25"/>
  </r>
  <r>
    <n v="62248633"/>
    <s v="N"/>
    <n v="21349774"/>
    <s v="3000016248660001"/>
    <s v="CIVIL"/>
    <d v="2023-06-30T00:00:00"/>
    <d v="2023-07-10T19:01:40"/>
    <m/>
    <d v="2023-07-10T00:00:00"/>
    <n v="1749"/>
    <n v="19529"/>
    <s v="62248633"/>
    <s v="62248633"/>
    <m/>
    <m/>
    <n v="22796056"/>
    <m/>
    <m/>
    <m/>
    <s v="SOLFIN"/>
    <s v="SOLFIN"/>
    <s v="CCMS"/>
    <n v="21349774"/>
    <n v="609.83"/>
    <m/>
    <s v="N"/>
    <n v="4"/>
    <d v="2023-07-10T19:01:57"/>
    <s v="Y"/>
    <s v="Attendance upon client"/>
    <s v="Care Remuneration Hourly Rates"/>
    <s v="Profit Cost"/>
    <s v="HR"/>
    <s v="Y"/>
    <n v="33.59"/>
    <n v="6.72"/>
    <x v="2"/>
    <s v="VALIDATED"/>
    <n v="1"/>
    <s v="01.11.80.308.6100.0000"/>
    <n v="33.59"/>
    <s v="11"/>
    <s v="6100"/>
    <n v="41014.84"/>
    <n v="33.59"/>
    <s v="CREDITOR"/>
    <n v="0"/>
    <n v="0"/>
    <n v="0"/>
    <n v="0"/>
    <n v="33.59"/>
  </r>
  <r>
    <n v="61891359"/>
    <s v="N"/>
    <n v="21349626"/>
    <s v="3000015950310004"/>
    <s v="CIVIL"/>
    <d v="2023-06-29T00:00:00"/>
    <d v="2023-07-10T19:01:40"/>
    <m/>
    <d v="2023-07-10T00:00:00"/>
    <n v="1749"/>
    <n v="19529"/>
    <s v="61891359"/>
    <s v="61891359"/>
    <m/>
    <m/>
    <n v="22784714"/>
    <m/>
    <m/>
    <m/>
    <s v="SOLFIN"/>
    <s v="SOLFIN"/>
    <s v="CCMS"/>
    <n v="21349626"/>
    <n v="4857.03"/>
    <m/>
    <s v="N"/>
    <n v="5"/>
    <d v="2023-07-10T19:01:54"/>
    <s v="Y"/>
    <s v="Advocates Meeting"/>
    <s v="Public Law Children"/>
    <s v="Advocacy"/>
    <s v="ES"/>
    <s v="Y"/>
    <n v="128.16"/>
    <n v="25.63"/>
    <x v="2"/>
    <s v="VALIDATED"/>
    <n v="1"/>
    <s v="01.11.80.308.6100.0000"/>
    <n v="128.16"/>
    <s v="11"/>
    <s v="6100"/>
    <n v="41014.84"/>
    <n v="128.16"/>
    <s v="CREDITOR"/>
    <n v="0"/>
    <n v="0"/>
    <n v="0"/>
    <n v="0"/>
    <n v="128.16"/>
  </r>
  <r>
    <n v="56378698"/>
    <s v="N"/>
    <n v="21350058"/>
    <s v="3000013381950016"/>
    <s v="CIVIL"/>
    <d v="2023-06-28T00:00:00"/>
    <d v="2023-07-10T19:01:40"/>
    <m/>
    <d v="2023-07-10T00:00:00"/>
    <n v="1749"/>
    <n v="19529"/>
    <s v="56378698"/>
    <s v="56378698"/>
    <m/>
    <m/>
    <n v="22781026"/>
    <m/>
    <m/>
    <m/>
    <s v="SOLFIN"/>
    <s v="SOLFIN"/>
    <s v="CCMS"/>
    <n v="21350058"/>
    <n v="15196.66"/>
    <m/>
    <s v="N"/>
    <n v="84"/>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5"/>
    <d v="2023-07-10T19:02:12"/>
    <s v="Y"/>
    <s v="Preparation - other"/>
    <s v="Care Remuneration Hourly Rates"/>
    <s v="Profit Cost"/>
    <s v="LW"/>
    <s v="Y"/>
    <n v="5.26"/>
    <n v="1.05"/>
    <x v="2"/>
    <s v="VALIDATED"/>
    <n v="1"/>
    <s v="01.11.80.308.6100.0000"/>
    <n v="5.26"/>
    <s v="11"/>
    <s v="6100"/>
    <n v="41014.84"/>
    <n v="5.26"/>
    <s v="CREDITOR"/>
    <n v="0"/>
    <n v="0"/>
    <n v="0"/>
    <n v="0"/>
    <n v="5.26"/>
  </r>
  <r>
    <n v="62179919"/>
    <s v="N"/>
    <n v="21370392"/>
    <s v="3000016165870001"/>
    <s v="CIVIL"/>
    <d v="2023-06-30T00:00:00"/>
    <d v="2023-07-13T19:21:05"/>
    <m/>
    <d v="2023-07-13T00:00:00"/>
    <n v="1749"/>
    <n v="19529"/>
    <s v="62179919"/>
    <s v="62179919"/>
    <m/>
    <m/>
    <n v="22794182"/>
    <m/>
    <m/>
    <m/>
    <s v="SOLFIN"/>
    <s v="SOLFIN"/>
    <s v="CCMS"/>
    <n v="21370392"/>
    <n v="1471.28"/>
    <m/>
    <s v="N"/>
    <n v="27"/>
    <d v="2023-07-13T19:21:24"/>
    <s v="Y"/>
    <s v="Advocacy - Final Hearing"/>
    <s v="Prescribed Hourly Rates"/>
    <s v="Advocacy"/>
    <s v="HR"/>
    <s v="Y"/>
    <n v="105.86"/>
    <n v="21.17"/>
    <x v="11"/>
    <s v="VALIDATED"/>
    <n v="1"/>
    <s v="01.11.80.305.6100.0000"/>
    <n v="105.86"/>
    <s v="11"/>
    <s v="6100"/>
    <n v="41014.84"/>
    <n v="105.86"/>
    <s v="CREDITOR"/>
    <n v="0"/>
    <n v="0"/>
    <n v="0"/>
    <n v="0"/>
    <n v="105.86"/>
  </r>
  <r>
    <n v="62248633"/>
    <s v="N"/>
    <n v="21349774"/>
    <s v="3000016248660001"/>
    <s v="CIVIL"/>
    <d v="2023-06-30T00:00:00"/>
    <d v="2023-07-10T19:01:40"/>
    <m/>
    <d v="2023-07-10T00:00:00"/>
    <n v="1749"/>
    <n v="19529"/>
    <s v="62248633"/>
    <s v="62248633"/>
    <m/>
    <m/>
    <n v="22796056"/>
    <m/>
    <m/>
    <m/>
    <s v="SOLFIN"/>
    <s v="SOLFIN"/>
    <s v="CCMS"/>
    <n v="21349774"/>
    <n v="609.83"/>
    <m/>
    <s v="N"/>
    <n v="10"/>
    <d v="2023-07-10T19:01:57"/>
    <s v="Y"/>
    <s v="Routine Letter Out"/>
    <s v="Care Remuneration Hourly Rates"/>
    <s v="Profit Cost"/>
    <s v="HR/RA"/>
    <s v="Y"/>
    <n v="59.41"/>
    <n v="11.88"/>
    <x v="2"/>
    <s v="VALIDATED"/>
    <n v="1"/>
    <s v="01.11.80.308.6100.0000"/>
    <n v="59.41"/>
    <s v="11"/>
    <s v="6100"/>
    <n v="41014.84"/>
    <n v="59.41"/>
    <s v="CREDITOR"/>
    <n v="0"/>
    <n v="0"/>
    <n v="0"/>
    <n v="0"/>
    <n v="59.41"/>
  </r>
  <r>
    <n v="56378698"/>
    <s v="N"/>
    <n v="21350058"/>
    <s v="3000013381950016"/>
    <s v="CIVIL"/>
    <d v="2023-06-28T00:00:00"/>
    <d v="2023-07-10T19:01:40"/>
    <m/>
    <d v="2023-07-10T00:00:00"/>
    <n v="1749"/>
    <n v="19529"/>
    <s v="56378698"/>
    <s v="56378698"/>
    <m/>
    <m/>
    <n v="22781026"/>
    <m/>
    <m/>
    <m/>
    <s v="SOLFIN"/>
    <s v="SOLFIN"/>
    <s v="CCMS"/>
    <n v="21350058"/>
    <n v="15196.66"/>
    <m/>
    <s v="N"/>
    <n v="94"/>
    <d v="2023-07-10T19:02:12"/>
    <s v="Y"/>
    <s v="Preparation - other"/>
    <s v="Care Remuneration Hourly Rates"/>
    <s v="Profit Cost"/>
    <s v="RLA"/>
    <s v="Y"/>
    <n v="6.05"/>
    <n v="1.21"/>
    <x v="2"/>
    <s v="VALIDATED"/>
    <n v="1"/>
    <s v="01.11.80.308.6100.0000"/>
    <n v="6.05"/>
    <s v="11"/>
    <s v="6100"/>
    <n v="41014.84"/>
    <n v="6.05"/>
    <s v="CREDITOR"/>
    <n v="0"/>
    <n v="0"/>
    <n v="0"/>
    <n v="0"/>
    <n v="6.05"/>
  </r>
  <r>
    <n v="56378698"/>
    <s v="N"/>
    <n v="21350058"/>
    <s v="3000013381950016"/>
    <s v="CIVIL"/>
    <d v="2023-06-28T00:00:00"/>
    <d v="2023-07-10T19:01:40"/>
    <m/>
    <d v="2023-07-10T00:00:00"/>
    <n v="1749"/>
    <n v="19529"/>
    <s v="56378698"/>
    <s v="56378698"/>
    <m/>
    <m/>
    <n v="22781026"/>
    <m/>
    <m/>
    <m/>
    <s v="SOLFIN"/>
    <s v="SOLFIN"/>
    <s v="CCMS"/>
    <n v="21350058"/>
    <n v="15196.66"/>
    <m/>
    <s v="N"/>
    <n v="31"/>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37"/>
    <d v="2023-07-10T19:02:12"/>
    <s v="Y"/>
    <s v="Preparation - other"/>
    <s v="Care Remuneration Hourly Rates"/>
    <s v="Profit Cost"/>
    <s v="MEG"/>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73"/>
    <d v="2023-07-10T19:02:12"/>
    <s v="Y"/>
    <s v="Preparation - other"/>
    <s v="Care Remuneration Hourly Rates"/>
    <s v="Profit Cost"/>
    <s v="RLA"/>
    <s v="Y"/>
    <n v="151.14"/>
    <n v="30.23"/>
    <x v="2"/>
    <s v="VALIDATED"/>
    <n v="1"/>
    <s v="01.11.80.308.6100.0000"/>
    <n v="151.14"/>
    <s v="11"/>
    <s v="6100"/>
    <n v="41014.84"/>
    <n v="151.14"/>
    <s v="CREDITOR"/>
    <n v="0"/>
    <n v="0"/>
    <n v="0"/>
    <n v="0"/>
    <n v="151.14"/>
  </r>
  <r>
    <n v="56378698"/>
    <s v="N"/>
    <n v="21350058"/>
    <s v="3000013381950016"/>
    <s v="CIVIL"/>
    <d v="2023-06-28T00:00:00"/>
    <d v="2023-07-10T19:01:40"/>
    <m/>
    <d v="2023-07-10T00:00:00"/>
    <n v="1749"/>
    <n v="19529"/>
    <s v="56378698"/>
    <s v="56378698"/>
    <m/>
    <m/>
    <n v="22781026"/>
    <m/>
    <m/>
    <m/>
    <s v="SOLFIN"/>
    <s v="SOLFIN"/>
    <s v="CCMS"/>
    <n v="21350058"/>
    <n v="15196.66"/>
    <m/>
    <s v="N"/>
    <n v="106"/>
    <d v="2023-07-10T19:02:12"/>
    <s v="Y"/>
    <s v="Preparation - other"/>
    <s v="Care Remuneration Hourly Rates"/>
    <s v="Profit Cost"/>
    <s v="ML"/>
    <s v="Y"/>
    <n v="373.25"/>
    <n v="74.65000000000001"/>
    <x v="2"/>
    <s v="VALIDATED"/>
    <n v="1"/>
    <s v="01.11.80.308.6100.0000"/>
    <n v="373.25"/>
    <s v="11"/>
    <s v="6100"/>
    <n v="41014.84"/>
    <n v="373.25"/>
    <s v="CREDITOR"/>
    <n v="0"/>
    <n v="0"/>
    <n v="0"/>
    <n v="0"/>
    <n v="373.25"/>
  </r>
  <r>
    <n v="56378698"/>
    <s v="N"/>
    <n v="21350058"/>
    <s v="3000013381950016"/>
    <s v="CIVIL"/>
    <d v="2023-06-28T00:00:00"/>
    <d v="2023-07-10T19:01:40"/>
    <m/>
    <d v="2023-07-10T00:00:00"/>
    <n v="1749"/>
    <n v="19529"/>
    <s v="56378698"/>
    <s v="56378698"/>
    <m/>
    <m/>
    <n v="22781026"/>
    <m/>
    <m/>
    <m/>
    <s v="SOLFIN"/>
    <s v="SOLFIN"/>
    <s v="CCMS"/>
    <n v="21350058"/>
    <n v="15196.66"/>
    <m/>
    <s v="N"/>
    <n v="22"/>
    <d v="2023-07-10T19:02:12"/>
    <s v="Y"/>
    <s v="Preparation - other"/>
    <s v="Care Remuneration Hourly Rates"/>
    <s v="Profit Cost"/>
    <s v="LW"/>
    <s v="Y"/>
    <n v="10.51"/>
    <n v="2.1"/>
    <x v="2"/>
    <s v="VALIDATED"/>
    <n v="1"/>
    <s v="01.11.80.308.6100.0000"/>
    <n v="10.51"/>
    <s v="11"/>
    <s v="6100"/>
    <n v="41014.84"/>
    <n v="10.51"/>
    <s v="CREDITOR"/>
    <n v="0"/>
    <n v="0"/>
    <n v="0"/>
    <n v="0"/>
    <n v="10.51"/>
  </r>
  <r>
    <n v="56378698"/>
    <s v="N"/>
    <n v="21350058"/>
    <s v="3000013381950016"/>
    <s v="CIVIL"/>
    <d v="2023-06-28T00:00:00"/>
    <d v="2023-07-10T19:01:40"/>
    <m/>
    <d v="2023-07-10T00:00:00"/>
    <n v="1749"/>
    <n v="19529"/>
    <s v="56378698"/>
    <s v="56378698"/>
    <m/>
    <m/>
    <n v="22781026"/>
    <m/>
    <m/>
    <m/>
    <s v="SOLFIN"/>
    <s v="SOLFIN"/>
    <s v="CCMS"/>
    <n v="21350058"/>
    <n v="15196.66"/>
    <m/>
    <s v="N"/>
    <n v="82"/>
    <d v="2023-07-10T19:02:12"/>
    <s v="Y"/>
    <s v="Preparation - other"/>
    <s v="Care Remuneration Hourly Rates"/>
    <s v="Profit Cost"/>
    <s v="LW"/>
    <s v="Y"/>
    <n v="26.29"/>
    <n v="5.26"/>
    <x v="2"/>
    <s v="VALIDATED"/>
    <n v="1"/>
    <s v="01.11.80.308.6100.0000"/>
    <n v="26.29"/>
    <s v="11"/>
    <s v="6100"/>
    <n v="41014.84"/>
    <n v="26.29"/>
    <s v="CREDITOR"/>
    <n v="0"/>
    <n v="0"/>
    <n v="0"/>
    <n v="0"/>
    <n v="26.29"/>
  </r>
  <r>
    <n v="56378698"/>
    <s v="N"/>
    <n v="21350058"/>
    <s v="3000013381950016"/>
    <s v="CIVIL"/>
    <d v="2023-06-28T00:00:00"/>
    <d v="2023-07-10T19:01:40"/>
    <m/>
    <d v="2023-07-10T00:00:00"/>
    <n v="1749"/>
    <n v="19529"/>
    <s v="56378698"/>
    <s v="56378698"/>
    <m/>
    <m/>
    <n v="22781026"/>
    <m/>
    <m/>
    <m/>
    <s v="SOLFIN"/>
    <s v="SOLFIN"/>
    <s v="CCMS"/>
    <n v="21350058"/>
    <n v="15196.66"/>
    <m/>
    <s v="N"/>
    <n v="83"/>
    <d v="2023-07-10T19:02:12"/>
    <s v="Y"/>
    <s v="Preparation - other"/>
    <s v="Care Remuneration Hourly Rates"/>
    <s v="Profit Cost"/>
    <s v="LW"/>
    <s v="Y"/>
    <n v="5.26"/>
    <n v="1.05"/>
    <x v="2"/>
    <s v="VALIDATED"/>
    <n v="1"/>
    <s v="01.11.80.308.6100.0000"/>
    <n v="5.26"/>
    <s v="11"/>
    <s v="6100"/>
    <n v="41014.84"/>
    <n v="5.26"/>
    <s v="CREDITOR"/>
    <n v="0"/>
    <n v="0"/>
    <n v="0"/>
    <n v="0"/>
    <n v="5.26"/>
  </r>
  <r>
    <n v="60309343"/>
    <s v="N"/>
    <n v="21319986"/>
    <s v="3000014610440025"/>
    <s v="CIVIL"/>
    <d v="2023-06-26T00:00:00"/>
    <d v="2023-07-03T19:04:24"/>
    <m/>
    <d v="2023-07-03T00:00:00"/>
    <n v="1749"/>
    <n v="19529"/>
    <s v="60309343"/>
    <s v="60309343"/>
    <m/>
    <m/>
    <n v="22763414"/>
    <m/>
    <m/>
    <m/>
    <s v="SOLFIN"/>
    <s v="SOLFIN"/>
    <s v="CCMS"/>
    <n v="21319986"/>
    <n v="17867.12"/>
    <m/>
    <s v="N"/>
    <n v="8"/>
    <d v="2023-07-03T19:04:28"/>
    <s v="Y"/>
    <s v="Case Management Conference (Events "/>
    <s v="VHCC"/>
    <s v="Profit Cost"/>
    <s v="HR"/>
    <s v="Y"/>
    <n v="6942"/>
    <n v="1388.4"/>
    <x v="3"/>
    <s v="VALIDATED"/>
    <n v="1"/>
    <s v="01.11.80.308.6100.0000"/>
    <n v="6942"/>
    <s v="11"/>
    <s v="6100"/>
    <n v="41014.84"/>
    <n v="6942"/>
    <s v="CREDITOR"/>
    <n v="0"/>
    <n v="0"/>
    <n v="0"/>
    <n v="0"/>
    <n v="6942"/>
  </r>
  <r>
    <n v="56378698"/>
    <s v="N"/>
    <n v="21350058"/>
    <s v="3000013381950016"/>
    <s v="CIVIL"/>
    <d v="2023-06-28T00:00:00"/>
    <d v="2023-07-10T19:01:40"/>
    <m/>
    <d v="2023-07-10T00:00:00"/>
    <n v="1749"/>
    <n v="19529"/>
    <s v="56378698"/>
    <s v="56378698"/>
    <m/>
    <m/>
    <n v="22781026"/>
    <m/>
    <m/>
    <m/>
    <s v="SOLFIN"/>
    <s v="SOLFIN"/>
    <s v="CCMS"/>
    <n v="21350058"/>
    <n v="15196.66"/>
    <m/>
    <s v="N"/>
    <n v="39"/>
    <d v="2023-07-10T19:02:12"/>
    <s v="Y"/>
    <s v="Preparation - other"/>
    <s v="Care Remuneration Hourly Rates"/>
    <s v="Profit Cost"/>
    <s v="LW"/>
    <s v="Y"/>
    <n v="5.26"/>
    <n v="1.05"/>
    <x v="2"/>
    <s v="VALIDATED"/>
    <n v="1"/>
    <s v="01.11.80.308.6100.0000"/>
    <n v="5.26"/>
    <s v="11"/>
    <s v="6100"/>
    <n v="41014.84"/>
    <n v="5.26"/>
    <s v="CREDITOR"/>
    <n v="0"/>
    <n v="0"/>
    <n v="0"/>
    <n v="0"/>
    <n v="5.26"/>
  </r>
  <r>
    <n v="60696754"/>
    <s v="N"/>
    <n v="21338339"/>
    <s v="3000014940080010"/>
    <s v="CIVIL"/>
    <d v="2023-06-26T00:00:00"/>
    <d v="2023-07-06T19:21:01"/>
    <m/>
    <d v="2023-07-06T00:00:00"/>
    <n v="1749"/>
    <n v="19529"/>
    <s v="60696754"/>
    <s v="60696754"/>
    <m/>
    <m/>
    <n v="22764422"/>
    <m/>
    <m/>
    <m/>
    <s v="SOLFIN"/>
    <s v="SOLFIN"/>
    <s v="CCMS"/>
    <n v="21338339"/>
    <n v="19664.59"/>
    <m/>
    <s v="N"/>
    <n v="1"/>
    <d v="2023-07-06T19:21:20"/>
    <s v="Y"/>
    <s v="Interim Hearing Court Bundle/Advoca"/>
    <s v="Public Law Children"/>
    <s v="Advocacy"/>
    <s v="Hazel Roberts"/>
    <s v="Y"/>
    <n v="89.09999999999999"/>
    <n v="17.82"/>
    <x v="4"/>
    <s v="VALIDATED"/>
    <n v="1"/>
    <s v="01.11.80.308.6100.0000"/>
    <n v="89.09999999999999"/>
    <s v="11"/>
    <s v="6100"/>
    <n v="41014.84"/>
    <n v="89.09999999999999"/>
    <s v="CREDITOR"/>
    <n v="0"/>
    <n v="0"/>
    <n v="0"/>
    <n v="0"/>
    <n v="89.09999999999999"/>
  </r>
  <r>
    <n v="56378698"/>
    <s v="N"/>
    <n v="21350058"/>
    <s v="3000013381950016"/>
    <s v="CIVIL"/>
    <d v="2023-06-28T00:00:00"/>
    <d v="2023-07-10T19:01:40"/>
    <m/>
    <d v="2023-07-10T00:00:00"/>
    <n v="1749"/>
    <n v="19529"/>
    <s v="56378698"/>
    <s v="56378698"/>
    <m/>
    <m/>
    <n v="22781026"/>
    <m/>
    <m/>
    <m/>
    <s v="SOLFIN"/>
    <s v="SOLFIN"/>
    <s v="CCMS"/>
    <n v="21350058"/>
    <n v="15196.66"/>
    <m/>
    <s v="N"/>
    <n v="95"/>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35"/>
    <d v="2023-07-10T19:02:12"/>
    <s v="Y"/>
    <s v="Preparation - other"/>
    <s v="Care Remuneration Hourly Rates"/>
    <s v="Profit Cost"/>
    <s v="MEG"/>
    <s v="Y"/>
    <n v="10.51"/>
    <n v="2.1"/>
    <x v="2"/>
    <s v="VALIDATED"/>
    <n v="1"/>
    <s v="01.11.80.308.6100.0000"/>
    <n v="10.51"/>
    <s v="11"/>
    <s v="6100"/>
    <n v="41014.84"/>
    <n v="10.51"/>
    <s v="CREDITOR"/>
    <n v="0"/>
    <n v="0"/>
    <n v="0"/>
    <n v="0"/>
    <n v="10.51"/>
  </r>
  <r>
    <n v="56378698"/>
    <s v="N"/>
    <n v="21350058"/>
    <s v="3000013381950016"/>
    <s v="CIVIL"/>
    <d v="2023-06-28T00:00:00"/>
    <d v="2023-07-10T19:01:40"/>
    <m/>
    <d v="2023-07-10T00:00:00"/>
    <n v="1749"/>
    <n v="19529"/>
    <s v="56378698"/>
    <s v="56378698"/>
    <m/>
    <m/>
    <n v="22781026"/>
    <m/>
    <m/>
    <m/>
    <s v="SOLFIN"/>
    <s v="SOLFIN"/>
    <s v="CCMS"/>
    <n v="21350058"/>
    <n v="15196.66"/>
    <m/>
    <s v="N"/>
    <n v="38"/>
    <d v="2023-07-10T19:02:12"/>
    <s v="Y"/>
    <s v="Attendance upon client"/>
    <s v="Care Remuneration Hourly Rates"/>
    <s v="Profit Cost"/>
    <s v="RLA"/>
    <s v="Y"/>
    <n v="12.09"/>
    <n v="2.42"/>
    <x v="2"/>
    <s v="VALIDATED"/>
    <n v="1"/>
    <s v="01.11.80.308.6100.0000"/>
    <n v="12.09"/>
    <s v="11"/>
    <s v="6100"/>
    <n v="41014.84"/>
    <n v="12.09"/>
    <s v="CREDITOR"/>
    <n v="0"/>
    <n v="0"/>
    <n v="0"/>
    <n v="0"/>
    <n v="12.09"/>
  </r>
  <r>
    <n v="56378698"/>
    <s v="N"/>
    <n v="21350058"/>
    <s v="3000013381950016"/>
    <s v="CIVIL"/>
    <d v="2023-06-28T00:00:00"/>
    <d v="2023-07-10T19:01:40"/>
    <m/>
    <d v="2023-07-10T00:00:00"/>
    <n v="1749"/>
    <n v="19529"/>
    <s v="56378698"/>
    <s v="56378698"/>
    <m/>
    <m/>
    <n v="22781026"/>
    <m/>
    <m/>
    <m/>
    <s v="SOLFIN"/>
    <s v="SOLFIN"/>
    <s v="CCMS"/>
    <n v="21350058"/>
    <n v="15196.66"/>
    <m/>
    <s v="N"/>
    <n v="7"/>
    <d v="2023-07-10T19:02:12"/>
    <s v="Y"/>
    <s v="Psychologist"/>
    <s v="Care Remuneration Hourly Rates"/>
    <s v="Expert Disbursement"/>
    <s v="PSYCHOLOGY EXPERTS"/>
    <s v="Y"/>
    <n v="397.28"/>
    <n v="79.45"/>
    <x v="2"/>
    <s v="VALIDATED"/>
    <n v="1"/>
    <s v="01.11.80.308.6300.0000"/>
    <n v="397.28"/>
    <s v="11"/>
    <s v="6300"/>
    <n v="41014.84"/>
    <n v="397.28"/>
    <s v="CREDITOR"/>
    <n v="0"/>
    <n v="0"/>
    <n v="0"/>
    <n v="0"/>
    <n v="397.28"/>
  </r>
  <r>
    <n v="60696754"/>
    <s v="N"/>
    <n v="21338339"/>
    <s v="3000014940080010"/>
    <s v="CIVIL"/>
    <d v="2023-06-26T00:00:00"/>
    <d v="2023-07-06T19:21:01"/>
    <m/>
    <d v="2023-07-06T00:00:00"/>
    <n v="1749"/>
    <n v="19529"/>
    <s v="60696754"/>
    <s v="60696754"/>
    <m/>
    <m/>
    <n v="22764422"/>
    <m/>
    <m/>
    <m/>
    <s v="SOLFIN"/>
    <s v="SOLFIN"/>
    <s v="CCMS"/>
    <n v="21338339"/>
    <n v="19664.59"/>
    <m/>
    <s v="N"/>
    <n v="12"/>
    <d v="2023-07-06T19:21:20"/>
    <s v="Y"/>
    <s v="Hearing Unit 2.31 - 5.00 Hours"/>
    <s v="Public Law Children"/>
    <s v="Advocacy"/>
    <s v="Hazel Roberts"/>
    <s v="Y"/>
    <n v="476.92"/>
    <n v="95.38"/>
    <x v="4"/>
    <s v="VALIDATED"/>
    <n v="1"/>
    <s v="01.11.80.308.6100.0000"/>
    <n v="476.92"/>
    <s v="11"/>
    <s v="6100"/>
    <n v="41014.84"/>
    <n v="476.92"/>
    <s v="CREDITOR"/>
    <n v="0"/>
    <n v="0"/>
    <n v="0"/>
    <n v="0"/>
    <n v="476.92"/>
  </r>
  <r>
    <n v="60309343"/>
    <s v="N"/>
    <n v="21319986"/>
    <s v="3000014610440025"/>
    <s v="CIVIL"/>
    <d v="2023-06-26T00:00:00"/>
    <d v="2023-07-03T19:04:24"/>
    <m/>
    <d v="2023-07-03T00:00:00"/>
    <n v="1749"/>
    <n v="19529"/>
    <s v="60309343"/>
    <s v="60309343"/>
    <m/>
    <m/>
    <n v="22763414"/>
    <m/>
    <m/>
    <m/>
    <s v="SOLFIN"/>
    <s v="SOLFIN"/>
    <s v="CCMS"/>
    <n v="21319986"/>
    <n v="17867.12"/>
    <m/>
    <s v="N"/>
    <n v="4"/>
    <d v="2023-07-03T19:04:28"/>
    <s v="Y"/>
    <s v="Psychologist"/>
    <s v="VHCC"/>
    <s v="Expert Disbursement"/>
    <s v="FORESIGHT - inv 34778"/>
    <s v="Y"/>
    <n v="249.6"/>
    <n v="49.92"/>
    <x v="3"/>
    <s v="VALIDATED"/>
    <n v="1"/>
    <s v="01.11.80.308.6300.0000"/>
    <n v="249.6"/>
    <s v="11"/>
    <s v="6300"/>
    <n v="41014.84"/>
    <n v="249.6"/>
    <s v="CREDITOR"/>
    <n v="0"/>
    <n v="0"/>
    <n v="0"/>
    <n v="0"/>
    <n v="249.6"/>
  </r>
  <r>
    <n v="56378698"/>
    <s v="N"/>
    <n v="21350058"/>
    <s v="3000013381950016"/>
    <s v="CIVIL"/>
    <d v="2023-06-28T00:00:00"/>
    <d v="2023-07-10T19:01:40"/>
    <m/>
    <d v="2023-07-10T00:00:00"/>
    <n v="1749"/>
    <n v="19529"/>
    <s v="56378698"/>
    <s v="56378698"/>
    <m/>
    <m/>
    <n v="22781026"/>
    <m/>
    <m/>
    <m/>
    <s v="SOLFIN"/>
    <s v="SOLFIN"/>
    <s v="CCMS"/>
    <n v="21350058"/>
    <n v="15196.66"/>
    <m/>
    <s v="N"/>
    <n v="112"/>
    <d v="2023-07-10T19:02:12"/>
    <s v="Y"/>
    <s v="Preparation - other"/>
    <s v="Care Remuneration Hourly Rates"/>
    <s v="Profit Cost"/>
    <s v="RLA"/>
    <s v="Y"/>
    <n v="30.23"/>
    <n v="6.05"/>
    <x v="2"/>
    <s v="VALIDATED"/>
    <n v="1"/>
    <s v="01.11.80.308.6100.0000"/>
    <n v="30.23"/>
    <s v="11"/>
    <s v="6100"/>
    <n v="41014.84"/>
    <n v="30.23"/>
    <s v="CREDITOR"/>
    <n v="0"/>
    <n v="0"/>
    <n v="0"/>
    <n v="0"/>
    <n v="30.23"/>
  </r>
  <r>
    <n v="56378698"/>
    <s v="N"/>
    <n v="21350058"/>
    <s v="3000013381950016"/>
    <s v="CIVIL"/>
    <d v="2023-06-28T00:00:00"/>
    <d v="2023-07-10T19:01:40"/>
    <m/>
    <d v="2023-07-10T00:00:00"/>
    <n v="1749"/>
    <n v="19529"/>
    <s v="56378698"/>
    <s v="56378698"/>
    <m/>
    <m/>
    <n v="22781026"/>
    <m/>
    <m/>
    <m/>
    <s v="SOLFIN"/>
    <s v="SOLFIN"/>
    <s v="CCMS"/>
    <n v="21350058"/>
    <n v="15196.66"/>
    <m/>
    <s v="N"/>
    <n v="117"/>
    <d v="2023-07-10T19:02:12"/>
    <s v="Y"/>
    <s v="Attendance upon client"/>
    <s v="Care Remuneration Hourly Rates"/>
    <s v="Profit Cost"/>
    <s v="RLA"/>
    <s v="Y"/>
    <n v="12.09"/>
    <n v="2.42"/>
    <x v="2"/>
    <s v="VALIDATED"/>
    <n v="1"/>
    <s v="01.11.80.308.6100.0000"/>
    <n v="12.09"/>
    <s v="11"/>
    <s v="6100"/>
    <n v="41014.84"/>
    <n v="12.09"/>
    <s v="CREDITOR"/>
    <n v="0"/>
    <n v="0"/>
    <n v="0"/>
    <n v="0"/>
    <n v="12.09"/>
  </r>
  <r>
    <n v="56378698"/>
    <s v="N"/>
    <n v="21350058"/>
    <s v="3000013381950016"/>
    <s v="CIVIL"/>
    <d v="2023-06-28T00:00:00"/>
    <d v="2023-07-10T19:01:40"/>
    <m/>
    <d v="2023-07-10T00:00:00"/>
    <n v="1749"/>
    <n v="19529"/>
    <s v="56378698"/>
    <s v="56378698"/>
    <m/>
    <m/>
    <n v="22781026"/>
    <m/>
    <m/>
    <m/>
    <s v="SOLFIN"/>
    <s v="SOLFIN"/>
    <s v="CCMS"/>
    <n v="21350058"/>
    <n v="15196.66"/>
    <m/>
    <s v="N"/>
    <n v="91"/>
    <d v="2023-07-10T19:02:12"/>
    <s v="Y"/>
    <s v="Preparation - other"/>
    <s v="Care Remuneration Hourly Rates"/>
    <s v="Profit Cost"/>
    <s v="SW"/>
    <s v="Y"/>
    <n v="21.03"/>
    <n v="4.21"/>
    <x v="2"/>
    <s v="VALIDATED"/>
    <n v="1"/>
    <s v="01.11.80.308.6100.0000"/>
    <n v="21.03"/>
    <s v="11"/>
    <s v="6100"/>
    <n v="41014.84"/>
    <n v="21.03"/>
    <s v="CREDITOR"/>
    <n v="0"/>
    <n v="0"/>
    <n v="0"/>
    <n v="0"/>
    <n v="21.03"/>
  </r>
  <r>
    <n v="56378698"/>
    <s v="N"/>
    <n v="21350058"/>
    <s v="3000013381950016"/>
    <s v="CIVIL"/>
    <d v="2023-06-28T00:00:00"/>
    <d v="2023-07-10T19:01:40"/>
    <m/>
    <d v="2023-07-10T00:00:00"/>
    <n v="1749"/>
    <n v="19529"/>
    <s v="56378698"/>
    <s v="56378698"/>
    <m/>
    <m/>
    <n v="22781026"/>
    <m/>
    <m/>
    <m/>
    <s v="SOLFIN"/>
    <s v="SOLFIN"/>
    <s v="CCMS"/>
    <n v="21350058"/>
    <n v="15196.66"/>
    <m/>
    <s v="N"/>
    <n v="12"/>
    <d v="2023-07-10T19:02:12"/>
    <s v="Y"/>
    <s v="Preparation - other"/>
    <s v="Care Remuneration Hourly Rates"/>
    <s v="Profit Cost"/>
    <s v="ML"/>
    <s v="Y"/>
    <n v="157.71"/>
    <n v="31.54"/>
    <x v="2"/>
    <s v="VALIDATED"/>
    <n v="1"/>
    <s v="01.11.80.308.6100.0000"/>
    <n v="157.71"/>
    <s v="11"/>
    <s v="6100"/>
    <n v="41014.84"/>
    <n v="157.71"/>
    <s v="CREDITOR"/>
    <n v="0"/>
    <n v="0"/>
    <n v="0"/>
    <n v="0"/>
    <n v="157.71"/>
  </r>
  <r>
    <n v="60696754"/>
    <s v="N"/>
    <n v="21338339"/>
    <s v="3000014940080010"/>
    <s v="CIVIL"/>
    <d v="2023-06-26T00:00:00"/>
    <d v="2023-07-06T19:21:01"/>
    <m/>
    <d v="2023-07-06T00:00:00"/>
    <n v="1749"/>
    <n v="19529"/>
    <s v="60696754"/>
    <s v="60696754"/>
    <m/>
    <m/>
    <n v="22764422"/>
    <m/>
    <m/>
    <m/>
    <s v="SOLFIN"/>
    <s v="SOLFIN"/>
    <s v="CCMS"/>
    <n v="21338339"/>
    <n v="19664.59"/>
    <m/>
    <s v="N"/>
    <n v="8"/>
    <d v="2023-07-06T19:21:20"/>
    <s v="Y"/>
    <s v="Disbursements (Summary)"/>
    <s v="Public Law Children"/>
    <s v="Non Expert Disbursement"/>
    <s v="Hazel Roberts"/>
    <s v="Y"/>
    <n v="432.5"/>
    <n v="86.5"/>
    <x v="4"/>
    <s v="VALIDATED"/>
    <n v="1"/>
    <s v="01.11.80.308.6300.0000"/>
    <n v="432.5"/>
    <s v="11"/>
    <s v="6300"/>
    <n v="41014.84"/>
    <n v="432.5"/>
    <s v="CREDITOR"/>
    <n v="0"/>
    <n v="0"/>
    <n v="0"/>
    <n v="0"/>
    <n v="432.5"/>
  </r>
  <r>
    <n v="61865676"/>
    <s v="N"/>
    <n v="21343593"/>
    <s v="3000015925930003"/>
    <s v="CIVIL"/>
    <d v="2023-06-05T00:00:00"/>
    <d v="2023-07-07T19:03:00"/>
    <m/>
    <d v="2023-07-07T00:00:00"/>
    <n v="1749"/>
    <n v="19529"/>
    <s v="61865676"/>
    <s v="61865676"/>
    <m/>
    <m/>
    <n v="22614752"/>
    <m/>
    <m/>
    <m/>
    <s v="SOLPOA"/>
    <s v="SOLPOA"/>
    <s v="CCMS"/>
    <n v="21343593"/>
    <n v="613.8"/>
    <m/>
    <s v="N"/>
    <n v="1"/>
    <d v="2023-07-07T19:03:11"/>
    <s v="N"/>
    <s v="Expert Cost"/>
    <s v="Expert Cost"/>
    <s v="Expert Disbursement"/>
    <s v="Darren Matthews"/>
    <s v="N"/>
    <n v="511.5"/>
    <n v="102.3"/>
    <x v="9"/>
    <s v="VALIDATED"/>
    <n v="1"/>
    <s v="01.11.80.308.2012.0000"/>
    <n v="511.5"/>
    <s v="11"/>
    <s v="2012"/>
    <n v="41014.84"/>
    <n v="511.5"/>
    <s v="CREDITOR"/>
    <n v="511.5"/>
    <n v="0"/>
    <n v="0"/>
    <n v="0"/>
    <n v="0"/>
  </r>
  <r>
    <n v="62179919"/>
    <s v="N"/>
    <n v="21370392"/>
    <s v="3000016165870001"/>
    <s v="CIVIL"/>
    <d v="2023-06-30T00:00:00"/>
    <d v="2023-07-13T19:21:05"/>
    <m/>
    <d v="2023-07-13T00:00:00"/>
    <n v="1749"/>
    <n v="19529"/>
    <s v="62179919"/>
    <s v="62179919"/>
    <m/>
    <m/>
    <n v="22794182"/>
    <m/>
    <m/>
    <m/>
    <s v="SOLFIN"/>
    <s v="SOLFIN"/>
    <s v="CCMS"/>
    <n v="21370392"/>
    <n v="1471.28"/>
    <m/>
    <s v="N"/>
    <n v="1"/>
    <d v="2023-07-13T19:21:24"/>
    <s v="Y"/>
    <s v="Routine Telephone Call"/>
    <s v="Prescribed Hourly Rates"/>
    <s v="Profit Cost"/>
    <s v="HR"/>
    <s v="Y"/>
    <n v="7.3"/>
    <n v="1.46"/>
    <x v="11"/>
    <s v="VALIDATED"/>
    <n v="1"/>
    <s v="01.11.80.305.6100.0000"/>
    <n v="7.3"/>
    <s v="11"/>
    <s v="6100"/>
    <n v="41014.84"/>
    <n v="7.3"/>
    <s v="CREDITOR"/>
    <n v="0"/>
    <n v="0"/>
    <n v="0"/>
    <n v="0"/>
    <n v="7.3"/>
  </r>
  <r>
    <n v="56378698"/>
    <s v="N"/>
    <n v="21350058"/>
    <s v="3000013381950016"/>
    <s v="CIVIL"/>
    <d v="2023-06-28T00:00:00"/>
    <d v="2023-07-10T19:01:40"/>
    <m/>
    <d v="2023-07-10T00:00:00"/>
    <n v="1749"/>
    <n v="19529"/>
    <s v="56378698"/>
    <s v="56378698"/>
    <m/>
    <m/>
    <n v="22781026"/>
    <m/>
    <m/>
    <m/>
    <s v="SOLFIN"/>
    <s v="SOLFIN"/>
    <s v="CCMS"/>
    <n v="21350058"/>
    <n v="15196.66"/>
    <m/>
    <s v="N"/>
    <n v="17"/>
    <d v="2023-07-10T19:02:12"/>
    <s v="Y"/>
    <s v="Preparation - other"/>
    <s v="Care Remuneration Hourly Rates"/>
    <s v="Profit Cost"/>
    <s v="RLA"/>
    <s v="Y"/>
    <n v="12.09"/>
    <n v="2.42"/>
    <x v="2"/>
    <s v="VALIDATED"/>
    <n v="1"/>
    <s v="01.11.80.308.6100.0000"/>
    <n v="12.09"/>
    <s v="11"/>
    <s v="6100"/>
    <n v="41014.84"/>
    <n v="12.09"/>
    <s v="CREDITOR"/>
    <n v="0"/>
    <n v="0"/>
    <n v="0"/>
    <n v="0"/>
    <n v="12.09"/>
  </r>
  <r>
    <n v="56378698"/>
    <s v="N"/>
    <n v="21350058"/>
    <s v="3000013381950016"/>
    <s v="CIVIL"/>
    <d v="2023-06-28T00:00:00"/>
    <d v="2023-07-10T19:01:40"/>
    <m/>
    <d v="2023-07-10T00:00:00"/>
    <n v="1749"/>
    <n v="19529"/>
    <s v="56378698"/>
    <s v="56378698"/>
    <m/>
    <m/>
    <n v="22781026"/>
    <m/>
    <m/>
    <m/>
    <s v="SOLFIN"/>
    <s v="SOLFIN"/>
    <s v="CCMS"/>
    <n v="21350058"/>
    <n v="15196.66"/>
    <m/>
    <s v="N"/>
    <n v="52"/>
    <d v="2023-07-10T19:02:12"/>
    <s v="Y"/>
    <s v="Preparation - other"/>
    <s v="Care Remuneration Hourly Rates"/>
    <s v="Profit Cost"/>
    <s v="RLA"/>
    <s v="Y"/>
    <n v="6.05"/>
    <n v="1.21"/>
    <x v="2"/>
    <s v="VALIDATED"/>
    <n v="1"/>
    <s v="01.11.80.308.6100.0000"/>
    <n v="6.05"/>
    <s v="11"/>
    <s v="6100"/>
    <n v="41014.84"/>
    <n v="6.05"/>
    <s v="CREDITOR"/>
    <n v="0"/>
    <n v="0"/>
    <n v="0"/>
    <n v="0"/>
    <n v="6.05"/>
  </r>
  <r>
    <n v="56441235"/>
    <s v="N"/>
    <n v="21319150"/>
    <s v="3000013424330001"/>
    <s v="CIVIL"/>
    <d v="2023-06-22T00:00:00"/>
    <d v="2023-07-03T19:01:49"/>
    <m/>
    <d v="2023-07-03T00:00:00"/>
    <n v="1749"/>
    <n v="19529"/>
    <s v="56441235"/>
    <s v="56441235"/>
    <m/>
    <m/>
    <n v="22744590"/>
    <m/>
    <m/>
    <m/>
    <s v="SOLFIN"/>
    <s v="SOLFIN"/>
    <s v="CCMS"/>
    <n v="21319150"/>
    <n v="0"/>
    <m/>
    <s v="N"/>
    <n v="1"/>
    <d v="2023-07-03T19:02:13"/>
    <s v="N"/>
    <s v="NIL BILL"/>
    <s v="Public Law Children"/>
    <s v="Profit Cost"/>
    <s v="rla"/>
    <s v="N"/>
    <n v="0"/>
    <n v="0"/>
    <x v="3"/>
    <s v="VALIDATED"/>
    <n v="1"/>
    <s v="01.11.80.308.6100.0000"/>
    <n v="0"/>
    <s v="11"/>
    <s v="6100"/>
    <n v="41014.84"/>
    <n v="0"/>
    <s v="CREDITOR"/>
    <n v="0"/>
    <n v="0"/>
    <n v="0"/>
    <n v="0"/>
    <n v="0"/>
  </r>
  <r>
    <n v="56378698"/>
    <s v="N"/>
    <n v="21350058"/>
    <s v="3000013381950016"/>
    <s v="CIVIL"/>
    <d v="2023-06-28T00:00:00"/>
    <d v="2023-07-10T19:01:40"/>
    <m/>
    <d v="2023-07-10T00:00:00"/>
    <n v="1749"/>
    <n v="19529"/>
    <s v="56378698"/>
    <s v="56378698"/>
    <m/>
    <m/>
    <n v="22781026"/>
    <m/>
    <m/>
    <m/>
    <s v="SOLFIN"/>
    <s v="SOLFIN"/>
    <s v="CCMS"/>
    <n v="21350058"/>
    <n v="15196.66"/>
    <m/>
    <s v="N"/>
    <n v="21"/>
    <d v="2023-07-10T19:02:12"/>
    <s v="Y"/>
    <s v="Preparation - other"/>
    <s v="Care Remuneration Hourly Rates"/>
    <s v="Profit Cost"/>
    <s v="RLA"/>
    <s v="Y"/>
    <n v="18.14"/>
    <n v="3.63"/>
    <x v="2"/>
    <s v="VALIDATED"/>
    <n v="1"/>
    <s v="01.11.80.308.6100.0000"/>
    <n v="18.14"/>
    <s v="11"/>
    <s v="6100"/>
    <n v="41014.84"/>
    <n v="18.14"/>
    <s v="CREDITOR"/>
    <n v="0"/>
    <n v="0"/>
    <n v="0"/>
    <n v="0"/>
    <n v="18.14"/>
  </r>
  <r>
    <n v="56378698"/>
    <s v="N"/>
    <n v="21350058"/>
    <s v="3000013381950016"/>
    <s v="CIVIL"/>
    <d v="2023-06-28T00:00:00"/>
    <d v="2023-07-10T19:01:40"/>
    <m/>
    <d v="2023-07-10T00:00:00"/>
    <n v="1749"/>
    <n v="19529"/>
    <s v="56378698"/>
    <s v="56378698"/>
    <m/>
    <m/>
    <n v="22781026"/>
    <m/>
    <m/>
    <m/>
    <s v="SOLFIN"/>
    <s v="SOLFIN"/>
    <s v="CCMS"/>
    <n v="21350058"/>
    <n v="15196.66"/>
    <m/>
    <s v="N"/>
    <n v="28"/>
    <d v="2023-07-10T19:02:12"/>
    <s v="Y"/>
    <s v="Preparation - other"/>
    <s v="Care Remuneration Hourly Rates"/>
    <s v="Profit Cost"/>
    <s v="LW"/>
    <s v="Y"/>
    <n v="10.51"/>
    <n v="2.1"/>
    <x v="2"/>
    <s v="VALIDATED"/>
    <n v="1"/>
    <s v="01.11.80.308.6100.0000"/>
    <n v="10.51"/>
    <s v="11"/>
    <s v="6100"/>
    <n v="41014.84"/>
    <n v="10.51"/>
    <s v="CREDITOR"/>
    <n v="0"/>
    <n v="0"/>
    <n v="0"/>
    <n v="0"/>
    <n v="10.51"/>
  </r>
  <r>
    <n v="60309343"/>
    <s v="N"/>
    <n v="21319986"/>
    <s v="3000014610440025"/>
    <s v="CIVIL"/>
    <d v="2023-06-26T00:00:00"/>
    <d v="2023-07-03T19:04:24"/>
    <m/>
    <d v="2023-07-03T00:00:00"/>
    <n v="1749"/>
    <n v="19529"/>
    <s v="60309343"/>
    <s v="60309343"/>
    <m/>
    <m/>
    <n v="22763414"/>
    <m/>
    <m/>
    <m/>
    <s v="SOLFIN"/>
    <s v="SOLFIN"/>
    <s v="CCMS"/>
    <n v="21319986"/>
    <n v="17867.12"/>
    <m/>
    <s v="N"/>
    <n v="12"/>
    <d v="2023-07-03T19:04:28"/>
    <s v="Y"/>
    <s v="Court Fee"/>
    <s v="VHCC"/>
    <s v="Non Expert Disbursement"/>
    <s v="HMCTS ISSUE FEE"/>
    <s v="Y"/>
    <n v="167"/>
    <n v="0"/>
    <x v="3"/>
    <s v="VALIDATED"/>
    <n v="1"/>
    <s v="01.11.80.308.6300.0000"/>
    <n v="167"/>
    <s v="11"/>
    <s v="6300"/>
    <n v="41014.84"/>
    <n v="167"/>
    <s v="CREDITOR"/>
    <n v="0"/>
    <n v="0"/>
    <n v="0"/>
    <n v="0"/>
    <n v="167"/>
  </r>
  <r>
    <n v="56378698"/>
    <s v="N"/>
    <n v="21350058"/>
    <s v="3000013381950016"/>
    <s v="CIVIL"/>
    <d v="2023-06-28T00:00:00"/>
    <d v="2023-07-10T19:01:40"/>
    <m/>
    <d v="2023-07-10T00:00:00"/>
    <n v="1749"/>
    <n v="19529"/>
    <s v="56378698"/>
    <s v="56378698"/>
    <m/>
    <m/>
    <n v="22781026"/>
    <m/>
    <m/>
    <m/>
    <s v="SOLFIN"/>
    <s v="SOLFIN"/>
    <s v="CCMS"/>
    <n v="21350058"/>
    <n v="15196.66"/>
    <m/>
    <s v="N"/>
    <n v="130"/>
    <d v="2023-07-10T19:02:12"/>
    <s v="Y"/>
    <s v="Hearing Unit 2.31 - 5.00 Hours"/>
    <s v="Public Law Children"/>
    <s v="Advocacy"/>
    <s v="RLA"/>
    <s v="Y"/>
    <n v="476.92"/>
    <n v="95.38"/>
    <x v="2"/>
    <s v="VALIDATED"/>
    <n v="1"/>
    <s v="01.11.80.308.6100.0000"/>
    <n v="476.92"/>
    <s v="11"/>
    <s v="6100"/>
    <n v="41014.84"/>
    <n v="476.92"/>
    <s v="CREDITOR"/>
    <n v="0"/>
    <n v="0"/>
    <n v="0"/>
    <n v="0"/>
    <n v="476.92"/>
  </r>
  <r>
    <n v="56378698"/>
    <s v="N"/>
    <n v="21350058"/>
    <s v="3000013381950016"/>
    <s v="CIVIL"/>
    <d v="2023-06-28T00:00:00"/>
    <d v="2023-07-10T19:01:40"/>
    <m/>
    <d v="2023-07-10T00:00:00"/>
    <n v="1749"/>
    <n v="19529"/>
    <s v="56378698"/>
    <s v="56378698"/>
    <m/>
    <m/>
    <n v="22781026"/>
    <m/>
    <m/>
    <m/>
    <s v="SOLFIN"/>
    <s v="SOLFIN"/>
    <s v="CCMS"/>
    <n v="21350058"/>
    <n v="15196.66"/>
    <m/>
    <s v="N"/>
    <n v="135"/>
    <d v="2023-07-10T19:02:12"/>
    <s v="Y"/>
    <s v="Hearing Unit 1.01 - 2.30 Hours"/>
    <s v="Public Law Children"/>
    <s v="Advocacy"/>
    <s v="RLA"/>
    <s v="Y"/>
    <n v="238.46"/>
    <n v="47.69"/>
    <x v="2"/>
    <s v="VALIDATED"/>
    <n v="1"/>
    <s v="01.11.80.308.6100.0000"/>
    <n v="238.46"/>
    <s v="11"/>
    <s v="6100"/>
    <n v="41014.84"/>
    <n v="238.46"/>
    <s v="CREDITOR"/>
    <n v="0"/>
    <n v="0"/>
    <n v="0"/>
    <n v="0"/>
    <n v="238.46"/>
  </r>
  <r>
    <n v="56378698"/>
    <s v="N"/>
    <n v="21350058"/>
    <s v="3000013381950016"/>
    <s v="CIVIL"/>
    <d v="2023-06-28T00:00:00"/>
    <d v="2023-07-10T19:01:40"/>
    <m/>
    <d v="2023-07-10T00:00:00"/>
    <n v="1749"/>
    <n v="19529"/>
    <s v="56378698"/>
    <s v="56378698"/>
    <m/>
    <m/>
    <n v="22781026"/>
    <m/>
    <m/>
    <m/>
    <s v="SOLFIN"/>
    <s v="SOLFIN"/>
    <s v="CCMS"/>
    <n v="21350058"/>
    <n v="15196.66"/>
    <m/>
    <s v="N"/>
    <n v="114"/>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34"/>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48"/>
    <d v="2023-07-10T19:02:12"/>
    <s v="Y"/>
    <s v="Preparation - other"/>
    <s v="Care Remuneration Hourly Rates"/>
    <s v="Profit Cost"/>
    <s v="LW"/>
    <s v="Y"/>
    <n v="10.51"/>
    <n v="2.1"/>
    <x v="2"/>
    <s v="VALIDATED"/>
    <n v="1"/>
    <s v="01.11.80.308.6100.0000"/>
    <n v="10.51"/>
    <s v="11"/>
    <s v="6100"/>
    <n v="41014.84"/>
    <n v="10.51"/>
    <s v="CREDITOR"/>
    <n v="0"/>
    <n v="0"/>
    <n v="0"/>
    <n v="0"/>
    <n v="10.51"/>
  </r>
  <r>
    <n v="61568406"/>
    <s v="N"/>
    <n v="21337772"/>
    <s v="3000015669470011"/>
    <s v="CIVIL"/>
    <d v="2023-06-30T00:00:00"/>
    <d v="2023-07-06T19:21:01"/>
    <m/>
    <d v="2023-07-06T00:00:00"/>
    <n v="1749"/>
    <n v="19529"/>
    <s v="61568406"/>
    <s v="61568406"/>
    <m/>
    <m/>
    <n v="22800942"/>
    <m/>
    <m/>
    <m/>
    <s v="SOLPOA"/>
    <s v="SOLPOA"/>
    <s v="CCMS"/>
    <n v="21337772"/>
    <n v="50.4"/>
    <m/>
    <s v="N"/>
    <n v="1"/>
    <d v="2023-07-06T19:21:08"/>
    <s v="N"/>
    <s v="Expert Cost"/>
    <s v="Expert Cost"/>
    <s v="Expert Disbursement"/>
    <s v="BFL"/>
    <s v="N"/>
    <n v="50.4"/>
    <n v="0"/>
    <x v="4"/>
    <s v="VALIDATED"/>
    <n v="1"/>
    <s v="01.11.80.308.2012.0000"/>
    <n v="50.4"/>
    <s v="11"/>
    <s v="2012"/>
    <n v="41014.84"/>
    <n v="50.4"/>
    <s v="CREDITOR"/>
    <n v="50.4"/>
    <n v="0"/>
    <n v="0"/>
    <n v="0"/>
    <n v="0"/>
  </r>
  <r>
    <n v="61670453"/>
    <s v="N"/>
    <n v="21360465"/>
    <s v="3000015767050009"/>
    <s v="CIVIL"/>
    <d v="2023-06-30T00:00:00"/>
    <d v="2023-07-11T11:50:54"/>
    <m/>
    <d v="2023-07-11T00:00:00"/>
    <n v="1749"/>
    <n v="19529"/>
    <s v="61670453"/>
    <s v="61670453"/>
    <m/>
    <m/>
    <n v="22796560"/>
    <m/>
    <m/>
    <m/>
    <s v="SOLFIN"/>
    <s v="SOLFIN"/>
    <s v="CCMS"/>
    <n v="21360465"/>
    <n v="4113.27"/>
    <m/>
    <s v="N"/>
    <n v="2"/>
    <d v="2023-07-11T11:51:05"/>
    <s v="Y"/>
    <s v="DNA - preparation of report"/>
    <s v="Public Law Children"/>
    <s v="Expert Disbursement"/>
    <s v="DNA LEGAL"/>
    <s v="Y"/>
    <n v="93.33"/>
    <n v="18.67"/>
    <x v="7"/>
    <s v="VALIDATED"/>
    <n v="1"/>
    <s v="01.11.80.308.6300.0000"/>
    <n v="93.33"/>
    <s v="11"/>
    <s v="6300"/>
    <n v="41014.84"/>
    <n v="93.33"/>
    <s v="CREDITOR"/>
    <n v="0"/>
    <n v="0"/>
    <n v="0"/>
    <n v="0"/>
    <n v="93.33"/>
  </r>
  <r>
    <n v="60696754"/>
    <s v="N"/>
    <n v="21338339"/>
    <s v="3000014940080010"/>
    <s v="CIVIL"/>
    <d v="2023-06-26T00:00:00"/>
    <d v="2023-07-06T19:21:01"/>
    <m/>
    <d v="2023-07-06T00:00:00"/>
    <n v="1749"/>
    <n v="19529"/>
    <s v="60696754"/>
    <s v="60696754"/>
    <m/>
    <m/>
    <n v="22764422"/>
    <m/>
    <m/>
    <m/>
    <s v="SOLFIN"/>
    <s v="SOLFIN"/>
    <s v="CCMS"/>
    <n v="21338339"/>
    <n v="19664.59"/>
    <m/>
    <s v="N"/>
    <n v="6"/>
    <d v="2023-07-06T19:21:20"/>
    <s v="Y"/>
    <s v="Profit Costs (Summary)"/>
    <s v="Public Law Children"/>
    <s v="Profit Cost"/>
    <s v="Hazel Roberts"/>
    <s v="Y"/>
    <n v="8813.73"/>
    <n v="1762.75"/>
    <x v="4"/>
    <s v="VALIDATED"/>
    <n v="1"/>
    <s v="01.11.80.308.6100.0000"/>
    <n v="8813.73"/>
    <s v="11"/>
    <s v="6100"/>
    <n v="41014.84"/>
    <n v="8813.73"/>
    <s v="CREDITOR"/>
    <n v="0"/>
    <n v="0"/>
    <n v="0"/>
    <n v="0"/>
    <n v="8813.73"/>
  </r>
  <r>
    <n v="62179919"/>
    <s v="N"/>
    <n v="21370392"/>
    <s v="3000016165870001"/>
    <s v="CIVIL"/>
    <d v="2023-06-30T00:00:00"/>
    <d v="2023-07-13T19:21:05"/>
    <m/>
    <d v="2023-07-13T00:00:00"/>
    <n v="1749"/>
    <n v="19529"/>
    <s v="62179919"/>
    <s v="62179919"/>
    <m/>
    <m/>
    <n v="22794182"/>
    <m/>
    <m/>
    <m/>
    <s v="SOLFIN"/>
    <s v="SOLFIN"/>
    <s v="CCMS"/>
    <n v="21370392"/>
    <n v="1471.28"/>
    <m/>
    <s v="N"/>
    <n v="5"/>
    <d v="2023-07-13T19:21:24"/>
    <s v="Y"/>
    <s v="Routine Letter Out"/>
    <s v="Prescribed Hourly Rates"/>
    <s v="Profit Cost"/>
    <s v="HR"/>
    <s v="Y"/>
    <n v="124.14"/>
    <n v="24.83"/>
    <x v="11"/>
    <s v="VALIDATED"/>
    <n v="1"/>
    <s v="01.11.80.305.6100.0000"/>
    <n v="124.14"/>
    <s v="11"/>
    <s v="6100"/>
    <n v="41014.84"/>
    <n v="124.14"/>
    <s v="CREDITOR"/>
    <n v="0"/>
    <n v="0"/>
    <n v="0"/>
    <n v="0"/>
    <n v="124.14"/>
  </r>
  <r>
    <n v="56378698"/>
    <s v="N"/>
    <n v="21350058"/>
    <s v="3000013381950016"/>
    <s v="CIVIL"/>
    <d v="2023-06-28T00:00:00"/>
    <d v="2023-07-10T19:01:40"/>
    <m/>
    <d v="2023-07-10T00:00:00"/>
    <n v="1749"/>
    <n v="19529"/>
    <s v="56378698"/>
    <s v="56378698"/>
    <m/>
    <m/>
    <n v="22781026"/>
    <m/>
    <m/>
    <m/>
    <s v="SOLFIN"/>
    <s v="SOLFIN"/>
    <s v="CCMS"/>
    <n v="21350058"/>
    <n v="15196.66"/>
    <m/>
    <s v="N"/>
    <n v="120"/>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66"/>
    <d v="2023-07-10T19:02:12"/>
    <s v="Y"/>
    <s v="Preparation - other"/>
    <s v="Care Remuneration Hourly Rates"/>
    <s v="Profit Cost"/>
    <s v="ML"/>
    <s v="Y"/>
    <n v="73.59999999999999"/>
    <n v="14.72"/>
    <x v="2"/>
    <s v="VALIDATED"/>
    <n v="1"/>
    <s v="01.11.80.308.6100.0000"/>
    <n v="73.59999999999999"/>
    <s v="11"/>
    <s v="6100"/>
    <n v="41014.84"/>
    <n v="73.59999999999999"/>
    <s v="CREDITOR"/>
    <n v="0"/>
    <n v="0"/>
    <n v="0"/>
    <n v="0"/>
    <n v="73.59999999999999"/>
  </r>
  <r>
    <n v="56378698"/>
    <s v="N"/>
    <n v="21350058"/>
    <s v="3000013381950016"/>
    <s v="CIVIL"/>
    <d v="2023-06-28T00:00:00"/>
    <d v="2023-07-10T19:01:40"/>
    <m/>
    <d v="2023-07-10T00:00:00"/>
    <n v="1749"/>
    <n v="19529"/>
    <s v="56378698"/>
    <s v="56378698"/>
    <m/>
    <m/>
    <n v="22781026"/>
    <m/>
    <m/>
    <m/>
    <s v="SOLFIN"/>
    <s v="SOLFIN"/>
    <s v="CCMS"/>
    <n v="21350058"/>
    <n v="15196.66"/>
    <m/>
    <s v="N"/>
    <n v="72"/>
    <d v="2023-07-10T19:02:12"/>
    <s v="Y"/>
    <s v="Preparation - other"/>
    <s v="Care Remuneration Hourly Rates"/>
    <s v="Profit Cost"/>
    <s v="RLA"/>
    <s v="Y"/>
    <n v="18.14"/>
    <n v="3.63"/>
    <x v="2"/>
    <s v="VALIDATED"/>
    <n v="1"/>
    <s v="01.11.80.308.6100.0000"/>
    <n v="18.14"/>
    <s v="11"/>
    <s v="6100"/>
    <n v="41014.84"/>
    <n v="18.14"/>
    <s v="CREDITOR"/>
    <n v="0"/>
    <n v="0"/>
    <n v="0"/>
    <n v="0"/>
    <n v="18.14"/>
  </r>
  <r>
    <n v="56378698"/>
    <s v="N"/>
    <n v="21350058"/>
    <s v="3000013381950016"/>
    <s v="CIVIL"/>
    <d v="2023-06-28T00:00:00"/>
    <d v="2023-07-10T19:01:40"/>
    <m/>
    <d v="2023-07-10T00:00:00"/>
    <n v="1749"/>
    <n v="19529"/>
    <s v="56378698"/>
    <s v="56378698"/>
    <m/>
    <m/>
    <n v="22781026"/>
    <m/>
    <m/>
    <m/>
    <s v="SOLFIN"/>
    <s v="SOLFIN"/>
    <s v="CCMS"/>
    <n v="21350058"/>
    <n v="15196.66"/>
    <m/>
    <s v="N"/>
    <n v="89"/>
    <d v="2023-07-10T19:02:12"/>
    <s v="Y"/>
    <s v="Preparation - other"/>
    <s v="Care Remuneration Hourly Rates"/>
    <s v="Profit Cost"/>
    <s v="RLA"/>
    <s v="Y"/>
    <n v="18.14"/>
    <n v="3.63"/>
    <x v="2"/>
    <s v="VALIDATED"/>
    <n v="1"/>
    <s v="01.11.80.308.6100.0000"/>
    <n v="18.14"/>
    <s v="11"/>
    <s v="6100"/>
    <n v="41014.84"/>
    <n v="18.14"/>
    <s v="CREDITOR"/>
    <n v="0"/>
    <n v="0"/>
    <n v="0"/>
    <n v="0"/>
    <n v="18.14"/>
  </r>
  <r>
    <n v="56378698"/>
    <s v="N"/>
    <n v="21350058"/>
    <s v="3000013381950016"/>
    <s v="CIVIL"/>
    <d v="2023-06-28T00:00:00"/>
    <d v="2023-07-10T19:01:40"/>
    <m/>
    <d v="2023-07-10T00:00:00"/>
    <n v="1749"/>
    <n v="19529"/>
    <s v="56378698"/>
    <s v="56378698"/>
    <m/>
    <m/>
    <n v="22781026"/>
    <m/>
    <m/>
    <m/>
    <s v="SOLFIN"/>
    <s v="SOLFIN"/>
    <s v="CCMS"/>
    <n v="21350058"/>
    <n v="15196.66"/>
    <m/>
    <s v="N"/>
    <n v="132"/>
    <d v="2023-07-10T19:02:12"/>
    <s v="Y"/>
    <s v="Advocates Meeting"/>
    <s v="Public Law Children"/>
    <s v="Advocacy"/>
    <s v="RLA"/>
    <s v="Y"/>
    <n v="140.99"/>
    <n v="28.2"/>
    <x v="2"/>
    <s v="VALIDATED"/>
    <n v="1"/>
    <s v="01.11.80.308.6100.0000"/>
    <n v="140.99"/>
    <s v="11"/>
    <s v="6100"/>
    <n v="41014.84"/>
    <n v="140.99"/>
    <s v="CREDITOR"/>
    <n v="0"/>
    <n v="0"/>
    <n v="0"/>
    <n v="0"/>
    <n v="140.99"/>
  </r>
  <r>
    <n v="62161799"/>
    <s v="N"/>
    <n v="21323481"/>
    <s v="3000016167500004"/>
    <s v="CIVIL"/>
    <d v="2023-06-30T00:00:00"/>
    <d v="2023-07-03T19:05:56"/>
    <m/>
    <d v="2023-07-03T00:00:00"/>
    <n v="1749"/>
    <n v="19529"/>
    <s v="62161799"/>
    <s v="62161799"/>
    <m/>
    <m/>
    <n v="22795104"/>
    <m/>
    <m/>
    <m/>
    <s v="SOLPOA"/>
    <s v="SOLPOA"/>
    <s v="CCMS"/>
    <n v="21323481"/>
    <n v="333.44"/>
    <m/>
    <s v="N"/>
    <n v="1"/>
    <d v="2023-07-03T19:05:57"/>
    <s v="N"/>
    <s v="Expert Cost"/>
    <s v="Expert Cost"/>
    <s v="Expert Disbursement"/>
    <s v="BFL"/>
    <s v="N"/>
    <n v="277.87"/>
    <n v="55.57"/>
    <x v="3"/>
    <s v="VALIDATED"/>
    <n v="1"/>
    <s v="01.11.80.305.2012.0000"/>
    <n v="277.87"/>
    <s v="11"/>
    <s v="2012"/>
    <n v="41014.84"/>
    <n v="277.87"/>
    <s v="CREDITOR"/>
    <n v="277.87"/>
    <n v="0"/>
    <n v="0"/>
    <n v="0"/>
    <n v="0"/>
  </r>
  <r>
    <n v="60309343"/>
    <s v="N"/>
    <n v="21319986"/>
    <s v="3000014610440025"/>
    <s v="CIVIL"/>
    <d v="2023-06-26T00:00:00"/>
    <d v="2023-07-03T19:04:24"/>
    <m/>
    <d v="2023-07-03T00:00:00"/>
    <n v="1749"/>
    <n v="19529"/>
    <s v="60309343"/>
    <s v="60309343"/>
    <m/>
    <m/>
    <n v="22763414"/>
    <m/>
    <m/>
    <m/>
    <s v="SOLFIN"/>
    <s v="SOLFIN"/>
    <s v="CCMS"/>
    <n v="21319986"/>
    <n v="17867.12"/>
    <m/>
    <s v="N"/>
    <n v="13"/>
    <d v="2023-07-03T19:04:28"/>
    <s v="Y"/>
    <s v="Psychologist"/>
    <s v="VHCC"/>
    <s v="Expert Disbursement"/>
    <s v="FORESIGHT - inv 37428"/>
    <s v="Y"/>
    <n v="62.4"/>
    <n v="12.48"/>
    <x v="3"/>
    <s v="VALIDATED"/>
    <n v="1"/>
    <s v="01.11.80.308.6300.0000"/>
    <n v="62.4"/>
    <s v="11"/>
    <s v="6300"/>
    <n v="41014.84"/>
    <n v="62.4"/>
    <s v="CREDITOR"/>
    <n v="0"/>
    <n v="0"/>
    <n v="0"/>
    <n v="0"/>
    <n v="62.4"/>
  </r>
  <r>
    <n v="56378698"/>
    <s v="N"/>
    <n v="21350058"/>
    <s v="3000013381950016"/>
    <s v="CIVIL"/>
    <d v="2023-06-28T00:00:00"/>
    <d v="2023-07-10T19:01:40"/>
    <m/>
    <d v="2023-07-10T00:00:00"/>
    <n v="1749"/>
    <n v="19529"/>
    <s v="56378698"/>
    <s v="56378698"/>
    <m/>
    <m/>
    <n v="22781026"/>
    <m/>
    <m/>
    <m/>
    <s v="SOLFIN"/>
    <s v="SOLFIN"/>
    <s v="CCMS"/>
    <n v="21350058"/>
    <n v="15196.66"/>
    <m/>
    <s v="N"/>
    <n v="140"/>
    <d v="2023-07-10T19:02:12"/>
    <s v="Y"/>
    <s v="Advocates Meeting"/>
    <s v="Public Law Children"/>
    <s v="Advocacy"/>
    <s v="RLA"/>
    <s v="Y"/>
    <n v="140.99"/>
    <n v="28.2"/>
    <x v="2"/>
    <s v="VALIDATED"/>
    <n v="1"/>
    <s v="01.11.80.308.6100.0000"/>
    <n v="140.99"/>
    <s v="11"/>
    <s v="6100"/>
    <n v="41014.84"/>
    <n v="140.99"/>
    <s v="CREDITOR"/>
    <n v="0"/>
    <n v="0"/>
    <n v="0"/>
    <n v="0"/>
    <n v="140.99"/>
  </r>
  <r>
    <n v="62179919"/>
    <s v="N"/>
    <n v="21370392"/>
    <s v="3000016165870001"/>
    <s v="CIVIL"/>
    <d v="2023-06-30T00:00:00"/>
    <d v="2023-07-13T19:21:05"/>
    <m/>
    <d v="2023-07-13T00:00:00"/>
    <n v="1749"/>
    <n v="19529"/>
    <s v="62179919"/>
    <s v="62179919"/>
    <m/>
    <m/>
    <n v="22794182"/>
    <m/>
    <m/>
    <m/>
    <s v="SOLFIN"/>
    <s v="SOLFIN"/>
    <s v="CCMS"/>
    <n v="21370392"/>
    <n v="1471.28"/>
    <m/>
    <s v="N"/>
    <n v="2"/>
    <d v="2023-07-13T19:21:24"/>
    <s v="Y"/>
    <s v="Routine Letter In"/>
    <s v="Prescribed Hourly Rates"/>
    <s v="Profit Cost"/>
    <s v="AM/CLB"/>
    <s v="Y"/>
    <n v="163.8"/>
    <n v="32.76"/>
    <x v="11"/>
    <s v="VALIDATED"/>
    <n v="1"/>
    <s v="01.11.80.305.6100.0000"/>
    <n v="163.8"/>
    <s v="11"/>
    <s v="6100"/>
    <n v="41014.84"/>
    <n v="163.8"/>
    <s v="CREDITOR"/>
    <n v="0"/>
    <n v="0"/>
    <n v="0"/>
    <n v="0"/>
    <n v="163.8"/>
  </r>
  <r>
    <n v="62179919"/>
    <s v="N"/>
    <n v="21370392"/>
    <s v="3000016165870001"/>
    <s v="CIVIL"/>
    <d v="2023-06-30T00:00:00"/>
    <d v="2023-07-13T19:21:05"/>
    <m/>
    <d v="2023-07-13T00:00:00"/>
    <n v="1749"/>
    <n v="19529"/>
    <s v="62179919"/>
    <s v="62179919"/>
    <m/>
    <m/>
    <n v="22794182"/>
    <m/>
    <m/>
    <m/>
    <s v="SOLFIN"/>
    <s v="SOLFIN"/>
    <s v="CCMS"/>
    <n v="21370392"/>
    <n v="1471.28"/>
    <m/>
    <s v="N"/>
    <n v="17"/>
    <d v="2023-07-13T19:21:24"/>
    <s v="Y"/>
    <s v="Preparation - other"/>
    <s v="Prescribed Hourly Rates"/>
    <s v="Profit Cost"/>
    <s v="AN"/>
    <s v="Y"/>
    <n v="6.58"/>
    <n v="1.32"/>
    <x v="11"/>
    <s v="VALIDATED"/>
    <n v="1"/>
    <s v="01.11.80.305.6100.0000"/>
    <n v="6.58"/>
    <s v="11"/>
    <s v="6100"/>
    <n v="41014.84"/>
    <n v="6.58"/>
    <s v="CREDITOR"/>
    <n v="0"/>
    <n v="0"/>
    <n v="0"/>
    <n v="0"/>
    <n v="6.58"/>
  </r>
  <r>
    <n v="56378698"/>
    <s v="N"/>
    <n v="21350058"/>
    <s v="3000013381950016"/>
    <s v="CIVIL"/>
    <d v="2023-06-28T00:00:00"/>
    <d v="2023-07-10T19:01:40"/>
    <m/>
    <d v="2023-07-10T00:00:00"/>
    <n v="1749"/>
    <n v="19529"/>
    <s v="56378698"/>
    <s v="56378698"/>
    <m/>
    <m/>
    <n v="22781026"/>
    <m/>
    <m/>
    <m/>
    <s v="SOLFIN"/>
    <s v="SOLFIN"/>
    <s v="CCMS"/>
    <n v="21350058"/>
    <n v="15196.66"/>
    <m/>
    <s v="N"/>
    <n v="113"/>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69"/>
    <d v="2023-07-10T19:02:12"/>
    <s v="Y"/>
    <s v="Preparation - other"/>
    <s v="Care Remuneration Hourly Rates"/>
    <s v="Profit Cost"/>
    <s v="RLA"/>
    <s v="Y"/>
    <n v="12.09"/>
    <n v="2.42"/>
    <x v="2"/>
    <s v="VALIDATED"/>
    <n v="1"/>
    <s v="01.11.80.308.6100.0000"/>
    <n v="12.09"/>
    <s v="11"/>
    <s v="6100"/>
    <n v="41014.84"/>
    <n v="12.09"/>
    <s v="CREDITOR"/>
    <n v="0"/>
    <n v="0"/>
    <n v="0"/>
    <n v="0"/>
    <n v="12.09"/>
  </r>
  <r>
    <n v="61192903"/>
    <s v="N"/>
    <n v="21343528"/>
    <s v="3000015369980009"/>
    <s v="CIVIL"/>
    <d v="2023-06-27T00:00:00"/>
    <d v="2023-07-07T19:03:00"/>
    <m/>
    <d v="2023-07-07T00:00:00"/>
    <n v="1749"/>
    <n v="19529"/>
    <s v="61192903"/>
    <s v="61192903"/>
    <m/>
    <m/>
    <n v="22772176"/>
    <m/>
    <m/>
    <m/>
    <s v="SOLPOA"/>
    <s v="SOLPOA"/>
    <s v="CCMS"/>
    <n v="21343528"/>
    <n v="167"/>
    <m/>
    <s v="N"/>
    <n v="1"/>
    <d v="2023-07-07T19:03:10"/>
    <s v="N"/>
    <s v="Non Expert Disbursement"/>
    <s v="Non Expert Disbursement"/>
    <s v="Non Expert Disbursement"/>
    <s v="Berkson Family law"/>
    <s v="N"/>
    <n v="167"/>
    <n v="0"/>
    <x v="9"/>
    <s v="VALIDATED"/>
    <n v="1"/>
    <s v="01.11.80.308.2012.0000"/>
    <n v="167"/>
    <s v="11"/>
    <s v="2012"/>
    <n v="41014.84"/>
    <n v="167"/>
    <s v="CREDITOR"/>
    <n v="167"/>
    <n v="0"/>
    <n v="0"/>
    <n v="0"/>
    <n v="0"/>
  </r>
  <r>
    <n v="62179919"/>
    <s v="N"/>
    <n v="21370392"/>
    <s v="3000016165870001"/>
    <s v="CIVIL"/>
    <d v="2023-06-30T00:00:00"/>
    <d v="2023-07-13T19:21:05"/>
    <m/>
    <d v="2023-07-13T00:00:00"/>
    <n v="1749"/>
    <n v="19529"/>
    <s v="62179919"/>
    <s v="62179919"/>
    <m/>
    <m/>
    <n v="22794182"/>
    <m/>
    <m/>
    <m/>
    <s v="SOLFIN"/>
    <s v="SOLFIN"/>
    <s v="CCMS"/>
    <n v="21370392"/>
    <n v="1471.28"/>
    <m/>
    <s v="N"/>
    <n v="14"/>
    <d v="2023-07-13T19:21:24"/>
    <s v="Y"/>
    <s v="Attendance upon solicitor"/>
    <s v="Prescribed Hourly Rates"/>
    <s v="Profit Cost"/>
    <s v="HR"/>
    <s v="Y"/>
    <n v="75.61"/>
    <n v="15.12"/>
    <x v="11"/>
    <s v="VALIDATED"/>
    <n v="1"/>
    <s v="01.11.80.305.6100.0000"/>
    <n v="75.61"/>
    <s v="11"/>
    <s v="6100"/>
    <n v="41014.84"/>
    <n v="75.61"/>
    <s v="CREDITOR"/>
    <n v="0"/>
    <n v="0"/>
    <n v="0"/>
    <n v="0"/>
    <n v="75.61"/>
  </r>
  <r>
    <n v="56378698"/>
    <s v="N"/>
    <n v="21350058"/>
    <s v="3000013381950016"/>
    <s v="CIVIL"/>
    <d v="2023-06-28T00:00:00"/>
    <d v="2023-07-10T19:01:40"/>
    <m/>
    <d v="2023-07-10T00:00:00"/>
    <n v="1749"/>
    <n v="19529"/>
    <s v="56378698"/>
    <s v="56378698"/>
    <m/>
    <m/>
    <n v="22781026"/>
    <m/>
    <m/>
    <m/>
    <s v="SOLFIN"/>
    <s v="SOLFIN"/>
    <s v="CCMS"/>
    <n v="21350058"/>
    <n v="15196.66"/>
    <m/>
    <s v="N"/>
    <n v="64"/>
    <d v="2023-07-10T19:02:12"/>
    <s v="Y"/>
    <s v="Preparation - other"/>
    <s v="Care Remuneration Hourly Rates"/>
    <s v="Profit Cost"/>
    <s v="REB"/>
    <s v="Y"/>
    <n v="10.51"/>
    <n v="2.1"/>
    <x v="2"/>
    <s v="VALIDATED"/>
    <n v="1"/>
    <s v="01.11.80.308.6100.0000"/>
    <n v="10.51"/>
    <s v="11"/>
    <s v="6100"/>
    <n v="41014.84"/>
    <n v="10.51"/>
    <s v="CREDITOR"/>
    <n v="0"/>
    <n v="0"/>
    <n v="0"/>
    <n v="0"/>
    <n v="10.51"/>
  </r>
  <r>
    <n v="56378698"/>
    <s v="N"/>
    <n v="21350058"/>
    <s v="3000013381950016"/>
    <s v="CIVIL"/>
    <d v="2023-06-28T00:00:00"/>
    <d v="2023-07-10T19:01:40"/>
    <m/>
    <d v="2023-07-10T00:00:00"/>
    <n v="1749"/>
    <n v="19529"/>
    <s v="56378698"/>
    <s v="56378698"/>
    <m/>
    <m/>
    <n v="22781026"/>
    <m/>
    <m/>
    <m/>
    <s v="SOLFIN"/>
    <s v="SOLFIN"/>
    <s v="CCMS"/>
    <n v="21350058"/>
    <n v="15196.66"/>
    <m/>
    <s v="N"/>
    <n v="79"/>
    <d v="2023-07-10T19:02:12"/>
    <s v="Y"/>
    <s v="Preparation - other"/>
    <s v="Care Remuneration Hourly Rates"/>
    <s v="Profit Cost"/>
    <s v="LW"/>
    <s v="Y"/>
    <n v="5.26"/>
    <n v="1.05"/>
    <x v="2"/>
    <s v="VALIDATED"/>
    <n v="1"/>
    <s v="01.11.80.308.6100.0000"/>
    <n v="5.26"/>
    <s v="11"/>
    <s v="6100"/>
    <n v="41014.84"/>
    <n v="5.26"/>
    <s v="CREDITOR"/>
    <n v="0"/>
    <n v="0"/>
    <n v="0"/>
    <n v="0"/>
    <n v="5.26"/>
  </r>
  <r>
    <n v="62296670"/>
    <s v="N"/>
    <n v="21338193"/>
    <s v="3000016283880003"/>
    <s v="CIVIL"/>
    <d v="2023-06-30T00:00:00"/>
    <d v="2023-07-06T19:21:01"/>
    <m/>
    <d v="2023-07-06T00:00:00"/>
    <n v="1749"/>
    <n v="19529"/>
    <s v="62296670"/>
    <s v="62296670"/>
    <m/>
    <m/>
    <n v="22801140"/>
    <m/>
    <m/>
    <m/>
    <s v="SOLPOA"/>
    <s v="SOLPOA"/>
    <s v="CCMS"/>
    <n v="21338193"/>
    <n v="167"/>
    <m/>
    <s v="N"/>
    <n v="1"/>
    <d v="2023-07-06T19:21:12"/>
    <s v="N"/>
    <s v="Non Expert Disbursement"/>
    <s v="Non Expert Disbursement"/>
    <s v="Non Expert Disbursement"/>
    <s v="BFL"/>
    <s v="N"/>
    <n v="167"/>
    <n v="0"/>
    <x v="4"/>
    <s v="VALIDATED"/>
    <n v="1"/>
    <s v="01.11.80.308.2012.0000"/>
    <n v="167"/>
    <s v="11"/>
    <s v="2012"/>
    <n v="41014.84"/>
    <n v="167"/>
    <s v="CREDITOR"/>
    <n v="167"/>
    <n v="0"/>
    <n v="0"/>
    <n v="0"/>
    <n v="0"/>
  </r>
  <r>
    <n v="56378698"/>
    <s v="N"/>
    <n v="21350058"/>
    <s v="3000013381950016"/>
    <s v="CIVIL"/>
    <d v="2023-06-28T00:00:00"/>
    <d v="2023-07-10T19:01:40"/>
    <m/>
    <d v="2023-07-10T00:00:00"/>
    <n v="1749"/>
    <n v="19529"/>
    <s v="56378698"/>
    <s v="56378698"/>
    <m/>
    <m/>
    <n v="22781026"/>
    <m/>
    <m/>
    <m/>
    <s v="SOLFIN"/>
    <s v="SOLFIN"/>
    <s v="CCMS"/>
    <n v="21350058"/>
    <n v="15196.66"/>
    <m/>
    <s v="N"/>
    <n v="70"/>
    <d v="2023-07-10T19:02:12"/>
    <s v="Y"/>
    <s v="Preparation - other"/>
    <s v="Care Remuneration Hourly Rates"/>
    <s v="Profit Cost"/>
    <s v="LW"/>
    <s v="Y"/>
    <n v="10.51"/>
    <n v="2.1"/>
    <x v="2"/>
    <s v="VALIDATED"/>
    <n v="1"/>
    <s v="01.11.80.308.6100.0000"/>
    <n v="10.51"/>
    <s v="11"/>
    <s v="6100"/>
    <n v="41014.84"/>
    <n v="10.51"/>
    <s v="CREDITOR"/>
    <n v="0"/>
    <n v="0"/>
    <n v="0"/>
    <n v="0"/>
    <n v="10.51"/>
  </r>
  <r>
    <n v="56378698"/>
    <s v="N"/>
    <n v="21350058"/>
    <s v="3000013381950016"/>
    <s v="CIVIL"/>
    <d v="2023-06-28T00:00:00"/>
    <d v="2023-07-10T19:01:40"/>
    <m/>
    <d v="2023-07-10T00:00:00"/>
    <n v="1749"/>
    <n v="19529"/>
    <s v="56378698"/>
    <s v="56378698"/>
    <m/>
    <m/>
    <n v="22781026"/>
    <m/>
    <m/>
    <m/>
    <s v="SOLFIN"/>
    <s v="SOLFIN"/>
    <s v="CCMS"/>
    <n v="21350058"/>
    <n v="15196.66"/>
    <m/>
    <s v="N"/>
    <n v="11"/>
    <d v="2023-07-10T19:02:12"/>
    <s v="Y"/>
    <s v="Preparation - other"/>
    <s v="Care Remuneration Hourly Rates"/>
    <s v="Profit Cost"/>
    <s v="LW"/>
    <s v="Y"/>
    <n v="36.8"/>
    <n v="7.36"/>
    <x v="2"/>
    <s v="VALIDATED"/>
    <n v="1"/>
    <s v="01.11.80.308.6100.0000"/>
    <n v="36.8"/>
    <s v="11"/>
    <s v="6100"/>
    <n v="41014.84"/>
    <n v="36.8"/>
    <s v="CREDITOR"/>
    <n v="0"/>
    <n v="0"/>
    <n v="0"/>
    <n v="0"/>
    <n v="36.8"/>
  </r>
  <r>
    <n v="56378698"/>
    <s v="N"/>
    <n v="21350058"/>
    <s v="3000013381950016"/>
    <s v="CIVIL"/>
    <d v="2023-06-28T00:00:00"/>
    <d v="2023-07-10T19:01:40"/>
    <m/>
    <d v="2023-07-10T00:00:00"/>
    <n v="1749"/>
    <n v="19529"/>
    <s v="56378698"/>
    <s v="56378698"/>
    <m/>
    <m/>
    <n v="22781026"/>
    <m/>
    <m/>
    <m/>
    <s v="SOLFIN"/>
    <s v="SOLFIN"/>
    <s v="CCMS"/>
    <n v="21350058"/>
    <n v="15196.66"/>
    <m/>
    <s v="N"/>
    <n v="98"/>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26"/>
    <d v="2023-07-10T19:02:12"/>
    <s v="Y"/>
    <s v="Preparation - other"/>
    <s v="Care Remuneration Hourly Rates"/>
    <s v="Profit Cost"/>
    <s v="ML"/>
    <s v="Y"/>
    <n v="31.54"/>
    <n v="6.31"/>
    <x v="2"/>
    <s v="VALIDATED"/>
    <n v="1"/>
    <s v="01.11.80.308.6100.0000"/>
    <n v="31.54"/>
    <s v="11"/>
    <s v="6100"/>
    <n v="41014.84"/>
    <n v="31.54"/>
    <s v="CREDITOR"/>
    <n v="0"/>
    <n v="0"/>
    <n v="0"/>
    <n v="0"/>
    <n v="31.54"/>
  </r>
  <r>
    <n v="56378698"/>
    <s v="N"/>
    <n v="21350058"/>
    <s v="3000013381950016"/>
    <s v="CIVIL"/>
    <d v="2023-06-28T00:00:00"/>
    <d v="2023-07-10T19:01:40"/>
    <m/>
    <d v="2023-07-10T00:00:00"/>
    <n v="1749"/>
    <n v="19529"/>
    <s v="56378698"/>
    <s v="56378698"/>
    <m/>
    <m/>
    <n v="22781026"/>
    <m/>
    <m/>
    <m/>
    <s v="SOLFIN"/>
    <s v="SOLFIN"/>
    <s v="CCMS"/>
    <n v="21350058"/>
    <n v="15196.66"/>
    <m/>
    <s v="N"/>
    <n v="127"/>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39"/>
    <d v="2023-07-10T19:02:12"/>
    <s v="Y"/>
    <s v="Advocates Meeting"/>
    <s v="Public Law Children"/>
    <s v="Advocacy"/>
    <s v="RLA"/>
    <s v="Y"/>
    <n v="140.99"/>
    <n v="28.2"/>
    <x v="2"/>
    <s v="VALIDATED"/>
    <n v="1"/>
    <s v="01.11.80.308.6100.0000"/>
    <n v="140.99"/>
    <s v="11"/>
    <s v="6100"/>
    <n v="41014.84"/>
    <n v="140.99"/>
    <s v="CREDITOR"/>
    <n v="0"/>
    <n v="0"/>
    <n v="0"/>
    <n v="0"/>
    <n v="140.99"/>
  </r>
  <r>
    <n v="60527246"/>
    <s v="N"/>
    <n v="21319560"/>
    <s v="3000014794680025"/>
    <s v="CIVIL"/>
    <d v="2023-06-27T00:00:00"/>
    <d v="2023-07-03T19:04:24"/>
    <m/>
    <d v="2023-07-03T00:00:00"/>
    <n v="1749"/>
    <n v="19529"/>
    <s v="60527246"/>
    <s v="60527246"/>
    <m/>
    <m/>
    <n v="22774192"/>
    <m/>
    <m/>
    <m/>
    <s v="SOLPOA"/>
    <s v="SOLPOA"/>
    <s v="CCMS"/>
    <n v="21319560"/>
    <n v="49.5"/>
    <m/>
    <s v="N"/>
    <n v="1"/>
    <d v="2023-07-03T19:04:26"/>
    <s v="N"/>
    <s v="Expert Cost"/>
    <s v="Expert Cost"/>
    <s v="Expert Disbursement"/>
    <s v="Carter Brown Experts"/>
    <s v="N"/>
    <n v="41.25"/>
    <n v="8.25"/>
    <x v="3"/>
    <s v="VALIDATED"/>
    <n v="1"/>
    <s v="01.11.80.308.2012.0000"/>
    <n v="41.25"/>
    <s v="11"/>
    <s v="2012"/>
    <n v="41014.84"/>
    <n v="41.25"/>
    <s v="CREDITOR"/>
    <n v="41.25"/>
    <n v="0"/>
    <n v="0"/>
    <n v="0"/>
    <n v="0"/>
  </r>
  <r>
    <n v="61950772"/>
    <s v="N"/>
    <n v="21337781"/>
    <s v="3000015999650004"/>
    <s v="CIVIL"/>
    <d v="2023-06-30T00:00:00"/>
    <d v="2023-07-06T19:21:01"/>
    <m/>
    <d v="2023-07-06T00:00:00"/>
    <n v="1749"/>
    <n v="19529"/>
    <s v="61950772"/>
    <s v="61950772"/>
    <m/>
    <m/>
    <n v="22801190"/>
    <m/>
    <m/>
    <m/>
    <s v="SOLPOA"/>
    <s v="SOLPOA"/>
    <s v="CCMS"/>
    <n v="21337781"/>
    <n v="167"/>
    <m/>
    <s v="N"/>
    <n v="1"/>
    <d v="2023-07-06T19:21:08"/>
    <s v="N"/>
    <s v="Non Expert Disbursement"/>
    <s v="Non Expert Disbursement"/>
    <s v="Non Expert Disbursement"/>
    <s v="BFL"/>
    <s v="N"/>
    <n v="167"/>
    <n v="0"/>
    <x v="4"/>
    <s v="VALIDATED"/>
    <n v="1"/>
    <s v="01.11.80.308.2012.0000"/>
    <n v="167"/>
    <s v="11"/>
    <s v="2012"/>
    <n v="41014.84"/>
    <n v="167"/>
    <s v="CREDITOR"/>
    <n v="167"/>
    <n v="0"/>
    <n v="0"/>
    <n v="0"/>
    <n v="0"/>
  </r>
  <r>
    <n v="62179919"/>
    <s v="N"/>
    <n v="21370392"/>
    <s v="3000016165870001"/>
    <s v="CIVIL"/>
    <d v="2023-06-30T00:00:00"/>
    <d v="2023-07-13T19:21:05"/>
    <m/>
    <d v="2023-07-13T00:00:00"/>
    <n v="1749"/>
    <n v="19529"/>
    <s v="62179919"/>
    <s v="62179919"/>
    <m/>
    <m/>
    <n v="22794182"/>
    <m/>
    <m/>
    <m/>
    <s v="SOLFIN"/>
    <s v="SOLFIN"/>
    <s v="CCMS"/>
    <n v="21370392"/>
    <n v="1471.28"/>
    <m/>
    <s v="N"/>
    <n v="22"/>
    <d v="2023-07-13T19:21:24"/>
    <s v="Y"/>
    <s v="Preparation - other"/>
    <s v="Prescribed Hourly Rates"/>
    <s v="Profit Cost"/>
    <s v="HR"/>
    <s v="Y"/>
    <n v="30.25"/>
    <n v="6.05"/>
    <x v="11"/>
    <s v="VALIDATED"/>
    <n v="1"/>
    <s v="01.11.80.305.6100.0000"/>
    <n v="30.25"/>
    <s v="11"/>
    <s v="6100"/>
    <n v="41014.84"/>
    <n v="30.25"/>
    <s v="CREDITOR"/>
    <n v="0"/>
    <n v="0"/>
    <n v="0"/>
    <n v="0"/>
    <n v="30.25"/>
  </r>
  <r>
    <n v="62179919"/>
    <s v="N"/>
    <n v="21370392"/>
    <s v="3000016165870001"/>
    <s v="CIVIL"/>
    <d v="2023-06-30T00:00:00"/>
    <d v="2023-07-13T19:21:05"/>
    <m/>
    <d v="2023-07-13T00:00:00"/>
    <n v="1749"/>
    <n v="19529"/>
    <s v="62179919"/>
    <s v="62179919"/>
    <m/>
    <m/>
    <n v="22794182"/>
    <m/>
    <m/>
    <m/>
    <s v="SOLFIN"/>
    <s v="SOLFIN"/>
    <s v="CCMS"/>
    <n v="21370392"/>
    <n v="1471.28"/>
    <m/>
    <s v="N"/>
    <n v="7"/>
    <d v="2023-07-13T19:21:24"/>
    <s v="Y"/>
    <s v="Preparation - other"/>
    <s v="Prescribed Hourly Rates"/>
    <s v="Profit Cost"/>
    <s v="CLB"/>
    <s v="Y"/>
    <n v="6.58"/>
    <n v="1.32"/>
    <x v="11"/>
    <s v="VALIDATED"/>
    <n v="1"/>
    <s v="01.11.80.305.6100.0000"/>
    <n v="6.58"/>
    <s v="11"/>
    <s v="6100"/>
    <n v="41014.84"/>
    <n v="6.58"/>
    <s v="CREDITOR"/>
    <n v="0"/>
    <n v="0"/>
    <n v="0"/>
    <n v="0"/>
    <n v="6.58"/>
  </r>
  <r>
    <n v="56378698"/>
    <s v="N"/>
    <n v="21350058"/>
    <s v="3000013381950016"/>
    <s v="CIVIL"/>
    <d v="2023-06-28T00:00:00"/>
    <d v="2023-07-10T19:01:40"/>
    <m/>
    <d v="2023-07-10T00:00:00"/>
    <n v="1749"/>
    <n v="19529"/>
    <s v="56378698"/>
    <s v="56378698"/>
    <m/>
    <m/>
    <n v="22781026"/>
    <m/>
    <m/>
    <m/>
    <s v="SOLFIN"/>
    <s v="SOLFIN"/>
    <s v="CCMS"/>
    <n v="21350058"/>
    <n v="15196.66"/>
    <m/>
    <s v="N"/>
    <n v="111"/>
    <d v="2023-07-10T19:02:12"/>
    <s v="Y"/>
    <s v="Preparation - other"/>
    <s v="Care Remuneration Hourly Rates"/>
    <s v="Profit Cost"/>
    <s v="RLA"/>
    <s v="Y"/>
    <n v="6.05"/>
    <n v="1.21"/>
    <x v="2"/>
    <s v="VALIDATED"/>
    <n v="1"/>
    <s v="01.11.80.308.6100.0000"/>
    <n v="6.05"/>
    <s v="11"/>
    <s v="6100"/>
    <n v="41014.84"/>
    <n v="6.05"/>
    <s v="CREDITOR"/>
    <n v="0"/>
    <n v="0"/>
    <n v="0"/>
    <n v="0"/>
    <n v="6.05"/>
  </r>
  <r>
    <n v="56378698"/>
    <s v="N"/>
    <n v="21350058"/>
    <s v="3000013381950016"/>
    <s v="CIVIL"/>
    <d v="2023-06-28T00:00:00"/>
    <d v="2023-07-10T19:01:40"/>
    <m/>
    <d v="2023-07-10T00:00:00"/>
    <n v="1749"/>
    <n v="19529"/>
    <s v="56378698"/>
    <s v="56378698"/>
    <m/>
    <m/>
    <n v="22781026"/>
    <m/>
    <m/>
    <m/>
    <s v="SOLFIN"/>
    <s v="SOLFIN"/>
    <s v="CCMS"/>
    <n v="21350058"/>
    <n v="15196.66"/>
    <m/>
    <s v="N"/>
    <n v="122"/>
    <d v="2023-07-10T19:02:12"/>
    <s v="Y"/>
    <s v="Preparation - other"/>
    <s v="Care Remuneration Hourly Rates"/>
    <s v="Profit Cost"/>
    <s v="JT"/>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55"/>
    <d v="2023-07-10T19:02:12"/>
    <s v="Y"/>
    <s v="Routine Letter In"/>
    <s v="Care Remuneration Hourly Rates"/>
    <s v="Profit Cost"/>
    <s v="RLA"/>
    <s v="Y"/>
    <n v="53.19"/>
    <n v="10.64"/>
    <x v="2"/>
    <s v="VALIDATED"/>
    <n v="1"/>
    <s v="01.11.80.308.6100.0000"/>
    <n v="53.19"/>
    <s v="11"/>
    <s v="6100"/>
    <n v="41014.84"/>
    <n v="53.19"/>
    <s v="CREDITOR"/>
    <n v="0"/>
    <n v="0"/>
    <n v="0"/>
    <n v="0"/>
    <n v="53.19"/>
  </r>
  <r>
    <n v="60309343"/>
    <s v="N"/>
    <n v="21319986"/>
    <s v="3000014610440025"/>
    <s v="CIVIL"/>
    <d v="2023-06-26T00:00:00"/>
    <d v="2023-07-03T19:04:24"/>
    <m/>
    <d v="2023-07-03T00:00:00"/>
    <n v="1749"/>
    <n v="19529"/>
    <s v="60309343"/>
    <s v="60309343"/>
    <m/>
    <m/>
    <n v="22763414"/>
    <m/>
    <m/>
    <m/>
    <s v="SOLFIN"/>
    <s v="SOLFIN"/>
    <s v="CCMS"/>
    <n v="21319986"/>
    <n v="17867.12"/>
    <m/>
    <s v="N"/>
    <n v="14"/>
    <d v="2023-07-03T19:04:28"/>
    <s v="Y"/>
    <s v="Case Management Conference (Events "/>
    <s v="VHCC"/>
    <s v="Profit Cost"/>
    <s v="HR"/>
    <s v="Y"/>
    <n v="3535"/>
    <n v="707"/>
    <x v="3"/>
    <s v="VALIDATED"/>
    <n v="1"/>
    <s v="01.11.80.308.6100.0000"/>
    <n v="3535"/>
    <s v="11"/>
    <s v="6100"/>
    <n v="41014.84"/>
    <n v="3535"/>
    <s v="CREDITOR"/>
    <n v="0"/>
    <n v="0"/>
    <n v="0"/>
    <n v="0"/>
    <n v="3535"/>
  </r>
  <r>
    <n v="56378698"/>
    <s v="N"/>
    <n v="21350058"/>
    <s v="3000013381950016"/>
    <s v="CIVIL"/>
    <d v="2023-06-28T00:00:00"/>
    <d v="2023-07-10T19:01:40"/>
    <m/>
    <d v="2023-07-10T00:00:00"/>
    <n v="1749"/>
    <n v="19529"/>
    <s v="56378698"/>
    <s v="56378698"/>
    <m/>
    <m/>
    <n v="22781026"/>
    <m/>
    <m/>
    <m/>
    <s v="SOLFIN"/>
    <s v="SOLFIN"/>
    <s v="CCMS"/>
    <n v="21350058"/>
    <n v="15196.66"/>
    <m/>
    <s v="N"/>
    <n v="137"/>
    <d v="2023-07-10T19:02:12"/>
    <s v="Y"/>
    <s v="Advocates Meeting"/>
    <s v="Public Law Children"/>
    <s v="Advocacy"/>
    <s v="RLA"/>
    <s v="Y"/>
    <n v="140.99"/>
    <n v="28.2"/>
    <x v="2"/>
    <s v="VALIDATED"/>
    <n v="1"/>
    <s v="01.11.80.308.6100.0000"/>
    <n v="140.99"/>
    <s v="11"/>
    <s v="6100"/>
    <n v="41014.84"/>
    <n v="140.99"/>
    <s v="CREDITOR"/>
    <n v="0"/>
    <n v="0"/>
    <n v="0"/>
    <n v="0"/>
    <n v="140.99"/>
  </r>
  <r>
    <n v="56378698"/>
    <s v="N"/>
    <n v="21350058"/>
    <s v="3000013381950016"/>
    <s v="CIVIL"/>
    <d v="2023-06-28T00:00:00"/>
    <d v="2023-07-10T19:01:40"/>
    <m/>
    <d v="2023-07-10T00:00:00"/>
    <n v="1749"/>
    <n v="19529"/>
    <s v="56378698"/>
    <s v="56378698"/>
    <m/>
    <m/>
    <n v="22781026"/>
    <m/>
    <m/>
    <m/>
    <s v="SOLFIN"/>
    <s v="SOLFIN"/>
    <s v="CCMS"/>
    <n v="21350058"/>
    <n v="15196.66"/>
    <m/>
    <s v="N"/>
    <n v="77"/>
    <d v="2023-07-10T19:02:12"/>
    <s v="Y"/>
    <s v="Preparation - other"/>
    <s v="Care Remuneration Hourly Rates"/>
    <s v="Profit Cost"/>
    <s v="LW"/>
    <s v="Y"/>
    <n v="15.77"/>
    <n v="3.15"/>
    <x v="2"/>
    <s v="VALIDATED"/>
    <n v="1"/>
    <s v="01.11.80.308.6100.0000"/>
    <n v="15.77"/>
    <s v="11"/>
    <s v="6100"/>
    <n v="41014.84"/>
    <n v="15.77"/>
    <s v="CREDITOR"/>
    <n v="0"/>
    <n v="0"/>
    <n v="0"/>
    <n v="0"/>
    <n v="15.77"/>
  </r>
  <r>
    <n v="62179919"/>
    <s v="N"/>
    <n v="21370392"/>
    <s v="3000016165870001"/>
    <s v="CIVIL"/>
    <d v="2023-06-30T00:00:00"/>
    <d v="2023-07-13T19:21:05"/>
    <m/>
    <d v="2023-07-13T00:00:00"/>
    <n v="1749"/>
    <n v="19529"/>
    <s v="62179919"/>
    <s v="62179919"/>
    <m/>
    <m/>
    <n v="22794182"/>
    <m/>
    <m/>
    <m/>
    <s v="SOLFIN"/>
    <s v="SOLFIN"/>
    <s v="CCMS"/>
    <n v="21370392"/>
    <n v="1471.28"/>
    <m/>
    <s v="N"/>
    <n v="6"/>
    <d v="2023-07-13T19:21:24"/>
    <s v="Y"/>
    <s v="Preparation - drafting bill/claim f"/>
    <s v="Prescribed Hourly Rates"/>
    <s v="Profit Cost"/>
    <s v="JT"/>
    <s v="Y"/>
    <n v="26.3"/>
    <n v="5.26"/>
    <x v="11"/>
    <s v="VALIDATED"/>
    <n v="1"/>
    <s v="01.11.80.305.6100.0000"/>
    <n v="26.3"/>
    <s v="11"/>
    <s v="6100"/>
    <n v="41014.84"/>
    <n v="26.3"/>
    <s v="CREDITOR"/>
    <n v="0"/>
    <n v="0"/>
    <n v="0"/>
    <n v="0"/>
    <n v="26.3"/>
  </r>
  <r>
    <n v="59562368"/>
    <s v="N"/>
    <n v="21319713"/>
    <s v="3000013959580027"/>
    <s v="CIVIL"/>
    <d v="2023-06-28T00:00:00"/>
    <d v="2023-07-03T19:04:24"/>
    <m/>
    <d v="2023-07-03T00:00:00"/>
    <n v="1749"/>
    <n v="19529"/>
    <s v="59562368"/>
    <s v="59562368"/>
    <m/>
    <m/>
    <n v="22777900"/>
    <m/>
    <m/>
    <m/>
    <s v="SOLPOA"/>
    <s v="SOLPOA"/>
    <s v="CCMS"/>
    <n v="21319713"/>
    <n v="63"/>
    <m/>
    <s v="N"/>
    <n v="1"/>
    <d v="2023-07-03T19:04:27"/>
    <s v="N"/>
    <s v="Non Expert Disbursement"/>
    <s v="Non Expert Disbursement"/>
    <s v="Non Expert Disbursement"/>
    <s v="Clare Lamb"/>
    <s v="N"/>
    <n v="52.5"/>
    <n v="10.5"/>
    <x v="3"/>
    <s v="VALIDATED"/>
    <n v="1"/>
    <s v="01.11.80.308.2012.0000"/>
    <n v="52.5"/>
    <s v="11"/>
    <s v="2012"/>
    <n v="41014.84"/>
    <n v="52.5"/>
    <s v="CREDITOR"/>
    <n v="52.5"/>
    <n v="0"/>
    <n v="0"/>
    <n v="0"/>
    <n v="0"/>
  </r>
  <r>
    <n v="62179919"/>
    <s v="N"/>
    <n v="21370392"/>
    <s v="3000016165870001"/>
    <s v="CIVIL"/>
    <d v="2023-06-30T00:00:00"/>
    <d v="2023-07-13T19:21:05"/>
    <m/>
    <d v="2023-07-13T00:00:00"/>
    <n v="1749"/>
    <n v="19529"/>
    <s v="62179919"/>
    <s v="62179919"/>
    <m/>
    <m/>
    <n v="22794182"/>
    <m/>
    <m/>
    <m/>
    <s v="SOLFIN"/>
    <s v="SOLFIN"/>
    <s v="CCMS"/>
    <n v="21370392"/>
    <n v="1471.28"/>
    <m/>
    <s v="N"/>
    <n v="25"/>
    <d v="2023-07-13T19:21:24"/>
    <s v="Y"/>
    <s v="Preparation - other"/>
    <s v="Prescribed Hourly Rates"/>
    <s v="Profit Cost"/>
    <s v="AM"/>
    <s v="Y"/>
    <n v="6.58"/>
    <n v="1.32"/>
    <x v="11"/>
    <s v="VALIDATED"/>
    <n v="1"/>
    <s v="01.11.80.305.6100.0000"/>
    <n v="6.58"/>
    <s v="11"/>
    <s v="6100"/>
    <n v="41014.84"/>
    <n v="6.58"/>
    <s v="CREDITOR"/>
    <n v="0"/>
    <n v="0"/>
    <n v="0"/>
    <n v="0"/>
    <n v="6.58"/>
  </r>
  <r>
    <n v="56444164"/>
    <s v="N"/>
    <n v="21408811"/>
    <s v="3000013435250042"/>
    <s v="CIVIL"/>
    <d v="2023-06-16T00:00:00"/>
    <d v="2023-07-21T10:00:02"/>
    <m/>
    <d v="2023-07-21T00:00:00"/>
    <n v="1749"/>
    <n v="19529"/>
    <s v="56444164"/>
    <s v="56444164"/>
    <m/>
    <m/>
    <n v="22705632"/>
    <m/>
    <m/>
    <m/>
    <s v="SOLPOA"/>
    <s v="SOLPOA"/>
    <s v="CCMS"/>
    <n v="21408811"/>
    <n v="274.84"/>
    <m/>
    <s v="N"/>
    <n v="1"/>
    <d v="2023-07-21T10:00:11"/>
    <s v="N"/>
    <s v="Expert Cost"/>
    <s v="Expert Cost"/>
    <s v="Expert Disbursement"/>
    <s v="Darren Matthews"/>
    <s v="N"/>
    <n v="229.03"/>
    <n v="45.81"/>
    <x v="12"/>
    <s v="VALIDATED"/>
    <n v="1"/>
    <s v="01.11.80.308.2012.0000"/>
    <n v="229.03"/>
    <s v="11"/>
    <s v="2012"/>
    <n v="41014.84"/>
    <n v="229.03"/>
    <s v="CREDITOR"/>
    <n v="229.03"/>
    <n v="0"/>
    <n v="0"/>
    <n v="0"/>
    <n v="0"/>
  </r>
  <r>
    <n v="62179919"/>
    <s v="N"/>
    <n v="21370392"/>
    <s v="3000016165870001"/>
    <s v="CIVIL"/>
    <d v="2023-06-30T00:00:00"/>
    <d v="2023-07-13T19:21:05"/>
    <m/>
    <d v="2023-07-13T00:00:00"/>
    <n v="1749"/>
    <n v="19529"/>
    <s v="62179919"/>
    <s v="62179919"/>
    <m/>
    <m/>
    <n v="22794182"/>
    <m/>
    <m/>
    <m/>
    <s v="SOLFIN"/>
    <s v="SOLFIN"/>
    <s v="CCMS"/>
    <n v="21370392"/>
    <n v="1471.28"/>
    <m/>
    <s v="N"/>
    <n v="16"/>
    <d v="2023-07-13T19:21:24"/>
    <s v="Y"/>
    <s v="Preparation - other"/>
    <s v="Prescribed Hourly Rates"/>
    <s v="Profit Cost"/>
    <s v="HR"/>
    <s v="Y"/>
    <n v="113.42"/>
    <n v="22.68"/>
    <x v="11"/>
    <s v="VALIDATED"/>
    <n v="1"/>
    <s v="01.11.80.305.6100.0000"/>
    <n v="113.42"/>
    <s v="11"/>
    <s v="6100"/>
    <n v="41014.84"/>
    <n v="113.42"/>
    <s v="CREDITOR"/>
    <n v="0"/>
    <n v="0"/>
    <n v="0"/>
    <n v="0"/>
    <n v="113.42"/>
  </r>
  <r>
    <n v="56378698"/>
    <s v="N"/>
    <n v="21350058"/>
    <s v="3000013381950016"/>
    <s v="CIVIL"/>
    <d v="2023-06-28T00:00:00"/>
    <d v="2023-07-10T19:01:40"/>
    <m/>
    <d v="2023-07-10T00:00:00"/>
    <n v="1749"/>
    <n v="19529"/>
    <s v="56378698"/>
    <s v="56378698"/>
    <m/>
    <m/>
    <n v="22781026"/>
    <m/>
    <m/>
    <m/>
    <s v="SOLFIN"/>
    <s v="SOLFIN"/>
    <s v="CCMS"/>
    <n v="21350058"/>
    <n v="15196.66"/>
    <m/>
    <s v="N"/>
    <n v="146"/>
    <d v="2023-07-10T19:02:12"/>
    <s v="Y"/>
    <s v="Hearing Unit 1.01 - 2.30 Hours"/>
    <s v="Public Law Children"/>
    <s v="Advocacy"/>
    <s v="RLA"/>
    <s v="Y"/>
    <n v="238.46"/>
    <n v="47.69"/>
    <x v="2"/>
    <s v="VALIDATED"/>
    <n v="1"/>
    <s v="01.11.80.308.6100.0000"/>
    <n v="238.46"/>
    <s v="11"/>
    <s v="6100"/>
    <n v="41014.84"/>
    <n v="238.46"/>
    <s v="CREDITOR"/>
    <n v="0"/>
    <n v="0"/>
    <n v="0"/>
    <n v="0"/>
    <n v="238.46"/>
  </r>
  <r>
    <n v="56378698"/>
    <s v="N"/>
    <n v="21350058"/>
    <s v="3000013381950016"/>
    <s v="CIVIL"/>
    <d v="2023-06-28T00:00:00"/>
    <d v="2023-07-10T19:01:40"/>
    <m/>
    <d v="2023-07-10T00:00:00"/>
    <n v="1749"/>
    <n v="19529"/>
    <s v="56378698"/>
    <s v="56378698"/>
    <m/>
    <m/>
    <n v="22781026"/>
    <m/>
    <m/>
    <m/>
    <s v="SOLFIN"/>
    <s v="SOLFIN"/>
    <s v="CCMS"/>
    <n v="21350058"/>
    <n v="15196.66"/>
    <m/>
    <s v="N"/>
    <n v="41"/>
    <d v="2023-07-10T19:02:12"/>
    <s v="Y"/>
    <s v="Preparation - other"/>
    <s v="Care Remuneration Hourly Rates"/>
    <s v="Profit Cost"/>
    <s v="RLA"/>
    <s v="Y"/>
    <n v="42.32"/>
    <n v="8.460000000000001"/>
    <x v="2"/>
    <s v="VALIDATED"/>
    <n v="1"/>
    <s v="01.11.80.308.6100.0000"/>
    <n v="42.32"/>
    <s v="11"/>
    <s v="6100"/>
    <n v="41014.84"/>
    <n v="42.32"/>
    <s v="CREDITOR"/>
    <n v="0"/>
    <n v="0"/>
    <n v="0"/>
    <n v="0"/>
    <n v="42.32"/>
  </r>
  <r>
    <n v="62248633"/>
    <s v="N"/>
    <n v="21349774"/>
    <s v="3000016248660001"/>
    <s v="CIVIL"/>
    <d v="2023-06-30T00:00:00"/>
    <d v="2023-07-10T19:01:40"/>
    <m/>
    <d v="2023-07-10T00:00:00"/>
    <n v="1749"/>
    <n v="19529"/>
    <s v="62248633"/>
    <s v="62248633"/>
    <m/>
    <m/>
    <n v="22796056"/>
    <m/>
    <m/>
    <m/>
    <s v="SOLFIN"/>
    <s v="SOLFIN"/>
    <s v="CCMS"/>
    <n v="21349774"/>
    <n v="609.83"/>
    <m/>
    <s v="N"/>
    <n v="15"/>
    <d v="2023-07-10T19:01:57"/>
    <s v="Y"/>
    <s v="Hearing Unit 1.01 - 2.30 Hours"/>
    <s v="Other Public Law Children"/>
    <s v="Advocacy"/>
    <s v="RA"/>
    <s v="Y"/>
    <n v="208.53"/>
    <n v="41.71"/>
    <x v="2"/>
    <s v="VALIDATED"/>
    <n v="1"/>
    <s v="01.11.80.308.6100.0000"/>
    <n v="208.53"/>
    <s v="11"/>
    <s v="6100"/>
    <n v="41014.84"/>
    <n v="208.53"/>
    <s v="CREDITOR"/>
    <n v="0"/>
    <n v="0"/>
    <n v="0"/>
    <n v="0"/>
    <n v="208.53"/>
  </r>
  <r>
    <n v="60309343"/>
    <s v="N"/>
    <n v="21319986"/>
    <s v="3000014610440025"/>
    <s v="CIVIL"/>
    <d v="2023-06-26T00:00:00"/>
    <d v="2023-07-03T19:04:24"/>
    <m/>
    <d v="2023-07-03T00:00:00"/>
    <n v="1749"/>
    <n v="19529"/>
    <s v="60309343"/>
    <s v="60309343"/>
    <m/>
    <m/>
    <n v="22763414"/>
    <m/>
    <m/>
    <m/>
    <s v="SOLFIN"/>
    <s v="SOLFIN"/>
    <s v="CCMS"/>
    <n v="21319986"/>
    <n v="17867.12"/>
    <m/>
    <s v="N"/>
    <n v="3"/>
    <d v="2023-07-03T19:04:28"/>
    <s v="Y"/>
    <s v="Psychologist"/>
    <s v="VHCC"/>
    <s v="Expert Disbursement"/>
    <s v="FORESIGHT - inv 35413"/>
    <s v="Y"/>
    <n v="156"/>
    <n v="31.2"/>
    <x v="3"/>
    <s v="VALIDATED"/>
    <n v="1"/>
    <s v="01.11.80.308.6300.0000"/>
    <n v="156"/>
    <s v="11"/>
    <s v="6300"/>
    <n v="41014.84"/>
    <n v="156"/>
    <s v="CREDITOR"/>
    <n v="0"/>
    <n v="0"/>
    <n v="0"/>
    <n v="0"/>
    <n v="156"/>
  </r>
  <r>
    <n v="56378698"/>
    <s v="N"/>
    <n v="21350058"/>
    <s v="3000013381950016"/>
    <s v="CIVIL"/>
    <d v="2023-06-28T00:00:00"/>
    <d v="2023-07-10T19:01:40"/>
    <m/>
    <d v="2023-07-10T00:00:00"/>
    <n v="1749"/>
    <n v="19529"/>
    <s v="56378698"/>
    <s v="56378698"/>
    <m/>
    <m/>
    <n v="22781026"/>
    <m/>
    <m/>
    <m/>
    <s v="SOLFIN"/>
    <s v="SOLFIN"/>
    <s v="CCMS"/>
    <n v="21350058"/>
    <n v="15196.66"/>
    <m/>
    <s v="N"/>
    <n v="118"/>
    <d v="2023-07-10T19:02:12"/>
    <s v="Y"/>
    <s v="Preparation - other"/>
    <s v="Care Remuneration Hourly Rates"/>
    <s v="Profit Cost"/>
    <s v="ASF"/>
    <s v="Y"/>
    <n v="6.05"/>
    <n v="1.21"/>
    <x v="2"/>
    <s v="VALIDATED"/>
    <n v="1"/>
    <s v="01.11.80.308.6100.0000"/>
    <n v="6.05"/>
    <s v="11"/>
    <s v="6100"/>
    <n v="41014.84"/>
    <n v="6.05"/>
    <s v="CREDITOR"/>
    <n v="0"/>
    <n v="0"/>
    <n v="0"/>
    <n v="0"/>
    <n v="6.05"/>
  </r>
  <r>
    <n v="56378698"/>
    <s v="N"/>
    <n v="21350058"/>
    <s v="3000013381950016"/>
    <s v="CIVIL"/>
    <d v="2023-06-28T00:00:00"/>
    <d v="2023-07-10T19:01:40"/>
    <m/>
    <d v="2023-07-10T00:00:00"/>
    <n v="1749"/>
    <n v="19529"/>
    <s v="56378698"/>
    <s v="56378698"/>
    <m/>
    <m/>
    <n v="22781026"/>
    <m/>
    <m/>
    <m/>
    <s v="SOLFIN"/>
    <s v="SOLFIN"/>
    <s v="CCMS"/>
    <n v="21350058"/>
    <n v="15196.66"/>
    <m/>
    <s v="N"/>
    <n v="33"/>
    <d v="2023-07-10T19:02:12"/>
    <s v="Y"/>
    <s v="Preparation - other"/>
    <s v="Care Remuneration Hourly Rates"/>
    <s v="Profit Cost"/>
    <s v="MEG"/>
    <s v="Y"/>
    <n v="10.51"/>
    <n v="2.1"/>
    <x v="2"/>
    <s v="VALIDATED"/>
    <n v="1"/>
    <s v="01.11.80.308.6100.0000"/>
    <n v="10.51"/>
    <s v="11"/>
    <s v="6100"/>
    <n v="41014.84"/>
    <n v="10.51"/>
    <s v="CREDITOR"/>
    <n v="0"/>
    <n v="0"/>
    <n v="0"/>
    <n v="0"/>
    <n v="10.51"/>
  </r>
  <r>
    <n v="60309343"/>
    <s v="N"/>
    <n v="21319986"/>
    <s v="3000014610440025"/>
    <s v="CIVIL"/>
    <d v="2023-06-26T00:00:00"/>
    <d v="2023-07-03T19:04:24"/>
    <m/>
    <d v="2023-07-03T00:00:00"/>
    <n v="1749"/>
    <n v="19529"/>
    <s v="60309343"/>
    <s v="60309343"/>
    <m/>
    <m/>
    <n v="22763414"/>
    <m/>
    <m/>
    <m/>
    <s v="SOLFIN"/>
    <s v="SOLFIN"/>
    <s v="CCMS"/>
    <n v="21319986"/>
    <n v="17867.12"/>
    <m/>
    <s v="N"/>
    <n v="1"/>
    <d v="2023-07-03T19:04:28"/>
    <s v="Y"/>
    <s v="Child psychologist"/>
    <s v="VHCC"/>
    <s v="Expert Disbursement"/>
    <s v="PSYLEWIS LTD - inv PSYL/1022/0H1"/>
    <s v="Y"/>
    <n v="1160.73"/>
    <n v="0"/>
    <x v="3"/>
    <s v="VALIDATED"/>
    <n v="1"/>
    <s v="01.11.80.308.6300.0000"/>
    <n v="1160.73"/>
    <s v="11"/>
    <s v="6300"/>
    <n v="41014.84"/>
    <n v="1160.73"/>
    <s v="CREDITOR"/>
    <n v="0"/>
    <n v="0"/>
    <n v="0"/>
    <n v="0"/>
    <n v="1160.73"/>
  </r>
  <r>
    <n v="60309343"/>
    <s v="N"/>
    <n v="21319986"/>
    <s v="3000014610440025"/>
    <s v="CIVIL"/>
    <d v="2023-06-26T00:00:00"/>
    <d v="2023-07-03T19:04:24"/>
    <m/>
    <d v="2023-07-03T00:00:00"/>
    <n v="1749"/>
    <n v="19529"/>
    <s v="60309343"/>
    <s v="60309343"/>
    <m/>
    <m/>
    <n v="22763414"/>
    <m/>
    <m/>
    <m/>
    <s v="SOLFIN"/>
    <s v="SOLFIN"/>
    <s v="CCMS"/>
    <n v="21319986"/>
    <n v="17867.12"/>
    <m/>
    <s v="N"/>
    <n v="10"/>
    <d v="2023-07-03T19:04:28"/>
    <s v="Y"/>
    <s v="Court Fee"/>
    <s v="VHCC"/>
    <s v="Non Expert Disbursement"/>
    <s v="HMCTS ISSUE FEE"/>
    <s v="Y"/>
    <n v="167"/>
    <n v="0"/>
    <x v="3"/>
    <s v="VALIDATED"/>
    <n v="1"/>
    <s v="01.11.80.308.6300.0000"/>
    <n v="167"/>
    <s v="11"/>
    <s v="6300"/>
    <n v="41014.84"/>
    <n v="167"/>
    <s v="CREDITOR"/>
    <n v="0"/>
    <n v="0"/>
    <n v="0"/>
    <n v="0"/>
    <n v="167"/>
  </r>
  <r>
    <n v="61670453"/>
    <s v="N"/>
    <n v="21360465"/>
    <s v="3000015767050009"/>
    <s v="CIVIL"/>
    <d v="2023-06-30T00:00:00"/>
    <d v="2023-07-11T11:50:54"/>
    <m/>
    <d v="2023-07-11T00:00:00"/>
    <n v="1749"/>
    <n v="19529"/>
    <s v="61670453"/>
    <s v="61670453"/>
    <m/>
    <m/>
    <n v="22796560"/>
    <m/>
    <m/>
    <m/>
    <s v="SOLFIN"/>
    <s v="SOLFIN"/>
    <s v="CCMS"/>
    <n v="21360465"/>
    <n v="4113.27"/>
    <m/>
    <s v="N"/>
    <n v="3"/>
    <d v="2023-07-11T11:51:05"/>
    <s v="Y"/>
    <s v="Expert - Other"/>
    <s v="Public Law Children"/>
    <s v="Expert Disbursement"/>
    <s v="LEXTOX - inv 290466"/>
    <s v="Y"/>
    <n v="732.03"/>
    <n v="146.41"/>
    <x v="7"/>
    <s v="VALIDATED"/>
    <n v="1"/>
    <s v="01.11.80.308.6300.0000"/>
    <n v="732.03"/>
    <s v="11"/>
    <s v="6300"/>
    <n v="41014.84"/>
    <n v="732.03"/>
    <s v="CREDITOR"/>
    <n v="0"/>
    <n v="0"/>
    <n v="0"/>
    <n v="0"/>
    <n v="732.03"/>
  </r>
  <r>
    <n v="62371692"/>
    <s v="N"/>
    <n v="21337994"/>
    <s v="3000016345180001"/>
    <s v="CIVIL"/>
    <d v="2023-06-30T00:00:00"/>
    <d v="2023-07-06T19:21:01"/>
    <m/>
    <d v="2023-07-06T00:00:00"/>
    <n v="1749"/>
    <n v="19529"/>
    <s v="62371692"/>
    <s v="62371692"/>
    <m/>
    <m/>
    <n v="22800868"/>
    <m/>
    <m/>
    <m/>
    <s v="SOLPOA"/>
    <s v="SOLPOA"/>
    <s v="CCMS"/>
    <n v="21337994"/>
    <n v="167"/>
    <m/>
    <s v="N"/>
    <n v="1"/>
    <d v="2023-07-06T19:21:11"/>
    <s v="N"/>
    <s v="Non Expert Disbursement"/>
    <s v="Non Expert Disbursement"/>
    <s v="Non Expert Disbursement"/>
    <s v="ML"/>
    <s v="N"/>
    <n v="167"/>
    <n v="0"/>
    <x v="4"/>
    <s v="VALIDATED"/>
    <n v="1"/>
    <s v="01.11.80.305.2012.0000"/>
    <n v="167"/>
    <s v="11"/>
    <s v="2012"/>
    <n v="41014.84"/>
    <n v="167"/>
    <s v="CREDITOR"/>
    <n v="167"/>
    <n v="0"/>
    <n v="0"/>
    <n v="0"/>
    <n v="0"/>
  </r>
  <r>
    <n v="62277072"/>
    <s v="N"/>
    <n v="21323850"/>
    <s v="3000016267930004"/>
    <s v="CIVIL"/>
    <d v="2023-06-30T00:00:00"/>
    <d v="2023-07-03T19:05:56"/>
    <m/>
    <d v="2023-07-03T00:00:00"/>
    <n v="1749"/>
    <n v="19529"/>
    <s v="62277072"/>
    <s v="62277072"/>
    <m/>
    <m/>
    <n v="22798934"/>
    <m/>
    <m/>
    <m/>
    <s v="SOLPOA"/>
    <s v="SOLPOA"/>
    <s v="CCMS"/>
    <n v="21323850"/>
    <n v="301.18"/>
    <m/>
    <s v="N"/>
    <n v="1"/>
    <d v="2023-07-03T19:05:59"/>
    <s v="N"/>
    <s v="Non Expert Disbursement"/>
    <s v="Non Expert Disbursement"/>
    <s v="Non Expert Disbursement"/>
    <s v="Clare Lamb"/>
    <s v="N"/>
    <n v="250.98"/>
    <n v="50.2"/>
    <x v="3"/>
    <s v="VALIDATED"/>
    <n v="1"/>
    <s v="01.11.80.308.2012.0000"/>
    <n v="250.98"/>
    <s v="11"/>
    <s v="2012"/>
    <n v="41014.84"/>
    <n v="250.98"/>
    <s v="CREDITOR"/>
    <n v="250.98"/>
    <n v="0"/>
    <n v="0"/>
    <n v="0"/>
    <n v="0"/>
  </r>
  <r>
    <n v="62179919"/>
    <s v="N"/>
    <n v="21370392"/>
    <s v="3000016165870001"/>
    <s v="CIVIL"/>
    <d v="2023-06-30T00:00:00"/>
    <d v="2023-07-13T19:21:05"/>
    <m/>
    <d v="2023-07-13T00:00:00"/>
    <n v="1749"/>
    <n v="19529"/>
    <s v="62179919"/>
    <s v="62179919"/>
    <m/>
    <m/>
    <n v="22794182"/>
    <m/>
    <m/>
    <m/>
    <s v="SOLFIN"/>
    <s v="SOLFIN"/>
    <s v="CCMS"/>
    <n v="21370392"/>
    <n v="1471.28"/>
    <m/>
    <s v="N"/>
    <n v="9"/>
    <d v="2023-07-13T19:21:24"/>
    <s v="Y"/>
    <s v="Preparation - other"/>
    <s v="Prescribed Hourly Rates"/>
    <s v="Profit Cost"/>
    <s v="HR"/>
    <s v="Y"/>
    <n v="15.12"/>
    <n v="3.02"/>
    <x v="11"/>
    <s v="VALIDATED"/>
    <n v="1"/>
    <s v="01.11.80.305.6100.0000"/>
    <n v="15.12"/>
    <s v="11"/>
    <s v="6100"/>
    <n v="41014.84"/>
    <n v="15.12"/>
    <s v="CREDITOR"/>
    <n v="0"/>
    <n v="0"/>
    <n v="0"/>
    <n v="0"/>
    <n v="15.12"/>
  </r>
  <r>
    <n v="62248633"/>
    <s v="N"/>
    <n v="21349774"/>
    <s v="3000016248660001"/>
    <s v="CIVIL"/>
    <d v="2023-06-30T00:00:00"/>
    <d v="2023-07-10T19:01:40"/>
    <m/>
    <d v="2023-07-10T00:00:00"/>
    <n v="1749"/>
    <n v="19529"/>
    <s v="62248633"/>
    <s v="62248633"/>
    <m/>
    <m/>
    <n v="22796056"/>
    <m/>
    <m/>
    <m/>
    <s v="SOLFIN"/>
    <s v="SOLFIN"/>
    <s v="CCMS"/>
    <n v="21349774"/>
    <n v="609.83"/>
    <m/>
    <s v="N"/>
    <n v="9"/>
    <d v="2023-07-10T19:01:57"/>
    <s v="Y"/>
    <s v="Preparation - drafting bill/claim f"/>
    <s v="Care Remuneration Hourly Rates"/>
    <s v="Profit Cost"/>
    <s v="JT"/>
    <s v="Y"/>
    <n v="23.36"/>
    <n v="4.67"/>
    <x v="2"/>
    <s v="VALIDATED"/>
    <n v="1"/>
    <s v="01.11.80.308.6100.0000"/>
    <n v="23.36"/>
    <s v="11"/>
    <s v="6100"/>
    <n v="41014.84"/>
    <n v="23.36"/>
    <s v="CREDITOR"/>
    <n v="0"/>
    <n v="0"/>
    <n v="0"/>
    <n v="0"/>
    <n v="23.36"/>
  </r>
  <r>
    <n v="56378698"/>
    <s v="N"/>
    <n v="21350058"/>
    <s v="3000013381950016"/>
    <s v="CIVIL"/>
    <d v="2023-06-28T00:00:00"/>
    <d v="2023-07-10T19:01:40"/>
    <m/>
    <d v="2023-07-10T00:00:00"/>
    <n v="1749"/>
    <n v="19529"/>
    <s v="56378698"/>
    <s v="56378698"/>
    <m/>
    <m/>
    <n v="22781026"/>
    <m/>
    <m/>
    <m/>
    <s v="SOLFIN"/>
    <s v="SOLFIN"/>
    <s v="CCMS"/>
    <n v="21350058"/>
    <n v="15196.66"/>
    <m/>
    <s v="N"/>
    <n v="57"/>
    <d v="2023-07-10T19:02:12"/>
    <s v="Y"/>
    <s v="Preparation - other"/>
    <s v="Care Remuneration Hourly Rates"/>
    <s v="Profit Cost"/>
    <s v="GT"/>
    <s v="Y"/>
    <n v="5.26"/>
    <n v="1.05"/>
    <x v="2"/>
    <s v="VALIDATED"/>
    <n v="1"/>
    <s v="01.11.80.308.6100.0000"/>
    <n v="5.26"/>
    <s v="11"/>
    <s v="6100"/>
    <n v="41014.84"/>
    <n v="5.26"/>
    <s v="CREDITOR"/>
    <n v="0"/>
    <n v="0"/>
    <n v="0"/>
    <n v="0"/>
    <n v="5.26"/>
  </r>
  <r>
    <n v="60696783"/>
    <s v="N"/>
    <n v="21328192"/>
    <s v="3000014940230001"/>
    <s v="CIVIL"/>
    <d v="2023-06-26T00:00:00"/>
    <d v="2023-07-04T19:00:44"/>
    <m/>
    <d v="2023-07-04T00:00:00"/>
    <n v="1749"/>
    <n v="19529"/>
    <s v="60696783"/>
    <s v="60696783"/>
    <m/>
    <m/>
    <n v="22764488"/>
    <m/>
    <m/>
    <m/>
    <s v="SOLFIN"/>
    <s v="SOLFIN"/>
    <s v="CCMS"/>
    <n v="21328192"/>
    <n v="0"/>
    <m/>
    <s v="N"/>
    <n v="1"/>
    <d v="2023-07-04T19:01:07"/>
    <s v="N"/>
    <s v="NIL BILL"/>
    <s v="Public Law Children"/>
    <s v="Profit Cost"/>
    <s v="Hazel Roberts"/>
    <s v="N"/>
    <n v="0"/>
    <n v="0"/>
    <x v="1"/>
    <s v="VALIDATED"/>
    <n v="1"/>
    <s v="01.11.80.308.6100.0000"/>
    <n v="0"/>
    <s v="11"/>
    <s v="6100"/>
    <n v="41014.84"/>
    <n v="0"/>
    <s v="CREDITOR"/>
    <n v="0"/>
    <n v="0"/>
    <n v="0"/>
    <n v="0"/>
    <n v="0"/>
  </r>
  <r>
    <n v="56378698"/>
    <s v="N"/>
    <n v="21350058"/>
    <s v="3000013381950016"/>
    <s v="CIVIL"/>
    <d v="2023-06-28T00:00:00"/>
    <d v="2023-07-10T19:01:40"/>
    <m/>
    <d v="2023-07-10T00:00:00"/>
    <n v="1749"/>
    <n v="19529"/>
    <s v="56378698"/>
    <s v="56378698"/>
    <m/>
    <m/>
    <n v="22781026"/>
    <m/>
    <m/>
    <m/>
    <s v="SOLFIN"/>
    <s v="SOLFIN"/>
    <s v="CCMS"/>
    <n v="21350058"/>
    <n v="15196.66"/>
    <m/>
    <s v="N"/>
    <n v="76"/>
    <d v="2023-07-10T19:02:12"/>
    <s v="Y"/>
    <s v="Preparation - other"/>
    <s v="Care Remuneration Hourly Rates"/>
    <s v="Profit Cost"/>
    <s v="LW"/>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115"/>
    <d v="2023-07-10T19:02:12"/>
    <s v="Y"/>
    <s v="Preparation - other"/>
    <s v="Care Remuneration Hourly Rates"/>
    <s v="Profit Cost"/>
    <s v="RLA"/>
    <s v="Y"/>
    <n v="12.09"/>
    <n v="2.42"/>
    <x v="2"/>
    <s v="VALIDATED"/>
    <n v="1"/>
    <s v="01.11.80.308.6100.0000"/>
    <n v="12.09"/>
    <s v="11"/>
    <s v="6100"/>
    <n v="41014.84"/>
    <n v="12.09"/>
    <s v="CREDITOR"/>
    <n v="0"/>
    <n v="0"/>
    <n v="0"/>
    <n v="0"/>
    <n v="12.09"/>
  </r>
  <r>
    <n v="62179919"/>
    <s v="N"/>
    <n v="21370392"/>
    <s v="3000016165870001"/>
    <s v="CIVIL"/>
    <d v="2023-06-30T00:00:00"/>
    <d v="2023-07-13T19:21:05"/>
    <m/>
    <d v="2023-07-13T00:00:00"/>
    <n v="1749"/>
    <n v="19529"/>
    <s v="62179919"/>
    <s v="62179919"/>
    <m/>
    <m/>
    <n v="22794182"/>
    <m/>
    <m/>
    <m/>
    <s v="SOLFIN"/>
    <s v="SOLFIN"/>
    <s v="CCMS"/>
    <n v="21370392"/>
    <n v="1471.28"/>
    <m/>
    <s v="N"/>
    <n v="21"/>
    <d v="2023-07-13T19:21:24"/>
    <s v="Y"/>
    <s v="Preparation - other"/>
    <s v="Prescribed Hourly Rates"/>
    <s v="Profit Cost"/>
    <s v="HR"/>
    <s v="Y"/>
    <n v="7.57"/>
    <n v="1.51"/>
    <x v="11"/>
    <s v="VALIDATED"/>
    <n v="1"/>
    <s v="01.11.80.305.6100.0000"/>
    <n v="7.57"/>
    <s v="11"/>
    <s v="6100"/>
    <n v="41014.84"/>
    <n v="7.57"/>
    <s v="CREDITOR"/>
    <n v="0"/>
    <n v="0"/>
    <n v="0"/>
    <n v="0"/>
    <n v="7.57"/>
  </r>
  <r>
    <n v="56378698"/>
    <s v="N"/>
    <n v="21350058"/>
    <s v="3000013381950016"/>
    <s v="CIVIL"/>
    <d v="2023-06-28T00:00:00"/>
    <d v="2023-07-10T19:01:40"/>
    <m/>
    <d v="2023-07-10T00:00:00"/>
    <n v="1749"/>
    <n v="19529"/>
    <s v="56378698"/>
    <s v="56378698"/>
    <m/>
    <m/>
    <n v="22781026"/>
    <m/>
    <m/>
    <m/>
    <s v="SOLFIN"/>
    <s v="SOLFIN"/>
    <s v="CCMS"/>
    <n v="21350058"/>
    <n v="15196.66"/>
    <m/>
    <s v="N"/>
    <n v="109"/>
    <d v="2023-07-10T19:02:12"/>
    <s v="Y"/>
    <s v="Preparation - other"/>
    <s v="Care Remuneration Hourly Rates"/>
    <s v="Profit Cost"/>
    <s v="RLA"/>
    <s v="Y"/>
    <n v="18.14"/>
    <n v="3.63"/>
    <x v="2"/>
    <s v="VALIDATED"/>
    <n v="1"/>
    <s v="01.11.80.308.6100.0000"/>
    <n v="18.14"/>
    <s v="11"/>
    <s v="6100"/>
    <n v="41014.84"/>
    <n v="18.14"/>
    <s v="CREDITOR"/>
    <n v="0"/>
    <n v="0"/>
    <n v="0"/>
    <n v="0"/>
    <n v="18.14"/>
  </r>
  <r>
    <n v="56378698"/>
    <s v="N"/>
    <n v="21350058"/>
    <s v="3000013381950016"/>
    <s v="CIVIL"/>
    <d v="2023-06-28T00:00:00"/>
    <d v="2023-07-10T19:01:40"/>
    <m/>
    <d v="2023-07-10T00:00:00"/>
    <n v="1749"/>
    <n v="19529"/>
    <s v="56378698"/>
    <s v="56378698"/>
    <m/>
    <m/>
    <n v="22781026"/>
    <m/>
    <m/>
    <m/>
    <s v="SOLFIN"/>
    <s v="SOLFIN"/>
    <s v="CCMS"/>
    <n v="21350058"/>
    <n v="15196.66"/>
    <m/>
    <s v="N"/>
    <n v="129"/>
    <d v="2023-07-10T19:02:12"/>
    <s v="Y"/>
    <s v="Final Hearing - 1 Day"/>
    <s v="Public Law Children"/>
    <s v="Advocacy"/>
    <s v="RLA"/>
    <s v="Y"/>
    <n v="556.88"/>
    <n v="111.37"/>
    <x v="2"/>
    <s v="VALIDATED"/>
    <n v="1"/>
    <s v="01.11.80.308.6100.0000"/>
    <n v="556.88"/>
    <s v="11"/>
    <s v="6100"/>
    <n v="41014.84"/>
    <n v="556.88"/>
    <s v="CREDITOR"/>
    <n v="0"/>
    <n v="0"/>
    <n v="0"/>
    <n v="0"/>
    <n v="556.88"/>
  </r>
  <r>
    <n v="60696814"/>
    <s v="N"/>
    <n v="21328198"/>
    <s v="3000014940380001"/>
    <s v="CIVIL"/>
    <d v="2023-06-26T00:00:00"/>
    <d v="2023-07-04T19:00:44"/>
    <m/>
    <d v="2023-07-04T00:00:00"/>
    <n v="1749"/>
    <n v="19529"/>
    <s v="60696814"/>
    <s v="60696814"/>
    <m/>
    <m/>
    <n v="22764518"/>
    <m/>
    <m/>
    <m/>
    <s v="SOLFIN"/>
    <s v="SOLFIN"/>
    <s v="CCMS"/>
    <n v="21328198"/>
    <n v="0"/>
    <m/>
    <s v="N"/>
    <n v="1"/>
    <d v="2023-07-04T19:01:07"/>
    <s v="N"/>
    <s v="NIL BILL"/>
    <s v="Public Law Children"/>
    <s v="Profit Cost"/>
    <s v="Hazel Roberts"/>
    <s v="N"/>
    <n v="0"/>
    <n v="0"/>
    <x v="1"/>
    <s v="VALIDATED"/>
    <n v="1"/>
    <s v="01.11.80.308.6100.0000"/>
    <n v="0"/>
    <s v="11"/>
    <s v="6100"/>
    <n v="41014.84"/>
    <n v="0"/>
    <s v="CREDITOR"/>
    <n v="0"/>
    <n v="0"/>
    <n v="0"/>
    <n v="0"/>
    <n v="0"/>
  </r>
  <r>
    <n v="61891359"/>
    <s v="N"/>
    <n v="21349626"/>
    <s v="3000015950310004"/>
    <s v="CIVIL"/>
    <d v="2023-06-29T00:00:00"/>
    <d v="2023-07-10T19:01:40"/>
    <m/>
    <d v="2023-07-10T00:00:00"/>
    <n v="1749"/>
    <n v="19529"/>
    <s v="61891359"/>
    <s v="61891359"/>
    <m/>
    <m/>
    <n v="22784714"/>
    <m/>
    <m/>
    <m/>
    <s v="SOLFIN"/>
    <s v="SOLFIN"/>
    <s v="CCMS"/>
    <n v="21349626"/>
    <n v="4857.03"/>
    <m/>
    <s v="N"/>
    <n v="7"/>
    <d v="2023-07-10T19:01:54"/>
    <s v="Y"/>
    <s v="Advocates Meeting"/>
    <s v="Public Law Children"/>
    <s v="Advocacy"/>
    <s v="ES"/>
    <s v="Y"/>
    <n v="128.16"/>
    <n v="25.63"/>
    <x v="2"/>
    <s v="VALIDATED"/>
    <n v="1"/>
    <s v="01.11.80.308.6100.0000"/>
    <n v="128.16"/>
    <s v="11"/>
    <s v="6100"/>
    <n v="41014.84"/>
    <n v="128.16"/>
    <s v="CREDITOR"/>
    <n v="0"/>
    <n v="0"/>
    <n v="0"/>
    <n v="0"/>
    <n v="128.16"/>
  </r>
  <r>
    <n v="56378698"/>
    <s v="N"/>
    <n v="21350058"/>
    <s v="3000013381950016"/>
    <s v="CIVIL"/>
    <d v="2023-06-28T00:00:00"/>
    <d v="2023-07-10T19:01:40"/>
    <m/>
    <d v="2023-07-10T00:00:00"/>
    <n v="1749"/>
    <n v="19529"/>
    <s v="56378698"/>
    <s v="56378698"/>
    <m/>
    <m/>
    <n v="22781026"/>
    <m/>
    <m/>
    <m/>
    <s v="SOLFIN"/>
    <s v="SOLFIN"/>
    <s v="CCMS"/>
    <n v="21350058"/>
    <n v="15196.66"/>
    <m/>
    <s v="N"/>
    <n v="58"/>
    <d v="2023-07-10T19:02:12"/>
    <s v="Y"/>
    <s v="Preparation - other"/>
    <s v="Care Remuneration Hourly Rates"/>
    <s v="Profit Cost"/>
    <s v="ALH"/>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59"/>
    <d v="2023-07-10T19:02:12"/>
    <s v="Y"/>
    <s v="Preparation - other"/>
    <s v="Care Remuneration Hourly Rates"/>
    <s v="Profit Cost"/>
    <s v="RLA"/>
    <s v="Y"/>
    <n v="24.18"/>
    <n v="4.84"/>
    <x v="2"/>
    <s v="VALIDATED"/>
    <n v="1"/>
    <s v="01.11.80.308.6100.0000"/>
    <n v="24.18"/>
    <s v="11"/>
    <s v="6100"/>
    <n v="41014.84"/>
    <n v="24.18"/>
    <s v="CREDITOR"/>
    <n v="0"/>
    <n v="0"/>
    <n v="0"/>
    <n v="0"/>
    <n v="24.18"/>
  </r>
  <r>
    <n v="56378698"/>
    <s v="N"/>
    <n v="21350058"/>
    <s v="3000013381950016"/>
    <s v="CIVIL"/>
    <d v="2023-06-28T00:00:00"/>
    <d v="2023-07-10T19:01:40"/>
    <m/>
    <d v="2023-07-10T00:00:00"/>
    <n v="1749"/>
    <n v="19529"/>
    <s v="56378698"/>
    <s v="56378698"/>
    <m/>
    <m/>
    <n v="22781026"/>
    <m/>
    <m/>
    <m/>
    <s v="SOLFIN"/>
    <s v="SOLFIN"/>
    <s v="CCMS"/>
    <n v="21350058"/>
    <n v="15196.66"/>
    <m/>
    <s v="N"/>
    <n v="68"/>
    <d v="2023-07-10T19:02:12"/>
    <s v="Y"/>
    <s v="Preparation - other"/>
    <s v="Care Remuneration Hourly Rates"/>
    <s v="Profit Cost"/>
    <s v="JT"/>
    <s v="Y"/>
    <n v="5.26"/>
    <n v="1.05"/>
    <x v="2"/>
    <s v="VALIDATED"/>
    <n v="1"/>
    <s v="01.11.80.308.6100.0000"/>
    <n v="5.26"/>
    <s v="11"/>
    <s v="6100"/>
    <n v="41014.84"/>
    <n v="5.26"/>
    <s v="CREDITOR"/>
    <n v="0"/>
    <n v="0"/>
    <n v="0"/>
    <n v="0"/>
    <n v="5.26"/>
  </r>
  <r>
    <n v="62248633"/>
    <s v="N"/>
    <n v="21349774"/>
    <s v="3000016248660001"/>
    <s v="CIVIL"/>
    <d v="2023-06-30T00:00:00"/>
    <d v="2023-07-10T19:01:40"/>
    <m/>
    <d v="2023-07-10T00:00:00"/>
    <n v="1749"/>
    <n v="19529"/>
    <s v="62248633"/>
    <s v="62248633"/>
    <m/>
    <m/>
    <n v="22796056"/>
    <m/>
    <m/>
    <m/>
    <s v="SOLFIN"/>
    <s v="SOLFIN"/>
    <s v="CCMS"/>
    <n v="21349774"/>
    <n v="609.83"/>
    <m/>
    <s v="N"/>
    <n v="14"/>
    <d v="2023-07-10T19:01:57"/>
    <s v="Y"/>
    <s v="Routine Letter In"/>
    <s v="Care Remuneration Hourly Rates"/>
    <s v="Profit Cost"/>
    <s v="AM/CLB/ML"/>
    <s v="Y"/>
    <n v="37"/>
    <n v="7.4"/>
    <x v="2"/>
    <s v="VALIDATED"/>
    <n v="1"/>
    <s v="01.11.80.308.6100.0000"/>
    <n v="37"/>
    <s v="11"/>
    <s v="6100"/>
    <n v="41014.84"/>
    <n v="37"/>
    <s v="CREDITOR"/>
    <n v="0"/>
    <n v="0"/>
    <n v="0"/>
    <n v="0"/>
    <n v="37"/>
  </r>
  <r>
    <n v="61602026"/>
    <s v="N"/>
    <n v="21323789"/>
    <s v="3000015709310006"/>
    <s v="CIVIL"/>
    <d v="2023-06-30T00:00:00"/>
    <d v="2023-07-03T19:05:56"/>
    <m/>
    <d v="2023-07-03T00:00:00"/>
    <n v="1749"/>
    <n v="19529"/>
    <s v="61602026"/>
    <s v="61602026"/>
    <m/>
    <m/>
    <n v="22798326"/>
    <m/>
    <m/>
    <m/>
    <s v="SOLPOA"/>
    <s v="SOLPOA"/>
    <s v="CCMS"/>
    <n v="21323789"/>
    <n v="735.35"/>
    <m/>
    <s v="N"/>
    <n v="1"/>
    <d v="2023-07-03T19:05:58"/>
    <s v="N"/>
    <s v="Profit Cost"/>
    <s v="Profit Cost"/>
    <s v="Profit Cost"/>
    <s v="HR"/>
    <s v="N"/>
    <n v="612.79"/>
    <n v="122.56"/>
    <x v="3"/>
    <s v="VALIDATED"/>
    <n v="1"/>
    <s v="01.11.80.307.2012.0000"/>
    <n v="612.79"/>
    <s v="11"/>
    <s v="2012"/>
    <n v="41014.84"/>
    <n v="612.79"/>
    <s v="CREDITOR"/>
    <n v="612.79"/>
    <n v="153.1975"/>
    <n v="0"/>
    <n v="0"/>
    <n v="0"/>
  </r>
  <r>
    <n v="60309343"/>
    <s v="N"/>
    <n v="21319986"/>
    <s v="3000014610440025"/>
    <s v="CIVIL"/>
    <d v="2023-06-26T00:00:00"/>
    <d v="2023-07-03T19:04:24"/>
    <m/>
    <d v="2023-07-03T00:00:00"/>
    <n v="1749"/>
    <n v="19529"/>
    <s v="60309343"/>
    <s v="60309343"/>
    <m/>
    <m/>
    <n v="22763414"/>
    <m/>
    <m/>
    <m/>
    <s v="SOLFIN"/>
    <s v="SOLFIN"/>
    <s v="CCMS"/>
    <n v="21319986"/>
    <n v="17867.12"/>
    <m/>
    <s v="N"/>
    <n v="9"/>
    <d v="2023-07-03T19:04:28"/>
    <s v="Y"/>
    <s v="Expert - Other"/>
    <s v="VHCC"/>
    <s v="Expert Disbursement"/>
    <s v="TELEFONICA"/>
    <s v="Y"/>
    <n v="199.99"/>
    <n v="40"/>
    <x v="3"/>
    <s v="VALIDATED"/>
    <n v="1"/>
    <s v="01.11.80.308.6300.0000"/>
    <n v="199.99"/>
    <s v="11"/>
    <s v="6300"/>
    <n v="41014.84"/>
    <n v="199.99"/>
    <s v="CREDITOR"/>
    <n v="0"/>
    <n v="0"/>
    <n v="0"/>
    <n v="0"/>
    <n v="199.99"/>
  </r>
  <r>
    <n v="62179919"/>
    <s v="N"/>
    <n v="21370392"/>
    <s v="3000016165870001"/>
    <s v="CIVIL"/>
    <d v="2023-06-30T00:00:00"/>
    <d v="2023-07-13T19:21:05"/>
    <m/>
    <d v="2023-07-13T00:00:00"/>
    <n v="1749"/>
    <n v="19529"/>
    <s v="62179919"/>
    <s v="62179919"/>
    <m/>
    <m/>
    <n v="22794182"/>
    <m/>
    <m/>
    <m/>
    <s v="SOLFIN"/>
    <s v="SOLFIN"/>
    <s v="CCMS"/>
    <n v="21370392"/>
    <n v="1471.28"/>
    <m/>
    <s v="N"/>
    <n v="20"/>
    <d v="2023-07-13T19:21:24"/>
    <s v="Y"/>
    <s v="Preparation - other"/>
    <s v="Prescribed Hourly Rates"/>
    <s v="Profit Cost"/>
    <s v="HR"/>
    <s v="Y"/>
    <n v="37.81"/>
    <n v="7.56"/>
    <x v="11"/>
    <s v="VALIDATED"/>
    <n v="1"/>
    <s v="01.11.80.305.6100.0000"/>
    <n v="37.81"/>
    <s v="11"/>
    <s v="6100"/>
    <n v="41014.84"/>
    <n v="37.81"/>
    <s v="CREDITOR"/>
    <n v="0"/>
    <n v="0"/>
    <n v="0"/>
    <n v="0"/>
    <n v="37.81"/>
  </r>
  <r>
    <n v="62179919"/>
    <s v="N"/>
    <n v="21370392"/>
    <s v="3000016165870001"/>
    <s v="CIVIL"/>
    <d v="2023-06-30T00:00:00"/>
    <d v="2023-07-13T19:21:05"/>
    <m/>
    <d v="2023-07-13T00:00:00"/>
    <n v="1749"/>
    <n v="19529"/>
    <s v="62179919"/>
    <s v="62179919"/>
    <m/>
    <m/>
    <n v="22794182"/>
    <m/>
    <m/>
    <m/>
    <s v="SOLFIN"/>
    <s v="SOLFIN"/>
    <s v="CCMS"/>
    <n v="21370392"/>
    <n v="1471.28"/>
    <m/>
    <s v="N"/>
    <n v="12"/>
    <d v="2023-07-13T19:21:24"/>
    <s v="Y"/>
    <s v="Preparation - other"/>
    <s v="Prescribed Hourly Rates"/>
    <s v="Profit Cost"/>
    <s v="CLB"/>
    <s v="Y"/>
    <n v="13.15"/>
    <n v="2.63"/>
    <x v="11"/>
    <s v="VALIDATED"/>
    <n v="1"/>
    <s v="01.11.80.305.6100.0000"/>
    <n v="13.15"/>
    <s v="11"/>
    <s v="6100"/>
    <n v="41014.84"/>
    <n v="13.15"/>
    <s v="CREDITOR"/>
    <n v="0"/>
    <n v="0"/>
    <n v="0"/>
    <n v="0"/>
    <n v="13.15"/>
  </r>
  <r>
    <n v="56378698"/>
    <s v="N"/>
    <n v="21350058"/>
    <s v="3000013381950016"/>
    <s v="CIVIL"/>
    <d v="2023-06-28T00:00:00"/>
    <d v="2023-07-10T19:01:40"/>
    <m/>
    <d v="2023-07-10T00:00:00"/>
    <n v="1749"/>
    <n v="19529"/>
    <s v="56378698"/>
    <s v="56378698"/>
    <m/>
    <m/>
    <n v="22781026"/>
    <m/>
    <m/>
    <m/>
    <s v="SOLFIN"/>
    <s v="SOLFIN"/>
    <s v="CCMS"/>
    <n v="21350058"/>
    <n v="15196.66"/>
    <m/>
    <s v="N"/>
    <n v="133"/>
    <d v="2023-07-10T19:02:12"/>
    <s v="Y"/>
    <s v="Hearing Unit 1.01 - 2.30 Hours"/>
    <s v="Public Law Children"/>
    <s v="Advocacy"/>
    <s v="RLA"/>
    <s v="Y"/>
    <n v="238.46"/>
    <n v="47.69"/>
    <x v="2"/>
    <s v="VALIDATED"/>
    <n v="1"/>
    <s v="01.11.80.308.6100.0000"/>
    <n v="238.46"/>
    <s v="11"/>
    <s v="6100"/>
    <n v="41014.84"/>
    <n v="238.46"/>
    <s v="CREDITOR"/>
    <n v="0"/>
    <n v="0"/>
    <n v="0"/>
    <n v="0"/>
    <n v="238.46"/>
  </r>
  <r>
    <n v="56378698"/>
    <s v="N"/>
    <n v="21350058"/>
    <s v="3000013381950016"/>
    <s v="CIVIL"/>
    <d v="2023-06-28T00:00:00"/>
    <d v="2023-07-10T19:01:40"/>
    <m/>
    <d v="2023-07-10T00:00:00"/>
    <n v="1749"/>
    <n v="19529"/>
    <s v="56378698"/>
    <s v="56378698"/>
    <m/>
    <m/>
    <n v="22781026"/>
    <m/>
    <m/>
    <m/>
    <s v="SOLFIN"/>
    <s v="SOLFIN"/>
    <s v="CCMS"/>
    <n v="21350058"/>
    <n v="15196.66"/>
    <m/>
    <s v="N"/>
    <n v="142"/>
    <d v="2023-07-10T19:02:12"/>
    <s v="Y"/>
    <s v="Hearing Unit 1.01 - 2.30 Hours"/>
    <s v="Public Law Children"/>
    <s v="Advocacy"/>
    <s v="RLA"/>
    <s v="Y"/>
    <n v="238.46"/>
    <n v="47.69"/>
    <x v="2"/>
    <s v="VALIDATED"/>
    <n v="1"/>
    <s v="01.11.80.308.6100.0000"/>
    <n v="238.46"/>
    <s v="11"/>
    <s v="6100"/>
    <n v="41014.84"/>
    <n v="238.46"/>
    <s v="CREDITOR"/>
    <n v="0"/>
    <n v="0"/>
    <n v="0"/>
    <n v="0"/>
    <n v="238.46"/>
  </r>
  <r>
    <n v="56378698"/>
    <s v="N"/>
    <n v="21350058"/>
    <s v="3000013381950016"/>
    <s v="CIVIL"/>
    <d v="2023-06-28T00:00:00"/>
    <d v="2023-07-10T19:01:40"/>
    <m/>
    <d v="2023-07-10T00:00:00"/>
    <n v="1749"/>
    <n v="19529"/>
    <s v="56378698"/>
    <s v="56378698"/>
    <m/>
    <m/>
    <n v="22781026"/>
    <m/>
    <m/>
    <m/>
    <s v="SOLFIN"/>
    <s v="SOLFIN"/>
    <s v="CCMS"/>
    <n v="21350058"/>
    <n v="15196.66"/>
    <m/>
    <s v="N"/>
    <n v="147"/>
    <d v="2023-07-10T19:02:12"/>
    <s v="Y"/>
    <s v="Advocates Meeting"/>
    <s v="Public Law Children"/>
    <s v="Advocacy"/>
    <s v="RLA"/>
    <s v="Y"/>
    <n v="140.99"/>
    <n v="28.2"/>
    <x v="2"/>
    <s v="VALIDATED"/>
    <n v="1"/>
    <s v="01.11.80.308.6100.0000"/>
    <n v="140.99"/>
    <s v="11"/>
    <s v="6100"/>
    <n v="41014.84"/>
    <n v="140.99"/>
    <s v="CREDITOR"/>
    <n v="0"/>
    <n v="0"/>
    <n v="0"/>
    <n v="0"/>
    <n v="140.99"/>
  </r>
  <r>
    <n v="56378698"/>
    <s v="N"/>
    <n v="21350058"/>
    <s v="3000013381950016"/>
    <s v="CIVIL"/>
    <d v="2023-06-28T00:00:00"/>
    <d v="2023-07-10T19:01:40"/>
    <m/>
    <d v="2023-07-10T00:00:00"/>
    <n v="1749"/>
    <n v="19529"/>
    <s v="56378698"/>
    <s v="56378698"/>
    <m/>
    <m/>
    <n v="22781026"/>
    <m/>
    <m/>
    <m/>
    <s v="SOLFIN"/>
    <s v="SOLFIN"/>
    <s v="CCMS"/>
    <n v="21350058"/>
    <n v="15196.66"/>
    <m/>
    <s v="N"/>
    <n v="51"/>
    <d v="2023-07-10T19:02:12"/>
    <s v="Y"/>
    <s v="Preparation - other"/>
    <s v="Care Remuneration Hourly Rates"/>
    <s v="Profit Cost"/>
    <s v="ML"/>
    <s v="Y"/>
    <n v="36.8"/>
    <n v="7.36"/>
    <x v="2"/>
    <s v="VALIDATED"/>
    <n v="1"/>
    <s v="01.11.80.308.6100.0000"/>
    <n v="36.8"/>
    <s v="11"/>
    <s v="6100"/>
    <n v="41014.84"/>
    <n v="36.8"/>
    <s v="CREDITOR"/>
    <n v="0"/>
    <n v="0"/>
    <n v="0"/>
    <n v="0"/>
    <n v="36.8"/>
  </r>
  <r>
    <n v="56378698"/>
    <s v="N"/>
    <n v="21350058"/>
    <s v="3000013381950016"/>
    <s v="CIVIL"/>
    <d v="2023-06-28T00:00:00"/>
    <d v="2023-07-10T19:01:40"/>
    <m/>
    <d v="2023-07-10T00:00:00"/>
    <n v="1749"/>
    <n v="19529"/>
    <s v="56378698"/>
    <s v="56378698"/>
    <m/>
    <m/>
    <n v="22781026"/>
    <m/>
    <m/>
    <m/>
    <s v="SOLFIN"/>
    <s v="SOLFIN"/>
    <s v="CCMS"/>
    <n v="21350058"/>
    <n v="15196.66"/>
    <m/>
    <s v="N"/>
    <n v="42"/>
    <d v="2023-07-10T19:02:12"/>
    <s v="Y"/>
    <s v="Preparation - other"/>
    <s v="Care Remuneration Hourly Rates"/>
    <s v="Profit Cost"/>
    <s v="JT"/>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43"/>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6"/>
    <d v="2023-07-10T19:02:12"/>
    <s v="Y"/>
    <s v="DNA - test of sample"/>
    <s v="Care Remuneration Hourly Rates"/>
    <s v="Expert Disbursement"/>
    <s v="DNA LEGAL"/>
    <s v="Y"/>
    <n v="65"/>
    <n v="13"/>
    <x v="2"/>
    <s v="VALIDATED"/>
    <n v="1"/>
    <s v="01.11.80.308.6300.0000"/>
    <n v="65"/>
    <s v="11"/>
    <s v="6300"/>
    <n v="41014.84"/>
    <n v="65"/>
    <s v="CREDITOR"/>
    <n v="0"/>
    <n v="0"/>
    <n v="0"/>
    <n v="0"/>
    <n v="65"/>
  </r>
  <r>
    <n v="60696754"/>
    <s v="N"/>
    <n v="21338339"/>
    <s v="3000014940080010"/>
    <s v="CIVIL"/>
    <d v="2023-06-26T00:00:00"/>
    <d v="2023-07-06T19:21:01"/>
    <m/>
    <d v="2023-07-06T00:00:00"/>
    <n v="1749"/>
    <n v="19529"/>
    <s v="60696754"/>
    <s v="60696754"/>
    <m/>
    <m/>
    <n v="22764422"/>
    <m/>
    <m/>
    <m/>
    <s v="SOLFIN"/>
    <s v="SOLFIN"/>
    <s v="CCMS"/>
    <n v="21338339"/>
    <n v="19664.59"/>
    <m/>
    <s v="N"/>
    <n v="7"/>
    <d v="2023-07-06T19:21:20"/>
    <s v="Y"/>
    <s v="Disbursements (Summary)"/>
    <s v="Public Law Children"/>
    <s v="Non Expert Disbursement"/>
    <s v="Hazel Roberts"/>
    <s v="Y"/>
    <n v="167"/>
    <n v="0"/>
    <x v="4"/>
    <s v="VALIDATED"/>
    <n v="1"/>
    <s v="01.11.80.308.6300.0000"/>
    <n v="167"/>
    <s v="11"/>
    <s v="6300"/>
    <n v="41014.84"/>
    <n v="167"/>
    <s v="CREDITOR"/>
    <n v="0"/>
    <n v="0"/>
    <n v="0"/>
    <n v="0"/>
    <n v="167"/>
  </r>
  <r>
    <n v="60696839"/>
    <s v="N"/>
    <n v="21328208"/>
    <s v="3000014940500001"/>
    <s v="CIVIL"/>
    <d v="2023-06-26T00:00:00"/>
    <d v="2023-07-04T19:00:44"/>
    <m/>
    <d v="2023-07-04T00:00:00"/>
    <n v="1749"/>
    <n v="19529"/>
    <s v="60696839"/>
    <s v="60696839"/>
    <m/>
    <m/>
    <n v="22764536"/>
    <m/>
    <m/>
    <m/>
    <s v="SOLFIN"/>
    <s v="SOLFIN"/>
    <s v="CCMS"/>
    <n v="21328208"/>
    <n v="0"/>
    <m/>
    <s v="N"/>
    <n v="1"/>
    <d v="2023-07-04T19:01:08"/>
    <s v="N"/>
    <s v="NIL BILL"/>
    <s v="Public Law Children"/>
    <s v="Profit Cost"/>
    <s v="Hazel Roberts"/>
    <s v="N"/>
    <n v="0"/>
    <n v="0"/>
    <x v="1"/>
    <s v="VALIDATED"/>
    <n v="1"/>
    <s v="01.11.80.308.6100.0000"/>
    <n v="0"/>
    <s v="11"/>
    <s v="6100"/>
    <n v="41014.84"/>
    <n v="0"/>
    <s v="CREDITOR"/>
    <n v="0"/>
    <n v="0"/>
    <n v="0"/>
    <n v="0"/>
    <n v="0"/>
  </r>
  <r>
    <n v="62179919"/>
    <s v="N"/>
    <n v="21370392"/>
    <s v="3000016165870001"/>
    <s v="CIVIL"/>
    <d v="2023-06-30T00:00:00"/>
    <d v="2023-07-13T19:21:05"/>
    <m/>
    <d v="2023-07-13T00:00:00"/>
    <n v="1749"/>
    <n v="19529"/>
    <s v="62179919"/>
    <s v="62179919"/>
    <m/>
    <m/>
    <n v="22794182"/>
    <m/>
    <m/>
    <m/>
    <s v="SOLFIN"/>
    <s v="SOLFIN"/>
    <s v="CCMS"/>
    <n v="21370392"/>
    <n v="1471.28"/>
    <m/>
    <s v="N"/>
    <n v="23"/>
    <d v="2023-07-13T19:21:24"/>
    <s v="Y"/>
    <s v="Preparation - drafting attendance n"/>
    <s v="Prescribed Hourly Rates"/>
    <s v="Profit Cost"/>
    <s v="HR"/>
    <s v="Y"/>
    <n v="22.69"/>
    <n v="4.54"/>
    <x v="11"/>
    <s v="VALIDATED"/>
    <n v="1"/>
    <s v="01.11.80.305.6100.0000"/>
    <n v="22.69"/>
    <s v="11"/>
    <s v="6100"/>
    <n v="41014.84"/>
    <n v="22.69"/>
    <s v="CREDITOR"/>
    <n v="0"/>
    <n v="0"/>
    <n v="0"/>
    <n v="0"/>
    <n v="22.69"/>
  </r>
  <r>
    <n v="56378698"/>
    <s v="N"/>
    <n v="21350058"/>
    <s v="3000013381950016"/>
    <s v="CIVIL"/>
    <d v="2023-06-28T00:00:00"/>
    <d v="2023-07-10T19:01:40"/>
    <m/>
    <d v="2023-07-10T00:00:00"/>
    <n v="1749"/>
    <n v="19529"/>
    <s v="56378698"/>
    <s v="56378698"/>
    <m/>
    <m/>
    <n v="22781026"/>
    <m/>
    <m/>
    <m/>
    <s v="SOLFIN"/>
    <s v="SOLFIN"/>
    <s v="CCMS"/>
    <n v="21350058"/>
    <n v="15196.66"/>
    <m/>
    <s v="N"/>
    <n v="144"/>
    <d v="2023-07-10T19:02:12"/>
    <s v="Y"/>
    <s v="Advocates Meeting"/>
    <s v="Public Law Children"/>
    <s v="Advocacy"/>
    <s v="RLA"/>
    <s v="Y"/>
    <n v="140.99"/>
    <n v="28.2"/>
    <x v="2"/>
    <s v="VALIDATED"/>
    <n v="1"/>
    <s v="01.11.80.308.6100.0000"/>
    <n v="140.99"/>
    <s v="11"/>
    <s v="6100"/>
    <n v="41014.84"/>
    <n v="140.99"/>
    <s v="CREDITOR"/>
    <n v="0"/>
    <n v="0"/>
    <n v="0"/>
    <n v="0"/>
    <n v="140.99"/>
  </r>
  <r>
    <n v="60309343"/>
    <s v="N"/>
    <n v="21319986"/>
    <s v="3000014610440025"/>
    <s v="CIVIL"/>
    <d v="2023-06-26T00:00:00"/>
    <d v="2023-07-03T19:04:24"/>
    <m/>
    <d v="2023-07-03T00:00:00"/>
    <n v="1749"/>
    <n v="19529"/>
    <s v="60309343"/>
    <s v="60309343"/>
    <m/>
    <m/>
    <n v="22763414"/>
    <m/>
    <m/>
    <m/>
    <s v="SOLFIN"/>
    <s v="SOLFIN"/>
    <s v="CCMS"/>
    <n v="21319986"/>
    <n v="17867.12"/>
    <m/>
    <s v="N"/>
    <n v="7"/>
    <d v="2023-07-03T19:04:28"/>
    <s v="Y"/>
    <s v="Expert - Other"/>
    <s v="VHCC"/>
    <s v="Expert Disbursement"/>
    <s v="LEXTOX - inv 250022"/>
    <s v="Y"/>
    <n v="674.67"/>
    <n v="134.93"/>
    <x v="3"/>
    <s v="VALIDATED"/>
    <n v="1"/>
    <s v="01.11.80.308.6300.0000"/>
    <n v="674.67"/>
    <s v="11"/>
    <s v="6300"/>
    <n v="41014.84"/>
    <n v="674.67"/>
    <s v="CREDITOR"/>
    <n v="0"/>
    <n v="0"/>
    <n v="0"/>
    <n v="0"/>
    <n v="674.67"/>
  </r>
  <r>
    <n v="56378698"/>
    <s v="N"/>
    <n v="21350058"/>
    <s v="3000013381950016"/>
    <s v="CIVIL"/>
    <d v="2023-06-28T00:00:00"/>
    <d v="2023-07-10T19:01:40"/>
    <m/>
    <d v="2023-07-10T00:00:00"/>
    <n v="1749"/>
    <n v="19529"/>
    <s v="56378698"/>
    <s v="56378698"/>
    <m/>
    <m/>
    <n v="22781026"/>
    <m/>
    <m/>
    <m/>
    <s v="SOLFIN"/>
    <s v="SOLFIN"/>
    <s v="CCMS"/>
    <n v="21350058"/>
    <n v="15196.66"/>
    <m/>
    <s v="N"/>
    <n v="26"/>
    <d v="2023-07-10T19:02:12"/>
    <s v="Y"/>
    <s v="Preparation - other"/>
    <s v="Care Remuneration Hourly Rates"/>
    <s v="Profit Cost"/>
    <s v="LW"/>
    <s v="Y"/>
    <n v="10.51"/>
    <n v="2.1"/>
    <x v="2"/>
    <s v="VALIDATED"/>
    <n v="1"/>
    <s v="01.11.80.308.6100.0000"/>
    <n v="10.51"/>
    <s v="11"/>
    <s v="6100"/>
    <n v="41014.84"/>
    <n v="10.51"/>
    <s v="CREDITOR"/>
    <n v="0"/>
    <n v="0"/>
    <n v="0"/>
    <n v="0"/>
    <n v="10.51"/>
  </r>
  <r>
    <n v="56378698"/>
    <s v="N"/>
    <n v="21350058"/>
    <s v="3000013381950016"/>
    <s v="CIVIL"/>
    <d v="2023-06-28T00:00:00"/>
    <d v="2023-07-10T19:01:40"/>
    <m/>
    <d v="2023-07-10T00:00:00"/>
    <n v="1749"/>
    <n v="19529"/>
    <s v="56378698"/>
    <s v="56378698"/>
    <m/>
    <m/>
    <n v="22781026"/>
    <m/>
    <m/>
    <m/>
    <s v="SOLFIN"/>
    <s v="SOLFIN"/>
    <s v="CCMS"/>
    <n v="21350058"/>
    <n v="15196.66"/>
    <m/>
    <s v="N"/>
    <n v="23"/>
    <d v="2023-07-10T19:02:12"/>
    <s v="Y"/>
    <s v="Preparation - other"/>
    <s v="Care Remuneration Hourly Rates"/>
    <s v="Profit Cost"/>
    <s v="LW"/>
    <s v="Y"/>
    <n v="15.77"/>
    <n v="3.15"/>
    <x v="2"/>
    <s v="VALIDATED"/>
    <n v="1"/>
    <s v="01.11.80.308.6100.0000"/>
    <n v="15.77"/>
    <s v="11"/>
    <s v="6100"/>
    <n v="41014.84"/>
    <n v="15.77"/>
    <s v="CREDITOR"/>
    <n v="0"/>
    <n v="0"/>
    <n v="0"/>
    <n v="0"/>
    <n v="15.77"/>
  </r>
  <r>
    <n v="56378698"/>
    <s v="N"/>
    <n v="21350058"/>
    <s v="3000013381950016"/>
    <s v="CIVIL"/>
    <d v="2023-06-28T00:00:00"/>
    <d v="2023-07-10T19:01:40"/>
    <m/>
    <d v="2023-07-10T00:00:00"/>
    <n v="1749"/>
    <n v="19529"/>
    <s v="56378698"/>
    <s v="56378698"/>
    <m/>
    <m/>
    <n v="22781026"/>
    <m/>
    <m/>
    <m/>
    <s v="SOLFIN"/>
    <s v="SOLFIN"/>
    <s v="CCMS"/>
    <n v="21350058"/>
    <n v="15196.66"/>
    <m/>
    <s v="N"/>
    <n v="45"/>
    <d v="2023-07-10T19:02:12"/>
    <s v="Y"/>
    <s v="Preparation - other"/>
    <s v="Care Remuneration Hourly Rates"/>
    <s v="Profit Cost"/>
    <s v="RLA"/>
    <s v="Y"/>
    <n v="90.69"/>
    <n v="18.14"/>
    <x v="2"/>
    <s v="VALIDATED"/>
    <n v="1"/>
    <s v="01.11.80.308.6100.0000"/>
    <n v="90.69"/>
    <s v="11"/>
    <s v="6100"/>
    <n v="41014.84"/>
    <n v="90.69"/>
    <s v="CREDITOR"/>
    <n v="0"/>
    <n v="0"/>
    <n v="0"/>
    <n v="0"/>
    <n v="90.69"/>
  </r>
  <r>
    <n v="56378698"/>
    <s v="N"/>
    <n v="21350058"/>
    <s v="3000013381950016"/>
    <s v="CIVIL"/>
    <d v="2023-06-28T00:00:00"/>
    <d v="2023-07-10T19:01:40"/>
    <m/>
    <d v="2023-07-10T00:00:00"/>
    <n v="1749"/>
    <n v="19529"/>
    <s v="56378698"/>
    <s v="56378698"/>
    <m/>
    <m/>
    <n v="22781026"/>
    <m/>
    <m/>
    <m/>
    <s v="SOLFIN"/>
    <s v="SOLFIN"/>
    <s v="CCMS"/>
    <n v="21350058"/>
    <n v="15196.66"/>
    <m/>
    <s v="N"/>
    <n v="85"/>
    <d v="2023-07-10T19:02:12"/>
    <s v="Y"/>
    <s v="Preparation - other"/>
    <s v="Care Remuneration Hourly Rates"/>
    <s v="Profit Cost"/>
    <s v="SW"/>
    <s v="Y"/>
    <n v="31.54"/>
    <n v="6.31"/>
    <x v="2"/>
    <s v="VALIDATED"/>
    <n v="1"/>
    <s v="01.11.80.308.6100.0000"/>
    <n v="31.54"/>
    <s v="11"/>
    <s v="6100"/>
    <n v="41014.84"/>
    <n v="31.54"/>
    <s v="CREDITOR"/>
    <n v="0"/>
    <n v="0"/>
    <n v="0"/>
    <n v="0"/>
    <n v="31.54"/>
  </r>
  <r>
    <n v="59962191"/>
    <s v="N"/>
    <n v="21382246"/>
    <s v="3000014309290019"/>
    <s v="CIVIL"/>
    <d v="2023-05-26T00:00:00"/>
    <d v="2023-07-17T19:01:46"/>
    <m/>
    <d v="2023-07-17T00:00:00"/>
    <n v="1749"/>
    <n v="19529"/>
    <s v="59962191"/>
    <s v="59962191"/>
    <m/>
    <m/>
    <n v="22580778"/>
    <m/>
    <m/>
    <m/>
    <s v="SOLPOA"/>
    <s v="SOLPOA"/>
    <s v="CCMS"/>
    <n v="21382246"/>
    <n v="382.48"/>
    <m/>
    <s v="N"/>
    <n v="1"/>
    <d v="2023-07-17T19:02:04"/>
    <s v="N"/>
    <s v="Expert Cost"/>
    <s v="Expert Cost"/>
    <s v="Expert Disbursement"/>
    <s v="Darren Matthews"/>
    <s v="N"/>
    <n v="318.73"/>
    <n v="63.75"/>
    <x v="8"/>
    <s v="VALIDATED"/>
    <n v="1"/>
    <s v="01.11.80.308.2012.0000"/>
    <n v="318.73"/>
    <s v="11"/>
    <s v="2012"/>
    <n v="41014.84"/>
    <n v="318.73"/>
    <s v="CREDITOR"/>
    <n v="318.73"/>
    <n v="0"/>
    <n v="0"/>
    <n v="0"/>
    <n v="0"/>
  </r>
  <r>
    <n v="62179919"/>
    <s v="N"/>
    <n v="21370392"/>
    <s v="3000016165870001"/>
    <s v="CIVIL"/>
    <d v="2023-06-30T00:00:00"/>
    <d v="2023-07-13T19:21:05"/>
    <m/>
    <d v="2023-07-13T00:00:00"/>
    <n v="1749"/>
    <n v="19529"/>
    <s v="62179919"/>
    <s v="62179919"/>
    <m/>
    <m/>
    <n v="22794182"/>
    <m/>
    <m/>
    <m/>
    <s v="SOLFIN"/>
    <s v="SOLFIN"/>
    <s v="CCMS"/>
    <n v="21370392"/>
    <n v="1471.28"/>
    <m/>
    <s v="N"/>
    <n v="19"/>
    <d v="2023-07-13T19:21:24"/>
    <s v="Y"/>
    <s v="Attendance upon client"/>
    <s v="Prescribed Hourly Rates"/>
    <s v="Profit Cost"/>
    <s v="HR"/>
    <s v="Y"/>
    <n v="15.12"/>
    <n v="3.02"/>
    <x v="11"/>
    <s v="VALIDATED"/>
    <n v="1"/>
    <s v="01.11.80.305.6100.0000"/>
    <n v="15.12"/>
    <s v="11"/>
    <s v="6100"/>
    <n v="41014.84"/>
    <n v="15.12"/>
    <s v="CREDITOR"/>
    <n v="0"/>
    <n v="0"/>
    <n v="0"/>
    <n v="0"/>
    <n v="15.12"/>
  </r>
  <r>
    <n v="56378698"/>
    <s v="N"/>
    <n v="21350058"/>
    <s v="3000013381950016"/>
    <s v="CIVIL"/>
    <d v="2023-06-28T00:00:00"/>
    <d v="2023-07-10T19:01:40"/>
    <m/>
    <d v="2023-07-10T00:00:00"/>
    <n v="1749"/>
    <n v="19529"/>
    <s v="56378698"/>
    <s v="56378698"/>
    <m/>
    <m/>
    <n v="22781026"/>
    <m/>
    <m/>
    <m/>
    <s v="SOLFIN"/>
    <s v="SOLFIN"/>
    <s v="CCMS"/>
    <n v="21350058"/>
    <n v="15196.66"/>
    <m/>
    <s v="N"/>
    <n v="20"/>
    <d v="2023-07-10T19:02:12"/>
    <s v="Y"/>
    <s v="Attendance upon client"/>
    <s v="Care Remuneration Hourly Rates"/>
    <s v="Profit Cost"/>
    <s v="RLA"/>
    <s v="Y"/>
    <n v="18.14"/>
    <n v="3.63"/>
    <x v="2"/>
    <s v="VALIDATED"/>
    <n v="1"/>
    <s v="01.11.80.308.6100.0000"/>
    <n v="18.14"/>
    <s v="11"/>
    <s v="6100"/>
    <n v="41014.84"/>
    <n v="18.14"/>
    <s v="CREDITOR"/>
    <n v="0"/>
    <n v="0"/>
    <n v="0"/>
    <n v="0"/>
    <n v="18.14"/>
  </r>
  <r>
    <n v="56378698"/>
    <s v="N"/>
    <n v="21350058"/>
    <s v="3000013381950016"/>
    <s v="CIVIL"/>
    <d v="2023-06-28T00:00:00"/>
    <d v="2023-07-10T19:01:40"/>
    <m/>
    <d v="2023-07-10T00:00:00"/>
    <n v="1749"/>
    <n v="19529"/>
    <s v="56378698"/>
    <s v="56378698"/>
    <m/>
    <m/>
    <n v="22781026"/>
    <m/>
    <m/>
    <m/>
    <s v="SOLFIN"/>
    <s v="SOLFIN"/>
    <s v="CCMS"/>
    <n v="21350058"/>
    <n v="15196.66"/>
    <m/>
    <s v="N"/>
    <n v="49"/>
    <d v="2023-07-10T19:02:12"/>
    <s v="Y"/>
    <s v="Preparation - other"/>
    <s v="Care Remuneration Hourly Rates"/>
    <s v="Profit Cost"/>
    <s v="ML"/>
    <s v="Y"/>
    <n v="15.77"/>
    <n v="3.15"/>
    <x v="2"/>
    <s v="VALIDATED"/>
    <n v="1"/>
    <s v="01.11.80.308.6100.0000"/>
    <n v="15.77"/>
    <s v="11"/>
    <s v="6100"/>
    <n v="41014.84"/>
    <n v="15.77"/>
    <s v="CREDITOR"/>
    <n v="0"/>
    <n v="0"/>
    <n v="0"/>
    <n v="0"/>
    <n v="15.77"/>
  </r>
  <r>
    <n v="56378698"/>
    <s v="N"/>
    <n v="21350058"/>
    <s v="3000013381950016"/>
    <s v="CIVIL"/>
    <d v="2023-06-28T00:00:00"/>
    <d v="2023-07-10T19:01:40"/>
    <m/>
    <d v="2023-07-10T00:00:00"/>
    <n v="1749"/>
    <n v="19529"/>
    <s v="56378698"/>
    <s v="56378698"/>
    <m/>
    <m/>
    <n v="22781026"/>
    <m/>
    <m/>
    <m/>
    <s v="SOLFIN"/>
    <s v="SOLFIN"/>
    <s v="CCMS"/>
    <n v="21350058"/>
    <n v="15196.66"/>
    <m/>
    <s v="N"/>
    <n v="36"/>
    <d v="2023-07-10T19:02:12"/>
    <s v="Y"/>
    <s v="Preparation - other"/>
    <s v="Care Remuneration Hourly Rates"/>
    <s v="Profit Cost"/>
    <s v="ML"/>
    <s v="Y"/>
    <n v="21.03"/>
    <n v="4.21"/>
    <x v="2"/>
    <s v="VALIDATED"/>
    <n v="1"/>
    <s v="01.11.80.308.6100.0000"/>
    <n v="21.03"/>
    <s v="11"/>
    <s v="6100"/>
    <n v="41014.84"/>
    <n v="21.03"/>
    <s v="CREDITOR"/>
    <n v="0"/>
    <n v="0"/>
    <n v="0"/>
    <n v="0"/>
    <n v="21.03"/>
  </r>
  <r>
    <n v="56378698"/>
    <s v="N"/>
    <n v="21350058"/>
    <s v="3000013381950016"/>
    <s v="CIVIL"/>
    <d v="2023-06-28T00:00:00"/>
    <d v="2023-07-10T19:01:40"/>
    <m/>
    <d v="2023-07-10T00:00:00"/>
    <n v="1749"/>
    <n v="19529"/>
    <s v="56378698"/>
    <s v="56378698"/>
    <m/>
    <m/>
    <n v="22781026"/>
    <m/>
    <m/>
    <m/>
    <s v="SOLFIN"/>
    <s v="SOLFIN"/>
    <s v="CCMS"/>
    <n v="21350058"/>
    <n v="15196.66"/>
    <m/>
    <s v="N"/>
    <n v="44"/>
    <d v="2023-07-10T19:02:12"/>
    <s v="Y"/>
    <s v="Preparation - other"/>
    <s v="Care Remuneration Hourly Rates"/>
    <s v="Profit Cost"/>
    <s v="ML"/>
    <s v="Y"/>
    <n v="5.26"/>
    <n v="1.05"/>
    <x v="2"/>
    <s v="VALIDATED"/>
    <n v="1"/>
    <s v="01.11.80.308.6100.0000"/>
    <n v="5.26"/>
    <s v="11"/>
    <s v="6100"/>
    <n v="41014.84"/>
    <n v="5.26"/>
    <s v="CREDITOR"/>
    <n v="0"/>
    <n v="0"/>
    <n v="0"/>
    <n v="0"/>
    <n v="5.26"/>
  </r>
  <r>
    <n v="56378698"/>
    <s v="N"/>
    <n v="21350058"/>
    <s v="3000013381950016"/>
    <s v="CIVIL"/>
    <d v="2023-06-28T00:00:00"/>
    <d v="2023-07-10T19:01:40"/>
    <m/>
    <d v="2023-07-10T00:00:00"/>
    <n v="1749"/>
    <n v="19529"/>
    <s v="56378698"/>
    <s v="56378698"/>
    <m/>
    <m/>
    <n v="22781026"/>
    <m/>
    <m/>
    <m/>
    <s v="SOLFIN"/>
    <s v="SOLFIN"/>
    <s v="CCMS"/>
    <n v="21350058"/>
    <n v="15196.66"/>
    <m/>
    <s v="N"/>
    <n v="62"/>
    <d v="2023-07-10T19:02:12"/>
    <s v="Y"/>
    <s v="Preparation - other"/>
    <s v="Care Remuneration Hourly Rates"/>
    <s v="Profit Cost"/>
    <s v="ADA"/>
    <s v="Y"/>
    <n v="63.08"/>
    <n v="12.62"/>
    <x v="2"/>
    <s v="VALIDATED"/>
    <n v="1"/>
    <s v="01.11.80.308.6100.0000"/>
    <n v="63.08"/>
    <s v="11"/>
    <s v="6100"/>
    <n v="41014.84"/>
    <n v="63.08"/>
    <s v="CREDITOR"/>
    <n v="0"/>
    <n v="0"/>
    <n v="0"/>
    <n v="0"/>
    <n v="63.08"/>
  </r>
  <r>
    <n v="60309343"/>
    <s v="N"/>
    <n v="21319986"/>
    <s v="3000014610440025"/>
    <s v="CIVIL"/>
    <d v="2023-06-26T00:00:00"/>
    <d v="2023-07-03T19:04:24"/>
    <m/>
    <d v="2023-07-03T00:00:00"/>
    <n v="1749"/>
    <n v="19529"/>
    <s v="60309343"/>
    <s v="60309343"/>
    <m/>
    <m/>
    <n v="22763414"/>
    <m/>
    <m/>
    <m/>
    <s v="SOLFIN"/>
    <s v="SOLFIN"/>
    <s v="CCMS"/>
    <n v="21319986"/>
    <n v="17867.12"/>
    <m/>
    <s v="N"/>
    <n v="11"/>
    <d v="2023-07-03T19:04:28"/>
    <s v="Y"/>
    <s v="Child psychologist"/>
    <s v="VHCC"/>
    <s v="Expert Disbursement"/>
    <s v="PSYLEWIS LTD - inv PSYL/1222/0H7"/>
    <s v="Y"/>
    <n v="470.4"/>
    <n v="0"/>
    <x v="3"/>
    <s v="VALIDATED"/>
    <n v="1"/>
    <s v="01.11.80.308.6300.0000"/>
    <n v="470.4"/>
    <s v="11"/>
    <s v="6300"/>
    <n v="41014.84"/>
    <n v="470.4"/>
    <s v="CREDITOR"/>
    <n v="0"/>
    <n v="0"/>
    <n v="0"/>
    <n v="0"/>
    <n v="470.4"/>
  </r>
  <r>
    <n v="56378698"/>
    <s v="N"/>
    <n v="21350058"/>
    <s v="3000013381950016"/>
    <s v="CIVIL"/>
    <d v="2023-06-28T00:00:00"/>
    <d v="2023-07-10T19:01:40"/>
    <m/>
    <d v="2023-07-10T00:00:00"/>
    <n v="1749"/>
    <n v="19529"/>
    <s v="56378698"/>
    <s v="56378698"/>
    <m/>
    <m/>
    <n v="22781026"/>
    <m/>
    <m/>
    <m/>
    <s v="SOLFIN"/>
    <s v="SOLFIN"/>
    <s v="CCMS"/>
    <n v="21350058"/>
    <n v="15196.66"/>
    <m/>
    <s v="N"/>
    <n v="99"/>
    <d v="2023-07-10T19:02:12"/>
    <s v="Y"/>
    <s v="Preparation - other"/>
    <s v="Care Remuneration Hourly Rates"/>
    <s v="Profit Cost"/>
    <s v="GT"/>
    <s v="Y"/>
    <n v="5.26"/>
    <n v="1.05"/>
    <x v="2"/>
    <s v="VALIDATED"/>
    <n v="1"/>
    <s v="01.11.80.308.6100.0000"/>
    <n v="5.26"/>
    <s v="11"/>
    <s v="6100"/>
    <n v="41014.84"/>
    <n v="5.26"/>
    <s v="CREDITOR"/>
    <n v="0"/>
    <n v="0"/>
    <n v="0"/>
    <n v="0"/>
    <n v="5.26"/>
  </r>
  <r>
    <n v="59643769"/>
    <s v="N"/>
    <n v="21334040"/>
    <s v="3000014040750006RC"/>
    <s v="CIVIL"/>
    <d v="2023-06-23T00:00:00"/>
    <d v="2023-07-05T19:42:28"/>
    <m/>
    <d v="2023-07-05T00:00:00"/>
    <n v="1752"/>
    <n v="19552"/>
    <s v="59643769"/>
    <s v="59643769"/>
    <m/>
    <m/>
    <m/>
    <m/>
    <m/>
    <m/>
    <s v="SOLRECOUP"/>
    <s v="SOLRECOUP"/>
    <s v="POARECOUP"/>
    <n v="21334040"/>
    <n v="-167"/>
    <m/>
    <s v="Y"/>
    <n v="1"/>
    <d v="2023-07-05T19:42:30"/>
    <s v="N"/>
    <m/>
    <m/>
    <s v="Non Expert Disbursement"/>
    <m/>
    <s v="N"/>
    <n v="-167"/>
    <n v="0"/>
    <x v="6"/>
    <s v="VALIDATED"/>
    <n v="1"/>
    <s v="01.11.80.308.2013.0000"/>
    <n v="-167"/>
    <s v="11"/>
    <s v="2013"/>
    <n v="15335.74"/>
    <n v="-167"/>
    <s v="CREDITOR"/>
    <n v="0"/>
    <n v="0"/>
    <n v="-167"/>
    <n v="0"/>
    <n v="0"/>
  </r>
  <r>
    <n v="59643769"/>
    <s v="N"/>
    <n v="21334040"/>
    <s v="3000014040750006RC"/>
    <s v="CIVIL"/>
    <d v="2023-06-23T00:00:00"/>
    <d v="2023-07-05T19:42:28"/>
    <m/>
    <d v="2023-07-05T00:00:00"/>
    <n v="1752"/>
    <n v="19552"/>
    <s v="59643769"/>
    <s v="59643769"/>
    <m/>
    <m/>
    <m/>
    <m/>
    <m/>
    <m/>
    <s v="SOLRECOUP"/>
    <s v="SOLRECOUP"/>
    <s v="POARECOUP"/>
    <n v="21334040"/>
    <n v="-167"/>
    <m/>
    <s v="Y"/>
    <n v="2"/>
    <d v="2023-07-05T19:42:30"/>
    <s v="N"/>
    <m/>
    <m/>
    <s v="Non Expert Disbursement"/>
    <m/>
    <s v="N"/>
    <n v="0"/>
    <n v="0"/>
    <x v="6"/>
    <s v="VALIDATED"/>
    <n v="1"/>
    <s v="01.11.80.000.0000.0000"/>
    <n v="0"/>
    <s v="11"/>
    <s v="0000"/>
    <n v="15335.74"/>
    <n v="0"/>
    <s v="CREDITOR"/>
    <n v="0"/>
    <n v="0"/>
    <n v="0"/>
    <n v="0"/>
    <n v="0"/>
  </r>
  <r>
    <n v="59643769"/>
    <s v="N"/>
    <n v="21334041"/>
    <s v="3000014040750007RC"/>
    <s v="CIVIL"/>
    <d v="2023-06-23T00:00:00"/>
    <d v="2023-07-05T19:42:28"/>
    <m/>
    <d v="2023-07-05T00:00:00"/>
    <n v="1752"/>
    <n v="19552"/>
    <s v="59643769"/>
    <s v="59643769"/>
    <m/>
    <m/>
    <m/>
    <m/>
    <m/>
    <m/>
    <s v="SOLRECOUP"/>
    <s v="SOLRECOUP"/>
    <s v="POARECOUP"/>
    <n v="21334041"/>
    <n v="-1632.54"/>
    <m/>
    <s v="Y"/>
    <n v="1"/>
    <d v="2023-07-05T19:42:30"/>
    <s v="N"/>
    <m/>
    <m/>
    <s v="Profit Cost"/>
    <m/>
    <s v="N"/>
    <n v="-1360.45"/>
    <n v="0"/>
    <x v="6"/>
    <s v="VALIDATED"/>
    <n v="1"/>
    <s v="01.11.80.308.2013.0000"/>
    <n v="-1360.45"/>
    <s v="11"/>
    <s v="2013"/>
    <n v="15335.74"/>
    <n v="-1360.45"/>
    <s v="CREDITOR"/>
    <n v="0"/>
    <n v="0"/>
    <n v="-1360.45"/>
    <n v="-340.1125"/>
    <n v="0"/>
  </r>
  <r>
    <n v="59643769"/>
    <s v="N"/>
    <n v="21334041"/>
    <s v="3000014040750007RC"/>
    <s v="CIVIL"/>
    <d v="2023-06-23T00:00:00"/>
    <d v="2023-07-05T19:42:28"/>
    <m/>
    <d v="2023-07-05T00:00:00"/>
    <n v="1752"/>
    <n v="19552"/>
    <s v="59643769"/>
    <s v="59643769"/>
    <m/>
    <m/>
    <m/>
    <m/>
    <m/>
    <m/>
    <s v="SOLRECOUP"/>
    <s v="SOLRECOUP"/>
    <s v="POARECOUP"/>
    <n v="21334041"/>
    <n v="-1632.54"/>
    <m/>
    <s v="Y"/>
    <n v="2"/>
    <d v="2023-07-05T19:42:30"/>
    <s v="N"/>
    <m/>
    <m/>
    <s v="Profit Cost"/>
    <m/>
    <s v="N"/>
    <n v="0"/>
    <n v="-272.09"/>
    <x v="6"/>
    <s v="VALIDATED"/>
    <n v="1"/>
    <s v="01.11.80.308.2013.0000"/>
    <n v="-272.09"/>
    <s v="11"/>
    <s v="2013"/>
    <n v="15335.74"/>
    <n v="-272.09"/>
    <s v="CREDITOR"/>
    <n v="0"/>
    <n v="0"/>
    <n v="-272.09"/>
    <n v="-68.02249999999999"/>
    <n v="0"/>
  </r>
  <r>
    <n v="59643769"/>
    <s v="N"/>
    <n v="21334042"/>
    <s v="3000014040750009RC"/>
    <s v="CIVIL"/>
    <d v="2023-06-23T00:00:00"/>
    <d v="2023-07-05T19:42:28"/>
    <m/>
    <d v="2023-07-05T00:00:00"/>
    <n v="1752"/>
    <n v="19552"/>
    <s v="59643769"/>
    <s v="59643769"/>
    <m/>
    <m/>
    <m/>
    <m/>
    <m/>
    <m/>
    <s v="SOLRECOUP"/>
    <s v="SOLRECOUP"/>
    <s v="POARECOUP"/>
    <n v="21334042"/>
    <n v="-232.92"/>
    <m/>
    <s v="Y"/>
    <n v="1"/>
    <d v="2023-07-05T19:42:30"/>
    <s v="N"/>
    <m/>
    <m/>
    <s v="Expert Disbursement"/>
    <m/>
    <s v="N"/>
    <n v="-232.92"/>
    <n v="0"/>
    <x v="6"/>
    <s v="VALIDATED"/>
    <n v="1"/>
    <s v="01.11.80.308.2013.0000"/>
    <n v="-232.92"/>
    <s v="11"/>
    <s v="2013"/>
    <n v="15335.74"/>
    <n v="-232.92"/>
    <s v="CREDITOR"/>
    <n v="0"/>
    <n v="0"/>
    <n v="-232.92"/>
    <n v="0"/>
    <n v="0"/>
  </r>
  <r>
    <n v="59643769"/>
    <s v="N"/>
    <n v="21334042"/>
    <s v="3000014040750009RC"/>
    <s v="CIVIL"/>
    <d v="2023-06-23T00:00:00"/>
    <d v="2023-07-05T19:42:28"/>
    <m/>
    <d v="2023-07-05T00:00:00"/>
    <n v="1752"/>
    <n v="19552"/>
    <s v="59643769"/>
    <s v="59643769"/>
    <m/>
    <m/>
    <m/>
    <m/>
    <m/>
    <m/>
    <s v="SOLRECOUP"/>
    <s v="SOLRECOUP"/>
    <s v="POARECOUP"/>
    <n v="21334042"/>
    <n v="-232.92"/>
    <m/>
    <s v="Y"/>
    <n v="2"/>
    <d v="2023-07-05T19:42:30"/>
    <s v="N"/>
    <m/>
    <m/>
    <s v="Expert Disbursement"/>
    <m/>
    <s v="N"/>
    <n v="0"/>
    <n v="0"/>
    <x v="6"/>
    <s v="VALIDATED"/>
    <n v="1"/>
    <s v="01.11.80.000.0000.0000"/>
    <n v="0"/>
    <s v="11"/>
    <s v="0000"/>
    <n v="15335.74"/>
    <n v="0"/>
    <s v="CREDITOR"/>
    <n v="0"/>
    <n v="0"/>
    <n v="0"/>
    <n v="0"/>
    <n v="0"/>
  </r>
  <r>
    <n v="59643769"/>
    <s v="N"/>
    <n v="21334043"/>
    <s v="3000014040750012RC"/>
    <s v="CIVIL"/>
    <d v="2023-06-23T00:00:00"/>
    <d v="2023-07-05T19:42:28"/>
    <m/>
    <d v="2023-07-05T00:00:00"/>
    <n v="1752"/>
    <n v="19552"/>
    <s v="59643769"/>
    <s v="59643769"/>
    <m/>
    <m/>
    <m/>
    <m/>
    <m/>
    <m/>
    <s v="SOLRECOUP"/>
    <s v="SOLRECOUP"/>
    <s v="POARECOUP"/>
    <n v="21334043"/>
    <n v="-314.98"/>
    <m/>
    <s v="Y"/>
    <n v="1"/>
    <d v="2023-07-05T19:42:30"/>
    <s v="N"/>
    <m/>
    <m/>
    <s v="Expert Disbursement"/>
    <m/>
    <s v="N"/>
    <n v="-314.98"/>
    <n v="0"/>
    <x v="6"/>
    <s v="VALIDATED"/>
    <n v="1"/>
    <s v="01.11.80.308.2013.0000"/>
    <n v="-314.98"/>
    <s v="11"/>
    <s v="2013"/>
    <n v="15335.74"/>
    <n v="-314.98"/>
    <s v="CREDITOR"/>
    <n v="0"/>
    <n v="0"/>
    <n v="-314.98"/>
    <n v="0"/>
    <n v="0"/>
  </r>
  <r>
    <n v="59643769"/>
    <s v="N"/>
    <n v="21334043"/>
    <s v="3000014040750012RC"/>
    <s v="CIVIL"/>
    <d v="2023-06-23T00:00:00"/>
    <d v="2023-07-05T19:42:28"/>
    <m/>
    <d v="2023-07-05T00:00:00"/>
    <n v="1752"/>
    <n v="19552"/>
    <s v="59643769"/>
    <s v="59643769"/>
    <m/>
    <m/>
    <m/>
    <m/>
    <m/>
    <m/>
    <s v="SOLRECOUP"/>
    <s v="SOLRECOUP"/>
    <s v="POARECOUP"/>
    <n v="21334043"/>
    <n v="-314.98"/>
    <m/>
    <s v="Y"/>
    <n v="2"/>
    <d v="2023-07-05T19:42:30"/>
    <s v="N"/>
    <m/>
    <m/>
    <s v="Expert Disbursement"/>
    <m/>
    <s v="N"/>
    <n v="0"/>
    <n v="0"/>
    <x v="6"/>
    <s v="VALIDATED"/>
    <n v="1"/>
    <s v="01.11.80.000.0000.0000"/>
    <n v="0"/>
    <s v="11"/>
    <s v="0000"/>
    <n v="15335.74"/>
    <n v="0"/>
    <s v="CREDITOR"/>
    <n v="0"/>
    <n v="0"/>
    <n v="0"/>
    <n v="0"/>
    <n v="0"/>
  </r>
  <r>
    <n v="59643769"/>
    <s v="N"/>
    <n v="21334044"/>
    <s v="3000014040750013RC"/>
    <s v="CIVIL"/>
    <d v="2023-06-23T00:00:00"/>
    <d v="2023-07-05T19:42:28"/>
    <m/>
    <d v="2023-07-05T00:00:00"/>
    <n v="1752"/>
    <n v="19552"/>
    <s v="59643769"/>
    <s v="59643769"/>
    <m/>
    <m/>
    <m/>
    <m/>
    <m/>
    <m/>
    <s v="SOLRECOUP"/>
    <s v="SOLRECOUP"/>
    <s v="POARECOUP"/>
    <n v="21334044"/>
    <n v="-1814.27"/>
    <m/>
    <s v="Y"/>
    <n v="1"/>
    <d v="2023-07-05T19:42:30"/>
    <s v="N"/>
    <m/>
    <m/>
    <s v="Profit Cost"/>
    <m/>
    <s v="N"/>
    <n v="-1511.89"/>
    <n v="0"/>
    <x v="6"/>
    <s v="VALIDATED"/>
    <n v="1"/>
    <s v="01.11.80.308.2013.0000"/>
    <n v="-1511.89"/>
    <s v="11"/>
    <s v="2013"/>
    <n v="15335.74"/>
    <n v="-1511.89"/>
    <s v="CREDITOR"/>
    <n v="0"/>
    <n v="0"/>
    <n v="-1511.89"/>
    <n v="-377.9725"/>
    <n v="0"/>
  </r>
  <r>
    <n v="59643769"/>
    <s v="N"/>
    <n v="21334044"/>
    <s v="3000014040750013RC"/>
    <s v="CIVIL"/>
    <d v="2023-06-23T00:00:00"/>
    <d v="2023-07-05T19:42:28"/>
    <m/>
    <d v="2023-07-05T00:00:00"/>
    <n v="1752"/>
    <n v="19552"/>
    <s v="59643769"/>
    <s v="59643769"/>
    <m/>
    <m/>
    <m/>
    <m/>
    <m/>
    <m/>
    <s v="SOLRECOUP"/>
    <s v="SOLRECOUP"/>
    <s v="POARECOUP"/>
    <n v="21334044"/>
    <n v="-1814.27"/>
    <m/>
    <s v="Y"/>
    <n v="2"/>
    <d v="2023-07-05T19:42:30"/>
    <s v="N"/>
    <m/>
    <m/>
    <s v="Profit Cost"/>
    <m/>
    <s v="N"/>
    <n v="0"/>
    <n v="-302.38"/>
    <x v="6"/>
    <s v="VALIDATED"/>
    <n v="1"/>
    <s v="01.11.80.308.2013.0000"/>
    <n v="-302.38"/>
    <s v="11"/>
    <s v="2013"/>
    <n v="15335.74"/>
    <n v="-302.38"/>
    <s v="CREDITOR"/>
    <n v="0"/>
    <n v="0"/>
    <n v="-302.38"/>
    <n v="-75.595"/>
    <n v="0"/>
  </r>
  <r>
    <n v="59643769"/>
    <s v="N"/>
    <n v="21334045"/>
    <s v="3000014040750016RC"/>
    <s v="CIVIL"/>
    <d v="2023-06-23T00:00:00"/>
    <d v="2023-07-05T19:42:28"/>
    <m/>
    <d v="2023-07-05T00:00:00"/>
    <n v="1752"/>
    <n v="19552"/>
    <s v="59643769"/>
    <s v="59643769"/>
    <m/>
    <m/>
    <m/>
    <m/>
    <m/>
    <m/>
    <s v="SOLRECOUP"/>
    <s v="SOLRECOUP"/>
    <s v="POARECOUP"/>
    <n v="21334045"/>
    <n v="-33.19"/>
    <m/>
    <s v="Y"/>
    <n v="1"/>
    <d v="2023-07-05T19:42:30"/>
    <s v="N"/>
    <m/>
    <m/>
    <s v="Expert Disbursement"/>
    <m/>
    <s v="N"/>
    <n v="-33.19"/>
    <n v="0"/>
    <x v="6"/>
    <s v="VALIDATED"/>
    <n v="1"/>
    <s v="01.11.80.308.2013.0000"/>
    <n v="-33.19"/>
    <s v="11"/>
    <s v="2013"/>
    <n v="15335.74"/>
    <n v="-33.19"/>
    <s v="CREDITOR"/>
    <n v="0"/>
    <n v="0"/>
    <n v="-33.19"/>
    <n v="0"/>
    <n v="0"/>
  </r>
  <r>
    <n v="59643769"/>
    <s v="N"/>
    <n v="21334045"/>
    <s v="3000014040750016RC"/>
    <s v="CIVIL"/>
    <d v="2023-06-23T00:00:00"/>
    <d v="2023-07-05T19:42:28"/>
    <m/>
    <d v="2023-07-05T00:00:00"/>
    <n v="1752"/>
    <n v="19552"/>
    <s v="59643769"/>
    <s v="59643769"/>
    <m/>
    <m/>
    <m/>
    <m/>
    <m/>
    <m/>
    <s v="SOLRECOUP"/>
    <s v="SOLRECOUP"/>
    <s v="POARECOUP"/>
    <n v="21334045"/>
    <n v="-33.19"/>
    <m/>
    <s v="Y"/>
    <n v="2"/>
    <d v="2023-07-05T19:42:30"/>
    <s v="N"/>
    <m/>
    <m/>
    <s v="Expert Disbursement"/>
    <m/>
    <s v="N"/>
    <n v="0"/>
    <n v="0"/>
    <x v="6"/>
    <s v="VALIDATED"/>
    <n v="1"/>
    <s v="01.11.80.000.0000.0000"/>
    <n v="0"/>
    <s v="11"/>
    <s v="0000"/>
    <n v="15335.74"/>
    <n v="0"/>
    <s v="CREDITOR"/>
    <n v="0"/>
    <n v="0"/>
    <n v="0"/>
    <n v="0"/>
    <n v="0"/>
  </r>
  <r>
    <n v="60956355"/>
    <s v="N"/>
    <n v="21327484"/>
    <s v="3000015170910013"/>
    <s v="CIVIL"/>
    <d v="2023-06-26T00:00:00"/>
    <d v="2023-07-04T19:00:44"/>
    <m/>
    <d v="2023-07-04T00:00:00"/>
    <n v="1752"/>
    <n v="19552"/>
    <s v="60956355"/>
    <s v="60956355"/>
    <m/>
    <m/>
    <n v="22757856"/>
    <m/>
    <m/>
    <m/>
    <s v="SOLFIN"/>
    <s v="SOLFIN"/>
    <s v="CCMS"/>
    <n v="21327484"/>
    <n v="18248.76"/>
    <m/>
    <s v="N"/>
    <n v="6"/>
    <d v="2023-07-04T19:00:48"/>
    <s v="Y"/>
    <s v="Advocates Meeting"/>
    <s v="Public Law Children"/>
    <s v="Advocacy"/>
    <s v="Alison Bone"/>
    <s v="Y"/>
    <n v="140.99"/>
    <n v="28.2"/>
    <x v="1"/>
    <s v="VALIDATED"/>
    <n v="1"/>
    <s v="01.11.80.308.6100.0000"/>
    <n v="140.99"/>
    <s v="11"/>
    <s v="6100"/>
    <n v="15335.74"/>
    <n v="140.99"/>
    <s v="CREDITOR"/>
    <n v="0"/>
    <n v="0"/>
    <n v="0"/>
    <n v="0"/>
    <n v="140.99"/>
  </r>
  <r>
    <n v="59643769"/>
    <s v="N"/>
    <n v="21330992"/>
    <s v="3000014040750018"/>
    <s v="CIVIL"/>
    <d v="2023-06-23T00:00:00"/>
    <d v="2023-07-05T19:01:47"/>
    <m/>
    <d v="2023-07-05T00:00:00"/>
    <n v="1752"/>
    <n v="19552"/>
    <s v="59643769"/>
    <s v="59643769"/>
    <m/>
    <m/>
    <n v="22754606"/>
    <m/>
    <m/>
    <m/>
    <s v="SOLFIN"/>
    <s v="SOLFIN"/>
    <s v="CCMS"/>
    <n v="21330992"/>
    <n v="17884.65"/>
    <m/>
    <s v="N"/>
    <n v="10"/>
    <d v="2023-07-05T19:02:01"/>
    <s v="Y"/>
    <s v="DNA - test of sample"/>
    <s v="Public Law Children"/>
    <s v="Expert Disbursement"/>
    <s v="RT"/>
    <s v="Y"/>
    <n v="67.84"/>
    <n v="13.57"/>
    <x v="6"/>
    <s v="VALIDATED"/>
    <n v="1"/>
    <s v="01.11.80.308.6300.0000"/>
    <n v="67.84"/>
    <s v="11"/>
    <s v="6300"/>
    <n v="15335.74"/>
    <n v="67.84"/>
    <s v="CREDITOR"/>
    <n v="0"/>
    <n v="0"/>
    <n v="0"/>
    <n v="0"/>
    <n v="67.84"/>
  </r>
  <r>
    <n v="60892435"/>
    <s v="N"/>
    <n v="21323602"/>
    <s v="3000015115660009"/>
    <s v="CIVIL"/>
    <d v="2023-06-30T00:00:00"/>
    <d v="2023-07-03T19:05:56"/>
    <m/>
    <d v="2023-07-03T00:00:00"/>
    <n v="1752"/>
    <n v="19552"/>
    <s v="60892435"/>
    <s v="60892435"/>
    <m/>
    <m/>
    <n v="22796514"/>
    <m/>
    <m/>
    <m/>
    <s v="SOLPOA"/>
    <s v="SOLPOA"/>
    <s v="CCMS"/>
    <n v="21323602"/>
    <n v="272.68"/>
    <m/>
    <s v="N"/>
    <n v="1"/>
    <d v="2023-07-03T19:05:58"/>
    <s v="N"/>
    <s v="Expert Cost"/>
    <s v="Expert Cost"/>
    <s v="Expert Disbursement"/>
    <s v="Alison Bone"/>
    <s v="N"/>
    <n v="272.68"/>
    <n v="0"/>
    <x v="3"/>
    <s v="VALIDATED"/>
    <n v="1"/>
    <s v="01.11.80.308.2012.0000"/>
    <n v="272.68"/>
    <s v="11"/>
    <s v="2012"/>
    <n v="15335.74"/>
    <n v="272.68"/>
    <s v="CREDITOR"/>
    <n v="272.68"/>
    <n v="0"/>
    <n v="0"/>
    <n v="0"/>
    <n v="0"/>
  </r>
  <r>
    <n v="60164519"/>
    <s v="N"/>
    <n v="21349839"/>
    <s v="3000014486780007"/>
    <s v="CIVIL"/>
    <d v="2023-06-29T00:00:00"/>
    <d v="2023-07-10T19:01:40"/>
    <m/>
    <d v="2023-07-10T00:00:00"/>
    <n v="1752"/>
    <n v="19552"/>
    <s v="60164519"/>
    <s v="60164519"/>
    <m/>
    <m/>
    <n v="22786506"/>
    <m/>
    <m/>
    <m/>
    <s v="SOLINT"/>
    <s v="SOLINT"/>
    <s v="CCMS"/>
    <n v="21349839"/>
    <n v="0"/>
    <m/>
    <s v="N"/>
    <n v="1"/>
    <d v="2023-07-10T19:01:59"/>
    <s v="N"/>
    <s v="NIL BILL"/>
    <s v="Public Law Children"/>
    <s v="Profit Cost"/>
    <s v="Sarah De-Maine"/>
    <s v="N"/>
    <n v="0"/>
    <n v="0"/>
    <x v="2"/>
    <s v="VALIDATED"/>
    <n v="1"/>
    <s v="01.11.80.308.6100.0000"/>
    <n v="0"/>
    <s v="11"/>
    <s v="6100"/>
    <n v="15335.74"/>
    <n v="0"/>
    <s v="CREDITOR"/>
    <n v="0"/>
    <n v="0"/>
    <n v="0"/>
    <n v="0"/>
    <n v="0"/>
  </r>
  <r>
    <n v="59643769"/>
    <s v="N"/>
    <n v="21330992"/>
    <s v="3000014040750018"/>
    <s v="CIVIL"/>
    <d v="2023-06-23T00:00:00"/>
    <d v="2023-07-05T19:01:47"/>
    <m/>
    <d v="2023-07-05T00:00:00"/>
    <n v="1752"/>
    <n v="19552"/>
    <s v="59643769"/>
    <s v="59643769"/>
    <m/>
    <m/>
    <n v="22754606"/>
    <m/>
    <m/>
    <m/>
    <s v="SOLFIN"/>
    <s v="SOLFIN"/>
    <s v="CCMS"/>
    <n v="21330992"/>
    <n v="17884.65"/>
    <m/>
    <s v="N"/>
    <n v="21"/>
    <d v="2023-07-05T19:02:01"/>
    <s v="Y"/>
    <s v="Final Hearing - 1 Day"/>
    <s v="Public Law Children"/>
    <s v="Advocacy"/>
    <s v="RT"/>
    <s v="Y"/>
    <n v="556.88"/>
    <n v="111.38"/>
    <x v="6"/>
    <s v="VALIDATED"/>
    <n v="1"/>
    <s v="01.11.80.308.6100.0000"/>
    <n v="556.88"/>
    <s v="11"/>
    <s v="6100"/>
    <n v="15335.74"/>
    <n v="556.88"/>
    <s v="CREDITOR"/>
    <n v="0"/>
    <n v="0"/>
    <n v="0"/>
    <n v="0"/>
    <n v="556.88"/>
  </r>
  <r>
    <n v="62260234"/>
    <s v="N"/>
    <n v="21323720"/>
    <s v="3000016258110003"/>
    <s v="CIVIL"/>
    <d v="2023-06-30T00:00:00"/>
    <d v="2023-07-03T19:05:56"/>
    <m/>
    <d v="2023-07-03T00:00:00"/>
    <n v="1752"/>
    <n v="19552"/>
    <s v="62260234"/>
    <s v="62260234"/>
    <m/>
    <m/>
    <n v="22794872"/>
    <m/>
    <m/>
    <m/>
    <s v="SOLPOA"/>
    <s v="SOLPOA"/>
    <s v="CCMS"/>
    <n v="21323720"/>
    <n v="980.45"/>
    <m/>
    <s v="N"/>
    <n v="1"/>
    <d v="2023-07-03T19:05:58"/>
    <s v="N"/>
    <s v="Expert Cost"/>
    <s v="Expert Cost"/>
    <s v="Expert Disbursement"/>
    <s v="Alison Bone"/>
    <s v="N"/>
    <n v="980.45"/>
    <n v="0"/>
    <x v="3"/>
    <s v="VALIDATED"/>
    <n v="1"/>
    <s v="01.11.80.308.2012.0000"/>
    <n v="980.45"/>
    <s v="11"/>
    <s v="2012"/>
    <n v="15335.74"/>
    <n v="980.45"/>
    <s v="CREDITOR"/>
    <n v="980.45"/>
    <n v="0"/>
    <n v="0"/>
    <n v="0"/>
    <n v="0"/>
  </r>
  <r>
    <n v="60956355"/>
    <s v="N"/>
    <n v="21327484"/>
    <s v="3000015170910013"/>
    <s v="CIVIL"/>
    <d v="2023-06-26T00:00:00"/>
    <d v="2023-07-04T19:00:44"/>
    <m/>
    <d v="2023-07-04T00:00:00"/>
    <n v="1752"/>
    <n v="19552"/>
    <s v="60956355"/>
    <s v="60956355"/>
    <m/>
    <m/>
    <n v="22757856"/>
    <m/>
    <m/>
    <m/>
    <s v="SOLFIN"/>
    <s v="SOLFIN"/>
    <s v="CCMS"/>
    <n v="21327484"/>
    <n v="18248.76"/>
    <m/>
    <s v="N"/>
    <n v="5"/>
    <d v="2023-07-04T19:00:48"/>
    <s v="Y"/>
    <s v="Toxicologist"/>
    <s v="Public Law Children"/>
    <s v="Expert Disbursement"/>
    <s v="Alison Bone"/>
    <s v="Y"/>
    <n v="171.2"/>
    <n v="34.24"/>
    <x v="1"/>
    <s v="VALIDATED"/>
    <n v="1"/>
    <s v="01.11.80.308.6300.0000"/>
    <n v="171.2"/>
    <s v="11"/>
    <s v="6300"/>
    <n v="15335.74"/>
    <n v="171.2"/>
    <s v="CREDITOR"/>
    <n v="0"/>
    <n v="0"/>
    <n v="0"/>
    <n v="0"/>
    <n v="171.2"/>
  </r>
  <r>
    <n v="60956355"/>
    <s v="N"/>
    <n v="21327484"/>
    <s v="3000015170910013"/>
    <s v="CIVIL"/>
    <d v="2023-06-26T00:00:00"/>
    <d v="2023-07-04T19:00:44"/>
    <m/>
    <d v="2023-07-04T00:00:00"/>
    <n v="1752"/>
    <n v="19552"/>
    <s v="60956355"/>
    <s v="60956355"/>
    <m/>
    <m/>
    <n v="22757856"/>
    <m/>
    <m/>
    <m/>
    <s v="SOLFIN"/>
    <s v="SOLFIN"/>
    <s v="CCMS"/>
    <n v="21327484"/>
    <n v="18248.76"/>
    <m/>
    <s v="N"/>
    <n v="3"/>
    <d v="2023-07-04T19:00:48"/>
    <s v="Y"/>
    <s v="Toxicologist"/>
    <s v="Public Law Children"/>
    <s v="Expert Disbursement"/>
    <s v="Alison Bone"/>
    <s v="Y"/>
    <n v="152"/>
    <n v="30.4"/>
    <x v="1"/>
    <s v="VALIDATED"/>
    <n v="1"/>
    <s v="01.11.80.308.6300.0000"/>
    <n v="152"/>
    <s v="11"/>
    <s v="6300"/>
    <n v="15335.74"/>
    <n v="152"/>
    <s v="CREDITOR"/>
    <n v="0"/>
    <n v="0"/>
    <n v="0"/>
    <n v="0"/>
    <n v="152"/>
  </r>
  <r>
    <n v="59643769"/>
    <s v="N"/>
    <n v="21330992"/>
    <s v="3000014040750018"/>
    <s v="CIVIL"/>
    <d v="2023-06-23T00:00:00"/>
    <d v="2023-07-05T19:01:47"/>
    <m/>
    <d v="2023-07-05T00:00:00"/>
    <n v="1752"/>
    <n v="19552"/>
    <s v="59643769"/>
    <s v="59643769"/>
    <m/>
    <m/>
    <n v="22754606"/>
    <m/>
    <m/>
    <m/>
    <s v="SOLFIN"/>
    <s v="SOLFIN"/>
    <s v="CCMS"/>
    <n v="21330992"/>
    <n v="17884.65"/>
    <m/>
    <s v="N"/>
    <n v="20"/>
    <d v="2023-07-05T19:02:01"/>
    <s v="Y"/>
    <s v="Hearing Unit 1.01 - 2.30 Hours"/>
    <s v="Public Law Children"/>
    <s v="Advocacy"/>
    <s v="RT"/>
    <s v="Y"/>
    <n v="238.46"/>
    <n v="47.69"/>
    <x v="6"/>
    <s v="VALIDATED"/>
    <n v="1"/>
    <s v="01.11.80.308.6100.0000"/>
    <n v="238.46"/>
    <s v="11"/>
    <s v="6100"/>
    <n v="15335.74"/>
    <n v="238.46"/>
    <s v="CREDITOR"/>
    <n v="0"/>
    <n v="0"/>
    <n v="0"/>
    <n v="0"/>
    <n v="238.46"/>
  </r>
  <r>
    <n v="59643769"/>
    <s v="N"/>
    <n v="21330992"/>
    <s v="3000014040750018"/>
    <s v="CIVIL"/>
    <d v="2023-06-23T00:00:00"/>
    <d v="2023-07-05T19:01:47"/>
    <m/>
    <d v="2023-07-05T00:00:00"/>
    <n v="1752"/>
    <n v="19552"/>
    <s v="59643769"/>
    <s v="59643769"/>
    <m/>
    <m/>
    <n v="22754606"/>
    <m/>
    <m/>
    <m/>
    <s v="SOLFIN"/>
    <s v="SOLFIN"/>
    <s v="CCMS"/>
    <n v="21330992"/>
    <n v="17884.65"/>
    <m/>
    <s v="N"/>
    <n v="17"/>
    <d v="2023-07-05T19:02:01"/>
    <s v="Y"/>
    <s v="Advocates Meeting"/>
    <s v="Public Law Children"/>
    <s v="Advocacy"/>
    <s v="RT"/>
    <s v="Y"/>
    <n v="140.99"/>
    <n v="28.2"/>
    <x v="6"/>
    <s v="VALIDATED"/>
    <n v="1"/>
    <s v="01.11.80.308.6100.0000"/>
    <n v="140.99"/>
    <s v="11"/>
    <s v="6100"/>
    <n v="15335.74"/>
    <n v="140.99"/>
    <s v="CREDITOR"/>
    <n v="0"/>
    <n v="0"/>
    <n v="0"/>
    <n v="0"/>
    <n v="140.99"/>
  </r>
  <r>
    <n v="59643769"/>
    <s v="N"/>
    <n v="21330992"/>
    <s v="3000014040750018"/>
    <s v="CIVIL"/>
    <d v="2023-06-23T00:00:00"/>
    <d v="2023-07-05T19:01:47"/>
    <m/>
    <d v="2023-07-05T00:00:00"/>
    <n v="1752"/>
    <n v="19552"/>
    <s v="59643769"/>
    <s v="59643769"/>
    <m/>
    <m/>
    <n v="22754606"/>
    <m/>
    <m/>
    <m/>
    <s v="SOLFIN"/>
    <s v="SOLFIN"/>
    <s v="CCMS"/>
    <n v="21330992"/>
    <n v="17884.65"/>
    <m/>
    <s v="N"/>
    <n v="15"/>
    <d v="2023-07-05T19:02:01"/>
    <s v="Y"/>
    <s v="Final Hearing - 1 Day"/>
    <s v="Public Law Children"/>
    <s v="Advocacy"/>
    <s v="RT"/>
    <s v="Y"/>
    <n v="556.88"/>
    <n v="111.38"/>
    <x v="6"/>
    <s v="VALIDATED"/>
    <n v="1"/>
    <s v="01.11.80.308.6100.0000"/>
    <n v="556.88"/>
    <s v="11"/>
    <s v="6100"/>
    <n v="15335.74"/>
    <n v="556.88"/>
    <s v="CREDITOR"/>
    <n v="0"/>
    <n v="0"/>
    <n v="0"/>
    <n v="0"/>
    <n v="556.88"/>
  </r>
  <r>
    <n v="59643769"/>
    <s v="N"/>
    <n v="21330992"/>
    <s v="3000014040750018"/>
    <s v="CIVIL"/>
    <d v="2023-06-23T00:00:00"/>
    <d v="2023-07-05T19:01:47"/>
    <m/>
    <d v="2023-07-05T00:00:00"/>
    <n v="1752"/>
    <n v="19552"/>
    <s v="59643769"/>
    <s v="59643769"/>
    <m/>
    <m/>
    <n v="22754606"/>
    <m/>
    <m/>
    <m/>
    <s v="SOLFIN"/>
    <s v="SOLFIN"/>
    <s v="CCMS"/>
    <n v="21330992"/>
    <n v="17884.65"/>
    <m/>
    <s v="N"/>
    <n v="19"/>
    <d v="2023-07-05T19:02:01"/>
    <s v="Y"/>
    <s v="Hearing Unit 2.31 - 5.00 Hours"/>
    <s v="Public Law Children"/>
    <s v="Advocacy"/>
    <s v="RT"/>
    <s v="Y"/>
    <n v="476.92"/>
    <n v="95.38"/>
    <x v="6"/>
    <s v="VALIDATED"/>
    <n v="1"/>
    <s v="01.11.80.308.6100.0000"/>
    <n v="476.92"/>
    <s v="11"/>
    <s v="6100"/>
    <n v="15335.74"/>
    <n v="476.92"/>
    <s v="CREDITOR"/>
    <n v="0"/>
    <n v="0"/>
    <n v="0"/>
    <n v="0"/>
    <n v="476.92"/>
  </r>
  <r>
    <n v="60956355"/>
    <s v="N"/>
    <n v="21327484"/>
    <s v="3000015170910013"/>
    <s v="CIVIL"/>
    <d v="2023-06-26T00:00:00"/>
    <d v="2023-07-04T19:00:44"/>
    <m/>
    <d v="2023-07-04T00:00:00"/>
    <n v="1752"/>
    <n v="19552"/>
    <s v="60956355"/>
    <s v="60956355"/>
    <m/>
    <m/>
    <n v="22757856"/>
    <m/>
    <m/>
    <m/>
    <s v="SOLFIN"/>
    <s v="SOLFIN"/>
    <s v="CCMS"/>
    <n v="21327484"/>
    <n v="18248.76"/>
    <m/>
    <s v="N"/>
    <n v="1"/>
    <d v="2023-07-04T19:00:48"/>
    <s v="Y"/>
    <s v="Profit Costs (Summary)"/>
    <s v="Public Law Children"/>
    <s v="Profit Cost"/>
    <s v="Alison Bone"/>
    <s v="Y"/>
    <n v="12791.73"/>
    <n v="2558.35"/>
    <x v="1"/>
    <s v="VALIDATED"/>
    <n v="1"/>
    <s v="01.11.80.308.6100.0000"/>
    <n v="12791.73"/>
    <s v="11"/>
    <s v="6100"/>
    <n v="15335.74"/>
    <n v="12791.73"/>
    <s v="CREDITOR"/>
    <n v="0"/>
    <n v="0"/>
    <n v="0"/>
    <n v="0"/>
    <n v="12791.73"/>
  </r>
  <r>
    <n v="59643769"/>
    <s v="N"/>
    <n v="21330992"/>
    <s v="3000014040750018"/>
    <s v="CIVIL"/>
    <d v="2023-06-23T00:00:00"/>
    <d v="2023-07-05T19:01:47"/>
    <m/>
    <d v="2023-07-05T00:00:00"/>
    <n v="1752"/>
    <n v="19552"/>
    <s v="59643769"/>
    <s v="59643769"/>
    <m/>
    <m/>
    <n v="22754606"/>
    <m/>
    <m/>
    <m/>
    <s v="SOLFIN"/>
    <s v="SOLFIN"/>
    <s v="CCMS"/>
    <n v="21330992"/>
    <n v="17884.65"/>
    <m/>
    <s v="N"/>
    <n v="14"/>
    <d v="2023-07-05T19:02:01"/>
    <s v="Y"/>
    <s v="Hearing Unit 1.01 - 2.30 Hours"/>
    <s v="Public Law Children"/>
    <s v="Advocacy"/>
    <s v="RT"/>
    <s v="Y"/>
    <n v="238.46"/>
    <n v="47.69"/>
    <x v="6"/>
    <s v="VALIDATED"/>
    <n v="1"/>
    <s v="01.11.80.308.6100.0000"/>
    <n v="238.46"/>
    <s v="11"/>
    <s v="6100"/>
    <n v="15335.74"/>
    <n v="238.46"/>
    <s v="CREDITOR"/>
    <n v="0"/>
    <n v="0"/>
    <n v="0"/>
    <n v="0"/>
    <n v="238.46"/>
  </r>
  <r>
    <n v="60956355"/>
    <s v="N"/>
    <n v="21327484"/>
    <s v="3000015170910013"/>
    <s v="CIVIL"/>
    <d v="2023-06-26T00:00:00"/>
    <d v="2023-07-04T19:00:44"/>
    <m/>
    <d v="2023-07-04T00:00:00"/>
    <n v="1752"/>
    <n v="19552"/>
    <s v="60956355"/>
    <s v="60956355"/>
    <m/>
    <m/>
    <n v="22757856"/>
    <m/>
    <m/>
    <m/>
    <s v="SOLFIN"/>
    <s v="SOLFIN"/>
    <s v="CCMS"/>
    <n v="21327484"/>
    <n v="18248.76"/>
    <m/>
    <s v="N"/>
    <n v="4"/>
    <d v="2023-07-04T19:00:48"/>
    <s v="Y"/>
    <s v="Child psychologist"/>
    <s v="Public Law Children"/>
    <s v="Expert Disbursement"/>
    <s v="Alison Bone"/>
    <s v="Y"/>
    <n v="2139.69"/>
    <n v="0"/>
    <x v="1"/>
    <s v="VALIDATED"/>
    <n v="1"/>
    <s v="01.11.80.308.6300.0000"/>
    <n v="2139.69"/>
    <s v="11"/>
    <s v="6300"/>
    <n v="15335.74"/>
    <n v="2139.69"/>
    <s v="CREDITOR"/>
    <n v="0"/>
    <n v="0"/>
    <n v="0"/>
    <n v="0"/>
    <n v="2139.69"/>
  </r>
  <r>
    <n v="59643769"/>
    <s v="N"/>
    <n v="21330992"/>
    <s v="3000014040750018"/>
    <s v="CIVIL"/>
    <d v="2023-06-23T00:00:00"/>
    <d v="2023-07-05T19:01:47"/>
    <m/>
    <d v="2023-07-05T00:00:00"/>
    <n v="1752"/>
    <n v="19552"/>
    <s v="59643769"/>
    <s v="59643769"/>
    <m/>
    <m/>
    <n v="22754606"/>
    <m/>
    <m/>
    <m/>
    <s v="SOLFIN"/>
    <s v="SOLFIN"/>
    <s v="CCMS"/>
    <n v="21330992"/>
    <n v="17884.65"/>
    <m/>
    <s v="N"/>
    <n v="3"/>
    <d v="2023-07-05T19:02:01"/>
    <s v="Y"/>
    <s v="Expert - Other"/>
    <s v="Public Law Children"/>
    <s v="Expert Disbursement"/>
    <s v="RT"/>
    <s v="Y"/>
    <n v="166.2"/>
    <n v="33.24"/>
    <x v="6"/>
    <s v="VALIDATED"/>
    <n v="1"/>
    <s v="01.11.80.308.6300.0000"/>
    <n v="166.2"/>
    <s v="11"/>
    <s v="6300"/>
    <n v="15335.74"/>
    <n v="166.2"/>
    <s v="CREDITOR"/>
    <n v="0"/>
    <n v="0"/>
    <n v="0"/>
    <n v="0"/>
    <n v="166.2"/>
  </r>
  <r>
    <n v="59643769"/>
    <s v="N"/>
    <n v="21330992"/>
    <s v="3000014040750018"/>
    <s v="CIVIL"/>
    <d v="2023-06-23T00:00:00"/>
    <d v="2023-07-05T19:01:47"/>
    <m/>
    <d v="2023-07-05T00:00:00"/>
    <n v="1752"/>
    <n v="19552"/>
    <s v="59643769"/>
    <s v="59643769"/>
    <m/>
    <m/>
    <n v="22754606"/>
    <m/>
    <m/>
    <m/>
    <s v="SOLFIN"/>
    <s v="SOLFIN"/>
    <s v="CCMS"/>
    <n v="21330992"/>
    <n v="17884.65"/>
    <m/>
    <s v="N"/>
    <n v="12"/>
    <d v="2023-07-05T19:02:01"/>
    <s v="Y"/>
    <s v="Advocates Meeting"/>
    <s v="Public Law Children"/>
    <s v="Advocacy"/>
    <s v="RT"/>
    <s v="Y"/>
    <n v="140.99"/>
    <n v="28.2"/>
    <x v="6"/>
    <s v="VALIDATED"/>
    <n v="1"/>
    <s v="01.11.80.308.6100.0000"/>
    <n v="140.99"/>
    <s v="11"/>
    <s v="6100"/>
    <n v="15335.74"/>
    <n v="140.99"/>
    <s v="CREDITOR"/>
    <n v="0"/>
    <n v="0"/>
    <n v="0"/>
    <n v="0"/>
    <n v="140.99"/>
  </r>
  <r>
    <n v="59643769"/>
    <s v="N"/>
    <n v="21330992"/>
    <s v="3000014040750018"/>
    <s v="CIVIL"/>
    <d v="2023-06-23T00:00:00"/>
    <d v="2023-07-05T19:01:47"/>
    <m/>
    <d v="2023-07-05T00:00:00"/>
    <n v="1752"/>
    <n v="19552"/>
    <s v="59643769"/>
    <s v="59643769"/>
    <m/>
    <m/>
    <n v="22754606"/>
    <m/>
    <m/>
    <m/>
    <s v="SOLFIN"/>
    <s v="SOLFIN"/>
    <s v="CCMS"/>
    <n v="21330992"/>
    <n v="17884.65"/>
    <m/>
    <s v="N"/>
    <n v="5"/>
    <d v="2023-07-05T19:02:01"/>
    <s v="Y"/>
    <s v="Independent Social Worker"/>
    <s v="Public Law Children"/>
    <s v="Expert Disbursement"/>
    <s v="RT"/>
    <s v="Y"/>
    <n v="296"/>
    <n v="59.2"/>
    <x v="6"/>
    <s v="VALIDATED"/>
    <n v="1"/>
    <s v="01.11.80.308.6300.0000"/>
    <n v="296"/>
    <s v="11"/>
    <s v="6300"/>
    <n v="15335.74"/>
    <n v="296"/>
    <s v="CREDITOR"/>
    <n v="0"/>
    <n v="0"/>
    <n v="0"/>
    <n v="0"/>
    <n v="296"/>
  </r>
  <r>
    <n v="59643769"/>
    <s v="N"/>
    <n v="21330992"/>
    <s v="3000014040750018"/>
    <s v="CIVIL"/>
    <d v="2023-06-23T00:00:00"/>
    <d v="2023-07-05T19:01:47"/>
    <m/>
    <d v="2023-07-05T00:00:00"/>
    <n v="1752"/>
    <n v="19552"/>
    <s v="59643769"/>
    <s v="59643769"/>
    <m/>
    <m/>
    <n v="22754606"/>
    <m/>
    <m/>
    <m/>
    <s v="SOLFIN"/>
    <s v="SOLFIN"/>
    <s v="CCMS"/>
    <n v="21330992"/>
    <n v="17884.65"/>
    <m/>
    <s v="N"/>
    <n v="7"/>
    <d v="2023-07-05T19:02:01"/>
    <s v="Y"/>
    <s v="Expert - Other"/>
    <s v="Public Law Children"/>
    <s v="Expert Disbursement"/>
    <s v="RT"/>
    <s v="Y"/>
    <n v="262.48"/>
    <n v="52.5"/>
    <x v="6"/>
    <s v="VALIDATED"/>
    <n v="1"/>
    <s v="01.11.80.308.6300.0000"/>
    <n v="262.48"/>
    <s v="11"/>
    <s v="6300"/>
    <n v="15335.74"/>
    <n v="262.48"/>
    <s v="CREDITOR"/>
    <n v="0"/>
    <n v="0"/>
    <n v="0"/>
    <n v="0"/>
    <n v="262.48"/>
  </r>
  <r>
    <n v="59643769"/>
    <s v="N"/>
    <n v="21330992"/>
    <s v="3000014040750018"/>
    <s v="CIVIL"/>
    <d v="2023-06-23T00:00:00"/>
    <d v="2023-07-05T19:01:47"/>
    <m/>
    <d v="2023-07-05T00:00:00"/>
    <n v="1752"/>
    <n v="19552"/>
    <s v="59643769"/>
    <s v="59643769"/>
    <m/>
    <m/>
    <n v="22754606"/>
    <m/>
    <m/>
    <m/>
    <s v="SOLFIN"/>
    <s v="SOLFIN"/>
    <s v="CCMS"/>
    <n v="21330992"/>
    <n v="17884.65"/>
    <m/>
    <s v="N"/>
    <n v="8"/>
    <d v="2023-07-05T19:02:01"/>
    <s v="Y"/>
    <s v="Court Fee"/>
    <s v="Public Law Children"/>
    <s v="Non Expert Disbursement"/>
    <s v="RT"/>
    <s v="Y"/>
    <n v="167"/>
    <n v="0"/>
    <x v="6"/>
    <s v="VALIDATED"/>
    <n v="1"/>
    <s v="01.11.80.308.6300.0000"/>
    <n v="167"/>
    <s v="11"/>
    <s v="6300"/>
    <n v="15335.74"/>
    <n v="167"/>
    <s v="CREDITOR"/>
    <n v="0"/>
    <n v="0"/>
    <n v="0"/>
    <n v="0"/>
    <n v="167"/>
  </r>
  <r>
    <n v="62375800"/>
    <s v="N"/>
    <n v="21323564"/>
    <s v="3000016355340001"/>
    <s v="CIVIL"/>
    <d v="2023-06-30T00:00:00"/>
    <d v="2023-07-03T19:05:56"/>
    <m/>
    <d v="2023-07-03T00:00:00"/>
    <n v="1752"/>
    <n v="19552"/>
    <s v="62375800"/>
    <s v="62375800"/>
    <m/>
    <m/>
    <n v="22796442"/>
    <m/>
    <m/>
    <m/>
    <s v="SOLPOA"/>
    <s v="SOLPOA"/>
    <s v="CCMS"/>
    <n v="21323564"/>
    <n v="247.32"/>
    <m/>
    <s v="N"/>
    <n v="1"/>
    <d v="2023-07-03T19:05:57"/>
    <s v="N"/>
    <s v="Expert Cost"/>
    <s v="Expert Cost"/>
    <s v="Expert Disbursement"/>
    <s v="Alison Bone"/>
    <s v="N"/>
    <n v="247.32"/>
    <n v="0"/>
    <x v="3"/>
    <s v="VALIDATED"/>
    <n v="1"/>
    <s v="01.11.80.308.2012.0000"/>
    <n v="247.32"/>
    <s v="11"/>
    <s v="2012"/>
    <n v="15335.74"/>
    <n v="247.32"/>
    <s v="CREDITOR"/>
    <n v="247.32"/>
    <n v="0"/>
    <n v="0"/>
    <n v="0"/>
    <n v="0"/>
  </r>
  <r>
    <n v="59643769"/>
    <s v="N"/>
    <n v="21330992"/>
    <s v="3000014040750018"/>
    <s v="CIVIL"/>
    <d v="2023-06-23T00:00:00"/>
    <d v="2023-07-05T19:01:47"/>
    <m/>
    <d v="2023-07-05T00:00:00"/>
    <n v="1752"/>
    <n v="19552"/>
    <s v="59643769"/>
    <s v="59643769"/>
    <m/>
    <m/>
    <n v="22754606"/>
    <m/>
    <m/>
    <m/>
    <s v="SOLFIN"/>
    <s v="SOLFIN"/>
    <s v="CCMS"/>
    <n v="21330992"/>
    <n v="17884.65"/>
    <m/>
    <s v="N"/>
    <n v="23"/>
    <d v="2023-07-05T19:02:01"/>
    <s v="Y"/>
    <s v="Advocates Meeting"/>
    <s v="Public Law Children"/>
    <s v="Advocacy"/>
    <s v="RT"/>
    <s v="Y"/>
    <n v="140.99"/>
    <n v="28.2"/>
    <x v="6"/>
    <s v="VALIDATED"/>
    <n v="1"/>
    <s v="01.11.80.308.6100.0000"/>
    <n v="140.99"/>
    <s v="11"/>
    <s v="6100"/>
    <n v="15335.74"/>
    <n v="140.99"/>
    <s v="CREDITOR"/>
    <n v="0"/>
    <n v="0"/>
    <n v="0"/>
    <n v="0"/>
    <n v="140.99"/>
  </r>
  <r>
    <n v="59643769"/>
    <s v="N"/>
    <n v="21330992"/>
    <s v="3000014040750018"/>
    <s v="CIVIL"/>
    <d v="2023-06-23T00:00:00"/>
    <d v="2023-07-05T19:01:47"/>
    <m/>
    <d v="2023-07-05T00:00:00"/>
    <n v="1752"/>
    <n v="19552"/>
    <s v="59643769"/>
    <s v="59643769"/>
    <m/>
    <m/>
    <n v="22754606"/>
    <m/>
    <m/>
    <m/>
    <s v="SOLFIN"/>
    <s v="SOLFIN"/>
    <s v="CCMS"/>
    <n v="21330992"/>
    <n v="17884.65"/>
    <m/>
    <s v="N"/>
    <n v="6"/>
    <d v="2023-07-05T19:02:01"/>
    <s v="Y"/>
    <s v="Profit Costs (Summary)"/>
    <s v="Public Law Children"/>
    <s v="Profit Cost"/>
    <s v="RT"/>
    <s v="Y"/>
    <n v="8648.719999999999"/>
    <n v="1729.74"/>
    <x v="6"/>
    <s v="VALIDATED"/>
    <n v="1"/>
    <s v="01.11.80.308.6100.0000"/>
    <n v="8648.719999999999"/>
    <s v="11"/>
    <s v="6100"/>
    <n v="15335.74"/>
    <n v="8648.719999999999"/>
    <s v="CREDITOR"/>
    <n v="0"/>
    <n v="0"/>
    <n v="0"/>
    <n v="0"/>
    <n v="8648.719999999999"/>
  </r>
  <r>
    <n v="60956355"/>
    <s v="N"/>
    <n v="21327484"/>
    <s v="3000015170910013"/>
    <s v="CIVIL"/>
    <d v="2023-06-26T00:00:00"/>
    <d v="2023-07-04T19:00:44"/>
    <m/>
    <d v="2023-07-04T00:00:00"/>
    <n v="1752"/>
    <n v="19552"/>
    <s v="60956355"/>
    <s v="60956355"/>
    <m/>
    <m/>
    <n v="22757856"/>
    <m/>
    <m/>
    <m/>
    <s v="SOLFIN"/>
    <s v="SOLFIN"/>
    <s v="CCMS"/>
    <n v="21327484"/>
    <n v="18248.76"/>
    <m/>
    <s v="N"/>
    <n v="2"/>
    <d v="2023-07-04T19:00:48"/>
    <s v="Y"/>
    <s v="Toxicologist"/>
    <s v="Public Law Children"/>
    <s v="Expert Disbursement"/>
    <s v="Alison Bone"/>
    <s v="Y"/>
    <n v="168.3"/>
    <n v="33.66"/>
    <x v="1"/>
    <s v="VALIDATED"/>
    <n v="1"/>
    <s v="01.11.80.308.6300.0000"/>
    <n v="168.3"/>
    <s v="11"/>
    <s v="6300"/>
    <n v="15335.74"/>
    <n v="168.3"/>
    <s v="CREDITOR"/>
    <n v="0"/>
    <n v="0"/>
    <n v="0"/>
    <n v="0"/>
    <n v="168.3"/>
  </r>
  <r>
    <n v="59643769"/>
    <s v="N"/>
    <n v="21330992"/>
    <s v="3000014040750018"/>
    <s v="CIVIL"/>
    <d v="2023-06-23T00:00:00"/>
    <d v="2023-07-05T19:01:47"/>
    <m/>
    <d v="2023-07-05T00:00:00"/>
    <n v="1752"/>
    <n v="19552"/>
    <s v="59643769"/>
    <s v="59643769"/>
    <m/>
    <m/>
    <n v="22754606"/>
    <m/>
    <m/>
    <m/>
    <s v="SOLFIN"/>
    <s v="SOLFIN"/>
    <s v="CCMS"/>
    <n v="21330992"/>
    <n v="17884.65"/>
    <m/>
    <s v="N"/>
    <n v="9"/>
    <d v="2023-07-05T19:02:01"/>
    <s v="Y"/>
    <s v="Expert - Other"/>
    <s v="Public Law Children"/>
    <s v="Expert Disbursement"/>
    <s v="RT"/>
    <s v="Y"/>
    <n v="368.68"/>
    <n v="73.73999999999999"/>
    <x v="6"/>
    <s v="VALIDATED"/>
    <n v="1"/>
    <s v="01.11.80.308.6300.0000"/>
    <n v="368.68"/>
    <s v="11"/>
    <s v="6300"/>
    <n v="15335.74"/>
    <n v="368.68"/>
    <s v="CREDITOR"/>
    <n v="0"/>
    <n v="0"/>
    <n v="0"/>
    <n v="0"/>
    <n v="368.68"/>
  </r>
  <r>
    <n v="59643769"/>
    <s v="N"/>
    <n v="21330992"/>
    <s v="3000014040750018"/>
    <s v="CIVIL"/>
    <d v="2023-06-23T00:00:00"/>
    <d v="2023-07-05T19:01:47"/>
    <m/>
    <d v="2023-07-05T00:00:00"/>
    <n v="1752"/>
    <n v="19552"/>
    <s v="59643769"/>
    <s v="59643769"/>
    <m/>
    <m/>
    <n v="22754606"/>
    <m/>
    <m/>
    <m/>
    <s v="SOLFIN"/>
    <s v="SOLFIN"/>
    <s v="CCMS"/>
    <n v="21330992"/>
    <n v="17884.65"/>
    <m/>
    <s v="N"/>
    <n v="22"/>
    <d v="2023-07-05T19:02:01"/>
    <s v="Y"/>
    <s v="Final Hearing - 1 Day"/>
    <s v="Public Law Children"/>
    <s v="Advocacy"/>
    <s v="RT"/>
    <s v="Y"/>
    <n v="556.88"/>
    <n v="111.38"/>
    <x v="6"/>
    <s v="VALIDATED"/>
    <n v="1"/>
    <s v="01.11.80.308.6100.0000"/>
    <n v="556.88"/>
    <s v="11"/>
    <s v="6100"/>
    <n v="15335.74"/>
    <n v="556.88"/>
    <s v="CREDITOR"/>
    <n v="0"/>
    <n v="0"/>
    <n v="0"/>
    <n v="0"/>
    <n v="556.88"/>
  </r>
  <r>
    <n v="59643769"/>
    <s v="N"/>
    <n v="21330992"/>
    <s v="3000014040750018"/>
    <s v="CIVIL"/>
    <d v="2023-06-23T00:00:00"/>
    <d v="2023-07-05T19:01:47"/>
    <m/>
    <d v="2023-07-05T00:00:00"/>
    <n v="1752"/>
    <n v="19552"/>
    <s v="59643769"/>
    <s v="59643769"/>
    <m/>
    <m/>
    <n v="22754606"/>
    <m/>
    <m/>
    <m/>
    <s v="SOLFIN"/>
    <s v="SOLFIN"/>
    <s v="CCMS"/>
    <n v="21330992"/>
    <n v="17884.65"/>
    <m/>
    <s v="N"/>
    <n v="1"/>
    <d v="2023-07-05T19:02:01"/>
    <s v="Y"/>
    <s v="Expert - Other"/>
    <s v="Public Law Children"/>
    <s v="Expert Disbursement"/>
    <s v="RT"/>
    <s v="Y"/>
    <n v="138.3"/>
    <n v="27.66"/>
    <x v="6"/>
    <s v="VALIDATED"/>
    <n v="1"/>
    <s v="01.11.80.308.6300.0000"/>
    <n v="138.3"/>
    <s v="11"/>
    <s v="6300"/>
    <n v="15335.74"/>
    <n v="138.3"/>
    <s v="CREDITOR"/>
    <n v="0"/>
    <n v="0"/>
    <n v="0"/>
    <n v="0"/>
    <n v="138.3"/>
  </r>
  <r>
    <n v="61429430"/>
    <s v="N"/>
    <n v="21349611"/>
    <s v="3000015565380009"/>
    <s v="CIVIL"/>
    <d v="2023-06-21T00:00:00"/>
    <d v="2023-07-10T19:01:40"/>
    <m/>
    <d v="2023-07-10T00:00:00"/>
    <n v="1752"/>
    <n v="19552"/>
    <s v="61429430"/>
    <s v="61429430"/>
    <m/>
    <m/>
    <n v="22734442"/>
    <m/>
    <m/>
    <m/>
    <s v="SOLPOA"/>
    <s v="SOLPOA"/>
    <s v="CCMS"/>
    <n v="21349611"/>
    <n v="2407.59"/>
    <m/>
    <s v="N"/>
    <n v="1"/>
    <d v="2023-07-10T19:01:54"/>
    <s v="N"/>
    <s v="Expert Cost"/>
    <s v="Expert Cost"/>
    <s v="Expert Disbursement"/>
    <s v="HS/DC/17108"/>
    <s v="N"/>
    <n v="2407.59"/>
    <n v="0"/>
    <x v="2"/>
    <s v="VALIDATED"/>
    <n v="1"/>
    <s v="01.11.80.308.2012.0000"/>
    <n v="2407.59"/>
    <s v="11"/>
    <s v="2012"/>
    <n v="15335.74"/>
    <n v="2407.59"/>
    <s v="CREDITOR"/>
    <n v="2407.59"/>
    <n v="0"/>
    <n v="0"/>
    <n v="0"/>
    <n v="0"/>
  </r>
  <r>
    <n v="59643769"/>
    <s v="N"/>
    <n v="21330992"/>
    <s v="3000014040750018"/>
    <s v="CIVIL"/>
    <d v="2023-06-23T00:00:00"/>
    <d v="2023-07-05T19:01:47"/>
    <m/>
    <d v="2023-07-05T00:00:00"/>
    <n v="1752"/>
    <n v="19552"/>
    <s v="59643769"/>
    <s v="59643769"/>
    <m/>
    <m/>
    <n v="22754606"/>
    <m/>
    <m/>
    <m/>
    <s v="SOLFIN"/>
    <s v="SOLFIN"/>
    <s v="CCMS"/>
    <n v="21330992"/>
    <n v="17884.65"/>
    <m/>
    <s v="N"/>
    <n v="16"/>
    <d v="2023-07-05T19:02:01"/>
    <s v="Y"/>
    <s v="Hearing Unit 1.01 - 2.30 Hours"/>
    <s v="Public Law Children"/>
    <s v="Advocacy"/>
    <s v="RT"/>
    <s v="Y"/>
    <n v="238.46"/>
    <n v="47.69"/>
    <x v="6"/>
    <s v="VALIDATED"/>
    <n v="1"/>
    <s v="01.11.80.308.6100.0000"/>
    <n v="238.46"/>
    <s v="11"/>
    <s v="6100"/>
    <n v="15335.74"/>
    <n v="238.46"/>
    <s v="CREDITOR"/>
    <n v="0"/>
    <n v="0"/>
    <n v="0"/>
    <n v="0"/>
    <n v="238.46"/>
  </r>
  <r>
    <n v="59643769"/>
    <s v="N"/>
    <n v="21330992"/>
    <s v="3000014040750018"/>
    <s v="CIVIL"/>
    <d v="2023-06-23T00:00:00"/>
    <d v="2023-07-05T19:01:47"/>
    <m/>
    <d v="2023-07-05T00:00:00"/>
    <n v="1752"/>
    <n v="19552"/>
    <s v="59643769"/>
    <s v="59643769"/>
    <m/>
    <m/>
    <n v="22754606"/>
    <m/>
    <m/>
    <m/>
    <s v="SOLFIN"/>
    <s v="SOLFIN"/>
    <s v="CCMS"/>
    <n v="21330992"/>
    <n v="17884.65"/>
    <m/>
    <s v="N"/>
    <n v="2"/>
    <d v="2023-07-05T19:02:01"/>
    <s v="Y"/>
    <s v="Expert - Other"/>
    <s v="Public Law Children"/>
    <s v="Expert Disbursement"/>
    <s v="RT"/>
    <s v="Y"/>
    <n v="413.52"/>
    <n v="82.7"/>
    <x v="6"/>
    <s v="VALIDATED"/>
    <n v="1"/>
    <s v="01.11.80.308.6300.0000"/>
    <n v="413.52"/>
    <s v="11"/>
    <s v="6300"/>
    <n v="15335.74"/>
    <n v="413.52"/>
    <s v="CREDITOR"/>
    <n v="0"/>
    <n v="0"/>
    <n v="0"/>
    <n v="0"/>
    <n v="413.52"/>
  </r>
  <r>
    <n v="59643769"/>
    <s v="N"/>
    <n v="21330992"/>
    <s v="3000014040750018"/>
    <s v="CIVIL"/>
    <d v="2023-06-23T00:00:00"/>
    <d v="2023-07-05T19:01:47"/>
    <m/>
    <d v="2023-07-05T00:00:00"/>
    <n v="1752"/>
    <n v="19552"/>
    <s v="59643769"/>
    <s v="59643769"/>
    <m/>
    <m/>
    <n v="22754606"/>
    <m/>
    <m/>
    <m/>
    <s v="SOLFIN"/>
    <s v="SOLFIN"/>
    <s v="CCMS"/>
    <n v="21330992"/>
    <n v="17884.65"/>
    <m/>
    <s v="N"/>
    <n v="4"/>
    <d v="2023-07-05T19:02:01"/>
    <s v="Y"/>
    <s v="Expert - Other"/>
    <s v="Public Law Children"/>
    <s v="Expert Disbursement"/>
    <s v="RT"/>
    <s v="Y"/>
    <n v="194.1"/>
    <n v="38.82"/>
    <x v="6"/>
    <s v="VALIDATED"/>
    <n v="1"/>
    <s v="01.11.80.308.6300.0000"/>
    <n v="194.1"/>
    <s v="11"/>
    <s v="6300"/>
    <n v="15335.74"/>
    <n v="194.1"/>
    <s v="CREDITOR"/>
    <n v="0"/>
    <n v="0"/>
    <n v="0"/>
    <n v="0"/>
    <n v="194.1"/>
  </r>
  <r>
    <n v="59643769"/>
    <s v="N"/>
    <n v="21330992"/>
    <s v="3000014040750018"/>
    <s v="CIVIL"/>
    <d v="2023-06-23T00:00:00"/>
    <d v="2023-07-05T19:01:47"/>
    <m/>
    <d v="2023-07-05T00:00:00"/>
    <n v="1752"/>
    <n v="19552"/>
    <s v="59643769"/>
    <s v="59643769"/>
    <m/>
    <m/>
    <n v="22754606"/>
    <m/>
    <m/>
    <m/>
    <s v="SOLFIN"/>
    <s v="SOLFIN"/>
    <s v="CCMS"/>
    <n v="21330992"/>
    <n v="17884.65"/>
    <m/>
    <s v="N"/>
    <n v="13"/>
    <d v="2023-07-05T19:02:01"/>
    <s v="Y"/>
    <s v="Hearing Unit 2.31 - 5.00 Hours"/>
    <s v="Public Law Children"/>
    <s v="Advocacy"/>
    <s v="RT"/>
    <s v="Y"/>
    <n v="476.92"/>
    <n v="95.38"/>
    <x v="6"/>
    <s v="VALIDATED"/>
    <n v="1"/>
    <s v="01.11.80.308.6100.0000"/>
    <n v="476.92"/>
    <s v="11"/>
    <s v="6100"/>
    <n v="15335.74"/>
    <n v="476.92"/>
    <s v="CREDITOR"/>
    <n v="0"/>
    <n v="0"/>
    <n v="0"/>
    <n v="0"/>
    <n v="476.92"/>
  </r>
  <r>
    <n v="59643769"/>
    <s v="N"/>
    <n v="21330992"/>
    <s v="3000014040750018"/>
    <s v="CIVIL"/>
    <d v="2023-06-23T00:00:00"/>
    <d v="2023-07-05T19:01:47"/>
    <m/>
    <d v="2023-07-05T00:00:00"/>
    <n v="1752"/>
    <n v="19552"/>
    <s v="59643769"/>
    <s v="59643769"/>
    <m/>
    <m/>
    <n v="22754606"/>
    <m/>
    <m/>
    <m/>
    <s v="SOLFIN"/>
    <s v="SOLFIN"/>
    <s v="CCMS"/>
    <n v="21330992"/>
    <n v="17884.65"/>
    <m/>
    <s v="N"/>
    <n v="11"/>
    <d v="2023-07-05T19:02:01"/>
    <s v="Y"/>
    <s v="Expert - Other"/>
    <s v="Public Law Children"/>
    <s v="Expert Disbursement"/>
    <s v="RT"/>
    <s v="Y"/>
    <n v="305.04"/>
    <n v="61.01"/>
    <x v="6"/>
    <s v="VALIDATED"/>
    <n v="1"/>
    <s v="01.11.80.308.6300.0000"/>
    <n v="305.04"/>
    <s v="11"/>
    <s v="6300"/>
    <n v="15335.74"/>
    <n v="305.04"/>
    <s v="CREDITOR"/>
    <n v="0"/>
    <n v="0"/>
    <n v="0"/>
    <n v="0"/>
    <n v="305.04"/>
  </r>
  <r>
    <n v="59643769"/>
    <s v="N"/>
    <n v="21330992"/>
    <s v="3000014040750018"/>
    <s v="CIVIL"/>
    <d v="2023-06-23T00:00:00"/>
    <d v="2023-07-05T19:01:47"/>
    <m/>
    <d v="2023-07-05T00:00:00"/>
    <n v="1752"/>
    <n v="19552"/>
    <s v="59643769"/>
    <s v="59643769"/>
    <m/>
    <m/>
    <n v="22754606"/>
    <m/>
    <m/>
    <m/>
    <s v="SOLFIN"/>
    <s v="SOLFIN"/>
    <s v="CCMS"/>
    <n v="21330992"/>
    <n v="17884.65"/>
    <m/>
    <s v="N"/>
    <n v="18"/>
    <d v="2023-07-05T19:02:01"/>
    <s v="Y"/>
    <s v="Advocates Meeting"/>
    <s v="Public Law Children"/>
    <s v="Advocacy"/>
    <s v="RT"/>
    <s v="Y"/>
    <n v="140.99"/>
    <n v="28.2"/>
    <x v="6"/>
    <s v="VALIDATED"/>
    <n v="1"/>
    <s v="01.11.80.308.6100.0000"/>
    <n v="140.99"/>
    <s v="11"/>
    <s v="6100"/>
    <n v="15335.74"/>
    <n v="140.99"/>
    <s v="CREDITOR"/>
    <n v="0"/>
    <n v="0"/>
    <n v="0"/>
    <n v="0"/>
    <n v="140.99"/>
  </r>
  <r>
    <n v="59643769"/>
    <s v="N"/>
    <n v="21334031"/>
    <s v="3000014040750003RC"/>
    <s v="CIVIL"/>
    <d v="2023-06-23T00:00:00"/>
    <d v="2023-07-05T19:42:28"/>
    <m/>
    <d v="2023-07-05T00:00:00"/>
    <n v="1752"/>
    <n v="19552"/>
    <s v="59643769"/>
    <s v="59643769"/>
    <m/>
    <m/>
    <m/>
    <m/>
    <m/>
    <m/>
    <s v="SOLRECOUP"/>
    <s v="SOLRECOUP"/>
    <s v="POARECOUP"/>
    <n v="21334031"/>
    <n v="-366.05"/>
    <m/>
    <s v="Y"/>
    <n v="1"/>
    <d v="2023-07-05T19:42:29"/>
    <s v="N"/>
    <m/>
    <m/>
    <s v="Expert Disbursement"/>
    <m/>
    <s v="N"/>
    <n v="-366.05"/>
    <n v="0"/>
    <x v="6"/>
    <s v="VALIDATED"/>
    <n v="1"/>
    <s v="01.11.80.308.2013.0000"/>
    <n v="-366.05"/>
    <s v="11"/>
    <s v="2013"/>
    <n v="15335.74"/>
    <n v="-366.05"/>
    <s v="CREDITOR"/>
    <n v="0"/>
    <n v="0"/>
    <n v="-366.05"/>
    <n v="0"/>
    <n v="0"/>
  </r>
  <r>
    <n v="59643769"/>
    <s v="N"/>
    <n v="21334031"/>
    <s v="3000014040750003RC"/>
    <s v="CIVIL"/>
    <d v="2023-06-23T00:00:00"/>
    <d v="2023-07-05T19:42:28"/>
    <m/>
    <d v="2023-07-05T00:00:00"/>
    <n v="1752"/>
    <n v="19552"/>
    <s v="59643769"/>
    <s v="59643769"/>
    <m/>
    <m/>
    <m/>
    <m/>
    <m/>
    <m/>
    <s v="SOLRECOUP"/>
    <s v="SOLRECOUP"/>
    <s v="POARECOUP"/>
    <n v="21334031"/>
    <n v="-366.05"/>
    <m/>
    <s v="Y"/>
    <n v="2"/>
    <d v="2023-07-05T19:42:29"/>
    <s v="N"/>
    <m/>
    <m/>
    <s v="Expert Disbursement"/>
    <m/>
    <s v="N"/>
    <n v="0"/>
    <n v="0"/>
    <x v="6"/>
    <s v="VALIDATED"/>
    <n v="1"/>
    <s v="01.11.80.000.0000.0000"/>
    <n v="0"/>
    <s v="11"/>
    <s v="0000"/>
    <n v="15335.74"/>
    <n v="0"/>
    <s v="CREDITOR"/>
    <n v="0"/>
    <n v="0"/>
    <n v="0"/>
    <n v="0"/>
    <n v="0"/>
  </r>
  <r>
    <n v="59643769"/>
    <s v="N"/>
    <n v="21334032"/>
    <s v="3000014040750002RC"/>
    <s v="CIVIL"/>
    <d v="2023-06-23T00:00:00"/>
    <d v="2023-07-05T19:42:28"/>
    <m/>
    <d v="2023-07-05T00:00:00"/>
    <n v="1752"/>
    <n v="19552"/>
    <s v="59643769"/>
    <s v="59643769"/>
    <m/>
    <m/>
    <m/>
    <m/>
    <m/>
    <m/>
    <s v="SOLRECOUP"/>
    <s v="SOLRECOUP"/>
    <s v="POARECOUP"/>
    <n v="21334032"/>
    <n v="-1088.47"/>
    <m/>
    <s v="Y"/>
    <n v="1"/>
    <d v="2023-07-05T19:42:29"/>
    <s v="N"/>
    <m/>
    <m/>
    <s v="Profit Cost"/>
    <m/>
    <s v="N"/>
    <n v="-907.0599999999999"/>
    <n v="0"/>
    <x v="6"/>
    <s v="VALIDATED"/>
    <n v="1"/>
    <s v="01.11.80.308.2013.0000"/>
    <n v="-907.0599999999999"/>
    <s v="11"/>
    <s v="2013"/>
    <n v="15335.74"/>
    <n v="-907.0599999999999"/>
    <s v="CREDITOR"/>
    <n v="0"/>
    <n v="0"/>
    <n v="-907.0599999999999"/>
    <n v="-226.765"/>
    <n v="0"/>
  </r>
  <r>
    <n v="59643769"/>
    <s v="N"/>
    <n v="21334032"/>
    <s v="3000014040750002RC"/>
    <s v="CIVIL"/>
    <d v="2023-06-23T00:00:00"/>
    <d v="2023-07-05T19:42:28"/>
    <m/>
    <d v="2023-07-05T00:00:00"/>
    <n v="1752"/>
    <n v="19552"/>
    <s v="59643769"/>
    <s v="59643769"/>
    <m/>
    <m/>
    <m/>
    <m/>
    <m/>
    <m/>
    <s v="SOLRECOUP"/>
    <s v="SOLRECOUP"/>
    <s v="POARECOUP"/>
    <n v="21334032"/>
    <n v="-1088.47"/>
    <m/>
    <s v="Y"/>
    <n v="2"/>
    <d v="2023-07-05T19:42:29"/>
    <s v="N"/>
    <m/>
    <m/>
    <s v="Profit Cost"/>
    <m/>
    <s v="N"/>
    <n v="0"/>
    <n v="-181.41"/>
    <x v="6"/>
    <s v="VALIDATED"/>
    <n v="1"/>
    <s v="01.11.80.308.2013.0000"/>
    <n v="-181.41"/>
    <s v="11"/>
    <s v="2013"/>
    <n v="15335.74"/>
    <n v="-181.41"/>
    <s v="CREDITOR"/>
    <n v="0"/>
    <n v="0"/>
    <n v="-181.41"/>
    <n v="-45.3525"/>
    <n v="0"/>
  </r>
  <r>
    <n v="59643769"/>
    <s v="N"/>
    <n v="21334033"/>
    <s v="3000014040750008RC"/>
    <s v="CIVIL"/>
    <d v="2023-06-23T00:00:00"/>
    <d v="2023-07-05T19:42:28"/>
    <m/>
    <d v="2023-07-05T00:00:00"/>
    <n v="1752"/>
    <n v="19552"/>
    <s v="59643769"/>
    <s v="59643769"/>
    <m/>
    <m/>
    <m/>
    <m/>
    <m/>
    <m/>
    <s v="SOLRECOUP"/>
    <s v="SOLRECOUP"/>
    <s v="POARECOUP"/>
    <n v="21334033"/>
    <n v="-199.44"/>
    <m/>
    <s v="Y"/>
    <n v="1"/>
    <d v="2023-07-05T19:42:29"/>
    <s v="N"/>
    <m/>
    <m/>
    <s v="Expert Disbursement"/>
    <m/>
    <s v="N"/>
    <n v="-199.44"/>
    <n v="0"/>
    <x v="6"/>
    <s v="VALIDATED"/>
    <n v="1"/>
    <s v="01.11.80.308.2013.0000"/>
    <n v="-199.44"/>
    <s v="11"/>
    <s v="2013"/>
    <n v="15335.74"/>
    <n v="-199.44"/>
    <s v="CREDITOR"/>
    <n v="0"/>
    <n v="0"/>
    <n v="-199.44"/>
    <n v="0"/>
    <n v="0"/>
  </r>
  <r>
    <n v="59643769"/>
    <s v="N"/>
    <n v="21334033"/>
    <s v="3000014040750008RC"/>
    <s v="CIVIL"/>
    <d v="2023-06-23T00:00:00"/>
    <d v="2023-07-05T19:42:28"/>
    <m/>
    <d v="2023-07-05T00:00:00"/>
    <n v="1752"/>
    <n v="19552"/>
    <s v="59643769"/>
    <s v="59643769"/>
    <m/>
    <m/>
    <m/>
    <m/>
    <m/>
    <m/>
    <s v="SOLRECOUP"/>
    <s v="SOLRECOUP"/>
    <s v="POARECOUP"/>
    <n v="21334033"/>
    <n v="-199.44"/>
    <m/>
    <s v="Y"/>
    <n v="2"/>
    <d v="2023-07-05T19:42:29"/>
    <s v="N"/>
    <m/>
    <m/>
    <s v="Expert Disbursement"/>
    <m/>
    <s v="N"/>
    <n v="0"/>
    <n v="0"/>
    <x v="6"/>
    <s v="VALIDATED"/>
    <n v="1"/>
    <s v="01.11.80.000.0000.0000"/>
    <n v="0"/>
    <s v="11"/>
    <s v="0000"/>
    <n v="15335.74"/>
    <n v="0"/>
    <s v="CREDITOR"/>
    <n v="0"/>
    <n v="0"/>
    <n v="0"/>
    <n v="0"/>
    <n v="0"/>
  </r>
  <r>
    <n v="59643769"/>
    <s v="N"/>
    <n v="21334034"/>
    <s v="3000014040750010RC"/>
    <s v="CIVIL"/>
    <d v="2023-06-23T00:00:00"/>
    <d v="2023-07-05T19:42:28"/>
    <m/>
    <d v="2023-07-05T00:00:00"/>
    <n v="1752"/>
    <n v="19552"/>
    <s v="59643769"/>
    <s v="59643769"/>
    <m/>
    <m/>
    <m/>
    <m/>
    <m/>
    <m/>
    <s v="SOLRECOUP"/>
    <s v="SOLRECOUP"/>
    <s v="POARECOUP"/>
    <n v="21334034"/>
    <n v="-296"/>
    <m/>
    <s v="Y"/>
    <n v="1"/>
    <d v="2023-07-05T19:42:29"/>
    <s v="N"/>
    <m/>
    <m/>
    <s v="Expert Disbursement"/>
    <m/>
    <s v="N"/>
    <n v="-296"/>
    <n v="0"/>
    <x v="6"/>
    <s v="VALIDATED"/>
    <n v="1"/>
    <s v="01.11.80.308.2013.0000"/>
    <n v="-296"/>
    <s v="11"/>
    <s v="2013"/>
    <n v="15335.74"/>
    <n v="-296"/>
    <s v="CREDITOR"/>
    <n v="0"/>
    <n v="0"/>
    <n v="-296"/>
    <n v="0"/>
    <n v="0"/>
  </r>
  <r>
    <n v="59643769"/>
    <s v="N"/>
    <n v="21334034"/>
    <s v="3000014040750010RC"/>
    <s v="CIVIL"/>
    <d v="2023-06-23T00:00:00"/>
    <d v="2023-07-05T19:42:28"/>
    <m/>
    <d v="2023-07-05T00:00:00"/>
    <n v="1752"/>
    <n v="19552"/>
    <s v="59643769"/>
    <s v="59643769"/>
    <m/>
    <m/>
    <m/>
    <m/>
    <m/>
    <m/>
    <s v="SOLRECOUP"/>
    <s v="SOLRECOUP"/>
    <s v="POARECOUP"/>
    <n v="21334034"/>
    <n v="-296"/>
    <m/>
    <s v="Y"/>
    <n v="2"/>
    <d v="2023-07-05T19:42:29"/>
    <s v="N"/>
    <m/>
    <m/>
    <s v="Expert Disbursement"/>
    <m/>
    <s v="N"/>
    <n v="0"/>
    <n v="0"/>
    <x v="6"/>
    <s v="VALIDATED"/>
    <n v="1"/>
    <s v="01.11.80.000.0000.0000"/>
    <n v="0"/>
    <s v="11"/>
    <s v="0000"/>
    <n v="15335.74"/>
    <n v="0"/>
    <s v="CREDITOR"/>
    <n v="0"/>
    <n v="0"/>
    <n v="0"/>
    <n v="0"/>
    <n v="0"/>
  </r>
  <r>
    <n v="59643769"/>
    <s v="N"/>
    <n v="21334035"/>
    <s v="3000014040750011RC"/>
    <s v="CIVIL"/>
    <d v="2023-06-23T00:00:00"/>
    <d v="2023-07-05T19:42:28"/>
    <m/>
    <d v="2023-07-05T00:00:00"/>
    <n v="1752"/>
    <n v="19552"/>
    <s v="59643769"/>
    <s v="59643769"/>
    <m/>
    <m/>
    <m/>
    <m/>
    <m/>
    <m/>
    <s v="SOLRECOUP"/>
    <s v="SOLRECOUP"/>
    <s v="POARECOUP"/>
    <n v="21334035"/>
    <n v="-442.42"/>
    <m/>
    <s v="Y"/>
    <n v="1"/>
    <d v="2023-07-05T19:42:29"/>
    <s v="N"/>
    <m/>
    <m/>
    <s v="Expert Disbursement"/>
    <m/>
    <s v="N"/>
    <n v="-442.42"/>
    <n v="0"/>
    <x v="6"/>
    <s v="VALIDATED"/>
    <n v="1"/>
    <s v="01.11.80.308.2013.0000"/>
    <n v="-442.42"/>
    <s v="11"/>
    <s v="2013"/>
    <n v="15335.74"/>
    <n v="-442.42"/>
    <s v="CREDITOR"/>
    <n v="0"/>
    <n v="0"/>
    <n v="-442.42"/>
    <n v="0"/>
    <n v="0"/>
  </r>
  <r>
    <n v="59643769"/>
    <s v="N"/>
    <n v="21334035"/>
    <s v="3000014040750011RC"/>
    <s v="CIVIL"/>
    <d v="2023-06-23T00:00:00"/>
    <d v="2023-07-05T19:42:28"/>
    <m/>
    <d v="2023-07-05T00:00:00"/>
    <n v="1752"/>
    <n v="19552"/>
    <s v="59643769"/>
    <s v="59643769"/>
    <m/>
    <m/>
    <m/>
    <m/>
    <m/>
    <m/>
    <s v="SOLRECOUP"/>
    <s v="SOLRECOUP"/>
    <s v="POARECOUP"/>
    <n v="21334035"/>
    <n v="-442.42"/>
    <m/>
    <s v="Y"/>
    <n v="2"/>
    <d v="2023-07-05T19:42:29"/>
    <s v="N"/>
    <m/>
    <m/>
    <s v="Expert Disbursement"/>
    <m/>
    <s v="N"/>
    <n v="0"/>
    <n v="0"/>
    <x v="6"/>
    <s v="VALIDATED"/>
    <n v="1"/>
    <s v="01.11.80.000.0000.0000"/>
    <n v="0"/>
    <s v="11"/>
    <s v="0000"/>
    <n v="15335.74"/>
    <n v="0"/>
    <s v="CREDITOR"/>
    <n v="0"/>
    <n v="0"/>
    <n v="0"/>
    <n v="0"/>
    <n v="0"/>
  </r>
  <r>
    <n v="59643769"/>
    <s v="N"/>
    <n v="21334036"/>
    <s v="3000014040750017RC"/>
    <s v="CIVIL"/>
    <d v="2023-06-23T00:00:00"/>
    <d v="2023-07-05T19:42:28"/>
    <m/>
    <d v="2023-07-05T00:00:00"/>
    <n v="1752"/>
    <n v="19552"/>
    <s v="59643769"/>
    <s v="59643769"/>
    <m/>
    <m/>
    <m/>
    <m/>
    <m/>
    <m/>
    <s v="SOLRECOUP"/>
    <s v="SOLRECOUP"/>
    <s v="POARECOUP"/>
    <n v="21334036"/>
    <n v="-59.2"/>
    <m/>
    <s v="Y"/>
    <n v="1"/>
    <d v="2023-07-05T19:42:29"/>
    <s v="N"/>
    <m/>
    <m/>
    <s v="Expert Disbursement"/>
    <m/>
    <s v="N"/>
    <n v="-59.2"/>
    <n v="0"/>
    <x v="6"/>
    <s v="VALIDATED"/>
    <n v="1"/>
    <s v="01.11.80.308.2013.0000"/>
    <n v="-59.2"/>
    <s v="11"/>
    <s v="2013"/>
    <n v="15335.74"/>
    <n v="-59.2"/>
    <s v="CREDITOR"/>
    <n v="0"/>
    <n v="0"/>
    <n v="-59.2"/>
    <n v="0"/>
    <n v="0"/>
  </r>
  <r>
    <n v="59643769"/>
    <s v="N"/>
    <n v="21334036"/>
    <s v="3000014040750017RC"/>
    <s v="CIVIL"/>
    <d v="2023-06-23T00:00:00"/>
    <d v="2023-07-05T19:42:28"/>
    <m/>
    <d v="2023-07-05T00:00:00"/>
    <n v="1752"/>
    <n v="19552"/>
    <s v="59643769"/>
    <s v="59643769"/>
    <m/>
    <m/>
    <m/>
    <m/>
    <m/>
    <m/>
    <s v="SOLRECOUP"/>
    <s v="SOLRECOUP"/>
    <s v="POARECOUP"/>
    <n v="21334036"/>
    <n v="-59.2"/>
    <m/>
    <s v="Y"/>
    <n v="2"/>
    <d v="2023-07-05T19:42:29"/>
    <s v="N"/>
    <m/>
    <m/>
    <s v="Expert Disbursement"/>
    <m/>
    <s v="N"/>
    <n v="0"/>
    <n v="0"/>
    <x v="6"/>
    <s v="VALIDATED"/>
    <n v="1"/>
    <s v="01.11.80.000.0000.0000"/>
    <n v="0"/>
    <s v="11"/>
    <s v="0000"/>
    <n v="15335.74"/>
    <n v="0"/>
    <s v="CREDITOR"/>
    <n v="0"/>
    <n v="0"/>
    <n v="0"/>
    <n v="0"/>
    <n v="0"/>
  </r>
  <r>
    <n v="59643769"/>
    <s v="N"/>
    <n v="21334037"/>
    <s v="3000014040750001RC"/>
    <s v="CIVIL"/>
    <d v="2023-06-23T00:00:00"/>
    <d v="2023-07-05T19:42:28"/>
    <m/>
    <d v="2023-07-05T00:00:00"/>
    <n v="1752"/>
    <n v="19552"/>
    <s v="59643769"/>
    <s v="59643769"/>
    <m/>
    <m/>
    <m/>
    <m/>
    <m/>
    <m/>
    <s v="SOLRECOUP"/>
    <s v="SOLRECOUP"/>
    <s v="POARECOUP"/>
    <n v="21334037"/>
    <n v="-81.41"/>
    <m/>
    <s v="Y"/>
    <n v="1"/>
    <d v="2023-07-05T19:42:29"/>
    <s v="N"/>
    <m/>
    <m/>
    <s v="Expert Disbursement"/>
    <m/>
    <s v="N"/>
    <n v="-81.41"/>
    <n v="0"/>
    <x v="6"/>
    <s v="VALIDATED"/>
    <n v="1"/>
    <s v="01.11.80.308.2013.0000"/>
    <n v="-81.41"/>
    <s v="11"/>
    <s v="2013"/>
    <n v="15335.74"/>
    <n v="-81.41"/>
    <s v="CREDITOR"/>
    <n v="0"/>
    <n v="0"/>
    <n v="-81.41"/>
    <n v="0"/>
    <n v="0"/>
  </r>
  <r>
    <n v="59643769"/>
    <s v="N"/>
    <n v="21334037"/>
    <s v="3000014040750001RC"/>
    <s v="CIVIL"/>
    <d v="2023-06-23T00:00:00"/>
    <d v="2023-07-05T19:42:28"/>
    <m/>
    <d v="2023-07-05T00:00:00"/>
    <n v="1752"/>
    <n v="19552"/>
    <s v="59643769"/>
    <s v="59643769"/>
    <m/>
    <m/>
    <m/>
    <m/>
    <m/>
    <m/>
    <s v="SOLRECOUP"/>
    <s v="SOLRECOUP"/>
    <s v="POARECOUP"/>
    <n v="21334037"/>
    <n v="-81.41"/>
    <m/>
    <s v="Y"/>
    <n v="2"/>
    <d v="2023-07-05T19:42:29"/>
    <s v="N"/>
    <m/>
    <m/>
    <s v="Expert Disbursement"/>
    <m/>
    <s v="N"/>
    <n v="0"/>
    <n v="0"/>
    <x v="6"/>
    <s v="VALIDATED"/>
    <n v="1"/>
    <s v="01.11.80.000.0000.0000"/>
    <n v="0"/>
    <s v="11"/>
    <s v="0000"/>
    <n v="15335.74"/>
    <n v="0"/>
    <s v="CREDITOR"/>
    <n v="0"/>
    <n v="0"/>
    <n v="0"/>
    <n v="0"/>
    <n v="0"/>
  </r>
  <r>
    <n v="59643769"/>
    <s v="N"/>
    <n v="21334038"/>
    <s v="3000014040750004RC"/>
    <s v="CIVIL"/>
    <d v="2023-06-23T00:00:00"/>
    <d v="2023-07-05T19:42:28"/>
    <m/>
    <d v="2023-07-05T00:00:00"/>
    <n v="1752"/>
    <n v="19552"/>
    <s v="59643769"/>
    <s v="59643769"/>
    <m/>
    <m/>
    <m/>
    <m/>
    <m/>
    <m/>
    <s v="SOLRECOUP"/>
    <s v="SOLRECOUP"/>
    <s v="POARECOUP"/>
    <n v="21334038"/>
    <n v="-132.77"/>
    <m/>
    <s v="Y"/>
    <n v="1"/>
    <d v="2023-07-05T19:42:29"/>
    <s v="N"/>
    <m/>
    <m/>
    <s v="Expert Disbursement"/>
    <m/>
    <s v="N"/>
    <n v="-132.77"/>
    <n v="0"/>
    <x v="6"/>
    <s v="VALIDATED"/>
    <n v="1"/>
    <s v="01.11.80.308.2013.0000"/>
    <n v="-132.77"/>
    <s v="11"/>
    <s v="2013"/>
    <n v="15335.74"/>
    <n v="-132.77"/>
    <s v="CREDITOR"/>
    <n v="0"/>
    <n v="0"/>
    <n v="-132.77"/>
    <n v="0"/>
    <n v="0"/>
  </r>
  <r>
    <n v="60956355"/>
    <s v="N"/>
    <n v="21328888"/>
    <s v="3000015170910002RC"/>
    <s v="CIVIL"/>
    <d v="2023-06-26T00:00:00"/>
    <d v="2023-07-04T19:38:21"/>
    <m/>
    <d v="2023-07-04T00:00:00"/>
    <n v="1752"/>
    <n v="19552"/>
    <s v="60956355"/>
    <s v="60956355"/>
    <m/>
    <m/>
    <m/>
    <m/>
    <m/>
    <m/>
    <s v="SOLRECOUP"/>
    <s v="SOLRECOUP"/>
    <s v="POARECOUP"/>
    <n v="21328888"/>
    <n v="-201.96"/>
    <m/>
    <s v="Y"/>
    <n v="1"/>
    <d v="2023-07-04T19:38:23"/>
    <s v="N"/>
    <m/>
    <m/>
    <s v="Expert Disbursement"/>
    <m/>
    <s v="N"/>
    <n v="-201.96"/>
    <n v="0"/>
    <x v="1"/>
    <s v="VALIDATED"/>
    <n v="1"/>
    <s v="01.11.80.308.2013.0000"/>
    <n v="-201.96"/>
    <s v="11"/>
    <s v="2013"/>
    <n v="15335.74"/>
    <n v="-201.96"/>
    <s v="CREDITOR"/>
    <n v="0"/>
    <n v="0"/>
    <n v="-201.96"/>
    <n v="0"/>
    <n v="0"/>
  </r>
  <r>
    <n v="60956355"/>
    <s v="N"/>
    <n v="21328888"/>
    <s v="3000015170910002RC"/>
    <s v="CIVIL"/>
    <d v="2023-06-26T00:00:00"/>
    <d v="2023-07-04T19:38:21"/>
    <m/>
    <d v="2023-07-04T00:00:00"/>
    <n v="1752"/>
    <n v="19552"/>
    <s v="60956355"/>
    <s v="60956355"/>
    <m/>
    <m/>
    <m/>
    <m/>
    <m/>
    <m/>
    <s v="SOLRECOUP"/>
    <s v="SOLRECOUP"/>
    <s v="POARECOUP"/>
    <n v="21328888"/>
    <n v="-201.96"/>
    <m/>
    <s v="Y"/>
    <n v="2"/>
    <d v="2023-07-04T19:38:23"/>
    <s v="N"/>
    <m/>
    <m/>
    <s v="Expert Disbursement"/>
    <m/>
    <s v="N"/>
    <n v="0"/>
    <n v="0"/>
    <x v="1"/>
    <s v="VALIDATED"/>
    <n v="1"/>
    <s v="01.11.80.000.0000.0000"/>
    <n v="0"/>
    <s v="11"/>
    <s v="0000"/>
    <n v="15335.74"/>
    <n v="0"/>
    <s v="CREDITOR"/>
    <n v="0"/>
    <n v="0"/>
    <n v="0"/>
    <n v="0"/>
    <n v="0"/>
  </r>
  <r>
    <n v="60956355"/>
    <s v="N"/>
    <n v="21328889"/>
    <s v="3000015170910004RC"/>
    <s v="CIVIL"/>
    <d v="2023-06-26T00:00:00"/>
    <d v="2023-07-04T19:38:21"/>
    <m/>
    <d v="2023-07-04T00:00:00"/>
    <n v="1752"/>
    <n v="19552"/>
    <s v="60956355"/>
    <s v="60956355"/>
    <m/>
    <m/>
    <m/>
    <m/>
    <m/>
    <m/>
    <s v="SOLRECOUP"/>
    <s v="SOLRECOUP"/>
    <s v="POARECOUP"/>
    <n v="21328889"/>
    <n v="-2139.69"/>
    <m/>
    <s v="Y"/>
    <n v="1"/>
    <d v="2023-07-04T19:38:23"/>
    <s v="N"/>
    <m/>
    <m/>
    <s v="Expert Disbursement"/>
    <m/>
    <s v="N"/>
    <n v="-2139.69"/>
    <n v="0"/>
    <x v="1"/>
    <s v="VALIDATED"/>
    <n v="1"/>
    <s v="01.11.80.308.2013.0000"/>
    <n v="-2139.69"/>
    <s v="11"/>
    <s v="2013"/>
    <n v="15335.74"/>
    <n v="-2139.69"/>
    <s v="CREDITOR"/>
    <n v="0"/>
    <n v="0"/>
    <n v="-2139.69"/>
    <n v="0"/>
    <n v="0"/>
  </r>
  <r>
    <n v="60956355"/>
    <s v="N"/>
    <n v="21328889"/>
    <s v="3000015170910004RC"/>
    <s v="CIVIL"/>
    <d v="2023-06-26T00:00:00"/>
    <d v="2023-07-04T19:38:21"/>
    <m/>
    <d v="2023-07-04T00:00:00"/>
    <n v="1752"/>
    <n v="19552"/>
    <s v="60956355"/>
    <s v="60956355"/>
    <m/>
    <m/>
    <m/>
    <m/>
    <m/>
    <m/>
    <s v="SOLRECOUP"/>
    <s v="SOLRECOUP"/>
    <s v="POARECOUP"/>
    <n v="21328889"/>
    <n v="-2139.69"/>
    <m/>
    <s v="Y"/>
    <n v="2"/>
    <d v="2023-07-04T19:38:23"/>
    <s v="N"/>
    <m/>
    <m/>
    <s v="Expert Disbursement"/>
    <m/>
    <s v="N"/>
    <n v="0"/>
    <n v="0"/>
    <x v="1"/>
    <s v="VALIDATED"/>
    <n v="1"/>
    <s v="01.11.80.000.0000.0000"/>
    <n v="0"/>
    <s v="11"/>
    <s v="0000"/>
    <n v="15335.74"/>
    <n v="0"/>
    <s v="CREDITOR"/>
    <n v="0"/>
    <n v="0"/>
    <n v="0"/>
    <n v="0"/>
    <n v="0"/>
  </r>
  <r>
    <n v="60956355"/>
    <s v="N"/>
    <n v="21328890"/>
    <s v="3000015170910006RC"/>
    <s v="CIVIL"/>
    <d v="2023-06-26T00:00:00"/>
    <d v="2023-07-04T19:38:21"/>
    <m/>
    <d v="2023-07-04T00:00:00"/>
    <n v="1752"/>
    <n v="19552"/>
    <s v="60956355"/>
    <s v="60956355"/>
    <m/>
    <m/>
    <m/>
    <m/>
    <m/>
    <m/>
    <s v="SOLRECOUP"/>
    <s v="SOLRECOUP"/>
    <s v="POARECOUP"/>
    <n v="21328890"/>
    <n v="-5608.33"/>
    <m/>
    <s v="Y"/>
    <n v="1"/>
    <d v="2023-07-04T19:38:23"/>
    <s v="N"/>
    <m/>
    <m/>
    <s v="Profit Cost"/>
    <m/>
    <s v="N"/>
    <n v="-4673.61"/>
    <n v="0"/>
    <x v="1"/>
    <s v="VALIDATED"/>
    <n v="1"/>
    <s v="01.11.80.308.2013.0000"/>
    <n v="-4673.61"/>
    <s v="11"/>
    <s v="2013"/>
    <n v="15335.74"/>
    <n v="-4673.61"/>
    <s v="CREDITOR"/>
    <n v="0"/>
    <n v="0"/>
    <n v="-4673.61"/>
    <n v="-1168.4025"/>
    <n v="0"/>
  </r>
  <r>
    <n v="60956355"/>
    <s v="N"/>
    <n v="21328890"/>
    <s v="3000015170910006RC"/>
    <s v="CIVIL"/>
    <d v="2023-06-26T00:00:00"/>
    <d v="2023-07-04T19:38:21"/>
    <m/>
    <d v="2023-07-04T00:00:00"/>
    <n v="1752"/>
    <n v="19552"/>
    <s v="60956355"/>
    <s v="60956355"/>
    <m/>
    <m/>
    <m/>
    <m/>
    <m/>
    <m/>
    <s v="SOLRECOUP"/>
    <s v="SOLRECOUP"/>
    <s v="POARECOUP"/>
    <n v="21328890"/>
    <n v="-5608.33"/>
    <m/>
    <s v="Y"/>
    <n v="2"/>
    <d v="2023-07-04T19:38:23"/>
    <s v="N"/>
    <m/>
    <m/>
    <s v="Profit Cost"/>
    <m/>
    <s v="N"/>
    <n v="0"/>
    <n v="-934.72"/>
    <x v="1"/>
    <s v="VALIDATED"/>
    <n v="1"/>
    <s v="01.11.80.308.2013.0000"/>
    <n v="-934.72"/>
    <s v="11"/>
    <s v="2013"/>
    <n v="15335.74"/>
    <n v="-934.72"/>
    <s v="CREDITOR"/>
    <n v="0"/>
    <n v="0"/>
    <n v="-934.72"/>
    <n v="-233.68"/>
    <n v="0"/>
  </r>
  <r>
    <n v="60956355"/>
    <s v="N"/>
    <n v="21328891"/>
    <s v="3000015170910003RC"/>
    <s v="CIVIL"/>
    <d v="2023-06-26T00:00:00"/>
    <d v="2023-07-04T19:38:21"/>
    <m/>
    <d v="2023-07-04T00:00:00"/>
    <n v="1752"/>
    <n v="19552"/>
    <s v="60956355"/>
    <s v="60956355"/>
    <m/>
    <m/>
    <m/>
    <m/>
    <m/>
    <m/>
    <s v="SOLRECOUP"/>
    <s v="SOLRECOUP"/>
    <s v="POARECOUP"/>
    <n v="21328891"/>
    <n v="-182.4"/>
    <m/>
    <s v="Y"/>
    <n v="1"/>
    <d v="2023-07-04T19:38:23"/>
    <s v="N"/>
    <m/>
    <m/>
    <s v="Expert Disbursement"/>
    <m/>
    <s v="N"/>
    <n v="-182.4"/>
    <n v="0"/>
    <x v="1"/>
    <s v="VALIDATED"/>
    <n v="1"/>
    <s v="01.11.80.308.2013.0000"/>
    <n v="-182.4"/>
    <s v="11"/>
    <s v="2013"/>
    <n v="15335.74"/>
    <n v="-182.4"/>
    <s v="CREDITOR"/>
    <n v="0"/>
    <n v="0"/>
    <n v="-182.4"/>
    <n v="0"/>
    <n v="0"/>
  </r>
  <r>
    <n v="60956355"/>
    <s v="N"/>
    <n v="21328891"/>
    <s v="3000015170910003RC"/>
    <s v="CIVIL"/>
    <d v="2023-06-26T00:00:00"/>
    <d v="2023-07-04T19:38:21"/>
    <m/>
    <d v="2023-07-04T00:00:00"/>
    <n v="1752"/>
    <n v="19552"/>
    <s v="60956355"/>
    <s v="60956355"/>
    <m/>
    <m/>
    <m/>
    <m/>
    <m/>
    <m/>
    <s v="SOLRECOUP"/>
    <s v="SOLRECOUP"/>
    <s v="POARECOUP"/>
    <n v="21328891"/>
    <n v="-182.4"/>
    <m/>
    <s v="Y"/>
    <n v="2"/>
    <d v="2023-07-04T19:38:23"/>
    <s v="N"/>
    <m/>
    <m/>
    <s v="Expert Disbursement"/>
    <m/>
    <s v="N"/>
    <n v="0"/>
    <n v="0"/>
    <x v="1"/>
    <s v="VALIDATED"/>
    <n v="1"/>
    <s v="01.11.80.000.0000.0000"/>
    <n v="0"/>
    <s v="11"/>
    <s v="0000"/>
    <n v="15335.74"/>
    <n v="0"/>
    <s v="CREDITOR"/>
    <n v="0"/>
    <n v="0"/>
    <n v="0"/>
    <n v="0"/>
    <n v="0"/>
  </r>
  <r>
    <n v="60956355"/>
    <s v="N"/>
    <n v="21328892"/>
    <s v="3000015170910009RC"/>
    <s v="CIVIL"/>
    <d v="2023-06-26T00:00:00"/>
    <d v="2023-07-04T19:38:21"/>
    <m/>
    <d v="2023-07-04T00:00:00"/>
    <n v="1752"/>
    <n v="19552"/>
    <s v="60956355"/>
    <s v="60956355"/>
    <m/>
    <m/>
    <m/>
    <m/>
    <m/>
    <m/>
    <s v="SOLRECOUP"/>
    <s v="SOLRECOUP"/>
    <s v="POARECOUP"/>
    <n v="21328892"/>
    <n v="-205.44"/>
    <m/>
    <s v="Y"/>
    <n v="1"/>
    <d v="2023-07-04T19:38:23"/>
    <s v="N"/>
    <m/>
    <m/>
    <s v="Expert Disbursement"/>
    <m/>
    <s v="N"/>
    <n v="-205.44"/>
    <n v="0"/>
    <x v="1"/>
    <s v="VALIDATED"/>
    <n v="1"/>
    <s v="01.11.80.308.2013.0000"/>
    <n v="-205.44"/>
    <s v="11"/>
    <s v="2013"/>
    <n v="15335.74"/>
    <n v="-205.44"/>
    <s v="CREDITOR"/>
    <n v="0"/>
    <n v="0"/>
    <n v="-205.44"/>
    <n v="0"/>
    <n v="0"/>
  </r>
  <r>
    <n v="60956355"/>
    <s v="N"/>
    <n v="21328892"/>
    <s v="3000015170910009RC"/>
    <s v="CIVIL"/>
    <d v="2023-06-26T00:00:00"/>
    <d v="2023-07-04T19:38:21"/>
    <m/>
    <d v="2023-07-04T00:00:00"/>
    <n v="1752"/>
    <n v="19552"/>
    <s v="60956355"/>
    <s v="60956355"/>
    <m/>
    <m/>
    <m/>
    <m/>
    <m/>
    <m/>
    <s v="SOLRECOUP"/>
    <s v="SOLRECOUP"/>
    <s v="POARECOUP"/>
    <n v="21328892"/>
    <n v="-205.44"/>
    <m/>
    <s v="Y"/>
    <n v="2"/>
    <d v="2023-07-04T19:38:23"/>
    <s v="N"/>
    <m/>
    <m/>
    <s v="Expert Disbursement"/>
    <m/>
    <s v="N"/>
    <n v="0"/>
    <n v="0"/>
    <x v="1"/>
    <s v="VALIDATED"/>
    <n v="1"/>
    <s v="01.11.80.000.0000.0000"/>
    <n v="0"/>
    <s v="11"/>
    <s v="0000"/>
    <n v="15335.74"/>
    <n v="0"/>
    <s v="CREDITOR"/>
    <n v="0"/>
    <n v="0"/>
    <n v="0"/>
    <n v="0"/>
    <n v="0"/>
  </r>
  <r>
    <n v="60956355"/>
    <s v="N"/>
    <n v="21328893"/>
    <s v="3000015170910010RC"/>
    <s v="CIVIL"/>
    <d v="2023-06-26T00:00:00"/>
    <d v="2023-07-04T19:38:21"/>
    <m/>
    <d v="2023-07-04T00:00:00"/>
    <n v="1752"/>
    <n v="19552"/>
    <s v="60956355"/>
    <s v="60956355"/>
    <m/>
    <m/>
    <m/>
    <m/>
    <m/>
    <m/>
    <s v="SOLRECOUP"/>
    <s v="SOLRECOUP"/>
    <s v="POARECOUP"/>
    <n v="21328893"/>
    <n v="-3373.21"/>
    <m/>
    <s v="Y"/>
    <n v="1"/>
    <d v="2023-07-04T19:38:23"/>
    <s v="N"/>
    <m/>
    <m/>
    <s v="Profit Cost"/>
    <m/>
    <s v="N"/>
    <n v="-2811.01"/>
    <n v="0"/>
    <x v="1"/>
    <s v="VALIDATED"/>
    <n v="1"/>
    <s v="01.11.80.308.2013.0000"/>
    <n v="-2811.01"/>
    <s v="11"/>
    <s v="2013"/>
    <n v="15335.74"/>
    <n v="-2811.01"/>
    <s v="CREDITOR"/>
    <n v="0"/>
    <n v="0"/>
    <n v="-2811.01"/>
    <n v="-702.7525000000001"/>
    <n v="0"/>
  </r>
  <r>
    <n v="60956355"/>
    <s v="N"/>
    <n v="21328893"/>
    <s v="3000015170910010RC"/>
    <s v="CIVIL"/>
    <d v="2023-06-26T00:00:00"/>
    <d v="2023-07-04T19:38:21"/>
    <m/>
    <d v="2023-07-04T00:00:00"/>
    <n v="1752"/>
    <n v="19552"/>
    <s v="60956355"/>
    <s v="60956355"/>
    <m/>
    <m/>
    <m/>
    <m/>
    <m/>
    <m/>
    <s v="SOLRECOUP"/>
    <s v="SOLRECOUP"/>
    <s v="POARECOUP"/>
    <n v="21328893"/>
    <n v="-3373.21"/>
    <m/>
    <s v="Y"/>
    <n v="2"/>
    <d v="2023-07-04T19:38:23"/>
    <s v="N"/>
    <m/>
    <m/>
    <s v="Profit Cost"/>
    <m/>
    <s v="N"/>
    <n v="0"/>
    <n v="-562.2"/>
    <x v="1"/>
    <s v="VALIDATED"/>
    <n v="1"/>
    <s v="01.11.80.308.2013.0000"/>
    <n v="-562.2"/>
    <s v="11"/>
    <s v="2013"/>
    <n v="15335.74"/>
    <n v="-562.2"/>
    <s v="CREDITOR"/>
    <n v="0"/>
    <n v="0"/>
    <n v="-562.2"/>
    <n v="-140.55"/>
    <n v="0"/>
  </r>
  <r>
    <n v="59643769"/>
    <s v="N"/>
    <n v="21334038"/>
    <s v="3000014040750004RC"/>
    <s v="CIVIL"/>
    <d v="2023-06-23T00:00:00"/>
    <d v="2023-07-05T19:42:28"/>
    <m/>
    <d v="2023-07-05T00:00:00"/>
    <n v="1752"/>
    <n v="19552"/>
    <s v="59643769"/>
    <s v="59643769"/>
    <m/>
    <m/>
    <m/>
    <m/>
    <m/>
    <m/>
    <s v="SOLRECOUP"/>
    <s v="SOLRECOUP"/>
    <s v="POARECOUP"/>
    <n v="21334038"/>
    <n v="-132.77"/>
    <m/>
    <s v="Y"/>
    <n v="2"/>
    <d v="2023-07-05T19:42:29"/>
    <s v="N"/>
    <m/>
    <m/>
    <s v="Expert Disbursement"/>
    <m/>
    <s v="N"/>
    <n v="0"/>
    <n v="0"/>
    <x v="6"/>
    <s v="VALIDATED"/>
    <n v="1"/>
    <s v="01.11.80.000.0000.0000"/>
    <n v="0"/>
    <s v="11"/>
    <s v="0000"/>
    <n v="15335.74"/>
    <n v="0"/>
    <s v="CREDITOR"/>
    <n v="0"/>
    <n v="0"/>
    <n v="0"/>
    <n v="0"/>
    <n v="0"/>
  </r>
  <r>
    <n v="59643769"/>
    <s v="N"/>
    <n v="21334039"/>
    <s v="3000014040750005RC"/>
    <s v="CIVIL"/>
    <d v="2023-06-23T00:00:00"/>
    <d v="2023-07-05T19:42:28"/>
    <m/>
    <d v="2023-07-05T00:00:00"/>
    <n v="1752"/>
    <n v="19552"/>
    <s v="59643769"/>
    <s v="59643769"/>
    <m/>
    <m/>
    <m/>
    <m/>
    <m/>
    <m/>
    <s v="SOLRECOUP"/>
    <s v="SOLRECOUP"/>
    <s v="POARECOUP"/>
    <n v="21334039"/>
    <n v="-496.22"/>
    <m/>
    <s v="Y"/>
    <n v="1"/>
    <d v="2023-07-05T19:42:30"/>
    <s v="N"/>
    <m/>
    <m/>
    <s v="Expert Disbursement"/>
    <m/>
    <s v="N"/>
    <n v="-496.22"/>
    <n v="0"/>
    <x v="6"/>
    <s v="VALIDATED"/>
    <n v="1"/>
    <s v="01.11.80.308.2013.0000"/>
    <n v="-496.22"/>
    <s v="11"/>
    <s v="2013"/>
    <n v="15335.74"/>
    <n v="-496.22"/>
    <s v="CREDITOR"/>
    <n v="0"/>
    <n v="0"/>
    <n v="-496.22"/>
    <n v="0"/>
    <n v="0"/>
  </r>
  <r>
    <n v="59643769"/>
    <s v="N"/>
    <n v="21334039"/>
    <s v="3000014040750005RC"/>
    <s v="CIVIL"/>
    <d v="2023-06-23T00:00:00"/>
    <d v="2023-07-05T19:42:28"/>
    <m/>
    <d v="2023-07-05T00:00:00"/>
    <n v="1752"/>
    <n v="19552"/>
    <s v="59643769"/>
    <s v="59643769"/>
    <m/>
    <m/>
    <m/>
    <m/>
    <m/>
    <m/>
    <s v="SOLRECOUP"/>
    <s v="SOLRECOUP"/>
    <s v="POARECOUP"/>
    <n v="21334039"/>
    <n v="-496.22"/>
    <m/>
    <s v="Y"/>
    <n v="2"/>
    <d v="2023-07-05T19:42:30"/>
    <s v="N"/>
    <m/>
    <m/>
    <s v="Expert Disbursement"/>
    <m/>
    <s v="N"/>
    <n v="0"/>
    <n v="0"/>
    <x v="6"/>
    <s v="VALIDATED"/>
    <n v="1"/>
    <s v="01.11.80.000.0000.0000"/>
    <n v="0"/>
    <s v="11"/>
    <s v="0000"/>
    <n v="15335.74"/>
    <n v="0"/>
    <s v="CREDITOR"/>
    <n v="0"/>
    <n v="0"/>
    <n v="0"/>
    <n v="0"/>
    <n v="0"/>
  </r>
  <r>
    <n v="59758666"/>
    <s v="N"/>
    <n v="21343954"/>
    <s v="3000014136150003"/>
    <s v="CIVIL"/>
    <d v="2023-06-27T00:00:00"/>
    <d v="2023-07-07T19:03:00"/>
    <m/>
    <d v="2023-07-07T00:00:00"/>
    <n v="1753"/>
    <n v="19563"/>
    <s v="59758666"/>
    <s v="59758666"/>
    <m/>
    <m/>
    <n v="22769380"/>
    <m/>
    <m/>
    <m/>
    <s v="SOLFIN"/>
    <s v="SOLFIN"/>
    <s v="CCMS"/>
    <n v="21343954"/>
    <n v="5533.38"/>
    <m/>
    <s v="N"/>
    <n v="9"/>
    <d v="2023-07-07T19:03:18"/>
    <s v="Y"/>
    <s v="Advocates Meeting"/>
    <s v="Public Law Children"/>
    <s v="Advocacy"/>
    <s v="KJW"/>
    <s v="Y"/>
    <n v="140.99"/>
    <n v="28.2"/>
    <x v="9"/>
    <s v="VALIDATED"/>
    <n v="1"/>
    <s v="01.11.80.308.6100.0000"/>
    <n v="140.99"/>
    <s v="11"/>
    <s v="6100"/>
    <n v="4503.89"/>
    <n v="140.99"/>
    <s v="CREDITOR"/>
    <n v="0"/>
    <n v="0"/>
    <n v="0"/>
    <n v="0"/>
    <n v="140.99"/>
  </r>
  <r>
    <n v="59758666"/>
    <s v="N"/>
    <n v="21343954"/>
    <s v="3000014136150003"/>
    <s v="CIVIL"/>
    <d v="2023-06-27T00:00:00"/>
    <d v="2023-07-07T19:03:00"/>
    <m/>
    <d v="2023-07-07T00:00:00"/>
    <n v="1753"/>
    <n v="19563"/>
    <s v="59758666"/>
    <s v="59758666"/>
    <m/>
    <m/>
    <n v="22769380"/>
    <m/>
    <m/>
    <m/>
    <s v="SOLFIN"/>
    <s v="SOLFIN"/>
    <s v="CCMS"/>
    <n v="21343954"/>
    <n v="5533.38"/>
    <m/>
    <s v="N"/>
    <n v="3"/>
    <d v="2023-07-07T19:03:18"/>
    <s v="Y"/>
    <s v="DNA - test of sample"/>
    <s v="Public Law Children"/>
    <s v="Expert Disbursement"/>
    <s v="KJW"/>
    <s v="Y"/>
    <n v="84.8"/>
    <n v="16.96"/>
    <x v="9"/>
    <s v="VALIDATED"/>
    <n v="1"/>
    <s v="01.11.80.308.6300.0000"/>
    <n v="84.8"/>
    <s v="11"/>
    <s v="6300"/>
    <n v="4503.89"/>
    <n v="84.8"/>
    <s v="CREDITOR"/>
    <n v="0"/>
    <n v="0"/>
    <n v="0"/>
    <n v="0"/>
    <n v="84.8"/>
  </r>
  <r>
    <n v="59758666"/>
    <s v="N"/>
    <n v="21343954"/>
    <s v="3000014136150003"/>
    <s v="CIVIL"/>
    <d v="2023-06-27T00:00:00"/>
    <d v="2023-07-07T19:03:00"/>
    <m/>
    <d v="2023-07-07T00:00:00"/>
    <n v="1753"/>
    <n v="19563"/>
    <s v="59758666"/>
    <s v="59758666"/>
    <m/>
    <m/>
    <n v="22769380"/>
    <m/>
    <m/>
    <m/>
    <s v="SOLFIN"/>
    <s v="SOLFIN"/>
    <s v="CCMS"/>
    <n v="21343954"/>
    <n v="5533.38"/>
    <m/>
    <s v="N"/>
    <n v="11"/>
    <d v="2023-07-07T19:03:18"/>
    <s v="Y"/>
    <s v="Interim Hearing Court Bundle/Advoca"/>
    <s v="Public Law Children"/>
    <s v="Advocacy"/>
    <s v="KJW"/>
    <s v="Y"/>
    <n v="59.4"/>
    <n v="11.88"/>
    <x v="9"/>
    <s v="VALIDATED"/>
    <n v="1"/>
    <s v="01.11.80.308.6100.0000"/>
    <n v="59.4"/>
    <s v="11"/>
    <s v="6100"/>
    <n v="4503.89"/>
    <n v="59.4"/>
    <s v="CREDITOR"/>
    <n v="0"/>
    <n v="0"/>
    <n v="0"/>
    <n v="0"/>
    <n v="59.4"/>
  </r>
  <r>
    <n v="59758666"/>
    <s v="N"/>
    <n v="21343954"/>
    <s v="3000014136150003"/>
    <s v="CIVIL"/>
    <d v="2023-06-27T00:00:00"/>
    <d v="2023-07-07T19:03:00"/>
    <m/>
    <d v="2023-07-07T00:00:00"/>
    <n v="1753"/>
    <n v="19563"/>
    <s v="59758666"/>
    <s v="59758666"/>
    <m/>
    <m/>
    <n v="22769380"/>
    <m/>
    <m/>
    <m/>
    <s v="SOLFIN"/>
    <s v="SOLFIN"/>
    <s v="CCMS"/>
    <n v="21343954"/>
    <n v="5533.38"/>
    <m/>
    <s v="N"/>
    <n v="12"/>
    <d v="2023-07-07T19:03:18"/>
    <s v="Y"/>
    <s v="Interim Hearing Court Bundle/Advoca"/>
    <s v="Public Law Children"/>
    <s v="Advocacy"/>
    <s v="KJW"/>
    <s v="Y"/>
    <n v="59.4"/>
    <n v="11.88"/>
    <x v="9"/>
    <s v="VALIDATED"/>
    <n v="1"/>
    <s v="01.11.80.308.6100.0000"/>
    <n v="59.4"/>
    <s v="11"/>
    <s v="6100"/>
    <n v="4503.89"/>
    <n v="59.4"/>
    <s v="CREDITOR"/>
    <n v="0"/>
    <n v="0"/>
    <n v="0"/>
    <n v="0"/>
    <n v="59.4"/>
  </r>
  <r>
    <n v="59758666"/>
    <s v="N"/>
    <n v="21343954"/>
    <s v="3000014136150003"/>
    <s v="CIVIL"/>
    <d v="2023-06-27T00:00:00"/>
    <d v="2023-07-07T19:03:00"/>
    <m/>
    <d v="2023-07-07T00:00:00"/>
    <n v="1753"/>
    <n v="19563"/>
    <s v="59758666"/>
    <s v="59758666"/>
    <m/>
    <m/>
    <n v="22769380"/>
    <m/>
    <m/>
    <m/>
    <s v="SOLFIN"/>
    <s v="SOLFIN"/>
    <s v="CCMS"/>
    <n v="21343954"/>
    <n v="5533.38"/>
    <m/>
    <s v="N"/>
    <n v="5"/>
    <d v="2023-07-07T19:03:18"/>
    <s v="Y"/>
    <s v="Hearing Unit 2.31 - 5.00 Hours"/>
    <s v="Public Law Children"/>
    <s v="Advocacy"/>
    <s v="KJW"/>
    <s v="Y"/>
    <n v="476.92"/>
    <n v="95.38"/>
    <x v="9"/>
    <s v="VALIDATED"/>
    <n v="1"/>
    <s v="01.11.80.308.6100.0000"/>
    <n v="476.92"/>
    <s v="11"/>
    <s v="6100"/>
    <n v="4503.89"/>
    <n v="476.92"/>
    <s v="CREDITOR"/>
    <n v="0"/>
    <n v="0"/>
    <n v="0"/>
    <n v="0"/>
    <n v="476.92"/>
  </r>
  <r>
    <n v="59758666"/>
    <s v="N"/>
    <n v="21343954"/>
    <s v="3000014136150003"/>
    <s v="CIVIL"/>
    <d v="2023-06-27T00:00:00"/>
    <d v="2023-07-07T19:03:00"/>
    <m/>
    <d v="2023-07-07T00:00:00"/>
    <n v="1753"/>
    <n v="19563"/>
    <s v="59758666"/>
    <s v="59758666"/>
    <m/>
    <m/>
    <n v="22769380"/>
    <m/>
    <m/>
    <m/>
    <s v="SOLFIN"/>
    <s v="SOLFIN"/>
    <s v="CCMS"/>
    <n v="21343954"/>
    <n v="5533.38"/>
    <m/>
    <s v="N"/>
    <n v="4"/>
    <d v="2023-07-07T19:03:18"/>
    <s v="Y"/>
    <s v="Advocates Meeting"/>
    <s v="Public Law Children"/>
    <s v="Advocacy"/>
    <s v="KJW"/>
    <s v="Y"/>
    <n v="140.99"/>
    <n v="28.2"/>
    <x v="9"/>
    <s v="VALIDATED"/>
    <n v="1"/>
    <s v="01.11.80.308.6100.0000"/>
    <n v="140.99"/>
    <s v="11"/>
    <s v="6100"/>
    <n v="4503.89"/>
    <n v="140.99"/>
    <s v="CREDITOR"/>
    <n v="0"/>
    <n v="0"/>
    <n v="0"/>
    <n v="0"/>
    <n v="140.99"/>
  </r>
  <r>
    <n v="59758666"/>
    <s v="N"/>
    <n v="21343954"/>
    <s v="3000014136150003"/>
    <s v="CIVIL"/>
    <d v="2023-06-27T00:00:00"/>
    <d v="2023-07-07T19:03:00"/>
    <m/>
    <d v="2023-07-07T00:00:00"/>
    <n v="1753"/>
    <n v="19563"/>
    <s v="59758666"/>
    <s v="59758666"/>
    <m/>
    <m/>
    <n v="22769380"/>
    <m/>
    <m/>
    <m/>
    <s v="SOLFIN"/>
    <s v="SOLFIN"/>
    <s v="CCMS"/>
    <n v="21343954"/>
    <n v="5533.38"/>
    <m/>
    <s v="N"/>
    <n v="1"/>
    <d v="2023-07-07T19:03:18"/>
    <s v="Y"/>
    <s v="Solicitors Fixed Fee"/>
    <s v="Public Law Children"/>
    <s v="Profit Cost"/>
    <s v="KJW"/>
    <s v="Y"/>
    <n v="1911"/>
    <n v="382.2"/>
    <x v="9"/>
    <s v="VALIDATED"/>
    <n v="1"/>
    <s v="01.11.80.308.6100.0000"/>
    <n v="1911"/>
    <s v="11"/>
    <s v="6100"/>
    <n v="4503.89"/>
    <n v="1911"/>
    <s v="CREDITOR"/>
    <n v="0"/>
    <n v="0"/>
    <n v="0"/>
    <n v="0"/>
    <n v="1911"/>
  </r>
  <r>
    <n v="61616723"/>
    <s v="N"/>
    <n v="21323478"/>
    <s v="3000015722880004"/>
    <s v="CIVIL"/>
    <d v="2023-06-30T00:00:00"/>
    <d v="2023-07-03T19:05:56"/>
    <m/>
    <d v="2023-07-03T00:00:00"/>
    <n v="1753"/>
    <n v="19563"/>
    <s v="61616723"/>
    <s v="61616723"/>
    <m/>
    <m/>
    <n v="22798910"/>
    <m/>
    <m/>
    <m/>
    <s v="SOLPOA"/>
    <s v="SOLPOA"/>
    <s v="CCMS"/>
    <n v="21323478"/>
    <n v="29.7"/>
    <m/>
    <s v="N"/>
    <n v="1"/>
    <d v="2023-07-03T19:05:57"/>
    <s v="N"/>
    <s v="Expert Cost"/>
    <s v="Expert Cost"/>
    <s v="Expert Disbursement"/>
    <s v="Anglia DNA"/>
    <s v="N"/>
    <n v="24.75"/>
    <n v="4.95"/>
    <x v="3"/>
    <s v="VALIDATED"/>
    <n v="1"/>
    <s v="01.11.80.308.2012.0000"/>
    <n v="24.75"/>
    <s v="11"/>
    <s v="2012"/>
    <n v="4503.89"/>
    <n v="24.75"/>
    <s v="CREDITOR"/>
    <n v="24.75"/>
    <n v="0"/>
    <n v="0"/>
    <n v="0"/>
    <n v="0"/>
  </r>
  <r>
    <n v="62255203"/>
    <s v="N"/>
    <n v="21370244"/>
    <s v="3000016240210001"/>
    <s v="CIVIL"/>
    <d v="2023-06-30T00:00:00"/>
    <d v="2023-07-13T19:21:05"/>
    <m/>
    <d v="2023-07-13T00:00:00"/>
    <n v="1753"/>
    <n v="19563"/>
    <s v="62255203"/>
    <s v="62255203"/>
    <m/>
    <m/>
    <n v="22799816"/>
    <m/>
    <m/>
    <m/>
    <s v="SOLFIN"/>
    <s v="SOLFIN"/>
    <s v="CCMS"/>
    <n v="21370244"/>
    <n v="0"/>
    <m/>
    <s v="N"/>
    <n v="1"/>
    <d v="2023-07-13T19:21:18"/>
    <s v="N"/>
    <s v="NIL BILL"/>
    <s v="Public Law Children"/>
    <s v="Profit Cost"/>
    <s v="Kate Wheeler"/>
    <s v="N"/>
    <n v="0"/>
    <n v="0"/>
    <x v="11"/>
    <s v="VALIDATED"/>
    <n v="1"/>
    <s v="01.11.80.305.6100.0000"/>
    <n v="0"/>
    <s v="11"/>
    <s v="6100"/>
    <n v="4503.89"/>
    <n v="0"/>
    <s v="CREDITOR"/>
    <n v="0"/>
    <n v="0"/>
    <n v="0"/>
    <n v="0"/>
    <n v="0"/>
  </r>
  <r>
    <n v="59758666"/>
    <s v="N"/>
    <n v="21343954"/>
    <s v="3000014136150003"/>
    <s v="CIVIL"/>
    <d v="2023-06-27T00:00:00"/>
    <d v="2023-07-07T19:03:00"/>
    <m/>
    <d v="2023-07-07T00:00:00"/>
    <n v="1753"/>
    <n v="19563"/>
    <s v="59758666"/>
    <s v="59758666"/>
    <m/>
    <m/>
    <n v="22769380"/>
    <m/>
    <m/>
    <m/>
    <s v="SOLFIN"/>
    <s v="SOLFIN"/>
    <s v="CCMS"/>
    <n v="21343954"/>
    <n v="5533.38"/>
    <m/>
    <s v="N"/>
    <n v="6"/>
    <d v="2023-07-07T19:03:18"/>
    <s v="Y"/>
    <s v="Hearing Unit 1.01 - 2.30 Hours"/>
    <s v="Public Law Children"/>
    <s v="Advocacy"/>
    <s v="KJW"/>
    <s v="Y"/>
    <n v="238.46"/>
    <n v="47.69"/>
    <x v="9"/>
    <s v="VALIDATED"/>
    <n v="1"/>
    <s v="01.11.80.308.6100.0000"/>
    <n v="238.46"/>
    <s v="11"/>
    <s v="6100"/>
    <n v="4503.89"/>
    <n v="238.46"/>
    <s v="CREDITOR"/>
    <n v="0"/>
    <n v="0"/>
    <n v="0"/>
    <n v="0"/>
    <n v="238.46"/>
  </r>
  <r>
    <n v="62300397"/>
    <s v="N"/>
    <n v="21319461"/>
    <s v="3000016290110003"/>
    <s v="CIVIL"/>
    <d v="2023-06-28T00:00:00"/>
    <d v="2023-07-03T19:04:24"/>
    <m/>
    <d v="2023-07-03T00:00:00"/>
    <n v="1753"/>
    <n v="19563"/>
    <s v="62300397"/>
    <s v="62300397"/>
    <m/>
    <m/>
    <n v="22776448"/>
    <m/>
    <m/>
    <m/>
    <s v="SOLPOA"/>
    <s v="SOLPOA"/>
    <s v="CCMS"/>
    <n v="21319461"/>
    <n v="86.09999999999999"/>
    <m/>
    <s v="N"/>
    <n v="1"/>
    <d v="2023-07-03T19:04:26"/>
    <s v="N"/>
    <s v="Expert Cost"/>
    <s v="Expert Cost"/>
    <s v="Expert Disbursement"/>
    <s v="Forensic Testing Service"/>
    <s v="N"/>
    <n v="71.75"/>
    <n v="14.35"/>
    <x v="3"/>
    <s v="VALIDATED"/>
    <n v="1"/>
    <s v="01.11.80.308.2012.0000"/>
    <n v="71.75"/>
    <s v="11"/>
    <s v="2012"/>
    <n v="4503.89"/>
    <n v="71.75"/>
    <s v="CREDITOR"/>
    <n v="71.75"/>
    <n v="0"/>
    <n v="0"/>
    <n v="0"/>
    <n v="0"/>
  </r>
  <r>
    <n v="59758666"/>
    <s v="N"/>
    <n v="21343954"/>
    <s v="3000014136150003"/>
    <s v="CIVIL"/>
    <d v="2023-06-27T00:00:00"/>
    <d v="2023-07-07T19:03:00"/>
    <m/>
    <d v="2023-07-07T00:00:00"/>
    <n v="1753"/>
    <n v="19563"/>
    <s v="59758666"/>
    <s v="59758666"/>
    <m/>
    <m/>
    <n v="22769380"/>
    <m/>
    <m/>
    <m/>
    <s v="SOLFIN"/>
    <s v="SOLFIN"/>
    <s v="CCMS"/>
    <n v="21343954"/>
    <n v="5533.38"/>
    <m/>
    <s v="N"/>
    <n v="7"/>
    <d v="2023-07-07T19:03:18"/>
    <s v="Y"/>
    <s v="Advocates Meeting"/>
    <s v="Public Law Children"/>
    <s v="Advocacy"/>
    <s v="KJW"/>
    <s v="Y"/>
    <n v="140.99"/>
    <n v="28.2"/>
    <x v="9"/>
    <s v="VALIDATED"/>
    <n v="1"/>
    <s v="01.11.80.308.6100.0000"/>
    <n v="140.99"/>
    <s v="11"/>
    <s v="6100"/>
    <n v="4503.89"/>
    <n v="140.99"/>
    <s v="CREDITOR"/>
    <n v="0"/>
    <n v="0"/>
    <n v="0"/>
    <n v="0"/>
    <n v="140.99"/>
  </r>
  <r>
    <n v="59758666"/>
    <s v="N"/>
    <n v="21343954"/>
    <s v="3000014136150003"/>
    <s v="CIVIL"/>
    <d v="2023-06-27T00:00:00"/>
    <d v="2023-07-07T19:03:00"/>
    <m/>
    <d v="2023-07-07T00:00:00"/>
    <n v="1753"/>
    <n v="19563"/>
    <s v="59758666"/>
    <s v="59758666"/>
    <m/>
    <m/>
    <n v="22769380"/>
    <m/>
    <m/>
    <m/>
    <s v="SOLFIN"/>
    <s v="SOLFIN"/>
    <s v="CCMS"/>
    <n v="21343954"/>
    <n v="5533.38"/>
    <m/>
    <s v="N"/>
    <n v="8"/>
    <d v="2023-07-07T19:03:18"/>
    <s v="Y"/>
    <s v="Hearing Unit 2.31 - 5.00 Hours"/>
    <s v="Public Law Children"/>
    <s v="Advocacy"/>
    <s v="KJW"/>
    <s v="Y"/>
    <n v="476.92"/>
    <n v="95.38"/>
    <x v="9"/>
    <s v="VALIDATED"/>
    <n v="1"/>
    <s v="01.11.80.308.6100.0000"/>
    <n v="476.92"/>
    <s v="11"/>
    <s v="6100"/>
    <n v="4503.89"/>
    <n v="476.92"/>
    <s v="CREDITOR"/>
    <n v="0"/>
    <n v="0"/>
    <n v="0"/>
    <n v="0"/>
    <n v="476.92"/>
  </r>
  <r>
    <n v="59758666"/>
    <s v="N"/>
    <n v="21343954"/>
    <s v="3000014136150003"/>
    <s v="CIVIL"/>
    <d v="2023-06-27T00:00:00"/>
    <d v="2023-07-07T19:03:00"/>
    <m/>
    <d v="2023-07-07T00:00:00"/>
    <n v="1753"/>
    <n v="19563"/>
    <s v="59758666"/>
    <s v="59758666"/>
    <m/>
    <m/>
    <n v="22769380"/>
    <m/>
    <m/>
    <m/>
    <s v="SOLFIN"/>
    <s v="SOLFIN"/>
    <s v="CCMS"/>
    <n v="21343954"/>
    <n v="5533.38"/>
    <m/>
    <s v="N"/>
    <n v="2"/>
    <d v="2023-07-07T19:03:18"/>
    <s v="Y"/>
    <s v="Toxicologist"/>
    <s v="Public Law Children"/>
    <s v="Expert Disbursement"/>
    <s v="KJW"/>
    <s v="Y"/>
    <n v="85"/>
    <n v="17"/>
    <x v="9"/>
    <s v="VALIDATED"/>
    <n v="1"/>
    <s v="01.11.80.308.6300.0000"/>
    <n v="85"/>
    <s v="11"/>
    <s v="6300"/>
    <n v="4503.89"/>
    <n v="85"/>
    <s v="CREDITOR"/>
    <n v="0"/>
    <n v="0"/>
    <n v="0"/>
    <n v="0"/>
    <n v="85"/>
  </r>
  <r>
    <n v="59758666"/>
    <s v="N"/>
    <n v="21343954"/>
    <s v="3000014136150003"/>
    <s v="CIVIL"/>
    <d v="2023-06-27T00:00:00"/>
    <d v="2023-07-07T19:03:00"/>
    <m/>
    <d v="2023-07-07T00:00:00"/>
    <n v="1753"/>
    <n v="19563"/>
    <s v="59758666"/>
    <s v="59758666"/>
    <m/>
    <m/>
    <n v="22769380"/>
    <m/>
    <m/>
    <m/>
    <s v="SOLFIN"/>
    <s v="SOLFIN"/>
    <s v="CCMS"/>
    <n v="21343954"/>
    <n v="5533.38"/>
    <m/>
    <s v="N"/>
    <n v="13"/>
    <d v="2023-07-07T19:03:18"/>
    <s v="Y"/>
    <s v="Final Hearing Court Bundle/Advocate"/>
    <s v="Public Law Children"/>
    <s v="Advocacy"/>
    <s v="KJW"/>
    <s v="Y"/>
    <n v="239.4"/>
    <n v="47.88"/>
    <x v="9"/>
    <s v="VALIDATED"/>
    <n v="1"/>
    <s v="01.11.80.308.6100.0000"/>
    <n v="239.4"/>
    <s v="11"/>
    <s v="6100"/>
    <n v="4503.89"/>
    <n v="239.4"/>
    <s v="CREDITOR"/>
    <n v="0"/>
    <n v="0"/>
    <n v="0"/>
    <n v="0"/>
    <n v="239.4"/>
  </r>
  <r>
    <n v="59758666"/>
    <s v="N"/>
    <n v="21343954"/>
    <s v="3000014136150003"/>
    <s v="CIVIL"/>
    <d v="2023-06-27T00:00:00"/>
    <d v="2023-07-07T19:03:00"/>
    <m/>
    <d v="2023-07-07T00:00:00"/>
    <n v="1753"/>
    <n v="19563"/>
    <s v="59758666"/>
    <s v="59758666"/>
    <m/>
    <m/>
    <n v="22769380"/>
    <m/>
    <m/>
    <m/>
    <s v="SOLFIN"/>
    <s v="SOLFIN"/>
    <s v="CCMS"/>
    <n v="21343954"/>
    <n v="5533.38"/>
    <m/>
    <s v="N"/>
    <n v="10"/>
    <d v="2023-07-07T19:03:18"/>
    <s v="Y"/>
    <s v="Final Hearing - 1 Day"/>
    <s v="Public Law Children"/>
    <s v="Advocacy"/>
    <s v="KJW"/>
    <s v="Y"/>
    <n v="556.88"/>
    <n v="111.38"/>
    <x v="9"/>
    <s v="VALIDATED"/>
    <n v="1"/>
    <s v="01.11.80.308.6100.0000"/>
    <n v="556.88"/>
    <s v="11"/>
    <s v="6100"/>
    <n v="4503.89"/>
    <n v="556.88"/>
    <s v="CREDITOR"/>
    <n v="0"/>
    <n v="0"/>
    <n v="0"/>
    <n v="0"/>
    <n v="556.88"/>
  </r>
  <r>
    <n v="59758666"/>
    <s v="N"/>
    <n v="21346521"/>
    <s v="3000014136150002RC"/>
    <s v="CIVIL"/>
    <d v="2023-06-27T00:00:00"/>
    <d v="2023-07-07T19:34:21"/>
    <m/>
    <d v="2023-07-07T00:00:00"/>
    <n v="1753"/>
    <n v="19563"/>
    <s v="59758666"/>
    <s v="59758666"/>
    <m/>
    <m/>
    <m/>
    <m/>
    <m/>
    <m/>
    <s v="SOLRECOUP"/>
    <s v="SOLRECOUP"/>
    <s v="POARECOUP"/>
    <n v="21346521"/>
    <n v="-101.76"/>
    <m/>
    <s v="Y"/>
    <n v="2"/>
    <d v="2023-07-07T19:34:23"/>
    <s v="N"/>
    <m/>
    <m/>
    <s v="Expert Disbursement"/>
    <m/>
    <s v="N"/>
    <n v="0"/>
    <n v="-16.96"/>
    <x v="9"/>
    <s v="VALIDATED"/>
    <n v="1"/>
    <s v="01.11.80.308.2013.0000"/>
    <n v="-16.96"/>
    <s v="11"/>
    <s v="2013"/>
    <n v="4503.89"/>
    <n v="-16.96"/>
    <s v="CREDITOR"/>
    <n v="0"/>
    <n v="0"/>
    <n v="-16.96"/>
    <n v="0"/>
    <n v="0"/>
  </r>
  <r>
    <n v="59758666"/>
    <s v="N"/>
    <n v="21346521"/>
    <s v="3000014136150002RC"/>
    <s v="CIVIL"/>
    <d v="2023-06-27T00:00:00"/>
    <d v="2023-07-07T19:34:21"/>
    <m/>
    <d v="2023-07-07T00:00:00"/>
    <n v="1753"/>
    <n v="19563"/>
    <s v="59758666"/>
    <s v="59758666"/>
    <m/>
    <m/>
    <m/>
    <m/>
    <m/>
    <m/>
    <s v="SOLRECOUP"/>
    <s v="SOLRECOUP"/>
    <s v="POARECOUP"/>
    <n v="21346521"/>
    <n v="-101.76"/>
    <m/>
    <s v="Y"/>
    <n v="1"/>
    <d v="2023-07-07T19:34:23"/>
    <s v="N"/>
    <m/>
    <m/>
    <s v="Expert Disbursement"/>
    <m/>
    <s v="N"/>
    <n v="-84.8"/>
    <n v="0"/>
    <x v="9"/>
    <s v="VALIDATED"/>
    <n v="1"/>
    <s v="01.11.80.308.2013.0000"/>
    <n v="-84.8"/>
    <s v="11"/>
    <s v="2013"/>
    <n v="4503.89"/>
    <n v="-84.8"/>
    <s v="CREDITOR"/>
    <n v="0"/>
    <n v="0"/>
    <n v="-84.8"/>
    <n v="0"/>
    <n v="0"/>
  </r>
  <r>
    <n v="59758666"/>
    <s v="N"/>
    <n v="21346522"/>
    <s v="3000014136150001RC"/>
    <s v="CIVIL"/>
    <d v="2023-06-27T00:00:00"/>
    <d v="2023-07-07T19:34:21"/>
    <m/>
    <d v="2023-07-07T00:00:00"/>
    <n v="1753"/>
    <n v="19563"/>
    <s v="59758666"/>
    <s v="59758666"/>
    <m/>
    <m/>
    <m/>
    <m/>
    <m/>
    <m/>
    <s v="SOLRECOUP"/>
    <s v="SOLRECOUP"/>
    <s v="POARECOUP"/>
    <n v="21346522"/>
    <n v="-102"/>
    <m/>
    <s v="Y"/>
    <n v="1"/>
    <d v="2023-07-07T19:34:23"/>
    <s v="N"/>
    <m/>
    <m/>
    <s v="Expert Disbursement"/>
    <m/>
    <s v="N"/>
    <n v="-85"/>
    <n v="0"/>
    <x v="9"/>
    <s v="VALIDATED"/>
    <n v="1"/>
    <s v="01.11.80.308.2013.0000"/>
    <n v="-85"/>
    <s v="11"/>
    <s v="2013"/>
    <n v="4503.89"/>
    <n v="-85"/>
    <s v="CREDITOR"/>
    <n v="0"/>
    <n v="0"/>
    <n v="-85"/>
    <n v="0"/>
    <n v="0"/>
  </r>
  <r>
    <n v="59758666"/>
    <s v="N"/>
    <n v="21346522"/>
    <s v="3000014136150001RC"/>
    <s v="CIVIL"/>
    <d v="2023-06-27T00:00:00"/>
    <d v="2023-07-07T19:34:21"/>
    <m/>
    <d v="2023-07-07T00:00:00"/>
    <n v="1753"/>
    <n v="19563"/>
    <s v="59758666"/>
    <s v="59758666"/>
    <m/>
    <m/>
    <m/>
    <m/>
    <m/>
    <m/>
    <s v="SOLRECOUP"/>
    <s v="SOLRECOUP"/>
    <s v="POARECOUP"/>
    <n v="21346522"/>
    <n v="-102"/>
    <m/>
    <s v="Y"/>
    <n v="2"/>
    <d v="2023-07-07T19:34:23"/>
    <s v="N"/>
    <m/>
    <m/>
    <s v="Expert Disbursement"/>
    <m/>
    <s v="N"/>
    <n v="0"/>
    <n v="-17"/>
    <x v="9"/>
    <s v="VALIDATED"/>
    <n v="1"/>
    <s v="01.11.80.308.2013.0000"/>
    <n v="-17"/>
    <s v="11"/>
    <s v="2013"/>
    <n v="4503.89"/>
    <n v="-17"/>
    <s v="CREDITOR"/>
    <n v="0"/>
    <n v="0"/>
    <n v="-17"/>
    <n v="0"/>
    <n v="0"/>
  </r>
  <r>
    <n v="40181941"/>
    <s v="N"/>
    <n v="21343344"/>
    <s v="3000010782210005"/>
    <s v="CIVIL"/>
    <d v="2023-06-27T00:00:00"/>
    <d v="2023-07-07T19:03:00"/>
    <m/>
    <d v="2023-07-07T00:00:00"/>
    <n v="1764"/>
    <n v="692"/>
    <s v="40181941"/>
    <s v="40181941"/>
    <m/>
    <m/>
    <n v="22774750"/>
    <m/>
    <m/>
    <m/>
    <s v="SOLPOA"/>
    <s v="SOLPOA"/>
    <s v="CCMS"/>
    <n v="21343344"/>
    <n v="193.9"/>
    <m/>
    <s v="N"/>
    <n v="1"/>
    <d v="2023-07-07T19:03:08"/>
    <s v="N"/>
    <s v="Expert Cost - Private Law Children"/>
    <s v="Expert Cost - Private Law Chil"/>
    <s v="Expert Disbursement"/>
    <s v="BK"/>
    <s v="N"/>
    <n v="193.9"/>
    <n v="0"/>
    <x v="9"/>
    <s v="VALIDATED"/>
    <n v="1"/>
    <s v="01.11.80.307.2012.0000"/>
    <n v="193.9"/>
    <s v="11"/>
    <s v="2012"/>
    <n v="618.5"/>
    <n v="193.9"/>
    <s v="CREDITOR"/>
    <n v="193.9"/>
    <n v="0"/>
    <n v="0"/>
    <n v="0"/>
    <n v="0"/>
  </r>
  <r>
    <n v="16176831"/>
    <s v="N"/>
    <n v="21321988"/>
    <s v="3000007799780023"/>
    <s v="CIVIL"/>
    <d v="2023-06-29T00:00:00"/>
    <d v="2023-07-03T19:05:17"/>
    <m/>
    <d v="2023-07-03T00:00:00"/>
    <n v="1764"/>
    <n v="692"/>
    <s v="16176831"/>
    <s v="16176831"/>
    <m/>
    <m/>
    <n v="22785906"/>
    <m/>
    <m/>
    <m/>
    <s v="SOLPOA"/>
    <s v="SOLPOA"/>
    <s v="CCMS"/>
    <n v="21321988"/>
    <n v="250"/>
    <m/>
    <s v="N"/>
    <n v="1"/>
    <d v="2023-07-03T19:05:21"/>
    <s v="N"/>
    <s v="Expert Cost - Private Law Children"/>
    <s v="Expert Cost - Private Law Chil"/>
    <s v="Expert Disbursement"/>
    <s v="DD"/>
    <s v="N"/>
    <n v="250"/>
    <n v="0"/>
    <x v="3"/>
    <s v="VALIDATED"/>
    <n v="1"/>
    <s v="01.11.80.307.2012.0000"/>
    <n v="250"/>
    <s v="11"/>
    <s v="2012"/>
    <n v="618.5"/>
    <n v="250"/>
    <s v="CREDITOR"/>
    <n v="250"/>
    <n v="0"/>
    <n v="0"/>
    <n v="0"/>
    <n v="0"/>
  </r>
  <r>
    <n v="52630555"/>
    <s v="N"/>
    <n v="21343427"/>
    <s v="3000012310510009"/>
    <s v="CIVIL"/>
    <d v="2023-06-29T00:00:00"/>
    <d v="2023-07-07T19:03:00"/>
    <m/>
    <d v="2023-07-07T00:00:00"/>
    <n v="1764"/>
    <n v="692"/>
    <s v="52630555"/>
    <s v="52630555"/>
    <m/>
    <m/>
    <n v="22791582"/>
    <m/>
    <m/>
    <m/>
    <s v="SOLPOA"/>
    <s v="SOLPOA"/>
    <s v="CCMS"/>
    <n v="21343427"/>
    <n v="72.12"/>
    <m/>
    <s v="N"/>
    <n v="1"/>
    <d v="2023-07-07T19:03:09"/>
    <s v="N"/>
    <s v="Expert Cost - Private Law Children"/>
    <s v="Expert Cost - Private Law Chil"/>
    <s v="Expert Disbursement"/>
    <s v="DD"/>
    <s v="N"/>
    <n v="60.1"/>
    <n v="12.02"/>
    <x v="9"/>
    <s v="VALIDATED"/>
    <n v="1"/>
    <s v="01.11.80.307.2012.0000"/>
    <n v="60.1"/>
    <s v="11"/>
    <s v="2012"/>
    <n v="618.5"/>
    <n v="60.1"/>
    <s v="CREDITOR"/>
    <n v="60.1"/>
    <n v="0"/>
    <n v="0"/>
    <n v="0"/>
    <n v="0"/>
  </r>
  <r>
    <n v="16176831"/>
    <s v="N"/>
    <n v="21321979"/>
    <s v="3000007799780022"/>
    <s v="CIVIL"/>
    <d v="2023-06-29T00:00:00"/>
    <d v="2023-07-03T19:05:17"/>
    <m/>
    <d v="2023-07-03T00:00:00"/>
    <n v="1764"/>
    <n v="692"/>
    <s v="16176831"/>
    <s v="16176831"/>
    <m/>
    <m/>
    <n v="22785710"/>
    <m/>
    <m/>
    <m/>
    <s v="SOLPOA"/>
    <s v="SOLPOA"/>
    <s v="CCMS"/>
    <n v="21321979"/>
    <n v="87"/>
    <m/>
    <s v="N"/>
    <n v="1"/>
    <d v="2023-07-03T19:05:21"/>
    <s v="N"/>
    <s v="Expert Cost - Private Law Children"/>
    <s v="Expert Cost - Private Law Chil"/>
    <s v="Expert Disbursement"/>
    <s v="DD"/>
    <s v="N"/>
    <n v="87"/>
    <n v="0"/>
    <x v="3"/>
    <s v="VALIDATED"/>
    <n v="1"/>
    <s v="01.11.80.307.2012.0000"/>
    <n v="87"/>
    <s v="11"/>
    <s v="2012"/>
    <n v="618.5"/>
    <n v="87"/>
    <s v="CREDITOR"/>
    <n v="87"/>
    <n v="0"/>
    <n v="0"/>
    <n v="0"/>
    <n v="0"/>
  </r>
  <r>
    <n v="16176831"/>
    <s v="N"/>
    <n v="21321446"/>
    <s v="3000007799780020"/>
    <s v="CIVIL"/>
    <d v="2023-06-29T00:00:00"/>
    <d v="2023-07-03T19:05:17"/>
    <m/>
    <d v="2023-07-03T00:00:00"/>
    <n v="1764"/>
    <n v="692"/>
    <s v="16176831"/>
    <s v="16176831"/>
    <m/>
    <m/>
    <n v="22787914"/>
    <m/>
    <m/>
    <m/>
    <s v="SOLPOA"/>
    <s v="SOLPOA"/>
    <s v="CCMS"/>
    <n v="21321446"/>
    <n v="18"/>
    <m/>
    <s v="N"/>
    <n v="1"/>
    <d v="2023-07-03T19:05:18"/>
    <s v="N"/>
    <s v="Expert Cost - Private Law Children"/>
    <s v="Expert Cost - Private Law Chil"/>
    <s v="Expert Disbursement"/>
    <s v="DD"/>
    <s v="N"/>
    <n v="15"/>
    <n v="3"/>
    <x v="3"/>
    <s v="VALIDATED"/>
    <n v="1"/>
    <s v="01.11.80.307.2012.0000"/>
    <n v="15"/>
    <s v="11"/>
    <s v="2012"/>
    <n v="618.5"/>
    <n v="15"/>
    <s v="CREDITOR"/>
    <n v="15"/>
    <n v="0"/>
    <n v="0"/>
    <n v="0"/>
    <n v="0"/>
  </r>
  <r>
    <n v="16176831"/>
    <s v="N"/>
    <n v="21321909"/>
    <s v="3000007799780021"/>
    <s v="CIVIL"/>
    <d v="2023-06-29T00:00:00"/>
    <d v="2023-07-03T19:05:17"/>
    <m/>
    <d v="2023-07-03T00:00:00"/>
    <n v="1764"/>
    <n v="692"/>
    <s v="16176831"/>
    <s v="16176831"/>
    <m/>
    <m/>
    <n v="22788060"/>
    <m/>
    <m/>
    <m/>
    <s v="SOLPOA"/>
    <s v="SOLPOA"/>
    <s v="CCMS"/>
    <n v="21321909"/>
    <n v="15"/>
    <m/>
    <s v="N"/>
    <n v="1"/>
    <d v="2023-07-03T19:05:21"/>
    <s v="N"/>
    <s v="Expert Cost - Private Law Children"/>
    <s v="Expert Cost - Private Law Chil"/>
    <s v="Expert Disbursement"/>
    <s v="DD"/>
    <s v="N"/>
    <n v="12.5"/>
    <n v="2.5"/>
    <x v="3"/>
    <s v="VALIDATED"/>
    <n v="1"/>
    <s v="01.11.80.307.2012.0000"/>
    <n v="12.5"/>
    <s v="11"/>
    <s v="2012"/>
    <n v="618.5"/>
    <n v="12.5"/>
    <s v="CREDITOR"/>
    <n v="12.5"/>
    <n v="0"/>
    <n v="0"/>
    <n v="0"/>
    <n v="0"/>
  </r>
  <r>
    <n v="60210439"/>
    <s v="N"/>
    <n v="21403440"/>
    <s v="3000014516040010"/>
    <s v="CIVIL"/>
    <d v="2023-06-15T00:00:00"/>
    <d v="2023-07-20T19:22:20"/>
    <m/>
    <d v="2023-07-20T00:00:00"/>
    <n v="1771"/>
    <n v="19707"/>
    <s v="60210439"/>
    <s v="60210439"/>
    <m/>
    <m/>
    <n v="22697098"/>
    <m/>
    <m/>
    <m/>
    <s v="SOLFIN"/>
    <s v="SOLFIN"/>
    <s v="CCMS"/>
    <n v="21403440"/>
    <n v="3904.09"/>
    <m/>
    <s v="N"/>
    <n v="6"/>
    <d v="2023-07-20T19:22:39"/>
    <s v="Y"/>
    <s v="Final Hearing - 1 Day"/>
    <s v="Public Law Children"/>
    <s v="Advocacy"/>
    <s v="KAREN FRANKLAND"/>
    <s v="Y"/>
    <n v="556.88"/>
    <n v="111.38"/>
    <x v="13"/>
    <s v="VALIDATED"/>
    <n v="1"/>
    <s v="01.11.80.308.6100.0000"/>
    <n v="556.88"/>
    <s v="11"/>
    <s v="6100"/>
    <n v="1824.07"/>
    <n v="556.88"/>
    <s v="CREDITOR"/>
    <n v="0"/>
    <n v="0"/>
    <n v="0"/>
    <n v="0"/>
    <n v="556.88"/>
  </r>
  <r>
    <n v="60210439"/>
    <s v="N"/>
    <n v="21403440"/>
    <s v="3000014516040010"/>
    <s v="CIVIL"/>
    <d v="2023-06-15T00:00:00"/>
    <d v="2023-07-20T19:22:20"/>
    <m/>
    <d v="2023-07-20T00:00:00"/>
    <n v="1771"/>
    <n v="19707"/>
    <s v="60210439"/>
    <s v="60210439"/>
    <m/>
    <m/>
    <n v="22697098"/>
    <m/>
    <m/>
    <m/>
    <s v="SOLFIN"/>
    <s v="SOLFIN"/>
    <s v="CCMS"/>
    <n v="21403440"/>
    <n v="3904.09"/>
    <m/>
    <s v="N"/>
    <n v="1"/>
    <d v="2023-07-20T19:22:39"/>
    <s v="Y"/>
    <s v="Final Hearing Court Bundle/Advocate"/>
    <s v="Public Law Children"/>
    <s v="Advocacy"/>
    <s v="KAREN FRANKLAND"/>
    <s v="Y"/>
    <n v="239.4"/>
    <n v="47.88"/>
    <x v="13"/>
    <s v="VALIDATED"/>
    <n v="1"/>
    <s v="01.11.80.308.6100.0000"/>
    <n v="239.4"/>
    <s v="11"/>
    <s v="6100"/>
    <n v="1824.07"/>
    <n v="239.4"/>
    <s v="CREDITOR"/>
    <n v="0"/>
    <n v="0"/>
    <n v="0"/>
    <n v="0"/>
    <n v="239.4"/>
  </r>
  <r>
    <n v="61333075"/>
    <s v="N"/>
    <n v="21344126"/>
    <s v="3000015485170008"/>
    <s v="CIVIL"/>
    <d v="2023-06-29T00:00:00"/>
    <d v="2023-07-07T19:03:00"/>
    <m/>
    <d v="2023-07-07T00:00:00"/>
    <n v="1771"/>
    <n v="19707"/>
    <s v="61333075"/>
    <s v="61333075"/>
    <m/>
    <m/>
    <n v="22789096"/>
    <m/>
    <m/>
    <m/>
    <s v="SOLINT"/>
    <s v="SOLINT"/>
    <s v="CCMS"/>
    <n v="21344126"/>
    <n v="0"/>
    <m/>
    <s v="N"/>
    <n v="1"/>
    <d v="2023-07-07T19:03:24"/>
    <s v="N"/>
    <s v="NIL BILL"/>
    <s v="Public Law Children"/>
    <s v="Profit Cost"/>
    <s v="NICOLA BARROW"/>
    <s v="N"/>
    <n v="0"/>
    <n v="0"/>
    <x v="9"/>
    <s v="VALIDATED"/>
    <n v="1"/>
    <s v="01.11.80.308.6100.0000"/>
    <n v="0"/>
    <s v="11"/>
    <s v="6100"/>
    <n v="1824.07"/>
    <n v="0"/>
    <s v="CREDITOR"/>
    <n v="0"/>
    <n v="0"/>
    <n v="0"/>
    <n v="0"/>
    <n v="0"/>
  </r>
  <r>
    <n v="60210439"/>
    <s v="N"/>
    <n v="21403440"/>
    <s v="3000014516040010"/>
    <s v="CIVIL"/>
    <d v="2023-06-15T00:00:00"/>
    <d v="2023-07-20T19:22:20"/>
    <m/>
    <d v="2023-07-20T00:00:00"/>
    <n v="1771"/>
    <n v="19707"/>
    <s v="60210439"/>
    <s v="60210439"/>
    <m/>
    <m/>
    <n v="22697098"/>
    <m/>
    <m/>
    <m/>
    <s v="SOLFIN"/>
    <s v="SOLFIN"/>
    <s v="CCMS"/>
    <n v="21403440"/>
    <n v="3904.09"/>
    <m/>
    <s v="N"/>
    <n v="5"/>
    <d v="2023-07-20T19:22:39"/>
    <s v="Y"/>
    <s v="Toxicologist"/>
    <s v="Public Law Children"/>
    <s v="Expert Disbursement"/>
    <s v="KF"/>
    <s v="Y"/>
    <n v="23.75"/>
    <n v="4.75"/>
    <x v="13"/>
    <s v="VALIDATED"/>
    <n v="1"/>
    <s v="01.11.80.308.6300.0000"/>
    <n v="23.75"/>
    <s v="11"/>
    <s v="6300"/>
    <n v="1824.07"/>
    <n v="23.75"/>
    <s v="CREDITOR"/>
    <n v="0"/>
    <n v="0"/>
    <n v="0"/>
    <n v="0"/>
    <n v="23.75"/>
  </r>
  <r>
    <n v="60210439"/>
    <s v="N"/>
    <n v="21403440"/>
    <s v="3000014516040010"/>
    <s v="CIVIL"/>
    <d v="2023-06-15T00:00:00"/>
    <d v="2023-07-20T19:22:20"/>
    <m/>
    <d v="2023-07-20T00:00:00"/>
    <n v="1771"/>
    <n v="19707"/>
    <s v="60210439"/>
    <s v="60210439"/>
    <m/>
    <m/>
    <n v="22697098"/>
    <m/>
    <m/>
    <m/>
    <s v="SOLFIN"/>
    <s v="SOLFIN"/>
    <s v="CCMS"/>
    <n v="21403440"/>
    <n v="3904.09"/>
    <m/>
    <s v="N"/>
    <n v="8"/>
    <d v="2023-07-20T19:22:39"/>
    <s v="Y"/>
    <s v="Solicitors Fixed Fee"/>
    <s v="Public Law Children"/>
    <s v="Profit Cost"/>
    <s v="KAREN FRANKLAND"/>
    <s v="Y"/>
    <n v="1911"/>
    <n v="382.2"/>
    <x v="13"/>
    <s v="VALIDATED"/>
    <n v="1"/>
    <s v="01.11.80.308.6100.0000"/>
    <n v="1911"/>
    <s v="11"/>
    <s v="6100"/>
    <n v="1824.07"/>
    <n v="1911"/>
    <s v="CREDITOR"/>
    <n v="0"/>
    <n v="0"/>
    <n v="0"/>
    <n v="0"/>
    <n v="1911"/>
  </r>
  <r>
    <n v="61333075"/>
    <s v="N"/>
    <n v="21322408"/>
    <s v="3000015485170007"/>
    <s v="CIVIL"/>
    <d v="2023-06-29T00:00:00"/>
    <d v="2023-07-03T19:05:36"/>
    <m/>
    <d v="2023-07-03T00:00:00"/>
    <n v="1771"/>
    <n v="19707"/>
    <s v="61333075"/>
    <s v="61333075"/>
    <m/>
    <m/>
    <n v="22789048"/>
    <m/>
    <m/>
    <m/>
    <s v="SOLPOA"/>
    <s v="SOLPOA"/>
    <s v="CCMS"/>
    <n v="21322408"/>
    <n v="1806.2"/>
    <m/>
    <s v="N"/>
    <n v="1"/>
    <d v="2023-07-03T19:05:37"/>
    <s v="N"/>
    <s v="Expert Cost"/>
    <s v="Expert Cost"/>
    <s v="Expert Disbursement"/>
    <s v="NICOLA BARROW"/>
    <s v="N"/>
    <n v="1806.2"/>
    <n v="0"/>
    <x v="3"/>
    <s v="VALIDATED"/>
    <n v="1"/>
    <s v="01.11.80.308.2012.0000"/>
    <n v="1806.2"/>
    <s v="11"/>
    <s v="2012"/>
    <n v="1824.07"/>
    <n v="1806.2"/>
    <s v="CREDITOR"/>
    <n v="1806.2"/>
    <n v="0"/>
    <n v="0"/>
    <n v="0"/>
    <n v="0"/>
  </r>
  <r>
    <n v="60210439"/>
    <s v="N"/>
    <n v="21403440"/>
    <s v="3000014516040010"/>
    <s v="CIVIL"/>
    <d v="2023-06-15T00:00:00"/>
    <d v="2023-07-20T19:22:20"/>
    <m/>
    <d v="2023-07-20T00:00:00"/>
    <n v="1771"/>
    <n v="19707"/>
    <s v="60210439"/>
    <s v="60210439"/>
    <m/>
    <m/>
    <n v="22697098"/>
    <m/>
    <m/>
    <m/>
    <s v="SOLFIN"/>
    <s v="SOLFIN"/>
    <s v="CCMS"/>
    <n v="21403440"/>
    <n v="3904.09"/>
    <m/>
    <s v="N"/>
    <n v="7"/>
    <d v="2023-07-20T19:22:39"/>
    <s v="Y"/>
    <s v="Advocates Meeting"/>
    <s v="Public Law Children"/>
    <s v="Advocacy"/>
    <s v="KAREN FRANKLAND"/>
    <s v="Y"/>
    <n v="140.99"/>
    <n v="28.2"/>
    <x v="13"/>
    <s v="VALIDATED"/>
    <n v="1"/>
    <s v="01.11.80.308.6100.0000"/>
    <n v="140.99"/>
    <s v="11"/>
    <s v="6100"/>
    <n v="1824.07"/>
    <n v="140.99"/>
    <s v="CREDITOR"/>
    <n v="0"/>
    <n v="0"/>
    <n v="0"/>
    <n v="0"/>
    <n v="140.99"/>
  </r>
  <r>
    <n v="60210439"/>
    <s v="N"/>
    <n v="21403440"/>
    <s v="3000014516040010"/>
    <s v="CIVIL"/>
    <d v="2023-06-15T00:00:00"/>
    <d v="2023-07-20T19:22:20"/>
    <m/>
    <d v="2023-07-20T00:00:00"/>
    <n v="1771"/>
    <n v="19707"/>
    <s v="60210439"/>
    <s v="60210439"/>
    <m/>
    <m/>
    <n v="22697098"/>
    <m/>
    <m/>
    <m/>
    <s v="SOLFIN"/>
    <s v="SOLFIN"/>
    <s v="CCMS"/>
    <n v="21403440"/>
    <n v="3904.09"/>
    <m/>
    <s v="N"/>
    <n v="4"/>
    <d v="2023-07-20T19:22:39"/>
    <s v="Y"/>
    <s v="Toxicologist"/>
    <s v="Public Law Children"/>
    <s v="Expert Disbursement"/>
    <s v="KF"/>
    <s v="Y"/>
    <n v="59.13"/>
    <n v="11.83"/>
    <x v="13"/>
    <s v="VALIDATED"/>
    <n v="1"/>
    <s v="01.11.80.308.6300.0000"/>
    <n v="59.13"/>
    <s v="11"/>
    <s v="6300"/>
    <n v="1824.07"/>
    <n v="59.13"/>
    <s v="CREDITOR"/>
    <n v="0"/>
    <n v="0"/>
    <n v="0"/>
    <n v="0"/>
    <n v="59.13"/>
  </r>
  <r>
    <n v="60210439"/>
    <s v="N"/>
    <n v="21403440"/>
    <s v="3000014516040010"/>
    <s v="CIVIL"/>
    <d v="2023-06-15T00:00:00"/>
    <d v="2023-07-20T19:22:20"/>
    <m/>
    <d v="2023-07-20T00:00:00"/>
    <n v="1771"/>
    <n v="19707"/>
    <s v="60210439"/>
    <s v="60210439"/>
    <m/>
    <m/>
    <n v="22697098"/>
    <m/>
    <m/>
    <m/>
    <s v="SOLFIN"/>
    <s v="SOLFIN"/>
    <s v="CCMS"/>
    <n v="21403440"/>
    <n v="3904.09"/>
    <m/>
    <s v="N"/>
    <n v="2"/>
    <d v="2023-07-20T19:22:39"/>
    <s v="Y"/>
    <s v="Toxicologist"/>
    <s v="Public Law Children"/>
    <s v="Expert Disbursement"/>
    <s v="KF"/>
    <s v="Y"/>
    <n v="106.25"/>
    <n v="21.25"/>
    <x v="13"/>
    <s v="VALIDATED"/>
    <n v="1"/>
    <s v="01.11.80.308.6300.0000"/>
    <n v="106.25"/>
    <s v="11"/>
    <s v="6300"/>
    <n v="1824.07"/>
    <n v="106.25"/>
    <s v="CREDITOR"/>
    <n v="0"/>
    <n v="0"/>
    <n v="0"/>
    <n v="0"/>
    <n v="106.25"/>
  </r>
  <r>
    <n v="60210439"/>
    <s v="N"/>
    <n v="21403440"/>
    <s v="3000014516040010"/>
    <s v="CIVIL"/>
    <d v="2023-06-15T00:00:00"/>
    <d v="2023-07-20T19:22:20"/>
    <m/>
    <d v="2023-07-20T00:00:00"/>
    <n v="1771"/>
    <n v="19707"/>
    <s v="60210439"/>
    <s v="60210439"/>
    <m/>
    <m/>
    <n v="22697098"/>
    <m/>
    <m/>
    <m/>
    <s v="SOLFIN"/>
    <s v="SOLFIN"/>
    <s v="CCMS"/>
    <n v="21403440"/>
    <n v="3904.09"/>
    <m/>
    <s v="N"/>
    <n v="3"/>
    <d v="2023-07-20T19:22:39"/>
    <s v="Y"/>
    <s v="Toxicologist"/>
    <s v="Public Law Children"/>
    <s v="Expert Disbursement"/>
    <s v="KF"/>
    <s v="Y"/>
    <n v="216"/>
    <n v="43.2"/>
    <x v="13"/>
    <s v="VALIDATED"/>
    <n v="1"/>
    <s v="01.11.80.308.6300.0000"/>
    <n v="216"/>
    <s v="11"/>
    <s v="6300"/>
    <n v="1824.07"/>
    <n v="216"/>
    <s v="CREDITOR"/>
    <n v="0"/>
    <n v="0"/>
    <n v="0"/>
    <n v="0"/>
    <n v="216"/>
  </r>
  <r>
    <n v="61333075"/>
    <s v="N"/>
    <n v="21346469"/>
    <s v="3000015485170004RC"/>
    <s v="CIVIL"/>
    <d v="2023-06-29T00:00:00"/>
    <d v="2023-07-07T19:34:21"/>
    <m/>
    <d v="2023-07-07T00:00:00"/>
    <n v="1771"/>
    <n v="19707"/>
    <s v="61333075"/>
    <s v="61333075"/>
    <m/>
    <m/>
    <m/>
    <m/>
    <m/>
    <m/>
    <s v="SOLRECOUP"/>
    <s v="SOLRECOUP"/>
    <s v="POARECOUP"/>
    <n v="21346469"/>
    <n v="-1921.2"/>
    <m/>
    <s v="Y"/>
    <n v="1"/>
    <d v="2023-07-07T19:34:23"/>
    <s v="N"/>
    <m/>
    <m/>
    <s v="Expert Disbursement"/>
    <m/>
    <s v="N"/>
    <n v="-1601"/>
    <n v="0"/>
    <x v="9"/>
    <s v="VALIDATED"/>
    <n v="1"/>
    <s v="01.11.80.308.2013.0000"/>
    <n v="-1601"/>
    <s v="11"/>
    <s v="2013"/>
    <n v="1824.07"/>
    <n v="-1601"/>
    <s v="CREDITOR"/>
    <n v="0"/>
    <n v="0"/>
    <n v="-1601"/>
    <n v="0"/>
    <n v="0"/>
  </r>
  <r>
    <n v="61333075"/>
    <s v="N"/>
    <n v="21346469"/>
    <s v="3000015485170004RC"/>
    <s v="CIVIL"/>
    <d v="2023-06-29T00:00:00"/>
    <d v="2023-07-07T19:34:21"/>
    <m/>
    <d v="2023-07-07T00:00:00"/>
    <n v="1771"/>
    <n v="19707"/>
    <s v="61333075"/>
    <s v="61333075"/>
    <m/>
    <m/>
    <m/>
    <m/>
    <m/>
    <m/>
    <s v="SOLRECOUP"/>
    <s v="SOLRECOUP"/>
    <s v="POARECOUP"/>
    <n v="21346469"/>
    <n v="-1921.2"/>
    <m/>
    <s v="Y"/>
    <n v="2"/>
    <d v="2023-07-07T19:34:23"/>
    <s v="N"/>
    <m/>
    <m/>
    <s v="Expert Disbursement"/>
    <m/>
    <s v="N"/>
    <n v="0"/>
    <n v="-320.2"/>
    <x v="9"/>
    <s v="VALIDATED"/>
    <n v="1"/>
    <s v="01.11.80.308.2013.0000"/>
    <n v="-320.2"/>
    <s v="11"/>
    <s v="2013"/>
    <n v="1824.07"/>
    <n v="-320.2"/>
    <s v="CREDITOR"/>
    <n v="0"/>
    <n v="0"/>
    <n v="-320.2"/>
    <n v="0"/>
    <n v="0"/>
  </r>
  <r>
    <n v="60210439"/>
    <s v="N"/>
    <n v="21405490"/>
    <s v="3000014516040005RC"/>
    <s v="CIVIL"/>
    <d v="2023-06-15T00:00:00"/>
    <d v="2023-07-20T19:48:02"/>
    <m/>
    <d v="2023-07-20T00:00:00"/>
    <n v="1771"/>
    <n v="19707"/>
    <s v="60210439"/>
    <s v="60210439"/>
    <m/>
    <m/>
    <m/>
    <m/>
    <m/>
    <m/>
    <s v="SOLRECOUP"/>
    <s v="SOLRECOUP"/>
    <s v="POARECOUP"/>
    <n v="21405490"/>
    <n v="-828.17"/>
    <m/>
    <s v="Y"/>
    <n v="1"/>
    <d v="2023-07-20T19:48:04"/>
    <s v="N"/>
    <m/>
    <m/>
    <s v="Profit Cost"/>
    <m/>
    <s v="N"/>
    <n v="-690.14"/>
    <n v="0"/>
    <x v="13"/>
    <s v="VALIDATED"/>
    <n v="1"/>
    <s v="01.11.80.308.2013.0000"/>
    <n v="-690.14"/>
    <s v="11"/>
    <s v="2013"/>
    <n v="1824.07"/>
    <n v="-690.14"/>
    <s v="CREDITOR"/>
    <n v="0"/>
    <n v="0"/>
    <n v="-690.14"/>
    <n v="-172.535"/>
    <n v="0"/>
  </r>
  <r>
    <n v="60210439"/>
    <s v="N"/>
    <n v="21405490"/>
    <s v="3000014516040005RC"/>
    <s v="CIVIL"/>
    <d v="2023-06-15T00:00:00"/>
    <d v="2023-07-20T19:48:02"/>
    <m/>
    <d v="2023-07-20T00:00:00"/>
    <n v="1771"/>
    <n v="19707"/>
    <s v="60210439"/>
    <s v="60210439"/>
    <m/>
    <m/>
    <m/>
    <m/>
    <m/>
    <m/>
    <s v="SOLRECOUP"/>
    <s v="SOLRECOUP"/>
    <s v="POARECOUP"/>
    <n v="21405490"/>
    <n v="-828.17"/>
    <m/>
    <s v="Y"/>
    <n v="2"/>
    <d v="2023-07-20T19:48:04"/>
    <s v="N"/>
    <m/>
    <m/>
    <s v="Profit Cost"/>
    <m/>
    <s v="N"/>
    <n v="0"/>
    <n v="-138.03"/>
    <x v="13"/>
    <s v="VALIDATED"/>
    <n v="1"/>
    <s v="01.11.80.308.2013.0000"/>
    <n v="-138.03"/>
    <s v="11"/>
    <s v="2013"/>
    <n v="1824.07"/>
    <n v="-138.03"/>
    <s v="CREDITOR"/>
    <n v="0"/>
    <n v="0"/>
    <n v="-138.03"/>
    <n v="-34.5075"/>
    <n v="0"/>
  </r>
  <r>
    <n v="60210439"/>
    <s v="N"/>
    <n v="21405544"/>
    <s v="3000014516040006RC"/>
    <s v="CIVIL"/>
    <d v="2023-06-15T00:00:00"/>
    <d v="2023-07-20T19:48:02"/>
    <m/>
    <d v="2023-07-20T00:00:00"/>
    <n v="1771"/>
    <n v="19707"/>
    <s v="60210439"/>
    <s v="60210439"/>
    <m/>
    <m/>
    <m/>
    <m/>
    <m/>
    <m/>
    <s v="SOLRECOUP"/>
    <s v="SOLRECOUP"/>
    <s v="POARECOUP"/>
    <n v="21405544"/>
    <n v="-28.5"/>
    <m/>
    <s v="Y"/>
    <n v="2"/>
    <d v="2023-07-20T19:48:04"/>
    <s v="N"/>
    <m/>
    <m/>
    <s v="Expert Disbursement"/>
    <m/>
    <s v="N"/>
    <n v="0"/>
    <n v="-4.75"/>
    <x v="13"/>
    <s v="VALIDATED"/>
    <n v="1"/>
    <s v="01.11.80.308.2013.0000"/>
    <n v="-4.75"/>
    <s v="11"/>
    <s v="2013"/>
    <n v="1824.07"/>
    <n v="-4.75"/>
    <s v="CREDITOR"/>
    <n v="0"/>
    <n v="0"/>
    <n v="-4.75"/>
    <n v="0"/>
    <n v="0"/>
  </r>
  <r>
    <n v="60210439"/>
    <s v="N"/>
    <n v="21405544"/>
    <s v="3000014516040006RC"/>
    <s v="CIVIL"/>
    <d v="2023-06-15T00:00:00"/>
    <d v="2023-07-20T19:48:02"/>
    <m/>
    <d v="2023-07-20T00:00:00"/>
    <n v="1771"/>
    <n v="19707"/>
    <s v="60210439"/>
    <s v="60210439"/>
    <m/>
    <m/>
    <m/>
    <m/>
    <m/>
    <m/>
    <s v="SOLRECOUP"/>
    <s v="SOLRECOUP"/>
    <s v="POARECOUP"/>
    <n v="21405544"/>
    <n v="-28.5"/>
    <m/>
    <s v="Y"/>
    <n v="1"/>
    <d v="2023-07-20T19:48:04"/>
    <s v="N"/>
    <m/>
    <m/>
    <s v="Expert Disbursement"/>
    <m/>
    <s v="N"/>
    <n v="-23.75"/>
    <n v="0"/>
    <x v="13"/>
    <s v="VALIDATED"/>
    <n v="1"/>
    <s v="01.11.80.308.2013.0000"/>
    <n v="-23.75"/>
    <s v="11"/>
    <s v="2013"/>
    <n v="1824.07"/>
    <n v="-23.75"/>
    <s v="CREDITOR"/>
    <n v="0"/>
    <n v="0"/>
    <n v="-23.75"/>
    <n v="0"/>
    <n v="0"/>
  </r>
  <r>
    <n v="60210439"/>
    <s v="N"/>
    <n v="21405594"/>
    <s v="3000014516040007RC"/>
    <s v="CIVIL"/>
    <d v="2023-06-15T00:00:00"/>
    <d v="2023-07-20T19:48:02"/>
    <m/>
    <d v="2023-07-20T00:00:00"/>
    <n v="1771"/>
    <n v="19707"/>
    <s v="60210439"/>
    <s v="60210439"/>
    <m/>
    <m/>
    <m/>
    <m/>
    <m/>
    <m/>
    <s v="SOLRECOUP"/>
    <s v="SOLRECOUP"/>
    <s v="POARECOUP"/>
    <n v="21405594"/>
    <n v="-259.2"/>
    <m/>
    <s v="Y"/>
    <n v="1"/>
    <d v="2023-07-20T19:48:05"/>
    <s v="N"/>
    <m/>
    <m/>
    <s v="Expert Disbursement"/>
    <m/>
    <s v="N"/>
    <n v="-216"/>
    <n v="0"/>
    <x v="13"/>
    <s v="VALIDATED"/>
    <n v="1"/>
    <s v="01.11.80.308.2013.0000"/>
    <n v="-216"/>
    <s v="11"/>
    <s v="2013"/>
    <n v="1824.07"/>
    <n v="-216"/>
    <s v="CREDITOR"/>
    <n v="0"/>
    <n v="0"/>
    <n v="-216"/>
    <n v="0"/>
    <n v="0"/>
  </r>
  <r>
    <n v="60210439"/>
    <s v="N"/>
    <n v="21405594"/>
    <s v="3000014516040007RC"/>
    <s v="CIVIL"/>
    <d v="2023-06-15T00:00:00"/>
    <d v="2023-07-20T19:48:02"/>
    <m/>
    <d v="2023-07-20T00:00:00"/>
    <n v="1771"/>
    <n v="19707"/>
    <s v="60210439"/>
    <s v="60210439"/>
    <m/>
    <m/>
    <m/>
    <m/>
    <m/>
    <m/>
    <s v="SOLRECOUP"/>
    <s v="SOLRECOUP"/>
    <s v="POARECOUP"/>
    <n v="21405594"/>
    <n v="-259.2"/>
    <m/>
    <s v="Y"/>
    <n v="2"/>
    <d v="2023-07-20T19:48:05"/>
    <s v="N"/>
    <m/>
    <m/>
    <s v="Expert Disbursement"/>
    <m/>
    <s v="N"/>
    <n v="0"/>
    <n v="-43.2"/>
    <x v="13"/>
    <s v="VALIDATED"/>
    <n v="1"/>
    <s v="01.11.80.308.2013.0000"/>
    <n v="-43.2"/>
    <s v="11"/>
    <s v="2013"/>
    <n v="1824.07"/>
    <n v="-43.2"/>
    <s v="CREDITOR"/>
    <n v="0"/>
    <n v="0"/>
    <n v="-43.2"/>
    <n v="0"/>
    <n v="0"/>
  </r>
  <r>
    <n v="60210439"/>
    <s v="N"/>
    <n v="21405596"/>
    <s v="3000014516040008RC"/>
    <s v="CIVIL"/>
    <d v="2023-06-15T00:00:00"/>
    <d v="2023-07-20T19:48:02"/>
    <m/>
    <d v="2023-07-20T00:00:00"/>
    <n v="1771"/>
    <n v="19707"/>
    <s v="60210439"/>
    <s v="60210439"/>
    <m/>
    <m/>
    <m/>
    <m/>
    <m/>
    <m/>
    <s v="SOLRECOUP"/>
    <s v="SOLRECOUP"/>
    <s v="POARECOUP"/>
    <n v="21405596"/>
    <n v="-127.5"/>
    <m/>
    <s v="Y"/>
    <n v="1"/>
    <d v="2023-07-20T19:48:05"/>
    <s v="N"/>
    <m/>
    <m/>
    <s v="Expert Disbursement"/>
    <m/>
    <s v="N"/>
    <n v="-106.25"/>
    <n v="0"/>
    <x v="13"/>
    <s v="VALIDATED"/>
    <n v="1"/>
    <s v="01.11.80.308.2013.0000"/>
    <n v="-106.25"/>
    <s v="11"/>
    <s v="2013"/>
    <n v="1824.07"/>
    <n v="-106.25"/>
    <s v="CREDITOR"/>
    <n v="0"/>
    <n v="0"/>
    <n v="-106.25"/>
    <n v="0"/>
    <n v="0"/>
  </r>
  <r>
    <n v="60210439"/>
    <s v="N"/>
    <n v="21405596"/>
    <s v="3000014516040008RC"/>
    <s v="CIVIL"/>
    <d v="2023-06-15T00:00:00"/>
    <d v="2023-07-20T19:48:02"/>
    <m/>
    <d v="2023-07-20T00:00:00"/>
    <n v="1771"/>
    <n v="19707"/>
    <s v="60210439"/>
    <s v="60210439"/>
    <m/>
    <m/>
    <m/>
    <m/>
    <m/>
    <m/>
    <s v="SOLRECOUP"/>
    <s v="SOLRECOUP"/>
    <s v="POARECOUP"/>
    <n v="21405596"/>
    <n v="-127.5"/>
    <m/>
    <s v="Y"/>
    <n v="2"/>
    <d v="2023-07-20T19:48:05"/>
    <s v="N"/>
    <m/>
    <m/>
    <s v="Expert Disbursement"/>
    <m/>
    <s v="N"/>
    <n v="0"/>
    <n v="-21.25"/>
    <x v="13"/>
    <s v="VALIDATED"/>
    <n v="1"/>
    <s v="01.11.80.308.2013.0000"/>
    <n v="-21.25"/>
    <s v="11"/>
    <s v="2013"/>
    <n v="1824.07"/>
    <n v="-21.25"/>
    <s v="CREDITOR"/>
    <n v="0"/>
    <n v="0"/>
    <n v="-21.25"/>
    <n v="0"/>
    <n v="0"/>
  </r>
  <r>
    <n v="60210439"/>
    <s v="N"/>
    <n v="21405597"/>
    <s v="3000014516040009RC"/>
    <s v="CIVIL"/>
    <d v="2023-06-15T00:00:00"/>
    <d v="2023-07-20T19:48:02"/>
    <m/>
    <d v="2023-07-20T00:00:00"/>
    <n v="1771"/>
    <n v="19707"/>
    <s v="60210439"/>
    <s v="60210439"/>
    <m/>
    <m/>
    <m/>
    <m/>
    <m/>
    <m/>
    <s v="SOLRECOUP"/>
    <s v="SOLRECOUP"/>
    <s v="POARECOUP"/>
    <n v="21405597"/>
    <n v="-70.95999999999999"/>
    <m/>
    <s v="Y"/>
    <n v="1"/>
    <d v="2023-07-20T19:48:05"/>
    <s v="N"/>
    <m/>
    <m/>
    <s v="Expert Disbursement"/>
    <m/>
    <s v="N"/>
    <n v="-59.13"/>
    <n v="0"/>
    <x v="13"/>
    <s v="VALIDATED"/>
    <n v="1"/>
    <s v="01.11.80.308.2013.0000"/>
    <n v="-59.13"/>
    <s v="11"/>
    <s v="2013"/>
    <n v="1824.07"/>
    <n v="-59.13"/>
    <s v="CREDITOR"/>
    <n v="0"/>
    <n v="0"/>
    <n v="-59.13"/>
    <n v="0"/>
    <n v="0"/>
  </r>
  <r>
    <n v="60210439"/>
    <s v="N"/>
    <n v="21405597"/>
    <s v="3000014516040009RC"/>
    <s v="CIVIL"/>
    <d v="2023-06-15T00:00:00"/>
    <d v="2023-07-20T19:48:02"/>
    <m/>
    <d v="2023-07-20T00:00:00"/>
    <n v="1771"/>
    <n v="19707"/>
    <s v="60210439"/>
    <s v="60210439"/>
    <m/>
    <m/>
    <m/>
    <m/>
    <m/>
    <m/>
    <s v="SOLRECOUP"/>
    <s v="SOLRECOUP"/>
    <s v="POARECOUP"/>
    <n v="21405597"/>
    <n v="-70.95999999999999"/>
    <m/>
    <s v="Y"/>
    <n v="2"/>
    <d v="2023-07-20T19:48:05"/>
    <s v="N"/>
    <m/>
    <m/>
    <s v="Expert Disbursement"/>
    <m/>
    <s v="N"/>
    <n v="0"/>
    <n v="-11.83"/>
    <x v="13"/>
    <s v="VALIDATED"/>
    <n v="1"/>
    <s v="01.11.80.308.2013.0000"/>
    <n v="-11.83"/>
    <s v="11"/>
    <s v="2013"/>
    <n v="1824.07"/>
    <n v="-11.83"/>
    <s v="CREDITOR"/>
    <n v="0"/>
    <n v="0"/>
    <n v="-11.83"/>
    <n v="0"/>
    <n v="0"/>
  </r>
  <r>
    <n v="62091085"/>
    <s v="N"/>
    <n v="21327505"/>
    <s v="3000016115380007"/>
    <s v="CIVIL"/>
    <d v="2023-06-23T00:00:00"/>
    <d v="2023-07-04T19:00:44"/>
    <m/>
    <d v="2023-07-04T00:00:00"/>
    <n v="1773"/>
    <n v="19707"/>
    <s v="62091085"/>
    <s v="62091085"/>
    <m/>
    <m/>
    <n v="22751898"/>
    <m/>
    <m/>
    <m/>
    <s v="SOLINT"/>
    <s v="SOLINT"/>
    <s v="CCMS"/>
    <n v="21327505"/>
    <n v="0"/>
    <m/>
    <s v="N"/>
    <n v="1"/>
    <d v="2023-07-04T19:00:49"/>
    <s v="N"/>
    <s v="NIL BILL"/>
    <s v="Domestic Abuse"/>
    <s v="Profit Cost"/>
    <s v="GILLIAN TAYLOR"/>
    <s v="N"/>
    <n v="0"/>
    <n v="0"/>
    <x v="1"/>
    <s v="VALIDATED"/>
    <n v="1"/>
    <s v="01.11.80.302.6100.0000"/>
    <n v="0"/>
    <s v="11"/>
    <s v="6100"/>
    <n v="233.05"/>
    <n v="0"/>
    <s v="CREDITOR"/>
    <n v="0"/>
    <n v="0"/>
    <n v="0"/>
    <n v="0"/>
    <n v="0"/>
  </r>
  <r>
    <n v="59453614"/>
    <s v="N"/>
    <n v="21321165"/>
    <s v="3000013891910014"/>
    <s v="CIVIL"/>
    <d v="2023-06-28T00:00:00"/>
    <d v="2023-07-03T19:04:52"/>
    <m/>
    <d v="2023-07-03T00:00:00"/>
    <n v="1773"/>
    <n v="19707"/>
    <s v="59453614"/>
    <s v="59453614"/>
    <m/>
    <m/>
    <n v="22779620"/>
    <m/>
    <m/>
    <m/>
    <s v="SOLPOA"/>
    <s v="SOLPOA"/>
    <s v="CCMS"/>
    <n v="21321165"/>
    <n v="384"/>
    <m/>
    <s v="N"/>
    <n v="1"/>
    <d v="2023-07-03T19:04:58"/>
    <s v="N"/>
    <s v="Expert Cost - Finance"/>
    <s v="Expert Cost - Finance"/>
    <s v="Expert Disbursement"/>
    <s v="g taylor"/>
    <s v="N"/>
    <n v="320"/>
    <n v="64"/>
    <x v="3"/>
    <s v="VALIDATED"/>
    <n v="1"/>
    <s v="01.11.80.307.2012.0000"/>
    <n v="320"/>
    <s v="11"/>
    <s v="2012"/>
    <n v="233.05"/>
    <n v="320"/>
    <s v="CREDITOR"/>
    <n v="320"/>
    <n v="0"/>
    <n v="0"/>
    <n v="0"/>
    <n v="0"/>
  </r>
  <r>
    <n v="62091085"/>
    <s v="N"/>
    <n v="21328836"/>
    <s v="3000016115380005RC"/>
    <s v="CIVIL"/>
    <d v="2023-06-23T00:00:00"/>
    <d v="2023-07-04T19:38:21"/>
    <m/>
    <d v="2023-07-04T00:00:00"/>
    <n v="1773"/>
    <n v="19707"/>
    <s v="62091085"/>
    <s v="62091085"/>
    <m/>
    <m/>
    <m/>
    <m/>
    <m/>
    <m/>
    <s v="SOLRECOUP"/>
    <s v="SOLRECOUP"/>
    <s v="POARECOUP"/>
    <n v="21328836"/>
    <n v="-86.95"/>
    <m/>
    <s v="Y"/>
    <n v="1"/>
    <d v="2023-07-04T19:38:23"/>
    <s v="N"/>
    <m/>
    <m/>
    <s v="Expert Disbursement"/>
    <m/>
    <s v="N"/>
    <n v="-86.95"/>
    <n v="0"/>
    <x v="1"/>
    <s v="VALIDATED"/>
    <n v="1"/>
    <s v="01.11.80.302.2013.0000"/>
    <n v="-86.95"/>
    <s v="11"/>
    <s v="2013"/>
    <n v="233.05"/>
    <n v="-86.95"/>
    <s v="CREDITOR"/>
    <n v="0"/>
    <n v="0"/>
    <n v="-86.95"/>
    <n v="0"/>
    <n v="0"/>
  </r>
  <r>
    <n v="62091085"/>
    <s v="N"/>
    <n v="21328836"/>
    <s v="3000016115380005RC"/>
    <s v="CIVIL"/>
    <d v="2023-06-23T00:00:00"/>
    <d v="2023-07-04T19:38:21"/>
    <m/>
    <d v="2023-07-04T00:00:00"/>
    <n v="1773"/>
    <n v="19707"/>
    <s v="62091085"/>
    <s v="62091085"/>
    <m/>
    <m/>
    <m/>
    <m/>
    <m/>
    <m/>
    <s v="SOLRECOUP"/>
    <s v="SOLRECOUP"/>
    <s v="POARECOUP"/>
    <n v="21328836"/>
    <n v="-86.95"/>
    <m/>
    <s v="Y"/>
    <n v="2"/>
    <d v="2023-07-04T19:38:23"/>
    <s v="N"/>
    <m/>
    <m/>
    <s v="Expert Disbursement"/>
    <m/>
    <s v="N"/>
    <n v="0"/>
    <n v="0"/>
    <x v="1"/>
    <s v="VALIDATED"/>
    <n v="1"/>
    <s v="01.11.80.000.0000.0000"/>
    <n v="0"/>
    <s v="11"/>
    <s v="0000"/>
    <n v="233.05"/>
    <n v="0"/>
    <s v="CREDITOR"/>
    <n v="0"/>
    <n v="0"/>
    <n v="0"/>
    <n v="0"/>
    <n v="0"/>
  </r>
  <r>
    <n v="60367612"/>
    <s v="N"/>
    <n v="21319034"/>
    <s v="3000014661430008"/>
    <s v="CIVIL"/>
    <d v="2023-06-23T00:00:00"/>
    <d v="2023-07-03T19:01:49"/>
    <m/>
    <d v="2023-07-03T00:00:00"/>
    <n v="1776"/>
    <n v="14688"/>
    <s v="60367612"/>
    <s v="60367612"/>
    <m/>
    <m/>
    <n v="22754106"/>
    <m/>
    <m/>
    <m/>
    <s v="SOLINT"/>
    <s v="SOLINT"/>
    <s v="CCMS"/>
    <n v="21319034"/>
    <n v="682.16"/>
    <m/>
    <s v="N"/>
    <n v="1"/>
    <d v="2023-07-03T19:02:08"/>
    <s v="Y"/>
    <s v="Process server"/>
    <s v="Domestic Abuse"/>
    <s v="Expert Disbursement"/>
    <s v="XXX"/>
    <s v="Y"/>
    <n v="61.47"/>
    <n v="12.29"/>
    <x v="3"/>
    <s v="VALIDATED"/>
    <n v="1"/>
    <s v="01.11.80.307.6300.0000"/>
    <n v="61.47"/>
    <s v="11"/>
    <s v="6300"/>
    <n v="10163.28"/>
    <n v="61.47"/>
    <s v="CREDITOR"/>
    <n v="0"/>
    <n v="0"/>
    <n v="0"/>
    <n v="0"/>
    <n v="61.47"/>
  </r>
  <r>
    <n v="42697611"/>
    <s v="N"/>
    <n v="21338365"/>
    <s v="3000011371320012"/>
    <s v="CIVIL"/>
    <d v="2023-06-27T00:00:00"/>
    <d v="2023-07-06T19:21:01"/>
    <m/>
    <d v="2023-07-06T00:00:00"/>
    <n v="1776"/>
    <n v="14688"/>
    <s v="42697611"/>
    <s v="42697611"/>
    <m/>
    <m/>
    <n v="22768778"/>
    <m/>
    <m/>
    <m/>
    <s v="SOLFIN"/>
    <s v="SOLFIN"/>
    <s v="CCMS"/>
    <n v="21338365"/>
    <n v="11276.52"/>
    <m/>
    <s v="N"/>
    <n v="6"/>
    <d v="2023-07-06T19:21:22"/>
    <s v="Y"/>
    <s v="Hearing Unit 1.01 - 2.30 Hours"/>
    <s v="Private Law Children"/>
    <s v="Advocacy"/>
    <s v="PF"/>
    <s v="Y"/>
    <n v="172.4"/>
    <n v="34.48"/>
    <x v="4"/>
    <s v="VALIDATED"/>
    <n v="1"/>
    <s v="01.11.80.307.6100.0000"/>
    <n v="172.4"/>
    <s v="11"/>
    <s v="6100"/>
    <n v="10163.28"/>
    <n v="172.4"/>
    <s v="CREDITOR"/>
    <n v="0"/>
    <n v="0"/>
    <n v="0"/>
    <n v="0"/>
    <n v="172.4"/>
  </r>
  <r>
    <n v="42697611"/>
    <s v="N"/>
    <n v="21338365"/>
    <s v="3000011371320012"/>
    <s v="CIVIL"/>
    <d v="2023-06-27T00:00:00"/>
    <d v="2023-07-06T19:21:01"/>
    <m/>
    <d v="2023-07-06T00:00:00"/>
    <n v="1776"/>
    <n v="14688"/>
    <s v="42697611"/>
    <s v="42697611"/>
    <m/>
    <m/>
    <n v="22768778"/>
    <m/>
    <m/>
    <m/>
    <s v="SOLFIN"/>
    <s v="SOLFIN"/>
    <s v="CCMS"/>
    <n v="21338365"/>
    <n v="11276.52"/>
    <m/>
    <s v="N"/>
    <n v="4"/>
    <d v="2023-07-06T19:21:22"/>
    <s v="Y"/>
    <s v="Disbursements (Summary)"/>
    <s v="Private Law Children"/>
    <s v="Non Expert Disbursement"/>
    <s v="PF"/>
    <s v="Y"/>
    <n v="43.8"/>
    <n v="8.76"/>
    <x v="4"/>
    <s v="VALIDATED"/>
    <n v="1"/>
    <s v="01.11.80.307.6300.0000"/>
    <n v="43.8"/>
    <s v="11"/>
    <s v="6300"/>
    <n v="10163.28"/>
    <n v="43.8"/>
    <s v="CREDITOR"/>
    <n v="0"/>
    <n v="0"/>
    <n v="0"/>
    <n v="0"/>
    <n v="43.8"/>
  </r>
  <r>
    <n v="62254280"/>
    <s v="N"/>
    <n v="21323084"/>
    <s v="3000016253540010"/>
    <s v="CIVIL"/>
    <d v="2023-06-29T00:00:00"/>
    <d v="2023-07-03T19:05:36"/>
    <m/>
    <d v="2023-07-03T00:00:00"/>
    <n v="1776"/>
    <n v="14688"/>
    <s v="62254280"/>
    <s v="62254280"/>
    <m/>
    <m/>
    <n v="22793234"/>
    <m/>
    <m/>
    <m/>
    <s v="SOLPOA"/>
    <s v="SOLPOA"/>
    <s v="CCMS"/>
    <n v="21323084"/>
    <n v="281.32"/>
    <m/>
    <s v="N"/>
    <n v="1"/>
    <d v="2023-07-03T19:05:41"/>
    <s v="N"/>
    <s v="Expert Cost"/>
    <s v="Expert Cost"/>
    <s v="Expert Disbursement"/>
    <s v="Samantha Cole"/>
    <s v="N"/>
    <n v="234.43"/>
    <n v="46.89"/>
    <x v="3"/>
    <s v="VALIDATED"/>
    <n v="1"/>
    <s v="01.11.80.308.2012.0000"/>
    <n v="234.43"/>
    <s v="11"/>
    <s v="2012"/>
    <n v="10163.28"/>
    <n v="234.43"/>
    <s v="CREDITOR"/>
    <n v="234.43"/>
    <n v="0"/>
    <n v="0"/>
    <n v="0"/>
    <n v="0"/>
  </r>
  <r>
    <n v="61145129"/>
    <s v="N"/>
    <n v="21319128"/>
    <s v="3000015329840006"/>
    <s v="CIVIL"/>
    <d v="2023-06-23T00:00:00"/>
    <d v="2023-07-03T19:01:49"/>
    <m/>
    <d v="2023-07-03T00:00:00"/>
    <n v="1776"/>
    <n v="14688"/>
    <s v="61145129"/>
    <s v="61145129"/>
    <m/>
    <m/>
    <n v="22754170"/>
    <m/>
    <m/>
    <m/>
    <s v="SOLFIN"/>
    <s v="SOLFIN"/>
    <s v="CCMS"/>
    <n v="21319128"/>
    <n v="2800.77"/>
    <m/>
    <s v="N"/>
    <n v="3"/>
    <d v="2023-07-03T19:02:12"/>
    <s v="Y"/>
    <s v="Advocates Meeting"/>
    <s v="Public Law Children"/>
    <s v="Advocacy"/>
    <s v="PF"/>
    <s v="Y"/>
    <n v="140.99"/>
    <n v="28.2"/>
    <x v="3"/>
    <s v="VALIDATED"/>
    <n v="1"/>
    <s v="01.11.80.308.6100.0000"/>
    <n v="140.99"/>
    <s v="11"/>
    <s v="6100"/>
    <n v="10163.28"/>
    <n v="140.99"/>
    <s v="CREDITOR"/>
    <n v="0"/>
    <n v="0"/>
    <n v="0"/>
    <n v="0"/>
    <n v="140.99"/>
  </r>
  <r>
    <n v="42697611"/>
    <s v="N"/>
    <n v="21338365"/>
    <s v="3000011371320012"/>
    <s v="CIVIL"/>
    <d v="2023-06-27T00:00:00"/>
    <d v="2023-07-06T19:21:01"/>
    <m/>
    <d v="2023-07-06T00:00:00"/>
    <n v="1776"/>
    <n v="14688"/>
    <s v="42697611"/>
    <s v="42697611"/>
    <m/>
    <m/>
    <n v="22768778"/>
    <m/>
    <m/>
    <m/>
    <s v="SOLFIN"/>
    <s v="SOLFIN"/>
    <s v="CCMS"/>
    <n v="21338365"/>
    <n v="11276.52"/>
    <m/>
    <s v="N"/>
    <n v="1"/>
    <d v="2023-07-06T19:21:22"/>
    <s v="Y"/>
    <s v="Disbursements (Summary)"/>
    <s v="Domestic Abuse"/>
    <s v="Non Expert Disbursement"/>
    <s v="SC"/>
    <s v="Y"/>
    <n v="98.59999999999999"/>
    <n v="0"/>
    <x v="4"/>
    <s v="VALIDATED"/>
    <n v="1"/>
    <s v="01.11.80.307.6300.0000"/>
    <n v="98.59999999999999"/>
    <s v="11"/>
    <s v="6300"/>
    <n v="10163.28"/>
    <n v="98.59999999999999"/>
    <s v="CREDITOR"/>
    <n v="0"/>
    <n v="0"/>
    <n v="0"/>
    <n v="0"/>
    <n v="98.59999999999999"/>
  </r>
  <r>
    <n v="42697611"/>
    <s v="N"/>
    <n v="21338365"/>
    <s v="3000011371320012"/>
    <s v="CIVIL"/>
    <d v="2023-06-27T00:00:00"/>
    <d v="2023-07-06T19:21:01"/>
    <m/>
    <d v="2023-07-06T00:00:00"/>
    <n v="1776"/>
    <n v="14688"/>
    <s v="42697611"/>
    <s v="42697611"/>
    <m/>
    <m/>
    <n v="22768778"/>
    <m/>
    <m/>
    <m/>
    <s v="SOLFIN"/>
    <s v="SOLFIN"/>
    <s v="CCMS"/>
    <n v="21338365"/>
    <n v="11276.52"/>
    <m/>
    <s v="N"/>
    <n v="3"/>
    <d v="2023-07-06T19:21:22"/>
    <s v="Y"/>
    <s v="Disbursements (Summary)"/>
    <s v="Private Law Children"/>
    <s v="Non Expert Disbursement"/>
    <s v="PF"/>
    <s v="Y"/>
    <n v="155"/>
    <n v="0"/>
    <x v="4"/>
    <s v="VALIDATED"/>
    <n v="1"/>
    <s v="01.11.80.307.6300.0000"/>
    <n v="155"/>
    <s v="11"/>
    <s v="6300"/>
    <n v="10163.28"/>
    <n v="155"/>
    <s v="CREDITOR"/>
    <n v="0"/>
    <n v="0"/>
    <n v="0"/>
    <n v="0"/>
    <n v="155"/>
  </r>
  <r>
    <n v="42697611"/>
    <s v="N"/>
    <n v="21338365"/>
    <s v="3000011371320012"/>
    <s v="CIVIL"/>
    <d v="2023-06-27T00:00:00"/>
    <d v="2023-07-06T19:21:01"/>
    <m/>
    <d v="2023-07-06T00:00:00"/>
    <n v="1776"/>
    <n v="14688"/>
    <s v="42697611"/>
    <s v="42697611"/>
    <m/>
    <m/>
    <n v="22768778"/>
    <m/>
    <m/>
    <m/>
    <s v="SOLFIN"/>
    <s v="SOLFIN"/>
    <s v="CCMS"/>
    <n v="21338365"/>
    <n v="11276.52"/>
    <m/>
    <s v="N"/>
    <n v="2"/>
    <d v="2023-07-06T19:21:22"/>
    <s v="Y"/>
    <s v="Profit Costs (Summary)"/>
    <s v="Private Law Children"/>
    <s v="Profit Cost"/>
    <s v="PF"/>
    <s v="Y"/>
    <n v="6738.57"/>
    <n v="1347.71"/>
    <x v="4"/>
    <s v="VALIDATED"/>
    <n v="1"/>
    <s v="01.11.80.307.6100.0000"/>
    <n v="6738.57"/>
    <s v="11"/>
    <s v="6100"/>
    <n v="10163.28"/>
    <n v="6738.57"/>
    <s v="CREDITOR"/>
    <n v="0"/>
    <n v="0"/>
    <n v="0"/>
    <n v="0"/>
    <n v="6738.57"/>
  </r>
  <r>
    <n v="42697611"/>
    <s v="N"/>
    <n v="21338365"/>
    <s v="3000011371320012"/>
    <s v="CIVIL"/>
    <d v="2023-06-27T00:00:00"/>
    <d v="2023-07-06T19:21:01"/>
    <m/>
    <d v="2023-07-06T00:00:00"/>
    <n v="1776"/>
    <n v="14688"/>
    <s v="42697611"/>
    <s v="42697611"/>
    <m/>
    <m/>
    <n v="22768778"/>
    <m/>
    <m/>
    <m/>
    <s v="SOLFIN"/>
    <s v="SOLFIN"/>
    <s v="CCMS"/>
    <n v="21338365"/>
    <n v="11276.52"/>
    <m/>
    <s v="N"/>
    <n v="7"/>
    <d v="2023-07-06T19:21:22"/>
    <s v="Y"/>
    <s v="Level 4 Fixed Fee"/>
    <s v="Domestic Abuse"/>
    <s v="Profit Cost"/>
    <s v="SC"/>
    <s v="Y"/>
    <n v="507"/>
    <n v="101.4"/>
    <x v="4"/>
    <s v="VALIDATED"/>
    <n v="1"/>
    <s v="01.11.80.307.6100.0000"/>
    <n v="507"/>
    <s v="11"/>
    <s v="6100"/>
    <n v="10163.28"/>
    <n v="507"/>
    <s v="CREDITOR"/>
    <n v="0"/>
    <n v="0"/>
    <n v="0"/>
    <n v="0"/>
    <n v="507"/>
  </r>
  <r>
    <n v="42697611"/>
    <s v="N"/>
    <n v="21338365"/>
    <s v="3000011371320012"/>
    <s v="CIVIL"/>
    <d v="2023-06-27T00:00:00"/>
    <d v="2023-07-06T19:21:01"/>
    <m/>
    <d v="2023-07-06T00:00:00"/>
    <n v="1776"/>
    <n v="14688"/>
    <s v="42697611"/>
    <s v="42697611"/>
    <m/>
    <m/>
    <n v="22768778"/>
    <m/>
    <m/>
    <m/>
    <s v="SOLFIN"/>
    <s v="SOLFIN"/>
    <s v="CCMS"/>
    <n v="21338365"/>
    <n v="11276.52"/>
    <m/>
    <s v="N"/>
    <n v="5"/>
    <d v="2023-07-06T19:21:22"/>
    <s v="Y"/>
    <s v="Disbursements (Summary)"/>
    <s v="Private Law Children"/>
    <s v="Non Expert Disbursement"/>
    <s v="PF"/>
    <s v="Y"/>
    <n v="1724"/>
    <n v="344.8"/>
    <x v="4"/>
    <s v="VALIDATED"/>
    <n v="1"/>
    <s v="01.11.80.307.6300.0000"/>
    <n v="1724"/>
    <s v="11"/>
    <s v="6300"/>
    <n v="10163.28"/>
    <n v="1724"/>
    <s v="CREDITOR"/>
    <n v="0"/>
    <n v="0"/>
    <n v="0"/>
    <n v="0"/>
    <n v="1724"/>
  </r>
  <r>
    <n v="61888856"/>
    <s v="N"/>
    <n v="21322972"/>
    <s v="3000015949220010"/>
    <s v="CIVIL"/>
    <d v="2023-06-29T00:00:00"/>
    <d v="2023-07-03T19:05:36"/>
    <m/>
    <d v="2023-07-03T00:00:00"/>
    <n v="1776"/>
    <n v="14688"/>
    <s v="61888856"/>
    <s v="61888856"/>
    <m/>
    <m/>
    <n v="22793308"/>
    <m/>
    <m/>
    <m/>
    <s v="SOLPOA"/>
    <s v="SOLPOA"/>
    <s v="CCMS"/>
    <n v="21322972"/>
    <n v="414.67"/>
    <m/>
    <s v="N"/>
    <n v="1"/>
    <d v="2023-07-03T19:05:41"/>
    <s v="N"/>
    <s v="Expert Cost"/>
    <s v="Expert Cost"/>
    <s v="Expert Disbursement"/>
    <s v="Samantha Cole"/>
    <s v="N"/>
    <n v="345.56"/>
    <n v="69.11"/>
    <x v="3"/>
    <s v="VALIDATED"/>
    <n v="1"/>
    <s v="01.11.80.308.2012.0000"/>
    <n v="345.56"/>
    <s v="11"/>
    <s v="2012"/>
    <n v="10163.28"/>
    <n v="345.56"/>
    <s v="CREDITOR"/>
    <n v="345.56"/>
    <n v="0"/>
    <n v="0"/>
    <n v="0"/>
    <n v="0"/>
  </r>
  <r>
    <n v="61888856"/>
    <s v="N"/>
    <n v="21323039"/>
    <s v="3000015949220012"/>
    <s v="CIVIL"/>
    <d v="2023-06-29T00:00:00"/>
    <d v="2023-07-03T19:05:36"/>
    <m/>
    <d v="2023-07-03T00:00:00"/>
    <n v="1776"/>
    <n v="14688"/>
    <s v="61888856"/>
    <s v="61888856"/>
    <m/>
    <m/>
    <n v="22793294"/>
    <m/>
    <m/>
    <m/>
    <s v="SOLPOA"/>
    <s v="SOLPOA"/>
    <s v="CCMS"/>
    <n v="21323039"/>
    <n v="519.96"/>
    <m/>
    <s v="N"/>
    <n v="1"/>
    <d v="2023-07-03T19:05:41"/>
    <s v="N"/>
    <s v="Expert Cost"/>
    <s v="Expert Cost"/>
    <s v="Expert Disbursement"/>
    <s v="Samantha Cole"/>
    <s v="N"/>
    <n v="433.3"/>
    <n v="86.66"/>
    <x v="3"/>
    <s v="VALIDATED"/>
    <n v="1"/>
    <s v="01.11.80.308.2012.0000"/>
    <n v="433.3"/>
    <s v="11"/>
    <s v="2012"/>
    <n v="10163.28"/>
    <n v="433.3"/>
    <s v="CREDITOR"/>
    <n v="433.3"/>
    <n v="0"/>
    <n v="0"/>
    <n v="0"/>
    <n v="0"/>
  </r>
  <r>
    <n v="61145129"/>
    <s v="N"/>
    <n v="21319128"/>
    <s v="3000015329840006"/>
    <s v="CIVIL"/>
    <d v="2023-06-23T00:00:00"/>
    <d v="2023-07-03T19:01:49"/>
    <m/>
    <d v="2023-07-03T00:00:00"/>
    <n v="1776"/>
    <n v="14688"/>
    <s v="61145129"/>
    <s v="61145129"/>
    <m/>
    <m/>
    <n v="22754170"/>
    <m/>
    <m/>
    <m/>
    <s v="SOLFIN"/>
    <s v="SOLFIN"/>
    <s v="CCMS"/>
    <n v="21319128"/>
    <n v="2800.77"/>
    <m/>
    <s v="N"/>
    <n v="2"/>
    <d v="2023-07-03T19:02:12"/>
    <s v="Y"/>
    <s v="Advocates Meeting"/>
    <s v="Public Law Children"/>
    <s v="Advocacy"/>
    <s v="MN"/>
    <s v="Y"/>
    <n v="140.99"/>
    <n v="28.2"/>
    <x v="3"/>
    <s v="VALIDATED"/>
    <n v="1"/>
    <s v="01.11.80.308.6100.0000"/>
    <n v="140.99"/>
    <s v="11"/>
    <s v="6100"/>
    <n v="10163.28"/>
    <n v="140.99"/>
    <s v="CREDITOR"/>
    <n v="0"/>
    <n v="0"/>
    <n v="0"/>
    <n v="0"/>
    <n v="140.99"/>
  </r>
  <r>
    <n v="60367612"/>
    <s v="N"/>
    <n v="21319034"/>
    <s v="3000014661430008"/>
    <s v="CIVIL"/>
    <d v="2023-06-23T00:00:00"/>
    <d v="2023-07-03T19:01:49"/>
    <m/>
    <d v="2023-07-03T00:00:00"/>
    <n v="1776"/>
    <n v="14688"/>
    <s v="60367612"/>
    <s v="60367612"/>
    <m/>
    <m/>
    <n v="22754106"/>
    <m/>
    <m/>
    <m/>
    <s v="SOLINT"/>
    <s v="SOLINT"/>
    <s v="CCMS"/>
    <n v="21319034"/>
    <n v="682.16"/>
    <m/>
    <s v="N"/>
    <n v="2"/>
    <d v="2023-07-03T19:02:08"/>
    <s v="Y"/>
    <s v="Level 4 Fixed Fee"/>
    <s v="Domestic Abuse"/>
    <s v="Profit Cost"/>
    <s v="XXX"/>
    <s v="Y"/>
    <n v="507"/>
    <n v="101.4"/>
    <x v="3"/>
    <s v="VALIDATED"/>
    <n v="1"/>
    <s v="01.11.80.307.6100.0000"/>
    <n v="507"/>
    <s v="11"/>
    <s v="6100"/>
    <n v="10163.28"/>
    <n v="507"/>
    <s v="CREDITOR"/>
    <n v="0"/>
    <n v="0"/>
    <n v="0"/>
    <n v="0"/>
    <n v="507"/>
  </r>
  <r>
    <n v="61888856"/>
    <s v="N"/>
    <n v="21322979"/>
    <s v="3000015949220011"/>
    <s v="CIVIL"/>
    <d v="2023-06-29T00:00:00"/>
    <d v="2023-07-03T19:05:36"/>
    <m/>
    <d v="2023-07-03T00:00:00"/>
    <n v="1776"/>
    <n v="14688"/>
    <s v="61888856"/>
    <s v="61888856"/>
    <m/>
    <m/>
    <n v="22793324"/>
    <m/>
    <m/>
    <m/>
    <s v="SOLPOA"/>
    <s v="SOLPOA"/>
    <s v="CCMS"/>
    <n v="21322979"/>
    <n v="497.04"/>
    <m/>
    <s v="N"/>
    <n v="1"/>
    <d v="2023-07-03T19:05:41"/>
    <s v="N"/>
    <s v="Expert Cost"/>
    <s v="Expert Cost"/>
    <s v="Expert Disbursement"/>
    <s v="Samantha Cole"/>
    <s v="N"/>
    <n v="414.2"/>
    <n v="82.84"/>
    <x v="3"/>
    <s v="VALIDATED"/>
    <n v="1"/>
    <s v="01.11.80.308.2012.0000"/>
    <n v="414.2"/>
    <s v="11"/>
    <s v="2012"/>
    <n v="10163.28"/>
    <n v="414.2"/>
    <s v="CREDITOR"/>
    <n v="414.2"/>
    <n v="0"/>
    <n v="0"/>
    <n v="0"/>
    <n v="0"/>
  </r>
  <r>
    <n v="61145129"/>
    <s v="N"/>
    <n v="21319128"/>
    <s v="3000015329840006"/>
    <s v="CIVIL"/>
    <d v="2023-06-23T00:00:00"/>
    <d v="2023-07-03T19:01:49"/>
    <m/>
    <d v="2023-07-03T00:00:00"/>
    <n v="1776"/>
    <n v="14688"/>
    <s v="61145129"/>
    <s v="61145129"/>
    <m/>
    <m/>
    <n v="22754170"/>
    <m/>
    <m/>
    <m/>
    <s v="SOLFIN"/>
    <s v="SOLFIN"/>
    <s v="CCMS"/>
    <n v="21319128"/>
    <n v="2800.77"/>
    <m/>
    <s v="N"/>
    <n v="4"/>
    <d v="2023-07-03T19:02:12"/>
    <s v="Y"/>
    <s v="Advocates Meeting"/>
    <s v="Public Law Children"/>
    <s v="Advocacy"/>
    <s v="PF"/>
    <s v="Y"/>
    <n v="140.99"/>
    <n v="28.2"/>
    <x v="3"/>
    <s v="VALIDATED"/>
    <n v="1"/>
    <s v="01.11.80.308.6100.0000"/>
    <n v="140.99"/>
    <s v="11"/>
    <s v="6100"/>
    <n v="10163.28"/>
    <n v="140.99"/>
    <s v="CREDITOR"/>
    <n v="0"/>
    <n v="0"/>
    <n v="0"/>
    <n v="0"/>
    <n v="140.99"/>
  </r>
  <r>
    <n v="62254280"/>
    <s v="N"/>
    <n v="21322995"/>
    <s v="3000016253540009"/>
    <s v="CIVIL"/>
    <d v="2023-06-29T00:00:00"/>
    <d v="2023-07-03T19:05:36"/>
    <m/>
    <d v="2023-07-03T00:00:00"/>
    <n v="1776"/>
    <n v="14688"/>
    <s v="62254280"/>
    <s v="62254280"/>
    <m/>
    <m/>
    <n v="22793256"/>
    <m/>
    <m/>
    <m/>
    <s v="SOLPOA"/>
    <s v="SOLPOA"/>
    <s v="CCMS"/>
    <n v="21322995"/>
    <n v="406.12"/>
    <m/>
    <s v="N"/>
    <n v="1"/>
    <d v="2023-07-03T19:05:41"/>
    <s v="N"/>
    <s v="Expert Cost"/>
    <s v="Expert Cost"/>
    <s v="Expert Disbursement"/>
    <s v="Samantha Cole"/>
    <s v="N"/>
    <n v="406.12"/>
    <n v="0"/>
    <x v="3"/>
    <s v="VALIDATED"/>
    <n v="1"/>
    <s v="01.11.80.308.2012.0000"/>
    <n v="406.12"/>
    <s v="11"/>
    <s v="2012"/>
    <n v="10163.28"/>
    <n v="406.12"/>
    <s v="CREDITOR"/>
    <n v="406.12"/>
    <n v="0"/>
    <n v="0"/>
    <n v="0"/>
    <n v="0"/>
  </r>
  <r>
    <n v="61145129"/>
    <s v="N"/>
    <n v="21319128"/>
    <s v="3000015329840006"/>
    <s v="CIVIL"/>
    <d v="2023-06-23T00:00:00"/>
    <d v="2023-07-03T19:01:49"/>
    <m/>
    <d v="2023-07-03T00:00:00"/>
    <n v="1776"/>
    <n v="14688"/>
    <s v="61145129"/>
    <s v="61145129"/>
    <m/>
    <m/>
    <n v="22754170"/>
    <m/>
    <m/>
    <m/>
    <s v="SOLFIN"/>
    <s v="SOLFIN"/>
    <s v="CCMS"/>
    <n v="21319128"/>
    <n v="2800.77"/>
    <m/>
    <s v="N"/>
    <n v="1"/>
    <d v="2023-07-03T19:02:12"/>
    <s v="Y"/>
    <s v="Solicitors Fixed Fee"/>
    <s v="Public Law Children"/>
    <s v="Profit Cost"/>
    <s v="XXX"/>
    <s v="Y"/>
    <n v="1911"/>
    <n v="382.2"/>
    <x v="3"/>
    <s v="VALIDATED"/>
    <n v="1"/>
    <s v="01.11.80.308.6100.0000"/>
    <n v="1911"/>
    <s v="11"/>
    <s v="6100"/>
    <n v="10163.28"/>
    <n v="1911"/>
    <s v="CREDITOR"/>
    <n v="0"/>
    <n v="0"/>
    <n v="0"/>
    <n v="0"/>
    <n v="1911"/>
  </r>
  <r>
    <n v="61145129"/>
    <s v="N"/>
    <n v="21324513"/>
    <s v="3000015329840002RC"/>
    <s v="CIVIL"/>
    <d v="2023-06-23T00:00:00"/>
    <d v="2023-07-03T19:42:50"/>
    <m/>
    <d v="2023-07-03T00:00:00"/>
    <n v="1776"/>
    <n v="14688"/>
    <s v="61145129"/>
    <s v="61145129"/>
    <m/>
    <m/>
    <m/>
    <m/>
    <m/>
    <m/>
    <s v="SOLRECOUP"/>
    <s v="SOLRECOUP"/>
    <s v="POARECOUP"/>
    <n v="21324513"/>
    <n v="-1670.4"/>
    <m/>
    <s v="Y"/>
    <n v="1"/>
    <d v="2023-07-03T19:42:51"/>
    <s v="N"/>
    <m/>
    <m/>
    <s v="Profit Cost"/>
    <m/>
    <s v="N"/>
    <n v="-1392"/>
    <n v="0"/>
    <x v="3"/>
    <s v="VALIDATED"/>
    <n v="1"/>
    <s v="01.11.80.308.2013.0000"/>
    <n v="-1392"/>
    <s v="11"/>
    <s v="2013"/>
    <n v="10163.28"/>
    <n v="-1392"/>
    <s v="CREDITOR"/>
    <n v="0"/>
    <n v="0"/>
    <n v="-1392"/>
    <n v="-348"/>
    <n v="0"/>
  </r>
  <r>
    <n v="61145129"/>
    <s v="N"/>
    <n v="21324513"/>
    <s v="3000015329840002RC"/>
    <s v="CIVIL"/>
    <d v="2023-06-23T00:00:00"/>
    <d v="2023-07-03T19:42:50"/>
    <m/>
    <d v="2023-07-03T00:00:00"/>
    <n v="1776"/>
    <n v="14688"/>
    <s v="61145129"/>
    <s v="61145129"/>
    <m/>
    <m/>
    <m/>
    <m/>
    <m/>
    <m/>
    <s v="SOLRECOUP"/>
    <s v="SOLRECOUP"/>
    <s v="POARECOUP"/>
    <n v="21324513"/>
    <n v="-1670.4"/>
    <m/>
    <s v="Y"/>
    <n v="2"/>
    <d v="2023-07-03T19:42:51"/>
    <s v="N"/>
    <m/>
    <m/>
    <s v="Profit Cost"/>
    <m/>
    <s v="N"/>
    <n v="0"/>
    <n v="-278.4"/>
    <x v="3"/>
    <s v="VALIDATED"/>
    <n v="1"/>
    <s v="01.11.80.308.2013.0000"/>
    <n v="-278.4"/>
    <s v="11"/>
    <s v="2013"/>
    <n v="10163.28"/>
    <n v="-278.4"/>
    <s v="CREDITOR"/>
    <n v="0"/>
    <n v="0"/>
    <n v="-278.4"/>
    <n v="-69.59999999999999"/>
    <n v="0"/>
  </r>
  <r>
    <n v="42697611"/>
    <s v="N"/>
    <n v="21340076"/>
    <s v="3000011371320005RC"/>
    <s v="CIVIL"/>
    <d v="2023-06-27T00:00:00"/>
    <d v="2023-07-06T19:54:22"/>
    <m/>
    <d v="2023-07-06T00:00:00"/>
    <n v="1776"/>
    <n v="14688"/>
    <s v="42697611"/>
    <s v="42697611"/>
    <m/>
    <m/>
    <m/>
    <m/>
    <m/>
    <m/>
    <s v="SOLRECOUP"/>
    <s v="SOLRECOUP"/>
    <s v="POARECOUP"/>
    <n v="21340076"/>
    <n v="-1176"/>
    <m/>
    <s v="Y"/>
    <n v="2"/>
    <d v="2023-07-06T19:54:23"/>
    <s v="N"/>
    <m/>
    <m/>
    <s v="Expert Disbursement"/>
    <m/>
    <s v="N"/>
    <n v="0"/>
    <n v="-196"/>
    <x v="4"/>
    <s v="VALIDATED"/>
    <n v="1"/>
    <s v="01.11.80.307.2013.0000"/>
    <n v="-196"/>
    <s v="11"/>
    <s v="2013"/>
    <n v="10163.28"/>
    <n v="-196"/>
    <s v="CREDITOR"/>
    <n v="0"/>
    <n v="0"/>
    <n v="-196"/>
    <n v="0"/>
    <n v="0"/>
  </r>
  <r>
    <n v="42697611"/>
    <s v="N"/>
    <n v="21340077"/>
    <s v="3000011371320010RC"/>
    <s v="CIVIL"/>
    <d v="2023-06-27T00:00:00"/>
    <d v="2023-07-06T19:54:22"/>
    <m/>
    <d v="2023-07-06T00:00:00"/>
    <n v="1776"/>
    <n v="14688"/>
    <s v="42697611"/>
    <s v="42697611"/>
    <m/>
    <m/>
    <m/>
    <m/>
    <m/>
    <m/>
    <s v="SOLRECOUP"/>
    <s v="SOLRECOUP"/>
    <s v="POARECOUP"/>
    <n v="21340077"/>
    <n v="-98.59999999999999"/>
    <m/>
    <s v="Y"/>
    <n v="2"/>
    <d v="2023-07-06T19:54:23"/>
    <s v="N"/>
    <m/>
    <m/>
    <s v="Expert Disbursement"/>
    <m/>
    <s v="N"/>
    <n v="0"/>
    <n v="0"/>
    <x v="4"/>
    <s v="VALIDATED"/>
    <n v="1"/>
    <s v="01.11.80.000.0000.0000"/>
    <n v="0"/>
    <s v="11"/>
    <s v="0000"/>
    <n v="10163.28"/>
    <n v="0"/>
    <s v="CREDITOR"/>
    <n v="0"/>
    <n v="0"/>
    <n v="0"/>
    <n v="0"/>
    <n v="0"/>
  </r>
  <r>
    <n v="42697611"/>
    <s v="N"/>
    <n v="21340077"/>
    <s v="3000011371320010RC"/>
    <s v="CIVIL"/>
    <d v="2023-06-27T00:00:00"/>
    <d v="2023-07-06T19:54:22"/>
    <m/>
    <d v="2023-07-06T00:00:00"/>
    <n v="1776"/>
    <n v="14688"/>
    <s v="42697611"/>
    <s v="42697611"/>
    <m/>
    <m/>
    <m/>
    <m/>
    <m/>
    <m/>
    <s v="SOLRECOUP"/>
    <s v="SOLRECOUP"/>
    <s v="POARECOUP"/>
    <n v="21340077"/>
    <n v="-98.59999999999999"/>
    <m/>
    <s v="Y"/>
    <n v="1"/>
    <d v="2023-07-06T19:54:23"/>
    <s v="N"/>
    <m/>
    <m/>
    <s v="Expert Disbursement"/>
    <m/>
    <s v="N"/>
    <n v="-98.59999999999999"/>
    <n v="0"/>
    <x v="4"/>
    <s v="VALIDATED"/>
    <n v="1"/>
    <s v="01.11.80.307.2013.0000"/>
    <n v="-98.59999999999999"/>
    <s v="11"/>
    <s v="2013"/>
    <n v="10163.28"/>
    <n v="-98.59999999999999"/>
    <s v="CREDITOR"/>
    <n v="0"/>
    <n v="0"/>
    <n v="-98.59999999999999"/>
    <n v="0"/>
    <n v="0"/>
  </r>
  <r>
    <n v="42697611"/>
    <s v="N"/>
    <n v="21340075"/>
    <s v="3000011371320002RC"/>
    <s v="CIVIL"/>
    <d v="2023-06-27T00:00:00"/>
    <d v="2023-07-06T19:54:22"/>
    <m/>
    <d v="2023-07-06T00:00:00"/>
    <n v="1776"/>
    <n v="14688"/>
    <s v="42697611"/>
    <s v="42697611"/>
    <m/>
    <m/>
    <m/>
    <m/>
    <m/>
    <m/>
    <s v="SOLRECOUP"/>
    <s v="SOLRECOUP"/>
    <s v="POARECOUP"/>
    <n v="21340075"/>
    <n v="-1067.14"/>
    <m/>
    <s v="Y"/>
    <n v="1"/>
    <d v="2023-07-06T19:54:23"/>
    <s v="N"/>
    <m/>
    <m/>
    <s v="Profit Cost"/>
    <m/>
    <s v="N"/>
    <n v="-889.28"/>
    <n v="0"/>
    <x v="4"/>
    <s v="VALIDATED"/>
    <n v="1"/>
    <s v="01.11.80.307.2013.0000"/>
    <n v="-889.28"/>
    <s v="11"/>
    <s v="2013"/>
    <n v="10163.28"/>
    <n v="-889.28"/>
    <s v="CREDITOR"/>
    <n v="0"/>
    <n v="0"/>
    <n v="-889.28"/>
    <n v="-222.32"/>
    <n v="0"/>
  </r>
  <r>
    <n v="42697611"/>
    <s v="N"/>
    <n v="21340075"/>
    <s v="3000011371320002RC"/>
    <s v="CIVIL"/>
    <d v="2023-06-27T00:00:00"/>
    <d v="2023-07-06T19:54:22"/>
    <m/>
    <d v="2023-07-06T00:00:00"/>
    <n v="1776"/>
    <n v="14688"/>
    <s v="42697611"/>
    <s v="42697611"/>
    <m/>
    <m/>
    <m/>
    <m/>
    <m/>
    <m/>
    <s v="SOLRECOUP"/>
    <s v="SOLRECOUP"/>
    <s v="POARECOUP"/>
    <n v="21340075"/>
    <n v="-1067.14"/>
    <m/>
    <s v="Y"/>
    <n v="2"/>
    <d v="2023-07-06T19:54:23"/>
    <s v="N"/>
    <m/>
    <m/>
    <s v="Profit Cost"/>
    <m/>
    <s v="N"/>
    <n v="0"/>
    <n v="-177.86"/>
    <x v="4"/>
    <s v="VALIDATED"/>
    <n v="1"/>
    <s v="01.11.80.307.2013.0000"/>
    <n v="-177.86"/>
    <s v="11"/>
    <s v="2013"/>
    <n v="10163.28"/>
    <n v="-177.86"/>
    <s v="CREDITOR"/>
    <n v="0"/>
    <n v="0"/>
    <n v="-177.86"/>
    <n v="-44.465"/>
    <n v="0"/>
  </r>
  <r>
    <n v="42697611"/>
    <s v="N"/>
    <n v="21340076"/>
    <s v="3000011371320005RC"/>
    <s v="CIVIL"/>
    <d v="2023-06-27T00:00:00"/>
    <d v="2023-07-06T19:54:22"/>
    <m/>
    <d v="2023-07-06T00:00:00"/>
    <n v="1776"/>
    <n v="14688"/>
    <s v="42697611"/>
    <s v="42697611"/>
    <m/>
    <m/>
    <m/>
    <m/>
    <m/>
    <m/>
    <s v="SOLRECOUP"/>
    <s v="SOLRECOUP"/>
    <s v="POARECOUP"/>
    <n v="21340076"/>
    <n v="-1176"/>
    <m/>
    <s v="Y"/>
    <n v="1"/>
    <d v="2023-07-06T19:54:23"/>
    <s v="N"/>
    <m/>
    <m/>
    <s v="Expert Disbursement"/>
    <m/>
    <s v="N"/>
    <n v="-980"/>
    <n v="0"/>
    <x v="4"/>
    <s v="VALIDATED"/>
    <n v="1"/>
    <s v="01.11.80.307.2013.0000"/>
    <n v="-980"/>
    <s v="11"/>
    <s v="2013"/>
    <n v="10163.28"/>
    <n v="-980"/>
    <s v="CREDITOR"/>
    <n v="0"/>
    <n v="0"/>
    <n v="-980"/>
    <n v="0"/>
    <n v="0"/>
  </r>
  <r>
    <n v="61972559"/>
    <s v="N"/>
    <n v="21319535"/>
    <s v="3000016019250002"/>
    <s v="CIVIL"/>
    <d v="2023-06-27T00:00:00"/>
    <d v="2023-07-03T19:04:24"/>
    <m/>
    <d v="2023-07-03T00:00:00"/>
    <n v="1778"/>
    <n v="19740"/>
    <s v="61972559"/>
    <s v="61972559"/>
    <m/>
    <m/>
    <n v="22767916"/>
    <m/>
    <m/>
    <m/>
    <s v="SOLPOA"/>
    <s v="SOLPOA"/>
    <s v="CCMS"/>
    <n v="21319535"/>
    <n v="519.96"/>
    <m/>
    <s v="N"/>
    <n v="1"/>
    <d v="2023-07-03T19:04:26"/>
    <s v="N"/>
    <s v="Expert Cost"/>
    <s v="Expert Cost"/>
    <s v="Expert Disbursement"/>
    <s v="SM3"/>
    <s v="N"/>
    <n v="433.3"/>
    <n v="86.66"/>
    <x v="3"/>
    <s v="VALIDATED"/>
    <n v="1"/>
    <s v="01.11.80.308.2012.0000"/>
    <n v="433.3"/>
    <s v="11"/>
    <s v="2012"/>
    <n v="1596.66"/>
    <n v="433.3"/>
    <s v="CREDITOR"/>
    <n v="433.3"/>
    <n v="0"/>
    <n v="0"/>
    <n v="0"/>
    <n v="0"/>
  </r>
  <r>
    <n v="61769966"/>
    <s v="N"/>
    <n v="21319530"/>
    <s v="3000015847820022"/>
    <s v="CIVIL"/>
    <d v="2023-06-28T00:00:00"/>
    <d v="2023-07-03T19:04:24"/>
    <m/>
    <d v="2023-07-03T00:00:00"/>
    <n v="1778"/>
    <n v="19740"/>
    <s v="61769966"/>
    <s v="61769966"/>
    <m/>
    <m/>
    <n v="22778090"/>
    <m/>
    <m/>
    <m/>
    <s v="SOLPOA"/>
    <s v="SOLPOA"/>
    <s v="CCMS"/>
    <n v="21319530"/>
    <n v="50.4"/>
    <m/>
    <s v="N"/>
    <n v="1"/>
    <d v="2023-07-03T19:04:26"/>
    <s v="N"/>
    <s v="Expert Cost"/>
    <s v="Expert Cost"/>
    <s v="Expert Disbursement"/>
    <s v="SM3"/>
    <s v="N"/>
    <n v="42"/>
    <n v="8.4"/>
    <x v="3"/>
    <s v="VALIDATED"/>
    <n v="1"/>
    <s v="01.11.80.308.2012.0000"/>
    <n v="42"/>
    <s v="11"/>
    <s v="2012"/>
    <n v="1596.66"/>
    <n v="42"/>
    <s v="CREDITOR"/>
    <n v="42"/>
    <n v="0"/>
    <n v="0"/>
    <n v="0"/>
    <n v="0"/>
  </r>
  <r>
    <n v="61057566"/>
    <s v="N"/>
    <n v="21343555"/>
    <s v="3000015241680029"/>
    <s v="CIVIL"/>
    <d v="2023-06-29T00:00:00"/>
    <d v="2023-07-07T19:03:00"/>
    <m/>
    <d v="2023-07-07T00:00:00"/>
    <n v="1778"/>
    <n v="19740"/>
    <s v="61057566"/>
    <s v="61057566"/>
    <m/>
    <m/>
    <n v="22791786"/>
    <m/>
    <m/>
    <m/>
    <s v="SOLPOA"/>
    <s v="SOLPOA"/>
    <s v="CCMS"/>
    <n v="21343555"/>
    <n v="145.2"/>
    <m/>
    <s v="N"/>
    <n v="1"/>
    <d v="2023-07-07T19:03:10"/>
    <s v="N"/>
    <s v="Expert Cost"/>
    <s v="Expert Cost"/>
    <s v="Expert Disbursement"/>
    <s v="KM"/>
    <s v="N"/>
    <n v="145.2"/>
    <n v="0"/>
    <x v="9"/>
    <s v="VALIDATED"/>
    <n v="1"/>
    <s v="01.11.80.308.2012.0000"/>
    <n v="145.2"/>
    <s v="11"/>
    <s v="2012"/>
    <n v="1596.66"/>
    <n v="145.2"/>
    <s v="CREDITOR"/>
    <n v="145.2"/>
    <n v="0"/>
    <n v="0"/>
    <n v="0"/>
    <n v="0"/>
  </r>
  <r>
    <n v="61942935"/>
    <s v="N"/>
    <n v="21319772"/>
    <s v="3000015993890010"/>
    <s v="CIVIL"/>
    <d v="2023-06-28T00:00:00"/>
    <d v="2023-07-03T19:04:24"/>
    <m/>
    <d v="2023-07-03T00:00:00"/>
    <n v="1778"/>
    <n v="19740"/>
    <s v="61942935"/>
    <s v="61942935"/>
    <m/>
    <m/>
    <n v="22777636"/>
    <m/>
    <m/>
    <m/>
    <s v="SOLPOA"/>
    <s v="SOLPOA"/>
    <s v="CCMS"/>
    <n v="21319772"/>
    <n v="103.08"/>
    <m/>
    <s v="N"/>
    <n v="1"/>
    <d v="2023-07-03T19:04:27"/>
    <s v="N"/>
    <s v="Expert Cost"/>
    <s v="Expert Cost"/>
    <s v="Expert Disbursement"/>
    <s v="KM"/>
    <s v="N"/>
    <n v="103.08"/>
    <n v="0"/>
    <x v="3"/>
    <s v="VALIDATED"/>
    <n v="1"/>
    <s v="01.11.80.308.2012.0000"/>
    <n v="103.08"/>
    <s v="11"/>
    <s v="2012"/>
    <n v="1596.66"/>
    <n v="103.08"/>
    <s v="CREDITOR"/>
    <n v="103.08"/>
    <n v="0"/>
    <n v="0"/>
    <n v="0"/>
    <n v="0"/>
  </r>
  <r>
    <n v="61769966"/>
    <s v="N"/>
    <n v="21320394"/>
    <s v="3000015847820020"/>
    <s v="CIVIL"/>
    <d v="2023-06-28T00:00:00"/>
    <d v="2023-07-03T19:04:52"/>
    <m/>
    <d v="2023-07-03T00:00:00"/>
    <n v="1778"/>
    <n v="19740"/>
    <s v="61769966"/>
    <s v="61769966"/>
    <m/>
    <m/>
    <n v="22778466"/>
    <m/>
    <m/>
    <m/>
    <s v="SOLPOA"/>
    <s v="SOLPOA"/>
    <s v="CCMS"/>
    <n v="21320394"/>
    <n v="26.44"/>
    <m/>
    <s v="N"/>
    <n v="1"/>
    <d v="2023-07-03T19:04:54"/>
    <s v="N"/>
    <s v="Expert Cost"/>
    <s v="Expert Cost"/>
    <s v="Expert Disbursement"/>
    <s v="SM"/>
    <s v="N"/>
    <n v="26.44"/>
    <n v="0"/>
    <x v="3"/>
    <s v="VALIDATED"/>
    <n v="1"/>
    <s v="01.11.80.308.2012.0000"/>
    <n v="26.44"/>
    <s v="11"/>
    <s v="2012"/>
    <n v="1596.66"/>
    <n v="26.44"/>
    <s v="CREDITOR"/>
    <n v="26.44"/>
    <n v="0"/>
    <n v="0"/>
    <n v="0"/>
    <n v="0"/>
  </r>
  <r>
    <n v="61769966"/>
    <s v="N"/>
    <n v="21320283"/>
    <s v="3000015847820019"/>
    <s v="CIVIL"/>
    <d v="2023-06-28T00:00:00"/>
    <d v="2023-07-03T19:04:52"/>
    <m/>
    <d v="2023-07-03T00:00:00"/>
    <n v="1778"/>
    <n v="19740"/>
    <s v="61769966"/>
    <s v="61769966"/>
    <m/>
    <m/>
    <n v="22778446"/>
    <m/>
    <m/>
    <m/>
    <s v="SOLPOA"/>
    <s v="SOLPOA"/>
    <s v="CCMS"/>
    <n v="21320283"/>
    <n v="20.05"/>
    <m/>
    <s v="N"/>
    <n v="1"/>
    <d v="2023-07-03T19:04:53"/>
    <s v="N"/>
    <s v="Expert Cost"/>
    <s v="Expert Cost"/>
    <s v="Expert Disbursement"/>
    <s v="SM"/>
    <s v="N"/>
    <n v="20.05"/>
    <n v="0"/>
    <x v="3"/>
    <s v="VALIDATED"/>
    <n v="1"/>
    <s v="01.11.80.308.2012.0000"/>
    <n v="20.05"/>
    <s v="11"/>
    <s v="2012"/>
    <n v="1596.66"/>
    <n v="20.05"/>
    <s v="CREDITOR"/>
    <n v="20.05"/>
    <n v="0"/>
    <n v="0"/>
    <n v="0"/>
    <n v="0"/>
  </r>
  <r>
    <n v="61769966"/>
    <s v="N"/>
    <n v="21318736"/>
    <s v="3000015847820024"/>
    <s v="CIVIL"/>
    <d v="2023-06-26T00:00:00"/>
    <d v="2023-07-03T19:01:49"/>
    <m/>
    <d v="2023-07-03T00:00:00"/>
    <n v="1778"/>
    <n v="19740"/>
    <s v="61769966"/>
    <s v="61769966"/>
    <m/>
    <m/>
    <n v="22758724"/>
    <m/>
    <m/>
    <m/>
    <s v="SOLPOA"/>
    <s v="SOLPOA"/>
    <s v="CCMS"/>
    <n v="21318736"/>
    <n v="167.64"/>
    <m/>
    <s v="N"/>
    <n v="1"/>
    <d v="2023-07-03T19:02:02"/>
    <s v="N"/>
    <s v="Expert Cost"/>
    <s v="Expert Cost"/>
    <s v="Expert Disbursement"/>
    <s v="SM"/>
    <s v="N"/>
    <n v="139.7"/>
    <n v="27.94"/>
    <x v="3"/>
    <s v="VALIDATED"/>
    <n v="1"/>
    <s v="01.11.80.308.2012.0000"/>
    <n v="139.7"/>
    <s v="11"/>
    <s v="2012"/>
    <n v="1596.66"/>
    <n v="139.7"/>
    <s v="CREDITOR"/>
    <n v="139.7"/>
    <n v="0"/>
    <n v="0"/>
    <n v="0"/>
    <n v="0"/>
  </r>
  <r>
    <n v="61942935"/>
    <s v="N"/>
    <n v="21319351"/>
    <s v="3000015993890009"/>
    <s v="CIVIL"/>
    <d v="2023-06-28T00:00:00"/>
    <d v="2023-07-03T19:04:24"/>
    <m/>
    <d v="2023-07-03T00:00:00"/>
    <n v="1778"/>
    <n v="19740"/>
    <s v="61942935"/>
    <s v="61942935"/>
    <m/>
    <m/>
    <n v="22777614"/>
    <m/>
    <m/>
    <m/>
    <s v="SOLPOA"/>
    <s v="SOLPOA"/>
    <s v="CCMS"/>
    <n v="21319351"/>
    <n v="26.5"/>
    <m/>
    <s v="N"/>
    <n v="1"/>
    <d v="2023-07-03T19:04:25"/>
    <s v="N"/>
    <s v="Non Expert Disbursement"/>
    <s v="Non Expert Disbursement"/>
    <s v="Non Expert Disbursement"/>
    <s v="KM"/>
    <s v="N"/>
    <n v="26.5"/>
    <n v="0"/>
    <x v="3"/>
    <s v="VALIDATED"/>
    <n v="1"/>
    <s v="01.11.80.308.2012.0000"/>
    <n v="26.5"/>
    <s v="11"/>
    <s v="2012"/>
    <n v="1596.66"/>
    <n v="26.5"/>
    <s v="CREDITOR"/>
    <n v="26.5"/>
    <n v="0"/>
    <n v="0"/>
    <n v="0"/>
    <n v="0"/>
  </r>
  <r>
    <n v="61769966"/>
    <s v="N"/>
    <n v="21320418"/>
    <s v="3000015847820021"/>
    <s v="CIVIL"/>
    <d v="2023-06-28T00:00:00"/>
    <d v="2023-07-03T19:04:52"/>
    <m/>
    <d v="2023-07-03T00:00:00"/>
    <n v="1778"/>
    <n v="19740"/>
    <s v="61769966"/>
    <s v="61769966"/>
    <m/>
    <m/>
    <n v="22778480"/>
    <m/>
    <m/>
    <m/>
    <s v="SOLPOA"/>
    <s v="SOLPOA"/>
    <s v="CCMS"/>
    <n v="21320418"/>
    <n v="77.56"/>
    <m/>
    <s v="N"/>
    <n v="1"/>
    <d v="2023-07-03T19:04:54"/>
    <s v="N"/>
    <s v="Expert Cost"/>
    <s v="Expert Cost"/>
    <s v="Expert Disbursement"/>
    <s v="SM"/>
    <s v="N"/>
    <n v="77.56"/>
    <n v="0"/>
    <x v="3"/>
    <s v="VALIDATED"/>
    <n v="1"/>
    <s v="01.11.80.308.2012.0000"/>
    <n v="77.56"/>
    <s v="11"/>
    <s v="2012"/>
    <n v="1596.66"/>
    <n v="77.56"/>
    <s v="CREDITOR"/>
    <n v="77.56"/>
    <n v="0"/>
    <n v="0"/>
    <n v="0"/>
    <n v="0"/>
  </r>
  <r>
    <n v="61057566"/>
    <s v="N"/>
    <n v="21343621"/>
    <s v="3000015241680031"/>
    <s v="CIVIL"/>
    <d v="2023-06-29T00:00:00"/>
    <d v="2023-07-07T19:03:00"/>
    <m/>
    <d v="2023-07-07T00:00:00"/>
    <n v="1778"/>
    <n v="19740"/>
    <s v="61057566"/>
    <s v="61057566"/>
    <m/>
    <m/>
    <n v="22791752"/>
    <m/>
    <m/>
    <m/>
    <s v="SOLPOA"/>
    <s v="SOLPOA"/>
    <s v="CCMS"/>
    <n v="21343621"/>
    <n v="245.15"/>
    <m/>
    <s v="N"/>
    <n v="1"/>
    <d v="2023-07-07T19:03:11"/>
    <s v="N"/>
    <s v="Expert Cost"/>
    <s v="Expert Cost"/>
    <s v="Expert Disbursement"/>
    <s v="KM"/>
    <s v="N"/>
    <n v="245.15"/>
    <n v="0"/>
    <x v="9"/>
    <s v="VALIDATED"/>
    <n v="1"/>
    <s v="01.11.80.308.2012.0000"/>
    <n v="245.15"/>
    <s v="11"/>
    <s v="2012"/>
    <n v="1596.66"/>
    <n v="245.15"/>
    <s v="CREDITOR"/>
    <n v="245.15"/>
    <n v="0"/>
    <n v="0"/>
    <n v="0"/>
    <n v="0"/>
  </r>
  <r>
    <n v="61769966"/>
    <s v="N"/>
    <n v="21320780"/>
    <s v="3000015847820023"/>
    <s v="CIVIL"/>
    <d v="2023-06-28T00:00:00"/>
    <d v="2023-07-03T19:04:52"/>
    <m/>
    <d v="2023-07-03T00:00:00"/>
    <n v="1778"/>
    <n v="19740"/>
    <s v="61769966"/>
    <s v="61769966"/>
    <m/>
    <m/>
    <n v="22778510"/>
    <m/>
    <m/>
    <m/>
    <s v="SOLPOA"/>
    <s v="SOLPOA"/>
    <s v="CCMS"/>
    <n v="21320780"/>
    <n v="95.89"/>
    <m/>
    <s v="N"/>
    <n v="1"/>
    <d v="2023-07-03T19:04:56"/>
    <s v="N"/>
    <s v="Expert Cost"/>
    <s v="Expert Cost"/>
    <s v="Expert Disbursement"/>
    <s v="SM"/>
    <s v="N"/>
    <n v="95.89"/>
    <n v="0"/>
    <x v="3"/>
    <s v="VALIDATED"/>
    <n v="1"/>
    <s v="01.11.80.308.2012.0000"/>
    <n v="95.89"/>
    <s v="11"/>
    <s v="2012"/>
    <n v="1596.66"/>
    <n v="95.89"/>
    <s v="CREDITOR"/>
    <n v="95.89"/>
    <n v="0"/>
    <n v="0"/>
    <n v="0"/>
    <n v="0"/>
  </r>
  <r>
    <n v="61057566"/>
    <s v="N"/>
    <n v="21343567"/>
    <s v="3000015241680030"/>
    <s v="CIVIL"/>
    <d v="2023-06-29T00:00:00"/>
    <d v="2023-07-07T19:03:00"/>
    <m/>
    <d v="2023-07-07T00:00:00"/>
    <n v="1778"/>
    <n v="19740"/>
    <s v="61057566"/>
    <s v="61057566"/>
    <m/>
    <m/>
    <n v="22791834"/>
    <m/>
    <m/>
    <m/>
    <s v="SOLPOA"/>
    <s v="SOLPOA"/>
    <s v="CCMS"/>
    <n v="21343567"/>
    <n v="241.79"/>
    <m/>
    <s v="N"/>
    <n v="1"/>
    <d v="2023-07-07T19:03:10"/>
    <s v="N"/>
    <s v="Expert Cost"/>
    <s v="Expert Cost"/>
    <s v="Expert Disbursement"/>
    <s v="KM"/>
    <s v="N"/>
    <n v="241.79"/>
    <n v="0"/>
    <x v="9"/>
    <s v="VALIDATED"/>
    <n v="1"/>
    <s v="01.11.80.308.2012.0000"/>
    <n v="241.79"/>
    <s v="11"/>
    <s v="2012"/>
    <n v="1596.66"/>
    <n v="241.79"/>
    <s v="CREDITOR"/>
    <n v="241.79"/>
    <n v="0"/>
    <n v="0"/>
    <n v="0"/>
    <n v="0"/>
  </r>
  <r>
    <n v="62131942"/>
    <s v="N"/>
    <n v="21361043"/>
    <s v="3000016150090001"/>
    <s v="CIVIL"/>
    <d v="2023-06-13T00:00:00"/>
    <d v="2023-07-11T19:00:25"/>
    <m/>
    <d v="2023-07-11T00:00:00"/>
    <n v="1779"/>
    <n v="19740"/>
    <s v="62131942"/>
    <s v="62131942"/>
    <m/>
    <m/>
    <n v="22677618"/>
    <m/>
    <m/>
    <m/>
    <s v="SOLFIN"/>
    <s v="SOLFIN"/>
    <s v="CCMS"/>
    <n v="21361043"/>
    <n v="644.16"/>
    <m/>
    <s v="N"/>
    <n v="1"/>
    <d v="2023-07-11T19:00:43"/>
    <s v="Y"/>
    <s v="Solicitor Travel Mileage"/>
    <s v="Private Law Children"/>
    <s v="Non Expert Disbursement"/>
    <s v="Shabana Issop"/>
    <s v="Y"/>
    <n v="9.9"/>
    <n v="1.98"/>
    <x v="7"/>
    <s v="VALIDATED"/>
    <n v="1"/>
    <s v="01.11.80.307.6300.0000"/>
    <n v="9.9"/>
    <s v="11"/>
    <s v="6300"/>
    <n v="586.8"/>
    <n v="9.9"/>
    <s v="CREDITOR"/>
    <n v="0"/>
    <n v="0"/>
    <n v="0"/>
    <n v="0"/>
    <n v="9.9"/>
  </r>
  <r>
    <n v="62131942"/>
    <s v="N"/>
    <n v="21361043"/>
    <s v="3000016150090001"/>
    <s v="CIVIL"/>
    <d v="2023-06-13T00:00:00"/>
    <d v="2023-07-11T19:00:25"/>
    <m/>
    <d v="2023-07-11T00:00:00"/>
    <n v="1779"/>
    <n v="19740"/>
    <s v="62131942"/>
    <s v="62131942"/>
    <m/>
    <m/>
    <n v="22677618"/>
    <m/>
    <m/>
    <m/>
    <s v="SOLFIN"/>
    <s v="SOLFIN"/>
    <s v="CCMS"/>
    <n v="21361043"/>
    <n v="644.16"/>
    <m/>
    <s v="N"/>
    <n v="4"/>
    <d v="2023-07-11T19:00:43"/>
    <s v="Y"/>
    <s v="Level 3 Fixed Fee"/>
    <s v="Private Law Children"/>
    <s v="Profit Cost"/>
    <s v="Shabana Issop"/>
    <s v="Y"/>
    <n v="353"/>
    <n v="70.59999999999999"/>
    <x v="7"/>
    <s v="VALIDATED"/>
    <n v="1"/>
    <s v="01.11.80.307.6100.0000"/>
    <n v="353"/>
    <s v="11"/>
    <s v="6100"/>
    <n v="586.8"/>
    <n v="353"/>
    <s v="CREDITOR"/>
    <n v="0"/>
    <n v="0"/>
    <n v="0"/>
    <n v="0"/>
    <n v="353"/>
  </r>
  <r>
    <n v="62131942"/>
    <s v="N"/>
    <n v="21361043"/>
    <s v="3000016150090001"/>
    <s v="CIVIL"/>
    <d v="2023-06-13T00:00:00"/>
    <d v="2023-07-11T19:00:25"/>
    <m/>
    <d v="2023-07-11T00:00:00"/>
    <n v="1779"/>
    <n v="19740"/>
    <s v="62131942"/>
    <s v="62131942"/>
    <m/>
    <m/>
    <n v="22677618"/>
    <m/>
    <m/>
    <m/>
    <s v="SOLFIN"/>
    <s v="SOLFIN"/>
    <s v="CCMS"/>
    <n v="21361043"/>
    <n v="644.16"/>
    <m/>
    <s v="N"/>
    <n v="3"/>
    <d v="2023-07-11T19:00:43"/>
    <s v="Y"/>
    <s v="Hearing Unit 1.01 - 2.30 Hours"/>
    <s v="Private Law Children"/>
    <s v="Advocacy"/>
    <s v="Shabana Issop"/>
    <s v="Y"/>
    <n v="172.4"/>
    <n v="34.48"/>
    <x v="7"/>
    <s v="VALIDATED"/>
    <n v="1"/>
    <s v="01.11.80.307.6100.0000"/>
    <n v="172.4"/>
    <s v="11"/>
    <s v="6100"/>
    <n v="586.8"/>
    <n v="172.4"/>
    <s v="CREDITOR"/>
    <n v="0"/>
    <n v="0"/>
    <n v="0"/>
    <n v="0"/>
    <n v="172.4"/>
  </r>
  <r>
    <n v="42948672"/>
    <s v="N"/>
    <n v="21337752"/>
    <s v="3000011426640017"/>
    <s v="CIVIL"/>
    <d v="2023-06-28T00:00:00"/>
    <d v="2023-07-06T19:21:01"/>
    <m/>
    <d v="2023-07-06T00:00:00"/>
    <n v="1779"/>
    <n v="19740"/>
    <s v="42948672"/>
    <s v="42948672"/>
    <m/>
    <m/>
    <n v="22779824"/>
    <m/>
    <m/>
    <m/>
    <s v="SOLPOA"/>
    <s v="SOLPOA"/>
    <s v="CCMS"/>
    <n v="21337752"/>
    <n v="50"/>
    <m/>
    <s v="N"/>
    <n v="1"/>
    <d v="2023-07-06T19:21:07"/>
    <s v="N"/>
    <s v="Non Expert Disbursement - Private L"/>
    <s v="Non Expert Disbursement - Priv"/>
    <s v="Non Expert Disbursement"/>
    <s v="Yasar Khan"/>
    <s v="N"/>
    <n v="50"/>
    <n v="0"/>
    <x v="4"/>
    <s v="VALIDATED"/>
    <n v="1"/>
    <s v="01.11.80.302.2012.0000"/>
    <n v="50"/>
    <s v="11"/>
    <s v="2012"/>
    <n v="586.8"/>
    <n v="50"/>
    <s v="CREDITOR"/>
    <n v="50"/>
    <n v="0"/>
    <n v="0"/>
    <n v="0"/>
    <n v="0"/>
  </r>
  <r>
    <n v="62131942"/>
    <s v="N"/>
    <n v="21361043"/>
    <s v="3000016150090001"/>
    <s v="CIVIL"/>
    <d v="2023-06-13T00:00:00"/>
    <d v="2023-07-11T19:00:25"/>
    <m/>
    <d v="2023-07-11T00:00:00"/>
    <n v="1779"/>
    <n v="19740"/>
    <s v="62131942"/>
    <s v="62131942"/>
    <m/>
    <m/>
    <n v="22677618"/>
    <m/>
    <m/>
    <m/>
    <s v="SOLFIN"/>
    <s v="SOLFIN"/>
    <s v="CCMS"/>
    <n v="21361043"/>
    <n v="644.16"/>
    <m/>
    <s v="N"/>
    <n v="2"/>
    <d v="2023-07-11T19:00:43"/>
    <s v="Y"/>
    <s v="Solicitor Travel Expenses"/>
    <s v="Private Law Children"/>
    <s v="Non Expert Disbursement"/>
    <s v="Shabana Issop"/>
    <s v="Y"/>
    <n v="1.5"/>
    <n v="0.3"/>
    <x v="7"/>
    <s v="VALIDATED"/>
    <n v="1"/>
    <s v="01.11.80.307.6300.0000"/>
    <n v="1.5"/>
    <s v="11"/>
    <s v="6300"/>
    <n v="586.8"/>
    <n v="1.5"/>
    <s v="CREDITOR"/>
    <n v="0"/>
    <n v="0"/>
    <n v="0"/>
    <n v="0"/>
    <n v="1.5"/>
  </r>
  <r>
    <n v="61972386"/>
    <s v="N"/>
    <n v="21318897"/>
    <s v="3000016019320008"/>
    <s v="CIVIL"/>
    <d v="2023-06-20T00:00:00"/>
    <d v="2023-07-03T19:01:49"/>
    <m/>
    <d v="2023-07-03T00:00:00"/>
    <n v="1780"/>
    <n v="19740"/>
    <s v="61972386"/>
    <s v="61972386"/>
    <m/>
    <m/>
    <n v="22726714"/>
    <m/>
    <m/>
    <m/>
    <s v="SOLPOA"/>
    <s v="SOLPOA"/>
    <s v="CCMS"/>
    <n v="21318897"/>
    <n v="192.57"/>
    <m/>
    <s v="N"/>
    <n v="1"/>
    <d v="2023-07-03T19:02:05"/>
    <s v="N"/>
    <s v="Expert Cost"/>
    <s v="Expert Cost"/>
    <s v="Expert Disbursement"/>
    <s v="Jean Flanagan"/>
    <s v="N"/>
    <n v="192.57"/>
    <n v="0"/>
    <x v="3"/>
    <s v="VALIDATED"/>
    <n v="1"/>
    <s v="01.11.80.308.2012.0000"/>
    <n v="192.57"/>
    <s v="11"/>
    <s v="2012"/>
    <n v="2140.54"/>
    <n v="192.57"/>
    <s v="CREDITOR"/>
    <n v="192.57"/>
    <n v="0"/>
    <n v="0"/>
    <n v="0"/>
    <n v="0"/>
  </r>
  <r>
    <n v="60649002"/>
    <s v="N"/>
    <n v="21369674"/>
    <s v="3000014903820004"/>
    <s v="CIVIL"/>
    <d v="2023-06-13T00:00:00"/>
    <d v="2023-07-13T19:21:05"/>
    <m/>
    <d v="2023-07-13T00:00:00"/>
    <n v="1780"/>
    <n v="19740"/>
    <s v="60649002"/>
    <s v="60649002"/>
    <m/>
    <m/>
    <n v="22678394"/>
    <m/>
    <m/>
    <m/>
    <s v="SOLFIN"/>
    <s v="SOLFIN"/>
    <s v="CCMS"/>
    <n v="21369674"/>
    <n v="6738.11"/>
    <m/>
    <s v="N"/>
    <n v="1"/>
    <d v="2023-07-13T19:21:10"/>
    <s v="Y"/>
    <s v="Final Hearing Court Bundle/Advocate"/>
    <s v="Public Law Children"/>
    <s v="Advocacy"/>
    <s v="Jean Flanagan"/>
    <s v="Y"/>
    <n v="239.4"/>
    <n v="47.88"/>
    <x v="11"/>
    <s v="VALIDATED"/>
    <n v="1"/>
    <s v="01.11.80.308.6100.0000"/>
    <n v="239.4"/>
    <s v="11"/>
    <s v="6100"/>
    <n v="2140.54"/>
    <n v="239.4"/>
    <s v="CREDITOR"/>
    <n v="0"/>
    <n v="0"/>
    <n v="0"/>
    <n v="0"/>
    <n v="239.4"/>
  </r>
  <r>
    <n v="60649002"/>
    <s v="N"/>
    <n v="21369674"/>
    <s v="3000014903820004"/>
    <s v="CIVIL"/>
    <d v="2023-06-13T00:00:00"/>
    <d v="2023-07-13T19:21:05"/>
    <m/>
    <d v="2023-07-13T00:00:00"/>
    <n v="1780"/>
    <n v="19740"/>
    <s v="60649002"/>
    <s v="60649002"/>
    <m/>
    <m/>
    <n v="22678394"/>
    <m/>
    <m/>
    <m/>
    <s v="SOLFIN"/>
    <s v="SOLFIN"/>
    <s v="CCMS"/>
    <n v="21369674"/>
    <n v="6738.11"/>
    <m/>
    <s v="N"/>
    <n v="14"/>
    <d v="2023-07-13T19:21:10"/>
    <s v="Y"/>
    <s v="Hearing Unit 2.31 - 5.00 Hours"/>
    <s v="Public Law Children"/>
    <s v="Advocacy"/>
    <s v="Jean Flanagan"/>
    <s v="Y"/>
    <n v="476.92"/>
    <n v="95.38"/>
    <x v="11"/>
    <s v="VALIDATED"/>
    <n v="1"/>
    <s v="01.11.80.308.6100.0000"/>
    <n v="476.92"/>
    <s v="11"/>
    <s v="6100"/>
    <n v="2140.54"/>
    <n v="476.92"/>
    <s v="CREDITOR"/>
    <n v="0"/>
    <n v="0"/>
    <n v="0"/>
    <n v="0"/>
    <n v="476.92"/>
  </r>
  <r>
    <n v="60649002"/>
    <s v="N"/>
    <n v="21369674"/>
    <s v="3000014903820004"/>
    <s v="CIVIL"/>
    <d v="2023-06-13T00:00:00"/>
    <d v="2023-07-13T19:21:05"/>
    <m/>
    <d v="2023-07-13T00:00:00"/>
    <n v="1780"/>
    <n v="19740"/>
    <s v="60649002"/>
    <s v="60649002"/>
    <m/>
    <m/>
    <n v="22678394"/>
    <m/>
    <m/>
    <m/>
    <s v="SOLFIN"/>
    <s v="SOLFIN"/>
    <s v="CCMS"/>
    <n v="21369674"/>
    <n v="6738.11"/>
    <m/>
    <s v="N"/>
    <n v="12"/>
    <d v="2023-07-13T19:21:10"/>
    <s v="Y"/>
    <s v="Advocates Meeting"/>
    <s v="Public Law Children"/>
    <s v="Advocacy"/>
    <s v="Jean Flanagan"/>
    <s v="Y"/>
    <n v="140.99"/>
    <n v="28.2"/>
    <x v="11"/>
    <s v="VALIDATED"/>
    <n v="1"/>
    <s v="01.11.80.308.6100.0000"/>
    <n v="140.99"/>
    <s v="11"/>
    <s v="6100"/>
    <n v="2140.54"/>
    <n v="140.99"/>
    <s v="CREDITOR"/>
    <n v="0"/>
    <n v="0"/>
    <n v="0"/>
    <n v="0"/>
    <n v="140.99"/>
  </r>
  <r>
    <n v="60649002"/>
    <s v="N"/>
    <n v="21369674"/>
    <s v="3000014903820004"/>
    <s v="CIVIL"/>
    <d v="2023-06-13T00:00:00"/>
    <d v="2023-07-13T19:21:05"/>
    <m/>
    <d v="2023-07-13T00:00:00"/>
    <n v="1780"/>
    <n v="19740"/>
    <s v="60649002"/>
    <s v="60649002"/>
    <m/>
    <m/>
    <n v="22678394"/>
    <m/>
    <m/>
    <m/>
    <s v="SOLFIN"/>
    <s v="SOLFIN"/>
    <s v="CCMS"/>
    <n v="21369674"/>
    <n v="6738.11"/>
    <m/>
    <s v="N"/>
    <n v="2"/>
    <d v="2023-07-13T19:21:10"/>
    <s v="Y"/>
    <s v="Interim Hearing Court Bundle/Advoca"/>
    <s v="Public Law Children"/>
    <s v="Advocacy"/>
    <s v="Jean Flanagan"/>
    <s v="Y"/>
    <n v="89.09999999999999"/>
    <n v="17.82"/>
    <x v="11"/>
    <s v="VALIDATED"/>
    <n v="1"/>
    <s v="01.11.80.308.6100.0000"/>
    <n v="89.09999999999999"/>
    <s v="11"/>
    <s v="6100"/>
    <n v="2140.54"/>
    <n v="89.09999999999999"/>
    <s v="CREDITOR"/>
    <n v="0"/>
    <n v="0"/>
    <n v="0"/>
    <n v="0"/>
    <n v="89.09999999999999"/>
  </r>
  <r>
    <n v="60649002"/>
    <s v="N"/>
    <n v="21369674"/>
    <s v="3000014903820004"/>
    <s v="CIVIL"/>
    <d v="2023-06-13T00:00:00"/>
    <d v="2023-07-13T19:21:05"/>
    <m/>
    <d v="2023-07-13T00:00:00"/>
    <n v="1780"/>
    <n v="19740"/>
    <s v="60649002"/>
    <s v="60649002"/>
    <m/>
    <m/>
    <n v="22678394"/>
    <m/>
    <m/>
    <m/>
    <s v="SOLFIN"/>
    <s v="SOLFIN"/>
    <s v="CCMS"/>
    <n v="21369674"/>
    <n v="6738.11"/>
    <m/>
    <s v="N"/>
    <n v="13"/>
    <d v="2023-07-13T19:21:10"/>
    <s v="Y"/>
    <s v="Advocates Meeting"/>
    <s v="Public Law Children"/>
    <s v="Advocacy"/>
    <s v="Jean Flanagan"/>
    <s v="Y"/>
    <n v="140.99"/>
    <n v="28.2"/>
    <x v="11"/>
    <s v="VALIDATED"/>
    <n v="1"/>
    <s v="01.11.80.308.6100.0000"/>
    <n v="140.99"/>
    <s v="11"/>
    <s v="6100"/>
    <n v="2140.54"/>
    <n v="140.99"/>
    <s v="CREDITOR"/>
    <n v="0"/>
    <n v="0"/>
    <n v="0"/>
    <n v="0"/>
    <n v="140.99"/>
  </r>
  <r>
    <n v="61972386"/>
    <s v="N"/>
    <n v="21369806"/>
    <s v="3000016019320009"/>
    <s v="CIVIL"/>
    <d v="2023-06-28T00:00:00"/>
    <d v="2023-07-13T19:21:05"/>
    <m/>
    <d v="2023-07-13T00:00:00"/>
    <n v="1780"/>
    <n v="19740"/>
    <s v="61972386"/>
    <s v="61972386"/>
    <m/>
    <m/>
    <n v="22782918"/>
    <m/>
    <m/>
    <m/>
    <s v="SOLPOA"/>
    <s v="SOLPOA"/>
    <s v="CCMS"/>
    <n v="21369806"/>
    <n v="33.6"/>
    <m/>
    <s v="N"/>
    <n v="1"/>
    <d v="2023-07-13T19:21:11"/>
    <s v="N"/>
    <s v="Expert Cost"/>
    <s v="Expert Cost"/>
    <s v="Expert Disbursement"/>
    <s v="Jean Flanagan"/>
    <s v="N"/>
    <n v="28"/>
    <n v="5.6"/>
    <x v="11"/>
    <s v="VALIDATED"/>
    <n v="1"/>
    <s v="01.11.80.308.2012.0000"/>
    <n v="28"/>
    <s v="11"/>
    <s v="2012"/>
    <n v="2140.54"/>
    <n v="28"/>
    <s v="CREDITOR"/>
    <n v="28"/>
    <n v="0"/>
    <n v="0"/>
    <n v="0"/>
    <n v="0"/>
  </r>
  <r>
    <n v="60649002"/>
    <s v="N"/>
    <n v="21369674"/>
    <s v="3000014903820004"/>
    <s v="CIVIL"/>
    <d v="2023-06-13T00:00:00"/>
    <d v="2023-07-13T19:21:05"/>
    <m/>
    <d v="2023-07-13T00:00:00"/>
    <n v="1780"/>
    <n v="19740"/>
    <s v="60649002"/>
    <s v="60649002"/>
    <m/>
    <m/>
    <n v="22678394"/>
    <m/>
    <m/>
    <m/>
    <s v="SOLFIN"/>
    <s v="SOLFIN"/>
    <s v="CCMS"/>
    <n v="21369674"/>
    <n v="6738.11"/>
    <m/>
    <s v="N"/>
    <n v="15"/>
    <d v="2023-07-13T19:21:10"/>
    <s v="Y"/>
    <s v="Hearing Unit 2.31 - 5.00 Hours"/>
    <s v="Public Law Children"/>
    <s v="Advocacy"/>
    <s v="Jean Flanagan"/>
    <s v="Y"/>
    <n v="476.92"/>
    <n v="95.38"/>
    <x v="11"/>
    <s v="VALIDATED"/>
    <n v="1"/>
    <s v="01.11.80.308.6100.0000"/>
    <n v="476.92"/>
    <s v="11"/>
    <s v="6100"/>
    <n v="2140.54"/>
    <n v="476.92"/>
    <s v="CREDITOR"/>
    <n v="0"/>
    <n v="0"/>
    <n v="0"/>
    <n v="0"/>
    <n v="476.92"/>
  </r>
  <r>
    <n v="60649002"/>
    <s v="N"/>
    <n v="21369674"/>
    <s v="3000014903820004"/>
    <s v="CIVIL"/>
    <d v="2023-06-13T00:00:00"/>
    <d v="2023-07-13T19:21:05"/>
    <m/>
    <d v="2023-07-13T00:00:00"/>
    <n v="1780"/>
    <n v="19740"/>
    <s v="60649002"/>
    <s v="60649002"/>
    <m/>
    <m/>
    <n v="22678394"/>
    <m/>
    <m/>
    <m/>
    <s v="SOLFIN"/>
    <s v="SOLFIN"/>
    <s v="CCMS"/>
    <n v="21369674"/>
    <n v="6738.11"/>
    <m/>
    <s v="N"/>
    <n v="16"/>
    <d v="2023-07-13T19:21:10"/>
    <s v="Y"/>
    <s v="Final Hearing - 1 Day"/>
    <s v="Public Law Children"/>
    <s v="Advocacy"/>
    <s v="Jean Flanagan"/>
    <s v="Y"/>
    <n v="556.88"/>
    <n v="111.38"/>
    <x v="11"/>
    <s v="VALIDATED"/>
    <n v="1"/>
    <s v="01.11.80.308.6100.0000"/>
    <n v="556.88"/>
    <s v="11"/>
    <s v="6100"/>
    <n v="2140.54"/>
    <n v="556.88"/>
    <s v="CREDITOR"/>
    <n v="0"/>
    <n v="0"/>
    <n v="0"/>
    <n v="0"/>
    <n v="556.88"/>
  </r>
  <r>
    <n v="60649002"/>
    <s v="N"/>
    <n v="21369674"/>
    <s v="3000014903820004"/>
    <s v="CIVIL"/>
    <d v="2023-06-13T00:00:00"/>
    <d v="2023-07-13T19:21:05"/>
    <m/>
    <d v="2023-07-13T00:00:00"/>
    <n v="1780"/>
    <n v="19740"/>
    <s v="60649002"/>
    <s v="60649002"/>
    <m/>
    <m/>
    <n v="22678394"/>
    <m/>
    <m/>
    <m/>
    <s v="SOLFIN"/>
    <s v="SOLFIN"/>
    <s v="CCMS"/>
    <n v="21369674"/>
    <n v="6738.11"/>
    <m/>
    <s v="N"/>
    <n v="4"/>
    <d v="2023-07-13T19:21:10"/>
    <s v="Y"/>
    <s v="Solicitor Travel Expenses"/>
    <s v="Public Law Children"/>
    <s v="Non Expert Disbursement"/>
    <s v="Jean Flanagan"/>
    <s v="Y"/>
    <n v="11.8"/>
    <n v="2.36"/>
    <x v="11"/>
    <s v="VALIDATED"/>
    <n v="1"/>
    <s v="01.11.80.308.6300.0000"/>
    <n v="11.8"/>
    <s v="11"/>
    <s v="6300"/>
    <n v="2140.54"/>
    <n v="11.8"/>
    <s v="CREDITOR"/>
    <n v="0"/>
    <n v="0"/>
    <n v="0"/>
    <n v="0"/>
    <n v="11.8"/>
  </r>
  <r>
    <n v="60649002"/>
    <s v="N"/>
    <n v="21369674"/>
    <s v="3000014903820004"/>
    <s v="CIVIL"/>
    <d v="2023-06-13T00:00:00"/>
    <d v="2023-07-13T19:21:05"/>
    <m/>
    <d v="2023-07-13T00:00:00"/>
    <n v="1780"/>
    <n v="19740"/>
    <s v="60649002"/>
    <s v="60649002"/>
    <m/>
    <m/>
    <n v="22678394"/>
    <m/>
    <m/>
    <m/>
    <s v="SOLFIN"/>
    <s v="SOLFIN"/>
    <s v="CCMS"/>
    <n v="21369674"/>
    <n v="6738.11"/>
    <m/>
    <s v="N"/>
    <n v="7"/>
    <d v="2023-07-13T19:21:10"/>
    <s v="N"/>
    <s v="Solicitor Travel Mileage"/>
    <s v="Public Law Children"/>
    <s v="Non Expert Disbursement"/>
    <s v="Jean Flanagan"/>
    <s v="N"/>
    <n v="0"/>
    <n v="0"/>
    <x v="11"/>
    <s v="VALIDATED"/>
    <n v="1"/>
    <s v="01.11.80.308.6300.0000"/>
    <n v="0"/>
    <s v="11"/>
    <s v="6300"/>
    <n v="2140.54"/>
    <n v="0"/>
    <s v="CREDITOR"/>
    <n v="0"/>
    <n v="0"/>
    <n v="0"/>
    <n v="0"/>
    <n v="0"/>
  </r>
  <r>
    <n v="60649002"/>
    <s v="N"/>
    <n v="21369674"/>
    <s v="3000014903820004"/>
    <s v="CIVIL"/>
    <d v="2023-06-13T00:00:00"/>
    <d v="2023-07-13T19:21:05"/>
    <m/>
    <d v="2023-07-13T00:00:00"/>
    <n v="1780"/>
    <n v="19740"/>
    <s v="60649002"/>
    <s v="60649002"/>
    <m/>
    <m/>
    <n v="22678394"/>
    <m/>
    <m/>
    <m/>
    <s v="SOLFIN"/>
    <s v="SOLFIN"/>
    <s v="CCMS"/>
    <n v="21369674"/>
    <n v="6738.11"/>
    <m/>
    <s v="N"/>
    <n v="10"/>
    <d v="2023-07-13T19:21:10"/>
    <s v="Y"/>
    <s v="Solicitor Travel Expenses"/>
    <s v="Public Law Children"/>
    <s v="Non Expert Disbursement"/>
    <s v="Jean Flanagan"/>
    <s v="Y"/>
    <n v="10.35"/>
    <n v="2.07"/>
    <x v="11"/>
    <s v="VALIDATED"/>
    <n v="1"/>
    <s v="01.11.80.308.6300.0000"/>
    <n v="10.35"/>
    <s v="11"/>
    <s v="6300"/>
    <n v="2140.54"/>
    <n v="10.35"/>
    <s v="CREDITOR"/>
    <n v="0"/>
    <n v="0"/>
    <n v="0"/>
    <n v="0"/>
    <n v="10.35"/>
  </r>
  <r>
    <n v="60649002"/>
    <s v="N"/>
    <n v="21369674"/>
    <s v="3000014903820004"/>
    <s v="CIVIL"/>
    <d v="2023-06-13T00:00:00"/>
    <d v="2023-07-13T19:21:05"/>
    <m/>
    <d v="2023-07-13T00:00:00"/>
    <n v="1780"/>
    <n v="19740"/>
    <s v="60649002"/>
    <s v="60649002"/>
    <m/>
    <m/>
    <n v="22678394"/>
    <m/>
    <m/>
    <m/>
    <s v="SOLFIN"/>
    <s v="SOLFIN"/>
    <s v="CCMS"/>
    <n v="21369674"/>
    <n v="6738.11"/>
    <m/>
    <s v="N"/>
    <n v="11"/>
    <d v="2023-07-13T19:21:10"/>
    <s v="Y"/>
    <s v="Advocates Meeting"/>
    <s v="Public Law Children"/>
    <s v="Advocacy"/>
    <s v="Jean Flanagan"/>
    <s v="Y"/>
    <n v="140.99"/>
    <n v="28.2"/>
    <x v="11"/>
    <s v="VALIDATED"/>
    <n v="1"/>
    <s v="01.11.80.308.6100.0000"/>
    <n v="140.99"/>
    <s v="11"/>
    <s v="6100"/>
    <n v="2140.54"/>
    <n v="140.99"/>
    <s v="CREDITOR"/>
    <n v="0"/>
    <n v="0"/>
    <n v="0"/>
    <n v="0"/>
    <n v="140.99"/>
  </r>
  <r>
    <n v="60649002"/>
    <s v="N"/>
    <n v="21369674"/>
    <s v="3000014903820004"/>
    <s v="CIVIL"/>
    <d v="2023-06-13T00:00:00"/>
    <d v="2023-07-13T19:21:05"/>
    <m/>
    <d v="2023-07-13T00:00:00"/>
    <n v="1780"/>
    <n v="19740"/>
    <s v="60649002"/>
    <s v="60649002"/>
    <m/>
    <m/>
    <n v="22678394"/>
    <m/>
    <m/>
    <m/>
    <s v="SOLFIN"/>
    <s v="SOLFIN"/>
    <s v="CCMS"/>
    <n v="21369674"/>
    <n v="6738.11"/>
    <m/>
    <s v="N"/>
    <n v="19"/>
    <d v="2023-07-13T19:21:10"/>
    <s v="Y"/>
    <s v="Solicitors Fixed Fee"/>
    <s v="Public Law Children"/>
    <s v="Profit Cost"/>
    <s v="Jean Flanagan"/>
    <s v="Y"/>
    <n v="1911"/>
    <n v="382.2"/>
    <x v="11"/>
    <s v="VALIDATED"/>
    <n v="1"/>
    <s v="01.11.80.308.6100.0000"/>
    <n v="1911"/>
    <s v="11"/>
    <s v="6100"/>
    <n v="2140.54"/>
    <n v="1911"/>
    <s v="CREDITOR"/>
    <n v="0"/>
    <n v="0"/>
    <n v="0"/>
    <n v="0"/>
    <n v="1911"/>
  </r>
  <r>
    <n v="60649002"/>
    <s v="N"/>
    <n v="21369674"/>
    <s v="3000014903820004"/>
    <s v="CIVIL"/>
    <d v="2023-06-13T00:00:00"/>
    <d v="2023-07-13T19:21:05"/>
    <m/>
    <d v="2023-07-13T00:00:00"/>
    <n v="1780"/>
    <n v="19740"/>
    <s v="60649002"/>
    <s v="60649002"/>
    <m/>
    <m/>
    <n v="22678394"/>
    <m/>
    <m/>
    <m/>
    <s v="SOLFIN"/>
    <s v="SOLFIN"/>
    <s v="CCMS"/>
    <n v="21369674"/>
    <n v="6738.11"/>
    <m/>
    <s v="N"/>
    <n v="8"/>
    <d v="2023-07-13T19:21:10"/>
    <s v="Y"/>
    <s v="Solicitor Travel Expenses"/>
    <s v="Public Law Children"/>
    <s v="Non Expert Disbursement"/>
    <s v="Jean Flanagan"/>
    <s v="Y"/>
    <n v="11.85"/>
    <n v="2.37"/>
    <x v="11"/>
    <s v="VALIDATED"/>
    <n v="1"/>
    <s v="01.11.80.308.6300.0000"/>
    <n v="11.85"/>
    <s v="11"/>
    <s v="6300"/>
    <n v="2140.54"/>
    <n v="11.85"/>
    <s v="CREDITOR"/>
    <n v="0"/>
    <n v="0"/>
    <n v="0"/>
    <n v="0"/>
    <n v="11.85"/>
  </r>
  <r>
    <n v="60649002"/>
    <s v="N"/>
    <n v="21369674"/>
    <s v="3000014903820004"/>
    <s v="CIVIL"/>
    <d v="2023-06-13T00:00:00"/>
    <d v="2023-07-13T19:21:05"/>
    <m/>
    <d v="2023-07-13T00:00:00"/>
    <n v="1780"/>
    <n v="19740"/>
    <s v="60649002"/>
    <s v="60649002"/>
    <m/>
    <m/>
    <n v="22678394"/>
    <m/>
    <m/>
    <m/>
    <s v="SOLFIN"/>
    <s v="SOLFIN"/>
    <s v="CCMS"/>
    <n v="21369674"/>
    <n v="6738.11"/>
    <m/>
    <s v="N"/>
    <n v="3"/>
    <d v="2023-07-13T19:21:10"/>
    <s v="N"/>
    <s v="Solicitor Travel Mileage"/>
    <s v="Public Law Children"/>
    <s v="Non Expert Disbursement"/>
    <s v="Jean Flanagan"/>
    <s v="N"/>
    <n v="0"/>
    <n v="0"/>
    <x v="11"/>
    <s v="VALIDATED"/>
    <n v="1"/>
    <s v="01.11.80.308.6300.0000"/>
    <n v="0"/>
    <s v="11"/>
    <s v="6300"/>
    <n v="2140.54"/>
    <n v="0"/>
    <s v="CREDITOR"/>
    <n v="0"/>
    <n v="0"/>
    <n v="0"/>
    <n v="0"/>
    <n v="0"/>
  </r>
  <r>
    <n v="60649002"/>
    <s v="N"/>
    <n v="21369674"/>
    <s v="3000014903820004"/>
    <s v="CIVIL"/>
    <d v="2023-06-13T00:00:00"/>
    <d v="2023-07-13T19:21:05"/>
    <m/>
    <d v="2023-07-13T00:00:00"/>
    <n v="1780"/>
    <n v="19740"/>
    <s v="60649002"/>
    <s v="60649002"/>
    <m/>
    <m/>
    <n v="22678394"/>
    <m/>
    <m/>
    <m/>
    <s v="SOLFIN"/>
    <s v="SOLFIN"/>
    <s v="CCMS"/>
    <n v="21369674"/>
    <n v="6738.11"/>
    <m/>
    <s v="N"/>
    <n v="6"/>
    <d v="2023-07-13T19:21:10"/>
    <s v="Y"/>
    <s v="Psychologist"/>
    <s v="Public Law Children"/>
    <s v="Expert Disbursement"/>
    <s v="RossPsych - Psychological Assessment"/>
    <s v="Y"/>
    <n v="425"/>
    <n v="0"/>
    <x v="11"/>
    <s v="VALIDATED"/>
    <n v="1"/>
    <s v="01.11.80.308.6300.0000"/>
    <n v="425"/>
    <s v="11"/>
    <s v="6300"/>
    <n v="2140.54"/>
    <n v="425"/>
    <s v="CREDITOR"/>
    <n v="0"/>
    <n v="0"/>
    <n v="0"/>
    <n v="0"/>
    <n v="425"/>
  </r>
  <r>
    <n v="60649002"/>
    <s v="N"/>
    <n v="21369674"/>
    <s v="3000014903820004"/>
    <s v="CIVIL"/>
    <d v="2023-06-13T00:00:00"/>
    <d v="2023-07-13T19:21:05"/>
    <m/>
    <d v="2023-07-13T00:00:00"/>
    <n v="1780"/>
    <n v="19740"/>
    <s v="60649002"/>
    <s v="60649002"/>
    <m/>
    <m/>
    <n v="22678394"/>
    <m/>
    <m/>
    <m/>
    <s v="SOLFIN"/>
    <s v="SOLFIN"/>
    <s v="CCMS"/>
    <n v="21369674"/>
    <n v="6738.11"/>
    <m/>
    <s v="N"/>
    <n v="9"/>
    <d v="2023-07-13T19:21:10"/>
    <s v="N"/>
    <s v="Solicitor Travel Mileage"/>
    <s v="Public Law Children"/>
    <s v="Non Expert Disbursement"/>
    <s v="Jean Flanagan"/>
    <s v="N"/>
    <n v="0"/>
    <n v="0"/>
    <x v="11"/>
    <s v="VALIDATED"/>
    <n v="1"/>
    <s v="01.11.80.308.6300.0000"/>
    <n v="0"/>
    <s v="11"/>
    <s v="6300"/>
    <n v="2140.54"/>
    <n v="0"/>
    <s v="CREDITOR"/>
    <n v="0"/>
    <n v="0"/>
    <n v="0"/>
    <n v="0"/>
    <n v="0"/>
  </r>
  <r>
    <n v="61473970"/>
    <s v="N"/>
    <n v="21337991"/>
    <s v="3000015602560012"/>
    <s v="CIVIL"/>
    <d v="2023-06-21T00:00:00"/>
    <d v="2023-07-06T19:21:01"/>
    <m/>
    <d v="2023-07-06T00:00:00"/>
    <n v="1780"/>
    <n v="19740"/>
    <s v="61473970"/>
    <s v="61473970"/>
    <m/>
    <m/>
    <n v="22737520"/>
    <m/>
    <m/>
    <m/>
    <s v="SOLPOA"/>
    <s v="SOLPOA"/>
    <s v="CCMS"/>
    <n v="21337991"/>
    <n v="164.4"/>
    <m/>
    <s v="N"/>
    <n v="1"/>
    <d v="2023-07-06T19:21:11"/>
    <s v="N"/>
    <s v="Expert Cost"/>
    <s v="Expert Cost"/>
    <s v="Expert Disbursement"/>
    <s v="Jean Flanagan"/>
    <s v="N"/>
    <n v="137"/>
    <n v="27.4"/>
    <x v="4"/>
    <s v="VALIDATED"/>
    <n v="1"/>
    <s v="01.11.80.308.2012.0000"/>
    <n v="137"/>
    <s v="11"/>
    <s v="2012"/>
    <n v="2140.54"/>
    <n v="137"/>
    <s v="CREDITOR"/>
    <n v="137"/>
    <n v="0"/>
    <n v="0"/>
    <n v="0"/>
    <n v="0"/>
  </r>
  <r>
    <n v="60649002"/>
    <s v="N"/>
    <n v="21369674"/>
    <s v="3000014903820004"/>
    <s v="CIVIL"/>
    <d v="2023-06-13T00:00:00"/>
    <d v="2023-07-13T19:21:05"/>
    <m/>
    <d v="2023-07-13T00:00:00"/>
    <n v="1780"/>
    <n v="19740"/>
    <s v="60649002"/>
    <s v="60649002"/>
    <m/>
    <m/>
    <n v="22678394"/>
    <m/>
    <m/>
    <m/>
    <s v="SOLFIN"/>
    <s v="SOLFIN"/>
    <s v="CCMS"/>
    <n v="21369674"/>
    <n v="6738.11"/>
    <m/>
    <s v="N"/>
    <n v="18"/>
    <d v="2023-07-13T19:21:10"/>
    <s v="Y"/>
    <s v="Hearing Unit 2.31 - 5.00 Hours"/>
    <s v="Public Law Children"/>
    <s v="Advocacy"/>
    <s v="Melissa Billington"/>
    <s v="Y"/>
    <n v="476.92"/>
    <n v="95.38"/>
    <x v="11"/>
    <s v="VALIDATED"/>
    <n v="1"/>
    <s v="01.11.80.308.6100.0000"/>
    <n v="476.92"/>
    <s v="11"/>
    <s v="6100"/>
    <n v="2140.54"/>
    <n v="476.92"/>
    <s v="CREDITOR"/>
    <n v="0"/>
    <n v="0"/>
    <n v="0"/>
    <n v="0"/>
    <n v="476.92"/>
  </r>
  <r>
    <n v="60649002"/>
    <s v="N"/>
    <n v="21369674"/>
    <s v="3000014903820004"/>
    <s v="CIVIL"/>
    <d v="2023-06-13T00:00:00"/>
    <d v="2023-07-13T19:21:05"/>
    <m/>
    <d v="2023-07-13T00:00:00"/>
    <n v="1780"/>
    <n v="19740"/>
    <s v="60649002"/>
    <s v="60649002"/>
    <m/>
    <m/>
    <n v="22678394"/>
    <m/>
    <m/>
    <m/>
    <s v="SOLFIN"/>
    <s v="SOLFIN"/>
    <s v="CCMS"/>
    <n v="21369674"/>
    <n v="6738.11"/>
    <m/>
    <s v="N"/>
    <n v="5"/>
    <d v="2023-07-13T19:21:10"/>
    <s v="Y"/>
    <s v="DNA - preparation of report"/>
    <s v="Public Law Children"/>
    <s v="Expert Disbursement"/>
    <s v="Anglia DNA - Test and Report"/>
    <s v="Y"/>
    <n v="99.90000000000001"/>
    <n v="19.98"/>
    <x v="11"/>
    <s v="VALIDATED"/>
    <n v="1"/>
    <s v="01.11.80.308.6300.0000"/>
    <n v="99.90000000000001"/>
    <s v="11"/>
    <s v="6300"/>
    <n v="2140.54"/>
    <n v="99.90000000000001"/>
    <s v="CREDITOR"/>
    <n v="0"/>
    <n v="0"/>
    <n v="0"/>
    <n v="0"/>
    <n v="99.90000000000001"/>
  </r>
  <r>
    <n v="60649002"/>
    <s v="N"/>
    <n v="21369674"/>
    <s v="3000014903820004"/>
    <s v="CIVIL"/>
    <d v="2023-06-13T00:00:00"/>
    <d v="2023-07-13T19:21:05"/>
    <m/>
    <d v="2023-07-13T00:00:00"/>
    <n v="1780"/>
    <n v="19740"/>
    <s v="60649002"/>
    <s v="60649002"/>
    <m/>
    <m/>
    <n v="22678394"/>
    <m/>
    <m/>
    <m/>
    <s v="SOLFIN"/>
    <s v="SOLFIN"/>
    <s v="CCMS"/>
    <n v="21369674"/>
    <n v="6738.11"/>
    <m/>
    <s v="N"/>
    <n v="17"/>
    <d v="2023-07-13T19:21:10"/>
    <s v="Y"/>
    <s v="Hearing Unit 2.31 - 5.00 Hours"/>
    <s v="Public Law Children"/>
    <s v="Advocacy"/>
    <s v="Jean Flanagan"/>
    <s v="Y"/>
    <n v="476.92"/>
    <n v="95.38"/>
    <x v="11"/>
    <s v="VALIDATED"/>
    <n v="1"/>
    <s v="01.11.80.308.6100.0000"/>
    <n v="476.92"/>
    <s v="11"/>
    <s v="6100"/>
    <n v="2140.54"/>
    <n v="476.92"/>
    <s v="CREDITOR"/>
    <n v="0"/>
    <n v="0"/>
    <n v="0"/>
    <n v="0"/>
    <n v="476.92"/>
  </r>
  <r>
    <n v="60298951"/>
    <s v="N"/>
    <n v="21318900"/>
    <s v="3000014603020011"/>
    <s v="CIVIL"/>
    <d v="2023-06-20T00:00:00"/>
    <d v="2023-07-03T19:01:49"/>
    <m/>
    <d v="2023-07-03T00:00:00"/>
    <n v="1780"/>
    <n v="19740"/>
    <s v="60298951"/>
    <s v="60298951"/>
    <m/>
    <m/>
    <n v="22726648"/>
    <m/>
    <m/>
    <m/>
    <s v="SOLPOA"/>
    <s v="SOLPOA"/>
    <s v="CCMS"/>
    <n v="21318900"/>
    <n v="129.65"/>
    <m/>
    <s v="N"/>
    <n v="1"/>
    <d v="2023-07-03T19:02:05"/>
    <s v="N"/>
    <s v="Expert Cost"/>
    <s v="Expert Cost"/>
    <s v="Expert Disbursement"/>
    <s v="Jean Flanagan"/>
    <s v="N"/>
    <n v="129.65"/>
    <n v="0"/>
    <x v="3"/>
    <s v="VALIDATED"/>
    <n v="1"/>
    <s v="01.11.80.308.2012.0000"/>
    <n v="129.65"/>
    <s v="11"/>
    <s v="2012"/>
    <n v="2140.54"/>
    <n v="129.65"/>
    <s v="CREDITOR"/>
    <n v="129.65"/>
    <n v="0"/>
    <n v="0"/>
    <n v="0"/>
    <n v="0"/>
  </r>
  <r>
    <n v="60298951"/>
    <s v="N"/>
    <n v="21333982"/>
    <s v="3000014603020011RC"/>
    <s v="CIVIL"/>
    <d v="2023-06-20T00:00:00"/>
    <d v="2023-07-05T19:42:28"/>
    <m/>
    <d v="2023-07-05T00:00:00"/>
    <n v="1780"/>
    <n v="19740"/>
    <s v="60298951"/>
    <s v="60298951"/>
    <m/>
    <m/>
    <m/>
    <m/>
    <m/>
    <m/>
    <s v="SOLRECOUP"/>
    <s v="SOLRECOUP"/>
    <s v="POARECOUP"/>
    <n v="21333982"/>
    <n v="-129.65"/>
    <m/>
    <s v="Y"/>
    <n v="1"/>
    <d v="2023-07-05T19:42:29"/>
    <s v="N"/>
    <m/>
    <m/>
    <s v="Expert Disbursement"/>
    <m/>
    <s v="N"/>
    <n v="-129.65"/>
    <n v="0"/>
    <x v="6"/>
    <s v="VALIDATED"/>
    <n v="1"/>
    <s v="01.11.80.308.2013.0000"/>
    <n v="-129.65"/>
    <s v="11"/>
    <s v="2013"/>
    <n v="2140.54"/>
    <n v="-129.65"/>
    <s v="CREDITOR"/>
    <n v="0"/>
    <n v="0"/>
    <n v="-129.65"/>
    <n v="0"/>
    <n v="0"/>
  </r>
  <r>
    <n v="60298951"/>
    <s v="N"/>
    <n v="21333982"/>
    <s v="3000014603020011RC"/>
    <s v="CIVIL"/>
    <d v="2023-06-20T00:00:00"/>
    <d v="2023-07-05T19:42:28"/>
    <m/>
    <d v="2023-07-05T00:00:00"/>
    <n v="1780"/>
    <n v="19740"/>
    <s v="60298951"/>
    <s v="60298951"/>
    <m/>
    <m/>
    <m/>
    <m/>
    <m/>
    <m/>
    <s v="SOLRECOUP"/>
    <s v="SOLRECOUP"/>
    <s v="POARECOUP"/>
    <n v="21333982"/>
    <n v="-129.65"/>
    <m/>
    <s v="Y"/>
    <n v="2"/>
    <d v="2023-07-05T19:42:29"/>
    <s v="N"/>
    <m/>
    <m/>
    <s v="Expert Disbursement"/>
    <m/>
    <s v="N"/>
    <n v="0"/>
    <n v="0"/>
    <x v="6"/>
    <s v="VALIDATED"/>
    <n v="1"/>
    <s v="01.11.80.000.0000.0000"/>
    <n v="0"/>
    <s v="11"/>
    <s v="0000"/>
    <n v="2140.54"/>
    <n v="0"/>
    <s v="CREDITOR"/>
    <n v="0"/>
    <n v="0"/>
    <n v="0"/>
    <n v="0"/>
    <n v="0"/>
  </r>
  <r>
    <n v="60649002"/>
    <s v="N"/>
    <n v="21371715"/>
    <s v="3000014903820002RC"/>
    <s v="CIVIL"/>
    <d v="2023-06-13T00:00:00"/>
    <d v="2023-07-13T19:53:16"/>
    <m/>
    <d v="2023-07-13T00:00:00"/>
    <n v="1780"/>
    <n v="19740"/>
    <s v="60649002"/>
    <s v="60649002"/>
    <m/>
    <m/>
    <m/>
    <m/>
    <m/>
    <m/>
    <s v="SOLRECOUP"/>
    <s v="SOLRECOUP"/>
    <s v="POARECOUP"/>
    <n v="21371715"/>
    <n v="-3358.08"/>
    <m/>
    <s v="Y"/>
    <n v="1"/>
    <d v="2023-07-13T19:53:17"/>
    <s v="N"/>
    <m/>
    <m/>
    <s v="Profit Cost"/>
    <m/>
    <s v="N"/>
    <n v="-2798.4"/>
    <n v="0"/>
    <x v="11"/>
    <s v="VALIDATED"/>
    <n v="1"/>
    <s v="01.11.80.308.2013.0000"/>
    <n v="-2798.4"/>
    <s v="11"/>
    <s v="2013"/>
    <n v="2140.54"/>
    <n v="-2798.4"/>
    <s v="CREDITOR"/>
    <n v="0"/>
    <n v="0"/>
    <n v="-2798.4"/>
    <n v="-699.6"/>
    <n v="0"/>
  </r>
  <r>
    <n v="60649002"/>
    <s v="N"/>
    <n v="21371715"/>
    <s v="3000014903820002RC"/>
    <s v="CIVIL"/>
    <d v="2023-06-13T00:00:00"/>
    <d v="2023-07-13T19:53:16"/>
    <m/>
    <d v="2023-07-13T00:00:00"/>
    <n v="1780"/>
    <n v="19740"/>
    <s v="60649002"/>
    <s v="60649002"/>
    <m/>
    <m/>
    <m/>
    <m/>
    <m/>
    <m/>
    <s v="SOLRECOUP"/>
    <s v="SOLRECOUP"/>
    <s v="POARECOUP"/>
    <n v="21371715"/>
    <n v="-3358.08"/>
    <m/>
    <s v="Y"/>
    <n v="2"/>
    <d v="2023-07-13T19:53:17"/>
    <s v="N"/>
    <m/>
    <m/>
    <s v="Profit Cost"/>
    <m/>
    <s v="N"/>
    <n v="0"/>
    <n v="-559.6799999999999"/>
    <x v="11"/>
    <s v="VALIDATED"/>
    <n v="1"/>
    <s v="01.11.80.308.2013.0000"/>
    <n v="-559.6799999999999"/>
    <s v="11"/>
    <s v="2013"/>
    <n v="2140.54"/>
    <n v="-559.6799999999999"/>
    <s v="CREDITOR"/>
    <n v="0"/>
    <n v="0"/>
    <n v="-559.6799999999999"/>
    <n v="-139.92"/>
    <n v="0"/>
  </r>
  <r>
    <n v="60649002"/>
    <s v="N"/>
    <n v="21371716"/>
    <s v="3000014903820003RC"/>
    <s v="CIVIL"/>
    <d v="2023-06-13T00:00:00"/>
    <d v="2023-07-13T19:53:16"/>
    <m/>
    <d v="2023-07-13T00:00:00"/>
    <n v="1780"/>
    <n v="19740"/>
    <s v="60649002"/>
    <s v="60649002"/>
    <m/>
    <m/>
    <m/>
    <m/>
    <m/>
    <m/>
    <s v="SOLRECOUP"/>
    <s v="SOLRECOUP"/>
    <s v="POARECOUP"/>
    <n v="21371716"/>
    <n v="-425"/>
    <m/>
    <s v="Y"/>
    <n v="1"/>
    <d v="2023-07-13T19:53:17"/>
    <s v="N"/>
    <m/>
    <m/>
    <s v="Expert Disbursement"/>
    <m/>
    <s v="N"/>
    <n v="-425"/>
    <n v="0"/>
    <x v="11"/>
    <s v="VALIDATED"/>
    <n v="1"/>
    <s v="01.11.80.308.2013.0000"/>
    <n v="-425"/>
    <s v="11"/>
    <s v="2013"/>
    <n v="2140.54"/>
    <n v="-425"/>
    <s v="CREDITOR"/>
    <n v="0"/>
    <n v="0"/>
    <n v="-425"/>
    <n v="0"/>
    <n v="0"/>
  </r>
  <r>
    <n v="60649002"/>
    <s v="N"/>
    <n v="21371716"/>
    <s v="3000014903820003RC"/>
    <s v="CIVIL"/>
    <d v="2023-06-13T00:00:00"/>
    <d v="2023-07-13T19:53:16"/>
    <m/>
    <d v="2023-07-13T00:00:00"/>
    <n v="1780"/>
    <n v="19740"/>
    <s v="60649002"/>
    <s v="60649002"/>
    <m/>
    <m/>
    <m/>
    <m/>
    <m/>
    <m/>
    <s v="SOLRECOUP"/>
    <s v="SOLRECOUP"/>
    <s v="POARECOUP"/>
    <n v="21371716"/>
    <n v="-425"/>
    <m/>
    <s v="Y"/>
    <n v="2"/>
    <d v="2023-07-13T19:53:17"/>
    <s v="N"/>
    <m/>
    <m/>
    <s v="Expert Disbursement"/>
    <m/>
    <s v="N"/>
    <n v="0"/>
    <n v="0"/>
    <x v="11"/>
    <s v="VALIDATED"/>
    <n v="1"/>
    <s v="01.11.80.000.0000.0000"/>
    <n v="0"/>
    <s v="11"/>
    <s v="0000"/>
    <n v="2140.54"/>
    <n v="0"/>
    <s v="CREDITOR"/>
    <n v="0"/>
    <n v="0"/>
    <n v="0"/>
    <n v="0"/>
    <n v="0"/>
  </r>
  <r>
    <n v="60649002"/>
    <s v="N"/>
    <n v="21371717"/>
    <s v="3000014903820001RC"/>
    <s v="CIVIL"/>
    <d v="2023-06-13T00:00:00"/>
    <d v="2023-07-13T19:53:16"/>
    <m/>
    <d v="2023-07-13T00:00:00"/>
    <n v="1780"/>
    <n v="19740"/>
    <s v="60649002"/>
    <s v="60649002"/>
    <m/>
    <m/>
    <m/>
    <m/>
    <m/>
    <m/>
    <s v="SOLRECOUP"/>
    <s v="SOLRECOUP"/>
    <s v="POARECOUP"/>
    <n v="21371717"/>
    <n v="-119.88"/>
    <m/>
    <s v="Y"/>
    <n v="2"/>
    <d v="2023-07-13T19:53:17"/>
    <s v="N"/>
    <m/>
    <m/>
    <s v="Expert Disbursement"/>
    <m/>
    <s v="N"/>
    <n v="0"/>
    <n v="-19.98"/>
    <x v="11"/>
    <s v="VALIDATED"/>
    <n v="1"/>
    <s v="01.11.80.308.2013.0000"/>
    <n v="-19.98"/>
    <s v="11"/>
    <s v="2013"/>
    <n v="2140.54"/>
    <n v="-19.98"/>
    <s v="CREDITOR"/>
    <n v="0"/>
    <n v="0"/>
    <n v="-19.98"/>
    <n v="0"/>
    <n v="0"/>
  </r>
  <r>
    <n v="60649002"/>
    <s v="N"/>
    <n v="21371717"/>
    <s v="3000014903820001RC"/>
    <s v="CIVIL"/>
    <d v="2023-06-13T00:00:00"/>
    <d v="2023-07-13T19:53:16"/>
    <m/>
    <d v="2023-07-13T00:00:00"/>
    <n v="1780"/>
    <n v="19740"/>
    <s v="60649002"/>
    <s v="60649002"/>
    <m/>
    <m/>
    <m/>
    <m/>
    <m/>
    <m/>
    <s v="SOLRECOUP"/>
    <s v="SOLRECOUP"/>
    <s v="POARECOUP"/>
    <n v="21371717"/>
    <n v="-119.88"/>
    <m/>
    <s v="Y"/>
    <n v="1"/>
    <d v="2023-07-13T19:53:17"/>
    <s v="N"/>
    <m/>
    <m/>
    <s v="Expert Disbursement"/>
    <m/>
    <s v="N"/>
    <n v="-99.90000000000001"/>
    <n v="0"/>
    <x v="11"/>
    <s v="VALIDATED"/>
    <n v="1"/>
    <s v="01.11.80.308.2013.0000"/>
    <n v="-99.90000000000001"/>
    <s v="11"/>
    <s v="2013"/>
    <n v="2140.54"/>
    <n v="-99.90000000000001"/>
    <s v="CREDITOR"/>
    <n v="0"/>
    <n v="0"/>
    <n v="-99.90000000000001"/>
    <n v="0"/>
    <n v="0"/>
  </r>
  <r>
    <n v="61062170"/>
    <s v="N"/>
    <n v="21399549"/>
    <s v="3000015259990002RC"/>
    <s v="CIVIL"/>
    <d v="2023-06-30T00:00:00"/>
    <d v="2023-07-19T19:44:15"/>
    <m/>
    <d v="2023-07-19T00:00:00"/>
    <n v="1781"/>
    <n v="19740"/>
    <s v="61062170"/>
    <s v="61062170"/>
    <m/>
    <m/>
    <m/>
    <m/>
    <m/>
    <m/>
    <s v="SOLRECOUP"/>
    <s v="SOLRECOUP"/>
    <s v="POARECOUP"/>
    <n v="21399549"/>
    <n v="-127.2"/>
    <m/>
    <s v="Y"/>
    <n v="2"/>
    <d v="2023-07-19T19:44:16"/>
    <s v="N"/>
    <m/>
    <m/>
    <s v="Expert Disbursement"/>
    <m/>
    <s v="N"/>
    <n v="0"/>
    <n v="-21.2"/>
    <x v="5"/>
    <s v="VALIDATED"/>
    <n v="1"/>
    <s v="01.11.80.308.2013.0000"/>
    <n v="-21.2"/>
    <s v="11"/>
    <s v="2013"/>
    <n v="-127.2"/>
    <n v="-21.2"/>
    <s v="DEBTOR"/>
    <n v="0"/>
    <n v="0"/>
    <n v="0"/>
    <n v="0"/>
    <n v="0"/>
  </r>
  <r>
    <n v="61062170"/>
    <s v="N"/>
    <n v="21399549"/>
    <s v="3000015259990002RC"/>
    <s v="CIVIL"/>
    <d v="2023-06-30T00:00:00"/>
    <d v="2023-07-19T19:44:15"/>
    <m/>
    <d v="2023-07-19T00:00:00"/>
    <n v="1781"/>
    <n v="19740"/>
    <s v="61062170"/>
    <s v="61062170"/>
    <m/>
    <m/>
    <m/>
    <m/>
    <m/>
    <m/>
    <s v="SOLRECOUP"/>
    <s v="SOLRECOUP"/>
    <s v="POARECOUP"/>
    <n v="21399549"/>
    <n v="-127.2"/>
    <m/>
    <s v="Y"/>
    <n v="1"/>
    <d v="2023-07-19T19:44:16"/>
    <s v="N"/>
    <m/>
    <m/>
    <s v="Expert Disbursement"/>
    <m/>
    <s v="N"/>
    <n v="-106"/>
    <n v="0"/>
    <x v="5"/>
    <s v="VALIDATED"/>
    <n v="1"/>
    <s v="01.11.80.308.2013.0000"/>
    <n v="-106"/>
    <s v="11"/>
    <s v="2013"/>
    <n v="-127.2"/>
    <n v="-106"/>
    <s v="DEBTOR"/>
    <n v="0"/>
    <n v="0"/>
    <n v="0"/>
    <n v="0"/>
    <n v="0"/>
  </r>
  <r>
    <n v="61236485"/>
    <s v="N"/>
    <n v="21356735"/>
    <s v="3000015401790015RC"/>
    <s v="CIVIL"/>
    <d v="2023-06-30T00:00:00"/>
    <d v="2023-07-10T19:47:44"/>
    <m/>
    <d v="2023-07-10T00:00:00"/>
    <n v="1783"/>
    <n v="19751"/>
    <s v="61236485"/>
    <s v="61236485"/>
    <m/>
    <m/>
    <m/>
    <m/>
    <m/>
    <m/>
    <s v="SOLRECOUP"/>
    <s v="SOLRECOUP"/>
    <s v="POARECOUP"/>
    <n v="21356735"/>
    <n v="-33.6"/>
    <m/>
    <s v="Y"/>
    <n v="2"/>
    <d v="2023-07-10T19:47:46"/>
    <s v="N"/>
    <m/>
    <m/>
    <s v="Non Expert Disbursement"/>
    <m/>
    <s v="N"/>
    <n v="0"/>
    <n v="-5.6"/>
    <x v="2"/>
    <s v="VALIDATED"/>
    <n v="1"/>
    <s v="01.11.80.308.2013.0000"/>
    <n v="-5.6"/>
    <s v="11"/>
    <s v="2013"/>
    <n v="33277.69"/>
    <n v="-5.6"/>
    <s v="CREDITOR"/>
    <n v="0"/>
    <n v="0"/>
    <n v="-5.6"/>
    <n v="0"/>
    <n v="0"/>
  </r>
  <r>
    <n v="61487226"/>
    <s v="N"/>
    <n v="21356736"/>
    <s v="3000015612790005RC"/>
    <s v="CIVIL"/>
    <d v="2023-06-29T00:00:00"/>
    <d v="2023-07-10T19:47:44"/>
    <m/>
    <d v="2023-07-10T00:00:00"/>
    <n v="1783"/>
    <n v="19751"/>
    <s v="61487226"/>
    <s v="61487226"/>
    <m/>
    <m/>
    <m/>
    <m/>
    <m/>
    <m/>
    <s v="SOLRECOUP"/>
    <s v="SOLRECOUP"/>
    <s v="POARECOUP"/>
    <n v="21356736"/>
    <n v="-196"/>
    <m/>
    <s v="Y"/>
    <n v="1"/>
    <d v="2023-07-10T19:47:46"/>
    <s v="N"/>
    <m/>
    <m/>
    <s v="Non Expert Disbursement"/>
    <m/>
    <s v="N"/>
    <n v="-163.33"/>
    <n v="0"/>
    <x v="2"/>
    <s v="VALIDATED"/>
    <n v="1"/>
    <s v="01.11.80.308.2013.0000"/>
    <n v="-163.33"/>
    <s v="11"/>
    <s v="2013"/>
    <n v="33277.69"/>
    <n v="-163.33"/>
    <s v="CREDITOR"/>
    <n v="0"/>
    <n v="0"/>
    <n v="-163.33"/>
    <n v="0"/>
    <n v="0"/>
  </r>
  <r>
    <n v="61487226"/>
    <s v="N"/>
    <n v="21356736"/>
    <s v="3000015612790005RC"/>
    <s v="CIVIL"/>
    <d v="2023-06-29T00:00:00"/>
    <d v="2023-07-10T19:47:44"/>
    <m/>
    <d v="2023-07-10T00:00:00"/>
    <n v="1783"/>
    <n v="19751"/>
    <s v="61487226"/>
    <s v="61487226"/>
    <m/>
    <m/>
    <m/>
    <m/>
    <m/>
    <m/>
    <s v="SOLRECOUP"/>
    <s v="SOLRECOUP"/>
    <s v="POARECOUP"/>
    <n v="21356736"/>
    <n v="-196"/>
    <m/>
    <s v="Y"/>
    <n v="2"/>
    <d v="2023-07-10T19:47:46"/>
    <s v="N"/>
    <m/>
    <m/>
    <s v="Non Expert Disbursement"/>
    <m/>
    <s v="N"/>
    <n v="0"/>
    <n v="-32.67"/>
    <x v="2"/>
    <s v="VALIDATED"/>
    <n v="1"/>
    <s v="01.11.80.308.2013.0000"/>
    <n v="-32.67"/>
    <s v="11"/>
    <s v="2013"/>
    <n v="33277.69"/>
    <n v="-32.67"/>
    <s v="CREDITOR"/>
    <n v="0"/>
    <n v="0"/>
    <n v="-32.67"/>
    <n v="0"/>
    <n v="0"/>
  </r>
  <r>
    <n v="61236485"/>
    <s v="N"/>
    <n v="21356737"/>
    <s v="3000015401790020RC"/>
    <s v="CIVIL"/>
    <d v="2023-06-30T00:00:00"/>
    <d v="2023-07-10T19:47:44"/>
    <m/>
    <d v="2023-07-10T00:00:00"/>
    <n v="1783"/>
    <n v="19751"/>
    <s v="61236485"/>
    <s v="61236485"/>
    <m/>
    <m/>
    <m/>
    <m/>
    <m/>
    <m/>
    <s v="SOLRECOUP"/>
    <s v="SOLRECOUP"/>
    <s v="POARECOUP"/>
    <n v="21356737"/>
    <n v="-80.25"/>
    <m/>
    <s v="Y"/>
    <n v="1"/>
    <d v="2023-07-10T19:47:46"/>
    <s v="N"/>
    <m/>
    <m/>
    <s v="Non Expert Disbursement"/>
    <m/>
    <s v="N"/>
    <n v="-80.25"/>
    <n v="0"/>
    <x v="2"/>
    <s v="VALIDATED"/>
    <n v="1"/>
    <s v="01.11.80.308.2013.0000"/>
    <n v="-80.25"/>
    <s v="11"/>
    <s v="2013"/>
    <n v="33277.69"/>
    <n v="-80.25"/>
    <s v="CREDITOR"/>
    <n v="0"/>
    <n v="0"/>
    <n v="-80.25"/>
    <n v="0"/>
    <n v="0"/>
  </r>
  <r>
    <n v="61236485"/>
    <s v="N"/>
    <n v="21356737"/>
    <s v="3000015401790020RC"/>
    <s v="CIVIL"/>
    <d v="2023-06-30T00:00:00"/>
    <d v="2023-07-10T19:47:44"/>
    <m/>
    <d v="2023-07-10T00:00:00"/>
    <n v="1783"/>
    <n v="19751"/>
    <s v="61236485"/>
    <s v="61236485"/>
    <m/>
    <m/>
    <m/>
    <m/>
    <m/>
    <m/>
    <s v="SOLRECOUP"/>
    <s v="SOLRECOUP"/>
    <s v="POARECOUP"/>
    <n v="21356737"/>
    <n v="-80.25"/>
    <m/>
    <s v="Y"/>
    <n v="2"/>
    <d v="2023-07-10T19:47:46"/>
    <s v="N"/>
    <m/>
    <m/>
    <s v="Non Expert Disbursement"/>
    <m/>
    <s v="N"/>
    <n v="0"/>
    <n v="0"/>
    <x v="2"/>
    <s v="VALIDATED"/>
    <n v="1"/>
    <s v="01.11.80.000.0000.0000"/>
    <n v="0"/>
    <s v="11"/>
    <s v="0000"/>
    <n v="33277.69"/>
    <n v="0"/>
    <s v="CREDITOR"/>
    <n v="0"/>
    <n v="0"/>
    <n v="0"/>
    <n v="0"/>
    <n v="0"/>
  </r>
  <r>
    <n v="61236485"/>
    <s v="N"/>
    <n v="21356738"/>
    <s v="3000015401790011RC"/>
    <s v="CIVIL"/>
    <d v="2023-06-30T00:00:00"/>
    <d v="2023-07-10T19:47:44"/>
    <m/>
    <d v="2023-07-10T00:00:00"/>
    <n v="1783"/>
    <n v="19751"/>
    <s v="61236485"/>
    <s v="61236485"/>
    <m/>
    <m/>
    <m/>
    <m/>
    <m/>
    <m/>
    <s v="SOLRECOUP"/>
    <s v="SOLRECOUP"/>
    <s v="POARECOUP"/>
    <n v="21356738"/>
    <n v="-33.6"/>
    <m/>
    <s v="Y"/>
    <n v="1"/>
    <d v="2023-07-10T19:47:46"/>
    <s v="N"/>
    <m/>
    <m/>
    <s v="Non Expert Disbursement"/>
    <m/>
    <s v="N"/>
    <n v="-28"/>
    <n v="0"/>
    <x v="2"/>
    <s v="VALIDATED"/>
    <n v="1"/>
    <s v="01.11.80.308.2013.0000"/>
    <n v="-28"/>
    <s v="11"/>
    <s v="2013"/>
    <n v="33277.69"/>
    <n v="-28"/>
    <s v="CREDITOR"/>
    <n v="0"/>
    <n v="0"/>
    <n v="-28"/>
    <n v="0"/>
    <n v="0"/>
  </r>
  <r>
    <n v="61236485"/>
    <s v="N"/>
    <n v="21356738"/>
    <s v="3000015401790011RC"/>
    <s v="CIVIL"/>
    <d v="2023-06-30T00:00:00"/>
    <d v="2023-07-10T19:47:44"/>
    <m/>
    <d v="2023-07-10T00:00:00"/>
    <n v="1783"/>
    <n v="19751"/>
    <s v="61236485"/>
    <s v="61236485"/>
    <m/>
    <m/>
    <m/>
    <m/>
    <m/>
    <m/>
    <s v="SOLRECOUP"/>
    <s v="SOLRECOUP"/>
    <s v="POARECOUP"/>
    <n v="21356738"/>
    <n v="-33.6"/>
    <m/>
    <s v="Y"/>
    <n v="2"/>
    <d v="2023-07-10T19:47:46"/>
    <s v="N"/>
    <m/>
    <m/>
    <s v="Non Expert Disbursement"/>
    <m/>
    <s v="N"/>
    <n v="0"/>
    <n v="-5.6"/>
    <x v="2"/>
    <s v="VALIDATED"/>
    <n v="1"/>
    <s v="01.11.80.308.2013.0000"/>
    <n v="-5.6"/>
    <s v="11"/>
    <s v="2013"/>
    <n v="33277.69"/>
    <n v="-5.6"/>
    <s v="CREDITOR"/>
    <n v="0"/>
    <n v="0"/>
    <n v="-5.6"/>
    <n v="0"/>
    <n v="0"/>
  </r>
  <r>
    <n v="61236485"/>
    <s v="N"/>
    <n v="21356739"/>
    <s v="3000015401790022RC"/>
    <s v="CIVIL"/>
    <d v="2023-06-30T00:00:00"/>
    <d v="2023-07-10T19:47:44"/>
    <m/>
    <d v="2023-07-10T00:00:00"/>
    <n v="1783"/>
    <n v="19751"/>
    <s v="61236485"/>
    <s v="61236485"/>
    <m/>
    <m/>
    <m/>
    <m/>
    <m/>
    <m/>
    <s v="SOLRECOUP"/>
    <s v="SOLRECOUP"/>
    <s v="POARECOUP"/>
    <n v="21356739"/>
    <n v="-171.55"/>
    <m/>
    <s v="Y"/>
    <n v="1"/>
    <d v="2023-07-10T19:47:46"/>
    <s v="N"/>
    <m/>
    <m/>
    <s v="Non Expert Disbursement"/>
    <m/>
    <s v="N"/>
    <n v="-171.55"/>
    <n v="0"/>
    <x v="2"/>
    <s v="VALIDATED"/>
    <n v="1"/>
    <s v="01.11.80.308.2013.0000"/>
    <n v="-171.55"/>
    <s v="11"/>
    <s v="2013"/>
    <n v="33277.69"/>
    <n v="-171.55"/>
    <s v="CREDITOR"/>
    <n v="0"/>
    <n v="0"/>
    <n v="-171.55"/>
    <n v="0"/>
    <n v="0"/>
  </r>
  <r>
    <n v="61236485"/>
    <s v="N"/>
    <n v="21356739"/>
    <s v="3000015401790022RC"/>
    <s v="CIVIL"/>
    <d v="2023-06-30T00:00:00"/>
    <d v="2023-07-10T19:47:44"/>
    <m/>
    <d v="2023-07-10T00:00:00"/>
    <n v="1783"/>
    <n v="19751"/>
    <s v="61236485"/>
    <s v="61236485"/>
    <m/>
    <m/>
    <m/>
    <m/>
    <m/>
    <m/>
    <s v="SOLRECOUP"/>
    <s v="SOLRECOUP"/>
    <s v="POARECOUP"/>
    <n v="21356739"/>
    <n v="-171.55"/>
    <m/>
    <s v="Y"/>
    <n v="2"/>
    <d v="2023-07-10T19:47:46"/>
    <s v="N"/>
    <m/>
    <m/>
    <s v="Non Expert Disbursement"/>
    <m/>
    <s v="N"/>
    <n v="0"/>
    <n v="0"/>
    <x v="2"/>
    <s v="VALIDATED"/>
    <n v="1"/>
    <s v="01.11.80.000.0000.0000"/>
    <n v="0"/>
    <s v="11"/>
    <s v="0000"/>
    <n v="33277.69"/>
    <n v="0"/>
    <s v="CREDITOR"/>
    <n v="0"/>
    <n v="0"/>
    <n v="0"/>
    <n v="0"/>
    <n v="0"/>
  </r>
  <r>
    <n v="61236485"/>
    <s v="N"/>
    <n v="21356740"/>
    <s v="3000015401790023RC"/>
    <s v="CIVIL"/>
    <d v="2023-06-30T00:00:00"/>
    <d v="2023-07-10T19:47:44"/>
    <m/>
    <d v="2023-07-10T00:00:00"/>
    <n v="1783"/>
    <n v="19751"/>
    <s v="61236485"/>
    <s v="61236485"/>
    <m/>
    <m/>
    <m/>
    <m/>
    <m/>
    <m/>
    <s v="SOLRECOUP"/>
    <s v="SOLRECOUP"/>
    <s v="POARECOUP"/>
    <n v="21356740"/>
    <n v="-33.6"/>
    <m/>
    <s v="Y"/>
    <n v="1"/>
    <d v="2023-07-10T19:47:46"/>
    <s v="N"/>
    <m/>
    <m/>
    <s v="Non Expert Disbursement"/>
    <m/>
    <s v="N"/>
    <n v="-33.6"/>
    <n v="0"/>
    <x v="2"/>
    <s v="VALIDATED"/>
    <n v="1"/>
    <s v="01.11.80.308.2013.0000"/>
    <n v="-33.6"/>
    <s v="11"/>
    <s v="2013"/>
    <n v="33277.69"/>
    <n v="-33.6"/>
    <s v="CREDITOR"/>
    <n v="0"/>
    <n v="0"/>
    <n v="-33.6"/>
    <n v="0"/>
    <n v="0"/>
  </r>
  <r>
    <n v="61236485"/>
    <s v="N"/>
    <n v="21356740"/>
    <s v="3000015401790023RC"/>
    <s v="CIVIL"/>
    <d v="2023-06-30T00:00:00"/>
    <d v="2023-07-10T19:47:44"/>
    <m/>
    <d v="2023-07-10T00:00:00"/>
    <n v="1783"/>
    <n v="19751"/>
    <s v="61236485"/>
    <s v="61236485"/>
    <m/>
    <m/>
    <m/>
    <m/>
    <m/>
    <m/>
    <s v="SOLRECOUP"/>
    <s v="SOLRECOUP"/>
    <s v="POARECOUP"/>
    <n v="21356740"/>
    <n v="-33.6"/>
    <m/>
    <s v="Y"/>
    <n v="2"/>
    <d v="2023-07-10T19:47:46"/>
    <s v="N"/>
    <m/>
    <m/>
    <s v="Non Expert Disbursement"/>
    <m/>
    <s v="N"/>
    <n v="0"/>
    <n v="0"/>
    <x v="2"/>
    <s v="VALIDATED"/>
    <n v="1"/>
    <s v="01.11.80.000.0000.0000"/>
    <n v="0"/>
    <s v="11"/>
    <s v="0000"/>
    <n v="33277.69"/>
    <n v="0"/>
    <s v="CREDITOR"/>
    <n v="0"/>
    <n v="0"/>
    <n v="0"/>
    <n v="0"/>
    <n v="0"/>
  </r>
  <r>
    <n v="61236485"/>
    <s v="N"/>
    <n v="21356741"/>
    <s v="3000015401790013RC"/>
    <s v="CIVIL"/>
    <d v="2023-06-30T00:00:00"/>
    <d v="2023-07-10T19:47:44"/>
    <m/>
    <d v="2023-07-10T00:00:00"/>
    <n v="1783"/>
    <n v="19751"/>
    <s v="61236485"/>
    <s v="61236485"/>
    <m/>
    <m/>
    <m/>
    <m/>
    <m/>
    <m/>
    <s v="SOLRECOUP"/>
    <s v="SOLRECOUP"/>
    <s v="POARECOUP"/>
    <n v="21356741"/>
    <n v="-33.6"/>
    <m/>
    <s v="Y"/>
    <n v="1"/>
    <d v="2023-07-10T19:47:46"/>
    <s v="N"/>
    <m/>
    <m/>
    <s v="Non Expert Disbursement"/>
    <m/>
    <s v="N"/>
    <n v="-28"/>
    <n v="0"/>
    <x v="2"/>
    <s v="VALIDATED"/>
    <n v="1"/>
    <s v="01.11.80.308.2013.0000"/>
    <n v="-28"/>
    <s v="11"/>
    <s v="2013"/>
    <n v="33277.69"/>
    <n v="-28"/>
    <s v="CREDITOR"/>
    <n v="0"/>
    <n v="0"/>
    <n v="-28"/>
    <n v="0"/>
    <n v="0"/>
  </r>
  <r>
    <n v="61236485"/>
    <s v="N"/>
    <n v="21356741"/>
    <s v="3000015401790013RC"/>
    <s v="CIVIL"/>
    <d v="2023-06-30T00:00:00"/>
    <d v="2023-07-10T19:47:44"/>
    <m/>
    <d v="2023-07-10T00:00:00"/>
    <n v="1783"/>
    <n v="19751"/>
    <s v="61236485"/>
    <s v="61236485"/>
    <m/>
    <m/>
    <m/>
    <m/>
    <m/>
    <m/>
    <s v="SOLRECOUP"/>
    <s v="SOLRECOUP"/>
    <s v="POARECOUP"/>
    <n v="21356741"/>
    <n v="-33.6"/>
    <m/>
    <s v="Y"/>
    <n v="2"/>
    <d v="2023-07-10T19:47:46"/>
    <s v="N"/>
    <m/>
    <m/>
    <s v="Non Expert Disbursement"/>
    <m/>
    <s v="N"/>
    <n v="0"/>
    <n v="-5.6"/>
    <x v="2"/>
    <s v="VALIDATED"/>
    <n v="1"/>
    <s v="01.11.80.308.2013.0000"/>
    <n v="-5.6"/>
    <s v="11"/>
    <s v="2013"/>
    <n v="33277.69"/>
    <n v="-5.6"/>
    <s v="CREDITOR"/>
    <n v="0"/>
    <n v="0"/>
    <n v="-5.6"/>
    <n v="0"/>
    <n v="0"/>
  </r>
  <r>
    <n v="61313239"/>
    <s v="N"/>
    <n v="21346476"/>
    <s v="3000015467670006RC"/>
    <s v="CIVIL"/>
    <d v="2023-06-27T00:00:00"/>
    <d v="2023-07-07T19:34:21"/>
    <m/>
    <d v="2023-07-07T00:00:00"/>
    <n v="1783"/>
    <n v="19751"/>
    <s v="61313239"/>
    <s v="61313239"/>
    <m/>
    <m/>
    <m/>
    <m/>
    <m/>
    <m/>
    <s v="SOLRECOUP"/>
    <s v="SOLRECOUP"/>
    <s v="POARECOUP"/>
    <n v="21346476"/>
    <n v="-1686.52"/>
    <m/>
    <s v="Y"/>
    <n v="1"/>
    <d v="2023-07-07T19:34:23"/>
    <s v="N"/>
    <m/>
    <m/>
    <s v="Profit Cost"/>
    <m/>
    <s v="N"/>
    <n v="-1405.43"/>
    <n v="0"/>
    <x v="9"/>
    <s v="VALIDATED"/>
    <n v="1"/>
    <s v="01.11.80.308.2013.0000"/>
    <n v="-1405.43"/>
    <s v="11"/>
    <s v="2013"/>
    <n v="33277.69"/>
    <n v="-1405.43"/>
    <s v="CREDITOR"/>
    <n v="0"/>
    <n v="0"/>
    <n v="-1405.43"/>
    <n v="-351.3575"/>
    <n v="0"/>
  </r>
  <r>
    <n v="61313239"/>
    <s v="N"/>
    <n v="21346476"/>
    <s v="3000015467670006RC"/>
    <s v="CIVIL"/>
    <d v="2023-06-27T00:00:00"/>
    <d v="2023-07-07T19:34:21"/>
    <m/>
    <d v="2023-07-07T00:00:00"/>
    <n v="1783"/>
    <n v="19751"/>
    <s v="61313239"/>
    <s v="61313239"/>
    <m/>
    <m/>
    <m/>
    <m/>
    <m/>
    <m/>
    <s v="SOLRECOUP"/>
    <s v="SOLRECOUP"/>
    <s v="POARECOUP"/>
    <n v="21346476"/>
    <n v="-1686.52"/>
    <m/>
    <s v="Y"/>
    <n v="2"/>
    <d v="2023-07-07T19:34:23"/>
    <s v="N"/>
    <m/>
    <m/>
    <s v="Profit Cost"/>
    <m/>
    <s v="N"/>
    <n v="0"/>
    <n v="-281.09"/>
    <x v="9"/>
    <s v="VALIDATED"/>
    <n v="1"/>
    <s v="01.11.80.308.2013.0000"/>
    <n v="-281.09"/>
    <s v="11"/>
    <s v="2013"/>
    <n v="33277.69"/>
    <n v="-281.09"/>
    <s v="CREDITOR"/>
    <n v="0"/>
    <n v="0"/>
    <n v="-281.09"/>
    <n v="-70.27249999999999"/>
    <n v="0"/>
  </r>
  <r>
    <n v="61715150"/>
    <s v="N"/>
    <n v="21346477"/>
    <s v="3000015794730002RC"/>
    <s v="CIVIL"/>
    <d v="2023-06-29T00:00:00"/>
    <d v="2023-07-07T19:34:21"/>
    <m/>
    <d v="2023-07-07T00:00:00"/>
    <n v="1783"/>
    <n v="19751"/>
    <s v="61715150"/>
    <s v="61715150"/>
    <m/>
    <m/>
    <m/>
    <m/>
    <m/>
    <m/>
    <s v="SOLRECOUP"/>
    <s v="SOLRECOUP"/>
    <s v="POARECOUP"/>
    <n v="21346477"/>
    <n v="-1269.92"/>
    <m/>
    <s v="Y"/>
    <n v="1"/>
    <d v="2023-07-07T19:34:23"/>
    <s v="N"/>
    <m/>
    <m/>
    <s v="Profit Cost"/>
    <m/>
    <s v="N"/>
    <n v="-1058.27"/>
    <n v="0"/>
    <x v="9"/>
    <s v="VALIDATED"/>
    <n v="1"/>
    <s v="01.11.80.305.2013.0000"/>
    <n v="-1058.27"/>
    <s v="11"/>
    <s v="2013"/>
    <n v="33277.69"/>
    <n v="-1058.27"/>
    <s v="CREDITOR"/>
    <n v="0"/>
    <n v="0"/>
    <n v="-1058.27"/>
    <n v="-264.5675"/>
    <n v="0"/>
  </r>
  <r>
    <n v="61715150"/>
    <s v="N"/>
    <n v="21346477"/>
    <s v="3000015794730002RC"/>
    <s v="CIVIL"/>
    <d v="2023-06-29T00:00:00"/>
    <d v="2023-07-07T19:34:21"/>
    <m/>
    <d v="2023-07-07T00:00:00"/>
    <n v="1783"/>
    <n v="19751"/>
    <s v="61715150"/>
    <s v="61715150"/>
    <m/>
    <m/>
    <m/>
    <m/>
    <m/>
    <m/>
    <s v="SOLRECOUP"/>
    <s v="SOLRECOUP"/>
    <s v="POARECOUP"/>
    <n v="21346477"/>
    <n v="-1269.92"/>
    <m/>
    <s v="Y"/>
    <n v="2"/>
    <d v="2023-07-07T19:34:23"/>
    <s v="N"/>
    <m/>
    <m/>
    <s v="Profit Cost"/>
    <m/>
    <s v="N"/>
    <n v="0"/>
    <n v="-211.65"/>
    <x v="9"/>
    <s v="VALIDATED"/>
    <n v="1"/>
    <s v="01.11.80.305.2013.0000"/>
    <n v="-211.65"/>
    <s v="11"/>
    <s v="2013"/>
    <n v="33277.69"/>
    <n v="-211.65"/>
    <s v="CREDITOR"/>
    <n v="0"/>
    <n v="0"/>
    <n v="-211.65"/>
    <n v="-52.9125"/>
    <n v="0"/>
  </r>
  <r>
    <n v="61313239"/>
    <s v="N"/>
    <n v="21346478"/>
    <s v="3000015467670002RC"/>
    <s v="CIVIL"/>
    <d v="2023-06-27T00:00:00"/>
    <d v="2023-07-07T19:34:21"/>
    <m/>
    <d v="2023-07-07T00:00:00"/>
    <n v="1783"/>
    <n v="19751"/>
    <s v="61313239"/>
    <s v="61313239"/>
    <m/>
    <m/>
    <m/>
    <m/>
    <m/>
    <m/>
    <s v="SOLRECOUP"/>
    <s v="SOLRECOUP"/>
    <s v="POARECOUP"/>
    <n v="21346478"/>
    <n v="-152.32"/>
    <m/>
    <s v="Y"/>
    <n v="1"/>
    <d v="2023-07-07T19:34:23"/>
    <s v="N"/>
    <m/>
    <m/>
    <s v="Non Expert Disbursement"/>
    <m/>
    <s v="N"/>
    <n v="-126.93"/>
    <n v="0"/>
    <x v="9"/>
    <s v="VALIDATED"/>
    <n v="1"/>
    <s v="01.11.80.308.2013.0000"/>
    <n v="-126.93"/>
    <s v="11"/>
    <s v="2013"/>
    <n v="33277.69"/>
    <n v="-126.93"/>
    <s v="CREDITOR"/>
    <n v="0"/>
    <n v="0"/>
    <n v="-126.93"/>
    <n v="0"/>
    <n v="0"/>
  </r>
  <r>
    <n v="61313239"/>
    <s v="N"/>
    <n v="21346478"/>
    <s v="3000015467670002RC"/>
    <s v="CIVIL"/>
    <d v="2023-06-27T00:00:00"/>
    <d v="2023-07-07T19:34:21"/>
    <m/>
    <d v="2023-07-07T00:00:00"/>
    <n v="1783"/>
    <n v="19751"/>
    <s v="61313239"/>
    <s v="61313239"/>
    <m/>
    <m/>
    <m/>
    <m/>
    <m/>
    <m/>
    <s v="SOLRECOUP"/>
    <s v="SOLRECOUP"/>
    <s v="POARECOUP"/>
    <n v="21346478"/>
    <n v="-152.32"/>
    <m/>
    <s v="Y"/>
    <n v="2"/>
    <d v="2023-07-07T19:34:23"/>
    <s v="N"/>
    <m/>
    <m/>
    <s v="Non Expert Disbursement"/>
    <m/>
    <s v="N"/>
    <n v="0"/>
    <n v="-25.39"/>
    <x v="9"/>
    <s v="VALIDATED"/>
    <n v="1"/>
    <s v="01.11.80.308.2013.0000"/>
    <n v="-25.39"/>
    <s v="11"/>
    <s v="2013"/>
    <n v="33277.69"/>
    <n v="-25.39"/>
    <s v="CREDITOR"/>
    <n v="0"/>
    <n v="0"/>
    <n v="-25.39"/>
    <n v="0"/>
    <n v="0"/>
  </r>
  <r>
    <n v="61313239"/>
    <s v="N"/>
    <n v="21346479"/>
    <s v="3000015467670003RC"/>
    <s v="CIVIL"/>
    <d v="2023-06-27T00:00:00"/>
    <d v="2023-07-07T19:34:21"/>
    <m/>
    <d v="2023-07-07T00:00:00"/>
    <n v="1783"/>
    <n v="19751"/>
    <s v="61313239"/>
    <s v="61313239"/>
    <m/>
    <m/>
    <m/>
    <m/>
    <m/>
    <m/>
    <s v="SOLRECOUP"/>
    <s v="SOLRECOUP"/>
    <s v="POARECOUP"/>
    <n v="21346479"/>
    <n v="-4254.46"/>
    <m/>
    <s v="Y"/>
    <n v="1"/>
    <d v="2023-07-07T19:34:23"/>
    <s v="N"/>
    <m/>
    <m/>
    <s v="Profit Cost"/>
    <m/>
    <s v="N"/>
    <n v="-3545.38"/>
    <n v="0"/>
    <x v="9"/>
    <s v="VALIDATED"/>
    <n v="1"/>
    <s v="01.11.80.308.2013.0000"/>
    <n v="-3545.38"/>
    <s v="11"/>
    <s v="2013"/>
    <n v="33277.69"/>
    <n v="-3545.38"/>
    <s v="CREDITOR"/>
    <n v="0"/>
    <n v="0"/>
    <n v="-3545.38"/>
    <n v="-886.345"/>
    <n v="0"/>
  </r>
  <r>
    <n v="61313239"/>
    <s v="N"/>
    <n v="21346479"/>
    <s v="3000015467670003RC"/>
    <s v="CIVIL"/>
    <d v="2023-06-27T00:00:00"/>
    <d v="2023-07-07T19:34:21"/>
    <m/>
    <d v="2023-07-07T00:00:00"/>
    <n v="1783"/>
    <n v="19751"/>
    <s v="61313239"/>
    <s v="61313239"/>
    <m/>
    <m/>
    <m/>
    <m/>
    <m/>
    <m/>
    <s v="SOLRECOUP"/>
    <s v="SOLRECOUP"/>
    <s v="POARECOUP"/>
    <n v="21346479"/>
    <n v="-4254.46"/>
    <m/>
    <s v="Y"/>
    <n v="2"/>
    <d v="2023-07-07T19:34:23"/>
    <s v="N"/>
    <m/>
    <m/>
    <s v="Profit Cost"/>
    <m/>
    <s v="N"/>
    <n v="0"/>
    <n v="-709.08"/>
    <x v="9"/>
    <s v="VALIDATED"/>
    <n v="1"/>
    <s v="01.11.80.308.2013.0000"/>
    <n v="-709.08"/>
    <s v="11"/>
    <s v="2013"/>
    <n v="33277.69"/>
    <n v="-709.08"/>
    <s v="CREDITOR"/>
    <n v="0"/>
    <n v="0"/>
    <n v="-709.08"/>
    <n v="-177.27"/>
    <n v="0"/>
  </r>
  <r>
    <n v="61313239"/>
    <s v="N"/>
    <n v="21346480"/>
    <s v="3000015467670009RC"/>
    <s v="CIVIL"/>
    <d v="2023-06-27T00:00:00"/>
    <d v="2023-07-07T19:34:21"/>
    <m/>
    <d v="2023-07-07T00:00:00"/>
    <n v="1783"/>
    <n v="19751"/>
    <s v="61313239"/>
    <s v="61313239"/>
    <m/>
    <m/>
    <m/>
    <m/>
    <m/>
    <m/>
    <s v="SOLRECOUP"/>
    <s v="SOLRECOUP"/>
    <s v="POARECOUP"/>
    <n v="21346480"/>
    <n v="-1377.64"/>
    <m/>
    <s v="Y"/>
    <n v="1"/>
    <d v="2023-07-07T19:34:23"/>
    <s v="N"/>
    <m/>
    <m/>
    <s v="Profit Cost"/>
    <m/>
    <s v="N"/>
    <n v="-1148.03"/>
    <n v="0"/>
    <x v="9"/>
    <s v="VALIDATED"/>
    <n v="1"/>
    <s v="01.11.80.308.2013.0000"/>
    <n v="-1148.03"/>
    <s v="11"/>
    <s v="2013"/>
    <n v="33277.69"/>
    <n v="-1148.03"/>
    <s v="CREDITOR"/>
    <n v="0"/>
    <n v="0"/>
    <n v="-1148.03"/>
    <n v="-287.0075"/>
    <n v="0"/>
  </r>
  <r>
    <n v="61313239"/>
    <s v="N"/>
    <n v="21346480"/>
    <s v="3000015467670009RC"/>
    <s v="CIVIL"/>
    <d v="2023-06-27T00:00:00"/>
    <d v="2023-07-07T19:34:21"/>
    <m/>
    <d v="2023-07-07T00:00:00"/>
    <n v="1783"/>
    <n v="19751"/>
    <s v="61313239"/>
    <s v="61313239"/>
    <m/>
    <m/>
    <m/>
    <m/>
    <m/>
    <m/>
    <s v="SOLRECOUP"/>
    <s v="SOLRECOUP"/>
    <s v="POARECOUP"/>
    <n v="21346480"/>
    <n v="-1377.64"/>
    <m/>
    <s v="Y"/>
    <n v="2"/>
    <d v="2023-07-07T19:34:23"/>
    <s v="N"/>
    <m/>
    <m/>
    <s v="Profit Cost"/>
    <m/>
    <s v="N"/>
    <n v="0"/>
    <n v="-229.61"/>
    <x v="9"/>
    <s v="VALIDATED"/>
    <n v="1"/>
    <s v="01.11.80.308.2013.0000"/>
    <n v="-229.61"/>
    <s v="11"/>
    <s v="2013"/>
    <n v="33277.69"/>
    <n v="-229.61"/>
    <s v="CREDITOR"/>
    <n v="0"/>
    <n v="0"/>
    <n v="-229.61"/>
    <n v="-57.4025"/>
    <n v="0"/>
  </r>
  <r>
    <n v="61236485"/>
    <s v="N"/>
    <n v="21356713"/>
    <s v="3000015401790008RC"/>
    <s v="CIVIL"/>
    <d v="2023-06-30T00:00:00"/>
    <d v="2023-07-10T19:47:44"/>
    <m/>
    <d v="2023-07-10T00:00:00"/>
    <n v="1783"/>
    <n v="19751"/>
    <s v="61236485"/>
    <s v="61236485"/>
    <m/>
    <m/>
    <m/>
    <m/>
    <m/>
    <m/>
    <s v="SOLRECOUP"/>
    <s v="SOLRECOUP"/>
    <s v="POARECOUP"/>
    <n v="21356713"/>
    <n v="-33.6"/>
    <m/>
    <s v="Y"/>
    <n v="1"/>
    <d v="2023-07-10T19:47:46"/>
    <s v="N"/>
    <m/>
    <m/>
    <s v="Non Expert Disbursement"/>
    <m/>
    <s v="N"/>
    <n v="-28"/>
    <n v="0"/>
    <x v="2"/>
    <s v="VALIDATED"/>
    <n v="1"/>
    <s v="01.11.80.308.2013.0000"/>
    <n v="-28"/>
    <s v="11"/>
    <s v="2013"/>
    <n v="33277.69"/>
    <n v="-28"/>
    <s v="CREDITOR"/>
    <n v="0"/>
    <n v="0"/>
    <n v="-28"/>
    <n v="0"/>
    <n v="0"/>
  </r>
  <r>
    <n v="61236485"/>
    <s v="N"/>
    <n v="21356713"/>
    <s v="3000015401790008RC"/>
    <s v="CIVIL"/>
    <d v="2023-06-30T00:00:00"/>
    <d v="2023-07-10T19:47:44"/>
    <m/>
    <d v="2023-07-10T00:00:00"/>
    <n v="1783"/>
    <n v="19751"/>
    <s v="61236485"/>
    <s v="61236485"/>
    <m/>
    <m/>
    <m/>
    <m/>
    <m/>
    <m/>
    <s v="SOLRECOUP"/>
    <s v="SOLRECOUP"/>
    <s v="POARECOUP"/>
    <n v="21356713"/>
    <n v="-33.6"/>
    <m/>
    <s v="Y"/>
    <n v="2"/>
    <d v="2023-07-10T19:47:46"/>
    <s v="N"/>
    <m/>
    <m/>
    <s v="Non Expert Disbursement"/>
    <m/>
    <s v="N"/>
    <n v="0"/>
    <n v="-5.6"/>
    <x v="2"/>
    <s v="VALIDATED"/>
    <n v="1"/>
    <s v="01.11.80.308.2013.0000"/>
    <n v="-5.6"/>
    <s v="11"/>
    <s v="2013"/>
    <n v="33277.69"/>
    <n v="-5.6"/>
    <s v="CREDITOR"/>
    <n v="0"/>
    <n v="0"/>
    <n v="-5.6"/>
    <n v="0"/>
    <n v="0"/>
  </r>
  <r>
    <n v="61236485"/>
    <s v="N"/>
    <n v="21356714"/>
    <s v="3000015401790017RC"/>
    <s v="CIVIL"/>
    <d v="2023-06-30T00:00:00"/>
    <d v="2023-07-10T19:47:44"/>
    <m/>
    <d v="2023-07-10T00:00:00"/>
    <n v="1783"/>
    <n v="19751"/>
    <s v="61236485"/>
    <s v="61236485"/>
    <m/>
    <m/>
    <m/>
    <m/>
    <m/>
    <m/>
    <s v="SOLRECOUP"/>
    <s v="SOLRECOUP"/>
    <s v="POARECOUP"/>
    <n v="21356714"/>
    <n v="-33.6"/>
    <m/>
    <s v="Y"/>
    <n v="1"/>
    <d v="2023-07-10T19:47:46"/>
    <s v="N"/>
    <m/>
    <m/>
    <s v="Non Expert Disbursement"/>
    <m/>
    <s v="N"/>
    <n v="-28"/>
    <n v="0"/>
    <x v="2"/>
    <s v="VALIDATED"/>
    <n v="1"/>
    <s v="01.11.80.308.2013.0000"/>
    <n v="-28"/>
    <s v="11"/>
    <s v="2013"/>
    <n v="33277.69"/>
    <n v="-28"/>
    <s v="CREDITOR"/>
    <n v="0"/>
    <n v="0"/>
    <n v="-28"/>
    <n v="0"/>
    <n v="0"/>
  </r>
  <r>
    <n v="61236485"/>
    <s v="N"/>
    <n v="21356714"/>
    <s v="3000015401790017RC"/>
    <s v="CIVIL"/>
    <d v="2023-06-30T00:00:00"/>
    <d v="2023-07-10T19:47:44"/>
    <m/>
    <d v="2023-07-10T00:00:00"/>
    <n v="1783"/>
    <n v="19751"/>
    <s v="61236485"/>
    <s v="61236485"/>
    <m/>
    <m/>
    <m/>
    <m/>
    <m/>
    <m/>
    <s v="SOLRECOUP"/>
    <s v="SOLRECOUP"/>
    <s v="POARECOUP"/>
    <n v="21356714"/>
    <n v="-33.6"/>
    <m/>
    <s v="Y"/>
    <n v="2"/>
    <d v="2023-07-10T19:47:46"/>
    <s v="N"/>
    <m/>
    <m/>
    <s v="Non Expert Disbursement"/>
    <m/>
    <s v="N"/>
    <n v="0"/>
    <n v="-5.6"/>
    <x v="2"/>
    <s v="VALIDATED"/>
    <n v="1"/>
    <s v="01.11.80.308.2013.0000"/>
    <n v="-5.6"/>
    <s v="11"/>
    <s v="2013"/>
    <n v="33277.69"/>
    <n v="-5.6"/>
    <s v="CREDITOR"/>
    <n v="0"/>
    <n v="0"/>
    <n v="-5.6"/>
    <n v="0"/>
    <n v="0"/>
  </r>
  <r>
    <n v="61236485"/>
    <s v="N"/>
    <n v="21356715"/>
    <s v="3000015401790018RC"/>
    <s v="CIVIL"/>
    <d v="2023-06-30T00:00:00"/>
    <d v="2023-07-10T19:47:44"/>
    <m/>
    <d v="2023-07-10T00:00:00"/>
    <n v="1783"/>
    <n v="19751"/>
    <s v="61236485"/>
    <s v="61236485"/>
    <m/>
    <m/>
    <m/>
    <m/>
    <m/>
    <m/>
    <s v="SOLRECOUP"/>
    <s v="SOLRECOUP"/>
    <s v="POARECOUP"/>
    <n v="21356715"/>
    <n v="-130.65"/>
    <m/>
    <s v="Y"/>
    <n v="1"/>
    <d v="2023-07-10T19:47:46"/>
    <s v="N"/>
    <m/>
    <m/>
    <s v="Non Expert Disbursement"/>
    <m/>
    <s v="N"/>
    <n v="-130.65"/>
    <n v="0"/>
    <x v="2"/>
    <s v="VALIDATED"/>
    <n v="1"/>
    <s v="01.11.80.308.2013.0000"/>
    <n v="-130.65"/>
    <s v="11"/>
    <s v="2013"/>
    <n v="33277.69"/>
    <n v="-130.65"/>
    <s v="CREDITOR"/>
    <n v="0"/>
    <n v="0"/>
    <n v="-130.65"/>
    <n v="0"/>
    <n v="0"/>
  </r>
  <r>
    <n v="61236485"/>
    <s v="N"/>
    <n v="21356715"/>
    <s v="3000015401790018RC"/>
    <s v="CIVIL"/>
    <d v="2023-06-30T00:00:00"/>
    <d v="2023-07-10T19:47:44"/>
    <m/>
    <d v="2023-07-10T00:00:00"/>
    <n v="1783"/>
    <n v="19751"/>
    <s v="61236485"/>
    <s v="61236485"/>
    <m/>
    <m/>
    <m/>
    <m/>
    <m/>
    <m/>
    <s v="SOLRECOUP"/>
    <s v="SOLRECOUP"/>
    <s v="POARECOUP"/>
    <n v="21356715"/>
    <n v="-130.65"/>
    <m/>
    <s v="Y"/>
    <n v="2"/>
    <d v="2023-07-10T19:47:46"/>
    <s v="N"/>
    <m/>
    <m/>
    <s v="Non Expert Disbursement"/>
    <m/>
    <s v="N"/>
    <n v="0"/>
    <n v="0"/>
    <x v="2"/>
    <s v="VALIDATED"/>
    <n v="1"/>
    <s v="01.11.80.000.0000.0000"/>
    <n v="0"/>
    <s v="11"/>
    <s v="0000"/>
    <n v="33277.69"/>
    <n v="0"/>
    <s v="CREDITOR"/>
    <n v="0"/>
    <n v="0"/>
    <n v="0"/>
    <n v="0"/>
    <n v="0"/>
  </r>
  <r>
    <n v="61290036"/>
    <s v="N"/>
    <n v="21378233"/>
    <s v="3000015437070009RC"/>
    <s v="CIVIL"/>
    <d v="2023-06-30T00:00:00"/>
    <d v="2023-07-14T19:33:52"/>
    <m/>
    <d v="2023-07-14T00:00:00"/>
    <n v="1783"/>
    <n v="19751"/>
    <s v="61290036"/>
    <s v="61290036"/>
    <m/>
    <m/>
    <m/>
    <m/>
    <m/>
    <m/>
    <s v="SOLRECOUP"/>
    <s v="SOLRECOUP"/>
    <s v="POARECOUP"/>
    <n v="21378233"/>
    <n v="-555.23"/>
    <m/>
    <s v="Y"/>
    <n v="2"/>
    <d v="2023-07-14T19:33:53"/>
    <s v="N"/>
    <m/>
    <m/>
    <s v="Profit Cost"/>
    <m/>
    <s v="N"/>
    <n v="0"/>
    <n v="-92.54000000000001"/>
    <x v="10"/>
    <s v="VALIDATED"/>
    <n v="1"/>
    <s v="01.11.80.308.2013.0000"/>
    <n v="-92.54000000000001"/>
    <s v="11"/>
    <s v="2013"/>
    <n v="33277.69"/>
    <n v="-92.54000000000001"/>
    <s v="CREDITOR"/>
    <n v="0"/>
    <n v="0"/>
    <n v="-92.54000000000001"/>
    <n v="-23.135"/>
    <n v="0"/>
  </r>
  <r>
    <n v="61290036"/>
    <s v="N"/>
    <n v="21378233"/>
    <s v="3000015437070009RC"/>
    <s v="CIVIL"/>
    <d v="2023-06-30T00:00:00"/>
    <d v="2023-07-14T19:33:52"/>
    <m/>
    <d v="2023-07-14T00:00:00"/>
    <n v="1783"/>
    <n v="19751"/>
    <s v="61290036"/>
    <s v="61290036"/>
    <m/>
    <m/>
    <m/>
    <m/>
    <m/>
    <m/>
    <s v="SOLRECOUP"/>
    <s v="SOLRECOUP"/>
    <s v="POARECOUP"/>
    <n v="21378233"/>
    <n v="-555.23"/>
    <m/>
    <s v="Y"/>
    <n v="1"/>
    <d v="2023-07-14T19:33:53"/>
    <s v="N"/>
    <m/>
    <m/>
    <s v="Profit Cost"/>
    <m/>
    <s v="N"/>
    <n v="-462.69"/>
    <n v="0"/>
    <x v="10"/>
    <s v="VALIDATED"/>
    <n v="1"/>
    <s v="01.11.80.308.2013.0000"/>
    <n v="-462.69"/>
    <s v="11"/>
    <s v="2013"/>
    <n v="33277.69"/>
    <n v="-462.69"/>
    <s v="CREDITOR"/>
    <n v="0"/>
    <n v="0"/>
    <n v="-462.69"/>
    <n v="-115.6725"/>
    <n v="0"/>
  </r>
  <r>
    <n v="61290036"/>
    <s v="N"/>
    <n v="21378236"/>
    <s v="3000015437070003RC"/>
    <s v="CIVIL"/>
    <d v="2023-06-30T00:00:00"/>
    <d v="2023-07-14T19:33:52"/>
    <m/>
    <d v="2023-07-14T00:00:00"/>
    <n v="1783"/>
    <n v="19751"/>
    <s v="61290036"/>
    <s v="61290036"/>
    <m/>
    <m/>
    <m/>
    <m/>
    <m/>
    <m/>
    <s v="SOLRECOUP"/>
    <s v="SOLRECOUP"/>
    <s v="POARECOUP"/>
    <n v="21378236"/>
    <n v="-703.27"/>
    <m/>
    <s v="Y"/>
    <n v="1"/>
    <d v="2023-07-14T19:33:53"/>
    <s v="N"/>
    <m/>
    <m/>
    <s v="Profit Cost"/>
    <m/>
    <s v="N"/>
    <n v="-586.0599999999999"/>
    <n v="0"/>
    <x v="10"/>
    <s v="VALIDATED"/>
    <n v="1"/>
    <s v="01.11.80.308.2013.0000"/>
    <n v="-586.0599999999999"/>
    <s v="11"/>
    <s v="2013"/>
    <n v="33277.69"/>
    <n v="-586.0599999999999"/>
    <s v="CREDITOR"/>
    <n v="0"/>
    <n v="0"/>
    <n v="-586.0599999999999"/>
    <n v="-146.515"/>
    <n v="0"/>
  </r>
  <r>
    <n v="61290036"/>
    <s v="N"/>
    <n v="21378236"/>
    <s v="3000015437070003RC"/>
    <s v="CIVIL"/>
    <d v="2023-06-30T00:00:00"/>
    <d v="2023-07-14T19:33:52"/>
    <m/>
    <d v="2023-07-14T00:00:00"/>
    <n v="1783"/>
    <n v="19751"/>
    <s v="61290036"/>
    <s v="61290036"/>
    <m/>
    <m/>
    <m/>
    <m/>
    <m/>
    <m/>
    <s v="SOLRECOUP"/>
    <s v="SOLRECOUP"/>
    <s v="POARECOUP"/>
    <n v="21378236"/>
    <n v="-703.27"/>
    <m/>
    <s v="Y"/>
    <n v="2"/>
    <d v="2023-07-14T19:33:53"/>
    <s v="N"/>
    <m/>
    <m/>
    <s v="Profit Cost"/>
    <m/>
    <s v="N"/>
    <n v="0"/>
    <n v="-117.21"/>
    <x v="10"/>
    <s v="VALIDATED"/>
    <n v="1"/>
    <s v="01.11.80.308.2013.0000"/>
    <n v="-117.21"/>
    <s v="11"/>
    <s v="2013"/>
    <n v="33277.69"/>
    <n v="-117.21"/>
    <s v="CREDITOR"/>
    <n v="0"/>
    <n v="0"/>
    <n v="-117.21"/>
    <n v="-29.3025"/>
    <n v="0"/>
  </r>
  <r>
    <n v="61290036"/>
    <s v="N"/>
    <n v="21378237"/>
    <s v="3000015437070004RC"/>
    <s v="CIVIL"/>
    <d v="2023-06-30T00:00:00"/>
    <d v="2023-07-14T19:33:52"/>
    <m/>
    <d v="2023-07-14T00:00:00"/>
    <n v="1783"/>
    <n v="19751"/>
    <s v="61290036"/>
    <s v="61290036"/>
    <m/>
    <m/>
    <m/>
    <m/>
    <m/>
    <m/>
    <s v="SOLRECOUP"/>
    <s v="SOLRECOUP"/>
    <s v="POARECOUP"/>
    <n v="21378237"/>
    <n v="-171.6"/>
    <m/>
    <s v="Y"/>
    <n v="1"/>
    <d v="2023-07-14T19:33:53"/>
    <s v="N"/>
    <m/>
    <m/>
    <s v="Non Expert Disbursement"/>
    <m/>
    <s v="N"/>
    <n v="-143"/>
    <n v="0"/>
    <x v="10"/>
    <s v="VALIDATED"/>
    <n v="1"/>
    <s v="01.11.80.308.2013.0000"/>
    <n v="-143"/>
    <s v="11"/>
    <s v="2013"/>
    <n v="33277.69"/>
    <n v="-143"/>
    <s v="CREDITOR"/>
    <n v="0"/>
    <n v="0"/>
    <n v="-143"/>
    <n v="0"/>
    <n v="0"/>
  </r>
  <r>
    <n v="61290036"/>
    <s v="N"/>
    <n v="21378237"/>
    <s v="3000015437070004RC"/>
    <s v="CIVIL"/>
    <d v="2023-06-30T00:00:00"/>
    <d v="2023-07-14T19:33:52"/>
    <m/>
    <d v="2023-07-14T00:00:00"/>
    <n v="1783"/>
    <n v="19751"/>
    <s v="61290036"/>
    <s v="61290036"/>
    <m/>
    <m/>
    <m/>
    <m/>
    <m/>
    <m/>
    <s v="SOLRECOUP"/>
    <s v="SOLRECOUP"/>
    <s v="POARECOUP"/>
    <n v="21378237"/>
    <n v="-171.6"/>
    <m/>
    <s v="Y"/>
    <n v="2"/>
    <d v="2023-07-14T19:33:53"/>
    <s v="N"/>
    <m/>
    <m/>
    <s v="Non Expert Disbursement"/>
    <m/>
    <s v="N"/>
    <n v="0"/>
    <n v="-28.6"/>
    <x v="10"/>
    <s v="VALIDATED"/>
    <n v="1"/>
    <s v="01.11.80.308.2013.0000"/>
    <n v="-28.6"/>
    <s v="11"/>
    <s v="2013"/>
    <n v="33277.69"/>
    <n v="-28.6"/>
    <s v="CREDITOR"/>
    <n v="0"/>
    <n v="0"/>
    <n v="-28.6"/>
    <n v="0"/>
    <n v="0"/>
  </r>
  <r>
    <n v="61290036"/>
    <s v="N"/>
    <n v="21378239"/>
    <s v="3000015437070005RC"/>
    <s v="CIVIL"/>
    <d v="2023-06-30T00:00:00"/>
    <d v="2023-07-14T19:33:52"/>
    <m/>
    <d v="2023-07-14T00:00:00"/>
    <n v="1783"/>
    <n v="19751"/>
    <s v="61290036"/>
    <s v="61290036"/>
    <m/>
    <m/>
    <m/>
    <m/>
    <m/>
    <m/>
    <s v="SOLRECOUP"/>
    <s v="SOLRECOUP"/>
    <s v="POARECOUP"/>
    <n v="21378239"/>
    <n v="-594.58"/>
    <m/>
    <s v="Y"/>
    <n v="2"/>
    <d v="2023-07-14T19:33:53"/>
    <s v="N"/>
    <m/>
    <m/>
    <s v="Profit Cost"/>
    <m/>
    <s v="N"/>
    <n v="0"/>
    <n v="-99.09999999999999"/>
    <x v="10"/>
    <s v="VALIDATED"/>
    <n v="1"/>
    <s v="01.11.80.308.2013.0000"/>
    <n v="-99.09999999999999"/>
    <s v="11"/>
    <s v="2013"/>
    <n v="33277.69"/>
    <n v="-99.09999999999999"/>
    <s v="CREDITOR"/>
    <n v="0"/>
    <n v="0"/>
    <n v="-99.09999999999999"/>
    <n v="-24.775"/>
    <n v="0"/>
  </r>
  <r>
    <n v="61290036"/>
    <s v="N"/>
    <n v="21378239"/>
    <s v="3000015437070005RC"/>
    <s v="CIVIL"/>
    <d v="2023-06-30T00:00:00"/>
    <d v="2023-07-14T19:33:52"/>
    <m/>
    <d v="2023-07-14T00:00:00"/>
    <n v="1783"/>
    <n v="19751"/>
    <s v="61290036"/>
    <s v="61290036"/>
    <m/>
    <m/>
    <m/>
    <m/>
    <m/>
    <m/>
    <s v="SOLRECOUP"/>
    <s v="SOLRECOUP"/>
    <s v="POARECOUP"/>
    <n v="21378239"/>
    <n v="-594.58"/>
    <m/>
    <s v="Y"/>
    <n v="1"/>
    <d v="2023-07-14T19:33:53"/>
    <s v="N"/>
    <m/>
    <m/>
    <s v="Profit Cost"/>
    <m/>
    <s v="N"/>
    <n v="-495.48"/>
    <n v="0"/>
    <x v="10"/>
    <s v="VALIDATED"/>
    <n v="1"/>
    <s v="01.11.80.308.2013.0000"/>
    <n v="-495.48"/>
    <s v="11"/>
    <s v="2013"/>
    <n v="33277.69"/>
    <n v="-495.48"/>
    <s v="CREDITOR"/>
    <n v="0"/>
    <n v="0"/>
    <n v="-495.48"/>
    <n v="-123.87"/>
    <n v="0"/>
  </r>
  <r>
    <n v="61290036"/>
    <s v="N"/>
    <n v="21378240"/>
    <s v="3000015437070006RC"/>
    <s v="CIVIL"/>
    <d v="2023-06-30T00:00:00"/>
    <d v="2023-07-14T19:33:52"/>
    <m/>
    <d v="2023-07-14T00:00:00"/>
    <n v="1783"/>
    <n v="19751"/>
    <s v="61290036"/>
    <s v="61290036"/>
    <m/>
    <m/>
    <m/>
    <m/>
    <m/>
    <m/>
    <s v="SOLRECOUP"/>
    <s v="SOLRECOUP"/>
    <s v="POARECOUP"/>
    <n v="21378240"/>
    <n v="-167"/>
    <m/>
    <s v="Y"/>
    <n v="1"/>
    <d v="2023-07-14T19:33:53"/>
    <s v="N"/>
    <m/>
    <m/>
    <s v="Non Expert Disbursement"/>
    <m/>
    <s v="N"/>
    <n v="-167"/>
    <n v="0"/>
    <x v="10"/>
    <s v="VALIDATED"/>
    <n v="1"/>
    <s v="01.11.80.308.2013.0000"/>
    <n v="-167"/>
    <s v="11"/>
    <s v="2013"/>
    <n v="33277.69"/>
    <n v="-167"/>
    <s v="CREDITOR"/>
    <n v="0"/>
    <n v="0"/>
    <n v="-167"/>
    <n v="0"/>
    <n v="0"/>
  </r>
  <r>
    <n v="61290036"/>
    <s v="N"/>
    <n v="21378240"/>
    <s v="3000015437070006RC"/>
    <s v="CIVIL"/>
    <d v="2023-06-30T00:00:00"/>
    <d v="2023-07-14T19:33:52"/>
    <m/>
    <d v="2023-07-14T00:00:00"/>
    <n v="1783"/>
    <n v="19751"/>
    <s v="61290036"/>
    <s v="61290036"/>
    <m/>
    <m/>
    <m/>
    <m/>
    <m/>
    <m/>
    <s v="SOLRECOUP"/>
    <s v="SOLRECOUP"/>
    <s v="POARECOUP"/>
    <n v="21378240"/>
    <n v="-167"/>
    <m/>
    <s v="Y"/>
    <n v="2"/>
    <d v="2023-07-14T19:33:53"/>
    <s v="N"/>
    <m/>
    <m/>
    <s v="Non Expert Disbursement"/>
    <m/>
    <s v="N"/>
    <n v="0"/>
    <n v="0"/>
    <x v="10"/>
    <s v="VALIDATED"/>
    <n v="1"/>
    <s v="01.11.80.000.0000.0000"/>
    <n v="0"/>
    <s v="11"/>
    <s v="0000"/>
    <n v="33277.69"/>
    <n v="0"/>
    <s v="CREDITOR"/>
    <n v="0"/>
    <n v="0"/>
    <n v="0"/>
    <n v="0"/>
    <n v="0"/>
  </r>
  <r>
    <n v="59924342"/>
    <s v="N"/>
    <n v="21361569"/>
    <s v="3000014263530012RC"/>
    <s v="CIVIL"/>
    <d v="2023-06-29T00:00:00"/>
    <d v="2023-07-11T19:38:00"/>
    <m/>
    <d v="2023-07-11T00:00:00"/>
    <n v="1783"/>
    <n v="19751"/>
    <s v="59924342"/>
    <s v="59924342"/>
    <m/>
    <m/>
    <m/>
    <m/>
    <m/>
    <m/>
    <s v="SOLRECOUP"/>
    <s v="SOLRECOUP"/>
    <s v="POARECOUP"/>
    <n v="21361569"/>
    <n v="-168.7"/>
    <m/>
    <s v="Y"/>
    <n v="1"/>
    <d v="2023-07-11T19:38:01"/>
    <s v="N"/>
    <m/>
    <m/>
    <s v="Non Expert Disbursement"/>
    <m/>
    <s v="N"/>
    <n v="-140.58"/>
    <n v="0"/>
    <x v="7"/>
    <s v="VALIDATED"/>
    <n v="1"/>
    <s v="01.11.80.308.2013.0000"/>
    <n v="-140.58"/>
    <s v="11"/>
    <s v="2013"/>
    <n v="33277.69"/>
    <n v="-140.58"/>
    <s v="CREDITOR"/>
    <n v="0"/>
    <n v="0"/>
    <n v="-140.58"/>
    <n v="0"/>
    <n v="0"/>
  </r>
  <r>
    <n v="59924342"/>
    <s v="N"/>
    <n v="21361569"/>
    <s v="3000014263530012RC"/>
    <s v="CIVIL"/>
    <d v="2023-06-29T00:00:00"/>
    <d v="2023-07-11T19:38:00"/>
    <m/>
    <d v="2023-07-11T00:00:00"/>
    <n v="1783"/>
    <n v="19751"/>
    <s v="59924342"/>
    <s v="59924342"/>
    <m/>
    <m/>
    <m/>
    <m/>
    <m/>
    <m/>
    <s v="SOLRECOUP"/>
    <s v="SOLRECOUP"/>
    <s v="POARECOUP"/>
    <n v="21361569"/>
    <n v="-168.7"/>
    <m/>
    <s v="Y"/>
    <n v="2"/>
    <d v="2023-07-11T19:38:01"/>
    <s v="N"/>
    <m/>
    <m/>
    <s v="Non Expert Disbursement"/>
    <m/>
    <s v="N"/>
    <n v="0"/>
    <n v="-28.12"/>
    <x v="7"/>
    <s v="VALIDATED"/>
    <n v="1"/>
    <s v="01.11.80.308.2013.0000"/>
    <n v="-28.12"/>
    <s v="11"/>
    <s v="2013"/>
    <n v="33277.69"/>
    <n v="-28.12"/>
    <s v="CREDITOR"/>
    <n v="0"/>
    <n v="0"/>
    <n v="-28.12"/>
    <n v="0"/>
    <n v="0"/>
  </r>
  <r>
    <n v="59924342"/>
    <s v="N"/>
    <n v="21361570"/>
    <s v="3000014263530004RC"/>
    <s v="CIVIL"/>
    <d v="2023-06-29T00:00:00"/>
    <d v="2023-07-11T19:38:00"/>
    <m/>
    <d v="2023-07-11T00:00:00"/>
    <n v="1783"/>
    <n v="19751"/>
    <s v="59924342"/>
    <s v="59924342"/>
    <m/>
    <m/>
    <m/>
    <m/>
    <m/>
    <m/>
    <s v="SOLRECOUP"/>
    <s v="SOLRECOUP"/>
    <s v="POARECOUP"/>
    <n v="21361570"/>
    <n v="-433.3"/>
    <m/>
    <s v="Y"/>
    <n v="1"/>
    <d v="2023-07-11T19:38:01"/>
    <s v="N"/>
    <m/>
    <m/>
    <s v="Profit Cost"/>
    <m/>
    <s v="N"/>
    <n v="-361.08"/>
    <n v="0"/>
    <x v="7"/>
    <s v="VALIDATED"/>
    <n v="1"/>
    <s v="01.11.80.308.2013.0000"/>
    <n v="-361.08"/>
    <s v="11"/>
    <s v="2013"/>
    <n v="33277.69"/>
    <n v="-361.08"/>
    <s v="CREDITOR"/>
    <n v="0"/>
    <n v="0"/>
    <n v="-361.08"/>
    <n v="-90.27"/>
    <n v="0"/>
  </r>
  <r>
    <n v="59924342"/>
    <s v="N"/>
    <n v="21361570"/>
    <s v="3000014263530004RC"/>
    <s v="CIVIL"/>
    <d v="2023-06-29T00:00:00"/>
    <d v="2023-07-11T19:38:00"/>
    <m/>
    <d v="2023-07-11T00:00:00"/>
    <n v="1783"/>
    <n v="19751"/>
    <s v="59924342"/>
    <s v="59924342"/>
    <m/>
    <m/>
    <m/>
    <m/>
    <m/>
    <m/>
    <s v="SOLRECOUP"/>
    <s v="SOLRECOUP"/>
    <s v="POARECOUP"/>
    <n v="21361570"/>
    <n v="-433.3"/>
    <m/>
    <s v="Y"/>
    <n v="2"/>
    <d v="2023-07-11T19:38:01"/>
    <s v="N"/>
    <m/>
    <m/>
    <s v="Profit Cost"/>
    <m/>
    <s v="N"/>
    <n v="0"/>
    <n v="-72.22"/>
    <x v="7"/>
    <s v="VALIDATED"/>
    <n v="1"/>
    <s v="01.11.80.308.2013.0000"/>
    <n v="-72.22"/>
    <s v="11"/>
    <s v="2013"/>
    <n v="33277.69"/>
    <n v="-72.22"/>
    <s v="CREDITOR"/>
    <n v="0"/>
    <n v="0"/>
    <n v="-72.22"/>
    <n v="-18.055"/>
    <n v="0"/>
  </r>
  <r>
    <n v="59924342"/>
    <s v="N"/>
    <n v="21361571"/>
    <s v="3000014263530001RC"/>
    <s v="CIVIL"/>
    <d v="2023-06-29T00:00:00"/>
    <d v="2023-07-11T19:38:00"/>
    <m/>
    <d v="2023-07-11T00:00:00"/>
    <n v="1783"/>
    <n v="19751"/>
    <s v="59924342"/>
    <s v="59924342"/>
    <m/>
    <m/>
    <m/>
    <m/>
    <m/>
    <m/>
    <s v="SOLRECOUP"/>
    <s v="SOLRECOUP"/>
    <s v="POARECOUP"/>
    <n v="21361571"/>
    <n v="-1969.8"/>
    <m/>
    <s v="Y"/>
    <n v="1"/>
    <d v="2023-07-11T19:38:01"/>
    <s v="N"/>
    <m/>
    <m/>
    <s v="Profit Cost"/>
    <m/>
    <s v="N"/>
    <n v="-1641.5"/>
    <n v="0"/>
    <x v="7"/>
    <s v="VALIDATED"/>
    <n v="1"/>
    <s v="01.11.80.308.2013.0000"/>
    <n v="-1641.5"/>
    <s v="11"/>
    <s v="2013"/>
    <n v="33277.69"/>
    <n v="-1641.5"/>
    <s v="CREDITOR"/>
    <n v="0"/>
    <n v="0"/>
    <n v="-1641.5"/>
    <n v="-410.375"/>
    <n v="0"/>
  </r>
  <r>
    <n v="59924342"/>
    <s v="N"/>
    <n v="21361571"/>
    <s v="3000014263530001RC"/>
    <s v="CIVIL"/>
    <d v="2023-06-29T00:00:00"/>
    <d v="2023-07-11T19:38:00"/>
    <m/>
    <d v="2023-07-11T00:00:00"/>
    <n v="1783"/>
    <n v="19751"/>
    <s v="59924342"/>
    <s v="59924342"/>
    <m/>
    <m/>
    <m/>
    <m/>
    <m/>
    <m/>
    <s v="SOLRECOUP"/>
    <s v="SOLRECOUP"/>
    <s v="POARECOUP"/>
    <n v="21361571"/>
    <n v="-1969.8"/>
    <m/>
    <s v="Y"/>
    <n v="2"/>
    <d v="2023-07-11T19:38:01"/>
    <s v="N"/>
    <m/>
    <m/>
    <s v="Profit Cost"/>
    <m/>
    <s v="N"/>
    <n v="0"/>
    <n v="-328.3"/>
    <x v="7"/>
    <s v="VALIDATED"/>
    <n v="1"/>
    <s v="01.11.80.308.2013.0000"/>
    <n v="-328.3"/>
    <s v="11"/>
    <s v="2013"/>
    <n v="33277.69"/>
    <n v="-328.3"/>
    <s v="CREDITOR"/>
    <n v="0"/>
    <n v="0"/>
    <n v="-328.3"/>
    <n v="-82.075"/>
    <n v="0"/>
  </r>
  <r>
    <n v="59924342"/>
    <s v="N"/>
    <n v="21361572"/>
    <s v="3000014263530002RC"/>
    <s v="CIVIL"/>
    <d v="2023-06-29T00:00:00"/>
    <d v="2023-07-11T19:38:00"/>
    <m/>
    <d v="2023-07-11T00:00:00"/>
    <n v="1783"/>
    <n v="19751"/>
    <s v="59924342"/>
    <s v="59924342"/>
    <m/>
    <m/>
    <m/>
    <m/>
    <m/>
    <m/>
    <s v="SOLRECOUP"/>
    <s v="SOLRECOUP"/>
    <s v="POARECOUP"/>
    <n v="21361572"/>
    <n v="-114"/>
    <m/>
    <s v="Y"/>
    <n v="1"/>
    <d v="2023-07-11T19:38:01"/>
    <s v="N"/>
    <m/>
    <m/>
    <s v="Non Expert Disbursement"/>
    <m/>
    <s v="N"/>
    <n v="-95"/>
    <n v="0"/>
    <x v="7"/>
    <s v="VALIDATED"/>
    <n v="1"/>
    <s v="01.11.80.308.2013.0000"/>
    <n v="-95"/>
    <s v="11"/>
    <s v="2013"/>
    <n v="33277.69"/>
    <n v="-95"/>
    <s v="CREDITOR"/>
    <n v="0"/>
    <n v="0"/>
    <n v="-95"/>
    <n v="0"/>
    <n v="0"/>
  </r>
  <r>
    <n v="59924342"/>
    <s v="N"/>
    <n v="21361572"/>
    <s v="3000014263530002RC"/>
    <s v="CIVIL"/>
    <d v="2023-06-29T00:00:00"/>
    <d v="2023-07-11T19:38:00"/>
    <m/>
    <d v="2023-07-11T00:00:00"/>
    <n v="1783"/>
    <n v="19751"/>
    <s v="59924342"/>
    <s v="59924342"/>
    <m/>
    <m/>
    <m/>
    <m/>
    <m/>
    <m/>
    <s v="SOLRECOUP"/>
    <s v="SOLRECOUP"/>
    <s v="POARECOUP"/>
    <n v="21361572"/>
    <n v="-114"/>
    <m/>
    <s v="Y"/>
    <n v="2"/>
    <d v="2023-07-11T19:38:01"/>
    <s v="N"/>
    <m/>
    <m/>
    <s v="Non Expert Disbursement"/>
    <m/>
    <s v="N"/>
    <n v="0"/>
    <n v="-19"/>
    <x v="7"/>
    <s v="VALIDATED"/>
    <n v="1"/>
    <s v="01.11.80.308.2013.0000"/>
    <n v="-19"/>
    <s v="11"/>
    <s v="2013"/>
    <n v="33277.69"/>
    <n v="-19"/>
    <s v="CREDITOR"/>
    <n v="0"/>
    <n v="0"/>
    <n v="-19"/>
    <n v="0"/>
    <n v="0"/>
  </r>
  <r>
    <n v="59924342"/>
    <s v="N"/>
    <n v="21361573"/>
    <s v="3000014263530011RC"/>
    <s v="CIVIL"/>
    <d v="2023-06-29T00:00:00"/>
    <d v="2023-07-11T19:38:00"/>
    <m/>
    <d v="2023-07-11T00:00:00"/>
    <n v="1783"/>
    <n v="19751"/>
    <s v="59924342"/>
    <s v="59924342"/>
    <m/>
    <m/>
    <m/>
    <m/>
    <m/>
    <m/>
    <s v="SOLRECOUP"/>
    <s v="SOLRECOUP"/>
    <s v="POARECOUP"/>
    <n v="21361573"/>
    <n v="-763.01"/>
    <m/>
    <s v="Y"/>
    <n v="1"/>
    <d v="2023-07-11T19:38:01"/>
    <s v="N"/>
    <m/>
    <m/>
    <s v="Profit Cost"/>
    <m/>
    <s v="N"/>
    <n v="-635.84"/>
    <n v="0"/>
    <x v="7"/>
    <s v="VALIDATED"/>
    <n v="1"/>
    <s v="01.11.80.308.2013.0000"/>
    <n v="-635.84"/>
    <s v="11"/>
    <s v="2013"/>
    <n v="33277.69"/>
    <n v="-635.84"/>
    <s v="CREDITOR"/>
    <n v="0"/>
    <n v="0"/>
    <n v="-635.84"/>
    <n v="-158.96"/>
    <n v="0"/>
  </r>
  <r>
    <n v="59924342"/>
    <s v="N"/>
    <n v="21361573"/>
    <s v="3000014263530011RC"/>
    <s v="CIVIL"/>
    <d v="2023-06-29T00:00:00"/>
    <d v="2023-07-11T19:38:00"/>
    <m/>
    <d v="2023-07-11T00:00:00"/>
    <n v="1783"/>
    <n v="19751"/>
    <s v="59924342"/>
    <s v="59924342"/>
    <m/>
    <m/>
    <m/>
    <m/>
    <m/>
    <m/>
    <s v="SOLRECOUP"/>
    <s v="SOLRECOUP"/>
    <s v="POARECOUP"/>
    <n v="21361573"/>
    <n v="-763.01"/>
    <m/>
    <s v="Y"/>
    <n v="2"/>
    <d v="2023-07-11T19:38:01"/>
    <s v="N"/>
    <m/>
    <m/>
    <s v="Profit Cost"/>
    <m/>
    <s v="N"/>
    <n v="0"/>
    <n v="-127.17"/>
    <x v="7"/>
    <s v="VALIDATED"/>
    <n v="1"/>
    <s v="01.11.80.308.2013.0000"/>
    <n v="-127.17"/>
    <s v="11"/>
    <s v="2013"/>
    <n v="33277.69"/>
    <n v="-127.17"/>
    <s v="CREDITOR"/>
    <n v="0"/>
    <n v="0"/>
    <n v="-127.17"/>
    <n v="-31.7925"/>
    <n v="0"/>
  </r>
  <r>
    <n v="59924342"/>
    <s v="N"/>
    <n v="21361574"/>
    <s v="3000014263530010RC"/>
    <s v="CIVIL"/>
    <d v="2023-06-29T00:00:00"/>
    <d v="2023-07-11T19:38:00"/>
    <m/>
    <d v="2023-07-11T00:00:00"/>
    <n v="1783"/>
    <n v="19751"/>
    <s v="59924342"/>
    <s v="59924342"/>
    <m/>
    <m/>
    <m/>
    <m/>
    <m/>
    <m/>
    <s v="SOLRECOUP"/>
    <s v="SOLRECOUP"/>
    <s v="POARECOUP"/>
    <n v="21361574"/>
    <n v="-167"/>
    <m/>
    <s v="Y"/>
    <n v="1"/>
    <d v="2023-07-11T19:38:01"/>
    <s v="N"/>
    <m/>
    <m/>
    <s v="Non Expert Disbursement"/>
    <m/>
    <s v="N"/>
    <n v="-167"/>
    <n v="0"/>
    <x v="7"/>
    <s v="VALIDATED"/>
    <n v="1"/>
    <s v="01.11.80.308.2013.0000"/>
    <n v="-167"/>
    <s v="11"/>
    <s v="2013"/>
    <n v="33277.69"/>
    <n v="-167"/>
    <s v="CREDITOR"/>
    <n v="0"/>
    <n v="0"/>
    <n v="-167"/>
    <n v="0"/>
    <n v="0"/>
  </r>
  <r>
    <n v="59924342"/>
    <s v="N"/>
    <n v="21361574"/>
    <s v="3000014263530010RC"/>
    <s v="CIVIL"/>
    <d v="2023-06-29T00:00:00"/>
    <d v="2023-07-11T19:38:00"/>
    <m/>
    <d v="2023-07-11T00:00:00"/>
    <n v="1783"/>
    <n v="19751"/>
    <s v="59924342"/>
    <s v="59924342"/>
    <m/>
    <m/>
    <m/>
    <m/>
    <m/>
    <m/>
    <s v="SOLRECOUP"/>
    <s v="SOLRECOUP"/>
    <s v="POARECOUP"/>
    <n v="21361574"/>
    <n v="-167"/>
    <m/>
    <s v="Y"/>
    <n v="2"/>
    <d v="2023-07-11T19:38:01"/>
    <s v="N"/>
    <m/>
    <m/>
    <s v="Non Expert Disbursement"/>
    <m/>
    <s v="N"/>
    <n v="0"/>
    <n v="0"/>
    <x v="7"/>
    <s v="VALIDATED"/>
    <n v="1"/>
    <s v="01.11.80.000.0000.0000"/>
    <n v="0"/>
    <s v="11"/>
    <s v="0000"/>
    <n v="33277.69"/>
    <n v="0"/>
    <s v="CREDITOR"/>
    <n v="0"/>
    <n v="0"/>
    <n v="0"/>
    <n v="0"/>
    <n v="0"/>
  </r>
  <r>
    <n v="59924342"/>
    <s v="N"/>
    <n v="21361575"/>
    <s v="3000014263530003RC"/>
    <s v="CIVIL"/>
    <d v="2023-06-29T00:00:00"/>
    <d v="2023-07-11T19:38:00"/>
    <m/>
    <d v="2023-07-11T00:00:00"/>
    <n v="1783"/>
    <n v="19751"/>
    <s v="59924342"/>
    <s v="59924342"/>
    <m/>
    <m/>
    <m/>
    <m/>
    <m/>
    <m/>
    <s v="SOLRECOUP"/>
    <s v="SOLRECOUP"/>
    <s v="POARECOUP"/>
    <n v="21361575"/>
    <n v="-572.28"/>
    <m/>
    <s v="Y"/>
    <n v="1"/>
    <d v="2023-07-11T19:38:01"/>
    <s v="N"/>
    <m/>
    <m/>
    <s v="Expert Disbursement"/>
    <m/>
    <s v="N"/>
    <n v="-476.9"/>
    <n v="0"/>
    <x v="7"/>
    <s v="VALIDATED"/>
    <n v="1"/>
    <s v="01.11.80.308.2013.0000"/>
    <n v="-476.9"/>
    <s v="11"/>
    <s v="2013"/>
    <n v="33277.69"/>
    <n v="-476.9"/>
    <s v="CREDITOR"/>
    <n v="0"/>
    <n v="0"/>
    <n v="-476.9"/>
    <n v="0"/>
    <n v="0"/>
  </r>
  <r>
    <n v="59924342"/>
    <s v="N"/>
    <n v="21361575"/>
    <s v="3000014263530003RC"/>
    <s v="CIVIL"/>
    <d v="2023-06-29T00:00:00"/>
    <d v="2023-07-11T19:38:00"/>
    <m/>
    <d v="2023-07-11T00:00:00"/>
    <n v="1783"/>
    <n v="19751"/>
    <s v="59924342"/>
    <s v="59924342"/>
    <m/>
    <m/>
    <m/>
    <m/>
    <m/>
    <m/>
    <s v="SOLRECOUP"/>
    <s v="SOLRECOUP"/>
    <s v="POARECOUP"/>
    <n v="21361575"/>
    <n v="-572.28"/>
    <m/>
    <s v="Y"/>
    <n v="2"/>
    <d v="2023-07-11T19:38:01"/>
    <s v="N"/>
    <m/>
    <m/>
    <s v="Expert Disbursement"/>
    <m/>
    <s v="N"/>
    <n v="0"/>
    <n v="-95.38"/>
    <x v="7"/>
    <s v="VALIDATED"/>
    <n v="1"/>
    <s v="01.11.80.308.2013.0000"/>
    <n v="-95.38"/>
    <s v="11"/>
    <s v="2013"/>
    <n v="33277.69"/>
    <n v="-95.38"/>
    <s v="CREDITOR"/>
    <n v="0"/>
    <n v="0"/>
    <n v="-95.38"/>
    <n v="0"/>
    <n v="0"/>
  </r>
  <r>
    <n v="59924342"/>
    <s v="N"/>
    <n v="21361576"/>
    <s v="3000014263530009RC"/>
    <s v="CIVIL"/>
    <d v="2023-06-29T00:00:00"/>
    <d v="2023-07-11T19:38:00"/>
    <m/>
    <d v="2023-07-11T00:00:00"/>
    <n v="1783"/>
    <n v="19751"/>
    <s v="59924342"/>
    <s v="59924342"/>
    <m/>
    <m/>
    <m/>
    <m/>
    <m/>
    <m/>
    <s v="SOLRECOUP"/>
    <s v="SOLRECOUP"/>
    <s v="POARECOUP"/>
    <n v="21361576"/>
    <n v="-810.04"/>
    <m/>
    <s v="Y"/>
    <n v="1"/>
    <d v="2023-07-11T19:38:01"/>
    <s v="N"/>
    <m/>
    <m/>
    <s v="Profit Cost"/>
    <m/>
    <s v="N"/>
    <n v="-675.03"/>
    <n v="0"/>
    <x v="7"/>
    <s v="VALIDATED"/>
    <n v="1"/>
    <s v="01.11.80.308.2013.0000"/>
    <n v="-675.03"/>
    <s v="11"/>
    <s v="2013"/>
    <n v="33277.69"/>
    <n v="-675.03"/>
    <s v="CREDITOR"/>
    <n v="0"/>
    <n v="0"/>
    <n v="-675.03"/>
    <n v="-168.7575"/>
    <n v="0"/>
  </r>
  <r>
    <n v="59924342"/>
    <s v="N"/>
    <n v="21361576"/>
    <s v="3000014263530009RC"/>
    <s v="CIVIL"/>
    <d v="2023-06-29T00:00:00"/>
    <d v="2023-07-11T19:38:00"/>
    <m/>
    <d v="2023-07-11T00:00:00"/>
    <n v="1783"/>
    <n v="19751"/>
    <s v="59924342"/>
    <s v="59924342"/>
    <m/>
    <m/>
    <m/>
    <m/>
    <m/>
    <m/>
    <s v="SOLRECOUP"/>
    <s v="SOLRECOUP"/>
    <s v="POARECOUP"/>
    <n v="21361576"/>
    <n v="-810.04"/>
    <m/>
    <s v="Y"/>
    <n v="2"/>
    <d v="2023-07-11T19:38:01"/>
    <s v="N"/>
    <m/>
    <m/>
    <s v="Profit Cost"/>
    <m/>
    <s v="N"/>
    <n v="0"/>
    <n v="-135.01"/>
    <x v="7"/>
    <s v="VALIDATED"/>
    <n v="1"/>
    <s v="01.11.80.308.2013.0000"/>
    <n v="-135.01"/>
    <s v="11"/>
    <s v="2013"/>
    <n v="33277.69"/>
    <n v="-135.01"/>
    <s v="CREDITOR"/>
    <n v="0"/>
    <n v="0"/>
    <n v="-135.01"/>
    <n v="-33.7525"/>
    <n v="0"/>
  </r>
  <r>
    <n v="59924342"/>
    <s v="N"/>
    <n v="21361577"/>
    <s v="3000014263530005RC"/>
    <s v="CIVIL"/>
    <d v="2023-06-29T00:00:00"/>
    <d v="2023-07-11T19:38:00"/>
    <m/>
    <d v="2023-07-11T00:00:00"/>
    <n v="1783"/>
    <n v="19751"/>
    <s v="59924342"/>
    <s v="59924342"/>
    <m/>
    <m/>
    <m/>
    <m/>
    <m/>
    <m/>
    <s v="SOLRECOUP"/>
    <s v="SOLRECOUP"/>
    <s v="POARECOUP"/>
    <n v="21361577"/>
    <n v="-153.36"/>
    <m/>
    <s v="Y"/>
    <n v="1"/>
    <d v="2023-07-11T19:38:01"/>
    <s v="N"/>
    <m/>
    <m/>
    <s v="Non Expert Disbursement"/>
    <m/>
    <s v="N"/>
    <n v="-127.8"/>
    <n v="0"/>
    <x v="7"/>
    <s v="VALIDATED"/>
    <n v="1"/>
    <s v="01.11.80.308.2013.0000"/>
    <n v="-127.8"/>
    <s v="11"/>
    <s v="2013"/>
    <n v="33277.69"/>
    <n v="-127.8"/>
    <s v="CREDITOR"/>
    <n v="0"/>
    <n v="0"/>
    <n v="-127.8"/>
    <n v="0"/>
    <n v="0"/>
  </r>
  <r>
    <n v="59924342"/>
    <s v="N"/>
    <n v="21361577"/>
    <s v="3000014263530005RC"/>
    <s v="CIVIL"/>
    <d v="2023-06-29T00:00:00"/>
    <d v="2023-07-11T19:38:00"/>
    <m/>
    <d v="2023-07-11T00:00:00"/>
    <n v="1783"/>
    <n v="19751"/>
    <s v="59924342"/>
    <s v="59924342"/>
    <m/>
    <m/>
    <m/>
    <m/>
    <m/>
    <m/>
    <s v="SOLRECOUP"/>
    <s v="SOLRECOUP"/>
    <s v="POARECOUP"/>
    <n v="21361577"/>
    <n v="-153.36"/>
    <m/>
    <s v="Y"/>
    <n v="2"/>
    <d v="2023-07-11T19:38:01"/>
    <s v="N"/>
    <m/>
    <m/>
    <s v="Non Expert Disbursement"/>
    <m/>
    <s v="N"/>
    <n v="0"/>
    <n v="-25.56"/>
    <x v="7"/>
    <s v="VALIDATED"/>
    <n v="1"/>
    <s v="01.11.80.308.2013.0000"/>
    <n v="-25.56"/>
    <s v="11"/>
    <s v="2013"/>
    <n v="33277.69"/>
    <n v="-25.56"/>
    <s v="CREDITOR"/>
    <n v="0"/>
    <n v="0"/>
    <n v="-25.56"/>
    <n v="0"/>
    <n v="0"/>
  </r>
  <r>
    <n v="59924342"/>
    <s v="N"/>
    <n v="21361578"/>
    <s v="3000014263530007RC"/>
    <s v="CIVIL"/>
    <d v="2023-06-29T00:00:00"/>
    <d v="2023-07-11T19:38:00"/>
    <m/>
    <d v="2023-07-11T00:00:00"/>
    <n v="1783"/>
    <n v="19751"/>
    <s v="59924342"/>
    <s v="59924342"/>
    <m/>
    <m/>
    <m/>
    <m/>
    <m/>
    <m/>
    <s v="SOLRECOUP"/>
    <s v="SOLRECOUP"/>
    <s v="POARECOUP"/>
    <n v="21361578"/>
    <n v="-2222.4"/>
    <m/>
    <s v="Y"/>
    <n v="1"/>
    <d v="2023-07-11T19:38:01"/>
    <s v="N"/>
    <m/>
    <m/>
    <s v="Profit Cost"/>
    <m/>
    <s v="N"/>
    <n v="-1852"/>
    <n v="0"/>
    <x v="7"/>
    <s v="VALIDATED"/>
    <n v="1"/>
    <s v="01.11.80.308.2013.0000"/>
    <n v="-1852"/>
    <s v="11"/>
    <s v="2013"/>
    <n v="33277.69"/>
    <n v="-1852"/>
    <s v="CREDITOR"/>
    <n v="0"/>
    <n v="0"/>
    <n v="-1852"/>
    <n v="-463"/>
    <n v="0"/>
  </r>
  <r>
    <n v="59924342"/>
    <s v="N"/>
    <n v="21361578"/>
    <s v="3000014263530007RC"/>
    <s v="CIVIL"/>
    <d v="2023-06-29T00:00:00"/>
    <d v="2023-07-11T19:38:00"/>
    <m/>
    <d v="2023-07-11T00:00:00"/>
    <n v="1783"/>
    <n v="19751"/>
    <s v="59924342"/>
    <s v="59924342"/>
    <m/>
    <m/>
    <m/>
    <m/>
    <m/>
    <m/>
    <s v="SOLRECOUP"/>
    <s v="SOLRECOUP"/>
    <s v="POARECOUP"/>
    <n v="21361578"/>
    <n v="-2222.4"/>
    <m/>
    <s v="Y"/>
    <n v="2"/>
    <d v="2023-07-11T19:38:01"/>
    <s v="N"/>
    <m/>
    <m/>
    <s v="Profit Cost"/>
    <m/>
    <s v="N"/>
    <n v="0"/>
    <n v="-370.4"/>
    <x v="7"/>
    <s v="VALIDATED"/>
    <n v="1"/>
    <s v="01.11.80.308.2013.0000"/>
    <n v="-370.4"/>
    <s v="11"/>
    <s v="2013"/>
    <n v="33277.69"/>
    <n v="-370.4"/>
    <s v="CREDITOR"/>
    <n v="0"/>
    <n v="0"/>
    <n v="-370.4"/>
    <n v="-92.59999999999999"/>
    <n v="0"/>
  </r>
  <r>
    <n v="59924342"/>
    <s v="N"/>
    <n v="21361579"/>
    <s v="3000014263530008RC"/>
    <s v="CIVIL"/>
    <d v="2023-06-29T00:00:00"/>
    <d v="2023-07-11T19:38:00"/>
    <m/>
    <d v="2023-07-11T00:00:00"/>
    <n v="1783"/>
    <n v="19751"/>
    <s v="59924342"/>
    <s v="59924342"/>
    <m/>
    <m/>
    <m/>
    <m/>
    <m/>
    <m/>
    <s v="SOLRECOUP"/>
    <s v="SOLRECOUP"/>
    <s v="POARECOUP"/>
    <n v="21361579"/>
    <n v="-640.97"/>
    <m/>
    <s v="Y"/>
    <n v="1"/>
    <d v="2023-07-11T19:38:01"/>
    <s v="N"/>
    <m/>
    <m/>
    <s v="Expert Disbursement"/>
    <m/>
    <s v="N"/>
    <n v="-534.14"/>
    <n v="0"/>
    <x v="7"/>
    <s v="VALIDATED"/>
    <n v="1"/>
    <s v="01.11.80.308.2013.0000"/>
    <n v="-534.14"/>
    <s v="11"/>
    <s v="2013"/>
    <n v="33277.69"/>
    <n v="-534.14"/>
    <s v="CREDITOR"/>
    <n v="0"/>
    <n v="0"/>
    <n v="-534.14"/>
    <n v="0"/>
    <n v="0"/>
  </r>
  <r>
    <n v="59924342"/>
    <s v="N"/>
    <n v="21361579"/>
    <s v="3000014263530008RC"/>
    <s v="CIVIL"/>
    <d v="2023-06-29T00:00:00"/>
    <d v="2023-07-11T19:38:00"/>
    <m/>
    <d v="2023-07-11T00:00:00"/>
    <n v="1783"/>
    <n v="19751"/>
    <s v="59924342"/>
    <s v="59924342"/>
    <m/>
    <m/>
    <m/>
    <m/>
    <m/>
    <m/>
    <s v="SOLRECOUP"/>
    <s v="SOLRECOUP"/>
    <s v="POARECOUP"/>
    <n v="21361579"/>
    <n v="-640.97"/>
    <m/>
    <s v="Y"/>
    <n v="2"/>
    <d v="2023-07-11T19:38:01"/>
    <s v="N"/>
    <m/>
    <m/>
    <s v="Expert Disbursement"/>
    <m/>
    <s v="N"/>
    <n v="0"/>
    <n v="-106.83"/>
    <x v="7"/>
    <s v="VALIDATED"/>
    <n v="1"/>
    <s v="01.11.80.308.2013.0000"/>
    <n v="-106.83"/>
    <s v="11"/>
    <s v="2013"/>
    <n v="33277.69"/>
    <n v="-106.83"/>
    <s v="CREDITOR"/>
    <n v="0"/>
    <n v="0"/>
    <n v="-106.83"/>
    <n v="0"/>
    <n v="0"/>
  </r>
  <r>
    <n v="52945554"/>
    <s v="N"/>
    <n v="21328845"/>
    <s v="3000012728120013RC"/>
    <s v="CIVIL"/>
    <d v="2023-06-27T00:00:00"/>
    <d v="2023-07-04T19:38:21"/>
    <m/>
    <d v="2023-07-04T00:00:00"/>
    <n v="1783"/>
    <n v="19751"/>
    <s v="52945554"/>
    <s v="52945554"/>
    <m/>
    <m/>
    <m/>
    <m/>
    <m/>
    <m/>
    <s v="SOLRECOUP"/>
    <s v="SOLRECOUP"/>
    <s v="POARECOUP"/>
    <n v="21328845"/>
    <n v="-620.5599999999999"/>
    <m/>
    <s v="Y"/>
    <n v="1"/>
    <d v="2023-07-04T19:38:23"/>
    <s v="N"/>
    <m/>
    <m/>
    <s v="Expert Disbursement"/>
    <m/>
    <s v="N"/>
    <n v="-517.13"/>
    <n v="0"/>
    <x v="1"/>
    <s v="VALIDATED"/>
    <n v="1"/>
    <s v="01.11.80.308.2013.0000"/>
    <n v="-517.13"/>
    <s v="11"/>
    <s v="2013"/>
    <n v="33277.69"/>
    <n v="-517.13"/>
    <s v="CREDITOR"/>
    <n v="0"/>
    <n v="0"/>
    <n v="-517.13"/>
    <n v="0"/>
    <n v="0"/>
  </r>
  <r>
    <n v="52945554"/>
    <s v="N"/>
    <n v="21328845"/>
    <s v="3000012728120013RC"/>
    <s v="CIVIL"/>
    <d v="2023-06-27T00:00:00"/>
    <d v="2023-07-04T19:38:21"/>
    <m/>
    <d v="2023-07-04T00:00:00"/>
    <n v="1783"/>
    <n v="19751"/>
    <s v="52945554"/>
    <s v="52945554"/>
    <m/>
    <m/>
    <m/>
    <m/>
    <m/>
    <m/>
    <s v="SOLRECOUP"/>
    <s v="SOLRECOUP"/>
    <s v="POARECOUP"/>
    <n v="21328845"/>
    <n v="-620.5599999999999"/>
    <m/>
    <s v="Y"/>
    <n v="2"/>
    <d v="2023-07-04T19:38:23"/>
    <s v="N"/>
    <m/>
    <m/>
    <s v="Expert Disbursement"/>
    <m/>
    <s v="N"/>
    <n v="0"/>
    <n v="-103.43"/>
    <x v="1"/>
    <s v="VALIDATED"/>
    <n v="1"/>
    <s v="01.11.80.308.2013.0000"/>
    <n v="-103.43"/>
    <s v="11"/>
    <s v="2013"/>
    <n v="33277.69"/>
    <n v="-103.43"/>
    <s v="CREDITOR"/>
    <n v="0"/>
    <n v="0"/>
    <n v="-103.43"/>
    <n v="0"/>
    <n v="0"/>
  </r>
  <r>
    <n v="52945554"/>
    <s v="N"/>
    <n v="21328846"/>
    <s v="3000012728120014RC"/>
    <s v="CIVIL"/>
    <d v="2023-06-27T00:00:00"/>
    <d v="2023-07-04T19:38:21"/>
    <m/>
    <d v="2023-07-04T00:00:00"/>
    <n v="1783"/>
    <n v="19751"/>
    <s v="52945554"/>
    <s v="52945554"/>
    <m/>
    <m/>
    <m/>
    <m/>
    <m/>
    <m/>
    <s v="SOLRECOUP"/>
    <s v="SOLRECOUP"/>
    <s v="POARECOUP"/>
    <n v="21328846"/>
    <n v="-33.7"/>
    <m/>
    <s v="Y"/>
    <n v="1"/>
    <d v="2023-07-04T19:38:23"/>
    <s v="N"/>
    <m/>
    <m/>
    <s v="Expert Disbursement"/>
    <m/>
    <s v="N"/>
    <n v="-28.08"/>
    <n v="0"/>
    <x v="1"/>
    <s v="VALIDATED"/>
    <n v="1"/>
    <s v="01.11.80.308.2013.0000"/>
    <n v="-28.08"/>
    <s v="11"/>
    <s v="2013"/>
    <n v="33277.69"/>
    <n v="-28.08"/>
    <s v="CREDITOR"/>
    <n v="0"/>
    <n v="0"/>
    <n v="-28.08"/>
    <n v="0"/>
    <n v="0"/>
  </r>
  <r>
    <n v="52945554"/>
    <s v="N"/>
    <n v="21328846"/>
    <s v="3000012728120014RC"/>
    <s v="CIVIL"/>
    <d v="2023-06-27T00:00:00"/>
    <d v="2023-07-04T19:38:21"/>
    <m/>
    <d v="2023-07-04T00:00:00"/>
    <n v="1783"/>
    <n v="19751"/>
    <s v="52945554"/>
    <s v="52945554"/>
    <m/>
    <m/>
    <m/>
    <m/>
    <m/>
    <m/>
    <s v="SOLRECOUP"/>
    <s v="SOLRECOUP"/>
    <s v="POARECOUP"/>
    <n v="21328846"/>
    <n v="-33.7"/>
    <m/>
    <s v="Y"/>
    <n v="2"/>
    <d v="2023-07-04T19:38:23"/>
    <s v="N"/>
    <m/>
    <m/>
    <s v="Expert Disbursement"/>
    <m/>
    <s v="N"/>
    <n v="0"/>
    <n v="-5.62"/>
    <x v="1"/>
    <s v="VALIDATED"/>
    <n v="1"/>
    <s v="01.11.80.308.2013.0000"/>
    <n v="-5.62"/>
    <s v="11"/>
    <s v="2013"/>
    <n v="33277.69"/>
    <n v="-5.62"/>
    <s v="CREDITOR"/>
    <n v="0"/>
    <n v="0"/>
    <n v="-5.62"/>
    <n v="0"/>
    <n v="0"/>
  </r>
  <r>
    <n v="59679428"/>
    <s v="N"/>
    <n v="21328847"/>
    <s v="3000014061650005RC"/>
    <s v="CIVIL"/>
    <d v="2023-06-21T00:00:00"/>
    <d v="2023-07-04T19:38:21"/>
    <m/>
    <d v="2023-07-04T00:00:00"/>
    <n v="1783"/>
    <n v="19751"/>
    <s v="59679428"/>
    <s v="59679428"/>
    <m/>
    <m/>
    <m/>
    <m/>
    <m/>
    <m/>
    <s v="SOLRECOUP"/>
    <s v="SOLRECOUP"/>
    <s v="POARECOUP"/>
    <n v="21328847"/>
    <n v="-4064"/>
    <m/>
    <s v="Y"/>
    <n v="1"/>
    <d v="2023-07-04T19:38:23"/>
    <s v="N"/>
    <m/>
    <m/>
    <s v="Profit Cost"/>
    <m/>
    <s v="N"/>
    <n v="-3386.67"/>
    <n v="0"/>
    <x v="1"/>
    <s v="VALIDATED"/>
    <n v="1"/>
    <s v="01.11.80.305.2013.0000"/>
    <n v="-3386.67"/>
    <s v="11"/>
    <s v="2013"/>
    <n v="33277.69"/>
    <n v="-3386.67"/>
    <s v="CREDITOR"/>
    <n v="0"/>
    <n v="0"/>
    <n v="-3386.67"/>
    <n v="-846.6675"/>
    <n v="0"/>
  </r>
  <r>
    <n v="60710225"/>
    <s v="N"/>
    <n v="21333983"/>
    <s v="3000014955560019RC"/>
    <s v="CIVIL"/>
    <d v="2023-06-28T00:00:00"/>
    <d v="2023-07-05T19:42:28"/>
    <m/>
    <d v="2023-07-05T00:00:00"/>
    <n v="1783"/>
    <n v="19751"/>
    <s v="60710225"/>
    <s v="60710225"/>
    <m/>
    <m/>
    <m/>
    <m/>
    <m/>
    <m/>
    <s v="SOLRECOUP"/>
    <s v="SOLRECOUP"/>
    <s v="POARECOUP"/>
    <n v="21333983"/>
    <n v="-437.7"/>
    <m/>
    <s v="Y"/>
    <n v="1"/>
    <d v="2023-07-05T19:42:29"/>
    <s v="N"/>
    <m/>
    <m/>
    <s v="Non Expert Disbursement"/>
    <m/>
    <s v="N"/>
    <n v="-437.7"/>
    <n v="0"/>
    <x v="6"/>
    <s v="VALIDATED"/>
    <n v="1"/>
    <s v="01.11.80.308.2013.0000"/>
    <n v="-437.7"/>
    <s v="11"/>
    <s v="2013"/>
    <n v="33277.69"/>
    <n v="-437.7"/>
    <s v="CREDITOR"/>
    <n v="0"/>
    <n v="0"/>
    <n v="-437.7"/>
    <n v="0"/>
    <n v="0"/>
  </r>
  <r>
    <n v="60710225"/>
    <s v="N"/>
    <n v="21333983"/>
    <s v="3000014955560019RC"/>
    <s v="CIVIL"/>
    <d v="2023-06-28T00:00:00"/>
    <d v="2023-07-05T19:42:28"/>
    <m/>
    <d v="2023-07-05T00:00:00"/>
    <n v="1783"/>
    <n v="19751"/>
    <s v="60710225"/>
    <s v="60710225"/>
    <m/>
    <m/>
    <m/>
    <m/>
    <m/>
    <m/>
    <s v="SOLRECOUP"/>
    <s v="SOLRECOUP"/>
    <s v="POARECOUP"/>
    <n v="21333983"/>
    <n v="-437.7"/>
    <m/>
    <s v="Y"/>
    <n v="2"/>
    <d v="2023-07-05T19:42:29"/>
    <s v="N"/>
    <m/>
    <m/>
    <s v="Non Expert Disbursement"/>
    <m/>
    <s v="N"/>
    <n v="0"/>
    <n v="0"/>
    <x v="6"/>
    <s v="VALIDATED"/>
    <n v="1"/>
    <s v="01.11.80.000.0000.0000"/>
    <n v="0"/>
    <s v="11"/>
    <s v="0000"/>
    <n v="33277.69"/>
    <n v="0"/>
    <s v="CREDITOR"/>
    <n v="0"/>
    <n v="0"/>
    <n v="0"/>
    <n v="0"/>
    <n v="0"/>
  </r>
  <r>
    <n v="60710225"/>
    <s v="N"/>
    <n v="21333984"/>
    <s v="3000014955560020RC"/>
    <s v="CIVIL"/>
    <d v="2023-06-28T00:00:00"/>
    <d v="2023-07-05T19:42:28"/>
    <m/>
    <d v="2023-07-05T00:00:00"/>
    <n v="1783"/>
    <n v="19751"/>
    <s v="60710225"/>
    <s v="60710225"/>
    <m/>
    <m/>
    <m/>
    <m/>
    <m/>
    <m/>
    <s v="SOLRECOUP"/>
    <s v="SOLRECOUP"/>
    <s v="POARECOUP"/>
    <n v="21333984"/>
    <n v="-283.5"/>
    <m/>
    <s v="Y"/>
    <n v="1"/>
    <d v="2023-07-05T19:42:29"/>
    <s v="N"/>
    <m/>
    <m/>
    <s v="Non Expert Disbursement"/>
    <m/>
    <s v="N"/>
    <n v="-283.5"/>
    <n v="0"/>
    <x v="6"/>
    <s v="VALIDATED"/>
    <n v="1"/>
    <s v="01.11.80.308.2013.0000"/>
    <n v="-283.5"/>
    <s v="11"/>
    <s v="2013"/>
    <n v="33277.69"/>
    <n v="-283.5"/>
    <s v="CREDITOR"/>
    <n v="0"/>
    <n v="0"/>
    <n v="-283.5"/>
    <n v="0"/>
    <n v="0"/>
  </r>
  <r>
    <n v="60710225"/>
    <s v="N"/>
    <n v="21333984"/>
    <s v="3000014955560020RC"/>
    <s v="CIVIL"/>
    <d v="2023-06-28T00:00:00"/>
    <d v="2023-07-05T19:42:28"/>
    <m/>
    <d v="2023-07-05T00:00:00"/>
    <n v="1783"/>
    <n v="19751"/>
    <s v="60710225"/>
    <s v="60710225"/>
    <m/>
    <m/>
    <m/>
    <m/>
    <m/>
    <m/>
    <s v="SOLRECOUP"/>
    <s v="SOLRECOUP"/>
    <s v="POARECOUP"/>
    <n v="21333984"/>
    <n v="-283.5"/>
    <m/>
    <s v="Y"/>
    <n v="2"/>
    <d v="2023-07-05T19:42:29"/>
    <s v="N"/>
    <m/>
    <m/>
    <s v="Non Expert Disbursement"/>
    <m/>
    <s v="N"/>
    <n v="0"/>
    <n v="0"/>
    <x v="6"/>
    <s v="VALIDATED"/>
    <n v="1"/>
    <s v="01.11.80.000.0000.0000"/>
    <n v="0"/>
    <s v="11"/>
    <s v="0000"/>
    <n v="33277.69"/>
    <n v="0"/>
    <s v="CREDITOR"/>
    <n v="0"/>
    <n v="0"/>
    <n v="0"/>
    <n v="0"/>
    <n v="0"/>
  </r>
  <r>
    <n v="60710225"/>
    <s v="N"/>
    <n v="21333985"/>
    <s v="3000014955560021RC"/>
    <s v="CIVIL"/>
    <d v="2023-06-28T00:00:00"/>
    <d v="2023-07-05T19:42:28"/>
    <m/>
    <d v="2023-07-05T00:00:00"/>
    <n v="1783"/>
    <n v="19751"/>
    <s v="60710225"/>
    <s v="60710225"/>
    <m/>
    <m/>
    <m/>
    <m/>
    <m/>
    <m/>
    <s v="SOLRECOUP"/>
    <s v="SOLRECOUP"/>
    <s v="POARECOUP"/>
    <n v="21333985"/>
    <n v="-57"/>
    <m/>
    <s v="Y"/>
    <n v="1"/>
    <d v="2023-07-05T19:42:29"/>
    <s v="N"/>
    <m/>
    <m/>
    <s v="Non Expert Disbursement"/>
    <m/>
    <s v="N"/>
    <n v="-47.5"/>
    <n v="0"/>
    <x v="6"/>
    <s v="VALIDATED"/>
    <n v="1"/>
    <s v="01.11.80.308.2013.0000"/>
    <n v="-47.5"/>
    <s v="11"/>
    <s v="2013"/>
    <n v="33277.69"/>
    <n v="-47.5"/>
    <s v="CREDITOR"/>
    <n v="0"/>
    <n v="0"/>
    <n v="-47.5"/>
    <n v="0"/>
    <n v="0"/>
  </r>
  <r>
    <n v="60710225"/>
    <s v="N"/>
    <n v="21333985"/>
    <s v="3000014955560021RC"/>
    <s v="CIVIL"/>
    <d v="2023-06-28T00:00:00"/>
    <d v="2023-07-05T19:42:28"/>
    <m/>
    <d v="2023-07-05T00:00:00"/>
    <n v="1783"/>
    <n v="19751"/>
    <s v="60710225"/>
    <s v="60710225"/>
    <m/>
    <m/>
    <m/>
    <m/>
    <m/>
    <m/>
    <s v="SOLRECOUP"/>
    <s v="SOLRECOUP"/>
    <s v="POARECOUP"/>
    <n v="21333985"/>
    <n v="-57"/>
    <m/>
    <s v="Y"/>
    <n v="2"/>
    <d v="2023-07-05T19:42:29"/>
    <s v="N"/>
    <m/>
    <m/>
    <s v="Non Expert Disbursement"/>
    <m/>
    <s v="N"/>
    <n v="0"/>
    <n v="-9.5"/>
    <x v="6"/>
    <s v="VALIDATED"/>
    <n v="1"/>
    <s v="01.11.80.308.2013.0000"/>
    <n v="-9.5"/>
    <s v="11"/>
    <s v="2013"/>
    <n v="33277.69"/>
    <n v="-9.5"/>
    <s v="CREDITOR"/>
    <n v="0"/>
    <n v="0"/>
    <n v="-9.5"/>
    <n v="0"/>
    <n v="0"/>
  </r>
  <r>
    <n v="60710225"/>
    <s v="N"/>
    <n v="21333986"/>
    <s v="3000014955560018RC"/>
    <s v="CIVIL"/>
    <d v="2023-06-28T00:00:00"/>
    <d v="2023-07-05T19:42:28"/>
    <m/>
    <d v="2023-07-05T00:00:00"/>
    <n v="1783"/>
    <n v="19751"/>
    <s v="60710225"/>
    <s v="60710225"/>
    <m/>
    <m/>
    <m/>
    <m/>
    <m/>
    <m/>
    <s v="SOLRECOUP"/>
    <s v="SOLRECOUP"/>
    <s v="POARECOUP"/>
    <n v="21333986"/>
    <n v="-319.5"/>
    <m/>
    <s v="Y"/>
    <n v="1"/>
    <d v="2023-07-05T19:42:29"/>
    <s v="N"/>
    <m/>
    <m/>
    <s v="Non Expert Disbursement"/>
    <m/>
    <s v="N"/>
    <n v="-266.25"/>
    <n v="0"/>
    <x v="6"/>
    <s v="VALIDATED"/>
    <n v="1"/>
    <s v="01.11.80.308.2013.0000"/>
    <n v="-266.25"/>
    <s v="11"/>
    <s v="2013"/>
    <n v="33277.69"/>
    <n v="-266.25"/>
    <s v="CREDITOR"/>
    <n v="0"/>
    <n v="0"/>
    <n v="-266.25"/>
    <n v="0"/>
    <n v="0"/>
  </r>
  <r>
    <n v="60710225"/>
    <s v="N"/>
    <n v="21333986"/>
    <s v="3000014955560018RC"/>
    <s v="CIVIL"/>
    <d v="2023-06-28T00:00:00"/>
    <d v="2023-07-05T19:42:28"/>
    <m/>
    <d v="2023-07-05T00:00:00"/>
    <n v="1783"/>
    <n v="19751"/>
    <s v="60710225"/>
    <s v="60710225"/>
    <m/>
    <m/>
    <m/>
    <m/>
    <m/>
    <m/>
    <s v="SOLRECOUP"/>
    <s v="SOLRECOUP"/>
    <s v="POARECOUP"/>
    <n v="21333986"/>
    <n v="-319.5"/>
    <m/>
    <s v="Y"/>
    <n v="2"/>
    <d v="2023-07-05T19:42:29"/>
    <s v="N"/>
    <m/>
    <m/>
    <s v="Non Expert Disbursement"/>
    <m/>
    <s v="N"/>
    <n v="0"/>
    <n v="-53.25"/>
    <x v="6"/>
    <s v="VALIDATED"/>
    <n v="1"/>
    <s v="01.11.80.308.2013.0000"/>
    <n v="-53.25"/>
    <s v="11"/>
    <s v="2013"/>
    <n v="33277.69"/>
    <n v="-53.25"/>
    <s v="CREDITOR"/>
    <n v="0"/>
    <n v="0"/>
    <n v="-53.25"/>
    <n v="0"/>
    <n v="0"/>
  </r>
  <r>
    <n v="59679428"/>
    <s v="N"/>
    <n v="21328847"/>
    <s v="3000014061650005RC"/>
    <s v="CIVIL"/>
    <d v="2023-06-21T00:00:00"/>
    <d v="2023-07-04T19:38:21"/>
    <m/>
    <d v="2023-07-04T00:00:00"/>
    <n v="1783"/>
    <n v="19751"/>
    <s v="59679428"/>
    <s v="59679428"/>
    <m/>
    <m/>
    <m/>
    <m/>
    <m/>
    <m/>
    <s v="SOLRECOUP"/>
    <s v="SOLRECOUP"/>
    <s v="POARECOUP"/>
    <n v="21328847"/>
    <n v="-4064"/>
    <m/>
    <s v="Y"/>
    <n v="2"/>
    <d v="2023-07-04T19:38:23"/>
    <s v="N"/>
    <m/>
    <m/>
    <s v="Profit Cost"/>
    <m/>
    <s v="N"/>
    <n v="0"/>
    <n v="-677.33"/>
    <x v="1"/>
    <s v="VALIDATED"/>
    <n v="1"/>
    <s v="01.11.80.305.2013.0000"/>
    <n v="-677.33"/>
    <s v="11"/>
    <s v="2013"/>
    <n v="33277.69"/>
    <n v="-677.33"/>
    <s v="CREDITOR"/>
    <n v="0"/>
    <n v="0"/>
    <n v="-677.33"/>
    <n v="-169.3325"/>
    <n v="0"/>
  </r>
  <r>
    <n v="52945554"/>
    <s v="N"/>
    <n v="21328848"/>
    <s v="3000012728120007RC"/>
    <s v="CIVIL"/>
    <d v="2023-06-27T00:00:00"/>
    <d v="2023-07-04T19:38:21"/>
    <m/>
    <d v="2023-07-04T00:00:00"/>
    <n v="1783"/>
    <n v="19751"/>
    <s v="52945554"/>
    <s v="52945554"/>
    <m/>
    <m/>
    <m/>
    <m/>
    <m/>
    <m/>
    <s v="SOLRECOUP"/>
    <s v="SOLRECOUP"/>
    <s v="POARECOUP"/>
    <n v="21328848"/>
    <n v="-120.86"/>
    <m/>
    <s v="Y"/>
    <n v="1"/>
    <d v="2023-07-04T19:38:23"/>
    <s v="N"/>
    <m/>
    <m/>
    <s v="Non Expert Disbursement"/>
    <m/>
    <s v="N"/>
    <n v="-100.72"/>
    <n v="0"/>
    <x v="1"/>
    <s v="VALIDATED"/>
    <n v="1"/>
    <s v="01.11.80.308.2013.0000"/>
    <n v="-100.72"/>
    <s v="11"/>
    <s v="2013"/>
    <n v="33277.69"/>
    <n v="-100.72"/>
    <s v="CREDITOR"/>
    <n v="0"/>
    <n v="0"/>
    <n v="-100.72"/>
    <n v="0"/>
    <n v="0"/>
  </r>
  <r>
    <n v="52945554"/>
    <s v="N"/>
    <n v="21328848"/>
    <s v="3000012728120007RC"/>
    <s v="CIVIL"/>
    <d v="2023-06-27T00:00:00"/>
    <d v="2023-07-04T19:38:21"/>
    <m/>
    <d v="2023-07-04T00:00:00"/>
    <n v="1783"/>
    <n v="19751"/>
    <s v="52945554"/>
    <s v="52945554"/>
    <m/>
    <m/>
    <m/>
    <m/>
    <m/>
    <m/>
    <s v="SOLRECOUP"/>
    <s v="SOLRECOUP"/>
    <s v="POARECOUP"/>
    <n v="21328848"/>
    <n v="-120.86"/>
    <m/>
    <s v="Y"/>
    <n v="2"/>
    <d v="2023-07-04T19:38:23"/>
    <s v="N"/>
    <m/>
    <m/>
    <s v="Non Expert Disbursement"/>
    <m/>
    <s v="N"/>
    <n v="0"/>
    <n v="-20.14"/>
    <x v="1"/>
    <s v="VALIDATED"/>
    <n v="1"/>
    <s v="01.11.80.308.2013.0000"/>
    <n v="-20.14"/>
    <s v="11"/>
    <s v="2013"/>
    <n v="33277.69"/>
    <n v="-20.14"/>
    <s v="CREDITOR"/>
    <n v="0"/>
    <n v="0"/>
    <n v="-20.14"/>
    <n v="0"/>
    <n v="0"/>
  </r>
  <r>
    <n v="52945554"/>
    <s v="N"/>
    <n v="21328849"/>
    <s v="3000012728120011RC"/>
    <s v="CIVIL"/>
    <d v="2023-06-27T00:00:00"/>
    <d v="2023-07-04T19:38:21"/>
    <m/>
    <d v="2023-07-04T00:00:00"/>
    <n v="1783"/>
    <n v="19751"/>
    <s v="52945554"/>
    <s v="52945554"/>
    <m/>
    <m/>
    <m/>
    <m/>
    <m/>
    <m/>
    <s v="SOLRECOUP"/>
    <s v="SOLRECOUP"/>
    <s v="POARECOUP"/>
    <n v="21328849"/>
    <n v="-388.2"/>
    <m/>
    <s v="Y"/>
    <n v="1"/>
    <d v="2023-07-04T19:38:23"/>
    <s v="N"/>
    <m/>
    <m/>
    <s v="Non Expert Disbursement"/>
    <m/>
    <s v="N"/>
    <n v="-323.5"/>
    <n v="0"/>
    <x v="1"/>
    <s v="VALIDATED"/>
    <n v="1"/>
    <s v="01.11.80.308.2013.0000"/>
    <n v="-323.5"/>
    <s v="11"/>
    <s v="2013"/>
    <n v="33277.69"/>
    <n v="-323.5"/>
    <s v="CREDITOR"/>
    <n v="0"/>
    <n v="0"/>
    <n v="-323.5"/>
    <n v="0"/>
    <n v="0"/>
  </r>
  <r>
    <n v="52945554"/>
    <s v="N"/>
    <n v="21328849"/>
    <s v="3000012728120011RC"/>
    <s v="CIVIL"/>
    <d v="2023-06-27T00:00:00"/>
    <d v="2023-07-04T19:38:21"/>
    <m/>
    <d v="2023-07-04T00:00:00"/>
    <n v="1783"/>
    <n v="19751"/>
    <s v="52945554"/>
    <s v="52945554"/>
    <m/>
    <m/>
    <m/>
    <m/>
    <m/>
    <m/>
    <s v="SOLRECOUP"/>
    <s v="SOLRECOUP"/>
    <s v="POARECOUP"/>
    <n v="21328849"/>
    <n v="-388.2"/>
    <m/>
    <s v="Y"/>
    <n v="2"/>
    <d v="2023-07-04T19:38:23"/>
    <s v="N"/>
    <m/>
    <m/>
    <s v="Non Expert Disbursement"/>
    <m/>
    <s v="N"/>
    <n v="0"/>
    <n v="-64.7"/>
    <x v="1"/>
    <s v="VALIDATED"/>
    <n v="1"/>
    <s v="01.11.80.308.2013.0000"/>
    <n v="-64.7"/>
    <s v="11"/>
    <s v="2013"/>
    <n v="33277.69"/>
    <n v="-64.7"/>
    <s v="CREDITOR"/>
    <n v="0"/>
    <n v="0"/>
    <n v="-64.7"/>
    <n v="0"/>
    <n v="0"/>
  </r>
  <r>
    <n v="52945554"/>
    <s v="N"/>
    <n v="21328850"/>
    <s v="3000012728120015RC"/>
    <s v="CIVIL"/>
    <d v="2023-06-27T00:00:00"/>
    <d v="2023-07-04T19:38:21"/>
    <m/>
    <d v="2023-07-04T00:00:00"/>
    <n v="1783"/>
    <n v="19751"/>
    <s v="52945554"/>
    <s v="52945554"/>
    <m/>
    <m/>
    <m/>
    <m/>
    <m/>
    <m/>
    <s v="SOLRECOUP"/>
    <s v="SOLRECOUP"/>
    <s v="POARECOUP"/>
    <n v="21328850"/>
    <n v="-1303.3"/>
    <m/>
    <s v="Y"/>
    <n v="1"/>
    <d v="2023-07-04T19:38:23"/>
    <s v="N"/>
    <m/>
    <m/>
    <s v="Profit Cost"/>
    <m/>
    <s v="N"/>
    <n v="-1086.08"/>
    <n v="0"/>
    <x v="1"/>
    <s v="VALIDATED"/>
    <n v="1"/>
    <s v="01.11.80.308.2013.0000"/>
    <n v="-1086.08"/>
    <s v="11"/>
    <s v="2013"/>
    <n v="33277.69"/>
    <n v="-1086.08"/>
    <s v="CREDITOR"/>
    <n v="0"/>
    <n v="0"/>
    <n v="-1086.08"/>
    <n v="-271.52"/>
    <n v="0"/>
  </r>
  <r>
    <n v="52945554"/>
    <s v="N"/>
    <n v="21328850"/>
    <s v="3000012728120015RC"/>
    <s v="CIVIL"/>
    <d v="2023-06-27T00:00:00"/>
    <d v="2023-07-04T19:38:21"/>
    <m/>
    <d v="2023-07-04T00:00:00"/>
    <n v="1783"/>
    <n v="19751"/>
    <s v="52945554"/>
    <s v="52945554"/>
    <m/>
    <m/>
    <m/>
    <m/>
    <m/>
    <m/>
    <s v="SOLRECOUP"/>
    <s v="SOLRECOUP"/>
    <s v="POARECOUP"/>
    <n v="21328850"/>
    <n v="-1303.3"/>
    <m/>
    <s v="Y"/>
    <n v="2"/>
    <d v="2023-07-04T19:38:23"/>
    <s v="N"/>
    <m/>
    <m/>
    <s v="Profit Cost"/>
    <m/>
    <s v="N"/>
    <n v="0"/>
    <n v="-217.22"/>
    <x v="1"/>
    <s v="VALIDATED"/>
    <n v="1"/>
    <s v="01.11.80.308.2013.0000"/>
    <n v="-217.22"/>
    <s v="11"/>
    <s v="2013"/>
    <n v="33277.69"/>
    <n v="-217.22"/>
    <s v="CREDITOR"/>
    <n v="0"/>
    <n v="0"/>
    <n v="-217.22"/>
    <n v="-54.305"/>
    <n v="0"/>
  </r>
  <r>
    <n v="52945554"/>
    <s v="N"/>
    <n v="21328851"/>
    <s v="3000012728120022RC"/>
    <s v="CIVIL"/>
    <d v="2023-06-27T00:00:00"/>
    <d v="2023-07-04T19:38:21"/>
    <m/>
    <d v="2023-07-04T00:00:00"/>
    <n v="1783"/>
    <n v="19751"/>
    <s v="52945554"/>
    <s v="52945554"/>
    <m/>
    <m/>
    <m/>
    <m/>
    <m/>
    <m/>
    <s v="SOLRECOUP"/>
    <s v="SOLRECOUP"/>
    <s v="POARECOUP"/>
    <n v="21328851"/>
    <n v="-376.68"/>
    <m/>
    <s v="Y"/>
    <n v="1"/>
    <d v="2023-07-04T19:38:23"/>
    <s v="N"/>
    <m/>
    <m/>
    <s v="Profit Cost"/>
    <m/>
    <s v="N"/>
    <n v="-313.9"/>
    <n v="0"/>
    <x v="1"/>
    <s v="VALIDATED"/>
    <n v="1"/>
    <s v="01.11.80.308.2013.0000"/>
    <n v="-313.9"/>
    <s v="11"/>
    <s v="2013"/>
    <n v="33277.69"/>
    <n v="-313.9"/>
    <s v="CREDITOR"/>
    <n v="0"/>
    <n v="0"/>
    <n v="-313.9"/>
    <n v="-78.47499999999999"/>
    <n v="0"/>
  </r>
  <r>
    <n v="52945554"/>
    <s v="N"/>
    <n v="21328851"/>
    <s v="3000012728120022RC"/>
    <s v="CIVIL"/>
    <d v="2023-06-27T00:00:00"/>
    <d v="2023-07-04T19:38:21"/>
    <m/>
    <d v="2023-07-04T00:00:00"/>
    <n v="1783"/>
    <n v="19751"/>
    <s v="52945554"/>
    <s v="52945554"/>
    <m/>
    <m/>
    <m/>
    <m/>
    <m/>
    <m/>
    <s v="SOLRECOUP"/>
    <s v="SOLRECOUP"/>
    <s v="POARECOUP"/>
    <n v="21328851"/>
    <n v="-376.68"/>
    <m/>
    <s v="Y"/>
    <n v="2"/>
    <d v="2023-07-04T19:38:23"/>
    <s v="N"/>
    <m/>
    <m/>
    <s v="Profit Cost"/>
    <m/>
    <s v="N"/>
    <n v="0"/>
    <n v="-62.78"/>
    <x v="1"/>
    <s v="VALIDATED"/>
    <n v="1"/>
    <s v="01.11.80.308.2013.0000"/>
    <n v="-62.78"/>
    <s v="11"/>
    <s v="2013"/>
    <n v="33277.69"/>
    <n v="-62.78"/>
    <s v="CREDITOR"/>
    <n v="0"/>
    <n v="0"/>
    <n v="-62.78"/>
    <n v="-15.695"/>
    <n v="0"/>
  </r>
  <r>
    <n v="52945554"/>
    <s v="N"/>
    <n v="21328852"/>
    <s v="3000012728120024RC"/>
    <s v="CIVIL"/>
    <d v="2023-06-27T00:00:00"/>
    <d v="2023-07-04T19:38:21"/>
    <m/>
    <d v="2023-07-04T00:00:00"/>
    <n v="1783"/>
    <n v="19751"/>
    <s v="52945554"/>
    <s v="52945554"/>
    <m/>
    <m/>
    <m/>
    <m/>
    <m/>
    <m/>
    <s v="SOLRECOUP"/>
    <s v="SOLRECOUP"/>
    <s v="POARECOUP"/>
    <n v="21328852"/>
    <n v="-604.6"/>
    <m/>
    <s v="Y"/>
    <n v="1"/>
    <d v="2023-07-04T19:38:23"/>
    <s v="N"/>
    <m/>
    <m/>
    <s v="Profit Cost"/>
    <m/>
    <s v="N"/>
    <n v="-503.83"/>
    <n v="0"/>
    <x v="1"/>
    <s v="VALIDATED"/>
    <n v="1"/>
    <s v="01.11.80.308.2013.0000"/>
    <n v="-503.83"/>
    <s v="11"/>
    <s v="2013"/>
    <n v="33277.69"/>
    <n v="-503.83"/>
    <s v="CREDITOR"/>
    <n v="0"/>
    <n v="0"/>
    <n v="-503.83"/>
    <n v="-125.9575"/>
    <n v="0"/>
  </r>
  <r>
    <n v="61715150"/>
    <s v="N"/>
    <n v="21346481"/>
    <s v="3000015794730003RC"/>
    <s v="CIVIL"/>
    <d v="2023-06-29T00:00:00"/>
    <d v="2023-07-07T19:34:21"/>
    <m/>
    <d v="2023-07-07T00:00:00"/>
    <n v="1783"/>
    <n v="19751"/>
    <s v="61715150"/>
    <s v="61715150"/>
    <m/>
    <m/>
    <m/>
    <m/>
    <m/>
    <m/>
    <s v="SOLRECOUP"/>
    <s v="SOLRECOUP"/>
    <s v="POARECOUP"/>
    <n v="21346481"/>
    <n v="-344"/>
    <m/>
    <s v="Y"/>
    <n v="1"/>
    <d v="2023-07-07T19:34:23"/>
    <s v="N"/>
    <m/>
    <m/>
    <s v="Non Expert Disbursement"/>
    <m/>
    <s v="N"/>
    <n v="-286.67"/>
    <n v="0"/>
    <x v="9"/>
    <s v="VALIDATED"/>
    <n v="1"/>
    <s v="01.11.80.305.2013.0000"/>
    <n v="-286.67"/>
    <s v="11"/>
    <s v="2013"/>
    <n v="33277.69"/>
    <n v="-286.67"/>
    <s v="CREDITOR"/>
    <n v="0"/>
    <n v="0"/>
    <n v="-286.67"/>
    <n v="0"/>
    <n v="0"/>
  </r>
  <r>
    <n v="61715150"/>
    <s v="N"/>
    <n v="21346481"/>
    <s v="3000015794730003RC"/>
    <s v="CIVIL"/>
    <d v="2023-06-29T00:00:00"/>
    <d v="2023-07-07T19:34:21"/>
    <m/>
    <d v="2023-07-07T00:00:00"/>
    <n v="1783"/>
    <n v="19751"/>
    <s v="61715150"/>
    <s v="61715150"/>
    <m/>
    <m/>
    <m/>
    <m/>
    <m/>
    <m/>
    <s v="SOLRECOUP"/>
    <s v="SOLRECOUP"/>
    <s v="POARECOUP"/>
    <n v="21346481"/>
    <n v="-344"/>
    <m/>
    <s v="Y"/>
    <n v="2"/>
    <d v="2023-07-07T19:34:23"/>
    <s v="N"/>
    <m/>
    <m/>
    <s v="Non Expert Disbursement"/>
    <m/>
    <s v="N"/>
    <n v="0"/>
    <n v="-57.33"/>
    <x v="9"/>
    <s v="VALIDATED"/>
    <n v="1"/>
    <s v="01.11.80.305.2013.0000"/>
    <n v="-57.33"/>
    <s v="11"/>
    <s v="2013"/>
    <n v="33277.69"/>
    <n v="-57.33"/>
    <s v="CREDITOR"/>
    <n v="0"/>
    <n v="0"/>
    <n v="-57.33"/>
    <n v="0"/>
    <n v="0"/>
  </r>
  <r>
    <n v="61236485"/>
    <s v="N"/>
    <n v="21356716"/>
    <s v="3000015401790026RC"/>
    <s v="CIVIL"/>
    <d v="2023-06-30T00:00:00"/>
    <d v="2023-07-10T19:47:44"/>
    <m/>
    <d v="2023-07-10T00:00:00"/>
    <n v="1783"/>
    <n v="19751"/>
    <s v="61236485"/>
    <s v="61236485"/>
    <m/>
    <m/>
    <m/>
    <m/>
    <m/>
    <m/>
    <s v="SOLRECOUP"/>
    <s v="SOLRECOUP"/>
    <s v="POARECOUP"/>
    <n v="21356716"/>
    <n v="-141.7"/>
    <m/>
    <s v="Y"/>
    <n v="1"/>
    <d v="2023-07-10T19:47:46"/>
    <s v="N"/>
    <m/>
    <m/>
    <s v="Non Expert Disbursement"/>
    <m/>
    <s v="N"/>
    <n v="-141.7"/>
    <n v="0"/>
    <x v="2"/>
    <s v="VALIDATED"/>
    <n v="1"/>
    <s v="01.11.80.308.2013.0000"/>
    <n v="-141.7"/>
    <s v="11"/>
    <s v="2013"/>
    <n v="33277.69"/>
    <n v="-141.7"/>
    <s v="CREDITOR"/>
    <n v="0"/>
    <n v="0"/>
    <n v="-141.7"/>
    <n v="0"/>
    <n v="0"/>
  </r>
  <r>
    <n v="61236485"/>
    <s v="N"/>
    <n v="21356716"/>
    <s v="3000015401790026RC"/>
    <s v="CIVIL"/>
    <d v="2023-06-30T00:00:00"/>
    <d v="2023-07-10T19:47:44"/>
    <m/>
    <d v="2023-07-10T00:00:00"/>
    <n v="1783"/>
    <n v="19751"/>
    <s v="61236485"/>
    <s v="61236485"/>
    <m/>
    <m/>
    <m/>
    <m/>
    <m/>
    <m/>
    <s v="SOLRECOUP"/>
    <s v="SOLRECOUP"/>
    <s v="POARECOUP"/>
    <n v="21356716"/>
    <n v="-141.7"/>
    <m/>
    <s v="Y"/>
    <n v="2"/>
    <d v="2023-07-10T19:47:46"/>
    <s v="N"/>
    <m/>
    <m/>
    <s v="Non Expert Disbursement"/>
    <m/>
    <s v="N"/>
    <n v="0"/>
    <n v="0"/>
    <x v="2"/>
    <s v="VALIDATED"/>
    <n v="1"/>
    <s v="01.11.80.000.0000.0000"/>
    <n v="0"/>
    <s v="11"/>
    <s v="0000"/>
    <n v="33277.69"/>
    <n v="0"/>
    <s v="CREDITOR"/>
    <n v="0"/>
    <n v="0"/>
    <n v="0"/>
    <n v="0"/>
    <n v="0"/>
  </r>
  <r>
    <n v="61236485"/>
    <s v="N"/>
    <n v="21356717"/>
    <s v="3000015401790010RC"/>
    <s v="CIVIL"/>
    <d v="2023-06-30T00:00:00"/>
    <d v="2023-07-10T19:47:44"/>
    <m/>
    <d v="2023-07-10T00:00:00"/>
    <n v="1783"/>
    <n v="19751"/>
    <s v="61236485"/>
    <s v="61236485"/>
    <m/>
    <m/>
    <m/>
    <m/>
    <m/>
    <m/>
    <s v="SOLRECOUP"/>
    <s v="SOLRECOUP"/>
    <s v="POARECOUP"/>
    <n v="21356717"/>
    <n v="-192.67"/>
    <m/>
    <s v="Y"/>
    <n v="1"/>
    <d v="2023-07-10T19:47:46"/>
    <s v="N"/>
    <m/>
    <m/>
    <s v="Profit Cost"/>
    <m/>
    <s v="N"/>
    <n v="-160.56"/>
    <n v="0"/>
    <x v="2"/>
    <s v="VALIDATED"/>
    <n v="1"/>
    <s v="01.11.80.308.2013.0000"/>
    <n v="-160.56"/>
    <s v="11"/>
    <s v="2013"/>
    <n v="33277.69"/>
    <n v="-160.56"/>
    <s v="CREDITOR"/>
    <n v="0"/>
    <n v="0"/>
    <n v="-160.56"/>
    <n v="-40.14"/>
    <n v="0"/>
  </r>
  <r>
    <n v="61236485"/>
    <s v="N"/>
    <n v="21356717"/>
    <s v="3000015401790010RC"/>
    <s v="CIVIL"/>
    <d v="2023-06-30T00:00:00"/>
    <d v="2023-07-10T19:47:44"/>
    <m/>
    <d v="2023-07-10T00:00:00"/>
    <n v="1783"/>
    <n v="19751"/>
    <s v="61236485"/>
    <s v="61236485"/>
    <m/>
    <m/>
    <m/>
    <m/>
    <m/>
    <m/>
    <s v="SOLRECOUP"/>
    <s v="SOLRECOUP"/>
    <s v="POARECOUP"/>
    <n v="21356717"/>
    <n v="-192.67"/>
    <m/>
    <s v="Y"/>
    <n v="2"/>
    <d v="2023-07-10T19:47:46"/>
    <s v="N"/>
    <m/>
    <m/>
    <s v="Profit Cost"/>
    <m/>
    <s v="N"/>
    <n v="0"/>
    <n v="-32.11"/>
    <x v="2"/>
    <s v="VALIDATED"/>
    <n v="1"/>
    <s v="01.11.80.308.2013.0000"/>
    <n v="-32.11"/>
    <s v="11"/>
    <s v="2013"/>
    <n v="33277.69"/>
    <n v="-32.11"/>
    <s v="CREDITOR"/>
    <n v="0"/>
    <n v="0"/>
    <n v="-32.11"/>
    <n v="-8.0275"/>
    <n v="0"/>
  </r>
  <r>
    <n v="61487226"/>
    <s v="N"/>
    <n v="21356718"/>
    <s v="3000015612790006RC"/>
    <s v="CIVIL"/>
    <d v="2023-06-29T00:00:00"/>
    <d v="2023-07-10T19:47:44"/>
    <m/>
    <d v="2023-07-10T00:00:00"/>
    <n v="1783"/>
    <n v="19751"/>
    <s v="61487226"/>
    <s v="61487226"/>
    <m/>
    <m/>
    <m/>
    <m/>
    <m/>
    <m/>
    <s v="SOLRECOUP"/>
    <s v="SOLRECOUP"/>
    <s v="POARECOUP"/>
    <n v="21356718"/>
    <n v="-1552.09"/>
    <m/>
    <s v="Y"/>
    <n v="1"/>
    <d v="2023-07-10T19:47:46"/>
    <s v="N"/>
    <m/>
    <m/>
    <s v="Profit Cost"/>
    <m/>
    <s v="N"/>
    <n v="-1293.41"/>
    <n v="0"/>
    <x v="2"/>
    <s v="VALIDATED"/>
    <n v="1"/>
    <s v="01.11.80.308.2013.0000"/>
    <n v="-1293.41"/>
    <s v="11"/>
    <s v="2013"/>
    <n v="33277.69"/>
    <n v="-1293.41"/>
    <s v="CREDITOR"/>
    <n v="0"/>
    <n v="0"/>
    <n v="-1293.41"/>
    <n v="-323.3525"/>
    <n v="0"/>
  </r>
  <r>
    <n v="61487226"/>
    <s v="N"/>
    <n v="21356718"/>
    <s v="3000015612790006RC"/>
    <s v="CIVIL"/>
    <d v="2023-06-29T00:00:00"/>
    <d v="2023-07-10T19:47:44"/>
    <m/>
    <d v="2023-07-10T00:00:00"/>
    <n v="1783"/>
    <n v="19751"/>
    <s v="61487226"/>
    <s v="61487226"/>
    <m/>
    <m/>
    <m/>
    <m/>
    <m/>
    <m/>
    <s v="SOLRECOUP"/>
    <s v="SOLRECOUP"/>
    <s v="POARECOUP"/>
    <n v="21356718"/>
    <n v="-1552.09"/>
    <m/>
    <s v="Y"/>
    <n v="2"/>
    <d v="2023-07-10T19:47:46"/>
    <s v="N"/>
    <m/>
    <m/>
    <s v="Profit Cost"/>
    <m/>
    <s v="N"/>
    <n v="0"/>
    <n v="-258.68"/>
    <x v="2"/>
    <s v="VALIDATED"/>
    <n v="1"/>
    <s v="01.11.80.308.2013.0000"/>
    <n v="-258.68"/>
    <s v="11"/>
    <s v="2013"/>
    <n v="33277.69"/>
    <n v="-258.68"/>
    <s v="CREDITOR"/>
    <n v="0"/>
    <n v="0"/>
    <n v="-258.68"/>
    <n v="-64.67"/>
    <n v="0"/>
  </r>
  <r>
    <n v="61487226"/>
    <s v="N"/>
    <n v="21356719"/>
    <s v="3000015612790004RC"/>
    <s v="CIVIL"/>
    <d v="2023-06-29T00:00:00"/>
    <d v="2023-07-10T19:47:44"/>
    <m/>
    <d v="2023-07-10T00:00:00"/>
    <n v="1783"/>
    <n v="19751"/>
    <s v="61487226"/>
    <s v="61487226"/>
    <m/>
    <m/>
    <m/>
    <m/>
    <m/>
    <m/>
    <s v="SOLRECOUP"/>
    <s v="SOLRECOUP"/>
    <s v="POARECOUP"/>
    <n v="21356719"/>
    <n v="-250"/>
    <m/>
    <s v="Y"/>
    <n v="1"/>
    <d v="2023-07-10T19:47:46"/>
    <s v="N"/>
    <m/>
    <m/>
    <s v="Non Expert Disbursement"/>
    <m/>
    <s v="N"/>
    <n v="-208.33"/>
    <n v="0"/>
    <x v="2"/>
    <s v="VALIDATED"/>
    <n v="1"/>
    <s v="01.11.80.308.2013.0000"/>
    <n v="-208.33"/>
    <s v="11"/>
    <s v="2013"/>
    <n v="33277.69"/>
    <n v="-208.33"/>
    <s v="CREDITOR"/>
    <n v="0"/>
    <n v="0"/>
    <n v="-208.33"/>
    <n v="0"/>
    <n v="0"/>
  </r>
  <r>
    <n v="61487226"/>
    <s v="N"/>
    <n v="21356719"/>
    <s v="3000015612790004RC"/>
    <s v="CIVIL"/>
    <d v="2023-06-29T00:00:00"/>
    <d v="2023-07-10T19:47:44"/>
    <m/>
    <d v="2023-07-10T00:00:00"/>
    <n v="1783"/>
    <n v="19751"/>
    <s v="61487226"/>
    <s v="61487226"/>
    <m/>
    <m/>
    <m/>
    <m/>
    <m/>
    <m/>
    <s v="SOLRECOUP"/>
    <s v="SOLRECOUP"/>
    <s v="POARECOUP"/>
    <n v="21356719"/>
    <n v="-250"/>
    <m/>
    <s v="Y"/>
    <n v="2"/>
    <d v="2023-07-10T19:47:46"/>
    <s v="N"/>
    <m/>
    <m/>
    <s v="Non Expert Disbursement"/>
    <m/>
    <s v="N"/>
    <n v="0"/>
    <n v="-41.67"/>
    <x v="2"/>
    <s v="VALIDATED"/>
    <n v="1"/>
    <s v="01.11.80.308.2013.0000"/>
    <n v="-41.67"/>
    <s v="11"/>
    <s v="2013"/>
    <n v="33277.69"/>
    <n v="-41.67"/>
    <s v="CREDITOR"/>
    <n v="0"/>
    <n v="0"/>
    <n v="-41.67"/>
    <n v="0"/>
    <n v="0"/>
  </r>
  <r>
    <n v="61236485"/>
    <s v="N"/>
    <n v="21356720"/>
    <s v="3000015401790025RC"/>
    <s v="CIVIL"/>
    <d v="2023-06-30T00:00:00"/>
    <d v="2023-07-10T19:47:44"/>
    <m/>
    <d v="2023-07-10T00:00:00"/>
    <n v="1783"/>
    <n v="19751"/>
    <s v="61236485"/>
    <s v="61236485"/>
    <m/>
    <m/>
    <m/>
    <m/>
    <m/>
    <m/>
    <s v="SOLRECOUP"/>
    <s v="SOLRECOUP"/>
    <s v="POARECOUP"/>
    <n v="21356720"/>
    <n v="-1168"/>
    <m/>
    <s v="Y"/>
    <n v="1"/>
    <d v="2023-07-10T19:47:46"/>
    <s v="N"/>
    <m/>
    <m/>
    <s v="Non Expert Disbursement"/>
    <m/>
    <s v="N"/>
    <n v="-1168"/>
    <n v="0"/>
    <x v="2"/>
    <s v="VALIDATED"/>
    <n v="1"/>
    <s v="01.11.80.308.2013.0000"/>
    <n v="-1168"/>
    <s v="11"/>
    <s v="2013"/>
    <n v="33277.69"/>
    <n v="-1168"/>
    <s v="CREDITOR"/>
    <n v="0"/>
    <n v="0"/>
    <n v="-1168"/>
    <n v="0"/>
    <n v="0"/>
  </r>
  <r>
    <n v="61236485"/>
    <s v="N"/>
    <n v="21356720"/>
    <s v="3000015401790025RC"/>
    <s v="CIVIL"/>
    <d v="2023-06-30T00:00:00"/>
    <d v="2023-07-10T19:47:44"/>
    <m/>
    <d v="2023-07-10T00:00:00"/>
    <n v="1783"/>
    <n v="19751"/>
    <s v="61236485"/>
    <s v="61236485"/>
    <m/>
    <m/>
    <m/>
    <m/>
    <m/>
    <m/>
    <s v="SOLRECOUP"/>
    <s v="SOLRECOUP"/>
    <s v="POARECOUP"/>
    <n v="21356720"/>
    <n v="-1168"/>
    <m/>
    <s v="Y"/>
    <n v="2"/>
    <d v="2023-07-10T19:47:46"/>
    <s v="N"/>
    <m/>
    <m/>
    <s v="Non Expert Disbursement"/>
    <m/>
    <s v="N"/>
    <n v="0"/>
    <n v="0"/>
    <x v="2"/>
    <s v="VALIDATED"/>
    <n v="1"/>
    <s v="01.11.80.000.0000.0000"/>
    <n v="0"/>
    <s v="11"/>
    <s v="0000"/>
    <n v="33277.69"/>
    <n v="0"/>
    <s v="CREDITOR"/>
    <n v="0"/>
    <n v="0"/>
    <n v="0"/>
    <n v="0"/>
    <n v="0"/>
  </r>
  <r>
    <n v="61236485"/>
    <s v="N"/>
    <n v="21356721"/>
    <s v="3000015401790003RC"/>
    <s v="CIVIL"/>
    <d v="2023-06-30T00:00:00"/>
    <d v="2023-07-10T19:47:44"/>
    <m/>
    <d v="2023-07-10T00:00:00"/>
    <n v="1783"/>
    <n v="19751"/>
    <s v="61236485"/>
    <s v="61236485"/>
    <m/>
    <m/>
    <m/>
    <m/>
    <m/>
    <m/>
    <s v="SOLRECOUP"/>
    <s v="SOLRECOUP"/>
    <s v="POARECOUP"/>
    <n v="21356721"/>
    <n v="-90.09"/>
    <m/>
    <s v="Y"/>
    <n v="1"/>
    <d v="2023-07-10T19:47:46"/>
    <s v="N"/>
    <m/>
    <m/>
    <s v="Non Expert Disbursement"/>
    <m/>
    <s v="N"/>
    <n v="-90.09"/>
    <n v="0"/>
    <x v="2"/>
    <s v="VALIDATED"/>
    <n v="1"/>
    <s v="01.11.80.308.2013.0000"/>
    <n v="-90.09"/>
    <s v="11"/>
    <s v="2013"/>
    <n v="33277.69"/>
    <n v="-90.09"/>
    <s v="CREDITOR"/>
    <n v="0"/>
    <n v="0"/>
    <n v="-90.09"/>
    <n v="0"/>
    <n v="0"/>
  </r>
  <r>
    <n v="61236485"/>
    <s v="N"/>
    <n v="21356721"/>
    <s v="3000015401790003RC"/>
    <s v="CIVIL"/>
    <d v="2023-06-30T00:00:00"/>
    <d v="2023-07-10T19:47:44"/>
    <m/>
    <d v="2023-07-10T00:00:00"/>
    <n v="1783"/>
    <n v="19751"/>
    <s v="61236485"/>
    <s v="61236485"/>
    <m/>
    <m/>
    <m/>
    <m/>
    <m/>
    <m/>
    <s v="SOLRECOUP"/>
    <s v="SOLRECOUP"/>
    <s v="POARECOUP"/>
    <n v="21356721"/>
    <n v="-90.09"/>
    <m/>
    <s v="Y"/>
    <n v="2"/>
    <d v="2023-07-10T19:47:46"/>
    <s v="N"/>
    <m/>
    <m/>
    <s v="Non Expert Disbursement"/>
    <m/>
    <s v="N"/>
    <n v="0"/>
    <n v="0"/>
    <x v="2"/>
    <s v="VALIDATED"/>
    <n v="1"/>
    <s v="01.11.80.000.0000.0000"/>
    <n v="0"/>
    <s v="11"/>
    <s v="0000"/>
    <n v="33277.69"/>
    <n v="0"/>
    <s v="CREDITOR"/>
    <n v="0"/>
    <n v="0"/>
    <n v="0"/>
    <n v="0"/>
    <n v="0"/>
  </r>
  <r>
    <n v="61236485"/>
    <s v="N"/>
    <n v="21356722"/>
    <s v="3000015401790005RC"/>
    <s v="CIVIL"/>
    <d v="2023-06-30T00:00:00"/>
    <d v="2023-07-10T19:47:44"/>
    <m/>
    <d v="2023-07-10T00:00:00"/>
    <n v="1783"/>
    <n v="19751"/>
    <s v="61236485"/>
    <s v="61236485"/>
    <m/>
    <m/>
    <m/>
    <m/>
    <m/>
    <m/>
    <s v="SOLRECOUP"/>
    <s v="SOLRECOUP"/>
    <s v="POARECOUP"/>
    <n v="21356722"/>
    <n v="-724.6"/>
    <m/>
    <s v="Y"/>
    <n v="1"/>
    <d v="2023-07-10T19:47:46"/>
    <s v="N"/>
    <m/>
    <m/>
    <s v="Non Expert Disbursement"/>
    <m/>
    <s v="N"/>
    <n v="-724.6"/>
    <n v="0"/>
    <x v="2"/>
    <s v="VALIDATED"/>
    <n v="1"/>
    <s v="01.11.80.308.2013.0000"/>
    <n v="-724.6"/>
    <s v="11"/>
    <s v="2013"/>
    <n v="33277.69"/>
    <n v="-724.6"/>
    <s v="CREDITOR"/>
    <n v="0"/>
    <n v="0"/>
    <n v="-724.6"/>
    <n v="0"/>
    <n v="0"/>
  </r>
  <r>
    <n v="61236485"/>
    <s v="N"/>
    <n v="21356722"/>
    <s v="3000015401790005RC"/>
    <s v="CIVIL"/>
    <d v="2023-06-30T00:00:00"/>
    <d v="2023-07-10T19:47:44"/>
    <m/>
    <d v="2023-07-10T00:00:00"/>
    <n v="1783"/>
    <n v="19751"/>
    <s v="61236485"/>
    <s v="61236485"/>
    <m/>
    <m/>
    <m/>
    <m/>
    <m/>
    <m/>
    <s v="SOLRECOUP"/>
    <s v="SOLRECOUP"/>
    <s v="POARECOUP"/>
    <n v="21356722"/>
    <n v="-724.6"/>
    <m/>
    <s v="Y"/>
    <n v="2"/>
    <d v="2023-07-10T19:47:46"/>
    <s v="N"/>
    <m/>
    <m/>
    <s v="Non Expert Disbursement"/>
    <m/>
    <s v="N"/>
    <n v="0"/>
    <n v="0"/>
    <x v="2"/>
    <s v="VALIDATED"/>
    <n v="1"/>
    <s v="01.11.80.000.0000.0000"/>
    <n v="0"/>
    <s v="11"/>
    <s v="0000"/>
    <n v="33277.69"/>
    <n v="0"/>
    <s v="CREDITOR"/>
    <n v="0"/>
    <n v="0"/>
    <n v="0"/>
    <n v="0"/>
    <n v="0"/>
  </r>
  <r>
    <n v="61236485"/>
    <s v="N"/>
    <n v="21356723"/>
    <s v="3000015401790004RC"/>
    <s v="CIVIL"/>
    <d v="2023-06-30T00:00:00"/>
    <d v="2023-07-10T19:47:44"/>
    <m/>
    <d v="2023-07-10T00:00:00"/>
    <n v="1783"/>
    <n v="19751"/>
    <s v="61236485"/>
    <s v="61236485"/>
    <m/>
    <m/>
    <m/>
    <m/>
    <m/>
    <m/>
    <s v="SOLRECOUP"/>
    <s v="SOLRECOUP"/>
    <s v="POARECOUP"/>
    <n v="21356723"/>
    <n v="-1641.89"/>
    <m/>
    <s v="Y"/>
    <n v="1"/>
    <d v="2023-07-10T19:47:46"/>
    <s v="N"/>
    <m/>
    <m/>
    <s v="Profit Cost"/>
    <m/>
    <s v="N"/>
    <n v="-1368.24"/>
    <n v="0"/>
    <x v="2"/>
    <s v="VALIDATED"/>
    <n v="1"/>
    <s v="01.11.80.308.2013.0000"/>
    <n v="-1368.24"/>
    <s v="11"/>
    <s v="2013"/>
    <n v="33277.69"/>
    <n v="-1368.24"/>
    <s v="CREDITOR"/>
    <n v="0"/>
    <n v="0"/>
    <n v="-1368.24"/>
    <n v="-342.06"/>
    <n v="0"/>
  </r>
  <r>
    <n v="61236485"/>
    <s v="N"/>
    <n v="21356723"/>
    <s v="3000015401790004RC"/>
    <s v="CIVIL"/>
    <d v="2023-06-30T00:00:00"/>
    <d v="2023-07-10T19:47:44"/>
    <m/>
    <d v="2023-07-10T00:00:00"/>
    <n v="1783"/>
    <n v="19751"/>
    <s v="61236485"/>
    <s v="61236485"/>
    <m/>
    <m/>
    <m/>
    <m/>
    <m/>
    <m/>
    <s v="SOLRECOUP"/>
    <s v="SOLRECOUP"/>
    <s v="POARECOUP"/>
    <n v="21356723"/>
    <n v="-1641.89"/>
    <m/>
    <s v="Y"/>
    <n v="2"/>
    <d v="2023-07-10T19:47:46"/>
    <s v="N"/>
    <m/>
    <m/>
    <s v="Profit Cost"/>
    <m/>
    <s v="N"/>
    <n v="0"/>
    <n v="-273.65"/>
    <x v="2"/>
    <s v="VALIDATED"/>
    <n v="1"/>
    <s v="01.11.80.308.2013.0000"/>
    <n v="-273.65"/>
    <s v="11"/>
    <s v="2013"/>
    <n v="33277.69"/>
    <n v="-273.65"/>
    <s v="CREDITOR"/>
    <n v="0"/>
    <n v="0"/>
    <n v="-273.65"/>
    <n v="-68.41249999999999"/>
    <n v="0"/>
  </r>
  <r>
    <n v="61236485"/>
    <s v="N"/>
    <n v="21356724"/>
    <s v="3000015401790009RC"/>
    <s v="CIVIL"/>
    <d v="2023-06-30T00:00:00"/>
    <d v="2023-07-10T19:47:44"/>
    <m/>
    <d v="2023-07-10T00:00:00"/>
    <n v="1783"/>
    <n v="19751"/>
    <s v="61236485"/>
    <s v="61236485"/>
    <m/>
    <m/>
    <m/>
    <m/>
    <m/>
    <m/>
    <s v="SOLRECOUP"/>
    <s v="SOLRECOUP"/>
    <s v="POARECOUP"/>
    <n v="21356724"/>
    <n v="-33.6"/>
    <m/>
    <s v="Y"/>
    <n v="1"/>
    <d v="2023-07-10T19:47:46"/>
    <s v="N"/>
    <m/>
    <m/>
    <s v="Non Expert Disbursement"/>
    <m/>
    <s v="N"/>
    <n v="-28"/>
    <n v="0"/>
    <x v="2"/>
    <s v="VALIDATED"/>
    <n v="1"/>
    <s v="01.11.80.308.2013.0000"/>
    <n v="-28"/>
    <s v="11"/>
    <s v="2013"/>
    <n v="33277.69"/>
    <n v="-28"/>
    <s v="CREDITOR"/>
    <n v="0"/>
    <n v="0"/>
    <n v="-28"/>
    <n v="0"/>
    <n v="0"/>
  </r>
  <r>
    <n v="61236485"/>
    <s v="N"/>
    <n v="21356724"/>
    <s v="3000015401790009RC"/>
    <s v="CIVIL"/>
    <d v="2023-06-30T00:00:00"/>
    <d v="2023-07-10T19:47:44"/>
    <m/>
    <d v="2023-07-10T00:00:00"/>
    <n v="1783"/>
    <n v="19751"/>
    <s v="61236485"/>
    <s v="61236485"/>
    <m/>
    <m/>
    <m/>
    <m/>
    <m/>
    <m/>
    <s v="SOLRECOUP"/>
    <s v="SOLRECOUP"/>
    <s v="POARECOUP"/>
    <n v="21356724"/>
    <n v="-33.6"/>
    <m/>
    <s v="Y"/>
    <n v="2"/>
    <d v="2023-07-10T19:47:46"/>
    <s v="N"/>
    <m/>
    <m/>
    <s v="Non Expert Disbursement"/>
    <m/>
    <s v="N"/>
    <n v="0"/>
    <n v="-5.6"/>
    <x v="2"/>
    <s v="VALIDATED"/>
    <n v="1"/>
    <s v="01.11.80.308.2013.0000"/>
    <n v="-5.6"/>
    <s v="11"/>
    <s v="2013"/>
    <n v="33277.69"/>
    <n v="-5.6"/>
    <s v="CREDITOR"/>
    <n v="0"/>
    <n v="0"/>
    <n v="-5.6"/>
    <n v="0"/>
    <n v="0"/>
  </r>
  <r>
    <n v="61236485"/>
    <s v="N"/>
    <n v="21356725"/>
    <s v="3000015401790019RC"/>
    <s v="CIVIL"/>
    <d v="2023-06-30T00:00:00"/>
    <d v="2023-07-10T19:47:44"/>
    <m/>
    <d v="2023-07-10T00:00:00"/>
    <n v="1783"/>
    <n v="19751"/>
    <s v="61236485"/>
    <s v="61236485"/>
    <m/>
    <m/>
    <m/>
    <m/>
    <m/>
    <m/>
    <s v="SOLRECOUP"/>
    <s v="SOLRECOUP"/>
    <s v="POARECOUP"/>
    <n v="21356725"/>
    <n v="-80.25"/>
    <m/>
    <s v="Y"/>
    <n v="1"/>
    <d v="2023-07-10T19:47:46"/>
    <s v="N"/>
    <m/>
    <m/>
    <s v="Non Expert Disbursement"/>
    <m/>
    <s v="N"/>
    <n v="-80.25"/>
    <n v="0"/>
    <x v="2"/>
    <s v="VALIDATED"/>
    <n v="1"/>
    <s v="01.11.80.308.2013.0000"/>
    <n v="-80.25"/>
    <s v="11"/>
    <s v="2013"/>
    <n v="33277.69"/>
    <n v="-80.25"/>
    <s v="CREDITOR"/>
    <n v="0"/>
    <n v="0"/>
    <n v="-80.25"/>
    <n v="0"/>
    <n v="0"/>
  </r>
  <r>
    <n v="61236485"/>
    <s v="N"/>
    <n v="21356725"/>
    <s v="3000015401790019RC"/>
    <s v="CIVIL"/>
    <d v="2023-06-30T00:00:00"/>
    <d v="2023-07-10T19:47:44"/>
    <m/>
    <d v="2023-07-10T00:00:00"/>
    <n v="1783"/>
    <n v="19751"/>
    <s v="61236485"/>
    <s v="61236485"/>
    <m/>
    <m/>
    <m/>
    <m/>
    <m/>
    <m/>
    <s v="SOLRECOUP"/>
    <s v="SOLRECOUP"/>
    <s v="POARECOUP"/>
    <n v="21356725"/>
    <n v="-80.25"/>
    <m/>
    <s v="Y"/>
    <n v="2"/>
    <d v="2023-07-10T19:47:46"/>
    <s v="N"/>
    <m/>
    <m/>
    <s v="Non Expert Disbursement"/>
    <m/>
    <s v="N"/>
    <n v="0"/>
    <n v="0"/>
    <x v="2"/>
    <s v="VALIDATED"/>
    <n v="1"/>
    <s v="01.11.80.000.0000.0000"/>
    <n v="0"/>
    <s v="11"/>
    <s v="0000"/>
    <n v="33277.69"/>
    <n v="0"/>
    <s v="CREDITOR"/>
    <n v="0"/>
    <n v="0"/>
    <n v="0"/>
    <n v="0"/>
    <n v="0"/>
  </r>
  <r>
    <n v="61236485"/>
    <s v="N"/>
    <n v="21356726"/>
    <s v="3000015401790006RC"/>
    <s v="CIVIL"/>
    <d v="2023-06-30T00:00:00"/>
    <d v="2023-07-10T19:47:44"/>
    <m/>
    <d v="2023-07-10T00:00:00"/>
    <n v="1783"/>
    <n v="19751"/>
    <s v="61236485"/>
    <s v="61236485"/>
    <m/>
    <m/>
    <m/>
    <m/>
    <m/>
    <m/>
    <s v="SOLRECOUP"/>
    <s v="SOLRECOUP"/>
    <s v="POARECOUP"/>
    <n v="21356726"/>
    <n v="-33.6"/>
    <m/>
    <s v="Y"/>
    <n v="1"/>
    <d v="2023-07-10T19:47:46"/>
    <s v="N"/>
    <m/>
    <m/>
    <s v="Expert Disbursement"/>
    <m/>
    <s v="N"/>
    <n v="-28"/>
    <n v="0"/>
    <x v="2"/>
    <s v="VALIDATED"/>
    <n v="1"/>
    <s v="01.11.80.308.2013.0000"/>
    <n v="-28"/>
    <s v="11"/>
    <s v="2013"/>
    <n v="33277.69"/>
    <n v="-28"/>
    <s v="CREDITOR"/>
    <n v="0"/>
    <n v="0"/>
    <n v="-28"/>
    <n v="0"/>
    <n v="0"/>
  </r>
  <r>
    <n v="61236485"/>
    <s v="N"/>
    <n v="21356726"/>
    <s v="3000015401790006RC"/>
    <s v="CIVIL"/>
    <d v="2023-06-30T00:00:00"/>
    <d v="2023-07-10T19:47:44"/>
    <m/>
    <d v="2023-07-10T00:00:00"/>
    <n v="1783"/>
    <n v="19751"/>
    <s v="61236485"/>
    <s v="61236485"/>
    <m/>
    <m/>
    <m/>
    <m/>
    <m/>
    <m/>
    <s v="SOLRECOUP"/>
    <s v="SOLRECOUP"/>
    <s v="POARECOUP"/>
    <n v="21356726"/>
    <n v="-33.6"/>
    <m/>
    <s v="Y"/>
    <n v="2"/>
    <d v="2023-07-10T19:47:46"/>
    <s v="N"/>
    <m/>
    <m/>
    <s v="Expert Disbursement"/>
    <m/>
    <s v="N"/>
    <n v="0"/>
    <n v="-5.6"/>
    <x v="2"/>
    <s v="VALIDATED"/>
    <n v="1"/>
    <s v="01.11.80.308.2013.0000"/>
    <n v="-5.6"/>
    <s v="11"/>
    <s v="2013"/>
    <n v="33277.69"/>
    <n v="-5.6"/>
    <s v="CREDITOR"/>
    <n v="0"/>
    <n v="0"/>
    <n v="-5.6"/>
    <n v="0"/>
    <n v="0"/>
  </r>
  <r>
    <n v="61487226"/>
    <s v="N"/>
    <n v="21356727"/>
    <s v="3000015612790003RC"/>
    <s v="CIVIL"/>
    <d v="2023-06-29T00:00:00"/>
    <d v="2023-07-10T19:47:44"/>
    <m/>
    <d v="2023-07-10T00:00:00"/>
    <n v="1783"/>
    <n v="19751"/>
    <s v="61487226"/>
    <s v="61487226"/>
    <m/>
    <m/>
    <m/>
    <m/>
    <m/>
    <m/>
    <s v="SOLRECOUP"/>
    <s v="SOLRECOUP"/>
    <s v="POARECOUP"/>
    <n v="21356727"/>
    <n v="-417.23"/>
    <m/>
    <s v="Y"/>
    <n v="1"/>
    <d v="2023-07-10T19:47:46"/>
    <s v="N"/>
    <m/>
    <m/>
    <s v="Non Expert Disbursement"/>
    <m/>
    <s v="N"/>
    <n v="-347.69"/>
    <n v="0"/>
    <x v="2"/>
    <s v="VALIDATED"/>
    <n v="1"/>
    <s v="01.11.80.308.2013.0000"/>
    <n v="-347.69"/>
    <s v="11"/>
    <s v="2013"/>
    <n v="33277.69"/>
    <n v="-347.69"/>
    <s v="CREDITOR"/>
    <n v="0"/>
    <n v="0"/>
    <n v="-347.69"/>
    <n v="0"/>
    <n v="0"/>
  </r>
  <r>
    <n v="61487226"/>
    <s v="N"/>
    <n v="21356727"/>
    <s v="3000015612790003RC"/>
    <s v="CIVIL"/>
    <d v="2023-06-29T00:00:00"/>
    <d v="2023-07-10T19:47:44"/>
    <m/>
    <d v="2023-07-10T00:00:00"/>
    <n v="1783"/>
    <n v="19751"/>
    <s v="61487226"/>
    <s v="61487226"/>
    <m/>
    <m/>
    <m/>
    <m/>
    <m/>
    <m/>
    <s v="SOLRECOUP"/>
    <s v="SOLRECOUP"/>
    <s v="POARECOUP"/>
    <n v="21356727"/>
    <n v="-417.23"/>
    <m/>
    <s v="Y"/>
    <n v="2"/>
    <d v="2023-07-10T19:47:46"/>
    <s v="N"/>
    <m/>
    <m/>
    <s v="Non Expert Disbursement"/>
    <m/>
    <s v="N"/>
    <n v="0"/>
    <n v="-69.54000000000001"/>
    <x v="2"/>
    <s v="VALIDATED"/>
    <n v="1"/>
    <s v="01.11.80.308.2013.0000"/>
    <n v="-69.54000000000001"/>
    <s v="11"/>
    <s v="2013"/>
    <n v="33277.69"/>
    <n v="-69.54000000000001"/>
    <s v="CREDITOR"/>
    <n v="0"/>
    <n v="0"/>
    <n v="-69.54000000000001"/>
    <n v="0"/>
    <n v="0"/>
  </r>
  <r>
    <n v="61236485"/>
    <s v="N"/>
    <n v="21356728"/>
    <s v="3000015401790014RC"/>
    <s v="CIVIL"/>
    <d v="2023-06-30T00:00:00"/>
    <d v="2023-07-10T19:47:44"/>
    <m/>
    <d v="2023-07-10T00:00:00"/>
    <n v="1783"/>
    <n v="19751"/>
    <s v="61236485"/>
    <s v="61236485"/>
    <m/>
    <m/>
    <m/>
    <m/>
    <m/>
    <m/>
    <s v="SOLRECOUP"/>
    <s v="SOLRECOUP"/>
    <s v="POARECOUP"/>
    <n v="21356728"/>
    <n v="-33.6"/>
    <m/>
    <s v="Y"/>
    <n v="1"/>
    <d v="2023-07-10T19:47:46"/>
    <s v="N"/>
    <m/>
    <m/>
    <s v="Non Expert Disbursement"/>
    <m/>
    <s v="N"/>
    <n v="-28"/>
    <n v="0"/>
    <x v="2"/>
    <s v="VALIDATED"/>
    <n v="1"/>
    <s v="01.11.80.308.2013.0000"/>
    <n v="-28"/>
    <s v="11"/>
    <s v="2013"/>
    <n v="33277.69"/>
    <n v="-28"/>
    <s v="CREDITOR"/>
    <n v="0"/>
    <n v="0"/>
    <n v="-28"/>
    <n v="0"/>
    <n v="0"/>
  </r>
  <r>
    <n v="61236485"/>
    <s v="N"/>
    <n v="21356728"/>
    <s v="3000015401790014RC"/>
    <s v="CIVIL"/>
    <d v="2023-06-30T00:00:00"/>
    <d v="2023-07-10T19:47:44"/>
    <m/>
    <d v="2023-07-10T00:00:00"/>
    <n v="1783"/>
    <n v="19751"/>
    <s v="61236485"/>
    <s v="61236485"/>
    <m/>
    <m/>
    <m/>
    <m/>
    <m/>
    <m/>
    <s v="SOLRECOUP"/>
    <s v="SOLRECOUP"/>
    <s v="POARECOUP"/>
    <n v="21356728"/>
    <n v="-33.6"/>
    <m/>
    <s v="Y"/>
    <n v="2"/>
    <d v="2023-07-10T19:47:46"/>
    <s v="N"/>
    <m/>
    <m/>
    <s v="Non Expert Disbursement"/>
    <m/>
    <s v="N"/>
    <n v="0"/>
    <n v="-5.6"/>
    <x v="2"/>
    <s v="VALIDATED"/>
    <n v="1"/>
    <s v="01.11.80.308.2013.0000"/>
    <n v="-5.6"/>
    <s v="11"/>
    <s v="2013"/>
    <n v="33277.69"/>
    <n v="-5.6"/>
    <s v="CREDITOR"/>
    <n v="0"/>
    <n v="0"/>
    <n v="-5.6"/>
    <n v="0"/>
    <n v="0"/>
  </r>
  <r>
    <n v="61236485"/>
    <s v="N"/>
    <n v="21356729"/>
    <s v="3000015401790024RC"/>
    <s v="CIVIL"/>
    <d v="2023-06-30T00:00:00"/>
    <d v="2023-07-10T19:47:44"/>
    <m/>
    <d v="2023-07-10T00:00:00"/>
    <n v="1783"/>
    <n v="19751"/>
    <s v="61236485"/>
    <s v="61236485"/>
    <m/>
    <m/>
    <m/>
    <m/>
    <m/>
    <m/>
    <s v="SOLRECOUP"/>
    <s v="SOLRECOUP"/>
    <s v="POARECOUP"/>
    <n v="21356729"/>
    <n v="-3558.65"/>
    <m/>
    <s v="Y"/>
    <n v="1"/>
    <d v="2023-07-10T19:47:46"/>
    <s v="N"/>
    <m/>
    <m/>
    <s v="Profit Cost"/>
    <m/>
    <s v="N"/>
    <n v="-2965.54"/>
    <n v="0"/>
    <x v="2"/>
    <s v="VALIDATED"/>
    <n v="1"/>
    <s v="01.11.80.308.2013.0000"/>
    <n v="-2965.54"/>
    <s v="11"/>
    <s v="2013"/>
    <n v="33277.69"/>
    <n v="-2965.54"/>
    <s v="CREDITOR"/>
    <n v="0"/>
    <n v="0"/>
    <n v="-2965.54"/>
    <n v="-741.385"/>
    <n v="0"/>
  </r>
  <r>
    <n v="61236485"/>
    <s v="N"/>
    <n v="21356729"/>
    <s v="3000015401790024RC"/>
    <s v="CIVIL"/>
    <d v="2023-06-30T00:00:00"/>
    <d v="2023-07-10T19:47:44"/>
    <m/>
    <d v="2023-07-10T00:00:00"/>
    <n v="1783"/>
    <n v="19751"/>
    <s v="61236485"/>
    <s v="61236485"/>
    <m/>
    <m/>
    <m/>
    <m/>
    <m/>
    <m/>
    <s v="SOLRECOUP"/>
    <s v="SOLRECOUP"/>
    <s v="POARECOUP"/>
    <n v="21356729"/>
    <n v="-3558.65"/>
    <m/>
    <s v="Y"/>
    <n v="2"/>
    <d v="2023-07-10T19:47:46"/>
    <s v="N"/>
    <m/>
    <m/>
    <s v="Profit Cost"/>
    <m/>
    <s v="N"/>
    <n v="0"/>
    <n v="-593.11"/>
    <x v="2"/>
    <s v="VALIDATED"/>
    <n v="1"/>
    <s v="01.11.80.308.2013.0000"/>
    <n v="-593.11"/>
    <s v="11"/>
    <s v="2013"/>
    <n v="33277.69"/>
    <n v="-593.11"/>
    <s v="CREDITOR"/>
    <n v="0"/>
    <n v="0"/>
    <n v="-593.11"/>
    <n v="-148.2775"/>
    <n v="0"/>
  </r>
  <r>
    <n v="61236485"/>
    <s v="N"/>
    <n v="21356730"/>
    <s v="3000015401790027RC"/>
    <s v="CIVIL"/>
    <d v="2023-06-30T00:00:00"/>
    <d v="2023-07-10T19:47:44"/>
    <m/>
    <d v="2023-07-10T00:00:00"/>
    <n v="1783"/>
    <n v="19751"/>
    <s v="61236485"/>
    <s v="61236485"/>
    <m/>
    <m/>
    <m/>
    <m/>
    <m/>
    <m/>
    <s v="SOLRECOUP"/>
    <s v="SOLRECOUP"/>
    <s v="POARECOUP"/>
    <n v="21356730"/>
    <n v="-158.5"/>
    <m/>
    <s v="Y"/>
    <n v="1"/>
    <d v="2023-07-10T19:47:46"/>
    <s v="N"/>
    <m/>
    <m/>
    <s v="Non Expert Disbursement"/>
    <m/>
    <s v="N"/>
    <n v="-158.5"/>
    <n v="0"/>
    <x v="2"/>
    <s v="VALIDATED"/>
    <n v="1"/>
    <s v="01.11.80.308.2013.0000"/>
    <n v="-158.5"/>
    <s v="11"/>
    <s v="2013"/>
    <n v="33277.69"/>
    <n v="-158.5"/>
    <s v="CREDITOR"/>
    <n v="0"/>
    <n v="0"/>
    <n v="-158.5"/>
    <n v="0"/>
    <n v="0"/>
  </r>
  <r>
    <n v="61236485"/>
    <s v="N"/>
    <n v="21356730"/>
    <s v="3000015401790027RC"/>
    <s v="CIVIL"/>
    <d v="2023-06-30T00:00:00"/>
    <d v="2023-07-10T19:47:44"/>
    <m/>
    <d v="2023-07-10T00:00:00"/>
    <n v="1783"/>
    <n v="19751"/>
    <s v="61236485"/>
    <s v="61236485"/>
    <m/>
    <m/>
    <m/>
    <m/>
    <m/>
    <m/>
    <s v="SOLRECOUP"/>
    <s v="SOLRECOUP"/>
    <s v="POARECOUP"/>
    <n v="21356730"/>
    <n v="-158.5"/>
    <m/>
    <s v="Y"/>
    <n v="2"/>
    <d v="2023-07-10T19:47:46"/>
    <s v="N"/>
    <m/>
    <m/>
    <s v="Non Expert Disbursement"/>
    <m/>
    <s v="N"/>
    <n v="0"/>
    <n v="0"/>
    <x v="2"/>
    <s v="VALIDATED"/>
    <n v="1"/>
    <s v="01.11.80.000.0000.0000"/>
    <n v="0"/>
    <s v="11"/>
    <s v="0000"/>
    <n v="33277.69"/>
    <n v="0"/>
    <s v="CREDITOR"/>
    <n v="0"/>
    <n v="0"/>
    <n v="0"/>
    <n v="0"/>
    <n v="0"/>
  </r>
  <r>
    <n v="61236485"/>
    <s v="N"/>
    <n v="21356731"/>
    <s v="3000015401790021RC"/>
    <s v="CIVIL"/>
    <d v="2023-06-30T00:00:00"/>
    <d v="2023-07-10T19:47:44"/>
    <m/>
    <d v="2023-07-10T00:00:00"/>
    <n v="1783"/>
    <n v="19751"/>
    <s v="61236485"/>
    <s v="61236485"/>
    <m/>
    <m/>
    <m/>
    <m/>
    <m/>
    <m/>
    <s v="SOLRECOUP"/>
    <s v="SOLRECOUP"/>
    <s v="POARECOUP"/>
    <n v="21356731"/>
    <n v="-33.6"/>
    <m/>
    <s v="Y"/>
    <n v="1"/>
    <d v="2023-07-10T19:47:46"/>
    <s v="N"/>
    <m/>
    <m/>
    <s v="Non Expert Disbursement"/>
    <m/>
    <s v="N"/>
    <n v="-28"/>
    <n v="0"/>
    <x v="2"/>
    <s v="VALIDATED"/>
    <n v="1"/>
    <s v="01.11.80.308.2013.0000"/>
    <n v="-28"/>
    <s v="11"/>
    <s v="2013"/>
    <n v="33277.69"/>
    <n v="-28"/>
    <s v="CREDITOR"/>
    <n v="0"/>
    <n v="0"/>
    <n v="-28"/>
    <n v="0"/>
    <n v="0"/>
  </r>
  <r>
    <n v="61236485"/>
    <s v="N"/>
    <n v="21356731"/>
    <s v="3000015401790021RC"/>
    <s v="CIVIL"/>
    <d v="2023-06-30T00:00:00"/>
    <d v="2023-07-10T19:47:44"/>
    <m/>
    <d v="2023-07-10T00:00:00"/>
    <n v="1783"/>
    <n v="19751"/>
    <s v="61236485"/>
    <s v="61236485"/>
    <m/>
    <m/>
    <m/>
    <m/>
    <m/>
    <m/>
    <s v="SOLRECOUP"/>
    <s v="SOLRECOUP"/>
    <s v="POARECOUP"/>
    <n v="21356731"/>
    <n v="-33.6"/>
    <m/>
    <s v="Y"/>
    <n v="2"/>
    <d v="2023-07-10T19:47:46"/>
    <s v="N"/>
    <m/>
    <m/>
    <s v="Non Expert Disbursement"/>
    <m/>
    <s v="N"/>
    <n v="0"/>
    <n v="-5.6"/>
    <x v="2"/>
    <s v="VALIDATED"/>
    <n v="1"/>
    <s v="01.11.80.308.2013.0000"/>
    <n v="-5.6"/>
    <s v="11"/>
    <s v="2013"/>
    <n v="33277.69"/>
    <n v="-5.6"/>
    <s v="CREDITOR"/>
    <n v="0"/>
    <n v="0"/>
    <n v="-5.6"/>
    <n v="0"/>
    <n v="0"/>
  </r>
  <r>
    <n v="61487226"/>
    <s v="N"/>
    <n v="21356732"/>
    <s v="3000015612790001RC"/>
    <s v="CIVIL"/>
    <d v="2023-06-29T00:00:00"/>
    <d v="2023-07-10T19:47:44"/>
    <m/>
    <d v="2023-07-10T00:00:00"/>
    <n v="1783"/>
    <n v="19751"/>
    <s v="61487226"/>
    <s v="61487226"/>
    <m/>
    <m/>
    <m/>
    <m/>
    <m/>
    <m/>
    <s v="SOLRECOUP"/>
    <s v="SOLRECOUP"/>
    <s v="POARECOUP"/>
    <n v="21356732"/>
    <n v="-2232.43"/>
    <m/>
    <s v="Y"/>
    <n v="1"/>
    <d v="2023-07-10T19:47:46"/>
    <s v="N"/>
    <m/>
    <m/>
    <s v="Profit Cost"/>
    <m/>
    <s v="N"/>
    <n v="-1860.36"/>
    <n v="0"/>
    <x v="2"/>
    <s v="VALIDATED"/>
    <n v="1"/>
    <s v="01.11.80.308.2013.0000"/>
    <n v="-1860.36"/>
    <s v="11"/>
    <s v="2013"/>
    <n v="33277.69"/>
    <n v="-1860.36"/>
    <s v="CREDITOR"/>
    <n v="0"/>
    <n v="0"/>
    <n v="-1860.36"/>
    <n v="-465.09"/>
    <n v="0"/>
  </r>
  <r>
    <n v="61487226"/>
    <s v="N"/>
    <n v="21356732"/>
    <s v="3000015612790001RC"/>
    <s v="CIVIL"/>
    <d v="2023-06-29T00:00:00"/>
    <d v="2023-07-10T19:47:44"/>
    <m/>
    <d v="2023-07-10T00:00:00"/>
    <n v="1783"/>
    <n v="19751"/>
    <s v="61487226"/>
    <s v="61487226"/>
    <m/>
    <m/>
    <m/>
    <m/>
    <m/>
    <m/>
    <s v="SOLRECOUP"/>
    <s v="SOLRECOUP"/>
    <s v="POARECOUP"/>
    <n v="21356732"/>
    <n v="-2232.43"/>
    <m/>
    <s v="Y"/>
    <n v="2"/>
    <d v="2023-07-10T19:47:46"/>
    <s v="N"/>
    <m/>
    <m/>
    <s v="Profit Cost"/>
    <m/>
    <s v="N"/>
    <n v="0"/>
    <n v="-372.07"/>
    <x v="2"/>
    <s v="VALIDATED"/>
    <n v="1"/>
    <s v="01.11.80.308.2013.0000"/>
    <n v="-372.07"/>
    <s v="11"/>
    <s v="2013"/>
    <n v="33277.69"/>
    <n v="-372.07"/>
    <s v="CREDITOR"/>
    <n v="0"/>
    <n v="0"/>
    <n v="-372.07"/>
    <n v="-93.0175"/>
    <n v="0"/>
  </r>
  <r>
    <n v="61487226"/>
    <s v="N"/>
    <n v="21356733"/>
    <s v="3000015612790002RC"/>
    <s v="CIVIL"/>
    <d v="2023-06-29T00:00:00"/>
    <d v="2023-07-10T19:47:44"/>
    <m/>
    <d v="2023-07-10T00:00:00"/>
    <n v="1783"/>
    <n v="19751"/>
    <s v="61487226"/>
    <s v="61487226"/>
    <m/>
    <m/>
    <m/>
    <m/>
    <m/>
    <m/>
    <s v="SOLRECOUP"/>
    <s v="SOLRECOUP"/>
    <s v="POARECOUP"/>
    <n v="21356733"/>
    <n v="-59.6"/>
    <m/>
    <s v="Y"/>
    <n v="1"/>
    <d v="2023-07-10T19:47:46"/>
    <s v="N"/>
    <m/>
    <m/>
    <s v="Non Expert Disbursement"/>
    <m/>
    <s v="N"/>
    <n v="-49.67"/>
    <n v="0"/>
    <x v="2"/>
    <s v="VALIDATED"/>
    <n v="1"/>
    <s v="01.11.80.308.2013.0000"/>
    <n v="-49.67"/>
    <s v="11"/>
    <s v="2013"/>
    <n v="33277.69"/>
    <n v="-49.67"/>
    <s v="CREDITOR"/>
    <n v="0"/>
    <n v="0"/>
    <n v="-49.67"/>
    <n v="0"/>
    <n v="0"/>
  </r>
  <r>
    <n v="61487226"/>
    <s v="N"/>
    <n v="21356733"/>
    <s v="3000015612790002RC"/>
    <s v="CIVIL"/>
    <d v="2023-06-29T00:00:00"/>
    <d v="2023-07-10T19:47:44"/>
    <m/>
    <d v="2023-07-10T00:00:00"/>
    <n v="1783"/>
    <n v="19751"/>
    <s v="61487226"/>
    <s v="61487226"/>
    <m/>
    <m/>
    <m/>
    <m/>
    <m/>
    <m/>
    <s v="SOLRECOUP"/>
    <s v="SOLRECOUP"/>
    <s v="POARECOUP"/>
    <n v="21356733"/>
    <n v="-59.6"/>
    <m/>
    <s v="Y"/>
    <n v="2"/>
    <d v="2023-07-10T19:47:46"/>
    <s v="N"/>
    <m/>
    <m/>
    <s v="Non Expert Disbursement"/>
    <m/>
    <s v="N"/>
    <n v="0"/>
    <n v="-9.93"/>
    <x v="2"/>
    <s v="VALIDATED"/>
    <n v="1"/>
    <s v="01.11.80.308.2013.0000"/>
    <n v="-9.93"/>
    <s v="11"/>
    <s v="2013"/>
    <n v="33277.69"/>
    <n v="-9.93"/>
    <s v="CREDITOR"/>
    <n v="0"/>
    <n v="0"/>
    <n v="-9.93"/>
    <n v="0"/>
    <n v="0"/>
  </r>
  <r>
    <n v="61236485"/>
    <s v="N"/>
    <n v="21356734"/>
    <s v="3000015401790012RC"/>
    <s v="CIVIL"/>
    <d v="2023-06-30T00:00:00"/>
    <d v="2023-07-10T19:47:44"/>
    <m/>
    <d v="2023-07-10T00:00:00"/>
    <n v="1783"/>
    <n v="19751"/>
    <s v="61236485"/>
    <s v="61236485"/>
    <m/>
    <m/>
    <m/>
    <m/>
    <m/>
    <m/>
    <s v="SOLRECOUP"/>
    <s v="SOLRECOUP"/>
    <s v="POARECOUP"/>
    <n v="21356734"/>
    <n v="-33.6"/>
    <m/>
    <s v="Y"/>
    <n v="1"/>
    <d v="2023-07-10T19:47:46"/>
    <s v="N"/>
    <m/>
    <m/>
    <s v="Non Expert Disbursement"/>
    <m/>
    <s v="N"/>
    <n v="-28"/>
    <n v="0"/>
    <x v="2"/>
    <s v="VALIDATED"/>
    <n v="1"/>
    <s v="01.11.80.308.2013.0000"/>
    <n v="-28"/>
    <s v="11"/>
    <s v="2013"/>
    <n v="33277.69"/>
    <n v="-28"/>
    <s v="CREDITOR"/>
    <n v="0"/>
    <n v="0"/>
    <n v="-28"/>
    <n v="0"/>
    <n v="0"/>
  </r>
  <r>
    <n v="61236485"/>
    <s v="N"/>
    <n v="21356734"/>
    <s v="3000015401790012RC"/>
    <s v="CIVIL"/>
    <d v="2023-06-30T00:00:00"/>
    <d v="2023-07-10T19:47:44"/>
    <m/>
    <d v="2023-07-10T00:00:00"/>
    <n v="1783"/>
    <n v="19751"/>
    <s v="61236485"/>
    <s v="61236485"/>
    <m/>
    <m/>
    <m/>
    <m/>
    <m/>
    <m/>
    <s v="SOLRECOUP"/>
    <s v="SOLRECOUP"/>
    <s v="POARECOUP"/>
    <n v="21356734"/>
    <n v="-33.6"/>
    <m/>
    <s v="Y"/>
    <n v="2"/>
    <d v="2023-07-10T19:47:46"/>
    <s v="N"/>
    <m/>
    <m/>
    <s v="Non Expert Disbursement"/>
    <m/>
    <s v="N"/>
    <n v="0"/>
    <n v="-5.6"/>
    <x v="2"/>
    <s v="VALIDATED"/>
    <n v="1"/>
    <s v="01.11.80.308.2013.0000"/>
    <n v="-5.6"/>
    <s v="11"/>
    <s v="2013"/>
    <n v="33277.69"/>
    <n v="-5.6"/>
    <s v="CREDITOR"/>
    <n v="0"/>
    <n v="0"/>
    <n v="-5.6"/>
    <n v="0"/>
    <n v="0"/>
  </r>
  <r>
    <n v="61236485"/>
    <s v="N"/>
    <n v="21356735"/>
    <s v="3000015401790015RC"/>
    <s v="CIVIL"/>
    <d v="2023-06-30T00:00:00"/>
    <d v="2023-07-10T19:47:44"/>
    <m/>
    <d v="2023-07-10T00:00:00"/>
    <n v="1783"/>
    <n v="19751"/>
    <s v="61236485"/>
    <s v="61236485"/>
    <m/>
    <m/>
    <m/>
    <m/>
    <m/>
    <m/>
    <s v="SOLRECOUP"/>
    <s v="SOLRECOUP"/>
    <s v="POARECOUP"/>
    <n v="21356735"/>
    <n v="-33.6"/>
    <m/>
    <s v="Y"/>
    <n v="1"/>
    <d v="2023-07-10T19:47:46"/>
    <s v="N"/>
    <m/>
    <m/>
    <s v="Non Expert Disbursement"/>
    <m/>
    <s v="N"/>
    <n v="-28"/>
    <n v="0"/>
    <x v="2"/>
    <s v="VALIDATED"/>
    <n v="1"/>
    <s v="01.11.80.308.2013.0000"/>
    <n v="-28"/>
    <s v="11"/>
    <s v="2013"/>
    <n v="33277.69"/>
    <n v="-28"/>
    <s v="CREDITOR"/>
    <n v="0"/>
    <n v="0"/>
    <n v="-28"/>
    <n v="0"/>
    <n v="0"/>
  </r>
  <r>
    <n v="59924342"/>
    <s v="N"/>
    <n v="21360671"/>
    <s v="3000014263530013"/>
    <s v="CIVIL"/>
    <d v="2023-06-29T00:00:00"/>
    <d v="2023-07-11T19:00:25"/>
    <m/>
    <d v="2023-07-11T00:00:00"/>
    <n v="1783"/>
    <n v="19751"/>
    <s v="59924342"/>
    <s v="59924342"/>
    <m/>
    <m/>
    <n v="22786952"/>
    <m/>
    <m/>
    <m/>
    <s v="SOLFIN"/>
    <s v="SOLFIN"/>
    <s v="CCMS"/>
    <n v="21360671"/>
    <n v="17585.75"/>
    <m/>
    <s v="N"/>
    <n v="9"/>
    <d v="2023-07-11T19:00:29"/>
    <s v="Y"/>
    <s v="Advocates Meeting"/>
    <s v="Public Law Children"/>
    <s v="Advocacy"/>
    <s v="JE"/>
    <s v="Y"/>
    <n v="140.99"/>
    <n v="28.2"/>
    <x v="7"/>
    <s v="VALIDATED"/>
    <n v="1"/>
    <s v="01.11.80.308.6100.0000"/>
    <n v="140.99"/>
    <s v="11"/>
    <s v="6100"/>
    <n v="33277.69"/>
    <n v="140.99"/>
    <s v="CREDITOR"/>
    <n v="0"/>
    <n v="0"/>
    <n v="0"/>
    <n v="0"/>
    <n v="140.99"/>
  </r>
  <r>
    <n v="61487226"/>
    <s v="N"/>
    <n v="21349427"/>
    <s v="3000015612790007"/>
    <s v="CIVIL"/>
    <d v="2023-06-29T00:00:00"/>
    <d v="2023-07-10T19:01:40"/>
    <m/>
    <d v="2023-07-10T00:00:00"/>
    <n v="1783"/>
    <n v="19751"/>
    <s v="61487226"/>
    <s v="61487226"/>
    <m/>
    <m/>
    <n v="22788046"/>
    <m/>
    <m/>
    <m/>
    <s v="SOLFIN"/>
    <s v="SOLFIN"/>
    <s v="CCMS"/>
    <n v="21349427"/>
    <n v="11436.16"/>
    <m/>
    <s v="N"/>
    <n v="6"/>
    <d v="2023-07-10T19:01:49"/>
    <s v="Y"/>
    <s v="Profit Costs (Summary)"/>
    <s v="Public Law Children"/>
    <s v="Profit Cost"/>
    <s v="Catherine Wooley"/>
    <s v="Y"/>
    <n v="6035.76"/>
    <n v="1207.15"/>
    <x v="2"/>
    <s v="VALIDATED"/>
    <n v="1"/>
    <s v="01.11.80.308.6100.0000"/>
    <n v="6035.76"/>
    <s v="11"/>
    <s v="6100"/>
    <n v="33277.69"/>
    <n v="6035.76"/>
    <s v="CREDITOR"/>
    <n v="0"/>
    <n v="0"/>
    <n v="0"/>
    <n v="0"/>
    <n v="6035.76"/>
  </r>
  <r>
    <n v="59924331"/>
    <s v="N"/>
    <n v="21349603"/>
    <s v="3000014264140001"/>
    <s v="CIVIL"/>
    <d v="2023-06-29T00:00:00"/>
    <d v="2023-07-10T19:01:40"/>
    <m/>
    <d v="2023-07-10T00:00:00"/>
    <n v="1783"/>
    <n v="19751"/>
    <s v="59924331"/>
    <s v="59924331"/>
    <m/>
    <m/>
    <n v="22787904"/>
    <m/>
    <m/>
    <m/>
    <s v="SOLFIN"/>
    <s v="SOLFIN"/>
    <s v="CCMS"/>
    <n v="21349603"/>
    <n v="0"/>
    <m/>
    <s v="N"/>
    <n v="1"/>
    <d v="2023-07-10T19:01:54"/>
    <s v="N"/>
    <s v="NIL BILL"/>
    <s v="Public Law Children"/>
    <s v="Profit Cost"/>
    <s v="Stacy Fox"/>
    <s v="N"/>
    <n v="0"/>
    <n v="0"/>
    <x v="2"/>
    <s v="VALIDATED"/>
    <n v="1"/>
    <s v="01.11.80.308.6100.0000"/>
    <n v="0"/>
    <s v="11"/>
    <s v="6100"/>
    <n v="33277.69"/>
    <n v="0"/>
    <s v="CREDITOR"/>
    <n v="0"/>
    <n v="0"/>
    <n v="0"/>
    <n v="0"/>
    <n v="0"/>
  </r>
  <r>
    <n v="61313239"/>
    <s v="N"/>
    <n v="21343877"/>
    <s v="3000015467670010"/>
    <s v="CIVIL"/>
    <d v="2023-06-27T00:00:00"/>
    <d v="2023-07-07T19:03:00"/>
    <m/>
    <d v="2023-07-07T00:00:00"/>
    <n v="1783"/>
    <n v="19751"/>
    <s v="61313239"/>
    <s v="61313239"/>
    <m/>
    <m/>
    <n v="22768748"/>
    <m/>
    <m/>
    <m/>
    <s v="SOLFIN"/>
    <s v="SOLFIN"/>
    <s v="CCMS"/>
    <n v="21343877"/>
    <n v="15072.79"/>
    <m/>
    <s v="N"/>
    <n v="4"/>
    <d v="2023-07-07T19:03:15"/>
    <s v="Y"/>
    <s v="Solicitor Travel Expenses"/>
    <s v="Public Law Children"/>
    <s v="Non Expert Disbursement"/>
    <s v="Ashley Oakden"/>
    <s v="Y"/>
    <n v="6.1"/>
    <n v="0"/>
    <x v="9"/>
    <s v="VALIDATED"/>
    <n v="1"/>
    <s v="01.11.80.308.6300.0000"/>
    <n v="6.1"/>
    <s v="11"/>
    <s v="6300"/>
    <n v="33277.69"/>
    <n v="6.1"/>
    <s v="CREDITOR"/>
    <n v="0"/>
    <n v="0"/>
    <n v="0"/>
    <n v="0"/>
    <n v="6.1"/>
  </r>
  <r>
    <n v="62164045"/>
    <s v="N"/>
    <n v="21344085"/>
    <s v="3000016176230001"/>
    <s v="CIVIL"/>
    <d v="2023-06-30T00:00:00"/>
    <d v="2023-07-07T19:03:00"/>
    <m/>
    <d v="2023-07-07T00:00:00"/>
    <n v="1783"/>
    <n v="19751"/>
    <s v="62164045"/>
    <s v="62164045"/>
    <m/>
    <m/>
    <n v="22797552"/>
    <m/>
    <m/>
    <m/>
    <s v="SOLFIN"/>
    <s v="SOLFIN"/>
    <s v="CCMS"/>
    <n v="21344085"/>
    <n v="2150.53"/>
    <m/>
    <s v="N"/>
    <n v="23"/>
    <d v="2023-07-07T19:03:23"/>
    <s v="Y"/>
    <s v="Routine Letter In"/>
    <s v="Prescribed Hourly Rates"/>
    <s v="Profit Cost"/>
    <s v="Other"/>
    <s v="Y"/>
    <n v="116.55"/>
    <n v="23.31"/>
    <x v="9"/>
    <s v="VALIDATED"/>
    <n v="1"/>
    <s v="01.11.80.305.6100.0000"/>
    <n v="116.55"/>
    <s v="11"/>
    <s v="6100"/>
    <n v="33277.69"/>
    <n v="116.55"/>
    <s v="CREDITOR"/>
    <n v="0"/>
    <n v="0"/>
    <n v="0"/>
    <n v="0"/>
    <n v="116.55"/>
  </r>
  <r>
    <n v="59985205"/>
    <s v="N"/>
    <n v="21320433"/>
    <s v="3000014302890020"/>
    <s v="CIVIL"/>
    <d v="2023-06-28T00:00:00"/>
    <d v="2023-07-03T19:04:52"/>
    <m/>
    <d v="2023-07-03T00:00:00"/>
    <n v="1783"/>
    <n v="19751"/>
    <s v="59985205"/>
    <s v="59985205"/>
    <m/>
    <m/>
    <n v="22783304"/>
    <m/>
    <m/>
    <m/>
    <s v="SOLPOA"/>
    <s v="SOLPOA"/>
    <s v="CCMS"/>
    <n v="21320433"/>
    <n v="365.7"/>
    <m/>
    <s v="N"/>
    <n v="1"/>
    <d v="2023-07-03T19:04:54"/>
    <s v="N"/>
    <s v="Non Expert Disbursement - Private L"/>
    <s v="Non Expert Disbursement - Priv"/>
    <s v="Non Expert Disbursement"/>
    <s v="Bethany Connor"/>
    <s v="N"/>
    <n v="365.7"/>
    <n v="0"/>
    <x v="3"/>
    <s v="VALIDATED"/>
    <n v="1"/>
    <s v="01.11.80.307.2012.0000"/>
    <n v="365.7"/>
    <s v="11"/>
    <s v="2012"/>
    <n v="33277.69"/>
    <n v="365.7"/>
    <s v="CREDITOR"/>
    <n v="365.7"/>
    <n v="0"/>
    <n v="0"/>
    <n v="0"/>
    <n v="0"/>
  </r>
  <r>
    <n v="61821195"/>
    <s v="N"/>
    <n v="21320464"/>
    <s v="3000015890800008"/>
    <s v="CIVIL"/>
    <d v="2023-06-28T00:00:00"/>
    <d v="2023-07-03T19:04:52"/>
    <m/>
    <d v="2023-07-03T00:00:00"/>
    <n v="1783"/>
    <n v="19751"/>
    <s v="61821195"/>
    <s v="61821195"/>
    <m/>
    <m/>
    <n v="22780714"/>
    <m/>
    <m/>
    <m/>
    <s v="SOLPOA"/>
    <s v="SOLPOA"/>
    <s v="CCMS"/>
    <n v="21320464"/>
    <n v="67.2"/>
    <m/>
    <s v="N"/>
    <n v="1"/>
    <d v="2023-07-03T19:04:54"/>
    <s v="N"/>
    <s v="Non Expert Disbursement"/>
    <s v="Non Expert Disbursement"/>
    <s v="Non Expert Disbursement"/>
    <s v="Bethany Connor"/>
    <s v="N"/>
    <n v="56"/>
    <n v="11.2"/>
    <x v="3"/>
    <s v="VALIDATED"/>
    <n v="1"/>
    <s v="01.11.80.308.2012.0000"/>
    <n v="56"/>
    <s v="11"/>
    <s v="2012"/>
    <n v="33277.69"/>
    <n v="56"/>
    <s v="CREDITOR"/>
    <n v="56"/>
    <n v="0"/>
    <n v="0"/>
    <n v="0"/>
    <n v="0"/>
  </r>
  <r>
    <n v="59924342"/>
    <s v="N"/>
    <n v="21360671"/>
    <s v="3000014263530013"/>
    <s v="CIVIL"/>
    <d v="2023-06-29T00:00:00"/>
    <d v="2023-07-11T19:00:25"/>
    <m/>
    <d v="2023-07-11T00:00:00"/>
    <n v="1783"/>
    <n v="19751"/>
    <s v="59924342"/>
    <s v="59924342"/>
    <m/>
    <m/>
    <n v="22786952"/>
    <m/>
    <m/>
    <m/>
    <s v="SOLFIN"/>
    <s v="SOLFIN"/>
    <s v="CCMS"/>
    <n v="21360671"/>
    <n v="17585.75"/>
    <m/>
    <s v="N"/>
    <n v="3"/>
    <d v="2023-07-11T19:00:29"/>
    <s v="Y"/>
    <s v="Disbursements (Summary)"/>
    <s v="Care Remuneration Hourly Rates"/>
    <s v="Non Expert Disbursement"/>
    <s v="XXX"/>
    <s v="Y"/>
    <n v="348.1"/>
    <n v="0"/>
    <x v="7"/>
    <s v="VALIDATED"/>
    <n v="1"/>
    <s v="01.11.80.308.6300.0000"/>
    <n v="348.1"/>
    <s v="11"/>
    <s v="6300"/>
    <n v="33277.69"/>
    <n v="348.1"/>
    <s v="CREDITOR"/>
    <n v="0"/>
    <n v="0"/>
    <n v="0"/>
    <n v="0"/>
    <n v="348.1"/>
  </r>
  <r>
    <n v="59924284"/>
    <s v="N"/>
    <n v="21349697"/>
    <s v="3000014263740001"/>
    <s v="CIVIL"/>
    <d v="2023-06-29T00:00:00"/>
    <d v="2023-07-10T19:01:40"/>
    <m/>
    <d v="2023-07-10T00:00:00"/>
    <n v="1783"/>
    <n v="19751"/>
    <s v="59924284"/>
    <s v="59924284"/>
    <m/>
    <m/>
    <n v="22787514"/>
    <m/>
    <m/>
    <m/>
    <s v="SOLFIN"/>
    <s v="SOLFIN"/>
    <s v="CCMS"/>
    <n v="21349697"/>
    <n v="0"/>
    <m/>
    <s v="N"/>
    <n v="1"/>
    <d v="2023-07-10T19:01:56"/>
    <s v="N"/>
    <s v="NIL BILL"/>
    <s v="Public Law Children"/>
    <s v="Profit Cost"/>
    <s v="Stacy Fox"/>
    <s v="N"/>
    <n v="0"/>
    <n v="0"/>
    <x v="2"/>
    <s v="VALIDATED"/>
    <n v="1"/>
    <s v="01.11.80.308.6100.0000"/>
    <n v="0"/>
    <s v="11"/>
    <s v="6100"/>
    <n v="33277.69"/>
    <n v="0"/>
    <s v="CREDITOR"/>
    <n v="0"/>
    <n v="0"/>
    <n v="0"/>
    <n v="0"/>
    <n v="0"/>
  </r>
  <r>
    <n v="61715150"/>
    <s v="N"/>
    <n v="21343919"/>
    <s v="3000015794730004"/>
    <s v="CIVIL"/>
    <d v="2023-06-29T00:00:00"/>
    <d v="2023-07-07T19:03:00"/>
    <m/>
    <d v="2023-07-07T00:00:00"/>
    <n v="1783"/>
    <n v="19751"/>
    <s v="61715150"/>
    <s v="61715150"/>
    <m/>
    <m/>
    <n v="22784932"/>
    <m/>
    <m/>
    <m/>
    <s v="SOLFIN"/>
    <s v="SOLFIN"/>
    <s v="CCMS"/>
    <n v="21343919"/>
    <n v="6471.53"/>
    <m/>
    <s v="N"/>
    <n v="5"/>
    <d v="2023-07-07T19:03:17"/>
    <s v="Y"/>
    <s v="Final Hearing - 1 Day"/>
    <s v="Other Public Law Children"/>
    <s v="Advocacy"/>
    <s v="C.Woolley"/>
    <s v="Y"/>
    <n v="510.75"/>
    <n v="102.15"/>
    <x v="9"/>
    <s v="VALIDATED"/>
    <n v="1"/>
    <s v="01.11.80.305.6100.0000"/>
    <n v="510.75"/>
    <s v="11"/>
    <s v="6100"/>
    <n v="33277.69"/>
    <n v="510.75"/>
    <s v="CREDITOR"/>
    <n v="0"/>
    <n v="0"/>
    <n v="0"/>
    <n v="0"/>
    <n v="510.75"/>
  </r>
  <r>
    <n v="59679428"/>
    <s v="N"/>
    <n v="21327464"/>
    <s v="3000014061650024"/>
    <s v="CIVIL"/>
    <d v="2023-06-21T00:00:00"/>
    <d v="2023-07-04T19:00:44"/>
    <m/>
    <d v="2023-07-04T00:00:00"/>
    <n v="1783"/>
    <n v="19751"/>
    <s v="59679428"/>
    <s v="59679428"/>
    <m/>
    <m/>
    <n v="22736612"/>
    <m/>
    <m/>
    <m/>
    <s v="SOLFIN"/>
    <s v="SOLFIN"/>
    <s v="CCMS"/>
    <n v="21327464"/>
    <n v="1913.11"/>
    <m/>
    <s v="N"/>
    <n v="33"/>
    <d v="2023-07-04T19:00:47"/>
    <s v="Y"/>
    <s v="Preparation - drafting bill/claim f"/>
    <s v="VHCC"/>
    <s v="Profit Cost"/>
    <s v="CD"/>
    <s v="Y"/>
    <n v="268.69"/>
    <n v="53.73"/>
    <x v="1"/>
    <s v="VALIDATED"/>
    <n v="1"/>
    <s v="01.11.80.305.6100.0000"/>
    <n v="268.69"/>
    <s v="11"/>
    <s v="6100"/>
    <n v="33277.69"/>
    <n v="268.69"/>
    <s v="CREDITOR"/>
    <n v="0"/>
    <n v="0"/>
    <n v="0"/>
    <n v="0"/>
    <n v="268.69"/>
  </r>
  <r>
    <n v="61524704"/>
    <s v="N"/>
    <n v="21320983"/>
    <s v="3000015607990005"/>
    <s v="CIVIL"/>
    <d v="2023-06-28T00:00:00"/>
    <d v="2023-07-03T19:04:52"/>
    <m/>
    <d v="2023-07-03T00:00:00"/>
    <n v="1783"/>
    <n v="19751"/>
    <s v="61524704"/>
    <s v="61524704"/>
    <m/>
    <m/>
    <n v="22781414"/>
    <m/>
    <m/>
    <m/>
    <s v="SOLPOA"/>
    <s v="SOLPOA"/>
    <s v="CCMS"/>
    <n v="21320983"/>
    <n v="33.6"/>
    <m/>
    <s v="N"/>
    <n v="1"/>
    <d v="2023-07-03T19:04:57"/>
    <s v="N"/>
    <s v="Non Expert Disbursement - Private L"/>
    <s v="Non Expert Disbursement - Priv"/>
    <s v="Non Expert Disbursement"/>
    <s v="Bethany Connor"/>
    <s v="N"/>
    <n v="28"/>
    <n v="5.6"/>
    <x v="3"/>
    <s v="VALIDATED"/>
    <n v="1"/>
    <s v="01.11.80.302.2012.0000"/>
    <n v="28"/>
    <s v="11"/>
    <s v="2012"/>
    <n v="33277.69"/>
    <n v="28"/>
    <s v="CREDITOR"/>
    <n v="28"/>
    <n v="0"/>
    <n v="0"/>
    <n v="0"/>
    <n v="0"/>
  </r>
  <r>
    <n v="59924342"/>
    <s v="N"/>
    <n v="21360671"/>
    <s v="3000014263530013"/>
    <s v="CIVIL"/>
    <d v="2023-06-29T00:00:00"/>
    <d v="2023-07-11T19:00:25"/>
    <m/>
    <d v="2023-07-11T00:00:00"/>
    <n v="1783"/>
    <n v="19751"/>
    <s v="59924342"/>
    <s v="59924342"/>
    <m/>
    <m/>
    <n v="22786952"/>
    <m/>
    <m/>
    <m/>
    <s v="SOLFIN"/>
    <s v="SOLFIN"/>
    <s v="CCMS"/>
    <n v="21360671"/>
    <n v="17585.75"/>
    <m/>
    <s v="N"/>
    <n v="6"/>
    <d v="2023-07-11T19:00:29"/>
    <s v="Y"/>
    <s v="Hearing Unit 1.01 - 2.30 Hours"/>
    <s v="Public Law Children"/>
    <s v="Advocacy"/>
    <s v="JE"/>
    <s v="Y"/>
    <n v="238.46"/>
    <n v="47.69"/>
    <x v="7"/>
    <s v="VALIDATED"/>
    <n v="1"/>
    <s v="01.11.80.308.6100.0000"/>
    <n v="238.46"/>
    <s v="11"/>
    <s v="6100"/>
    <n v="33277.69"/>
    <n v="238.46"/>
    <s v="CREDITOR"/>
    <n v="0"/>
    <n v="0"/>
    <n v="0"/>
    <n v="0"/>
    <n v="238.46"/>
  </r>
  <r>
    <n v="62164045"/>
    <s v="N"/>
    <n v="21344085"/>
    <s v="3000016176230001"/>
    <s v="CIVIL"/>
    <d v="2023-06-30T00:00:00"/>
    <d v="2023-07-07T19:03:00"/>
    <m/>
    <d v="2023-07-07T00:00:00"/>
    <n v="1783"/>
    <n v="19751"/>
    <s v="62164045"/>
    <s v="62164045"/>
    <m/>
    <m/>
    <n v="22797552"/>
    <m/>
    <m/>
    <m/>
    <s v="SOLFIN"/>
    <s v="SOLFIN"/>
    <s v="CCMS"/>
    <n v="21344085"/>
    <n v="2150.53"/>
    <m/>
    <s v="N"/>
    <n v="20"/>
    <d v="2023-07-07T19:03:23"/>
    <s v="Y"/>
    <s v="Preparation - other"/>
    <s v="Prescribed Hourly Rates"/>
    <s v="Profit Cost"/>
    <s v="Other"/>
    <s v="Y"/>
    <n v="6.58"/>
    <n v="1.32"/>
    <x v="9"/>
    <s v="VALIDATED"/>
    <n v="1"/>
    <s v="01.11.80.305.6100.0000"/>
    <n v="6.58"/>
    <s v="11"/>
    <s v="6100"/>
    <n v="33277.69"/>
    <n v="6.58"/>
    <s v="CREDITOR"/>
    <n v="0"/>
    <n v="0"/>
    <n v="0"/>
    <n v="0"/>
    <n v="6.58"/>
  </r>
  <r>
    <n v="59985205"/>
    <s v="N"/>
    <n v="21320406"/>
    <s v="3000014302890019"/>
    <s v="CIVIL"/>
    <d v="2023-06-28T00:00:00"/>
    <d v="2023-07-03T19:04:52"/>
    <m/>
    <d v="2023-07-03T00:00:00"/>
    <n v="1783"/>
    <n v="19751"/>
    <s v="59985205"/>
    <s v="59985205"/>
    <m/>
    <m/>
    <n v="22783442"/>
    <m/>
    <m/>
    <m/>
    <s v="SOLPOA"/>
    <s v="SOLPOA"/>
    <s v="CCMS"/>
    <n v="21320406"/>
    <n v="98.31"/>
    <m/>
    <s v="N"/>
    <n v="1"/>
    <d v="2023-07-03T19:04:54"/>
    <s v="N"/>
    <s v="Non Expert Disbursement - Private L"/>
    <s v="Non Expert Disbursement - Priv"/>
    <s v="Non Expert Disbursement"/>
    <s v="Bethany Connor"/>
    <s v="N"/>
    <n v="98.31"/>
    <n v="0"/>
    <x v="3"/>
    <s v="VALIDATED"/>
    <n v="1"/>
    <s v="01.11.80.307.2012.0000"/>
    <n v="98.31"/>
    <s v="11"/>
    <s v="2012"/>
    <n v="33277.69"/>
    <n v="98.31"/>
    <s v="CREDITOR"/>
    <n v="98.31"/>
    <n v="0"/>
    <n v="0"/>
    <n v="0"/>
    <n v="0"/>
  </r>
  <r>
    <n v="59679428"/>
    <s v="N"/>
    <n v="21327464"/>
    <s v="3000014061650024"/>
    <s v="CIVIL"/>
    <d v="2023-06-21T00:00:00"/>
    <d v="2023-07-04T19:00:44"/>
    <m/>
    <d v="2023-07-04T00:00:00"/>
    <n v="1783"/>
    <n v="19751"/>
    <s v="59679428"/>
    <s v="59679428"/>
    <m/>
    <m/>
    <n v="22736612"/>
    <m/>
    <m/>
    <m/>
    <s v="SOLFIN"/>
    <s v="SOLFIN"/>
    <s v="CCMS"/>
    <n v="21327464"/>
    <n v="1913.11"/>
    <m/>
    <s v="N"/>
    <n v="20"/>
    <d v="2023-07-04T19:00:47"/>
    <s v="Y"/>
    <s v="Preparation - other"/>
    <s v="VHCC"/>
    <s v="Profit Cost"/>
    <s v="KJ"/>
    <s v="Y"/>
    <n v="53.15"/>
    <n v="10.63"/>
    <x v="1"/>
    <s v="VALIDATED"/>
    <n v="1"/>
    <s v="01.11.80.305.6100.0000"/>
    <n v="53.15"/>
    <s v="11"/>
    <s v="6100"/>
    <n v="33277.69"/>
    <n v="53.15"/>
    <s v="CREDITOR"/>
    <n v="0"/>
    <n v="0"/>
    <n v="0"/>
    <n v="0"/>
    <n v="53.15"/>
  </r>
  <r>
    <n v="62132930"/>
    <s v="N"/>
    <n v="21322235"/>
    <s v="3000016154880003"/>
    <s v="CIVIL"/>
    <d v="2023-06-30T00:00:00"/>
    <d v="2023-07-03T19:05:36"/>
    <m/>
    <d v="2023-07-03T00:00:00"/>
    <n v="1783"/>
    <n v="19751"/>
    <s v="62132930"/>
    <s v="62132930"/>
    <m/>
    <m/>
    <n v="22794236"/>
    <m/>
    <m/>
    <m/>
    <s v="SOLPOA"/>
    <s v="SOLPOA"/>
    <s v="CCMS"/>
    <n v="21322235"/>
    <n v="485.58"/>
    <m/>
    <s v="N"/>
    <n v="1"/>
    <d v="2023-07-03T19:05:36"/>
    <s v="N"/>
    <s v="Solicitors Fixed Fee"/>
    <s v="Public Law Children"/>
    <s v="Profit Cost"/>
    <s v="Anna Streather"/>
    <s v="N"/>
    <n v="404.65"/>
    <n v="80.93000000000001"/>
    <x v="3"/>
    <s v="VALIDATED"/>
    <n v="1"/>
    <s v="01.11.80.308.2012.0000"/>
    <n v="404.65"/>
    <s v="11"/>
    <s v="2012"/>
    <n v="33277.69"/>
    <n v="404.65"/>
    <s v="CREDITOR"/>
    <n v="404.65"/>
    <n v="101.1625"/>
    <n v="0"/>
    <n v="0"/>
    <n v="0"/>
  </r>
  <r>
    <n v="59679428"/>
    <s v="N"/>
    <n v="21327464"/>
    <s v="3000014061650024"/>
    <s v="CIVIL"/>
    <d v="2023-06-21T00:00:00"/>
    <d v="2023-07-04T19:00:44"/>
    <m/>
    <d v="2023-07-04T00:00:00"/>
    <n v="1783"/>
    <n v="19751"/>
    <s v="59679428"/>
    <s v="59679428"/>
    <m/>
    <m/>
    <n v="22736612"/>
    <m/>
    <m/>
    <m/>
    <s v="SOLFIN"/>
    <s v="SOLFIN"/>
    <s v="CCMS"/>
    <n v="21327464"/>
    <n v="1913.11"/>
    <m/>
    <s v="N"/>
    <n v="7"/>
    <d v="2023-07-04T19:00:47"/>
    <s v="Y"/>
    <s v="Preparation - drafting statement"/>
    <s v="VHCC"/>
    <s v="Profit Cost"/>
    <s v="KJ"/>
    <s v="Y"/>
    <n v="37.97"/>
    <n v="7.59"/>
    <x v="1"/>
    <s v="VALIDATED"/>
    <n v="1"/>
    <s v="01.11.80.305.6100.0000"/>
    <n v="37.97"/>
    <s v="11"/>
    <s v="6100"/>
    <n v="33277.69"/>
    <n v="37.97"/>
    <s v="CREDITOR"/>
    <n v="0"/>
    <n v="0"/>
    <n v="0"/>
    <n v="0"/>
    <n v="37.97"/>
  </r>
  <r>
    <n v="61149288"/>
    <s v="N"/>
    <n v="21321061"/>
    <s v="3000015326710004"/>
    <s v="CIVIL"/>
    <d v="2023-06-28T00:00:00"/>
    <d v="2023-07-03T19:04:52"/>
    <m/>
    <d v="2023-07-03T00:00:00"/>
    <n v="1783"/>
    <n v="19751"/>
    <s v="61149288"/>
    <s v="61149288"/>
    <m/>
    <m/>
    <n v="22781262"/>
    <m/>
    <m/>
    <m/>
    <s v="SOLPOA"/>
    <s v="SOLPOA"/>
    <s v="CCMS"/>
    <n v="21321061"/>
    <n v="1416"/>
    <m/>
    <s v="N"/>
    <n v="1"/>
    <d v="2023-07-03T19:04:57"/>
    <s v="N"/>
    <s v="Non Expert Disbursement - Private L"/>
    <s v="Non Expert Disbursement - Priv"/>
    <s v="Non Expert Disbursement"/>
    <s v="Bethany Connor"/>
    <s v="N"/>
    <n v="1180"/>
    <n v="236"/>
    <x v="3"/>
    <s v="VALIDATED"/>
    <n v="1"/>
    <s v="01.11.80.307.2012.0000"/>
    <n v="1180"/>
    <s v="11"/>
    <s v="2012"/>
    <n v="33277.69"/>
    <n v="1180"/>
    <s v="CREDITOR"/>
    <n v="1180"/>
    <n v="0"/>
    <n v="0"/>
    <n v="0"/>
    <n v="0"/>
  </r>
  <r>
    <n v="60585486"/>
    <s v="N"/>
    <n v="21323574"/>
    <s v="3000014843030005"/>
    <s v="CIVIL"/>
    <d v="2023-06-30T00:00:00"/>
    <d v="2023-07-03T19:05:56"/>
    <m/>
    <d v="2023-07-03T00:00:00"/>
    <n v="1783"/>
    <n v="19751"/>
    <s v="60585486"/>
    <s v="60585486"/>
    <m/>
    <m/>
    <n v="22795314"/>
    <m/>
    <m/>
    <m/>
    <s v="SOLPOA"/>
    <s v="SOLPOA"/>
    <s v="CCMS"/>
    <n v="21323574"/>
    <n v="30.6"/>
    <m/>
    <s v="N"/>
    <n v="1"/>
    <d v="2023-07-03T19:05:57"/>
    <s v="N"/>
    <s v="Non Expert Disbursement - Private L"/>
    <s v="Non Expert Disbursement - Priv"/>
    <s v="Non Expert Disbursement"/>
    <s v="Stacey Croft"/>
    <s v="N"/>
    <n v="30.6"/>
    <n v="0"/>
    <x v="3"/>
    <s v="VALIDATED"/>
    <n v="1"/>
    <s v="01.11.80.307.2012.0000"/>
    <n v="30.6"/>
    <s v="11"/>
    <s v="2012"/>
    <n v="33277.69"/>
    <n v="30.6"/>
    <s v="CREDITOR"/>
    <n v="30.6"/>
    <n v="0"/>
    <n v="0"/>
    <n v="0"/>
    <n v="0"/>
  </r>
  <r>
    <n v="62164045"/>
    <s v="N"/>
    <n v="21344085"/>
    <s v="3000016176230001"/>
    <s v="CIVIL"/>
    <d v="2023-06-30T00:00:00"/>
    <d v="2023-07-07T19:03:00"/>
    <m/>
    <d v="2023-07-07T00:00:00"/>
    <n v="1783"/>
    <n v="19751"/>
    <s v="62164045"/>
    <s v="62164045"/>
    <m/>
    <m/>
    <n v="22797552"/>
    <m/>
    <m/>
    <m/>
    <s v="SOLFIN"/>
    <s v="SOLFIN"/>
    <s v="CCMS"/>
    <n v="21344085"/>
    <n v="2150.53"/>
    <m/>
    <s v="N"/>
    <n v="17"/>
    <d v="2023-07-07T19:03:23"/>
    <s v="Y"/>
    <s v="Preparation - other"/>
    <s v="Prescribed Hourly Rates"/>
    <s v="Profit Cost"/>
    <s v="Catherine Woolley"/>
    <s v="Y"/>
    <n v="8.550000000000001"/>
    <n v="1.71"/>
    <x v="9"/>
    <s v="VALIDATED"/>
    <n v="1"/>
    <s v="01.11.80.305.6100.0000"/>
    <n v="8.550000000000001"/>
    <s v="11"/>
    <s v="6100"/>
    <n v="33277.69"/>
    <n v="8.550000000000001"/>
    <s v="CREDITOR"/>
    <n v="0"/>
    <n v="0"/>
    <n v="0"/>
    <n v="0"/>
    <n v="8.550000000000001"/>
  </r>
  <r>
    <n v="61487226"/>
    <s v="N"/>
    <n v="21349427"/>
    <s v="3000015612790007"/>
    <s v="CIVIL"/>
    <d v="2023-06-29T00:00:00"/>
    <d v="2023-07-10T19:01:40"/>
    <m/>
    <d v="2023-07-10T00:00:00"/>
    <n v="1783"/>
    <n v="19751"/>
    <s v="61487226"/>
    <s v="61487226"/>
    <m/>
    <m/>
    <n v="22788046"/>
    <m/>
    <m/>
    <m/>
    <s v="SOLFIN"/>
    <s v="SOLFIN"/>
    <s v="CCMS"/>
    <n v="21349427"/>
    <n v="11436.16"/>
    <m/>
    <s v="N"/>
    <n v="13"/>
    <d v="2023-07-10T19:01:49"/>
    <s v="Y"/>
    <s v="Hearing Unit 2.31 - 5.00 Hours"/>
    <s v="Public Law Children"/>
    <s v="Advocacy"/>
    <s v="Catherine Woolley"/>
    <s v="Y"/>
    <n v="476.92"/>
    <n v="95.38"/>
    <x v="2"/>
    <s v="VALIDATED"/>
    <n v="1"/>
    <s v="01.11.80.308.6100.0000"/>
    <n v="476.92"/>
    <s v="11"/>
    <s v="6100"/>
    <n v="33277.69"/>
    <n v="476.92"/>
    <s v="CREDITOR"/>
    <n v="0"/>
    <n v="0"/>
    <n v="0"/>
    <n v="0"/>
    <n v="476.92"/>
  </r>
  <r>
    <n v="61715202"/>
    <s v="N"/>
    <n v="21343912"/>
    <s v="3000015795220001"/>
    <s v="CIVIL"/>
    <d v="2023-06-29T00:00:00"/>
    <d v="2023-07-07T19:03:00"/>
    <m/>
    <d v="2023-07-07T00:00:00"/>
    <n v="1783"/>
    <n v="19751"/>
    <s v="61715202"/>
    <s v="61715202"/>
    <m/>
    <m/>
    <n v="22784904"/>
    <m/>
    <m/>
    <m/>
    <s v="SOLFIN"/>
    <s v="SOLFIN"/>
    <s v="CCMS"/>
    <n v="21343912"/>
    <n v="0"/>
    <m/>
    <s v="N"/>
    <n v="1"/>
    <d v="2023-07-07T19:03:17"/>
    <s v="N"/>
    <s v="NIL BILL"/>
    <s v="Care Remuneration Hourly Rates"/>
    <s v="Profit Cost"/>
    <s v="C.Woolley"/>
    <s v="N"/>
    <n v="0"/>
    <n v="0"/>
    <x v="9"/>
    <s v="VALIDATED"/>
    <n v="1"/>
    <s v="01.11.80.305.6100.0000"/>
    <n v="0"/>
    <s v="11"/>
    <s v="6100"/>
    <n v="33277.69"/>
    <n v="0"/>
    <s v="CREDITOR"/>
    <n v="0"/>
    <n v="0"/>
    <n v="0"/>
    <n v="0"/>
    <n v="0"/>
  </r>
  <r>
    <n v="61313239"/>
    <s v="N"/>
    <n v="21343877"/>
    <s v="3000015467670010"/>
    <s v="CIVIL"/>
    <d v="2023-06-27T00:00:00"/>
    <d v="2023-07-07T19:03:00"/>
    <m/>
    <d v="2023-07-07T00:00:00"/>
    <n v="1783"/>
    <n v="19751"/>
    <s v="61313239"/>
    <s v="61313239"/>
    <m/>
    <m/>
    <n v="22768748"/>
    <m/>
    <m/>
    <m/>
    <s v="SOLFIN"/>
    <s v="SOLFIN"/>
    <s v="CCMS"/>
    <n v="21343877"/>
    <n v="15072.79"/>
    <m/>
    <s v="N"/>
    <n v="2"/>
    <d v="2023-07-07T19:03:15"/>
    <s v="Y"/>
    <s v="Solicitor Travel Expenses"/>
    <s v="Public Law Children"/>
    <s v="Non Expert Disbursement"/>
    <s v="Ashley Oakden"/>
    <s v="Y"/>
    <n v="9.4"/>
    <n v="0"/>
    <x v="9"/>
    <s v="VALIDATED"/>
    <n v="1"/>
    <s v="01.11.80.308.6300.0000"/>
    <n v="9.4"/>
    <s v="11"/>
    <s v="6300"/>
    <n v="33277.69"/>
    <n v="9.4"/>
    <s v="CREDITOR"/>
    <n v="0"/>
    <n v="0"/>
    <n v="0"/>
    <n v="0"/>
    <n v="9.4"/>
  </r>
  <r>
    <n v="59679428"/>
    <s v="N"/>
    <n v="21327464"/>
    <s v="3000014061650024"/>
    <s v="CIVIL"/>
    <d v="2023-06-21T00:00:00"/>
    <d v="2023-07-04T19:00:44"/>
    <m/>
    <d v="2023-07-04T00:00:00"/>
    <n v="1783"/>
    <n v="19751"/>
    <s v="59679428"/>
    <s v="59679428"/>
    <m/>
    <m/>
    <n v="22736612"/>
    <m/>
    <m/>
    <m/>
    <s v="SOLFIN"/>
    <s v="SOLFIN"/>
    <s v="CCMS"/>
    <n v="21327464"/>
    <n v="1913.11"/>
    <m/>
    <s v="N"/>
    <n v="8"/>
    <d v="2023-07-04T19:00:47"/>
    <s v="Y"/>
    <s v="Preparation - other"/>
    <s v="VHCC"/>
    <s v="Profit Cost"/>
    <s v="KJ"/>
    <s v="Y"/>
    <n v="45.56"/>
    <n v="9.109999999999999"/>
    <x v="1"/>
    <s v="VALIDATED"/>
    <n v="1"/>
    <s v="01.11.80.305.6100.0000"/>
    <n v="45.56"/>
    <s v="11"/>
    <s v="6100"/>
    <n v="33277.69"/>
    <n v="45.56"/>
    <s v="CREDITOR"/>
    <n v="0"/>
    <n v="0"/>
    <n v="0"/>
    <n v="0"/>
    <n v="45.56"/>
  </r>
  <r>
    <n v="61290036"/>
    <s v="N"/>
    <n v="21375125"/>
    <s v="3000015437070010"/>
    <s v="CIVIL"/>
    <d v="2023-06-30T00:00:00"/>
    <d v="2023-07-14T10:00:03"/>
    <m/>
    <d v="2023-07-14T00:00:00"/>
    <n v="1783"/>
    <n v="19751"/>
    <s v="61290036"/>
    <s v="61290036"/>
    <m/>
    <m/>
    <n v="22799970"/>
    <m/>
    <m/>
    <m/>
    <s v="SOLFIN"/>
    <s v="SOLFIN"/>
    <s v="CCMS"/>
    <n v="21375125"/>
    <n v="2967.99"/>
    <m/>
    <s v="N"/>
    <n v="4"/>
    <d v="2023-07-14T10:00:11"/>
    <s v="N"/>
    <s v="Disbursements (Summary)"/>
    <s v="Public Law Children"/>
    <s v="Non Expert Disbursement"/>
    <s v="Katrina Gaskell"/>
    <s v="N"/>
    <n v="0"/>
    <n v="0"/>
    <x v="10"/>
    <s v="VALIDATED"/>
    <n v="1"/>
    <s v="01.11.80.308.6300.0000"/>
    <n v="0"/>
    <s v="11"/>
    <s v="6300"/>
    <n v="33277.69"/>
    <n v="0"/>
    <s v="CREDITOR"/>
    <n v="0"/>
    <n v="0"/>
    <n v="0"/>
    <n v="0"/>
    <n v="0"/>
  </r>
  <r>
    <n v="61715150"/>
    <s v="N"/>
    <n v="21343919"/>
    <s v="3000015794730004"/>
    <s v="CIVIL"/>
    <d v="2023-06-29T00:00:00"/>
    <d v="2023-07-07T19:03:00"/>
    <m/>
    <d v="2023-07-07T00:00:00"/>
    <n v="1783"/>
    <n v="19751"/>
    <s v="61715150"/>
    <s v="61715150"/>
    <m/>
    <m/>
    <n v="22784932"/>
    <m/>
    <m/>
    <m/>
    <s v="SOLFIN"/>
    <s v="SOLFIN"/>
    <s v="CCMS"/>
    <n v="21343919"/>
    <n v="6471.53"/>
    <m/>
    <s v="N"/>
    <n v="4"/>
    <d v="2023-07-07T19:03:17"/>
    <s v="Y"/>
    <s v="Advocates Meeting"/>
    <s v="Other Public Law Children"/>
    <s v="Advocacy"/>
    <s v="C.Woolley"/>
    <s v="Y"/>
    <n v="140.99"/>
    <n v="28.2"/>
    <x v="9"/>
    <s v="VALIDATED"/>
    <n v="1"/>
    <s v="01.11.80.305.6100.0000"/>
    <n v="140.99"/>
    <s v="11"/>
    <s v="6100"/>
    <n v="33277.69"/>
    <n v="140.99"/>
    <s v="CREDITOR"/>
    <n v="0"/>
    <n v="0"/>
    <n v="0"/>
    <n v="0"/>
    <n v="140.99"/>
  </r>
  <r>
    <n v="59679428"/>
    <s v="N"/>
    <n v="21327464"/>
    <s v="3000014061650024"/>
    <s v="CIVIL"/>
    <d v="2023-06-21T00:00:00"/>
    <d v="2023-07-04T19:00:44"/>
    <m/>
    <d v="2023-07-04T00:00:00"/>
    <n v="1783"/>
    <n v="19751"/>
    <s v="59679428"/>
    <s v="59679428"/>
    <m/>
    <m/>
    <n v="22736612"/>
    <m/>
    <m/>
    <m/>
    <s v="SOLFIN"/>
    <s v="SOLFIN"/>
    <s v="CCMS"/>
    <n v="21327464"/>
    <n v="1913.11"/>
    <m/>
    <s v="N"/>
    <n v="37"/>
    <d v="2023-07-04T19:00:47"/>
    <s v="Y"/>
    <s v="Item - Routine Incoming letter"/>
    <s v="VHCC"/>
    <s v="Profit Cost"/>
    <s v="OFE"/>
    <s v="Y"/>
    <n v="11.1"/>
    <n v="2.22"/>
    <x v="1"/>
    <s v="VALIDATED"/>
    <n v="1"/>
    <s v="01.11.80.305.6100.0000"/>
    <n v="11.1"/>
    <s v="11"/>
    <s v="6100"/>
    <n v="33277.69"/>
    <n v="11.1"/>
    <s v="CREDITOR"/>
    <n v="0"/>
    <n v="0"/>
    <n v="0"/>
    <n v="0"/>
    <n v="11.1"/>
  </r>
  <r>
    <n v="61290036"/>
    <s v="N"/>
    <n v="21375125"/>
    <s v="3000015437070010"/>
    <s v="CIVIL"/>
    <d v="2023-06-30T00:00:00"/>
    <d v="2023-07-14T10:00:03"/>
    <m/>
    <d v="2023-07-14T00:00:00"/>
    <n v="1783"/>
    <n v="19751"/>
    <s v="61290036"/>
    <s v="61290036"/>
    <m/>
    <m/>
    <n v="22799970"/>
    <m/>
    <m/>
    <m/>
    <s v="SOLFIN"/>
    <s v="SOLFIN"/>
    <s v="CCMS"/>
    <n v="21375125"/>
    <n v="2967.99"/>
    <m/>
    <s v="N"/>
    <n v="5"/>
    <d v="2023-07-14T10:00:11"/>
    <s v="Y"/>
    <s v="Advocates Meeting"/>
    <s v="Public Law Children"/>
    <s v="Advocacy"/>
    <s v="Katrina Gaskell"/>
    <s v="Y"/>
    <n v="140.99"/>
    <n v="28.2"/>
    <x v="10"/>
    <s v="VALIDATED"/>
    <n v="1"/>
    <s v="01.11.80.308.6100.0000"/>
    <n v="140.99"/>
    <s v="11"/>
    <s v="6100"/>
    <n v="33277.69"/>
    <n v="140.99"/>
    <s v="CREDITOR"/>
    <n v="0"/>
    <n v="0"/>
    <n v="0"/>
    <n v="0"/>
    <n v="140.99"/>
  </r>
  <r>
    <n v="61487226"/>
    <s v="N"/>
    <n v="21349427"/>
    <s v="3000015612790007"/>
    <s v="CIVIL"/>
    <d v="2023-06-29T00:00:00"/>
    <d v="2023-07-10T19:01:40"/>
    <m/>
    <d v="2023-07-10T00:00:00"/>
    <n v="1783"/>
    <n v="19751"/>
    <s v="61487226"/>
    <s v="61487226"/>
    <m/>
    <m/>
    <n v="22788046"/>
    <m/>
    <m/>
    <m/>
    <s v="SOLFIN"/>
    <s v="SOLFIN"/>
    <s v="CCMS"/>
    <n v="21349427"/>
    <n v="11436.16"/>
    <m/>
    <s v="N"/>
    <n v="3"/>
    <d v="2023-07-10T19:01:49"/>
    <s v="Y"/>
    <s v="Solicitor Travel Expenses"/>
    <s v="Public Law Children"/>
    <s v="Non Expert Disbursement"/>
    <s v="Catherine Wooley"/>
    <s v="Y"/>
    <n v="4.8"/>
    <n v="0"/>
    <x v="2"/>
    <s v="VALIDATED"/>
    <n v="1"/>
    <s v="01.11.80.308.6300.0000"/>
    <n v="4.8"/>
    <s v="11"/>
    <s v="6300"/>
    <n v="33277.69"/>
    <n v="4.8"/>
    <s v="CREDITOR"/>
    <n v="0"/>
    <n v="0"/>
    <n v="0"/>
    <n v="0"/>
    <n v="4.8"/>
  </r>
  <r>
    <n v="61313239"/>
    <s v="N"/>
    <n v="21343877"/>
    <s v="3000015467670010"/>
    <s v="CIVIL"/>
    <d v="2023-06-27T00:00:00"/>
    <d v="2023-07-07T19:03:00"/>
    <m/>
    <d v="2023-07-07T00:00:00"/>
    <n v="1783"/>
    <n v="19751"/>
    <s v="61313239"/>
    <s v="61313239"/>
    <m/>
    <m/>
    <n v="22768748"/>
    <m/>
    <m/>
    <m/>
    <s v="SOLFIN"/>
    <s v="SOLFIN"/>
    <s v="CCMS"/>
    <n v="21343877"/>
    <n v="15072.79"/>
    <m/>
    <s v="N"/>
    <n v="7"/>
    <d v="2023-07-07T19:03:15"/>
    <s v="Y"/>
    <s v="Advocates Meeting"/>
    <s v="Public Law Children"/>
    <s v="Advocacy"/>
    <s v="Catherine Woolley"/>
    <s v="Y"/>
    <n v="140.99"/>
    <n v="28.2"/>
    <x v="9"/>
    <s v="VALIDATED"/>
    <n v="1"/>
    <s v="01.11.80.308.6100.0000"/>
    <n v="140.99"/>
    <s v="11"/>
    <s v="6100"/>
    <n v="33277.69"/>
    <n v="140.99"/>
    <s v="CREDITOR"/>
    <n v="0"/>
    <n v="0"/>
    <n v="0"/>
    <n v="0"/>
    <n v="140.99"/>
  </r>
  <r>
    <n v="62164045"/>
    <s v="N"/>
    <n v="21344085"/>
    <s v="3000016176230001"/>
    <s v="CIVIL"/>
    <d v="2023-06-30T00:00:00"/>
    <d v="2023-07-07T19:03:00"/>
    <m/>
    <d v="2023-07-07T00:00:00"/>
    <n v="1783"/>
    <n v="19751"/>
    <s v="62164045"/>
    <s v="62164045"/>
    <m/>
    <m/>
    <n v="22797552"/>
    <m/>
    <m/>
    <m/>
    <s v="SOLFIN"/>
    <s v="SOLFIN"/>
    <s v="CCMS"/>
    <n v="21344085"/>
    <n v="2150.53"/>
    <m/>
    <s v="N"/>
    <n v="3"/>
    <d v="2023-07-07T19:03:23"/>
    <s v="Y"/>
    <s v="Preparation - other"/>
    <s v="Prescribed Hourly Rates"/>
    <s v="Profit Cost"/>
    <s v="Catherine Woolley"/>
    <s v="Y"/>
    <n v="25.65"/>
    <n v="5.13"/>
    <x v="9"/>
    <s v="VALIDATED"/>
    <n v="1"/>
    <s v="01.11.80.305.6100.0000"/>
    <n v="25.65"/>
    <s v="11"/>
    <s v="6100"/>
    <n v="33277.69"/>
    <n v="25.65"/>
    <s v="CREDITOR"/>
    <n v="0"/>
    <n v="0"/>
    <n v="0"/>
    <n v="0"/>
    <n v="25.65"/>
  </r>
  <r>
    <n v="62164045"/>
    <s v="N"/>
    <n v="21344085"/>
    <s v="3000016176230001"/>
    <s v="CIVIL"/>
    <d v="2023-06-30T00:00:00"/>
    <d v="2023-07-07T19:03:00"/>
    <m/>
    <d v="2023-07-07T00:00:00"/>
    <n v="1783"/>
    <n v="19751"/>
    <s v="62164045"/>
    <s v="62164045"/>
    <m/>
    <m/>
    <n v="22797552"/>
    <m/>
    <m/>
    <m/>
    <s v="SOLFIN"/>
    <s v="SOLFIN"/>
    <s v="CCMS"/>
    <n v="21344085"/>
    <n v="2150.53"/>
    <m/>
    <s v="N"/>
    <n v="30"/>
    <d v="2023-07-07T19:03:23"/>
    <s v="Y"/>
    <s v="Preparation - other"/>
    <s v="Prescribed Hourly Rates"/>
    <s v="Profit Cost"/>
    <s v="Catherine Woolley"/>
    <s v="Y"/>
    <n v="34.19"/>
    <n v="6.84"/>
    <x v="9"/>
    <s v="VALIDATED"/>
    <n v="1"/>
    <s v="01.11.80.305.6100.0000"/>
    <n v="34.19"/>
    <s v="11"/>
    <s v="6100"/>
    <n v="33277.69"/>
    <n v="34.19"/>
    <s v="CREDITOR"/>
    <n v="0"/>
    <n v="0"/>
    <n v="0"/>
    <n v="0"/>
    <n v="34.19"/>
  </r>
  <r>
    <n v="59904455"/>
    <s v="N"/>
    <n v="21320276"/>
    <s v="3000014261000021"/>
    <s v="CIVIL"/>
    <d v="2023-06-28T00:00:00"/>
    <d v="2023-07-03T19:04:52"/>
    <m/>
    <d v="2023-07-03T00:00:00"/>
    <n v="1783"/>
    <n v="19751"/>
    <s v="59904455"/>
    <s v="59904455"/>
    <m/>
    <m/>
    <n v="22780862"/>
    <m/>
    <m/>
    <m/>
    <s v="SOLPOA"/>
    <s v="SOLPOA"/>
    <s v="CCMS"/>
    <n v="21320276"/>
    <n v="125.76"/>
    <m/>
    <s v="N"/>
    <n v="1"/>
    <d v="2023-07-03T19:04:53"/>
    <s v="N"/>
    <s v="Non Expert Disbursement"/>
    <s v="Non Expert Disbursement"/>
    <s v="Non Expert Disbursement"/>
    <s v="Beth"/>
    <s v="N"/>
    <n v="104.8"/>
    <n v="20.96"/>
    <x v="3"/>
    <s v="VALIDATED"/>
    <n v="1"/>
    <s v="01.11.80.308.2012.0000"/>
    <n v="104.8"/>
    <s v="11"/>
    <s v="2012"/>
    <n v="33277.69"/>
    <n v="104.8"/>
    <s v="CREDITOR"/>
    <n v="104.8"/>
    <n v="0"/>
    <n v="0"/>
    <n v="0"/>
    <n v="0"/>
  </r>
  <r>
    <n v="61715150"/>
    <s v="N"/>
    <n v="21343919"/>
    <s v="3000015794730004"/>
    <s v="CIVIL"/>
    <d v="2023-06-29T00:00:00"/>
    <d v="2023-07-07T19:03:00"/>
    <m/>
    <d v="2023-07-07T00:00:00"/>
    <n v="1783"/>
    <n v="19751"/>
    <s v="61715150"/>
    <s v="61715150"/>
    <m/>
    <m/>
    <n v="22784932"/>
    <m/>
    <m/>
    <m/>
    <s v="SOLFIN"/>
    <s v="SOLFIN"/>
    <s v="CCMS"/>
    <n v="21343919"/>
    <n v="6471.53"/>
    <m/>
    <s v="N"/>
    <n v="2"/>
    <d v="2023-07-07T19:03:17"/>
    <s v="Y"/>
    <s v="Profit Costs (Summary)"/>
    <s v="Care Remuneration Hourly Rates"/>
    <s v="Profit Cost"/>
    <s v="C.Woolley"/>
    <s v="Y"/>
    <n v="4449.45"/>
    <n v="889.89"/>
    <x v="9"/>
    <s v="VALIDATED"/>
    <n v="1"/>
    <s v="01.11.80.305.6100.0000"/>
    <n v="4449.45"/>
    <s v="11"/>
    <s v="6100"/>
    <n v="33277.69"/>
    <n v="4449.45"/>
    <s v="CREDITOR"/>
    <n v="0"/>
    <n v="0"/>
    <n v="0"/>
    <n v="0"/>
    <n v="4449.45"/>
  </r>
  <r>
    <n v="59679428"/>
    <s v="N"/>
    <n v="21327464"/>
    <s v="3000014061650024"/>
    <s v="CIVIL"/>
    <d v="2023-06-21T00:00:00"/>
    <d v="2023-07-04T19:00:44"/>
    <m/>
    <d v="2023-07-04T00:00:00"/>
    <n v="1783"/>
    <n v="19751"/>
    <s v="59679428"/>
    <s v="59679428"/>
    <m/>
    <m/>
    <n v="22736612"/>
    <m/>
    <m/>
    <m/>
    <s v="SOLFIN"/>
    <s v="SOLFIN"/>
    <s v="CCMS"/>
    <n v="21327464"/>
    <n v="1913.11"/>
    <m/>
    <s v="N"/>
    <n v="11"/>
    <d v="2023-07-04T19:00:47"/>
    <s v="Y"/>
    <s v="Preparation - drafting consent orde"/>
    <s v="VHCC"/>
    <s v="Profit Cost"/>
    <s v="KJ"/>
    <s v="Y"/>
    <n v="15.19"/>
    <n v="3.04"/>
    <x v="1"/>
    <s v="VALIDATED"/>
    <n v="1"/>
    <s v="01.11.80.305.6100.0000"/>
    <n v="15.19"/>
    <s v="11"/>
    <s v="6100"/>
    <n v="33277.69"/>
    <n v="15.19"/>
    <s v="CREDITOR"/>
    <n v="0"/>
    <n v="0"/>
    <n v="0"/>
    <n v="0"/>
    <n v="15.19"/>
  </r>
  <r>
    <n v="59924342"/>
    <s v="N"/>
    <n v="21360671"/>
    <s v="3000014263530013"/>
    <s v="CIVIL"/>
    <d v="2023-06-29T00:00:00"/>
    <d v="2023-07-11T19:00:25"/>
    <m/>
    <d v="2023-07-11T00:00:00"/>
    <n v="1783"/>
    <n v="19751"/>
    <s v="59924342"/>
    <s v="59924342"/>
    <m/>
    <m/>
    <n v="22786952"/>
    <m/>
    <m/>
    <m/>
    <s v="SOLFIN"/>
    <s v="SOLFIN"/>
    <s v="CCMS"/>
    <n v="21360671"/>
    <n v="17585.75"/>
    <m/>
    <s v="N"/>
    <n v="8"/>
    <d v="2023-07-11T19:00:29"/>
    <s v="Y"/>
    <s v="Hearing Unit 1.01 - 2.30 Hours"/>
    <s v="Public Law Children"/>
    <s v="Advocacy"/>
    <s v="JE"/>
    <s v="Y"/>
    <n v="238.46"/>
    <n v="47.69"/>
    <x v="7"/>
    <s v="VALIDATED"/>
    <n v="1"/>
    <s v="01.11.80.308.6100.0000"/>
    <n v="238.46"/>
    <s v="11"/>
    <s v="6100"/>
    <n v="33277.69"/>
    <n v="238.46"/>
    <s v="CREDITOR"/>
    <n v="0"/>
    <n v="0"/>
    <n v="0"/>
    <n v="0"/>
    <n v="238.46"/>
  </r>
  <r>
    <n v="62164045"/>
    <s v="N"/>
    <n v="21344085"/>
    <s v="3000016176230001"/>
    <s v="CIVIL"/>
    <d v="2023-06-30T00:00:00"/>
    <d v="2023-07-07T19:03:00"/>
    <m/>
    <d v="2023-07-07T00:00:00"/>
    <n v="1783"/>
    <n v="19751"/>
    <s v="62164045"/>
    <s v="62164045"/>
    <m/>
    <m/>
    <n v="22797552"/>
    <m/>
    <m/>
    <m/>
    <s v="SOLFIN"/>
    <s v="SOLFIN"/>
    <s v="CCMS"/>
    <n v="21344085"/>
    <n v="2150.53"/>
    <m/>
    <s v="N"/>
    <n v="10"/>
    <d v="2023-07-07T19:03:23"/>
    <s v="Y"/>
    <s v="Preparation - other"/>
    <s v="Prescribed Hourly Rates"/>
    <s v="Profit Cost"/>
    <s v="Stacy Fox"/>
    <s v="Y"/>
    <n v="8.550000000000001"/>
    <n v="1.71"/>
    <x v="9"/>
    <s v="VALIDATED"/>
    <n v="1"/>
    <s v="01.11.80.305.6100.0000"/>
    <n v="8.550000000000001"/>
    <s v="11"/>
    <s v="6100"/>
    <n v="33277.69"/>
    <n v="8.550000000000001"/>
    <s v="CREDITOR"/>
    <n v="0"/>
    <n v="0"/>
    <n v="0"/>
    <n v="0"/>
    <n v="8.550000000000001"/>
  </r>
  <r>
    <n v="52945554"/>
    <s v="N"/>
    <n v="21328011"/>
    <s v="3000012728120027"/>
    <s v="CIVIL"/>
    <d v="2023-06-27T00:00:00"/>
    <d v="2023-07-04T19:00:44"/>
    <m/>
    <d v="2023-07-04T00:00:00"/>
    <n v="1783"/>
    <n v="19751"/>
    <s v="52945554"/>
    <s v="52945554"/>
    <m/>
    <m/>
    <n v="22766196"/>
    <m/>
    <m/>
    <m/>
    <s v="SOLFIN"/>
    <s v="SOLFIN"/>
    <s v="CCMS"/>
    <n v="21328011"/>
    <n v="16813.3"/>
    <m/>
    <s v="N"/>
    <n v="3"/>
    <d v="2023-07-04T19:01:01"/>
    <s v="Y"/>
    <s v="Psychologist"/>
    <s v="VHCC"/>
    <s v="Expert Disbursement"/>
    <s v="S. Alli"/>
    <s v="Y"/>
    <n v="517.13"/>
    <n v="103.43"/>
    <x v="1"/>
    <s v="VALIDATED"/>
    <n v="1"/>
    <s v="01.11.80.308.6300.0000"/>
    <n v="517.13"/>
    <s v="11"/>
    <s v="6300"/>
    <n v="33277.69"/>
    <n v="517.13"/>
    <s v="CREDITOR"/>
    <n v="0"/>
    <n v="0"/>
    <n v="0"/>
    <n v="0"/>
    <n v="517.13"/>
  </r>
  <r>
    <n v="52945554"/>
    <s v="N"/>
    <n v="21328011"/>
    <s v="3000012728120027"/>
    <s v="CIVIL"/>
    <d v="2023-06-27T00:00:00"/>
    <d v="2023-07-04T19:00:44"/>
    <m/>
    <d v="2023-07-04T00:00:00"/>
    <n v="1783"/>
    <n v="19751"/>
    <s v="52945554"/>
    <s v="52945554"/>
    <m/>
    <m/>
    <n v="22766196"/>
    <m/>
    <m/>
    <m/>
    <s v="SOLFIN"/>
    <s v="SOLFIN"/>
    <s v="CCMS"/>
    <n v="21328011"/>
    <n v="16813.3"/>
    <m/>
    <s v="N"/>
    <n v="4"/>
    <d v="2023-07-04T19:01:01"/>
    <s v="Y"/>
    <s v="DNA - test of sample"/>
    <s v="VHCC"/>
    <s v="Expert Disbursement"/>
    <s v="S. Alli"/>
    <s v="Y"/>
    <n v="104.98"/>
    <n v="21"/>
    <x v="1"/>
    <s v="VALIDATED"/>
    <n v="1"/>
    <s v="01.11.80.308.6300.0000"/>
    <n v="104.98"/>
    <s v="11"/>
    <s v="6300"/>
    <n v="33277.69"/>
    <n v="104.98"/>
    <s v="CREDITOR"/>
    <n v="0"/>
    <n v="0"/>
    <n v="0"/>
    <n v="0"/>
    <n v="104.98"/>
  </r>
  <r>
    <n v="61715150"/>
    <s v="N"/>
    <n v="21343919"/>
    <s v="3000015794730004"/>
    <s v="CIVIL"/>
    <d v="2023-06-29T00:00:00"/>
    <d v="2023-07-07T19:03:00"/>
    <m/>
    <d v="2023-07-07T00:00:00"/>
    <n v="1783"/>
    <n v="19751"/>
    <s v="61715150"/>
    <s v="61715150"/>
    <m/>
    <m/>
    <n v="22784932"/>
    <m/>
    <m/>
    <m/>
    <s v="SOLFIN"/>
    <s v="SOLFIN"/>
    <s v="CCMS"/>
    <n v="21343919"/>
    <n v="6471.53"/>
    <m/>
    <s v="N"/>
    <n v="3"/>
    <d v="2023-07-07T19:03:17"/>
    <s v="Y"/>
    <s v="Toxicologist"/>
    <s v="Care Remuneration Hourly Rates"/>
    <s v="Expert Disbursement"/>
    <s v="C.Woolley"/>
    <s v="Y"/>
    <n v="286.67"/>
    <n v="57.33"/>
    <x v="9"/>
    <s v="VALIDATED"/>
    <n v="1"/>
    <s v="01.11.80.305.6300.0000"/>
    <n v="286.67"/>
    <s v="11"/>
    <s v="6300"/>
    <n v="33277.69"/>
    <n v="286.67"/>
    <s v="CREDITOR"/>
    <n v="0"/>
    <n v="0"/>
    <n v="0"/>
    <n v="0"/>
    <n v="286.67"/>
  </r>
  <r>
    <n v="59679428"/>
    <s v="N"/>
    <n v="21327464"/>
    <s v="3000014061650024"/>
    <s v="CIVIL"/>
    <d v="2023-06-21T00:00:00"/>
    <d v="2023-07-04T19:00:44"/>
    <m/>
    <d v="2023-07-04T00:00:00"/>
    <n v="1783"/>
    <n v="19751"/>
    <s v="59679428"/>
    <s v="59679428"/>
    <m/>
    <m/>
    <n v="22736612"/>
    <m/>
    <m/>
    <m/>
    <s v="SOLFIN"/>
    <s v="SOLFIN"/>
    <s v="CCMS"/>
    <n v="21327464"/>
    <n v="1913.11"/>
    <m/>
    <s v="N"/>
    <n v="18"/>
    <d v="2023-07-04T19:00:47"/>
    <s v="Y"/>
    <s v="Preparation - other"/>
    <s v="VHCC"/>
    <s v="Profit Cost"/>
    <s v="KJ"/>
    <s v="Y"/>
    <n v="15.19"/>
    <n v="3.04"/>
    <x v="1"/>
    <s v="VALIDATED"/>
    <n v="1"/>
    <s v="01.11.80.305.6100.0000"/>
    <n v="15.19"/>
    <s v="11"/>
    <s v="6100"/>
    <n v="33277.69"/>
    <n v="15.19"/>
    <s v="CREDITOR"/>
    <n v="0"/>
    <n v="0"/>
    <n v="0"/>
    <n v="0"/>
    <n v="15.19"/>
  </r>
  <r>
    <n v="59679428"/>
    <s v="N"/>
    <n v="21327464"/>
    <s v="3000014061650024"/>
    <s v="CIVIL"/>
    <d v="2023-06-21T00:00:00"/>
    <d v="2023-07-04T19:00:44"/>
    <m/>
    <d v="2023-07-04T00:00:00"/>
    <n v="1783"/>
    <n v="19751"/>
    <s v="59679428"/>
    <s v="59679428"/>
    <m/>
    <m/>
    <n v="22736612"/>
    <m/>
    <m/>
    <m/>
    <s v="SOLFIN"/>
    <s v="SOLFIN"/>
    <s v="CCMS"/>
    <n v="21327464"/>
    <n v="1913.11"/>
    <m/>
    <s v="N"/>
    <n v="22"/>
    <d v="2023-07-04T19:00:47"/>
    <s v="Y"/>
    <s v="Preparation - drafting statement"/>
    <s v="VHCC"/>
    <s v="Profit Cost"/>
    <s v="KJ"/>
    <s v="Y"/>
    <n v="75.93000000000001"/>
    <n v="15.19"/>
    <x v="1"/>
    <s v="VALIDATED"/>
    <n v="1"/>
    <s v="01.11.80.305.6100.0000"/>
    <n v="75.93000000000001"/>
    <s v="11"/>
    <s v="6100"/>
    <n v="33277.69"/>
    <n v="75.93000000000001"/>
    <s v="CREDITOR"/>
    <n v="0"/>
    <n v="0"/>
    <n v="0"/>
    <n v="0"/>
    <n v="75.93000000000001"/>
  </r>
  <r>
    <n v="61487226"/>
    <s v="N"/>
    <n v="21349427"/>
    <s v="3000015612790007"/>
    <s v="CIVIL"/>
    <d v="2023-06-29T00:00:00"/>
    <d v="2023-07-10T19:01:40"/>
    <m/>
    <d v="2023-07-10T00:00:00"/>
    <n v="1783"/>
    <n v="19751"/>
    <s v="61487226"/>
    <s v="61487226"/>
    <m/>
    <m/>
    <n v="22788046"/>
    <m/>
    <m/>
    <m/>
    <s v="SOLFIN"/>
    <s v="SOLFIN"/>
    <s v="CCMS"/>
    <n v="21349427"/>
    <n v="11436.16"/>
    <m/>
    <s v="N"/>
    <n v="9"/>
    <d v="2023-07-10T19:01:49"/>
    <s v="Y"/>
    <s v="Toxicologist"/>
    <s v="Public Law Children"/>
    <s v="Expert Disbursement"/>
    <s v="Catherine Wooley"/>
    <s v="Y"/>
    <n v="347.69"/>
    <n v="69.54000000000001"/>
    <x v="2"/>
    <s v="VALIDATED"/>
    <n v="1"/>
    <s v="01.11.80.308.6300.0000"/>
    <n v="347.69"/>
    <s v="11"/>
    <s v="6300"/>
    <n v="33277.69"/>
    <n v="347.69"/>
    <s v="CREDITOR"/>
    <n v="0"/>
    <n v="0"/>
    <n v="0"/>
    <n v="0"/>
    <n v="347.69"/>
  </r>
  <r>
    <n v="62164045"/>
    <s v="N"/>
    <n v="21344085"/>
    <s v="3000016176230001"/>
    <s v="CIVIL"/>
    <d v="2023-06-30T00:00:00"/>
    <d v="2023-07-07T19:03:00"/>
    <m/>
    <d v="2023-07-07T00:00:00"/>
    <n v="1783"/>
    <n v="19751"/>
    <s v="62164045"/>
    <s v="62164045"/>
    <m/>
    <m/>
    <n v="22797552"/>
    <m/>
    <m/>
    <m/>
    <s v="SOLFIN"/>
    <s v="SOLFIN"/>
    <s v="CCMS"/>
    <n v="21344085"/>
    <n v="2150.53"/>
    <m/>
    <s v="N"/>
    <n v="2"/>
    <d v="2023-07-07T19:03:23"/>
    <s v="Y"/>
    <s v="Preparation - other"/>
    <s v="Prescribed Hourly Rates"/>
    <s v="Profit Cost"/>
    <s v="Other"/>
    <s v="Y"/>
    <n v="6.58"/>
    <n v="1.32"/>
    <x v="9"/>
    <s v="VALIDATED"/>
    <n v="1"/>
    <s v="01.11.80.305.6100.0000"/>
    <n v="6.58"/>
    <s v="11"/>
    <s v="6100"/>
    <n v="33277.69"/>
    <n v="6.58"/>
    <s v="CREDITOR"/>
    <n v="0"/>
    <n v="0"/>
    <n v="0"/>
    <n v="0"/>
    <n v="6.58"/>
  </r>
  <r>
    <n v="52945554"/>
    <s v="N"/>
    <n v="21328852"/>
    <s v="3000012728120024RC"/>
    <s v="CIVIL"/>
    <d v="2023-06-27T00:00:00"/>
    <d v="2023-07-04T19:38:21"/>
    <m/>
    <d v="2023-07-04T00:00:00"/>
    <n v="1783"/>
    <n v="19751"/>
    <s v="52945554"/>
    <s v="52945554"/>
    <m/>
    <m/>
    <m/>
    <m/>
    <m/>
    <m/>
    <s v="SOLRECOUP"/>
    <s v="SOLRECOUP"/>
    <s v="POARECOUP"/>
    <n v="21328852"/>
    <n v="-604.6"/>
    <m/>
    <s v="Y"/>
    <n v="2"/>
    <d v="2023-07-04T19:38:23"/>
    <s v="N"/>
    <m/>
    <m/>
    <s v="Profit Cost"/>
    <m/>
    <s v="N"/>
    <n v="0"/>
    <n v="-100.77"/>
    <x v="1"/>
    <s v="VALIDATED"/>
    <n v="1"/>
    <s v="01.11.80.308.2013.0000"/>
    <n v="-100.77"/>
    <s v="11"/>
    <s v="2013"/>
    <n v="33277.69"/>
    <n v="-100.77"/>
    <s v="CREDITOR"/>
    <n v="0"/>
    <n v="0"/>
    <n v="-100.77"/>
    <n v="-25.1925"/>
    <n v="0"/>
  </r>
  <r>
    <n v="52945554"/>
    <s v="N"/>
    <n v="21328853"/>
    <s v="3000012728120026RC"/>
    <s v="CIVIL"/>
    <d v="2023-06-27T00:00:00"/>
    <d v="2023-07-04T19:38:21"/>
    <m/>
    <d v="2023-07-04T00:00:00"/>
    <n v="1783"/>
    <n v="19751"/>
    <s v="52945554"/>
    <s v="52945554"/>
    <m/>
    <m/>
    <m/>
    <m/>
    <m/>
    <m/>
    <s v="SOLRECOUP"/>
    <s v="SOLRECOUP"/>
    <s v="POARECOUP"/>
    <n v="21328853"/>
    <n v="-5400"/>
    <m/>
    <s v="Y"/>
    <n v="1"/>
    <d v="2023-07-04T19:38:23"/>
    <s v="N"/>
    <m/>
    <m/>
    <s v="Expert Disbursement"/>
    <m/>
    <s v="N"/>
    <n v="-4500"/>
    <n v="0"/>
    <x v="1"/>
    <s v="VALIDATED"/>
    <n v="1"/>
    <s v="01.11.80.308.2013.0000"/>
    <n v="-4500"/>
    <s v="11"/>
    <s v="2013"/>
    <n v="33277.69"/>
    <n v="-4500"/>
    <s v="CREDITOR"/>
    <n v="0"/>
    <n v="0"/>
    <n v="-4500"/>
    <n v="0"/>
    <n v="0"/>
  </r>
  <r>
    <n v="52945554"/>
    <s v="N"/>
    <n v="21328853"/>
    <s v="3000012728120026RC"/>
    <s v="CIVIL"/>
    <d v="2023-06-27T00:00:00"/>
    <d v="2023-07-04T19:38:21"/>
    <m/>
    <d v="2023-07-04T00:00:00"/>
    <n v="1783"/>
    <n v="19751"/>
    <s v="52945554"/>
    <s v="52945554"/>
    <m/>
    <m/>
    <m/>
    <m/>
    <m/>
    <m/>
    <s v="SOLRECOUP"/>
    <s v="SOLRECOUP"/>
    <s v="POARECOUP"/>
    <n v="21328853"/>
    <n v="-5400"/>
    <m/>
    <s v="Y"/>
    <n v="2"/>
    <d v="2023-07-04T19:38:23"/>
    <s v="N"/>
    <m/>
    <m/>
    <s v="Expert Disbursement"/>
    <m/>
    <s v="N"/>
    <n v="0"/>
    <n v="-900"/>
    <x v="1"/>
    <s v="VALIDATED"/>
    <n v="1"/>
    <s v="01.11.80.308.2013.0000"/>
    <n v="-900"/>
    <s v="11"/>
    <s v="2013"/>
    <n v="33277.69"/>
    <n v="-900"/>
    <s v="CREDITOR"/>
    <n v="0"/>
    <n v="0"/>
    <n v="-900"/>
    <n v="0"/>
    <n v="0"/>
  </r>
  <r>
    <n v="52945554"/>
    <s v="N"/>
    <n v="21328837"/>
    <s v="3000012728120012RC"/>
    <s v="CIVIL"/>
    <d v="2023-06-27T00:00:00"/>
    <d v="2023-07-04T19:38:21"/>
    <m/>
    <d v="2023-07-04T00:00:00"/>
    <n v="1783"/>
    <n v="19751"/>
    <s v="52945554"/>
    <s v="52945554"/>
    <m/>
    <m/>
    <m/>
    <m/>
    <m/>
    <m/>
    <s v="SOLRECOUP"/>
    <s v="SOLRECOUP"/>
    <s v="POARECOUP"/>
    <n v="21328837"/>
    <n v="-2957.21"/>
    <m/>
    <s v="Y"/>
    <n v="1"/>
    <d v="2023-07-04T19:38:23"/>
    <s v="N"/>
    <m/>
    <m/>
    <s v="Profit Cost"/>
    <m/>
    <s v="N"/>
    <n v="-2464.34"/>
    <n v="0"/>
    <x v="1"/>
    <s v="VALIDATED"/>
    <n v="1"/>
    <s v="01.11.80.308.2013.0000"/>
    <n v="-2464.34"/>
    <s v="11"/>
    <s v="2013"/>
    <n v="33277.69"/>
    <n v="-2464.34"/>
    <s v="CREDITOR"/>
    <n v="0"/>
    <n v="0"/>
    <n v="-2464.34"/>
    <n v="-616.085"/>
    <n v="0"/>
  </r>
  <r>
    <n v="52945554"/>
    <s v="N"/>
    <n v="21328837"/>
    <s v="3000012728120012RC"/>
    <s v="CIVIL"/>
    <d v="2023-06-27T00:00:00"/>
    <d v="2023-07-04T19:38:21"/>
    <m/>
    <d v="2023-07-04T00:00:00"/>
    <n v="1783"/>
    <n v="19751"/>
    <s v="52945554"/>
    <s v="52945554"/>
    <m/>
    <m/>
    <m/>
    <m/>
    <m/>
    <m/>
    <s v="SOLRECOUP"/>
    <s v="SOLRECOUP"/>
    <s v="POARECOUP"/>
    <n v="21328837"/>
    <n v="-2957.21"/>
    <m/>
    <s v="Y"/>
    <n v="2"/>
    <d v="2023-07-04T19:38:23"/>
    <s v="N"/>
    <m/>
    <m/>
    <s v="Profit Cost"/>
    <m/>
    <s v="N"/>
    <n v="0"/>
    <n v="-492.87"/>
    <x v="1"/>
    <s v="VALIDATED"/>
    <n v="1"/>
    <s v="01.11.80.308.2013.0000"/>
    <n v="-492.87"/>
    <s v="11"/>
    <s v="2013"/>
    <n v="33277.69"/>
    <n v="-492.87"/>
    <s v="CREDITOR"/>
    <n v="0"/>
    <n v="0"/>
    <n v="-492.87"/>
    <n v="-123.2175"/>
    <n v="0"/>
  </r>
  <r>
    <n v="52945554"/>
    <s v="N"/>
    <n v="21328838"/>
    <s v="3000012728120005RC"/>
    <s v="CIVIL"/>
    <d v="2023-06-27T00:00:00"/>
    <d v="2023-07-04T19:38:21"/>
    <m/>
    <d v="2023-07-04T00:00:00"/>
    <n v="1783"/>
    <n v="19751"/>
    <s v="52945554"/>
    <s v="52945554"/>
    <m/>
    <m/>
    <m/>
    <m/>
    <m/>
    <m/>
    <s v="SOLRECOUP"/>
    <s v="SOLRECOUP"/>
    <s v="POARECOUP"/>
    <n v="21328838"/>
    <n v="-98.76000000000001"/>
    <m/>
    <s v="Y"/>
    <n v="1"/>
    <d v="2023-07-04T19:38:23"/>
    <s v="N"/>
    <m/>
    <m/>
    <s v="Profit Cost"/>
    <m/>
    <s v="N"/>
    <n v="-82.3"/>
    <n v="0"/>
    <x v="1"/>
    <s v="VALIDATED"/>
    <n v="1"/>
    <s v="01.11.80.308.2013.0000"/>
    <n v="-82.3"/>
    <s v="11"/>
    <s v="2013"/>
    <n v="33277.69"/>
    <n v="-82.3"/>
    <s v="CREDITOR"/>
    <n v="0"/>
    <n v="0"/>
    <n v="-82.3"/>
    <n v="-20.575"/>
    <n v="0"/>
  </r>
  <r>
    <n v="52945554"/>
    <s v="N"/>
    <n v="21328838"/>
    <s v="3000012728120005RC"/>
    <s v="CIVIL"/>
    <d v="2023-06-27T00:00:00"/>
    <d v="2023-07-04T19:38:21"/>
    <m/>
    <d v="2023-07-04T00:00:00"/>
    <n v="1783"/>
    <n v="19751"/>
    <s v="52945554"/>
    <s v="52945554"/>
    <m/>
    <m/>
    <m/>
    <m/>
    <m/>
    <m/>
    <s v="SOLRECOUP"/>
    <s v="SOLRECOUP"/>
    <s v="POARECOUP"/>
    <n v="21328838"/>
    <n v="-98.76000000000001"/>
    <m/>
    <s v="Y"/>
    <n v="2"/>
    <d v="2023-07-04T19:38:23"/>
    <s v="N"/>
    <m/>
    <m/>
    <s v="Profit Cost"/>
    <m/>
    <s v="N"/>
    <n v="0"/>
    <n v="-16.46"/>
    <x v="1"/>
    <s v="VALIDATED"/>
    <n v="1"/>
    <s v="01.11.80.308.2013.0000"/>
    <n v="-16.46"/>
    <s v="11"/>
    <s v="2013"/>
    <n v="33277.69"/>
    <n v="-16.46"/>
    <s v="CREDITOR"/>
    <n v="0"/>
    <n v="0"/>
    <n v="-16.46"/>
    <n v="-4.115"/>
    <n v="0"/>
  </r>
  <r>
    <n v="52945554"/>
    <s v="N"/>
    <n v="21328839"/>
    <s v="3000012728120010RC"/>
    <s v="CIVIL"/>
    <d v="2023-06-27T00:00:00"/>
    <d v="2023-07-04T19:38:21"/>
    <m/>
    <d v="2023-07-04T00:00:00"/>
    <n v="1783"/>
    <n v="19751"/>
    <s v="52945554"/>
    <s v="52945554"/>
    <m/>
    <m/>
    <m/>
    <m/>
    <m/>
    <m/>
    <s v="SOLRECOUP"/>
    <s v="SOLRECOUP"/>
    <s v="POARECOUP"/>
    <n v="21328839"/>
    <n v="-167"/>
    <m/>
    <s v="Y"/>
    <n v="1"/>
    <d v="2023-07-04T19:38:23"/>
    <s v="N"/>
    <m/>
    <m/>
    <s v="Non Expert Disbursement"/>
    <m/>
    <s v="N"/>
    <n v="-167"/>
    <n v="0"/>
    <x v="1"/>
    <s v="VALIDATED"/>
    <n v="1"/>
    <s v="01.11.80.308.2013.0000"/>
    <n v="-167"/>
    <s v="11"/>
    <s v="2013"/>
    <n v="33277.69"/>
    <n v="-167"/>
    <s v="CREDITOR"/>
    <n v="0"/>
    <n v="0"/>
    <n v="-167"/>
    <n v="0"/>
    <n v="0"/>
  </r>
  <r>
    <n v="52945554"/>
    <s v="N"/>
    <n v="21328839"/>
    <s v="3000012728120010RC"/>
    <s v="CIVIL"/>
    <d v="2023-06-27T00:00:00"/>
    <d v="2023-07-04T19:38:21"/>
    <m/>
    <d v="2023-07-04T00:00:00"/>
    <n v="1783"/>
    <n v="19751"/>
    <s v="52945554"/>
    <s v="52945554"/>
    <m/>
    <m/>
    <m/>
    <m/>
    <m/>
    <m/>
    <s v="SOLRECOUP"/>
    <s v="SOLRECOUP"/>
    <s v="POARECOUP"/>
    <n v="21328839"/>
    <n v="-167"/>
    <m/>
    <s v="Y"/>
    <n v="2"/>
    <d v="2023-07-04T19:38:23"/>
    <s v="N"/>
    <m/>
    <m/>
    <s v="Non Expert Disbursement"/>
    <m/>
    <s v="N"/>
    <n v="0"/>
    <n v="0"/>
    <x v="1"/>
    <s v="VALIDATED"/>
    <n v="1"/>
    <s v="01.11.80.000.0000.0000"/>
    <n v="0"/>
    <s v="11"/>
    <s v="0000"/>
    <n v="33277.69"/>
    <n v="0"/>
    <s v="CREDITOR"/>
    <n v="0"/>
    <n v="0"/>
    <n v="0"/>
    <n v="0"/>
    <n v="0"/>
  </r>
  <r>
    <n v="52945554"/>
    <s v="N"/>
    <n v="21328840"/>
    <s v="3000012728120017RC"/>
    <s v="CIVIL"/>
    <d v="2023-06-27T00:00:00"/>
    <d v="2023-07-04T19:38:21"/>
    <m/>
    <d v="2023-07-04T00:00:00"/>
    <n v="1783"/>
    <n v="19751"/>
    <s v="52945554"/>
    <s v="52945554"/>
    <m/>
    <m/>
    <m/>
    <m/>
    <m/>
    <m/>
    <s v="SOLRECOUP"/>
    <s v="SOLRECOUP"/>
    <s v="POARECOUP"/>
    <n v="21328840"/>
    <n v="-114"/>
    <m/>
    <s v="Y"/>
    <n v="1"/>
    <d v="2023-07-04T19:38:23"/>
    <s v="N"/>
    <m/>
    <m/>
    <s v="Non Expert Disbursement"/>
    <m/>
    <s v="N"/>
    <n v="-95"/>
    <n v="0"/>
    <x v="1"/>
    <s v="VALIDATED"/>
    <n v="1"/>
    <s v="01.11.80.308.2013.0000"/>
    <n v="-95"/>
    <s v="11"/>
    <s v="2013"/>
    <n v="33277.69"/>
    <n v="-95"/>
    <s v="CREDITOR"/>
    <n v="0"/>
    <n v="0"/>
    <n v="-95"/>
    <n v="0"/>
    <n v="0"/>
  </r>
  <r>
    <n v="52945554"/>
    <s v="N"/>
    <n v="21328840"/>
    <s v="3000012728120017RC"/>
    <s v="CIVIL"/>
    <d v="2023-06-27T00:00:00"/>
    <d v="2023-07-04T19:38:21"/>
    <m/>
    <d v="2023-07-04T00:00:00"/>
    <n v="1783"/>
    <n v="19751"/>
    <s v="52945554"/>
    <s v="52945554"/>
    <m/>
    <m/>
    <m/>
    <m/>
    <m/>
    <m/>
    <s v="SOLRECOUP"/>
    <s v="SOLRECOUP"/>
    <s v="POARECOUP"/>
    <n v="21328840"/>
    <n v="-114"/>
    <m/>
    <s v="Y"/>
    <n v="2"/>
    <d v="2023-07-04T19:38:23"/>
    <s v="N"/>
    <m/>
    <m/>
    <s v="Non Expert Disbursement"/>
    <m/>
    <s v="N"/>
    <n v="0"/>
    <n v="-19"/>
    <x v="1"/>
    <s v="VALIDATED"/>
    <n v="1"/>
    <s v="01.11.80.308.2013.0000"/>
    <n v="-19"/>
    <s v="11"/>
    <s v="2013"/>
    <n v="33277.69"/>
    <n v="-19"/>
    <s v="CREDITOR"/>
    <n v="0"/>
    <n v="0"/>
    <n v="-19"/>
    <n v="0"/>
    <n v="0"/>
  </r>
  <r>
    <n v="52945554"/>
    <s v="N"/>
    <n v="21328841"/>
    <s v="3000012728120001RC"/>
    <s v="CIVIL"/>
    <d v="2023-06-27T00:00:00"/>
    <d v="2023-07-04T19:38:21"/>
    <m/>
    <d v="2023-07-04T00:00:00"/>
    <n v="1783"/>
    <n v="19751"/>
    <s v="52945554"/>
    <s v="52945554"/>
    <m/>
    <m/>
    <m/>
    <m/>
    <m/>
    <m/>
    <s v="SOLRECOUP"/>
    <s v="SOLRECOUP"/>
    <s v="POARECOUP"/>
    <n v="21328841"/>
    <n v="-1834.56"/>
    <m/>
    <s v="Y"/>
    <n v="1"/>
    <d v="2023-07-04T19:38:23"/>
    <s v="N"/>
    <m/>
    <m/>
    <s v="Profit Cost"/>
    <m/>
    <s v="N"/>
    <n v="-1528.8"/>
    <n v="0"/>
    <x v="1"/>
    <s v="VALIDATED"/>
    <n v="1"/>
    <s v="01.11.80.308.2013.0000"/>
    <n v="-1528.8"/>
    <s v="11"/>
    <s v="2013"/>
    <n v="33277.69"/>
    <n v="-1528.8"/>
    <s v="CREDITOR"/>
    <n v="0"/>
    <n v="0"/>
    <n v="-1528.8"/>
    <n v="-382.2"/>
    <n v="0"/>
  </r>
  <r>
    <n v="52945554"/>
    <s v="N"/>
    <n v="21328841"/>
    <s v="3000012728120001RC"/>
    <s v="CIVIL"/>
    <d v="2023-06-27T00:00:00"/>
    <d v="2023-07-04T19:38:21"/>
    <m/>
    <d v="2023-07-04T00:00:00"/>
    <n v="1783"/>
    <n v="19751"/>
    <s v="52945554"/>
    <s v="52945554"/>
    <m/>
    <m/>
    <m/>
    <m/>
    <m/>
    <m/>
    <s v="SOLRECOUP"/>
    <s v="SOLRECOUP"/>
    <s v="POARECOUP"/>
    <n v="21328841"/>
    <n v="-1834.56"/>
    <m/>
    <s v="Y"/>
    <n v="2"/>
    <d v="2023-07-04T19:38:23"/>
    <s v="N"/>
    <m/>
    <m/>
    <s v="Profit Cost"/>
    <m/>
    <s v="N"/>
    <n v="0"/>
    <n v="-305.76"/>
    <x v="1"/>
    <s v="VALIDATED"/>
    <n v="1"/>
    <s v="01.11.80.308.2013.0000"/>
    <n v="-305.76"/>
    <s v="11"/>
    <s v="2013"/>
    <n v="33277.69"/>
    <n v="-305.76"/>
    <s v="CREDITOR"/>
    <n v="0"/>
    <n v="0"/>
    <n v="-305.76"/>
    <n v="-76.44"/>
    <n v="0"/>
  </r>
  <r>
    <n v="52945554"/>
    <s v="N"/>
    <n v="21328842"/>
    <s v="3000012728120018RC"/>
    <s v="CIVIL"/>
    <d v="2023-06-27T00:00:00"/>
    <d v="2023-07-04T19:38:21"/>
    <m/>
    <d v="2023-07-04T00:00:00"/>
    <n v="1783"/>
    <n v="19751"/>
    <s v="52945554"/>
    <s v="52945554"/>
    <m/>
    <m/>
    <m/>
    <m/>
    <m/>
    <m/>
    <s v="SOLRECOUP"/>
    <s v="SOLRECOUP"/>
    <s v="POARECOUP"/>
    <n v="21328842"/>
    <n v="-1014.46"/>
    <m/>
    <s v="Y"/>
    <n v="1"/>
    <d v="2023-07-04T19:38:23"/>
    <s v="N"/>
    <m/>
    <m/>
    <s v="Profit Cost"/>
    <m/>
    <s v="N"/>
    <n v="-845.38"/>
    <n v="0"/>
    <x v="1"/>
    <s v="VALIDATED"/>
    <n v="1"/>
    <s v="01.11.80.308.2013.0000"/>
    <n v="-845.38"/>
    <s v="11"/>
    <s v="2013"/>
    <n v="33277.69"/>
    <n v="-845.38"/>
    <s v="CREDITOR"/>
    <n v="0"/>
    <n v="0"/>
    <n v="-845.38"/>
    <n v="-211.345"/>
    <n v="0"/>
  </r>
  <r>
    <n v="52945554"/>
    <s v="N"/>
    <n v="21328842"/>
    <s v="3000012728120018RC"/>
    <s v="CIVIL"/>
    <d v="2023-06-27T00:00:00"/>
    <d v="2023-07-04T19:38:21"/>
    <m/>
    <d v="2023-07-04T00:00:00"/>
    <n v="1783"/>
    <n v="19751"/>
    <s v="52945554"/>
    <s v="52945554"/>
    <m/>
    <m/>
    <m/>
    <m/>
    <m/>
    <m/>
    <s v="SOLRECOUP"/>
    <s v="SOLRECOUP"/>
    <s v="POARECOUP"/>
    <n v="21328842"/>
    <n v="-1014.46"/>
    <m/>
    <s v="Y"/>
    <n v="2"/>
    <d v="2023-07-04T19:38:23"/>
    <s v="N"/>
    <m/>
    <m/>
    <s v="Profit Cost"/>
    <m/>
    <s v="N"/>
    <n v="0"/>
    <n v="-169.08"/>
    <x v="1"/>
    <s v="VALIDATED"/>
    <n v="1"/>
    <s v="01.11.80.308.2013.0000"/>
    <n v="-169.08"/>
    <s v="11"/>
    <s v="2013"/>
    <n v="33277.69"/>
    <n v="-169.08"/>
    <s v="CREDITOR"/>
    <n v="0"/>
    <n v="0"/>
    <n v="-169.08"/>
    <n v="-42.27"/>
    <n v="0"/>
  </r>
  <r>
    <n v="52945554"/>
    <s v="N"/>
    <n v="21328843"/>
    <s v="3000012728120004RC"/>
    <s v="CIVIL"/>
    <d v="2023-06-27T00:00:00"/>
    <d v="2023-07-04T19:38:21"/>
    <m/>
    <d v="2023-07-04T00:00:00"/>
    <n v="1783"/>
    <n v="19751"/>
    <s v="52945554"/>
    <s v="52945554"/>
    <m/>
    <m/>
    <m/>
    <m/>
    <m/>
    <m/>
    <s v="SOLRECOUP"/>
    <s v="SOLRECOUP"/>
    <s v="POARECOUP"/>
    <n v="21328843"/>
    <n v="-125.98"/>
    <m/>
    <s v="Y"/>
    <n v="1"/>
    <d v="2023-07-04T19:38:23"/>
    <s v="N"/>
    <m/>
    <m/>
    <s v="Non Expert Disbursement"/>
    <m/>
    <s v="N"/>
    <n v="-104.98"/>
    <n v="0"/>
    <x v="1"/>
    <s v="VALIDATED"/>
    <n v="1"/>
    <s v="01.11.80.308.2013.0000"/>
    <n v="-104.98"/>
    <s v="11"/>
    <s v="2013"/>
    <n v="33277.69"/>
    <n v="-104.98"/>
    <s v="CREDITOR"/>
    <n v="0"/>
    <n v="0"/>
    <n v="-104.98"/>
    <n v="0"/>
    <n v="0"/>
  </r>
  <r>
    <n v="52945554"/>
    <s v="N"/>
    <n v="21328843"/>
    <s v="3000012728120004RC"/>
    <s v="CIVIL"/>
    <d v="2023-06-27T00:00:00"/>
    <d v="2023-07-04T19:38:21"/>
    <m/>
    <d v="2023-07-04T00:00:00"/>
    <n v="1783"/>
    <n v="19751"/>
    <s v="52945554"/>
    <s v="52945554"/>
    <m/>
    <m/>
    <m/>
    <m/>
    <m/>
    <m/>
    <s v="SOLRECOUP"/>
    <s v="SOLRECOUP"/>
    <s v="POARECOUP"/>
    <n v="21328843"/>
    <n v="-125.98"/>
    <m/>
    <s v="Y"/>
    <n v="2"/>
    <d v="2023-07-04T19:38:23"/>
    <s v="N"/>
    <m/>
    <m/>
    <s v="Non Expert Disbursement"/>
    <m/>
    <s v="N"/>
    <n v="0"/>
    <n v="-21"/>
    <x v="1"/>
    <s v="VALIDATED"/>
    <n v="1"/>
    <s v="01.11.80.308.2013.0000"/>
    <n v="-21"/>
    <s v="11"/>
    <s v="2013"/>
    <n v="33277.69"/>
    <n v="-21"/>
    <s v="CREDITOR"/>
    <n v="0"/>
    <n v="0"/>
    <n v="-21"/>
    <n v="0"/>
    <n v="0"/>
  </r>
  <r>
    <n v="52945554"/>
    <s v="N"/>
    <n v="21328844"/>
    <s v="3000012728120009RC"/>
    <s v="CIVIL"/>
    <d v="2023-06-27T00:00:00"/>
    <d v="2023-07-04T19:38:21"/>
    <m/>
    <d v="2023-07-04T00:00:00"/>
    <n v="1783"/>
    <n v="19751"/>
    <s v="52945554"/>
    <s v="52945554"/>
    <m/>
    <m/>
    <m/>
    <m/>
    <m/>
    <m/>
    <s v="SOLRECOUP"/>
    <s v="SOLRECOUP"/>
    <s v="POARECOUP"/>
    <n v="21328844"/>
    <n v="-395.7"/>
    <m/>
    <s v="Y"/>
    <n v="1"/>
    <d v="2023-07-04T19:38:23"/>
    <s v="N"/>
    <m/>
    <m/>
    <s v="Non Expert Disbursement"/>
    <m/>
    <s v="N"/>
    <n v="-329.75"/>
    <n v="0"/>
    <x v="1"/>
    <s v="VALIDATED"/>
    <n v="1"/>
    <s v="01.11.80.308.2013.0000"/>
    <n v="-329.75"/>
    <s v="11"/>
    <s v="2013"/>
    <n v="33277.69"/>
    <n v="-329.75"/>
    <s v="CREDITOR"/>
    <n v="0"/>
    <n v="0"/>
    <n v="-329.75"/>
    <n v="0"/>
    <n v="0"/>
  </r>
  <r>
    <n v="52945554"/>
    <s v="N"/>
    <n v="21328844"/>
    <s v="3000012728120009RC"/>
    <s v="CIVIL"/>
    <d v="2023-06-27T00:00:00"/>
    <d v="2023-07-04T19:38:21"/>
    <m/>
    <d v="2023-07-04T00:00:00"/>
    <n v="1783"/>
    <n v="19751"/>
    <s v="52945554"/>
    <s v="52945554"/>
    <m/>
    <m/>
    <m/>
    <m/>
    <m/>
    <m/>
    <s v="SOLRECOUP"/>
    <s v="SOLRECOUP"/>
    <s v="POARECOUP"/>
    <n v="21328844"/>
    <n v="-395.7"/>
    <m/>
    <s v="Y"/>
    <n v="2"/>
    <d v="2023-07-04T19:38:23"/>
    <s v="N"/>
    <m/>
    <m/>
    <s v="Non Expert Disbursement"/>
    <m/>
    <s v="N"/>
    <n v="0"/>
    <n v="-65.95"/>
    <x v="1"/>
    <s v="VALIDATED"/>
    <n v="1"/>
    <s v="01.11.80.308.2013.0000"/>
    <n v="-65.95"/>
    <s v="11"/>
    <s v="2013"/>
    <n v="33277.69"/>
    <n v="-65.95"/>
    <s v="CREDITOR"/>
    <n v="0"/>
    <n v="0"/>
    <n v="-65.95"/>
    <n v="0"/>
    <n v="0"/>
  </r>
  <r>
    <n v="62164045"/>
    <s v="N"/>
    <n v="21344085"/>
    <s v="3000016176230001"/>
    <s v="CIVIL"/>
    <d v="2023-06-30T00:00:00"/>
    <d v="2023-07-07T19:03:00"/>
    <m/>
    <d v="2023-07-07T00:00:00"/>
    <n v="1783"/>
    <n v="19751"/>
    <s v="62164045"/>
    <s v="62164045"/>
    <m/>
    <m/>
    <n v="22797552"/>
    <m/>
    <m/>
    <m/>
    <s v="SOLFIN"/>
    <s v="SOLFIN"/>
    <s v="CCMS"/>
    <n v="21344085"/>
    <n v="2150.53"/>
    <m/>
    <s v="N"/>
    <n v="33"/>
    <d v="2023-07-07T19:03:23"/>
    <s v="Y"/>
    <s v="Preparation - other"/>
    <s v="Prescribed Hourly Rates"/>
    <s v="Profit Cost"/>
    <s v="Other"/>
    <s v="Y"/>
    <n v="6.58"/>
    <n v="1.32"/>
    <x v="9"/>
    <s v="VALIDATED"/>
    <n v="1"/>
    <s v="01.11.80.305.6100.0000"/>
    <n v="6.58"/>
    <s v="11"/>
    <s v="6100"/>
    <n v="33277.69"/>
    <n v="6.58"/>
    <s v="CREDITOR"/>
    <n v="0"/>
    <n v="0"/>
    <n v="0"/>
    <n v="0"/>
    <n v="6.58"/>
  </r>
  <r>
    <n v="59679428"/>
    <s v="N"/>
    <n v="21327464"/>
    <s v="3000014061650024"/>
    <s v="CIVIL"/>
    <d v="2023-06-21T00:00:00"/>
    <d v="2023-07-04T19:00:44"/>
    <m/>
    <d v="2023-07-04T00:00:00"/>
    <n v="1783"/>
    <n v="19751"/>
    <s v="59679428"/>
    <s v="59679428"/>
    <m/>
    <m/>
    <n v="22736612"/>
    <m/>
    <m/>
    <m/>
    <s v="SOLFIN"/>
    <s v="SOLFIN"/>
    <s v="CCMS"/>
    <n v="21327464"/>
    <n v="1913.11"/>
    <m/>
    <s v="N"/>
    <n v="10"/>
    <d v="2023-07-04T19:00:47"/>
    <s v="Y"/>
    <s v="Preparation - drafting attendance n"/>
    <s v="VHCC"/>
    <s v="Profit Cost"/>
    <s v="KJ"/>
    <s v="Y"/>
    <n v="45.56"/>
    <n v="9.109999999999999"/>
    <x v="1"/>
    <s v="VALIDATED"/>
    <n v="1"/>
    <s v="01.11.80.305.6100.0000"/>
    <n v="45.56"/>
    <s v="11"/>
    <s v="6100"/>
    <n v="33277.69"/>
    <n v="45.56"/>
    <s v="CREDITOR"/>
    <n v="0"/>
    <n v="0"/>
    <n v="0"/>
    <n v="0"/>
    <n v="45.56"/>
  </r>
  <r>
    <n v="59924342"/>
    <s v="N"/>
    <n v="21360671"/>
    <s v="3000014263530013"/>
    <s v="CIVIL"/>
    <d v="2023-06-29T00:00:00"/>
    <d v="2023-07-11T19:00:25"/>
    <m/>
    <d v="2023-07-11T00:00:00"/>
    <n v="1783"/>
    <n v="19751"/>
    <s v="59924342"/>
    <s v="59924342"/>
    <m/>
    <m/>
    <n v="22786952"/>
    <m/>
    <m/>
    <m/>
    <s v="SOLFIN"/>
    <s v="SOLFIN"/>
    <s v="CCMS"/>
    <n v="21360671"/>
    <n v="17585.75"/>
    <m/>
    <s v="N"/>
    <n v="12"/>
    <d v="2023-07-11T19:00:29"/>
    <s v="Y"/>
    <s v="Final Hearing - 1 Day"/>
    <s v="Public Law Children"/>
    <s v="Advocacy"/>
    <s v="CW"/>
    <s v="Y"/>
    <n v="556.88"/>
    <n v="111.38"/>
    <x v="7"/>
    <s v="VALIDATED"/>
    <n v="1"/>
    <s v="01.11.80.308.6100.0000"/>
    <n v="556.88"/>
    <s v="11"/>
    <s v="6100"/>
    <n v="33277.69"/>
    <n v="556.88"/>
    <s v="CREDITOR"/>
    <n v="0"/>
    <n v="0"/>
    <n v="0"/>
    <n v="0"/>
    <n v="556.88"/>
  </r>
  <r>
    <n v="59679428"/>
    <s v="N"/>
    <n v="21327464"/>
    <s v="3000014061650024"/>
    <s v="CIVIL"/>
    <d v="2023-06-21T00:00:00"/>
    <d v="2023-07-04T19:00:44"/>
    <m/>
    <d v="2023-07-04T00:00:00"/>
    <n v="1783"/>
    <n v="19751"/>
    <s v="59679428"/>
    <s v="59679428"/>
    <m/>
    <m/>
    <n v="22736612"/>
    <m/>
    <m/>
    <m/>
    <s v="SOLFIN"/>
    <s v="SOLFIN"/>
    <s v="CCMS"/>
    <n v="21327464"/>
    <n v="1913.11"/>
    <m/>
    <s v="N"/>
    <n v="32"/>
    <d v="2023-07-04T19:00:47"/>
    <s v="Y"/>
    <s v="Preparation - drafting consent orde"/>
    <s v="VHCC"/>
    <s v="Profit Cost"/>
    <s v="KJ"/>
    <s v="Y"/>
    <n v="15.19"/>
    <n v="3.04"/>
    <x v="1"/>
    <s v="VALIDATED"/>
    <n v="1"/>
    <s v="01.11.80.305.6100.0000"/>
    <n v="15.19"/>
    <s v="11"/>
    <s v="6100"/>
    <n v="33277.69"/>
    <n v="15.19"/>
    <s v="CREDITOR"/>
    <n v="0"/>
    <n v="0"/>
    <n v="0"/>
    <n v="0"/>
    <n v="15.19"/>
  </r>
  <r>
    <n v="59679428"/>
    <s v="N"/>
    <n v="21327464"/>
    <s v="3000014061650024"/>
    <s v="CIVIL"/>
    <d v="2023-06-21T00:00:00"/>
    <d v="2023-07-04T19:00:44"/>
    <m/>
    <d v="2023-07-04T00:00:00"/>
    <n v="1783"/>
    <n v="19751"/>
    <s v="59679428"/>
    <s v="59679428"/>
    <m/>
    <m/>
    <n v="22736612"/>
    <m/>
    <m/>
    <m/>
    <s v="SOLFIN"/>
    <s v="SOLFIN"/>
    <s v="CCMS"/>
    <n v="21327464"/>
    <n v="1913.11"/>
    <m/>
    <s v="N"/>
    <n v="1"/>
    <d v="2023-07-04T19:00:47"/>
    <s v="Y"/>
    <s v="Preparation - drafting application"/>
    <s v="VHCC"/>
    <s v="Profit Cost"/>
    <s v="KJ"/>
    <s v="Y"/>
    <n v="37.97"/>
    <n v="7.59"/>
    <x v="1"/>
    <s v="VALIDATED"/>
    <n v="1"/>
    <s v="01.11.80.305.6100.0000"/>
    <n v="37.97"/>
    <s v="11"/>
    <s v="6100"/>
    <n v="33277.69"/>
    <n v="37.97"/>
    <s v="CREDITOR"/>
    <n v="0"/>
    <n v="0"/>
    <n v="0"/>
    <n v="0"/>
    <n v="37.97"/>
  </r>
  <r>
    <n v="59679428"/>
    <s v="N"/>
    <n v="21327464"/>
    <s v="3000014061650024"/>
    <s v="CIVIL"/>
    <d v="2023-06-21T00:00:00"/>
    <d v="2023-07-04T19:00:44"/>
    <m/>
    <d v="2023-07-04T00:00:00"/>
    <n v="1783"/>
    <n v="19751"/>
    <s v="59679428"/>
    <s v="59679428"/>
    <m/>
    <m/>
    <n v="22736612"/>
    <m/>
    <m/>
    <m/>
    <s v="SOLFIN"/>
    <s v="SOLFIN"/>
    <s v="CCMS"/>
    <n v="21327464"/>
    <n v="1913.11"/>
    <m/>
    <s v="N"/>
    <n v="2"/>
    <d v="2023-07-04T19:00:47"/>
    <s v="Y"/>
    <s v="Preparation - drafting attendance n"/>
    <s v="VHCC"/>
    <s v="Profit Cost"/>
    <s v="KJ"/>
    <s v="Y"/>
    <n v="37.97"/>
    <n v="7.59"/>
    <x v="1"/>
    <s v="VALIDATED"/>
    <n v="1"/>
    <s v="01.11.80.305.6100.0000"/>
    <n v="37.97"/>
    <s v="11"/>
    <s v="6100"/>
    <n v="33277.69"/>
    <n v="37.97"/>
    <s v="CREDITOR"/>
    <n v="0"/>
    <n v="0"/>
    <n v="0"/>
    <n v="0"/>
    <n v="37.97"/>
  </r>
  <r>
    <n v="59679428"/>
    <s v="N"/>
    <n v="21327464"/>
    <s v="3000014061650024"/>
    <s v="CIVIL"/>
    <d v="2023-06-21T00:00:00"/>
    <d v="2023-07-04T19:00:44"/>
    <m/>
    <d v="2023-07-04T00:00:00"/>
    <n v="1783"/>
    <n v="19751"/>
    <s v="59679428"/>
    <s v="59679428"/>
    <m/>
    <m/>
    <n v="22736612"/>
    <m/>
    <m/>
    <m/>
    <s v="SOLFIN"/>
    <s v="SOLFIN"/>
    <s v="CCMS"/>
    <n v="21327464"/>
    <n v="1913.11"/>
    <m/>
    <s v="N"/>
    <n v="9"/>
    <d v="2023-07-04T19:00:47"/>
    <s v="Y"/>
    <s v="Preparation - drafting consent orde"/>
    <s v="VHCC"/>
    <s v="Profit Cost"/>
    <s v="KJ"/>
    <s v="Y"/>
    <n v="15.19"/>
    <n v="3.04"/>
    <x v="1"/>
    <s v="VALIDATED"/>
    <n v="1"/>
    <s v="01.11.80.305.6100.0000"/>
    <n v="15.19"/>
    <s v="11"/>
    <s v="6100"/>
    <n v="33277.69"/>
    <n v="15.19"/>
    <s v="CREDITOR"/>
    <n v="0"/>
    <n v="0"/>
    <n v="0"/>
    <n v="0"/>
    <n v="15.19"/>
  </r>
  <r>
    <n v="59679428"/>
    <s v="N"/>
    <n v="21327464"/>
    <s v="3000014061650024"/>
    <s v="CIVIL"/>
    <d v="2023-06-21T00:00:00"/>
    <d v="2023-07-04T19:00:44"/>
    <m/>
    <d v="2023-07-04T00:00:00"/>
    <n v="1783"/>
    <n v="19751"/>
    <s v="59679428"/>
    <s v="59679428"/>
    <m/>
    <m/>
    <n v="22736612"/>
    <m/>
    <m/>
    <m/>
    <s v="SOLFIN"/>
    <s v="SOLFIN"/>
    <s v="CCMS"/>
    <n v="21327464"/>
    <n v="1913.11"/>
    <m/>
    <s v="N"/>
    <n v="14"/>
    <d v="2023-07-04T19:00:47"/>
    <s v="Y"/>
    <s v="Preparation - other"/>
    <s v="VHCC"/>
    <s v="Profit Cost"/>
    <s v="KJ"/>
    <s v="Y"/>
    <n v="7.59"/>
    <n v="1.52"/>
    <x v="1"/>
    <s v="VALIDATED"/>
    <n v="1"/>
    <s v="01.11.80.305.6100.0000"/>
    <n v="7.59"/>
    <s v="11"/>
    <s v="6100"/>
    <n v="33277.69"/>
    <n v="7.59"/>
    <s v="CREDITOR"/>
    <n v="0"/>
    <n v="0"/>
    <n v="0"/>
    <n v="0"/>
    <n v="7.59"/>
  </r>
  <r>
    <n v="59679428"/>
    <s v="N"/>
    <n v="21327464"/>
    <s v="3000014061650024"/>
    <s v="CIVIL"/>
    <d v="2023-06-21T00:00:00"/>
    <d v="2023-07-04T19:00:44"/>
    <m/>
    <d v="2023-07-04T00:00:00"/>
    <n v="1783"/>
    <n v="19751"/>
    <s v="59679428"/>
    <s v="59679428"/>
    <m/>
    <m/>
    <n v="22736612"/>
    <m/>
    <m/>
    <m/>
    <s v="SOLFIN"/>
    <s v="SOLFIN"/>
    <s v="CCMS"/>
    <n v="21327464"/>
    <n v="1913.11"/>
    <m/>
    <s v="N"/>
    <n v="28"/>
    <d v="2023-07-04T19:00:47"/>
    <s v="Y"/>
    <s v="Preparation - drafting attendance n"/>
    <s v="VHCC"/>
    <s v="Profit Cost"/>
    <s v="KJ"/>
    <s v="Y"/>
    <n v="15.19"/>
    <n v="3.04"/>
    <x v="1"/>
    <s v="VALIDATED"/>
    <n v="1"/>
    <s v="01.11.80.305.6100.0000"/>
    <n v="15.19"/>
    <s v="11"/>
    <s v="6100"/>
    <n v="33277.69"/>
    <n v="15.19"/>
    <s v="CREDITOR"/>
    <n v="0"/>
    <n v="0"/>
    <n v="0"/>
    <n v="0"/>
    <n v="15.19"/>
  </r>
  <r>
    <n v="61290036"/>
    <s v="N"/>
    <n v="21375125"/>
    <s v="3000015437070010"/>
    <s v="CIVIL"/>
    <d v="2023-06-30T00:00:00"/>
    <d v="2023-07-14T10:00:03"/>
    <m/>
    <d v="2023-07-14T00:00:00"/>
    <n v="1783"/>
    <n v="19751"/>
    <s v="61290036"/>
    <s v="61290036"/>
    <m/>
    <m/>
    <n v="22799970"/>
    <m/>
    <m/>
    <m/>
    <s v="SOLFIN"/>
    <s v="SOLFIN"/>
    <s v="CCMS"/>
    <n v="21375125"/>
    <n v="2967.99"/>
    <m/>
    <s v="N"/>
    <n v="2"/>
    <d v="2023-07-14T10:00:11"/>
    <s v="Y"/>
    <s v="Court Fee"/>
    <s v="Public Law Children"/>
    <s v="Non Expert Disbursement"/>
    <s v="Katrina Gaskell"/>
    <s v="Y"/>
    <n v="167"/>
    <n v="0"/>
    <x v="10"/>
    <s v="VALIDATED"/>
    <n v="1"/>
    <s v="01.11.80.308.6300.0000"/>
    <n v="167"/>
    <s v="11"/>
    <s v="6300"/>
    <n v="33277.69"/>
    <n v="167"/>
    <s v="CREDITOR"/>
    <n v="0"/>
    <n v="0"/>
    <n v="0"/>
    <n v="0"/>
    <n v="167"/>
  </r>
  <r>
    <n v="62164045"/>
    <s v="N"/>
    <n v="21344085"/>
    <s v="3000016176230001"/>
    <s v="CIVIL"/>
    <d v="2023-06-30T00:00:00"/>
    <d v="2023-07-07T19:03:00"/>
    <m/>
    <d v="2023-07-07T00:00:00"/>
    <n v="1783"/>
    <n v="19751"/>
    <s v="62164045"/>
    <s v="62164045"/>
    <m/>
    <m/>
    <n v="22797552"/>
    <m/>
    <m/>
    <m/>
    <s v="SOLFIN"/>
    <s v="SOLFIN"/>
    <s v="CCMS"/>
    <n v="21344085"/>
    <n v="2150.53"/>
    <m/>
    <s v="N"/>
    <n v="22"/>
    <d v="2023-07-07T19:03:23"/>
    <s v="Y"/>
    <s v="Preparation - other"/>
    <s v="Prescribed Hourly Rates"/>
    <s v="Profit Cost"/>
    <s v="Catherine Woolley"/>
    <s v="Y"/>
    <n v="8.550000000000001"/>
    <n v="1.71"/>
    <x v="9"/>
    <s v="VALIDATED"/>
    <n v="1"/>
    <s v="01.11.80.305.6100.0000"/>
    <n v="8.550000000000001"/>
    <s v="11"/>
    <s v="6100"/>
    <n v="33277.69"/>
    <n v="8.550000000000001"/>
    <s v="CREDITOR"/>
    <n v="0"/>
    <n v="0"/>
    <n v="0"/>
    <n v="0"/>
    <n v="8.550000000000001"/>
  </r>
  <r>
    <n v="62164045"/>
    <s v="N"/>
    <n v="21344085"/>
    <s v="3000016176230001"/>
    <s v="CIVIL"/>
    <d v="2023-06-30T00:00:00"/>
    <d v="2023-07-07T19:03:00"/>
    <m/>
    <d v="2023-07-07T00:00:00"/>
    <n v="1783"/>
    <n v="19751"/>
    <s v="62164045"/>
    <s v="62164045"/>
    <m/>
    <m/>
    <n v="22797552"/>
    <m/>
    <m/>
    <m/>
    <s v="SOLFIN"/>
    <s v="SOLFIN"/>
    <s v="CCMS"/>
    <n v="21344085"/>
    <n v="2150.53"/>
    <m/>
    <s v="N"/>
    <n v="9"/>
    <d v="2023-07-07T19:03:23"/>
    <s v="Y"/>
    <s v="Preparation - drafting instructions"/>
    <s v="Prescribed Hourly Rates"/>
    <s v="Profit Cost"/>
    <s v="Other"/>
    <s v="Y"/>
    <n v="32.88"/>
    <n v="6.58"/>
    <x v="9"/>
    <s v="VALIDATED"/>
    <n v="1"/>
    <s v="01.11.80.305.6100.0000"/>
    <n v="32.88"/>
    <s v="11"/>
    <s v="6100"/>
    <n v="33277.69"/>
    <n v="32.88"/>
    <s v="CREDITOR"/>
    <n v="0"/>
    <n v="0"/>
    <n v="0"/>
    <n v="0"/>
    <n v="32.88"/>
  </r>
  <r>
    <n v="61313239"/>
    <s v="N"/>
    <n v="21343877"/>
    <s v="3000015467670010"/>
    <s v="CIVIL"/>
    <d v="2023-06-27T00:00:00"/>
    <d v="2023-07-07T19:03:00"/>
    <m/>
    <d v="2023-07-07T00:00:00"/>
    <n v="1783"/>
    <n v="19751"/>
    <s v="61313239"/>
    <s v="61313239"/>
    <m/>
    <m/>
    <n v="22768748"/>
    <m/>
    <m/>
    <m/>
    <s v="SOLFIN"/>
    <s v="SOLFIN"/>
    <s v="CCMS"/>
    <n v="21343877"/>
    <n v="15072.79"/>
    <m/>
    <s v="N"/>
    <n v="6"/>
    <d v="2023-07-07T19:03:15"/>
    <s v="Y"/>
    <s v="Solicitor Travel Expenses"/>
    <s v="Public Law Children"/>
    <s v="Non Expert Disbursement"/>
    <s v="Ashley Oakden"/>
    <s v="Y"/>
    <n v="4"/>
    <n v="0"/>
    <x v="9"/>
    <s v="VALIDATED"/>
    <n v="1"/>
    <s v="01.11.80.308.6300.0000"/>
    <n v="4"/>
    <s v="11"/>
    <s v="6300"/>
    <n v="33277.69"/>
    <n v="4"/>
    <s v="CREDITOR"/>
    <n v="0"/>
    <n v="0"/>
    <n v="0"/>
    <n v="0"/>
    <n v="4"/>
  </r>
  <r>
    <n v="59679428"/>
    <s v="N"/>
    <n v="21327464"/>
    <s v="3000014061650024"/>
    <s v="CIVIL"/>
    <d v="2023-06-21T00:00:00"/>
    <d v="2023-07-04T19:00:44"/>
    <m/>
    <d v="2023-07-04T00:00:00"/>
    <n v="1783"/>
    <n v="19751"/>
    <s v="59679428"/>
    <s v="59679428"/>
    <m/>
    <m/>
    <n v="22736612"/>
    <m/>
    <m/>
    <m/>
    <s v="SOLFIN"/>
    <s v="SOLFIN"/>
    <s v="CCMS"/>
    <n v="21327464"/>
    <n v="1913.11"/>
    <m/>
    <s v="N"/>
    <n v="31"/>
    <d v="2023-07-04T19:00:47"/>
    <s v="Y"/>
    <s v="Preparation - drafting consent orde"/>
    <s v="VHCC"/>
    <s v="Profit Cost"/>
    <s v="KJ"/>
    <s v="Y"/>
    <n v="15.19"/>
    <n v="3.04"/>
    <x v="1"/>
    <s v="VALIDATED"/>
    <n v="1"/>
    <s v="01.11.80.305.6100.0000"/>
    <n v="15.19"/>
    <s v="11"/>
    <s v="6100"/>
    <n v="33277.69"/>
    <n v="15.19"/>
    <s v="CREDITOR"/>
    <n v="0"/>
    <n v="0"/>
    <n v="0"/>
    <n v="0"/>
    <n v="15.19"/>
  </r>
  <r>
    <n v="60710225"/>
    <s v="N"/>
    <n v="21320331"/>
    <s v="3000014955560020"/>
    <s v="CIVIL"/>
    <d v="2023-06-28T00:00:00"/>
    <d v="2023-07-03T19:04:52"/>
    <m/>
    <d v="2023-07-03T00:00:00"/>
    <n v="1783"/>
    <n v="19751"/>
    <s v="60710225"/>
    <s v="60710225"/>
    <m/>
    <m/>
    <n v="22781072"/>
    <m/>
    <m/>
    <m/>
    <s v="SOLPOA"/>
    <s v="SOLPOA"/>
    <s v="CCMS"/>
    <n v="21320331"/>
    <n v="283.5"/>
    <m/>
    <s v="N"/>
    <n v="1"/>
    <d v="2023-07-03T19:04:53"/>
    <s v="N"/>
    <s v="Non Expert Disbursement"/>
    <s v="Non Expert Disbursement"/>
    <s v="Non Expert Disbursement"/>
    <s v="Bethany Connor"/>
    <s v="N"/>
    <n v="283.5"/>
    <n v="0"/>
    <x v="3"/>
    <s v="VALIDATED"/>
    <n v="1"/>
    <s v="01.11.80.308.2012.0000"/>
    <n v="283.5"/>
    <s v="11"/>
    <s v="2012"/>
    <n v="33277.69"/>
    <n v="283.5"/>
    <s v="CREDITOR"/>
    <n v="283.5"/>
    <n v="0"/>
    <n v="0"/>
    <n v="0"/>
    <n v="0"/>
  </r>
  <r>
    <n v="62254992"/>
    <s v="N"/>
    <n v="21320821"/>
    <s v="3000016253860004"/>
    <s v="CIVIL"/>
    <d v="2023-06-28T00:00:00"/>
    <d v="2023-07-03T19:04:52"/>
    <m/>
    <d v="2023-07-03T00:00:00"/>
    <n v="1783"/>
    <n v="19751"/>
    <s v="62254992"/>
    <s v="62254992"/>
    <m/>
    <m/>
    <n v="22782218"/>
    <m/>
    <m/>
    <m/>
    <s v="SOLPOA"/>
    <s v="SOLPOA"/>
    <s v="CCMS"/>
    <n v="21320821"/>
    <n v="33.6"/>
    <m/>
    <s v="N"/>
    <n v="1"/>
    <d v="2023-07-03T19:04:56"/>
    <s v="N"/>
    <s v="Non Expert Disbursement"/>
    <s v="Non Expert Disbursement"/>
    <s v="Non Expert Disbursement"/>
    <s v="Bethany Connor"/>
    <s v="N"/>
    <n v="28"/>
    <n v="5.6"/>
    <x v="3"/>
    <s v="VALIDATED"/>
    <n v="1"/>
    <s v="01.11.80.308.2012.0000"/>
    <n v="28"/>
    <s v="11"/>
    <s v="2012"/>
    <n v="33277.69"/>
    <n v="28"/>
    <s v="CREDITOR"/>
    <n v="28"/>
    <n v="0"/>
    <n v="0"/>
    <n v="0"/>
    <n v="0"/>
  </r>
  <r>
    <n v="61290036"/>
    <s v="N"/>
    <n v="21375125"/>
    <s v="3000015437070010"/>
    <s v="CIVIL"/>
    <d v="2023-06-30T00:00:00"/>
    <d v="2023-07-14T10:00:03"/>
    <m/>
    <d v="2023-07-14T00:00:00"/>
    <n v="1783"/>
    <n v="19751"/>
    <s v="61290036"/>
    <s v="61290036"/>
    <m/>
    <m/>
    <n v="22799970"/>
    <m/>
    <m/>
    <m/>
    <s v="SOLFIN"/>
    <s v="SOLFIN"/>
    <s v="CCMS"/>
    <n v="21375125"/>
    <n v="2967.99"/>
    <m/>
    <s v="N"/>
    <n v="1"/>
    <d v="2023-07-14T10:00:11"/>
    <s v="Y"/>
    <s v="DNA - preparation of report"/>
    <s v="Public Law Children"/>
    <s v="Expert Disbursement"/>
    <s v="Katrina Gaskell"/>
    <s v="Y"/>
    <n v="143"/>
    <n v="28.6"/>
    <x v="10"/>
    <s v="VALIDATED"/>
    <n v="1"/>
    <s v="01.11.80.308.6300.0000"/>
    <n v="143"/>
    <s v="11"/>
    <s v="6300"/>
    <n v="33277.69"/>
    <n v="143"/>
    <s v="CREDITOR"/>
    <n v="0"/>
    <n v="0"/>
    <n v="0"/>
    <n v="0"/>
    <n v="143"/>
  </r>
  <r>
    <n v="59924342"/>
    <s v="N"/>
    <n v="21360671"/>
    <s v="3000014263530013"/>
    <s v="CIVIL"/>
    <d v="2023-06-29T00:00:00"/>
    <d v="2023-07-11T19:00:25"/>
    <m/>
    <d v="2023-07-11T00:00:00"/>
    <n v="1783"/>
    <n v="19751"/>
    <s v="59924342"/>
    <s v="59924342"/>
    <m/>
    <m/>
    <n v="22786952"/>
    <m/>
    <m/>
    <m/>
    <s v="SOLFIN"/>
    <s v="SOLFIN"/>
    <s v="CCMS"/>
    <n v="21360671"/>
    <n v="17585.75"/>
    <m/>
    <s v="N"/>
    <n v="7"/>
    <d v="2023-07-11T19:00:29"/>
    <s v="Y"/>
    <s v="Advocates Meeting"/>
    <s v="Public Law Children"/>
    <s v="Advocacy"/>
    <s v="JE"/>
    <s v="Y"/>
    <n v="140.99"/>
    <n v="28.2"/>
    <x v="7"/>
    <s v="VALIDATED"/>
    <n v="1"/>
    <s v="01.11.80.308.6100.0000"/>
    <n v="140.99"/>
    <s v="11"/>
    <s v="6100"/>
    <n v="33277.69"/>
    <n v="140.99"/>
    <s v="CREDITOR"/>
    <n v="0"/>
    <n v="0"/>
    <n v="0"/>
    <n v="0"/>
    <n v="140.99"/>
  </r>
  <r>
    <n v="61487226"/>
    <s v="N"/>
    <n v="21349427"/>
    <s v="3000015612790007"/>
    <s v="CIVIL"/>
    <d v="2023-06-29T00:00:00"/>
    <d v="2023-07-10T19:01:40"/>
    <m/>
    <d v="2023-07-10T00:00:00"/>
    <n v="1783"/>
    <n v="19751"/>
    <s v="61487226"/>
    <s v="61487226"/>
    <m/>
    <m/>
    <n v="22788046"/>
    <m/>
    <m/>
    <m/>
    <s v="SOLFIN"/>
    <s v="SOLFIN"/>
    <s v="CCMS"/>
    <n v="21349427"/>
    <n v="11436.16"/>
    <m/>
    <s v="N"/>
    <n v="2"/>
    <d v="2023-07-10T19:01:49"/>
    <s v="Y"/>
    <s v="Toxicologist"/>
    <s v="Public Law Children"/>
    <s v="Expert Disbursement"/>
    <s v="Catherine Wooley"/>
    <s v="Y"/>
    <n v="208.33"/>
    <n v="41.67"/>
    <x v="2"/>
    <s v="VALIDATED"/>
    <n v="1"/>
    <s v="01.11.80.308.6300.0000"/>
    <n v="208.33"/>
    <s v="11"/>
    <s v="6300"/>
    <n v="33277.69"/>
    <n v="208.33"/>
    <s v="CREDITOR"/>
    <n v="0"/>
    <n v="0"/>
    <n v="0"/>
    <n v="0"/>
    <n v="208.33"/>
  </r>
  <r>
    <n v="52945554"/>
    <s v="N"/>
    <n v="21328011"/>
    <s v="3000012728120027"/>
    <s v="CIVIL"/>
    <d v="2023-06-27T00:00:00"/>
    <d v="2023-07-04T19:00:44"/>
    <m/>
    <d v="2023-07-04T00:00:00"/>
    <n v="1783"/>
    <n v="19751"/>
    <s v="52945554"/>
    <s v="52945554"/>
    <m/>
    <m/>
    <n v="22766196"/>
    <m/>
    <m/>
    <m/>
    <s v="SOLFIN"/>
    <s v="SOLFIN"/>
    <s v="CCMS"/>
    <n v="21328011"/>
    <n v="16813.3"/>
    <m/>
    <s v="N"/>
    <n v="8"/>
    <d v="2023-07-04T19:01:01"/>
    <s v="Y"/>
    <s v="Toxicologist"/>
    <s v="VHCC"/>
    <s v="Expert Disbursement"/>
    <s v="S. Alli"/>
    <s v="Y"/>
    <n v="329.75"/>
    <n v="65.95"/>
    <x v="1"/>
    <s v="VALIDATED"/>
    <n v="1"/>
    <s v="01.11.80.308.6300.0000"/>
    <n v="329.75"/>
    <s v="11"/>
    <s v="6300"/>
    <n v="33277.69"/>
    <n v="329.75"/>
    <s v="CREDITOR"/>
    <n v="0"/>
    <n v="0"/>
    <n v="0"/>
    <n v="0"/>
    <n v="329.75"/>
  </r>
  <r>
    <n v="61714290"/>
    <s v="N"/>
    <n v="21321085"/>
    <s v="3000015803000008"/>
    <s v="CIVIL"/>
    <d v="2023-06-28T00:00:00"/>
    <d v="2023-07-03T19:04:52"/>
    <m/>
    <d v="2023-07-03T00:00:00"/>
    <n v="1783"/>
    <n v="19751"/>
    <s v="61714290"/>
    <s v="61714290"/>
    <m/>
    <m/>
    <n v="22781786"/>
    <m/>
    <m/>
    <m/>
    <s v="SOLPOA"/>
    <s v="SOLPOA"/>
    <s v="CCMS"/>
    <n v="21321085"/>
    <n v="324"/>
    <m/>
    <s v="N"/>
    <n v="1"/>
    <d v="2023-07-03T19:04:57"/>
    <s v="N"/>
    <s v="Non Expert Disbursement"/>
    <s v="Non Expert Disbursement"/>
    <s v="Non Expert Disbursement"/>
    <s v="Bethany Connor"/>
    <s v="N"/>
    <n v="270"/>
    <n v="54"/>
    <x v="3"/>
    <s v="VALIDATED"/>
    <n v="1"/>
    <s v="01.11.80.308.2012.0000"/>
    <n v="270"/>
    <s v="11"/>
    <s v="2012"/>
    <n v="33277.69"/>
    <n v="270"/>
    <s v="CREDITOR"/>
    <n v="270"/>
    <n v="0"/>
    <n v="0"/>
    <n v="0"/>
    <n v="0"/>
  </r>
  <r>
    <n v="59924302"/>
    <s v="N"/>
    <n v="21349637"/>
    <s v="3000014263940001"/>
    <s v="CIVIL"/>
    <d v="2023-06-29T00:00:00"/>
    <d v="2023-07-10T19:01:40"/>
    <m/>
    <d v="2023-07-10T00:00:00"/>
    <n v="1783"/>
    <n v="19751"/>
    <s v="59924302"/>
    <s v="59924302"/>
    <m/>
    <m/>
    <n v="22787690"/>
    <m/>
    <m/>
    <m/>
    <s v="SOLFIN"/>
    <s v="SOLFIN"/>
    <s v="CCMS"/>
    <n v="21349637"/>
    <n v="0"/>
    <m/>
    <s v="N"/>
    <n v="1"/>
    <d v="2023-07-10T19:01:54"/>
    <s v="N"/>
    <s v="NIL BILL"/>
    <s v="Public Law Children"/>
    <s v="Profit Cost"/>
    <s v="Stacy Fox"/>
    <s v="N"/>
    <n v="0"/>
    <n v="0"/>
    <x v="2"/>
    <s v="VALIDATED"/>
    <n v="1"/>
    <s v="01.11.80.308.6100.0000"/>
    <n v="0"/>
    <s v="11"/>
    <s v="6100"/>
    <n v="33277.69"/>
    <n v="0"/>
    <s v="CREDITOR"/>
    <n v="0"/>
    <n v="0"/>
    <n v="0"/>
    <n v="0"/>
    <n v="0"/>
  </r>
  <r>
    <n v="61487226"/>
    <s v="N"/>
    <n v="21349427"/>
    <s v="3000015612790007"/>
    <s v="CIVIL"/>
    <d v="2023-06-29T00:00:00"/>
    <d v="2023-07-10T19:01:40"/>
    <m/>
    <d v="2023-07-10T00:00:00"/>
    <n v="1783"/>
    <n v="19751"/>
    <s v="61487226"/>
    <s v="61487226"/>
    <m/>
    <m/>
    <n v="22788046"/>
    <m/>
    <m/>
    <m/>
    <s v="SOLFIN"/>
    <s v="SOLFIN"/>
    <s v="CCMS"/>
    <n v="21349427"/>
    <n v="11436.16"/>
    <m/>
    <s v="N"/>
    <n v="10"/>
    <d v="2023-07-10T19:01:49"/>
    <s v="Y"/>
    <s v="Hearing Unit 2.31 - 5.00 Hours"/>
    <s v="Public Law Children"/>
    <s v="Advocacy"/>
    <s v="Catherine Woolley"/>
    <s v="Y"/>
    <n v="476.92"/>
    <n v="95.38"/>
    <x v="2"/>
    <s v="VALIDATED"/>
    <n v="1"/>
    <s v="01.11.80.308.6100.0000"/>
    <n v="476.92"/>
    <s v="11"/>
    <s v="6100"/>
    <n v="33277.69"/>
    <n v="476.92"/>
    <s v="CREDITOR"/>
    <n v="0"/>
    <n v="0"/>
    <n v="0"/>
    <n v="0"/>
    <n v="476.92"/>
  </r>
  <r>
    <n v="61487226"/>
    <s v="N"/>
    <n v="21349427"/>
    <s v="3000015612790007"/>
    <s v="CIVIL"/>
    <d v="2023-06-29T00:00:00"/>
    <d v="2023-07-10T19:01:40"/>
    <m/>
    <d v="2023-07-10T00:00:00"/>
    <n v="1783"/>
    <n v="19751"/>
    <s v="61487226"/>
    <s v="61487226"/>
    <m/>
    <m/>
    <n v="22788046"/>
    <m/>
    <m/>
    <m/>
    <s v="SOLFIN"/>
    <s v="SOLFIN"/>
    <s v="CCMS"/>
    <n v="21349427"/>
    <n v="11436.16"/>
    <m/>
    <s v="N"/>
    <n v="11"/>
    <d v="2023-07-10T19:01:49"/>
    <s v="Y"/>
    <s v="Hearing Unit 2.31 - 5.00 Hours"/>
    <s v="Public Law Children"/>
    <s v="Advocacy"/>
    <s v="Catherine Woolley"/>
    <s v="Y"/>
    <n v="476.92"/>
    <n v="95.38"/>
    <x v="2"/>
    <s v="VALIDATED"/>
    <n v="1"/>
    <s v="01.11.80.308.6100.0000"/>
    <n v="476.92"/>
    <s v="11"/>
    <s v="6100"/>
    <n v="33277.69"/>
    <n v="476.92"/>
    <s v="CREDITOR"/>
    <n v="0"/>
    <n v="0"/>
    <n v="0"/>
    <n v="0"/>
    <n v="476.92"/>
  </r>
  <r>
    <n v="62164045"/>
    <s v="N"/>
    <n v="21344085"/>
    <s v="3000016176230001"/>
    <s v="CIVIL"/>
    <d v="2023-06-30T00:00:00"/>
    <d v="2023-07-07T19:03:00"/>
    <m/>
    <d v="2023-07-07T00:00:00"/>
    <n v="1783"/>
    <n v="19751"/>
    <s v="62164045"/>
    <s v="62164045"/>
    <m/>
    <m/>
    <n v="22797552"/>
    <m/>
    <m/>
    <m/>
    <s v="SOLFIN"/>
    <s v="SOLFIN"/>
    <s v="CCMS"/>
    <n v="21344085"/>
    <n v="2150.53"/>
    <m/>
    <s v="N"/>
    <n v="28"/>
    <d v="2023-07-07T19:03:23"/>
    <s v="Y"/>
    <s v="Preparation - drafting instructions"/>
    <s v="Prescribed Hourly Rates"/>
    <s v="Profit Cost"/>
    <s v="Other"/>
    <s v="Y"/>
    <n v="19.73"/>
    <n v="3.95"/>
    <x v="9"/>
    <s v="VALIDATED"/>
    <n v="1"/>
    <s v="01.11.80.305.6100.0000"/>
    <n v="19.73"/>
    <s v="11"/>
    <s v="6100"/>
    <n v="33277.69"/>
    <n v="19.73"/>
    <s v="CREDITOR"/>
    <n v="0"/>
    <n v="0"/>
    <n v="0"/>
    <n v="0"/>
    <n v="19.73"/>
  </r>
  <r>
    <n v="61715178"/>
    <s v="N"/>
    <n v="21343911"/>
    <s v="3000015795090001"/>
    <s v="CIVIL"/>
    <d v="2023-06-29T00:00:00"/>
    <d v="2023-07-07T19:03:00"/>
    <m/>
    <d v="2023-07-07T00:00:00"/>
    <n v="1783"/>
    <n v="19751"/>
    <s v="61715178"/>
    <s v="61715178"/>
    <m/>
    <m/>
    <n v="22784918"/>
    <m/>
    <m/>
    <m/>
    <s v="SOLFIN"/>
    <s v="SOLFIN"/>
    <s v="CCMS"/>
    <n v="21343911"/>
    <n v="0"/>
    <m/>
    <s v="N"/>
    <n v="1"/>
    <d v="2023-07-07T19:03:17"/>
    <s v="N"/>
    <s v="NIL BILL"/>
    <s v="Care Remuneration Hourly Rates"/>
    <s v="Profit Cost"/>
    <s v="C.Woolley"/>
    <s v="N"/>
    <n v="0"/>
    <n v="0"/>
    <x v="9"/>
    <s v="VALIDATED"/>
    <n v="1"/>
    <s v="01.11.80.305.6100.0000"/>
    <n v="0"/>
    <s v="11"/>
    <s v="6100"/>
    <n v="33277.69"/>
    <n v="0"/>
    <s v="CREDITOR"/>
    <n v="0"/>
    <n v="0"/>
    <n v="0"/>
    <n v="0"/>
    <n v="0"/>
  </r>
  <r>
    <n v="62164045"/>
    <s v="N"/>
    <n v="21344085"/>
    <s v="3000016176230001"/>
    <s v="CIVIL"/>
    <d v="2023-06-30T00:00:00"/>
    <d v="2023-07-07T19:03:00"/>
    <m/>
    <d v="2023-07-07T00:00:00"/>
    <n v="1783"/>
    <n v="19751"/>
    <s v="62164045"/>
    <s v="62164045"/>
    <m/>
    <m/>
    <n v="22797552"/>
    <m/>
    <m/>
    <m/>
    <s v="SOLFIN"/>
    <s v="SOLFIN"/>
    <s v="CCMS"/>
    <n v="21344085"/>
    <n v="2150.53"/>
    <m/>
    <s v="N"/>
    <n v="16"/>
    <d v="2023-07-07T19:03:23"/>
    <s v="Y"/>
    <s v="Preparation - drafting instructions"/>
    <s v="Prescribed Hourly Rates"/>
    <s v="Profit Cost"/>
    <s v="Other"/>
    <s v="Y"/>
    <n v="32.88"/>
    <n v="6.58"/>
    <x v="9"/>
    <s v="VALIDATED"/>
    <n v="1"/>
    <s v="01.11.80.305.6100.0000"/>
    <n v="32.88"/>
    <s v="11"/>
    <s v="6100"/>
    <n v="33277.69"/>
    <n v="32.88"/>
    <s v="CREDITOR"/>
    <n v="0"/>
    <n v="0"/>
    <n v="0"/>
    <n v="0"/>
    <n v="32.88"/>
  </r>
  <r>
    <n v="59679428"/>
    <s v="N"/>
    <n v="21327464"/>
    <s v="3000014061650024"/>
    <s v="CIVIL"/>
    <d v="2023-06-21T00:00:00"/>
    <d v="2023-07-04T19:00:44"/>
    <m/>
    <d v="2023-07-04T00:00:00"/>
    <n v="1783"/>
    <n v="19751"/>
    <s v="59679428"/>
    <s v="59679428"/>
    <m/>
    <m/>
    <n v="22736612"/>
    <m/>
    <m/>
    <m/>
    <s v="SOLFIN"/>
    <s v="SOLFIN"/>
    <s v="CCMS"/>
    <n v="21327464"/>
    <n v="1913.11"/>
    <m/>
    <s v="N"/>
    <n v="15"/>
    <d v="2023-07-04T19:00:47"/>
    <s v="Y"/>
    <s v="Preparation - other"/>
    <s v="VHCC"/>
    <s v="Profit Cost"/>
    <s v="OFE"/>
    <s v="Y"/>
    <n v="5.84"/>
    <n v="1.17"/>
    <x v="1"/>
    <s v="VALIDATED"/>
    <n v="1"/>
    <s v="01.11.80.305.6100.0000"/>
    <n v="5.84"/>
    <s v="11"/>
    <s v="6100"/>
    <n v="33277.69"/>
    <n v="5.84"/>
    <s v="CREDITOR"/>
    <n v="0"/>
    <n v="0"/>
    <n v="0"/>
    <n v="0"/>
    <n v="5.84"/>
  </r>
  <r>
    <n v="62149307"/>
    <s v="N"/>
    <n v="21322455"/>
    <s v="3000016166960003"/>
    <s v="CIVIL"/>
    <d v="2023-06-29T00:00:00"/>
    <d v="2023-07-03T19:05:36"/>
    <m/>
    <d v="2023-07-03T00:00:00"/>
    <n v="1783"/>
    <n v="19751"/>
    <s v="62149307"/>
    <s v="62149307"/>
    <m/>
    <m/>
    <n v="22791318"/>
    <m/>
    <m/>
    <m/>
    <s v="SOLPOA"/>
    <s v="SOLPOA"/>
    <s v="CCMS"/>
    <n v="21322455"/>
    <n v="1834.56"/>
    <m/>
    <s v="N"/>
    <n v="1"/>
    <d v="2023-07-03T19:05:38"/>
    <s v="N"/>
    <s v="Solicitors Fixed Fee"/>
    <s v="Public Law Children"/>
    <s v="Profit Cost"/>
    <s v="Rebecca Hamilton"/>
    <s v="N"/>
    <n v="1528.8"/>
    <n v="305.76"/>
    <x v="3"/>
    <s v="VALIDATED"/>
    <n v="1"/>
    <s v="01.11.80.308.2012.0000"/>
    <n v="1528.8"/>
    <s v="11"/>
    <s v="2012"/>
    <n v="33277.69"/>
    <n v="1528.8"/>
    <s v="CREDITOR"/>
    <n v="1528.8"/>
    <n v="382.2"/>
    <n v="0"/>
    <n v="0"/>
    <n v="0"/>
  </r>
  <r>
    <n v="52945554"/>
    <s v="N"/>
    <n v="21328011"/>
    <s v="3000012728120027"/>
    <s v="CIVIL"/>
    <d v="2023-06-27T00:00:00"/>
    <d v="2023-07-04T19:00:44"/>
    <m/>
    <d v="2023-07-04T00:00:00"/>
    <n v="1783"/>
    <n v="19751"/>
    <s v="52945554"/>
    <s v="52945554"/>
    <m/>
    <m/>
    <n v="22766196"/>
    <m/>
    <m/>
    <m/>
    <s v="SOLFIN"/>
    <s v="SOLFIN"/>
    <s v="CCMS"/>
    <n v="21328011"/>
    <n v="16813.3"/>
    <m/>
    <s v="N"/>
    <n v="1"/>
    <d v="2023-07-04T19:01:01"/>
    <s v="Y"/>
    <s v="Court Fee"/>
    <s v="VHCC"/>
    <s v="Non Expert Disbursement"/>
    <s v="S. Alli"/>
    <s v="Y"/>
    <n v="167"/>
    <n v="0"/>
    <x v="1"/>
    <s v="VALIDATED"/>
    <n v="1"/>
    <s v="01.11.80.308.6300.0000"/>
    <n v="167"/>
    <s v="11"/>
    <s v="6300"/>
    <n v="33277.69"/>
    <n v="167"/>
    <s v="CREDITOR"/>
    <n v="0"/>
    <n v="0"/>
    <n v="0"/>
    <n v="0"/>
    <n v="167"/>
  </r>
  <r>
    <n v="60330924"/>
    <s v="N"/>
    <n v="21322020"/>
    <s v="3000014628530012"/>
    <s v="CIVIL"/>
    <d v="2023-06-28T00:00:00"/>
    <d v="2023-07-03T19:05:17"/>
    <m/>
    <d v="2023-07-03T00:00:00"/>
    <n v="1783"/>
    <n v="19751"/>
    <s v="60330924"/>
    <s v="60330924"/>
    <m/>
    <m/>
    <n v="22783816"/>
    <m/>
    <m/>
    <m/>
    <s v="SOLPOA"/>
    <s v="SOLPOA"/>
    <s v="CCMS"/>
    <n v="21322020"/>
    <n v="182"/>
    <m/>
    <s v="N"/>
    <n v="1"/>
    <d v="2023-07-03T19:05:22"/>
    <s v="N"/>
    <s v="Non Expert Disbursement - Private L"/>
    <s v="Non Expert Disbursement - Priv"/>
    <s v="Non Expert Disbursement"/>
    <s v="Bethany Connor"/>
    <s v="N"/>
    <n v="182"/>
    <n v="0"/>
    <x v="3"/>
    <s v="VALIDATED"/>
    <n v="1"/>
    <s v="01.11.80.307.2012.0000"/>
    <n v="182"/>
    <s v="11"/>
    <s v="2012"/>
    <n v="33277.69"/>
    <n v="182"/>
    <s v="CREDITOR"/>
    <n v="182"/>
    <n v="0"/>
    <n v="0"/>
    <n v="0"/>
    <n v="0"/>
  </r>
  <r>
    <n v="59679428"/>
    <s v="N"/>
    <n v="21327464"/>
    <s v="3000014061650024"/>
    <s v="CIVIL"/>
    <d v="2023-06-21T00:00:00"/>
    <d v="2023-07-04T19:00:44"/>
    <m/>
    <d v="2023-07-04T00:00:00"/>
    <n v="1783"/>
    <n v="19751"/>
    <s v="59679428"/>
    <s v="59679428"/>
    <m/>
    <m/>
    <n v="22736612"/>
    <m/>
    <m/>
    <m/>
    <s v="SOLFIN"/>
    <s v="SOLFIN"/>
    <s v="CCMS"/>
    <n v="21327464"/>
    <n v="1913.11"/>
    <m/>
    <s v="N"/>
    <n v="30"/>
    <d v="2023-07-04T19:00:47"/>
    <s v="Y"/>
    <s v="Preparation - other"/>
    <s v="VHCC"/>
    <s v="Profit Cost"/>
    <s v="OFE"/>
    <s v="Y"/>
    <n v="5.84"/>
    <n v="1.17"/>
    <x v="1"/>
    <s v="VALIDATED"/>
    <n v="1"/>
    <s v="01.11.80.305.6100.0000"/>
    <n v="5.84"/>
    <s v="11"/>
    <s v="6100"/>
    <n v="33277.69"/>
    <n v="5.84"/>
    <s v="CREDITOR"/>
    <n v="0"/>
    <n v="0"/>
    <n v="0"/>
    <n v="0"/>
    <n v="5.84"/>
  </r>
  <r>
    <n v="52945554"/>
    <s v="N"/>
    <n v="21328011"/>
    <s v="3000012728120027"/>
    <s v="CIVIL"/>
    <d v="2023-06-27T00:00:00"/>
    <d v="2023-07-04T19:00:44"/>
    <m/>
    <d v="2023-07-04T00:00:00"/>
    <n v="1783"/>
    <n v="19751"/>
    <s v="52945554"/>
    <s v="52945554"/>
    <m/>
    <m/>
    <n v="22766196"/>
    <m/>
    <m/>
    <m/>
    <s v="SOLFIN"/>
    <s v="SOLFIN"/>
    <s v="CCMS"/>
    <n v="21328011"/>
    <n v="16813.3"/>
    <m/>
    <s v="N"/>
    <n v="2"/>
    <d v="2023-07-04T19:01:01"/>
    <s v="Y"/>
    <s v="Psychologist"/>
    <s v="VHCC"/>
    <s v="Expert Disbursement"/>
    <s v="S. Alli"/>
    <s v="Y"/>
    <n v="28.08"/>
    <n v="5.62"/>
    <x v="1"/>
    <s v="VALIDATED"/>
    <n v="1"/>
    <s v="01.11.80.308.6300.0000"/>
    <n v="28.08"/>
    <s v="11"/>
    <s v="6300"/>
    <n v="33277.69"/>
    <n v="28.08"/>
    <s v="CREDITOR"/>
    <n v="0"/>
    <n v="0"/>
    <n v="0"/>
    <n v="0"/>
    <n v="28.08"/>
  </r>
  <r>
    <n v="60710225"/>
    <s v="N"/>
    <n v="21320362"/>
    <s v="3000014955560021"/>
    <s v="CIVIL"/>
    <d v="2023-06-28T00:00:00"/>
    <d v="2023-07-03T19:04:52"/>
    <m/>
    <d v="2023-07-03T00:00:00"/>
    <n v="1783"/>
    <n v="19751"/>
    <s v="60710225"/>
    <s v="60710225"/>
    <m/>
    <m/>
    <n v="22781130"/>
    <m/>
    <m/>
    <m/>
    <s v="SOLPOA"/>
    <s v="SOLPOA"/>
    <s v="CCMS"/>
    <n v="21320362"/>
    <n v="57"/>
    <m/>
    <s v="N"/>
    <n v="1"/>
    <d v="2023-07-03T19:04:53"/>
    <s v="N"/>
    <s v="Non Expert Disbursement"/>
    <s v="Non Expert Disbursement"/>
    <s v="Non Expert Disbursement"/>
    <s v="Bethany Connor"/>
    <s v="N"/>
    <n v="47.5"/>
    <n v="9.5"/>
    <x v="3"/>
    <s v="VALIDATED"/>
    <n v="1"/>
    <s v="01.11.80.308.2012.0000"/>
    <n v="47.5"/>
    <s v="11"/>
    <s v="2012"/>
    <n v="33277.69"/>
    <n v="47.5"/>
    <s v="CREDITOR"/>
    <n v="47.5"/>
    <n v="0"/>
    <n v="0"/>
    <n v="0"/>
    <n v="0"/>
  </r>
  <r>
    <n v="61116570"/>
    <s v="N"/>
    <n v="21321906"/>
    <s v="3000015297720012"/>
    <s v="CIVIL"/>
    <d v="2023-06-28T00:00:00"/>
    <d v="2023-07-03T19:05:17"/>
    <m/>
    <d v="2023-07-03T00:00:00"/>
    <n v="1783"/>
    <n v="19751"/>
    <s v="61116570"/>
    <s v="61116570"/>
    <m/>
    <m/>
    <n v="22783668"/>
    <m/>
    <m/>
    <m/>
    <s v="SOLPOA"/>
    <s v="SOLPOA"/>
    <s v="CCMS"/>
    <n v="21321906"/>
    <n v="67.2"/>
    <m/>
    <s v="N"/>
    <n v="1"/>
    <d v="2023-07-03T19:05:21"/>
    <s v="N"/>
    <s v="Non Expert Disbursement - Private L"/>
    <s v="Non Expert Disbursement - Priv"/>
    <s v="Non Expert Disbursement"/>
    <s v="Bethany Connor"/>
    <s v="N"/>
    <n v="56"/>
    <n v="11.2"/>
    <x v="3"/>
    <s v="VALIDATED"/>
    <n v="1"/>
    <s v="01.11.80.307.2012.0000"/>
    <n v="56"/>
    <s v="11"/>
    <s v="2012"/>
    <n v="33277.69"/>
    <n v="56"/>
    <s v="CREDITOR"/>
    <n v="56"/>
    <n v="0"/>
    <n v="0"/>
    <n v="0"/>
    <n v="0"/>
  </r>
  <r>
    <n v="59924255"/>
    <s v="N"/>
    <n v="21349632"/>
    <s v="3000014263650001"/>
    <s v="CIVIL"/>
    <d v="2023-06-29T00:00:00"/>
    <d v="2023-07-10T19:01:40"/>
    <m/>
    <d v="2023-07-10T00:00:00"/>
    <n v="1783"/>
    <n v="19751"/>
    <s v="59924255"/>
    <s v="59924255"/>
    <m/>
    <m/>
    <n v="22787156"/>
    <m/>
    <m/>
    <m/>
    <s v="SOLFIN"/>
    <s v="SOLFIN"/>
    <s v="CCMS"/>
    <n v="21349632"/>
    <n v="0"/>
    <m/>
    <s v="N"/>
    <n v="1"/>
    <d v="2023-07-10T19:01:54"/>
    <s v="N"/>
    <s v="NIL BILL"/>
    <s v="Public Law Children"/>
    <s v="Profit Cost"/>
    <s v="Stacy Fox"/>
    <s v="N"/>
    <n v="0"/>
    <n v="0"/>
    <x v="2"/>
    <s v="VALIDATED"/>
    <n v="1"/>
    <s v="01.11.80.308.6100.0000"/>
    <n v="0"/>
    <s v="11"/>
    <s v="6100"/>
    <n v="33277.69"/>
    <n v="0"/>
    <s v="CREDITOR"/>
    <n v="0"/>
    <n v="0"/>
    <n v="0"/>
    <n v="0"/>
    <n v="0"/>
  </r>
  <r>
    <n v="59924320"/>
    <s v="N"/>
    <n v="21349729"/>
    <s v="3000014264020001"/>
    <s v="CIVIL"/>
    <d v="2023-06-29T00:00:00"/>
    <d v="2023-07-10T19:01:40"/>
    <m/>
    <d v="2023-07-10T00:00:00"/>
    <n v="1783"/>
    <n v="19751"/>
    <s v="59924320"/>
    <s v="59924320"/>
    <m/>
    <m/>
    <n v="22787818"/>
    <m/>
    <m/>
    <m/>
    <s v="SOLFIN"/>
    <s v="SOLFIN"/>
    <s v="CCMS"/>
    <n v="21349729"/>
    <n v="0"/>
    <m/>
    <s v="N"/>
    <n v="1"/>
    <d v="2023-07-10T19:01:56"/>
    <s v="N"/>
    <s v="NIL BILL"/>
    <s v="Public Law Children"/>
    <s v="Profit Cost"/>
    <s v="Stacy Fox"/>
    <s v="N"/>
    <n v="0"/>
    <n v="0"/>
    <x v="2"/>
    <s v="VALIDATED"/>
    <n v="1"/>
    <s v="01.11.80.308.6100.0000"/>
    <n v="0"/>
    <s v="11"/>
    <s v="6100"/>
    <n v="33277.69"/>
    <n v="0"/>
    <s v="CREDITOR"/>
    <n v="0"/>
    <n v="0"/>
    <n v="0"/>
    <n v="0"/>
    <n v="0"/>
  </r>
  <r>
    <n v="62164045"/>
    <s v="N"/>
    <n v="21344085"/>
    <s v="3000016176230001"/>
    <s v="CIVIL"/>
    <d v="2023-06-30T00:00:00"/>
    <d v="2023-07-07T19:03:00"/>
    <m/>
    <d v="2023-07-07T00:00:00"/>
    <n v="1783"/>
    <n v="19751"/>
    <s v="62164045"/>
    <s v="62164045"/>
    <m/>
    <m/>
    <n v="22797552"/>
    <m/>
    <m/>
    <m/>
    <s v="SOLFIN"/>
    <s v="SOLFIN"/>
    <s v="CCMS"/>
    <n v="21344085"/>
    <n v="2150.53"/>
    <m/>
    <s v="N"/>
    <n v="7"/>
    <d v="2023-07-07T19:03:23"/>
    <s v="Y"/>
    <s v="Preparation - drafting statement"/>
    <s v="Prescribed Hourly Rates"/>
    <s v="Profit Cost"/>
    <s v="Other"/>
    <s v="Y"/>
    <n v="42.74"/>
    <n v="8.550000000000001"/>
    <x v="9"/>
    <s v="VALIDATED"/>
    <n v="1"/>
    <s v="01.11.80.305.6100.0000"/>
    <n v="42.74"/>
    <s v="11"/>
    <s v="6100"/>
    <n v="33277.69"/>
    <n v="42.74"/>
    <s v="CREDITOR"/>
    <n v="0"/>
    <n v="0"/>
    <n v="0"/>
    <n v="0"/>
    <n v="42.74"/>
  </r>
  <r>
    <n v="61487226"/>
    <s v="N"/>
    <n v="21349427"/>
    <s v="3000015612790007"/>
    <s v="CIVIL"/>
    <d v="2023-06-29T00:00:00"/>
    <d v="2023-07-10T19:01:40"/>
    <m/>
    <d v="2023-07-10T00:00:00"/>
    <n v="1783"/>
    <n v="19751"/>
    <s v="61487226"/>
    <s v="61487226"/>
    <m/>
    <m/>
    <n v="22788046"/>
    <m/>
    <m/>
    <m/>
    <s v="SOLFIN"/>
    <s v="SOLFIN"/>
    <s v="CCMS"/>
    <n v="21349427"/>
    <n v="11436.16"/>
    <m/>
    <s v="N"/>
    <n v="4"/>
    <d v="2023-07-10T19:01:49"/>
    <s v="Y"/>
    <s v="Toxicologist"/>
    <s v="Public Law Children"/>
    <s v="Expert Disbursement"/>
    <s v="Catherine Wooley"/>
    <s v="Y"/>
    <n v="163.33"/>
    <n v="32.67"/>
    <x v="2"/>
    <s v="VALIDATED"/>
    <n v="1"/>
    <s v="01.11.80.308.6300.0000"/>
    <n v="163.33"/>
    <s v="11"/>
    <s v="6300"/>
    <n v="33277.69"/>
    <n v="163.33"/>
    <s v="CREDITOR"/>
    <n v="0"/>
    <n v="0"/>
    <n v="0"/>
    <n v="0"/>
    <n v="163.33"/>
  </r>
  <r>
    <n v="62164045"/>
    <s v="N"/>
    <n v="21344085"/>
    <s v="3000016176230001"/>
    <s v="CIVIL"/>
    <d v="2023-06-30T00:00:00"/>
    <d v="2023-07-07T19:03:00"/>
    <m/>
    <d v="2023-07-07T00:00:00"/>
    <n v="1783"/>
    <n v="19751"/>
    <s v="62164045"/>
    <s v="62164045"/>
    <m/>
    <m/>
    <n v="22797552"/>
    <m/>
    <m/>
    <m/>
    <s v="SOLFIN"/>
    <s v="SOLFIN"/>
    <s v="CCMS"/>
    <n v="21344085"/>
    <n v="2150.53"/>
    <m/>
    <s v="N"/>
    <n v="11"/>
    <d v="2023-07-07T19:03:23"/>
    <s v="Y"/>
    <s v="Preparation - drafting application"/>
    <s v="Prescribed Hourly Rates"/>
    <s v="Profit Cost"/>
    <s v="Other"/>
    <s v="Y"/>
    <n v="32.88"/>
    <n v="6.58"/>
    <x v="9"/>
    <s v="VALIDATED"/>
    <n v="1"/>
    <s v="01.11.80.305.6100.0000"/>
    <n v="32.88"/>
    <s v="11"/>
    <s v="6100"/>
    <n v="33277.69"/>
    <n v="32.88"/>
    <s v="CREDITOR"/>
    <n v="0"/>
    <n v="0"/>
    <n v="0"/>
    <n v="0"/>
    <n v="32.88"/>
  </r>
  <r>
    <n v="59679428"/>
    <s v="N"/>
    <n v="21327464"/>
    <s v="3000014061650024"/>
    <s v="CIVIL"/>
    <d v="2023-06-21T00:00:00"/>
    <d v="2023-07-04T19:00:44"/>
    <m/>
    <d v="2023-07-04T00:00:00"/>
    <n v="1783"/>
    <n v="19751"/>
    <s v="59679428"/>
    <s v="59679428"/>
    <m/>
    <m/>
    <n v="22736612"/>
    <m/>
    <m/>
    <m/>
    <s v="SOLFIN"/>
    <s v="SOLFIN"/>
    <s v="CCMS"/>
    <n v="21327464"/>
    <n v="1913.11"/>
    <m/>
    <s v="N"/>
    <n v="36"/>
    <d v="2023-07-04T19:00:47"/>
    <s v="Y"/>
    <s v="Item - Routine Incoming letter"/>
    <s v="VHCC"/>
    <s v="Profit Cost"/>
    <s v="KJ"/>
    <s v="Y"/>
    <n v="225.78"/>
    <n v="45.16"/>
    <x v="1"/>
    <s v="VALIDATED"/>
    <n v="1"/>
    <s v="01.11.80.305.6100.0000"/>
    <n v="225.78"/>
    <s v="11"/>
    <s v="6100"/>
    <n v="33277.69"/>
    <n v="225.78"/>
    <s v="CREDITOR"/>
    <n v="0"/>
    <n v="0"/>
    <n v="0"/>
    <n v="0"/>
    <n v="225.78"/>
  </r>
  <r>
    <n v="59679428"/>
    <s v="N"/>
    <n v="21327464"/>
    <s v="3000014061650024"/>
    <s v="CIVIL"/>
    <d v="2023-06-21T00:00:00"/>
    <d v="2023-07-04T19:00:44"/>
    <m/>
    <d v="2023-07-04T00:00:00"/>
    <n v="1783"/>
    <n v="19751"/>
    <s v="59679428"/>
    <s v="59679428"/>
    <m/>
    <m/>
    <n v="22736612"/>
    <m/>
    <m/>
    <m/>
    <s v="SOLFIN"/>
    <s v="SOLFIN"/>
    <s v="CCMS"/>
    <n v="21327464"/>
    <n v="1913.11"/>
    <m/>
    <s v="N"/>
    <n v="12"/>
    <d v="2023-07-04T19:00:47"/>
    <s v="Y"/>
    <s v="Preparation - other"/>
    <s v="VHCC"/>
    <s v="Profit Cost"/>
    <s v="KJ"/>
    <s v="Y"/>
    <n v="7.59"/>
    <n v="1.52"/>
    <x v="1"/>
    <s v="VALIDATED"/>
    <n v="1"/>
    <s v="01.11.80.305.6100.0000"/>
    <n v="7.59"/>
    <s v="11"/>
    <s v="6100"/>
    <n v="33277.69"/>
    <n v="7.59"/>
    <s v="CREDITOR"/>
    <n v="0"/>
    <n v="0"/>
    <n v="0"/>
    <n v="0"/>
    <n v="7.59"/>
  </r>
  <r>
    <n v="61236485"/>
    <s v="N"/>
    <n v="21350167"/>
    <s v="3000015401790029"/>
    <s v="CIVIL"/>
    <d v="2023-06-30T00:00:00"/>
    <d v="2023-07-10T19:01:40"/>
    <m/>
    <d v="2023-07-10T00:00:00"/>
    <n v="1783"/>
    <n v="19751"/>
    <s v="61236485"/>
    <s v="61236485"/>
    <m/>
    <m/>
    <n v="22799056"/>
    <m/>
    <m/>
    <m/>
    <s v="SOLFIN"/>
    <s v="SOLFIN"/>
    <s v="CCMS"/>
    <n v="21350167"/>
    <n v="14552.27"/>
    <m/>
    <s v="N"/>
    <n v="3"/>
    <d v="2023-07-10T19:02:16"/>
    <s v="Y"/>
    <s v="Disbursements (Summary)"/>
    <s v="Public Law Children"/>
    <s v="Non Expert Disbursement"/>
    <s v="Sajeda Alli"/>
    <s v="Y"/>
    <n v="2799.39"/>
    <n v="0"/>
    <x v="2"/>
    <s v="VALIDATED"/>
    <n v="1"/>
    <s v="01.11.80.308.6300.0000"/>
    <n v="2799.39"/>
    <s v="11"/>
    <s v="6300"/>
    <n v="33277.69"/>
    <n v="2799.39"/>
    <s v="CREDITOR"/>
    <n v="0"/>
    <n v="0"/>
    <n v="0"/>
    <n v="0"/>
    <n v="2799.39"/>
  </r>
  <r>
    <n v="62164045"/>
    <s v="N"/>
    <n v="21344085"/>
    <s v="3000016176230001"/>
    <s v="CIVIL"/>
    <d v="2023-06-30T00:00:00"/>
    <d v="2023-07-07T19:03:00"/>
    <m/>
    <d v="2023-07-07T00:00:00"/>
    <n v="1783"/>
    <n v="19751"/>
    <s v="62164045"/>
    <s v="62164045"/>
    <m/>
    <m/>
    <n v="22797552"/>
    <m/>
    <m/>
    <m/>
    <s v="SOLFIN"/>
    <s v="SOLFIN"/>
    <s v="CCMS"/>
    <n v="21344085"/>
    <n v="2150.53"/>
    <m/>
    <s v="N"/>
    <n v="18"/>
    <d v="2023-07-07T19:03:23"/>
    <s v="Y"/>
    <s v="Preparation - drafting attendance n"/>
    <s v="Prescribed Hourly Rates"/>
    <s v="Profit Cost"/>
    <s v="Catherine Woolley"/>
    <s v="Y"/>
    <n v="8.550000000000001"/>
    <n v="1.71"/>
    <x v="9"/>
    <s v="VALIDATED"/>
    <n v="1"/>
    <s v="01.11.80.305.6100.0000"/>
    <n v="8.550000000000001"/>
    <s v="11"/>
    <s v="6100"/>
    <n v="33277.69"/>
    <n v="8.550000000000001"/>
    <s v="CREDITOR"/>
    <n v="0"/>
    <n v="0"/>
    <n v="0"/>
    <n v="0"/>
    <n v="8.550000000000001"/>
  </r>
  <r>
    <n v="61715213"/>
    <s v="N"/>
    <n v="21343921"/>
    <s v="3000015795400001"/>
    <s v="CIVIL"/>
    <d v="2023-06-29T00:00:00"/>
    <d v="2023-07-07T19:03:00"/>
    <m/>
    <d v="2023-07-07T00:00:00"/>
    <n v="1783"/>
    <n v="19751"/>
    <s v="61715213"/>
    <s v="61715213"/>
    <m/>
    <m/>
    <n v="22784896"/>
    <m/>
    <m/>
    <m/>
    <s v="SOLFIN"/>
    <s v="SOLFIN"/>
    <s v="CCMS"/>
    <n v="21343921"/>
    <n v="0"/>
    <m/>
    <s v="N"/>
    <n v="1"/>
    <d v="2023-07-07T19:03:17"/>
    <s v="N"/>
    <s v="NIL BILL"/>
    <s v="Care Remuneration Hourly Rates"/>
    <s v="Profit Cost"/>
    <s v="C.Woolley"/>
    <s v="N"/>
    <n v="0"/>
    <n v="0"/>
    <x v="9"/>
    <s v="VALIDATED"/>
    <n v="1"/>
    <s v="01.11.80.305.6100.0000"/>
    <n v="0"/>
    <s v="11"/>
    <s v="6100"/>
    <n v="33277.69"/>
    <n v="0"/>
    <s v="CREDITOR"/>
    <n v="0"/>
    <n v="0"/>
    <n v="0"/>
    <n v="0"/>
    <n v="0"/>
  </r>
  <r>
    <n v="61313239"/>
    <s v="N"/>
    <n v="21343877"/>
    <s v="3000015467670010"/>
    <s v="CIVIL"/>
    <d v="2023-06-27T00:00:00"/>
    <d v="2023-07-07T19:03:00"/>
    <m/>
    <d v="2023-07-07T00:00:00"/>
    <n v="1783"/>
    <n v="19751"/>
    <s v="61313239"/>
    <s v="61313239"/>
    <m/>
    <m/>
    <n v="22768748"/>
    <m/>
    <m/>
    <m/>
    <s v="SOLFIN"/>
    <s v="SOLFIN"/>
    <s v="CCMS"/>
    <n v="21343877"/>
    <n v="15072.79"/>
    <m/>
    <s v="N"/>
    <n v="8"/>
    <d v="2023-07-07T19:03:15"/>
    <s v="Y"/>
    <s v="Hearing Unit 5.01 - 7.30 Hours"/>
    <s v="Public Law Children"/>
    <s v="Advocacy"/>
    <s v="Catherine Woolley"/>
    <s v="Y"/>
    <n v="715.38"/>
    <n v="143.08"/>
    <x v="9"/>
    <s v="VALIDATED"/>
    <n v="1"/>
    <s v="01.11.80.308.6100.0000"/>
    <n v="715.38"/>
    <s v="11"/>
    <s v="6100"/>
    <n v="33277.69"/>
    <n v="715.38"/>
    <s v="CREDITOR"/>
    <n v="0"/>
    <n v="0"/>
    <n v="0"/>
    <n v="0"/>
    <n v="715.38"/>
  </r>
  <r>
    <n v="59924342"/>
    <s v="N"/>
    <n v="21360671"/>
    <s v="3000014263530013"/>
    <s v="CIVIL"/>
    <d v="2023-06-29T00:00:00"/>
    <d v="2023-07-11T19:00:25"/>
    <m/>
    <d v="2023-07-11T00:00:00"/>
    <n v="1783"/>
    <n v="19751"/>
    <s v="59924342"/>
    <s v="59924342"/>
    <m/>
    <m/>
    <n v="22786952"/>
    <m/>
    <m/>
    <m/>
    <s v="SOLFIN"/>
    <s v="SOLFIN"/>
    <s v="CCMS"/>
    <n v="21360671"/>
    <n v="17585.75"/>
    <m/>
    <s v="N"/>
    <n v="13"/>
    <d v="2023-07-11T19:00:29"/>
    <s v="Y"/>
    <s v="Interim Hearing Court Bundle/Advoca"/>
    <s v="Public Law Children"/>
    <s v="Advocacy"/>
    <s v="SF"/>
    <s v="Y"/>
    <n v="59.4"/>
    <n v="11.88"/>
    <x v="7"/>
    <s v="VALIDATED"/>
    <n v="1"/>
    <s v="01.11.80.308.6100.0000"/>
    <n v="59.4"/>
    <s v="11"/>
    <s v="6100"/>
    <n v="33277.69"/>
    <n v="59.4"/>
    <s v="CREDITOR"/>
    <n v="0"/>
    <n v="0"/>
    <n v="0"/>
    <n v="0"/>
    <n v="59.4"/>
  </r>
  <r>
    <n v="59924342"/>
    <s v="N"/>
    <n v="21360671"/>
    <s v="3000014263530013"/>
    <s v="CIVIL"/>
    <d v="2023-06-29T00:00:00"/>
    <d v="2023-07-11T19:00:25"/>
    <m/>
    <d v="2023-07-11T00:00:00"/>
    <n v="1783"/>
    <n v="19751"/>
    <s v="59924342"/>
    <s v="59924342"/>
    <m/>
    <m/>
    <n v="22786952"/>
    <m/>
    <m/>
    <m/>
    <s v="SOLFIN"/>
    <s v="SOLFIN"/>
    <s v="CCMS"/>
    <n v="21360671"/>
    <n v="17585.75"/>
    <m/>
    <s v="N"/>
    <n v="14"/>
    <d v="2023-07-11T19:00:29"/>
    <s v="Y"/>
    <s v="Final Hearing Court Bundle/Advocate"/>
    <s v="Public Law Children"/>
    <s v="Advocacy"/>
    <s v="CW"/>
    <s v="Y"/>
    <n v="239.4"/>
    <n v="47.88"/>
    <x v="7"/>
    <s v="VALIDATED"/>
    <n v="1"/>
    <s v="01.11.80.308.6100.0000"/>
    <n v="239.4"/>
    <s v="11"/>
    <s v="6100"/>
    <n v="33277.69"/>
    <n v="239.4"/>
    <s v="CREDITOR"/>
    <n v="0"/>
    <n v="0"/>
    <n v="0"/>
    <n v="0"/>
    <n v="239.4"/>
  </r>
  <r>
    <n v="62164045"/>
    <s v="N"/>
    <n v="21344085"/>
    <s v="3000016176230001"/>
    <s v="CIVIL"/>
    <d v="2023-06-30T00:00:00"/>
    <d v="2023-07-07T19:03:00"/>
    <m/>
    <d v="2023-07-07T00:00:00"/>
    <n v="1783"/>
    <n v="19751"/>
    <s v="62164045"/>
    <s v="62164045"/>
    <m/>
    <m/>
    <n v="22797552"/>
    <m/>
    <m/>
    <m/>
    <s v="SOLFIN"/>
    <s v="SOLFIN"/>
    <s v="CCMS"/>
    <n v="21344085"/>
    <n v="2150.53"/>
    <m/>
    <s v="N"/>
    <n v="1"/>
    <d v="2023-07-07T19:03:23"/>
    <s v="Y"/>
    <s v="Preparation - other"/>
    <s v="Prescribed Hourly Rates"/>
    <s v="Profit Cost"/>
    <s v="Catherine Woolley"/>
    <s v="Y"/>
    <n v="8.550000000000001"/>
    <n v="1.71"/>
    <x v="9"/>
    <s v="VALIDATED"/>
    <n v="1"/>
    <s v="01.11.80.305.6100.0000"/>
    <n v="8.550000000000001"/>
    <s v="11"/>
    <s v="6100"/>
    <n v="33277.69"/>
    <n v="8.550000000000001"/>
    <s v="CREDITOR"/>
    <n v="0"/>
    <n v="0"/>
    <n v="0"/>
    <n v="0"/>
    <n v="8.550000000000001"/>
  </r>
  <r>
    <n v="60817808"/>
    <s v="N"/>
    <n v="21320398"/>
    <s v="3000015047570052"/>
    <s v="CIVIL"/>
    <d v="2023-06-28T00:00:00"/>
    <d v="2023-07-03T19:04:52"/>
    <m/>
    <d v="2023-07-03T00:00:00"/>
    <n v="1783"/>
    <n v="19751"/>
    <s v="60817808"/>
    <s v="60817808"/>
    <m/>
    <m/>
    <n v="22779022"/>
    <m/>
    <m/>
    <m/>
    <s v="SOLPOA"/>
    <s v="SOLPOA"/>
    <s v="CCMS"/>
    <n v="21320398"/>
    <n v="131.8"/>
    <m/>
    <s v="N"/>
    <n v="1"/>
    <d v="2023-07-03T19:04:54"/>
    <s v="N"/>
    <s v="Non Expert Disbursement"/>
    <s v="Non Expert Disbursement"/>
    <s v="Non Expert Disbursement"/>
    <s v="Bethany Connor"/>
    <s v="N"/>
    <n v="131.8"/>
    <n v="0"/>
    <x v="3"/>
    <s v="VALIDATED"/>
    <n v="1"/>
    <s v="01.11.80.308.2012.0000"/>
    <n v="131.8"/>
    <s v="11"/>
    <s v="2012"/>
    <n v="33277.69"/>
    <n v="131.8"/>
    <s v="CREDITOR"/>
    <n v="131.8"/>
    <n v="0"/>
    <n v="0"/>
    <n v="0"/>
    <n v="0"/>
  </r>
  <r>
    <n v="60156804"/>
    <s v="N"/>
    <n v="21331129"/>
    <s v="3000014477090001"/>
    <s v="CIVIL"/>
    <d v="2023-06-27T00:00:00"/>
    <d v="2023-07-05T19:01:47"/>
    <m/>
    <d v="2023-07-05T00:00:00"/>
    <n v="1783"/>
    <n v="19751"/>
    <s v="60156804"/>
    <s v="60156804"/>
    <m/>
    <m/>
    <n v="22770718"/>
    <m/>
    <m/>
    <m/>
    <s v="SOLFIN"/>
    <s v="SOLFIN"/>
    <s v="CCMS"/>
    <n v="21331129"/>
    <n v="0"/>
    <m/>
    <s v="N"/>
    <n v="1"/>
    <d v="2023-07-05T19:02:07"/>
    <s v="N"/>
    <s v="NIL BILL"/>
    <s v="Public Law Children"/>
    <s v="Profit Cost"/>
    <s v="Katie Jackson"/>
    <s v="N"/>
    <n v="0"/>
    <n v="0"/>
    <x v="6"/>
    <s v="VALIDATED"/>
    <n v="1"/>
    <s v="01.11.80.308.6100.0000"/>
    <n v="0"/>
    <s v="11"/>
    <s v="6100"/>
    <n v="33277.69"/>
    <n v="0"/>
    <s v="CREDITOR"/>
    <n v="0"/>
    <n v="0"/>
    <n v="0"/>
    <n v="0"/>
    <n v="0"/>
  </r>
  <r>
    <n v="50723544"/>
    <s v="N"/>
    <n v="21320767"/>
    <s v="3000012478510039"/>
    <s v="CIVIL"/>
    <d v="2023-06-28T00:00:00"/>
    <d v="2023-07-03T19:04:52"/>
    <m/>
    <d v="2023-07-03T00:00:00"/>
    <n v="1783"/>
    <n v="19751"/>
    <s v="50723544"/>
    <s v="50723544"/>
    <m/>
    <m/>
    <n v="22783002"/>
    <m/>
    <m/>
    <m/>
    <s v="SOLPOA"/>
    <s v="SOLPOA"/>
    <s v="CCMS"/>
    <n v="21320767"/>
    <n v="124"/>
    <m/>
    <s v="N"/>
    <n v="1"/>
    <d v="2023-07-03T19:04:56"/>
    <s v="N"/>
    <s v="Non Expert Disbursement - Private L"/>
    <s v="Non Expert Disbursement - Priv"/>
    <s v="Non Expert Disbursement"/>
    <s v="Bethany Connor"/>
    <s v="N"/>
    <n v="124"/>
    <n v="0"/>
    <x v="3"/>
    <s v="VALIDATED"/>
    <n v="1"/>
    <s v="01.11.80.307.2012.0000"/>
    <n v="124"/>
    <s v="11"/>
    <s v="2012"/>
    <n v="33277.69"/>
    <n v="124"/>
    <s v="CREDITOR"/>
    <n v="124"/>
    <n v="0"/>
    <n v="0"/>
    <n v="0"/>
    <n v="0"/>
  </r>
  <r>
    <n v="52945554"/>
    <s v="N"/>
    <n v="21328011"/>
    <s v="3000012728120027"/>
    <s v="CIVIL"/>
    <d v="2023-06-27T00:00:00"/>
    <d v="2023-07-04T19:00:44"/>
    <m/>
    <d v="2023-07-04T00:00:00"/>
    <n v="1783"/>
    <n v="19751"/>
    <s v="52945554"/>
    <s v="52945554"/>
    <m/>
    <m/>
    <n v="22766196"/>
    <m/>
    <m/>
    <m/>
    <s v="SOLFIN"/>
    <s v="SOLFIN"/>
    <s v="CCMS"/>
    <n v="21328011"/>
    <n v="16813.3"/>
    <m/>
    <s v="N"/>
    <n v="5"/>
    <d v="2023-07-04T19:01:01"/>
    <s v="Y"/>
    <s v="Interim/Directions/Review Hearing ("/>
    <s v="VHCC"/>
    <s v="Profit Cost"/>
    <s v="S. Alli"/>
    <s v="Y"/>
    <n v="12384"/>
    <n v="2476.8"/>
    <x v="1"/>
    <s v="VALIDATED"/>
    <n v="1"/>
    <s v="01.11.80.308.6100.0000"/>
    <n v="12384"/>
    <s v="11"/>
    <s v="6100"/>
    <n v="33277.69"/>
    <n v="12384"/>
    <s v="CREDITOR"/>
    <n v="0"/>
    <n v="0"/>
    <n v="0"/>
    <n v="0"/>
    <n v="12384"/>
  </r>
  <r>
    <n v="59679428"/>
    <s v="N"/>
    <n v="21327464"/>
    <s v="3000014061650024"/>
    <s v="CIVIL"/>
    <d v="2023-06-21T00:00:00"/>
    <d v="2023-07-04T19:00:44"/>
    <m/>
    <d v="2023-07-04T00:00:00"/>
    <n v="1783"/>
    <n v="19751"/>
    <s v="59679428"/>
    <s v="59679428"/>
    <m/>
    <m/>
    <n v="22736612"/>
    <m/>
    <m/>
    <m/>
    <s v="SOLFIN"/>
    <s v="SOLFIN"/>
    <s v="CCMS"/>
    <n v="21327464"/>
    <n v="1913.11"/>
    <m/>
    <s v="N"/>
    <n v="35"/>
    <d v="2023-07-04T19:00:47"/>
    <s v="Y"/>
    <s v="Item - Routine Outgoing letter"/>
    <s v="VHCC"/>
    <s v="Profit Cost"/>
    <s v="OFE"/>
    <s v="Y"/>
    <n v="33.21"/>
    <n v="6.64"/>
    <x v="1"/>
    <s v="VALIDATED"/>
    <n v="1"/>
    <s v="01.11.80.305.6100.0000"/>
    <n v="33.21"/>
    <s v="11"/>
    <s v="6100"/>
    <n v="33277.69"/>
    <n v="33.21"/>
    <s v="CREDITOR"/>
    <n v="0"/>
    <n v="0"/>
    <n v="0"/>
    <n v="0"/>
    <n v="33.21"/>
  </r>
  <r>
    <n v="60919928"/>
    <s v="N"/>
    <n v="21321738"/>
    <s v="3000015138340012"/>
    <s v="CIVIL"/>
    <d v="2023-06-29T00:00:00"/>
    <d v="2023-07-03T19:05:17"/>
    <m/>
    <d v="2023-07-03T00:00:00"/>
    <n v="1783"/>
    <n v="19751"/>
    <s v="60919928"/>
    <s v="60919928"/>
    <m/>
    <m/>
    <n v="22786356"/>
    <m/>
    <m/>
    <m/>
    <s v="SOLPOA"/>
    <s v="SOLPOA"/>
    <s v="CCMS"/>
    <n v="21321738"/>
    <n v="917.28"/>
    <m/>
    <s v="N"/>
    <n v="1"/>
    <d v="2023-07-03T19:05:20"/>
    <s v="N"/>
    <s v="Solicitors Fixed Fee"/>
    <s v="Public Law Children"/>
    <s v="Profit Cost"/>
    <s v="Bethany Connor"/>
    <s v="N"/>
    <n v="764.4"/>
    <n v="152.88"/>
    <x v="3"/>
    <s v="VALIDATED"/>
    <n v="1"/>
    <s v="01.11.80.308.2012.0000"/>
    <n v="764.4"/>
    <s v="11"/>
    <s v="2012"/>
    <n v="33277.69"/>
    <n v="764.4"/>
    <s v="CREDITOR"/>
    <n v="764.4"/>
    <n v="191.1"/>
    <n v="0"/>
    <n v="0"/>
    <n v="0"/>
  </r>
  <r>
    <n v="61487226"/>
    <s v="N"/>
    <n v="21349427"/>
    <s v="3000015612790007"/>
    <s v="CIVIL"/>
    <d v="2023-06-29T00:00:00"/>
    <d v="2023-07-10T19:01:40"/>
    <m/>
    <d v="2023-07-10T00:00:00"/>
    <n v="1783"/>
    <n v="19751"/>
    <s v="61487226"/>
    <s v="61487226"/>
    <m/>
    <m/>
    <n v="22788046"/>
    <m/>
    <m/>
    <m/>
    <s v="SOLFIN"/>
    <s v="SOLFIN"/>
    <s v="CCMS"/>
    <n v="21349427"/>
    <n v="11436.16"/>
    <m/>
    <s v="N"/>
    <n v="1"/>
    <d v="2023-07-10T19:01:49"/>
    <s v="Y"/>
    <s v="Toxicologist"/>
    <s v="Public Law Children"/>
    <s v="Expert Disbursement"/>
    <s v="Catherine Wooley"/>
    <s v="Y"/>
    <n v="49.67"/>
    <n v="9.93"/>
    <x v="2"/>
    <s v="VALIDATED"/>
    <n v="1"/>
    <s v="01.11.80.308.6300.0000"/>
    <n v="49.67"/>
    <s v="11"/>
    <s v="6300"/>
    <n v="33277.69"/>
    <n v="49.67"/>
    <s v="CREDITOR"/>
    <n v="0"/>
    <n v="0"/>
    <n v="0"/>
    <n v="0"/>
    <n v="49.67"/>
  </r>
  <r>
    <n v="59679428"/>
    <s v="N"/>
    <n v="21327464"/>
    <s v="3000014061650024"/>
    <s v="CIVIL"/>
    <d v="2023-06-21T00:00:00"/>
    <d v="2023-07-04T19:00:44"/>
    <m/>
    <d v="2023-07-04T00:00:00"/>
    <n v="1783"/>
    <n v="19751"/>
    <s v="59679428"/>
    <s v="59679428"/>
    <m/>
    <m/>
    <n v="22736612"/>
    <m/>
    <m/>
    <m/>
    <s v="SOLFIN"/>
    <s v="SOLFIN"/>
    <s v="CCMS"/>
    <n v="21327464"/>
    <n v="1913.11"/>
    <m/>
    <s v="N"/>
    <n v="23"/>
    <d v="2023-07-04T19:00:47"/>
    <s v="Y"/>
    <s v="Preparation - drafting pleadings"/>
    <s v="VHCC"/>
    <s v="Profit Cost"/>
    <s v="KJ"/>
    <s v="Y"/>
    <n v="60.74"/>
    <n v="12.15"/>
    <x v="1"/>
    <s v="VALIDATED"/>
    <n v="1"/>
    <s v="01.11.80.305.6100.0000"/>
    <n v="60.74"/>
    <s v="11"/>
    <s v="6100"/>
    <n v="33277.69"/>
    <n v="60.74"/>
    <s v="CREDITOR"/>
    <n v="0"/>
    <n v="0"/>
    <n v="0"/>
    <n v="0"/>
    <n v="60.74"/>
  </r>
  <r>
    <n v="61944079"/>
    <s v="N"/>
    <n v="21322428"/>
    <s v="3000015973180001"/>
    <s v="CIVIL"/>
    <d v="2023-06-30T00:00:00"/>
    <d v="2023-07-03T19:05:36"/>
    <m/>
    <d v="2023-07-03T00:00:00"/>
    <n v="1783"/>
    <n v="19751"/>
    <s v="61944079"/>
    <s v="61944079"/>
    <m/>
    <m/>
    <n v="22794246"/>
    <m/>
    <m/>
    <m/>
    <s v="SOLPOA"/>
    <s v="SOLPOA"/>
    <s v="CCMS"/>
    <n v="21322428"/>
    <n v="459.36"/>
    <m/>
    <s v="N"/>
    <n v="1"/>
    <d v="2023-07-03T19:05:38"/>
    <s v="N"/>
    <s v="Level 3 &amp; Enforcement Fixed Fee"/>
    <s v="Private Law Children"/>
    <s v="Profit Cost"/>
    <s v="Bethany Connor"/>
    <s v="N"/>
    <n v="382.8"/>
    <n v="76.56"/>
    <x v="3"/>
    <s v="VALIDATED"/>
    <n v="1"/>
    <s v="01.11.80.307.2012.0000"/>
    <n v="382.8"/>
    <s v="11"/>
    <s v="2012"/>
    <n v="33277.69"/>
    <n v="382.8"/>
    <s v="CREDITOR"/>
    <n v="382.8"/>
    <n v="95.7"/>
    <n v="0"/>
    <n v="0"/>
    <n v="0"/>
  </r>
  <r>
    <n v="50723544"/>
    <s v="N"/>
    <n v="21320303"/>
    <s v="3000012478510038"/>
    <s v="CIVIL"/>
    <d v="2023-06-28T00:00:00"/>
    <d v="2023-07-03T19:04:52"/>
    <m/>
    <d v="2023-07-03T00:00:00"/>
    <n v="1783"/>
    <n v="19751"/>
    <s v="50723544"/>
    <s v="50723544"/>
    <m/>
    <m/>
    <n v="22782872"/>
    <m/>
    <m/>
    <m/>
    <s v="SOLPOA"/>
    <s v="SOLPOA"/>
    <s v="CCMS"/>
    <n v="21320303"/>
    <n v="251.3"/>
    <m/>
    <s v="N"/>
    <n v="1"/>
    <d v="2023-07-03T19:04:53"/>
    <s v="N"/>
    <s v="Non Expert Disbursement - Private L"/>
    <s v="Non Expert Disbursement - Priv"/>
    <s v="Non Expert Disbursement"/>
    <s v="Bethany Connor"/>
    <s v="N"/>
    <n v="251.3"/>
    <n v="0"/>
    <x v="3"/>
    <s v="VALIDATED"/>
    <n v="1"/>
    <s v="01.11.80.307.2012.0000"/>
    <n v="251.3"/>
    <s v="11"/>
    <s v="2012"/>
    <n v="33277.69"/>
    <n v="251.3"/>
    <s v="CREDITOR"/>
    <n v="251.3"/>
    <n v="0"/>
    <n v="0"/>
    <n v="0"/>
    <n v="0"/>
  </r>
  <r>
    <n v="62272999"/>
    <s v="N"/>
    <n v="21318615"/>
    <s v="3000016268810002"/>
    <s v="CIVIL"/>
    <d v="2023-06-23T00:00:00"/>
    <d v="2023-07-03T19:01:49"/>
    <m/>
    <d v="2023-07-03T00:00:00"/>
    <n v="1783"/>
    <n v="19751"/>
    <s v="62272999"/>
    <s v="62272999"/>
    <m/>
    <m/>
    <n v="22755204"/>
    <m/>
    <m/>
    <m/>
    <s v="SOLPOA"/>
    <s v="SOLPOA"/>
    <s v="CCMS"/>
    <n v="21318615"/>
    <n v="327.6"/>
    <m/>
    <s v="N"/>
    <n v="1"/>
    <d v="2023-07-03T19:02:00"/>
    <s v="N"/>
    <s v="Non Expert Disbursement"/>
    <s v="Non Expert Disbursement"/>
    <s v="Non Expert Disbursement"/>
    <s v="Anna Streather"/>
    <s v="N"/>
    <n v="273"/>
    <n v="54.6"/>
    <x v="3"/>
    <s v="VALIDATED"/>
    <n v="1"/>
    <s v="01.11.80.308.2012.0000"/>
    <n v="273"/>
    <s v="11"/>
    <s v="2012"/>
    <n v="33277.69"/>
    <n v="273"/>
    <s v="CREDITOR"/>
    <n v="273"/>
    <n v="0"/>
    <n v="0"/>
    <n v="0"/>
    <n v="0"/>
  </r>
  <r>
    <n v="59924342"/>
    <s v="N"/>
    <n v="21360671"/>
    <s v="3000014263530013"/>
    <s v="CIVIL"/>
    <d v="2023-06-29T00:00:00"/>
    <d v="2023-07-11T19:00:25"/>
    <m/>
    <d v="2023-07-11T00:00:00"/>
    <n v="1783"/>
    <n v="19751"/>
    <s v="59924342"/>
    <s v="59924342"/>
    <m/>
    <m/>
    <n v="22786952"/>
    <m/>
    <m/>
    <m/>
    <s v="SOLFIN"/>
    <s v="SOLFIN"/>
    <s v="CCMS"/>
    <n v="21360671"/>
    <n v="17585.75"/>
    <m/>
    <s v="N"/>
    <n v="2"/>
    <d v="2023-07-11T19:00:29"/>
    <s v="Y"/>
    <s v="Profit Costs (Summary)"/>
    <s v="Care Remuneration Hourly Rates"/>
    <s v="Profit Cost"/>
    <s v="XXX"/>
    <s v="Y"/>
    <n v="10655.69"/>
    <n v="2131.14"/>
    <x v="7"/>
    <s v="VALIDATED"/>
    <n v="1"/>
    <s v="01.11.80.308.6100.0000"/>
    <n v="10655.69"/>
    <s v="11"/>
    <s v="6100"/>
    <n v="33277.69"/>
    <n v="10655.69"/>
    <s v="CREDITOR"/>
    <n v="0"/>
    <n v="0"/>
    <n v="0"/>
    <n v="0"/>
    <n v="10655.69"/>
  </r>
  <r>
    <n v="59924342"/>
    <s v="N"/>
    <n v="21360671"/>
    <s v="3000014263530013"/>
    <s v="CIVIL"/>
    <d v="2023-06-29T00:00:00"/>
    <d v="2023-07-11T19:00:25"/>
    <m/>
    <d v="2023-07-11T00:00:00"/>
    <n v="1783"/>
    <n v="19751"/>
    <s v="59924342"/>
    <s v="59924342"/>
    <m/>
    <m/>
    <n v="22786952"/>
    <m/>
    <m/>
    <m/>
    <s v="SOLFIN"/>
    <s v="SOLFIN"/>
    <s v="CCMS"/>
    <n v="21360671"/>
    <n v="17585.75"/>
    <m/>
    <s v="N"/>
    <n v="5"/>
    <d v="2023-07-11T19:00:29"/>
    <s v="Y"/>
    <s v="Disbursements (Summary)"/>
    <s v="Care Remuneration Hourly Rates"/>
    <s v="Non Expert Disbursement"/>
    <s v="XXX"/>
    <s v="Y"/>
    <n v="1198.24"/>
    <n v="239.65"/>
    <x v="7"/>
    <s v="VALIDATED"/>
    <n v="1"/>
    <s v="01.11.80.308.6300.0000"/>
    <n v="1198.24"/>
    <s v="11"/>
    <s v="6300"/>
    <n v="33277.69"/>
    <n v="1198.24"/>
    <s v="CREDITOR"/>
    <n v="0"/>
    <n v="0"/>
    <n v="0"/>
    <n v="0"/>
    <n v="1198.24"/>
  </r>
  <r>
    <n v="61313239"/>
    <s v="N"/>
    <n v="21343877"/>
    <s v="3000015467670010"/>
    <s v="CIVIL"/>
    <d v="2023-06-27T00:00:00"/>
    <d v="2023-07-07T19:03:00"/>
    <m/>
    <d v="2023-07-07T00:00:00"/>
    <n v="1783"/>
    <n v="19751"/>
    <s v="61313239"/>
    <s v="61313239"/>
    <m/>
    <m/>
    <n v="22768748"/>
    <m/>
    <m/>
    <m/>
    <s v="SOLFIN"/>
    <s v="SOLFIN"/>
    <s v="CCMS"/>
    <n v="21343877"/>
    <n v="15072.79"/>
    <m/>
    <s v="N"/>
    <n v="9"/>
    <d v="2023-07-07T19:03:15"/>
    <s v="Y"/>
    <s v="Hearing Unit 1.01 - 2.30 Hours"/>
    <s v="Public Law Children"/>
    <s v="Advocacy"/>
    <s v="Catherine Woolley"/>
    <s v="Y"/>
    <n v="238.46"/>
    <n v="47.69"/>
    <x v="9"/>
    <s v="VALIDATED"/>
    <n v="1"/>
    <s v="01.11.80.308.6100.0000"/>
    <n v="238.46"/>
    <s v="11"/>
    <s v="6100"/>
    <n v="33277.69"/>
    <n v="238.46"/>
    <s v="CREDITOR"/>
    <n v="0"/>
    <n v="0"/>
    <n v="0"/>
    <n v="0"/>
    <n v="238.46"/>
  </r>
  <r>
    <n v="62164045"/>
    <s v="N"/>
    <n v="21344085"/>
    <s v="3000016176230001"/>
    <s v="CIVIL"/>
    <d v="2023-06-30T00:00:00"/>
    <d v="2023-07-07T19:03:00"/>
    <m/>
    <d v="2023-07-07T00:00:00"/>
    <n v="1783"/>
    <n v="19751"/>
    <s v="62164045"/>
    <s v="62164045"/>
    <m/>
    <m/>
    <n v="22797552"/>
    <m/>
    <m/>
    <m/>
    <s v="SOLFIN"/>
    <s v="SOLFIN"/>
    <s v="CCMS"/>
    <n v="21344085"/>
    <n v="2150.53"/>
    <m/>
    <s v="N"/>
    <n v="29"/>
    <d v="2023-07-07T19:03:23"/>
    <s v="Y"/>
    <s v="Routine Letter Out"/>
    <s v="Prescribed Hourly Rates"/>
    <s v="Profit Cost"/>
    <s v="Catherine Woolley"/>
    <s v="Y"/>
    <n v="305.44"/>
    <n v="61.1"/>
    <x v="9"/>
    <s v="VALIDATED"/>
    <n v="1"/>
    <s v="01.11.80.305.6100.0000"/>
    <n v="305.44"/>
    <s v="11"/>
    <s v="6100"/>
    <n v="33277.69"/>
    <n v="305.44"/>
    <s v="CREDITOR"/>
    <n v="0"/>
    <n v="0"/>
    <n v="0"/>
    <n v="0"/>
    <n v="305.44"/>
  </r>
  <r>
    <n v="61313239"/>
    <s v="N"/>
    <n v="21343877"/>
    <s v="3000015467670010"/>
    <s v="CIVIL"/>
    <d v="2023-06-27T00:00:00"/>
    <d v="2023-07-07T19:03:00"/>
    <m/>
    <d v="2023-07-07T00:00:00"/>
    <n v="1783"/>
    <n v="19751"/>
    <s v="61313239"/>
    <s v="61313239"/>
    <m/>
    <m/>
    <n v="22768748"/>
    <m/>
    <m/>
    <m/>
    <s v="SOLFIN"/>
    <s v="SOLFIN"/>
    <s v="CCMS"/>
    <n v="21343877"/>
    <n v="15072.79"/>
    <m/>
    <s v="N"/>
    <n v="1"/>
    <d v="2023-07-07T19:03:15"/>
    <s v="Y"/>
    <s v="Solicitor Travel Expenses"/>
    <s v="Public Law Children"/>
    <s v="Non Expert Disbursement"/>
    <s v="Ashley Oakden"/>
    <s v="Y"/>
    <n v="9.4"/>
    <n v="0"/>
    <x v="9"/>
    <s v="VALIDATED"/>
    <n v="1"/>
    <s v="01.11.80.308.6300.0000"/>
    <n v="9.4"/>
    <s v="11"/>
    <s v="6300"/>
    <n v="33277.69"/>
    <n v="9.4"/>
    <s v="CREDITOR"/>
    <n v="0"/>
    <n v="0"/>
    <n v="0"/>
    <n v="0"/>
    <n v="9.4"/>
  </r>
  <r>
    <n v="61290036"/>
    <s v="N"/>
    <n v="21375125"/>
    <s v="3000015437070010"/>
    <s v="CIVIL"/>
    <d v="2023-06-30T00:00:00"/>
    <d v="2023-07-14T10:00:03"/>
    <m/>
    <d v="2023-07-14T00:00:00"/>
    <n v="1783"/>
    <n v="19751"/>
    <s v="61290036"/>
    <s v="61290036"/>
    <m/>
    <m/>
    <n v="22799970"/>
    <m/>
    <m/>
    <m/>
    <s v="SOLFIN"/>
    <s v="SOLFIN"/>
    <s v="CCMS"/>
    <n v="21375125"/>
    <n v="2967.99"/>
    <m/>
    <s v="N"/>
    <n v="3"/>
    <d v="2023-07-14T10:00:11"/>
    <s v="Y"/>
    <s v="Court Fee"/>
    <s v="Public Law Children"/>
    <s v="Non Expert Disbursement"/>
    <s v="Katrina Gaskell"/>
    <s v="Y"/>
    <n v="167"/>
    <n v="0"/>
    <x v="10"/>
    <s v="VALIDATED"/>
    <n v="1"/>
    <s v="01.11.80.308.6300.0000"/>
    <n v="167"/>
    <s v="11"/>
    <s v="6300"/>
    <n v="33277.69"/>
    <n v="167"/>
    <s v="CREDITOR"/>
    <n v="0"/>
    <n v="0"/>
    <n v="0"/>
    <n v="0"/>
    <n v="167"/>
  </r>
  <r>
    <n v="59679428"/>
    <s v="N"/>
    <n v="21327464"/>
    <s v="3000014061650024"/>
    <s v="CIVIL"/>
    <d v="2023-06-21T00:00:00"/>
    <d v="2023-07-04T19:00:44"/>
    <m/>
    <d v="2023-07-04T00:00:00"/>
    <n v="1783"/>
    <n v="19751"/>
    <s v="59679428"/>
    <s v="59679428"/>
    <m/>
    <m/>
    <n v="22736612"/>
    <m/>
    <m/>
    <m/>
    <s v="SOLFIN"/>
    <s v="SOLFIN"/>
    <s v="CCMS"/>
    <n v="21327464"/>
    <n v="1913.11"/>
    <m/>
    <s v="N"/>
    <n v="3"/>
    <d v="2023-07-04T19:00:47"/>
    <s v="Y"/>
    <s v="Preparation - drafting instructions"/>
    <s v="VHCC"/>
    <s v="Profit Cost"/>
    <s v="OFE"/>
    <s v="Y"/>
    <n v="17.52"/>
    <n v="3.5"/>
    <x v="1"/>
    <s v="VALIDATED"/>
    <n v="1"/>
    <s v="01.11.80.305.6100.0000"/>
    <n v="17.52"/>
    <s v="11"/>
    <s v="6100"/>
    <n v="33277.69"/>
    <n v="17.52"/>
    <s v="CREDITOR"/>
    <n v="0"/>
    <n v="0"/>
    <n v="0"/>
    <n v="0"/>
    <n v="17.52"/>
  </r>
  <r>
    <n v="59679428"/>
    <s v="N"/>
    <n v="21327464"/>
    <s v="3000014061650024"/>
    <s v="CIVIL"/>
    <d v="2023-06-21T00:00:00"/>
    <d v="2023-07-04T19:00:44"/>
    <m/>
    <d v="2023-07-04T00:00:00"/>
    <n v="1783"/>
    <n v="19751"/>
    <s v="59679428"/>
    <s v="59679428"/>
    <m/>
    <m/>
    <n v="22736612"/>
    <m/>
    <m/>
    <m/>
    <s v="SOLFIN"/>
    <s v="SOLFIN"/>
    <s v="CCMS"/>
    <n v="21327464"/>
    <n v="1913.11"/>
    <m/>
    <s v="N"/>
    <n v="16"/>
    <d v="2023-07-04T19:00:47"/>
    <s v="Y"/>
    <s v="Preparation - drafting consent orde"/>
    <s v="VHCC"/>
    <s v="Profit Cost"/>
    <s v="KJ"/>
    <s v="Y"/>
    <n v="15.19"/>
    <n v="3.04"/>
    <x v="1"/>
    <s v="VALIDATED"/>
    <n v="1"/>
    <s v="01.11.80.305.6100.0000"/>
    <n v="15.19"/>
    <s v="11"/>
    <s v="6100"/>
    <n v="33277.69"/>
    <n v="15.19"/>
    <s v="CREDITOR"/>
    <n v="0"/>
    <n v="0"/>
    <n v="0"/>
    <n v="0"/>
    <n v="15.19"/>
  </r>
  <r>
    <n v="61487226"/>
    <s v="N"/>
    <n v="21349427"/>
    <s v="3000015612790007"/>
    <s v="CIVIL"/>
    <d v="2023-06-29T00:00:00"/>
    <d v="2023-07-10T19:01:40"/>
    <m/>
    <d v="2023-07-10T00:00:00"/>
    <n v="1783"/>
    <n v="19751"/>
    <s v="61487226"/>
    <s v="61487226"/>
    <m/>
    <m/>
    <n v="22788046"/>
    <m/>
    <m/>
    <m/>
    <s v="SOLFIN"/>
    <s v="SOLFIN"/>
    <s v="CCMS"/>
    <n v="21349427"/>
    <n v="11436.16"/>
    <m/>
    <s v="N"/>
    <n v="5"/>
    <d v="2023-07-10T19:01:49"/>
    <s v="Y"/>
    <s v="Solicitor Travel Expenses"/>
    <s v="Public Law Children"/>
    <s v="Non Expert Disbursement"/>
    <s v="Catherine Wooley"/>
    <s v="Y"/>
    <n v="9.800000000000001"/>
    <n v="0"/>
    <x v="2"/>
    <s v="VALIDATED"/>
    <n v="1"/>
    <s v="01.11.80.308.6300.0000"/>
    <n v="9.800000000000001"/>
    <s v="11"/>
    <s v="6300"/>
    <n v="33277.69"/>
    <n v="9.800000000000001"/>
    <s v="CREDITOR"/>
    <n v="0"/>
    <n v="0"/>
    <n v="0"/>
    <n v="0"/>
    <n v="9.800000000000001"/>
  </r>
  <r>
    <n v="59924342"/>
    <s v="N"/>
    <n v="21360671"/>
    <s v="3000014263530013"/>
    <s v="CIVIL"/>
    <d v="2023-06-29T00:00:00"/>
    <d v="2023-07-11T19:00:25"/>
    <m/>
    <d v="2023-07-11T00:00:00"/>
    <n v="1783"/>
    <n v="19751"/>
    <s v="59924342"/>
    <s v="59924342"/>
    <m/>
    <m/>
    <n v="22786952"/>
    <m/>
    <m/>
    <m/>
    <s v="SOLFIN"/>
    <s v="SOLFIN"/>
    <s v="CCMS"/>
    <n v="21360671"/>
    <n v="17585.75"/>
    <m/>
    <s v="N"/>
    <n v="4"/>
    <d v="2023-07-11T19:00:29"/>
    <s v="Y"/>
    <s v="Disbursements (Summary)"/>
    <s v="Care Remuneration Hourly Rates"/>
    <s v="Non Expert Disbursement"/>
    <s v="XXX"/>
    <s v="Y"/>
    <n v="278.28"/>
    <n v="55.66"/>
    <x v="7"/>
    <s v="VALIDATED"/>
    <n v="1"/>
    <s v="01.11.80.308.6300.0000"/>
    <n v="278.28"/>
    <s v="11"/>
    <s v="6300"/>
    <n v="33277.69"/>
    <n v="278.28"/>
    <s v="CREDITOR"/>
    <n v="0"/>
    <n v="0"/>
    <n v="0"/>
    <n v="0"/>
    <n v="278.28"/>
  </r>
  <r>
    <n v="59679428"/>
    <s v="N"/>
    <n v="21327464"/>
    <s v="3000014061650024"/>
    <s v="CIVIL"/>
    <d v="2023-06-21T00:00:00"/>
    <d v="2023-07-04T19:00:44"/>
    <m/>
    <d v="2023-07-04T00:00:00"/>
    <n v="1783"/>
    <n v="19751"/>
    <s v="59679428"/>
    <s v="59679428"/>
    <m/>
    <m/>
    <n v="22736612"/>
    <m/>
    <m/>
    <m/>
    <s v="SOLFIN"/>
    <s v="SOLFIN"/>
    <s v="CCMS"/>
    <n v="21327464"/>
    <n v="1913.11"/>
    <m/>
    <s v="N"/>
    <n v="4"/>
    <d v="2023-07-04T19:00:47"/>
    <s v="Y"/>
    <s v="Preparation - drafting pleadings"/>
    <s v="VHCC"/>
    <s v="Profit Cost"/>
    <s v="KJ"/>
    <s v="Y"/>
    <n v="60.74"/>
    <n v="12.15"/>
    <x v="1"/>
    <s v="VALIDATED"/>
    <n v="1"/>
    <s v="01.11.80.305.6100.0000"/>
    <n v="60.74"/>
    <s v="11"/>
    <s v="6100"/>
    <n v="33277.69"/>
    <n v="60.74"/>
    <s v="CREDITOR"/>
    <n v="0"/>
    <n v="0"/>
    <n v="0"/>
    <n v="0"/>
    <n v="60.74"/>
  </r>
  <r>
    <n v="61236485"/>
    <s v="N"/>
    <n v="21350167"/>
    <s v="3000015401790029"/>
    <s v="CIVIL"/>
    <d v="2023-06-30T00:00:00"/>
    <d v="2023-07-10T19:01:40"/>
    <m/>
    <d v="2023-07-10T00:00:00"/>
    <n v="1783"/>
    <n v="19751"/>
    <s v="61236485"/>
    <s v="61236485"/>
    <m/>
    <m/>
    <n v="22799056"/>
    <m/>
    <m/>
    <m/>
    <s v="SOLFIN"/>
    <s v="SOLFIN"/>
    <s v="CCMS"/>
    <n v="21350167"/>
    <n v="14552.27"/>
    <m/>
    <s v="N"/>
    <n v="2"/>
    <d v="2023-07-10T19:02:16"/>
    <s v="Y"/>
    <s v="Disbursements (Summary)"/>
    <s v="Public Law Children"/>
    <s v="Non Expert Disbursement"/>
    <s v="Sajeda Alli"/>
    <s v="Y"/>
    <n v="714"/>
    <n v="142.8"/>
    <x v="2"/>
    <s v="VALIDATED"/>
    <n v="1"/>
    <s v="01.11.80.308.6300.0000"/>
    <n v="714"/>
    <s v="11"/>
    <s v="6300"/>
    <n v="33277.69"/>
    <n v="714"/>
    <s v="CREDITOR"/>
    <n v="0"/>
    <n v="0"/>
    <n v="0"/>
    <n v="0"/>
    <n v="714"/>
  </r>
  <r>
    <n v="62164045"/>
    <s v="N"/>
    <n v="21344085"/>
    <s v="3000016176230001"/>
    <s v="CIVIL"/>
    <d v="2023-06-30T00:00:00"/>
    <d v="2023-07-07T19:03:00"/>
    <m/>
    <d v="2023-07-07T00:00:00"/>
    <n v="1783"/>
    <n v="19751"/>
    <s v="62164045"/>
    <s v="62164045"/>
    <m/>
    <m/>
    <n v="22797552"/>
    <m/>
    <m/>
    <m/>
    <s v="SOLFIN"/>
    <s v="SOLFIN"/>
    <s v="CCMS"/>
    <n v="21344085"/>
    <n v="2150.53"/>
    <m/>
    <s v="N"/>
    <n v="32"/>
    <d v="2023-07-07T19:03:23"/>
    <s v="Y"/>
    <s v="Preparation - drafting bill/claim f"/>
    <s v="Prescribed Hourly Rates"/>
    <s v="Profit Cost"/>
    <s v="Other"/>
    <s v="Y"/>
    <n v="131.5"/>
    <n v="26.3"/>
    <x v="9"/>
    <s v="VALIDATED"/>
    <n v="1"/>
    <s v="01.11.80.305.6100.0000"/>
    <n v="131.5"/>
    <s v="11"/>
    <s v="6100"/>
    <n v="33277.69"/>
    <n v="131.5"/>
    <s v="CREDITOR"/>
    <n v="0"/>
    <n v="0"/>
    <n v="0"/>
    <n v="0"/>
    <n v="131.5"/>
  </r>
  <r>
    <n v="61290036"/>
    <s v="N"/>
    <n v="21375125"/>
    <s v="3000015437070010"/>
    <s v="CIVIL"/>
    <d v="2023-06-30T00:00:00"/>
    <d v="2023-07-14T10:00:03"/>
    <m/>
    <d v="2023-07-14T00:00:00"/>
    <n v="1783"/>
    <n v="19751"/>
    <s v="61290036"/>
    <s v="61290036"/>
    <m/>
    <m/>
    <n v="22799970"/>
    <m/>
    <m/>
    <m/>
    <s v="SOLFIN"/>
    <s v="SOLFIN"/>
    <s v="CCMS"/>
    <n v="21375125"/>
    <n v="2967.99"/>
    <m/>
    <s v="N"/>
    <n v="6"/>
    <d v="2023-07-14T10:00:11"/>
    <s v="Y"/>
    <s v="Solicitors Fixed Fee"/>
    <s v="Public Law Children"/>
    <s v="Profit Cost"/>
    <s v="Katrina Gaskell"/>
    <s v="Y"/>
    <n v="1911"/>
    <n v="382.2"/>
    <x v="10"/>
    <s v="VALIDATED"/>
    <n v="1"/>
    <s v="01.11.80.308.6100.0000"/>
    <n v="1911"/>
    <s v="11"/>
    <s v="6100"/>
    <n v="33277.69"/>
    <n v="1911"/>
    <s v="CREDITOR"/>
    <n v="0"/>
    <n v="0"/>
    <n v="0"/>
    <n v="0"/>
    <n v="1911"/>
  </r>
  <r>
    <n v="59924342"/>
    <s v="N"/>
    <n v="21360671"/>
    <s v="3000014263530013"/>
    <s v="CIVIL"/>
    <d v="2023-06-29T00:00:00"/>
    <d v="2023-07-11T19:00:25"/>
    <m/>
    <d v="2023-07-11T00:00:00"/>
    <n v="1783"/>
    <n v="19751"/>
    <s v="59924342"/>
    <s v="59924342"/>
    <m/>
    <m/>
    <n v="22786952"/>
    <m/>
    <m/>
    <m/>
    <s v="SOLFIN"/>
    <s v="SOLFIN"/>
    <s v="CCMS"/>
    <n v="21360671"/>
    <n v="17585.75"/>
    <m/>
    <s v="N"/>
    <n v="11"/>
    <d v="2023-07-11T19:00:29"/>
    <s v="Y"/>
    <s v="Advocates Meeting"/>
    <s v="Public Law Children"/>
    <s v="Advocacy"/>
    <s v="SF"/>
    <s v="Y"/>
    <n v="140.99"/>
    <n v="28.2"/>
    <x v="7"/>
    <s v="VALIDATED"/>
    <n v="1"/>
    <s v="01.11.80.308.6100.0000"/>
    <n v="140.99"/>
    <s v="11"/>
    <s v="6100"/>
    <n v="33277.69"/>
    <n v="140.99"/>
    <s v="CREDITOR"/>
    <n v="0"/>
    <n v="0"/>
    <n v="0"/>
    <n v="0"/>
    <n v="140.99"/>
  </r>
  <r>
    <n v="52945554"/>
    <s v="N"/>
    <n v="21328011"/>
    <s v="3000012728120027"/>
    <s v="CIVIL"/>
    <d v="2023-06-27T00:00:00"/>
    <d v="2023-07-04T19:00:44"/>
    <m/>
    <d v="2023-07-04T00:00:00"/>
    <n v="1783"/>
    <n v="19751"/>
    <s v="52945554"/>
    <s v="52945554"/>
    <m/>
    <m/>
    <n v="22766196"/>
    <m/>
    <m/>
    <m/>
    <s v="SOLFIN"/>
    <s v="SOLFIN"/>
    <s v="CCMS"/>
    <n v="21328011"/>
    <n v="16813.3"/>
    <m/>
    <s v="N"/>
    <n v="6"/>
    <d v="2023-07-04T19:01:01"/>
    <s v="Y"/>
    <s v="DNA - test of sample"/>
    <s v="VHCC"/>
    <s v="Expert Disbursement"/>
    <s v="S. Alli"/>
    <s v="Y"/>
    <n v="100.72"/>
    <n v="20.14"/>
    <x v="1"/>
    <s v="VALIDATED"/>
    <n v="1"/>
    <s v="01.11.80.308.6300.0000"/>
    <n v="100.72"/>
    <s v="11"/>
    <s v="6300"/>
    <n v="33277.69"/>
    <n v="100.72"/>
    <s v="CREDITOR"/>
    <n v="0"/>
    <n v="0"/>
    <n v="0"/>
    <n v="0"/>
    <n v="100.72"/>
  </r>
  <r>
    <n v="61487226"/>
    <s v="N"/>
    <n v="21349427"/>
    <s v="3000015612790007"/>
    <s v="CIVIL"/>
    <d v="2023-06-29T00:00:00"/>
    <d v="2023-07-10T19:01:40"/>
    <m/>
    <d v="2023-07-10T00:00:00"/>
    <n v="1783"/>
    <n v="19751"/>
    <s v="61487226"/>
    <s v="61487226"/>
    <m/>
    <m/>
    <n v="22788046"/>
    <m/>
    <m/>
    <m/>
    <s v="SOLFIN"/>
    <s v="SOLFIN"/>
    <s v="CCMS"/>
    <n v="21349427"/>
    <n v="11436.16"/>
    <m/>
    <s v="N"/>
    <n v="14"/>
    <d v="2023-07-10T19:01:49"/>
    <s v="Y"/>
    <s v="Hearing Unit 5.01 - 7.30 Hours"/>
    <s v="Public Law Children"/>
    <s v="Advocacy"/>
    <s v="Catherine Woolley"/>
    <s v="Y"/>
    <n v="715.38"/>
    <n v="143.08"/>
    <x v="2"/>
    <s v="VALIDATED"/>
    <n v="1"/>
    <s v="01.11.80.308.6100.0000"/>
    <n v="715.38"/>
    <s v="11"/>
    <s v="6100"/>
    <n v="33277.69"/>
    <n v="715.38"/>
    <s v="CREDITOR"/>
    <n v="0"/>
    <n v="0"/>
    <n v="0"/>
    <n v="0"/>
    <n v="715.38"/>
  </r>
  <r>
    <n v="62164045"/>
    <s v="N"/>
    <n v="21344085"/>
    <s v="3000016176230001"/>
    <s v="CIVIL"/>
    <d v="2023-06-30T00:00:00"/>
    <d v="2023-07-07T19:03:00"/>
    <m/>
    <d v="2023-07-07T00:00:00"/>
    <n v="1783"/>
    <n v="19751"/>
    <s v="62164045"/>
    <s v="62164045"/>
    <m/>
    <m/>
    <n v="22797552"/>
    <m/>
    <m/>
    <m/>
    <s v="SOLFIN"/>
    <s v="SOLFIN"/>
    <s v="CCMS"/>
    <n v="21344085"/>
    <n v="2150.53"/>
    <m/>
    <s v="N"/>
    <n v="15"/>
    <d v="2023-07-07T19:03:23"/>
    <s v="Y"/>
    <s v="Preparation - other"/>
    <s v="Prescribed Hourly Rates"/>
    <s v="Profit Cost"/>
    <s v="Catherine Woolley"/>
    <s v="Y"/>
    <n v="8.550000000000001"/>
    <n v="1.71"/>
    <x v="9"/>
    <s v="VALIDATED"/>
    <n v="1"/>
    <s v="01.11.80.305.6100.0000"/>
    <n v="8.550000000000001"/>
    <s v="11"/>
    <s v="6100"/>
    <n v="33277.69"/>
    <n v="8.550000000000001"/>
    <s v="CREDITOR"/>
    <n v="0"/>
    <n v="0"/>
    <n v="0"/>
    <n v="0"/>
    <n v="8.550000000000001"/>
  </r>
  <r>
    <n v="61313239"/>
    <s v="N"/>
    <n v="21343877"/>
    <s v="3000015467670010"/>
    <s v="CIVIL"/>
    <d v="2023-06-27T00:00:00"/>
    <d v="2023-07-07T19:03:00"/>
    <m/>
    <d v="2023-07-07T00:00:00"/>
    <n v="1783"/>
    <n v="19751"/>
    <s v="61313239"/>
    <s v="61313239"/>
    <m/>
    <m/>
    <n v="22768748"/>
    <m/>
    <m/>
    <m/>
    <s v="SOLFIN"/>
    <s v="SOLFIN"/>
    <s v="CCMS"/>
    <n v="21343877"/>
    <n v="15072.79"/>
    <m/>
    <s v="N"/>
    <n v="3"/>
    <d v="2023-07-07T19:03:15"/>
    <s v="Y"/>
    <s v="Profit Costs (Summary)"/>
    <s v="Public Law Children"/>
    <s v="Profit Cost"/>
    <s v="Catherine Woolley"/>
    <s v="Y"/>
    <n v="11314.81"/>
    <n v="2262.96"/>
    <x v="9"/>
    <s v="VALIDATED"/>
    <n v="1"/>
    <s v="01.11.80.308.6100.0000"/>
    <n v="11314.81"/>
    <s v="11"/>
    <s v="6100"/>
    <n v="33277.69"/>
    <n v="11314.81"/>
    <s v="CREDITOR"/>
    <n v="0"/>
    <n v="0"/>
    <n v="0"/>
    <n v="0"/>
    <n v="11314.81"/>
  </r>
  <r>
    <n v="59679428"/>
    <s v="N"/>
    <n v="21327464"/>
    <s v="3000014061650024"/>
    <s v="CIVIL"/>
    <d v="2023-06-21T00:00:00"/>
    <d v="2023-07-04T19:00:44"/>
    <m/>
    <d v="2023-07-04T00:00:00"/>
    <n v="1783"/>
    <n v="19751"/>
    <s v="59679428"/>
    <s v="59679428"/>
    <m/>
    <m/>
    <n v="22736612"/>
    <m/>
    <m/>
    <m/>
    <s v="SOLFIN"/>
    <s v="SOLFIN"/>
    <s v="CCMS"/>
    <n v="21327464"/>
    <n v="1913.11"/>
    <m/>
    <s v="N"/>
    <n v="25"/>
    <d v="2023-07-04T19:00:47"/>
    <s v="Y"/>
    <s v="Preparation - drafting statement"/>
    <s v="VHCC"/>
    <s v="Profit Cost"/>
    <s v="KJ"/>
    <s v="Y"/>
    <n v="15.19"/>
    <n v="3.04"/>
    <x v="1"/>
    <s v="VALIDATED"/>
    <n v="1"/>
    <s v="01.11.80.305.6100.0000"/>
    <n v="15.19"/>
    <s v="11"/>
    <s v="6100"/>
    <n v="33277.69"/>
    <n v="15.19"/>
    <s v="CREDITOR"/>
    <n v="0"/>
    <n v="0"/>
    <n v="0"/>
    <n v="0"/>
    <n v="15.19"/>
  </r>
  <r>
    <n v="59679428"/>
    <s v="N"/>
    <n v="21327464"/>
    <s v="3000014061650024"/>
    <s v="CIVIL"/>
    <d v="2023-06-21T00:00:00"/>
    <d v="2023-07-04T19:00:44"/>
    <m/>
    <d v="2023-07-04T00:00:00"/>
    <n v="1783"/>
    <n v="19751"/>
    <s v="59679428"/>
    <s v="59679428"/>
    <m/>
    <m/>
    <n v="22736612"/>
    <m/>
    <m/>
    <m/>
    <s v="SOLFIN"/>
    <s v="SOLFIN"/>
    <s v="CCMS"/>
    <n v="21327464"/>
    <n v="1913.11"/>
    <m/>
    <s v="N"/>
    <n v="5"/>
    <d v="2023-07-04T19:00:47"/>
    <s v="Y"/>
    <s v="Preparation - drafting application"/>
    <s v="VHCC"/>
    <s v="Profit Cost"/>
    <s v="KJ"/>
    <s v="Y"/>
    <n v="22.78"/>
    <n v="4.56"/>
    <x v="1"/>
    <s v="VALIDATED"/>
    <n v="1"/>
    <s v="01.11.80.305.6100.0000"/>
    <n v="22.78"/>
    <s v="11"/>
    <s v="6100"/>
    <n v="33277.69"/>
    <n v="22.78"/>
    <s v="CREDITOR"/>
    <n v="0"/>
    <n v="0"/>
    <n v="0"/>
    <n v="0"/>
    <n v="22.78"/>
  </r>
  <r>
    <n v="62164045"/>
    <s v="N"/>
    <n v="21344085"/>
    <s v="3000016176230001"/>
    <s v="CIVIL"/>
    <d v="2023-06-30T00:00:00"/>
    <d v="2023-07-07T19:03:00"/>
    <m/>
    <d v="2023-07-07T00:00:00"/>
    <n v="1783"/>
    <n v="19751"/>
    <s v="62164045"/>
    <s v="62164045"/>
    <m/>
    <m/>
    <n v="22797552"/>
    <m/>
    <m/>
    <m/>
    <s v="SOLFIN"/>
    <s v="SOLFIN"/>
    <s v="CCMS"/>
    <n v="21344085"/>
    <n v="2150.53"/>
    <m/>
    <s v="N"/>
    <n v="19"/>
    <d v="2023-07-07T19:03:23"/>
    <s v="Y"/>
    <s v="Attendance upon client"/>
    <s v="Prescribed Hourly Rates"/>
    <s v="Profit Cost"/>
    <s v="Catherine Woolley"/>
    <s v="Y"/>
    <n v="85.48"/>
    <n v="17.1"/>
    <x v="9"/>
    <s v="VALIDATED"/>
    <n v="1"/>
    <s v="01.11.80.305.6100.0000"/>
    <n v="85.48"/>
    <s v="11"/>
    <s v="6100"/>
    <n v="33277.69"/>
    <n v="85.48"/>
    <s v="CREDITOR"/>
    <n v="0"/>
    <n v="0"/>
    <n v="0"/>
    <n v="0"/>
    <n v="85.48"/>
  </r>
  <r>
    <n v="61726895"/>
    <s v="N"/>
    <n v="21322576"/>
    <s v="3000015812590007"/>
    <s v="CIVIL"/>
    <d v="2023-06-29T00:00:00"/>
    <d v="2023-07-03T19:05:36"/>
    <m/>
    <d v="2023-07-03T00:00:00"/>
    <n v="1783"/>
    <n v="19751"/>
    <s v="61726895"/>
    <s v="61726895"/>
    <m/>
    <m/>
    <n v="22791116"/>
    <m/>
    <m/>
    <m/>
    <s v="SOLPOA"/>
    <s v="SOLPOA"/>
    <s v="CCMS"/>
    <n v="21322576"/>
    <n v="952.09"/>
    <m/>
    <s v="N"/>
    <n v="1"/>
    <d v="2023-07-03T19:05:38"/>
    <s v="N"/>
    <s v="Solicitors Fixed Fee"/>
    <s v="Public Law Children"/>
    <s v="Profit Cost"/>
    <s v="Stacy Fox"/>
    <s v="N"/>
    <n v="793.41"/>
    <n v="158.68"/>
    <x v="3"/>
    <s v="VALIDATED"/>
    <n v="1"/>
    <s v="01.11.80.308.2012.0000"/>
    <n v="793.41"/>
    <s v="11"/>
    <s v="2012"/>
    <n v="33277.69"/>
    <n v="793.41"/>
    <s v="CREDITOR"/>
    <n v="793.41"/>
    <n v="198.3525"/>
    <n v="0"/>
    <n v="0"/>
    <n v="0"/>
  </r>
  <r>
    <n v="61487226"/>
    <s v="N"/>
    <n v="21349427"/>
    <s v="3000015612790007"/>
    <s v="CIVIL"/>
    <d v="2023-06-29T00:00:00"/>
    <d v="2023-07-10T19:01:40"/>
    <m/>
    <d v="2023-07-10T00:00:00"/>
    <n v="1783"/>
    <n v="19751"/>
    <s v="61487226"/>
    <s v="61487226"/>
    <m/>
    <m/>
    <n v="22788046"/>
    <m/>
    <m/>
    <m/>
    <s v="SOLFIN"/>
    <s v="SOLFIN"/>
    <s v="CCMS"/>
    <n v="21349427"/>
    <n v="11436.16"/>
    <m/>
    <s v="N"/>
    <n v="7"/>
    <d v="2023-07-10T19:01:49"/>
    <s v="Y"/>
    <s v="Solicitor Travel Expenses"/>
    <s v="Public Law Children"/>
    <s v="Non Expert Disbursement"/>
    <s v="Catherine Wooley"/>
    <s v="Y"/>
    <n v="6.1"/>
    <n v="0"/>
    <x v="2"/>
    <s v="VALIDATED"/>
    <n v="1"/>
    <s v="01.11.80.308.6300.0000"/>
    <n v="6.1"/>
    <s v="11"/>
    <s v="6300"/>
    <n v="33277.69"/>
    <n v="6.1"/>
    <s v="CREDITOR"/>
    <n v="0"/>
    <n v="0"/>
    <n v="0"/>
    <n v="0"/>
    <n v="6.1"/>
  </r>
  <r>
    <n v="62164045"/>
    <s v="N"/>
    <n v="21344085"/>
    <s v="3000016176230001"/>
    <s v="CIVIL"/>
    <d v="2023-06-30T00:00:00"/>
    <d v="2023-07-07T19:03:00"/>
    <m/>
    <d v="2023-07-07T00:00:00"/>
    <n v="1783"/>
    <n v="19751"/>
    <s v="62164045"/>
    <s v="62164045"/>
    <m/>
    <m/>
    <n v="22797552"/>
    <m/>
    <m/>
    <m/>
    <s v="SOLFIN"/>
    <s v="SOLFIN"/>
    <s v="CCMS"/>
    <n v="21344085"/>
    <n v="2150.53"/>
    <m/>
    <s v="N"/>
    <n v="27"/>
    <d v="2023-07-07T19:03:23"/>
    <s v="Y"/>
    <s v="Routine Letter Out"/>
    <s v="Prescribed Hourly Rates"/>
    <s v="Profit Cost"/>
    <s v="Other"/>
    <s v="Y"/>
    <n v="349.25"/>
    <n v="69.81999999999999"/>
    <x v="9"/>
    <s v="VALIDATED"/>
    <n v="1"/>
    <s v="01.11.80.305.6100.0000"/>
    <n v="349.25"/>
    <s v="11"/>
    <s v="6100"/>
    <n v="33277.69"/>
    <n v="349.25"/>
    <s v="CREDITOR"/>
    <n v="0"/>
    <n v="0"/>
    <n v="0"/>
    <n v="0"/>
    <n v="349.25"/>
  </r>
  <r>
    <n v="62164045"/>
    <s v="N"/>
    <n v="21344085"/>
    <s v="3000016176230001"/>
    <s v="CIVIL"/>
    <d v="2023-06-30T00:00:00"/>
    <d v="2023-07-07T19:03:00"/>
    <m/>
    <d v="2023-07-07T00:00:00"/>
    <n v="1783"/>
    <n v="19751"/>
    <s v="62164045"/>
    <s v="62164045"/>
    <m/>
    <m/>
    <n v="22797552"/>
    <m/>
    <m/>
    <m/>
    <s v="SOLFIN"/>
    <s v="SOLFIN"/>
    <s v="CCMS"/>
    <n v="21344085"/>
    <n v="2150.53"/>
    <m/>
    <s v="N"/>
    <n v="25"/>
    <d v="2023-07-07T19:03:23"/>
    <s v="Y"/>
    <s v="Routine Letter In"/>
    <s v="Prescribed Hourly Rates"/>
    <s v="Profit Cost"/>
    <s v="Catherine Woolley"/>
    <s v="Y"/>
    <n v="204.75"/>
    <n v="40.96"/>
    <x v="9"/>
    <s v="VALIDATED"/>
    <n v="1"/>
    <s v="01.11.80.305.6100.0000"/>
    <n v="204.75"/>
    <s v="11"/>
    <s v="6100"/>
    <n v="33277.69"/>
    <n v="204.75"/>
    <s v="CREDITOR"/>
    <n v="0"/>
    <n v="0"/>
    <n v="0"/>
    <n v="0"/>
    <n v="204.75"/>
  </r>
  <r>
    <n v="61338095"/>
    <s v="N"/>
    <n v="21323120"/>
    <s v="3000015479690007"/>
    <s v="CIVIL"/>
    <d v="2023-06-29T00:00:00"/>
    <d v="2023-07-03T19:05:36"/>
    <m/>
    <d v="2023-07-03T00:00:00"/>
    <n v="1783"/>
    <n v="19751"/>
    <s v="61338095"/>
    <s v="61338095"/>
    <m/>
    <m/>
    <n v="22790644"/>
    <m/>
    <m/>
    <m/>
    <s v="SOLPOA"/>
    <s v="SOLPOA"/>
    <s v="CCMS"/>
    <n v="21323120"/>
    <n v="344.9"/>
    <m/>
    <s v="N"/>
    <n v="1"/>
    <d v="2023-07-03T19:05:41"/>
    <s v="N"/>
    <s v="Profit Cost"/>
    <s v="Profit Cost"/>
    <s v="Profit Cost"/>
    <s v="Stacy Fox"/>
    <s v="N"/>
    <n v="287.42"/>
    <n v="57.48"/>
    <x v="3"/>
    <s v="VALIDATED"/>
    <n v="1"/>
    <s v="01.11.80.307.2012.0000"/>
    <n v="287.42"/>
    <s v="11"/>
    <s v="2012"/>
    <n v="33277.69"/>
    <n v="287.42"/>
    <s v="CREDITOR"/>
    <n v="287.42"/>
    <n v="71.855"/>
    <n v="0"/>
    <n v="0"/>
    <n v="0"/>
  </r>
  <r>
    <n v="59679428"/>
    <s v="N"/>
    <n v="21327464"/>
    <s v="3000014061650024"/>
    <s v="CIVIL"/>
    <d v="2023-06-21T00:00:00"/>
    <d v="2023-07-04T19:00:44"/>
    <m/>
    <d v="2023-07-04T00:00:00"/>
    <n v="1783"/>
    <n v="19751"/>
    <s v="59679428"/>
    <s v="59679428"/>
    <m/>
    <m/>
    <n v="22736612"/>
    <m/>
    <m/>
    <m/>
    <s v="SOLFIN"/>
    <s v="SOLFIN"/>
    <s v="CCMS"/>
    <n v="21327464"/>
    <n v="1913.11"/>
    <m/>
    <s v="N"/>
    <n v="27"/>
    <d v="2023-07-04T19:00:47"/>
    <s v="Y"/>
    <s v="Preparation - other"/>
    <s v="VHCC"/>
    <s v="Profit Cost"/>
    <s v="OFE"/>
    <s v="Y"/>
    <n v="5.84"/>
    <n v="1.17"/>
    <x v="1"/>
    <s v="VALIDATED"/>
    <n v="1"/>
    <s v="01.11.80.305.6100.0000"/>
    <n v="5.84"/>
    <s v="11"/>
    <s v="6100"/>
    <n v="33277.69"/>
    <n v="5.84"/>
    <s v="CREDITOR"/>
    <n v="0"/>
    <n v="0"/>
    <n v="0"/>
    <n v="0"/>
    <n v="5.84"/>
  </r>
  <r>
    <n v="59679428"/>
    <s v="N"/>
    <n v="21327464"/>
    <s v="3000014061650024"/>
    <s v="CIVIL"/>
    <d v="2023-06-21T00:00:00"/>
    <d v="2023-07-04T19:00:44"/>
    <m/>
    <d v="2023-07-04T00:00:00"/>
    <n v="1783"/>
    <n v="19751"/>
    <s v="59679428"/>
    <s v="59679428"/>
    <m/>
    <m/>
    <n v="22736612"/>
    <m/>
    <m/>
    <m/>
    <s v="SOLFIN"/>
    <s v="SOLFIN"/>
    <s v="CCMS"/>
    <n v="21327464"/>
    <n v="1913.11"/>
    <m/>
    <s v="N"/>
    <n v="13"/>
    <d v="2023-07-04T19:00:47"/>
    <s v="Y"/>
    <s v="Preparation - other"/>
    <s v="VHCC"/>
    <s v="Profit Cost"/>
    <s v="OFE"/>
    <s v="Y"/>
    <n v="5.84"/>
    <n v="1.17"/>
    <x v="1"/>
    <s v="VALIDATED"/>
    <n v="1"/>
    <s v="01.11.80.305.6100.0000"/>
    <n v="5.84"/>
    <s v="11"/>
    <s v="6100"/>
    <n v="33277.69"/>
    <n v="5.84"/>
    <s v="CREDITOR"/>
    <n v="0"/>
    <n v="0"/>
    <n v="0"/>
    <n v="0"/>
    <n v="5.84"/>
  </r>
  <r>
    <n v="59679428"/>
    <s v="N"/>
    <n v="21327464"/>
    <s v="3000014061650024"/>
    <s v="CIVIL"/>
    <d v="2023-06-21T00:00:00"/>
    <d v="2023-07-04T19:00:44"/>
    <m/>
    <d v="2023-07-04T00:00:00"/>
    <n v="1783"/>
    <n v="19751"/>
    <s v="59679428"/>
    <s v="59679428"/>
    <m/>
    <m/>
    <n v="22736612"/>
    <m/>
    <m/>
    <m/>
    <s v="SOLFIN"/>
    <s v="SOLFIN"/>
    <s v="CCMS"/>
    <n v="21327464"/>
    <n v="1913.11"/>
    <m/>
    <s v="N"/>
    <n v="24"/>
    <d v="2023-07-04T19:00:47"/>
    <s v="Y"/>
    <s v="Preparation - drafting pleadings"/>
    <s v="VHCC"/>
    <s v="Profit Cost"/>
    <s v="KJ"/>
    <s v="Y"/>
    <n v="22.78"/>
    <n v="4.56"/>
    <x v="1"/>
    <s v="VALIDATED"/>
    <n v="1"/>
    <s v="01.11.80.305.6100.0000"/>
    <n v="22.78"/>
    <s v="11"/>
    <s v="6100"/>
    <n v="33277.69"/>
    <n v="22.78"/>
    <s v="CREDITOR"/>
    <n v="0"/>
    <n v="0"/>
    <n v="0"/>
    <n v="0"/>
    <n v="22.78"/>
  </r>
  <r>
    <n v="62164045"/>
    <s v="N"/>
    <n v="21344085"/>
    <s v="3000016176230001"/>
    <s v="CIVIL"/>
    <d v="2023-06-30T00:00:00"/>
    <d v="2023-07-07T19:03:00"/>
    <m/>
    <d v="2023-07-07T00:00:00"/>
    <n v="1783"/>
    <n v="19751"/>
    <s v="62164045"/>
    <s v="62164045"/>
    <m/>
    <m/>
    <n v="22797552"/>
    <m/>
    <m/>
    <m/>
    <s v="SOLFIN"/>
    <s v="SOLFIN"/>
    <s v="CCMS"/>
    <n v="21344085"/>
    <n v="2150.53"/>
    <m/>
    <s v="N"/>
    <n v="8"/>
    <d v="2023-07-07T19:03:23"/>
    <s v="Y"/>
    <s v="Preparation - drafting instructions"/>
    <s v="Prescribed Hourly Rates"/>
    <s v="Profit Cost"/>
    <s v="Catherine Woolley"/>
    <s v="Y"/>
    <n v="25.65"/>
    <n v="5.13"/>
    <x v="9"/>
    <s v="VALIDATED"/>
    <n v="1"/>
    <s v="01.11.80.305.6100.0000"/>
    <n v="25.65"/>
    <s v="11"/>
    <s v="6100"/>
    <n v="33277.69"/>
    <n v="25.65"/>
    <s v="CREDITOR"/>
    <n v="0"/>
    <n v="0"/>
    <n v="0"/>
    <n v="0"/>
    <n v="25.65"/>
  </r>
  <r>
    <n v="61808253"/>
    <s v="N"/>
    <n v="21320641"/>
    <s v="3000015844220010"/>
    <s v="CIVIL"/>
    <d v="2023-06-28T00:00:00"/>
    <d v="2023-07-03T19:04:52"/>
    <m/>
    <d v="2023-07-03T00:00:00"/>
    <n v="1783"/>
    <n v="19751"/>
    <s v="61808253"/>
    <s v="61808253"/>
    <m/>
    <m/>
    <n v="22779014"/>
    <m/>
    <m/>
    <m/>
    <s v="SOLPOA"/>
    <s v="SOLPOA"/>
    <s v="CCMS"/>
    <n v="21320641"/>
    <n v="132.4"/>
    <m/>
    <s v="N"/>
    <n v="1"/>
    <d v="2023-07-03T19:04:55"/>
    <s v="N"/>
    <s v="Non Expert Disbursement - Private L"/>
    <s v="Non Expert Disbursement - Priv"/>
    <s v="Non Expert Disbursement"/>
    <s v="Stacey Croft"/>
    <s v="N"/>
    <n v="132.4"/>
    <n v="0"/>
    <x v="3"/>
    <s v="VALIDATED"/>
    <n v="1"/>
    <s v="01.11.80.307.2012.0000"/>
    <n v="132.4"/>
    <s v="11"/>
    <s v="2012"/>
    <n v="33277.69"/>
    <n v="132.4"/>
    <s v="CREDITOR"/>
    <n v="132.4"/>
    <n v="0"/>
    <n v="0"/>
    <n v="0"/>
    <n v="0"/>
  </r>
  <r>
    <n v="61236485"/>
    <s v="N"/>
    <n v="21350167"/>
    <s v="3000015401790029"/>
    <s v="CIVIL"/>
    <d v="2023-06-30T00:00:00"/>
    <d v="2023-07-10T19:01:40"/>
    <m/>
    <d v="2023-07-10T00:00:00"/>
    <n v="1783"/>
    <n v="19751"/>
    <s v="61236485"/>
    <s v="61236485"/>
    <m/>
    <m/>
    <n v="22799056"/>
    <m/>
    <m/>
    <m/>
    <s v="SOLFIN"/>
    <s v="SOLFIN"/>
    <s v="CCMS"/>
    <n v="21350167"/>
    <n v="14552.27"/>
    <m/>
    <s v="N"/>
    <n v="1"/>
    <d v="2023-07-10T19:02:16"/>
    <s v="Y"/>
    <s v="Profit Costs (Summary)"/>
    <s v="Public Law Children"/>
    <s v="Profit Cost"/>
    <s v="Sajeda Alli"/>
    <s v="Y"/>
    <n v="9080.07"/>
    <n v="1816.01"/>
    <x v="2"/>
    <s v="VALIDATED"/>
    <n v="1"/>
    <s v="01.11.80.308.6100.0000"/>
    <n v="9080.07"/>
    <s v="11"/>
    <s v="6100"/>
    <n v="33277.69"/>
    <n v="9080.07"/>
    <s v="CREDITOR"/>
    <n v="0"/>
    <n v="0"/>
    <n v="0"/>
    <n v="0"/>
    <n v="9080.07"/>
  </r>
  <r>
    <n v="52945554"/>
    <s v="N"/>
    <n v="21328011"/>
    <s v="3000012728120027"/>
    <s v="CIVIL"/>
    <d v="2023-06-27T00:00:00"/>
    <d v="2023-07-04T19:00:44"/>
    <m/>
    <d v="2023-07-04T00:00:00"/>
    <n v="1783"/>
    <n v="19751"/>
    <s v="52945554"/>
    <s v="52945554"/>
    <m/>
    <m/>
    <n v="22766196"/>
    <m/>
    <m/>
    <m/>
    <s v="SOLFIN"/>
    <s v="SOLFIN"/>
    <s v="CCMS"/>
    <n v="21328011"/>
    <n v="16813.3"/>
    <m/>
    <s v="N"/>
    <n v="7"/>
    <d v="2023-07-04T19:01:01"/>
    <s v="Y"/>
    <s v="Toxicologist"/>
    <s v="VHCC"/>
    <s v="Expert Disbursement"/>
    <s v="S. Alli"/>
    <s v="Y"/>
    <n v="312.25"/>
    <n v="62.45"/>
    <x v="1"/>
    <s v="VALIDATED"/>
    <n v="1"/>
    <s v="01.11.80.308.6300.0000"/>
    <n v="312.25"/>
    <s v="11"/>
    <s v="6300"/>
    <n v="33277.69"/>
    <n v="312.25"/>
    <s v="CREDITOR"/>
    <n v="0"/>
    <n v="0"/>
    <n v="0"/>
    <n v="0"/>
    <n v="312.25"/>
  </r>
  <r>
    <n v="61821195"/>
    <s v="N"/>
    <n v="21320735"/>
    <s v="3000015890800010"/>
    <s v="CIVIL"/>
    <d v="2023-06-28T00:00:00"/>
    <d v="2023-07-03T19:04:52"/>
    <m/>
    <d v="2023-07-03T00:00:00"/>
    <n v="1783"/>
    <n v="19751"/>
    <s v="61821195"/>
    <s v="61821195"/>
    <m/>
    <m/>
    <n v="22780724"/>
    <m/>
    <m/>
    <m/>
    <s v="SOLPOA"/>
    <s v="SOLPOA"/>
    <s v="CCMS"/>
    <n v="21320735"/>
    <n v="67.2"/>
    <m/>
    <s v="N"/>
    <n v="1"/>
    <d v="2023-07-03T19:04:56"/>
    <s v="N"/>
    <s v="Non Expert Disbursement"/>
    <s v="Non Expert Disbursement"/>
    <s v="Non Expert Disbursement"/>
    <s v="Bethany Connor"/>
    <s v="N"/>
    <n v="56"/>
    <n v="11.2"/>
    <x v="3"/>
    <s v="VALIDATED"/>
    <n v="1"/>
    <s v="01.11.80.308.2012.0000"/>
    <n v="56"/>
    <s v="11"/>
    <s v="2012"/>
    <n v="33277.69"/>
    <n v="56"/>
    <s v="CREDITOR"/>
    <n v="56"/>
    <n v="0"/>
    <n v="0"/>
    <n v="0"/>
    <n v="0"/>
  </r>
  <r>
    <n v="59924342"/>
    <s v="N"/>
    <n v="21360671"/>
    <s v="3000014263530013"/>
    <s v="CIVIL"/>
    <d v="2023-06-29T00:00:00"/>
    <d v="2023-07-11T19:00:25"/>
    <m/>
    <d v="2023-07-11T00:00:00"/>
    <n v="1783"/>
    <n v="19751"/>
    <s v="59924342"/>
    <s v="59924342"/>
    <m/>
    <m/>
    <n v="22786952"/>
    <m/>
    <m/>
    <m/>
    <s v="SOLFIN"/>
    <s v="SOLFIN"/>
    <s v="CCMS"/>
    <n v="21360671"/>
    <n v="17585.75"/>
    <m/>
    <s v="N"/>
    <n v="1"/>
    <d v="2023-07-11T19:00:29"/>
    <s v="N"/>
    <s v="Solicitors Fixed Fee"/>
    <s v="Public Law Children"/>
    <s v="Profit Cost"/>
    <s v="XXX"/>
    <s v="N"/>
    <n v="0"/>
    <n v="0"/>
    <x v="7"/>
    <s v="VALIDATED"/>
    <n v="1"/>
    <s v="01.11.80.308.6100.0000"/>
    <n v="0"/>
    <s v="11"/>
    <s v="6100"/>
    <n v="33277.69"/>
    <n v="0"/>
    <s v="CREDITOR"/>
    <n v="0"/>
    <n v="0"/>
    <n v="0"/>
    <n v="0"/>
    <n v="0"/>
  </r>
  <r>
    <n v="62164045"/>
    <s v="N"/>
    <n v="21344085"/>
    <s v="3000016176230001"/>
    <s v="CIVIL"/>
    <d v="2023-06-30T00:00:00"/>
    <d v="2023-07-07T19:03:00"/>
    <m/>
    <d v="2023-07-07T00:00:00"/>
    <n v="1783"/>
    <n v="19751"/>
    <s v="62164045"/>
    <s v="62164045"/>
    <m/>
    <m/>
    <n v="22797552"/>
    <m/>
    <m/>
    <m/>
    <s v="SOLFIN"/>
    <s v="SOLFIN"/>
    <s v="CCMS"/>
    <n v="21344085"/>
    <n v="2150.53"/>
    <m/>
    <s v="N"/>
    <n v="31"/>
    <d v="2023-07-07T19:03:23"/>
    <s v="Y"/>
    <s v="Preparation - other"/>
    <s v="Prescribed Hourly Rates"/>
    <s v="Profit Cost"/>
    <s v="Other"/>
    <s v="Y"/>
    <n v="6.58"/>
    <n v="1.32"/>
    <x v="9"/>
    <s v="VALIDATED"/>
    <n v="1"/>
    <s v="01.11.80.305.6100.0000"/>
    <n v="6.58"/>
    <s v="11"/>
    <s v="6100"/>
    <n v="33277.69"/>
    <n v="6.58"/>
    <s v="CREDITOR"/>
    <n v="0"/>
    <n v="0"/>
    <n v="0"/>
    <n v="0"/>
    <n v="6.58"/>
  </r>
  <r>
    <n v="59679428"/>
    <s v="N"/>
    <n v="21327464"/>
    <s v="3000014061650024"/>
    <s v="CIVIL"/>
    <d v="2023-06-21T00:00:00"/>
    <d v="2023-07-04T19:00:44"/>
    <m/>
    <d v="2023-07-04T00:00:00"/>
    <n v="1783"/>
    <n v="19751"/>
    <s v="59679428"/>
    <s v="59679428"/>
    <m/>
    <m/>
    <n v="22736612"/>
    <m/>
    <m/>
    <m/>
    <s v="SOLFIN"/>
    <s v="SOLFIN"/>
    <s v="CCMS"/>
    <n v="21327464"/>
    <n v="1913.11"/>
    <m/>
    <s v="N"/>
    <n v="26"/>
    <d v="2023-07-04T19:00:47"/>
    <s v="Y"/>
    <s v="Preparation - other"/>
    <s v="VHCC"/>
    <s v="Profit Cost"/>
    <s v="KJ"/>
    <s v="Y"/>
    <n v="7.59"/>
    <n v="1.52"/>
    <x v="1"/>
    <s v="VALIDATED"/>
    <n v="1"/>
    <s v="01.11.80.305.6100.0000"/>
    <n v="7.59"/>
    <s v="11"/>
    <s v="6100"/>
    <n v="33277.69"/>
    <n v="7.59"/>
    <s v="CREDITOR"/>
    <n v="0"/>
    <n v="0"/>
    <n v="0"/>
    <n v="0"/>
    <n v="7.59"/>
  </r>
  <r>
    <n v="59679428"/>
    <s v="N"/>
    <n v="21327464"/>
    <s v="3000014061650024"/>
    <s v="CIVIL"/>
    <d v="2023-06-21T00:00:00"/>
    <d v="2023-07-04T19:00:44"/>
    <m/>
    <d v="2023-07-04T00:00:00"/>
    <n v="1783"/>
    <n v="19751"/>
    <s v="59679428"/>
    <s v="59679428"/>
    <m/>
    <m/>
    <n v="22736612"/>
    <m/>
    <m/>
    <m/>
    <s v="SOLFIN"/>
    <s v="SOLFIN"/>
    <s v="CCMS"/>
    <n v="21327464"/>
    <n v="1913.11"/>
    <m/>
    <s v="N"/>
    <n v="17"/>
    <d v="2023-07-04T19:00:47"/>
    <s v="Y"/>
    <s v="Preparation - drafting application"/>
    <s v="VHCC"/>
    <s v="Profit Cost"/>
    <s v="OFE"/>
    <s v="Y"/>
    <n v="29.21"/>
    <n v="5.84"/>
    <x v="1"/>
    <s v="VALIDATED"/>
    <n v="1"/>
    <s v="01.11.80.305.6100.0000"/>
    <n v="29.21"/>
    <s v="11"/>
    <s v="6100"/>
    <n v="33277.69"/>
    <n v="29.21"/>
    <s v="CREDITOR"/>
    <n v="0"/>
    <n v="0"/>
    <n v="0"/>
    <n v="0"/>
    <n v="29.21"/>
  </r>
  <r>
    <n v="61487226"/>
    <s v="N"/>
    <n v="21349427"/>
    <s v="3000015612790007"/>
    <s v="CIVIL"/>
    <d v="2023-06-29T00:00:00"/>
    <d v="2023-07-10T19:01:40"/>
    <m/>
    <d v="2023-07-10T00:00:00"/>
    <n v="1783"/>
    <n v="19751"/>
    <s v="61487226"/>
    <s v="61487226"/>
    <m/>
    <m/>
    <n v="22788046"/>
    <m/>
    <m/>
    <m/>
    <s v="SOLFIN"/>
    <s v="SOLFIN"/>
    <s v="CCMS"/>
    <n v="21349427"/>
    <n v="11436.16"/>
    <m/>
    <s v="N"/>
    <n v="8"/>
    <d v="2023-07-10T19:01:49"/>
    <s v="Y"/>
    <s v="Solicitor Travel Expenses"/>
    <s v="Public Law Children"/>
    <s v="Non Expert Disbursement"/>
    <s v="Catherine Wooley"/>
    <s v="Y"/>
    <n v="6.1"/>
    <n v="0"/>
    <x v="2"/>
    <s v="VALIDATED"/>
    <n v="1"/>
    <s v="01.11.80.308.6300.0000"/>
    <n v="6.1"/>
    <s v="11"/>
    <s v="6300"/>
    <n v="33277.69"/>
    <n v="6.1"/>
    <s v="CREDITOR"/>
    <n v="0"/>
    <n v="0"/>
    <n v="0"/>
    <n v="0"/>
    <n v="6.1"/>
  </r>
  <r>
    <n v="61487226"/>
    <s v="N"/>
    <n v="21349427"/>
    <s v="3000015612790007"/>
    <s v="CIVIL"/>
    <d v="2023-06-29T00:00:00"/>
    <d v="2023-07-10T19:01:40"/>
    <m/>
    <d v="2023-07-10T00:00:00"/>
    <n v="1783"/>
    <n v="19751"/>
    <s v="61487226"/>
    <s v="61487226"/>
    <m/>
    <m/>
    <n v="22788046"/>
    <m/>
    <m/>
    <m/>
    <s v="SOLFIN"/>
    <s v="SOLFIN"/>
    <s v="CCMS"/>
    <n v="21349427"/>
    <n v="11436.16"/>
    <m/>
    <s v="N"/>
    <n v="12"/>
    <d v="2023-07-10T19:01:49"/>
    <s v="Y"/>
    <s v="Final Hearing - 1 Day"/>
    <s v="Public Law Children"/>
    <s v="Advocacy"/>
    <s v="Stacy Fox"/>
    <s v="Y"/>
    <n v="556.88"/>
    <n v="111.38"/>
    <x v="2"/>
    <s v="VALIDATED"/>
    <n v="1"/>
    <s v="01.11.80.308.6100.0000"/>
    <n v="556.88"/>
    <s v="11"/>
    <s v="6100"/>
    <n v="33277.69"/>
    <n v="556.88"/>
    <s v="CREDITOR"/>
    <n v="0"/>
    <n v="0"/>
    <n v="0"/>
    <n v="0"/>
    <n v="556.88"/>
  </r>
  <r>
    <n v="62164045"/>
    <s v="N"/>
    <n v="21344085"/>
    <s v="3000016176230001"/>
    <s v="CIVIL"/>
    <d v="2023-06-30T00:00:00"/>
    <d v="2023-07-07T19:03:00"/>
    <m/>
    <d v="2023-07-07T00:00:00"/>
    <n v="1783"/>
    <n v="19751"/>
    <s v="62164045"/>
    <s v="62164045"/>
    <m/>
    <m/>
    <n v="22797552"/>
    <m/>
    <m/>
    <m/>
    <s v="SOLFIN"/>
    <s v="SOLFIN"/>
    <s v="CCMS"/>
    <n v="21344085"/>
    <n v="2150.53"/>
    <m/>
    <s v="N"/>
    <n v="6"/>
    <d v="2023-07-07T19:03:23"/>
    <s v="Y"/>
    <s v="Preparation - other"/>
    <s v="Prescribed Hourly Rates"/>
    <s v="Profit Cost"/>
    <s v="Catherine Woolley"/>
    <s v="Y"/>
    <n v="25.65"/>
    <n v="5.13"/>
    <x v="9"/>
    <s v="VALIDATED"/>
    <n v="1"/>
    <s v="01.11.80.305.6100.0000"/>
    <n v="25.65"/>
    <s v="11"/>
    <s v="6100"/>
    <n v="33277.69"/>
    <n v="25.65"/>
    <s v="CREDITOR"/>
    <n v="0"/>
    <n v="0"/>
    <n v="0"/>
    <n v="0"/>
    <n v="25.65"/>
  </r>
  <r>
    <n v="59679428"/>
    <s v="N"/>
    <n v="21327464"/>
    <s v="3000014061650024"/>
    <s v="CIVIL"/>
    <d v="2023-06-21T00:00:00"/>
    <d v="2023-07-04T19:00:44"/>
    <m/>
    <d v="2023-07-04T00:00:00"/>
    <n v="1783"/>
    <n v="19751"/>
    <s v="59679428"/>
    <s v="59679428"/>
    <m/>
    <m/>
    <n v="22736612"/>
    <m/>
    <m/>
    <m/>
    <s v="SOLFIN"/>
    <s v="SOLFIN"/>
    <s v="CCMS"/>
    <n v="21327464"/>
    <n v="1913.11"/>
    <m/>
    <s v="N"/>
    <n v="34"/>
    <d v="2023-07-04T19:00:47"/>
    <s v="Y"/>
    <s v="Item - Routine Outgoing letter"/>
    <s v="VHCC"/>
    <s v="Profit Cost"/>
    <s v="KJ"/>
    <s v="Y"/>
    <n v="228.96"/>
    <n v="45.8"/>
    <x v="1"/>
    <s v="VALIDATED"/>
    <n v="1"/>
    <s v="01.11.80.305.6100.0000"/>
    <n v="228.96"/>
    <s v="11"/>
    <s v="6100"/>
    <n v="33277.69"/>
    <n v="228.96"/>
    <s v="CREDITOR"/>
    <n v="0"/>
    <n v="0"/>
    <n v="0"/>
    <n v="0"/>
    <n v="228.96"/>
  </r>
  <r>
    <n v="61821195"/>
    <s v="N"/>
    <n v="21320491"/>
    <s v="3000015890800009"/>
    <s v="CIVIL"/>
    <d v="2023-06-28T00:00:00"/>
    <d v="2023-07-03T19:04:52"/>
    <m/>
    <d v="2023-07-03T00:00:00"/>
    <n v="1783"/>
    <n v="19751"/>
    <s v="61821195"/>
    <s v="61821195"/>
    <m/>
    <m/>
    <n v="22780696"/>
    <m/>
    <m/>
    <m/>
    <s v="SOLPOA"/>
    <s v="SOLPOA"/>
    <s v="CCMS"/>
    <n v="21320491"/>
    <n v="33.6"/>
    <m/>
    <s v="N"/>
    <n v="1"/>
    <d v="2023-07-03T19:04:54"/>
    <s v="N"/>
    <s v="Non Expert Disbursement"/>
    <s v="Non Expert Disbursement"/>
    <s v="Non Expert Disbursement"/>
    <s v="Bethany Connor"/>
    <s v="N"/>
    <n v="28"/>
    <n v="5.6"/>
    <x v="3"/>
    <s v="VALIDATED"/>
    <n v="1"/>
    <s v="01.11.80.308.2012.0000"/>
    <n v="28"/>
    <s v="11"/>
    <s v="2012"/>
    <n v="33277.69"/>
    <n v="28"/>
    <s v="CREDITOR"/>
    <n v="28"/>
    <n v="0"/>
    <n v="0"/>
    <n v="0"/>
    <n v="0"/>
  </r>
  <r>
    <n v="60817808"/>
    <s v="N"/>
    <n v="21320801"/>
    <s v="3000015047570053"/>
    <s v="CIVIL"/>
    <d v="2023-06-28T00:00:00"/>
    <d v="2023-07-03T19:04:52"/>
    <m/>
    <d v="2023-07-03T00:00:00"/>
    <n v="1783"/>
    <n v="19751"/>
    <s v="60817808"/>
    <s v="60817808"/>
    <m/>
    <m/>
    <n v="22778872"/>
    <m/>
    <m/>
    <m/>
    <s v="SOLPOA"/>
    <s v="SOLPOA"/>
    <s v="CCMS"/>
    <n v="21320801"/>
    <n v="235.6"/>
    <m/>
    <s v="N"/>
    <n v="1"/>
    <d v="2023-07-03T19:04:56"/>
    <s v="N"/>
    <s v="Non Expert Disbursement"/>
    <s v="Non Expert Disbursement"/>
    <s v="Non Expert Disbursement"/>
    <s v="Bethany Connor"/>
    <s v="N"/>
    <n v="235.6"/>
    <n v="0"/>
    <x v="3"/>
    <s v="VALIDATED"/>
    <n v="1"/>
    <s v="01.11.80.308.2012.0000"/>
    <n v="235.6"/>
    <s v="11"/>
    <s v="2012"/>
    <n v="33277.69"/>
    <n v="235.6"/>
    <s v="CREDITOR"/>
    <n v="235.6"/>
    <n v="0"/>
    <n v="0"/>
    <n v="0"/>
    <n v="0"/>
  </r>
  <r>
    <n v="56409419"/>
    <s v="N"/>
    <n v="21319441"/>
    <s v="3000013405510012"/>
    <s v="CIVIL"/>
    <d v="2023-06-27T00:00:00"/>
    <d v="2023-07-03T19:04:24"/>
    <m/>
    <d v="2023-07-03T00:00:00"/>
    <n v="1783"/>
    <n v="19751"/>
    <s v="56409419"/>
    <s v="56409419"/>
    <m/>
    <m/>
    <n v="22770326"/>
    <m/>
    <m/>
    <m/>
    <s v="SOLPOA"/>
    <s v="SOLPOA"/>
    <s v="CCMS"/>
    <n v="21319441"/>
    <n v="3241.2"/>
    <m/>
    <s v="N"/>
    <n v="1"/>
    <d v="2023-07-03T19:04:25"/>
    <s v="N"/>
    <s v="Expert Cost"/>
    <s v="Expert Cost"/>
    <s v="Expert Disbursement"/>
    <s v="E. Cordock"/>
    <s v="N"/>
    <n v="2701"/>
    <n v="540.2"/>
    <x v="3"/>
    <s v="VALIDATED"/>
    <n v="1"/>
    <s v="01.11.80.308.2012.0000"/>
    <n v="2701"/>
    <s v="11"/>
    <s v="2012"/>
    <n v="33277.69"/>
    <n v="2701"/>
    <s v="CREDITOR"/>
    <n v="2701"/>
    <n v="0"/>
    <n v="0"/>
    <n v="0"/>
    <n v="0"/>
  </r>
  <r>
    <n v="62164045"/>
    <s v="N"/>
    <n v="21344085"/>
    <s v="3000016176230001"/>
    <s v="CIVIL"/>
    <d v="2023-06-30T00:00:00"/>
    <d v="2023-07-07T19:03:00"/>
    <m/>
    <d v="2023-07-07T00:00:00"/>
    <n v="1783"/>
    <n v="19751"/>
    <s v="62164045"/>
    <s v="62164045"/>
    <m/>
    <m/>
    <n v="22797552"/>
    <m/>
    <m/>
    <m/>
    <s v="SOLFIN"/>
    <s v="SOLFIN"/>
    <s v="CCMS"/>
    <n v="21344085"/>
    <n v="2150.53"/>
    <m/>
    <s v="N"/>
    <n v="5"/>
    <d v="2023-07-07T19:03:23"/>
    <s v="Y"/>
    <s v="Preparation - other"/>
    <s v="Prescribed Hourly Rates"/>
    <s v="Profit Cost"/>
    <s v="Catherine Woolley"/>
    <s v="Y"/>
    <n v="25.65"/>
    <n v="5.13"/>
    <x v="9"/>
    <s v="VALIDATED"/>
    <n v="1"/>
    <s v="01.11.80.305.6100.0000"/>
    <n v="25.65"/>
    <s v="11"/>
    <s v="6100"/>
    <n v="33277.69"/>
    <n v="25.65"/>
    <s v="CREDITOR"/>
    <n v="0"/>
    <n v="0"/>
    <n v="0"/>
    <n v="0"/>
    <n v="25.65"/>
  </r>
  <r>
    <n v="52945554"/>
    <s v="N"/>
    <n v="21328011"/>
    <s v="3000012728120027"/>
    <s v="CIVIL"/>
    <d v="2023-06-27T00:00:00"/>
    <d v="2023-07-04T19:00:44"/>
    <m/>
    <d v="2023-07-04T00:00:00"/>
    <n v="1783"/>
    <n v="19751"/>
    <s v="52945554"/>
    <s v="52945554"/>
    <m/>
    <m/>
    <n v="22766196"/>
    <m/>
    <m/>
    <m/>
    <s v="SOLFIN"/>
    <s v="SOLFIN"/>
    <s v="CCMS"/>
    <n v="21328011"/>
    <n v="16813.3"/>
    <m/>
    <s v="N"/>
    <n v="9"/>
    <d v="2023-07-04T19:01:01"/>
    <s v="Y"/>
    <s v="Toxicologist"/>
    <s v="VHCC"/>
    <s v="Expert Disbursement"/>
    <s v="S. Alli"/>
    <s v="Y"/>
    <n v="95"/>
    <n v="19"/>
    <x v="1"/>
    <s v="VALIDATED"/>
    <n v="1"/>
    <s v="01.11.80.308.6300.0000"/>
    <n v="95"/>
    <s v="11"/>
    <s v="6300"/>
    <n v="33277.69"/>
    <n v="95"/>
    <s v="CREDITOR"/>
    <n v="0"/>
    <n v="0"/>
    <n v="0"/>
    <n v="0"/>
    <n v="95"/>
  </r>
  <r>
    <n v="59679428"/>
    <s v="N"/>
    <n v="21327464"/>
    <s v="3000014061650024"/>
    <s v="CIVIL"/>
    <d v="2023-06-21T00:00:00"/>
    <d v="2023-07-04T19:00:44"/>
    <m/>
    <d v="2023-07-04T00:00:00"/>
    <n v="1783"/>
    <n v="19751"/>
    <s v="59679428"/>
    <s v="59679428"/>
    <m/>
    <m/>
    <n v="22736612"/>
    <m/>
    <m/>
    <m/>
    <s v="SOLFIN"/>
    <s v="SOLFIN"/>
    <s v="CCMS"/>
    <n v="21327464"/>
    <n v="1913.11"/>
    <m/>
    <s v="N"/>
    <n v="21"/>
    <d v="2023-07-04T19:00:47"/>
    <s v="Y"/>
    <s v="Preparation - drafting instructions"/>
    <s v="VHCC"/>
    <s v="Profit Cost"/>
    <s v="OFE"/>
    <s v="Y"/>
    <n v="17.52"/>
    <n v="3.5"/>
    <x v="1"/>
    <s v="VALIDATED"/>
    <n v="1"/>
    <s v="01.11.80.305.6100.0000"/>
    <n v="17.52"/>
    <s v="11"/>
    <s v="6100"/>
    <n v="33277.69"/>
    <n v="17.52"/>
    <s v="CREDITOR"/>
    <n v="0"/>
    <n v="0"/>
    <n v="0"/>
    <n v="0"/>
    <n v="17.52"/>
  </r>
  <r>
    <n v="62164045"/>
    <s v="N"/>
    <n v="21344085"/>
    <s v="3000016176230001"/>
    <s v="CIVIL"/>
    <d v="2023-06-30T00:00:00"/>
    <d v="2023-07-07T19:03:00"/>
    <m/>
    <d v="2023-07-07T00:00:00"/>
    <n v="1783"/>
    <n v="19751"/>
    <s v="62164045"/>
    <s v="62164045"/>
    <m/>
    <m/>
    <n v="22797552"/>
    <m/>
    <m/>
    <m/>
    <s v="SOLFIN"/>
    <s v="SOLFIN"/>
    <s v="CCMS"/>
    <n v="21344085"/>
    <n v="2150.53"/>
    <m/>
    <s v="N"/>
    <n v="4"/>
    <d v="2023-07-07T19:03:23"/>
    <s v="Y"/>
    <s v="Preparation - other"/>
    <s v="Prescribed Hourly Rates"/>
    <s v="Profit Cost"/>
    <s v="Catherine Woolley"/>
    <s v="Y"/>
    <n v="25.65"/>
    <n v="5.13"/>
    <x v="9"/>
    <s v="VALIDATED"/>
    <n v="1"/>
    <s v="01.11.80.305.6100.0000"/>
    <n v="25.65"/>
    <s v="11"/>
    <s v="6100"/>
    <n v="33277.69"/>
    <n v="25.65"/>
    <s v="CREDITOR"/>
    <n v="0"/>
    <n v="0"/>
    <n v="0"/>
    <n v="0"/>
    <n v="25.65"/>
  </r>
  <r>
    <n v="62164045"/>
    <s v="N"/>
    <n v="21344085"/>
    <s v="3000016176230001"/>
    <s v="CIVIL"/>
    <d v="2023-06-30T00:00:00"/>
    <d v="2023-07-07T19:03:00"/>
    <m/>
    <d v="2023-07-07T00:00:00"/>
    <n v="1783"/>
    <n v="19751"/>
    <s v="62164045"/>
    <s v="62164045"/>
    <m/>
    <m/>
    <n v="22797552"/>
    <m/>
    <m/>
    <m/>
    <s v="SOLFIN"/>
    <s v="SOLFIN"/>
    <s v="CCMS"/>
    <n v="21344085"/>
    <n v="2150.53"/>
    <m/>
    <s v="N"/>
    <n v="13"/>
    <d v="2023-07-07T19:03:23"/>
    <s v="Y"/>
    <s v="Preparation - drafting application"/>
    <s v="Prescribed Hourly Rates"/>
    <s v="Profit Cost"/>
    <s v="Other"/>
    <s v="Y"/>
    <n v="19.73"/>
    <n v="3.95"/>
    <x v="9"/>
    <s v="VALIDATED"/>
    <n v="1"/>
    <s v="01.11.80.305.6100.0000"/>
    <n v="19.73"/>
    <s v="11"/>
    <s v="6100"/>
    <n v="33277.69"/>
    <n v="19.73"/>
    <s v="CREDITOR"/>
    <n v="0"/>
    <n v="0"/>
    <n v="0"/>
    <n v="0"/>
    <n v="19.73"/>
  </r>
  <r>
    <n v="62164045"/>
    <s v="N"/>
    <n v="21344085"/>
    <s v="3000016176230001"/>
    <s v="CIVIL"/>
    <d v="2023-06-30T00:00:00"/>
    <d v="2023-07-07T19:03:00"/>
    <m/>
    <d v="2023-07-07T00:00:00"/>
    <n v="1783"/>
    <n v="19751"/>
    <s v="62164045"/>
    <s v="62164045"/>
    <m/>
    <m/>
    <n v="22797552"/>
    <m/>
    <m/>
    <m/>
    <s v="SOLFIN"/>
    <s v="SOLFIN"/>
    <s v="CCMS"/>
    <n v="21344085"/>
    <n v="2150.53"/>
    <m/>
    <s v="N"/>
    <n v="14"/>
    <d v="2023-07-07T19:03:23"/>
    <s v="Y"/>
    <s v="Preparation - drafting notice(s)"/>
    <s v="Prescribed Hourly Rates"/>
    <s v="Profit Cost"/>
    <s v="Other"/>
    <s v="Y"/>
    <n v="13.15"/>
    <n v="2.63"/>
    <x v="9"/>
    <s v="VALIDATED"/>
    <n v="1"/>
    <s v="01.11.80.305.6100.0000"/>
    <n v="13.15"/>
    <s v="11"/>
    <s v="6100"/>
    <n v="33277.69"/>
    <n v="13.15"/>
    <s v="CREDITOR"/>
    <n v="0"/>
    <n v="0"/>
    <n v="0"/>
    <n v="0"/>
    <n v="13.15"/>
  </r>
  <r>
    <n v="61715150"/>
    <s v="N"/>
    <n v="21343919"/>
    <s v="3000015794730004"/>
    <s v="CIVIL"/>
    <d v="2023-06-29T00:00:00"/>
    <d v="2023-07-07T19:03:00"/>
    <m/>
    <d v="2023-07-07T00:00:00"/>
    <n v="1783"/>
    <n v="19751"/>
    <s v="61715150"/>
    <s v="61715150"/>
    <m/>
    <m/>
    <n v="22784932"/>
    <m/>
    <m/>
    <m/>
    <s v="SOLFIN"/>
    <s v="SOLFIN"/>
    <s v="CCMS"/>
    <n v="21343919"/>
    <n v="6471.53"/>
    <m/>
    <s v="N"/>
    <n v="1"/>
    <d v="2023-07-07T19:03:17"/>
    <s v="Y"/>
    <s v="Solicitor Travel Expenses"/>
    <s v="Care Remuneration Hourly Rates"/>
    <s v="Non Expert Disbursement"/>
    <s v="C.Woolley"/>
    <s v="Y"/>
    <n v="6.1"/>
    <n v="0"/>
    <x v="9"/>
    <s v="VALIDATED"/>
    <n v="1"/>
    <s v="01.11.80.305.6300.0000"/>
    <n v="6.1"/>
    <s v="11"/>
    <s v="6300"/>
    <n v="33277.69"/>
    <n v="6.1"/>
    <s v="CREDITOR"/>
    <n v="0"/>
    <n v="0"/>
    <n v="0"/>
    <n v="0"/>
    <n v="6.1"/>
  </r>
  <r>
    <n v="59679428"/>
    <s v="N"/>
    <n v="21327464"/>
    <s v="3000014061650024"/>
    <s v="CIVIL"/>
    <d v="2023-06-21T00:00:00"/>
    <d v="2023-07-04T19:00:44"/>
    <m/>
    <d v="2023-07-04T00:00:00"/>
    <n v="1783"/>
    <n v="19751"/>
    <s v="59679428"/>
    <s v="59679428"/>
    <m/>
    <m/>
    <n v="22736612"/>
    <m/>
    <m/>
    <m/>
    <s v="SOLFIN"/>
    <s v="SOLFIN"/>
    <s v="CCMS"/>
    <n v="21327464"/>
    <n v="1913.11"/>
    <m/>
    <s v="N"/>
    <n v="29"/>
    <d v="2023-07-04T19:00:47"/>
    <s v="Y"/>
    <s v="Preparation - other"/>
    <s v="VHCC"/>
    <s v="Profit Cost"/>
    <s v="KJ"/>
    <s v="Y"/>
    <n v="7.59"/>
    <n v="1.52"/>
    <x v="1"/>
    <s v="VALIDATED"/>
    <n v="1"/>
    <s v="01.11.80.305.6100.0000"/>
    <n v="7.59"/>
    <s v="11"/>
    <s v="6100"/>
    <n v="33277.69"/>
    <n v="7.59"/>
    <s v="CREDITOR"/>
    <n v="0"/>
    <n v="0"/>
    <n v="0"/>
    <n v="0"/>
    <n v="7.59"/>
  </r>
  <r>
    <n v="59679428"/>
    <s v="N"/>
    <n v="21327464"/>
    <s v="3000014061650024"/>
    <s v="CIVIL"/>
    <d v="2023-06-21T00:00:00"/>
    <d v="2023-07-04T19:00:44"/>
    <m/>
    <d v="2023-07-04T00:00:00"/>
    <n v="1783"/>
    <n v="19751"/>
    <s v="59679428"/>
    <s v="59679428"/>
    <m/>
    <m/>
    <n v="22736612"/>
    <m/>
    <m/>
    <m/>
    <s v="SOLFIN"/>
    <s v="SOLFIN"/>
    <s v="CCMS"/>
    <n v="21327464"/>
    <n v="1913.11"/>
    <m/>
    <s v="N"/>
    <n v="6"/>
    <d v="2023-07-04T19:00:47"/>
    <s v="Y"/>
    <s v="Preparation - Periodic file review"/>
    <s v="VHCC"/>
    <s v="Profit Cost"/>
    <s v="OFE"/>
    <s v="Y"/>
    <n v="17.52"/>
    <n v="3.5"/>
    <x v="1"/>
    <s v="VALIDATED"/>
    <n v="1"/>
    <s v="01.11.80.305.6100.0000"/>
    <n v="17.52"/>
    <s v="11"/>
    <s v="6100"/>
    <n v="33277.69"/>
    <n v="17.52"/>
    <s v="CREDITOR"/>
    <n v="0"/>
    <n v="0"/>
    <n v="0"/>
    <n v="0"/>
    <n v="17.52"/>
  </r>
  <r>
    <n v="59679428"/>
    <s v="N"/>
    <n v="21327464"/>
    <s v="3000014061650024"/>
    <s v="CIVIL"/>
    <d v="2023-06-21T00:00:00"/>
    <d v="2023-07-04T19:00:44"/>
    <m/>
    <d v="2023-07-04T00:00:00"/>
    <n v="1783"/>
    <n v="19751"/>
    <s v="59679428"/>
    <s v="59679428"/>
    <m/>
    <m/>
    <n v="22736612"/>
    <m/>
    <m/>
    <m/>
    <s v="SOLFIN"/>
    <s v="SOLFIN"/>
    <s v="CCMS"/>
    <n v="21327464"/>
    <n v="1913.11"/>
    <m/>
    <s v="N"/>
    <n v="19"/>
    <d v="2023-07-04T19:00:47"/>
    <s v="Y"/>
    <s v="Preparation - other"/>
    <s v="VHCC"/>
    <s v="Profit Cost"/>
    <s v="KJ"/>
    <s v="Y"/>
    <n v="68.34"/>
    <n v="13.67"/>
    <x v="1"/>
    <s v="VALIDATED"/>
    <n v="1"/>
    <s v="01.11.80.305.6100.0000"/>
    <n v="68.34"/>
    <s v="11"/>
    <s v="6100"/>
    <n v="33277.69"/>
    <n v="68.34"/>
    <s v="CREDITOR"/>
    <n v="0"/>
    <n v="0"/>
    <n v="0"/>
    <n v="0"/>
    <n v="68.34"/>
  </r>
  <r>
    <n v="61546002"/>
    <s v="N"/>
    <n v="21338039"/>
    <s v="3000015663040006"/>
    <s v="CIVIL"/>
    <d v="2023-06-30T00:00:00"/>
    <d v="2023-07-06T19:21:01"/>
    <m/>
    <d v="2023-07-06T00:00:00"/>
    <n v="1783"/>
    <n v="19751"/>
    <s v="61546002"/>
    <s v="61546002"/>
    <m/>
    <m/>
    <n v="22798716"/>
    <m/>
    <m/>
    <m/>
    <s v="SOLPOA"/>
    <s v="SOLPOA"/>
    <s v="CCMS"/>
    <n v="21338039"/>
    <n v="224.64"/>
    <m/>
    <s v="N"/>
    <n v="1"/>
    <d v="2023-07-06T19:21:11"/>
    <s v="N"/>
    <s v="Expert Cost"/>
    <s v="Expert Cost"/>
    <s v="Expert Disbursement"/>
    <s v="catherine woolley"/>
    <s v="N"/>
    <n v="187.2"/>
    <n v="37.44"/>
    <x v="4"/>
    <s v="VALIDATED"/>
    <n v="1"/>
    <s v="01.11.80.308.2012.0000"/>
    <n v="187.2"/>
    <s v="11"/>
    <s v="2012"/>
    <n v="33277.69"/>
    <n v="187.2"/>
    <s v="CREDITOR"/>
    <n v="187.2"/>
    <n v="0"/>
    <n v="0"/>
    <n v="0"/>
    <n v="0"/>
  </r>
  <r>
    <n v="61313239"/>
    <s v="N"/>
    <n v="21343877"/>
    <s v="3000015467670010"/>
    <s v="CIVIL"/>
    <d v="2023-06-27T00:00:00"/>
    <d v="2023-07-07T19:03:00"/>
    <m/>
    <d v="2023-07-07T00:00:00"/>
    <n v="1783"/>
    <n v="19751"/>
    <s v="61313239"/>
    <s v="61313239"/>
    <m/>
    <m/>
    <n v="22768748"/>
    <m/>
    <m/>
    <m/>
    <s v="SOLFIN"/>
    <s v="SOLFIN"/>
    <s v="CCMS"/>
    <n v="21343877"/>
    <n v="15072.79"/>
    <m/>
    <s v="N"/>
    <n v="5"/>
    <d v="2023-07-07T19:03:15"/>
    <s v="Y"/>
    <s v="DNA - preparation of report"/>
    <s v="Public Law Children"/>
    <s v="Expert Disbursement"/>
    <s v="Catherine Woolley"/>
    <s v="Y"/>
    <n v="126.93"/>
    <n v="25.39"/>
    <x v="9"/>
    <s v="VALIDATED"/>
    <n v="1"/>
    <s v="01.11.80.308.6300.0000"/>
    <n v="126.93"/>
    <s v="11"/>
    <s v="6300"/>
    <n v="33277.69"/>
    <n v="126.93"/>
    <s v="CREDITOR"/>
    <n v="0"/>
    <n v="0"/>
    <n v="0"/>
    <n v="0"/>
    <n v="126.93"/>
  </r>
  <r>
    <n v="62164045"/>
    <s v="N"/>
    <n v="21344085"/>
    <s v="3000016176230001"/>
    <s v="CIVIL"/>
    <d v="2023-06-30T00:00:00"/>
    <d v="2023-07-07T19:03:00"/>
    <m/>
    <d v="2023-07-07T00:00:00"/>
    <n v="1783"/>
    <n v="19751"/>
    <s v="62164045"/>
    <s v="62164045"/>
    <m/>
    <m/>
    <n v="22797552"/>
    <m/>
    <m/>
    <m/>
    <s v="SOLFIN"/>
    <s v="SOLFIN"/>
    <s v="CCMS"/>
    <n v="21344085"/>
    <n v="2150.53"/>
    <m/>
    <s v="N"/>
    <n v="24"/>
    <d v="2023-07-07T19:03:23"/>
    <s v="Y"/>
    <s v="Preparation - other"/>
    <s v="Prescribed Hourly Rates"/>
    <s v="Profit Cost"/>
    <s v="Catherine Woolley"/>
    <s v="Y"/>
    <n v="8.550000000000001"/>
    <n v="1.71"/>
    <x v="9"/>
    <s v="VALIDATED"/>
    <n v="1"/>
    <s v="01.11.80.305.6100.0000"/>
    <n v="8.550000000000001"/>
    <s v="11"/>
    <s v="6100"/>
    <n v="33277.69"/>
    <n v="8.550000000000001"/>
    <s v="CREDITOR"/>
    <n v="0"/>
    <n v="0"/>
    <n v="0"/>
    <n v="0"/>
    <n v="8.550000000000001"/>
  </r>
  <r>
    <n v="62164045"/>
    <s v="N"/>
    <n v="21344085"/>
    <s v="3000016176230001"/>
    <s v="CIVIL"/>
    <d v="2023-06-30T00:00:00"/>
    <d v="2023-07-07T19:03:00"/>
    <m/>
    <d v="2023-07-07T00:00:00"/>
    <n v="1783"/>
    <n v="19751"/>
    <s v="62164045"/>
    <s v="62164045"/>
    <m/>
    <m/>
    <n v="22797552"/>
    <m/>
    <m/>
    <m/>
    <s v="SOLFIN"/>
    <s v="SOLFIN"/>
    <s v="CCMS"/>
    <n v="21344085"/>
    <n v="2150.53"/>
    <m/>
    <s v="N"/>
    <n v="12"/>
    <d v="2023-07-07T19:03:23"/>
    <s v="Y"/>
    <s v="Preparation - other"/>
    <s v="Prescribed Hourly Rates"/>
    <s v="Profit Cost"/>
    <s v="Catherine Woolley"/>
    <s v="Y"/>
    <n v="128.22"/>
    <n v="25.65"/>
    <x v="9"/>
    <s v="VALIDATED"/>
    <n v="1"/>
    <s v="01.11.80.305.6100.0000"/>
    <n v="128.22"/>
    <s v="11"/>
    <s v="6100"/>
    <n v="33277.69"/>
    <n v="128.22"/>
    <s v="CREDITOR"/>
    <n v="0"/>
    <n v="0"/>
    <n v="0"/>
    <n v="0"/>
    <n v="128.22"/>
  </r>
  <r>
    <n v="56351024"/>
    <s v="N"/>
    <n v="21322040"/>
    <s v="3000013379450041"/>
    <s v="CIVIL"/>
    <d v="2023-06-28T00:00:00"/>
    <d v="2023-07-03T19:05:17"/>
    <m/>
    <d v="2023-07-03T00:00:00"/>
    <n v="1783"/>
    <n v="19751"/>
    <s v="56351024"/>
    <s v="56351024"/>
    <m/>
    <m/>
    <n v="22783958"/>
    <m/>
    <m/>
    <m/>
    <s v="SOLPOA"/>
    <s v="SOLPOA"/>
    <s v="CCMS"/>
    <n v="21322040"/>
    <n v="186"/>
    <m/>
    <s v="N"/>
    <n v="1"/>
    <d v="2023-07-03T19:05:22"/>
    <s v="N"/>
    <s v="Non Expert Disbursement"/>
    <s v="Non Expert Disbursement"/>
    <s v="Non Expert Disbursement"/>
    <s v="Bethany Connor"/>
    <s v="N"/>
    <n v="186"/>
    <n v="0"/>
    <x v="3"/>
    <s v="VALIDATED"/>
    <n v="1"/>
    <s v="01.11.80.302.2012.0000"/>
    <n v="186"/>
    <s v="11"/>
    <s v="2012"/>
    <n v="33277.69"/>
    <n v="186"/>
    <s v="CREDITOR"/>
    <n v="186"/>
    <n v="0"/>
    <n v="0"/>
    <n v="0"/>
    <n v="0"/>
  </r>
  <r>
    <n v="59924342"/>
    <s v="N"/>
    <n v="21360671"/>
    <s v="3000014263530013"/>
    <s v="CIVIL"/>
    <d v="2023-06-29T00:00:00"/>
    <d v="2023-07-11T19:00:25"/>
    <m/>
    <d v="2023-07-11T00:00:00"/>
    <n v="1783"/>
    <n v="19751"/>
    <s v="59924342"/>
    <s v="59924342"/>
    <m/>
    <m/>
    <n v="22786952"/>
    <m/>
    <m/>
    <m/>
    <s v="SOLFIN"/>
    <s v="SOLFIN"/>
    <s v="CCMS"/>
    <n v="21360671"/>
    <n v="17585.75"/>
    <m/>
    <s v="N"/>
    <n v="10"/>
    <d v="2023-07-11T19:00:29"/>
    <s v="Y"/>
    <s v="Hearing Unit 2.31 - 5.00 Hours"/>
    <s v="Public Law Children"/>
    <s v="Advocacy"/>
    <s v="SF"/>
    <s v="Y"/>
    <n v="476.92"/>
    <n v="95.38"/>
    <x v="7"/>
    <s v="VALIDATED"/>
    <n v="1"/>
    <s v="01.11.80.308.6100.0000"/>
    <n v="476.92"/>
    <s v="11"/>
    <s v="6100"/>
    <n v="33277.69"/>
    <n v="476.92"/>
    <s v="CREDITOR"/>
    <n v="0"/>
    <n v="0"/>
    <n v="0"/>
    <n v="0"/>
    <n v="476.92"/>
  </r>
  <r>
    <n v="61347468"/>
    <s v="N"/>
    <n v="21319591"/>
    <s v="3000015495720008"/>
    <s v="CIVIL"/>
    <d v="2023-06-28T00:00:00"/>
    <d v="2023-07-03T19:04:24"/>
    <m/>
    <d v="2023-07-03T00:00:00"/>
    <n v="1783"/>
    <n v="19751"/>
    <s v="61347468"/>
    <s v="61347468"/>
    <m/>
    <m/>
    <n v="22777894"/>
    <m/>
    <m/>
    <m/>
    <s v="SOLPOA"/>
    <s v="SOLPOA"/>
    <s v="CCMS"/>
    <n v="21319591"/>
    <n v="108.12"/>
    <m/>
    <s v="N"/>
    <n v="1"/>
    <d v="2023-07-03T19:04:26"/>
    <s v="N"/>
    <s v="Non Expert Disbursement"/>
    <s v="Non Expert Disbursement"/>
    <s v="Non Expert Disbursement"/>
    <s v="Katrina Gaskell"/>
    <s v="N"/>
    <n v="90.09999999999999"/>
    <n v="18.02"/>
    <x v="3"/>
    <s v="VALIDATED"/>
    <n v="1"/>
    <s v="01.11.80.308.2012.0000"/>
    <n v="90.09999999999999"/>
    <s v="11"/>
    <s v="2012"/>
    <n v="33277.69"/>
    <n v="90.09999999999999"/>
    <s v="CREDITOR"/>
    <n v="90.09999999999999"/>
    <n v="0"/>
    <n v="0"/>
    <n v="0"/>
    <n v="0"/>
  </r>
  <r>
    <n v="61136550"/>
    <s v="N"/>
    <n v="21318937"/>
    <s v="3000015313170005"/>
    <s v="CIVIL"/>
    <d v="2023-06-23T00:00:00"/>
    <d v="2023-07-03T19:01:49"/>
    <m/>
    <d v="2023-07-03T00:00:00"/>
    <n v="1783"/>
    <n v="19751"/>
    <s v="61136550"/>
    <s v="61136550"/>
    <m/>
    <m/>
    <n v="22750136"/>
    <m/>
    <m/>
    <m/>
    <s v="SOLPOA"/>
    <s v="SOLPOA"/>
    <s v="CCMS"/>
    <n v="21318937"/>
    <n v="30.24"/>
    <m/>
    <s v="N"/>
    <n v="1"/>
    <d v="2023-07-03T19:02:05"/>
    <s v="N"/>
    <s v="Expert Cost"/>
    <s v="Expert Cost"/>
    <s v="Expert Disbursement"/>
    <s v="Stacy Fox"/>
    <s v="N"/>
    <n v="25.2"/>
    <n v="5.04"/>
    <x v="3"/>
    <s v="VALIDATED"/>
    <n v="1"/>
    <s v="01.11.80.308.2012.0000"/>
    <n v="25.2"/>
    <s v="11"/>
    <s v="2012"/>
    <n v="33277.69"/>
    <n v="25.2"/>
    <s v="CREDITOR"/>
    <n v="25.2"/>
    <n v="0"/>
    <n v="0"/>
    <n v="0"/>
    <n v="0"/>
  </r>
  <r>
    <n v="62164045"/>
    <s v="N"/>
    <n v="21344085"/>
    <s v="3000016176230001"/>
    <s v="CIVIL"/>
    <d v="2023-06-30T00:00:00"/>
    <d v="2023-07-07T19:03:00"/>
    <m/>
    <d v="2023-07-07T00:00:00"/>
    <n v="1783"/>
    <n v="19751"/>
    <s v="62164045"/>
    <s v="62164045"/>
    <m/>
    <m/>
    <n v="22797552"/>
    <m/>
    <m/>
    <m/>
    <s v="SOLFIN"/>
    <s v="SOLFIN"/>
    <s v="CCMS"/>
    <n v="21344085"/>
    <n v="2150.53"/>
    <m/>
    <s v="N"/>
    <n v="26"/>
    <d v="2023-07-07T19:03:23"/>
    <s v="Y"/>
    <s v="Preparation - other"/>
    <s v="Prescribed Hourly Rates"/>
    <s v="Profit Cost"/>
    <s v="Catherine Woolley"/>
    <s v="Y"/>
    <n v="19.73"/>
    <n v="3.95"/>
    <x v="9"/>
    <s v="VALIDATED"/>
    <n v="1"/>
    <s v="01.11.80.305.6100.0000"/>
    <n v="19.73"/>
    <s v="11"/>
    <s v="6100"/>
    <n v="33277.69"/>
    <n v="19.73"/>
    <s v="CREDITOR"/>
    <n v="0"/>
    <n v="0"/>
    <n v="0"/>
    <n v="0"/>
    <n v="19.73"/>
  </r>
  <r>
    <n v="61524704"/>
    <s v="N"/>
    <n v="21321019"/>
    <s v="3000015607990006"/>
    <s v="CIVIL"/>
    <d v="2023-06-28T00:00:00"/>
    <d v="2023-07-03T19:04:52"/>
    <m/>
    <d v="2023-07-03T00:00:00"/>
    <n v="1783"/>
    <n v="19751"/>
    <s v="61524704"/>
    <s v="61524704"/>
    <m/>
    <m/>
    <n v="22781438"/>
    <m/>
    <m/>
    <m/>
    <s v="SOLPOA"/>
    <s v="SOLPOA"/>
    <s v="CCMS"/>
    <n v="21321019"/>
    <n v="33.6"/>
    <m/>
    <s v="N"/>
    <n v="1"/>
    <d v="2023-07-03T19:04:57"/>
    <s v="N"/>
    <s v="Non Expert Disbursement - Private L"/>
    <s v="Non Expert Disbursement - Priv"/>
    <s v="Non Expert Disbursement"/>
    <s v="Bethany Connor"/>
    <s v="N"/>
    <n v="28"/>
    <n v="5.6"/>
    <x v="3"/>
    <s v="VALIDATED"/>
    <n v="1"/>
    <s v="01.11.80.302.2012.0000"/>
    <n v="28"/>
    <s v="11"/>
    <s v="2012"/>
    <n v="33277.69"/>
    <n v="28"/>
    <s v="CREDITOR"/>
    <n v="28"/>
    <n v="0"/>
    <n v="0"/>
    <n v="0"/>
    <n v="0"/>
  </r>
  <r>
    <n v="62254992"/>
    <s v="N"/>
    <n v="21320877"/>
    <s v="3000016253860005"/>
    <s v="CIVIL"/>
    <d v="2023-06-28T00:00:00"/>
    <d v="2023-07-03T19:04:52"/>
    <m/>
    <d v="2023-07-03T00:00:00"/>
    <n v="1783"/>
    <n v="19751"/>
    <s v="62254992"/>
    <s v="62254992"/>
    <m/>
    <m/>
    <n v="22782376"/>
    <m/>
    <m/>
    <m/>
    <s v="SOLPOA"/>
    <s v="SOLPOA"/>
    <s v="CCMS"/>
    <n v="21320877"/>
    <n v="406.12"/>
    <m/>
    <s v="N"/>
    <n v="1"/>
    <d v="2023-07-03T19:04:56"/>
    <s v="N"/>
    <s v="Non Expert Disbursement"/>
    <s v="Non Expert Disbursement"/>
    <s v="Non Expert Disbursement"/>
    <s v="Bethany Connor"/>
    <s v="N"/>
    <n v="406.12"/>
    <n v="0"/>
    <x v="3"/>
    <s v="VALIDATED"/>
    <n v="1"/>
    <s v="01.11.80.308.2012.0000"/>
    <n v="406.12"/>
    <s v="11"/>
    <s v="2012"/>
    <n v="33277.69"/>
    <n v="406.12"/>
    <s v="CREDITOR"/>
    <n v="406.12"/>
    <n v="0"/>
    <n v="0"/>
    <n v="0"/>
    <n v="0"/>
  </r>
  <r>
    <n v="62164045"/>
    <s v="N"/>
    <n v="21344085"/>
    <s v="3000016176230001"/>
    <s v="CIVIL"/>
    <d v="2023-06-30T00:00:00"/>
    <d v="2023-07-07T19:03:00"/>
    <m/>
    <d v="2023-07-07T00:00:00"/>
    <n v="1783"/>
    <n v="19751"/>
    <s v="62164045"/>
    <s v="62164045"/>
    <m/>
    <m/>
    <n v="22797552"/>
    <m/>
    <m/>
    <m/>
    <s v="SOLFIN"/>
    <s v="SOLFIN"/>
    <s v="CCMS"/>
    <n v="21344085"/>
    <n v="2150.53"/>
    <m/>
    <s v="N"/>
    <n v="21"/>
    <d v="2023-07-07T19:03:23"/>
    <s v="Y"/>
    <s v="Preparation - other"/>
    <s v="Prescribed Hourly Rates"/>
    <s v="Profit Cost"/>
    <s v="Catherine Woolley"/>
    <s v="Y"/>
    <n v="8.550000000000001"/>
    <n v="1.71"/>
    <x v="9"/>
    <s v="VALIDATED"/>
    <n v="1"/>
    <s v="01.11.80.305.6100.0000"/>
    <n v="8.550000000000001"/>
    <s v="11"/>
    <s v="6100"/>
    <n v="33277.69"/>
    <n v="8.550000000000001"/>
    <s v="CREDITOR"/>
    <n v="0"/>
    <n v="0"/>
    <n v="0"/>
    <n v="0"/>
    <n v="8.550000000000001"/>
  </r>
  <r>
    <n v="50622585"/>
    <s v="N"/>
    <n v="21320232"/>
    <s v="3000012462710066"/>
    <s v="CIVIL"/>
    <d v="2023-06-28T00:00:00"/>
    <d v="2023-07-03T19:04:52"/>
    <m/>
    <d v="2023-07-03T00:00:00"/>
    <n v="1786"/>
    <n v="14689"/>
    <s v="50622585"/>
    <s v="50622585"/>
    <m/>
    <m/>
    <n v="22780648"/>
    <m/>
    <m/>
    <m/>
    <s v="SOLPOA"/>
    <s v="SOLPOA"/>
    <s v="CCMS"/>
    <n v="21320232"/>
    <n v="268.8"/>
    <m/>
    <s v="N"/>
    <n v="1"/>
    <d v="2023-07-03T19:04:52"/>
    <s v="N"/>
    <s v="Non Expert Disbursement"/>
    <s v="Non Expert Disbursement"/>
    <s v="Non Expert Disbursement"/>
    <s v="abigail davidson"/>
    <s v="N"/>
    <n v="224"/>
    <n v="44.8"/>
    <x v="3"/>
    <s v="VALIDATED"/>
    <n v="1"/>
    <s v="01.11.80.308.2012.0000"/>
    <n v="224"/>
    <s v="11"/>
    <s v="2012"/>
    <n v="2691.33"/>
    <n v="224"/>
    <s v="CREDITOR"/>
    <n v="224"/>
    <n v="0"/>
    <n v="0"/>
    <n v="0"/>
    <n v="0"/>
  </r>
  <r>
    <n v="61137581"/>
    <s v="N"/>
    <n v="21320021"/>
    <s v="3000015323200023"/>
    <s v="CIVIL"/>
    <d v="2023-06-28T00:00:00"/>
    <d v="2023-07-03T19:04:24"/>
    <m/>
    <d v="2023-07-03T00:00:00"/>
    <n v="1786"/>
    <n v="14689"/>
    <s v="61137581"/>
    <s v="61137581"/>
    <m/>
    <m/>
    <n v="22777388"/>
    <m/>
    <m/>
    <m/>
    <s v="SOLPOA"/>
    <s v="SOLPOA"/>
    <s v="CCMS"/>
    <n v="21320021"/>
    <n v="262.08"/>
    <m/>
    <s v="N"/>
    <n v="1"/>
    <d v="2023-07-03T19:04:28"/>
    <s v="N"/>
    <s v="Non Expert Disbursement"/>
    <s v="Non Expert Disbursement"/>
    <s v="Non Expert Disbursement"/>
    <s v="abigail davidson"/>
    <s v="N"/>
    <n v="218.4"/>
    <n v="43.68"/>
    <x v="3"/>
    <s v="VALIDATED"/>
    <n v="1"/>
    <s v="01.11.80.308.2012.0000"/>
    <n v="218.4"/>
    <s v="11"/>
    <s v="2012"/>
    <n v="2691.33"/>
    <n v="218.4"/>
    <s v="CREDITOR"/>
    <n v="218.4"/>
    <n v="0"/>
    <n v="0"/>
    <n v="0"/>
    <n v="0"/>
  </r>
  <r>
    <n v="62096124"/>
    <s v="N"/>
    <n v="21320812"/>
    <s v="3000016123150005"/>
    <s v="CIVIL"/>
    <d v="2023-06-28T00:00:00"/>
    <d v="2023-07-03T19:04:52"/>
    <m/>
    <d v="2023-07-03T00:00:00"/>
    <n v="1786"/>
    <n v="14689"/>
    <s v="62096124"/>
    <s v="62096124"/>
    <m/>
    <m/>
    <n v="22779064"/>
    <m/>
    <m/>
    <m/>
    <s v="SOLPOA"/>
    <s v="SOLPOA"/>
    <s v="CCMS"/>
    <n v="21320812"/>
    <n v="216"/>
    <m/>
    <s v="N"/>
    <n v="1"/>
    <d v="2023-07-03T19:04:56"/>
    <s v="N"/>
    <s v="Non Expert Disbursement"/>
    <s v="Non Expert Disbursement"/>
    <s v="Non Expert Disbursement"/>
    <s v="abigail davidson"/>
    <s v="N"/>
    <n v="180"/>
    <n v="36"/>
    <x v="3"/>
    <s v="VALIDATED"/>
    <n v="1"/>
    <s v="01.11.80.308.2012.0000"/>
    <n v="180"/>
    <s v="11"/>
    <s v="2012"/>
    <n v="2691.33"/>
    <n v="180"/>
    <s v="CREDITOR"/>
    <n v="180"/>
    <n v="0"/>
    <n v="0"/>
    <n v="0"/>
    <n v="0"/>
  </r>
  <r>
    <n v="61137581"/>
    <s v="N"/>
    <n v="21323698"/>
    <s v="3000015323200026"/>
    <s v="CIVIL"/>
    <d v="2023-06-30T00:00:00"/>
    <d v="2023-07-03T19:05:56"/>
    <m/>
    <d v="2023-07-03T00:00:00"/>
    <n v="1786"/>
    <n v="14689"/>
    <s v="61137581"/>
    <s v="61137581"/>
    <m/>
    <m/>
    <n v="22799490"/>
    <m/>
    <m/>
    <m/>
    <s v="SOLPOA"/>
    <s v="SOLPOA"/>
    <s v="CCMS"/>
    <n v="21323698"/>
    <n v="478.56"/>
    <m/>
    <s v="N"/>
    <n v="1"/>
    <d v="2023-07-03T19:05:58"/>
    <s v="N"/>
    <s v="Non Expert Disbursement"/>
    <s v="Non Expert Disbursement"/>
    <s v="Non Expert Disbursement"/>
    <s v="abigail davidson"/>
    <s v="N"/>
    <n v="398.8"/>
    <n v="79.76000000000001"/>
    <x v="3"/>
    <s v="VALIDATED"/>
    <n v="1"/>
    <s v="01.11.80.308.2012.0000"/>
    <n v="398.8"/>
    <s v="11"/>
    <s v="2012"/>
    <n v="2691.33"/>
    <n v="398.8"/>
    <s v="CREDITOR"/>
    <n v="398.8"/>
    <n v="0"/>
    <n v="0"/>
    <n v="0"/>
    <n v="0"/>
  </r>
  <r>
    <n v="61426511"/>
    <s v="N"/>
    <n v="21322017"/>
    <s v="3000015563360023"/>
    <s v="CIVIL"/>
    <d v="2023-06-28T00:00:00"/>
    <d v="2023-07-03T19:05:17"/>
    <m/>
    <d v="2023-07-03T00:00:00"/>
    <n v="1786"/>
    <n v="14689"/>
    <s v="61426511"/>
    <s v="61426511"/>
    <m/>
    <m/>
    <n v="22783686"/>
    <m/>
    <m/>
    <m/>
    <s v="SOLPOA"/>
    <s v="SOLPOA"/>
    <s v="CCMS"/>
    <n v="21322017"/>
    <n v="162"/>
    <m/>
    <s v="N"/>
    <n v="1"/>
    <d v="2023-07-03T19:05:22"/>
    <s v="N"/>
    <s v="Non Expert Disbursement"/>
    <s v="Non Expert Disbursement"/>
    <s v="Non Expert Disbursement"/>
    <s v="abigail davidson"/>
    <s v="N"/>
    <n v="135"/>
    <n v="27"/>
    <x v="3"/>
    <s v="VALIDATED"/>
    <n v="1"/>
    <s v="01.11.80.308.2012.0000"/>
    <n v="135"/>
    <s v="11"/>
    <s v="2012"/>
    <n v="2691.33"/>
    <n v="135"/>
    <s v="CREDITOR"/>
    <n v="135"/>
    <n v="0"/>
    <n v="0"/>
    <n v="0"/>
    <n v="0"/>
  </r>
  <r>
    <n v="50622585"/>
    <s v="N"/>
    <n v="21320475"/>
    <s v="3000012462710067"/>
    <s v="CIVIL"/>
    <d v="2023-06-28T00:00:00"/>
    <d v="2023-07-03T19:04:52"/>
    <m/>
    <d v="2023-07-03T00:00:00"/>
    <n v="1786"/>
    <n v="14689"/>
    <s v="50622585"/>
    <s v="50622585"/>
    <m/>
    <m/>
    <n v="22780624"/>
    <m/>
    <m/>
    <m/>
    <s v="SOLPOA"/>
    <s v="SOLPOA"/>
    <s v="CCMS"/>
    <n v="21320475"/>
    <n v="268.8"/>
    <m/>
    <s v="N"/>
    <n v="1"/>
    <d v="2023-07-03T19:04:54"/>
    <s v="N"/>
    <s v="Non Expert Disbursement"/>
    <s v="Non Expert Disbursement"/>
    <s v="Non Expert Disbursement"/>
    <s v="abigail davidson"/>
    <s v="N"/>
    <n v="224"/>
    <n v="44.8"/>
    <x v="3"/>
    <s v="VALIDATED"/>
    <n v="1"/>
    <s v="01.11.80.308.2012.0000"/>
    <n v="224"/>
    <s v="11"/>
    <s v="2012"/>
    <n v="2691.33"/>
    <n v="224"/>
    <s v="CREDITOR"/>
    <n v="224"/>
    <n v="0"/>
    <n v="0"/>
    <n v="0"/>
    <n v="0"/>
  </r>
  <r>
    <n v="61380519"/>
    <s v="N"/>
    <n v="21323924"/>
    <s v="3000015525690028"/>
    <s v="CIVIL"/>
    <d v="2023-06-30T00:00:00"/>
    <d v="2023-07-03T19:05:56"/>
    <m/>
    <d v="2023-07-03T00:00:00"/>
    <n v="1786"/>
    <n v="14689"/>
    <s v="61380519"/>
    <s v="61380519"/>
    <m/>
    <m/>
    <n v="22798534"/>
    <m/>
    <m/>
    <m/>
    <s v="SOLPOA"/>
    <s v="SOLPOA"/>
    <s v="CCMS"/>
    <n v="21323924"/>
    <n v="709.98"/>
    <m/>
    <s v="N"/>
    <n v="1"/>
    <d v="2023-07-03T19:05:59"/>
    <s v="N"/>
    <s v="Non Expert Disbursement"/>
    <s v="Non Expert Disbursement"/>
    <s v="Non Expert Disbursement"/>
    <s v="abigail davidson"/>
    <s v="N"/>
    <n v="591.65"/>
    <n v="118.33"/>
    <x v="3"/>
    <s v="VALIDATED"/>
    <n v="1"/>
    <s v="01.11.80.308.2012.0000"/>
    <n v="591.65"/>
    <s v="11"/>
    <s v="2012"/>
    <n v="2691.33"/>
    <n v="591.65"/>
    <s v="CREDITOR"/>
    <n v="591.65"/>
    <n v="0"/>
    <n v="0"/>
    <n v="0"/>
    <n v="0"/>
  </r>
  <r>
    <n v="62212535"/>
    <s v="N"/>
    <n v="21323126"/>
    <s v="3000016219110003"/>
    <s v="CIVIL"/>
    <d v="2023-06-29T00:00:00"/>
    <d v="2023-07-03T19:05:36"/>
    <m/>
    <d v="2023-07-03T00:00:00"/>
    <n v="1786"/>
    <n v="14689"/>
    <s v="62212535"/>
    <s v="62212535"/>
    <m/>
    <m/>
    <n v="22790454"/>
    <m/>
    <m/>
    <m/>
    <s v="SOLPOA"/>
    <s v="SOLPOA"/>
    <s v="CCMS"/>
    <n v="21323126"/>
    <n v="330"/>
    <m/>
    <s v="N"/>
    <n v="1"/>
    <d v="2023-07-03T19:05:41"/>
    <s v="N"/>
    <s v="Non Expert Disbursement"/>
    <s v="Non Expert Disbursement"/>
    <s v="Non Expert Disbursement"/>
    <s v="abigail davidson"/>
    <s v="N"/>
    <n v="275"/>
    <n v="55"/>
    <x v="3"/>
    <s v="VALIDATED"/>
    <n v="1"/>
    <s v="01.11.80.308.2012.0000"/>
    <n v="275"/>
    <s v="11"/>
    <s v="2012"/>
    <n v="2691.33"/>
    <n v="275"/>
    <s v="CREDITOR"/>
    <n v="275"/>
    <n v="0"/>
    <n v="0"/>
    <n v="0"/>
    <n v="0"/>
  </r>
  <r>
    <n v="61380519"/>
    <s v="N"/>
    <n v="21338095"/>
    <s v="3000015525690029"/>
    <s v="CIVIL"/>
    <d v="2023-06-29T00:00:00"/>
    <d v="2023-07-06T19:21:01"/>
    <m/>
    <d v="2023-07-06T00:00:00"/>
    <n v="1786"/>
    <n v="14689"/>
    <s v="61380519"/>
    <s v="61380519"/>
    <m/>
    <m/>
    <n v="22787772"/>
    <m/>
    <m/>
    <m/>
    <s v="SOLPOA"/>
    <s v="SOLPOA"/>
    <s v="CCMS"/>
    <n v="21338095"/>
    <n v="501.46"/>
    <m/>
    <s v="N"/>
    <n v="1"/>
    <d v="2023-07-06T19:21:11"/>
    <s v="N"/>
    <s v="Non Expert Disbursement"/>
    <s v="Non Expert Disbursement"/>
    <s v="Non Expert Disbursement"/>
    <s v="abigail davidson"/>
    <s v="N"/>
    <n v="417.88"/>
    <n v="83.58"/>
    <x v="4"/>
    <s v="VALIDATED"/>
    <n v="1"/>
    <s v="01.11.80.308.2012.0000"/>
    <n v="417.88"/>
    <s v="11"/>
    <s v="2012"/>
    <n v="2691.33"/>
    <n v="417.88"/>
    <s v="CREDITOR"/>
    <n v="417.88"/>
    <n v="0"/>
    <n v="0"/>
    <n v="0"/>
    <n v="0"/>
  </r>
  <r>
    <n v="61137581"/>
    <s v="N"/>
    <n v="21323515"/>
    <s v="3000015323200025"/>
    <s v="CIVIL"/>
    <d v="2023-06-30T00:00:00"/>
    <d v="2023-07-03T19:05:56"/>
    <m/>
    <d v="2023-07-03T00:00:00"/>
    <n v="1786"/>
    <n v="14689"/>
    <s v="61137581"/>
    <s v="61137581"/>
    <m/>
    <m/>
    <n v="22799718"/>
    <m/>
    <m/>
    <m/>
    <s v="SOLPOA"/>
    <s v="SOLPOA"/>
    <s v="CCMS"/>
    <n v="21323515"/>
    <n v="31.92"/>
    <m/>
    <s v="N"/>
    <n v="1"/>
    <d v="2023-07-03T19:05:57"/>
    <s v="N"/>
    <s v="Non Expert Disbursement"/>
    <s v="Non Expert Disbursement"/>
    <s v="Non Expert Disbursement"/>
    <s v="abigail davidson"/>
    <s v="N"/>
    <n v="26.6"/>
    <n v="5.32"/>
    <x v="3"/>
    <s v="VALIDATED"/>
    <n v="1"/>
    <s v="01.11.80.308.2012.0000"/>
    <n v="26.6"/>
    <s v="11"/>
    <s v="2012"/>
    <n v="2691.33"/>
    <n v="26.6"/>
    <s v="CREDITOR"/>
    <n v="26.6"/>
    <n v="0"/>
    <n v="0"/>
    <n v="0"/>
    <n v="0"/>
  </r>
  <r>
    <n v="60295550"/>
    <s v="N"/>
    <n v="21382185"/>
    <s v="3000014599800018"/>
    <s v="CIVIL"/>
    <d v="2023-06-06T00:00:00"/>
    <d v="2023-07-17T19:01:46"/>
    <m/>
    <d v="2023-07-17T00:00:00"/>
    <n v="1787"/>
    <n v="19785"/>
    <s v="60295550"/>
    <s v="60295550"/>
    <m/>
    <m/>
    <n v="22633274"/>
    <m/>
    <m/>
    <m/>
    <s v="SOLPOA"/>
    <s v="SOLPOA"/>
    <s v="CCMS"/>
    <n v="21382185"/>
    <n v="260.14"/>
    <m/>
    <s v="N"/>
    <n v="1"/>
    <d v="2023-07-17T19:02:04"/>
    <s v="N"/>
    <s v="Expert Cost"/>
    <s v="Expert Cost"/>
    <s v="Expert Disbursement"/>
    <s v="Hollie Randles"/>
    <s v="N"/>
    <n v="260.14"/>
    <n v="0"/>
    <x v="8"/>
    <s v="VALIDATED"/>
    <n v="1"/>
    <s v="01.11.80.308.2012.0000"/>
    <n v="260.14"/>
    <s v="11"/>
    <s v="2012"/>
    <n v="884.72"/>
    <n v="260.14"/>
    <s v="CREDITOR"/>
    <n v="260.14"/>
    <n v="0"/>
    <n v="0"/>
    <n v="0"/>
    <n v="0"/>
  </r>
  <r>
    <n v="62128204"/>
    <s v="N"/>
    <n v="21320149"/>
    <s v="3000016150750003"/>
    <s v="CIVIL"/>
    <d v="2023-06-28T00:00:00"/>
    <d v="2023-07-03T19:04:24"/>
    <m/>
    <d v="2023-07-03T00:00:00"/>
    <n v="1787"/>
    <n v="19785"/>
    <s v="62128204"/>
    <s v="62128204"/>
    <m/>
    <m/>
    <n v="22777488"/>
    <m/>
    <m/>
    <m/>
    <s v="SOLPOA"/>
    <s v="SOLPOA"/>
    <s v="CCMS"/>
    <n v="21320149"/>
    <n v="624.58"/>
    <m/>
    <s v="N"/>
    <n v="1"/>
    <d v="2023-07-03T19:04:29"/>
    <s v="N"/>
    <s v="Non Expert Disbursement"/>
    <s v="Non Expert Disbursement"/>
    <s v="Non Expert Disbursement"/>
    <s v="Katherine Deehan"/>
    <s v="N"/>
    <n v="624.58"/>
    <n v="0"/>
    <x v="3"/>
    <s v="VALIDATED"/>
    <n v="1"/>
    <s v="01.11.80.308.2012.0000"/>
    <n v="624.58"/>
    <s v="11"/>
    <s v="2012"/>
    <n v="884.72"/>
    <n v="624.58"/>
    <s v="CREDITOR"/>
    <n v="624.58"/>
    <n v="0"/>
    <n v="0"/>
    <n v="0"/>
    <n v="0"/>
  </r>
  <r>
    <n v="60248092"/>
    <s v="N"/>
    <n v="21323842"/>
    <s v="3000014554590030"/>
    <s v="CIVIL"/>
    <d v="2023-06-30T00:00:00"/>
    <d v="2023-07-03T19:05:56"/>
    <m/>
    <d v="2023-07-03T00:00:00"/>
    <n v="1788"/>
    <n v="19785"/>
    <s v="60248092"/>
    <s v="60248092"/>
    <m/>
    <m/>
    <n v="22796486"/>
    <m/>
    <m/>
    <m/>
    <s v="SOLPOA"/>
    <s v="SOLPOA"/>
    <s v="CCMS"/>
    <n v="21323842"/>
    <n v="383.5"/>
    <m/>
    <s v="N"/>
    <n v="1"/>
    <d v="2023-07-03T19:05:59"/>
    <s v="N"/>
    <s v="Non Expert Disbursement"/>
    <s v="Non Expert Disbursement"/>
    <s v="Non Expert Disbursement"/>
    <s v="Katherine Deehan"/>
    <s v="N"/>
    <n v="383.5"/>
    <n v="0"/>
    <x v="3"/>
    <s v="VALIDATED"/>
    <n v="1"/>
    <s v="01.11.80.308.2012.0000"/>
    <n v="383.5"/>
    <s v="11"/>
    <s v="2012"/>
    <n v="-6364.76"/>
    <n v="383.5"/>
    <s v="DEBTOR"/>
    <n v="0"/>
    <n v="0"/>
    <n v="0"/>
    <n v="0"/>
    <n v="0"/>
  </r>
  <r>
    <n v="60248092"/>
    <s v="N"/>
    <n v="21412838"/>
    <s v="3000014554590017RC"/>
    <s v="CIVIL"/>
    <d v="2023-06-30T00:00:00"/>
    <d v="2023-07-21T19:28:38"/>
    <m/>
    <d v="2023-07-21T00:00:00"/>
    <n v="1788"/>
    <n v="19785"/>
    <s v="60248092"/>
    <s v="60248092"/>
    <m/>
    <m/>
    <m/>
    <m/>
    <m/>
    <m/>
    <s v="SOLRECOUP"/>
    <s v="SOLRECOUP"/>
    <s v="POARECOUP"/>
    <n v="21412838"/>
    <n v="-134.4"/>
    <m/>
    <s v="Y"/>
    <n v="1"/>
    <d v="2023-07-21T19:28:38"/>
    <s v="N"/>
    <m/>
    <m/>
    <s v="Non Expert Disbursement"/>
    <m/>
    <s v="N"/>
    <n v="-134.4"/>
    <n v="0"/>
    <x v="12"/>
    <s v="VALIDATED"/>
    <n v="1"/>
    <s v="01.11.80.308.2013.0000"/>
    <n v="-134.4"/>
    <s v="11"/>
    <s v="2013"/>
    <n v="-6364.76"/>
    <n v="-134.4"/>
    <s v="DEBTOR"/>
    <n v="0"/>
    <n v="0"/>
    <n v="0"/>
    <n v="0"/>
    <n v="0"/>
  </r>
  <r>
    <n v="60248092"/>
    <s v="N"/>
    <n v="21412854"/>
    <s v="3000014554590027RC"/>
    <s v="CIVIL"/>
    <d v="2023-06-30T00:00:00"/>
    <d v="2023-07-21T19:28:38"/>
    <m/>
    <d v="2023-07-21T00:00:00"/>
    <n v="1788"/>
    <n v="19785"/>
    <s v="60248092"/>
    <s v="60248092"/>
    <m/>
    <m/>
    <m/>
    <m/>
    <m/>
    <m/>
    <s v="SOLRECOUP"/>
    <s v="SOLRECOUP"/>
    <s v="POARECOUP"/>
    <n v="21412854"/>
    <n v="-194.4"/>
    <m/>
    <s v="Y"/>
    <n v="1"/>
    <d v="2023-07-21T19:28:38"/>
    <s v="N"/>
    <m/>
    <m/>
    <s v="Expert Disbursement"/>
    <m/>
    <s v="N"/>
    <n v="-162"/>
    <n v="0"/>
    <x v="12"/>
    <s v="VALIDATED"/>
    <n v="1"/>
    <s v="01.11.80.308.2013.0000"/>
    <n v="-162"/>
    <s v="11"/>
    <s v="2013"/>
    <n v="-6364.76"/>
    <n v="-162"/>
    <s v="DEBTOR"/>
    <n v="0"/>
    <n v="0"/>
    <n v="0"/>
    <n v="0"/>
    <n v="0"/>
  </r>
  <r>
    <n v="60248092"/>
    <s v="N"/>
    <n v="21412854"/>
    <s v="3000014554590027RC"/>
    <s v="CIVIL"/>
    <d v="2023-06-30T00:00:00"/>
    <d v="2023-07-21T19:28:38"/>
    <m/>
    <d v="2023-07-21T00:00:00"/>
    <n v="1788"/>
    <n v="19785"/>
    <s v="60248092"/>
    <s v="60248092"/>
    <m/>
    <m/>
    <m/>
    <m/>
    <m/>
    <m/>
    <s v="SOLRECOUP"/>
    <s v="SOLRECOUP"/>
    <s v="POARECOUP"/>
    <n v="21412854"/>
    <n v="-194.4"/>
    <m/>
    <s v="Y"/>
    <n v="2"/>
    <d v="2023-07-21T19:28:38"/>
    <s v="N"/>
    <m/>
    <m/>
    <s v="Expert Disbursement"/>
    <m/>
    <s v="N"/>
    <n v="0"/>
    <n v="-32.4"/>
    <x v="12"/>
    <s v="VALIDATED"/>
    <n v="1"/>
    <s v="01.11.80.308.2013.0000"/>
    <n v="-32.4"/>
    <s v="11"/>
    <s v="2013"/>
    <n v="-6364.76"/>
    <n v="-32.4"/>
    <s v="DEBTOR"/>
    <n v="0"/>
    <n v="0"/>
    <n v="0"/>
    <n v="0"/>
    <n v="0"/>
  </r>
  <r>
    <n v="60248092"/>
    <s v="N"/>
    <n v="21412860"/>
    <s v="3000014554590028RC"/>
    <s v="CIVIL"/>
    <d v="2023-06-30T00:00:00"/>
    <d v="2023-07-21T19:28:38"/>
    <m/>
    <d v="2023-07-21T00:00:00"/>
    <n v="1788"/>
    <n v="19785"/>
    <s v="60248092"/>
    <s v="60248092"/>
    <m/>
    <m/>
    <m/>
    <m/>
    <m/>
    <m/>
    <s v="SOLRECOUP"/>
    <s v="SOLRECOUP"/>
    <s v="POARECOUP"/>
    <n v="21412860"/>
    <n v="-134.3"/>
    <m/>
    <s v="Y"/>
    <n v="1"/>
    <d v="2023-07-21T19:28:38"/>
    <s v="N"/>
    <m/>
    <m/>
    <s v="Non Expert Disbursement"/>
    <m/>
    <s v="N"/>
    <n v="-134.3"/>
    <n v="0"/>
    <x v="12"/>
    <s v="VALIDATED"/>
    <n v="1"/>
    <s v="01.11.80.308.2013.0000"/>
    <n v="-134.3"/>
    <s v="11"/>
    <s v="2013"/>
    <n v="-6364.76"/>
    <n v="-134.3"/>
    <s v="DEBTOR"/>
    <n v="0"/>
    <n v="0"/>
    <n v="0"/>
    <n v="0"/>
    <n v="0"/>
  </r>
  <r>
    <n v="60248092"/>
    <s v="N"/>
    <n v="21412860"/>
    <s v="3000014554590028RC"/>
    <s v="CIVIL"/>
    <d v="2023-06-30T00:00:00"/>
    <d v="2023-07-21T19:28:38"/>
    <m/>
    <d v="2023-07-21T00:00:00"/>
    <n v="1788"/>
    <n v="19785"/>
    <s v="60248092"/>
    <s v="60248092"/>
    <m/>
    <m/>
    <m/>
    <m/>
    <m/>
    <m/>
    <s v="SOLRECOUP"/>
    <s v="SOLRECOUP"/>
    <s v="POARECOUP"/>
    <n v="21412860"/>
    <n v="-134.3"/>
    <m/>
    <s v="Y"/>
    <n v="2"/>
    <d v="2023-07-21T19:28:38"/>
    <s v="N"/>
    <m/>
    <m/>
    <s v="Non Expert Disbursement"/>
    <m/>
    <s v="N"/>
    <n v="0"/>
    <n v="0"/>
    <x v="12"/>
    <s v="VALIDATED"/>
    <n v="1"/>
    <s v="01.11.80.000.0000.0000"/>
    <n v="0"/>
    <s v="11"/>
    <s v="0000"/>
    <n v="-6364.76"/>
    <n v="0"/>
    <s v="DEBTOR"/>
    <n v="0"/>
    <n v="0"/>
    <n v="0"/>
    <n v="0"/>
    <n v="0"/>
  </r>
  <r>
    <n v="60248092"/>
    <s v="N"/>
    <n v="21412606"/>
    <s v="3000014554590021RC"/>
    <s v="CIVIL"/>
    <d v="2023-06-30T00:00:00"/>
    <d v="2023-07-21T19:28:22"/>
    <m/>
    <d v="2023-07-21T00:00:00"/>
    <n v="1788"/>
    <n v="19785"/>
    <s v="60248092"/>
    <s v="60248092"/>
    <m/>
    <m/>
    <m/>
    <m/>
    <m/>
    <m/>
    <s v="SOLRECOUP"/>
    <s v="SOLRECOUP"/>
    <s v="POARECOUP"/>
    <n v="21412606"/>
    <n v="-249.46"/>
    <m/>
    <s v="Y"/>
    <n v="1"/>
    <d v="2023-07-21T19:28:25"/>
    <s v="N"/>
    <m/>
    <m/>
    <s v="Non Expert Disbursement"/>
    <m/>
    <s v="N"/>
    <n v="-249.46"/>
    <n v="0"/>
    <x v="12"/>
    <s v="VALIDATED"/>
    <n v="1"/>
    <s v="01.11.80.308.2013.0000"/>
    <n v="-249.46"/>
    <s v="11"/>
    <s v="2013"/>
    <n v="-6364.76"/>
    <n v="-249.46"/>
    <s v="DEBTOR"/>
    <n v="0"/>
    <n v="0"/>
    <n v="0"/>
    <n v="0"/>
    <n v="0"/>
  </r>
  <r>
    <n v="60248092"/>
    <s v="N"/>
    <n v="21412665"/>
    <s v="3000014554590022RC"/>
    <s v="CIVIL"/>
    <d v="2023-06-30T00:00:00"/>
    <d v="2023-07-21T19:28:22"/>
    <m/>
    <d v="2023-07-21T00:00:00"/>
    <n v="1788"/>
    <n v="19785"/>
    <s v="60248092"/>
    <s v="60248092"/>
    <m/>
    <m/>
    <m/>
    <m/>
    <m/>
    <m/>
    <s v="SOLRECOUP"/>
    <s v="SOLRECOUP"/>
    <s v="POARECOUP"/>
    <n v="21412665"/>
    <n v="-26.88"/>
    <m/>
    <s v="Y"/>
    <n v="1"/>
    <d v="2023-07-21T19:28:25"/>
    <s v="N"/>
    <m/>
    <m/>
    <s v="Non Expert Disbursement"/>
    <m/>
    <s v="N"/>
    <n v="-26.88"/>
    <n v="0"/>
    <x v="12"/>
    <s v="VALIDATED"/>
    <n v="1"/>
    <s v="01.11.80.308.2013.0000"/>
    <n v="-26.88"/>
    <s v="11"/>
    <s v="2013"/>
    <n v="-6364.76"/>
    <n v="-26.88"/>
    <s v="DEBTOR"/>
    <n v="0"/>
    <n v="0"/>
    <n v="0"/>
    <n v="0"/>
    <n v="0"/>
  </r>
  <r>
    <n v="60248092"/>
    <s v="N"/>
    <n v="21412665"/>
    <s v="3000014554590022RC"/>
    <s v="CIVIL"/>
    <d v="2023-06-30T00:00:00"/>
    <d v="2023-07-21T19:28:22"/>
    <m/>
    <d v="2023-07-21T00:00:00"/>
    <n v="1788"/>
    <n v="19785"/>
    <s v="60248092"/>
    <s v="60248092"/>
    <m/>
    <m/>
    <m/>
    <m/>
    <m/>
    <m/>
    <s v="SOLRECOUP"/>
    <s v="SOLRECOUP"/>
    <s v="POARECOUP"/>
    <n v="21412665"/>
    <n v="-26.88"/>
    <m/>
    <s v="Y"/>
    <n v="2"/>
    <d v="2023-07-21T19:28:25"/>
    <s v="N"/>
    <m/>
    <m/>
    <s v="Non Expert Disbursement"/>
    <m/>
    <s v="N"/>
    <n v="0"/>
    <n v="0"/>
    <x v="12"/>
    <s v="VALIDATED"/>
    <n v="1"/>
    <s v="01.11.80.000.0000.0000"/>
    <n v="0"/>
    <s v="11"/>
    <s v="0000"/>
    <n v="-6364.76"/>
    <n v="0"/>
    <s v="DEBTOR"/>
    <n v="0"/>
    <n v="0"/>
    <n v="0"/>
    <n v="0"/>
    <n v="0"/>
  </r>
  <r>
    <n v="60248092"/>
    <s v="N"/>
    <n v="21412666"/>
    <s v="3000014554590023RC"/>
    <s v="CIVIL"/>
    <d v="2023-06-30T00:00:00"/>
    <d v="2023-07-21T19:28:22"/>
    <m/>
    <d v="2023-07-21T00:00:00"/>
    <n v="1788"/>
    <n v="19785"/>
    <s v="60248092"/>
    <s v="60248092"/>
    <m/>
    <m/>
    <m/>
    <m/>
    <m/>
    <m/>
    <s v="SOLRECOUP"/>
    <s v="SOLRECOUP"/>
    <s v="POARECOUP"/>
    <n v="21412666"/>
    <n v="-139.44"/>
    <m/>
    <s v="Y"/>
    <n v="2"/>
    <d v="2023-07-21T19:28:25"/>
    <s v="N"/>
    <m/>
    <m/>
    <s v="Non Expert Disbursement"/>
    <m/>
    <s v="N"/>
    <n v="0"/>
    <n v="0"/>
    <x v="12"/>
    <s v="VALIDATED"/>
    <n v="1"/>
    <s v="01.11.80.000.0000.0000"/>
    <n v="0"/>
    <s v="11"/>
    <s v="0000"/>
    <n v="-6364.76"/>
    <n v="0"/>
    <s v="DEBTOR"/>
    <n v="0"/>
    <n v="0"/>
    <n v="0"/>
    <n v="0"/>
    <n v="0"/>
  </r>
  <r>
    <n v="60248092"/>
    <s v="N"/>
    <n v="21412666"/>
    <s v="3000014554590023RC"/>
    <s v="CIVIL"/>
    <d v="2023-06-30T00:00:00"/>
    <d v="2023-07-21T19:28:22"/>
    <m/>
    <d v="2023-07-21T00:00:00"/>
    <n v="1788"/>
    <n v="19785"/>
    <s v="60248092"/>
    <s v="60248092"/>
    <m/>
    <m/>
    <m/>
    <m/>
    <m/>
    <m/>
    <s v="SOLRECOUP"/>
    <s v="SOLRECOUP"/>
    <s v="POARECOUP"/>
    <n v="21412666"/>
    <n v="-139.44"/>
    <m/>
    <s v="Y"/>
    <n v="1"/>
    <d v="2023-07-21T19:28:25"/>
    <s v="N"/>
    <m/>
    <m/>
    <s v="Non Expert Disbursement"/>
    <m/>
    <s v="N"/>
    <n v="-139.44"/>
    <n v="0"/>
    <x v="12"/>
    <s v="VALIDATED"/>
    <n v="1"/>
    <s v="01.11.80.308.2013.0000"/>
    <n v="-139.44"/>
    <s v="11"/>
    <s v="2013"/>
    <n v="-6364.76"/>
    <n v="-139.44"/>
    <s v="DEBTOR"/>
    <n v="0"/>
    <n v="0"/>
    <n v="0"/>
    <n v="0"/>
    <n v="0"/>
  </r>
  <r>
    <n v="60248092"/>
    <s v="N"/>
    <n v="21412674"/>
    <s v="3000014554590024RC"/>
    <s v="CIVIL"/>
    <d v="2023-06-30T00:00:00"/>
    <d v="2023-07-21T19:28:22"/>
    <m/>
    <d v="2023-07-21T00:00:00"/>
    <n v="1788"/>
    <n v="19785"/>
    <s v="60248092"/>
    <s v="60248092"/>
    <m/>
    <m/>
    <m/>
    <m/>
    <m/>
    <m/>
    <s v="SOLRECOUP"/>
    <s v="SOLRECOUP"/>
    <s v="POARECOUP"/>
    <n v="21412674"/>
    <n v="-77.95"/>
    <m/>
    <s v="Y"/>
    <n v="1"/>
    <d v="2023-07-21T19:28:25"/>
    <s v="N"/>
    <m/>
    <m/>
    <s v="Non Expert Disbursement"/>
    <m/>
    <s v="N"/>
    <n v="-77.95"/>
    <n v="0"/>
    <x v="12"/>
    <s v="VALIDATED"/>
    <n v="1"/>
    <s v="01.11.80.308.2013.0000"/>
    <n v="-77.95"/>
    <s v="11"/>
    <s v="2013"/>
    <n v="-6364.76"/>
    <n v="-77.95"/>
    <s v="DEBTOR"/>
    <n v="0"/>
    <n v="0"/>
    <n v="0"/>
    <n v="0"/>
    <n v="0"/>
  </r>
  <r>
    <n v="60248092"/>
    <s v="N"/>
    <n v="21412674"/>
    <s v="3000014554590024RC"/>
    <s v="CIVIL"/>
    <d v="2023-06-30T00:00:00"/>
    <d v="2023-07-21T19:28:22"/>
    <m/>
    <d v="2023-07-21T00:00:00"/>
    <n v="1788"/>
    <n v="19785"/>
    <s v="60248092"/>
    <s v="60248092"/>
    <m/>
    <m/>
    <m/>
    <m/>
    <m/>
    <m/>
    <s v="SOLRECOUP"/>
    <s v="SOLRECOUP"/>
    <s v="POARECOUP"/>
    <n v="21412674"/>
    <n v="-77.95"/>
    <m/>
    <s v="Y"/>
    <n v="2"/>
    <d v="2023-07-21T19:28:25"/>
    <s v="N"/>
    <m/>
    <m/>
    <s v="Non Expert Disbursement"/>
    <m/>
    <s v="N"/>
    <n v="0"/>
    <n v="0"/>
    <x v="12"/>
    <s v="VALIDATED"/>
    <n v="1"/>
    <s v="01.11.80.000.0000.0000"/>
    <n v="0"/>
    <s v="11"/>
    <s v="0000"/>
    <n v="-6364.76"/>
    <n v="0"/>
    <s v="DEBTOR"/>
    <n v="0"/>
    <n v="0"/>
    <n v="0"/>
    <n v="0"/>
    <n v="0"/>
  </r>
  <r>
    <n v="60248092"/>
    <s v="N"/>
    <n v="21412724"/>
    <s v="3000014554590025RC"/>
    <s v="CIVIL"/>
    <d v="2023-06-30T00:00:00"/>
    <d v="2023-07-21T19:28:22"/>
    <m/>
    <d v="2023-07-21T00:00:00"/>
    <n v="1788"/>
    <n v="19785"/>
    <s v="60248092"/>
    <s v="60248092"/>
    <m/>
    <m/>
    <m/>
    <m/>
    <m/>
    <m/>
    <s v="SOLRECOUP"/>
    <s v="SOLRECOUP"/>
    <s v="POARECOUP"/>
    <n v="21412724"/>
    <n v="-194.4"/>
    <m/>
    <s v="Y"/>
    <n v="1"/>
    <d v="2023-07-21T19:28:25"/>
    <s v="N"/>
    <m/>
    <m/>
    <s v="Non Expert Disbursement"/>
    <m/>
    <s v="N"/>
    <n v="-194.4"/>
    <n v="0"/>
    <x v="12"/>
    <s v="VALIDATED"/>
    <n v="1"/>
    <s v="01.11.80.308.2013.0000"/>
    <n v="-194.4"/>
    <s v="11"/>
    <s v="2013"/>
    <n v="-6364.76"/>
    <n v="-194.4"/>
    <s v="DEBTOR"/>
    <n v="0"/>
    <n v="0"/>
    <n v="0"/>
    <n v="0"/>
    <n v="0"/>
  </r>
  <r>
    <n v="60248092"/>
    <s v="N"/>
    <n v="21412724"/>
    <s v="3000014554590025RC"/>
    <s v="CIVIL"/>
    <d v="2023-06-30T00:00:00"/>
    <d v="2023-07-21T19:28:22"/>
    <m/>
    <d v="2023-07-21T00:00:00"/>
    <n v="1788"/>
    <n v="19785"/>
    <s v="60248092"/>
    <s v="60248092"/>
    <m/>
    <m/>
    <m/>
    <m/>
    <m/>
    <m/>
    <s v="SOLRECOUP"/>
    <s v="SOLRECOUP"/>
    <s v="POARECOUP"/>
    <n v="21412724"/>
    <n v="-194.4"/>
    <m/>
    <s v="Y"/>
    <n v="2"/>
    <d v="2023-07-21T19:28:25"/>
    <s v="N"/>
    <m/>
    <m/>
    <s v="Non Expert Disbursement"/>
    <m/>
    <s v="N"/>
    <n v="0"/>
    <n v="0"/>
    <x v="12"/>
    <s v="VALIDATED"/>
    <n v="1"/>
    <s v="01.11.80.000.0000.0000"/>
    <n v="0"/>
    <s v="11"/>
    <s v="0000"/>
    <n v="-6364.76"/>
    <n v="0"/>
    <s v="DEBTOR"/>
    <n v="0"/>
    <n v="0"/>
    <n v="0"/>
    <n v="0"/>
    <n v="0"/>
  </r>
  <r>
    <n v="60248092"/>
    <s v="N"/>
    <n v="21412737"/>
    <s v="3000014554590026RC"/>
    <s v="CIVIL"/>
    <d v="2023-06-30T00:00:00"/>
    <d v="2023-07-21T19:28:22"/>
    <m/>
    <d v="2023-07-21T00:00:00"/>
    <n v="1788"/>
    <n v="19785"/>
    <s v="60248092"/>
    <s v="60248092"/>
    <m/>
    <m/>
    <m/>
    <m/>
    <m/>
    <m/>
    <s v="SOLRECOUP"/>
    <s v="SOLRECOUP"/>
    <s v="POARECOUP"/>
    <n v="21412737"/>
    <n v="-249.1"/>
    <m/>
    <s v="Y"/>
    <n v="2"/>
    <d v="2023-07-21T19:28:25"/>
    <s v="N"/>
    <m/>
    <m/>
    <s v="Non Expert Disbursement"/>
    <m/>
    <s v="N"/>
    <n v="0"/>
    <n v="0"/>
    <x v="12"/>
    <s v="VALIDATED"/>
    <n v="1"/>
    <s v="01.11.80.000.0000.0000"/>
    <n v="0"/>
    <s v="11"/>
    <s v="0000"/>
    <n v="-6364.76"/>
    <n v="0"/>
    <s v="DEBTOR"/>
    <n v="0"/>
    <n v="0"/>
    <n v="0"/>
    <n v="0"/>
    <n v="0"/>
  </r>
  <r>
    <n v="60248092"/>
    <s v="N"/>
    <n v="21412737"/>
    <s v="3000014554590026RC"/>
    <s v="CIVIL"/>
    <d v="2023-06-30T00:00:00"/>
    <d v="2023-07-21T19:28:22"/>
    <m/>
    <d v="2023-07-21T00:00:00"/>
    <n v="1788"/>
    <n v="19785"/>
    <s v="60248092"/>
    <s v="60248092"/>
    <m/>
    <m/>
    <m/>
    <m/>
    <m/>
    <m/>
    <s v="SOLRECOUP"/>
    <s v="SOLRECOUP"/>
    <s v="POARECOUP"/>
    <n v="21412737"/>
    <n v="-249.1"/>
    <m/>
    <s v="Y"/>
    <n v="1"/>
    <d v="2023-07-21T19:28:25"/>
    <s v="N"/>
    <m/>
    <m/>
    <s v="Non Expert Disbursement"/>
    <m/>
    <s v="N"/>
    <n v="-249.1"/>
    <n v="0"/>
    <x v="12"/>
    <s v="VALIDATED"/>
    <n v="1"/>
    <s v="01.11.80.308.2013.0000"/>
    <n v="-249.1"/>
    <s v="11"/>
    <s v="2013"/>
    <n v="-6364.76"/>
    <n v="-249.1"/>
    <s v="DEBTOR"/>
    <n v="0"/>
    <n v="0"/>
    <n v="0"/>
    <n v="0"/>
    <n v="0"/>
  </r>
  <r>
    <n v="60248092"/>
    <s v="N"/>
    <n v="21412797"/>
    <s v="3000014554590029RC"/>
    <s v="CIVIL"/>
    <d v="2023-06-30T00:00:00"/>
    <d v="2023-07-21T19:28:22"/>
    <m/>
    <d v="2023-07-21T00:00:00"/>
    <n v="1788"/>
    <n v="19785"/>
    <s v="60248092"/>
    <s v="60248092"/>
    <m/>
    <m/>
    <m/>
    <m/>
    <m/>
    <m/>
    <s v="SOLRECOUP"/>
    <s v="SOLRECOUP"/>
    <s v="POARECOUP"/>
    <n v="21412797"/>
    <n v="-249.1"/>
    <m/>
    <s v="Y"/>
    <n v="1"/>
    <d v="2023-07-21T19:28:26"/>
    <s v="N"/>
    <m/>
    <m/>
    <s v="Non Expert Disbursement"/>
    <m/>
    <s v="N"/>
    <n v="-249.1"/>
    <n v="0"/>
    <x v="12"/>
    <s v="VALIDATED"/>
    <n v="1"/>
    <s v="01.11.80.308.2013.0000"/>
    <n v="-249.1"/>
    <s v="11"/>
    <s v="2013"/>
    <n v="-6364.76"/>
    <n v="-249.1"/>
    <s v="DEBTOR"/>
    <n v="0"/>
    <n v="0"/>
    <n v="0"/>
    <n v="0"/>
    <n v="0"/>
  </r>
  <r>
    <n v="60248092"/>
    <s v="N"/>
    <n v="21412797"/>
    <s v="3000014554590029RC"/>
    <s v="CIVIL"/>
    <d v="2023-06-30T00:00:00"/>
    <d v="2023-07-21T19:28:22"/>
    <m/>
    <d v="2023-07-21T00:00:00"/>
    <n v="1788"/>
    <n v="19785"/>
    <s v="60248092"/>
    <s v="60248092"/>
    <m/>
    <m/>
    <m/>
    <m/>
    <m/>
    <m/>
    <s v="SOLRECOUP"/>
    <s v="SOLRECOUP"/>
    <s v="POARECOUP"/>
    <n v="21412797"/>
    <n v="-249.1"/>
    <m/>
    <s v="Y"/>
    <n v="2"/>
    <d v="2023-07-21T19:28:26"/>
    <s v="N"/>
    <m/>
    <m/>
    <s v="Non Expert Disbursement"/>
    <m/>
    <s v="N"/>
    <n v="0"/>
    <n v="0"/>
    <x v="12"/>
    <s v="VALIDATED"/>
    <n v="1"/>
    <s v="01.11.80.000.0000.0000"/>
    <n v="0"/>
    <s v="11"/>
    <s v="0000"/>
    <n v="-6364.76"/>
    <n v="0"/>
    <s v="DEBTOR"/>
    <n v="0"/>
    <n v="0"/>
    <n v="0"/>
    <n v="0"/>
    <n v="0"/>
  </r>
  <r>
    <n v="60248092"/>
    <s v="N"/>
    <n v="21412811"/>
    <s v="3000014554590030RC"/>
    <s v="CIVIL"/>
    <d v="2023-06-30T00:00:00"/>
    <d v="2023-07-21T19:28:22"/>
    <m/>
    <d v="2023-07-21T00:00:00"/>
    <n v="1788"/>
    <n v="19785"/>
    <s v="60248092"/>
    <s v="60248092"/>
    <m/>
    <m/>
    <m/>
    <m/>
    <m/>
    <m/>
    <s v="SOLRECOUP"/>
    <s v="SOLRECOUP"/>
    <s v="POARECOUP"/>
    <n v="21412811"/>
    <n v="-383.5"/>
    <m/>
    <s v="Y"/>
    <n v="2"/>
    <d v="2023-07-21T19:28:26"/>
    <s v="N"/>
    <m/>
    <m/>
    <s v="Non Expert Disbursement"/>
    <m/>
    <s v="N"/>
    <n v="0"/>
    <n v="0"/>
    <x v="12"/>
    <s v="VALIDATED"/>
    <n v="1"/>
    <s v="01.11.80.000.0000.0000"/>
    <n v="0"/>
    <s v="11"/>
    <s v="0000"/>
    <n v="-6364.76"/>
    <n v="0"/>
    <s v="DEBTOR"/>
    <n v="0"/>
    <n v="0"/>
    <n v="0"/>
    <n v="0"/>
    <n v="0"/>
  </r>
  <r>
    <n v="60248092"/>
    <s v="N"/>
    <n v="21412811"/>
    <s v="3000014554590030RC"/>
    <s v="CIVIL"/>
    <d v="2023-06-30T00:00:00"/>
    <d v="2023-07-21T19:28:22"/>
    <m/>
    <d v="2023-07-21T00:00:00"/>
    <n v="1788"/>
    <n v="19785"/>
    <s v="60248092"/>
    <s v="60248092"/>
    <m/>
    <m/>
    <m/>
    <m/>
    <m/>
    <m/>
    <s v="SOLRECOUP"/>
    <s v="SOLRECOUP"/>
    <s v="POARECOUP"/>
    <n v="21412811"/>
    <n v="-383.5"/>
    <m/>
    <s v="Y"/>
    <n v="1"/>
    <d v="2023-07-21T19:28:26"/>
    <s v="N"/>
    <m/>
    <m/>
    <s v="Non Expert Disbursement"/>
    <m/>
    <s v="N"/>
    <n v="-383.5"/>
    <n v="0"/>
    <x v="12"/>
    <s v="VALIDATED"/>
    <n v="1"/>
    <s v="01.11.80.308.2013.0000"/>
    <n v="-383.5"/>
    <s v="11"/>
    <s v="2013"/>
    <n v="-6364.76"/>
    <n v="-383.5"/>
    <s v="DEBTOR"/>
    <n v="0"/>
    <n v="0"/>
    <n v="0"/>
    <n v="0"/>
    <n v="0"/>
  </r>
  <r>
    <n v="60248092"/>
    <s v="N"/>
    <n v="21412838"/>
    <s v="3000014554590017RC"/>
    <s v="CIVIL"/>
    <d v="2023-06-30T00:00:00"/>
    <d v="2023-07-21T19:28:38"/>
    <m/>
    <d v="2023-07-21T00:00:00"/>
    <n v="1788"/>
    <n v="19785"/>
    <s v="60248092"/>
    <s v="60248092"/>
    <m/>
    <m/>
    <m/>
    <m/>
    <m/>
    <m/>
    <s v="SOLRECOUP"/>
    <s v="SOLRECOUP"/>
    <s v="POARECOUP"/>
    <n v="21412838"/>
    <n v="-134.4"/>
    <m/>
    <s v="Y"/>
    <n v="2"/>
    <d v="2023-07-21T19:28:38"/>
    <s v="N"/>
    <m/>
    <m/>
    <s v="Non Expert Disbursement"/>
    <m/>
    <s v="N"/>
    <n v="0"/>
    <n v="0"/>
    <x v="12"/>
    <s v="VALIDATED"/>
    <n v="1"/>
    <s v="01.11.80.000.0000.0000"/>
    <n v="0"/>
    <s v="11"/>
    <s v="0000"/>
    <n v="-6364.76"/>
    <n v="0"/>
    <s v="DEBTOR"/>
    <n v="0"/>
    <n v="0"/>
    <n v="0"/>
    <n v="0"/>
    <n v="0"/>
  </r>
  <r>
    <n v="60248092"/>
    <s v="N"/>
    <n v="21412335"/>
    <s v="3000014554590009RC"/>
    <s v="CIVIL"/>
    <d v="2023-06-30T00:00:00"/>
    <d v="2023-07-21T19:28:22"/>
    <m/>
    <d v="2023-07-21T00:00:00"/>
    <n v="1788"/>
    <n v="19785"/>
    <s v="60248092"/>
    <s v="60248092"/>
    <m/>
    <m/>
    <m/>
    <m/>
    <m/>
    <m/>
    <s v="SOLRECOUP"/>
    <s v="SOLRECOUP"/>
    <s v="POARECOUP"/>
    <n v="21412335"/>
    <n v="-134.4"/>
    <m/>
    <s v="Y"/>
    <n v="1"/>
    <d v="2023-07-21T19:28:24"/>
    <s v="N"/>
    <m/>
    <m/>
    <s v="Non Expert Disbursement"/>
    <m/>
    <s v="N"/>
    <n v="-134.4"/>
    <n v="0"/>
    <x v="12"/>
    <s v="VALIDATED"/>
    <n v="1"/>
    <s v="01.11.80.308.2013.0000"/>
    <n v="-134.4"/>
    <s v="11"/>
    <s v="2013"/>
    <n v="-6364.76"/>
    <n v="-134.4"/>
    <s v="DEBTOR"/>
    <n v="0"/>
    <n v="0"/>
    <n v="0"/>
    <n v="0"/>
    <n v="0"/>
  </r>
  <r>
    <n v="60248092"/>
    <s v="N"/>
    <n v="21412335"/>
    <s v="3000014554590009RC"/>
    <s v="CIVIL"/>
    <d v="2023-06-30T00:00:00"/>
    <d v="2023-07-21T19:28:22"/>
    <m/>
    <d v="2023-07-21T00:00:00"/>
    <n v="1788"/>
    <n v="19785"/>
    <s v="60248092"/>
    <s v="60248092"/>
    <m/>
    <m/>
    <m/>
    <m/>
    <m/>
    <m/>
    <s v="SOLRECOUP"/>
    <s v="SOLRECOUP"/>
    <s v="POARECOUP"/>
    <n v="21412335"/>
    <n v="-134.4"/>
    <m/>
    <s v="Y"/>
    <n v="2"/>
    <d v="2023-07-21T19:28:24"/>
    <s v="N"/>
    <m/>
    <m/>
    <s v="Non Expert Disbursement"/>
    <m/>
    <s v="N"/>
    <n v="0"/>
    <n v="0"/>
    <x v="12"/>
    <s v="VALIDATED"/>
    <n v="1"/>
    <s v="01.11.80.000.0000.0000"/>
    <n v="0"/>
    <s v="11"/>
    <s v="0000"/>
    <n v="-6364.76"/>
    <n v="0"/>
    <s v="DEBTOR"/>
    <n v="0"/>
    <n v="0"/>
    <n v="0"/>
    <n v="0"/>
    <n v="0"/>
  </r>
  <r>
    <n v="60248092"/>
    <s v="N"/>
    <n v="21412336"/>
    <s v="3000014554590010RC"/>
    <s v="CIVIL"/>
    <d v="2023-06-30T00:00:00"/>
    <d v="2023-07-21T19:28:22"/>
    <m/>
    <d v="2023-07-21T00:00:00"/>
    <n v="1788"/>
    <n v="19785"/>
    <s v="60248092"/>
    <s v="60248092"/>
    <m/>
    <m/>
    <m/>
    <m/>
    <m/>
    <m/>
    <s v="SOLRECOUP"/>
    <s v="SOLRECOUP"/>
    <s v="POARECOUP"/>
    <n v="21412336"/>
    <n v="-251.86"/>
    <m/>
    <s v="Y"/>
    <n v="2"/>
    <d v="2023-07-21T19:28:24"/>
    <s v="N"/>
    <m/>
    <m/>
    <s v="Non Expert Disbursement"/>
    <m/>
    <s v="N"/>
    <n v="0"/>
    <n v="0"/>
    <x v="12"/>
    <s v="VALIDATED"/>
    <n v="1"/>
    <s v="01.11.80.000.0000.0000"/>
    <n v="0"/>
    <s v="11"/>
    <s v="0000"/>
    <n v="-6364.76"/>
    <n v="0"/>
    <s v="DEBTOR"/>
    <n v="0"/>
    <n v="0"/>
    <n v="0"/>
    <n v="0"/>
    <n v="0"/>
  </r>
  <r>
    <n v="60248092"/>
    <s v="N"/>
    <n v="21412336"/>
    <s v="3000014554590010RC"/>
    <s v="CIVIL"/>
    <d v="2023-06-30T00:00:00"/>
    <d v="2023-07-21T19:28:22"/>
    <m/>
    <d v="2023-07-21T00:00:00"/>
    <n v="1788"/>
    <n v="19785"/>
    <s v="60248092"/>
    <s v="60248092"/>
    <m/>
    <m/>
    <m/>
    <m/>
    <m/>
    <m/>
    <s v="SOLRECOUP"/>
    <s v="SOLRECOUP"/>
    <s v="POARECOUP"/>
    <n v="21412336"/>
    <n v="-251.86"/>
    <m/>
    <s v="Y"/>
    <n v="1"/>
    <d v="2023-07-21T19:28:24"/>
    <s v="N"/>
    <m/>
    <m/>
    <s v="Non Expert Disbursement"/>
    <m/>
    <s v="N"/>
    <n v="-251.86"/>
    <n v="0"/>
    <x v="12"/>
    <s v="VALIDATED"/>
    <n v="1"/>
    <s v="01.11.80.308.2013.0000"/>
    <n v="-251.86"/>
    <s v="11"/>
    <s v="2013"/>
    <n v="-6364.76"/>
    <n v="-251.86"/>
    <s v="DEBTOR"/>
    <n v="0"/>
    <n v="0"/>
    <n v="0"/>
    <n v="0"/>
    <n v="0"/>
  </r>
  <r>
    <n v="60248092"/>
    <s v="N"/>
    <n v="21412337"/>
    <s v="3000014554590008RC"/>
    <s v="CIVIL"/>
    <d v="2023-06-30T00:00:00"/>
    <d v="2023-07-21T19:28:22"/>
    <m/>
    <d v="2023-07-21T00:00:00"/>
    <n v="1788"/>
    <n v="19785"/>
    <s v="60248092"/>
    <s v="60248092"/>
    <m/>
    <m/>
    <m/>
    <m/>
    <m/>
    <m/>
    <s v="SOLRECOUP"/>
    <s v="SOLRECOUP"/>
    <s v="POARECOUP"/>
    <n v="21412337"/>
    <n v="-206.54"/>
    <m/>
    <s v="Y"/>
    <n v="2"/>
    <d v="2023-07-21T19:28:24"/>
    <s v="N"/>
    <m/>
    <m/>
    <s v="Non Expert Disbursement"/>
    <m/>
    <s v="N"/>
    <n v="0"/>
    <n v="0"/>
    <x v="12"/>
    <s v="VALIDATED"/>
    <n v="1"/>
    <s v="01.11.80.000.0000.0000"/>
    <n v="0"/>
    <s v="11"/>
    <s v="0000"/>
    <n v="-6364.76"/>
    <n v="0"/>
    <s v="DEBTOR"/>
    <n v="0"/>
    <n v="0"/>
    <n v="0"/>
    <n v="0"/>
    <n v="0"/>
  </r>
  <r>
    <n v="60248092"/>
    <s v="N"/>
    <n v="21412337"/>
    <s v="3000014554590008RC"/>
    <s v="CIVIL"/>
    <d v="2023-06-30T00:00:00"/>
    <d v="2023-07-21T19:28:22"/>
    <m/>
    <d v="2023-07-21T00:00:00"/>
    <n v="1788"/>
    <n v="19785"/>
    <s v="60248092"/>
    <s v="60248092"/>
    <m/>
    <m/>
    <m/>
    <m/>
    <m/>
    <m/>
    <s v="SOLRECOUP"/>
    <s v="SOLRECOUP"/>
    <s v="POARECOUP"/>
    <n v="21412337"/>
    <n v="-206.54"/>
    <m/>
    <s v="Y"/>
    <n v="1"/>
    <d v="2023-07-21T19:28:24"/>
    <s v="N"/>
    <m/>
    <m/>
    <s v="Non Expert Disbursement"/>
    <m/>
    <s v="N"/>
    <n v="-206.54"/>
    <n v="0"/>
    <x v="12"/>
    <s v="VALIDATED"/>
    <n v="1"/>
    <s v="01.11.80.308.2013.0000"/>
    <n v="-206.54"/>
    <s v="11"/>
    <s v="2013"/>
    <n v="-6364.76"/>
    <n v="-206.54"/>
    <s v="DEBTOR"/>
    <n v="0"/>
    <n v="0"/>
    <n v="0"/>
    <n v="0"/>
    <n v="0"/>
  </r>
  <r>
    <n v="60248092"/>
    <s v="N"/>
    <n v="21412338"/>
    <s v="3000014554590011RC"/>
    <s v="CIVIL"/>
    <d v="2023-06-30T00:00:00"/>
    <d v="2023-07-21T19:28:22"/>
    <m/>
    <d v="2023-07-21T00:00:00"/>
    <n v="1788"/>
    <n v="19785"/>
    <s v="60248092"/>
    <s v="60248092"/>
    <m/>
    <m/>
    <m/>
    <m/>
    <m/>
    <m/>
    <s v="SOLRECOUP"/>
    <s v="SOLRECOUP"/>
    <s v="POARECOUP"/>
    <n v="21412338"/>
    <n v="-206.54"/>
    <m/>
    <s v="Y"/>
    <n v="2"/>
    <d v="2023-07-21T19:28:24"/>
    <s v="N"/>
    <m/>
    <m/>
    <s v="Non Expert Disbursement"/>
    <m/>
    <s v="N"/>
    <n v="0"/>
    <n v="0"/>
    <x v="12"/>
    <s v="VALIDATED"/>
    <n v="1"/>
    <s v="01.11.80.000.0000.0000"/>
    <n v="0"/>
    <s v="11"/>
    <s v="0000"/>
    <n v="-6364.76"/>
    <n v="0"/>
    <s v="DEBTOR"/>
    <n v="0"/>
    <n v="0"/>
    <n v="0"/>
    <n v="0"/>
    <n v="0"/>
  </r>
  <r>
    <n v="60248092"/>
    <s v="N"/>
    <n v="21412338"/>
    <s v="3000014554590011RC"/>
    <s v="CIVIL"/>
    <d v="2023-06-30T00:00:00"/>
    <d v="2023-07-21T19:28:22"/>
    <m/>
    <d v="2023-07-21T00:00:00"/>
    <n v="1788"/>
    <n v="19785"/>
    <s v="60248092"/>
    <s v="60248092"/>
    <m/>
    <m/>
    <m/>
    <m/>
    <m/>
    <m/>
    <s v="SOLRECOUP"/>
    <s v="SOLRECOUP"/>
    <s v="POARECOUP"/>
    <n v="21412338"/>
    <n v="-206.54"/>
    <m/>
    <s v="Y"/>
    <n v="1"/>
    <d v="2023-07-21T19:28:24"/>
    <s v="N"/>
    <m/>
    <m/>
    <s v="Non Expert Disbursement"/>
    <m/>
    <s v="N"/>
    <n v="-206.54"/>
    <n v="0"/>
    <x v="12"/>
    <s v="VALIDATED"/>
    <n v="1"/>
    <s v="01.11.80.308.2013.0000"/>
    <n v="-206.54"/>
    <s v="11"/>
    <s v="2013"/>
    <n v="-6364.76"/>
    <n v="-206.54"/>
    <s v="DEBTOR"/>
    <n v="0"/>
    <n v="0"/>
    <n v="0"/>
    <n v="0"/>
    <n v="0"/>
  </r>
  <r>
    <n v="60248092"/>
    <s v="N"/>
    <n v="21412419"/>
    <s v="3000014554590012RC"/>
    <s v="CIVIL"/>
    <d v="2023-06-30T00:00:00"/>
    <d v="2023-07-21T19:28:22"/>
    <m/>
    <d v="2023-07-21T00:00:00"/>
    <n v="1788"/>
    <n v="19785"/>
    <s v="60248092"/>
    <s v="60248092"/>
    <m/>
    <m/>
    <m/>
    <m/>
    <m/>
    <m/>
    <s v="SOLRECOUP"/>
    <s v="SOLRECOUP"/>
    <s v="POARECOUP"/>
    <n v="21412419"/>
    <n v="-206.54"/>
    <m/>
    <s v="Y"/>
    <n v="1"/>
    <d v="2023-07-21T19:28:24"/>
    <s v="N"/>
    <m/>
    <m/>
    <s v="Non Expert Disbursement"/>
    <m/>
    <s v="N"/>
    <n v="-206.54"/>
    <n v="0"/>
    <x v="12"/>
    <s v="VALIDATED"/>
    <n v="1"/>
    <s v="01.11.80.308.2013.0000"/>
    <n v="-206.54"/>
    <s v="11"/>
    <s v="2013"/>
    <n v="-6364.76"/>
    <n v="-206.54"/>
    <s v="DEBTOR"/>
    <n v="0"/>
    <n v="0"/>
    <n v="0"/>
    <n v="0"/>
    <n v="0"/>
  </r>
  <r>
    <n v="60248092"/>
    <s v="N"/>
    <n v="21412419"/>
    <s v="3000014554590012RC"/>
    <s v="CIVIL"/>
    <d v="2023-06-30T00:00:00"/>
    <d v="2023-07-21T19:28:22"/>
    <m/>
    <d v="2023-07-21T00:00:00"/>
    <n v="1788"/>
    <n v="19785"/>
    <s v="60248092"/>
    <s v="60248092"/>
    <m/>
    <m/>
    <m/>
    <m/>
    <m/>
    <m/>
    <s v="SOLRECOUP"/>
    <s v="SOLRECOUP"/>
    <s v="POARECOUP"/>
    <n v="21412419"/>
    <n v="-206.54"/>
    <m/>
    <s v="Y"/>
    <n v="2"/>
    <d v="2023-07-21T19:28:24"/>
    <s v="N"/>
    <m/>
    <m/>
    <s v="Non Expert Disbursement"/>
    <m/>
    <s v="N"/>
    <n v="0"/>
    <n v="0"/>
    <x v="12"/>
    <s v="VALIDATED"/>
    <n v="1"/>
    <s v="01.11.80.000.0000.0000"/>
    <n v="0"/>
    <s v="11"/>
    <s v="0000"/>
    <n v="-6364.76"/>
    <n v="0"/>
    <s v="DEBTOR"/>
    <n v="0"/>
    <n v="0"/>
    <n v="0"/>
    <n v="0"/>
    <n v="0"/>
  </r>
  <r>
    <n v="60248092"/>
    <s v="N"/>
    <n v="21412420"/>
    <s v="3000014554590013RC"/>
    <s v="CIVIL"/>
    <d v="2023-06-30T00:00:00"/>
    <d v="2023-07-21T19:28:22"/>
    <m/>
    <d v="2023-07-21T00:00:00"/>
    <n v="1788"/>
    <n v="19785"/>
    <s v="60248092"/>
    <s v="60248092"/>
    <m/>
    <m/>
    <m/>
    <m/>
    <m/>
    <m/>
    <s v="SOLRECOUP"/>
    <s v="SOLRECOUP"/>
    <s v="POARECOUP"/>
    <n v="21412420"/>
    <n v="-206.54"/>
    <m/>
    <s v="Y"/>
    <n v="1"/>
    <d v="2023-07-21T19:28:24"/>
    <s v="N"/>
    <m/>
    <m/>
    <s v="Non Expert Disbursement"/>
    <m/>
    <s v="N"/>
    <n v="-206.54"/>
    <n v="0"/>
    <x v="12"/>
    <s v="VALIDATED"/>
    <n v="1"/>
    <s v="01.11.80.308.2013.0000"/>
    <n v="-206.54"/>
    <s v="11"/>
    <s v="2013"/>
    <n v="-6364.76"/>
    <n v="-206.54"/>
    <s v="DEBTOR"/>
    <n v="0"/>
    <n v="0"/>
    <n v="0"/>
    <n v="0"/>
    <n v="0"/>
  </r>
  <r>
    <n v="60248092"/>
    <s v="N"/>
    <n v="21412420"/>
    <s v="3000014554590013RC"/>
    <s v="CIVIL"/>
    <d v="2023-06-30T00:00:00"/>
    <d v="2023-07-21T19:28:22"/>
    <m/>
    <d v="2023-07-21T00:00:00"/>
    <n v="1788"/>
    <n v="19785"/>
    <s v="60248092"/>
    <s v="60248092"/>
    <m/>
    <m/>
    <m/>
    <m/>
    <m/>
    <m/>
    <s v="SOLRECOUP"/>
    <s v="SOLRECOUP"/>
    <s v="POARECOUP"/>
    <n v="21412420"/>
    <n v="-206.54"/>
    <m/>
    <s v="Y"/>
    <n v="2"/>
    <d v="2023-07-21T19:28:24"/>
    <s v="N"/>
    <m/>
    <m/>
    <s v="Non Expert Disbursement"/>
    <m/>
    <s v="N"/>
    <n v="0"/>
    <n v="0"/>
    <x v="12"/>
    <s v="VALIDATED"/>
    <n v="1"/>
    <s v="01.11.80.000.0000.0000"/>
    <n v="0"/>
    <s v="11"/>
    <s v="0000"/>
    <n v="-6364.76"/>
    <n v="0"/>
    <s v="DEBTOR"/>
    <n v="0"/>
    <n v="0"/>
    <n v="0"/>
    <n v="0"/>
    <n v="0"/>
  </r>
  <r>
    <n v="60248092"/>
    <s v="N"/>
    <n v="21412421"/>
    <s v="3000014554590015RC"/>
    <s v="CIVIL"/>
    <d v="2023-06-30T00:00:00"/>
    <d v="2023-07-21T19:28:22"/>
    <m/>
    <d v="2023-07-21T00:00:00"/>
    <n v="1788"/>
    <n v="19785"/>
    <s v="60248092"/>
    <s v="60248092"/>
    <m/>
    <m/>
    <m/>
    <m/>
    <m/>
    <m/>
    <s v="SOLRECOUP"/>
    <s v="SOLRECOUP"/>
    <s v="POARECOUP"/>
    <n v="21412421"/>
    <n v="-134.4"/>
    <m/>
    <s v="Y"/>
    <n v="1"/>
    <d v="2023-07-21T19:28:24"/>
    <s v="N"/>
    <m/>
    <m/>
    <s v="Non Expert Disbursement"/>
    <m/>
    <s v="N"/>
    <n v="-134.4"/>
    <n v="0"/>
    <x v="12"/>
    <s v="VALIDATED"/>
    <n v="1"/>
    <s v="01.11.80.308.2013.0000"/>
    <n v="-134.4"/>
    <s v="11"/>
    <s v="2013"/>
    <n v="-6364.76"/>
    <n v="-134.4"/>
    <s v="DEBTOR"/>
    <n v="0"/>
    <n v="0"/>
    <n v="0"/>
    <n v="0"/>
    <n v="0"/>
  </r>
  <r>
    <n v="60248092"/>
    <s v="N"/>
    <n v="21412421"/>
    <s v="3000014554590015RC"/>
    <s v="CIVIL"/>
    <d v="2023-06-30T00:00:00"/>
    <d v="2023-07-21T19:28:22"/>
    <m/>
    <d v="2023-07-21T00:00:00"/>
    <n v="1788"/>
    <n v="19785"/>
    <s v="60248092"/>
    <s v="60248092"/>
    <m/>
    <m/>
    <m/>
    <m/>
    <m/>
    <m/>
    <s v="SOLRECOUP"/>
    <s v="SOLRECOUP"/>
    <s v="POARECOUP"/>
    <n v="21412421"/>
    <n v="-134.4"/>
    <m/>
    <s v="Y"/>
    <n v="2"/>
    <d v="2023-07-21T19:28:24"/>
    <s v="N"/>
    <m/>
    <m/>
    <s v="Non Expert Disbursement"/>
    <m/>
    <s v="N"/>
    <n v="0"/>
    <n v="0"/>
    <x v="12"/>
    <s v="VALIDATED"/>
    <n v="1"/>
    <s v="01.11.80.000.0000.0000"/>
    <n v="0"/>
    <s v="11"/>
    <s v="0000"/>
    <n v="-6364.76"/>
    <n v="0"/>
    <s v="DEBTOR"/>
    <n v="0"/>
    <n v="0"/>
    <n v="0"/>
    <n v="0"/>
    <n v="0"/>
  </r>
  <r>
    <n v="60248092"/>
    <s v="N"/>
    <n v="21412422"/>
    <s v="3000014554590014RC"/>
    <s v="CIVIL"/>
    <d v="2023-06-30T00:00:00"/>
    <d v="2023-07-21T19:28:22"/>
    <m/>
    <d v="2023-07-21T00:00:00"/>
    <n v="1788"/>
    <n v="19785"/>
    <s v="60248092"/>
    <s v="60248092"/>
    <m/>
    <m/>
    <m/>
    <m/>
    <m/>
    <m/>
    <s v="SOLRECOUP"/>
    <s v="SOLRECOUP"/>
    <s v="POARECOUP"/>
    <n v="21412422"/>
    <n v="-206.54"/>
    <m/>
    <s v="Y"/>
    <n v="1"/>
    <d v="2023-07-21T19:28:24"/>
    <s v="N"/>
    <m/>
    <m/>
    <s v="Non Expert Disbursement"/>
    <m/>
    <s v="N"/>
    <n v="-206.54"/>
    <n v="0"/>
    <x v="12"/>
    <s v="VALIDATED"/>
    <n v="1"/>
    <s v="01.11.80.308.2013.0000"/>
    <n v="-206.54"/>
    <s v="11"/>
    <s v="2013"/>
    <n v="-6364.76"/>
    <n v="-206.54"/>
    <s v="DEBTOR"/>
    <n v="0"/>
    <n v="0"/>
    <n v="0"/>
    <n v="0"/>
    <n v="0"/>
  </r>
  <r>
    <n v="60248092"/>
    <s v="N"/>
    <n v="21412422"/>
    <s v="3000014554590014RC"/>
    <s v="CIVIL"/>
    <d v="2023-06-30T00:00:00"/>
    <d v="2023-07-21T19:28:22"/>
    <m/>
    <d v="2023-07-21T00:00:00"/>
    <n v="1788"/>
    <n v="19785"/>
    <s v="60248092"/>
    <s v="60248092"/>
    <m/>
    <m/>
    <m/>
    <m/>
    <m/>
    <m/>
    <s v="SOLRECOUP"/>
    <s v="SOLRECOUP"/>
    <s v="POARECOUP"/>
    <n v="21412422"/>
    <n v="-206.54"/>
    <m/>
    <s v="Y"/>
    <n v="2"/>
    <d v="2023-07-21T19:28:24"/>
    <s v="N"/>
    <m/>
    <m/>
    <s v="Non Expert Disbursement"/>
    <m/>
    <s v="N"/>
    <n v="0"/>
    <n v="0"/>
    <x v="12"/>
    <s v="VALIDATED"/>
    <n v="1"/>
    <s v="01.11.80.000.0000.0000"/>
    <n v="0"/>
    <s v="11"/>
    <s v="0000"/>
    <n v="-6364.76"/>
    <n v="0"/>
    <s v="DEBTOR"/>
    <n v="0"/>
    <n v="0"/>
    <n v="0"/>
    <n v="0"/>
    <n v="0"/>
  </r>
  <r>
    <n v="60248092"/>
    <s v="N"/>
    <n v="21412425"/>
    <s v="3000014554590016RC"/>
    <s v="CIVIL"/>
    <d v="2023-06-30T00:00:00"/>
    <d v="2023-07-21T19:28:22"/>
    <m/>
    <d v="2023-07-21T00:00:00"/>
    <n v="1788"/>
    <n v="19785"/>
    <s v="60248092"/>
    <s v="60248092"/>
    <m/>
    <m/>
    <m/>
    <m/>
    <m/>
    <m/>
    <s v="SOLRECOUP"/>
    <s v="SOLRECOUP"/>
    <s v="POARECOUP"/>
    <n v="21412425"/>
    <n v="-602.95"/>
    <m/>
    <s v="Y"/>
    <n v="2"/>
    <d v="2023-07-21T19:28:24"/>
    <s v="N"/>
    <m/>
    <m/>
    <s v="Non Expert Disbursement"/>
    <m/>
    <s v="N"/>
    <n v="0"/>
    <n v="0"/>
    <x v="12"/>
    <s v="VALIDATED"/>
    <n v="1"/>
    <s v="01.11.80.000.0000.0000"/>
    <n v="0"/>
    <s v="11"/>
    <s v="0000"/>
    <n v="-6364.76"/>
    <n v="0"/>
    <s v="DEBTOR"/>
    <n v="0"/>
    <n v="0"/>
    <n v="0"/>
    <n v="0"/>
    <n v="0"/>
  </r>
  <r>
    <n v="60248092"/>
    <s v="N"/>
    <n v="21412425"/>
    <s v="3000014554590016RC"/>
    <s v="CIVIL"/>
    <d v="2023-06-30T00:00:00"/>
    <d v="2023-07-21T19:28:22"/>
    <m/>
    <d v="2023-07-21T00:00:00"/>
    <n v="1788"/>
    <n v="19785"/>
    <s v="60248092"/>
    <s v="60248092"/>
    <m/>
    <m/>
    <m/>
    <m/>
    <m/>
    <m/>
    <s v="SOLRECOUP"/>
    <s v="SOLRECOUP"/>
    <s v="POARECOUP"/>
    <n v="21412425"/>
    <n v="-602.95"/>
    <m/>
    <s v="Y"/>
    <n v="1"/>
    <d v="2023-07-21T19:28:24"/>
    <s v="N"/>
    <m/>
    <m/>
    <s v="Non Expert Disbursement"/>
    <m/>
    <s v="N"/>
    <n v="-602.95"/>
    <n v="0"/>
    <x v="12"/>
    <s v="VALIDATED"/>
    <n v="1"/>
    <s v="01.11.80.308.2013.0000"/>
    <n v="-602.95"/>
    <s v="11"/>
    <s v="2013"/>
    <n v="-6364.76"/>
    <n v="-602.95"/>
    <s v="DEBTOR"/>
    <n v="0"/>
    <n v="0"/>
    <n v="0"/>
    <n v="0"/>
    <n v="0"/>
  </r>
  <r>
    <n v="60248092"/>
    <s v="N"/>
    <n v="21412476"/>
    <s v="3000014554590018RC"/>
    <s v="CIVIL"/>
    <d v="2023-06-30T00:00:00"/>
    <d v="2023-07-21T19:28:22"/>
    <m/>
    <d v="2023-07-21T00:00:00"/>
    <n v="1788"/>
    <n v="19785"/>
    <s v="60248092"/>
    <s v="60248092"/>
    <m/>
    <m/>
    <m/>
    <m/>
    <m/>
    <m/>
    <s v="SOLRECOUP"/>
    <s v="SOLRECOUP"/>
    <s v="POARECOUP"/>
    <n v="21412476"/>
    <n v="-278.27"/>
    <m/>
    <s v="Y"/>
    <n v="1"/>
    <d v="2023-07-21T19:28:24"/>
    <s v="N"/>
    <m/>
    <m/>
    <s v="Expert Disbursement"/>
    <m/>
    <s v="N"/>
    <n v="-231.89"/>
    <n v="0"/>
    <x v="12"/>
    <s v="VALIDATED"/>
    <n v="1"/>
    <s v="01.11.80.308.2013.0000"/>
    <n v="-231.89"/>
    <s v="11"/>
    <s v="2013"/>
    <n v="-6364.76"/>
    <n v="-231.89"/>
    <s v="DEBTOR"/>
    <n v="0"/>
    <n v="0"/>
    <n v="0"/>
    <n v="0"/>
    <n v="0"/>
  </r>
  <r>
    <n v="60248092"/>
    <s v="N"/>
    <n v="21412476"/>
    <s v="3000014554590018RC"/>
    <s v="CIVIL"/>
    <d v="2023-06-30T00:00:00"/>
    <d v="2023-07-21T19:28:22"/>
    <m/>
    <d v="2023-07-21T00:00:00"/>
    <n v="1788"/>
    <n v="19785"/>
    <s v="60248092"/>
    <s v="60248092"/>
    <m/>
    <m/>
    <m/>
    <m/>
    <m/>
    <m/>
    <s v="SOLRECOUP"/>
    <s v="SOLRECOUP"/>
    <s v="POARECOUP"/>
    <n v="21412476"/>
    <n v="-278.27"/>
    <m/>
    <s v="Y"/>
    <n v="2"/>
    <d v="2023-07-21T19:28:24"/>
    <s v="N"/>
    <m/>
    <m/>
    <s v="Expert Disbursement"/>
    <m/>
    <s v="N"/>
    <n v="0"/>
    <n v="-46.38"/>
    <x v="12"/>
    <s v="VALIDATED"/>
    <n v="1"/>
    <s v="01.11.80.308.2013.0000"/>
    <n v="-46.38"/>
    <s v="11"/>
    <s v="2013"/>
    <n v="-6364.76"/>
    <n v="-46.38"/>
    <s v="DEBTOR"/>
    <n v="0"/>
    <n v="0"/>
    <n v="0"/>
    <n v="0"/>
    <n v="0"/>
  </r>
  <r>
    <n v="60248092"/>
    <s v="N"/>
    <n v="21412570"/>
    <s v="3000014554590020RC"/>
    <s v="CIVIL"/>
    <d v="2023-06-30T00:00:00"/>
    <d v="2023-07-21T19:28:22"/>
    <m/>
    <d v="2023-07-21T00:00:00"/>
    <n v="1788"/>
    <n v="19785"/>
    <s v="60248092"/>
    <s v="60248092"/>
    <m/>
    <m/>
    <m/>
    <m/>
    <m/>
    <m/>
    <s v="SOLRECOUP"/>
    <s v="SOLRECOUP"/>
    <s v="POARECOUP"/>
    <n v="21412570"/>
    <n v="-283.2"/>
    <m/>
    <s v="Y"/>
    <n v="1"/>
    <d v="2023-07-21T19:28:25"/>
    <s v="N"/>
    <m/>
    <m/>
    <s v="Non Expert Disbursement"/>
    <m/>
    <s v="N"/>
    <n v="-283.2"/>
    <n v="0"/>
    <x v="12"/>
    <s v="VALIDATED"/>
    <n v="1"/>
    <s v="01.11.80.308.2013.0000"/>
    <n v="-283.2"/>
    <s v="11"/>
    <s v="2013"/>
    <n v="-6364.76"/>
    <n v="-283.2"/>
    <s v="DEBTOR"/>
    <n v="0"/>
    <n v="0"/>
    <n v="0"/>
    <n v="0"/>
    <n v="0"/>
  </r>
  <r>
    <n v="60248092"/>
    <s v="N"/>
    <n v="21412570"/>
    <s v="3000014554590020RC"/>
    <s v="CIVIL"/>
    <d v="2023-06-30T00:00:00"/>
    <d v="2023-07-21T19:28:22"/>
    <m/>
    <d v="2023-07-21T00:00:00"/>
    <n v="1788"/>
    <n v="19785"/>
    <s v="60248092"/>
    <s v="60248092"/>
    <m/>
    <m/>
    <m/>
    <m/>
    <m/>
    <m/>
    <s v="SOLRECOUP"/>
    <s v="SOLRECOUP"/>
    <s v="POARECOUP"/>
    <n v="21412570"/>
    <n v="-283.2"/>
    <m/>
    <s v="Y"/>
    <n v="2"/>
    <d v="2023-07-21T19:28:25"/>
    <s v="N"/>
    <m/>
    <m/>
    <s v="Non Expert Disbursement"/>
    <m/>
    <s v="N"/>
    <n v="0"/>
    <n v="0"/>
    <x v="12"/>
    <s v="VALIDATED"/>
    <n v="1"/>
    <s v="01.11.80.000.0000.0000"/>
    <n v="0"/>
    <s v="11"/>
    <s v="0000"/>
    <n v="-6364.76"/>
    <n v="0"/>
    <s v="DEBTOR"/>
    <n v="0"/>
    <n v="0"/>
    <n v="0"/>
    <n v="0"/>
    <n v="0"/>
  </r>
  <r>
    <n v="60248092"/>
    <s v="N"/>
    <n v="21412606"/>
    <s v="3000014554590021RC"/>
    <s v="CIVIL"/>
    <d v="2023-06-30T00:00:00"/>
    <d v="2023-07-21T19:28:22"/>
    <m/>
    <d v="2023-07-21T00:00:00"/>
    <n v="1788"/>
    <n v="19785"/>
    <s v="60248092"/>
    <s v="60248092"/>
    <m/>
    <m/>
    <m/>
    <m/>
    <m/>
    <m/>
    <s v="SOLRECOUP"/>
    <s v="SOLRECOUP"/>
    <s v="POARECOUP"/>
    <n v="21412606"/>
    <n v="-249.46"/>
    <m/>
    <s v="Y"/>
    <n v="2"/>
    <d v="2023-07-21T19:28:25"/>
    <s v="N"/>
    <m/>
    <m/>
    <s v="Non Expert Disbursement"/>
    <m/>
    <s v="N"/>
    <n v="0"/>
    <n v="0"/>
    <x v="12"/>
    <s v="VALIDATED"/>
    <n v="1"/>
    <s v="01.11.80.000.0000.0000"/>
    <n v="0"/>
    <s v="11"/>
    <s v="0000"/>
    <n v="-6364.76"/>
    <n v="0"/>
    <s v="DEBTOR"/>
    <n v="0"/>
    <n v="0"/>
    <n v="0"/>
    <n v="0"/>
    <n v="0"/>
  </r>
  <r>
    <n v="60248092"/>
    <s v="N"/>
    <n v="21412160"/>
    <s v="3000014554590001RC"/>
    <s v="CIVIL"/>
    <d v="2023-06-30T00:00:00"/>
    <d v="2023-07-21T19:28:22"/>
    <m/>
    <d v="2023-07-21T00:00:00"/>
    <n v="1788"/>
    <n v="19785"/>
    <s v="60248092"/>
    <s v="60248092"/>
    <m/>
    <m/>
    <m/>
    <m/>
    <m/>
    <m/>
    <s v="SOLRECOUP"/>
    <s v="SOLRECOUP"/>
    <s v="POARECOUP"/>
    <n v="21412160"/>
    <n v="-246.94"/>
    <m/>
    <s v="Y"/>
    <n v="1"/>
    <d v="2023-07-21T19:28:23"/>
    <s v="N"/>
    <m/>
    <m/>
    <s v="Non Expert Disbursement"/>
    <m/>
    <s v="N"/>
    <n v="-246.94"/>
    <n v="0"/>
    <x v="12"/>
    <s v="VALIDATED"/>
    <n v="1"/>
    <s v="01.11.80.308.2013.0000"/>
    <n v="-246.94"/>
    <s v="11"/>
    <s v="2013"/>
    <n v="-6364.76"/>
    <n v="-246.94"/>
    <s v="DEBTOR"/>
    <n v="0"/>
    <n v="0"/>
    <n v="0"/>
    <n v="0"/>
    <n v="0"/>
  </r>
  <r>
    <n v="60248092"/>
    <s v="N"/>
    <n v="21412160"/>
    <s v="3000014554590001RC"/>
    <s v="CIVIL"/>
    <d v="2023-06-30T00:00:00"/>
    <d v="2023-07-21T19:28:22"/>
    <m/>
    <d v="2023-07-21T00:00:00"/>
    <n v="1788"/>
    <n v="19785"/>
    <s v="60248092"/>
    <s v="60248092"/>
    <m/>
    <m/>
    <m/>
    <m/>
    <m/>
    <m/>
    <s v="SOLRECOUP"/>
    <s v="SOLRECOUP"/>
    <s v="POARECOUP"/>
    <n v="21412160"/>
    <n v="-246.94"/>
    <m/>
    <s v="Y"/>
    <n v="2"/>
    <d v="2023-07-21T19:28:23"/>
    <s v="N"/>
    <m/>
    <m/>
    <s v="Non Expert Disbursement"/>
    <m/>
    <s v="N"/>
    <n v="0"/>
    <n v="0"/>
    <x v="12"/>
    <s v="VALIDATED"/>
    <n v="1"/>
    <s v="01.11.80.000.0000.0000"/>
    <n v="0"/>
    <s v="11"/>
    <s v="0000"/>
    <n v="-6364.76"/>
    <n v="0"/>
    <s v="DEBTOR"/>
    <n v="0"/>
    <n v="0"/>
    <n v="0"/>
    <n v="0"/>
    <n v="0"/>
  </r>
  <r>
    <n v="60248092"/>
    <s v="N"/>
    <n v="21412162"/>
    <s v="3000014554590002RC"/>
    <s v="CIVIL"/>
    <d v="2023-06-30T00:00:00"/>
    <d v="2023-07-21T19:28:22"/>
    <m/>
    <d v="2023-07-21T00:00:00"/>
    <n v="1788"/>
    <n v="19785"/>
    <s v="60248092"/>
    <s v="60248092"/>
    <m/>
    <m/>
    <m/>
    <m/>
    <m/>
    <m/>
    <s v="SOLRECOUP"/>
    <s v="SOLRECOUP"/>
    <s v="POARECOUP"/>
    <n v="21412162"/>
    <n v="-246.94"/>
    <m/>
    <s v="Y"/>
    <n v="2"/>
    <d v="2023-07-21T19:28:23"/>
    <s v="N"/>
    <m/>
    <m/>
    <s v="Non Expert Disbursement"/>
    <m/>
    <s v="N"/>
    <n v="0"/>
    <n v="0"/>
    <x v="12"/>
    <s v="VALIDATED"/>
    <n v="1"/>
    <s v="01.11.80.000.0000.0000"/>
    <n v="0"/>
    <s v="11"/>
    <s v="0000"/>
    <n v="-6364.76"/>
    <n v="0"/>
    <s v="DEBTOR"/>
    <n v="0"/>
    <n v="0"/>
    <n v="0"/>
    <n v="0"/>
    <n v="0"/>
  </r>
  <r>
    <n v="60248092"/>
    <s v="N"/>
    <n v="21412162"/>
    <s v="3000014554590002RC"/>
    <s v="CIVIL"/>
    <d v="2023-06-30T00:00:00"/>
    <d v="2023-07-21T19:28:22"/>
    <m/>
    <d v="2023-07-21T00:00:00"/>
    <n v="1788"/>
    <n v="19785"/>
    <s v="60248092"/>
    <s v="60248092"/>
    <m/>
    <m/>
    <m/>
    <m/>
    <m/>
    <m/>
    <s v="SOLRECOUP"/>
    <s v="SOLRECOUP"/>
    <s v="POARECOUP"/>
    <n v="21412162"/>
    <n v="-246.94"/>
    <m/>
    <s v="Y"/>
    <n v="1"/>
    <d v="2023-07-21T19:28:23"/>
    <s v="N"/>
    <m/>
    <m/>
    <s v="Non Expert Disbursement"/>
    <m/>
    <s v="N"/>
    <n v="-246.94"/>
    <n v="0"/>
    <x v="12"/>
    <s v="VALIDATED"/>
    <n v="1"/>
    <s v="01.11.80.308.2013.0000"/>
    <n v="-246.94"/>
    <s v="11"/>
    <s v="2013"/>
    <n v="-6364.76"/>
    <n v="-246.94"/>
    <s v="DEBTOR"/>
    <n v="0"/>
    <n v="0"/>
    <n v="0"/>
    <n v="0"/>
    <n v="0"/>
  </r>
  <r>
    <n v="60248092"/>
    <s v="N"/>
    <n v="21412163"/>
    <s v="3000014554590003RC"/>
    <s v="CIVIL"/>
    <d v="2023-06-30T00:00:00"/>
    <d v="2023-07-21T19:28:22"/>
    <m/>
    <d v="2023-07-21T00:00:00"/>
    <n v="1788"/>
    <n v="19785"/>
    <s v="60248092"/>
    <s v="60248092"/>
    <m/>
    <m/>
    <m/>
    <m/>
    <m/>
    <m/>
    <s v="SOLRECOUP"/>
    <s v="SOLRECOUP"/>
    <s v="POARECOUP"/>
    <n v="21412163"/>
    <n v="-134.4"/>
    <m/>
    <s v="Y"/>
    <n v="2"/>
    <d v="2023-07-21T19:28:23"/>
    <s v="N"/>
    <m/>
    <m/>
    <s v="Non Expert Disbursement"/>
    <m/>
    <s v="N"/>
    <n v="0"/>
    <n v="0"/>
    <x v="12"/>
    <s v="VALIDATED"/>
    <n v="1"/>
    <s v="01.11.80.000.0000.0000"/>
    <n v="0"/>
    <s v="11"/>
    <s v="0000"/>
    <n v="-6364.76"/>
    <n v="0"/>
    <s v="DEBTOR"/>
    <n v="0"/>
    <n v="0"/>
    <n v="0"/>
    <n v="0"/>
    <n v="0"/>
  </r>
  <r>
    <n v="60248092"/>
    <s v="N"/>
    <n v="21412163"/>
    <s v="3000014554590003RC"/>
    <s v="CIVIL"/>
    <d v="2023-06-30T00:00:00"/>
    <d v="2023-07-21T19:28:22"/>
    <m/>
    <d v="2023-07-21T00:00:00"/>
    <n v="1788"/>
    <n v="19785"/>
    <s v="60248092"/>
    <s v="60248092"/>
    <m/>
    <m/>
    <m/>
    <m/>
    <m/>
    <m/>
    <s v="SOLRECOUP"/>
    <s v="SOLRECOUP"/>
    <s v="POARECOUP"/>
    <n v="21412163"/>
    <n v="-134.4"/>
    <m/>
    <s v="Y"/>
    <n v="1"/>
    <d v="2023-07-21T19:28:23"/>
    <s v="N"/>
    <m/>
    <m/>
    <s v="Non Expert Disbursement"/>
    <m/>
    <s v="N"/>
    <n v="-134.4"/>
    <n v="0"/>
    <x v="12"/>
    <s v="VALIDATED"/>
    <n v="1"/>
    <s v="01.11.80.308.2013.0000"/>
    <n v="-134.4"/>
    <s v="11"/>
    <s v="2013"/>
    <n v="-6364.76"/>
    <n v="-134.4"/>
    <s v="DEBTOR"/>
    <n v="0"/>
    <n v="0"/>
    <n v="0"/>
    <n v="0"/>
    <n v="0"/>
  </r>
  <r>
    <n v="60248092"/>
    <s v="N"/>
    <n v="21412204"/>
    <s v="3000014554590004RC"/>
    <s v="CIVIL"/>
    <d v="2023-06-30T00:00:00"/>
    <d v="2023-07-21T19:28:22"/>
    <m/>
    <d v="2023-07-21T00:00:00"/>
    <n v="1788"/>
    <n v="19785"/>
    <s v="60248092"/>
    <s v="60248092"/>
    <m/>
    <m/>
    <m/>
    <m/>
    <m/>
    <m/>
    <s v="SOLRECOUP"/>
    <s v="SOLRECOUP"/>
    <s v="POARECOUP"/>
    <n v="21412204"/>
    <n v="-294.95"/>
    <m/>
    <s v="Y"/>
    <n v="2"/>
    <d v="2023-07-21T19:28:23"/>
    <s v="N"/>
    <m/>
    <m/>
    <s v="Non Expert Disbursement"/>
    <m/>
    <s v="N"/>
    <n v="0"/>
    <n v="0"/>
    <x v="12"/>
    <s v="VALIDATED"/>
    <n v="1"/>
    <s v="01.11.80.000.0000.0000"/>
    <n v="0"/>
    <s v="11"/>
    <s v="0000"/>
    <n v="-6364.76"/>
    <n v="0"/>
    <s v="DEBTOR"/>
    <n v="0"/>
    <n v="0"/>
    <n v="0"/>
    <n v="0"/>
    <n v="0"/>
  </r>
  <r>
    <n v="60248092"/>
    <s v="N"/>
    <n v="21412204"/>
    <s v="3000014554590004RC"/>
    <s v="CIVIL"/>
    <d v="2023-06-30T00:00:00"/>
    <d v="2023-07-21T19:28:22"/>
    <m/>
    <d v="2023-07-21T00:00:00"/>
    <n v="1788"/>
    <n v="19785"/>
    <s v="60248092"/>
    <s v="60248092"/>
    <m/>
    <m/>
    <m/>
    <m/>
    <m/>
    <m/>
    <s v="SOLRECOUP"/>
    <s v="SOLRECOUP"/>
    <s v="POARECOUP"/>
    <n v="21412204"/>
    <n v="-294.95"/>
    <m/>
    <s v="Y"/>
    <n v="1"/>
    <d v="2023-07-21T19:28:23"/>
    <s v="N"/>
    <m/>
    <m/>
    <s v="Non Expert Disbursement"/>
    <m/>
    <s v="N"/>
    <n v="-294.95"/>
    <n v="0"/>
    <x v="12"/>
    <s v="VALIDATED"/>
    <n v="1"/>
    <s v="01.11.80.308.2013.0000"/>
    <n v="-294.95"/>
    <s v="11"/>
    <s v="2013"/>
    <n v="-6364.76"/>
    <n v="-294.95"/>
    <s v="DEBTOR"/>
    <n v="0"/>
    <n v="0"/>
    <n v="0"/>
    <n v="0"/>
    <n v="0"/>
  </r>
  <r>
    <n v="60248092"/>
    <s v="N"/>
    <n v="21412221"/>
    <s v="3000014554590005RC"/>
    <s v="CIVIL"/>
    <d v="2023-06-30T00:00:00"/>
    <d v="2023-07-21T19:28:22"/>
    <m/>
    <d v="2023-07-21T00:00:00"/>
    <n v="1788"/>
    <n v="19785"/>
    <s v="60248092"/>
    <s v="60248092"/>
    <m/>
    <m/>
    <m/>
    <m/>
    <m/>
    <m/>
    <s v="SOLRECOUP"/>
    <s v="SOLRECOUP"/>
    <s v="POARECOUP"/>
    <n v="21412221"/>
    <n v="-371.7"/>
    <m/>
    <s v="Y"/>
    <n v="2"/>
    <d v="2023-07-21T19:28:23"/>
    <s v="N"/>
    <m/>
    <m/>
    <s v="Non Expert Disbursement"/>
    <m/>
    <s v="N"/>
    <n v="0"/>
    <n v="0"/>
    <x v="12"/>
    <s v="VALIDATED"/>
    <n v="1"/>
    <s v="01.11.80.000.0000.0000"/>
    <n v="0"/>
    <s v="11"/>
    <s v="0000"/>
    <n v="-6364.76"/>
    <n v="0"/>
    <s v="DEBTOR"/>
    <n v="0"/>
    <n v="0"/>
    <n v="0"/>
    <n v="0"/>
    <n v="0"/>
  </r>
  <r>
    <n v="60248092"/>
    <s v="N"/>
    <n v="21412221"/>
    <s v="3000014554590005RC"/>
    <s v="CIVIL"/>
    <d v="2023-06-30T00:00:00"/>
    <d v="2023-07-21T19:28:22"/>
    <m/>
    <d v="2023-07-21T00:00:00"/>
    <n v="1788"/>
    <n v="19785"/>
    <s v="60248092"/>
    <s v="60248092"/>
    <m/>
    <m/>
    <m/>
    <m/>
    <m/>
    <m/>
    <s v="SOLRECOUP"/>
    <s v="SOLRECOUP"/>
    <s v="POARECOUP"/>
    <n v="21412221"/>
    <n v="-371.7"/>
    <m/>
    <s v="Y"/>
    <n v="1"/>
    <d v="2023-07-21T19:28:23"/>
    <s v="N"/>
    <m/>
    <m/>
    <s v="Non Expert Disbursement"/>
    <m/>
    <s v="N"/>
    <n v="-371.7"/>
    <n v="0"/>
    <x v="12"/>
    <s v="VALIDATED"/>
    <n v="1"/>
    <s v="01.11.80.308.2013.0000"/>
    <n v="-371.7"/>
    <s v="11"/>
    <s v="2013"/>
    <n v="-6364.76"/>
    <n v="-371.7"/>
    <s v="DEBTOR"/>
    <n v="0"/>
    <n v="0"/>
    <n v="0"/>
    <n v="0"/>
    <n v="0"/>
  </r>
  <r>
    <n v="60248092"/>
    <s v="N"/>
    <n v="21412222"/>
    <s v="3000014554590006RC"/>
    <s v="CIVIL"/>
    <d v="2023-06-30T00:00:00"/>
    <d v="2023-07-21T19:28:22"/>
    <m/>
    <d v="2023-07-21T00:00:00"/>
    <n v="1788"/>
    <n v="19785"/>
    <s v="60248092"/>
    <s v="60248092"/>
    <m/>
    <m/>
    <m/>
    <m/>
    <m/>
    <m/>
    <s v="SOLRECOUP"/>
    <s v="SOLRECOUP"/>
    <s v="POARECOUP"/>
    <n v="21412222"/>
    <n v="-206.54"/>
    <m/>
    <s v="Y"/>
    <n v="2"/>
    <d v="2023-07-21T19:28:23"/>
    <s v="N"/>
    <m/>
    <m/>
    <s v="Non Expert Disbursement"/>
    <m/>
    <s v="N"/>
    <n v="0"/>
    <n v="0"/>
    <x v="12"/>
    <s v="VALIDATED"/>
    <n v="1"/>
    <s v="01.11.80.000.0000.0000"/>
    <n v="0"/>
    <s v="11"/>
    <s v="0000"/>
    <n v="-6364.76"/>
    <n v="0"/>
    <s v="DEBTOR"/>
    <n v="0"/>
    <n v="0"/>
    <n v="0"/>
    <n v="0"/>
    <n v="0"/>
  </r>
  <r>
    <n v="60248092"/>
    <s v="N"/>
    <n v="21412222"/>
    <s v="3000014554590006RC"/>
    <s v="CIVIL"/>
    <d v="2023-06-30T00:00:00"/>
    <d v="2023-07-21T19:28:22"/>
    <m/>
    <d v="2023-07-21T00:00:00"/>
    <n v="1788"/>
    <n v="19785"/>
    <s v="60248092"/>
    <s v="60248092"/>
    <m/>
    <m/>
    <m/>
    <m/>
    <m/>
    <m/>
    <s v="SOLRECOUP"/>
    <s v="SOLRECOUP"/>
    <s v="POARECOUP"/>
    <n v="21412222"/>
    <n v="-206.54"/>
    <m/>
    <s v="Y"/>
    <n v="1"/>
    <d v="2023-07-21T19:28:23"/>
    <s v="N"/>
    <m/>
    <m/>
    <s v="Non Expert Disbursement"/>
    <m/>
    <s v="N"/>
    <n v="-206.54"/>
    <n v="0"/>
    <x v="12"/>
    <s v="VALIDATED"/>
    <n v="1"/>
    <s v="01.11.80.308.2013.0000"/>
    <n v="-206.54"/>
    <s v="11"/>
    <s v="2013"/>
    <n v="-6364.76"/>
    <n v="-206.54"/>
    <s v="DEBTOR"/>
    <n v="0"/>
    <n v="0"/>
    <n v="0"/>
    <n v="0"/>
    <n v="0"/>
  </r>
  <r>
    <n v="60248092"/>
    <s v="N"/>
    <n v="21412284"/>
    <s v="3000014554590007RC"/>
    <s v="CIVIL"/>
    <d v="2023-06-30T00:00:00"/>
    <d v="2023-07-21T19:28:22"/>
    <m/>
    <d v="2023-07-21T00:00:00"/>
    <n v="1788"/>
    <n v="19785"/>
    <s v="60248092"/>
    <s v="60248092"/>
    <m/>
    <m/>
    <m/>
    <m/>
    <m/>
    <m/>
    <s v="SOLRECOUP"/>
    <s v="SOLRECOUP"/>
    <s v="POARECOUP"/>
    <n v="21412284"/>
    <n v="-496.08"/>
    <m/>
    <s v="Y"/>
    <n v="2"/>
    <d v="2023-07-21T19:28:24"/>
    <s v="N"/>
    <m/>
    <m/>
    <s v="Non Expert Disbursement"/>
    <m/>
    <s v="N"/>
    <n v="0"/>
    <n v="0"/>
    <x v="12"/>
    <s v="VALIDATED"/>
    <n v="1"/>
    <s v="01.11.80.000.0000.0000"/>
    <n v="0"/>
    <s v="11"/>
    <s v="0000"/>
    <n v="-6364.76"/>
    <n v="0"/>
    <s v="DEBTOR"/>
    <n v="0"/>
    <n v="0"/>
    <n v="0"/>
    <n v="0"/>
    <n v="0"/>
  </r>
  <r>
    <n v="60248092"/>
    <s v="N"/>
    <n v="21412284"/>
    <s v="3000014554590007RC"/>
    <s v="CIVIL"/>
    <d v="2023-06-30T00:00:00"/>
    <d v="2023-07-21T19:28:22"/>
    <m/>
    <d v="2023-07-21T00:00:00"/>
    <n v="1788"/>
    <n v="19785"/>
    <s v="60248092"/>
    <s v="60248092"/>
    <m/>
    <m/>
    <m/>
    <m/>
    <m/>
    <m/>
    <s v="SOLRECOUP"/>
    <s v="SOLRECOUP"/>
    <s v="POARECOUP"/>
    <n v="21412284"/>
    <n v="-496.08"/>
    <m/>
    <s v="Y"/>
    <n v="1"/>
    <d v="2023-07-21T19:28:24"/>
    <s v="N"/>
    <m/>
    <m/>
    <s v="Non Expert Disbursement"/>
    <m/>
    <s v="N"/>
    <n v="-496.08"/>
    <n v="0"/>
    <x v="12"/>
    <s v="VALIDATED"/>
    <n v="1"/>
    <s v="01.11.80.308.2013.0000"/>
    <n v="-496.08"/>
    <s v="11"/>
    <s v="2013"/>
    <n v="-6364.76"/>
    <n v="-496.08"/>
    <s v="DEBTOR"/>
    <n v="0"/>
    <n v="0"/>
    <n v="0"/>
    <n v="0"/>
    <n v="0"/>
  </r>
  <r>
    <n v="60424233"/>
    <s v="N"/>
    <n v="21318995"/>
    <s v="3000014709650003"/>
    <s v="CIVIL"/>
    <d v="2023-06-19T00:00:00"/>
    <d v="2023-07-03T19:01:49"/>
    <m/>
    <d v="2023-07-03T00:00:00"/>
    <n v="1793"/>
    <n v="19818"/>
    <s v="60424233"/>
    <s v="60424233"/>
    <m/>
    <m/>
    <n v="22712368"/>
    <m/>
    <m/>
    <m/>
    <s v="SOLFIN"/>
    <s v="SOLFIN"/>
    <s v="CCMS"/>
    <n v="21318995"/>
    <n v="2470.04"/>
    <m/>
    <s v="N"/>
    <n v="39"/>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19"/>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27"/>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30"/>
    <d v="2023-07-03T19:02:06"/>
    <s v="Y"/>
    <s v="Preparation - other"/>
    <s v="Prescribed Hourly Rates"/>
    <s v="Profit Cost"/>
    <s v="NP"/>
    <s v="Y"/>
    <n v="27.45"/>
    <n v="5.49"/>
    <x v="3"/>
    <s v="VALIDATED"/>
    <n v="1"/>
    <s v="01.11.80.307.6100.0000"/>
    <n v="27.45"/>
    <s v="11"/>
    <s v="6100"/>
    <n v="217.96"/>
    <n v="27.45"/>
    <s v="CREDITOR"/>
    <n v="0"/>
    <n v="0"/>
    <n v="0"/>
    <n v="0"/>
    <n v="27.45"/>
  </r>
  <r>
    <n v="60424233"/>
    <s v="N"/>
    <n v="21318995"/>
    <s v="3000014709650003"/>
    <s v="CIVIL"/>
    <d v="2023-06-19T00:00:00"/>
    <d v="2023-07-03T19:01:49"/>
    <m/>
    <d v="2023-07-03T00:00:00"/>
    <n v="1793"/>
    <n v="19818"/>
    <s v="60424233"/>
    <s v="60424233"/>
    <m/>
    <m/>
    <n v="22712368"/>
    <m/>
    <m/>
    <m/>
    <s v="SOLFIN"/>
    <s v="SOLFIN"/>
    <s v="CCMS"/>
    <n v="21318995"/>
    <n v="2470.04"/>
    <m/>
    <s v="N"/>
    <n v="42"/>
    <d v="2023-07-03T19:02:06"/>
    <s v="Y"/>
    <s v="Preparation - drafting bill/claim f"/>
    <s v="Prescribed Hourly Rates"/>
    <s v="Profit Cost"/>
    <s v="NP"/>
    <s v="Y"/>
    <n v="16.47"/>
    <n v="3.29"/>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5"/>
    <d v="2023-07-03T19:02:06"/>
    <s v="Y"/>
    <s v="Preparation - other"/>
    <s v="Prescribed Hourly Rates"/>
    <s v="Profit Cost"/>
    <s v="NP"/>
    <s v="Y"/>
    <n v="16.47"/>
    <n v="3.29"/>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43"/>
    <d v="2023-07-03T19:02:06"/>
    <s v="Y"/>
    <s v="Routine Telephone Call"/>
    <s v="Prescribed Hourly Rates"/>
    <s v="Profit Cost"/>
    <s v="NP"/>
    <s v="Y"/>
    <n v="183.6"/>
    <n v="36.72"/>
    <x v="3"/>
    <s v="VALIDATED"/>
    <n v="1"/>
    <s v="01.11.80.307.6100.0000"/>
    <n v="183.6"/>
    <s v="11"/>
    <s v="6100"/>
    <n v="217.96"/>
    <n v="183.6"/>
    <s v="CREDITOR"/>
    <n v="0"/>
    <n v="0"/>
    <n v="0"/>
    <n v="0"/>
    <n v="183.6"/>
  </r>
  <r>
    <n v="60424233"/>
    <s v="N"/>
    <n v="21318995"/>
    <s v="3000014709650003"/>
    <s v="CIVIL"/>
    <d v="2023-06-19T00:00:00"/>
    <d v="2023-07-03T19:01:49"/>
    <m/>
    <d v="2023-07-03T00:00:00"/>
    <n v="1793"/>
    <n v="19818"/>
    <s v="60424233"/>
    <s v="60424233"/>
    <m/>
    <m/>
    <n v="22712368"/>
    <m/>
    <m/>
    <m/>
    <s v="SOLFIN"/>
    <s v="SOLFIN"/>
    <s v="CCMS"/>
    <n v="21318995"/>
    <n v="2470.04"/>
    <m/>
    <s v="N"/>
    <n v="8"/>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31"/>
    <d v="2023-07-03T19:02:06"/>
    <s v="Y"/>
    <s v="Preparation - other"/>
    <s v="Prescribed Hourly Rates"/>
    <s v="Profit Cost"/>
    <s v="NP"/>
    <s v="Y"/>
    <n v="27.45"/>
    <n v="5.49"/>
    <x v="3"/>
    <s v="VALIDATED"/>
    <n v="1"/>
    <s v="01.11.80.307.6100.0000"/>
    <n v="27.45"/>
    <s v="11"/>
    <s v="6100"/>
    <n v="217.96"/>
    <n v="27.45"/>
    <s v="CREDITOR"/>
    <n v="0"/>
    <n v="0"/>
    <n v="0"/>
    <n v="0"/>
    <n v="27.45"/>
  </r>
  <r>
    <n v="60424233"/>
    <s v="N"/>
    <n v="21318995"/>
    <s v="3000014709650003"/>
    <s v="CIVIL"/>
    <d v="2023-06-19T00:00:00"/>
    <d v="2023-07-03T19:01:49"/>
    <m/>
    <d v="2023-07-03T00:00:00"/>
    <n v="1793"/>
    <n v="19818"/>
    <s v="60424233"/>
    <s v="60424233"/>
    <m/>
    <m/>
    <n v="22712368"/>
    <m/>
    <m/>
    <m/>
    <s v="SOLFIN"/>
    <s v="SOLFIN"/>
    <s v="CCMS"/>
    <n v="21318995"/>
    <n v="2470.04"/>
    <m/>
    <s v="N"/>
    <n v="12"/>
    <d v="2023-07-03T19:02:06"/>
    <s v="Y"/>
    <s v="Preparation - other"/>
    <s v="Prescribed Hourly Rates"/>
    <s v="Profit Cost"/>
    <s v="NP"/>
    <s v="Y"/>
    <n v="16.47"/>
    <n v="3.29"/>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29"/>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10"/>
    <d v="2023-07-03T19:02:06"/>
    <s v="Y"/>
    <s v="Preparation - other"/>
    <s v="Prescribed Hourly Rates"/>
    <s v="Profit Cost"/>
    <s v="NP"/>
    <s v="Y"/>
    <n v="10.98"/>
    <n v="2.2"/>
    <x v="3"/>
    <s v="VALIDATED"/>
    <n v="1"/>
    <s v="01.11.80.307.6100.0000"/>
    <n v="10.98"/>
    <s v="11"/>
    <s v="6100"/>
    <n v="217.96"/>
    <n v="10.98"/>
    <s v="CREDITOR"/>
    <n v="0"/>
    <n v="0"/>
    <n v="0"/>
    <n v="0"/>
    <n v="10.98"/>
  </r>
  <r>
    <n v="60424233"/>
    <s v="N"/>
    <n v="21318995"/>
    <s v="3000014709650003"/>
    <s v="CIVIL"/>
    <d v="2023-06-19T00:00:00"/>
    <d v="2023-07-03T19:01:49"/>
    <m/>
    <d v="2023-07-03T00:00:00"/>
    <n v="1793"/>
    <n v="19818"/>
    <s v="60424233"/>
    <s v="60424233"/>
    <m/>
    <m/>
    <n v="22712368"/>
    <m/>
    <m/>
    <m/>
    <s v="SOLFIN"/>
    <s v="SOLFIN"/>
    <s v="CCMS"/>
    <n v="21318995"/>
    <n v="2470.04"/>
    <m/>
    <s v="N"/>
    <n v="24"/>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25"/>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9"/>
    <d v="2023-07-03T19:02:06"/>
    <s v="Y"/>
    <s v="Preparation - drafting instructions"/>
    <s v="Prescribed Hourly Rates"/>
    <s v="Profit Cost"/>
    <s v="NP"/>
    <s v="Y"/>
    <n v="27.45"/>
    <n v="5.49"/>
    <x v="3"/>
    <s v="VALIDATED"/>
    <n v="1"/>
    <s v="01.11.80.307.6100.0000"/>
    <n v="27.45"/>
    <s v="11"/>
    <s v="6100"/>
    <n v="217.96"/>
    <n v="27.45"/>
    <s v="CREDITOR"/>
    <n v="0"/>
    <n v="0"/>
    <n v="0"/>
    <n v="0"/>
    <n v="27.45"/>
  </r>
  <r>
    <n v="60424233"/>
    <s v="N"/>
    <n v="21318995"/>
    <s v="3000014709650003"/>
    <s v="CIVIL"/>
    <d v="2023-06-19T00:00:00"/>
    <d v="2023-07-03T19:01:49"/>
    <m/>
    <d v="2023-07-03T00:00:00"/>
    <n v="1793"/>
    <n v="19818"/>
    <s v="60424233"/>
    <s v="60424233"/>
    <m/>
    <m/>
    <n v="22712368"/>
    <m/>
    <m/>
    <m/>
    <s v="SOLFIN"/>
    <s v="SOLFIN"/>
    <s v="CCMS"/>
    <n v="21318995"/>
    <n v="2470.04"/>
    <m/>
    <s v="N"/>
    <n v="17"/>
    <d v="2023-07-03T19:02:06"/>
    <s v="Y"/>
    <s v="Preparation - other"/>
    <s v="Prescribed Hourly Rates"/>
    <s v="Profit Cost"/>
    <s v="NP"/>
    <s v="Y"/>
    <n v="10.98"/>
    <n v="2.2"/>
    <x v="3"/>
    <s v="VALIDATED"/>
    <n v="1"/>
    <s v="01.11.80.307.6100.0000"/>
    <n v="10.98"/>
    <s v="11"/>
    <s v="6100"/>
    <n v="217.96"/>
    <n v="10.98"/>
    <s v="CREDITOR"/>
    <n v="0"/>
    <n v="0"/>
    <n v="0"/>
    <n v="0"/>
    <n v="10.98"/>
  </r>
  <r>
    <n v="60424233"/>
    <s v="N"/>
    <n v="21318995"/>
    <s v="3000014709650003"/>
    <s v="CIVIL"/>
    <d v="2023-06-19T00:00:00"/>
    <d v="2023-07-03T19:01:49"/>
    <m/>
    <d v="2023-07-03T00:00:00"/>
    <n v="1793"/>
    <n v="19818"/>
    <s v="60424233"/>
    <s v="60424233"/>
    <m/>
    <m/>
    <n v="22712368"/>
    <m/>
    <m/>
    <m/>
    <s v="SOLFIN"/>
    <s v="SOLFIN"/>
    <s v="CCMS"/>
    <n v="21318995"/>
    <n v="2470.04"/>
    <m/>
    <s v="N"/>
    <n v="7"/>
    <d v="2023-07-03T19:02:06"/>
    <s v="Y"/>
    <s v="Attendance upon client"/>
    <s v="Prescribed Hourly Rates"/>
    <s v="Profit Cost"/>
    <s v="NP"/>
    <s v="Y"/>
    <n v="16.47"/>
    <n v="3.29"/>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21"/>
    <d v="2023-07-03T19:02:06"/>
    <s v="Y"/>
    <s v="Preparation - other"/>
    <s v="Prescribed Hourly Rates"/>
    <s v="Profit Cost"/>
    <s v="NP"/>
    <s v="Y"/>
    <n v="10.98"/>
    <n v="2.2"/>
    <x v="3"/>
    <s v="VALIDATED"/>
    <n v="1"/>
    <s v="01.11.80.307.6100.0000"/>
    <n v="10.98"/>
    <s v="11"/>
    <s v="6100"/>
    <n v="217.96"/>
    <n v="10.98"/>
    <s v="CREDITOR"/>
    <n v="0"/>
    <n v="0"/>
    <n v="0"/>
    <n v="0"/>
    <n v="10.98"/>
  </r>
  <r>
    <n v="60424233"/>
    <s v="N"/>
    <n v="21318995"/>
    <s v="3000014709650003"/>
    <s v="CIVIL"/>
    <d v="2023-06-19T00:00:00"/>
    <d v="2023-07-03T19:01:49"/>
    <m/>
    <d v="2023-07-03T00:00:00"/>
    <n v="1793"/>
    <n v="19818"/>
    <s v="60424233"/>
    <s v="60424233"/>
    <m/>
    <m/>
    <n v="22712368"/>
    <m/>
    <m/>
    <m/>
    <s v="SOLFIN"/>
    <s v="SOLFIN"/>
    <s v="CCMS"/>
    <n v="21318995"/>
    <n v="2470.04"/>
    <m/>
    <s v="N"/>
    <n v="44"/>
    <d v="2023-07-03T19:02:06"/>
    <s v="Y"/>
    <s v="Routine Letter Out"/>
    <s v="Prescribed Hourly Rates"/>
    <s v="Profit Cost"/>
    <s v="NP"/>
    <s v="Y"/>
    <n v="351"/>
    <n v="70.2"/>
    <x v="3"/>
    <s v="VALIDATED"/>
    <n v="1"/>
    <s v="01.11.80.307.6100.0000"/>
    <n v="351"/>
    <s v="11"/>
    <s v="6100"/>
    <n v="217.96"/>
    <n v="351"/>
    <s v="CREDITOR"/>
    <n v="0"/>
    <n v="0"/>
    <n v="0"/>
    <n v="0"/>
    <n v="351"/>
  </r>
  <r>
    <n v="60424233"/>
    <s v="N"/>
    <n v="21318995"/>
    <s v="3000014709650003"/>
    <s v="CIVIL"/>
    <d v="2023-06-19T00:00:00"/>
    <d v="2023-07-03T19:01:49"/>
    <m/>
    <d v="2023-07-03T00:00:00"/>
    <n v="1793"/>
    <n v="19818"/>
    <s v="60424233"/>
    <s v="60424233"/>
    <m/>
    <m/>
    <n v="22712368"/>
    <m/>
    <m/>
    <m/>
    <s v="SOLFIN"/>
    <s v="SOLFIN"/>
    <s v="CCMS"/>
    <n v="21318995"/>
    <n v="2470.04"/>
    <m/>
    <s v="N"/>
    <n v="3"/>
    <d v="2023-07-03T19:02:06"/>
    <s v="N"/>
    <s v="Level 3 Fixed Fee"/>
    <s v="Private Law Children"/>
    <s v="Profit Cost"/>
    <s v="XXX"/>
    <s v="N"/>
    <n v="0"/>
    <n v="0"/>
    <x v="3"/>
    <s v="VALIDATED"/>
    <n v="1"/>
    <s v="01.11.80.307.6100.0000"/>
    <n v="0"/>
    <s v="11"/>
    <s v="6100"/>
    <n v="217.96"/>
    <n v="0"/>
    <s v="CREDITOR"/>
    <n v="0"/>
    <n v="0"/>
    <n v="0"/>
    <n v="0"/>
    <n v="0"/>
  </r>
  <r>
    <n v="60424233"/>
    <s v="N"/>
    <n v="21318995"/>
    <s v="3000014709650003"/>
    <s v="CIVIL"/>
    <d v="2023-06-19T00:00:00"/>
    <d v="2023-07-03T19:01:49"/>
    <m/>
    <d v="2023-07-03T00:00:00"/>
    <n v="1793"/>
    <n v="19818"/>
    <s v="60424233"/>
    <s v="60424233"/>
    <m/>
    <m/>
    <n v="22712368"/>
    <m/>
    <m/>
    <m/>
    <s v="SOLFIN"/>
    <s v="SOLFIN"/>
    <s v="CCMS"/>
    <n v="21318995"/>
    <n v="2470.04"/>
    <m/>
    <s v="N"/>
    <n v="14"/>
    <d v="2023-07-03T19:02:06"/>
    <s v="Y"/>
    <s v="Preparation - other"/>
    <s v="Prescribed Hourly Rates"/>
    <s v="Profit Cost"/>
    <s v="NP"/>
    <s v="Y"/>
    <n v="16.47"/>
    <n v="3.29"/>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45"/>
    <d v="2023-07-03T19:02:06"/>
    <s v="Y"/>
    <s v="Routine Letter In"/>
    <s v="Prescribed Hourly Rates"/>
    <s v="Profit Cost"/>
    <s v="NP"/>
    <s v="Y"/>
    <n v="164.7"/>
    <n v="32.94"/>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34"/>
    <d v="2023-07-03T19:02:06"/>
    <s v="Y"/>
    <s v="Preparation - other"/>
    <s v="Prescribed Hourly Rates"/>
    <s v="Profit Cost"/>
    <s v="NP"/>
    <s v="Y"/>
    <n v="214.11"/>
    <n v="42.82"/>
    <x v="3"/>
    <s v="VALIDATED"/>
    <n v="1"/>
    <s v="01.11.80.307.6100.0000"/>
    <n v="214.11"/>
    <s v="11"/>
    <s v="6100"/>
    <n v="217.96"/>
    <n v="214.11"/>
    <s v="CREDITOR"/>
    <n v="0"/>
    <n v="0"/>
    <n v="0"/>
    <n v="0"/>
    <n v="214.11"/>
  </r>
  <r>
    <n v="60424233"/>
    <s v="N"/>
    <n v="21318995"/>
    <s v="3000014709650003"/>
    <s v="CIVIL"/>
    <d v="2023-06-19T00:00:00"/>
    <d v="2023-07-03T19:01:49"/>
    <m/>
    <d v="2023-07-03T00:00:00"/>
    <n v="1793"/>
    <n v="19818"/>
    <s v="60424233"/>
    <s v="60424233"/>
    <m/>
    <m/>
    <n v="22712368"/>
    <m/>
    <m/>
    <m/>
    <s v="SOLFIN"/>
    <s v="SOLFIN"/>
    <s v="CCMS"/>
    <n v="21318995"/>
    <n v="2470.04"/>
    <m/>
    <s v="N"/>
    <n v="4"/>
    <d v="2023-07-03T19:02:06"/>
    <s v="Y"/>
    <s v="Attendance upon client"/>
    <s v="Prescribed Hourly Rates"/>
    <s v="Profit Cost"/>
    <s v="NP"/>
    <s v="Y"/>
    <n v="65.88"/>
    <n v="13.18"/>
    <x v="3"/>
    <s v="VALIDATED"/>
    <n v="1"/>
    <s v="01.11.80.307.6100.0000"/>
    <n v="65.88"/>
    <s v="11"/>
    <s v="6100"/>
    <n v="217.96"/>
    <n v="65.88"/>
    <s v="CREDITOR"/>
    <n v="0"/>
    <n v="0"/>
    <n v="0"/>
    <n v="0"/>
    <n v="65.88"/>
  </r>
  <r>
    <n v="60424233"/>
    <s v="N"/>
    <n v="21318995"/>
    <s v="3000014709650003"/>
    <s v="CIVIL"/>
    <d v="2023-06-19T00:00:00"/>
    <d v="2023-07-03T19:01:49"/>
    <m/>
    <d v="2023-07-03T00:00:00"/>
    <n v="1793"/>
    <n v="19818"/>
    <s v="60424233"/>
    <s v="60424233"/>
    <m/>
    <m/>
    <n v="22712368"/>
    <m/>
    <m/>
    <m/>
    <s v="SOLFIN"/>
    <s v="SOLFIN"/>
    <s v="CCMS"/>
    <n v="21318995"/>
    <n v="2470.04"/>
    <m/>
    <s v="N"/>
    <n v="38"/>
    <d v="2023-07-03T19:02:06"/>
    <s v="Y"/>
    <s v="Preparation - other"/>
    <s v="Prescribed Hourly Rates"/>
    <s v="Profit Cost"/>
    <s v="NP"/>
    <s v="Y"/>
    <n v="10.98"/>
    <n v="2.2"/>
    <x v="3"/>
    <s v="VALIDATED"/>
    <n v="1"/>
    <s v="01.11.80.307.6100.0000"/>
    <n v="10.98"/>
    <s v="11"/>
    <s v="6100"/>
    <n v="217.96"/>
    <n v="10.98"/>
    <s v="CREDITOR"/>
    <n v="0"/>
    <n v="0"/>
    <n v="0"/>
    <n v="0"/>
    <n v="10.98"/>
  </r>
  <r>
    <n v="60424233"/>
    <s v="N"/>
    <n v="21318995"/>
    <s v="3000014709650003"/>
    <s v="CIVIL"/>
    <d v="2023-06-19T00:00:00"/>
    <d v="2023-07-03T19:01:49"/>
    <m/>
    <d v="2023-07-03T00:00:00"/>
    <n v="1793"/>
    <n v="19818"/>
    <s v="60424233"/>
    <s v="60424233"/>
    <m/>
    <m/>
    <n v="22712368"/>
    <m/>
    <m/>
    <m/>
    <s v="SOLFIN"/>
    <s v="SOLFIN"/>
    <s v="CCMS"/>
    <n v="21318995"/>
    <n v="2470.04"/>
    <m/>
    <s v="N"/>
    <n v="20"/>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28"/>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36"/>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40"/>
    <d v="2023-07-03T19:02:06"/>
    <s v="Y"/>
    <s v="Preparation - other"/>
    <s v="Prescribed Hourly Rates"/>
    <s v="Profit Cost"/>
    <s v="NP"/>
    <s v="Y"/>
    <n v="16.47"/>
    <n v="3.29"/>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6"/>
    <d v="2023-07-03T19:02:06"/>
    <s v="Y"/>
    <s v="Attendance upon client"/>
    <s v="Prescribed Hourly Rates"/>
    <s v="Profit Cost"/>
    <s v="NP"/>
    <s v="Y"/>
    <n v="65.88"/>
    <n v="13.18"/>
    <x v="3"/>
    <s v="VALIDATED"/>
    <n v="1"/>
    <s v="01.11.80.307.6100.0000"/>
    <n v="65.88"/>
    <s v="11"/>
    <s v="6100"/>
    <n v="217.96"/>
    <n v="65.88"/>
    <s v="CREDITOR"/>
    <n v="0"/>
    <n v="0"/>
    <n v="0"/>
    <n v="0"/>
    <n v="65.88"/>
  </r>
  <r>
    <n v="60424233"/>
    <s v="N"/>
    <n v="21318995"/>
    <s v="3000014709650003"/>
    <s v="CIVIL"/>
    <d v="2023-06-19T00:00:00"/>
    <d v="2023-07-03T19:01:49"/>
    <m/>
    <d v="2023-07-03T00:00:00"/>
    <n v="1793"/>
    <n v="19818"/>
    <s v="60424233"/>
    <s v="60424233"/>
    <m/>
    <m/>
    <n v="22712368"/>
    <m/>
    <m/>
    <m/>
    <s v="SOLFIN"/>
    <s v="SOLFIN"/>
    <s v="CCMS"/>
    <n v="21318995"/>
    <n v="2470.04"/>
    <m/>
    <s v="N"/>
    <n v="35"/>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13"/>
    <d v="2023-07-03T19:02:06"/>
    <s v="Y"/>
    <s v="Attendance upon client"/>
    <s v="Prescribed Hourly Rates"/>
    <s v="Profit Cost"/>
    <s v="NP"/>
    <s v="Y"/>
    <n v="32.94"/>
    <n v="6.59"/>
    <x v="3"/>
    <s v="VALIDATED"/>
    <n v="1"/>
    <s v="01.11.80.307.6100.0000"/>
    <n v="32.94"/>
    <s v="11"/>
    <s v="6100"/>
    <n v="217.96"/>
    <n v="32.94"/>
    <s v="CREDITOR"/>
    <n v="0"/>
    <n v="0"/>
    <n v="0"/>
    <n v="0"/>
    <n v="32.94"/>
  </r>
  <r>
    <n v="60424233"/>
    <s v="N"/>
    <n v="21318995"/>
    <s v="3000014709650003"/>
    <s v="CIVIL"/>
    <d v="2023-06-19T00:00:00"/>
    <d v="2023-07-03T19:01:49"/>
    <m/>
    <d v="2023-07-03T00:00:00"/>
    <n v="1793"/>
    <n v="19818"/>
    <s v="60424233"/>
    <s v="60424233"/>
    <m/>
    <m/>
    <n v="22712368"/>
    <m/>
    <m/>
    <m/>
    <s v="SOLFIN"/>
    <s v="SOLFIN"/>
    <s v="CCMS"/>
    <n v="21318995"/>
    <n v="2470.04"/>
    <m/>
    <s v="N"/>
    <n v="23"/>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2"/>
    <d v="2023-07-03T19:02:06"/>
    <s v="Y"/>
    <s v="Hearing Unit 2.31 - 5.00 Hours"/>
    <s v="Private Law Children"/>
    <s v="Advocacy"/>
    <s v="DS"/>
    <s v="Y"/>
    <n v="344.8"/>
    <n v="68.95999999999999"/>
    <x v="3"/>
    <s v="VALIDATED"/>
    <n v="1"/>
    <s v="01.11.80.307.6100.0000"/>
    <n v="344.8"/>
    <s v="11"/>
    <s v="6100"/>
    <n v="217.96"/>
    <n v="344.8"/>
    <s v="CREDITOR"/>
    <n v="0"/>
    <n v="0"/>
    <n v="0"/>
    <n v="0"/>
    <n v="344.8"/>
  </r>
  <r>
    <n v="60424233"/>
    <s v="N"/>
    <n v="21318995"/>
    <s v="3000014709650003"/>
    <s v="CIVIL"/>
    <d v="2023-06-19T00:00:00"/>
    <d v="2023-07-03T19:01:49"/>
    <m/>
    <d v="2023-07-03T00:00:00"/>
    <n v="1793"/>
    <n v="19818"/>
    <s v="60424233"/>
    <s v="60424233"/>
    <m/>
    <m/>
    <n v="22712368"/>
    <m/>
    <m/>
    <m/>
    <s v="SOLFIN"/>
    <s v="SOLFIN"/>
    <s v="CCMS"/>
    <n v="21318995"/>
    <n v="2470.04"/>
    <m/>
    <s v="N"/>
    <n v="18"/>
    <d v="2023-07-03T19:02:06"/>
    <s v="Y"/>
    <s v="Preparation - other"/>
    <s v="Prescribed Hourly Rates"/>
    <s v="Profit Cost"/>
    <s v="NP"/>
    <s v="Y"/>
    <n v="21.96"/>
    <n v="4.39"/>
    <x v="3"/>
    <s v="VALIDATED"/>
    <n v="1"/>
    <s v="01.11.80.307.6100.0000"/>
    <n v="21.96"/>
    <s v="11"/>
    <s v="6100"/>
    <n v="217.96"/>
    <n v="21.96"/>
    <s v="CREDITOR"/>
    <n v="0"/>
    <n v="0"/>
    <n v="0"/>
    <n v="0"/>
    <n v="21.96"/>
  </r>
  <r>
    <n v="60424233"/>
    <s v="N"/>
    <n v="21318995"/>
    <s v="3000014709650003"/>
    <s v="CIVIL"/>
    <d v="2023-06-19T00:00:00"/>
    <d v="2023-07-03T19:01:49"/>
    <m/>
    <d v="2023-07-03T00:00:00"/>
    <n v="1793"/>
    <n v="19818"/>
    <s v="60424233"/>
    <s v="60424233"/>
    <m/>
    <m/>
    <n v="22712368"/>
    <m/>
    <m/>
    <m/>
    <s v="SOLFIN"/>
    <s v="SOLFIN"/>
    <s v="CCMS"/>
    <n v="21318995"/>
    <n v="2470.04"/>
    <m/>
    <s v="N"/>
    <n v="41"/>
    <d v="2023-07-03T19:02:06"/>
    <s v="Y"/>
    <s v="Preparation - drafting bill/claim f"/>
    <s v="Prescribed Hourly Rates"/>
    <s v="Profit Cost"/>
    <s v="NP"/>
    <s v="Y"/>
    <n v="164.7"/>
    <n v="32.94"/>
    <x v="3"/>
    <s v="VALIDATED"/>
    <n v="1"/>
    <s v="01.11.80.307.6100.0000"/>
    <n v="164.7"/>
    <s v="11"/>
    <s v="6100"/>
    <n v="217.96"/>
    <n v="164.7"/>
    <s v="CREDITOR"/>
    <n v="0"/>
    <n v="0"/>
    <n v="0"/>
    <n v="0"/>
    <n v="164.7"/>
  </r>
  <r>
    <n v="60424233"/>
    <s v="N"/>
    <n v="21318995"/>
    <s v="3000014709650003"/>
    <s v="CIVIL"/>
    <d v="2023-06-19T00:00:00"/>
    <d v="2023-07-03T19:01:49"/>
    <m/>
    <d v="2023-07-03T00:00:00"/>
    <n v="1793"/>
    <n v="19818"/>
    <s v="60424233"/>
    <s v="60424233"/>
    <m/>
    <m/>
    <n v="22712368"/>
    <m/>
    <m/>
    <m/>
    <s v="SOLFIN"/>
    <s v="SOLFIN"/>
    <s v="CCMS"/>
    <n v="21318995"/>
    <n v="2470.04"/>
    <m/>
    <s v="N"/>
    <n v="26"/>
    <d v="2023-07-03T19:02:06"/>
    <s v="Y"/>
    <s v="Preparation - other"/>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15"/>
    <d v="2023-07-03T19:02:06"/>
    <s v="Y"/>
    <s v="Attendance upon client"/>
    <s v="Prescribed Hourly Rates"/>
    <s v="Profit Cost"/>
    <s v="NP"/>
    <s v="Y"/>
    <n v="21.96"/>
    <n v="4.39"/>
    <x v="3"/>
    <s v="VALIDATED"/>
    <n v="1"/>
    <s v="01.11.80.307.6100.0000"/>
    <n v="21.96"/>
    <s v="11"/>
    <s v="6100"/>
    <n v="217.96"/>
    <n v="21.96"/>
    <s v="CREDITOR"/>
    <n v="0"/>
    <n v="0"/>
    <n v="0"/>
    <n v="0"/>
    <n v="21.96"/>
  </r>
  <r>
    <n v="60424233"/>
    <s v="N"/>
    <n v="21318995"/>
    <s v="3000014709650003"/>
    <s v="CIVIL"/>
    <d v="2023-06-19T00:00:00"/>
    <d v="2023-07-03T19:01:49"/>
    <m/>
    <d v="2023-07-03T00:00:00"/>
    <n v="1793"/>
    <n v="19818"/>
    <s v="60424233"/>
    <s v="60424233"/>
    <m/>
    <m/>
    <n v="22712368"/>
    <m/>
    <m/>
    <m/>
    <s v="SOLFIN"/>
    <s v="SOLFIN"/>
    <s v="CCMS"/>
    <n v="21318995"/>
    <n v="2470.04"/>
    <m/>
    <s v="N"/>
    <n v="16"/>
    <d v="2023-07-03T19:02:06"/>
    <s v="Y"/>
    <s v="Attendance upon client"/>
    <s v="Prescribed Hourly Rates"/>
    <s v="Profit Cost"/>
    <s v="NP"/>
    <s v="Y"/>
    <n v="38.43"/>
    <n v="7.69"/>
    <x v="3"/>
    <s v="VALIDATED"/>
    <n v="1"/>
    <s v="01.11.80.307.6100.0000"/>
    <n v="38.43"/>
    <s v="11"/>
    <s v="6100"/>
    <n v="217.96"/>
    <n v="38.43"/>
    <s v="CREDITOR"/>
    <n v="0"/>
    <n v="0"/>
    <n v="0"/>
    <n v="0"/>
    <n v="38.43"/>
  </r>
  <r>
    <n v="60424233"/>
    <s v="N"/>
    <n v="21318995"/>
    <s v="3000014709650003"/>
    <s v="CIVIL"/>
    <d v="2023-06-19T00:00:00"/>
    <d v="2023-07-03T19:01:49"/>
    <m/>
    <d v="2023-07-03T00:00:00"/>
    <n v="1793"/>
    <n v="19818"/>
    <s v="60424233"/>
    <s v="60424233"/>
    <m/>
    <m/>
    <n v="22712368"/>
    <m/>
    <m/>
    <m/>
    <s v="SOLFIN"/>
    <s v="SOLFIN"/>
    <s v="CCMS"/>
    <n v="21318995"/>
    <n v="2470.04"/>
    <m/>
    <s v="N"/>
    <n v="22"/>
    <d v="2023-07-03T19:02:06"/>
    <s v="Y"/>
    <s v="Attendance upon client"/>
    <s v="Prescribed Hourly Rates"/>
    <s v="Profit Cost"/>
    <s v="NP"/>
    <s v="Y"/>
    <n v="5.49"/>
    <n v="1.1"/>
    <x v="3"/>
    <s v="VALIDATED"/>
    <n v="1"/>
    <s v="01.11.80.307.6100.0000"/>
    <n v="5.49"/>
    <s v="11"/>
    <s v="6100"/>
    <n v="217.96"/>
    <n v="5.49"/>
    <s v="CREDITOR"/>
    <n v="0"/>
    <n v="0"/>
    <n v="0"/>
    <n v="0"/>
    <n v="5.49"/>
  </r>
  <r>
    <n v="60424233"/>
    <s v="N"/>
    <n v="21318995"/>
    <s v="3000014709650003"/>
    <s v="CIVIL"/>
    <d v="2023-06-19T00:00:00"/>
    <d v="2023-07-03T19:01:49"/>
    <m/>
    <d v="2023-07-03T00:00:00"/>
    <n v="1793"/>
    <n v="19818"/>
    <s v="60424233"/>
    <s v="60424233"/>
    <m/>
    <m/>
    <n v="22712368"/>
    <m/>
    <m/>
    <m/>
    <s v="SOLFIN"/>
    <s v="SOLFIN"/>
    <s v="CCMS"/>
    <n v="21318995"/>
    <n v="2470.04"/>
    <m/>
    <s v="N"/>
    <n v="1"/>
    <d v="2023-07-03T19:02:06"/>
    <s v="Y"/>
    <s v="Solicitor Travel Expenses"/>
    <s v="Prescribed Hourly Rates"/>
    <s v="Non Expert Disbursement"/>
    <s v="DS"/>
    <s v="Y"/>
    <n v="4.9"/>
    <n v="0"/>
    <x v="3"/>
    <s v="VALIDATED"/>
    <n v="1"/>
    <s v="01.11.80.307.6300.0000"/>
    <n v="4.9"/>
    <s v="11"/>
    <s v="6300"/>
    <n v="217.96"/>
    <n v="4.9"/>
    <s v="CREDITOR"/>
    <n v="0"/>
    <n v="0"/>
    <n v="0"/>
    <n v="0"/>
    <n v="4.9"/>
  </r>
  <r>
    <n v="60424233"/>
    <s v="N"/>
    <n v="21318995"/>
    <s v="3000014709650003"/>
    <s v="CIVIL"/>
    <d v="2023-06-19T00:00:00"/>
    <d v="2023-07-03T19:01:49"/>
    <m/>
    <d v="2023-07-03T00:00:00"/>
    <n v="1793"/>
    <n v="19818"/>
    <s v="60424233"/>
    <s v="60424233"/>
    <m/>
    <m/>
    <n v="22712368"/>
    <m/>
    <m/>
    <m/>
    <s v="SOLFIN"/>
    <s v="SOLFIN"/>
    <s v="CCMS"/>
    <n v="21318995"/>
    <n v="2470.04"/>
    <m/>
    <s v="N"/>
    <n v="33"/>
    <d v="2023-07-03T19:02:06"/>
    <s v="Y"/>
    <s v="Preparation - other"/>
    <s v="Prescribed Hourly Rates"/>
    <s v="Profit Cost"/>
    <s v="NP"/>
    <s v="Y"/>
    <n v="32.94"/>
    <n v="6.59"/>
    <x v="3"/>
    <s v="VALIDATED"/>
    <n v="1"/>
    <s v="01.11.80.307.6100.0000"/>
    <n v="32.94"/>
    <s v="11"/>
    <s v="6100"/>
    <n v="217.96"/>
    <n v="32.94"/>
    <s v="CREDITOR"/>
    <n v="0"/>
    <n v="0"/>
    <n v="0"/>
    <n v="0"/>
    <n v="32.94"/>
  </r>
  <r>
    <n v="60424233"/>
    <s v="N"/>
    <n v="21318995"/>
    <s v="3000014709650003"/>
    <s v="CIVIL"/>
    <d v="2023-06-19T00:00:00"/>
    <d v="2023-07-03T19:01:49"/>
    <m/>
    <d v="2023-07-03T00:00:00"/>
    <n v="1793"/>
    <n v="19818"/>
    <s v="60424233"/>
    <s v="60424233"/>
    <m/>
    <m/>
    <n v="22712368"/>
    <m/>
    <m/>
    <m/>
    <s v="SOLFIN"/>
    <s v="SOLFIN"/>
    <s v="CCMS"/>
    <n v="21318995"/>
    <n v="2470.04"/>
    <m/>
    <s v="N"/>
    <n v="11"/>
    <d v="2023-07-03T19:02:06"/>
    <s v="Y"/>
    <s v="Attendance upon client"/>
    <s v="Prescribed Hourly Rates"/>
    <s v="Profit Cost"/>
    <s v="NP"/>
    <s v="Y"/>
    <n v="10.98"/>
    <n v="2.2"/>
    <x v="3"/>
    <s v="VALIDATED"/>
    <n v="1"/>
    <s v="01.11.80.307.6100.0000"/>
    <n v="10.98"/>
    <s v="11"/>
    <s v="6100"/>
    <n v="217.96"/>
    <n v="10.98"/>
    <s v="CREDITOR"/>
    <n v="0"/>
    <n v="0"/>
    <n v="0"/>
    <n v="0"/>
    <n v="10.98"/>
  </r>
  <r>
    <n v="60424233"/>
    <s v="N"/>
    <n v="21318995"/>
    <s v="3000014709650003"/>
    <s v="CIVIL"/>
    <d v="2023-06-19T00:00:00"/>
    <d v="2023-07-03T19:01:49"/>
    <m/>
    <d v="2023-07-03T00:00:00"/>
    <n v="1793"/>
    <n v="19818"/>
    <s v="60424233"/>
    <s v="60424233"/>
    <m/>
    <m/>
    <n v="22712368"/>
    <m/>
    <m/>
    <m/>
    <s v="SOLFIN"/>
    <s v="SOLFIN"/>
    <s v="CCMS"/>
    <n v="21318995"/>
    <n v="2470.04"/>
    <m/>
    <s v="N"/>
    <n v="32"/>
    <d v="2023-07-03T19:02:06"/>
    <s v="Y"/>
    <s v="Attendance upon client"/>
    <s v="Prescribed Hourly Rates"/>
    <s v="Profit Cost"/>
    <s v="NP"/>
    <s v="Y"/>
    <n v="21.96"/>
    <n v="4.39"/>
    <x v="3"/>
    <s v="VALIDATED"/>
    <n v="1"/>
    <s v="01.11.80.307.6100.0000"/>
    <n v="21.96"/>
    <s v="11"/>
    <s v="6100"/>
    <n v="217.96"/>
    <n v="21.96"/>
    <s v="CREDITOR"/>
    <n v="0"/>
    <n v="0"/>
    <n v="0"/>
    <n v="0"/>
    <n v="21.96"/>
  </r>
  <r>
    <n v="60424233"/>
    <s v="N"/>
    <n v="21318995"/>
    <s v="3000014709650003"/>
    <s v="CIVIL"/>
    <d v="2023-06-19T00:00:00"/>
    <d v="2023-07-03T19:01:49"/>
    <m/>
    <d v="2023-07-03T00:00:00"/>
    <n v="1793"/>
    <n v="19818"/>
    <s v="60424233"/>
    <s v="60424233"/>
    <m/>
    <m/>
    <n v="22712368"/>
    <m/>
    <m/>
    <m/>
    <s v="SOLFIN"/>
    <s v="SOLFIN"/>
    <s v="CCMS"/>
    <n v="21318995"/>
    <n v="2470.04"/>
    <m/>
    <s v="N"/>
    <n v="37"/>
    <d v="2023-07-03T19:02:06"/>
    <s v="Y"/>
    <s v="Preparation - other"/>
    <s v="Prescribed Hourly Rates"/>
    <s v="Profit Cost"/>
    <s v="NP"/>
    <s v="Y"/>
    <n v="16.47"/>
    <n v="3.29"/>
    <x v="3"/>
    <s v="VALIDATED"/>
    <n v="1"/>
    <s v="01.11.80.307.6100.0000"/>
    <n v="16.47"/>
    <s v="11"/>
    <s v="6100"/>
    <n v="217.96"/>
    <n v="16.47"/>
    <s v="CREDITOR"/>
    <n v="0"/>
    <n v="0"/>
    <n v="0"/>
    <n v="0"/>
    <n v="16.47"/>
  </r>
  <r>
    <n v="60424233"/>
    <s v="N"/>
    <n v="21324514"/>
    <s v="3000014709650002RC"/>
    <s v="CIVIL"/>
    <d v="2023-06-19T00:00:00"/>
    <d v="2023-07-03T19:42:50"/>
    <m/>
    <d v="2023-07-03T00:00:00"/>
    <n v="1793"/>
    <n v="19818"/>
    <s v="60424233"/>
    <s v="60424233"/>
    <m/>
    <m/>
    <m/>
    <m/>
    <m/>
    <m/>
    <s v="SOLRECOUP"/>
    <s v="SOLRECOUP"/>
    <s v="POARECOUP"/>
    <n v="21324514"/>
    <n v="-1841.2"/>
    <m/>
    <s v="Y"/>
    <n v="1"/>
    <d v="2023-07-03T19:42:51"/>
    <s v="N"/>
    <m/>
    <m/>
    <s v="Profit Cost"/>
    <m/>
    <s v="N"/>
    <n v="-1534.33"/>
    <n v="0"/>
    <x v="3"/>
    <s v="VALIDATED"/>
    <n v="1"/>
    <s v="01.11.80.307.2013.0000"/>
    <n v="-1534.33"/>
    <s v="11"/>
    <s v="2013"/>
    <n v="217.96"/>
    <n v="-1534.33"/>
    <s v="CREDITOR"/>
    <n v="0"/>
    <n v="0"/>
    <n v="-1534.33"/>
    <n v="-383.5825"/>
    <n v="0"/>
  </r>
  <r>
    <n v="60424233"/>
    <s v="N"/>
    <n v="21324514"/>
    <s v="3000014709650002RC"/>
    <s v="CIVIL"/>
    <d v="2023-06-19T00:00:00"/>
    <d v="2023-07-03T19:42:50"/>
    <m/>
    <d v="2023-07-03T00:00:00"/>
    <n v="1793"/>
    <n v="19818"/>
    <s v="60424233"/>
    <s v="60424233"/>
    <m/>
    <m/>
    <m/>
    <m/>
    <m/>
    <m/>
    <s v="SOLRECOUP"/>
    <s v="SOLRECOUP"/>
    <s v="POARECOUP"/>
    <n v="21324514"/>
    <n v="-1841.2"/>
    <m/>
    <s v="Y"/>
    <n v="2"/>
    <d v="2023-07-03T19:42:51"/>
    <s v="N"/>
    <m/>
    <m/>
    <s v="Profit Cost"/>
    <m/>
    <s v="N"/>
    <n v="0"/>
    <n v="-306.87"/>
    <x v="3"/>
    <s v="VALIDATED"/>
    <n v="1"/>
    <s v="01.11.80.307.2013.0000"/>
    <n v="-306.87"/>
    <s v="11"/>
    <s v="2013"/>
    <n v="217.96"/>
    <n v="-306.87"/>
    <s v="CREDITOR"/>
    <n v="0"/>
    <n v="0"/>
    <n v="-306.87"/>
    <n v="-76.7175"/>
    <n v="0"/>
  </r>
  <r>
    <n v="60036863"/>
    <s v="N"/>
    <n v="21318477"/>
    <s v="3000014376820020"/>
    <s v="CIVIL"/>
    <d v="2023-06-21T00:00:00"/>
    <d v="2023-07-03T19:01:49"/>
    <m/>
    <d v="2023-07-03T00:00:00"/>
    <n v="1794"/>
    <n v="19818"/>
    <s v="60036863"/>
    <s v="60036863"/>
    <m/>
    <m/>
    <n v="22735504"/>
    <m/>
    <m/>
    <m/>
    <s v="SOLPOA"/>
    <s v="SOLPOA"/>
    <s v="CCMS"/>
    <n v="21318477"/>
    <n v="45.36"/>
    <m/>
    <s v="N"/>
    <n v="1"/>
    <d v="2023-07-03T19:01:57"/>
    <s v="N"/>
    <s v="Expert Cost"/>
    <s v="Expert Cost"/>
    <s v="Expert Disbursement"/>
    <s v="Laura Simmonds"/>
    <s v="N"/>
    <n v="37.8"/>
    <n v="7.56"/>
    <x v="3"/>
    <s v="VALIDATED"/>
    <n v="1"/>
    <s v="01.11.80.308.2012.0000"/>
    <n v="37.8"/>
    <s v="11"/>
    <s v="2012"/>
    <n v="11514.51"/>
    <n v="37.8"/>
    <s v="CREDITOR"/>
    <n v="37.8"/>
    <n v="0"/>
    <n v="0"/>
    <n v="0"/>
    <n v="0"/>
  </r>
  <r>
    <n v="60180726"/>
    <s v="N"/>
    <n v="21337942"/>
    <s v="3000014461220012"/>
    <s v="CIVIL"/>
    <d v="2023-06-20T00:00:00"/>
    <d v="2023-07-06T19:21:01"/>
    <m/>
    <d v="2023-07-06T00:00:00"/>
    <n v="1794"/>
    <n v="19818"/>
    <s v="60180726"/>
    <s v="60180726"/>
    <m/>
    <m/>
    <n v="22729342"/>
    <m/>
    <m/>
    <m/>
    <s v="SOLFIN"/>
    <s v="SOLFIN"/>
    <s v="CCMS"/>
    <n v="21337942"/>
    <n v="21608.68"/>
    <m/>
    <s v="N"/>
    <n v="2"/>
    <d v="2023-07-06T19:21:10"/>
    <s v="Y"/>
    <s v="Profit Costs (Summary)"/>
    <s v="Care Remuneration Hourly Rates"/>
    <s v="Profit Cost"/>
    <s v="RC"/>
    <s v="Y"/>
    <n v="6993.08"/>
    <n v="1398.61"/>
    <x v="4"/>
    <s v="VALIDATED"/>
    <n v="1"/>
    <s v="01.11.80.308.6100.0000"/>
    <n v="6993.08"/>
    <s v="11"/>
    <s v="6100"/>
    <n v="11514.51"/>
    <n v="6993.08"/>
    <s v="CREDITOR"/>
    <n v="0"/>
    <n v="0"/>
    <n v="0"/>
    <n v="0"/>
    <n v="6993.08"/>
  </r>
  <r>
    <n v="59433719"/>
    <s v="N"/>
    <n v="21338019"/>
    <s v="3000013873930020"/>
    <s v="CIVIL"/>
    <d v="2023-06-30T00:00:00"/>
    <d v="2023-07-06T19:21:01"/>
    <m/>
    <d v="2023-07-06T00:00:00"/>
    <n v="1794"/>
    <n v="19818"/>
    <s v="59433719"/>
    <s v="59433719"/>
    <m/>
    <m/>
    <n v="22799478"/>
    <m/>
    <m/>
    <m/>
    <s v="SOLPOA"/>
    <s v="SOLPOA"/>
    <s v="CCMS"/>
    <n v="21338019"/>
    <n v="93.5"/>
    <m/>
    <s v="N"/>
    <n v="1"/>
    <d v="2023-07-06T19:21:11"/>
    <s v="N"/>
    <s v="Expert Cost"/>
    <s v="Expert Cost"/>
    <s v="Expert Disbursement"/>
    <s v="Hollie Loughman"/>
    <s v="N"/>
    <n v="77.92"/>
    <n v="15.58"/>
    <x v="4"/>
    <s v="VALIDATED"/>
    <n v="1"/>
    <s v="01.11.80.308.2012.0000"/>
    <n v="77.92"/>
    <s v="11"/>
    <s v="2012"/>
    <n v="11514.51"/>
    <n v="77.92"/>
    <s v="CREDITOR"/>
    <n v="77.92"/>
    <n v="0"/>
    <n v="0"/>
    <n v="0"/>
    <n v="0"/>
  </r>
  <r>
    <n v="60180726"/>
    <s v="N"/>
    <n v="21337942"/>
    <s v="3000014461220012"/>
    <s v="CIVIL"/>
    <d v="2023-06-20T00:00:00"/>
    <d v="2023-07-06T19:21:01"/>
    <m/>
    <d v="2023-07-06T00:00:00"/>
    <n v="1794"/>
    <n v="19818"/>
    <s v="60180726"/>
    <s v="60180726"/>
    <m/>
    <m/>
    <n v="22729342"/>
    <m/>
    <m/>
    <m/>
    <s v="SOLFIN"/>
    <s v="SOLFIN"/>
    <s v="CCMS"/>
    <n v="21337942"/>
    <n v="21608.68"/>
    <m/>
    <s v="N"/>
    <n v="13"/>
    <d v="2023-07-06T19:21:10"/>
    <s v="Y"/>
    <s v="Hearing Unit 5.01 - 7.30 Hours"/>
    <s v="Public Law Children"/>
    <s v="Advocacy"/>
    <s v="RC"/>
    <s v="Y"/>
    <n v="715.38"/>
    <n v="143.08"/>
    <x v="4"/>
    <s v="VALIDATED"/>
    <n v="1"/>
    <s v="01.11.80.308.6100.0000"/>
    <n v="715.38"/>
    <s v="11"/>
    <s v="6100"/>
    <n v="11514.51"/>
    <n v="715.38"/>
    <s v="CREDITOR"/>
    <n v="0"/>
    <n v="0"/>
    <n v="0"/>
    <n v="0"/>
    <n v="715.38"/>
  </r>
  <r>
    <n v="61953724"/>
    <s v="N"/>
    <n v="21321923"/>
    <s v="3000016002580004"/>
    <s v="CIVIL"/>
    <d v="2023-06-29T00:00:00"/>
    <d v="2023-07-03T19:05:17"/>
    <m/>
    <d v="2023-07-03T00:00:00"/>
    <n v="1794"/>
    <n v="19818"/>
    <s v="61953724"/>
    <s v="61953724"/>
    <m/>
    <m/>
    <n v="22788140"/>
    <m/>
    <m/>
    <m/>
    <s v="SOLPOA"/>
    <s v="SOLPOA"/>
    <s v="CCMS"/>
    <n v="21321923"/>
    <n v="43.52"/>
    <m/>
    <s v="N"/>
    <n v="1"/>
    <d v="2023-07-03T19:05:21"/>
    <s v="N"/>
    <s v="Expert Cost"/>
    <s v="Expert Cost"/>
    <s v="Expert Disbursement"/>
    <s v="Hollie Loughman"/>
    <s v="N"/>
    <n v="36.27"/>
    <n v="7.25"/>
    <x v="3"/>
    <s v="VALIDATED"/>
    <n v="1"/>
    <s v="01.11.80.308.2012.0000"/>
    <n v="36.27"/>
    <s v="11"/>
    <s v="2012"/>
    <n v="11514.51"/>
    <n v="36.27"/>
    <s v="CREDITOR"/>
    <n v="36.27"/>
    <n v="0"/>
    <n v="0"/>
    <n v="0"/>
    <n v="0"/>
  </r>
  <r>
    <n v="60180742"/>
    <s v="N"/>
    <n v="21319148"/>
    <s v="3000014465170001"/>
    <s v="CIVIL"/>
    <d v="2023-06-20T00:00:00"/>
    <d v="2023-07-03T19:01:49"/>
    <m/>
    <d v="2023-07-03T00:00:00"/>
    <n v="1794"/>
    <n v="19818"/>
    <s v="60180742"/>
    <s v="60180742"/>
    <m/>
    <m/>
    <n v="22727988"/>
    <m/>
    <m/>
    <m/>
    <s v="SOLFIN"/>
    <s v="SOLFIN"/>
    <s v="CCMS"/>
    <n v="21319148"/>
    <n v="0"/>
    <m/>
    <s v="N"/>
    <n v="1"/>
    <d v="2023-07-03T19:02:13"/>
    <s v="N"/>
    <s v="NIL BILL"/>
    <s v="Public Law Children"/>
    <s v="Profit Cost"/>
    <s v="RACHEL CRYAN"/>
    <s v="N"/>
    <n v="0"/>
    <n v="0"/>
    <x v="3"/>
    <s v="VALIDATED"/>
    <n v="1"/>
    <s v="01.11.80.308.6100.0000"/>
    <n v="0"/>
    <s v="11"/>
    <s v="6100"/>
    <n v="11514.51"/>
    <n v="0"/>
    <s v="CREDITOR"/>
    <n v="0"/>
    <n v="0"/>
    <n v="0"/>
    <n v="0"/>
    <n v="0"/>
  </r>
  <r>
    <n v="60180726"/>
    <s v="N"/>
    <n v="21337942"/>
    <s v="3000014461220012"/>
    <s v="CIVIL"/>
    <d v="2023-06-20T00:00:00"/>
    <d v="2023-07-06T19:21:01"/>
    <m/>
    <d v="2023-07-06T00:00:00"/>
    <n v="1794"/>
    <n v="19818"/>
    <s v="60180726"/>
    <s v="60180726"/>
    <m/>
    <m/>
    <n v="22729342"/>
    <m/>
    <m/>
    <m/>
    <s v="SOLFIN"/>
    <s v="SOLFIN"/>
    <s v="CCMS"/>
    <n v="21337942"/>
    <n v="21608.68"/>
    <m/>
    <s v="N"/>
    <n v="18"/>
    <d v="2023-07-06T19:21:10"/>
    <s v="Y"/>
    <s v="Hearing Unit 2.31 - 5.00 Hours"/>
    <s v="Public Law Children"/>
    <s v="Advocacy"/>
    <s v="RC"/>
    <s v="Y"/>
    <n v="476.92"/>
    <n v="95.38"/>
    <x v="4"/>
    <s v="VALIDATED"/>
    <n v="1"/>
    <s v="01.11.80.308.6100.0000"/>
    <n v="476.92"/>
    <s v="11"/>
    <s v="6100"/>
    <n v="11514.51"/>
    <n v="476.92"/>
    <s v="CREDITOR"/>
    <n v="0"/>
    <n v="0"/>
    <n v="0"/>
    <n v="0"/>
    <n v="476.92"/>
  </r>
  <r>
    <n v="60180726"/>
    <s v="N"/>
    <n v="21337942"/>
    <s v="3000014461220012"/>
    <s v="CIVIL"/>
    <d v="2023-06-20T00:00:00"/>
    <d v="2023-07-06T19:21:01"/>
    <m/>
    <d v="2023-07-06T00:00:00"/>
    <n v="1794"/>
    <n v="19818"/>
    <s v="60180726"/>
    <s v="60180726"/>
    <m/>
    <m/>
    <n v="22729342"/>
    <m/>
    <m/>
    <m/>
    <s v="SOLFIN"/>
    <s v="SOLFIN"/>
    <s v="CCMS"/>
    <n v="21337942"/>
    <n v="21608.68"/>
    <m/>
    <s v="N"/>
    <n v="23"/>
    <d v="2023-07-06T19:21:10"/>
    <s v="Y"/>
    <s v="Final Hearing Court Bundle/Advocate"/>
    <s v="Public Law Children"/>
    <s v="Advocacy"/>
    <s v="RC"/>
    <s v="Y"/>
    <n v="239.4"/>
    <n v="47.88"/>
    <x v="4"/>
    <s v="VALIDATED"/>
    <n v="1"/>
    <s v="01.11.80.308.6100.0000"/>
    <n v="239.4"/>
    <s v="11"/>
    <s v="6100"/>
    <n v="11514.51"/>
    <n v="239.4"/>
    <s v="CREDITOR"/>
    <n v="0"/>
    <n v="0"/>
    <n v="0"/>
    <n v="0"/>
    <n v="239.4"/>
  </r>
  <r>
    <n v="60180726"/>
    <s v="N"/>
    <n v="21337942"/>
    <s v="3000014461220012"/>
    <s v="CIVIL"/>
    <d v="2023-06-20T00:00:00"/>
    <d v="2023-07-06T19:21:01"/>
    <m/>
    <d v="2023-07-06T00:00:00"/>
    <n v="1794"/>
    <n v="19818"/>
    <s v="60180726"/>
    <s v="60180726"/>
    <m/>
    <m/>
    <n v="22729342"/>
    <m/>
    <m/>
    <m/>
    <s v="SOLFIN"/>
    <s v="SOLFIN"/>
    <s v="CCMS"/>
    <n v="21337942"/>
    <n v="21608.68"/>
    <m/>
    <s v="N"/>
    <n v="19"/>
    <d v="2023-07-06T19:21:10"/>
    <s v="Y"/>
    <s v="Advocates Meeting"/>
    <s v="Public Law Children"/>
    <s v="Advocacy"/>
    <s v="RC"/>
    <s v="Y"/>
    <n v="140.99"/>
    <n v="28.2"/>
    <x v="4"/>
    <s v="VALIDATED"/>
    <n v="1"/>
    <s v="01.11.80.308.6100.0000"/>
    <n v="140.99"/>
    <s v="11"/>
    <s v="6100"/>
    <n v="11514.51"/>
    <n v="140.99"/>
    <s v="CREDITOR"/>
    <n v="0"/>
    <n v="0"/>
    <n v="0"/>
    <n v="0"/>
    <n v="140.99"/>
  </r>
  <r>
    <n v="60980402"/>
    <s v="N"/>
    <n v="21318642"/>
    <s v="3000015190480007"/>
    <s v="CIVIL"/>
    <d v="2023-06-21T00:00:00"/>
    <d v="2023-07-03T19:01:49"/>
    <m/>
    <d v="2023-07-03T00:00:00"/>
    <n v="1794"/>
    <n v="19818"/>
    <s v="60980402"/>
    <s v="60980402"/>
    <m/>
    <m/>
    <n v="22736664"/>
    <m/>
    <m/>
    <m/>
    <s v="SOLPOA"/>
    <s v="SOLPOA"/>
    <s v="CCMS"/>
    <n v="21318642"/>
    <n v="2735.04"/>
    <m/>
    <s v="N"/>
    <n v="1"/>
    <d v="2023-07-03T19:02:00"/>
    <s v="N"/>
    <s v="Solicitors Fixed Fee"/>
    <s v="Public Law Children"/>
    <s v="Profit Cost"/>
    <s v="rachel cryan"/>
    <s v="N"/>
    <n v="2279.2"/>
    <n v="455.84"/>
    <x v="3"/>
    <s v="VALIDATED"/>
    <n v="1"/>
    <s v="01.11.80.308.2012.0000"/>
    <n v="2279.2"/>
    <s v="11"/>
    <s v="2012"/>
    <n v="11514.51"/>
    <n v="2279.2"/>
    <s v="CREDITOR"/>
    <n v="2279.2"/>
    <n v="569.8"/>
    <n v="0"/>
    <n v="0"/>
    <n v="0"/>
  </r>
  <r>
    <n v="60180726"/>
    <s v="N"/>
    <n v="21337942"/>
    <s v="3000014461220012"/>
    <s v="CIVIL"/>
    <d v="2023-06-20T00:00:00"/>
    <d v="2023-07-06T19:21:01"/>
    <m/>
    <d v="2023-07-06T00:00:00"/>
    <n v="1794"/>
    <n v="19818"/>
    <s v="60180726"/>
    <s v="60180726"/>
    <m/>
    <m/>
    <n v="22729342"/>
    <m/>
    <m/>
    <m/>
    <s v="SOLFIN"/>
    <s v="SOLFIN"/>
    <s v="CCMS"/>
    <n v="21337942"/>
    <n v="21608.68"/>
    <m/>
    <s v="N"/>
    <n v="14"/>
    <d v="2023-07-06T19:21:10"/>
    <s v="Y"/>
    <s v="Hearing Unit 5.01 - 7.30 Hours"/>
    <s v="Public Law Children"/>
    <s v="Advocacy"/>
    <s v="RC"/>
    <s v="Y"/>
    <n v="715.38"/>
    <n v="143.08"/>
    <x v="4"/>
    <s v="VALIDATED"/>
    <n v="1"/>
    <s v="01.11.80.308.6100.0000"/>
    <n v="715.38"/>
    <s v="11"/>
    <s v="6100"/>
    <n v="11514.51"/>
    <n v="715.38"/>
    <s v="CREDITOR"/>
    <n v="0"/>
    <n v="0"/>
    <n v="0"/>
    <n v="0"/>
    <n v="715.38"/>
  </r>
  <r>
    <n v="60180726"/>
    <s v="N"/>
    <n v="21337942"/>
    <s v="3000014461220012"/>
    <s v="CIVIL"/>
    <d v="2023-06-20T00:00:00"/>
    <d v="2023-07-06T19:21:01"/>
    <m/>
    <d v="2023-07-06T00:00:00"/>
    <n v="1794"/>
    <n v="19818"/>
    <s v="60180726"/>
    <s v="60180726"/>
    <m/>
    <m/>
    <n v="22729342"/>
    <m/>
    <m/>
    <m/>
    <s v="SOLFIN"/>
    <s v="SOLFIN"/>
    <s v="CCMS"/>
    <n v="21337942"/>
    <n v="21608.68"/>
    <m/>
    <s v="N"/>
    <n v="22"/>
    <d v="2023-07-06T19:21:10"/>
    <s v="Y"/>
    <s v="Final Hearing - 1 Day"/>
    <s v="Public Law Children"/>
    <s v="Advocacy"/>
    <s v="RC"/>
    <s v="Y"/>
    <n v="556.88"/>
    <n v="111.38"/>
    <x v="4"/>
    <s v="VALIDATED"/>
    <n v="1"/>
    <s v="01.11.80.308.6100.0000"/>
    <n v="556.88"/>
    <s v="11"/>
    <s v="6100"/>
    <n v="11514.51"/>
    <n v="556.88"/>
    <s v="CREDITOR"/>
    <n v="0"/>
    <n v="0"/>
    <n v="0"/>
    <n v="0"/>
    <n v="556.88"/>
  </r>
  <r>
    <n v="60180726"/>
    <s v="N"/>
    <n v="21337942"/>
    <s v="3000014461220012"/>
    <s v="CIVIL"/>
    <d v="2023-06-20T00:00:00"/>
    <d v="2023-07-06T19:21:01"/>
    <m/>
    <d v="2023-07-06T00:00:00"/>
    <n v="1794"/>
    <n v="19818"/>
    <s v="60180726"/>
    <s v="60180726"/>
    <m/>
    <m/>
    <n v="22729342"/>
    <m/>
    <m/>
    <m/>
    <s v="SOLFIN"/>
    <s v="SOLFIN"/>
    <s v="CCMS"/>
    <n v="21337942"/>
    <n v="21608.68"/>
    <m/>
    <s v="N"/>
    <n v="11"/>
    <d v="2023-07-06T19:21:10"/>
    <s v="Y"/>
    <s v="Hearing Unit 2.31 - 5.00 Hours"/>
    <s v="Public Law Children"/>
    <s v="Advocacy"/>
    <s v="RC"/>
    <s v="Y"/>
    <n v="476.92"/>
    <n v="95.38"/>
    <x v="4"/>
    <s v="VALIDATED"/>
    <n v="1"/>
    <s v="01.11.80.308.6100.0000"/>
    <n v="476.92"/>
    <s v="11"/>
    <s v="6100"/>
    <n v="11514.51"/>
    <n v="476.92"/>
    <s v="CREDITOR"/>
    <n v="0"/>
    <n v="0"/>
    <n v="0"/>
    <n v="0"/>
    <n v="476.92"/>
  </r>
  <r>
    <n v="60180726"/>
    <s v="N"/>
    <n v="21337942"/>
    <s v="3000014461220012"/>
    <s v="CIVIL"/>
    <d v="2023-06-20T00:00:00"/>
    <d v="2023-07-06T19:21:01"/>
    <m/>
    <d v="2023-07-06T00:00:00"/>
    <n v="1794"/>
    <n v="19818"/>
    <s v="60180726"/>
    <s v="60180726"/>
    <m/>
    <m/>
    <n v="22729342"/>
    <m/>
    <m/>
    <m/>
    <s v="SOLFIN"/>
    <s v="SOLFIN"/>
    <s v="CCMS"/>
    <n v="21337942"/>
    <n v="21608.68"/>
    <m/>
    <s v="N"/>
    <n v="7"/>
    <d v="2023-07-06T19:21:10"/>
    <s v="Y"/>
    <s v="Advocates Meeting"/>
    <s v="Public Law Children"/>
    <s v="Advocacy"/>
    <s v="RC"/>
    <s v="Y"/>
    <n v="140.99"/>
    <n v="28.2"/>
    <x v="4"/>
    <s v="VALIDATED"/>
    <n v="1"/>
    <s v="01.11.80.308.6100.0000"/>
    <n v="140.99"/>
    <s v="11"/>
    <s v="6100"/>
    <n v="11514.51"/>
    <n v="140.99"/>
    <s v="CREDITOR"/>
    <n v="0"/>
    <n v="0"/>
    <n v="0"/>
    <n v="0"/>
    <n v="140.99"/>
  </r>
  <r>
    <n v="60180726"/>
    <s v="N"/>
    <n v="21337942"/>
    <s v="3000014461220012"/>
    <s v="CIVIL"/>
    <d v="2023-06-20T00:00:00"/>
    <d v="2023-07-06T19:21:01"/>
    <m/>
    <d v="2023-07-06T00:00:00"/>
    <n v="1794"/>
    <n v="19818"/>
    <s v="60180726"/>
    <s v="60180726"/>
    <m/>
    <m/>
    <n v="22729342"/>
    <m/>
    <m/>
    <m/>
    <s v="SOLFIN"/>
    <s v="SOLFIN"/>
    <s v="CCMS"/>
    <n v="21337942"/>
    <n v="21608.68"/>
    <m/>
    <s v="N"/>
    <n v="5"/>
    <d v="2023-07-06T19:21:10"/>
    <s v="Y"/>
    <s v="Disbursements (Summary)"/>
    <s v="Care Remuneration Hourly Rates"/>
    <s v="Non Expert Disbursement"/>
    <s v="RC"/>
    <s v="Y"/>
    <n v="89.09999999999999"/>
    <n v="17.82"/>
    <x v="4"/>
    <s v="VALIDATED"/>
    <n v="1"/>
    <s v="01.11.80.308.6300.0000"/>
    <n v="89.09999999999999"/>
    <s v="11"/>
    <s v="6300"/>
    <n v="11514.51"/>
    <n v="89.09999999999999"/>
    <s v="CREDITOR"/>
    <n v="0"/>
    <n v="0"/>
    <n v="0"/>
    <n v="0"/>
    <n v="89.09999999999999"/>
  </r>
  <r>
    <n v="60180726"/>
    <s v="N"/>
    <n v="21337942"/>
    <s v="3000014461220012"/>
    <s v="CIVIL"/>
    <d v="2023-06-20T00:00:00"/>
    <d v="2023-07-06T19:21:01"/>
    <m/>
    <d v="2023-07-06T00:00:00"/>
    <n v="1794"/>
    <n v="19818"/>
    <s v="60180726"/>
    <s v="60180726"/>
    <m/>
    <m/>
    <n v="22729342"/>
    <m/>
    <m/>
    <m/>
    <s v="SOLFIN"/>
    <s v="SOLFIN"/>
    <s v="CCMS"/>
    <n v="21337942"/>
    <n v="21608.68"/>
    <m/>
    <s v="N"/>
    <n v="8"/>
    <d v="2023-07-06T19:21:10"/>
    <s v="Y"/>
    <s v="Hearing Unit 2.31 - 5.00 Hours"/>
    <s v="Public Law Children"/>
    <s v="Advocacy"/>
    <s v="RC"/>
    <s v="Y"/>
    <n v="476.92"/>
    <n v="95.38"/>
    <x v="4"/>
    <s v="VALIDATED"/>
    <n v="1"/>
    <s v="01.11.80.308.6100.0000"/>
    <n v="476.92"/>
    <s v="11"/>
    <s v="6100"/>
    <n v="11514.51"/>
    <n v="476.92"/>
    <s v="CREDITOR"/>
    <n v="0"/>
    <n v="0"/>
    <n v="0"/>
    <n v="0"/>
    <n v="476.92"/>
  </r>
  <r>
    <n v="60954244"/>
    <s v="N"/>
    <n v="21322473"/>
    <s v="3000015169020009"/>
    <s v="CIVIL"/>
    <d v="2023-06-29T00:00:00"/>
    <d v="2023-07-03T19:05:36"/>
    <m/>
    <d v="2023-07-03T00:00:00"/>
    <n v="1794"/>
    <n v="19818"/>
    <s v="60954244"/>
    <s v="60954244"/>
    <m/>
    <m/>
    <n v="22790124"/>
    <m/>
    <m/>
    <m/>
    <s v="SOLPOA"/>
    <s v="SOLPOA"/>
    <s v="CCMS"/>
    <n v="21322473"/>
    <n v="516"/>
    <m/>
    <s v="N"/>
    <n v="1"/>
    <d v="2023-07-03T19:05:38"/>
    <s v="N"/>
    <s v="Expert Cost"/>
    <s v="Expert Cost"/>
    <s v="Expert Disbursement"/>
    <s v="Rachel Cryan"/>
    <s v="N"/>
    <n v="430"/>
    <n v="86"/>
    <x v="3"/>
    <s v="VALIDATED"/>
    <n v="1"/>
    <s v="01.11.80.308.2012.0000"/>
    <n v="430"/>
    <s v="11"/>
    <s v="2012"/>
    <n v="11514.51"/>
    <n v="430"/>
    <s v="CREDITOR"/>
    <n v="430"/>
    <n v="0"/>
    <n v="0"/>
    <n v="0"/>
    <n v="0"/>
  </r>
  <r>
    <n v="60180726"/>
    <s v="N"/>
    <n v="21337942"/>
    <s v="3000014461220012"/>
    <s v="CIVIL"/>
    <d v="2023-06-20T00:00:00"/>
    <d v="2023-07-06T19:21:01"/>
    <m/>
    <d v="2023-07-06T00:00:00"/>
    <n v="1794"/>
    <n v="19818"/>
    <s v="60180726"/>
    <s v="60180726"/>
    <m/>
    <m/>
    <n v="22729342"/>
    <m/>
    <m/>
    <m/>
    <s v="SOLFIN"/>
    <s v="SOLFIN"/>
    <s v="CCMS"/>
    <n v="21337942"/>
    <n v="21608.68"/>
    <m/>
    <s v="N"/>
    <n v="10"/>
    <d v="2023-07-06T19:21:10"/>
    <s v="Y"/>
    <s v="Advocates Meeting"/>
    <s v="Public Law Children"/>
    <s v="Advocacy"/>
    <s v="RC"/>
    <s v="Y"/>
    <n v="140.99"/>
    <n v="28.2"/>
    <x v="4"/>
    <s v="VALIDATED"/>
    <n v="1"/>
    <s v="01.11.80.308.6100.0000"/>
    <n v="140.99"/>
    <s v="11"/>
    <s v="6100"/>
    <n v="11514.51"/>
    <n v="140.99"/>
    <s v="CREDITOR"/>
    <n v="0"/>
    <n v="0"/>
    <n v="0"/>
    <n v="0"/>
    <n v="140.99"/>
  </r>
  <r>
    <n v="60180726"/>
    <s v="N"/>
    <n v="21337942"/>
    <s v="3000014461220012"/>
    <s v="CIVIL"/>
    <d v="2023-06-20T00:00:00"/>
    <d v="2023-07-06T19:21:01"/>
    <m/>
    <d v="2023-07-06T00:00:00"/>
    <n v="1794"/>
    <n v="19818"/>
    <s v="60180726"/>
    <s v="60180726"/>
    <m/>
    <m/>
    <n v="22729342"/>
    <m/>
    <m/>
    <m/>
    <s v="SOLFIN"/>
    <s v="SOLFIN"/>
    <s v="CCMS"/>
    <n v="21337942"/>
    <n v="21608.68"/>
    <m/>
    <s v="N"/>
    <n v="16"/>
    <d v="2023-07-06T19:21:10"/>
    <s v="Y"/>
    <s v="Hearing Unit 5.01 - 7.30 Hours"/>
    <s v="Public Law Children"/>
    <s v="Advocacy"/>
    <s v="RC"/>
    <s v="Y"/>
    <n v="715.38"/>
    <n v="143.08"/>
    <x v="4"/>
    <s v="VALIDATED"/>
    <n v="1"/>
    <s v="01.11.80.308.6100.0000"/>
    <n v="715.38"/>
    <s v="11"/>
    <s v="6100"/>
    <n v="11514.51"/>
    <n v="715.38"/>
    <s v="CREDITOR"/>
    <n v="0"/>
    <n v="0"/>
    <n v="0"/>
    <n v="0"/>
    <n v="715.38"/>
  </r>
  <r>
    <n v="60180726"/>
    <s v="N"/>
    <n v="21337942"/>
    <s v="3000014461220012"/>
    <s v="CIVIL"/>
    <d v="2023-06-20T00:00:00"/>
    <d v="2023-07-06T19:21:01"/>
    <m/>
    <d v="2023-07-06T00:00:00"/>
    <n v="1794"/>
    <n v="19818"/>
    <s v="60180726"/>
    <s v="60180726"/>
    <m/>
    <m/>
    <n v="22729342"/>
    <m/>
    <m/>
    <m/>
    <s v="SOLFIN"/>
    <s v="SOLFIN"/>
    <s v="CCMS"/>
    <n v="21337942"/>
    <n v="21608.68"/>
    <m/>
    <s v="N"/>
    <n v="17"/>
    <d v="2023-07-06T19:21:10"/>
    <s v="Y"/>
    <s v="Advocates Meeting"/>
    <s v="Public Law Children"/>
    <s v="Advocacy"/>
    <s v="RC"/>
    <s v="Y"/>
    <n v="140.99"/>
    <n v="28.2"/>
    <x v="4"/>
    <s v="VALIDATED"/>
    <n v="1"/>
    <s v="01.11.80.308.6100.0000"/>
    <n v="140.99"/>
    <s v="11"/>
    <s v="6100"/>
    <n v="11514.51"/>
    <n v="140.99"/>
    <s v="CREDITOR"/>
    <n v="0"/>
    <n v="0"/>
    <n v="0"/>
    <n v="0"/>
    <n v="140.99"/>
  </r>
  <r>
    <n v="60180726"/>
    <s v="N"/>
    <n v="21337942"/>
    <s v="3000014461220012"/>
    <s v="CIVIL"/>
    <d v="2023-06-20T00:00:00"/>
    <d v="2023-07-06T19:21:01"/>
    <m/>
    <d v="2023-07-06T00:00:00"/>
    <n v="1794"/>
    <n v="19818"/>
    <s v="60180726"/>
    <s v="60180726"/>
    <m/>
    <m/>
    <n v="22729342"/>
    <m/>
    <m/>
    <m/>
    <s v="SOLFIN"/>
    <s v="SOLFIN"/>
    <s v="CCMS"/>
    <n v="21337942"/>
    <n v="21608.68"/>
    <m/>
    <s v="N"/>
    <n v="20"/>
    <d v="2023-07-06T19:21:10"/>
    <s v="Y"/>
    <s v="Hearing Unit 5.01 - 7.30 Hours"/>
    <s v="Public Law Children"/>
    <s v="Advocacy"/>
    <s v="RC"/>
    <s v="Y"/>
    <n v="715.38"/>
    <n v="143.08"/>
    <x v="4"/>
    <s v="VALIDATED"/>
    <n v="1"/>
    <s v="01.11.80.308.6100.0000"/>
    <n v="715.38"/>
    <s v="11"/>
    <s v="6100"/>
    <n v="11514.51"/>
    <n v="715.38"/>
    <s v="CREDITOR"/>
    <n v="0"/>
    <n v="0"/>
    <n v="0"/>
    <n v="0"/>
    <n v="715.38"/>
  </r>
  <r>
    <n v="60180726"/>
    <s v="N"/>
    <n v="21337942"/>
    <s v="3000014461220012"/>
    <s v="CIVIL"/>
    <d v="2023-06-20T00:00:00"/>
    <d v="2023-07-06T19:21:01"/>
    <m/>
    <d v="2023-07-06T00:00:00"/>
    <n v="1794"/>
    <n v="19818"/>
    <s v="60180726"/>
    <s v="60180726"/>
    <m/>
    <m/>
    <n v="22729342"/>
    <m/>
    <m/>
    <m/>
    <s v="SOLFIN"/>
    <s v="SOLFIN"/>
    <s v="CCMS"/>
    <n v="21337942"/>
    <n v="21608.68"/>
    <m/>
    <s v="N"/>
    <n v="4"/>
    <d v="2023-07-06T19:21:10"/>
    <s v="Y"/>
    <s v="Disbursements (Summary)"/>
    <s v="Care Remuneration Hourly Rates"/>
    <s v="Non Expert Disbursement"/>
    <s v="RC"/>
    <s v="Y"/>
    <n v="325.66"/>
    <n v="0"/>
    <x v="4"/>
    <s v="VALIDATED"/>
    <n v="1"/>
    <s v="01.11.80.308.6300.0000"/>
    <n v="325.66"/>
    <s v="11"/>
    <s v="6300"/>
    <n v="11514.51"/>
    <n v="325.66"/>
    <s v="CREDITOR"/>
    <n v="0"/>
    <n v="0"/>
    <n v="0"/>
    <n v="0"/>
    <n v="325.66"/>
  </r>
  <r>
    <n v="60180726"/>
    <s v="N"/>
    <n v="21337942"/>
    <s v="3000014461220012"/>
    <s v="CIVIL"/>
    <d v="2023-06-20T00:00:00"/>
    <d v="2023-07-06T19:21:01"/>
    <m/>
    <d v="2023-07-06T00:00:00"/>
    <n v="1794"/>
    <n v="19818"/>
    <s v="60180726"/>
    <s v="60180726"/>
    <m/>
    <m/>
    <n v="22729342"/>
    <m/>
    <m/>
    <m/>
    <s v="SOLFIN"/>
    <s v="SOLFIN"/>
    <s v="CCMS"/>
    <n v="21337942"/>
    <n v="21608.68"/>
    <m/>
    <s v="N"/>
    <n v="3"/>
    <d v="2023-07-06T19:21:10"/>
    <s v="Y"/>
    <s v="Profit Costs (Summary)"/>
    <s v="Care Remuneration Hourly Rates"/>
    <s v="Profit Cost"/>
    <s v="RC"/>
    <s v="Y"/>
    <n v="2348.81"/>
    <n v="469.77"/>
    <x v="4"/>
    <s v="VALIDATED"/>
    <n v="1"/>
    <s v="01.11.80.308.6100.0000"/>
    <n v="2348.81"/>
    <s v="11"/>
    <s v="6100"/>
    <n v="11514.51"/>
    <n v="2348.81"/>
    <s v="CREDITOR"/>
    <n v="0"/>
    <n v="0"/>
    <n v="0"/>
    <n v="0"/>
    <n v="2348.81"/>
  </r>
  <r>
    <n v="60180726"/>
    <s v="N"/>
    <n v="21337942"/>
    <s v="3000014461220012"/>
    <s v="CIVIL"/>
    <d v="2023-06-20T00:00:00"/>
    <d v="2023-07-06T19:21:01"/>
    <m/>
    <d v="2023-07-06T00:00:00"/>
    <n v="1794"/>
    <n v="19818"/>
    <s v="60180726"/>
    <s v="60180726"/>
    <m/>
    <m/>
    <n v="22729342"/>
    <m/>
    <m/>
    <m/>
    <s v="SOLFIN"/>
    <s v="SOLFIN"/>
    <s v="CCMS"/>
    <n v="21337942"/>
    <n v="21608.68"/>
    <m/>
    <s v="N"/>
    <n v="6"/>
    <d v="2023-07-06T19:21:10"/>
    <s v="Y"/>
    <s v="Disbursements (Summary)"/>
    <s v="Care Remuneration Hourly Rates"/>
    <s v="Non Expert Disbursement"/>
    <s v="RC"/>
    <s v="Y"/>
    <n v="603.65"/>
    <n v="120.73"/>
    <x v="4"/>
    <s v="VALIDATED"/>
    <n v="1"/>
    <s v="01.11.80.308.6300.0000"/>
    <n v="603.65"/>
    <s v="11"/>
    <s v="6300"/>
    <n v="11514.51"/>
    <n v="603.65"/>
    <s v="CREDITOR"/>
    <n v="0"/>
    <n v="0"/>
    <n v="0"/>
    <n v="0"/>
    <n v="603.65"/>
  </r>
  <r>
    <n v="60180726"/>
    <s v="N"/>
    <n v="21337942"/>
    <s v="3000014461220012"/>
    <s v="CIVIL"/>
    <d v="2023-06-20T00:00:00"/>
    <d v="2023-07-06T19:21:01"/>
    <m/>
    <d v="2023-07-06T00:00:00"/>
    <n v="1794"/>
    <n v="19818"/>
    <s v="60180726"/>
    <s v="60180726"/>
    <m/>
    <m/>
    <n v="22729342"/>
    <m/>
    <m/>
    <m/>
    <s v="SOLFIN"/>
    <s v="SOLFIN"/>
    <s v="CCMS"/>
    <n v="21337942"/>
    <n v="21608.68"/>
    <m/>
    <s v="N"/>
    <n v="15"/>
    <d v="2023-07-06T19:21:10"/>
    <s v="Y"/>
    <s v="Hearing Unit 5.01 - 7.30 Hours"/>
    <s v="Public Law Children"/>
    <s v="Advocacy"/>
    <s v="RC"/>
    <s v="Y"/>
    <n v="715.38"/>
    <n v="143.08"/>
    <x v="4"/>
    <s v="VALIDATED"/>
    <n v="1"/>
    <s v="01.11.80.308.6100.0000"/>
    <n v="715.38"/>
    <s v="11"/>
    <s v="6100"/>
    <n v="11514.51"/>
    <n v="715.38"/>
    <s v="CREDITOR"/>
    <n v="0"/>
    <n v="0"/>
    <n v="0"/>
    <n v="0"/>
    <n v="715.38"/>
  </r>
  <r>
    <n v="62023798"/>
    <s v="N"/>
    <n v="21349332"/>
    <s v="3000016063030008"/>
    <s v="CIVIL"/>
    <d v="2023-06-27T00:00:00"/>
    <d v="2023-07-10T19:01:40"/>
    <m/>
    <d v="2023-07-10T00:00:00"/>
    <n v="1794"/>
    <n v="19818"/>
    <s v="62023798"/>
    <s v="62023798"/>
    <m/>
    <m/>
    <n v="22773944"/>
    <m/>
    <m/>
    <m/>
    <s v="SOLPOA"/>
    <s v="SOLPOA"/>
    <s v="CCMS"/>
    <n v="21349332"/>
    <n v="445.85"/>
    <m/>
    <s v="N"/>
    <n v="1"/>
    <d v="2023-07-10T19:01:47"/>
    <s v="N"/>
    <s v="Expert Cost"/>
    <s v="Expert Cost"/>
    <s v="Expert Disbursement"/>
    <s v="Laura Simmonds"/>
    <s v="N"/>
    <n v="371.54"/>
    <n v="74.31"/>
    <x v="2"/>
    <s v="VALIDATED"/>
    <n v="1"/>
    <s v="01.11.80.308.2012.0000"/>
    <n v="371.54"/>
    <s v="11"/>
    <s v="2012"/>
    <n v="11514.51"/>
    <n v="371.54"/>
    <s v="CREDITOR"/>
    <n v="371.54"/>
    <n v="0"/>
    <n v="0"/>
    <n v="0"/>
    <n v="0"/>
  </r>
  <r>
    <n v="60180726"/>
    <s v="N"/>
    <n v="21337942"/>
    <s v="3000014461220012"/>
    <s v="CIVIL"/>
    <d v="2023-06-20T00:00:00"/>
    <d v="2023-07-06T19:21:01"/>
    <m/>
    <d v="2023-07-06T00:00:00"/>
    <n v="1794"/>
    <n v="19818"/>
    <s v="60180726"/>
    <s v="60180726"/>
    <m/>
    <m/>
    <n v="22729342"/>
    <m/>
    <m/>
    <m/>
    <s v="SOLFIN"/>
    <s v="SOLFIN"/>
    <s v="CCMS"/>
    <n v="21337942"/>
    <n v="21608.68"/>
    <m/>
    <s v="N"/>
    <n v="1"/>
    <d v="2023-07-06T19:21:10"/>
    <s v="N"/>
    <s v="Solicitors Fixed Fee"/>
    <s v="Public Law Children"/>
    <s v="Profit Cost"/>
    <s v="RC"/>
    <s v="N"/>
    <n v="0"/>
    <n v="0"/>
    <x v="4"/>
    <s v="VALIDATED"/>
    <n v="1"/>
    <s v="01.11.80.308.6100.0000"/>
    <n v="0"/>
    <s v="11"/>
    <s v="6100"/>
    <n v="11514.51"/>
    <n v="0"/>
    <s v="CREDITOR"/>
    <n v="0"/>
    <n v="0"/>
    <n v="0"/>
    <n v="0"/>
    <n v="0"/>
  </r>
  <r>
    <n v="60979675"/>
    <s v="N"/>
    <n v="21318349"/>
    <s v="3000015189790014"/>
    <s v="CIVIL"/>
    <d v="2023-06-21T00:00:00"/>
    <d v="2023-07-03T19:01:49"/>
    <m/>
    <d v="2023-07-03T00:00:00"/>
    <n v="1794"/>
    <n v="19818"/>
    <s v="60979675"/>
    <s v="60979675"/>
    <m/>
    <m/>
    <n v="22737124"/>
    <m/>
    <m/>
    <m/>
    <s v="SOLPOA"/>
    <s v="SOLPOA"/>
    <s v="CCMS"/>
    <n v="21318349"/>
    <n v="4441.49"/>
    <m/>
    <s v="N"/>
    <n v="1"/>
    <d v="2023-07-03T19:01:54"/>
    <s v="N"/>
    <s v="Solicitors Fixed Fee"/>
    <s v="Public Law Children"/>
    <s v="Profit Cost"/>
    <s v="rachel cryan"/>
    <s v="N"/>
    <n v="3701.24"/>
    <n v="740.25"/>
    <x v="3"/>
    <s v="VALIDATED"/>
    <n v="1"/>
    <s v="01.11.80.308.2012.0000"/>
    <n v="3701.24"/>
    <s v="11"/>
    <s v="2012"/>
    <n v="11514.51"/>
    <n v="3701.24"/>
    <s v="CREDITOR"/>
    <n v="3701.24"/>
    <n v="925.3099999999999"/>
    <n v="0"/>
    <n v="0"/>
    <n v="0"/>
  </r>
  <r>
    <n v="60180726"/>
    <s v="N"/>
    <n v="21337942"/>
    <s v="3000014461220012"/>
    <s v="CIVIL"/>
    <d v="2023-06-20T00:00:00"/>
    <d v="2023-07-06T19:21:01"/>
    <m/>
    <d v="2023-07-06T00:00:00"/>
    <n v="1794"/>
    <n v="19818"/>
    <s v="60180726"/>
    <s v="60180726"/>
    <m/>
    <m/>
    <n v="22729342"/>
    <m/>
    <m/>
    <m/>
    <s v="SOLFIN"/>
    <s v="SOLFIN"/>
    <s v="CCMS"/>
    <n v="21337942"/>
    <n v="21608.68"/>
    <m/>
    <s v="N"/>
    <n v="9"/>
    <d v="2023-07-06T19:21:10"/>
    <s v="Y"/>
    <s v="Hearing Unit 2.31 - 5.00 Hours"/>
    <s v="Public Law Children"/>
    <s v="Advocacy"/>
    <s v="RC"/>
    <s v="Y"/>
    <n v="476.92"/>
    <n v="95.38"/>
    <x v="4"/>
    <s v="VALIDATED"/>
    <n v="1"/>
    <s v="01.11.80.308.6100.0000"/>
    <n v="476.92"/>
    <s v="11"/>
    <s v="6100"/>
    <n v="11514.51"/>
    <n v="476.92"/>
    <s v="CREDITOR"/>
    <n v="0"/>
    <n v="0"/>
    <n v="0"/>
    <n v="0"/>
    <n v="476.92"/>
  </r>
  <r>
    <n v="60180726"/>
    <s v="N"/>
    <n v="21337942"/>
    <s v="3000014461220012"/>
    <s v="CIVIL"/>
    <d v="2023-06-20T00:00:00"/>
    <d v="2023-07-06T19:21:01"/>
    <m/>
    <d v="2023-07-06T00:00:00"/>
    <n v="1794"/>
    <n v="19818"/>
    <s v="60180726"/>
    <s v="60180726"/>
    <m/>
    <m/>
    <n v="22729342"/>
    <m/>
    <m/>
    <m/>
    <s v="SOLFIN"/>
    <s v="SOLFIN"/>
    <s v="CCMS"/>
    <n v="21337942"/>
    <n v="21608.68"/>
    <m/>
    <s v="N"/>
    <n v="21"/>
    <d v="2023-07-06T19:21:10"/>
    <s v="Y"/>
    <s v="Hearing Unit 5.01 - 7.30 Hours"/>
    <s v="Public Law Children"/>
    <s v="Advocacy"/>
    <s v="RC"/>
    <s v="Y"/>
    <n v="715.38"/>
    <n v="143.08"/>
    <x v="4"/>
    <s v="VALIDATED"/>
    <n v="1"/>
    <s v="01.11.80.308.6100.0000"/>
    <n v="715.38"/>
    <s v="11"/>
    <s v="6100"/>
    <n v="11514.51"/>
    <n v="715.38"/>
    <s v="CREDITOR"/>
    <n v="0"/>
    <n v="0"/>
    <n v="0"/>
    <n v="0"/>
    <n v="715.38"/>
  </r>
  <r>
    <n v="60180726"/>
    <s v="N"/>
    <n v="21337942"/>
    <s v="3000014461220012"/>
    <s v="CIVIL"/>
    <d v="2023-06-20T00:00:00"/>
    <d v="2023-07-06T19:21:01"/>
    <m/>
    <d v="2023-07-06T00:00:00"/>
    <n v="1794"/>
    <n v="19818"/>
    <s v="60180726"/>
    <s v="60180726"/>
    <m/>
    <m/>
    <n v="22729342"/>
    <m/>
    <m/>
    <m/>
    <s v="SOLFIN"/>
    <s v="SOLFIN"/>
    <s v="CCMS"/>
    <n v="21337942"/>
    <n v="21608.68"/>
    <m/>
    <s v="N"/>
    <n v="12"/>
    <d v="2023-07-06T19:21:10"/>
    <s v="Y"/>
    <s v="Advocates Meeting"/>
    <s v="Public Law Children"/>
    <s v="Advocacy"/>
    <s v="RC"/>
    <s v="Y"/>
    <n v="140.99"/>
    <n v="28.2"/>
    <x v="4"/>
    <s v="VALIDATED"/>
    <n v="1"/>
    <s v="01.11.80.308.6100.0000"/>
    <n v="140.99"/>
    <s v="11"/>
    <s v="6100"/>
    <n v="11514.51"/>
    <n v="140.99"/>
    <s v="CREDITOR"/>
    <n v="0"/>
    <n v="0"/>
    <n v="0"/>
    <n v="0"/>
    <n v="140.99"/>
  </r>
  <r>
    <n v="60180726"/>
    <s v="N"/>
    <n v="21340078"/>
    <s v="3000014461220007RC"/>
    <s v="CIVIL"/>
    <d v="2023-06-20T00:00:00"/>
    <d v="2023-07-06T19:54:22"/>
    <m/>
    <d v="2023-07-06T00:00:00"/>
    <n v="1794"/>
    <n v="19818"/>
    <s v="60180726"/>
    <s v="60180726"/>
    <m/>
    <m/>
    <m/>
    <m/>
    <m/>
    <m/>
    <s v="SOLRECOUP"/>
    <s v="SOLRECOUP"/>
    <s v="POARECOUP"/>
    <n v="21340078"/>
    <n v="-167"/>
    <m/>
    <s v="Y"/>
    <n v="2"/>
    <d v="2023-07-06T19:54:23"/>
    <s v="N"/>
    <m/>
    <m/>
    <s v="Non Expert Disbursement"/>
    <m/>
    <s v="N"/>
    <n v="0"/>
    <n v="0"/>
    <x v="4"/>
    <s v="VALIDATED"/>
    <n v="1"/>
    <s v="01.11.80.000.0000.0000"/>
    <n v="0"/>
    <s v="11"/>
    <s v="0000"/>
    <n v="11514.51"/>
    <n v="0"/>
    <s v="CREDITOR"/>
    <n v="0"/>
    <n v="0"/>
    <n v="0"/>
    <n v="0"/>
    <n v="0"/>
  </r>
  <r>
    <n v="60180726"/>
    <s v="N"/>
    <n v="21340078"/>
    <s v="3000014461220007RC"/>
    <s v="CIVIL"/>
    <d v="2023-06-20T00:00:00"/>
    <d v="2023-07-06T19:54:22"/>
    <m/>
    <d v="2023-07-06T00:00:00"/>
    <n v="1794"/>
    <n v="19818"/>
    <s v="60180726"/>
    <s v="60180726"/>
    <m/>
    <m/>
    <m/>
    <m/>
    <m/>
    <m/>
    <s v="SOLRECOUP"/>
    <s v="SOLRECOUP"/>
    <s v="POARECOUP"/>
    <n v="21340078"/>
    <n v="-167"/>
    <m/>
    <s v="Y"/>
    <n v="1"/>
    <d v="2023-07-06T19:54:23"/>
    <s v="N"/>
    <m/>
    <m/>
    <s v="Non Expert Disbursement"/>
    <m/>
    <s v="N"/>
    <n v="-167"/>
    <n v="0"/>
    <x v="4"/>
    <s v="VALIDATED"/>
    <n v="1"/>
    <s v="01.11.80.308.2013.0000"/>
    <n v="-167"/>
    <s v="11"/>
    <s v="2013"/>
    <n v="11514.51"/>
    <n v="-167"/>
    <s v="CREDITOR"/>
    <n v="0"/>
    <n v="0"/>
    <n v="-167"/>
    <n v="0"/>
    <n v="0"/>
  </r>
  <r>
    <n v="60180726"/>
    <s v="N"/>
    <n v="21340079"/>
    <s v="3000014461220002RC"/>
    <s v="CIVIL"/>
    <d v="2023-06-20T00:00:00"/>
    <d v="2023-07-06T19:54:22"/>
    <m/>
    <d v="2023-07-06T00:00:00"/>
    <n v="1794"/>
    <n v="19818"/>
    <s v="60180726"/>
    <s v="60180726"/>
    <m/>
    <m/>
    <m/>
    <m/>
    <m/>
    <m/>
    <s v="SOLRECOUP"/>
    <s v="SOLRECOUP"/>
    <s v="POARECOUP"/>
    <n v="21340079"/>
    <n v="-86.09999999999999"/>
    <m/>
    <s v="Y"/>
    <n v="1"/>
    <d v="2023-07-06T19:54:23"/>
    <s v="N"/>
    <m/>
    <m/>
    <s v="Expert Disbursement"/>
    <m/>
    <s v="N"/>
    <n v="-71.75"/>
    <n v="0"/>
    <x v="4"/>
    <s v="VALIDATED"/>
    <n v="1"/>
    <s v="01.11.80.308.2013.0000"/>
    <n v="-71.75"/>
    <s v="11"/>
    <s v="2013"/>
    <n v="11514.51"/>
    <n v="-71.75"/>
    <s v="CREDITOR"/>
    <n v="0"/>
    <n v="0"/>
    <n v="-71.75"/>
    <n v="0"/>
    <n v="0"/>
  </r>
  <r>
    <n v="60180726"/>
    <s v="N"/>
    <n v="21340079"/>
    <s v="3000014461220002RC"/>
    <s v="CIVIL"/>
    <d v="2023-06-20T00:00:00"/>
    <d v="2023-07-06T19:54:22"/>
    <m/>
    <d v="2023-07-06T00:00:00"/>
    <n v="1794"/>
    <n v="19818"/>
    <s v="60180726"/>
    <s v="60180726"/>
    <m/>
    <m/>
    <m/>
    <m/>
    <m/>
    <m/>
    <s v="SOLRECOUP"/>
    <s v="SOLRECOUP"/>
    <s v="POARECOUP"/>
    <n v="21340079"/>
    <n v="-86.09999999999999"/>
    <m/>
    <s v="Y"/>
    <n v="2"/>
    <d v="2023-07-06T19:54:23"/>
    <s v="N"/>
    <m/>
    <m/>
    <s v="Expert Disbursement"/>
    <m/>
    <s v="N"/>
    <n v="0"/>
    <n v="-14.35"/>
    <x v="4"/>
    <s v="VALIDATED"/>
    <n v="1"/>
    <s v="01.11.80.308.2013.0000"/>
    <n v="-14.35"/>
    <s v="11"/>
    <s v="2013"/>
    <n v="11514.51"/>
    <n v="-14.35"/>
    <s v="CREDITOR"/>
    <n v="0"/>
    <n v="0"/>
    <n v="-14.35"/>
    <n v="0"/>
    <n v="0"/>
  </r>
  <r>
    <n v="60180726"/>
    <s v="N"/>
    <n v="21340080"/>
    <s v="3000014461220006RC"/>
    <s v="CIVIL"/>
    <d v="2023-06-20T00:00:00"/>
    <d v="2023-07-06T19:54:22"/>
    <m/>
    <d v="2023-07-06T00:00:00"/>
    <n v="1794"/>
    <n v="19818"/>
    <s v="60180726"/>
    <s v="60180726"/>
    <m/>
    <m/>
    <m/>
    <m/>
    <m/>
    <m/>
    <s v="SOLRECOUP"/>
    <s v="SOLRECOUP"/>
    <s v="POARECOUP"/>
    <n v="21340080"/>
    <n v="-1572.4"/>
    <m/>
    <s v="Y"/>
    <n v="1"/>
    <d v="2023-07-06T19:54:23"/>
    <s v="N"/>
    <m/>
    <m/>
    <s v="Profit Cost"/>
    <m/>
    <s v="N"/>
    <n v="-1310.33"/>
    <n v="0"/>
    <x v="4"/>
    <s v="VALIDATED"/>
    <n v="1"/>
    <s v="01.11.80.308.2013.0000"/>
    <n v="-1310.33"/>
    <s v="11"/>
    <s v="2013"/>
    <n v="11514.51"/>
    <n v="-1310.33"/>
    <s v="CREDITOR"/>
    <n v="0"/>
    <n v="0"/>
    <n v="-1310.33"/>
    <n v="-327.5825"/>
    <n v="0"/>
  </r>
  <r>
    <n v="60180726"/>
    <s v="N"/>
    <n v="21340080"/>
    <s v="3000014461220006RC"/>
    <s v="CIVIL"/>
    <d v="2023-06-20T00:00:00"/>
    <d v="2023-07-06T19:54:22"/>
    <m/>
    <d v="2023-07-06T00:00:00"/>
    <n v="1794"/>
    <n v="19818"/>
    <s v="60180726"/>
    <s v="60180726"/>
    <m/>
    <m/>
    <m/>
    <m/>
    <m/>
    <m/>
    <s v="SOLRECOUP"/>
    <s v="SOLRECOUP"/>
    <s v="POARECOUP"/>
    <n v="21340080"/>
    <n v="-1572.4"/>
    <m/>
    <s v="Y"/>
    <n v="2"/>
    <d v="2023-07-06T19:54:23"/>
    <s v="N"/>
    <m/>
    <m/>
    <s v="Profit Cost"/>
    <m/>
    <s v="N"/>
    <n v="0"/>
    <n v="-262.07"/>
    <x v="4"/>
    <s v="VALIDATED"/>
    <n v="1"/>
    <s v="01.11.80.308.2013.0000"/>
    <n v="-262.07"/>
    <s v="11"/>
    <s v="2013"/>
    <n v="11514.51"/>
    <n v="-262.07"/>
    <s v="CREDITOR"/>
    <n v="0"/>
    <n v="0"/>
    <n v="-262.07"/>
    <n v="-65.5175"/>
    <n v="0"/>
  </r>
  <r>
    <n v="60180726"/>
    <s v="N"/>
    <n v="21340081"/>
    <s v="3000014461220001RC"/>
    <s v="CIVIL"/>
    <d v="2023-06-20T00:00:00"/>
    <d v="2023-07-06T19:54:22"/>
    <m/>
    <d v="2023-07-06T00:00:00"/>
    <n v="1794"/>
    <n v="19818"/>
    <s v="60180726"/>
    <s v="60180726"/>
    <m/>
    <m/>
    <m/>
    <m/>
    <m/>
    <m/>
    <s v="SOLRECOUP"/>
    <s v="SOLRECOUP"/>
    <s v="POARECOUP"/>
    <n v="21340081"/>
    <n v="-638.28"/>
    <m/>
    <s v="Y"/>
    <n v="2"/>
    <d v="2023-07-06T19:54:23"/>
    <s v="N"/>
    <m/>
    <m/>
    <s v="Expert Disbursement"/>
    <m/>
    <s v="N"/>
    <n v="0"/>
    <n v="-106.38"/>
    <x v="4"/>
    <s v="VALIDATED"/>
    <n v="1"/>
    <s v="01.11.80.308.2013.0000"/>
    <n v="-106.38"/>
    <s v="11"/>
    <s v="2013"/>
    <n v="11514.51"/>
    <n v="-106.38"/>
    <s v="CREDITOR"/>
    <n v="0"/>
    <n v="0"/>
    <n v="-106.38"/>
    <n v="0"/>
    <n v="0"/>
  </r>
  <r>
    <n v="60180726"/>
    <s v="N"/>
    <n v="21340081"/>
    <s v="3000014461220001RC"/>
    <s v="CIVIL"/>
    <d v="2023-06-20T00:00:00"/>
    <d v="2023-07-06T19:54:22"/>
    <m/>
    <d v="2023-07-06T00:00:00"/>
    <n v="1794"/>
    <n v="19818"/>
    <s v="60180726"/>
    <s v="60180726"/>
    <m/>
    <m/>
    <m/>
    <m/>
    <m/>
    <m/>
    <s v="SOLRECOUP"/>
    <s v="SOLRECOUP"/>
    <s v="POARECOUP"/>
    <n v="21340081"/>
    <n v="-638.28"/>
    <m/>
    <s v="Y"/>
    <n v="1"/>
    <d v="2023-07-06T19:54:23"/>
    <s v="N"/>
    <m/>
    <m/>
    <s v="Expert Disbursement"/>
    <m/>
    <s v="N"/>
    <n v="-531.9"/>
    <n v="0"/>
    <x v="4"/>
    <s v="VALIDATED"/>
    <n v="1"/>
    <s v="01.11.80.308.2013.0000"/>
    <n v="-531.9"/>
    <s v="11"/>
    <s v="2013"/>
    <n v="11514.51"/>
    <n v="-531.9"/>
    <s v="CREDITOR"/>
    <n v="0"/>
    <n v="0"/>
    <n v="-531.9"/>
    <n v="0"/>
    <n v="0"/>
  </r>
  <r>
    <n v="60180726"/>
    <s v="N"/>
    <n v="21340082"/>
    <s v="3000014461220003RC"/>
    <s v="CIVIL"/>
    <d v="2023-06-20T00:00:00"/>
    <d v="2023-07-06T19:54:22"/>
    <m/>
    <d v="2023-07-06T00:00:00"/>
    <n v="1794"/>
    <n v="19818"/>
    <s v="60180726"/>
    <s v="60180726"/>
    <m/>
    <m/>
    <m/>
    <m/>
    <m/>
    <m/>
    <s v="SOLRECOUP"/>
    <s v="SOLRECOUP"/>
    <s v="POARECOUP"/>
    <n v="21340082"/>
    <n v="-1683.76"/>
    <m/>
    <s v="Y"/>
    <n v="1"/>
    <d v="2023-07-06T19:54:23"/>
    <s v="N"/>
    <m/>
    <m/>
    <s v="Profit Cost"/>
    <m/>
    <s v="N"/>
    <n v="-1403.13"/>
    <n v="0"/>
    <x v="4"/>
    <s v="VALIDATED"/>
    <n v="1"/>
    <s v="01.11.80.308.2013.0000"/>
    <n v="-1403.13"/>
    <s v="11"/>
    <s v="2013"/>
    <n v="11514.51"/>
    <n v="-1403.13"/>
    <s v="CREDITOR"/>
    <n v="0"/>
    <n v="0"/>
    <n v="-1403.13"/>
    <n v="-350.7825"/>
    <n v="0"/>
  </r>
  <r>
    <n v="60180726"/>
    <s v="N"/>
    <n v="21340082"/>
    <s v="3000014461220003RC"/>
    <s v="CIVIL"/>
    <d v="2023-06-20T00:00:00"/>
    <d v="2023-07-06T19:54:22"/>
    <m/>
    <d v="2023-07-06T00:00:00"/>
    <n v="1794"/>
    <n v="19818"/>
    <s v="60180726"/>
    <s v="60180726"/>
    <m/>
    <m/>
    <m/>
    <m/>
    <m/>
    <m/>
    <s v="SOLRECOUP"/>
    <s v="SOLRECOUP"/>
    <s v="POARECOUP"/>
    <n v="21340082"/>
    <n v="-1683.76"/>
    <m/>
    <s v="Y"/>
    <n v="2"/>
    <d v="2023-07-06T19:54:23"/>
    <s v="N"/>
    <m/>
    <m/>
    <s v="Profit Cost"/>
    <m/>
    <s v="N"/>
    <n v="0"/>
    <n v="-280.63"/>
    <x v="4"/>
    <s v="VALIDATED"/>
    <n v="1"/>
    <s v="01.11.80.308.2013.0000"/>
    <n v="-280.63"/>
    <s v="11"/>
    <s v="2013"/>
    <n v="11514.51"/>
    <n v="-280.63"/>
    <s v="CREDITOR"/>
    <n v="0"/>
    <n v="0"/>
    <n v="-280.63"/>
    <n v="-70.1575"/>
    <n v="0"/>
  </r>
  <r>
    <n v="60180726"/>
    <s v="N"/>
    <n v="21340083"/>
    <s v="3000014461220011RC"/>
    <s v="CIVIL"/>
    <d v="2023-06-20T00:00:00"/>
    <d v="2023-07-06T19:54:22"/>
    <m/>
    <d v="2023-07-06T00:00:00"/>
    <n v="1794"/>
    <n v="19818"/>
    <s v="60180726"/>
    <s v="60180726"/>
    <m/>
    <m/>
    <m/>
    <m/>
    <m/>
    <m/>
    <s v="SOLRECOUP"/>
    <s v="SOLRECOUP"/>
    <s v="POARECOUP"/>
    <n v="21340083"/>
    <n v="-5993.16"/>
    <m/>
    <s v="Y"/>
    <n v="2"/>
    <d v="2023-07-06T19:54:23"/>
    <s v="N"/>
    <m/>
    <m/>
    <s v="Profit Cost"/>
    <m/>
    <s v="N"/>
    <n v="0"/>
    <n v="-998.86"/>
    <x v="4"/>
    <s v="VALIDATED"/>
    <n v="1"/>
    <s v="01.11.80.308.2013.0000"/>
    <n v="-998.86"/>
    <s v="11"/>
    <s v="2013"/>
    <n v="11514.51"/>
    <n v="-998.86"/>
    <s v="CREDITOR"/>
    <n v="0"/>
    <n v="0"/>
    <n v="-998.86"/>
    <n v="-249.715"/>
    <n v="0"/>
  </r>
  <r>
    <n v="60180726"/>
    <s v="N"/>
    <n v="21340083"/>
    <s v="3000014461220011RC"/>
    <s v="CIVIL"/>
    <d v="2023-06-20T00:00:00"/>
    <d v="2023-07-06T19:54:22"/>
    <m/>
    <d v="2023-07-06T00:00:00"/>
    <n v="1794"/>
    <n v="19818"/>
    <s v="60180726"/>
    <s v="60180726"/>
    <m/>
    <m/>
    <m/>
    <m/>
    <m/>
    <m/>
    <s v="SOLRECOUP"/>
    <s v="SOLRECOUP"/>
    <s v="POARECOUP"/>
    <n v="21340083"/>
    <n v="-5993.16"/>
    <m/>
    <s v="Y"/>
    <n v="1"/>
    <d v="2023-07-06T19:54:23"/>
    <s v="N"/>
    <m/>
    <m/>
    <s v="Profit Cost"/>
    <m/>
    <s v="N"/>
    <n v="-4994.3"/>
    <n v="0"/>
    <x v="4"/>
    <s v="VALIDATED"/>
    <n v="1"/>
    <s v="01.11.80.308.2013.0000"/>
    <n v="-4994.3"/>
    <s v="11"/>
    <s v="2013"/>
    <n v="11514.51"/>
    <n v="-4994.3"/>
    <s v="CREDITOR"/>
    <n v="0"/>
    <n v="0"/>
    <n v="-4994.3"/>
    <n v="-1248.575"/>
    <n v="0"/>
  </r>
  <r>
    <n v="60180726"/>
    <s v="N"/>
    <n v="21340084"/>
    <s v="3000014461220009RC"/>
    <s v="CIVIL"/>
    <d v="2023-06-20T00:00:00"/>
    <d v="2023-07-06T19:54:22"/>
    <m/>
    <d v="2023-07-06T00:00:00"/>
    <n v="1794"/>
    <n v="19818"/>
    <s v="60180726"/>
    <s v="60180726"/>
    <m/>
    <m/>
    <m/>
    <m/>
    <m/>
    <m/>
    <s v="SOLRECOUP"/>
    <s v="SOLRECOUP"/>
    <s v="POARECOUP"/>
    <n v="21340084"/>
    <n v="-3340.25"/>
    <m/>
    <s v="Y"/>
    <n v="2"/>
    <d v="2023-07-06T19:54:23"/>
    <s v="N"/>
    <m/>
    <m/>
    <s v="Profit Cost"/>
    <m/>
    <s v="N"/>
    <n v="0"/>
    <n v="-556.71"/>
    <x v="4"/>
    <s v="VALIDATED"/>
    <n v="1"/>
    <s v="01.11.80.308.2013.0000"/>
    <n v="-556.71"/>
    <s v="11"/>
    <s v="2013"/>
    <n v="11514.51"/>
    <n v="-556.71"/>
    <s v="CREDITOR"/>
    <n v="0"/>
    <n v="0"/>
    <n v="-556.71"/>
    <n v="-139.1775"/>
    <n v="0"/>
  </r>
  <r>
    <n v="60180726"/>
    <s v="N"/>
    <n v="21340084"/>
    <s v="3000014461220009RC"/>
    <s v="CIVIL"/>
    <d v="2023-06-20T00:00:00"/>
    <d v="2023-07-06T19:54:22"/>
    <m/>
    <d v="2023-07-06T00:00:00"/>
    <n v="1794"/>
    <n v="19818"/>
    <s v="60180726"/>
    <s v="60180726"/>
    <m/>
    <m/>
    <m/>
    <m/>
    <m/>
    <m/>
    <s v="SOLRECOUP"/>
    <s v="SOLRECOUP"/>
    <s v="POARECOUP"/>
    <n v="21340084"/>
    <n v="-3340.25"/>
    <m/>
    <s v="Y"/>
    <n v="1"/>
    <d v="2023-07-06T19:54:23"/>
    <s v="N"/>
    <m/>
    <m/>
    <s v="Profit Cost"/>
    <m/>
    <s v="N"/>
    <n v="-2783.54"/>
    <n v="0"/>
    <x v="4"/>
    <s v="VALIDATED"/>
    <n v="1"/>
    <s v="01.11.80.308.2013.0000"/>
    <n v="-2783.54"/>
    <s v="11"/>
    <s v="2013"/>
    <n v="11514.51"/>
    <n v="-2783.54"/>
    <s v="CREDITOR"/>
    <n v="0"/>
    <n v="0"/>
    <n v="-2783.54"/>
    <n v="-695.885"/>
    <n v="0"/>
  </r>
  <r>
    <n v="62403708"/>
    <s v="N"/>
    <n v="21337842"/>
    <s v="3000016364990001"/>
    <s v="CIVIL"/>
    <d v="2023-06-30T00:00:00"/>
    <d v="2023-07-06T19:21:01"/>
    <m/>
    <d v="2023-07-06T00:00:00"/>
    <n v="1795"/>
    <n v="19818"/>
    <s v="62403708"/>
    <s v="62403708"/>
    <m/>
    <m/>
    <n v="22796552"/>
    <m/>
    <m/>
    <m/>
    <s v="SOLPOA"/>
    <s v="SOLPOA"/>
    <s v="CCMS"/>
    <n v="21337842"/>
    <n v="130.85"/>
    <m/>
    <s v="N"/>
    <n v="1"/>
    <d v="2023-07-06T19:21:09"/>
    <s v="N"/>
    <s v="Expert Cost - Domestic Abuse"/>
    <s v="Expert Cost - Domestic Abuse"/>
    <s v="Expert Disbursement"/>
    <s v="david sykes"/>
    <s v="N"/>
    <n v="130.85"/>
    <n v="0"/>
    <x v="4"/>
    <s v="VALIDATED"/>
    <n v="1"/>
    <s v="01.11.80.302.2012.0000"/>
    <n v="130.85"/>
    <s v="11"/>
    <s v="2012"/>
    <n v="483.85"/>
    <n v="130.85"/>
    <s v="CREDITOR"/>
    <n v="130.85"/>
    <n v="0"/>
    <n v="0"/>
    <n v="0"/>
    <n v="0"/>
  </r>
  <r>
    <n v="60003803"/>
    <s v="N"/>
    <n v="21327523"/>
    <s v="3000014347140003"/>
    <s v="CIVIL"/>
    <d v="2023-06-17T00:00:00"/>
    <d v="2023-07-04T19:00:44"/>
    <m/>
    <d v="2023-07-04T00:00:00"/>
    <n v="1795"/>
    <n v="19818"/>
    <s v="60003803"/>
    <s v="60003803"/>
    <m/>
    <m/>
    <n v="22711026"/>
    <m/>
    <m/>
    <m/>
    <s v="SOLFIN"/>
    <s v="SOLFIN"/>
    <s v="CCMS"/>
    <n v="21327523"/>
    <n v="423.6"/>
    <m/>
    <s v="N"/>
    <n v="1"/>
    <d v="2023-07-04T19:00:49"/>
    <s v="Y"/>
    <s v="Level 3 Fixed Fee"/>
    <s v="Private Law Children"/>
    <s v="Profit Cost"/>
    <s v="RACHAEL PYKE"/>
    <s v="Y"/>
    <n v="353"/>
    <n v="70.59999999999999"/>
    <x v="1"/>
    <s v="VALIDATED"/>
    <n v="1"/>
    <s v="01.11.80.307.6100.0000"/>
    <n v="353"/>
    <s v="11"/>
    <s v="6100"/>
    <n v="483.85"/>
    <n v="353"/>
    <s v="CREDITOR"/>
    <n v="0"/>
    <n v="0"/>
    <n v="0"/>
    <n v="0"/>
    <n v="353"/>
  </r>
  <r>
    <n v="61464787"/>
    <s v="N"/>
    <n v="21337983"/>
    <s v="3000015592860011"/>
    <s v="CIVIL"/>
    <d v="2023-06-14T00:00:00"/>
    <d v="2023-07-06T19:21:01"/>
    <m/>
    <d v="2023-07-06T00:00:00"/>
    <n v="1798"/>
    <n v="19818"/>
    <s v="61464787"/>
    <s v="61464787"/>
    <m/>
    <m/>
    <n v="22691986"/>
    <m/>
    <m/>
    <m/>
    <s v="SOLPOA"/>
    <s v="SOLPOA"/>
    <s v="CCMS"/>
    <n v="21337983"/>
    <n v="3006.77"/>
    <m/>
    <s v="N"/>
    <n v="1"/>
    <d v="2023-07-06T19:21:10"/>
    <s v="N"/>
    <s v="Solicitors Fixed Fee"/>
    <s v="Public Law Children"/>
    <s v="Profit Cost"/>
    <s v="CATHY ACHILLES"/>
    <s v="N"/>
    <n v="2505.64"/>
    <n v="501.13"/>
    <x v="4"/>
    <s v="VALIDATED"/>
    <n v="1"/>
    <s v="01.11.80.308.2012.0000"/>
    <n v="2505.64"/>
    <s v="11"/>
    <s v="2012"/>
    <n v="17655.12"/>
    <n v="2505.64"/>
    <s v="CREDITOR"/>
    <n v="2505.64"/>
    <n v="626.41"/>
    <n v="0"/>
    <n v="0"/>
    <n v="0"/>
  </r>
  <r>
    <n v="61903898"/>
    <s v="N"/>
    <n v="21349617"/>
    <s v="3000015960800007"/>
    <s v="CIVIL"/>
    <d v="2023-06-06T00:00:00"/>
    <d v="2023-07-10T19:01:40"/>
    <m/>
    <d v="2023-07-10T00:00:00"/>
    <n v="1798"/>
    <n v="19818"/>
    <s v="61903898"/>
    <s v="61903898"/>
    <m/>
    <m/>
    <n v="22624114"/>
    <m/>
    <m/>
    <m/>
    <s v="SOLPOA"/>
    <s v="SOLPOA"/>
    <s v="CCMS"/>
    <n v="21349617"/>
    <n v="486"/>
    <m/>
    <s v="N"/>
    <n v="1"/>
    <d v="2023-07-10T19:01:54"/>
    <s v="N"/>
    <s v="Expert Cost"/>
    <s v="Expert Cost"/>
    <s v="Expert Disbursement"/>
    <s v="Cathy Achilles"/>
    <s v="N"/>
    <n v="405"/>
    <n v="81"/>
    <x v="2"/>
    <s v="VALIDATED"/>
    <n v="1"/>
    <s v="01.11.80.308.2012.0000"/>
    <n v="405"/>
    <s v="11"/>
    <s v="2012"/>
    <n v="17655.12"/>
    <n v="405"/>
    <s v="CREDITOR"/>
    <n v="405"/>
    <n v="0"/>
    <n v="0"/>
    <n v="0"/>
    <n v="0"/>
  </r>
  <r>
    <n v="62016421"/>
    <s v="N"/>
    <n v="21338091"/>
    <s v="3000016056630011"/>
    <s v="CIVIL"/>
    <d v="2023-06-14T00:00:00"/>
    <d v="2023-07-06T19:21:01"/>
    <m/>
    <d v="2023-07-06T00:00:00"/>
    <n v="1798"/>
    <n v="19818"/>
    <s v="62016421"/>
    <s v="62016421"/>
    <m/>
    <m/>
    <n v="22691706"/>
    <m/>
    <m/>
    <m/>
    <s v="SOLPOA"/>
    <s v="SOLPOA"/>
    <s v="CCMS"/>
    <n v="21338091"/>
    <n v="167"/>
    <m/>
    <s v="N"/>
    <n v="1"/>
    <d v="2023-07-06T19:21:11"/>
    <s v="N"/>
    <s v="Non Expert Disbursement"/>
    <s v="Non Expert Disbursement"/>
    <s v="Non Expert Disbursement"/>
    <s v="CATHY ACHILLES"/>
    <s v="N"/>
    <n v="167"/>
    <n v="0"/>
    <x v="4"/>
    <s v="VALIDATED"/>
    <n v="1"/>
    <s v="01.11.80.308.2012.0000"/>
    <n v="167"/>
    <s v="11"/>
    <s v="2012"/>
    <n v="17655.12"/>
    <n v="167"/>
    <s v="CREDITOR"/>
    <n v="167"/>
    <n v="0"/>
    <n v="0"/>
    <n v="0"/>
    <n v="0"/>
  </r>
  <r>
    <n v="62016421"/>
    <s v="N"/>
    <n v="21337749"/>
    <s v="3000016056630009"/>
    <s v="CIVIL"/>
    <d v="2023-06-14T00:00:00"/>
    <d v="2023-07-06T19:21:01"/>
    <m/>
    <d v="2023-07-06T00:00:00"/>
    <n v="1798"/>
    <n v="19818"/>
    <s v="62016421"/>
    <s v="62016421"/>
    <m/>
    <m/>
    <n v="22690594"/>
    <m/>
    <m/>
    <m/>
    <s v="SOLPOA"/>
    <s v="SOLPOA"/>
    <s v="CCMS"/>
    <n v="21337749"/>
    <n v="167"/>
    <m/>
    <s v="N"/>
    <n v="1"/>
    <d v="2023-07-06T19:21:07"/>
    <s v="N"/>
    <s v="Non Expert Disbursement"/>
    <s v="Non Expert Disbursement"/>
    <s v="Non Expert Disbursement"/>
    <s v="CATHY ACHILLES"/>
    <s v="N"/>
    <n v="167"/>
    <n v="0"/>
    <x v="4"/>
    <s v="VALIDATED"/>
    <n v="1"/>
    <s v="01.11.80.308.2012.0000"/>
    <n v="167"/>
    <s v="11"/>
    <s v="2012"/>
    <n v="17655.12"/>
    <n v="167"/>
    <s v="CREDITOR"/>
    <n v="167"/>
    <n v="0"/>
    <n v="0"/>
    <n v="0"/>
    <n v="0"/>
  </r>
  <r>
    <n v="61964577"/>
    <s v="N"/>
    <n v="21337851"/>
    <s v="3000016012540012"/>
    <s v="CIVIL"/>
    <d v="2023-06-14T00:00:00"/>
    <d v="2023-07-06T19:21:01"/>
    <m/>
    <d v="2023-07-06T00:00:00"/>
    <n v="1798"/>
    <n v="19818"/>
    <s v="61964577"/>
    <s v="61964577"/>
    <m/>
    <m/>
    <n v="22692208"/>
    <m/>
    <m/>
    <m/>
    <s v="SOLPOA"/>
    <s v="SOLPOA"/>
    <s v="CCMS"/>
    <n v="21337851"/>
    <n v="5411.59"/>
    <m/>
    <s v="N"/>
    <n v="1"/>
    <d v="2023-07-06T19:21:09"/>
    <s v="N"/>
    <s v="Solicitors Fixed Fee"/>
    <s v="Public Law Children"/>
    <s v="Profit Cost"/>
    <s v="CATHY ACHILLES"/>
    <s v="N"/>
    <n v="4509.66"/>
    <n v="901.9299999999999"/>
    <x v="4"/>
    <s v="VALIDATED"/>
    <n v="1"/>
    <s v="01.11.80.308.2012.0000"/>
    <n v="4509.66"/>
    <s v="11"/>
    <s v="2012"/>
    <n v="17655.12"/>
    <n v="4509.66"/>
    <s v="CREDITOR"/>
    <n v="4509.66"/>
    <n v="1127.415"/>
    <n v="0"/>
    <n v="0"/>
    <n v="0"/>
  </r>
  <r>
    <n v="60541362"/>
    <s v="N"/>
    <n v="21343850"/>
    <s v="3000014811620013"/>
    <s v="CIVIL"/>
    <d v="2023-06-19T00:00:00"/>
    <d v="2023-07-07T19:03:00"/>
    <m/>
    <d v="2023-07-07T00:00:00"/>
    <n v="1798"/>
    <n v="19818"/>
    <s v="60541362"/>
    <s v="60541362"/>
    <m/>
    <m/>
    <n v="22715816"/>
    <m/>
    <m/>
    <m/>
    <s v="SOLPOA"/>
    <s v="SOLPOA"/>
    <s v="CCMS"/>
    <n v="21343850"/>
    <n v="367.8"/>
    <m/>
    <s v="N"/>
    <n v="1"/>
    <d v="2023-07-07T19:03:14"/>
    <s v="N"/>
    <s v="Expert Cost"/>
    <s v="Expert Cost"/>
    <s v="Expert Disbursement"/>
    <s v="CATHY ACHILLES"/>
    <s v="N"/>
    <n v="306.5"/>
    <n v="61.3"/>
    <x v="9"/>
    <s v="VALIDATED"/>
    <n v="1"/>
    <s v="01.11.80.308.2012.0000"/>
    <n v="306.5"/>
    <s v="11"/>
    <s v="2012"/>
    <n v="17655.12"/>
    <n v="306.5"/>
    <s v="CREDITOR"/>
    <n v="306.5"/>
    <n v="0"/>
    <n v="0"/>
    <n v="0"/>
    <n v="0"/>
  </r>
  <r>
    <n v="61467536"/>
    <s v="N"/>
    <n v="21343503"/>
    <s v="3000015594990008"/>
    <s v="CIVIL"/>
    <d v="2023-06-19T00:00:00"/>
    <d v="2023-07-07T19:03:00"/>
    <m/>
    <d v="2023-07-07T00:00:00"/>
    <n v="1798"/>
    <n v="19818"/>
    <s v="61467536"/>
    <s v="61467536"/>
    <m/>
    <m/>
    <n v="22712916"/>
    <m/>
    <m/>
    <m/>
    <s v="SOLPOA"/>
    <s v="SOLPOA"/>
    <s v="CCMS"/>
    <n v="21343503"/>
    <n v="1471.2"/>
    <m/>
    <s v="N"/>
    <n v="1"/>
    <d v="2023-07-07T19:03:10"/>
    <s v="N"/>
    <s v="Expert Cost"/>
    <s v="Expert Cost"/>
    <s v="Expert Disbursement"/>
    <s v="CATHY ACHILLES"/>
    <s v="N"/>
    <n v="1226"/>
    <n v="245.2"/>
    <x v="9"/>
    <s v="VALIDATED"/>
    <n v="1"/>
    <s v="01.11.80.308.2012.0000"/>
    <n v="1226"/>
    <s v="11"/>
    <s v="2012"/>
    <n v="17655.12"/>
    <n v="1226"/>
    <s v="CREDITOR"/>
    <n v="1226"/>
    <n v="0"/>
    <n v="0"/>
    <n v="0"/>
    <n v="0"/>
  </r>
  <r>
    <n v="61903898"/>
    <s v="N"/>
    <n v="21343780"/>
    <s v="3000015960800006"/>
    <s v="CIVIL"/>
    <d v="2023-06-22T00:00:00"/>
    <d v="2023-07-07T19:03:00"/>
    <m/>
    <d v="2023-07-07T00:00:00"/>
    <n v="1798"/>
    <n v="19818"/>
    <s v="61903898"/>
    <s v="61903898"/>
    <m/>
    <m/>
    <n v="22746412"/>
    <m/>
    <m/>
    <m/>
    <s v="SOLPOA"/>
    <s v="SOLPOA"/>
    <s v="CCMS"/>
    <n v="21343780"/>
    <n v="129.6"/>
    <m/>
    <s v="N"/>
    <n v="1"/>
    <d v="2023-07-07T19:03:13"/>
    <s v="N"/>
    <s v="Expert Cost"/>
    <s v="Expert Cost"/>
    <s v="Expert Disbursement"/>
    <s v="CATHY ACHILLES"/>
    <s v="N"/>
    <n v="108"/>
    <n v="21.6"/>
    <x v="9"/>
    <s v="VALIDATED"/>
    <n v="1"/>
    <s v="01.11.80.308.2012.0000"/>
    <n v="108"/>
    <s v="11"/>
    <s v="2012"/>
    <n v="17655.12"/>
    <n v="108"/>
    <s v="CREDITOR"/>
    <n v="108"/>
    <n v="0"/>
    <n v="0"/>
    <n v="0"/>
    <n v="0"/>
  </r>
  <r>
    <n v="60245589"/>
    <s v="N"/>
    <n v="21343529"/>
    <s v="3000014555620011"/>
    <s v="CIVIL"/>
    <d v="2023-06-19T00:00:00"/>
    <d v="2023-07-07T19:03:00"/>
    <m/>
    <d v="2023-07-07T00:00:00"/>
    <n v="1798"/>
    <n v="19818"/>
    <s v="60245589"/>
    <s v="60245589"/>
    <m/>
    <m/>
    <n v="22715950"/>
    <m/>
    <m/>
    <m/>
    <s v="SOLPOA"/>
    <s v="SOLPOA"/>
    <s v="CCMS"/>
    <n v="21343529"/>
    <n v="179.1"/>
    <m/>
    <s v="N"/>
    <n v="1"/>
    <d v="2023-07-07T19:03:10"/>
    <s v="N"/>
    <s v="Expert Cost"/>
    <s v="Expert Cost"/>
    <s v="Expert Disbursement"/>
    <s v="CATHY ACHILLES"/>
    <s v="N"/>
    <n v="149.25"/>
    <n v="29.85"/>
    <x v="9"/>
    <s v="VALIDATED"/>
    <n v="1"/>
    <s v="01.11.80.308.2012.0000"/>
    <n v="149.25"/>
    <s v="11"/>
    <s v="2012"/>
    <n v="17655.12"/>
    <n v="149.25"/>
    <s v="CREDITOR"/>
    <n v="149.25"/>
    <n v="0"/>
    <n v="0"/>
    <n v="0"/>
    <n v="0"/>
  </r>
  <r>
    <n v="61964577"/>
    <s v="N"/>
    <n v="21382252"/>
    <s v="3000016012540014"/>
    <s v="CIVIL"/>
    <d v="2023-06-14T00:00:00"/>
    <d v="2023-07-17T19:01:46"/>
    <m/>
    <d v="2023-07-17T00:00:00"/>
    <n v="1798"/>
    <n v="19818"/>
    <s v="61964577"/>
    <s v="61964577"/>
    <m/>
    <m/>
    <n v="22692146"/>
    <m/>
    <m/>
    <m/>
    <s v="SOLPOA"/>
    <s v="SOLPOA"/>
    <s v="CCMS"/>
    <n v="21382252"/>
    <n v="20.7"/>
    <m/>
    <s v="N"/>
    <n v="1"/>
    <d v="2023-07-17T19:02:05"/>
    <s v="N"/>
    <s v="Non Expert Disbursement"/>
    <s v="Non Expert Disbursement"/>
    <s v="Non Expert Disbursement"/>
    <s v="CATHY ACHILLES"/>
    <s v="N"/>
    <n v="20.7"/>
    <n v="0"/>
    <x v="8"/>
    <s v="VALIDATED"/>
    <n v="1"/>
    <s v="01.11.80.308.2012.0000"/>
    <n v="20.7"/>
    <s v="11"/>
    <s v="2012"/>
    <n v="17655.12"/>
    <n v="20.7"/>
    <s v="CREDITOR"/>
    <n v="20.7"/>
    <n v="0"/>
    <n v="0"/>
    <n v="0"/>
    <n v="0"/>
  </r>
  <r>
    <n v="61964577"/>
    <s v="N"/>
    <n v="21382046"/>
    <s v="3000016012540013"/>
    <s v="CIVIL"/>
    <d v="2023-06-14T00:00:00"/>
    <d v="2023-07-17T19:01:46"/>
    <m/>
    <d v="2023-07-17T00:00:00"/>
    <n v="1798"/>
    <n v="19818"/>
    <s v="61964577"/>
    <s v="61964577"/>
    <m/>
    <m/>
    <n v="22692178"/>
    <m/>
    <m/>
    <m/>
    <s v="SOLPOA"/>
    <s v="SOLPOA"/>
    <s v="CCMS"/>
    <n v="21382046"/>
    <n v="167"/>
    <m/>
    <s v="N"/>
    <n v="1"/>
    <d v="2023-07-17T19:02:00"/>
    <s v="N"/>
    <s v="Non Expert Disbursement"/>
    <s v="Non Expert Disbursement"/>
    <s v="Non Expert Disbursement"/>
    <s v="CATHY ACHILLES"/>
    <s v="N"/>
    <n v="167"/>
    <n v="0"/>
    <x v="8"/>
    <s v="VALIDATED"/>
    <n v="1"/>
    <s v="01.11.80.308.2012.0000"/>
    <n v="167"/>
    <s v="11"/>
    <s v="2012"/>
    <n v="17655.12"/>
    <n v="167"/>
    <s v="CREDITOR"/>
    <n v="167"/>
    <n v="0"/>
    <n v="0"/>
    <n v="0"/>
    <n v="0"/>
  </r>
  <r>
    <n v="62016421"/>
    <s v="N"/>
    <n v="21337779"/>
    <s v="3000016056630010"/>
    <s v="CIVIL"/>
    <d v="2023-06-14T00:00:00"/>
    <d v="2023-07-06T19:21:01"/>
    <m/>
    <d v="2023-07-06T00:00:00"/>
    <n v="1798"/>
    <n v="19818"/>
    <s v="62016421"/>
    <s v="62016421"/>
    <m/>
    <m/>
    <n v="22691852"/>
    <m/>
    <m/>
    <m/>
    <s v="SOLPOA"/>
    <s v="SOLPOA"/>
    <s v="CCMS"/>
    <n v="21337779"/>
    <n v="7236.47"/>
    <m/>
    <s v="N"/>
    <n v="1"/>
    <d v="2023-07-06T19:21:08"/>
    <s v="N"/>
    <s v="Solicitors Fixed Fee"/>
    <s v="Public Law Children"/>
    <s v="Profit Cost"/>
    <s v="CATHY ACHILLES"/>
    <s v="N"/>
    <n v="6030.39"/>
    <n v="1206.08"/>
    <x v="4"/>
    <s v="VALIDATED"/>
    <n v="1"/>
    <s v="01.11.80.308.2012.0000"/>
    <n v="6030.39"/>
    <s v="11"/>
    <s v="2012"/>
    <n v="17655.12"/>
    <n v="6030.39"/>
    <s v="CREDITOR"/>
    <n v="6030.39"/>
    <n v="1507.5975"/>
    <n v="0"/>
    <n v="0"/>
    <n v="0"/>
  </r>
  <r>
    <n v="61464787"/>
    <s v="N"/>
    <n v="21318932"/>
    <s v="3000015592860010"/>
    <s v="CIVIL"/>
    <d v="2023-06-22T00:00:00"/>
    <d v="2023-07-03T19:01:49"/>
    <m/>
    <d v="2023-07-03T00:00:00"/>
    <n v="1798"/>
    <n v="19818"/>
    <s v="61464787"/>
    <s v="61464787"/>
    <m/>
    <m/>
    <n v="22744248"/>
    <m/>
    <m/>
    <m/>
    <s v="SOLPOA"/>
    <s v="SOLPOA"/>
    <s v="CCMS"/>
    <n v="21318932"/>
    <n v="162"/>
    <m/>
    <s v="N"/>
    <n v="1"/>
    <d v="2023-07-03T19:02:05"/>
    <s v="N"/>
    <s v="Expert Cost"/>
    <s v="Expert Cost"/>
    <s v="Expert Disbursement"/>
    <s v="CATHY ACHILLES"/>
    <s v="N"/>
    <n v="135"/>
    <n v="27"/>
    <x v="3"/>
    <s v="VALIDATED"/>
    <n v="1"/>
    <s v="01.11.80.308.2012.0000"/>
    <n v="135"/>
    <s v="11"/>
    <s v="2012"/>
    <n v="17655.12"/>
    <n v="135"/>
    <s v="CREDITOR"/>
    <n v="135"/>
    <n v="0"/>
    <n v="0"/>
    <n v="0"/>
    <n v="0"/>
  </r>
  <r>
    <n v="61467536"/>
    <s v="N"/>
    <n v="21343456"/>
    <s v="3000015594990007"/>
    <s v="CIVIL"/>
    <d v="2023-06-29T00:00:00"/>
    <d v="2023-07-07T19:03:00"/>
    <m/>
    <d v="2023-07-07T00:00:00"/>
    <n v="1798"/>
    <n v="19818"/>
    <s v="61467536"/>
    <s v="61467536"/>
    <m/>
    <m/>
    <n v="22792746"/>
    <m/>
    <m/>
    <m/>
    <s v="SOLPOA"/>
    <s v="SOLPOA"/>
    <s v="CCMS"/>
    <n v="21343456"/>
    <n v="1757.98"/>
    <m/>
    <s v="N"/>
    <n v="1"/>
    <d v="2023-07-07T19:03:09"/>
    <s v="N"/>
    <s v="Expert Cost"/>
    <s v="Expert Cost"/>
    <s v="Expert Disbursement"/>
    <s v="CATHY ACHILLES"/>
    <s v="N"/>
    <n v="1757.98"/>
    <n v="0"/>
    <x v="9"/>
    <s v="VALIDATED"/>
    <n v="1"/>
    <s v="01.11.80.308.2012.0000"/>
    <n v="1757.98"/>
    <s v="11"/>
    <s v="2012"/>
    <n v="17655.12"/>
    <n v="1757.98"/>
    <s v="CREDITOR"/>
    <n v="1757.98"/>
    <n v="0"/>
    <n v="0"/>
    <n v="0"/>
    <n v="0"/>
  </r>
  <r>
    <n v="60752214"/>
    <s v="N"/>
    <n v="21327977"/>
    <s v="3000014993200005"/>
    <s v="CIVIL"/>
    <d v="2023-06-22T00:00:00"/>
    <d v="2023-07-04T19:00:44"/>
    <m/>
    <d v="2023-07-04T00:00:00"/>
    <n v="1804"/>
    <n v="19851"/>
    <s v="60752214"/>
    <s v="60752214"/>
    <m/>
    <m/>
    <n v="22743746"/>
    <m/>
    <m/>
    <m/>
    <s v="SOLFIN"/>
    <s v="SOLFIN"/>
    <s v="CCMS"/>
    <n v="21327977"/>
    <n v="5283.83"/>
    <m/>
    <s v="N"/>
    <n v="11"/>
    <d v="2023-07-04T19:01:00"/>
    <s v="Y"/>
    <s v="Solicitors Fixed Fee"/>
    <s v="Public Law Children"/>
    <s v="Profit Cost"/>
    <s v="LM"/>
    <s v="Y"/>
    <n v="1911"/>
    <n v="382.2"/>
    <x v="1"/>
    <s v="VALIDATED"/>
    <n v="1"/>
    <s v="01.11.80.308.6100.0000"/>
    <n v="1911"/>
    <s v="11"/>
    <s v="6100"/>
    <n v="4423.61"/>
    <n v="1911"/>
    <s v="CREDITOR"/>
    <n v="0"/>
    <n v="0"/>
    <n v="0"/>
    <n v="0"/>
    <n v="1911"/>
  </r>
  <r>
    <n v="60752214"/>
    <s v="N"/>
    <n v="21327977"/>
    <s v="3000014993200005"/>
    <s v="CIVIL"/>
    <d v="2023-06-22T00:00:00"/>
    <d v="2023-07-04T19:00:44"/>
    <m/>
    <d v="2023-07-04T00:00:00"/>
    <n v="1804"/>
    <n v="19851"/>
    <s v="60752214"/>
    <s v="60752214"/>
    <m/>
    <m/>
    <n v="22743746"/>
    <m/>
    <m/>
    <m/>
    <s v="SOLFIN"/>
    <s v="SOLFIN"/>
    <s v="CCMS"/>
    <n v="21327977"/>
    <n v="5283.83"/>
    <m/>
    <s v="N"/>
    <n v="2"/>
    <d v="2023-07-04T19:01:00"/>
    <s v="Y"/>
    <s v="Interim Hearing Court Bundle/Advoca"/>
    <s v="Public Law Children"/>
    <s v="Advocacy"/>
    <s v="NN"/>
    <s v="Y"/>
    <n v="59.4"/>
    <n v="11.88"/>
    <x v="1"/>
    <s v="VALIDATED"/>
    <n v="1"/>
    <s v="01.11.80.308.6100.0000"/>
    <n v="59.4"/>
    <s v="11"/>
    <s v="6100"/>
    <n v="4423.61"/>
    <n v="59.4"/>
    <s v="CREDITOR"/>
    <n v="0"/>
    <n v="0"/>
    <n v="0"/>
    <n v="0"/>
    <n v="59.4"/>
  </r>
  <r>
    <n v="60752214"/>
    <s v="N"/>
    <n v="21327977"/>
    <s v="3000014993200005"/>
    <s v="CIVIL"/>
    <d v="2023-06-22T00:00:00"/>
    <d v="2023-07-04T19:00:44"/>
    <m/>
    <d v="2023-07-04T00:00:00"/>
    <n v="1804"/>
    <n v="19851"/>
    <s v="60752214"/>
    <s v="60752214"/>
    <m/>
    <m/>
    <n v="22743746"/>
    <m/>
    <m/>
    <m/>
    <s v="SOLFIN"/>
    <s v="SOLFIN"/>
    <s v="CCMS"/>
    <n v="21327977"/>
    <n v="5283.83"/>
    <m/>
    <s v="N"/>
    <n v="7"/>
    <d v="2023-07-04T19:01:00"/>
    <s v="Y"/>
    <s v="Hearing Unit 2.31 - 5.00 Hours"/>
    <s v="Public Law Children"/>
    <s v="Advocacy"/>
    <s v="NN"/>
    <s v="Y"/>
    <n v="476.92"/>
    <n v="95.38"/>
    <x v="1"/>
    <s v="VALIDATED"/>
    <n v="1"/>
    <s v="01.11.80.308.6100.0000"/>
    <n v="476.92"/>
    <s v="11"/>
    <s v="6100"/>
    <n v="4423.61"/>
    <n v="476.92"/>
    <s v="CREDITOR"/>
    <n v="0"/>
    <n v="0"/>
    <n v="0"/>
    <n v="0"/>
    <n v="476.92"/>
  </r>
  <r>
    <n v="62018370"/>
    <s v="N"/>
    <n v="21319595"/>
    <s v="3000016058520003"/>
    <s v="CIVIL"/>
    <d v="2023-06-26T00:00:00"/>
    <d v="2023-07-03T19:04:24"/>
    <m/>
    <d v="2023-07-03T00:00:00"/>
    <n v="1804"/>
    <n v="19851"/>
    <s v="62018370"/>
    <s v="62018370"/>
    <m/>
    <m/>
    <n v="22764100"/>
    <m/>
    <m/>
    <m/>
    <s v="SOLPOA"/>
    <s v="SOLPOA"/>
    <s v="CCMS"/>
    <n v="21319595"/>
    <n v="84"/>
    <m/>
    <s v="N"/>
    <n v="1"/>
    <d v="2023-07-03T19:04:26"/>
    <s v="N"/>
    <s v="Expert Cost"/>
    <s v="Expert Cost"/>
    <s v="Expert Disbursement"/>
    <s v="DNA Legal"/>
    <s v="N"/>
    <n v="70"/>
    <n v="14"/>
    <x v="3"/>
    <s v="VALIDATED"/>
    <n v="1"/>
    <s v="01.11.80.308.2012.0000"/>
    <n v="70"/>
    <s v="11"/>
    <s v="2012"/>
    <n v="4423.61"/>
    <n v="70"/>
    <s v="CREDITOR"/>
    <n v="70"/>
    <n v="0"/>
    <n v="0"/>
    <n v="0"/>
    <n v="0"/>
  </r>
  <r>
    <n v="60993905"/>
    <s v="N"/>
    <n v="21322001"/>
    <s v="3000015201460017"/>
    <s v="CIVIL"/>
    <d v="2023-06-29T00:00:00"/>
    <d v="2023-07-03T19:05:17"/>
    <m/>
    <d v="2023-07-03T00:00:00"/>
    <n v="1804"/>
    <n v="19851"/>
    <s v="60993905"/>
    <s v="60993905"/>
    <m/>
    <m/>
    <n v="22788446"/>
    <m/>
    <m/>
    <m/>
    <s v="SOLPOA"/>
    <s v="SOLPOA"/>
    <s v="CCMS"/>
    <n v="21322001"/>
    <n v="31.68"/>
    <m/>
    <s v="N"/>
    <n v="1"/>
    <d v="2023-07-03T19:05:22"/>
    <s v="N"/>
    <s v="Expert Cost"/>
    <s v="Expert Cost"/>
    <s v="Expert Disbursement"/>
    <s v="Advanced Childcare Assessments Ltd"/>
    <s v="N"/>
    <n v="26.4"/>
    <n v="5.28"/>
    <x v="3"/>
    <s v="VALIDATED"/>
    <n v="1"/>
    <s v="01.11.80.308.2012.0000"/>
    <n v="26.4"/>
    <s v="11"/>
    <s v="2012"/>
    <n v="4423.61"/>
    <n v="26.4"/>
    <s v="CREDITOR"/>
    <n v="26.4"/>
    <n v="0"/>
    <n v="0"/>
    <n v="0"/>
    <n v="0"/>
  </r>
  <r>
    <n v="62253485"/>
    <s v="N"/>
    <n v="21322066"/>
    <s v="3000016252830003"/>
    <s v="CIVIL"/>
    <d v="2023-06-29T00:00:00"/>
    <d v="2023-07-03T19:05:17"/>
    <m/>
    <d v="2023-07-03T00:00:00"/>
    <n v="1804"/>
    <n v="19851"/>
    <s v="62253485"/>
    <s v="62253485"/>
    <m/>
    <m/>
    <n v="22788012"/>
    <m/>
    <m/>
    <m/>
    <s v="SOLPOA"/>
    <s v="SOLPOA"/>
    <s v="CCMS"/>
    <n v="21322066"/>
    <n v="322.78"/>
    <m/>
    <s v="N"/>
    <n v="1"/>
    <d v="2023-07-03T19:05:22"/>
    <s v="N"/>
    <s v="Expert Cost"/>
    <s v="Expert Cost"/>
    <s v="Expert Disbursement"/>
    <s v="Lextox"/>
    <s v="N"/>
    <n v="268.98"/>
    <n v="53.8"/>
    <x v="3"/>
    <s v="VALIDATED"/>
    <n v="1"/>
    <s v="01.11.80.308.2012.0000"/>
    <n v="268.98"/>
    <s v="11"/>
    <s v="2012"/>
    <n v="4423.61"/>
    <n v="268.98"/>
    <s v="CREDITOR"/>
    <n v="268.98"/>
    <n v="0"/>
    <n v="0"/>
    <n v="0"/>
    <n v="0"/>
  </r>
  <r>
    <n v="62106735"/>
    <s v="N"/>
    <n v="21318596"/>
    <s v="3000016133040006"/>
    <s v="CIVIL"/>
    <d v="2023-06-26T00:00:00"/>
    <d v="2023-07-03T19:01:49"/>
    <m/>
    <d v="2023-07-03T00:00:00"/>
    <n v="1804"/>
    <n v="19851"/>
    <s v="62106735"/>
    <s v="62106735"/>
    <m/>
    <m/>
    <n v="22761448"/>
    <m/>
    <m/>
    <m/>
    <s v="SOLPOA"/>
    <s v="SOLPOA"/>
    <s v="CCMS"/>
    <n v="21318596"/>
    <n v="63.34"/>
    <m/>
    <s v="N"/>
    <n v="1"/>
    <d v="2023-07-03T19:02:00"/>
    <s v="N"/>
    <s v="Expert Cost"/>
    <s v="Expert Cost"/>
    <s v="Expert Disbursement"/>
    <s v="DA Languages"/>
    <s v="N"/>
    <n v="52.78"/>
    <n v="10.56"/>
    <x v="3"/>
    <s v="VALIDATED"/>
    <n v="1"/>
    <s v="01.11.80.308.2012.0000"/>
    <n v="52.78"/>
    <s v="11"/>
    <s v="2012"/>
    <n v="4423.61"/>
    <n v="52.78"/>
    <s v="CREDITOR"/>
    <n v="52.78"/>
    <n v="0"/>
    <n v="0"/>
    <n v="0"/>
    <n v="0"/>
  </r>
  <r>
    <n v="60752214"/>
    <s v="N"/>
    <n v="21327977"/>
    <s v="3000014993200005"/>
    <s v="CIVIL"/>
    <d v="2023-06-22T00:00:00"/>
    <d v="2023-07-04T19:00:44"/>
    <m/>
    <d v="2023-07-04T00:00:00"/>
    <n v="1804"/>
    <n v="19851"/>
    <s v="60752214"/>
    <s v="60752214"/>
    <m/>
    <m/>
    <n v="22743746"/>
    <m/>
    <m/>
    <m/>
    <s v="SOLFIN"/>
    <s v="SOLFIN"/>
    <s v="CCMS"/>
    <n v="21327977"/>
    <n v="5283.83"/>
    <m/>
    <s v="N"/>
    <n v="8"/>
    <d v="2023-07-04T19:01:00"/>
    <s v="Y"/>
    <s v="Hearing Unit 2.31 - 5.00 Hours"/>
    <s v="Public Law Children"/>
    <s v="Advocacy"/>
    <s v="NN"/>
    <s v="Y"/>
    <n v="476.92"/>
    <n v="95.38"/>
    <x v="1"/>
    <s v="VALIDATED"/>
    <n v="1"/>
    <s v="01.11.80.308.6100.0000"/>
    <n v="476.92"/>
    <s v="11"/>
    <s v="6100"/>
    <n v="4423.61"/>
    <n v="476.92"/>
    <s v="CREDITOR"/>
    <n v="0"/>
    <n v="0"/>
    <n v="0"/>
    <n v="0"/>
    <n v="476.92"/>
  </r>
  <r>
    <n v="61648415"/>
    <s v="N"/>
    <n v="21321907"/>
    <s v="3000015749860007"/>
    <s v="CIVIL"/>
    <d v="2023-06-29T00:00:00"/>
    <d v="2023-07-03T19:05:17"/>
    <m/>
    <d v="2023-07-03T00:00:00"/>
    <n v="1804"/>
    <n v="19851"/>
    <s v="61648415"/>
    <s v="61648415"/>
    <m/>
    <m/>
    <n v="22788158"/>
    <m/>
    <m/>
    <m/>
    <s v="SOLPOA"/>
    <s v="SOLPOA"/>
    <s v="CCMS"/>
    <n v="21321907"/>
    <n v="358.13"/>
    <m/>
    <s v="N"/>
    <n v="1"/>
    <d v="2023-07-03T19:05:21"/>
    <s v="N"/>
    <s v="Expert Cost"/>
    <s v="Expert Cost"/>
    <s v="Expert Disbursement"/>
    <s v="Cansford Laboratories"/>
    <s v="N"/>
    <n v="298.44"/>
    <n v="59.69"/>
    <x v="3"/>
    <s v="VALIDATED"/>
    <n v="1"/>
    <s v="01.11.80.308.2012.0000"/>
    <n v="298.44"/>
    <s v="11"/>
    <s v="2012"/>
    <n v="4423.61"/>
    <n v="298.44"/>
    <s v="CREDITOR"/>
    <n v="298.44"/>
    <n v="0"/>
    <n v="0"/>
    <n v="0"/>
    <n v="0"/>
  </r>
  <r>
    <n v="61984676"/>
    <s v="N"/>
    <n v="21321447"/>
    <s v="3000016029320004"/>
    <s v="CIVIL"/>
    <d v="2023-06-29T00:00:00"/>
    <d v="2023-07-03T19:05:17"/>
    <m/>
    <d v="2023-07-03T00:00:00"/>
    <n v="1804"/>
    <n v="19851"/>
    <s v="61984676"/>
    <s v="61984676"/>
    <m/>
    <m/>
    <n v="22788622"/>
    <m/>
    <m/>
    <m/>
    <s v="SOLPOA"/>
    <s v="SOLPOA"/>
    <s v="CCMS"/>
    <n v="21321447"/>
    <n v="285.97"/>
    <m/>
    <s v="N"/>
    <n v="1"/>
    <d v="2023-07-03T19:05:18"/>
    <s v="N"/>
    <s v="Expert Cost"/>
    <s v="Expert Cost"/>
    <s v="Expert Disbursement"/>
    <s v="Gladstone Psychological Services"/>
    <s v="N"/>
    <n v="285.97"/>
    <n v="0"/>
    <x v="3"/>
    <s v="VALIDATED"/>
    <n v="1"/>
    <s v="01.11.80.308.2012.0000"/>
    <n v="285.97"/>
    <s v="11"/>
    <s v="2012"/>
    <n v="4423.61"/>
    <n v="285.97"/>
    <s v="CREDITOR"/>
    <n v="285.97"/>
    <n v="0"/>
    <n v="0"/>
    <n v="0"/>
    <n v="0"/>
  </r>
  <r>
    <n v="60752214"/>
    <s v="N"/>
    <n v="21327977"/>
    <s v="3000014993200005"/>
    <s v="CIVIL"/>
    <d v="2023-06-22T00:00:00"/>
    <d v="2023-07-04T19:00:44"/>
    <m/>
    <d v="2023-07-04T00:00:00"/>
    <n v="1804"/>
    <n v="19851"/>
    <s v="60752214"/>
    <s v="60752214"/>
    <m/>
    <m/>
    <n v="22743746"/>
    <m/>
    <m/>
    <m/>
    <s v="SOLFIN"/>
    <s v="SOLFIN"/>
    <s v="CCMS"/>
    <n v="21327977"/>
    <n v="5283.83"/>
    <m/>
    <s v="N"/>
    <n v="3"/>
    <d v="2023-07-04T19:01:00"/>
    <s v="Y"/>
    <s v="Court Fee"/>
    <s v="Public Law Children"/>
    <s v="Non Expert Disbursement"/>
    <s v="HMCTS"/>
    <s v="Y"/>
    <n v="167"/>
    <n v="0"/>
    <x v="1"/>
    <s v="VALIDATED"/>
    <n v="1"/>
    <s v="01.11.80.308.6300.0000"/>
    <n v="167"/>
    <s v="11"/>
    <s v="6300"/>
    <n v="4423.61"/>
    <n v="167"/>
    <s v="CREDITOR"/>
    <n v="0"/>
    <n v="0"/>
    <n v="0"/>
    <n v="0"/>
    <n v="167"/>
  </r>
  <r>
    <n v="61648415"/>
    <s v="N"/>
    <n v="21321918"/>
    <s v="3000015749860008"/>
    <s v="CIVIL"/>
    <d v="2023-06-29T00:00:00"/>
    <d v="2023-07-03T19:05:17"/>
    <m/>
    <d v="2023-07-03T00:00:00"/>
    <n v="1804"/>
    <n v="19851"/>
    <s v="61648415"/>
    <s v="61648415"/>
    <m/>
    <m/>
    <n v="22788190"/>
    <m/>
    <m/>
    <m/>
    <s v="SOLPOA"/>
    <s v="SOLPOA"/>
    <s v="CCMS"/>
    <n v="21321918"/>
    <n v="612.29"/>
    <m/>
    <s v="N"/>
    <n v="1"/>
    <d v="2023-07-03T19:05:21"/>
    <s v="N"/>
    <s v="Expert Cost"/>
    <s v="Expert Cost"/>
    <s v="Expert Disbursement"/>
    <s v="Cansford Laboratories"/>
    <s v="N"/>
    <n v="510.24"/>
    <n v="102.05"/>
    <x v="3"/>
    <s v="VALIDATED"/>
    <n v="1"/>
    <s v="01.11.80.308.2012.0000"/>
    <n v="510.24"/>
    <s v="11"/>
    <s v="2012"/>
    <n v="4423.61"/>
    <n v="510.24"/>
    <s v="CREDITOR"/>
    <n v="510.24"/>
    <n v="0"/>
    <n v="0"/>
    <n v="0"/>
    <n v="0"/>
  </r>
  <r>
    <n v="60752214"/>
    <s v="N"/>
    <n v="21327977"/>
    <s v="3000014993200005"/>
    <s v="CIVIL"/>
    <d v="2023-06-22T00:00:00"/>
    <d v="2023-07-04T19:00:44"/>
    <m/>
    <d v="2023-07-04T00:00:00"/>
    <n v="1804"/>
    <n v="19851"/>
    <s v="60752214"/>
    <s v="60752214"/>
    <m/>
    <m/>
    <n v="22743746"/>
    <m/>
    <m/>
    <m/>
    <s v="SOLFIN"/>
    <s v="SOLFIN"/>
    <s v="CCMS"/>
    <n v="21327977"/>
    <n v="5283.83"/>
    <m/>
    <s v="N"/>
    <n v="5"/>
    <d v="2023-07-04T19:01:00"/>
    <s v="Y"/>
    <s v="Toxicologist"/>
    <s v="Public Law Children"/>
    <s v="Expert Disbursement"/>
    <s v="Cansford"/>
    <s v="Y"/>
    <n v="213.25"/>
    <n v="42.65"/>
    <x v="1"/>
    <s v="VALIDATED"/>
    <n v="1"/>
    <s v="01.11.80.308.6300.0000"/>
    <n v="213.25"/>
    <s v="11"/>
    <s v="6300"/>
    <n v="4423.61"/>
    <n v="213.25"/>
    <s v="CREDITOR"/>
    <n v="0"/>
    <n v="0"/>
    <n v="0"/>
    <n v="0"/>
    <n v="213.25"/>
  </r>
  <r>
    <n v="60752214"/>
    <s v="N"/>
    <n v="21327977"/>
    <s v="3000014993200005"/>
    <s v="CIVIL"/>
    <d v="2023-06-22T00:00:00"/>
    <d v="2023-07-04T19:00:44"/>
    <m/>
    <d v="2023-07-04T00:00:00"/>
    <n v="1804"/>
    <n v="19851"/>
    <s v="60752214"/>
    <s v="60752214"/>
    <m/>
    <m/>
    <n v="22743746"/>
    <m/>
    <m/>
    <m/>
    <s v="SOLFIN"/>
    <s v="SOLFIN"/>
    <s v="CCMS"/>
    <n v="21327977"/>
    <n v="5283.83"/>
    <m/>
    <s v="N"/>
    <n v="9"/>
    <d v="2023-07-04T19:01:00"/>
    <s v="Y"/>
    <s v="Hearing Unit 2.31 - 5.00 Hours"/>
    <s v="Public Law Children"/>
    <s v="Advocacy"/>
    <s v="NN"/>
    <s v="Y"/>
    <n v="476.92"/>
    <n v="95.38"/>
    <x v="1"/>
    <s v="VALIDATED"/>
    <n v="1"/>
    <s v="01.11.80.308.6100.0000"/>
    <n v="476.92"/>
    <s v="11"/>
    <s v="6100"/>
    <n v="4423.61"/>
    <n v="476.92"/>
    <s v="CREDITOR"/>
    <n v="0"/>
    <n v="0"/>
    <n v="0"/>
    <n v="0"/>
    <n v="476.92"/>
  </r>
  <r>
    <n v="62106735"/>
    <s v="N"/>
    <n v="21318504"/>
    <s v="3000016133040005"/>
    <s v="CIVIL"/>
    <d v="2023-06-26T00:00:00"/>
    <d v="2023-07-03T19:01:49"/>
    <m/>
    <d v="2023-07-03T00:00:00"/>
    <n v="1804"/>
    <n v="19851"/>
    <s v="62106735"/>
    <s v="62106735"/>
    <m/>
    <m/>
    <n v="22761402"/>
    <m/>
    <m/>
    <m/>
    <s v="SOLPOA"/>
    <s v="SOLPOA"/>
    <s v="CCMS"/>
    <n v="21318504"/>
    <n v="27.3"/>
    <m/>
    <s v="N"/>
    <n v="1"/>
    <d v="2023-07-03T19:01:57"/>
    <s v="N"/>
    <s v="Expert Cost"/>
    <s v="Expert Cost"/>
    <s v="Expert Disbursement"/>
    <s v="DA Languages"/>
    <s v="N"/>
    <n v="22.75"/>
    <n v="4.55"/>
    <x v="3"/>
    <s v="VALIDATED"/>
    <n v="1"/>
    <s v="01.11.80.308.2012.0000"/>
    <n v="22.75"/>
    <s v="11"/>
    <s v="2012"/>
    <n v="4423.61"/>
    <n v="22.75"/>
    <s v="CREDITOR"/>
    <n v="22.75"/>
    <n v="0"/>
    <n v="0"/>
    <n v="0"/>
    <n v="0"/>
  </r>
  <r>
    <n v="60752214"/>
    <s v="N"/>
    <n v="21327977"/>
    <s v="3000014993200005"/>
    <s v="CIVIL"/>
    <d v="2023-06-22T00:00:00"/>
    <d v="2023-07-04T19:00:44"/>
    <m/>
    <d v="2023-07-04T00:00:00"/>
    <n v="1804"/>
    <n v="19851"/>
    <s v="60752214"/>
    <s v="60752214"/>
    <m/>
    <m/>
    <n v="22743746"/>
    <m/>
    <m/>
    <m/>
    <s v="SOLFIN"/>
    <s v="SOLFIN"/>
    <s v="CCMS"/>
    <n v="21327977"/>
    <n v="5283.83"/>
    <m/>
    <s v="N"/>
    <n v="6"/>
    <d v="2023-07-04T19:01:00"/>
    <s v="Y"/>
    <s v="Toxicologist"/>
    <s v="Public Law Children"/>
    <s v="Expert Disbursement"/>
    <s v="Alpha Biolabs"/>
    <s v="Y"/>
    <n v="280.37"/>
    <n v="56.07"/>
    <x v="1"/>
    <s v="VALIDATED"/>
    <n v="1"/>
    <s v="01.11.80.308.6300.0000"/>
    <n v="280.37"/>
    <s v="11"/>
    <s v="6300"/>
    <n v="4423.61"/>
    <n v="280.37"/>
    <s v="CREDITOR"/>
    <n v="0"/>
    <n v="0"/>
    <n v="0"/>
    <n v="0"/>
    <n v="280.37"/>
  </r>
  <r>
    <n v="60752214"/>
    <s v="N"/>
    <n v="21327977"/>
    <s v="3000014993200005"/>
    <s v="CIVIL"/>
    <d v="2023-06-22T00:00:00"/>
    <d v="2023-07-04T19:00:44"/>
    <m/>
    <d v="2023-07-04T00:00:00"/>
    <n v="1804"/>
    <n v="19851"/>
    <s v="60752214"/>
    <s v="60752214"/>
    <m/>
    <m/>
    <n v="22743746"/>
    <m/>
    <m/>
    <m/>
    <s v="SOLFIN"/>
    <s v="SOLFIN"/>
    <s v="CCMS"/>
    <n v="21327977"/>
    <n v="5283.83"/>
    <m/>
    <s v="N"/>
    <n v="4"/>
    <d v="2023-07-04T19:01:00"/>
    <s v="Y"/>
    <s v="Court Fee"/>
    <s v="Public Law Children"/>
    <s v="Non Expert Disbursement"/>
    <s v="HMCTS"/>
    <s v="Y"/>
    <n v="167"/>
    <n v="0"/>
    <x v="1"/>
    <s v="VALIDATED"/>
    <n v="1"/>
    <s v="01.11.80.308.6300.0000"/>
    <n v="167"/>
    <s v="11"/>
    <s v="6300"/>
    <n v="4423.61"/>
    <n v="167"/>
    <s v="CREDITOR"/>
    <n v="0"/>
    <n v="0"/>
    <n v="0"/>
    <n v="0"/>
    <n v="167"/>
  </r>
  <r>
    <n v="62253485"/>
    <s v="N"/>
    <n v="21321782"/>
    <s v="3000016252830001"/>
    <s v="CIVIL"/>
    <d v="2023-06-29T00:00:00"/>
    <d v="2023-07-03T19:05:17"/>
    <m/>
    <d v="2023-07-03T00:00:00"/>
    <n v="1804"/>
    <n v="19851"/>
    <s v="62253485"/>
    <s v="62253485"/>
    <m/>
    <m/>
    <n v="22787970"/>
    <m/>
    <m/>
    <m/>
    <s v="SOLPOA"/>
    <s v="SOLPOA"/>
    <s v="CCMS"/>
    <n v="21321782"/>
    <n v="360.97"/>
    <m/>
    <s v="N"/>
    <n v="1"/>
    <d v="2023-07-03T19:05:20"/>
    <s v="N"/>
    <s v="Expert Cost"/>
    <s v="Expert Cost"/>
    <s v="Expert Disbursement"/>
    <s v="Cansford Laboratories"/>
    <s v="N"/>
    <n v="300.81"/>
    <n v="60.16"/>
    <x v="3"/>
    <s v="VALIDATED"/>
    <n v="1"/>
    <s v="01.11.80.308.2012.0000"/>
    <n v="300.81"/>
    <s v="11"/>
    <s v="2012"/>
    <n v="4423.61"/>
    <n v="300.81"/>
    <s v="CREDITOR"/>
    <n v="300.81"/>
    <n v="0"/>
    <n v="0"/>
    <n v="0"/>
    <n v="0"/>
  </r>
  <r>
    <n v="60752214"/>
    <s v="N"/>
    <n v="21327977"/>
    <s v="3000014993200005"/>
    <s v="CIVIL"/>
    <d v="2023-06-22T00:00:00"/>
    <d v="2023-07-04T19:00:44"/>
    <m/>
    <d v="2023-07-04T00:00:00"/>
    <n v="1804"/>
    <n v="19851"/>
    <s v="60752214"/>
    <s v="60752214"/>
    <m/>
    <m/>
    <n v="22743746"/>
    <m/>
    <m/>
    <m/>
    <s v="SOLFIN"/>
    <s v="SOLFIN"/>
    <s v="CCMS"/>
    <n v="21327977"/>
    <n v="5283.83"/>
    <m/>
    <s v="N"/>
    <n v="1"/>
    <d v="2023-07-04T19:01:00"/>
    <s v="Y"/>
    <s v="Interim Hearing Court Bundle/Advoca"/>
    <s v="Public Law Children"/>
    <s v="Advocacy"/>
    <s v="NN"/>
    <s v="Y"/>
    <n v="89.09999999999999"/>
    <n v="17.82"/>
    <x v="1"/>
    <s v="VALIDATED"/>
    <n v="1"/>
    <s v="01.11.80.308.6100.0000"/>
    <n v="89.09999999999999"/>
    <s v="11"/>
    <s v="6100"/>
    <n v="4423.61"/>
    <n v="89.09999999999999"/>
    <s v="CREDITOR"/>
    <n v="0"/>
    <n v="0"/>
    <n v="0"/>
    <n v="0"/>
    <n v="89.09999999999999"/>
  </r>
  <r>
    <n v="62253485"/>
    <s v="N"/>
    <n v="21321977"/>
    <s v="3000016252830002"/>
    <s v="CIVIL"/>
    <d v="2023-06-29T00:00:00"/>
    <d v="2023-07-03T19:05:17"/>
    <m/>
    <d v="2023-07-03T00:00:00"/>
    <n v="1804"/>
    <n v="19851"/>
    <s v="62253485"/>
    <s v="62253485"/>
    <m/>
    <m/>
    <n v="22788044"/>
    <m/>
    <m/>
    <m/>
    <s v="SOLPOA"/>
    <s v="SOLPOA"/>
    <s v="CCMS"/>
    <n v="21321977"/>
    <n v="245.2"/>
    <m/>
    <s v="N"/>
    <n v="1"/>
    <d v="2023-07-03T19:05:21"/>
    <s v="N"/>
    <s v="Expert Cost"/>
    <s v="Expert Cost"/>
    <s v="Expert Disbursement"/>
    <s v="DNA Legal"/>
    <s v="N"/>
    <n v="204.33"/>
    <n v="40.87"/>
    <x v="3"/>
    <s v="VALIDATED"/>
    <n v="1"/>
    <s v="01.11.80.308.2012.0000"/>
    <n v="204.33"/>
    <s v="11"/>
    <s v="2012"/>
    <n v="4423.61"/>
    <n v="204.33"/>
    <s v="CREDITOR"/>
    <n v="204.33"/>
    <n v="0"/>
    <n v="0"/>
    <n v="0"/>
    <n v="0"/>
  </r>
  <r>
    <n v="60752214"/>
    <s v="N"/>
    <n v="21327977"/>
    <s v="3000014993200005"/>
    <s v="CIVIL"/>
    <d v="2023-06-22T00:00:00"/>
    <d v="2023-07-04T19:00:44"/>
    <m/>
    <d v="2023-07-04T00:00:00"/>
    <n v="1804"/>
    <n v="19851"/>
    <s v="60752214"/>
    <s v="60752214"/>
    <m/>
    <m/>
    <n v="22743746"/>
    <m/>
    <m/>
    <m/>
    <s v="SOLFIN"/>
    <s v="SOLFIN"/>
    <s v="CCMS"/>
    <n v="21327977"/>
    <n v="5283.83"/>
    <m/>
    <s v="N"/>
    <n v="10"/>
    <d v="2023-07-04T19:01:00"/>
    <s v="Y"/>
    <s v="Advocates Meeting"/>
    <s v="Public Law Children"/>
    <s v="Advocacy"/>
    <s v="NN"/>
    <s v="Y"/>
    <n v="140.99"/>
    <n v="28.2"/>
    <x v="1"/>
    <s v="VALIDATED"/>
    <n v="1"/>
    <s v="01.11.80.308.6100.0000"/>
    <n v="140.99"/>
    <s v="11"/>
    <s v="6100"/>
    <n v="4423.61"/>
    <n v="140.99"/>
    <s v="CREDITOR"/>
    <n v="0"/>
    <n v="0"/>
    <n v="0"/>
    <n v="0"/>
    <n v="140.99"/>
  </r>
  <r>
    <n v="60752214"/>
    <s v="N"/>
    <n v="21329586"/>
    <s v="3000014993200002RC"/>
    <s v="CIVIL"/>
    <d v="2023-06-22T00:00:00"/>
    <d v="2023-07-04T19:38:37"/>
    <m/>
    <d v="2023-07-04T00:00:00"/>
    <n v="1804"/>
    <n v="19851"/>
    <s v="60752214"/>
    <s v="60752214"/>
    <m/>
    <m/>
    <m/>
    <m/>
    <m/>
    <m/>
    <s v="SOLRECOUP"/>
    <s v="SOLRECOUP"/>
    <s v="POARECOUP"/>
    <n v="21329586"/>
    <n v="-1483.62"/>
    <m/>
    <s v="Y"/>
    <n v="2"/>
    <d v="2023-07-04T19:38:38"/>
    <s v="N"/>
    <m/>
    <m/>
    <s v="Profit Cost"/>
    <m/>
    <s v="N"/>
    <n v="0"/>
    <n v="-247.27"/>
    <x v="1"/>
    <s v="VALIDATED"/>
    <n v="1"/>
    <s v="01.11.80.308.2013.0000"/>
    <n v="-247.27"/>
    <s v="11"/>
    <s v="2013"/>
    <n v="4423.61"/>
    <n v="-247.27"/>
    <s v="CREDITOR"/>
    <n v="0"/>
    <n v="0"/>
    <n v="-247.27"/>
    <n v="-61.8175"/>
    <n v="0"/>
  </r>
  <r>
    <n v="60752214"/>
    <s v="N"/>
    <n v="21329586"/>
    <s v="3000014993200002RC"/>
    <s v="CIVIL"/>
    <d v="2023-06-22T00:00:00"/>
    <d v="2023-07-04T19:38:37"/>
    <m/>
    <d v="2023-07-04T00:00:00"/>
    <n v="1804"/>
    <n v="19851"/>
    <s v="60752214"/>
    <s v="60752214"/>
    <m/>
    <m/>
    <m/>
    <m/>
    <m/>
    <m/>
    <s v="SOLRECOUP"/>
    <s v="SOLRECOUP"/>
    <s v="POARECOUP"/>
    <n v="21329586"/>
    <n v="-1483.62"/>
    <m/>
    <s v="Y"/>
    <n v="1"/>
    <d v="2023-07-04T19:38:38"/>
    <s v="N"/>
    <m/>
    <m/>
    <s v="Profit Cost"/>
    <m/>
    <s v="N"/>
    <n v="-1236.35"/>
    <n v="0"/>
    <x v="1"/>
    <s v="VALIDATED"/>
    <n v="1"/>
    <s v="01.11.80.308.2013.0000"/>
    <n v="-1236.35"/>
    <s v="11"/>
    <s v="2013"/>
    <n v="4423.61"/>
    <n v="-1236.35"/>
    <s v="CREDITOR"/>
    <n v="0"/>
    <n v="0"/>
    <n v="-1236.35"/>
    <n v="-309.0875"/>
    <n v="0"/>
  </r>
  <r>
    <n v="60752214"/>
    <s v="N"/>
    <n v="21329587"/>
    <s v="3000014993200001RC"/>
    <s v="CIVIL"/>
    <d v="2023-06-22T00:00:00"/>
    <d v="2023-07-04T19:38:37"/>
    <m/>
    <d v="2023-07-04T00:00:00"/>
    <n v="1804"/>
    <n v="19851"/>
    <s v="60752214"/>
    <s v="60752214"/>
    <m/>
    <m/>
    <m/>
    <m/>
    <m/>
    <m/>
    <s v="SOLRECOUP"/>
    <s v="SOLRECOUP"/>
    <s v="POARECOUP"/>
    <n v="21329587"/>
    <n v="-255.9"/>
    <m/>
    <s v="Y"/>
    <n v="2"/>
    <d v="2023-07-04T19:38:38"/>
    <s v="N"/>
    <m/>
    <m/>
    <s v="Expert Disbursement"/>
    <m/>
    <s v="N"/>
    <n v="0"/>
    <n v="-42.65"/>
    <x v="1"/>
    <s v="VALIDATED"/>
    <n v="1"/>
    <s v="01.11.80.308.2013.0000"/>
    <n v="-42.65"/>
    <s v="11"/>
    <s v="2013"/>
    <n v="4423.61"/>
    <n v="-42.65"/>
    <s v="CREDITOR"/>
    <n v="0"/>
    <n v="0"/>
    <n v="-42.65"/>
    <n v="0"/>
    <n v="0"/>
  </r>
  <r>
    <n v="60752214"/>
    <s v="N"/>
    <n v="21329587"/>
    <s v="3000014993200001RC"/>
    <s v="CIVIL"/>
    <d v="2023-06-22T00:00:00"/>
    <d v="2023-07-04T19:38:37"/>
    <m/>
    <d v="2023-07-04T00:00:00"/>
    <n v="1804"/>
    <n v="19851"/>
    <s v="60752214"/>
    <s v="60752214"/>
    <m/>
    <m/>
    <m/>
    <m/>
    <m/>
    <m/>
    <s v="SOLRECOUP"/>
    <s v="SOLRECOUP"/>
    <s v="POARECOUP"/>
    <n v="21329587"/>
    <n v="-255.9"/>
    <m/>
    <s v="Y"/>
    <n v="1"/>
    <d v="2023-07-04T19:38:38"/>
    <s v="N"/>
    <m/>
    <m/>
    <s v="Expert Disbursement"/>
    <m/>
    <s v="N"/>
    <n v="-213.25"/>
    <n v="0"/>
    <x v="1"/>
    <s v="VALIDATED"/>
    <n v="1"/>
    <s v="01.11.80.308.2013.0000"/>
    <n v="-213.25"/>
    <s v="11"/>
    <s v="2013"/>
    <n v="4423.61"/>
    <n v="-213.25"/>
    <s v="CREDITOR"/>
    <n v="0"/>
    <n v="0"/>
    <n v="-213.25"/>
    <n v="0"/>
    <n v="0"/>
  </r>
  <r>
    <n v="60752214"/>
    <s v="N"/>
    <n v="21329588"/>
    <s v="3000014993200003RC"/>
    <s v="CIVIL"/>
    <d v="2023-06-22T00:00:00"/>
    <d v="2023-07-04T19:38:37"/>
    <m/>
    <d v="2023-07-04T00:00:00"/>
    <n v="1804"/>
    <n v="19851"/>
    <s v="60752214"/>
    <s v="60752214"/>
    <m/>
    <m/>
    <m/>
    <m/>
    <m/>
    <m/>
    <s v="SOLRECOUP"/>
    <s v="SOLRECOUP"/>
    <s v="POARECOUP"/>
    <n v="21329588"/>
    <n v="-336.44"/>
    <m/>
    <s v="Y"/>
    <n v="1"/>
    <d v="2023-07-04T19:38:38"/>
    <s v="N"/>
    <m/>
    <m/>
    <s v="Expert Disbursement"/>
    <m/>
    <s v="N"/>
    <n v="-280.37"/>
    <n v="0"/>
    <x v="1"/>
    <s v="VALIDATED"/>
    <n v="1"/>
    <s v="01.11.80.308.2013.0000"/>
    <n v="-280.37"/>
    <s v="11"/>
    <s v="2013"/>
    <n v="4423.61"/>
    <n v="-280.37"/>
    <s v="CREDITOR"/>
    <n v="0"/>
    <n v="0"/>
    <n v="-280.37"/>
    <n v="0"/>
    <n v="0"/>
  </r>
  <r>
    <n v="60752214"/>
    <s v="N"/>
    <n v="21329588"/>
    <s v="3000014993200003RC"/>
    <s v="CIVIL"/>
    <d v="2023-06-22T00:00:00"/>
    <d v="2023-07-04T19:38:37"/>
    <m/>
    <d v="2023-07-04T00:00:00"/>
    <n v="1804"/>
    <n v="19851"/>
    <s v="60752214"/>
    <s v="60752214"/>
    <m/>
    <m/>
    <m/>
    <m/>
    <m/>
    <m/>
    <s v="SOLRECOUP"/>
    <s v="SOLRECOUP"/>
    <s v="POARECOUP"/>
    <n v="21329588"/>
    <n v="-336.44"/>
    <m/>
    <s v="Y"/>
    <n v="2"/>
    <d v="2023-07-04T19:38:38"/>
    <s v="N"/>
    <m/>
    <m/>
    <s v="Expert Disbursement"/>
    <m/>
    <s v="N"/>
    <n v="0"/>
    <n v="-56.07"/>
    <x v="1"/>
    <s v="VALIDATED"/>
    <n v="1"/>
    <s v="01.11.80.308.2013.0000"/>
    <n v="-56.07"/>
    <s v="11"/>
    <s v="2013"/>
    <n v="4423.61"/>
    <n v="-56.07"/>
    <s v="CREDITOR"/>
    <n v="0"/>
    <n v="0"/>
    <n v="-56.07"/>
    <n v="0"/>
    <n v="0"/>
  </r>
  <r>
    <n v="60253189"/>
    <s v="N"/>
    <n v="21337875"/>
    <s v="3000014561840018"/>
    <s v="CIVIL"/>
    <d v="2023-06-30T00:00:00"/>
    <d v="2023-07-06T19:21:01"/>
    <m/>
    <d v="2023-07-06T00:00:00"/>
    <n v="1806"/>
    <n v="19862"/>
    <s v="60253189"/>
    <s v="60253189"/>
    <m/>
    <m/>
    <n v="22795174"/>
    <m/>
    <m/>
    <m/>
    <s v="SOLPOA"/>
    <s v="SOLPOA"/>
    <s v="CCMS"/>
    <n v="21337875"/>
    <n v="232.15"/>
    <m/>
    <s v="N"/>
    <n v="1"/>
    <d v="2023-07-06T19:21:09"/>
    <s v="N"/>
    <s v="Non Expert Disbursement"/>
    <s v="Non Expert Disbursement"/>
    <s v="Non Expert Disbursement"/>
    <s v="Jonathan Pollard"/>
    <s v="N"/>
    <n v="193.46"/>
    <n v="38.69"/>
    <x v="4"/>
    <s v="VALIDATED"/>
    <n v="1"/>
    <s v="01.11.80.308.2012.0000"/>
    <n v="193.46"/>
    <s v="11"/>
    <s v="2012"/>
    <n v="1097.94"/>
    <n v="193.46"/>
    <s v="CREDITOR"/>
    <n v="193.46"/>
    <n v="0"/>
    <n v="0"/>
    <n v="0"/>
    <n v="0"/>
  </r>
  <r>
    <n v="60447225"/>
    <s v="N"/>
    <n v="21327802"/>
    <s v="3000014730350007"/>
    <s v="CIVIL"/>
    <d v="2023-06-27T00:00:00"/>
    <d v="2023-07-04T19:00:44"/>
    <m/>
    <d v="2023-07-04T00:00:00"/>
    <n v="1806"/>
    <n v="19862"/>
    <s v="60447225"/>
    <s v="60447225"/>
    <m/>
    <m/>
    <n v="22768284"/>
    <m/>
    <m/>
    <m/>
    <s v="SOLADJ"/>
    <s v="SOLADJ"/>
    <s v="CCMS"/>
    <n v="21327802"/>
    <n v="1085.38"/>
    <m/>
    <s v="N"/>
    <n v="1"/>
    <d v="2023-07-04T19:00:55"/>
    <s v="Y"/>
    <s v="Child psychologist"/>
    <s v="Public Law Children"/>
    <s v="Expert Disbursement"/>
    <s v="Jonathan Pollard"/>
    <s v="Y"/>
    <n v="904.48"/>
    <n v="180.9"/>
    <x v="1"/>
    <s v="VALIDATED"/>
    <n v="1"/>
    <s v="01.11.80.308.6300.0000"/>
    <n v="904.48"/>
    <s v="11"/>
    <s v="6300"/>
    <n v="1097.94"/>
    <n v="904.48"/>
    <s v="CREDITOR"/>
    <n v="0"/>
    <n v="0"/>
    <n v="0"/>
    <n v="0"/>
    <n v="904.48"/>
  </r>
  <r>
    <n v="60272383"/>
    <s v="N"/>
    <n v="21331327"/>
    <s v="3000014578960004"/>
    <s v="CIVIL"/>
    <d v="2023-06-26T00:00:00"/>
    <d v="2023-07-05T19:01:47"/>
    <m/>
    <d v="2023-07-05T00:00:00"/>
    <n v="1810"/>
    <n v="14693"/>
    <s v="60272383"/>
    <s v="60272383"/>
    <m/>
    <m/>
    <n v="22763108"/>
    <m/>
    <m/>
    <m/>
    <s v="SOLFIN"/>
    <s v="SOLFIN"/>
    <s v="CCMS"/>
    <n v="21331327"/>
    <n v="4469.87"/>
    <m/>
    <s v="N"/>
    <n v="4"/>
    <d v="2023-07-05T19:02:15"/>
    <s v="Y"/>
    <s v="Solicitor Travel Expenses"/>
    <s v="Public Law Children"/>
    <s v="Non Expert Disbursement"/>
    <s v="VA"/>
    <s v="Y"/>
    <n v="33.6"/>
    <n v="6.72"/>
    <x v="6"/>
    <s v="VALIDATED"/>
    <n v="1"/>
    <s v="01.11.80.308.6300.0000"/>
    <n v="33.6"/>
    <s v="11"/>
    <s v="6300"/>
    <n v="5691.95"/>
    <n v="33.6"/>
    <s v="CREDITOR"/>
    <n v="0"/>
    <n v="0"/>
    <n v="0"/>
    <n v="0"/>
    <n v="33.6"/>
  </r>
  <r>
    <n v="4327421"/>
    <s v="N"/>
    <n v="21338229"/>
    <s v="3000001365980003"/>
    <s v="CIVIL"/>
    <d v="2023-06-27T00:00:00"/>
    <d v="2023-07-06T19:21:01"/>
    <m/>
    <d v="2023-07-06T00:00:00"/>
    <n v="1810"/>
    <n v="14693"/>
    <s v="4327421"/>
    <s v="4327421"/>
    <m/>
    <m/>
    <n v="22770902"/>
    <m/>
    <m/>
    <m/>
    <s v="SOLFIN"/>
    <s v="SOLFIN"/>
    <s v="CCMS"/>
    <n v="21338229"/>
    <n v="3707.05"/>
    <m/>
    <s v="N"/>
    <n v="3"/>
    <d v="2023-07-06T19:21:12"/>
    <s v="N"/>
    <s v="Client Travel Expenses"/>
    <s v="Public Law Children"/>
    <s v="Non Expert Disbursement"/>
    <s v="SF"/>
    <s v="N"/>
    <n v="0"/>
    <n v="0"/>
    <x v="4"/>
    <s v="VALIDATED"/>
    <n v="1"/>
    <s v="01.11.80.308.6300.0000"/>
    <n v="0"/>
    <s v="11"/>
    <s v="6300"/>
    <n v="5691.95"/>
    <n v="0"/>
    <s v="CREDITOR"/>
    <n v="0"/>
    <n v="0"/>
    <n v="0"/>
    <n v="0"/>
    <n v="0"/>
  </r>
  <r>
    <n v="9711309"/>
    <s v="N"/>
    <n v="21327843"/>
    <s v="3000005637900001"/>
    <s v="CIVIL"/>
    <d v="2023-06-26T00:00:00"/>
    <d v="2023-07-04T19:00:44"/>
    <m/>
    <d v="2023-07-04T00:00:00"/>
    <n v="1810"/>
    <n v="14693"/>
    <s v="9711309"/>
    <s v="9711309"/>
    <m/>
    <m/>
    <n v="22760498"/>
    <m/>
    <m/>
    <m/>
    <s v="SOLFIN"/>
    <s v="SOLFIN"/>
    <s v="CCMS"/>
    <n v="21327843"/>
    <n v="852.91"/>
    <m/>
    <s v="N"/>
    <n v="2"/>
    <d v="2023-07-04T19:00:56"/>
    <s v="Y"/>
    <s v="Level 4 Fixed Fee"/>
    <s v="Domestic Abuse"/>
    <s v="Profit Cost"/>
    <s v="CF"/>
    <s v="Y"/>
    <n v="507"/>
    <n v="101.4"/>
    <x v="1"/>
    <s v="VALIDATED"/>
    <n v="1"/>
    <s v="01.11.80.302.6100.0000"/>
    <n v="507"/>
    <s v="11"/>
    <s v="6100"/>
    <n v="5691.95"/>
    <n v="507"/>
    <s v="CREDITOR"/>
    <n v="0"/>
    <n v="0"/>
    <n v="0"/>
    <n v="0"/>
    <n v="507"/>
  </r>
  <r>
    <n v="4327421"/>
    <s v="N"/>
    <n v="21338229"/>
    <s v="3000001365980003"/>
    <s v="CIVIL"/>
    <d v="2023-06-27T00:00:00"/>
    <d v="2023-07-06T19:21:01"/>
    <m/>
    <d v="2023-07-06T00:00:00"/>
    <n v="1810"/>
    <n v="14693"/>
    <s v="4327421"/>
    <s v="4327421"/>
    <m/>
    <m/>
    <n v="22770902"/>
    <m/>
    <m/>
    <m/>
    <s v="SOLFIN"/>
    <s v="SOLFIN"/>
    <s v="CCMS"/>
    <n v="21338229"/>
    <n v="3707.05"/>
    <m/>
    <s v="N"/>
    <n v="9"/>
    <d v="2023-07-06T19:21:12"/>
    <s v="N"/>
    <s v="Client Travel Expenses"/>
    <s v="Public Law Children"/>
    <s v="Non Expert Disbursement"/>
    <s v="VA"/>
    <s v="N"/>
    <n v="0"/>
    <n v="0"/>
    <x v="4"/>
    <s v="VALIDATED"/>
    <n v="1"/>
    <s v="01.11.80.308.6300.0000"/>
    <n v="0"/>
    <s v="11"/>
    <s v="6300"/>
    <n v="5691.95"/>
    <n v="0"/>
    <s v="CREDITOR"/>
    <n v="0"/>
    <n v="0"/>
    <n v="0"/>
    <n v="0"/>
    <n v="0"/>
  </r>
  <r>
    <n v="60272383"/>
    <s v="N"/>
    <n v="21331327"/>
    <s v="3000014578960004"/>
    <s v="CIVIL"/>
    <d v="2023-06-26T00:00:00"/>
    <d v="2023-07-05T19:01:47"/>
    <m/>
    <d v="2023-07-05T00:00:00"/>
    <n v="1810"/>
    <n v="14693"/>
    <s v="60272383"/>
    <s v="60272383"/>
    <m/>
    <m/>
    <n v="22763108"/>
    <m/>
    <m/>
    <m/>
    <s v="SOLFIN"/>
    <s v="SOLFIN"/>
    <s v="CCMS"/>
    <n v="21331327"/>
    <n v="4469.87"/>
    <m/>
    <s v="N"/>
    <n v="5"/>
    <d v="2023-07-05T19:02:15"/>
    <s v="Y"/>
    <s v="Hearing Unit 1.01 - 2.30 Hours"/>
    <s v="Public Law Children"/>
    <s v="Advocacy"/>
    <s v="VA"/>
    <s v="Y"/>
    <n v="238.46"/>
    <n v="47.69"/>
    <x v="6"/>
    <s v="VALIDATED"/>
    <n v="1"/>
    <s v="01.11.80.308.6100.0000"/>
    <n v="238.46"/>
    <s v="11"/>
    <s v="6100"/>
    <n v="5691.95"/>
    <n v="238.46"/>
    <s v="CREDITOR"/>
    <n v="0"/>
    <n v="0"/>
    <n v="0"/>
    <n v="0"/>
    <n v="238.46"/>
  </r>
  <r>
    <n v="4327421"/>
    <s v="N"/>
    <n v="21338229"/>
    <s v="3000001365980003"/>
    <s v="CIVIL"/>
    <d v="2023-06-27T00:00:00"/>
    <d v="2023-07-06T19:21:01"/>
    <m/>
    <d v="2023-07-06T00:00:00"/>
    <n v="1810"/>
    <n v="14693"/>
    <s v="4327421"/>
    <s v="4327421"/>
    <m/>
    <m/>
    <n v="22770902"/>
    <m/>
    <m/>
    <m/>
    <s v="SOLFIN"/>
    <s v="SOLFIN"/>
    <s v="CCMS"/>
    <n v="21338229"/>
    <n v="3707.05"/>
    <m/>
    <s v="N"/>
    <n v="1"/>
    <d v="2023-07-06T19:21:12"/>
    <s v="Y"/>
    <s v="Solicitors Fixed Fee"/>
    <s v="Public Law Children"/>
    <s v="Profit Cost"/>
    <s v="VA"/>
    <s v="Y"/>
    <n v="1911"/>
    <n v="382.2"/>
    <x v="4"/>
    <s v="VALIDATED"/>
    <n v="1"/>
    <s v="01.11.80.308.6100.0000"/>
    <n v="1911"/>
    <s v="11"/>
    <s v="6100"/>
    <n v="5691.95"/>
    <n v="1911"/>
    <s v="CREDITOR"/>
    <n v="0"/>
    <n v="0"/>
    <n v="0"/>
    <n v="0"/>
    <n v="1911"/>
  </r>
  <r>
    <n v="4327421"/>
    <s v="N"/>
    <n v="21338229"/>
    <s v="3000001365980003"/>
    <s v="CIVIL"/>
    <d v="2023-06-27T00:00:00"/>
    <d v="2023-07-06T19:21:01"/>
    <m/>
    <d v="2023-07-06T00:00:00"/>
    <n v="1810"/>
    <n v="14693"/>
    <s v="4327421"/>
    <s v="4327421"/>
    <m/>
    <m/>
    <n v="22770902"/>
    <m/>
    <m/>
    <m/>
    <s v="SOLFIN"/>
    <s v="SOLFIN"/>
    <s v="CCMS"/>
    <n v="21338229"/>
    <n v="3707.05"/>
    <m/>
    <s v="N"/>
    <n v="7"/>
    <d v="2023-07-06T19:21:12"/>
    <s v="N"/>
    <s v="Client Travel Expenses"/>
    <s v="Public Law Children"/>
    <s v="Non Expert Disbursement"/>
    <s v="SF"/>
    <s v="N"/>
    <n v="0"/>
    <n v="0"/>
    <x v="4"/>
    <s v="VALIDATED"/>
    <n v="1"/>
    <s v="01.11.80.308.6300.0000"/>
    <n v="0"/>
    <s v="11"/>
    <s v="6300"/>
    <n v="5691.95"/>
    <n v="0"/>
    <s v="CREDITOR"/>
    <n v="0"/>
    <n v="0"/>
    <n v="0"/>
    <n v="0"/>
    <n v="0"/>
  </r>
  <r>
    <n v="4327421"/>
    <s v="N"/>
    <n v="21338229"/>
    <s v="3000001365980003"/>
    <s v="CIVIL"/>
    <d v="2023-06-27T00:00:00"/>
    <d v="2023-07-06T19:21:01"/>
    <m/>
    <d v="2023-07-06T00:00:00"/>
    <n v="1810"/>
    <n v="14693"/>
    <s v="4327421"/>
    <s v="4327421"/>
    <m/>
    <m/>
    <n v="22770902"/>
    <m/>
    <m/>
    <m/>
    <s v="SOLFIN"/>
    <s v="SOLFIN"/>
    <s v="CCMS"/>
    <n v="21338229"/>
    <n v="3707.05"/>
    <m/>
    <s v="N"/>
    <n v="11"/>
    <d v="2023-07-06T19:21:12"/>
    <s v="Y"/>
    <s v="Hearing Unit 1.01 - 2.30 Hours"/>
    <s v="Public Law Children"/>
    <s v="Advocacy"/>
    <s v="SF"/>
    <s v="Y"/>
    <n v="238.46"/>
    <n v="47.69"/>
    <x v="4"/>
    <s v="VALIDATED"/>
    <n v="1"/>
    <s v="01.11.80.308.6100.0000"/>
    <n v="238.46"/>
    <s v="11"/>
    <s v="6100"/>
    <n v="5691.95"/>
    <n v="238.46"/>
    <s v="CREDITOR"/>
    <n v="0"/>
    <n v="0"/>
    <n v="0"/>
    <n v="0"/>
    <n v="238.46"/>
  </r>
  <r>
    <n v="60272383"/>
    <s v="N"/>
    <n v="21331327"/>
    <s v="3000014578960004"/>
    <s v="CIVIL"/>
    <d v="2023-06-26T00:00:00"/>
    <d v="2023-07-05T19:01:47"/>
    <m/>
    <d v="2023-07-05T00:00:00"/>
    <n v="1810"/>
    <n v="14693"/>
    <s v="60272383"/>
    <s v="60272383"/>
    <m/>
    <m/>
    <n v="22763108"/>
    <m/>
    <m/>
    <m/>
    <s v="SOLFIN"/>
    <s v="SOLFIN"/>
    <s v="CCMS"/>
    <n v="21331327"/>
    <n v="4469.87"/>
    <m/>
    <s v="N"/>
    <n v="1"/>
    <d v="2023-07-05T19:02:15"/>
    <s v="Y"/>
    <s v="Expert - Other"/>
    <s v="Public Law Children"/>
    <s v="Expert Disbursement"/>
    <s v="VA"/>
    <s v="Y"/>
    <n v="297.25"/>
    <n v="59.45"/>
    <x v="6"/>
    <s v="VALIDATED"/>
    <n v="1"/>
    <s v="01.11.80.308.6300.0000"/>
    <n v="297.25"/>
    <s v="11"/>
    <s v="6300"/>
    <n v="5691.95"/>
    <n v="297.25"/>
    <s v="CREDITOR"/>
    <n v="0"/>
    <n v="0"/>
    <n v="0"/>
    <n v="0"/>
    <n v="297.25"/>
  </r>
  <r>
    <n v="60272383"/>
    <s v="N"/>
    <n v="21331327"/>
    <s v="3000014578960004"/>
    <s v="CIVIL"/>
    <d v="2023-06-26T00:00:00"/>
    <d v="2023-07-05T19:01:47"/>
    <m/>
    <d v="2023-07-05T00:00:00"/>
    <n v="1810"/>
    <n v="14693"/>
    <s v="60272383"/>
    <s v="60272383"/>
    <m/>
    <m/>
    <n v="22763108"/>
    <m/>
    <m/>
    <m/>
    <s v="SOLFIN"/>
    <s v="SOLFIN"/>
    <s v="CCMS"/>
    <n v="21331327"/>
    <n v="4469.87"/>
    <m/>
    <s v="N"/>
    <n v="2"/>
    <d v="2023-07-05T19:02:15"/>
    <s v="Y"/>
    <s v="Psychologist"/>
    <s v="Public Law Children"/>
    <s v="Expert Disbursement"/>
    <s v="VA"/>
    <s v="Y"/>
    <n v="845.04"/>
    <n v="169.01"/>
    <x v="6"/>
    <s v="VALIDATED"/>
    <n v="1"/>
    <s v="01.11.80.308.6300.0000"/>
    <n v="845.04"/>
    <s v="11"/>
    <s v="6300"/>
    <n v="5691.95"/>
    <n v="845.04"/>
    <s v="CREDITOR"/>
    <n v="0"/>
    <n v="0"/>
    <n v="0"/>
    <n v="0"/>
    <n v="845.04"/>
  </r>
  <r>
    <n v="60272383"/>
    <s v="N"/>
    <n v="21331327"/>
    <s v="3000014578960004"/>
    <s v="CIVIL"/>
    <d v="2023-06-26T00:00:00"/>
    <d v="2023-07-05T19:01:47"/>
    <m/>
    <d v="2023-07-05T00:00:00"/>
    <n v="1810"/>
    <n v="14693"/>
    <s v="60272383"/>
    <s v="60272383"/>
    <m/>
    <m/>
    <n v="22763108"/>
    <m/>
    <m/>
    <m/>
    <s v="SOLFIN"/>
    <s v="SOLFIN"/>
    <s v="CCMS"/>
    <n v="21331327"/>
    <n v="4469.87"/>
    <m/>
    <s v="N"/>
    <n v="3"/>
    <d v="2023-07-05T19:02:15"/>
    <s v="Y"/>
    <s v="Psychologist"/>
    <s v="Public Law Children"/>
    <s v="Expert Disbursement"/>
    <s v="VA"/>
    <s v="Y"/>
    <n v="258.55"/>
    <n v="51.71"/>
    <x v="6"/>
    <s v="VALIDATED"/>
    <n v="1"/>
    <s v="01.11.80.308.6300.0000"/>
    <n v="258.55"/>
    <s v="11"/>
    <s v="6300"/>
    <n v="5691.95"/>
    <n v="258.55"/>
    <s v="CREDITOR"/>
    <n v="0"/>
    <n v="0"/>
    <n v="0"/>
    <n v="0"/>
    <n v="258.55"/>
  </r>
  <r>
    <n v="4327421"/>
    <s v="N"/>
    <n v="21338229"/>
    <s v="3000001365980003"/>
    <s v="CIVIL"/>
    <d v="2023-06-27T00:00:00"/>
    <d v="2023-07-06T19:21:01"/>
    <m/>
    <d v="2023-07-06T00:00:00"/>
    <n v="1810"/>
    <n v="14693"/>
    <s v="4327421"/>
    <s v="4327421"/>
    <m/>
    <m/>
    <n v="22770902"/>
    <m/>
    <m/>
    <m/>
    <s v="SOLFIN"/>
    <s v="SOLFIN"/>
    <s v="CCMS"/>
    <n v="21338229"/>
    <n v="3707.05"/>
    <m/>
    <s v="N"/>
    <n v="2"/>
    <d v="2023-07-06T19:21:12"/>
    <s v="Y"/>
    <s v="Solicitor Travel Expenses"/>
    <s v="Public Law Children"/>
    <s v="Non Expert Disbursement"/>
    <s v="SF"/>
    <s v="Y"/>
    <n v="9"/>
    <n v="1.8"/>
    <x v="4"/>
    <s v="VALIDATED"/>
    <n v="1"/>
    <s v="01.11.80.308.6300.0000"/>
    <n v="9"/>
    <s v="11"/>
    <s v="6300"/>
    <n v="5691.95"/>
    <n v="9"/>
    <s v="CREDITOR"/>
    <n v="0"/>
    <n v="0"/>
    <n v="0"/>
    <n v="0"/>
    <n v="9"/>
  </r>
  <r>
    <n v="60272383"/>
    <s v="N"/>
    <n v="21331327"/>
    <s v="3000014578960004"/>
    <s v="CIVIL"/>
    <d v="2023-06-26T00:00:00"/>
    <d v="2023-07-05T19:01:47"/>
    <m/>
    <d v="2023-07-05T00:00:00"/>
    <n v="1810"/>
    <n v="14693"/>
    <s v="60272383"/>
    <s v="60272383"/>
    <m/>
    <m/>
    <n v="22763108"/>
    <m/>
    <m/>
    <m/>
    <s v="SOLFIN"/>
    <s v="SOLFIN"/>
    <s v="CCMS"/>
    <n v="21331327"/>
    <n v="4469.87"/>
    <m/>
    <s v="N"/>
    <n v="7"/>
    <d v="2023-07-05T19:02:15"/>
    <s v="Y"/>
    <s v="Solicitors Fixed Fee"/>
    <s v="Public Law Children"/>
    <s v="Profit Cost"/>
    <s v="VA"/>
    <s v="Y"/>
    <n v="1911"/>
    <n v="382.2"/>
    <x v="6"/>
    <s v="VALIDATED"/>
    <n v="1"/>
    <s v="01.11.80.308.6100.0000"/>
    <n v="1911"/>
    <s v="11"/>
    <s v="6100"/>
    <n v="5691.95"/>
    <n v="1911"/>
    <s v="CREDITOR"/>
    <n v="0"/>
    <n v="0"/>
    <n v="0"/>
    <n v="0"/>
    <n v="1911"/>
  </r>
  <r>
    <n v="4327421"/>
    <s v="N"/>
    <n v="21338229"/>
    <s v="3000001365980003"/>
    <s v="CIVIL"/>
    <d v="2023-06-27T00:00:00"/>
    <d v="2023-07-06T19:21:01"/>
    <m/>
    <d v="2023-07-06T00:00:00"/>
    <n v="1810"/>
    <n v="14693"/>
    <s v="4327421"/>
    <s v="4327421"/>
    <m/>
    <m/>
    <n v="22770902"/>
    <m/>
    <m/>
    <m/>
    <s v="SOLFIN"/>
    <s v="SOLFIN"/>
    <s v="CCMS"/>
    <n v="21338229"/>
    <n v="3707.05"/>
    <m/>
    <s v="N"/>
    <n v="5"/>
    <d v="2023-07-06T19:21:12"/>
    <s v="N"/>
    <s v="Client Travel Expenses"/>
    <s v="Public Law Children"/>
    <s v="Non Expert Disbursement"/>
    <s v="SF"/>
    <s v="N"/>
    <n v="0"/>
    <n v="0"/>
    <x v="4"/>
    <s v="VALIDATED"/>
    <n v="1"/>
    <s v="01.11.80.308.6300.0000"/>
    <n v="0"/>
    <s v="11"/>
    <s v="6300"/>
    <n v="5691.95"/>
    <n v="0"/>
    <s v="CREDITOR"/>
    <n v="0"/>
    <n v="0"/>
    <n v="0"/>
    <n v="0"/>
    <n v="0"/>
  </r>
  <r>
    <n v="4327421"/>
    <s v="N"/>
    <n v="21338229"/>
    <s v="3000001365980003"/>
    <s v="CIVIL"/>
    <d v="2023-06-27T00:00:00"/>
    <d v="2023-07-06T19:21:01"/>
    <m/>
    <d v="2023-07-06T00:00:00"/>
    <n v="1810"/>
    <n v="14693"/>
    <s v="4327421"/>
    <s v="4327421"/>
    <m/>
    <m/>
    <n v="22770902"/>
    <m/>
    <m/>
    <m/>
    <s v="SOLFIN"/>
    <s v="SOLFIN"/>
    <s v="CCMS"/>
    <n v="21338229"/>
    <n v="3707.05"/>
    <m/>
    <s v="N"/>
    <n v="4"/>
    <d v="2023-07-06T19:21:12"/>
    <s v="N"/>
    <s v="Client Travel Expenses"/>
    <s v="Public Law Children"/>
    <s v="Non Expert Disbursement"/>
    <s v="SF"/>
    <s v="N"/>
    <n v="0"/>
    <n v="0"/>
    <x v="4"/>
    <s v="VALIDATED"/>
    <n v="1"/>
    <s v="01.11.80.308.6300.0000"/>
    <n v="0"/>
    <s v="11"/>
    <s v="6300"/>
    <n v="5691.95"/>
    <n v="0"/>
    <s v="CREDITOR"/>
    <n v="0"/>
    <n v="0"/>
    <n v="0"/>
    <n v="0"/>
    <n v="0"/>
  </r>
  <r>
    <n v="4327421"/>
    <s v="N"/>
    <n v="21338229"/>
    <s v="3000001365980003"/>
    <s v="CIVIL"/>
    <d v="2023-06-27T00:00:00"/>
    <d v="2023-07-06T19:21:01"/>
    <m/>
    <d v="2023-07-06T00:00:00"/>
    <n v="1810"/>
    <n v="14693"/>
    <s v="4327421"/>
    <s v="4327421"/>
    <m/>
    <m/>
    <n v="22770902"/>
    <m/>
    <m/>
    <m/>
    <s v="SOLFIN"/>
    <s v="SOLFIN"/>
    <s v="CCMS"/>
    <n v="21338229"/>
    <n v="3707.05"/>
    <m/>
    <s v="N"/>
    <n v="6"/>
    <d v="2023-07-06T19:21:12"/>
    <s v="Y"/>
    <s v="Solicitor Travel Expenses"/>
    <s v="Public Law Children"/>
    <s v="Non Expert Disbursement"/>
    <s v="SF"/>
    <s v="Y"/>
    <n v="9.300000000000001"/>
    <n v="1.86"/>
    <x v="4"/>
    <s v="VALIDATED"/>
    <n v="1"/>
    <s v="01.11.80.308.6300.0000"/>
    <n v="9.300000000000001"/>
    <s v="11"/>
    <s v="6300"/>
    <n v="5691.95"/>
    <n v="9.300000000000001"/>
    <s v="CREDITOR"/>
    <n v="0"/>
    <n v="0"/>
    <n v="0"/>
    <n v="0"/>
    <n v="9.300000000000001"/>
  </r>
  <r>
    <n v="4327421"/>
    <s v="N"/>
    <n v="21338229"/>
    <s v="3000001365980003"/>
    <s v="CIVIL"/>
    <d v="2023-06-27T00:00:00"/>
    <d v="2023-07-06T19:21:01"/>
    <m/>
    <d v="2023-07-06T00:00:00"/>
    <n v="1810"/>
    <n v="14693"/>
    <s v="4327421"/>
    <s v="4327421"/>
    <m/>
    <m/>
    <n v="22770902"/>
    <m/>
    <m/>
    <m/>
    <s v="SOLFIN"/>
    <s v="SOLFIN"/>
    <s v="CCMS"/>
    <n v="21338229"/>
    <n v="3707.05"/>
    <m/>
    <s v="N"/>
    <n v="12"/>
    <d v="2023-07-06T19:21:12"/>
    <s v="Y"/>
    <s v="Hearing Unit 1.01 - 2.30 Hours"/>
    <s v="Public Law Children"/>
    <s v="Advocacy"/>
    <s v="SF"/>
    <s v="Y"/>
    <n v="238.46"/>
    <n v="47.69"/>
    <x v="4"/>
    <s v="VALIDATED"/>
    <n v="1"/>
    <s v="01.11.80.308.6100.0000"/>
    <n v="238.46"/>
    <s v="11"/>
    <s v="6100"/>
    <n v="5691.95"/>
    <n v="238.46"/>
    <s v="CREDITOR"/>
    <n v="0"/>
    <n v="0"/>
    <n v="0"/>
    <n v="0"/>
    <n v="238.46"/>
  </r>
  <r>
    <n v="4327421"/>
    <s v="N"/>
    <n v="21338229"/>
    <s v="3000001365980003"/>
    <s v="CIVIL"/>
    <d v="2023-06-27T00:00:00"/>
    <d v="2023-07-06T19:21:01"/>
    <m/>
    <d v="2023-07-06T00:00:00"/>
    <n v="1810"/>
    <n v="14693"/>
    <s v="4327421"/>
    <s v="4327421"/>
    <m/>
    <m/>
    <n v="22770902"/>
    <m/>
    <m/>
    <m/>
    <s v="SOLFIN"/>
    <s v="SOLFIN"/>
    <s v="CCMS"/>
    <n v="21338229"/>
    <n v="3707.05"/>
    <m/>
    <s v="N"/>
    <n v="10"/>
    <d v="2023-07-06T19:21:12"/>
    <s v="Y"/>
    <s v="Toxicologist"/>
    <s v="Public Law Children"/>
    <s v="Expert Disbursement"/>
    <s v="VA"/>
    <s v="Y"/>
    <n v="385.13"/>
    <n v="77.03"/>
    <x v="4"/>
    <s v="VALIDATED"/>
    <n v="1"/>
    <s v="01.11.80.308.6300.0000"/>
    <n v="385.13"/>
    <s v="11"/>
    <s v="6300"/>
    <n v="5691.95"/>
    <n v="385.13"/>
    <s v="CREDITOR"/>
    <n v="0"/>
    <n v="0"/>
    <n v="0"/>
    <n v="0"/>
    <n v="385.13"/>
  </r>
  <r>
    <n v="4327421"/>
    <s v="N"/>
    <n v="21338229"/>
    <s v="3000001365980003"/>
    <s v="CIVIL"/>
    <d v="2023-06-27T00:00:00"/>
    <d v="2023-07-06T19:21:01"/>
    <m/>
    <d v="2023-07-06T00:00:00"/>
    <n v="1810"/>
    <n v="14693"/>
    <s v="4327421"/>
    <s v="4327421"/>
    <m/>
    <m/>
    <n v="22770902"/>
    <m/>
    <m/>
    <m/>
    <s v="SOLFIN"/>
    <s v="SOLFIN"/>
    <s v="CCMS"/>
    <n v="21338229"/>
    <n v="3707.05"/>
    <m/>
    <s v="N"/>
    <n v="13"/>
    <d v="2023-07-06T19:21:12"/>
    <s v="Y"/>
    <s v="Hearing Unit 1.01 - 2.30 Hours"/>
    <s v="Public Law Children"/>
    <s v="Advocacy"/>
    <s v="SF"/>
    <s v="Y"/>
    <n v="238.46"/>
    <n v="47.69"/>
    <x v="4"/>
    <s v="VALIDATED"/>
    <n v="1"/>
    <s v="01.11.80.308.6100.0000"/>
    <n v="238.46"/>
    <s v="11"/>
    <s v="6100"/>
    <n v="5691.95"/>
    <n v="238.46"/>
    <s v="CREDITOR"/>
    <n v="0"/>
    <n v="0"/>
    <n v="0"/>
    <n v="0"/>
    <n v="238.46"/>
  </r>
  <r>
    <n v="60272383"/>
    <s v="N"/>
    <n v="21331327"/>
    <s v="3000014578960004"/>
    <s v="CIVIL"/>
    <d v="2023-06-26T00:00:00"/>
    <d v="2023-07-05T19:01:47"/>
    <m/>
    <d v="2023-07-05T00:00:00"/>
    <n v="1810"/>
    <n v="14693"/>
    <s v="60272383"/>
    <s v="60272383"/>
    <m/>
    <m/>
    <n v="22763108"/>
    <m/>
    <m/>
    <m/>
    <s v="SOLFIN"/>
    <s v="SOLFIN"/>
    <s v="CCMS"/>
    <n v="21331327"/>
    <n v="4469.87"/>
    <m/>
    <s v="N"/>
    <n v="6"/>
    <d v="2023-07-05T19:02:15"/>
    <s v="Y"/>
    <s v="Advocates Meeting"/>
    <s v="Public Law Children"/>
    <s v="Advocacy"/>
    <s v="VA"/>
    <s v="Y"/>
    <n v="140.99"/>
    <n v="28.2"/>
    <x v="6"/>
    <s v="VALIDATED"/>
    <n v="1"/>
    <s v="01.11.80.308.6100.0000"/>
    <n v="140.99"/>
    <s v="11"/>
    <s v="6100"/>
    <n v="5691.95"/>
    <n v="140.99"/>
    <s v="CREDITOR"/>
    <n v="0"/>
    <n v="0"/>
    <n v="0"/>
    <n v="0"/>
    <n v="140.99"/>
  </r>
  <r>
    <n v="4327421"/>
    <s v="N"/>
    <n v="21338229"/>
    <s v="3000001365980003"/>
    <s v="CIVIL"/>
    <d v="2023-06-27T00:00:00"/>
    <d v="2023-07-06T19:21:01"/>
    <m/>
    <d v="2023-07-06T00:00:00"/>
    <n v="1810"/>
    <n v="14693"/>
    <s v="4327421"/>
    <s v="4327421"/>
    <m/>
    <m/>
    <n v="22770902"/>
    <m/>
    <m/>
    <m/>
    <s v="SOLFIN"/>
    <s v="SOLFIN"/>
    <s v="CCMS"/>
    <n v="21338229"/>
    <n v="3707.05"/>
    <m/>
    <s v="N"/>
    <n v="14"/>
    <d v="2023-07-06T19:21:12"/>
    <s v="Y"/>
    <s v="Interim Hearing Court Bundle/Advoca"/>
    <s v="Public Law Children"/>
    <s v="Advocacy"/>
    <s v="SF"/>
    <s v="Y"/>
    <n v="59.4"/>
    <n v="11.88"/>
    <x v="4"/>
    <s v="VALIDATED"/>
    <n v="1"/>
    <s v="01.11.80.308.6100.0000"/>
    <n v="59.4"/>
    <s v="11"/>
    <s v="6100"/>
    <n v="5691.95"/>
    <n v="59.4"/>
    <s v="CREDITOR"/>
    <n v="0"/>
    <n v="0"/>
    <n v="0"/>
    <n v="0"/>
    <n v="59.4"/>
  </r>
  <r>
    <n v="4327421"/>
    <s v="N"/>
    <n v="21338229"/>
    <s v="3000001365980003"/>
    <s v="CIVIL"/>
    <d v="2023-06-27T00:00:00"/>
    <d v="2023-07-06T19:21:01"/>
    <m/>
    <d v="2023-07-06T00:00:00"/>
    <n v="1810"/>
    <n v="14693"/>
    <s v="4327421"/>
    <s v="4327421"/>
    <m/>
    <m/>
    <n v="22770902"/>
    <m/>
    <m/>
    <m/>
    <s v="SOLFIN"/>
    <s v="SOLFIN"/>
    <s v="CCMS"/>
    <n v="21338229"/>
    <n v="3707.05"/>
    <m/>
    <s v="N"/>
    <n v="8"/>
    <d v="2023-07-06T19:21:12"/>
    <s v="N"/>
    <s v="Client Travel Expenses"/>
    <s v="Public Law Children"/>
    <s v="Non Expert Disbursement"/>
    <s v="VA"/>
    <s v="N"/>
    <n v="0"/>
    <n v="0"/>
    <x v="4"/>
    <s v="VALIDATED"/>
    <n v="1"/>
    <s v="01.11.80.308.6300.0000"/>
    <n v="0"/>
    <s v="11"/>
    <s v="6300"/>
    <n v="5691.95"/>
    <n v="0"/>
    <s v="CREDITOR"/>
    <n v="0"/>
    <n v="0"/>
    <n v="0"/>
    <n v="0"/>
    <n v="0"/>
  </r>
  <r>
    <n v="9711309"/>
    <s v="N"/>
    <n v="21327843"/>
    <s v="3000005637900001"/>
    <s v="CIVIL"/>
    <d v="2023-06-26T00:00:00"/>
    <d v="2023-07-04T19:00:44"/>
    <m/>
    <d v="2023-07-04T00:00:00"/>
    <n v="1810"/>
    <n v="14693"/>
    <s v="9711309"/>
    <s v="9711309"/>
    <m/>
    <m/>
    <n v="22760498"/>
    <m/>
    <m/>
    <m/>
    <s v="SOLFIN"/>
    <s v="SOLFIN"/>
    <s v="CCMS"/>
    <n v="21327843"/>
    <n v="852.91"/>
    <m/>
    <s v="N"/>
    <n v="1"/>
    <d v="2023-07-04T19:00:56"/>
    <s v="Y"/>
    <s v="Hearing Unit 1.01 - 2.30 Hours"/>
    <s v="Domestic Abuse"/>
    <s v="Advocacy"/>
    <s v="CF"/>
    <s v="Y"/>
    <n v="203.76"/>
    <n v="40.75"/>
    <x v="1"/>
    <s v="VALIDATED"/>
    <n v="1"/>
    <s v="01.11.80.302.6100.0000"/>
    <n v="203.76"/>
    <s v="11"/>
    <s v="6100"/>
    <n v="5691.95"/>
    <n v="203.76"/>
    <s v="CREDITOR"/>
    <n v="0"/>
    <n v="0"/>
    <n v="0"/>
    <n v="0"/>
    <n v="203.76"/>
  </r>
  <r>
    <n v="60272383"/>
    <s v="N"/>
    <n v="21334065"/>
    <s v="3000014578960001RC"/>
    <s v="CIVIL"/>
    <d v="2023-06-26T00:00:00"/>
    <d v="2023-07-05T19:42:28"/>
    <m/>
    <d v="2023-07-05T00:00:00"/>
    <n v="1810"/>
    <n v="14693"/>
    <s v="60272383"/>
    <s v="60272383"/>
    <m/>
    <m/>
    <m/>
    <m/>
    <m/>
    <m/>
    <s v="SOLRECOUP"/>
    <s v="SOLRECOUP"/>
    <s v="POARECOUP"/>
    <n v="21334065"/>
    <n v="-356.7"/>
    <m/>
    <s v="Y"/>
    <n v="1"/>
    <d v="2023-07-05T19:42:30"/>
    <s v="N"/>
    <m/>
    <m/>
    <s v="Non Expert Disbursement"/>
    <m/>
    <s v="N"/>
    <n v="-297.25"/>
    <n v="0"/>
    <x v="6"/>
    <s v="VALIDATED"/>
    <n v="1"/>
    <s v="01.11.80.308.2013.0000"/>
    <n v="-297.25"/>
    <s v="11"/>
    <s v="2013"/>
    <n v="5691.95"/>
    <n v="-297.25"/>
    <s v="CREDITOR"/>
    <n v="0"/>
    <n v="0"/>
    <n v="-297.25"/>
    <n v="0"/>
    <n v="0"/>
  </r>
  <r>
    <n v="60272383"/>
    <s v="N"/>
    <n v="21334065"/>
    <s v="3000014578960001RC"/>
    <s v="CIVIL"/>
    <d v="2023-06-26T00:00:00"/>
    <d v="2023-07-05T19:42:28"/>
    <m/>
    <d v="2023-07-05T00:00:00"/>
    <n v="1810"/>
    <n v="14693"/>
    <s v="60272383"/>
    <s v="60272383"/>
    <m/>
    <m/>
    <m/>
    <m/>
    <m/>
    <m/>
    <s v="SOLRECOUP"/>
    <s v="SOLRECOUP"/>
    <s v="POARECOUP"/>
    <n v="21334065"/>
    <n v="-356.7"/>
    <m/>
    <s v="Y"/>
    <n v="2"/>
    <d v="2023-07-05T19:42:30"/>
    <s v="N"/>
    <m/>
    <m/>
    <s v="Non Expert Disbursement"/>
    <m/>
    <s v="N"/>
    <n v="0"/>
    <n v="-59.45"/>
    <x v="6"/>
    <s v="VALIDATED"/>
    <n v="1"/>
    <s v="01.11.80.308.2013.0000"/>
    <n v="-59.45"/>
    <s v="11"/>
    <s v="2013"/>
    <n v="5691.95"/>
    <n v="-59.45"/>
    <s v="CREDITOR"/>
    <n v="0"/>
    <n v="0"/>
    <n v="-59.45"/>
    <n v="0"/>
    <n v="0"/>
  </r>
  <r>
    <n v="60272383"/>
    <s v="N"/>
    <n v="21334066"/>
    <s v="3000014578960002RC"/>
    <s v="CIVIL"/>
    <d v="2023-06-26T00:00:00"/>
    <d v="2023-07-05T19:42:28"/>
    <m/>
    <d v="2023-07-05T00:00:00"/>
    <n v="1810"/>
    <n v="14693"/>
    <s v="60272383"/>
    <s v="60272383"/>
    <m/>
    <m/>
    <m/>
    <m/>
    <m/>
    <m/>
    <s v="SOLRECOUP"/>
    <s v="SOLRECOUP"/>
    <s v="POARECOUP"/>
    <n v="21334066"/>
    <n v="-1014.05"/>
    <m/>
    <s v="Y"/>
    <n v="1"/>
    <d v="2023-07-05T19:42:30"/>
    <s v="N"/>
    <m/>
    <m/>
    <s v="Non Expert Disbursement"/>
    <m/>
    <s v="N"/>
    <n v="-845.04"/>
    <n v="0"/>
    <x v="6"/>
    <s v="VALIDATED"/>
    <n v="1"/>
    <s v="01.11.80.308.2013.0000"/>
    <n v="-845.04"/>
    <s v="11"/>
    <s v="2013"/>
    <n v="5691.95"/>
    <n v="-845.04"/>
    <s v="CREDITOR"/>
    <n v="0"/>
    <n v="0"/>
    <n v="-845.04"/>
    <n v="0"/>
    <n v="0"/>
  </r>
  <r>
    <n v="60272383"/>
    <s v="N"/>
    <n v="21334066"/>
    <s v="3000014578960002RC"/>
    <s v="CIVIL"/>
    <d v="2023-06-26T00:00:00"/>
    <d v="2023-07-05T19:42:28"/>
    <m/>
    <d v="2023-07-05T00:00:00"/>
    <n v="1810"/>
    <n v="14693"/>
    <s v="60272383"/>
    <s v="60272383"/>
    <m/>
    <m/>
    <m/>
    <m/>
    <m/>
    <m/>
    <s v="SOLRECOUP"/>
    <s v="SOLRECOUP"/>
    <s v="POARECOUP"/>
    <n v="21334066"/>
    <n v="-1014.05"/>
    <m/>
    <s v="Y"/>
    <n v="2"/>
    <d v="2023-07-05T19:42:30"/>
    <s v="N"/>
    <m/>
    <m/>
    <s v="Non Expert Disbursement"/>
    <m/>
    <s v="N"/>
    <n v="0"/>
    <n v="-169.01"/>
    <x v="6"/>
    <s v="VALIDATED"/>
    <n v="1"/>
    <s v="01.11.80.308.2013.0000"/>
    <n v="-169.01"/>
    <s v="11"/>
    <s v="2013"/>
    <n v="5691.95"/>
    <n v="-169.01"/>
    <s v="CREDITOR"/>
    <n v="0"/>
    <n v="0"/>
    <n v="-169.01"/>
    <n v="0"/>
    <n v="0"/>
  </r>
  <r>
    <n v="4327421"/>
    <s v="N"/>
    <n v="21340117"/>
    <s v="3000001365980001RC"/>
    <s v="CIVIL"/>
    <d v="2023-06-27T00:00:00"/>
    <d v="2023-07-06T19:54:22"/>
    <m/>
    <d v="2023-07-06T00:00:00"/>
    <n v="1810"/>
    <n v="14693"/>
    <s v="4327421"/>
    <s v="4327421"/>
    <m/>
    <m/>
    <m/>
    <m/>
    <m/>
    <m/>
    <s v="SOLRECOUP"/>
    <s v="SOLRECOUP"/>
    <s v="POARECOUP"/>
    <n v="21340117"/>
    <n v="-462.16"/>
    <m/>
    <s v="Y"/>
    <n v="1"/>
    <d v="2023-07-06T19:54:23"/>
    <s v="N"/>
    <m/>
    <m/>
    <s v="Expert Disbursement"/>
    <m/>
    <s v="N"/>
    <n v="-385.13"/>
    <n v="0"/>
    <x v="4"/>
    <s v="VALIDATED"/>
    <n v="1"/>
    <s v="01.11.80.308.2013.0000"/>
    <n v="-385.13"/>
    <s v="11"/>
    <s v="2013"/>
    <n v="5691.95"/>
    <n v="-385.13"/>
    <s v="CREDITOR"/>
    <n v="0"/>
    <n v="0"/>
    <n v="-385.13"/>
    <n v="0"/>
    <n v="0"/>
  </r>
  <r>
    <n v="4327421"/>
    <s v="N"/>
    <n v="21340117"/>
    <s v="3000001365980001RC"/>
    <s v="CIVIL"/>
    <d v="2023-06-27T00:00:00"/>
    <d v="2023-07-06T19:54:22"/>
    <m/>
    <d v="2023-07-06T00:00:00"/>
    <n v="1810"/>
    <n v="14693"/>
    <s v="4327421"/>
    <s v="4327421"/>
    <m/>
    <m/>
    <m/>
    <m/>
    <m/>
    <m/>
    <s v="SOLRECOUP"/>
    <s v="SOLRECOUP"/>
    <s v="POARECOUP"/>
    <n v="21340117"/>
    <n v="-462.16"/>
    <m/>
    <s v="Y"/>
    <n v="2"/>
    <d v="2023-07-06T19:54:23"/>
    <s v="N"/>
    <m/>
    <m/>
    <s v="Expert Disbursement"/>
    <m/>
    <s v="N"/>
    <n v="0"/>
    <n v="-77.03"/>
    <x v="4"/>
    <s v="VALIDATED"/>
    <n v="1"/>
    <s v="01.11.80.308.2013.0000"/>
    <n v="-77.03"/>
    <s v="11"/>
    <s v="2013"/>
    <n v="5691.95"/>
    <n v="-77.03"/>
    <s v="CREDITOR"/>
    <n v="0"/>
    <n v="0"/>
    <n v="-77.03"/>
    <n v="0"/>
    <n v="0"/>
  </r>
  <r>
    <n v="11714995"/>
    <s v="N"/>
    <n v="21338344"/>
    <s v="3000007067700015"/>
    <s v="CIVIL"/>
    <d v="2023-06-19T00:00:00"/>
    <d v="2023-07-06T19:21:01"/>
    <m/>
    <d v="2023-07-06T00:00:00"/>
    <n v="1811"/>
    <n v="20140"/>
    <s v="11714995"/>
    <s v="11714995"/>
    <m/>
    <m/>
    <n v="22716932"/>
    <m/>
    <m/>
    <m/>
    <s v="SOLFIN"/>
    <s v="SOLFIN"/>
    <s v="CCMS"/>
    <n v="21338344"/>
    <n v="17052.18"/>
    <m/>
    <s v="N"/>
    <n v="36"/>
    <d v="2023-07-06T19:21:20"/>
    <s v="Y"/>
    <s v="Preparation - drafting statement"/>
    <s v="Non Family Hourly Rates"/>
    <s v="Profit Cost"/>
    <s v="JP"/>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318"/>
    <d v="2023-07-06T19:21:20"/>
    <s v="Y"/>
    <s v="Preparation - other"/>
    <s v="Non Family Hourly Rates"/>
    <s v="Profit Cost"/>
    <s v="HR"/>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200"/>
    <d v="2023-07-06T19:21:20"/>
    <s v="Y"/>
    <s v="Preparation - drafting pleadings"/>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90"/>
    <d v="2023-07-06T19:21:20"/>
    <s v="Y"/>
    <s v="Preparation - other"/>
    <s v="Non Family Hourly Rates"/>
    <s v="Profit Cost"/>
    <s v="DGF"/>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350"/>
    <d v="2023-07-06T19:21:20"/>
    <s v="Y"/>
    <s v="Routine Letter Out"/>
    <s v="Non Family Hourly Rates"/>
    <s v="Profit Cost"/>
    <s v="DGF"/>
    <s v="Y"/>
    <n v="1491.75"/>
    <n v="298.35"/>
    <x v="4"/>
    <s v="VALIDATED"/>
    <n v="1"/>
    <s v="01.11.80.209.6100.0000"/>
    <n v="1491.75"/>
    <s v="11"/>
    <s v="6100"/>
    <n v="12089.9"/>
    <n v="1491.75"/>
    <s v="CREDITOR"/>
    <n v="0"/>
    <n v="0"/>
    <n v="0"/>
    <n v="0"/>
    <n v="1491.75"/>
  </r>
  <r>
    <n v="11714995"/>
    <s v="N"/>
    <n v="21338344"/>
    <s v="3000007067700015"/>
    <s v="CIVIL"/>
    <d v="2023-06-19T00:00:00"/>
    <d v="2023-07-06T19:21:01"/>
    <m/>
    <d v="2023-07-06T00:00:00"/>
    <n v="1811"/>
    <n v="20140"/>
    <s v="11714995"/>
    <s v="11714995"/>
    <m/>
    <m/>
    <n v="22716932"/>
    <m/>
    <m/>
    <m/>
    <s v="SOLFIN"/>
    <s v="SOLFIN"/>
    <s v="CCMS"/>
    <n v="21338344"/>
    <n v="17052.18"/>
    <m/>
    <s v="N"/>
    <n v="234"/>
    <d v="2023-07-06T19:21:20"/>
    <s v="Y"/>
    <s v="Preparation - other"/>
    <s v="Non Family Hourly Rates"/>
    <s v="Profit Cost"/>
    <s v="DGF"/>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113"/>
    <d v="2023-07-06T19:21:20"/>
    <s v="Y"/>
    <s v="Preparation - other"/>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33"/>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37"/>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116"/>
    <d v="2023-07-06T19:21:20"/>
    <s v="Y"/>
    <s v="Preparation - other"/>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69"/>
    <d v="2023-07-06T19:21:20"/>
    <s v="Y"/>
    <s v="Attendance upon client"/>
    <s v="Non Family Hourly Rates"/>
    <s v="Profit Cost"/>
    <s v="SDO"/>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52"/>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207"/>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38"/>
    <d v="2023-07-06T19:21:20"/>
    <s v="Y"/>
    <s v="Preparation - other"/>
    <s v="Non Family Hourly Rates"/>
    <s v="Profit Cost"/>
    <s v="DGF"/>
    <s v="Y"/>
    <n v="40.5"/>
    <n v="8.1"/>
    <x v="4"/>
    <s v="VALIDATED"/>
    <n v="1"/>
    <s v="01.11.80.209.6100.0000"/>
    <n v="40.5"/>
    <s v="11"/>
    <s v="6100"/>
    <n v="12089.9"/>
    <n v="40.5"/>
    <s v="CREDITOR"/>
    <n v="0"/>
    <n v="0"/>
    <n v="0"/>
    <n v="0"/>
    <n v="40.5"/>
  </r>
  <r>
    <n v="11714995"/>
    <s v="N"/>
    <n v="21338344"/>
    <s v="3000007067700015"/>
    <s v="CIVIL"/>
    <d v="2023-06-19T00:00:00"/>
    <d v="2023-07-06T19:21:01"/>
    <m/>
    <d v="2023-07-06T00:00:00"/>
    <n v="1811"/>
    <n v="20140"/>
    <s v="11714995"/>
    <s v="11714995"/>
    <m/>
    <m/>
    <n v="22716932"/>
    <m/>
    <m/>
    <m/>
    <s v="SOLFIN"/>
    <s v="SOLFIN"/>
    <s v="CCMS"/>
    <n v="21338344"/>
    <n v="17052.18"/>
    <m/>
    <s v="N"/>
    <n v="34"/>
    <d v="2023-07-06T19:21:20"/>
    <s v="Y"/>
    <s v="Preparation - other"/>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72"/>
    <d v="2023-07-06T19:21:20"/>
    <s v="Y"/>
    <s v="Preparation - other"/>
    <s v="Non Family Hourly Rates"/>
    <s v="Profit Cost"/>
    <s v="HR"/>
    <s v="Y"/>
    <n v="27"/>
    <n v="5.4"/>
    <x v="4"/>
    <s v="VALIDATED"/>
    <n v="1"/>
    <s v="01.11.80.209.6100.0000"/>
    <n v="27"/>
    <s v="11"/>
    <s v="6100"/>
    <n v="12089.9"/>
    <n v="27"/>
    <s v="CREDITOR"/>
    <n v="0"/>
    <n v="0"/>
    <n v="0"/>
    <n v="0"/>
    <n v="27"/>
  </r>
  <r>
    <n v="11714995"/>
    <s v="N"/>
    <n v="21338344"/>
    <s v="3000007067700015"/>
    <s v="CIVIL"/>
    <d v="2023-06-19T00:00:00"/>
    <d v="2023-07-06T19:21:01"/>
    <m/>
    <d v="2023-07-06T00:00:00"/>
    <n v="1811"/>
    <n v="20140"/>
    <s v="11714995"/>
    <s v="11714995"/>
    <m/>
    <m/>
    <n v="22716932"/>
    <m/>
    <m/>
    <m/>
    <s v="SOLFIN"/>
    <s v="SOLFIN"/>
    <s v="CCMS"/>
    <n v="21338344"/>
    <n v="17052.18"/>
    <m/>
    <s v="N"/>
    <n v="146"/>
    <d v="2023-07-06T19:21:20"/>
    <s v="Y"/>
    <s v="Attendance upon client"/>
    <s v="Non Family Hourly Rates"/>
    <s v="Profit Cost"/>
    <s v="SDO"/>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300"/>
    <d v="2023-07-06T19:21:20"/>
    <s v="Y"/>
    <s v="Preparation - other"/>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23"/>
    <d v="2023-07-06T19:21:20"/>
    <s v="Y"/>
    <s v="Preparation - other"/>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37"/>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49"/>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89"/>
    <d v="2023-07-06T19:21:20"/>
    <s v="Y"/>
    <s v="Preparation - other"/>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341"/>
    <d v="2023-07-06T19:21:20"/>
    <s v="Y"/>
    <s v="Preparation - other"/>
    <s v="Non Family Hourly Rates"/>
    <s v="Profit Cost"/>
    <s v="HR"/>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76"/>
    <d v="2023-07-06T19:21:20"/>
    <s v="Y"/>
    <s v="Attendance upon other"/>
    <s v="Non Family Hourly Rates"/>
    <s v="Profit Cost"/>
    <s v="JP"/>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92"/>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50"/>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0"/>
    <d v="2023-07-06T19:21:20"/>
    <s v="N"/>
    <s v="Preparation - other"/>
    <s v="Non Family Hourly Rates"/>
    <s v="Profit Cost"/>
    <s v="DGF"/>
    <s v="N"/>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30"/>
    <d v="2023-07-06T19:21:20"/>
    <s v="Y"/>
    <s v="Preparation - drafting attendance n"/>
    <s v="Non Family Hourly Rates"/>
    <s v="Profit Cost"/>
    <s v="JP"/>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149"/>
    <d v="2023-07-06T19:21:20"/>
    <s v="Y"/>
    <s v="Preparation - other"/>
    <s v="Non Family Hourly Rates"/>
    <s v="Profit Cost"/>
    <s v="HR"/>
    <s v="Y"/>
    <n v="74.25"/>
    <n v="14.85"/>
    <x v="4"/>
    <s v="VALIDATED"/>
    <n v="1"/>
    <s v="01.11.80.209.6100.0000"/>
    <n v="74.25"/>
    <s v="11"/>
    <s v="6100"/>
    <n v="12089.9"/>
    <n v="74.25"/>
    <s v="CREDITOR"/>
    <n v="0"/>
    <n v="0"/>
    <n v="0"/>
    <n v="0"/>
    <n v="74.25"/>
  </r>
  <r>
    <n v="11714995"/>
    <s v="N"/>
    <n v="21338344"/>
    <s v="3000007067700015"/>
    <s v="CIVIL"/>
    <d v="2023-06-19T00:00:00"/>
    <d v="2023-07-06T19:21:01"/>
    <m/>
    <d v="2023-07-06T00:00:00"/>
    <n v="1811"/>
    <n v="20140"/>
    <s v="11714995"/>
    <s v="11714995"/>
    <m/>
    <m/>
    <n v="22716932"/>
    <m/>
    <m/>
    <m/>
    <s v="SOLFIN"/>
    <s v="SOLFIN"/>
    <s v="CCMS"/>
    <n v="21338344"/>
    <n v="17052.18"/>
    <m/>
    <s v="N"/>
    <n v="95"/>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17"/>
    <d v="2023-07-06T19:21:20"/>
    <s v="Y"/>
    <s v="Attendance upon client"/>
    <s v="Non Family Hourly Rates"/>
    <s v="Profit Cost"/>
    <s v="DGF"/>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255"/>
    <d v="2023-07-06T19:21:20"/>
    <s v="Y"/>
    <s v="Preparation - other"/>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54"/>
    <d v="2023-07-06T19:21:20"/>
    <s v="Y"/>
    <s v="Preparation - drafting pleadings"/>
    <s v="Non Family Hourly Rates"/>
    <s v="Profit Cost"/>
    <s v="DGF"/>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29"/>
    <d v="2023-07-06T19:21:20"/>
    <s v="Y"/>
    <s v="Attendance upon client"/>
    <s v="Non Family Hourly Rates"/>
    <s v="Profit Cost"/>
    <s v="JP"/>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287"/>
    <d v="2023-07-06T19:21:20"/>
    <s v="Y"/>
    <s v="Preparation - drafting instructions"/>
    <s v="Non Family Hourly Rates"/>
    <s v="Profit Cost"/>
    <s v="HR"/>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297"/>
    <d v="2023-07-06T19:21:20"/>
    <s v="Y"/>
    <s v="Attendance upon client"/>
    <s v="Non Family Hourly Rates"/>
    <s v="Profit Cost"/>
    <s v="SDO"/>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308"/>
    <d v="2023-07-06T19:21:20"/>
    <s v="Y"/>
    <s v="Preparation - other"/>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29"/>
    <d v="2023-07-06T19:21:20"/>
    <s v="Y"/>
    <s v="Preparation - other"/>
    <s v="Non Family Hourly Rates"/>
    <s v="Profit Cost"/>
    <s v="DGF"/>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148"/>
    <d v="2023-07-06T19:21:20"/>
    <s v="Y"/>
    <s v="Preparation - other"/>
    <s v="Non Family Hourly Rates"/>
    <s v="Profit Cost"/>
    <s v="DGF"/>
    <s v="Y"/>
    <n v="8.779999999999999"/>
    <n v="1.76"/>
    <x v="4"/>
    <s v="VALIDATED"/>
    <n v="1"/>
    <s v="01.11.80.209.6100.0000"/>
    <n v="8.779999999999999"/>
    <s v="11"/>
    <s v="6100"/>
    <n v="12089.9"/>
    <n v="8.779999999999999"/>
    <s v="CREDITOR"/>
    <n v="0"/>
    <n v="0"/>
    <n v="0"/>
    <n v="0"/>
    <n v="8.779999999999999"/>
  </r>
  <r>
    <n v="11714995"/>
    <s v="N"/>
    <n v="21338344"/>
    <s v="3000007067700015"/>
    <s v="CIVIL"/>
    <d v="2023-06-19T00:00:00"/>
    <d v="2023-07-06T19:21:01"/>
    <m/>
    <d v="2023-07-06T00:00:00"/>
    <n v="1811"/>
    <n v="20140"/>
    <s v="11714995"/>
    <s v="11714995"/>
    <m/>
    <m/>
    <n v="22716932"/>
    <m/>
    <m/>
    <m/>
    <s v="SOLFIN"/>
    <s v="SOLFIN"/>
    <s v="CCMS"/>
    <n v="21338344"/>
    <n v="17052.18"/>
    <m/>
    <s v="N"/>
    <n v="167"/>
    <d v="2023-07-06T19:21:20"/>
    <s v="Y"/>
    <s v="Preparation - other"/>
    <s v="Non Family Hourly Rates"/>
    <s v="Profit Cost"/>
    <s v="DGF"/>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195"/>
    <d v="2023-07-06T19:21:20"/>
    <s v="Y"/>
    <s v="Attendance upon client"/>
    <s v="Non Family Hourly Rates"/>
    <s v="Profit Cost"/>
    <s v="HR"/>
    <s v="Y"/>
    <n v="52.65"/>
    <n v="10.53"/>
    <x v="4"/>
    <s v="VALIDATED"/>
    <n v="1"/>
    <s v="01.11.80.209.6100.0000"/>
    <n v="52.65"/>
    <s v="11"/>
    <s v="6100"/>
    <n v="12089.9"/>
    <n v="52.65"/>
    <s v="CREDITOR"/>
    <n v="0"/>
    <n v="0"/>
    <n v="0"/>
    <n v="0"/>
    <n v="52.65"/>
  </r>
  <r>
    <n v="61877097"/>
    <s v="N"/>
    <n v="21346533"/>
    <s v="3000015939300001RC"/>
    <s v="CIVIL"/>
    <d v="2023-06-25T00:00:00"/>
    <d v="2023-07-07T19:34:21"/>
    <m/>
    <d v="2023-07-07T00:00:00"/>
    <n v="1811"/>
    <n v="20140"/>
    <s v="61877097"/>
    <s v="61877097"/>
    <m/>
    <m/>
    <m/>
    <m/>
    <m/>
    <m/>
    <s v="SOLRECOUP"/>
    <s v="SOLRECOUP"/>
    <s v="POARECOUP"/>
    <n v="21346533"/>
    <n v="-3141.88"/>
    <m/>
    <s v="Y"/>
    <n v="1"/>
    <d v="2023-07-07T19:34:23"/>
    <s v="N"/>
    <m/>
    <m/>
    <s v="Profit Cost"/>
    <m/>
    <s v="N"/>
    <n v="-2618.23"/>
    <n v="0"/>
    <x v="9"/>
    <s v="VALIDATED"/>
    <n v="1"/>
    <s v="01.11.80.209.2013.0000"/>
    <n v="-2618.23"/>
    <s v="11"/>
    <s v="2013"/>
    <n v="12089.9"/>
    <n v="-2618.23"/>
    <s v="CREDITOR"/>
    <n v="0"/>
    <n v="0"/>
    <n v="-2618.23"/>
    <n v="-654.5575"/>
    <n v="0"/>
  </r>
  <r>
    <n v="61877097"/>
    <s v="N"/>
    <n v="21346533"/>
    <s v="3000015939300001RC"/>
    <s v="CIVIL"/>
    <d v="2023-06-25T00:00:00"/>
    <d v="2023-07-07T19:34:21"/>
    <m/>
    <d v="2023-07-07T00:00:00"/>
    <n v="1811"/>
    <n v="20140"/>
    <s v="61877097"/>
    <s v="61877097"/>
    <m/>
    <m/>
    <m/>
    <m/>
    <m/>
    <m/>
    <s v="SOLRECOUP"/>
    <s v="SOLRECOUP"/>
    <s v="POARECOUP"/>
    <n v="21346533"/>
    <n v="-3141.88"/>
    <m/>
    <s v="Y"/>
    <n v="2"/>
    <d v="2023-07-07T19:34:23"/>
    <s v="N"/>
    <m/>
    <m/>
    <s v="Profit Cost"/>
    <m/>
    <s v="N"/>
    <n v="0"/>
    <n v="-523.65"/>
    <x v="9"/>
    <s v="VALIDATED"/>
    <n v="1"/>
    <s v="01.11.80.209.2013.0000"/>
    <n v="-523.65"/>
    <s v="11"/>
    <s v="2013"/>
    <n v="12089.9"/>
    <n v="-523.65"/>
    <s v="CREDITOR"/>
    <n v="0"/>
    <n v="0"/>
    <n v="-523.65"/>
    <n v="-130.9125"/>
    <n v="0"/>
  </r>
  <r>
    <n v="11714995"/>
    <s v="N"/>
    <n v="21340118"/>
    <s v="3000007067700001RC"/>
    <s v="CIVIL"/>
    <d v="2023-06-19T00:00:00"/>
    <d v="2023-07-06T19:54:22"/>
    <m/>
    <d v="2023-07-06T00:00:00"/>
    <n v="1811"/>
    <n v="20140"/>
    <s v="11714995"/>
    <s v="11714995"/>
    <m/>
    <m/>
    <m/>
    <m/>
    <m/>
    <m/>
    <s v="SOLRECOUP"/>
    <s v="SOLRECOUP"/>
    <s v="POARECOUP"/>
    <n v="21340118"/>
    <n v="-4318.08"/>
    <m/>
    <s v="Y"/>
    <n v="1"/>
    <d v="2023-07-06T19:54:23"/>
    <s v="N"/>
    <m/>
    <m/>
    <s v="Profit Cost"/>
    <m/>
    <s v="N"/>
    <n v="-3598.4"/>
    <n v="0"/>
    <x v="4"/>
    <s v="VALIDATED"/>
    <n v="1"/>
    <s v="01.11.80.209.2013.0000"/>
    <n v="-3598.4"/>
    <s v="11"/>
    <s v="2013"/>
    <n v="12089.9"/>
    <n v="-3598.4"/>
    <s v="CREDITOR"/>
    <n v="0"/>
    <n v="0"/>
    <n v="-3598.4"/>
    <n v="-899.6"/>
    <n v="0"/>
  </r>
  <r>
    <n v="11714995"/>
    <s v="N"/>
    <n v="21340118"/>
    <s v="3000007067700001RC"/>
    <s v="CIVIL"/>
    <d v="2023-06-19T00:00:00"/>
    <d v="2023-07-06T19:54:22"/>
    <m/>
    <d v="2023-07-06T00:00:00"/>
    <n v="1811"/>
    <n v="20140"/>
    <s v="11714995"/>
    <s v="11714995"/>
    <m/>
    <m/>
    <m/>
    <m/>
    <m/>
    <m/>
    <s v="SOLRECOUP"/>
    <s v="SOLRECOUP"/>
    <s v="POARECOUP"/>
    <n v="21340118"/>
    <n v="-4318.08"/>
    <m/>
    <s v="Y"/>
    <n v="2"/>
    <d v="2023-07-06T19:54:23"/>
    <s v="N"/>
    <m/>
    <m/>
    <s v="Profit Cost"/>
    <m/>
    <s v="N"/>
    <n v="0"/>
    <n v="-719.6799999999999"/>
    <x v="4"/>
    <s v="VALIDATED"/>
    <n v="1"/>
    <s v="01.11.80.209.2013.0000"/>
    <n v="-719.6799999999999"/>
    <s v="11"/>
    <s v="2013"/>
    <n v="12089.9"/>
    <n v="-719.6799999999999"/>
    <s v="CREDITOR"/>
    <n v="0"/>
    <n v="0"/>
    <n v="-719.6799999999999"/>
    <n v="-179.92"/>
    <n v="0"/>
  </r>
  <r>
    <n v="11714995"/>
    <s v="N"/>
    <n v="21340119"/>
    <s v="3000007067700003RC"/>
    <s v="CIVIL"/>
    <d v="2023-06-19T00:00:00"/>
    <d v="2023-07-06T19:54:22"/>
    <m/>
    <d v="2023-07-06T00:00:00"/>
    <n v="1811"/>
    <n v="20140"/>
    <s v="11714995"/>
    <s v="11714995"/>
    <m/>
    <m/>
    <m/>
    <m/>
    <m/>
    <m/>
    <s v="SOLRECOUP"/>
    <s v="SOLRECOUP"/>
    <s v="POARECOUP"/>
    <n v="21340119"/>
    <n v="-686.17"/>
    <m/>
    <s v="Y"/>
    <n v="1"/>
    <d v="2023-07-06T19:54:23"/>
    <s v="N"/>
    <m/>
    <m/>
    <s v="Profit Cost"/>
    <m/>
    <s v="N"/>
    <n v="-571.8099999999999"/>
    <n v="0"/>
    <x v="4"/>
    <s v="VALIDATED"/>
    <n v="1"/>
    <s v="01.11.80.209.2013.0000"/>
    <n v="-571.8099999999999"/>
    <s v="11"/>
    <s v="2013"/>
    <n v="12089.9"/>
    <n v="-571.8099999999999"/>
    <s v="CREDITOR"/>
    <n v="0"/>
    <n v="0"/>
    <n v="-571.8099999999999"/>
    <n v="-142.9525"/>
    <n v="0"/>
  </r>
  <r>
    <n v="11714995"/>
    <s v="N"/>
    <n v="21340119"/>
    <s v="3000007067700003RC"/>
    <s v="CIVIL"/>
    <d v="2023-06-19T00:00:00"/>
    <d v="2023-07-06T19:54:22"/>
    <m/>
    <d v="2023-07-06T00:00:00"/>
    <n v="1811"/>
    <n v="20140"/>
    <s v="11714995"/>
    <s v="11714995"/>
    <m/>
    <m/>
    <m/>
    <m/>
    <m/>
    <m/>
    <s v="SOLRECOUP"/>
    <s v="SOLRECOUP"/>
    <s v="POARECOUP"/>
    <n v="21340119"/>
    <n v="-686.17"/>
    <m/>
    <s v="Y"/>
    <n v="2"/>
    <d v="2023-07-06T19:54:23"/>
    <s v="N"/>
    <m/>
    <m/>
    <s v="Profit Cost"/>
    <m/>
    <s v="N"/>
    <n v="0"/>
    <n v="-114.36"/>
    <x v="4"/>
    <s v="VALIDATED"/>
    <n v="1"/>
    <s v="01.11.80.209.2013.0000"/>
    <n v="-114.36"/>
    <s v="11"/>
    <s v="2013"/>
    <n v="12089.9"/>
    <n v="-114.36"/>
    <s v="CREDITOR"/>
    <n v="0"/>
    <n v="0"/>
    <n v="-114.36"/>
    <n v="-28.59"/>
    <n v="0"/>
  </r>
  <r>
    <n v="11714995"/>
    <s v="N"/>
    <n v="21340120"/>
    <s v="3000007067700002RC"/>
    <s v="CIVIL"/>
    <d v="2023-06-19T00:00:00"/>
    <d v="2023-07-06T19:54:22"/>
    <m/>
    <d v="2023-07-06T00:00:00"/>
    <n v="1811"/>
    <n v="20140"/>
    <s v="11714995"/>
    <s v="11714995"/>
    <m/>
    <m/>
    <m/>
    <m/>
    <m/>
    <m/>
    <s v="SOLRECOUP"/>
    <s v="SOLRECOUP"/>
    <s v="POARECOUP"/>
    <n v="21340120"/>
    <n v="-2798.4"/>
    <m/>
    <s v="Y"/>
    <n v="1"/>
    <d v="2023-07-06T19:54:23"/>
    <s v="N"/>
    <m/>
    <m/>
    <s v="Profit Cost"/>
    <m/>
    <s v="N"/>
    <n v="-2332"/>
    <n v="0"/>
    <x v="4"/>
    <s v="VALIDATED"/>
    <n v="1"/>
    <s v="01.11.80.209.2013.0000"/>
    <n v="-2332"/>
    <s v="11"/>
    <s v="2013"/>
    <n v="12089.9"/>
    <n v="-2332"/>
    <s v="CREDITOR"/>
    <n v="0"/>
    <n v="0"/>
    <n v="-2332"/>
    <n v="-583"/>
    <n v="0"/>
  </r>
  <r>
    <n v="11714995"/>
    <s v="N"/>
    <n v="21340120"/>
    <s v="3000007067700002RC"/>
    <s v="CIVIL"/>
    <d v="2023-06-19T00:00:00"/>
    <d v="2023-07-06T19:54:22"/>
    <m/>
    <d v="2023-07-06T00:00:00"/>
    <n v="1811"/>
    <n v="20140"/>
    <s v="11714995"/>
    <s v="11714995"/>
    <m/>
    <m/>
    <m/>
    <m/>
    <m/>
    <m/>
    <s v="SOLRECOUP"/>
    <s v="SOLRECOUP"/>
    <s v="POARECOUP"/>
    <n v="21340120"/>
    <n v="-2798.4"/>
    <m/>
    <s v="Y"/>
    <n v="2"/>
    <d v="2023-07-06T19:54:23"/>
    <s v="N"/>
    <m/>
    <m/>
    <s v="Profit Cost"/>
    <m/>
    <s v="N"/>
    <n v="0"/>
    <n v="-466.4"/>
    <x v="4"/>
    <s v="VALIDATED"/>
    <n v="1"/>
    <s v="01.11.80.209.2013.0000"/>
    <n v="-466.4"/>
    <s v="11"/>
    <s v="2013"/>
    <n v="12089.9"/>
    <n v="-466.4"/>
    <s v="CREDITOR"/>
    <n v="0"/>
    <n v="0"/>
    <n v="-466.4"/>
    <n v="-116.6"/>
    <n v="0"/>
  </r>
  <r>
    <n v="11714995"/>
    <s v="N"/>
    <n v="21340121"/>
    <s v="3000007067700006RC"/>
    <s v="CIVIL"/>
    <d v="2023-06-19T00:00:00"/>
    <d v="2023-07-06T19:54:22"/>
    <m/>
    <d v="2023-07-06T00:00:00"/>
    <n v="1811"/>
    <n v="20140"/>
    <s v="11714995"/>
    <s v="11714995"/>
    <m/>
    <m/>
    <m/>
    <m/>
    <m/>
    <m/>
    <s v="SOLRECOUP"/>
    <s v="SOLRECOUP"/>
    <s v="POARECOUP"/>
    <n v="21340121"/>
    <n v="-1851.11"/>
    <m/>
    <s v="Y"/>
    <n v="1"/>
    <d v="2023-07-06T19:54:23"/>
    <s v="N"/>
    <m/>
    <m/>
    <s v="Profit Cost"/>
    <m/>
    <s v="N"/>
    <n v="-1542.59"/>
    <n v="0"/>
    <x v="4"/>
    <s v="VALIDATED"/>
    <n v="1"/>
    <s v="01.11.80.209.2013.0000"/>
    <n v="-1542.59"/>
    <s v="11"/>
    <s v="2013"/>
    <n v="12089.9"/>
    <n v="-1542.59"/>
    <s v="CREDITOR"/>
    <n v="0"/>
    <n v="0"/>
    <n v="-1542.59"/>
    <n v="-385.6475"/>
    <n v="0"/>
  </r>
  <r>
    <n v="11714995"/>
    <s v="N"/>
    <n v="21340121"/>
    <s v="3000007067700006RC"/>
    <s v="CIVIL"/>
    <d v="2023-06-19T00:00:00"/>
    <d v="2023-07-06T19:54:22"/>
    <m/>
    <d v="2023-07-06T00:00:00"/>
    <n v="1811"/>
    <n v="20140"/>
    <s v="11714995"/>
    <s v="11714995"/>
    <m/>
    <m/>
    <m/>
    <m/>
    <m/>
    <m/>
    <s v="SOLRECOUP"/>
    <s v="SOLRECOUP"/>
    <s v="POARECOUP"/>
    <n v="21340121"/>
    <n v="-1851.11"/>
    <m/>
    <s v="Y"/>
    <n v="2"/>
    <d v="2023-07-06T19:54:23"/>
    <s v="N"/>
    <m/>
    <m/>
    <s v="Profit Cost"/>
    <m/>
    <s v="N"/>
    <n v="0"/>
    <n v="-308.52"/>
    <x v="4"/>
    <s v="VALIDATED"/>
    <n v="1"/>
    <s v="01.11.80.209.2013.0000"/>
    <n v="-308.52"/>
    <s v="11"/>
    <s v="2013"/>
    <n v="12089.9"/>
    <n v="-308.52"/>
    <s v="CREDITOR"/>
    <n v="0"/>
    <n v="0"/>
    <n v="-308.52"/>
    <n v="-77.13"/>
    <n v="0"/>
  </r>
  <r>
    <n v="11714995"/>
    <s v="N"/>
    <n v="21340122"/>
    <s v="3000007067700008RC"/>
    <s v="CIVIL"/>
    <d v="2023-06-19T00:00:00"/>
    <d v="2023-07-06T19:54:22"/>
    <m/>
    <d v="2023-07-06T00:00:00"/>
    <n v="1811"/>
    <n v="20140"/>
    <s v="11714995"/>
    <s v="11714995"/>
    <m/>
    <m/>
    <m/>
    <m/>
    <m/>
    <m/>
    <s v="SOLRECOUP"/>
    <s v="SOLRECOUP"/>
    <s v="POARECOUP"/>
    <n v="21340122"/>
    <n v="-80.40000000000001"/>
    <m/>
    <s v="Y"/>
    <n v="1"/>
    <d v="2023-07-06T19:54:23"/>
    <s v="N"/>
    <m/>
    <m/>
    <s v="Expert Disbursement"/>
    <m/>
    <s v="N"/>
    <n v="-67"/>
    <n v="0"/>
    <x v="4"/>
    <s v="VALIDATED"/>
    <n v="1"/>
    <s v="01.11.80.209.2013.0000"/>
    <n v="-67"/>
    <s v="11"/>
    <s v="2013"/>
    <n v="12089.9"/>
    <n v="-67"/>
    <s v="CREDITOR"/>
    <n v="0"/>
    <n v="0"/>
    <n v="-67"/>
    <n v="0"/>
    <n v="0"/>
  </r>
  <r>
    <n v="11714995"/>
    <s v="N"/>
    <n v="21340122"/>
    <s v="3000007067700008RC"/>
    <s v="CIVIL"/>
    <d v="2023-06-19T00:00:00"/>
    <d v="2023-07-06T19:54:22"/>
    <m/>
    <d v="2023-07-06T00:00:00"/>
    <n v="1811"/>
    <n v="20140"/>
    <s v="11714995"/>
    <s v="11714995"/>
    <m/>
    <m/>
    <m/>
    <m/>
    <m/>
    <m/>
    <s v="SOLRECOUP"/>
    <s v="SOLRECOUP"/>
    <s v="POARECOUP"/>
    <n v="21340122"/>
    <n v="-80.40000000000001"/>
    <m/>
    <s v="Y"/>
    <n v="2"/>
    <d v="2023-07-06T19:54:23"/>
    <s v="N"/>
    <m/>
    <m/>
    <s v="Expert Disbursement"/>
    <m/>
    <s v="N"/>
    <n v="0"/>
    <n v="-13.4"/>
    <x v="4"/>
    <s v="VALIDATED"/>
    <n v="1"/>
    <s v="01.11.80.209.2013.0000"/>
    <n v="-13.4"/>
    <s v="11"/>
    <s v="2013"/>
    <n v="12089.9"/>
    <n v="-13.4"/>
    <s v="CREDITOR"/>
    <n v="0"/>
    <n v="0"/>
    <n v="-13.4"/>
    <n v="0"/>
    <n v="0"/>
  </r>
  <r>
    <n v="11714995"/>
    <s v="N"/>
    <n v="21340123"/>
    <s v="3000007067700007RC"/>
    <s v="CIVIL"/>
    <d v="2023-06-19T00:00:00"/>
    <d v="2023-07-06T19:54:22"/>
    <m/>
    <d v="2023-07-06T00:00:00"/>
    <n v="1811"/>
    <n v="20140"/>
    <s v="11714995"/>
    <s v="11714995"/>
    <m/>
    <m/>
    <m/>
    <m/>
    <m/>
    <m/>
    <s v="SOLRECOUP"/>
    <s v="SOLRECOUP"/>
    <s v="POARECOUP"/>
    <n v="21340123"/>
    <n v="-2079.36"/>
    <m/>
    <s v="Y"/>
    <n v="1"/>
    <d v="2023-07-06T19:54:23"/>
    <s v="N"/>
    <m/>
    <m/>
    <s v="Profit Cost"/>
    <m/>
    <s v="N"/>
    <n v="-1732.8"/>
    <n v="0"/>
    <x v="4"/>
    <s v="VALIDATED"/>
    <n v="1"/>
    <s v="01.11.80.209.2013.0000"/>
    <n v="-1732.8"/>
    <s v="11"/>
    <s v="2013"/>
    <n v="12089.9"/>
    <n v="-1732.8"/>
    <s v="CREDITOR"/>
    <n v="0"/>
    <n v="0"/>
    <n v="-1732.8"/>
    <n v="-433.2"/>
    <n v="0"/>
  </r>
  <r>
    <n v="11714995"/>
    <s v="N"/>
    <n v="21340123"/>
    <s v="3000007067700007RC"/>
    <s v="CIVIL"/>
    <d v="2023-06-19T00:00:00"/>
    <d v="2023-07-06T19:54:22"/>
    <m/>
    <d v="2023-07-06T00:00:00"/>
    <n v="1811"/>
    <n v="20140"/>
    <s v="11714995"/>
    <s v="11714995"/>
    <m/>
    <m/>
    <m/>
    <m/>
    <m/>
    <m/>
    <s v="SOLRECOUP"/>
    <s v="SOLRECOUP"/>
    <s v="POARECOUP"/>
    <n v="21340123"/>
    <n v="-2079.36"/>
    <m/>
    <s v="Y"/>
    <n v="2"/>
    <d v="2023-07-06T19:54:23"/>
    <s v="N"/>
    <m/>
    <m/>
    <s v="Profit Cost"/>
    <m/>
    <s v="N"/>
    <n v="0"/>
    <n v="-346.56"/>
    <x v="4"/>
    <s v="VALIDATED"/>
    <n v="1"/>
    <s v="01.11.80.209.2013.0000"/>
    <n v="-346.56"/>
    <s v="11"/>
    <s v="2013"/>
    <n v="12089.9"/>
    <n v="-346.56"/>
    <s v="CREDITOR"/>
    <n v="0"/>
    <n v="0"/>
    <n v="-346.56"/>
    <n v="-86.64"/>
    <n v="0"/>
  </r>
  <r>
    <n v="11714995"/>
    <s v="N"/>
    <n v="21340124"/>
    <s v="3000007067700009RC"/>
    <s v="CIVIL"/>
    <d v="2023-06-19T00:00:00"/>
    <d v="2023-07-06T19:54:22"/>
    <m/>
    <d v="2023-07-06T00:00:00"/>
    <n v="1811"/>
    <n v="20140"/>
    <s v="11714995"/>
    <s v="11714995"/>
    <m/>
    <m/>
    <m/>
    <m/>
    <m/>
    <m/>
    <s v="SOLRECOUP"/>
    <s v="SOLRECOUP"/>
    <s v="POARECOUP"/>
    <n v="21340124"/>
    <n v="-757.4400000000001"/>
    <m/>
    <s v="Y"/>
    <n v="1"/>
    <d v="2023-07-06T19:54:23"/>
    <s v="N"/>
    <m/>
    <m/>
    <s v="Profit Cost"/>
    <m/>
    <s v="N"/>
    <n v="-631.2"/>
    <n v="0"/>
    <x v="4"/>
    <s v="VALIDATED"/>
    <n v="1"/>
    <s v="01.11.80.209.2013.0000"/>
    <n v="-631.2"/>
    <s v="11"/>
    <s v="2013"/>
    <n v="12089.9"/>
    <n v="-631.2"/>
    <s v="CREDITOR"/>
    <n v="0"/>
    <n v="0"/>
    <n v="-631.2"/>
    <n v="-157.8"/>
    <n v="0"/>
  </r>
  <r>
    <n v="11714995"/>
    <s v="N"/>
    <n v="21340124"/>
    <s v="3000007067700009RC"/>
    <s v="CIVIL"/>
    <d v="2023-06-19T00:00:00"/>
    <d v="2023-07-06T19:54:22"/>
    <m/>
    <d v="2023-07-06T00:00:00"/>
    <n v="1811"/>
    <n v="20140"/>
    <s v="11714995"/>
    <s v="11714995"/>
    <m/>
    <m/>
    <m/>
    <m/>
    <m/>
    <m/>
    <s v="SOLRECOUP"/>
    <s v="SOLRECOUP"/>
    <s v="POARECOUP"/>
    <n v="21340124"/>
    <n v="-757.4400000000001"/>
    <m/>
    <s v="Y"/>
    <n v="2"/>
    <d v="2023-07-06T19:54:23"/>
    <s v="N"/>
    <m/>
    <m/>
    <s v="Profit Cost"/>
    <m/>
    <s v="N"/>
    <n v="0"/>
    <n v="-126.24"/>
    <x v="4"/>
    <s v="VALIDATED"/>
    <n v="1"/>
    <s v="01.11.80.209.2013.0000"/>
    <n v="-126.24"/>
    <s v="11"/>
    <s v="2013"/>
    <n v="12089.9"/>
    <n v="-126.24"/>
    <s v="CREDITOR"/>
    <n v="0"/>
    <n v="0"/>
    <n v="-126.24"/>
    <n v="-31.56"/>
    <n v="0"/>
  </r>
  <r>
    <n v="11714995"/>
    <s v="N"/>
    <n v="21340125"/>
    <s v="3000007067700010RC"/>
    <s v="CIVIL"/>
    <d v="2023-06-19T00:00:00"/>
    <d v="2023-07-06T19:54:22"/>
    <m/>
    <d v="2023-07-06T00:00:00"/>
    <n v="1811"/>
    <n v="20140"/>
    <s v="11714995"/>
    <s v="11714995"/>
    <m/>
    <m/>
    <m/>
    <m/>
    <m/>
    <m/>
    <s v="SOLRECOUP"/>
    <s v="SOLRECOUP"/>
    <s v="POARECOUP"/>
    <n v="21340125"/>
    <n v="-2228.16"/>
    <m/>
    <s v="Y"/>
    <n v="1"/>
    <d v="2023-07-06T19:54:23"/>
    <s v="N"/>
    <m/>
    <m/>
    <s v="Profit Cost"/>
    <m/>
    <s v="N"/>
    <n v="-1856.8"/>
    <n v="0"/>
    <x v="4"/>
    <s v="VALIDATED"/>
    <n v="1"/>
    <s v="01.11.80.209.2013.0000"/>
    <n v="-1856.8"/>
    <s v="11"/>
    <s v="2013"/>
    <n v="12089.9"/>
    <n v="-1856.8"/>
    <s v="CREDITOR"/>
    <n v="0"/>
    <n v="0"/>
    <n v="-1856.8"/>
    <n v="-464.2"/>
    <n v="0"/>
  </r>
  <r>
    <n v="11714995"/>
    <s v="N"/>
    <n v="21340125"/>
    <s v="3000007067700010RC"/>
    <s v="CIVIL"/>
    <d v="2023-06-19T00:00:00"/>
    <d v="2023-07-06T19:54:22"/>
    <m/>
    <d v="2023-07-06T00:00:00"/>
    <n v="1811"/>
    <n v="20140"/>
    <s v="11714995"/>
    <s v="11714995"/>
    <m/>
    <m/>
    <m/>
    <m/>
    <m/>
    <m/>
    <s v="SOLRECOUP"/>
    <s v="SOLRECOUP"/>
    <s v="POARECOUP"/>
    <n v="21340125"/>
    <n v="-2228.16"/>
    <m/>
    <s v="Y"/>
    <n v="2"/>
    <d v="2023-07-06T19:54:23"/>
    <s v="N"/>
    <m/>
    <m/>
    <s v="Profit Cost"/>
    <m/>
    <s v="N"/>
    <n v="0"/>
    <n v="-371.36"/>
    <x v="4"/>
    <s v="VALIDATED"/>
    <n v="1"/>
    <s v="01.11.80.209.2013.0000"/>
    <n v="-371.36"/>
    <s v="11"/>
    <s v="2013"/>
    <n v="12089.9"/>
    <n v="-371.36"/>
    <s v="CREDITOR"/>
    <n v="0"/>
    <n v="0"/>
    <n v="-371.36"/>
    <n v="-92.84"/>
    <n v="0"/>
  </r>
  <r>
    <n v="11714995"/>
    <s v="N"/>
    <n v="21338344"/>
    <s v="3000007067700015"/>
    <s v="CIVIL"/>
    <d v="2023-06-19T00:00:00"/>
    <d v="2023-07-06T19:21:01"/>
    <m/>
    <d v="2023-07-06T00:00:00"/>
    <n v="1811"/>
    <n v="20140"/>
    <s v="11714995"/>
    <s v="11714995"/>
    <m/>
    <m/>
    <n v="22716932"/>
    <m/>
    <m/>
    <m/>
    <s v="SOLFIN"/>
    <s v="SOLFIN"/>
    <s v="CCMS"/>
    <n v="21338344"/>
    <n v="17052.18"/>
    <m/>
    <s v="N"/>
    <n v="97"/>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44"/>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58"/>
    <d v="2023-07-06T19:21:20"/>
    <s v="Y"/>
    <s v="Preparation - other"/>
    <s v="Non Family Hourly Rates"/>
    <s v="Profit Cost"/>
    <s v="JP"/>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323"/>
    <d v="2023-07-06T19:21:20"/>
    <s v="Y"/>
    <s v="Preparation - drafting pleadings"/>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06"/>
    <d v="2023-07-06T19:21:20"/>
    <s v="Y"/>
    <s v="Preparation - drafting statement"/>
    <s v="Non Family Hourly Rates"/>
    <s v="Profit Cost"/>
    <s v="JP"/>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28"/>
    <d v="2023-07-06T19:21:20"/>
    <s v="Y"/>
    <s v="Attendance upon client"/>
    <s v="Non Family Hourly Rates"/>
    <s v="Profit Cost"/>
    <s v="DGF"/>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270"/>
    <d v="2023-07-06T19:21:20"/>
    <s v="Y"/>
    <s v="Preparation - other"/>
    <s v="Non Family Hourly Rates"/>
    <s v="Profit Cost"/>
    <s v="DGF"/>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132"/>
    <d v="2023-07-06T19:21:20"/>
    <s v="Y"/>
    <s v="Preparation - other"/>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35"/>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109"/>
    <d v="2023-07-06T19:21:20"/>
    <s v="Y"/>
    <s v="Attendance upon client"/>
    <s v="Non Family Hourly Rates"/>
    <s v="Profit Cost"/>
    <s v="JP"/>
    <s v="Y"/>
    <n v="70.2"/>
    <n v="14.04"/>
    <x v="4"/>
    <s v="VALIDATED"/>
    <n v="1"/>
    <s v="01.11.80.209.6100.0000"/>
    <n v="70.2"/>
    <s v="11"/>
    <s v="6100"/>
    <n v="12089.9"/>
    <n v="70.2"/>
    <s v="CREDITOR"/>
    <n v="0"/>
    <n v="0"/>
    <n v="0"/>
    <n v="0"/>
    <n v="70.2"/>
  </r>
  <r>
    <n v="11714995"/>
    <s v="N"/>
    <n v="21338344"/>
    <s v="3000007067700015"/>
    <s v="CIVIL"/>
    <d v="2023-06-19T00:00:00"/>
    <d v="2023-07-06T19:21:01"/>
    <m/>
    <d v="2023-07-06T00:00:00"/>
    <n v="1811"/>
    <n v="20140"/>
    <s v="11714995"/>
    <s v="11714995"/>
    <m/>
    <m/>
    <n v="22716932"/>
    <m/>
    <m/>
    <m/>
    <s v="SOLFIN"/>
    <s v="SOLFIN"/>
    <s v="CCMS"/>
    <n v="21338344"/>
    <n v="17052.18"/>
    <m/>
    <s v="N"/>
    <n v="10"/>
    <d v="2023-07-06T19:21:20"/>
    <s v="N"/>
    <s v="Preparation - drafting instructions"/>
    <s v="Non Family Hourly Rates"/>
    <s v="Profit Cost"/>
    <s v="DGF"/>
    <s v="N"/>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60"/>
    <d v="2023-07-06T19:21:20"/>
    <s v="Y"/>
    <s v="Preparation - other"/>
    <s v="Non Family Hourly Rates"/>
    <s v="Profit Cost"/>
    <s v="DGF"/>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322"/>
    <d v="2023-07-06T19:21:20"/>
    <s v="Y"/>
    <s v="Preparation - other"/>
    <s v="Non Family Hourly Rates"/>
    <s v="Profit Cost"/>
    <s v="HR"/>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78"/>
    <d v="2023-07-06T19:21:20"/>
    <s v="Y"/>
    <s v="Attendance upon client"/>
    <s v="Non Family Hourly Rates"/>
    <s v="Profit Cost"/>
    <s v="HR"/>
    <s v="Y"/>
    <n v="70.2"/>
    <n v="14.04"/>
    <x v="4"/>
    <s v="VALIDATED"/>
    <n v="1"/>
    <s v="01.11.80.209.6100.0000"/>
    <n v="70.2"/>
    <s v="11"/>
    <s v="6100"/>
    <n v="12089.9"/>
    <n v="70.2"/>
    <s v="CREDITOR"/>
    <n v="0"/>
    <n v="0"/>
    <n v="0"/>
    <n v="0"/>
    <n v="70.2"/>
  </r>
  <r>
    <n v="11714995"/>
    <s v="N"/>
    <n v="21338344"/>
    <s v="3000007067700015"/>
    <s v="CIVIL"/>
    <d v="2023-06-19T00:00:00"/>
    <d v="2023-07-06T19:21:01"/>
    <m/>
    <d v="2023-07-06T00:00:00"/>
    <n v="1811"/>
    <n v="20140"/>
    <s v="11714995"/>
    <s v="11714995"/>
    <m/>
    <m/>
    <n v="22716932"/>
    <m/>
    <m/>
    <m/>
    <s v="SOLFIN"/>
    <s v="SOLFIN"/>
    <s v="CCMS"/>
    <n v="21338344"/>
    <n v="17052.18"/>
    <m/>
    <s v="N"/>
    <n v="79"/>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39"/>
    <d v="2023-07-06T19:21:20"/>
    <s v="Y"/>
    <s v="Attendance upon client"/>
    <s v="Non Family Hourly Rates"/>
    <s v="Profit Cost"/>
    <s v="HR"/>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262"/>
    <d v="2023-07-06T19:21:20"/>
    <s v="Y"/>
    <s v="Preparation - other"/>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52"/>
    <d v="2023-07-06T19:21:20"/>
    <s v="Y"/>
    <s v="Attendance upon other"/>
    <s v="Non Family Hourly Rates"/>
    <s v="Profit Cost"/>
    <s v="JP"/>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70"/>
    <d v="2023-07-06T19:21:20"/>
    <s v="Y"/>
    <s v="Preparation - other"/>
    <s v="Non Family Hourly Rates"/>
    <s v="Profit Cost"/>
    <s v="JP"/>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13"/>
    <d v="2023-07-06T19:21:20"/>
    <s v="Y"/>
    <s v="Preparation - drafting attendance n"/>
    <s v="Non Family Hourly Rates"/>
    <s v="Profit Cost"/>
    <s v="HR"/>
    <s v="Y"/>
    <n v="6.75"/>
    <n v="1.35"/>
    <x v="4"/>
    <s v="VALIDATED"/>
    <n v="1"/>
    <s v="01.11.80.209.6100.0000"/>
    <n v="6.75"/>
    <s v="11"/>
    <s v="6100"/>
    <n v="12089.9"/>
    <n v="6.75"/>
    <s v="CREDITOR"/>
    <n v="0"/>
    <n v="0"/>
    <n v="0"/>
    <n v="0"/>
    <n v="6.75"/>
  </r>
  <r>
    <n v="61877097"/>
    <s v="N"/>
    <n v="21344043"/>
    <s v="3000015939300002"/>
    <s v="CIVIL"/>
    <d v="2023-06-25T00:00:00"/>
    <d v="2023-07-07T19:03:00"/>
    <m/>
    <d v="2023-07-07T00:00:00"/>
    <n v="1811"/>
    <n v="20140"/>
    <s v="61877097"/>
    <s v="61877097"/>
    <m/>
    <m/>
    <n v="22757018"/>
    <m/>
    <m/>
    <m/>
    <s v="SOLFIN"/>
    <s v="SOLFIN"/>
    <s v="CCMS"/>
    <n v="21344043"/>
    <n v="8678"/>
    <m/>
    <s v="N"/>
    <n v="1"/>
    <d v="2023-07-07T19:03:21"/>
    <s v="Y"/>
    <s v="Solicitor Travel Mileage"/>
    <s v="Non Family Hourly Rates"/>
    <s v="Non Expert Disbursement"/>
    <s v="so"/>
    <s v="Y"/>
    <n v="22.05"/>
    <n v="4.41"/>
    <x v="9"/>
    <s v="VALIDATED"/>
    <n v="1"/>
    <s v="01.11.80.209.6300.0000"/>
    <n v="22.05"/>
    <s v="11"/>
    <s v="6300"/>
    <n v="12089.9"/>
    <n v="22.05"/>
    <s v="CREDITOR"/>
    <n v="0"/>
    <n v="0"/>
    <n v="0"/>
    <n v="0"/>
    <n v="22.05"/>
  </r>
  <r>
    <n v="11714995"/>
    <s v="N"/>
    <n v="21338344"/>
    <s v="3000007067700015"/>
    <s v="CIVIL"/>
    <d v="2023-06-19T00:00:00"/>
    <d v="2023-07-06T19:21:01"/>
    <m/>
    <d v="2023-07-06T00:00:00"/>
    <n v="1811"/>
    <n v="20140"/>
    <s v="11714995"/>
    <s v="11714995"/>
    <m/>
    <m/>
    <n v="22716932"/>
    <m/>
    <m/>
    <m/>
    <s v="SOLFIN"/>
    <s v="SOLFIN"/>
    <s v="CCMS"/>
    <n v="21338344"/>
    <n v="17052.18"/>
    <m/>
    <s v="N"/>
    <n v="321"/>
    <d v="2023-07-06T19:21:20"/>
    <s v="Y"/>
    <s v="Preparation - other"/>
    <s v="Non Family Hourly Rates"/>
    <s v="Profit Cost"/>
    <s v="HR"/>
    <s v="Y"/>
    <n v="131.63"/>
    <n v="26.33"/>
    <x v="4"/>
    <s v="VALIDATED"/>
    <n v="1"/>
    <s v="01.11.80.209.6100.0000"/>
    <n v="131.63"/>
    <s v="11"/>
    <s v="6100"/>
    <n v="12089.9"/>
    <n v="131.63"/>
    <s v="CREDITOR"/>
    <n v="0"/>
    <n v="0"/>
    <n v="0"/>
    <n v="0"/>
    <n v="131.63"/>
  </r>
  <r>
    <n v="11714995"/>
    <s v="N"/>
    <n v="21338344"/>
    <s v="3000007067700015"/>
    <s v="CIVIL"/>
    <d v="2023-06-19T00:00:00"/>
    <d v="2023-07-06T19:21:01"/>
    <m/>
    <d v="2023-07-06T00:00:00"/>
    <n v="1811"/>
    <n v="20140"/>
    <s v="11714995"/>
    <s v="11714995"/>
    <m/>
    <m/>
    <n v="22716932"/>
    <m/>
    <m/>
    <m/>
    <s v="SOLFIN"/>
    <s v="SOLFIN"/>
    <s v="CCMS"/>
    <n v="21338344"/>
    <n v="17052.18"/>
    <m/>
    <s v="N"/>
    <n v="197"/>
    <d v="2023-07-06T19:21:20"/>
    <s v="Y"/>
    <s v="Preparation - drafting attendance n"/>
    <s v="Non Family Hourly Rates"/>
    <s v="Profit Cost"/>
    <s v="HR"/>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10"/>
    <d v="2023-07-06T19:21:20"/>
    <s v="Y"/>
    <s v="Attendance upon cli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1"/>
    <d v="2023-07-06T19:21:20"/>
    <s v="N"/>
    <s v="Preparation - drafting affidavit"/>
    <s v="Non Family Hourly Rates"/>
    <s v="Profit Cost"/>
    <s v="DGF"/>
    <s v="N"/>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62"/>
    <d v="2023-07-06T19:21:20"/>
    <s v="Y"/>
    <s v="Preparation - drafting statement"/>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99"/>
    <d v="2023-07-06T19:21:20"/>
    <s v="Y"/>
    <s v="Attendance upon client"/>
    <s v="Non Family Hourly Rates"/>
    <s v="Profit Cost"/>
    <s v="HR"/>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42"/>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8"/>
    <d v="2023-07-06T19:21:20"/>
    <s v="Y"/>
    <s v="Preparation - other"/>
    <s v="Non Family Hourly Rates"/>
    <s v="Profit Cost"/>
    <s v="JP"/>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67"/>
    <d v="2023-07-06T19:21:20"/>
    <s v="Y"/>
    <s v="Attendance upon client"/>
    <s v="Non Family Hourly Rates"/>
    <s v="Profit Cost"/>
    <s v="SDO"/>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43"/>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29"/>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
    <d v="2023-07-06T19:21:20"/>
    <s v="N"/>
    <s v="Preparation - other"/>
    <s v="Non Family Hourly Rates"/>
    <s v="Profit Cost"/>
    <s v="DGF"/>
    <s v="N"/>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6"/>
    <d v="2023-07-06T19:21:20"/>
    <s v="N"/>
    <s v="Preparation - drafting notice(s)"/>
    <s v="Non Family Hourly Rates"/>
    <s v="Profit Cost"/>
    <s v="DGF"/>
    <s v="N"/>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87"/>
    <d v="2023-07-06T19:21:20"/>
    <s v="Y"/>
    <s v="Preparation - drafting pleadings"/>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150"/>
    <d v="2023-07-06T19:21:20"/>
    <s v="Y"/>
    <s v="Preparation - other"/>
    <s v="Non Family Hourly Rates"/>
    <s v="Profit Cost"/>
    <s v="DGF"/>
    <s v="Y"/>
    <n v="40.5"/>
    <n v="8.1"/>
    <x v="4"/>
    <s v="VALIDATED"/>
    <n v="1"/>
    <s v="01.11.80.209.6100.0000"/>
    <n v="40.5"/>
    <s v="11"/>
    <s v="6100"/>
    <n v="12089.9"/>
    <n v="40.5"/>
    <s v="CREDITOR"/>
    <n v="0"/>
    <n v="0"/>
    <n v="0"/>
    <n v="0"/>
    <n v="40.5"/>
  </r>
  <r>
    <n v="11714995"/>
    <s v="N"/>
    <n v="21338344"/>
    <s v="3000007067700015"/>
    <s v="CIVIL"/>
    <d v="2023-06-19T00:00:00"/>
    <d v="2023-07-06T19:21:01"/>
    <m/>
    <d v="2023-07-06T00:00:00"/>
    <n v="1811"/>
    <n v="20140"/>
    <s v="11714995"/>
    <s v="11714995"/>
    <m/>
    <m/>
    <n v="22716932"/>
    <m/>
    <m/>
    <m/>
    <s v="SOLFIN"/>
    <s v="SOLFIN"/>
    <s v="CCMS"/>
    <n v="21338344"/>
    <n v="17052.18"/>
    <m/>
    <s v="N"/>
    <n v="50"/>
    <d v="2023-07-06T19:21:20"/>
    <s v="Y"/>
    <s v="Attendance upon client"/>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96"/>
    <d v="2023-07-06T19:21:20"/>
    <s v="Y"/>
    <s v="Attendance upon client"/>
    <s v="Non Family Hourly Rates"/>
    <s v="Profit Cost"/>
    <s v="JP"/>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98"/>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49"/>
    <d v="2023-07-06T19:21:20"/>
    <s v="Y"/>
    <s v="Attendance upon client"/>
    <s v="Non Family Hourly Rates"/>
    <s v="Profit Cost"/>
    <s v="HR"/>
    <s v="Y"/>
    <n v="70.2"/>
    <n v="14.04"/>
    <x v="4"/>
    <s v="VALIDATED"/>
    <n v="1"/>
    <s v="01.11.80.209.6100.0000"/>
    <n v="70.2"/>
    <s v="11"/>
    <s v="6100"/>
    <n v="12089.9"/>
    <n v="70.2"/>
    <s v="CREDITOR"/>
    <n v="0"/>
    <n v="0"/>
    <n v="0"/>
    <n v="0"/>
    <n v="70.2"/>
  </r>
  <r>
    <n v="11714995"/>
    <s v="N"/>
    <n v="21338344"/>
    <s v="3000007067700015"/>
    <s v="CIVIL"/>
    <d v="2023-06-19T00:00:00"/>
    <d v="2023-07-06T19:21:01"/>
    <m/>
    <d v="2023-07-06T00:00:00"/>
    <n v="1811"/>
    <n v="20140"/>
    <s v="11714995"/>
    <s v="11714995"/>
    <m/>
    <m/>
    <n v="22716932"/>
    <m/>
    <m/>
    <m/>
    <s v="SOLFIN"/>
    <s v="SOLFIN"/>
    <s v="CCMS"/>
    <n v="21338344"/>
    <n v="17052.18"/>
    <m/>
    <s v="N"/>
    <n v="160"/>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181"/>
    <d v="2023-07-06T19:21:20"/>
    <s v="Y"/>
    <s v="Preparation - other"/>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319"/>
    <d v="2023-07-06T19:21:20"/>
    <s v="Y"/>
    <s v="Report - Medical report"/>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66"/>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326"/>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69"/>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44"/>
    <d v="2023-07-06T19:21:20"/>
    <s v="Y"/>
    <s v="Preparation - other"/>
    <s v="Non Family Hourly Rates"/>
    <s v="Profit Cost"/>
    <s v="HR"/>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216"/>
    <d v="2023-07-06T19:21:20"/>
    <s v="Y"/>
    <s v="Attendance upon cli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8"/>
    <d v="2023-07-06T19:21:20"/>
    <s v="N"/>
    <s v="Preparation - drafting instructions"/>
    <s v="Non Family Hourly Rates"/>
    <s v="Profit Cost"/>
    <s v="DGF"/>
    <s v="N"/>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52"/>
    <d v="2023-07-06T19:21:20"/>
    <s v="Y"/>
    <s v="Preparation - other"/>
    <s v="Non Family Hourly Rates"/>
    <s v="Profit Cost"/>
    <s v="HR"/>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77"/>
    <d v="2023-07-06T19:21:20"/>
    <s v="Y"/>
    <s v="Preparation - other"/>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312"/>
    <d v="2023-07-06T19:21:20"/>
    <s v="Y"/>
    <s v="Preparation - other"/>
    <s v="Non Family Hourly Rates"/>
    <s v="Profit Cost"/>
    <s v="DGF"/>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329"/>
    <d v="2023-07-06T19:21:20"/>
    <s v="Y"/>
    <s v="Attendance upon client"/>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81"/>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40"/>
    <d v="2023-07-06T19:21:20"/>
    <s v="Y"/>
    <s v="Attendance upon client"/>
    <s v="Non Family Hourly Rates"/>
    <s v="Profit Cost"/>
    <s v="HR"/>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121"/>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32"/>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233"/>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36"/>
    <d v="2023-07-06T19:21:20"/>
    <s v="Y"/>
    <s v="Preparation - other"/>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05"/>
    <d v="2023-07-06T19:21:20"/>
    <s v="Y"/>
    <s v="Advocacy - In court behind Counsel"/>
    <s v="Non Family Hourly Rates"/>
    <s v="Advocacy"/>
    <s v="CE"/>
    <s v="Y"/>
    <n v="43.29"/>
    <n v="8.66"/>
    <x v="4"/>
    <s v="VALIDATED"/>
    <n v="1"/>
    <s v="01.11.80.209.6100.0000"/>
    <n v="43.29"/>
    <s v="11"/>
    <s v="6100"/>
    <n v="12089.9"/>
    <n v="43.29"/>
    <s v="CREDITOR"/>
    <n v="0"/>
    <n v="0"/>
    <n v="0"/>
    <n v="0"/>
    <n v="43.29"/>
  </r>
  <r>
    <n v="11714995"/>
    <s v="N"/>
    <n v="21338344"/>
    <s v="3000007067700015"/>
    <s v="CIVIL"/>
    <d v="2023-06-19T00:00:00"/>
    <d v="2023-07-06T19:21:01"/>
    <m/>
    <d v="2023-07-06T00:00:00"/>
    <n v="1811"/>
    <n v="20140"/>
    <s v="11714995"/>
    <s v="11714995"/>
    <m/>
    <m/>
    <n v="22716932"/>
    <m/>
    <m/>
    <m/>
    <s v="SOLFIN"/>
    <s v="SOLFIN"/>
    <s v="CCMS"/>
    <n v="21338344"/>
    <n v="17052.18"/>
    <m/>
    <s v="N"/>
    <n v="144"/>
    <d v="2023-07-06T19:21:20"/>
    <s v="Y"/>
    <s v="Preparation - other"/>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294"/>
    <d v="2023-07-06T19:21:20"/>
    <s v="Y"/>
    <s v="Report - Counsel's opinion"/>
    <s v="Non Family Hourly Rates"/>
    <s v="Profit Cost"/>
    <s v="HR"/>
    <s v="Y"/>
    <n v="70.2"/>
    <n v="14.04"/>
    <x v="4"/>
    <s v="VALIDATED"/>
    <n v="1"/>
    <s v="01.11.80.209.6100.0000"/>
    <n v="70.2"/>
    <s v="11"/>
    <s v="6100"/>
    <n v="12089.9"/>
    <n v="70.2"/>
    <s v="CREDITOR"/>
    <n v="0"/>
    <n v="0"/>
    <n v="0"/>
    <n v="0"/>
    <n v="70.2"/>
  </r>
  <r>
    <n v="61877097"/>
    <s v="N"/>
    <n v="21344043"/>
    <s v="3000015939300002"/>
    <s v="CIVIL"/>
    <d v="2023-06-25T00:00:00"/>
    <d v="2023-07-07T19:03:00"/>
    <m/>
    <d v="2023-07-07T00:00:00"/>
    <n v="1811"/>
    <n v="20140"/>
    <s v="61877097"/>
    <s v="61877097"/>
    <m/>
    <m/>
    <n v="22757018"/>
    <m/>
    <m/>
    <m/>
    <s v="SOLFIN"/>
    <s v="SOLFIN"/>
    <s v="CCMS"/>
    <n v="21344043"/>
    <n v="8678"/>
    <m/>
    <s v="N"/>
    <n v="3"/>
    <d v="2023-07-07T19:03:21"/>
    <s v="Y"/>
    <s v="Profit Costs (Summary)"/>
    <s v="Non Family Hourly Rates"/>
    <s v="Profit Cost"/>
    <s v="so"/>
    <s v="Y"/>
    <n v="7167.32"/>
    <n v="1433.46"/>
    <x v="9"/>
    <s v="VALIDATED"/>
    <n v="1"/>
    <s v="01.11.80.209.6100.0000"/>
    <n v="7167.32"/>
    <s v="11"/>
    <s v="6100"/>
    <n v="12089.9"/>
    <n v="7167.32"/>
    <s v="CREDITOR"/>
    <n v="0"/>
    <n v="0"/>
    <n v="0"/>
    <n v="0"/>
    <n v="7167.32"/>
  </r>
  <r>
    <n v="11714995"/>
    <s v="N"/>
    <n v="21338344"/>
    <s v="3000007067700015"/>
    <s v="CIVIL"/>
    <d v="2023-06-19T00:00:00"/>
    <d v="2023-07-06T19:21:01"/>
    <m/>
    <d v="2023-07-06T00:00:00"/>
    <n v="1811"/>
    <n v="20140"/>
    <s v="11714995"/>
    <s v="11714995"/>
    <m/>
    <m/>
    <n v="22716932"/>
    <m/>
    <m/>
    <m/>
    <s v="SOLFIN"/>
    <s v="SOLFIN"/>
    <s v="CCMS"/>
    <n v="21338344"/>
    <n v="17052.18"/>
    <m/>
    <s v="N"/>
    <n v="279"/>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68"/>
    <d v="2023-07-06T19:21:20"/>
    <s v="Y"/>
    <s v="Attendance upon other"/>
    <s v="Non Family Hourly Rates"/>
    <s v="Profit Cost"/>
    <s v="JP"/>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107"/>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53"/>
    <d v="2023-07-06T19:21:20"/>
    <s v="Y"/>
    <s v="Preparation - other"/>
    <s v="Non Family Hourly Rates"/>
    <s v="Profit Cost"/>
    <s v="HR"/>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119"/>
    <d v="2023-07-06T19:21:20"/>
    <s v="Y"/>
    <s v="Preparation - other"/>
    <s v="Non Family Hourly Rates"/>
    <s v="Profit Cost"/>
    <s v="DGF"/>
    <s v="Y"/>
    <n v="8.779999999999999"/>
    <n v="1.76"/>
    <x v="4"/>
    <s v="VALIDATED"/>
    <n v="1"/>
    <s v="01.11.80.209.6100.0000"/>
    <n v="8.779999999999999"/>
    <s v="11"/>
    <s v="6100"/>
    <n v="12089.9"/>
    <n v="8.779999999999999"/>
    <s v="CREDITOR"/>
    <n v="0"/>
    <n v="0"/>
    <n v="0"/>
    <n v="0"/>
    <n v="8.779999999999999"/>
  </r>
  <r>
    <n v="11714995"/>
    <s v="N"/>
    <n v="21338344"/>
    <s v="3000007067700015"/>
    <s v="CIVIL"/>
    <d v="2023-06-19T00:00:00"/>
    <d v="2023-07-06T19:21:01"/>
    <m/>
    <d v="2023-07-06T00:00:00"/>
    <n v="1811"/>
    <n v="20140"/>
    <s v="11714995"/>
    <s v="11714995"/>
    <m/>
    <m/>
    <n v="22716932"/>
    <m/>
    <m/>
    <m/>
    <s v="SOLFIN"/>
    <s v="SOLFIN"/>
    <s v="CCMS"/>
    <n v="21338344"/>
    <n v="17052.18"/>
    <m/>
    <s v="N"/>
    <n v="264"/>
    <d v="2023-07-06T19:21:20"/>
    <s v="Y"/>
    <s v="Attendance upon cli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73"/>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16"/>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67"/>
    <d v="2023-07-06T19:21:20"/>
    <s v="Y"/>
    <s v="Attendance upon other"/>
    <s v="Non Family Hourly Rates"/>
    <s v="Profit Cost"/>
    <s v="JP"/>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343"/>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46"/>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8"/>
    <d v="2023-07-06T19:21:20"/>
    <s v="Y"/>
    <s v="Preparation - drafting attendance n"/>
    <s v="Non Family Hourly Rates"/>
    <s v="Profit Cost"/>
    <s v="JP"/>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1"/>
    <d v="2023-07-06T19:21:20"/>
    <s v="Y"/>
    <s v="Preparation - drafting pleadings"/>
    <s v="Non Family Hourly Rates"/>
    <s v="Profit Cost"/>
    <s v="DGF"/>
    <s v="Y"/>
    <n v="28.9"/>
    <n v="5.78"/>
    <x v="4"/>
    <s v="VALIDATED"/>
    <n v="1"/>
    <s v="01.11.80.209.6100.0000"/>
    <n v="28.9"/>
    <s v="11"/>
    <s v="6100"/>
    <n v="12089.9"/>
    <n v="28.9"/>
    <s v="CREDITOR"/>
    <n v="0"/>
    <n v="0"/>
    <n v="0"/>
    <n v="0"/>
    <n v="28.9"/>
  </r>
  <r>
    <n v="11714995"/>
    <s v="N"/>
    <n v="21338344"/>
    <s v="3000007067700015"/>
    <s v="CIVIL"/>
    <d v="2023-06-19T00:00:00"/>
    <d v="2023-07-06T19:21:01"/>
    <m/>
    <d v="2023-07-06T00:00:00"/>
    <n v="1811"/>
    <n v="20140"/>
    <s v="11714995"/>
    <s v="11714995"/>
    <m/>
    <m/>
    <n v="22716932"/>
    <m/>
    <m/>
    <m/>
    <s v="SOLFIN"/>
    <s v="SOLFIN"/>
    <s v="CCMS"/>
    <n v="21338344"/>
    <n v="17052.18"/>
    <m/>
    <s v="N"/>
    <n v="166"/>
    <d v="2023-07-06T19:21:20"/>
    <s v="Y"/>
    <s v="Preparation - drafting instructions"/>
    <s v="Non Family Hourly Rates"/>
    <s v="Profit Cost"/>
    <s v="HR"/>
    <s v="Y"/>
    <n v="87.75"/>
    <n v="17.55"/>
    <x v="4"/>
    <s v="VALIDATED"/>
    <n v="1"/>
    <s v="01.11.80.209.6100.0000"/>
    <n v="87.75"/>
    <s v="11"/>
    <s v="6100"/>
    <n v="12089.9"/>
    <n v="87.75"/>
    <s v="CREDITOR"/>
    <n v="0"/>
    <n v="0"/>
    <n v="0"/>
    <n v="0"/>
    <n v="87.75"/>
  </r>
  <r>
    <n v="61861885"/>
    <s v="N"/>
    <n v="21327762"/>
    <s v="3000015926010001"/>
    <s v="CIVIL"/>
    <d v="2023-06-25T00:00:00"/>
    <d v="2023-07-04T19:00:44"/>
    <m/>
    <d v="2023-07-04T00:00:00"/>
    <n v="1811"/>
    <n v="20140"/>
    <s v="61861885"/>
    <s v="61861885"/>
    <m/>
    <m/>
    <n v="22757028"/>
    <m/>
    <m/>
    <m/>
    <s v="SOLFIN"/>
    <s v="SOLFIN"/>
    <s v="CCMS"/>
    <n v="21327762"/>
    <n v="9571.08"/>
    <m/>
    <s v="N"/>
    <n v="1"/>
    <d v="2023-07-04T19:00:54"/>
    <s v="Y"/>
    <s v="Solicitor Travel Mileage"/>
    <s v="Non Family Hourly Rates"/>
    <s v="Non Expert Disbursement"/>
    <s v="SO"/>
    <s v="Y"/>
    <n v="34.65"/>
    <n v="6.93"/>
    <x v="1"/>
    <s v="VALIDATED"/>
    <n v="1"/>
    <s v="01.11.80.209.6300.0000"/>
    <n v="34.65"/>
    <s v="11"/>
    <s v="6300"/>
    <n v="12089.9"/>
    <n v="34.65"/>
    <s v="CREDITOR"/>
    <n v="0"/>
    <n v="0"/>
    <n v="0"/>
    <n v="0"/>
    <n v="34.65"/>
  </r>
  <r>
    <n v="11714995"/>
    <s v="N"/>
    <n v="21338344"/>
    <s v="3000007067700015"/>
    <s v="CIVIL"/>
    <d v="2023-06-19T00:00:00"/>
    <d v="2023-07-06T19:21:01"/>
    <m/>
    <d v="2023-07-06T00:00:00"/>
    <n v="1811"/>
    <n v="20140"/>
    <s v="11714995"/>
    <s v="11714995"/>
    <m/>
    <m/>
    <n v="22716932"/>
    <m/>
    <m/>
    <m/>
    <s v="SOLFIN"/>
    <s v="SOLFIN"/>
    <s v="CCMS"/>
    <n v="21338344"/>
    <n v="17052.18"/>
    <m/>
    <s v="N"/>
    <n v="235"/>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114"/>
    <d v="2023-07-06T19:21:20"/>
    <s v="Y"/>
    <s v="Preparation - other"/>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75"/>
    <d v="2023-07-06T19:21:20"/>
    <s v="Y"/>
    <s v="Attendance upon client"/>
    <s v="Non Family Hourly Rates"/>
    <s v="Profit Cost"/>
    <s v="JP"/>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48"/>
    <d v="2023-07-06T19:21:20"/>
    <s v="Y"/>
    <s v="Preparation - other"/>
    <s v="Non Family Hourly Rates"/>
    <s v="Profit Cost"/>
    <s v="JP"/>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324"/>
    <d v="2023-07-06T19:21:20"/>
    <s v="Y"/>
    <s v="Report - Counsel's opinion"/>
    <s v="Non Family Hourly Rates"/>
    <s v="Profit Cost"/>
    <s v="HR"/>
    <s v="Y"/>
    <n v="131.63"/>
    <n v="26.33"/>
    <x v="4"/>
    <s v="VALIDATED"/>
    <n v="1"/>
    <s v="01.11.80.209.6100.0000"/>
    <n v="131.63"/>
    <s v="11"/>
    <s v="6100"/>
    <n v="12089.9"/>
    <n v="131.63"/>
    <s v="CREDITOR"/>
    <n v="0"/>
    <n v="0"/>
    <n v="0"/>
    <n v="0"/>
    <n v="131.63"/>
  </r>
  <r>
    <n v="11714995"/>
    <s v="N"/>
    <n v="21338344"/>
    <s v="3000007067700015"/>
    <s v="CIVIL"/>
    <d v="2023-06-19T00:00:00"/>
    <d v="2023-07-06T19:21:01"/>
    <m/>
    <d v="2023-07-06T00:00:00"/>
    <n v="1811"/>
    <n v="20140"/>
    <s v="11714995"/>
    <s v="11714995"/>
    <m/>
    <m/>
    <n v="22716932"/>
    <m/>
    <m/>
    <m/>
    <s v="SOLFIN"/>
    <s v="SOLFIN"/>
    <s v="CCMS"/>
    <n v="21338344"/>
    <n v="17052.18"/>
    <m/>
    <s v="N"/>
    <n v="72"/>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40"/>
    <d v="2023-07-06T19:21:20"/>
    <s v="Y"/>
    <s v="Preparation - drafting attendance n"/>
    <s v="Non Family Hourly Rates"/>
    <s v="Profit Cost"/>
    <s v="HR"/>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85"/>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130"/>
    <d v="2023-07-06T19:21:20"/>
    <s v="Y"/>
    <s v="Attendance upon client"/>
    <s v="Non Family Hourly Rates"/>
    <s v="Profit Cost"/>
    <s v="SDO"/>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78"/>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147"/>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02"/>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07"/>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45"/>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38"/>
    <d v="2023-07-06T19:21:20"/>
    <s v="Y"/>
    <s v="Preparation - other"/>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82"/>
    <d v="2023-07-06T19:21:20"/>
    <s v="Y"/>
    <s v="Preparation - other"/>
    <s v="Non Family Hourly Rates"/>
    <s v="Profit Cost"/>
    <s v="JP"/>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98"/>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325"/>
    <d v="2023-07-06T19:21:20"/>
    <s v="Y"/>
    <s v="Attendance upon client"/>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09"/>
    <d v="2023-07-06T19:21:20"/>
    <s v="Y"/>
    <s v="Attendance upon client"/>
    <s v="Non Family Hourly Rates"/>
    <s v="Profit Cost"/>
    <s v="HR"/>
    <s v="Y"/>
    <n v="78.98"/>
    <n v="15.8"/>
    <x v="4"/>
    <s v="VALIDATED"/>
    <n v="1"/>
    <s v="01.11.80.209.6100.0000"/>
    <n v="78.98"/>
    <s v="11"/>
    <s v="6100"/>
    <n v="12089.9"/>
    <n v="78.98"/>
    <s v="CREDITOR"/>
    <n v="0"/>
    <n v="0"/>
    <n v="0"/>
    <n v="0"/>
    <n v="78.98"/>
  </r>
  <r>
    <n v="11714995"/>
    <s v="N"/>
    <n v="21338344"/>
    <s v="3000007067700015"/>
    <s v="CIVIL"/>
    <d v="2023-06-19T00:00:00"/>
    <d v="2023-07-06T19:21:01"/>
    <m/>
    <d v="2023-07-06T00:00:00"/>
    <n v="1811"/>
    <n v="20140"/>
    <s v="11714995"/>
    <s v="11714995"/>
    <m/>
    <m/>
    <n v="22716932"/>
    <m/>
    <m/>
    <m/>
    <s v="SOLFIN"/>
    <s v="SOLFIN"/>
    <s v="CCMS"/>
    <n v="21338344"/>
    <n v="17052.18"/>
    <m/>
    <s v="N"/>
    <n v="77"/>
    <d v="2023-07-06T19:21:20"/>
    <s v="Y"/>
    <s v="Preparation - other"/>
    <s v="Non Family Hourly Rates"/>
    <s v="Profit Cost"/>
    <s v="JS"/>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20"/>
    <d v="2023-07-06T19:21:20"/>
    <s v="Y"/>
    <s v="Preparation - other"/>
    <s v="Non Family Hourly Rates"/>
    <s v="Profit Cost"/>
    <s v="DGF"/>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245"/>
    <d v="2023-07-06T19:21:20"/>
    <s v="Y"/>
    <s v="Preparation - other"/>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4"/>
    <d v="2023-07-06T19:21:20"/>
    <s v="N"/>
    <s v="Preparation - other"/>
    <s v="Non Family Hourly Rates"/>
    <s v="Profit Cost"/>
    <s v="DGF"/>
    <s v="N"/>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251"/>
    <d v="2023-07-06T19:21:20"/>
    <s v="Y"/>
    <s v="Preparation - other"/>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33"/>
    <d v="2023-07-06T19:21:20"/>
    <s v="Y"/>
    <s v="Attendance upon client"/>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74"/>
    <d v="2023-07-06T19:21:20"/>
    <s v="Y"/>
    <s v="Preparation - other"/>
    <s v="Non Family Hourly Rates"/>
    <s v="Profit Cost"/>
    <s v="DGF"/>
    <s v="Y"/>
    <n v="13.5"/>
    <n v="2.7"/>
    <x v="4"/>
    <s v="VALIDATED"/>
    <n v="1"/>
    <s v="01.11.80.209.6100.0000"/>
    <n v="13.5"/>
    <s v="11"/>
    <s v="6100"/>
    <n v="12089.9"/>
    <n v="13.5"/>
    <s v="CREDITOR"/>
    <n v="0"/>
    <n v="0"/>
    <n v="0"/>
    <n v="0"/>
    <n v="13.5"/>
  </r>
  <r>
    <n v="62152039"/>
    <s v="N"/>
    <n v="21323044"/>
    <s v="3000016159830002"/>
    <s v="CIVIL"/>
    <d v="2023-06-29T00:00:00"/>
    <d v="2023-07-03T19:05:36"/>
    <m/>
    <d v="2023-07-03T00:00:00"/>
    <n v="1811"/>
    <n v="20140"/>
    <s v="62152039"/>
    <s v="62152039"/>
    <m/>
    <m/>
    <n v="22791978"/>
    <m/>
    <m/>
    <m/>
    <s v="SOLPOA"/>
    <s v="SOLPOA"/>
    <s v="CCMS"/>
    <n v="21323044"/>
    <n v="30"/>
    <m/>
    <s v="N"/>
    <n v="1"/>
    <d v="2023-07-03T19:05:41"/>
    <s v="N"/>
    <s v="Expert Cost - Domestic Abuse"/>
    <s v="Expert Cost - Domestic Abuse"/>
    <s v="Expert Disbursement"/>
    <s v="HR"/>
    <s v="N"/>
    <n v="30"/>
    <n v="0"/>
    <x v="3"/>
    <s v="VALIDATED"/>
    <n v="1"/>
    <s v="01.11.80.302.2012.0000"/>
    <n v="30"/>
    <s v="11"/>
    <s v="2012"/>
    <n v="12089.9"/>
    <n v="30"/>
    <s v="CREDITOR"/>
    <n v="30"/>
    <n v="0"/>
    <n v="0"/>
    <n v="0"/>
    <n v="0"/>
  </r>
  <r>
    <n v="11714995"/>
    <s v="N"/>
    <n v="21338344"/>
    <s v="3000007067700015"/>
    <s v="CIVIL"/>
    <d v="2023-06-19T00:00:00"/>
    <d v="2023-07-06T19:21:01"/>
    <m/>
    <d v="2023-07-06T00:00:00"/>
    <n v="1811"/>
    <n v="20140"/>
    <s v="11714995"/>
    <s v="11714995"/>
    <m/>
    <m/>
    <n v="22716932"/>
    <m/>
    <m/>
    <m/>
    <s v="SOLFIN"/>
    <s v="SOLFIN"/>
    <s v="CCMS"/>
    <n v="21338344"/>
    <n v="17052.18"/>
    <m/>
    <s v="N"/>
    <n v="231"/>
    <d v="2023-07-06T19:21:20"/>
    <s v="Y"/>
    <s v="Attendance upon client"/>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3"/>
    <d v="2023-07-06T19:21:20"/>
    <s v="N"/>
    <s v="Preparation - drafting attendance n"/>
    <s v="Non Family Hourly Rates"/>
    <s v="Profit Cost"/>
    <s v="DGF"/>
    <s v="N"/>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27"/>
    <d v="2023-07-06T19:21:20"/>
    <s v="Y"/>
    <s v="Attendance upon client"/>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53"/>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306"/>
    <d v="2023-07-06T19:21:20"/>
    <s v="Y"/>
    <s v="Attendance upon client"/>
    <s v="Non Family Hourly Rates"/>
    <s v="Profit Cost"/>
    <s v="SDO"/>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310"/>
    <d v="2023-07-06T19:21:20"/>
    <s v="Y"/>
    <s v="Preparation - other"/>
    <s v="Non Family Hourly Rates"/>
    <s v="Profit Cost"/>
    <s v="HR"/>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315"/>
    <d v="2023-07-06T19:21:20"/>
    <s v="Y"/>
    <s v="Attendance upon client"/>
    <s v="Non Family Hourly Rates"/>
    <s v="Profit Cost"/>
    <s v="SDO"/>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12"/>
    <d v="2023-07-06T19:21:20"/>
    <s v="Y"/>
    <s v="Preparation - drafting pleadings"/>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243"/>
    <d v="2023-07-06T19:21:20"/>
    <s v="Y"/>
    <s v="Preparation - other"/>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71"/>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275"/>
    <d v="2023-07-06T19:21:20"/>
    <s v="Y"/>
    <s v="Preparation - other"/>
    <s v="Non Family Hourly Rates"/>
    <s v="Profit Cost"/>
    <s v="DGF"/>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290"/>
    <d v="2023-07-06T19:21:20"/>
    <s v="Y"/>
    <s v="Preparation - other"/>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305"/>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79"/>
    <d v="2023-07-06T19:21:20"/>
    <s v="Y"/>
    <s v="Attendance upon/with Counsel at Con"/>
    <s v="Non Family Hourly Rates"/>
    <s v="Profit Cost"/>
    <s v="HR"/>
    <s v="Y"/>
    <n v="39.96"/>
    <n v="7.99"/>
    <x v="4"/>
    <s v="VALIDATED"/>
    <n v="1"/>
    <s v="01.11.80.209.6100.0000"/>
    <n v="39.96"/>
    <s v="11"/>
    <s v="6100"/>
    <n v="12089.9"/>
    <n v="39.96"/>
    <s v="CREDITOR"/>
    <n v="0"/>
    <n v="0"/>
    <n v="0"/>
    <n v="0"/>
    <n v="39.96"/>
  </r>
  <r>
    <n v="11714995"/>
    <s v="N"/>
    <n v="21338344"/>
    <s v="3000007067700015"/>
    <s v="CIVIL"/>
    <d v="2023-06-19T00:00:00"/>
    <d v="2023-07-06T19:21:01"/>
    <m/>
    <d v="2023-07-06T00:00:00"/>
    <n v="1811"/>
    <n v="20140"/>
    <s v="11714995"/>
    <s v="11714995"/>
    <m/>
    <m/>
    <n v="22716932"/>
    <m/>
    <m/>
    <m/>
    <s v="SOLFIN"/>
    <s v="SOLFIN"/>
    <s v="CCMS"/>
    <n v="21338344"/>
    <n v="17052.18"/>
    <m/>
    <s v="N"/>
    <n v="17"/>
    <d v="2023-07-06T19:21:20"/>
    <s v="N"/>
    <s v="Preparation - other"/>
    <s v="Non Family Hourly Rates"/>
    <s v="Profit Cost"/>
    <s v="DGF"/>
    <s v="N"/>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68"/>
    <d v="2023-07-06T19:21:20"/>
    <s v="Y"/>
    <s v="Preparation - other"/>
    <s v="Non Family Hourly Rates"/>
    <s v="Profit Cost"/>
    <s v="DGF"/>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311"/>
    <d v="2023-07-06T19:21:20"/>
    <s v="Y"/>
    <s v="Preparation - other"/>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320"/>
    <d v="2023-07-06T19:21:20"/>
    <s v="Y"/>
    <s v="Preparation - other"/>
    <s v="Non Family Hourly Rates"/>
    <s v="Profit Cost"/>
    <s v="DGF"/>
    <s v="Y"/>
    <n v="131.63"/>
    <n v="26.33"/>
    <x v="4"/>
    <s v="VALIDATED"/>
    <n v="1"/>
    <s v="01.11.80.209.6100.0000"/>
    <n v="131.63"/>
    <s v="11"/>
    <s v="6100"/>
    <n v="12089.9"/>
    <n v="131.63"/>
    <s v="CREDITOR"/>
    <n v="0"/>
    <n v="0"/>
    <n v="0"/>
    <n v="0"/>
    <n v="131.63"/>
  </r>
  <r>
    <n v="11714995"/>
    <s v="N"/>
    <n v="21338344"/>
    <s v="3000007067700015"/>
    <s v="CIVIL"/>
    <d v="2023-06-19T00:00:00"/>
    <d v="2023-07-06T19:21:01"/>
    <m/>
    <d v="2023-07-06T00:00:00"/>
    <n v="1811"/>
    <n v="20140"/>
    <s v="11714995"/>
    <s v="11714995"/>
    <m/>
    <m/>
    <n v="22716932"/>
    <m/>
    <m/>
    <m/>
    <s v="SOLFIN"/>
    <s v="SOLFIN"/>
    <s v="CCMS"/>
    <n v="21338344"/>
    <n v="17052.18"/>
    <m/>
    <s v="N"/>
    <n v="211"/>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18"/>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26"/>
    <d v="2023-07-06T19:21:20"/>
    <s v="Y"/>
    <s v="Preparation - other"/>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94"/>
    <d v="2023-07-06T19:21:20"/>
    <s v="Y"/>
    <s v="Preparation - other"/>
    <s v="Non Family Hourly Rates"/>
    <s v="Profit Cost"/>
    <s v="DGF"/>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73"/>
    <d v="2023-07-06T19:21:20"/>
    <s v="Y"/>
    <s v="Preparation - other"/>
    <s v="Non Family Hourly Rates"/>
    <s v="Profit Cost"/>
    <s v="JP"/>
    <s v="Y"/>
    <n v="27"/>
    <n v="5.4"/>
    <x v="4"/>
    <s v="VALIDATED"/>
    <n v="1"/>
    <s v="01.11.80.209.6100.0000"/>
    <n v="27"/>
    <s v="11"/>
    <s v="6100"/>
    <n v="12089.9"/>
    <n v="27"/>
    <s v="CREDITOR"/>
    <n v="0"/>
    <n v="0"/>
    <n v="0"/>
    <n v="0"/>
    <n v="27"/>
  </r>
  <r>
    <n v="11714995"/>
    <s v="N"/>
    <n v="21338344"/>
    <s v="3000007067700015"/>
    <s v="CIVIL"/>
    <d v="2023-06-19T00:00:00"/>
    <d v="2023-07-06T19:21:01"/>
    <m/>
    <d v="2023-07-06T00:00:00"/>
    <n v="1811"/>
    <n v="20140"/>
    <s v="11714995"/>
    <s v="11714995"/>
    <m/>
    <m/>
    <n v="22716932"/>
    <m/>
    <m/>
    <m/>
    <s v="SOLFIN"/>
    <s v="SOLFIN"/>
    <s v="CCMS"/>
    <n v="21338344"/>
    <n v="17052.18"/>
    <m/>
    <s v="N"/>
    <n v="217"/>
    <d v="2023-07-06T19:21:20"/>
    <s v="Y"/>
    <s v="Preparation - drafting pleadings"/>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11"/>
    <d v="2023-07-06T19:21:20"/>
    <s v="Y"/>
    <s v="Preparation - other"/>
    <s v="Non Family Hourly Rates"/>
    <s v="Profit Cost"/>
    <s v="DGF"/>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23"/>
    <d v="2023-07-06T19:21:20"/>
    <s v="Y"/>
    <s v="Preparation - other"/>
    <s v="Non Family Hourly Rates"/>
    <s v="Profit Cost"/>
    <s v="JP"/>
    <s v="Y"/>
    <n v="8.779999999999999"/>
    <n v="1.76"/>
    <x v="4"/>
    <s v="VALIDATED"/>
    <n v="1"/>
    <s v="01.11.80.209.6100.0000"/>
    <n v="8.779999999999999"/>
    <s v="11"/>
    <s v="6100"/>
    <n v="12089.9"/>
    <n v="8.779999999999999"/>
    <s v="CREDITOR"/>
    <n v="0"/>
    <n v="0"/>
    <n v="0"/>
    <n v="0"/>
    <n v="8.779999999999999"/>
  </r>
  <r>
    <n v="11714995"/>
    <s v="N"/>
    <n v="21338344"/>
    <s v="3000007067700015"/>
    <s v="CIVIL"/>
    <d v="2023-06-19T00:00:00"/>
    <d v="2023-07-06T19:21:01"/>
    <m/>
    <d v="2023-07-06T00:00:00"/>
    <n v="1811"/>
    <n v="20140"/>
    <s v="11714995"/>
    <s v="11714995"/>
    <m/>
    <m/>
    <n v="22716932"/>
    <m/>
    <m/>
    <m/>
    <s v="SOLFIN"/>
    <s v="SOLFIN"/>
    <s v="CCMS"/>
    <n v="21338344"/>
    <n v="17052.18"/>
    <m/>
    <s v="N"/>
    <n v="94"/>
    <d v="2023-07-06T19:21:20"/>
    <s v="Y"/>
    <s v="Preparation - other"/>
    <s v="Non Family Hourly Rates"/>
    <s v="Profit Cost"/>
    <s v="JP"/>
    <s v="Y"/>
    <n v="8.779999999999999"/>
    <n v="1.76"/>
    <x v="4"/>
    <s v="VALIDATED"/>
    <n v="1"/>
    <s v="01.11.80.209.6100.0000"/>
    <n v="8.779999999999999"/>
    <s v="11"/>
    <s v="6100"/>
    <n v="12089.9"/>
    <n v="8.779999999999999"/>
    <s v="CREDITOR"/>
    <n v="0"/>
    <n v="0"/>
    <n v="0"/>
    <n v="0"/>
    <n v="8.779999999999999"/>
  </r>
  <r>
    <n v="11714995"/>
    <s v="N"/>
    <n v="21338344"/>
    <s v="3000007067700015"/>
    <s v="CIVIL"/>
    <d v="2023-06-19T00:00:00"/>
    <d v="2023-07-06T19:21:01"/>
    <m/>
    <d v="2023-07-06T00:00:00"/>
    <n v="1811"/>
    <n v="20140"/>
    <s v="11714995"/>
    <s v="11714995"/>
    <m/>
    <m/>
    <n v="22716932"/>
    <m/>
    <m/>
    <m/>
    <s v="SOLFIN"/>
    <s v="SOLFIN"/>
    <s v="CCMS"/>
    <n v="21338344"/>
    <n v="17052.18"/>
    <m/>
    <s v="N"/>
    <n v="254"/>
    <d v="2023-07-06T19:21:20"/>
    <s v="Y"/>
    <s v="Preparation - other"/>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25"/>
    <d v="2023-07-06T19:21:20"/>
    <s v="Y"/>
    <s v="Preparation - other"/>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3"/>
    <d v="2023-07-06T19:21:20"/>
    <s v="Y"/>
    <s v="Preparation - drafting attendance n"/>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65"/>
    <d v="2023-07-06T19:21:20"/>
    <s v="Y"/>
    <s v="Attendance upon client"/>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80"/>
    <d v="2023-07-06T19:21:20"/>
    <s v="Y"/>
    <s v="Preparation - other"/>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56"/>
    <d v="2023-07-06T19:21:20"/>
    <s v="Y"/>
    <s v="Attendance upon client"/>
    <s v="Non Family Hourly Rates"/>
    <s v="Profit Cost"/>
    <s v="HR"/>
    <s v="Y"/>
    <n v="131.63"/>
    <n v="26.33"/>
    <x v="4"/>
    <s v="VALIDATED"/>
    <n v="1"/>
    <s v="01.11.80.209.6100.0000"/>
    <n v="131.63"/>
    <s v="11"/>
    <s v="6100"/>
    <n v="12089.9"/>
    <n v="131.63"/>
    <s v="CREDITOR"/>
    <n v="0"/>
    <n v="0"/>
    <n v="0"/>
    <n v="0"/>
    <n v="131.63"/>
  </r>
  <r>
    <n v="11714995"/>
    <s v="N"/>
    <n v="21338344"/>
    <s v="3000007067700015"/>
    <s v="CIVIL"/>
    <d v="2023-06-19T00:00:00"/>
    <d v="2023-07-06T19:21:01"/>
    <m/>
    <d v="2023-07-06T00:00:00"/>
    <n v="1811"/>
    <n v="20140"/>
    <s v="11714995"/>
    <s v="11714995"/>
    <m/>
    <m/>
    <n v="22716932"/>
    <m/>
    <m/>
    <m/>
    <s v="SOLFIN"/>
    <s v="SOLFIN"/>
    <s v="CCMS"/>
    <n v="21338344"/>
    <n v="17052.18"/>
    <m/>
    <s v="N"/>
    <n v="56"/>
    <d v="2023-07-06T19:21:20"/>
    <s v="Y"/>
    <s v="Preparation - other"/>
    <s v="Non Family Hourly Rates"/>
    <s v="Profit Cost"/>
    <s v="JP"/>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92"/>
    <d v="2023-07-06T19:21:20"/>
    <s v="Y"/>
    <s v="Attendance upon client"/>
    <s v="Non Family Hourly Rates"/>
    <s v="Profit Cost"/>
    <s v="SDO"/>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04"/>
    <d v="2023-07-06T19:21:20"/>
    <s v="Y"/>
    <s v="Attendance upon client"/>
    <s v="Non Family Hourly Rates"/>
    <s v="Profit Cost"/>
    <s v="SDO"/>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39"/>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58"/>
    <d v="2023-07-06T19:21:20"/>
    <s v="Y"/>
    <s v="Preparation - other"/>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44"/>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88"/>
    <d v="2023-07-06T19:21:20"/>
    <s v="Y"/>
    <s v="Preparation - drafting statement"/>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74"/>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86"/>
    <d v="2023-07-06T19:21:20"/>
    <s v="Y"/>
    <s v="Attendance upon client"/>
    <s v="Non Family Hourly Rates"/>
    <s v="Profit Cost"/>
    <s v="JP"/>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104"/>
    <d v="2023-07-06T19:21:20"/>
    <s v="Y"/>
    <s v="Preparation - other"/>
    <s v="Non Family Hourly Rates"/>
    <s v="Profit Cost"/>
    <s v="DGF"/>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256"/>
    <d v="2023-07-06T19:21:20"/>
    <s v="Y"/>
    <s v="Preparation - other"/>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04"/>
    <d v="2023-07-06T19:21:20"/>
    <s v="Y"/>
    <s v="Attendance upon cli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82"/>
    <d v="2023-07-06T19:21:20"/>
    <s v="Y"/>
    <s v="Preparation - other"/>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84"/>
    <d v="2023-07-06T19:21:20"/>
    <s v="Y"/>
    <s v="Preparation - drafting statement"/>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61"/>
    <d v="2023-07-06T19:21:20"/>
    <s v="Y"/>
    <s v="Attendance upon other"/>
    <s v="Non Family Hourly Rates"/>
    <s v="Profit Cost"/>
    <s v="JP"/>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62"/>
    <d v="2023-07-06T19:21:20"/>
    <s v="Y"/>
    <s v="Attendance upon other"/>
    <s v="Non Family Hourly Rates"/>
    <s v="Profit Cost"/>
    <s v="JP"/>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345"/>
    <d v="2023-07-06T19:21:20"/>
    <s v="Y"/>
    <s v="Attendance upon client"/>
    <s v="Non Family Hourly Rates"/>
    <s v="Profit Cost"/>
    <s v="HR"/>
    <s v="Y"/>
    <n v="52.65"/>
    <n v="10.53"/>
    <x v="4"/>
    <s v="VALIDATED"/>
    <n v="1"/>
    <s v="01.11.80.209.6100.0000"/>
    <n v="52.65"/>
    <s v="11"/>
    <s v="6100"/>
    <n v="12089.9"/>
    <n v="52.65"/>
    <s v="CREDITOR"/>
    <n v="0"/>
    <n v="0"/>
    <n v="0"/>
    <n v="0"/>
    <n v="52.65"/>
  </r>
  <r>
    <n v="61861885"/>
    <s v="N"/>
    <n v="21327762"/>
    <s v="3000015926010001"/>
    <s v="CIVIL"/>
    <d v="2023-06-25T00:00:00"/>
    <d v="2023-07-04T19:00:44"/>
    <m/>
    <d v="2023-07-04T00:00:00"/>
    <n v="1811"/>
    <n v="20140"/>
    <s v="61861885"/>
    <s v="61861885"/>
    <m/>
    <m/>
    <n v="22757028"/>
    <m/>
    <m/>
    <m/>
    <s v="SOLFIN"/>
    <s v="SOLFIN"/>
    <s v="CCMS"/>
    <n v="21327762"/>
    <n v="9571.08"/>
    <m/>
    <s v="N"/>
    <n v="3"/>
    <d v="2023-07-04T19:00:54"/>
    <s v="Y"/>
    <s v="Solicitor Travel Mileage"/>
    <s v="Non Family Hourly Rates"/>
    <s v="Non Expert Disbursement"/>
    <s v="SO"/>
    <s v="Y"/>
    <n v="67.5"/>
    <n v="13.5"/>
    <x v="1"/>
    <s v="VALIDATED"/>
    <n v="1"/>
    <s v="01.11.80.209.6300.0000"/>
    <n v="67.5"/>
    <s v="11"/>
    <s v="63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61"/>
    <d v="2023-07-06T19:21:20"/>
    <s v="Y"/>
    <s v="Attendance upon cli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5"/>
    <d v="2023-07-06T19:21:20"/>
    <s v="Y"/>
    <s v="Preparation - other"/>
    <s v="Non Family Hourly Rates"/>
    <s v="Profit Cost"/>
    <s v="DGF"/>
    <s v="Y"/>
    <n v="40.5"/>
    <n v="8.1"/>
    <x v="4"/>
    <s v="VALIDATED"/>
    <n v="1"/>
    <s v="01.11.80.209.6100.0000"/>
    <n v="40.5"/>
    <s v="11"/>
    <s v="6100"/>
    <n v="12089.9"/>
    <n v="40.5"/>
    <s v="CREDITOR"/>
    <n v="0"/>
    <n v="0"/>
    <n v="0"/>
    <n v="0"/>
    <n v="40.5"/>
  </r>
  <r>
    <n v="11714995"/>
    <s v="N"/>
    <n v="21338344"/>
    <s v="3000007067700015"/>
    <s v="CIVIL"/>
    <d v="2023-06-19T00:00:00"/>
    <d v="2023-07-06T19:21:01"/>
    <m/>
    <d v="2023-07-06T00:00:00"/>
    <n v="1811"/>
    <n v="20140"/>
    <s v="11714995"/>
    <s v="11714995"/>
    <m/>
    <m/>
    <n v="22716932"/>
    <m/>
    <m/>
    <m/>
    <s v="SOLFIN"/>
    <s v="SOLFIN"/>
    <s v="CCMS"/>
    <n v="21338344"/>
    <n v="17052.18"/>
    <m/>
    <s v="N"/>
    <n v="301"/>
    <d v="2023-07-06T19:21:20"/>
    <s v="Y"/>
    <s v="Attendance upon client"/>
    <s v="Non Family Hourly Rates"/>
    <s v="Profit Cost"/>
    <s v="HR"/>
    <s v="Y"/>
    <n v="78.98"/>
    <n v="15.8"/>
    <x v="4"/>
    <s v="VALIDATED"/>
    <n v="1"/>
    <s v="01.11.80.209.6100.0000"/>
    <n v="78.98"/>
    <s v="11"/>
    <s v="6100"/>
    <n v="12089.9"/>
    <n v="78.98"/>
    <s v="CREDITOR"/>
    <n v="0"/>
    <n v="0"/>
    <n v="0"/>
    <n v="0"/>
    <n v="78.98"/>
  </r>
  <r>
    <n v="11714995"/>
    <s v="N"/>
    <n v="21338344"/>
    <s v="3000007067700015"/>
    <s v="CIVIL"/>
    <d v="2023-06-19T00:00:00"/>
    <d v="2023-07-06T19:21:01"/>
    <m/>
    <d v="2023-07-06T00:00:00"/>
    <n v="1811"/>
    <n v="20140"/>
    <s v="11714995"/>
    <s v="11714995"/>
    <m/>
    <m/>
    <n v="22716932"/>
    <m/>
    <m/>
    <m/>
    <s v="SOLFIN"/>
    <s v="SOLFIN"/>
    <s v="CCMS"/>
    <n v="21338344"/>
    <n v="17052.18"/>
    <m/>
    <s v="N"/>
    <n v="180"/>
    <d v="2023-07-06T19:21:20"/>
    <s v="Y"/>
    <s v="Preparation - drafting statement"/>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85"/>
    <d v="2023-07-06T19:21:20"/>
    <s v="Y"/>
    <s v="Advocacy - Interlocutory Hearing"/>
    <s v="Non Family Hourly Rates"/>
    <s v="Advocacy"/>
    <s v="HR"/>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198"/>
    <d v="2023-07-06T19:21:20"/>
    <s v="Y"/>
    <s v="Preparation - other"/>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136"/>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91"/>
    <d v="2023-07-06T19:21:20"/>
    <s v="Y"/>
    <s v="Preparation - drafting attendance n"/>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08"/>
    <d v="2023-07-06T19:21:20"/>
    <s v="Y"/>
    <s v="Preparation - other"/>
    <s v="Non Family Hourly Rates"/>
    <s v="Profit Cost"/>
    <s v="DGF"/>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69"/>
    <d v="2023-07-06T19:21:20"/>
    <s v="Y"/>
    <s v="Attendance upon client"/>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15"/>
    <d v="2023-07-06T19:21:20"/>
    <s v="Y"/>
    <s v="Preparation - drafting attendance n"/>
    <s v="Non Family Hourly Rates"/>
    <s v="Profit Cost"/>
    <s v="DGF"/>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224"/>
    <d v="2023-07-06T19:21:20"/>
    <s v="Y"/>
    <s v="Preparation - other"/>
    <s v="Non Family Hourly Rates"/>
    <s v="Profit Cost"/>
    <s v="DGF"/>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32"/>
    <d v="2023-07-06T19:21:20"/>
    <s v="Y"/>
    <s v="Attendance upon client"/>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59"/>
    <d v="2023-07-06T19:21:20"/>
    <s v="Y"/>
    <s v="Preparation - drafting statement"/>
    <s v="Non Family Hourly Rates"/>
    <s v="Profit Cost"/>
    <s v="DGF"/>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309"/>
    <d v="2023-07-06T19:21:20"/>
    <s v="Y"/>
    <s v="Preparation - other"/>
    <s v="Non Family Hourly Rates"/>
    <s v="Profit Cost"/>
    <s v="DGF"/>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53"/>
    <d v="2023-07-06T19:21:20"/>
    <s v="Y"/>
    <s v="Preparation - other"/>
    <s v="Non Family Hourly Rates"/>
    <s v="Profit Cost"/>
    <s v="JP"/>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91"/>
    <d v="2023-07-06T19:21:20"/>
    <s v="Y"/>
    <s v="Preparation - drafting attendance n"/>
    <s v="Non Family Hourly Rates"/>
    <s v="Profit Cost"/>
    <s v="PC"/>
    <s v="Y"/>
    <n v="6.75"/>
    <n v="1.35"/>
    <x v="4"/>
    <s v="VALIDATED"/>
    <n v="1"/>
    <s v="01.11.80.209.6100.0000"/>
    <n v="6.75"/>
    <s v="11"/>
    <s v="6100"/>
    <n v="12089.9"/>
    <n v="6.75"/>
    <s v="CREDITOR"/>
    <n v="0"/>
    <n v="0"/>
    <n v="0"/>
    <n v="0"/>
    <n v="6.75"/>
  </r>
  <r>
    <n v="61861885"/>
    <s v="N"/>
    <n v="21327762"/>
    <s v="3000015926010001"/>
    <s v="CIVIL"/>
    <d v="2023-06-25T00:00:00"/>
    <d v="2023-07-04T19:00:44"/>
    <m/>
    <d v="2023-07-04T00:00:00"/>
    <n v="1811"/>
    <n v="20140"/>
    <s v="61861885"/>
    <s v="61861885"/>
    <m/>
    <m/>
    <n v="22757028"/>
    <m/>
    <m/>
    <m/>
    <s v="SOLFIN"/>
    <s v="SOLFIN"/>
    <s v="CCMS"/>
    <n v="21327762"/>
    <n v="9571.08"/>
    <m/>
    <s v="N"/>
    <n v="4"/>
    <d v="2023-07-04T19:00:54"/>
    <s v="Y"/>
    <s v="Profit Costs (Summary)"/>
    <s v="Non Family Hourly Rates"/>
    <s v="Profit Cost"/>
    <s v="SO"/>
    <s v="Y"/>
    <n v="7806.25"/>
    <n v="1561.25"/>
    <x v="1"/>
    <s v="VALIDATED"/>
    <n v="1"/>
    <s v="01.11.80.209.6100.0000"/>
    <n v="7806.25"/>
    <s v="11"/>
    <s v="6100"/>
    <n v="12089.9"/>
    <n v="7806.25"/>
    <s v="CREDITOR"/>
    <n v="0"/>
    <n v="0"/>
    <n v="0"/>
    <n v="0"/>
    <n v="7806.25"/>
  </r>
  <r>
    <n v="11714995"/>
    <s v="N"/>
    <n v="21338344"/>
    <s v="3000007067700015"/>
    <s v="CIVIL"/>
    <d v="2023-06-19T00:00:00"/>
    <d v="2023-07-06T19:21:01"/>
    <m/>
    <d v="2023-07-06T00:00:00"/>
    <n v="1811"/>
    <n v="20140"/>
    <s v="11714995"/>
    <s v="11714995"/>
    <m/>
    <m/>
    <n v="22716932"/>
    <m/>
    <m/>
    <m/>
    <s v="SOLFIN"/>
    <s v="SOLFIN"/>
    <s v="CCMS"/>
    <n v="21338344"/>
    <n v="17052.18"/>
    <m/>
    <s v="N"/>
    <n v="5"/>
    <d v="2023-07-06T19:21:20"/>
    <s v="N"/>
    <s v="Preparation - drafting statement"/>
    <s v="Non Family Hourly Rates"/>
    <s v="Profit Cost"/>
    <s v="DGF"/>
    <s v="N"/>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22"/>
    <d v="2023-07-06T19:21:20"/>
    <s v="N"/>
    <s v="Preparation - drafting pleadings"/>
    <s v="Non Family Hourly Rates"/>
    <s v="Profit Cost"/>
    <s v="DGF"/>
    <s v="N"/>
    <n v="58.85"/>
    <n v="11.77"/>
    <x v="4"/>
    <s v="VALIDATED"/>
    <n v="1"/>
    <s v="01.11.80.209.6100.0000"/>
    <n v="58.85"/>
    <s v="11"/>
    <s v="6100"/>
    <n v="12089.9"/>
    <n v="58.85"/>
    <s v="CREDITOR"/>
    <n v="0"/>
    <n v="0"/>
    <n v="0"/>
    <n v="0"/>
    <n v="58.85"/>
  </r>
  <r>
    <n v="11714995"/>
    <s v="N"/>
    <n v="21338344"/>
    <s v="3000007067700015"/>
    <s v="CIVIL"/>
    <d v="2023-06-19T00:00:00"/>
    <d v="2023-07-06T19:21:01"/>
    <m/>
    <d v="2023-07-06T00:00:00"/>
    <n v="1811"/>
    <n v="20140"/>
    <s v="11714995"/>
    <s v="11714995"/>
    <m/>
    <m/>
    <n v="22716932"/>
    <m/>
    <m/>
    <m/>
    <s v="SOLFIN"/>
    <s v="SOLFIN"/>
    <s v="CCMS"/>
    <n v="21338344"/>
    <n v="17052.18"/>
    <m/>
    <s v="N"/>
    <n v="142"/>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45"/>
    <d v="2023-07-06T19:21:20"/>
    <s v="Y"/>
    <s v="Attendance upon client"/>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85"/>
    <d v="2023-07-06T19:21:20"/>
    <s v="Y"/>
    <s v="Attendance upon cli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70"/>
    <d v="2023-07-06T19:21:20"/>
    <s v="Y"/>
    <s v="Preparation - drafting statement"/>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78"/>
    <d v="2023-07-06T19:21:20"/>
    <s v="Y"/>
    <s v="Preparation - other"/>
    <s v="Non Family Hourly Rates"/>
    <s v="Profit Cost"/>
    <s v="JP"/>
    <s v="Y"/>
    <n v="35.1"/>
    <n v="7.02"/>
    <x v="4"/>
    <s v="VALIDATED"/>
    <n v="1"/>
    <s v="01.11.80.209.6100.0000"/>
    <n v="35.1"/>
    <s v="11"/>
    <s v="6100"/>
    <n v="12089.9"/>
    <n v="35.1"/>
    <s v="CREDITOR"/>
    <n v="0"/>
    <n v="0"/>
    <n v="0"/>
    <n v="0"/>
    <n v="35.1"/>
  </r>
  <r>
    <n v="61877097"/>
    <s v="N"/>
    <n v="21344043"/>
    <s v="3000015939300002"/>
    <s v="CIVIL"/>
    <d v="2023-06-25T00:00:00"/>
    <d v="2023-07-07T19:03:00"/>
    <m/>
    <d v="2023-07-07T00:00:00"/>
    <n v="1811"/>
    <n v="20140"/>
    <s v="61877097"/>
    <s v="61877097"/>
    <m/>
    <m/>
    <n v="22757018"/>
    <m/>
    <m/>
    <m/>
    <s v="SOLFIN"/>
    <s v="SOLFIN"/>
    <s v="CCMS"/>
    <n v="21344043"/>
    <n v="8678"/>
    <m/>
    <s v="N"/>
    <n v="2"/>
    <d v="2023-07-07T19:03:21"/>
    <s v="Y"/>
    <s v="Solicitor Travel Mileage"/>
    <s v="Non Family Hourly Rates"/>
    <s v="Non Expert Disbursement"/>
    <s v="so"/>
    <s v="Y"/>
    <n v="42.3"/>
    <n v="8.460000000000001"/>
    <x v="9"/>
    <s v="VALIDATED"/>
    <n v="1"/>
    <s v="01.11.80.209.6300.0000"/>
    <n v="42.3"/>
    <s v="11"/>
    <s v="6300"/>
    <n v="12089.9"/>
    <n v="42.3"/>
    <s v="CREDITOR"/>
    <n v="0"/>
    <n v="0"/>
    <n v="0"/>
    <n v="0"/>
    <n v="42.3"/>
  </r>
  <r>
    <n v="11714995"/>
    <s v="N"/>
    <n v="21338344"/>
    <s v="3000007067700015"/>
    <s v="CIVIL"/>
    <d v="2023-06-19T00:00:00"/>
    <d v="2023-07-06T19:21:01"/>
    <m/>
    <d v="2023-07-06T00:00:00"/>
    <n v="1811"/>
    <n v="20140"/>
    <s v="11714995"/>
    <s v="11714995"/>
    <m/>
    <m/>
    <n v="22716932"/>
    <m/>
    <m/>
    <m/>
    <s v="SOLFIN"/>
    <s v="SOLFIN"/>
    <s v="CCMS"/>
    <n v="21338344"/>
    <n v="17052.18"/>
    <m/>
    <s v="N"/>
    <n v="292"/>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190"/>
    <d v="2023-07-06T19:21:20"/>
    <s v="Y"/>
    <s v="Preparation - drafting statem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336"/>
    <d v="2023-07-06T19:21:20"/>
    <s v="Y"/>
    <s v="Attendance upon other"/>
    <s v="Non Family Hourly Rates"/>
    <s v="Profit Cost"/>
    <s v="SDO"/>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22"/>
    <d v="2023-07-06T19:21:20"/>
    <s v="Y"/>
    <s v="Preparation - other"/>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25"/>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18"/>
    <d v="2023-07-06T19:21:20"/>
    <s v="N"/>
    <s v="Attendance upon client"/>
    <s v="Non Family Hourly Rates"/>
    <s v="Profit Cost"/>
    <s v="DGF"/>
    <s v="N"/>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282"/>
    <d v="2023-07-06T19:21:20"/>
    <s v="Y"/>
    <s v="Preparation - other"/>
    <s v="Non Family Hourly Rates"/>
    <s v="Profit Cost"/>
    <s v="DGF"/>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63"/>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27"/>
    <d v="2023-07-06T19:21:20"/>
    <s v="Y"/>
    <s v="Preparation - other"/>
    <s v="Non Family Hourly Rates"/>
    <s v="Profit Cost"/>
    <s v="DGF"/>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199"/>
    <d v="2023-07-06T19:21:20"/>
    <s v="Y"/>
    <s v="Preparation - other"/>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63"/>
    <d v="2023-07-06T19:21:20"/>
    <s v="Y"/>
    <s v="Preparation - other"/>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72"/>
    <d v="2023-07-06T19:21:20"/>
    <s v="Y"/>
    <s v="Preparation - other"/>
    <s v="Non Family Hourly Rates"/>
    <s v="Profit Cost"/>
    <s v="JP"/>
    <s v="Y"/>
    <n v="131.63"/>
    <n v="26.33"/>
    <x v="4"/>
    <s v="VALIDATED"/>
    <n v="1"/>
    <s v="01.11.80.209.6100.0000"/>
    <n v="131.63"/>
    <s v="11"/>
    <s v="6100"/>
    <n v="12089.9"/>
    <n v="131.63"/>
    <s v="CREDITOR"/>
    <n v="0"/>
    <n v="0"/>
    <n v="0"/>
    <n v="0"/>
    <n v="131.63"/>
  </r>
  <r>
    <n v="11714995"/>
    <s v="N"/>
    <n v="21338344"/>
    <s v="3000007067700015"/>
    <s v="CIVIL"/>
    <d v="2023-06-19T00:00:00"/>
    <d v="2023-07-06T19:21:01"/>
    <m/>
    <d v="2023-07-06T00:00:00"/>
    <n v="1811"/>
    <n v="20140"/>
    <s v="11714995"/>
    <s v="11714995"/>
    <m/>
    <m/>
    <n v="22716932"/>
    <m/>
    <m/>
    <m/>
    <s v="SOLFIN"/>
    <s v="SOLFIN"/>
    <s v="CCMS"/>
    <n v="21338344"/>
    <n v="17052.18"/>
    <m/>
    <s v="N"/>
    <n v="303"/>
    <d v="2023-07-06T19:21:20"/>
    <s v="Y"/>
    <s v="Preparation - other"/>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51"/>
    <d v="2023-07-06T19:21:20"/>
    <s v="Y"/>
    <s v="Attendance upon other"/>
    <s v="Non Family Hourly Rates"/>
    <s v="Profit Cost"/>
    <s v="JP"/>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314"/>
    <d v="2023-07-06T19:21:20"/>
    <s v="Y"/>
    <s v="Preparation - other"/>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42"/>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77"/>
    <d v="2023-07-06T19:21:20"/>
    <s v="Y"/>
    <s v="Attendance upon other"/>
    <s v="Non Family Hourly Rates"/>
    <s v="Profit Cost"/>
    <s v="HR"/>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155"/>
    <d v="2023-07-06T19:21:20"/>
    <s v="Y"/>
    <s v="Preparation - other"/>
    <s v="Non Family Hourly Rates"/>
    <s v="Profit Cost"/>
    <s v="HR"/>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284"/>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74"/>
    <d v="2023-07-06T19:21:20"/>
    <s v="Y"/>
    <s v="Attendance upon client"/>
    <s v="Non Family Hourly Rates"/>
    <s v="Profit Cost"/>
    <s v="JP"/>
    <s v="Y"/>
    <n v="26.33"/>
    <n v="5.27"/>
    <x v="4"/>
    <s v="VALIDATED"/>
    <n v="1"/>
    <s v="01.11.80.209.6100.0000"/>
    <n v="26.33"/>
    <s v="11"/>
    <s v="6100"/>
    <n v="12089.9"/>
    <n v="26.33"/>
    <s v="CREDITOR"/>
    <n v="0"/>
    <n v="0"/>
    <n v="0"/>
    <n v="0"/>
    <n v="26.33"/>
  </r>
  <r>
    <n v="11638288"/>
    <s v="N"/>
    <n v="21395315"/>
    <s v="3000007015690003"/>
    <s v="CIVIL"/>
    <d v="2021-08-16T00:00:00"/>
    <d v="2023-07-19T19:02:01"/>
    <m/>
    <d v="2023-07-19T00:00:00"/>
    <n v="1811"/>
    <n v="20140"/>
    <s v="11638288"/>
    <s v="11638288"/>
    <m/>
    <m/>
    <n v="18625992"/>
    <m/>
    <m/>
    <m/>
    <s v="SOLFIN"/>
    <s v="SOLFIN"/>
    <s v="CCMS"/>
    <n v="21395315"/>
    <n v="700.2"/>
    <m/>
    <s v="N"/>
    <n v="1"/>
    <d v="2023-07-19T19:02:22"/>
    <s v="Y"/>
    <s v="Process server"/>
    <s v="Domestic Abuse"/>
    <s v="Expert Disbursement"/>
    <s v="JP"/>
    <s v="Y"/>
    <n v="76.5"/>
    <n v="15.3"/>
    <x v="5"/>
    <s v="VALIDATED"/>
    <n v="1"/>
    <s v="01.11.80.302.6300.0000"/>
    <n v="76.5"/>
    <s v="11"/>
    <s v="6300"/>
    <n v="12089.9"/>
    <n v="76.5"/>
    <s v="CREDITOR"/>
    <n v="0"/>
    <n v="0"/>
    <n v="0"/>
    <n v="0"/>
    <n v="76.5"/>
  </r>
  <r>
    <n v="11714995"/>
    <s v="N"/>
    <n v="21338344"/>
    <s v="3000007067700015"/>
    <s v="CIVIL"/>
    <d v="2023-06-19T00:00:00"/>
    <d v="2023-07-06T19:21:01"/>
    <m/>
    <d v="2023-07-06T00:00:00"/>
    <n v="1811"/>
    <n v="20140"/>
    <s v="11714995"/>
    <s v="11714995"/>
    <m/>
    <m/>
    <n v="22716932"/>
    <m/>
    <m/>
    <m/>
    <s v="SOLFIN"/>
    <s v="SOLFIN"/>
    <s v="CCMS"/>
    <n v="21338344"/>
    <n v="17052.18"/>
    <m/>
    <s v="N"/>
    <n v="9"/>
    <d v="2023-07-06T19:21:20"/>
    <s v="N"/>
    <s v="Preparation - other"/>
    <s v="Non Family Hourly Rates"/>
    <s v="Profit Cost"/>
    <s v="DGF"/>
    <s v="N"/>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31"/>
    <d v="2023-07-06T19:21:20"/>
    <s v="Y"/>
    <s v="Attendance upon client"/>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65"/>
    <d v="2023-07-06T19:21:20"/>
    <s v="Y"/>
    <s v="Preparation - other"/>
    <s v="Non Family Hourly Rates"/>
    <s v="Profit Cost"/>
    <s v="JP"/>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337"/>
    <d v="2023-07-06T19:21:20"/>
    <s v="Y"/>
    <s v="Preparation - drafting pleadings"/>
    <s v="Non Family Hourly Rates"/>
    <s v="Profit Cost"/>
    <s v="DGF"/>
    <s v="Y"/>
    <n v="35.1"/>
    <n v="7.02"/>
    <x v="4"/>
    <s v="VALIDATED"/>
    <n v="1"/>
    <s v="01.11.80.209.6100.0000"/>
    <n v="35.1"/>
    <s v="11"/>
    <s v="6100"/>
    <n v="12089.9"/>
    <n v="35.1"/>
    <s v="CREDITOR"/>
    <n v="0"/>
    <n v="0"/>
    <n v="0"/>
    <n v="0"/>
    <n v="35.1"/>
  </r>
  <r>
    <n v="11638288"/>
    <s v="N"/>
    <n v="21395315"/>
    <s v="3000007015690003"/>
    <s v="CIVIL"/>
    <d v="2021-08-16T00:00:00"/>
    <d v="2023-07-19T19:02:01"/>
    <m/>
    <d v="2023-07-19T00:00:00"/>
    <n v="1811"/>
    <n v="20140"/>
    <s v="11638288"/>
    <s v="11638288"/>
    <m/>
    <m/>
    <n v="18625992"/>
    <m/>
    <m/>
    <m/>
    <s v="SOLFIN"/>
    <s v="SOLFIN"/>
    <s v="CCMS"/>
    <n v="21395315"/>
    <n v="700.2"/>
    <m/>
    <s v="N"/>
    <n v="2"/>
    <d v="2023-07-19T19:02:22"/>
    <s v="Y"/>
    <s v="Level 4 Fixed Fee"/>
    <s v="Domestic Abuse"/>
    <s v="Profit Cost"/>
    <s v="JP"/>
    <s v="Y"/>
    <n v="507"/>
    <n v="101.4"/>
    <x v="5"/>
    <s v="VALIDATED"/>
    <n v="1"/>
    <s v="01.11.80.302.6100.0000"/>
    <n v="507"/>
    <s v="11"/>
    <s v="6100"/>
    <n v="12089.9"/>
    <n v="507"/>
    <s v="CREDITOR"/>
    <n v="0"/>
    <n v="0"/>
    <n v="0"/>
    <n v="0"/>
    <n v="507"/>
  </r>
  <r>
    <n v="11714995"/>
    <s v="N"/>
    <n v="21338344"/>
    <s v="3000007067700015"/>
    <s v="CIVIL"/>
    <d v="2023-06-19T00:00:00"/>
    <d v="2023-07-06T19:21:01"/>
    <m/>
    <d v="2023-07-06T00:00:00"/>
    <n v="1811"/>
    <n v="20140"/>
    <s v="11714995"/>
    <s v="11714995"/>
    <m/>
    <m/>
    <n v="22716932"/>
    <m/>
    <m/>
    <m/>
    <s v="SOLFIN"/>
    <s v="SOLFIN"/>
    <s v="CCMS"/>
    <n v="21338344"/>
    <n v="17052.18"/>
    <m/>
    <s v="N"/>
    <n v="3"/>
    <d v="2023-07-06T19:21:20"/>
    <s v="N"/>
    <s v="Attendance upon client"/>
    <s v="Non Family Hourly Rates"/>
    <s v="Profit Cost"/>
    <s v="DGF"/>
    <s v="N"/>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288"/>
    <d v="2023-07-06T19:21:20"/>
    <s v="Y"/>
    <s v="Preparation - drafting instructions"/>
    <s v="Non Family Hourly Rates"/>
    <s v="Profit Cost"/>
    <s v="HR"/>
    <s v="Y"/>
    <n v="219.38"/>
    <n v="43.88"/>
    <x v="4"/>
    <s v="VALIDATED"/>
    <n v="1"/>
    <s v="01.11.80.209.6100.0000"/>
    <n v="219.38"/>
    <s v="11"/>
    <s v="6100"/>
    <n v="12089.9"/>
    <n v="219.38"/>
    <s v="CREDITOR"/>
    <n v="0"/>
    <n v="0"/>
    <n v="0"/>
    <n v="0"/>
    <n v="219.38"/>
  </r>
  <r>
    <n v="11714995"/>
    <s v="N"/>
    <n v="21338344"/>
    <s v="3000007067700015"/>
    <s v="CIVIL"/>
    <d v="2023-06-19T00:00:00"/>
    <d v="2023-07-06T19:21:01"/>
    <m/>
    <d v="2023-07-06T00:00:00"/>
    <n v="1811"/>
    <n v="20140"/>
    <s v="11714995"/>
    <s v="11714995"/>
    <m/>
    <m/>
    <n v="22716932"/>
    <m/>
    <m/>
    <m/>
    <s v="SOLFIN"/>
    <s v="SOLFIN"/>
    <s v="CCMS"/>
    <n v="21338344"/>
    <n v="17052.18"/>
    <m/>
    <s v="N"/>
    <n v="168"/>
    <d v="2023-07-06T19:21:20"/>
    <s v="Y"/>
    <s v="Preparation - other"/>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93"/>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93"/>
    <d v="2023-07-06T19:21:20"/>
    <s v="Y"/>
    <s v="Preparation - drafting attendance n"/>
    <s v="Non Family Hourly Rates"/>
    <s v="Profit Cost"/>
    <s v="JP"/>
    <s v="Y"/>
    <n v="6.75"/>
    <n v="1.35"/>
    <x v="4"/>
    <s v="VALIDATED"/>
    <n v="1"/>
    <s v="01.11.80.209.6100.0000"/>
    <n v="6.75"/>
    <s v="11"/>
    <s v="6100"/>
    <n v="12089.9"/>
    <n v="6.75"/>
    <s v="CREDITOR"/>
    <n v="0"/>
    <n v="0"/>
    <n v="0"/>
    <n v="0"/>
    <n v="6.75"/>
  </r>
  <r>
    <n v="61861885"/>
    <s v="N"/>
    <n v="21327762"/>
    <s v="3000015926010001"/>
    <s v="CIVIL"/>
    <d v="2023-06-25T00:00:00"/>
    <d v="2023-07-04T19:00:44"/>
    <m/>
    <d v="2023-07-04T00:00:00"/>
    <n v="1811"/>
    <n v="20140"/>
    <s v="61861885"/>
    <s v="61861885"/>
    <m/>
    <m/>
    <n v="22757028"/>
    <m/>
    <m/>
    <m/>
    <s v="SOLFIN"/>
    <s v="SOLFIN"/>
    <s v="CCMS"/>
    <n v="21327762"/>
    <n v="9571.08"/>
    <m/>
    <s v="N"/>
    <n v="2"/>
    <d v="2023-07-04T19:00:54"/>
    <s v="Y"/>
    <s v="Solicitor Travel Mileage"/>
    <s v="Non Family Hourly Rates"/>
    <s v="Non Expert Disbursement"/>
    <s v="SO"/>
    <s v="Y"/>
    <n v="67.5"/>
    <n v="13.5"/>
    <x v="1"/>
    <s v="VALIDATED"/>
    <n v="1"/>
    <s v="01.11.80.209.6300.0000"/>
    <n v="67.5"/>
    <s v="11"/>
    <s v="63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4"/>
    <d v="2023-07-06T19:21:20"/>
    <s v="Y"/>
    <s v="Preparation - other"/>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273"/>
    <d v="2023-07-06T19:21:20"/>
    <s v="Y"/>
    <s v="Preparation - drafting attendance n"/>
    <s v="Non Family Hourly Rates"/>
    <s v="Profit Cost"/>
    <s v="HR"/>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95"/>
    <d v="2023-07-06T19:21:20"/>
    <s v="Y"/>
    <s v="Preparation - other"/>
    <s v="Non Family Hourly Rates"/>
    <s v="Profit Cost"/>
    <s v="DGF"/>
    <s v="Y"/>
    <n v="27"/>
    <n v="5.4"/>
    <x v="4"/>
    <s v="VALIDATED"/>
    <n v="1"/>
    <s v="01.11.80.209.6100.0000"/>
    <n v="27"/>
    <s v="11"/>
    <s v="6100"/>
    <n v="12089.9"/>
    <n v="27"/>
    <s v="CREDITOR"/>
    <n v="0"/>
    <n v="0"/>
    <n v="0"/>
    <n v="0"/>
    <n v="27"/>
  </r>
  <r>
    <n v="11714995"/>
    <s v="N"/>
    <n v="21338344"/>
    <s v="3000007067700015"/>
    <s v="CIVIL"/>
    <d v="2023-06-19T00:00:00"/>
    <d v="2023-07-06T19:21:01"/>
    <m/>
    <d v="2023-07-06T00:00:00"/>
    <n v="1811"/>
    <n v="20140"/>
    <s v="11714995"/>
    <s v="11714995"/>
    <m/>
    <m/>
    <n v="22716932"/>
    <m/>
    <m/>
    <m/>
    <s v="SOLFIN"/>
    <s v="SOLFIN"/>
    <s v="CCMS"/>
    <n v="21338344"/>
    <n v="17052.18"/>
    <m/>
    <s v="N"/>
    <n v="313"/>
    <d v="2023-07-06T19:21:20"/>
    <s v="Y"/>
    <s v="Preparation - drafting pleadings"/>
    <s v="Non Family Hourly Rates"/>
    <s v="Profit Cost"/>
    <s v="HR"/>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335"/>
    <d v="2023-07-06T19:21:20"/>
    <s v="Y"/>
    <s v="Attendance upon client"/>
    <s v="Non Family Hourly Rates"/>
    <s v="Profit Cost"/>
    <s v="HR"/>
    <s v="Y"/>
    <n v="105.3"/>
    <n v="21.06"/>
    <x v="4"/>
    <s v="VALIDATED"/>
    <n v="1"/>
    <s v="01.11.80.209.6100.0000"/>
    <n v="105.3"/>
    <s v="11"/>
    <s v="6100"/>
    <n v="12089.9"/>
    <n v="105.3"/>
    <s v="CREDITOR"/>
    <n v="0"/>
    <n v="0"/>
    <n v="0"/>
    <n v="0"/>
    <n v="105.3"/>
  </r>
  <r>
    <n v="11714995"/>
    <s v="N"/>
    <n v="21338344"/>
    <s v="3000007067700015"/>
    <s v="CIVIL"/>
    <d v="2023-06-19T00:00:00"/>
    <d v="2023-07-06T19:21:01"/>
    <m/>
    <d v="2023-07-06T00:00:00"/>
    <n v="1811"/>
    <n v="20140"/>
    <s v="11714995"/>
    <s v="11714995"/>
    <m/>
    <m/>
    <n v="22716932"/>
    <m/>
    <m/>
    <m/>
    <s v="SOLFIN"/>
    <s v="SOLFIN"/>
    <s v="CCMS"/>
    <n v="21338344"/>
    <n v="17052.18"/>
    <m/>
    <s v="N"/>
    <n v="331"/>
    <d v="2023-07-06T19:21:20"/>
    <s v="Y"/>
    <s v="Preparation - other"/>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230"/>
    <d v="2023-07-06T19:21:20"/>
    <s v="Y"/>
    <s v="Attendance upon client"/>
    <s v="Non Family Hourly Rates"/>
    <s v="Profit Cost"/>
    <s v="CB"/>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65"/>
    <d v="2023-07-06T19:21:20"/>
    <s v="Y"/>
    <s v="Attendance upon client"/>
    <s v="Non Family Hourly Rates"/>
    <s v="Profit Cost"/>
    <s v="HR"/>
    <s v="Y"/>
    <n v="78.98"/>
    <n v="15.8"/>
    <x v="4"/>
    <s v="VALIDATED"/>
    <n v="1"/>
    <s v="01.11.80.209.6100.0000"/>
    <n v="78.98"/>
    <s v="11"/>
    <s v="6100"/>
    <n v="12089.9"/>
    <n v="78.98"/>
    <s v="CREDITOR"/>
    <n v="0"/>
    <n v="0"/>
    <n v="0"/>
    <n v="0"/>
    <n v="78.98"/>
  </r>
  <r>
    <n v="11714995"/>
    <s v="N"/>
    <n v="21338344"/>
    <s v="3000007067700015"/>
    <s v="CIVIL"/>
    <d v="2023-06-19T00:00:00"/>
    <d v="2023-07-06T19:21:01"/>
    <m/>
    <d v="2023-07-06T00:00:00"/>
    <n v="1811"/>
    <n v="20140"/>
    <s v="11714995"/>
    <s v="11714995"/>
    <m/>
    <m/>
    <n v="22716932"/>
    <m/>
    <m/>
    <m/>
    <s v="SOLFIN"/>
    <s v="SOLFIN"/>
    <s v="CCMS"/>
    <n v="21338344"/>
    <n v="17052.18"/>
    <m/>
    <s v="N"/>
    <n v="228"/>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10"/>
    <d v="2023-07-06T19:21:20"/>
    <s v="Y"/>
    <s v="Preparation - drafting attendance n"/>
    <s v="Non Family Hourly Rates"/>
    <s v="Profit Cost"/>
    <s v="JP"/>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19"/>
    <d v="2023-07-06T19:21:20"/>
    <s v="N"/>
    <s v="Report - Medical report"/>
    <s v="Non Family Hourly Rates"/>
    <s v="Profit Cost"/>
    <s v="DGF"/>
    <s v="N"/>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7"/>
    <d v="2023-07-06T19:21:20"/>
    <s v="Y"/>
    <s v="Preparation - drafting statement"/>
    <s v="Non Family Hourly Rates"/>
    <s v="Profit Cost"/>
    <s v="JP"/>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59"/>
    <d v="2023-07-06T19:21:20"/>
    <s v="Y"/>
    <s v="Preparation - other"/>
    <s v="Non Family Hourly Rates"/>
    <s v="Profit Cost"/>
    <s v="JP"/>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333"/>
    <d v="2023-07-06T19:21:20"/>
    <s v="Y"/>
    <s v="Attendance upon client"/>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02"/>
    <d v="2023-07-06T19:21:20"/>
    <s v="Y"/>
    <s v="Preparation - drafting attendance n"/>
    <s v="Non Family Hourly Rates"/>
    <s v="Profit Cost"/>
    <s v="HR"/>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334"/>
    <d v="2023-07-06T19:21:20"/>
    <s v="Y"/>
    <s v="Preparation - other"/>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206"/>
    <d v="2023-07-06T19:21:20"/>
    <s v="Y"/>
    <s v="Attendance upon client"/>
    <s v="Non Family Hourly Rates"/>
    <s v="Profit Cost"/>
    <s v="HR"/>
    <s v="Y"/>
    <n v="78.98"/>
    <n v="15.8"/>
    <x v="4"/>
    <s v="VALIDATED"/>
    <n v="1"/>
    <s v="01.11.80.209.6100.0000"/>
    <n v="78.98"/>
    <s v="11"/>
    <s v="6100"/>
    <n v="12089.9"/>
    <n v="78.98"/>
    <s v="CREDITOR"/>
    <n v="0"/>
    <n v="0"/>
    <n v="0"/>
    <n v="0"/>
    <n v="78.98"/>
  </r>
  <r>
    <n v="11714995"/>
    <s v="N"/>
    <n v="21338344"/>
    <s v="3000007067700015"/>
    <s v="CIVIL"/>
    <d v="2023-06-19T00:00:00"/>
    <d v="2023-07-06T19:21:01"/>
    <m/>
    <d v="2023-07-06T00:00:00"/>
    <n v="1811"/>
    <n v="20140"/>
    <s v="11714995"/>
    <s v="11714995"/>
    <m/>
    <m/>
    <n v="22716932"/>
    <m/>
    <m/>
    <m/>
    <s v="SOLFIN"/>
    <s v="SOLFIN"/>
    <s v="CCMS"/>
    <n v="21338344"/>
    <n v="17052.18"/>
    <m/>
    <s v="N"/>
    <n v="342"/>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83"/>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51"/>
    <d v="2023-07-06T19:21:20"/>
    <s v="N"/>
    <m/>
    <m/>
    <s v="Overall Adjustment"/>
    <m/>
    <s v="N"/>
    <n v="-1191.54"/>
    <n v="-238.34"/>
    <x v="4"/>
    <s v="VALIDATED"/>
    <n v="1"/>
    <s v="01.11.80.209.6100.0000"/>
    <n v="-1191.54"/>
    <s v="11"/>
    <s v="6100"/>
    <n v="12089.9"/>
    <n v="-1191.54"/>
    <s v="CREDITOR"/>
    <n v="0"/>
    <n v="0"/>
    <n v="0"/>
    <n v="0"/>
    <n v="-1191.54"/>
  </r>
  <r>
    <n v="11714995"/>
    <s v="N"/>
    <n v="21338344"/>
    <s v="3000007067700015"/>
    <s v="CIVIL"/>
    <d v="2023-06-19T00:00:00"/>
    <d v="2023-07-06T19:21:01"/>
    <m/>
    <d v="2023-07-06T00:00:00"/>
    <n v="1811"/>
    <n v="20140"/>
    <s v="11714995"/>
    <s v="11714995"/>
    <m/>
    <m/>
    <n v="22716932"/>
    <m/>
    <m/>
    <m/>
    <s v="SOLFIN"/>
    <s v="SOLFIN"/>
    <s v="CCMS"/>
    <n v="21338344"/>
    <n v="17052.18"/>
    <m/>
    <s v="N"/>
    <n v="247"/>
    <d v="2023-07-06T19:21:20"/>
    <s v="Y"/>
    <s v="Attendance upon client"/>
    <s v="Non Family Hourly Rates"/>
    <s v="Profit Cost"/>
    <s v="SDO"/>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37"/>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40"/>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96"/>
    <d v="2023-07-06T19:21:20"/>
    <s v="Y"/>
    <s v="Preparation - other"/>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41"/>
    <d v="2023-07-06T19:21:20"/>
    <s v="Y"/>
    <s v="Attendance upon other"/>
    <s v="Non Family Hourly Rates"/>
    <s v="Profit Cost"/>
    <s v="JP"/>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120"/>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43"/>
    <d v="2023-07-06T19:21:20"/>
    <s v="Y"/>
    <s v="Preparation - other"/>
    <s v="Non Family Hourly Rates"/>
    <s v="Profit Cost"/>
    <s v="JP"/>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89"/>
    <d v="2023-07-06T19:21:20"/>
    <s v="Y"/>
    <s v="Preparation - drafting instructions"/>
    <s v="Non Family Hourly Rates"/>
    <s v="Profit Cost"/>
    <s v="DGF"/>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158"/>
    <d v="2023-07-06T19:21:20"/>
    <s v="Y"/>
    <s v="Preparation - other"/>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330"/>
    <d v="2023-07-06T19:21:20"/>
    <s v="Y"/>
    <s v="Attendance upon other"/>
    <s v="Non Family Hourly Rates"/>
    <s v="Profit Cost"/>
    <s v="HR"/>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118"/>
    <d v="2023-07-06T19:21:20"/>
    <s v="Y"/>
    <s v="Preparation - other"/>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34"/>
    <d v="2023-07-06T19:21:20"/>
    <s v="Y"/>
    <s v="Preparation - drafting attendance n"/>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64"/>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91"/>
    <d v="2023-07-06T19:21:20"/>
    <s v="Y"/>
    <s v="Preparation - other"/>
    <s v="Non Family Hourly Rates"/>
    <s v="Profit Cost"/>
    <s v="JP"/>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02"/>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63"/>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1"/>
    <d v="2023-07-06T19:21:20"/>
    <s v="Y"/>
    <s v="Attendance upon client"/>
    <s v="Non Family Hourly Rates"/>
    <s v="Profit Cost"/>
    <s v="JP"/>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186"/>
    <d v="2023-07-06T19:21:20"/>
    <s v="Y"/>
    <s v="Attendance upon client"/>
    <s v="Non Family Hourly Rates"/>
    <s v="Profit Cost"/>
    <s v="HR"/>
    <s v="Y"/>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141"/>
    <d v="2023-07-06T19:21:20"/>
    <s v="Y"/>
    <s v="Preparation - other"/>
    <s v="Non Family Hourly Rates"/>
    <s v="Profit Cost"/>
    <s v="JP"/>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283"/>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55"/>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03"/>
    <d v="2023-07-06T19:21:20"/>
    <s v="Y"/>
    <s v="Preparation - drafting pleadings"/>
    <s v="Non Family Hourly Rates"/>
    <s v="Profit Cost"/>
    <s v="DGF"/>
    <s v="Y"/>
    <n v="70.2"/>
    <n v="14.04"/>
    <x v="4"/>
    <s v="VALIDATED"/>
    <n v="1"/>
    <s v="01.11.80.209.6100.0000"/>
    <n v="70.2"/>
    <s v="11"/>
    <s v="6100"/>
    <n v="12089.9"/>
    <n v="70.2"/>
    <s v="CREDITOR"/>
    <n v="0"/>
    <n v="0"/>
    <n v="0"/>
    <n v="0"/>
    <n v="70.2"/>
  </r>
  <r>
    <n v="11714995"/>
    <s v="N"/>
    <n v="21338344"/>
    <s v="3000007067700015"/>
    <s v="CIVIL"/>
    <d v="2023-06-19T00:00:00"/>
    <d v="2023-07-06T19:21:01"/>
    <m/>
    <d v="2023-07-06T00:00:00"/>
    <n v="1811"/>
    <n v="20140"/>
    <s v="11714995"/>
    <s v="11714995"/>
    <m/>
    <m/>
    <n v="22716932"/>
    <m/>
    <m/>
    <m/>
    <s v="SOLFIN"/>
    <s v="SOLFIN"/>
    <s v="CCMS"/>
    <n v="21338344"/>
    <n v="17052.18"/>
    <m/>
    <s v="N"/>
    <n v="293"/>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76"/>
    <d v="2023-07-06T19:21:20"/>
    <s v="Y"/>
    <s v="Preparation - other"/>
    <s v="Non Family Hourly Rates"/>
    <s v="Profit Cost"/>
    <s v="JP"/>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54"/>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39"/>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246"/>
    <d v="2023-07-06T19:21:20"/>
    <s v="Y"/>
    <s v="Preparation - other"/>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80"/>
    <d v="2023-07-06T19:21:20"/>
    <s v="Y"/>
    <s v="Preparation - other"/>
    <s v="Non Family Hourly Rates"/>
    <s v="Profit Cost"/>
    <s v="JP"/>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88"/>
    <d v="2023-07-06T19:21:20"/>
    <s v="Y"/>
    <s v="Preparation - other"/>
    <s v="Non Family Hourly Rates"/>
    <s v="Profit Cost"/>
    <s v="JP"/>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01"/>
    <d v="2023-07-06T19:21:20"/>
    <s v="Y"/>
    <s v="Attendance upon other"/>
    <s v="Non Family Hourly Rates"/>
    <s v="Profit Cost"/>
    <s v="JP"/>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76"/>
    <d v="2023-07-06T19:21:20"/>
    <s v="Y"/>
    <s v="Preparation - other"/>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81"/>
    <d v="2023-07-06T19:21:20"/>
    <s v="Y"/>
    <s v="Preparation - other"/>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5"/>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05"/>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
    <d v="2023-07-06T19:21:20"/>
    <s v="N"/>
    <s v="Attendance upon client"/>
    <s v="Non Family Hourly Rates"/>
    <s v="Profit Cost"/>
    <s v="DGF"/>
    <s v="N"/>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259"/>
    <d v="2023-07-06T19:21:20"/>
    <s v="Y"/>
    <s v="Preparation - other"/>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6"/>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57"/>
    <d v="2023-07-06T19:21:20"/>
    <s v="Y"/>
    <s v="Attendance upon other"/>
    <s v="Non Family Hourly Rates"/>
    <s v="Profit Cost"/>
    <s v="HR"/>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26"/>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66"/>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86"/>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71"/>
    <d v="2023-07-06T19:21:20"/>
    <s v="Y"/>
    <s v="Preparation - other"/>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60"/>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75"/>
    <d v="2023-07-06T19:21:20"/>
    <s v="Y"/>
    <s v="Attendance upon other"/>
    <s v="Non Family Hourly Rates"/>
    <s v="Profit Cost"/>
    <s v="JP"/>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84"/>
    <d v="2023-07-06T19:21:20"/>
    <s v="Y"/>
    <s v="Preparation - other"/>
    <s v="Non Family Hourly Rates"/>
    <s v="Profit Cost"/>
    <s v="JP"/>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348"/>
    <d v="2023-07-06T19:21:20"/>
    <s v="Y"/>
    <s v="Preparation - other"/>
    <s v="Non Family Hourly Rates"/>
    <s v="Profit Cost"/>
    <s v="FE"/>
    <s v="Y"/>
    <n v="769.5"/>
    <n v="153.92"/>
    <x v="4"/>
    <s v="VALIDATED"/>
    <n v="1"/>
    <s v="01.11.80.209.6100.0000"/>
    <n v="769.5"/>
    <s v="11"/>
    <s v="6100"/>
    <n v="12089.9"/>
    <n v="769.5"/>
    <s v="CREDITOR"/>
    <n v="0"/>
    <n v="0"/>
    <n v="0"/>
    <n v="0"/>
    <n v="769.5"/>
  </r>
  <r>
    <n v="11714995"/>
    <s v="N"/>
    <n v="21338344"/>
    <s v="3000007067700015"/>
    <s v="CIVIL"/>
    <d v="2023-06-19T00:00:00"/>
    <d v="2023-07-06T19:21:01"/>
    <m/>
    <d v="2023-07-06T00:00:00"/>
    <n v="1811"/>
    <n v="20140"/>
    <s v="11714995"/>
    <s v="11714995"/>
    <m/>
    <m/>
    <n v="22716932"/>
    <m/>
    <m/>
    <m/>
    <s v="SOLFIN"/>
    <s v="SOLFIN"/>
    <s v="CCMS"/>
    <n v="21338344"/>
    <n v="17052.18"/>
    <m/>
    <s v="N"/>
    <n v="349"/>
    <d v="2023-07-06T19:21:20"/>
    <s v="Y"/>
    <s v="Routine Telephone Call"/>
    <s v="Non Family Hourly Rates"/>
    <s v="Profit Cost"/>
    <s v="DGF"/>
    <s v="Y"/>
    <n v="164.56"/>
    <n v="32.92"/>
    <x v="4"/>
    <s v="VALIDATED"/>
    <n v="1"/>
    <s v="01.11.80.209.6100.0000"/>
    <n v="164.56"/>
    <s v="11"/>
    <s v="6100"/>
    <n v="12089.9"/>
    <n v="164.56"/>
    <s v="CREDITOR"/>
    <n v="0"/>
    <n v="0"/>
    <n v="0"/>
    <n v="0"/>
    <n v="164.56"/>
  </r>
  <r>
    <n v="11714995"/>
    <s v="N"/>
    <n v="21338344"/>
    <s v="3000007067700015"/>
    <s v="CIVIL"/>
    <d v="2023-06-19T00:00:00"/>
    <d v="2023-07-06T19:21:01"/>
    <m/>
    <d v="2023-07-06T00:00:00"/>
    <n v="1811"/>
    <n v="20140"/>
    <s v="11714995"/>
    <s v="11714995"/>
    <m/>
    <m/>
    <n v="22716932"/>
    <m/>
    <m/>
    <m/>
    <s v="SOLFIN"/>
    <s v="SOLFIN"/>
    <s v="CCMS"/>
    <n v="21338344"/>
    <n v="17052.18"/>
    <m/>
    <s v="N"/>
    <n v="227"/>
    <d v="2023-07-06T19:21:20"/>
    <s v="Y"/>
    <s v="Attendance upon client"/>
    <s v="Non Family Hourly Rates"/>
    <s v="Profit Cost"/>
    <s v="HR"/>
    <s v="Y"/>
    <n v="70.2"/>
    <n v="14.04"/>
    <x v="4"/>
    <s v="VALIDATED"/>
    <n v="1"/>
    <s v="01.11.80.209.6100.0000"/>
    <n v="70.2"/>
    <s v="11"/>
    <s v="6100"/>
    <n v="12089.9"/>
    <n v="70.2"/>
    <s v="CREDITOR"/>
    <n v="0"/>
    <n v="0"/>
    <n v="0"/>
    <n v="0"/>
    <n v="70.2"/>
  </r>
  <r>
    <n v="11714995"/>
    <s v="N"/>
    <n v="21338344"/>
    <s v="3000007067700015"/>
    <s v="CIVIL"/>
    <d v="2023-06-19T00:00:00"/>
    <d v="2023-07-06T19:21:01"/>
    <m/>
    <d v="2023-07-06T00:00:00"/>
    <n v="1811"/>
    <n v="20140"/>
    <s v="11714995"/>
    <s v="11714995"/>
    <m/>
    <m/>
    <n v="22716932"/>
    <m/>
    <m/>
    <m/>
    <s v="SOLFIN"/>
    <s v="SOLFIN"/>
    <s v="CCMS"/>
    <n v="21338344"/>
    <n v="17052.18"/>
    <m/>
    <s v="N"/>
    <n v="4"/>
    <d v="2023-07-06T19:21:20"/>
    <s v="N"/>
    <s v="Attendance upon other"/>
    <s v="Non Family Hourly Rates"/>
    <s v="Profit Cost"/>
    <s v="DGF"/>
    <s v="N"/>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7"/>
    <d v="2023-07-06T19:21:20"/>
    <s v="N"/>
    <s v="Preparation - drafting notice(s)"/>
    <s v="Non Family Hourly Rates"/>
    <s v="Profit Cost"/>
    <s v="DGF"/>
    <s v="N"/>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22"/>
    <d v="2023-07-06T19:21:20"/>
    <s v="Y"/>
    <s v="Preparation - other"/>
    <s v="Non Family Hourly Rates"/>
    <s v="Profit Cost"/>
    <s v="DGF"/>
    <s v="Y"/>
    <n v="20.25"/>
    <n v="4.05"/>
    <x v="4"/>
    <s v="VALIDATED"/>
    <n v="1"/>
    <s v="01.11.80.209.6100.0000"/>
    <n v="20.25"/>
    <s v="11"/>
    <s v="6100"/>
    <n v="12089.9"/>
    <n v="20.25"/>
    <s v="CREDITOR"/>
    <n v="0"/>
    <n v="0"/>
    <n v="0"/>
    <n v="0"/>
    <n v="20.25"/>
  </r>
  <r>
    <n v="11714995"/>
    <s v="N"/>
    <n v="21338344"/>
    <s v="3000007067700015"/>
    <s v="CIVIL"/>
    <d v="2023-06-19T00:00:00"/>
    <d v="2023-07-06T19:21:01"/>
    <m/>
    <d v="2023-07-06T00:00:00"/>
    <n v="1811"/>
    <n v="20140"/>
    <s v="11714995"/>
    <s v="11714995"/>
    <m/>
    <m/>
    <n v="22716932"/>
    <m/>
    <m/>
    <m/>
    <s v="SOLFIN"/>
    <s v="SOLFIN"/>
    <s v="CCMS"/>
    <n v="21338344"/>
    <n v="17052.18"/>
    <m/>
    <s v="N"/>
    <n v="164"/>
    <d v="2023-07-06T19:21:20"/>
    <s v="Y"/>
    <s v="Preparation - drafting pleadings"/>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183"/>
    <d v="2023-07-06T19:21:20"/>
    <s v="Y"/>
    <s v="Preparation - drafting statement"/>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96"/>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328"/>
    <d v="2023-07-06T19:21:20"/>
    <s v="Y"/>
    <s v="Preparation - drafting attendance n"/>
    <s v="Non Family Hourly Rates"/>
    <s v="Profit Cost"/>
    <s v="HR"/>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38"/>
    <d v="2023-07-06T19:21:20"/>
    <s v="Y"/>
    <s v="Preparation - other"/>
    <s v="Non Family Hourly Rates"/>
    <s v="Profit Cost"/>
    <s v="HR"/>
    <s v="Y"/>
    <n v="17.55"/>
    <n v="3.51"/>
    <x v="4"/>
    <s v="VALIDATED"/>
    <n v="1"/>
    <s v="01.11.80.209.6100.0000"/>
    <n v="17.55"/>
    <s v="11"/>
    <s v="6100"/>
    <n v="12089.9"/>
    <n v="17.55"/>
    <s v="CREDITOR"/>
    <n v="0"/>
    <n v="0"/>
    <n v="0"/>
    <n v="0"/>
    <n v="17.55"/>
  </r>
  <r>
    <n v="11714995"/>
    <s v="N"/>
    <n v="21338344"/>
    <s v="3000007067700015"/>
    <s v="CIVIL"/>
    <d v="2023-06-19T00:00:00"/>
    <d v="2023-07-06T19:21:01"/>
    <m/>
    <d v="2023-07-06T00:00:00"/>
    <n v="1811"/>
    <n v="20140"/>
    <s v="11714995"/>
    <s v="11714995"/>
    <m/>
    <m/>
    <n v="22716932"/>
    <m/>
    <m/>
    <m/>
    <s v="SOLFIN"/>
    <s v="SOLFIN"/>
    <s v="CCMS"/>
    <n v="21338344"/>
    <n v="17052.18"/>
    <m/>
    <s v="N"/>
    <n v="103"/>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12"/>
    <d v="2023-07-06T19:21:20"/>
    <s v="Y"/>
    <s v="Attendance upon client"/>
    <s v="Non Family Hourly Rates"/>
    <s v="Profit Cost"/>
    <s v="DGF"/>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16"/>
    <d v="2023-07-06T19:21:20"/>
    <s v="N"/>
    <s v="Preparation - other"/>
    <s v="Non Family Hourly Rates"/>
    <s v="Profit Cost"/>
    <s v="DGF"/>
    <s v="N"/>
    <n v="61.43"/>
    <n v="12.29"/>
    <x v="4"/>
    <s v="VALIDATED"/>
    <n v="1"/>
    <s v="01.11.80.209.6100.0000"/>
    <n v="61.43"/>
    <s v="11"/>
    <s v="6100"/>
    <n v="12089.9"/>
    <n v="61.43"/>
    <s v="CREDITOR"/>
    <n v="0"/>
    <n v="0"/>
    <n v="0"/>
    <n v="0"/>
    <n v="61.43"/>
  </r>
  <r>
    <n v="11714995"/>
    <s v="N"/>
    <n v="21338344"/>
    <s v="3000007067700015"/>
    <s v="CIVIL"/>
    <d v="2023-06-19T00:00:00"/>
    <d v="2023-07-06T19:21:01"/>
    <m/>
    <d v="2023-07-06T00:00:00"/>
    <n v="1811"/>
    <n v="20140"/>
    <s v="11714995"/>
    <s v="11714995"/>
    <m/>
    <m/>
    <n v="22716932"/>
    <m/>
    <m/>
    <m/>
    <s v="SOLFIN"/>
    <s v="SOLFIN"/>
    <s v="CCMS"/>
    <n v="21338344"/>
    <n v="17052.18"/>
    <m/>
    <s v="N"/>
    <n v="71"/>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9"/>
    <d v="2023-07-06T19:21:20"/>
    <s v="Y"/>
    <s v="Attendance upon client"/>
    <s v="Non Family Hourly Rates"/>
    <s v="Profit Cost"/>
    <s v="JP"/>
    <s v="Y"/>
    <n v="219.38"/>
    <n v="43.88"/>
    <x v="4"/>
    <s v="VALIDATED"/>
    <n v="1"/>
    <s v="01.11.80.209.6100.0000"/>
    <n v="219.38"/>
    <s v="11"/>
    <s v="6100"/>
    <n v="12089.9"/>
    <n v="219.38"/>
    <s v="CREDITOR"/>
    <n v="0"/>
    <n v="0"/>
    <n v="0"/>
    <n v="0"/>
    <n v="219.38"/>
  </r>
  <r>
    <n v="11714995"/>
    <s v="N"/>
    <n v="21338344"/>
    <s v="3000007067700015"/>
    <s v="CIVIL"/>
    <d v="2023-06-19T00:00:00"/>
    <d v="2023-07-06T19:21:01"/>
    <m/>
    <d v="2023-07-06T00:00:00"/>
    <n v="1811"/>
    <n v="20140"/>
    <s v="11714995"/>
    <s v="11714995"/>
    <m/>
    <m/>
    <n v="22716932"/>
    <m/>
    <m/>
    <m/>
    <s v="SOLFIN"/>
    <s v="SOLFIN"/>
    <s v="CCMS"/>
    <n v="21338344"/>
    <n v="17052.18"/>
    <m/>
    <s v="N"/>
    <n v="57"/>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14"/>
    <d v="2023-07-06T19:21:20"/>
    <s v="Y"/>
    <s v="Preparation - drafting pleadings"/>
    <s v="Non Family Hourly Rates"/>
    <s v="Profit Cost"/>
    <s v="DGF"/>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01"/>
    <d v="2023-07-06T19:21:20"/>
    <s v="Y"/>
    <s v="Attendance upon client"/>
    <s v="Non Family Hourly Rates"/>
    <s v="Profit Cost"/>
    <s v="HR"/>
    <s v="Y"/>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87"/>
    <d v="2023-07-06T19:21:20"/>
    <s v="Y"/>
    <s v="Preparation - drafting attendance n"/>
    <s v="Non Family Hourly Rates"/>
    <s v="Profit Cost"/>
    <s v="JP"/>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347"/>
    <d v="2023-07-06T19:21:20"/>
    <s v="Y"/>
    <s v="Preparation - other"/>
    <s v="Non Family Hourly Rates"/>
    <s v="Profit Cost"/>
    <s v="DGF"/>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12"/>
    <d v="2023-07-06T19:21:20"/>
    <s v="N"/>
    <s v="Preparation - drafting instructions"/>
    <s v="Non Family Hourly Rates"/>
    <s v="Profit Cost"/>
    <s v="DGF"/>
    <s v="N"/>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48"/>
    <d v="2023-07-06T19:21:20"/>
    <s v="Y"/>
    <s v="Preparation - drafting attendance n"/>
    <s v="Non Family Hourly Rates"/>
    <s v="Profit Cost"/>
    <s v="SDO"/>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124"/>
    <d v="2023-07-06T19:21:20"/>
    <s v="Y"/>
    <s v="Preparation - other"/>
    <s v="Non Family Hourly Rates"/>
    <s v="Profit Cost"/>
    <s v="DGF"/>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332"/>
    <d v="2023-07-06T19:21:20"/>
    <s v="Y"/>
    <s v="Attendance upon other"/>
    <s v="Non Family Hourly Rates"/>
    <s v="Profit Cost"/>
    <s v="SDO"/>
    <s v="Y"/>
    <n v="13.5"/>
    <n v="2.7"/>
    <x v="4"/>
    <s v="VALIDATED"/>
    <n v="1"/>
    <s v="01.11.80.209.6100.0000"/>
    <n v="13.5"/>
    <s v="11"/>
    <s v="6100"/>
    <n v="12089.9"/>
    <n v="13.5"/>
    <s v="CREDITOR"/>
    <n v="0"/>
    <n v="0"/>
    <n v="0"/>
    <n v="0"/>
    <n v="13.5"/>
  </r>
  <r>
    <n v="11714995"/>
    <s v="N"/>
    <n v="21338344"/>
    <s v="3000007067700015"/>
    <s v="CIVIL"/>
    <d v="2023-06-19T00:00:00"/>
    <d v="2023-07-06T19:21:01"/>
    <m/>
    <d v="2023-07-06T00:00:00"/>
    <n v="1811"/>
    <n v="20140"/>
    <s v="11714995"/>
    <s v="11714995"/>
    <m/>
    <m/>
    <n v="22716932"/>
    <m/>
    <m/>
    <m/>
    <s v="SOLFIN"/>
    <s v="SOLFIN"/>
    <s v="CCMS"/>
    <n v="21338344"/>
    <n v="17052.18"/>
    <m/>
    <s v="N"/>
    <n v="219"/>
    <d v="2023-07-06T19:21:20"/>
    <s v="Y"/>
    <s v="Preparation - other"/>
    <s v="Non Family Hourly Rates"/>
    <s v="Profit Cost"/>
    <s v="HR"/>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221"/>
    <d v="2023-07-06T19:21:20"/>
    <s v="Y"/>
    <s v="Preparation - other"/>
    <s v="Non Family Hourly Rates"/>
    <s v="Profit Cost"/>
    <s v="DGF"/>
    <s v="Y"/>
    <n v="33.75"/>
    <n v="6.75"/>
    <x v="4"/>
    <s v="VALIDATED"/>
    <n v="1"/>
    <s v="01.11.80.209.6100.0000"/>
    <n v="33.75"/>
    <s v="11"/>
    <s v="6100"/>
    <n v="12089.9"/>
    <n v="33.75"/>
    <s v="CREDITOR"/>
    <n v="0"/>
    <n v="0"/>
    <n v="0"/>
    <n v="0"/>
    <n v="33.75"/>
  </r>
  <r>
    <n v="11714995"/>
    <s v="N"/>
    <n v="21338344"/>
    <s v="3000007067700015"/>
    <s v="CIVIL"/>
    <d v="2023-06-19T00:00:00"/>
    <d v="2023-07-06T19:21:01"/>
    <m/>
    <d v="2023-07-06T00:00:00"/>
    <n v="1811"/>
    <n v="20140"/>
    <s v="11714995"/>
    <s v="11714995"/>
    <m/>
    <m/>
    <n v="22716932"/>
    <m/>
    <m/>
    <m/>
    <s v="SOLFIN"/>
    <s v="SOLFIN"/>
    <s v="CCMS"/>
    <n v="21338344"/>
    <n v="17052.18"/>
    <m/>
    <s v="N"/>
    <n v="100"/>
    <d v="2023-07-06T19:21:20"/>
    <s v="Y"/>
    <s v="Attendance upon/with Counsel at Con"/>
    <s v="Non Family Hourly Rates"/>
    <s v="Profit Cost"/>
    <s v="JP"/>
    <s v="Y"/>
    <n v="49.95"/>
    <n v="9.99"/>
    <x v="4"/>
    <s v="VALIDATED"/>
    <n v="1"/>
    <s v="01.11.80.209.6100.0000"/>
    <n v="49.95"/>
    <s v="11"/>
    <s v="6100"/>
    <n v="12089.9"/>
    <n v="49.95"/>
    <s v="CREDITOR"/>
    <n v="0"/>
    <n v="0"/>
    <n v="0"/>
    <n v="0"/>
    <n v="49.95"/>
  </r>
  <r>
    <n v="11714995"/>
    <s v="N"/>
    <n v="21338344"/>
    <s v="3000007067700015"/>
    <s v="CIVIL"/>
    <d v="2023-06-19T00:00:00"/>
    <d v="2023-07-06T19:21:01"/>
    <m/>
    <d v="2023-07-06T00:00:00"/>
    <n v="1811"/>
    <n v="20140"/>
    <s v="11714995"/>
    <s v="11714995"/>
    <m/>
    <m/>
    <n v="22716932"/>
    <m/>
    <m/>
    <m/>
    <s v="SOLFIN"/>
    <s v="SOLFIN"/>
    <s v="CCMS"/>
    <n v="21338344"/>
    <n v="17052.18"/>
    <m/>
    <s v="N"/>
    <n v="15"/>
    <d v="2023-07-06T19:21:20"/>
    <s v="N"/>
    <s v="Attendance upon client"/>
    <s v="Non Family Hourly Rates"/>
    <s v="Profit Cost"/>
    <s v="DGF"/>
    <s v="N"/>
    <n v="52.65"/>
    <n v="10.53"/>
    <x v="4"/>
    <s v="VALIDATED"/>
    <n v="1"/>
    <s v="01.11.80.209.6100.0000"/>
    <n v="52.65"/>
    <s v="11"/>
    <s v="6100"/>
    <n v="12089.9"/>
    <n v="52.65"/>
    <s v="CREDITOR"/>
    <n v="0"/>
    <n v="0"/>
    <n v="0"/>
    <n v="0"/>
    <n v="52.65"/>
  </r>
  <r>
    <n v="11714995"/>
    <s v="N"/>
    <n v="21338344"/>
    <s v="3000007067700015"/>
    <s v="CIVIL"/>
    <d v="2023-06-19T00:00:00"/>
    <d v="2023-07-06T19:21:01"/>
    <m/>
    <d v="2023-07-06T00:00:00"/>
    <n v="1811"/>
    <n v="20140"/>
    <s v="11714995"/>
    <s v="11714995"/>
    <m/>
    <m/>
    <n v="22716932"/>
    <m/>
    <m/>
    <m/>
    <s v="SOLFIN"/>
    <s v="SOLFIN"/>
    <s v="CCMS"/>
    <n v="21338344"/>
    <n v="17052.18"/>
    <m/>
    <s v="N"/>
    <n v="161"/>
    <d v="2023-07-06T19:21:20"/>
    <s v="Y"/>
    <s v="Preparation - drafting statement"/>
    <s v="Non Family Hourly Rates"/>
    <s v="Profit Cost"/>
    <s v="HR"/>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99"/>
    <d v="2023-07-06T19:21:20"/>
    <s v="Y"/>
    <s v="Preparation - other"/>
    <s v="Non Family Hourly Rates"/>
    <s v="Profit Cost"/>
    <s v="JP"/>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15"/>
    <d v="2023-07-06T19:21:20"/>
    <s v="Y"/>
    <s v="Preparation - other"/>
    <s v="Non Family Hourly Rates"/>
    <s v="Profit Cost"/>
    <s v="DGF"/>
    <s v="Y"/>
    <n v="8.779999999999999"/>
    <n v="1.76"/>
    <x v="4"/>
    <s v="VALIDATED"/>
    <n v="1"/>
    <s v="01.11.80.209.6100.0000"/>
    <n v="8.779999999999999"/>
    <s v="11"/>
    <s v="6100"/>
    <n v="12089.9"/>
    <n v="8.779999999999999"/>
    <s v="CREDITOR"/>
    <n v="0"/>
    <n v="0"/>
    <n v="0"/>
    <n v="0"/>
    <n v="8.779999999999999"/>
  </r>
  <r>
    <n v="11714995"/>
    <s v="N"/>
    <n v="21338344"/>
    <s v="3000007067700015"/>
    <s v="CIVIL"/>
    <d v="2023-06-19T00:00:00"/>
    <d v="2023-07-06T19:21:01"/>
    <m/>
    <d v="2023-07-06T00:00:00"/>
    <n v="1811"/>
    <n v="20140"/>
    <s v="11714995"/>
    <s v="11714995"/>
    <m/>
    <m/>
    <n v="22716932"/>
    <m/>
    <m/>
    <m/>
    <s v="SOLFIN"/>
    <s v="SOLFIN"/>
    <s v="CCMS"/>
    <n v="21338344"/>
    <n v="17052.18"/>
    <m/>
    <s v="N"/>
    <n v="151"/>
    <d v="2023-07-06T19:21:20"/>
    <s v="Y"/>
    <s v="Report - Counsel's opinion"/>
    <s v="Non Family Hourly Rates"/>
    <s v="Profit Cost"/>
    <s v="HR"/>
    <s v="Y"/>
    <n v="87.75"/>
    <n v="17.55"/>
    <x v="4"/>
    <s v="VALIDATED"/>
    <n v="1"/>
    <s v="01.11.80.209.6100.0000"/>
    <n v="87.75"/>
    <s v="11"/>
    <s v="6100"/>
    <n v="12089.9"/>
    <n v="87.75"/>
    <s v="CREDITOR"/>
    <n v="0"/>
    <n v="0"/>
    <n v="0"/>
    <n v="0"/>
    <n v="87.75"/>
  </r>
  <r>
    <n v="11714995"/>
    <s v="N"/>
    <n v="21338344"/>
    <s v="3000007067700015"/>
    <s v="CIVIL"/>
    <d v="2023-06-19T00:00:00"/>
    <d v="2023-07-06T19:21:01"/>
    <m/>
    <d v="2023-07-06T00:00:00"/>
    <n v="1811"/>
    <n v="20140"/>
    <s v="11714995"/>
    <s v="11714995"/>
    <m/>
    <m/>
    <n v="22716932"/>
    <m/>
    <m/>
    <m/>
    <s v="SOLFIN"/>
    <s v="SOLFIN"/>
    <s v="CCMS"/>
    <n v="21338344"/>
    <n v="17052.18"/>
    <m/>
    <s v="N"/>
    <n v="46"/>
    <d v="2023-07-06T19:21:20"/>
    <s v="Y"/>
    <s v="Preparation - drafting attendance n"/>
    <s v="Non Family Hourly Rates"/>
    <s v="Profit Cost"/>
    <s v="JP"/>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47"/>
    <d v="2023-07-06T19:21:20"/>
    <s v="Y"/>
    <s v="Preparation - other"/>
    <s v="Non Family Hourly Rates"/>
    <s v="Profit Cost"/>
    <s v="DGF"/>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317"/>
    <d v="2023-07-06T19:21:20"/>
    <s v="Y"/>
    <s v="Preparation - other"/>
    <s v="Non Family Hourly Rates"/>
    <s v="Profit Cost"/>
    <s v="DGF"/>
    <s v="Y"/>
    <n v="26.33"/>
    <n v="5.27"/>
    <x v="4"/>
    <s v="VALIDATED"/>
    <n v="1"/>
    <s v="01.11.80.209.6100.0000"/>
    <n v="26.33"/>
    <s v="11"/>
    <s v="6100"/>
    <n v="12089.9"/>
    <n v="26.33"/>
    <s v="CREDITOR"/>
    <n v="0"/>
    <n v="0"/>
    <n v="0"/>
    <n v="0"/>
    <n v="26.33"/>
  </r>
  <r>
    <n v="11714995"/>
    <s v="N"/>
    <n v="21338344"/>
    <s v="3000007067700015"/>
    <s v="CIVIL"/>
    <d v="2023-06-19T00:00:00"/>
    <d v="2023-07-06T19:21:01"/>
    <m/>
    <d v="2023-07-06T00:00:00"/>
    <n v="1811"/>
    <n v="20140"/>
    <s v="11714995"/>
    <s v="11714995"/>
    <m/>
    <m/>
    <n v="22716932"/>
    <m/>
    <m/>
    <m/>
    <s v="SOLFIN"/>
    <s v="SOLFIN"/>
    <s v="CCMS"/>
    <n v="21338344"/>
    <n v="17052.18"/>
    <m/>
    <s v="N"/>
    <n v="108"/>
    <d v="2023-07-06T19:21:20"/>
    <s v="Y"/>
    <s v="Preparation - drafting attendance n"/>
    <s v="Non Family Hourly Rates"/>
    <s v="Profit Cost"/>
    <s v="CE"/>
    <s v="Y"/>
    <n v="6.75"/>
    <n v="1.35"/>
    <x v="4"/>
    <s v="VALIDATED"/>
    <n v="1"/>
    <s v="01.11.80.209.6100.0000"/>
    <n v="6.75"/>
    <s v="11"/>
    <s v="6100"/>
    <n v="12089.9"/>
    <n v="6.75"/>
    <s v="CREDITOR"/>
    <n v="0"/>
    <n v="0"/>
    <n v="0"/>
    <n v="0"/>
    <n v="6.75"/>
  </r>
  <r>
    <n v="11714995"/>
    <s v="N"/>
    <n v="21338344"/>
    <s v="3000007067700015"/>
    <s v="CIVIL"/>
    <d v="2023-06-19T00:00:00"/>
    <d v="2023-07-06T19:21:01"/>
    <m/>
    <d v="2023-07-06T00:00:00"/>
    <n v="1811"/>
    <n v="20140"/>
    <s v="11714995"/>
    <s v="11714995"/>
    <m/>
    <m/>
    <n v="22716932"/>
    <m/>
    <m/>
    <m/>
    <s v="SOLFIN"/>
    <s v="SOLFIN"/>
    <s v="CCMS"/>
    <n v="21338344"/>
    <n v="17052.18"/>
    <m/>
    <s v="N"/>
    <n v="241"/>
    <d v="2023-07-06T19:21:20"/>
    <s v="Y"/>
    <s v="Attendance upon client"/>
    <s v="Non Family Hourly Rates"/>
    <s v="Profit Cost"/>
    <s v="HR"/>
    <s v="Y"/>
    <n v="35.1"/>
    <n v="7.02"/>
    <x v="4"/>
    <s v="VALIDATED"/>
    <n v="1"/>
    <s v="01.11.80.209.6100.0000"/>
    <n v="35.1"/>
    <s v="11"/>
    <s v="6100"/>
    <n v="12089.9"/>
    <n v="35.1"/>
    <s v="CREDITOR"/>
    <n v="0"/>
    <n v="0"/>
    <n v="0"/>
    <n v="0"/>
    <n v="35.1"/>
  </r>
  <r>
    <n v="11714995"/>
    <s v="N"/>
    <n v="21338344"/>
    <s v="3000007067700015"/>
    <s v="CIVIL"/>
    <d v="2023-06-19T00:00:00"/>
    <d v="2023-07-06T19:21:01"/>
    <m/>
    <d v="2023-07-06T00:00:00"/>
    <n v="1811"/>
    <n v="20140"/>
    <s v="11714995"/>
    <s v="11714995"/>
    <m/>
    <m/>
    <n v="22716932"/>
    <m/>
    <m/>
    <m/>
    <s v="SOLFIN"/>
    <s v="SOLFIN"/>
    <s v="CCMS"/>
    <n v="21338344"/>
    <n v="17052.18"/>
    <m/>
    <s v="N"/>
    <n v="257"/>
    <d v="2023-07-06T19:21:20"/>
    <s v="Y"/>
    <s v="Preparation - other"/>
    <s v="Non Family Hourly Rates"/>
    <s v="Profit Cost"/>
    <s v="HR"/>
    <s v="Y"/>
    <n v="54"/>
    <n v="10.8"/>
    <x v="4"/>
    <s v="VALIDATED"/>
    <n v="1"/>
    <s v="01.11.80.209.6100.0000"/>
    <n v="54"/>
    <s v="11"/>
    <s v="6100"/>
    <n v="12089.9"/>
    <n v="54"/>
    <s v="CREDITOR"/>
    <n v="0"/>
    <n v="0"/>
    <n v="0"/>
    <n v="0"/>
    <n v="54"/>
  </r>
  <r>
    <n v="11714995"/>
    <s v="N"/>
    <n v="21338344"/>
    <s v="3000007067700015"/>
    <s v="CIVIL"/>
    <d v="2023-06-19T00:00:00"/>
    <d v="2023-07-06T19:21:01"/>
    <m/>
    <d v="2023-07-06T00:00:00"/>
    <n v="1811"/>
    <n v="20140"/>
    <s v="11714995"/>
    <s v="11714995"/>
    <m/>
    <m/>
    <n v="22716932"/>
    <m/>
    <m/>
    <m/>
    <s v="SOLFIN"/>
    <s v="SOLFIN"/>
    <s v="CCMS"/>
    <n v="21338344"/>
    <n v="17052.18"/>
    <m/>
    <s v="N"/>
    <n v="40"/>
    <d v="2023-07-06T19:21:20"/>
    <s v="Y"/>
    <s v="Attendance upon client"/>
    <s v="Non Family Hourly Rates"/>
    <s v="Profit Cost"/>
    <s v="JP"/>
    <s v="Y"/>
    <n v="43.88"/>
    <n v="8.779999999999999"/>
    <x v="4"/>
    <s v="VALIDATED"/>
    <n v="1"/>
    <s v="01.11.80.209.6100.0000"/>
    <n v="43.88"/>
    <s v="11"/>
    <s v="6100"/>
    <n v="12089.9"/>
    <n v="43.88"/>
    <s v="CREDITOR"/>
    <n v="0"/>
    <n v="0"/>
    <n v="0"/>
    <n v="0"/>
    <n v="43.88"/>
  </r>
  <r>
    <n v="11714995"/>
    <s v="N"/>
    <n v="21338344"/>
    <s v="3000007067700015"/>
    <s v="CIVIL"/>
    <d v="2023-06-19T00:00:00"/>
    <d v="2023-07-06T19:21:01"/>
    <m/>
    <d v="2023-07-06T00:00:00"/>
    <n v="1811"/>
    <n v="20140"/>
    <s v="11714995"/>
    <s v="11714995"/>
    <m/>
    <m/>
    <n v="22716932"/>
    <m/>
    <m/>
    <m/>
    <s v="SOLFIN"/>
    <s v="SOLFIN"/>
    <s v="CCMS"/>
    <n v="21338344"/>
    <n v="17052.18"/>
    <m/>
    <s v="N"/>
    <n v="89"/>
    <d v="2023-07-06T19:21:20"/>
    <s v="Y"/>
    <s v="Attendance upon client"/>
    <s v="Non Family Hourly Rates"/>
    <s v="Profit Cost"/>
    <s v="JP"/>
    <s v="Y"/>
    <n v="87.75"/>
    <n v="17.55"/>
    <x v="4"/>
    <s v="VALIDATED"/>
    <n v="1"/>
    <s v="01.11.80.209.6100.0000"/>
    <n v="87.75"/>
    <s v="11"/>
    <s v="6100"/>
    <n v="12089.9"/>
    <n v="87.75"/>
    <s v="CREDITOR"/>
    <n v="0"/>
    <n v="0"/>
    <n v="0"/>
    <n v="0"/>
    <n v="87.75"/>
  </r>
  <r>
    <n v="9890602"/>
    <s v="N"/>
    <n v="21350045"/>
    <s v="3000005773020016"/>
    <s v="CIVIL"/>
    <d v="2023-06-30T00:00:00"/>
    <d v="2023-07-10T19:01:40"/>
    <m/>
    <d v="2023-07-10T00:00:00"/>
    <n v="1812"/>
    <n v="20151"/>
    <s v="9890602"/>
    <s v="9890602"/>
    <m/>
    <m/>
    <n v="22799986"/>
    <m/>
    <m/>
    <m/>
    <s v="SOLFIN"/>
    <s v="SOLFIN"/>
    <s v="CCMS"/>
    <n v="21350045"/>
    <n v="10002.57"/>
    <m/>
    <s v="N"/>
    <n v="108"/>
    <d v="2023-07-10T19:02:10"/>
    <s v="Y"/>
    <s v="Preparation - drafting attendance n"/>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23"/>
    <d v="2023-07-10T19:02:10"/>
    <s v="Y"/>
    <s v="Preparation - drafting attendance n"/>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64"/>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46"/>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4"/>
    <d v="2023-07-10T19:02:10"/>
    <s v="N"/>
    <s v="Level 3 &amp; Level 4 Fixed Fee"/>
    <s v="Private Law Children"/>
    <s v="Profit Cost"/>
    <s v="Nicola Deakin - Poole Alcock"/>
    <s v="N"/>
    <n v="0"/>
    <n v="0"/>
    <x v="2"/>
    <s v="VALIDATED"/>
    <n v="1"/>
    <s v="01.11.80.307.6100.0000"/>
    <n v="0"/>
    <s v="11"/>
    <s v="6100"/>
    <n v="9423.77"/>
    <n v="0"/>
    <s v="CREDITOR"/>
    <n v="0"/>
    <n v="0"/>
    <n v="0"/>
    <n v="0"/>
    <n v="0"/>
  </r>
  <r>
    <n v="9890602"/>
    <s v="N"/>
    <n v="21350045"/>
    <s v="3000005773020016"/>
    <s v="CIVIL"/>
    <d v="2023-06-30T00:00:00"/>
    <d v="2023-07-10T19:01:40"/>
    <m/>
    <d v="2023-07-10T00:00:00"/>
    <n v="1812"/>
    <n v="20151"/>
    <s v="9890602"/>
    <s v="9890602"/>
    <m/>
    <m/>
    <n v="22799986"/>
    <m/>
    <m/>
    <m/>
    <s v="SOLFIN"/>
    <s v="SOLFIN"/>
    <s v="CCMS"/>
    <n v="21350045"/>
    <n v="10002.57"/>
    <m/>
    <s v="N"/>
    <n v="125"/>
    <d v="2023-07-10T19:02:10"/>
    <s v="Y"/>
    <s v="Preparation - other"/>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139"/>
    <d v="2023-07-10T19:02:10"/>
    <s v="Y"/>
    <s v="Preparation - drafting instructions"/>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66"/>
    <d v="2023-07-10T19:02:10"/>
    <s v="Y"/>
    <s v="Attendance upon client"/>
    <s v="Prescribed Hourly Rates"/>
    <s v="Profit Cost"/>
    <s v="Nicola Deakin - Poole Alcock"/>
    <s v="Y"/>
    <n v="13.15"/>
    <n v="2.63"/>
    <x v="2"/>
    <s v="VALIDATED"/>
    <n v="1"/>
    <s v="01.11.80.307.6100.0000"/>
    <n v="13.15"/>
    <s v="11"/>
    <s v="6100"/>
    <n v="9423.77"/>
    <n v="13.15"/>
    <s v="CREDITOR"/>
    <n v="0"/>
    <n v="0"/>
    <n v="0"/>
    <n v="0"/>
    <n v="13.15"/>
  </r>
  <r>
    <n v="9890602"/>
    <s v="N"/>
    <n v="21350045"/>
    <s v="3000005773020016"/>
    <s v="CIVIL"/>
    <d v="2023-06-30T00:00:00"/>
    <d v="2023-07-10T19:01:40"/>
    <m/>
    <d v="2023-07-10T00:00:00"/>
    <n v="1812"/>
    <n v="20151"/>
    <s v="9890602"/>
    <s v="9890602"/>
    <m/>
    <m/>
    <n v="22799986"/>
    <m/>
    <m/>
    <m/>
    <s v="SOLFIN"/>
    <s v="SOLFIN"/>
    <s v="CCMS"/>
    <n v="21350045"/>
    <n v="10002.57"/>
    <m/>
    <s v="N"/>
    <n v="121"/>
    <d v="2023-07-10T19:02:10"/>
    <s v="Y"/>
    <s v="Attendance upon/with Counsel at Con"/>
    <s v="Prescribed Hourly Rates"/>
    <s v="Profit Cost"/>
    <s v="Nicola Deakin - Poole Alcock"/>
    <s v="Y"/>
    <n v="12.96"/>
    <n v="2.59"/>
    <x v="2"/>
    <s v="VALIDATED"/>
    <n v="1"/>
    <s v="01.11.80.307.6100.0000"/>
    <n v="12.96"/>
    <s v="11"/>
    <s v="6100"/>
    <n v="9423.77"/>
    <n v="12.96"/>
    <s v="CREDITOR"/>
    <n v="0"/>
    <n v="0"/>
    <n v="0"/>
    <n v="0"/>
    <n v="12.96"/>
  </r>
  <r>
    <n v="9890602"/>
    <s v="N"/>
    <n v="21350045"/>
    <s v="3000005773020016"/>
    <s v="CIVIL"/>
    <d v="2023-06-30T00:00:00"/>
    <d v="2023-07-10T19:01:40"/>
    <m/>
    <d v="2023-07-10T00:00:00"/>
    <n v="1812"/>
    <n v="20151"/>
    <s v="9890602"/>
    <s v="9890602"/>
    <m/>
    <m/>
    <n v="22799986"/>
    <m/>
    <m/>
    <m/>
    <s v="SOLFIN"/>
    <s v="SOLFIN"/>
    <s v="CCMS"/>
    <n v="21350045"/>
    <n v="10002.57"/>
    <m/>
    <s v="N"/>
    <n v="102"/>
    <d v="2023-07-10T19:02:10"/>
    <s v="Y"/>
    <s v="Preparation - other"/>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28"/>
    <d v="2023-07-10T19:02:10"/>
    <s v="Y"/>
    <s v="Preparation - other"/>
    <s v="Prescribed Hourly Rates"/>
    <s v="Profit Cost"/>
    <s v="Dan Brooks-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63"/>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22"/>
    <d v="2023-07-10T19:02:10"/>
    <s v="Y"/>
    <s v="Attendance upon client"/>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181"/>
    <d v="2023-07-10T19:02:10"/>
    <s v="Y"/>
    <s v="Preparation - other"/>
    <s v="Prescribed Hourly Rates"/>
    <s v="Profit Cost"/>
    <s v="Costs Draftsman"/>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34"/>
    <d v="2023-07-10T19:02:10"/>
    <s v="Y"/>
    <s v="Attendance upon client"/>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60"/>
    <d v="2023-07-10T19:02:10"/>
    <s v="Y"/>
    <s v="Preparation - other"/>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171"/>
    <d v="2023-07-10T19:02:10"/>
    <s v="Y"/>
    <s v="Routine Telephone Call"/>
    <s v="Prescribed Hourly Rates"/>
    <s v="Profit Cost"/>
    <s v="Nicola Deakin"/>
    <s v="Y"/>
    <n v="6.35"/>
    <n v="1.27"/>
    <x v="2"/>
    <s v="VALIDATED"/>
    <n v="1"/>
    <s v="01.11.80.307.6100.0000"/>
    <n v="6.35"/>
    <s v="11"/>
    <s v="6100"/>
    <n v="9423.77"/>
    <n v="6.35"/>
    <s v="CREDITOR"/>
    <n v="0"/>
    <n v="0"/>
    <n v="0"/>
    <n v="0"/>
    <n v="6.35"/>
  </r>
  <r>
    <n v="9890602"/>
    <s v="N"/>
    <n v="21350045"/>
    <s v="3000005773020016"/>
    <s v="CIVIL"/>
    <d v="2023-06-30T00:00:00"/>
    <d v="2023-07-10T19:01:40"/>
    <m/>
    <d v="2023-07-10T00:00:00"/>
    <n v="1812"/>
    <n v="20151"/>
    <s v="9890602"/>
    <s v="9890602"/>
    <m/>
    <m/>
    <n v="22799986"/>
    <m/>
    <m/>
    <m/>
    <s v="SOLFIN"/>
    <s v="SOLFIN"/>
    <s v="CCMS"/>
    <n v="21350045"/>
    <n v="10002.57"/>
    <m/>
    <s v="N"/>
    <n v="58"/>
    <d v="2023-07-10T19:02:10"/>
    <s v="Y"/>
    <s v="Preparation - drafting attendance n"/>
    <s v="Prescribed Hourly Rates"/>
    <s v="Profit Cost"/>
    <s v="Lisa Ball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77"/>
    <d v="2023-07-10T19:02:10"/>
    <s v="Y"/>
    <s v="Attendance upon/with Counsel at Con"/>
    <s v="Prescribed Hourly Rates"/>
    <s v="Profit Cost"/>
    <s v="Nicola Deakin - Poole Alcock"/>
    <s v="Y"/>
    <n v="25.92"/>
    <n v="5.18"/>
    <x v="2"/>
    <s v="VALIDATED"/>
    <n v="1"/>
    <s v="01.11.80.307.6100.0000"/>
    <n v="25.92"/>
    <s v="11"/>
    <s v="6100"/>
    <n v="9423.77"/>
    <n v="25.92"/>
    <s v="CREDITOR"/>
    <n v="0"/>
    <n v="0"/>
    <n v="0"/>
    <n v="0"/>
    <n v="25.92"/>
  </r>
  <r>
    <n v="9890602"/>
    <s v="N"/>
    <n v="21350045"/>
    <s v="3000005773020016"/>
    <s v="CIVIL"/>
    <d v="2023-06-30T00:00:00"/>
    <d v="2023-07-10T19:01:40"/>
    <m/>
    <d v="2023-07-10T00:00:00"/>
    <n v="1812"/>
    <n v="20151"/>
    <s v="9890602"/>
    <s v="9890602"/>
    <m/>
    <m/>
    <n v="22799986"/>
    <m/>
    <m/>
    <m/>
    <s v="SOLFIN"/>
    <s v="SOLFIN"/>
    <s v="CCMS"/>
    <n v="21350045"/>
    <n v="10002.57"/>
    <m/>
    <s v="N"/>
    <n v="35"/>
    <d v="2023-07-10T19:02:10"/>
    <s v="Y"/>
    <s v="Preparation - other"/>
    <s v="Prescribed Hourly Rates"/>
    <s v="Profit Cost"/>
    <s v="Dan Brooks- Poole Alcock"/>
    <s v="Y"/>
    <n v="38.43"/>
    <n v="7.69"/>
    <x v="2"/>
    <s v="VALIDATED"/>
    <n v="1"/>
    <s v="01.11.80.307.6100.0000"/>
    <n v="38.43"/>
    <s v="11"/>
    <s v="6100"/>
    <n v="9423.77"/>
    <n v="38.43"/>
    <s v="CREDITOR"/>
    <n v="0"/>
    <n v="0"/>
    <n v="0"/>
    <n v="0"/>
    <n v="38.43"/>
  </r>
  <r>
    <n v="9890602"/>
    <s v="N"/>
    <n v="21350045"/>
    <s v="3000005773020016"/>
    <s v="CIVIL"/>
    <d v="2023-06-30T00:00:00"/>
    <d v="2023-07-10T19:01:40"/>
    <m/>
    <d v="2023-07-10T00:00:00"/>
    <n v="1812"/>
    <n v="20151"/>
    <s v="9890602"/>
    <s v="9890602"/>
    <m/>
    <m/>
    <n v="22799986"/>
    <m/>
    <m/>
    <m/>
    <s v="SOLFIN"/>
    <s v="SOLFIN"/>
    <s v="CCMS"/>
    <n v="21350045"/>
    <n v="10002.57"/>
    <m/>
    <s v="N"/>
    <n v="179"/>
    <d v="2023-07-10T19:02:10"/>
    <s v="Y"/>
    <s v="Preparation - drafting bill/claim f"/>
    <s v="Prescribed Hourly Rates"/>
    <s v="Profit Cost"/>
    <s v="Costs Draftsman"/>
    <s v="Y"/>
    <n v="581.9400000000001"/>
    <n v="116.4"/>
    <x v="2"/>
    <s v="VALIDATED"/>
    <n v="1"/>
    <s v="01.11.80.307.6100.0000"/>
    <n v="581.9400000000001"/>
    <s v="11"/>
    <s v="6100"/>
    <n v="9423.77"/>
    <n v="581.9400000000001"/>
    <s v="CREDITOR"/>
    <n v="0"/>
    <n v="0"/>
    <n v="0"/>
    <n v="0"/>
    <n v="581.9400000000001"/>
  </r>
  <r>
    <n v="9890602"/>
    <s v="N"/>
    <n v="21350045"/>
    <s v="3000005773020016"/>
    <s v="CIVIL"/>
    <d v="2023-06-30T00:00:00"/>
    <d v="2023-07-10T19:01:40"/>
    <m/>
    <d v="2023-07-10T00:00:00"/>
    <n v="1812"/>
    <n v="20151"/>
    <s v="9890602"/>
    <s v="9890602"/>
    <m/>
    <m/>
    <n v="22799986"/>
    <m/>
    <m/>
    <m/>
    <s v="SOLFIN"/>
    <s v="SOLFIN"/>
    <s v="CCMS"/>
    <n v="21350045"/>
    <n v="10002.57"/>
    <m/>
    <s v="N"/>
    <n v="40"/>
    <d v="2023-07-10T19:02:10"/>
    <s v="Y"/>
    <s v="Attendance upon other"/>
    <s v="Prescribed Hourly Rates"/>
    <s v="Profit Cost"/>
    <s v="Dan Brooks-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66"/>
    <d v="2023-07-10T19:02:10"/>
    <s v="Y"/>
    <s v="Attendance upon client"/>
    <s v="Prescribed Hourly Rates"/>
    <s v="Profit Cost"/>
    <s v="Nicola Deakin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53"/>
    <d v="2023-07-10T19:02:10"/>
    <s v="Y"/>
    <s v="Preparation - other"/>
    <s v="Prescribed Hourly Rates"/>
    <s v="Profit Cost"/>
    <s v="Lisa Ball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41"/>
    <d v="2023-07-10T19:02:10"/>
    <s v="Y"/>
    <s v="Attendance upon other"/>
    <s v="Prescribed Hourly Rates"/>
    <s v="Profit Cost"/>
    <s v="Vicky McCallister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93"/>
    <d v="2023-07-10T19:02:10"/>
    <s v="Y"/>
    <s v="Preparation - other"/>
    <s v="Prescribed Hourly Rates"/>
    <s v="Profit Cost"/>
    <s v="Amie Pine - Poole Alcock"/>
    <s v="Y"/>
    <n v="12.63"/>
    <n v="2.53"/>
    <x v="2"/>
    <s v="VALIDATED"/>
    <n v="1"/>
    <s v="01.11.80.307.6100.0000"/>
    <n v="12.63"/>
    <s v="11"/>
    <s v="6100"/>
    <n v="9423.77"/>
    <n v="12.63"/>
    <s v="CREDITOR"/>
    <n v="0"/>
    <n v="0"/>
    <n v="0"/>
    <n v="0"/>
    <n v="12.63"/>
  </r>
  <r>
    <n v="9890602"/>
    <s v="N"/>
    <n v="21350045"/>
    <s v="3000005773020016"/>
    <s v="CIVIL"/>
    <d v="2023-06-30T00:00:00"/>
    <d v="2023-07-10T19:01:40"/>
    <m/>
    <d v="2023-07-10T00:00:00"/>
    <n v="1812"/>
    <n v="20151"/>
    <s v="9890602"/>
    <s v="9890602"/>
    <m/>
    <m/>
    <n v="22799986"/>
    <m/>
    <m/>
    <m/>
    <s v="SOLFIN"/>
    <s v="SOLFIN"/>
    <s v="CCMS"/>
    <n v="21350045"/>
    <n v="10002.57"/>
    <m/>
    <s v="N"/>
    <n v="33"/>
    <d v="2023-07-10T19:02:10"/>
    <s v="Y"/>
    <s v="Attendance upon client"/>
    <s v="Prescribed Hourly Rates"/>
    <s v="Profit Cost"/>
    <s v="Dan Brooks- Poole Alcock"/>
    <s v="Y"/>
    <n v="109.8"/>
    <n v="21.96"/>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82"/>
    <d v="2023-07-10T19:02:10"/>
    <s v="Y"/>
    <s v="Preparation - other"/>
    <s v="Prescribed Hourly Rates"/>
    <s v="Profit Cost"/>
    <s v="Amie Pine - Poole Alcock"/>
    <s v="Y"/>
    <n v="12.63"/>
    <n v="2.53"/>
    <x v="2"/>
    <s v="VALIDATED"/>
    <n v="1"/>
    <s v="01.11.80.307.6100.0000"/>
    <n v="12.63"/>
    <s v="11"/>
    <s v="6100"/>
    <n v="9423.77"/>
    <n v="12.63"/>
    <s v="CREDITOR"/>
    <n v="0"/>
    <n v="0"/>
    <n v="0"/>
    <n v="0"/>
    <n v="12.63"/>
  </r>
  <r>
    <n v="9890602"/>
    <s v="N"/>
    <n v="21350045"/>
    <s v="3000005773020016"/>
    <s v="CIVIL"/>
    <d v="2023-06-30T00:00:00"/>
    <d v="2023-07-10T19:01:40"/>
    <m/>
    <d v="2023-07-10T00:00:00"/>
    <n v="1812"/>
    <n v="20151"/>
    <s v="9890602"/>
    <s v="9890602"/>
    <m/>
    <m/>
    <n v="22799986"/>
    <m/>
    <m/>
    <m/>
    <s v="SOLFIN"/>
    <s v="SOLFIN"/>
    <s v="CCMS"/>
    <n v="21350045"/>
    <n v="10002.57"/>
    <m/>
    <s v="N"/>
    <n v="75"/>
    <d v="2023-07-10T19:02:10"/>
    <s v="Y"/>
    <s v="Preparation - other"/>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111"/>
    <d v="2023-07-10T19:02:10"/>
    <s v="Y"/>
    <s v="Attendance upon client"/>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16"/>
    <d v="2023-07-10T19:02:10"/>
    <s v="Y"/>
    <s v="Report - other report"/>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91"/>
    <d v="2023-07-10T19:02:10"/>
    <s v="Y"/>
    <s v="Preparation - other"/>
    <s v="Prescribed Hourly Rates"/>
    <s v="Profit Cost"/>
    <s v="Amie Pine - Poole Alcock"/>
    <s v="Y"/>
    <n v="18.94"/>
    <n v="3.79"/>
    <x v="2"/>
    <s v="VALIDATED"/>
    <n v="1"/>
    <s v="01.11.80.307.6100.0000"/>
    <n v="18.94"/>
    <s v="11"/>
    <s v="6100"/>
    <n v="9423.77"/>
    <n v="18.94"/>
    <s v="CREDITOR"/>
    <n v="0"/>
    <n v="0"/>
    <n v="0"/>
    <n v="0"/>
    <n v="18.94"/>
  </r>
  <r>
    <n v="9890602"/>
    <s v="N"/>
    <n v="21350045"/>
    <s v="3000005773020016"/>
    <s v="CIVIL"/>
    <d v="2023-06-30T00:00:00"/>
    <d v="2023-07-10T19:01:40"/>
    <m/>
    <d v="2023-07-10T00:00:00"/>
    <n v="1812"/>
    <n v="20151"/>
    <s v="9890602"/>
    <s v="9890602"/>
    <m/>
    <m/>
    <n v="22799986"/>
    <m/>
    <m/>
    <m/>
    <s v="SOLFIN"/>
    <s v="SOLFIN"/>
    <s v="CCMS"/>
    <n v="21350045"/>
    <n v="10002.57"/>
    <m/>
    <s v="N"/>
    <n v="106"/>
    <d v="2023-07-10T19:02:10"/>
    <s v="Y"/>
    <s v="Preparation - other"/>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3"/>
    <d v="2023-07-10T19:02:10"/>
    <s v="Y"/>
    <s v="Court Fee"/>
    <s v="Private Law Children"/>
    <s v="Non Expert Disbursement"/>
    <s v="Nicola Deakin - Poole Alcock"/>
    <s v="Y"/>
    <n v="215"/>
    <n v="0"/>
    <x v="2"/>
    <s v="VALIDATED"/>
    <n v="1"/>
    <s v="01.11.80.307.6300.0000"/>
    <n v="215"/>
    <s v="11"/>
    <s v="6300"/>
    <n v="9423.77"/>
    <n v="215"/>
    <s v="CREDITOR"/>
    <n v="0"/>
    <n v="0"/>
    <n v="0"/>
    <n v="0"/>
    <n v="215"/>
  </r>
  <r>
    <n v="9890602"/>
    <s v="N"/>
    <n v="21350045"/>
    <s v="3000005773020016"/>
    <s v="CIVIL"/>
    <d v="2023-06-30T00:00:00"/>
    <d v="2023-07-10T19:01:40"/>
    <m/>
    <d v="2023-07-10T00:00:00"/>
    <n v="1812"/>
    <n v="20151"/>
    <s v="9890602"/>
    <s v="9890602"/>
    <m/>
    <m/>
    <n v="22799986"/>
    <m/>
    <m/>
    <m/>
    <s v="SOLFIN"/>
    <s v="SOLFIN"/>
    <s v="CCMS"/>
    <n v="21350045"/>
    <n v="10002.57"/>
    <m/>
    <s v="N"/>
    <n v="9"/>
    <d v="2023-07-10T19:02:10"/>
    <s v="Y"/>
    <s v="Preparation - drafting notice(s)"/>
    <s v="Prescribed Hourly Rates"/>
    <s v="Profit Cost"/>
    <s v="Lisa Ball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24"/>
    <d v="2023-07-10T19:02:10"/>
    <s v="Y"/>
    <s v="Preparation - other"/>
    <s v="Prescribed Hourly Rates"/>
    <s v="Profit Cost"/>
    <s v="Lisa Ball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85"/>
    <d v="2023-07-10T19:02:10"/>
    <s v="Y"/>
    <s v="Preparation - other"/>
    <s v="Prescribed Hourly Rates"/>
    <s v="Profit Cost"/>
    <s v="Amie Pine - Poole Alcock"/>
    <s v="Y"/>
    <n v="12.63"/>
    <n v="2.53"/>
    <x v="2"/>
    <s v="VALIDATED"/>
    <n v="1"/>
    <s v="01.11.80.307.6100.0000"/>
    <n v="12.63"/>
    <s v="11"/>
    <s v="6100"/>
    <n v="9423.77"/>
    <n v="12.63"/>
    <s v="CREDITOR"/>
    <n v="0"/>
    <n v="0"/>
    <n v="0"/>
    <n v="0"/>
    <n v="12.63"/>
  </r>
  <r>
    <n v="9890602"/>
    <s v="N"/>
    <n v="21350045"/>
    <s v="3000005773020016"/>
    <s v="CIVIL"/>
    <d v="2023-06-30T00:00:00"/>
    <d v="2023-07-10T19:01:40"/>
    <m/>
    <d v="2023-07-10T00:00:00"/>
    <n v="1812"/>
    <n v="20151"/>
    <s v="9890602"/>
    <s v="9890602"/>
    <m/>
    <m/>
    <n v="22799986"/>
    <m/>
    <m/>
    <m/>
    <s v="SOLFIN"/>
    <s v="SOLFIN"/>
    <s v="CCMS"/>
    <n v="21350045"/>
    <n v="10002.57"/>
    <m/>
    <s v="N"/>
    <n v="167"/>
    <d v="2023-07-10T19:02:10"/>
    <s v="Y"/>
    <s v="Preparation - other"/>
    <s v="Prescribed Hourly Rates"/>
    <s v="Profit Cost"/>
    <s v="Nicola Deakin - Poole Alcock"/>
    <s v="Y"/>
    <n v="19.73"/>
    <n v="3.95"/>
    <x v="2"/>
    <s v="VALIDATED"/>
    <n v="1"/>
    <s v="01.11.80.307.6100.0000"/>
    <n v="19.73"/>
    <s v="11"/>
    <s v="6100"/>
    <n v="9423.77"/>
    <n v="19.73"/>
    <s v="CREDITOR"/>
    <n v="0"/>
    <n v="0"/>
    <n v="0"/>
    <n v="0"/>
    <n v="19.73"/>
  </r>
  <r>
    <n v="9890602"/>
    <s v="N"/>
    <n v="21350045"/>
    <s v="3000005773020016"/>
    <s v="CIVIL"/>
    <d v="2023-06-30T00:00:00"/>
    <d v="2023-07-10T19:01:40"/>
    <m/>
    <d v="2023-07-10T00:00:00"/>
    <n v="1812"/>
    <n v="20151"/>
    <s v="9890602"/>
    <s v="9890602"/>
    <m/>
    <m/>
    <n v="22799986"/>
    <m/>
    <m/>
    <m/>
    <s v="SOLFIN"/>
    <s v="SOLFIN"/>
    <s v="CCMS"/>
    <n v="21350045"/>
    <n v="10002.57"/>
    <m/>
    <s v="N"/>
    <n v="133"/>
    <d v="2023-07-10T19:02:10"/>
    <s v="Y"/>
    <s v="Preparation - drafting attendance n"/>
    <s v="Prescribed Hourly Rates"/>
    <s v="Profit Cost"/>
    <s v="Nicola Deakin - Poole Alcock"/>
    <s v="Y"/>
    <n v="5.49"/>
    <n v="1.1"/>
    <x v="2"/>
    <s v="VALIDATED"/>
    <n v="1"/>
    <s v="01.11.80.307.6100.0000"/>
    <n v="5.49"/>
    <s v="11"/>
    <s v="6100"/>
    <n v="9423.77"/>
    <n v="5.49"/>
    <s v="CREDITOR"/>
    <n v="0"/>
    <n v="0"/>
    <n v="0"/>
    <n v="0"/>
    <n v="5.49"/>
  </r>
  <r>
    <n v="61885610"/>
    <s v="N"/>
    <n v="21321551"/>
    <s v="3000015947000006"/>
    <s v="CIVIL"/>
    <d v="2023-06-29T00:00:00"/>
    <d v="2023-07-03T19:05:17"/>
    <m/>
    <d v="2023-07-03T00:00:00"/>
    <n v="1812"/>
    <n v="20151"/>
    <s v="61885610"/>
    <s v="61885610"/>
    <m/>
    <m/>
    <n v="22788514"/>
    <m/>
    <m/>
    <m/>
    <s v="SOLPOA"/>
    <s v="SOLPOA"/>
    <s v="CCMS"/>
    <n v="21321551"/>
    <n v="33"/>
    <m/>
    <s v="N"/>
    <n v="1"/>
    <d v="2023-07-03T19:05:19"/>
    <s v="N"/>
    <s v="Expert Cost"/>
    <s v="Expert Cost"/>
    <s v="Expert Disbursement"/>
    <s v="SONIA RICKARD"/>
    <s v="N"/>
    <n v="27.5"/>
    <n v="5.5"/>
    <x v="3"/>
    <s v="VALIDATED"/>
    <n v="1"/>
    <s v="01.11.80.308.2012.0000"/>
    <n v="27.5"/>
    <s v="11"/>
    <s v="2012"/>
    <n v="9423.77"/>
    <n v="27.5"/>
    <s v="CREDITOR"/>
    <n v="27.5"/>
    <n v="0"/>
    <n v="0"/>
    <n v="0"/>
    <n v="0"/>
  </r>
  <r>
    <n v="9890602"/>
    <s v="N"/>
    <n v="21350045"/>
    <s v="3000005773020016"/>
    <s v="CIVIL"/>
    <d v="2023-06-30T00:00:00"/>
    <d v="2023-07-10T19:01:40"/>
    <m/>
    <d v="2023-07-10T00:00:00"/>
    <n v="1812"/>
    <n v="20151"/>
    <s v="9890602"/>
    <s v="9890602"/>
    <m/>
    <m/>
    <n v="22799986"/>
    <m/>
    <m/>
    <m/>
    <s v="SOLFIN"/>
    <s v="SOLFIN"/>
    <s v="CCMS"/>
    <n v="21350045"/>
    <n v="10002.57"/>
    <m/>
    <s v="N"/>
    <n v="113"/>
    <d v="2023-07-10T19:02:10"/>
    <s v="Y"/>
    <s v="Preparation - drafting instructions"/>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51"/>
    <d v="2023-07-10T19:02:10"/>
    <s v="Y"/>
    <s v="Report - other report"/>
    <s v="Prescribed Hourly Rates"/>
    <s v="Profit Cost"/>
    <s v="Dan Brooks-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46"/>
    <d v="2023-07-10T19:02:10"/>
    <s v="Y"/>
    <s v="Preparation - other"/>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62"/>
    <d v="2023-07-10T19:02:10"/>
    <s v="Y"/>
    <s v="Preparation - other"/>
    <s v="Prescribed Hourly Rates"/>
    <s v="Profit Cost"/>
    <s v="Nicola Deakin - Poole Alcock"/>
    <s v="Y"/>
    <n v="164.38"/>
    <n v="32.88"/>
    <x v="2"/>
    <s v="VALIDATED"/>
    <n v="1"/>
    <s v="01.11.80.307.6100.0000"/>
    <n v="164.38"/>
    <s v="11"/>
    <s v="6100"/>
    <n v="9423.77"/>
    <n v="164.38"/>
    <s v="CREDITOR"/>
    <n v="0"/>
    <n v="0"/>
    <n v="0"/>
    <n v="0"/>
    <n v="164.38"/>
  </r>
  <r>
    <n v="9890602"/>
    <s v="N"/>
    <n v="21350045"/>
    <s v="3000005773020016"/>
    <s v="CIVIL"/>
    <d v="2023-06-30T00:00:00"/>
    <d v="2023-07-10T19:01:40"/>
    <m/>
    <d v="2023-07-10T00:00:00"/>
    <n v="1812"/>
    <n v="20151"/>
    <s v="9890602"/>
    <s v="9890602"/>
    <m/>
    <m/>
    <n v="22799986"/>
    <m/>
    <m/>
    <m/>
    <s v="SOLFIN"/>
    <s v="SOLFIN"/>
    <s v="CCMS"/>
    <n v="21350045"/>
    <n v="10002.57"/>
    <m/>
    <s v="N"/>
    <n v="90"/>
    <d v="2023-07-10T19:02:10"/>
    <s v="Y"/>
    <s v="Preparation - other"/>
    <s v="Prescribed Hourly Rates"/>
    <s v="Profit Cost"/>
    <s v="Amie Pine - Poole Alcock"/>
    <s v="Y"/>
    <n v="18.94"/>
    <n v="3.79"/>
    <x v="2"/>
    <s v="VALIDATED"/>
    <n v="1"/>
    <s v="01.11.80.307.6100.0000"/>
    <n v="18.94"/>
    <s v="11"/>
    <s v="6100"/>
    <n v="9423.77"/>
    <n v="18.94"/>
    <s v="CREDITOR"/>
    <n v="0"/>
    <n v="0"/>
    <n v="0"/>
    <n v="0"/>
    <n v="18.94"/>
  </r>
  <r>
    <n v="9890602"/>
    <s v="N"/>
    <n v="21350045"/>
    <s v="3000005773020016"/>
    <s v="CIVIL"/>
    <d v="2023-06-30T00:00:00"/>
    <d v="2023-07-10T19:01:40"/>
    <m/>
    <d v="2023-07-10T00:00:00"/>
    <n v="1812"/>
    <n v="20151"/>
    <s v="9890602"/>
    <s v="9890602"/>
    <m/>
    <m/>
    <n v="22799986"/>
    <m/>
    <m/>
    <m/>
    <s v="SOLFIN"/>
    <s v="SOLFIN"/>
    <s v="CCMS"/>
    <n v="21350045"/>
    <n v="10002.57"/>
    <m/>
    <s v="N"/>
    <n v="7"/>
    <d v="2023-07-10T19:02:10"/>
    <s v="Y"/>
    <s v="Routine Telephone Call"/>
    <s v="Prescribed Hourly Rates"/>
    <s v="Profit Cost"/>
    <s v="Louise Gorst - Poole Alcock"/>
    <s v="Y"/>
    <n v="318.6"/>
    <n v="63.73"/>
    <x v="2"/>
    <s v="VALIDATED"/>
    <n v="1"/>
    <s v="01.11.80.307.6100.0000"/>
    <n v="318.6"/>
    <s v="11"/>
    <s v="6100"/>
    <n v="9423.77"/>
    <n v="318.6"/>
    <s v="CREDITOR"/>
    <n v="0"/>
    <n v="0"/>
    <n v="0"/>
    <n v="0"/>
    <n v="318.6"/>
  </r>
  <r>
    <n v="9890602"/>
    <s v="N"/>
    <n v="21350045"/>
    <s v="3000005773020016"/>
    <s v="CIVIL"/>
    <d v="2023-06-30T00:00:00"/>
    <d v="2023-07-10T19:01:40"/>
    <m/>
    <d v="2023-07-10T00:00:00"/>
    <n v="1812"/>
    <n v="20151"/>
    <s v="9890602"/>
    <s v="9890602"/>
    <m/>
    <m/>
    <n v="22799986"/>
    <m/>
    <m/>
    <m/>
    <s v="SOLFIN"/>
    <s v="SOLFIN"/>
    <s v="CCMS"/>
    <n v="21350045"/>
    <n v="10002.57"/>
    <m/>
    <s v="N"/>
    <n v="11"/>
    <d v="2023-07-10T19:02:10"/>
    <s v="Y"/>
    <s v="Preparation - other"/>
    <s v="Prescribed Hourly Rates"/>
    <s v="Profit Cost"/>
    <s v="Lisa Ball - Poole Alcock"/>
    <s v="Y"/>
    <n v="54.9"/>
    <n v="10.98"/>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30"/>
    <d v="2023-07-10T19:02:10"/>
    <s v="Y"/>
    <s v="Preparation - drafting attendance n"/>
    <s v="Prescribed Hourly Rates"/>
    <s v="Profit Cost"/>
    <s v="Nicola Deakin - Poole Alcock"/>
    <s v="Y"/>
    <n v="5.49"/>
    <n v="1.1"/>
    <x v="2"/>
    <s v="VALIDATED"/>
    <n v="1"/>
    <s v="01.11.80.307.6100.0000"/>
    <n v="5.49"/>
    <s v="11"/>
    <s v="6100"/>
    <n v="9423.77"/>
    <n v="5.49"/>
    <s v="CREDITOR"/>
    <n v="0"/>
    <n v="0"/>
    <n v="0"/>
    <n v="0"/>
    <n v="5.49"/>
  </r>
  <r>
    <n v="62057379"/>
    <s v="N"/>
    <n v="21322610"/>
    <s v="3000016091180002"/>
    <s v="CIVIL"/>
    <d v="2023-06-29T00:00:00"/>
    <d v="2023-07-03T19:05:36"/>
    <m/>
    <d v="2023-07-03T00:00:00"/>
    <n v="1812"/>
    <n v="20151"/>
    <s v="62057379"/>
    <s v="62057379"/>
    <m/>
    <m/>
    <n v="22792650"/>
    <m/>
    <m/>
    <m/>
    <s v="SOLPOA"/>
    <s v="SOLPOA"/>
    <s v="CCMS"/>
    <n v="21322610"/>
    <n v="39.48"/>
    <m/>
    <s v="N"/>
    <n v="1"/>
    <d v="2023-07-03T19:05:39"/>
    <s v="N"/>
    <s v="Non Expert Disbursement - Private L"/>
    <s v="Non Expert Disbursement - Priv"/>
    <s v="Non Expert Disbursement"/>
    <s v="NICOLA DEAKIN"/>
    <s v="N"/>
    <n v="32.9"/>
    <n v="6.58"/>
    <x v="3"/>
    <s v="VALIDATED"/>
    <n v="1"/>
    <s v="01.11.80.307.2012.0000"/>
    <n v="32.9"/>
    <s v="11"/>
    <s v="2012"/>
    <n v="9423.77"/>
    <n v="32.9"/>
    <s v="CREDITOR"/>
    <n v="32.9"/>
    <n v="0"/>
    <n v="0"/>
    <n v="0"/>
    <n v="0"/>
  </r>
  <r>
    <n v="9890602"/>
    <s v="N"/>
    <n v="21350045"/>
    <s v="3000005773020016"/>
    <s v="CIVIL"/>
    <d v="2023-06-30T00:00:00"/>
    <d v="2023-07-10T19:01:40"/>
    <m/>
    <d v="2023-07-10T00:00:00"/>
    <n v="1812"/>
    <n v="20151"/>
    <s v="9890602"/>
    <s v="9890602"/>
    <m/>
    <m/>
    <n v="22799986"/>
    <m/>
    <m/>
    <m/>
    <s v="SOLFIN"/>
    <s v="SOLFIN"/>
    <s v="CCMS"/>
    <n v="21350045"/>
    <n v="10002.57"/>
    <m/>
    <s v="N"/>
    <n v="56"/>
    <d v="2023-07-10T19:02:10"/>
    <s v="Y"/>
    <s v="Preparation - drafting attendance n"/>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37"/>
    <d v="2023-07-10T19:02:10"/>
    <s v="Y"/>
    <s v="Attendance upon client"/>
    <s v="Prescribed Hourly Rates"/>
    <s v="Profit Cost"/>
    <s v="Nicola Deakin - Poole Alcock"/>
    <s v="Y"/>
    <n v="32.94"/>
    <n v="6.59"/>
    <x v="2"/>
    <s v="VALIDATED"/>
    <n v="1"/>
    <s v="01.11.80.307.6100.0000"/>
    <n v="32.94"/>
    <s v="11"/>
    <s v="6100"/>
    <n v="9423.77"/>
    <n v="32.94"/>
    <s v="CREDITOR"/>
    <n v="0"/>
    <n v="0"/>
    <n v="0"/>
    <n v="0"/>
    <n v="32.94"/>
  </r>
  <r>
    <n v="9890602"/>
    <s v="N"/>
    <n v="21350045"/>
    <s v="3000005773020016"/>
    <s v="CIVIL"/>
    <d v="2023-06-30T00:00:00"/>
    <d v="2023-07-10T19:01:40"/>
    <m/>
    <d v="2023-07-10T00:00:00"/>
    <n v="1812"/>
    <n v="20151"/>
    <s v="9890602"/>
    <s v="9890602"/>
    <m/>
    <m/>
    <n v="22799986"/>
    <m/>
    <m/>
    <m/>
    <s v="SOLFIN"/>
    <s v="SOLFIN"/>
    <s v="CCMS"/>
    <n v="21350045"/>
    <n v="10002.57"/>
    <m/>
    <s v="N"/>
    <n v="41"/>
    <d v="2023-07-10T19:02:10"/>
    <s v="Y"/>
    <s v="Attendance upon client"/>
    <s v="Prescribed Hourly Rates"/>
    <s v="Profit Cost"/>
    <s v="Dan Brooks-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51"/>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5"/>
    <d v="2023-07-10T19:02:10"/>
    <s v="Y"/>
    <s v="Routine Letter In"/>
    <s v="Prescribed Hourly Rates"/>
    <s v="Profit Cost"/>
    <s v="Lisa Ball - Poole Alcock"/>
    <s v="Y"/>
    <n v="896.4"/>
    <n v="179.3"/>
    <x v="2"/>
    <s v="VALIDATED"/>
    <n v="1"/>
    <s v="01.11.80.307.6100.0000"/>
    <n v="896.4"/>
    <s v="11"/>
    <s v="6100"/>
    <n v="9423.77"/>
    <n v="896.4"/>
    <s v="CREDITOR"/>
    <n v="0"/>
    <n v="0"/>
    <n v="0"/>
    <n v="0"/>
    <n v="896.4"/>
  </r>
  <r>
    <n v="9890602"/>
    <s v="N"/>
    <n v="21350045"/>
    <s v="3000005773020016"/>
    <s v="CIVIL"/>
    <d v="2023-06-30T00:00:00"/>
    <d v="2023-07-10T19:01:40"/>
    <m/>
    <d v="2023-07-10T00:00:00"/>
    <n v="1812"/>
    <n v="20151"/>
    <s v="9890602"/>
    <s v="9890602"/>
    <m/>
    <m/>
    <n v="22799986"/>
    <m/>
    <m/>
    <m/>
    <s v="SOLFIN"/>
    <s v="SOLFIN"/>
    <s v="CCMS"/>
    <n v="21350045"/>
    <n v="10002.57"/>
    <m/>
    <s v="N"/>
    <n v="153"/>
    <d v="2023-07-10T19:02:10"/>
    <s v="Y"/>
    <s v="Preparation - other"/>
    <s v="Prescribed Hourly Rates"/>
    <s v="Profit Cost"/>
    <s v="Helen Stoller - Poole Alcock"/>
    <s v="Y"/>
    <n v="63.14"/>
    <n v="12.63"/>
    <x v="2"/>
    <s v="VALIDATED"/>
    <n v="1"/>
    <s v="01.11.80.307.6100.0000"/>
    <n v="63.14"/>
    <s v="11"/>
    <s v="6100"/>
    <n v="9423.77"/>
    <n v="63.14"/>
    <s v="CREDITOR"/>
    <n v="0"/>
    <n v="0"/>
    <n v="0"/>
    <n v="0"/>
    <n v="63.14"/>
  </r>
  <r>
    <n v="9890602"/>
    <s v="N"/>
    <n v="21350045"/>
    <s v="3000005773020016"/>
    <s v="CIVIL"/>
    <d v="2023-06-30T00:00:00"/>
    <d v="2023-07-10T19:01:40"/>
    <m/>
    <d v="2023-07-10T00:00:00"/>
    <n v="1812"/>
    <n v="20151"/>
    <s v="9890602"/>
    <s v="9890602"/>
    <m/>
    <m/>
    <n v="22799986"/>
    <m/>
    <m/>
    <m/>
    <s v="SOLFIN"/>
    <s v="SOLFIN"/>
    <s v="CCMS"/>
    <n v="21350045"/>
    <n v="10002.57"/>
    <m/>
    <s v="N"/>
    <n v="57"/>
    <d v="2023-07-10T19:02:10"/>
    <s v="Y"/>
    <s v="Attendance upon client"/>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92"/>
    <d v="2023-07-10T19:02:10"/>
    <s v="Y"/>
    <s v="Preparation - other"/>
    <s v="Prescribed Hourly Rates"/>
    <s v="Profit Cost"/>
    <s v="Amie Pine - Poole Alcock"/>
    <s v="Y"/>
    <n v="25.25"/>
    <n v="5.05"/>
    <x v="2"/>
    <s v="VALIDATED"/>
    <n v="1"/>
    <s v="01.11.80.307.6100.0000"/>
    <n v="25.25"/>
    <s v="11"/>
    <s v="6100"/>
    <n v="9423.77"/>
    <n v="25.25"/>
    <s v="CREDITOR"/>
    <n v="0"/>
    <n v="0"/>
    <n v="0"/>
    <n v="0"/>
    <n v="25.25"/>
  </r>
  <r>
    <n v="9890602"/>
    <s v="N"/>
    <n v="21350045"/>
    <s v="3000005773020016"/>
    <s v="CIVIL"/>
    <d v="2023-06-30T00:00:00"/>
    <d v="2023-07-10T19:01:40"/>
    <m/>
    <d v="2023-07-10T00:00:00"/>
    <n v="1812"/>
    <n v="20151"/>
    <s v="9890602"/>
    <s v="9890602"/>
    <m/>
    <m/>
    <n v="22799986"/>
    <m/>
    <m/>
    <m/>
    <s v="SOLFIN"/>
    <s v="SOLFIN"/>
    <s v="CCMS"/>
    <n v="21350045"/>
    <n v="10002.57"/>
    <m/>
    <s v="N"/>
    <n v="107"/>
    <d v="2023-07-10T19:02:10"/>
    <s v="Y"/>
    <s v="Attendance upon client"/>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27"/>
    <d v="2023-07-10T19:02:10"/>
    <s v="Y"/>
    <s v="Preparation - other"/>
    <s v="Prescribed Hourly Rates"/>
    <s v="Profit Cost"/>
    <s v="Lisa Ball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144"/>
    <d v="2023-07-10T19:02:10"/>
    <s v="Y"/>
    <s v="Preparation - drafting attendance n"/>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174"/>
    <d v="2023-07-10T19:02:10"/>
    <s v="Y"/>
    <s v="Preparation - other"/>
    <s v="Prescribed Hourly Rates"/>
    <s v="Profit Cost"/>
    <s v="Alan Beckwith"/>
    <s v="Y"/>
    <n v="6.58"/>
    <n v="1.32"/>
    <x v="2"/>
    <s v="VALIDATED"/>
    <n v="1"/>
    <s v="01.11.80.307.6100.0000"/>
    <n v="6.58"/>
    <s v="11"/>
    <s v="6100"/>
    <n v="9423.77"/>
    <n v="6.58"/>
    <s v="CREDITOR"/>
    <n v="0"/>
    <n v="0"/>
    <n v="0"/>
    <n v="0"/>
    <n v="6.58"/>
  </r>
  <r>
    <n v="9890602"/>
    <s v="N"/>
    <n v="21350045"/>
    <s v="3000005773020016"/>
    <s v="CIVIL"/>
    <d v="2023-06-30T00:00:00"/>
    <d v="2023-07-10T19:01:40"/>
    <m/>
    <d v="2023-07-10T00:00:00"/>
    <n v="1812"/>
    <n v="20151"/>
    <s v="9890602"/>
    <s v="9890602"/>
    <m/>
    <m/>
    <n v="22799986"/>
    <m/>
    <m/>
    <m/>
    <s v="SOLFIN"/>
    <s v="SOLFIN"/>
    <s v="CCMS"/>
    <n v="21350045"/>
    <n v="10002.57"/>
    <m/>
    <s v="N"/>
    <n v="178"/>
    <d v="2023-07-10T19:02:10"/>
    <s v="Y"/>
    <s v="Preparation - drafting bill/claim f"/>
    <s v="Prescribed Hourly Rates"/>
    <s v="Profit Cost"/>
    <s v="Costs Draftsman"/>
    <s v="Y"/>
    <n v="92.05"/>
    <n v="18.41"/>
    <x v="2"/>
    <s v="VALIDATED"/>
    <n v="1"/>
    <s v="01.11.80.307.6100.0000"/>
    <n v="92.05"/>
    <s v="11"/>
    <s v="6100"/>
    <n v="9423.77"/>
    <n v="92.05"/>
    <s v="CREDITOR"/>
    <n v="0"/>
    <n v="0"/>
    <n v="0"/>
    <n v="0"/>
    <n v="92.05"/>
  </r>
  <r>
    <n v="9890602"/>
    <s v="N"/>
    <n v="21350045"/>
    <s v="3000005773020016"/>
    <s v="CIVIL"/>
    <d v="2023-06-30T00:00:00"/>
    <d v="2023-07-10T19:01:40"/>
    <m/>
    <d v="2023-07-10T00:00:00"/>
    <n v="1812"/>
    <n v="20151"/>
    <s v="9890602"/>
    <s v="9890602"/>
    <m/>
    <m/>
    <n v="22799986"/>
    <m/>
    <m/>
    <m/>
    <s v="SOLFIN"/>
    <s v="SOLFIN"/>
    <s v="CCMS"/>
    <n v="21350045"/>
    <n v="10002.57"/>
    <m/>
    <s v="N"/>
    <n v="164"/>
    <d v="2023-07-10T19:02:10"/>
    <s v="Y"/>
    <s v="Preparation - other"/>
    <s v="Prescribed Hourly Rates"/>
    <s v="Profit Cost"/>
    <s v="Nicola Deakin - Poole Alcock"/>
    <s v="Y"/>
    <n v="6.58"/>
    <n v="1.32"/>
    <x v="2"/>
    <s v="VALIDATED"/>
    <n v="1"/>
    <s v="01.11.80.307.6100.0000"/>
    <n v="6.58"/>
    <s v="11"/>
    <s v="6100"/>
    <n v="9423.77"/>
    <n v="6.58"/>
    <s v="CREDITOR"/>
    <n v="0"/>
    <n v="0"/>
    <n v="0"/>
    <n v="0"/>
    <n v="6.58"/>
  </r>
  <r>
    <n v="9890602"/>
    <s v="N"/>
    <n v="21350045"/>
    <s v="3000005773020016"/>
    <s v="CIVIL"/>
    <d v="2023-06-30T00:00:00"/>
    <d v="2023-07-10T19:01:40"/>
    <m/>
    <d v="2023-07-10T00:00:00"/>
    <n v="1812"/>
    <n v="20151"/>
    <s v="9890602"/>
    <s v="9890602"/>
    <m/>
    <m/>
    <n v="22799986"/>
    <m/>
    <m/>
    <m/>
    <s v="SOLFIN"/>
    <s v="SOLFIN"/>
    <s v="CCMS"/>
    <n v="21350045"/>
    <n v="10002.57"/>
    <m/>
    <s v="N"/>
    <n v="100"/>
    <d v="2023-07-10T19:02:10"/>
    <s v="Y"/>
    <s v="Preparation - other"/>
    <s v="Prescribed Hourly Rates"/>
    <s v="Profit Cost"/>
    <s v="Amie Pine - Poole Alcock"/>
    <s v="Y"/>
    <n v="6.31"/>
    <n v="1.26"/>
    <x v="2"/>
    <s v="VALIDATED"/>
    <n v="1"/>
    <s v="01.11.80.307.6100.0000"/>
    <n v="6.31"/>
    <s v="11"/>
    <s v="6100"/>
    <n v="9423.77"/>
    <n v="6.31"/>
    <s v="CREDITOR"/>
    <n v="0"/>
    <n v="0"/>
    <n v="0"/>
    <n v="0"/>
    <n v="6.31"/>
  </r>
  <r>
    <n v="9890602"/>
    <s v="N"/>
    <n v="21350045"/>
    <s v="3000005773020016"/>
    <s v="CIVIL"/>
    <d v="2023-06-30T00:00:00"/>
    <d v="2023-07-10T19:01:40"/>
    <m/>
    <d v="2023-07-10T00:00:00"/>
    <n v="1812"/>
    <n v="20151"/>
    <s v="9890602"/>
    <s v="9890602"/>
    <m/>
    <m/>
    <n v="22799986"/>
    <m/>
    <m/>
    <m/>
    <s v="SOLFIN"/>
    <s v="SOLFIN"/>
    <s v="CCMS"/>
    <n v="21350045"/>
    <n v="10002.57"/>
    <m/>
    <s v="N"/>
    <n v="47"/>
    <d v="2023-07-10T19:02:10"/>
    <s v="Y"/>
    <s v="Preparation - other"/>
    <s v="Prescribed Hourly Rates"/>
    <s v="Profit Cost"/>
    <s v="Lisa Ball - Poole Alcock"/>
    <s v="Y"/>
    <n v="137.25"/>
    <n v="27.45"/>
    <x v="2"/>
    <s v="VALIDATED"/>
    <n v="1"/>
    <s v="01.11.80.307.6100.0000"/>
    <n v="137.25"/>
    <s v="11"/>
    <s v="6100"/>
    <n v="9423.77"/>
    <n v="137.25"/>
    <s v="CREDITOR"/>
    <n v="0"/>
    <n v="0"/>
    <n v="0"/>
    <n v="0"/>
    <n v="137.25"/>
  </r>
  <r>
    <n v="9890602"/>
    <s v="N"/>
    <n v="21350045"/>
    <s v="3000005773020016"/>
    <s v="CIVIL"/>
    <d v="2023-06-30T00:00:00"/>
    <d v="2023-07-10T19:01:40"/>
    <m/>
    <d v="2023-07-10T00:00:00"/>
    <n v="1812"/>
    <n v="20151"/>
    <s v="9890602"/>
    <s v="9890602"/>
    <m/>
    <m/>
    <n v="22799986"/>
    <m/>
    <m/>
    <m/>
    <s v="SOLFIN"/>
    <s v="SOLFIN"/>
    <s v="CCMS"/>
    <n v="21350045"/>
    <n v="10002.57"/>
    <m/>
    <s v="N"/>
    <n v="8"/>
    <d v="2023-07-10T19:02:10"/>
    <s v="Y"/>
    <s v="Routine Letter Out"/>
    <s v="Prescribed Hourly Rates"/>
    <s v="Profit Cost"/>
    <s v="Lisa Ball - Poole Alcock"/>
    <s v="Y"/>
    <n v="1447.2"/>
    <n v="289.35"/>
    <x v="2"/>
    <s v="VALIDATED"/>
    <n v="1"/>
    <s v="01.11.80.307.6100.0000"/>
    <n v="1447.2"/>
    <s v="11"/>
    <s v="6100"/>
    <n v="9423.77"/>
    <n v="1447.2"/>
    <s v="CREDITOR"/>
    <n v="0"/>
    <n v="0"/>
    <n v="0"/>
    <n v="0"/>
    <n v="1447.2"/>
  </r>
  <r>
    <n v="9890602"/>
    <s v="N"/>
    <n v="21350045"/>
    <s v="3000005773020016"/>
    <s v="CIVIL"/>
    <d v="2023-06-30T00:00:00"/>
    <d v="2023-07-10T19:01:40"/>
    <m/>
    <d v="2023-07-10T00:00:00"/>
    <n v="1812"/>
    <n v="20151"/>
    <s v="9890602"/>
    <s v="9890602"/>
    <m/>
    <m/>
    <n v="22799986"/>
    <m/>
    <m/>
    <m/>
    <s v="SOLFIN"/>
    <s v="SOLFIN"/>
    <s v="CCMS"/>
    <n v="21350045"/>
    <n v="10002.57"/>
    <m/>
    <s v="N"/>
    <n v="97"/>
    <d v="2023-07-10T19:02:10"/>
    <s v="Y"/>
    <s v="Preparation - other"/>
    <s v="Prescribed Hourly Rates"/>
    <s v="Profit Cost"/>
    <s v="Amie Pine - Poole Alcock"/>
    <s v="Y"/>
    <n v="6.31"/>
    <n v="1.26"/>
    <x v="2"/>
    <s v="VALIDATED"/>
    <n v="1"/>
    <s v="01.11.80.307.6100.0000"/>
    <n v="6.31"/>
    <s v="11"/>
    <s v="6100"/>
    <n v="9423.77"/>
    <n v="6.31"/>
    <s v="CREDITOR"/>
    <n v="0"/>
    <n v="0"/>
    <n v="0"/>
    <n v="0"/>
    <n v="6.31"/>
  </r>
  <r>
    <n v="9890602"/>
    <s v="N"/>
    <n v="21350045"/>
    <s v="3000005773020016"/>
    <s v="CIVIL"/>
    <d v="2023-06-30T00:00:00"/>
    <d v="2023-07-10T19:01:40"/>
    <m/>
    <d v="2023-07-10T00:00:00"/>
    <n v="1812"/>
    <n v="20151"/>
    <s v="9890602"/>
    <s v="9890602"/>
    <m/>
    <m/>
    <n v="22799986"/>
    <m/>
    <m/>
    <m/>
    <s v="SOLFIN"/>
    <s v="SOLFIN"/>
    <s v="CCMS"/>
    <n v="21350045"/>
    <n v="10002.57"/>
    <m/>
    <s v="N"/>
    <n v="136"/>
    <d v="2023-07-10T19:02:10"/>
    <s v="Y"/>
    <s v="Preparation - drafting statement"/>
    <s v="Prescribed Hourly Rates"/>
    <s v="Profit Cost"/>
    <s v="Irini Shouma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69"/>
    <d v="2023-07-10T19:02:10"/>
    <s v="Y"/>
    <s v="Preparation - drafting instructions"/>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95"/>
    <d v="2023-07-10T19:02:10"/>
    <s v="Y"/>
    <s v="Preparation - other"/>
    <s v="Prescribed Hourly Rates"/>
    <s v="Profit Cost"/>
    <s v="Amie Pine - Poole Alcock"/>
    <s v="Y"/>
    <n v="6.31"/>
    <n v="1.26"/>
    <x v="2"/>
    <s v="VALIDATED"/>
    <n v="1"/>
    <s v="01.11.80.307.6100.0000"/>
    <n v="6.31"/>
    <s v="11"/>
    <s v="6100"/>
    <n v="9423.77"/>
    <n v="6.31"/>
    <s v="CREDITOR"/>
    <n v="0"/>
    <n v="0"/>
    <n v="0"/>
    <n v="0"/>
    <n v="6.31"/>
  </r>
  <r>
    <n v="9890602"/>
    <s v="N"/>
    <n v="21350045"/>
    <s v="3000005773020016"/>
    <s v="CIVIL"/>
    <d v="2023-06-30T00:00:00"/>
    <d v="2023-07-10T19:01:40"/>
    <m/>
    <d v="2023-07-10T00:00:00"/>
    <n v="1812"/>
    <n v="20151"/>
    <s v="9890602"/>
    <s v="9890602"/>
    <m/>
    <m/>
    <n v="22799986"/>
    <m/>
    <m/>
    <m/>
    <s v="SOLFIN"/>
    <s v="SOLFIN"/>
    <s v="CCMS"/>
    <n v="21350045"/>
    <n v="10002.57"/>
    <m/>
    <s v="N"/>
    <n v="149"/>
    <d v="2023-07-10T19:02:10"/>
    <s v="Y"/>
    <s v="Advocacy - In court behind counsel"/>
    <s v="Prescribed Hourly Rates"/>
    <s v="Advocacy"/>
    <s v="Irini Shouman - Poole Alcock"/>
    <s v="Y"/>
    <n v="106.92"/>
    <n v="21.39"/>
    <x v="2"/>
    <s v="VALIDATED"/>
    <n v="1"/>
    <s v="01.11.80.307.6100.0000"/>
    <n v="106.92"/>
    <s v="11"/>
    <s v="6100"/>
    <n v="9423.77"/>
    <n v="106.92"/>
    <s v="CREDITOR"/>
    <n v="0"/>
    <n v="0"/>
    <n v="0"/>
    <n v="0"/>
    <n v="106.92"/>
  </r>
  <r>
    <n v="9890602"/>
    <s v="N"/>
    <n v="21350045"/>
    <s v="3000005773020016"/>
    <s v="CIVIL"/>
    <d v="2023-06-30T00:00:00"/>
    <d v="2023-07-10T19:01:40"/>
    <m/>
    <d v="2023-07-10T00:00:00"/>
    <n v="1812"/>
    <n v="20151"/>
    <s v="9890602"/>
    <s v="9890602"/>
    <m/>
    <m/>
    <n v="22799986"/>
    <m/>
    <m/>
    <m/>
    <s v="SOLFIN"/>
    <s v="SOLFIN"/>
    <s v="CCMS"/>
    <n v="21350045"/>
    <n v="10002.57"/>
    <m/>
    <s v="N"/>
    <n v="163"/>
    <d v="2023-07-10T19:02:10"/>
    <s v="Y"/>
    <s v="Preparation - other"/>
    <s v="Prescribed Hourly Rates"/>
    <s v="Profit Cost"/>
    <s v="Nicola Deakin - Poole Alcock"/>
    <s v="Y"/>
    <n v="19.73"/>
    <n v="3.95"/>
    <x v="2"/>
    <s v="VALIDATED"/>
    <n v="1"/>
    <s v="01.11.80.307.6100.0000"/>
    <n v="19.73"/>
    <s v="11"/>
    <s v="6100"/>
    <n v="9423.77"/>
    <n v="19.73"/>
    <s v="CREDITOR"/>
    <n v="0"/>
    <n v="0"/>
    <n v="0"/>
    <n v="0"/>
    <n v="19.73"/>
  </r>
  <r>
    <n v="9890602"/>
    <s v="N"/>
    <n v="21350045"/>
    <s v="3000005773020016"/>
    <s v="CIVIL"/>
    <d v="2023-06-30T00:00:00"/>
    <d v="2023-07-10T19:01:40"/>
    <m/>
    <d v="2023-07-10T00:00:00"/>
    <n v="1812"/>
    <n v="20151"/>
    <s v="9890602"/>
    <s v="9890602"/>
    <m/>
    <m/>
    <n v="22799986"/>
    <m/>
    <m/>
    <m/>
    <s v="SOLFIN"/>
    <s v="SOLFIN"/>
    <s v="CCMS"/>
    <n v="21350045"/>
    <n v="10002.57"/>
    <m/>
    <s v="N"/>
    <n v="12"/>
    <d v="2023-07-10T19:02:10"/>
    <s v="Y"/>
    <s v="Attendance upon client"/>
    <s v="Prescribed Hourly Rates"/>
    <s v="Profit Cost"/>
    <s v="Lisa Ball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16"/>
    <d v="2023-07-10T19:02:10"/>
    <s v="Y"/>
    <s v="Attendance upon client"/>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31"/>
    <d v="2023-07-10T19:02:10"/>
    <s v="Y"/>
    <s v="Preparation - other"/>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38"/>
    <d v="2023-07-10T19:02:10"/>
    <s v="Y"/>
    <s v="Preparation - drafting attendance n"/>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20"/>
    <d v="2023-07-10T19:02:10"/>
    <s v="Y"/>
    <s v="Attendance upon client"/>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26"/>
    <d v="2023-07-10T19:02:10"/>
    <s v="Y"/>
    <s v="Attendance upon/with Counsel at Con"/>
    <s v="Prescribed Hourly Rates"/>
    <s v="Profit Cost"/>
    <s v="Lisa Ball - Poole Alcock"/>
    <s v="Y"/>
    <n v="6.48"/>
    <n v="1.3"/>
    <x v="2"/>
    <s v="VALIDATED"/>
    <n v="1"/>
    <s v="01.11.80.307.6100.0000"/>
    <n v="6.48"/>
    <s v="11"/>
    <s v="6100"/>
    <n v="9423.77"/>
    <n v="6.48"/>
    <s v="CREDITOR"/>
    <n v="0"/>
    <n v="0"/>
    <n v="0"/>
    <n v="0"/>
    <n v="6.48"/>
  </r>
  <r>
    <n v="9890602"/>
    <s v="N"/>
    <n v="21350045"/>
    <s v="3000005773020016"/>
    <s v="CIVIL"/>
    <d v="2023-06-30T00:00:00"/>
    <d v="2023-07-10T19:01:40"/>
    <m/>
    <d v="2023-07-10T00:00:00"/>
    <n v="1812"/>
    <n v="20151"/>
    <s v="9890602"/>
    <s v="9890602"/>
    <m/>
    <m/>
    <n v="22799986"/>
    <m/>
    <m/>
    <m/>
    <s v="SOLFIN"/>
    <s v="SOLFIN"/>
    <s v="CCMS"/>
    <n v="21350045"/>
    <n v="10002.57"/>
    <m/>
    <s v="N"/>
    <n v="86"/>
    <d v="2023-07-10T19:02:10"/>
    <s v="Y"/>
    <s v="Preparation - other"/>
    <s v="Prescribed Hourly Rates"/>
    <s v="Profit Cost"/>
    <s v="Amie Pine - Poole Alcock"/>
    <s v="Y"/>
    <n v="12.63"/>
    <n v="2.53"/>
    <x v="2"/>
    <s v="VALIDATED"/>
    <n v="1"/>
    <s v="01.11.80.307.6100.0000"/>
    <n v="12.63"/>
    <s v="11"/>
    <s v="6100"/>
    <n v="9423.77"/>
    <n v="12.63"/>
    <s v="CREDITOR"/>
    <n v="0"/>
    <n v="0"/>
    <n v="0"/>
    <n v="0"/>
    <n v="12.63"/>
  </r>
  <r>
    <n v="9890602"/>
    <s v="N"/>
    <n v="21350045"/>
    <s v="3000005773020016"/>
    <s v="CIVIL"/>
    <d v="2023-06-30T00:00:00"/>
    <d v="2023-07-10T19:01:40"/>
    <m/>
    <d v="2023-07-10T00:00:00"/>
    <n v="1812"/>
    <n v="20151"/>
    <s v="9890602"/>
    <s v="9890602"/>
    <m/>
    <m/>
    <n v="22799986"/>
    <m/>
    <m/>
    <m/>
    <s v="SOLFIN"/>
    <s v="SOLFIN"/>
    <s v="CCMS"/>
    <n v="21350045"/>
    <n v="10002.57"/>
    <m/>
    <s v="N"/>
    <n v="142"/>
    <d v="2023-07-10T19:02:10"/>
    <s v="Y"/>
    <s v="Attendance upon other"/>
    <s v="Prescribed Hourly Rates"/>
    <s v="Profit Cost"/>
    <s v="Vicky McCallister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79"/>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
    <d v="2023-07-10T19:02:10"/>
    <s v="Y"/>
    <s v="Other"/>
    <s v="Private Law Children"/>
    <s v="Non Expert Disbursement"/>
    <s v="Nicola Deakin - Poole Alcock"/>
    <s v="Y"/>
    <n v="32"/>
    <n v="6.4"/>
    <x v="2"/>
    <s v="VALIDATED"/>
    <n v="1"/>
    <s v="01.11.80.307.6300.0000"/>
    <n v="32"/>
    <s v="11"/>
    <s v="6300"/>
    <n v="9423.77"/>
    <n v="32"/>
    <s v="CREDITOR"/>
    <n v="0"/>
    <n v="0"/>
    <n v="0"/>
    <n v="0"/>
    <n v="32"/>
  </r>
  <r>
    <n v="9890602"/>
    <s v="N"/>
    <n v="21350045"/>
    <s v="3000005773020016"/>
    <s v="CIVIL"/>
    <d v="2023-06-30T00:00:00"/>
    <d v="2023-07-10T19:01:40"/>
    <m/>
    <d v="2023-07-10T00:00:00"/>
    <n v="1812"/>
    <n v="20151"/>
    <s v="9890602"/>
    <s v="9890602"/>
    <m/>
    <m/>
    <n v="22799986"/>
    <m/>
    <m/>
    <m/>
    <s v="SOLFIN"/>
    <s v="SOLFIN"/>
    <s v="CCMS"/>
    <n v="21350045"/>
    <n v="10002.57"/>
    <m/>
    <s v="N"/>
    <n v="38"/>
    <d v="2023-07-10T19:02:10"/>
    <s v="Y"/>
    <s v="Preparation - other"/>
    <s v="Prescribed Hourly Rates"/>
    <s v="Profit Cost"/>
    <s v="Dan Brooks-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173"/>
    <d v="2023-07-10T19:02:10"/>
    <s v="Y"/>
    <s v="Preparation - other"/>
    <s v="Prescribed Hourly Rates"/>
    <s v="Profit Cost"/>
    <s v="Nicola Deakin"/>
    <s v="Y"/>
    <n v="39.45"/>
    <n v="7.89"/>
    <x v="2"/>
    <s v="VALIDATED"/>
    <n v="1"/>
    <s v="01.11.80.307.6100.0000"/>
    <n v="39.45"/>
    <s v="11"/>
    <s v="6100"/>
    <n v="9423.77"/>
    <n v="39.45"/>
    <s v="CREDITOR"/>
    <n v="0"/>
    <n v="0"/>
    <n v="0"/>
    <n v="0"/>
    <n v="39.45"/>
  </r>
  <r>
    <n v="9890602"/>
    <s v="N"/>
    <n v="21350045"/>
    <s v="3000005773020016"/>
    <s v="CIVIL"/>
    <d v="2023-06-30T00:00:00"/>
    <d v="2023-07-10T19:01:40"/>
    <m/>
    <d v="2023-07-10T00:00:00"/>
    <n v="1812"/>
    <n v="20151"/>
    <s v="9890602"/>
    <s v="9890602"/>
    <m/>
    <m/>
    <n v="22799986"/>
    <m/>
    <m/>
    <m/>
    <s v="SOLFIN"/>
    <s v="SOLFIN"/>
    <s v="CCMS"/>
    <n v="21350045"/>
    <n v="10002.57"/>
    <m/>
    <s v="N"/>
    <n v="73"/>
    <d v="2023-07-10T19:02:10"/>
    <s v="Y"/>
    <s v="Preparation - other"/>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117"/>
    <d v="2023-07-10T19:02:10"/>
    <s v="Y"/>
    <s v="Attendance upon client"/>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124"/>
    <d v="2023-07-10T19:02:10"/>
    <s v="Y"/>
    <s v="Preparation - drafting attendance n"/>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23"/>
    <d v="2023-07-10T19:02:10"/>
    <s v="Y"/>
    <s v="Preparation - other"/>
    <s v="Prescribed Hourly Rates"/>
    <s v="Profit Cost"/>
    <s v="Lisa Ball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135"/>
    <d v="2023-07-10T19:02:10"/>
    <s v="Y"/>
    <s v="Report - other report"/>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161"/>
    <d v="2023-07-10T19:02:10"/>
    <s v="Y"/>
    <s v="Routine Letter In"/>
    <s v="Prescribed Hourly Rates"/>
    <s v="Profit Cost"/>
    <s v="Nicola Deakin - Poole Alcock"/>
    <s v="Y"/>
    <n v="144.9"/>
    <n v="28.98"/>
    <x v="2"/>
    <s v="VALIDATED"/>
    <n v="1"/>
    <s v="01.11.80.307.6100.0000"/>
    <n v="144.9"/>
    <s v="11"/>
    <s v="6100"/>
    <n v="9423.77"/>
    <n v="144.9"/>
    <s v="CREDITOR"/>
    <n v="0"/>
    <n v="0"/>
    <n v="0"/>
    <n v="0"/>
    <n v="144.9"/>
  </r>
  <r>
    <n v="9890602"/>
    <s v="N"/>
    <n v="21350045"/>
    <s v="3000005773020016"/>
    <s v="CIVIL"/>
    <d v="2023-06-30T00:00:00"/>
    <d v="2023-07-10T19:01:40"/>
    <m/>
    <d v="2023-07-10T00:00:00"/>
    <n v="1812"/>
    <n v="20151"/>
    <s v="9890602"/>
    <s v="9890602"/>
    <m/>
    <m/>
    <n v="22799986"/>
    <m/>
    <m/>
    <m/>
    <s v="SOLFIN"/>
    <s v="SOLFIN"/>
    <s v="CCMS"/>
    <n v="21350045"/>
    <n v="10002.57"/>
    <m/>
    <s v="N"/>
    <n v="50"/>
    <d v="2023-07-10T19:02:10"/>
    <s v="Y"/>
    <s v="Preparation - other"/>
    <s v="Prescribed Hourly Rates"/>
    <s v="Profit Cost"/>
    <s v="Dan Brooks- Poole Alcock"/>
    <s v="Y"/>
    <n v="54.9"/>
    <n v="10.98"/>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10"/>
    <d v="2023-07-10T19:02:10"/>
    <s v="Y"/>
    <s v="Preparation - other"/>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76"/>
    <d v="2023-07-10T19:02:10"/>
    <s v="Y"/>
    <s v="Preparation - drafting instructions"/>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19"/>
    <d v="2023-07-10T19:02:10"/>
    <s v="Y"/>
    <s v="Preparation - drafting instructions"/>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52"/>
    <d v="2023-07-10T19:02:10"/>
    <s v="Y"/>
    <s v="Preparation - other"/>
    <s v="Prescribed Hourly Rates"/>
    <s v="Profit Cost"/>
    <s v="Dan Brooks-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128"/>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77"/>
    <d v="2023-07-10T19:02:10"/>
    <s v="Y"/>
    <s v="Preparation - other"/>
    <s v="Prescribed Hourly Rates"/>
    <s v="Profit Cost"/>
    <s v="Costs Draftsman"/>
    <s v="Y"/>
    <n v="6.58"/>
    <n v="1.32"/>
    <x v="2"/>
    <s v="VALIDATED"/>
    <n v="1"/>
    <s v="01.11.80.307.6100.0000"/>
    <n v="6.58"/>
    <s v="11"/>
    <s v="6100"/>
    <n v="9423.77"/>
    <n v="6.58"/>
    <s v="CREDITOR"/>
    <n v="0"/>
    <n v="0"/>
    <n v="0"/>
    <n v="0"/>
    <n v="6.58"/>
  </r>
  <r>
    <n v="9890602"/>
    <s v="N"/>
    <n v="21350045"/>
    <s v="3000005773020016"/>
    <s v="CIVIL"/>
    <d v="2023-06-30T00:00:00"/>
    <d v="2023-07-10T19:01:40"/>
    <m/>
    <d v="2023-07-10T00:00:00"/>
    <n v="1812"/>
    <n v="20151"/>
    <s v="9890602"/>
    <s v="9890602"/>
    <m/>
    <m/>
    <n v="22799986"/>
    <m/>
    <m/>
    <m/>
    <s v="SOLFIN"/>
    <s v="SOLFIN"/>
    <s v="CCMS"/>
    <n v="21350045"/>
    <n v="10002.57"/>
    <m/>
    <s v="N"/>
    <n v="170"/>
    <d v="2023-07-10T19:02:10"/>
    <s v="Y"/>
    <s v="Preparation - other"/>
    <s v="Prescribed Hourly Rates"/>
    <s v="Profit Cost"/>
    <s v="Nicola Deakin"/>
    <s v="Y"/>
    <n v="6.58"/>
    <n v="1.32"/>
    <x v="2"/>
    <s v="VALIDATED"/>
    <n v="1"/>
    <s v="01.11.80.307.6100.0000"/>
    <n v="6.58"/>
    <s v="11"/>
    <s v="6100"/>
    <n v="9423.77"/>
    <n v="6.58"/>
    <s v="CREDITOR"/>
    <n v="0"/>
    <n v="0"/>
    <n v="0"/>
    <n v="0"/>
    <n v="6.58"/>
  </r>
  <r>
    <n v="9890602"/>
    <s v="N"/>
    <n v="21350045"/>
    <s v="3000005773020016"/>
    <s v="CIVIL"/>
    <d v="2023-06-30T00:00:00"/>
    <d v="2023-07-10T19:01:40"/>
    <m/>
    <d v="2023-07-10T00:00:00"/>
    <n v="1812"/>
    <n v="20151"/>
    <s v="9890602"/>
    <s v="9890602"/>
    <m/>
    <m/>
    <n v="22799986"/>
    <m/>
    <m/>
    <m/>
    <s v="SOLFIN"/>
    <s v="SOLFIN"/>
    <s v="CCMS"/>
    <n v="21350045"/>
    <n v="10002.57"/>
    <m/>
    <s v="N"/>
    <n v="2"/>
    <d v="2023-07-10T19:02:10"/>
    <s v="Y"/>
    <s v="Police Records"/>
    <s v="Private Law Children"/>
    <s v="Non Expert Disbursement"/>
    <s v="Nicola Deakin - Poole Alcock"/>
    <s v="Y"/>
    <n v="94"/>
    <n v="0"/>
    <x v="2"/>
    <s v="VALIDATED"/>
    <n v="1"/>
    <s v="01.11.80.307.6300.0000"/>
    <n v="94"/>
    <s v="11"/>
    <s v="6300"/>
    <n v="9423.77"/>
    <n v="94"/>
    <s v="CREDITOR"/>
    <n v="0"/>
    <n v="0"/>
    <n v="0"/>
    <n v="0"/>
    <n v="94"/>
  </r>
  <r>
    <n v="9890602"/>
    <s v="N"/>
    <n v="21350045"/>
    <s v="3000005773020016"/>
    <s v="CIVIL"/>
    <d v="2023-06-30T00:00:00"/>
    <d v="2023-07-10T19:01:40"/>
    <m/>
    <d v="2023-07-10T00:00:00"/>
    <n v="1812"/>
    <n v="20151"/>
    <s v="9890602"/>
    <s v="9890602"/>
    <m/>
    <m/>
    <n v="22799986"/>
    <m/>
    <m/>
    <m/>
    <s v="SOLFIN"/>
    <s v="SOLFIN"/>
    <s v="CCMS"/>
    <n v="21350045"/>
    <n v="10002.57"/>
    <m/>
    <s v="N"/>
    <n v="156"/>
    <d v="2023-07-10T19:02:10"/>
    <s v="Y"/>
    <s v="Attendance upon other"/>
    <s v="Prescribed Hourly Rates"/>
    <s v="Profit Cost"/>
    <s v="Vicky McCallister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87"/>
    <d v="2023-07-10T19:02:10"/>
    <s v="Y"/>
    <s v="Preparation - drafting statement"/>
    <s v="Prescribed Hourly Rates"/>
    <s v="Profit Cost"/>
    <s v="Amie Pine - Poole Alcock"/>
    <s v="Y"/>
    <n v="44.19"/>
    <n v="8.84"/>
    <x v="2"/>
    <s v="VALIDATED"/>
    <n v="1"/>
    <s v="01.11.80.307.6100.0000"/>
    <n v="44.19"/>
    <s v="11"/>
    <s v="6100"/>
    <n v="9423.77"/>
    <n v="44.19"/>
    <s v="CREDITOR"/>
    <n v="0"/>
    <n v="0"/>
    <n v="0"/>
    <n v="0"/>
    <n v="44.19"/>
  </r>
  <r>
    <n v="9890602"/>
    <s v="N"/>
    <n v="21350045"/>
    <s v="3000005773020016"/>
    <s v="CIVIL"/>
    <d v="2023-06-30T00:00:00"/>
    <d v="2023-07-10T19:01:40"/>
    <m/>
    <d v="2023-07-10T00:00:00"/>
    <n v="1812"/>
    <n v="20151"/>
    <s v="9890602"/>
    <s v="9890602"/>
    <m/>
    <m/>
    <n v="22799986"/>
    <m/>
    <m/>
    <m/>
    <s v="SOLFIN"/>
    <s v="SOLFIN"/>
    <s v="CCMS"/>
    <n v="21350045"/>
    <n v="10002.57"/>
    <m/>
    <s v="N"/>
    <n v="132"/>
    <d v="2023-07-10T19:02:10"/>
    <s v="Y"/>
    <s v="Attendance upon client"/>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22"/>
    <d v="2023-07-10T19:02:10"/>
    <s v="Y"/>
    <s v="Preparation - other"/>
    <s v="Prescribed Hourly Rates"/>
    <s v="Profit Cost"/>
    <s v="Lisa Ball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71"/>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43"/>
    <d v="2023-07-10T19:02:10"/>
    <s v="Y"/>
    <s v="Attendance upon client"/>
    <s v="Prescribed Hourly Rates"/>
    <s v="Profit Cost"/>
    <s v="Dan Brooks-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44"/>
    <d v="2023-07-10T19:02:10"/>
    <s v="Y"/>
    <s v="Preparation - drafting attendance n"/>
    <s v="Prescribed Hourly Rates"/>
    <s v="Profit Cost"/>
    <s v="Dan Brooks-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75"/>
    <d v="2023-07-10T19:02:10"/>
    <s v="Y"/>
    <s v="Preparation - other"/>
    <s v="Prescribed Hourly Rates"/>
    <s v="Profit Cost"/>
    <s v="Amie Pine - Poole Alcock"/>
    <s v="Y"/>
    <n v="7.57"/>
    <n v="1.51"/>
    <x v="2"/>
    <s v="VALIDATED"/>
    <n v="1"/>
    <s v="01.11.80.307.6100.0000"/>
    <n v="7.57"/>
    <s v="11"/>
    <s v="6100"/>
    <n v="9423.77"/>
    <n v="7.57"/>
    <s v="CREDITOR"/>
    <n v="0"/>
    <n v="0"/>
    <n v="0"/>
    <n v="0"/>
    <n v="7.57"/>
  </r>
  <r>
    <n v="9890602"/>
    <s v="N"/>
    <n v="21350045"/>
    <s v="3000005773020016"/>
    <s v="CIVIL"/>
    <d v="2023-06-30T00:00:00"/>
    <d v="2023-07-10T19:01:40"/>
    <m/>
    <d v="2023-07-10T00:00:00"/>
    <n v="1812"/>
    <n v="20151"/>
    <s v="9890602"/>
    <s v="9890602"/>
    <m/>
    <m/>
    <n v="22799986"/>
    <m/>
    <m/>
    <m/>
    <s v="SOLFIN"/>
    <s v="SOLFIN"/>
    <s v="CCMS"/>
    <n v="21350045"/>
    <n v="10002.57"/>
    <m/>
    <s v="N"/>
    <n v="150"/>
    <d v="2023-07-10T19:02:10"/>
    <s v="Y"/>
    <s v="Preparation - drafting attendance n"/>
    <s v="Prescribed Hourly Rates"/>
    <s v="Profit Cost"/>
    <s v="Irini Shouma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59"/>
    <d v="2023-07-10T19:02:10"/>
    <s v="Y"/>
    <s v="Preparation - other"/>
    <s v="Prescribed Hourly Rates"/>
    <s v="Profit Cost"/>
    <s v="Nicola Deakin - Poole Alcock"/>
    <s v="Y"/>
    <n v="13.15"/>
    <n v="2.63"/>
    <x v="2"/>
    <s v="VALIDATED"/>
    <n v="1"/>
    <s v="01.11.80.307.6100.0000"/>
    <n v="13.15"/>
    <s v="11"/>
    <s v="6100"/>
    <n v="9423.77"/>
    <n v="13.15"/>
    <s v="CREDITOR"/>
    <n v="0"/>
    <n v="0"/>
    <n v="0"/>
    <n v="0"/>
    <n v="13.15"/>
  </r>
  <r>
    <n v="9890602"/>
    <s v="N"/>
    <n v="21350045"/>
    <s v="3000005773020016"/>
    <s v="CIVIL"/>
    <d v="2023-06-30T00:00:00"/>
    <d v="2023-07-10T19:01:40"/>
    <m/>
    <d v="2023-07-10T00:00:00"/>
    <n v="1812"/>
    <n v="20151"/>
    <s v="9890602"/>
    <s v="9890602"/>
    <m/>
    <m/>
    <n v="22799986"/>
    <m/>
    <m/>
    <m/>
    <s v="SOLFIN"/>
    <s v="SOLFIN"/>
    <s v="CCMS"/>
    <n v="21350045"/>
    <n v="10002.57"/>
    <m/>
    <s v="N"/>
    <n v="62"/>
    <d v="2023-07-10T19:02:10"/>
    <s v="Y"/>
    <s v="Preparation - drafting instructions"/>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83"/>
    <d v="2023-07-10T19:02:10"/>
    <s v="Y"/>
    <s v="Attendance upon/with Counsel at Con"/>
    <s v="Prescribed Hourly Rates"/>
    <s v="Profit Cost"/>
    <s v="Amie Pine - Poole Alcock"/>
    <s v="Y"/>
    <n v="18.63"/>
    <n v="3.73"/>
    <x v="2"/>
    <s v="VALIDATED"/>
    <n v="1"/>
    <s v="01.11.80.307.6100.0000"/>
    <n v="18.63"/>
    <s v="11"/>
    <s v="6100"/>
    <n v="9423.77"/>
    <n v="18.63"/>
    <s v="CREDITOR"/>
    <n v="0"/>
    <n v="0"/>
    <n v="0"/>
    <n v="0"/>
    <n v="18.63"/>
  </r>
  <r>
    <n v="9890602"/>
    <s v="N"/>
    <n v="21350045"/>
    <s v="3000005773020016"/>
    <s v="CIVIL"/>
    <d v="2023-06-30T00:00:00"/>
    <d v="2023-07-10T19:01:40"/>
    <m/>
    <d v="2023-07-10T00:00:00"/>
    <n v="1812"/>
    <n v="20151"/>
    <s v="9890602"/>
    <s v="9890602"/>
    <m/>
    <m/>
    <n v="22799986"/>
    <m/>
    <m/>
    <m/>
    <s v="SOLFIN"/>
    <s v="SOLFIN"/>
    <s v="CCMS"/>
    <n v="21350045"/>
    <n v="10002.57"/>
    <m/>
    <s v="N"/>
    <n v="98"/>
    <d v="2023-07-10T19:02:10"/>
    <s v="Y"/>
    <s v="Attendance upon client"/>
    <s v="Prescribed Hourly Rates"/>
    <s v="Profit Cost"/>
    <s v="Amie Pine - Poole Alcock"/>
    <s v="Y"/>
    <n v="18.94"/>
    <n v="3.79"/>
    <x v="2"/>
    <s v="VALIDATED"/>
    <n v="1"/>
    <s v="01.11.80.307.6100.0000"/>
    <n v="18.94"/>
    <s v="11"/>
    <s v="6100"/>
    <n v="9423.77"/>
    <n v="18.94"/>
    <s v="CREDITOR"/>
    <n v="0"/>
    <n v="0"/>
    <n v="0"/>
    <n v="0"/>
    <n v="18.94"/>
  </r>
  <r>
    <n v="9890602"/>
    <s v="N"/>
    <n v="21350045"/>
    <s v="3000005773020016"/>
    <s v="CIVIL"/>
    <d v="2023-06-30T00:00:00"/>
    <d v="2023-07-10T19:01:40"/>
    <m/>
    <d v="2023-07-10T00:00:00"/>
    <n v="1812"/>
    <n v="20151"/>
    <s v="9890602"/>
    <s v="9890602"/>
    <m/>
    <m/>
    <n v="22799986"/>
    <m/>
    <m/>
    <m/>
    <s v="SOLFIN"/>
    <s v="SOLFIN"/>
    <s v="CCMS"/>
    <n v="21350045"/>
    <n v="10002.57"/>
    <m/>
    <s v="N"/>
    <n v="19"/>
    <d v="2023-07-10T19:02:10"/>
    <s v="Y"/>
    <s v="Preparation - other"/>
    <s v="Prescribed Hourly Rates"/>
    <s v="Profit Cost"/>
    <s v="Lisa Ball - Poole Alcock"/>
    <s v="Y"/>
    <n v="32.94"/>
    <n v="6.59"/>
    <x v="2"/>
    <s v="VALIDATED"/>
    <n v="1"/>
    <s v="01.11.80.307.6100.0000"/>
    <n v="32.94"/>
    <s v="11"/>
    <s v="6100"/>
    <n v="9423.77"/>
    <n v="32.94"/>
    <s v="CREDITOR"/>
    <n v="0"/>
    <n v="0"/>
    <n v="0"/>
    <n v="0"/>
    <n v="32.94"/>
  </r>
  <r>
    <n v="62057379"/>
    <s v="N"/>
    <n v="21322513"/>
    <s v="3000016091180001"/>
    <s v="CIVIL"/>
    <d v="2023-06-29T00:00:00"/>
    <d v="2023-07-03T19:05:36"/>
    <m/>
    <d v="2023-07-03T00:00:00"/>
    <n v="1812"/>
    <n v="20151"/>
    <s v="62057379"/>
    <s v="62057379"/>
    <m/>
    <m/>
    <n v="22792540"/>
    <m/>
    <m/>
    <m/>
    <s v="SOLPOA"/>
    <s v="SOLPOA"/>
    <s v="CCMS"/>
    <n v="21322513"/>
    <n v="790.3"/>
    <m/>
    <s v="N"/>
    <n v="1"/>
    <d v="2023-07-03T19:05:38"/>
    <s v="N"/>
    <s v="Level 3 Fixed Fee"/>
    <s v="Private Law Children"/>
    <s v="Profit Cost"/>
    <s v="NICOLA DEAKIN"/>
    <s v="N"/>
    <n v="658.58"/>
    <n v="131.72"/>
    <x v="3"/>
    <s v="VALIDATED"/>
    <n v="1"/>
    <s v="01.11.80.307.2012.0000"/>
    <n v="658.58"/>
    <s v="11"/>
    <s v="2012"/>
    <n v="9423.77"/>
    <n v="658.58"/>
    <s v="CREDITOR"/>
    <n v="658.58"/>
    <n v="164.645"/>
    <n v="0"/>
    <n v="0"/>
    <n v="0"/>
  </r>
  <r>
    <n v="9890602"/>
    <s v="N"/>
    <n v="21350045"/>
    <s v="3000005773020016"/>
    <s v="CIVIL"/>
    <d v="2023-06-30T00:00:00"/>
    <d v="2023-07-10T19:01:40"/>
    <m/>
    <d v="2023-07-10T00:00:00"/>
    <n v="1812"/>
    <n v="20151"/>
    <s v="9890602"/>
    <s v="9890602"/>
    <m/>
    <m/>
    <n v="22799986"/>
    <m/>
    <m/>
    <m/>
    <s v="SOLFIN"/>
    <s v="SOLFIN"/>
    <s v="CCMS"/>
    <n v="21350045"/>
    <n v="10002.57"/>
    <m/>
    <s v="N"/>
    <n v="176"/>
    <d v="2023-07-10T19:02:10"/>
    <s v="Y"/>
    <s v="Preparation - other"/>
    <s v="Prescribed Hourly Rates"/>
    <s v="Profit Cost"/>
    <s v="Costs Draftsman"/>
    <s v="Y"/>
    <n v="6.58"/>
    <n v="1.32"/>
    <x v="2"/>
    <s v="VALIDATED"/>
    <n v="1"/>
    <s v="01.11.80.307.6100.0000"/>
    <n v="6.58"/>
    <s v="11"/>
    <s v="6100"/>
    <n v="9423.77"/>
    <n v="6.58"/>
    <s v="CREDITOR"/>
    <n v="0"/>
    <n v="0"/>
    <n v="0"/>
    <n v="0"/>
    <n v="6.58"/>
  </r>
  <r>
    <n v="9890602"/>
    <s v="N"/>
    <n v="21350045"/>
    <s v="3000005773020016"/>
    <s v="CIVIL"/>
    <d v="2023-06-30T00:00:00"/>
    <d v="2023-07-10T19:01:40"/>
    <m/>
    <d v="2023-07-10T00:00:00"/>
    <n v="1812"/>
    <n v="20151"/>
    <s v="9890602"/>
    <s v="9890602"/>
    <m/>
    <m/>
    <n v="22799986"/>
    <m/>
    <m/>
    <m/>
    <s v="SOLFIN"/>
    <s v="SOLFIN"/>
    <s v="CCMS"/>
    <n v="21350045"/>
    <n v="10002.57"/>
    <m/>
    <s v="N"/>
    <n v="115"/>
    <d v="2023-07-10T19:02:10"/>
    <s v="Y"/>
    <s v="Preparation - other"/>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26"/>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55"/>
    <d v="2023-07-10T19:02:10"/>
    <s v="Y"/>
    <s v="Preparation - other"/>
    <s v="Prescribed Hourly Rates"/>
    <s v="Profit Cost"/>
    <s v="Helen Stoller - Poole Alcock"/>
    <s v="Y"/>
    <n v="18.94"/>
    <n v="3.79"/>
    <x v="2"/>
    <s v="VALIDATED"/>
    <n v="1"/>
    <s v="01.11.80.307.6100.0000"/>
    <n v="18.94"/>
    <s v="11"/>
    <s v="6100"/>
    <n v="9423.77"/>
    <n v="18.94"/>
    <s v="CREDITOR"/>
    <n v="0"/>
    <n v="0"/>
    <n v="0"/>
    <n v="0"/>
    <n v="18.94"/>
  </r>
  <r>
    <n v="9890602"/>
    <s v="N"/>
    <n v="21350045"/>
    <s v="3000005773020016"/>
    <s v="CIVIL"/>
    <d v="2023-06-30T00:00:00"/>
    <d v="2023-07-10T19:01:40"/>
    <m/>
    <d v="2023-07-10T00:00:00"/>
    <n v="1812"/>
    <n v="20151"/>
    <s v="9890602"/>
    <s v="9890602"/>
    <m/>
    <m/>
    <n v="22799986"/>
    <m/>
    <m/>
    <m/>
    <s v="SOLFIN"/>
    <s v="SOLFIN"/>
    <s v="CCMS"/>
    <n v="21350045"/>
    <n v="10002.57"/>
    <m/>
    <s v="N"/>
    <n v="104"/>
    <d v="2023-07-10T19:02:10"/>
    <s v="Y"/>
    <s v="Preparation - drafting attendance n"/>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72"/>
    <d v="2023-07-10T19:02:10"/>
    <s v="Y"/>
    <s v="Preparation - drafting statement"/>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78"/>
    <d v="2023-07-10T19:02:10"/>
    <s v="Y"/>
    <s v="Attendance upon other side"/>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4"/>
    <d v="2023-07-10T19:02:10"/>
    <s v="Y"/>
    <s v="Preparation - drafting instructions"/>
    <s v="Prescribed Hourly Rates"/>
    <s v="Profit Cost"/>
    <s v="Lisa Ball - Poole Alcock"/>
    <s v="Y"/>
    <n v="38.43"/>
    <n v="7.69"/>
    <x v="2"/>
    <s v="VALIDATED"/>
    <n v="1"/>
    <s v="01.11.80.307.6100.0000"/>
    <n v="38.43"/>
    <s v="11"/>
    <s v="6100"/>
    <n v="9423.77"/>
    <n v="38.43"/>
    <s v="CREDITOR"/>
    <n v="0"/>
    <n v="0"/>
    <n v="0"/>
    <n v="0"/>
    <n v="38.43"/>
  </r>
  <r>
    <n v="9890602"/>
    <s v="N"/>
    <n v="21350045"/>
    <s v="3000005773020016"/>
    <s v="CIVIL"/>
    <d v="2023-06-30T00:00:00"/>
    <d v="2023-07-10T19:01:40"/>
    <m/>
    <d v="2023-07-10T00:00:00"/>
    <n v="1812"/>
    <n v="20151"/>
    <s v="9890602"/>
    <s v="9890602"/>
    <m/>
    <m/>
    <n v="22799986"/>
    <m/>
    <m/>
    <m/>
    <s v="SOLFIN"/>
    <s v="SOLFIN"/>
    <s v="CCMS"/>
    <n v="21350045"/>
    <n v="10002.57"/>
    <m/>
    <s v="N"/>
    <n v="180"/>
    <d v="2023-07-10T19:02:10"/>
    <s v="Y"/>
    <s v="Preparation - other"/>
    <s v="Prescribed Hourly Rates"/>
    <s v="Profit Cost"/>
    <s v="Costs Draftsman"/>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7"/>
    <d v="2023-07-10T19:02:10"/>
    <s v="Y"/>
    <s v="Preparation - drafting attendance n"/>
    <s v="Prescribed Hourly Rates"/>
    <s v="Profit Cost"/>
    <s v="Lisa Ball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21"/>
    <d v="2023-07-10T19:02:10"/>
    <s v="Y"/>
    <s v="Preparation - drafting attendance n"/>
    <s v="Prescribed Hourly Rates"/>
    <s v="Profit Cost"/>
    <s v="Lisa Ball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49"/>
    <d v="2023-07-10T19:02:10"/>
    <s v="Y"/>
    <s v="Preparation - other"/>
    <s v="Prescribed Hourly Rates"/>
    <s v="Profit Cost"/>
    <s v="Lisa Ball - Poole Alcock"/>
    <s v="Y"/>
    <n v="54.9"/>
    <n v="10.98"/>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55"/>
    <d v="2023-07-10T19:02:10"/>
    <s v="Y"/>
    <s v="Attendance upon client"/>
    <s v="Prescribed Hourly Rates"/>
    <s v="Profit Cost"/>
    <s v="Lisa Ball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154"/>
    <d v="2023-07-10T19:02:10"/>
    <s v="Y"/>
    <s v="Attendance upon client"/>
    <s v="Prescribed Hourly Rates"/>
    <s v="Profit Cost"/>
    <s v="Vicky McCallister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68"/>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29"/>
    <d v="2023-07-10T19:02:10"/>
    <s v="Y"/>
    <s v="Routine Letter Out"/>
    <s v="Prescribed Hourly Rates"/>
    <s v="Profit Cost"/>
    <s v="Amie Pine - Poole Alcock"/>
    <s v="Y"/>
    <n v="583.74"/>
    <n v="116.76"/>
    <x v="2"/>
    <s v="VALIDATED"/>
    <n v="1"/>
    <s v="01.11.80.307.6100.0000"/>
    <n v="583.74"/>
    <s v="11"/>
    <s v="6100"/>
    <n v="9423.77"/>
    <n v="583.74"/>
    <s v="CREDITOR"/>
    <n v="0"/>
    <n v="0"/>
    <n v="0"/>
    <n v="0"/>
    <n v="583.74"/>
  </r>
  <r>
    <n v="9890602"/>
    <s v="N"/>
    <n v="21350045"/>
    <s v="3000005773020016"/>
    <s v="CIVIL"/>
    <d v="2023-06-30T00:00:00"/>
    <d v="2023-07-10T19:01:40"/>
    <m/>
    <d v="2023-07-10T00:00:00"/>
    <n v="1812"/>
    <n v="20151"/>
    <s v="9890602"/>
    <s v="9890602"/>
    <m/>
    <m/>
    <n v="22799986"/>
    <m/>
    <m/>
    <m/>
    <s v="SOLFIN"/>
    <s v="SOLFIN"/>
    <s v="CCMS"/>
    <n v="21350045"/>
    <n v="10002.57"/>
    <m/>
    <s v="N"/>
    <n v="48"/>
    <d v="2023-07-10T19:02:10"/>
    <s v="Y"/>
    <s v="Report - other report"/>
    <s v="Prescribed Hourly Rates"/>
    <s v="Profit Cost"/>
    <s v="Dan Brooks-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69"/>
    <d v="2023-07-10T19:02:10"/>
    <s v="Y"/>
    <s v="Preparation - other"/>
    <s v="Prescribed Hourly Rates"/>
    <s v="Profit Cost"/>
    <s v="Nicola Deakin"/>
    <s v="Y"/>
    <n v="19.73"/>
    <n v="3.95"/>
    <x v="2"/>
    <s v="VALIDATED"/>
    <n v="1"/>
    <s v="01.11.80.307.6100.0000"/>
    <n v="19.73"/>
    <s v="11"/>
    <s v="6100"/>
    <n v="9423.77"/>
    <n v="19.73"/>
    <s v="CREDITOR"/>
    <n v="0"/>
    <n v="0"/>
    <n v="0"/>
    <n v="0"/>
    <n v="19.73"/>
  </r>
  <r>
    <n v="9890602"/>
    <s v="N"/>
    <n v="21350045"/>
    <s v="3000005773020016"/>
    <s v="CIVIL"/>
    <d v="2023-06-30T00:00:00"/>
    <d v="2023-07-10T19:01:40"/>
    <m/>
    <d v="2023-07-10T00:00:00"/>
    <n v="1812"/>
    <n v="20151"/>
    <s v="9890602"/>
    <s v="9890602"/>
    <m/>
    <m/>
    <n v="22799986"/>
    <m/>
    <m/>
    <m/>
    <s v="SOLFIN"/>
    <s v="SOLFIN"/>
    <s v="CCMS"/>
    <n v="21350045"/>
    <n v="10002.57"/>
    <m/>
    <s v="N"/>
    <n v="84"/>
    <d v="2023-07-10T19:02:10"/>
    <s v="Y"/>
    <s v="Preparation - drafting attendance n"/>
    <s v="Prescribed Hourly Rates"/>
    <s v="Profit Cost"/>
    <s v="Amie Pine - Poole Alcock"/>
    <s v="Y"/>
    <n v="12.63"/>
    <n v="2.53"/>
    <x v="2"/>
    <s v="VALIDATED"/>
    <n v="1"/>
    <s v="01.11.80.307.6100.0000"/>
    <n v="12.63"/>
    <s v="11"/>
    <s v="6100"/>
    <n v="9423.77"/>
    <n v="12.63"/>
    <s v="CREDITOR"/>
    <n v="0"/>
    <n v="0"/>
    <n v="0"/>
    <n v="0"/>
    <n v="12.63"/>
  </r>
  <r>
    <n v="9890602"/>
    <s v="N"/>
    <n v="21350045"/>
    <s v="3000005773020016"/>
    <s v="CIVIL"/>
    <d v="2023-06-30T00:00:00"/>
    <d v="2023-07-10T19:01:40"/>
    <m/>
    <d v="2023-07-10T00:00:00"/>
    <n v="1812"/>
    <n v="20151"/>
    <s v="9890602"/>
    <s v="9890602"/>
    <m/>
    <m/>
    <n v="22799986"/>
    <m/>
    <m/>
    <m/>
    <s v="SOLFIN"/>
    <s v="SOLFIN"/>
    <s v="CCMS"/>
    <n v="21350045"/>
    <n v="10002.57"/>
    <m/>
    <s v="N"/>
    <n v="94"/>
    <d v="2023-07-10T19:02:10"/>
    <s v="Y"/>
    <s v="Preparation - other"/>
    <s v="Prescribed Hourly Rates"/>
    <s v="Profit Cost"/>
    <s v="Amie Pine - Poole Alcock"/>
    <s v="Y"/>
    <n v="6.31"/>
    <n v="1.26"/>
    <x v="2"/>
    <s v="VALIDATED"/>
    <n v="1"/>
    <s v="01.11.80.307.6100.0000"/>
    <n v="6.31"/>
    <s v="11"/>
    <s v="6100"/>
    <n v="9423.77"/>
    <n v="6.31"/>
    <s v="CREDITOR"/>
    <n v="0"/>
    <n v="0"/>
    <n v="0"/>
    <n v="0"/>
    <n v="6.31"/>
  </r>
  <r>
    <n v="9890602"/>
    <s v="N"/>
    <n v="21350045"/>
    <s v="3000005773020016"/>
    <s v="CIVIL"/>
    <d v="2023-06-30T00:00:00"/>
    <d v="2023-07-10T19:01:40"/>
    <m/>
    <d v="2023-07-10T00:00:00"/>
    <n v="1812"/>
    <n v="20151"/>
    <s v="9890602"/>
    <s v="9890602"/>
    <m/>
    <m/>
    <n v="22799986"/>
    <m/>
    <m/>
    <m/>
    <s v="SOLFIN"/>
    <s v="SOLFIN"/>
    <s v="CCMS"/>
    <n v="21350045"/>
    <n v="10002.57"/>
    <m/>
    <s v="N"/>
    <n v="99"/>
    <d v="2023-07-10T19:02:10"/>
    <s v="Y"/>
    <s v="Preparation - drafting attendance n"/>
    <s v="Prescribed Hourly Rates"/>
    <s v="Profit Cost"/>
    <s v="Amie Pine - Poole Alcock"/>
    <s v="Y"/>
    <n v="6.31"/>
    <n v="1.26"/>
    <x v="2"/>
    <s v="VALIDATED"/>
    <n v="1"/>
    <s v="01.11.80.307.6100.0000"/>
    <n v="6.31"/>
    <s v="11"/>
    <s v="6100"/>
    <n v="9423.77"/>
    <n v="6.31"/>
    <s v="CREDITOR"/>
    <n v="0"/>
    <n v="0"/>
    <n v="0"/>
    <n v="0"/>
    <n v="6.31"/>
  </r>
  <r>
    <n v="9890602"/>
    <s v="N"/>
    <n v="21350045"/>
    <s v="3000005773020016"/>
    <s v="CIVIL"/>
    <d v="2023-06-30T00:00:00"/>
    <d v="2023-07-10T19:01:40"/>
    <m/>
    <d v="2023-07-10T00:00:00"/>
    <n v="1812"/>
    <n v="20151"/>
    <s v="9890602"/>
    <s v="9890602"/>
    <m/>
    <m/>
    <n v="22799986"/>
    <m/>
    <m/>
    <m/>
    <s v="SOLFIN"/>
    <s v="SOLFIN"/>
    <s v="CCMS"/>
    <n v="21350045"/>
    <n v="10002.57"/>
    <m/>
    <s v="N"/>
    <n v="143"/>
    <d v="2023-07-10T19:02:10"/>
    <s v="Y"/>
    <s v="Attendance upon/with Counsel at Con"/>
    <s v="Prescribed Hourly Rates"/>
    <s v="Profit Cost"/>
    <s v="Nicola Deakin - Poole Alcock"/>
    <s v="Y"/>
    <n v="32.4"/>
    <n v="6.48"/>
    <x v="2"/>
    <s v="VALIDATED"/>
    <n v="1"/>
    <s v="01.11.80.307.6100.0000"/>
    <n v="32.4"/>
    <s v="11"/>
    <s v="6100"/>
    <n v="9423.77"/>
    <n v="32.4"/>
    <s v="CREDITOR"/>
    <n v="0"/>
    <n v="0"/>
    <n v="0"/>
    <n v="0"/>
    <n v="32.4"/>
  </r>
  <r>
    <n v="9890602"/>
    <s v="N"/>
    <n v="21350045"/>
    <s v="3000005773020016"/>
    <s v="CIVIL"/>
    <d v="2023-06-30T00:00:00"/>
    <d v="2023-07-10T19:01:40"/>
    <m/>
    <d v="2023-07-10T00:00:00"/>
    <n v="1812"/>
    <n v="20151"/>
    <s v="9890602"/>
    <s v="9890602"/>
    <m/>
    <m/>
    <n v="22799986"/>
    <m/>
    <m/>
    <m/>
    <s v="SOLFIN"/>
    <s v="SOLFIN"/>
    <s v="CCMS"/>
    <n v="21350045"/>
    <n v="10002.57"/>
    <m/>
    <s v="N"/>
    <n v="31"/>
    <d v="2023-07-10T19:02:10"/>
    <s v="Y"/>
    <s v="Preparation - other"/>
    <s v="Prescribed Hourly Rates"/>
    <s v="Profit Cost"/>
    <s v="Dan Brooks- Poole Alcock"/>
    <s v="Y"/>
    <n v="82.34999999999999"/>
    <n v="16.47"/>
    <x v="2"/>
    <s v="VALIDATED"/>
    <n v="1"/>
    <s v="01.11.80.307.6100.0000"/>
    <n v="82.34999999999999"/>
    <s v="11"/>
    <s v="6100"/>
    <n v="9423.77"/>
    <n v="82.34999999999999"/>
    <s v="CREDITOR"/>
    <n v="0"/>
    <n v="0"/>
    <n v="0"/>
    <n v="0"/>
    <n v="82.34999999999999"/>
  </r>
  <r>
    <n v="9890602"/>
    <s v="N"/>
    <n v="21350045"/>
    <s v="3000005773020016"/>
    <s v="CIVIL"/>
    <d v="2023-06-30T00:00:00"/>
    <d v="2023-07-10T19:01:40"/>
    <m/>
    <d v="2023-07-10T00:00:00"/>
    <n v="1812"/>
    <n v="20151"/>
    <s v="9890602"/>
    <s v="9890602"/>
    <m/>
    <m/>
    <n v="22799986"/>
    <m/>
    <m/>
    <m/>
    <s v="SOLFIN"/>
    <s v="SOLFIN"/>
    <s v="CCMS"/>
    <n v="21350045"/>
    <n v="10002.57"/>
    <m/>
    <s v="N"/>
    <n v="172"/>
    <d v="2023-07-10T19:02:10"/>
    <s v="Y"/>
    <s v="Preparation - other"/>
    <s v="Prescribed Hourly Rates"/>
    <s v="Profit Cost"/>
    <s v="Nicola Deakin"/>
    <s v="Y"/>
    <n v="6.58"/>
    <n v="1.32"/>
    <x v="2"/>
    <s v="VALIDATED"/>
    <n v="1"/>
    <s v="01.11.80.307.6100.0000"/>
    <n v="6.58"/>
    <s v="11"/>
    <s v="6100"/>
    <n v="9423.77"/>
    <n v="6.58"/>
    <s v="CREDITOR"/>
    <n v="0"/>
    <n v="0"/>
    <n v="0"/>
    <n v="0"/>
    <n v="6.58"/>
  </r>
  <r>
    <n v="9890602"/>
    <s v="N"/>
    <n v="21350045"/>
    <s v="3000005773020016"/>
    <s v="CIVIL"/>
    <d v="2023-06-30T00:00:00"/>
    <d v="2023-07-10T19:01:40"/>
    <m/>
    <d v="2023-07-10T00:00:00"/>
    <n v="1812"/>
    <n v="20151"/>
    <s v="9890602"/>
    <s v="9890602"/>
    <m/>
    <m/>
    <n v="22799986"/>
    <m/>
    <m/>
    <m/>
    <s v="SOLFIN"/>
    <s v="SOLFIN"/>
    <s v="CCMS"/>
    <n v="21350045"/>
    <n v="10002.57"/>
    <m/>
    <s v="N"/>
    <n v="25"/>
    <d v="2023-07-10T19:02:10"/>
    <s v="Y"/>
    <s v="Preparation - other"/>
    <s v="Prescribed Hourly Rates"/>
    <s v="Profit Cost"/>
    <s v="Lisa Ball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42"/>
    <d v="2023-07-10T19:02:10"/>
    <s v="Y"/>
    <s v="Preparation - other"/>
    <s v="Prescribed Hourly Rates"/>
    <s v="Profit Cost"/>
    <s v="Dan Brooks-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60"/>
    <d v="2023-07-10T19:02:10"/>
    <s v="Y"/>
    <s v="Routine Letter Out"/>
    <s v="Prescribed Hourly Rates"/>
    <s v="Profit Cost"/>
    <s v="Nicola Deakin - Poole Alcock"/>
    <s v="Y"/>
    <n v="241.3"/>
    <n v="48.27"/>
    <x v="2"/>
    <s v="VALIDATED"/>
    <n v="1"/>
    <s v="01.11.80.307.6100.0000"/>
    <n v="241.3"/>
    <s v="11"/>
    <s v="6100"/>
    <n v="9423.77"/>
    <n v="241.3"/>
    <s v="CREDITOR"/>
    <n v="0"/>
    <n v="0"/>
    <n v="0"/>
    <n v="0"/>
    <n v="241.3"/>
  </r>
  <r>
    <n v="9890602"/>
    <s v="N"/>
    <n v="21350045"/>
    <s v="3000005773020016"/>
    <s v="CIVIL"/>
    <d v="2023-06-30T00:00:00"/>
    <d v="2023-07-10T19:01:40"/>
    <m/>
    <d v="2023-07-10T00:00:00"/>
    <n v="1812"/>
    <n v="20151"/>
    <s v="9890602"/>
    <s v="9890602"/>
    <m/>
    <m/>
    <n v="22799986"/>
    <m/>
    <m/>
    <m/>
    <s v="SOLFIN"/>
    <s v="SOLFIN"/>
    <s v="CCMS"/>
    <n v="21350045"/>
    <n v="10002.57"/>
    <m/>
    <s v="N"/>
    <n v="65"/>
    <d v="2023-07-10T19:02:10"/>
    <s v="Y"/>
    <s v="Preparation - other"/>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82"/>
    <d v="2023-07-10T19:02:10"/>
    <s v="Y"/>
    <s v="Preparation - drafting instructions"/>
    <s v="Prescribed Hourly Rates"/>
    <s v="Profit Cost"/>
    <s v="Amie Pine - Poole Alcock"/>
    <s v="Y"/>
    <n v="31.57"/>
    <n v="6.31"/>
    <x v="2"/>
    <s v="VALIDATED"/>
    <n v="1"/>
    <s v="01.11.80.307.6100.0000"/>
    <n v="31.57"/>
    <s v="11"/>
    <s v="6100"/>
    <n v="9423.77"/>
    <n v="31.57"/>
    <s v="CREDITOR"/>
    <n v="0"/>
    <n v="0"/>
    <n v="0"/>
    <n v="0"/>
    <n v="31.57"/>
  </r>
  <r>
    <n v="9890602"/>
    <s v="N"/>
    <n v="21350045"/>
    <s v="3000005773020016"/>
    <s v="CIVIL"/>
    <d v="2023-06-30T00:00:00"/>
    <d v="2023-07-10T19:01:40"/>
    <m/>
    <d v="2023-07-10T00:00:00"/>
    <n v="1812"/>
    <n v="20151"/>
    <s v="9890602"/>
    <s v="9890602"/>
    <m/>
    <m/>
    <n v="22799986"/>
    <m/>
    <m/>
    <m/>
    <s v="SOLFIN"/>
    <s v="SOLFIN"/>
    <s v="CCMS"/>
    <n v="21350045"/>
    <n v="10002.57"/>
    <m/>
    <s v="N"/>
    <n v="105"/>
    <d v="2023-07-10T19:02:10"/>
    <s v="Y"/>
    <s v="Preparation - other"/>
    <s v="Prescribed Hourly Rates"/>
    <s v="Profit Cost"/>
    <s v="Nicola Deakin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34"/>
    <d v="2023-07-10T19:02:10"/>
    <s v="Y"/>
    <s v="Preparation - other"/>
    <s v="Prescribed Hourly Rates"/>
    <s v="Profit Cost"/>
    <s v="Dan Brooks-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39"/>
    <d v="2023-07-10T19:02:10"/>
    <s v="Y"/>
    <s v="Preparation - drafting consent orde"/>
    <s v="Prescribed Hourly Rates"/>
    <s v="Profit Cost"/>
    <s v="Dan Brooks-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45"/>
    <d v="2023-07-10T19:02:10"/>
    <s v="Y"/>
    <s v="Report - other report"/>
    <s v="Prescribed Hourly Rates"/>
    <s v="Profit Cost"/>
    <s v="Dan Brooks-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89"/>
    <d v="2023-07-10T19:02:10"/>
    <s v="Y"/>
    <s v="Preparation - other"/>
    <s v="Prescribed Hourly Rates"/>
    <s v="Profit Cost"/>
    <s v="Amie Pine - Poole Alcock"/>
    <s v="Y"/>
    <n v="12.63"/>
    <n v="2.53"/>
    <x v="2"/>
    <s v="VALIDATED"/>
    <n v="1"/>
    <s v="01.11.80.307.6100.0000"/>
    <n v="12.63"/>
    <s v="11"/>
    <s v="6100"/>
    <n v="9423.77"/>
    <n v="12.63"/>
    <s v="CREDITOR"/>
    <n v="0"/>
    <n v="0"/>
    <n v="0"/>
    <n v="0"/>
    <n v="12.63"/>
  </r>
  <r>
    <n v="9890602"/>
    <s v="N"/>
    <n v="21350045"/>
    <s v="3000005773020016"/>
    <s v="CIVIL"/>
    <d v="2023-06-30T00:00:00"/>
    <d v="2023-07-10T19:01:40"/>
    <m/>
    <d v="2023-07-10T00:00:00"/>
    <n v="1812"/>
    <n v="20151"/>
    <s v="9890602"/>
    <s v="9890602"/>
    <m/>
    <m/>
    <n v="22799986"/>
    <m/>
    <m/>
    <m/>
    <s v="SOLFIN"/>
    <s v="SOLFIN"/>
    <s v="CCMS"/>
    <n v="21350045"/>
    <n v="10002.57"/>
    <m/>
    <s v="N"/>
    <n v="127"/>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37"/>
    <d v="2023-07-10T19:02:10"/>
    <s v="Y"/>
    <s v="Preparation - other"/>
    <s v="Prescribed Hourly Rates"/>
    <s v="Profit Cost"/>
    <s v="Dan Brooks-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52"/>
    <d v="2023-07-10T19:02:10"/>
    <s v="Y"/>
    <s v="Preparation - other"/>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6"/>
    <d v="2023-07-10T19:02:10"/>
    <s v="Y"/>
    <s v="Preparation - other"/>
    <s v="Prescribed Hourly Rates"/>
    <s v="Profit Cost"/>
    <s v="Lisa Ball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118"/>
    <d v="2023-07-10T19:02:10"/>
    <s v="Y"/>
    <s v="Preparation - drafting attendance n"/>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59"/>
    <d v="2023-07-10T19:02:10"/>
    <s v="Y"/>
    <s v="Preparation - other"/>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70"/>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20"/>
    <d v="2023-07-10T19:02:10"/>
    <s v="Y"/>
    <s v="Attendance upon/with Counsel at Con"/>
    <s v="Prescribed Hourly Rates"/>
    <s v="Profit Cost"/>
    <s v="Nicola Deakin - Poole Alcock"/>
    <s v="Y"/>
    <n v="64.8"/>
    <n v="12.96"/>
    <x v="2"/>
    <s v="VALIDATED"/>
    <n v="1"/>
    <s v="01.11.80.307.6100.0000"/>
    <n v="64.8"/>
    <s v="11"/>
    <s v="6100"/>
    <n v="9423.77"/>
    <n v="64.8"/>
    <s v="CREDITOR"/>
    <n v="0"/>
    <n v="0"/>
    <n v="0"/>
    <n v="0"/>
    <n v="64.8"/>
  </r>
  <r>
    <n v="9890602"/>
    <s v="N"/>
    <n v="21350045"/>
    <s v="3000005773020016"/>
    <s v="CIVIL"/>
    <d v="2023-06-30T00:00:00"/>
    <d v="2023-07-10T19:01:40"/>
    <m/>
    <d v="2023-07-10T00:00:00"/>
    <n v="1812"/>
    <n v="20151"/>
    <s v="9890602"/>
    <s v="9890602"/>
    <m/>
    <m/>
    <n v="22799986"/>
    <m/>
    <m/>
    <m/>
    <s v="SOLFIN"/>
    <s v="SOLFIN"/>
    <s v="CCMS"/>
    <n v="21350045"/>
    <n v="10002.57"/>
    <m/>
    <s v="N"/>
    <n v="145"/>
    <d v="2023-07-10T19:02:10"/>
    <s v="Y"/>
    <s v="Preparation - other"/>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36"/>
    <d v="2023-07-10T19:02:10"/>
    <s v="Y"/>
    <s v="Preparation - other"/>
    <s v="Prescribed Hourly Rates"/>
    <s v="Profit Cost"/>
    <s v="Dan Brooks- Poole Alcock"/>
    <s v="Y"/>
    <n v="109.8"/>
    <n v="21.96"/>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68"/>
    <d v="2023-07-10T19:02:10"/>
    <s v="Y"/>
    <s v="Preparation - other"/>
    <s v="Prescribed Hourly Rates"/>
    <s v="Profit Cost"/>
    <s v="Nicola Deakin"/>
    <s v="Y"/>
    <n v="19.73"/>
    <n v="3.95"/>
    <x v="2"/>
    <s v="VALIDATED"/>
    <n v="1"/>
    <s v="01.11.80.307.6100.0000"/>
    <n v="19.73"/>
    <s v="11"/>
    <s v="6100"/>
    <n v="9423.77"/>
    <n v="19.73"/>
    <s v="CREDITOR"/>
    <n v="0"/>
    <n v="0"/>
    <n v="0"/>
    <n v="0"/>
    <n v="19.73"/>
  </r>
  <r>
    <n v="9890602"/>
    <s v="N"/>
    <n v="21350045"/>
    <s v="3000005773020016"/>
    <s v="CIVIL"/>
    <d v="2023-06-30T00:00:00"/>
    <d v="2023-07-10T19:01:40"/>
    <m/>
    <d v="2023-07-10T00:00:00"/>
    <n v="1812"/>
    <n v="20151"/>
    <s v="9890602"/>
    <s v="9890602"/>
    <m/>
    <m/>
    <n v="22799986"/>
    <m/>
    <m/>
    <m/>
    <s v="SOLFIN"/>
    <s v="SOLFIN"/>
    <s v="CCMS"/>
    <n v="21350045"/>
    <n v="10002.57"/>
    <m/>
    <s v="N"/>
    <n v="88"/>
    <d v="2023-07-10T19:02:10"/>
    <s v="Y"/>
    <s v="Report - other report"/>
    <s v="Prescribed Hourly Rates"/>
    <s v="Profit Cost"/>
    <s v="Amie Pine - Poole Alcock"/>
    <s v="Y"/>
    <n v="6.31"/>
    <n v="1.26"/>
    <x v="2"/>
    <s v="VALIDATED"/>
    <n v="1"/>
    <s v="01.11.80.307.6100.0000"/>
    <n v="6.31"/>
    <s v="11"/>
    <s v="6100"/>
    <n v="9423.77"/>
    <n v="6.31"/>
    <s v="CREDITOR"/>
    <n v="0"/>
    <n v="0"/>
    <n v="0"/>
    <n v="0"/>
    <n v="6.31"/>
  </r>
  <r>
    <n v="9890602"/>
    <s v="N"/>
    <n v="21350045"/>
    <s v="3000005773020016"/>
    <s v="CIVIL"/>
    <d v="2023-06-30T00:00:00"/>
    <d v="2023-07-10T19:01:40"/>
    <m/>
    <d v="2023-07-10T00:00:00"/>
    <n v="1812"/>
    <n v="20151"/>
    <s v="9890602"/>
    <s v="9890602"/>
    <m/>
    <m/>
    <n v="22799986"/>
    <m/>
    <m/>
    <m/>
    <s v="SOLFIN"/>
    <s v="SOLFIN"/>
    <s v="CCMS"/>
    <n v="21350045"/>
    <n v="10002.57"/>
    <m/>
    <s v="N"/>
    <n v="101"/>
    <d v="2023-07-10T19:02:10"/>
    <s v="Y"/>
    <s v="Preparation - other"/>
    <s v="Prescribed Hourly Rates"/>
    <s v="Profit Cost"/>
    <s v="Amie Pine - Poole Alcock"/>
    <s v="Y"/>
    <n v="6.31"/>
    <n v="1.26"/>
    <x v="2"/>
    <s v="VALIDATED"/>
    <n v="1"/>
    <s v="01.11.80.307.6100.0000"/>
    <n v="6.31"/>
    <s v="11"/>
    <s v="6100"/>
    <n v="9423.77"/>
    <n v="6.31"/>
    <s v="CREDITOR"/>
    <n v="0"/>
    <n v="0"/>
    <n v="0"/>
    <n v="0"/>
    <n v="6.31"/>
  </r>
  <r>
    <n v="9890602"/>
    <s v="N"/>
    <n v="21350045"/>
    <s v="3000005773020016"/>
    <s v="CIVIL"/>
    <d v="2023-06-30T00:00:00"/>
    <d v="2023-07-10T19:01:40"/>
    <m/>
    <d v="2023-07-10T00:00:00"/>
    <n v="1812"/>
    <n v="20151"/>
    <s v="9890602"/>
    <s v="9890602"/>
    <m/>
    <m/>
    <n v="22799986"/>
    <m/>
    <m/>
    <m/>
    <s v="SOLFIN"/>
    <s v="SOLFIN"/>
    <s v="CCMS"/>
    <n v="21350045"/>
    <n v="10002.57"/>
    <m/>
    <s v="N"/>
    <n v="54"/>
    <d v="2023-07-10T19:02:10"/>
    <s v="Y"/>
    <s v="Preparation - other"/>
    <s v="Prescribed Hourly Rates"/>
    <s v="Profit Cost"/>
    <s v="Lisa Ball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58"/>
    <d v="2023-07-10T19:02:10"/>
    <s v="Y"/>
    <s v="Preparation - other"/>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67"/>
    <d v="2023-07-10T19:02:10"/>
    <s v="Y"/>
    <s v="Preparation - other"/>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15"/>
    <d v="2023-07-10T19:02:10"/>
    <s v="Y"/>
    <s v="Preparation - other"/>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30"/>
    <d v="2023-07-10T19:02:10"/>
    <s v="Y"/>
    <s v="Preparation - other"/>
    <s v="Prescribed Hourly Rates"/>
    <s v="Profit Cost"/>
    <s v="Amie Pine - Poole Alcock"/>
    <s v="Y"/>
    <n v="12.63"/>
    <n v="2.53"/>
    <x v="2"/>
    <s v="VALIDATED"/>
    <n v="1"/>
    <s v="01.11.80.307.6100.0000"/>
    <n v="12.63"/>
    <s v="11"/>
    <s v="6100"/>
    <n v="9423.77"/>
    <n v="12.63"/>
    <s v="CREDITOR"/>
    <n v="0"/>
    <n v="0"/>
    <n v="0"/>
    <n v="0"/>
    <n v="12.63"/>
  </r>
  <r>
    <n v="9890602"/>
    <s v="N"/>
    <n v="21350045"/>
    <s v="3000005773020016"/>
    <s v="CIVIL"/>
    <d v="2023-06-30T00:00:00"/>
    <d v="2023-07-10T19:01:40"/>
    <m/>
    <d v="2023-07-10T00:00:00"/>
    <n v="1812"/>
    <n v="20151"/>
    <s v="9890602"/>
    <s v="9890602"/>
    <m/>
    <m/>
    <n v="22799986"/>
    <m/>
    <m/>
    <m/>
    <s v="SOLFIN"/>
    <s v="SOLFIN"/>
    <s v="CCMS"/>
    <n v="21350045"/>
    <n v="10002.57"/>
    <m/>
    <s v="N"/>
    <n v="148"/>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61"/>
    <d v="2023-07-10T19:02:10"/>
    <s v="Y"/>
    <s v="Attendance upon client"/>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10"/>
    <d v="2023-07-10T19:02:10"/>
    <s v="Y"/>
    <s v="Report - other report"/>
    <s v="Prescribed Hourly Rates"/>
    <s v="Profit Cost"/>
    <s v="Lisa Ball - Poole Alcock"/>
    <s v="Y"/>
    <n v="38.43"/>
    <n v="7.69"/>
    <x v="2"/>
    <s v="VALIDATED"/>
    <n v="1"/>
    <s v="01.11.80.307.6100.0000"/>
    <n v="38.43"/>
    <s v="11"/>
    <s v="6100"/>
    <n v="9423.77"/>
    <n v="38.43"/>
    <s v="CREDITOR"/>
    <n v="0"/>
    <n v="0"/>
    <n v="0"/>
    <n v="0"/>
    <n v="38.43"/>
  </r>
  <r>
    <n v="9890602"/>
    <s v="N"/>
    <n v="21350045"/>
    <s v="3000005773020016"/>
    <s v="CIVIL"/>
    <d v="2023-06-30T00:00:00"/>
    <d v="2023-07-10T19:01:40"/>
    <m/>
    <d v="2023-07-10T00:00:00"/>
    <n v="1812"/>
    <n v="20151"/>
    <s v="9890602"/>
    <s v="9890602"/>
    <m/>
    <m/>
    <n v="22799986"/>
    <m/>
    <m/>
    <m/>
    <s v="SOLFIN"/>
    <s v="SOLFIN"/>
    <s v="CCMS"/>
    <n v="21350045"/>
    <n v="10002.57"/>
    <m/>
    <s v="N"/>
    <n v="74"/>
    <d v="2023-07-10T19:02:10"/>
    <s v="Y"/>
    <s v="Preparation - other"/>
    <s v="Prescribed Hourly Rates"/>
    <s v="Profit Cost"/>
    <s v="Nicola Deakin - Poole Alcock"/>
    <s v="Y"/>
    <n v="32.94"/>
    <n v="6.59"/>
    <x v="2"/>
    <s v="VALIDATED"/>
    <n v="1"/>
    <s v="01.11.80.307.6100.0000"/>
    <n v="32.94"/>
    <s v="11"/>
    <s v="6100"/>
    <n v="9423.77"/>
    <n v="32.94"/>
    <s v="CREDITOR"/>
    <n v="0"/>
    <n v="0"/>
    <n v="0"/>
    <n v="0"/>
    <n v="32.94"/>
  </r>
  <r>
    <n v="9890602"/>
    <s v="N"/>
    <n v="21350045"/>
    <s v="3000005773020016"/>
    <s v="CIVIL"/>
    <d v="2023-06-30T00:00:00"/>
    <d v="2023-07-10T19:01:40"/>
    <m/>
    <d v="2023-07-10T00:00:00"/>
    <n v="1812"/>
    <n v="20151"/>
    <s v="9890602"/>
    <s v="9890602"/>
    <m/>
    <m/>
    <n v="22799986"/>
    <m/>
    <m/>
    <m/>
    <s v="SOLFIN"/>
    <s v="SOLFIN"/>
    <s v="CCMS"/>
    <n v="21350045"/>
    <n v="10002.57"/>
    <m/>
    <s v="N"/>
    <n v="140"/>
    <d v="2023-07-10T19:02:10"/>
    <s v="Y"/>
    <s v="Preparation - other"/>
    <s v="Prescribed Hourly Rates"/>
    <s v="Profit Cost"/>
    <s v="Nicola Deakin - Poole Alcock"/>
    <s v="Y"/>
    <n v="16.47"/>
    <n v="3.29"/>
    <x v="2"/>
    <s v="VALIDATED"/>
    <n v="1"/>
    <s v="01.11.80.307.6100.0000"/>
    <n v="16.47"/>
    <s v="11"/>
    <s v="6100"/>
    <n v="9423.77"/>
    <n v="16.47"/>
    <s v="CREDITOR"/>
    <n v="0"/>
    <n v="0"/>
    <n v="0"/>
    <n v="0"/>
    <n v="16.47"/>
  </r>
  <r>
    <n v="9890602"/>
    <s v="N"/>
    <n v="21350045"/>
    <s v="3000005773020016"/>
    <s v="CIVIL"/>
    <d v="2023-06-30T00:00:00"/>
    <d v="2023-07-10T19:01:40"/>
    <m/>
    <d v="2023-07-10T00:00:00"/>
    <n v="1812"/>
    <n v="20151"/>
    <s v="9890602"/>
    <s v="9890602"/>
    <m/>
    <m/>
    <n v="22799986"/>
    <m/>
    <m/>
    <m/>
    <s v="SOLFIN"/>
    <s v="SOLFIN"/>
    <s v="CCMS"/>
    <n v="21350045"/>
    <n v="10002.57"/>
    <m/>
    <s v="N"/>
    <n v="13"/>
    <d v="2023-07-10T19:02:10"/>
    <s v="Y"/>
    <s v="Preparation - drafting attendance n"/>
    <s v="Prescribed Hourly Rates"/>
    <s v="Profit Cost"/>
    <s v="Lisa Ball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80"/>
    <d v="2023-07-10T19:02:10"/>
    <s v="Y"/>
    <s v="Routine Letter In"/>
    <s v="Prescribed Hourly Rates"/>
    <s v="Profit Cost"/>
    <s v="Amie Pine - Poole Alcock"/>
    <s v="Y"/>
    <n v="223.56"/>
    <n v="44.72"/>
    <x v="2"/>
    <s v="VALIDATED"/>
    <n v="1"/>
    <s v="01.11.80.307.6100.0000"/>
    <n v="223.56"/>
    <s v="11"/>
    <s v="6100"/>
    <n v="9423.77"/>
    <n v="223.56"/>
    <s v="CREDITOR"/>
    <n v="0"/>
    <n v="0"/>
    <n v="0"/>
    <n v="0"/>
    <n v="223.56"/>
  </r>
  <r>
    <n v="9890602"/>
    <s v="N"/>
    <n v="21350045"/>
    <s v="3000005773020016"/>
    <s v="CIVIL"/>
    <d v="2023-06-30T00:00:00"/>
    <d v="2023-07-10T19:01:40"/>
    <m/>
    <d v="2023-07-10T00:00:00"/>
    <n v="1812"/>
    <n v="20151"/>
    <s v="9890602"/>
    <s v="9890602"/>
    <m/>
    <m/>
    <n v="22799986"/>
    <m/>
    <m/>
    <m/>
    <s v="SOLFIN"/>
    <s v="SOLFIN"/>
    <s v="CCMS"/>
    <n v="21350045"/>
    <n v="10002.57"/>
    <m/>
    <s v="N"/>
    <n v="112"/>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8"/>
    <d v="2023-07-10T19:02:10"/>
    <s v="Y"/>
    <s v="Preparation - other"/>
    <s v="Prescribed Hourly Rates"/>
    <s v="Profit Cost"/>
    <s v="Lisa Ball - Poole Alcock"/>
    <s v="Y"/>
    <n v="54.9"/>
    <n v="10.98"/>
    <x v="2"/>
    <s v="VALIDATED"/>
    <n v="1"/>
    <s v="01.11.80.307.6100.0000"/>
    <n v="54.9"/>
    <s v="11"/>
    <s v="6100"/>
    <n v="9423.77"/>
    <n v="54.9"/>
    <s v="CREDITOR"/>
    <n v="0"/>
    <n v="0"/>
    <n v="0"/>
    <n v="0"/>
    <n v="54.9"/>
  </r>
  <r>
    <n v="61898909"/>
    <s v="N"/>
    <n v="21322072"/>
    <s v="3000015956170012"/>
    <s v="CIVIL"/>
    <d v="2023-06-29T00:00:00"/>
    <d v="2023-07-03T19:05:17"/>
    <m/>
    <d v="2023-07-03T00:00:00"/>
    <n v="1812"/>
    <n v="20151"/>
    <s v="61898909"/>
    <s v="61898909"/>
    <m/>
    <m/>
    <n v="22788448"/>
    <m/>
    <m/>
    <m/>
    <s v="SOLPOA"/>
    <s v="SOLPOA"/>
    <s v="CCMS"/>
    <n v="21322072"/>
    <n v="381.6"/>
    <m/>
    <s v="N"/>
    <n v="1"/>
    <d v="2023-07-03T19:05:22"/>
    <s v="N"/>
    <s v="Expert Cost"/>
    <s v="Expert Cost"/>
    <s v="Expert Disbursement"/>
    <s v="SONIA RICKARD"/>
    <s v="N"/>
    <n v="318"/>
    <n v="63.6"/>
    <x v="3"/>
    <s v="VALIDATED"/>
    <n v="1"/>
    <s v="01.11.80.308.2012.0000"/>
    <n v="318"/>
    <s v="11"/>
    <s v="2012"/>
    <n v="9423.77"/>
    <n v="318"/>
    <s v="CREDITOR"/>
    <n v="318"/>
    <n v="0"/>
    <n v="0"/>
    <n v="0"/>
    <n v="0"/>
  </r>
  <r>
    <n v="9890602"/>
    <s v="N"/>
    <n v="21350045"/>
    <s v="3000005773020016"/>
    <s v="CIVIL"/>
    <d v="2023-06-30T00:00:00"/>
    <d v="2023-07-10T19:01:40"/>
    <m/>
    <d v="2023-07-10T00:00:00"/>
    <n v="1812"/>
    <n v="20151"/>
    <s v="9890602"/>
    <s v="9890602"/>
    <m/>
    <m/>
    <n v="22799986"/>
    <m/>
    <m/>
    <m/>
    <s v="SOLFIN"/>
    <s v="SOLFIN"/>
    <s v="CCMS"/>
    <n v="21350045"/>
    <n v="10002.57"/>
    <m/>
    <s v="N"/>
    <n v="157"/>
    <d v="2023-07-10T19:02:10"/>
    <s v="Y"/>
    <s v="Preparation - other"/>
    <s v="Prescribed Hourly Rates"/>
    <s v="Profit Cost"/>
    <s v="Vicky McCallister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65"/>
    <d v="2023-07-10T19:02:10"/>
    <s v="Y"/>
    <s v="Preparation - other"/>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14"/>
    <d v="2023-07-10T19:02:10"/>
    <s v="Y"/>
    <s v="Attendance upon client"/>
    <s v="Prescribed Hourly Rates"/>
    <s v="Profit Cost"/>
    <s v="Nicola Deakin - Poole Alcock"/>
    <s v="Y"/>
    <n v="10.98"/>
    <n v="2.2"/>
    <x v="2"/>
    <s v="VALIDATED"/>
    <n v="1"/>
    <s v="01.11.80.307.6100.0000"/>
    <n v="10.98"/>
    <s v="11"/>
    <s v="6100"/>
    <n v="9423.77"/>
    <n v="10.98"/>
    <s v="CREDITOR"/>
    <n v="0"/>
    <n v="0"/>
    <n v="0"/>
    <n v="0"/>
    <n v="10.98"/>
  </r>
  <r>
    <n v="9890602"/>
    <s v="N"/>
    <n v="21350045"/>
    <s v="3000005773020016"/>
    <s v="CIVIL"/>
    <d v="2023-06-30T00:00:00"/>
    <d v="2023-07-10T19:01:40"/>
    <m/>
    <d v="2023-07-10T00:00:00"/>
    <n v="1812"/>
    <n v="20151"/>
    <s v="9890602"/>
    <s v="9890602"/>
    <m/>
    <m/>
    <n v="22799986"/>
    <m/>
    <m/>
    <m/>
    <s v="SOLFIN"/>
    <s v="SOLFIN"/>
    <s v="CCMS"/>
    <n v="21350045"/>
    <n v="10002.57"/>
    <m/>
    <s v="N"/>
    <n v="103"/>
    <d v="2023-07-10T19:02:10"/>
    <s v="Y"/>
    <s v="Attendance upon client"/>
    <s v="Prescribed Hourly Rates"/>
    <s v="Profit Cost"/>
    <s v="Nicola Deakin - Poole Alcock"/>
    <s v="Y"/>
    <n v="27.45"/>
    <n v="5.49"/>
    <x v="2"/>
    <s v="VALIDATED"/>
    <n v="1"/>
    <s v="01.11.80.307.6100.0000"/>
    <n v="27.45"/>
    <s v="11"/>
    <s v="6100"/>
    <n v="9423.77"/>
    <n v="27.45"/>
    <s v="CREDITOR"/>
    <n v="0"/>
    <n v="0"/>
    <n v="0"/>
    <n v="0"/>
    <n v="27.45"/>
  </r>
  <r>
    <n v="9890602"/>
    <s v="N"/>
    <n v="21350045"/>
    <s v="3000005773020016"/>
    <s v="CIVIL"/>
    <d v="2023-06-30T00:00:00"/>
    <d v="2023-07-10T19:01:40"/>
    <m/>
    <d v="2023-07-10T00:00:00"/>
    <n v="1812"/>
    <n v="20151"/>
    <s v="9890602"/>
    <s v="9890602"/>
    <m/>
    <m/>
    <n v="22799986"/>
    <m/>
    <m/>
    <m/>
    <s v="SOLFIN"/>
    <s v="SOLFIN"/>
    <s v="CCMS"/>
    <n v="21350045"/>
    <n v="10002.57"/>
    <m/>
    <s v="N"/>
    <n v="32"/>
    <d v="2023-07-10T19:02:10"/>
    <s v="Y"/>
    <s v="Preparation - drafting statement"/>
    <s v="Prescribed Hourly Rates"/>
    <s v="Profit Cost"/>
    <s v="Dan Brooks- Poole Alcock"/>
    <s v="Y"/>
    <n v="126.27"/>
    <n v="25.26"/>
    <x v="2"/>
    <s v="VALIDATED"/>
    <n v="1"/>
    <s v="01.11.80.307.6100.0000"/>
    <n v="126.27"/>
    <s v="11"/>
    <s v="6100"/>
    <n v="9423.77"/>
    <n v="126.27"/>
    <s v="CREDITOR"/>
    <n v="0"/>
    <n v="0"/>
    <n v="0"/>
    <n v="0"/>
    <n v="126.27"/>
  </r>
  <r>
    <n v="9890602"/>
    <s v="N"/>
    <n v="21350045"/>
    <s v="3000005773020016"/>
    <s v="CIVIL"/>
    <d v="2023-06-30T00:00:00"/>
    <d v="2023-07-10T19:01:40"/>
    <m/>
    <d v="2023-07-10T00:00:00"/>
    <n v="1812"/>
    <n v="20151"/>
    <s v="9890602"/>
    <s v="9890602"/>
    <m/>
    <m/>
    <n v="22799986"/>
    <m/>
    <m/>
    <m/>
    <s v="SOLFIN"/>
    <s v="SOLFIN"/>
    <s v="CCMS"/>
    <n v="21350045"/>
    <n v="10002.57"/>
    <m/>
    <s v="N"/>
    <n v="81"/>
    <d v="2023-07-10T19:02:10"/>
    <s v="Y"/>
    <s v="Report - other report"/>
    <s v="Prescribed Hourly Rates"/>
    <s v="Profit Cost"/>
    <s v="Amie Pine - Poole Alcock"/>
    <s v="Y"/>
    <n v="31.57"/>
    <n v="6.31"/>
    <x v="2"/>
    <s v="VALIDATED"/>
    <n v="1"/>
    <s v="01.11.80.307.6100.0000"/>
    <n v="31.57"/>
    <s v="11"/>
    <s v="6100"/>
    <n v="9423.77"/>
    <n v="31.57"/>
    <s v="CREDITOR"/>
    <n v="0"/>
    <n v="0"/>
    <n v="0"/>
    <n v="0"/>
    <n v="31.57"/>
  </r>
  <r>
    <n v="9890602"/>
    <s v="N"/>
    <n v="21350045"/>
    <s v="3000005773020016"/>
    <s v="CIVIL"/>
    <d v="2023-06-30T00:00:00"/>
    <d v="2023-07-10T19:01:40"/>
    <m/>
    <d v="2023-07-10T00:00:00"/>
    <n v="1812"/>
    <n v="20151"/>
    <s v="9890602"/>
    <s v="9890602"/>
    <m/>
    <m/>
    <n v="22799986"/>
    <m/>
    <m/>
    <m/>
    <s v="SOLFIN"/>
    <s v="SOLFIN"/>
    <s v="CCMS"/>
    <n v="21350045"/>
    <n v="10002.57"/>
    <m/>
    <s v="N"/>
    <n v="96"/>
    <d v="2023-07-10T19:02:10"/>
    <s v="Y"/>
    <s v="Preparation - other"/>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09"/>
    <d v="2023-07-10T19:02:10"/>
    <s v="Y"/>
    <s v="Report - other report"/>
    <s v="Prescribed Hourly Rates"/>
    <s v="Profit Cost"/>
    <s v="Nicola Deakin - Poole Alcock"/>
    <s v="Y"/>
    <n v="5.49"/>
    <n v="1.1"/>
    <x v="2"/>
    <s v="VALIDATED"/>
    <n v="1"/>
    <s v="01.11.80.307.6100.0000"/>
    <n v="5.49"/>
    <s v="11"/>
    <s v="6100"/>
    <n v="9423.77"/>
    <n v="5.49"/>
    <s v="CREDITOR"/>
    <n v="0"/>
    <n v="0"/>
    <n v="0"/>
    <n v="0"/>
    <n v="5.49"/>
  </r>
  <r>
    <n v="9890602"/>
    <s v="N"/>
    <n v="21350045"/>
    <s v="3000005773020016"/>
    <s v="CIVIL"/>
    <d v="2023-06-30T00:00:00"/>
    <d v="2023-07-10T19:01:40"/>
    <m/>
    <d v="2023-07-10T00:00:00"/>
    <n v="1812"/>
    <n v="20151"/>
    <s v="9890602"/>
    <s v="9890602"/>
    <m/>
    <m/>
    <n v="22799986"/>
    <m/>
    <m/>
    <m/>
    <s v="SOLFIN"/>
    <s v="SOLFIN"/>
    <s v="CCMS"/>
    <n v="21350045"/>
    <n v="10002.57"/>
    <m/>
    <s v="N"/>
    <n v="129"/>
    <d v="2023-07-10T19:02:10"/>
    <s v="Y"/>
    <s v="Attendance upon client"/>
    <s v="Prescribed Hourly Rates"/>
    <s v="Profit Cost"/>
    <s v="Nicola Deakin - Poole Alcock"/>
    <s v="Y"/>
    <n v="21.96"/>
    <n v="4.39"/>
    <x v="2"/>
    <s v="VALIDATED"/>
    <n v="1"/>
    <s v="01.11.80.307.6100.0000"/>
    <n v="21.96"/>
    <s v="11"/>
    <s v="6100"/>
    <n v="9423.77"/>
    <n v="21.96"/>
    <s v="CREDITOR"/>
    <n v="0"/>
    <n v="0"/>
    <n v="0"/>
    <n v="0"/>
    <n v="21.96"/>
  </r>
  <r>
    <n v="9890602"/>
    <s v="N"/>
    <n v="21350045"/>
    <s v="3000005773020016"/>
    <s v="CIVIL"/>
    <d v="2023-06-30T00:00:00"/>
    <d v="2023-07-10T19:01:40"/>
    <m/>
    <d v="2023-07-10T00:00:00"/>
    <n v="1812"/>
    <n v="20151"/>
    <s v="9890602"/>
    <s v="9890602"/>
    <m/>
    <m/>
    <n v="22799986"/>
    <m/>
    <m/>
    <m/>
    <s v="SOLFIN"/>
    <s v="SOLFIN"/>
    <s v="CCMS"/>
    <n v="21350045"/>
    <n v="10002.57"/>
    <m/>
    <s v="N"/>
    <n v="147"/>
    <d v="2023-07-10T19:02:10"/>
    <s v="Y"/>
    <s v="Preparation - drafting instructions"/>
    <s v="Prescribed Hourly Rates"/>
    <s v="Profit Cost"/>
    <s v="Nicola Deakin - Poole Alcock"/>
    <s v="Y"/>
    <n v="5.49"/>
    <n v="1.1"/>
    <x v="2"/>
    <s v="VALIDATED"/>
    <n v="1"/>
    <s v="01.11.80.307.6100.0000"/>
    <n v="5.49"/>
    <s v="11"/>
    <s v="6100"/>
    <n v="9423.77"/>
    <n v="5.49"/>
    <s v="CREDITOR"/>
    <n v="0"/>
    <n v="0"/>
    <n v="0"/>
    <n v="0"/>
    <n v="5.49"/>
  </r>
  <r>
    <n v="61114156"/>
    <s v="N"/>
    <n v="21319566"/>
    <s v="3000015299460002"/>
    <s v="CIVIL"/>
    <d v="2023-06-27T00:00:00"/>
    <d v="2023-07-03T19:04:24"/>
    <m/>
    <d v="2023-07-03T00:00:00"/>
    <n v="1823"/>
    <n v="20218"/>
    <s v="61114156"/>
    <s v="61114156"/>
    <m/>
    <m/>
    <n v="22771438"/>
    <m/>
    <m/>
    <m/>
    <s v="SOLPOA"/>
    <s v="SOLPOA"/>
    <s v="CCMS"/>
    <n v="21319566"/>
    <n v="104"/>
    <m/>
    <s v="N"/>
    <n v="1"/>
    <d v="2023-07-03T19:04:26"/>
    <s v="N"/>
    <s v="Non Expert Disbursement - Private L"/>
    <s v="Non Expert Disbursement - Priv"/>
    <s v="Non Expert Disbursement"/>
    <s v="Gemma Cockitt"/>
    <s v="N"/>
    <n v="104"/>
    <n v="0"/>
    <x v="3"/>
    <s v="VALIDATED"/>
    <n v="1"/>
    <s v="01.11.80.307.2012.0000"/>
    <n v="104"/>
    <s v="11"/>
    <s v="2012"/>
    <n v="104"/>
    <n v="104"/>
    <s v="CREDITOR"/>
    <n v="104"/>
    <n v="0"/>
    <n v="0"/>
    <n v="0"/>
    <n v="0"/>
  </r>
  <r>
    <n v="56445021"/>
    <s v="N"/>
    <n v="21338414"/>
    <s v="3000013436950001"/>
    <s v="CIVIL"/>
    <d v="2023-06-29T00:00:00"/>
    <d v="2023-07-06T19:21:01"/>
    <m/>
    <d v="2023-07-06T00:00:00"/>
    <n v="1823"/>
    <n v="20218"/>
    <s v="56445021"/>
    <s v="56445021"/>
    <m/>
    <m/>
    <n v="22785466"/>
    <m/>
    <m/>
    <m/>
    <s v="SOLFIN"/>
    <s v="SOLFIN"/>
    <s v="CCMS"/>
    <n v="21338414"/>
    <n v="0"/>
    <m/>
    <s v="N"/>
    <n v="1"/>
    <d v="2023-07-06T19:21:24"/>
    <s v="N"/>
    <s v="NIL BILL"/>
    <s v="Prescribed Hourly Rates"/>
    <s v="Profit Cost"/>
    <s v="Jennifer Penman"/>
    <s v="N"/>
    <n v="0"/>
    <n v="0"/>
    <x v="4"/>
    <s v="VALIDATED"/>
    <n v="1"/>
    <s v="01.11.80.307.6100.0000"/>
    <n v="0"/>
    <s v="11"/>
    <s v="6100"/>
    <n v="104"/>
    <n v="0"/>
    <s v="CREDITOR"/>
    <n v="0"/>
    <n v="0"/>
    <n v="0"/>
    <n v="0"/>
    <n v="0"/>
  </r>
  <r>
    <n v="56445204"/>
    <s v="N"/>
    <n v="21338479"/>
    <s v="3000013437240001"/>
    <s v="CIVIL"/>
    <d v="2023-06-29T00:00:00"/>
    <d v="2023-07-06T19:21:01"/>
    <m/>
    <d v="2023-07-06T00:00:00"/>
    <n v="1823"/>
    <n v="20218"/>
    <s v="56445204"/>
    <s v="56445204"/>
    <m/>
    <m/>
    <n v="22785516"/>
    <m/>
    <m/>
    <m/>
    <s v="SOLFIN"/>
    <s v="SOLFIN"/>
    <s v="CCMS"/>
    <n v="21338479"/>
    <n v="0"/>
    <m/>
    <s v="N"/>
    <n v="1"/>
    <d v="2023-07-06T19:21:26"/>
    <s v="N"/>
    <s v="NIL BILL"/>
    <s v="Prescribed Hourly Rates"/>
    <s v="Profit Cost"/>
    <s v="Jennifer Penman"/>
    <s v="N"/>
    <n v="0"/>
    <n v="0"/>
    <x v="4"/>
    <s v="VALIDATED"/>
    <n v="1"/>
    <s v="01.11.80.307.6100.0000"/>
    <n v="0"/>
    <s v="11"/>
    <s v="6100"/>
    <n v="104"/>
    <n v="0"/>
    <s v="CREDITOR"/>
    <n v="0"/>
    <n v="0"/>
    <n v="0"/>
    <n v="0"/>
    <n v="0"/>
  </r>
  <r>
    <n v="56444693"/>
    <s v="N"/>
    <n v="21338487"/>
    <s v="3000013436780001"/>
    <s v="CIVIL"/>
    <d v="2023-06-29T00:00:00"/>
    <d v="2023-07-06T19:21:01"/>
    <m/>
    <d v="2023-07-06T00:00:00"/>
    <n v="1823"/>
    <n v="20218"/>
    <s v="56444693"/>
    <s v="56444693"/>
    <m/>
    <m/>
    <n v="22785436"/>
    <m/>
    <m/>
    <m/>
    <s v="SOLFIN"/>
    <s v="SOLFIN"/>
    <s v="CCMS"/>
    <n v="21338487"/>
    <n v="0"/>
    <m/>
    <s v="N"/>
    <n v="1"/>
    <d v="2023-07-06T19:21:26"/>
    <s v="N"/>
    <s v="NIL BILL"/>
    <s v="Prescribed Hourly Rates"/>
    <s v="Profit Cost"/>
    <s v="Jennifer Penman"/>
    <s v="N"/>
    <n v="0"/>
    <n v="0"/>
    <x v="4"/>
    <s v="VALIDATED"/>
    <n v="1"/>
    <s v="01.11.80.307.6100.0000"/>
    <n v="0"/>
    <s v="11"/>
    <s v="6100"/>
    <n v="104"/>
    <n v="0"/>
    <s v="CREDITOR"/>
    <n v="0"/>
    <n v="0"/>
    <n v="0"/>
    <n v="0"/>
    <n v="0"/>
  </r>
  <r>
    <n v="56444549"/>
    <s v="N"/>
    <n v="21391983"/>
    <s v="3000013436530001"/>
    <s v="CIVIL"/>
    <d v="2023-06-29T00:00:00"/>
    <d v="2023-07-18T19:00:27"/>
    <m/>
    <d v="2023-07-18T00:00:00"/>
    <n v="1823"/>
    <n v="20218"/>
    <s v="56444549"/>
    <s v="56444549"/>
    <m/>
    <m/>
    <n v="22785694"/>
    <m/>
    <m/>
    <m/>
    <s v="SOLFIN"/>
    <s v="SOLFIN"/>
    <s v="CCMS"/>
    <n v="21391983"/>
    <n v="0"/>
    <m/>
    <s v="N"/>
    <n v="1"/>
    <d v="2023-07-18T19:00:35"/>
    <s v="N"/>
    <s v="NIL BILL"/>
    <s v="Prescribed Hourly Rates"/>
    <s v="Profit Cost"/>
    <s v="Jennifer Penman"/>
    <s v="N"/>
    <n v="0"/>
    <n v="0"/>
    <x v="14"/>
    <s v="VALIDATED"/>
    <n v="1"/>
    <s v="01.11.80.307.6100.0000"/>
    <n v="0"/>
    <s v="11"/>
    <s v="6100"/>
    <n v="104"/>
    <n v="0"/>
    <s v="CREDITOR"/>
    <n v="0"/>
    <n v="0"/>
    <n v="0"/>
    <n v="0"/>
    <n v="0"/>
  </r>
  <r>
    <n v="59801646"/>
    <s v="N"/>
    <n v="21408733"/>
    <s v="3000014174670010"/>
    <s v="CIVIL"/>
    <d v="2023-06-30T00:00:00"/>
    <d v="2023-07-21T10:00:02"/>
    <m/>
    <d v="2023-07-21T00:00:00"/>
    <n v="1832"/>
    <n v="1259"/>
    <s v="59801646"/>
    <s v="59801646"/>
    <m/>
    <m/>
    <n v="22801554"/>
    <m/>
    <m/>
    <m/>
    <s v="SOLFIN"/>
    <s v="SOLFIN"/>
    <s v="CCMS"/>
    <n v="21408733"/>
    <n v="23465.88"/>
    <m/>
    <s v="N"/>
    <n v="23"/>
    <d v="2023-07-21T10:00:09"/>
    <s v="Y"/>
    <s v="Preparation - drafting statem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36"/>
    <d v="2023-07-21T10:00:09"/>
    <s v="Y"/>
    <s v="Attendance upon client"/>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146"/>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428996"/>
    <s v="N"/>
    <n v="21360295"/>
    <s v="3000013869930006"/>
    <s v="CIVIL"/>
    <d v="2023-06-30T00:00:00"/>
    <d v="2023-07-11T11:50:54"/>
    <m/>
    <d v="2023-07-11T00:00:00"/>
    <n v="1832"/>
    <n v="1259"/>
    <s v="59428996"/>
    <s v="59428996"/>
    <m/>
    <m/>
    <n v="22798406"/>
    <m/>
    <m/>
    <m/>
    <s v="SOLFIN"/>
    <s v="SOLFIN"/>
    <s v="CCMS"/>
    <n v="21360295"/>
    <n v="6298.44"/>
    <m/>
    <s v="N"/>
    <n v="3"/>
    <d v="2023-07-11T11:51:01"/>
    <s v="Y"/>
    <s v="Hearing Unit 2.31 - 5.00 Hours"/>
    <s v="Public Law Children"/>
    <s v="Advocacy"/>
    <s v="sam wilde"/>
    <s v="Y"/>
    <n v="476.92"/>
    <n v="95.38"/>
    <x v="7"/>
    <s v="VALIDATED"/>
    <n v="1"/>
    <s v="01.11.80.308.6100.0000"/>
    <n v="476.92"/>
    <s v="11"/>
    <s v="6100"/>
    <n v="33249.27"/>
    <n v="476.92"/>
    <s v="CREDITOR"/>
    <n v="0"/>
    <n v="0"/>
    <n v="0"/>
    <n v="0"/>
    <n v="476.92"/>
  </r>
  <r>
    <n v="42670250"/>
    <s v="N"/>
    <n v="21356900"/>
    <s v="3000011360380003RC"/>
    <s v="CIVIL"/>
    <d v="2023-06-30T00:00:00"/>
    <d v="2023-07-10T19:47:44"/>
    <m/>
    <d v="2023-07-10T00:00:00"/>
    <n v="1832"/>
    <n v="1259"/>
    <s v="42670250"/>
    <s v="42670250"/>
    <m/>
    <m/>
    <m/>
    <m/>
    <m/>
    <m/>
    <s v="SOLRECOUP"/>
    <s v="SOLRECOUP"/>
    <s v="POARECOUP"/>
    <n v="21356900"/>
    <n v="-810"/>
    <m/>
    <s v="Y"/>
    <n v="1"/>
    <d v="2023-07-10T19:47:46"/>
    <s v="N"/>
    <m/>
    <m/>
    <s v="Expert Disbursement"/>
    <m/>
    <s v="N"/>
    <n v="-675"/>
    <n v="0"/>
    <x v="2"/>
    <s v="VALIDATED"/>
    <n v="1"/>
    <s v="01.11.80.308.2013.0000"/>
    <n v="-675"/>
    <s v="11"/>
    <s v="2013"/>
    <n v="33249.27"/>
    <n v="-675"/>
    <s v="CREDITOR"/>
    <n v="0"/>
    <n v="0"/>
    <n v="-675"/>
    <n v="0"/>
    <n v="0"/>
  </r>
  <r>
    <n v="42670250"/>
    <s v="N"/>
    <n v="21356900"/>
    <s v="3000011360380003RC"/>
    <s v="CIVIL"/>
    <d v="2023-06-30T00:00:00"/>
    <d v="2023-07-10T19:47:44"/>
    <m/>
    <d v="2023-07-10T00:00:00"/>
    <n v="1832"/>
    <n v="1259"/>
    <s v="42670250"/>
    <s v="42670250"/>
    <m/>
    <m/>
    <m/>
    <m/>
    <m/>
    <m/>
    <s v="SOLRECOUP"/>
    <s v="SOLRECOUP"/>
    <s v="POARECOUP"/>
    <n v="21356900"/>
    <n v="-810"/>
    <m/>
    <s v="Y"/>
    <n v="2"/>
    <d v="2023-07-10T19:47:46"/>
    <s v="N"/>
    <m/>
    <m/>
    <s v="Expert Disbursement"/>
    <m/>
    <s v="N"/>
    <n v="0"/>
    <n v="-135"/>
    <x v="2"/>
    <s v="VALIDATED"/>
    <n v="1"/>
    <s v="01.11.80.308.2013.0000"/>
    <n v="-135"/>
    <s v="11"/>
    <s v="2013"/>
    <n v="33249.27"/>
    <n v="-135"/>
    <s v="CREDITOR"/>
    <n v="0"/>
    <n v="0"/>
    <n v="-135"/>
    <n v="0"/>
    <n v="0"/>
  </r>
  <r>
    <n v="59743667"/>
    <s v="N"/>
    <n v="21356901"/>
    <s v="3000014122640006RC"/>
    <s v="CIVIL"/>
    <d v="2023-06-27T00:00:00"/>
    <d v="2023-07-10T19:47:44"/>
    <m/>
    <d v="2023-07-10T00:00:00"/>
    <n v="1832"/>
    <n v="1259"/>
    <s v="59743667"/>
    <s v="59743667"/>
    <m/>
    <m/>
    <m/>
    <m/>
    <m/>
    <m/>
    <s v="SOLRECOUP"/>
    <s v="SOLRECOUP"/>
    <s v="POARECOUP"/>
    <n v="21356901"/>
    <n v="-648"/>
    <m/>
    <s v="Y"/>
    <n v="1"/>
    <d v="2023-07-10T19:47:46"/>
    <s v="N"/>
    <m/>
    <m/>
    <s v="Expert Disbursement"/>
    <m/>
    <s v="N"/>
    <n v="-648"/>
    <n v="0"/>
    <x v="2"/>
    <s v="VALIDATED"/>
    <n v="1"/>
    <s v="01.11.80.308.2013.0000"/>
    <n v="-648"/>
    <s v="11"/>
    <s v="2013"/>
    <n v="33249.27"/>
    <n v="-648"/>
    <s v="CREDITOR"/>
    <n v="0"/>
    <n v="0"/>
    <n v="-648"/>
    <n v="0"/>
    <n v="0"/>
  </r>
  <r>
    <n v="59743667"/>
    <s v="N"/>
    <n v="21356901"/>
    <s v="3000014122640006RC"/>
    <s v="CIVIL"/>
    <d v="2023-06-27T00:00:00"/>
    <d v="2023-07-10T19:47:44"/>
    <m/>
    <d v="2023-07-10T00:00:00"/>
    <n v="1832"/>
    <n v="1259"/>
    <s v="59743667"/>
    <s v="59743667"/>
    <m/>
    <m/>
    <m/>
    <m/>
    <m/>
    <m/>
    <s v="SOLRECOUP"/>
    <s v="SOLRECOUP"/>
    <s v="POARECOUP"/>
    <n v="21356901"/>
    <n v="-648"/>
    <m/>
    <s v="Y"/>
    <n v="2"/>
    <d v="2023-07-10T19:47:46"/>
    <s v="N"/>
    <m/>
    <m/>
    <s v="Expert Disbursement"/>
    <m/>
    <s v="N"/>
    <n v="0"/>
    <n v="0"/>
    <x v="2"/>
    <s v="VALIDATED"/>
    <n v="1"/>
    <s v="01.11.80.000.0000.0000"/>
    <n v="0"/>
    <s v="11"/>
    <s v="0000"/>
    <n v="33249.27"/>
    <n v="0"/>
    <s v="CREDITOR"/>
    <n v="0"/>
    <n v="0"/>
    <n v="0"/>
    <n v="0"/>
    <n v="0"/>
  </r>
  <r>
    <n v="59743667"/>
    <s v="N"/>
    <n v="21356902"/>
    <s v="3000014122640002RC"/>
    <s v="CIVIL"/>
    <d v="2023-06-27T00:00:00"/>
    <d v="2023-07-10T19:47:44"/>
    <m/>
    <d v="2023-07-10T00:00:00"/>
    <n v="1832"/>
    <n v="1259"/>
    <s v="59743667"/>
    <s v="59743667"/>
    <m/>
    <m/>
    <m/>
    <m/>
    <m/>
    <m/>
    <s v="SOLRECOUP"/>
    <s v="SOLRECOUP"/>
    <s v="POARECOUP"/>
    <n v="21356902"/>
    <n v="-611.84"/>
    <m/>
    <s v="Y"/>
    <n v="1"/>
    <d v="2023-07-10T19:47:46"/>
    <s v="N"/>
    <m/>
    <m/>
    <s v="Expert Disbursement"/>
    <m/>
    <s v="N"/>
    <n v="-509.87"/>
    <n v="0"/>
    <x v="2"/>
    <s v="VALIDATED"/>
    <n v="1"/>
    <s v="01.11.80.308.2013.0000"/>
    <n v="-509.87"/>
    <s v="11"/>
    <s v="2013"/>
    <n v="33249.27"/>
    <n v="-509.87"/>
    <s v="CREDITOR"/>
    <n v="0"/>
    <n v="0"/>
    <n v="-509.87"/>
    <n v="0"/>
    <n v="0"/>
  </r>
  <r>
    <n v="59743667"/>
    <s v="N"/>
    <n v="21356902"/>
    <s v="3000014122640002RC"/>
    <s v="CIVIL"/>
    <d v="2023-06-27T00:00:00"/>
    <d v="2023-07-10T19:47:44"/>
    <m/>
    <d v="2023-07-10T00:00:00"/>
    <n v="1832"/>
    <n v="1259"/>
    <s v="59743667"/>
    <s v="59743667"/>
    <m/>
    <m/>
    <m/>
    <m/>
    <m/>
    <m/>
    <s v="SOLRECOUP"/>
    <s v="SOLRECOUP"/>
    <s v="POARECOUP"/>
    <n v="21356902"/>
    <n v="-611.84"/>
    <m/>
    <s v="Y"/>
    <n v="2"/>
    <d v="2023-07-10T19:47:46"/>
    <s v="N"/>
    <m/>
    <m/>
    <s v="Expert Disbursement"/>
    <m/>
    <s v="N"/>
    <n v="0"/>
    <n v="-101.97"/>
    <x v="2"/>
    <s v="VALIDATED"/>
    <n v="1"/>
    <s v="01.11.80.308.2013.0000"/>
    <n v="-101.97"/>
    <s v="11"/>
    <s v="2013"/>
    <n v="33249.27"/>
    <n v="-101.97"/>
    <s v="CREDITOR"/>
    <n v="0"/>
    <n v="0"/>
    <n v="-101.97"/>
    <n v="0"/>
    <n v="0"/>
  </r>
  <r>
    <n v="59743667"/>
    <s v="N"/>
    <n v="21356903"/>
    <s v="3000014122640003RC"/>
    <s v="CIVIL"/>
    <d v="2023-06-27T00:00:00"/>
    <d v="2023-07-10T19:47:44"/>
    <m/>
    <d v="2023-07-10T00:00:00"/>
    <n v="1832"/>
    <n v="1259"/>
    <s v="59743667"/>
    <s v="59743667"/>
    <m/>
    <m/>
    <m/>
    <m/>
    <m/>
    <m/>
    <s v="SOLRECOUP"/>
    <s v="SOLRECOUP"/>
    <s v="POARECOUP"/>
    <n v="21356903"/>
    <n v="-1010"/>
    <m/>
    <s v="Y"/>
    <n v="1"/>
    <d v="2023-07-10T19:47:46"/>
    <s v="N"/>
    <m/>
    <m/>
    <s v="Expert Disbursement"/>
    <m/>
    <s v="N"/>
    <n v="-841.67"/>
    <n v="0"/>
    <x v="2"/>
    <s v="VALIDATED"/>
    <n v="1"/>
    <s v="01.11.80.308.2013.0000"/>
    <n v="-841.67"/>
    <s v="11"/>
    <s v="2013"/>
    <n v="33249.27"/>
    <n v="-841.67"/>
    <s v="CREDITOR"/>
    <n v="0"/>
    <n v="0"/>
    <n v="-841.67"/>
    <n v="0"/>
    <n v="0"/>
  </r>
  <r>
    <n v="59743667"/>
    <s v="N"/>
    <n v="21356903"/>
    <s v="3000014122640003RC"/>
    <s v="CIVIL"/>
    <d v="2023-06-27T00:00:00"/>
    <d v="2023-07-10T19:47:44"/>
    <m/>
    <d v="2023-07-10T00:00:00"/>
    <n v="1832"/>
    <n v="1259"/>
    <s v="59743667"/>
    <s v="59743667"/>
    <m/>
    <m/>
    <m/>
    <m/>
    <m/>
    <m/>
    <s v="SOLRECOUP"/>
    <s v="SOLRECOUP"/>
    <s v="POARECOUP"/>
    <n v="21356903"/>
    <n v="-1010"/>
    <m/>
    <s v="Y"/>
    <n v="2"/>
    <d v="2023-07-10T19:47:46"/>
    <s v="N"/>
    <m/>
    <m/>
    <s v="Expert Disbursement"/>
    <m/>
    <s v="N"/>
    <n v="0"/>
    <n v="-168.33"/>
    <x v="2"/>
    <s v="VALIDATED"/>
    <n v="1"/>
    <s v="01.11.80.308.2013.0000"/>
    <n v="-168.33"/>
    <s v="11"/>
    <s v="2013"/>
    <n v="33249.27"/>
    <n v="-168.33"/>
    <s v="CREDITOR"/>
    <n v="0"/>
    <n v="0"/>
    <n v="-168.33"/>
    <n v="0"/>
    <n v="0"/>
  </r>
  <r>
    <n v="59428996"/>
    <s v="N"/>
    <n v="21361650"/>
    <s v="3000013869930003RC"/>
    <s v="CIVIL"/>
    <d v="2023-06-30T00:00:00"/>
    <d v="2023-07-11T19:38:00"/>
    <m/>
    <d v="2023-07-11T00:00:00"/>
    <n v="1832"/>
    <n v="1259"/>
    <s v="59428996"/>
    <s v="59428996"/>
    <m/>
    <m/>
    <m/>
    <m/>
    <m/>
    <m/>
    <s v="SOLRECOUP"/>
    <s v="SOLRECOUP"/>
    <s v="POARECOUP"/>
    <n v="21361650"/>
    <n v="-806.4"/>
    <m/>
    <s v="Y"/>
    <n v="1"/>
    <d v="2023-07-11T19:38:02"/>
    <s v="N"/>
    <m/>
    <m/>
    <s v="Expert Disbursement"/>
    <m/>
    <s v="N"/>
    <n v="-672"/>
    <n v="0"/>
    <x v="7"/>
    <s v="VALIDATED"/>
    <n v="1"/>
    <s v="01.11.80.308.2013.0000"/>
    <n v="-672"/>
    <s v="11"/>
    <s v="2013"/>
    <n v="33249.27"/>
    <n v="-672"/>
    <s v="CREDITOR"/>
    <n v="0"/>
    <n v="0"/>
    <n v="-672"/>
    <n v="0"/>
    <n v="0"/>
  </r>
  <r>
    <n v="59428996"/>
    <s v="N"/>
    <n v="21361650"/>
    <s v="3000013869930003RC"/>
    <s v="CIVIL"/>
    <d v="2023-06-30T00:00:00"/>
    <d v="2023-07-11T19:38:00"/>
    <m/>
    <d v="2023-07-11T00:00:00"/>
    <n v="1832"/>
    <n v="1259"/>
    <s v="59428996"/>
    <s v="59428996"/>
    <m/>
    <m/>
    <m/>
    <m/>
    <m/>
    <m/>
    <s v="SOLRECOUP"/>
    <s v="SOLRECOUP"/>
    <s v="POARECOUP"/>
    <n v="21361650"/>
    <n v="-806.4"/>
    <m/>
    <s v="Y"/>
    <n v="2"/>
    <d v="2023-07-11T19:38:02"/>
    <s v="N"/>
    <m/>
    <m/>
    <s v="Expert Disbursement"/>
    <m/>
    <s v="N"/>
    <n v="0"/>
    <n v="-134.4"/>
    <x v="7"/>
    <s v="VALIDATED"/>
    <n v="1"/>
    <s v="01.11.80.308.2013.0000"/>
    <n v="-134.4"/>
    <s v="11"/>
    <s v="2013"/>
    <n v="33249.27"/>
    <n v="-134.4"/>
    <s v="CREDITOR"/>
    <n v="0"/>
    <n v="0"/>
    <n v="-134.4"/>
    <n v="0"/>
    <n v="0"/>
  </r>
  <r>
    <n v="59428996"/>
    <s v="N"/>
    <n v="21361651"/>
    <s v="3000013869930004RC"/>
    <s v="CIVIL"/>
    <d v="2023-06-30T00:00:00"/>
    <d v="2023-07-11T19:38:00"/>
    <m/>
    <d v="2023-07-11T00:00:00"/>
    <n v="1832"/>
    <n v="1259"/>
    <s v="59428996"/>
    <s v="59428996"/>
    <m/>
    <m/>
    <m/>
    <m/>
    <m/>
    <m/>
    <s v="SOLRECOUP"/>
    <s v="SOLRECOUP"/>
    <s v="POARECOUP"/>
    <n v="21361651"/>
    <n v="-201.6"/>
    <m/>
    <s v="Y"/>
    <n v="1"/>
    <d v="2023-07-11T19:38:02"/>
    <s v="N"/>
    <m/>
    <m/>
    <s v="Expert Disbursement"/>
    <m/>
    <s v="N"/>
    <n v="-168"/>
    <n v="0"/>
    <x v="7"/>
    <s v="VALIDATED"/>
    <n v="1"/>
    <s v="01.11.80.308.2013.0000"/>
    <n v="-168"/>
    <s v="11"/>
    <s v="2013"/>
    <n v="33249.27"/>
    <n v="-168"/>
    <s v="CREDITOR"/>
    <n v="0"/>
    <n v="0"/>
    <n v="-168"/>
    <n v="0"/>
    <n v="0"/>
  </r>
  <r>
    <n v="59428996"/>
    <s v="N"/>
    <n v="21361651"/>
    <s v="3000013869930004RC"/>
    <s v="CIVIL"/>
    <d v="2023-06-30T00:00:00"/>
    <d v="2023-07-11T19:38:00"/>
    <m/>
    <d v="2023-07-11T00:00:00"/>
    <n v="1832"/>
    <n v="1259"/>
    <s v="59428996"/>
    <s v="59428996"/>
    <m/>
    <m/>
    <m/>
    <m/>
    <m/>
    <m/>
    <s v="SOLRECOUP"/>
    <s v="SOLRECOUP"/>
    <s v="POARECOUP"/>
    <n v="21361651"/>
    <n v="-201.6"/>
    <m/>
    <s v="Y"/>
    <n v="2"/>
    <d v="2023-07-11T19:38:02"/>
    <s v="N"/>
    <m/>
    <m/>
    <s v="Expert Disbursement"/>
    <m/>
    <s v="N"/>
    <n v="0"/>
    <n v="-33.6"/>
    <x v="7"/>
    <s v="VALIDATED"/>
    <n v="1"/>
    <s v="01.11.80.308.2013.0000"/>
    <n v="-33.6"/>
    <s v="11"/>
    <s v="2013"/>
    <n v="33249.27"/>
    <n v="-33.6"/>
    <s v="CREDITOR"/>
    <n v="0"/>
    <n v="0"/>
    <n v="-33.6"/>
    <n v="0"/>
    <n v="0"/>
  </r>
  <r>
    <n v="59801646"/>
    <s v="N"/>
    <n v="21412345"/>
    <s v="3000014174670007RC"/>
    <s v="CIVIL"/>
    <d v="2023-06-30T00:00:00"/>
    <d v="2023-07-21T19:28:22"/>
    <m/>
    <d v="2023-07-21T00:00:00"/>
    <n v="1832"/>
    <n v="1259"/>
    <s v="59801646"/>
    <s v="59801646"/>
    <m/>
    <m/>
    <m/>
    <m/>
    <m/>
    <m/>
    <s v="SOLRECOUP"/>
    <s v="SOLRECOUP"/>
    <s v="POARECOUP"/>
    <n v="21412345"/>
    <n v="-22.5"/>
    <m/>
    <s v="Y"/>
    <n v="2"/>
    <d v="2023-07-21T19:28:24"/>
    <s v="N"/>
    <m/>
    <m/>
    <s v="Non Expert Disbursement"/>
    <m/>
    <s v="N"/>
    <n v="0"/>
    <n v="-3.75"/>
    <x v="12"/>
    <s v="VALIDATED"/>
    <n v="1"/>
    <s v="01.11.80.308.2013.0000"/>
    <n v="-3.75"/>
    <s v="11"/>
    <s v="2013"/>
    <n v="33249.27"/>
    <n v="-3.75"/>
    <s v="CREDITOR"/>
    <n v="0"/>
    <n v="0"/>
    <n v="-3.75"/>
    <n v="0"/>
    <n v="0"/>
  </r>
  <r>
    <n v="59801646"/>
    <s v="N"/>
    <n v="21412345"/>
    <s v="3000014174670007RC"/>
    <s v="CIVIL"/>
    <d v="2023-06-30T00:00:00"/>
    <d v="2023-07-21T19:28:22"/>
    <m/>
    <d v="2023-07-21T00:00:00"/>
    <n v="1832"/>
    <n v="1259"/>
    <s v="59801646"/>
    <s v="59801646"/>
    <m/>
    <m/>
    <m/>
    <m/>
    <m/>
    <m/>
    <s v="SOLRECOUP"/>
    <s v="SOLRECOUP"/>
    <s v="POARECOUP"/>
    <n v="21412345"/>
    <n v="-22.5"/>
    <m/>
    <s v="Y"/>
    <n v="1"/>
    <d v="2023-07-21T19:28:24"/>
    <s v="N"/>
    <m/>
    <m/>
    <s v="Non Expert Disbursement"/>
    <m/>
    <s v="N"/>
    <n v="-18.75"/>
    <n v="0"/>
    <x v="12"/>
    <s v="VALIDATED"/>
    <n v="1"/>
    <s v="01.11.80.308.2013.0000"/>
    <n v="-18.75"/>
    <s v="11"/>
    <s v="2013"/>
    <n v="33249.27"/>
    <n v="-18.75"/>
    <s v="CREDITOR"/>
    <n v="0"/>
    <n v="0"/>
    <n v="-18.75"/>
    <n v="0"/>
    <n v="0"/>
  </r>
  <r>
    <n v="59801646"/>
    <s v="N"/>
    <n v="21412509"/>
    <s v="3000014174670008RC"/>
    <s v="CIVIL"/>
    <d v="2023-06-30T00:00:00"/>
    <d v="2023-07-21T19:28:22"/>
    <m/>
    <d v="2023-07-21T00:00:00"/>
    <n v="1832"/>
    <n v="1259"/>
    <s v="59801646"/>
    <s v="59801646"/>
    <m/>
    <m/>
    <m/>
    <m/>
    <m/>
    <m/>
    <s v="SOLRECOUP"/>
    <s v="SOLRECOUP"/>
    <s v="POARECOUP"/>
    <n v="21412509"/>
    <n v="-168.48"/>
    <m/>
    <s v="Y"/>
    <n v="1"/>
    <d v="2023-07-21T19:28:24"/>
    <s v="N"/>
    <m/>
    <m/>
    <s v="Expert Disbursement"/>
    <m/>
    <s v="N"/>
    <n v="-140.4"/>
    <n v="0"/>
    <x v="12"/>
    <s v="VALIDATED"/>
    <n v="1"/>
    <s v="01.11.80.308.2013.0000"/>
    <n v="-140.4"/>
    <s v="11"/>
    <s v="2013"/>
    <n v="33249.27"/>
    <n v="-140.4"/>
    <s v="CREDITOR"/>
    <n v="0"/>
    <n v="0"/>
    <n v="-140.4"/>
    <n v="0"/>
    <n v="0"/>
  </r>
  <r>
    <n v="59801646"/>
    <s v="N"/>
    <n v="21412509"/>
    <s v="3000014174670008RC"/>
    <s v="CIVIL"/>
    <d v="2023-06-30T00:00:00"/>
    <d v="2023-07-21T19:28:22"/>
    <m/>
    <d v="2023-07-21T00:00:00"/>
    <n v="1832"/>
    <n v="1259"/>
    <s v="59801646"/>
    <s v="59801646"/>
    <m/>
    <m/>
    <m/>
    <m/>
    <m/>
    <m/>
    <s v="SOLRECOUP"/>
    <s v="SOLRECOUP"/>
    <s v="POARECOUP"/>
    <n v="21412509"/>
    <n v="-168.48"/>
    <m/>
    <s v="Y"/>
    <n v="2"/>
    <d v="2023-07-21T19:28:24"/>
    <s v="N"/>
    <m/>
    <m/>
    <s v="Expert Disbursement"/>
    <m/>
    <s v="N"/>
    <n v="0"/>
    <n v="-28.08"/>
    <x v="12"/>
    <s v="VALIDATED"/>
    <n v="1"/>
    <s v="01.11.80.308.2013.0000"/>
    <n v="-28.08"/>
    <s v="11"/>
    <s v="2013"/>
    <n v="33249.27"/>
    <n v="-28.08"/>
    <s v="CREDITOR"/>
    <n v="0"/>
    <n v="0"/>
    <n v="-28.08"/>
    <n v="0"/>
    <n v="0"/>
  </r>
  <r>
    <n v="59801646"/>
    <s v="N"/>
    <n v="21412095"/>
    <s v="3000014174670001RC"/>
    <s v="CIVIL"/>
    <d v="2023-06-30T00:00:00"/>
    <d v="2023-07-21T19:28:22"/>
    <m/>
    <d v="2023-07-21T00:00:00"/>
    <n v="1832"/>
    <n v="1259"/>
    <s v="59801646"/>
    <s v="59801646"/>
    <m/>
    <m/>
    <m/>
    <m/>
    <m/>
    <m/>
    <s v="SOLRECOUP"/>
    <s v="SOLRECOUP"/>
    <s v="POARECOUP"/>
    <n v="21412095"/>
    <n v="-210.3"/>
    <m/>
    <s v="Y"/>
    <n v="2"/>
    <d v="2023-07-21T19:28:23"/>
    <s v="N"/>
    <m/>
    <m/>
    <s v="Expert Disbursement"/>
    <m/>
    <s v="N"/>
    <n v="0"/>
    <n v="-35.05"/>
    <x v="12"/>
    <s v="VALIDATED"/>
    <n v="1"/>
    <s v="01.11.80.308.2013.0000"/>
    <n v="-35.05"/>
    <s v="11"/>
    <s v="2013"/>
    <n v="33249.27"/>
    <n v="-35.05"/>
    <s v="CREDITOR"/>
    <n v="0"/>
    <n v="0"/>
    <n v="-35.05"/>
    <n v="0"/>
    <n v="0"/>
  </r>
  <r>
    <n v="59801646"/>
    <s v="N"/>
    <n v="21412095"/>
    <s v="3000014174670001RC"/>
    <s v="CIVIL"/>
    <d v="2023-06-30T00:00:00"/>
    <d v="2023-07-21T19:28:22"/>
    <m/>
    <d v="2023-07-21T00:00:00"/>
    <n v="1832"/>
    <n v="1259"/>
    <s v="59801646"/>
    <s v="59801646"/>
    <m/>
    <m/>
    <m/>
    <m/>
    <m/>
    <m/>
    <s v="SOLRECOUP"/>
    <s v="SOLRECOUP"/>
    <s v="POARECOUP"/>
    <n v="21412095"/>
    <n v="-210.3"/>
    <m/>
    <s v="Y"/>
    <n v="1"/>
    <d v="2023-07-21T19:28:23"/>
    <s v="N"/>
    <m/>
    <m/>
    <s v="Expert Disbursement"/>
    <m/>
    <s v="N"/>
    <n v="-175.25"/>
    <n v="0"/>
    <x v="12"/>
    <s v="VALIDATED"/>
    <n v="1"/>
    <s v="01.11.80.308.2013.0000"/>
    <n v="-175.25"/>
    <s v="11"/>
    <s v="2013"/>
    <n v="33249.27"/>
    <n v="-175.25"/>
    <s v="CREDITOR"/>
    <n v="0"/>
    <n v="0"/>
    <n v="-175.25"/>
    <n v="0"/>
    <n v="0"/>
  </r>
  <r>
    <n v="59801646"/>
    <s v="N"/>
    <n v="21412100"/>
    <s v="3000014174670002RC"/>
    <s v="CIVIL"/>
    <d v="2023-06-30T00:00:00"/>
    <d v="2023-07-21T19:28:22"/>
    <m/>
    <d v="2023-07-21T00:00:00"/>
    <n v="1832"/>
    <n v="1259"/>
    <s v="59801646"/>
    <s v="59801646"/>
    <m/>
    <m/>
    <m/>
    <m/>
    <m/>
    <m/>
    <s v="SOLRECOUP"/>
    <s v="SOLRECOUP"/>
    <s v="POARECOUP"/>
    <n v="21412100"/>
    <n v="-208.5"/>
    <m/>
    <s v="Y"/>
    <n v="1"/>
    <d v="2023-07-21T19:28:23"/>
    <s v="N"/>
    <m/>
    <m/>
    <s v="Expert Disbursement"/>
    <m/>
    <s v="N"/>
    <n v="-173.75"/>
    <n v="0"/>
    <x v="12"/>
    <s v="VALIDATED"/>
    <n v="1"/>
    <s v="01.11.80.308.2013.0000"/>
    <n v="-173.75"/>
    <s v="11"/>
    <s v="2013"/>
    <n v="33249.27"/>
    <n v="-173.75"/>
    <s v="CREDITOR"/>
    <n v="0"/>
    <n v="0"/>
    <n v="-173.75"/>
    <n v="0"/>
    <n v="0"/>
  </r>
  <r>
    <n v="59801646"/>
    <s v="N"/>
    <n v="21412100"/>
    <s v="3000014174670002RC"/>
    <s v="CIVIL"/>
    <d v="2023-06-30T00:00:00"/>
    <d v="2023-07-21T19:28:22"/>
    <m/>
    <d v="2023-07-21T00:00:00"/>
    <n v="1832"/>
    <n v="1259"/>
    <s v="59801646"/>
    <s v="59801646"/>
    <m/>
    <m/>
    <m/>
    <m/>
    <m/>
    <m/>
    <s v="SOLRECOUP"/>
    <s v="SOLRECOUP"/>
    <s v="POARECOUP"/>
    <n v="21412100"/>
    <n v="-208.5"/>
    <m/>
    <s v="Y"/>
    <n v="2"/>
    <d v="2023-07-21T19:28:23"/>
    <s v="N"/>
    <m/>
    <m/>
    <s v="Expert Disbursement"/>
    <m/>
    <s v="N"/>
    <n v="0"/>
    <n v="-34.75"/>
    <x v="12"/>
    <s v="VALIDATED"/>
    <n v="1"/>
    <s v="01.11.80.308.2013.0000"/>
    <n v="-34.75"/>
    <s v="11"/>
    <s v="2013"/>
    <n v="33249.27"/>
    <n v="-34.75"/>
    <s v="CREDITOR"/>
    <n v="0"/>
    <n v="0"/>
    <n v="-34.75"/>
    <n v="0"/>
    <n v="0"/>
  </r>
  <r>
    <n v="59801646"/>
    <s v="N"/>
    <n v="21412110"/>
    <s v="3000014174670003RC"/>
    <s v="CIVIL"/>
    <d v="2023-06-30T00:00:00"/>
    <d v="2023-07-21T19:28:22"/>
    <m/>
    <d v="2023-07-21T00:00:00"/>
    <n v="1832"/>
    <n v="1259"/>
    <s v="59801646"/>
    <s v="59801646"/>
    <m/>
    <m/>
    <m/>
    <m/>
    <m/>
    <m/>
    <s v="SOLRECOUP"/>
    <s v="SOLRECOUP"/>
    <s v="POARECOUP"/>
    <n v="21412110"/>
    <n v="-112.5"/>
    <m/>
    <s v="Y"/>
    <n v="1"/>
    <d v="2023-07-21T19:28:23"/>
    <s v="N"/>
    <m/>
    <m/>
    <s v="Expert Disbursement"/>
    <m/>
    <s v="N"/>
    <n v="-93.75"/>
    <n v="0"/>
    <x v="12"/>
    <s v="VALIDATED"/>
    <n v="1"/>
    <s v="01.11.80.308.2013.0000"/>
    <n v="-93.75"/>
    <s v="11"/>
    <s v="2013"/>
    <n v="33249.27"/>
    <n v="-93.75"/>
    <s v="CREDITOR"/>
    <n v="0"/>
    <n v="0"/>
    <n v="-93.75"/>
    <n v="0"/>
    <n v="0"/>
  </r>
  <r>
    <n v="59801646"/>
    <s v="N"/>
    <n v="21412110"/>
    <s v="3000014174670003RC"/>
    <s v="CIVIL"/>
    <d v="2023-06-30T00:00:00"/>
    <d v="2023-07-21T19:28:22"/>
    <m/>
    <d v="2023-07-21T00:00:00"/>
    <n v="1832"/>
    <n v="1259"/>
    <s v="59801646"/>
    <s v="59801646"/>
    <m/>
    <m/>
    <m/>
    <m/>
    <m/>
    <m/>
    <s v="SOLRECOUP"/>
    <s v="SOLRECOUP"/>
    <s v="POARECOUP"/>
    <n v="21412110"/>
    <n v="-112.5"/>
    <m/>
    <s v="Y"/>
    <n v="2"/>
    <d v="2023-07-21T19:28:23"/>
    <s v="N"/>
    <m/>
    <m/>
    <s v="Expert Disbursement"/>
    <m/>
    <s v="N"/>
    <n v="0"/>
    <n v="-18.75"/>
    <x v="12"/>
    <s v="VALIDATED"/>
    <n v="1"/>
    <s v="01.11.80.308.2013.0000"/>
    <n v="-18.75"/>
    <s v="11"/>
    <s v="2013"/>
    <n v="33249.27"/>
    <n v="-18.75"/>
    <s v="CREDITOR"/>
    <n v="0"/>
    <n v="0"/>
    <n v="-18.75"/>
    <n v="0"/>
    <n v="0"/>
  </r>
  <r>
    <n v="59801646"/>
    <s v="N"/>
    <n v="21412124"/>
    <s v="3000014174670004RC"/>
    <s v="CIVIL"/>
    <d v="2023-06-30T00:00:00"/>
    <d v="2023-07-21T19:28:22"/>
    <m/>
    <d v="2023-07-21T00:00:00"/>
    <n v="1832"/>
    <n v="1259"/>
    <s v="59801646"/>
    <s v="59801646"/>
    <m/>
    <m/>
    <m/>
    <m/>
    <m/>
    <m/>
    <s v="SOLRECOUP"/>
    <s v="SOLRECOUP"/>
    <s v="POARECOUP"/>
    <n v="21412124"/>
    <n v="-926.64"/>
    <m/>
    <s v="Y"/>
    <n v="1"/>
    <d v="2023-07-21T19:28:23"/>
    <s v="N"/>
    <m/>
    <m/>
    <s v="Expert Disbursement"/>
    <m/>
    <s v="N"/>
    <n v="-772.2"/>
    <n v="0"/>
    <x v="12"/>
    <s v="VALIDATED"/>
    <n v="1"/>
    <s v="01.11.80.308.2013.0000"/>
    <n v="-772.2"/>
    <s v="11"/>
    <s v="2013"/>
    <n v="33249.27"/>
    <n v="-772.2"/>
    <s v="CREDITOR"/>
    <n v="0"/>
    <n v="0"/>
    <n v="-772.2"/>
    <n v="0"/>
    <n v="0"/>
  </r>
  <r>
    <n v="59801646"/>
    <s v="N"/>
    <n v="21412124"/>
    <s v="3000014174670004RC"/>
    <s v="CIVIL"/>
    <d v="2023-06-30T00:00:00"/>
    <d v="2023-07-21T19:28:22"/>
    <m/>
    <d v="2023-07-21T00:00:00"/>
    <n v="1832"/>
    <n v="1259"/>
    <s v="59801646"/>
    <s v="59801646"/>
    <m/>
    <m/>
    <m/>
    <m/>
    <m/>
    <m/>
    <s v="SOLRECOUP"/>
    <s v="SOLRECOUP"/>
    <s v="POARECOUP"/>
    <n v="21412124"/>
    <n v="-926.64"/>
    <m/>
    <s v="Y"/>
    <n v="2"/>
    <d v="2023-07-21T19:28:23"/>
    <s v="N"/>
    <m/>
    <m/>
    <s v="Expert Disbursement"/>
    <m/>
    <s v="N"/>
    <n v="0"/>
    <n v="-154.44"/>
    <x v="12"/>
    <s v="VALIDATED"/>
    <n v="1"/>
    <s v="01.11.80.308.2013.0000"/>
    <n v="-154.44"/>
    <s v="11"/>
    <s v="2013"/>
    <n v="33249.27"/>
    <n v="-154.44"/>
    <s v="CREDITOR"/>
    <n v="0"/>
    <n v="0"/>
    <n v="-154.44"/>
    <n v="0"/>
    <n v="0"/>
  </r>
  <r>
    <n v="59801646"/>
    <s v="N"/>
    <n v="21412179"/>
    <s v="3000014174670005RC"/>
    <s v="CIVIL"/>
    <d v="2023-06-30T00:00:00"/>
    <d v="2023-07-21T19:28:22"/>
    <m/>
    <d v="2023-07-21T00:00:00"/>
    <n v="1832"/>
    <n v="1259"/>
    <s v="59801646"/>
    <s v="59801646"/>
    <m/>
    <m/>
    <m/>
    <m/>
    <m/>
    <m/>
    <s v="SOLRECOUP"/>
    <s v="SOLRECOUP"/>
    <s v="POARECOUP"/>
    <n v="21412179"/>
    <n v="-234"/>
    <m/>
    <s v="Y"/>
    <n v="2"/>
    <d v="2023-07-21T19:28:23"/>
    <s v="N"/>
    <m/>
    <m/>
    <s v="Expert Disbursement"/>
    <m/>
    <s v="N"/>
    <n v="0"/>
    <n v="-39"/>
    <x v="12"/>
    <s v="VALIDATED"/>
    <n v="1"/>
    <s v="01.11.80.308.2013.0000"/>
    <n v="-39"/>
    <s v="11"/>
    <s v="2013"/>
    <n v="33249.27"/>
    <n v="-39"/>
    <s v="CREDITOR"/>
    <n v="0"/>
    <n v="0"/>
    <n v="-39"/>
    <n v="0"/>
    <n v="0"/>
  </r>
  <r>
    <n v="59801646"/>
    <s v="N"/>
    <n v="21412179"/>
    <s v="3000014174670005RC"/>
    <s v="CIVIL"/>
    <d v="2023-06-30T00:00:00"/>
    <d v="2023-07-21T19:28:22"/>
    <m/>
    <d v="2023-07-21T00:00:00"/>
    <n v="1832"/>
    <n v="1259"/>
    <s v="59801646"/>
    <s v="59801646"/>
    <m/>
    <m/>
    <m/>
    <m/>
    <m/>
    <m/>
    <s v="SOLRECOUP"/>
    <s v="SOLRECOUP"/>
    <s v="POARECOUP"/>
    <n v="21412179"/>
    <n v="-234"/>
    <m/>
    <s v="Y"/>
    <n v="1"/>
    <d v="2023-07-21T19:28:23"/>
    <s v="N"/>
    <m/>
    <m/>
    <s v="Expert Disbursement"/>
    <m/>
    <s v="N"/>
    <n v="-195"/>
    <n v="0"/>
    <x v="12"/>
    <s v="VALIDATED"/>
    <n v="1"/>
    <s v="01.11.80.308.2013.0000"/>
    <n v="-195"/>
    <s v="11"/>
    <s v="2013"/>
    <n v="33249.27"/>
    <n v="-195"/>
    <s v="CREDITOR"/>
    <n v="0"/>
    <n v="0"/>
    <n v="-195"/>
    <n v="0"/>
    <n v="0"/>
  </r>
  <r>
    <n v="59801646"/>
    <s v="N"/>
    <n v="21412190"/>
    <s v="3000014174670006RC"/>
    <s v="CIVIL"/>
    <d v="2023-06-30T00:00:00"/>
    <d v="2023-07-21T19:28:22"/>
    <m/>
    <d v="2023-07-21T00:00:00"/>
    <n v="1832"/>
    <n v="1259"/>
    <s v="59801646"/>
    <s v="59801646"/>
    <m/>
    <m/>
    <m/>
    <m/>
    <m/>
    <m/>
    <s v="SOLRECOUP"/>
    <s v="SOLRECOUP"/>
    <s v="POARECOUP"/>
    <n v="21412190"/>
    <n v="-259.2"/>
    <m/>
    <s v="Y"/>
    <n v="1"/>
    <d v="2023-07-21T19:28:23"/>
    <s v="N"/>
    <m/>
    <m/>
    <s v="Expert Disbursement"/>
    <m/>
    <s v="N"/>
    <n v="-216"/>
    <n v="0"/>
    <x v="12"/>
    <s v="VALIDATED"/>
    <n v="1"/>
    <s v="01.11.80.308.2013.0000"/>
    <n v="-216"/>
    <s v="11"/>
    <s v="2013"/>
    <n v="33249.27"/>
    <n v="-216"/>
    <s v="CREDITOR"/>
    <n v="0"/>
    <n v="0"/>
    <n v="-216"/>
    <n v="0"/>
    <n v="0"/>
  </r>
  <r>
    <n v="59801646"/>
    <s v="N"/>
    <n v="21412190"/>
    <s v="3000014174670006RC"/>
    <s v="CIVIL"/>
    <d v="2023-06-30T00:00:00"/>
    <d v="2023-07-21T19:28:22"/>
    <m/>
    <d v="2023-07-21T00:00:00"/>
    <n v="1832"/>
    <n v="1259"/>
    <s v="59801646"/>
    <s v="59801646"/>
    <m/>
    <m/>
    <m/>
    <m/>
    <m/>
    <m/>
    <s v="SOLRECOUP"/>
    <s v="SOLRECOUP"/>
    <s v="POARECOUP"/>
    <n v="21412190"/>
    <n v="-259.2"/>
    <m/>
    <s v="Y"/>
    <n v="2"/>
    <d v="2023-07-21T19:28:23"/>
    <s v="N"/>
    <m/>
    <m/>
    <s v="Expert Disbursement"/>
    <m/>
    <s v="N"/>
    <n v="0"/>
    <n v="-43.2"/>
    <x v="12"/>
    <s v="VALIDATED"/>
    <n v="1"/>
    <s v="01.11.80.308.2013.0000"/>
    <n v="-43.2"/>
    <s v="11"/>
    <s v="2013"/>
    <n v="33249.27"/>
    <n v="-43.2"/>
    <s v="CREDITOR"/>
    <n v="0"/>
    <n v="0"/>
    <n v="-43.2"/>
    <n v="0"/>
    <n v="0"/>
  </r>
  <r>
    <n v="59675906"/>
    <s v="N"/>
    <n v="21378323"/>
    <s v="3000014067140001RC"/>
    <s v="CIVIL"/>
    <d v="2023-06-19T00:00:00"/>
    <d v="2023-07-14T19:33:52"/>
    <m/>
    <d v="2023-07-14T00:00:00"/>
    <n v="1832"/>
    <n v="1259"/>
    <s v="59675906"/>
    <s v="59675906"/>
    <m/>
    <m/>
    <m/>
    <m/>
    <m/>
    <m/>
    <s v="SOLRECOUP"/>
    <s v="SOLRECOUP"/>
    <s v="POARECOUP"/>
    <n v="21378323"/>
    <n v="-332.16"/>
    <m/>
    <s v="Y"/>
    <n v="1"/>
    <d v="2023-07-14T19:33:53"/>
    <s v="N"/>
    <m/>
    <m/>
    <s v="Expert Disbursement"/>
    <m/>
    <s v="N"/>
    <n v="-276.8"/>
    <n v="0"/>
    <x v="10"/>
    <s v="VALIDATED"/>
    <n v="1"/>
    <s v="01.11.80.308.2013.0000"/>
    <n v="-276.8"/>
    <s v="11"/>
    <s v="2013"/>
    <n v="33249.27"/>
    <n v="-276.8"/>
    <s v="CREDITOR"/>
    <n v="0"/>
    <n v="0"/>
    <n v="-276.8"/>
    <n v="0"/>
    <n v="0"/>
  </r>
  <r>
    <n v="59675906"/>
    <s v="N"/>
    <n v="21378323"/>
    <s v="3000014067140001RC"/>
    <s v="CIVIL"/>
    <d v="2023-06-19T00:00:00"/>
    <d v="2023-07-14T19:33:52"/>
    <m/>
    <d v="2023-07-14T00:00:00"/>
    <n v="1832"/>
    <n v="1259"/>
    <s v="59675906"/>
    <s v="59675906"/>
    <m/>
    <m/>
    <m/>
    <m/>
    <m/>
    <m/>
    <s v="SOLRECOUP"/>
    <s v="SOLRECOUP"/>
    <s v="POARECOUP"/>
    <n v="21378323"/>
    <n v="-332.16"/>
    <m/>
    <s v="Y"/>
    <n v="2"/>
    <d v="2023-07-14T19:33:53"/>
    <s v="N"/>
    <m/>
    <m/>
    <s v="Expert Disbursement"/>
    <m/>
    <s v="N"/>
    <n v="0"/>
    <n v="-55.36"/>
    <x v="10"/>
    <s v="VALIDATED"/>
    <n v="1"/>
    <s v="01.11.80.308.2013.0000"/>
    <n v="-55.36"/>
    <s v="11"/>
    <s v="2013"/>
    <n v="33249.27"/>
    <n v="-55.36"/>
    <s v="CREDITOR"/>
    <n v="0"/>
    <n v="0"/>
    <n v="-55.36"/>
    <n v="0"/>
    <n v="0"/>
  </r>
  <r>
    <n v="59675906"/>
    <s v="N"/>
    <n v="21378324"/>
    <s v="3000014067140005RC"/>
    <s v="CIVIL"/>
    <d v="2023-06-19T00:00:00"/>
    <d v="2023-07-14T19:33:52"/>
    <m/>
    <d v="2023-07-14T00:00:00"/>
    <n v="1832"/>
    <n v="1259"/>
    <s v="59675906"/>
    <s v="59675906"/>
    <m/>
    <m/>
    <m/>
    <m/>
    <m/>
    <m/>
    <s v="SOLRECOUP"/>
    <s v="SOLRECOUP"/>
    <s v="POARECOUP"/>
    <n v="21378324"/>
    <n v="-40"/>
    <m/>
    <s v="Y"/>
    <n v="2"/>
    <d v="2023-07-14T19:33:53"/>
    <s v="N"/>
    <m/>
    <m/>
    <s v="Expert Disbursement"/>
    <m/>
    <s v="N"/>
    <n v="0"/>
    <n v="-6.67"/>
    <x v="10"/>
    <s v="VALIDATED"/>
    <n v="1"/>
    <s v="01.11.80.308.2013.0000"/>
    <n v="-6.67"/>
    <s v="11"/>
    <s v="2013"/>
    <n v="33249.27"/>
    <n v="-6.67"/>
    <s v="CREDITOR"/>
    <n v="0"/>
    <n v="0"/>
    <n v="-6.67"/>
    <n v="0"/>
    <n v="0"/>
  </r>
  <r>
    <n v="59675906"/>
    <s v="N"/>
    <n v="21378324"/>
    <s v="3000014067140005RC"/>
    <s v="CIVIL"/>
    <d v="2023-06-19T00:00:00"/>
    <d v="2023-07-14T19:33:52"/>
    <m/>
    <d v="2023-07-14T00:00:00"/>
    <n v="1832"/>
    <n v="1259"/>
    <s v="59675906"/>
    <s v="59675906"/>
    <m/>
    <m/>
    <m/>
    <m/>
    <m/>
    <m/>
    <s v="SOLRECOUP"/>
    <s v="SOLRECOUP"/>
    <s v="POARECOUP"/>
    <n v="21378324"/>
    <n v="-40"/>
    <m/>
    <s v="Y"/>
    <n v="1"/>
    <d v="2023-07-14T19:33:53"/>
    <s v="N"/>
    <m/>
    <m/>
    <s v="Expert Disbursement"/>
    <m/>
    <s v="N"/>
    <n v="-33.33"/>
    <n v="0"/>
    <x v="10"/>
    <s v="VALIDATED"/>
    <n v="1"/>
    <s v="01.11.80.308.2013.0000"/>
    <n v="-33.33"/>
    <s v="11"/>
    <s v="2013"/>
    <n v="33249.27"/>
    <n v="-33.33"/>
    <s v="CREDITOR"/>
    <n v="0"/>
    <n v="0"/>
    <n v="-33.33"/>
    <n v="0"/>
    <n v="0"/>
  </r>
  <r>
    <n v="59675906"/>
    <s v="N"/>
    <n v="21378325"/>
    <s v="3000014067140003RC"/>
    <s v="CIVIL"/>
    <d v="2023-06-19T00:00:00"/>
    <d v="2023-07-14T19:33:52"/>
    <m/>
    <d v="2023-07-14T00:00:00"/>
    <n v="1832"/>
    <n v="1259"/>
    <s v="59675906"/>
    <s v="59675906"/>
    <m/>
    <m/>
    <m/>
    <m/>
    <m/>
    <m/>
    <s v="SOLRECOUP"/>
    <s v="SOLRECOUP"/>
    <s v="POARECOUP"/>
    <n v="21378325"/>
    <n v="-432"/>
    <m/>
    <s v="Y"/>
    <n v="2"/>
    <d v="2023-07-14T19:33:53"/>
    <s v="N"/>
    <m/>
    <m/>
    <s v="Expert Disbursement"/>
    <m/>
    <s v="N"/>
    <n v="0"/>
    <n v="-72"/>
    <x v="10"/>
    <s v="VALIDATED"/>
    <n v="1"/>
    <s v="01.11.80.308.2013.0000"/>
    <n v="-72"/>
    <s v="11"/>
    <s v="2013"/>
    <n v="33249.27"/>
    <n v="-72"/>
    <s v="CREDITOR"/>
    <n v="0"/>
    <n v="0"/>
    <n v="-72"/>
    <n v="0"/>
    <n v="0"/>
  </r>
  <r>
    <n v="59675906"/>
    <s v="N"/>
    <n v="21378325"/>
    <s v="3000014067140003RC"/>
    <s v="CIVIL"/>
    <d v="2023-06-19T00:00:00"/>
    <d v="2023-07-14T19:33:52"/>
    <m/>
    <d v="2023-07-14T00:00:00"/>
    <n v="1832"/>
    <n v="1259"/>
    <s v="59675906"/>
    <s v="59675906"/>
    <m/>
    <m/>
    <m/>
    <m/>
    <m/>
    <m/>
    <s v="SOLRECOUP"/>
    <s v="SOLRECOUP"/>
    <s v="POARECOUP"/>
    <n v="21378325"/>
    <n v="-432"/>
    <m/>
    <s v="Y"/>
    <n v="1"/>
    <d v="2023-07-14T19:33:53"/>
    <s v="N"/>
    <m/>
    <m/>
    <s v="Expert Disbursement"/>
    <m/>
    <s v="N"/>
    <n v="-360"/>
    <n v="0"/>
    <x v="10"/>
    <s v="VALIDATED"/>
    <n v="1"/>
    <s v="01.11.80.308.2013.0000"/>
    <n v="-360"/>
    <s v="11"/>
    <s v="2013"/>
    <n v="33249.27"/>
    <n v="-360"/>
    <s v="CREDITOR"/>
    <n v="0"/>
    <n v="0"/>
    <n v="-360"/>
    <n v="0"/>
    <n v="0"/>
  </r>
  <r>
    <n v="59675906"/>
    <s v="N"/>
    <n v="21378326"/>
    <s v="3000014067140002RC"/>
    <s v="CIVIL"/>
    <d v="2023-06-19T00:00:00"/>
    <d v="2023-07-14T19:33:52"/>
    <m/>
    <d v="2023-07-14T00:00:00"/>
    <n v="1832"/>
    <n v="1259"/>
    <s v="59675906"/>
    <s v="59675906"/>
    <m/>
    <m/>
    <m/>
    <m/>
    <m/>
    <m/>
    <s v="SOLRECOUP"/>
    <s v="SOLRECOUP"/>
    <s v="POARECOUP"/>
    <n v="21378326"/>
    <n v="-189.6"/>
    <m/>
    <s v="Y"/>
    <n v="2"/>
    <d v="2023-07-14T19:33:53"/>
    <s v="N"/>
    <m/>
    <m/>
    <s v="Expert Disbursement"/>
    <m/>
    <s v="N"/>
    <n v="0"/>
    <n v="-31.6"/>
    <x v="10"/>
    <s v="VALIDATED"/>
    <n v="1"/>
    <s v="01.11.80.308.2013.0000"/>
    <n v="-31.6"/>
    <s v="11"/>
    <s v="2013"/>
    <n v="33249.27"/>
    <n v="-31.6"/>
    <s v="CREDITOR"/>
    <n v="0"/>
    <n v="0"/>
    <n v="-31.6"/>
    <n v="0"/>
    <n v="0"/>
  </r>
  <r>
    <n v="59675906"/>
    <s v="N"/>
    <n v="21378326"/>
    <s v="3000014067140002RC"/>
    <s v="CIVIL"/>
    <d v="2023-06-19T00:00:00"/>
    <d v="2023-07-14T19:33:52"/>
    <m/>
    <d v="2023-07-14T00:00:00"/>
    <n v="1832"/>
    <n v="1259"/>
    <s v="59675906"/>
    <s v="59675906"/>
    <m/>
    <m/>
    <m/>
    <m/>
    <m/>
    <m/>
    <s v="SOLRECOUP"/>
    <s v="SOLRECOUP"/>
    <s v="POARECOUP"/>
    <n v="21378326"/>
    <n v="-189.6"/>
    <m/>
    <s v="Y"/>
    <n v="1"/>
    <d v="2023-07-14T19:33:53"/>
    <s v="N"/>
    <m/>
    <m/>
    <s v="Expert Disbursement"/>
    <m/>
    <s v="N"/>
    <n v="-158"/>
    <n v="0"/>
    <x v="10"/>
    <s v="VALIDATED"/>
    <n v="1"/>
    <s v="01.11.80.308.2013.0000"/>
    <n v="-158"/>
    <s v="11"/>
    <s v="2013"/>
    <n v="33249.27"/>
    <n v="-158"/>
    <s v="CREDITOR"/>
    <n v="0"/>
    <n v="0"/>
    <n v="-158"/>
    <n v="0"/>
    <n v="0"/>
  </r>
  <r>
    <n v="59801646"/>
    <s v="N"/>
    <n v="21408733"/>
    <s v="3000014174670010"/>
    <s v="CIVIL"/>
    <d v="2023-06-30T00:00:00"/>
    <d v="2023-07-21T10:00:02"/>
    <m/>
    <d v="2023-07-21T00:00:00"/>
    <n v="1832"/>
    <n v="1259"/>
    <s v="59801646"/>
    <s v="59801646"/>
    <m/>
    <m/>
    <n v="22801554"/>
    <m/>
    <m/>
    <m/>
    <s v="SOLFIN"/>
    <s v="SOLFIN"/>
    <s v="CCMS"/>
    <n v="21408733"/>
    <n v="23465.88"/>
    <m/>
    <s v="N"/>
    <n v="45"/>
    <d v="2023-07-21T10:00:09"/>
    <s v="Y"/>
    <s v="Preparation - other"/>
    <s v="Care Remuneration Hourly Rates"/>
    <s v="Profit Cost"/>
    <s v="Myria Pieri"/>
    <s v="Y"/>
    <n v="40.05"/>
    <n v="8.01"/>
    <x v="12"/>
    <s v="VALIDATED"/>
    <n v="1"/>
    <s v="01.11.80.308.6100.0000"/>
    <n v="40.05"/>
    <s v="11"/>
    <s v="6100"/>
    <n v="33249.27"/>
    <n v="40.05"/>
    <s v="CREDITOR"/>
    <n v="0"/>
    <n v="0"/>
    <n v="0"/>
    <n v="0"/>
    <n v="40.05"/>
  </r>
  <r>
    <n v="59743667"/>
    <s v="N"/>
    <n v="21349286"/>
    <s v="3000014122640008"/>
    <s v="CIVIL"/>
    <d v="2023-06-27T00:00:00"/>
    <d v="2023-07-10T19:01:40"/>
    <m/>
    <d v="2023-07-10T00:00:00"/>
    <n v="1832"/>
    <n v="1259"/>
    <s v="59743667"/>
    <s v="59743667"/>
    <m/>
    <m/>
    <n v="22769622"/>
    <m/>
    <m/>
    <m/>
    <s v="SOLFIN"/>
    <s v="SOLFIN"/>
    <s v="CCMS"/>
    <n v="21349286"/>
    <n v="14585.88"/>
    <m/>
    <s v="N"/>
    <n v="25"/>
    <d v="2023-07-10T19:01:43"/>
    <s v="Y"/>
    <s v="Routine Letter In"/>
    <s v="Care Remuneration Hourly Rates"/>
    <s v="Profit Cost"/>
    <s v="Myria Pieri"/>
    <s v="Y"/>
    <n v="714.84"/>
    <n v="142.96"/>
    <x v="2"/>
    <s v="VALIDATED"/>
    <n v="1"/>
    <s v="01.11.80.308.6100.0000"/>
    <n v="714.84"/>
    <s v="11"/>
    <s v="6100"/>
    <n v="33249.27"/>
    <n v="714.84"/>
    <s v="CREDITOR"/>
    <n v="0"/>
    <n v="0"/>
    <n v="0"/>
    <n v="0"/>
    <n v="714.84"/>
  </r>
  <r>
    <n v="59743667"/>
    <s v="N"/>
    <n v="21349286"/>
    <s v="3000014122640008"/>
    <s v="CIVIL"/>
    <d v="2023-06-27T00:00:00"/>
    <d v="2023-07-10T19:01:40"/>
    <m/>
    <d v="2023-07-10T00:00:00"/>
    <n v="1832"/>
    <n v="1259"/>
    <s v="59743667"/>
    <s v="59743667"/>
    <m/>
    <m/>
    <n v="22769622"/>
    <m/>
    <m/>
    <m/>
    <s v="SOLFIN"/>
    <s v="SOLFIN"/>
    <s v="CCMS"/>
    <n v="21349286"/>
    <n v="14585.88"/>
    <m/>
    <s v="N"/>
    <n v="39"/>
    <d v="2023-07-10T19:01:43"/>
    <s v="Y"/>
    <s v="Report - Medical report"/>
    <s v="Care Remuneration Hourly Rates"/>
    <s v="Profit Cost"/>
    <s v="Myria Pieri"/>
    <s v="Y"/>
    <n v="40.05"/>
    <n v="8.01"/>
    <x v="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30"/>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42"/>
    <d v="2023-07-21T10:00:09"/>
    <s v="Y"/>
    <s v="Preparation - other"/>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39"/>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37"/>
    <d v="2023-07-10T19:01:43"/>
    <s v="Y"/>
    <s v="Preparation - other"/>
    <s v="Care Remuneration Hourly Rates"/>
    <s v="Profit Cost"/>
    <s v="Myria Pieri"/>
    <s v="Y"/>
    <n v="12.71"/>
    <n v="2.54"/>
    <x v="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55"/>
    <d v="2023-07-10T19:01:43"/>
    <s v="Y"/>
    <s v="Preparation - drafting consent orde"/>
    <s v="Care Remuneration Hourly Rates"/>
    <s v="Profit Cost"/>
    <s v="Myria Pieri"/>
    <s v="Y"/>
    <n v="16.02"/>
    <n v="3.2"/>
    <x v="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63"/>
    <d v="2023-07-10T19:01:43"/>
    <s v="Y"/>
    <s v="Preparation - other"/>
    <s v="Care Remuneration Hourly Rates"/>
    <s v="Profit Cost"/>
    <s v="Myria Pieri"/>
    <s v="Y"/>
    <n v="136.17"/>
    <n v="27.23"/>
    <x v="2"/>
    <s v="VALIDATED"/>
    <n v="1"/>
    <s v="01.11.80.308.6100.0000"/>
    <n v="136.17"/>
    <s v="11"/>
    <s v="6100"/>
    <n v="33249.27"/>
    <n v="136.17"/>
    <s v="CREDITOR"/>
    <n v="0"/>
    <n v="0"/>
    <n v="0"/>
    <n v="0"/>
    <n v="136.17"/>
  </r>
  <r>
    <n v="59743667"/>
    <s v="N"/>
    <n v="21349286"/>
    <s v="3000014122640008"/>
    <s v="CIVIL"/>
    <d v="2023-06-27T00:00:00"/>
    <d v="2023-07-10T19:01:40"/>
    <m/>
    <d v="2023-07-10T00:00:00"/>
    <n v="1832"/>
    <n v="1259"/>
    <s v="59743667"/>
    <s v="59743667"/>
    <m/>
    <m/>
    <n v="22769622"/>
    <m/>
    <m/>
    <m/>
    <s v="SOLFIN"/>
    <s v="SOLFIN"/>
    <s v="CCMS"/>
    <n v="21349286"/>
    <n v="14585.88"/>
    <m/>
    <s v="N"/>
    <n v="7"/>
    <d v="2023-07-10T19:01:43"/>
    <s v="Y"/>
    <s v="Preparation - other"/>
    <s v="Care Remuneration Hourly Rates"/>
    <s v="Profit Cost"/>
    <s v="Myria Pieri"/>
    <s v="Y"/>
    <n v="160.2"/>
    <n v="32.04"/>
    <x v="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66"/>
    <d v="2023-07-21T10:00:09"/>
    <s v="Y"/>
    <s v="Preparation - other"/>
    <s v="Care Remuneration Hourly Rates"/>
    <s v="Profit Cost"/>
    <s v="Myria Pieri"/>
    <s v="Y"/>
    <n v="48.05"/>
    <n v="9.609999999999999"/>
    <x v="12"/>
    <s v="VALIDATED"/>
    <n v="1"/>
    <s v="01.11.80.308.6100.0000"/>
    <n v="48.05"/>
    <s v="11"/>
    <s v="6100"/>
    <n v="33249.27"/>
    <n v="48.05"/>
    <s v="CREDITOR"/>
    <n v="0"/>
    <n v="0"/>
    <n v="0"/>
    <n v="0"/>
    <n v="48.05"/>
  </r>
  <r>
    <n v="59801646"/>
    <s v="N"/>
    <n v="21408733"/>
    <s v="3000014174670010"/>
    <s v="CIVIL"/>
    <d v="2023-06-30T00:00:00"/>
    <d v="2023-07-21T10:00:02"/>
    <m/>
    <d v="2023-07-21T00:00:00"/>
    <n v="1832"/>
    <n v="1259"/>
    <s v="59801646"/>
    <s v="59801646"/>
    <m/>
    <m/>
    <n v="22801554"/>
    <m/>
    <m/>
    <m/>
    <s v="SOLFIN"/>
    <s v="SOLFIN"/>
    <s v="CCMS"/>
    <n v="21408733"/>
    <n v="23465.88"/>
    <m/>
    <s v="N"/>
    <n v="7"/>
    <d v="2023-07-21T10:00:09"/>
    <s v="Y"/>
    <s v="Toxicologist"/>
    <s v="Public Law Children"/>
    <s v="Expert Disbursement"/>
    <s v="Myria Pieri"/>
    <s v="Y"/>
    <n v="173.75"/>
    <n v="34.75"/>
    <x v="12"/>
    <s v="VALIDATED"/>
    <n v="1"/>
    <s v="01.11.80.308.6300.0000"/>
    <n v="173.75"/>
    <s v="11"/>
    <s v="6300"/>
    <n v="33249.27"/>
    <n v="173.75"/>
    <s v="CREDITOR"/>
    <n v="0"/>
    <n v="0"/>
    <n v="0"/>
    <n v="0"/>
    <n v="173.75"/>
  </r>
  <r>
    <n v="59801646"/>
    <s v="N"/>
    <n v="21408733"/>
    <s v="3000014174670010"/>
    <s v="CIVIL"/>
    <d v="2023-06-30T00:00:00"/>
    <d v="2023-07-21T10:00:02"/>
    <m/>
    <d v="2023-07-21T00:00:00"/>
    <n v="1832"/>
    <n v="1259"/>
    <s v="59801646"/>
    <s v="59801646"/>
    <m/>
    <m/>
    <n v="22801554"/>
    <m/>
    <m/>
    <m/>
    <s v="SOLFIN"/>
    <s v="SOLFIN"/>
    <s v="CCMS"/>
    <n v="21408733"/>
    <n v="23465.88"/>
    <m/>
    <s v="N"/>
    <n v="133"/>
    <d v="2023-07-21T10:00:09"/>
    <s v="Y"/>
    <s v="Preparation - other"/>
    <s v="Care Remuneration Hourly Rates"/>
    <s v="Profit Cost"/>
    <s v="Myria Pieri"/>
    <s v="Y"/>
    <n v="32.05"/>
    <n v="6.41"/>
    <x v="1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12"/>
    <d v="2023-07-10T19:01:43"/>
    <s v="Y"/>
    <s v="Preparation - other"/>
    <s v="Care Remuneration Hourly Rates"/>
    <s v="Profit Cost"/>
    <s v="Myria Pieri"/>
    <s v="Y"/>
    <n v="18.28"/>
    <n v="3.66"/>
    <x v="2"/>
    <s v="VALIDATED"/>
    <n v="1"/>
    <s v="01.11.80.308.6100.0000"/>
    <n v="18.28"/>
    <s v="11"/>
    <s v="6100"/>
    <n v="33249.27"/>
    <n v="18.28"/>
    <s v="CREDITOR"/>
    <n v="0"/>
    <n v="0"/>
    <n v="0"/>
    <n v="0"/>
    <n v="18.28"/>
  </r>
  <r>
    <n v="59801646"/>
    <s v="N"/>
    <n v="21408733"/>
    <s v="3000014174670010"/>
    <s v="CIVIL"/>
    <d v="2023-06-30T00:00:00"/>
    <d v="2023-07-21T10:00:02"/>
    <m/>
    <d v="2023-07-21T00:00:00"/>
    <n v="1832"/>
    <n v="1259"/>
    <s v="59801646"/>
    <s v="59801646"/>
    <m/>
    <m/>
    <n v="22801554"/>
    <m/>
    <m/>
    <m/>
    <s v="SOLFIN"/>
    <s v="SOLFIN"/>
    <s v="CCMS"/>
    <n v="21408733"/>
    <n v="23465.88"/>
    <m/>
    <s v="N"/>
    <n v="104"/>
    <d v="2023-07-21T10:00:09"/>
    <s v="Y"/>
    <s v="Preparation - drafting attendance n"/>
    <s v="Care Remuneration Hourly Rates"/>
    <s v="Profit Cost"/>
    <s v="Myria Pieri"/>
    <s v="Y"/>
    <n v="6.35"/>
    <n v="1.27"/>
    <x v="1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13"/>
    <d v="2023-07-21T10:00:09"/>
    <s v="Y"/>
    <s v="Preparation - other"/>
    <s v="Care Remuneration Hourly Rates"/>
    <s v="Profit Cost"/>
    <s v="Myria Pieri"/>
    <s v="Y"/>
    <n v="56.07"/>
    <n v="11.21"/>
    <x v="12"/>
    <s v="VALIDATED"/>
    <n v="1"/>
    <s v="01.11.80.308.6100.0000"/>
    <n v="56.07"/>
    <s v="11"/>
    <s v="6100"/>
    <n v="33249.27"/>
    <n v="56.07"/>
    <s v="CREDITOR"/>
    <n v="0"/>
    <n v="0"/>
    <n v="0"/>
    <n v="0"/>
    <n v="56.07"/>
  </r>
  <r>
    <n v="59801646"/>
    <s v="N"/>
    <n v="21408733"/>
    <s v="3000014174670010"/>
    <s v="CIVIL"/>
    <d v="2023-06-30T00:00:00"/>
    <d v="2023-07-21T10:00:02"/>
    <m/>
    <d v="2023-07-21T00:00:00"/>
    <n v="1832"/>
    <n v="1259"/>
    <s v="59801646"/>
    <s v="59801646"/>
    <m/>
    <m/>
    <n v="22801554"/>
    <m/>
    <m/>
    <m/>
    <s v="SOLFIN"/>
    <s v="SOLFIN"/>
    <s v="CCMS"/>
    <n v="21408733"/>
    <n v="23465.88"/>
    <m/>
    <s v="N"/>
    <n v="21"/>
    <d v="2023-07-21T10:00:09"/>
    <s v="Y"/>
    <s v="Report - other expert's report"/>
    <s v="Care Remuneration Hourly Rates"/>
    <s v="Profit Cost"/>
    <s v="Myria Pieri"/>
    <s v="Y"/>
    <n v="32.05"/>
    <n v="6.41"/>
    <x v="1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30"/>
    <d v="2023-07-10T19:01:43"/>
    <s v="Y"/>
    <s v="Routine Telephone Call"/>
    <s v="Care Remuneration Hourly Rates"/>
    <s v="Profit Cost"/>
    <s v="Myria Pieri"/>
    <s v="Y"/>
    <n v="42.44"/>
    <n v="8.49"/>
    <x v="2"/>
    <s v="VALIDATED"/>
    <n v="1"/>
    <s v="01.11.80.308.6100.0000"/>
    <n v="42.44"/>
    <s v="11"/>
    <s v="6100"/>
    <n v="33249.27"/>
    <n v="42.44"/>
    <s v="CREDITOR"/>
    <n v="0"/>
    <n v="0"/>
    <n v="0"/>
    <n v="0"/>
    <n v="42.44"/>
  </r>
  <r>
    <n v="59743667"/>
    <s v="N"/>
    <n v="21349286"/>
    <s v="3000014122640008"/>
    <s v="CIVIL"/>
    <d v="2023-06-27T00:00:00"/>
    <d v="2023-07-10T19:01:40"/>
    <m/>
    <d v="2023-07-10T00:00:00"/>
    <n v="1832"/>
    <n v="1259"/>
    <s v="59743667"/>
    <s v="59743667"/>
    <m/>
    <m/>
    <n v="22769622"/>
    <m/>
    <m/>
    <m/>
    <s v="SOLFIN"/>
    <s v="SOLFIN"/>
    <s v="CCMS"/>
    <n v="21349286"/>
    <n v="14585.88"/>
    <m/>
    <s v="N"/>
    <n v="17"/>
    <d v="2023-07-10T19:01:43"/>
    <s v="Y"/>
    <s v="Routine Letter Out"/>
    <s v="Care Remuneration Hourly Rates"/>
    <s v="Profit Cost"/>
    <s v="Myria Pieri"/>
    <s v="Y"/>
    <n v="1002.09"/>
    <n v="200.41"/>
    <x v="2"/>
    <s v="VALIDATED"/>
    <n v="1"/>
    <s v="01.11.80.308.6100.0000"/>
    <n v="1002.09"/>
    <s v="11"/>
    <s v="6100"/>
    <n v="33249.27"/>
    <n v="1002.09"/>
    <s v="CREDITOR"/>
    <n v="0"/>
    <n v="0"/>
    <n v="0"/>
    <n v="0"/>
    <n v="1002.09"/>
  </r>
  <r>
    <n v="59743667"/>
    <s v="N"/>
    <n v="21349286"/>
    <s v="3000014122640008"/>
    <s v="CIVIL"/>
    <d v="2023-06-27T00:00:00"/>
    <d v="2023-07-10T19:01:40"/>
    <m/>
    <d v="2023-07-10T00:00:00"/>
    <n v="1832"/>
    <n v="1259"/>
    <s v="59743667"/>
    <s v="59743667"/>
    <m/>
    <m/>
    <n v="22769622"/>
    <m/>
    <m/>
    <m/>
    <s v="SOLFIN"/>
    <s v="SOLFIN"/>
    <s v="CCMS"/>
    <n v="21349286"/>
    <n v="14585.88"/>
    <m/>
    <s v="N"/>
    <n v="18"/>
    <d v="2023-07-10T19:01:43"/>
    <s v="Y"/>
    <s v="Preparation - other"/>
    <s v="Care Remuneration Hourly Rates"/>
    <s v="Profit Cost"/>
    <s v="Myria Pieri"/>
    <s v="Y"/>
    <n v="16.02"/>
    <n v="3.2"/>
    <x v="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47"/>
    <d v="2023-07-10T19:01:43"/>
    <s v="Y"/>
    <s v="Attendance upon client"/>
    <s v="Care Remuneration Hourly Rates"/>
    <s v="Profit Cost"/>
    <s v="Myria Pieri"/>
    <s v="Y"/>
    <n v="24.03"/>
    <n v="4.81"/>
    <x v="2"/>
    <s v="VALIDATED"/>
    <n v="1"/>
    <s v="01.11.80.308.6100.0000"/>
    <n v="24.03"/>
    <s v="11"/>
    <s v="6100"/>
    <n v="33249.27"/>
    <n v="24.03"/>
    <s v="CREDITOR"/>
    <n v="0"/>
    <n v="0"/>
    <n v="0"/>
    <n v="0"/>
    <n v="24.03"/>
  </r>
  <r>
    <n v="59743667"/>
    <s v="N"/>
    <n v="21349286"/>
    <s v="3000014122640008"/>
    <s v="CIVIL"/>
    <d v="2023-06-27T00:00:00"/>
    <d v="2023-07-10T19:01:40"/>
    <m/>
    <d v="2023-07-10T00:00:00"/>
    <n v="1832"/>
    <n v="1259"/>
    <s v="59743667"/>
    <s v="59743667"/>
    <m/>
    <m/>
    <n v="22769622"/>
    <m/>
    <m/>
    <m/>
    <s v="SOLFIN"/>
    <s v="SOLFIN"/>
    <s v="CCMS"/>
    <n v="21349286"/>
    <n v="14585.88"/>
    <m/>
    <s v="N"/>
    <n v="50"/>
    <d v="2023-07-10T19:01:43"/>
    <s v="Y"/>
    <s v="Preparation - other"/>
    <s v="Care Remuneration Hourly Rates"/>
    <s v="Profit Cost"/>
    <s v="Myria Pieri"/>
    <s v="Y"/>
    <n v="155.44"/>
    <n v="31.09"/>
    <x v="2"/>
    <s v="VALIDATED"/>
    <n v="1"/>
    <s v="01.11.80.308.6100.0000"/>
    <n v="155.44"/>
    <s v="11"/>
    <s v="6100"/>
    <n v="33249.27"/>
    <n v="155.44"/>
    <s v="CREDITOR"/>
    <n v="0"/>
    <n v="0"/>
    <n v="0"/>
    <n v="0"/>
    <n v="155.44"/>
  </r>
  <r>
    <n v="59743667"/>
    <s v="N"/>
    <n v="21349286"/>
    <s v="3000014122640008"/>
    <s v="CIVIL"/>
    <d v="2023-06-27T00:00:00"/>
    <d v="2023-07-10T19:01:40"/>
    <m/>
    <d v="2023-07-10T00:00:00"/>
    <n v="1832"/>
    <n v="1259"/>
    <s v="59743667"/>
    <s v="59743667"/>
    <m/>
    <m/>
    <n v="22769622"/>
    <m/>
    <m/>
    <m/>
    <s v="SOLFIN"/>
    <s v="SOLFIN"/>
    <s v="CCMS"/>
    <n v="21349286"/>
    <n v="14585.88"/>
    <m/>
    <s v="N"/>
    <n v="41"/>
    <d v="2023-07-10T19:01:43"/>
    <s v="Y"/>
    <s v="Preparation - other"/>
    <s v="Care Remuneration Hourly Rates"/>
    <s v="Profit Cost"/>
    <s v="Myria Pieri"/>
    <s v="Y"/>
    <n v="40.05"/>
    <n v="8.01"/>
    <x v="2"/>
    <s v="VALIDATED"/>
    <n v="1"/>
    <s v="01.11.80.308.6100.0000"/>
    <n v="40.05"/>
    <s v="11"/>
    <s v="6100"/>
    <n v="33249.27"/>
    <n v="40.05"/>
    <s v="CREDITOR"/>
    <n v="0"/>
    <n v="0"/>
    <n v="0"/>
    <n v="0"/>
    <n v="40.05"/>
  </r>
  <r>
    <n v="59743667"/>
    <s v="N"/>
    <n v="21349286"/>
    <s v="3000014122640008"/>
    <s v="CIVIL"/>
    <d v="2023-06-27T00:00:00"/>
    <d v="2023-07-10T19:01:40"/>
    <m/>
    <d v="2023-07-10T00:00:00"/>
    <n v="1832"/>
    <n v="1259"/>
    <s v="59743667"/>
    <s v="59743667"/>
    <m/>
    <m/>
    <n v="22769622"/>
    <m/>
    <m/>
    <m/>
    <s v="SOLFIN"/>
    <s v="SOLFIN"/>
    <s v="CCMS"/>
    <n v="21349286"/>
    <n v="14585.88"/>
    <m/>
    <s v="N"/>
    <n v="52"/>
    <d v="2023-07-10T19:01:43"/>
    <s v="Y"/>
    <s v="Report - Medical report"/>
    <s v="Care Remuneration Hourly Rates"/>
    <s v="Profit Cost"/>
    <s v="Myria Pieri"/>
    <s v="Y"/>
    <n v="96.12"/>
    <n v="19.22"/>
    <x v="2"/>
    <s v="VALIDATED"/>
    <n v="1"/>
    <s v="01.11.80.308.6100.0000"/>
    <n v="96.12"/>
    <s v="11"/>
    <s v="6100"/>
    <n v="33249.27"/>
    <n v="96.12"/>
    <s v="CREDITOR"/>
    <n v="0"/>
    <n v="0"/>
    <n v="0"/>
    <n v="0"/>
    <n v="96.12"/>
  </r>
  <r>
    <n v="59743667"/>
    <s v="N"/>
    <n v="21349286"/>
    <s v="3000014122640008"/>
    <s v="CIVIL"/>
    <d v="2023-06-27T00:00:00"/>
    <d v="2023-07-10T19:01:40"/>
    <m/>
    <d v="2023-07-10T00:00:00"/>
    <n v="1832"/>
    <n v="1259"/>
    <s v="59743667"/>
    <s v="59743667"/>
    <m/>
    <m/>
    <n v="22769622"/>
    <m/>
    <m/>
    <m/>
    <s v="SOLFIN"/>
    <s v="SOLFIN"/>
    <s v="CCMS"/>
    <n v="21349286"/>
    <n v="14585.88"/>
    <m/>
    <s v="N"/>
    <n v="60"/>
    <d v="2023-07-10T19:01:43"/>
    <s v="Y"/>
    <s v="Preparation - other"/>
    <s v="Care Remuneration Hourly Rates"/>
    <s v="Profit Cost"/>
    <s v="Myria Pieri"/>
    <s v="Y"/>
    <n v="18.28"/>
    <n v="3.66"/>
    <x v="2"/>
    <s v="VALIDATED"/>
    <n v="1"/>
    <s v="01.11.80.308.6100.0000"/>
    <n v="18.28"/>
    <s v="11"/>
    <s v="6100"/>
    <n v="33249.27"/>
    <n v="18.28"/>
    <s v="CREDITOR"/>
    <n v="0"/>
    <n v="0"/>
    <n v="0"/>
    <n v="0"/>
    <n v="18.28"/>
  </r>
  <r>
    <n v="59801646"/>
    <s v="N"/>
    <n v="21408733"/>
    <s v="3000014174670010"/>
    <s v="CIVIL"/>
    <d v="2023-06-30T00:00:00"/>
    <d v="2023-07-21T10:00:02"/>
    <m/>
    <d v="2023-07-21T00:00:00"/>
    <n v="1832"/>
    <n v="1259"/>
    <s v="59801646"/>
    <s v="59801646"/>
    <m/>
    <m/>
    <n v="22801554"/>
    <m/>
    <m/>
    <m/>
    <s v="SOLFIN"/>
    <s v="SOLFIN"/>
    <s v="CCMS"/>
    <n v="21408733"/>
    <n v="23465.88"/>
    <m/>
    <s v="N"/>
    <n v="92"/>
    <d v="2023-07-21T10:00:09"/>
    <s v="Y"/>
    <s v="Preparation - drafting statement"/>
    <s v="Care Remuneration Hourly Rates"/>
    <s v="Profit Cost"/>
    <s v="Myria Pieri"/>
    <s v="Y"/>
    <n v="240.29"/>
    <n v="48.06"/>
    <x v="12"/>
    <s v="VALIDATED"/>
    <n v="1"/>
    <s v="01.11.80.308.6100.0000"/>
    <n v="240.29"/>
    <s v="11"/>
    <s v="6100"/>
    <n v="33249.27"/>
    <n v="240.29"/>
    <s v="CREDITOR"/>
    <n v="0"/>
    <n v="0"/>
    <n v="0"/>
    <n v="0"/>
    <n v="240.29"/>
  </r>
  <r>
    <n v="59801646"/>
    <s v="N"/>
    <n v="21408733"/>
    <s v="3000014174670010"/>
    <s v="CIVIL"/>
    <d v="2023-06-30T00:00:00"/>
    <d v="2023-07-21T10:00:02"/>
    <m/>
    <d v="2023-07-21T00:00:00"/>
    <n v="1832"/>
    <n v="1259"/>
    <s v="59801646"/>
    <s v="59801646"/>
    <m/>
    <m/>
    <n v="22801554"/>
    <m/>
    <m/>
    <m/>
    <s v="SOLFIN"/>
    <s v="SOLFIN"/>
    <s v="CCMS"/>
    <n v="21408733"/>
    <n v="23465.88"/>
    <m/>
    <s v="N"/>
    <n v="94"/>
    <d v="2023-07-21T10:00:09"/>
    <s v="Y"/>
    <s v="Preparation - other"/>
    <s v="Care Remuneration Hourly Rates"/>
    <s v="Profit Cost"/>
    <s v="Myria Pieri"/>
    <s v="Y"/>
    <n v="8"/>
    <n v="1.6"/>
    <x v="12"/>
    <s v="VALIDATED"/>
    <n v="1"/>
    <s v="01.11.80.308.6100.0000"/>
    <n v="8"/>
    <s v="11"/>
    <s v="6100"/>
    <n v="33249.27"/>
    <n v="8"/>
    <s v="CREDITOR"/>
    <n v="0"/>
    <n v="0"/>
    <n v="0"/>
    <n v="0"/>
    <n v="8"/>
  </r>
  <r>
    <n v="59801646"/>
    <s v="N"/>
    <n v="21408733"/>
    <s v="3000014174670010"/>
    <s v="CIVIL"/>
    <d v="2023-06-30T00:00:00"/>
    <d v="2023-07-21T10:00:02"/>
    <m/>
    <d v="2023-07-21T00:00:00"/>
    <n v="1832"/>
    <n v="1259"/>
    <s v="59801646"/>
    <s v="59801646"/>
    <m/>
    <m/>
    <n v="22801554"/>
    <m/>
    <m/>
    <m/>
    <s v="SOLFIN"/>
    <s v="SOLFIN"/>
    <s v="CCMS"/>
    <n v="21408733"/>
    <n v="23465.88"/>
    <m/>
    <s v="N"/>
    <n v="97"/>
    <d v="2023-07-21T10:00:09"/>
    <s v="Y"/>
    <s v="Preparation -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20"/>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35"/>
    <d v="2023-07-21T10:00:09"/>
    <s v="Y"/>
    <s v="Report - other expert's report"/>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43"/>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84"/>
    <d v="2023-07-21T10:00:09"/>
    <s v="Y"/>
    <s v="Attendance upon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24"/>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120"/>
    <d v="2023-07-21T10:00:09"/>
    <s v="Y"/>
    <s v="Preparation - other"/>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138"/>
    <d v="2023-07-21T10:00:09"/>
    <s v="Y"/>
    <s v="Report - other"/>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62"/>
    <d v="2023-07-21T10:00:09"/>
    <s v="Y"/>
    <s v="Preparation - other"/>
    <s v="Care Remuneration Hourly Rates"/>
    <s v="Profit Cost"/>
    <s v="Myria Pieri"/>
    <s v="Y"/>
    <n v="80.09999999999999"/>
    <n v="16.02"/>
    <x v="12"/>
    <s v="VALIDATED"/>
    <n v="1"/>
    <s v="01.11.80.308.6100.0000"/>
    <n v="80.09999999999999"/>
    <s v="11"/>
    <s v="6100"/>
    <n v="33249.27"/>
    <n v="80.09999999999999"/>
    <s v="CREDITOR"/>
    <n v="0"/>
    <n v="0"/>
    <n v="0"/>
    <n v="0"/>
    <n v="80.09999999999999"/>
  </r>
  <r>
    <n v="59801646"/>
    <s v="N"/>
    <n v="21408733"/>
    <s v="3000014174670010"/>
    <s v="CIVIL"/>
    <d v="2023-06-30T00:00:00"/>
    <d v="2023-07-21T10:00:02"/>
    <m/>
    <d v="2023-07-21T00:00:00"/>
    <n v="1832"/>
    <n v="1259"/>
    <s v="59801646"/>
    <s v="59801646"/>
    <m/>
    <m/>
    <n v="22801554"/>
    <m/>
    <m/>
    <m/>
    <s v="SOLFIN"/>
    <s v="SOLFIN"/>
    <s v="CCMS"/>
    <n v="21408733"/>
    <n v="23465.88"/>
    <m/>
    <s v="N"/>
    <n v="56"/>
    <d v="2023-07-21T10:00:09"/>
    <s v="Y"/>
    <s v="Preparation - drafting instructions"/>
    <s v="Care Remuneration Hourly Rates"/>
    <s v="Profit Cost"/>
    <s v="Myria Pieri"/>
    <s v="Y"/>
    <n v="80.09999999999999"/>
    <n v="16.02"/>
    <x v="12"/>
    <s v="VALIDATED"/>
    <n v="1"/>
    <s v="01.11.80.308.6100.0000"/>
    <n v="80.09999999999999"/>
    <s v="11"/>
    <s v="6100"/>
    <n v="33249.27"/>
    <n v="80.09999999999999"/>
    <s v="CREDITOR"/>
    <n v="0"/>
    <n v="0"/>
    <n v="0"/>
    <n v="0"/>
    <n v="80.09999999999999"/>
  </r>
  <r>
    <n v="59801646"/>
    <s v="N"/>
    <n v="21408733"/>
    <s v="3000014174670010"/>
    <s v="CIVIL"/>
    <d v="2023-06-30T00:00:00"/>
    <d v="2023-07-21T10:00:02"/>
    <m/>
    <d v="2023-07-21T00:00:00"/>
    <n v="1832"/>
    <n v="1259"/>
    <s v="59801646"/>
    <s v="59801646"/>
    <m/>
    <m/>
    <n v="22801554"/>
    <m/>
    <m/>
    <m/>
    <s v="SOLFIN"/>
    <s v="SOLFIN"/>
    <s v="CCMS"/>
    <n v="21408733"/>
    <n v="23465.88"/>
    <m/>
    <s v="N"/>
    <n v="125"/>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37"/>
    <d v="2023-07-21T10:00:09"/>
    <s v="Y"/>
    <s v="Routine Telephone Call"/>
    <s v="Care Remuneration Hourly Rates"/>
    <s v="Profit Cost"/>
    <s v="Myria Pieri"/>
    <s v="Y"/>
    <n v="148.52"/>
    <n v="29.7"/>
    <x v="12"/>
    <s v="VALIDATED"/>
    <n v="1"/>
    <s v="01.11.80.308.6100.0000"/>
    <n v="148.52"/>
    <s v="11"/>
    <s v="6100"/>
    <n v="33249.27"/>
    <n v="148.52"/>
    <s v="CREDITOR"/>
    <n v="0"/>
    <n v="0"/>
    <n v="0"/>
    <n v="0"/>
    <n v="148.52"/>
  </r>
  <r>
    <n v="59801646"/>
    <s v="N"/>
    <n v="21408733"/>
    <s v="3000014174670010"/>
    <s v="CIVIL"/>
    <d v="2023-06-30T00:00:00"/>
    <d v="2023-07-21T10:00:02"/>
    <m/>
    <d v="2023-07-21T00:00:00"/>
    <n v="1832"/>
    <n v="1259"/>
    <s v="59801646"/>
    <s v="59801646"/>
    <m/>
    <m/>
    <n v="22801554"/>
    <m/>
    <m/>
    <m/>
    <s v="SOLFIN"/>
    <s v="SOLFIN"/>
    <s v="CCMS"/>
    <n v="21408733"/>
    <n v="23465.88"/>
    <m/>
    <s v="N"/>
    <n v="152"/>
    <d v="2023-07-21T10:00:09"/>
    <s v="Y"/>
    <s v="Hearing Unit 2.31 - 5.00 Hours"/>
    <s v="Public Law Children"/>
    <s v="Advocacy"/>
    <s v="Myria Pieri"/>
    <s v="Y"/>
    <n v="476.92"/>
    <n v="95.38"/>
    <x v="12"/>
    <s v="VALIDATED"/>
    <n v="1"/>
    <s v="01.11.80.308.6100.0000"/>
    <n v="476.92"/>
    <s v="11"/>
    <s v="6100"/>
    <n v="33249.27"/>
    <n v="476.92"/>
    <s v="CREDITOR"/>
    <n v="0"/>
    <n v="0"/>
    <n v="0"/>
    <n v="0"/>
    <n v="476.92"/>
  </r>
  <r>
    <n v="59743667"/>
    <s v="N"/>
    <n v="21349286"/>
    <s v="3000014122640008"/>
    <s v="CIVIL"/>
    <d v="2023-06-27T00:00:00"/>
    <d v="2023-07-10T19:01:40"/>
    <m/>
    <d v="2023-07-10T00:00:00"/>
    <n v="1832"/>
    <n v="1259"/>
    <s v="59743667"/>
    <s v="59743667"/>
    <m/>
    <m/>
    <n v="22769622"/>
    <m/>
    <m/>
    <m/>
    <s v="SOLFIN"/>
    <s v="SOLFIN"/>
    <s v="CCMS"/>
    <n v="21349286"/>
    <n v="14585.88"/>
    <m/>
    <s v="N"/>
    <n v="82"/>
    <d v="2023-07-10T19:01:43"/>
    <s v="Y"/>
    <s v="Preparation - other"/>
    <s v="Care Remuneration Hourly Rates"/>
    <s v="Profit Cost"/>
    <s v="Myria Pieri"/>
    <s v="Y"/>
    <n v="12.71"/>
    <n v="2.54"/>
    <x v="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42"/>
    <d v="2023-07-10T19:01:43"/>
    <s v="Y"/>
    <s v="Preparation - other"/>
    <s v="Care Remuneration Hourly Rates"/>
    <s v="Profit Cost"/>
    <s v="Myria Pieri"/>
    <s v="Y"/>
    <n v="8"/>
    <n v="1.6"/>
    <x v="2"/>
    <s v="VALIDATED"/>
    <n v="1"/>
    <s v="01.11.80.308.6100.0000"/>
    <n v="8"/>
    <s v="11"/>
    <s v="6100"/>
    <n v="33249.27"/>
    <n v="8"/>
    <s v="CREDITOR"/>
    <n v="0"/>
    <n v="0"/>
    <n v="0"/>
    <n v="0"/>
    <n v="8"/>
  </r>
  <r>
    <n v="59743667"/>
    <s v="N"/>
    <n v="21349286"/>
    <s v="3000014122640008"/>
    <s v="CIVIL"/>
    <d v="2023-06-27T00:00:00"/>
    <d v="2023-07-10T19:01:40"/>
    <m/>
    <d v="2023-07-10T00:00:00"/>
    <n v="1832"/>
    <n v="1259"/>
    <s v="59743667"/>
    <s v="59743667"/>
    <m/>
    <m/>
    <n v="22769622"/>
    <m/>
    <m/>
    <m/>
    <s v="SOLFIN"/>
    <s v="SOLFIN"/>
    <s v="CCMS"/>
    <n v="21349286"/>
    <n v="14585.88"/>
    <m/>
    <s v="N"/>
    <n v="61"/>
    <d v="2023-07-10T19:01:43"/>
    <s v="Y"/>
    <s v="Report - Medical report"/>
    <s v="Care Remuneration Hourly Rates"/>
    <s v="Profit Cost"/>
    <s v="Myria Pieri"/>
    <s v="Y"/>
    <n v="16.02"/>
    <n v="3.2"/>
    <x v="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98"/>
    <d v="2023-07-21T10:00:09"/>
    <s v="Y"/>
    <s v="Report - other expert's report"/>
    <s v="Care Remuneration Hourly Rates"/>
    <s v="Profit Cost"/>
    <s v="Myria Pieri"/>
    <s v="Y"/>
    <n v="160.2"/>
    <n v="32.04"/>
    <x v="12"/>
    <s v="VALIDATED"/>
    <n v="1"/>
    <s v="01.11.80.308.6100.0000"/>
    <n v="160.2"/>
    <s v="11"/>
    <s v="6100"/>
    <n v="33249.27"/>
    <n v="160.2"/>
    <s v="CREDITOR"/>
    <n v="0"/>
    <n v="0"/>
    <n v="0"/>
    <n v="0"/>
    <n v="160.2"/>
  </r>
  <r>
    <n v="59428996"/>
    <s v="N"/>
    <n v="21360295"/>
    <s v="3000013869930006"/>
    <s v="CIVIL"/>
    <d v="2023-06-30T00:00:00"/>
    <d v="2023-07-11T11:50:54"/>
    <m/>
    <d v="2023-07-11T00:00:00"/>
    <n v="1832"/>
    <n v="1259"/>
    <s v="59428996"/>
    <s v="59428996"/>
    <m/>
    <m/>
    <n v="22798406"/>
    <m/>
    <m/>
    <m/>
    <s v="SOLFIN"/>
    <s v="SOLFIN"/>
    <s v="CCMS"/>
    <n v="21360295"/>
    <n v="6298.44"/>
    <m/>
    <s v="N"/>
    <n v="8"/>
    <d v="2023-07-11T11:51:01"/>
    <s v="Y"/>
    <s v="Solicitors Fixed Fee"/>
    <s v="Public Law Children"/>
    <s v="Profit Cost"/>
    <s v="sam wilde"/>
    <s v="Y"/>
    <n v="2616"/>
    <n v="523.2"/>
    <x v="7"/>
    <s v="VALIDATED"/>
    <n v="1"/>
    <s v="01.11.80.308.6100.0000"/>
    <n v="2616"/>
    <s v="11"/>
    <s v="6100"/>
    <n v="33249.27"/>
    <n v="2616"/>
    <s v="CREDITOR"/>
    <n v="0"/>
    <n v="0"/>
    <n v="0"/>
    <n v="0"/>
    <n v="2616"/>
  </r>
  <r>
    <n v="59801646"/>
    <s v="N"/>
    <n v="21408733"/>
    <s v="3000014174670010"/>
    <s v="CIVIL"/>
    <d v="2023-06-30T00:00:00"/>
    <d v="2023-07-21T10:00:02"/>
    <m/>
    <d v="2023-07-21T00:00:00"/>
    <n v="1832"/>
    <n v="1259"/>
    <s v="59801646"/>
    <s v="59801646"/>
    <m/>
    <m/>
    <n v="22801554"/>
    <m/>
    <m/>
    <m/>
    <s v="SOLFIN"/>
    <s v="SOLFIN"/>
    <s v="CCMS"/>
    <n v="21408733"/>
    <n v="23465.88"/>
    <m/>
    <s v="N"/>
    <n v="68"/>
    <d v="2023-07-21T10:00:09"/>
    <s v="Y"/>
    <s v="Preparation - drafting attendance n"/>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59"/>
    <d v="2023-07-21T10:00:09"/>
    <s v="Y"/>
    <s v="Attendance upon cli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72"/>
    <d v="2023-07-21T10:00:09"/>
    <s v="Y"/>
    <s v="Preparation - other"/>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91"/>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15"/>
    <d v="2023-07-21T10:00:09"/>
    <s v="Y"/>
    <s v="Attendance upon other"/>
    <s v="Care Remuneration Hourly Rates"/>
    <s v="Profit Cost"/>
    <s v="Myria Pieri"/>
    <s v="Y"/>
    <n v="19.06"/>
    <n v="3.81"/>
    <x v="12"/>
    <s v="VALIDATED"/>
    <n v="1"/>
    <s v="01.11.80.308.6100.0000"/>
    <n v="19.06"/>
    <s v="11"/>
    <s v="6100"/>
    <n v="33249.27"/>
    <n v="19.06"/>
    <s v="CREDITOR"/>
    <n v="0"/>
    <n v="0"/>
    <n v="0"/>
    <n v="0"/>
    <n v="19.06"/>
  </r>
  <r>
    <n v="59801646"/>
    <s v="N"/>
    <n v="21408733"/>
    <s v="3000014174670010"/>
    <s v="CIVIL"/>
    <d v="2023-06-30T00:00:00"/>
    <d v="2023-07-21T10:00:02"/>
    <m/>
    <d v="2023-07-21T00:00:00"/>
    <n v="1832"/>
    <n v="1259"/>
    <s v="59801646"/>
    <s v="59801646"/>
    <m/>
    <m/>
    <n v="22801554"/>
    <m/>
    <m/>
    <m/>
    <s v="SOLFIN"/>
    <s v="SOLFIN"/>
    <s v="CCMS"/>
    <n v="21408733"/>
    <n v="23465.88"/>
    <m/>
    <s v="N"/>
    <n v="15"/>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33"/>
    <d v="2023-07-21T10:00:09"/>
    <s v="Y"/>
    <s v="Preparation - other"/>
    <s v="Care Remuneration Hourly Rates"/>
    <s v="Profit Cost"/>
    <s v="Myria Pieri"/>
    <s v="Y"/>
    <n v="31.76"/>
    <n v="6.35"/>
    <x v="12"/>
    <s v="VALIDATED"/>
    <n v="1"/>
    <s v="01.11.80.308.6100.0000"/>
    <n v="31.76"/>
    <s v="11"/>
    <s v="6100"/>
    <n v="33249.27"/>
    <n v="31.76"/>
    <s v="CREDITOR"/>
    <n v="0"/>
    <n v="0"/>
    <n v="0"/>
    <n v="0"/>
    <n v="31.76"/>
  </r>
  <r>
    <n v="59801646"/>
    <s v="N"/>
    <n v="21408733"/>
    <s v="3000014174670010"/>
    <s v="CIVIL"/>
    <d v="2023-06-30T00:00:00"/>
    <d v="2023-07-21T10:00:02"/>
    <m/>
    <d v="2023-07-21T00:00:00"/>
    <n v="1832"/>
    <n v="1259"/>
    <s v="59801646"/>
    <s v="59801646"/>
    <m/>
    <m/>
    <n v="22801554"/>
    <m/>
    <m/>
    <m/>
    <s v="SOLFIN"/>
    <s v="SOLFIN"/>
    <s v="CCMS"/>
    <n v="21408733"/>
    <n v="23465.88"/>
    <m/>
    <s v="N"/>
    <n v="143"/>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53"/>
    <d v="2023-07-10T19:01:43"/>
    <s v="Y"/>
    <s v="Preparation - other"/>
    <s v="Care Remuneration Hourly Rates"/>
    <s v="Profit Cost"/>
    <s v="Myria Pieri"/>
    <s v="Y"/>
    <n v="16.02"/>
    <n v="3.2"/>
    <x v="2"/>
    <s v="VALIDATED"/>
    <n v="1"/>
    <s v="01.11.80.308.6100.0000"/>
    <n v="16.02"/>
    <s v="11"/>
    <s v="6100"/>
    <n v="33249.27"/>
    <n v="16.02"/>
    <s v="CREDITOR"/>
    <n v="0"/>
    <n v="0"/>
    <n v="0"/>
    <n v="0"/>
    <n v="16.02"/>
  </r>
  <r>
    <n v="62309323"/>
    <s v="N"/>
    <n v="21320207"/>
    <s v="3000016299790002"/>
    <s v="CIVIL"/>
    <d v="2023-06-28T00:00:00"/>
    <d v="2023-07-03T19:04:52"/>
    <m/>
    <d v="2023-07-03T00:00:00"/>
    <n v="1832"/>
    <n v="1259"/>
    <s v="62309323"/>
    <s v="62309323"/>
    <m/>
    <m/>
    <n v="22780630"/>
    <m/>
    <m/>
    <m/>
    <s v="SOLPOA"/>
    <s v="SOLPOA"/>
    <s v="CCMS"/>
    <n v="21320207"/>
    <n v="847.58"/>
    <m/>
    <s v="N"/>
    <n v="1"/>
    <d v="2023-07-03T19:04:52"/>
    <s v="N"/>
    <s v="Expert Cost"/>
    <s v="Expert Cost"/>
    <s v="Expert Disbursement"/>
    <s v="myria pieri"/>
    <s v="N"/>
    <n v="706.3200000000001"/>
    <n v="141.26"/>
    <x v="3"/>
    <s v="VALIDATED"/>
    <n v="1"/>
    <s v="01.11.80.308.2012.0000"/>
    <n v="706.3200000000001"/>
    <s v="11"/>
    <s v="2012"/>
    <n v="33249.27"/>
    <n v="706.3200000000001"/>
    <s v="CREDITOR"/>
    <n v="706.3200000000001"/>
    <n v="0"/>
    <n v="0"/>
    <n v="0"/>
    <n v="0"/>
  </r>
  <r>
    <n v="59801646"/>
    <s v="N"/>
    <n v="21408733"/>
    <s v="3000014174670010"/>
    <s v="CIVIL"/>
    <d v="2023-06-30T00:00:00"/>
    <d v="2023-07-21T10:00:02"/>
    <m/>
    <d v="2023-07-21T00:00:00"/>
    <n v="1832"/>
    <n v="1259"/>
    <s v="59801646"/>
    <s v="59801646"/>
    <m/>
    <m/>
    <n v="22801554"/>
    <m/>
    <m/>
    <m/>
    <s v="SOLFIN"/>
    <s v="SOLFIN"/>
    <s v="CCMS"/>
    <n v="21408733"/>
    <n v="23465.88"/>
    <m/>
    <s v="N"/>
    <n v="81"/>
    <d v="2023-07-21T10:00:09"/>
    <s v="Y"/>
    <s v="Report - other expert's repor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2"/>
    <d v="2023-07-21T10:00:09"/>
    <s v="Y"/>
    <s v="Preparation - other"/>
    <s v="Care Remuneration Hourly Rates"/>
    <s v="Profit Cost"/>
    <s v="Myria Pieri"/>
    <s v="Y"/>
    <n v="24.03"/>
    <n v="4.81"/>
    <x v="12"/>
    <s v="VALIDATED"/>
    <n v="1"/>
    <s v="01.11.80.308.6100.0000"/>
    <n v="24.03"/>
    <s v="11"/>
    <s v="6100"/>
    <n v="33249.27"/>
    <n v="24.03"/>
    <s v="CREDITOR"/>
    <n v="0"/>
    <n v="0"/>
    <n v="0"/>
    <n v="0"/>
    <n v="24.03"/>
  </r>
  <r>
    <n v="59743667"/>
    <s v="N"/>
    <n v="21349286"/>
    <s v="3000014122640008"/>
    <s v="CIVIL"/>
    <d v="2023-06-27T00:00:00"/>
    <d v="2023-07-10T19:01:40"/>
    <m/>
    <d v="2023-07-10T00:00:00"/>
    <n v="1832"/>
    <n v="1259"/>
    <s v="59743667"/>
    <s v="59743667"/>
    <m/>
    <m/>
    <n v="22769622"/>
    <m/>
    <m/>
    <m/>
    <s v="SOLFIN"/>
    <s v="SOLFIN"/>
    <s v="CCMS"/>
    <n v="21349286"/>
    <n v="14585.88"/>
    <m/>
    <s v="N"/>
    <n v="71"/>
    <d v="2023-07-10T19:01:43"/>
    <s v="Y"/>
    <s v="Report - Medical report"/>
    <s v="Care Remuneration Hourly Rates"/>
    <s v="Profit Cost"/>
    <s v="Myria Pieri"/>
    <s v="Y"/>
    <n v="54.87"/>
    <n v="10.97"/>
    <x v="2"/>
    <s v="VALIDATED"/>
    <n v="1"/>
    <s v="01.11.80.308.6100.0000"/>
    <n v="54.87"/>
    <s v="11"/>
    <s v="6100"/>
    <n v="33249.27"/>
    <n v="54.87"/>
    <s v="CREDITOR"/>
    <n v="0"/>
    <n v="0"/>
    <n v="0"/>
    <n v="0"/>
    <n v="54.87"/>
  </r>
  <r>
    <n v="59801646"/>
    <s v="N"/>
    <n v="21408733"/>
    <s v="3000014174670010"/>
    <s v="CIVIL"/>
    <d v="2023-06-30T00:00:00"/>
    <d v="2023-07-21T10:00:02"/>
    <m/>
    <d v="2023-07-21T00:00:00"/>
    <n v="1832"/>
    <n v="1259"/>
    <s v="59801646"/>
    <s v="59801646"/>
    <m/>
    <m/>
    <n v="22801554"/>
    <m/>
    <m/>
    <m/>
    <s v="SOLFIN"/>
    <s v="SOLFIN"/>
    <s v="CCMS"/>
    <n v="21408733"/>
    <n v="23465.88"/>
    <m/>
    <s v="N"/>
    <n v="9"/>
    <d v="2023-07-21T10:00:09"/>
    <s v="Y"/>
    <s v="Toxicologist"/>
    <s v="Public Law Children"/>
    <s v="Expert Disbursement"/>
    <s v="Myria Pieri"/>
    <s v="Y"/>
    <n v="195"/>
    <n v="39"/>
    <x v="12"/>
    <s v="VALIDATED"/>
    <n v="1"/>
    <s v="01.11.80.308.6300.0000"/>
    <n v="195"/>
    <s v="11"/>
    <s v="6300"/>
    <n v="33249.27"/>
    <n v="195"/>
    <s v="CREDITOR"/>
    <n v="0"/>
    <n v="0"/>
    <n v="0"/>
    <n v="0"/>
    <n v="195"/>
  </r>
  <r>
    <n v="59801646"/>
    <s v="N"/>
    <n v="21408733"/>
    <s v="3000014174670010"/>
    <s v="CIVIL"/>
    <d v="2023-06-30T00:00:00"/>
    <d v="2023-07-21T10:00:02"/>
    <m/>
    <d v="2023-07-21T00:00:00"/>
    <n v="1832"/>
    <n v="1259"/>
    <s v="59801646"/>
    <s v="59801646"/>
    <m/>
    <m/>
    <n v="22801554"/>
    <m/>
    <m/>
    <m/>
    <s v="SOLFIN"/>
    <s v="SOLFIN"/>
    <s v="CCMS"/>
    <n v="21408733"/>
    <n v="23465.88"/>
    <m/>
    <s v="N"/>
    <n v="63"/>
    <d v="2023-07-21T10:00:09"/>
    <s v="Y"/>
    <s v="Preparation - other"/>
    <s v="Care Remuneration Hourly Rates"/>
    <s v="Profit Cost"/>
    <s v="Myria Pieri"/>
    <s v="Y"/>
    <n v="6.35"/>
    <n v="1.27"/>
    <x v="12"/>
    <s v="VALIDATED"/>
    <n v="1"/>
    <s v="01.11.80.308.6100.0000"/>
    <n v="6.35"/>
    <s v="11"/>
    <s v="6100"/>
    <n v="33249.27"/>
    <n v="6.35"/>
    <s v="CREDITOR"/>
    <n v="0"/>
    <n v="0"/>
    <n v="0"/>
    <n v="0"/>
    <n v="6.35"/>
  </r>
  <r>
    <n v="59743667"/>
    <s v="N"/>
    <n v="21349286"/>
    <s v="3000014122640008"/>
    <s v="CIVIL"/>
    <d v="2023-06-27T00:00:00"/>
    <d v="2023-07-10T19:01:40"/>
    <m/>
    <d v="2023-07-10T00:00:00"/>
    <n v="1832"/>
    <n v="1259"/>
    <s v="59743667"/>
    <s v="59743667"/>
    <m/>
    <m/>
    <n v="22769622"/>
    <m/>
    <m/>
    <m/>
    <s v="SOLFIN"/>
    <s v="SOLFIN"/>
    <s v="CCMS"/>
    <n v="21349286"/>
    <n v="14585.88"/>
    <m/>
    <s v="N"/>
    <n v="24"/>
    <d v="2023-07-10T19:01:43"/>
    <s v="Y"/>
    <s v="Preparation - other"/>
    <s v="Care Remuneration Hourly Rates"/>
    <s v="Profit Cost"/>
    <s v="Myria Pieri"/>
    <s v="Y"/>
    <n v="6.35"/>
    <n v="1.27"/>
    <x v="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65"/>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00"/>
    <d v="2023-07-21T10:00:09"/>
    <s v="Y"/>
    <s v="Preparation - Periodic file review"/>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8"/>
    <d v="2023-07-21T10:00:09"/>
    <s v="Y"/>
    <s v="Toxicologist"/>
    <s v="Public Law Children"/>
    <s v="Expert Disbursement"/>
    <s v="Myria Pieri"/>
    <s v="Y"/>
    <n v="93.75"/>
    <n v="18.75"/>
    <x v="12"/>
    <s v="VALIDATED"/>
    <n v="1"/>
    <s v="01.11.80.308.6300.0000"/>
    <n v="93.75"/>
    <s v="11"/>
    <s v="6300"/>
    <n v="33249.27"/>
    <n v="93.75"/>
    <s v="CREDITOR"/>
    <n v="0"/>
    <n v="0"/>
    <n v="0"/>
    <n v="0"/>
    <n v="93.75"/>
  </r>
  <r>
    <n v="59801646"/>
    <s v="N"/>
    <n v="21408733"/>
    <s v="3000014174670010"/>
    <s v="CIVIL"/>
    <d v="2023-06-30T00:00:00"/>
    <d v="2023-07-21T10:00:02"/>
    <m/>
    <d v="2023-07-21T00:00:00"/>
    <n v="1832"/>
    <n v="1259"/>
    <s v="59801646"/>
    <s v="59801646"/>
    <m/>
    <m/>
    <n v="22801554"/>
    <m/>
    <m/>
    <m/>
    <s v="SOLFIN"/>
    <s v="SOLFIN"/>
    <s v="CCMS"/>
    <n v="21408733"/>
    <n v="23465.88"/>
    <m/>
    <s v="N"/>
    <n v="102"/>
    <d v="2023-07-21T10:00:09"/>
    <s v="Y"/>
    <s v="Report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39"/>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428996"/>
    <s v="N"/>
    <n v="21360295"/>
    <s v="3000013869930006"/>
    <s v="CIVIL"/>
    <d v="2023-06-30T00:00:00"/>
    <d v="2023-07-11T11:50:54"/>
    <m/>
    <d v="2023-07-11T00:00:00"/>
    <n v="1832"/>
    <n v="1259"/>
    <s v="59428996"/>
    <s v="59428996"/>
    <m/>
    <m/>
    <n v="22798406"/>
    <m/>
    <m/>
    <m/>
    <s v="SOLFIN"/>
    <s v="SOLFIN"/>
    <s v="CCMS"/>
    <n v="21360295"/>
    <n v="6298.44"/>
    <m/>
    <s v="N"/>
    <n v="4"/>
    <d v="2023-07-11T11:51:01"/>
    <s v="Y"/>
    <s v="Advocates Meeting"/>
    <s v="Public Law Children"/>
    <s v="Advocacy"/>
    <s v="sam wilde"/>
    <s v="Y"/>
    <n v="140.99"/>
    <n v="28.2"/>
    <x v="7"/>
    <s v="VALIDATED"/>
    <n v="1"/>
    <s v="01.11.80.308.6100.0000"/>
    <n v="140.99"/>
    <s v="11"/>
    <s v="6100"/>
    <n v="33249.27"/>
    <n v="140.99"/>
    <s v="CREDITOR"/>
    <n v="0"/>
    <n v="0"/>
    <n v="0"/>
    <n v="0"/>
    <n v="140.99"/>
  </r>
  <r>
    <n v="59743667"/>
    <s v="N"/>
    <n v="21349286"/>
    <s v="3000014122640008"/>
    <s v="CIVIL"/>
    <d v="2023-06-27T00:00:00"/>
    <d v="2023-07-10T19:01:40"/>
    <m/>
    <d v="2023-07-10T00:00:00"/>
    <n v="1832"/>
    <n v="1259"/>
    <s v="59743667"/>
    <s v="59743667"/>
    <m/>
    <m/>
    <n v="22769622"/>
    <m/>
    <m/>
    <m/>
    <s v="SOLFIN"/>
    <s v="SOLFIN"/>
    <s v="CCMS"/>
    <n v="21349286"/>
    <n v="14585.88"/>
    <m/>
    <s v="N"/>
    <n v="49"/>
    <d v="2023-07-10T19:01:43"/>
    <s v="Y"/>
    <s v="Preparation - other"/>
    <s v="Care Remuneration Hourly Rates"/>
    <s v="Profit Cost"/>
    <s v="Myria Pieri"/>
    <s v="Y"/>
    <n v="24.03"/>
    <n v="4.81"/>
    <x v="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44"/>
    <d v="2023-07-21T10:00:09"/>
    <s v="Y"/>
    <s v="Report - other expert's report"/>
    <s v="Care Remuneration Hourly Rates"/>
    <s v="Profit Cost"/>
    <s v="Myria Pieri"/>
    <s v="Y"/>
    <n v="40.05"/>
    <n v="8.01"/>
    <x v="12"/>
    <s v="VALIDATED"/>
    <n v="1"/>
    <s v="01.11.80.308.6100.0000"/>
    <n v="40.05"/>
    <s v="11"/>
    <s v="6100"/>
    <n v="33249.27"/>
    <n v="40.05"/>
    <s v="CREDITOR"/>
    <n v="0"/>
    <n v="0"/>
    <n v="0"/>
    <n v="0"/>
    <n v="40.05"/>
  </r>
  <r>
    <n v="59743667"/>
    <s v="N"/>
    <n v="21349286"/>
    <s v="3000014122640008"/>
    <s v="CIVIL"/>
    <d v="2023-06-27T00:00:00"/>
    <d v="2023-07-10T19:01:40"/>
    <m/>
    <d v="2023-07-10T00:00:00"/>
    <n v="1832"/>
    <n v="1259"/>
    <s v="59743667"/>
    <s v="59743667"/>
    <m/>
    <m/>
    <n v="22769622"/>
    <m/>
    <m/>
    <m/>
    <s v="SOLFIN"/>
    <s v="SOLFIN"/>
    <s v="CCMS"/>
    <n v="21349286"/>
    <n v="14585.88"/>
    <m/>
    <s v="N"/>
    <n v="48"/>
    <d v="2023-07-10T19:01:43"/>
    <s v="Y"/>
    <s v="Preparation - other"/>
    <s v="Care Remuneration Hourly Rates"/>
    <s v="Profit Cost"/>
    <s v="Myria Pieri"/>
    <s v="Y"/>
    <n v="12.71"/>
    <n v="2.54"/>
    <x v="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85"/>
    <d v="2023-07-10T19:01:43"/>
    <s v="Y"/>
    <s v="Advocates Meeting"/>
    <s v="Public Law Children"/>
    <s v="Advocacy"/>
    <s v="Myria Pieri"/>
    <s v="Y"/>
    <n v="169.2"/>
    <n v="33.84"/>
    <x v="2"/>
    <s v="VALIDATED"/>
    <n v="1"/>
    <s v="01.11.80.308.6100.0000"/>
    <n v="169.2"/>
    <s v="11"/>
    <s v="6100"/>
    <n v="33249.27"/>
    <n v="169.2"/>
    <s v="CREDITOR"/>
    <n v="0"/>
    <n v="0"/>
    <n v="0"/>
    <n v="0"/>
    <n v="169.2"/>
  </r>
  <r>
    <n v="59743667"/>
    <s v="N"/>
    <n v="21349286"/>
    <s v="3000014122640008"/>
    <s v="CIVIL"/>
    <d v="2023-06-27T00:00:00"/>
    <d v="2023-07-10T19:01:40"/>
    <m/>
    <d v="2023-07-10T00:00:00"/>
    <n v="1832"/>
    <n v="1259"/>
    <s v="59743667"/>
    <s v="59743667"/>
    <m/>
    <m/>
    <n v="22769622"/>
    <m/>
    <m/>
    <m/>
    <s v="SOLFIN"/>
    <s v="SOLFIN"/>
    <s v="CCMS"/>
    <n v="21349286"/>
    <n v="14585.88"/>
    <m/>
    <s v="N"/>
    <n v="23"/>
    <d v="2023-07-10T19:01:43"/>
    <s v="Y"/>
    <s v="Preparation - other"/>
    <s v="Care Remuneration Hourly Rates"/>
    <s v="Profit Cost"/>
    <s v="Myria Pieri"/>
    <s v="Y"/>
    <n v="31.76"/>
    <n v="6.35"/>
    <x v="2"/>
    <s v="VALIDATED"/>
    <n v="1"/>
    <s v="01.11.80.308.6100.0000"/>
    <n v="31.76"/>
    <s v="11"/>
    <s v="6100"/>
    <n v="33249.27"/>
    <n v="31.76"/>
    <s v="CREDITOR"/>
    <n v="0"/>
    <n v="0"/>
    <n v="0"/>
    <n v="0"/>
    <n v="31.76"/>
  </r>
  <r>
    <n v="59743667"/>
    <s v="N"/>
    <n v="21349286"/>
    <s v="3000014122640008"/>
    <s v="CIVIL"/>
    <d v="2023-06-27T00:00:00"/>
    <d v="2023-07-10T19:01:40"/>
    <m/>
    <d v="2023-07-10T00:00:00"/>
    <n v="1832"/>
    <n v="1259"/>
    <s v="59743667"/>
    <s v="59743667"/>
    <m/>
    <m/>
    <n v="22769622"/>
    <m/>
    <m/>
    <m/>
    <s v="SOLFIN"/>
    <s v="SOLFIN"/>
    <s v="CCMS"/>
    <n v="21349286"/>
    <n v="14585.88"/>
    <m/>
    <s v="N"/>
    <n v="34"/>
    <d v="2023-07-10T19:01:43"/>
    <s v="Y"/>
    <s v="Routine Telephone Call"/>
    <s v="Care Remuneration Hourly Rates"/>
    <s v="Profit Cost"/>
    <s v="Myria Pieri"/>
    <s v="Y"/>
    <n v="34.05"/>
    <n v="6.81"/>
    <x v="2"/>
    <s v="VALIDATED"/>
    <n v="1"/>
    <s v="01.11.80.308.6100.0000"/>
    <n v="34.05"/>
    <s v="11"/>
    <s v="6100"/>
    <n v="33249.27"/>
    <n v="34.05"/>
    <s v="CREDITOR"/>
    <n v="0"/>
    <n v="0"/>
    <n v="0"/>
    <n v="0"/>
    <n v="34.05"/>
  </r>
  <r>
    <n v="59801646"/>
    <s v="N"/>
    <n v="21408733"/>
    <s v="3000014174670010"/>
    <s v="CIVIL"/>
    <d v="2023-06-30T00:00:00"/>
    <d v="2023-07-21T10:00:02"/>
    <m/>
    <d v="2023-07-21T00:00:00"/>
    <n v="1832"/>
    <n v="1259"/>
    <s v="59801646"/>
    <s v="59801646"/>
    <m/>
    <m/>
    <n v="22801554"/>
    <m/>
    <m/>
    <m/>
    <s v="SOLFIN"/>
    <s v="SOLFIN"/>
    <s v="CCMS"/>
    <n v="21408733"/>
    <n v="23465.88"/>
    <m/>
    <s v="N"/>
    <n v="82"/>
    <d v="2023-07-21T10:00:09"/>
    <s v="Y"/>
    <s v="Preparation - other"/>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44"/>
    <d v="2023-07-21T10:00:09"/>
    <s v="Y"/>
    <s v="Preparation - other"/>
    <s v="Care Remuneration Hourly Rates"/>
    <s v="Profit Cost"/>
    <s v="Myria Pieri"/>
    <s v="Y"/>
    <n v="224.27"/>
    <n v="44.85"/>
    <x v="12"/>
    <s v="VALIDATED"/>
    <n v="1"/>
    <s v="01.11.80.308.6100.0000"/>
    <n v="224.27"/>
    <s v="11"/>
    <s v="6100"/>
    <n v="33249.27"/>
    <n v="224.27"/>
    <s v="CREDITOR"/>
    <n v="0"/>
    <n v="0"/>
    <n v="0"/>
    <n v="0"/>
    <n v="224.27"/>
  </r>
  <r>
    <n v="59743667"/>
    <s v="N"/>
    <n v="21349286"/>
    <s v="3000014122640008"/>
    <s v="CIVIL"/>
    <d v="2023-06-27T00:00:00"/>
    <d v="2023-07-10T19:01:40"/>
    <m/>
    <d v="2023-07-10T00:00:00"/>
    <n v="1832"/>
    <n v="1259"/>
    <s v="59743667"/>
    <s v="59743667"/>
    <m/>
    <m/>
    <n v="22769622"/>
    <m/>
    <m/>
    <m/>
    <s v="SOLFIN"/>
    <s v="SOLFIN"/>
    <s v="CCMS"/>
    <n v="21349286"/>
    <n v="14585.88"/>
    <m/>
    <s v="N"/>
    <n v="14"/>
    <d v="2023-07-10T19:01:43"/>
    <s v="Y"/>
    <s v="Preparation - other"/>
    <s v="Care Remuneration Hourly Rates"/>
    <s v="Profit Cost"/>
    <s v="Myria Pieri"/>
    <s v="Y"/>
    <n v="16.02"/>
    <n v="3.2"/>
    <x v="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22"/>
    <d v="2023-07-21T10:00:09"/>
    <s v="Y"/>
    <s v="Preparation - other"/>
    <s v="Care Remuneration Hourly Rates"/>
    <s v="Profit Cost"/>
    <s v="Myria Pieri"/>
    <s v="Y"/>
    <n v="24.03"/>
    <n v="4.81"/>
    <x v="12"/>
    <s v="VALIDATED"/>
    <n v="1"/>
    <s v="01.11.80.308.6100.0000"/>
    <n v="24.03"/>
    <s v="11"/>
    <s v="6100"/>
    <n v="33249.27"/>
    <n v="24.03"/>
    <s v="CREDITOR"/>
    <n v="0"/>
    <n v="0"/>
    <n v="0"/>
    <n v="0"/>
    <n v="24.03"/>
  </r>
  <r>
    <n v="59743667"/>
    <s v="N"/>
    <n v="21349286"/>
    <s v="3000014122640008"/>
    <s v="CIVIL"/>
    <d v="2023-06-27T00:00:00"/>
    <d v="2023-07-10T19:01:40"/>
    <m/>
    <d v="2023-07-10T00:00:00"/>
    <n v="1832"/>
    <n v="1259"/>
    <s v="59743667"/>
    <s v="59743667"/>
    <m/>
    <m/>
    <n v="22769622"/>
    <m/>
    <m/>
    <m/>
    <s v="SOLFIN"/>
    <s v="SOLFIN"/>
    <s v="CCMS"/>
    <n v="21349286"/>
    <n v="14585.88"/>
    <m/>
    <s v="N"/>
    <n v="84"/>
    <d v="2023-07-10T19:01:43"/>
    <s v="Y"/>
    <s v="Preparation - other"/>
    <s v="Care Remuneration Hourly Rates"/>
    <s v="Profit Cost"/>
    <s v="Myria Pieri"/>
    <s v="Y"/>
    <n v="120.15"/>
    <n v="24.03"/>
    <x v="2"/>
    <s v="VALIDATED"/>
    <n v="1"/>
    <s v="01.11.80.308.6100.0000"/>
    <n v="120.15"/>
    <s v="11"/>
    <s v="6100"/>
    <n v="33249.27"/>
    <n v="120.15"/>
    <s v="CREDITOR"/>
    <n v="0"/>
    <n v="0"/>
    <n v="0"/>
    <n v="0"/>
    <n v="120.15"/>
  </r>
  <r>
    <n v="59743667"/>
    <s v="N"/>
    <n v="21349286"/>
    <s v="3000014122640008"/>
    <s v="CIVIL"/>
    <d v="2023-06-27T00:00:00"/>
    <d v="2023-07-10T19:01:40"/>
    <m/>
    <d v="2023-07-10T00:00:00"/>
    <n v="1832"/>
    <n v="1259"/>
    <s v="59743667"/>
    <s v="59743667"/>
    <m/>
    <m/>
    <n v="22769622"/>
    <m/>
    <m/>
    <m/>
    <s v="SOLFIN"/>
    <s v="SOLFIN"/>
    <s v="CCMS"/>
    <n v="21349286"/>
    <n v="14585.88"/>
    <m/>
    <s v="N"/>
    <n v="68"/>
    <d v="2023-07-10T19:01:43"/>
    <s v="Y"/>
    <s v="Attendance upon client"/>
    <s v="Care Remuneration Hourly Rates"/>
    <s v="Profit Cost"/>
    <s v="Myria Pieri"/>
    <s v="Y"/>
    <n v="40.05"/>
    <n v="8.01"/>
    <x v="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50"/>
    <d v="2023-07-21T10:00:09"/>
    <s v="Y"/>
    <s v="Preparation - other"/>
    <s v="Care Remuneration Hourly Rates"/>
    <s v="Profit Cost"/>
    <s v="Myria Pieri"/>
    <s v="Y"/>
    <n v="144.17"/>
    <n v="28.83"/>
    <x v="12"/>
    <s v="VALIDATED"/>
    <n v="1"/>
    <s v="01.11.80.308.6100.0000"/>
    <n v="144.17"/>
    <s v="11"/>
    <s v="6100"/>
    <n v="33249.27"/>
    <n v="144.17"/>
    <s v="CREDITOR"/>
    <n v="0"/>
    <n v="0"/>
    <n v="0"/>
    <n v="0"/>
    <n v="144.17"/>
  </r>
  <r>
    <n v="59801646"/>
    <s v="N"/>
    <n v="21408733"/>
    <s v="3000014174670010"/>
    <s v="CIVIL"/>
    <d v="2023-06-30T00:00:00"/>
    <d v="2023-07-21T10:00:02"/>
    <m/>
    <d v="2023-07-21T00:00:00"/>
    <n v="1832"/>
    <n v="1259"/>
    <s v="59801646"/>
    <s v="59801646"/>
    <m/>
    <m/>
    <n v="22801554"/>
    <m/>
    <m/>
    <m/>
    <s v="SOLFIN"/>
    <s v="SOLFIN"/>
    <s v="CCMS"/>
    <n v="21408733"/>
    <n v="23465.88"/>
    <m/>
    <s v="N"/>
    <n v="157"/>
    <d v="2023-07-21T10:00:09"/>
    <s v="Y"/>
    <s v="Hearing Unit 2.31 - 5.00 Hours"/>
    <s v="Public Law Children"/>
    <s v="Advocacy"/>
    <s v="Myria Pieri"/>
    <s v="Y"/>
    <n v="476.92"/>
    <n v="95.38"/>
    <x v="12"/>
    <s v="VALIDATED"/>
    <n v="1"/>
    <s v="01.11.80.308.6100.0000"/>
    <n v="476.92"/>
    <s v="11"/>
    <s v="6100"/>
    <n v="33249.27"/>
    <n v="476.92"/>
    <s v="CREDITOR"/>
    <n v="0"/>
    <n v="0"/>
    <n v="0"/>
    <n v="0"/>
    <n v="476.92"/>
  </r>
  <r>
    <n v="59801646"/>
    <s v="N"/>
    <n v="21408733"/>
    <s v="3000014174670010"/>
    <s v="CIVIL"/>
    <d v="2023-06-30T00:00:00"/>
    <d v="2023-07-21T10:00:02"/>
    <m/>
    <d v="2023-07-21T00:00:00"/>
    <n v="1832"/>
    <n v="1259"/>
    <s v="59801646"/>
    <s v="59801646"/>
    <m/>
    <m/>
    <n v="22801554"/>
    <m/>
    <m/>
    <m/>
    <s v="SOLFIN"/>
    <s v="SOLFIN"/>
    <s v="CCMS"/>
    <n v="21408733"/>
    <n v="23465.88"/>
    <m/>
    <s v="N"/>
    <n v="121"/>
    <d v="2023-07-21T10:00:09"/>
    <s v="Y"/>
    <s v="Preparation - other"/>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127"/>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56"/>
    <d v="2023-07-21T10:00:09"/>
    <s v="Y"/>
    <s v="Advocates Meeting"/>
    <s v="Public Law Children"/>
    <s v="Advocacy"/>
    <s v="Myria Pieri"/>
    <s v="Y"/>
    <n v="140.99"/>
    <n v="28.2"/>
    <x v="12"/>
    <s v="VALIDATED"/>
    <n v="1"/>
    <s v="01.11.80.308.6100.0000"/>
    <n v="140.99"/>
    <s v="11"/>
    <s v="6100"/>
    <n v="33249.27"/>
    <n v="140.99"/>
    <s v="CREDITOR"/>
    <n v="0"/>
    <n v="0"/>
    <n v="0"/>
    <n v="0"/>
    <n v="140.99"/>
  </r>
  <r>
    <n v="59743667"/>
    <s v="N"/>
    <n v="21349286"/>
    <s v="3000014122640008"/>
    <s v="CIVIL"/>
    <d v="2023-06-27T00:00:00"/>
    <d v="2023-07-10T19:01:40"/>
    <m/>
    <d v="2023-07-10T00:00:00"/>
    <n v="1832"/>
    <n v="1259"/>
    <s v="59743667"/>
    <s v="59743667"/>
    <m/>
    <m/>
    <n v="22769622"/>
    <m/>
    <m/>
    <m/>
    <s v="SOLFIN"/>
    <s v="SOLFIN"/>
    <s v="CCMS"/>
    <n v="21349286"/>
    <n v="14585.88"/>
    <m/>
    <s v="N"/>
    <n v="33"/>
    <d v="2023-07-10T19:01:43"/>
    <s v="Y"/>
    <s v="Preparation - other"/>
    <s v="Care Remuneration Hourly Rates"/>
    <s v="Profit Cost"/>
    <s v="Myria Pieri"/>
    <s v="Y"/>
    <n v="16.02"/>
    <n v="3.2"/>
    <x v="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54"/>
    <d v="2023-07-10T19:01:43"/>
    <s v="Y"/>
    <s v="Preparation - other"/>
    <s v="Care Remuneration Hourly Rates"/>
    <s v="Profit Cost"/>
    <s v="Myria Pieri"/>
    <s v="Y"/>
    <n v="7.26"/>
    <n v="1.45"/>
    <x v="2"/>
    <s v="VALIDATED"/>
    <n v="1"/>
    <s v="01.11.80.308.6100.0000"/>
    <n v="7.26"/>
    <s v="11"/>
    <s v="6100"/>
    <n v="33249.27"/>
    <n v="7.26"/>
    <s v="CREDITOR"/>
    <n v="0"/>
    <n v="0"/>
    <n v="0"/>
    <n v="0"/>
    <n v="7.26"/>
  </r>
  <r>
    <n v="59743667"/>
    <s v="N"/>
    <n v="21349286"/>
    <s v="3000014122640008"/>
    <s v="CIVIL"/>
    <d v="2023-06-27T00:00:00"/>
    <d v="2023-07-10T19:01:40"/>
    <m/>
    <d v="2023-07-10T00:00:00"/>
    <n v="1832"/>
    <n v="1259"/>
    <s v="59743667"/>
    <s v="59743667"/>
    <m/>
    <m/>
    <n v="22769622"/>
    <m/>
    <m/>
    <m/>
    <s v="SOLFIN"/>
    <s v="SOLFIN"/>
    <s v="CCMS"/>
    <n v="21349286"/>
    <n v="14585.88"/>
    <m/>
    <s v="N"/>
    <n v="56"/>
    <d v="2023-07-10T19:01:43"/>
    <s v="Y"/>
    <s v="Preparation - drafting consent orde"/>
    <s v="Care Remuneration Hourly Rates"/>
    <s v="Profit Cost"/>
    <s v="Myria Pieri"/>
    <s v="Y"/>
    <n v="9.15"/>
    <n v="1.83"/>
    <x v="2"/>
    <s v="VALIDATED"/>
    <n v="1"/>
    <s v="01.11.80.308.6100.0000"/>
    <n v="9.15"/>
    <s v="11"/>
    <s v="6100"/>
    <n v="33249.27"/>
    <n v="9.15"/>
    <s v="CREDITOR"/>
    <n v="0"/>
    <n v="0"/>
    <n v="0"/>
    <n v="0"/>
    <n v="9.15"/>
  </r>
  <r>
    <n v="59743667"/>
    <s v="N"/>
    <n v="21349286"/>
    <s v="3000014122640008"/>
    <s v="CIVIL"/>
    <d v="2023-06-27T00:00:00"/>
    <d v="2023-07-10T19:01:40"/>
    <m/>
    <d v="2023-07-10T00:00:00"/>
    <n v="1832"/>
    <n v="1259"/>
    <s v="59743667"/>
    <s v="59743667"/>
    <m/>
    <m/>
    <n v="22769622"/>
    <m/>
    <m/>
    <m/>
    <s v="SOLFIN"/>
    <s v="SOLFIN"/>
    <s v="CCMS"/>
    <n v="21349286"/>
    <n v="14585.88"/>
    <m/>
    <s v="N"/>
    <n v="74"/>
    <d v="2023-07-10T19:01:43"/>
    <s v="Y"/>
    <s v="Preparation - other"/>
    <s v="Care Remuneration Hourly Rates"/>
    <s v="Profit Cost"/>
    <s v="Myria Pieri"/>
    <s v="Y"/>
    <n v="18.28"/>
    <n v="3.66"/>
    <x v="2"/>
    <s v="VALIDATED"/>
    <n v="1"/>
    <s v="01.11.80.308.6100.0000"/>
    <n v="18.28"/>
    <s v="11"/>
    <s v="6100"/>
    <n v="33249.27"/>
    <n v="18.28"/>
    <s v="CREDITOR"/>
    <n v="0"/>
    <n v="0"/>
    <n v="0"/>
    <n v="0"/>
    <n v="18.28"/>
  </r>
  <r>
    <n v="59801646"/>
    <s v="N"/>
    <n v="21408733"/>
    <s v="3000014174670010"/>
    <s v="CIVIL"/>
    <d v="2023-06-30T00:00:00"/>
    <d v="2023-07-21T10:00:02"/>
    <m/>
    <d v="2023-07-21T00:00:00"/>
    <n v="1832"/>
    <n v="1259"/>
    <s v="59801646"/>
    <s v="59801646"/>
    <m/>
    <m/>
    <n v="22801554"/>
    <m/>
    <m/>
    <m/>
    <s v="SOLFIN"/>
    <s v="SOLFIN"/>
    <s v="CCMS"/>
    <n v="21408733"/>
    <n v="23465.88"/>
    <m/>
    <s v="N"/>
    <n v="142"/>
    <d v="2023-07-21T10:00:09"/>
    <s v="Y"/>
    <s v="Attendance upon client"/>
    <s v="Care Remuneration Hourly Rates"/>
    <s v="Profit Cost"/>
    <s v="Myria Pieri"/>
    <s v="Y"/>
    <n v="16.02"/>
    <n v="3.2"/>
    <x v="1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69"/>
    <d v="2023-07-10T19:01:43"/>
    <s v="Y"/>
    <s v="Preparation - other"/>
    <s v="Care Remuneration Hourly Rates"/>
    <s v="Profit Cost"/>
    <s v="Myria Pieri"/>
    <s v="Y"/>
    <n v="36.57"/>
    <n v="7.31"/>
    <x v="2"/>
    <s v="VALIDATED"/>
    <n v="1"/>
    <s v="01.11.80.308.6100.0000"/>
    <n v="36.57"/>
    <s v="11"/>
    <s v="6100"/>
    <n v="33249.27"/>
    <n v="36.57"/>
    <s v="CREDITOR"/>
    <n v="0"/>
    <n v="0"/>
    <n v="0"/>
    <n v="0"/>
    <n v="36.57"/>
  </r>
  <r>
    <n v="59801646"/>
    <s v="N"/>
    <n v="21408733"/>
    <s v="3000014174670010"/>
    <s v="CIVIL"/>
    <d v="2023-06-30T00:00:00"/>
    <d v="2023-07-21T10:00:02"/>
    <m/>
    <d v="2023-07-21T00:00:00"/>
    <n v="1832"/>
    <n v="1259"/>
    <s v="59801646"/>
    <s v="59801646"/>
    <m/>
    <m/>
    <n v="22801554"/>
    <m/>
    <m/>
    <m/>
    <s v="SOLFIN"/>
    <s v="SOLFIN"/>
    <s v="CCMS"/>
    <n v="21408733"/>
    <n v="23465.88"/>
    <m/>
    <s v="N"/>
    <n v="26"/>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96"/>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10"/>
    <d v="2023-07-21T10:00:09"/>
    <s v="Y"/>
    <s v="Expert - Other"/>
    <s v="Public Law Children"/>
    <s v="Expert Disbursement"/>
    <s v="Myria Pieri"/>
    <s v="Y"/>
    <n v="216"/>
    <n v="43.2"/>
    <x v="12"/>
    <s v="VALIDATED"/>
    <n v="1"/>
    <s v="01.11.80.308.6300.0000"/>
    <n v="216"/>
    <s v="11"/>
    <s v="6300"/>
    <n v="33249.27"/>
    <n v="216"/>
    <s v="CREDITOR"/>
    <n v="0"/>
    <n v="0"/>
    <n v="0"/>
    <n v="0"/>
    <n v="216"/>
  </r>
  <r>
    <n v="59428996"/>
    <s v="N"/>
    <n v="21360295"/>
    <s v="3000013869930006"/>
    <s v="CIVIL"/>
    <d v="2023-06-30T00:00:00"/>
    <d v="2023-07-11T11:50:54"/>
    <m/>
    <d v="2023-07-11T00:00:00"/>
    <n v="1832"/>
    <n v="1259"/>
    <s v="59428996"/>
    <s v="59428996"/>
    <m/>
    <m/>
    <n v="22798406"/>
    <m/>
    <m/>
    <m/>
    <s v="SOLFIN"/>
    <s v="SOLFIN"/>
    <s v="CCMS"/>
    <n v="21360295"/>
    <n v="6298.44"/>
    <m/>
    <s v="N"/>
    <n v="1"/>
    <d v="2023-07-11T11:51:01"/>
    <s v="Y"/>
    <s v="Child psychologist"/>
    <s v="Public Law Children"/>
    <s v="Expert Disbursement"/>
    <s v="sam wilde"/>
    <s v="Y"/>
    <n v="672"/>
    <n v="134.4"/>
    <x v="7"/>
    <s v="VALIDATED"/>
    <n v="1"/>
    <s v="01.11.80.308.6300.0000"/>
    <n v="672"/>
    <s v="11"/>
    <s v="6300"/>
    <n v="33249.27"/>
    <n v="672"/>
    <s v="CREDITOR"/>
    <n v="0"/>
    <n v="0"/>
    <n v="0"/>
    <n v="0"/>
    <n v="672"/>
  </r>
  <r>
    <n v="59743667"/>
    <s v="N"/>
    <n v="21349286"/>
    <s v="3000014122640008"/>
    <s v="CIVIL"/>
    <d v="2023-06-27T00:00:00"/>
    <d v="2023-07-10T19:01:40"/>
    <m/>
    <d v="2023-07-10T00:00:00"/>
    <n v="1832"/>
    <n v="1259"/>
    <s v="59743667"/>
    <s v="59743667"/>
    <m/>
    <m/>
    <n v="22769622"/>
    <m/>
    <m/>
    <m/>
    <s v="SOLFIN"/>
    <s v="SOLFIN"/>
    <s v="CCMS"/>
    <n v="21349286"/>
    <n v="14585.88"/>
    <m/>
    <s v="N"/>
    <n v="8"/>
    <d v="2023-07-10T19:01:43"/>
    <s v="Y"/>
    <s v="Preparation - other"/>
    <s v="Care Remuneration Hourly Rates"/>
    <s v="Profit Cost"/>
    <s v="Myria Pieri"/>
    <s v="Y"/>
    <n v="12.71"/>
    <n v="2.54"/>
    <x v="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74"/>
    <d v="2023-07-21T10:00:09"/>
    <s v="Y"/>
    <s v="Preparation - other"/>
    <s v="Care Remuneration Hourly Rates"/>
    <s v="Profit Cost"/>
    <s v="Myria Pieri"/>
    <s v="Y"/>
    <n v="8"/>
    <n v="1.6"/>
    <x v="12"/>
    <s v="VALIDATED"/>
    <n v="1"/>
    <s v="01.11.80.308.6100.0000"/>
    <n v="8"/>
    <s v="11"/>
    <s v="6100"/>
    <n v="33249.27"/>
    <n v="8"/>
    <s v="CREDITOR"/>
    <n v="0"/>
    <n v="0"/>
    <n v="0"/>
    <n v="0"/>
    <n v="8"/>
  </r>
  <r>
    <n v="59801646"/>
    <s v="N"/>
    <n v="21408733"/>
    <s v="3000014174670010"/>
    <s v="CIVIL"/>
    <d v="2023-06-30T00:00:00"/>
    <d v="2023-07-21T10:00:02"/>
    <m/>
    <d v="2023-07-21T00:00:00"/>
    <n v="1832"/>
    <n v="1259"/>
    <s v="59801646"/>
    <s v="59801646"/>
    <m/>
    <m/>
    <n v="22801554"/>
    <m/>
    <m/>
    <m/>
    <s v="SOLFIN"/>
    <s v="SOLFIN"/>
    <s v="CCMS"/>
    <n v="21408733"/>
    <n v="23465.88"/>
    <m/>
    <s v="N"/>
    <n v="6"/>
    <d v="2023-07-21T10:00:09"/>
    <s v="Y"/>
    <s v="Expert - Other"/>
    <s v="Public Law Children"/>
    <s v="Expert Disbursement"/>
    <s v="Myria Pieri"/>
    <s v="Y"/>
    <n v="18.75"/>
    <n v="3.75"/>
    <x v="12"/>
    <s v="VALIDATED"/>
    <n v="1"/>
    <s v="01.11.80.308.6300.0000"/>
    <n v="18.75"/>
    <s v="11"/>
    <s v="6300"/>
    <n v="33249.27"/>
    <n v="18.75"/>
    <s v="CREDITOR"/>
    <n v="0"/>
    <n v="0"/>
    <n v="0"/>
    <n v="0"/>
    <n v="18.75"/>
  </r>
  <r>
    <n v="59743667"/>
    <s v="N"/>
    <n v="21349286"/>
    <s v="3000014122640008"/>
    <s v="CIVIL"/>
    <d v="2023-06-27T00:00:00"/>
    <d v="2023-07-10T19:01:40"/>
    <m/>
    <d v="2023-07-10T00:00:00"/>
    <n v="1832"/>
    <n v="1259"/>
    <s v="59743667"/>
    <s v="59743667"/>
    <m/>
    <m/>
    <n v="22769622"/>
    <m/>
    <m/>
    <m/>
    <s v="SOLFIN"/>
    <s v="SOLFIN"/>
    <s v="CCMS"/>
    <n v="21349286"/>
    <n v="14585.88"/>
    <m/>
    <s v="N"/>
    <n v="40"/>
    <d v="2023-07-10T19:01:43"/>
    <s v="Y"/>
    <s v="Preparation - other"/>
    <s v="Care Remuneration Hourly Rates"/>
    <s v="Profit Cost"/>
    <s v="Myria Pieri"/>
    <s v="Y"/>
    <n v="160.2"/>
    <n v="32.04"/>
    <x v="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76"/>
    <d v="2023-07-10T19:01:43"/>
    <s v="Y"/>
    <s v="Preparation - other"/>
    <s v="Care Remuneration Hourly Rates"/>
    <s v="Profit Cost"/>
    <s v="Myria Pieri"/>
    <s v="Y"/>
    <n v="109.72"/>
    <n v="21.94"/>
    <x v="2"/>
    <s v="VALIDATED"/>
    <n v="1"/>
    <s v="01.11.80.308.6100.0000"/>
    <n v="109.72"/>
    <s v="11"/>
    <s v="6100"/>
    <n v="33249.27"/>
    <n v="109.72"/>
    <s v="CREDITOR"/>
    <n v="0"/>
    <n v="0"/>
    <n v="0"/>
    <n v="0"/>
    <n v="109.72"/>
  </r>
  <r>
    <n v="59801646"/>
    <s v="N"/>
    <n v="21408733"/>
    <s v="3000014174670010"/>
    <s v="CIVIL"/>
    <d v="2023-06-30T00:00:00"/>
    <d v="2023-07-21T10:00:02"/>
    <m/>
    <d v="2023-07-21T00:00:00"/>
    <n v="1832"/>
    <n v="1259"/>
    <s v="59801646"/>
    <s v="59801646"/>
    <m/>
    <m/>
    <n v="22801554"/>
    <m/>
    <m/>
    <m/>
    <s v="SOLFIN"/>
    <s v="SOLFIN"/>
    <s v="CCMS"/>
    <n v="21408733"/>
    <n v="23465.88"/>
    <m/>
    <s v="N"/>
    <n v="75"/>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08"/>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23"/>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28"/>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29"/>
    <d v="2023-07-21T10:00:09"/>
    <s v="Y"/>
    <s v="Preparation - other"/>
    <s v="Care Remuneration Hourly Rates"/>
    <s v="Profit Cost"/>
    <s v="Myria Pieri"/>
    <s v="Y"/>
    <n v="6.35"/>
    <n v="1.27"/>
    <x v="1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69"/>
    <d v="2023-07-21T10:00:09"/>
    <s v="Y"/>
    <s v="Attendance upon client"/>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73"/>
    <d v="2023-07-21T10:00:09"/>
    <s v="Y"/>
    <s v="Attendance upon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25"/>
    <d v="2023-07-21T10:00:09"/>
    <s v="Y"/>
    <s v="Preparation - other"/>
    <s v="Care Remuneration Hourly Rates"/>
    <s v="Profit Cost"/>
    <s v="Myria Pieri"/>
    <s v="Y"/>
    <n v="160.2"/>
    <n v="32.04"/>
    <x v="1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22"/>
    <d v="2023-07-10T19:01:43"/>
    <s v="Y"/>
    <s v="Preparation - other"/>
    <s v="Care Remuneration Hourly Rates"/>
    <s v="Profit Cost"/>
    <s v="Myria Pieri"/>
    <s v="Y"/>
    <n v="40.05"/>
    <n v="8.01"/>
    <x v="2"/>
    <s v="VALIDATED"/>
    <n v="1"/>
    <s v="01.11.80.308.6100.0000"/>
    <n v="40.05"/>
    <s v="11"/>
    <s v="6100"/>
    <n v="33249.27"/>
    <n v="40.05"/>
    <s v="CREDITOR"/>
    <n v="0"/>
    <n v="0"/>
    <n v="0"/>
    <n v="0"/>
    <n v="40.05"/>
  </r>
  <r>
    <n v="62487644"/>
    <s v="N"/>
    <n v="21320039"/>
    <s v="3000016446780003"/>
    <s v="CIVIL"/>
    <d v="2023-06-28T00:00:00"/>
    <d v="2023-07-03T19:04:24"/>
    <m/>
    <d v="2023-07-03T00:00:00"/>
    <n v="1832"/>
    <n v="1259"/>
    <s v="62487644"/>
    <s v="62487644"/>
    <m/>
    <m/>
    <n v="22777278"/>
    <m/>
    <m/>
    <m/>
    <s v="SOLPOA"/>
    <s v="SOLPOA"/>
    <s v="CCMS"/>
    <n v="21320039"/>
    <n v="273.6"/>
    <m/>
    <s v="N"/>
    <n v="1"/>
    <d v="2023-07-03T19:04:29"/>
    <s v="N"/>
    <s v="Non Expert Disbursement"/>
    <s v="Non Expert Disbursement"/>
    <s v="Non Expert Disbursement"/>
    <s v="myria pieri"/>
    <s v="N"/>
    <n v="228"/>
    <n v="45.6"/>
    <x v="3"/>
    <s v="VALIDATED"/>
    <n v="1"/>
    <s v="01.11.80.308.2012.0000"/>
    <n v="228"/>
    <s v="11"/>
    <s v="2012"/>
    <n v="33249.27"/>
    <n v="228"/>
    <s v="CREDITOR"/>
    <n v="228"/>
    <n v="0"/>
    <n v="0"/>
    <n v="0"/>
    <n v="0"/>
  </r>
  <r>
    <n v="59743667"/>
    <s v="N"/>
    <n v="21349286"/>
    <s v="3000014122640008"/>
    <s v="CIVIL"/>
    <d v="2023-06-27T00:00:00"/>
    <d v="2023-07-10T19:01:40"/>
    <m/>
    <d v="2023-07-10T00:00:00"/>
    <n v="1832"/>
    <n v="1259"/>
    <s v="59743667"/>
    <s v="59743667"/>
    <m/>
    <m/>
    <n v="22769622"/>
    <m/>
    <m/>
    <m/>
    <s v="SOLFIN"/>
    <s v="SOLFIN"/>
    <s v="CCMS"/>
    <n v="21349286"/>
    <n v="14585.88"/>
    <m/>
    <s v="N"/>
    <n v="26"/>
    <d v="2023-07-10T19:01:43"/>
    <s v="Y"/>
    <s v="Attendance upon client"/>
    <s v="Care Remuneration Hourly Rates"/>
    <s v="Profit Cost"/>
    <s v="Myria Pieri"/>
    <s v="Y"/>
    <n v="32.05"/>
    <n v="6.41"/>
    <x v="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2"/>
    <d v="2023-07-10T19:01:43"/>
    <s v="Y"/>
    <s v="Psychologist"/>
    <s v="Care Remuneration Hourly Rates"/>
    <s v="Expert Disbursement"/>
    <s v="Myria Pieri"/>
    <s v="Y"/>
    <n v="509.87"/>
    <n v="101.97"/>
    <x v="2"/>
    <s v="VALIDATED"/>
    <n v="1"/>
    <s v="01.11.80.308.6300.0000"/>
    <n v="509.87"/>
    <s v="11"/>
    <s v="6300"/>
    <n v="33249.27"/>
    <n v="509.87"/>
    <s v="CREDITOR"/>
    <n v="0"/>
    <n v="0"/>
    <n v="0"/>
    <n v="0"/>
    <n v="509.87"/>
  </r>
  <r>
    <n v="59743667"/>
    <s v="N"/>
    <n v="21349286"/>
    <s v="3000014122640008"/>
    <s v="CIVIL"/>
    <d v="2023-06-27T00:00:00"/>
    <d v="2023-07-10T19:01:40"/>
    <m/>
    <d v="2023-07-10T00:00:00"/>
    <n v="1832"/>
    <n v="1259"/>
    <s v="59743667"/>
    <s v="59743667"/>
    <m/>
    <m/>
    <n v="22769622"/>
    <m/>
    <m/>
    <m/>
    <s v="SOLFIN"/>
    <s v="SOLFIN"/>
    <s v="CCMS"/>
    <n v="21349286"/>
    <n v="14585.88"/>
    <m/>
    <s v="N"/>
    <n v="15"/>
    <d v="2023-07-10T19:01:43"/>
    <s v="Y"/>
    <s v="Routine Letter Out"/>
    <s v="Care Remuneration Hourly Rates"/>
    <s v="Profit Cost"/>
    <s v="Myria Pieri"/>
    <s v="Y"/>
    <n v="1116.04"/>
    <n v="223.25"/>
    <x v="2"/>
    <s v="VALIDATED"/>
    <n v="1"/>
    <s v="01.11.80.308.6100.0000"/>
    <n v="1116.04"/>
    <s v="11"/>
    <s v="6100"/>
    <n v="33249.27"/>
    <n v="1116.04"/>
    <s v="CREDITOR"/>
    <n v="0"/>
    <n v="0"/>
    <n v="0"/>
    <n v="0"/>
    <n v="1116.04"/>
  </r>
  <r>
    <n v="59801646"/>
    <s v="N"/>
    <n v="21408733"/>
    <s v="3000014174670010"/>
    <s v="CIVIL"/>
    <d v="2023-06-30T00:00:00"/>
    <d v="2023-07-21T10:00:02"/>
    <m/>
    <d v="2023-07-21T00:00:00"/>
    <n v="1832"/>
    <n v="1259"/>
    <s v="59801646"/>
    <s v="59801646"/>
    <m/>
    <m/>
    <n v="22801554"/>
    <m/>
    <m/>
    <m/>
    <s v="SOLFIN"/>
    <s v="SOLFIN"/>
    <s v="CCMS"/>
    <n v="21408733"/>
    <n v="23465.88"/>
    <m/>
    <s v="N"/>
    <n v="158"/>
    <d v="2023-07-21T10:00:09"/>
    <s v="N"/>
    <s v="Solicitors Fixed Fee"/>
    <s v="Public Law Children"/>
    <s v="Profit Cost"/>
    <s v="Myria Pieri"/>
    <s v="N"/>
    <n v="0"/>
    <n v="0"/>
    <x v="12"/>
    <s v="VALIDATED"/>
    <n v="1"/>
    <s v="01.11.80.308.6100.0000"/>
    <n v="0"/>
    <s v="11"/>
    <s v="6100"/>
    <n v="33249.27"/>
    <n v="0"/>
    <s v="CREDITOR"/>
    <n v="0"/>
    <n v="0"/>
    <n v="0"/>
    <n v="0"/>
    <n v="0"/>
  </r>
  <r>
    <n v="59801646"/>
    <s v="N"/>
    <n v="21408733"/>
    <s v="3000014174670010"/>
    <s v="CIVIL"/>
    <d v="2023-06-30T00:00:00"/>
    <d v="2023-07-21T10:00:02"/>
    <m/>
    <d v="2023-07-21T00:00:00"/>
    <n v="1832"/>
    <n v="1259"/>
    <s v="59801646"/>
    <s v="59801646"/>
    <m/>
    <m/>
    <n v="22801554"/>
    <m/>
    <m/>
    <m/>
    <s v="SOLFIN"/>
    <s v="SOLFIN"/>
    <s v="CCMS"/>
    <n v="21408733"/>
    <n v="23465.88"/>
    <m/>
    <s v="N"/>
    <n v="90"/>
    <d v="2023-07-21T10:00:09"/>
    <s v="Y"/>
    <s v="Preparation -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99"/>
    <d v="2023-07-21T10:00:09"/>
    <s v="Y"/>
    <s v="Preparation - other"/>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41"/>
    <d v="2023-07-21T10:00:09"/>
    <s v="Y"/>
    <s v="Preparation - other"/>
    <s v="Care Remuneration Hourly Rates"/>
    <s v="Profit Cost"/>
    <s v="Myria Pieri"/>
    <s v="Y"/>
    <n v="8"/>
    <n v="1.6"/>
    <x v="12"/>
    <s v="VALIDATED"/>
    <n v="1"/>
    <s v="01.11.80.308.6100.0000"/>
    <n v="8"/>
    <s v="11"/>
    <s v="6100"/>
    <n v="33249.27"/>
    <n v="8"/>
    <s v="CREDITOR"/>
    <n v="0"/>
    <n v="0"/>
    <n v="0"/>
    <n v="0"/>
    <n v="8"/>
  </r>
  <r>
    <n v="59801646"/>
    <s v="N"/>
    <n v="21408733"/>
    <s v="3000014174670010"/>
    <s v="CIVIL"/>
    <d v="2023-06-30T00:00:00"/>
    <d v="2023-07-21T10:00:02"/>
    <m/>
    <d v="2023-07-21T00:00:00"/>
    <n v="1832"/>
    <n v="1259"/>
    <s v="59801646"/>
    <s v="59801646"/>
    <m/>
    <m/>
    <n v="22801554"/>
    <m/>
    <m/>
    <m/>
    <s v="SOLFIN"/>
    <s v="SOLFIN"/>
    <s v="CCMS"/>
    <n v="21408733"/>
    <n v="23465.88"/>
    <m/>
    <s v="N"/>
    <n v="151"/>
    <d v="2023-07-21T10:00:09"/>
    <s v="Y"/>
    <s v="Hearing Unit 2.31 - 5.00 Hours"/>
    <s v="Public Law Children"/>
    <s v="Advocacy"/>
    <s v="Myria Pieri"/>
    <s v="Y"/>
    <n v="476.92"/>
    <n v="95.38"/>
    <x v="12"/>
    <s v="VALIDATED"/>
    <n v="1"/>
    <s v="01.11.80.308.6100.0000"/>
    <n v="476.92"/>
    <s v="11"/>
    <s v="6100"/>
    <n v="33249.27"/>
    <n v="476.92"/>
    <s v="CREDITOR"/>
    <n v="0"/>
    <n v="0"/>
    <n v="0"/>
    <n v="0"/>
    <n v="476.92"/>
  </r>
  <r>
    <n v="59743667"/>
    <s v="N"/>
    <n v="21349286"/>
    <s v="3000014122640008"/>
    <s v="CIVIL"/>
    <d v="2023-06-27T00:00:00"/>
    <d v="2023-07-10T19:01:40"/>
    <m/>
    <d v="2023-07-10T00:00:00"/>
    <n v="1832"/>
    <n v="1259"/>
    <s v="59743667"/>
    <s v="59743667"/>
    <m/>
    <m/>
    <n v="22769622"/>
    <m/>
    <m/>
    <m/>
    <s v="SOLFIN"/>
    <s v="SOLFIN"/>
    <s v="CCMS"/>
    <n v="21349286"/>
    <n v="14585.88"/>
    <m/>
    <s v="N"/>
    <n v="80"/>
    <d v="2023-07-10T19:01:43"/>
    <s v="Y"/>
    <s v="Preparation - other"/>
    <s v="Care Remuneration Hourly Rates"/>
    <s v="Profit Cost"/>
    <s v="Myria Pieri"/>
    <s v="Y"/>
    <n v="12.71"/>
    <n v="2.54"/>
    <x v="2"/>
    <s v="VALIDATED"/>
    <n v="1"/>
    <s v="01.11.80.308.6100.0000"/>
    <n v="12.71"/>
    <s v="11"/>
    <s v="6100"/>
    <n v="33249.27"/>
    <n v="12.71"/>
    <s v="CREDITOR"/>
    <n v="0"/>
    <n v="0"/>
    <n v="0"/>
    <n v="0"/>
    <n v="12.71"/>
  </r>
  <r>
    <n v="42670250"/>
    <s v="N"/>
    <n v="21350083"/>
    <s v="3000011360380005"/>
    <s v="CIVIL"/>
    <d v="2023-06-30T00:00:00"/>
    <d v="2023-07-10T19:01:40"/>
    <m/>
    <d v="2023-07-10T00:00:00"/>
    <n v="1832"/>
    <n v="1259"/>
    <s v="42670250"/>
    <s v="42670250"/>
    <m/>
    <m/>
    <n v="22797736"/>
    <m/>
    <m/>
    <m/>
    <s v="SOLFIN"/>
    <s v="SOLFIN"/>
    <s v="CCMS"/>
    <n v="21350083"/>
    <n v="3096"/>
    <m/>
    <s v="N"/>
    <n v="1"/>
    <d v="2023-07-10T19:02:13"/>
    <s v="Y"/>
    <s v="Risk assessment expert"/>
    <s v="Public Law Children"/>
    <s v="Expert Disbursement"/>
    <s v="Myria Pieri"/>
    <s v="Y"/>
    <n v="567"/>
    <n v="113.4"/>
    <x v="2"/>
    <s v="VALIDATED"/>
    <n v="1"/>
    <s v="01.11.80.308.6300.0000"/>
    <n v="567"/>
    <s v="11"/>
    <s v="6300"/>
    <n v="33249.27"/>
    <n v="567"/>
    <s v="CREDITOR"/>
    <n v="0"/>
    <n v="0"/>
    <n v="0"/>
    <n v="0"/>
    <n v="567"/>
  </r>
  <r>
    <n v="59743667"/>
    <s v="N"/>
    <n v="21349286"/>
    <s v="3000014122640008"/>
    <s v="CIVIL"/>
    <d v="2023-06-27T00:00:00"/>
    <d v="2023-07-10T19:01:40"/>
    <m/>
    <d v="2023-07-10T00:00:00"/>
    <n v="1832"/>
    <n v="1259"/>
    <s v="59743667"/>
    <s v="59743667"/>
    <m/>
    <m/>
    <n v="22769622"/>
    <m/>
    <m/>
    <m/>
    <s v="SOLFIN"/>
    <s v="SOLFIN"/>
    <s v="CCMS"/>
    <n v="21349286"/>
    <n v="14585.88"/>
    <m/>
    <s v="N"/>
    <n v="28"/>
    <d v="2023-07-10T19:01:43"/>
    <s v="Y"/>
    <s v="Preparation - other"/>
    <s v="Care Remuneration Hourly Rates"/>
    <s v="Profit Cost"/>
    <s v="Myria Pieri"/>
    <s v="Y"/>
    <n v="16.02"/>
    <n v="3.2"/>
    <x v="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64"/>
    <d v="2023-07-21T10:00:09"/>
    <s v="Y"/>
    <s v="Preparation - drafting statem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16"/>
    <d v="2023-07-21T10:00:09"/>
    <s v="Y"/>
    <s v="Attendance upon cli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1"/>
    <d v="2023-07-21T10:00:09"/>
    <s v="Y"/>
    <s v="Preparation - Periodic file review"/>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60"/>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95"/>
    <d v="2023-07-21T10:00:09"/>
    <s v="Y"/>
    <s v="Preparation - other"/>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5"/>
    <d v="2023-07-21T10:00:09"/>
    <s v="Y"/>
    <s v="Toxicologist"/>
    <s v="Public Law Children"/>
    <s v="Expert Disbursement"/>
    <s v="Myria Pieri"/>
    <s v="Y"/>
    <n v="175.25"/>
    <n v="35.05"/>
    <x v="12"/>
    <s v="VALIDATED"/>
    <n v="1"/>
    <s v="01.11.80.308.6300.0000"/>
    <n v="175.25"/>
    <s v="11"/>
    <s v="6300"/>
    <n v="33249.27"/>
    <n v="175.25"/>
    <s v="CREDITOR"/>
    <n v="0"/>
    <n v="0"/>
    <n v="0"/>
    <n v="0"/>
    <n v="175.25"/>
  </r>
  <r>
    <n v="59801646"/>
    <s v="N"/>
    <n v="21408733"/>
    <s v="3000014174670010"/>
    <s v="CIVIL"/>
    <d v="2023-06-30T00:00:00"/>
    <d v="2023-07-21T10:00:02"/>
    <m/>
    <d v="2023-07-21T00:00:00"/>
    <n v="1832"/>
    <n v="1259"/>
    <s v="59801646"/>
    <s v="59801646"/>
    <m/>
    <m/>
    <n v="22801554"/>
    <m/>
    <m/>
    <m/>
    <s v="SOLFIN"/>
    <s v="SOLFIN"/>
    <s v="CCMS"/>
    <n v="21408733"/>
    <n v="23465.88"/>
    <m/>
    <s v="N"/>
    <n v="1"/>
    <d v="2023-07-21T10:00:09"/>
    <s v="Y"/>
    <s v="Interim Hearing Court Bundle/Advoca"/>
    <s v="Public Law Children"/>
    <s v="Advocacy"/>
    <s v="Myria Pieri"/>
    <s v="Y"/>
    <n v="89.09999999999999"/>
    <n v="17.82"/>
    <x v="12"/>
    <s v="VALIDATED"/>
    <n v="1"/>
    <s v="01.11.80.308.6100.0000"/>
    <n v="89.09999999999999"/>
    <s v="11"/>
    <s v="6100"/>
    <n v="33249.27"/>
    <n v="89.09999999999999"/>
    <s v="CREDITOR"/>
    <n v="0"/>
    <n v="0"/>
    <n v="0"/>
    <n v="0"/>
    <n v="89.09999999999999"/>
  </r>
  <r>
    <n v="59801646"/>
    <s v="N"/>
    <n v="21408733"/>
    <s v="3000014174670010"/>
    <s v="CIVIL"/>
    <d v="2023-06-30T00:00:00"/>
    <d v="2023-07-21T10:00:02"/>
    <m/>
    <d v="2023-07-21T00:00:00"/>
    <n v="1832"/>
    <n v="1259"/>
    <s v="59801646"/>
    <s v="59801646"/>
    <m/>
    <m/>
    <n v="22801554"/>
    <m/>
    <m/>
    <m/>
    <s v="SOLFIN"/>
    <s v="SOLFIN"/>
    <s v="CCMS"/>
    <n v="21408733"/>
    <n v="23465.88"/>
    <m/>
    <s v="N"/>
    <n v="16"/>
    <d v="2023-07-21T10:00:09"/>
    <s v="Y"/>
    <s v="Preparation - other"/>
    <s v="Care Remuneration Hourly Rates"/>
    <s v="Profit Cost"/>
    <s v="Myria Pieri"/>
    <s v="Y"/>
    <n v="12.71"/>
    <n v="2.54"/>
    <x v="12"/>
    <s v="VALIDATED"/>
    <n v="1"/>
    <s v="01.11.80.308.6100.0000"/>
    <n v="12.71"/>
    <s v="11"/>
    <s v="6100"/>
    <n v="33249.27"/>
    <n v="12.71"/>
    <s v="CREDITOR"/>
    <n v="0"/>
    <n v="0"/>
    <n v="0"/>
    <n v="0"/>
    <n v="12.71"/>
  </r>
  <r>
    <n v="59428996"/>
    <s v="N"/>
    <n v="21360295"/>
    <s v="3000013869930006"/>
    <s v="CIVIL"/>
    <d v="2023-06-30T00:00:00"/>
    <d v="2023-07-11T11:50:54"/>
    <m/>
    <d v="2023-07-11T00:00:00"/>
    <n v="1832"/>
    <n v="1259"/>
    <s v="59428996"/>
    <s v="59428996"/>
    <m/>
    <m/>
    <n v="22798406"/>
    <m/>
    <m/>
    <m/>
    <s v="SOLFIN"/>
    <s v="SOLFIN"/>
    <s v="CCMS"/>
    <n v="21360295"/>
    <n v="6298.44"/>
    <m/>
    <s v="N"/>
    <n v="6"/>
    <d v="2023-07-11T11:51:01"/>
    <s v="Y"/>
    <s v="Advocates Meeting"/>
    <s v="Public Law Children"/>
    <s v="Advocacy"/>
    <s v="sam wilde"/>
    <s v="Y"/>
    <n v="140.99"/>
    <n v="28.2"/>
    <x v="7"/>
    <s v="VALIDATED"/>
    <n v="1"/>
    <s v="01.11.80.308.6100.0000"/>
    <n v="140.99"/>
    <s v="11"/>
    <s v="6100"/>
    <n v="33249.27"/>
    <n v="140.99"/>
    <s v="CREDITOR"/>
    <n v="0"/>
    <n v="0"/>
    <n v="0"/>
    <n v="0"/>
    <n v="140.99"/>
  </r>
  <r>
    <n v="59743667"/>
    <s v="N"/>
    <n v="21349286"/>
    <s v="3000014122640008"/>
    <s v="CIVIL"/>
    <d v="2023-06-27T00:00:00"/>
    <d v="2023-07-10T19:01:40"/>
    <m/>
    <d v="2023-07-10T00:00:00"/>
    <n v="1832"/>
    <n v="1259"/>
    <s v="59743667"/>
    <s v="59743667"/>
    <m/>
    <m/>
    <n v="22769622"/>
    <m/>
    <m/>
    <m/>
    <s v="SOLFIN"/>
    <s v="SOLFIN"/>
    <s v="CCMS"/>
    <n v="21349286"/>
    <n v="14585.88"/>
    <m/>
    <s v="N"/>
    <n v="88"/>
    <d v="2023-07-10T19:01:43"/>
    <s v="Y"/>
    <s v="Hearing Unit 2.31 - 5.00 Hours"/>
    <s v="Public Law Children"/>
    <s v="Advocacy"/>
    <s v="Myria Pieri"/>
    <s v="Y"/>
    <n v="572.3200000000001"/>
    <n v="114.46"/>
    <x v="2"/>
    <s v="VALIDATED"/>
    <n v="1"/>
    <s v="01.11.80.308.6100.0000"/>
    <n v="572.3200000000001"/>
    <s v="11"/>
    <s v="6100"/>
    <n v="33249.27"/>
    <n v="572.3200000000001"/>
    <s v="CREDITOR"/>
    <n v="0"/>
    <n v="0"/>
    <n v="0"/>
    <n v="0"/>
    <n v="572.3200000000001"/>
  </r>
  <r>
    <n v="59743667"/>
    <s v="N"/>
    <n v="21349286"/>
    <s v="3000014122640008"/>
    <s v="CIVIL"/>
    <d v="2023-06-27T00:00:00"/>
    <d v="2023-07-10T19:01:40"/>
    <m/>
    <d v="2023-07-10T00:00:00"/>
    <n v="1832"/>
    <n v="1259"/>
    <s v="59743667"/>
    <s v="59743667"/>
    <m/>
    <m/>
    <n v="22769622"/>
    <m/>
    <m/>
    <m/>
    <s v="SOLFIN"/>
    <s v="SOLFIN"/>
    <s v="CCMS"/>
    <n v="21349286"/>
    <n v="14585.88"/>
    <m/>
    <s v="N"/>
    <n v="77"/>
    <d v="2023-07-10T19:01:43"/>
    <s v="Y"/>
    <s v="Preparation - other"/>
    <s v="Care Remuneration Hourly Rates"/>
    <s v="Profit Cost"/>
    <s v="Myria Pieri"/>
    <s v="Y"/>
    <n v="32.05"/>
    <n v="6.41"/>
    <x v="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9"/>
    <d v="2023-07-10T19:01:43"/>
    <s v="Y"/>
    <s v="Preparation - other"/>
    <s v="Care Remuneration Hourly Rates"/>
    <s v="Profit Cost"/>
    <s v="Myria Pieri"/>
    <s v="Y"/>
    <n v="44.47"/>
    <n v="8.890000000000001"/>
    <x v="2"/>
    <s v="VALIDATED"/>
    <n v="1"/>
    <s v="01.11.80.308.6100.0000"/>
    <n v="44.47"/>
    <s v="11"/>
    <s v="6100"/>
    <n v="33249.27"/>
    <n v="44.47"/>
    <s v="CREDITOR"/>
    <n v="0"/>
    <n v="0"/>
    <n v="0"/>
    <n v="0"/>
    <n v="44.47"/>
  </r>
  <r>
    <n v="59801646"/>
    <s v="N"/>
    <n v="21408733"/>
    <s v="3000014174670010"/>
    <s v="CIVIL"/>
    <d v="2023-06-30T00:00:00"/>
    <d v="2023-07-21T10:00:02"/>
    <m/>
    <d v="2023-07-21T00:00:00"/>
    <n v="1832"/>
    <n v="1259"/>
    <s v="59801646"/>
    <s v="59801646"/>
    <m/>
    <m/>
    <n v="22801554"/>
    <m/>
    <m/>
    <m/>
    <s v="SOLFIN"/>
    <s v="SOLFIN"/>
    <s v="CCMS"/>
    <n v="21408733"/>
    <n v="23465.88"/>
    <m/>
    <s v="N"/>
    <n v="46"/>
    <d v="2023-07-21T10:00:09"/>
    <s v="Y"/>
    <s v="Report - other expert's report"/>
    <s v="Care Remuneration Hourly Rates"/>
    <s v="Profit Cost"/>
    <s v="Myria Pieri"/>
    <s v="Y"/>
    <n v="136.17"/>
    <n v="27.23"/>
    <x v="12"/>
    <s v="VALIDATED"/>
    <n v="1"/>
    <s v="01.11.80.308.6100.0000"/>
    <n v="136.17"/>
    <s v="11"/>
    <s v="6100"/>
    <n v="33249.27"/>
    <n v="136.17"/>
    <s v="CREDITOR"/>
    <n v="0"/>
    <n v="0"/>
    <n v="0"/>
    <n v="0"/>
    <n v="136.17"/>
  </r>
  <r>
    <n v="59743667"/>
    <s v="N"/>
    <n v="21349286"/>
    <s v="3000014122640008"/>
    <s v="CIVIL"/>
    <d v="2023-06-27T00:00:00"/>
    <d v="2023-07-10T19:01:40"/>
    <m/>
    <d v="2023-07-10T00:00:00"/>
    <n v="1832"/>
    <n v="1259"/>
    <s v="59743667"/>
    <s v="59743667"/>
    <m/>
    <m/>
    <n v="22769622"/>
    <m/>
    <m/>
    <m/>
    <s v="SOLFIN"/>
    <s v="SOLFIN"/>
    <s v="CCMS"/>
    <n v="21349286"/>
    <n v="14585.88"/>
    <m/>
    <s v="N"/>
    <n v="6"/>
    <d v="2023-07-10T19:01:43"/>
    <s v="Y"/>
    <s v="Attendance upon client"/>
    <s v="Care Remuneration Hourly Rates"/>
    <s v="Profit Cost"/>
    <s v="Myria Pieri"/>
    <s v="Y"/>
    <n v="56.07"/>
    <n v="11.21"/>
    <x v="2"/>
    <s v="VALIDATED"/>
    <n v="1"/>
    <s v="01.11.80.308.6100.0000"/>
    <n v="56.07"/>
    <s v="11"/>
    <s v="6100"/>
    <n v="33249.27"/>
    <n v="56.07"/>
    <s v="CREDITOR"/>
    <n v="0"/>
    <n v="0"/>
    <n v="0"/>
    <n v="0"/>
    <n v="56.07"/>
  </r>
  <r>
    <n v="59801646"/>
    <s v="N"/>
    <n v="21408733"/>
    <s v="3000014174670010"/>
    <s v="CIVIL"/>
    <d v="2023-06-30T00:00:00"/>
    <d v="2023-07-21T10:00:02"/>
    <m/>
    <d v="2023-07-21T00:00:00"/>
    <n v="1832"/>
    <n v="1259"/>
    <s v="59801646"/>
    <s v="59801646"/>
    <m/>
    <m/>
    <n v="22801554"/>
    <m/>
    <m/>
    <m/>
    <s v="SOLFIN"/>
    <s v="SOLFIN"/>
    <s v="CCMS"/>
    <n v="21408733"/>
    <n v="23465.88"/>
    <m/>
    <s v="N"/>
    <n v="131"/>
    <d v="2023-07-21T10:00:09"/>
    <s v="Y"/>
    <s v="Preparation - other"/>
    <s v="Care Remuneration Hourly Rates"/>
    <s v="Profit Cost"/>
    <s v="Myria Pieri"/>
    <s v="Y"/>
    <n v="24.03"/>
    <n v="4.81"/>
    <x v="12"/>
    <s v="VALIDATED"/>
    <n v="1"/>
    <s v="01.11.80.308.6100.0000"/>
    <n v="24.03"/>
    <s v="11"/>
    <s v="6100"/>
    <n v="33249.27"/>
    <n v="24.03"/>
    <s v="CREDITOR"/>
    <n v="0"/>
    <n v="0"/>
    <n v="0"/>
    <n v="0"/>
    <n v="24.03"/>
  </r>
  <r>
    <n v="59743667"/>
    <s v="N"/>
    <n v="21349286"/>
    <s v="3000014122640008"/>
    <s v="CIVIL"/>
    <d v="2023-06-27T00:00:00"/>
    <d v="2023-07-10T19:01:40"/>
    <m/>
    <d v="2023-07-10T00:00:00"/>
    <n v="1832"/>
    <n v="1259"/>
    <s v="59743667"/>
    <s v="59743667"/>
    <m/>
    <m/>
    <n v="22769622"/>
    <m/>
    <m/>
    <m/>
    <s v="SOLFIN"/>
    <s v="SOLFIN"/>
    <s v="CCMS"/>
    <n v="21349286"/>
    <n v="14585.88"/>
    <m/>
    <s v="N"/>
    <n v="87"/>
    <d v="2023-07-10T19:01:43"/>
    <s v="Y"/>
    <s v="Hearing Unit 2.31 - 5.00 Hours"/>
    <s v="Public Law Children"/>
    <s v="Advocacy"/>
    <s v="Myria Pieri"/>
    <s v="Y"/>
    <n v="476.92"/>
    <n v="95.38"/>
    <x v="2"/>
    <s v="VALIDATED"/>
    <n v="1"/>
    <s v="01.11.80.308.6100.0000"/>
    <n v="476.92"/>
    <s v="11"/>
    <s v="6100"/>
    <n v="33249.27"/>
    <n v="476.92"/>
    <s v="CREDITOR"/>
    <n v="0"/>
    <n v="0"/>
    <n v="0"/>
    <n v="0"/>
    <n v="476.92"/>
  </r>
  <r>
    <n v="59801646"/>
    <s v="N"/>
    <n v="21408733"/>
    <s v="3000014174670010"/>
    <s v="CIVIL"/>
    <d v="2023-06-30T00:00:00"/>
    <d v="2023-07-21T10:00:02"/>
    <m/>
    <d v="2023-07-21T00:00:00"/>
    <n v="1832"/>
    <n v="1259"/>
    <s v="59801646"/>
    <s v="59801646"/>
    <m/>
    <m/>
    <n v="22801554"/>
    <m/>
    <m/>
    <m/>
    <s v="SOLFIN"/>
    <s v="SOLFIN"/>
    <s v="CCMS"/>
    <n v="21408733"/>
    <n v="23465.88"/>
    <m/>
    <s v="N"/>
    <n v="76"/>
    <d v="2023-07-21T10:00:09"/>
    <s v="Y"/>
    <s v="Preparation -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118"/>
    <d v="2023-07-21T10:00:09"/>
    <s v="Y"/>
    <s v="Preparation - other"/>
    <s v="Care Remuneration Hourly Rates"/>
    <s v="Profit Cost"/>
    <s v="Myria Pieri"/>
    <s v="Y"/>
    <n v="104.12"/>
    <n v="20.82"/>
    <x v="12"/>
    <s v="VALIDATED"/>
    <n v="1"/>
    <s v="01.11.80.308.6100.0000"/>
    <n v="104.12"/>
    <s v="11"/>
    <s v="6100"/>
    <n v="33249.27"/>
    <n v="104.12"/>
    <s v="CREDITOR"/>
    <n v="0"/>
    <n v="0"/>
    <n v="0"/>
    <n v="0"/>
    <n v="104.12"/>
  </r>
  <r>
    <n v="59801646"/>
    <s v="N"/>
    <n v="21408733"/>
    <s v="3000014174670010"/>
    <s v="CIVIL"/>
    <d v="2023-06-30T00:00:00"/>
    <d v="2023-07-21T10:00:02"/>
    <m/>
    <d v="2023-07-21T00:00:00"/>
    <n v="1832"/>
    <n v="1259"/>
    <s v="59801646"/>
    <s v="59801646"/>
    <m/>
    <m/>
    <n v="22801554"/>
    <m/>
    <m/>
    <m/>
    <s v="SOLFIN"/>
    <s v="SOLFIN"/>
    <s v="CCMS"/>
    <n v="21408733"/>
    <n v="23465.88"/>
    <m/>
    <s v="N"/>
    <n v="147"/>
    <d v="2023-07-21T10:00:09"/>
    <s v="Y"/>
    <s v="Attendance upon cli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50"/>
    <d v="2023-07-21T10:00:09"/>
    <s v="Y"/>
    <s v="Advocates Meeting"/>
    <s v="Public Law Children"/>
    <s v="Advocacy"/>
    <s v="Myria Pieri"/>
    <s v="Y"/>
    <n v="140.99"/>
    <n v="28.2"/>
    <x v="12"/>
    <s v="VALIDATED"/>
    <n v="1"/>
    <s v="01.11.80.308.6100.0000"/>
    <n v="140.99"/>
    <s v="11"/>
    <s v="6100"/>
    <n v="33249.27"/>
    <n v="140.99"/>
    <s v="CREDITOR"/>
    <n v="0"/>
    <n v="0"/>
    <n v="0"/>
    <n v="0"/>
    <n v="140.99"/>
  </r>
  <r>
    <n v="59743667"/>
    <s v="N"/>
    <n v="21349286"/>
    <s v="3000014122640008"/>
    <s v="CIVIL"/>
    <d v="2023-06-27T00:00:00"/>
    <d v="2023-07-10T19:01:40"/>
    <m/>
    <d v="2023-07-10T00:00:00"/>
    <n v="1832"/>
    <n v="1259"/>
    <s v="59743667"/>
    <s v="59743667"/>
    <m/>
    <m/>
    <n v="22769622"/>
    <m/>
    <m/>
    <m/>
    <s v="SOLFIN"/>
    <s v="SOLFIN"/>
    <s v="CCMS"/>
    <n v="21349286"/>
    <n v="14585.88"/>
    <m/>
    <s v="N"/>
    <n v="62"/>
    <d v="2023-07-10T19:01:43"/>
    <s v="Y"/>
    <s v="Attendance upon client"/>
    <s v="Care Remuneration Hourly Rates"/>
    <s v="Profit Cost"/>
    <s v="Myria Pieri"/>
    <s v="Y"/>
    <n v="16.02"/>
    <n v="3.2"/>
    <x v="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03"/>
    <d v="2023-07-21T10:00:09"/>
    <s v="Y"/>
    <s v="Attendance upon cli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17"/>
    <d v="2023-07-21T10:00:09"/>
    <s v="Y"/>
    <s v="Preparation - other"/>
    <s v="Care Remuneration Hourly Rates"/>
    <s v="Profit Cost"/>
    <s v="Myria Pieri"/>
    <s v="Y"/>
    <n v="480.59"/>
    <n v="96.12"/>
    <x v="12"/>
    <s v="VALIDATED"/>
    <n v="1"/>
    <s v="01.11.80.308.6100.0000"/>
    <n v="480.59"/>
    <s v="11"/>
    <s v="6100"/>
    <n v="33249.27"/>
    <n v="480.59"/>
    <s v="CREDITOR"/>
    <n v="0"/>
    <n v="0"/>
    <n v="0"/>
    <n v="0"/>
    <n v="480.59"/>
  </r>
  <r>
    <n v="59801646"/>
    <s v="N"/>
    <n v="21408733"/>
    <s v="3000014174670010"/>
    <s v="CIVIL"/>
    <d v="2023-06-30T00:00:00"/>
    <d v="2023-07-21T10:00:02"/>
    <m/>
    <d v="2023-07-21T00:00:00"/>
    <n v="1832"/>
    <n v="1259"/>
    <s v="59801646"/>
    <s v="59801646"/>
    <m/>
    <m/>
    <n v="22801554"/>
    <m/>
    <m/>
    <m/>
    <s v="SOLFIN"/>
    <s v="SOLFIN"/>
    <s v="CCMS"/>
    <n v="21408733"/>
    <n v="23465.88"/>
    <m/>
    <s v="N"/>
    <n v="148"/>
    <d v="2023-07-21T10:00:09"/>
    <s v="Y"/>
    <s v="Hearing Unit 2.31 - 5.00 Hours"/>
    <s v="Public Law Children"/>
    <s v="Advocacy"/>
    <s v="Myria Pieri"/>
    <s v="Y"/>
    <n v="476.92"/>
    <n v="95.38"/>
    <x v="12"/>
    <s v="VALIDATED"/>
    <n v="1"/>
    <s v="01.11.80.308.6100.0000"/>
    <n v="476.92"/>
    <s v="11"/>
    <s v="6100"/>
    <n v="33249.27"/>
    <n v="476.92"/>
    <s v="CREDITOR"/>
    <n v="0"/>
    <n v="0"/>
    <n v="0"/>
    <n v="0"/>
    <n v="476.92"/>
  </r>
  <r>
    <n v="59743667"/>
    <s v="N"/>
    <n v="21349286"/>
    <s v="3000014122640008"/>
    <s v="CIVIL"/>
    <d v="2023-06-27T00:00:00"/>
    <d v="2023-07-10T19:01:40"/>
    <m/>
    <d v="2023-07-10T00:00:00"/>
    <n v="1832"/>
    <n v="1259"/>
    <s v="59743667"/>
    <s v="59743667"/>
    <m/>
    <m/>
    <n v="22769622"/>
    <m/>
    <m/>
    <m/>
    <s v="SOLFIN"/>
    <s v="SOLFIN"/>
    <s v="CCMS"/>
    <n v="21349286"/>
    <n v="14585.88"/>
    <m/>
    <s v="N"/>
    <n v="72"/>
    <d v="2023-07-10T19:01:43"/>
    <s v="Y"/>
    <s v="Preparation - other"/>
    <s v="Care Remuneration Hourly Rates"/>
    <s v="Profit Cost"/>
    <s v="Myria Pieri"/>
    <s v="Y"/>
    <n v="512.05"/>
    <n v="102.41"/>
    <x v="2"/>
    <s v="VALIDATED"/>
    <n v="1"/>
    <s v="01.11.80.308.6100.0000"/>
    <n v="512.05"/>
    <s v="11"/>
    <s v="6100"/>
    <n v="33249.27"/>
    <n v="512.05"/>
    <s v="CREDITOR"/>
    <n v="0"/>
    <n v="0"/>
    <n v="0"/>
    <n v="0"/>
    <n v="512.05"/>
  </r>
  <r>
    <n v="59801646"/>
    <s v="N"/>
    <n v="21408733"/>
    <s v="3000014174670010"/>
    <s v="CIVIL"/>
    <d v="2023-06-30T00:00:00"/>
    <d v="2023-07-21T10:00:02"/>
    <m/>
    <d v="2023-07-21T00:00:00"/>
    <n v="1832"/>
    <n v="1259"/>
    <s v="59801646"/>
    <s v="59801646"/>
    <m/>
    <m/>
    <n v="22801554"/>
    <m/>
    <m/>
    <m/>
    <s v="SOLFIN"/>
    <s v="SOLFIN"/>
    <s v="CCMS"/>
    <n v="21408733"/>
    <n v="23465.88"/>
    <m/>
    <s v="N"/>
    <n v="49"/>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93"/>
    <d v="2023-07-21T10:00:09"/>
    <s v="Y"/>
    <s v="Preparation - drafting statement"/>
    <s v="Care Remuneration Hourly Rates"/>
    <s v="Profit Cost"/>
    <s v="Myria Pieri"/>
    <s v="Y"/>
    <n v="56.07"/>
    <n v="11.21"/>
    <x v="12"/>
    <s v="VALIDATED"/>
    <n v="1"/>
    <s v="01.11.80.308.6100.0000"/>
    <n v="56.07"/>
    <s v="11"/>
    <s v="6100"/>
    <n v="33249.27"/>
    <n v="56.07"/>
    <s v="CREDITOR"/>
    <n v="0"/>
    <n v="0"/>
    <n v="0"/>
    <n v="0"/>
    <n v="56.07"/>
  </r>
  <r>
    <n v="59801646"/>
    <s v="N"/>
    <n v="21408733"/>
    <s v="3000014174670010"/>
    <s v="CIVIL"/>
    <d v="2023-06-30T00:00:00"/>
    <d v="2023-07-21T10:00:02"/>
    <m/>
    <d v="2023-07-21T00:00:00"/>
    <n v="1832"/>
    <n v="1259"/>
    <s v="59801646"/>
    <s v="59801646"/>
    <m/>
    <m/>
    <n v="22801554"/>
    <m/>
    <m/>
    <m/>
    <s v="SOLFIN"/>
    <s v="SOLFIN"/>
    <s v="CCMS"/>
    <n v="21408733"/>
    <n v="23465.88"/>
    <m/>
    <s v="N"/>
    <n v="130"/>
    <d v="2023-07-21T10:00:09"/>
    <s v="Y"/>
    <s v="Preparation - other"/>
    <s v="Care Remuneration Hourly Rates"/>
    <s v="Profit Cost"/>
    <s v="Myria Pieri"/>
    <s v="Y"/>
    <n v="6.35"/>
    <n v="1.27"/>
    <x v="12"/>
    <s v="VALIDATED"/>
    <n v="1"/>
    <s v="01.11.80.308.6100.0000"/>
    <n v="6.35"/>
    <s v="11"/>
    <s v="6100"/>
    <n v="33249.27"/>
    <n v="6.35"/>
    <s v="CREDITOR"/>
    <n v="0"/>
    <n v="0"/>
    <n v="0"/>
    <n v="0"/>
    <n v="6.35"/>
  </r>
  <r>
    <n v="59743667"/>
    <s v="N"/>
    <n v="21349286"/>
    <s v="3000014122640008"/>
    <s v="CIVIL"/>
    <d v="2023-06-27T00:00:00"/>
    <d v="2023-07-10T19:01:40"/>
    <m/>
    <d v="2023-07-10T00:00:00"/>
    <n v="1832"/>
    <n v="1259"/>
    <s v="59743667"/>
    <s v="59743667"/>
    <m/>
    <m/>
    <n v="22769622"/>
    <m/>
    <m/>
    <m/>
    <s v="SOLFIN"/>
    <s v="SOLFIN"/>
    <s v="CCMS"/>
    <n v="21349286"/>
    <n v="14585.88"/>
    <m/>
    <s v="N"/>
    <n v="83"/>
    <d v="2023-07-10T19:01:43"/>
    <s v="Y"/>
    <s v="Preparation - other"/>
    <s v="Care Remuneration Hourly Rates"/>
    <s v="Profit Cost"/>
    <s v="Myria Pieri"/>
    <s v="Y"/>
    <n v="12.71"/>
    <n v="2.54"/>
    <x v="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20"/>
    <d v="2023-07-10T19:01:43"/>
    <s v="Y"/>
    <s v="Preparation - other"/>
    <s v="Care Remuneration Hourly Rates"/>
    <s v="Profit Cost"/>
    <s v="Myria Pieri"/>
    <s v="Y"/>
    <n v="16.02"/>
    <n v="3.2"/>
    <x v="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16"/>
    <d v="2023-07-10T19:01:43"/>
    <s v="Y"/>
    <s v="Preparation - other"/>
    <s v="Care Remuneration Hourly Rates"/>
    <s v="Profit Cost"/>
    <s v="Myria Pieri"/>
    <s v="Y"/>
    <n v="48.05"/>
    <n v="9.609999999999999"/>
    <x v="2"/>
    <s v="VALIDATED"/>
    <n v="1"/>
    <s v="01.11.80.308.6100.0000"/>
    <n v="48.05"/>
    <s v="11"/>
    <s v="6100"/>
    <n v="33249.27"/>
    <n v="48.05"/>
    <s v="CREDITOR"/>
    <n v="0"/>
    <n v="0"/>
    <n v="0"/>
    <n v="0"/>
    <n v="48.05"/>
  </r>
  <r>
    <n v="59801646"/>
    <s v="N"/>
    <n v="21408733"/>
    <s v="3000014174670010"/>
    <s v="CIVIL"/>
    <d v="2023-06-30T00:00:00"/>
    <d v="2023-07-21T10:00:02"/>
    <m/>
    <d v="2023-07-21T00:00:00"/>
    <n v="1832"/>
    <n v="1259"/>
    <s v="59801646"/>
    <s v="59801646"/>
    <m/>
    <m/>
    <n v="22801554"/>
    <m/>
    <m/>
    <m/>
    <s v="SOLFIN"/>
    <s v="SOLFIN"/>
    <s v="CCMS"/>
    <n v="21408733"/>
    <n v="23465.88"/>
    <m/>
    <s v="N"/>
    <n v="48"/>
    <d v="2023-07-21T10:00:09"/>
    <s v="Y"/>
    <s v="Report - other expert's report"/>
    <s v="Care Remuneration Hourly Rates"/>
    <s v="Profit Cost"/>
    <s v="Myria Pieri"/>
    <s v="Y"/>
    <n v="240.29"/>
    <n v="48.06"/>
    <x v="12"/>
    <s v="VALIDATED"/>
    <n v="1"/>
    <s v="01.11.80.308.6100.0000"/>
    <n v="240.29"/>
    <s v="11"/>
    <s v="6100"/>
    <n v="33249.27"/>
    <n v="240.29"/>
    <s v="CREDITOR"/>
    <n v="0"/>
    <n v="0"/>
    <n v="0"/>
    <n v="0"/>
    <n v="240.29"/>
  </r>
  <r>
    <n v="59801646"/>
    <s v="N"/>
    <n v="21408733"/>
    <s v="3000014174670010"/>
    <s v="CIVIL"/>
    <d v="2023-06-30T00:00:00"/>
    <d v="2023-07-21T10:00:02"/>
    <m/>
    <d v="2023-07-21T00:00:00"/>
    <n v="1832"/>
    <n v="1259"/>
    <s v="59801646"/>
    <s v="59801646"/>
    <m/>
    <m/>
    <n v="22801554"/>
    <m/>
    <m/>
    <m/>
    <s v="SOLFIN"/>
    <s v="SOLFIN"/>
    <s v="CCMS"/>
    <n v="21408733"/>
    <n v="23465.88"/>
    <m/>
    <s v="N"/>
    <n v="114"/>
    <d v="2023-07-21T10:00:09"/>
    <s v="Y"/>
    <s v="Report - other"/>
    <s v="Care Remuneration Hourly Rates"/>
    <s v="Profit Cost"/>
    <s v="Myria Pieri"/>
    <s v="Y"/>
    <n v="32.05"/>
    <n v="6.41"/>
    <x v="1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57"/>
    <d v="2023-07-10T19:01:43"/>
    <s v="Y"/>
    <s v="Preparation - other"/>
    <s v="Care Remuneration Hourly Rates"/>
    <s v="Profit Cost"/>
    <s v="Myria Pieri"/>
    <s v="Y"/>
    <n v="64.08"/>
    <n v="12.82"/>
    <x v="2"/>
    <s v="VALIDATED"/>
    <n v="1"/>
    <s v="01.11.80.308.6100.0000"/>
    <n v="64.08"/>
    <s v="11"/>
    <s v="6100"/>
    <n v="33249.27"/>
    <n v="64.08"/>
    <s v="CREDITOR"/>
    <n v="0"/>
    <n v="0"/>
    <n v="0"/>
    <n v="0"/>
    <n v="64.08"/>
  </r>
  <r>
    <n v="59801646"/>
    <s v="N"/>
    <n v="21408733"/>
    <s v="3000014174670010"/>
    <s v="CIVIL"/>
    <d v="2023-06-30T00:00:00"/>
    <d v="2023-07-21T10:00:02"/>
    <m/>
    <d v="2023-07-21T00:00:00"/>
    <n v="1832"/>
    <n v="1259"/>
    <s v="59801646"/>
    <s v="59801646"/>
    <m/>
    <m/>
    <n v="22801554"/>
    <m/>
    <m/>
    <m/>
    <s v="SOLFIN"/>
    <s v="SOLFIN"/>
    <s v="CCMS"/>
    <n v="21408733"/>
    <n v="23465.88"/>
    <m/>
    <s v="N"/>
    <n v="111"/>
    <d v="2023-07-21T10:00:09"/>
    <s v="Y"/>
    <s v="Attendance upon cli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37"/>
    <d v="2023-07-21T10:00:09"/>
    <s v="Y"/>
    <s v="Preparation - other"/>
    <s v="Care Remuneration Hourly Rates"/>
    <s v="Profit Cost"/>
    <s v="Myria Pieri"/>
    <s v="Y"/>
    <n v="24.03"/>
    <n v="4.81"/>
    <x v="12"/>
    <s v="VALIDATED"/>
    <n v="1"/>
    <s v="01.11.80.308.6100.0000"/>
    <n v="24.03"/>
    <s v="11"/>
    <s v="6100"/>
    <n v="33249.27"/>
    <n v="24.03"/>
    <s v="CREDITOR"/>
    <n v="0"/>
    <n v="0"/>
    <n v="0"/>
    <n v="0"/>
    <n v="24.03"/>
  </r>
  <r>
    <n v="59743667"/>
    <s v="N"/>
    <n v="21349286"/>
    <s v="3000014122640008"/>
    <s v="CIVIL"/>
    <d v="2023-06-27T00:00:00"/>
    <d v="2023-07-10T19:01:40"/>
    <m/>
    <d v="2023-07-10T00:00:00"/>
    <n v="1832"/>
    <n v="1259"/>
    <s v="59743667"/>
    <s v="59743667"/>
    <m/>
    <m/>
    <n v="22769622"/>
    <m/>
    <m/>
    <m/>
    <s v="SOLFIN"/>
    <s v="SOLFIN"/>
    <s v="CCMS"/>
    <n v="21349286"/>
    <n v="14585.88"/>
    <m/>
    <s v="N"/>
    <n v="58"/>
    <d v="2023-07-10T19:01:43"/>
    <s v="Y"/>
    <s v="Preparation - other"/>
    <s v="Care Remuneration Hourly Rates"/>
    <s v="Profit Cost"/>
    <s v="Myria Pieri"/>
    <s v="Y"/>
    <n v="36.57"/>
    <n v="7.31"/>
    <x v="2"/>
    <s v="VALIDATED"/>
    <n v="1"/>
    <s v="01.11.80.308.6100.0000"/>
    <n v="36.57"/>
    <s v="11"/>
    <s v="6100"/>
    <n v="33249.27"/>
    <n v="36.57"/>
    <s v="CREDITOR"/>
    <n v="0"/>
    <n v="0"/>
    <n v="0"/>
    <n v="0"/>
    <n v="36.57"/>
  </r>
  <r>
    <n v="59743667"/>
    <s v="N"/>
    <n v="21349286"/>
    <s v="3000014122640008"/>
    <s v="CIVIL"/>
    <d v="2023-06-27T00:00:00"/>
    <d v="2023-07-10T19:01:40"/>
    <m/>
    <d v="2023-07-10T00:00:00"/>
    <n v="1832"/>
    <n v="1259"/>
    <s v="59743667"/>
    <s v="59743667"/>
    <m/>
    <m/>
    <n v="22769622"/>
    <m/>
    <m/>
    <m/>
    <s v="SOLFIN"/>
    <s v="SOLFIN"/>
    <s v="CCMS"/>
    <n v="21349286"/>
    <n v="14585.88"/>
    <m/>
    <s v="N"/>
    <n v="4"/>
    <d v="2023-07-10T19:01:43"/>
    <s v="Y"/>
    <s v="Preparation - other"/>
    <s v="Care Remuneration Hourly Rates"/>
    <s v="Profit Cost"/>
    <s v="Myria Pieri"/>
    <s v="Y"/>
    <n v="12.71"/>
    <n v="2.54"/>
    <x v="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70"/>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77"/>
    <d v="2023-07-21T10:00:09"/>
    <s v="Y"/>
    <s v="Preparation - other"/>
    <s v="Care Remuneration Hourly Rates"/>
    <s v="Profit Cost"/>
    <s v="Myria Pieri"/>
    <s v="Y"/>
    <n v="8"/>
    <n v="1.6"/>
    <x v="12"/>
    <s v="VALIDATED"/>
    <n v="1"/>
    <s v="01.11.80.308.6100.0000"/>
    <n v="8"/>
    <s v="11"/>
    <s v="6100"/>
    <n v="33249.27"/>
    <n v="8"/>
    <s v="CREDITOR"/>
    <n v="0"/>
    <n v="0"/>
    <n v="0"/>
    <n v="0"/>
    <n v="8"/>
  </r>
  <r>
    <n v="59801646"/>
    <s v="N"/>
    <n v="21408733"/>
    <s v="3000014174670010"/>
    <s v="CIVIL"/>
    <d v="2023-06-30T00:00:00"/>
    <d v="2023-07-21T10:00:02"/>
    <m/>
    <d v="2023-07-21T00:00:00"/>
    <n v="1832"/>
    <n v="1259"/>
    <s v="59801646"/>
    <s v="59801646"/>
    <m/>
    <m/>
    <n v="22801554"/>
    <m/>
    <m/>
    <m/>
    <s v="SOLFIN"/>
    <s v="SOLFIN"/>
    <s v="CCMS"/>
    <n v="21408733"/>
    <n v="23465.88"/>
    <m/>
    <s v="N"/>
    <n v="110"/>
    <d v="2023-07-21T10:00:09"/>
    <s v="Y"/>
    <s v="Preparation - other"/>
    <s v="Care Remuneration Hourly Rates"/>
    <s v="Profit Cost"/>
    <s v="Myria Pieri"/>
    <s v="Y"/>
    <n v="12.71"/>
    <n v="2.54"/>
    <x v="1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29"/>
    <d v="2023-07-10T19:01:43"/>
    <s v="Y"/>
    <s v="Preparation - other"/>
    <s v="Care Remuneration Hourly Rates"/>
    <s v="Profit Cost"/>
    <s v="Myria Pieri"/>
    <s v="Y"/>
    <n v="16.02"/>
    <n v="3.2"/>
    <x v="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54"/>
    <d v="2023-07-21T10:00:09"/>
    <s v="Y"/>
    <s v="Preparation - other"/>
    <s v="Care Remuneration Hourly Rates"/>
    <s v="Profit Cost"/>
    <s v="Myria Pieri"/>
    <s v="Y"/>
    <n v="64.08"/>
    <n v="12.82"/>
    <x v="12"/>
    <s v="VALIDATED"/>
    <n v="1"/>
    <s v="01.11.80.308.6100.0000"/>
    <n v="64.08"/>
    <s v="11"/>
    <s v="6100"/>
    <n v="33249.27"/>
    <n v="64.08"/>
    <s v="CREDITOR"/>
    <n v="0"/>
    <n v="0"/>
    <n v="0"/>
    <n v="0"/>
    <n v="64.08"/>
  </r>
  <r>
    <n v="59801646"/>
    <s v="N"/>
    <n v="21408733"/>
    <s v="3000014174670010"/>
    <s v="CIVIL"/>
    <d v="2023-06-30T00:00:00"/>
    <d v="2023-07-21T10:00:02"/>
    <m/>
    <d v="2023-07-21T00:00:00"/>
    <n v="1832"/>
    <n v="1259"/>
    <s v="59801646"/>
    <s v="59801646"/>
    <m/>
    <m/>
    <n v="22801554"/>
    <m/>
    <m/>
    <m/>
    <s v="SOLFIN"/>
    <s v="SOLFIN"/>
    <s v="CCMS"/>
    <n v="21408733"/>
    <n v="23465.88"/>
    <m/>
    <s v="N"/>
    <n v="105"/>
    <d v="2023-07-21T10:00:09"/>
    <s v="Y"/>
    <s v="Report - other expert's report"/>
    <s v="Care Remuneration Hourly Rates"/>
    <s v="Profit Cost"/>
    <s v="Myria Pieri"/>
    <s v="Y"/>
    <n v="96.12"/>
    <n v="19.22"/>
    <x v="12"/>
    <s v="VALIDATED"/>
    <n v="1"/>
    <s v="01.11.80.308.6100.0000"/>
    <n v="96.12"/>
    <s v="11"/>
    <s v="6100"/>
    <n v="33249.27"/>
    <n v="96.12"/>
    <s v="CREDITOR"/>
    <n v="0"/>
    <n v="0"/>
    <n v="0"/>
    <n v="0"/>
    <n v="96.12"/>
  </r>
  <r>
    <n v="59801646"/>
    <s v="N"/>
    <n v="21408733"/>
    <s v="3000014174670010"/>
    <s v="CIVIL"/>
    <d v="2023-06-30T00:00:00"/>
    <d v="2023-07-21T10:00:02"/>
    <m/>
    <d v="2023-07-21T00:00:00"/>
    <n v="1832"/>
    <n v="1259"/>
    <s v="59801646"/>
    <s v="59801646"/>
    <m/>
    <m/>
    <n v="22801554"/>
    <m/>
    <m/>
    <m/>
    <s v="SOLFIN"/>
    <s v="SOLFIN"/>
    <s v="CCMS"/>
    <n v="21408733"/>
    <n v="23465.88"/>
    <m/>
    <s v="N"/>
    <n v="124"/>
    <d v="2023-07-21T10:00:09"/>
    <s v="Y"/>
    <s v="Preparation - other"/>
    <s v="Care Remuneration Hourly Rates"/>
    <s v="Profit Cost"/>
    <s v="Myria Pieri"/>
    <s v="Y"/>
    <n v="104.12"/>
    <n v="20.82"/>
    <x v="12"/>
    <s v="VALIDATED"/>
    <n v="1"/>
    <s v="01.11.80.308.6100.0000"/>
    <n v="104.12"/>
    <s v="11"/>
    <s v="6100"/>
    <n v="33249.27"/>
    <n v="104.12"/>
    <s v="CREDITOR"/>
    <n v="0"/>
    <n v="0"/>
    <n v="0"/>
    <n v="0"/>
    <n v="104.12"/>
  </r>
  <r>
    <n v="59743667"/>
    <s v="N"/>
    <n v="21349286"/>
    <s v="3000014122640008"/>
    <s v="CIVIL"/>
    <d v="2023-06-27T00:00:00"/>
    <d v="2023-07-10T19:01:40"/>
    <m/>
    <d v="2023-07-10T00:00:00"/>
    <n v="1832"/>
    <n v="1259"/>
    <s v="59743667"/>
    <s v="59743667"/>
    <m/>
    <m/>
    <n v="22769622"/>
    <m/>
    <m/>
    <m/>
    <s v="SOLFIN"/>
    <s v="SOLFIN"/>
    <s v="CCMS"/>
    <n v="21349286"/>
    <n v="14585.88"/>
    <m/>
    <s v="N"/>
    <n v="89"/>
    <d v="2023-07-10T19:01:43"/>
    <s v="Y"/>
    <s v="Hearing Unit 2.31 - 5.00 Hours"/>
    <s v="Public Law Children"/>
    <s v="Advocacy"/>
    <s v="Myria Pieri"/>
    <s v="Y"/>
    <n v="476.92"/>
    <n v="95.38"/>
    <x v="2"/>
    <s v="VALIDATED"/>
    <n v="1"/>
    <s v="01.11.80.308.6100.0000"/>
    <n v="476.92"/>
    <s v="11"/>
    <s v="6100"/>
    <n v="33249.27"/>
    <n v="476.92"/>
    <s v="CREDITOR"/>
    <n v="0"/>
    <n v="0"/>
    <n v="0"/>
    <n v="0"/>
    <n v="476.92"/>
  </r>
  <r>
    <n v="59743667"/>
    <s v="N"/>
    <n v="21349286"/>
    <s v="3000014122640008"/>
    <s v="CIVIL"/>
    <d v="2023-06-27T00:00:00"/>
    <d v="2023-07-10T19:01:40"/>
    <m/>
    <d v="2023-07-10T00:00:00"/>
    <n v="1832"/>
    <n v="1259"/>
    <s v="59743667"/>
    <s v="59743667"/>
    <m/>
    <m/>
    <n v="22769622"/>
    <m/>
    <m/>
    <m/>
    <s v="SOLFIN"/>
    <s v="SOLFIN"/>
    <s v="CCMS"/>
    <n v="21349286"/>
    <n v="14585.88"/>
    <m/>
    <s v="N"/>
    <n v="3"/>
    <d v="2023-07-10T19:01:43"/>
    <s v="Y"/>
    <s v="Psychiatrist"/>
    <s v="Care Remuneration Hourly Rates"/>
    <s v="Expert Disbursement"/>
    <s v="Myria Pieri"/>
    <s v="Y"/>
    <n v="540"/>
    <n v="108"/>
    <x v="2"/>
    <s v="VALIDATED"/>
    <n v="1"/>
    <s v="01.11.80.308.6300.0000"/>
    <n v="540"/>
    <s v="11"/>
    <s v="6300"/>
    <n v="33249.27"/>
    <n v="540"/>
    <s v="CREDITOR"/>
    <n v="0"/>
    <n v="0"/>
    <n v="0"/>
    <n v="0"/>
    <n v="540"/>
  </r>
  <r>
    <n v="59801646"/>
    <s v="N"/>
    <n v="21408733"/>
    <s v="3000014174670010"/>
    <s v="CIVIL"/>
    <d v="2023-06-30T00:00:00"/>
    <d v="2023-07-21T10:00:02"/>
    <m/>
    <d v="2023-07-21T00:00:00"/>
    <n v="1832"/>
    <n v="1259"/>
    <s v="59801646"/>
    <s v="59801646"/>
    <m/>
    <m/>
    <n v="22801554"/>
    <m/>
    <m/>
    <m/>
    <s v="SOLFIN"/>
    <s v="SOLFIN"/>
    <s v="CCMS"/>
    <n v="21408733"/>
    <n v="23465.88"/>
    <m/>
    <s v="N"/>
    <n v="67"/>
    <d v="2023-07-21T10:00:09"/>
    <s v="Y"/>
    <s v="Attendance upon client"/>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38"/>
    <d v="2023-07-21T10:00:09"/>
    <s v="Y"/>
    <s v="Preparation - drafting bill/claim f"/>
    <s v="Care Remuneration Hourly Rates"/>
    <s v="Profit Cost"/>
    <s v="Myria Pieri"/>
    <s v="Y"/>
    <n v="933.5599999999999"/>
    <n v="186.71"/>
    <x v="12"/>
    <s v="VALIDATED"/>
    <n v="1"/>
    <s v="01.11.80.308.6100.0000"/>
    <n v="933.5599999999999"/>
    <s v="11"/>
    <s v="6100"/>
    <n v="33249.27"/>
    <n v="933.5599999999999"/>
    <s v="CREDITOR"/>
    <n v="0"/>
    <n v="0"/>
    <n v="0"/>
    <n v="0"/>
    <n v="933.5599999999999"/>
  </r>
  <r>
    <n v="59801646"/>
    <s v="N"/>
    <n v="21408733"/>
    <s v="3000014174670010"/>
    <s v="CIVIL"/>
    <d v="2023-06-30T00:00:00"/>
    <d v="2023-07-21T10:00:02"/>
    <m/>
    <d v="2023-07-21T00:00:00"/>
    <n v="1832"/>
    <n v="1259"/>
    <s v="59801646"/>
    <s v="59801646"/>
    <m/>
    <m/>
    <n v="22801554"/>
    <m/>
    <m/>
    <m/>
    <s v="SOLFIN"/>
    <s v="SOLFIN"/>
    <s v="CCMS"/>
    <n v="21408733"/>
    <n v="23465.88"/>
    <m/>
    <s v="N"/>
    <n v="141"/>
    <d v="2023-07-21T10:00:09"/>
    <s v="Y"/>
    <s v="Report - other"/>
    <s v="Care Remuneration Hourly Rates"/>
    <s v="Profit Cost"/>
    <s v="Myria Pieri"/>
    <s v="Y"/>
    <n v="8"/>
    <n v="1.6"/>
    <x v="12"/>
    <s v="VALIDATED"/>
    <n v="1"/>
    <s v="01.11.80.308.6100.0000"/>
    <n v="8"/>
    <s v="11"/>
    <s v="6100"/>
    <n v="33249.27"/>
    <n v="8"/>
    <s v="CREDITOR"/>
    <n v="0"/>
    <n v="0"/>
    <n v="0"/>
    <n v="0"/>
    <n v="8"/>
  </r>
  <r>
    <n v="59743667"/>
    <s v="N"/>
    <n v="21349286"/>
    <s v="3000014122640008"/>
    <s v="CIVIL"/>
    <d v="2023-06-27T00:00:00"/>
    <d v="2023-07-10T19:01:40"/>
    <m/>
    <d v="2023-07-10T00:00:00"/>
    <n v="1832"/>
    <n v="1259"/>
    <s v="59743667"/>
    <s v="59743667"/>
    <m/>
    <m/>
    <n v="22769622"/>
    <m/>
    <m/>
    <m/>
    <s v="SOLFIN"/>
    <s v="SOLFIN"/>
    <s v="CCMS"/>
    <n v="21349286"/>
    <n v="14585.88"/>
    <m/>
    <s v="N"/>
    <n v="13"/>
    <d v="2023-07-10T19:01:43"/>
    <s v="Y"/>
    <s v="Report - Welfare report"/>
    <s v="Care Remuneration Hourly Rates"/>
    <s v="Profit Cost"/>
    <s v="Myria Pieri"/>
    <s v="Y"/>
    <n v="54.87"/>
    <n v="10.97"/>
    <x v="2"/>
    <s v="VALIDATED"/>
    <n v="1"/>
    <s v="01.11.80.308.6100.0000"/>
    <n v="54.87"/>
    <s v="11"/>
    <s v="6100"/>
    <n v="33249.27"/>
    <n v="54.87"/>
    <s v="CREDITOR"/>
    <n v="0"/>
    <n v="0"/>
    <n v="0"/>
    <n v="0"/>
    <n v="54.87"/>
  </r>
  <r>
    <n v="59743667"/>
    <s v="N"/>
    <n v="21349286"/>
    <s v="3000014122640008"/>
    <s v="CIVIL"/>
    <d v="2023-06-27T00:00:00"/>
    <d v="2023-07-10T19:01:40"/>
    <m/>
    <d v="2023-07-10T00:00:00"/>
    <n v="1832"/>
    <n v="1259"/>
    <s v="59743667"/>
    <s v="59743667"/>
    <m/>
    <m/>
    <n v="22769622"/>
    <m/>
    <m/>
    <m/>
    <s v="SOLFIN"/>
    <s v="SOLFIN"/>
    <s v="CCMS"/>
    <n v="21349286"/>
    <n v="14585.88"/>
    <m/>
    <s v="N"/>
    <n v="19"/>
    <d v="2023-07-10T19:01:43"/>
    <s v="Y"/>
    <s v="Preparation - drafting bill/claim f"/>
    <s v="Care Remuneration Hourly Rates"/>
    <s v="Profit Cost"/>
    <s v="Jane Hobden"/>
    <s v="Y"/>
    <n v="611.6799999999999"/>
    <n v="122.33"/>
    <x v="2"/>
    <s v="VALIDATED"/>
    <n v="1"/>
    <s v="01.11.80.308.6100.0000"/>
    <n v="611.6799999999999"/>
    <s v="11"/>
    <s v="6100"/>
    <n v="33249.27"/>
    <n v="611.6799999999999"/>
    <s v="CREDITOR"/>
    <n v="0"/>
    <n v="0"/>
    <n v="0"/>
    <n v="0"/>
    <n v="611.6799999999999"/>
  </r>
  <r>
    <n v="59743667"/>
    <s v="N"/>
    <n v="21349286"/>
    <s v="3000014122640008"/>
    <s v="CIVIL"/>
    <d v="2023-06-27T00:00:00"/>
    <d v="2023-07-10T19:01:40"/>
    <m/>
    <d v="2023-07-10T00:00:00"/>
    <n v="1832"/>
    <n v="1259"/>
    <s v="59743667"/>
    <s v="59743667"/>
    <m/>
    <m/>
    <n v="22769622"/>
    <m/>
    <m/>
    <m/>
    <s v="SOLFIN"/>
    <s v="SOLFIN"/>
    <s v="CCMS"/>
    <n v="21349286"/>
    <n v="14585.88"/>
    <m/>
    <s v="N"/>
    <n v="45"/>
    <d v="2023-07-10T19:01:43"/>
    <s v="Y"/>
    <s v="Preparation - other"/>
    <s v="Care Remuneration Hourly Rates"/>
    <s v="Profit Cost"/>
    <s v="Myria Pieri"/>
    <s v="Y"/>
    <n v="32.05"/>
    <n v="6.41"/>
    <x v="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86"/>
    <d v="2023-07-10T19:01:43"/>
    <s v="Y"/>
    <s v="Hearing Unit 2.31 - 5.00 Hours"/>
    <s v="Public Law Children"/>
    <s v="Advocacy"/>
    <s v="Myria Pieri"/>
    <s v="Y"/>
    <n v="476.92"/>
    <n v="95.38"/>
    <x v="2"/>
    <s v="VALIDATED"/>
    <n v="1"/>
    <s v="01.11.80.308.6100.0000"/>
    <n v="476.92"/>
    <s v="11"/>
    <s v="6100"/>
    <n v="33249.27"/>
    <n v="476.92"/>
    <s v="CREDITOR"/>
    <n v="0"/>
    <n v="0"/>
    <n v="0"/>
    <n v="0"/>
    <n v="476.92"/>
  </r>
  <r>
    <n v="59743667"/>
    <s v="N"/>
    <n v="21349286"/>
    <s v="3000014122640008"/>
    <s v="CIVIL"/>
    <d v="2023-06-27T00:00:00"/>
    <d v="2023-07-10T19:01:40"/>
    <m/>
    <d v="2023-07-10T00:00:00"/>
    <n v="1832"/>
    <n v="1259"/>
    <s v="59743667"/>
    <s v="59743667"/>
    <m/>
    <m/>
    <n v="22769622"/>
    <m/>
    <m/>
    <m/>
    <s v="SOLFIN"/>
    <s v="SOLFIN"/>
    <s v="CCMS"/>
    <n v="21349286"/>
    <n v="14585.88"/>
    <m/>
    <s v="N"/>
    <n v="70"/>
    <d v="2023-07-10T19:01:43"/>
    <s v="Y"/>
    <s v="Report - Welfare report"/>
    <s v="Care Remuneration Hourly Rates"/>
    <s v="Profit Cost"/>
    <s v="Myria Pieri"/>
    <s v="Y"/>
    <n v="128.15"/>
    <n v="25.63"/>
    <x v="2"/>
    <s v="VALIDATED"/>
    <n v="1"/>
    <s v="01.11.80.308.6100.0000"/>
    <n v="128.15"/>
    <s v="11"/>
    <s v="6100"/>
    <n v="33249.27"/>
    <n v="128.15"/>
    <s v="CREDITOR"/>
    <n v="0"/>
    <n v="0"/>
    <n v="0"/>
    <n v="0"/>
    <n v="128.15"/>
  </r>
  <r>
    <n v="59743667"/>
    <s v="N"/>
    <n v="21349286"/>
    <s v="3000014122640008"/>
    <s v="CIVIL"/>
    <d v="2023-06-27T00:00:00"/>
    <d v="2023-07-10T19:01:40"/>
    <m/>
    <d v="2023-07-10T00:00:00"/>
    <n v="1832"/>
    <n v="1259"/>
    <s v="59743667"/>
    <s v="59743667"/>
    <m/>
    <m/>
    <n v="22769622"/>
    <m/>
    <m/>
    <m/>
    <s v="SOLFIN"/>
    <s v="SOLFIN"/>
    <s v="CCMS"/>
    <n v="21349286"/>
    <n v="14585.88"/>
    <m/>
    <s v="N"/>
    <n v="73"/>
    <d v="2023-07-10T19:01:43"/>
    <s v="Y"/>
    <s v="Attendance upon client"/>
    <s v="Care Remuneration Hourly Rates"/>
    <s v="Profit Cost"/>
    <s v="Myria Pieri"/>
    <s v="Y"/>
    <n v="48.05"/>
    <n v="9.609999999999999"/>
    <x v="2"/>
    <s v="VALIDATED"/>
    <n v="1"/>
    <s v="01.11.80.308.6100.0000"/>
    <n v="48.05"/>
    <s v="11"/>
    <s v="6100"/>
    <n v="33249.27"/>
    <n v="48.05"/>
    <s v="CREDITOR"/>
    <n v="0"/>
    <n v="0"/>
    <n v="0"/>
    <n v="0"/>
    <n v="48.05"/>
  </r>
  <r>
    <n v="59801646"/>
    <s v="N"/>
    <n v="21408733"/>
    <s v="3000014174670010"/>
    <s v="CIVIL"/>
    <d v="2023-06-30T00:00:00"/>
    <d v="2023-07-21T10:00:02"/>
    <m/>
    <d v="2023-07-21T00:00:00"/>
    <n v="1832"/>
    <n v="1259"/>
    <s v="59801646"/>
    <s v="59801646"/>
    <m/>
    <m/>
    <n v="22801554"/>
    <m/>
    <m/>
    <m/>
    <s v="SOLFIN"/>
    <s v="SOLFIN"/>
    <s v="CCMS"/>
    <n v="21408733"/>
    <n v="23465.88"/>
    <m/>
    <s v="N"/>
    <n v="113"/>
    <d v="2023-07-21T10:00:09"/>
    <s v="Y"/>
    <s v="Preparation - drafting attendance n"/>
    <s v="Care Remuneration Hourly Rates"/>
    <s v="Profit Cost"/>
    <s v="Myria Pieri"/>
    <s v="Y"/>
    <n v="6.35"/>
    <n v="1.27"/>
    <x v="1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18"/>
    <d v="2023-07-21T10:00:09"/>
    <s v="Y"/>
    <s v="Preparation - other"/>
    <s v="Care Remuneration Hourly Rates"/>
    <s v="Profit Cost"/>
    <s v="Myria Pieri"/>
    <s v="Y"/>
    <n v="200.25"/>
    <n v="40.05"/>
    <x v="12"/>
    <s v="VALIDATED"/>
    <n v="1"/>
    <s v="01.11.80.308.6100.0000"/>
    <n v="200.25"/>
    <s v="11"/>
    <s v="6100"/>
    <n v="33249.27"/>
    <n v="200.25"/>
    <s v="CREDITOR"/>
    <n v="0"/>
    <n v="0"/>
    <n v="0"/>
    <n v="0"/>
    <n v="200.25"/>
  </r>
  <r>
    <n v="59801646"/>
    <s v="N"/>
    <n v="21408733"/>
    <s v="3000014174670010"/>
    <s v="CIVIL"/>
    <d v="2023-06-30T00:00:00"/>
    <d v="2023-07-21T10:00:02"/>
    <m/>
    <d v="2023-07-21T00:00:00"/>
    <n v="1832"/>
    <n v="1259"/>
    <s v="59801646"/>
    <s v="59801646"/>
    <m/>
    <m/>
    <n v="22801554"/>
    <m/>
    <m/>
    <m/>
    <s v="SOLFIN"/>
    <s v="SOLFIN"/>
    <s v="CCMS"/>
    <n v="21408733"/>
    <n v="23465.88"/>
    <m/>
    <s v="N"/>
    <n v="153"/>
    <d v="2023-07-21T10:00:09"/>
    <s v="Y"/>
    <s v="Hearing Unit 2.31 - 5.00 Hours"/>
    <s v="Public Law Children"/>
    <s v="Advocacy"/>
    <s v="Myria Pieri"/>
    <s v="Y"/>
    <n v="476.92"/>
    <n v="95.38"/>
    <x v="12"/>
    <s v="VALIDATED"/>
    <n v="1"/>
    <s v="01.11.80.308.6100.0000"/>
    <n v="476.92"/>
    <s v="11"/>
    <s v="6100"/>
    <n v="33249.27"/>
    <n v="476.92"/>
    <s v="CREDITOR"/>
    <n v="0"/>
    <n v="0"/>
    <n v="0"/>
    <n v="0"/>
    <n v="476.92"/>
  </r>
  <r>
    <n v="59428996"/>
    <s v="N"/>
    <n v="21360295"/>
    <s v="3000013869930006"/>
    <s v="CIVIL"/>
    <d v="2023-06-30T00:00:00"/>
    <d v="2023-07-11T11:50:54"/>
    <m/>
    <d v="2023-07-11T00:00:00"/>
    <n v="1832"/>
    <n v="1259"/>
    <s v="59428996"/>
    <s v="59428996"/>
    <m/>
    <m/>
    <n v="22798406"/>
    <m/>
    <m/>
    <m/>
    <s v="SOLFIN"/>
    <s v="SOLFIN"/>
    <s v="CCMS"/>
    <n v="21360295"/>
    <n v="6298.44"/>
    <m/>
    <s v="N"/>
    <n v="2"/>
    <d v="2023-07-11T11:51:01"/>
    <s v="Y"/>
    <s v="Child psychologist"/>
    <s v="Public Law Children"/>
    <s v="Expert Disbursement"/>
    <s v="sam wilde"/>
    <s v="Y"/>
    <n v="168"/>
    <n v="33.6"/>
    <x v="7"/>
    <s v="VALIDATED"/>
    <n v="1"/>
    <s v="01.11.80.308.6300.0000"/>
    <n v="168"/>
    <s v="11"/>
    <s v="6300"/>
    <n v="33249.27"/>
    <n v="168"/>
    <s v="CREDITOR"/>
    <n v="0"/>
    <n v="0"/>
    <n v="0"/>
    <n v="0"/>
    <n v="168"/>
  </r>
  <r>
    <n v="59801646"/>
    <s v="N"/>
    <n v="21408733"/>
    <s v="3000014174670010"/>
    <s v="CIVIL"/>
    <d v="2023-06-30T00:00:00"/>
    <d v="2023-07-21T10:00:02"/>
    <m/>
    <d v="2023-07-21T00:00:00"/>
    <n v="1832"/>
    <n v="1259"/>
    <s v="59801646"/>
    <s v="59801646"/>
    <m/>
    <m/>
    <n v="22801554"/>
    <m/>
    <m/>
    <m/>
    <s v="SOLFIN"/>
    <s v="SOLFIN"/>
    <s v="CCMS"/>
    <n v="21408733"/>
    <n v="23465.88"/>
    <m/>
    <s v="N"/>
    <n v="89"/>
    <d v="2023-07-21T10:00:09"/>
    <s v="Y"/>
    <s v="Preparation - other"/>
    <s v="Care Remuneration Hourly Rates"/>
    <s v="Profit Cost"/>
    <s v="Myria Pieri"/>
    <s v="Y"/>
    <n v="19.06"/>
    <n v="3.81"/>
    <x v="12"/>
    <s v="VALIDATED"/>
    <n v="1"/>
    <s v="01.11.80.308.6100.0000"/>
    <n v="19.06"/>
    <s v="11"/>
    <s v="6100"/>
    <n v="33249.27"/>
    <n v="19.06"/>
    <s v="CREDITOR"/>
    <n v="0"/>
    <n v="0"/>
    <n v="0"/>
    <n v="0"/>
    <n v="19.06"/>
  </r>
  <r>
    <n v="59801646"/>
    <s v="N"/>
    <n v="21408733"/>
    <s v="3000014174670010"/>
    <s v="CIVIL"/>
    <d v="2023-06-30T00:00:00"/>
    <d v="2023-07-21T10:00:02"/>
    <m/>
    <d v="2023-07-21T00:00:00"/>
    <n v="1832"/>
    <n v="1259"/>
    <s v="59801646"/>
    <s v="59801646"/>
    <m/>
    <m/>
    <n v="22801554"/>
    <m/>
    <m/>
    <m/>
    <s v="SOLFIN"/>
    <s v="SOLFIN"/>
    <s v="CCMS"/>
    <n v="21408733"/>
    <n v="23465.88"/>
    <m/>
    <s v="N"/>
    <n v="129"/>
    <d v="2023-07-21T10:00:09"/>
    <s v="Y"/>
    <s v="Attendance upon client"/>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22"/>
    <d v="2023-07-21T10:00:09"/>
    <s v="Y"/>
    <s v="Report - other expert's report"/>
    <s v="Care Remuneration Hourly Rates"/>
    <s v="Profit Cost"/>
    <s v="Myria Pieri"/>
    <s v="Y"/>
    <n v="176.22"/>
    <n v="35.24"/>
    <x v="12"/>
    <s v="VALIDATED"/>
    <n v="1"/>
    <s v="01.11.80.308.6100.0000"/>
    <n v="176.22"/>
    <s v="11"/>
    <s v="6100"/>
    <n v="33249.27"/>
    <n v="176.22"/>
    <s v="CREDITOR"/>
    <n v="0"/>
    <n v="0"/>
    <n v="0"/>
    <n v="0"/>
    <n v="176.22"/>
  </r>
  <r>
    <n v="59743667"/>
    <s v="N"/>
    <n v="21349286"/>
    <s v="3000014122640008"/>
    <s v="CIVIL"/>
    <d v="2023-06-27T00:00:00"/>
    <d v="2023-07-10T19:01:40"/>
    <m/>
    <d v="2023-07-10T00:00:00"/>
    <n v="1832"/>
    <n v="1259"/>
    <s v="59743667"/>
    <s v="59743667"/>
    <m/>
    <m/>
    <n v="22769622"/>
    <m/>
    <m/>
    <m/>
    <s v="SOLFIN"/>
    <s v="SOLFIN"/>
    <s v="CCMS"/>
    <n v="21349286"/>
    <n v="14585.88"/>
    <m/>
    <s v="N"/>
    <n v="32"/>
    <d v="2023-07-10T19:01:43"/>
    <s v="Y"/>
    <s v="Preparation - other"/>
    <s v="Care Remuneration Hourly Rates"/>
    <s v="Profit Cost"/>
    <s v="Myria Pieri"/>
    <s v="Y"/>
    <n v="64.08"/>
    <n v="12.82"/>
    <x v="2"/>
    <s v="VALIDATED"/>
    <n v="1"/>
    <s v="01.11.80.308.6100.0000"/>
    <n v="64.08"/>
    <s v="11"/>
    <s v="6100"/>
    <n v="33249.27"/>
    <n v="64.08"/>
    <s v="CREDITOR"/>
    <n v="0"/>
    <n v="0"/>
    <n v="0"/>
    <n v="0"/>
    <n v="64.08"/>
  </r>
  <r>
    <n v="59743667"/>
    <s v="N"/>
    <n v="21349286"/>
    <s v="3000014122640008"/>
    <s v="CIVIL"/>
    <d v="2023-06-27T00:00:00"/>
    <d v="2023-07-10T19:01:40"/>
    <m/>
    <d v="2023-07-10T00:00:00"/>
    <n v="1832"/>
    <n v="1259"/>
    <s v="59743667"/>
    <s v="59743667"/>
    <m/>
    <m/>
    <n v="22769622"/>
    <m/>
    <m/>
    <m/>
    <s v="SOLFIN"/>
    <s v="SOLFIN"/>
    <s v="CCMS"/>
    <n v="21349286"/>
    <n v="14585.88"/>
    <m/>
    <s v="N"/>
    <n v="78"/>
    <d v="2023-07-10T19:01:43"/>
    <s v="Y"/>
    <s v="Preparation - other"/>
    <s v="Care Remuneration Hourly Rates"/>
    <s v="Profit Cost"/>
    <s v="Myria Pieri"/>
    <s v="Y"/>
    <n v="19.06"/>
    <n v="3.81"/>
    <x v="2"/>
    <s v="VALIDATED"/>
    <n v="1"/>
    <s v="01.11.80.308.6100.0000"/>
    <n v="19.06"/>
    <s v="11"/>
    <s v="6100"/>
    <n v="33249.27"/>
    <n v="19.06"/>
    <s v="CREDITOR"/>
    <n v="0"/>
    <n v="0"/>
    <n v="0"/>
    <n v="0"/>
    <n v="19.06"/>
  </r>
  <r>
    <n v="59801646"/>
    <s v="N"/>
    <n v="21408733"/>
    <s v="3000014174670010"/>
    <s v="CIVIL"/>
    <d v="2023-06-30T00:00:00"/>
    <d v="2023-07-21T10:00:02"/>
    <m/>
    <d v="2023-07-21T00:00:00"/>
    <n v="1832"/>
    <n v="1259"/>
    <s v="59801646"/>
    <s v="59801646"/>
    <m/>
    <m/>
    <n v="22801554"/>
    <m/>
    <m/>
    <m/>
    <s v="SOLFIN"/>
    <s v="SOLFIN"/>
    <s v="CCMS"/>
    <n v="21408733"/>
    <n v="23465.88"/>
    <m/>
    <s v="N"/>
    <n v="51"/>
    <d v="2023-07-21T10:00:09"/>
    <s v="Y"/>
    <s v="Preparation - other"/>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52"/>
    <d v="2023-07-21T10:00:09"/>
    <s v="Y"/>
    <s v="Preparation - other"/>
    <s v="Care Remuneration Hourly Rates"/>
    <s v="Profit Cost"/>
    <s v="Myria Pieri"/>
    <s v="Y"/>
    <n v="6.35"/>
    <n v="1.27"/>
    <x v="1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27"/>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40"/>
    <d v="2023-07-21T10:00:09"/>
    <s v="Y"/>
    <s v="Attendance upon client"/>
    <s v="Care Remuneration Hourly Rates"/>
    <s v="Profit Cost"/>
    <s v="Myria Pieri"/>
    <s v="Y"/>
    <n v="32.05"/>
    <n v="6.41"/>
    <x v="1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10"/>
    <d v="2023-07-10T19:01:43"/>
    <s v="Y"/>
    <s v="Preparation - other"/>
    <s v="Care Remuneration Hourly Rates"/>
    <s v="Profit Cost"/>
    <s v="Myria Pieri"/>
    <s v="Y"/>
    <n v="14.5"/>
    <n v="2.9"/>
    <x v="2"/>
    <s v="VALIDATED"/>
    <n v="1"/>
    <s v="01.11.80.308.6100.0000"/>
    <n v="14.5"/>
    <s v="11"/>
    <s v="6100"/>
    <n v="33249.27"/>
    <n v="14.5"/>
    <s v="CREDITOR"/>
    <n v="0"/>
    <n v="0"/>
    <n v="0"/>
    <n v="0"/>
    <n v="14.5"/>
  </r>
  <r>
    <n v="59801646"/>
    <s v="N"/>
    <n v="21408733"/>
    <s v="3000014174670010"/>
    <s v="CIVIL"/>
    <d v="2023-06-30T00:00:00"/>
    <d v="2023-07-21T10:00:02"/>
    <m/>
    <d v="2023-07-21T00:00:00"/>
    <n v="1832"/>
    <n v="1259"/>
    <s v="59801646"/>
    <s v="59801646"/>
    <m/>
    <m/>
    <n v="22801554"/>
    <m/>
    <m/>
    <m/>
    <s v="SOLFIN"/>
    <s v="SOLFIN"/>
    <s v="CCMS"/>
    <n v="21408733"/>
    <n v="23465.88"/>
    <m/>
    <s v="N"/>
    <n v="78"/>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85"/>
    <d v="2023-07-21T10:00:09"/>
    <s v="Y"/>
    <s v="Preparation -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86"/>
    <d v="2023-07-21T10:00:09"/>
    <s v="Y"/>
    <s v="Attendance upon other side"/>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06"/>
    <d v="2023-07-21T10:00:09"/>
    <s v="Y"/>
    <s v="Preparation - other"/>
    <s v="Care Remuneration Hourly Rates"/>
    <s v="Profit Cost"/>
    <s v="Myria Pieri"/>
    <s v="Y"/>
    <n v="24.03"/>
    <n v="4.81"/>
    <x v="12"/>
    <s v="VALIDATED"/>
    <n v="1"/>
    <s v="01.11.80.308.6100.0000"/>
    <n v="24.03"/>
    <s v="11"/>
    <s v="6100"/>
    <n v="33249.27"/>
    <n v="24.03"/>
    <s v="CREDITOR"/>
    <n v="0"/>
    <n v="0"/>
    <n v="0"/>
    <n v="0"/>
    <n v="24.03"/>
  </r>
  <r>
    <n v="59743667"/>
    <s v="N"/>
    <n v="21349286"/>
    <s v="3000014122640008"/>
    <s v="CIVIL"/>
    <d v="2023-06-27T00:00:00"/>
    <d v="2023-07-10T19:01:40"/>
    <m/>
    <d v="2023-07-10T00:00:00"/>
    <n v="1832"/>
    <n v="1259"/>
    <s v="59743667"/>
    <s v="59743667"/>
    <m/>
    <m/>
    <n v="22769622"/>
    <m/>
    <m/>
    <m/>
    <s v="SOLFIN"/>
    <s v="SOLFIN"/>
    <s v="CCMS"/>
    <n v="21349286"/>
    <n v="14585.88"/>
    <m/>
    <s v="N"/>
    <n v="46"/>
    <d v="2023-07-10T19:01:43"/>
    <s v="Y"/>
    <s v="Preparation - other"/>
    <s v="Care Remuneration Hourly Rates"/>
    <s v="Profit Cost"/>
    <s v="Myria Pieri"/>
    <s v="Y"/>
    <n v="32.05"/>
    <n v="6.41"/>
    <x v="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35"/>
    <d v="2023-07-10T19:01:43"/>
    <s v="Y"/>
    <s v="Preparation - drafting consent orde"/>
    <s v="Care Remuneration Hourly Rates"/>
    <s v="Profit Cost"/>
    <s v="Myria Pieri"/>
    <s v="Y"/>
    <n v="8"/>
    <n v="1.6"/>
    <x v="2"/>
    <s v="VALIDATED"/>
    <n v="1"/>
    <s v="01.11.80.308.6100.0000"/>
    <n v="8"/>
    <s v="11"/>
    <s v="6100"/>
    <n v="33249.27"/>
    <n v="8"/>
    <s v="CREDITOR"/>
    <n v="0"/>
    <n v="0"/>
    <n v="0"/>
    <n v="0"/>
    <n v="8"/>
  </r>
  <r>
    <n v="59801646"/>
    <s v="N"/>
    <n v="21408733"/>
    <s v="3000014174670010"/>
    <s v="CIVIL"/>
    <d v="2023-06-30T00:00:00"/>
    <d v="2023-07-21T10:00:02"/>
    <m/>
    <d v="2023-07-21T00:00:00"/>
    <n v="1832"/>
    <n v="1259"/>
    <s v="59801646"/>
    <s v="59801646"/>
    <m/>
    <m/>
    <n v="22801554"/>
    <m/>
    <m/>
    <m/>
    <s v="SOLFIN"/>
    <s v="SOLFIN"/>
    <s v="CCMS"/>
    <n v="21408733"/>
    <n v="23465.88"/>
    <m/>
    <s v="N"/>
    <n v="4"/>
    <d v="2023-07-21T10:00:09"/>
    <s v="Y"/>
    <s v="Psychologist"/>
    <s v="Public Law Children"/>
    <s v="Expert Disbursement"/>
    <s v="Myria Pieri"/>
    <s v="Y"/>
    <n v="140.4"/>
    <n v="28.08"/>
    <x v="12"/>
    <s v="VALIDATED"/>
    <n v="1"/>
    <s v="01.11.80.308.6300.0000"/>
    <n v="140.4"/>
    <s v="11"/>
    <s v="6300"/>
    <n v="33249.27"/>
    <n v="140.4"/>
    <s v="CREDITOR"/>
    <n v="0"/>
    <n v="0"/>
    <n v="0"/>
    <n v="0"/>
    <n v="140.4"/>
  </r>
  <r>
    <n v="59801646"/>
    <s v="N"/>
    <n v="21408733"/>
    <s v="3000014174670010"/>
    <s v="CIVIL"/>
    <d v="2023-06-30T00:00:00"/>
    <d v="2023-07-21T10:00:02"/>
    <m/>
    <d v="2023-07-21T00:00:00"/>
    <n v="1832"/>
    <n v="1259"/>
    <s v="59801646"/>
    <s v="59801646"/>
    <m/>
    <m/>
    <n v="22801554"/>
    <m/>
    <m/>
    <m/>
    <s v="SOLFIN"/>
    <s v="SOLFIN"/>
    <s v="CCMS"/>
    <n v="21408733"/>
    <n v="23465.88"/>
    <m/>
    <s v="N"/>
    <n v="155"/>
    <d v="2023-07-21T10:00:09"/>
    <s v="Y"/>
    <s v="Hearing Unit 7.31 - 10.00 Hours"/>
    <s v="Public Law Children"/>
    <s v="Advocacy"/>
    <s v="Myria Pieri"/>
    <s v="Y"/>
    <n v="953.84"/>
    <n v="190.76"/>
    <x v="12"/>
    <s v="VALIDATED"/>
    <n v="1"/>
    <s v="01.11.80.308.6100.0000"/>
    <n v="953.84"/>
    <s v="11"/>
    <s v="6100"/>
    <n v="33249.27"/>
    <n v="953.84"/>
    <s v="CREDITOR"/>
    <n v="0"/>
    <n v="0"/>
    <n v="0"/>
    <n v="0"/>
    <n v="953.84"/>
  </r>
  <r>
    <n v="59743667"/>
    <s v="N"/>
    <n v="21349286"/>
    <s v="3000014122640008"/>
    <s v="CIVIL"/>
    <d v="2023-06-27T00:00:00"/>
    <d v="2023-07-10T19:01:40"/>
    <m/>
    <d v="2023-07-10T00:00:00"/>
    <n v="1832"/>
    <n v="1259"/>
    <s v="59743667"/>
    <s v="59743667"/>
    <m/>
    <m/>
    <n v="22769622"/>
    <m/>
    <m/>
    <m/>
    <s v="SOLFIN"/>
    <s v="SOLFIN"/>
    <s v="CCMS"/>
    <n v="21349286"/>
    <n v="14585.88"/>
    <m/>
    <s v="N"/>
    <n v="81"/>
    <d v="2023-07-10T19:01:43"/>
    <s v="Y"/>
    <s v="Attendance upon client"/>
    <s v="Care Remuneration Hourly Rates"/>
    <s v="Profit Cost"/>
    <s v="Myria Pieri"/>
    <s v="Y"/>
    <n v="36.57"/>
    <n v="7.31"/>
    <x v="2"/>
    <s v="VALIDATED"/>
    <n v="1"/>
    <s v="01.11.80.308.6100.0000"/>
    <n v="36.57"/>
    <s v="11"/>
    <s v="6100"/>
    <n v="33249.27"/>
    <n v="36.57"/>
    <s v="CREDITOR"/>
    <n v="0"/>
    <n v="0"/>
    <n v="0"/>
    <n v="0"/>
    <n v="36.57"/>
  </r>
  <r>
    <n v="59801646"/>
    <s v="N"/>
    <n v="21408733"/>
    <s v="3000014174670010"/>
    <s v="CIVIL"/>
    <d v="2023-06-30T00:00:00"/>
    <d v="2023-07-21T10:00:02"/>
    <m/>
    <d v="2023-07-21T00:00:00"/>
    <n v="1832"/>
    <n v="1259"/>
    <s v="59801646"/>
    <s v="59801646"/>
    <m/>
    <m/>
    <n v="22801554"/>
    <m/>
    <m/>
    <m/>
    <s v="SOLFIN"/>
    <s v="SOLFIN"/>
    <s v="CCMS"/>
    <n v="21408733"/>
    <n v="23465.88"/>
    <m/>
    <s v="N"/>
    <n v="34"/>
    <d v="2023-07-21T10:00:09"/>
    <s v="Y"/>
    <s v="Preparation - other"/>
    <s v="Care Remuneration Hourly Rates"/>
    <s v="Profit Cost"/>
    <s v="Myria Pieri"/>
    <s v="Y"/>
    <n v="55.24"/>
    <n v="11.05"/>
    <x v="12"/>
    <s v="VALIDATED"/>
    <n v="1"/>
    <s v="01.11.80.308.6100.0000"/>
    <n v="55.24"/>
    <s v="11"/>
    <s v="6100"/>
    <n v="33249.27"/>
    <n v="55.24"/>
    <s v="CREDITOR"/>
    <n v="0"/>
    <n v="0"/>
    <n v="0"/>
    <n v="0"/>
    <n v="55.24"/>
  </r>
  <r>
    <n v="59428996"/>
    <s v="N"/>
    <n v="21360295"/>
    <s v="3000013869930006"/>
    <s v="CIVIL"/>
    <d v="2023-06-30T00:00:00"/>
    <d v="2023-07-11T11:50:54"/>
    <m/>
    <d v="2023-07-11T00:00:00"/>
    <n v="1832"/>
    <n v="1259"/>
    <s v="59428996"/>
    <s v="59428996"/>
    <m/>
    <m/>
    <n v="22798406"/>
    <m/>
    <m/>
    <m/>
    <s v="SOLFIN"/>
    <s v="SOLFIN"/>
    <s v="CCMS"/>
    <n v="21360295"/>
    <n v="6298.44"/>
    <m/>
    <s v="N"/>
    <n v="5"/>
    <d v="2023-07-11T11:51:01"/>
    <s v="Y"/>
    <s v="Final Hearing - 1 Day"/>
    <s v="Public Law Children"/>
    <s v="Advocacy"/>
    <s v="sam wilde"/>
    <s v="Y"/>
    <n v="556.88"/>
    <n v="111.38"/>
    <x v="7"/>
    <s v="VALIDATED"/>
    <n v="1"/>
    <s v="01.11.80.308.6100.0000"/>
    <n v="556.88"/>
    <s v="11"/>
    <s v="6100"/>
    <n v="33249.27"/>
    <n v="556.88"/>
    <s v="CREDITOR"/>
    <n v="0"/>
    <n v="0"/>
    <n v="0"/>
    <n v="0"/>
    <n v="556.88"/>
  </r>
  <r>
    <n v="59743667"/>
    <s v="N"/>
    <n v="21349286"/>
    <s v="3000014122640008"/>
    <s v="CIVIL"/>
    <d v="2023-06-27T00:00:00"/>
    <d v="2023-07-10T19:01:40"/>
    <m/>
    <d v="2023-07-10T00:00:00"/>
    <n v="1832"/>
    <n v="1259"/>
    <s v="59743667"/>
    <s v="59743667"/>
    <m/>
    <m/>
    <n v="22769622"/>
    <m/>
    <m/>
    <m/>
    <s v="SOLFIN"/>
    <s v="SOLFIN"/>
    <s v="CCMS"/>
    <n v="21349286"/>
    <n v="14585.88"/>
    <m/>
    <s v="N"/>
    <n v="75"/>
    <d v="2023-07-10T19:01:43"/>
    <s v="Y"/>
    <s v="Preparation - other"/>
    <s v="Care Remuneration Hourly Rates"/>
    <s v="Profit Cost"/>
    <s v="Myria Pieri"/>
    <s v="Y"/>
    <n v="80.09999999999999"/>
    <n v="16.02"/>
    <x v="2"/>
    <s v="VALIDATED"/>
    <n v="1"/>
    <s v="01.11.80.308.6100.0000"/>
    <n v="80.09999999999999"/>
    <s v="11"/>
    <s v="6100"/>
    <n v="33249.27"/>
    <n v="80.09999999999999"/>
    <s v="CREDITOR"/>
    <n v="0"/>
    <n v="0"/>
    <n v="0"/>
    <n v="0"/>
    <n v="80.09999999999999"/>
  </r>
  <r>
    <n v="59801646"/>
    <s v="N"/>
    <n v="21408733"/>
    <s v="3000014174670010"/>
    <s v="CIVIL"/>
    <d v="2023-06-30T00:00:00"/>
    <d v="2023-07-21T10:00:02"/>
    <m/>
    <d v="2023-07-21T00:00:00"/>
    <n v="1832"/>
    <n v="1259"/>
    <s v="59801646"/>
    <s v="59801646"/>
    <m/>
    <m/>
    <n v="22801554"/>
    <m/>
    <m/>
    <m/>
    <s v="SOLFIN"/>
    <s v="SOLFIN"/>
    <s v="CCMS"/>
    <n v="21408733"/>
    <n v="23465.88"/>
    <m/>
    <s v="N"/>
    <n v="145"/>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49"/>
    <d v="2023-07-21T10:00:09"/>
    <s v="Y"/>
    <s v="Hearing Unit 2.31 - 5.00 Hours"/>
    <s v="Public Law Children"/>
    <s v="Advocacy"/>
    <s v="Myria Pieri"/>
    <s v="Y"/>
    <n v="476.92"/>
    <n v="95.38"/>
    <x v="12"/>
    <s v="VALIDATED"/>
    <n v="1"/>
    <s v="01.11.80.308.6100.0000"/>
    <n v="476.92"/>
    <s v="11"/>
    <s v="6100"/>
    <n v="33249.27"/>
    <n v="476.92"/>
    <s v="CREDITOR"/>
    <n v="0"/>
    <n v="0"/>
    <n v="0"/>
    <n v="0"/>
    <n v="476.92"/>
  </r>
  <r>
    <n v="59743667"/>
    <s v="N"/>
    <n v="21349286"/>
    <s v="3000014122640008"/>
    <s v="CIVIL"/>
    <d v="2023-06-27T00:00:00"/>
    <d v="2023-07-10T19:01:40"/>
    <m/>
    <d v="2023-07-10T00:00:00"/>
    <n v="1832"/>
    <n v="1259"/>
    <s v="59743667"/>
    <s v="59743667"/>
    <m/>
    <m/>
    <n v="22769622"/>
    <m/>
    <m/>
    <m/>
    <s v="SOLFIN"/>
    <s v="SOLFIN"/>
    <s v="CCMS"/>
    <n v="21349286"/>
    <n v="14585.88"/>
    <m/>
    <s v="N"/>
    <n v="36"/>
    <d v="2023-07-10T19:01:43"/>
    <s v="Y"/>
    <s v="Report - other expert's report"/>
    <s v="Care Remuneration Hourly Rates"/>
    <s v="Profit Cost"/>
    <s v="Myria Pieri"/>
    <s v="Y"/>
    <n v="56.07"/>
    <n v="11.21"/>
    <x v="2"/>
    <s v="VALIDATED"/>
    <n v="1"/>
    <s v="01.11.80.308.6100.0000"/>
    <n v="56.07"/>
    <s v="11"/>
    <s v="6100"/>
    <n v="33249.27"/>
    <n v="56.07"/>
    <s v="CREDITOR"/>
    <n v="0"/>
    <n v="0"/>
    <n v="0"/>
    <n v="0"/>
    <n v="56.07"/>
  </r>
  <r>
    <n v="59801646"/>
    <s v="N"/>
    <n v="21408733"/>
    <s v="3000014174670010"/>
    <s v="CIVIL"/>
    <d v="2023-06-30T00:00:00"/>
    <d v="2023-07-21T10:00:02"/>
    <m/>
    <d v="2023-07-21T00:00:00"/>
    <n v="1832"/>
    <n v="1259"/>
    <s v="59801646"/>
    <s v="59801646"/>
    <m/>
    <m/>
    <n v="22801554"/>
    <m/>
    <m/>
    <m/>
    <s v="SOLFIN"/>
    <s v="SOLFIN"/>
    <s v="CCMS"/>
    <n v="21408733"/>
    <n v="23465.88"/>
    <m/>
    <s v="N"/>
    <n v="83"/>
    <d v="2023-07-21T10:00:09"/>
    <s v="Y"/>
    <s v="Preparation - drafting attendance n"/>
    <s v="Care Remuneration Hourly Rates"/>
    <s v="Profit Cost"/>
    <s v="Myria Pieri"/>
    <s v="Y"/>
    <n v="44.47"/>
    <n v="8.890000000000001"/>
    <x v="12"/>
    <s v="VALIDATED"/>
    <n v="1"/>
    <s v="01.11.80.308.6100.0000"/>
    <n v="44.47"/>
    <s v="11"/>
    <s v="6100"/>
    <n v="33249.27"/>
    <n v="44.47"/>
    <s v="CREDITOR"/>
    <n v="0"/>
    <n v="0"/>
    <n v="0"/>
    <n v="0"/>
    <n v="44.47"/>
  </r>
  <r>
    <n v="59801646"/>
    <s v="N"/>
    <n v="21408733"/>
    <s v="3000014174670010"/>
    <s v="CIVIL"/>
    <d v="2023-06-30T00:00:00"/>
    <d v="2023-07-21T10:00:02"/>
    <m/>
    <d v="2023-07-21T00:00:00"/>
    <n v="1832"/>
    <n v="1259"/>
    <s v="59801646"/>
    <s v="59801646"/>
    <m/>
    <m/>
    <n v="22801554"/>
    <m/>
    <m/>
    <m/>
    <s v="SOLFIN"/>
    <s v="SOLFIN"/>
    <s v="CCMS"/>
    <n v="21408733"/>
    <n v="23465.88"/>
    <m/>
    <s v="N"/>
    <n v="35"/>
    <d v="2023-07-21T10:00:09"/>
    <s v="Y"/>
    <s v="Routine Letter Out"/>
    <s v="Care Remuneration Hourly Rates"/>
    <s v="Profit Cost"/>
    <s v="Myria Pieri"/>
    <s v="Y"/>
    <n v="4235.01"/>
    <n v="847.02"/>
    <x v="12"/>
    <s v="VALIDATED"/>
    <n v="1"/>
    <s v="01.11.80.308.6100.0000"/>
    <n v="4235.01"/>
    <s v="11"/>
    <s v="6100"/>
    <n v="33249.27"/>
    <n v="4235.01"/>
    <s v="CREDITOR"/>
    <n v="0"/>
    <n v="0"/>
    <n v="0"/>
    <n v="0"/>
    <n v="4235.01"/>
  </r>
  <r>
    <n v="59743667"/>
    <s v="N"/>
    <n v="21349286"/>
    <s v="3000014122640008"/>
    <s v="CIVIL"/>
    <d v="2023-06-27T00:00:00"/>
    <d v="2023-07-10T19:01:40"/>
    <m/>
    <d v="2023-07-10T00:00:00"/>
    <n v="1832"/>
    <n v="1259"/>
    <s v="59743667"/>
    <s v="59743667"/>
    <m/>
    <m/>
    <n v="22769622"/>
    <m/>
    <m/>
    <m/>
    <s v="SOLFIN"/>
    <s v="SOLFIN"/>
    <s v="CCMS"/>
    <n v="21349286"/>
    <n v="14585.88"/>
    <m/>
    <s v="N"/>
    <n v="64"/>
    <d v="2023-07-10T19:01:43"/>
    <s v="Y"/>
    <s v="Preparation - other"/>
    <s v="Care Remuneration Hourly Rates"/>
    <s v="Profit Cost"/>
    <s v="Myria Pieri"/>
    <s v="Y"/>
    <n v="6.35"/>
    <n v="1.27"/>
    <x v="2"/>
    <s v="VALIDATED"/>
    <n v="1"/>
    <s v="01.11.80.308.6100.0000"/>
    <n v="6.35"/>
    <s v="11"/>
    <s v="6100"/>
    <n v="33249.27"/>
    <n v="6.35"/>
    <s v="CREDITOR"/>
    <n v="0"/>
    <n v="0"/>
    <n v="0"/>
    <n v="0"/>
    <n v="6.35"/>
  </r>
  <r>
    <n v="59743667"/>
    <s v="N"/>
    <n v="21349286"/>
    <s v="3000014122640008"/>
    <s v="CIVIL"/>
    <d v="2023-06-27T00:00:00"/>
    <d v="2023-07-10T19:01:40"/>
    <m/>
    <d v="2023-07-10T00:00:00"/>
    <n v="1832"/>
    <n v="1259"/>
    <s v="59743667"/>
    <s v="59743667"/>
    <m/>
    <m/>
    <n v="22769622"/>
    <m/>
    <m/>
    <m/>
    <s v="SOLFIN"/>
    <s v="SOLFIN"/>
    <s v="CCMS"/>
    <n v="21349286"/>
    <n v="14585.88"/>
    <m/>
    <s v="N"/>
    <n v="67"/>
    <d v="2023-07-10T19:01:43"/>
    <s v="Y"/>
    <s v="Preparation - other"/>
    <s v="Care Remuneration Hourly Rates"/>
    <s v="Profit Cost"/>
    <s v="Myria Pieri"/>
    <s v="Y"/>
    <n v="7.26"/>
    <n v="1.45"/>
    <x v="2"/>
    <s v="VALIDATED"/>
    <n v="1"/>
    <s v="01.11.80.308.6100.0000"/>
    <n v="7.26"/>
    <s v="11"/>
    <s v="6100"/>
    <n v="33249.27"/>
    <n v="7.26"/>
    <s v="CREDITOR"/>
    <n v="0"/>
    <n v="0"/>
    <n v="0"/>
    <n v="0"/>
    <n v="7.26"/>
  </r>
  <r>
    <n v="59801646"/>
    <s v="N"/>
    <n v="21408733"/>
    <s v="3000014174670010"/>
    <s v="CIVIL"/>
    <d v="2023-06-30T00:00:00"/>
    <d v="2023-07-21T10:00:02"/>
    <m/>
    <d v="2023-07-21T00:00:00"/>
    <n v="1832"/>
    <n v="1259"/>
    <s v="59801646"/>
    <s v="59801646"/>
    <m/>
    <m/>
    <n v="22801554"/>
    <m/>
    <m/>
    <m/>
    <s v="SOLFIN"/>
    <s v="SOLFIN"/>
    <s v="CCMS"/>
    <n v="21408733"/>
    <n v="23465.88"/>
    <m/>
    <s v="N"/>
    <n v="58"/>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12"/>
    <d v="2023-07-21T10:00:09"/>
    <s v="Y"/>
    <s v="Preparation - other"/>
    <s v="Care Remuneration Hourly Rates"/>
    <s v="Profit Cost"/>
    <s v="Myria Pieri"/>
    <s v="Y"/>
    <n v="6.35"/>
    <n v="1.27"/>
    <x v="1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2"/>
    <d v="2023-07-21T10:00:09"/>
    <s v="Y"/>
    <s v="Interim Hearing Court Bundle/Advoca"/>
    <s v="Public Law Children"/>
    <s v="Advocacy"/>
    <s v="Myria Pieri"/>
    <s v="Y"/>
    <n v="89.09999999999999"/>
    <n v="17.82"/>
    <x v="12"/>
    <s v="VALIDATED"/>
    <n v="1"/>
    <s v="01.11.80.308.6100.0000"/>
    <n v="89.09999999999999"/>
    <s v="11"/>
    <s v="6100"/>
    <n v="33249.27"/>
    <n v="89.09999999999999"/>
    <s v="CREDITOR"/>
    <n v="0"/>
    <n v="0"/>
    <n v="0"/>
    <n v="0"/>
    <n v="89.09999999999999"/>
  </r>
  <r>
    <n v="59801646"/>
    <s v="N"/>
    <n v="21408733"/>
    <s v="3000014174670010"/>
    <s v="CIVIL"/>
    <d v="2023-06-30T00:00:00"/>
    <d v="2023-07-21T10:00:02"/>
    <m/>
    <d v="2023-07-21T00:00:00"/>
    <n v="1832"/>
    <n v="1259"/>
    <s v="59801646"/>
    <s v="59801646"/>
    <m/>
    <m/>
    <n v="22801554"/>
    <m/>
    <m/>
    <m/>
    <s v="SOLFIN"/>
    <s v="SOLFIN"/>
    <s v="CCMS"/>
    <n v="21408733"/>
    <n v="23465.88"/>
    <m/>
    <s v="N"/>
    <n v="132"/>
    <d v="2023-07-21T10:00:09"/>
    <s v="Y"/>
    <s v="Preparation - other"/>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17"/>
    <d v="2023-07-21T10:00:09"/>
    <s v="Y"/>
    <s v="Preparation - drafting bill/claim f"/>
    <s v="Care Remuneration Hourly Rates"/>
    <s v="Profit Cost"/>
    <s v="Myria Pieri"/>
    <s v="Y"/>
    <n v="12.71"/>
    <n v="2.54"/>
    <x v="12"/>
    <s v="VALIDATED"/>
    <n v="1"/>
    <s v="01.11.80.308.6100.0000"/>
    <n v="12.71"/>
    <s v="11"/>
    <s v="6100"/>
    <n v="33249.27"/>
    <n v="12.71"/>
    <s v="CREDITOR"/>
    <n v="0"/>
    <n v="0"/>
    <n v="0"/>
    <n v="0"/>
    <n v="12.71"/>
  </r>
  <r>
    <n v="59743667"/>
    <s v="N"/>
    <n v="21349286"/>
    <s v="3000014122640008"/>
    <s v="CIVIL"/>
    <d v="2023-06-27T00:00:00"/>
    <d v="2023-07-10T19:01:40"/>
    <m/>
    <d v="2023-07-10T00:00:00"/>
    <n v="1832"/>
    <n v="1259"/>
    <s v="59743667"/>
    <s v="59743667"/>
    <m/>
    <m/>
    <n v="22769622"/>
    <m/>
    <m/>
    <m/>
    <s v="SOLFIN"/>
    <s v="SOLFIN"/>
    <s v="CCMS"/>
    <n v="21349286"/>
    <n v="14585.88"/>
    <m/>
    <s v="N"/>
    <n v="51"/>
    <d v="2023-07-10T19:01:43"/>
    <s v="Y"/>
    <s v="Preparation - other"/>
    <s v="Care Remuneration Hourly Rates"/>
    <s v="Profit Cost"/>
    <s v="Myria Pieri"/>
    <s v="Y"/>
    <n v="32.05"/>
    <n v="6.41"/>
    <x v="2"/>
    <s v="VALIDATED"/>
    <n v="1"/>
    <s v="01.11.80.308.6100.0000"/>
    <n v="32.05"/>
    <s v="11"/>
    <s v="6100"/>
    <n v="33249.27"/>
    <n v="32.05"/>
    <s v="CREDITOR"/>
    <n v="0"/>
    <n v="0"/>
    <n v="0"/>
    <n v="0"/>
    <n v="32.05"/>
  </r>
  <r>
    <n v="59743667"/>
    <s v="N"/>
    <n v="21349286"/>
    <s v="3000014122640008"/>
    <s v="CIVIL"/>
    <d v="2023-06-27T00:00:00"/>
    <d v="2023-07-10T19:01:40"/>
    <m/>
    <d v="2023-07-10T00:00:00"/>
    <n v="1832"/>
    <n v="1259"/>
    <s v="59743667"/>
    <s v="59743667"/>
    <m/>
    <m/>
    <n v="22769622"/>
    <m/>
    <m/>
    <m/>
    <s v="SOLFIN"/>
    <s v="SOLFIN"/>
    <s v="CCMS"/>
    <n v="21349286"/>
    <n v="14585.88"/>
    <m/>
    <s v="N"/>
    <n v="79"/>
    <d v="2023-07-10T19:01:43"/>
    <s v="Y"/>
    <s v="Preparation - other"/>
    <s v="Care Remuneration Hourly Rates"/>
    <s v="Profit Cost"/>
    <s v="Myria Pieri"/>
    <s v="Y"/>
    <n v="45.72"/>
    <n v="9.140000000000001"/>
    <x v="2"/>
    <s v="VALIDATED"/>
    <n v="1"/>
    <s v="01.11.80.308.6100.0000"/>
    <n v="45.72"/>
    <s v="11"/>
    <s v="6100"/>
    <n v="33249.27"/>
    <n v="45.72"/>
    <s v="CREDITOR"/>
    <n v="0"/>
    <n v="0"/>
    <n v="0"/>
    <n v="0"/>
    <n v="45.72"/>
  </r>
  <r>
    <n v="59743667"/>
    <s v="N"/>
    <n v="21349286"/>
    <s v="3000014122640008"/>
    <s v="CIVIL"/>
    <d v="2023-06-27T00:00:00"/>
    <d v="2023-07-10T19:01:40"/>
    <m/>
    <d v="2023-07-10T00:00:00"/>
    <n v="1832"/>
    <n v="1259"/>
    <s v="59743667"/>
    <s v="59743667"/>
    <m/>
    <m/>
    <n v="22769622"/>
    <m/>
    <m/>
    <m/>
    <s v="SOLFIN"/>
    <s v="SOLFIN"/>
    <s v="CCMS"/>
    <n v="21349286"/>
    <n v="14585.88"/>
    <m/>
    <s v="N"/>
    <n v="11"/>
    <d v="2023-07-10T19:01:43"/>
    <s v="Y"/>
    <s v="Preparation - other"/>
    <s v="Care Remuneration Hourly Rates"/>
    <s v="Profit Cost"/>
    <s v="Myria Pieri"/>
    <s v="Y"/>
    <n v="21.76"/>
    <n v="4.35"/>
    <x v="2"/>
    <s v="VALIDATED"/>
    <n v="1"/>
    <s v="01.11.80.308.6100.0000"/>
    <n v="21.76"/>
    <s v="11"/>
    <s v="6100"/>
    <n v="33249.27"/>
    <n v="21.76"/>
    <s v="CREDITOR"/>
    <n v="0"/>
    <n v="0"/>
    <n v="0"/>
    <n v="0"/>
    <n v="21.76"/>
  </r>
  <r>
    <n v="59801646"/>
    <s v="N"/>
    <n v="21408733"/>
    <s v="3000014174670010"/>
    <s v="CIVIL"/>
    <d v="2023-06-30T00:00:00"/>
    <d v="2023-07-21T10:00:02"/>
    <m/>
    <d v="2023-07-21T00:00:00"/>
    <n v="1832"/>
    <n v="1259"/>
    <s v="59801646"/>
    <s v="59801646"/>
    <m/>
    <m/>
    <n v="22801554"/>
    <m/>
    <m/>
    <m/>
    <s v="SOLFIN"/>
    <s v="SOLFIN"/>
    <s v="CCMS"/>
    <n v="21408733"/>
    <n v="23465.88"/>
    <m/>
    <s v="N"/>
    <n v="53"/>
    <d v="2023-07-21T10:00:09"/>
    <s v="Y"/>
    <s v="Report - other"/>
    <s v="Care Remuneration Hourly Rates"/>
    <s v="Profit Cost"/>
    <s v="Myria Pieri"/>
    <s v="Y"/>
    <n v="40.05"/>
    <n v="8.01"/>
    <x v="12"/>
    <s v="VALIDATED"/>
    <n v="1"/>
    <s v="01.11.80.308.6100.0000"/>
    <n v="40.05"/>
    <s v="11"/>
    <s v="6100"/>
    <n v="33249.27"/>
    <n v="40.05"/>
    <s v="CREDITOR"/>
    <n v="0"/>
    <n v="0"/>
    <n v="0"/>
    <n v="0"/>
    <n v="40.05"/>
  </r>
  <r>
    <n v="59801646"/>
    <s v="N"/>
    <n v="21408733"/>
    <s v="3000014174670010"/>
    <s v="CIVIL"/>
    <d v="2023-06-30T00:00:00"/>
    <d v="2023-07-21T10:00:02"/>
    <m/>
    <d v="2023-07-21T00:00:00"/>
    <n v="1832"/>
    <n v="1259"/>
    <s v="59801646"/>
    <s v="59801646"/>
    <m/>
    <m/>
    <n v="22801554"/>
    <m/>
    <m/>
    <m/>
    <s v="SOLFIN"/>
    <s v="SOLFIN"/>
    <s v="CCMS"/>
    <n v="21408733"/>
    <n v="23465.88"/>
    <m/>
    <s v="N"/>
    <n v="57"/>
    <d v="2023-07-21T10:00:09"/>
    <s v="Y"/>
    <s v="Attendance upon client"/>
    <s v="Care Remuneration Hourly Rates"/>
    <s v="Profit Cost"/>
    <s v="Myria Pieri"/>
    <s v="Y"/>
    <n v="40.05"/>
    <n v="8.01"/>
    <x v="12"/>
    <s v="VALIDATED"/>
    <n v="1"/>
    <s v="01.11.80.308.6100.0000"/>
    <n v="40.05"/>
    <s v="11"/>
    <s v="6100"/>
    <n v="33249.27"/>
    <n v="40.05"/>
    <s v="CREDITOR"/>
    <n v="0"/>
    <n v="0"/>
    <n v="0"/>
    <n v="0"/>
    <n v="40.05"/>
  </r>
  <r>
    <n v="59743667"/>
    <s v="N"/>
    <n v="21349286"/>
    <s v="3000014122640008"/>
    <s v="CIVIL"/>
    <d v="2023-06-27T00:00:00"/>
    <d v="2023-07-10T19:01:40"/>
    <m/>
    <d v="2023-07-10T00:00:00"/>
    <n v="1832"/>
    <n v="1259"/>
    <s v="59743667"/>
    <s v="59743667"/>
    <m/>
    <m/>
    <n v="22769622"/>
    <m/>
    <m/>
    <m/>
    <s v="SOLFIN"/>
    <s v="SOLFIN"/>
    <s v="CCMS"/>
    <n v="21349286"/>
    <n v="14585.88"/>
    <m/>
    <s v="N"/>
    <n v="43"/>
    <d v="2023-07-10T19:01:43"/>
    <s v="Y"/>
    <s v="Preparation - other"/>
    <s v="Care Remuneration Hourly Rates"/>
    <s v="Profit Cost"/>
    <s v="Myria Pieri"/>
    <s v="Y"/>
    <n v="40.05"/>
    <n v="8.01"/>
    <x v="2"/>
    <s v="VALIDATED"/>
    <n v="1"/>
    <s v="01.11.80.308.6100.0000"/>
    <n v="40.05"/>
    <s v="11"/>
    <s v="6100"/>
    <n v="33249.27"/>
    <n v="40.05"/>
    <s v="CREDITOR"/>
    <n v="0"/>
    <n v="0"/>
    <n v="0"/>
    <n v="0"/>
    <n v="40.05"/>
  </r>
  <r>
    <n v="42670250"/>
    <s v="N"/>
    <n v="21350083"/>
    <s v="3000011360380005"/>
    <s v="CIVIL"/>
    <d v="2023-06-30T00:00:00"/>
    <d v="2023-07-10T19:01:40"/>
    <m/>
    <d v="2023-07-10T00:00:00"/>
    <n v="1832"/>
    <n v="1259"/>
    <s v="42670250"/>
    <s v="42670250"/>
    <m/>
    <m/>
    <n v="22797736"/>
    <m/>
    <m/>
    <m/>
    <s v="SOLFIN"/>
    <s v="SOLFIN"/>
    <s v="CCMS"/>
    <n v="21350083"/>
    <n v="3096"/>
    <m/>
    <s v="N"/>
    <n v="2"/>
    <d v="2023-07-10T19:02:13"/>
    <s v="Y"/>
    <s v="Solicitors Fixed Fee"/>
    <s v="Public Law Children"/>
    <s v="Profit Cost"/>
    <s v="Myria Pieri"/>
    <s v="Y"/>
    <n v="2013"/>
    <n v="402.6"/>
    <x v="2"/>
    <s v="VALIDATED"/>
    <n v="1"/>
    <s v="01.11.80.308.6100.0000"/>
    <n v="2013"/>
    <s v="11"/>
    <s v="6100"/>
    <n v="33249.27"/>
    <n v="2013"/>
    <s v="CREDITOR"/>
    <n v="0"/>
    <n v="0"/>
    <n v="0"/>
    <n v="0"/>
    <n v="2013"/>
  </r>
  <r>
    <n v="59743667"/>
    <s v="N"/>
    <n v="21349286"/>
    <s v="3000014122640008"/>
    <s v="CIVIL"/>
    <d v="2023-06-27T00:00:00"/>
    <d v="2023-07-10T19:01:40"/>
    <m/>
    <d v="2023-07-10T00:00:00"/>
    <n v="1832"/>
    <n v="1259"/>
    <s v="59743667"/>
    <s v="59743667"/>
    <m/>
    <m/>
    <n v="22769622"/>
    <m/>
    <m/>
    <m/>
    <s v="SOLFIN"/>
    <s v="SOLFIN"/>
    <s v="CCMS"/>
    <n v="21349286"/>
    <n v="14585.88"/>
    <m/>
    <s v="N"/>
    <n v="90"/>
    <d v="2023-07-10T19:01:43"/>
    <s v="N"/>
    <s v="Solicitors Fixed Fee"/>
    <s v="Public Law Children"/>
    <s v="Profit Cost"/>
    <s v="Myria Pieri"/>
    <s v="N"/>
    <n v="0"/>
    <n v="0"/>
    <x v="2"/>
    <s v="VALIDATED"/>
    <n v="1"/>
    <s v="01.11.80.308.6100.0000"/>
    <n v="0"/>
    <s v="11"/>
    <s v="6100"/>
    <n v="33249.27"/>
    <n v="0"/>
    <s v="CREDITOR"/>
    <n v="0"/>
    <n v="0"/>
    <n v="0"/>
    <n v="0"/>
    <n v="0"/>
  </r>
  <r>
    <n v="59743667"/>
    <s v="N"/>
    <n v="21349286"/>
    <s v="3000014122640008"/>
    <s v="CIVIL"/>
    <d v="2023-06-27T00:00:00"/>
    <d v="2023-07-10T19:01:40"/>
    <m/>
    <d v="2023-07-10T00:00:00"/>
    <n v="1832"/>
    <n v="1259"/>
    <s v="59743667"/>
    <s v="59743667"/>
    <m/>
    <m/>
    <n v="22769622"/>
    <m/>
    <m/>
    <m/>
    <s v="SOLFIN"/>
    <s v="SOLFIN"/>
    <s v="CCMS"/>
    <n v="21349286"/>
    <n v="14585.88"/>
    <m/>
    <s v="N"/>
    <n v="21"/>
    <d v="2023-07-10T19:01:43"/>
    <s v="Y"/>
    <s v="Preparation - other"/>
    <s v="Care Remuneration Hourly Rates"/>
    <s v="Profit Cost"/>
    <s v="Myria Pieri"/>
    <s v="Y"/>
    <n v="14.5"/>
    <n v="2.9"/>
    <x v="2"/>
    <s v="VALIDATED"/>
    <n v="1"/>
    <s v="01.11.80.308.6100.0000"/>
    <n v="14.5"/>
    <s v="11"/>
    <s v="6100"/>
    <n v="33249.27"/>
    <n v="14.5"/>
    <s v="CREDITOR"/>
    <n v="0"/>
    <n v="0"/>
    <n v="0"/>
    <n v="0"/>
    <n v="14.5"/>
  </r>
  <r>
    <n v="59743667"/>
    <s v="N"/>
    <n v="21349286"/>
    <s v="3000014122640008"/>
    <s v="CIVIL"/>
    <d v="2023-06-27T00:00:00"/>
    <d v="2023-07-10T19:01:40"/>
    <m/>
    <d v="2023-07-10T00:00:00"/>
    <n v="1832"/>
    <n v="1259"/>
    <s v="59743667"/>
    <s v="59743667"/>
    <m/>
    <m/>
    <n v="22769622"/>
    <m/>
    <m/>
    <m/>
    <s v="SOLFIN"/>
    <s v="SOLFIN"/>
    <s v="CCMS"/>
    <n v="21349286"/>
    <n v="14585.88"/>
    <m/>
    <s v="N"/>
    <n v="27"/>
    <d v="2023-07-10T19:01:43"/>
    <s v="Y"/>
    <s v="Routine Letter In"/>
    <s v="Care Remuneration Hourly Rates"/>
    <s v="Profit Cost"/>
    <s v="Myria Pieri"/>
    <s v="Y"/>
    <n v="641.1900000000001"/>
    <n v="128.23"/>
    <x v="2"/>
    <s v="VALIDATED"/>
    <n v="1"/>
    <s v="01.11.80.308.6100.0000"/>
    <n v="641.1900000000001"/>
    <s v="11"/>
    <s v="6100"/>
    <n v="33249.27"/>
    <n v="641.1900000000001"/>
    <s v="CREDITOR"/>
    <n v="0"/>
    <n v="0"/>
    <n v="0"/>
    <n v="0"/>
    <n v="641.1900000000001"/>
  </r>
  <r>
    <n v="59743667"/>
    <s v="N"/>
    <n v="21349286"/>
    <s v="3000014122640008"/>
    <s v="CIVIL"/>
    <d v="2023-06-27T00:00:00"/>
    <d v="2023-07-10T19:01:40"/>
    <m/>
    <d v="2023-07-10T00:00:00"/>
    <n v="1832"/>
    <n v="1259"/>
    <s v="59743667"/>
    <s v="59743667"/>
    <m/>
    <m/>
    <n v="22769622"/>
    <m/>
    <m/>
    <m/>
    <s v="SOLFIN"/>
    <s v="SOLFIN"/>
    <s v="CCMS"/>
    <n v="21349286"/>
    <n v="14585.88"/>
    <m/>
    <s v="N"/>
    <n v="66"/>
    <d v="2023-07-10T19:01:43"/>
    <s v="Y"/>
    <s v="Preparation - other"/>
    <s v="Care Remuneration Hourly Rates"/>
    <s v="Profit Cost"/>
    <s v="Myria Pieri"/>
    <s v="Y"/>
    <n v="274.31"/>
    <n v="54.86"/>
    <x v="2"/>
    <s v="VALIDATED"/>
    <n v="1"/>
    <s v="01.11.80.308.6100.0000"/>
    <n v="274.31"/>
    <s v="11"/>
    <s v="6100"/>
    <n v="33249.27"/>
    <n v="274.31"/>
    <s v="CREDITOR"/>
    <n v="0"/>
    <n v="0"/>
    <n v="0"/>
    <n v="0"/>
    <n v="274.31"/>
  </r>
  <r>
    <n v="59801646"/>
    <s v="N"/>
    <n v="21408733"/>
    <s v="3000014174670010"/>
    <s v="CIVIL"/>
    <d v="2023-06-30T00:00:00"/>
    <d v="2023-07-21T10:00:02"/>
    <m/>
    <d v="2023-07-21T00:00:00"/>
    <n v="1832"/>
    <n v="1259"/>
    <s v="59801646"/>
    <s v="59801646"/>
    <m/>
    <m/>
    <n v="22801554"/>
    <m/>
    <m/>
    <m/>
    <s v="SOLFIN"/>
    <s v="SOLFIN"/>
    <s v="CCMS"/>
    <n v="21408733"/>
    <n v="23465.88"/>
    <m/>
    <s v="N"/>
    <n v="71"/>
    <d v="2023-07-21T10:00:09"/>
    <s v="Y"/>
    <s v="Report - Welfare report"/>
    <s v="Care Remuneration Hourly Rates"/>
    <s v="Profit Cost"/>
    <s v="Myria Pieri"/>
    <s v="Y"/>
    <n v="32.05"/>
    <n v="6.41"/>
    <x v="12"/>
    <s v="VALIDATED"/>
    <n v="1"/>
    <s v="01.11.80.308.6100.0000"/>
    <n v="32.05"/>
    <s v="11"/>
    <s v="6100"/>
    <n v="33249.27"/>
    <n v="32.05"/>
    <s v="CREDITOR"/>
    <n v="0"/>
    <n v="0"/>
    <n v="0"/>
    <n v="0"/>
    <n v="32.05"/>
  </r>
  <r>
    <n v="59801646"/>
    <s v="N"/>
    <n v="21408733"/>
    <s v="3000014174670010"/>
    <s v="CIVIL"/>
    <d v="2023-06-30T00:00:00"/>
    <d v="2023-07-21T10:00:02"/>
    <m/>
    <d v="2023-07-21T00:00:00"/>
    <n v="1832"/>
    <n v="1259"/>
    <s v="59801646"/>
    <s v="59801646"/>
    <m/>
    <m/>
    <n v="22801554"/>
    <m/>
    <m/>
    <m/>
    <s v="SOLFIN"/>
    <s v="SOLFIN"/>
    <s v="CCMS"/>
    <n v="21408733"/>
    <n v="23465.88"/>
    <m/>
    <s v="N"/>
    <n v="3"/>
    <d v="2023-07-21T10:00:09"/>
    <s v="Y"/>
    <s v="Psychologist"/>
    <s v="Public Law Children"/>
    <s v="Expert Disbursement"/>
    <s v="Myria Pieri"/>
    <s v="Y"/>
    <n v="772.2"/>
    <n v="154.44"/>
    <x v="12"/>
    <s v="VALIDATED"/>
    <n v="1"/>
    <s v="01.11.80.308.6300.0000"/>
    <n v="772.2"/>
    <s v="11"/>
    <s v="6300"/>
    <n v="33249.27"/>
    <n v="772.2"/>
    <s v="CREDITOR"/>
    <n v="0"/>
    <n v="0"/>
    <n v="0"/>
    <n v="0"/>
    <n v="772.2"/>
  </r>
  <r>
    <n v="59801646"/>
    <s v="N"/>
    <n v="21408733"/>
    <s v="3000014174670010"/>
    <s v="CIVIL"/>
    <d v="2023-06-30T00:00:00"/>
    <d v="2023-07-21T10:00:02"/>
    <m/>
    <d v="2023-07-21T00:00:00"/>
    <n v="1832"/>
    <n v="1259"/>
    <s v="59801646"/>
    <s v="59801646"/>
    <m/>
    <m/>
    <n v="22801554"/>
    <m/>
    <m/>
    <m/>
    <s v="SOLFIN"/>
    <s v="SOLFIN"/>
    <s v="CCMS"/>
    <n v="21408733"/>
    <n v="23465.88"/>
    <m/>
    <s v="N"/>
    <n v="19"/>
    <d v="2023-07-21T10:00:09"/>
    <s v="Y"/>
    <s v="Preparation - drafting statement"/>
    <s v="Care Remuneration Hourly Rates"/>
    <s v="Profit Cost"/>
    <s v="Myria Pieri"/>
    <s v="Y"/>
    <n v="96.12"/>
    <n v="19.22"/>
    <x v="12"/>
    <s v="VALIDATED"/>
    <n v="1"/>
    <s v="01.11.80.308.6100.0000"/>
    <n v="96.12"/>
    <s v="11"/>
    <s v="6100"/>
    <n v="33249.27"/>
    <n v="96.12"/>
    <s v="CREDITOR"/>
    <n v="0"/>
    <n v="0"/>
    <n v="0"/>
    <n v="0"/>
    <n v="96.12"/>
  </r>
  <r>
    <n v="59743667"/>
    <s v="N"/>
    <n v="21349286"/>
    <s v="3000014122640008"/>
    <s v="CIVIL"/>
    <d v="2023-06-27T00:00:00"/>
    <d v="2023-07-10T19:01:40"/>
    <m/>
    <d v="2023-07-10T00:00:00"/>
    <n v="1832"/>
    <n v="1259"/>
    <s v="59743667"/>
    <s v="59743667"/>
    <m/>
    <m/>
    <n v="22769622"/>
    <m/>
    <m/>
    <m/>
    <s v="SOLFIN"/>
    <s v="SOLFIN"/>
    <s v="CCMS"/>
    <n v="21349286"/>
    <n v="14585.88"/>
    <m/>
    <s v="N"/>
    <n v="59"/>
    <d v="2023-07-10T19:01:43"/>
    <s v="Y"/>
    <s v="Preparation - other"/>
    <s v="Care Remuneration Hourly Rates"/>
    <s v="Profit Cost"/>
    <s v="Myria Pieri"/>
    <s v="Y"/>
    <n v="12.71"/>
    <n v="2.54"/>
    <x v="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79"/>
    <d v="2023-07-21T10:00:09"/>
    <s v="Y"/>
    <s v="Preparation - other"/>
    <s v="Care Remuneration Hourly Rates"/>
    <s v="Profit Cost"/>
    <s v="Myria Pieri"/>
    <s v="Y"/>
    <n v="64.08"/>
    <n v="12.82"/>
    <x v="12"/>
    <s v="VALIDATED"/>
    <n v="1"/>
    <s v="01.11.80.308.6100.0000"/>
    <n v="64.08"/>
    <s v="11"/>
    <s v="6100"/>
    <n v="33249.27"/>
    <n v="64.08"/>
    <s v="CREDITOR"/>
    <n v="0"/>
    <n v="0"/>
    <n v="0"/>
    <n v="0"/>
    <n v="64.08"/>
  </r>
  <r>
    <n v="59801646"/>
    <s v="N"/>
    <n v="21408733"/>
    <s v="3000014174670010"/>
    <s v="CIVIL"/>
    <d v="2023-06-30T00:00:00"/>
    <d v="2023-07-21T10:00:02"/>
    <m/>
    <d v="2023-07-21T00:00:00"/>
    <n v="1832"/>
    <n v="1259"/>
    <s v="59801646"/>
    <s v="59801646"/>
    <m/>
    <m/>
    <n v="22801554"/>
    <m/>
    <m/>
    <m/>
    <s v="SOLFIN"/>
    <s v="SOLFIN"/>
    <s v="CCMS"/>
    <n v="21408733"/>
    <n v="23465.88"/>
    <m/>
    <s v="N"/>
    <n v="109"/>
    <d v="2023-07-21T10:00:09"/>
    <s v="Y"/>
    <s v="Preparation - other"/>
    <s v="Care Remuneration Hourly Rates"/>
    <s v="Profit Cost"/>
    <s v="Myria Pieri"/>
    <s v="Y"/>
    <n v="8"/>
    <n v="1.6"/>
    <x v="12"/>
    <s v="VALIDATED"/>
    <n v="1"/>
    <s v="01.11.80.308.6100.0000"/>
    <n v="8"/>
    <s v="11"/>
    <s v="6100"/>
    <n v="33249.27"/>
    <n v="8"/>
    <s v="CREDITOR"/>
    <n v="0"/>
    <n v="0"/>
    <n v="0"/>
    <n v="0"/>
    <n v="8"/>
  </r>
  <r>
    <n v="59801646"/>
    <s v="N"/>
    <n v="21408733"/>
    <s v="3000014174670010"/>
    <s v="CIVIL"/>
    <d v="2023-06-30T00:00:00"/>
    <d v="2023-07-21T10:00:02"/>
    <m/>
    <d v="2023-07-21T00:00:00"/>
    <n v="1832"/>
    <n v="1259"/>
    <s v="59801646"/>
    <s v="59801646"/>
    <m/>
    <m/>
    <n v="22801554"/>
    <m/>
    <m/>
    <m/>
    <s v="SOLFIN"/>
    <s v="SOLFIN"/>
    <s v="CCMS"/>
    <n v="21408733"/>
    <n v="23465.88"/>
    <m/>
    <s v="N"/>
    <n v="119"/>
    <d v="2023-07-21T10:00:09"/>
    <s v="Y"/>
    <s v="Preparation - other"/>
    <s v="Care Remuneration Hourly Rates"/>
    <s v="Profit Cost"/>
    <s v="Myria Pieri"/>
    <s v="Y"/>
    <n v="48.05"/>
    <n v="9.609999999999999"/>
    <x v="12"/>
    <s v="VALIDATED"/>
    <n v="1"/>
    <s v="01.11.80.308.6100.0000"/>
    <n v="48.05"/>
    <s v="11"/>
    <s v="6100"/>
    <n v="33249.27"/>
    <n v="48.05"/>
    <s v="CREDITOR"/>
    <n v="0"/>
    <n v="0"/>
    <n v="0"/>
    <n v="0"/>
    <n v="48.05"/>
  </r>
  <r>
    <n v="59801646"/>
    <s v="N"/>
    <n v="21408733"/>
    <s v="3000014174670010"/>
    <s v="CIVIL"/>
    <d v="2023-06-30T00:00:00"/>
    <d v="2023-07-21T10:00:02"/>
    <m/>
    <d v="2023-07-21T00:00:00"/>
    <n v="1832"/>
    <n v="1259"/>
    <s v="59801646"/>
    <s v="59801646"/>
    <m/>
    <m/>
    <n v="22801554"/>
    <m/>
    <m/>
    <m/>
    <s v="SOLFIN"/>
    <s v="SOLFIN"/>
    <s v="CCMS"/>
    <n v="21408733"/>
    <n v="23465.88"/>
    <m/>
    <s v="N"/>
    <n v="47"/>
    <d v="2023-07-21T10:00:09"/>
    <s v="Y"/>
    <s v="Preparation - other"/>
    <s v="Care Remuneration Hourly Rates"/>
    <s v="Profit Cost"/>
    <s v="Myria Pieri"/>
    <s v="Y"/>
    <n v="160.2"/>
    <n v="32.04"/>
    <x v="12"/>
    <s v="VALIDATED"/>
    <n v="1"/>
    <s v="01.11.80.308.6100.0000"/>
    <n v="160.2"/>
    <s v="11"/>
    <s v="6100"/>
    <n v="33249.27"/>
    <n v="160.2"/>
    <s v="CREDITOR"/>
    <n v="0"/>
    <n v="0"/>
    <n v="0"/>
    <n v="0"/>
    <n v="160.2"/>
  </r>
  <r>
    <n v="59743667"/>
    <s v="N"/>
    <n v="21349286"/>
    <s v="3000014122640008"/>
    <s v="CIVIL"/>
    <d v="2023-06-27T00:00:00"/>
    <d v="2023-07-10T19:01:40"/>
    <m/>
    <d v="2023-07-10T00:00:00"/>
    <n v="1832"/>
    <n v="1259"/>
    <s v="59743667"/>
    <s v="59743667"/>
    <m/>
    <m/>
    <n v="22769622"/>
    <m/>
    <m/>
    <m/>
    <s v="SOLFIN"/>
    <s v="SOLFIN"/>
    <s v="CCMS"/>
    <n v="21349286"/>
    <n v="14585.88"/>
    <m/>
    <s v="N"/>
    <n v="1"/>
    <d v="2023-07-10T19:01:43"/>
    <s v="Y"/>
    <s v="Child psychologist"/>
    <s v="Care Remuneration Hourly Rates"/>
    <s v="Expert Disbursement"/>
    <s v="Myria Pieri"/>
    <s v="Y"/>
    <n v="841.67"/>
    <n v="168.33"/>
    <x v="2"/>
    <s v="VALIDATED"/>
    <n v="1"/>
    <s v="01.11.80.308.6300.0000"/>
    <n v="841.67"/>
    <s v="11"/>
    <s v="6300"/>
    <n v="33249.27"/>
    <n v="841.67"/>
    <s v="CREDITOR"/>
    <n v="0"/>
    <n v="0"/>
    <n v="0"/>
    <n v="0"/>
    <n v="841.67"/>
  </r>
  <r>
    <n v="59801646"/>
    <s v="N"/>
    <n v="21408733"/>
    <s v="3000014174670010"/>
    <s v="CIVIL"/>
    <d v="2023-06-30T00:00:00"/>
    <d v="2023-07-21T10:00:02"/>
    <m/>
    <d v="2023-07-21T00:00:00"/>
    <n v="1832"/>
    <n v="1259"/>
    <s v="59801646"/>
    <s v="59801646"/>
    <m/>
    <m/>
    <n v="22801554"/>
    <m/>
    <m/>
    <m/>
    <s v="SOLFIN"/>
    <s v="SOLFIN"/>
    <s v="CCMS"/>
    <n v="21408733"/>
    <n v="23465.88"/>
    <m/>
    <s v="N"/>
    <n v="140"/>
    <d v="2023-07-21T10:00:09"/>
    <s v="Y"/>
    <s v="Preparation - other"/>
    <s v="Care Remuneration Hourly Rates"/>
    <s v="Profit Cost"/>
    <s v="Myria Pieri"/>
    <s v="Y"/>
    <n v="48.05"/>
    <n v="9.609999999999999"/>
    <x v="12"/>
    <s v="VALIDATED"/>
    <n v="1"/>
    <s v="01.11.80.308.6100.0000"/>
    <n v="48.05"/>
    <s v="11"/>
    <s v="6100"/>
    <n v="33249.27"/>
    <n v="48.05"/>
    <s v="CREDITOR"/>
    <n v="0"/>
    <n v="0"/>
    <n v="0"/>
    <n v="0"/>
    <n v="48.05"/>
  </r>
  <r>
    <n v="59743667"/>
    <s v="N"/>
    <n v="21349286"/>
    <s v="3000014122640008"/>
    <s v="CIVIL"/>
    <d v="2023-06-27T00:00:00"/>
    <d v="2023-07-10T19:01:40"/>
    <m/>
    <d v="2023-07-10T00:00:00"/>
    <n v="1832"/>
    <n v="1259"/>
    <s v="59743667"/>
    <s v="59743667"/>
    <m/>
    <m/>
    <n v="22769622"/>
    <m/>
    <m/>
    <m/>
    <s v="SOLFIN"/>
    <s v="SOLFIN"/>
    <s v="CCMS"/>
    <n v="21349286"/>
    <n v="14585.88"/>
    <m/>
    <s v="N"/>
    <n v="5"/>
    <d v="2023-07-10T19:01:43"/>
    <s v="Y"/>
    <s v="Attendance upon client"/>
    <s v="Care Remuneration Hourly Rates"/>
    <s v="Profit Cost"/>
    <s v="Myria Pieri"/>
    <s v="Y"/>
    <n v="16.02"/>
    <n v="3.2"/>
    <x v="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101"/>
    <d v="2023-07-21T10:00:09"/>
    <s v="Y"/>
    <s v="Preparation -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154"/>
    <d v="2023-07-21T10:00:09"/>
    <s v="Y"/>
    <s v="Hearing Unit 1.01 - 2.30 Hours"/>
    <s v="Public Law Children"/>
    <s v="Advocacy"/>
    <s v="Myria Pieri"/>
    <s v="Y"/>
    <n v="238.46"/>
    <n v="47.69"/>
    <x v="12"/>
    <s v="VALIDATED"/>
    <n v="1"/>
    <s v="01.11.80.308.6100.0000"/>
    <n v="238.46"/>
    <s v="11"/>
    <s v="6100"/>
    <n v="33249.27"/>
    <n v="238.46"/>
    <s v="CREDITOR"/>
    <n v="0"/>
    <n v="0"/>
    <n v="0"/>
    <n v="0"/>
    <n v="238.46"/>
  </r>
  <r>
    <n v="59801646"/>
    <s v="N"/>
    <n v="21408733"/>
    <s v="3000014174670010"/>
    <s v="CIVIL"/>
    <d v="2023-06-30T00:00:00"/>
    <d v="2023-07-21T10:00:02"/>
    <m/>
    <d v="2023-07-21T00:00:00"/>
    <n v="1832"/>
    <n v="1259"/>
    <s v="59801646"/>
    <s v="59801646"/>
    <m/>
    <m/>
    <n v="22801554"/>
    <m/>
    <m/>
    <m/>
    <s v="SOLFIN"/>
    <s v="SOLFIN"/>
    <s v="CCMS"/>
    <n v="21408733"/>
    <n v="23465.88"/>
    <m/>
    <s v="N"/>
    <n v="61"/>
    <d v="2023-07-21T10:00:09"/>
    <s v="Y"/>
    <s v="Attendance upon client"/>
    <s v="Care Remuneration Hourly Rates"/>
    <s v="Profit Cost"/>
    <s v="Myria Pieri"/>
    <s v="Y"/>
    <n v="40.05"/>
    <n v="8.01"/>
    <x v="12"/>
    <s v="VALIDATED"/>
    <n v="1"/>
    <s v="01.11.80.308.6100.0000"/>
    <n v="40.05"/>
    <s v="11"/>
    <s v="6100"/>
    <n v="33249.27"/>
    <n v="40.05"/>
    <s v="CREDITOR"/>
    <n v="0"/>
    <n v="0"/>
    <n v="0"/>
    <n v="0"/>
    <n v="40.05"/>
  </r>
  <r>
    <n v="59428996"/>
    <s v="N"/>
    <n v="21360295"/>
    <s v="3000013869930006"/>
    <s v="CIVIL"/>
    <d v="2023-06-30T00:00:00"/>
    <d v="2023-07-11T11:50:54"/>
    <m/>
    <d v="2023-07-11T00:00:00"/>
    <n v="1832"/>
    <n v="1259"/>
    <s v="59428996"/>
    <s v="59428996"/>
    <m/>
    <m/>
    <n v="22798406"/>
    <m/>
    <m/>
    <m/>
    <s v="SOLFIN"/>
    <s v="SOLFIN"/>
    <s v="CCMS"/>
    <n v="21360295"/>
    <n v="6298.44"/>
    <m/>
    <s v="N"/>
    <n v="7"/>
    <d v="2023-07-11T11:51:01"/>
    <s v="Y"/>
    <s v="Hearing Unit 2.31 - 5.00 Hours"/>
    <s v="Public Law Children"/>
    <s v="Advocacy"/>
    <s v="sam wilde"/>
    <s v="Y"/>
    <n v="476.92"/>
    <n v="95.38"/>
    <x v="7"/>
    <s v="VALIDATED"/>
    <n v="1"/>
    <s v="01.11.80.308.6100.0000"/>
    <n v="476.92"/>
    <s v="11"/>
    <s v="6100"/>
    <n v="33249.27"/>
    <n v="476.92"/>
    <s v="CREDITOR"/>
    <n v="0"/>
    <n v="0"/>
    <n v="0"/>
    <n v="0"/>
    <n v="476.92"/>
  </r>
  <r>
    <n v="59743667"/>
    <s v="N"/>
    <n v="21349286"/>
    <s v="3000014122640008"/>
    <s v="CIVIL"/>
    <d v="2023-06-27T00:00:00"/>
    <d v="2023-07-10T19:01:40"/>
    <m/>
    <d v="2023-07-10T00:00:00"/>
    <n v="1832"/>
    <n v="1259"/>
    <s v="59743667"/>
    <s v="59743667"/>
    <m/>
    <m/>
    <n v="22769622"/>
    <m/>
    <m/>
    <m/>
    <s v="SOLFIN"/>
    <s v="SOLFIN"/>
    <s v="CCMS"/>
    <n v="21349286"/>
    <n v="14585.88"/>
    <m/>
    <s v="N"/>
    <n v="31"/>
    <d v="2023-07-10T19:01:43"/>
    <s v="Y"/>
    <s v="Preparation - other"/>
    <s v="Care Remuneration Hourly Rates"/>
    <s v="Profit Cost"/>
    <s v="Myria Pieri"/>
    <s v="Y"/>
    <n v="38.11"/>
    <n v="7.62"/>
    <x v="2"/>
    <s v="VALIDATED"/>
    <n v="1"/>
    <s v="01.11.80.308.6100.0000"/>
    <n v="38.11"/>
    <s v="11"/>
    <s v="6100"/>
    <n v="33249.27"/>
    <n v="38.11"/>
    <s v="CREDITOR"/>
    <n v="0"/>
    <n v="0"/>
    <n v="0"/>
    <n v="0"/>
    <n v="38.11"/>
  </r>
  <r>
    <n v="59743667"/>
    <s v="N"/>
    <n v="21349286"/>
    <s v="3000014122640008"/>
    <s v="CIVIL"/>
    <d v="2023-06-27T00:00:00"/>
    <d v="2023-07-10T19:01:40"/>
    <m/>
    <d v="2023-07-10T00:00:00"/>
    <n v="1832"/>
    <n v="1259"/>
    <s v="59743667"/>
    <s v="59743667"/>
    <m/>
    <m/>
    <n v="22769622"/>
    <m/>
    <m/>
    <m/>
    <s v="SOLFIN"/>
    <s v="SOLFIN"/>
    <s v="CCMS"/>
    <n v="21349286"/>
    <n v="14585.88"/>
    <m/>
    <s v="N"/>
    <n v="44"/>
    <d v="2023-07-10T19:01:43"/>
    <s v="Y"/>
    <s v="Preparation - other"/>
    <s v="Care Remuneration Hourly Rates"/>
    <s v="Profit Cost"/>
    <s v="Myria Pieri"/>
    <s v="Y"/>
    <n v="136.17"/>
    <n v="27.23"/>
    <x v="2"/>
    <s v="VALIDATED"/>
    <n v="1"/>
    <s v="01.11.80.308.6100.0000"/>
    <n v="136.17"/>
    <s v="11"/>
    <s v="6100"/>
    <n v="33249.27"/>
    <n v="136.17"/>
    <s v="CREDITOR"/>
    <n v="0"/>
    <n v="0"/>
    <n v="0"/>
    <n v="0"/>
    <n v="136.17"/>
  </r>
  <r>
    <n v="59801646"/>
    <s v="N"/>
    <n v="21408733"/>
    <s v="3000014174670010"/>
    <s v="CIVIL"/>
    <d v="2023-06-30T00:00:00"/>
    <d v="2023-07-21T10:00:02"/>
    <m/>
    <d v="2023-07-21T00:00:00"/>
    <n v="1832"/>
    <n v="1259"/>
    <s v="59801646"/>
    <s v="59801646"/>
    <m/>
    <m/>
    <n v="22801554"/>
    <m/>
    <m/>
    <m/>
    <s v="SOLFIN"/>
    <s v="SOLFIN"/>
    <s v="CCMS"/>
    <n v="21408733"/>
    <n v="23465.88"/>
    <m/>
    <s v="N"/>
    <n v="80"/>
    <d v="2023-07-21T10:00:09"/>
    <s v="Y"/>
    <s v="Preparation - other"/>
    <s v="Care Remuneration Hourly Rates"/>
    <s v="Profit Cost"/>
    <s v="Myria Pieri"/>
    <s v="Y"/>
    <n v="6.35"/>
    <n v="1.27"/>
    <x v="1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107"/>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34"/>
    <d v="2023-07-21T10:00:09"/>
    <s v="Y"/>
    <s v="Preparation - other"/>
    <s v="Care Remuneration Hourly Rates"/>
    <s v="Profit Cost"/>
    <s v="Myria Pieri"/>
    <s v="Y"/>
    <n v="6.35"/>
    <n v="1.27"/>
    <x v="12"/>
    <s v="VALIDATED"/>
    <n v="1"/>
    <s v="01.11.80.308.6100.0000"/>
    <n v="6.35"/>
    <s v="11"/>
    <s v="6100"/>
    <n v="33249.27"/>
    <n v="6.35"/>
    <s v="CREDITOR"/>
    <n v="0"/>
    <n v="0"/>
    <n v="0"/>
    <n v="0"/>
    <n v="6.35"/>
  </r>
  <r>
    <n v="59801646"/>
    <s v="N"/>
    <n v="21408733"/>
    <s v="3000014174670010"/>
    <s v="CIVIL"/>
    <d v="2023-06-30T00:00:00"/>
    <d v="2023-07-21T10:00:02"/>
    <m/>
    <d v="2023-07-21T00:00:00"/>
    <n v="1832"/>
    <n v="1259"/>
    <s v="59801646"/>
    <s v="59801646"/>
    <m/>
    <m/>
    <n v="22801554"/>
    <m/>
    <m/>
    <m/>
    <s v="SOLFIN"/>
    <s v="SOLFIN"/>
    <s v="CCMS"/>
    <n v="21408733"/>
    <n v="23465.88"/>
    <m/>
    <s v="N"/>
    <n v="36"/>
    <d v="2023-07-21T10:00:09"/>
    <s v="Y"/>
    <s v="Routine Letter In"/>
    <s v="Care Remuneration Hourly Rates"/>
    <s v="Profit Cost"/>
    <s v="Myria Pieri"/>
    <s v="Y"/>
    <n v="2131.76"/>
    <n v="426.34"/>
    <x v="12"/>
    <s v="VALIDATED"/>
    <n v="1"/>
    <s v="01.11.80.308.6100.0000"/>
    <n v="2131.76"/>
    <s v="11"/>
    <s v="6100"/>
    <n v="33249.27"/>
    <n v="2131.76"/>
    <s v="CREDITOR"/>
    <n v="0"/>
    <n v="0"/>
    <n v="0"/>
    <n v="0"/>
    <n v="2131.76"/>
  </r>
  <r>
    <n v="59743667"/>
    <s v="N"/>
    <n v="21349286"/>
    <s v="3000014122640008"/>
    <s v="CIVIL"/>
    <d v="2023-06-27T00:00:00"/>
    <d v="2023-07-10T19:01:40"/>
    <m/>
    <d v="2023-07-10T00:00:00"/>
    <n v="1832"/>
    <n v="1259"/>
    <s v="59743667"/>
    <s v="59743667"/>
    <m/>
    <m/>
    <n v="22769622"/>
    <m/>
    <m/>
    <m/>
    <s v="SOLFIN"/>
    <s v="SOLFIN"/>
    <s v="CCMS"/>
    <n v="21349286"/>
    <n v="14585.88"/>
    <m/>
    <s v="N"/>
    <n v="38"/>
    <d v="2023-07-10T19:01:43"/>
    <s v="Y"/>
    <s v="Preparation - other"/>
    <s v="Care Remuneration Hourly Rates"/>
    <s v="Profit Cost"/>
    <s v="Myria Pieri"/>
    <s v="Y"/>
    <n v="6.35"/>
    <n v="1.27"/>
    <x v="2"/>
    <s v="VALIDATED"/>
    <n v="1"/>
    <s v="01.11.80.308.6100.0000"/>
    <n v="6.35"/>
    <s v="11"/>
    <s v="6100"/>
    <n v="33249.27"/>
    <n v="6.35"/>
    <s v="CREDITOR"/>
    <n v="0"/>
    <n v="0"/>
    <n v="0"/>
    <n v="0"/>
    <n v="6.35"/>
  </r>
  <r>
    <n v="59743667"/>
    <s v="N"/>
    <n v="21349286"/>
    <s v="3000014122640008"/>
    <s v="CIVIL"/>
    <d v="2023-06-27T00:00:00"/>
    <d v="2023-07-10T19:01:40"/>
    <m/>
    <d v="2023-07-10T00:00:00"/>
    <n v="1832"/>
    <n v="1259"/>
    <s v="59743667"/>
    <s v="59743667"/>
    <m/>
    <m/>
    <n v="22769622"/>
    <m/>
    <m/>
    <m/>
    <s v="SOLFIN"/>
    <s v="SOLFIN"/>
    <s v="CCMS"/>
    <n v="21349286"/>
    <n v="14585.88"/>
    <m/>
    <s v="N"/>
    <n v="65"/>
    <d v="2023-07-10T19:01:43"/>
    <s v="Y"/>
    <s v="Preparation - other"/>
    <s v="Care Remuneration Hourly Rates"/>
    <s v="Profit Cost"/>
    <s v="Myria Pieri"/>
    <s v="Y"/>
    <n v="274.31"/>
    <n v="54.86"/>
    <x v="2"/>
    <s v="VALIDATED"/>
    <n v="1"/>
    <s v="01.11.80.308.6100.0000"/>
    <n v="274.31"/>
    <s v="11"/>
    <s v="6100"/>
    <n v="33249.27"/>
    <n v="274.31"/>
    <s v="CREDITOR"/>
    <n v="0"/>
    <n v="0"/>
    <n v="0"/>
    <n v="0"/>
    <n v="274.31"/>
  </r>
  <r>
    <n v="59801646"/>
    <s v="N"/>
    <n v="21408733"/>
    <s v="3000014174670010"/>
    <s v="CIVIL"/>
    <d v="2023-06-30T00:00:00"/>
    <d v="2023-07-21T10:00:02"/>
    <m/>
    <d v="2023-07-21T00:00:00"/>
    <n v="1832"/>
    <n v="1259"/>
    <s v="59801646"/>
    <s v="59801646"/>
    <m/>
    <m/>
    <n v="22801554"/>
    <m/>
    <m/>
    <m/>
    <s v="SOLFIN"/>
    <s v="SOLFIN"/>
    <s v="CCMS"/>
    <n v="21408733"/>
    <n v="23465.88"/>
    <m/>
    <s v="N"/>
    <n v="31"/>
    <d v="2023-07-21T10:00:09"/>
    <s v="Y"/>
    <s v="Attendance upon client"/>
    <s v="Care Remuneration Hourly Rates"/>
    <s v="Profit Cost"/>
    <s v="Myria Pieri"/>
    <s v="Y"/>
    <n v="72.09"/>
    <n v="14.42"/>
    <x v="12"/>
    <s v="VALIDATED"/>
    <n v="1"/>
    <s v="01.11.80.308.6100.0000"/>
    <n v="72.09"/>
    <s v="11"/>
    <s v="6100"/>
    <n v="33249.27"/>
    <n v="72.09"/>
    <s v="CREDITOR"/>
    <n v="0"/>
    <n v="0"/>
    <n v="0"/>
    <n v="0"/>
    <n v="72.09"/>
  </r>
  <r>
    <n v="59801646"/>
    <s v="N"/>
    <n v="21408733"/>
    <s v="3000014174670010"/>
    <s v="CIVIL"/>
    <d v="2023-06-30T00:00:00"/>
    <d v="2023-07-21T10:00:02"/>
    <m/>
    <d v="2023-07-21T00:00:00"/>
    <n v="1832"/>
    <n v="1259"/>
    <s v="59801646"/>
    <s v="59801646"/>
    <m/>
    <m/>
    <n v="22801554"/>
    <m/>
    <m/>
    <m/>
    <s v="SOLFIN"/>
    <s v="SOLFIN"/>
    <s v="CCMS"/>
    <n v="21408733"/>
    <n v="23465.88"/>
    <m/>
    <s v="N"/>
    <n v="55"/>
    <d v="2023-07-21T10:00:09"/>
    <s v="Y"/>
    <s v="Preparation - other"/>
    <s v="Care Remuneration Hourly Rates"/>
    <s v="Profit Cost"/>
    <s v="Myria Pieri"/>
    <s v="Y"/>
    <n v="64.08"/>
    <n v="12.82"/>
    <x v="12"/>
    <s v="VALIDATED"/>
    <n v="1"/>
    <s v="01.11.80.308.6100.0000"/>
    <n v="64.08"/>
    <s v="11"/>
    <s v="6100"/>
    <n v="33249.27"/>
    <n v="64.08"/>
    <s v="CREDITOR"/>
    <n v="0"/>
    <n v="0"/>
    <n v="0"/>
    <n v="0"/>
    <n v="64.08"/>
  </r>
  <r>
    <n v="59801646"/>
    <s v="N"/>
    <n v="21408733"/>
    <s v="3000014174670010"/>
    <s v="CIVIL"/>
    <d v="2023-06-30T00:00:00"/>
    <d v="2023-07-21T10:00:02"/>
    <m/>
    <d v="2023-07-21T00:00:00"/>
    <n v="1832"/>
    <n v="1259"/>
    <s v="59801646"/>
    <s v="59801646"/>
    <m/>
    <m/>
    <n v="22801554"/>
    <m/>
    <m/>
    <m/>
    <s v="SOLFIN"/>
    <s v="SOLFIN"/>
    <s v="CCMS"/>
    <n v="21408733"/>
    <n v="23465.88"/>
    <m/>
    <s v="N"/>
    <n v="14"/>
    <d v="2023-07-21T10:00:09"/>
    <s v="Y"/>
    <s v="Preparation - other"/>
    <s v="Care Remuneration Hourly Rates"/>
    <s v="Profit Cost"/>
    <s v="Myria Pieri"/>
    <s v="Y"/>
    <n v="24.03"/>
    <n v="4.81"/>
    <x v="12"/>
    <s v="VALIDATED"/>
    <n v="1"/>
    <s v="01.11.80.308.6100.0000"/>
    <n v="24.03"/>
    <s v="11"/>
    <s v="6100"/>
    <n v="33249.27"/>
    <n v="24.03"/>
    <s v="CREDITOR"/>
    <n v="0"/>
    <n v="0"/>
    <n v="0"/>
    <n v="0"/>
    <n v="24.03"/>
  </r>
  <r>
    <n v="59801646"/>
    <s v="N"/>
    <n v="21408733"/>
    <s v="3000014174670010"/>
    <s v="CIVIL"/>
    <d v="2023-06-30T00:00:00"/>
    <d v="2023-07-21T10:00:02"/>
    <m/>
    <d v="2023-07-21T00:00:00"/>
    <n v="1832"/>
    <n v="1259"/>
    <s v="59801646"/>
    <s v="59801646"/>
    <m/>
    <m/>
    <n v="22801554"/>
    <m/>
    <m/>
    <m/>
    <s v="SOLFIN"/>
    <s v="SOLFIN"/>
    <s v="CCMS"/>
    <n v="21408733"/>
    <n v="23465.88"/>
    <m/>
    <s v="N"/>
    <n v="126"/>
    <d v="2023-07-21T10:00:09"/>
    <s v="Y"/>
    <s v="Preparation - other"/>
    <s v="Care Remuneration Hourly Rates"/>
    <s v="Profit Cost"/>
    <s v="Myria Pieri"/>
    <s v="Y"/>
    <n v="12.71"/>
    <n v="2.54"/>
    <x v="12"/>
    <s v="VALIDATED"/>
    <n v="1"/>
    <s v="01.11.80.308.6100.0000"/>
    <n v="12.71"/>
    <s v="11"/>
    <s v="6100"/>
    <n v="33249.27"/>
    <n v="12.71"/>
    <s v="CREDITOR"/>
    <n v="0"/>
    <n v="0"/>
    <n v="0"/>
    <n v="0"/>
    <n v="12.71"/>
  </r>
  <r>
    <n v="59801646"/>
    <s v="N"/>
    <n v="21408733"/>
    <s v="3000014174670010"/>
    <s v="CIVIL"/>
    <d v="2023-06-30T00:00:00"/>
    <d v="2023-07-21T10:00:02"/>
    <m/>
    <d v="2023-07-21T00:00:00"/>
    <n v="1832"/>
    <n v="1259"/>
    <s v="59801646"/>
    <s v="59801646"/>
    <m/>
    <m/>
    <n v="22801554"/>
    <m/>
    <m/>
    <m/>
    <s v="SOLFIN"/>
    <s v="SOLFIN"/>
    <s v="CCMS"/>
    <n v="21408733"/>
    <n v="23465.88"/>
    <m/>
    <s v="N"/>
    <n v="28"/>
    <d v="2023-07-21T10:00:09"/>
    <s v="Y"/>
    <s v="Attendance upon client"/>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87"/>
    <d v="2023-07-21T10:00:09"/>
    <s v="Y"/>
    <s v="Preparation - other"/>
    <s v="Care Remuneration Hourly Rates"/>
    <s v="Profit Cost"/>
    <s v="Myria Pieri"/>
    <s v="Y"/>
    <n v="25.42"/>
    <n v="5.08"/>
    <x v="12"/>
    <s v="VALIDATED"/>
    <n v="1"/>
    <s v="01.11.80.308.6100.0000"/>
    <n v="25.42"/>
    <s v="11"/>
    <s v="6100"/>
    <n v="33249.27"/>
    <n v="25.42"/>
    <s v="CREDITOR"/>
    <n v="0"/>
    <n v="0"/>
    <n v="0"/>
    <n v="0"/>
    <n v="25.42"/>
  </r>
  <r>
    <n v="59801646"/>
    <s v="N"/>
    <n v="21408733"/>
    <s v="3000014174670010"/>
    <s v="CIVIL"/>
    <d v="2023-06-30T00:00:00"/>
    <d v="2023-07-21T10:00:02"/>
    <m/>
    <d v="2023-07-21T00:00:00"/>
    <n v="1832"/>
    <n v="1259"/>
    <s v="59801646"/>
    <s v="59801646"/>
    <m/>
    <m/>
    <n v="22801554"/>
    <m/>
    <m/>
    <m/>
    <s v="SOLFIN"/>
    <s v="SOLFIN"/>
    <s v="CCMS"/>
    <n v="21408733"/>
    <n v="23465.88"/>
    <m/>
    <s v="N"/>
    <n v="88"/>
    <d v="2023-07-21T10:00:09"/>
    <s v="Y"/>
    <s v="Preparation - other"/>
    <s v="Care Remuneration Hourly Rates"/>
    <s v="Profit Cost"/>
    <s v="Myria Pieri"/>
    <s v="Y"/>
    <n v="16.02"/>
    <n v="3.2"/>
    <x v="12"/>
    <s v="VALIDATED"/>
    <n v="1"/>
    <s v="01.11.80.308.6100.0000"/>
    <n v="16.02"/>
    <s v="11"/>
    <s v="6100"/>
    <n v="33249.27"/>
    <n v="16.02"/>
    <s v="CREDITOR"/>
    <n v="0"/>
    <n v="0"/>
    <n v="0"/>
    <n v="0"/>
    <n v="16.02"/>
  </r>
  <r>
    <n v="59801646"/>
    <s v="N"/>
    <n v="21408733"/>
    <s v="3000014174670010"/>
    <s v="CIVIL"/>
    <d v="2023-06-30T00:00:00"/>
    <d v="2023-07-21T10:00:02"/>
    <m/>
    <d v="2023-07-21T00:00:00"/>
    <n v="1832"/>
    <n v="1259"/>
    <s v="59801646"/>
    <s v="59801646"/>
    <m/>
    <m/>
    <n v="22801554"/>
    <m/>
    <m/>
    <m/>
    <s v="SOLFIN"/>
    <s v="SOLFIN"/>
    <s v="CCMS"/>
    <n v="21408733"/>
    <n v="23465.88"/>
    <m/>
    <s v="N"/>
    <n v="32"/>
    <d v="2023-07-21T10:00:09"/>
    <s v="Y"/>
    <s v="Preparation - other"/>
    <s v="Care Remuneration Hourly Rates"/>
    <s v="Profit Cost"/>
    <s v="Myria Pieri"/>
    <s v="Y"/>
    <n v="12.71"/>
    <n v="2.54"/>
    <x v="12"/>
    <s v="VALIDATED"/>
    <n v="1"/>
    <s v="01.11.80.308.6100.0000"/>
    <n v="12.71"/>
    <s v="11"/>
    <s v="6100"/>
    <n v="33249.27"/>
    <n v="12.71"/>
    <s v="CREDITOR"/>
    <n v="0"/>
    <n v="0"/>
    <n v="0"/>
    <n v="0"/>
    <n v="12.71"/>
  </r>
  <r>
    <n v="60866691"/>
    <s v="N"/>
    <n v="21350041"/>
    <s v="3000015090790001"/>
    <s v="CIVIL"/>
    <d v="2023-06-30T00:00:00"/>
    <d v="2023-07-10T19:01:40"/>
    <m/>
    <d v="2023-07-10T00:00:00"/>
    <n v="1834"/>
    <n v="1281"/>
    <s v="60866691"/>
    <s v="60866691"/>
    <m/>
    <m/>
    <n v="22800634"/>
    <m/>
    <m/>
    <m/>
    <s v="SOLFIN"/>
    <s v="SOLFIN"/>
    <s v="CCMS"/>
    <n v="21350041"/>
    <n v="156.26"/>
    <m/>
    <s v="N"/>
    <n v="4"/>
    <d v="2023-07-10T19:02:10"/>
    <s v="Y"/>
    <s v="Preparation - other"/>
    <s v="Non Family Hourly Rates"/>
    <s v="Profit Cost"/>
    <s v="Hemantha Warnapala"/>
    <s v="Y"/>
    <n v="17.17"/>
    <n v="3.43"/>
    <x v="2"/>
    <s v="VALIDATED"/>
    <n v="1"/>
    <s v="01.11.80.208.6100.0000"/>
    <n v="17.17"/>
    <s v="11"/>
    <s v="6100"/>
    <n v="6000.01"/>
    <n v="17.17"/>
    <s v="CREDITOR"/>
    <n v="0"/>
    <n v="0"/>
    <n v="0"/>
    <n v="0"/>
    <n v="17.17"/>
  </r>
  <r>
    <n v="61307949"/>
    <s v="N"/>
    <n v="21343861"/>
    <s v="3000015455080001"/>
    <s v="CIVIL"/>
    <d v="2023-06-23T00:00:00"/>
    <d v="2023-07-07T19:03:00"/>
    <m/>
    <d v="2023-07-07T00:00:00"/>
    <n v="1834"/>
    <n v="1281"/>
    <s v="61307949"/>
    <s v="61307949"/>
    <m/>
    <m/>
    <n v="22756154"/>
    <m/>
    <m/>
    <m/>
    <s v="SOLFIN"/>
    <s v="SOLFIN"/>
    <s v="CCMS"/>
    <n v="21343861"/>
    <n v="433.64"/>
    <m/>
    <s v="N"/>
    <n v="5"/>
    <d v="2023-07-07T19:03:14"/>
    <s v="Y"/>
    <s v="Preparation - drafting bill/claim f"/>
    <s v="Non Family Hourly Rates"/>
    <s v="Profit Cost"/>
    <s v="Hemantha Warnapala"/>
    <s v="Y"/>
    <n v="50.09"/>
    <n v="10.02"/>
    <x v="9"/>
    <s v="VALIDATED"/>
    <n v="1"/>
    <s v="01.11.80.208.6100.0000"/>
    <n v="50.09"/>
    <s v="11"/>
    <s v="6100"/>
    <n v="6000.01"/>
    <n v="50.09"/>
    <s v="CREDITOR"/>
    <n v="0"/>
    <n v="0"/>
    <n v="0"/>
    <n v="0"/>
    <n v="50.09"/>
  </r>
  <r>
    <n v="61236865"/>
    <s v="N"/>
    <n v="21350033"/>
    <s v="3000015404840001"/>
    <s v="CIVIL"/>
    <d v="2023-06-29T00:00:00"/>
    <d v="2023-07-10T19:01:40"/>
    <m/>
    <d v="2023-07-10T00:00:00"/>
    <n v="1834"/>
    <n v="1281"/>
    <s v="61236865"/>
    <s v="61236865"/>
    <m/>
    <m/>
    <n v="22791934"/>
    <m/>
    <m/>
    <m/>
    <s v="SOLFIN"/>
    <s v="SOLFIN"/>
    <s v="CCMS"/>
    <n v="21350033"/>
    <n v="6608.09"/>
    <m/>
    <s v="N"/>
    <n v="58"/>
    <d v="2023-07-10T19:02:10"/>
    <s v="Y"/>
    <s v="Preparation - other"/>
    <s v="Non Family Hourly Rates"/>
    <s v="Profit Cost"/>
    <s v="Hemantha Warnapala"/>
    <s v="Y"/>
    <n v="9.140000000000001"/>
    <n v="1.83"/>
    <x v="2"/>
    <s v="VALIDATED"/>
    <n v="1"/>
    <s v="01.11.80.208.6100.0000"/>
    <n v="9.140000000000001"/>
    <s v="11"/>
    <s v="6100"/>
    <n v="6000.01"/>
    <n v="9.140000000000001"/>
    <s v="CREDITOR"/>
    <n v="0"/>
    <n v="0"/>
    <n v="0"/>
    <n v="0"/>
    <n v="9.140000000000001"/>
  </r>
  <r>
    <n v="61236865"/>
    <s v="N"/>
    <n v="21350033"/>
    <s v="3000015404840001"/>
    <s v="CIVIL"/>
    <d v="2023-06-29T00:00:00"/>
    <d v="2023-07-10T19:01:40"/>
    <m/>
    <d v="2023-07-10T00:00:00"/>
    <n v="1834"/>
    <n v="1281"/>
    <s v="61236865"/>
    <s v="61236865"/>
    <m/>
    <m/>
    <n v="22791934"/>
    <m/>
    <m/>
    <m/>
    <s v="SOLFIN"/>
    <s v="SOLFIN"/>
    <s v="CCMS"/>
    <n v="21350033"/>
    <n v="6608.09"/>
    <m/>
    <s v="N"/>
    <n v="3"/>
    <d v="2023-07-10T19:02:10"/>
    <s v="Y"/>
    <s v="Preparation - other"/>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51"/>
    <d v="2023-07-10T19:02:10"/>
    <s v="Y"/>
    <s v="Preparation - drafting pleadings"/>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57"/>
    <d v="2023-07-10T19:02:10"/>
    <s v="Y"/>
    <s v="Preparation - other"/>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22"/>
    <d v="2023-07-10T19:02:10"/>
    <s v="Y"/>
    <s v="Preparation - other"/>
    <s v="Non Family Hourly Rates"/>
    <s v="Profit Cost"/>
    <s v="Hemantha Warnapala"/>
    <s v="Y"/>
    <n v="137.03"/>
    <n v="27.41"/>
    <x v="2"/>
    <s v="VALIDATED"/>
    <n v="1"/>
    <s v="01.11.80.208.6100.0000"/>
    <n v="137.03"/>
    <s v="11"/>
    <s v="6100"/>
    <n v="6000.01"/>
    <n v="137.03"/>
    <s v="CREDITOR"/>
    <n v="0"/>
    <n v="0"/>
    <n v="0"/>
    <n v="0"/>
    <n v="137.03"/>
  </r>
  <r>
    <n v="61236865"/>
    <s v="N"/>
    <n v="21350033"/>
    <s v="3000015404840001"/>
    <s v="CIVIL"/>
    <d v="2023-06-29T00:00:00"/>
    <d v="2023-07-10T19:01:40"/>
    <m/>
    <d v="2023-07-10T00:00:00"/>
    <n v="1834"/>
    <n v="1281"/>
    <s v="61236865"/>
    <s v="61236865"/>
    <m/>
    <m/>
    <n v="22791934"/>
    <m/>
    <m/>
    <m/>
    <s v="SOLFIN"/>
    <s v="SOLFIN"/>
    <s v="CCMS"/>
    <n v="21350033"/>
    <n v="6608.09"/>
    <m/>
    <s v="N"/>
    <n v="12"/>
    <d v="2023-07-10T19:02:10"/>
    <s v="Y"/>
    <s v="Attendance upon witness"/>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31"/>
    <d v="2023-07-10T19:02:10"/>
    <s v="Y"/>
    <s v="Preparation - other"/>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39"/>
    <d v="2023-07-10T19:02:10"/>
    <s v="Y"/>
    <s v="Preparation - other"/>
    <s v="Non Family Hourly Rates"/>
    <s v="Profit Cost"/>
    <s v="Hemantha Warnapala"/>
    <s v="Y"/>
    <n v="45.68"/>
    <n v="9.140000000000001"/>
    <x v="2"/>
    <s v="VALIDATED"/>
    <n v="1"/>
    <s v="01.11.80.208.6100.0000"/>
    <n v="45.68"/>
    <s v="11"/>
    <s v="6100"/>
    <n v="6000.01"/>
    <n v="45.68"/>
    <s v="CREDITOR"/>
    <n v="0"/>
    <n v="0"/>
    <n v="0"/>
    <n v="0"/>
    <n v="45.68"/>
  </r>
  <r>
    <n v="61236865"/>
    <s v="N"/>
    <n v="21350033"/>
    <s v="3000015404840001"/>
    <s v="CIVIL"/>
    <d v="2023-06-29T00:00:00"/>
    <d v="2023-07-10T19:01:40"/>
    <m/>
    <d v="2023-07-10T00:00:00"/>
    <n v="1834"/>
    <n v="1281"/>
    <s v="61236865"/>
    <s v="61236865"/>
    <m/>
    <m/>
    <n v="22791934"/>
    <m/>
    <m/>
    <m/>
    <s v="SOLFIN"/>
    <s v="SOLFIN"/>
    <s v="CCMS"/>
    <n v="21350033"/>
    <n v="6608.09"/>
    <m/>
    <s v="N"/>
    <n v="17"/>
    <d v="2023-07-10T19:02:10"/>
    <s v="Y"/>
    <s v="Routine Telephone Call"/>
    <s v="Non Family Hourly Rates"/>
    <s v="Profit Cost"/>
    <s v="Hemantha Warnapala"/>
    <s v="Y"/>
    <n v="65.8"/>
    <n v="13.16"/>
    <x v="2"/>
    <s v="VALIDATED"/>
    <n v="1"/>
    <s v="01.11.80.208.6100.0000"/>
    <n v="65.8"/>
    <s v="11"/>
    <s v="6100"/>
    <n v="6000.01"/>
    <n v="65.8"/>
    <s v="CREDITOR"/>
    <n v="0"/>
    <n v="0"/>
    <n v="0"/>
    <n v="0"/>
    <n v="65.8"/>
  </r>
  <r>
    <n v="61236865"/>
    <s v="N"/>
    <n v="21350033"/>
    <s v="3000015404840001"/>
    <s v="CIVIL"/>
    <d v="2023-06-29T00:00:00"/>
    <d v="2023-07-10T19:01:40"/>
    <m/>
    <d v="2023-07-10T00:00:00"/>
    <n v="1834"/>
    <n v="1281"/>
    <s v="61236865"/>
    <s v="61236865"/>
    <m/>
    <m/>
    <n v="22791934"/>
    <m/>
    <m/>
    <m/>
    <s v="SOLFIN"/>
    <s v="SOLFIN"/>
    <s v="CCMS"/>
    <n v="21350033"/>
    <n v="6608.09"/>
    <m/>
    <s v="N"/>
    <n v="2"/>
    <d v="2023-07-10T19:02:10"/>
    <s v="Y"/>
    <s v="Preparation - other"/>
    <s v="Non Family Hourly Rates"/>
    <s v="Profit Cost"/>
    <s v="Hemantha Warnapala"/>
    <s v="Y"/>
    <n v="9.140000000000001"/>
    <n v="1.83"/>
    <x v="2"/>
    <s v="VALIDATED"/>
    <n v="1"/>
    <s v="01.11.80.208.6100.0000"/>
    <n v="9.140000000000001"/>
    <s v="11"/>
    <s v="6100"/>
    <n v="6000.01"/>
    <n v="9.140000000000001"/>
    <s v="CREDITOR"/>
    <n v="0"/>
    <n v="0"/>
    <n v="0"/>
    <n v="0"/>
    <n v="9.140000000000001"/>
  </r>
  <r>
    <n v="60866691"/>
    <s v="N"/>
    <n v="21350041"/>
    <s v="3000015090790001"/>
    <s v="CIVIL"/>
    <d v="2023-06-30T00:00:00"/>
    <d v="2023-07-10T19:01:40"/>
    <m/>
    <d v="2023-07-10T00:00:00"/>
    <n v="1834"/>
    <n v="1281"/>
    <s v="60866691"/>
    <s v="60866691"/>
    <m/>
    <m/>
    <n v="22800634"/>
    <m/>
    <m/>
    <m/>
    <s v="SOLFIN"/>
    <s v="SOLFIN"/>
    <s v="CCMS"/>
    <n v="21350041"/>
    <n v="156.26"/>
    <m/>
    <s v="N"/>
    <n v="3"/>
    <d v="2023-07-10T19:02:10"/>
    <s v="Y"/>
    <s v="Preparation - other"/>
    <s v="Non Family Hourly Rates"/>
    <s v="Profit Cost"/>
    <s v="Hemantha Warnapala"/>
    <s v="Y"/>
    <n v="17.17"/>
    <n v="3.43"/>
    <x v="2"/>
    <s v="VALIDATED"/>
    <n v="1"/>
    <s v="01.11.80.208.6100.0000"/>
    <n v="17.17"/>
    <s v="11"/>
    <s v="6100"/>
    <n v="6000.01"/>
    <n v="17.17"/>
    <s v="CREDITOR"/>
    <n v="0"/>
    <n v="0"/>
    <n v="0"/>
    <n v="0"/>
    <n v="17.17"/>
  </r>
  <r>
    <n v="61236865"/>
    <s v="N"/>
    <n v="21350033"/>
    <s v="3000015404840001"/>
    <s v="CIVIL"/>
    <d v="2023-06-29T00:00:00"/>
    <d v="2023-07-10T19:01:40"/>
    <m/>
    <d v="2023-07-10T00:00:00"/>
    <n v="1834"/>
    <n v="1281"/>
    <s v="61236865"/>
    <s v="61236865"/>
    <m/>
    <m/>
    <n v="22791934"/>
    <m/>
    <m/>
    <m/>
    <s v="SOLFIN"/>
    <s v="SOLFIN"/>
    <s v="CCMS"/>
    <n v="21350033"/>
    <n v="6608.09"/>
    <m/>
    <s v="N"/>
    <n v="78"/>
    <d v="2023-07-10T19:02:10"/>
    <s v="Y"/>
    <s v="Report - Counsel's opinion"/>
    <s v="Non Family Hourly Rates"/>
    <s v="Profit Cost"/>
    <s v="Hemantha Warnapala"/>
    <s v="Y"/>
    <n v="45.68"/>
    <n v="9.140000000000001"/>
    <x v="2"/>
    <s v="VALIDATED"/>
    <n v="1"/>
    <s v="01.11.80.208.6100.0000"/>
    <n v="45.68"/>
    <s v="11"/>
    <s v="6100"/>
    <n v="6000.01"/>
    <n v="45.68"/>
    <s v="CREDITOR"/>
    <n v="0"/>
    <n v="0"/>
    <n v="0"/>
    <n v="0"/>
    <n v="45.68"/>
  </r>
  <r>
    <n v="60866691"/>
    <s v="N"/>
    <n v="21350041"/>
    <s v="3000015090790001"/>
    <s v="CIVIL"/>
    <d v="2023-06-30T00:00:00"/>
    <d v="2023-07-10T19:01:40"/>
    <m/>
    <d v="2023-07-10T00:00:00"/>
    <n v="1834"/>
    <n v="1281"/>
    <s v="60866691"/>
    <s v="60866691"/>
    <m/>
    <m/>
    <n v="22800634"/>
    <m/>
    <m/>
    <m/>
    <s v="SOLFIN"/>
    <s v="SOLFIN"/>
    <s v="CCMS"/>
    <n v="21350041"/>
    <n v="156.26"/>
    <m/>
    <s v="N"/>
    <n v="2"/>
    <d v="2023-07-10T19:02:10"/>
    <s v="Y"/>
    <s v="Preparation - other"/>
    <s v="Non Family Hourly Rates"/>
    <s v="Profit Cost"/>
    <s v="Hemantha Warnapala"/>
    <s v="Y"/>
    <n v="34.34"/>
    <n v="6.87"/>
    <x v="2"/>
    <s v="VALIDATED"/>
    <n v="1"/>
    <s v="01.11.80.208.6100.0000"/>
    <n v="34.34"/>
    <s v="11"/>
    <s v="6100"/>
    <n v="6000.01"/>
    <n v="34.34"/>
    <s v="CREDITOR"/>
    <n v="0"/>
    <n v="0"/>
    <n v="0"/>
    <n v="0"/>
    <n v="34.34"/>
  </r>
  <r>
    <n v="61236865"/>
    <s v="N"/>
    <n v="21350033"/>
    <s v="3000015404840001"/>
    <s v="CIVIL"/>
    <d v="2023-06-29T00:00:00"/>
    <d v="2023-07-10T19:01:40"/>
    <m/>
    <d v="2023-07-10T00:00:00"/>
    <n v="1834"/>
    <n v="1281"/>
    <s v="61236865"/>
    <s v="61236865"/>
    <m/>
    <m/>
    <n v="22791934"/>
    <m/>
    <m/>
    <m/>
    <s v="SOLFIN"/>
    <s v="SOLFIN"/>
    <s v="CCMS"/>
    <n v="21350033"/>
    <n v="6608.09"/>
    <m/>
    <s v="N"/>
    <n v="50"/>
    <d v="2023-07-10T19:02:10"/>
    <s v="Y"/>
    <s v="Attendance upon client"/>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42"/>
    <d v="2023-07-10T19:02:10"/>
    <s v="Y"/>
    <s v="Preparation - other"/>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55"/>
    <d v="2023-07-10T19:02:10"/>
    <s v="Y"/>
    <s v="Preparation - other"/>
    <s v="Non Family Hourly Rates"/>
    <s v="Profit Cost"/>
    <s v="Hemantha Warnapala"/>
    <s v="Y"/>
    <n v="45.68"/>
    <n v="9.140000000000001"/>
    <x v="2"/>
    <s v="VALIDATED"/>
    <n v="1"/>
    <s v="01.11.80.208.6100.0000"/>
    <n v="45.68"/>
    <s v="11"/>
    <s v="6100"/>
    <n v="6000.01"/>
    <n v="45.68"/>
    <s v="CREDITOR"/>
    <n v="0"/>
    <n v="0"/>
    <n v="0"/>
    <n v="0"/>
    <n v="45.68"/>
  </r>
  <r>
    <n v="61236865"/>
    <s v="N"/>
    <n v="21350033"/>
    <s v="3000015404840001"/>
    <s v="CIVIL"/>
    <d v="2023-06-29T00:00:00"/>
    <d v="2023-07-10T19:01:40"/>
    <m/>
    <d v="2023-07-10T00:00:00"/>
    <n v="1834"/>
    <n v="1281"/>
    <s v="61236865"/>
    <s v="61236865"/>
    <m/>
    <m/>
    <n v="22791934"/>
    <m/>
    <m/>
    <m/>
    <s v="SOLFIN"/>
    <s v="SOLFIN"/>
    <s v="CCMS"/>
    <n v="21350033"/>
    <n v="6608.09"/>
    <m/>
    <s v="N"/>
    <n v="52"/>
    <d v="2023-07-10T19:02:10"/>
    <s v="Y"/>
    <s v="Report - Counsel's opinion"/>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41"/>
    <d v="2023-07-10T19:02:10"/>
    <s v="Y"/>
    <s v="Preparation - other"/>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10"/>
    <d v="2023-07-10T19:02:10"/>
    <s v="Y"/>
    <s v="Preparation - other"/>
    <s v="Non Family Hourly Rates"/>
    <s v="Profit Cost"/>
    <s v="Hemantha Warnapala"/>
    <s v="Y"/>
    <n v="18.27"/>
    <n v="3.65"/>
    <x v="2"/>
    <s v="VALIDATED"/>
    <n v="1"/>
    <s v="01.11.80.208.6100.0000"/>
    <n v="18.27"/>
    <s v="11"/>
    <s v="6100"/>
    <n v="6000.01"/>
    <n v="18.27"/>
    <s v="CREDITOR"/>
    <n v="0"/>
    <n v="0"/>
    <n v="0"/>
    <n v="0"/>
    <n v="18.27"/>
  </r>
  <r>
    <n v="60866691"/>
    <s v="N"/>
    <n v="21350041"/>
    <s v="3000015090790001"/>
    <s v="CIVIL"/>
    <d v="2023-06-30T00:00:00"/>
    <d v="2023-07-10T19:01:40"/>
    <m/>
    <d v="2023-07-10T00:00:00"/>
    <n v="1834"/>
    <n v="1281"/>
    <s v="60866691"/>
    <s v="60866691"/>
    <m/>
    <m/>
    <n v="22800634"/>
    <m/>
    <m/>
    <m/>
    <s v="SOLFIN"/>
    <s v="SOLFIN"/>
    <s v="CCMS"/>
    <n v="21350041"/>
    <n v="156.26"/>
    <m/>
    <s v="N"/>
    <n v="5"/>
    <d v="2023-07-10T19:02:10"/>
    <s v="Y"/>
    <s v="Preparation - other"/>
    <s v="Non Family Hourly Rates"/>
    <s v="Profit Cost"/>
    <s v="Hemantha Warnapala"/>
    <s v="Y"/>
    <n v="8.59"/>
    <n v="1.72"/>
    <x v="2"/>
    <s v="VALIDATED"/>
    <n v="1"/>
    <s v="01.11.80.208.6100.0000"/>
    <n v="8.59"/>
    <s v="11"/>
    <s v="6100"/>
    <n v="6000.01"/>
    <n v="8.59"/>
    <s v="CREDITOR"/>
    <n v="0"/>
    <n v="0"/>
    <n v="0"/>
    <n v="0"/>
    <n v="8.59"/>
  </r>
  <r>
    <n v="61307949"/>
    <s v="N"/>
    <n v="21343861"/>
    <s v="3000015455080001"/>
    <s v="CIVIL"/>
    <d v="2023-06-23T00:00:00"/>
    <d v="2023-07-07T19:03:00"/>
    <m/>
    <d v="2023-07-07T00:00:00"/>
    <n v="1834"/>
    <n v="1281"/>
    <s v="61307949"/>
    <s v="61307949"/>
    <m/>
    <m/>
    <n v="22756154"/>
    <m/>
    <m/>
    <m/>
    <s v="SOLFIN"/>
    <s v="SOLFIN"/>
    <s v="CCMS"/>
    <n v="21343861"/>
    <n v="433.64"/>
    <m/>
    <s v="N"/>
    <n v="7"/>
    <d v="2023-07-07T19:03:14"/>
    <s v="Y"/>
    <s v="Preparation - other"/>
    <s v="Non Family Hourly Rates"/>
    <s v="Profit Cost"/>
    <s v="Hemantha Warnapala"/>
    <s v="Y"/>
    <n v="32.21"/>
    <n v="6.44"/>
    <x v="9"/>
    <s v="VALIDATED"/>
    <n v="1"/>
    <s v="01.11.80.208.6100.0000"/>
    <n v="32.21"/>
    <s v="11"/>
    <s v="6100"/>
    <n v="6000.01"/>
    <n v="32.21"/>
    <s v="CREDITOR"/>
    <n v="0"/>
    <n v="0"/>
    <n v="0"/>
    <n v="0"/>
    <n v="32.21"/>
  </r>
  <r>
    <n v="61236865"/>
    <s v="N"/>
    <n v="21350033"/>
    <s v="3000015404840001"/>
    <s v="CIVIL"/>
    <d v="2023-06-29T00:00:00"/>
    <d v="2023-07-10T19:01:40"/>
    <m/>
    <d v="2023-07-10T00:00:00"/>
    <n v="1834"/>
    <n v="1281"/>
    <s v="61236865"/>
    <s v="61236865"/>
    <m/>
    <m/>
    <n v="22791934"/>
    <m/>
    <m/>
    <m/>
    <s v="SOLFIN"/>
    <s v="SOLFIN"/>
    <s v="CCMS"/>
    <n v="21350033"/>
    <n v="6608.09"/>
    <m/>
    <s v="N"/>
    <n v="64"/>
    <d v="2023-07-10T19:02:10"/>
    <s v="Y"/>
    <s v="Attendance upon witness"/>
    <s v="Non Family Hourly Rates"/>
    <s v="Profit Cost"/>
    <s v="Hemantha Warnapala"/>
    <s v="Y"/>
    <n v="109.62"/>
    <n v="21.92"/>
    <x v="2"/>
    <s v="VALIDATED"/>
    <n v="1"/>
    <s v="01.11.80.208.6100.0000"/>
    <n v="109.62"/>
    <s v="11"/>
    <s v="6100"/>
    <n v="6000.01"/>
    <n v="109.62"/>
    <s v="CREDITOR"/>
    <n v="0"/>
    <n v="0"/>
    <n v="0"/>
    <n v="0"/>
    <n v="109.62"/>
  </r>
  <r>
    <n v="61236865"/>
    <s v="N"/>
    <n v="21350033"/>
    <s v="3000015404840001"/>
    <s v="CIVIL"/>
    <d v="2023-06-29T00:00:00"/>
    <d v="2023-07-10T19:01:40"/>
    <m/>
    <d v="2023-07-10T00:00:00"/>
    <n v="1834"/>
    <n v="1281"/>
    <s v="61236865"/>
    <s v="61236865"/>
    <m/>
    <m/>
    <n v="22791934"/>
    <m/>
    <m/>
    <m/>
    <s v="SOLFIN"/>
    <s v="SOLFIN"/>
    <s v="CCMS"/>
    <n v="21350033"/>
    <n v="6608.09"/>
    <m/>
    <s v="N"/>
    <n v="75"/>
    <d v="2023-07-10T19:02:10"/>
    <s v="Y"/>
    <s v="Attendance upon witness"/>
    <s v="Non Family Hourly Rates"/>
    <s v="Profit Cost"/>
    <s v="Hemantha Warnapala"/>
    <s v="Y"/>
    <n v="82.22"/>
    <n v="16.44"/>
    <x v="2"/>
    <s v="VALIDATED"/>
    <n v="1"/>
    <s v="01.11.80.208.6100.0000"/>
    <n v="82.22"/>
    <s v="11"/>
    <s v="6100"/>
    <n v="6000.01"/>
    <n v="82.22"/>
    <s v="CREDITOR"/>
    <n v="0"/>
    <n v="0"/>
    <n v="0"/>
    <n v="0"/>
    <n v="82.22"/>
  </r>
  <r>
    <n v="61236865"/>
    <s v="N"/>
    <n v="21350033"/>
    <s v="3000015404840001"/>
    <s v="CIVIL"/>
    <d v="2023-06-29T00:00:00"/>
    <d v="2023-07-10T19:01:40"/>
    <m/>
    <d v="2023-07-10T00:00:00"/>
    <n v="1834"/>
    <n v="1281"/>
    <s v="61236865"/>
    <s v="61236865"/>
    <m/>
    <m/>
    <n v="22791934"/>
    <m/>
    <m/>
    <m/>
    <s v="SOLFIN"/>
    <s v="SOLFIN"/>
    <s v="CCMS"/>
    <n v="21350033"/>
    <n v="6608.09"/>
    <m/>
    <s v="N"/>
    <n v="14"/>
    <d v="2023-07-10T19:02:10"/>
    <s v="Y"/>
    <s v="Preparation - other"/>
    <s v="Non Family Hourly Rates"/>
    <s v="Profit Cost"/>
    <s v="Hemantha Warnapala"/>
    <s v="Y"/>
    <n v="137.03"/>
    <n v="27.41"/>
    <x v="2"/>
    <s v="VALIDATED"/>
    <n v="1"/>
    <s v="01.11.80.208.6100.0000"/>
    <n v="137.03"/>
    <s v="11"/>
    <s v="6100"/>
    <n v="6000.01"/>
    <n v="137.03"/>
    <s v="CREDITOR"/>
    <n v="0"/>
    <n v="0"/>
    <n v="0"/>
    <n v="0"/>
    <n v="137.03"/>
  </r>
  <r>
    <n v="61236865"/>
    <s v="N"/>
    <n v="21350033"/>
    <s v="3000015404840001"/>
    <s v="CIVIL"/>
    <d v="2023-06-29T00:00:00"/>
    <d v="2023-07-10T19:01:40"/>
    <m/>
    <d v="2023-07-10T00:00:00"/>
    <n v="1834"/>
    <n v="1281"/>
    <s v="61236865"/>
    <s v="61236865"/>
    <m/>
    <m/>
    <n v="22791934"/>
    <m/>
    <m/>
    <m/>
    <s v="SOLFIN"/>
    <s v="SOLFIN"/>
    <s v="CCMS"/>
    <n v="21350033"/>
    <n v="6608.09"/>
    <m/>
    <s v="N"/>
    <n v="36"/>
    <d v="2023-07-10T19:02:10"/>
    <s v="Y"/>
    <s v="Preparation - other"/>
    <s v="Non Family Hourly Rates"/>
    <s v="Profit Cost"/>
    <s v="Hemantha Warnapala"/>
    <s v="Y"/>
    <n v="137.03"/>
    <n v="27.41"/>
    <x v="2"/>
    <s v="VALIDATED"/>
    <n v="1"/>
    <s v="01.11.80.208.6100.0000"/>
    <n v="137.03"/>
    <s v="11"/>
    <s v="6100"/>
    <n v="6000.01"/>
    <n v="137.03"/>
    <s v="CREDITOR"/>
    <n v="0"/>
    <n v="0"/>
    <n v="0"/>
    <n v="0"/>
    <n v="137.03"/>
  </r>
  <r>
    <n v="61236865"/>
    <s v="N"/>
    <n v="21350033"/>
    <s v="3000015404840001"/>
    <s v="CIVIL"/>
    <d v="2023-06-29T00:00:00"/>
    <d v="2023-07-10T19:01:40"/>
    <m/>
    <d v="2023-07-10T00:00:00"/>
    <n v="1834"/>
    <n v="1281"/>
    <s v="61236865"/>
    <s v="61236865"/>
    <m/>
    <m/>
    <n v="22791934"/>
    <m/>
    <m/>
    <m/>
    <s v="SOLFIN"/>
    <s v="SOLFIN"/>
    <s v="CCMS"/>
    <n v="21350033"/>
    <n v="6608.09"/>
    <m/>
    <s v="N"/>
    <n v="72"/>
    <d v="2023-07-10T19:02:10"/>
    <s v="Y"/>
    <s v="Preparation - other"/>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28"/>
    <d v="2023-07-10T19:02:10"/>
    <s v="Y"/>
    <s v="Preparation - other"/>
    <s v="Non Family Hourly Rates"/>
    <s v="Profit Cost"/>
    <s v="Hemantha Warnapala"/>
    <s v="Y"/>
    <n v="91.34999999999999"/>
    <n v="18.27"/>
    <x v="2"/>
    <s v="VALIDATED"/>
    <n v="1"/>
    <s v="01.11.80.208.6100.0000"/>
    <n v="91.34999999999999"/>
    <s v="11"/>
    <s v="6100"/>
    <n v="6000.01"/>
    <n v="91.34999999999999"/>
    <s v="CREDITOR"/>
    <n v="0"/>
    <n v="0"/>
    <n v="0"/>
    <n v="0"/>
    <n v="91.34999999999999"/>
  </r>
  <r>
    <n v="61236865"/>
    <s v="N"/>
    <n v="21350033"/>
    <s v="3000015404840001"/>
    <s v="CIVIL"/>
    <d v="2023-06-29T00:00:00"/>
    <d v="2023-07-10T19:01:40"/>
    <m/>
    <d v="2023-07-10T00:00:00"/>
    <n v="1834"/>
    <n v="1281"/>
    <s v="61236865"/>
    <s v="61236865"/>
    <m/>
    <m/>
    <n v="22791934"/>
    <m/>
    <m/>
    <m/>
    <s v="SOLFIN"/>
    <s v="SOLFIN"/>
    <s v="CCMS"/>
    <n v="21350033"/>
    <n v="6608.09"/>
    <m/>
    <s v="N"/>
    <n v="6"/>
    <d v="2023-07-10T19:02:10"/>
    <s v="Y"/>
    <s v="Attendance upon client"/>
    <s v="Non Family Hourly Rates"/>
    <s v="Profit Cost"/>
    <s v="Hemantha Warnapala"/>
    <s v="Y"/>
    <n v="137.03"/>
    <n v="27.41"/>
    <x v="2"/>
    <s v="VALIDATED"/>
    <n v="1"/>
    <s v="01.11.80.208.6100.0000"/>
    <n v="137.03"/>
    <s v="11"/>
    <s v="6100"/>
    <n v="6000.01"/>
    <n v="137.03"/>
    <s v="CREDITOR"/>
    <n v="0"/>
    <n v="0"/>
    <n v="0"/>
    <n v="0"/>
    <n v="137.03"/>
  </r>
  <r>
    <n v="61236865"/>
    <s v="N"/>
    <n v="21350033"/>
    <s v="3000015404840001"/>
    <s v="CIVIL"/>
    <d v="2023-06-29T00:00:00"/>
    <d v="2023-07-10T19:01:40"/>
    <m/>
    <d v="2023-07-10T00:00:00"/>
    <n v="1834"/>
    <n v="1281"/>
    <s v="61236865"/>
    <s v="61236865"/>
    <m/>
    <m/>
    <n v="22791934"/>
    <m/>
    <m/>
    <m/>
    <s v="SOLFIN"/>
    <s v="SOLFIN"/>
    <s v="CCMS"/>
    <n v="21350033"/>
    <n v="6608.09"/>
    <m/>
    <s v="N"/>
    <n v="13"/>
    <d v="2023-07-10T19:02:10"/>
    <s v="Y"/>
    <s v="Attendance upon witness"/>
    <s v="Non Family Hourly Rates"/>
    <s v="Profit Cost"/>
    <s v="Hemantha Warnapala"/>
    <s v="Y"/>
    <n v="182.7"/>
    <n v="36.54"/>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11"/>
    <d v="2023-07-10T19:02:10"/>
    <s v="Y"/>
    <s v="Attendance upon client"/>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18"/>
    <d v="2023-07-10T19:02:10"/>
    <s v="Y"/>
    <s v="Preparation - other"/>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15"/>
    <d v="2023-07-10T19:02:10"/>
    <s v="Y"/>
    <s v="Routine Letter Out"/>
    <s v="Non Family Hourly Rates"/>
    <s v="Profit Cost"/>
    <s v="Hemantha Warnapala"/>
    <s v="Y"/>
    <n v="457.38"/>
    <n v="91.48"/>
    <x v="2"/>
    <s v="VALIDATED"/>
    <n v="1"/>
    <s v="01.11.80.208.6100.0000"/>
    <n v="457.38"/>
    <s v="11"/>
    <s v="6100"/>
    <n v="6000.01"/>
    <n v="457.38"/>
    <s v="CREDITOR"/>
    <n v="0"/>
    <n v="0"/>
    <n v="0"/>
    <n v="0"/>
    <n v="457.38"/>
  </r>
  <r>
    <n v="61236865"/>
    <s v="N"/>
    <n v="21350033"/>
    <s v="3000015404840001"/>
    <s v="CIVIL"/>
    <d v="2023-06-29T00:00:00"/>
    <d v="2023-07-10T19:01:40"/>
    <m/>
    <d v="2023-07-10T00:00:00"/>
    <n v="1834"/>
    <n v="1281"/>
    <s v="61236865"/>
    <s v="61236865"/>
    <m/>
    <m/>
    <n v="22791934"/>
    <m/>
    <m/>
    <m/>
    <s v="SOLFIN"/>
    <s v="SOLFIN"/>
    <s v="CCMS"/>
    <n v="21350033"/>
    <n v="6608.09"/>
    <m/>
    <s v="N"/>
    <n v="23"/>
    <d v="2023-07-10T19:02:10"/>
    <s v="Y"/>
    <s v="Preparation - drafting instructions"/>
    <s v="Non Family Hourly Rates"/>
    <s v="Profit Cost"/>
    <s v="Hemantha Warnapala"/>
    <s v="Y"/>
    <n v="182.7"/>
    <n v="36.54"/>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34"/>
    <d v="2023-07-10T19:02:10"/>
    <s v="Y"/>
    <s v="Preparation - other"/>
    <s v="Non Family Hourly Rates"/>
    <s v="Profit Cost"/>
    <s v="Hemantha Warnapala"/>
    <s v="Y"/>
    <n v="45.68"/>
    <n v="9.140000000000001"/>
    <x v="2"/>
    <s v="VALIDATED"/>
    <n v="1"/>
    <s v="01.11.80.208.6100.0000"/>
    <n v="45.68"/>
    <s v="11"/>
    <s v="6100"/>
    <n v="6000.01"/>
    <n v="45.68"/>
    <s v="CREDITOR"/>
    <n v="0"/>
    <n v="0"/>
    <n v="0"/>
    <n v="0"/>
    <n v="45.68"/>
  </r>
  <r>
    <n v="61236865"/>
    <s v="N"/>
    <n v="21350033"/>
    <s v="3000015404840001"/>
    <s v="CIVIL"/>
    <d v="2023-06-29T00:00:00"/>
    <d v="2023-07-10T19:01:40"/>
    <m/>
    <d v="2023-07-10T00:00:00"/>
    <n v="1834"/>
    <n v="1281"/>
    <s v="61236865"/>
    <s v="61236865"/>
    <m/>
    <m/>
    <n v="22791934"/>
    <m/>
    <m/>
    <m/>
    <s v="SOLFIN"/>
    <s v="SOLFIN"/>
    <s v="CCMS"/>
    <n v="21350033"/>
    <n v="6608.09"/>
    <m/>
    <s v="N"/>
    <n v="4"/>
    <d v="2023-07-10T19:02:10"/>
    <s v="Y"/>
    <s v="Preparation - other"/>
    <s v="Non Family Hourly Rates"/>
    <s v="Profit Cost"/>
    <s v="Hemantha Warnapala"/>
    <s v="Y"/>
    <n v="228.38"/>
    <n v="45.68"/>
    <x v="2"/>
    <s v="VALIDATED"/>
    <n v="1"/>
    <s v="01.11.80.208.6100.0000"/>
    <n v="228.38"/>
    <s v="11"/>
    <s v="6100"/>
    <n v="6000.01"/>
    <n v="228.38"/>
    <s v="CREDITOR"/>
    <n v="0"/>
    <n v="0"/>
    <n v="0"/>
    <n v="0"/>
    <n v="228.38"/>
  </r>
  <r>
    <n v="61236865"/>
    <s v="N"/>
    <n v="21350033"/>
    <s v="3000015404840001"/>
    <s v="CIVIL"/>
    <d v="2023-06-29T00:00:00"/>
    <d v="2023-07-10T19:01:40"/>
    <m/>
    <d v="2023-07-10T00:00:00"/>
    <n v="1834"/>
    <n v="1281"/>
    <s v="61236865"/>
    <s v="61236865"/>
    <m/>
    <m/>
    <n v="22791934"/>
    <m/>
    <m/>
    <m/>
    <s v="SOLFIN"/>
    <s v="SOLFIN"/>
    <s v="CCMS"/>
    <n v="21350033"/>
    <n v="6608.09"/>
    <m/>
    <s v="N"/>
    <n v="45"/>
    <d v="2023-07-10T19:02:10"/>
    <s v="Y"/>
    <s v="Preparation - other"/>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21"/>
    <d v="2023-07-10T19:02:10"/>
    <s v="Y"/>
    <s v="Preparation - other"/>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40"/>
    <d v="2023-07-10T19:02:10"/>
    <s v="Y"/>
    <s v="Preparation - other"/>
    <s v="Non Family Hourly Rates"/>
    <s v="Profit Cost"/>
    <s v="Hemantha Warnapala"/>
    <s v="Y"/>
    <n v="45.68"/>
    <n v="9.140000000000001"/>
    <x v="2"/>
    <s v="VALIDATED"/>
    <n v="1"/>
    <s v="01.11.80.208.6100.0000"/>
    <n v="45.68"/>
    <s v="11"/>
    <s v="6100"/>
    <n v="6000.01"/>
    <n v="45.68"/>
    <s v="CREDITOR"/>
    <n v="0"/>
    <n v="0"/>
    <n v="0"/>
    <n v="0"/>
    <n v="45.68"/>
  </r>
  <r>
    <n v="61236865"/>
    <s v="N"/>
    <n v="21350033"/>
    <s v="3000015404840001"/>
    <s v="CIVIL"/>
    <d v="2023-06-29T00:00:00"/>
    <d v="2023-07-10T19:01:40"/>
    <m/>
    <d v="2023-07-10T00:00:00"/>
    <n v="1834"/>
    <n v="1281"/>
    <s v="61236865"/>
    <s v="61236865"/>
    <m/>
    <m/>
    <n v="22791934"/>
    <m/>
    <m/>
    <m/>
    <s v="SOLFIN"/>
    <s v="SOLFIN"/>
    <s v="CCMS"/>
    <n v="21350033"/>
    <n v="6608.09"/>
    <m/>
    <s v="N"/>
    <n v="32"/>
    <d v="2023-07-10T19:02:10"/>
    <s v="Y"/>
    <s v="Preparation - other"/>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79"/>
    <d v="2023-07-10T19:02:10"/>
    <s v="Y"/>
    <s v="Attendance upon witness"/>
    <s v="Non Family Hourly Rates"/>
    <s v="Profit Cost"/>
    <s v="Hemantha Warnapala"/>
    <s v="Y"/>
    <n v="91.34999999999999"/>
    <n v="18.27"/>
    <x v="2"/>
    <s v="VALIDATED"/>
    <n v="1"/>
    <s v="01.11.80.208.6100.0000"/>
    <n v="91.34999999999999"/>
    <s v="11"/>
    <s v="6100"/>
    <n v="6000.01"/>
    <n v="91.34999999999999"/>
    <s v="CREDITOR"/>
    <n v="0"/>
    <n v="0"/>
    <n v="0"/>
    <n v="0"/>
    <n v="91.34999999999999"/>
  </r>
  <r>
    <n v="61236865"/>
    <s v="N"/>
    <n v="21350033"/>
    <s v="3000015404840001"/>
    <s v="CIVIL"/>
    <d v="2023-06-29T00:00:00"/>
    <d v="2023-07-10T19:01:40"/>
    <m/>
    <d v="2023-07-10T00:00:00"/>
    <n v="1834"/>
    <n v="1281"/>
    <s v="61236865"/>
    <s v="61236865"/>
    <m/>
    <m/>
    <n v="22791934"/>
    <m/>
    <m/>
    <m/>
    <s v="SOLFIN"/>
    <s v="SOLFIN"/>
    <s v="CCMS"/>
    <n v="21350033"/>
    <n v="6608.09"/>
    <m/>
    <s v="N"/>
    <n v="43"/>
    <d v="2023-07-10T19:02:10"/>
    <s v="Y"/>
    <s v="Preparation - other"/>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5"/>
    <d v="2023-07-10T19:02:10"/>
    <s v="Y"/>
    <s v="Attendance upon client"/>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46"/>
    <d v="2023-07-10T19:02:10"/>
    <s v="Y"/>
    <s v="Preparation - drafting instructions"/>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56"/>
    <d v="2023-07-10T19:02:10"/>
    <s v="Y"/>
    <s v="Preparation - other"/>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80"/>
    <d v="2023-07-10T19:02:10"/>
    <s v="Y"/>
    <s v="Attendance upon witness"/>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24"/>
    <d v="2023-07-10T19:02:10"/>
    <s v="Y"/>
    <s v="Preparation - other"/>
    <s v="Non Family Hourly Rates"/>
    <s v="Profit Cost"/>
    <s v="Hemantha Warnapala"/>
    <s v="Y"/>
    <n v="91.34999999999999"/>
    <n v="18.27"/>
    <x v="2"/>
    <s v="VALIDATED"/>
    <n v="1"/>
    <s v="01.11.80.208.6100.0000"/>
    <n v="91.34999999999999"/>
    <s v="11"/>
    <s v="6100"/>
    <n v="6000.01"/>
    <n v="91.34999999999999"/>
    <s v="CREDITOR"/>
    <n v="0"/>
    <n v="0"/>
    <n v="0"/>
    <n v="0"/>
    <n v="91.34999999999999"/>
  </r>
  <r>
    <n v="61236865"/>
    <s v="N"/>
    <n v="21350033"/>
    <s v="3000015404840001"/>
    <s v="CIVIL"/>
    <d v="2023-06-29T00:00:00"/>
    <d v="2023-07-10T19:01:40"/>
    <m/>
    <d v="2023-07-10T00:00:00"/>
    <n v="1834"/>
    <n v="1281"/>
    <s v="61236865"/>
    <s v="61236865"/>
    <m/>
    <m/>
    <n v="22791934"/>
    <m/>
    <m/>
    <m/>
    <s v="SOLFIN"/>
    <s v="SOLFIN"/>
    <s v="CCMS"/>
    <n v="21350033"/>
    <n v="6608.09"/>
    <m/>
    <s v="N"/>
    <n v="33"/>
    <d v="2023-07-10T19:02:10"/>
    <s v="Y"/>
    <s v="Preparation - drafting notice(s)"/>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38"/>
    <d v="2023-07-10T19:02:10"/>
    <s v="Y"/>
    <s v="Attendance upon client"/>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44"/>
    <d v="2023-07-10T19:02:10"/>
    <s v="Y"/>
    <s v="Preparation - other"/>
    <s v="Non Family Hourly Rates"/>
    <s v="Profit Cost"/>
    <s v="Hemantha Warnapala"/>
    <s v="Y"/>
    <n v="27.41"/>
    <n v="5.48"/>
    <x v="2"/>
    <s v="VALIDATED"/>
    <n v="1"/>
    <s v="01.11.80.208.6100.0000"/>
    <n v="27.41"/>
    <s v="11"/>
    <s v="6100"/>
    <n v="6000.01"/>
    <n v="27.41"/>
    <s v="CREDITOR"/>
    <n v="0"/>
    <n v="0"/>
    <n v="0"/>
    <n v="0"/>
    <n v="27.41"/>
  </r>
  <r>
    <n v="60866691"/>
    <s v="N"/>
    <n v="21350041"/>
    <s v="3000015090790001"/>
    <s v="CIVIL"/>
    <d v="2023-06-30T00:00:00"/>
    <d v="2023-07-10T19:01:40"/>
    <m/>
    <d v="2023-07-10T00:00:00"/>
    <n v="1834"/>
    <n v="1281"/>
    <s v="60866691"/>
    <s v="60866691"/>
    <m/>
    <m/>
    <n v="22800634"/>
    <m/>
    <m/>
    <m/>
    <s v="SOLFIN"/>
    <s v="SOLFIN"/>
    <s v="CCMS"/>
    <n v="21350041"/>
    <n v="156.26"/>
    <m/>
    <s v="N"/>
    <n v="1"/>
    <d v="2023-07-10T19:02:10"/>
    <s v="Y"/>
    <s v="Preparation - drafting notice(s)"/>
    <s v="Non Family Hourly Rates"/>
    <s v="Profit Cost"/>
    <s v="Hemantha Warnapala"/>
    <s v="Y"/>
    <n v="17.17"/>
    <n v="3.43"/>
    <x v="2"/>
    <s v="VALIDATED"/>
    <n v="1"/>
    <s v="01.11.80.208.6100.0000"/>
    <n v="17.17"/>
    <s v="11"/>
    <s v="6100"/>
    <n v="6000.01"/>
    <n v="17.17"/>
    <s v="CREDITOR"/>
    <n v="0"/>
    <n v="0"/>
    <n v="0"/>
    <n v="0"/>
    <n v="17.17"/>
  </r>
  <r>
    <n v="61236865"/>
    <s v="N"/>
    <n v="21350033"/>
    <s v="3000015404840001"/>
    <s v="CIVIL"/>
    <d v="2023-06-29T00:00:00"/>
    <d v="2023-07-10T19:01:40"/>
    <m/>
    <d v="2023-07-10T00:00:00"/>
    <n v="1834"/>
    <n v="1281"/>
    <s v="61236865"/>
    <s v="61236865"/>
    <m/>
    <m/>
    <n v="22791934"/>
    <m/>
    <m/>
    <m/>
    <s v="SOLFIN"/>
    <s v="SOLFIN"/>
    <s v="CCMS"/>
    <n v="21350033"/>
    <n v="6608.09"/>
    <m/>
    <s v="N"/>
    <n v="48"/>
    <d v="2023-07-10T19:02:10"/>
    <s v="Y"/>
    <s v="Preparation - other"/>
    <s v="Non Family Hourly Rates"/>
    <s v="Profit Cost"/>
    <s v="Hemantha Warnapala"/>
    <s v="Y"/>
    <n v="9.140000000000001"/>
    <n v="1.83"/>
    <x v="2"/>
    <s v="VALIDATED"/>
    <n v="1"/>
    <s v="01.11.80.208.6100.0000"/>
    <n v="9.140000000000001"/>
    <s v="11"/>
    <s v="6100"/>
    <n v="6000.01"/>
    <n v="9.140000000000001"/>
    <s v="CREDITOR"/>
    <n v="0"/>
    <n v="0"/>
    <n v="0"/>
    <n v="0"/>
    <n v="9.140000000000001"/>
  </r>
  <r>
    <n v="61236865"/>
    <s v="N"/>
    <n v="21350033"/>
    <s v="3000015404840001"/>
    <s v="CIVIL"/>
    <d v="2023-06-29T00:00:00"/>
    <d v="2023-07-10T19:01:40"/>
    <m/>
    <d v="2023-07-10T00:00:00"/>
    <n v="1834"/>
    <n v="1281"/>
    <s v="61236865"/>
    <s v="61236865"/>
    <m/>
    <m/>
    <n v="22791934"/>
    <m/>
    <m/>
    <m/>
    <s v="SOLFIN"/>
    <s v="SOLFIN"/>
    <s v="CCMS"/>
    <n v="21350033"/>
    <n v="6608.09"/>
    <m/>
    <s v="N"/>
    <n v="63"/>
    <d v="2023-07-10T19:02:10"/>
    <s v="Y"/>
    <s v="Attendance upon client"/>
    <s v="Non Family Hourly Rates"/>
    <s v="Profit Cost"/>
    <s v="Hemantha Warnapala"/>
    <s v="Y"/>
    <n v="365.4"/>
    <n v="73.08"/>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59"/>
    <d v="2023-07-10T19:02:10"/>
    <s v="Y"/>
    <s v="Attendance upon other"/>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81"/>
    <d v="2023-07-10T19:02:10"/>
    <s v="Y"/>
    <s v="Preparation - other"/>
    <s v="Non Family Hourly Rates"/>
    <s v="Profit Cost"/>
    <s v="Hemantha Warnapala"/>
    <s v="Y"/>
    <n v="18.27"/>
    <n v="3.65"/>
    <x v="2"/>
    <s v="VALIDATED"/>
    <n v="1"/>
    <s v="01.11.80.208.6100.0000"/>
    <n v="18.27"/>
    <s v="11"/>
    <s v="6100"/>
    <n v="6000.01"/>
    <n v="18.27"/>
    <s v="CREDITOR"/>
    <n v="0"/>
    <n v="0"/>
    <n v="0"/>
    <n v="0"/>
    <n v="18.27"/>
  </r>
  <r>
    <n v="61307949"/>
    <s v="N"/>
    <n v="21343861"/>
    <s v="3000015455080001"/>
    <s v="CIVIL"/>
    <d v="2023-06-23T00:00:00"/>
    <d v="2023-07-07T19:03:00"/>
    <m/>
    <d v="2023-07-07T00:00:00"/>
    <n v="1834"/>
    <n v="1281"/>
    <s v="61307949"/>
    <s v="61307949"/>
    <m/>
    <m/>
    <n v="22756154"/>
    <m/>
    <m/>
    <m/>
    <s v="SOLFIN"/>
    <s v="SOLFIN"/>
    <s v="CCMS"/>
    <n v="21343861"/>
    <n v="433.64"/>
    <m/>
    <s v="N"/>
    <n v="1"/>
    <d v="2023-07-07T19:03:14"/>
    <s v="Y"/>
    <s v="Preparation - other"/>
    <s v="Non Family Hourly Rates"/>
    <s v="Profit Cost"/>
    <s v="Hemantha Warnapala"/>
    <s v="Y"/>
    <n v="64.40000000000001"/>
    <n v="12.88"/>
    <x v="9"/>
    <s v="VALIDATED"/>
    <n v="1"/>
    <s v="01.11.80.208.6100.0000"/>
    <n v="64.40000000000001"/>
    <s v="11"/>
    <s v="6100"/>
    <n v="6000.01"/>
    <n v="64.40000000000001"/>
    <s v="CREDITOR"/>
    <n v="0"/>
    <n v="0"/>
    <n v="0"/>
    <n v="0"/>
    <n v="64.40000000000001"/>
  </r>
  <r>
    <n v="61236865"/>
    <s v="N"/>
    <n v="21350033"/>
    <s v="3000015404840001"/>
    <s v="CIVIL"/>
    <d v="2023-06-29T00:00:00"/>
    <d v="2023-07-10T19:01:40"/>
    <m/>
    <d v="2023-07-10T00:00:00"/>
    <n v="1834"/>
    <n v="1281"/>
    <s v="61236865"/>
    <s v="61236865"/>
    <m/>
    <m/>
    <n v="22791934"/>
    <m/>
    <m/>
    <m/>
    <s v="SOLFIN"/>
    <s v="SOLFIN"/>
    <s v="CCMS"/>
    <n v="21350033"/>
    <n v="6608.09"/>
    <m/>
    <s v="N"/>
    <n v="62"/>
    <d v="2023-07-10T19:02:10"/>
    <s v="Y"/>
    <s v="Attendance upon witness"/>
    <s v="Non Family Hourly Rates"/>
    <s v="Profit Cost"/>
    <s v="Hemantha Warnapala"/>
    <s v="Y"/>
    <n v="228.38"/>
    <n v="45.68"/>
    <x v="2"/>
    <s v="VALIDATED"/>
    <n v="1"/>
    <s v="01.11.80.208.6100.0000"/>
    <n v="228.38"/>
    <s v="11"/>
    <s v="6100"/>
    <n v="6000.01"/>
    <n v="228.38"/>
    <s v="CREDITOR"/>
    <n v="0"/>
    <n v="0"/>
    <n v="0"/>
    <n v="0"/>
    <n v="228.38"/>
  </r>
  <r>
    <n v="61236865"/>
    <s v="N"/>
    <n v="21350033"/>
    <s v="3000015404840001"/>
    <s v="CIVIL"/>
    <d v="2023-06-29T00:00:00"/>
    <d v="2023-07-10T19:01:40"/>
    <m/>
    <d v="2023-07-10T00:00:00"/>
    <n v="1834"/>
    <n v="1281"/>
    <s v="61236865"/>
    <s v="61236865"/>
    <m/>
    <m/>
    <n v="22791934"/>
    <m/>
    <m/>
    <m/>
    <s v="SOLFIN"/>
    <s v="SOLFIN"/>
    <s v="CCMS"/>
    <n v="21350033"/>
    <n v="6608.09"/>
    <m/>
    <s v="N"/>
    <n v="25"/>
    <d v="2023-07-10T19:02:10"/>
    <s v="Y"/>
    <s v="Preparation - drafting notice(s)"/>
    <s v="Non Family Hourly Rates"/>
    <s v="Profit Cost"/>
    <s v="Hemantha Warnapala"/>
    <s v="Y"/>
    <n v="18.27"/>
    <n v="3.65"/>
    <x v="2"/>
    <s v="VALIDATED"/>
    <n v="1"/>
    <s v="01.11.80.208.6100.0000"/>
    <n v="18.27"/>
    <s v="11"/>
    <s v="6100"/>
    <n v="6000.01"/>
    <n v="18.27"/>
    <s v="CREDITOR"/>
    <n v="0"/>
    <n v="0"/>
    <n v="0"/>
    <n v="0"/>
    <n v="18.27"/>
  </r>
  <r>
    <n v="60866691"/>
    <s v="N"/>
    <n v="21350041"/>
    <s v="3000015090790001"/>
    <s v="CIVIL"/>
    <d v="2023-06-30T00:00:00"/>
    <d v="2023-07-10T19:01:40"/>
    <m/>
    <d v="2023-07-10T00:00:00"/>
    <n v="1834"/>
    <n v="1281"/>
    <s v="60866691"/>
    <s v="60866691"/>
    <m/>
    <m/>
    <n v="22800634"/>
    <m/>
    <m/>
    <m/>
    <s v="SOLFIN"/>
    <s v="SOLFIN"/>
    <s v="CCMS"/>
    <n v="21350041"/>
    <n v="156.26"/>
    <m/>
    <s v="N"/>
    <n v="6"/>
    <d v="2023-07-10T19:02:10"/>
    <s v="Y"/>
    <s v="Preparation - drafting bill/claim f"/>
    <s v="Non Family Hourly Rates"/>
    <s v="Profit Cost"/>
    <s v="Hemantha Warnapala"/>
    <s v="Y"/>
    <n v="35.78"/>
    <n v="7.16"/>
    <x v="2"/>
    <s v="VALIDATED"/>
    <n v="1"/>
    <s v="01.11.80.208.6100.0000"/>
    <n v="35.78"/>
    <s v="11"/>
    <s v="6100"/>
    <n v="6000.01"/>
    <n v="35.78"/>
    <s v="CREDITOR"/>
    <n v="0"/>
    <n v="0"/>
    <n v="0"/>
    <n v="0"/>
    <n v="35.78"/>
  </r>
  <r>
    <n v="61236865"/>
    <s v="N"/>
    <n v="21350033"/>
    <s v="3000015404840001"/>
    <s v="CIVIL"/>
    <d v="2023-06-29T00:00:00"/>
    <d v="2023-07-10T19:01:40"/>
    <m/>
    <d v="2023-07-10T00:00:00"/>
    <n v="1834"/>
    <n v="1281"/>
    <s v="61236865"/>
    <s v="61236865"/>
    <m/>
    <m/>
    <n v="22791934"/>
    <m/>
    <m/>
    <m/>
    <s v="SOLFIN"/>
    <s v="SOLFIN"/>
    <s v="CCMS"/>
    <n v="21350033"/>
    <n v="6608.09"/>
    <m/>
    <s v="N"/>
    <n v="54"/>
    <d v="2023-07-10T19:02:10"/>
    <s v="Y"/>
    <s v="Preparation - other"/>
    <s v="Non Family Hourly Rates"/>
    <s v="Profit Cost"/>
    <s v="Hemantha Warnapala"/>
    <s v="Y"/>
    <n v="63.95"/>
    <n v="12.79"/>
    <x v="2"/>
    <s v="VALIDATED"/>
    <n v="1"/>
    <s v="01.11.80.208.6100.0000"/>
    <n v="63.95"/>
    <s v="11"/>
    <s v="6100"/>
    <n v="6000.01"/>
    <n v="63.95"/>
    <s v="CREDITOR"/>
    <n v="0"/>
    <n v="0"/>
    <n v="0"/>
    <n v="0"/>
    <n v="63.95"/>
  </r>
  <r>
    <n v="61236865"/>
    <s v="N"/>
    <n v="21350033"/>
    <s v="3000015404840001"/>
    <s v="CIVIL"/>
    <d v="2023-06-29T00:00:00"/>
    <d v="2023-07-10T19:01:40"/>
    <m/>
    <d v="2023-07-10T00:00:00"/>
    <n v="1834"/>
    <n v="1281"/>
    <s v="61236865"/>
    <s v="61236865"/>
    <m/>
    <m/>
    <n v="22791934"/>
    <m/>
    <m/>
    <m/>
    <s v="SOLFIN"/>
    <s v="SOLFIN"/>
    <s v="CCMS"/>
    <n v="21350033"/>
    <n v="6608.09"/>
    <m/>
    <s v="N"/>
    <n v="1"/>
    <d v="2023-07-10T19:02:10"/>
    <s v="Y"/>
    <s v="Solicitor Travel Expenses"/>
    <s v="Non Family Hourly Rates"/>
    <s v="Non Expert Disbursement"/>
    <s v="Hemantha Warnapala"/>
    <s v="Y"/>
    <n v="10"/>
    <n v="0"/>
    <x v="2"/>
    <s v="VALIDATED"/>
    <n v="1"/>
    <s v="01.11.80.208.6300.0000"/>
    <n v="10"/>
    <s v="11"/>
    <s v="6300"/>
    <n v="6000.01"/>
    <n v="10"/>
    <s v="CREDITOR"/>
    <n v="0"/>
    <n v="0"/>
    <n v="0"/>
    <n v="0"/>
    <n v="10"/>
  </r>
  <r>
    <n v="61236865"/>
    <s v="N"/>
    <n v="21350033"/>
    <s v="3000015404840001"/>
    <s v="CIVIL"/>
    <d v="2023-06-29T00:00:00"/>
    <d v="2023-07-10T19:01:40"/>
    <m/>
    <d v="2023-07-10T00:00:00"/>
    <n v="1834"/>
    <n v="1281"/>
    <s v="61236865"/>
    <s v="61236865"/>
    <m/>
    <m/>
    <n v="22791934"/>
    <m/>
    <m/>
    <m/>
    <s v="SOLFIN"/>
    <s v="SOLFIN"/>
    <s v="CCMS"/>
    <n v="21350033"/>
    <n v="6608.09"/>
    <m/>
    <s v="N"/>
    <n v="20"/>
    <d v="2023-07-10T19:02:10"/>
    <s v="Y"/>
    <s v="Preparation - other"/>
    <s v="Non Family Hourly Rates"/>
    <s v="Profit Cost"/>
    <s v="Hemantha Warnapala"/>
    <s v="Y"/>
    <n v="45.68"/>
    <n v="9.140000000000001"/>
    <x v="2"/>
    <s v="VALIDATED"/>
    <n v="1"/>
    <s v="01.11.80.208.6100.0000"/>
    <n v="45.68"/>
    <s v="11"/>
    <s v="6100"/>
    <n v="6000.01"/>
    <n v="45.68"/>
    <s v="CREDITOR"/>
    <n v="0"/>
    <n v="0"/>
    <n v="0"/>
    <n v="0"/>
    <n v="45.68"/>
  </r>
  <r>
    <n v="61236865"/>
    <s v="N"/>
    <n v="21350033"/>
    <s v="3000015404840001"/>
    <s v="CIVIL"/>
    <d v="2023-06-29T00:00:00"/>
    <d v="2023-07-10T19:01:40"/>
    <m/>
    <d v="2023-07-10T00:00:00"/>
    <n v="1834"/>
    <n v="1281"/>
    <s v="61236865"/>
    <s v="61236865"/>
    <m/>
    <m/>
    <n v="22791934"/>
    <m/>
    <m/>
    <m/>
    <s v="SOLFIN"/>
    <s v="SOLFIN"/>
    <s v="CCMS"/>
    <n v="21350033"/>
    <n v="6608.09"/>
    <m/>
    <s v="N"/>
    <n v="47"/>
    <d v="2023-07-10T19:02:10"/>
    <s v="Y"/>
    <s v="Preparation - other"/>
    <s v="Non Family Hourly Rates"/>
    <s v="Profit Cost"/>
    <s v="Hemantha Warnapala"/>
    <s v="Y"/>
    <n v="9.140000000000001"/>
    <n v="1.83"/>
    <x v="2"/>
    <s v="VALIDATED"/>
    <n v="1"/>
    <s v="01.11.80.208.6100.0000"/>
    <n v="9.140000000000001"/>
    <s v="11"/>
    <s v="6100"/>
    <n v="6000.01"/>
    <n v="9.140000000000001"/>
    <s v="CREDITOR"/>
    <n v="0"/>
    <n v="0"/>
    <n v="0"/>
    <n v="0"/>
    <n v="9.140000000000001"/>
  </r>
  <r>
    <n v="61236865"/>
    <s v="N"/>
    <n v="21350033"/>
    <s v="3000015404840001"/>
    <s v="CIVIL"/>
    <d v="2023-06-29T00:00:00"/>
    <d v="2023-07-10T19:01:40"/>
    <m/>
    <d v="2023-07-10T00:00:00"/>
    <n v="1834"/>
    <n v="1281"/>
    <s v="61236865"/>
    <s v="61236865"/>
    <m/>
    <m/>
    <n v="22791934"/>
    <m/>
    <m/>
    <m/>
    <s v="SOLFIN"/>
    <s v="SOLFIN"/>
    <s v="CCMS"/>
    <n v="21350033"/>
    <n v="6608.09"/>
    <m/>
    <s v="N"/>
    <n v="65"/>
    <d v="2023-07-10T19:02:10"/>
    <s v="Y"/>
    <s v="Attendance upon client"/>
    <s v="Non Family Hourly Rates"/>
    <s v="Profit Cost"/>
    <s v="Hemantha Warnapala"/>
    <s v="Y"/>
    <n v="54.81"/>
    <n v="10.96"/>
    <x v="2"/>
    <s v="VALIDATED"/>
    <n v="1"/>
    <s v="01.11.80.208.6100.0000"/>
    <n v="54.81"/>
    <s v="11"/>
    <s v="6100"/>
    <n v="6000.01"/>
    <n v="54.81"/>
    <s v="CREDITOR"/>
    <n v="0"/>
    <n v="0"/>
    <n v="0"/>
    <n v="0"/>
    <n v="54.81"/>
  </r>
  <r>
    <n v="61307949"/>
    <s v="N"/>
    <n v="21343861"/>
    <s v="3000015455080001"/>
    <s v="CIVIL"/>
    <d v="2023-06-23T00:00:00"/>
    <d v="2023-07-07T19:03:00"/>
    <m/>
    <d v="2023-07-07T00:00:00"/>
    <n v="1834"/>
    <n v="1281"/>
    <s v="61307949"/>
    <s v="61307949"/>
    <m/>
    <m/>
    <n v="22756154"/>
    <m/>
    <m/>
    <m/>
    <s v="SOLFIN"/>
    <s v="SOLFIN"/>
    <s v="CCMS"/>
    <n v="21343861"/>
    <n v="433.64"/>
    <m/>
    <s v="N"/>
    <n v="2"/>
    <d v="2023-07-07T19:03:14"/>
    <s v="Y"/>
    <s v="Preparation - other"/>
    <s v="Non Family Hourly Rates"/>
    <s v="Profit Cost"/>
    <s v="Hemantha Warnapala"/>
    <s v="Y"/>
    <n v="85.86"/>
    <n v="17.17"/>
    <x v="9"/>
    <s v="VALIDATED"/>
    <n v="1"/>
    <s v="01.11.80.208.6100.0000"/>
    <n v="85.86"/>
    <s v="11"/>
    <s v="6100"/>
    <n v="6000.01"/>
    <n v="85.86"/>
    <s v="CREDITOR"/>
    <n v="0"/>
    <n v="0"/>
    <n v="0"/>
    <n v="0"/>
    <n v="85.86"/>
  </r>
  <r>
    <n v="61236865"/>
    <s v="N"/>
    <n v="21350033"/>
    <s v="3000015404840001"/>
    <s v="CIVIL"/>
    <d v="2023-06-29T00:00:00"/>
    <d v="2023-07-10T19:01:40"/>
    <m/>
    <d v="2023-07-10T00:00:00"/>
    <n v="1834"/>
    <n v="1281"/>
    <s v="61236865"/>
    <s v="61236865"/>
    <m/>
    <m/>
    <n v="22791934"/>
    <m/>
    <m/>
    <m/>
    <s v="SOLFIN"/>
    <s v="SOLFIN"/>
    <s v="CCMS"/>
    <n v="21350033"/>
    <n v="6608.09"/>
    <m/>
    <s v="N"/>
    <n v="30"/>
    <d v="2023-07-10T19:02:10"/>
    <s v="Y"/>
    <s v="Attendance upon client"/>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74"/>
    <d v="2023-07-10T19:02:10"/>
    <s v="Y"/>
    <s v="Preparation - other"/>
    <s v="Non Family Hourly Rates"/>
    <s v="Profit Cost"/>
    <s v="Hemantha Warnapala"/>
    <s v="Y"/>
    <n v="91.34999999999999"/>
    <n v="18.27"/>
    <x v="2"/>
    <s v="VALIDATED"/>
    <n v="1"/>
    <s v="01.11.80.208.6100.0000"/>
    <n v="91.34999999999999"/>
    <s v="11"/>
    <s v="6100"/>
    <n v="6000.01"/>
    <n v="91.34999999999999"/>
    <s v="CREDITOR"/>
    <n v="0"/>
    <n v="0"/>
    <n v="0"/>
    <n v="0"/>
    <n v="91.34999999999999"/>
  </r>
  <r>
    <n v="61307949"/>
    <s v="N"/>
    <n v="21343861"/>
    <s v="3000015455080001"/>
    <s v="CIVIL"/>
    <d v="2023-06-23T00:00:00"/>
    <d v="2023-07-07T19:03:00"/>
    <m/>
    <d v="2023-07-07T00:00:00"/>
    <n v="1834"/>
    <n v="1281"/>
    <s v="61307949"/>
    <s v="61307949"/>
    <m/>
    <m/>
    <n v="22756154"/>
    <m/>
    <m/>
    <m/>
    <s v="SOLFIN"/>
    <s v="SOLFIN"/>
    <s v="CCMS"/>
    <n v="21343861"/>
    <n v="433.64"/>
    <m/>
    <s v="N"/>
    <n v="3"/>
    <d v="2023-07-07T19:03:14"/>
    <s v="Y"/>
    <s v="Preparation - other"/>
    <s v="Non Family Hourly Rates"/>
    <s v="Profit Cost"/>
    <s v="Hemantha Warnapala"/>
    <s v="Y"/>
    <n v="10.74"/>
    <n v="2.15"/>
    <x v="9"/>
    <s v="VALIDATED"/>
    <n v="1"/>
    <s v="01.11.80.208.6100.0000"/>
    <n v="10.74"/>
    <s v="11"/>
    <s v="6100"/>
    <n v="6000.01"/>
    <n v="10.74"/>
    <s v="CREDITOR"/>
    <n v="0"/>
    <n v="0"/>
    <n v="0"/>
    <n v="0"/>
    <n v="10.74"/>
  </r>
  <r>
    <n v="61236865"/>
    <s v="N"/>
    <n v="21350033"/>
    <s v="3000015404840001"/>
    <s v="CIVIL"/>
    <d v="2023-06-29T00:00:00"/>
    <d v="2023-07-10T19:01:40"/>
    <m/>
    <d v="2023-07-10T00:00:00"/>
    <n v="1834"/>
    <n v="1281"/>
    <s v="61236865"/>
    <s v="61236865"/>
    <m/>
    <m/>
    <n v="22791934"/>
    <m/>
    <m/>
    <m/>
    <s v="SOLFIN"/>
    <s v="SOLFIN"/>
    <s v="CCMS"/>
    <n v="21350033"/>
    <n v="6608.09"/>
    <m/>
    <s v="N"/>
    <n v="61"/>
    <d v="2023-07-10T19:02:10"/>
    <s v="Y"/>
    <s v="Preparation - drafting notice(s)"/>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70"/>
    <d v="2023-07-10T19:02:10"/>
    <s v="Y"/>
    <s v="Preparation - other"/>
    <s v="Non Family Hourly Rates"/>
    <s v="Profit Cost"/>
    <s v="Hemantha Warnapala"/>
    <s v="Y"/>
    <n v="9.140000000000001"/>
    <n v="1.83"/>
    <x v="2"/>
    <s v="VALIDATED"/>
    <n v="1"/>
    <s v="01.11.80.208.6100.0000"/>
    <n v="9.140000000000001"/>
    <s v="11"/>
    <s v="6100"/>
    <n v="6000.01"/>
    <n v="9.140000000000001"/>
    <s v="CREDITOR"/>
    <n v="0"/>
    <n v="0"/>
    <n v="0"/>
    <n v="0"/>
    <n v="9.140000000000001"/>
  </r>
  <r>
    <n v="61236865"/>
    <s v="N"/>
    <n v="21350033"/>
    <s v="3000015404840001"/>
    <s v="CIVIL"/>
    <d v="2023-06-29T00:00:00"/>
    <d v="2023-07-10T19:01:40"/>
    <m/>
    <d v="2023-07-10T00:00:00"/>
    <n v="1834"/>
    <n v="1281"/>
    <s v="61236865"/>
    <s v="61236865"/>
    <m/>
    <m/>
    <n v="22791934"/>
    <m/>
    <m/>
    <m/>
    <s v="SOLFIN"/>
    <s v="SOLFIN"/>
    <s v="CCMS"/>
    <n v="21350033"/>
    <n v="6608.09"/>
    <m/>
    <s v="N"/>
    <n v="7"/>
    <d v="2023-07-10T19:02:10"/>
    <s v="Y"/>
    <s v="Preparation - other"/>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29"/>
    <d v="2023-07-10T19:02:10"/>
    <s v="Y"/>
    <s v="Attendance upon/with Counsel at Con"/>
    <s v="Non Family Hourly Rates"/>
    <s v="Profit Cost"/>
    <s v="Hemantha Warnapala"/>
    <s v="Y"/>
    <n v="21.21"/>
    <n v="4.24"/>
    <x v="2"/>
    <s v="VALIDATED"/>
    <n v="1"/>
    <s v="01.11.80.208.6100.0000"/>
    <n v="21.21"/>
    <s v="11"/>
    <s v="6100"/>
    <n v="6000.01"/>
    <n v="21.21"/>
    <s v="CREDITOR"/>
    <n v="0"/>
    <n v="0"/>
    <n v="0"/>
    <n v="0"/>
    <n v="21.21"/>
  </r>
  <r>
    <n v="61236865"/>
    <s v="N"/>
    <n v="21350033"/>
    <s v="3000015404840001"/>
    <s v="CIVIL"/>
    <d v="2023-06-29T00:00:00"/>
    <d v="2023-07-10T19:01:40"/>
    <m/>
    <d v="2023-07-10T00:00:00"/>
    <n v="1834"/>
    <n v="1281"/>
    <s v="61236865"/>
    <s v="61236865"/>
    <m/>
    <m/>
    <n v="22791934"/>
    <m/>
    <m/>
    <m/>
    <s v="SOLFIN"/>
    <s v="SOLFIN"/>
    <s v="CCMS"/>
    <n v="21350033"/>
    <n v="6608.09"/>
    <m/>
    <s v="N"/>
    <n v="16"/>
    <d v="2023-07-10T19:02:10"/>
    <s v="Y"/>
    <s v="Preparation - other"/>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35"/>
    <d v="2023-07-10T19:02:10"/>
    <s v="Y"/>
    <s v="Preparation - other"/>
    <s v="Non Family Hourly Rates"/>
    <s v="Profit Cost"/>
    <s v="Hemantha Warnapala"/>
    <s v="Y"/>
    <n v="18.27"/>
    <n v="3.65"/>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69"/>
    <d v="2023-07-10T19:02:10"/>
    <s v="Y"/>
    <s v="Preparation - other"/>
    <s v="Non Family Hourly Rates"/>
    <s v="Profit Cost"/>
    <s v="Hemantha Warnapala"/>
    <s v="Y"/>
    <n v="137.03"/>
    <n v="27.41"/>
    <x v="2"/>
    <s v="VALIDATED"/>
    <n v="1"/>
    <s v="01.11.80.208.6100.0000"/>
    <n v="137.03"/>
    <s v="11"/>
    <s v="6100"/>
    <n v="6000.01"/>
    <n v="137.03"/>
    <s v="CREDITOR"/>
    <n v="0"/>
    <n v="0"/>
    <n v="0"/>
    <n v="0"/>
    <n v="137.03"/>
  </r>
  <r>
    <n v="61236865"/>
    <s v="N"/>
    <n v="21350033"/>
    <s v="3000015404840001"/>
    <s v="CIVIL"/>
    <d v="2023-06-29T00:00:00"/>
    <d v="2023-07-10T19:01:40"/>
    <m/>
    <d v="2023-07-10T00:00:00"/>
    <n v="1834"/>
    <n v="1281"/>
    <s v="61236865"/>
    <s v="61236865"/>
    <m/>
    <m/>
    <n v="22791934"/>
    <m/>
    <m/>
    <m/>
    <s v="SOLFIN"/>
    <s v="SOLFIN"/>
    <s v="CCMS"/>
    <n v="21350033"/>
    <n v="6608.09"/>
    <m/>
    <s v="N"/>
    <n v="26"/>
    <d v="2023-07-10T19:02:10"/>
    <s v="Y"/>
    <s v="Preparation - other"/>
    <s v="Non Family Hourly Rates"/>
    <s v="Profit Cost"/>
    <s v="Hemantha Warnapala"/>
    <s v="Y"/>
    <n v="73.08"/>
    <n v="14.62"/>
    <x v="2"/>
    <s v="VALIDATED"/>
    <n v="1"/>
    <s v="01.11.80.208.6100.0000"/>
    <n v="73.08"/>
    <s v="11"/>
    <s v="6100"/>
    <n v="6000.01"/>
    <n v="73.08"/>
    <s v="CREDITOR"/>
    <n v="0"/>
    <n v="0"/>
    <n v="0"/>
    <n v="0"/>
    <n v="73.08"/>
  </r>
  <r>
    <n v="61236865"/>
    <s v="N"/>
    <n v="21350033"/>
    <s v="3000015404840001"/>
    <s v="CIVIL"/>
    <d v="2023-06-29T00:00:00"/>
    <d v="2023-07-10T19:01:40"/>
    <m/>
    <d v="2023-07-10T00:00:00"/>
    <n v="1834"/>
    <n v="1281"/>
    <s v="61236865"/>
    <s v="61236865"/>
    <m/>
    <m/>
    <n v="22791934"/>
    <m/>
    <m/>
    <m/>
    <s v="SOLFIN"/>
    <s v="SOLFIN"/>
    <s v="CCMS"/>
    <n v="21350033"/>
    <n v="6608.09"/>
    <m/>
    <s v="N"/>
    <n v="9"/>
    <d v="2023-07-10T19:02:10"/>
    <s v="Y"/>
    <s v="Waiting at court"/>
    <s v="Non Family Hourly Rates"/>
    <s v="Profit Cost"/>
    <s v="Hemantha Warnapala"/>
    <s v="Y"/>
    <n v="21.02"/>
    <n v="4.2"/>
    <x v="2"/>
    <s v="VALIDATED"/>
    <n v="1"/>
    <s v="01.11.80.208.6100.0000"/>
    <n v="21.02"/>
    <s v="11"/>
    <s v="6100"/>
    <n v="6000.01"/>
    <n v="21.02"/>
    <s v="CREDITOR"/>
    <n v="0"/>
    <n v="0"/>
    <n v="0"/>
    <n v="0"/>
    <n v="21.02"/>
  </r>
  <r>
    <n v="61307949"/>
    <s v="N"/>
    <n v="21343861"/>
    <s v="3000015455080001"/>
    <s v="CIVIL"/>
    <d v="2023-06-23T00:00:00"/>
    <d v="2023-07-07T19:03:00"/>
    <m/>
    <d v="2023-07-07T00:00:00"/>
    <n v="1834"/>
    <n v="1281"/>
    <s v="61307949"/>
    <s v="61307949"/>
    <m/>
    <m/>
    <n v="22756154"/>
    <m/>
    <m/>
    <m/>
    <s v="SOLFIN"/>
    <s v="SOLFIN"/>
    <s v="CCMS"/>
    <n v="21343861"/>
    <n v="433.64"/>
    <m/>
    <s v="N"/>
    <n v="4"/>
    <d v="2023-07-07T19:03:14"/>
    <s v="Y"/>
    <s v="Preparation - other"/>
    <s v="Non Family Hourly Rates"/>
    <s v="Profit Cost"/>
    <s v="Hemantha Warnapala"/>
    <s v="Y"/>
    <n v="85.86"/>
    <n v="17.17"/>
    <x v="9"/>
    <s v="VALIDATED"/>
    <n v="1"/>
    <s v="01.11.80.208.6100.0000"/>
    <n v="85.86"/>
    <s v="11"/>
    <s v="6100"/>
    <n v="6000.01"/>
    <n v="85.86"/>
    <s v="CREDITOR"/>
    <n v="0"/>
    <n v="0"/>
    <n v="0"/>
    <n v="0"/>
    <n v="85.86"/>
  </r>
  <r>
    <n v="61236865"/>
    <s v="N"/>
    <n v="21350033"/>
    <s v="3000015404840001"/>
    <s v="CIVIL"/>
    <d v="2023-06-29T00:00:00"/>
    <d v="2023-07-10T19:01:40"/>
    <m/>
    <d v="2023-07-10T00:00:00"/>
    <n v="1834"/>
    <n v="1281"/>
    <s v="61236865"/>
    <s v="61236865"/>
    <m/>
    <m/>
    <n v="22791934"/>
    <m/>
    <m/>
    <m/>
    <s v="SOLFIN"/>
    <s v="SOLFIN"/>
    <s v="CCMS"/>
    <n v="21350033"/>
    <n v="6608.09"/>
    <m/>
    <s v="N"/>
    <n v="67"/>
    <d v="2023-07-10T19:02:10"/>
    <s v="Y"/>
    <s v="Preparation - drafting instructions"/>
    <s v="Non Family Hourly Rates"/>
    <s v="Profit Cost"/>
    <s v="Hemantha Warnapala"/>
    <s v="Y"/>
    <n v="182.7"/>
    <n v="36.54"/>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66"/>
    <d v="2023-07-10T19:02:10"/>
    <s v="Y"/>
    <s v="Preparation - other"/>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19"/>
    <d v="2023-07-10T19:02:10"/>
    <s v="Y"/>
    <s v="Preparation - drafting bill/claim f"/>
    <s v="Non Family Hourly Rates"/>
    <s v="Profit Cost"/>
    <s v="Hemantha Warnapala"/>
    <s v="Y"/>
    <n v="157.5"/>
    <n v="31.5"/>
    <x v="2"/>
    <s v="VALIDATED"/>
    <n v="1"/>
    <s v="01.11.80.208.6100.0000"/>
    <n v="157.5"/>
    <s v="11"/>
    <s v="6100"/>
    <n v="6000.01"/>
    <n v="157.5"/>
    <s v="CREDITOR"/>
    <n v="0"/>
    <n v="0"/>
    <n v="0"/>
    <n v="0"/>
    <n v="157.5"/>
  </r>
  <r>
    <n v="61307949"/>
    <s v="N"/>
    <n v="21343861"/>
    <s v="3000015455080001"/>
    <s v="CIVIL"/>
    <d v="2023-06-23T00:00:00"/>
    <d v="2023-07-07T19:03:00"/>
    <m/>
    <d v="2023-07-07T00:00:00"/>
    <n v="1834"/>
    <n v="1281"/>
    <s v="61307949"/>
    <s v="61307949"/>
    <m/>
    <m/>
    <n v="22756154"/>
    <m/>
    <m/>
    <m/>
    <s v="SOLFIN"/>
    <s v="SOLFIN"/>
    <s v="CCMS"/>
    <n v="21343861"/>
    <n v="433.64"/>
    <m/>
    <s v="N"/>
    <n v="6"/>
    <d v="2023-07-07T19:03:14"/>
    <s v="Y"/>
    <s v="Preparation - other"/>
    <s v="Non Family Hourly Rates"/>
    <s v="Profit Cost"/>
    <s v="Hemantha Warnapala"/>
    <s v="Y"/>
    <n v="32.21"/>
    <n v="6.44"/>
    <x v="9"/>
    <s v="VALIDATED"/>
    <n v="1"/>
    <s v="01.11.80.208.6100.0000"/>
    <n v="32.21"/>
    <s v="11"/>
    <s v="6100"/>
    <n v="6000.01"/>
    <n v="32.21"/>
    <s v="CREDITOR"/>
    <n v="0"/>
    <n v="0"/>
    <n v="0"/>
    <n v="0"/>
    <n v="32.21"/>
  </r>
  <r>
    <n v="61236865"/>
    <s v="N"/>
    <n v="21350033"/>
    <s v="3000015404840001"/>
    <s v="CIVIL"/>
    <d v="2023-06-29T00:00:00"/>
    <d v="2023-07-10T19:01:40"/>
    <m/>
    <d v="2023-07-10T00:00:00"/>
    <n v="1834"/>
    <n v="1281"/>
    <s v="61236865"/>
    <s v="61236865"/>
    <m/>
    <m/>
    <n v="22791934"/>
    <m/>
    <m/>
    <m/>
    <s v="SOLFIN"/>
    <s v="SOLFIN"/>
    <s v="CCMS"/>
    <n v="21350033"/>
    <n v="6608.09"/>
    <m/>
    <s v="N"/>
    <n v="37"/>
    <d v="2023-07-10T19:02:10"/>
    <s v="Y"/>
    <s v="Preparation - other"/>
    <s v="Non Family Hourly Rates"/>
    <s v="Profit Cost"/>
    <s v="Hemantha Warnapala"/>
    <s v="Y"/>
    <n v="73.08"/>
    <n v="14.62"/>
    <x v="2"/>
    <s v="VALIDATED"/>
    <n v="1"/>
    <s v="01.11.80.208.6100.0000"/>
    <n v="73.08"/>
    <s v="11"/>
    <s v="6100"/>
    <n v="6000.01"/>
    <n v="73.08"/>
    <s v="CREDITOR"/>
    <n v="0"/>
    <n v="0"/>
    <n v="0"/>
    <n v="0"/>
    <n v="73.08"/>
  </r>
  <r>
    <n v="61236865"/>
    <s v="N"/>
    <n v="21350033"/>
    <s v="3000015404840001"/>
    <s v="CIVIL"/>
    <d v="2023-06-29T00:00:00"/>
    <d v="2023-07-10T19:01:40"/>
    <m/>
    <d v="2023-07-10T00:00:00"/>
    <n v="1834"/>
    <n v="1281"/>
    <s v="61236865"/>
    <s v="61236865"/>
    <m/>
    <m/>
    <n v="22791934"/>
    <m/>
    <m/>
    <m/>
    <s v="SOLFIN"/>
    <s v="SOLFIN"/>
    <s v="CCMS"/>
    <n v="21350033"/>
    <n v="6608.09"/>
    <m/>
    <s v="N"/>
    <n v="60"/>
    <d v="2023-07-10T19:02:10"/>
    <s v="Y"/>
    <s v="Attendance upon client"/>
    <s v="Non Family Hourly Rates"/>
    <s v="Profit Cost"/>
    <s v="Hemantha Warnapala"/>
    <s v="Y"/>
    <n v="36.54"/>
    <n v="7.31"/>
    <x v="2"/>
    <s v="VALIDATED"/>
    <n v="1"/>
    <s v="01.11.80.208.6100.0000"/>
    <n v="36.54"/>
    <s v="11"/>
    <s v="6100"/>
    <n v="6000.01"/>
    <n v="36.54"/>
    <s v="CREDITOR"/>
    <n v="0"/>
    <n v="0"/>
    <n v="0"/>
    <n v="0"/>
    <n v="36.54"/>
  </r>
  <r>
    <n v="61236865"/>
    <s v="N"/>
    <n v="21350033"/>
    <s v="3000015404840001"/>
    <s v="CIVIL"/>
    <d v="2023-06-29T00:00:00"/>
    <d v="2023-07-10T19:01:40"/>
    <m/>
    <d v="2023-07-10T00:00:00"/>
    <n v="1834"/>
    <n v="1281"/>
    <s v="61236865"/>
    <s v="61236865"/>
    <m/>
    <m/>
    <n v="22791934"/>
    <m/>
    <m/>
    <m/>
    <s v="SOLFIN"/>
    <s v="SOLFIN"/>
    <s v="CCMS"/>
    <n v="21350033"/>
    <n v="6608.09"/>
    <m/>
    <s v="N"/>
    <n v="73"/>
    <d v="2023-07-10T19:02:10"/>
    <s v="Y"/>
    <s v="Attendance upon witness"/>
    <s v="Non Family Hourly Rates"/>
    <s v="Profit Cost"/>
    <s v="Hemantha Warnapala"/>
    <s v="Y"/>
    <n v="73.08"/>
    <n v="14.62"/>
    <x v="2"/>
    <s v="VALIDATED"/>
    <n v="1"/>
    <s v="01.11.80.208.6100.0000"/>
    <n v="73.08"/>
    <s v="11"/>
    <s v="6100"/>
    <n v="6000.01"/>
    <n v="73.08"/>
    <s v="CREDITOR"/>
    <n v="0"/>
    <n v="0"/>
    <n v="0"/>
    <n v="0"/>
    <n v="73.08"/>
  </r>
  <r>
    <n v="61236865"/>
    <s v="N"/>
    <n v="21350033"/>
    <s v="3000015404840001"/>
    <s v="CIVIL"/>
    <d v="2023-06-29T00:00:00"/>
    <d v="2023-07-10T19:01:40"/>
    <m/>
    <d v="2023-07-10T00:00:00"/>
    <n v="1834"/>
    <n v="1281"/>
    <s v="61236865"/>
    <s v="61236865"/>
    <m/>
    <m/>
    <n v="22791934"/>
    <m/>
    <m/>
    <m/>
    <s v="SOLFIN"/>
    <s v="SOLFIN"/>
    <s v="CCMS"/>
    <n v="21350033"/>
    <n v="6608.09"/>
    <m/>
    <s v="N"/>
    <n v="77"/>
    <d v="2023-07-10T19:02:10"/>
    <s v="Y"/>
    <s v="Attendance upon witness"/>
    <s v="Non Family Hourly Rates"/>
    <s v="Profit Cost"/>
    <s v="Hemantha Warnapala"/>
    <s v="Y"/>
    <n v="91.34999999999999"/>
    <n v="18.27"/>
    <x v="2"/>
    <s v="VALIDATED"/>
    <n v="1"/>
    <s v="01.11.80.208.6100.0000"/>
    <n v="91.34999999999999"/>
    <s v="11"/>
    <s v="6100"/>
    <n v="6000.01"/>
    <n v="91.34999999999999"/>
    <s v="CREDITOR"/>
    <n v="0"/>
    <n v="0"/>
    <n v="0"/>
    <n v="0"/>
    <n v="91.34999999999999"/>
  </r>
  <r>
    <n v="61236865"/>
    <s v="N"/>
    <n v="21350033"/>
    <s v="3000015404840001"/>
    <s v="CIVIL"/>
    <d v="2023-06-29T00:00:00"/>
    <d v="2023-07-10T19:01:40"/>
    <m/>
    <d v="2023-07-10T00:00:00"/>
    <n v="1834"/>
    <n v="1281"/>
    <s v="61236865"/>
    <s v="61236865"/>
    <m/>
    <m/>
    <n v="22791934"/>
    <m/>
    <m/>
    <m/>
    <s v="SOLFIN"/>
    <s v="SOLFIN"/>
    <s v="CCMS"/>
    <n v="21350033"/>
    <n v="6608.09"/>
    <m/>
    <s v="N"/>
    <n v="68"/>
    <d v="2023-07-10T19:02:10"/>
    <s v="Y"/>
    <s v="Preparation - other"/>
    <s v="Non Family Hourly Rates"/>
    <s v="Profit Cost"/>
    <s v="Hemantha Warnapala"/>
    <s v="Y"/>
    <n v="91.34999999999999"/>
    <n v="18.27"/>
    <x v="2"/>
    <s v="VALIDATED"/>
    <n v="1"/>
    <s v="01.11.80.208.6100.0000"/>
    <n v="91.34999999999999"/>
    <s v="11"/>
    <s v="6100"/>
    <n v="6000.01"/>
    <n v="91.34999999999999"/>
    <s v="CREDITOR"/>
    <n v="0"/>
    <n v="0"/>
    <n v="0"/>
    <n v="0"/>
    <n v="91.34999999999999"/>
  </r>
  <r>
    <n v="61236865"/>
    <s v="N"/>
    <n v="21350033"/>
    <s v="3000015404840001"/>
    <s v="CIVIL"/>
    <d v="2023-06-29T00:00:00"/>
    <d v="2023-07-10T19:01:40"/>
    <m/>
    <d v="2023-07-10T00:00:00"/>
    <n v="1834"/>
    <n v="1281"/>
    <s v="61236865"/>
    <s v="61236865"/>
    <m/>
    <m/>
    <n v="22791934"/>
    <m/>
    <m/>
    <m/>
    <s v="SOLFIN"/>
    <s v="SOLFIN"/>
    <s v="CCMS"/>
    <n v="21350033"/>
    <n v="6608.09"/>
    <m/>
    <s v="N"/>
    <n v="76"/>
    <d v="2023-07-10T19:02:10"/>
    <s v="Y"/>
    <s v="Attendance upon client"/>
    <s v="Non Family Hourly Rates"/>
    <s v="Profit Cost"/>
    <s v="Hemantha Warnapala"/>
    <s v="Y"/>
    <n v="182.7"/>
    <n v="36.54"/>
    <x v="2"/>
    <s v="VALIDATED"/>
    <n v="1"/>
    <s v="01.11.80.208.6100.0000"/>
    <n v="182.7"/>
    <s v="11"/>
    <s v="6100"/>
    <n v="6000.01"/>
    <n v="182.7"/>
    <s v="CREDITOR"/>
    <n v="0"/>
    <n v="0"/>
    <n v="0"/>
    <n v="0"/>
    <n v="182.7"/>
  </r>
  <r>
    <n v="61236865"/>
    <s v="N"/>
    <n v="21350033"/>
    <s v="3000015404840001"/>
    <s v="CIVIL"/>
    <d v="2023-06-29T00:00:00"/>
    <d v="2023-07-10T19:01:40"/>
    <m/>
    <d v="2023-07-10T00:00:00"/>
    <n v="1834"/>
    <n v="1281"/>
    <s v="61236865"/>
    <s v="61236865"/>
    <m/>
    <m/>
    <n v="22791934"/>
    <m/>
    <m/>
    <m/>
    <s v="SOLFIN"/>
    <s v="SOLFIN"/>
    <s v="CCMS"/>
    <n v="21350033"/>
    <n v="6608.09"/>
    <m/>
    <s v="N"/>
    <n v="27"/>
    <d v="2023-07-10T19:02:10"/>
    <s v="Y"/>
    <s v="Preparation - other"/>
    <s v="Non Family Hourly Rates"/>
    <s v="Profit Cost"/>
    <s v="Hemantha Warnapala"/>
    <s v="Y"/>
    <n v="137.03"/>
    <n v="27.41"/>
    <x v="2"/>
    <s v="VALIDATED"/>
    <n v="1"/>
    <s v="01.11.80.208.6100.0000"/>
    <n v="137.03"/>
    <s v="11"/>
    <s v="6100"/>
    <n v="6000.01"/>
    <n v="137.03"/>
    <s v="CREDITOR"/>
    <n v="0"/>
    <n v="0"/>
    <n v="0"/>
    <n v="0"/>
    <n v="137.03"/>
  </r>
  <r>
    <n v="61236865"/>
    <s v="N"/>
    <n v="21350033"/>
    <s v="3000015404840001"/>
    <s v="CIVIL"/>
    <d v="2023-06-29T00:00:00"/>
    <d v="2023-07-10T19:01:40"/>
    <m/>
    <d v="2023-07-10T00:00:00"/>
    <n v="1834"/>
    <n v="1281"/>
    <s v="61236865"/>
    <s v="61236865"/>
    <m/>
    <m/>
    <n v="22791934"/>
    <m/>
    <m/>
    <m/>
    <s v="SOLFIN"/>
    <s v="SOLFIN"/>
    <s v="CCMS"/>
    <n v="21350033"/>
    <n v="6608.09"/>
    <m/>
    <s v="N"/>
    <n v="8"/>
    <d v="2023-07-10T19:02:10"/>
    <s v="Y"/>
    <s v="Travel to court"/>
    <s v="Non Family Hourly Rates"/>
    <s v="Profit Cost"/>
    <s v="Hemantha Warnapala"/>
    <s v="Y"/>
    <n v="52.56"/>
    <n v="10.51"/>
    <x v="2"/>
    <s v="VALIDATED"/>
    <n v="1"/>
    <s v="01.11.80.208.6100.0000"/>
    <n v="52.56"/>
    <s v="11"/>
    <s v="6100"/>
    <n v="6000.01"/>
    <n v="52.56"/>
    <s v="CREDITOR"/>
    <n v="0"/>
    <n v="0"/>
    <n v="0"/>
    <n v="0"/>
    <n v="52.56"/>
  </r>
  <r>
    <n v="61236865"/>
    <s v="N"/>
    <n v="21350033"/>
    <s v="3000015404840001"/>
    <s v="CIVIL"/>
    <d v="2023-06-29T00:00:00"/>
    <d v="2023-07-10T19:01:40"/>
    <m/>
    <d v="2023-07-10T00:00:00"/>
    <n v="1834"/>
    <n v="1281"/>
    <s v="61236865"/>
    <s v="61236865"/>
    <m/>
    <m/>
    <n v="22791934"/>
    <m/>
    <m/>
    <m/>
    <s v="SOLFIN"/>
    <s v="SOLFIN"/>
    <s v="CCMS"/>
    <n v="21350033"/>
    <n v="6608.09"/>
    <m/>
    <s v="N"/>
    <n v="49"/>
    <d v="2023-07-10T19:02:10"/>
    <s v="Y"/>
    <s v="Preparation - other"/>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53"/>
    <d v="2023-07-10T19:02:10"/>
    <s v="Y"/>
    <s v="Preparation - other"/>
    <s v="Non Family Hourly Rates"/>
    <s v="Profit Cost"/>
    <s v="Hemantha Warnapala"/>
    <s v="Y"/>
    <n v="27.41"/>
    <n v="5.48"/>
    <x v="2"/>
    <s v="VALIDATED"/>
    <n v="1"/>
    <s v="01.11.80.208.6100.0000"/>
    <n v="27.41"/>
    <s v="11"/>
    <s v="6100"/>
    <n v="6000.01"/>
    <n v="27.41"/>
    <s v="CREDITOR"/>
    <n v="0"/>
    <n v="0"/>
    <n v="0"/>
    <n v="0"/>
    <n v="27.41"/>
  </r>
  <r>
    <n v="61236865"/>
    <s v="N"/>
    <n v="21350033"/>
    <s v="3000015404840001"/>
    <s v="CIVIL"/>
    <d v="2023-06-29T00:00:00"/>
    <d v="2023-07-10T19:01:40"/>
    <m/>
    <d v="2023-07-10T00:00:00"/>
    <n v="1834"/>
    <n v="1281"/>
    <s v="61236865"/>
    <s v="61236865"/>
    <m/>
    <m/>
    <n v="22791934"/>
    <m/>
    <m/>
    <m/>
    <s v="SOLFIN"/>
    <s v="SOLFIN"/>
    <s v="CCMS"/>
    <n v="21350033"/>
    <n v="6608.09"/>
    <m/>
    <s v="N"/>
    <n v="71"/>
    <d v="2023-07-10T19:02:10"/>
    <s v="Y"/>
    <s v="Preparation - other"/>
    <s v="Non Family Hourly Rates"/>
    <s v="Profit Cost"/>
    <s v="Hemantha Warnapala"/>
    <s v="Y"/>
    <n v="63.95"/>
    <n v="12.79"/>
    <x v="2"/>
    <s v="VALIDATED"/>
    <n v="1"/>
    <s v="01.11.80.208.6100.0000"/>
    <n v="63.95"/>
    <s v="11"/>
    <s v="6100"/>
    <n v="6000.01"/>
    <n v="63.95"/>
    <s v="CREDITOR"/>
    <n v="0"/>
    <n v="0"/>
    <n v="0"/>
    <n v="0"/>
    <n v="63.95"/>
  </r>
  <r>
    <n v="10051315"/>
    <s v="N"/>
    <n v="21339593"/>
    <s v="3000005941710007"/>
    <s v="CIVIL"/>
    <d v="2023-06-27T00:00:00"/>
    <d v="2023-07-06T19:23:40"/>
    <m/>
    <d v="2023-07-06T00:00:00"/>
    <n v="1844"/>
    <n v="1359"/>
    <s v="10051315"/>
    <s v="10051315"/>
    <m/>
    <m/>
    <n v="22766318"/>
    <m/>
    <m/>
    <m/>
    <s v="SOLFIN"/>
    <s v="SOLFIN"/>
    <s v="CCMS"/>
    <n v="21339593"/>
    <n v="14279.3"/>
    <m/>
    <s v="N"/>
    <n v="28"/>
    <d v="2023-07-06T19:23:45"/>
    <s v="Y"/>
    <s v="Preparation - other"/>
    <s v="Non Family Hourly Rates"/>
    <s v="Profit Cost"/>
    <s v="BJD"/>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57"/>
    <d v="2023-07-06T19:23:45"/>
    <s v="Y"/>
    <s v="Attendance upon client"/>
    <s v="Non Family Hourly Rates"/>
    <s v="Profit Cost"/>
    <s v="KM"/>
    <s v="Y"/>
    <n v="81"/>
    <n v="16.2"/>
    <x v="4"/>
    <s v="VALIDATED"/>
    <n v="1"/>
    <s v="01.11.80.203.6100.0000"/>
    <n v="81"/>
    <s v="11"/>
    <s v="6100"/>
    <n v="9312.959999999999"/>
    <n v="81"/>
    <s v="CREDITOR"/>
    <n v="0"/>
    <n v="0"/>
    <n v="0"/>
    <n v="0"/>
    <n v="81"/>
  </r>
  <r>
    <n v="10051315"/>
    <s v="N"/>
    <n v="21339593"/>
    <s v="3000005941710007"/>
    <s v="CIVIL"/>
    <d v="2023-06-27T00:00:00"/>
    <d v="2023-07-06T19:23:40"/>
    <m/>
    <d v="2023-07-06T00:00:00"/>
    <n v="1844"/>
    <n v="1359"/>
    <s v="10051315"/>
    <s v="10051315"/>
    <m/>
    <m/>
    <n v="22766318"/>
    <m/>
    <m/>
    <m/>
    <s v="SOLFIN"/>
    <s v="SOLFIN"/>
    <s v="CCMS"/>
    <n v="21339593"/>
    <n v="14279.3"/>
    <m/>
    <s v="N"/>
    <n v="38"/>
    <d v="2023-07-06T19:23:45"/>
    <s v="Y"/>
    <s v="Preparation - other"/>
    <s v="Non Family Hourly Rates"/>
    <s v="Profit Cost"/>
    <s v="KM"/>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71"/>
    <d v="2023-07-06T19:23:45"/>
    <s v="Y"/>
    <s v="Attendance upon client"/>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18"/>
    <d v="2023-07-06T19:23:45"/>
    <s v="Y"/>
    <s v="Preparation - other"/>
    <s v="Non Family Hourly Rates"/>
    <s v="Profit Cost"/>
    <s v="SN"/>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87"/>
    <d v="2023-07-06T19:23:45"/>
    <s v="Y"/>
    <s v="Preparation - other"/>
    <s v="Non Family Hourly Rates"/>
    <s v="Profit Cost"/>
    <s v="BJD"/>
    <s v="Y"/>
    <n v="162"/>
    <n v="32.4"/>
    <x v="4"/>
    <s v="VALIDATED"/>
    <n v="1"/>
    <s v="01.11.80.203.6100.0000"/>
    <n v="162"/>
    <s v="11"/>
    <s v="6100"/>
    <n v="9312.959999999999"/>
    <n v="162"/>
    <s v="CREDITOR"/>
    <n v="0"/>
    <n v="0"/>
    <n v="0"/>
    <n v="0"/>
    <n v="162"/>
  </r>
  <r>
    <n v="10051315"/>
    <s v="N"/>
    <n v="21339593"/>
    <s v="3000005941710007"/>
    <s v="CIVIL"/>
    <d v="2023-06-27T00:00:00"/>
    <d v="2023-07-06T19:23:40"/>
    <m/>
    <d v="2023-07-06T00:00:00"/>
    <n v="1844"/>
    <n v="1359"/>
    <s v="10051315"/>
    <s v="10051315"/>
    <m/>
    <m/>
    <n v="22766318"/>
    <m/>
    <m/>
    <m/>
    <s v="SOLFIN"/>
    <s v="SOLFIN"/>
    <s v="CCMS"/>
    <n v="21339593"/>
    <n v="14279.3"/>
    <m/>
    <s v="N"/>
    <n v="101"/>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59"/>
    <d v="2023-07-06T19:23:45"/>
    <s v="Y"/>
    <s v="Preparation - drafting instructions"/>
    <s v="Non Family Hourly Rates"/>
    <s v="Profit Cost"/>
    <s v="KM"/>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26"/>
    <d v="2023-07-06T19:23:45"/>
    <s v="Y"/>
    <s v="Preparation - drafting instructions"/>
    <s v="Non Family Hourly Rates"/>
    <s v="Profit Cost"/>
    <s v="SN"/>
    <s v="Y"/>
    <n v="202.5"/>
    <n v="40.5"/>
    <x v="4"/>
    <s v="VALIDATED"/>
    <n v="1"/>
    <s v="01.11.80.203.6100.0000"/>
    <n v="202.5"/>
    <s v="11"/>
    <s v="6100"/>
    <n v="9312.959999999999"/>
    <n v="202.5"/>
    <s v="CREDITOR"/>
    <n v="0"/>
    <n v="0"/>
    <n v="0"/>
    <n v="0"/>
    <n v="202.5"/>
  </r>
  <r>
    <n v="10051315"/>
    <s v="N"/>
    <n v="21339593"/>
    <s v="3000005941710007"/>
    <s v="CIVIL"/>
    <d v="2023-06-27T00:00:00"/>
    <d v="2023-07-06T19:23:40"/>
    <m/>
    <d v="2023-07-06T00:00:00"/>
    <n v="1844"/>
    <n v="1359"/>
    <s v="10051315"/>
    <s v="10051315"/>
    <m/>
    <m/>
    <n v="22766318"/>
    <m/>
    <m/>
    <m/>
    <s v="SOLFIN"/>
    <s v="SOLFIN"/>
    <s v="CCMS"/>
    <n v="21339593"/>
    <n v="14279.3"/>
    <m/>
    <s v="N"/>
    <n v="34"/>
    <d v="2023-07-06T19:23:45"/>
    <s v="Y"/>
    <s v="Preparation - other"/>
    <s v="Non Family Hourly Rates"/>
    <s v="Profit Cost"/>
    <s v="BJD"/>
    <s v="Y"/>
    <n v="81"/>
    <n v="16.2"/>
    <x v="4"/>
    <s v="VALIDATED"/>
    <n v="1"/>
    <s v="01.11.80.203.6100.0000"/>
    <n v="81"/>
    <s v="11"/>
    <s v="6100"/>
    <n v="9312.959999999999"/>
    <n v="81"/>
    <s v="CREDITOR"/>
    <n v="0"/>
    <n v="0"/>
    <n v="0"/>
    <n v="0"/>
    <n v="81"/>
  </r>
  <r>
    <n v="10051315"/>
    <s v="N"/>
    <n v="21339593"/>
    <s v="3000005941710007"/>
    <s v="CIVIL"/>
    <d v="2023-06-27T00:00:00"/>
    <d v="2023-07-06T19:23:40"/>
    <m/>
    <d v="2023-07-06T00:00:00"/>
    <n v="1844"/>
    <n v="1359"/>
    <s v="10051315"/>
    <s v="10051315"/>
    <m/>
    <m/>
    <n v="22766318"/>
    <m/>
    <m/>
    <m/>
    <s v="SOLFIN"/>
    <s v="SOLFIN"/>
    <s v="CCMS"/>
    <n v="21339593"/>
    <n v="14279.3"/>
    <m/>
    <s v="N"/>
    <n v="100"/>
    <d v="2023-07-06T19:23:45"/>
    <s v="Y"/>
    <s v="Preparation - other"/>
    <s v="Non Family Hourly Rates"/>
    <s v="Profit Cost"/>
    <s v="BJD"/>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4"/>
    <d v="2023-07-06T19:23:45"/>
    <s v="Y"/>
    <s v="Preparation - drafting application"/>
    <s v="Non Family Hourly Rates"/>
    <s v="Profit Cost"/>
    <s v="SN"/>
    <s v="Y"/>
    <n v="445.5"/>
    <n v="89.09999999999999"/>
    <x v="4"/>
    <s v="VALIDATED"/>
    <n v="1"/>
    <s v="01.11.80.203.6100.0000"/>
    <n v="445.5"/>
    <s v="11"/>
    <s v="6100"/>
    <n v="9312.959999999999"/>
    <n v="445.5"/>
    <s v="CREDITOR"/>
    <n v="0"/>
    <n v="0"/>
    <n v="0"/>
    <n v="0"/>
    <n v="445.5"/>
  </r>
  <r>
    <n v="10051315"/>
    <s v="N"/>
    <n v="21339593"/>
    <s v="3000005941710007"/>
    <s v="CIVIL"/>
    <d v="2023-06-27T00:00:00"/>
    <d v="2023-07-06T19:23:40"/>
    <m/>
    <d v="2023-07-06T00:00:00"/>
    <n v="1844"/>
    <n v="1359"/>
    <s v="10051315"/>
    <s v="10051315"/>
    <m/>
    <m/>
    <n v="22766318"/>
    <m/>
    <m/>
    <m/>
    <s v="SOLFIN"/>
    <s v="SOLFIN"/>
    <s v="CCMS"/>
    <n v="21339593"/>
    <n v="14279.3"/>
    <m/>
    <s v="N"/>
    <n v="36"/>
    <d v="2023-07-06T19:23:45"/>
    <s v="Y"/>
    <s v="Preparation - other"/>
    <s v="Non Family Hourly Rates"/>
    <s v="Profit Cost"/>
    <s v="KM"/>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29"/>
    <d v="2023-07-06T19:23:45"/>
    <s v="Y"/>
    <s v="Preparation - other"/>
    <s v="Non Family Hourly Rates"/>
    <s v="Profit Cost"/>
    <s v="BJD"/>
    <s v="Y"/>
    <n v="67.5"/>
    <n v="13.5"/>
    <x v="4"/>
    <s v="VALIDATED"/>
    <n v="1"/>
    <s v="01.11.80.203.6100.0000"/>
    <n v="67.5"/>
    <s v="11"/>
    <s v="6100"/>
    <n v="9312.959999999999"/>
    <n v="67.5"/>
    <s v="CREDITOR"/>
    <n v="0"/>
    <n v="0"/>
    <n v="0"/>
    <n v="0"/>
    <n v="67.5"/>
  </r>
  <r>
    <n v="10051315"/>
    <s v="N"/>
    <n v="21339593"/>
    <s v="3000005941710007"/>
    <s v="CIVIL"/>
    <d v="2023-06-27T00:00:00"/>
    <d v="2023-07-06T19:23:40"/>
    <m/>
    <d v="2023-07-06T00:00:00"/>
    <n v="1844"/>
    <n v="1359"/>
    <s v="10051315"/>
    <s v="10051315"/>
    <m/>
    <m/>
    <n v="22766318"/>
    <m/>
    <m/>
    <m/>
    <s v="SOLFIN"/>
    <s v="SOLFIN"/>
    <s v="CCMS"/>
    <n v="21339593"/>
    <n v="14279.3"/>
    <m/>
    <s v="N"/>
    <n v="95"/>
    <d v="2023-07-06T19:23:45"/>
    <s v="Y"/>
    <s v="Attendance upon other"/>
    <s v="Non Family Hourly Rates"/>
    <s v="Profit Cost"/>
    <s v="BJD"/>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15"/>
    <d v="2023-07-06T19:23:45"/>
    <s v="Y"/>
    <s v="Preparation - other"/>
    <s v="Non Family Hourly Rates"/>
    <s v="Profit Cost"/>
    <s v="SN"/>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47"/>
    <d v="2023-07-06T19:23:45"/>
    <s v="Y"/>
    <s v="Preparation - other"/>
    <s v="Non Family Hourly Rates"/>
    <s v="Profit Cost"/>
    <s v="BJD"/>
    <s v="Y"/>
    <n v="108"/>
    <n v="21.6"/>
    <x v="4"/>
    <s v="VALIDATED"/>
    <n v="1"/>
    <s v="01.11.80.203.6100.0000"/>
    <n v="108"/>
    <s v="11"/>
    <s v="6100"/>
    <n v="9312.959999999999"/>
    <n v="108"/>
    <s v="CREDITOR"/>
    <n v="0"/>
    <n v="0"/>
    <n v="0"/>
    <n v="0"/>
    <n v="108"/>
  </r>
  <r>
    <n v="10051315"/>
    <s v="N"/>
    <n v="21339593"/>
    <s v="3000005941710007"/>
    <s v="CIVIL"/>
    <d v="2023-06-27T00:00:00"/>
    <d v="2023-07-06T19:23:40"/>
    <m/>
    <d v="2023-07-06T00:00:00"/>
    <n v="1844"/>
    <n v="1359"/>
    <s v="10051315"/>
    <s v="10051315"/>
    <m/>
    <m/>
    <n v="22766318"/>
    <m/>
    <m/>
    <m/>
    <s v="SOLFIN"/>
    <s v="SOLFIN"/>
    <s v="CCMS"/>
    <n v="21339593"/>
    <n v="14279.3"/>
    <m/>
    <s v="N"/>
    <n v="88"/>
    <d v="2023-07-06T19:23:45"/>
    <s v="Y"/>
    <s v="Preparation - other"/>
    <s v="Non Family Hourly Rates"/>
    <s v="Profit Cost"/>
    <s v="BJD"/>
    <s v="Y"/>
    <n v="324"/>
    <n v="64.8"/>
    <x v="4"/>
    <s v="VALIDATED"/>
    <n v="1"/>
    <s v="01.11.80.203.6100.0000"/>
    <n v="324"/>
    <s v="11"/>
    <s v="6100"/>
    <n v="9312.959999999999"/>
    <n v="324"/>
    <s v="CREDITOR"/>
    <n v="0"/>
    <n v="0"/>
    <n v="0"/>
    <n v="0"/>
    <n v="324"/>
  </r>
  <r>
    <n v="10051315"/>
    <s v="N"/>
    <n v="21339593"/>
    <s v="3000005941710007"/>
    <s v="CIVIL"/>
    <d v="2023-06-27T00:00:00"/>
    <d v="2023-07-06T19:23:40"/>
    <m/>
    <d v="2023-07-06T00:00:00"/>
    <n v="1844"/>
    <n v="1359"/>
    <s v="10051315"/>
    <s v="10051315"/>
    <m/>
    <m/>
    <n v="22766318"/>
    <m/>
    <m/>
    <m/>
    <s v="SOLFIN"/>
    <s v="SOLFIN"/>
    <s v="CCMS"/>
    <n v="21339593"/>
    <n v="14279.3"/>
    <m/>
    <s v="N"/>
    <n v="10"/>
    <d v="2023-07-06T19:23:45"/>
    <s v="Y"/>
    <s v="Preparation - other"/>
    <s v="Non Family Hourly Rates"/>
    <s v="Profit Cost"/>
    <s v="SN"/>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56"/>
    <d v="2023-07-06T19:23:45"/>
    <s v="Y"/>
    <s v="Preparation - other"/>
    <s v="Non Family Hourly Rates"/>
    <s v="Profit Cost"/>
    <s v="BJD"/>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22"/>
    <d v="2023-07-06T19:23:45"/>
    <s v="Y"/>
    <s v="Preparation - other"/>
    <s v="Non Family Hourly Rates"/>
    <s v="Profit Cost"/>
    <s v="SN"/>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16"/>
    <d v="2023-07-06T19:23:45"/>
    <s v="Y"/>
    <s v="Preparation - other"/>
    <s v="Non Family Hourly Rates"/>
    <s v="Profit Cost"/>
    <s v="SN"/>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86"/>
    <d v="2023-07-06T19:23:45"/>
    <s v="Y"/>
    <s v="Preparation - other"/>
    <s v="Non Family Hourly Rates"/>
    <s v="Profit Cost"/>
    <s v="RR"/>
    <s v="Y"/>
    <n v="67.5"/>
    <n v="13.5"/>
    <x v="4"/>
    <s v="VALIDATED"/>
    <n v="1"/>
    <s v="01.11.80.203.6100.0000"/>
    <n v="67.5"/>
    <s v="11"/>
    <s v="6100"/>
    <n v="9312.959999999999"/>
    <n v="67.5"/>
    <s v="CREDITOR"/>
    <n v="0"/>
    <n v="0"/>
    <n v="0"/>
    <n v="0"/>
    <n v="67.5"/>
  </r>
  <r>
    <n v="10051315"/>
    <s v="N"/>
    <n v="21339593"/>
    <s v="3000005941710007"/>
    <s v="CIVIL"/>
    <d v="2023-06-27T00:00:00"/>
    <d v="2023-07-06T19:23:40"/>
    <m/>
    <d v="2023-07-06T00:00:00"/>
    <n v="1844"/>
    <n v="1359"/>
    <s v="10051315"/>
    <s v="10051315"/>
    <m/>
    <m/>
    <n v="22766318"/>
    <m/>
    <m/>
    <m/>
    <s v="SOLFIN"/>
    <s v="SOLFIN"/>
    <s v="CCMS"/>
    <n v="21339593"/>
    <n v="14279.3"/>
    <m/>
    <s v="N"/>
    <n v="32"/>
    <d v="2023-07-06T19:23:45"/>
    <s v="Y"/>
    <s v="Preparation - other"/>
    <s v="Non Family Hourly Rates"/>
    <s v="Profit Cost"/>
    <s v="KM"/>
    <s v="Y"/>
    <n v="270"/>
    <n v="54"/>
    <x v="4"/>
    <s v="VALIDATED"/>
    <n v="1"/>
    <s v="01.11.80.203.6100.0000"/>
    <n v="270"/>
    <s v="11"/>
    <s v="6100"/>
    <n v="9312.959999999999"/>
    <n v="270"/>
    <s v="CREDITOR"/>
    <n v="0"/>
    <n v="0"/>
    <n v="0"/>
    <n v="0"/>
    <n v="270"/>
  </r>
  <r>
    <n v="10051315"/>
    <s v="N"/>
    <n v="21339593"/>
    <s v="3000005941710007"/>
    <s v="CIVIL"/>
    <d v="2023-06-27T00:00:00"/>
    <d v="2023-07-06T19:23:40"/>
    <m/>
    <d v="2023-07-06T00:00:00"/>
    <n v="1844"/>
    <n v="1359"/>
    <s v="10051315"/>
    <s v="10051315"/>
    <m/>
    <m/>
    <n v="22766318"/>
    <m/>
    <m/>
    <m/>
    <s v="SOLFIN"/>
    <s v="SOLFIN"/>
    <s v="CCMS"/>
    <n v="21339593"/>
    <n v="14279.3"/>
    <m/>
    <s v="N"/>
    <n v="80"/>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85"/>
    <d v="2023-07-06T19:23:45"/>
    <s v="Y"/>
    <s v="Preparation - other"/>
    <s v="Non Family Hourly Rates"/>
    <s v="Profit Cost"/>
    <s v="RR"/>
    <s v="Y"/>
    <n v="67.5"/>
    <n v="13.5"/>
    <x v="4"/>
    <s v="VALIDATED"/>
    <n v="1"/>
    <s v="01.11.80.203.6100.0000"/>
    <n v="67.5"/>
    <s v="11"/>
    <s v="6100"/>
    <n v="9312.959999999999"/>
    <n v="67.5"/>
    <s v="CREDITOR"/>
    <n v="0"/>
    <n v="0"/>
    <n v="0"/>
    <n v="0"/>
    <n v="67.5"/>
  </r>
  <r>
    <n v="10051315"/>
    <s v="N"/>
    <n v="21339593"/>
    <s v="3000005941710007"/>
    <s v="CIVIL"/>
    <d v="2023-06-27T00:00:00"/>
    <d v="2023-07-06T19:23:40"/>
    <m/>
    <d v="2023-07-06T00:00:00"/>
    <n v="1844"/>
    <n v="1359"/>
    <s v="10051315"/>
    <s v="10051315"/>
    <m/>
    <m/>
    <n v="22766318"/>
    <m/>
    <m/>
    <m/>
    <s v="SOLFIN"/>
    <s v="SOLFIN"/>
    <s v="CCMS"/>
    <n v="21339593"/>
    <n v="14279.3"/>
    <m/>
    <s v="N"/>
    <n v="89"/>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53"/>
    <d v="2023-07-06T19:23:45"/>
    <s v="Y"/>
    <s v="Attendance upon client"/>
    <s v="Non Family Hourly Rates"/>
    <s v="Profit Cost"/>
    <s v="BJD"/>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62"/>
    <d v="2023-07-06T19:23:45"/>
    <s v="Y"/>
    <s v="Travel to court"/>
    <s v="Non Family Hourly Rates"/>
    <s v="Profit Cost"/>
    <s v="KM"/>
    <s v="Y"/>
    <n v="119.72"/>
    <n v="23.94"/>
    <x v="4"/>
    <s v="VALIDATED"/>
    <n v="1"/>
    <s v="01.11.80.203.6100.0000"/>
    <n v="119.72"/>
    <s v="11"/>
    <s v="6100"/>
    <n v="9312.959999999999"/>
    <n v="119.72"/>
    <s v="CREDITOR"/>
    <n v="0"/>
    <n v="0"/>
    <n v="0"/>
    <n v="0"/>
    <n v="119.72"/>
  </r>
  <r>
    <n v="10051315"/>
    <s v="N"/>
    <n v="21339593"/>
    <s v="3000005941710007"/>
    <s v="CIVIL"/>
    <d v="2023-06-27T00:00:00"/>
    <d v="2023-07-06T19:23:40"/>
    <m/>
    <d v="2023-07-06T00:00:00"/>
    <n v="1844"/>
    <n v="1359"/>
    <s v="10051315"/>
    <s v="10051315"/>
    <m/>
    <m/>
    <n v="22766318"/>
    <m/>
    <m/>
    <m/>
    <s v="SOLFIN"/>
    <s v="SOLFIN"/>
    <s v="CCMS"/>
    <n v="21339593"/>
    <n v="14279.3"/>
    <m/>
    <s v="N"/>
    <n v="74"/>
    <d v="2023-07-06T19:23:45"/>
    <s v="Y"/>
    <s v="Attendance upon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17"/>
    <d v="2023-07-06T19:23:45"/>
    <s v="Y"/>
    <s v="Preparation - other"/>
    <s v="Non Family Hourly Rates"/>
    <s v="Profit Cost"/>
    <s v="SN"/>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42"/>
    <d v="2023-07-06T19:23:45"/>
    <s v="Y"/>
    <s v="Preparation - other"/>
    <s v="Non Family Hourly Rates"/>
    <s v="Profit Cost"/>
    <s v="KM"/>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48"/>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6"/>
    <d v="2023-07-06T19:23:45"/>
    <s v="Y"/>
    <s v="Preparation - drafting statement"/>
    <s v="Non Family Hourly Rates"/>
    <s v="Profit Cost"/>
    <s v="RB"/>
    <s v="Y"/>
    <n v="108"/>
    <n v="21.6"/>
    <x v="4"/>
    <s v="VALIDATED"/>
    <n v="1"/>
    <s v="01.11.80.203.6100.0000"/>
    <n v="108"/>
    <s v="11"/>
    <s v="6100"/>
    <n v="9312.959999999999"/>
    <n v="108"/>
    <s v="CREDITOR"/>
    <n v="0"/>
    <n v="0"/>
    <n v="0"/>
    <n v="0"/>
    <n v="108"/>
  </r>
  <r>
    <n v="10051315"/>
    <s v="N"/>
    <n v="21339593"/>
    <s v="3000005941710007"/>
    <s v="CIVIL"/>
    <d v="2023-06-27T00:00:00"/>
    <d v="2023-07-06T19:23:40"/>
    <m/>
    <d v="2023-07-06T00:00:00"/>
    <n v="1844"/>
    <n v="1359"/>
    <s v="10051315"/>
    <s v="10051315"/>
    <m/>
    <m/>
    <n v="22766318"/>
    <m/>
    <m/>
    <m/>
    <s v="SOLFIN"/>
    <s v="SOLFIN"/>
    <s v="CCMS"/>
    <n v="21339593"/>
    <n v="14279.3"/>
    <m/>
    <s v="N"/>
    <n v="46"/>
    <d v="2023-07-06T19:23:45"/>
    <s v="Y"/>
    <s v="Attendance upon client"/>
    <s v="Non Family Hourly Rates"/>
    <s v="Profit Cost"/>
    <s v="BJD"/>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65"/>
    <d v="2023-07-06T19:23:45"/>
    <s v="Y"/>
    <s v="Waiting at court"/>
    <s v="Non Family Hourly Rates"/>
    <s v="Profit Cost"/>
    <s v="KM"/>
    <s v="Y"/>
    <n v="23.94"/>
    <n v="4.79"/>
    <x v="4"/>
    <s v="VALIDATED"/>
    <n v="1"/>
    <s v="01.11.80.203.6100.0000"/>
    <n v="23.94"/>
    <s v="11"/>
    <s v="6100"/>
    <n v="9312.959999999999"/>
    <n v="23.94"/>
    <s v="CREDITOR"/>
    <n v="0"/>
    <n v="0"/>
    <n v="0"/>
    <n v="0"/>
    <n v="23.94"/>
  </r>
  <r>
    <n v="10051315"/>
    <s v="N"/>
    <n v="21339593"/>
    <s v="3000005941710007"/>
    <s v="CIVIL"/>
    <d v="2023-06-27T00:00:00"/>
    <d v="2023-07-06T19:23:40"/>
    <m/>
    <d v="2023-07-06T00:00:00"/>
    <n v="1844"/>
    <n v="1359"/>
    <s v="10051315"/>
    <s v="10051315"/>
    <m/>
    <m/>
    <n v="22766318"/>
    <m/>
    <m/>
    <m/>
    <s v="SOLFIN"/>
    <s v="SOLFIN"/>
    <s v="CCMS"/>
    <n v="21339593"/>
    <n v="14279.3"/>
    <m/>
    <s v="N"/>
    <n v="68"/>
    <d v="2023-07-06T19:23:45"/>
    <s v="Y"/>
    <s v="Attendance upon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96"/>
    <d v="2023-07-06T19:23:45"/>
    <s v="Y"/>
    <s v="Attendance upon/with Counsel at Con"/>
    <s v="Non Family Hourly Rates"/>
    <s v="Profit Cost"/>
    <s v="BJD"/>
    <s v="Y"/>
    <n v="53.28"/>
    <n v="10.66"/>
    <x v="4"/>
    <s v="VALIDATED"/>
    <n v="1"/>
    <s v="01.11.80.203.6100.0000"/>
    <n v="53.28"/>
    <s v="11"/>
    <s v="6100"/>
    <n v="9312.959999999999"/>
    <n v="53.28"/>
    <s v="CREDITOR"/>
    <n v="0"/>
    <n v="0"/>
    <n v="0"/>
    <n v="0"/>
    <n v="53.28"/>
  </r>
  <r>
    <n v="10051315"/>
    <s v="N"/>
    <n v="21339593"/>
    <s v="3000005941710007"/>
    <s v="CIVIL"/>
    <d v="2023-06-27T00:00:00"/>
    <d v="2023-07-06T19:23:40"/>
    <m/>
    <d v="2023-07-06T00:00:00"/>
    <n v="1844"/>
    <n v="1359"/>
    <s v="10051315"/>
    <s v="10051315"/>
    <m/>
    <m/>
    <n v="22766318"/>
    <m/>
    <m/>
    <m/>
    <s v="SOLFIN"/>
    <s v="SOLFIN"/>
    <s v="CCMS"/>
    <n v="21339593"/>
    <n v="14279.3"/>
    <m/>
    <s v="N"/>
    <n v="52"/>
    <d v="2023-07-06T19:23:45"/>
    <s v="Y"/>
    <s v="Preparation - other"/>
    <s v="Non Family Hourly Rates"/>
    <s v="Profit Cost"/>
    <s v="BJD"/>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92"/>
    <d v="2023-07-06T19:23:45"/>
    <s v="Y"/>
    <s v="Preparation - other"/>
    <s v="Non Family Hourly Rates"/>
    <s v="Profit Cost"/>
    <s v="BJD"/>
    <s v="Y"/>
    <n v="337.5"/>
    <n v="67.5"/>
    <x v="4"/>
    <s v="VALIDATED"/>
    <n v="1"/>
    <s v="01.11.80.203.6100.0000"/>
    <n v="337.5"/>
    <s v="11"/>
    <s v="6100"/>
    <n v="9312.959999999999"/>
    <n v="337.5"/>
    <s v="CREDITOR"/>
    <n v="0"/>
    <n v="0"/>
    <n v="0"/>
    <n v="0"/>
    <n v="337.5"/>
  </r>
  <r>
    <n v="10051315"/>
    <s v="N"/>
    <n v="21339593"/>
    <s v="3000005941710007"/>
    <s v="CIVIL"/>
    <d v="2023-06-27T00:00:00"/>
    <d v="2023-07-06T19:23:40"/>
    <m/>
    <d v="2023-07-06T00:00:00"/>
    <n v="1844"/>
    <n v="1359"/>
    <s v="10051315"/>
    <s v="10051315"/>
    <m/>
    <m/>
    <n v="22766318"/>
    <m/>
    <m/>
    <m/>
    <s v="SOLFIN"/>
    <s v="SOLFIN"/>
    <s v="CCMS"/>
    <n v="21339593"/>
    <n v="14279.3"/>
    <m/>
    <s v="N"/>
    <n v="19"/>
    <d v="2023-07-06T19:23:45"/>
    <s v="Y"/>
    <s v="Preparation - other"/>
    <s v="Non Family Hourly Rates"/>
    <s v="Profit Cost"/>
    <s v="SN"/>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99"/>
    <d v="2023-07-06T19:23:45"/>
    <s v="Y"/>
    <s v="Attendance upon other side"/>
    <s v="Non Family Hourly Rates"/>
    <s v="Profit Cost"/>
    <s v="BJD"/>
    <s v="Y"/>
    <n v="67.5"/>
    <n v="13.5"/>
    <x v="4"/>
    <s v="VALIDATED"/>
    <n v="1"/>
    <s v="01.11.80.203.6100.0000"/>
    <n v="67.5"/>
    <s v="11"/>
    <s v="6100"/>
    <n v="9312.959999999999"/>
    <n v="67.5"/>
    <s v="CREDITOR"/>
    <n v="0"/>
    <n v="0"/>
    <n v="0"/>
    <n v="0"/>
    <n v="67.5"/>
  </r>
  <r>
    <n v="10051315"/>
    <s v="N"/>
    <n v="21339593"/>
    <s v="3000005941710007"/>
    <s v="CIVIL"/>
    <d v="2023-06-27T00:00:00"/>
    <d v="2023-07-06T19:23:40"/>
    <m/>
    <d v="2023-07-06T00:00:00"/>
    <n v="1844"/>
    <n v="1359"/>
    <s v="10051315"/>
    <s v="10051315"/>
    <m/>
    <m/>
    <n v="22766318"/>
    <m/>
    <m/>
    <m/>
    <s v="SOLFIN"/>
    <s v="SOLFIN"/>
    <s v="CCMS"/>
    <n v="21339593"/>
    <n v="14279.3"/>
    <m/>
    <s v="N"/>
    <n v="41"/>
    <d v="2023-07-06T19:23:45"/>
    <s v="Y"/>
    <s v="Preparation - other"/>
    <s v="Non Family Hourly Rates"/>
    <s v="Profit Cost"/>
    <s v="BJD"/>
    <s v="Y"/>
    <n v="81"/>
    <n v="16.2"/>
    <x v="4"/>
    <s v="VALIDATED"/>
    <n v="1"/>
    <s v="01.11.80.203.6100.0000"/>
    <n v="81"/>
    <s v="11"/>
    <s v="6100"/>
    <n v="9312.959999999999"/>
    <n v="81"/>
    <s v="CREDITOR"/>
    <n v="0"/>
    <n v="0"/>
    <n v="0"/>
    <n v="0"/>
    <n v="81"/>
  </r>
  <r>
    <n v="10051315"/>
    <s v="N"/>
    <n v="21340126"/>
    <s v="3000005941710001RC"/>
    <s v="CIVIL"/>
    <d v="2023-06-27T00:00:00"/>
    <d v="2023-07-06T19:54:22"/>
    <m/>
    <d v="2023-07-06T00:00:00"/>
    <n v="1844"/>
    <n v="1359"/>
    <s v="10051315"/>
    <s v="10051315"/>
    <m/>
    <m/>
    <m/>
    <m/>
    <m/>
    <m/>
    <s v="SOLRECOUP"/>
    <s v="SOLRECOUP"/>
    <s v="POARECOUP"/>
    <n v="21340126"/>
    <n v="-4504.09"/>
    <m/>
    <s v="Y"/>
    <n v="1"/>
    <d v="2023-07-06T19:54:23"/>
    <s v="N"/>
    <m/>
    <m/>
    <s v="Profit Cost"/>
    <m/>
    <s v="N"/>
    <n v="-3753.41"/>
    <n v="0"/>
    <x v="4"/>
    <s v="VALIDATED"/>
    <n v="1"/>
    <s v="01.11.80.203.2013.0000"/>
    <n v="-3753.41"/>
    <s v="11"/>
    <s v="2013"/>
    <n v="9312.959999999999"/>
    <n v="-3753.41"/>
    <s v="CREDITOR"/>
    <n v="0"/>
    <n v="0"/>
    <n v="-3753.41"/>
    <n v="-938.3525"/>
    <n v="0"/>
  </r>
  <r>
    <n v="10051315"/>
    <s v="N"/>
    <n v="21340126"/>
    <s v="3000005941710001RC"/>
    <s v="CIVIL"/>
    <d v="2023-06-27T00:00:00"/>
    <d v="2023-07-06T19:54:22"/>
    <m/>
    <d v="2023-07-06T00:00:00"/>
    <n v="1844"/>
    <n v="1359"/>
    <s v="10051315"/>
    <s v="10051315"/>
    <m/>
    <m/>
    <m/>
    <m/>
    <m/>
    <m/>
    <s v="SOLRECOUP"/>
    <s v="SOLRECOUP"/>
    <s v="POARECOUP"/>
    <n v="21340126"/>
    <n v="-4504.09"/>
    <m/>
    <s v="Y"/>
    <n v="2"/>
    <d v="2023-07-06T19:54:23"/>
    <s v="N"/>
    <m/>
    <m/>
    <s v="Profit Cost"/>
    <m/>
    <s v="N"/>
    <n v="0"/>
    <n v="-750.6799999999999"/>
    <x v="4"/>
    <s v="VALIDATED"/>
    <n v="1"/>
    <s v="01.11.80.203.2013.0000"/>
    <n v="-750.6799999999999"/>
    <s v="11"/>
    <s v="2013"/>
    <n v="9312.959999999999"/>
    <n v="-750.6799999999999"/>
    <s v="CREDITOR"/>
    <n v="0"/>
    <n v="0"/>
    <n v="-750.6799999999999"/>
    <n v="-187.67"/>
    <n v="0"/>
  </r>
  <r>
    <n v="10051315"/>
    <s v="N"/>
    <n v="21339593"/>
    <s v="3000005941710007"/>
    <s v="CIVIL"/>
    <d v="2023-06-27T00:00:00"/>
    <d v="2023-07-06T19:23:40"/>
    <m/>
    <d v="2023-07-06T00:00:00"/>
    <n v="1844"/>
    <n v="1359"/>
    <s v="10051315"/>
    <s v="10051315"/>
    <m/>
    <m/>
    <n v="22766318"/>
    <m/>
    <m/>
    <m/>
    <s v="SOLFIN"/>
    <s v="SOLFIN"/>
    <s v="CCMS"/>
    <n v="21339593"/>
    <n v="14279.3"/>
    <m/>
    <s v="N"/>
    <n v="77"/>
    <d v="2023-07-06T19:23:45"/>
    <s v="Y"/>
    <s v="Preparation - drafting application"/>
    <s v="Non Family Hourly Rates"/>
    <s v="Profit Cost"/>
    <s v="BJD"/>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2"/>
    <d v="2023-07-06T19:23:45"/>
    <s v="N"/>
    <s v="Court Fee"/>
    <s v="Non Family Hourly Rates"/>
    <s v="Non Expert Disbursement"/>
    <s v="XXX"/>
    <s v="N"/>
    <n v="20.52"/>
    <n v="0"/>
    <x v="4"/>
    <s v="VALIDATED"/>
    <n v="1"/>
    <s v="01.11.80.203.6300.0000"/>
    <n v="20.52"/>
    <s v="11"/>
    <s v="6300"/>
    <n v="9312.959999999999"/>
    <n v="20.52"/>
    <s v="CREDITOR"/>
    <n v="0"/>
    <n v="0"/>
    <n v="0"/>
    <n v="0"/>
    <n v="20.52"/>
  </r>
  <r>
    <n v="10051315"/>
    <s v="N"/>
    <n v="21339593"/>
    <s v="3000005941710007"/>
    <s v="CIVIL"/>
    <d v="2023-06-27T00:00:00"/>
    <d v="2023-07-06T19:23:40"/>
    <m/>
    <d v="2023-07-06T00:00:00"/>
    <n v="1844"/>
    <n v="1359"/>
    <s v="10051315"/>
    <s v="10051315"/>
    <m/>
    <m/>
    <n v="22766318"/>
    <m/>
    <m/>
    <m/>
    <s v="SOLFIN"/>
    <s v="SOLFIN"/>
    <s v="CCMS"/>
    <n v="21339593"/>
    <n v="14279.3"/>
    <m/>
    <s v="N"/>
    <n v="90"/>
    <d v="2023-07-06T19:23:45"/>
    <s v="Y"/>
    <s v="Attendance upon client"/>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76"/>
    <d v="2023-07-06T19:23:45"/>
    <s v="Y"/>
    <s v="Preparation - other"/>
    <s v="Non Family Hourly Rates"/>
    <s v="Profit Cost"/>
    <s v="BJD"/>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63"/>
    <d v="2023-07-06T19:23:45"/>
    <s v="Y"/>
    <s v="Attendance upon/with Counsel at Con"/>
    <s v="Non Family Hourly Rates"/>
    <s v="Profit Cost"/>
    <s v="KM"/>
    <s v="Y"/>
    <n v="79.92"/>
    <n v="15.98"/>
    <x v="4"/>
    <s v="VALIDATED"/>
    <n v="1"/>
    <s v="01.11.80.203.6100.0000"/>
    <n v="79.92"/>
    <s v="11"/>
    <s v="6100"/>
    <n v="9312.959999999999"/>
    <n v="79.92"/>
    <s v="CREDITOR"/>
    <n v="0"/>
    <n v="0"/>
    <n v="0"/>
    <n v="0"/>
    <n v="79.92"/>
  </r>
  <r>
    <n v="10051315"/>
    <s v="N"/>
    <n v="21339593"/>
    <s v="3000005941710007"/>
    <s v="CIVIL"/>
    <d v="2023-06-27T00:00:00"/>
    <d v="2023-07-06T19:23:40"/>
    <m/>
    <d v="2023-07-06T00:00:00"/>
    <n v="1844"/>
    <n v="1359"/>
    <s v="10051315"/>
    <s v="10051315"/>
    <m/>
    <m/>
    <n v="22766318"/>
    <m/>
    <m/>
    <m/>
    <s v="SOLFIN"/>
    <s v="SOLFIN"/>
    <s v="CCMS"/>
    <n v="21339593"/>
    <n v="14279.3"/>
    <m/>
    <s v="N"/>
    <n v="84"/>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40"/>
    <d v="2023-07-06T19:23:45"/>
    <s v="Y"/>
    <s v="Preparation - other"/>
    <s v="Non Family Hourly Rates"/>
    <s v="Profit Cost"/>
    <s v="KM"/>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50"/>
    <d v="2023-07-06T19:23:45"/>
    <s v="Y"/>
    <s v="Preparation - other"/>
    <s v="Non Family Hourly Rates"/>
    <s v="Profit Cost"/>
    <s v="KM"/>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61"/>
    <d v="2023-07-06T19:23:45"/>
    <s v="Y"/>
    <s v="Attendance upon other side"/>
    <s v="Non Family Hourly Rates"/>
    <s v="Profit Cost"/>
    <s v="BJD"/>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64"/>
    <d v="2023-07-06T19:23:45"/>
    <s v="Y"/>
    <s v="Advocacy - Other Hearing"/>
    <s v="Non Family Hourly Rates"/>
    <s v="Advocacy"/>
    <s v="KM"/>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66"/>
    <d v="2023-07-06T19:23:45"/>
    <s v="Y"/>
    <s v="Preparation - other"/>
    <s v="Non Family Hourly Rates"/>
    <s v="Profit Cost"/>
    <s v="BJD"/>
    <s v="Y"/>
    <n v="81"/>
    <n v="16.2"/>
    <x v="4"/>
    <s v="VALIDATED"/>
    <n v="1"/>
    <s v="01.11.80.203.6100.0000"/>
    <n v="81"/>
    <s v="11"/>
    <s v="6100"/>
    <n v="9312.959999999999"/>
    <n v="81"/>
    <s v="CREDITOR"/>
    <n v="0"/>
    <n v="0"/>
    <n v="0"/>
    <n v="0"/>
    <n v="81"/>
  </r>
  <r>
    <n v="10051315"/>
    <s v="N"/>
    <n v="21339593"/>
    <s v="3000005941710007"/>
    <s v="CIVIL"/>
    <d v="2023-06-27T00:00:00"/>
    <d v="2023-07-06T19:23:40"/>
    <m/>
    <d v="2023-07-06T00:00:00"/>
    <n v="1844"/>
    <n v="1359"/>
    <s v="10051315"/>
    <s v="10051315"/>
    <m/>
    <m/>
    <n v="22766318"/>
    <m/>
    <m/>
    <m/>
    <s v="SOLFIN"/>
    <s v="SOLFIN"/>
    <s v="CCMS"/>
    <n v="21339593"/>
    <n v="14279.3"/>
    <m/>
    <s v="N"/>
    <n v="1"/>
    <d v="2023-07-06T19:23:45"/>
    <s v="Y"/>
    <s v="Court Fee"/>
    <s v="Non Family Hourly Rates"/>
    <s v="Non Expert Disbursement"/>
    <s v="XXX"/>
    <s v="Y"/>
    <n v="344.48"/>
    <n v="0"/>
    <x v="4"/>
    <s v="VALIDATED"/>
    <n v="1"/>
    <s v="01.11.80.203.6300.0000"/>
    <n v="344.48"/>
    <s v="11"/>
    <s v="6300"/>
    <n v="9312.959999999999"/>
    <n v="344.48"/>
    <s v="CREDITOR"/>
    <n v="0"/>
    <n v="0"/>
    <n v="0"/>
    <n v="0"/>
    <n v="344.48"/>
  </r>
  <r>
    <n v="10051315"/>
    <s v="N"/>
    <n v="21339593"/>
    <s v="3000005941710007"/>
    <s v="CIVIL"/>
    <d v="2023-06-27T00:00:00"/>
    <d v="2023-07-06T19:23:40"/>
    <m/>
    <d v="2023-07-06T00:00:00"/>
    <n v="1844"/>
    <n v="1359"/>
    <s v="10051315"/>
    <s v="10051315"/>
    <m/>
    <m/>
    <n v="22766318"/>
    <m/>
    <m/>
    <m/>
    <s v="SOLFIN"/>
    <s v="SOLFIN"/>
    <s v="CCMS"/>
    <n v="21339593"/>
    <n v="14279.3"/>
    <m/>
    <s v="N"/>
    <n v="35"/>
    <d v="2023-07-06T19:23:45"/>
    <s v="Y"/>
    <s v="Preparation - other"/>
    <s v="Non Family Hourly Rates"/>
    <s v="Profit Cost"/>
    <s v="KM"/>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8"/>
    <d v="2023-07-06T19:23:45"/>
    <s v="Y"/>
    <s v="Preparation - other"/>
    <s v="Non Family Hourly Rates"/>
    <s v="Profit Cost"/>
    <s v="SN"/>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27"/>
    <d v="2023-07-06T19:23:45"/>
    <s v="Y"/>
    <s v="Preparation - other"/>
    <s v="Non Family Hourly Rates"/>
    <s v="Profit Cost"/>
    <s v="SN"/>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70"/>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7"/>
    <d v="2023-07-06T19:23:45"/>
    <s v="Y"/>
    <s v="Preparation - drafting application"/>
    <s v="Non Family Hourly Rates"/>
    <s v="Profit Cost"/>
    <s v="SN"/>
    <s v="Y"/>
    <n v="67.5"/>
    <n v="13.5"/>
    <x v="4"/>
    <s v="VALIDATED"/>
    <n v="1"/>
    <s v="01.11.80.203.6100.0000"/>
    <n v="67.5"/>
    <s v="11"/>
    <s v="6100"/>
    <n v="9312.959999999999"/>
    <n v="67.5"/>
    <s v="CREDITOR"/>
    <n v="0"/>
    <n v="0"/>
    <n v="0"/>
    <n v="0"/>
    <n v="67.5"/>
  </r>
  <r>
    <n v="10051315"/>
    <s v="N"/>
    <n v="21339593"/>
    <s v="3000005941710007"/>
    <s v="CIVIL"/>
    <d v="2023-06-27T00:00:00"/>
    <d v="2023-07-06T19:23:40"/>
    <m/>
    <d v="2023-07-06T00:00:00"/>
    <n v="1844"/>
    <n v="1359"/>
    <s v="10051315"/>
    <s v="10051315"/>
    <m/>
    <m/>
    <n v="22766318"/>
    <m/>
    <m/>
    <m/>
    <s v="SOLFIN"/>
    <s v="SOLFIN"/>
    <s v="CCMS"/>
    <n v="21339593"/>
    <n v="14279.3"/>
    <m/>
    <s v="N"/>
    <n v="104"/>
    <d v="2023-07-06T19:23:45"/>
    <s v="Y"/>
    <s v="Routine Telephone Call"/>
    <s v="Non Family Hourly Rates"/>
    <s v="Profit Cost"/>
    <s v="KM"/>
    <s v="Y"/>
    <n v="127.16"/>
    <n v="25.43"/>
    <x v="4"/>
    <s v="VALIDATED"/>
    <n v="1"/>
    <s v="01.11.80.203.6100.0000"/>
    <n v="127.16"/>
    <s v="11"/>
    <s v="6100"/>
    <n v="9312.959999999999"/>
    <n v="127.16"/>
    <s v="CREDITOR"/>
    <n v="0"/>
    <n v="0"/>
    <n v="0"/>
    <n v="0"/>
    <n v="127.16"/>
  </r>
  <r>
    <n v="10051315"/>
    <s v="N"/>
    <n v="21339593"/>
    <s v="3000005941710007"/>
    <s v="CIVIL"/>
    <d v="2023-06-27T00:00:00"/>
    <d v="2023-07-06T19:23:40"/>
    <m/>
    <d v="2023-07-06T00:00:00"/>
    <n v="1844"/>
    <n v="1359"/>
    <s v="10051315"/>
    <s v="10051315"/>
    <m/>
    <m/>
    <n v="22766318"/>
    <m/>
    <m/>
    <m/>
    <s v="SOLFIN"/>
    <s v="SOLFIN"/>
    <s v="CCMS"/>
    <n v="21339593"/>
    <n v="14279.3"/>
    <m/>
    <s v="N"/>
    <n v="60"/>
    <d v="2023-07-06T19:23:45"/>
    <s v="Y"/>
    <s v="Preparation - other"/>
    <s v="Non Family Hourly Rates"/>
    <s v="Profit Cost"/>
    <s v="BJD"/>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55"/>
    <d v="2023-07-06T19:23:45"/>
    <s v="Y"/>
    <s v="Preparation - other"/>
    <s v="Non Family Hourly Rates"/>
    <s v="Profit Cost"/>
    <s v="KM"/>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73"/>
    <d v="2023-07-06T19:23:45"/>
    <s v="Y"/>
    <s v="Attendance upon other side"/>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78"/>
    <d v="2023-07-06T19:23:45"/>
    <s v="Y"/>
    <s v="Preparation - other"/>
    <s v="Non Family Hourly Rates"/>
    <s v="Profit Cost"/>
    <s v="BJD"/>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75"/>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45"/>
    <d v="2023-07-06T19:23:45"/>
    <s v="Y"/>
    <s v="Preparation - other"/>
    <s v="Non Family Hourly Rates"/>
    <s v="Profit Cost"/>
    <s v="KM"/>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69"/>
    <d v="2023-07-06T19:23:45"/>
    <s v="Y"/>
    <s v="Preparation - other"/>
    <s v="Non Family Hourly Rates"/>
    <s v="Profit Cost"/>
    <s v="BJD"/>
    <s v="Y"/>
    <n v="148.5"/>
    <n v="29.7"/>
    <x v="4"/>
    <s v="VALIDATED"/>
    <n v="1"/>
    <s v="01.11.80.203.6100.0000"/>
    <n v="148.5"/>
    <s v="11"/>
    <s v="6100"/>
    <n v="9312.959999999999"/>
    <n v="148.5"/>
    <s v="CREDITOR"/>
    <n v="0"/>
    <n v="0"/>
    <n v="0"/>
    <n v="0"/>
    <n v="148.5"/>
  </r>
  <r>
    <n v="10051315"/>
    <s v="N"/>
    <n v="21339593"/>
    <s v="3000005941710007"/>
    <s v="CIVIL"/>
    <d v="2023-06-27T00:00:00"/>
    <d v="2023-07-06T19:23:40"/>
    <m/>
    <d v="2023-07-06T00:00:00"/>
    <n v="1844"/>
    <n v="1359"/>
    <s v="10051315"/>
    <s v="10051315"/>
    <m/>
    <m/>
    <n v="22766318"/>
    <m/>
    <m/>
    <m/>
    <s v="SOLFIN"/>
    <s v="SOLFIN"/>
    <s v="CCMS"/>
    <n v="21339593"/>
    <n v="14279.3"/>
    <m/>
    <s v="N"/>
    <n v="79"/>
    <d v="2023-07-06T19:23:45"/>
    <s v="Y"/>
    <s v="Preparation - drafting instructions"/>
    <s v="Non Family Hourly Rates"/>
    <s v="Profit Cost"/>
    <s v="BJD"/>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103"/>
    <d v="2023-07-06T19:23:45"/>
    <s v="Y"/>
    <s v="Preparation - drafting bill/claim f"/>
    <s v="Non Family Hourly Rates"/>
    <s v="Profit Cost"/>
    <s v="RR"/>
    <s v="Y"/>
    <n v="67.5"/>
    <n v="13.5"/>
    <x v="4"/>
    <s v="VALIDATED"/>
    <n v="1"/>
    <s v="01.11.80.203.6100.0000"/>
    <n v="67.5"/>
    <s v="11"/>
    <s v="6100"/>
    <n v="9312.959999999999"/>
    <n v="67.5"/>
    <s v="CREDITOR"/>
    <n v="0"/>
    <n v="0"/>
    <n v="0"/>
    <n v="0"/>
    <n v="67.5"/>
  </r>
  <r>
    <n v="10051315"/>
    <s v="N"/>
    <n v="21339593"/>
    <s v="3000005941710007"/>
    <s v="CIVIL"/>
    <d v="2023-06-27T00:00:00"/>
    <d v="2023-07-06T19:23:40"/>
    <m/>
    <d v="2023-07-06T00:00:00"/>
    <n v="1844"/>
    <n v="1359"/>
    <s v="10051315"/>
    <s v="10051315"/>
    <m/>
    <m/>
    <n v="22766318"/>
    <m/>
    <m/>
    <m/>
    <s v="SOLFIN"/>
    <s v="SOLFIN"/>
    <s v="CCMS"/>
    <n v="21339593"/>
    <n v="14279.3"/>
    <m/>
    <s v="N"/>
    <n v="20"/>
    <d v="2023-07-06T19:23:45"/>
    <s v="Y"/>
    <s v="Preparation - other"/>
    <s v="Non Family Hourly Rates"/>
    <s v="Profit Cost"/>
    <s v="SN"/>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97"/>
    <d v="2023-07-06T19:23:45"/>
    <s v="Y"/>
    <s v="Preparation - other"/>
    <s v="Non Family Hourly Rates"/>
    <s v="Profit Cost"/>
    <s v="BJD"/>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31"/>
    <d v="2023-07-06T19:23:45"/>
    <s v="Y"/>
    <s v="Preparation - other"/>
    <s v="Non Family Hourly Rates"/>
    <s v="Profit Cost"/>
    <s v="KM"/>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37"/>
    <d v="2023-07-06T19:23:45"/>
    <s v="Y"/>
    <s v="Attendance upon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44"/>
    <d v="2023-07-06T19:23:45"/>
    <s v="Y"/>
    <s v="Preparation - other"/>
    <s v="Non Family Hourly Rates"/>
    <s v="Profit Cost"/>
    <s v="KM"/>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49"/>
    <d v="2023-07-06T19:23:45"/>
    <s v="Y"/>
    <s v="Attendance upon court"/>
    <s v="Non Family Hourly Rates"/>
    <s v="Profit Cost"/>
    <s v="BJD"/>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81"/>
    <d v="2023-07-06T19:23:45"/>
    <s v="Y"/>
    <s v="Preparation - other"/>
    <s v="Non Family Hourly Rates"/>
    <s v="Profit Cost"/>
    <s v="BJD"/>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54"/>
    <d v="2023-07-06T19:23:45"/>
    <s v="Y"/>
    <s v="Preparation - other"/>
    <s v="Non Family Hourly Rates"/>
    <s v="Profit Cost"/>
    <s v="KM"/>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98"/>
    <d v="2023-07-06T19:23:45"/>
    <s v="Y"/>
    <s v="Preparation - other"/>
    <s v="Non Family Hourly Rates"/>
    <s v="Profit Cost"/>
    <s v="BJD"/>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30"/>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83"/>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5"/>
    <d v="2023-07-06T19:23:45"/>
    <s v="Y"/>
    <s v="Preparation - drafting application"/>
    <s v="Non Family Hourly Rates"/>
    <s v="Profit Cost"/>
    <s v="RB"/>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21"/>
    <d v="2023-07-06T19:23:45"/>
    <s v="Y"/>
    <s v="Preparation - other"/>
    <s v="Non Family Hourly Rates"/>
    <s v="Profit Cost"/>
    <s v="SN"/>
    <s v="Y"/>
    <n v="148.5"/>
    <n v="29.7"/>
    <x v="4"/>
    <s v="VALIDATED"/>
    <n v="1"/>
    <s v="01.11.80.203.6100.0000"/>
    <n v="148.5"/>
    <s v="11"/>
    <s v="6100"/>
    <n v="9312.959999999999"/>
    <n v="148.5"/>
    <s v="CREDITOR"/>
    <n v="0"/>
    <n v="0"/>
    <n v="0"/>
    <n v="0"/>
    <n v="148.5"/>
  </r>
  <r>
    <n v="10051315"/>
    <s v="N"/>
    <n v="21339593"/>
    <s v="3000005941710007"/>
    <s v="CIVIL"/>
    <d v="2023-06-27T00:00:00"/>
    <d v="2023-07-06T19:23:40"/>
    <m/>
    <d v="2023-07-06T00:00:00"/>
    <n v="1844"/>
    <n v="1359"/>
    <s v="10051315"/>
    <s v="10051315"/>
    <m/>
    <m/>
    <n v="22766318"/>
    <m/>
    <m/>
    <m/>
    <s v="SOLFIN"/>
    <s v="SOLFIN"/>
    <s v="CCMS"/>
    <n v="21339593"/>
    <n v="14279.3"/>
    <m/>
    <s v="N"/>
    <n v="82"/>
    <d v="2023-07-06T19:23:45"/>
    <s v="Y"/>
    <s v="Preparation - other"/>
    <s v="Non Family Hourly Rates"/>
    <s v="Profit Cost"/>
    <s v="BJD"/>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25"/>
    <d v="2023-07-06T19:23:45"/>
    <s v="Y"/>
    <s v="Preparation - drafting instructions"/>
    <s v="Non Family Hourly Rates"/>
    <s v="Profit Cost"/>
    <s v="BJD"/>
    <s v="Y"/>
    <n v="108"/>
    <n v="21.6"/>
    <x v="4"/>
    <s v="VALIDATED"/>
    <n v="1"/>
    <s v="01.11.80.203.6100.0000"/>
    <n v="108"/>
    <s v="11"/>
    <s v="6100"/>
    <n v="9312.959999999999"/>
    <n v="108"/>
    <s v="CREDITOR"/>
    <n v="0"/>
    <n v="0"/>
    <n v="0"/>
    <n v="0"/>
    <n v="108"/>
  </r>
  <r>
    <n v="10051315"/>
    <s v="N"/>
    <n v="21339593"/>
    <s v="3000005941710007"/>
    <s v="CIVIL"/>
    <d v="2023-06-27T00:00:00"/>
    <d v="2023-07-06T19:23:40"/>
    <m/>
    <d v="2023-07-06T00:00:00"/>
    <n v="1844"/>
    <n v="1359"/>
    <s v="10051315"/>
    <s v="10051315"/>
    <m/>
    <m/>
    <n v="22766318"/>
    <m/>
    <m/>
    <m/>
    <s v="SOLFIN"/>
    <s v="SOLFIN"/>
    <s v="CCMS"/>
    <n v="21339593"/>
    <n v="14279.3"/>
    <m/>
    <s v="N"/>
    <n v="67"/>
    <d v="2023-07-06T19:23:45"/>
    <s v="Y"/>
    <s v="Preparation - other"/>
    <s v="Non Family Hourly Rates"/>
    <s v="Profit Cost"/>
    <s v="BJD"/>
    <s v="Y"/>
    <n v="40.5"/>
    <n v="8.1"/>
    <x v="4"/>
    <s v="VALIDATED"/>
    <n v="1"/>
    <s v="01.11.80.203.6100.0000"/>
    <n v="40.5"/>
    <s v="11"/>
    <s v="6100"/>
    <n v="9312.959999999999"/>
    <n v="40.5"/>
    <s v="CREDITOR"/>
    <n v="0"/>
    <n v="0"/>
    <n v="0"/>
    <n v="0"/>
    <n v="40.5"/>
  </r>
  <r>
    <n v="10051315"/>
    <s v="N"/>
    <n v="21339593"/>
    <s v="3000005941710007"/>
    <s v="CIVIL"/>
    <d v="2023-06-27T00:00:00"/>
    <d v="2023-07-06T19:23:40"/>
    <m/>
    <d v="2023-07-06T00:00:00"/>
    <n v="1844"/>
    <n v="1359"/>
    <s v="10051315"/>
    <s v="10051315"/>
    <m/>
    <m/>
    <n v="22766318"/>
    <m/>
    <m/>
    <m/>
    <s v="SOLFIN"/>
    <s v="SOLFIN"/>
    <s v="CCMS"/>
    <n v="21339593"/>
    <n v="14279.3"/>
    <m/>
    <s v="N"/>
    <n v="14"/>
    <d v="2023-07-06T19:23:45"/>
    <s v="Y"/>
    <s v="Preparation - other"/>
    <s v="Non Family Hourly Rates"/>
    <s v="Profit Cost"/>
    <s v="SN"/>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12"/>
    <d v="2023-07-06T19:23:45"/>
    <s v="Y"/>
    <s v="Preparation - other"/>
    <s v="Non Family Hourly Rates"/>
    <s v="Profit Cost"/>
    <s v="SN"/>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51"/>
    <d v="2023-07-06T19:23:45"/>
    <s v="Y"/>
    <s v="Preparation - other"/>
    <s v="Non Family Hourly Rates"/>
    <s v="Profit Cost"/>
    <s v="KM"/>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3"/>
    <d v="2023-07-06T19:23:45"/>
    <s v="Y"/>
    <s v="Preparation - other"/>
    <s v="Non Family Hourly Rates"/>
    <s v="Profit Cost"/>
    <s v="SN"/>
    <s v="Y"/>
    <n v="202.5"/>
    <n v="40.5"/>
    <x v="4"/>
    <s v="VALIDATED"/>
    <n v="1"/>
    <s v="01.11.80.203.6100.0000"/>
    <n v="202.5"/>
    <s v="11"/>
    <s v="6100"/>
    <n v="9312.959999999999"/>
    <n v="202.5"/>
    <s v="CREDITOR"/>
    <n v="0"/>
    <n v="0"/>
    <n v="0"/>
    <n v="0"/>
    <n v="202.5"/>
  </r>
  <r>
    <n v="10051315"/>
    <s v="N"/>
    <n v="21339593"/>
    <s v="3000005941710007"/>
    <s v="CIVIL"/>
    <d v="2023-06-27T00:00:00"/>
    <d v="2023-07-06T19:23:40"/>
    <m/>
    <d v="2023-07-06T00:00:00"/>
    <n v="1844"/>
    <n v="1359"/>
    <s v="10051315"/>
    <s v="10051315"/>
    <m/>
    <m/>
    <n v="22766318"/>
    <m/>
    <m/>
    <m/>
    <s v="SOLFIN"/>
    <s v="SOLFIN"/>
    <s v="CCMS"/>
    <n v="21339593"/>
    <n v="14279.3"/>
    <m/>
    <s v="N"/>
    <n v="13"/>
    <d v="2023-07-06T19:23:45"/>
    <s v="Y"/>
    <s v="Preparation - other"/>
    <s v="Non Family Hourly Rates"/>
    <s v="Profit Cost"/>
    <s v="SN"/>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39"/>
    <d v="2023-07-06T19:23:45"/>
    <s v="Y"/>
    <s v="Preparation - other"/>
    <s v="Non Family Hourly Rates"/>
    <s v="Profit Cost"/>
    <s v="RR"/>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72"/>
    <d v="2023-07-06T19:23:45"/>
    <s v="Y"/>
    <s v="Preparation - other"/>
    <s v="Non Family Hourly Rates"/>
    <s v="Profit Cost"/>
    <s v="BJD"/>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102"/>
    <d v="2023-07-06T19:23:45"/>
    <s v="Y"/>
    <s v="Preparation - drafting bill/claim f"/>
    <s v="Non Family Hourly Rates"/>
    <s v="Profit Cost"/>
    <s v="TC"/>
    <s v="Y"/>
    <n v="425.25"/>
    <n v="85.05"/>
    <x v="4"/>
    <s v="VALIDATED"/>
    <n v="1"/>
    <s v="01.11.80.203.6100.0000"/>
    <n v="425.25"/>
    <s v="11"/>
    <s v="6100"/>
    <n v="9312.959999999999"/>
    <n v="425.25"/>
    <s v="CREDITOR"/>
    <n v="0"/>
    <n v="0"/>
    <n v="0"/>
    <n v="0"/>
    <n v="425.25"/>
  </r>
  <r>
    <n v="10051315"/>
    <s v="N"/>
    <n v="21339593"/>
    <s v="3000005941710007"/>
    <s v="CIVIL"/>
    <d v="2023-06-27T00:00:00"/>
    <d v="2023-07-06T19:23:40"/>
    <m/>
    <d v="2023-07-06T00:00:00"/>
    <n v="1844"/>
    <n v="1359"/>
    <s v="10051315"/>
    <s v="10051315"/>
    <m/>
    <m/>
    <n v="22766318"/>
    <m/>
    <m/>
    <m/>
    <s v="SOLFIN"/>
    <s v="SOLFIN"/>
    <s v="CCMS"/>
    <n v="21339593"/>
    <n v="14279.3"/>
    <m/>
    <s v="N"/>
    <n v="23"/>
    <d v="2023-07-06T19:23:45"/>
    <s v="Y"/>
    <s v="Preparation - other"/>
    <s v="Non Family Hourly Rates"/>
    <s v="Profit Cost"/>
    <s v="BJD"/>
    <s v="Y"/>
    <n v="27"/>
    <n v="5.4"/>
    <x v="4"/>
    <s v="VALIDATED"/>
    <n v="1"/>
    <s v="01.11.80.203.6100.0000"/>
    <n v="27"/>
    <s v="11"/>
    <s v="6100"/>
    <n v="9312.959999999999"/>
    <n v="27"/>
    <s v="CREDITOR"/>
    <n v="0"/>
    <n v="0"/>
    <n v="0"/>
    <n v="0"/>
    <n v="27"/>
  </r>
  <r>
    <n v="44054119"/>
    <s v="N"/>
    <n v="21382283"/>
    <s v="3000011651280003"/>
    <s v="CIVIL"/>
    <d v="2023-06-30T00:00:00"/>
    <d v="2023-07-17T19:01:46"/>
    <m/>
    <d v="2023-07-17T00:00:00"/>
    <n v="1844"/>
    <n v="1359"/>
    <s v="44054119"/>
    <s v="44054119"/>
    <m/>
    <m/>
    <n v="22801226"/>
    <m/>
    <m/>
    <m/>
    <s v="SOLPOA"/>
    <s v="SOLPOA"/>
    <s v="CCMS"/>
    <n v="21382283"/>
    <n v="2228.16"/>
    <m/>
    <s v="N"/>
    <n v="1"/>
    <d v="2023-07-17T19:02:05"/>
    <s v="N"/>
    <s v="Profit Cost"/>
    <s v="Profit Cost"/>
    <s v="Profit Cost"/>
    <s v="BJD"/>
    <s v="N"/>
    <n v="1856.8"/>
    <n v="371.36"/>
    <x v="8"/>
    <s v="VALIDATED"/>
    <n v="1"/>
    <s v="01.11.80.209.2012.0000"/>
    <n v="1856.8"/>
    <s v="11"/>
    <s v="2012"/>
    <n v="9312.959999999999"/>
    <n v="1856.8"/>
    <s v="CREDITOR"/>
    <n v="1856.8"/>
    <n v="464.2"/>
    <n v="0"/>
    <n v="0"/>
    <n v="0"/>
  </r>
  <r>
    <n v="10051315"/>
    <s v="N"/>
    <n v="21339593"/>
    <s v="3000005941710007"/>
    <s v="CIVIL"/>
    <d v="2023-06-27T00:00:00"/>
    <d v="2023-07-06T19:23:40"/>
    <m/>
    <d v="2023-07-06T00:00:00"/>
    <n v="1844"/>
    <n v="1359"/>
    <s v="10051315"/>
    <s v="10051315"/>
    <m/>
    <m/>
    <n v="22766318"/>
    <m/>
    <m/>
    <m/>
    <s v="SOLFIN"/>
    <s v="SOLFIN"/>
    <s v="CCMS"/>
    <n v="21339593"/>
    <n v="14279.3"/>
    <m/>
    <s v="N"/>
    <n v="106"/>
    <d v="2023-07-06T19:23:45"/>
    <s v="N"/>
    <m/>
    <m/>
    <s v="Overall Adjustment"/>
    <m/>
    <s v="N"/>
    <n v="-20.52"/>
    <n v="-4.1"/>
    <x v="4"/>
    <s v="VALIDATED"/>
    <n v="1"/>
    <s v="01.11.80.203.6100.0000"/>
    <n v="-20.52"/>
    <s v="11"/>
    <s v="6100"/>
    <n v="9312.959999999999"/>
    <n v="-20.52"/>
    <s v="CREDITOR"/>
    <n v="0"/>
    <n v="0"/>
    <n v="0"/>
    <n v="0"/>
    <n v="-20.52"/>
  </r>
  <r>
    <n v="10051315"/>
    <s v="N"/>
    <n v="21339593"/>
    <s v="3000005941710007"/>
    <s v="CIVIL"/>
    <d v="2023-06-27T00:00:00"/>
    <d v="2023-07-06T19:23:40"/>
    <m/>
    <d v="2023-07-06T00:00:00"/>
    <n v="1844"/>
    <n v="1359"/>
    <s v="10051315"/>
    <s v="10051315"/>
    <m/>
    <m/>
    <n v="22766318"/>
    <m/>
    <m/>
    <m/>
    <s v="SOLFIN"/>
    <s v="SOLFIN"/>
    <s v="CCMS"/>
    <n v="21339593"/>
    <n v="14279.3"/>
    <m/>
    <s v="N"/>
    <n v="24"/>
    <d v="2023-07-06T19:23:45"/>
    <s v="Y"/>
    <s v="Preparation - drafting instructions"/>
    <s v="Non Family Hourly Rates"/>
    <s v="Profit Cost"/>
    <s v="BJD"/>
    <s v="Y"/>
    <n v="472.5"/>
    <n v="94.5"/>
    <x v="4"/>
    <s v="VALIDATED"/>
    <n v="1"/>
    <s v="01.11.80.203.6100.0000"/>
    <n v="472.5"/>
    <s v="11"/>
    <s v="6100"/>
    <n v="9312.959999999999"/>
    <n v="472.5"/>
    <s v="CREDITOR"/>
    <n v="0"/>
    <n v="0"/>
    <n v="0"/>
    <n v="0"/>
    <n v="472.5"/>
  </r>
  <r>
    <n v="10051315"/>
    <s v="N"/>
    <n v="21339593"/>
    <s v="3000005941710007"/>
    <s v="CIVIL"/>
    <d v="2023-06-27T00:00:00"/>
    <d v="2023-07-06T19:23:40"/>
    <m/>
    <d v="2023-07-06T00:00:00"/>
    <n v="1844"/>
    <n v="1359"/>
    <s v="10051315"/>
    <s v="10051315"/>
    <m/>
    <m/>
    <n v="22766318"/>
    <m/>
    <m/>
    <m/>
    <s v="SOLFIN"/>
    <s v="SOLFIN"/>
    <s v="CCMS"/>
    <n v="21339593"/>
    <n v="14279.3"/>
    <m/>
    <s v="N"/>
    <n v="33"/>
    <d v="2023-07-06T19:23:45"/>
    <s v="Y"/>
    <s v="Preparation - other"/>
    <s v="Non Family Hourly Rates"/>
    <s v="Profit Cost"/>
    <s v="KM"/>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58"/>
    <d v="2023-07-06T19:23:45"/>
    <s v="Y"/>
    <s v="Preparation - drafting instructions"/>
    <s v="Non Family Hourly Rates"/>
    <s v="Profit Cost"/>
    <s v="KM"/>
    <s v="Y"/>
    <n v="27"/>
    <n v="5.4"/>
    <x v="4"/>
    <s v="VALIDATED"/>
    <n v="1"/>
    <s v="01.11.80.203.6100.0000"/>
    <n v="27"/>
    <s v="11"/>
    <s v="6100"/>
    <n v="9312.959999999999"/>
    <n v="27"/>
    <s v="CREDITOR"/>
    <n v="0"/>
    <n v="0"/>
    <n v="0"/>
    <n v="0"/>
    <n v="27"/>
  </r>
  <r>
    <n v="10051315"/>
    <s v="N"/>
    <n v="21339593"/>
    <s v="3000005941710007"/>
    <s v="CIVIL"/>
    <d v="2023-06-27T00:00:00"/>
    <d v="2023-07-06T19:23:40"/>
    <m/>
    <d v="2023-07-06T00:00:00"/>
    <n v="1844"/>
    <n v="1359"/>
    <s v="10051315"/>
    <s v="10051315"/>
    <m/>
    <m/>
    <n v="22766318"/>
    <m/>
    <m/>
    <m/>
    <s v="SOLFIN"/>
    <s v="SOLFIN"/>
    <s v="CCMS"/>
    <n v="21339593"/>
    <n v="14279.3"/>
    <m/>
    <s v="N"/>
    <n v="91"/>
    <d v="2023-07-06T19:23:45"/>
    <s v="Y"/>
    <s v="Preparation - drafting statement"/>
    <s v="Non Family Hourly Rates"/>
    <s v="Profit Cost"/>
    <s v="BJD"/>
    <s v="Y"/>
    <n v="270"/>
    <n v="54"/>
    <x v="4"/>
    <s v="VALIDATED"/>
    <n v="1"/>
    <s v="01.11.80.203.6100.0000"/>
    <n v="270"/>
    <s v="11"/>
    <s v="6100"/>
    <n v="9312.959999999999"/>
    <n v="270"/>
    <s v="CREDITOR"/>
    <n v="0"/>
    <n v="0"/>
    <n v="0"/>
    <n v="0"/>
    <n v="270"/>
  </r>
  <r>
    <n v="10051315"/>
    <s v="N"/>
    <n v="21339593"/>
    <s v="3000005941710007"/>
    <s v="CIVIL"/>
    <d v="2023-06-27T00:00:00"/>
    <d v="2023-07-06T19:23:40"/>
    <m/>
    <d v="2023-07-06T00:00:00"/>
    <n v="1844"/>
    <n v="1359"/>
    <s v="10051315"/>
    <s v="10051315"/>
    <m/>
    <m/>
    <n v="22766318"/>
    <m/>
    <m/>
    <m/>
    <s v="SOLFIN"/>
    <s v="SOLFIN"/>
    <s v="CCMS"/>
    <n v="21339593"/>
    <n v="14279.3"/>
    <m/>
    <s v="N"/>
    <n v="94"/>
    <d v="2023-07-06T19:23:45"/>
    <s v="Y"/>
    <s v="Preparation - other"/>
    <s v="Non Family Hourly Rates"/>
    <s v="Profit Cost"/>
    <s v="BJD"/>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43"/>
    <d v="2023-07-06T19:23:45"/>
    <s v="Y"/>
    <s v="Preparation - other"/>
    <s v="Non Family Hourly Rates"/>
    <s v="Profit Cost"/>
    <s v="BJD"/>
    <s v="Y"/>
    <n v="54"/>
    <n v="10.8"/>
    <x v="4"/>
    <s v="VALIDATED"/>
    <n v="1"/>
    <s v="01.11.80.203.6100.0000"/>
    <n v="54"/>
    <s v="11"/>
    <s v="6100"/>
    <n v="9312.959999999999"/>
    <n v="54"/>
    <s v="CREDITOR"/>
    <n v="0"/>
    <n v="0"/>
    <n v="0"/>
    <n v="0"/>
    <n v="54"/>
  </r>
  <r>
    <n v="10051315"/>
    <s v="N"/>
    <n v="21339593"/>
    <s v="3000005941710007"/>
    <s v="CIVIL"/>
    <d v="2023-06-27T00:00:00"/>
    <d v="2023-07-06T19:23:40"/>
    <m/>
    <d v="2023-07-06T00:00:00"/>
    <n v="1844"/>
    <n v="1359"/>
    <s v="10051315"/>
    <s v="10051315"/>
    <m/>
    <m/>
    <n v="22766318"/>
    <m/>
    <m/>
    <m/>
    <s v="SOLFIN"/>
    <s v="SOLFIN"/>
    <s v="CCMS"/>
    <n v="21339593"/>
    <n v="14279.3"/>
    <m/>
    <s v="N"/>
    <n v="9"/>
    <d v="2023-07-06T19:23:45"/>
    <s v="Y"/>
    <s v="Preparation - other"/>
    <s v="Non Family Hourly Rates"/>
    <s v="Profit Cost"/>
    <s v="SN"/>
    <s v="Y"/>
    <n v="162"/>
    <n v="32.4"/>
    <x v="4"/>
    <s v="VALIDATED"/>
    <n v="1"/>
    <s v="01.11.80.203.6100.0000"/>
    <n v="162"/>
    <s v="11"/>
    <s v="6100"/>
    <n v="9312.959999999999"/>
    <n v="162"/>
    <s v="CREDITOR"/>
    <n v="0"/>
    <n v="0"/>
    <n v="0"/>
    <n v="0"/>
    <n v="162"/>
  </r>
  <r>
    <n v="10051315"/>
    <s v="N"/>
    <n v="21339593"/>
    <s v="3000005941710007"/>
    <s v="CIVIL"/>
    <d v="2023-06-27T00:00:00"/>
    <d v="2023-07-06T19:23:40"/>
    <m/>
    <d v="2023-07-06T00:00:00"/>
    <n v="1844"/>
    <n v="1359"/>
    <s v="10051315"/>
    <s v="10051315"/>
    <m/>
    <m/>
    <n v="22766318"/>
    <m/>
    <m/>
    <m/>
    <s v="SOLFIN"/>
    <s v="SOLFIN"/>
    <s v="CCMS"/>
    <n v="21339593"/>
    <n v="14279.3"/>
    <m/>
    <s v="N"/>
    <n v="11"/>
    <d v="2023-07-06T19:23:45"/>
    <s v="Y"/>
    <s v="Preparation - other"/>
    <s v="Non Family Hourly Rates"/>
    <s v="Profit Cost"/>
    <s v="SN"/>
    <s v="Y"/>
    <n v="13.5"/>
    <n v="2.7"/>
    <x v="4"/>
    <s v="VALIDATED"/>
    <n v="1"/>
    <s v="01.11.80.203.6100.0000"/>
    <n v="13.5"/>
    <s v="11"/>
    <s v="6100"/>
    <n v="9312.959999999999"/>
    <n v="13.5"/>
    <s v="CREDITOR"/>
    <n v="0"/>
    <n v="0"/>
    <n v="0"/>
    <n v="0"/>
    <n v="13.5"/>
  </r>
  <r>
    <n v="10051315"/>
    <s v="N"/>
    <n v="21339593"/>
    <s v="3000005941710007"/>
    <s v="CIVIL"/>
    <d v="2023-06-27T00:00:00"/>
    <d v="2023-07-06T19:23:40"/>
    <m/>
    <d v="2023-07-06T00:00:00"/>
    <n v="1844"/>
    <n v="1359"/>
    <s v="10051315"/>
    <s v="10051315"/>
    <m/>
    <m/>
    <n v="22766318"/>
    <m/>
    <m/>
    <m/>
    <s v="SOLFIN"/>
    <s v="SOLFIN"/>
    <s v="CCMS"/>
    <n v="21339593"/>
    <n v="14279.3"/>
    <m/>
    <s v="N"/>
    <n v="105"/>
    <d v="2023-07-06T19:23:45"/>
    <s v="Y"/>
    <s v="Routine Letter Out"/>
    <s v="Non Family Hourly Rates"/>
    <s v="Profit Cost"/>
    <s v="BJD"/>
    <s v="Y"/>
    <n v="3564"/>
    <n v="712.8"/>
    <x v="4"/>
    <s v="VALIDATED"/>
    <n v="1"/>
    <s v="01.11.80.203.6100.0000"/>
    <n v="3564"/>
    <s v="11"/>
    <s v="6100"/>
    <n v="9312.959999999999"/>
    <n v="3564"/>
    <s v="CREDITOR"/>
    <n v="0"/>
    <n v="0"/>
    <n v="0"/>
    <n v="0"/>
    <n v="3564"/>
  </r>
  <r>
    <n v="10051315"/>
    <s v="N"/>
    <n v="21339593"/>
    <s v="3000005941710007"/>
    <s v="CIVIL"/>
    <d v="2023-06-27T00:00:00"/>
    <d v="2023-07-06T19:23:40"/>
    <m/>
    <d v="2023-07-06T00:00:00"/>
    <n v="1844"/>
    <n v="1359"/>
    <s v="10051315"/>
    <s v="10051315"/>
    <m/>
    <m/>
    <n v="22766318"/>
    <m/>
    <m/>
    <m/>
    <s v="SOLFIN"/>
    <s v="SOLFIN"/>
    <s v="CCMS"/>
    <n v="21339593"/>
    <n v="14279.3"/>
    <m/>
    <s v="N"/>
    <n v="93"/>
    <d v="2023-07-06T19:23:45"/>
    <s v="Y"/>
    <s v="Preparation - drafting instructions"/>
    <s v="Non Family Hourly Rates"/>
    <s v="Profit Cost"/>
    <s v="BJD"/>
    <s v="Y"/>
    <n v="67.5"/>
    <n v="13.5"/>
    <x v="4"/>
    <s v="VALIDATED"/>
    <n v="1"/>
    <s v="01.11.80.203.6100.0000"/>
    <n v="67.5"/>
    <s v="11"/>
    <s v="6100"/>
    <n v="9312.959999999999"/>
    <n v="67.5"/>
    <s v="CREDITOR"/>
    <n v="0"/>
    <n v="0"/>
    <n v="0"/>
    <n v="0"/>
    <n v="67.5"/>
  </r>
  <r>
    <n v="55817166"/>
    <s v="N"/>
    <n v="21329591"/>
    <s v="3000013209720007RC"/>
    <s v="CIVIL"/>
    <d v="2023-06-19T00:00:00"/>
    <d v="2023-07-04T19:38:37"/>
    <m/>
    <d v="2023-07-04T00:00:00"/>
    <n v="1861"/>
    <n v="614"/>
    <s v="55817166"/>
    <s v="55817166"/>
    <m/>
    <m/>
    <m/>
    <m/>
    <m/>
    <m/>
    <s v="SOLRECOUP"/>
    <s v="SOLRECOUP"/>
    <s v="POARECOUP"/>
    <n v="21329591"/>
    <n v="-1497.35"/>
    <m/>
    <s v="Y"/>
    <n v="1"/>
    <d v="2023-07-04T19:38:38"/>
    <s v="N"/>
    <m/>
    <m/>
    <s v="Profit Cost"/>
    <m/>
    <s v="N"/>
    <n v="-1247.79"/>
    <n v="0"/>
    <x v="1"/>
    <s v="VALIDATED"/>
    <n v="1"/>
    <s v="01.11.80.308.2013.0000"/>
    <n v="-1247.79"/>
    <s v="11"/>
    <s v="2013"/>
    <n v="28935.99"/>
    <n v="-1247.79"/>
    <s v="CREDITOR"/>
    <n v="0"/>
    <n v="0"/>
    <n v="-1247.79"/>
    <n v="-311.9475"/>
    <n v="0"/>
  </r>
  <r>
    <n v="55817166"/>
    <s v="N"/>
    <n v="21329591"/>
    <s v="3000013209720007RC"/>
    <s v="CIVIL"/>
    <d v="2023-06-19T00:00:00"/>
    <d v="2023-07-04T19:38:37"/>
    <m/>
    <d v="2023-07-04T00:00:00"/>
    <n v="1861"/>
    <n v="614"/>
    <s v="55817166"/>
    <s v="55817166"/>
    <m/>
    <m/>
    <m/>
    <m/>
    <m/>
    <m/>
    <s v="SOLRECOUP"/>
    <s v="SOLRECOUP"/>
    <s v="POARECOUP"/>
    <n v="21329591"/>
    <n v="-1497.35"/>
    <m/>
    <s v="Y"/>
    <n v="2"/>
    <d v="2023-07-04T19:38:38"/>
    <s v="N"/>
    <m/>
    <m/>
    <s v="Profit Cost"/>
    <m/>
    <s v="N"/>
    <n v="0"/>
    <n v="-249.56"/>
    <x v="1"/>
    <s v="VALIDATED"/>
    <n v="1"/>
    <s v="01.11.80.308.2013.0000"/>
    <n v="-249.56"/>
    <s v="11"/>
    <s v="2013"/>
    <n v="28935.99"/>
    <n v="-249.56"/>
    <s v="CREDITOR"/>
    <n v="0"/>
    <n v="0"/>
    <n v="-249.56"/>
    <n v="-62.39"/>
    <n v="0"/>
  </r>
  <r>
    <n v="55817166"/>
    <s v="N"/>
    <n v="21329592"/>
    <s v="3000013209720002RC"/>
    <s v="CIVIL"/>
    <d v="2023-06-19T00:00:00"/>
    <d v="2023-07-04T19:38:37"/>
    <m/>
    <d v="2023-07-04T00:00:00"/>
    <n v="1861"/>
    <n v="614"/>
    <s v="55817166"/>
    <s v="55817166"/>
    <m/>
    <m/>
    <m/>
    <m/>
    <m/>
    <m/>
    <s v="SOLRECOUP"/>
    <s v="SOLRECOUP"/>
    <s v="POARECOUP"/>
    <n v="21329592"/>
    <n v="-185.7"/>
    <m/>
    <s v="Y"/>
    <n v="1"/>
    <d v="2023-07-04T19:38:38"/>
    <s v="N"/>
    <m/>
    <m/>
    <s v="Expert Disbursement"/>
    <m/>
    <s v="N"/>
    <n v="-154.75"/>
    <n v="0"/>
    <x v="1"/>
    <s v="VALIDATED"/>
    <n v="1"/>
    <s v="01.11.80.308.2013.0000"/>
    <n v="-154.75"/>
    <s v="11"/>
    <s v="2013"/>
    <n v="28935.99"/>
    <n v="-154.75"/>
    <s v="CREDITOR"/>
    <n v="0"/>
    <n v="0"/>
    <n v="-154.75"/>
    <n v="0"/>
    <n v="0"/>
  </r>
  <r>
    <n v="55817166"/>
    <s v="N"/>
    <n v="21329592"/>
    <s v="3000013209720002RC"/>
    <s v="CIVIL"/>
    <d v="2023-06-19T00:00:00"/>
    <d v="2023-07-04T19:38:37"/>
    <m/>
    <d v="2023-07-04T00:00:00"/>
    <n v="1861"/>
    <n v="614"/>
    <s v="55817166"/>
    <s v="55817166"/>
    <m/>
    <m/>
    <m/>
    <m/>
    <m/>
    <m/>
    <s v="SOLRECOUP"/>
    <s v="SOLRECOUP"/>
    <s v="POARECOUP"/>
    <n v="21329592"/>
    <n v="-185.7"/>
    <m/>
    <s v="Y"/>
    <n v="2"/>
    <d v="2023-07-04T19:38:38"/>
    <s v="N"/>
    <m/>
    <m/>
    <s v="Expert Disbursement"/>
    <m/>
    <s v="N"/>
    <n v="0"/>
    <n v="-30.95"/>
    <x v="1"/>
    <s v="VALIDATED"/>
    <n v="1"/>
    <s v="01.11.80.308.2013.0000"/>
    <n v="-30.95"/>
    <s v="11"/>
    <s v="2013"/>
    <n v="28935.99"/>
    <n v="-30.95"/>
    <s v="CREDITOR"/>
    <n v="0"/>
    <n v="0"/>
    <n v="-30.95"/>
    <n v="0"/>
    <n v="0"/>
  </r>
  <r>
    <n v="55817166"/>
    <s v="N"/>
    <n v="21329593"/>
    <s v="3000013209720003RC"/>
    <s v="CIVIL"/>
    <d v="2023-06-19T00:00:00"/>
    <d v="2023-07-04T19:38:37"/>
    <m/>
    <d v="2023-07-04T00:00:00"/>
    <n v="1861"/>
    <n v="614"/>
    <s v="55817166"/>
    <s v="55817166"/>
    <m/>
    <m/>
    <m/>
    <m/>
    <m/>
    <m/>
    <s v="SOLRECOUP"/>
    <s v="SOLRECOUP"/>
    <s v="POARECOUP"/>
    <n v="21329593"/>
    <n v="-518.4"/>
    <m/>
    <s v="Y"/>
    <n v="1"/>
    <d v="2023-07-04T19:38:38"/>
    <s v="N"/>
    <m/>
    <m/>
    <s v="Expert Disbursement"/>
    <m/>
    <s v="N"/>
    <n v="-432"/>
    <n v="0"/>
    <x v="1"/>
    <s v="VALIDATED"/>
    <n v="1"/>
    <s v="01.11.80.308.2013.0000"/>
    <n v="-432"/>
    <s v="11"/>
    <s v="2013"/>
    <n v="28935.99"/>
    <n v="-432"/>
    <s v="CREDITOR"/>
    <n v="0"/>
    <n v="0"/>
    <n v="-432"/>
    <n v="0"/>
    <n v="0"/>
  </r>
  <r>
    <n v="55817166"/>
    <s v="N"/>
    <n v="21329593"/>
    <s v="3000013209720003RC"/>
    <s v="CIVIL"/>
    <d v="2023-06-19T00:00:00"/>
    <d v="2023-07-04T19:38:37"/>
    <m/>
    <d v="2023-07-04T00:00:00"/>
    <n v="1861"/>
    <n v="614"/>
    <s v="55817166"/>
    <s v="55817166"/>
    <m/>
    <m/>
    <m/>
    <m/>
    <m/>
    <m/>
    <s v="SOLRECOUP"/>
    <s v="SOLRECOUP"/>
    <s v="POARECOUP"/>
    <n v="21329593"/>
    <n v="-518.4"/>
    <m/>
    <s v="Y"/>
    <n v="2"/>
    <d v="2023-07-04T19:38:38"/>
    <s v="N"/>
    <m/>
    <m/>
    <s v="Expert Disbursement"/>
    <m/>
    <s v="N"/>
    <n v="0"/>
    <n v="-86.40000000000001"/>
    <x v="1"/>
    <s v="VALIDATED"/>
    <n v="1"/>
    <s v="01.11.80.308.2013.0000"/>
    <n v="-86.40000000000001"/>
    <s v="11"/>
    <s v="2013"/>
    <n v="28935.99"/>
    <n v="-86.40000000000001"/>
    <s v="CREDITOR"/>
    <n v="0"/>
    <n v="0"/>
    <n v="-86.40000000000001"/>
    <n v="0"/>
    <n v="0"/>
  </r>
  <r>
    <n v="55817166"/>
    <s v="N"/>
    <n v="21329594"/>
    <s v="3000013209720006RC"/>
    <s v="CIVIL"/>
    <d v="2023-06-19T00:00:00"/>
    <d v="2023-07-04T19:38:37"/>
    <m/>
    <d v="2023-07-04T00:00:00"/>
    <n v="1861"/>
    <n v="614"/>
    <s v="55817166"/>
    <s v="55817166"/>
    <m/>
    <m/>
    <m/>
    <m/>
    <m/>
    <m/>
    <s v="SOLRECOUP"/>
    <s v="SOLRECOUP"/>
    <s v="POARECOUP"/>
    <n v="21329594"/>
    <n v="-178.67"/>
    <m/>
    <s v="Y"/>
    <n v="2"/>
    <d v="2023-07-04T19:38:38"/>
    <s v="N"/>
    <m/>
    <m/>
    <s v="Expert Disbursement"/>
    <m/>
    <s v="N"/>
    <n v="0"/>
    <n v="-29.78"/>
    <x v="1"/>
    <s v="VALIDATED"/>
    <n v="1"/>
    <s v="01.11.80.308.2013.0000"/>
    <n v="-29.78"/>
    <s v="11"/>
    <s v="2013"/>
    <n v="28935.99"/>
    <n v="-29.78"/>
    <s v="CREDITOR"/>
    <n v="0"/>
    <n v="0"/>
    <n v="-29.78"/>
    <n v="0"/>
    <n v="0"/>
  </r>
  <r>
    <n v="55817166"/>
    <s v="N"/>
    <n v="21329594"/>
    <s v="3000013209720006RC"/>
    <s v="CIVIL"/>
    <d v="2023-06-19T00:00:00"/>
    <d v="2023-07-04T19:38:37"/>
    <m/>
    <d v="2023-07-04T00:00:00"/>
    <n v="1861"/>
    <n v="614"/>
    <s v="55817166"/>
    <s v="55817166"/>
    <m/>
    <m/>
    <m/>
    <m/>
    <m/>
    <m/>
    <s v="SOLRECOUP"/>
    <s v="SOLRECOUP"/>
    <s v="POARECOUP"/>
    <n v="21329594"/>
    <n v="-178.67"/>
    <m/>
    <s v="Y"/>
    <n v="1"/>
    <d v="2023-07-04T19:38:38"/>
    <s v="N"/>
    <m/>
    <m/>
    <s v="Expert Disbursement"/>
    <m/>
    <s v="N"/>
    <n v="-148.89"/>
    <n v="0"/>
    <x v="1"/>
    <s v="VALIDATED"/>
    <n v="1"/>
    <s v="01.11.80.308.2013.0000"/>
    <n v="-148.89"/>
    <s v="11"/>
    <s v="2013"/>
    <n v="28935.99"/>
    <n v="-148.89"/>
    <s v="CREDITOR"/>
    <n v="0"/>
    <n v="0"/>
    <n v="-148.89"/>
    <n v="0"/>
    <n v="0"/>
  </r>
  <r>
    <n v="55817166"/>
    <s v="N"/>
    <n v="21329595"/>
    <s v="3000013209720005RC"/>
    <s v="CIVIL"/>
    <d v="2023-06-19T00:00:00"/>
    <d v="2023-07-04T19:38:37"/>
    <m/>
    <d v="2023-07-04T00:00:00"/>
    <n v="1861"/>
    <n v="614"/>
    <s v="55817166"/>
    <s v="55817166"/>
    <m/>
    <m/>
    <m/>
    <m/>
    <m/>
    <m/>
    <s v="SOLRECOUP"/>
    <s v="SOLRECOUP"/>
    <s v="POARECOUP"/>
    <n v="21329595"/>
    <n v="-486"/>
    <m/>
    <s v="Y"/>
    <n v="1"/>
    <d v="2023-07-04T19:38:38"/>
    <s v="N"/>
    <m/>
    <m/>
    <s v="Expert Disbursement"/>
    <m/>
    <s v="N"/>
    <n v="-405"/>
    <n v="0"/>
    <x v="1"/>
    <s v="VALIDATED"/>
    <n v="1"/>
    <s v="01.11.80.308.2013.0000"/>
    <n v="-405"/>
    <s v="11"/>
    <s v="2013"/>
    <n v="28935.99"/>
    <n v="-405"/>
    <s v="CREDITOR"/>
    <n v="0"/>
    <n v="0"/>
    <n v="-405"/>
    <n v="0"/>
    <n v="0"/>
  </r>
  <r>
    <n v="55817166"/>
    <s v="N"/>
    <n v="21329595"/>
    <s v="3000013209720005RC"/>
    <s v="CIVIL"/>
    <d v="2023-06-19T00:00:00"/>
    <d v="2023-07-04T19:38:37"/>
    <m/>
    <d v="2023-07-04T00:00:00"/>
    <n v="1861"/>
    <n v="614"/>
    <s v="55817166"/>
    <s v="55817166"/>
    <m/>
    <m/>
    <m/>
    <m/>
    <m/>
    <m/>
    <s v="SOLRECOUP"/>
    <s v="SOLRECOUP"/>
    <s v="POARECOUP"/>
    <n v="21329595"/>
    <n v="-486"/>
    <m/>
    <s v="Y"/>
    <n v="2"/>
    <d v="2023-07-04T19:38:38"/>
    <s v="N"/>
    <m/>
    <m/>
    <s v="Expert Disbursement"/>
    <m/>
    <s v="N"/>
    <n v="0"/>
    <n v="-81"/>
    <x v="1"/>
    <s v="VALIDATED"/>
    <n v="1"/>
    <s v="01.11.80.308.2013.0000"/>
    <n v="-81"/>
    <s v="11"/>
    <s v="2013"/>
    <n v="28935.99"/>
    <n v="-81"/>
    <s v="CREDITOR"/>
    <n v="0"/>
    <n v="0"/>
    <n v="-81"/>
    <n v="0"/>
    <n v="0"/>
  </r>
  <r>
    <n v="55817166"/>
    <s v="N"/>
    <n v="21329596"/>
    <s v="3000013209720009RC"/>
    <s v="CIVIL"/>
    <d v="2023-06-19T00:00:00"/>
    <d v="2023-07-04T19:38:37"/>
    <m/>
    <d v="2023-07-04T00:00:00"/>
    <n v="1861"/>
    <n v="614"/>
    <s v="55817166"/>
    <s v="55817166"/>
    <m/>
    <m/>
    <m/>
    <m/>
    <m/>
    <m/>
    <s v="SOLRECOUP"/>
    <s v="SOLRECOUP"/>
    <s v="POARECOUP"/>
    <n v="21329596"/>
    <n v="-2814.46"/>
    <m/>
    <s v="Y"/>
    <n v="2"/>
    <d v="2023-07-04T19:38:38"/>
    <s v="N"/>
    <m/>
    <m/>
    <s v="Profit Cost"/>
    <m/>
    <s v="N"/>
    <n v="0"/>
    <n v="-469.08"/>
    <x v="1"/>
    <s v="VALIDATED"/>
    <n v="1"/>
    <s v="01.11.80.308.2013.0000"/>
    <n v="-469.08"/>
    <s v="11"/>
    <s v="2013"/>
    <n v="28935.99"/>
    <n v="-469.08"/>
    <s v="CREDITOR"/>
    <n v="0"/>
    <n v="0"/>
    <n v="-469.08"/>
    <n v="-117.27"/>
    <n v="0"/>
  </r>
  <r>
    <n v="55817166"/>
    <s v="N"/>
    <n v="21329596"/>
    <s v="3000013209720009RC"/>
    <s v="CIVIL"/>
    <d v="2023-06-19T00:00:00"/>
    <d v="2023-07-04T19:38:37"/>
    <m/>
    <d v="2023-07-04T00:00:00"/>
    <n v="1861"/>
    <n v="614"/>
    <s v="55817166"/>
    <s v="55817166"/>
    <m/>
    <m/>
    <m/>
    <m/>
    <m/>
    <m/>
    <s v="SOLRECOUP"/>
    <s v="SOLRECOUP"/>
    <s v="POARECOUP"/>
    <n v="21329596"/>
    <n v="-2814.46"/>
    <m/>
    <s v="Y"/>
    <n v="1"/>
    <d v="2023-07-04T19:38:38"/>
    <s v="N"/>
    <m/>
    <m/>
    <s v="Profit Cost"/>
    <m/>
    <s v="N"/>
    <n v="-2345.38"/>
    <n v="0"/>
    <x v="1"/>
    <s v="VALIDATED"/>
    <n v="1"/>
    <s v="01.11.80.308.2013.0000"/>
    <n v="-2345.38"/>
    <s v="11"/>
    <s v="2013"/>
    <n v="28935.99"/>
    <n v="-2345.38"/>
    <s v="CREDITOR"/>
    <n v="0"/>
    <n v="0"/>
    <n v="-2345.38"/>
    <n v="-586.345"/>
    <n v="0"/>
  </r>
  <r>
    <n v="61827164"/>
    <s v="N"/>
    <n v="21340127"/>
    <s v="3000015896090001RC"/>
    <s v="CIVIL"/>
    <d v="2023-06-23T00:00:00"/>
    <d v="2023-07-06T19:54:22"/>
    <m/>
    <d v="2023-07-06T00:00:00"/>
    <n v="1861"/>
    <n v="614"/>
    <s v="61827164"/>
    <s v="61827164"/>
    <m/>
    <m/>
    <m/>
    <m/>
    <m/>
    <m/>
    <s v="SOLRECOUP"/>
    <s v="SOLRECOUP"/>
    <s v="POARECOUP"/>
    <n v="21340127"/>
    <n v="-213.04"/>
    <m/>
    <s v="Y"/>
    <n v="1"/>
    <d v="2023-07-06T19:54:23"/>
    <s v="N"/>
    <m/>
    <m/>
    <s v="Expert Disbursement"/>
    <m/>
    <s v="N"/>
    <n v="-177.53"/>
    <n v="0"/>
    <x v="4"/>
    <s v="VALIDATED"/>
    <n v="1"/>
    <s v="01.11.80.308.2013.0000"/>
    <n v="-177.53"/>
    <s v="11"/>
    <s v="2013"/>
    <n v="28935.99"/>
    <n v="-177.53"/>
    <s v="CREDITOR"/>
    <n v="0"/>
    <n v="0"/>
    <n v="-177.53"/>
    <n v="0"/>
    <n v="0"/>
  </r>
  <r>
    <n v="61827164"/>
    <s v="N"/>
    <n v="21340127"/>
    <s v="3000015896090001RC"/>
    <s v="CIVIL"/>
    <d v="2023-06-23T00:00:00"/>
    <d v="2023-07-06T19:54:22"/>
    <m/>
    <d v="2023-07-06T00:00:00"/>
    <n v="1861"/>
    <n v="614"/>
    <s v="61827164"/>
    <s v="61827164"/>
    <m/>
    <m/>
    <m/>
    <m/>
    <m/>
    <m/>
    <s v="SOLRECOUP"/>
    <s v="SOLRECOUP"/>
    <s v="POARECOUP"/>
    <n v="21340127"/>
    <n v="-213.04"/>
    <m/>
    <s v="Y"/>
    <n v="2"/>
    <d v="2023-07-06T19:54:23"/>
    <s v="N"/>
    <m/>
    <m/>
    <s v="Expert Disbursement"/>
    <m/>
    <s v="N"/>
    <n v="0"/>
    <n v="-35.51"/>
    <x v="4"/>
    <s v="VALIDATED"/>
    <n v="1"/>
    <s v="01.11.80.308.2013.0000"/>
    <n v="-35.51"/>
    <s v="11"/>
    <s v="2013"/>
    <n v="28935.99"/>
    <n v="-35.51"/>
    <s v="CREDITOR"/>
    <n v="0"/>
    <n v="0"/>
    <n v="-35.51"/>
    <n v="0"/>
    <n v="0"/>
  </r>
  <r>
    <n v="5120070"/>
    <s v="N"/>
    <n v="21356904"/>
    <s v="3000002016040007RC"/>
    <s v="CIVIL"/>
    <d v="2023-06-20T00:00:00"/>
    <d v="2023-07-10T19:47:44"/>
    <m/>
    <d v="2023-07-10T00:00:00"/>
    <n v="1861"/>
    <n v="614"/>
    <s v="5120070"/>
    <s v="5120070"/>
    <m/>
    <m/>
    <m/>
    <m/>
    <m/>
    <m/>
    <s v="SOLRECOUP"/>
    <s v="SOLRECOUP"/>
    <s v="POARECOUP"/>
    <n v="21356904"/>
    <n v="-138.9"/>
    <m/>
    <s v="Y"/>
    <n v="1"/>
    <d v="2023-07-10T19:47:46"/>
    <s v="N"/>
    <m/>
    <m/>
    <s v="Expert Disbursement"/>
    <m/>
    <s v="N"/>
    <n v="-115.75"/>
    <n v="0"/>
    <x v="2"/>
    <s v="VALIDATED"/>
    <n v="1"/>
    <s v="01.11.80.308.2013.0000"/>
    <n v="-115.75"/>
    <s v="11"/>
    <s v="2013"/>
    <n v="28935.99"/>
    <n v="-115.75"/>
    <s v="CREDITOR"/>
    <n v="0"/>
    <n v="0"/>
    <n v="-115.75"/>
    <n v="0"/>
    <n v="0"/>
  </r>
  <r>
    <n v="5120070"/>
    <s v="N"/>
    <n v="21356904"/>
    <s v="3000002016040007RC"/>
    <s v="CIVIL"/>
    <d v="2023-06-20T00:00:00"/>
    <d v="2023-07-10T19:47:44"/>
    <m/>
    <d v="2023-07-10T00:00:00"/>
    <n v="1861"/>
    <n v="614"/>
    <s v="5120070"/>
    <s v="5120070"/>
    <m/>
    <m/>
    <m/>
    <m/>
    <m/>
    <m/>
    <s v="SOLRECOUP"/>
    <s v="SOLRECOUP"/>
    <s v="POARECOUP"/>
    <n v="21356904"/>
    <n v="-138.9"/>
    <m/>
    <s v="Y"/>
    <n v="2"/>
    <d v="2023-07-10T19:47:46"/>
    <s v="N"/>
    <m/>
    <m/>
    <s v="Expert Disbursement"/>
    <m/>
    <s v="N"/>
    <n v="0"/>
    <n v="-23.15"/>
    <x v="2"/>
    <s v="VALIDATED"/>
    <n v="1"/>
    <s v="01.11.80.308.2013.0000"/>
    <n v="-23.15"/>
    <s v="11"/>
    <s v="2013"/>
    <n v="28935.99"/>
    <n v="-23.15"/>
    <s v="CREDITOR"/>
    <n v="0"/>
    <n v="0"/>
    <n v="-23.15"/>
    <n v="0"/>
    <n v="0"/>
  </r>
  <r>
    <n v="5120070"/>
    <s v="N"/>
    <n v="21356905"/>
    <s v="3000002016040009RC"/>
    <s v="CIVIL"/>
    <d v="2023-06-20T00:00:00"/>
    <d v="2023-07-10T19:47:44"/>
    <m/>
    <d v="2023-07-10T00:00:00"/>
    <n v="1861"/>
    <n v="614"/>
    <s v="5120070"/>
    <s v="5120070"/>
    <m/>
    <m/>
    <m/>
    <m/>
    <m/>
    <m/>
    <s v="SOLRECOUP"/>
    <s v="SOLRECOUP"/>
    <s v="POARECOUP"/>
    <n v="21356905"/>
    <n v="-107.75"/>
    <m/>
    <s v="Y"/>
    <n v="1"/>
    <d v="2023-07-10T19:47:46"/>
    <s v="N"/>
    <m/>
    <m/>
    <s v="Expert Disbursement"/>
    <m/>
    <s v="N"/>
    <n v="-107.75"/>
    <n v="0"/>
    <x v="2"/>
    <s v="VALIDATED"/>
    <n v="1"/>
    <s v="01.11.80.308.2013.0000"/>
    <n v="-107.75"/>
    <s v="11"/>
    <s v="2013"/>
    <n v="28935.99"/>
    <n v="-107.75"/>
    <s v="CREDITOR"/>
    <n v="0"/>
    <n v="0"/>
    <n v="-107.75"/>
    <n v="0"/>
    <n v="0"/>
  </r>
  <r>
    <n v="5120070"/>
    <s v="N"/>
    <n v="21356905"/>
    <s v="3000002016040009RC"/>
    <s v="CIVIL"/>
    <d v="2023-06-20T00:00:00"/>
    <d v="2023-07-10T19:47:44"/>
    <m/>
    <d v="2023-07-10T00:00:00"/>
    <n v="1861"/>
    <n v="614"/>
    <s v="5120070"/>
    <s v="5120070"/>
    <m/>
    <m/>
    <m/>
    <m/>
    <m/>
    <m/>
    <s v="SOLRECOUP"/>
    <s v="SOLRECOUP"/>
    <s v="POARECOUP"/>
    <n v="21356905"/>
    <n v="-107.75"/>
    <m/>
    <s v="Y"/>
    <n v="2"/>
    <d v="2023-07-10T19:47:46"/>
    <s v="N"/>
    <m/>
    <m/>
    <s v="Expert Disbursement"/>
    <m/>
    <s v="N"/>
    <n v="0"/>
    <n v="0"/>
    <x v="2"/>
    <s v="VALIDATED"/>
    <n v="1"/>
    <s v="01.11.80.000.0000.0000"/>
    <n v="0"/>
    <s v="11"/>
    <s v="0000"/>
    <n v="28935.99"/>
    <n v="0"/>
    <s v="CREDITOR"/>
    <n v="0"/>
    <n v="0"/>
    <n v="0"/>
    <n v="0"/>
    <n v="0"/>
  </r>
  <r>
    <n v="5120070"/>
    <s v="N"/>
    <n v="21356906"/>
    <s v="3000002016040008RC"/>
    <s v="CIVIL"/>
    <d v="2023-06-20T00:00:00"/>
    <d v="2023-07-10T19:47:44"/>
    <m/>
    <d v="2023-07-10T00:00:00"/>
    <n v="1861"/>
    <n v="614"/>
    <s v="5120070"/>
    <s v="5120070"/>
    <m/>
    <m/>
    <m/>
    <m/>
    <m/>
    <m/>
    <s v="SOLRECOUP"/>
    <s v="SOLRECOUP"/>
    <s v="POARECOUP"/>
    <n v="21356906"/>
    <n v="-458.45"/>
    <m/>
    <s v="Y"/>
    <n v="1"/>
    <d v="2023-07-10T19:47:46"/>
    <s v="N"/>
    <m/>
    <m/>
    <s v="Expert Disbursement"/>
    <m/>
    <s v="N"/>
    <n v="-458.45"/>
    <n v="0"/>
    <x v="2"/>
    <s v="VALIDATED"/>
    <n v="1"/>
    <s v="01.11.80.308.2013.0000"/>
    <n v="-458.45"/>
    <s v="11"/>
    <s v="2013"/>
    <n v="28935.99"/>
    <n v="-458.45"/>
    <s v="CREDITOR"/>
    <n v="0"/>
    <n v="0"/>
    <n v="-458.45"/>
    <n v="0"/>
    <n v="0"/>
  </r>
  <r>
    <n v="5120070"/>
    <s v="N"/>
    <n v="21356906"/>
    <s v="3000002016040008RC"/>
    <s v="CIVIL"/>
    <d v="2023-06-20T00:00:00"/>
    <d v="2023-07-10T19:47:44"/>
    <m/>
    <d v="2023-07-10T00:00:00"/>
    <n v="1861"/>
    <n v="614"/>
    <s v="5120070"/>
    <s v="5120070"/>
    <m/>
    <m/>
    <m/>
    <m/>
    <m/>
    <m/>
    <s v="SOLRECOUP"/>
    <s v="SOLRECOUP"/>
    <s v="POARECOUP"/>
    <n v="21356906"/>
    <n v="-458.45"/>
    <m/>
    <s v="Y"/>
    <n v="2"/>
    <d v="2023-07-10T19:47:46"/>
    <s v="N"/>
    <m/>
    <m/>
    <s v="Expert Disbursement"/>
    <m/>
    <s v="N"/>
    <n v="0"/>
    <n v="0"/>
    <x v="2"/>
    <s v="VALIDATED"/>
    <n v="1"/>
    <s v="01.11.80.000.0000.0000"/>
    <n v="0"/>
    <s v="11"/>
    <s v="0000"/>
    <n v="28935.99"/>
    <n v="0"/>
    <s v="CREDITOR"/>
    <n v="0"/>
    <n v="0"/>
    <n v="0"/>
    <n v="0"/>
    <n v="0"/>
  </r>
  <r>
    <n v="5120070"/>
    <s v="N"/>
    <n v="21356907"/>
    <s v="3000002016040002RC"/>
    <s v="CIVIL"/>
    <d v="2023-06-20T00:00:00"/>
    <d v="2023-07-10T19:47:44"/>
    <m/>
    <d v="2023-07-10T00:00:00"/>
    <n v="1861"/>
    <n v="614"/>
    <s v="5120070"/>
    <s v="5120070"/>
    <m/>
    <m/>
    <m/>
    <m/>
    <m/>
    <m/>
    <s v="SOLRECOUP"/>
    <s v="SOLRECOUP"/>
    <s v="POARECOUP"/>
    <n v="21356907"/>
    <n v="-70"/>
    <m/>
    <s v="Y"/>
    <n v="2"/>
    <d v="2023-07-10T19:47:46"/>
    <s v="N"/>
    <m/>
    <m/>
    <s v="Expert Disbursement"/>
    <m/>
    <s v="N"/>
    <n v="0"/>
    <n v="0"/>
    <x v="2"/>
    <s v="VALIDATED"/>
    <n v="1"/>
    <s v="01.11.80.000.0000.0000"/>
    <n v="0"/>
    <s v="11"/>
    <s v="0000"/>
    <n v="28935.99"/>
    <n v="0"/>
    <s v="CREDITOR"/>
    <n v="0"/>
    <n v="0"/>
    <n v="0"/>
    <n v="0"/>
    <n v="0"/>
  </r>
  <r>
    <n v="5120070"/>
    <s v="N"/>
    <n v="21356907"/>
    <s v="3000002016040002RC"/>
    <s v="CIVIL"/>
    <d v="2023-06-20T00:00:00"/>
    <d v="2023-07-10T19:47:44"/>
    <m/>
    <d v="2023-07-10T00:00:00"/>
    <n v="1861"/>
    <n v="614"/>
    <s v="5120070"/>
    <s v="5120070"/>
    <m/>
    <m/>
    <m/>
    <m/>
    <m/>
    <m/>
    <s v="SOLRECOUP"/>
    <s v="SOLRECOUP"/>
    <s v="POARECOUP"/>
    <n v="21356907"/>
    <n v="-70"/>
    <m/>
    <s v="Y"/>
    <n v="1"/>
    <d v="2023-07-10T19:47:46"/>
    <s v="N"/>
    <m/>
    <m/>
    <s v="Expert Disbursement"/>
    <m/>
    <s v="N"/>
    <n v="-70"/>
    <n v="0"/>
    <x v="2"/>
    <s v="VALIDATED"/>
    <n v="1"/>
    <s v="01.11.80.308.2013.0000"/>
    <n v="-70"/>
    <s v="11"/>
    <s v="2013"/>
    <n v="28935.99"/>
    <n v="-70"/>
    <s v="CREDITOR"/>
    <n v="0"/>
    <n v="0"/>
    <n v="-70"/>
    <n v="0"/>
    <n v="0"/>
  </r>
  <r>
    <n v="5120070"/>
    <s v="N"/>
    <n v="21356908"/>
    <s v="3000002016040003RC"/>
    <s v="CIVIL"/>
    <d v="2023-06-20T00:00:00"/>
    <d v="2023-07-10T19:47:44"/>
    <m/>
    <d v="2023-07-10T00:00:00"/>
    <n v="1861"/>
    <n v="614"/>
    <s v="5120070"/>
    <s v="5120070"/>
    <m/>
    <m/>
    <m/>
    <m/>
    <m/>
    <m/>
    <s v="SOLRECOUP"/>
    <s v="SOLRECOUP"/>
    <s v="POARECOUP"/>
    <n v="21356908"/>
    <n v="-127.2"/>
    <m/>
    <s v="Y"/>
    <n v="2"/>
    <d v="2023-07-10T19:47:46"/>
    <s v="N"/>
    <m/>
    <m/>
    <s v="Expert Disbursement"/>
    <m/>
    <s v="N"/>
    <n v="0"/>
    <n v="-21.2"/>
    <x v="2"/>
    <s v="VALIDATED"/>
    <n v="1"/>
    <s v="01.11.80.308.2013.0000"/>
    <n v="-21.2"/>
    <s v="11"/>
    <s v="2013"/>
    <n v="28935.99"/>
    <n v="-21.2"/>
    <s v="CREDITOR"/>
    <n v="0"/>
    <n v="0"/>
    <n v="-21.2"/>
    <n v="0"/>
    <n v="0"/>
  </r>
  <r>
    <n v="5120070"/>
    <s v="N"/>
    <n v="21356908"/>
    <s v="3000002016040003RC"/>
    <s v="CIVIL"/>
    <d v="2023-06-20T00:00:00"/>
    <d v="2023-07-10T19:47:44"/>
    <m/>
    <d v="2023-07-10T00:00:00"/>
    <n v="1861"/>
    <n v="614"/>
    <s v="5120070"/>
    <s v="5120070"/>
    <m/>
    <m/>
    <m/>
    <m/>
    <m/>
    <m/>
    <s v="SOLRECOUP"/>
    <s v="SOLRECOUP"/>
    <s v="POARECOUP"/>
    <n v="21356908"/>
    <n v="-127.2"/>
    <m/>
    <s v="Y"/>
    <n v="1"/>
    <d v="2023-07-10T19:47:46"/>
    <s v="N"/>
    <m/>
    <m/>
    <s v="Expert Disbursement"/>
    <m/>
    <s v="N"/>
    <n v="-106"/>
    <n v="0"/>
    <x v="2"/>
    <s v="VALIDATED"/>
    <n v="1"/>
    <s v="01.11.80.308.2013.0000"/>
    <n v="-106"/>
    <s v="11"/>
    <s v="2013"/>
    <n v="28935.99"/>
    <n v="-106"/>
    <s v="CREDITOR"/>
    <n v="0"/>
    <n v="0"/>
    <n v="-106"/>
    <n v="0"/>
    <n v="0"/>
  </r>
  <r>
    <n v="5120070"/>
    <s v="N"/>
    <n v="21356909"/>
    <s v="3000002016040001RC"/>
    <s v="CIVIL"/>
    <d v="2023-06-20T00:00:00"/>
    <d v="2023-07-10T19:47:44"/>
    <m/>
    <d v="2023-07-10T00:00:00"/>
    <n v="1861"/>
    <n v="614"/>
    <s v="5120070"/>
    <s v="5120070"/>
    <m/>
    <m/>
    <m/>
    <m/>
    <m/>
    <m/>
    <s v="SOLRECOUP"/>
    <s v="SOLRECOUP"/>
    <s v="POARECOUP"/>
    <n v="21356909"/>
    <n v="-2190.06"/>
    <m/>
    <s v="Y"/>
    <n v="2"/>
    <d v="2023-07-10T19:47:46"/>
    <s v="N"/>
    <m/>
    <m/>
    <s v="Profit Cost"/>
    <m/>
    <s v="N"/>
    <n v="0"/>
    <n v="-365.01"/>
    <x v="2"/>
    <s v="VALIDATED"/>
    <n v="1"/>
    <s v="01.11.80.308.2013.0000"/>
    <n v="-365.01"/>
    <s v="11"/>
    <s v="2013"/>
    <n v="28935.99"/>
    <n v="-365.01"/>
    <s v="CREDITOR"/>
    <n v="0"/>
    <n v="0"/>
    <n v="-365.01"/>
    <n v="-91.2525"/>
    <n v="0"/>
  </r>
  <r>
    <n v="5120070"/>
    <s v="N"/>
    <n v="21356909"/>
    <s v="3000002016040001RC"/>
    <s v="CIVIL"/>
    <d v="2023-06-20T00:00:00"/>
    <d v="2023-07-10T19:47:44"/>
    <m/>
    <d v="2023-07-10T00:00:00"/>
    <n v="1861"/>
    <n v="614"/>
    <s v="5120070"/>
    <s v="5120070"/>
    <m/>
    <m/>
    <m/>
    <m/>
    <m/>
    <m/>
    <s v="SOLRECOUP"/>
    <s v="SOLRECOUP"/>
    <s v="POARECOUP"/>
    <n v="21356909"/>
    <n v="-2190.06"/>
    <m/>
    <s v="Y"/>
    <n v="1"/>
    <d v="2023-07-10T19:47:46"/>
    <s v="N"/>
    <m/>
    <m/>
    <s v="Profit Cost"/>
    <m/>
    <s v="N"/>
    <n v="-1825.05"/>
    <n v="0"/>
    <x v="2"/>
    <s v="VALIDATED"/>
    <n v="1"/>
    <s v="01.11.80.308.2013.0000"/>
    <n v="-1825.05"/>
    <s v="11"/>
    <s v="2013"/>
    <n v="28935.99"/>
    <n v="-1825.05"/>
    <s v="CREDITOR"/>
    <n v="0"/>
    <n v="0"/>
    <n v="-1825.05"/>
    <n v="-456.2625"/>
    <n v="0"/>
  </r>
  <r>
    <n v="5120070"/>
    <s v="N"/>
    <n v="21356910"/>
    <s v="3000002016040004RC"/>
    <s v="CIVIL"/>
    <d v="2023-06-20T00:00:00"/>
    <d v="2023-07-10T19:47:44"/>
    <m/>
    <d v="2023-07-10T00:00:00"/>
    <n v="1861"/>
    <n v="614"/>
    <s v="5120070"/>
    <s v="5120070"/>
    <m/>
    <m/>
    <m/>
    <m/>
    <m/>
    <m/>
    <s v="SOLRECOUP"/>
    <s v="SOLRECOUP"/>
    <s v="POARECOUP"/>
    <n v="21356910"/>
    <n v="-149.6"/>
    <m/>
    <s v="Y"/>
    <n v="2"/>
    <d v="2023-07-10T19:47:46"/>
    <s v="N"/>
    <m/>
    <m/>
    <s v="Expert Disbursement"/>
    <m/>
    <s v="N"/>
    <n v="0"/>
    <n v="-24.93"/>
    <x v="2"/>
    <s v="VALIDATED"/>
    <n v="1"/>
    <s v="01.11.80.000.2013.0000"/>
    <n v="-24.93"/>
    <s v="11"/>
    <s v="2013"/>
    <n v="28935.99"/>
    <n v="-24.93"/>
    <s v="CREDITOR"/>
    <n v="0"/>
    <n v="0"/>
    <n v="-24.93"/>
    <n v="0"/>
    <n v="0"/>
  </r>
  <r>
    <n v="5120070"/>
    <s v="N"/>
    <n v="21356910"/>
    <s v="3000002016040004RC"/>
    <s v="CIVIL"/>
    <d v="2023-06-20T00:00:00"/>
    <d v="2023-07-10T19:47:44"/>
    <m/>
    <d v="2023-07-10T00:00:00"/>
    <n v="1861"/>
    <n v="614"/>
    <s v="5120070"/>
    <s v="5120070"/>
    <m/>
    <m/>
    <m/>
    <m/>
    <m/>
    <m/>
    <s v="SOLRECOUP"/>
    <s v="SOLRECOUP"/>
    <s v="POARECOUP"/>
    <n v="21356910"/>
    <n v="-149.6"/>
    <m/>
    <s v="Y"/>
    <n v="1"/>
    <d v="2023-07-10T19:47:46"/>
    <s v="N"/>
    <m/>
    <m/>
    <s v="Expert Disbursement"/>
    <m/>
    <s v="N"/>
    <n v="-124.67"/>
    <n v="0"/>
    <x v="2"/>
    <s v="VALIDATED"/>
    <n v="1"/>
    <s v="01.11.80.308.2013.0000"/>
    <n v="-124.67"/>
    <s v="11"/>
    <s v="2013"/>
    <n v="28935.99"/>
    <n v="-124.67"/>
    <s v="CREDITOR"/>
    <n v="0"/>
    <n v="0"/>
    <n v="-124.67"/>
    <n v="0"/>
    <n v="0"/>
  </r>
  <r>
    <n v="5120070"/>
    <s v="N"/>
    <n v="21356911"/>
    <s v="3000002016040005RC"/>
    <s v="CIVIL"/>
    <d v="2023-06-20T00:00:00"/>
    <d v="2023-07-10T19:47:44"/>
    <m/>
    <d v="2023-07-10T00:00:00"/>
    <n v="1861"/>
    <n v="614"/>
    <s v="5120070"/>
    <s v="5120070"/>
    <m/>
    <m/>
    <m/>
    <m/>
    <m/>
    <m/>
    <s v="SOLRECOUP"/>
    <s v="SOLRECOUP"/>
    <s v="POARECOUP"/>
    <n v="21356911"/>
    <n v="-4871.58"/>
    <m/>
    <s v="Y"/>
    <n v="1"/>
    <d v="2023-07-10T19:47:46"/>
    <s v="N"/>
    <m/>
    <m/>
    <s v="Profit Cost"/>
    <m/>
    <s v="N"/>
    <n v="-4059.65"/>
    <n v="0"/>
    <x v="2"/>
    <s v="VALIDATED"/>
    <n v="1"/>
    <s v="01.11.80.308.2013.0000"/>
    <n v="-4059.65"/>
    <s v="11"/>
    <s v="2013"/>
    <n v="28935.99"/>
    <n v="-4059.65"/>
    <s v="CREDITOR"/>
    <n v="0"/>
    <n v="0"/>
    <n v="-4059.65"/>
    <n v="-1014.9125"/>
    <n v="0"/>
  </r>
  <r>
    <n v="5120070"/>
    <s v="N"/>
    <n v="21356911"/>
    <s v="3000002016040005RC"/>
    <s v="CIVIL"/>
    <d v="2023-06-20T00:00:00"/>
    <d v="2023-07-10T19:47:44"/>
    <m/>
    <d v="2023-07-10T00:00:00"/>
    <n v="1861"/>
    <n v="614"/>
    <s v="5120070"/>
    <s v="5120070"/>
    <m/>
    <m/>
    <m/>
    <m/>
    <m/>
    <m/>
    <s v="SOLRECOUP"/>
    <s v="SOLRECOUP"/>
    <s v="POARECOUP"/>
    <n v="21356911"/>
    <n v="-4871.58"/>
    <m/>
    <s v="Y"/>
    <n v="2"/>
    <d v="2023-07-10T19:47:46"/>
    <s v="N"/>
    <m/>
    <m/>
    <s v="Profit Cost"/>
    <m/>
    <s v="N"/>
    <n v="0"/>
    <n v="-811.9299999999999"/>
    <x v="2"/>
    <s v="VALIDATED"/>
    <n v="1"/>
    <s v="01.11.80.000.2013.0000"/>
    <n v="-811.9299999999999"/>
    <s v="11"/>
    <s v="2013"/>
    <n v="28935.99"/>
    <n v="-811.9299999999999"/>
    <s v="CREDITOR"/>
    <n v="0"/>
    <n v="0"/>
    <n v="-811.9299999999999"/>
    <n v="-202.9825"/>
    <n v="0"/>
  </r>
  <r>
    <n v="60469047"/>
    <s v="N"/>
    <n v="21356912"/>
    <s v="3000014749130001RC"/>
    <s v="CIVIL"/>
    <d v="2023-05-25T00:00:00"/>
    <d v="2023-07-10T19:47:44"/>
    <m/>
    <d v="2023-07-10T00:00:00"/>
    <n v="1861"/>
    <n v="614"/>
    <s v="60469047"/>
    <s v="60469047"/>
    <m/>
    <m/>
    <m/>
    <m/>
    <m/>
    <m/>
    <s v="SOLRECOUP"/>
    <s v="SOLRECOUP"/>
    <s v="POARECOUP"/>
    <n v="21356912"/>
    <n v="-1146.29"/>
    <m/>
    <s v="Y"/>
    <n v="1"/>
    <d v="2023-07-10T19:47:46"/>
    <s v="N"/>
    <m/>
    <m/>
    <s v="Profit Cost"/>
    <m/>
    <s v="N"/>
    <n v="-955.24"/>
    <n v="0"/>
    <x v="2"/>
    <s v="VALIDATED"/>
    <n v="1"/>
    <s v="01.11.80.305.2013.0000"/>
    <n v="-955.24"/>
    <s v="11"/>
    <s v="2013"/>
    <n v="28935.99"/>
    <n v="-955.24"/>
    <s v="CREDITOR"/>
    <n v="0"/>
    <n v="0"/>
    <n v="-955.24"/>
    <n v="-238.81"/>
    <n v="0"/>
  </r>
  <r>
    <n v="60469047"/>
    <s v="N"/>
    <n v="21356912"/>
    <s v="3000014749130001RC"/>
    <s v="CIVIL"/>
    <d v="2023-05-25T00:00:00"/>
    <d v="2023-07-10T19:47:44"/>
    <m/>
    <d v="2023-07-10T00:00:00"/>
    <n v="1861"/>
    <n v="614"/>
    <s v="60469047"/>
    <s v="60469047"/>
    <m/>
    <m/>
    <m/>
    <m/>
    <m/>
    <m/>
    <s v="SOLRECOUP"/>
    <s v="SOLRECOUP"/>
    <s v="POARECOUP"/>
    <n v="21356912"/>
    <n v="-1146.29"/>
    <m/>
    <s v="Y"/>
    <n v="2"/>
    <d v="2023-07-10T19:47:46"/>
    <s v="N"/>
    <m/>
    <m/>
    <s v="Profit Cost"/>
    <m/>
    <s v="N"/>
    <n v="0"/>
    <n v="-191.05"/>
    <x v="2"/>
    <s v="VALIDATED"/>
    <n v="1"/>
    <s v="01.11.80.305.2013.0000"/>
    <n v="-191.05"/>
    <s v="11"/>
    <s v="2013"/>
    <n v="28935.99"/>
    <n v="-191.05"/>
    <s v="CREDITOR"/>
    <n v="0"/>
    <n v="0"/>
    <n v="-191.05"/>
    <n v="-47.7625"/>
    <n v="0"/>
  </r>
  <r>
    <n v="61719871"/>
    <s v="N"/>
    <n v="21356913"/>
    <s v="3000015807500001RC"/>
    <s v="CIVIL"/>
    <d v="2023-06-26T00:00:00"/>
    <d v="2023-07-10T19:47:44"/>
    <m/>
    <d v="2023-07-10T00:00:00"/>
    <n v="1861"/>
    <n v="614"/>
    <s v="61719871"/>
    <s v="61719871"/>
    <m/>
    <m/>
    <m/>
    <m/>
    <m/>
    <m/>
    <s v="SOLRECOUP"/>
    <s v="SOLRECOUP"/>
    <s v="POARECOUP"/>
    <n v="21356913"/>
    <n v="-167"/>
    <m/>
    <s v="Y"/>
    <n v="1"/>
    <d v="2023-07-10T19:47:46"/>
    <s v="N"/>
    <m/>
    <m/>
    <s v="Expert Disbursement"/>
    <m/>
    <s v="N"/>
    <n v="-167"/>
    <n v="0"/>
    <x v="2"/>
    <s v="VALIDATED"/>
    <n v="1"/>
    <s v="01.11.80.308.2013.0000"/>
    <n v="-167"/>
    <s v="11"/>
    <s v="2013"/>
    <n v="28935.99"/>
    <n v="-167"/>
    <s v="CREDITOR"/>
    <n v="0"/>
    <n v="0"/>
    <n v="-167"/>
    <n v="0"/>
    <n v="0"/>
  </r>
  <r>
    <n v="61719871"/>
    <s v="N"/>
    <n v="21356913"/>
    <s v="3000015807500001RC"/>
    <s v="CIVIL"/>
    <d v="2023-06-26T00:00:00"/>
    <d v="2023-07-10T19:47:44"/>
    <m/>
    <d v="2023-07-10T00:00:00"/>
    <n v="1861"/>
    <n v="614"/>
    <s v="61719871"/>
    <s v="61719871"/>
    <m/>
    <m/>
    <m/>
    <m/>
    <m/>
    <m/>
    <s v="SOLRECOUP"/>
    <s v="SOLRECOUP"/>
    <s v="POARECOUP"/>
    <n v="21356913"/>
    <n v="-167"/>
    <m/>
    <s v="Y"/>
    <n v="2"/>
    <d v="2023-07-10T19:47:46"/>
    <s v="N"/>
    <m/>
    <m/>
    <s v="Expert Disbursement"/>
    <m/>
    <s v="N"/>
    <n v="0"/>
    <n v="0"/>
    <x v="2"/>
    <s v="VALIDATED"/>
    <n v="1"/>
    <s v="01.11.80.000.0000.0000"/>
    <n v="0"/>
    <s v="11"/>
    <s v="0000"/>
    <n v="28935.99"/>
    <n v="0"/>
    <s v="CREDITOR"/>
    <n v="0"/>
    <n v="0"/>
    <n v="0"/>
    <n v="0"/>
    <n v="0"/>
  </r>
  <r>
    <n v="60469047"/>
    <s v="N"/>
    <n v="21356914"/>
    <s v="3000014749130002RC"/>
    <s v="CIVIL"/>
    <d v="2023-05-25T00:00:00"/>
    <d v="2023-07-10T19:47:44"/>
    <m/>
    <d v="2023-07-10T00:00:00"/>
    <n v="1861"/>
    <n v="614"/>
    <s v="60469047"/>
    <s v="60469047"/>
    <m/>
    <m/>
    <m/>
    <m/>
    <m/>
    <m/>
    <s v="SOLRECOUP"/>
    <s v="SOLRECOUP"/>
    <s v="POARECOUP"/>
    <n v="21356914"/>
    <n v="-1812.5"/>
    <m/>
    <s v="Y"/>
    <n v="2"/>
    <d v="2023-07-10T19:47:46"/>
    <s v="N"/>
    <m/>
    <m/>
    <s v="Profit Cost"/>
    <m/>
    <s v="N"/>
    <n v="0"/>
    <n v="-302.08"/>
    <x v="2"/>
    <s v="VALIDATED"/>
    <n v="1"/>
    <s v="01.11.80.305.2013.0000"/>
    <n v="-302.08"/>
    <s v="11"/>
    <s v="2013"/>
    <n v="28935.99"/>
    <n v="-302.08"/>
    <s v="CREDITOR"/>
    <n v="0"/>
    <n v="0"/>
    <n v="-302.08"/>
    <n v="-75.52"/>
    <n v="0"/>
  </r>
  <r>
    <n v="60469047"/>
    <s v="N"/>
    <n v="21356914"/>
    <s v="3000014749130002RC"/>
    <s v="CIVIL"/>
    <d v="2023-05-25T00:00:00"/>
    <d v="2023-07-10T19:47:44"/>
    <m/>
    <d v="2023-07-10T00:00:00"/>
    <n v="1861"/>
    <n v="614"/>
    <s v="60469047"/>
    <s v="60469047"/>
    <m/>
    <m/>
    <m/>
    <m/>
    <m/>
    <m/>
    <s v="SOLRECOUP"/>
    <s v="SOLRECOUP"/>
    <s v="POARECOUP"/>
    <n v="21356914"/>
    <n v="-1812.5"/>
    <m/>
    <s v="Y"/>
    <n v="1"/>
    <d v="2023-07-10T19:47:46"/>
    <s v="N"/>
    <m/>
    <m/>
    <s v="Profit Cost"/>
    <m/>
    <s v="N"/>
    <n v="-1510.42"/>
    <n v="0"/>
    <x v="2"/>
    <s v="VALIDATED"/>
    <n v="1"/>
    <s v="01.11.80.305.2013.0000"/>
    <n v="-1510.42"/>
    <s v="11"/>
    <s v="2013"/>
    <n v="28935.99"/>
    <n v="-1510.42"/>
    <s v="CREDITOR"/>
    <n v="0"/>
    <n v="0"/>
    <n v="-1510.42"/>
    <n v="-377.605"/>
    <n v="0"/>
  </r>
  <r>
    <n v="60469047"/>
    <s v="N"/>
    <n v="21356915"/>
    <s v="3000014749130003RC"/>
    <s v="CIVIL"/>
    <d v="2023-05-25T00:00:00"/>
    <d v="2023-07-10T19:47:44"/>
    <m/>
    <d v="2023-07-10T00:00:00"/>
    <n v="1861"/>
    <n v="614"/>
    <s v="60469047"/>
    <s v="60469047"/>
    <m/>
    <m/>
    <m/>
    <m/>
    <m/>
    <m/>
    <s v="SOLRECOUP"/>
    <s v="SOLRECOUP"/>
    <s v="POARECOUP"/>
    <n v="21356915"/>
    <n v="-1667.24"/>
    <m/>
    <s v="Y"/>
    <n v="2"/>
    <d v="2023-07-10T19:47:46"/>
    <s v="N"/>
    <m/>
    <m/>
    <s v="Profit Cost"/>
    <m/>
    <s v="N"/>
    <n v="0"/>
    <n v="-277.87"/>
    <x v="2"/>
    <s v="VALIDATED"/>
    <n v="1"/>
    <s v="01.11.80.305.2013.0000"/>
    <n v="-277.87"/>
    <s v="11"/>
    <s v="2013"/>
    <n v="28935.99"/>
    <n v="-277.87"/>
    <s v="CREDITOR"/>
    <n v="0"/>
    <n v="0"/>
    <n v="-277.87"/>
    <n v="-69.4675"/>
    <n v="0"/>
  </r>
  <r>
    <n v="60469047"/>
    <s v="N"/>
    <n v="21356915"/>
    <s v="3000014749130003RC"/>
    <s v="CIVIL"/>
    <d v="2023-05-25T00:00:00"/>
    <d v="2023-07-10T19:47:44"/>
    <m/>
    <d v="2023-07-10T00:00:00"/>
    <n v="1861"/>
    <n v="614"/>
    <s v="60469047"/>
    <s v="60469047"/>
    <m/>
    <m/>
    <m/>
    <m/>
    <m/>
    <m/>
    <s v="SOLRECOUP"/>
    <s v="SOLRECOUP"/>
    <s v="POARECOUP"/>
    <n v="21356915"/>
    <n v="-1667.24"/>
    <m/>
    <s v="Y"/>
    <n v="1"/>
    <d v="2023-07-10T19:47:46"/>
    <s v="N"/>
    <m/>
    <m/>
    <s v="Profit Cost"/>
    <m/>
    <s v="N"/>
    <n v="-1389.37"/>
    <n v="0"/>
    <x v="2"/>
    <s v="VALIDATED"/>
    <n v="1"/>
    <s v="01.11.80.305.2013.0000"/>
    <n v="-1389.37"/>
    <s v="11"/>
    <s v="2013"/>
    <n v="28935.99"/>
    <n v="-1389.37"/>
    <s v="CREDITOR"/>
    <n v="0"/>
    <n v="0"/>
    <n v="-1389.37"/>
    <n v="-347.3425"/>
    <n v="0"/>
  </r>
  <r>
    <n v="43673364"/>
    <s v="N"/>
    <n v="21361658"/>
    <s v="3000011588620015RC"/>
    <s v="CIVIL"/>
    <d v="2023-06-22T00:00:00"/>
    <d v="2023-07-11T19:38:00"/>
    <m/>
    <d v="2023-07-11T00:00:00"/>
    <n v="1861"/>
    <n v="614"/>
    <s v="43673364"/>
    <s v="43673364"/>
    <m/>
    <m/>
    <m/>
    <m/>
    <m/>
    <m/>
    <s v="SOLRECOUP"/>
    <s v="SOLRECOUP"/>
    <s v="POARECOUP"/>
    <n v="21361658"/>
    <n v="-117"/>
    <m/>
    <s v="Y"/>
    <n v="2"/>
    <d v="2023-07-11T19:38:02"/>
    <s v="N"/>
    <m/>
    <m/>
    <s v="Expert Disbursement"/>
    <m/>
    <s v="N"/>
    <n v="0"/>
    <n v="-19.5"/>
    <x v="7"/>
    <s v="VALIDATED"/>
    <n v="1"/>
    <s v="01.11.80.308.2013.0000"/>
    <n v="-19.5"/>
    <s v="11"/>
    <s v="2013"/>
    <n v="28935.99"/>
    <n v="-19.5"/>
    <s v="CREDITOR"/>
    <n v="0"/>
    <n v="0"/>
    <n v="-19.5"/>
    <n v="0"/>
    <n v="0"/>
  </r>
  <r>
    <n v="43673364"/>
    <s v="N"/>
    <n v="21361659"/>
    <s v="3000011588620009RC"/>
    <s v="CIVIL"/>
    <d v="2023-06-22T00:00:00"/>
    <d v="2023-07-11T19:38:00"/>
    <m/>
    <d v="2023-07-11T00:00:00"/>
    <n v="1861"/>
    <n v="614"/>
    <s v="43673364"/>
    <s v="43673364"/>
    <m/>
    <m/>
    <m/>
    <m/>
    <m/>
    <m/>
    <s v="SOLRECOUP"/>
    <s v="SOLRECOUP"/>
    <s v="POARECOUP"/>
    <n v="21361659"/>
    <n v="-702"/>
    <m/>
    <s v="Y"/>
    <n v="1"/>
    <d v="2023-07-11T19:38:02"/>
    <s v="N"/>
    <m/>
    <m/>
    <s v="Expert Disbursement"/>
    <m/>
    <s v="N"/>
    <n v="-585"/>
    <n v="0"/>
    <x v="7"/>
    <s v="VALIDATED"/>
    <n v="1"/>
    <s v="01.11.80.308.2013.0000"/>
    <n v="-585"/>
    <s v="11"/>
    <s v="2013"/>
    <n v="28935.99"/>
    <n v="-585"/>
    <s v="CREDITOR"/>
    <n v="0"/>
    <n v="0"/>
    <n v="-585"/>
    <n v="0"/>
    <n v="0"/>
  </r>
  <r>
    <n v="43673364"/>
    <s v="N"/>
    <n v="21361659"/>
    <s v="3000011588620009RC"/>
    <s v="CIVIL"/>
    <d v="2023-06-22T00:00:00"/>
    <d v="2023-07-11T19:38:00"/>
    <m/>
    <d v="2023-07-11T00:00:00"/>
    <n v="1861"/>
    <n v="614"/>
    <s v="43673364"/>
    <s v="43673364"/>
    <m/>
    <m/>
    <m/>
    <m/>
    <m/>
    <m/>
    <s v="SOLRECOUP"/>
    <s v="SOLRECOUP"/>
    <s v="POARECOUP"/>
    <n v="21361659"/>
    <n v="-702"/>
    <m/>
    <s v="Y"/>
    <n v="2"/>
    <d v="2023-07-11T19:38:02"/>
    <s v="N"/>
    <m/>
    <m/>
    <s v="Expert Disbursement"/>
    <m/>
    <s v="N"/>
    <n v="0"/>
    <n v="-117"/>
    <x v="7"/>
    <s v="VALIDATED"/>
    <n v="1"/>
    <s v="01.11.80.308.2013.0000"/>
    <n v="-117"/>
    <s v="11"/>
    <s v="2013"/>
    <n v="28935.99"/>
    <n v="-117"/>
    <s v="CREDITOR"/>
    <n v="0"/>
    <n v="0"/>
    <n v="-117"/>
    <n v="0"/>
    <n v="0"/>
  </r>
  <r>
    <n v="43673364"/>
    <s v="N"/>
    <n v="21361660"/>
    <s v="3000011588620010RC"/>
    <s v="CIVIL"/>
    <d v="2023-06-22T00:00:00"/>
    <d v="2023-07-11T19:38:00"/>
    <m/>
    <d v="2023-07-11T00:00:00"/>
    <n v="1861"/>
    <n v="614"/>
    <s v="43673364"/>
    <s v="43673364"/>
    <m/>
    <m/>
    <m/>
    <m/>
    <m/>
    <m/>
    <s v="SOLRECOUP"/>
    <s v="SOLRECOUP"/>
    <s v="POARECOUP"/>
    <n v="21361660"/>
    <n v="-154.44"/>
    <m/>
    <s v="Y"/>
    <n v="1"/>
    <d v="2023-07-11T19:38:02"/>
    <s v="N"/>
    <m/>
    <m/>
    <s v="Expert Disbursement"/>
    <m/>
    <s v="N"/>
    <n v="-128.7"/>
    <n v="0"/>
    <x v="7"/>
    <s v="VALIDATED"/>
    <n v="1"/>
    <s v="01.11.80.308.2013.0000"/>
    <n v="-128.7"/>
    <s v="11"/>
    <s v="2013"/>
    <n v="28935.99"/>
    <n v="-128.7"/>
    <s v="CREDITOR"/>
    <n v="0"/>
    <n v="0"/>
    <n v="-128.7"/>
    <n v="0"/>
    <n v="0"/>
  </r>
  <r>
    <n v="43673364"/>
    <s v="N"/>
    <n v="21361660"/>
    <s v="3000011588620010RC"/>
    <s v="CIVIL"/>
    <d v="2023-06-22T00:00:00"/>
    <d v="2023-07-11T19:38:00"/>
    <m/>
    <d v="2023-07-11T00:00:00"/>
    <n v="1861"/>
    <n v="614"/>
    <s v="43673364"/>
    <s v="43673364"/>
    <m/>
    <m/>
    <m/>
    <m/>
    <m/>
    <m/>
    <s v="SOLRECOUP"/>
    <s v="SOLRECOUP"/>
    <s v="POARECOUP"/>
    <n v="21361660"/>
    <n v="-154.44"/>
    <m/>
    <s v="Y"/>
    <n v="2"/>
    <d v="2023-07-11T19:38:02"/>
    <s v="N"/>
    <m/>
    <m/>
    <s v="Expert Disbursement"/>
    <m/>
    <s v="N"/>
    <n v="0"/>
    <n v="-25.74"/>
    <x v="7"/>
    <s v="VALIDATED"/>
    <n v="1"/>
    <s v="01.11.80.308.2013.0000"/>
    <n v="-25.74"/>
    <s v="11"/>
    <s v="2013"/>
    <n v="28935.99"/>
    <n v="-25.74"/>
    <s v="CREDITOR"/>
    <n v="0"/>
    <n v="0"/>
    <n v="-25.74"/>
    <n v="0"/>
    <n v="0"/>
  </r>
  <r>
    <n v="43673364"/>
    <s v="N"/>
    <n v="21361661"/>
    <s v="3000011588620012RC"/>
    <s v="CIVIL"/>
    <d v="2023-06-22T00:00:00"/>
    <d v="2023-07-11T19:38:00"/>
    <m/>
    <d v="2023-07-11T00:00:00"/>
    <n v="1861"/>
    <n v="614"/>
    <s v="43673364"/>
    <s v="43673364"/>
    <m/>
    <m/>
    <m/>
    <m/>
    <m/>
    <m/>
    <s v="SOLRECOUP"/>
    <s v="SOLRECOUP"/>
    <s v="POARECOUP"/>
    <n v="21361661"/>
    <n v="-294"/>
    <m/>
    <s v="Y"/>
    <n v="1"/>
    <d v="2023-07-11T19:38:02"/>
    <s v="N"/>
    <m/>
    <m/>
    <s v="Expert Disbursement"/>
    <m/>
    <s v="N"/>
    <n v="-245"/>
    <n v="0"/>
    <x v="7"/>
    <s v="VALIDATED"/>
    <n v="1"/>
    <s v="01.11.80.308.2013.0000"/>
    <n v="-245"/>
    <s v="11"/>
    <s v="2013"/>
    <n v="28935.99"/>
    <n v="-245"/>
    <s v="CREDITOR"/>
    <n v="0"/>
    <n v="0"/>
    <n v="-245"/>
    <n v="0"/>
    <n v="0"/>
  </r>
  <r>
    <n v="43673364"/>
    <s v="N"/>
    <n v="21361661"/>
    <s v="3000011588620012RC"/>
    <s v="CIVIL"/>
    <d v="2023-06-22T00:00:00"/>
    <d v="2023-07-11T19:38:00"/>
    <m/>
    <d v="2023-07-11T00:00:00"/>
    <n v="1861"/>
    <n v="614"/>
    <s v="43673364"/>
    <s v="43673364"/>
    <m/>
    <m/>
    <m/>
    <m/>
    <m/>
    <m/>
    <s v="SOLRECOUP"/>
    <s v="SOLRECOUP"/>
    <s v="POARECOUP"/>
    <n v="21361661"/>
    <n v="-294"/>
    <m/>
    <s v="Y"/>
    <n v="2"/>
    <d v="2023-07-11T19:38:02"/>
    <s v="N"/>
    <m/>
    <m/>
    <s v="Expert Disbursement"/>
    <m/>
    <s v="N"/>
    <n v="0"/>
    <n v="-49"/>
    <x v="7"/>
    <s v="VALIDATED"/>
    <n v="1"/>
    <s v="01.11.80.308.2013.0000"/>
    <n v="-49"/>
    <s v="11"/>
    <s v="2013"/>
    <n v="28935.99"/>
    <n v="-49"/>
    <s v="CREDITOR"/>
    <n v="0"/>
    <n v="0"/>
    <n v="-49"/>
    <n v="0"/>
    <n v="0"/>
  </r>
  <r>
    <n v="43673364"/>
    <s v="N"/>
    <n v="21361662"/>
    <s v="3000011588620014RC"/>
    <s v="CIVIL"/>
    <d v="2023-06-22T00:00:00"/>
    <d v="2023-07-11T19:38:00"/>
    <m/>
    <d v="2023-07-11T00:00:00"/>
    <n v="1861"/>
    <n v="614"/>
    <s v="43673364"/>
    <s v="43673364"/>
    <m/>
    <m/>
    <m/>
    <m/>
    <m/>
    <m/>
    <s v="SOLRECOUP"/>
    <s v="SOLRECOUP"/>
    <s v="POARECOUP"/>
    <n v="21361662"/>
    <n v="-7285.12"/>
    <m/>
    <s v="Y"/>
    <n v="1"/>
    <d v="2023-07-11T19:38:02"/>
    <s v="N"/>
    <m/>
    <m/>
    <s v="Profit Cost"/>
    <m/>
    <s v="N"/>
    <n v="-6070.93"/>
    <n v="0"/>
    <x v="7"/>
    <s v="VALIDATED"/>
    <n v="1"/>
    <s v="01.11.80.308.2013.0000"/>
    <n v="-6070.93"/>
    <s v="11"/>
    <s v="2013"/>
    <n v="28935.99"/>
    <n v="-6070.93"/>
    <s v="CREDITOR"/>
    <n v="0"/>
    <n v="0"/>
    <n v="-6070.93"/>
    <n v="-1517.7325"/>
    <n v="0"/>
  </r>
  <r>
    <n v="43673364"/>
    <s v="N"/>
    <n v="21361662"/>
    <s v="3000011588620014RC"/>
    <s v="CIVIL"/>
    <d v="2023-06-22T00:00:00"/>
    <d v="2023-07-11T19:38:00"/>
    <m/>
    <d v="2023-07-11T00:00:00"/>
    <n v="1861"/>
    <n v="614"/>
    <s v="43673364"/>
    <s v="43673364"/>
    <m/>
    <m/>
    <m/>
    <m/>
    <m/>
    <m/>
    <s v="SOLRECOUP"/>
    <s v="SOLRECOUP"/>
    <s v="POARECOUP"/>
    <n v="21361662"/>
    <n v="-7285.12"/>
    <m/>
    <s v="Y"/>
    <n v="2"/>
    <d v="2023-07-11T19:38:02"/>
    <s v="N"/>
    <m/>
    <m/>
    <s v="Profit Cost"/>
    <m/>
    <s v="N"/>
    <n v="0"/>
    <n v="-1214.19"/>
    <x v="7"/>
    <s v="VALIDATED"/>
    <n v="1"/>
    <s v="01.11.80.308.2013.0000"/>
    <n v="-1214.19"/>
    <s v="11"/>
    <s v="2013"/>
    <n v="28935.99"/>
    <n v="-1214.19"/>
    <s v="CREDITOR"/>
    <n v="0"/>
    <n v="0"/>
    <n v="-1214.19"/>
    <n v="-303.5475"/>
    <n v="0"/>
  </r>
  <r>
    <n v="43673364"/>
    <s v="N"/>
    <n v="21361652"/>
    <s v="3000011588620002RC"/>
    <s v="CIVIL"/>
    <d v="2023-06-22T00:00:00"/>
    <d v="2023-07-11T19:38:00"/>
    <m/>
    <d v="2023-07-11T00:00:00"/>
    <n v="1861"/>
    <n v="614"/>
    <s v="43673364"/>
    <s v="43673364"/>
    <m/>
    <m/>
    <m/>
    <m/>
    <m/>
    <m/>
    <s v="SOLRECOUP"/>
    <s v="SOLRECOUP"/>
    <s v="POARECOUP"/>
    <n v="21361652"/>
    <n v="-189.58"/>
    <m/>
    <s v="Y"/>
    <n v="1"/>
    <d v="2023-07-11T19:38:02"/>
    <s v="N"/>
    <m/>
    <m/>
    <s v="Expert Disbursement"/>
    <m/>
    <s v="N"/>
    <n v="-157.98"/>
    <n v="0"/>
    <x v="7"/>
    <s v="VALIDATED"/>
    <n v="1"/>
    <s v="01.11.80.308.2013.0000"/>
    <n v="-157.98"/>
    <s v="11"/>
    <s v="2013"/>
    <n v="28935.99"/>
    <n v="-157.98"/>
    <s v="CREDITOR"/>
    <n v="0"/>
    <n v="0"/>
    <n v="-157.98"/>
    <n v="0"/>
    <n v="0"/>
  </r>
  <r>
    <n v="43673364"/>
    <s v="N"/>
    <n v="21361652"/>
    <s v="3000011588620002RC"/>
    <s v="CIVIL"/>
    <d v="2023-06-22T00:00:00"/>
    <d v="2023-07-11T19:38:00"/>
    <m/>
    <d v="2023-07-11T00:00:00"/>
    <n v="1861"/>
    <n v="614"/>
    <s v="43673364"/>
    <s v="43673364"/>
    <m/>
    <m/>
    <m/>
    <m/>
    <m/>
    <m/>
    <s v="SOLRECOUP"/>
    <s v="SOLRECOUP"/>
    <s v="POARECOUP"/>
    <n v="21361652"/>
    <n v="-189.58"/>
    <m/>
    <s v="Y"/>
    <n v="2"/>
    <d v="2023-07-11T19:38:02"/>
    <s v="N"/>
    <m/>
    <m/>
    <s v="Expert Disbursement"/>
    <m/>
    <s v="N"/>
    <n v="0"/>
    <n v="-31.6"/>
    <x v="7"/>
    <s v="VALIDATED"/>
    <n v="1"/>
    <s v="01.11.80.308.2013.0000"/>
    <n v="-31.6"/>
    <s v="11"/>
    <s v="2013"/>
    <n v="28935.99"/>
    <n v="-31.6"/>
    <s v="CREDITOR"/>
    <n v="0"/>
    <n v="0"/>
    <n v="-31.6"/>
    <n v="0"/>
    <n v="0"/>
  </r>
  <r>
    <n v="43673364"/>
    <s v="N"/>
    <n v="21361653"/>
    <s v="3000011588620003RC"/>
    <s v="CIVIL"/>
    <d v="2023-06-22T00:00:00"/>
    <d v="2023-07-11T19:38:00"/>
    <m/>
    <d v="2023-07-11T00:00:00"/>
    <n v="1861"/>
    <n v="614"/>
    <s v="43673364"/>
    <s v="43673364"/>
    <m/>
    <m/>
    <m/>
    <m/>
    <m/>
    <m/>
    <s v="SOLRECOUP"/>
    <s v="SOLRECOUP"/>
    <s v="POARECOUP"/>
    <n v="21361653"/>
    <n v="-982.76"/>
    <m/>
    <s v="Y"/>
    <n v="1"/>
    <d v="2023-07-11T19:38:02"/>
    <s v="N"/>
    <m/>
    <m/>
    <s v="Expert Disbursement"/>
    <m/>
    <s v="N"/>
    <n v="-818.97"/>
    <n v="0"/>
    <x v="7"/>
    <s v="VALIDATED"/>
    <n v="1"/>
    <s v="01.11.80.308.2013.0000"/>
    <n v="-818.97"/>
    <s v="11"/>
    <s v="2013"/>
    <n v="28935.99"/>
    <n v="-818.97"/>
    <s v="CREDITOR"/>
    <n v="0"/>
    <n v="0"/>
    <n v="-818.97"/>
    <n v="0"/>
    <n v="0"/>
  </r>
  <r>
    <n v="43673364"/>
    <s v="N"/>
    <n v="21361653"/>
    <s v="3000011588620003RC"/>
    <s v="CIVIL"/>
    <d v="2023-06-22T00:00:00"/>
    <d v="2023-07-11T19:38:00"/>
    <m/>
    <d v="2023-07-11T00:00:00"/>
    <n v="1861"/>
    <n v="614"/>
    <s v="43673364"/>
    <s v="43673364"/>
    <m/>
    <m/>
    <m/>
    <m/>
    <m/>
    <m/>
    <s v="SOLRECOUP"/>
    <s v="SOLRECOUP"/>
    <s v="POARECOUP"/>
    <n v="21361653"/>
    <n v="-982.76"/>
    <m/>
    <s v="Y"/>
    <n v="2"/>
    <d v="2023-07-11T19:38:02"/>
    <s v="N"/>
    <m/>
    <m/>
    <s v="Expert Disbursement"/>
    <m/>
    <s v="N"/>
    <n v="0"/>
    <n v="-163.79"/>
    <x v="7"/>
    <s v="VALIDATED"/>
    <n v="1"/>
    <s v="01.11.80.308.2013.0000"/>
    <n v="-163.79"/>
    <s v="11"/>
    <s v="2013"/>
    <n v="28935.99"/>
    <n v="-163.79"/>
    <s v="CREDITOR"/>
    <n v="0"/>
    <n v="0"/>
    <n v="-163.79"/>
    <n v="0"/>
    <n v="0"/>
  </r>
  <r>
    <n v="43673364"/>
    <s v="N"/>
    <n v="21361654"/>
    <s v="3000011588620004RC"/>
    <s v="CIVIL"/>
    <d v="2023-06-22T00:00:00"/>
    <d v="2023-07-11T19:38:00"/>
    <m/>
    <d v="2023-07-11T00:00:00"/>
    <n v="1861"/>
    <n v="614"/>
    <s v="43673364"/>
    <s v="43673364"/>
    <m/>
    <m/>
    <m/>
    <m/>
    <m/>
    <m/>
    <s v="SOLRECOUP"/>
    <s v="SOLRECOUP"/>
    <s v="POARECOUP"/>
    <n v="21361654"/>
    <n v="-50.4"/>
    <m/>
    <s v="Y"/>
    <n v="1"/>
    <d v="2023-07-11T19:38:02"/>
    <s v="N"/>
    <m/>
    <m/>
    <s v="Expert Disbursement"/>
    <m/>
    <s v="N"/>
    <n v="-50.4"/>
    <n v="0"/>
    <x v="7"/>
    <s v="VALIDATED"/>
    <n v="1"/>
    <s v="01.11.80.308.2013.0000"/>
    <n v="-50.4"/>
    <s v="11"/>
    <s v="2013"/>
    <n v="28935.99"/>
    <n v="-50.4"/>
    <s v="CREDITOR"/>
    <n v="0"/>
    <n v="0"/>
    <n v="-50.4"/>
    <n v="0"/>
    <n v="0"/>
  </r>
  <r>
    <n v="43673364"/>
    <s v="N"/>
    <n v="21361654"/>
    <s v="3000011588620004RC"/>
    <s v="CIVIL"/>
    <d v="2023-06-22T00:00:00"/>
    <d v="2023-07-11T19:38:00"/>
    <m/>
    <d v="2023-07-11T00:00:00"/>
    <n v="1861"/>
    <n v="614"/>
    <s v="43673364"/>
    <s v="43673364"/>
    <m/>
    <m/>
    <m/>
    <m/>
    <m/>
    <m/>
    <s v="SOLRECOUP"/>
    <s v="SOLRECOUP"/>
    <s v="POARECOUP"/>
    <n v="21361654"/>
    <n v="-50.4"/>
    <m/>
    <s v="Y"/>
    <n v="2"/>
    <d v="2023-07-11T19:38:02"/>
    <s v="N"/>
    <m/>
    <m/>
    <s v="Expert Disbursement"/>
    <m/>
    <s v="N"/>
    <n v="0"/>
    <n v="0"/>
    <x v="7"/>
    <s v="VALIDATED"/>
    <n v="1"/>
    <s v="01.11.80.000.0000.0000"/>
    <n v="0"/>
    <s v="11"/>
    <s v="0000"/>
    <n v="28935.99"/>
    <n v="0"/>
    <s v="CREDITOR"/>
    <n v="0"/>
    <n v="0"/>
    <n v="0"/>
    <n v="0"/>
    <n v="0"/>
  </r>
  <r>
    <n v="43673364"/>
    <s v="N"/>
    <n v="21361655"/>
    <s v="3000011588620005RC"/>
    <s v="CIVIL"/>
    <d v="2023-06-22T00:00:00"/>
    <d v="2023-07-11T19:38:00"/>
    <m/>
    <d v="2023-07-11T00:00:00"/>
    <n v="1861"/>
    <n v="614"/>
    <s v="43673364"/>
    <s v="43673364"/>
    <m/>
    <m/>
    <m/>
    <m/>
    <m/>
    <m/>
    <s v="SOLRECOUP"/>
    <s v="SOLRECOUP"/>
    <s v="POARECOUP"/>
    <n v="21361655"/>
    <n v="-195.6"/>
    <m/>
    <s v="Y"/>
    <n v="1"/>
    <d v="2023-07-11T19:38:02"/>
    <s v="N"/>
    <m/>
    <m/>
    <s v="Expert Disbursement"/>
    <m/>
    <s v="N"/>
    <n v="-163"/>
    <n v="0"/>
    <x v="7"/>
    <s v="VALIDATED"/>
    <n v="1"/>
    <s v="01.11.80.308.2013.0000"/>
    <n v="-163"/>
    <s v="11"/>
    <s v="2013"/>
    <n v="28935.99"/>
    <n v="-163"/>
    <s v="CREDITOR"/>
    <n v="0"/>
    <n v="0"/>
    <n v="-163"/>
    <n v="0"/>
    <n v="0"/>
  </r>
  <r>
    <n v="43673364"/>
    <s v="N"/>
    <n v="21361655"/>
    <s v="3000011588620005RC"/>
    <s v="CIVIL"/>
    <d v="2023-06-22T00:00:00"/>
    <d v="2023-07-11T19:38:00"/>
    <m/>
    <d v="2023-07-11T00:00:00"/>
    <n v="1861"/>
    <n v="614"/>
    <s v="43673364"/>
    <s v="43673364"/>
    <m/>
    <m/>
    <m/>
    <m/>
    <m/>
    <m/>
    <s v="SOLRECOUP"/>
    <s v="SOLRECOUP"/>
    <s v="POARECOUP"/>
    <n v="21361655"/>
    <n v="-195.6"/>
    <m/>
    <s v="Y"/>
    <n v="2"/>
    <d v="2023-07-11T19:38:02"/>
    <s v="N"/>
    <m/>
    <m/>
    <s v="Expert Disbursement"/>
    <m/>
    <s v="N"/>
    <n v="0"/>
    <n v="-32.6"/>
    <x v="7"/>
    <s v="VALIDATED"/>
    <n v="1"/>
    <s v="01.11.80.308.2013.0000"/>
    <n v="-32.6"/>
    <s v="11"/>
    <s v="2013"/>
    <n v="28935.99"/>
    <n v="-32.6"/>
    <s v="CREDITOR"/>
    <n v="0"/>
    <n v="0"/>
    <n v="-32.6"/>
    <n v="0"/>
    <n v="0"/>
  </r>
  <r>
    <n v="43673364"/>
    <s v="N"/>
    <n v="21361656"/>
    <s v="3000011588620008RC"/>
    <s v="CIVIL"/>
    <d v="2023-06-22T00:00:00"/>
    <d v="2023-07-11T19:38:00"/>
    <m/>
    <d v="2023-07-11T00:00:00"/>
    <n v="1861"/>
    <n v="614"/>
    <s v="43673364"/>
    <s v="43673364"/>
    <m/>
    <m/>
    <m/>
    <m/>
    <m/>
    <m/>
    <s v="SOLRECOUP"/>
    <s v="SOLRECOUP"/>
    <s v="POARECOUP"/>
    <n v="21361656"/>
    <n v="-418.2"/>
    <m/>
    <s v="Y"/>
    <n v="1"/>
    <d v="2023-07-11T19:38:02"/>
    <s v="N"/>
    <m/>
    <m/>
    <s v="Expert Disbursement"/>
    <m/>
    <s v="N"/>
    <n v="-348.5"/>
    <n v="0"/>
    <x v="7"/>
    <s v="VALIDATED"/>
    <n v="1"/>
    <s v="01.11.80.308.2013.0000"/>
    <n v="-348.5"/>
    <s v="11"/>
    <s v="2013"/>
    <n v="28935.99"/>
    <n v="-348.5"/>
    <s v="CREDITOR"/>
    <n v="0"/>
    <n v="0"/>
    <n v="-348.5"/>
    <n v="0"/>
    <n v="0"/>
  </r>
  <r>
    <n v="43673364"/>
    <s v="N"/>
    <n v="21361656"/>
    <s v="3000011588620008RC"/>
    <s v="CIVIL"/>
    <d v="2023-06-22T00:00:00"/>
    <d v="2023-07-11T19:38:00"/>
    <m/>
    <d v="2023-07-11T00:00:00"/>
    <n v="1861"/>
    <n v="614"/>
    <s v="43673364"/>
    <s v="43673364"/>
    <m/>
    <m/>
    <m/>
    <m/>
    <m/>
    <m/>
    <s v="SOLRECOUP"/>
    <s v="SOLRECOUP"/>
    <s v="POARECOUP"/>
    <n v="21361656"/>
    <n v="-418.2"/>
    <m/>
    <s v="Y"/>
    <n v="2"/>
    <d v="2023-07-11T19:38:02"/>
    <s v="N"/>
    <m/>
    <m/>
    <s v="Expert Disbursement"/>
    <m/>
    <s v="N"/>
    <n v="0"/>
    <n v="-69.7"/>
    <x v="7"/>
    <s v="VALIDATED"/>
    <n v="1"/>
    <s v="01.11.80.308.2013.0000"/>
    <n v="-69.7"/>
    <s v="11"/>
    <s v="2013"/>
    <n v="28935.99"/>
    <n v="-69.7"/>
    <s v="CREDITOR"/>
    <n v="0"/>
    <n v="0"/>
    <n v="-69.7"/>
    <n v="0"/>
    <n v="0"/>
  </r>
  <r>
    <n v="43673364"/>
    <s v="N"/>
    <n v="21361657"/>
    <s v="3000011588620011RC"/>
    <s v="CIVIL"/>
    <d v="2023-06-22T00:00:00"/>
    <d v="2023-07-11T19:38:00"/>
    <m/>
    <d v="2023-07-11T00:00:00"/>
    <n v="1861"/>
    <n v="614"/>
    <s v="43673364"/>
    <s v="43673364"/>
    <m/>
    <m/>
    <m/>
    <m/>
    <m/>
    <m/>
    <s v="SOLRECOUP"/>
    <s v="SOLRECOUP"/>
    <s v="POARECOUP"/>
    <n v="21361657"/>
    <n v="-1159.94"/>
    <m/>
    <s v="Y"/>
    <n v="1"/>
    <d v="2023-07-11T19:38:02"/>
    <s v="N"/>
    <m/>
    <m/>
    <s v="Expert Disbursement"/>
    <m/>
    <s v="N"/>
    <n v="-966.62"/>
    <n v="0"/>
    <x v="7"/>
    <s v="VALIDATED"/>
    <n v="1"/>
    <s v="01.11.80.308.2013.0000"/>
    <n v="-966.62"/>
    <s v="11"/>
    <s v="2013"/>
    <n v="28935.99"/>
    <n v="-966.62"/>
    <s v="CREDITOR"/>
    <n v="0"/>
    <n v="0"/>
    <n v="-966.62"/>
    <n v="0"/>
    <n v="0"/>
  </r>
  <r>
    <n v="43673364"/>
    <s v="N"/>
    <n v="21361657"/>
    <s v="3000011588620011RC"/>
    <s v="CIVIL"/>
    <d v="2023-06-22T00:00:00"/>
    <d v="2023-07-11T19:38:00"/>
    <m/>
    <d v="2023-07-11T00:00:00"/>
    <n v="1861"/>
    <n v="614"/>
    <s v="43673364"/>
    <s v="43673364"/>
    <m/>
    <m/>
    <m/>
    <m/>
    <m/>
    <m/>
    <s v="SOLRECOUP"/>
    <s v="SOLRECOUP"/>
    <s v="POARECOUP"/>
    <n v="21361657"/>
    <n v="-1159.94"/>
    <m/>
    <s v="Y"/>
    <n v="2"/>
    <d v="2023-07-11T19:38:02"/>
    <s v="N"/>
    <m/>
    <m/>
    <s v="Expert Disbursement"/>
    <m/>
    <s v="N"/>
    <n v="0"/>
    <n v="-193.32"/>
    <x v="7"/>
    <s v="VALIDATED"/>
    <n v="1"/>
    <s v="01.11.80.308.2013.0000"/>
    <n v="-193.32"/>
    <s v="11"/>
    <s v="2013"/>
    <n v="28935.99"/>
    <n v="-193.32"/>
    <s v="CREDITOR"/>
    <n v="0"/>
    <n v="0"/>
    <n v="-193.32"/>
    <n v="0"/>
    <n v="0"/>
  </r>
  <r>
    <n v="43673364"/>
    <s v="N"/>
    <n v="21361658"/>
    <s v="3000011588620015RC"/>
    <s v="CIVIL"/>
    <d v="2023-06-22T00:00:00"/>
    <d v="2023-07-11T19:38:00"/>
    <m/>
    <d v="2023-07-11T00:00:00"/>
    <n v="1861"/>
    <n v="614"/>
    <s v="43673364"/>
    <s v="43673364"/>
    <m/>
    <m/>
    <m/>
    <m/>
    <m/>
    <m/>
    <s v="SOLRECOUP"/>
    <s v="SOLRECOUP"/>
    <s v="POARECOUP"/>
    <n v="21361658"/>
    <n v="-117"/>
    <m/>
    <s v="Y"/>
    <n v="1"/>
    <d v="2023-07-11T19:38:02"/>
    <s v="N"/>
    <m/>
    <m/>
    <s v="Expert Disbursement"/>
    <m/>
    <s v="N"/>
    <n v="-97.5"/>
    <n v="0"/>
    <x v="7"/>
    <s v="VALIDATED"/>
    <n v="1"/>
    <s v="01.11.80.308.2013.0000"/>
    <n v="-97.5"/>
    <s v="11"/>
    <s v="2013"/>
    <n v="28935.99"/>
    <n v="-97.5"/>
    <s v="CREDITOR"/>
    <n v="0"/>
    <n v="0"/>
    <n v="-97.5"/>
    <n v="0"/>
    <n v="0"/>
  </r>
  <r>
    <n v="43673364"/>
    <s v="N"/>
    <n v="21360224"/>
    <s v="3000011588620018"/>
    <s v="CIVIL"/>
    <d v="2023-06-22T00:00:00"/>
    <d v="2023-07-11T11:50:54"/>
    <m/>
    <d v="2023-07-11T00:00:00"/>
    <n v="1861"/>
    <n v="614"/>
    <s v="43673364"/>
    <s v="43673364"/>
    <m/>
    <m/>
    <n v="22748226"/>
    <m/>
    <m/>
    <m/>
    <s v="SOLFIN"/>
    <s v="SOLFIN"/>
    <s v="CCMS"/>
    <n v="21360224"/>
    <n v="14371.3"/>
    <m/>
    <s v="N"/>
    <n v="10"/>
    <d v="2023-07-11T11:50:57"/>
    <s v="Y"/>
    <s v="Psychiatrist"/>
    <s v="Public Law Children"/>
    <s v="Expert Disbursement"/>
    <s v="westbury health"/>
    <s v="Y"/>
    <n v="163"/>
    <n v="32.6"/>
    <x v="7"/>
    <s v="VALIDATED"/>
    <n v="1"/>
    <s v="01.11.80.308.6300.0000"/>
    <n v="163"/>
    <s v="11"/>
    <s v="6300"/>
    <n v="28935.99"/>
    <n v="163"/>
    <s v="CREDITOR"/>
    <n v="0"/>
    <n v="0"/>
    <n v="0"/>
    <n v="0"/>
    <n v="163"/>
  </r>
  <r>
    <n v="61719871"/>
    <s v="N"/>
    <n v="21350107"/>
    <s v="3000015807500002"/>
    <s v="CIVIL"/>
    <d v="2023-06-26T00:00:00"/>
    <d v="2023-07-10T19:01:40"/>
    <m/>
    <d v="2023-07-10T00:00:00"/>
    <n v="1861"/>
    <n v="614"/>
    <s v="61719871"/>
    <s v="61719871"/>
    <m/>
    <m/>
    <n v="22761678"/>
    <m/>
    <m/>
    <m/>
    <s v="SOLFIN"/>
    <s v="SOLFIN"/>
    <s v="CCMS"/>
    <n v="21350107"/>
    <n v="4014.41"/>
    <m/>
    <s v="N"/>
    <n v="10"/>
    <d v="2023-07-10T19:02:14"/>
    <s v="Y"/>
    <s v="Hearing Unit 2.31 - 5.00 Hours"/>
    <s v="Public Law Children"/>
    <s v="Advocacy"/>
    <s v="smd"/>
    <s v="Y"/>
    <n v="476.92"/>
    <n v="95.38"/>
    <x v="2"/>
    <s v="VALIDATED"/>
    <n v="1"/>
    <s v="01.11.80.308.6100.0000"/>
    <n v="476.92"/>
    <s v="11"/>
    <s v="6100"/>
    <n v="28935.99"/>
    <n v="476.92"/>
    <s v="CREDITOR"/>
    <n v="0"/>
    <n v="0"/>
    <n v="0"/>
    <n v="0"/>
    <n v="476.92"/>
  </r>
  <r>
    <n v="55817166"/>
    <s v="N"/>
    <n v="21327502"/>
    <s v="3000013209720013"/>
    <s v="CIVIL"/>
    <d v="2023-06-19T00:00:00"/>
    <d v="2023-07-04T19:00:44"/>
    <m/>
    <d v="2023-07-04T00:00:00"/>
    <n v="1861"/>
    <n v="614"/>
    <s v="55817166"/>
    <s v="55817166"/>
    <m/>
    <m/>
    <n v="22715492"/>
    <m/>
    <m/>
    <m/>
    <s v="SOLFIN"/>
    <s v="SOLFIN"/>
    <s v="CCMS"/>
    <n v="21327502"/>
    <n v="14338.56"/>
    <m/>
    <s v="N"/>
    <n v="17"/>
    <d v="2023-07-04T19:00:49"/>
    <s v="Y"/>
    <s v="Attendance upon client"/>
    <s v="Care Remuneration Hourly Rates"/>
    <s v="Profit Cost"/>
    <s v="rz"/>
    <s v="Y"/>
    <n v="314.36"/>
    <n v="62.87"/>
    <x v="1"/>
    <s v="VALIDATED"/>
    <n v="1"/>
    <s v="01.11.80.308.6100.0000"/>
    <n v="314.36"/>
    <s v="11"/>
    <s v="6100"/>
    <n v="28935.99"/>
    <n v="314.36"/>
    <s v="CREDITOR"/>
    <n v="0"/>
    <n v="0"/>
    <n v="0"/>
    <n v="0"/>
    <n v="314.36"/>
  </r>
  <r>
    <n v="55817166"/>
    <s v="N"/>
    <n v="21327502"/>
    <s v="3000013209720013"/>
    <s v="CIVIL"/>
    <d v="2023-06-19T00:00:00"/>
    <d v="2023-07-04T19:00:44"/>
    <m/>
    <d v="2023-07-04T00:00:00"/>
    <n v="1861"/>
    <n v="614"/>
    <s v="55817166"/>
    <s v="55817166"/>
    <m/>
    <m/>
    <n v="22715492"/>
    <m/>
    <m/>
    <m/>
    <s v="SOLFIN"/>
    <s v="SOLFIN"/>
    <s v="CCMS"/>
    <n v="21327502"/>
    <n v="14338.56"/>
    <m/>
    <s v="N"/>
    <n v="8"/>
    <d v="2023-07-04T19:00:49"/>
    <s v="Y"/>
    <s v="Preparation - other"/>
    <s v="Care Remuneration Hourly Rates"/>
    <s v="Profit Cost"/>
    <s v="rz"/>
    <s v="Y"/>
    <n v="924.97"/>
    <n v="184.99"/>
    <x v="1"/>
    <s v="VALIDATED"/>
    <n v="1"/>
    <s v="01.11.80.308.6100.0000"/>
    <n v="924.97"/>
    <s v="11"/>
    <s v="6100"/>
    <n v="28935.99"/>
    <n v="924.97"/>
    <s v="CREDITOR"/>
    <n v="0"/>
    <n v="0"/>
    <n v="0"/>
    <n v="0"/>
    <n v="924.97"/>
  </r>
  <r>
    <n v="43673364"/>
    <s v="N"/>
    <n v="21360224"/>
    <s v="3000011588620018"/>
    <s v="CIVIL"/>
    <d v="2023-06-22T00:00:00"/>
    <d v="2023-07-11T11:50:54"/>
    <m/>
    <d v="2023-07-11T00:00:00"/>
    <n v="1861"/>
    <n v="614"/>
    <s v="43673364"/>
    <s v="43673364"/>
    <m/>
    <m/>
    <n v="22748226"/>
    <m/>
    <m/>
    <m/>
    <s v="SOLFIN"/>
    <s v="SOLFIN"/>
    <s v="CCMS"/>
    <n v="21360224"/>
    <n v="14371.3"/>
    <m/>
    <s v="N"/>
    <n v="1"/>
    <d v="2023-07-11T11:50:57"/>
    <s v="Y"/>
    <s v="Toxicologist"/>
    <s v="Public Law Children"/>
    <s v="Expert Disbursement"/>
    <s v="alpha"/>
    <s v="Y"/>
    <n v="348.5"/>
    <n v="69.7"/>
    <x v="7"/>
    <s v="VALIDATED"/>
    <n v="1"/>
    <s v="01.11.80.308.6300.0000"/>
    <n v="348.5"/>
    <s v="11"/>
    <s v="6300"/>
    <n v="28935.99"/>
    <n v="348.5"/>
    <s v="CREDITOR"/>
    <n v="0"/>
    <n v="0"/>
    <n v="0"/>
    <n v="0"/>
    <n v="348.5"/>
  </r>
  <r>
    <n v="43673364"/>
    <s v="N"/>
    <n v="21360224"/>
    <s v="3000011588620018"/>
    <s v="CIVIL"/>
    <d v="2023-06-22T00:00:00"/>
    <d v="2023-07-11T11:50:54"/>
    <m/>
    <d v="2023-07-11T00:00:00"/>
    <n v="1861"/>
    <n v="614"/>
    <s v="43673364"/>
    <s v="43673364"/>
    <m/>
    <m/>
    <n v="22748226"/>
    <m/>
    <m/>
    <m/>
    <s v="SOLFIN"/>
    <s v="SOLFIN"/>
    <s v="CCMS"/>
    <n v="21360224"/>
    <n v="14371.3"/>
    <m/>
    <s v="N"/>
    <n v="22"/>
    <d v="2023-07-11T11:50:57"/>
    <s v="Y"/>
    <s v="Preparation - other"/>
    <s v="Care Remuneration Hourly Rates"/>
    <s v="Profit Cost"/>
    <s v="kh"/>
    <s v="Y"/>
    <n v="1051.4"/>
    <n v="210.28"/>
    <x v="7"/>
    <s v="VALIDATED"/>
    <n v="1"/>
    <s v="01.11.80.308.6100.0000"/>
    <n v="1051.4"/>
    <s v="11"/>
    <s v="6100"/>
    <n v="28935.99"/>
    <n v="1051.4"/>
    <s v="CREDITOR"/>
    <n v="0"/>
    <n v="0"/>
    <n v="0"/>
    <n v="0"/>
    <n v="1051.4"/>
  </r>
  <r>
    <n v="60469047"/>
    <s v="N"/>
    <n v="21350166"/>
    <s v="3000014749130004"/>
    <s v="CIVIL"/>
    <d v="2023-05-25T00:00:00"/>
    <d v="2023-07-10T19:01:40"/>
    <m/>
    <d v="2023-07-10T00:00:00"/>
    <n v="1861"/>
    <n v="614"/>
    <s v="60469047"/>
    <s v="60469047"/>
    <m/>
    <m/>
    <n v="22579838"/>
    <m/>
    <m/>
    <m/>
    <s v="SOLFIN"/>
    <s v="SOLFIN"/>
    <s v="CCMS"/>
    <n v="21350166"/>
    <n v="291.39"/>
    <m/>
    <s v="N"/>
    <n v="8"/>
    <d v="2023-07-10T19:02:16"/>
    <s v="Y"/>
    <s v="Preparation - other"/>
    <s v="Care Remuneration Hourly Rates"/>
    <s v="Profit Cost"/>
    <s v="jk"/>
    <s v="Y"/>
    <n v="58.41"/>
    <n v="11.67"/>
    <x v="2"/>
    <s v="VALIDATED"/>
    <n v="1"/>
    <s v="01.11.80.305.6100.0000"/>
    <n v="58.41"/>
    <s v="11"/>
    <s v="6100"/>
    <n v="28935.99"/>
    <n v="58.41"/>
    <s v="CREDITOR"/>
    <n v="0"/>
    <n v="0"/>
    <n v="0"/>
    <n v="0"/>
    <n v="58.41"/>
  </r>
  <r>
    <n v="60469047"/>
    <s v="N"/>
    <n v="21350166"/>
    <s v="3000014749130004"/>
    <s v="CIVIL"/>
    <d v="2023-05-25T00:00:00"/>
    <d v="2023-07-10T19:01:40"/>
    <m/>
    <d v="2023-07-10T00:00:00"/>
    <n v="1861"/>
    <n v="614"/>
    <s v="60469047"/>
    <s v="60469047"/>
    <m/>
    <m/>
    <n v="22579838"/>
    <m/>
    <m/>
    <m/>
    <s v="SOLFIN"/>
    <s v="SOLFIN"/>
    <s v="CCMS"/>
    <n v="21350166"/>
    <n v="291.39"/>
    <m/>
    <s v="N"/>
    <n v="3"/>
    <d v="2023-07-10T19:02:16"/>
    <s v="Y"/>
    <s v="Routine Letter Out"/>
    <s v="Care Remuneration Hourly Rates"/>
    <s v="Profit Cost"/>
    <s v="smd"/>
    <s v="Y"/>
    <n v="50.92"/>
    <n v="10.19"/>
    <x v="2"/>
    <s v="VALIDATED"/>
    <n v="1"/>
    <s v="01.11.80.305.6100.0000"/>
    <n v="50.92"/>
    <s v="11"/>
    <s v="6100"/>
    <n v="28935.99"/>
    <n v="50.92"/>
    <s v="CREDITOR"/>
    <n v="0"/>
    <n v="0"/>
    <n v="0"/>
    <n v="0"/>
    <n v="50.92"/>
  </r>
  <r>
    <n v="5120070"/>
    <s v="N"/>
    <n v="21349293"/>
    <s v="3000002016040010"/>
    <s v="CIVIL"/>
    <d v="2023-06-20T00:00:00"/>
    <d v="2023-07-10T19:01:40"/>
    <m/>
    <d v="2023-07-10T00:00:00"/>
    <n v="1861"/>
    <n v="614"/>
    <s v="5120070"/>
    <s v="5120070"/>
    <m/>
    <m/>
    <n v="22726564"/>
    <m/>
    <m/>
    <m/>
    <s v="SOLFIN"/>
    <s v="SOLFIN"/>
    <s v="CCMS"/>
    <n v="21349293"/>
    <n v="19287.78"/>
    <m/>
    <s v="N"/>
    <n v="20"/>
    <d v="2023-07-10T19:01:45"/>
    <s v="Y"/>
    <s v="Solicitor Travel Expenses"/>
    <s v="Public Law Children"/>
    <s v="Non Expert Disbursement"/>
    <s v="parking"/>
    <s v="Y"/>
    <n v="5"/>
    <n v="0"/>
    <x v="2"/>
    <s v="VALIDATED"/>
    <n v="1"/>
    <s v="01.11.80.308.6300.0000"/>
    <n v="5"/>
    <s v="11"/>
    <s v="6300"/>
    <n v="28935.99"/>
    <n v="5"/>
    <s v="CREDITOR"/>
    <n v="0"/>
    <n v="0"/>
    <n v="0"/>
    <n v="0"/>
    <n v="5"/>
  </r>
  <r>
    <n v="43673364"/>
    <s v="N"/>
    <n v="21360224"/>
    <s v="3000011588620018"/>
    <s v="CIVIL"/>
    <d v="2023-06-22T00:00:00"/>
    <d v="2023-07-11T11:50:54"/>
    <m/>
    <d v="2023-07-11T00:00:00"/>
    <n v="1861"/>
    <n v="614"/>
    <s v="43673364"/>
    <s v="43673364"/>
    <m/>
    <m/>
    <n v="22748226"/>
    <m/>
    <m/>
    <m/>
    <s v="SOLFIN"/>
    <s v="SOLFIN"/>
    <s v="CCMS"/>
    <n v="21360224"/>
    <n v="14371.3"/>
    <m/>
    <s v="N"/>
    <n v="6"/>
    <d v="2023-07-11T11:50:57"/>
    <s v="Y"/>
    <s v="Toxicologist"/>
    <s v="Public Law Children"/>
    <s v="Expert Disbursement"/>
    <s v="lextox"/>
    <s v="Y"/>
    <n v="157.98"/>
    <n v="31.6"/>
    <x v="7"/>
    <s v="VALIDATED"/>
    <n v="1"/>
    <s v="01.11.80.308.6300.0000"/>
    <n v="157.98"/>
    <s v="11"/>
    <s v="6300"/>
    <n v="28935.99"/>
    <n v="157.98"/>
    <s v="CREDITOR"/>
    <n v="0"/>
    <n v="0"/>
    <n v="0"/>
    <n v="0"/>
    <n v="157.98"/>
  </r>
  <r>
    <n v="61719871"/>
    <s v="N"/>
    <n v="21350107"/>
    <s v="3000015807500002"/>
    <s v="CIVIL"/>
    <d v="2023-06-26T00:00:00"/>
    <d v="2023-07-10T19:01:40"/>
    <m/>
    <d v="2023-07-10T00:00:00"/>
    <n v="1861"/>
    <n v="614"/>
    <s v="61719871"/>
    <s v="61719871"/>
    <m/>
    <m/>
    <n v="22761678"/>
    <m/>
    <m/>
    <m/>
    <s v="SOLFIN"/>
    <s v="SOLFIN"/>
    <s v="CCMS"/>
    <n v="21350107"/>
    <n v="4014.41"/>
    <m/>
    <s v="N"/>
    <n v="7"/>
    <d v="2023-07-10T19:02:14"/>
    <s v="Y"/>
    <s v="Advocates Meeting"/>
    <s v="Public Law Children"/>
    <s v="Advocacy"/>
    <s v="smd"/>
    <s v="Y"/>
    <n v="140.99"/>
    <n v="28.2"/>
    <x v="2"/>
    <s v="VALIDATED"/>
    <n v="1"/>
    <s v="01.11.80.308.6100.0000"/>
    <n v="140.99"/>
    <s v="11"/>
    <s v="6100"/>
    <n v="28935.99"/>
    <n v="140.99"/>
    <s v="CREDITOR"/>
    <n v="0"/>
    <n v="0"/>
    <n v="0"/>
    <n v="0"/>
    <n v="140.99"/>
  </r>
  <r>
    <n v="55817166"/>
    <s v="N"/>
    <n v="21327502"/>
    <s v="3000013209720013"/>
    <s v="CIVIL"/>
    <d v="2023-06-19T00:00:00"/>
    <d v="2023-07-04T19:00:44"/>
    <m/>
    <d v="2023-07-04T00:00:00"/>
    <n v="1861"/>
    <n v="614"/>
    <s v="55817166"/>
    <s v="55817166"/>
    <m/>
    <m/>
    <n v="22715492"/>
    <m/>
    <m/>
    <m/>
    <s v="SOLFIN"/>
    <s v="SOLFIN"/>
    <s v="CCMS"/>
    <n v="21327502"/>
    <n v="14338.56"/>
    <m/>
    <s v="N"/>
    <n v="5"/>
    <d v="2023-07-04T19:00:49"/>
    <s v="Y"/>
    <s v="Paediatrician"/>
    <s v="Public Law Children"/>
    <s v="Expert Disbursement"/>
    <s v="forsight"/>
    <s v="Y"/>
    <n v="405"/>
    <n v="81"/>
    <x v="1"/>
    <s v="VALIDATED"/>
    <n v="1"/>
    <s v="01.11.80.308.6300.0000"/>
    <n v="405"/>
    <s v="11"/>
    <s v="6300"/>
    <n v="28935.99"/>
    <n v="405"/>
    <s v="CREDITOR"/>
    <n v="0"/>
    <n v="0"/>
    <n v="0"/>
    <n v="0"/>
    <n v="405"/>
  </r>
  <r>
    <n v="60469047"/>
    <s v="N"/>
    <n v="21350166"/>
    <s v="3000014749130004"/>
    <s v="CIVIL"/>
    <d v="2023-05-25T00:00:00"/>
    <d v="2023-07-10T19:01:40"/>
    <m/>
    <d v="2023-07-10T00:00:00"/>
    <n v="1861"/>
    <n v="614"/>
    <s v="60469047"/>
    <s v="60469047"/>
    <m/>
    <m/>
    <n v="22579838"/>
    <m/>
    <m/>
    <m/>
    <s v="SOLFIN"/>
    <s v="SOLFIN"/>
    <s v="CCMS"/>
    <n v="21350166"/>
    <n v="291.39"/>
    <m/>
    <s v="N"/>
    <n v="4"/>
    <d v="2023-07-10T19:02:16"/>
    <s v="Y"/>
    <s v="Routine Letter Out"/>
    <s v="Care Remuneration Hourly Rates"/>
    <s v="Profit Cost"/>
    <s v="jk"/>
    <s v="Y"/>
    <n v="25.83"/>
    <n v="5.17"/>
    <x v="2"/>
    <s v="VALIDATED"/>
    <n v="1"/>
    <s v="01.11.80.305.6100.0000"/>
    <n v="25.83"/>
    <s v="11"/>
    <s v="6100"/>
    <n v="28935.99"/>
    <n v="25.83"/>
    <s v="CREDITOR"/>
    <n v="0"/>
    <n v="0"/>
    <n v="0"/>
    <n v="0"/>
    <n v="25.83"/>
  </r>
  <r>
    <n v="5120070"/>
    <s v="N"/>
    <n v="21349293"/>
    <s v="3000002016040010"/>
    <s v="CIVIL"/>
    <d v="2023-06-20T00:00:00"/>
    <d v="2023-07-10T19:01:40"/>
    <m/>
    <d v="2023-07-10T00:00:00"/>
    <n v="1861"/>
    <n v="614"/>
    <s v="5120070"/>
    <s v="5120070"/>
    <m/>
    <m/>
    <n v="22726564"/>
    <m/>
    <m/>
    <m/>
    <s v="SOLFIN"/>
    <s v="SOLFIN"/>
    <s v="CCMS"/>
    <n v="21349293"/>
    <n v="19287.78"/>
    <m/>
    <s v="N"/>
    <n v="39"/>
    <d v="2023-07-10T19:01:45"/>
    <s v="Y"/>
    <s v="Final Hearing - 2 Days"/>
    <s v="Public Law Children"/>
    <s v="Advocacy"/>
    <s v="smd"/>
    <s v="Y"/>
    <n v="1392.2"/>
    <n v="278.44"/>
    <x v="2"/>
    <s v="VALIDATED"/>
    <n v="1"/>
    <s v="01.11.80.308.6100.0000"/>
    <n v="1392.2"/>
    <s v="11"/>
    <s v="6100"/>
    <n v="28935.99"/>
    <n v="1392.2"/>
    <s v="CREDITOR"/>
    <n v="0"/>
    <n v="0"/>
    <n v="0"/>
    <n v="0"/>
    <n v="1392.2"/>
  </r>
  <r>
    <n v="5120070"/>
    <s v="N"/>
    <n v="21349293"/>
    <s v="3000002016040010"/>
    <s v="CIVIL"/>
    <d v="2023-06-20T00:00:00"/>
    <d v="2023-07-10T19:01:40"/>
    <m/>
    <d v="2023-07-10T00:00:00"/>
    <n v="1861"/>
    <n v="614"/>
    <s v="5120070"/>
    <s v="5120070"/>
    <m/>
    <m/>
    <n v="22726564"/>
    <m/>
    <m/>
    <m/>
    <s v="SOLFIN"/>
    <s v="SOLFIN"/>
    <s v="CCMS"/>
    <n v="21349293"/>
    <n v="19287.78"/>
    <m/>
    <s v="N"/>
    <n v="2"/>
    <d v="2023-07-10T19:01:45"/>
    <s v="Y"/>
    <s v="Profit Costs (Summary)"/>
    <s v="Public Law Children"/>
    <s v="Profit Cost"/>
    <s v="smd"/>
    <s v="Y"/>
    <n v="9600.33"/>
    <n v="1920.07"/>
    <x v="2"/>
    <s v="VALIDATED"/>
    <n v="1"/>
    <s v="01.11.80.308.6100.0000"/>
    <n v="9600.33"/>
    <s v="11"/>
    <s v="6100"/>
    <n v="28935.99"/>
    <n v="9600.33"/>
    <s v="CREDITOR"/>
    <n v="0"/>
    <n v="0"/>
    <n v="0"/>
    <n v="0"/>
    <n v="9600.33"/>
  </r>
  <r>
    <n v="61827164"/>
    <s v="N"/>
    <n v="21337705"/>
    <s v="3000015896090002"/>
    <s v="CIVIL"/>
    <d v="2023-06-23T00:00:00"/>
    <d v="2023-07-06T19:21:01"/>
    <m/>
    <d v="2023-07-06T00:00:00"/>
    <n v="1861"/>
    <n v="614"/>
    <s v="61827164"/>
    <s v="61827164"/>
    <m/>
    <m/>
    <n v="22752594"/>
    <m/>
    <m/>
    <m/>
    <s v="SOLFIN"/>
    <s v="SOLFIN"/>
    <s v="CCMS"/>
    <n v="21337705"/>
    <n v="4545.22"/>
    <m/>
    <s v="N"/>
    <n v="9"/>
    <d v="2023-07-06T19:21:04"/>
    <s v="Y"/>
    <s v="Solicitors Fixed Fee"/>
    <s v="Public Law Children"/>
    <s v="Profit Cost"/>
    <s v="smd"/>
    <s v="Y"/>
    <n v="1438"/>
    <n v="287.6"/>
    <x v="4"/>
    <s v="VALIDATED"/>
    <n v="1"/>
    <s v="01.11.80.308.6100.0000"/>
    <n v="1438"/>
    <s v="11"/>
    <s v="6100"/>
    <n v="28935.99"/>
    <n v="1438"/>
    <s v="CREDITOR"/>
    <n v="0"/>
    <n v="0"/>
    <n v="0"/>
    <n v="0"/>
    <n v="1438"/>
  </r>
  <r>
    <n v="5120070"/>
    <s v="N"/>
    <n v="21349293"/>
    <s v="3000002016040010"/>
    <s v="CIVIL"/>
    <d v="2023-06-20T00:00:00"/>
    <d v="2023-07-10T19:01:40"/>
    <m/>
    <d v="2023-07-10T00:00:00"/>
    <n v="1861"/>
    <n v="614"/>
    <s v="5120070"/>
    <s v="5120070"/>
    <m/>
    <m/>
    <n v="22726564"/>
    <m/>
    <m/>
    <m/>
    <s v="SOLFIN"/>
    <s v="SOLFIN"/>
    <s v="CCMS"/>
    <n v="21349293"/>
    <n v="19287.78"/>
    <m/>
    <s v="N"/>
    <n v="10"/>
    <d v="2023-07-10T19:01:45"/>
    <s v="Y"/>
    <s v="Solicitor Travel Expenses"/>
    <s v="Public Law Children"/>
    <s v="Non Expert Disbursement"/>
    <s v="train fare"/>
    <s v="Y"/>
    <n v="5"/>
    <n v="0"/>
    <x v="2"/>
    <s v="VALIDATED"/>
    <n v="1"/>
    <s v="01.11.80.308.6300.0000"/>
    <n v="5"/>
    <s v="11"/>
    <s v="6300"/>
    <n v="28935.99"/>
    <n v="5"/>
    <s v="CREDITOR"/>
    <n v="0"/>
    <n v="0"/>
    <n v="0"/>
    <n v="0"/>
    <n v="5"/>
  </r>
  <r>
    <n v="5120070"/>
    <s v="N"/>
    <n v="21349293"/>
    <s v="3000002016040010"/>
    <s v="CIVIL"/>
    <d v="2023-06-20T00:00:00"/>
    <d v="2023-07-10T19:01:40"/>
    <m/>
    <d v="2023-07-10T00:00:00"/>
    <n v="1861"/>
    <n v="614"/>
    <s v="5120070"/>
    <s v="5120070"/>
    <m/>
    <m/>
    <n v="22726564"/>
    <m/>
    <m/>
    <m/>
    <s v="SOLFIN"/>
    <s v="SOLFIN"/>
    <s v="CCMS"/>
    <n v="21349293"/>
    <n v="19287.78"/>
    <m/>
    <s v="N"/>
    <n v="25"/>
    <d v="2023-07-10T19:01:45"/>
    <s v="Y"/>
    <s v="Solicitor Travel Expenses"/>
    <s v="Public Law Children"/>
    <s v="Non Expert Disbursement"/>
    <s v="parking"/>
    <s v="Y"/>
    <n v="6.25"/>
    <n v="0"/>
    <x v="2"/>
    <s v="VALIDATED"/>
    <n v="1"/>
    <s v="01.11.80.308.6300.0000"/>
    <n v="6.25"/>
    <s v="11"/>
    <s v="6300"/>
    <n v="28935.99"/>
    <n v="6.25"/>
    <s v="CREDITOR"/>
    <n v="0"/>
    <n v="0"/>
    <n v="0"/>
    <n v="0"/>
    <n v="6.25"/>
  </r>
  <r>
    <n v="5120070"/>
    <s v="N"/>
    <n v="21349293"/>
    <s v="3000002016040010"/>
    <s v="CIVIL"/>
    <d v="2023-06-20T00:00:00"/>
    <d v="2023-07-10T19:01:40"/>
    <m/>
    <d v="2023-07-10T00:00:00"/>
    <n v="1861"/>
    <n v="614"/>
    <s v="5120070"/>
    <s v="5120070"/>
    <m/>
    <m/>
    <n v="22726564"/>
    <m/>
    <m/>
    <m/>
    <s v="SOLFIN"/>
    <s v="SOLFIN"/>
    <s v="CCMS"/>
    <n v="21349293"/>
    <n v="19287.78"/>
    <m/>
    <s v="N"/>
    <n v="26"/>
    <d v="2023-07-10T19:01:45"/>
    <s v="Y"/>
    <s v="Solicitor Travel Expenses"/>
    <s v="Public Law Children"/>
    <s v="Non Expert Disbursement"/>
    <s v="tunnel"/>
    <s v="Y"/>
    <n v="3.4"/>
    <n v="0"/>
    <x v="2"/>
    <s v="VALIDATED"/>
    <n v="1"/>
    <s v="01.11.80.308.6300.0000"/>
    <n v="3.4"/>
    <s v="11"/>
    <s v="6300"/>
    <n v="28935.99"/>
    <n v="3.4"/>
    <s v="CREDITOR"/>
    <n v="0"/>
    <n v="0"/>
    <n v="0"/>
    <n v="0"/>
    <n v="3.4"/>
  </r>
  <r>
    <n v="60469047"/>
    <s v="N"/>
    <n v="21350166"/>
    <s v="3000014749130004"/>
    <s v="CIVIL"/>
    <d v="2023-05-25T00:00:00"/>
    <d v="2023-07-10T19:01:40"/>
    <m/>
    <d v="2023-07-10T00:00:00"/>
    <n v="1861"/>
    <n v="614"/>
    <s v="60469047"/>
    <s v="60469047"/>
    <m/>
    <m/>
    <n v="22579838"/>
    <m/>
    <m/>
    <m/>
    <s v="SOLFIN"/>
    <s v="SOLFIN"/>
    <s v="CCMS"/>
    <n v="21350166"/>
    <n v="291.39"/>
    <m/>
    <s v="N"/>
    <n v="7"/>
    <d v="2023-07-10T19:02:16"/>
    <s v="Y"/>
    <s v="Preparation - other"/>
    <s v="Care Remuneration Hourly Rates"/>
    <s v="Profit Cost"/>
    <s v="smd"/>
    <s v="Y"/>
    <n v="13.43"/>
    <n v="2.69"/>
    <x v="2"/>
    <s v="VALIDATED"/>
    <n v="1"/>
    <s v="01.11.80.305.6100.0000"/>
    <n v="13.43"/>
    <s v="11"/>
    <s v="6100"/>
    <n v="28935.99"/>
    <n v="13.43"/>
    <s v="CREDITOR"/>
    <n v="0"/>
    <n v="0"/>
    <n v="0"/>
    <n v="0"/>
    <n v="13.43"/>
  </r>
  <r>
    <n v="55817166"/>
    <s v="N"/>
    <n v="21327502"/>
    <s v="3000013209720013"/>
    <s v="CIVIL"/>
    <d v="2023-06-19T00:00:00"/>
    <d v="2023-07-04T19:00:44"/>
    <m/>
    <d v="2023-07-04T00:00:00"/>
    <n v="1861"/>
    <n v="614"/>
    <s v="55817166"/>
    <s v="55817166"/>
    <m/>
    <m/>
    <n v="22715492"/>
    <m/>
    <m/>
    <m/>
    <s v="SOLFIN"/>
    <s v="SOLFIN"/>
    <s v="CCMS"/>
    <n v="21327502"/>
    <n v="14338.56"/>
    <m/>
    <s v="N"/>
    <n v="4"/>
    <d v="2023-07-04T19:00:49"/>
    <s v="Y"/>
    <s v="Paediatrician"/>
    <s v="Public Law Children"/>
    <s v="Expert Disbursement"/>
    <s v="forsight"/>
    <s v="Y"/>
    <n v="405"/>
    <n v="81"/>
    <x v="1"/>
    <s v="VALIDATED"/>
    <n v="1"/>
    <s v="01.11.80.308.6300.0000"/>
    <n v="405"/>
    <s v="11"/>
    <s v="6300"/>
    <n v="28935.99"/>
    <n v="405"/>
    <s v="CREDITOR"/>
    <n v="0"/>
    <n v="0"/>
    <n v="0"/>
    <n v="0"/>
    <n v="405"/>
  </r>
  <r>
    <n v="55817166"/>
    <s v="N"/>
    <n v="21327502"/>
    <s v="3000013209720013"/>
    <s v="CIVIL"/>
    <d v="2023-06-19T00:00:00"/>
    <d v="2023-07-04T19:00:44"/>
    <m/>
    <d v="2023-07-04T00:00:00"/>
    <n v="1861"/>
    <n v="614"/>
    <s v="55817166"/>
    <s v="55817166"/>
    <m/>
    <m/>
    <n v="22715492"/>
    <m/>
    <m/>
    <m/>
    <s v="SOLFIN"/>
    <s v="SOLFIN"/>
    <s v="CCMS"/>
    <n v="21327502"/>
    <n v="14338.56"/>
    <m/>
    <s v="N"/>
    <n v="2"/>
    <d v="2023-07-04T19:00:49"/>
    <s v="Y"/>
    <s v="Psychologist"/>
    <s v="Public Law Children"/>
    <s v="Expert Disbursement"/>
    <s v="westbury health"/>
    <s v="Y"/>
    <n v="154.75"/>
    <n v="30.95"/>
    <x v="1"/>
    <s v="VALIDATED"/>
    <n v="1"/>
    <s v="01.11.80.308.6300.0000"/>
    <n v="154.75"/>
    <s v="11"/>
    <s v="6300"/>
    <n v="28935.99"/>
    <n v="154.75"/>
    <s v="CREDITOR"/>
    <n v="0"/>
    <n v="0"/>
    <n v="0"/>
    <n v="0"/>
    <n v="154.75"/>
  </r>
  <r>
    <n v="61719871"/>
    <s v="N"/>
    <n v="21350107"/>
    <s v="3000015807500002"/>
    <s v="CIVIL"/>
    <d v="2023-06-26T00:00:00"/>
    <d v="2023-07-10T19:01:40"/>
    <m/>
    <d v="2023-07-10T00:00:00"/>
    <n v="1861"/>
    <n v="614"/>
    <s v="61719871"/>
    <s v="61719871"/>
    <m/>
    <m/>
    <n v="22761678"/>
    <m/>
    <m/>
    <m/>
    <s v="SOLFIN"/>
    <s v="SOLFIN"/>
    <s v="CCMS"/>
    <n v="21350107"/>
    <n v="4014.41"/>
    <m/>
    <s v="N"/>
    <n v="12"/>
    <d v="2023-07-10T19:02:14"/>
    <s v="Y"/>
    <s v="Solicitors Fixed Fee"/>
    <s v="Public Law Children"/>
    <s v="Profit Cost"/>
    <s v="smd"/>
    <s v="Y"/>
    <n v="1438"/>
    <n v="287.6"/>
    <x v="2"/>
    <s v="VALIDATED"/>
    <n v="1"/>
    <s v="01.11.80.308.6100.0000"/>
    <n v="1438"/>
    <s v="11"/>
    <s v="6100"/>
    <n v="28935.99"/>
    <n v="1438"/>
    <s v="CREDITOR"/>
    <n v="0"/>
    <n v="0"/>
    <n v="0"/>
    <n v="0"/>
    <n v="1438"/>
  </r>
  <r>
    <n v="55817166"/>
    <s v="N"/>
    <n v="21327502"/>
    <s v="3000013209720013"/>
    <s v="CIVIL"/>
    <d v="2023-06-19T00:00:00"/>
    <d v="2023-07-04T19:00:44"/>
    <m/>
    <d v="2023-07-04T00:00:00"/>
    <n v="1861"/>
    <n v="614"/>
    <s v="55817166"/>
    <s v="55817166"/>
    <m/>
    <m/>
    <n v="22715492"/>
    <m/>
    <m/>
    <m/>
    <s v="SOLFIN"/>
    <s v="SOLFIN"/>
    <s v="CCMS"/>
    <n v="21327502"/>
    <n v="14338.56"/>
    <m/>
    <s v="N"/>
    <n v="23"/>
    <d v="2023-07-04T19:00:49"/>
    <s v="Y"/>
    <s v="Advocates Meeting"/>
    <s v="Public Law Children"/>
    <s v="Advocacy"/>
    <s v="rz"/>
    <s v="Y"/>
    <n v="140.99"/>
    <n v="28.2"/>
    <x v="1"/>
    <s v="VALIDATED"/>
    <n v="1"/>
    <s v="01.11.80.308.6100.0000"/>
    <n v="140.99"/>
    <s v="11"/>
    <s v="6100"/>
    <n v="28935.99"/>
    <n v="140.99"/>
    <s v="CREDITOR"/>
    <n v="0"/>
    <n v="0"/>
    <n v="0"/>
    <n v="0"/>
    <n v="140.99"/>
  </r>
  <r>
    <n v="5120070"/>
    <s v="N"/>
    <n v="21349293"/>
    <s v="3000002016040010"/>
    <s v="CIVIL"/>
    <d v="2023-06-20T00:00:00"/>
    <d v="2023-07-10T19:01:40"/>
    <m/>
    <d v="2023-07-10T00:00:00"/>
    <n v="1861"/>
    <n v="614"/>
    <s v="5120070"/>
    <s v="5120070"/>
    <m/>
    <m/>
    <n v="22726564"/>
    <m/>
    <m/>
    <m/>
    <s v="SOLFIN"/>
    <s v="SOLFIN"/>
    <s v="CCMS"/>
    <n v="21349293"/>
    <n v="19287.78"/>
    <m/>
    <s v="N"/>
    <n v="11"/>
    <d v="2023-07-10T19:01:45"/>
    <s v="Y"/>
    <s v="Toxicologist"/>
    <s v="Public Law Children"/>
    <s v="Expert Disbursement"/>
    <s v="fts"/>
    <s v="Y"/>
    <n v="106"/>
    <n v="21.2"/>
    <x v="2"/>
    <s v="VALIDATED"/>
    <n v="1"/>
    <s v="01.11.80.308.6300.0000"/>
    <n v="106"/>
    <s v="11"/>
    <s v="6300"/>
    <n v="28935.99"/>
    <n v="106"/>
    <s v="CREDITOR"/>
    <n v="0"/>
    <n v="0"/>
    <n v="0"/>
    <n v="0"/>
    <n v="106"/>
  </r>
  <r>
    <n v="5120070"/>
    <s v="N"/>
    <n v="21349293"/>
    <s v="3000002016040010"/>
    <s v="CIVIL"/>
    <d v="2023-06-20T00:00:00"/>
    <d v="2023-07-10T19:01:40"/>
    <m/>
    <d v="2023-07-10T00:00:00"/>
    <n v="1861"/>
    <n v="614"/>
    <s v="5120070"/>
    <s v="5120070"/>
    <m/>
    <m/>
    <n v="22726564"/>
    <m/>
    <m/>
    <m/>
    <s v="SOLFIN"/>
    <s v="SOLFIN"/>
    <s v="CCMS"/>
    <n v="21349293"/>
    <n v="19287.78"/>
    <m/>
    <s v="N"/>
    <n v="16"/>
    <d v="2023-07-10T19:01:45"/>
    <s v="Y"/>
    <s v="Solicitor Travel Expenses"/>
    <s v="Public Law Children"/>
    <s v="Non Expert Disbursement"/>
    <s v="parking"/>
    <s v="Y"/>
    <n v="15"/>
    <n v="0"/>
    <x v="2"/>
    <s v="VALIDATED"/>
    <n v="1"/>
    <s v="01.11.80.308.6300.0000"/>
    <n v="15"/>
    <s v="11"/>
    <s v="6300"/>
    <n v="28935.99"/>
    <n v="15"/>
    <s v="CREDITOR"/>
    <n v="0"/>
    <n v="0"/>
    <n v="0"/>
    <n v="0"/>
    <n v="15"/>
  </r>
  <r>
    <n v="55817166"/>
    <s v="N"/>
    <n v="21327502"/>
    <s v="3000013209720013"/>
    <s v="CIVIL"/>
    <d v="2023-06-19T00:00:00"/>
    <d v="2023-07-04T19:00:44"/>
    <m/>
    <d v="2023-07-04T00:00:00"/>
    <n v="1861"/>
    <n v="614"/>
    <s v="55817166"/>
    <s v="55817166"/>
    <m/>
    <m/>
    <n v="22715492"/>
    <m/>
    <m/>
    <m/>
    <s v="SOLFIN"/>
    <s v="SOLFIN"/>
    <s v="CCMS"/>
    <n v="21327502"/>
    <n v="14338.56"/>
    <m/>
    <s v="N"/>
    <n v="18"/>
    <d v="2023-07-04T19:00:49"/>
    <s v="Y"/>
    <s v="Advocates Meeting"/>
    <s v="Public Law Children"/>
    <s v="Advocacy"/>
    <s v="rz"/>
    <s v="Y"/>
    <n v="140.99"/>
    <n v="28.2"/>
    <x v="1"/>
    <s v="VALIDATED"/>
    <n v="1"/>
    <s v="01.11.80.308.6100.0000"/>
    <n v="140.99"/>
    <s v="11"/>
    <s v="6100"/>
    <n v="28935.99"/>
    <n v="140.99"/>
    <s v="CREDITOR"/>
    <n v="0"/>
    <n v="0"/>
    <n v="0"/>
    <n v="0"/>
    <n v="140.99"/>
  </r>
  <r>
    <n v="60469047"/>
    <s v="N"/>
    <n v="21350166"/>
    <s v="3000014749130004"/>
    <s v="CIVIL"/>
    <d v="2023-05-25T00:00:00"/>
    <d v="2023-07-10T19:01:40"/>
    <m/>
    <d v="2023-07-10T00:00:00"/>
    <n v="1861"/>
    <n v="614"/>
    <s v="60469047"/>
    <s v="60469047"/>
    <m/>
    <m/>
    <n v="22579838"/>
    <m/>
    <m/>
    <m/>
    <s v="SOLFIN"/>
    <s v="SOLFIN"/>
    <s v="CCMS"/>
    <n v="21350166"/>
    <n v="291.39"/>
    <m/>
    <s v="N"/>
    <n v="6"/>
    <d v="2023-07-10T19:02:16"/>
    <s v="Y"/>
    <s v="Routine Letter In"/>
    <s v="Care Remuneration Hourly Rates"/>
    <s v="Profit Cost"/>
    <s v="jk"/>
    <s v="Y"/>
    <n v="9.25"/>
    <n v="1.85"/>
    <x v="2"/>
    <s v="VALIDATED"/>
    <n v="1"/>
    <s v="01.11.80.305.6100.0000"/>
    <n v="9.25"/>
    <s v="11"/>
    <s v="6100"/>
    <n v="28935.99"/>
    <n v="9.25"/>
    <s v="CREDITOR"/>
    <n v="0"/>
    <n v="0"/>
    <n v="0"/>
    <n v="0"/>
    <n v="9.25"/>
  </r>
  <r>
    <n v="61827164"/>
    <s v="N"/>
    <n v="21337705"/>
    <s v="3000015896090002"/>
    <s v="CIVIL"/>
    <d v="2023-06-23T00:00:00"/>
    <d v="2023-07-06T19:21:01"/>
    <m/>
    <d v="2023-07-06T00:00:00"/>
    <n v="1861"/>
    <n v="614"/>
    <s v="61827164"/>
    <s v="61827164"/>
    <m/>
    <m/>
    <n v="22752594"/>
    <m/>
    <m/>
    <m/>
    <s v="SOLFIN"/>
    <s v="SOLFIN"/>
    <s v="CCMS"/>
    <n v="21337705"/>
    <n v="4545.22"/>
    <m/>
    <s v="N"/>
    <n v="6"/>
    <d v="2023-07-06T19:21:04"/>
    <s v="Y"/>
    <s v="Hearing Unit 1.01 - 2.30 Hours"/>
    <s v="Public Law Children"/>
    <s v="Advocacy"/>
    <s v="smd"/>
    <s v="Y"/>
    <n v="238.46"/>
    <n v="47.69"/>
    <x v="4"/>
    <s v="VALIDATED"/>
    <n v="1"/>
    <s v="01.11.80.308.6100.0000"/>
    <n v="238.46"/>
    <s v="11"/>
    <s v="6100"/>
    <n v="28935.99"/>
    <n v="238.46"/>
    <s v="CREDITOR"/>
    <n v="0"/>
    <n v="0"/>
    <n v="0"/>
    <n v="0"/>
    <n v="238.46"/>
  </r>
  <r>
    <n v="5120070"/>
    <s v="N"/>
    <n v="21349293"/>
    <s v="3000002016040010"/>
    <s v="CIVIL"/>
    <d v="2023-06-20T00:00:00"/>
    <d v="2023-07-10T19:01:40"/>
    <m/>
    <d v="2023-07-10T00:00:00"/>
    <n v="1861"/>
    <n v="614"/>
    <s v="5120070"/>
    <s v="5120070"/>
    <m/>
    <m/>
    <n v="22726564"/>
    <m/>
    <m/>
    <m/>
    <s v="SOLFIN"/>
    <s v="SOLFIN"/>
    <s v="CCMS"/>
    <n v="21349293"/>
    <n v="19287.78"/>
    <m/>
    <s v="N"/>
    <n v="40"/>
    <d v="2023-07-10T19:01:45"/>
    <s v="Y"/>
    <s v="Hearing Unit 2.31 - 5.00 Hours"/>
    <s v="Public Law Children"/>
    <s v="Advocacy"/>
    <s v="smd"/>
    <s v="Y"/>
    <n v="476.92"/>
    <n v="95.38"/>
    <x v="2"/>
    <s v="VALIDATED"/>
    <n v="1"/>
    <s v="01.11.80.308.6100.0000"/>
    <n v="476.92"/>
    <s v="11"/>
    <s v="6100"/>
    <n v="28935.99"/>
    <n v="476.92"/>
    <s v="CREDITOR"/>
    <n v="0"/>
    <n v="0"/>
    <n v="0"/>
    <n v="0"/>
    <n v="476.92"/>
  </r>
  <r>
    <n v="5120070"/>
    <s v="N"/>
    <n v="21349293"/>
    <s v="3000002016040010"/>
    <s v="CIVIL"/>
    <d v="2023-06-20T00:00:00"/>
    <d v="2023-07-10T19:01:40"/>
    <m/>
    <d v="2023-07-10T00:00:00"/>
    <n v="1861"/>
    <n v="614"/>
    <s v="5120070"/>
    <s v="5120070"/>
    <m/>
    <m/>
    <n v="22726564"/>
    <m/>
    <m/>
    <m/>
    <s v="SOLFIN"/>
    <s v="SOLFIN"/>
    <s v="CCMS"/>
    <n v="21349293"/>
    <n v="19287.78"/>
    <m/>
    <s v="N"/>
    <n v="17"/>
    <d v="2023-07-10T19:01:45"/>
    <s v="Y"/>
    <s v="Solicitor Travel Expenses"/>
    <s v="Public Law Children"/>
    <s v="Non Expert Disbursement"/>
    <s v="tunnel"/>
    <s v="Y"/>
    <n v="3.4"/>
    <n v="0"/>
    <x v="2"/>
    <s v="VALIDATED"/>
    <n v="1"/>
    <s v="01.11.80.308.6300.0000"/>
    <n v="3.4"/>
    <s v="11"/>
    <s v="6300"/>
    <n v="28935.99"/>
    <n v="3.4"/>
    <s v="CREDITOR"/>
    <n v="0"/>
    <n v="0"/>
    <n v="0"/>
    <n v="0"/>
    <n v="3.4"/>
  </r>
  <r>
    <n v="43673364"/>
    <s v="N"/>
    <n v="21360224"/>
    <s v="3000011588620018"/>
    <s v="CIVIL"/>
    <d v="2023-06-22T00:00:00"/>
    <d v="2023-07-11T11:50:54"/>
    <m/>
    <d v="2023-07-11T00:00:00"/>
    <n v="1861"/>
    <n v="614"/>
    <s v="43673364"/>
    <s v="43673364"/>
    <m/>
    <m/>
    <n v="22748226"/>
    <m/>
    <m/>
    <m/>
    <s v="SOLFIN"/>
    <s v="SOLFIN"/>
    <s v="CCMS"/>
    <n v="21360224"/>
    <n v="14371.3"/>
    <m/>
    <s v="N"/>
    <n v="14"/>
    <d v="2023-07-11T11:50:57"/>
    <s v="Y"/>
    <s v="Preparation - other"/>
    <s v="Care Remuneration Hourly Rates"/>
    <s v="Profit Cost"/>
    <s v="kh"/>
    <s v="Y"/>
    <n v="1051.4"/>
    <n v="210.28"/>
    <x v="7"/>
    <s v="VALIDATED"/>
    <n v="1"/>
    <s v="01.11.80.308.6100.0000"/>
    <n v="1051.4"/>
    <s v="11"/>
    <s v="6100"/>
    <n v="28935.99"/>
    <n v="1051.4"/>
    <s v="CREDITOR"/>
    <n v="0"/>
    <n v="0"/>
    <n v="0"/>
    <n v="0"/>
    <n v="1051.4"/>
  </r>
  <r>
    <n v="43673364"/>
    <s v="N"/>
    <n v="21360224"/>
    <s v="3000011588620018"/>
    <s v="CIVIL"/>
    <d v="2023-06-22T00:00:00"/>
    <d v="2023-07-11T11:50:54"/>
    <m/>
    <d v="2023-07-11T00:00:00"/>
    <n v="1861"/>
    <n v="614"/>
    <s v="43673364"/>
    <s v="43673364"/>
    <m/>
    <m/>
    <n v="22748226"/>
    <m/>
    <m/>
    <m/>
    <s v="SOLFIN"/>
    <s v="SOLFIN"/>
    <s v="CCMS"/>
    <n v="21360224"/>
    <n v="14371.3"/>
    <m/>
    <s v="N"/>
    <n v="20"/>
    <d v="2023-07-11T11:50:57"/>
    <s v="Y"/>
    <s v="Attendance upon client"/>
    <s v="Care Remuneration Hourly Rates"/>
    <s v="Profit Cost"/>
    <s v="kh"/>
    <s v="Y"/>
    <n v="120.91"/>
    <n v="24.18"/>
    <x v="7"/>
    <s v="VALIDATED"/>
    <n v="1"/>
    <s v="01.11.80.308.6100.0000"/>
    <n v="120.91"/>
    <s v="11"/>
    <s v="6100"/>
    <n v="28935.99"/>
    <n v="120.91"/>
    <s v="CREDITOR"/>
    <n v="0"/>
    <n v="0"/>
    <n v="0"/>
    <n v="0"/>
    <n v="120.91"/>
  </r>
  <r>
    <n v="61827164"/>
    <s v="N"/>
    <n v="21337705"/>
    <s v="3000015896090002"/>
    <s v="CIVIL"/>
    <d v="2023-06-23T00:00:00"/>
    <d v="2023-07-06T19:21:01"/>
    <m/>
    <d v="2023-07-06T00:00:00"/>
    <n v="1861"/>
    <n v="614"/>
    <s v="61827164"/>
    <s v="61827164"/>
    <m/>
    <m/>
    <n v="22752594"/>
    <m/>
    <m/>
    <m/>
    <s v="SOLFIN"/>
    <s v="SOLFIN"/>
    <s v="CCMS"/>
    <n v="21337705"/>
    <n v="4545.22"/>
    <m/>
    <s v="N"/>
    <n v="4"/>
    <d v="2023-07-06T19:21:04"/>
    <s v="Y"/>
    <s v="Hearing Unit 2.31 - 5.00 Hours"/>
    <s v="Public Law Children"/>
    <s v="Advocacy"/>
    <s v="smd"/>
    <s v="Y"/>
    <n v="476.92"/>
    <n v="95.38"/>
    <x v="4"/>
    <s v="VALIDATED"/>
    <n v="1"/>
    <s v="01.11.80.308.6100.0000"/>
    <n v="476.92"/>
    <s v="11"/>
    <s v="6100"/>
    <n v="28935.99"/>
    <n v="476.92"/>
    <s v="CREDITOR"/>
    <n v="0"/>
    <n v="0"/>
    <n v="0"/>
    <n v="0"/>
    <n v="476.92"/>
  </r>
  <r>
    <n v="43673364"/>
    <s v="N"/>
    <n v="21360224"/>
    <s v="3000011588620018"/>
    <s v="CIVIL"/>
    <d v="2023-06-22T00:00:00"/>
    <d v="2023-07-11T11:50:54"/>
    <m/>
    <d v="2023-07-11T00:00:00"/>
    <n v="1861"/>
    <n v="614"/>
    <s v="43673364"/>
    <s v="43673364"/>
    <m/>
    <m/>
    <n v="22748226"/>
    <m/>
    <m/>
    <m/>
    <s v="SOLFIN"/>
    <s v="SOLFIN"/>
    <s v="CCMS"/>
    <n v="21360224"/>
    <n v="14371.3"/>
    <m/>
    <s v="N"/>
    <n v="13"/>
    <d v="2023-07-11T11:50:57"/>
    <s v="Y"/>
    <s v="Preparation - other"/>
    <s v="Care Remuneration Hourly Rates"/>
    <s v="Profit Cost"/>
    <s v="kh"/>
    <s v="Y"/>
    <n v="1051.4"/>
    <n v="210.28"/>
    <x v="7"/>
    <s v="VALIDATED"/>
    <n v="1"/>
    <s v="01.11.80.308.6100.0000"/>
    <n v="1051.4"/>
    <s v="11"/>
    <s v="6100"/>
    <n v="28935.99"/>
    <n v="1051.4"/>
    <s v="CREDITOR"/>
    <n v="0"/>
    <n v="0"/>
    <n v="0"/>
    <n v="0"/>
    <n v="1051.4"/>
  </r>
  <r>
    <n v="5120070"/>
    <s v="N"/>
    <n v="21349293"/>
    <s v="3000002016040010"/>
    <s v="CIVIL"/>
    <d v="2023-06-20T00:00:00"/>
    <d v="2023-07-10T19:01:40"/>
    <m/>
    <d v="2023-07-10T00:00:00"/>
    <n v="1861"/>
    <n v="614"/>
    <s v="5120070"/>
    <s v="5120070"/>
    <m/>
    <m/>
    <n v="22726564"/>
    <m/>
    <m/>
    <m/>
    <s v="SOLFIN"/>
    <s v="SOLFIN"/>
    <s v="CCMS"/>
    <n v="21349293"/>
    <n v="19287.78"/>
    <m/>
    <s v="N"/>
    <n v="27"/>
    <d v="2023-07-10T19:01:45"/>
    <s v="Y"/>
    <s v="Solicitor Travel Expenses"/>
    <s v="Public Law Children"/>
    <s v="Non Expert Disbursement"/>
    <s v="parking"/>
    <s v="Y"/>
    <n v="5"/>
    <n v="0"/>
    <x v="2"/>
    <s v="VALIDATED"/>
    <n v="1"/>
    <s v="01.11.80.308.6300.0000"/>
    <n v="5"/>
    <s v="11"/>
    <s v="6300"/>
    <n v="28935.99"/>
    <n v="5"/>
    <s v="CREDITOR"/>
    <n v="0"/>
    <n v="0"/>
    <n v="0"/>
    <n v="0"/>
    <n v="5"/>
  </r>
  <r>
    <n v="5120070"/>
    <s v="N"/>
    <n v="21349293"/>
    <s v="3000002016040010"/>
    <s v="CIVIL"/>
    <d v="2023-06-20T00:00:00"/>
    <d v="2023-07-10T19:01:40"/>
    <m/>
    <d v="2023-07-10T00:00:00"/>
    <n v="1861"/>
    <n v="614"/>
    <s v="5120070"/>
    <s v="5120070"/>
    <m/>
    <m/>
    <n v="22726564"/>
    <m/>
    <m/>
    <m/>
    <s v="SOLFIN"/>
    <s v="SOLFIN"/>
    <s v="CCMS"/>
    <n v="21349293"/>
    <n v="19287.78"/>
    <m/>
    <s v="N"/>
    <n v="3"/>
    <d v="2023-07-10T19:01:45"/>
    <s v="N"/>
    <s v="Profit Costs (Summary)"/>
    <s v="Public Law Children"/>
    <s v="Profit Cost"/>
    <s v="smd"/>
    <s v="N"/>
    <n v="666.36"/>
    <n v="133.27"/>
    <x v="2"/>
    <s v="VALIDATED"/>
    <n v="1"/>
    <s v="01.11.80.308.6100.0000"/>
    <n v="666.36"/>
    <s v="11"/>
    <s v="6100"/>
    <n v="28935.99"/>
    <n v="666.36"/>
    <s v="CREDITOR"/>
    <n v="0"/>
    <n v="0"/>
    <n v="0"/>
    <n v="0"/>
    <n v="666.36"/>
  </r>
  <r>
    <n v="5120070"/>
    <s v="N"/>
    <n v="21349293"/>
    <s v="3000002016040010"/>
    <s v="CIVIL"/>
    <d v="2023-06-20T00:00:00"/>
    <d v="2023-07-10T19:01:40"/>
    <m/>
    <d v="2023-07-10T00:00:00"/>
    <n v="1861"/>
    <n v="614"/>
    <s v="5120070"/>
    <s v="5120070"/>
    <m/>
    <m/>
    <n v="22726564"/>
    <m/>
    <m/>
    <m/>
    <s v="SOLFIN"/>
    <s v="SOLFIN"/>
    <s v="CCMS"/>
    <n v="21349293"/>
    <n v="19287.78"/>
    <m/>
    <s v="N"/>
    <n v="13"/>
    <d v="2023-07-10T19:01:45"/>
    <s v="Y"/>
    <s v="Toxicologist"/>
    <s v="Public Law Children"/>
    <s v="Expert Disbursement"/>
    <s v="lextox"/>
    <s v="Y"/>
    <n v="115.75"/>
    <n v="23.15"/>
    <x v="2"/>
    <s v="VALIDATED"/>
    <n v="1"/>
    <s v="01.11.80.308.6300.0000"/>
    <n v="115.75"/>
    <s v="11"/>
    <s v="6300"/>
    <n v="28935.99"/>
    <n v="115.75"/>
    <s v="CREDITOR"/>
    <n v="0"/>
    <n v="0"/>
    <n v="0"/>
    <n v="0"/>
    <n v="115.75"/>
  </r>
  <r>
    <n v="55817166"/>
    <s v="N"/>
    <n v="21327502"/>
    <s v="3000013209720013"/>
    <s v="CIVIL"/>
    <d v="2023-06-19T00:00:00"/>
    <d v="2023-07-04T19:00:44"/>
    <m/>
    <d v="2023-07-04T00:00:00"/>
    <n v="1861"/>
    <n v="614"/>
    <s v="55817166"/>
    <s v="55817166"/>
    <m/>
    <m/>
    <n v="22715492"/>
    <m/>
    <m/>
    <m/>
    <s v="SOLFIN"/>
    <s v="SOLFIN"/>
    <s v="CCMS"/>
    <n v="21327502"/>
    <n v="14338.56"/>
    <m/>
    <s v="N"/>
    <n v="28"/>
    <d v="2023-07-04T19:00:49"/>
    <s v="N"/>
    <s v="Solicitors Fixed Fee"/>
    <s v="Public Law Children"/>
    <s v="Profit Cost"/>
    <s v="rz"/>
    <s v="N"/>
    <n v="0"/>
    <n v="0"/>
    <x v="1"/>
    <s v="VALIDATED"/>
    <n v="1"/>
    <s v="01.11.80.308.6100.0000"/>
    <n v="0"/>
    <s v="11"/>
    <s v="6100"/>
    <n v="28935.99"/>
    <n v="0"/>
    <s v="CREDITOR"/>
    <n v="0"/>
    <n v="0"/>
    <n v="0"/>
    <n v="0"/>
    <n v="0"/>
  </r>
  <r>
    <n v="5120070"/>
    <s v="N"/>
    <n v="21349293"/>
    <s v="3000002016040010"/>
    <s v="CIVIL"/>
    <d v="2023-06-20T00:00:00"/>
    <d v="2023-07-10T19:01:40"/>
    <m/>
    <d v="2023-07-10T00:00:00"/>
    <n v="1861"/>
    <n v="614"/>
    <s v="5120070"/>
    <s v="5120070"/>
    <m/>
    <m/>
    <n v="22726564"/>
    <m/>
    <m/>
    <m/>
    <s v="SOLFIN"/>
    <s v="SOLFIN"/>
    <s v="CCMS"/>
    <n v="21349293"/>
    <n v="19287.78"/>
    <m/>
    <s v="N"/>
    <n v="28"/>
    <d v="2023-07-10T19:01:45"/>
    <s v="Y"/>
    <s v="Solicitor Travel Expenses"/>
    <s v="Public Law Children"/>
    <s v="Non Expert Disbursement"/>
    <s v="parking"/>
    <s v="Y"/>
    <n v="7.5"/>
    <n v="0"/>
    <x v="2"/>
    <s v="VALIDATED"/>
    <n v="1"/>
    <s v="01.11.80.308.6300.0000"/>
    <n v="7.5"/>
    <s v="11"/>
    <s v="6300"/>
    <n v="28935.99"/>
    <n v="7.5"/>
    <s v="CREDITOR"/>
    <n v="0"/>
    <n v="0"/>
    <n v="0"/>
    <n v="0"/>
    <n v="7.5"/>
  </r>
  <r>
    <n v="43673364"/>
    <s v="N"/>
    <n v="21360224"/>
    <s v="3000011588620018"/>
    <s v="CIVIL"/>
    <d v="2023-06-22T00:00:00"/>
    <d v="2023-07-11T11:50:54"/>
    <m/>
    <d v="2023-07-11T00:00:00"/>
    <n v="1861"/>
    <n v="614"/>
    <s v="43673364"/>
    <s v="43673364"/>
    <m/>
    <m/>
    <n v="22748226"/>
    <m/>
    <m/>
    <m/>
    <s v="SOLFIN"/>
    <s v="SOLFIN"/>
    <s v="CCMS"/>
    <n v="21360224"/>
    <n v="14371.3"/>
    <m/>
    <s v="N"/>
    <n v="15"/>
    <d v="2023-07-11T11:50:57"/>
    <s v="Y"/>
    <s v="Preparation - other"/>
    <s v="Care Remuneration Hourly Rates"/>
    <s v="Profit Cost"/>
    <s v="kh"/>
    <s v="Y"/>
    <n v="620.33"/>
    <n v="124.07"/>
    <x v="7"/>
    <s v="VALIDATED"/>
    <n v="1"/>
    <s v="01.11.80.308.6100.0000"/>
    <n v="620.33"/>
    <s v="11"/>
    <s v="6100"/>
    <n v="28935.99"/>
    <n v="620.33"/>
    <s v="CREDITOR"/>
    <n v="0"/>
    <n v="0"/>
    <n v="0"/>
    <n v="0"/>
    <n v="620.33"/>
  </r>
  <r>
    <n v="5120070"/>
    <s v="N"/>
    <n v="21349293"/>
    <s v="3000002016040010"/>
    <s v="CIVIL"/>
    <d v="2023-06-20T00:00:00"/>
    <d v="2023-07-10T19:01:40"/>
    <m/>
    <d v="2023-07-10T00:00:00"/>
    <n v="1861"/>
    <n v="614"/>
    <s v="5120070"/>
    <s v="5120070"/>
    <m/>
    <m/>
    <n v="22726564"/>
    <m/>
    <m/>
    <m/>
    <s v="SOLFIN"/>
    <s v="SOLFIN"/>
    <s v="CCMS"/>
    <n v="21349293"/>
    <n v="19287.78"/>
    <m/>
    <s v="N"/>
    <n v="33"/>
    <d v="2023-07-10T19:01:45"/>
    <s v="Y"/>
    <s v="Hearing Unit 2.31 - 5.00 Hours"/>
    <s v="Public Law Children"/>
    <s v="Advocacy"/>
    <s v="smd"/>
    <s v="Y"/>
    <n v="433.62"/>
    <n v="86.72"/>
    <x v="2"/>
    <s v="VALIDATED"/>
    <n v="1"/>
    <s v="01.11.80.308.6100.0000"/>
    <n v="433.62"/>
    <s v="11"/>
    <s v="6100"/>
    <n v="28935.99"/>
    <n v="433.62"/>
    <s v="CREDITOR"/>
    <n v="0"/>
    <n v="0"/>
    <n v="0"/>
    <n v="0"/>
    <n v="433.62"/>
  </r>
  <r>
    <n v="55817166"/>
    <s v="N"/>
    <n v="21327502"/>
    <s v="3000013209720013"/>
    <s v="CIVIL"/>
    <d v="2023-06-19T00:00:00"/>
    <d v="2023-07-04T19:00:44"/>
    <m/>
    <d v="2023-07-04T00:00:00"/>
    <n v="1861"/>
    <n v="614"/>
    <s v="55817166"/>
    <s v="55817166"/>
    <m/>
    <m/>
    <n v="22715492"/>
    <m/>
    <m/>
    <m/>
    <s v="SOLFIN"/>
    <s v="SOLFIN"/>
    <s v="CCMS"/>
    <n v="21327502"/>
    <n v="14338.56"/>
    <m/>
    <s v="N"/>
    <n v="25"/>
    <d v="2023-07-04T19:00:49"/>
    <s v="Y"/>
    <s v="Hearing Unit 2.31 - 5.00 Hours"/>
    <s v="Public Law Children"/>
    <s v="Advocacy"/>
    <s v="rz"/>
    <s v="Y"/>
    <n v="596.15"/>
    <n v="119.23"/>
    <x v="1"/>
    <s v="VALIDATED"/>
    <n v="1"/>
    <s v="01.11.80.308.6100.0000"/>
    <n v="596.15"/>
    <s v="11"/>
    <s v="6100"/>
    <n v="28935.99"/>
    <n v="596.15"/>
    <s v="CREDITOR"/>
    <n v="0"/>
    <n v="0"/>
    <n v="0"/>
    <n v="0"/>
    <n v="596.15"/>
  </r>
  <r>
    <n v="61355017"/>
    <s v="N"/>
    <n v="21323865"/>
    <s v="3000015503510003"/>
    <s v="CIVIL"/>
    <d v="2023-06-30T00:00:00"/>
    <d v="2023-07-03T19:05:56"/>
    <m/>
    <d v="2023-07-03T00:00:00"/>
    <n v="1861"/>
    <n v="614"/>
    <s v="61355017"/>
    <s v="61355017"/>
    <m/>
    <m/>
    <n v="22797870"/>
    <m/>
    <m/>
    <m/>
    <s v="SOLPOA"/>
    <s v="SOLPOA"/>
    <s v="CCMS"/>
    <n v="21323865"/>
    <n v="4303.09"/>
    <m/>
    <s v="N"/>
    <n v="1"/>
    <d v="2023-07-03T19:05:59"/>
    <s v="N"/>
    <s v="Profit Cost"/>
    <s v="Profit Cost"/>
    <s v="Profit Cost"/>
    <s v="smd"/>
    <s v="N"/>
    <n v="3585.91"/>
    <n v="717.1799999999999"/>
    <x v="3"/>
    <s v="VALIDATED"/>
    <n v="1"/>
    <s v="01.11.80.305.2012.0000"/>
    <n v="3585.91"/>
    <s v="11"/>
    <s v="2012"/>
    <n v="28935.99"/>
    <n v="3585.91"/>
    <s v="CREDITOR"/>
    <n v="3585.91"/>
    <n v="896.4775"/>
    <n v="0"/>
    <n v="0"/>
    <n v="0"/>
  </r>
  <r>
    <n v="5120070"/>
    <s v="N"/>
    <n v="21349293"/>
    <s v="3000002016040010"/>
    <s v="CIVIL"/>
    <d v="2023-06-20T00:00:00"/>
    <d v="2023-07-10T19:01:40"/>
    <m/>
    <d v="2023-07-10T00:00:00"/>
    <n v="1861"/>
    <n v="614"/>
    <s v="5120070"/>
    <s v="5120070"/>
    <m/>
    <m/>
    <n v="22726564"/>
    <m/>
    <m/>
    <m/>
    <s v="SOLFIN"/>
    <s v="SOLFIN"/>
    <s v="CCMS"/>
    <n v="21349293"/>
    <n v="19287.78"/>
    <m/>
    <s v="N"/>
    <n v="36"/>
    <d v="2023-07-10T19:01:45"/>
    <s v="Y"/>
    <s v="Hearing Unit 2.31 - 5.00 Hours"/>
    <s v="Public Law Children"/>
    <s v="Advocacy"/>
    <s v="smd"/>
    <s v="Y"/>
    <n v="433.62"/>
    <n v="86.72"/>
    <x v="2"/>
    <s v="VALIDATED"/>
    <n v="1"/>
    <s v="01.11.80.308.6100.0000"/>
    <n v="433.62"/>
    <s v="11"/>
    <s v="6100"/>
    <n v="28935.99"/>
    <n v="433.62"/>
    <s v="CREDITOR"/>
    <n v="0"/>
    <n v="0"/>
    <n v="0"/>
    <n v="0"/>
    <n v="433.62"/>
  </r>
  <r>
    <n v="61719871"/>
    <s v="N"/>
    <n v="21350107"/>
    <s v="3000015807500002"/>
    <s v="CIVIL"/>
    <d v="2023-06-26T00:00:00"/>
    <d v="2023-07-10T19:01:40"/>
    <m/>
    <d v="2023-07-10T00:00:00"/>
    <n v="1861"/>
    <n v="614"/>
    <s v="61719871"/>
    <s v="61719871"/>
    <m/>
    <m/>
    <n v="22761678"/>
    <m/>
    <m/>
    <m/>
    <s v="SOLFIN"/>
    <s v="SOLFIN"/>
    <s v="CCMS"/>
    <n v="21350107"/>
    <n v="4014.41"/>
    <m/>
    <s v="N"/>
    <n v="3"/>
    <d v="2023-07-10T19:02:14"/>
    <s v="Y"/>
    <s v="Solicitor Travel Expenses"/>
    <s v="Public Law Children"/>
    <s v="Non Expert Disbursement"/>
    <s v="parking"/>
    <s v="Y"/>
    <n v="7.35"/>
    <n v="0"/>
    <x v="2"/>
    <s v="VALIDATED"/>
    <n v="1"/>
    <s v="01.11.80.308.6300.0000"/>
    <n v="7.35"/>
    <s v="11"/>
    <s v="6300"/>
    <n v="28935.99"/>
    <n v="7.35"/>
    <s v="CREDITOR"/>
    <n v="0"/>
    <n v="0"/>
    <n v="0"/>
    <n v="0"/>
    <n v="7.35"/>
  </r>
  <r>
    <n v="55817166"/>
    <s v="N"/>
    <n v="21327502"/>
    <s v="3000013209720013"/>
    <s v="CIVIL"/>
    <d v="2023-06-19T00:00:00"/>
    <d v="2023-07-04T19:00:44"/>
    <m/>
    <d v="2023-07-04T00:00:00"/>
    <n v="1861"/>
    <n v="614"/>
    <s v="55817166"/>
    <s v="55817166"/>
    <m/>
    <m/>
    <n v="22715492"/>
    <m/>
    <m/>
    <m/>
    <s v="SOLFIN"/>
    <s v="SOLFIN"/>
    <s v="CCMS"/>
    <n v="21327502"/>
    <n v="14338.56"/>
    <m/>
    <s v="N"/>
    <n v="11"/>
    <d v="2023-07-04T19:00:49"/>
    <s v="Y"/>
    <s v="Routine Letter Out"/>
    <s v="Care Remuneration Hourly Rates"/>
    <s v="Profit Cost"/>
    <s v="rz"/>
    <s v="Y"/>
    <n v="1022.68"/>
    <n v="204.54"/>
    <x v="1"/>
    <s v="VALIDATED"/>
    <n v="1"/>
    <s v="01.11.80.308.6100.0000"/>
    <n v="1022.68"/>
    <s v="11"/>
    <s v="6100"/>
    <n v="28935.99"/>
    <n v="1022.68"/>
    <s v="CREDITOR"/>
    <n v="0"/>
    <n v="0"/>
    <n v="0"/>
    <n v="0"/>
    <n v="1022.68"/>
  </r>
  <r>
    <n v="5120070"/>
    <s v="N"/>
    <n v="21349293"/>
    <s v="3000002016040010"/>
    <s v="CIVIL"/>
    <d v="2023-06-20T00:00:00"/>
    <d v="2023-07-10T19:01:40"/>
    <m/>
    <d v="2023-07-10T00:00:00"/>
    <n v="1861"/>
    <n v="614"/>
    <s v="5120070"/>
    <s v="5120070"/>
    <m/>
    <m/>
    <n v="22726564"/>
    <m/>
    <m/>
    <m/>
    <s v="SOLFIN"/>
    <s v="SOLFIN"/>
    <s v="CCMS"/>
    <n v="21349293"/>
    <n v="19287.78"/>
    <m/>
    <s v="N"/>
    <n v="4"/>
    <d v="2023-07-10T19:01:45"/>
    <s v="Y"/>
    <s v="Toxicologist"/>
    <s v="Public Law Children"/>
    <s v="Expert Disbursement"/>
    <s v="fts"/>
    <s v="Y"/>
    <n v="124.67"/>
    <n v="24.93"/>
    <x v="2"/>
    <s v="VALIDATED"/>
    <n v="1"/>
    <s v="01.11.80.308.6300.0000"/>
    <n v="124.67"/>
    <s v="11"/>
    <s v="6300"/>
    <n v="28935.99"/>
    <n v="124.67"/>
    <s v="CREDITOR"/>
    <n v="0"/>
    <n v="0"/>
    <n v="0"/>
    <n v="0"/>
    <n v="124.67"/>
  </r>
  <r>
    <n v="61827164"/>
    <s v="N"/>
    <n v="21337705"/>
    <s v="3000015896090002"/>
    <s v="CIVIL"/>
    <d v="2023-06-23T00:00:00"/>
    <d v="2023-07-06T19:21:01"/>
    <m/>
    <d v="2023-07-06T00:00:00"/>
    <n v="1861"/>
    <n v="614"/>
    <s v="61827164"/>
    <s v="61827164"/>
    <m/>
    <m/>
    <n v="22752594"/>
    <m/>
    <m/>
    <m/>
    <s v="SOLFIN"/>
    <s v="SOLFIN"/>
    <s v="CCMS"/>
    <n v="21337705"/>
    <n v="4545.22"/>
    <m/>
    <s v="N"/>
    <n v="7"/>
    <d v="2023-07-06T19:21:04"/>
    <s v="Y"/>
    <s v="Advocates Meeting"/>
    <s v="Public Law Children"/>
    <s v="Advocacy"/>
    <s v="smd"/>
    <s v="Y"/>
    <n v="140.99"/>
    <n v="28.2"/>
    <x v="4"/>
    <s v="VALIDATED"/>
    <n v="1"/>
    <s v="01.11.80.308.6100.0000"/>
    <n v="140.99"/>
    <s v="11"/>
    <s v="6100"/>
    <n v="28935.99"/>
    <n v="140.99"/>
    <s v="CREDITOR"/>
    <n v="0"/>
    <n v="0"/>
    <n v="0"/>
    <n v="0"/>
    <n v="140.99"/>
  </r>
  <r>
    <n v="43673364"/>
    <s v="N"/>
    <n v="21360224"/>
    <s v="3000011588620018"/>
    <s v="CIVIL"/>
    <d v="2023-06-22T00:00:00"/>
    <d v="2023-07-11T11:50:54"/>
    <m/>
    <d v="2023-07-11T00:00:00"/>
    <n v="1861"/>
    <n v="614"/>
    <s v="43673364"/>
    <s v="43673364"/>
    <m/>
    <m/>
    <n v="22748226"/>
    <m/>
    <m/>
    <m/>
    <s v="SOLFIN"/>
    <s v="SOLFIN"/>
    <s v="CCMS"/>
    <n v="21360224"/>
    <n v="14371.3"/>
    <m/>
    <s v="N"/>
    <n v="7"/>
    <d v="2023-07-11T11:50:57"/>
    <s v="Y"/>
    <s v="Toxicologist"/>
    <s v="Public Law Children"/>
    <s v="Expert Disbursement"/>
    <s v="alpha"/>
    <s v="Y"/>
    <n v="97.5"/>
    <n v="19.5"/>
    <x v="7"/>
    <s v="VALIDATED"/>
    <n v="1"/>
    <s v="01.11.80.308.6300.0000"/>
    <n v="97.5"/>
    <s v="11"/>
    <s v="6300"/>
    <n v="28935.99"/>
    <n v="97.5"/>
    <s v="CREDITOR"/>
    <n v="0"/>
    <n v="0"/>
    <n v="0"/>
    <n v="0"/>
    <n v="97.5"/>
  </r>
  <r>
    <n v="5120070"/>
    <s v="N"/>
    <n v="21349293"/>
    <s v="3000002016040010"/>
    <s v="CIVIL"/>
    <d v="2023-06-20T00:00:00"/>
    <d v="2023-07-10T19:01:40"/>
    <m/>
    <d v="2023-07-10T00:00:00"/>
    <n v="1861"/>
    <n v="614"/>
    <s v="5120070"/>
    <s v="5120070"/>
    <m/>
    <m/>
    <n v="22726564"/>
    <m/>
    <m/>
    <m/>
    <s v="SOLFIN"/>
    <s v="SOLFIN"/>
    <s v="CCMS"/>
    <n v="21349293"/>
    <n v="19287.78"/>
    <m/>
    <s v="N"/>
    <n v="19"/>
    <d v="2023-07-10T19:01:45"/>
    <s v="Y"/>
    <s v="Solicitor Travel Expenses"/>
    <s v="Public Law Children"/>
    <s v="Non Expert Disbursement"/>
    <s v="tunnel"/>
    <s v="Y"/>
    <n v="3.4"/>
    <n v="0"/>
    <x v="2"/>
    <s v="VALIDATED"/>
    <n v="1"/>
    <s v="01.11.80.308.6300.0000"/>
    <n v="3.4"/>
    <s v="11"/>
    <s v="6300"/>
    <n v="28935.99"/>
    <n v="3.4"/>
    <s v="CREDITOR"/>
    <n v="0"/>
    <n v="0"/>
    <n v="0"/>
    <n v="0"/>
    <n v="3.4"/>
  </r>
  <r>
    <n v="55817166"/>
    <s v="N"/>
    <n v="21327502"/>
    <s v="3000013209720013"/>
    <s v="CIVIL"/>
    <d v="2023-06-19T00:00:00"/>
    <d v="2023-07-04T19:00:44"/>
    <m/>
    <d v="2023-07-04T00:00:00"/>
    <n v="1861"/>
    <n v="614"/>
    <s v="55817166"/>
    <s v="55817166"/>
    <m/>
    <m/>
    <n v="22715492"/>
    <m/>
    <m/>
    <m/>
    <s v="SOLFIN"/>
    <s v="SOLFIN"/>
    <s v="CCMS"/>
    <n v="21327502"/>
    <n v="14338.56"/>
    <m/>
    <s v="N"/>
    <n v="19"/>
    <d v="2023-07-04T19:00:49"/>
    <s v="Y"/>
    <s v="Hearing Unit 2.31 - 5.00 Hours"/>
    <s v="Public Law Children"/>
    <s v="Advocacy"/>
    <s v="rz"/>
    <s v="Y"/>
    <n v="596.15"/>
    <n v="119.23"/>
    <x v="1"/>
    <s v="VALIDATED"/>
    <n v="1"/>
    <s v="01.11.80.308.6100.0000"/>
    <n v="596.15"/>
    <s v="11"/>
    <s v="6100"/>
    <n v="28935.99"/>
    <n v="596.15"/>
    <s v="CREDITOR"/>
    <n v="0"/>
    <n v="0"/>
    <n v="0"/>
    <n v="0"/>
    <n v="596.15"/>
  </r>
  <r>
    <n v="5120070"/>
    <s v="N"/>
    <n v="21349293"/>
    <s v="3000002016040010"/>
    <s v="CIVIL"/>
    <d v="2023-06-20T00:00:00"/>
    <d v="2023-07-10T19:01:40"/>
    <m/>
    <d v="2023-07-10T00:00:00"/>
    <n v="1861"/>
    <n v="614"/>
    <s v="5120070"/>
    <s v="5120070"/>
    <m/>
    <m/>
    <n v="22726564"/>
    <m/>
    <m/>
    <m/>
    <s v="SOLFIN"/>
    <s v="SOLFIN"/>
    <s v="CCMS"/>
    <n v="21349293"/>
    <n v="19287.78"/>
    <m/>
    <s v="N"/>
    <n v="30"/>
    <d v="2023-07-10T19:01:45"/>
    <s v="Y"/>
    <s v="Hearing Unit 2.31 - 5.00 Hours"/>
    <s v="Public Law Children"/>
    <s v="Advocacy"/>
    <s v="smd"/>
    <s v="Y"/>
    <n v="476.92"/>
    <n v="95.38"/>
    <x v="2"/>
    <s v="VALIDATED"/>
    <n v="1"/>
    <s v="01.11.80.308.6100.0000"/>
    <n v="476.92"/>
    <s v="11"/>
    <s v="6100"/>
    <n v="28935.99"/>
    <n v="476.92"/>
    <s v="CREDITOR"/>
    <n v="0"/>
    <n v="0"/>
    <n v="0"/>
    <n v="0"/>
    <n v="476.92"/>
  </r>
  <r>
    <n v="61827164"/>
    <s v="N"/>
    <n v="21337705"/>
    <s v="3000015896090002"/>
    <s v="CIVIL"/>
    <d v="2023-06-23T00:00:00"/>
    <d v="2023-07-06T19:21:01"/>
    <m/>
    <d v="2023-07-06T00:00:00"/>
    <n v="1861"/>
    <n v="614"/>
    <s v="61827164"/>
    <s v="61827164"/>
    <m/>
    <m/>
    <n v="22752594"/>
    <m/>
    <m/>
    <m/>
    <s v="SOLFIN"/>
    <s v="SOLFIN"/>
    <s v="CCMS"/>
    <n v="21337705"/>
    <n v="4545.22"/>
    <m/>
    <s v="N"/>
    <n v="5"/>
    <d v="2023-07-06T19:21:04"/>
    <s v="Y"/>
    <s v="Advocates Meeting"/>
    <s v="Public Law Children"/>
    <s v="Advocacy"/>
    <s v="smd"/>
    <s v="Y"/>
    <n v="140.99"/>
    <n v="28.2"/>
    <x v="4"/>
    <s v="VALIDATED"/>
    <n v="1"/>
    <s v="01.11.80.308.6100.0000"/>
    <n v="140.99"/>
    <s v="11"/>
    <s v="6100"/>
    <n v="28935.99"/>
    <n v="140.99"/>
    <s v="CREDITOR"/>
    <n v="0"/>
    <n v="0"/>
    <n v="0"/>
    <n v="0"/>
    <n v="140.99"/>
  </r>
  <r>
    <n v="61719871"/>
    <s v="N"/>
    <n v="21350107"/>
    <s v="3000015807500002"/>
    <s v="CIVIL"/>
    <d v="2023-06-26T00:00:00"/>
    <d v="2023-07-10T19:01:40"/>
    <m/>
    <d v="2023-07-10T00:00:00"/>
    <n v="1861"/>
    <n v="614"/>
    <s v="61719871"/>
    <s v="61719871"/>
    <m/>
    <m/>
    <n v="22761678"/>
    <m/>
    <m/>
    <m/>
    <s v="SOLFIN"/>
    <s v="SOLFIN"/>
    <s v="CCMS"/>
    <n v="21350107"/>
    <n v="4014.41"/>
    <m/>
    <s v="N"/>
    <n v="1"/>
    <d v="2023-07-10T19:02:14"/>
    <s v="Y"/>
    <s v="Interim Hearing Court Bundle/Advoca"/>
    <s v="Public Law Children"/>
    <s v="Advocacy"/>
    <s v="smd"/>
    <s v="Y"/>
    <n v="59.4"/>
    <n v="11.88"/>
    <x v="2"/>
    <s v="VALIDATED"/>
    <n v="1"/>
    <s v="01.11.80.308.6100.0000"/>
    <n v="59.4"/>
    <s v="11"/>
    <s v="6100"/>
    <n v="28935.99"/>
    <n v="59.4"/>
    <s v="CREDITOR"/>
    <n v="0"/>
    <n v="0"/>
    <n v="0"/>
    <n v="0"/>
    <n v="59.4"/>
  </r>
  <r>
    <n v="61719871"/>
    <s v="N"/>
    <n v="21350107"/>
    <s v="3000015807500002"/>
    <s v="CIVIL"/>
    <d v="2023-06-26T00:00:00"/>
    <d v="2023-07-10T19:01:40"/>
    <m/>
    <d v="2023-07-10T00:00:00"/>
    <n v="1861"/>
    <n v="614"/>
    <s v="61719871"/>
    <s v="61719871"/>
    <m/>
    <m/>
    <n v="22761678"/>
    <m/>
    <m/>
    <m/>
    <s v="SOLFIN"/>
    <s v="SOLFIN"/>
    <s v="CCMS"/>
    <n v="21350107"/>
    <n v="4014.41"/>
    <m/>
    <s v="N"/>
    <n v="2"/>
    <d v="2023-07-10T19:02:14"/>
    <s v="Y"/>
    <s v="Solicitor Travel Expenses"/>
    <s v="Public Law Children"/>
    <s v="Non Expert Disbursement"/>
    <s v="parking"/>
    <s v="Y"/>
    <n v="4.9"/>
    <n v="0"/>
    <x v="2"/>
    <s v="VALIDATED"/>
    <n v="1"/>
    <s v="01.11.80.308.6300.0000"/>
    <n v="4.9"/>
    <s v="11"/>
    <s v="6300"/>
    <n v="28935.99"/>
    <n v="4.9"/>
    <s v="CREDITOR"/>
    <n v="0"/>
    <n v="0"/>
    <n v="0"/>
    <n v="0"/>
    <n v="4.9"/>
  </r>
  <r>
    <n v="43673364"/>
    <s v="N"/>
    <n v="21360224"/>
    <s v="3000011588620018"/>
    <s v="CIVIL"/>
    <d v="2023-06-22T00:00:00"/>
    <d v="2023-07-11T11:50:54"/>
    <m/>
    <d v="2023-07-11T00:00:00"/>
    <n v="1861"/>
    <n v="614"/>
    <s v="43673364"/>
    <s v="43673364"/>
    <m/>
    <m/>
    <n v="22748226"/>
    <m/>
    <m/>
    <m/>
    <s v="SOLFIN"/>
    <s v="SOLFIN"/>
    <s v="CCMS"/>
    <n v="21360224"/>
    <n v="14371.3"/>
    <m/>
    <s v="N"/>
    <n v="23"/>
    <d v="2023-07-11T11:50:57"/>
    <s v="N"/>
    <s v="Solicitors Fixed Fee"/>
    <s v="Public Law Children"/>
    <s v="Profit Cost"/>
    <s v="kh"/>
    <s v="N"/>
    <n v="0"/>
    <n v="0"/>
    <x v="7"/>
    <s v="VALIDATED"/>
    <n v="1"/>
    <s v="01.11.80.308.6100.0000"/>
    <n v="0"/>
    <s v="11"/>
    <s v="6100"/>
    <n v="28935.99"/>
    <n v="0"/>
    <s v="CREDITOR"/>
    <n v="0"/>
    <n v="0"/>
    <n v="0"/>
    <n v="0"/>
    <n v="0"/>
  </r>
  <r>
    <n v="5120070"/>
    <s v="N"/>
    <n v="21349293"/>
    <s v="3000002016040010"/>
    <s v="CIVIL"/>
    <d v="2023-06-20T00:00:00"/>
    <d v="2023-07-10T19:01:40"/>
    <m/>
    <d v="2023-07-10T00:00:00"/>
    <n v="1861"/>
    <n v="614"/>
    <s v="5120070"/>
    <s v="5120070"/>
    <m/>
    <m/>
    <n v="22726564"/>
    <m/>
    <m/>
    <m/>
    <s v="SOLFIN"/>
    <s v="SOLFIN"/>
    <s v="CCMS"/>
    <n v="21349293"/>
    <n v="19287.78"/>
    <m/>
    <s v="N"/>
    <n v="32"/>
    <d v="2023-07-10T19:01:45"/>
    <s v="Y"/>
    <s v="Advocates Meeting"/>
    <s v="Public Law Children"/>
    <s v="Advocacy"/>
    <s v="smd"/>
    <s v="Y"/>
    <n v="140.99"/>
    <n v="28.2"/>
    <x v="2"/>
    <s v="VALIDATED"/>
    <n v="1"/>
    <s v="01.11.80.308.6100.0000"/>
    <n v="140.99"/>
    <s v="11"/>
    <s v="6100"/>
    <n v="28935.99"/>
    <n v="140.99"/>
    <s v="CREDITOR"/>
    <n v="0"/>
    <n v="0"/>
    <n v="0"/>
    <n v="0"/>
    <n v="140.99"/>
  </r>
  <r>
    <n v="61719871"/>
    <s v="N"/>
    <n v="21350107"/>
    <s v="3000015807500002"/>
    <s v="CIVIL"/>
    <d v="2023-06-26T00:00:00"/>
    <d v="2023-07-10T19:01:40"/>
    <m/>
    <d v="2023-07-10T00:00:00"/>
    <n v="1861"/>
    <n v="614"/>
    <s v="61719871"/>
    <s v="61719871"/>
    <m/>
    <m/>
    <n v="22761678"/>
    <m/>
    <m/>
    <m/>
    <s v="SOLFIN"/>
    <s v="SOLFIN"/>
    <s v="CCMS"/>
    <n v="21350107"/>
    <n v="4014.41"/>
    <m/>
    <s v="N"/>
    <n v="4"/>
    <d v="2023-07-10T19:02:14"/>
    <s v="Y"/>
    <s v="Solicitor Travel Expenses"/>
    <s v="Public Law Children"/>
    <s v="Non Expert Disbursement"/>
    <s v="tunnel"/>
    <s v="Y"/>
    <n v="4"/>
    <n v="0"/>
    <x v="2"/>
    <s v="VALIDATED"/>
    <n v="1"/>
    <s v="01.11.80.308.6300.0000"/>
    <n v="4"/>
    <s v="11"/>
    <s v="6300"/>
    <n v="28935.99"/>
    <n v="4"/>
    <s v="CREDITOR"/>
    <n v="0"/>
    <n v="0"/>
    <n v="0"/>
    <n v="0"/>
    <n v="4"/>
  </r>
  <r>
    <n v="5120070"/>
    <s v="N"/>
    <n v="21349293"/>
    <s v="3000002016040010"/>
    <s v="CIVIL"/>
    <d v="2023-06-20T00:00:00"/>
    <d v="2023-07-10T19:01:40"/>
    <m/>
    <d v="2023-07-10T00:00:00"/>
    <n v="1861"/>
    <n v="614"/>
    <s v="5120070"/>
    <s v="5120070"/>
    <m/>
    <m/>
    <n v="22726564"/>
    <m/>
    <m/>
    <m/>
    <s v="SOLFIN"/>
    <s v="SOLFIN"/>
    <s v="CCMS"/>
    <n v="21349293"/>
    <n v="19287.78"/>
    <m/>
    <s v="N"/>
    <n v="41"/>
    <d v="2023-07-10T19:01:45"/>
    <s v="N"/>
    <m/>
    <m/>
    <s v="Overall Adjustment"/>
    <m/>
    <s v="N"/>
    <n v="-755.46"/>
    <n v="-151.09"/>
    <x v="2"/>
    <s v="VALIDATED"/>
    <n v="1"/>
    <s v="01.11.80.308.6100.0000"/>
    <n v="-755.46"/>
    <s v="11"/>
    <s v="6100"/>
    <n v="28935.99"/>
    <n v="-755.46"/>
    <s v="CREDITOR"/>
    <n v="0"/>
    <n v="0"/>
    <n v="0"/>
    <n v="0"/>
    <n v="-755.46"/>
  </r>
  <r>
    <n v="55817166"/>
    <s v="N"/>
    <n v="21329589"/>
    <s v="3000013209720001RC"/>
    <s v="CIVIL"/>
    <d v="2023-06-19T00:00:00"/>
    <d v="2023-07-04T19:38:37"/>
    <m/>
    <d v="2023-07-04T00:00:00"/>
    <n v="1861"/>
    <n v="614"/>
    <s v="55817166"/>
    <s v="55817166"/>
    <m/>
    <m/>
    <m/>
    <m/>
    <m/>
    <m/>
    <s v="SOLRECOUP"/>
    <s v="SOLRECOUP"/>
    <s v="POARECOUP"/>
    <n v="21329589"/>
    <n v="-2252.15"/>
    <m/>
    <s v="Y"/>
    <n v="1"/>
    <d v="2023-07-04T19:38:38"/>
    <s v="N"/>
    <m/>
    <m/>
    <s v="Profit Cost"/>
    <m/>
    <s v="N"/>
    <n v="-1876.79"/>
    <n v="0"/>
    <x v="1"/>
    <s v="VALIDATED"/>
    <n v="1"/>
    <s v="01.11.80.308.2013.0000"/>
    <n v="-1876.79"/>
    <s v="11"/>
    <s v="2013"/>
    <n v="28935.99"/>
    <n v="-1876.79"/>
    <s v="CREDITOR"/>
    <n v="0"/>
    <n v="0"/>
    <n v="-1876.79"/>
    <n v="-469.1975"/>
    <n v="0"/>
  </r>
  <r>
    <n v="55817166"/>
    <s v="N"/>
    <n v="21329589"/>
    <s v="3000013209720001RC"/>
    <s v="CIVIL"/>
    <d v="2023-06-19T00:00:00"/>
    <d v="2023-07-04T19:38:37"/>
    <m/>
    <d v="2023-07-04T00:00:00"/>
    <n v="1861"/>
    <n v="614"/>
    <s v="55817166"/>
    <s v="55817166"/>
    <m/>
    <m/>
    <m/>
    <m/>
    <m/>
    <m/>
    <s v="SOLRECOUP"/>
    <s v="SOLRECOUP"/>
    <s v="POARECOUP"/>
    <n v="21329589"/>
    <n v="-2252.15"/>
    <m/>
    <s v="Y"/>
    <n v="2"/>
    <d v="2023-07-04T19:38:38"/>
    <s v="N"/>
    <m/>
    <m/>
    <s v="Profit Cost"/>
    <m/>
    <s v="N"/>
    <n v="0"/>
    <n v="-375.36"/>
    <x v="1"/>
    <s v="VALIDATED"/>
    <n v="1"/>
    <s v="01.11.80.308.2013.0000"/>
    <n v="-375.36"/>
    <s v="11"/>
    <s v="2013"/>
    <n v="28935.99"/>
    <n v="-375.36"/>
    <s v="CREDITOR"/>
    <n v="0"/>
    <n v="0"/>
    <n v="-375.36"/>
    <n v="-93.84"/>
    <n v="0"/>
  </r>
  <r>
    <n v="55817166"/>
    <s v="N"/>
    <n v="21329590"/>
    <s v="3000013209720004RC"/>
    <s v="CIVIL"/>
    <d v="2023-06-19T00:00:00"/>
    <d v="2023-07-04T19:38:37"/>
    <m/>
    <d v="2023-07-04T00:00:00"/>
    <n v="1861"/>
    <n v="614"/>
    <s v="55817166"/>
    <s v="55817166"/>
    <m/>
    <m/>
    <m/>
    <m/>
    <m/>
    <m/>
    <s v="SOLRECOUP"/>
    <s v="SOLRECOUP"/>
    <s v="POARECOUP"/>
    <n v="21329590"/>
    <n v="-486"/>
    <m/>
    <s v="Y"/>
    <n v="2"/>
    <d v="2023-07-04T19:38:38"/>
    <s v="N"/>
    <m/>
    <m/>
    <s v="Expert Disbursement"/>
    <m/>
    <s v="N"/>
    <n v="0"/>
    <n v="-81"/>
    <x v="1"/>
    <s v="VALIDATED"/>
    <n v="1"/>
    <s v="01.11.80.308.2013.0000"/>
    <n v="-81"/>
    <s v="11"/>
    <s v="2013"/>
    <n v="28935.99"/>
    <n v="-81"/>
    <s v="CREDITOR"/>
    <n v="0"/>
    <n v="0"/>
    <n v="-81"/>
    <n v="0"/>
    <n v="0"/>
  </r>
  <r>
    <n v="55817166"/>
    <s v="N"/>
    <n v="21329590"/>
    <s v="3000013209720004RC"/>
    <s v="CIVIL"/>
    <d v="2023-06-19T00:00:00"/>
    <d v="2023-07-04T19:38:37"/>
    <m/>
    <d v="2023-07-04T00:00:00"/>
    <n v="1861"/>
    <n v="614"/>
    <s v="55817166"/>
    <s v="55817166"/>
    <m/>
    <m/>
    <m/>
    <m/>
    <m/>
    <m/>
    <s v="SOLRECOUP"/>
    <s v="SOLRECOUP"/>
    <s v="POARECOUP"/>
    <n v="21329590"/>
    <n v="-486"/>
    <m/>
    <s v="Y"/>
    <n v="1"/>
    <d v="2023-07-04T19:38:38"/>
    <s v="N"/>
    <m/>
    <m/>
    <s v="Expert Disbursement"/>
    <m/>
    <s v="N"/>
    <n v="-405"/>
    <n v="0"/>
    <x v="1"/>
    <s v="VALIDATED"/>
    <n v="1"/>
    <s v="01.11.80.308.2013.0000"/>
    <n v="-405"/>
    <s v="11"/>
    <s v="2013"/>
    <n v="28935.99"/>
    <n v="-405"/>
    <s v="CREDITOR"/>
    <n v="0"/>
    <n v="0"/>
    <n v="-405"/>
    <n v="0"/>
    <n v="0"/>
  </r>
  <r>
    <n v="43673364"/>
    <s v="N"/>
    <n v="21360224"/>
    <s v="3000011588620018"/>
    <s v="CIVIL"/>
    <d v="2023-06-22T00:00:00"/>
    <d v="2023-07-11T11:50:54"/>
    <m/>
    <d v="2023-07-11T00:00:00"/>
    <n v="1861"/>
    <n v="614"/>
    <s v="43673364"/>
    <s v="43673364"/>
    <m/>
    <m/>
    <n v="22748226"/>
    <m/>
    <m/>
    <m/>
    <s v="SOLFIN"/>
    <s v="SOLFIN"/>
    <s v="CCMS"/>
    <n v="21360224"/>
    <n v="14371.3"/>
    <m/>
    <s v="N"/>
    <n v="11"/>
    <d v="2023-07-11T11:50:57"/>
    <s v="Y"/>
    <s v="Preparation - other"/>
    <s v="Care Remuneration Hourly Rates"/>
    <s v="Profit Cost"/>
    <s v="kh"/>
    <s v="Y"/>
    <n v="1051.4"/>
    <n v="210.28"/>
    <x v="7"/>
    <s v="VALIDATED"/>
    <n v="1"/>
    <s v="01.11.80.308.6100.0000"/>
    <n v="1051.4"/>
    <s v="11"/>
    <s v="6100"/>
    <n v="28935.99"/>
    <n v="1051.4"/>
    <s v="CREDITOR"/>
    <n v="0"/>
    <n v="0"/>
    <n v="0"/>
    <n v="0"/>
    <n v="1051.4"/>
  </r>
  <r>
    <n v="60469047"/>
    <s v="N"/>
    <n v="21350166"/>
    <s v="3000014749130004"/>
    <s v="CIVIL"/>
    <d v="2023-05-25T00:00:00"/>
    <d v="2023-07-10T19:01:40"/>
    <m/>
    <d v="2023-07-10T00:00:00"/>
    <n v="1861"/>
    <n v="614"/>
    <s v="60469047"/>
    <s v="60469047"/>
    <m/>
    <m/>
    <n v="22579838"/>
    <m/>
    <m/>
    <m/>
    <s v="SOLFIN"/>
    <s v="SOLFIN"/>
    <s v="CCMS"/>
    <n v="21350166"/>
    <n v="291.39"/>
    <m/>
    <s v="N"/>
    <n v="1"/>
    <d v="2023-07-10T19:02:16"/>
    <s v="Y"/>
    <s v="Preparation - other"/>
    <s v="Care Remuneration Hourly Rates"/>
    <s v="Profit Cost"/>
    <s v="jk"/>
    <s v="Y"/>
    <n v="11.68"/>
    <n v="2.34"/>
    <x v="2"/>
    <s v="VALIDATED"/>
    <n v="1"/>
    <s v="01.11.80.305.6100.0000"/>
    <n v="11.68"/>
    <s v="11"/>
    <s v="6100"/>
    <n v="28935.99"/>
    <n v="11.68"/>
    <s v="CREDITOR"/>
    <n v="0"/>
    <n v="0"/>
    <n v="0"/>
    <n v="0"/>
    <n v="11.68"/>
  </r>
  <r>
    <n v="5120070"/>
    <s v="N"/>
    <n v="21349293"/>
    <s v="3000002016040010"/>
    <s v="CIVIL"/>
    <d v="2023-06-20T00:00:00"/>
    <d v="2023-07-10T19:01:40"/>
    <m/>
    <d v="2023-07-10T00:00:00"/>
    <n v="1861"/>
    <n v="614"/>
    <s v="5120070"/>
    <s v="5120070"/>
    <m/>
    <m/>
    <n v="22726564"/>
    <m/>
    <m/>
    <m/>
    <s v="SOLFIN"/>
    <s v="SOLFIN"/>
    <s v="CCMS"/>
    <n v="21349293"/>
    <n v="19287.78"/>
    <m/>
    <s v="N"/>
    <n v="24"/>
    <d v="2023-07-10T19:01:45"/>
    <s v="Y"/>
    <s v="Solicitor Travel Expenses"/>
    <s v="Public Law Children"/>
    <s v="Non Expert Disbursement"/>
    <s v="tunnel"/>
    <s v="Y"/>
    <n v="3.4"/>
    <n v="0"/>
    <x v="2"/>
    <s v="VALIDATED"/>
    <n v="1"/>
    <s v="01.11.80.308.6300.0000"/>
    <n v="3.4"/>
    <s v="11"/>
    <s v="6300"/>
    <n v="28935.99"/>
    <n v="3.4"/>
    <s v="CREDITOR"/>
    <n v="0"/>
    <n v="0"/>
    <n v="0"/>
    <n v="0"/>
    <n v="3.4"/>
  </r>
  <r>
    <n v="61827164"/>
    <s v="N"/>
    <n v="21337705"/>
    <s v="3000015896090002"/>
    <s v="CIVIL"/>
    <d v="2023-06-23T00:00:00"/>
    <d v="2023-07-06T19:21:01"/>
    <m/>
    <d v="2023-07-06T00:00:00"/>
    <n v="1861"/>
    <n v="614"/>
    <s v="61827164"/>
    <s v="61827164"/>
    <m/>
    <m/>
    <n v="22752594"/>
    <m/>
    <m/>
    <m/>
    <s v="SOLFIN"/>
    <s v="SOLFIN"/>
    <s v="CCMS"/>
    <n v="21337705"/>
    <n v="4545.22"/>
    <m/>
    <s v="N"/>
    <n v="8"/>
    <d v="2023-07-06T19:21:04"/>
    <s v="Y"/>
    <s v="Hearing Unit 2.31 - 5.00 Hours"/>
    <s v="Public Law Children"/>
    <s v="Advocacy"/>
    <s v="smd"/>
    <s v="Y"/>
    <n v="476.92"/>
    <n v="95.38"/>
    <x v="4"/>
    <s v="VALIDATED"/>
    <n v="1"/>
    <s v="01.11.80.308.6100.0000"/>
    <n v="476.92"/>
    <s v="11"/>
    <s v="6100"/>
    <n v="28935.99"/>
    <n v="476.92"/>
    <s v="CREDITOR"/>
    <n v="0"/>
    <n v="0"/>
    <n v="0"/>
    <n v="0"/>
    <n v="476.92"/>
  </r>
  <r>
    <n v="5120070"/>
    <s v="N"/>
    <n v="21349293"/>
    <s v="3000002016040010"/>
    <s v="CIVIL"/>
    <d v="2023-06-20T00:00:00"/>
    <d v="2023-07-10T19:01:40"/>
    <m/>
    <d v="2023-07-10T00:00:00"/>
    <n v="1861"/>
    <n v="614"/>
    <s v="5120070"/>
    <s v="5120070"/>
    <m/>
    <m/>
    <n v="22726564"/>
    <m/>
    <m/>
    <m/>
    <s v="SOLFIN"/>
    <s v="SOLFIN"/>
    <s v="CCMS"/>
    <n v="21349293"/>
    <n v="19287.78"/>
    <m/>
    <s v="N"/>
    <n v="29"/>
    <d v="2023-07-10T19:01:45"/>
    <s v="Y"/>
    <s v="Hearing Unit 2.31 - 5.00 Hours"/>
    <s v="Public Law Children"/>
    <s v="Advocacy"/>
    <s v="smd"/>
    <s v="Y"/>
    <n v="476.92"/>
    <n v="95.38"/>
    <x v="2"/>
    <s v="VALIDATED"/>
    <n v="1"/>
    <s v="01.11.80.308.6100.0000"/>
    <n v="476.92"/>
    <s v="11"/>
    <s v="6100"/>
    <n v="28935.99"/>
    <n v="476.92"/>
    <s v="CREDITOR"/>
    <n v="0"/>
    <n v="0"/>
    <n v="0"/>
    <n v="0"/>
    <n v="476.92"/>
  </r>
  <r>
    <n v="5120070"/>
    <s v="N"/>
    <n v="21349293"/>
    <s v="3000002016040010"/>
    <s v="CIVIL"/>
    <d v="2023-06-20T00:00:00"/>
    <d v="2023-07-10T19:01:40"/>
    <m/>
    <d v="2023-07-10T00:00:00"/>
    <n v="1861"/>
    <n v="614"/>
    <s v="5120070"/>
    <s v="5120070"/>
    <m/>
    <m/>
    <n v="22726564"/>
    <m/>
    <m/>
    <m/>
    <s v="SOLFIN"/>
    <s v="SOLFIN"/>
    <s v="CCMS"/>
    <n v="21349293"/>
    <n v="19287.78"/>
    <m/>
    <s v="N"/>
    <n v="37"/>
    <d v="2023-07-10T19:01:45"/>
    <s v="Y"/>
    <s v="Advocates Meeting"/>
    <s v="Public Law Children"/>
    <s v="Advocacy"/>
    <s v="smd"/>
    <s v="Y"/>
    <n v="128.16"/>
    <n v="25.63"/>
    <x v="2"/>
    <s v="VALIDATED"/>
    <n v="1"/>
    <s v="01.11.80.308.6100.0000"/>
    <n v="128.16"/>
    <s v="11"/>
    <s v="6100"/>
    <n v="28935.99"/>
    <n v="128.16"/>
    <s v="CREDITOR"/>
    <n v="0"/>
    <n v="0"/>
    <n v="0"/>
    <n v="0"/>
    <n v="128.16"/>
  </r>
  <r>
    <n v="61827164"/>
    <s v="N"/>
    <n v="21337705"/>
    <s v="3000015896090002"/>
    <s v="CIVIL"/>
    <d v="2023-06-23T00:00:00"/>
    <d v="2023-07-06T19:21:01"/>
    <m/>
    <d v="2023-07-06T00:00:00"/>
    <n v="1861"/>
    <n v="614"/>
    <s v="61827164"/>
    <s v="61827164"/>
    <m/>
    <m/>
    <n v="22752594"/>
    <m/>
    <m/>
    <m/>
    <s v="SOLFIN"/>
    <s v="SOLFIN"/>
    <s v="CCMS"/>
    <n v="21337705"/>
    <n v="4545.22"/>
    <m/>
    <s v="N"/>
    <n v="2"/>
    <d v="2023-07-06T19:21:04"/>
    <s v="Y"/>
    <s v="Final Hearing - 1 Day"/>
    <s v="Public Law Children"/>
    <s v="Advocacy"/>
    <s v="smd"/>
    <s v="Y"/>
    <n v="556.88"/>
    <n v="111.38"/>
    <x v="4"/>
    <s v="VALIDATED"/>
    <n v="1"/>
    <s v="01.11.80.308.6100.0000"/>
    <n v="556.88"/>
    <s v="11"/>
    <s v="6100"/>
    <n v="28935.99"/>
    <n v="556.88"/>
    <s v="CREDITOR"/>
    <n v="0"/>
    <n v="0"/>
    <n v="0"/>
    <n v="0"/>
    <n v="556.88"/>
  </r>
  <r>
    <n v="5120070"/>
    <s v="N"/>
    <n v="21349293"/>
    <s v="3000002016040010"/>
    <s v="CIVIL"/>
    <d v="2023-06-20T00:00:00"/>
    <d v="2023-07-10T19:01:40"/>
    <m/>
    <d v="2023-07-10T00:00:00"/>
    <n v="1861"/>
    <n v="614"/>
    <s v="5120070"/>
    <s v="5120070"/>
    <m/>
    <m/>
    <n v="22726564"/>
    <m/>
    <m/>
    <m/>
    <s v="SOLFIN"/>
    <s v="SOLFIN"/>
    <s v="CCMS"/>
    <n v="21349293"/>
    <n v="19287.78"/>
    <m/>
    <s v="N"/>
    <n v="31"/>
    <d v="2023-07-10T19:01:45"/>
    <s v="Y"/>
    <s v="Hearing Unit 2.31 - 5.00 Hours"/>
    <s v="Public Law Children"/>
    <s v="Advocacy"/>
    <s v="smd"/>
    <s v="Y"/>
    <n v="476.92"/>
    <n v="95.38"/>
    <x v="2"/>
    <s v="VALIDATED"/>
    <n v="1"/>
    <s v="01.11.80.308.6100.0000"/>
    <n v="476.92"/>
    <s v="11"/>
    <s v="6100"/>
    <n v="28935.99"/>
    <n v="476.92"/>
    <s v="CREDITOR"/>
    <n v="0"/>
    <n v="0"/>
    <n v="0"/>
    <n v="0"/>
    <n v="476.92"/>
  </r>
  <r>
    <n v="43673364"/>
    <s v="N"/>
    <n v="21360224"/>
    <s v="3000011588620018"/>
    <s v="CIVIL"/>
    <d v="2023-06-22T00:00:00"/>
    <d v="2023-07-11T11:50:54"/>
    <m/>
    <d v="2023-07-11T00:00:00"/>
    <n v="1861"/>
    <n v="614"/>
    <s v="43673364"/>
    <s v="43673364"/>
    <m/>
    <m/>
    <n v="22748226"/>
    <m/>
    <m/>
    <m/>
    <s v="SOLFIN"/>
    <s v="SOLFIN"/>
    <s v="CCMS"/>
    <n v="21360224"/>
    <n v="14371.3"/>
    <m/>
    <s v="N"/>
    <n v="4"/>
    <d v="2023-07-11T11:50:57"/>
    <s v="Y"/>
    <s v="Toxicologist"/>
    <s v="Public Law Children"/>
    <s v="Expert Disbursement"/>
    <s v="lextox"/>
    <s v="Y"/>
    <n v="245"/>
    <n v="49"/>
    <x v="7"/>
    <s v="VALIDATED"/>
    <n v="1"/>
    <s v="01.11.80.308.6300.0000"/>
    <n v="245"/>
    <s v="11"/>
    <s v="6300"/>
    <n v="28935.99"/>
    <n v="245"/>
    <s v="CREDITOR"/>
    <n v="0"/>
    <n v="0"/>
    <n v="0"/>
    <n v="0"/>
    <n v="245"/>
  </r>
  <r>
    <n v="5120070"/>
    <s v="N"/>
    <n v="21349293"/>
    <s v="3000002016040010"/>
    <s v="CIVIL"/>
    <d v="2023-06-20T00:00:00"/>
    <d v="2023-07-10T19:01:40"/>
    <m/>
    <d v="2023-07-10T00:00:00"/>
    <n v="1861"/>
    <n v="614"/>
    <s v="5120070"/>
    <s v="5120070"/>
    <m/>
    <m/>
    <n v="22726564"/>
    <m/>
    <m/>
    <m/>
    <s v="SOLFIN"/>
    <s v="SOLFIN"/>
    <s v="CCMS"/>
    <n v="21349293"/>
    <n v="19287.78"/>
    <m/>
    <s v="N"/>
    <n v="9"/>
    <d v="2023-07-10T19:01:45"/>
    <s v="Y"/>
    <s v="Psychologist"/>
    <s v="Public Law Children"/>
    <s v="Expert Disbursement"/>
    <s v="howard psychology"/>
    <s v="Y"/>
    <n v="485.45"/>
    <n v="0"/>
    <x v="2"/>
    <s v="VALIDATED"/>
    <n v="1"/>
    <s v="01.11.80.308.6300.0000"/>
    <n v="485.45"/>
    <s v="11"/>
    <s v="6300"/>
    <n v="28935.99"/>
    <n v="485.45"/>
    <s v="CREDITOR"/>
    <n v="0"/>
    <n v="0"/>
    <n v="0"/>
    <n v="0"/>
    <n v="485.45"/>
  </r>
  <r>
    <n v="5120070"/>
    <s v="N"/>
    <n v="21349293"/>
    <s v="3000002016040010"/>
    <s v="CIVIL"/>
    <d v="2023-06-20T00:00:00"/>
    <d v="2023-07-10T19:01:40"/>
    <m/>
    <d v="2023-07-10T00:00:00"/>
    <n v="1861"/>
    <n v="614"/>
    <s v="5120070"/>
    <s v="5120070"/>
    <m/>
    <m/>
    <n v="22726564"/>
    <m/>
    <m/>
    <m/>
    <s v="SOLFIN"/>
    <s v="SOLFIN"/>
    <s v="CCMS"/>
    <n v="21349293"/>
    <n v="19287.78"/>
    <m/>
    <s v="N"/>
    <n v="22"/>
    <d v="2023-07-10T19:01:45"/>
    <s v="Y"/>
    <s v="Solicitor Travel Mileage"/>
    <s v="Public Law Children"/>
    <s v="Non Expert Disbursement"/>
    <s v="parking"/>
    <s v="Y"/>
    <n v="7.5"/>
    <n v="0"/>
    <x v="2"/>
    <s v="VALIDATED"/>
    <n v="1"/>
    <s v="01.11.80.308.6300.0000"/>
    <n v="7.5"/>
    <s v="11"/>
    <s v="6300"/>
    <n v="28935.99"/>
    <n v="7.5"/>
    <s v="CREDITOR"/>
    <n v="0"/>
    <n v="0"/>
    <n v="0"/>
    <n v="0"/>
    <n v="7.5"/>
  </r>
  <r>
    <n v="55817166"/>
    <s v="N"/>
    <n v="21327502"/>
    <s v="3000013209720013"/>
    <s v="CIVIL"/>
    <d v="2023-06-19T00:00:00"/>
    <d v="2023-07-04T19:00:44"/>
    <m/>
    <d v="2023-07-04T00:00:00"/>
    <n v="1861"/>
    <n v="614"/>
    <s v="55817166"/>
    <s v="55817166"/>
    <m/>
    <m/>
    <n v="22715492"/>
    <m/>
    <m/>
    <m/>
    <s v="SOLFIN"/>
    <s v="SOLFIN"/>
    <s v="CCMS"/>
    <n v="21327502"/>
    <n v="14338.56"/>
    <m/>
    <s v="N"/>
    <n v="1"/>
    <d v="2023-07-04T19:00:49"/>
    <s v="Y"/>
    <s v="Psychologist"/>
    <s v="Public Law Children"/>
    <s v="Expert Disbursement"/>
    <s v="westbury health"/>
    <s v="Y"/>
    <n v="148.89"/>
    <n v="29.78"/>
    <x v="1"/>
    <s v="VALIDATED"/>
    <n v="1"/>
    <s v="01.11.80.308.6300.0000"/>
    <n v="148.89"/>
    <s v="11"/>
    <s v="6300"/>
    <n v="28935.99"/>
    <n v="148.89"/>
    <s v="CREDITOR"/>
    <n v="0"/>
    <n v="0"/>
    <n v="0"/>
    <n v="0"/>
    <n v="148.89"/>
  </r>
  <r>
    <n v="55817166"/>
    <s v="N"/>
    <n v="21327502"/>
    <s v="3000013209720013"/>
    <s v="CIVIL"/>
    <d v="2023-06-19T00:00:00"/>
    <d v="2023-07-04T19:00:44"/>
    <m/>
    <d v="2023-07-04T00:00:00"/>
    <n v="1861"/>
    <n v="614"/>
    <s v="55817166"/>
    <s v="55817166"/>
    <m/>
    <m/>
    <n v="22715492"/>
    <m/>
    <m/>
    <m/>
    <s v="SOLFIN"/>
    <s v="SOLFIN"/>
    <s v="CCMS"/>
    <n v="21327502"/>
    <n v="14338.56"/>
    <m/>
    <s v="N"/>
    <n v="27"/>
    <d v="2023-07-04T19:00:49"/>
    <s v="Y"/>
    <s v="Hearing Unit 2.31 - 5.00 Hours"/>
    <s v="Public Law Children"/>
    <s v="Advocacy"/>
    <s v="rz"/>
    <s v="Y"/>
    <n v="596.15"/>
    <n v="119.23"/>
    <x v="1"/>
    <s v="VALIDATED"/>
    <n v="1"/>
    <s v="01.11.80.308.6100.0000"/>
    <n v="596.15"/>
    <s v="11"/>
    <s v="6100"/>
    <n v="28935.99"/>
    <n v="596.15"/>
    <s v="CREDITOR"/>
    <n v="0"/>
    <n v="0"/>
    <n v="0"/>
    <n v="0"/>
    <n v="596.15"/>
  </r>
  <r>
    <n v="5120070"/>
    <s v="N"/>
    <n v="21349293"/>
    <s v="3000002016040010"/>
    <s v="CIVIL"/>
    <d v="2023-06-20T00:00:00"/>
    <d v="2023-07-10T19:01:40"/>
    <m/>
    <d v="2023-07-10T00:00:00"/>
    <n v="1861"/>
    <n v="614"/>
    <s v="5120070"/>
    <s v="5120070"/>
    <m/>
    <m/>
    <n v="22726564"/>
    <m/>
    <m/>
    <m/>
    <s v="SOLFIN"/>
    <s v="SOLFIN"/>
    <s v="CCMS"/>
    <n v="21349293"/>
    <n v="19287.78"/>
    <m/>
    <s v="N"/>
    <n v="21"/>
    <d v="2023-07-10T19:01:45"/>
    <s v="Y"/>
    <s v="Solicitor Travel Expenses"/>
    <s v="Public Law Children"/>
    <s v="Non Expert Disbursement"/>
    <s v="tunnel"/>
    <s v="Y"/>
    <n v="3.4"/>
    <n v="0"/>
    <x v="2"/>
    <s v="VALIDATED"/>
    <n v="1"/>
    <s v="01.11.80.308.6300.0000"/>
    <n v="3.4"/>
    <s v="11"/>
    <s v="6300"/>
    <n v="28935.99"/>
    <n v="3.4"/>
    <s v="CREDITOR"/>
    <n v="0"/>
    <n v="0"/>
    <n v="0"/>
    <n v="0"/>
    <n v="3.4"/>
  </r>
  <r>
    <n v="61827164"/>
    <s v="N"/>
    <n v="21337705"/>
    <s v="3000015896090002"/>
    <s v="CIVIL"/>
    <d v="2023-06-23T00:00:00"/>
    <d v="2023-07-06T19:21:01"/>
    <m/>
    <d v="2023-07-06T00:00:00"/>
    <n v="1861"/>
    <n v="614"/>
    <s v="61827164"/>
    <s v="61827164"/>
    <m/>
    <m/>
    <n v="22752594"/>
    <m/>
    <m/>
    <m/>
    <s v="SOLFIN"/>
    <s v="SOLFIN"/>
    <s v="CCMS"/>
    <n v="21337705"/>
    <n v="4545.22"/>
    <m/>
    <s v="N"/>
    <n v="3"/>
    <d v="2023-07-06T19:21:04"/>
    <s v="Y"/>
    <s v="Advocates Meeting"/>
    <s v="Public Law Children"/>
    <s v="Advocacy"/>
    <s v="smd"/>
    <s v="Y"/>
    <n v="140.99"/>
    <n v="28.2"/>
    <x v="4"/>
    <s v="VALIDATED"/>
    <n v="1"/>
    <s v="01.11.80.308.6100.0000"/>
    <n v="140.99"/>
    <s v="11"/>
    <s v="6100"/>
    <n v="28935.99"/>
    <n v="140.99"/>
    <s v="CREDITOR"/>
    <n v="0"/>
    <n v="0"/>
    <n v="0"/>
    <n v="0"/>
    <n v="140.99"/>
  </r>
  <r>
    <n v="55817166"/>
    <s v="N"/>
    <n v="21327502"/>
    <s v="3000013209720013"/>
    <s v="CIVIL"/>
    <d v="2023-06-19T00:00:00"/>
    <d v="2023-07-04T19:00:44"/>
    <m/>
    <d v="2023-07-04T00:00:00"/>
    <n v="1861"/>
    <n v="614"/>
    <s v="55817166"/>
    <s v="55817166"/>
    <m/>
    <m/>
    <n v="22715492"/>
    <m/>
    <m/>
    <m/>
    <s v="SOLFIN"/>
    <s v="SOLFIN"/>
    <s v="CCMS"/>
    <n v="21327502"/>
    <n v="14338.56"/>
    <m/>
    <s v="N"/>
    <n v="21"/>
    <d v="2023-07-04T19:00:49"/>
    <s v="Y"/>
    <s v="Hearing Unit 2.31 - 5.00 Hours"/>
    <s v="Public Law Children"/>
    <s v="Advocacy"/>
    <s v="rz"/>
    <s v="Y"/>
    <n v="596.15"/>
    <n v="119.23"/>
    <x v="1"/>
    <s v="VALIDATED"/>
    <n v="1"/>
    <s v="01.11.80.308.6100.0000"/>
    <n v="596.15"/>
    <s v="11"/>
    <s v="6100"/>
    <n v="28935.99"/>
    <n v="596.15"/>
    <s v="CREDITOR"/>
    <n v="0"/>
    <n v="0"/>
    <n v="0"/>
    <n v="0"/>
    <n v="596.15"/>
  </r>
  <r>
    <n v="61719871"/>
    <s v="N"/>
    <n v="21350107"/>
    <s v="3000015807500002"/>
    <s v="CIVIL"/>
    <d v="2023-06-26T00:00:00"/>
    <d v="2023-07-10T19:01:40"/>
    <m/>
    <d v="2023-07-10T00:00:00"/>
    <n v="1861"/>
    <n v="614"/>
    <s v="61719871"/>
    <s v="61719871"/>
    <m/>
    <m/>
    <n v="22761678"/>
    <m/>
    <m/>
    <m/>
    <s v="SOLFIN"/>
    <s v="SOLFIN"/>
    <s v="CCMS"/>
    <n v="21350107"/>
    <n v="4014.41"/>
    <m/>
    <s v="N"/>
    <n v="6"/>
    <d v="2023-07-10T19:02:14"/>
    <s v="Y"/>
    <s v="Final Hearing - 1 Day"/>
    <s v="Public Law Children"/>
    <s v="Advocacy"/>
    <s v="smd"/>
    <s v="Y"/>
    <n v="556.88"/>
    <n v="111.38"/>
    <x v="2"/>
    <s v="VALIDATED"/>
    <n v="1"/>
    <s v="01.11.80.308.6100.0000"/>
    <n v="556.88"/>
    <s v="11"/>
    <s v="6100"/>
    <n v="28935.99"/>
    <n v="556.88"/>
    <s v="CREDITOR"/>
    <n v="0"/>
    <n v="0"/>
    <n v="0"/>
    <n v="0"/>
    <n v="556.88"/>
  </r>
  <r>
    <n v="55817166"/>
    <s v="N"/>
    <n v="21327502"/>
    <s v="3000013209720013"/>
    <s v="CIVIL"/>
    <d v="2023-06-19T00:00:00"/>
    <d v="2023-07-04T19:00:44"/>
    <m/>
    <d v="2023-07-04T00:00:00"/>
    <n v="1861"/>
    <n v="614"/>
    <s v="55817166"/>
    <s v="55817166"/>
    <m/>
    <m/>
    <n v="22715492"/>
    <m/>
    <m/>
    <m/>
    <s v="SOLFIN"/>
    <s v="SOLFIN"/>
    <s v="CCMS"/>
    <n v="21327502"/>
    <n v="14338.56"/>
    <m/>
    <s v="N"/>
    <n v="15"/>
    <d v="2023-07-04T19:00:49"/>
    <s v="Y"/>
    <s v="Routine Letter In"/>
    <s v="Care Remuneration Hourly Rates"/>
    <s v="Profit Cost"/>
    <s v="ln"/>
    <s v="Y"/>
    <n v="75.84999999999999"/>
    <n v="15.17"/>
    <x v="1"/>
    <s v="VALIDATED"/>
    <n v="1"/>
    <s v="01.11.80.308.6100.0000"/>
    <n v="75.84999999999999"/>
    <s v="11"/>
    <s v="6100"/>
    <n v="28935.99"/>
    <n v="75.84999999999999"/>
    <s v="CREDITOR"/>
    <n v="0"/>
    <n v="0"/>
    <n v="0"/>
    <n v="0"/>
    <n v="75.84999999999999"/>
  </r>
  <r>
    <n v="43673364"/>
    <s v="N"/>
    <n v="21360224"/>
    <s v="3000011588620018"/>
    <s v="CIVIL"/>
    <d v="2023-06-22T00:00:00"/>
    <d v="2023-07-11T11:50:54"/>
    <m/>
    <d v="2023-07-11T00:00:00"/>
    <n v="1861"/>
    <n v="614"/>
    <s v="43673364"/>
    <s v="43673364"/>
    <m/>
    <m/>
    <n v="22748226"/>
    <m/>
    <m/>
    <m/>
    <s v="SOLFIN"/>
    <s v="SOLFIN"/>
    <s v="CCMS"/>
    <n v="21360224"/>
    <n v="14371.3"/>
    <m/>
    <s v="N"/>
    <n v="8"/>
    <d v="2023-07-11T11:50:57"/>
    <s v="Y"/>
    <s v="Psychologist"/>
    <s v="Public Law Children"/>
    <s v="Expert Disbursement"/>
    <s v="hope-borland"/>
    <s v="Y"/>
    <n v="818.97"/>
    <n v="163.79"/>
    <x v="7"/>
    <s v="VALIDATED"/>
    <n v="1"/>
    <s v="01.11.80.308.6300.0000"/>
    <n v="818.97"/>
    <s v="11"/>
    <s v="6300"/>
    <n v="28935.99"/>
    <n v="818.97"/>
    <s v="CREDITOR"/>
    <n v="0"/>
    <n v="0"/>
    <n v="0"/>
    <n v="0"/>
    <n v="818.97"/>
  </r>
  <r>
    <n v="5120070"/>
    <s v="N"/>
    <n v="21349293"/>
    <s v="3000002016040010"/>
    <s v="CIVIL"/>
    <d v="2023-06-20T00:00:00"/>
    <d v="2023-07-10T19:01:40"/>
    <m/>
    <d v="2023-07-10T00:00:00"/>
    <n v="1861"/>
    <n v="614"/>
    <s v="5120070"/>
    <s v="5120070"/>
    <m/>
    <m/>
    <n v="22726564"/>
    <m/>
    <m/>
    <m/>
    <s v="SOLFIN"/>
    <s v="SOLFIN"/>
    <s v="CCMS"/>
    <n v="21349293"/>
    <n v="19287.78"/>
    <m/>
    <s v="N"/>
    <n v="34"/>
    <d v="2023-07-10T19:01:45"/>
    <s v="Y"/>
    <s v="Hearing Unit 2.31 - 5.00 Hours"/>
    <s v="Public Law Children"/>
    <s v="Advocacy"/>
    <s v="smd"/>
    <s v="Y"/>
    <n v="433.62"/>
    <n v="86.72"/>
    <x v="2"/>
    <s v="VALIDATED"/>
    <n v="1"/>
    <s v="01.11.80.308.6100.0000"/>
    <n v="433.62"/>
    <s v="11"/>
    <s v="6100"/>
    <n v="28935.99"/>
    <n v="433.62"/>
    <s v="CREDITOR"/>
    <n v="0"/>
    <n v="0"/>
    <n v="0"/>
    <n v="0"/>
    <n v="433.62"/>
  </r>
  <r>
    <n v="43673364"/>
    <s v="N"/>
    <n v="21360224"/>
    <s v="3000011588620018"/>
    <s v="CIVIL"/>
    <d v="2023-06-22T00:00:00"/>
    <d v="2023-07-11T11:50:54"/>
    <m/>
    <d v="2023-07-11T00:00:00"/>
    <n v="1861"/>
    <n v="614"/>
    <s v="43673364"/>
    <s v="43673364"/>
    <m/>
    <m/>
    <n v="22748226"/>
    <m/>
    <m/>
    <m/>
    <s v="SOLFIN"/>
    <s v="SOLFIN"/>
    <s v="CCMS"/>
    <n v="21360224"/>
    <n v="14371.3"/>
    <m/>
    <s v="N"/>
    <n v="21"/>
    <d v="2023-07-11T11:50:57"/>
    <s v="Y"/>
    <s v="Attendance upon/with Counsel at Con"/>
    <s v="Care Remuneration Hourly Rates"/>
    <s v="Profit Cost"/>
    <s v="kh"/>
    <s v="Y"/>
    <n v="14.7"/>
    <n v="2.94"/>
    <x v="7"/>
    <s v="VALIDATED"/>
    <n v="1"/>
    <s v="01.11.80.308.6100.0000"/>
    <n v="14.7"/>
    <s v="11"/>
    <s v="6100"/>
    <n v="28935.99"/>
    <n v="14.7"/>
    <s v="CREDITOR"/>
    <n v="0"/>
    <n v="0"/>
    <n v="0"/>
    <n v="0"/>
    <n v="14.7"/>
  </r>
  <r>
    <n v="5120070"/>
    <s v="N"/>
    <n v="21349293"/>
    <s v="3000002016040010"/>
    <s v="CIVIL"/>
    <d v="2023-06-20T00:00:00"/>
    <d v="2023-07-10T19:01:40"/>
    <m/>
    <d v="2023-07-10T00:00:00"/>
    <n v="1861"/>
    <n v="614"/>
    <s v="5120070"/>
    <s v="5120070"/>
    <m/>
    <m/>
    <n v="22726564"/>
    <m/>
    <m/>
    <m/>
    <s v="SOLFIN"/>
    <s v="SOLFIN"/>
    <s v="CCMS"/>
    <n v="21349293"/>
    <n v="19287.78"/>
    <m/>
    <s v="N"/>
    <n v="23"/>
    <d v="2023-07-10T19:01:45"/>
    <s v="Y"/>
    <s v="Solicitor Travel Expenses"/>
    <s v="Public Law Children"/>
    <s v="Non Expert Disbursement"/>
    <s v="tunnel"/>
    <s v="Y"/>
    <n v="3.4"/>
    <n v="0"/>
    <x v="2"/>
    <s v="VALIDATED"/>
    <n v="1"/>
    <s v="01.11.80.308.6300.0000"/>
    <n v="3.4"/>
    <s v="11"/>
    <s v="6300"/>
    <n v="28935.99"/>
    <n v="3.4"/>
    <s v="CREDITOR"/>
    <n v="0"/>
    <n v="0"/>
    <n v="0"/>
    <n v="0"/>
    <n v="3.4"/>
  </r>
  <r>
    <n v="55817166"/>
    <s v="N"/>
    <n v="21327502"/>
    <s v="3000013209720013"/>
    <s v="CIVIL"/>
    <d v="2023-06-19T00:00:00"/>
    <d v="2023-07-04T19:00:44"/>
    <m/>
    <d v="2023-07-04T00:00:00"/>
    <n v="1861"/>
    <n v="614"/>
    <s v="55817166"/>
    <s v="55817166"/>
    <m/>
    <m/>
    <n v="22715492"/>
    <m/>
    <m/>
    <m/>
    <s v="SOLFIN"/>
    <s v="SOLFIN"/>
    <s v="CCMS"/>
    <n v="21327502"/>
    <n v="14338.56"/>
    <m/>
    <s v="N"/>
    <n v="22"/>
    <d v="2023-07-04T19:00:49"/>
    <s v="Y"/>
    <s v="Advocates Meeting"/>
    <s v="Public Law Children"/>
    <s v="Advocacy"/>
    <s v="rz"/>
    <s v="Y"/>
    <n v="140.99"/>
    <n v="28.2"/>
    <x v="1"/>
    <s v="VALIDATED"/>
    <n v="1"/>
    <s v="01.11.80.308.6100.0000"/>
    <n v="140.99"/>
    <s v="11"/>
    <s v="6100"/>
    <n v="28935.99"/>
    <n v="140.99"/>
    <s v="CREDITOR"/>
    <n v="0"/>
    <n v="0"/>
    <n v="0"/>
    <n v="0"/>
    <n v="140.99"/>
  </r>
  <r>
    <n v="55817166"/>
    <s v="N"/>
    <n v="21327502"/>
    <s v="3000013209720013"/>
    <s v="CIVIL"/>
    <d v="2023-06-19T00:00:00"/>
    <d v="2023-07-04T19:00:44"/>
    <m/>
    <d v="2023-07-04T00:00:00"/>
    <n v="1861"/>
    <n v="614"/>
    <s v="55817166"/>
    <s v="55817166"/>
    <m/>
    <m/>
    <n v="22715492"/>
    <m/>
    <m/>
    <m/>
    <s v="SOLFIN"/>
    <s v="SOLFIN"/>
    <s v="CCMS"/>
    <n v="21327502"/>
    <n v="14338.56"/>
    <m/>
    <s v="N"/>
    <n v="10"/>
    <d v="2023-07-04T19:00:49"/>
    <s v="Y"/>
    <s v="Advocacy - In court behind counsel"/>
    <s v="Care Remuneration Hourly Rates"/>
    <s v="Advocacy"/>
    <s v="ln"/>
    <s v="Y"/>
    <n v="132.3"/>
    <n v="26.46"/>
    <x v="1"/>
    <s v="VALIDATED"/>
    <n v="1"/>
    <s v="01.11.80.308.6100.0000"/>
    <n v="132.3"/>
    <s v="11"/>
    <s v="6100"/>
    <n v="28935.99"/>
    <n v="132.3"/>
    <s v="CREDITOR"/>
    <n v="0"/>
    <n v="0"/>
    <n v="0"/>
    <n v="0"/>
    <n v="132.3"/>
  </r>
  <r>
    <n v="5120070"/>
    <s v="N"/>
    <n v="21349293"/>
    <s v="3000002016040010"/>
    <s v="CIVIL"/>
    <d v="2023-06-20T00:00:00"/>
    <d v="2023-07-10T19:01:40"/>
    <m/>
    <d v="2023-07-10T00:00:00"/>
    <n v="1861"/>
    <n v="614"/>
    <s v="5120070"/>
    <s v="5120070"/>
    <m/>
    <m/>
    <n v="22726564"/>
    <m/>
    <m/>
    <m/>
    <s v="SOLFIN"/>
    <s v="SOLFIN"/>
    <s v="CCMS"/>
    <n v="21349293"/>
    <n v="19287.78"/>
    <m/>
    <s v="N"/>
    <n v="8"/>
    <d v="2023-07-10T19:01:45"/>
    <s v="Y"/>
    <s v="Solicitor Travel Expenses"/>
    <s v="Public Law Children"/>
    <s v="Non Expert Disbursement"/>
    <s v="train fare"/>
    <s v="Y"/>
    <n v="5"/>
    <n v="0"/>
    <x v="2"/>
    <s v="VALIDATED"/>
    <n v="1"/>
    <s v="01.11.80.308.6300.0000"/>
    <n v="5"/>
    <s v="11"/>
    <s v="6300"/>
    <n v="28935.99"/>
    <n v="5"/>
    <s v="CREDITOR"/>
    <n v="0"/>
    <n v="0"/>
    <n v="0"/>
    <n v="0"/>
    <n v="5"/>
  </r>
  <r>
    <n v="43673364"/>
    <s v="N"/>
    <n v="21360224"/>
    <s v="3000011588620018"/>
    <s v="CIVIL"/>
    <d v="2023-06-22T00:00:00"/>
    <d v="2023-07-11T11:50:54"/>
    <m/>
    <d v="2023-07-11T00:00:00"/>
    <n v="1861"/>
    <n v="614"/>
    <s v="43673364"/>
    <s v="43673364"/>
    <m/>
    <m/>
    <n v="22748226"/>
    <m/>
    <m/>
    <m/>
    <s v="SOLFIN"/>
    <s v="SOLFIN"/>
    <s v="CCMS"/>
    <n v="21360224"/>
    <n v="14371.3"/>
    <m/>
    <s v="N"/>
    <n v="18"/>
    <d v="2023-07-11T11:50:57"/>
    <s v="Y"/>
    <s v="Routine Letter In"/>
    <s v="Care Remuneration Hourly Rates"/>
    <s v="Profit Cost"/>
    <s v="kh"/>
    <s v="Y"/>
    <n v="1130.35"/>
    <n v="226.07"/>
    <x v="7"/>
    <s v="VALIDATED"/>
    <n v="1"/>
    <s v="01.11.80.308.6100.0000"/>
    <n v="1130.35"/>
    <s v="11"/>
    <s v="6100"/>
    <n v="28935.99"/>
    <n v="1130.35"/>
    <s v="CREDITOR"/>
    <n v="0"/>
    <n v="0"/>
    <n v="0"/>
    <n v="0"/>
    <n v="1130.35"/>
  </r>
  <r>
    <n v="55817166"/>
    <s v="N"/>
    <n v="21327502"/>
    <s v="3000013209720013"/>
    <s v="CIVIL"/>
    <d v="2023-06-19T00:00:00"/>
    <d v="2023-07-04T19:00:44"/>
    <m/>
    <d v="2023-07-04T00:00:00"/>
    <n v="1861"/>
    <n v="614"/>
    <s v="55817166"/>
    <s v="55817166"/>
    <m/>
    <m/>
    <n v="22715492"/>
    <m/>
    <m/>
    <m/>
    <s v="SOLFIN"/>
    <s v="SOLFIN"/>
    <s v="CCMS"/>
    <n v="21327502"/>
    <n v="14338.56"/>
    <m/>
    <s v="N"/>
    <n v="9"/>
    <d v="2023-07-04T19:00:49"/>
    <s v="Y"/>
    <s v="Preparation - other"/>
    <s v="Care Remuneration Hourly Rates"/>
    <s v="Profit Cost"/>
    <s v="ln"/>
    <s v="Y"/>
    <n v="499.42"/>
    <n v="99.88"/>
    <x v="1"/>
    <s v="VALIDATED"/>
    <n v="1"/>
    <s v="01.11.80.308.6100.0000"/>
    <n v="499.42"/>
    <s v="11"/>
    <s v="6100"/>
    <n v="28935.99"/>
    <n v="499.42"/>
    <s v="CREDITOR"/>
    <n v="0"/>
    <n v="0"/>
    <n v="0"/>
    <n v="0"/>
    <n v="499.42"/>
  </r>
  <r>
    <n v="43673364"/>
    <s v="N"/>
    <n v="21360224"/>
    <s v="3000011588620018"/>
    <s v="CIVIL"/>
    <d v="2023-06-22T00:00:00"/>
    <d v="2023-07-11T11:50:54"/>
    <m/>
    <d v="2023-07-11T00:00:00"/>
    <n v="1861"/>
    <n v="614"/>
    <s v="43673364"/>
    <s v="43673364"/>
    <m/>
    <m/>
    <n v="22748226"/>
    <m/>
    <m/>
    <m/>
    <s v="SOLFIN"/>
    <s v="SOLFIN"/>
    <s v="CCMS"/>
    <n v="21360224"/>
    <n v="14371.3"/>
    <m/>
    <s v="N"/>
    <n v="9"/>
    <d v="2023-07-11T11:50:57"/>
    <s v="Y"/>
    <s v="GP (records report)"/>
    <s v="Public Law Children"/>
    <s v="Expert Disbursement"/>
    <s v="gp"/>
    <s v="Y"/>
    <n v="50.4"/>
    <n v="10.08"/>
    <x v="7"/>
    <s v="VALIDATED"/>
    <n v="1"/>
    <s v="01.11.80.308.6300.0000"/>
    <n v="50.4"/>
    <s v="11"/>
    <s v="6300"/>
    <n v="28935.99"/>
    <n v="50.4"/>
    <s v="CREDITOR"/>
    <n v="0"/>
    <n v="0"/>
    <n v="0"/>
    <n v="0"/>
    <n v="50.4"/>
  </r>
  <r>
    <n v="43673364"/>
    <s v="N"/>
    <n v="21360224"/>
    <s v="3000011588620018"/>
    <s v="CIVIL"/>
    <d v="2023-06-22T00:00:00"/>
    <d v="2023-07-11T11:50:54"/>
    <m/>
    <d v="2023-07-11T00:00:00"/>
    <n v="1861"/>
    <n v="614"/>
    <s v="43673364"/>
    <s v="43673364"/>
    <m/>
    <m/>
    <n v="22748226"/>
    <m/>
    <m/>
    <m/>
    <s v="SOLFIN"/>
    <s v="SOLFIN"/>
    <s v="CCMS"/>
    <n v="21360224"/>
    <n v="14371.3"/>
    <m/>
    <s v="N"/>
    <n v="5"/>
    <d v="2023-07-11T11:50:57"/>
    <s v="Y"/>
    <s v="Toxicologist"/>
    <s v="Public Law Children"/>
    <s v="Expert Disbursement"/>
    <s v="lextox"/>
    <s v="Y"/>
    <n v="966.62"/>
    <n v="193.32"/>
    <x v="7"/>
    <s v="VALIDATED"/>
    <n v="1"/>
    <s v="01.11.80.308.6300.0000"/>
    <n v="966.62"/>
    <s v="11"/>
    <s v="6300"/>
    <n v="28935.99"/>
    <n v="966.62"/>
    <s v="CREDITOR"/>
    <n v="0"/>
    <n v="0"/>
    <n v="0"/>
    <n v="0"/>
    <n v="966.62"/>
  </r>
  <r>
    <n v="61827164"/>
    <s v="N"/>
    <n v="21337705"/>
    <s v="3000015896090002"/>
    <s v="CIVIL"/>
    <d v="2023-06-23T00:00:00"/>
    <d v="2023-07-06T19:21:01"/>
    <m/>
    <d v="2023-07-06T00:00:00"/>
    <n v="1861"/>
    <n v="614"/>
    <s v="61827164"/>
    <s v="61827164"/>
    <m/>
    <m/>
    <n v="22752594"/>
    <m/>
    <m/>
    <m/>
    <s v="SOLFIN"/>
    <s v="SOLFIN"/>
    <s v="CCMS"/>
    <n v="21337705"/>
    <n v="4545.22"/>
    <m/>
    <s v="N"/>
    <n v="1"/>
    <d v="2023-07-06T19:21:04"/>
    <s v="Y"/>
    <s v="Psychologist"/>
    <s v="Public Law Children"/>
    <s v="Expert Disbursement"/>
    <s v="psychologist"/>
    <s v="Y"/>
    <n v="177.53"/>
    <n v="35.51"/>
    <x v="4"/>
    <s v="VALIDATED"/>
    <n v="1"/>
    <s v="01.11.80.308.6300.0000"/>
    <n v="177.53"/>
    <s v="11"/>
    <s v="6300"/>
    <n v="28935.99"/>
    <n v="177.53"/>
    <s v="CREDITOR"/>
    <n v="0"/>
    <n v="0"/>
    <n v="0"/>
    <n v="0"/>
    <n v="177.53"/>
  </r>
  <r>
    <n v="55817166"/>
    <s v="N"/>
    <n v="21327502"/>
    <s v="3000013209720013"/>
    <s v="CIVIL"/>
    <d v="2023-06-19T00:00:00"/>
    <d v="2023-07-04T19:00:44"/>
    <m/>
    <d v="2023-07-04T00:00:00"/>
    <n v="1861"/>
    <n v="614"/>
    <s v="55817166"/>
    <s v="55817166"/>
    <m/>
    <m/>
    <n v="22715492"/>
    <m/>
    <m/>
    <m/>
    <s v="SOLFIN"/>
    <s v="SOLFIN"/>
    <s v="CCMS"/>
    <n v="21327502"/>
    <n v="14338.56"/>
    <m/>
    <s v="N"/>
    <n v="7"/>
    <d v="2023-07-04T19:00:49"/>
    <s v="Y"/>
    <s v="Preparation - other"/>
    <s v="Care Remuneration Hourly Rates"/>
    <s v="Profit Cost"/>
    <s v="rz"/>
    <s v="Y"/>
    <n v="1209.11"/>
    <n v="241.82"/>
    <x v="1"/>
    <s v="VALIDATED"/>
    <n v="1"/>
    <s v="01.11.80.308.6100.0000"/>
    <n v="1209.11"/>
    <s v="11"/>
    <s v="6100"/>
    <n v="28935.99"/>
    <n v="1209.11"/>
    <s v="CREDITOR"/>
    <n v="0"/>
    <n v="0"/>
    <n v="0"/>
    <n v="0"/>
    <n v="1209.11"/>
  </r>
  <r>
    <n v="60469047"/>
    <s v="N"/>
    <n v="21350166"/>
    <s v="3000014749130004"/>
    <s v="CIVIL"/>
    <d v="2023-05-25T00:00:00"/>
    <d v="2023-07-10T19:01:40"/>
    <m/>
    <d v="2023-07-10T00:00:00"/>
    <n v="1861"/>
    <n v="614"/>
    <s v="60469047"/>
    <s v="60469047"/>
    <m/>
    <m/>
    <n v="22579838"/>
    <m/>
    <m/>
    <m/>
    <s v="SOLFIN"/>
    <s v="SOLFIN"/>
    <s v="CCMS"/>
    <n v="21350166"/>
    <n v="291.39"/>
    <m/>
    <s v="N"/>
    <n v="2"/>
    <d v="2023-07-10T19:02:16"/>
    <s v="Y"/>
    <s v="Preparation - drafting bill/claim f"/>
    <s v="Care Remuneration Hourly Rates"/>
    <s v="Profit Cost"/>
    <s v="vb"/>
    <s v="Y"/>
    <n v="58.41"/>
    <n v="11.68"/>
    <x v="2"/>
    <s v="VALIDATED"/>
    <n v="1"/>
    <s v="01.11.80.305.6100.0000"/>
    <n v="58.41"/>
    <s v="11"/>
    <s v="6100"/>
    <n v="28935.99"/>
    <n v="58.41"/>
    <s v="CREDITOR"/>
    <n v="0"/>
    <n v="0"/>
    <n v="0"/>
    <n v="0"/>
    <n v="58.41"/>
  </r>
  <r>
    <n v="55817166"/>
    <s v="N"/>
    <n v="21327502"/>
    <s v="3000013209720013"/>
    <s v="CIVIL"/>
    <d v="2023-06-19T00:00:00"/>
    <d v="2023-07-04T19:00:44"/>
    <m/>
    <d v="2023-07-04T00:00:00"/>
    <n v="1861"/>
    <n v="614"/>
    <s v="55817166"/>
    <s v="55817166"/>
    <m/>
    <m/>
    <n v="22715492"/>
    <m/>
    <m/>
    <m/>
    <s v="SOLFIN"/>
    <s v="SOLFIN"/>
    <s v="CCMS"/>
    <n v="21327502"/>
    <n v="14338.56"/>
    <m/>
    <s v="N"/>
    <n v="16"/>
    <d v="2023-07-04T19:00:49"/>
    <s v="Y"/>
    <s v="Routine Telephone Call"/>
    <s v="Care Remuneration Hourly Rates"/>
    <s v="Profit Cost"/>
    <s v="ln"/>
    <s v="Y"/>
    <n v="44.28"/>
    <n v="8.859999999999999"/>
    <x v="1"/>
    <s v="VALIDATED"/>
    <n v="1"/>
    <s v="01.11.80.308.6100.0000"/>
    <n v="44.28"/>
    <s v="11"/>
    <s v="6100"/>
    <n v="28935.99"/>
    <n v="44.28"/>
    <s v="CREDITOR"/>
    <n v="0"/>
    <n v="0"/>
    <n v="0"/>
    <n v="0"/>
    <n v="44.28"/>
  </r>
  <r>
    <n v="61719871"/>
    <s v="N"/>
    <n v="21350107"/>
    <s v="3000015807500002"/>
    <s v="CIVIL"/>
    <d v="2023-06-26T00:00:00"/>
    <d v="2023-07-10T19:01:40"/>
    <m/>
    <d v="2023-07-10T00:00:00"/>
    <n v="1861"/>
    <n v="614"/>
    <s v="61719871"/>
    <s v="61719871"/>
    <m/>
    <m/>
    <n v="22761678"/>
    <m/>
    <m/>
    <m/>
    <s v="SOLFIN"/>
    <s v="SOLFIN"/>
    <s v="CCMS"/>
    <n v="21350107"/>
    <n v="4014.41"/>
    <m/>
    <s v="N"/>
    <n v="8"/>
    <d v="2023-07-10T19:02:14"/>
    <s v="Y"/>
    <s v="Hearing Unit 1.01 - 2.30 Hours"/>
    <s v="Public Law Children"/>
    <s v="Advocacy"/>
    <s v="smd"/>
    <s v="Y"/>
    <n v="238.46"/>
    <n v="47.69"/>
    <x v="2"/>
    <s v="VALIDATED"/>
    <n v="1"/>
    <s v="01.11.80.308.6100.0000"/>
    <n v="238.46"/>
    <s v="11"/>
    <s v="6100"/>
    <n v="28935.99"/>
    <n v="238.46"/>
    <s v="CREDITOR"/>
    <n v="0"/>
    <n v="0"/>
    <n v="0"/>
    <n v="0"/>
    <n v="238.46"/>
  </r>
  <r>
    <n v="5120070"/>
    <s v="N"/>
    <n v="21349293"/>
    <s v="3000002016040010"/>
    <s v="CIVIL"/>
    <d v="2023-06-20T00:00:00"/>
    <d v="2023-07-10T19:01:40"/>
    <m/>
    <d v="2023-07-10T00:00:00"/>
    <n v="1861"/>
    <n v="614"/>
    <s v="5120070"/>
    <s v="5120070"/>
    <m/>
    <m/>
    <n v="22726564"/>
    <m/>
    <m/>
    <m/>
    <s v="SOLFIN"/>
    <s v="SOLFIN"/>
    <s v="CCMS"/>
    <n v="21349293"/>
    <n v="19287.78"/>
    <m/>
    <s v="N"/>
    <n v="12"/>
    <d v="2023-07-10T19:01:45"/>
    <s v="Y"/>
    <s v="Solicitor Travel Expenses"/>
    <s v="Public Law Children"/>
    <s v="Non Expert Disbursement"/>
    <s v="train fare"/>
    <s v="Y"/>
    <n v="5"/>
    <n v="0"/>
    <x v="2"/>
    <s v="VALIDATED"/>
    <n v="1"/>
    <s v="01.11.80.308.6300.0000"/>
    <n v="5"/>
    <s v="11"/>
    <s v="6300"/>
    <n v="28935.99"/>
    <n v="5"/>
    <s v="CREDITOR"/>
    <n v="0"/>
    <n v="0"/>
    <n v="0"/>
    <n v="0"/>
    <n v="5"/>
  </r>
  <r>
    <n v="61719871"/>
    <s v="N"/>
    <n v="21350107"/>
    <s v="3000015807500002"/>
    <s v="CIVIL"/>
    <d v="2023-06-26T00:00:00"/>
    <d v="2023-07-10T19:01:40"/>
    <m/>
    <d v="2023-07-10T00:00:00"/>
    <n v="1861"/>
    <n v="614"/>
    <s v="61719871"/>
    <s v="61719871"/>
    <m/>
    <m/>
    <n v="22761678"/>
    <m/>
    <m/>
    <m/>
    <s v="SOLFIN"/>
    <s v="SOLFIN"/>
    <s v="CCMS"/>
    <n v="21350107"/>
    <n v="4014.41"/>
    <m/>
    <s v="N"/>
    <n v="11"/>
    <d v="2023-07-10T19:02:14"/>
    <s v="Y"/>
    <s v="Advocates Meeting"/>
    <s v="Public Law Children"/>
    <s v="Advocacy"/>
    <s v="smd"/>
    <s v="Y"/>
    <n v="140.99"/>
    <n v="28.2"/>
    <x v="2"/>
    <s v="VALIDATED"/>
    <n v="1"/>
    <s v="01.11.80.308.6100.0000"/>
    <n v="140.99"/>
    <s v="11"/>
    <s v="6100"/>
    <n v="28935.99"/>
    <n v="140.99"/>
    <s v="CREDITOR"/>
    <n v="0"/>
    <n v="0"/>
    <n v="0"/>
    <n v="0"/>
    <n v="140.99"/>
  </r>
  <r>
    <n v="55817166"/>
    <s v="N"/>
    <n v="21327502"/>
    <s v="3000013209720013"/>
    <s v="CIVIL"/>
    <d v="2023-06-19T00:00:00"/>
    <d v="2023-07-04T19:00:44"/>
    <m/>
    <d v="2023-07-04T00:00:00"/>
    <n v="1861"/>
    <n v="614"/>
    <s v="55817166"/>
    <s v="55817166"/>
    <m/>
    <m/>
    <n v="22715492"/>
    <m/>
    <m/>
    <m/>
    <s v="SOLFIN"/>
    <s v="SOLFIN"/>
    <s v="CCMS"/>
    <n v="21327502"/>
    <n v="14338.56"/>
    <m/>
    <s v="N"/>
    <n v="3"/>
    <d v="2023-07-04T19:00:49"/>
    <s v="Y"/>
    <s v="Psychiatrist"/>
    <s v="Public Law Children"/>
    <s v="Expert Disbursement"/>
    <s v="n &amp; s consultants"/>
    <s v="Y"/>
    <n v="432"/>
    <n v="86.40000000000001"/>
    <x v="1"/>
    <s v="VALIDATED"/>
    <n v="1"/>
    <s v="01.11.80.308.6300.0000"/>
    <n v="432"/>
    <s v="11"/>
    <s v="6300"/>
    <n v="28935.99"/>
    <n v="432"/>
    <s v="CREDITOR"/>
    <n v="0"/>
    <n v="0"/>
    <n v="0"/>
    <n v="0"/>
    <n v="432"/>
  </r>
  <r>
    <n v="55817166"/>
    <s v="N"/>
    <n v="21327502"/>
    <s v="3000013209720013"/>
    <s v="CIVIL"/>
    <d v="2023-06-19T00:00:00"/>
    <d v="2023-07-04T19:00:44"/>
    <m/>
    <d v="2023-07-04T00:00:00"/>
    <n v="1861"/>
    <n v="614"/>
    <s v="55817166"/>
    <s v="55817166"/>
    <m/>
    <m/>
    <n v="22715492"/>
    <m/>
    <m/>
    <m/>
    <s v="SOLFIN"/>
    <s v="SOLFIN"/>
    <s v="CCMS"/>
    <n v="21327502"/>
    <n v="14338.56"/>
    <m/>
    <s v="N"/>
    <n v="26"/>
    <d v="2023-07-04T19:00:49"/>
    <s v="Y"/>
    <s v="Hearing Unit 2.31 - 5.00 Hours"/>
    <s v="Public Law Children"/>
    <s v="Advocacy"/>
    <s v="rz"/>
    <s v="Y"/>
    <n v="476.92"/>
    <n v="95.38"/>
    <x v="1"/>
    <s v="VALIDATED"/>
    <n v="1"/>
    <s v="01.11.80.308.6100.0000"/>
    <n v="476.92"/>
    <s v="11"/>
    <s v="6100"/>
    <n v="28935.99"/>
    <n v="476.92"/>
    <s v="CREDITOR"/>
    <n v="0"/>
    <n v="0"/>
    <n v="0"/>
    <n v="0"/>
    <n v="476.92"/>
  </r>
  <r>
    <n v="60665470"/>
    <s v="N"/>
    <n v="21319345"/>
    <s v="3000014917190011"/>
    <s v="CIVIL"/>
    <d v="2023-06-27T00:00:00"/>
    <d v="2023-07-03T19:04:24"/>
    <m/>
    <d v="2023-07-03T00:00:00"/>
    <n v="1861"/>
    <n v="614"/>
    <s v="60665470"/>
    <s v="60665470"/>
    <m/>
    <m/>
    <n v="22771544"/>
    <m/>
    <m/>
    <m/>
    <s v="SOLPOA"/>
    <s v="SOLPOA"/>
    <s v="CCMS"/>
    <n v="21319345"/>
    <n v="2011.28"/>
    <m/>
    <s v="N"/>
    <n v="1"/>
    <d v="2023-07-03T19:04:25"/>
    <s v="N"/>
    <s v="Level 3 Fixed Fee"/>
    <s v="Private Law Children"/>
    <s v="Profit Cost"/>
    <s v="Katherine Hopkinson"/>
    <s v="N"/>
    <n v="1676.07"/>
    <n v="335.21"/>
    <x v="3"/>
    <s v="VALIDATED"/>
    <n v="1"/>
    <s v="01.11.80.307.2012.0000"/>
    <n v="1676.07"/>
    <s v="11"/>
    <s v="2012"/>
    <n v="28935.99"/>
    <n v="1676.07"/>
    <s v="CREDITOR"/>
    <n v="1676.07"/>
    <n v="419.0175"/>
    <n v="0"/>
    <n v="0"/>
    <n v="0"/>
  </r>
  <r>
    <n v="43673364"/>
    <s v="N"/>
    <n v="21360224"/>
    <s v="3000011588620018"/>
    <s v="CIVIL"/>
    <d v="2023-06-22T00:00:00"/>
    <d v="2023-07-11T11:50:54"/>
    <m/>
    <d v="2023-07-11T00:00:00"/>
    <n v="1861"/>
    <n v="614"/>
    <s v="43673364"/>
    <s v="43673364"/>
    <m/>
    <m/>
    <n v="22748226"/>
    <m/>
    <m/>
    <m/>
    <s v="SOLFIN"/>
    <s v="SOLFIN"/>
    <s v="CCMS"/>
    <n v="21360224"/>
    <n v="14371.3"/>
    <m/>
    <s v="N"/>
    <n v="12"/>
    <d v="2023-07-11T11:50:57"/>
    <s v="Y"/>
    <s v="Preparation - other"/>
    <s v="Care Remuneration Hourly Rates"/>
    <s v="Profit Cost"/>
    <s v="kh"/>
    <s v="Y"/>
    <n v="1051.4"/>
    <n v="210.28"/>
    <x v="7"/>
    <s v="VALIDATED"/>
    <n v="1"/>
    <s v="01.11.80.308.6100.0000"/>
    <n v="1051.4"/>
    <s v="11"/>
    <s v="6100"/>
    <n v="28935.99"/>
    <n v="1051.4"/>
    <s v="CREDITOR"/>
    <n v="0"/>
    <n v="0"/>
    <n v="0"/>
    <n v="0"/>
    <n v="1051.4"/>
  </r>
  <r>
    <n v="43673364"/>
    <s v="N"/>
    <n v="21360224"/>
    <s v="3000011588620018"/>
    <s v="CIVIL"/>
    <d v="2023-06-22T00:00:00"/>
    <d v="2023-07-11T11:50:54"/>
    <m/>
    <d v="2023-07-11T00:00:00"/>
    <n v="1861"/>
    <n v="614"/>
    <s v="43673364"/>
    <s v="43673364"/>
    <m/>
    <m/>
    <n v="22748226"/>
    <m/>
    <m/>
    <m/>
    <s v="SOLFIN"/>
    <s v="SOLFIN"/>
    <s v="CCMS"/>
    <n v="21360224"/>
    <n v="14371.3"/>
    <m/>
    <s v="N"/>
    <n v="17"/>
    <d v="2023-07-11T11:50:57"/>
    <s v="Y"/>
    <s v="Preparation - drafting bill/claim f"/>
    <s v="Care Remuneration Hourly Rates"/>
    <s v="Profit Cost"/>
    <s v="vb"/>
    <s v="Y"/>
    <n v="315.42"/>
    <n v="63.08"/>
    <x v="7"/>
    <s v="VALIDATED"/>
    <n v="1"/>
    <s v="01.11.80.308.6100.0000"/>
    <n v="315.42"/>
    <s v="11"/>
    <s v="6100"/>
    <n v="28935.99"/>
    <n v="315.42"/>
    <s v="CREDITOR"/>
    <n v="0"/>
    <n v="0"/>
    <n v="0"/>
    <n v="0"/>
    <n v="315.42"/>
  </r>
  <r>
    <n v="55817166"/>
    <s v="N"/>
    <n v="21327502"/>
    <s v="3000013209720013"/>
    <s v="CIVIL"/>
    <d v="2023-06-19T00:00:00"/>
    <d v="2023-07-04T19:00:44"/>
    <m/>
    <d v="2023-07-04T00:00:00"/>
    <n v="1861"/>
    <n v="614"/>
    <s v="55817166"/>
    <s v="55817166"/>
    <m/>
    <m/>
    <n v="22715492"/>
    <m/>
    <m/>
    <m/>
    <s v="SOLFIN"/>
    <s v="SOLFIN"/>
    <s v="CCMS"/>
    <n v="21327502"/>
    <n v="14338.56"/>
    <m/>
    <s v="N"/>
    <n v="24"/>
    <d v="2023-07-04T19:00:49"/>
    <s v="Y"/>
    <s v="Advocates Meeting"/>
    <s v="Public Law Children"/>
    <s v="Advocacy"/>
    <s v="rz"/>
    <s v="Y"/>
    <n v="140.99"/>
    <n v="28.2"/>
    <x v="1"/>
    <s v="VALIDATED"/>
    <n v="1"/>
    <s v="01.11.80.308.6100.0000"/>
    <n v="140.99"/>
    <s v="11"/>
    <s v="6100"/>
    <n v="28935.99"/>
    <n v="140.99"/>
    <s v="CREDITOR"/>
    <n v="0"/>
    <n v="0"/>
    <n v="0"/>
    <n v="0"/>
    <n v="140.99"/>
  </r>
  <r>
    <n v="5120070"/>
    <s v="N"/>
    <n v="21349293"/>
    <s v="3000002016040010"/>
    <s v="CIVIL"/>
    <d v="2023-06-20T00:00:00"/>
    <d v="2023-07-10T19:01:40"/>
    <m/>
    <d v="2023-07-10T00:00:00"/>
    <n v="1861"/>
    <n v="614"/>
    <s v="5120070"/>
    <s v="5120070"/>
    <m/>
    <m/>
    <n v="22726564"/>
    <m/>
    <m/>
    <m/>
    <s v="SOLFIN"/>
    <s v="SOLFIN"/>
    <s v="CCMS"/>
    <n v="21349293"/>
    <n v="19287.78"/>
    <m/>
    <s v="N"/>
    <n v="14"/>
    <d v="2023-07-10T19:01:45"/>
    <s v="Y"/>
    <s v="Solicitor Travel Expenses"/>
    <s v="Public Law Children"/>
    <s v="Non Expert Disbursement"/>
    <s v="parking"/>
    <s v="Y"/>
    <n v="6.5"/>
    <n v="0"/>
    <x v="2"/>
    <s v="VALIDATED"/>
    <n v="1"/>
    <s v="01.11.80.308.6300.0000"/>
    <n v="6.5"/>
    <s v="11"/>
    <s v="6300"/>
    <n v="28935.99"/>
    <n v="6.5"/>
    <s v="CREDITOR"/>
    <n v="0"/>
    <n v="0"/>
    <n v="0"/>
    <n v="0"/>
    <n v="6.5"/>
  </r>
  <r>
    <n v="5120070"/>
    <s v="N"/>
    <n v="21349293"/>
    <s v="3000002016040010"/>
    <s v="CIVIL"/>
    <d v="2023-06-20T00:00:00"/>
    <d v="2023-07-10T19:01:40"/>
    <m/>
    <d v="2023-07-10T00:00:00"/>
    <n v="1861"/>
    <n v="614"/>
    <s v="5120070"/>
    <s v="5120070"/>
    <m/>
    <m/>
    <n v="22726564"/>
    <m/>
    <m/>
    <m/>
    <s v="SOLFIN"/>
    <s v="SOLFIN"/>
    <s v="CCMS"/>
    <n v="21349293"/>
    <n v="19287.78"/>
    <m/>
    <s v="N"/>
    <n v="18"/>
    <d v="2023-07-10T19:01:45"/>
    <s v="Y"/>
    <s v="Solicitor Travel Expenses"/>
    <s v="Public Law Children"/>
    <s v="Non Expert Disbursement"/>
    <s v="parking"/>
    <s v="Y"/>
    <n v="5"/>
    <n v="0"/>
    <x v="2"/>
    <s v="VALIDATED"/>
    <n v="1"/>
    <s v="01.11.80.308.6300.0000"/>
    <n v="5"/>
    <s v="11"/>
    <s v="6300"/>
    <n v="28935.99"/>
    <n v="5"/>
    <s v="CREDITOR"/>
    <n v="0"/>
    <n v="0"/>
    <n v="0"/>
    <n v="0"/>
    <n v="5"/>
  </r>
  <r>
    <n v="5120070"/>
    <s v="N"/>
    <n v="21349293"/>
    <s v="3000002016040010"/>
    <s v="CIVIL"/>
    <d v="2023-06-20T00:00:00"/>
    <d v="2023-07-10T19:01:40"/>
    <m/>
    <d v="2023-07-10T00:00:00"/>
    <n v="1861"/>
    <n v="614"/>
    <s v="5120070"/>
    <s v="5120070"/>
    <m/>
    <m/>
    <n v="22726564"/>
    <m/>
    <m/>
    <m/>
    <s v="SOLFIN"/>
    <s v="SOLFIN"/>
    <s v="CCMS"/>
    <n v="21349293"/>
    <n v="19287.78"/>
    <m/>
    <s v="N"/>
    <n v="6"/>
    <d v="2023-07-10T19:01:45"/>
    <s v="Y"/>
    <s v="Solicitor Travel Expenses"/>
    <s v="Public Law Children"/>
    <s v="Non Expert Disbursement"/>
    <s v="train fare"/>
    <s v="Y"/>
    <n v="5"/>
    <n v="0"/>
    <x v="2"/>
    <s v="VALIDATED"/>
    <n v="1"/>
    <s v="01.11.80.308.6300.0000"/>
    <n v="5"/>
    <s v="11"/>
    <s v="6300"/>
    <n v="28935.99"/>
    <n v="5"/>
    <s v="CREDITOR"/>
    <n v="0"/>
    <n v="0"/>
    <n v="0"/>
    <n v="0"/>
    <n v="5"/>
  </r>
  <r>
    <n v="43673364"/>
    <s v="N"/>
    <n v="21360224"/>
    <s v="3000011588620018"/>
    <s v="CIVIL"/>
    <d v="2023-06-22T00:00:00"/>
    <d v="2023-07-11T11:50:54"/>
    <m/>
    <d v="2023-07-11T00:00:00"/>
    <n v="1861"/>
    <n v="614"/>
    <s v="43673364"/>
    <s v="43673364"/>
    <m/>
    <m/>
    <n v="22748226"/>
    <m/>
    <m/>
    <m/>
    <s v="SOLFIN"/>
    <s v="SOLFIN"/>
    <s v="CCMS"/>
    <n v="21360224"/>
    <n v="14371.3"/>
    <m/>
    <s v="N"/>
    <n v="3"/>
    <d v="2023-07-11T11:50:57"/>
    <s v="Y"/>
    <s v="Psychologist"/>
    <s v="Public Law Children"/>
    <s v="Expert Disbursement"/>
    <s v="hope-borland"/>
    <s v="Y"/>
    <n v="128.7"/>
    <n v="25.74"/>
    <x v="7"/>
    <s v="VALIDATED"/>
    <n v="1"/>
    <s v="01.11.80.308.6300.0000"/>
    <n v="128.7"/>
    <s v="11"/>
    <s v="6300"/>
    <n v="28935.99"/>
    <n v="128.7"/>
    <s v="CREDITOR"/>
    <n v="0"/>
    <n v="0"/>
    <n v="0"/>
    <n v="0"/>
    <n v="128.7"/>
  </r>
  <r>
    <n v="43673364"/>
    <s v="N"/>
    <n v="21360224"/>
    <s v="3000011588620018"/>
    <s v="CIVIL"/>
    <d v="2023-06-22T00:00:00"/>
    <d v="2023-07-11T11:50:54"/>
    <m/>
    <d v="2023-07-11T00:00:00"/>
    <n v="1861"/>
    <n v="614"/>
    <s v="43673364"/>
    <s v="43673364"/>
    <m/>
    <m/>
    <n v="22748226"/>
    <m/>
    <m/>
    <m/>
    <s v="SOLFIN"/>
    <s v="SOLFIN"/>
    <s v="CCMS"/>
    <n v="21360224"/>
    <n v="14371.3"/>
    <m/>
    <s v="N"/>
    <n v="2"/>
    <d v="2023-07-11T11:50:57"/>
    <s v="Y"/>
    <s v="Psychologist"/>
    <s v="Public Law Children"/>
    <s v="Expert Disbursement"/>
    <s v="hope-borland"/>
    <s v="Y"/>
    <n v="585"/>
    <n v="117"/>
    <x v="7"/>
    <s v="VALIDATED"/>
    <n v="1"/>
    <s v="01.11.80.308.6300.0000"/>
    <n v="585"/>
    <s v="11"/>
    <s v="6300"/>
    <n v="28935.99"/>
    <n v="585"/>
    <s v="CREDITOR"/>
    <n v="0"/>
    <n v="0"/>
    <n v="0"/>
    <n v="0"/>
    <n v="585"/>
  </r>
  <r>
    <n v="61719871"/>
    <s v="N"/>
    <n v="21350107"/>
    <s v="3000015807500002"/>
    <s v="CIVIL"/>
    <d v="2023-06-26T00:00:00"/>
    <d v="2023-07-10T19:01:40"/>
    <m/>
    <d v="2023-07-10T00:00:00"/>
    <n v="1861"/>
    <n v="614"/>
    <s v="61719871"/>
    <s v="61719871"/>
    <m/>
    <m/>
    <n v="22761678"/>
    <m/>
    <m/>
    <m/>
    <s v="SOLFIN"/>
    <s v="SOLFIN"/>
    <s v="CCMS"/>
    <n v="21350107"/>
    <n v="4014.41"/>
    <m/>
    <s v="N"/>
    <n v="5"/>
    <d v="2023-07-10T19:02:14"/>
    <s v="Y"/>
    <s v="Court Fee"/>
    <s v="Public Law Children"/>
    <s v="Non Expert Disbursement"/>
    <s v="court fee"/>
    <s v="Y"/>
    <n v="167"/>
    <n v="0"/>
    <x v="2"/>
    <s v="VALIDATED"/>
    <n v="1"/>
    <s v="01.11.80.308.6300.0000"/>
    <n v="167"/>
    <s v="11"/>
    <s v="6300"/>
    <n v="28935.99"/>
    <n v="167"/>
    <s v="CREDITOR"/>
    <n v="0"/>
    <n v="0"/>
    <n v="0"/>
    <n v="0"/>
    <n v="167"/>
  </r>
  <r>
    <n v="55817166"/>
    <s v="N"/>
    <n v="21327502"/>
    <s v="3000013209720013"/>
    <s v="CIVIL"/>
    <d v="2023-06-19T00:00:00"/>
    <d v="2023-07-04T19:00:44"/>
    <m/>
    <d v="2023-07-04T00:00:00"/>
    <n v="1861"/>
    <n v="614"/>
    <s v="55817166"/>
    <s v="55817166"/>
    <m/>
    <m/>
    <n v="22715492"/>
    <m/>
    <m/>
    <m/>
    <s v="SOLFIN"/>
    <s v="SOLFIN"/>
    <s v="CCMS"/>
    <n v="21327502"/>
    <n v="14338.56"/>
    <m/>
    <s v="N"/>
    <n v="13"/>
    <d v="2023-07-04T19:00:49"/>
    <s v="Y"/>
    <s v="Routine Letter Out"/>
    <s v="Care Remuneration Hourly Rates"/>
    <s v="Profit Cost"/>
    <s v="ln"/>
    <s v="Y"/>
    <n v="84.87"/>
    <n v="16.97"/>
    <x v="1"/>
    <s v="VALIDATED"/>
    <n v="1"/>
    <s v="01.11.80.308.6100.0000"/>
    <n v="84.87"/>
    <s v="11"/>
    <s v="6100"/>
    <n v="28935.99"/>
    <n v="84.87"/>
    <s v="CREDITOR"/>
    <n v="0"/>
    <n v="0"/>
    <n v="0"/>
    <n v="0"/>
    <n v="84.87"/>
  </r>
  <r>
    <n v="43673364"/>
    <s v="N"/>
    <n v="21360224"/>
    <s v="3000011588620018"/>
    <s v="CIVIL"/>
    <d v="2023-06-22T00:00:00"/>
    <d v="2023-07-11T11:50:54"/>
    <m/>
    <d v="2023-07-11T00:00:00"/>
    <n v="1861"/>
    <n v="614"/>
    <s v="43673364"/>
    <s v="43673364"/>
    <m/>
    <m/>
    <n v="22748226"/>
    <m/>
    <m/>
    <m/>
    <s v="SOLFIN"/>
    <s v="SOLFIN"/>
    <s v="CCMS"/>
    <n v="21360224"/>
    <n v="14371.3"/>
    <m/>
    <s v="N"/>
    <n v="19"/>
    <d v="2023-07-11T11:50:57"/>
    <s v="Y"/>
    <s v="Routine Telephone Call"/>
    <s v="Care Remuneration Hourly Rates"/>
    <s v="Profit Cost"/>
    <s v="kh"/>
    <s v="Y"/>
    <n v="114.39"/>
    <n v="22.88"/>
    <x v="7"/>
    <s v="VALIDATED"/>
    <n v="1"/>
    <s v="01.11.80.308.6100.0000"/>
    <n v="114.39"/>
    <s v="11"/>
    <s v="6100"/>
    <n v="28935.99"/>
    <n v="114.39"/>
    <s v="CREDITOR"/>
    <n v="0"/>
    <n v="0"/>
    <n v="0"/>
    <n v="0"/>
    <n v="114.39"/>
  </r>
  <r>
    <n v="5120070"/>
    <s v="N"/>
    <n v="21349293"/>
    <s v="3000002016040010"/>
    <s v="CIVIL"/>
    <d v="2023-06-20T00:00:00"/>
    <d v="2023-07-10T19:01:40"/>
    <m/>
    <d v="2023-07-10T00:00:00"/>
    <n v="1861"/>
    <n v="614"/>
    <s v="5120070"/>
    <s v="5120070"/>
    <m/>
    <m/>
    <n v="22726564"/>
    <m/>
    <m/>
    <m/>
    <s v="SOLFIN"/>
    <s v="SOLFIN"/>
    <s v="CCMS"/>
    <n v="21349293"/>
    <n v="19287.78"/>
    <m/>
    <s v="N"/>
    <n v="7"/>
    <d v="2023-07-10T19:01:45"/>
    <s v="Y"/>
    <s v="Psychologist"/>
    <s v="Public Law Children"/>
    <s v="Expert Disbursement"/>
    <s v="howard psychology"/>
    <s v="Y"/>
    <n v="107.75"/>
    <n v="0"/>
    <x v="2"/>
    <s v="VALIDATED"/>
    <n v="1"/>
    <s v="01.11.80.308.6300.0000"/>
    <n v="107.75"/>
    <s v="11"/>
    <s v="6300"/>
    <n v="28935.99"/>
    <n v="107.75"/>
    <s v="CREDITOR"/>
    <n v="0"/>
    <n v="0"/>
    <n v="0"/>
    <n v="0"/>
    <n v="107.75"/>
  </r>
  <r>
    <n v="5120070"/>
    <s v="N"/>
    <n v="21349293"/>
    <s v="3000002016040010"/>
    <s v="CIVIL"/>
    <d v="2023-06-20T00:00:00"/>
    <d v="2023-07-10T19:01:40"/>
    <m/>
    <d v="2023-07-10T00:00:00"/>
    <n v="1861"/>
    <n v="614"/>
    <s v="5120070"/>
    <s v="5120070"/>
    <m/>
    <m/>
    <n v="22726564"/>
    <m/>
    <m/>
    <m/>
    <s v="SOLFIN"/>
    <s v="SOLFIN"/>
    <s v="CCMS"/>
    <n v="21349293"/>
    <n v="19287.78"/>
    <m/>
    <s v="N"/>
    <n v="15"/>
    <d v="2023-07-10T19:01:45"/>
    <s v="Y"/>
    <s v="Solicitor Travel Expenses"/>
    <s v="Public Law Children"/>
    <s v="Non Expert Disbursement"/>
    <s v="parking"/>
    <s v="Y"/>
    <n v="5"/>
    <n v="0"/>
    <x v="2"/>
    <s v="VALIDATED"/>
    <n v="1"/>
    <s v="01.11.80.308.6300.0000"/>
    <n v="5"/>
    <s v="11"/>
    <s v="6300"/>
    <n v="28935.99"/>
    <n v="5"/>
    <s v="CREDITOR"/>
    <n v="0"/>
    <n v="0"/>
    <n v="0"/>
    <n v="0"/>
    <n v="5"/>
  </r>
  <r>
    <n v="5120070"/>
    <s v="N"/>
    <n v="21349293"/>
    <s v="3000002016040010"/>
    <s v="CIVIL"/>
    <d v="2023-06-20T00:00:00"/>
    <d v="2023-07-10T19:01:40"/>
    <m/>
    <d v="2023-07-10T00:00:00"/>
    <n v="1861"/>
    <n v="614"/>
    <s v="5120070"/>
    <s v="5120070"/>
    <m/>
    <m/>
    <n v="22726564"/>
    <m/>
    <m/>
    <m/>
    <s v="SOLFIN"/>
    <s v="SOLFIN"/>
    <s v="CCMS"/>
    <n v="21349293"/>
    <n v="19287.78"/>
    <m/>
    <s v="N"/>
    <n v="38"/>
    <d v="2023-07-10T19:01:45"/>
    <s v="Y"/>
    <s v="Hearing Unit 2.31 - 5.00 Hours"/>
    <s v="Public Law Children"/>
    <s v="Advocacy"/>
    <s v="smd"/>
    <s v="Y"/>
    <n v="476.92"/>
    <n v="95.38"/>
    <x v="2"/>
    <s v="VALIDATED"/>
    <n v="1"/>
    <s v="01.11.80.308.6100.0000"/>
    <n v="476.92"/>
    <s v="11"/>
    <s v="6100"/>
    <n v="28935.99"/>
    <n v="476.92"/>
    <s v="CREDITOR"/>
    <n v="0"/>
    <n v="0"/>
    <n v="0"/>
    <n v="0"/>
    <n v="476.92"/>
  </r>
  <r>
    <n v="55817166"/>
    <s v="N"/>
    <n v="21327502"/>
    <s v="3000013209720013"/>
    <s v="CIVIL"/>
    <d v="2023-06-19T00:00:00"/>
    <d v="2023-07-04T19:00:44"/>
    <m/>
    <d v="2023-07-04T00:00:00"/>
    <n v="1861"/>
    <n v="614"/>
    <s v="55817166"/>
    <s v="55817166"/>
    <m/>
    <m/>
    <n v="22715492"/>
    <m/>
    <m/>
    <m/>
    <s v="SOLFIN"/>
    <s v="SOLFIN"/>
    <s v="CCMS"/>
    <n v="21327502"/>
    <n v="14338.56"/>
    <m/>
    <s v="N"/>
    <n v="12"/>
    <d v="2023-07-04T19:00:49"/>
    <s v="Y"/>
    <s v="Preparation - drafting bill/claim f"/>
    <s v="Care Remuneration Hourly Rates"/>
    <s v="Profit Cost"/>
    <s v="vb"/>
    <s v="Y"/>
    <n v="394.28"/>
    <n v="78.86"/>
    <x v="1"/>
    <s v="VALIDATED"/>
    <n v="1"/>
    <s v="01.11.80.308.6100.0000"/>
    <n v="394.28"/>
    <s v="11"/>
    <s v="6100"/>
    <n v="28935.99"/>
    <n v="394.28"/>
    <s v="CREDITOR"/>
    <n v="0"/>
    <n v="0"/>
    <n v="0"/>
    <n v="0"/>
    <n v="394.28"/>
  </r>
  <r>
    <n v="55817166"/>
    <s v="N"/>
    <n v="21327502"/>
    <s v="3000013209720013"/>
    <s v="CIVIL"/>
    <d v="2023-06-19T00:00:00"/>
    <d v="2023-07-04T19:00:44"/>
    <m/>
    <d v="2023-07-04T00:00:00"/>
    <n v="1861"/>
    <n v="614"/>
    <s v="55817166"/>
    <s v="55817166"/>
    <m/>
    <m/>
    <n v="22715492"/>
    <m/>
    <m/>
    <m/>
    <s v="SOLFIN"/>
    <s v="SOLFIN"/>
    <s v="CCMS"/>
    <n v="21327502"/>
    <n v="14338.56"/>
    <m/>
    <s v="N"/>
    <n v="6"/>
    <d v="2023-07-04T19:00:49"/>
    <s v="Y"/>
    <s v="Preparation - other"/>
    <s v="Care Remuneration Hourly Rates"/>
    <s v="Profit Cost"/>
    <s v="rz"/>
    <s v="Y"/>
    <n v="1209.11"/>
    <n v="241.82"/>
    <x v="1"/>
    <s v="VALIDATED"/>
    <n v="1"/>
    <s v="01.11.80.308.6100.0000"/>
    <n v="1209.11"/>
    <s v="11"/>
    <s v="6100"/>
    <n v="28935.99"/>
    <n v="1209.11"/>
    <s v="CREDITOR"/>
    <n v="0"/>
    <n v="0"/>
    <n v="0"/>
    <n v="0"/>
    <n v="1209.11"/>
  </r>
  <r>
    <n v="55817166"/>
    <s v="N"/>
    <n v="21327502"/>
    <s v="3000013209720013"/>
    <s v="CIVIL"/>
    <d v="2023-06-19T00:00:00"/>
    <d v="2023-07-04T19:00:44"/>
    <m/>
    <d v="2023-07-04T00:00:00"/>
    <n v="1861"/>
    <n v="614"/>
    <s v="55817166"/>
    <s v="55817166"/>
    <m/>
    <m/>
    <n v="22715492"/>
    <m/>
    <m/>
    <m/>
    <s v="SOLFIN"/>
    <s v="SOLFIN"/>
    <s v="CCMS"/>
    <n v="21327502"/>
    <n v="14338.56"/>
    <m/>
    <s v="N"/>
    <n v="14"/>
    <d v="2023-07-04T19:00:49"/>
    <s v="Y"/>
    <s v="Routine Letter In"/>
    <s v="Care Remuneration Hourly Rates"/>
    <s v="Profit Cost"/>
    <s v="rz"/>
    <s v="Y"/>
    <n v="925.46"/>
    <n v="185.09"/>
    <x v="1"/>
    <s v="VALIDATED"/>
    <n v="1"/>
    <s v="01.11.80.308.6100.0000"/>
    <n v="925.46"/>
    <s v="11"/>
    <s v="6100"/>
    <n v="28935.99"/>
    <n v="925.46"/>
    <s v="CREDITOR"/>
    <n v="0"/>
    <n v="0"/>
    <n v="0"/>
    <n v="0"/>
    <n v="925.46"/>
  </r>
  <r>
    <n v="61719871"/>
    <s v="N"/>
    <n v="21350107"/>
    <s v="3000015807500002"/>
    <s v="CIVIL"/>
    <d v="2023-06-26T00:00:00"/>
    <d v="2023-07-10T19:01:40"/>
    <m/>
    <d v="2023-07-10T00:00:00"/>
    <n v="1861"/>
    <n v="614"/>
    <s v="61719871"/>
    <s v="61719871"/>
    <m/>
    <m/>
    <n v="22761678"/>
    <m/>
    <m/>
    <m/>
    <s v="SOLFIN"/>
    <s v="SOLFIN"/>
    <s v="CCMS"/>
    <n v="21350107"/>
    <n v="4014.41"/>
    <m/>
    <s v="N"/>
    <n v="9"/>
    <d v="2023-07-10T19:02:14"/>
    <s v="Y"/>
    <s v="Advocates Meeting"/>
    <s v="Public Law Children"/>
    <s v="Advocacy"/>
    <s v="smd"/>
    <s v="Y"/>
    <n v="140.99"/>
    <n v="28.2"/>
    <x v="2"/>
    <s v="VALIDATED"/>
    <n v="1"/>
    <s v="01.11.80.308.6100.0000"/>
    <n v="140.99"/>
    <s v="11"/>
    <s v="6100"/>
    <n v="28935.99"/>
    <n v="140.99"/>
    <s v="CREDITOR"/>
    <n v="0"/>
    <n v="0"/>
    <n v="0"/>
    <n v="0"/>
    <n v="140.99"/>
  </r>
  <r>
    <n v="60469047"/>
    <s v="N"/>
    <n v="21350166"/>
    <s v="3000014749130004"/>
    <s v="CIVIL"/>
    <d v="2023-05-25T00:00:00"/>
    <d v="2023-07-10T19:01:40"/>
    <m/>
    <d v="2023-07-10T00:00:00"/>
    <n v="1861"/>
    <n v="614"/>
    <s v="60469047"/>
    <s v="60469047"/>
    <m/>
    <m/>
    <n v="22579838"/>
    <m/>
    <m/>
    <m/>
    <s v="SOLFIN"/>
    <s v="SOLFIN"/>
    <s v="CCMS"/>
    <n v="21350166"/>
    <n v="291.39"/>
    <m/>
    <s v="N"/>
    <n v="5"/>
    <d v="2023-07-10T19:02:16"/>
    <s v="Y"/>
    <s v="Routine Letter In"/>
    <s v="Care Remuneration Hourly Rates"/>
    <s v="Profit Cost"/>
    <s v="smd"/>
    <s v="Y"/>
    <n v="14.89"/>
    <n v="2.98"/>
    <x v="2"/>
    <s v="VALIDATED"/>
    <n v="1"/>
    <s v="01.11.80.305.6100.0000"/>
    <n v="14.89"/>
    <s v="11"/>
    <s v="6100"/>
    <n v="28935.99"/>
    <n v="14.89"/>
    <s v="CREDITOR"/>
    <n v="0"/>
    <n v="0"/>
    <n v="0"/>
    <n v="0"/>
    <n v="14.89"/>
  </r>
  <r>
    <n v="43673364"/>
    <s v="N"/>
    <n v="21360224"/>
    <s v="3000011588620018"/>
    <s v="CIVIL"/>
    <d v="2023-06-22T00:00:00"/>
    <d v="2023-07-11T11:50:54"/>
    <m/>
    <d v="2023-07-11T00:00:00"/>
    <n v="1861"/>
    <n v="614"/>
    <s v="43673364"/>
    <s v="43673364"/>
    <m/>
    <m/>
    <n v="22748226"/>
    <m/>
    <m/>
    <m/>
    <s v="SOLFIN"/>
    <s v="SOLFIN"/>
    <s v="CCMS"/>
    <n v="21360224"/>
    <n v="14371.3"/>
    <m/>
    <s v="N"/>
    <n v="16"/>
    <d v="2023-07-11T11:50:57"/>
    <s v="Y"/>
    <s v="Routine Letter Out"/>
    <s v="Care Remuneration Hourly Rates"/>
    <s v="Profit Cost"/>
    <s v="kh"/>
    <s v="Y"/>
    <n v="841.3200000000001"/>
    <n v="168.26"/>
    <x v="7"/>
    <s v="VALIDATED"/>
    <n v="1"/>
    <s v="01.11.80.308.6100.0000"/>
    <n v="841.3200000000001"/>
    <s v="11"/>
    <s v="6100"/>
    <n v="28935.99"/>
    <n v="841.3200000000001"/>
    <s v="CREDITOR"/>
    <n v="0"/>
    <n v="0"/>
    <n v="0"/>
    <n v="0"/>
    <n v="841.3200000000001"/>
  </r>
  <r>
    <n v="5120070"/>
    <s v="N"/>
    <n v="21349293"/>
    <s v="3000002016040010"/>
    <s v="CIVIL"/>
    <d v="2023-06-20T00:00:00"/>
    <d v="2023-07-10T19:01:40"/>
    <m/>
    <d v="2023-07-10T00:00:00"/>
    <n v="1861"/>
    <n v="614"/>
    <s v="5120070"/>
    <s v="5120070"/>
    <m/>
    <m/>
    <n v="22726564"/>
    <m/>
    <m/>
    <m/>
    <s v="SOLFIN"/>
    <s v="SOLFIN"/>
    <s v="CCMS"/>
    <n v="21349293"/>
    <n v="19287.78"/>
    <m/>
    <s v="N"/>
    <n v="35"/>
    <d v="2023-07-10T19:01:45"/>
    <s v="Y"/>
    <s v="Advocates Meeting"/>
    <s v="Public Law Children"/>
    <s v="Advocacy"/>
    <s v="smd"/>
    <s v="Y"/>
    <n v="140.99"/>
    <n v="28.2"/>
    <x v="2"/>
    <s v="VALIDATED"/>
    <n v="1"/>
    <s v="01.11.80.308.6100.0000"/>
    <n v="140.99"/>
    <s v="11"/>
    <s v="6100"/>
    <n v="28935.99"/>
    <n v="140.99"/>
    <s v="CREDITOR"/>
    <n v="0"/>
    <n v="0"/>
    <n v="0"/>
    <n v="0"/>
    <n v="140.99"/>
  </r>
  <r>
    <n v="5120070"/>
    <s v="N"/>
    <n v="21349293"/>
    <s v="3000002016040010"/>
    <s v="CIVIL"/>
    <d v="2023-06-20T00:00:00"/>
    <d v="2023-07-10T19:01:40"/>
    <m/>
    <d v="2023-07-10T00:00:00"/>
    <n v="1861"/>
    <n v="614"/>
    <s v="5120070"/>
    <s v="5120070"/>
    <m/>
    <m/>
    <n v="22726564"/>
    <m/>
    <m/>
    <m/>
    <s v="SOLFIN"/>
    <s v="SOLFIN"/>
    <s v="CCMS"/>
    <n v="21349293"/>
    <n v="19287.78"/>
    <m/>
    <s v="N"/>
    <n v="5"/>
    <d v="2023-07-10T19:01:45"/>
    <s v="Y"/>
    <s v="Independent Social Worker"/>
    <s v="Public Law Children"/>
    <s v="Expert Disbursement"/>
    <s v="e gates - isw"/>
    <s v="Y"/>
    <n v="70"/>
    <n v="0"/>
    <x v="2"/>
    <s v="VALIDATED"/>
    <n v="1"/>
    <s v="01.11.80.308.6300.0000"/>
    <n v="70"/>
    <s v="11"/>
    <s v="6300"/>
    <n v="28935.99"/>
    <n v="70"/>
    <s v="CREDITOR"/>
    <n v="0"/>
    <n v="0"/>
    <n v="0"/>
    <n v="0"/>
    <n v="70"/>
  </r>
  <r>
    <n v="5120070"/>
    <s v="N"/>
    <n v="21349293"/>
    <s v="3000002016040010"/>
    <s v="CIVIL"/>
    <d v="2023-06-20T00:00:00"/>
    <d v="2023-07-10T19:01:40"/>
    <m/>
    <d v="2023-07-10T00:00:00"/>
    <n v="1861"/>
    <n v="614"/>
    <s v="5120070"/>
    <s v="5120070"/>
    <m/>
    <m/>
    <n v="22726564"/>
    <m/>
    <m/>
    <m/>
    <s v="SOLFIN"/>
    <s v="SOLFIN"/>
    <s v="CCMS"/>
    <n v="21349293"/>
    <n v="19287.78"/>
    <m/>
    <s v="N"/>
    <n v="1"/>
    <d v="2023-07-10T19:01:45"/>
    <s v="N"/>
    <s v="Interim Hearing Court Bundle/Advoca"/>
    <s v="Public Law Children"/>
    <s v="Advocacy"/>
    <s v="smd"/>
    <s v="N"/>
    <n v="89.09999999999999"/>
    <n v="17.82"/>
    <x v="2"/>
    <s v="VALIDATED"/>
    <n v="1"/>
    <s v="01.11.80.308.6100.0000"/>
    <n v="89.09999999999999"/>
    <s v="11"/>
    <s v="6100"/>
    <n v="28935.99"/>
    <n v="89.09999999999999"/>
    <s v="CREDITOR"/>
    <n v="0"/>
    <n v="0"/>
    <n v="0"/>
    <n v="0"/>
    <n v="89.09999999999999"/>
  </r>
  <r>
    <n v="55817166"/>
    <s v="N"/>
    <n v="21327502"/>
    <s v="3000013209720013"/>
    <s v="CIVIL"/>
    <d v="2023-06-19T00:00:00"/>
    <d v="2023-07-04T19:00:44"/>
    <m/>
    <d v="2023-07-04T00:00:00"/>
    <n v="1861"/>
    <n v="614"/>
    <s v="55817166"/>
    <s v="55817166"/>
    <m/>
    <m/>
    <n v="22715492"/>
    <m/>
    <m/>
    <m/>
    <s v="SOLFIN"/>
    <s v="SOLFIN"/>
    <s v="CCMS"/>
    <n v="21327502"/>
    <n v="14338.56"/>
    <m/>
    <s v="N"/>
    <n v="20"/>
    <d v="2023-07-04T19:00:49"/>
    <s v="Y"/>
    <s v="Advocates Meeting"/>
    <s v="Public Law Children"/>
    <s v="Advocacy"/>
    <s v="rz"/>
    <s v="Y"/>
    <n v="140.99"/>
    <n v="28.2"/>
    <x v="1"/>
    <s v="VALIDATED"/>
    <n v="1"/>
    <s v="01.11.80.308.6100.0000"/>
    <n v="140.99"/>
    <s v="11"/>
    <s v="6100"/>
    <n v="28935.99"/>
    <n v="140.99"/>
    <s v="CREDITOR"/>
    <n v="0"/>
    <n v="0"/>
    <n v="0"/>
    <n v="0"/>
    <n v="140.99"/>
  </r>
  <r>
    <n v="56082994"/>
    <s v="N"/>
    <n v="21319525"/>
    <s v="3000013293550010"/>
    <s v="CIVIL"/>
    <d v="2023-06-27T00:00:00"/>
    <d v="2023-07-03T19:04:24"/>
    <m/>
    <d v="2023-07-03T00:00:00"/>
    <n v="1861"/>
    <n v="614"/>
    <s v="56082994"/>
    <s v="56082994"/>
    <m/>
    <m/>
    <n v="22771938"/>
    <m/>
    <m/>
    <m/>
    <s v="SOLPOA"/>
    <s v="SOLPOA"/>
    <s v="CCMS"/>
    <n v="21319525"/>
    <n v="11075.06"/>
    <m/>
    <s v="N"/>
    <n v="1"/>
    <d v="2023-07-03T19:04:26"/>
    <s v="N"/>
    <s v="Solicitors Fixed Fee"/>
    <s v="Public Law Children"/>
    <s v="Profit Cost"/>
    <s v="Katherine Hopkinson"/>
    <s v="N"/>
    <n v="9229.219999999999"/>
    <n v="1845.84"/>
    <x v="3"/>
    <s v="VALIDATED"/>
    <n v="1"/>
    <s v="01.11.80.308.2012.0000"/>
    <n v="9229.219999999999"/>
    <s v="11"/>
    <s v="2012"/>
    <n v="28935.99"/>
    <n v="9229.219999999999"/>
    <s v="CREDITOR"/>
    <n v="9229.219999999999"/>
    <n v="2307.305"/>
    <n v="0"/>
    <n v="0"/>
    <n v="0"/>
  </r>
  <r>
    <n v="59836020"/>
    <s v="N"/>
    <n v="21349532"/>
    <s v="3000014199800003"/>
    <s v="CIVIL"/>
    <d v="2023-06-23T00:00:00"/>
    <d v="2023-07-10T19:01:40"/>
    <m/>
    <d v="2023-07-10T00:00:00"/>
    <n v="1864"/>
    <n v="647"/>
    <s v="59836020"/>
    <s v="59836020"/>
    <m/>
    <m/>
    <n v="22753970"/>
    <m/>
    <m/>
    <m/>
    <s v="SOLFIN"/>
    <s v="SOLFIN"/>
    <s v="CCMS"/>
    <n v="21349532"/>
    <n v="978.6799999999999"/>
    <m/>
    <s v="N"/>
    <n v="12"/>
    <d v="2023-07-10T19:01:53"/>
    <s v="Y"/>
    <s v="Hearing Unit 0.00 - 1.00 Hours"/>
    <s v="Private Law Children"/>
    <s v="Advocacy"/>
    <s v="AH"/>
    <s v="Y"/>
    <n v="68.94"/>
    <n v="13.79"/>
    <x v="2"/>
    <s v="VALIDATED"/>
    <n v="1"/>
    <s v="01.11.80.307.6100.0000"/>
    <n v="68.94"/>
    <s v="11"/>
    <s v="6100"/>
    <n v="827.22"/>
    <n v="68.94"/>
    <s v="CREDITOR"/>
    <n v="0"/>
    <n v="0"/>
    <n v="0"/>
    <n v="0"/>
    <n v="68.94"/>
  </r>
  <r>
    <n v="59836020"/>
    <s v="N"/>
    <n v="21349532"/>
    <s v="3000014199800003"/>
    <s v="CIVIL"/>
    <d v="2023-06-23T00:00:00"/>
    <d v="2023-07-10T19:01:40"/>
    <m/>
    <d v="2023-07-10T00:00:00"/>
    <n v="1864"/>
    <n v="647"/>
    <s v="59836020"/>
    <s v="59836020"/>
    <m/>
    <m/>
    <n v="22753970"/>
    <m/>
    <m/>
    <m/>
    <s v="SOLFIN"/>
    <s v="SOLFIN"/>
    <s v="CCMS"/>
    <n v="21349532"/>
    <n v="978.6799999999999"/>
    <m/>
    <s v="N"/>
    <n v="5"/>
    <d v="2023-07-10T19:01:53"/>
    <s v="Y"/>
    <s v="Preparation - drafting instructions"/>
    <s v="Prescribed Hourly Rates"/>
    <s v="Profit Cost"/>
    <s v="AH"/>
    <s v="Y"/>
    <n v="27.45"/>
    <n v="5.49"/>
    <x v="2"/>
    <s v="VALIDATED"/>
    <n v="1"/>
    <s v="01.11.80.307.6100.0000"/>
    <n v="27.45"/>
    <s v="11"/>
    <s v="6100"/>
    <n v="827.22"/>
    <n v="27.45"/>
    <s v="CREDITOR"/>
    <n v="0"/>
    <n v="0"/>
    <n v="0"/>
    <n v="0"/>
    <n v="27.45"/>
  </r>
  <r>
    <n v="59836020"/>
    <s v="N"/>
    <n v="21349532"/>
    <s v="3000014199800003"/>
    <s v="CIVIL"/>
    <d v="2023-06-23T00:00:00"/>
    <d v="2023-07-10T19:01:40"/>
    <m/>
    <d v="2023-07-10T00:00:00"/>
    <n v="1864"/>
    <n v="647"/>
    <s v="59836020"/>
    <s v="59836020"/>
    <m/>
    <m/>
    <n v="22753970"/>
    <m/>
    <m/>
    <m/>
    <s v="SOLFIN"/>
    <s v="SOLFIN"/>
    <s v="CCMS"/>
    <n v="21349532"/>
    <n v="978.6799999999999"/>
    <m/>
    <s v="N"/>
    <n v="14"/>
    <d v="2023-07-10T19:01:53"/>
    <s v="N"/>
    <s v="Enforcement Fixed Fee"/>
    <s v="Private Law Children"/>
    <s v="Profit Cost"/>
    <s v="AH"/>
    <s v="N"/>
    <n v="0"/>
    <n v="0"/>
    <x v="2"/>
    <s v="VALIDATED"/>
    <n v="1"/>
    <s v="01.11.80.307.6100.0000"/>
    <n v="0"/>
    <s v="11"/>
    <s v="6100"/>
    <n v="827.22"/>
    <n v="0"/>
    <s v="CREDITOR"/>
    <n v="0"/>
    <n v="0"/>
    <n v="0"/>
    <n v="0"/>
    <n v="0"/>
  </r>
  <r>
    <n v="59836020"/>
    <s v="N"/>
    <n v="21349532"/>
    <s v="3000014199800003"/>
    <s v="CIVIL"/>
    <d v="2023-06-23T00:00:00"/>
    <d v="2023-07-10T19:01:40"/>
    <m/>
    <d v="2023-07-10T00:00:00"/>
    <n v="1864"/>
    <n v="647"/>
    <s v="59836020"/>
    <s v="59836020"/>
    <m/>
    <m/>
    <n v="22753970"/>
    <m/>
    <m/>
    <m/>
    <s v="SOLFIN"/>
    <s v="SOLFIN"/>
    <s v="CCMS"/>
    <n v="21349532"/>
    <n v="978.6799999999999"/>
    <m/>
    <s v="N"/>
    <n v="7"/>
    <d v="2023-07-10T19:01:53"/>
    <s v="Y"/>
    <s v="Routine Telephone Call"/>
    <s v="Prescribed Hourly Rates"/>
    <s v="Profit Cost"/>
    <s v="AH"/>
    <s v="Y"/>
    <n v="10.8"/>
    <n v="2.16"/>
    <x v="2"/>
    <s v="VALIDATED"/>
    <n v="1"/>
    <s v="01.11.80.307.6100.0000"/>
    <n v="10.8"/>
    <s v="11"/>
    <s v="6100"/>
    <n v="827.22"/>
    <n v="10.8"/>
    <s v="CREDITOR"/>
    <n v="0"/>
    <n v="0"/>
    <n v="0"/>
    <n v="0"/>
    <n v="10.8"/>
  </r>
  <r>
    <n v="59836020"/>
    <s v="N"/>
    <n v="21349532"/>
    <s v="3000014199800003"/>
    <s v="CIVIL"/>
    <d v="2023-06-23T00:00:00"/>
    <d v="2023-07-10T19:01:40"/>
    <m/>
    <d v="2023-07-10T00:00:00"/>
    <n v="1864"/>
    <n v="647"/>
    <s v="59836020"/>
    <s v="59836020"/>
    <m/>
    <m/>
    <n v="22753970"/>
    <m/>
    <m/>
    <m/>
    <s v="SOLFIN"/>
    <s v="SOLFIN"/>
    <s v="CCMS"/>
    <n v="21349532"/>
    <n v="978.6799999999999"/>
    <m/>
    <s v="N"/>
    <n v="4"/>
    <d v="2023-07-10T19:01:53"/>
    <s v="Y"/>
    <s v="Preparation - other"/>
    <s v="Prescribed Hourly Rates"/>
    <s v="Profit Cost"/>
    <s v="AH"/>
    <s v="Y"/>
    <n v="5.49"/>
    <n v="1.1"/>
    <x v="2"/>
    <s v="VALIDATED"/>
    <n v="1"/>
    <s v="01.11.80.307.6100.0000"/>
    <n v="5.49"/>
    <s v="11"/>
    <s v="6100"/>
    <n v="827.22"/>
    <n v="5.49"/>
    <s v="CREDITOR"/>
    <n v="0"/>
    <n v="0"/>
    <n v="0"/>
    <n v="0"/>
    <n v="5.49"/>
  </r>
  <r>
    <n v="59836020"/>
    <s v="N"/>
    <n v="21349532"/>
    <s v="3000014199800003"/>
    <s v="CIVIL"/>
    <d v="2023-06-23T00:00:00"/>
    <d v="2023-07-10T19:01:40"/>
    <m/>
    <d v="2023-07-10T00:00:00"/>
    <n v="1864"/>
    <n v="647"/>
    <s v="59836020"/>
    <s v="59836020"/>
    <m/>
    <m/>
    <n v="22753970"/>
    <m/>
    <m/>
    <m/>
    <s v="SOLFIN"/>
    <s v="SOLFIN"/>
    <s v="CCMS"/>
    <n v="21349532"/>
    <n v="978.6799999999999"/>
    <m/>
    <s v="N"/>
    <n v="8"/>
    <d v="2023-07-10T19:01:53"/>
    <s v="Y"/>
    <s v="Preparation - drafting bill/claim f"/>
    <s v="Prescribed Hourly Rates"/>
    <s v="Profit Cost"/>
    <s v="KFM"/>
    <s v="Y"/>
    <n v="32.94"/>
    <n v="6.59"/>
    <x v="2"/>
    <s v="VALIDATED"/>
    <n v="1"/>
    <s v="01.11.80.307.6100.0000"/>
    <n v="32.94"/>
    <s v="11"/>
    <s v="6100"/>
    <n v="827.22"/>
    <n v="32.94"/>
    <s v="CREDITOR"/>
    <n v="0"/>
    <n v="0"/>
    <n v="0"/>
    <n v="0"/>
    <n v="32.94"/>
  </r>
  <r>
    <n v="59836020"/>
    <s v="N"/>
    <n v="21349532"/>
    <s v="3000014199800003"/>
    <s v="CIVIL"/>
    <d v="2023-06-23T00:00:00"/>
    <d v="2023-07-10T19:01:40"/>
    <m/>
    <d v="2023-07-10T00:00:00"/>
    <n v="1864"/>
    <n v="647"/>
    <s v="59836020"/>
    <s v="59836020"/>
    <m/>
    <m/>
    <n v="22753970"/>
    <m/>
    <m/>
    <m/>
    <s v="SOLFIN"/>
    <s v="SOLFIN"/>
    <s v="CCMS"/>
    <n v="21349532"/>
    <n v="978.6799999999999"/>
    <m/>
    <s v="N"/>
    <n v="3"/>
    <d v="2023-07-10T19:01:53"/>
    <s v="Y"/>
    <s v="Attendance upon client"/>
    <s v="Prescribed Hourly Rates"/>
    <s v="Profit Cost"/>
    <s v="AH"/>
    <s v="Y"/>
    <n v="10.98"/>
    <n v="2.2"/>
    <x v="2"/>
    <s v="VALIDATED"/>
    <n v="1"/>
    <s v="01.11.80.307.6100.0000"/>
    <n v="10.98"/>
    <s v="11"/>
    <s v="6100"/>
    <n v="827.22"/>
    <n v="10.98"/>
    <s v="CREDITOR"/>
    <n v="0"/>
    <n v="0"/>
    <n v="0"/>
    <n v="0"/>
    <n v="10.98"/>
  </r>
  <r>
    <n v="59836020"/>
    <s v="N"/>
    <n v="21349532"/>
    <s v="3000014199800003"/>
    <s v="CIVIL"/>
    <d v="2023-06-23T00:00:00"/>
    <d v="2023-07-10T19:01:40"/>
    <m/>
    <d v="2023-07-10T00:00:00"/>
    <n v="1864"/>
    <n v="647"/>
    <s v="59836020"/>
    <s v="59836020"/>
    <m/>
    <m/>
    <n v="22753970"/>
    <m/>
    <m/>
    <m/>
    <s v="SOLFIN"/>
    <s v="SOLFIN"/>
    <s v="CCMS"/>
    <n v="21349532"/>
    <n v="978.6799999999999"/>
    <m/>
    <s v="N"/>
    <n v="9"/>
    <d v="2023-07-10T19:01:53"/>
    <s v="Y"/>
    <s v="Preparation - other"/>
    <s v="Prescribed Hourly Rates"/>
    <s v="Profit Cost"/>
    <s v="AH"/>
    <s v="Y"/>
    <n v="5.49"/>
    <n v="1.1"/>
    <x v="2"/>
    <s v="VALIDATED"/>
    <n v="1"/>
    <s v="01.11.80.307.6100.0000"/>
    <n v="5.49"/>
    <s v="11"/>
    <s v="6100"/>
    <n v="827.22"/>
    <n v="5.49"/>
    <s v="CREDITOR"/>
    <n v="0"/>
    <n v="0"/>
    <n v="0"/>
    <n v="0"/>
    <n v="5.49"/>
  </r>
  <r>
    <n v="59836020"/>
    <s v="N"/>
    <n v="21349532"/>
    <s v="3000014199800003"/>
    <s v="CIVIL"/>
    <d v="2023-06-23T00:00:00"/>
    <d v="2023-07-10T19:01:40"/>
    <m/>
    <d v="2023-07-10T00:00:00"/>
    <n v="1864"/>
    <n v="647"/>
    <s v="59836020"/>
    <s v="59836020"/>
    <m/>
    <m/>
    <n v="22753970"/>
    <m/>
    <m/>
    <m/>
    <s v="SOLFIN"/>
    <s v="SOLFIN"/>
    <s v="CCMS"/>
    <n v="21349532"/>
    <n v="978.6799999999999"/>
    <m/>
    <s v="N"/>
    <n v="6"/>
    <d v="2023-07-10T19:01:53"/>
    <s v="Y"/>
    <s v="Routine Letter Out"/>
    <s v="Prescribed Hourly Rates"/>
    <s v="Profit Cost"/>
    <s v="AH"/>
    <s v="Y"/>
    <n v="243"/>
    <n v="48.6"/>
    <x v="2"/>
    <s v="VALIDATED"/>
    <n v="1"/>
    <s v="01.11.80.307.6100.0000"/>
    <n v="243"/>
    <s v="11"/>
    <s v="6100"/>
    <n v="827.22"/>
    <n v="243"/>
    <s v="CREDITOR"/>
    <n v="0"/>
    <n v="0"/>
    <n v="0"/>
    <n v="0"/>
    <n v="243"/>
  </r>
  <r>
    <n v="59836020"/>
    <s v="N"/>
    <n v="21349532"/>
    <s v="3000014199800003"/>
    <s v="CIVIL"/>
    <d v="2023-06-23T00:00:00"/>
    <d v="2023-07-10T19:01:40"/>
    <m/>
    <d v="2023-07-10T00:00:00"/>
    <n v="1864"/>
    <n v="647"/>
    <s v="59836020"/>
    <s v="59836020"/>
    <m/>
    <m/>
    <n v="22753970"/>
    <m/>
    <m/>
    <m/>
    <s v="SOLFIN"/>
    <s v="SOLFIN"/>
    <s v="CCMS"/>
    <n v="21349532"/>
    <n v="978.6799999999999"/>
    <m/>
    <s v="N"/>
    <n v="10"/>
    <d v="2023-07-10T19:01:53"/>
    <s v="Y"/>
    <s v="Medical Records"/>
    <s v="Prescribed Hourly Rates"/>
    <s v="Non Expert Disbursement"/>
    <s v="AH"/>
    <s v="Y"/>
    <n v="70"/>
    <n v="0"/>
    <x v="2"/>
    <s v="VALIDATED"/>
    <n v="1"/>
    <s v="01.11.80.307.6300.0000"/>
    <n v="70"/>
    <s v="11"/>
    <s v="6300"/>
    <n v="827.22"/>
    <n v="70"/>
    <s v="CREDITOR"/>
    <n v="0"/>
    <n v="0"/>
    <n v="0"/>
    <n v="0"/>
    <n v="70"/>
  </r>
  <r>
    <n v="59836020"/>
    <s v="N"/>
    <n v="21349532"/>
    <s v="3000014199800003"/>
    <s v="CIVIL"/>
    <d v="2023-06-23T00:00:00"/>
    <d v="2023-07-10T19:01:40"/>
    <m/>
    <d v="2023-07-10T00:00:00"/>
    <n v="1864"/>
    <n v="647"/>
    <s v="59836020"/>
    <s v="59836020"/>
    <m/>
    <m/>
    <n v="22753970"/>
    <m/>
    <m/>
    <m/>
    <s v="SOLFIN"/>
    <s v="SOLFIN"/>
    <s v="CCMS"/>
    <n v="21349532"/>
    <n v="978.6799999999999"/>
    <m/>
    <s v="N"/>
    <n v="11"/>
    <d v="2023-07-10T19:01:53"/>
    <s v="Y"/>
    <s v="Hearing Unit 0.00 - 1.00 Hours"/>
    <s v="Private Law Children"/>
    <s v="Advocacy"/>
    <s v="AH"/>
    <s v="Y"/>
    <n v="68.94"/>
    <n v="13.79"/>
    <x v="2"/>
    <s v="VALIDATED"/>
    <n v="1"/>
    <s v="01.11.80.307.6100.0000"/>
    <n v="68.94"/>
    <s v="11"/>
    <s v="6100"/>
    <n v="827.22"/>
    <n v="68.94"/>
    <s v="CREDITOR"/>
    <n v="0"/>
    <n v="0"/>
    <n v="0"/>
    <n v="0"/>
    <n v="68.94"/>
  </r>
  <r>
    <n v="59836020"/>
    <s v="N"/>
    <n v="21349532"/>
    <s v="3000014199800003"/>
    <s v="CIVIL"/>
    <d v="2023-06-23T00:00:00"/>
    <d v="2023-07-10T19:01:40"/>
    <m/>
    <d v="2023-07-10T00:00:00"/>
    <n v="1864"/>
    <n v="647"/>
    <s v="59836020"/>
    <s v="59836020"/>
    <m/>
    <m/>
    <n v="22753970"/>
    <m/>
    <m/>
    <m/>
    <s v="SOLFIN"/>
    <s v="SOLFIN"/>
    <s v="CCMS"/>
    <n v="21349532"/>
    <n v="978.6799999999999"/>
    <m/>
    <s v="N"/>
    <n v="2"/>
    <d v="2023-07-10T19:01:53"/>
    <s v="Y"/>
    <s v="Preparation - other"/>
    <s v="Prescribed Hourly Rates"/>
    <s v="Profit Cost"/>
    <s v="AH"/>
    <s v="Y"/>
    <n v="5.49"/>
    <n v="1.1"/>
    <x v="2"/>
    <s v="VALIDATED"/>
    <n v="1"/>
    <s v="01.11.80.307.6100.0000"/>
    <n v="5.49"/>
    <s v="11"/>
    <s v="6100"/>
    <n v="827.22"/>
    <n v="5.49"/>
    <s v="CREDITOR"/>
    <n v="0"/>
    <n v="0"/>
    <n v="0"/>
    <n v="0"/>
    <n v="5.49"/>
  </r>
  <r>
    <n v="59836020"/>
    <s v="N"/>
    <n v="21349532"/>
    <s v="3000014199800003"/>
    <s v="CIVIL"/>
    <d v="2023-06-23T00:00:00"/>
    <d v="2023-07-10T19:01:40"/>
    <m/>
    <d v="2023-07-10T00:00:00"/>
    <n v="1864"/>
    <n v="647"/>
    <s v="59836020"/>
    <s v="59836020"/>
    <m/>
    <m/>
    <n v="22753970"/>
    <m/>
    <m/>
    <m/>
    <s v="SOLFIN"/>
    <s v="SOLFIN"/>
    <s v="CCMS"/>
    <n v="21349532"/>
    <n v="978.6799999999999"/>
    <m/>
    <s v="N"/>
    <n v="13"/>
    <d v="2023-07-10T19:01:53"/>
    <s v="Y"/>
    <s v="Hearing Unit 1.01 - 2.30 Hours"/>
    <s v="Private Law Children"/>
    <s v="Advocacy"/>
    <s v="AH"/>
    <s v="Y"/>
    <n v="172.4"/>
    <n v="34.48"/>
    <x v="2"/>
    <s v="VALIDATED"/>
    <n v="1"/>
    <s v="01.11.80.307.6100.0000"/>
    <n v="172.4"/>
    <s v="11"/>
    <s v="6100"/>
    <n v="827.22"/>
    <n v="172.4"/>
    <s v="CREDITOR"/>
    <n v="0"/>
    <n v="0"/>
    <n v="0"/>
    <n v="0"/>
    <n v="172.4"/>
  </r>
  <r>
    <n v="59836020"/>
    <s v="N"/>
    <n v="21349532"/>
    <s v="3000014199800003"/>
    <s v="CIVIL"/>
    <d v="2023-06-23T00:00:00"/>
    <d v="2023-07-10T19:01:40"/>
    <m/>
    <d v="2023-07-10T00:00:00"/>
    <n v="1864"/>
    <n v="647"/>
    <s v="59836020"/>
    <s v="59836020"/>
    <m/>
    <m/>
    <n v="22753970"/>
    <m/>
    <m/>
    <m/>
    <s v="SOLFIN"/>
    <s v="SOLFIN"/>
    <s v="CCMS"/>
    <n v="21349532"/>
    <n v="978.6799999999999"/>
    <m/>
    <s v="N"/>
    <n v="1"/>
    <d v="2023-07-10T19:01:53"/>
    <s v="Y"/>
    <s v="Routine Letter In"/>
    <s v="Prescribed Hourly Rates"/>
    <s v="Profit Cost"/>
    <s v="AH"/>
    <s v="Y"/>
    <n v="105.3"/>
    <n v="21.06"/>
    <x v="2"/>
    <s v="VALIDATED"/>
    <n v="1"/>
    <s v="01.11.80.307.6100.0000"/>
    <n v="105.3"/>
    <s v="11"/>
    <s v="6100"/>
    <n v="827.22"/>
    <n v="105.3"/>
    <s v="CREDITOR"/>
    <n v="0"/>
    <n v="0"/>
    <n v="0"/>
    <n v="0"/>
    <n v="105.3"/>
  </r>
  <r>
    <n v="59561969"/>
    <s v="N"/>
    <n v="21330903"/>
    <s v="3000013962360021"/>
    <s v="CIVIL"/>
    <d v="2023-06-19T00:00:00"/>
    <d v="2023-07-05T19:01:47"/>
    <m/>
    <d v="2023-07-05T00:00:00"/>
    <n v="1878"/>
    <n v="1547"/>
    <s v="59561969"/>
    <s v="59561969"/>
    <m/>
    <m/>
    <n v="22715564"/>
    <m/>
    <m/>
    <m/>
    <s v="SOLFIN"/>
    <s v="SOLFIN"/>
    <s v="CCMS"/>
    <n v="21330903"/>
    <n v="26764.49"/>
    <m/>
    <s v="N"/>
    <n v="159"/>
    <d v="2023-07-05T19:01:55"/>
    <s v="Y"/>
    <s v="Preparation - other"/>
    <s v="Non Family Hourly Rates"/>
    <s v="Profit Cost"/>
    <s v="HRL"/>
    <s v="Y"/>
    <n v="21.47"/>
    <n v="4.29"/>
    <x v="6"/>
    <s v="VALIDATED"/>
    <n v="1"/>
    <s v="01.11.80.203.6100.0000"/>
    <n v="21.47"/>
    <s v="11"/>
    <s v="6100"/>
    <n v="-32425.63"/>
    <n v="21.47"/>
    <s v="DEBTOR"/>
    <n v="0"/>
    <n v="0"/>
    <n v="0"/>
    <n v="0"/>
    <n v="0"/>
  </r>
  <r>
    <n v="61742173"/>
    <s v="N"/>
    <n v="21319086"/>
    <s v="3000015815100003"/>
    <s v="CIVIL"/>
    <d v="2023-06-23T00:00:00"/>
    <d v="2023-07-03T19:01:49"/>
    <m/>
    <d v="2023-07-03T00:00:00"/>
    <n v="1878"/>
    <n v="1547"/>
    <s v="61742173"/>
    <s v="61742173"/>
    <m/>
    <m/>
    <n v="22750850"/>
    <m/>
    <m/>
    <m/>
    <s v="SOLFIN"/>
    <s v="SOLFIN"/>
    <s v="CCMS"/>
    <n v="21319086"/>
    <n v="5246"/>
    <m/>
    <s v="N"/>
    <n v="12"/>
    <d v="2023-07-03T19:02:10"/>
    <s v="Y"/>
    <s v="Preparation - other"/>
    <s v="Prescribed Hourly Rates"/>
    <s v="Profit Cost"/>
    <s v="MAE 15"/>
    <s v="Y"/>
    <n v="20.49"/>
    <n v="4.1"/>
    <x v="3"/>
    <s v="VALIDATED"/>
    <n v="1"/>
    <s v="01.11.80.305.6100.0000"/>
    <n v="20.49"/>
    <s v="11"/>
    <s v="6100"/>
    <n v="-32425.63"/>
    <n v="20.49"/>
    <s v="DEBTOR"/>
    <n v="0"/>
    <n v="0"/>
    <n v="0"/>
    <n v="0"/>
    <n v="0"/>
  </r>
  <r>
    <n v="61489688"/>
    <s v="N"/>
    <n v="21321428"/>
    <s v="3000015609630006"/>
    <s v="CIVIL"/>
    <d v="2023-06-29T00:00:00"/>
    <d v="2023-07-03T19:05:17"/>
    <m/>
    <d v="2023-07-03T00:00:00"/>
    <n v="1878"/>
    <n v="1547"/>
    <s v="61489688"/>
    <s v="61489688"/>
    <m/>
    <m/>
    <n v="22786672"/>
    <m/>
    <m/>
    <m/>
    <s v="SOLPOA"/>
    <s v="SOLPOA"/>
    <s v="CCMS"/>
    <n v="21321428"/>
    <n v="2614.67"/>
    <m/>
    <s v="N"/>
    <n v="1"/>
    <d v="2023-07-03T19:05:18"/>
    <s v="N"/>
    <s v="Profit Cost"/>
    <s v="Profit Cost"/>
    <s v="Profit Cost"/>
    <s v="NOR"/>
    <s v="N"/>
    <n v="2178.89"/>
    <n v="435.78"/>
    <x v="3"/>
    <s v="VALIDATED"/>
    <n v="1"/>
    <s v="01.11.80.209.2012.0000"/>
    <n v="2178.89"/>
    <s v="11"/>
    <s v="2012"/>
    <n v="-32425.63"/>
    <n v="2178.8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1"/>
    <d v="2023-07-03T19:04:58"/>
    <s v="Y"/>
    <s v="Preparation - other"/>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9"/>
    <d v="2023-07-03T19:04:58"/>
    <s v="Y"/>
    <s v="Preparation - other"/>
    <s v="VHCC"/>
    <s v="Profit Cost"/>
    <s v="JML 65"/>
    <s v="Y"/>
    <n v="35.42"/>
    <n v="7.08"/>
    <x v="3"/>
    <s v="VALIDATED"/>
    <n v="1"/>
    <s v="01.11.80.203.6100.0000"/>
    <n v="35.42"/>
    <s v="11"/>
    <s v="6100"/>
    <n v="-32425.63"/>
    <n v="35.4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7"/>
    <d v="2023-07-03T19:04:58"/>
    <s v="Y"/>
    <s v="Preparation - drafting instructions"/>
    <s v="VHCC"/>
    <s v="Profit Cost"/>
    <s v="JML 65"/>
    <s v="Y"/>
    <n v="188.9"/>
    <n v="37.78"/>
    <x v="3"/>
    <s v="VALIDATED"/>
    <n v="1"/>
    <s v="01.11.80.203.6100.0000"/>
    <n v="188.9"/>
    <s v="11"/>
    <s v="6100"/>
    <n v="-32425.63"/>
    <n v="188.9"/>
    <s v="DEBTOR"/>
    <n v="0"/>
    <n v="0"/>
    <n v="0"/>
    <n v="0"/>
    <n v="0"/>
  </r>
  <r>
    <n v="8733210"/>
    <s v="N"/>
    <n v="21403533"/>
    <s v="3000004746670021"/>
    <s v="CIVIL"/>
    <d v="2023-06-06T00:00:00"/>
    <d v="2023-07-20T19:22:20"/>
    <m/>
    <d v="2023-07-20T00:00:00"/>
    <n v="1878"/>
    <n v="1547"/>
    <s v="8733210"/>
    <s v="8733210"/>
    <m/>
    <m/>
    <n v="22629506"/>
    <m/>
    <m/>
    <m/>
    <s v="SOLFIN"/>
    <s v="SOLFIN"/>
    <s v="CCMS"/>
    <n v="21403533"/>
    <n v="4211.9"/>
    <m/>
    <s v="N"/>
    <n v="18"/>
    <d v="2023-07-20T19:22:42"/>
    <s v="Y"/>
    <s v="Preparation - other"/>
    <s v="Non Family Hourly Rates"/>
    <s v="Profit Cost"/>
    <s v="ESL"/>
    <s v="Y"/>
    <n v="25.2"/>
    <n v="5.04"/>
    <x v="13"/>
    <s v="VALIDATED"/>
    <n v="1"/>
    <s v="01.11.80.201.6100.0000"/>
    <n v="25.2"/>
    <s v="11"/>
    <s v="6100"/>
    <n v="-32425.63"/>
    <n v="25.2"/>
    <s v="DEBTOR"/>
    <n v="0"/>
    <n v="0"/>
    <n v="0"/>
    <n v="0"/>
    <n v="0"/>
  </r>
  <r>
    <n v="8733210"/>
    <s v="N"/>
    <n v="21403533"/>
    <s v="3000004746670021"/>
    <s v="CIVIL"/>
    <d v="2023-06-06T00:00:00"/>
    <d v="2023-07-20T19:22:20"/>
    <m/>
    <d v="2023-07-20T00:00:00"/>
    <n v="1878"/>
    <n v="1547"/>
    <s v="8733210"/>
    <s v="8733210"/>
    <m/>
    <m/>
    <n v="22629506"/>
    <m/>
    <m/>
    <m/>
    <s v="SOLFIN"/>
    <s v="SOLFIN"/>
    <s v="CCMS"/>
    <n v="21403533"/>
    <n v="4211.9"/>
    <m/>
    <s v="N"/>
    <n v="45"/>
    <d v="2023-07-20T19:22:42"/>
    <s v="Y"/>
    <s v="Preparation - other"/>
    <s v="Non Family Hourly Rates"/>
    <s v="Profit Cost"/>
    <s v="BSS"/>
    <s v="Y"/>
    <n v="18.9"/>
    <n v="3.78"/>
    <x v="13"/>
    <s v="VALIDATED"/>
    <n v="1"/>
    <s v="01.11.80.201.6100.0000"/>
    <n v="18.9"/>
    <s v="11"/>
    <s v="6100"/>
    <n v="-32425.63"/>
    <n v="18.9"/>
    <s v="DEBTOR"/>
    <n v="0"/>
    <n v="0"/>
    <n v="0"/>
    <n v="0"/>
    <n v="0"/>
  </r>
  <r>
    <n v="8733210"/>
    <s v="N"/>
    <n v="21403533"/>
    <s v="3000004746670021"/>
    <s v="CIVIL"/>
    <d v="2023-06-06T00:00:00"/>
    <d v="2023-07-20T19:22:20"/>
    <m/>
    <d v="2023-07-20T00:00:00"/>
    <n v="1878"/>
    <n v="1547"/>
    <s v="8733210"/>
    <s v="8733210"/>
    <m/>
    <m/>
    <n v="22629506"/>
    <m/>
    <m/>
    <m/>
    <s v="SOLFIN"/>
    <s v="SOLFIN"/>
    <s v="CCMS"/>
    <n v="21403533"/>
    <n v="4211.9"/>
    <m/>
    <s v="N"/>
    <n v="63"/>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71"/>
    <d v="2023-07-20T19:22:42"/>
    <s v="Y"/>
    <s v="Preparation - other"/>
    <s v="Non Family Hourly Rates"/>
    <s v="Profit Cost"/>
    <s v="BSS"/>
    <s v="Y"/>
    <n v="12.6"/>
    <n v="2.52"/>
    <x v="13"/>
    <s v="VALIDATED"/>
    <n v="1"/>
    <s v="01.11.80.201.6100.0000"/>
    <n v="12.6"/>
    <s v="11"/>
    <s v="6100"/>
    <n v="-32425.63"/>
    <n v="12.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8"/>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2"/>
    <d v="2023-07-10T19:01:45"/>
    <s v="Y"/>
    <s v="Preparation - other"/>
    <s v="Care Remuneration Hourly Rates"/>
    <s v="Profit Cost"/>
    <s v="JBL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7"/>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8"/>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4"/>
    <d v="2023-07-10T19:02:05"/>
    <s v="Y"/>
    <s v="Preparation - other"/>
    <s v="Non Family Hourly Rates"/>
    <s v="Profit Cost"/>
    <s v="CB"/>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1"/>
    <d v="2023-07-10T19:02:05"/>
    <s v="Y"/>
    <s v="Preparation - other"/>
    <s v="Non Family Hourly Rates"/>
    <s v="Profit Cost"/>
    <s v="CB"/>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5"/>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1"/>
    <d v="2023-07-10T19:02:05"/>
    <s v="Y"/>
    <s v="Preparation - drafting attendance n"/>
    <s v="Non Family Hourly Rates"/>
    <s v="Profit Cost"/>
    <s v="LG"/>
    <s v="Y"/>
    <n v="35.78"/>
    <n v="0"/>
    <x v="2"/>
    <s v="VALIDATED"/>
    <n v="1"/>
    <s v="01.11.80.203.6100.0000"/>
    <n v="35.78"/>
    <s v="11"/>
    <s v="6100"/>
    <n v="-32425.63"/>
    <n v="35.7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0"/>
    <d v="2023-07-10T19:02:05"/>
    <s v="Y"/>
    <s v="Attendance upon/with Counsel at Con"/>
    <s v="Non Family Hourly Rates"/>
    <s v="Profit Cost"/>
    <s v="LG"/>
    <s v="Y"/>
    <n v="6.66"/>
    <n v="0"/>
    <x v="2"/>
    <s v="VALIDATED"/>
    <n v="1"/>
    <s v="01.11.80.203.6100.0000"/>
    <n v="6.66"/>
    <s v="11"/>
    <s v="6100"/>
    <n v="-32425.63"/>
    <n v="6.6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4"/>
    <d v="2023-07-10T19:02:05"/>
    <s v="Y"/>
    <s v="Attendance upon other"/>
    <s v="Non Family Hourly Rates"/>
    <s v="Profit Cost"/>
    <s v="LG"/>
    <s v="Y"/>
    <n v="32.21"/>
    <n v="0"/>
    <x v="2"/>
    <s v="VALIDATED"/>
    <n v="1"/>
    <s v="01.11.80.203.6100.0000"/>
    <n v="32.21"/>
    <s v="11"/>
    <s v="6100"/>
    <n v="-32425.63"/>
    <n v="32.21"/>
    <s v="DEBTOR"/>
    <n v="0"/>
    <n v="0"/>
    <n v="0"/>
    <n v="0"/>
    <n v="0"/>
  </r>
  <r>
    <n v="62505835"/>
    <s v="N"/>
    <n v="21349453"/>
    <s v="3000016462370001"/>
    <s v="CIVIL"/>
    <d v="2023-06-29T00:00:00"/>
    <d v="2023-07-10T19:01:40"/>
    <m/>
    <d v="2023-07-10T00:00:00"/>
    <n v="1878"/>
    <n v="1547"/>
    <s v="62505835"/>
    <s v="62505835"/>
    <m/>
    <m/>
    <n v="22788222"/>
    <m/>
    <m/>
    <m/>
    <s v="SOLFIN"/>
    <s v="SOLFIN"/>
    <s v="CCMS"/>
    <n v="21349453"/>
    <n v="1212.58"/>
    <m/>
    <s v="N"/>
    <n v="11"/>
    <d v="2023-07-10T19:01:50"/>
    <s v="Y"/>
    <s v="Final Hearing - 1 Day"/>
    <s v="Other Public Law Children"/>
    <s v="Advocacy"/>
    <s v="HPY"/>
    <s v="Y"/>
    <n v="510.75"/>
    <n v="102.15"/>
    <x v="2"/>
    <s v="VALIDATED"/>
    <n v="1"/>
    <s v="01.11.80.308.6100.0000"/>
    <n v="510.75"/>
    <s v="11"/>
    <s v="6100"/>
    <n v="-32425.63"/>
    <n v="510.75"/>
    <s v="DEBTOR"/>
    <n v="0"/>
    <n v="0"/>
    <n v="0"/>
    <n v="0"/>
    <n v="0"/>
  </r>
  <r>
    <n v="62505835"/>
    <s v="N"/>
    <n v="21349453"/>
    <s v="3000016462370001"/>
    <s v="CIVIL"/>
    <d v="2023-06-29T00:00:00"/>
    <d v="2023-07-10T19:01:40"/>
    <m/>
    <d v="2023-07-10T00:00:00"/>
    <n v="1878"/>
    <n v="1547"/>
    <s v="62505835"/>
    <s v="62505835"/>
    <m/>
    <m/>
    <n v="22788222"/>
    <m/>
    <m/>
    <m/>
    <s v="SOLFIN"/>
    <s v="SOLFIN"/>
    <s v="CCMS"/>
    <n v="21349453"/>
    <n v="1212.58"/>
    <m/>
    <s v="N"/>
    <n v="4"/>
    <d v="2023-07-10T19:01:50"/>
    <s v="Y"/>
    <s v="Preparation - drafting bill/claim f"/>
    <s v="Care Remuneration Hourly Rates"/>
    <s v="Profit Cost"/>
    <s v="HPY"/>
    <s v="Y"/>
    <n v="12.28"/>
    <n v="2.46"/>
    <x v="2"/>
    <s v="VALIDATED"/>
    <n v="1"/>
    <s v="01.11.80.308.6100.0000"/>
    <n v="12.28"/>
    <s v="11"/>
    <s v="6100"/>
    <n v="-32425.63"/>
    <n v="12.2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8"/>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8"/>
    <d v="2023-07-10T19:01:45"/>
    <s v="Y"/>
    <s v="Preparation - other"/>
    <s v="Care Remuneration Hourly Rates"/>
    <s v="Profit Cost"/>
    <s v="AGI 30"/>
    <s v="Y"/>
    <n v="14.37"/>
    <n v="2.87"/>
    <x v="2"/>
    <s v="VALIDATED"/>
    <n v="1"/>
    <s v="01.11.80.308.6100.0000"/>
    <n v="14.37"/>
    <s v="11"/>
    <s v="6100"/>
    <n v="-32425.63"/>
    <n v="14.3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
    <d v="2023-07-06T19:21:25"/>
    <s v="Y"/>
    <s v="Preparation - drafting application"/>
    <s v="Care Remuneration Hourly Rates"/>
    <s v="Profit Cost"/>
    <s v="NBS"/>
    <s v="Y"/>
    <n v="35.29"/>
    <n v="7.06"/>
    <x v="4"/>
    <s v="VALIDATED"/>
    <n v="1"/>
    <s v="01.11.80.308.6100.0000"/>
    <n v="35.29"/>
    <s v="11"/>
    <s v="6100"/>
    <n v="-32425.63"/>
    <n v="35.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3"/>
    <d v="2023-07-05T19:02:06"/>
    <s v="Y"/>
    <s v="Attendance upon other"/>
    <s v="VHCC"/>
    <s v="Profit Cost"/>
    <s v="GLE"/>
    <s v="Y"/>
    <n v="143.1"/>
    <n v="28.62"/>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2"/>
    <d v="2023-07-05T19:02:06"/>
    <s v="Y"/>
    <s v="Travel to attend client"/>
    <s v="VHCC"/>
    <s v="Profit Cost"/>
    <s v="GLE"/>
    <s v="Y"/>
    <n v="41.9"/>
    <n v="8.380000000000001"/>
    <x v="6"/>
    <s v="VALIDATED"/>
    <n v="1"/>
    <s v="01.11.80.203.6100.0000"/>
    <n v="41.9"/>
    <s v="11"/>
    <s v="6100"/>
    <n v="-32425.63"/>
    <n v="41.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9"/>
    <d v="2023-07-05T19:02:06"/>
    <s v="Y"/>
    <s v="Preparation - drafting attendance n"/>
    <s v="VHCC"/>
    <s v="Profit Cost"/>
    <s v="SHL"/>
    <s v="Y"/>
    <n v="14.31"/>
    <n v="2.86"/>
    <x v="6"/>
    <s v="VALIDATED"/>
    <n v="1"/>
    <s v="01.11.80.203.6100.0000"/>
    <n v="14.31"/>
    <s v="11"/>
    <s v="6100"/>
    <n v="-32425.63"/>
    <n v="14.31"/>
    <s v="DEBTOR"/>
    <n v="0"/>
    <n v="0"/>
    <n v="0"/>
    <n v="0"/>
    <n v="0"/>
  </r>
  <r>
    <n v="59677260"/>
    <s v="N"/>
    <n v="21331257"/>
    <s v="3000014052440026"/>
    <s v="CIVIL"/>
    <d v="2023-06-30T00:00:00"/>
    <d v="2023-07-05T19:01:47"/>
    <m/>
    <d v="2023-07-05T00:00:00"/>
    <n v="1878"/>
    <n v="1547"/>
    <s v="59677260"/>
    <s v="59677260"/>
    <m/>
    <m/>
    <n v="22798826"/>
    <m/>
    <m/>
    <m/>
    <s v="SOLINT"/>
    <s v="SOLINT"/>
    <s v="CCMS"/>
    <n v="21331257"/>
    <n v="4736.2"/>
    <m/>
    <s v="N"/>
    <n v="14"/>
    <d v="2023-07-05T19:02:12"/>
    <s v="Y"/>
    <s v="Preparation - other"/>
    <s v="VHCC"/>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5"/>
    <d v="2023-07-05T19:01:55"/>
    <s v="Y"/>
    <s v="Preparation - drafting instructions"/>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4"/>
    <d v="2023-07-05T19:01:55"/>
    <s v="Y"/>
    <s v="Preparation -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7"/>
    <d v="2023-07-05T19:01:55"/>
    <s v="Y"/>
    <s v="Routine Telephone Call"/>
    <s v="Non Family Hourly Rates"/>
    <s v="Profit Cost"/>
    <s v="CBD"/>
    <s v="Y"/>
    <n v="112.2"/>
    <n v="22.44"/>
    <x v="6"/>
    <s v="VALIDATED"/>
    <n v="1"/>
    <s v="01.11.80.203.6100.0000"/>
    <n v="112.2"/>
    <s v="11"/>
    <s v="6100"/>
    <n v="-32425.63"/>
    <n v="112.2"/>
    <s v="DEBTOR"/>
    <n v="0"/>
    <n v="0"/>
    <n v="0"/>
    <n v="0"/>
    <n v="0"/>
  </r>
  <r>
    <n v="62207718"/>
    <s v="N"/>
    <n v="21338458"/>
    <s v="3000016212270001"/>
    <s v="CIVIL"/>
    <d v="2023-06-28T00:00:00"/>
    <d v="2023-07-06T19:21:01"/>
    <m/>
    <d v="2023-07-06T00:00:00"/>
    <n v="1878"/>
    <n v="1547"/>
    <s v="62207718"/>
    <s v="62207718"/>
    <m/>
    <m/>
    <n v="22776014"/>
    <m/>
    <m/>
    <m/>
    <s v="SOLFIN"/>
    <s v="SOLFIN"/>
    <s v="CCMS"/>
    <n v="21338458"/>
    <n v="3530.54"/>
    <m/>
    <s v="N"/>
    <n v="6"/>
    <d v="2023-07-06T19:21:25"/>
    <s v="Y"/>
    <s v="Preparation - other"/>
    <s v="Care Remuneration Hourly Rates"/>
    <s v="Profit Cost"/>
    <s v="NBS 25"/>
    <s v="Y"/>
    <n v="69.05"/>
    <n v="13.81"/>
    <x v="4"/>
    <s v="VALIDATED"/>
    <n v="1"/>
    <s v="01.11.80.308.6100.0000"/>
    <n v="69.05"/>
    <s v="11"/>
    <s v="6100"/>
    <n v="-32425.63"/>
    <n v="69.0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5"/>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1"/>
    <d v="2023-07-03T19:04:58"/>
    <s v="Y"/>
    <s v="Preparation - other"/>
    <s v="VHCC"/>
    <s v="Profit Cost"/>
    <s v="JML 65"/>
    <s v="Y"/>
    <n v="35.42"/>
    <n v="7.08"/>
    <x v="3"/>
    <s v="VALIDATED"/>
    <n v="1"/>
    <s v="01.11.80.203.6100.0000"/>
    <n v="35.42"/>
    <s v="11"/>
    <s v="6100"/>
    <n v="-32425.63"/>
    <n v="35.4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
    <d v="2023-07-03T19:04:58"/>
    <s v="Y"/>
    <s v="Preparation - drafting attendance n"/>
    <s v="VHCC"/>
    <s v="Profit Cost"/>
    <s v="JML"/>
    <s v="Y"/>
    <n v="78.70999999999999"/>
    <n v="15.74"/>
    <x v="3"/>
    <s v="VALIDATED"/>
    <n v="1"/>
    <s v="01.11.80.203.6100.0000"/>
    <n v="78.70999999999999"/>
    <s v="11"/>
    <s v="6100"/>
    <n v="-32425.63"/>
    <n v="78.70999999999999"/>
    <s v="DEBTOR"/>
    <n v="0"/>
    <n v="0"/>
    <n v="0"/>
    <n v="0"/>
    <n v="0"/>
  </r>
  <r>
    <n v="61742173"/>
    <s v="N"/>
    <n v="21319086"/>
    <s v="3000015815100003"/>
    <s v="CIVIL"/>
    <d v="2023-06-23T00:00:00"/>
    <d v="2023-07-03T19:01:49"/>
    <m/>
    <d v="2023-07-03T00:00:00"/>
    <n v="1878"/>
    <n v="1547"/>
    <s v="61742173"/>
    <s v="61742173"/>
    <m/>
    <m/>
    <n v="22750850"/>
    <m/>
    <m/>
    <m/>
    <s v="SOLFIN"/>
    <s v="SOLFIN"/>
    <s v="CCMS"/>
    <n v="21319086"/>
    <n v="5246"/>
    <m/>
    <s v="N"/>
    <n v="20"/>
    <d v="2023-07-03T19:02:10"/>
    <s v="Y"/>
    <s v="Preparation - drafting instructions"/>
    <s v="Prescribed Hourly Rates"/>
    <s v="Profit Cost"/>
    <s v="HHS"/>
    <s v="Y"/>
    <n v="29.7"/>
    <n v="5.94"/>
    <x v="3"/>
    <s v="VALIDATED"/>
    <n v="1"/>
    <s v="01.11.80.305.6100.0000"/>
    <n v="29.7"/>
    <s v="11"/>
    <s v="6100"/>
    <n v="-32425.63"/>
    <n v="29.7"/>
    <s v="DEBTOR"/>
    <n v="0"/>
    <n v="0"/>
    <n v="0"/>
    <n v="0"/>
    <n v="0"/>
  </r>
  <r>
    <n v="61742173"/>
    <s v="N"/>
    <n v="21319086"/>
    <s v="3000015815100003"/>
    <s v="CIVIL"/>
    <d v="2023-06-23T00:00:00"/>
    <d v="2023-07-03T19:01:49"/>
    <m/>
    <d v="2023-07-03T00:00:00"/>
    <n v="1878"/>
    <n v="1547"/>
    <s v="61742173"/>
    <s v="61742173"/>
    <m/>
    <m/>
    <n v="22750850"/>
    <m/>
    <m/>
    <m/>
    <s v="SOLFIN"/>
    <s v="SOLFIN"/>
    <s v="CCMS"/>
    <n v="21319086"/>
    <n v="5246"/>
    <m/>
    <s v="N"/>
    <n v="47"/>
    <d v="2023-07-03T19:02:10"/>
    <s v="Y"/>
    <s v="Preparation - other"/>
    <s v="Prescribed Hourly Rates"/>
    <s v="Profit Cost"/>
    <s v="MAE 15"/>
    <s v="Y"/>
    <n v="6.83"/>
    <n v="1.37"/>
    <x v="3"/>
    <s v="VALIDATED"/>
    <n v="1"/>
    <s v="01.11.80.305.6100.0000"/>
    <n v="6.83"/>
    <s v="11"/>
    <s v="6100"/>
    <n v="-32425.63"/>
    <n v="6.83"/>
    <s v="DEBTOR"/>
    <n v="0"/>
    <n v="0"/>
    <n v="0"/>
    <n v="0"/>
    <n v="0"/>
  </r>
  <r>
    <n v="61742173"/>
    <s v="N"/>
    <n v="21319086"/>
    <s v="3000015815100003"/>
    <s v="CIVIL"/>
    <d v="2023-06-23T00:00:00"/>
    <d v="2023-07-03T19:01:49"/>
    <m/>
    <d v="2023-07-03T00:00:00"/>
    <n v="1878"/>
    <n v="1547"/>
    <s v="61742173"/>
    <s v="61742173"/>
    <m/>
    <m/>
    <n v="22750850"/>
    <m/>
    <m/>
    <m/>
    <s v="SOLFIN"/>
    <s v="SOLFIN"/>
    <s v="CCMS"/>
    <n v="21319086"/>
    <n v="5246"/>
    <m/>
    <s v="N"/>
    <n v="62"/>
    <d v="2023-07-03T19:02:10"/>
    <s v="Y"/>
    <s v="Preparation - other"/>
    <s v="Prescribed Hourly Rates"/>
    <s v="Profit Cost"/>
    <s v="MAE 15"/>
    <s v="Y"/>
    <n v="6.83"/>
    <n v="1.37"/>
    <x v="3"/>
    <s v="VALIDATED"/>
    <n v="1"/>
    <s v="01.11.80.305.6100.0000"/>
    <n v="6.83"/>
    <s v="11"/>
    <s v="6100"/>
    <n v="-32425.63"/>
    <n v="6.8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8"/>
    <d v="2023-07-05T19:02:06"/>
    <s v="Y"/>
    <s v="Preparation - other"/>
    <s v="VHCC"/>
    <s v="Profit Cost"/>
    <s v="GLE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9"/>
    <d v="2023-07-05T19:02:06"/>
    <s v="Y"/>
    <s v="Preparation - other"/>
    <s v="VHCC"/>
    <s v="Profit Cost"/>
    <s v="SHL 60"/>
    <s v="Y"/>
    <n v="22.9"/>
    <n v="4.58"/>
    <x v="6"/>
    <s v="VALIDATED"/>
    <n v="1"/>
    <s v="01.11.80.203.6100.0000"/>
    <n v="22.9"/>
    <s v="11"/>
    <s v="6100"/>
    <n v="-32425.63"/>
    <n v="22.9"/>
    <s v="DEBTOR"/>
    <n v="0"/>
    <n v="0"/>
    <n v="0"/>
    <n v="0"/>
    <n v="0"/>
  </r>
  <r>
    <n v="59677260"/>
    <s v="N"/>
    <n v="21331257"/>
    <s v="3000014052440026"/>
    <s v="CIVIL"/>
    <d v="2023-06-30T00:00:00"/>
    <d v="2023-07-05T19:01:47"/>
    <m/>
    <d v="2023-07-05T00:00:00"/>
    <n v="1878"/>
    <n v="1547"/>
    <s v="59677260"/>
    <s v="59677260"/>
    <m/>
    <m/>
    <n v="22798826"/>
    <m/>
    <m/>
    <m/>
    <s v="SOLINT"/>
    <s v="SOLINT"/>
    <s v="CCMS"/>
    <n v="21331257"/>
    <n v="4736.2"/>
    <m/>
    <s v="N"/>
    <n v="35"/>
    <d v="2023-07-05T19:02:12"/>
    <s v="Y"/>
    <s v="Preparation - other"/>
    <s v="VHCC"/>
    <s v="Profit Cost"/>
    <s v="SHL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8"/>
    <d v="2023-07-05T19:02:06"/>
    <s v="Y"/>
    <s v="Item - Routine Outgoing letter"/>
    <s v="VHCC"/>
    <s v="Profit Cost"/>
    <s v="GLE"/>
    <s v="Y"/>
    <n v="2315.25"/>
    <n v="463.04"/>
    <x v="6"/>
    <s v="VALIDATED"/>
    <n v="1"/>
    <s v="01.11.80.203.6100.0000"/>
    <n v="2315.25"/>
    <s v="11"/>
    <s v="6100"/>
    <n v="-32425.63"/>
    <n v="2315.2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0"/>
    <d v="2023-07-05T19:02:06"/>
    <s v="Y"/>
    <s v="Preparation - drafting statement"/>
    <s v="VHCC"/>
    <s v="Profit Cost"/>
    <s v="SHL 60"/>
    <s v="Y"/>
    <n v="22.9"/>
    <n v="4.58"/>
    <x v="6"/>
    <s v="VALIDATED"/>
    <n v="1"/>
    <s v="01.11.80.203.6100.0000"/>
    <n v="22.9"/>
    <s v="11"/>
    <s v="6100"/>
    <n v="-32425.63"/>
    <n v="22.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0"/>
    <d v="2023-07-05T19:01:55"/>
    <s v="Y"/>
    <s v="Preparation - drafting statement"/>
    <s v="Non Family Hourly Rates"/>
    <s v="Profit Cost"/>
    <s v="JM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9"/>
    <d v="2023-07-05T19:01:55"/>
    <s v="Y"/>
    <s v="Preparation - drafting statement"/>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7"/>
    <d v="2023-07-05T19:01:55"/>
    <s v="Y"/>
    <s v="Preparation - drafting statement"/>
    <s v="Non Family Hourly Rates"/>
    <s v="Profit Cost"/>
    <s v="HRL 50"/>
    <s v="Y"/>
    <n v="128.79"/>
    <n v="25.76"/>
    <x v="6"/>
    <s v="VALIDATED"/>
    <n v="1"/>
    <s v="01.11.80.203.6100.0000"/>
    <n v="128.79"/>
    <s v="11"/>
    <s v="6100"/>
    <n v="-32425.63"/>
    <n v="128.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0"/>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6"/>
    <d v="2023-07-05T19:01:55"/>
    <s v="Y"/>
    <s v="Preparation - drafting attendance n"/>
    <s v="Non Family Hourly Rates"/>
    <s v="Profit Cost"/>
    <s v="HRL"/>
    <s v="Y"/>
    <n v="7.16"/>
    <n v="1.43"/>
    <x v="6"/>
    <s v="VALIDATED"/>
    <n v="1"/>
    <s v="01.11.80.203.6100.0000"/>
    <n v="7.16"/>
    <s v="11"/>
    <s v="6100"/>
    <n v="-32425.63"/>
    <n v="7.16"/>
    <s v="DEBTOR"/>
    <n v="0"/>
    <n v="0"/>
    <n v="0"/>
    <n v="0"/>
    <n v="0"/>
  </r>
  <r>
    <n v="62151643"/>
    <s v="N"/>
    <n v="21323113"/>
    <s v="3000016169820007"/>
    <s v="CIVIL"/>
    <d v="2023-06-30T00:00:00"/>
    <d v="2023-07-03T19:05:36"/>
    <m/>
    <d v="2023-07-03T00:00:00"/>
    <n v="1878"/>
    <n v="1547"/>
    <s v="62151643"/>
    <s v="62151643"/>
    <m/>
    <m/>
    <n v="22794130"/>
    <m/>
    <m/>
    <m/>
    <s v="SOLPOA"/>
    <s v="SOLPOA"/>
    <s v="CCMS"/>
    <n v="21323113"/>
    <n v="5141.63"/>
    <m/>
    <s v="N"/>
    <n v="1"/>
    <d v="2023-07-03T19:05:41"/>
    <s v="N"/>
    <s v="Solicitors Fixed Fee"/>
    <s v="Public Law Children"/>
    <s v="Profit Cost"/>
    <s v="GEMMA ADAMS"/>
    <s v="N"/>
    <n v="4284.69"/>
    <n v="856.9400000000001"/>
    <x v="3"/>
    <s v="VALIDATED"/>
    <n v="1"/>
    <s v="01.11.80.308.2012.0000"/>
    <n v="4284.69"/>
    <s v="11"/>
    <s v="2012"/>
    <n v="-32425.63"/>
    <n v="4284.6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6"/>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9"/>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7"/>
    <d v="2023-07-03T19:04:58"/>
    <s v="Y"/>
    <s v="Preparation - other"/>
    <s v="VHCC"/>
    <s v="Profit Cost"/>
    <s v="JML 65"/>
    <s v="Y"/>
    <n v="283.34"/>
    <n v="56.66"/>
    <x v="3"/>
    <s v="VALIDATED"/>
    <n v="1"/>
    <s v="01.11.80.203.6100.0000"/>
    <n v="283.34"/>
    <s v="11"/>
    <s v="6100"/>
    <n v="-32425.63"/>
    <n v="283.3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5"/>
    <d v="2023-07-03T19:04:58"/>
    <s v="Y"/>
    <s v="Attendance upon client"/>
    <s v="VHCC"/>
    <s v="Profit Cost"/>
    <s v="LGR"/>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7"/>
    <d v="2023-07-03T19:04:58"/>
    <s v="Y"/>
    <s v="Preparation - other"/>
    <s v="VHCC"/>
    <s v="Profit Cost"/>
    <s v="MJS"/>
    <s v="Y"/>
    <n v="85.86"/>
    <n v="17.17"/>
    <x v="3"/>
    <s v="VALIDATED"/>
    <n v="1"/>
    <s v="01.11.80.203.6100.0000"/>
    <n v="85.86"/>
    <s v="11"/>
    <s v="6100"/>
    <n v="-32425.63"/>
    <n v="85.8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0"/>
    <d v="2023-07-03T19:04:58"/>
    <s v="Y"/>
    <s v="Attendance upon court with counsel"/>
    <s v="VHCC"/>
    <s v="Profit Cost"/>
    <s v="JML"/>
    <s v="Y"/>
    <n v="19.98"/>
    <n v="4"/>
    <x v="3"/>
    <s v="VALIDATED"/>
    <n v="1"/>
    <s v="01.11.80.203.6100.0000"/>
    <n v="19.98"/>
    <s v="11"/>
    <s v="6100"/>
    <n v="-32425.63"/>
    <n v="19.9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8"/>
    <d v="2023-07-03T19:04:58"/>
    <s v="Y"/>
    <s v="Preparation - other"/>
    <s v="VHCC"/>
    <s v="Profit Cost"/>
    <s v="JML"/>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5"/>
    <d v="2023-07-03T19:04:58"/>
    <s v="Y"/>
    <s v="Psychiatrist"/>
    <s v="VHCC"/>
    <s v="Expert Disbursement"/>
    <s v="JML"/>
    <s v="Y"/>
    <n v="675"/>
    <n v="134.99"/>
    <x v="3"/>
    <s v="VALIDATED"/>
    <n v="1"/>
    <s v="01.11.80.203.6300.0000"/>
    <n v="675"/>
    <s v="11"/>
    <s v="6300"/>
    <n v="-32425.63"/>
    <n v="675"/>
    <s v="DEBTOR"/>
    <n v="0"/>
    <n v="0"/>
    <n v="0"/>
    <n v="0"/>
    <n v="0"/>
  </r>
  <r>
    <n v="8733210"/>
    <s v="N"/>
    <n v="21403533"/>
    <s v="3000004746670021"/>
    <s v="CIVIL"/>
    <d v="2023-06-06T00:00:00"/>
    <d v="2023-07-20T19:22:20"/>
    <m/>
    <d v="2023-07-20T00:00:00"/>
    <n v="1878"/>
    <n v="1547"/>
    <s v="8733210"/>
    <s v="8733210"/>
    <m/>
    <m/>
    <n v="22629506"/>
    <m/>
    <m/>
    <m/>
    <s v="SOLFIN"/>
    <s v="SOLFIN"/>
    <s v="CCMS"/>
    <n v="21403533"/>
    <n v="4211.9"/>
    <m/>
    <s v="N"/>
    <n v="14"/>
    <d v="2023-07-20T19:22:42"/>
    <s v="Y"/>
    <s v="Preparation - other"/>
    <s v="Non Family Hourly Rates"/>
    <s v="Profit Cost"/>
    <s v="ESL"/>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30"/>
    <d v="2023-07-20T19:22:42"/>
    <s v="Y"/>
    <s v="Preparation - other"/>
    <s v="Non Family Hourly Rates"/>
    <s v="Profit Cost"/>
    <s v="BSS"/>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49"/>
    <d v="2023-07-20T19:22:42"/>
    <s v="Y"/>
    <s v="Preparation - other"/>
    <s v="Non Family Hourly Rates"/>
    <s v="Profit Cost"/>
    <s v="BSS"/>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51"/>
    <d v="2023-07-20T19:22:42"/>
    <s v="Y"/>
    <s v="Preparation - other"/>
    <s v="Non Family Hourly Rates"/>
    <s v="Profit Cost"/>
    <s v="BSS"/>
    <s v="Y"/>
    <n v="18.9"/>
    <n v="3.78"/>
    <x v="13"/>
    <s v="VALIDATED"/>
    <n v="1"/>
    <s v="01.11.80.201.6100.0000"/>
    <n v="18.9"/>
    <s v="11"/>
    <s v="6100"/>
    <n v="-32425.63"/>
    <n v="18.9"/>
    <s v="DEBTOR"/>
    <n v="0"/>
    <n v="0"/>
    <n v="0"/>
    <n v="0"/>
    <n v="0"/>
  </r>
  <r>
    <n v="8733210"/>
    <s v="N"/>
    <n v="21403533"/>
    <s v="3000004746670021"/>
    <s v="CIVIL"/>
    <d v="2023-06-06T00:00:00"/>
    <d v="2023-07-20T19:22:20"/>
    <m/>
    <d v="2023-07-20T00:00:00"/>
    <n v="1878"/>
    <n v="1547"/>
    <s v="8733210"/>
    <s v="8733210"/>
    <m/>
    <m/>
    <n v="22629506"/>
    <m/>
    <m/>
    <m/>
    <s v="SOLFIN"/>
    <s v="SOLFIN"/>
    <s v="CCMS"/>
    <n v="21403533"/>
    <n v="4211.9"/>
    <m/>
    <s v="N"/>
    <n v="98"/>
    <d v="2023-07-20T19:22:42"/>
    <s v="Y"/>
    <s v="Preparation - other"/>
    <s v="Non Family Hourly Rates"/>
    <s v="Profit Cost"/>
    <s v="GMT"/>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40"/>
    <d v="2023-07-03T19:02:10"/>
    <s v="Y"/>
    <s v="Preparation - other"/>
    <s v="Prescribed Hourly Rates"/>
    <s v="Profit Cost"/>
    <s v="MAE 15"/>
    <s v="Y"/>
    <n v="20.49"/>
    <n v="4.1"/>
    <x v="3"/>
    <s v="VALIDATED"/>
    <n v="1"/>
    <s v="01.11.80.305.6100.0000"/>
    <n v="20.49"/>
    <s v="11"/>
    <s v="6100"/>
    <n v="-32425.63"/>
    <n v="20.49"/>
    <s v="DEBTOR"/>
    <n v="0"/>
    <n v="0"/>
    <n v="0"/>
    <n v="0"/>
    <n v="0"/>
  </r>
  <r>
    <n v="61742173"/>
    <s v="N"/>
    <n v="21319086"/>
    <s v="3000015815100003"/>
    <s v="CIVIL"/>
    <d v="2023-06-23T00:00:00"/>
    <d v="2023-07-03T19:01:49"/>
    <m/>
    <d v="2023-07-03T00:00:00"/>
    <n v="1878"/>
    <n v="1547"/>
    <s v="61742173"/>
    <s v="61742173"/>
    <m/>
    <m/>
    <n v="22750850"/>
    <m/>
    <m/>
    <m/>
    <s v="SOLFIN"/>
    <s v="SOLFIN"/>
    <s v="CCMS"/>
    <n v="21319086"/>
    <n v="5246"/>
    <m/>
    <s v="N"/>
    <n v="50"/>
    <d v="2023-07-03T19:02:10"/>
    <s v="Y"/>
    <s v="Preparation - other"/>
    <s v="Prescribed Hourly Rates"/>
    <s v="Profit Cost"/>
    <s v="MAE 15"/>
    <s v="Y"/>
    <n v="34.16"/>
    <n v="6.83"/>
    <x v="3"/>
    <s v="VALIDATED"/>
    <n v="1"/>
    <s v="01.11.80.305.6100.0000"/>
    <n v="34.16"/>
    <s v="11"/>
    <s v="6100"/>
    <n v="-32425.63"/>
    <n v="34.16"/>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0"/>
    <d v="2023-07-18T19:00:56"/>
    <s v="Y"/>
    <s v="Attendance upon other"/>
    <s v="Non Family Hourly Rates"/>
    <s v="Profit Cost"/>
    <s v="MSK 50"/>
    <s v="Y"/>
    <n v="32.21"/>
    <n v="6.44"/>
    <x v="14"/>
    <s v="VALIDATED"/>
    <n v="1"/>
    <s v="01.11.80.203.6100.0000"/>
    <n v="32.21"/>
    <s v="11"/>
    <s v="6100"/>
    <n v="-32425.63"/>
    <n v="32.2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9"/>
    <d v="2023-07-10T19:01:45"/>
    <s v="Y"/>
    <s v="Preparation - other"/>
    <s v="Care Remuneration Hourly Rates"/>
    <s v="Profit Cost"/>
    <s v="AGI 30"/>
    <s v="Y"/>
    <n v="35.91"/>
    <n v="7.18"/>
    <x v="2"/>
    <s v="VALIDATED"/>
    <n v="1"/>
    <s v="01.11.80.308.6100.0000"/>
    <n v="35.91"/>
    <s v="11"/>
    <s v="6100"/>
    <n v="-32425.63"/>
    <n v="35.9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5"/>
    <d v="2023-07-10T19:02:05"/>
    <s v="Y"/>
    <s v="Preparation - drafting statement"/>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1"/>
    <d v="2023-07-10T19:02:05"/>
    <s v="Y"/>
    <s v="Preparation - other"/>
    <s v="Non Family Hourly Rates"/>
    <s v="Profit Cost"/>
    <s v="CB"/>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9"/>
    <d v="2023-07-10T19:02:05"/>
    <s v="Y"/>
    <s v="Preparation - other"/>
    <s v="Non Family Hourly Rates"/>
    <s v="Profit Cost"/>
    <s v="LG"/>
    <s v="Y"/>
    <n v="85.86"/>
    <n v="0"/>
    <x v="2"/>
    <s v="VALIDATED"/>
    <n v="1"/>
    <s v="01.11.80.203.6100.0000"/>
    <n v="85.86"/>
    <s v="11"/>
    <s v="6100"/>
    <n v="-32425.63"/>
    <n v="85.8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4"/>
    <d v="2023-07-10T19:02:05"/>
    <s v="Y"/>
    <s v="Waiting - other"/>
    <s v="Non Family Hourly Rates"/>
    <s v="Profit Cost"/>
    <s v="LG"/>
    <s v="Y"/>
    <n v="11.97"/>
    <n v="0"/>
    <x v="2"/>
    <s v="VALIDATED"/>
    <n v="1"/>
    <s v="01.11.80.203.6100.0000"/>
    <n v="11.97"/>
    <s v="11"/>
    <s v="6100"/>
    <n v="-32425.63"/>
    <n v="11.9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1"/>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2"/>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9"/>
    <d v="2023-07-10T19:01:45"/>
    <s v="Y"/>
    <s v="Preparation - other"/>
    <s v="Care Remuneration Hourly Rates"/>
    <s v="Profit Cost"/>
    <s v="JBL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2"/>
    <d v="2023-07-10T19:01:45"/>
    <s v="Y"/>
    <s v="Preparation - other"/>
    <s v="Care Remuneration Hourly Rates"/>
    <s v="Profit Cost"/>
    <s v="AGI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
    <d v="2023-07-10T19:01:45"/>
    <s v="N"/>
    <s v="Preparation - other"/>
    <s v="Care Remuneration Hourly Rates"/>
    <s v="Profit Cost"/>
    <s v="JBL 30"/>
    <s v="N"/>
    <n v="21.54"/>
    <n v="4.31"/>
    <x v="2"/>
    <s v="VALIDATED"/>
    <n v="1"/>
    <s v="01.11.80.308.6100.0000"/>
    <n v="21.54"/>
    <s v="11"/>
    <s v="6100"/>
    <n v="-32425.63"/>
    <n v="21.54"/>
    <s v="DEBTOR"/>
    <n v="0"/>
    <n v="0"/>
    <n v="0"/>
    <n v="0"/>
    <n v="0"/>
  </r>
  <r>
    <n v="59677260"/>
    <s v="N"/>
    <n v="21331257"/>
    <s v="3000014052440026"/>
    <s v="CIVIL"/>
    <d v="2023-06-30T00:00:00"/>
    <d v="2023-07-05T19:01:47"/>
    <m/>
    <d v="2023-07-05T00:00:00"/>
    <n v="1878"/>
    <n v="1547"/>
    <s v="59677260"/>
    <s v="59677260"/>
    <m/>
    <m/>
    <n v="22798826"/>
    <m/>
    <m/>
    <m/>
    <s v="SOLINT"/>
    <s v="SOLINT"/>
    <s v="CCMS"/>
    <n v="21331257"/>
    <n v="4736.2"/>
    <m/>
    <s v="N"/>
    <n v="23"/>
    <d v="2023-07-05T19:02:12"/>
    <s v="Y"/>
    <s v="Attendance upon other"/>
    <s v="VHCC"/>
    <s v="Profit Cost"/>
    <s v="SHL 60"/>
    <s v="Y"/>
    <n v="240.41"/>
    <n v="48.08"/>
    <x v="6"/>
    <s v="VALIDATED"/>
    <n v="1"/>
    <s v="01.11.80.203.6100.0000"/>
    <n v="240.41"/>
    <s v="11"/>
    <s v="6100"/>
    <n v="-32425.63"/>
    <n v="240.4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2"/>
    <d v="2023-07-05T19:02:06"/>
    <s v="Y"/>
    <s v="Attendance upon court"/>
    <s v="VHCC"/>
    <s v="Profit Cost"/>
    <s v="PFA"/>
    <s v="Y"/>
    <n v="14.31"/>
    <n v="2.86"/>
    <x v="6"/>
    <s v="VALIDATED"/>
    <n v="1"/>
    <s v="01.11.80.203.6100.0000"/>
    <n v="14.31"/>
    <s v="11"/>
    <s v="6100"/>
    <n v="-32425.63"/>
    <n v="14.3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4"/>
    <d v="2023-07-05T19:02:09"/>
    <s v="Y"/>
    <s v="Preparation - other"/>
    <s v="VHCC"/>
    <s v="Profit Cost"/>
    <s v="GLE"/>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7"/>
    <d v="2023-07-05T19:02:06"/>
    <s v="Y"/>
    <s v="Preparation -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7"/>
    <d v="2023-07-05T19:02:06"/>
    <s v="Y"/>
    <s v="Preparation - other"/>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1"/>
    <d v="2023-07-05T19:02:06"/>
    <s v="Y"/>
    <s v="Preparation - other"/>
    <s v="VHCC"/>
    <s v="Profit Cost"/>
    <s v="SHL 60"/>
    <s v="Y"/>
    <n v="22.9"/>
    <n v="4.58"/>
    <x v="6"/>
    <s v="VALIDATED"/>
    <n v="1"/>
    <s v="01.11.80.203.6100.0000"/>
    <n v="22.9"/>
    <s v="11"/>
    <s v="6100"/>
    <n v="-32425.63"/>
    <n v="22.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1"/>
    <d v="2023-07-05T19:01:55"/>
    <s v="Y"/>
    <s v="Preparation - other"/>
    <s v="Non Family Hourly Rates"/>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3"/>
    <d v="2023-07-05T19:01:55"/>
    <s v="Y"/>
    <s v="Preparation - other"/>
    <s v="Non Family Hourly Rates"/>
    <s v="Profit Cost"/>
    <s v="HRL 50"/>
    <s v="Y"/>
    <n v="161"/>
    <n v="32.2"/>
    <x v="6"/>
    <s v="VALIDATED"/>
    <n v="1"/>
    <s v="01.11.80.203.6100.0000"/>
    <n v="161"/>
    <s v="11"/>
    <s v="6100"/>
    <n v="-32425.63"/>
    <n v="16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3"/>
    <d v="2023-07-10T19:01:45"/>
    <s v="Y"/>
    <s v="Preparation - other"/>
    <s v="Care Remuneration Hourly Rates"/>
    <s v="Profit Cost"/>
    <s v="JBL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4"/>
    <d v="2023-07-10T19:01:45"/>
    <s v="Y"/>
    <s v="Preparation - other"/>
    <s v="Care Remuneration Hourly Rates"/>
    <s v="Profit Cost"/>
    <s v="JBL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0"/>
    <d v="2023-07-10T19:02:05"/>
    <s v="Y"/>
    <s v="Preparation - other"/>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7"/>
    <d v="2023-07-10T19:02:05"/>
    <s v="Y"/>
    <s v="Attendance upon other"/>
    <s v="Non Family Hourly Rates"/>
    <s v="Profit Cost"/>
    <s v="LG"/>
    <s v="Y"/>
    <n v="75.14"/>
    <n v="0"/>
    <x v="2"/>
    <s v="VALIDATED"/>
    <n v="1"/>
    <s v="01.11.80.203.6100.0000"/>
    <n v="75.14"/>
    <s v="11"/>
    <s v="6100"/>
    <n v="-32425.63"/>
    <n v="75.1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6"/>
    <d v="2023-07-10T19:02:05"/>
    <s v="Y"/>
    <s v="Preparation - drafting attendance n"/>
    <s v="Non Family Hourly Rates"/>
    <s v="Profit Cost"/>
    <s v="LG"/>
    <s v="Y"/>
    <n v="57.24"/>
    <n v="0"/>
    <x v="2"/>
    <s v="VALIDATED"/>
    <n v="1"/>
    <s v="01.11.80.203.6100.0000"/>
    <n v="57.24"/>
    <s v="11"/>
    <s v="6100"/>
    <n v="-32425.63"/>
    <n v="57.2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2"/>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6"/>
    <d v="2023-07-10T19:02:05"/>
    <s v="Y"/>
    <s v="Preparation - other"/>
    <s v="Non Family Hourly Rates"/>
    <s v="Profit Cost"/>
    <s v="LG"/>
    <s v="Y"/>
    <n v="32.21"/>
    <n v="0"/>
    <x v="2"/>
    <s v="VALIDATED"/>
    <n v="1"/>
    <s v="01.11.80.203.6100.0000"/>
    <n v="32.21"/>
    <s v="11"/>
    <s v="6100"/>
    <n v="-32425.63"/>
    <n v="32.2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5"/>
    <d v="2023-07-10T19:01:45"/>
    <s v="Y"/>
    <s v="Telecoms expert"/>
    <s v="Care Remuneration Hourly Rates"/>
    <s v="Expert Disbursement"/>
    <s v="AGI"/>
    <s v="Y"/>
    <n v="372.42"/>
    <n v="74.48"/>
    <x v="2"/>
    <s v="VALIDATED"/>
    <n v="1"/>
    <s v="01.11.80.308.6300.0000"/>
    <n v="372.42"/>
    <s v="11"/>
    <s v="6300"/>
    <n v="-32425.63"/>
    <n v="372.4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0"/>
    <d v="2023-07-05T19:02:06"/>
    <s v="Y"/>
    <s v="Preparation - other"/>
    <s v="VHCC"/>
    <s v="Profit Cost"/>
    <s v="PFA"/>
    <s v="Y"/>
    <n v="21.47"/>
    <n v="4.29"/>
    <x v="6"/>
    <s v="VALIDATED"/>
    <n v="1"/>
    <s v="01.11.80.203.6100.0000"/>
    <n v="21.47"/>
    <s v="11"/>
    <s v="6100"/>
    <n v="-32425.63"/>
    <n v="21.47"/>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2"/>
    <d v="2023-07-05T19:02:09"/>
    <s v="Y"/>
    <s v="Preparation - other"/>
    <s v="VHCC"/>
    <s v="Profit Cost"/>
    <s v="SHL"/>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9"/>
    <d v="2023-07-05T19:01:55"/>
    <s v="Y"/>
    <s v="Attendance upon other"/>
    <s v="Non Family Hourly Rates"/>
    <s v="Profit Cost"/>
    <s v="HRL 50"/>
    <s v="Y"/>
    <n v="107.33"/>
    <n v="21.47"/>
    <x v="6"/>
    <s v="VALIDATED"/>
    <n v="1"/>
    <s v="01.11.80.203.6100.0000"/>
    <n v="107.33"/>
    <s v="11"/>
    <s v="6100"/>
    <n v="-32425.63"/>
    <n v="107.3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7"/>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6"/>
    <d v="2023-07-05T19:01:55"/>
    <s v="Y"/>
    <s v="Waiting - other"/>
    <s v="Non Family Hourly Rates"/>
    <s v="Profit Cost"/>
    <s v="HRL"/>
    <s v="Y"/>
    <n v="8.98"/>
    <n v="1.8"/>
    <x v="6"/>
    <s v="VALIDATED"/>
    <n v="1"/>
    <s v="01.11.80.203.6100.0000"/>
    <n v="8.98"/>
    <s v="11"/>
    <s v="6100"/>
    <n v="-32425.63"/>
    <n v="8.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7"/>
    <d v="2023-07-05T19:01:55"/>
    <s v="Y"/>
    <s v="Advocacy - In court behind Counsel"/>
    <s v="Non Family Hourly Rates"/>
    <s v="Advocacy"/>
    <s v="HRL"/>
    <s v="Y"/>
    <n v="6.66"/>
    <n v="1.33"/>
    <x v="6"/>
    <s v="VALIDATED"/>
    <n v="1"/>
    <s v="01.11.80.203.6100.0000"/>
    <n v="6.66"/>
    <s v="11"/>
    <s v="6100"/>
    <n v="-32425.63"/>
    <n v="6.6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5"/>
    <d v="2023-07-05T19:01:55"/>
    <s v="Y"/>
    <s v="Preparation - other"/>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4"/>
    <d v="2023-07-05T19:01:55"/>
    <s v="Y"/>
    <s v="Waiting - other"/>
    <s v="Non Family Hourly Rates"/>
    <s v="Profit Cost"/>
    <s v="HRL"/>
    <s v="Y"/>
    <n v="5.99"/>
    <n v="1.2"/>
    <x v="6"/>
    <s v="VALIDATED"/>
    <n v="1"/>
    <s v="01.11.80.203.6100.0000"/>
    <n v="5.99"/>
    <s v="11"/>
    <s v="6100"/>
    <n v="-32425.63"/>
    <n v="5.9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3"/>
    <d v="2023-07-05T19:02:06"/>
    <s v="Y"/>
    <s v="Preparation - drafting statement"/>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5"/>
    <d v="2023-07-05T19:02:06"/>
    <s v="Y"/>
    <s v="Preparation - other"/>
    <s v="VHCC"/>
    <s v="Profit Cost"/>
    <s v="SHL"/>
    <s v="Y"/>
    <n v="7.16"/>
    <n v="1.43"/>
    <x v="6"/>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5"/>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9"/>
    <d v="2023-07-03T19:04:58"/>
    <s v="Y"/>
    <s v="Preparation - other"/>
    <s v="VHCC"/>
    <s v="Profit Cost"/>
    <s v="MJS"/>
    <s v="Y"/>
    <n v="28.62"/>
    <n v="5.72"/>
    <x v="3"/>
    <s v="VALIDATED"/>
    <n v="1"/>
    <s v="01.11.80.203.6100.0000"/>
    <n v="28.62"/>
    <s v="11"/>
    <s v="6100"/>
    <n v="-32425.63"/>
    <n v="28.6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9"/>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8"/>
    <d v="2023-07-03T19:04:58"/>
    <s v="Y"/>
    <s v="Travel to attend client"/>
    <s v="VHCC"/>
    <s v="Profit Cost"/>
    <s v="JML"/>
    <s v="Y"/>
    <n v="74.83"/>
    <n v="14.96"/>
    <x v="3"/>
    <s v="VALIDATED"/>
    <n v="1"/>
    <s v="01.11.80.203.6100.0000"/>
    <n v="74.83"/>
    <s v="11"/>
    <s v="6100"/>
    <n v="-32425.63"/>
    <n v="74.8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3"/>
    <d v="2023-07-03T19:04:58"/>
    <s v="Y"/>
    <s v="Preparation - other"/>
    <s v="VHCC"/>
    <s v="Profit Cost"/>
    <s v="JML 65"/>
    <s v="Y"/>
    <n v="448.63"/>
    <n v="89.72"/>
    <x v="3"/>
    <s v="VALIDATED"/>
    <n v="1"/>
    <s v="01.11.80.203.6100.0000"/>
    <n v="448.63"/>
    <s v="11"/>
    <s v="6100"/>
    <n v="-32425.63"/>
    <n v="448.6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9"/>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3"/>
    <d v="2023-07-03T19:04:58"/>
    <s v="Y"/>
    <s v="Preparation - other"/>
    <s v="VHCC"/>
    <s v="Profit Cost"/>
    <s v="JML 65"/>
    <s v="Y"/>
    <n v="613.91"/>
    <n v="122.77"/>
    <x v="3"/>
    <s v="VALIDATED"/>
    <n v="1"/>
    <s v="01.11.80.203.6100.0000"/>
    <n v="613.91"/>
    <s v="11"/>
    <s v="6100"/>
    <n v="-32425.63"/>
    <n v="613.9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4"/>
    <d v="2023-07-03T19:04:58"/>
    <s v="Y"/>
    <s v="Preparation - other"/>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
    <d v="2023-07-03T19:04:58"/>
    <s v="Y"/>
    <s v="Preparation - other"/>
    <s v="VHCC"/>
    <s v="Profit Cost"/>
    <s v="JML 65"/>
    <s v="Y"/>
    <n v="23.61"/>
    <n v="4.72"/>
    <x v="3"/>
    <s v="VALIDATED"/>
    <n v="1"/>
    <s v="01.11.80.203.6100.0000"/>
    <n v="23.61"/>
    <s v="11"/>
    <s v="6100"/>
    <n v="-32425.63"/>
    <n v="23.6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6"/>
    <d v="2023-07-10T19:02:05"/>
    <s v="Y"/>
    <s v="Preparation - drafting instructions"/>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4"/>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2"/>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8"/>
    <d v="2023-07-10T19:02:05"/>
    <s v="Y"/>
    <s v="Attendance upon other"/>
    <s v="Non Family Hourly Rates"/>
    <s v="Profit Cost"/>
    <s v="LG"/>
    <s v="Y"/>
    <n v="75.14"/>
    <n v="0"/>
    <x v="2"/>
    <s v="VALIDATED"/>
    <n v="1"/>
    <s v="01.11.80.203.6100.0000"/>
    <n v="75.14"/>
    <s v="11"/>
    <s v="6100"/>
    <n v="-32425.63"/>
    <n v="75.1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0"/>
    <d v="2023-07-10T19:02:05"/>
    <s v="Y"/>
    <s v="Preparation - other"/>
    <s v="Non Family Hourly Rates"/>
    <s v="Profit Cost"/>
    <s v="CB"/>
    <s v="Y"/>
    <n v="21.47"/>
    <n v="0"/>
    <x v="2"/>
    <s v="VALIDATED"/>
    <n v="1"/>
    <s v="01.11.80.203.6100.0000"/>
    <n v="21.47"/>
    <s v="11"/>
    <s v="6100"/>
    <n v="-32425.63"/>
    <n v="21.47"/>
    <s v="DEBTOR"/>
    <n v="0"/>
    <n v="0"/>
    <n v="0"/>
    <n v="0"/>
    <n v="0"/>
  </r>
  <r>
    <n v="62505835"/>
    <s v="N"/>
    <n v="21349453"/>
    <s v="3000016462370001"/>
    <s v="CIVIL"/>
    <d v="2023-06-29T00:00:00"/>
    <d v="2023-07-10T19:01:40"/>
    <m/>
    <d v="2023-07-10T00:00:00"/>
    <n v="1878"/>
    <n v="1547"/>
    <s v="62505835"/>
    <s v="62505835"/>
    <m/>
    <m/>
    <n v="22788222"/>
    <m/>
    <m/>
    <m/>
    <s v="SOLFIN"/>
    <s v="SOLFIN"/>
    <s v="CCMS"/>
    <n v="21349453"/>
    <n v="1212.58"/>
    <m/>
    <s v="N"/>
    <n v="1"/>
    <d v="2023-07-10T19:01:50"/>
    <s v="Y"/>
    <s v="Routine Letter In"/>
    <s v="Care Remuneration Hourly Rates"/>
    <s v="Profit Cost"/>
    <s v="HPY"/>
    <s v="Y"/>
    <n v="41.44"/>
    <n v="8.289999999999999"/>
    <x v="2"/>
    <s v="VALIDATED"/>
    <n v="1"/>
    <s v="01.11.80.308.6100.0000"/>
    <n v="41.44"/>
    <s v="11"/>
    <s v="6100"/>
    <n v="-32425.63"/>
    <n v="41.4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6"/>
    <d v="2023-07-10T19:01:45"/>
    <s v="Y"/>
    <s v="Preparation - other"/>
    <s v="Care Remuneration Hourly Rates"/>
    <s v="Profit Cost"/>
    <s v="AMA 30"/>
    <s v="Y"/>
    <n v="7.18"/>
    <n v="1.44"/>
    <x v="2"/>
    <s v="VALIDATED"/>
    <n v="1"/>
    <s v="01.11.80.308.6100.0000"/>
    <n v="7.18"/>
    <s v="11"/>
    <s v="6100"/>
    <n v="-32425.63"/>
    <n v="7.1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
    <d v="2023-07-10T19:01:45"/>
    <s v="N"/>
    <s v="Preparation - drafting statement"/>
    <s v="Care Remuneration Hourly Rates"/>
    <s v="Profit Cost"/>
    <s v="JBL 30"/>
    <s v="N"/>
    <n v="71.81"/>
    <n v="14.36"/>
    <x v="2"/>
    <s v="VALIDATED"/>
    <n v="1"/>
    <s v="01.11.80.308.6100.0000"/>
    <n v="71.81"/>
    <s v="11"/>
    <s v="6100"/>
    <n v="-32425.63"/>
    <n v="71.8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0"/>
    <d v="2023-07-10T19:01:45"/>
    <s v="Y"/>
    <s v="Preparation - other"/>
    <s v="Care Remuneration Hourly Rates"/>
    <s v="Profit Cost"/>
    <s v="AGI 30"/>
    <s v="Y"/>
    <n v="21.54"/>
    <n v="4.31"/>
    <x v="2"/>
    <s v="VALIDATED"/>
    <n v="1"/>
    <s v="01.11.80.308.6100.0000"/>
    <n v="21.54"/>
    <s v="11"/>
    <s v="6100"/>
    <n v="-32425.63"/>
    <n v="21.54"/>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4"/>
    <d v="2023-07-06T19:21:25"/>
    <s v="Y"/>
    <s v="Routine Letter Out"/>
    <s v="Care Remuneration Hourly Rates"/>
    <s v="Profit Cost"/>
    <s v="NBS"/>
    <s v="Y"/>
    <n v="280.07"/>
    <n v="56.02"/>
    <x v="4"/>
    <s v="VALIDATED"/>
    <n v="1"/>
    <s v="01.11.80.308.6100.0000"/>
    <n v="280.07"/>
    <s v="11"/>
    <s v="6100"/>
    <n v="-32425.63"/>
    <n v="280.0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8"/>
    <d v="2023-07-05T19:01:55"/>
    <s v="Y"/>
    <s v="Advocacy - In court behind Counsel"/>
    <s v="Non Family Hourly Rates"/>
    <s v="Advocacy"/>
    <s v="HRL"/>
    <s v="Y"/>
    <n v="36.63"/>
    <n v="7.33"/>
    <x v="6"/>
    <s v="VALIDATED"/>
    <n v="1"/>
    <s v="01.11.80.203.6100.0000"/>
    <n v="36.63"/>
    <s v="11"/>
    <s v="6100"/>
    <n v="-32425.63"/>
    <n v="36.63"/>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8"/>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0"/>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8"/>
    <d v="2023-07-03T19:04:58"/>
    <s v="Y"/>
    <s v="Preparation - other"/>
    <s v="VHCC"/>
    <s v="Profit Cost"/>
    <s v="JML"/>
    <s v="Y"/>
    <n v="7.16"/>
    <n v="1.43"/>
    <x v="3"/>
    <s v="VALIDATED"/>
    <n v="1"/>
    <s v="01.11.80.203.6100.0000"/>
    <n v="7.16"/>
    <s v="11"/>
    <s v="6100"/>
    <n v="-32425.63"/>
    <n v="7.16"/>
    <s v="DEBTOR"/>
    <n v="0"/>
    <n v="0"/>
    <n v="0"/>
    <n v="0"/>
    <n v="0"/>
  </r>
  <r>
    <n v="61960531"/>
    <s v="N"/>
    <n v="21321715"/>
    <s v="3000015998290001"/>
    <s v="CIVIL"/>
    <d v="2023-06-29T00:00:00"/>
    <d v="2023-07-03T19:05:17"/>
    <m/>
    <d v="2023-07-03T00:00:00"/>
    <n v="1878"/>
    <n v="1547"/>
    <s v="61960531"/>
    <s v="61960531"/>
    <m/>
    <m/>
    <n v="22785424"/>
    <m/>
    <m/>
    <m/>
    <s v="SOLPOA"/>
    <s v="SOLPOA"/>
    <s v="CCMS"/>
    <n v="21321715"/>
    <n v="882.59"/>
    <m/>
    <s v="N"/>
    <n v="1"/>
    <d v="2023-07-03T19:05:20"/>
    <s v="N"/>
    <s v="Profit Cost"/>
    <s v="Profit Cost"/>
    <s v="Profit Cost"/>
    <s v="HPY"/>
    <s v="N"/>
    <n v="735.49"/>
    <n v="147.1"/>
    <x v="3"/>
    <s v="VALIDATED"/>
    <n v="1"/>
    <s v="01.11.80.305.2012.0000"/>
    <n v="735.49"/>
    <s v="11"/>
    <s v="2012"/>
    <n v="-32425.63"/>
    <n v="735.4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8"/>
    <d v="2023-07-03T19:04:58"/>
    <s v="Y"/>
    <s v="Attendance upon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4"/>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3"/>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8"/>
    <d v="2023-07-03T19:04:58"/>
    <s v="Y"/>
    <s v="Preparation - other"/>
    <s v="VHCC"/>
    <s v="Profit Cost"/>
    <s v="JML"/>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6"/>
    <d v="2023-07-03T19:04:58"/>
    <s v="Y"/>
    <s v="Travel - other"/>
    <s v="VHCC"/>
    <s v="Profit Cost"/>
    <s v="MJS"/>
    <s v="Y"/>
    <n v="65.84999999999999"/>
    <n v="13.17"/>
    <x v="3"/>
    <s v="VALIDATED"/>
    <n v="1"/>
    <s v="01.11.80.203.6100.0000"/>
    <n v="65.84999999999999"/>
    <s v="11"/>
    <s v="6100"/>
    <n v="-32425.63"/>
    <n v="65.8499999999999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9"/>
    <d v="2023-07-03T19:04:58"/>
    <s v="Y"/>
    <s v="Preparation - drafting bill/claim f"/>
    <s v="VHCC"/>
    <s v="Profit Cost"/>
    <s v="LD"/>
    <s v="Y"/>
    <n v="829.98"/>
    <n v="165.98"/>
    <x v="3"/>
    <s v="VALIDATED"/>
    <n v="1"/>
    <s v="01.11.80.203.6100.0000"/>
    <n v="829.98"/>
    <s v="11"/>
    <s v="6100"/>
    <n v="-32425.63"/>
    <n v="829.98"/>
    <s v="DEBTOR"/>
    <n v="0"/>
    <n v="0"/>
    <n v="0"/>
    <n v="0"/>
    <n v="0"/>
  </r>
  <r>
    <n v="59773071"/>
    <s v="N"/>
    <n v="21392646"/>
    <s v="3000014124260002"/>
    <s v="CIVIL"/>
    <d v="2023-06-14T00:00:00"/>
    <d v="2023-07-18T19:00:27"/>
    <m/>
    <d v="2023-07-18T00:00:00"/>
    <n v="1878"/>
    <n v="1547"/>
    <s v="59773071"/>
    <s v="59773071"/>
    <m/>
    <m/>
    <n v="22686976"/>
    <m/>
    <m/>
    <m/>
    <s v="SOLFIN"/>
    <s v="SOLFIN"/>
    <s v="CCMS"/>
    <n v="21392646"/>
    <n v="1220.15"/>
    <m/>
    <s v="N"/>
    <n v="32"/>
    <d v="2023-07-18T19:00:56"/>
    <s v="Y"/>
    <s v="Routine Telephone Call"/>
    <s v="Non Family Hourly Rates"/>
    <s v="Profit Cost"/>
    <s v="MSK"/>
    <s v="Y"/>
    <n v="11.22"/>
    <n v="2.24"/>
    <x v="14"/>
    <s v="VALIDATED"/>
    <n v="1"/>
    <s v="01.11.80.203.6100.0000"/>
    <n v="11.22"/>
    <s v="11"/>
    <s v="6100"/>
    <n v="-32425.63"/>
    <n v="11.22"/>
    <s v="DEBTOR"/>
    <n v="0"/>
    <n v="0"/>
    <n v="0"/>
    <n v="0"/>
    <n v="0"/>
  </r>
  <r>
    <n v="8733210"/>
    <s v="N"/>
    <n v="21403533"/>
    <s v="3000004746670021"/>
    <s v="CIVIL"/>
    <d v="2023-06-06T00:00:00"/>
    <d v="2023-07-20T19:22:20"/>
    <m/>
    <d v="2023-07-20T00:00:00"/>
    <n v="1878"/>
    <n v="1547"/>
    <s v="8733210"/>
    <s v="8733210"/>
    <m/>
    <m/>
    <n v="22629506"/>
    <m/>
    <m/>
    <m/>
    <s v="SOLFIN"/>
    <s v="SOLFIN"/>
    <s v="CCMS"/>
    <n v="21403533"/>
    <n v="4211.9"/>
    <m/>
    <s v="N"/>
    <n v="55"/>
    <d v="2023-07-20T19:22:42"/>
    <s v="Y"/>
    <s v="Preparation - other"/>
    <s v="Non Family Hourly Rates"/>
    <s v="Profit Cost"/>
    <s v="BSS"/>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67"/>
    <d v="2023-07-03T19:02:10"/>
    <s v="Y"/>
    <s v="Routine Letter Out"/>
    <s v="Prescribed Hourly Rates"/>
    <s v="Profit Cost"/>
    <s v="MAE 15"/>
    <s v="Y"/>
    <n v="1198.53"/>
    <n v="239.7"/>
    <x v="3"/>
    <s v="VALIDATED"/>
    <n v="1"/>
    <s v="01.11.80.305.6100.0000"/>
    <n v="1198.53"/>
    <s v="11"/>
    <s v="6100"/>
    <n v="-32425.63"/>
    <n v="1198.53"/>
    <s v="DEBTOR"/>
    <n v="0"/>
    <n v="0"/>
    <n v="0"/>
    <n v="0"/>
    <n v="0"/>
  </r>
  <r>
    <n v="61742173"/>
    <s v="N"/>
    <n v="21319086"/>
    <s v="3000015815100003"/>
    <s v="CIVIL"/>
    <d v="2023-06-23T00:00:00"/>
    <d v="2023-07-03T19:01:49"/>
    <m/>
    <d v="2023-07-03T00:00:00"/>
    <n v="1878"/>
    <n v="1547"/>
    <s v="61742173"/>
    <s v="61742173"/>
    <m/>
    <m/>
    <n v="22750850"/>
    <m/>
    <m/>
    <m/>
    <s v="SOLFIN"/>
    <s v="SOLFIN"/>
    <s v="CCMS"/>
    <n v="21319086"/>
    <n v="5246"/>
    <m/>
    <s v="N"/>
    <n v="61"/>
    <d v="2023-07-03T19:02:10"/>
    <s v="Y"/>
    <s v="Preparation - drafting application"/>
    <s v="Prescribed Hourly Rates"/>
    <s v="Profit Cost"/>
    <s v="MAE 15"/>
    <s v="Y"/>
    <n v="13.66"/>
    <n v="2.73"/>
    <x v="3"/>
    <s v="VALIDATED"/>
    <n v="1"/>
    <s v="01.11.80.305.6100.0000"/>
    <n v="13.66"/>
    <s v="11"/>
    <s v="6100"/>
    <n v="-32425.63"/>
    <n v="13.6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2"/>
    <d v="2023-07-10T19:02:05"/>
    <s v="Y"/>
    <s v="Waiting at court"/>
    <s v="Non Family Hourly Rates"/>
    <s v="Profit Cost"/>
    <s v="CB"/>
    <s v="Y"/>
    <n v="8.98"/>
    <n v="0"/>
    <x v="2"/>
    <s v="VALIDATED"/>
    <n v="1"/>
    <s v="01.11.80.203.6100.0000"/>
    <n v="8.98"/>
    <s v="11"/>
    <s v="6100"/>
    <n v="-32425.63"/>
    <n v="8.9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
    <d v="2023-07-10T19:02:05"/>
    <s v="Y"/>
    <s v="Court Fee"/>
    <s v="Non Family Hourly Rates"/>
    <s v="Non Expert Disbursement"/>
    <s v="XXX"/>
    <s v="Y"/>
    <n v="154"/>
    <n v="0"/>
    <x v="2"/>
    <s v="VALIDATED"/>
    <n v="1"/>
    <s v="01.11.80.203.6300.0000"/>
    <n v="154"/>
    <s v="11"/>
    <s v="6300"/>
    <n v="-32425.63"/>
    <n v="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2"/>
    <d v="2023-07-10T19:02:05"/>
    <s v="Y"/>
    <s v="Preparation - drafting attendance n"/>
    <s v="Non Family Hourly Rates"/>
    <s v="Profit Cost"/>
    <s v="LG"/>
    <s v="Y"/>
    <n v="35.78"/>
    <n v="0"/>
    <x v="2"/>
    <s v="VALIDATED"/>
    <n v="1"/>
    <s v="01.11.80.203.6100.0000"/>
    <n v="35.78"/>
    <s v="11"/>
    <s v="6100"/>
    <n v="-32425.63"/>
    <n v="35.7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6"/>
    <d v="2023-07-10T19:02:05"/>
    <s v="Y"/>
    <s v="Attendance upon other"/>
    <s v="Non Family Hourly Rates"/>
    <s v="Profit Cost"/>
    <s v="LG"/>
    <s v="Y"/>
    <n v="21.47"/>
    <n v="0"/>
    <x v="2"/>
    <s v="VALIDATED"/>
    <n v="1"/>
    <s v="01.11.80.203.6100.0000"/>
    <n v="21.47"/>
    <s v="11"/>
    <s v="6100"/>
    <n v="-32425.63"/>
    <n v="21.4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6"/>
    <d v="2023-07-10T19:01:45"/>
    <s v="Y"/>
    <s v="Preparation - drafting statement"/>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6"/>
    <d v="2023-07-10T19:01:45"/>
    <s v="Y"/>
    <s v="Preparation - other"/>
    <s v="Care Remuneration Hourly Rates"/>
    <s v="Profit Cost"/>
    <s v="AMA"/>
    <s v="Y"/>
    <n v="5.52"/>
    <n v="1.1"/>
    <x v="2"/>
    <s v="VALIDATED"/>
    <n v="1"/>
    <s v="01.11.80.308.6100.0000"/>
    <n v="5.52"/>
    <s v="11"/>
    <s v="6100"/>
    <n v="-32425.63"/>
    <n v="5.5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6"/>
    <d v="2023-07-10T19:02:05"/>
    <s v="Y"/>
    <s v="Attendance upon client"/>
    <s v="Non Family Hourly Rates"/>
    <s v="Profit Cost"/>
    <s v="LG"/>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0"/>
    <d v="2023-07-10T19:02:05"/>
    <s v="Y"/>
    <s v="Preparation - drafting instructions"/>
    <s v="Non Family Hourly Rates"/>
    <s v="Profit Cost"/>
    <s v="LG"/>
    <s v="Y"/>
    <n v="107.33"/>
    <n v="0"/>
    <x v="2"/>
    <s v="VALIDATED"/>
    <n v="1"/>
    <s v="01.11.80.203.6100.0000"/>
    <n v="107.33"/>
    <s v="11"/>
    <s v="6100"/>
    <n v="-32425.63"/>
    <n v="107.3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6"/>
    <d v="2023-07-05T19:02:06"/>
    <s v="Y"/>
    <s v="Preparation - other"/>
    <s v="VHCC"/>
    <s v="Profit Cost"/>
    <s v="PFA 60"/>
    <s v="Y"/>
    <n v="22.9"/>
    <n v="4.58"/>
    <x v="6"/>
    <s v="VALIDATED"/>
    <n v="1"/>
    <s v="01.11.80.203.6100.0000"/>
    <n v="22.9"/>
    <s v="11"/>
    <s v="6100"/>
    <n v="-32425.63"/>
    <n v="22.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3"/>
    <d v="2023-07-05T19:02:09"/>
    <s v="Y"/>
    <s v="Preparation -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8"/>
    <d v="2023-07-05T19:02:06"/>
    <s v="Y"/>
    <s v="Preparation - other"/>
    <s v="VHCC"/>
    <s v="Profit Cost"/>
    <s v="SHL 60"/>
    <s v="Y"/>
    <n v="114.48"/>
    <n v="22.9"/>
    <x v="6"/>
    <s v="VALIDATED"/>
    <n v="1"/>
    <s v="01.11.80.203.6100.0000"/>
    <n v="114.48"/>
    <s v="11"/>
    <s v="6100"/>
    <n v="-32425.63"/>
    <n v="114.4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3"/>
    <d v="2023-07-05T19:02:09"/>
    <s v="Y"/>
    <s v="Attendance upon other"/>
    <s v="VHCC"/>
    <s v="Profit Cost"/>
    <s v="SHL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9"/>
    <d v="2023-07-05T19:02:06"/>
    <s v="Y"/>
    <s v="Attendance upon Counsel"/>
    <s v="VHCC"/>
    <s v="Profit Cost"/>
    <s v="SHL"/>
    <s v="Y"/>
    <n v="26.64"/>
    <n v="5.33"/>
    <x v="6"/>
    <s v="VALIDATED"/>
    <n v="1"/>
    <s v="01.11.80.203.6100.0000"/>
    <n v="26.64"/>
    <s v="11"/>
    <s v="6100"/>
    <n v="-32425.63"/>
    <n v="26.6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5"/>
    <d v="2023-07-05T19:02:06"/>
    <s v="Y"/>
    <s v="Preparation - other"/>
    <s v="VHCC"/>
    <s v="Profit Cost"/>
    <s v="GLE"/>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6"/>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9"/>
    <d v="2023-07-05T19:01:55"/>
    <s v="Y"/>
    <s v="Attendance upon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8"/>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2"/>
    <d v="2023-07-05T19:01:55"/>
    <s v="Y"/>
    <s v="Preparation - other"/>
    <s v="Non Family Hourly Rates"/>
    <s v="Profit Cost"/>
    <s v="HRL 50"/>
    <s v="Y"/>
    <n v="32.21"/>
    <n v="6.44"/>
    <x v="6"/>
    <s v="VALIDATED"/>
    <n v="1"/>
    <s v="01.11.80.203.6100.0000"/>
    <n v="32.21"/>
    <s v="11"/>
    <s v="6100"/>
    <n v="-32425.63"/>
    <n v="32.2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8"/>
    <d v="2023-07-03T19:04:58"/>
    <s v="Y"/>
    <s v="Attendance upon Counsel"/>
    <s v="VHCC"/>
    <s v="Profit Cost"/>
    <s v="JML"/>
    <s v="Y"/>
    <n v="16.65"/>
    <n v="3.33"/>
    <x v="3"/>
    <s v="VALIDATED"/>
    <n v="1"/>
    <s v="01.11.80.203.6100.0000"/>
    <n v="16.65"/>
    <s v="11"/>
    <s v="6100"/>
    <n v="-32425.63"/>
    <n v="16.6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8"/>
    <d v="2023-07-03T19:04:58"/>
    <s v="Y"/>
    <s v="Preparation - drafting application"/>
    <s v="VHCC"/>
    <s v="Profit Cost"/>
    <s v="JML"/>
    <s v="Y"/>
    <n v="28.62"/>
    <n v="5.72"/>
    <x v="3"/>
    <s v="VALIDATED"/>
    <n v="1"/>
    <s v="01.11.80.203.6100.0000"/>
    <n v="28.62"/>
    <s v="11"/>
    <s v="6100"/>
    <n v="-32425.63"/>
    <n v="28.62"/>
    <s v="DEBTOR"/>
    <n v="0"/>
    <n v="0"/>
    <n v="0"/>
    <n v="0"/>
    <n v="0"/>
  </r>
  <r>
    <n v="61544836"/>
    <s v="N"/>
    <n v="21321413"/>
    <s v="3000015653200006"/>
    <s v="CIVIL"/>
    <d v="2023-06-29T00:00:00"/>
    <d v="2023-07-03T19:05:17"/>
    <m/>
    <d v="2023-07-03T00:00:00"/>
    <n v="1878"/>
    <n v="1547"/>
    <s v="61544836"/>
    <s v="61544836"/>
    <m/>
    <m/>
    <n v="22786736"/>
    <m/>
    <m/>
    <m/>
    <s v="SOLPOA"/>
    <s v="SOLPOA"/>
    <s v="CCMS"/>
    <n v="21321413"/>
    <n v="1200"/>
    <m/>
    <s v="N"/>
    <n v="1"/>
    <d v="2023-07-03T19:05:18"/>
    <s v="N"/>
    <s v="Expert Cost"/>
    <s v="Expert Cost"/>
    <s v="Expert Disbursement"/>
    <s v="MJS"/>
    <s v="N"/>
    <n v="1000"/>
    <n v="200"/>
    <x v="3"/>
    <s v="VALIDATED"/>
    <n v="1"/>
    <s v="01.11.80.203.2012.0000"/>
    <n v="1000"/>
    <s v="11"/>
    <s v="2012"/>
    <n v="-32425.63"/>
    <n v="1000"/>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
    <d v="2023-07-03T19:04:58"/>
    <s v="Y"/>
    <s v="Preparation - drafting attendance n"/>
    <s v="VHCC"/>
    <s v="Profit Cost"/>
    <s v="JML"/>
    <s v="Y"/>
    <n v="7.16"/>
    <n v="1.43"/>
    <x v="3"/>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64"/>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83"/>
    <d v="2023-07-20T19:22:42"/>
    <s v="Y"/>
    <s v="Preparation - other"/>
    <s v="Non Family Hourly Rates"/>
    <s v="Profit Cost"/>
    <s v="BSS"/>
    <s v="Y"/>
    <n v="25.2"/>
    <n v="5.04"/>
    <x v="13"/>
    <s v="VALIDATED"/>
    <n v="1"/>
    <s v="01.11.80.201.6100.0000"/>
    <n v="25.2"/>
    <s v="11"/>
    <s v="6100"/>
    <n v="-32425.63"/>
    <n v="25.2"/>
    <s v="DEBTOR"/>
    <n v="0"/>
    <n v="0"/>
    <n v="0"/>
    <n v="0"/>
    <n v="0"/>
  </r>
  <r>
    <n v="8733210"/>
    <s v="N"/>
    <n v="21403533"/>
    <s v="3000004746670021"/>
    <s v="CIVIL"/>
    <d v="2023-06-06T00:00:00"/>
    <d v="2023-07-20T19:22:20"/>
    <m/>
    <d v="2023-07-20T00:00:00"/>
    <n v="1878"/>
    <n v="1547"/>
    <s v="8733210"/>
    <s v="8733210"/>
    <m/>
    <m/>
    <n v="22629506"/>
    <m/>
    <m/>
    <m/>
    <s v="SOLFIN"/>
    <s v="SOLFIN"/>
    <s v="CCMS"/>
    <n v="21403533"/>
    <n v="4211.9"/>
    <m/>
    <s v="N"/>
    <n v="109"/>
    <d v="2023-07-20T19:22:42"/>
    <s v="Y"/>
    <s v="Preparation - other"/>
    <s v="Non Family Hourly Rates"/>
    <s v="Profit Cost"/>
    <s v="NAO"/>
    <s v="Y"/>
    <n v="75.59999999999999"/>
    <n v="15.12"/>
    <x v="13"/>
    <s v="VALIDATED"/>
    <n v="1"/>
    <s v="01.11.80.201.6100.0000"/>
    <n v="75.59999999999999"/>
    <s v="11"/>
    <s v="6100"/>
    <n v="-32425.63"/>
    <n v="75.599999999999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9"/>
    <d v="2023-07-05T19:01:55"/>
    <s v="Y"/>
    <s v="Preparation - other"/>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0"/>
    <d v="2023-07-05T19:01:55"/>
    <s v="Y"/>
    <s v="Preparation - other"/>
    <s v="Non Family Hourly Rates"/>
    <s v="Profit Cost"/>
    <s v="GLE"/>
    <s v="Y"/>
    <n v="71.55"/>
    <n v="14.31"/>
    <x v="6"/>
    <s v="VALIDATED"/>
    <n v="1"/>
    <s v="01.11.80.203.6100.0000"/>
    <n v="71.55"/>
    <s v="11"/>
    <s v="6100"/>
    <n v="-32425.63"/>
    <n v="71.5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8"/>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8"/>
    <d v="2023-07-05T19:01:55"/>
    <s v="Y"/>
    <s v="Preparation - other"/>
    <s v="Non Family Hourly Rates"/>
    <s v="Profit Cost"/>
    <s v="GLE"/>
    <s v="Y"/>
    <n v="50.09"/>
    <n v="10.02"/>
    <x v="6"/>
    <s v="VALIDATED"/>
    <n v="1"/>
    <s v="01.11.80.203.6100.0000"/>
    <n v="50.09"/>
    <s v="11"/>
    <s v="6100"/>
    <n v="-32425.63"/>
    <n v="50.0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7"/>
    <d v="2023-07-05T19:02:06"/>
    <s v="Y"/>
    <s v="Attendance upon client"/>
    <s v="VHCC"/>
    <s v="Profit Cost"/>
    <s v="GLE 60"/>
    <s v="Y"/>
    <n v="103.03"/>
    <n v="20.61"/>
    <x v="6"/>
    <s v="VALIDATED"/>
    <n v="1"/>
    <s v="01.11.80.203.6100.0000"/>
    <n v="103.03"/>
    <s v="11"/>
    <s v="6100"/>
    <n v="-32425.63"/>
    <n v="103.0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2"/>
    <d v="2023-07-05T19:01:55"/>
    <s v="Y"/>
    <s v="Attendance upon client"/>
    <s v="Non Family Hourly Rates"/>
    <s v="Profit Cost"/>
    <s v="HRL 50"/>
    <s v="Y"/>
    <n v="107.33"/>
    <n v="21.47"/>
    <x v="6"/>
    <s v="VALIDATED"/>
    <n v="1"/>
    <s v="01.11.80.203.6100.0000"/>
    <n v="107.33"/>
    <s v="11"/>
    <s v="6100"/>
    <n v="-32425.63"/>
    <n v="107.33"/>
    <s v="DEBTOR"/>
    <n v="0"/>
    <n v="0"/>
    <n v="0"/>
    <n v="0"/>
    <n v="0"/>
  </r>
  <r>
    <n v="61742173"/>
    <s v="N"/>
    <n v="21319086"/>
    <s v="3000015815100003"/>
    <s v="CIVIL"/>
    <d v="2023-06-23T00:00:00"/>
    <d v="2023-07-03T19:01:49"/>
    <m/>
    <d v="2023-07-03T00:00:00"/>
    <n v="1878"/>
    <n v="1547"/>
    <s v="61742173"/>
    <s v="61742173"/>
    <m/>
    <m/>
    <n v="22750850"/>
    <m/>
    <m/>
    <m/>
    <s v="SOLFIN"/>
    <s v="SOLFIN"/>
    <s v="CCMS"/>
    <n v="21319086"/>
    <n v="5246"/>
    <m/>
    <s v="N"/>
    <n v="49"/>
    <d v="2023-07-03T19:02:10"/>
    <s v="Y"/>
    <s v="Preparation - other"/>
    <s v="Prescribed Hourly Rates"/>
    <s v="Profit Cost"/>
    <s v="MAE 15"/>
    <s v="Y"/>
    <n v="6.83"/>
    <n v="1.37"/>
    <x v="3"/>
    <s v="VALIDATED"/>
    <n v="1"/>
    <s v="01.11.80.305.6100.0000"/>
    <n v="6.83"/>
    <s v="11"/>
    <s v="6100"/>
    <n v="-32425.63"/>
    <n v="6.83"/>
    <s v="DEBTOR"/>
    <n v="0"/>
    <n v="0"/>
    <n v="0"/>
    <n v="0"/>
    <n v="0"/>
  </r>
  <r>
    <n v="61742173"/>
    <s v="N"/>
    <n v="21319086"/>
    <s v="3000015815100003"/>
    <s v="CIVIL"/>
    <d v="2023-06-23T00:00:00"/>
    <d v="2023-07-03T19:01:49"/>
    <m/>
    <d v="2023-07-03T00:00:00"/>
    <n v="1878"/>
    <n v="1547"/>
    <s v="61742173"/>
    <s v="61742173"/>
    <m/>
    <m/>
    <n v="22750850"/>
    <m/>
    <m/>
    <m/>
    <s v="SOLFIN"/>
    <s v="SOLFIN"/>
    <s v="CCMS"/>
    <n v="21319086"/>
    <n v="5246"/>
    <m/>
    <s v="N"/>
    <n v="58"/>
    <d v="2023-07-03T19:02:10"/>
    <s v="Y"/>
    <s v="Preparation - drafting bill/claim f"/>
    <s v="Prescribed Hourly Rates"/>
    <s v="Profit Cost"/>
    <s v="MAE 15"/>
    <s v="Y"/>
    <n v="13.66"/>
    <n v="2.73"/>
    <x v="3"/>
    <s v="VALIDATED"/>
    <n v="1"/>
    <s v="01.11.80.305.6100.0000"/>
    <n v="13.66"/>
    <s v="11"/>
    <s v="6100"/>
    <n v="-32425.63"/>
    <n v="13.6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8"/>
    <d v="2023-07-03T19:04:58"/>
    <s v="Y"/>
    <s v="Attendance upon other"/>
    <s v="VHCC"/>
    <s v="Profit Cost"/>
    <s v="JML"/>
    <s v="Y"/>
    <n v="28.62"/>
    <n v="5.72"/>
    <x v="3"/>
    <s v="VALIDATED"/>
    <n v="1"/>
    <s v="01.11.80.203.6100.0000"/>
    <n v="28.62"/>
    <s v="11"/>
    <s v="6100"/>
    <n v="-32425.63"/>
    <n v="28.6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9"/>
    <d v="2023-07-03T19:04:58"/>
    <s v="Y"/>
    <s v="Attendance upon client"/>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7"/>
    <d v="2023-07-03T19:04:58"/>
    <s v="Y"/>
    <s v="Preparation - drafting attendance n"/>
    <s v="VHCC"/>
    <s v="Profit Cost"/>
    <s v="JML"/>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4"/>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6"/>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0"/>
    <d v="2023-07-03T19:04:58"/>
    <s v="Y"/>
    <s v="Waiting - other"/>
    <s v="VHCC"/>
    <s v="Profit Cost"/>
    <s v="JML"/>
    <s v="Y"/>
    <n v="2.99"/>
    <n v="0.6"/>
    <x v="3"/>
    <s v="VALIDATED"/>
    <n v="1"/>
    <s v="01.11.80.203.6100.0000"/>
    <n v="2.99"/>
    <s v="11"/>
    <s v="6100"/>
    <n v="-32425.63"/>
    <n v="2.9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3"/>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8"/>
    <d v="2023-07-03T19:04:58"/>
    <s v="Y"/>
    <s v="Preparation - other"/>
    <s v="VHCC"/>
    <s v="Profit Cost"/>
    <s v="JML 65"/>
    <s v="Y"/>
    <n v="11.81"/>
    <n v="2.36"/>
    <x v="3"/>
    <s v="VALIDATED"/>
    <n v="1"/>
    <s v="01.11.80.203.6100.0000"/>
    <n v="11.81"/>
    <s v="11"/>
    <s v="6100"/>
    <n v="-32425.63"/>
    <n v="11.8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
    <d v="2023-07-18T19:00:56"/>
    <s v="Y"/>
    <s v="Preparation - other"/>
    <s v="Non Family Hourly Rates"/>
    <s v="Profit Cost"/>
    <s v="MSK 50"/>
    <s v="Y"/>
    <n v="17.15"/>
    <n v="3.43"/>
    <x v="14"/>
    <s v="VALIDATED"/>
    <n v="1"/>
    <s v="01.11.80.203.6100.0000"/>
    <n v="17.15"/>
    <s v="11"/>
    <s v="6100"/>
    <n v="-32425.63"/>
    <n v="17.15"/>
    <s v="DEBTOR"/>
    <n v="0"/>
    <n v="0"/>
    <n v="0"/>
    <n v="0"/>
    <n v="0"/>
  </r>
  <r>
    <n v="59773071"/>
    <s v="N"/>
    <n v="21392646"/>
    <s v="3000014124260002"/>
    <s v="CIVIL"/>
    <d v="2023-06-14T00:00:00"/>
    <d v="2023-07-18T19:00:27"/>
    <m/>
    <d v="2023-07-18T00:00:00"/>
    <n v="1878"/>
    <n v="1547"/>
    <s v="59773071"/>
    <s v="59773071"/>
    <m/>
    <m/>
    <n v="22686976"/>
    <m/>
    <m/>
    <m/>
    <s v="SOLFIN"/>
    <s v="SOLFIN"/>
    <s v="CCMS"/>
    <n v="21392646"/>
    <n v="1220.15"/>
    <m/>
    <s v="N"/>
    <n v="4"/>
    <d v="2023-07-18T19:00:56"/>
    <s v="Y"/>
    <s v="Preparation - other"/>
    <s v="Non Family Hourly Rates"/>
    <s v="Profit Cost"/>
    <s v="MSK"/>
    <s v="Y"/>
    <n v="14.31"/>
    <n v="2.86"/>
    <x v="14"/>
    <s v="VALIDATED"/>
    <n v="1"/>
    <s v="01.11.80.203.6100.0000"/>
    <n v="14.31"/>
    <s v="11"/>
    <s v="6100"/>
    <n v="-32425.63"/>
    <n v="14.31"/>
    <s v="DEBTOR"/>
    <n v="0"/>
    <n v="0"/>
    <n v="0"/>
    <n v="0"/>
    <n v="0"/>
  </r>
  <r>
    <n v="8733210"/>
    <s v="N"/>
    <n v="21403533"/>
    <s v="3000004746670021"/>
    <s v="CIVIL"/>
    <d v="2023-06-06T00:00:00"/>
    <d v="2023-07-20T19:22:20"/>
    <m/>
    <d v="2023-07-20T00:00:00"/>
    <n v="1878"/>
    <n v="1547"/>
    <s v="8733210"/>
    <s v="8733210"/>
    <m/>
    <m/>
    <n v="22629506"/>
    <m/>
    <m/>
    <m/>
    <s v="SOLFIN"/>
    <s v="SOLFIN"/>
    <s v="CCMS"/>
    <n v="21403533"/>
    <n v="4211.9"/>
    <m/>
    <s v="N"/>
    <n v="87"/>
    <d v="2023-07-20T19:22:42"/>
    <s v="Y"/>
    <s v="Preparation - other"/>
    <s v="Non Family Hourly Rates"/>
    <s v="Profit Cost"/>
    <s v="BSS"/>
    <s v="Y"/>
    <n v="18.9"/>
    <n v="3.78"/>
    <x v="13"/>
    <s v="VALIDATED"/>
    <n v="1"/>
    <s v="01.11.80.201.6100.0000"/>
    <n v="18.9"/>
    <s v="11"/>
    <s v="6100"/>
    <n v="-32425.63"/>
    <n v="18.9"/>
    <s v="DEBTOR"/>
    <n v="0"/>
    <n v="0"/>
    <n v="0"/>
    <n v="0"/>
    <n v="0"/>
  </r>
  <r>
    <n v="61742173"/>
    <s v="N"/>
    <n v="21319086"/>
    <s v="3000015815100003"/>
    <s v="CIVIL"/>
    <d v="2023-06-23T00:00:00"/>
    <d v="2023-07-03T19:01:49"/>
    <m/>
    <d v="2023-07-03T00:00:00"/>
    <n v="1878"/>
    <n v="1547"/>
    <s v="61742173"/>
    <s v="61742173"/>
    <m/>
    <m/>
    <n v="22750850"/>
    <m/>
    <m/>
    <m/>
    <s v="SOLFIN"/>
    <s v="SOLFIN"/>
    <s v="CCMS"/>
    <n v="21319086"/>
    <n v="5246"/>
    <m/>
    <s v="N"/>
    <n v="28"/>
    <d v="2023-07-03T19:02:10"/>
    <s v="Y"/>
    <s v="Preparation - other"/>
    <s v="Prescribed Hourly Rates"/>
    <s v="Profit Cost"/>
    <s v="MAE 15"/>
    <s v="Y"/>
    <n v="13.66"/>
    <n v="2.73"/>
    <x v="3"/>
    <s v="VALIDATED"/>
    <n v="1"/>
    <s v="01.11.80.305.6100.0000"/>
    <n v="13.66"/>
    <s v="11"/>
    <s v="6100"/>
    <n v="-32425.63"/>
    <n v="13.6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7"/>
    <d v="2023-07-10T19:01:45"/>
    <s v="Y"/>
    <s v="Preparation - drafting statement"/>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01"/>
    <d v="2023-07-10T19:01:45"/>
    <s v="Y"/>
    <s v="Final Hearing - 1 Day"/>
    <s v="Public Law Children"/>
    <s v="Advocacy"/>
    <s v="AGI"/>
    <s v="Y"/>
    <n v="556.88"/>
    <n v="111.37"/>
    <x v="2"/>
    <s v="VALIDATED"/>
    <n v="1"/>
    <s v="01.11.80.308.6100.0000"/>
    <n v="556.88"/>
    <s v="11"/>
    <s v="6100"/>
    <n v="-32425.63"/>
    <n v="556.8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0"/>
    <d v="2023-07-10T19:01:45"/>
    <s v="Y"/>
    <s v="Preparation - other"/>
    <s v="Care Remuneration Hourly Rates"/>
    <s v="Profit Cost"/>
    <s v="AGI 30"/>
    <s v="Y"/>
    <n v="28.73"/>
    <n v="5.75"/>
    <x v="2"/>
    <s v="VALIDATED"/>
    <n v="1"/>
    <s v="01.11.80.308.6100.0000"/>
    <n v="28.73"/>
    <s v="11"/>
    <s v="6100"/>
    <n v="-32425.63"/>
    <n v="28.7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
    <d v="2023-07-10T19:02:05"/>
    <s v="Y"/>
    <s v="Interpreter"/>
    <s v="Non Family Hourly Rates"/>
    <s v="Expert Disbursement"/>
    <s v="XXX"/>
    <s v="Y"/>
    <n v="20.83"/>
    <n v="4.17"/>
    <x v="2"/>
    <s v="VALIDATED"/>
    <n v="1"/>
    <s v="01.11.80.203.6300.0000"/>
    <n v="20.83"/>
    <s v="11"/>
    <s v="6300"/>
    <n v="-32425.63"/>
    <n v="20.8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8"/>
    <d v="2023-07-10T19:02:05"/>
    <s v="Y"/>
    <s v="Preparation - drafting applicatio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5"/>
    <d v="2023-07-10T19:02:05"/>
    <s v="Y"/>
    <s v="Attendance upon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8"/>
    <d v="2023-07-10T19:02:05"/>
    <s v="Y"/>
    <s v="Preparation - drafting statement"/>
    <s v="Non Family Hourly Rates"/>
    <s v="Profit Cost"/>
    <s v="LG"/>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9"/>
    <d v="2023-07-10T19:02:05"/>
    <s v="Y"/>
    <s v="Preparation - other"/>
    <s v="Non Family Hourly Rates"/>
    <s v="Profit Cost"/>
    <s v="CB"/>
    <s v="Y"/>
    <n v="96.59999999999999"/>
    <n v="0"/>
    <x v="2"/>
    <s v="VALIDATED"/>
    <n v="1"/>
    <s v="01.11.80.203.6100.0000"/>
    <n v="96.59999999999999"/>
    <s v="11"/>
    <s v="6100"/>
    <n v="-32425.63"/>
    <n v="96.599999999999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0"/>
    <d v="2023-07-10T19:02:05"/>
    <s v="Y"/>
    <s v="Attendance upon/with Counsel at Con"/>
    <s v="Non Family Hourly Rates"/>
    <s v="Profit Cost"/>
    <s v="LG"/>
    <s v="Y"/>
    <n v="9.99"/>
    <n v="0"/>
    <x v="2"/>
    <s v="VALIDATED"/>
    <n v="1"/>
    <s v="01.11.80.203.6100.0000"/>
    <n v="9.99"/>
    <s v="11"/>
    <s v="6100"/>
    <n v="-32425.63"/>
    <n v="9.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3"/>
    <d v="2023-07-10T19:02:05"/>
    <s v="Y"/>
    <s v="Preparation - other"/>
    <s v="Non Family Hourly Rates"/>
    <s v="Profit Cost"/>
    <s v="CB"/>
    <s v="Y"/>
    <n v="10.74"/>
    <n v="0"/>
    <x v="2"/>
    <s v="VALIDATED"/>
    <n v="1"/>
    <s v="01.11.80.203.6100.0000"/>
    <n v="10.74"/>
    <s v="11"/>
    <s v="6100"/>
    <n v="-32425.63"/>
    <n v="10.74"/>
    <s v="DEBTOR"/>
    <n v="0"/>
    <n v="0"/>
    <n v="0"/>
    <n v="0"/>
    <n v="0"/>
  </r>
  <r>
    <n v="59677260"/>
    <s v="N"/>
    <n v="21331257"/>
    <s v="3000014052440026"/>
    <s v="CIVIL"/>
    <d v="2023-06-30T00:00:00"/>
    <d v="2023-07-05T19:01:47"/>
    <m/>
    <d v="2023-07-05T00:00:00"/>
    <n v="1878"/>
    <n v="1547"/>
    <s v="59677260"/>
    <s v="59677260"/>
    <m/>
    <m/>
    <n v="22798826"/>
    <m/>
    <m/>
    <m/>
    <s v="SOLINT"/>
    <s v="SOLINT"/>
    <s v="CCMS"/>
    <n v="21331257"/>
    <n v="4736.2"/>
    <m/>
    <s v="N"/>
    <n v="22"/>
    <d v="2023-07-05T19:02:12"/>
    <s v="Y"/>
    <s v="Attendance upon other"/>
    <s v="VHCC"/>
    <s v="Profit Cost"/>
    <s v="GLE"/>
    <s v="Y"/>
    <n v="164.57"/>
    <n v="32.91"/>
    <x v="6"/>
    <s v="VALIDATED"/>
    <n v="1"/>
    <s v="01.11.80.203.6100.0000"/>
    <n v="164.57"/>
    <s v="11"/>
    <s v="6100"/>
    <n v="-32425.63"/>
    <n v="164.5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8"/>
    <d v="2023-07-05T19:02:06"/>
    <s v="Y"/>
    <s v="Attendance upon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7"/>
    <d v="2023-07-05T19:02:06"/>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9"/>
    <d v="2023-07-05T19:02:06"/>
    <s v="Y"/>
    <s v="Preparation - other"/>
    <s v="VHCC"/>
    <s v="Profit Cost"/>
    <s v="SHL 60"/>
    <s v="Y"/>
    <n v="57.24"/>
    <n v="11.45"/>
    <x v="6"/>
    <s v="VALIDATED"/>
    <n v="1"/>
    <s v="01.11.80.203.6100.0000"/>
    <n v="57.24"/>
    <s v="11"/>
    <s v="6100"/>
    <n v="-32425.63"/>
    <n v="57.2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1"/>
    <d v="2023-07-05T19:02:06"/>
    <s v="Y"/>
    <s v="Attendance upon other"/>
    <s v="VHCC"/>
    <s v="Profit Cost"/>
    <s v="PFA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8"/>
    <d v="2023-07-05T19:02:06"/>
    <s v="Y"/>
    <s v="Preparation - drafting statement"/>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1"/>
    <d v="2023-07-05T19:02:06"/>
    <s v="Y"/>
    <s v="Preparation - drafting attendance n"/>
    <s v="VHCC"/>
    <s v="Profit Cost"/>
    <s v="KBN"/>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3"/>
    <d v="2023-07-05T19:02:06"/>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7"/>
    <d v="2023-07-05T19:02:06"/>
    <s v="Y"/>
    <s v="Attendance upon Counsel"/>
    <s v="VHCC"/>
    <s v="Profit Cost"/>
    <s v="SHL"/>
    <s v="Y"/>
    <n v="39.96"/>
    <n v="7.99"/>
    <x v="6"/>
    <s v="VALIDATED"/>
    <n v="1"/>
    <s v="01.11.80.203.6100.0000"/>
    <n v="39.96"/>
    <s v="11"/>
    <s v="6100"/>
    <n v="-32425.63"/>
    <n v="39.9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
    <d v="2023-07-05T19:02:06"/>
    <s v="Y"/>
    <s v="Travel to attend client"/>
    <s v="VHCC"/>
    <s v="Profit Cost"/>
    <s v="SHL"/>
    <s v="Y"/>
    <n v="32.92"/>
    <n v="6.58"/>
    <x v="6"/>
    <s v="VALIDATED"/>
    <n v="1"/>
    <s v="01.11.80.203.6100.0000"/>
    <n v="32.92"/>
    <s v="11"/>
    <s v="6100"/>
    <n v="-32425.63"/>
    <n v="32.9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2"/>
    <d v="2023-07-05T19:01:55"/>
    <s v="Y"/>
    <s v="Attendance upon other"/>
    <s v="Non Family Hourly Rates"/>
    <s v="Profit Cost"/>
    <s v="HRL 50"/>
    <s v="Y"/>
    <n v="21.47"/>
    <n v="4.29"/>
    <x v="6"/>
    <s v="VALIDATED"/>
    <n v="1"/>
    <s v="01.11.80.203.6100.0000"/>
    <n v="21.47"/>
    <s v="11"/>
    <s v="6100"/>
    <n v="-32425.63"/>
    <n v="21.47"/>
    <s v="DEBTOR"/>
    <n v="0"/>
    <n v="0"/>
    <n v="0"/>
    <n v="0"/>
    <n v="0"/>
  </r>
  <r>
    <n v="8733210"/>
    <s v="N"/>
    <n v="21403533"/>
    <s v="3000004746670021"/>
    <s v="CIVIL"/>
    <d v="2023-06-06T00:00:00"/>
    <d v="2023-07-20T19:22:20"/>
    <m/>
    <d v="2023-07-20T00:00:00"/>
    <n v="1878"/>
    <n v="1547"/>
    <s v="8733210"/>
    <s v="8733210"/>
    <m/>
    <m/>
    <n v="22629506"/>
    <m/>
    <m/>
    <m/>
    <s v="SOLFIN"/>
    <s v="SOLFIN"/>
    <s v="CCMS"/>
    <n v="21403533"/>
    <n v="4211.9"/>
    <m/>
    <s v="N"/>
    <n v="25"/>
    <d v="2023-07-20T19:22:42"/>
    <s v="Y"/>
    <s v="Preparation - drafting bill/claim f"/>
    <s v="Non Family Hourly Rates"/>
    <s v="Profit Cost"/>
    <s v="BSS"/>
    <s v="Y"/>
    <n v="25.2"/>
    <n v="5.04"/>
    <x v="13"/>
    <s v="VALIDATED"/>
    <n v="1"/>
    <s v="01.11.80.201.6100.0000"/>
    <n v="25.2"/>
    <s v="11"/>
    <s v="6100"/>
    <n v="-32425.63"/>
    <n v="25.2"/>
    <s v="DEBTOR"/>
    <n v="0"/>
    <n v="0"/>
    <n v="0"/>
    <n v="0"/>
    <n v="0"/>
  </r>
  <r>
    <n v="8733210"/>
    <s v="N"/>
    <n v="21403533"/>
    <s v="3000004746670021"/>
    <s v="CIVIL"/>
    <d v="2023-06-06T00:00:00"/>
    <d v="2023-07-20T19:22:20"/>
    <m/>
    <d v="2023-07-20T00:00:00"/>
    <n v="1878"/>
    <n v="1547"/>
    <s v="8733210"/>
    <s v="8733210"/>
    <m/>
    <m/>
    <n v="22629506"/>
    <m/>
    <m/>
    <m/>
    <s v="SOLFIN"/>
    <s v="SOLFIN"/>
    <s v="CCMS"/>
    <n v="21403533"/>
    <n v="4211.9"/>
    <m/>
    <s v="N"/>
    <n v="62"/>
    <d v="2023-07-20T19:22:42"/>
    <s v="Y"/>
    <s v="Preparation - other"/>
    <s v="Non Family Hourly Rates"/>
    <s v="Profit Cost"/>
    <s v="BSS"/>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100"/>
    <d v="2023-07-20T19:22:42"/>
    <s v="Y"/>
    <s v="Waiting - other"/>
    <s v="Non Family Hourly Rates"/>
    <s v="Profit Cost"/>
    <s v="GMT"/>
    <s v="Y"/>
    <n v="2.63"/>
    <n v="0.53"/>
    <x v="13"/>
    <s v="VALIDATED"/>
    <n v="1"/>
    <s v="01.11.80.201.6100.0000"/>
    <n v="2.63"/>
    <s v="11"/>
    <s v="6100"/>
    <n v="-32425.63"/>
    <n v="2.63"/>
    <s v="DEBTOR"/>
    <n v="0"/>
    <n v="0"/>
    <n v="0"/>
    <n v="0"/>
    <n v="0"/>
  </r>
  <r>
    <n v="61742173"/>
    <s v="N"/>
    <n v="21319086"/>
    <s v="3000015815100003"/>
    <s v="CIVIL"/>
    <d v="2023-06-23T00:00:00"/>
    <d v="2023-07-03T19:01:49"/>
    <m/>
    <d v="2023-07-03T00:00:00"/>
    <n v="1878"/>
    <n v="1547"/>
    <s v="61742173"/>
    <s v="61742173"/>
    <m/>
    <m/>
    <n v="22750850"/>
    <m/>
    <m/>
    <m/>
    <s v="SOLFIN"/>
    <s v="SOLFIN"/>
    <s v="CCMS"/>
    <n v="21319086"/>
    <n v="5246"/>
    <m/>
    <s v="N"/>
    <n v="24"/>
    <d v="2023-07-03T19:02:10"/>
    <s v="Y"/>
    <s v="Preparation - drafting notice(s)"/>
    <s v="Prescribed Hourly Rates"/>
    <s v="Profit Cost"/>
    <s v="HHS"/>
    <s v="Y"/>
    <n v="5.94"/>
    <n v="1.19"/>
    <x v="3"/>
    <s v="VALIDATED"/>
    <n v="1"/>
    <s v="01.11.80.305.6100.0000"/>
    <n v="5.94"/>
    <s v="11"/>
    <s v="6100"/>
    <n v="-32425.63"/>
    <n v="5.9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9"/>
    <d v="2023-07-10T19:01:45"/>
    <s v="Y"/>
    <s v="Preparation - other"/>
    <s v="Care Remuneration Hourly Rates"/>
    <s v="Profit Cost"/>
    <s v="JBL 30"/>
    <s v="Y"/>
    <n v="7.18"/>
    <n v="1.44"/>
    <x v="2"/>
    <s v="VALIDATED"/>
    <n v="1"/>
    <s v="01.11.80.308.6100.0000"/>
    <n v="7.18"/>
    <s v="11"/>
    <s v="6100"/>
    <n v="-32425.63"/>
    <n v="7.1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
    <d v="2023-07-10T19:01:45"/>
    <s v="N"/>
    <s v="Preparation - drafting statement"/>
    <s v="Care Remuneration Hourly Rates"/>
    <s v="Profit Cost"/>
    <s v="JBL 30"/>
    <s v="N"/>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3"/>
    <d v="2023-07-10T19:01:45"/>
    <s v="Y"/>
    <s v="Preparation - other"/>
    <s v="Care Remuneration Hourly Rates"/>
    <s v="Profit Cost"/>
    <s v="JBL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9"/>
    <d v="2023-07-10T19:02:05"/>
    <s v="Y"/>
    <s v="Preparation - drafting application"/>
    <s v="Non Family Hourly Rates"/>
    <s v="Profit Cost"/>
    <s v="CB"/>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4"/>
    <d v="2023-07-10T19:02:05"/>
    <s v="Y"/>
    <s v="Preparation - other"/>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6"/>
    <d v="2023-07-10T19:02:05"/>
    <s v="Y"/>
    <s v="Preparation - other"/>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7"/>
    <d v="2023-07-10T19:02:05"/>
    <s v="Y"/>
    <s v="Attendance upon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6"/>
    <d v="2023-07-10T19:02:05"/>
    <s v="Y"/>
    <s v="Preparation - drafting attendance n"/>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3"/>
    <d v="2023-07-10T19:02:05"/>
    <s v="Y"/>
    <s v="Preparation - other"/>
    <s v="Non Family Hourly Rates"/>
    <s v="Profit Cost"/>
    <s v="LG"/>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8"/>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2"/>
    <d v="2023-07-10T19:02:05"/>
    <s v="Y"/>
    <s v="Preparation - drafting statement"/>
    <s v="Non Family Hourly Rates"/>
    <s v="Profit Cost"/>
    <s v="LG"/>
    <s v="Y"/>
    <n v="21.47"/>
    <n v="0"/>
    <x v="2"/>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1"/>
    <d v="2023-07-05T19:02:06"/>
    <s v="Y"/>
    <s v="Attendance upon other"/>
    <s v="VHCC"/>
    <s v="Profit Cost"/>
    <s v="SHL 60"/>
    <s v="Y"/>
    <n v="45.79"/>
    <n v="9.16"/>
    <x v="6"/>
    <s v="VALIDATED"/>
    <n v="1"/>
    <s v="01.11.80.203.6100.0000"/>
    <n v="45.79"/>
    <s v="11"/>
    <s v="6100"/>
    <n v="-32425.63"/>
    <n v="45.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1"/>
    <d v="2023-07-05T19:01:55"/>
    <s v="Y"/>
    <s v="Travel to attend client"/>
    <s v="Non Family Hourly Rates"/>
    <s v="Profit Cost"/>
    <s v="HRL"/>
    <s v="Y"/>
    <n v="89.79000000000001"/>
    <n v="17.96"/>
    <x v="6"/>
    <s v="VALIDATED"/>
    <n v="1"/>
    <s v="01.11.80.203.6100.0000"/>
    <n v="89.79000000000001"/>
    <s v="11"/>
    <s v="6100"/>
    <n v="-32425.63"/>
    <n v="89.79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7"/>
    <d v="2023-07-05T19:01:55"/>
    <s v="Y"/>
    <s v="Preparation -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
    <d v="2023-07-05T19:01:55"/>
    <s v="Y"/>
    <s v="Solicitor Travel Expenses"/>
    <s v="Non Family Hourly Rates"/>
    <s v="Non Expert Disbursement"/>
    <s v="HRL"/>
    <s v="Y"/>
    <n v="6.4"/>
    <n v="1.28"/>
    <x v="6"/>
    <s v="VALIDATED"/>
    <n v="1"/>
    <s v="01.11.80.203.6300.0000"/>
    <n v="6.4"/>
    <s v="11"/>
    <s v="6300"/>
    <n v="-32425.63"/>
    <n v="6.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3"/>
    <d v="2023-07-05T19:01:55"/>
    <s v="Y"/>
    <s v="Preparation - other"/>
    <s v="Non Family Hourly Rates"/>
    <s v="Profit Cost"/>
    <s v="HRL 50"/>
    <s v="Y"/>
    <n v="53.67"/>
    <n v="10.73"/>
    <x v="6"/>
    <s v="VALIDATED"/>
    <n v="1"/>
    <s v="01.11.80.203.6100.0000"/>
    <n v="53.67"/>
    <s v="11"/>
    <s v="6100"/>
    <n v="-32425.63"/>
    <n v="53.6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0"/>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2"/>
    <d v="2023-07-03T19:04:58"/>
    <s v="Y"/>
    <s v="Attendance upon other"/>
    <s v="VHCC"/>
    <s v="Profit Cost"/>
    <s v="MJS"/>
    <s v="Y"/>
    <n v="14.31"/>
    <n v="2.86"/>
    <x v="3"/>
    <s v="VALIDATED"/>
    <n v="1"/>
    <s v="01.11.80.203.6100.0000"/>
    <n v="14.31"/>
    <s v="11"/>
    <s v="6100"/>
    <n v="-32425.63"/>
    <n v="14.31"/>
    <s v="DEBTOR"/>
    <n v="0"/>
    <n v="0"/>
    <n v="0"/>
    <n v="0"/>
    <n v="0"/>
  </r>
  <r>
    <n v="61742173"/>
    <s v="N"/>
    <n v="21319086"/>
    <s v="3000015815100003"/>
    <s v="CIVIL"/>
    <d v="2023-06-23T00:00:00"/>
    <d v="2023-07-03T19:01:49"/>
    <m/>
    <d v="2023-07-03T00:00:00"/>
    <n v="1878"/>
    <n v="1547"/>
    <s v="61742173"/>
    <s v="61742173"/>
    <m/>
    <m/>
    <n v="22750850"/>
    <m/>
    <m/>
    <m/>
    <s v="SOLFIN"/>
    <s v="SOLFIN"/>
    <s v="CCMS"/>
    <n v="21319086"/>
    <n v="5246"/>
    <m/>
    <s v="N"/>
    <n v="70"/>
    <d v="2023-07-03T19:02:10"/>
    <s v="Y"/>
    <s v="Routine Letter In"/>
    <s v="Prescribed Hourly Rates"/>
    <s v="Profit Cost"/>
    <s v="HHS"/>
    <s v="Y"/>
    <n v="13.5"/>
    <n v="2.7"/>
    <x v="3"/>
    <s v="VALIDATED"/>
    <n v="1"/>
    <s v="01.11.80.305.6100.0000"/>
    <n v="13.5"/>
    <s v="11"/>
    <s v="6100"/>
    <n v="-32425.63"/>
    <n v="13.5"/>
    <s v="DEBTOR"/>
    <n v="0"/>
    <n v="0"/>
    <n v="0"/>
    <n v="0"/>
    <n v="0"/>
  </r>
  <r>
    <n v="61742173"/>
    <s v="N"/>
    <n v="21319086"/>
    <s v="3000015815100003"/>
    <s v="CIVIL"/>
    <d v="2023-06-23T00:00:00"/>
    <d v="2023-07-03T19:01:49"/>
    <m/>
    <d v="2023-07-03T00:00:00"/>
    <n v="1878"/>
    <n v="1547"/>
    <s v="61742173"/>
    <s v="61742173"/>
    <m/>
    <m/>
    <n v="22750850"/>
    <m/>
    <m/>
    <m/>
    <s v="SOLFIN"/>
    <s v="SOLFIN"/>
    <s v="CCMS"/>
    <n v="21319086"/>
    <n v="5246"/>
    <m/>
    <s v="N"/>
    <n v="34"/>
    <d v="2023-07-03T19:02:10"/>
    <s v="Y"/>
    <s v="Attendance upon client"/>
    <s v="Prescribed Hourly Rates"/>
    <s v="Profit Cost"/>
    <s v="MAE 15"/>
    <s v="Y"/>
    <n v="122.96"/>
    <n v="24.59"/>
    <x v="3"/>
    <s v="VALIDATED"/>
    <n v="1"/>
    <s v="01.11.80.305.6100.0000"/>
    <n v="122.96"/>
    <s v="11"/>
    <s v="6100"/>
    <n v="-32425.63"/>
    <n v="122.9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8"/>
    <d v="2023-07-10T19:01:45"/>
    <s v="Y"/>
    <s v="Preparation - drafting statement"/>
    <s v="Care Remuneration Hourly Rates"/>
    <s v="Profit Cost"/>
    <s v="JBL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7"/>
    <d v="2023-07-10T19:02:05"/>
    <s v="Y"/>
    <s v="Preparation - drafting application"/>
    <s v="Non Family Hourly Rates"/>
    <s v="Profit Cost"/>
    <s v="CB"/>
    <s v="Y"/>
    <n v="57.24"/>
    <n v="0"/>
    <x v="2"/>
    <s v="VALIDATED"/>
    <n v="1"/>
    <s v="01.11.80.203.6100.0000"/>
    <n v="57.24"/>
    <s v="11"/>
    <s v="6100"/>
    <n v="-32425.63"/>
    <n v="57.2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2"/>
    <d v="2023-07-10T19:02:05"/>
    <s v="Y"/>
    <s v="Attendance upon client"/>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7"/>
    <d v="2023-07-10T19:02:05"/>
    <s v="Y"/>
    <s v="Preparation - drafting consent orde"/>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8"/>
    <d v="2023-07-10T19:02:05"/>
    <s v="Y"/>
    <s v="Preparation - other"/>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4"/>
    <d v="2023-07-10T19:02:05"/>
    <s v="Y"/>
    <s v="Preparation - drafting attendance n"/>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5"/>
    <d v="2023-07-10T19:02:05"/>
    <s v="Y"/>
    <s v="Preparation - drafting attendance n"/>
    <s v="Non Family Hourly Rates"/>
    <s v="Profit Cost"/>
    <s v="LG"/>
    <s v="Y"/>
    <n v="7.16"/>
    <n v="0"/>
    <x v="2"/>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4"/>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1"/>
    <d v="2023-07-05T19:01:55"/>
    <s v="Y"/>
    <s v="Travel to attend client"/>
    <s v="Non Family Hourly Rates"/>
    <s v="Profit Cost"/>
    <s v="HRL"/>
    <s v="Y"/>
    <n v="92.78"/>
    <n v="18.56"/>
    <x v="6"/>
    <s v="VALIDATED"/>
    <n v="1"/>
    <s v="01.11.80.203.6100.0000"/>
    <n v="92.78"/>
    <s v="11"/>
    <s v="6100"/>
    <n v="-32425.63"/>
    <n v="92.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0"/>
    <d v="2023-07-05T19:01:55"/>
    <s v="Y"/>
    <s v="Preparation - other"/>
    <s v="Non Family Hourly Rates"/>
    <s v="Profit Cost"/>
    <s v="HRL 50"/>
    <s v="Y"/>
    <n v="236.12"/>
    <n v="47.22"/>
    <x v="6"/>
    <s v="VALIDATED"/>
    <n v="1"/>
    <s v="01.11.80.203.6100.0000"/>
    <n v="236.12"/>
    <s v="11"/>
    <s v="6100"/>
    <n v="-32425.63"/>
    <n v="236.1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1"/>
    <d v="2023-07-05T19:02:06"/>
    <s v="Y"/>
    <s v="Preparation - drafting statement"/>
    <s v="VHCC"/>
    <s v="Profit Cost"/>
    <s v="SHL 60"/>
    <s v="Y"/>
    <n v="34.34"/>
    <n v="6.87"/>
    <x v="6"/>
    <s v="VALIDATED"/>
    <n v="1"/>
    <s v="01.11.80.203.6100.0000"/>
    <n v="34.34"/>
    <s v="11"/>
    <s v="6100"/>
    <n v="-32425.63"/>
    <n v="34.3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
    <d v="2023-07-05T19:01:55"/>
    <s v="Y"/>
    <s v="Waiting - other"/>
    <s v="Non Family Hourly Rates"/>
    <s v="Profit Cost"/>
    <s v="HRL"/>
    <s v="Y"/>
    <n v="5.99"/>
    <n v="1.2"/>
    <x v="6"/>
    <s v="VALIDATED"/>
    <n v="1"/>
    <s v="01.11.80.203.6100.0000"/>
    <n v="5.99"/>
    <s v="11"/>
    <s v="6100"/>
    <n v="-32425.63"/>
    <n v="5.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
    <d v="2023-07-05T19:01:55"/>
    <s v="Y"/>
    <s v="Preparation - drafting statement"/>
    <s v="Non Family Hourly Rates"/>
    <s v="Profit Cost"/>
    <s v="HRL 50"/>
    <s v="Y"/>
    <n v="214.65"/>
    <n v="42.93"/>
    <x v="6"/>
    <s v="VALIDATED"/>
    <n v="1"/>
    <s v="01.11.80.203.6100.0000"/>
    <n v="214.65"/>
    <s v="11"/>
    <s v="6100"/>
    <n v="-32425.63"/>
    <n v="214.6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8"/>
    <d v="2023-07-05T19:01:55"/>
    <s v="Y"/>
    <s v="Waiting - other"/>
    <s v="Non Family Hourly Rates"/>
    <s v="Profit Cost"/>
    <s v="HRL"/>
    <s v="Y"/>
    <n v="2.99"/>
    <n v="0.6"/>
    <x v="6"/>
    <s v="VALIDATED"/>
    <n v="1"/>
    <s v="01.11.80.203.6100.0000"/>
    <n v="2.99"/>
    <s v="11"/>
    <s v="6100"/>
    <n v="-32425.63"/>
    <n v="2.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1"/>
    <d v="2023-07-05T19:01:55"/>
    <s v="Y"/>
    <s v="Preparation - other"/>
    <s v="Non Family Hourly Rates"/>
    <s v="Profit Cost"/>
    <s v="HRL 50"/>
    <s v="Y"/>
    <n v="279.05"/>
    <n v="55.81"/>
    <x v="6"/>
    <s v="VALIDATED"/>
    <n v="1"/>
    <s v="01.11.80.203.6100.0000"/>
    <n v="279.05"/>
    <s v="11"/>
    <s v="6100"/>
    <n v="-32425.63"/>
    <n v="279.0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4"/>
    <d v="2023-07-05T19:01:55"/>
    <s v="Y"/>
    <s v="Preparation - other"/>
    <s v="Non Family Hourly Rates"/>
    <s v="Profit Cost"/>
    <s v="HRL 50"/>
    <s v="Y"/>
    <n v="107.33"/>
    <n v="21.47"/>
    <x v="6"/>
    <s v="VALIDATED"/>
    <n v="1"/>
    <s v="01.11.80.203.6100.0000"/>
    <n v="107.33"/>
    <s v="11"/>
    <s v="6100"/>
    <n v="-32425.63"/>
    <n v="107.3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5"/>
    <d v="2023-07-05T19:01:55"/>
    <s v="Y"/>
    <s v="Preparation - other"/>
    <s v="Non Family Hourly Rates"/>
    <s v="Profit Cost"/>
    <s v="HRL 50"/>
    <s v="Y"/>
    <n v="171.72"/>
    <n v="34.34"/>
    <x v="6"/>
    <s v="VALIDATED"/>
    <n v="1"/>
    <s v="01.11.80.203.6100.0000"/>
    <n v="171.72"/>
    <s v="11"/>
    <s v="6100"/>
    <n v="-32425.63"/>
    <n v="171.7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0"/>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4"/>
    <d v="2023-07-05T19:01:55"/>
    <s v="Y"/>
    <s v="Preparation - drafting bill/claim f"/>
    <s v="Non Family Hourly Rates"/>
    <s v="Profit Cost"/>
    <s v="GLE"/>
    <s v="Y"/>
    <n v="71.55"/>
    <n v="14.31"/>
    <x v="6"/>
    <s v="VALIDATED"/>
    <n v="1"/>
    <s v="01.11.80.203.6100.0000"/>
    <n v="71.55"/>
    <s v="11"/>
    <s v="6100"/>
    <n v="-32425.63"/>
    <n v="71.5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7"/>
    <d v="2023-07-05T19:01:55"/>
    <s v="Y"/>
    <s v="Preparation - other"/>
    <s v="Non Family Hourly Rates"/>
    <s v="Profit Cost"/>
    <s v="GLE 50"/>
    <s v="Y"/>
    <n v="268.32"/>
    <n v="53.66"/>
    <x v="6"/>
    <s v="VALIDATED"/>
    <n v="1"/>
    <s v="01.11.80.203.6100.0000"/>
    <n v="268.32"/>
    <s v="11"/>
    <s v="6100"/>
    <n v="-32425.63"/>
    <n v="268.3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7"/>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6"/>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4"/>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3"/>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5"/>
    <d v="2023-07-03T19:04:58"/>
    <s v="Y"/>
    <s v="Preparation - other"/>
    <s v="VHCC"/>
    <s v="Profit Cost"/>
    <s v="JML 65"/>
    <s v="Y"/>
    <n v="212.51"/>
    <n v="42.5"/>
    <x v="3"/>
    <s v="VALIDATED"/>
    <n v="1"/>
    <s v="01.11.80.203.6100.0000"/>
    <n v="212.51"/>
    <s v="11"/>
    <s v="6100"/>
    <n v="-32425.63"/>
    <n v="212.5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7"/>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
    <d v="2023-07-03T19:04:58"/>
    <s v="Y"/>
    <s v="Preparation - other"/>
    <s v="VHCC"/>
    <s v="Profit Cost"/>
    <s v="JML"/>
    <s v="Y"/>
    <n v="21.47"/>
    <n v="4.29"/>
    <x v="3"/>
    <s v="VALIDATED"/>
    <n v="1"/>
    <s v="01.11.80.203.6100.0000"/>
    <n v="21.47"/>
    <s v="11"/>
    <s v="6100"/>
    <n v="-32425.63"/>
    <n v="21.47"/>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1"/>
    <d v="2023-07-18T19:00:56"/>
    <s v="Y"/>
    <s v="Preparation - drafting attendance n"/>
    <s v="Non Family Hourly Rates"/>
    <s v="Profit Cost"/>
    <s v="MSK"/>
    <s v="Y"/>
    <n v="7.16"/>
    <n v="1.43"/>
    <x v="14"/>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95"/>
    <d v="2023-07-20T19:22:42"/>
    <s v="Y"/>
    <s v="Attendance upon other"/>
    <s v="Non Family Hourly Rates"/>
    <s v="Profit Cost"/>
    <s v="GMT"/>
    <s v="Y"/>
    <n v="18.9"/>
    <n v="3.78"/>
    <x v="13"/>
    <s v="VALIDATED"/>
    <n v="1"/>
    <s v="01.11.80.201.6100.0000"/>
    <n v="18.9"/>
    <s v="11"/>
    <s v="6100"/>
    <n v="-32425.63"/>
    <n v="18.9"/>
    <s v="DEBTOR"/>
    <n v="0"/>
    <n v="0"/>
    <n v="0"/>
    <n v="0"/>
    <n v="0"/>
  </r>
  <r>
    <n v="8733210"/>
    <s v="N"/>
    <n v="21403533"/>
    <s v="3000004746670021"/>
    <s v="CIVIL"/>
    <d v="2023-06-06T00:00:00"/>
    <d v="2023-07-20T19:22:20"/>
    <m/>
    <d v="2023-07-20T00:00:00"/>
    <n v="1878"/>
    <n v="1547"/>
    <s v="8733210"/>
    <s v="8733210"/>
    <m/>
    <m/>
    <n v="22629506"/>
    <m/>
    <m/>
    <m/>
    <s v="SOLFIN"/>
    <s v="SOLFIN"/>
    <s v="CCMS"/>
    <n v="21403533"/>
    <n v="4211.9"/>
    <m/>
    <s v="N"/>
    <n v="101"/>
    <d v="2023-07-20T19:22:42"/>
    <s v="Y"/>
    <s v="Attendance upon other"/>
    <s v="Non Family Hourly Rates"/>
    <s v="Profit Cost"/>
    <s v="GMT"/>
    <s v="Y"/>
    <n v="12.6"/>
    <n v="2.52"/>
    <x v="13"/>
    <s v="VALIDATED"/>
    <n v="1"/>
    <s v="01.11.80.201.6100.0000"/>
    <n v="12.6"/>
    <s v="11"/>
    <s v="6100"/>
    <n v="-32425.63"/>
    <n v="12.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2"/>
    <d v="2023-07-10T19:02:05"/>
    <s v="Y"/>
    <s v="Preparation - drafting attendance n"/>
    <s v="Non Family Hourly Rates"/>
    <s v="Profit Cost"/>
    <s v="LG"/>
    <s v="Y"/>
    <n v="7.16"/>
    <n v="0"/>
    <x v="2"/>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2"/>
    <d v="2023-07-10T19:01:45"/>
    <s v="Y"/>
    <s v="Preparation - other"/>
    <s v="Care Remuneration Hourly Rates"/>
    <s v="Profit Cost"/>
    <s v="AGI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5"/>
    <d v="2023-07-10T19:01:45"/>
    <s v="Y"/>
    <s v="Preparation - drafting application"/>
    <s v="Care Remuneration Hourly Rates"/>
    <s v="Profit Cost"/>
    <s v="JBL"/>
    <s v="Y"/>
    <n v="19.06"/>
    <n v="3.81"/>
    <x v="2"/>
    <s v="VALIDATED"/>
    <n v="1"/>
    <s v="01.11.80.308.6100.0000"/>
    <n v="19.06"/>
    <s v="11"/>
    <s v="6100"/>
    <n v="-32425.63"/>
    <n v="19.0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5"/>
    <d v="2023-07-05T19:02:06"/>
    <s v="Y"/>
    <s v="Travel to attend client"/>
    <s v="VHCC"/>
    <s v="Profit Cost"/>
    <s v="SHL"/>
    <s v="Y"/>
    <n v="44.9"/>
    <n v="8.98"/>
    <x v="6"/>
    <s v="VALIDATED"/>
    <n v="1"/>
    <s v="01.11.80.203.6100.0000"/>
    <n v="44.9"/>
    <s v="11"/>
    <s v="6100"/>
    <n v="-32425.63"/>
    <n v="44.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5"/>
    <d v="2023-07-05T19:02:06"/>
    <s v="Y"/>
    <s v="Preparation - other"/>
    <s v="VHCC"/>
    <s v="Profit Cost"/>
    <s v="SHL 60"/>
    <s v="Y"/>
    <n v="45.79"/>
    <n v="9.16"/>
    <x v="6"/>
    <s v="VALIDATED"/>
    <n v="1"/>
    <s v="01.11.80.203.6100.0000"/>
    <n v="45.79"/>
    <s v="11"/>
    <s v="6100"/>
    <n v="-32425.63"/>
    <n v="45.79"/>
    <s v="DEBTOR"/>
    <n v="0"/>
    <n v="0"/>
    <n v="0"/>
    <n v="0"/>
    <n v="0"/>
  </r>
  <r>
    <n v="59677260"/>
    <s v="N"/>
    <n v="21331257"/>
    <s v="3000014052440026"/>
    <s v="CIVIL"/>
    <d v="2023-06-30T00:00:00"/>
    <d v="2023-07-05T19:01:47"/>
    <m/>
    <d v="2023-07-05T00:00:00"/>
    <n v="1878"/>
    <n v="1547"/>
    <s v="59677260"/>
    <s v="59677260"/>
    <m/>
    <m/>
    <n v="22798826"/>
    <m/>
    <m/>
    <m/>
    <s v="SOLINT"/>
    <s v="SOLINT"/>
    <s v="CCMS"/>
    <n v="21331257"/>
    <n v="4736.2"/>
    <m/>
    <s v="N"/>
    <n v="39"/>
    <d v="2023-07-05T19:02:12"/>
    <s v="Y"/>
    <s v="Preparation - other"/>
    <s v="VHCC"/>
    <s v="Profit Cost"/>
    <s v="SHL 60"/>
    <s v="Y"/>
    <n v="57.24"/>
    <n v="11.45"/>
    <x v="6"/>
    <s v="VALIDATED"/>
    <n v="1"/>
    <s v="01.11.80.203.6100.0000"/>
    <n v="57.24"/>
    <s v="11"/>
    <s v="6100"/>
    <n v="-32425.63"/>
    <n v="57.24"/>
    <s v="DEBTOR"/>
    <n v="0"/>
    <n v="0"/>
    <n v="0"/>
    <n v="0"/>
    <n v="0"/>
  </r>
  <r>
    <n v="59677260"/>
    <s v="N"/>
    <n v="21331257"/>
    <s v="3000014052440026"/>
    <s v="CIVIL"/>
    <d v="2023-06-30T00:00:00"/>
    <d v="2023-07-05T19:01:47"/>
    <m/>
    <d v="2023-07-05T00:00:00"/>
    <n v="1878"/>
    <n v="1547"/>
    <s v="59677260"/>
    <s v="59677260"/>
    <m/>
    <m/>
    <n v="22798826"/>
    <m/>
    <m/>
    <m/>
    <s v="SOLINT"/>
    <s v="SOLINT"/>
    <s v="CCMS"/>
    <n v="21331257"/>
    <n v="4736.2"/>
    <m/>
    <s v="N"/>
    <n v="53"/>
    <d v="2023-07-05T19:02:12"/>
    <s v="Y"/>
    <s v="Item - Routine Outgoing letter"/>
    <s v="VHCC"/>
    <s v="Profit Cost"/>
    <s v="GLE"/>
    <s v="Y"/>
    <n v="472.5"/>
    <n v="94.5"/>
    <x v="6"/>
    <s v="VALIDATED"/>
    <n v="1"/>
    <s v="01.11.80.203.6100.0000"/>
    <n v="472.5"/>
    <s v="11"/>
    <s v="6100"/>
    <n v="-32425.63"/>
    <n v="472.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8"/>
    <d v="2023-07-05T19:01:55"/>
    <s v="Y"/>
    <s v="Preparation - other"/>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7"/>
    <d v="2023-07-05T19:01:55"/>
    <s v="Y"/>
    <s v="Preparation - drafting application"/>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
    <d v="2023-07-05T19:01:55"/>
    <s v="Y"/>
    <s v="Preparation - other"/>
    <s v="Non Family Hourly Rates"/>
    <s v="Profit Cost"/>
    <s v="HRL"/>
    <s v="Y"/>
    <n v="178.88"/>
    <n v="35.77"/>
    <x v="6"/>
    <s v="VALIDATED"/>
    <n v="1"/>
    <s v="01.11.80.203.6100.0000"/>
    <n v="178.88"/>
    <s v="11"/>
    <s v="6100"/>
    <n v="-32425.63"/>
    <n v="178.8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9"/>
    <d v="2023-07-05T19:01:55"/>
    <s v="Y"/>
    <s v="Preparation - drafting notice(s)"/>
    <s v="Non Family Hourly Rates"/>
    <s v="Profit Cost"/>
    <s v="HR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8"/>
    <d v="2023-07-05T19:02:06"/>
    <s v="Y"/>
    <s v="Preparation - other"/>
    <s v="VHCC"/>
    <s v="Profit Cost"/>
    <s v="GLE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7"/>
    <d v="2023-07-05T19:02:06"/>
    <s v="Y"/>
    <s v="Preparation - drafting statement"/>
    <s v="VHCC"/>
    <s v="Profit Cost"/>
    <s v="SHL 60"/>
    <s v="Y"/>
    <n v="91.58"/>
    <n v="18.32"/>
    <x v="6"/>
    <s v="VALIDATED"/>
    <n v="1"/>
    <s v="01.11.80.203.6100.0000"/>
    <n v="91.58"/>
    <s v="11"/>
    <s v="6100"/>
    <n v="-32425.63"/>
    <n v="91.5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9"/>
    <d v="2023-07-05T19:02:06"/>
    <s v="Y"/>
    <s v="Preparation - drafting statement"/>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1"/>
    <d v="2023-07-05T19:02:06"/>
    <s v="Y"/>
    <s v="Attendance upon Counsel"/>
    <s v="VHCC"/>
    <s v="Profit Cost"/>
    <s v="SHL"/>
    <s v="Y"/>
    <n v="19.98"/>
    <n v="4"/>
    <x v="6"/>
    <s v="VALIDATED"/>
    <n v="1"/>
    <s v="01.11.80.203.6100.0000"/>
    <n v="19.98"/>
    <s v="11"/>
    <s v="6100"/>
    <n v="-32425.63"/>
    <n v="19.9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0"/>
    <d v="2023-07-05T19:02:06"/>
    <s v="Y"/>
    <s v="Preparation - drafting application"/>
    <s v="VHCC"/>
    <s v="Profit Cost"/>
    <s v="SHL"/>
    <s v="Y"/>
    <n v="28.62"/>
    <n v="5.72"/>
    <x v="6"/>
    <s v="VALIDATED"/>
    <n v="1"/>
    <s v="01.11.80.203.6100.0000"/>
    <n v="28.62"/>
    <s v="11"/>
    <s v="6100"/>
    <n v="-32425.63"/>
    <n v="28.6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0"/>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3"/>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2"/>
    <d v="2023-07-03T19:04:58"/>
    <s v="Y"/>
    <s v="Preparation - other"/>
    <s v="VHCC"/>
    <s v="Profit Cost"/>
    <s v="PFA"/>
    <s v="Y"/>
    <n v="214.65"/>
    <n v="42.93"/>
    <x v="3"/>
    <s v="VALIDATED"/>
    <n v="1"/>
    <s v="01.11.80.203.6100.0000"/>
    <n v="214.65"/>
    <s v="11"/>
    <s v="6100"/>
    <n v="-32425.63"/>
    <n v="214.6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0"/>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
    <d v="2023-07-03T19:04:58"/>
    <s v="Y"/>
    <s v="Preparation - drafting statement"/>
    <s v="VHCC"/>
    <s v="Profit Cost"/>
    <s v="JML 65"/>
    <s v="Y"/>
    <n v="94.45"/>
    <n v="18.89"/>
    <x v="3"/>
    <s v="VALIDATED"/>
    <n v="1"/>
    <s v="01.11.80.203.6100.0000"/>
    <n v="94.45"/>
    <s v="11"/>
    <s v="6100"/>
    <n v="-32425.63"/>
    <n v="94.4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1"/>
    <d v="2023-07-03T19:04:58"/>
    <s v="Y"/>
    <s v="Preparation - other"/>
    <s v="VHCC"/>
    <s v="Profit Cost"/>
    <s v="JML 65"/>
    <s v="Y"/>
    <n v="23.61"/>
    <n v="4.72"/>
    <x v="3"/>
    <s v="VALIDATED"/>
    <n v="1"/>
    <s v="01.11.80.203.6100.0000"/>
    <n v="23.61"/>
    <s v="11"/>
    <s v="6100"/>
    <n v="-32425.63"/>
    <n v="23.61"/>
    <s v="DEBTOR"/>
    <n v="0"/>
    <n v="0"/>
    <n v="0"/>
    <n v="0"/>
    <n v="0"/>
  </r>
  <r>
    <n v="8733210"/>
    <s v="N"/>
    <n v="21403533"/>
    <s v="3000004746670021"/>
    <s v="CIVIL"/>
    <d v="2023-06-06T00:00:00"/>
    <d v="2023-07-20T19:22:20"/>
    <m/>
    <d v="2023-07-20T00:00:00"/>
    <n v="1878"/>
    <n v="1547"/>
    <s v="8733210"/>
    <s v="8733210"/>
    <m/>
    <m/>
    <n v="22629506"/>
    <m/>
    <m/>
    <m/>
    <s v="SOLFIN"/>
    <s v="SOLFIN"/>
    <s v="CCMS"/>
    <n v="21403533"/>
    <n v="4211.9"/>
    <m/>
    <s v="N"/>
    <n v="21"/>
    <d v="2023-07-20T19:22:42"/>
    <s v="Y"/>
    <s v="Travel to court"/>
    <s v="Non Family Hourly Rates"/>
    <s v="Profit Cost"/>
    <s v="ESL"/>
    <s v="Y"/>
    <n v="39.42"/>
    <n v="7.88"/>
    <x v="13"/>
    <s v="VALIDATED"/>
    <n v="1"/>
    <s v="01.11.80.201.6100.0000"/>
    <n v="39.42"/>
    <s v="11"/>
    <s v="6100"/>
    <n v="-32425.63"/>
    <n v="39.42"/>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6"/>
    <d v="2023-07-05T19:02:09"/>
    <s v="Y"/>
    <s v="Item - Routine Telephone Call"/>
    <s v="VHCC"/>
    <s v="Profit Cost"/>
    <s v="GLE"/>
    <s v="Y"/>
    <n v="18.7"/>
    <n v="3.74"/>
    <x v="6"/>
    <s v="VALIDATED"/>
    <n v="1"/>
    <s v="01.11.80.203.6100.0000"/>
    <n v="18.7"/>
    <s v="11"/>
    <s v="6100"/>
    <n v="-32425.63"/>
    <n v="18.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4"/>
    <d v="2023-07-05T19:02:06"/>
    <s v="Y"/>
    <s v="Attendance upon other side"/>
    <s v="VHCC"/>
    <s v="Profit Cost"/>
    <s v="GLE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3"/>
    <d v="2023-07-05T19:02:06"/>
    <s v="Y"/>
    <s v="Preparation - other"/>
    <s v="VHCC"/>
    <s v="Profit Cost"/>
    <s v="GLE"/>
    <s v="Y"/>
    <n v="214.65"/>
    <n v="42.93"/>
    <x v="6"/>
    <s v="VALIDATED"/>
    <n v="1"/>
    <s v="01.11.80.203.6100.0000"/>
    <n v="214.65"/>
    <s v="11"/>
    <s v="6100"/>
    <n v="-32425.63"/>
    <n v="214.6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6"/>
    <d v="2023-07-05T19:02:06"/>
    <s v="Y"/>
    <s v="Preparation - other"/>
    <s v="VHCC"/>
    <s v="Profit Cost"/>
    <s v="SHL"/>
    <s v="Y"/>
    <n v="7.16"/>
    <n v="1.43"/>
    <x v="6"/>
    <s v="VALIDATED"/>
    <n v="1"/>
    <s v="01.11.80.203.6100.0000"/>
    <n v="7.16"/>
    <s v="11"/>
    <s v="6100"/>
    <n v="-32425.63"/>
    <n v="7.16"/>
    <s v="DEBTOR"/>
    <n v="0"/>
    <n v="0"/>
    <n v="0"/>
    <n v="0"/>
    <n v="0"/>
  </r>
  <r>
    <n v="59677260"/>
    <s v="N"/>
    <n v="21331257"/>
    <s v="3000014052440026"/>
    <s v="CIVIL"/>
    <d v="2023-06-30T00:00:00"/>
    <d v="2023-07-05T19:01:47"/>
    <m/>
    <d v="2023-07-05T00:00:00"/>
    <n v="1878"/>
    <n v="1547"/>
    <s v="59677260"/>
    <s v="59677260"/>
    <m/>
    <m/>
    <n v="22798826"/>
    <m/>
    <m/>
    <m/>
    <s v="SOLINT"/>
    <s v="SOLINT"/>
    <s v="CCMS"/>
    <n v="21331257"/>
    <n v="4736.2"/>
    <m/>
    <s v="N"/>
    <n v="45"/>
    <d v="2023-07-05T19:02:12"/>
    <s v="Y"/>
    <s v="Preparation - other"/>
    <s v="VHCC"/>
    <s v="Profit Cost"/>
    <s v="GLE 60"/>
    <s v="Y"/>
    <n v="57.24"/>
    <n v="11.45"/>
    <x v="6"/>
    <s v="VALIDATED"/>
    <n v="1"/>
    <s v="01.11.80.203.6100.0000"/>
    <n v="57.24"/>
    <s v="11"/>
    <s v="6100"/>
    <n v="-32425.63"/>
    <n v="57.2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8"/>
    <d v="2023-07-05T19:02:06"/>
    <s v="Y"/>
    <s v="Preparation - other"/>
    <s v="VHCC"/>
    <s v="Profit Cost"/>
    <s v="SHL 60"/>
    <s v="Y"/>
    <n v="11.45"/>
    <n v="2.29"/>
    <x v="6"/>
    <s v="VALIDATED"/>
    <n v="1"/>
    <s v="01.11.80.203.6100.0000"/>
    <n v="11.45"/>
    <s v="11"/>
    <s v="6100"/>
    <n v="-32425.63"/>
    <n v="11.4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0"/>
    <d v="2023-07-05T19:01:55"/>
    <s v="Y"/>
    <s v="Preparation - other"/>
    <s v="Non Family Hourly Rates"/>
    <s v="Profit Cost"/>
    <s v="GLE"/>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6"/>
    <d v="2023-07-05T19:01:55"/>
    <s v="Y"/>
    <s v="Preparation - other"/>
    <s v="Non Family Hourly Rates"/>
    <s v="Profit Cost"/>
    <s v="HRL 50"/>
    <s v="Y"/>
    <n v="10.74"/>
    <n v="2.15"/>
    <x v="6"/>
    <s v="VALIDATED"/>
    <n v="1"/>
    <s v="01.11.80.203.6100.0000"/>
    <n v="10.74"/>
    <s v="11"/>
    <s v="6100"/>
    <n v="-32425.63"/>
    <n v="10.7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2"/>
    <d v="2023-07-05T19:01:55"/>
    <s v="Y"/>
    <s v="Preparation - drafting attendance n"/>
    <s v="Non Family Hourly Rates"/>
    <s v="Profit Cost"/>
    <s v="HRL"/>
    <s v="Y"/>
    <n v="7.16"/>
    <n v="1.43"/>
    <x v="6"/>
    <s v="VALIDATED"/>
    <n v="1"/>
    <s v="01.11.80.203.6100.0000"/>
    <n v="7.16"/>
    <s v="11"/>
    <s v="6100"/>
    <n v="-32425.63"/>
    <n v="7.16"/>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8"/>
    <d v="2023-07-06T19:21:25"/>
    <s v="Y"/>
    <s v="Preparation - other"/>
    <s v="Care Remuneration Hourly Rates"/>
    <s v="Profit Cost"/>
    <s v="NBS 25"/>
    <s v="Y"/>
    <n v="7.68"/>
    <n v="1.54"/>
    <x v="4"/>
    <s v="VALIDATED"/>
    <n v="1"/>
    <s v="01.11.80.308.6100.0000"/>
    <n v="7.68"/>
    <s v="11"/>
    <s v="6100"/>
    <n v="-32425.63"/>
    <n v="7.6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6"/>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7"/>
    <d v="2023-07-03T19:04:58"/>
    <s v="Y"/>
    <s v="Preparation - drafting statement"/>
    <s v="VHCC"/>
    <s v="Profit Cost"/>
    <s v="JML 65"/>
    <s v="Y"/>
    <n v="35.42"/>
    <n v="7.08"/>
    <x v="3"/>
    <s v="VALIDATED"/>
    <n v="1"/>
    <s v="01.11.80.203.6100.0000"/>
    <n v="35.42"/>
    <s v="11"/>
    <s v="6100"/>
    <n v="-32425.63"/>
    <n v="35.4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5"/>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
    <d v="2023-07-03T19:04:58"/>
    <s v="Y"/>
    <s v="Preparation - other"/>
    <s v="VHCC"/>
    <s v="Profit Cost"/>
    <s v="JML 65"/>
    <s v="Y"/>
    <n v="47.22"/>
    <n v="9.44"/>
    <x v="3"/>
    <s v="VALIDATED"/>
    <n v="1"/>
    <s v="01.11.80.203.6100.0000"/>
    <n v="47.22"/>
    <s v="11"/>
    <s v="6100"/>
    <n v="-32425.63"/>
    <n v="47.2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6"/>
    <d v="2023-07-10T19:01:45"/>
    <s v="Y"/>
    <s v="Preparation - drafting statement"/>
    <s v="Care Remuneration Hourly Rates"/>
    <s v="Profit Cost"/>
    <s v="JBL 30"/>
    <s v="Y"/>
    <n v="28.73"/>
    <n v="5.75"/>
    <x v="2"/>
    <s v="VALIDATED"/>
    <n v="1"/>
    <s v="01.11.80.308.6100.0000"/>
    <n v="28.73"/>
    <s v="11"/>
    <s v="6100"/>
    <n v="-32425.63"/>
    <n v="28.7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
    <d v="2023-07-10T19:01:45"/>
    <s v="N"/>
    <s v="Attendance upon client"/>
    <s v="Care Remuneration Hourly Rates"/>
    <s v="Profit Cost"/>
    <s v="JBL 30"/>
    <s v="N"/>
    <n v="28.73"/>
    <n v="5.75"/>
    <x v="2"/>
    <s v="VALIDATED"/>
    <n v="1"/>
    <s v="01.11.80.308.6100.0000"/>
    <n v="28.73"/>
    <s v="11"/>
    <s v="6100"/>
    <n v="-32425.63"/>
    <n v="28.7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5"/>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6"/>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2"/>
    <d v="2023-07-10T19:01:45"/>
    <s v="Y"/>
    <s v="Preparation - drafting notice(s)"/>
    <s v="Care Remuneration Hourly Rates"/>
    <s v="Profit Cost"/>
    <s v="JBL"/>
    <s v="Y"/>
    <n v="1.08"/>
    <n v="0.22"/>
    <x v="2"/>
    <s v="VALIDATED"/>
    <n v="1"/>
    <s v="01.11.80.308.6100.0000"/>
    <n v="1.08"/>
    <s v="11"/>
    <s v="6100"/>
    <n v="-32425.63"/>
    <n v="1.0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7"/>
    <d v="2023-07-10T19:01:45"/>
    <s v="Y"/>
    <s v="Preparation - other"/>
    <s v="Care Remuneration Hourly Rates"/>
    <s v="Profit Cost"/>
    <s v="JBL 30"/>
    <s v="Y"/>
    <n v="57.45"/>
    <n v="11.49"/>
    <x v="2"/>
    <s v="VALIDATED"/>
    <n v="1"/>
    <s v="01.11.80.308.6100.0000"/>
    <n v="57.45"/>
    <s v="11"/>
    <s v="6100"/>
    <n v="-32425.63"/>
    <n v="57.4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9"/>
    <d v="2023-07-10T19:01:45"/>
    <s v="Y"/>
    <s v="Preparation - drafting statement"/>
    <s v="Care Remuneration Hourly Rates"/>
    <s v="Profit Cost"/>
    <s v="AGI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
    <d v="2023-07-10T19:02:05"/>
    <s v="Y"/>
    <s v="Interpreter"/>
    <s v="Non Family Hourly Rates"/>
    <s v="Expert Disbursement"/>
    <s v="XXX"/>
    <s v="Y"/>
    <n v="25"/>
    <n v="5"/>
    <x v="2"/>
    <s v="VALIDATED"/>
    <n v="1"/>
    <s v="01.11.80.203.6300.0000"/>
    <n v="25"/>
    <s v="11"/>
    <s v="6300"/>
    <n v="-32425.63"/>
    <n v="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2"/>
    <d v="2023-07-10T19:02:05"/>
    <s v="Y"/>
    <s v="Preparation - drafting statement"/>
    <s v="Non Family Hourly Rates"/>
    <s v="Profit Cost"/>
    <s v="CB"/>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3"/>
    <d v="2023-07-10T19:02:05"/>
    <s v="Y"/>
    <s v="Waiting at court"/>
    <s v="Non Family Hourly Rates"/>
    <s v="Profit Cost"/>
    <s v="CB"/>
    <s v="Y"/>
    <n v="5.99"/>
    <n v="0"/>
    <x v="2"/>
    <s v="VALIDATED"/>
    <n v="1"/>
    <s v="01.11.80.203.6100.0000"/>
    <n v="5.99"/>
    <s v="11"/>
    <s v="6100"/>
    <n v="-32425.63"/>
    <n v="5.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9"/>
    <d v="2023-07-10T19:02:05"/>
    <s v="Y"/>
    <s v="Attendance upon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9"/>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82"/>
    <d v="2023-07-10T19:02:05"/>
    <s v="Y"/>
    <s v="Preparation - drafting bill/claim f"/>
    <s v="Non Family Hourly Rates"/>
    <s v="Profit Cost"/>
    <s v="LG"/>
    <s v="Y"/>
    <n v="71.55"/>
    <n v="0"/>
    <x v="2"/>
    <s v="VALIDATED"/>
    <n v="1"/>
    <s v="01.11.80.203.6100.0000"/>
    <n v="71.55"/>
    <s v="11"/>
    <s v="6100"/>
    <n v="-32425.63"/>
    <n v="71.5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0"/>
    <d v="2023-07-10T19:02:05"/>
    <s v="Y"/>
    <s v="Preparation - drafting statement"/>
    <s v="Non Family Hourly Rates"/>
    <s v="Profit Cost"/>
    <s v="LG"/>
    <s v="Y"/>
    <n v="21.47"/>
    <n v="0"/>
    <x v="2"/>
    <s v="VALIDATED"/>
    <n v="1"/>
    <s v="01.11.80.203.6100.0000"/>
    <n v="21.47"/>
    <s v="11"/>
    <s v="6100"/>
    <n v="-32425.63"/>
    <n v="21.4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0"/>
    <d v="2023-07-10T19:01:45"/>
    <s v="Y"/>
    <s v="Preparation - drafting notice(s)"/>
    <s v="Care Remuneration Hourly Rates"/>
    <s v="Profit Cost"/>
    <s v="JBL"/>
    <s v="Y"/>
    <n v="6.35"/>
    <n v="1.27"/>
    <x v="2"/>
    <s v="VALIDATED"/>
    <n v="1"/>
    <s v="01.11.80.308.6100.0000"/>
    <n v="6.35"/>
    <s v="11"/>
    <s v="6100"/>
    <n v="-32425.63"/>
    <n v="6.3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4"/>
    <d v="2023-07-10T19:01:45"/>
    <s v="Y"/>
    <s v="Preparation - other"/>
    <s v="Care Remuneration Hourly Rates"/>
    <s v="Profit Cost"/>
    <s v="JBL 30"/>
    <s v="Y"/>
    <n v="43.08"/>
    <n v="8.619999999999999"/>
    <x v="2"/>
    <s v="VALIDATED"/>
    <n v="1"/>
    <s v="01.11.80.308.6100.0000"/>
    <n v="43.08"/>
    <s v="11"/>
    <s v="6100"/>
    <n v="-32425.63"/>
    <n v="43.0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1"/>
    <d v="2023-07-05T19:02:06"/>
    <s v="Y"/>
    <s v="Attendance upon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9"/>
    <d v="2023-07-05T19:02:06"/>
    <s v="Y"/>
    <s v="Preparation - other"/>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9"/>
    <d v="2023-07-05T19:02:06"/>
    <s v="Y"/>
    <s v="Preparation - drafting statement"/>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
    <d v="2023-07-05T19:02:06"/>
    <s v="Y"/>
    <s v="Preparation - drafting application"/>
    <s v="VHCC"/>
    <s v="Profit Cost"/>
    <s v="CBD"/>
    <s v="Y"/>
    <n v="49.87"/>
    <n v="9.970000000000001"/>
    <x v="6"/>
    <s v="VALIDATED"/>
    <n v="1"/>
    <s v="01.11.80.203.6100.0000"/>
    <n v="49.87"/>
    <s v="11"/>
    <s v="6100"/>
    <n v="-32425.63"/>
    <n v="49.8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
    <d v="2023-07-05T19:02:06"/>
    <s v="Y"/>
    <s v="Preparation - drafting statement"/>
    <s v="VHCC"/>
    <s v="Profit Cost"/>
    <s v="CBD"/>
    <s v="Y"/>
    <n v="42.93"/>
    <n v="8.59"/>
    <x v="6"/>
    <s v="VALIDATED"/>
    <n v="1"/>
    <s v="01.11.80.203.6100.0000"/>
    <n v="42.93"/>
    <s v="11"/>
    <s v="6100"/>
    <n v="-32425.63"/>
    <n v="42.93"/>
    <s v="DEBTOR"/>
    <n v="0"/>
    <n v="0"/>
    <n v="0"/>
    <n v="0"/>
    <n v="0"/>
  </r>
  <r>
    <n v="59677260"/>
    <s v="N"/>
    <n v="21331257"/>
    <s v="3000014052440026"/>
    <s v="CIVIL"/>
    <d v="2023-06-30T00:00:00"/>
    <d v="2023-07-05T19:01:47"/>
    <m/>
    <d v="2023-07-05T00:00:00"/>
    <n v="1878"/>
    <n v="1547"/>
    <s v="59677260"/>
    <s v="59677260"/>
    <m/>
    <m/>
    <n v="22798826"/>
    <m/>
    <m/>
    <m/>
    <s v="SOLINT"/>
    <s v="SOLINT"/>
    <s v="CCMS"/>
    <n v="21331257"/>
    <n v="4736.2"/>
    <m/>
    <s v="N"/>
    <n v="47"/>
    <d v="2023-07-05T19:02:12"/>
    <s v="Y"/>
    <s v="Preparation - drafting statement"/>
    <s v="VHCC"/>
    <s v="Profit Cost"/>
    <s v="NOR 60"/>
    <s v="Y"/>
    <n v="45.79"/>
    <n v="9.16"/>
    <x v="6"/>
    <s v="VALIDATED"/>
    <n v="1"/>
    <s v="01.11.80.203.6100.0000"/>
    <n v="45.79"/>
    <s v="11"/>
    <s v="6100"/>
    <n v="-32425.63"/>
    <n v="45.7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6"/>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4"/>
    <d v="2023-07-10T19:02:05"/>
    <s v="Y"/>
    <s v="Preparation - other"/>
    <s v="Non Family Hourly Rates"/>
    <s v="Profit Cost"/>
    <s v="LG"/>
    <s v="Y"/>
    <n v="64.40000000000001"/>
    <n v="0"/>
    <x v="2"/>
    <s v="VALIDATED"/>
    <n v="1"/>
    <s v="01.11.80.203.6100.0000"/>
    <n v="64.40000000000001"/>
    <s v="11"/>
    <s v="6100"/>
    <n v="-32425.63"/>
    <n v="64.4000000000000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5"/>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4"/>
    <d v="2023-07-10T19:02:05"/>
    <s v="Y"/>
    <s v="Preparation - drafting attendance n"/>
    <s v="Non Family Hourly Rates"/>
    <s v="Profit Cost"/>
    <s v="LG"/>
    <s v="Y"/>
    <n v="7.16"/>
    <n v="0"/>
    <x v="2"/>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0"/>
    <d v="2023-07-10T19:01:45"/>
    <s v="Y"/>
    <s v="Preparation - drafting statement"/>
    <s v="Care Remuneration Hourly Rates"/>
    <s v="Profit Cost"/>
    <s v="JBL 30"/>
    <s v="Y"/>
    <n v="14.37"/>
    <n v="2.87"/>
    <x v="2"/>
    <s v="VALIDATED"/>
    <n v="1"/>
    <s v="01.11.80.308.6100.0000"/>
    <n v="14.37"/>
    <s v="11"/>
    <s v="6100"/>
    <n v="-32425.63"/>
    <n v="14.3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0"/>
    <d v="2023-07-06T19:21:25"/>
    <s v="Y"/>
    <s v="Preparation - other"/>
    <s v="Care Remuneration Hourly Rates"/>
    <s v="Profit Cost"/>
    <s v="NBS 25"/>
    <s v="Y"/>
    <n v="15.35"/>
    <n v="3.07"/>
    <x v="4"/>
    <s v="VALIDATED"/>
    <n v="1"/>
    <s v="01.11.80.308.6100.0000"/>
    <n v="15.35"/>
    <s v="11"/>
    <s v="6100"/>
    <n v="-32425.63"/>
    <n v="15.3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3"/>
    <d v="2023-07-05T19:02:06"/>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5"/>
    <d v="2023-07-05T19:02:06"/>
    <s v="Y"/>
    <s v="Preparation - drafting attendance n"/>
    <s v="VHCC"/>
    <s v="Profit Cost"/>
    <s v="GLE"/>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9"/>
    <d v="2023-07-05T19:02:06"/>
    <s v="Y"/>
    <s v="Preparation - drafting instructions"/>
    <s v="VHCC"/>
    <s v="Profit Cost"/>
    <s v="SHL 60"/>
    <s v="Y"/>
    <n v="125.93"/>
    <n v="25.19"/>
    <x v="6"/>
    <s v="VALIDATED"/>
    <n v="1"/>
    <s v="01.11.80.203.6100.0000"/>
    <n v="125.93"/>
    <s v="11"/>
    <s v="6100"/>
    <n v="-32425.63"/>
    <n v="125.9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0"/>
    <d v="2023-07-05T19:02:06"/>
    <s v="Y"/>
    <s v="Preparation - other"/>
    <s v="VHCC"/>
    <s v="Profit Cost"/>
    <s v="PFA"/>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4"/>
    <d v="2023-07-05T19:02:06"/>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3"/>
    <d v="2023-07-05T19:02:06"/>
    <s v="Y"/>
    <s v="Preparation - drafting statement"/>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0"/>
    <d v="2023-07-05T19:02:06"/>
    <s v="Y"/>
    <s v="Attendance upon other"/>
    <s v="VHCC"/>
    <s v="Profit Cost"/>
    <s v="SHL"/>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3"/>
    <d v="2023-07-05T19:02:06"/>
    <s v="Y"/>
    <s v="Attendance upon other"/>
    <s v="VHCC"/>
    <s v="Profit Cost"/>
    <s v="SHL 60"/>
    <s v="Y"/>
    <n v="251.86"/>
    <n v="50.37"/>
    <x v="6"/>
    <s v="VALIDATED"/>
    <n v="1"/>
    <s v="01.11.80.203.6100.0000"/>
    <n v="251.86"/>
    <s v="11"/>
    <s v="6100"/>
    <n v="-32425.63"/>
    <n v="251.8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8"/>
    <d v="2023-07-05T19:02:06"/>
    <s v="Y"/>
    <s v="Preparation - other"/>
    <s v="VHCC"/>
    <s v="Profit Cost"/>
    <s v="SHL"/>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7"/>
    <d v="2023-07-05T19:01:55"/>
    <s v="Y"/>
    <s v="Preparation - drafting attendance n"/>
    <s v="Non Family Hourly Rates"/>
    <s v="Profit Cost"/>
    <s v="HRL"/>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
    <d v="2023-07-05T19:01:55"/>
    <s v="Y"/>
    <s v="Preparation - drafting statement"/>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9"/>
    <d v="2023-07-05T19:01:55"/>
    <s v="Y"/>
    <s v="Waiting - other"/>
    <s v="Non Family Hourly Rates"/>
    <s v="Profit Cost"/>
    <s v="GLE"/>
    <s v="Y"/>
    <n v="14.97"/>
    <n v="2.99"/>
    <x v="6"/>
    <s v="VALIDATED"/>
    <n v="1"/>
    <s v="01.11.80.203.6100.0000"/>
    <n v="14.97"/>
    <s v="11"/>
    <s v="6100"/>
    <n v="-32425.63"/>
    <n v="14.9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3"/>
    <d v="2023-07-05T19:01:55"/>
    <s v="Y"/>
    <s v="Preparation - drafting statement"/>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0"/>
    <d v="2023-07-05T19:01:55"/>
    <s v="Y"/>
    <s v="Preparation - other"/>
    <s v="Non Family Hourly Rates"/>
    <s v="Profit Cost"/>
    <s v="HRL 50"/>
    <s v="Y"/>
    <n v="32.21"/>
    <n v="6.44"/>
    <x v="6"/>
    <s v="VALIDATED"/>
    <n v="1"/>
    <s v="01.11.80.203.6100.0000"/>
    <n v="32.21"/>
    <s v="11"/>
    <s v="6100"/>
    <n v="-32425.63"/>
    <n v="32.21"/>
    <s v="DEBTOR"/>
    <n v="0"/>
    <n v="0"/>
    <n v="0"/>
    <n v="0"/>
    <n v="0"/>
  </r>
  <r>
    <n v="61742173"/>
    <s v="N"/>
    <n v="21319086"/>
    <s v="3000015815100003"/>
    <s v="CIVIL"/>
    <d v="2023-06-23T00:00:00"/>
    <d v="2023-07-03T19:01:49"/>
    <m/>
    <d v="2023-07-03T00:00:00"/>
    <n v="1878"/>
    <n v="1547"/>
    <s v="61742173"/>
    <s v="61742173"/>
    <m/>
    <m/>
    <n v="22750850"/>
    <m/>
    <m/>
    <m/>
    <s v="SOLFIN"/>
    <s v="SOLFIN"/>
    <s v="CCMS"/>
    <n v="21319086"/>
    <n v="5246"/>
    <m/>
    <s v="N"/>
    <n v="63"/>
    <d v="2023-07-03T19:02:10"/>
    <s v="Y"/>
    <s v="Preparation - drafting bill/claim f"/>
    <s v="Prescribed Hourly Rates"/>
    <s v="Profit Cost"/>
    <s v="JLA"/>
    <s v="Y"/>
    <n v="196.02"/>
    <n v="39.21"/>
    <x v="3"/>
    <s v="VALIDATED"/>
    <n v="1"/>
    <s v="01.11.80.305.6100.0000"/>
    <n v="196.02"/>
    <s v="11"/>
    <s v="6100"/>
    <n v="-32425.63"/>
    <n v="196.02"/>
    <s v="DEBTOR"/>
    <n v="0"/>
    <n v="0"/>
    <n v="0"/>
    <n v="0"/>
    <n v="0"/>
  </r>
  <r>
    <n v="61742173"/>
    <s v="N"/>
    <n v="21319086"/>
    <s v="3000015815100003"/>
    <s v="CIVIL"/>
    <d v="2023-06-23T00:00:00"/>
    <d v="2023-07-03T19:01:49"/>
    <m/>
    <d v="2023-07-03T00:00:00"/>
    <n v="1878"/>
    <n v="1547"/>
    <s v="61742173"/>
    <s v="61742173"/>
    <m/>
    <m/>
    <n v="22750850"/>
    <m/>
    <m/>
    <m/>
    <s v="SOLFIN"/>
    <s v="SOLFIN"/>
    <s v="CCMS"/>
    <n v="21319086"/>
    <n v="5246"/>
    <m/>
    <s v="N"/>
    <n v="65"/>
    <d v="2023-07-03T19:02:10"/>
    <s v="Y"/>
    <s v="Routine Telephone Call"/>
    <s v="Prescribed Hourly Rates"/>
    <s v="Profit Cost"/>
    <s v="MAE 15"/>
    <s v="Y"/>
    <n v="6.21"/>
    <n v="1.24"/>
    <x v="3"/>
    <s v="VALIDATED"/>
    <n v="1"/>
    <s v="01.11.80.305.6100.0000"/>
    <n v="6.21"/>
    <s v="11"/>
    <s v="6100"/>
    <n v="-32425.63"/>
    <n v="6.21"/>
    <s v="DEBTOR"/>
    <n v="0"/>
    <n v="0"/>
    <n v="0"/>
    <n v="0"/>
    <n v="0"/>
  </r>
  <r>
    <n v="61742173"/>
    <s v="N"/>
    <n v="21319086"/>
    <s v="3000015815100003"/>
    <s v="CIVIL"/>
    <d v="2023-06-23T00:00:00"/>
    <d v="2023-07-03T19:01:49"/>
    <m/>
    <d v="2023-07-03T00:00:00"/>
    <n v="1878"/>
    <n v="1547"/>
    <s v="61742173"/>
    <s v="61742173"/>
    <m/>
    <m/>
    <n v="22750850"/>
    <m/>
    <m/>
    <m/>
    <s v="SOLFIN"/>
    <s v="SOLFIN"/>
    <s v="CCMS"/>
    <n v="21319086"/>
    <n v="5246"/>
    <m/>
    <s v="N"/>
    <n v="37"/>
    <d v="2023-07-03T19:02:10"/>
    <s v="Y"/>
    <s v="Preparation - other"/>
    <s v="Prescribed Hourly Rates"/>
    <s v="Profit Cost"/>
    <s v="MAE 15"/>
    <s v="Y"/>
    <n v="13.66"/>
    <n v="2.73"/>
    <x v="3"/>
    <s v="VALIDATED"/>
    <n v="1"/>
    <s v="01.11.80.305.6100.0000"/>
    <n v="13.66"/>
    <s v="11"/>
    <s v="6100"/>
    <n v="-32425.63"/>
    <n v="13.66"/>
    <s v="DEBTOR"/>
    <n v="0"/>
    <n v="0"/>
    <n v="0"/>
    <n v="0"/>
    <n v="0"/>
  </r>
  <r>
    <n v="61801548"/>
    <s v="N"/>
    <n v="21321751"/>
    <s v="3000015859740005"/>
    <s v="CIVIL"/>
    <d v="2023-06-29T00:00:00"/>
    <d v="2023-07-03T19:05:17"/>
    <m/>
    <d v="2023-07-03T00:00:00"/>
    <n v="1878"/>
    <n v="1547"/>
    <s v="61801548"/>
    <s v="61801548"/>
    <m/>
    <m/>
    <n v="22786438"/>
    <m/>
    <m/>
    <m/>
    <s v="SOLPOA"/>
    <s v="SOLPOA"/>
    <s v="CCMS"/>
    <n v="21321751"/>
    <n v="2313.6"/>
    <m/>
    <s v="N"/>
    <n v="1"/>
    <d v="2023-07-03T19:05:20"/>
    <s v="N"/>
    <s v="Profit Cost"/>
    <s v="Profit Cost"/>
    <s v="Profit Cost"/>
    <s v="nor"/>
    <s v="N"/>
    <n v="1928"/>
    <n v="385.6"/>
    <x v="3"/>
    <s v="VALIDATED"/>
    <n v="1"/>
    <s v="01.11.80.203.2012.0000"/>
    <n v="1928"/>
    <s v="11"/>
    <s v="2012"/>
    <n v="-32425.63"/>
    <n v="192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2"/>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
    <d v="2023-07-03T19:04:58"/>
    <s v="N"/>
    <s v="Attendance upon client"/>
    <s v="VHCC"/>
    <s v="Profit Cost"/>
    <s v="JML 65"/>
    <s v="N"/>
    <n v="0.5600000000000001"/>
    <n v="0.11"/>
    <x v="3"/>
    <s v="VALIDATED"/>
    <n v="1"/>
    <s v="01.11.80.203.6100.0000"/>
    <n v="0.5600000000000001"/>
    <s v="11"/>
    <s v="6100"/>
    <n v="-32425.63"/>
    <n v="0.560000000000000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2"/>
    <d v="2023-07-03T19:04:58"/>
    <s v="Y"/>
    <s v="Preparation - other"/>
    <s v="VHCC"/>
    <s v="Profit Cost"/>
    <s v="JML 65"/>
    <s v="Y"/>
    <n v="23.61"/>
    <n v="4.72"/>
    <x v="3"/>
    <s v="VALIDATED"/>
    <n v="1"/>
    <s v="01.11.80.203.6100.0000"/>
    <n v="23.61"/>
    <s v="11"/>
    <s v="6100"/>
    <n v="-32425.63"/>
    <n v="23.6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33"/>
    <d v="2023-07-18T19:00:56"/>
    <s v="Y"/>
    <s v="Routine Letter Out"/>
    <s v="Non Family Hourly Rates"/>
    <s v="Profit Cost"/>
    <s v="MSK"/>
    <s v="Y"/>
    <n v="222.75"/>
    <n v="44.54"/>
    <x v="14"/>
    <s v="VALIDATED"/>
    <n v="1"/>
    <s v="01.11.80.203.6100.0000"/>
    <n v="222.75"/>
    <s v="11"/>
    <s v="6100"/>
    <n v="-32425.63"/>
    <n v="222.75"/>
    <s v="DEBTOR"/>
    <n v="0"/>
    <n v="0"/>
    <n v="0"/>
    <n v="0"/>
    <n v="0"/>
  </r>
  <r>
    <n v="8733210"/>
    <s v="N"/>
    <n v="21403533"/>
    <s v="3000004746670021"/>
    <s v="CIVIL"/>
    <d v="2023-06-06T00:00:00"/>
    <d v="2023-07-20T19:22:20"/>
    <m/>
    <d v="2023-07-20T00:00:00"/>
    <n v="1878"/>
    <n v="1547"/>
    <s v="8733210"/>
    <s v="8733210"/>
    <m/>
    <m/>
    <n v="22629506"/>
    <m/>
    <m/>
    <m/>
    <s v="SOLFIN"/>
    <s v="SOLFIN"/>
    <s v="CCMS"/>
    <n v="21403533"/>
    <n v="4211.9"/>
    <m/>
    <s v="N"/>
    <n v="26"/>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43"/>
    <d v="2023-07-20T19:22:42"/>
    <s v="Y"/>
    <s v="Preparation - other"/>
    <s v="Non Family Hourly Rates"/>
    <s v="Profit Cost"/>
    <s v="BSS"/>
    <s v="Y"/>
    <n v="12.6"/>
    <n v="2.52"/>
    <x v="13"/>
    <s v="VALIDATED"/>
    <n v="1"/>
    <s v="01.11.80.201.6100.0000"/>
    <n v="12.6"/>
    <s v="11"/>
    <s v="6100"/>
    <n v="-32425.63"/>
    <n v="12.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1"/>
    <d v="2023-07-10T19:01:45"/>
    <s v="Y"/>
    <s v="Hearing Unit 2.31 - 5.00 Hours"/>
    <s v="Public Law Children"/>
    <s v="Advocacy"/>
    <s v="JBL"/>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8"/>
    <d v="2023-07-10T19:01:45"/>
    <s v="Y"/>
    <s v="Advocates Meeting"/>
    <s v="Public Law Children"/>
    <s v="Advocacy"/>
    <s v="AGI"/>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9"/>
    <d v="2023-07-10T19:01:45"/>
    <s v="Y"/>
    <s v="Preparation - other"/>
    <s v="Care Remuneration Hourly Rates"/>
    <s v="Profit Cost"/>
    <s v="JBL"/>
    <s v="Y"/>
    <n v="12.71"/>
    <n v="2.54"/>
    <x v="2"/>
    <s v="VALIDATED"/>
    <n v="1"/>
    <s v="01.11.80.308.6100.0000"/>
    <n v="12.71"/>
    <s v="11"/>
    <s v="6100"/>
    <n v="-32425.63"/>
    <n v="12.7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4"/>
    <d v="2023-07-10T19:02:05"/>
    <s v="Y"/>
    <s v="Attendance upon court"/>
    <s v="Non Family Hourly Rates"/>
    <s v="Profit Cost"/>
    <s v="CB"/>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2"/>
    <d v="2023-07-10T19:02:05"/>
    <s v="Y"/>
    <s v="Preparation - drafting application"/>
    <s v="Non Family Hourly Rates"/>
    <s v="Profit Cost"/>
    <s v="CB"/>
    <s v="Y"/>
    <n v="21.47"/>
    <n v="0"/>
    <x v="2"/>
    <s v="VALIDATED"/>
    <n v="1"/>
    <s v="01.11.80.203.6100.0000"/>
    <n v="21.47"/>
    <s v="11"/>
    <s v="6100"/>
    <n v="-32425.63"/>
    <n v="21.47"/>
    <s v="DEBTOR"/>
    <n v="0"/>
    <n v="0"/>
    <n v="0"/>
    <n v="0"/>
    <n v="0"/>
  </r>
  <r>
    <n v="8733210"/>
    <s v="N"/>
    <n v="21403533"/>
    <s v="3000004746670021"/>
    <s v="CIVIL"/>
    <d v="2023-06-06T00:00:00"/>
    <d v="2023-07-20T19:22:20"/>
    <m/>
    <d v="2023-07-20T00:00:00"/>
    <n v="1878"/>
    <n v="1547"/>
    <s v="8733210"/>
    <s v="8733210"/>
    <m/>
    <m/>
    <n v="22629506"/>
    <m/>
    <m/>
    <m/>
    <s v="SOLFIN"/>
    <s v="SOLFIN"/>
    <s v="CCMS"/>
    <n v="21403533"/>
    <n v="4211.9"/>
    <m/>
    <s v="N"/>
    <n v="57"/>
    <d v="2023-07-20T19:22:42"/>
    <s v="Y"/>
    <s v="Preparation - other"/>
    <s v="Non Family Hourly Rates"/>
    <s v="Profit Cost"/>
    <s v="BSS"/>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70"/>
    <d v="2023-07-20T19:22:42"/>
    <s v="Y"/>
    <s v="Preparation - drafting consent orde"/>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79"/>
    <d v="2023-07-20T19:22:42"/>
    <s v="Y"/>
    <s v="Attendance upon/with Counsel at Con"/>
    <s v="Non Family Hourly Rates"/>
    <s v="Profit Cost"/>
    <s v="BSS"/>
    <s v="Y"/>
    <n v="23.4"/>
    <n v="4.68"/>
    <x v="13"/>
    <s v="VALIDATED"/>
    <n v="1"/>
    <s v="01.11.80.201.6100.0000"/>
    <n v="23.4"/>
    <s v="11"/>
    <s v="6100"/>
    <n v="-32425.63"/>
    <n v="23.4"/>
    <s v="DEBTOR"/>
    <n v="0"/>
    <n v="0"/>
    <n v="0"/>
    <n v="0"/>
    <n v="0"/>
  </r>
  <r>
    <n v="8733210"/>
    <s v="N"/>
    <n v="21403533"/>
    <s v="3000004746670021"/>
    <s v="CIVIL"/>
    <d v="2023-06-06T00:00:00"/>
    <d v="2023-07-20T19:22:20"/>
    <m/>
    <d v="2023-07-20T00:00:00"/>
    <n v="1878"/>
    <n v="1547"/>
    <s v="8733210"/>
    <s v="8733210"/>
    <m/>
    <m/>
    <n v="22629506"/>
    <m/>
    <m/>
    <m/>
    <s v="SOLFIN"/>
    <s v="SOLFIN"/>
    <s v="CCMS"/>
    <n v="21403533"/>
    <n v="4211.9"/>
    <m/>
    <s v="N"/>
    <n v="86"/>
    <d v="2023-07-20T19:22:42"/>
    <s v="Y"/>
    <s v="Preparation - other"/>
    <s v="Non Family Hourly Rates"/>
    <s v="Profit Cost"/>
    <s v="BSS"/>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68"/>
    <d v="2023-07-03T19:02:10"/>
    <s v="Y"/>
    <s v="Routine Letter Out"/>
    <s v="Prescribed Hourly Rates"/>
    <s v="Profit Cost"/>
    <s v="HHS"/>
    <s v="Y"/>
    <n v="108"/>
    <n v="21.6"/>
    <x v="3"/>
    <s v="VALIDATED"/>
    <n v="1"/>
    <s v="01.11.80.305.6100.0000"/>
    <n v="108"/>
    <s v="11"/>
    <s v="6100"/>
    <n v="-32425.63"/>
    <n v="10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3"/>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6"/>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5"/>
    <d v="2023-07-10T19:02:05"/>
    <s v="Y"/>
    <s v="Preparation - drafting attendance n"/>
    <s v="Non Family Hourly Rates"/>
    <s v="Profit Cost"/>
    <s v="LG"/>
    <s v="Y"/>
    <n v="7.16"/>
    <n v="0"/>
    <x v="2"/>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2"/>
    <d v="2023-07-10T19:01:45"/>
    <s v="Y"/>
    <s v="Preparation - drafting statement"/>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9"/>
    <d v="2023-07-10T19:01:45"/>
    <s v="Y"/>
    <s v="Hearing Unit 2.31 - 5.00 Hours"/>
    <s v="Public Law Children"/>
    <s v="Advocacy"/>
    <s v="AGI"/>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4"/>
    <d v="2023-07-10T19:01:45"/>
    <s v="Y"/>
    <s v="Preparation - other"/>
    <s v="Care Remuneration Hourly Rates"/>
    <s v="Profit Cost"/>
    <s v="AGI 30"/>
    <s v="Y"/>
    <n v="14.37"/>
    <n v="2.87"/>
    <x v="2"/>
    <s v="VALIDATED"/>
    <n v="1"/>
    <s v="01.11.80.308.6100.0000"/>
    <n v="14.37"/>
    <s v="11"/>
    <s v="6100"/>
    <n v="-32425.63"/>
    <n v="14.3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7"/>
    <d v="2023-07-06T19:21:25"/>
    <s v="Y"/>
    <s v="Preparation - other"/>
    <s v="Care Remuneration Hourly Rates"/>
    <s v="Profit Cost"/>
    <s v="NBS 25"/>
    <s v="Y"/>
    <n v="38.36"/>
    <n v="7.67"/>
    <x v="4"/>
    <s v="VALIDATED"/>
    <n v="1"/>
    <s v="01.11.80.308.6100.0000"/>
    <n v="38.36"/>
    <s v="11"/>
    <s v="6100"/>
    <n v="-32425.63"/>
    <n v="38.36"/>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6"/>
    <d v="2023-07-06T19:21:25"/>
    <s v="Y"/>
    <s v="Preparation - other"/>
    <s v="Care Remuneration Hourly Rates"/>
    <s v="Profit Cost"/>
    <s v="NBS 25"/>
    <s v="Y"/>
    <n v="30.69"/>
    <n v="6.14"/>
    <x v="4"/>
    <s v="VALIDATED"/>
    <n v="1"/>
    <s v="01.11.80.308.6100.0000"/>
    <n v="30.69"/>
    <s v="11"/>
    <s v="6100"/>
    <n v="-32425.63"/>
    <n v="30.6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
    <d v="2023-07-05T19:02:09"/>
    <s v="Y"/>
    <s v="Preparation - other"/>
    <s v="VHCC"/>
    <s v="Profit Cost"/>
    <s v="GLE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4"/>
    <d v="2023-07-05T19:02:06"/>
    <s v="Y"/>
    <s v="Preparation - other"/>
    <s v="VHCC"/>
    <s v="Profit Cost"/>
    <s v="SHL 60"/>
    <s v="Y"/>
    <n v="22.9"/>
    <n v="4.58"/>
    <x v="6"/>
    <s v="VALIDATED"/>
    <n v="1"/>
    <s v="01.11.80.203.6100.0000"/>
    <n v="22.9"/>
    <s v="11"/>
    <s v="6100"/>
    <n v="-32425.63"/>
    <n v="22.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3"/>
    <d v="2023-07-05T19:02:09"/>
    <s v="Y"/>
    <s v="Preparation - other"/>
    <s v="VHCC"/>
    <s v="Profit Cost"/>
    <s v="GLE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7"/>
    <d v="2023-07-05T19:02:06"/>
    <s v="Y"/>
    <s v="Attendance upon other side"/>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4"/>
    <d v="2023-07-05T19:02:06"/>
    <s v="Y"/>
    <s v="Attendance upon other"/>
    <s v="VHCC"/>
    <s v="Profit Cost"/>
    <s v="GLE"/>
    <s v="Y"/>
    <n v="157.41"/>
    <n v="31.48"/>
    <x v="6"/>
    <s v="VALIDATED"/>
    <n v="1"/>
    <s v="01.11.80.203.6100.0000"/>
    <n v="157.41"/>
    <s v="11"/>
    <s v="6100"/>
    <n v="-32425.63"/>
    <n v="157.4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
    <d v="2023-07-05T19:02:06"/>
    <s v="Y"/>
    <s v="Preparation - drafting statement"/>
    <s v="VHCC"/>
    <s v="Profit Cost"/>
    <s v="SHL 60"/>
    <s v="Y"/>
    <n v="34.34"/>
    <n v="6.87"/>
    <x v="6"/>
    <s v="VALIDATED"/>
    <n v="1"/>
    <s v="01.11.80.203.6100.0000"/>
    <n v="34.34"/>
    <s v="11"/>
    <s v="6100"/>
    <n v="-32425.63"/>
    <n v="34.3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9"/>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8"/>
    <d v="2023-07-05T19:01:55"/>
    <s v="Y"/>
    <s v="Preparation - drafting attendance n"/>
    <s v="Non Family Hourly Rates"/>
    <s v="Profit Cost"/>
    <s v="HRL"/>
    <s v="Y"/>
    <n v="214.65"/>
    <n v="42.93"/>
    <x v="6"/>
    <s v="VALIDATED"/>
    <n v="1"/>
    <s v="01.11.80.203.6100.0000"/>
    <n v="214.65"/>
    <s v="11"/>
    <s v="6100"/>
    <n v="-32425.63"/>
    <n v="214.6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6"/>
    <d v="2023-07-05T19:01:55"/>
    <s v="Y"/>
    <s v="Attendance upon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8"/>
    <d v="2023-07-05T19:01:55"/>
    <s v="Y"/>
    <s v="Preparation - other"/>
    <s v="Non Family Hourly Rates"/>
    <s v="Profit Cost"/>
    <s v="HRL 50"/>
    <s v="Y"/>
    <n v="10.74"/>
    <n v="2.15"/>
    <x v="6"/>
    <s v="VALIDATED"/>
    <n v="1"/>
    <s v="01.11.80.203.6100.0000"/>
    <n v="10.74"/>
    <s v="11"/>
    <s v="6100"/>
    <n v="-32425.63"/>
    <n v="10.74"/>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8"/>
    <d v="2023-07-06T19:21:25"/>
    <s v="Y"/>
    <s v="Hearing Unit 2.31 - 5.00 Hours"/>
    <s v="Other Public Law Children"/>
    <s v="Advocacy"/>
    <s v="NBS"/>
    <s v="Y"/>
    <n v="417.06"/>
    <n v="83.42"/>
    <x v="4"/>
    <s v="VALIDATED"/>
    <n v="1"/>
    <s v="01.11.80.308.6100.0000"/>
    <n v="417.06"/>
    <s v="11"/>
    <s v="6100"/>
    <n v="-32425.63"/>
    <n v="417.0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2"/>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3"/>
    <d v="2023-07-03T19:04:58"/>
    <s v="Y"/>
    <s v="Travel to attend client"/>
    <s v="VHCC"/>
    <s v="Profit Cost"/>
    <s v="JML"/>
    <s v="Y"/>
    <n v="83.8"/>
    <n v="16.76"/>
    <x v="3"/>
    <s v="VALIDATED"/>
    <n v="1"/>
    <s v="01.11.80.203.6100.0000"/>
    <n v="83.8"/>
    <s v="11"/>
    <s v="6100"/>
    <n v="-32425.63"/>
    <n v="83.8"/>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1"/>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
    <d v="2023-07-03T19:04:58"/>
    <s v="Y"/>
    <s v="Preparation - other"/>
    <s v="VHCC"/>
    <s v="Profit Cost"/>
    <s v="JML 65"/>
    <s v="Y"/>
    <n v="188.9"/>
    <n v="37.78"/>
    <x v="3"/>
    <s v="VALIDATED"/>
    <n v="1"/>
    <s v="01.11.80.203.6100.0000"/>
    <n v="188.9"/>
    <s v="11"/>
    <s v="6100"/>
    <n v="-32425.63"/>
    <n v="188.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7"/>
    <d v="2023-07-03T19:04:58"/>
    <s v="Y"/>
    <s v="Preparation - other"/>
    <s v="VHCC"/>
    <s v="Profit Cost"/>
    <s v="JML 65"/>
    <s v="Y"/>
    <n v="35.42"/>
    <n v="7.08"/>
    <x v="3"/>
    <s v="VALIDATED"/>
    <n v="1"/>
    <s v="01.11.80.203.6100.0000"/>
    <n v="35.42"/>
    <s v="11"/>
    <s v="6100"/>
    <n v="-32425.63"/>
    <n v="35.42"/>
    <s v="DEBTOR"/>
    <n v="0"/>
    <n v="0"/>
    <n v="0"/>
    <n v="0"/>
    <n v="0"/>
  </r>
  <r>
    <n v="8733210"/>
    <s v="N"/>
    <n v="21403533"/>
    <s v="3000004746670021"/>
    <s v="CIVIL"/>
    <d v="2023-06-06T00:00:00"/>
    <d v="2023-07-20T19:22:20"/>
    <m/>
    <d v="2023-07-20T00:00:00"/>
    <n v="1878"/>
    <n v="1547"/>
    <s v="8733210"/>
    <s v="8733210"/>
    <m/>
    <m/>
    <n v="22629506"/>
    <m/>
    <m/>
    <m/>
    <s v="SOLFIN"/>
    <s v="SOLFIN"/>
    <s v="CCMS"/>
    <n v="21403533"/>
    <n v="4211.9"/>
    <m/>
    <s v="N"/>
    <n v="24"/>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102"/>
    <d v="2023-07-20T19:22:42"/>
    <s v="Y"/>
    <s v="Preparation - drafting instructions"/>
    <s v="Non Family Hourly Rates"/>
    <s v="Profit Cost"/>
    <s v="NAO"/>
    <s v="Y"/>
    <n v="220.5"/>
    <n v="44.1"/>
    <x v="13"/>
    <s v="VALIDATED"/>
    <n v="1"/>
    <s v="01.11.80.201.6100.0000"/>
    <n v="220.5"/>
    <s v="11"/>
    <s v="6100"/>
    <n v="-32425.63"/>
    <n v="220.5"/>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
    <d v="2023-07-18T19:00:56"/>
    <s v="N"/>
    <s v="Preparation - other"/>
    <s v="Non Family Hourly Rates"/>
    <s v="Profit Cost"/>
    <s v="MSK"/>
    <s v="N"/>
    <n v="7.16"/>
    <n v="1.43"/>
    <x v="14"/>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5"/>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7"/>
    <d v="2023-07-10T19:01:45"/>
    <s v="Y"/>
    <s v="Preparation - other"/>
    <s v="Care Remuneration Hourly Rates"/>
    <s v="Profit Cost"/>
    <s v="JBL"/>
    <s v="Y"/>
    <n v="38.11"/>
    <n v="7.62"/>
    <x v="2"/>
    <s v="VALIDATED"/>
    <n v="1"/>
    <s v="01.11.80.308.6100.0000"/>
    <n v="38.11"/>
    <s v="11"/>
    <s v="6100"/>
    <n v="-32425.63"/>
    <n v="38.1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
    <d v="2023-07-10T19:02:05"/>
    <s v="Y"/>
    <s v="Interpreter"/>
    <s v="Non Family Hourly Rates"/>
    <s v="Expert Disbursement"/>
    <s v="XXX"/>
    <s v="Y"/>
    <n v="26.25"/>
    <n v="5.25"/>
    <x v="2"/>
    <s v="VALIDATED"/>
    <n v="1"/>
    <s v="01.11.80.203.6300.0000"/>
    <n v="26.25"/>
    <s v="11"/>
    <s v="6300"/>
    <n v="-32425.63"/>
    <n v="26.2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8"/>
    <d v="2023-07-05T19:01:55"/>
    <s v="Y"/>
    <s v="Preparation - drafting attendance n"/>
    <s v="Non Family Hourly Rates"/>
    <s v="Profit Cost"/>
    <s v="CBD"/>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1"/>
    <d v="2023-07-05T19:01:55"/>
    <s v="Y"/>
    <s v="Attendance upon other"/>
    <s v="Non Family Hourly Rates"/>
    <s v="Profit Cost"/>
    <s v="CBD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4"/>
    <d v="2023-07-05T19:01:55"/>
    <s v="Y"/>
    <s v="Attendance upon client"/>
    <s v="Non Family Hourly Rates"/>
    <s v="Profit Cost"/>
    <s v="HRL 50"/>
    <s v="Y"/>
    <n v="128.79"/>
    <n v="25.76"/>
    <x v="6"/>
    <s v="VALIDATED"/>
    <n v="1"/>
    <s v="01.11.80.203.6100.0000"/>
    <n v="128.79"/>
    <s v="11"/>
    <s v="6100"/>
    <n v="-32425.63"/>
    <n v="128.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6"/>
    <d v="2023-07-05T19:01:55"/>
    <s v="Y"/>
    <s v="Preparation - other"/>
    <s v="Non Family Hourly Rates"/>
    <s v="Profit Cost"/>
    <s v="HRL 50"/>
    <s v="Y"/>
    <n v="107.33"/>
    <n v="21.47"/>
    <x v="6"/>
    <s v="VALIDATED"/>
    <n v="1"/>
    <s v="01.11.80.203.6100.0000"/>
    <n v="107.33"/>
    <s v="11"/>
    <s v="6100"/>
    <n v="-32425.63"/>
    <n v="107.3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8"/>
    <d v="2023-07-05T19:01:55"/>
    <s v="Y"/>
    <s v="Attendance upon other"/>
    <s v="Non Family Hourly Rates"/>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2"/>
    <d v="2023-07-05T19:01:55"/>
    <s v="Y"/>
    <s v="Waiting - other"/>
    <s v="Non Family Hourly Rates"/>
    <s v="Profit Cost"/>
    <s v="HRL"/>
    <s v="Y"/>
    <n v="14.97"/>
    <n v="2.99"/>
    <x v="6"/>
    <s v="VALIDATED"/>
    <n v="1"/>
    <s v="01.11.80.203.6100.0000"/>
    <n v="14.97"/>
    <s v="11"/>
    <s v="6100"/>
    <n v="-32425.63"/>
    <n v="14.9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8"/>
    <d v="2023-07-05T19:01:55"/>
    <s v="Y"/>
    <s v="Waiting - other"/>
    <s v="Non Family Hourly Rates"/>
    <s v="Profit Cost"/>
    <s v="HRL"/>
    <s v="Y"/>
    <n v="20.95"/>
    <n v="4.19"/>
    <x v="6"/>
    <s v="VALIDATED"/>
    <n v="1"/>
    <s v="01.11.80.203.6100.0000"/>
    <n v="20.95"/>
    <s v="11"/>
    <s v="6100"/>
    <n v="-32425.63"/>
    <n v="20.9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1"/>
    <d v="2023-07-05T19:01:55"/>
    <s v="Y"/>
    <s v="Preparation - other"/>
    <s v="Non Family Hourly Rates"/>
    <s v="Profit Cost"/>
    <s v="HRL"/>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2"/>
    <d v="2023-07-05T19:01:55"/>
    <s v="Y"/>
    <s v="Attendance upon other"/>
    <s v="Non Family Hourly Rates"/>
    <s v="Profit Cost"/>
    <s v="GLE 50"/>
    <s v="Y"/>
    <n v="21.47"/>
    <n v="4.29"/>
    <x v="6"/>
    <s v="VALIDATED"/>
    <n v="1"/>
    <s v="01.11.80.203.6100.0000"/>
    <n v="21.47"/>
    <s v="11"/>
    <s v="6100"/>
    <n v="-32425.63"/>
    <n v="21.4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3"/>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6"/>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3"/>
    <d v="2023-07-03T19:04:58"/>
    <s v="Y"/>
    <s v="Preparation - other"/>
    <s v="VHCC"/>
    <s v="Profit Cost"/>
    <s v="JML 65"/>
    <s v="Y"/>
    <n v="47.22"/>
    <n v="9.44"/>
    <x v="3"/>
    <s v="VALIDATED"/>
    <n v="1"/>
    <s v="01.11.80.203.6100.0000"/>
    <n v="47.22"/>
    <s v="11"/>
    <s v="6100"/>
    <n v="-32425.63"/>
    <n v="47.2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6"/>
    <d v="2023-07-03T19:04:58"/>
    <s v="Y"/>
    <s v="Preparation - other"/>
    <s v="VHCC"/>
    <s v="Profit Cost"/>
    <s v="JML"/>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
    <d v="2023-07-03T19:04:58"/>
    <s v="Y"/>
    <s v="Preparation - other"/>
    <s v="VHCC"/>
    <s v="Profit Cost"/>
    <s v="JML 65"/>
    <s v="Y"/>
    <n v="70.84"/>
    <n v="14.17"/>
    <x v="3"/>
    <s v="VALIDATED"/>
    <n v="1"/>
    <s v="01.11.80.203.6100.0000"/>
    <n v="70.84"/>
    <s v="11"/>
    <s v="6100"/>
    <n v="-32425.63"/>
    <n v="70.8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8"/>
    <d v="2023-07-03T19:04:58"/>
    <s v="Y"/>
    <s v="Preparation - other"/>
    <s v="VHCC"/>
    <s v="Profit Cost"/>
    <s v="JML 65"/>
    <s v="Y"/>
    <n v="59.03"/>
    <n v="11.8"/>
    <x v="3"/>
    <s v="VALIDATED"/>
    <n v="1"/>
    <s v="01.11.80.203.6100.0000"/>
    <n v="59.03"/>
    <s v="11"/>
    <s v="6100"/>
    <n v="-32425.63"/>
    <n v="59.03"/>
    <s v="DEBTOR"/>
    <n v="0"/>
    <n v="0"/>
    <n v="0"/>
    <n v="0"/>
    <n v="0"/>
  </r>
  <r>
    <n v="8733210"/>
    <s v="N"/>
    <n v="21403533"/>
    <s v="3000004746670021"/>
    <s v="CIVIL"/>
    <d v="2023-06-06T00:00:00"/>
    <d v="2023-07-20T19:22:20"/>
    <m/>
    <d v="2023-07-20T00:00:00"/>
    <n v="1878"/>
    <n v="1547"/>
    <s v="8733210"/>
    <s v="8733210"/>
    <m/>
    <m/>
    <n v="22629506"/>
    <m/>
    <m/>
    <m/>
    <s v="SOLFIN"/>
    <s v="SOLFIN"/>
    <s v="CCMS"/>
    <n v="21403533"/>
    <n v="4211.9"/>
    <m/>
    <s v="N"/>
    <n v="23"/>
    <d v="2023-07-20T19:22:42"/>
    <s v="Y"/>
    <s v="Preparation - other"/>
    <s v="Non Family Hourly Rates"/>
    <s v="Profit Cost"/>
    <s v="BSS"/>
    <s v="Y"/>
    <n v="18.9"/>
    <n v="3.78"/>
    <x v="13"/>
    <s v="VALIDATED"/>
    <n v="1"/>
    <s v="01.11.80.201.6100.0000"/>
    <n v="18.9"/>
    <s v="11"/>
    <s v="6100"/>
    <n v="-32425.63"/>
    <n v="18.9"/>
    <s v="DEBTOR"/>
    <n v="0"/>
    <n v="0"/>
    <n v="0"/>
    <n v="0"/>
    <n v="0"/>
  </r>
  <r>
    <n v="8733210"/>
    <s v="N"/>
    <n v="21403533"/>
    <s v="3000004746670021"/>
    <s v="CIVIL"/>
    <d v="2023-06-06T00:00:00"/>
    <d v="2023-07-20T19:22:20"/>
    <m/>
    <d v="2023-07-20T00:00:00"/>
    <n v="1878"/>
    <n v="1547"/>
    <s v="8733210"/>
    <s v="8733210"/>
    <m/>
    <m/>
    <n v="22629506"/>
    <m/>
    <m/>
    <m/>
    <s v="SOLFIN"/>
    <s v="SOLFIN"/>
    <s v="CCMS"/>
    <n v="21403533"/>
    <n v="4211.9"/>
    <m/>
    <s v="N"/>
    <n v="72"/>
    <d v="2023-07-20T19:22:42"/>
    <s v="Y"/>
    <s v="Attendance upon other"/>
    <s v="Non Family Hourly Rates"/>
    <s v="Profit Cost"/>
    <s v="BSS"/>
    <s v="Y"/>
    <n v="25.2"/>
    <n v="5.04"/>
    <x v="13"/>
    <s v="VALIDATED"/>
    <n v="1"/>
    <s v="01.11.80.201.6100.0000"/>
    <n v="25.2"/>
    <s v="11"/>
    <s v="6100"/>
    <n v="-32425.63"/>
    <n v="25.2"/>
    <s v="DEBTOR"/>
    <n v="0"/>
    <n v="0"/>
    <n v="0"/>
    <n v="0"/>
    <n v="0"/>
  </r>
  <r>
    <n v="8733210"/>
    <s v="N"/>
    <n v="21403533"/>
    <s v="3000004746670021"/>
    <s v="CIVIL"/>
    <d v="2023-06-06T00:00:00"/>
    <d v="2023-07-20T19:22:20"/>
    <m/>
    <d v="2023-07-20T00:00:00"/>
    <n v="1878"/>
    <n v="1547"/>
    <s v="8733210"/>
    <s v="8733210"/>
    <m/>
    <m/>
    <n v="22629506"/>
    <m/>
    <m/>
    <m/>
    <s v="SOLFIN"/>
    <s v="SOLFIN"/>
    <s v="CCMS"/>
    <n v="21403533"/>
    <n v="4211.9"/>
    <m/>
    <s v="N"/>
    <n v="103"/>
    <d v="2023-07-20T19:22:42"/>
    <s v="Y"/>
    <s v="Preparation - other"/>
    <s v="Non Family Hourly Rates"/>
    <s v="Profit Cost"/>
    <s v="NAO"/>
    <s v="Y"/>
    <n v="107.1"/>
    <n v="21.42"/>
    <x v="13"/>
    <s v="VALIDATED"/>
    <n v="1"/>
    <s v="01.11.80.201.6100.0000"/>
    <n v="107.1"/>
    <s v="11"/>
    <s v="6100"/>
    <n v="-32425.63"/>
    <n v="107.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5"/>
    <d v="2023-07-10T19:01:45"/>
    <s v="Y"/>
    <s v="Preparation - drafting application"/>
    <s v="Care Remuneration Hourly Rates"/>
    <s v="Profit Cost"/>
    <s v="JBL 30"/>
    <s v="Y"/>
    <n v="35.91"/>
    <n v="7.18"/>
    <x v="2"/>
    <s v="VALIDATED"/>
    <n v="1"/>
    <s v="01.11.80.308.6100.0000"/>
    <n v="35.91"/>
    <s v="11"/>
    <s v="6100"/>
    <n v="-32425.63"/>
    <n v="35.9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3"/>
    <d v="2023-07-10T19:01:45"/>
    <s v="Y"/>
    <s v="Routine Letter In"/>
    <s v="Care Remuneration Hourly Rates"/>
    <s v="Profit Cost"/>
    <s v="AMA"/>
    <s v="Y"/>
    <n v="96.2"/>
    <n v="19.24"/>
    <x v="2"/>
    <s v="VALIDATED"/>
    <n v="1"/>
    <s v="01.11.80.308.6100.0000"/>
    <n v="96.2"/>
    <s v="11"/>
    <s v="6100"/>
    <n v="-32425.63"/>
    <n v="96.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0"/>
    <d v="2023-07-10T19:01:45"/>
    <s v="Y"/>
    <s v="Preparation - drafting application"/>
    <s v="Care Remuneration Hourly Rates"/>
    <s v="Profit Cost"/>
    <s v="AGI"/>
    <s v="Y"/>
    <n v="19.06"/>
    <n v="3.81"/>
    <x v="2"/>
    <s v="VALIDATED"/>
    <n v="1"/>
    <s v="01.11.80.308.6100.0000"/>
    <n v="19.06"/>
    <s v="11"/>
    <s v="6100"/>
    <n v="-32425.63"/>
    <n v="19.0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9"/>
    <d v="2023-07-10T19:02:05"/>
    <s v="Y"/>
    <s v="Preparation - other"/>
    <s v="Non Family Hourly Rates"/>
    <s v="Profit Cost"/>
    <s v="CB"/>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1"/>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1"/>
    <d v="2023-07-10T19:02:05"/>
    <s v="Y"/>
    <s v="Preparation - drafting statement"/>
    <s v="Non Family Hourly Rates"/>
    <s v="Profit Cost"/>
    <s v="CB"/>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9"/>
    <d v="2023-07-10T19:02:05"/>
    <s v="Y"/>
    <s v="Attendance upon client"/>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0"/>
    <d v="2023-07-10T19:02:05"/>
    <s v="Y"/>
    <s v="Preparation - drafting attendance n"/>
    <s v="Non Family Hourly Rates"/>
    <s v="Profit Cost"/>
    <s v="LG"/>
    <s v="Y"/>
    <n v="7.16"/>
    <n v="0"/>
    <x v="2"/>
    <s v="VALIDATED"/>
    <n v="1"/>
    <s v="01.11.80.203.6100.0000"/>
    <n v="7.16"/>
    <s v="11"/>
    <s v="6100"/>
    <n v="-32425.63"/>
    <n v="7.16"/>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6"/>
    <d v="2023-07-05T19:02:09"/>
    <s v="Y"/>
    <s v="Preparation - other"/>
    <s v="VHCC"/>
    <s v="Profit Cost"/>
    <s v="GLE 60"/>
    <s v="Y"/>
    <n v="34.34"/>
    <n v="6.87"/>
    <x v="6"/>
    <s v="VALIDATED"/>
    <n v="1"/>
    <s v="01.11.80.203.6100.0000"/>
    <n v="34.34"/>
    <s v="11"/>
    <s v="6100"/>
    <n v="-32425.63"/>
    <n v="34.34"/>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2"/>
    <d v="2023-07-05T19:02:09"/>
    <s v="Y"/>
    <s v="Attendance upon other"/>
    <s v="VHCC"/>
    <s v="Profit Cost"/>
    <s v="EBK"/>
    <s v="Y"/>
    <n v="150.26"/>
    <n v="30.05"/>
    <x v="6"/>
    <s v="VALIDATED"/>
    <n v="1"/>
    <s v="01.11.80.203.6100.0000"/>
    <n v="150.26"/>
    <s v="11"/>
    <s v="6100"/>
    <n v="-32425.63"/>
    <n v="150.2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0"/>
    <d v="2023-07-05T19:02:06"/>
    <s v="Y"/>
    <s v="Preparation - other"/>
    <s v="VHCC"/>
    <s v="Profit Cost"/>
    <s v="GLE"/>
    <s v="Y"/>
    <n v="35.78"/>
    <n v="7.16"/>
    <x v="6"/>
    <s v="VALIDATED"/>
    <n v="1"/>
    <s v="01.11.80.203.6100.0000"/>
    <n v="35.78"/>
    <s v="11"/>
    <s v="6100"/>
    <n v="-32425.63"/>
    <n v="35.7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1"/>
    <d v="2023-07-05T19:02:06"/>
    <s v="Y"/>
    <s v="Preparation - drafting statement"/>
    <s v="VHCC"/>
    <s v="Profit Cost"/>
    <s v="GLE 60"/>
    <s v="Y"/>
    <n v="435.02"/>
    <n v="87.01000000000001"/>
    <x v="6"/>
    <s v="VALIDATED"/>
    <n v="1"/>
    <s v="01.11.80.203.6100.0000"/>
    <n v="435.02"/>
    <s v="11"/>
    <s v="6100"/>
    <n v="-32425.63"/>
    <n v="435.0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6"/>
    <d v="2023-07-05T19:02:06"/>
    <s v="Y"/>
    <s v="Preparation - other"/>
    <s v="VHCC"/>
    <s v="Profit Cost"/>
    <s v="SHL 60"/>
    <s v="Y"/>
    <n v="34.34"/>
    <n v="6.87"/>
    <x v="6"/>
    <s v="VALIDATED"/>
    <n v="1"/>
    <s v="01.11.80.203.6100.0000"/>
    <n v="34.34"/>
    <s v="11"/>
    <s v="6100"/>
    <n v="-32425.63"/>
    <n v="34.3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4"/>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0"/>
    <d v="2023-07-05T19:01:55"/>
    <s v="Y"/>
    <s v="Preparation -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0"/>
    <d v="2023-07-05T19:01:55"/>
    <s v="Y"/>
    <s v="Preparation - drafting statement"/>
    <s v="Non Family Hourly Rates"/>
    <s v="Profit Cost"/>
    <s v="GLE 50"/>
    <s v="Y"/>
    <n v="214.65"/>
    <n v="42.93"/>
    <x v="6"/>
    <s v="VALIDATED"/>
    <n v="1"/>
    <s v="01.11.80.203.6100.0000"/>
    <n v="214.65"/>
    <s v="11"/>
    <s v="6100"/>
    <n v="-32425.63"/>
    <n v="214.6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4"/>
    <d v="2023-07-05T19:01:55"/>
    <s v="Y"/>
    <s v="Attendance upon client"/>
    <s v="Non Family Hourly Rates"/>
    <s v="Profit Cost"/>
    <s v="HRL 50"/>
    <s v="Y"/>
    <n v="64.40000000000001"/>
    <n v="12.88"/>
    <x v="6"/>
    <s v="VALIDATED"/>
    <n v="1"/>
    <s v="01.11.80.203.6100.0000"/>
    <n v="64.40000000000001"/>
    <s v="11"/>
    <s v="6100"/>
    <n v="-32425.63"/>
    <n v="64.40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1"/>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
    <d v="2023-07-05T19:01:55"/>
    <s v="Y"/>
    <s v="Preparation - other"/>
    <s v="Non Family Hourly Rates"/>
    <s v="Profit Cost"/>
    <s v="HRL 50"/>
    <s v="Y"/>
    <n v="10.74"/>
    <n v="2.15"/>
    <x v="6"/>
    <s v="VALIDATED"/>
    <n v="1"/>
    <s v="01.11.80.203.6100.0000"/>
    <n v="10.74"/>
    <s v="11"/>
    <s v="6100"/>
    <n v="-32425.63"/>
    <n v="10.7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9"/>
    <d v="2023-07-05T19:01:55"/>
    <s v="Y"/>
    <s v="Preparation - other"/>
    <s v="Non Family Hourly Rates"/>
    <s v="Profit Cost"/>
    <s v="HRL 50"/>
    <s v="Y"/>
    <n v="21.47"/>
    <n v="4.29"/>
    <x v="6"/>
    <s v="VALIDATED"/>
    <n v="1"/>
    <s v="01.11.80.203.6100.0000"/>
    <n v="21.47"/>
    <s v="11"/>
    <s v="6100"/>
    <n v="-32425.63"/>
    <n v="21.47"/>
    <s v="DEBTOR"/>
    <n v="0"/>
    <n v="0"/>
    <n v="0"/>
    <n v="0"/>
    <n v="0"/>
  </r>
  <r>
    <n v="61742173"/>
    <s v="N"/>
    <n v="21319086"/>
    <s v="3000015815100003"/>
    <s v="CIVIL"/>
    <d v="2023-06-23T00:00:00"/>
    <d v="2023-07-03T19:01:49"/>
    <m/>
    <d v="2023-07-03T00:00:00"/>
    <n v="1878"/>
    <n v="1547"/>
    <s v="61742173"/>
    <s v="61742173"/>
    <m/>
    <m/>
    <n v="22750850"/>
    <m/>
    <m/>
    <m/>
    <s v="SOLFIN"/>
    <s v="SOLFIN"/>
    <s v="CCMS"/>
    <n v="21319086"/>
    <n v="5246"/>
    <m/>
    <s v="N"/>
    <n v="4"/>
    <d v="2023-07-03T19:02:10"/>
    <s v="Y"/>
    <s v="Preparation - other"/>
    <s v="Prescribed Hourly Rates"/>
    <s v="Profit Cost"/>
    <s v="MAE 15"/>
    <s v="Y"/>
    <n v="129.79"/>
    <n v="25.96"/>
    <x v="3"/>
    <s v="VALIDATED"/>
    <n v="1"/>
    <s v="01.11.80.305.6100.0000"/>
    <n v="129.79"/>
    <s v="11"/>
    <s v="6100"/>
    <n v="-32425.63"/>
    <n v="129.7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7"/>
    <d v="2023-07-03T19:04:58"/>
    <s v="Y"/>
    <s v="Preparation - drafting statement"/>
    <s v="VHCC"/>
    <s v="Profit Cost"/>
    <s v="JML 65"/>
    <s v="Y"/>
    <n v="35.42"/>
    <n v="7.08"/>
    <x v="3"/>
    <s v="VALIDATED"/>
    <n v="1"/>
    <s v="01.11.80.203.6100.0000"/>
    <n v="35.42"/>
    <s v="11"/>
    <s v="6100"/>
    <n v="-32425.63"/>
    <n v="35.4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5"/>
    <d v="2023-07-03T19:04:58"/>
    <s v="Y"/>
    <s v="Preparation - other"/>
    <s v="VHCC"/>
    <s v="Profit Cost"/>
    <s v="MJS"/>
    <s v="Y"/>
    <n v="57.24"/>
    <n v="11.45"/>
    <x v="3"/>
    <s v="VALIDATED"/>
    <n v="1"/>
    <s v="01.11.80.203.6100.0000"/>
    <n v="57.24"/>
    <s v="11"/>
    <s v="6100"/>
    <n v="-32425.63"/>
    <n v="57.2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4"/>
    <d v="2023-07-03T19:04:58"/>
    <s v="Y"/>
    <s v="Preparation - other"/>
    <s v="VHCC"/>
    <s v="Profit Cost"/>
    <s v="JML"/>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1"/>
    <d v="2023-07-03T19:04:58"/>
    <s v="Y"/>
    <s v="Preparation - drafting statement"/>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6"/>
    <d v="2023-07-03T19:04:58"/>
    <s v="Y"/>
    <s v="Preparation - drafting application"/>
    <s v="VHCC"/>
    <s v="Profit Cost"/>
    <s v="JML"/>
    <s v="Y"/>
    <n v="21.47"/>
    <n v="4.29"/>
    <x v="3"/>
    <s v="VALIDATED"/>
    <n v="1"/>
    <s v="01.11.80.203.6100.0000"/>
    <n v="21.47"/>
    <s v="11"/>
    <s v="6100"/>
    <n v="-32425.63"/>
    <n v="21.4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6"/>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4"/>
    <d v="2023-07-03T19:04:58"/>
    <s v="Y"/>
    <s v="Attendance upon client"/>
    <s v="VHCC"/>
    <s v="Profit Cost"/>
    <s v="JML 65"/>
    <s v="Y"/>
    <n v="165.28"/>
    <n v="33.05"/>
    <x v="3"/>
    <s v="VALIDATED"/>
    <n v="1"/>
    <s v="01.11.80.203.6100.0000"/>
    <n v="165.28"/>
    <s v="11"/>
    <s v="6100"/>
    <n v="-32425.63"/>
    <n v="165.28"/>
    <s v="DEBTOR"/>
    <n v="0"/>
    <n v="0"/>
    <n v="0"/>
    <n v="0"/>
    <n v="0"/>
  </r>
  <r>
    <n v="7864685"/>
    <s v="N"/>
    <n v="21403304"/>
    <s v="3000004008160001"/>
    <s v="CIVIL"/>
    <d v="2023-06-28T00:00:00"/>
    <d v="2023-07-20T19:22:20"/>
    <m/>
    <d v="2023-07-20T00:00:00"/>
    <n v="1878"/>
    <n v="1547"/>
    <s v="7864685"/>
    <s v="7864685"/>
    <m/>
    <m/>
    <n v="22783088"/>
    <m/>
    <m/>
    <m/>
    <s v="SOLFIN"/>
    <s v="SOLFIN"/>
    <s v="CCMS"/>
    <n v="21403304"/>
    <n v="0"/>
    <m/>
    <s v="N"/>
    <n v="1"/>
    <d v="2023-07-20T19:22:34"/>
    <s v="N"/>
    <s v="NIL BILL"/>
    <s v="Public Law Children"/>
    <s v="Profit Cost"/>
    <s v="dps"/>
    <s v="N"/>
    <n v="0"/>
    <n v="0"/>
    <x v="13"/>
    <s v="VALIDATED"/>
    <n v="1"/>
    <s v="01.11.80.308.6100.0000"/>
    <n v="0"/>
    <s v="11"/>
    <s v="6100"/>
    <n v="-32425.63"/>
    <n v="0"/>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1"/>
    <d v="2023-07-05T19:02:09"/>
    <s v="Y"/>
    <s v="Preparation - other"/>
    <s v="VHCC"/>
    <s v="Profit Cost"/>
    <s v="GLE 60"/>
    <s v="Y"/>
    <n v="22.9"/>
    <n v="4.58"/>
    <x v="6"/>
    <s v="VALIDATED"/>
    <n v="1"/>
    <s v="01.11.80.203.6100.0000"/>
    <n v="22.9"/>
    <s v="11"/>
    <s v="6100"/>
    <n v="-32425.63"/>
    <n v="22.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3"/>
    <d v="2023-07-05T19:02:09"/>
    <s v="Y"/>
    <s v="Preparation - drafting bill/claim f"/>
    <s v="VHCC"/>
    <s v="Profit Cost"/>
    <s v="LD"/>
    <s v="Y"/>
    <n v="228.96"/>
    <n v="45.79"/>
    <x v="6"/>
    <s v="VALIDATED"/>
    <n v="1"/>
    <s v="01.11.80.203.6100.0000"/>
    <n v="228.96"/>
    <s v="11"/>
    <s v="6100"/>
    <n v="-32425.63"/>
    <n v="228.96"/>
    <s v="DEBTOR"/>
    <n v="0"/>
    <n v="0"/>
    <n v="0"/>
    <n v="0"/>
    <n v="0"/>
  </r>
  <r>
    <n v="59677260"/>
    <s v="N"/>
    <n v="21331257"/>
    <s v="3000014052440026"/>
    <s v="CIVIL"/>
    <d v="2023-06-30T00:00:00"/>
    <d v="2023-07-05T19:01:47"/>
    <m/>
    <d v="2023-07-05T00:00:00"/>
    <n v="1878"/>
    <n v="1547"/>
    <s v="59677260"/>
    <s v="59677260"/>
    <m/>
    <m/>
    <n v="22798826"/>
    <m/>
    <m/>
    <m/>
    <s v="SOLINT"/>
    <s v="SOLINT"/>
    <s v="CCMS"/>
    <n v="21331257"/>
    <n v="4736.2"/>
    <m/>
    <s v="N"/>
    <n v="34"/>
    <d v="2023-07-05T19:02:12"/>
    <s v="Y"/>
    <s v="Preparation -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
    <d v="2023-07-05T19:02:06"/>
    <s v="Y"/>
    <s v="Preparation - other"/>
    <s v="VHCC"/>
    <s v="Profit Cost"/>
    <s v="SHL 60"/>
    <s v="Y"/>
    <n v="91.58"/>
    <n v="18.32"/>
    <x v="6"/>
    <s v="VALIDATED"/>
    <n v="1"/>
    <s v="01.11.80.203.6100.0000"/>
    <n v="91.58"/>
    <s v="11"/>
    <s v="6100"/>
    <n v="-32425.63"/>
    <n v="91.5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1"/>
    <d v="2023-07-05T19:01:55"/>
    <s v="Y"/>
    <s v="Preparation - other"/>
    <s v="Non Family Hourly Rates"/>
    <s v="Profit Cost"/>
    <s v="HRL 50"/>
    <s v="Y"/>
    <n v="107.33"/>
    <n v="21.47"/>
    <x v="6"/>
    <s v="VALIDATED"/>
    <n v="1"/>
    <s v="01.11.80.203.6100.0000"/>
    <n v="107.33"/>
    <s v="11"/>
    <s v="6100"/>
    <n v="-32425.63"/>
    <n v="107.3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
    <d v="2023-07-05T19:01:55"/>
    <s v="Y"/>
    <s v="Preparation - other"/>
    <s v="Non Family Hourly Rates"/>
    <s v="Profit Cost"/>
    <s v="HRL 50"/>
    <s v="Y"/>
    <n v="21.47"/>
    <n v="4.29"/>
    <x v="6"/>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6"/>
    <d v="2023-07-03T19:04:58"/>
    <s v="Y"/>
    <s v="Preparation - other"/>
    <s v="VHCC"/>
    <s v="Profit Cost"/>
    <s v="JML 65"/>
    <s v="Y"/>
    <n v="59.03"/>
    <n v="11.8"/>
    <x v="3"/>
    <s v="VALIDATED"/>
    <n v="1"/>
    <s v="01.11.80.203.6100.0000"/>
    <n v="59.03"/>
    <s v="11"/>
    <s v="6100"/>
    <n v="-32425.63"/>
    <n v="59.03"/>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2"/>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9"/>
    <d v="2023-07-03T19:04:58"/>
    <s v="Y"/>
    <s v="Attendance upon client"/>
    <s v="VHCC"/>
    <s v="Profit Cost"/>
    <s v="JML 65"/>
    <s v="Y"/>
    <n v="106.25"/>
    <n v="21.25"/>
    <x v="3"/>
    <s v="VALIDATED"/>
    <n v="1"/>
    <s v="01.11.80.203.6100.0000"/>
    <n v="106.25"/>
    <s v="11"/>
    <s v="6100"/>
    <n v="-32425.63"/>
    <n v="106.2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1"/>
    <d v="2023-07-03T19:04:58"/>
    <s v="Y"/>
    <s v="Preparation - other"/>
    <s v="VHCC"/>
    <s v="Profit Cost"/>
    <s v="MJS"/>
    <s v="Y"/>
    <n v="35.78"/>
    <n v="7.16"/>
    <x v="3"/>
    <s v="VALIDATED"/>
    <n v="1"/>
    <s v="01.11.80.203.6100.0000"/>
    <n v="35.78"/>
    <s v="11"/>
    <s v="6100"/>
    <n v="-32425.63"/>
    <n v="35.7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4"/>
    <d v="2023-07-03T19:04:58"/>
    <s v="Y"/>
    <s v="Preparation - other"/>
    <s v="VHCC"/>
    <s v="Profit Cost"/>
    <s v="JML 65"/>
    <s v="Y"/>
    <n v="720.17"/>
    <n v="144.02"/>
    <x v="3"/>
    <s v="VALIDATED"/>
    <n v="1"/>
    <s v="01.11.80.203.6100.0000"/>
    <n v="720.17"/>
    <s v="11"/>
    <s v="6100"/>
    <n v="-32425.63"/>
    <n v="720.17"/>
    <s v="DEBTOR"/>
    <n v="0"/>
    <n v="0"/>
    <n v="0"/>
    <n v="0"/>
    <n v="0"/>
  </r>
  <r>
    <n v="61742173"/>
    <s v="N"/>
    <n v="21319086"/>
    <s v="3000015815100003"/>
    <s v="CIVIL"/>
    <d v="2023-06-23T00:00:00"/>
    <d v="2023-07-03T19:01:49"/>
    <m/>
    <d v="2023-07-03T00:00:00"/>
    <n v="1878"/>
    <n v="1547"/>
    <s v="61742173"/>
    <s v="61742173"/>
    <m/>
    <m/>
    <n v="22750850"/>
    <m/>
    <m/>
    <m/>
    <s v="SOLFIN"/>
    <s v="SOLFIN"/>
    <s v="CCMS"/>
    <n v="21319086"/>
    <n v="5246"/>
    <m/>
    <s v="N"/>
    <n v="15"/>
    <d v="2023-07-03T19:02:10"/>
    <s v="Y"/>
    <s v="Attendance upon other"/>
    <s v="Prescribed Hourly Rates"/>
    <s v="Profit Cost"/>
    <s v="MAE 15"/>
    <s v="Y"/>
    <n v="27.32"/>
    <n v="5.46"/>
    <x v="3"/>
    <s v="VALIDATED"/>
    <n v="1"/>
    <s v="01.11.80.305.6100.0000"/>
    <n v="27.32"/>
    <s v="11"/>
    <s v="6100"/>
    <n v="-32425.63"/>
    <n v="27.32"/>
    <s v="DEBTOR"/>
    <n v="0"/>
    <n v="0"/>
    <n v="0"/>
    <n v="0"/>
    <n v="0"/>
  </r>
  <r>
    <n v="61742173"/>
    <s v="N"/>
    <n v="21319086"/>
    <s v="3000015815100003"/>
    <s v="CIVIL"/>
    <d v="2023-06-23T00:00:00"/>
    <d v="2023-07-03T19:01:49"/>
    <m/>
    <d v="2023-07-03T00:00:00"/>
    <n v="1878"/>
    <n v="1547"/>
    <s v="61742173"/>
    <s v="61742173"/>
    <m/>
    <m/>
    <n v="22750850"/>
    <m/>
    <m/>
    <m/>
    <s v="SOLFIN"/>
    <s v="SOLFIN"/>
    <s v="CCMS"/>
    <n v="21319086"/>
    <n v="5246"/>
    <m/>
    <s v="N"/>
    <n v="27"/>
    <d v="2023-07-03T19:02:10"/>
    <s v="Y"/>
    <s v="Preparation - other"/>
    <s v="Prescribed Hourly Rates"/>
    <s v="Profit Cost"/>
    <s v="MAE 15"/>
    <s v="Y"/>
    <n v="34.16"/>
    <n v="6.83"/>
    <x v="3"/>
    <s v="VALIDATED"/>
    <n v="1"/>
    <s v="01.11.80.305.6100.0000"/>
    <n v="34.16"/>
    <s v="11"/>
    <s v="6100"/>
    <n v="-32425.63"/>
    <n v="34.16"/>
    <s v="DEBTOR"/>
    <n v="0"/>
    <n v="0"/>
    <n v="0"/>
    <n v="0"/>
    <n v="0"/>
  </r>
  <r>
    <n v="59773071"/>
    <s v="N"/>
    <n v="21392646"/>
    <s v="3000014124260002"/>
    <s v="CIVIL"/>
    <d v="2023-06-14T00:00:00"/>
    <d v="2023-07-18T19:00:27"/>
    <m/>
    <d v="2023-07-18T00:00:00"/>
    <n v="1878"/>
    <n v="1547"/>
    <s v="59773071"/>
    <s v="59773071"/>
    <m/>
    <m/>
    <n v="22686976"/>
    <m/>
    <m/>
    <m/>
    <s v="SOLFIN"/>
    <s v="SOLFIN"/>
    <s v="CCMS"/>
    <n v="21392646"/>
    <n v="1220.15"/>
    <m/>
    <s v="N"/>
    <n v="5"/>
    <d v="2023-07-18T19:00:56"/>
    <s v="Y"/>
    <s v="Preparation - other"/>
    <s v="Non Family Hourly Rates"/>
    <s v="Profit Cost"/>
    <s v="MSK"/>
    <s v="Y"/>
    <n v="7.16"/>
    <n v="1.43"/>
    <x v="14"/>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68"/>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97"/>
    <d v="2023-07-20T19:22:42"/>
    <s v="Y"/>
    <s v="Preparation - other"/>
    <s v="Non Family Hourly Rates"/>
    <s v="Profit Cost"/>
    <s v="GMT"/>
    <s v="Y"/>
    <n v="25.2"/>
    <n v="5.04"/>
    <x v="13"/>
    <s v="VALIDATED"/>
    <n v="1"/>
    <s v="01.11.80.201.6100.0000"/>
    <n v="25.2"/>
    <s v="11"/>
    <s v="6100"/>
    <n v="-32425.63"/>
    <n v="25.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
    <d v="2023-07-10T19:01:45"/>
    <s v="N"/>
    <s v="Preparation - other"/>
    <s v="Care Remuneration Hourly Rates"/>
    <s v="Profit Cost"/>
    <s v="JBL 30"/>
    <s v="N"/>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
    <d v="2023-07-10T19:01:45"/>
    <s v="N"/>
    <s v="Preparation - other"/>
    <s v="Care Remuneration Hourly Rates"/>
    <s v="Profit Cost"/>
    <s v="JBL 30"/>
    <s v="N"/>
    <n v="64.64"/>
    <n v="12.93"/>
    <x v="2"/>
    <s v="VALIDATED"/>
    <n v="1"/>
    <s v="01.11.80.308.6100.0000"/>
    <n v="64.64"/>
    <s v="11"/>
    <s v="6100"/>
    <n v="-32425.63"/>
    <n v="64.6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2"/>
    <d v="2023-07-10T19:01:45"/>
    <s v="Y"/>
    <s v="Preparation - drafting statement"/>
    <s v="Care Remuneration Hourly Rates"/>
    <s v="Profit Cost"/>
    <s v="AGI 30"/>
    <s v="Y"/>
    <n v="100.54"/>
    <n v="20.11"/>
    <x v="2"/>
    <s v="VALIDATED"/>
    <n v="1"/>
    <s v="01.11.80.308.6100.0000"/>
    <n v="100.54"/>
    <s v="11"/>
    <s v="6100"/>
    <n v="-32425.63"/>
    <n v="100.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6"/>
    <d v="2023-07-10T19:01:45"/>
    <s v="Y"/>
    <s v="Preparation - other"/>
    <s v="Care Remuneration Hourly Rates"/>
    <s v="Profit Cost"/>
    <s v="JBL 30"/>
    <s v="Y"/>
    <n v="179.53"/>
    <n v="35.91"/>
    <x v="2"/>
    <s v="VALIDATED"/>
    <n v="1"/>
    <s v="01.11.80.308.6100.0000"/>
    <n v="179.53"/>
    <s v="11"/>
    <s v="6100"/>
    <n v="-32425.63"/>
    <n v="179.5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1"/>
    <d v="2023-07-10T19:01:45"/>
    <s v="Y"/>
    <s v="Preparation - other"/>
    <s v="Care Remuneration Hourly Rates"/>
    <s v="Profit Cost"/>
    <s v="AMA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
    <d v="2023-07-10T19:02:05"/>
    <s v="Y"/>
    <s v="Interpreter"/>
    <s v="Non Family Hourly Rates"/>
    <s v="Expert Disbursement"/>
    <s v="XXX"/>
    <s v="Y"/>
    <n v="43.74"/>
    <n v="8.75"/>
    <x v="2"/>
    <s v="VALIDATED"/>
    <n v="1"/>
    <s v="01.11.80.203.6300.0000"/>
    <n v="43.74"/>
    <s v="11"/>
    <s v="6300"/>
    <n v="-32425.63"/>
    <n v="43.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
    <d v="2023-07-10T19:02:05"/>
    <s v="Y"/>
    <s v="Interpreter"/>
    <s v="Non Family Hourly Rates"/>
    <s v="Expert Disbursement"/>
    <s v="XXX"/>
    <s v="Y"/>
    <n v="12.5"/>
    <n v="2.5"/>
    <x v="2"/>
    <s v="VALIDATED"/>
    <n v="1"/>
    <s v="01.11.80.203.6300.0000"/>
    <n v="12.5"/>
    <s v="11"/>
    <s v="6300"/>
    <n v="-32425.63"/>
    <n v="1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
    <d v="2023-07-10T19:02:05"/>
    <s v="Y"/>
    <s v="Interpreter"/>
    <s v="Non Family Hourly Rates"/>
    <s v="Expert Disbursement"/>
    <s v="XXX"/>
    <s v="Y"/>
    <n v="49.99"/>
    <n v="10"/>
    <x v="2"/>
    <s v="VALIDATED"/>
    <n v="1"/>
    <s v="01.11.80.203.6300.0000"/>
    <n v="49.99"/>
    <s v="11"/>
    <s v="6300"/>
    <n v="-32425.63"/>
    <n v="49.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3"/>
    <d v="2023-07-10T19:02:05"/>
    <s v="Y"/>
    <s v="Attendance upon client"/>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3"/>
    <d v="2023-07-10T19:02:05"/>
    <s v="Y"/>
    <s v="Preparation - drafting attendance n"/>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6"/>
    <d v="2023-07-10T19:02:05"/>
    <s v="Y"/>
    <s v="Preparation - other"/>
    <s v="Non Family Hourly Rates"/>
    <s v="Profit Cost"/>
    <s v="LG"/>
    <s v="Y"/>
    <n v="64.40000000000001"/>
    <n v="0"/>
    <x v="2"/>
    <s v="VALIDATED"/>
    <n v="1"/>
    <s v="01.11.80.203.6100.0000"/>
    <n v="64.40000000000001"/>
    <s v="11"/>
    <s v="6100"/>
    <n v="-32425.63"/>
    <n v="64.4000000000000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9"/>
    <d v="2023-07-10T19:02:05"/>
    <s v="Y"/>
    <s v="Preparation - other"/>
    <s v="Non Family Hourly Rates"/>
    <s v="Profit Cost"/>
    <s v="CB"/>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1"/>
    <d v="2023-07-10T19:02:05"/>
    <s v="Y"/>
    <s v="Attendance upon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1"/>
    <d v="2023-07-10T19:02:05"/>
    <s v="Y"/>
    <s v="Preparation - other"/>
    <s v="Non Family Hourly Rates"/>
    <s v="Profit Cost"/>
    <s v="CB"/>
    <s v="Y"/>
    <n v="75.14"/>
    <n v="0"/>
    <x v="2"/>
    <s v="VALIDATED"/>
    <n v="1"/>
    <s v="01.11.80.203.6100.0000"/>
    <n v="75.14"/>
    <s v="11"/>
    <s v="6100"/>
    <n v="-32425.63"/>
    <n v="75.1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4"/>
    <d v="2023-07-10T19:02:05"/>
    <s v="Y"/>
    <s v="Preparation - drafting attendance n"/>
    <s v="Non Family Hourly Rates"/>
    <s v="Profit Cost"/>
    <s v="LG"/>
    <s v="Y"/>
    <n v="28.62"/>
    <n v="0"/>
    <x v="2"/>
    <s v="VALIDATED"/>
    <n v="1"/>
    <s v="01.11.80.203.6100.0000"/>
    <n v="28.62"/>
    <s v="11"/>
    <s v="6100"/>
    <n v="-32425.63"/>
    <n v="28.62"/>
    <s v="DEBTOR"/>
    <n v="0"/>
    <n v="0"/>
    <n v="0"/>
    <n v="0"/>
    <n v="0"/>
  </r>
  <r>
    <n v="62505835"/>
    <s v="N"/>
    <n v="21349453"/>
    <s v="3000016462370001"/>
    <s v="CIVIL"/>
    <d v="2023-06-29T00:00:00"/>
    <d v="2023-07-10T19:01:40"/>
    <m/>
    <d v="2023-07-10T00:00:00"/>
    <n v="1878"/>
    <n v="1547"/>
    <s v="62505835"/>
    <s v="62505835"/>
    <m/>
    <m/>
    <n v="22788222"/>
    <m/>
    <m/>
    <m/>
    <s v="SOLFIN"/>
    <s v="SOLFIN"/>
    <s v="CCMS"/>
    <n v="21349453"/>
    <n v="1212.58"/>
    <m/>
    <s v="N"/>
    <n v="9"/>
    <d v="2023-07-10T19:01:50"/>
    <s v="Y"/>
    <s v="Preparation - other"/>
    <s v="Care Remuneration Hourly Rates"/>
    <s v="Profit Cost"/>
    <s v="HPY"/>
    <s v="Y"/>
    <n v="8.6"/>
    <n v="1.72"/>
    <x v="2"/>
    <s v="VALIDATED"/>
    <n v="1"/>
    <s v="01.11.80.308.6100.0000"/>
    <n v="8.6"/>
    <s v="11"/>
    <s v="6100"/>
    <n v="-32425.63"/>
    <n v="8.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6"/>
    <d v="2023-07-10T19:01:45"/>
    <s v="Y"/>
    <s v="Report - other expert's report"/>
    <s v="Care Remuneration Hourly Rates"/>
    <s v="Profit Cost"/>
    <s v="AGI 30"/>
    <s v="Y"/>
    <n v="71.81"/>
    <n v="14.36"/>
    <x v="2"/>
    <s v="VALIDATED"/>
    <n v="1"/>
    <s v="01.11.80.308.6100.0000"/>
    <n v="71.81"/>
    <s v="11"/>
    <s v="6100"/>
    <n v="-32425.63"/>
    <n v="71.81"/>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4"/>
    <d v="2023-07-06T19:21:25"/>
    <s v="Y"/>
    <s v="Attendance upon client"/>
    <s v="Care Remuneration Hourly Rates"/>
    <s v="Profit Cost"/>
    <s v="NBS 25"/>
    <s v="Y"/>
    <n v="30.69"/>
    <n v="6.14"/>
    <x v="4"/>
    <s v="VALIDATED"/>
    <n v="1"/>
    <s v="01.11.80.308.6100.0000"/>
    <n v="30.69"/>
    <s v="11"/>
    <s v="6100"/>
    <n v="-32425.63"/>
    <n v="30.69"/>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8"/>
    <d v="2023-07-06T19:21:25"/>
    <s v="Y"/>
    <s v="Preparation - other"/>
    <s v="Care Remuneration Hourly Rates"/>
    <s v="Profit Cost"/>
    <s v="NBS 25"/>
    <s v="Y"/>
    <n v="23.01"/>
    <n v="4.6"/>
    <x v="4"/>
    <s v="VALIDATED"/>
    <n v="1"/>
    <s v="01.11.80.308.6100.0000"/>
    <n v="23.01"/>
    <s v="11"/>
    <s v="6100"/>
    <n v="-32425.63"/>
    <n v="23.0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6"/>
    <d v="2023-07-05T19:02:09"/>
    <s v="Y"/>
    <s v="Preparation - drafting statement"/>
    <s v="VHCC"/>
    <s v="Profit Cost"/>
    <s v="GLE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6"/>
    <d v="2023-07-05T19:02:06"/>
    <s v="Y"/>
    <s v="Attendance upon other"/>
    <s v="VHCC"/>
    <s v="Profit Cost"/>
    <s v="SHL"/>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0"/>
    <d v="2023-07-05T19:02:06"/>
    <s v="Y"/>
    <s v="Preparation - other"/>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5"/>
    <d v="2023-07-05T19:02:06"/>
    <s v="Y"/>
    <s v="Preparation - other"/>
    <s v="VHCC"/>
    <s v="Profit Cost"/>
    <s v="GLE"/>
    <s v="Y"/>
    <n v="186.03"/>
    <n v="37.21"/>
    <x v="6"/>
    <s v="VALIDATED"/>
    <n v="1"/>
    <s v="01.11.80.203.6100.0000"/>
    <n v="186.03"/>
    <s v="11"/>
    <s v="6100"/>
    <n v="-32425.63"/>
    <n v="186.03"/>
    <s v="DEBTOR"/>
    <n v="0"/>
    <n v="0"/>
    <n v="0"/>
    <n v="0"/>
    <n v="0"/>
  </r>
  <r>
    <n v="59677260"/>
    <s v="N"/>
    <n v="21331257"/>
    <s v="3000014052440026"/>
    <s v="CIVIL"/>
    <d v="2023-06-30T00:00:00"/>
    <d v="2023-07-05T19:01:47"/>
    <m/>
    <d v="2023-07-05T00:00:00"/>
    <n v="1878"/>
    <n v="1547"/>
    <s v="59677260"/>
    <s v="59677260"/>
    <m/>
    <m/>
    <n v="22798826"/>
    <m/>
    <m/>
    <m/>
    <s v="SOLINT"/>
    <s v="SOLINT"/>
    <s v="CCMS"/>
    <n v="21331257"/>
    <n v="4736.2"/>
    <m/>
    <s v="N"/>
    <n v="8"/>
    <d v="2023-07-05T19:02:12"/>
    <s v="Y"/>
    <s v="Waiting - other"/>
    <s v="VHCC"/>
    <s v="Profit Cost"/>
    <s v="GLE"/>
    <s v="Y"/>
    <n v="32.92"/>
    <n v="6.58"/>
    <x v="6"/>
    <s v="VALIDATED"/>
    <n v="1"/>
    <s v="01.11.80.203.6100.0000"/>
    <n v="32.92"/>
    <s v="11"/>
    <s v="6100"/>
    <n v="-32425.63"/>
    <n v="32.9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
    <d v="2023-07-05T19:01:55"/>
    <s v="Y"/>
    <s v="Preparation - drafting application"/>
    <s v="Non Family Hourly Rates"/>
    <s v="Profit Cost"/>
    <s v="HRL"/>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0"/>
    <d v="2023-07-05T19:01:55"/>
    <s v="Y"/>
    <s v="Preparation - other"/>
    <s v="Non Family Hourly Rates"/>
    <s v="Profit Cost"/>
    <s v="HRL 50"/>
    <s v="Y"/>
    <n v="21.47"/>
    <n v="4.29"/>
    <x v="6"/>
    <s v="VALIDATED"/>
    <n v="1"/>
    <s v="01.11.80.203.6100.0000"/>
    <n v="21.47"/>
    <s v="11"/>
    <s v="6100"/>
    <n v="-32425.63"/>
    <n v="21.4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4"/>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4"/>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3"/>
    <d v="2023-07-03T19:04:58"/>
    <s v="Y"/>
    <s v="Attendance upon client"/>
    <s v="VHCC"/>
    <s v="Profit Cost"/>
    <s v="JML 65"/>
    <s v="Y"/>
    <n v="23.61"/>
    <n v="4.72"/>
    <x v="3"/>
    <s v="VALIDATED"/>
    <n v="1"/>
    <s v="01.11.80.203.6100.0000"/>
    <n v="23.61"/>
    <s v="11"/>
    <s v="6100"/>
    <n v="-32425.63"/>
    <n v="23.61"/>
    <s v="DEBTOR"/>
    <n v="0"/>
    <n v="0"/>
    <n v="0"/>
    <n v="0"/>
    <n v="0"/>
  </r>
  <r>
    <n v="61876766"/>
    <s v="N"/>
    <n v="21321818"/>
    <s v="3000015937690005"/>
    <s v="CIVIL"/>
    <d v="2023-06-29T00:00:00"/>
    <d v="2023-07-03T19:05:17"/>
    <m/>
    <d v="2023-07-03T00:00:00"/>
    <n v="1878"/>
    <n v="1547"/>
    <s v="61876766"/>
    <s v="61876766"/>
    <m/>
    <m/>
    <n v="22786628"/>
    <m/>
    <m/>
    <m/>
    <s v="SOLPOA"/>
    <s v="SOLPOA"/>
    <s v="CCMS"/>
    <n v="21321818"/>
    <n v="1931.52"/>
    <m/>
    <s v="N"/>
    <n v="1"/>
    <d v="2023-07-03T19:05:21"/>
    <s v="N"/>
    <s v="Profit Cost"/>
    <s v="Profit Cost"/>
    <s v="Profit Cost"/>
    <s v="NOR"/>
    <s v="N"/>
    <n v="1609.6"/>
    <n v="321.92"/>
    <x v="3"/>
    <s v="VALIDATED"/>
    <n v="1"/>
    <s v="01.11.80.203.2012.0000"/>
    <n v="1609.6"/>
    <s v="11"/>
    <s v="2012"/>
    <n v="-32425.63"/>
    <n v="1609.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7"/>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0"/>
    <d v="2023-07-03T19:04:58"/>
    <s v="Y"/>
    <s v="Attendance upon other"/>
    <s v="VHCC"/>
    <s v="Profit Cost"/>
    <s v="JML 65"/>
    <s v="Y"/>
    <n v="165.28"/>
    <n v="33.05"/>
    <x v="3"/>
    <s v="VALIDATED"/>
    <n v="1"/>
    <s v="01.11.80.203.6100.0000"/>
    <n v="165.28"/>
    <s v="11"/>
    <s v="6100"/>
    <n v="-32425.63"/>
    <n v="165.2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6"/>
    <d v="2023-07-03T19:04:58"/>
    <s v="Y"/>
    <s v="Attendance upon other"/>
    <s v="VHCC"/>
    <s v="Profit Cost"/>
    <s v="CBD"/>
    <s v="Y"/>
    <n v="57.24"/>
    <n v="11.45"/>
    <x v="3"/>
    <s v="VALIDATED"/>
    <n v="1"/>
    <s v="01.11.80.203.6100.0000"/>
    <n v="57.24"/>
    <s v="11"/>
    <s v="6100"/>
    <n v="-32425.63"/>
    <n v="57.2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1"/>
    <d v="2023-07-03T19:04:58"/>
    <s v="Y"/>
    <s v="Preparation - other"/>
    <s v="VHCC"/>
    <s v="Profit Cost"/>
    <s v="JML"/>
    <s v="Y"/>
    <n v="21.47"/>
    <n v="4.29"/>
    <x v="3"/>
    <s v="VALIDATED"/>
    <n v="1"/>
    <s v="01.11.80.203.6100.0000"/>
    <n v="21.47"/>
    <s v="11"/>
    <s v="6100"/>
    <n v="-32425.63"/>
    <n v="21.47"/>
    <s v="DEBTOR"/>
    <n v="0"/>
    <n v="0"/>
    <n v="0"/>
    <n v="0"/>
    <n v="0"/>
  </r>
  <r>
    <n v="8733210"/>
    <s v="N"/>
    <n v="21403533"/>
    <s v="3000004746670021"/>
    <s v="CIVIL"/>
    <d v="2023-06-06T00:00:00"/>
    <d v="2023-07-20T19:22:20"/>
    <m/>
    <d v="2023-07-20T00:00:00"/>
    <n v="1878"/>
    <n v="1547"/>
    <s v="8733210"/>
    <s v="8733210"/>
    <m/>
    <m/>
    <n v="22629506"/>
    <m/>
    <m/>
    <m/>
    <s v="SOLFIN"/>
    <s v="SOLFIN"/>
    <s v="CCMS"/>
    <n v="21403533"/>
    <n v="4211.9"/>
    <m/>
    <s v="N"/>
    <n v="11"/>
    <d v="2023-07-20T19:22:42"/>
    <s v="N"/>
    <s v="A &amp; E Consultant"/>
    <s v="Non Family Hourly Rates"/>
    <s v="Expert Disbursement"/>
    <s v="XXX"/>
    <s v="N"/>
    <n v="324"/>
    <n v="64.8"/>
    <x v="13"/>
    <s v="VALIDATED"/>
    <n v="1"/>
    <s v="01.11.80.201.6300.0000"/>
    <n v="324"/>
    <s v="11"/>
    <s v="6300"/>
    <n v="-32425.63"/>
    <n v="324"/>
    <s v="DEBTOR"/>
    <n v="0"/>
    <n v="0"/>
    <n v="0"/>
    <n v="0"/>
    <n v="0"/>
  </r>
  <r>
    <n v="8733210"/>
    <s v="N"/>
    <n v="21403533"/>
    <s v="3000004746670021"/>
    <s v="CIVIL"/>
    <d v="2023-06-06T00:00:00"/>
    <d v="2023-07-20T19:22:20"/>
    <m/>
    <d v="2023-07-20T00:00:00"/>
    <n v="1878"/>
    <n v="1547"/>
    <s v="8733210"/>
    <s v="8733210"/>
    <m/>
    <m/>
    <n v="22629506"/>
    <m/>
    <m/>
    <m/>
    <s v="SOLFIN"/>
    <s v="SOLFIN"/>
    <s v="CCMS"/>
    <n v="21403533"/>
    <n v="4211.9"/>
    <m/>
    <s v="N"/>
    <n v="75"/>
    <d v="2023-07-20T19:22:42"/>
    <s v="Y"/>
    <s v="Preparation - other"/>
    <s v="Non Family Hourly Rates"/>
    <s v="Profit Cost"/>
    <s v="BSS"/>
    <s v="Y"/>
    <n v="12.6"/>
    <n v="2.52"/>
    <x v="13"/>
    <s v="VALIDATED"/>
    <n v="1"/>
    <s v="01.11.80.201.6100.0000"/>
    <n v="12.6"/>
    <s v="11"/>
    <s v="6100"/>
    <n v="-32425.63"/>
    <n v="12.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3"/>
    <d v="2023-07-10T19:02:05"/>
    <s v="Y"/>
    <s v="Preparation - other"/>
    <s v="Non Family Hourly Rates"/>
    <s v="Profit Cost"/>
    <s v="CB"/>
    <s v="Y"/>
    <n v="42.93"/>
    <n v="0"/>
    <x v="2"/>
    <s v="VALIDATED"/>
    <n v="1"/>
    <s v="01.11.80.203.6100.0000"/>
    <n v="42.93"/>
    <s v="11"/>
    <s v="6100"/>
    <n v="-32425.63"/>
    <n v="42.9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6"/>
    <d v="2023-07-10T19:01:45"/>
    <s v="Y"/>
    <s v="Preparation - other"/>
    <s v="Care Remuneration Hourly Rates"/>
    <s v="Profit Cost"/>
    <s v="LD"/>
    <s v="Y"/>
    <n v="5.52"/>
    <n v="1.1"/>
    <x v="2"/>
    <s v="VALIDATED"/>
    <n v="1"/>
    <s v="01.11.80.308.6100.0000"/>
    <n v="5.52"/>
    <s v="11"/>
    <s v="6100"/>
    <n v="-32425.63"/>
    <n v="5.5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4"/>
    <d v="2023-07-10T19:01:45"/>
    <s v="N"/>
    <s v="Solicitors Fixed Fee"/>
    <s v="Public Law Children"/>
    <s v="Profit Cost"/>
    <s v="AGI"/>
    <s v="N"/>
    <n v="0"/>
    <n v="0"/>
    <x v="2"/>
    <s v="VALIDATED"/>
    <n v="1"/>
    <s v="01.11.80.308.6100.0000"/>
    <n v="0"/>
    <s v="11"/>
    <s v="6100"/>
    <n v="-32425.63"/>
    <n v="0"/>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5"/>
    <d v="2023-07-10T19:01:45"/>
    <s v="Y"/>
    <s v="Advocates Meeting"/>
    <s v="Public Law Children"/>
    <s v="Advocacy"/>
    <s v="JBL"/>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4"/>
    <d v="2023-07-10T19:01:45"/>
    <s v="Y"/>
    <s v="Preparation - other"/>
    <s v="Care Remuneration Hourly Rates"/>
    <s v="Profit Cost"/>
    <s v="AGI 30"/>
    <s v="Y"/>
    <n v="107.72"/>
    <n v="21.54"/>
    <x v="2"/>
    <s v="VALIDATED"/>
    <n v="1"/>
    <s v="01.11.80.308.6100.0000"/>
    <n v="107.72"/>
    <s v="11"/>
    <s v="6100"/>
    <n v="-32425.63"/>
    <n v="107.7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2"/>
    <d v="2023-07-10T19:01:45"/>
    <s v="Y"/>
    <s v="Preparation - drafting statement"/>
    <s v="Care Remuneration Hourly Rates"/>
    <s v="Profit Cost"/>
    <s v="JBL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4"/>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5"/>
    <d v="2023-07-10T19:02:05"/>
    <s v="Y"/>
    <s v="Preparation - other"/>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8"/>
    <d v="2023-07-10T19:02:05"/>
    <s v="Y"/>
    <s v="Preparation - drafting attendance n"/>
    <s v="Non Family Hourly Rates"/>
    <s v="Profit Cost"/>
    <s v="LG"/>
    <s v="Y"/>
    <n v="28.62"/>
    <n v="0"/>
    <x v="2"/>
    <s v="VALIDATED"/>
    <n v="1"/>
    <s v="01.11.80.203.6100.0000"/>
    <n v="28.62"/>
    <s v="11"/>
    <s v="6100"/>
    <n v="-32425.63"/>
    <n v="28.62"/>
    <s v="DEBTOR"/>
    <n v="0"/>
    <n v="0"/>
    <n v="0"/>
    <n v="0"/>
    <n v="0"/>
  </r>
  <r>
    <n v="59677260"/>
    <s v="N"/>
    <n v="21331198"/>
    <s v="3000014052440025"/>
    <s v="CIVIL"/>
    <d v="2023-06-30T00:00:00"/>
    <d v="2023-07-05T19:01:47"/>
    <m/>
    <d v="2023-07-05T00:00:00"/>
    <n v="1878"/>
    <n v="1547"/>
    <s v="59677260"/>
    <s v="59677260"/>
    <m/>
    <m/>
    <n v="22798388"/>
    <m/>
    <m/>
    <m/>
    <s v="SOLINT"/>
    <s v="SOLINT"/>
    <s v="CCMS"/>
    <n v="21331198"/>
    <n v="5452.01"/>
    <m/>
    <s v="N"/>
    <n v="8"/>
    <d v="2023-07-05T19:02:09"/>
    <s v="Y"/>
    <s v="Preparation - other"/>
    <s v="VHCC"/>
    <s v="Profit Cost"/>
    <s v="SHL 60"/>
    <s v="Y"/>
    <n v="11.45"/>
    <n v="2.29"/>
    <x v="6"/>
    <s v="VALIDATED"/>
    <n v="1"/>
    <s v="01.11.80.203.6100.0000"/>
    <n v="11.45"/>
    <s v="11"/>
    <s v="6100"/>
    <n v="-32425.63"/>
    <n v="11.45"/>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3"/>
    <d v="2023-07-05T19:02:09"/>
    <s v="Y"/>
    <s v="Preparation - drafting attendance n"/>
    <s v="VHCC"/>
    <s v="Profit Cost"/>
    <s v="EBK"/>
    <s v="Y"/>
    <n v="28.62"/>
    <n v="5.72"/>
    <x v="6"/>
    <s v="VALIDATED"/>
    <n v="1"/>
    <s v="01.11.80.203.6100.0000"/>
    <n v="28.62"/>
    <s v="11"/>
    <s v="6100"/>
    <n v="-32425.63"/>
    <n v="28.6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8"/>
    <d v="2023-07-05T19:02:06"/>
    <s v="Y"/>
    <s v="Preparation - other"/>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7"/>
    <d v="2023-07-05T19:02:06"/>
    <s v="Y"/>
    <s v="Preparation - drafting statement"/>
    <s v="VHCC"/>
    <s v="Profit Cost"/>
    <s v="GLE 60"/>
    <s v="Y"/>
    <n v="80.14"/>
    <n v="16.03"/>
    <x v="6"/>
    <s v="VALIDATED"/>
    <n v="1"/>
    <s v="01.11.80.203.6100.0000"/>
    <n v="80.14"/>
    <s v="11"/>
    <s v="6100"/>
    <n v="-32425.63"/>
    <n v="80.14"/>
    <s v="DEBTOR"/>
    <n v="0"/>
    <n v="0"/>
    <n v="0"/>
    <n v="0"/>
    <n v="0"/>
  </r>
  <r>
    <n v="59677260"/>
    <s v="N"/>
    <n v="21331257"/>
    <s v="3000014052440026"/>
    <s v="CIVIL"/>
    <d v="2023-06-30T00:00:00"/>
    <d v="2023-07-05T19:01:47"/>
    <m/>
    <d v="2023-07-05T00:00:00"/>
    <n v="1878"/>
    <n v="1547"/>
    <s v="59677260"/>
    <s v="59677260"/>
    <m/>
    <m/>
    <n v="22798826"/>
    <m/>
    <m/>
    <m/>
    <s v="SOLINT"/>
    <s v="SOLINT"/>
    <s v="CCMS"/>
    <n v="21331257"/>
    <n v="4736.2"/>
    <m/>
    <s v="N"/>
    <n v="16"/>
    <d v="2023-07-05T19:02:12"/>
    <s v="Y"/>
    <s v="Preparation - drafting statement"/>
    <s v="VHCC"/>
    <s v="Profit Cost"/>
    <s v="GLE 60"/>
    <s v="Y"/>
    <n v="137.38"/>
    <n v="27.48"/>
    <x v="6"/>
    <s v="VALIDATED"/>
    <n v="1"/>
    <s v="01.11.80.203.6100.0000"/>
    <n v="137.38"/>
    <s v="11"/>
    <s v="6100"/>
    <n v="-32425.63"/>
    <n v="137.3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7"/>
    <d v="2023-07-05T19:01:55"/>
    <s v="Y"/>
    <s v="Attendance upon other"/>
    <s v="Non Family Hourly Rates"/>
    <s v="Profit Cost"/>
    <s v="HRL 50"/>
    <s v="Y"/>
    <n v="107.33"/>
    <n v="21.47"/>
    <x v="6"/>
    <s v="VALIDATED"/>
    <n v="1"/>
    <s v="01.11.80.203.6100.0000"/>
    <n v="107.33"/>
    <s v="11"/>
    <s v="6100"/>
    <n v="-32425.63"/>
    <n v="107.3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9"/>
    <d v="2023-07-05T19:01:55"/>
    <s v="Y"/>
    <s v="Preparation -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4"/>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4"/>
    <d v="2023-07-05T19:01:55"/>
    <s v="Y"/>
    <s v="Preparation - drafting application"/>
    <s v="Non Family Hourly Rates"/>
    <s v="Profit Cost"/>
    <s v="HRL 50"/>
    <s v="Y"/>
    <n v="21.47"/>
    <n v="4.29"/>
    <x v="6"/>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4"/>
    <d v="2023-07-03T19:04:58"/>
    <s v="Y"/>
    <s v="Preparation - drafting statement"/>
    <s v="VHCC"/>
    <s v="Profit Cost"/>
    <s v="JML 65"/>
    <s v="Y"/>
    <n v="47.22"/>
    <n v="9.44"/>
    <x v="3"/>
    <s v="VALIDATED"/>
    <n v="1"/>
    <s v="01.11.80.203.6100.0000"/>
    <n v="47.22"/>
    <s v="11"/>
    <s v="6100"/>
    <n v="-32425.63"/>
    <n v="47.2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8"/>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1"/>
    <d v="2023-07-03T19:04:58"/>
    <s v="Y"/>
    <s v="Preparation - drafting attendance n"/>
    <s v="VHCC"/>
    <s v="Profit Cost"/>
    <s v="JML"/>
    <s v="Y"/>
    <n v="85.86"/>
    <n v="17.17"/>
    <x v="3"/>
    <s v="VALIDATED"/>
    <n v="1"/>
    <s v="01.11.80.203.6100.0000"/>
    <n v="85.86"/>
    <s v="11"/>
    <s v="6100"/>
    <n v="-32425.63"/>
    <n v="85.8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9"/>
    <d v="2023-07-03T19:04:58"/>
    <s v="Y"/>
    <s v="Preparation - other"/>
    <s v="VHCC"/>
    <s v="Profit Cost"/>
    <s v="JML 65"/>
    <s v="Y"/>
    <n v="23.61"/>
    <n v="4.72"/>
    <x v="3"/>
    <s v="VALIDATED"/>
    <n v="1"/>
    <s v="01.11.80.203.6100.0000"/>
    <n v="23.61"/>
    <s v="11"/>
    <s v="6100"/>
    <n v="-32425.63"/>
    <n v="23.61"/>
    <s v="DEBTOR"/>
    <n v="0"/>
    <n v="0"/>
    <n v="0"/>
    <n v="0"/>
    <n v="0"/>
  </r>
  <r>
    <n v="8733210"/>
    <s v="N"/>
    <n v="21403533"/>
    <s v="3000004746670021"/>
    <s v="CIVIL"/>
    <d v="2023-06-06T00:00:00"/>
    <d v="2023-07-20T19:22:20"/>
    <m/>
    <d v="2023-07-20T00:00:00"/>
    <n v="1878"/>
    <n v="1547"/>
    <s v="8733210"/>
    <s v="8733210"/>
    <m/>
    <m/>
    <n v="22629506"/>
    <m/>
    <m/>
    <m/>
    <s v="SOLFIN"/>
    <s v="SOLFIN"/>
    <s v="CCMS"/>
    <n v="21403533"/>
    <n v="4211.9"/>
    <m/>
    <s v="N"/>
    <n v="31"/>
    <d v="2023-07-20T19:22:42"/>
    <s v="Y"/>
    <s v="Preparation - other"/>
    <s v="Non Family Hourly Rates"/>
    <s v="Profit Cost"/>
    <s v="BSS"/>
    <s v="Y"/>
    <n v="12.6"/>
    <n v="2.52"/>
    <x v="13"/>
    <s v="VALIDATED"/>
    <n v="1"/>
    <s v="01.11.80.201.6100.0000"/>
    <n v="12.6"/>
    <s v="11"/>
    <s v="6100"/>
    <n v="-32425.63"/>
    <n v="12.6"/>
    <s v="DEBTOR"/>
    <n v="0"/>
    <n v="0"/>
    <n v="0"/>
    <n v="0"/>
    <n v="0"/>
  </r>
  <r>
    <n v="61742173"/>
    <s v="N"/>
    <n v="21319086"/>
    <s v="3000015815100003"/>
    <s v="CIVIL"/>
    <d v="2023-06-23T00:00:00"/>
    <d v="2023-07-03T19:01:49"/>
    <m/>
    <d v="2023-07-03T00:00:00"/>
    <n v="1878"/>
    <n v="1547"/>
    <s v="61742173"/>
    <s v="61742173"/>
    <m/>
    <m/>
    <n v="22750850"/>
    <m/>
    <m/>
    <m/>
    <s v="SOLFIN"/>
    <s v="SOLFIN"/>
    <s v="CCMS"/>
    <n v="21319086"/>
    <n v="5246"/>
    <m/>
    <s v="N"/>
    <n v="69"/>
    <d v="2023-07-03T19:02:10"/>
    <s v="Y"/>
    <s v="Routine Letter In"/>
    <s v="Prescribed Hourly Rates"/>
    <s v="Profit Cost"/>
    <s v="MAE 15"/>
    <s v="Y"/>
    <n v="673.79"/>
    <n v="134.76"/>
    <x v="3"/>
    <s v="VALIDATED"/>
    <n v="1"/>
    <s v="01.11.80.305.6100.0000"/>
    <n v="673.79"/>
    <s v="11"/>
    <s v="6100"/>
    <n v="-32425.63"/>
    <n v="673.7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4"/>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8"/>
    <d v="2023-07-10T19:02:05"/>
    <s v="Y"/>
    <s v="Preparation - drafting attendance n"/>
    <s v="Non Family Hourly Rates"/>
    <s v="Profit Cost"/>
    <s v="LG"/>
    <s v="Y"/>
    <n v="35.78"/>
    <n v="0"/>
    <x v="2"/>
    <s v="VALIDATED"/>
    <n v="1"/>
    <s v="01.11.80.203.6100.0000"/>
    <n v="35.78"/>
    <s v="11"/>
    <s v="6100"/>
    <n v="-32425.63"/>
    <n v="35.7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9"/>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6"/>
    <d v="2023-07-10T19:02:05"/>
    <s v="Y"/>
    <s v="Preparation - other"/>
    <s v="Non Family Hourly Rates"/>
    <s v="Profit Cost"/>
    <s v="LG"/>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1"/>
    <d v="2023-07-10T19:02:05"/>
    <s v="Y"/>
    <s v="Preparation - research"/>
    <s v="Non Family Hourly Rates"/>
    <s v="Profit Cost"/>
    <s v="CB"/>
    <s v="Y"/>
    <n v="10.74"/>
    <n v="0"/>
    <x v="2"/>
    <s v="VALIDATED"/>
    <n v="1"/>
    <s v="01.11.80.203.6100.0000"/>
    <n v="10.74"/>
    <s v="11"/>
    <s v="6100"/>
    <n v="-32425.63"/>
    <n v="10.7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9"/>
    <d v="2023-07-10T19:01:45"/>
    <s v="Y"/>
    <s v="Routine Telephone Call"/>
    <s v="Care Remuneration Hourly Rates"/>
    <s v="Profit Cost"/>
    <s v="AMA"/>
    <s v="Y"/>
    <n v="40.59"/>
    <n v="8.119999999999999"/>
    <x v="2"/>
    <s v="VALIDATED"/>
    <n v="1"/>
    <s v="01.11.80.308.6100.0000"/>
    <n v="40.59"/>
    <s v="11"/>
    <s v="6100"/>
    <n v="-32425.63"/>
    <n v="40.5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0"/>
    <d v="2023-07-10T19:01:45"/>
    <s v="Y"/>
    <s v="Preparation - other"/>
    <s v="Care Remuneration Hourly Rates"/>
    <s v="Profit Cost"/>
    <s v="AMA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1"/>
    <d v="2023-07-10T19:01:45"/>
    <s v="Y"/>
    <s v="Preparation - other"/>
    <s v="Care Remuneration Hourly Rates"/>
    <s v="Profit Cost"/>
    <s v="AGI 30"/>
    <s v="Y"/>
    <n v="28.73"/>
    <n v="5.75"/>
    <x v="2"/>
    <s v="VALIDATED"/>
    <n v="1"/>
    <s v="01.11.80.308.6100.0000"/>
    <n v="28.73"/>
    <s v="11"/>
    <s v="6100"/>
    <n v="-32425.63"/>
    <n v="28.7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7"/>
    <d v="2023-07-10T19:01:45"/>
    <s v="Y"/>
    <s v="Preparation - other"/>
    <s v="Care Remuneration Hourly Rates"/>
    <s v="Profit Cost"/>
    <s v="AGI 30"/>
    <s v="Y"/>
    <n v="14.37"/>
    <n v="2.87"/>
    <x v="2"/>
    <s v="VALIDATED"/>
    <n v="1"/>
    <s v="01.11.80.308.6100.0000"/>
    <n v="14.37"/>
    <s v="11"/>
    <s v="6100"/>
    <n v="-32425.63"/>
    <n v="14.3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0"/>
    <d v="2023-07-06T19:21:25"/>
    <s v="Y"/>
    <s v="Preparation - drafting statement"/>
    <s v="Care Remuneration Hourly Rates"/>
    <s v="Profit Cost"/>
    <s v="NBS 25"/>
    <s v="Y"/>
    <n v="38.36"/>
    <n v="7.67"/>
    <x v="4"/>
    <s v="VALIDATED"/>
    <n v="1"/>
    <s v="01.11.80.308.6100.0000"/>
    <n v="38.36"/>
    <s v="11"/>
    <s v="6100"/>
    <n v="-32425.63"/>
    <n v="38.3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6"/>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6"/>
    <d v="2023-07-05T19:01:55"/>
    <s v="Y"/>
    <s v="Preparation - other"/>
    <s v="Non Family Hourly Rates"/>
    <s v="Profit Cost"/>
    <s v="HRL 50"/>
    <s v="Y"/>
    <n v="32.21"/>
    <n v="6.44"/>
    <x v="6"/>
    <s v="VALIDATED"/>
    <n v="1"/>
    <s v="01.11.80.203.6100.0000"/>
    <n v="32.21"/>
    <s v="11"/>
    <s v="6100"/>
    <n v="-32425.63"/>
    <n v="32.21"/>
    <s v="DEBTOR"/>
    <n v="0"/>
    <n v="0"/>
    <n v="0"/>
    <n v="0"/>
    <n v="0"/>
  </r>
  <r>
    <n v="62207718"/>
    <s v="N"/>
    <n v="21338458"/>
    <s v="3000016212270001"/>
    <s v="CIVIL"/>
    <d v="2023-06-28T00:00:00"/>
    <d v="2023-07-06T19:21:01"/>
    <m/>
    <d v="2023-07-06T00:00:00"/>
    <n v="1878"/>
    <n v="1547"/>
    <s v="62207718"/>
    <s v="62207718"/>
    <m/>
    <m/>
    <n v="22776014"/>
    <m/>
    <m/>
    <m/>
    <s v="SOLFIN"/>
    <s v="SOLFIN"/>
    <s v="CCMS"/>
    <n v="21338458"/>
    <n v="3530.54"/>
    <m/>
    <s v="N"/>
    <n v="7"/>
    <d v="2023-07-06T19:21:25"/>
    <s v="Y"/>
    <s v="Preparation - other"/>
    <s v="Care Remuneration Hourly Rates"/>
    <s v="Profit Cost"/>
    <s v="NBS 25"/>
    <s v="Y"/>
    <n v="7.68"/>
    <n v="1.54"/>
    <x v="4"/>
    <s v="VALIDATED"/>
    <n v="1"/>
    <s v="01.11.80.308.6100.0000"/>
    <n v="7.68"/>
    <s v="11"/>
    <s v="6100"/>
    <n v="-32425.63"/>
    <n v="7.6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
    <d v="2023-07-05T19:01:55"/>
    <s v="Y"/>
    <s v="Court Fee"/>
    <s v="Non Family Hourly Rates"/>
    <s v="Non Expert Disbursement"/>
    <s v="HRL"/>
    <s v="Y"/>
    <n v="371"/>
    <n v="0"/>
    <x v="6"/>
    <s v="VALIDATED"/>
    <n v="1"/>
    <s v="01.11.80.203.6300.0000"/>
    <n v="371"/>
    <s v="11"/>
    <s v="6300"/>
    <n v="-32425.63"/>
    <n v="37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4"/>
    <d v="2023-07-05T19:02:06"/>
    <s v="Y"/>
    <s v="Preparation - other"/>
    <s v="VHCC"/>
    <s v="Profit Cost"/>
    <s v="GLE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8"/>
    <d v="2023-07-05T19:02:06"/>
    <s v="Y"/>
    <s v="Preparation - drafting statement"/>
    <s v="VHCC"/>
    <s v="Profit Cost"/>
    <s v="CBD"/>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3"/>
    <d v="2023-07-05T19:02:06"/>
    <s v="Y"/>
    <s v="Attendance upon Counsel"/>
    <s v="VHCC"/>
    <s v="Profit Cost"/>
    <s v="SHL"/>
    <s v="Y"/>
    <n v="26.64"/>
    <n v="5.33"/>
    <x v="6"/>
    <s v="VALIDATED"/>
    <n v="1"/>
    <s v="01.11.80.203.6100.0000"/>
    <n v="26.64"/>
    <s v="11"/>
    <s v="6100"/>
    <n v="-32425.63"/>
    <n v="26.6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4"/>
    <d v="2023-07-05T19:02:06"/>
    <s v="Y"/>
    <s v="Attendance upon court with counsel"/>
    <s v="VHCC"/>
    <s v="Profit Cost"/>
    <s v="SHL"/>
    <s v="Y"/>
    <n v="36.63"/>
    <n v="7.33"/>
    <x v="6"/>
    <s v="VALIDATED"/>
    <n v="1"/>
    <s v="01.11.80.203.6100.0000"/>
    <n v="36.63"/>
    <s v="11"/>
    <s v="6100"/>
    <n v="-32425.63"/>
    <n v="36.6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6"/>
    <d v="2023-07-05T19:02:06"/>
    <s v="Y"/>
    <s v="Travel to court"/>
    <s v="VHCC"/>
    <s v="Profit Cost"/>
    <s v="SHL"/>
    <s v="Y"/>
    <n v="20.95"/>
    <n v="4.19"/>
    <x v="6"/>
    <s v="VALIDATED"/>
    <n v="1"/>
    <s v="01.11.80.203.6100.0000"/>
    <n v="20.95"/>
    <s v="11"/>
    <s v="6100"/>
    <n v="-32425.63"/>
    <n v="20.9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7"/>
    <d v="2023-07-05T19:01:55"/>
    <s v="Y"/>
    <s v="Preparation - other"/>
    <s v="Non Family Hourly Rates"/>
    <s v="Profit Cost"/>
    <s v="CBD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4"/>
    <d v="2023-07-05T19:01:55"/>
    <s v="Y"/>
    <s v="Preparation - other"/>
    <s v="Non Family Hourly Rates"/>
    <s v="Profit Cost"/>
    <s v="HRL 50"/>
    <s v="Y"/>
    <n v="21.47"/>
    <n v="4.29"/>
    <x v="6"/>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1"/>
    <d v="2023-07-03T19:04:58"/>
    <s v="Y"/>
    <s v="Preparation - drafting instructions"/>
    <s v="VHCC"/>
    <s v="Profit Cost"/>
    <s v="JML 65"/>
    <s v="Y"/>
    <n v="165.28"/>
    <n v="33.05"/>
    <x v="3"/>
    <s v="VALIDATED"/>
    <n v="1"/>
    <s v="01.11.80.203.6100.0000"/>
    <n v="165.28"/>
    <s v="11"/>
    <s v="6100"/>
    <n v="-32425.63"/>
    <n v="165.2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1"/>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4"/>
    <d v="2023-07-03T19:04:58"/>
    <s v="Y"/>
    <s v="Preparation - drafting statement"/>
    <s v="VHCC"/>
    <s v="Profit Cost"/>
    <s v="JML 65"/>
    <s v="Y"/>
    <n v="47.22"/>
    <n v="9.44"/>
    <x v="3"/>
    <s v="VALIDATED"/>
    <n v="1"/>
    <s v="01.11.80.203.6100.0000"/>
    <n v="47.22"/>
    <s v="11"/>
    <s v="6100"/>
    <n v="-32425.63"/>
    <n v="47.2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6"/>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
    <d v="2023-07-03T19:04:58"/>
    <s v="Y"/>
    <s v="Preparation - other"/>
    <s v="VHCC"/>
    <s v="Profit Cost"/>
    <s v="JML 65"/>
    <s v="Y"/>
    <n v="47.22"/>
    <n v="9.44"/>
    <x v="3"/>
    <s v="VALIDATED"/>
    <n v="1"/>
    <s v="01.11.80.203.6100.0000"/>
    <n v="47.22"/>
    <s v="11"/>
    <s v="6100"/>
    <n v="-32425.63"/>
    <n v="47.22"/>
    <s v="DEBTOR"/>
    <n v="0"/>
    <n v="0"/>
    <n v="0"/>
    <n v="0"/>
    <n v="0"/>
  </r>
  <r>
    <n v="8733210"/>
    <s v="N"/>
    <n v="21403533"/>
    <s v="3000004746670021"/>
    <s v="CIVIL"/>
    <d v="2023-06-06T00:00:00"/>
    <d v="2023-07-20T19:22:20"/>
    <m/>
    <d v="2023-07-20T00:00:00"/>
    <n v="1878"/>
    <n v="1547"/>
    <s v="8733210"/>
    <s v="8733210"/>
    <m/>
    <m/>
    <n v="22629506"/>
    <m/>
    <m/>
    <m/>
    <s v="SOLFIN"/>
    <s v="SOLFIN"/>
    <s v="CCMS"/>
    <n v="21403533"/>
    <n v="4211.9"/>
    <m/>
    <s v="N"/>
    <n v="114"/>
    <d v="2023-07-20T19:22:42"/>
    <s v="Y"/>
    <s v="Routine Telephone Call"/>
    <s v="Non Family Hourly Rates"/>
    <s v="Profit Cost"/>
    <s v="BSS"/>
    <s v="Y"/>
    <n v="121.73"/>
    <n v="24.35"/>
    <x v="13"/>
    <s v="VALIDATED"/>
    <n v="1"/>
    <s v="01.11.80.201.6100.0000"/>
    <n v="121.73"/>
    <s v="11"/>
    <s v="6100"/>
    <n v="-32425.63"/>
    <n v="121.73"/>
    <s v="DEBTOR"/>
    <n v="0"/>
    <n v="0"/>
    <n v="0"/>
    <n v="0"/>
    <n v="0"/>
  </r>
  <r>
    <n v="8733210"/>
    <s v="N"/>
    <n v="21403533"/>
    <s v="3000004746670021"/>
    <s v="CIVIL"/>
    <d v="2023-06-06T00:00:00"/>
    <d v="2023-07-20T19:22:20"/>
    <m/>
    <d v="2023-07-20T00:00:00"/>
    <n v="1878"/>
    <n v="1547"/>
    <s v="8733210"/>
    <s v="8733210"/>
    <m/>
    <m/>
    <n v="22629506"/>
    <m/>
    <m/>
    <m/>
    <s v="SOLFIN"/>
    <s v="SOLFIN"/>
    <s v="CCMS"/>
    <n v="21403533"/>
    <n v="4211.9"/>
    <m/>
    <s v="N"/>
    <n v="112"/>
    <d v="2023-07-20T19:22:42"/>
    <s v="Y"/>
    <s v="Preparation - drafting bill/claim f"/>
    <s v="Non Family Hourly Rates"/>
    <s v="Profit Cost"/>
    <s v="JLA"/>
    <s v="Y"/>
    <n v="201.6"/>
    <n v="40.32"/>
    <x v="13"/>
    <s v="VALIDATED"/>
    <n v="1"/>
    <s v="01.11.80.201.6100.0000"/>
    <n v="201.6"/>
    <s v="11"/>
    <s v="6100"/>
    <n v="-32425.63"/>
    <n v="201.6"/>
    <s v="DEBTOR"/>
    <n v="0"/>
    <n v="0"/>
    <n v="0"/>
    <n v="0"/>
    <n v="0"/>
  </r>
  <r>
    <n v="61742173"/>
    <s v="N"/>
    <n v="21319086"/>
    <s v="3000015815100003"/>
    <s v="CIVIL"/>
    <d v="2023-06-23T00:00:00"/>
    <d v="2023-07-03T19:01:49"/>
    <m/>
    <d v="2023-07-03T00:00:00"/>
    <n v="1878"/>
    <n v="1547"/>
    <s v="61742173"/>
    <s v="61742173"/>
    <m/>
    <m/>
    <n v="22750850"/>
    <m/>
    <m/>
    <m/>
    <s v="SOLFIN"/>
    <s v="SOLFIN"/>
    <s v="CCMS"/>
    <n v="21319086"/>
    <n v="5246"/>
    <m/>
    <s v="N"/>
    <n v="26"/>
    <d v="2023-07-03T19:02:10"/>
    <s v="Y"/>
    <s v="Preparation - other"/>
    <s v="Prescribed Hourly Rates"/>
    <s v="Profit Cost"/>
    <s v="MAE 15"/>
    <s v="Y"/>
    <n v="6.83"/>
    <n v="1.37"/>
    <x v="3"/>
    <s v="VALIDATED"/>
    <n v="1"/>
    <s v="01.11.80.305.6100.0000"/>
    <n v="6.83"/>
    <s v="11"/>
    <s v="6100"/>
    <n v="-32425.63"/>
    <n v="6.8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
    <d v="2023-07-10T19:02:05"/>
    <s v="Y"/>
    <s v="Interpreter"/>
    <s v="Non Family Hourly Rates"/>
    <s v="Expert Disbursement"/>
    <s v="XXX"/>
    <s v="Y"/>
    <n v="25"/>
    <n v="5"/>
    <x v="2"/>
    <s v="VALIDATED"/>
    <n v="1"/>
    <s v="01.11.80.203.6300.0000"/>
    <n v="25"/>
    <s v="11"/>
    <s v="6300"/>
    <n v="-32425.63"/>
    <n v="2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7"/>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7"/>
    <d v="2023-07-10T19:01:45"/>
    <s v="Y"/>
    <s v="Preparation - other"/>
    <s v="Care Remuneration Hourly Rates"/>
    <s v="Profit Cost"/>
    <s v="AGI 30"/>
    <s v="Y"/>
    <n v="14.37"/>
    <n v="2.87"/>
    <x v="2"/>
    <s v="VALIDATED"/>
    <n v="1"/>
    <s v="01.11.80.308.6100.0000"/>
    <n v="14.37"/>
    <s v="11"/>
    <s v="6100"/>
    <n v="-32425.63"/>
    <n v="14.3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0"/>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6"/>
    <d v="2023-07-05T19:01:55"/>
    <s v="Y"/>
    <s v="Preparation - drafting application"/>
    <s v="Non Family Hourly Rates"/>
    <s v="Profit Cost"/>
    <s v="HRL"/>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3"/>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7"/>
    <d v="2023-07-05T19:01:55"/>
    <s v="Y"/>
    <s v="Preparation - other"/>
    <s v="Non Family Hourly Rates"/>
    <s v="Profit Cost"/>
    <s v="HRL 50"/>
    <s v="Y"/>
    <n v="42.93"/>
    <n v="8.59"/>
    <x v="6"/>
    <s v="VALIDATED"/>
    <n v="1"/>
    <s v="01.11.80.203.6100.0000"/>
    <n v="42.93"/>
    <s v="11"/>
    <s v="6100"/>
    <n v="-32425.63"/>
    <n v="42.93"/>
    <s v="DEBTOR"/>
    <n v="0"/>
    <n v="0"/>
    <n v="0"/>
    <n v="0"/>
    <n v="0"/>
  </r>
  <r>
    <n v="59677260"/>
    <s v="N"/>
    <n v="21331257"/>
    <s v="3000014052440026"/>
    <s v="CIVIL"/>
    <d v="2023-06-30T00:00:00"/>
    <d v="2023-07-05T19:01:47"/>
    <m/>
    <d v="2023-07-05T00:00:00"/>
    <n v="1878"/>
    <n v="1547"/>
    <s v="59677260"/>
    <s v="59677260"/>
    <m/>
    <m/>
    <n v="22798826"/>
    <m/>
    <m/>
    <m/>
    <s v="SOLINT"/>
    <s v="SOLINT"/>
    <s v="CCMS"/>
    <n v="21331257"/>
    <n v="4736.2"/>
    <m/>
    <s v="N"/>
    <n v="20"/>
    <d v="2023-07-05T19:02:12"/>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5"/>
    <d v="2023-07-05T19:02:06"/>
    <s v="Y"/>
    <s v="Preparation - other"/>
    <s v="VHCC"/>
    <s v="Profit Cost"/>
    <s v="GLE"/>
    <s v="Y"/>
    <n v="50.09"/>
    <n v="10.02"/>
    <x v="6"/>
    <s v="VALIDATED"/>
    <n v="1"/>
    <s v="01.11.80.203.6100.0000"/>
    <n v="50.09"/>
    <s v="11"/>
    <s v="6100"/>
    <n v="-32425.63"/>
    <n v="50.0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7"/>
    <d v="2023-07-05T19:02:06"/>
    <s v="Y"/>
    <s v="Preparation - other"/>
    <s v="VHCC"/>
    <s v="Profit Cost"/>
    <s v="SHL 60"/>
    <s v="Y"/>
    <n v="160.27"/>
    <n v="32.05"/>
    <x v="6"/>
    <s v="VALIDATED"/>
    <n v="1"/>
    <s v="01.11.80.203.6100.0000"/>
    <n v="160.27"/>
    <s v="11"/>
    <s v="6100"/>
    <n v="-32425.63"/>
    <n v="160.2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1"/>
    <d v="2023-07-05T19:02:06"/>
    <s v="Y"/>
    <s v="Attendance upon other"/>
    <s v="VHCC"/>
    <s v="Profit Cost"/>
    <s v="SHL 60"/>
    <s v="Y"/>
    <n v="57.24"/>
    <n v="11.45"/>
    <x v="6"/>
    <s v="VALIDATED"/>
    <n v="1"/>
    <s v="01.11.80.203.6100.0000"/>
    <n v="57.24"/>
    <s v="11"/>
    <s v="6100"/>
    <n v="-32425.63"/>
    <n v="57.2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1"/>
    <d v="2023-07-05T19:02:06"/>
    <s v="Y"/>
    <s v="Preparation - other"/>
    <s v="VHCC"/>
    <s v="Profit Cost"/>
    <s v="GLE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3"/>
    <d v="2023-07-05T19:02:06"/>
    <s v="Y"/>
    <s v="Attendance upon client"/>
    <s v="VHCC"/>
    <s v="Profit Cost"/>
    <s v="GLE 60"/>
    <s v="Y"/>
    <n v="114.48"/>
    <n v="22.9"/>
    <x v="6"/>
    <s v="VALIDATED"/>
    <n v="1"/>
    <s v="01.11.80.203.6100.0000"/>
    <n v="114.48"/>
    <s v="11"/>
    <s v="6100"/>
    <n v="-32425.63"/>
    <n v="114.4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4"/>
    <d v="2023-07-05T19:02:06"/>
    <s v="Y"/>
    <s v="Preparation - other"/>
    <s v="VHCC"/>
    <s v="Profit Cost"/>
    <s v="GLE"/>
    <s v="Y"/>
    <n v="57.24"/>
    <n v="11.45"/>
    <x v="6"/>
    <s v="VALIDATED"/>
    <n v="1"/>
    <s v="01.11.80.203.6100.0000"/>
    <n v="57.24"/>
    <s v="11"/>
    <s v="6100"/>
    <n v="-32425.63"/>
    <n v="57.2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6"/>
    <d v="2023-07-05T19:02:06"/>
    <s v="Y"/>
    <s v="Preparation - drafting statement"/>
    <s v="VHCC"/>
    <s v="Profit Cost"/>
    <s v="GLE 60"/>
    <s v="Y"/>
    <n v="320.54"/>
    <n v="64.11"/>
    <x v="6"/>
    <s v="VALIDATED"/>
    <n v="1"/>
    <s v="01.11.80.203.6100.0000"/>
    <n v="320.54"/>
    <s v="11"/>
    <s v="6100"/>
    <n v="-32425.63"/>
    <n v="320.5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0"/>
    <d v="2023-07-05T19:01:55"/>
    <s v="Y"/>
    <s v="Attendance upon other"/>
    <s v="Non Family Hourly Rates"/>
    <s v="Profit Cost"/>
    <s v="GLE"/>
    <s v="Y"/>
    <n v="64.40000000000001"/>
    <n v="12.88"/>
    <x v="6"/>
    <s v="VALIDATED"/>
    <n v="1"/>
    <s v="01.11.80.203.6100.0000"/>
    <n v="64.40000000000001"/>
    <s v="11"/>
    <s v="6100"/>
    <n v="-32425.63"/>
    <n v="64.40000000000001"/>
    <s v="DEBTOR"/>
    <n v="0"/>
    <n v="0"/>
    <n v="0"/>
    <n v="0"/>
    <n v="0"/>
  </r>
  <r>
    <n v="8733210"/>
    <s v="N"/>
    <n v="21403533"/>
    <s v="3000004746670021"/>
    <s v="CIVIL"/>
    <d v="2023-06-06T00:00:00"/>
    <d v="2023-07-20T19:22:20"/>
    <m/>
    <d v="2023-07-20T00:00:00"/>
    <n v="1878"/>
    <n v="1547"/>
    <s v="8733210"/>
    <s v="8733210"/>
    <m/>
    <m/>
    <n v="22629506"/>
    <m/>
    <m/>
    <m/>
    <s v="SOLFIN"/>
    <s v="SOLFIN"/>
    <s v="CCMS"/>
    <n v="21403533"/>
    <n v="4211.9"/>
    <m/>
    <s v="N"/>
    <n v="33"/>
    <d v="2023-07-20T19:22:42"/>
    <s v="Y"/>
    <s v="Preparation - other"/>
    <s v="Non Family Hourly Rates"/>
    <s v="Profit Cost"/>
    <s v="BSS"/>
    <s v="Y"/>
    <n v="12.6"/>
    <n v="2.52"/>
    <x v="13"/>
    <s v="VALIDATED"/>
    <n v="1"/>
    <s v="01.11.80.201.6100.0000"/>
    <n v="12.6"/>
    <s v="11"/>
    <s v="6100"/>
    <n v="-32425.63"/>
    <n v="12.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1"/>
    <d v="2023-07-10T19:02:05"/>
    <s v="Y"/>
    <s v="Attendance upon client"/>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4"/>
    <d v="2023-07-10T19:02:05"/>
    <s v="Y"/>
    <s v="Preparation - drafting attendance n"/>
    <s v="Non Family Hourly Rates"/>
    <s v="Profit Cost"/>
    <s v="LG"/>
    <s v="Y"/>
    <n v="14.31"/>
    <n v="0"/>
    <x v="2"/>
    <s v="VALIDATED"/>
    <n v="1"/>
    <s v="01.11.80.203.6100.0000"/>
    <n v="14.31"/>
    <s v="11"/>
    <s v="6100"/>
    <n v="-32425.63"/>
    <n v="14.3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4"/>
    <d v="2023-07-10T19:01:45"/>
    <s v="Y"/>
    <s v="Preparation - drafting attendance n"/>
    <s v="Care Remuneration Hourly Rates"/>
    <s v="Profit Cost"/>
    <s v="AMA"/>
    <s v="Y"/>
    <n v="33.14"/>
    <n v="6.63"/>
    <x v="2"/>
    <s v="VALIDATED"/>
    <n v="1"/>
    <s v="01.11.80.308.6100.0000"/>
    <n v="33.14"/>
    <s v="11"/>
    <s v="6100"/>
    <n v="-32425.63"/>
    <n v="33.1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0"/>
    <d v="2023-07-10T19:01:45"/>
    <s v="Y"/>
    <s v="Attendance upon client"/>
    <s v="Care Remuneration Hourly Rates"/>
    <s v="Profit Cost"/>
    <s v="AGI 30"/>
    <s v="Y"/>
    <n v="21.54"/>
    <n v="4.31"/>
    <x v="2"/>
    <s v="VALIDATED"/>
    <n v="1"/>
    <s v="01.11.80.308.6100.0000"/>
    <n v="21.54"/>
    <s v="11"/>
    <s v="6100"/>
    <n v="-32425.63"/>
    <n v="21.54"/>
    <s v="DEBTOR"/>
    <n v="0"/>
    <n v="0"/>
    <n v="0"/>
    <n v="0"/>
    <n v="0"/>
  </r>
  <r>
    <n v="59677260"/>
    <s v="N"/>
    <n v="21331257"/>
    <s v="3000014052440026"/>
    <s v="CIVIL"/>
    <d v="2023-06-30T00:00:00"/>
    <d v="2023-07-05T19:01:47"/>
    <m/>
    <d v="2023-07-05T00:00:00"/>
    <n v="1878"/>
    <n v="1547"/>
    <s v="59677260"/>
    <s v="59677260"/>
    <m/>
    <m/>
    <n v="22798826"/>
    <m/>
    <m/>
    <m/>
    <s v="SOLINT"/>
    <s v="SOLINT"/>
    <s v="CCMS"/>
    <n v="21331257"/>
    <n v="4736.2"/>
    <m/>
    <s v="N"/>
    <n v="26"/>
    <d v="2023-07-05T19:02:12"/>
    <s v="Y"/>
    <s v="Attendance upon client"/>
    <s v="VHCC"/>
    <s v="Profit Cost"/>
    <s v="GLE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9"/>
    <d v="2023-07-05T19:02:06"/>
    <s v="Y"/>
    <s v="Attendance upon client"/>
    <s v="VHCC"/>
    <s v="Profit Cost"/>
    <s v="GLE 60"/>
    <s v="Y"/>
    <n v="57.24"/>
    <n v="11.45"/>
    <x v="6"/>
    <s v="VALIDATED"/>
    <n v="1"/>
    <s v="01.11.80.203.6100.0000"/>
    <n v="57.24"/>
    <s v="11"/>
    <s v="6100"/>
    <n v="-32425.63"/>
    <n v="57.2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5"/>
    <d v="2023-07-05T19:02:06"/>
    <s v="Y"/>
    <s v="Preparation - other"/>
    <s v="VHCC"/>
    <s v="Profit Cost"/>
    <s v="SHL 60"/>
    <s v="Y"/>
    <n v="331.99"/>
    <n v="66.40000000000001"/>
    <x v="6"/>
    <s v="VALIDATED"/>
    <n v="1"/>
    <s v="01.11.80.203.6100.0000"/>
    <n v="331.99"/>
    <s v="11"/>
    <s v="6100"/>
    <n v="-32425.63"/>
    <n v="331.9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7"/>
    <d v="2023-07-05T19:02:06"/>
    <s v="Y"/>
    <s v="Preparation - drafting attendance n"/>
    <s v="VHCC"/>
    <s v="Profit Cost"/>
    <s v="GLE"/>
    <s v="Y"/>
    <n v="14.31"/>
    <n v="2.86"/>
    <x v="6"/>
    <s v="VALIDATED"/>
    <n v="1"/>
    <s v="01.11.80.203.6100.0000"/>
    <n v="14.31"/>
    <s v="11"/>
    <s v="6100"/>
    <n v="-32425.63"/>
    <n v="14.3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0"/>
    <d v="2023-07-05T19:02:09"/>
    <s v="Y"/>
    <s v="Preparation - other"/>
    <s v="VHCC"/>
    <s v="Profit Cost"/>
    <s v="SHL 60"/>
    <s v="Y"/>
    <n v="34.34"/>
    <n v="6.87"/>
    <x v="6"/>
    <s v="VALIDATED"/>
    <n v="1"/>
    <s v="01.11.80.203.6100.0000"/>
    <n v="34.34"/>
    <s v="11"/>
    <s v="6100"/>
    <n v="-32425.63"/>
    <n v="34.34"/>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1"/>
    <d v="2023-07-05T19:02:09"/>
    <s v="Y"/>
    <s v="Attendance upon other"/>
    <s v="VHCC"/>
    <s v="Profit Cost"/>
    <s v="SHL 60"/>
    <s v="Y"/>
    <n v="228.96"/>
    <n v="45.79"/>
    <x v="6"/>
    <s v="VALIDATED"/>
    <n v="1"/>
    <s v="01.11.80.203.6100.0000"/>
    <n v="228.96"/>
    <s v="11"/>
    <s v="6100"/>
    <n v="-32425.63"/>
    <n v="228.96"/>
    <s v="DEBTOR"/>
    <n v="0"/>
    <n v="0"/>
    <n v="0"/>
    <n v="0"/>
    <n v="0"/>
  </r>
  <r>
    <n v="59677260"/>
    <s v="N"/>
    <n v="21331257"/>
    <s v="3000014052440026"/>
    <s v="CIVIL"/>
    <d v="2023-06-30T00:00:00"/>
    <d v="2023-07-05T19:01:47"/>
    <m/>
    <d v="2023-07-05T00:00:00"/>
    <n v="1878"/>
    <n v="1547"/>
    <s v="59677260"/>
    <s v="59677260"/>
    <m/>
    <m/>
    <n v="22798826"/>
    <m/>
    <m/>
    <m/>
    <s v="SOLINT"/>
    <s v="SOLINT"/>
    <s v="CCMS"/>
    <n v="21331257"/>
    <n v="4736.2"/>
    <m/>
    <s v="N"/>
    <n v="10"/>
    <d v="2023-07-05T19:02:12"/>
    <s v="Y"/>
    <s v="Preparation - other"/>
    <s v="VHCC"/>
    <s v="Profit Cost"/>
    <s v="SHL 60"/>
    <s v="Y"/>
    <n v="68.69"/>
    <n v="13.74"/>
    <x v="6"/>
    <s v="VALIDATED"/>
    <n v="1"/>
    <s v="01.11.80.203.6100.0000"/>
    <n v="68.69"/>
    <s v="11"/>
    <s v="6100"/>
    <n v="-32425.63"/>
    <n v="68.69"/>
    <s v="DEBTOR"/>
    <n v="0"/>
    <n v="0"/>
    <n v="0"/>
    <n v="0"/>
    <n v="0"/>
  </r>
  <r>
    <n v="59677260"/>
    <s v="N"/>
    <n v="21331257"/>
    <s v="3000014052440026"/>
    <s v="CIVIL"/>
    <d v="2023-06-30T00:00:00"/>
    <d v="2023-07-05T19:01:47"/>
    <m/>
    <d v="2023-07-05T00:00:00"/>
    <n v="1878"/>
    <n v="1547"/>
    <s v="59677260"/>
    <s v="59677260"/>
    <m/>
    <m/>
    <n v="22798826"/>
    <m/>
    <m/>
    <m/>
    <s v="SOLINT"/>
    <s v="SOLINT"/>
    <s v="CCMS"/>
    <n v="21331257"/>
    <n v="4736.2"/>
    <m/>
    <s v="N"/>
    <n v="17"/>
    <d v="2023-07-05T19:02:12"/>
    <s v="Y"/>
    <s v="Preparation - other"/>
    <s v="VHCC"/>
    <s v="Profit Cost"/>
    <s v="GLE 60"/>
    <s v="Y"/>
    <n v="366.34"/>
    <n v="73.27"/>
    <x v="6"/>
    <s v="VALIDATED"/>
    <n v="1"/>
    <s v="01.11.80.203.6100.0000"/>
    <n v="366.34"/>
    <s v="11"/>
    <s v="6100"/>
    <n v="-32425.63"/>
    <n v="366.3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5"/>
    <d v="2023-07-05T19:01:55"/>
    <s v="Y"/>
    <s v="Preparation - other"/>
    <s v="Non Family Hourly Rates"/>
    <s v="Profit Cost"/>
    <s v="CBD"/>
    <s v="Y"/>
    <n v="35.78"/>
    <n v="7.16"/>
    <x v="6"/>
    <s v="VALIDATED"/>
    <n v="1"/>
    <s v="01.11.80.203.6100.0000"/>
    <n v="35.78"/>
    <s v="11"/>
    <s v="6100"/>
    <n v="-32425.63"/>
    <n v="35.7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3"/>
    <d v="2023-07-06T19:21:25"/>
    <s v="Y"/>
    <s v="Attendance upon client"/>
    <s v="Care Remuneration Hourly Rates"/>
    <s v="Profit Cost"/>
    <s v="NBS 25"/>
    <s v="Y"/>
    <n v="23.01"/>
    <n v="4.6"/>
    <x v="4"/>
    <s v="VALIDATED"/>
    <n v="1"/>
    <s v="01.11.80.308.6100.0000"/>
    <n v="23.01"/>
    <s v="11"/>
    <s v="6100"/>
    <n v="-32425.63"/>
    <n v="23.0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2"/>
    <d v="2023-07-03T19:04:58"/>
    <s v="Y"/>
    <s v="Attendance upon other"/>
    <s v="VHCC"/>
    <s v="Profit Cost"/>
    <s v="MJS"/>
    <s v="Y"/>
    <n v="71.55"/>
    <n v="14.31"/>
    <x v="3"/>
    <s v="VALIDATED"/>
    <n v="1"/>
    <s v="01.11.80.203.6100.0000"/>
    <n v="71.55"/>
    <s v="11"/>
    <s v="6100"/>
    <n v="-32425.63"/>
    <n v="71.5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4"/>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0"/>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3"/>
    <d v="2023-07-03T19:04:58"/>
    <s v="Y"/>
    <s v="Preparation - other"/>
    <s v="VHCC"/>
    <s v="Profit Cost"/>
    <s v="JML 65"/>
    <s v="Y"/>
    <n v="118.06"/>
    <n v="23.61"/>
    <x v="3"/>
    <s v="VALIDATED"/>
    <n v="1"/>
    <s v="01.11.80.203.6100.0000"/>
    <n v="118.06"/>
    <s v="11"/>
    <s v="6100"/>
    <n v="-32425.63"/>
    <n v="118.0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9"/>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8"/>
    <d v="2023-07-03T19:04:58"/>
    <s v="Y"/>
    <s v="Preparation - other"/>
    <s v="VHCC"/>
    <s v="Profit Cost"/>
    <s v="JML 65"/>
    <s v="Y"/>
    <n v="94.45"/>
    <n v="18.89"/>
    <x v="3"/>
    <s v="VALIDATED"/>
    <n v="1"/>
    <s v="01.11.80.203.6100.0000"/>
    <n v="94.45"/>
    <s v="11"/>
    <s v="6100"/>
    <n v="-32425.63"/>
    <n v="94.4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3"/>
    <d v="2023-07-03T19:04:58"/>
    <s v="Y"/>
    <s v="Preparation - other"/>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5"/>
    <d v="2023-07-03T19:04:58"/>
    <s v="Y"/>
    <s v="Preparation - other"/>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7"/>
    <d v="2023-07-03T19:04:58"/>
    <s v="Y"/>
    <s v="Attendance upon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1"/>
    <d v="2023-07-03T19:04:58"/>
    <s v="Y"/>
    <s v="Preparation - drafting attendance n"/>
    <s v="VHCC"/>
    <s v="Profit Cost"/>
    <s v="JML"/>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
    <d v="2023-07-03T19:04:58"/>
    <s v="Y"/>
    <s v="Preparation - other"/>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2"/>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9"/>
    <d v="2023-07-03T19:04:58"/>
    <s v="Y"/>
    <s v="Preparation - other"/>
    <s v="VHCC"/>
    <s v="Profit Cost"/>
    <s v="JML"/>
    <s v="Y"/>
    <n v="14.31"/>
    <n v="2.86"/>
    <x v="3"/>
    <s v="VALIDATED"/>
    <n v="1"/>
    <s v="01.11.80.203.6100.0000"/>
    <n v="14.31"/>
    <s v="11"/>
    <s v="6100"/>
    <n v="-32425.63"/>
    <n v="14.31"/>
    <s v="DEBTOR"/>
    <n v="0"/>
    <n v="0"/>
    <n v="0"/>
    <n v="0"/>
    <n v="0"/>
  </r>
  <r>
    <n v="8733210"/>
    <s v="N"/>
    <n v="21403533"/>
    <s v="3000004746670021"/>
    <s v="CIVIL"/>
    <d v="2023-06-06T00:00:00"/>
    <d v="2023-07-20T19:22:20"/>
    <m/>
    <d v="2023-07-20T00:00:00"/>
    <n v="1878"/>
    <n v="1547"/>
    <s v="8733210"/>
    <s v="8733210"/>
    <m/>
    <m/>
    <n v="22629506"/>
    <m/>
    <m/>
    <m/>
    <s v="SOLFIN"/>
    <s v="SOLFIN"/>
    <s v="CCMS"/>
    <n v="21403533"/>
    <n v="4211.9"/>
    <m/>
    <s v="N"/>
    <n v="67"/>
    <d v="2023-07-20T19:22:42"/>
    <s v="Y"/>
    <s v="Preparation - other"/>
    <s v="Non Family Hourly Rates"/>
    <s v="Profit Cost"/>
    <s v="BSS"/>
    <s v="Y"/>
    <n v="31.5"/>
    <n v="6.3"/>
    <x v="13"/>
    <s v="VALIDATED"/>
    <n v="1"/>
    <s v="01.11.80.201.6100.0000"/>
    <n v="31.5"/>
    <s v="11"/>
    <s v="6100"/>
    <n v="-32425.63"/>
    <n v="31.5"/>
    <s v="DEBTOR"/>
    <n v="0"/>
    <n v="0"/>
    <n v="0"/>
    <n v="0"/>
    <n v="0"/>
  </r>
  <r>
    <n v="61742173"/>
    <s v="N"/>
    <n v="21319086"/>
    <s v="3000015815100003"/>
    <s v="CIVIL"/>
    <d v="2023-06-23T00:00:00"/>
    <d v="2023-07-03T19:01:49"/>
    <m/>
    <d v="2023-07-03T00:00:00"/>
    <n v="1878"/>
    <n v="1547"/>
    <s v="61742173"/>
    <s v="61742173"/>
    <m/>
    <m/>
    <n v="22750850"/>
    <m/>
    <m/>
    <m/>
    <s v="SOLFIN"/>
    <s v="SOLFIN"/>
    <s v="CCMS"/>
    <n v="21319086"/>
    <n v="5246"/>
    <m/>
    <s v="N"/>
    <n v="45"/>
    <d v="2023-07-03T19:02:10"/>
    <s v="Y"/>
    <s v="Preparation - other"/>
    <s v="Prescribed Hourly Rates"/>
    <s v="Profit Cost"/>
    <s v="MAE 15"/>
    <s v="Y"/>
    <n v="6.83"/>
    <n v="1.37"/>
    <x v="3"/>
    <s v="VALIDATED"/>
    <n v="1"/>
    <s v="01.11.80.305.6100.0000"/>
    <n v="6.83"/>
    <s v="11"/>
    <s v="6100"/>
    <n v="-32425.63"/>
    <n v="6.8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0"/>
    <d v="2023-07-10T19:01:45"/>
    <s v="Y"/>
    <s v="Preparation - drafting instructions"/>
    <s v="Care Remuneration Hourly Rates"/>
    <s v="Profit Cost"/>
    <s v="AGI 30"/>
    <s v="Y"/>
    <n v="107.72"/>
    <n v="21.54"/>
    <x v="2"/>
    <s v="VALIDATED"/>
    <n v="1"/>
    <s v="01.11.80.308.6100.0000"/>
    <n v="107.72"/>
    <s v="11"/>
    <s v="6100"/>
    <n v="-32425.63"/>
    <n v="107.7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
    <d v="2023-07-10T19:01:45"/>
    <s v="N"/>
    <s v="Preparation - other"/>
    <s v="Care Remuneration Hourly Rates"/>
    <s v="Profit Cost"/>
    <s v="JBL 30"/>
    <s v="N"/>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0"/>
    <d v="2023-07-10T19:01:45"/>
    <s v="Y"/>
    <s v="Preparation - other"/>
    <s v="Care Remuneration Hourly Rates"/>
    <s v="Profit Cost"/>
    <s v="JBL 30"/>
    <s v="Y"/>
    <n v="35.91"/>
    <n v="7.18"/>
    <x v="2"/>
    <s v="VALIDATED"/>
    <n v="1"/>
    <s v="01.11.80.308.6100.0000"/>
    <n v="35.91"/>
    <s v="11"/>
    <s v="6100"/>
    <n v="-32425.63"/>
    <n v="35.91"/>
    <s v="DEBTOR"/>
    <n v="0"/>
    <n v="0"/>
    <n v="0"/>
    <n v="0"/>
    <n v="0"/>
  </r>
  <r>
    <n v="60685835"/>
    <s v="N"/>
    <n v="21349824"/>
    <s v="3000014935350001"/>
    <s v="CIVIL"/>
    <d v="2023-06-30T00:00:00"/>
    <d v="2023-07-10T19:01:40"/>
    <m/>
    <d v="2023-07-10T00:00:00"/>
    <n v="1878"/>
    <n v="1547"/>
    <s v="60685835"/>
    <s v="60685835"/>
    <m/>
    <m/>
    <n v="22795072"/>
    <m/>
    <m/>
    <m/>
    <s v="SOLFIN"/>
    <s v="SOLFIN"/>
    <s v="CCMS"/>
    <n v="21349824"/>
    <n v="0"/>
    <m/>
    <s v="N"/>
    <n v="1"/>
    <d v="2023-07-10T19:01:58"/>
    <s v="N"/>
    <s v="NIL BILL"/>
    <s v="Public Law Children"/>
    <s v="Profit Cost"/>
    <s v="MARY ANN EDWARDS"/>
    <s v="N"/>
    <n v="0"/>
    <n v="0"/>
    <x v="2"/>
    <s v="VALIDATED"/>
    <n v="1"/>
    <s v="01.11.80.308.6100.0000"/>
    <n v="0"/>
    <s v="11"/>
    <s v="6100"/>
    <n v="-32425.63"/>
    <n v="0"/>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0"/>
    <d v="2023-07-10T19:02:05"/>
    <s v="Y"/>
    <s v="Preparation - drafting attendance n"/>
    <s v="Non Family Hourly Rates"/>
    <s v="Profit Cost"/>
    <s v="CB"/>
    <s v="Y"/>
    <n v="7.16"/>
    <n v="0"/>
    <x v="2"/>
    <s v="VALIDATED"/>
    <n v="1"/>
    <s v="01.11.80.203.6100.0000"/>
    <n v="7.16"/>
    <s v="11"/>
    <s v="6100"/>
    <n v="-32425.63"/>
    <n v="7.16"/>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8"/>
    <d v="2023-07-05T19:02:09"/>
    <s v="Y"/>
    <s v="Preparation - drafting statement"/>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2"/>
    <d v="2023-07-05T19:02:06"/>
    <s v="Y"/>
    <s v="Preparation - drafting statement"/>
    <s v="VHCC"/>
    <s v="Profit Cost"/>
    <s v="GLE 60"/>
    <s v="Y"/>
    <n v="80.14"/>
    <n v="16.03"/>
    <x v="6"/>
    <s v="VALIDATED"/>
    <n v="1"/>
    <s v="01.11.80.203.6100.0000"/>
    <n v="80.14"/>
    <s v="11"/>
    <s v="6100"/>
    <n v="-32425.63"/>
    <n v="80.1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1"/>
    <d v="2023-07-05T19:01:55"/>
    <s v="Y"/>
    <s v="Preparation - other"/>
    <s v="Non Family Hourly Rates"/>
    <s v="Profit Cost"/>
    <s v="GLE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6"/>
    <d v="2023-07-05T19:01:55"/>
    <s v="Y"/>
    <s v="Attendance upon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1"/>
    <d v="2023-07-05T19:01:55"/>
    <s v="Y"/>
    <s v="Preparation - other"/>
    <s v="Non Family Hourly Rates"/>
    <s v="Profit Cost"/>
    <s v="HRL"/>
    <s v="Y"/>
    <n v="28.62"/>
    <n v="5.72"/>
    <x v="6"/>
    <s v="VALIDATED"/>
    <n v="1"/>
    <s v="01.11.80.203.6100.0000"/>
    <n v="28.62"/>
    <s v="11"/>
    <s v="6100"/>
    <n v="-32425.63"/>
    <n v="28.6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9"/>
    <d v="2023-07-05T19:01:55"/>
    <s v="Y"/>
    <s v="Preparation - drafting application"/>
    <s v="Non Family Hourly Rates"/>
    <s v="Profit Cost"/>
    <s v="HRL 50"/>
    <s v="Y"/>
    <n v="53.67"/>
    <n v="10.73"/>
    <x v="6"/>
    <s v="VALIDATED"/>
    <n v="1"/>
    <s v="01.11.80.203.6100.0000"/>
    <n v="53.67"/>
    <s v="11"/>
    <s v="6100"/>
    <n v="-32425.63"/>
    <n v="53.6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0"/>
    <d v="2023-07-03T19:04:58"/>
    <s v="Y"/>
    <s v="Preparation - drafting statement"/>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6"/>
    <d v="2023-07-03T19:04:58"/>
    <s v="Y"/>
    <s v="Preparation - drafting application"/>
    <s v="VHCC"/>
    <s v="Profit Cost"/>
    <s v="MJS"/>
    <s v="Y"/>
    <n v="35.78"/>
    <n v="7.16"/>
    <x v="3"/>
    <s v="VALIDATED"/>
    <n v="1"/>
    <s v="01.11.80.203.6100.0000"/>
    <n v="35.78"/>
    <s v="11"/>
    <s v="6100"/>
    <n v="-32425.63"/>
    <n v="35.7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9"/>
    <d v="2023-07-03T19:04:58"/>
    <s v="Y"/>
    <s v="Preparation - other"/>
    <s v="VHCC"/>
    <s v="Profit Cost"/>
    <s v="JML 65"/>
    <s v="Y"/>
    <n v="82.64"/>
    <n v="16.53"/>
    <x v="3"/>
    <s v="VALIDATED"/>
    <n v="1"/>
    <s v="01.11.80.203.6100.0000"/>
    <n v="82.64"/>
    <s v="11"/>
    <s v="6100"/>
    <n v="-32425.63"/>
    <n v="82.6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
    <d v="2023-07-03T19:04:58"/>
    <s v="Y"/>
    <s v="Preparation - drafting attendance n"/>
    <s v="VHCC"/>
    <s v="Profit Cost"/>
    <s v="JML"/>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7"/>
    <d v="2023-07-03T19:04:58"/>
    <s v="Y"/>
    <s v="Preparation - other"/>
    <s v="VHCC"/>
    <s v="Profit Cost"/>
    <s v="JML"/>
    <s v="Y"/>
    <n v="14.31"/>
    <n v="2.86"/>
    <x v="3"/>
    <s v="VALIDATED"/>
    <n v="1"/>
    <s v="01.11.80.203.6100.0000"/>
    <n v="14.31"/>
    <s v="11"/>
    <s v="6100"/>
    <n v="-32425.63"/>
    <n v="14.31"/>
    <s v="DEBTOR"/>
    <n v="0"/>
    <n v="0"/>
    <n v="0"/>
    <n v="0"/>
    <n v="0"/>
  </r>
  <r>
    <n v="8733210"/>
    <s v="N"/>
    <n v="21403533"/>
    <s v="3000004746670021"/>
    <s v="CIVIL"/>
    <d v="2023-06-06T00:00:00"/>
    <d v="2023-07-20T19:22:20"/>
    <m/>
    <d v="2023-07-20T00:00:00"/>
    <n v="1878"/>
    <n v="1547"/>
    <s v="8733210"/>
    <s v="8733210"/>
    <m/>
    <m/>
    <n v="22629506"/>
    <m/>
    <m/>
    <m/>
    <s v="SOLFIN"/>
    <s v="SOLFIN"/>
    <s v="CCMS"/>
    <n v="21403533"/>
    <n v="4211.9"/>
    <m/>
    <s v="N"/>
    <n v="66"/>
    <d v="2023-07-20T19:22:42"/>
    <s v="Y"/>
    <s v="Preparation - other"/>
    <s v="Non Family Hourly Rates"/>
    <s v="Profit Cost"/>
    <s v="BSS"/>
    <s v="Y"/>
    <n v="56.7"/>
    <n v="11.34"/>
    <x v="13"/>
    <s v="VALIDATED"/>
    <n v="1"/>
    <s v="01.11.80.201.6100.0000"/>
    <n v="56.7"/>
    <s v="11"/>
    <s v="6100"/>
    <n v="-32425.63"/>
    <n v="56.7"/>
    <s v="DEBTOR"/>
    <n v="0"/>
    <n v="0"/>
    <n v="0"/>
    <n v="0"/>
    <n v="0"/>
  </r>
  <r>
    <n v="8733210"/>
    <s v="N"/>
    <n v="21403533"/>
    <s v="3000004746670021"/>
    <s v="CIVIL"/>
    <d v="2023-06-06T00:00:00"/>
    <d v="2023-07-20T19:22:20"/>
    <m/>
    <d v="2023-07-20T00:00:00"/>
    <n v="1878"/>
    <n v="1547"/>
    <s v="8733210"/>
    <s v="8733210"/>
    <m/>
    <m/>
    <n v="22629506"/>
    <m/>
    <m/>
    <m/>
    <s v="SOLFIN"/>
    <s v="SOLFIN"/>
    <s v="CCMS"/>
    <n v="21403533"/>
    <n v="4211.9"/>
    <m/>
    <s v="N"/>
    <n v="96"/>
    <d v="2023-07-20T19:22:42"/>
    <s v="Y"/>
    <s v="Attendance upon client"/>
    <s v="Non Family Hourly Rates"/>
    <s v="Profit Cost"/>
    <s v="GMT"/>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104"/>
    <d v="2023-07-20T19:22:42"/>
    <s v="Y"/>
    <s v="Preparation - drafting instructions"/>
    <s v="Non Family Hourly Rates"/>
    <s v="Profit Cost"/>
    <s v="NAO"/>
    <s v="Y"/>
    <n v="18.9"/>
    <n v="3.78"/>
    <x v="13"/>
    <s v="VALIDATED"/>
    <n v="1"/>
    <s v="01.11.80.201.6100.0000"/>
    <n v="18.9"/>
    <s v="11"/>
    <s v="6100"/>
    <n v="-32425.63"/>
    <n v="18.9"/>
    <s v="DEBTOR"/>
    <n v="0"/>
    <n v="0"/>
    <n v="0"/>
    <n v="0"/>
    <n v="0"/>
  </r>
  <r>
    <n v="61742173"/>
    <s v="N"/>
    <n v="21319086"/>
    <s v="3000015815100003"/>
    <s v="CIVIL"/>
    <d v="2023-06-23T00:00:00"/>
    <d v="2023-07-03T19:01:49"/>
    <m/>
    <d v="2023-07-03T00:00:00"/>
    <n v="1878"/>
    <n v="1547"/>
    <s v="61742173"/>
    <s v="61742173"/>
    <m/>
    <m/>
    <n v="22750850"/>
    <m/>
    <m/>
    <m/>
    <s v="SOLFIN"/>
    <s v="SOLFIN"/>
    <s v="CCMS"/>
    <n v="21319086"/>
    <n v="5246"/>
    <m/>
    <s v="N"/>
    <n v="22"/>
    <d v="2023-07-03T19:02:10"/>
    <s v="Y"/>
    <s v="Preparation - other"/>
    <s v="Prescribed Hourly Rates"/>
    <s v="Profit Cost"/>
    <s v="MAE 15"/>
    <s v="Y"/>
    <n v="20.49"/>
    <n v="4.1"/>
    <x v="3"/>
    <s v="VALIDATED"/>
    <n v="1"/>
    <s v="01.11.80.305.6100.0000"/>
    <n v="20.49"/>
    <s v="11"/>
    <s v="6100"/>
    <n v="-32425.63"/>
    <n v="20.49"/>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3"/>
    <d v="2023-07-18T19:00:56"/>
    <s v="Y"/>
    <s v="Preparation - other"/>
    <s v="Non Family Hourly Rates"/>
    <s v="Profit Cost"/>
    <s v="MSK"/>
    <s v="Y"/>
    <n v="7.16"/>
    <n v="1.43"/>
    <x v="14"/>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2"/>
    <d v="2023-07-10T19:01:45"/>
    <s v="Y"/>
    <s v="Routine Letter In"/>
    <s v="Care Remuneration Hourly Rates"/>
    <s v="Profit Cost"/>
    <s v="AGI"/>
    <s v="Y"/>
    <n v="1374.37"/>
    <n v="274.87"/>
    <x v="2"/>
    <s v="VALIDATED"/>
    <n v="1"/>
    <s v="01.11.80.308.6100.0000"/>
    <n v="1374.37"/>
    <s v="11"/>
    <s v="6100"/>
    <n v="-32425.63"/>
    <n v="137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3"/>
    <d v="2023-07-10T19:01:45"/>
    <s v="Y"/>
    <s v="Preparation - other"/>
    <s v="Care Remuneration Hourly Rates"/>
    <s v="Profit Cost"/>
    <s v="AMA 30"/>
    <s v="Y"/>
    <n v="78.98999999999999"/>
    <n v="15.8"/>
    <x v="2"/>
    <s v="VALIDATED"/>
    <n v="1"/>
    <s v="01.11.80.308.6100.0000"/>
    <n v="78.98999999999999"/>
    <s v="11"/>
    <s v="6100"/>
    <n v="-32425.63"/>
    <n v="78.989999999999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3"/>
    <d v="2023-07-10T19:01:45"/>
    <s v="Y"/>
    <s v="Preparation - other"/>
    <s v="Care Remuneration Hourly Rates"/>
    <s v="Profit Cost"/>
    <s v="AGI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4"/>
    <d v="2023-07-10T19:02:05"/>
    <s v="Y"/>
    <s v="Preparation - drafting attendance n"/>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6"/>
    <d v="2023-07-10T19:02:05"/>
    <s v="Y"/>
    <s v="Preparation - other"/>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6"/>
    <d v="2023-07-10T19:02:05"/>
    <s v="Y"/>
    <s v="Preparation - other"/>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3"/>
    <d v="2023-07-10T19:02:05"/>
    <s v="Y"/>
    <s v="Attendance upon other"/>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6"/>
    <d v="2023-07-10T19:02:05"/>
    <s v="Y"/>
    <s v="Attendance upon/with Counsel at Con"/>
    <s v="Non Family Hourly Rates"/>
    <s v="Profit Cost"/>
    <s v="LG"/>
    <s v="Y"/>
    <n v="6.66"/>
    <n v="0"/>
    <x v="2"/>
    <s v="VALIDATED"/>
    <n v="1"/>
    <s v="01.11.80.203.6100.0000"/>
    <n v="6.66"/>
    <s v="11"/>
    <s v="6100"/>
    <n v="-32425.63"/>
    <n v="6.66"/>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0"/>
    <d v="2023-07-05T19:02:09"/>
    <s v="Y"/>
    <s v="Preparation - other"/>
    <s v="VHCC"/>
    <s v="Profit Cost"/>
    <s v="SHL 60"/>
    <s v="Y"/>
    <n v="91.58"/>
    <n v="18.32"/>
    <x v="6"/>
    <s v="VALIDATED"/>
    <n v="1"/>
    <s v="01.11.80.203.6100.0000"/>
    <n v="91.58"/>
    <s v="11"/>
    <s v="6100"/>
    <n v="-32425.63"/>
    <n v="91.5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4"/>
    <d v="2023-07-05T19:02:06"/>
    <s v="Y"/>
    <s v="Preparation - other"/>
    <s v="VHCC"/>
    <s v="Profit Cost"/>
    <s v="GLE"/>
    <s v="Y"/>
    <n v="14.31"/>
    <n v="2.86"/>
    <x v="6"/>
    <s v="VALIDATED"/>
    <n v="1"/>
    <s v="01.11.80.203.6100.0000"/>
    <n v="14.31"/>
    <s v="11"/>
    <s v="6100"/>
    <n v="-32425.63"/>
    <n v="14.3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2"/>
    <d v="2023-07-05T19:02:09"/>
    <s v="Y"/>
    <s v="Preparation - drafting statement"/>
    <s v="VHCC"/>
    <s v="Profit Cost"/>
    <s v="GLE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4"/>
    <d v="2023-07-05T19:02:06"/>
    <s v="Y"/>
    <s v="Preparation - drafting statement"/>
    <s v="VHCC"/>
    <s v="Profit Cost"/>
    <s v="SHL 60"/>
    <s v="Y"/>
    <n v="11.45"/>
    <n v="2.29"/>
    <x v="6"/>
    <s v="VALIDATED"/>
    <n v="1"/>
    <s v="01.11.80.203.6100.0000"/>
    <n v="11.45"/>
    <s v="11"/>
    <s v="6100"/>
    <n v="-32425.63"/>
    <n v="11.4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7"/>
    <d v="2023-07-05T19:01:55"/>
    <s v="Y"/>
    <s v="Preparation - drafting statement"/>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7"/>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6"/>
    <d v="2023-07-05T19:01:55"/>
    <s v="Y"/>
    <s v="Attendance upon client"/>
    <s v="Non Family Hourly Rates"/>
    <s v="Profit Cost"/>
    <s v="GLE"/>
    <s v="Y"/>
    <n v="71.55"/>
    <n v="14.31"/>
    <x v="6"/>
    <s v="VALIDATED"/>
    <n v="1"/>
    <s v="01.11.80.203.6100.0000"/>
    <n v="71.55"/>
    <s v="11"/>
    <s v="6100"/>
    <n v="-32425.63"/>
    <n v="71.5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0"/>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6"/>
    <d v="2023-07-05T19:01:55"/>
    <s v="Y"/>
    <s v="Preparation - other"/>
    <s v="Non Family Hourly Rates"/>
    <s v="Profit Cost"/>
    <s v="LD"/>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4"/>
    <d v="2023-07-05T19:01:55"/>
    <s v="Y"/>
    <s v="Preparation - other"/>
    <s v="Non Family Hourly Rates"/>
    <s v="Profit Cost"/>
    <s v="HRL"/>
    <s v="Y"/>
    <n v="28.62"/>
    <n v="5.72"/>
    <x v="6"/>
    <s v="VALIDATED"/>
    <n v="1"/>
    <s v="01.11.80.203.6100.0000"/>
    <n v="28.62"/>
    <s v="11"/>
    <s v="6100"/>
    <n v="-32425.63"/>
    <n v="28.6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1"/>
    <d v="2023-07-05T19:01:55"/>
    <s v="Y"/>
    <s v="Preparation - drafting application"/>
    <s v="Non Family Hourly Rates"/>
    <s v="Profit Cost"/>
    <s v="HRL 50"/>
    <s v="Y"/>
    <n v="21.47"/>
    <n v="4.29"/>
    <x v="6"/>
    <s v="VALIDATED"/>
    <n v="1"/>
    <s v="01.11.80.203.6100.0000"/>
    <n v="21.47"/>
    <s v="11"/>
    <s v="6100"/>
    <n v="-32425.63"/>
    <n v="21.47"/>
    <s v="DEBTOR"/>
    <n v="0"/>
    <n v="0"/>
    <n v="0"/>
    <n v="0"/>
    <n v="0"/>
  </r>
  <r>
    <n v="61742173"/>
    <s v="N"/>
    <n v="21319086"/>
    <s v="3000015815100003"/>
    <s v="CIVIL"/>
    <d v="2023-06-23T00:00:00"/>
    <d v="2023-07-03T19:01:49"/>
    <m/>
    <d v="2023-07-03T00:00:00"/>
    <n v="1878"/>
    <n v="1547"/>
    <s v="61742173"/>
    <s v="61742173"/>
    <m/>
    <m/>
    <n v="22750850"/>
    <m/>
    <m/>
    <m/>
    <s v="SOLFIN"/>
    <s v="SOLFIN"/>
    <s v="CCMS"/>
    <n v="21319086"/>
    <n v="5246"/>
    <m/>
    <s v="N"/>
    <n v="10"/>
    <d v="2023-07-03T19:02:10"/>
    <s v="Y"/>
    <s v="Preparation - other"/>
    <s v="Prescribed Hourly Rates"/>
    <s v="Profit Cost"/>
    <s v="MAE 15"/>
    <s v="Y"/>
    <n v="68.31"/>
    <n v="13.66"/>
    <x v="3"/>
    <s v="VALIDATED"/>
    <n v="1"/>
    <s v="01.11.80.305.6100.0000"/>
    <n v="68.31"/>
    <s v="11"/>
    <s v="6100"/>
    <n v="-32425.63"/>
    <n v="68.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8"/>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0"/>
    <d v="2023-07-03T19:04:58"/>
    <s v="Y"/>
    <s v="Preparation - other"/>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8"/>
    <d v="2023-07-03T19:04:58"/>
    <s v="Y"/>
    <s v="Preparation - other"/>
    <s v="VHCC"/>
    <s v="Profit Cost"/>
    <s v="JML"/>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6"/>
    <d v="2023-07-03T19:04:58"/>
    <s v="Y"/>
    <s v="Preparation - other"/>
    <s v="VHCC"/>
    <s v="Profit Cost"/>
    <s v="JML 65"/>
    <s v="Y"/>
    <n v="153.48"/>
    <n v="30.69"/>
    <x v="3"/>
    <s v="VALIDATED"/>
    <n v="1"/>
    <s v="01.11.80.203.6100.0000"/>
    <n v="153.48"/>
    <s v="11"/>
    <s v="6100"/>
    <n v="-32425.63"/>
    <n v="153.4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7"/>
    <d v="2023-07-03T19:04:58"/>
    <s v="Y"/>
    <s v="Preparation - other"/>
    <s v="VHCC"/>
    <s v="Profit Cost"/>
    <s v="JML 65"/>
    <s v="Y"/>
    <n v="212.51"/>
    <n v="42.5"/>
    <x v="3"/>
    <s v="VALIDATED"/>
    <n v="1"/>
    <s v="01.11.80.203.6100.0000"/>
    <n v="212.51"/>
    <s v="11"/>
    <s v="6100"/>
    <n v="-32425.63"/>
    <n v="212.5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4"/>
    <d v="2023-07-18T19:00:56"/>
    <s v="Y"/>
    <s v="Preparation - other"/>
    <s v="Non Family Hourly Rates"/>
    <s v="Profit Cost"/>
    <s v="MSK"/>
    <s v="Y"/>
    <n v="7.16"/>
    <n v="1.43"/>
    <x v="14"/>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9"/>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7"/>
    <d v="2023-07-10T19:02:05"/>
    <s v="Y"/>
    <s v="Preparation - other"/>
    <s v="Non Family Hourly Rates"/>
    <s v="Profit Cost"/>
    <s v="LG"/>
    <s v="Y"/>
    <n v="32.21"/>
    <n v="0"/>
    <x v="2"/>
    <s v="VALIDATED"/>
    <n v="1"/>
    <s v="01.11.80.203.6100.0000"/>
    <n v="32.21"/>
    <s v="11"/>
    <s v="6100"/>
    <n v="-32425.63"/>
    <n v="32.2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1"/>
    <d v="2023-07-10T19:01:45"/>
    <s v="Y"/>
    <s v="Routine Letter Out"/>
    <s v="Care Remuneration Hourly Rates"/>
    <s v="Profit Cost"/>
    <s v="AMA"/>
    <s v="Y"/>
    <n v="59.04"/>
    <n v="11.81"/>
    <x v="2"/>
    <s v="VALIDATED"/>
    <n v="1"/>
    <s v="01.11.80.308.6100.0000"/>
    <n v="59.04"/>
    <s v="11"/>
    <s v="6100"/>
    <n v="-32425.63"/>
    <n v="59.0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7"/>
    <d v="2023-07-05T19:02:06"/>
    <s v="Y"/>
    <s v="Preparation - other"/>
    <s v="VHCC"/>
    <s v="Profit Cost"/>
    <s v="PFA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1"/>
    <d v="2023-07-05T19:02:06"/>
    <s v="Y"/>
    <s v="Preparation - other"/>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2"/>
    <d v="2023-07-05T19:02:06"/>
    <s v="Y"/>
    <s v="Preparation - other"/>
    <s v="VHCC"/>
    <s v="Profit Cost"/>
    <s v="SHL 60"/>
    <s v="Y"/>
    <n v="11.45"/>
    <n v="2.29"/>
    <x v="6"/>
    <s v="VALIDATED"/>
    <n v="1"/>
    <s v="01.11.80.203.6100.0000"/>
    <n v="11.45"/>
    <s v="11"/>
    <s v="6100"/>
    <n v="-32425.63"/>
    <n v="11.45"/>
    <s v="DEBTOR"/>
    <n v="0"/>
    <n v="0"/>
    <n v="0"/>
    <n v="0"/>
    <n v="0"/>
  </r>
  <r>
    <n v="59677260"/>
    <s v="N"/>
    <n v="21331257"/>
    <s v="3000014052440026"/>
    <s v="CIVIL"/>
    <d v="2023-06-30T00:00:00"/>
    <d v="2023-07-05T19:01:47"/>
    <m/>
    <d v="2023-07-05T00:00:00"/>
    <n v="1878"/>
    <n v="1547"/>
    <s v="59677260"/>
    <s v="59677260"/>
    <m/>
    <m/>
    <n v="22798826"/>
    <m/>
    <m/>
    <m/>
    <s v="SOLINT"/>
    <s v="SOLINT"/>
    <s v="CCMS"/>
    <n v="21331257"/>
    <n v="4736.2"/>
    <m/>
    <s v="N"/>
    <n v="38"/>
    <d v="2023-07-05T19:02:12"/>
    <s v="Y"/>
    <s v="Preparation - other"/>
    <s v="VHCC"/>
    <s v="Profit Cost"/>
    <s v="SHL 60"/>
    <s v="Y"/>
    <n v="34.34"/>
    <n v="6.87"/>
    <x v="6"/>
    <s v="VALIDATED"/>
    <n v="1"/>
    <s v="01.11.80.203.6100.0000"/>
    <n v="34.34"/>
    <s v="11"/>
    <s v="6100"/>
    <n v="-32425.63"/>
    <n v="34.34"/>
    <s v="DEBTOR"/>
    <n v="0"/>
    <n v="0"/>
    <n v="0"/>
    <n v="0"/>
    <n v="0"/>
  </r>
  <r>
    <n v="59677260"/>
    <s v="N"/>
    <n v="21331257"/>
    <s v="3000014052440026"/>
    <s v="CIVIL"/>
    <d v="2023-06-30T00:00:00"/>
    <d v="2023-07-05T19:01:47"/>
    <m/>
    <d v="2023-07-05T00:00:00"/>
    <n v="1878"/>
    <n v="1547"/>
    <s v="59677260"/>
    <s v="59677260"/>
    <m/>
    <m/>
    <n v="22798826"/>
    <m/>
    <m/>
    <m/>
    <s v="SOLINT"/>
    <s v="SOLINT"/>
    <s v="CCMS"/>
    <n v="21331257"/>
    <n v="4736.2"/>
    <m/>
    <s v="N"/>
    <n v="1"/>
    <d v="2023-07-05T19:02:12"/>
    <s v="Y"/>
    <s v="Preparation - other"/>
    <s v="VHCC"/>
    <s v="Profit Cost"/>
    <s v="GLE 60"/>
    <s v="Y"/>
    <n v="45.79"/>
    <n v="9.16"/>
    <x v="6"/>
    <s v="VALIDATED"/>
    <n v="1"/>
    <s v="01.11.80.203.6100.0000"/>
    <n v="45.79"/>
    <s v="11"/>
    <s v="6100"/>
    <n v="-32425.63"/>
    <n v="45.79"/>
    <s v="DEBTOR"/>
    <n v="0"/>
    <n v="0"/>
    <n v="0"/>
    <n v="0"/>
    <n v="0"/>
  </r>
  <r>
    <n v="59677260"/>
    <s v="N"/>
    <n v="21331257"/>
    <s v="3000014052440026"/>
    <s v="CIVIL"/>
    <d v="2023-06-30T00:00:00"/>
    <d v="2023-07-05T19:01:47"/>
    <m/>
    <d v="2023-07-05T00:00:00"/>
    <n v="1878"/>
    <n v="1547"/>
    <s v="59677260"/>
    <s v="59677260"/>
    <m/>
    <m/>
    <n v="22798826"/>
    <m/>
    <m/>
    <m/>
    <s v="SOLINT"/>
    <s v="SOLINT"/>
    <s v="CCMS"/>
    <n v="21331257"/>
    <n v="4736.2"/>
    <m/>
    <s v="N"/>
    <n v="4"/>
    <d v="2023-07-05T19:02:12"/>
    <s v="Y"/>
    <s v="Preparation - other"/>
    <s v="VHCC"/>
    <s v="Profit Cost"/>
    <s v="GLE 60"/>
    <s v="Y"/>
    <n v="45.79"/>
    <n v="9.16"/>
    <x v="6"/>
    <s v="VALIDATED"/>
    <n v="1"/>
    <s v="01.11.80.203.6100.0000"/>
    <n v="45.79"/>
    <s v="11"/>
    <s v="6100"/>
    <n v="-32425.63"/>
    <n v="45.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4"/>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2"/>
    <d v="2023-07-05T19:01:55"/>
    <s v="Y"/>
    <s v="Preparation - drafting statement"/>
    <s v="Non Family Hourly Rates"/>
    <s v="Profit Cost"/>
    <s v="HRL 50"/>
    <s v="Y"/>
    <n v="64.40000000000001"/>
    <n v="12.88"/>
    <x v="6"/>
    <s v="VALIDATED"/>
    <n v="1"/>
    <s v="01.11.80.203.6100.0000"/>
    <n v="64.40000000000001"/>
    <s v="11"/>
    <s v="6100"/>
    <n v="-32425.63"/>
    <n v="64.40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5"/>
    <d v="2023-07-05T19:01:55"/>
    <s v="Y"/>
    <s v="Preparation - other"/>
    <s v="Non Family Hourly Rates"/>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9"/>
    <d v="2023-07-05T19:01:55"/>
    <s v="Y"/>
    <s v="Attendance upon other"/>
    <s v="Non Family Hourly Rates"/>
    <s v="Profit Cost"/>
    <s v="HRL 50"/>
    <s v="Y"/>
    <n v="64.40000000000001"/>
    <n v="12.88"/>
    <x v="6"/>
    <s v="VALIDATED"/>
    <n v="1"/>
    <s v="01.11.80.203.6100.0000"/>
    <n v="64.40000000000001"/>
    <s v="11"/>
    <s v="6100"/>
    <n v="-32425.63"/>
    <n v="64.40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
    <d v="2023-07-05T19:01:55"/>
    <s v="Y"/>
    <s v="Preparation - drafting application"/>
    <s v="Non Family Hourly Rates"/>
    <s v="Profit Cost"/>
    <s v="HRL"/>
    <s v="Y"/>
    <n v="14.31"/>
    <n v="2.86"/>
    <x v="6"/>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0"/>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2"/>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1"/>
    <d v="2023-07-03T19:04:58"/>
    <s v="Y"/>
    <s v="Preparation - other"/>
    <s v="VHCC"/>
    <s v="Profit Cost"/>
    <s v="JML 65"/>
    <s v="Y"/>
    <n v="177.09"/>
    <n v="35.41"/>
    <x v="3"/>
    <s v="VALIDATED"/>
    <n v="1"/>
    <s v="01.11.80.203.6100.0000"/>
    <n v="177.09"/>
    <s v="11"/>
    <s v="6100"/>
    <n v="-32425.63"/>
    <n v="177.0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1"/>
    <d v="2023-07-03T19:04:58"/>
    <s v="Y"/>
    <s v="Preparation - drafting bill/claim f"/>
    <s v="VHCC"/>
    <s v="Profit Cost"/>
    <s v="LD"/>
    <s v="Y"/>
    <n v="264.74"/>
    <n v="52.94"/>
    <x v="3"/>
    <s v="VALIDATED"/>
    <n v="1"/>
    <s v="01.11.80.203.6100.0000"/>
    <n v="264.74"/>
    <s v="11"/>
    <s v="6100"/>
    <n v="-32425.63"/>
    <n v="264.7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
    <d v="2023-07-03T19:04:58"/>
    <s v="Y"/>
    <s v="Preparation - drafting notice(s)"/>
    <s v="VHCC"/>
    <s v="Profit Cost"/>
    <s v="JML"/>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3"/>
    <d v="2023-07-03T19:04:58"/>
    <s v="Y"/>
    <s v="Attendance upon other"/>
    <s v="VHCC"/>
    <s v="Profit Cost"/>
    <s v="JML 65"/>
    <s v="Y"/>
    <n v="23.61"/>
    <n v="4.72"/>
    <x v="3"/>
    <s v="VALIDATED"/>
    <n v="1"/>
    <s v="01.11.80.203.6100.0000"/>
    <n v="23.61"/>
    <s v="11"/>
    <s v="6100"/>
    <n v="-32425.63"/>
    <n v="23.61"/>
    <s v="DEBTOR"/>
    <n v="0"/>
    <n v="0"/>
    <n v="0"/>
    <n v="0"/>
    <n v="0"/>
  </r>
  <r>
    <n v="61742173"/>
    <s v="N"/>
    <n v="21319086"/>
    <s v="3000015815100003"/>
    <s v="CIVIL"/>
    <d v="2023-06-23T00:00:00"/>
    <d v="2023-07-03T19:01:49"/>
    <m/>
    <d v="2023-07-03T00:00:00"/>
    <n v="1878"/>
    <n v="1547"/>
    <s v="61742173"/>
    <s v="61742173"/>
    <m/>
    <m/>
    <n v="22750850"/>
    <m/>
    <m/>
    <m/>
    <s v="SOLFIN"/>
    <s v="SOLFIN"/>
    <s v="CCMS"/>
    <n v="21319086"/>
    <n v="5246"/>
    <m/>
    <s v="N"/>
    <n v="2"/>
    <d v="2023-07-03T19:02:10"/>
    <s v="Y"/>
    <s v="Other"/>
    <s v="Prescribed Hourly Rates"/>
    <s v="Non Expert Disbursement"/>
    <s v="MAE 15"/>
    <s v="Y"/>
    <n v="1.2"/>
    <n v="0.24"/>
    <x v="3"/>
    <s v="VALIDATED"/>
    <n v="1"/>
    <s v="01.11.80.305.6300.0000"/>
    <n v="1.2"/>
    <s v="11"/>
    <s v="6300"/>
    <n v="-32425.63"/>
    <n v="1.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8"/>
    <d v="2023-07-10T19:01:45"/>
    <s v="Y"/>
    <s v="Routine Telephone Call"/>
    <s v="Care Remuneration Hourly Rates"/>
    <s v="Profit Cost"/>
    <s v="AGI"/>
    <s v="Y"/>
    <n v="12.73"/>
    <n v="2.55"/>
    <x v="2"/>
    <s v="VALIDATED"/>
    <n v="1"/>
    <s v="01.11.80.308.6100.0000"/>
    <n v="12.73"/>
    <s v="11"/>
    <s v="6100"/>
    <n v="-32425.63"/>
    <n v="12.7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1"/>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1"/>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
    <d v="2023-07-10T19:01:45"/>
    <s v="N"/>
    <s v="Preparation - other"/>
    <s v="Care Remuneration Hourly Rates"/>
    <s v="Profit Cost"/>
    <s v="JBL 30"/>
    <s v="N"/>
    <n v="71.81"/>
    <n v="14.36"/>
    <x v="2"/>
    <s v="VALIDATED"/>
    <n v="1"/>
    <s v="01.11.80.308.6100.0000"/>
    <n v="71.81"/>
    <s v="11"/>
    <s v="6100"/>
    <n v="-32425.63"/>
    <n v="71.8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4"/>
    <d v="2023-07-10T19:01:45"/>
    <s v="Y"/>
    <s v="Preparation - other"/>
    <s v="Care Remuneration Hourly Rates"/>
    <s v="Profit Cost"/>
    <s v="AGI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
    <d v="2023-07-10T19:02:05"/>
    <s v="Y"/>
    <s v="Interpreter"/>
    <s v="Non Family Hourly Rates"/>
    <s v="Expert Disbursement"/>
    <s v="XXX"/>
    <s v="Y"/>
    <n v="14.58"/>
    <n v="2.92"/>
    <x v="2"/>
    <s v="VALIDATED"/>
    <n v="1"/>
    <s v="01.11.80.203.6300.0000"/>
    <n v="14.58"/>
    <s v="11"/>
    <s v="6300"/>
    <n v="-32425.63"/>
    <n v="14.5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5"/>
    <d v="2023-07-10T19:02:05"/>
    <s v="Y"/>
    <s v="Attendance upon client"/>
    <s v="Non Family Hourly Rates"/>
    <s v="Profit Cost"/>
    <s v="LG"/>
    <s v="Y"/>
    <n v="214.65"/>
    <n v="0"/>
    <x v="2"/>
    <s v="VALIDATED"/>
    <n v="1"/>
    <s v="01.11.80.203.6100.0000"/>
    <n v="214.65"/>
    <s v="11"/>
    <s v="6100"/>
    <n v="-32425.63"/>
    <n v="214.6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4"/>
    <d v="2023-07-10T19:02:05"/>
    <s v="Y"/>
    <s v="Preparation - drafting statement"/>
    <s v="Non Family Hourly Rates"/>
    <s v="Profit Cost"/>
    <s v="CB"/>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8"/>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7"/>
    <d v="2023-07-10T19:02:05"/>
    <s v="Y"/>
    <s v="Preparation - drafting statement"/>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5"/>
    <d v="2023-07-10T19:02:05"/>
    <s v="Y"/>
    <s v="Preparation - drafting consent orde"/>
    <s v="Non Family Hourly Rates"/>
    <s v="Profit Cost"/>
    <s v="CB"/>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0"/>
    <d v="2023-07-10T19:02:05"/>
    <s v="Y"/>
    <s v="Preparation - research"/>
    <s v="Non Family Hourly Rates"/>
    <s v="Profit Cost"/>
    <s v="CB"/>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0"/>
    <d v="2023-07-10T19:02:05"/>
    <s v="Y"/>
    <s v="Attendance upon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5"/>
    <d v="2023-07-10T19:02:05"/>
    <s v="Y"/>
    <s v="Attendance upon other"/>
    <s v="Non Family Hourly Rates"/>
    <s v="Profit Cost"/>
    <s v="LG"/>
    <s v="Y"/>
    <n v="21.47"/>
    <n v="0"/>
    <x v="2"/>
    <s v="VALIDATED"/>
    <n v="1"/>
    <s v="01.11.80.203.6100.0000"/>
    <n v="21.47"/>
    <s v="11"/>
    <s v="6100"/>
    <n v="-32425.63"/>
    <n v="21.4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9"/>
    <d v="2023-07-06T19:21:25"/>
    <s v="Y"/>
    <s v="Preparation - other"/>
    <s v="Care Remuneration Hourly Rates"/>
    <s v="Profit Cost"/>
    <s v="NBS 25"/>
    <s v="Y"/>
    <n v="7.68"/>
    <n v="1.54"/>
    <x v="4"/>
    <s v="VALIDATED"/>
    <n v="1"/>
    <s v="01.11.80.308.6100.0000"/>
    <n v="7.68"/>
    <s v="11"/>
    <s v="6100"/>
    <n v="-32425.63"/>
    <n v="7.6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0"/>
    <d v="2023-07-06T19:21:25"/>
    <s v="Y"/>
    <s v="Preparation - drafting bill/claim f"/>
    <s v="Care Remuneration Hourly Rates"/>
    <s v="Profit Cost"/>
    <s v="NBS"/>
    <s v="Y"/>
    <n v="14.12"/>
    <n v="2.82"/>
    <x v="4"/>
    <s v="VALIDATED"/>
    <n v="1"/>
    <s v="01.11.80.308.6100.0000"/>
    <n v="14.12"/>
    <s v="11"/>
    <s v="6100"/>
    <n v="-32425.63"/>
    <n v="14.12"/>
    <s v="DEBTOR"/>
    <n v="0"/>
    <n v="0"/>
    <n v="0"/>
    <n v="0"/>
    <n v="0"/>
  </r>
  <r>
    <n v="59773071"/>
    <s v="N"/>
    <n v="21392646"/>
    <s v="3000014124260002"/>
    <s v="CIVIL"/>
    <d v="2023-06-14T00:00:00"/>
    <d v="2023-07-18T19:00:27"/>
    <m/>
    <d v="2023-07-18T00:00:00"/>
    <n v="1878"/>
    <n v="1547"/>
    <s v="59773071"/>
    <s v="59773071"/>
    <m/>
    <m/>
    <n v="22686976"/>
    <m/>
    <m/>
    <m/>
    <s v="SOLFIN"/>
    <s v="SOLFIN"/>
    <s v="CCMS"/>
    <n v="21392646"/>
    <n v="1220.15"/>
    <m/>
    <s v="N"/>
    <n v="6"/>
    <d v="2023-07-18T19:00:56"/>
    <s v="Y"/>
    <s v="Preparation - other"/>
    <s v="Non Family Hourly Rates"/>
    <s v="Profit Cost"/>
    <s v="MSK"/>
    <s v="Y"/>
    <n v="21.47"/>
    <n v="4.29"/>
    <x v="14"/>
    <s v="VALIDATED"/>
    <n v="1"/>
    <s v="01.11.80.203.6100.0000"/>
    <n v="21.47"/>
    <s v="11"/>
    <s v="6100"/>
    <n v="-32425.63"/>
    <n v="21.4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5"/>
    <d v="2023-07-10T19:01:45"/>
    <s v="Y"/>
    <s v="Preparation - other"/>
    <s v="Care Remuneration Hourly Rates"/>
    <s v="Profit Cost"/>
    <s v="AGI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
    <d v="2023-07-10T19:02:05"/>
    <s v="Y"/>
    <s v="Interpreter"/>
    <s v="Non Family Hourly Rates"/>
    <s v="Expert Disbursement"/>
    <s v="XXX"/>
    <s v="Y"/>
    <n v="25"/>
    <n v="5"/>
    <x v="2"/>
    <s v="VALIDATED"/>
    <n v="1"/>
    <s v="01.11.80.203.6300.0000"/>
    <n v="25"/>
    <s v="11"/>
    <s v="6300"/>
    <n v="-32425.63"/>
    <n v="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
    <d v="2023-07-10T19:02:05"/>
    <s v="Y"/>
    <s v="Interpreter"/>
    <s v="Non Family Hourly Rates"/>
    <s v="Expert Disbursement"/>
    <s v="XXX"/>
    <s v="Y"/>
    <n v="22.5"/>
    <n v="4.5"/>
    <x v="2"/>
    <s v="VALIDATED"/>
    <n v="1"/>
    <s v="01.11.80.203.6300.0000"/>
    <n v="22.5"/>
    <s v="11"/>
    <s v="6300"/>
    <n v="-32425.63"/>
    <n v="2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4"/>
    <d v="2023-07-10T19:02:05"/>
    <s v="Y"/>
    <s v="Attendance upon client"/>
    <s v="Non Family Hourly Rates"/>
    <s v="Profit Cost"/>
    <s v="LG"/>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3"/>
    <d v="2023-07-10T19:02:05"/>
    <s v="Y"/>
    <s v="Attendance upon/with Counsel at Con"/>
    <s v="Non Family Hourly Rates"/>
    <s v="Profit Cost"/>
    <s v="LG"/>
    <s v="Y"/>
    <n v="6.66"/>
    <n v="0"/>
    <x v="2"/>
    <s v="VALIDATED"/>
    <n v="1"/>
    <s v="01.11.80.203.6100.0000"/>
    <n v="6.66"/>
    <s v="11"/>
    <s v="6100"/>
    <n v="-32425.63"/>
    <n v="6.6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8"/>
    <d v="2023-07-10T19:02:05"/>
    <s v="Y"/>
    <s v="Attendance upon other"/>
    <s v="Non Family Hourly Rates"/>
    <s v="Profit Cost"/>
    <s v="LG"/>
    <s v="Y"/>
    <n v="53.67"/>
    <n v="0"/>
    <x v="2"/>
    <s v="VALIDATED"/>
    <n v="1"/>
    <s v="01.11.80.203.6100.0000"/>
    <n v="53.67"/>
    <s v="11"/>
    <s v="6100"/>
    <n v="-32425.63"/>
    <n v="53.6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3"/>
    <d v="2023-07-06T19:21:25"/>
    <s v="Y"/>
    <s v="Preparation - other"/>
    <s v="Care Remuneration Hourly Rates"/>
    <s v="Profit Cost"/>
    <s v="NBS 25"/>
    <s v="Y"/>
    <n v="7.68"/>
    <n v="1.54"/>
    <x v="4"/>
    <s v="VALIDATED"/>
    <n v="1"/>
    <s v="01.11.80.308.6100.0000"/>
    <n v="7.68"/>
    <s v="11"/>
    <s v="6100"/>
    <n v="-32425.63"/>
    <n v="7.6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
    <d v="2023-07-05T19:02:06"/>
    <s v="Y"/>
    <s v="Preparation - drafting application"/>
    <s v="VHCC"/>
    <s v="Profit Cost"/>
    <s v="PFA"/>
    <s v="Y"/>
    <n v="71.55"/>
    <n v="14.31"/>
    <x v="6"/>
    <s v="VALIDATED"/>
    <n v="1"/>
    <s v="01.11.80.203.6100.0000"/>
    <n v="71.55"/>
    <s v="11"/>
    <s v="6100"/>
    <n v="-32425.63"/>
    <n v="71.5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8"/>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0"/>
    <d v="2023-07-05T19:01:55"/>
    <s v="Y"/>
    <s v="Waiting - other"/>
    <s v="Non Family Hourly Rates"/>
    <s v="Profit Cost"/>
    <s v="HRL"/>
    <s v="Y"/>
    <n v="5.99"/>
    <n v="1.2"/>
    <x v="6"/>
    <s v="VALIDATED"/>
    <n v="1"/>
    <s v="01.11.80.203.6100.0000"/>
    <n v="5.99"/>
    <s v="11"/>
    <s v="6100"/>
    <n v="-32425.63"/>
    <n v="5.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1"/>
    <d v="2023-07-05T19:01:55"/>
    <s v="Y"/>
    <s v="Waiting - other"/>
    <s v="Non Family Hourly Rates"/>
    <s v="Profit Cost"/>
    <s v="GLE"/>
    <s v="Y"/>
    <n v="11.97"/>
    <n v="2.39"/>
    <x v="6"/>
    <s v="VALIDATED"/>
    <n v="1"/>
    <s v="01.11.80.203.6100.0000"/>
    <n v="11.97"/>
    <s v="11"/>
    <s v="6100"/>
    <n v="-32425.63"/>
    <n v="11.9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0"/>
    <d v="2023-07-05T19:01:55"/>
    <s v="Y"/>
    <s v="Attendance upon other"/>
    <s v="Non Family Hourly Rates"/>
    <s v="Profit Cost"/>
    <s v="GLE"/>
    <s v="Y"/>
    <n v="42.93"/>
    <n v="8.59"/>
    <x v="6"/>
    <s v="VALIDATED"/>
    <n v="1"/>
    <s v="01.11.80.203.6100.0000"/>
    <n v="42.93"/>
    <s v="11"/>
    <s v="6100"/>
    <n v="-32425.63"/>
    <n v="42.93"/>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6"/>
    <d v="2023-07-06T19:21:25"/>
    <s v="Y"/>
    <s v="Preparation - other"/>
    <s v="Care Remuneration Hourly Rates"/>
    <s v="Profit Cost"/>
    <s v="NBS 25"/>
    <s v="Y"/>
    <n v="23.01"/>
    <n v="4.6"/>
    <x v="4"/>
    <s v="VALIDATED"/>
    <n v="1"/>
    <s v="01.11.80.308.6100.0000"/>
    <n v="23.01"/>
    <s v="11"/>
    <s v="6100"/>
    <n v="-32425.63"/>
    <n v="23.01"/>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6"/>
    <d v="2023-07-06T19:21:25"/>
    <s v="Y"/>
    <s v="Solicitor Travel Expenses"/>
    <s v="Care Remuneration Hourly Rates"/>
    <s v="Non Expert Disbursement"/>
    <s v="NBS"/>
    <s v="Y"/>
    <n v="7.7"/>
    <n v="1.54"/>
    <x v="4"/>
    <s v="VALIDATED"/>
    <n v="1"/>
    <s v="01.11.80.308.6300.0000"/>
    <n v="7.7"/>
    <s v="11"/>
    <s v="6300"/>
    <n v="-32425.63"/>
    <n v="7.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3"/>
    <d v="2023-07-05T19:02:06"/>
    <s v="Y"/>
    <s v="Preparation - other"/>
    <s v="VHCC"/>
    <s v="Profit Cost"/>
    <s v="GLE 60"/>
    <s v="Y"/>
    <n v="125.93"/>
    <n v="25.19"/>
    <x v="6"/>
    <s v="VALIDATED"/>
    <n v="1"/>
    <s v="01.11.80.203.6100.0000"/>
    <n v="125.93"/>
    <s v="11"/>
    <s v="6100"/>
    <n v="-32425.63"/>
    <n v="125.9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5"/>
    <d v="2023-07-05T19:02:06"/>
    <s v="Y"/>
    <s v="Attendance upon other"/>
    <s v="VHCC"/>
    <s v="Profit Cost"/>
    <s v="SHL"/>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5"/>
    <d v="2023-07-05T19:02:06"/>
    <s v="Y"/>
    <s v="Preparation - drafting application"/>
    <s v="VHCC"/>
    <s v="Profit Cost"/>
    <s v="GLE"/>
    <s v="Y"/>
    <n v="28.62"/>
    <n v="5.72"/>
    <x v="6"/>
    <s v="VALIDATED"/>
    <n v="1"/>
    <s v="01.11.80.203.6100.0000"/>
    <n v="28.62"/>
    <s v="11"/>
    <s v="6100"/>
    <n v="-32425.63"/>
    <n v="28.6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1"/>
    <d v="2023-07-05T19:02:06"/>
    <s v="Y"/>
    <s v="Preparation - drafting attendance n"/>
    <s v="VHCC"/>
    <s v="Profit Cost"/>
    <s v="GLE"/>
    <s v="Y"/>
    <n v="7.16"/>
    <n v="1.43"/>
    <x v="6"/>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3"/>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4"/>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2"/>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9"/>
    <d v="2023-07-03T19:04:58"/>
    <s v="Y"/>
    <s v="Preparation - other"/>
    <s v="VHCC"/>
    <s v="Profit Cost"/>
    <s v="CBD"/>
    <s v="Y"/>
    <n v="100.17"/>
    <n v="20.03"/>
    <x v="3"/>
    <s v="VALIDATED"/>
    <n v="1"/>
    <s v="01.11.80.203.6100.0000"/>
    <n v="100.17"/>
    <s v="11"/>
    <s v="6100"/>
    <n v="-32425.63"/>
    <n v="100.1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6"/>
    <d v="2023-07-03T19:04:58"/>
    <s v="Y"/>
    <s v="Preparation - drafting attendance n"/>
    <s v="VHCC"/>
    <s v="Profit Cost"/>
    <s v="MJS"/>
    <s v="Y"/>
    <n v="7.16"/>
    <n v="1.43"/>
    <x v="3"/>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4"/>
    <d v="2023-07-20T19:22:42"/>
    <s v="N"/>
    <s v="Court Fee"/>
    <s v="Non Family Hourly Rates"/>
    <s v="Non Expert Disbursement"/>
    <s v="XXX"/>
    <s v="N"/>
    <n v="100"/>
    <n v="0"/>
    <x v="13"/>
    <s v="VALIDATED"/>
    <n v="1"/>
    <s v="01.11.80.201.6300.0000"/>
    <n v="100"/>
    <s v="11"/>
    <s v="6300"/>
    <n v="-32425.63"/>
    <n v="100"/>
    <s v="DEBTOR"/>
    <n v="0"/>
    <n v="0"/>
    <n v="0"/>
    <n v="0"/>
    <n v="0"/>
  </r>
  <r>
    <n v="8733210"/>
    <s v="N"/>
    <n v="21403533"/>
    <s v="3000004746670021"/>
    <s v="CIVIL"/>
    <d v="2023-06-06T00:00:00"/>
    <d v="2023-07-20T19:22:20"/>
    <m/>
    <d v="2023-07-20T00:00:00"/>
    <n v="1878"/>
    <n v="1547"/>
    <s v="8733210"/>
    <s v="8733210"/>
    <m/>
    <m/>
    <n v="22629506"/>
    <m/>
    <m/>
    <m/>
    <s v="SOLFIN"/>
    <s v="SOLFIN"/>
    <s v="CCMS"/>
    <n v="21403533"/>
    <n v="4211.9"/>
    <m/>
    <s v="N"/>
    <n v="12"/>
    <d v="2023-07-20T19:22:42"/>
    <s v="Y"/>
    <s v="Psychiatrist"/>
    <s v="Non Family Hourly Rates"/>
    <s v="Expert Disbursement"/>
    <s v="XXX"/>
    <s v="Y"/>
    <n v="211.21"/>
    <n v="42.24"/>
    <x v="13"/>
    <s v="VALIDATED"/>
    <n v="1"/>
    <s v="01.11.80.201.6300.0000"/>
    <n v="211.21"/>
    <s v="11"/>
    <s v="6300"/>
    <n v="-32425.63"/>
    <n v="211.21"/>
    <s v="DEBTOR"/>
    <n v="0"/>
    <n v="0"/>
    <n v="0"/>
    <n v="0"/>
    <n v="0"/>
  </r>
  <r>
    <n v="8733210"/>
    <s v="N"/>
    <n v="21403533"/>
    <s v="3000004746670021"/>
    <s v="CIVIL"/>
    <d v="2023-06-06T00:00:00"/>
    <d v="2023-07-20T19:22:20"/>
    <m/>
    <d v="2023-07-20T00:00:00"/>
    <n v="1878"/>
    <n v="1547"/>
    <s v="8733210"/>
    <s v="8733210"/>
    <m/>
    <m/>
    <n v="22629506"/>
    <m/>
    <m/>
    <m/>
    <s v="SOLFIN"/>
    <s v="SOLFIN"/>
    <s v="CCMS"/>
    <n v="21403533"/>
    <n v="4211.9"/>
    <m/>
    <s v="N"/>
    <n v="44"/>
    <d v="2023-07-20T19:22:42"/>
    <s v="Y"/>
    <s v="Preparation - other"/>
    <s v="Non Family Hourly Rates"/>
    <s v="Profit Cost"/>
    <s v="BSS"/>
    <s v="Y"/>
    <n v="44.1"/>
    <n v="8.82"/>
    <x v="13"/>
    <s v="VALIDATED"/>
    <n v="1"/>
    <s v="01.11.80.201.6100.0000"/>
    <n v="44.1"/>
    <s v="11"/>
    <s v="6100"/>
    <n v="-32425.63"/>
    <n v="44.1"/>
    <s v="DEBTOR"/>
    <n v="0"/>
    <n v="0"/>
    <n v="0"/>
    <n v="0"/>
    <n v="0"/>
  </r>
  <r>
    <n v="8733210"/>
    <s v="N"/>
    <n v="21403533"/>
    <s v="3000004746670021"/>
    <s v="CIVIL"/>
    <d v="2023-06-06T00:00:00"/>
    <d v="2023-07-20T19:22:20"/>
    <m/>
    <d v="2023-07-20T00:00:00"/>
    <n v="1878"/>
    <n v="1547"/>
    <s v="8733210"/>
    <s v="8733210"/>
    <m/>
    <m/>
    <n v="22629506"/>
    <m/>
    <m/>
    <m/>
    <s v="SOLFIN"/>
    <s v="SOLFIN"/>
    <s v="CCMS"/>
    <n v="21403533"/>
    <n v="4211.9"/>
    <m/>
    <s v="N"/>
    <n v="60"/>
    <d v="2023-07-20T19:22:42"/>
    <s v="Y"/>
    <s v="Preparation - other"/>
    <s v="Non Family Hourly Rates"/>
    <s v="Profit Cost"/>
    <s v="BSS"/>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16"/>
    <d v="2023-07-03T19:02:10"/>
    <s v="Y"/>
    <s v="Preparation - other"/>
    <s v="Prescribed Hourly Rates"/>
    <s v="Profit Cost"/>
    <s v="MAE 15"/>
    <s v="Y"/>
    <n v="204.93"/>
    <n v="40.99"/>
    <x v="3"/>
    <s v="VALIDATED"/>
    <n v="1"/>
    <s v="01.11.80.305.6100.0000"/>
    <n v="204.93"/>
    <s v="11"/>
    <s v="6100"/>
    <n v="-32425.63"/>
    <n v="204.9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6"/>
    <d v="2023-07-10T19:01:45"/>
    <s v="Y"/>
    <s v="Advocates Meeting"/>
    <s v="Public Law Children"/>
    <s v="Advocacy"/>
    <s v="AGI"/>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4"/>
    <d v="2023-07-10T19:01:45"/>
    <s v="Y"/>
    <s v="Preparation - other"/>
    <s v="Care Remuneration Hourly Rates"/>
    <s v="Profit Cost"/>
    <s v="JBL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0"/>
    <d v="2023-07-10T19:01:45"/>
    <s v="Y"/>
    <s v="Preparation - other"/>
    <s v="Care Remuneration Hourly Rates"/>
    <s v="Profit Cost"/>
    <s v="JBL 30"/>
    <s v="Y"/>
    <n v="7.18"/>
    <n v="1.44"/>
    <x v="2"/>
    <s v="VALIDATED"/>
    <n v="1"/>
    <s v="01.11.80.308.6100.0000"/>
    <n v="7.18"/>
    <s v="11"/>
    <s v="6100"/>
    <n v="-32425.63"/>
    <n v="7.1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
    <d v="2023-07-10T19:02:05"/>
    <s v="Y"/>
    <s v="Interpreter"/>
    <s v="Non Family Hourly Rates"/>
    <s v="Expert Disbursement"/>
    <s v="XXX"/>
    <s v="Y"/>
    <n v="12.5"/>
    <n v="2.5"/>
    <x v="2"/>
    <s v="VALIDATED"/>
    <n v="1"/>
    <s v="01.11.80.203.6300.0000"/>
    <n v="12.5"/>
    <s v="11"/>
    <s v="6300"/>
    <n v="-32425.63"/>
    <n v="1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0"/>
    <d v="2023-07-10T19:02:05"/>
    <s v="Y"/>
    <s v="Preparation - other"/>
    <s v="Non Family Hourly Rates"/>
    <s v="Profit Cost"/>
    <s v="LG"/>
    <s v="Y"/>
    <n v="14.31"/>
    <n v="0"/>
    <x v="2"/>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6"/>
    <d v="2023-07-05T19:02:06"/>
    <s v="Y"/>
    <s v="Preparation - drafting instructions"/>
    <s v="VHCC"/>
    <s v="Profit Cost"/>
    <s v="SHL 60"/>
    <s v="Y"/>
    <n v="80.14"/>
    <n v="16.03"/>
    <x v="6"/>
    <s v="VALIDATED"/>
    <n v="1"/>
    <s v="01.11.80.203.6100.0000"/>
    <n v="80.14"/>
    <s v="11"/>
    <s v="6100"/>
    <n v="-32425.63"/>
    <n v="80.1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8"/>
    <d v="2023-07-05T19:02:06"/>
    <s v="Y"/>
    <s v="Preparation - other"/>
    <s v="VHCC"/>
    <s v="Profit Cost"/>
    <s v="SHL 60"/>
    <s v="Y"/>
    <n v="331.99"/>
    <n v="66.40000000000001"/>
    <x v="6"/>
    <s v="VALIDATED"/>
    <n v="1"/>
    <s v="01.11.80.203.6100.0000"/>
    <n v="331.99"/>
    <s v="11"/>
    <s v="6100"/>
    <n v="-32425.63"/>
    <n v="331.99"/>
    <s v="DEBTOR"/>
    <n v="0"/>
    <n v="0"/>
    <n v="0"/>
    <n v="0"/>
    <n v="0"/>
  </r>
  <r>
    <n v="59677260"/>
    <s v="N"/>
    <n v="21331257"/>
    <s v="3000014052440026"/>
    <s v="CIVIL"/>
    <d v="2023-06-30T00:00:00"/>
    <d v="2023-07-05T19:01:47"/>
    <m/>
    <d v="2023-07-05T00:00:00"/>
    <n v="1878"/>
    <n v="1547"/>
    <s v="59677260"/>
    <s v="59677260"/>
    <m/>
    <m/>
    <n v="22798826"/>
    <m/>
    <m/>
    <m/>
    <s v="SOLINT"/>
    <s v="SOLINT"/>
    <s v="CCMS"/>
    <n v="21331257"/>
    <n v="4736.2"/>
    <m/>
    <s v="N"/>
    <n v="41"/>
    <d v="2023-07-05T19:02:12"/>
    <s v="Y"/>
    <s v="Preparation - other"/>
    <s v="VHCC"/>
    <s v="Profit Cost"/>
    <s v="GLE"/>
    <s v="Y"/>
    <n v="71.55"/>
    <n v="14.31"/>
    <x v="6"/>
    <s v="VALIDATED"/>
    <n v="1"/>
    <s v="01.11.80.203.6100.0000"/>
    <n v="71.55"/>
    <s v="11"/>
    <s v="6100"/>
    <n v="-32425.63"/>
    <n v="71.5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6"/>
    <d v="2023-07-05T19:02:06"/>
    <s v="Y"/>
    <s v="Preparation - other"/>
    <s v="VHCC"/>
    <s v="Profit Cost"/>
    <s v="LD"/>
    <s v="Y"/>
    <n v="21.47"/>
    <n v="4.29"/>
    <x v="6"/>
    <s v="VALIDATED"/>
    <n v="1"/>
    <s v="01.11.80.203.6100.0000"/>
    <n v="21.47"/>
    <s v="11"/>
    <s v="6100"/>
    <n v="-32425.63"/>
    <n v="21.47"/>
    <s v="DEBTOR"/>
    <n v="0"/>
    <n v="0"/>
    <n v="0"/>
    <n v="0"/>
    <n v="0"/>
  </r>
  <r>
    <n v="59677260"/>
    <s v="N"/>
    <n v="21331257"/>
    <s v="3000014052440026"/>
    <s v="CIVIL"/>
    <d v="2023-06-30T00:00:00"/>
    <d v="2023-07-05T19:01:47"/>
    <m/>
    <d v="2023-07-05T00:00:00"/>
    <n v="1878"/>
    <n v="1547"/>
    <s v="59677260"/>
    <s v="59677260"/>
    <m/>
    <m/>
    <n v="22798826"/>
    <m/>
    <m/>
    <m/>
    <s v="SOLINT"/>
    <s v="SOLINT"/>
    <s v="CCMS"/>
    <n v="21331257"/>
    <n v="4736.2"/>
    <m/>
    <s v="N"/>
    <n v="43"/>
    <d v="2023-07-05T19:02:12"/>
    <s v="Y"/>
    <s v="Preparation - other"/>
    <s v="VHCC"/>
    <s v="Profit Cost"/>
    <s v="GLE"/>
    <s v="Y"/>
    <n v="7.16"/>
    <n v="1.43"/>
    <x v="6"/>
    <s v="VALIDATED"/>
    <n v="1"/>
    <s v="01.11.80.203.6100.0000"/>
    <n v="7.16"/>
    <s v="11"/>
    <s v="6100"/>
    <n v="-32425.63"/>
    <n v="7.16"/>
    <s v="DEBTOR"/>
    <n v="0"/>
    <n v="0"/>
    <n v="0"/>
    <n v="0"/>
    <n v="0"/>
  </r>
  <r>
    <n v="59677260"/>
    <s v="N"/>
    <n v="21331257"/>
    <s v="3000014052440026"/>
    <s v="CIVIL"/>
    <d v="2023-06-30T00:00:00"/>
    <d v="2023-07-05T19:01:47"/>
    <m/>
    <d v="2023-07-05T00:00:00"/>
    <n v="1878"/>
    <n v="1547"/>
    <s v="59677260"/>
    <s v="59677260"/>
    <m/>
    <m/>
    <n v="22798826"/>
    <m/>
    <m/>
    <m/>
    <s v="SOLINT"/>
    <s v="SOLINT"/>
    <s v="CCMS"/>
    <n v="21331257"/>
    <n v="4736.2"/>
    <m/>
    <s v="N"/>
    <n v="13"/>
    <d v="2023-07-05T19:02:12"/>
    <s v="Y"/>
    <s v="Preparation - other"/>
    <s v="VHCC"/>
    <s v="Profit Cost"/>
    <s v="SHL"/>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3"/>
    <d v="2023-07-05T19:01:55"/>
    <s v="Y"/>
    <s v="Preparation - other"/>
    <s v="Non Family Hourly Rates"/>
    <s v="Profit Cost"/>
    <s v="HRL"/>
    <s v="Y"/>
    <n v="28.62"/>
    <n v="5.72"/>
    <x v="6"/>
    <s v="VALIDATED"/>
    <n v="1"/>
    <s v="01.11.80.203.6100.0000"/>
    <n v="28.62"/>
    <s v="11"/>
    <s v="6100"/>
    <n v="-32425.63"/>
    <n v="28.6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0"/>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8"/>
    <d v="2023-07-03T19:04:58"/>
    <s v="Y"/>
    <s v="Preparation - other"/>
    <s v="VHCC"/>
    <s v="Profit Cost"/>
    <s v="JML 65"/>
    <s v="Y"/>
    <n v="141.67"/>
    <n v="28.33"/>
    <x v="3"/>
    <s v="VALIDATED"/>
    <n v="1"/>
    <s v="01.11.80.203.6100.0000"/>
    <n v="141.67"/>
    <s v="11"/>
    <s v="6100"/>
    <n v="-32425.63"/>
    <n v="141.6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9"/>
    <d v="2023-07-03T19:04:58"/>
    <s v="Y"/>
    <s v="Attendance upon other"/>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5"/>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3"/>
    <d v="2023-07-03T19:04:58"/>
    <s v="Y"/>
    <s v="Preparation - other"/>
    <s v="VHCC"/>
    <s v="Profit Cost"/>
    <s v="PFA"/>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2"/>
    <d v="2023-07-03T19:04:58"/>
    <s v="Y"/>
    <s v="Preparation - other"/>
    <s v="VHCC"/>
    <s v="Profit Cost"/>
    <s v="JML 65"/>
    <s v="Y"/>
    <n v="47.22"/>
    <n v="9.44"/>
    <x v="3"/>
    <s v="VALIDATED"/>
    <n v="1"/>
    <s v="01.11.80.203.6100.0000"/>
    <n v="47.22"/>
    <s v="11"/>
    <s v="6100"/>
    <n v="-32425.63"/>
    <n v="47.22"/>
    <s v="DEBTOR"/>
    <n v="0"/>
    <n v="0"/>
    <n v="0"/>
    <n v="0"/>
    <n v="0"/>
  </r>
  <r>
    <n v="8733210"/>
    <s v="N"/>
    <n v="21403533"/>
    <s v="3000004746670021"/>
    <s v="CIVIL"/>
    <d v="2023-06-06T00:00:00"/>
    <d v="2023-07-20T19:22:20"/>
    <m/>
    <d v="2023-07-20T00:00:00"/>
    <n v="1878"/>
    <n v="1547"/>
    <s v="8733210"/>
    <s v="8733210"/>
    <m/>
    <m/>
    <n v="22629506"/>
    <m/>
    <m/>
    <m/>
    <s v="SOLFIN"/>
    <s v="SOLFIN"/>
    <s v="CCMS"/>
    <n v="21403533"/>
    <n v="4211.9"/>
    <m/>
    <s v="N"/>
    <n v="20"/>
    <d v="2023-07-20T19:22:42"/>
    <s v="Y"/>
    <s v="Attendance upon court"/>
    <s v="Non Family Hourly Rates"/>
    <s v="Profit Cost"/>
    <s v="ESL"/>
    <s v="Y"/>
    <n v="6.3"/>
    <n v="1.26"/>
    <x v="13"/>
    <s v="VALIDATED"/>
    <n v="1"/>
    <s v="01.11.80.201.6100.0000"/>
    <n v="6.3"/>
    <s v="11"/>
    <s v="6100"/>
    <n v="-32425.63"/>
    <n v="6.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7"/>
    <d v="2023-07-10T19:02:05"/>
    <s v="Y"/>
    <s v="Preparation - other"/>
    <s v="Non Family Hourly Rates"/>
    <s v="Profit Cost"/>
    <s v="LG"/>
    <s v="Y"/>
    <n v="32.21"/>
    <n v="0"/>
    <x v="2"/>
    <s v="VALIDATED"/>
    <n v="1"/>
    <s v="01.11.80.203.6100.0000"/>
    <n v="32.21"/>
    <s v="11"/>
    <s v="6100"/>
    <n v="-32425.63"/>
    <n v="32.2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3"/>
    <d v="2023-07-10T19:01:45"/>
    <s v="Y"/>
    <s v="Preparation - other"/>
    <s v="Care Remuneration Hourly Rates"/>
    <s v="Profit Cost"/>
    <s v="JBL"/>
    <s v="Y"/>
    <n v="19.06"/>
    <n v="3.81"/>
    <x v="2"/>
    <s v="VALIDATED"/>
    <n v="1"/>
    <s v="01.11.80.308.6100.0000"/>
    <n v="19.06"/>
    <s v="11"/>
    <s v="6100"/>
    <n v="-32425.63"/>
    <n v="19.0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
    <d v="2023-07-10T19:02:05"/>
    <s v="Y"/>
    <s v="Interpreter"/>
    <s v="Non Family Hourly Rates"/>
    <s v="Expert Disbursement"/>
    <s v="XXX"/>
    <s v="Y"/>
    <n v="25"/>
    <n v="5"/>
    <x v="2"/>
    <s v="VALIDATED"/>
    <n v="1"/>
    <s v="01.11.80.203.6300.0000"/>
    <n v="25"/>
    <s v="11"/>
    <s v="6300"/>
    <n v="-32425.63"/>
    <n v="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9"/>
    <d v="2023-07-10T19:02:05"/>
    <s v="Y"/>
    <s v="Attendance upon client"/>
    <s v="Non Family Hourly Rates"/>
    <s v="Profit Cost"/>
    <s v="CB"/>
    <s v="Y"/>
    <n v="161"/>
    <n v="0"/>
    <x v="2"/>
    <s v="VALIDATED"/>
    <n v="1"/>
    <s v="01.11.80.203.6100.0000"/>
    <n v="161"/>
    <s v="11"/>
    <s v="6100"/>
    <n v="-32425.63"/>
    <n v="16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3"/>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0"/>
    <d v="2023-07-10T19:02:05"/>
    <s v="Y"/>
    <s v="Preparation - other"/>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2"/>
    <d v="2023-07-10T19:02:05"/>
    <s v="Y"/>
    <s v="Attendance upon/with Counsel at Con"/>
    <s v="Non Family Hourly Rates"/>
    <s v="Profit Cost"/>
    <s v="LG"/>
    <s v="Y"/>
    <n v="9.99"/>
    <n v="0"/>
    <x v="2"/>
    <s v="VALIDATED"/>
    <n v="1"/>
    <s v="01.11.80.203.6100.0000"/>
    <n v="9.99"/>
    <s v="11"/>
    <s v="6100"/>
    <n v="-32425.63"/>
    <n v="9.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5"/>
    <d v="2023-07-10T19:02:05"/>
    <s v="Y"/>
    <s v="Preparation - other"/>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0"/>
    <d v="2023-07-10T19:02:05"/>
    <s v="Y"/>
    <s v="Preparation - drafting statement"/>
    <s v="Non Family Hourly Rates"/>
    <s v="Profit Cost"/>
    <s v="LG"/>
    <s v="Y"/>
    <n v="21.47"/>
    <n v="0"/>
    <x v="2"/>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9"/>
    <d v="2023-07-05T19:01:55"/>
    <s v="Y"/>
    <s v="Waiting - other"/>
    <s v="Non Family Hourly Rates"/>
    <s v="Profit Cost"/>
    <s v="HRL"/>
    <s v="Y"/>
    <n v="8.98"/>
    <n v="1.8"/>
    <x v="6"/>
    <s v="VALIDATED"/>
    <n v="1"/>
    <s v="01.11.80.203.6100.0000"/>
    <n v="8.98"/>
    <s v="11"/>
    <s v="6100"/>
    <n v="-32425.63"/>
    <n v="8.9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4"/>
    <d v="2023-07-06T19:21:25"/>
    <s v="Y"/>
    <s v="Attendance upon other"/>
    <s v="Care Remuneration Hourly Rates"/>
    <s v="Profit Cost"/>
    <s v="NBS 25"/>
    <s v="Y"/>
    <n v="23.01"/>
    <n v="4.6"/>
    <x v="4"/>
    <s v="VALIDATED"/>
    <n v="1"/>
    <s v="01.11.80.308.6100.0000"/>
    <n v="23.01"/>
    <s v="11"/>
    <s v="6100"/>
    <n v="-32425.63"/>
    <n v="23.01"/>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
    <d v="2023-07-06T19:21:25"/>
    <s v="Y"/>
    <s v="Preparation - drafting application"/>
    <s v="Care Remuneration Hourly Rates"/>
    <s v="Profit Cost"/>
    <s v="NBS 25"/>
    <s v="Y"/>
    <n v="30.69"/>
    <n v="6.14"/>
    <x v="4"/>
    <s v="VALIDATED"/>
    <n v="1"/>
    <s v="01.11.80.308.6100.0000"/>
    <n v="30.69"/>
    <s v="11"/>
    <s v="6100"/>
    <n v="-32425.63"/>
    <n v="30.69"/>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
    <d v="2023-07-06T19:21:25"/>
    <s v="Y"/>
    <s v="Preparation - other"/>
    <s v="Care Remuneration Hourly Rates"/>
    <s v="Profit Cost"/>
    <s v="NBS"/>
    <s v="Y"/>
    <n v="7.06"/>
    <n v="1.41"/>
    <x v="4"/>
    <s v="VALIDATED"/>
    <n v="1"/>
    <s v="01.11.80.308.6100.0000"/>
    <n v="7.06"/>
    <s v="11"/>
    <s v="6100"/>
    <n v="-32425.63"/>
    <n v="7.0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22"/>
    <d v="2023-07-05T19:02:06"/>
    <s v="Y"/>
    <s v="Psychiatrist"/>
    <s v="VHCC"/>
    <s v="Expert Disbursement"/>
    <s v="SHL"/>
    <s v="Y"/>
    <n v="495"/>
    <n v="0"/>
    <x v="6"/>
    <s v="VALIDATED"/>
    <n v="1"/>
    <s v="01.11.80.203.6300.0000"/>
    <n v="495"/>
    <s v="11"/>
    <s v="6300"/>
    <n v="-32425.63"/>
    <n v="495"/>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1"/>
    <d v="2023-07-05T19:02:09"/>
    <s v="Y"/>
    <s v="Preparation - drafting instructions"/>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4"/>
    <d v="2023-07-05T19:02:06"/>
    <s v="Y"/>
    <s v="Preparation - other"/>
    <s v="VHCC"/>
    <s v="Profit Cost"/>
    <s v="SHL 60"/>
    <s v="Y"/>
    <n v="183.17"/>
    <n v="36.63"/>
    <x v="6"/>
    <s v="VALIDATED"/>
    <n v="1"/>
    <s v="01.11.80.203.6100.0000"/>
    <n v="183.17"/>
    <s v="11"/>
    <s v="6100"/>
    <n v="-32425.63"/>
    <n v="183.17"/>
    <s v="DEBTOR"/>
    <n v="0"/>
    <n v="0"/>
    <n v="0"/>
    <n v="0"/>
    <n v="0"/>
  </r>
  <r>
    <n v="59677260"/>
    <s v="N"/>
    <n v="21331257"/>
    <s v="3000014052440026"/>
    <s v="CIVIL"/>
    <d v="2023-06-30T00:00:00"/>
    <d v="2023-07-05T19:01:47"/>
    <m/>
    <d v="2023-07-05T00:00:00"/>
    <n v="1878"/>
    <n v="1547"/>
    <s v="59677260"/>
    <s v="59677260"/>
    <m/>
    <m/>
    <n v="22798826"/>
    <m/>
    <m/>
    <m/>
    <s v="SOLINT"/>
    <s v="SOLINT"/>
    <s v="CCMS"/>
    <n v="21331257"/>
    <n v="4736.2"/>
    <m/>
    <s v="N"/>
    <n v="31"/>
    <d v="2023-07-05T19:02:12"/>
    <s v="Y"/>
    <s v="Preparation - other"/>
    <s v="VHCC"/>
    <s v="Profit Cost"/>
    <s v="GLE 60"/>
    <s v="Y"/>
    <n v="45.79"/>
    <n v="9.16"/>
    <x v="6"/>
    <s v="VALIDATED"/>
    <n v="1"/>
    <s v="01.11.80.203.6100.0000"/>
    <n v="45.79"/>
    <s v="11"/>
    <s v="6100"/>
    <n v="-32425.63"/>
    <n v="45.79"/>
    <s v="DEBTOR"/>
    <n v="0"/>
    <n v="0"/>
    <n v="0"/>
    <n v="0"/>
    <n v="0"/>
  </r>
  <r>
    <n v="59677260"/>
    <s v="N"/>
    <n v="21331257"/>
    <s v="3000014052440026"/>
    <s v="CIVIL"/>
    <d v="2023-06-30T00:00:00"/>
    <d v="2023-07-05T19:01:47"/>
    <m/>
    <d v="2023-07-05T00:00:00"/>
    <n v="1878"/>
    <n v="1547"/>
    <s v="59677260"/>
    <s v="59677260"/>
    <m/>
    <m/>
    <n v="22798826"/>
    <m/>
    <m/>
    <m/>
    <s v="SOLINT"/>
    <s v="SOLINT"/>
    <s v="CCMS"/>
    <n v="21331257"/>
    <n v="4736.2"/>
    <m/>
    <s v="N"/>
    <n v="37"/>
    <d v="2023-07-05T19:02:12"/>
    <s v="Y"/>
    <s v="Preparation - other"/>
    <s v="VHCC"/>
    <s v="Profit Cost"/>
    <s v="GLE 60"/>
    <s v="Y"/>
    <n v="68.69"/>
    <n v="13.74"/>
    <x v="6"/>
    <s v="VALIDATED"/>
    <n v="1"/>
    <s v="01.11.80.203.6100.0000"/>
    <n v="68.69"/>
    <s v="11"/>
    <s v="6100"/>
    <n v="-32425.63"/>
    <n v="68.6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1"/>
    <d v="2023-07-05T19:01:55"/>
    <s v="Y"/>
    <s v="Waiting - other"/>
    <s v="Non Family Hourly Rates"/>
    <s v="Profit Cost"/>
    <s v="HRL"/>
    <s v="Y"/>
    <n v="2.99"/>
    <n v="0.6"/>
    <x v="6"/>
    <s v="VALIDATED"/>
    <n v="1"/>
    <s v="01.11.80.203.6100.0000"/>
    <n v="2.99"/>
    <s v="11"/>
    <s v="6100"/>
    <n v="-32425.63"/>
    <n v="2.9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3"/>
    <d v="2023-07-03T19:04:58"/>
    <s v="Y"/>
    <s v="Waiting - other"/>
    <s v="VHCC"/>
    <s v="Profit Cost"/>
    <s v="JML"/>
    <s v="Y"/>
    <n v="2.99"/>
    <n v="0.6"/>
    <x v="3"/>
    <s v="VALIDATED"/>
    <n v="1"/>
    <s v="01.11.80.203.6100.0000"/>
    <n v="2.99"/>
    <s v="11"/>
    <s v="6100"/>
    <n v="-32425.63"/>
    <n v="2.9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5"/>
    <d v="2023-07-03T19:04:58"/>
    <s v="Y"/>
    <s v="Attendance upon other"/>
    <s v="VHCC"/>
    <s v="Profit Cost"/>
    <s v="JML 65"/>
    <s v="Y"/>
    <n v="94.45"/>
    <n v="18.89"/>
    <x v="3"/>
    <s v="VALIDATED"/>
    <n v="1"/>
    <s v="01.11.80.203.6100.0000"/>
    <n v="94.45"/>
    <s v="11"/>
    <s v="6100"/>
    <n v="-32425.63"/>
    <n v="94.4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8"/>
    <d v="2023-07-10T19:01:45"/>
    <s v="Y"/>
    <s v="Psychologist"/>
    <s v="Care Remuneration Hourly Rates"/>
    <s v="Expert Disbursement"/>
    <s v="AGI"/>
    <s v="Y"/>
    <n v="786.84"/>
    <n v="0"/>
    <x v="2"/>
    <s v="VALIDATED"/>
    <n v="1"/>
    <s v="01.11.80.308.6300.0000"/>
    <n v="786.84"/>
    <s v="11"/>
    <s v="6300"/>
    <n v="-32425.63"/>
    <n v="786.8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0"/>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
    <d v="2023-07-10T19:02:05"/>
    <s v="Y"/>
    <s v="Court Fee"/>
    <s v="Non Family Hourly Rates"/>
    <s v="Non Expert Disbursement"/>
    <s v="XXX"/>
    <s v="Y"/>
    <n v="275"/>
    <n v="0"/>
    <x v="2"/>
    <s v="VALIDATED"/>
    <n v="1"/>
    <s v="01.11.80.203.6300.0000"/>
    <n v="275"/>
    <s v="11"/>
    <s v="6300"/>
    <n v="-32425.63"/>
    <n v="27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8"/>
    <d v="2023-07-10T19:02:05"/>
    <s v="Y"/>
    <s v="Preparation - other"/>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2"/>
    <d v="2023-07-10T19:02:05"/>
    <s v="Y"/>
    <s v="Preparation - other"/>
    <s v="Non Family Hourly Rates"/>
    <s v="Profit Cost"/>
    <s v="CB"/>
    <s v="Y"/>
    <n v="150.26"/>
    <n v="0"/>
    <x v="2"/>
    <s v="VALIDATED"/>
    <n v="1"/>
    <s v="01.11.80.203.6100.0000"/>
    <n v="150.26"/>
    <s v="11"/>
    <s v="6100"/>
    <n v="-32425.63"/>
    <n v="150.26"/>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4"/>
    <d v="2023-07-06T19:21:25"/>
    <s v="Y"/>
    <s v="Preparation - other"/>
    <s v="Care Remuneration Hourly Rates"/>
    <s v="Profit Cost"/>
    <s v="NBS 25"/>
    <s v="Y"/>
    <n v="7.68"/>
    <n v="1.54"/>
    <x v="4"/>
    <s v="VALIDATED"/>
    <n v="1"/>
    <s v="01.11.80.308.6100.0000"/>
    <n v="7.68"/>
    <s v="11"/>
    <s v="6100"/>
    <n v="-32425.63"/>
    <n v="7.6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2"/>
    <d v="2023-07-05T19:02:09"/>
    <s v="Y"/>
    <s v="Preparation - other"/>
    <s v="VHCC"/>
    <s v="Profit Cost"/>
    <s v="SHL 60"/>
    <s v="Y"/>
    <n v="91.58"/>
    <n v="18.32"/>
    <x v="6"/>
    <s v="VALIDATED"/>
    <n v="1"/>
    <s v="01.11.80.203.6100.0000"/>
    <n v="91.58"/>
    <s v="11"/>
    <s v="6100"/>
    <n v="-32425.63"/>
    <n v="91.5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8"/>
    <d v="2023-07-05T19:02:06"/>
    <s v="Y"/>
    <s v="Waiting - other"/>
    <s v="VHCC"/>
    <s v="Profit Cost"/>
    <s v="GLE"/>
    <s v="Y"/>
    <n v="2.99"/>
    <n v="0.6"/>
    <x v="6"/>
    <s v="VALIDATED"/>
    <n v="1"/>
    <s v="01.11.80.203.6100.0000"/>
    <n v="2.99"/>
    <s v="11"/>
    <s v="6100"/>
    <n v="-32425.63"/>
    <n v="2.9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6"/>
    <d v="2023-07-05T19:02:06"/>
    <s v="Y"/>
    <s v="Preparation - other"/>
    <s v="VHCC"/>
    <s v="Profit Cost"/>
    <s v="SHL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3"/>
    <d v="2023-07-05T19:02:06"/>
    <s v="Y"/>
    <s v="Preparation - other"/>
    <s v="VHCC"/>
    <s v="Profit Cost"/>
    <s v="SHL 60"/>
    <s v="Y"/>
    <n v="91.58"/>
    <n v="18.32"/>
    <x v="6"/>
    <s v="VALIDATED"/>
    <n v="1"/>
    <s v="01.11.80.203.6100.0000"/>
    <n v="91.58"/>
    <s v="11"/>
    <s v="6100"/>
    <n v="-32425.63"/>
    <n v="91.5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9"/>
    <d v="2023-07-05T19:02:06"/>
    <s v="Y"/>
    <s v="Attendance upon other side"/>
    <s v="VHCC"/>
    <s v="Profit Cost"/>
    <s v="SHL 60"/>
    <s v="Y"/>
    <n v="22.9"/>
    <n v="4.58"/>
    <x v="6"/>
    <s v="VALIDATED"/>
    <n v="1"/>
    <s v="01.11.80.203.6100.0000"/>
    <n v="22.9"/>
    <s v="11"/>
    <s v="6100"/>
    <n v="-32425.63"/>
    <n v="22.9"/>
    <s v="DEBTOR"/>
    <n v="0"/>
    <n v="0"/>
    <n v="0"/>
    <n v="0"/>
    <n v="0"/>
  </r>
  <r>
    <n v="59677260"/>
    <s v="N"/>
    <n v="21331257"/>
    <s v="3000014052440026"/>
    <s v="CIVIL"/>
    <d v="2023-06-30T00:00:00"/>
    <d v="2023-07-05T19:01:47"/>
    <m/>
    <d v="2023-07-05T00:00:00"/>
    <n v="1878"/>
    <n v="1547"/>
    <s v="59677260"/>
    <s v="59677260"/>
    <m/>
    <m/>
    <n v="22798826"/>
    <m/>
    <m/>
    <m/>
    <s v="SOLINT"/>
    <s v="SOLINT"/>
    <s v="CCMS"/>
    <n v="21331257"/>
    <n v="4736.2"/>
    <m/>
    <s v="N"/>
    <n v="3"/>
    <d v="2023-07-05T19:02:12"/>
    <s v="Y"/>
    <s v="Preparation - other"/>
    <s v="VHCC"/>
    <s v="Profit Cost"/>
    <s v="GLE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3"/>
    <d v="2023-07-05T19:02:06"/>
    <s v="Y"/>
    <s v="Preparation - other"/>
    <s v="VHCC"/>
    <s v="Profit Cost"/>
    <s v="SHL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
    <d v="2023-07-05T19:02:06"/>
    <s v="Y"/>
    <s v="Preparation - other"/>
    <s v="VHCC"/>
    <s v="Profit Cost"/>
    <s v="SHL 60"/>
    <s v="Y"/>
    <n v="57.24"/>
    <n v="11.45"/>
    <x v="6"/>
    <s v="VALIDATED"/>
    <n v="1"/>
    <s v="01.11.80.203.6100.0000"/>
    <n v="57.24"/>
    <s v="11"/>
    <s v="6100"/>
    <n v="-32425.63"/>
    <n v="57.2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3"/>
    <d v="2023-07-05T19:01:55"/>
    <s v="Y"/>
    <s v="Preparation - other"/>
    <s v="Non Family Hourly Rates"/>
    <s v="Profit Cost"/>
    <s v="HRL 50"/>
    <s v="Y"/>
    <n v="21.47"/>
    <n v="4.29"/>
    <x v="6"/>
    <s v="VALIDATED"/>
    <n v="1"/>
    <s v="01.11.80.203.6100.0000"/>
    <n v="21.47"/>
    <s v="11"/>
    <s v="6100"/>
    <n v="-32425.63"/>
    <n v="21.47"/>
    <s v="DEBTOR"/>
    <n v="0"/>
    <n v="0"/>
    <n v="0"/>
    <n v="0"/>
    <n v="0"/>
  </r>
  <r>
    <n v="62139140"/>
    <s v="N"/>
    <n v="21322398"/>
    <s v="3000016159460001"/>
    <s v="CIVIL"/>
    <d v="2023-06-30T00:00:00"/>
    <d v="2023-07-03T19:05:36"/>
    <m/>
    <d v="2023-07-03T00:00:00"/>
    <n v="1878"/>
    <n v="1547"/>
    <s v="62139140"/>
    <s v="62139140"/>
    <m/>
    <m/>
    <n v="22794142"/>
    <m/>
    <m/>
    <m/>
    <s v="SOLPOA"/>
    <s v="SOLPOA"/>
    <s v="CCMS"/>
    <n v="21322398"/>
    <n v="3697.75"/>
    <m/>
    <s v="N"/>
    <n v="1"/>
    <d v="2023-07-03T19:05:37"/>
    <s v="N"/>
    <s v="Solicitors Fixed Fee"/>
    <s v="Public Law Children"/>
    <s v="Profit Cost"/>
    <s v="GAS"/>
    <s v="N"/>
    <n v="3081.46"/>
    <n v="616.29"/>
    <x v="3"/>
    <s v="VALIDATED"/>
    <n v="1"/>
    <s v="01.11.80.308.2012.0000"/>
    <n v="3081.46"/>
    <s v="11"/>
    <s v="2012"/>
    <n v="-32425.63"/>
    <n v="3081.4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8"/>
    <d v="2023-07-03T19:04:58"/>
    <s v="Y"/>
    <s v="Attendance upon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3"/>
    <d v="2023-07-03T19:04:58"/>
    <s v="Y"/>
    <s v="Preparation - drafting attendance n"/>
    <s v="VHCC"/>
    <s v="Profit Cost"/>
    <s v="LGR"/>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5"/>
    <d v="2023-07-03T19:04:58"/>
    <s v="Y"/>
    <s v="Attendance upon other side"/>
    <s v="VHCC"/>
    <s v="Profit Cost"/>
    <s v="JML 65"/>
    <s v="Y"/>
    <n v="35.42"/>
    <n v="7.08"/>
    <x v="3"/>
    <s v="VALIDATED"/>
    <n v="1"/>
    <s v="01.11.80.203.6100.0000"/>
    <n v="35.42"/>
    <s v="11"/>
    <s v="6100"/>
    <n v="-32425.63"/>
    <n v="35.42"/>
    <s v="DEBTOR"/>
    <n v="0"/>
    <n v="0"/>
    <n v="0"/>
    <n v="0"/>
    <n v="0"/>
  </r>
  <r>
    <n v="8733210"/>
    <s v="N"/>
    <n v="21403533"/>
    <s v="3000004746670021"/>
    <s v="CIVIL"/>
    <d v="2023-06-06T00:00:00"/>
    <d v="2023-07-20T19:22:20"/>
    <m/>
    <d v="2023-07-20T00:00:00"/>
    <n v="1878"/>
    <n v="1547"/>
    <s v="8733210"/>
    <s v="8733210"/>
    <m/>
    <m/>
    <n v="22629506"/>
    <m/>
    <m/>
    <m/>
    <s v="SOLFIN"/>
    <s v="SOLFIN"/>
    <s v="CCMS"/>
    <n v="21403533"/>
    <n v="4211.9"/>
    <m/>
    <s v="N"/>
    <n v="1"/>
    <d v="2023-07-20T19:22:42"/>
    <s v="N"/>
    <s v="Court Fee"/>
    <s v="Non Family Hourly Rates"/>
    <s v="Non Expert Disbursement"/>
    <s v="XXX"/>
    <s v="N"/>
    <n v="255"/>
    <n v="0"/>
    <x v="13"/>
    <s v="VALIDATED"/>
    <n v="1"/>
    <s v="01.11.80.201.6300.0000"/>
    <n v="255"/>
    <s v="11"/>
    <s v="6300"/>
    <n v="-32425.63"/>
    <n v="255"/>
    <s v="DEBTOR"/>
    <n v="0"/>
    <n v="0"/>
    <n v="0"/>
    <n v="0"/>
    <n v="0"/>
  </r>
  <r>
    <n v="8733210"/>
    <s v="N"/>
    <n v="21403533"/>
    <s v="3000004746670021"/>
    <s v="CIVIL"/>
    <d v="2023-06-06T00:00:00"/>
    <d v="2023-07-20T19:22:20"/>
    <m/>
    <d v="2023-07-20T00:00:00"/>
    <n v="1878"/>
    <n v="1547"/>
    <s v="8733210"/>
    <s v="8733210"/>
    <m/>
    <m/>
    <n v="22629506"/>
    <m/>
    <m/>
    <m/>
    <s v="SOLFIN"/>
    <s v="SOLFIN"/>
    <s v="CCMS"/>
    <n v="21403533"/>
    <n v="4211.9"/>
    <m/>
    <s v="N"/>
    <n v="2"/>
    <d v="2023-07-20T19:22:42"/>
    <s v="N"/>
    <s v="Court Fee"/>
    <s v="Non Family Hourly Rates"/>
    <s v="Non Expert Disbursement"/>
    <s v="XXX"/>
    <s v="N"/>
    <n v="100"/>
    <n v="0"/>
    <x v="13"/>
    <s v="VALIDATED"/>
    <n v="1"/>
    <s v="01.11.80.201.6300.0000"/>
    <n v="100"/>
    <s v="11"/>
    <s v="6300"/>
    <n v="-32425.63"/>
    <n v="100"/>
    <s v="DEBTOR"/>
    <n v="0"/>
    <n v="0"/>
    <n v="0"/>
    <n v="0"/>
    <n v="0"/>
  </r>
  <r>
    <n v="8733210"/>
    <s v="N"/>
    <n v="21403533"/>
    <s v="3000004746670021"/>
    <s v="CIVIL"/>
    <d v="2023-06-06T00:00:00"/>
    <d v="2023-07-20T19:22:20"/>
    <m/>
    <d v="2023-07-20T00:00:00"/>
    <n v="1878"/>
    <n v="1547"/>
    <s v="8733210"/>
    <s v="8733210"/>
    <m/>
    <m/>
    <n v="22629506"/>
    <m/>
    <m/>
    <m/>
    <s v="SOLFIN"/>
    <s v="SOLFIN"/>
    <s v="CCMS"/>
    <n v="21403533"/>
    <n v="4211.9"/>
    <m/>
    <s v="N"/>
    <n v="77"/>
    <d v="2023-07-20T19:22:42"/>
    <s v="Y"/>
    <s v="Preparation - other"/>
    <s v="Non Family Hourly Rates"/>
    <s v="Profit Cost"/>
    <s v="BSS"/>
    <s v="Y"/>
    <n v="18.9"/>
    <n v="3.78"/>
    <x v="13"/>
    <s v="VALIDATED"/>
    <n v="1"/>
    <s v="01.11.80.201.6100.0000"/>
    <n v="18.9"/>
    <s v="11"/>
    <s v="6100"/>
    <n v="-32425.63"/>
    <n v="18.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2"/>
    <d v="2023-07-10T19:01:45"/>
    <s v="Y"/>
    <s v="Advocates Meeting"/>
    <s v="Public Law Children"/>
    <s v="Advocacy"/>
    <s v="JBL"/>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6"/>
    <d v="2023-07-10T19:01:45"/>
    <s v="Y"/>
    <s v="Preparation - other"/>
    <s v="Care Remuneration Hourly Rates"/>
    <s v="Profit Cost"/>
    <s v="AGI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2"/>
    <d v="2023-07-10T19:01:45"/>
    <s v="Y"/>
    <s v="Hearing Unit 2.31 - 5.00 Hours"/>
    <s v="Public Law Children"/>
    <s v="Advocacy"/>
    <s v="JBL"/>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9"/>
    <d v="2023-07-10T19:01:45"/>
    <s v="Y"/>
    <s v="Preparation - other"/>
    <s v="Care Remuneration Hourly Rates"/>
    <s v="Profit Cost"/>
    <s v="AMA 30"/>
    <s v="Y"/>
    <n v="28.73"/>
    <n v="5.75"/>
    <x v="2"/>
    <s v="VALIDATED"/>
    <n v="1"/>
    <s v="01.11.80.308.6100.0000"/>
    <n v="28.73"/>
    <s v="11"/>
    <s v="6100"/>
    <n v="-32425.63"/>
    <n v="28.7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
    <d v="2023-07-10T19:01:45"/>
    <s v="N"/>
    <s v="Preparation - drafting statement"/>
    <s v="Care Remuneration Hourly Rates"/>
    <s v="Profit Cost"/>
    <s v="JBL 30"/>
    <s v="N"/>
    <n v="57.45"/>
    <n v="11.49"/>
    <x v="2"/>
    <s v="VALIDATED"/>
    <n v="1"/>
    <s v="01.11.80.308.6100.0000"/>
    <n v="57.45"/>
    <s v="11"/>
    <s v="6100"/>
    <n v="-32425.63"/>
    <n v="57.4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4"/>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8"/>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4"/>
    <d v="2023-07-10T19:01:45"/>
    <s v="Y"/>
    <s v="Preparation - other"/>
    <s v="Care Remuneration Hourly Rates"/>
    <s v="Profit Cost"/>
    <s v="AGI 30"/>
    <s v="Y"/>
    <n v="7.18"/>
    <n v="1.44"/>
    <x v="2"/>
    <s v="VALIDATED"/>
    <n v="1"/>
    <s v="01.11.80.308.6100.0000"/>
    <n v="7.18"/>
    <s v="11"/>
    <s v="6100"/>
    <n v="-32425.63"/>
    <n v="7.1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8"/>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9"/>
    <d v="2023-07-10T19:01:45"/>
    <s v="Y"/>
    <s v="Preparation - other"/>
    <s v="Care Remuneration Hourly Rates"/>
    <s v="Profit Cost"/>
    <s v="AGI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4"/>
    <d v="2023-07-10T19:02:05"/>
    <s v="Y"/>
    <s v="Preparation - other"/>
    <s v="Non Family Hourly Rates"/>
    <s v="Profit Cost"/>
    <s v="CB"/>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3"/>
    <d v="2023-07-10T19:02:05"/>
    <s v="Y"/>
    <s v="Preparation - drafting statement"/>
    <s v="Non Family Hourly Rates"/>
    <s v="Profit Cost"/>
    <s v="LG"/>
    <s v="Y"/>
    <n v="161"/>
    <n v="0"/>
    <x v="2"/>
    <s v="VALIDATED"/>
    <n v="1"/>
    <s v="01.11.80.203.6100.0000"/>
    <n v="161"/>
    <s v="11"/>
    <s v="6100"/>
    <n v="-32425.63"/>
    <n v="16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2"/>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3"/>
    <d v="2023-07-10T19:02:05"/>
    <s v="Y"/>
    <s v="Attendance upon client"/>
    <s v="Non Family Hourly Rates"/>
    <s v="Profit Cost"/>
    <s v="LG"/>
    <s v="Y"/>
    <n v="85.86"/>
    <n v="0"/>
    <x v="2"/>
    <s v="VALIDATED"/>
    <n v="1"/>
    <s v="01.11.80.203.6100.0000"/>
    <n v="85.86"/>
    <s v="11"/>
    <s v="6100"/>
    <n v="-32425.63"/>
    <n v="85.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1"/>
    <d v="2023-07-05T19:01:55"/>
    <s v="Y"/>
    <s v="Attendance upon other"/>
    <s v="Non Family Hourly Rates"/>
    <s v="Profit Cost"/>
    <s v="HRL 50"/>
    <s v="Y"/>
    <n v="64.40000000000001"/>
    <n v="12.88"/>
    <x v="6"/>
    <s v="VALIDATED"/>
    <n v="1"/>
    <s v="01.11.80.203.6100.0000"/>
    <n v="64.40000000000001"/>
    <s v="11"/>
    <s v="6100"/>
    <n v="-32425.63"/>
    <n v="64.40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3"/>
    <d v="2023-07-05T19:01:55"/>
    <s v="Y"/>
    <s v="Preparation - other"/>
    <s v="Non Family Hourly Rates"/>
    <s v="Profit Cost"/>
    <s v="HRL 50"/>
    <s v="Y"/>
    <n v="42.93"/>
    <n v="8.59"/>
    <x v="6"/>
    <s v="VALIDATED"/>
    <n v="1"/>
    <s v="01.11.80.203.6100.0000"/>
    <n v="42.93"/>
    <s v="11"/>
    <s v="6100"/>
    <n v="-32425.63"/>
    <n v="42.9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3"/>
    <d v="2023-07-03T19:04:58"/>
    <s v="Y"/>
    <s v="Preparation - other"/>
    <s v="VHCC"/>
    <s v="Profit Cost"/>
    <s v="JML 65"/>
    <s v="Y"/>
    <n v="11.81"/>
    <n v="2.36"/>
    <x v="3"/>
    <s v="VALIDATED"/>
    <n v="1"/>
    <s v="01.11.80.203.6100.0000"/>
    <n v="11.81"/>
    <s v="11"/>
    <s v="6100"/>
    <n v="-32425.63"/>
    <n v="11.81"/>
    <s v="DEBTOR"/>
    <n v="0"/>
    <n v="0"/>
    <n v="0"/>
    <n v="0"/>
    <n v="0"/>
  </r>
  <r>
    <n v="8733210"/>
    <s v="N"/>
    <n v="21403533"/>
    <s v="3000004746670021"/>
    <s v="CIVIL"/>
    <d v="2023-06-06T00:00:00"/>
    <d v="2023-07-20T19:22:20"/>
    <m/>
    <d v="2023-07-20T00:00:00"/>
    <n v="1878"/>
    <n v="1547"/>
    <s v="8733210"/>
    <s v="8733210"/>
    <m/>
    <m/>
    <n v="22629506"/>
    <m/>
    <m/>
    <m/>
    <s v="SOLFIN"/>
    <s v="SOLFIN"/>
    <s v="CCMS"/>
    <n v="21403533"/>
    <n v="4211.9"/>
    <m/>
    <s v="N"/>
    <n v="59"/>
    <d v="2023-07-20T19:22:42"/>
    <s v="Y"/>
    <s v="Preparation - other"/>
    <s v="Non Family Hourly Rates"/>
    <s v="Profit Cost"/>
    <s v="BSS"/>
    <s v="Y"/>
    <n v="25.2"/>
    <n v="5.04"/>
    <x v="13"/>
    <s v="VALIDATED"/>
    <n v="1"/>
    <s v="01.11.80.201.6100.0000"/>
    <n v="25.2"/>
    <s v="11"/>
    <s v="6100"/>
    <n v="-32425.63"/>
    <n v="25.2"/>
    <s v="DEBTOR"/>
    <n v="0"/>
    <n v="0"/>
    <n v="0"/>
    <n v="0"/>
    <n v="0"/>
  </r>
  <r>
    <n v="8733210"/>
    <s v="N"/>
    <n v="21403533"/>
    <s v="3000004746670021"/>
    <s v="CIVIL"/>
    <d v="2023-06-06T00:00:00"/>
    <d v="2023-07-20T19:22:20"/>
    <m/>
    <d v="2023-07-20T00:00:00"/>
    <n v="1878"/>
    <n v="1547"/>
    <s v="8733210"/>
    <s v="8733210"/>
    <m/>
    <m/>
    <n v="22629506"/>
    <m/>
    <m/>
    <m/>
    <s v="SOLFIN"/>
    <s v="SOLFIN"/>
    <s v="CCMS"/>
    <n v="21403533"/>
    <n v="4211.9"/>
    <m/>
    <s v="N"/>
    <n v="81"/>
    <d v="2023-07-20T19:22:42"/>
    <s v="Y"/>
    <s v="Preparation - drafting notice(s)"/>
    <s v="Non Family Hourly Rates"/>
    <s v="Profit Cost"/>
    <s v="BSS"/>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88"/>
    <d v="2023-07-20T19:22:42"/>
    <s v="Y"/>
    <s v="Preparation - other"/>
    <s v="Non Family Hourly Rates"/>
    <s v="Profit Cost"/>
    <s v="BSS"/>
    <s v="Y"/>
    <n v="18.9"/>
    <n v="3.78"/>
    <x v="13"/>
    <s v="VALIDATED"/>
    <n v="1"/>
    <s v="01.11.80.201.6100.0000"/>
    <n v="18.9"/>
    <s v="11"/>
    <s v="6100"/>
    <n v="-32425.63"/>
    <n v="18.9"/>
    <s v="DEBTOR"/>
    <n v="0"/>
    <n v="0"/>
    <n v="0"/>
    <n v="0"/>
    <n v="0"/>
  </r>
  <r>
    <n v="8733210"/>
    <s v="N"/>
    <n v="21403533"/>
    <s v="3000004746670021"/>
    <s v="CIVIL"/>
    <d v="2023-06-06T00:00:00"/>
    <d v="2023-07-20T19:22:20"/>
    <m/>
    <d v="2023-07-20T00:00:00"/>
    <n v="1878"/>
    <n v="1547"/>
    <s v="8733210"/>
    <s v="8733210"/>
    <m/>
    <m/>
    <n v="22629506"/>
    <m/>
    <m/>
    <m/>
    <s v="SOLFIN"/>
    <s v="SOLFIN"/>
    <s v="CCMS"/>
    <n v="21403533"/>
    <n v="4211.9"/>
    <m/>
    <s v="N"/>
    <n v="111"/>
    <d v="2023-07-20T19:22:42"/>
    <s v="Y"/>
    <s v="Preparation - other"/>
    <s v="Non Family Hourly Rates"/>
    <s v="Profit Cost"/>
    <s v="BSS"/>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43"/>
    <d v="2023-07-03T19:02:10"/>
    <s v="Y"/>
    <s v="Preparation - other"/>
    <s v="Prescribed Hourly Rates"/>
    <s v="Profit Cost"/>
    <s v="MAE 15"/>
    <s v="Y"/>
    <n v="13.66"/>
    <n v="2.73"/>
    <x v="3"/>
    <s v="VALIDATED"/>
    <n v="1"/>
    <s v="01.11.80.305.6100.0000"/>
    <n v="13.66"/>
    <s v="11"/>
    <s v="6100"/>
    <n v="-32425.63"/>
    <n v="13.66"/>
    <s v="DEBTOR"/>
    <n v="0"/>
    <n v="0"/>
    <n v="0"/>
    <n v="0"/>
    <n v="0"/>
  </r>
  <r>
    <n v="61742173"/>
    <s v="N"/>
    <n v="21319086"/>
    <s v="3000015815100003"/>
    <s v="CIVIL"/>
    <d v="2023-06-23T00:00:00"/>
    <d v="2023-07-03T19:01:49"/>
    <m/>
    <d v="2023-07-03T00:00:00"/>
    <n v="1878"/>
    <n v="1547"/>
    <s v="61742173"/>
    <s v="61742173"/>
    <m/>
    <m/>
    <n v="22750850"/>
    <m/>
    <m/>
    <m/>
    <s v="SOLFIN"/>
    <s v="SOLFIN"/>
    <s v="CCMS"/>
    <n v="21319086"/>
    <n v="5246"/>
    <m/>
    <s v="N"/>
    <n v="56"/>
    <d v="2023-07-03T19:02:10"/>
    <s v="Y"/>
    <s v="Preparation - other"/>
    <s v="Prescribed Hourly Rates"/>
    <s v="Profit Cost"/>
    <s v="HHS"/>
    <s v="Y"/>
    <n v="17.82"/>
    <n v="3.56"/>
    <x v="3"/>
    <s v="VALIDATED"/>
    <n v="1"/>
    <s v="01.11.80.305.6100.0000"/>
    <n v="17.82"/>
    <s v="11"/>
    <s v="6100"/>
    <n v="-32425.63"/>
    <n v="17.82"/>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0"/>
    <d v="2023-07-18T19:00:56"/>
    <s v="Y"/>
    <s v="Preparation - drafting bill/claim f"/>
    <s v="Non Family Hourly Rates"/>
    <s v="Profit Cost"/>
    <s v="MSK"/>
    <s v="Y"/>
    <n v="14.31"/>
    <n v="2.86"/>
    <x v="14"/>
    <s v="VALIDATED"/>
    <n v="1"/>
    <s v="01.11.80.203.6100.0000"/>
    <n v="14.31"/>
    <s v="11"/>
    <s v="6100"/>
    <n v="-32425.63"/>
    <n v="14.3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2"/>
    <d v="2023-07-10T19:01:45"/>
    <s v="Y"/>
    <s v="Preparation - other"/>
    <s v="Care Remuneration Hourly Rates"/>
    <s v="Profit Cost"/>
    <s v="AGI 30"/>
    <s v="Y"/>
    <n v="28.73"/>
    <n v="5.75"/>
    <x v="2"/>
    <s v="VALIDATED"/>
    <n v="1"/>
    <s v="01.11.80.308.6100.0000"/>
    <n v="28.73"/>
    <s v="11"/>
    <s v="6100"/>
    <n v="-32425.63"/>
    <n v="28.7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1"/>
    <d v="2023-07-10T19:01:45"/>
    <s v="Y"/>
    <s v="Advocates Meeting"/>
    <s v="Public Law Children"/>
    <s v="Advocacy"/>
    <s v="JBL"/>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8"/>
    <d v="2023-07-10T19:01:45"/>
    <s v="Y"/>
    <s v="Preparation - other"/>
    <s v="Care Remuneration Hourly Rates"/>
    <s v="Profit Cost"/>
    <s v="AMA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9"/>
    <d v="2023-07-10T19:01:45"/>
    <s v="Y"/>
    <s v="Preparation - other"/>
    <s v="Care Remuneration Hourly Rates"/>
    <s v="Profit Cost"/>
    <s v="AGI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3"/>
    <d v="2023-07-10T19:01:45"/>
    <s v="N"/>
    <s v="Preparation - drafting notice(s)"/>
    <s v="Care Remuneration Hourly Rates"/>
    <s v="Profit Cost"/>
    <s v="JBL"/>
    <s v="N"/>
    <n v="5.27"/>
    <n v="1.05"/>
    <x v="2"/>
    <s v="VALIDATED"/>
    <n v="1"/>
    <s v="01.11.80.308.6100.0000"/>
    <n v="5.27"/>
    <s v="11"/>
    <s v="6100"/>
    <n v="-32425.63"/>
    <n v="5.2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
    <d v="2023-07-10T19:02:05"/>
    <s v="Y"/>
    <s v="Interpreter"/>
    <s v="Non Family Hourly Rates"/>
    <s v="Expert Disbursement"/>
    <s v="XXX"/>
    <s v="Y"/>
    <n v="34.16"/>
    <n v="6.83"/>
    <x v="2"/>
    <s v="VALIDATED"/>
    <n v="1"/>
    <s v="01.11.80.203.6300.0000"/>
    <n v="34.16"/>
    <s v="11"/>
    <s v="6300"/>
    <n v="-32425.63"/>
    <n v="34.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6"/>
    <d v="2023-07-10T19:02:05"/>
    <s v="Y"/>
    <s v="Preparation - other"/>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
    <d v="2023-07-10T19:02:05"/>
    <s v="Y"/>
    <s v="Preparation - other"/>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9"/>
    <d v="2023-07-10T19:02:05"/>
    <s v="Y"/>
    <s v="Preparation - drafting attendance n"/>
    <s v="Non Family Hourly Rates"/>
    <s v="Profit Cost"/>
    <s v="LG"/>
    <s v="Y"/>
    <n v="21.47"/>
    <n v="0"/>
    <x v="2"/>
    <s v="VALIDATED"/>
    <n v="1"/>
    <s v="01.11.80.203.6100.0000"/>
    <n v="21.47"/>
    <s v="11"/>
    <s v="6100"/>
    <n v="-32425.63"/>
    <n v="21.4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8"/>
    <d v="2023-07-06T19:21:25"/>
    <s v="Y"/>
    <s v="Preparation - other"/>
    <s v="Care Remuneration Hourly Rates"/>
    <s v="Profit Cost"/>
    <s v="NBS 25"/>
    <s v="Y"/>
    <n v="7.68"/>
    <n v="1.54"/>
    <x v="4"/>
    <s v="VALIDATED"/>
    <n v="1"/>
    <s v="01.11.80.308.6100.0000"/>
    <n v="7.68"/>
    <s v="11"/>
    <s v="6100"/>
    <n v="-32425.63"/>
    <n v="7.6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5"/>
    <d v="2023-07-06T19:21:25"/>
    <s v="Y"/>
    <s v="Routine Letter In"/>
    <s v="Care Remuneration Hourly Rates"/>
    <s v="Profit Cost"/>
    <s v="NBS"/>
    <s v="Y"/>
    <n v="187.22"/>
    <n v="37.45"/>
    <x v="4"/>
    <s v="VALIDATED"/>
    <n v="1"/>
    <s v="01.11.80.308.6100.0000"/>
    <n v="187.22"/>
    <s v="11"/>
    <s v="6100"/>
    <n v="-32425.63"/>
    <n v="187.22"/>
    <s v="DEBTOR"/>
    <n v="0"/>
    <n v="0"/>
    <n v="0"/>
    <n v="0"/>
    <n v="0"/>
  </r>
  <r>
    <n v="59677260"/>
    <s v="N"/>
    <n v="21331198"/>
    <s v="3000014052440025"/>
    <s v="CIVIL"/>
    <d v="2023-06-30T00:00:00"/>
    <d v="2023-07-05T19:01:47"/>
    <m/>
    <d v="2023-07-05T00:00:00"/>
    <n v="1878"/>
    <n v="1547"/>
    <s v="59677260"/>
    <s v="59677260"/>
    <m/>
    <m/>
    <n v="22798388"/>
    <m/>
    <m/>
    <m/>
    <s v="SOLINT"/>
    <s v="SOLINT"/>
    <s v="CCMS"/>
    <n v="21331198"/>
    <n v="5452.01"/>
    <m/>
    <s v="N"/>
    <n v="9"/>
    <d v="2023-07-05T19:02:09"/>
    <s v="Y"/>
    <s v="Preparation - other"/>
    <s v="VHCC"/>
    <s v="Profit Cost"/>
    <s v="GLE 60"/>
    <s v="Y"/>
    <n v="34.34"/>
    <n v="6.87"/>
    <x v="6"/>
    <s v="VALIDATED"/>
    <n v="1"/>
    <s v="01.11.80.203.6100.0000"/>
    <n v="34.34"/>
    <s v="11"/>
    <s v="6100"/>
    <n v="-32425.63"/>
    <n v="34.34"/>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9"/>
    <d v="2023-07-05T19:02:09"/>
    <s v="Y"/>
    <s v="Preparation - drafting instructions"/>
    <s v="VHCC"/>
    <s v="Profit Cost"/>
    <s v="SHL 60"/>
    <s v="Y"/>
    <n v="457.92"/>
    <n v="91.59"/>
    <x v="6"/>
    <s v="VALIDATED"/>
    <n v="1"/>
    <s v="01.11.80.203.6100.0000"/>
    <n v="457.92"/>
    <s v="11"/>
    <s v="6100"/>
    <n v="-32425.63"/>
    <n v="457.9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0"/>
    <d v="2023-07-05T19:02:06"/>
    <s v="Y"/>
    <s v="Travel to attend client"/>
    <s v="VHCC"/>
    <s v="Profit Cost"/>
    <s v="GLE"/>
    <s v="Y"/>
    <n v="38.91"/>
    <n v="7.78"/>
    <x v="6"/>
    <s v="VALIDATED"/>
    <n v="1"/>
    <s v="01.11.80.203.6100.0000"/>
    <n v="38.91"/>
    <s v="11"/>
    <s v="6100"/>
    <n v="-32425.63"/>
    <n v="38.9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0"/>
    <d v="2023-07-05T19:02:06"/>
    <s v="Y"/>
    <s v="Attendance upon client"/>
    <s v="VHCC"/>
    <s v="Profit Cost"/>
    <s v="KBN 60"/>
    <s v="Y"/>
    <n v="103.03"/>
    <n v="20.61"/>
    <x v="6"/>
    <s v="VALIDATED"/>
    <n v="1"/>
    <s v="01.11.80.203.6100.0000"/>
    <n v="103.03"/>
    <s v="11"/>
    <s v="6100"/>
    <n v="-32425.63"/>
    <n v="103.03"/>
    <s v="DEBTOR"/>
    <n v="0"/>
    <n v="0"/>
    <n v="0"/>
    <n v="0"/>
    <n v="0"/>
  </r>
  <r>
    <n v="59677260"/>
    <s v="N"/>
    <n v="21331257"/>
    <s v="3000014052440026"/>
    <s v="CIVIL"/>
    <d v="2023-06-30T00:00:00"/>
    <d v="2023-07-05T19:01:47"/>
    <m/>
    <d v="2023-07-05T00:00:00"/>
    <n v="1878"/>
    <n v="1547"/>
    <s v="59677260"/>
    <s v="59677260"/>
    <m/>
    <m/>
    <n v="22798826"/>
    <m/>
    <m/>
    <m/>
    <s v="SOLINT"/>
    <s v="SOLINT"/>
    <s v="CCMS"/>
    <n v="21331257"/>
    <n v="4736.2"/>
    <m/>
    <s v="N"/>
    <n v="42"/>
    <d v="2023-07-05T19:02:12"/>
    <s v="Y"/>
    <s v="Preparation - other"/>
    <s v="VHCC"/>
    <s v="Profit Cost"/>
    <s v="GLE"/>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
    <d v="2023-07-05T19:02:06"/>
    <s v="Y"/>
    <s v="Preparation - drafting application"/>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5"/>
    <d v="2023-07-05T19:02:06"/>
    <s v="Y"/>
    <s v="Attendance upon Counsel"/>
    <s v="VHCC"/>
    <s v="Profit Cost"/>
    <s v="SHL"/>
    <s v="Y"/>
    <n v="9.99"/>
    <n v="2"/>
    <x v="6"/>
    <s v="VALIDATED"/>
    <n v="1"/>
    <s v="01.11.80.203.6100.0000"/>
    <n v="9.99"/>
    <s v="11"/>
    <s v="6100"/>
    <n v="-32425.63"/>
    <n v="9.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9"/>
    <d v="2023-07-05T19:01:55"/>
    <s v="Y"/>
    <s v="Preparation - other"/>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2"/>
    <d v="2023-07-05T19:01:55"/>
    <s v="Y"/>
    <s v="Travel to attend client"/>
    <s v="Non Family Hourly Rates"/>
    <s v="Profit Cost"/>
    <s v="HRL"/>
    <s v="Y"/>
    <n v="95.78"/>
    <n v="19.16"/>
    <x v="6"/>
    <s v="VALIDATED"/>
    <n v="1"/>
    <s v="01.11.80.203.6100.0000"/>
    <n v="95.78"/>
    <s v="11"/>
    <s v="6100"/>
    <n v="-32425.63"/>
    <n v="95.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1"/>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3"/>
    <d v="2023-07-05T19:01:55"/>
    <s v="Y"/>
    <s v="Preparation - other"/>
    <s v="Non Family Hourly Rates"/>
    <s v="Profit Cost"/>
    <s v="HRL"/>
    <s v="Y"/>
    <n v="14.31"/>
    <n v="2.86"/>
    <x v="6"/>
    <s v="VALIDATED"/>
    <n v="1"/>
    <s v="01.11.80.203.6100.0000"/>
    <n v="14.31"/>
    <s v="11"/>
    <s v="6100"/>
    <n v="-32425.63"/>
    <n v="14.31"/>
    <s v="DEBTOR"/>
    <n v="0"/>
    <n v="0"/>
    <n v="0"/>
    <n v="0"/>
    <n v="0"/>
  </r>
  <r>
    <n v="61742173"/>
    <s v="N"/>
    <n v="21319086"/>
    <s v="3000015815100003"/>
    <s v="CIVIL"/>
    <d v="2023-06-23T00:00:00"/>
    <d v="2023-07-03T19:01:49"/>
    <m/>
    <d v="2023-07-03T00:00:00"/>
    <n v="1878"/>
    <n v="1547"/>
    <s v="61742173"/>
    <s v="61742173"/>
    <m/>
    <m/>
    <n v="22750850"/>
    <m/>
    <m/>
    <m/>
    <s v="SOLFIN"/>
    <s v="SOLFIN"/>
    <s v="CCMS"/>
    <n v="21319086"/>
    <n v="5246"/>
    <m/>
    <s v="N"/>
    <n v="1"/>
    <d v="2023-07-03T19:02:10"/>
    <s v="Y"/>
    <s v="Solicitor Travel Mileage"/>
    <s v="Prescribed Hourly Rates"/>
    <s v="Non Expert Disbursement"/>
    <s v="MAE 15"/>
    <s v="Y"/>
    <n v="22.5"/>
    <n v="4.5"/>
    <x v="3"/>
    <s v="VALIDATED"/>
    <n v="1"/>
    <s v="01.11.80.305.6300.0000"/>
    <n v="22.5"/>
    <s v="11"/>
    <s v="6300"/>
    <n v="-32425.63"/>
    <n v="22.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2"/>
    <d v="2023-07-03T19:04:58"/>
    <s v="Y"/>
    <s v="Preparation - drafting statement"/>
    <s v="VHCC"/>
    <s v="Profit Cost"/>
    <s v="JML 65"/>
    <s v="Y"/>
    <n v="47.22"/>
    <n v="9.44"/>
    <x v="3"/>
    <s v="VALIDATED"/>
    <n v="1"/>
    <s v="01.11.80.203.6100.0000"/>
    <n v="47.22"/>
    <s v="11"/>
    <s v="6100"/>
    <n v="-32425.63"/>
    <n v="47.2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8"/>
    <d v="2023-07-03T19:04:58"/>
    <s v="Y"/>
    <s v="Preparation - other"/>
    <s v="VHCC"/>
    <s v="Profit Cost"/>
    <s v="JML"/>
    <s v="Y"/>
    <n v="28.62"/>
    <n v="5.72"/>
    <x v="3"/>
    <s v="VALIDATED"/>
    <n v="1"/>
    <s v="01.11.80.203.6100.0000"/>
    <n v="28.62"/>
    <s v="11"/>
    <s v="6100"/>
    <n v="-32425.63"/>
    <n v="28.6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1"/>
    <d v="2023-07-03T19:04:58"/>
    <s v="Y"/>
    <s v="Preparation - other"/>
    <s v="VHCC"/>
    <s v="Profit Cost"/>
    <s v="JML 65"/>
    <s v="Y"/>
    <n v="82.64"/>
    <n v="16.53"/>
    <x v="3"/>
    <s v="VALIDATED"/>
    <n v="1"/>
    <s v="01.11.80.203.6100.0000"/>
    <n v="82.64"/>
    <s v="11"/>
    <s v="6100"/>
    <n v="-32425.63"/>
    <n v="82.6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8"/>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1"/>
    <d v="2023-07-03T19:04:58"/>
    <s v="Y"/>
    <s v="Preparation - drafting instructions"/>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0"/>
    <d v="2023-07-03T19:04:58"/>
    <s v="Y"/>
    <s v="Preparation - other"/>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2"/>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
    <d v="2023-07-03T19:04:58"/>
    <s v="Y"/>
    <s v="Waiting - other"/>
    <s v="VHCC"/>
    <s v="Profit Cost"/>
    <s v="JML"/>
    <s v="Y"/>
    <n v="8.98"/>
    <n v="1.8"/>
    <x v="3"/>
    <s v="VALIDATED"/>
    <n v="1"/>
    <s v="01.11.80.203.6100.0000"/>
    <n v="8.98"/>
    <s v="11"/>
    <s v="6100"/>
    <n v="-32425.63"/>
    <n v="8.98"/>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5"/>
    <d v="2023-07-03T19:04:58"/>
    <s v="Y"/>
    <s v="Preparation - other"/>
    <s v="VHCC"/>
    <s v="Profit Cost"/>
    <s v="JML"/>
    <s v="Y"/>
    <n v="14.31"/>
    <n v="2.86"/>
    <x v="3"/>
    <s v="VALIDATED"/>
    <n v="1"/>
    <s v="01.11.80.203.6100.0000"/>
    <n v="14.31"/>
    <s v="11"/>
    <s v="6100"/>
    <n v="-32425.63"/>
    <n v="14.3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8"/>
    <d v="2023-07-18T19:00:56"/>
    <s v="Y"/>
    <s v="Preparation - drafting application"/>
    <s v="Non Family Hourly Rates"/>
    <s v="Profit Cost"/>
    <s v="JLA"/>
    <s v="Y"/>
    <n v="14.31"/>
    <n v="2.86"/>
    <x v="14"/>
    <s v="VALIDATED"/>
    <n v="1"/>
    <s v="01.11.80.203.6100.0000"/>
    <n v="14.31"/>
    <s v="11"/>
    <s v="6100"/>
    <n v="-32425.63"/>
    <n v="14.31"/>
    <s v="DEBTOR"/>
    <n v="0"/>
    <n v="0"/>
    <n v="0"/>
    <n v="0"/>
    <n v="0"/>
  </r>
  <r>
    <n v="8733210"/>
    <s v="N"/>
    <n v="21403533"/>
    <s v="3000004746670021"/>
    <s v="CIVIL"/>
    <d v="2023-06-06T00:00:00"/>
    <d v="2023-07-20T19:22:20"/>
    <m/>
    <d v="2023-07-20T00:00:00"/>
    <n v="1878"/>
    <n v="1547"/>
    <s v="8733210"/>
    <s v="8733210"/>
    <m/>
    <m/>
    <n v="22629506"/>
    <m/>
    <m/>
    <m/>
    <s v="SOLFIN"/>
    <s v="SOLFIN"/>
    <s v="CCMS"/>
    <n v="21403533"/>
    <n v="4211.9"/>
    <m/>
    <s v="N"/>
    <n v="116"/>
    <d v="2023-07-20T19:22:42"/>
    <s v="N"/>
    <m/>
    <m/>
    <s v="Overall Adjustment"/>
    <m/>
    <s v="N"/>
    <n v="-1942.79"/>
    <n v="-388.56"/>
    <x v="13"/>
    <s v="VALIDATED"/>
    <n v="1"/>
    <s v="01.11.80.201.6100.0000"/>
    <n v="-1942.79"/>
    <s v="11"/>
    <s v="6100"/>
    <n v="-32425.63"/>
    <n v="-1942.79"/>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7"/>
    <d v="2023-07-06T19:21:25"/>
    <s v="Y"/>
    <s v="Preparation - other"/>
    <s v="Care Remuneration Hourly Rates"/>
    <s v="Profit Cost"/>
    <s v="NBS 25"/>
    <s v="Y"/>
    <n v="30.69"/>
    <n v="6.14"/>
    <x v="4"/>
    <s v="VALIDATED"/>
    <n v="1"/>
    <s v="01.11.80.308.6100.0000"/>
    <n v="30.69"/>
    <s v="11"/>
    <s v="6100"/>
    <n v="-32425.63"/>
    <n v="30.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6"/>
    <d v="2023-07-05T19:02:06"/>
    <s v="Y"/>
    <s v="Preparation - other"/>
    <s v="VHCC"/>
    <s v="Profit Cost"/>
    <s v="GLE 60"/>
    <s v="Y"/>
    <n v="137.38"/>
    <n v="27.48"/>
    <x v="6"/>
    <s v="VALIDATED"/>
    <n v="1"/>
    <s v="01.11.80.203.6100.0000"/>
    <n v="137.38"/>
    <s v="11"/>
    <s v="6100"/>
    <n v="-32425.63"/>
    <n v="137.3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3"/>
    <d v="2023-07-05T19:02:06"/>
    <s v="Y"/>
    <s v="Attendance upon other"/>
    <s v="VHCC"/>
    <s v="Profit Cost"/>
    <s v="SHL"/>
    <s v="Y"/>
    <n v="21.47"/>
    <n v="4.29"/>
    <x v="6"/>
    <s v="VALIDATED"/>
    <n v="1"/>
    <s v="01.11.80.203.6100.0000"/>
    <n v="21.47"/>
    <s v="11"/>
    <s v="6100"/>
    <n v="-32425.63"/>
    <n v="21.47"/>
    <s v="DEBTOR"/>
    <n v="0"/>
    <n v="0"/>
    <n v="0"/>
    <n v="0"/>
    <n v="0"/>
  </r>
  <r>
    <n v="59677260"/>
    <s v="N"/>
    <n v="21331257"/>
    <s v="3000014052440026"/>
    <s v="CIVIL"/>
    <d v="2023-06-30T00:00:00"/>
    <d v="2023-07-05T19:01:47"/>
    <m/>
    <d v="2023-07-05T00:00:00"/>
    <n v="1878"/>
    <n v="1547"/>
    <s v="59677260"/>
    <s v="59677260"/>
    <m/>
    <m/>
    <n v="22798826"/>
    <m/>
    <m/>
    <m/>
    <s v="SOLINT"/>
    <s v="SOLINT"/>
    <s v="CCMS"/>
    <n v="21331257"/>
    <n v="4736.2"/>
    <m/>
    <s v="N"/>
    <n v="33"/>
    <d v="2023-07-05T19:02:12"/>
    <s v="Y"/>
    <s v="Attendance upon Counsel"/>
    <s v="VHCC"/>
    <s v="Profit Cost"/>
    <s v="SHL"/>
    <s v="Y"/>
    <n v="19.98"/>
    <n v="4"/>
    <x v="6"/>
    <s v="VALIDATED"/>
    <n v="1"/>
    <s v="01.11.80.203.6100.0000"/>
    <n v="19.98"/>
    <s v="11"/>
    <s v="6100"/>
    <n v="-32425.63"/>
    <n v="19.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8"/>
    <d v="2023-07-05T19:01:55"/>
    <s v="Y"/>
    <s v="Preparation - other"/>
    <s v="Non Family Hourly Rates"/>
    <s v="Profit Cost"/>
    <s v="HRL 50"/>
    <s v="Y"/>
    <n v="64.40000000000001"/>
    <n v="12.88"/>
    <x v="6"/>
    <s v="VALIDATED"/>
    <n v="1"/>
    <s v="01.11.80.203.6100.0000"/>
    <n v="64.40000000000001"/>
    <s v="11"/>
    <s v="6100"/>
    <n v="-32425.63"/>
    <n v="64.40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2"/>
    <d v="2023-07-05T19:01:55"/>
    <s v="Y"/>
    <s v="Attendance upon client"/>
    <s v="Non Family Hourly Rates"/>
    <s v="Profit Cost"/>
    <s v="HRL 50"/>
    <s v="Y"/>
    <n v="193.19"/>
    <n v="38.64"/>
    <x v="6"/>
    <s v="VALIDATED"/>
    <n v="1"/>
    <s v="01.11.80.203.6100.0000"/>
    <n v="193.19"/>
    <s v="11"/>
    <s v="6100"/>
    <n v="-32425.63"/>
    <n v="193.1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3"/>
    <d v="2023-07-03T19:04:58"/>
    <s v="Y"/>
    <s v="Attendance upon Counsel"/>
    <s v="VHCC"/>
    <s v="Profit Cost"/>
    <s v="JML"/>
    <s v="Y"/>
    <n v="26.64"/>
    <n v="5.33"/>
    <x v="3"/>
    <s v="VALIDATED"/>
    <n v="1"/>
    <s v="01.11.80.203.6100.0000"/>
    <n v="26.64"/>
    <s v="11"/>
    <s v="6100"/>
    <n v="-32425.63"/>
    <n v="26.6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0"/>
    <d v="2023-07-03T19:04:58"/>
    <s v="Y"/>
    <s v="Attendance upon client"/>
    <s v="VHCC"/>
    <s v="Profit Cost"/>
    <s v="JML 65"/>
    <s v="Y"/>
    <n v="59.03"/>
    <n v="11.8"/>
    <x v="3"/>
    <s v="VALIDATED"/>
    <n v="1"/>
    <s v="01.11.80.203.6100.0000"/>
    <n v="59.03"/>
    <s v="11"/>
    <s v="6100"/>
    <n v="-32425.63"/>
    <n v="59.03"/>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1"/>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0"/>
    <d v="2023-07-03T19:04:58"/>
    <s v="Y"/>
    <s v="Preparation - drafting instructions"/>
    <s v="VHCC"/>
    <s v="Profit Cost"/>
    <s v="JML 65"/>
    <s v="Y"/>
    <n v="188.9"/>
    <n v="37.78"/>
    <x v="3"/>
    <s v="VALIDATED"/>
    <n v="1"/>
    <s v="01.11.80.203.6100.0000"/>
    <n v="188.9"/>
    <s v="11"/>
    <s v="6100"/>
    <n v="-32425.63"/>
    <n v="188.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8"/>
    <d v="2023-07-03T19:04:58"/>
    <s v="Y"/>
    <s v="Attendance upon Counsel"/>
    <s v="VHCC"/>
    <s v="Profit Cost"/>
    <s v="JML"/>
    <s v="Y"/>
    <n v="16.65"/>
    <n v="3.33"/>
    <x v="3"/>
    <s v="VALIDATED"/>
    <n v="1"/>
    <s v="01.11.80.203.6100.0000"/>
    <n v="16.65"/>
    <s v="11"/>
    <s v="6100"/>
    <n v="-32425.63"/>
    <n v="16.6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0"/>
    <d v="2023-07-03T19:04:58"/>
    <s v="Y"/>
    <s v="Preparation - other"/>
    <s v="VHCC"/>
    <s v="Profit Cost"/>
    <s v="MJS"/>
    <s v="Y"/>
    <n v="28.62"/>
    <n v="5.72"/>
    <x v="3"/>
    <s v="VALIDATED"/>
    <n v="1"/>
    <s v="01.11.80.203.6100.0000"/>
    <n v="28.62"/>
    <s v="11"/>
    <s v="6100"/>
    <n v="-32425.63"/>
    <n v="28.62"/>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2"/>
    <d v="2023-07-18T19:00:56"/>
    <s v="Y"/>
    <s v="Preparation - other"/>
    <s v="Non Family Hourly Rates"/>
    <s v="Profit Cost"/>
    <s v="MSK"/>
    <s v="Y"/>
    <n v="7.16"/>
    <n v="1.43"/>
    <x v="14"/>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28"/>
    <d v="2023-07-20T19:22:42"/>
    <s v="Y"/>
    <s v="Attendance upon client"/>
    <s v="Non Family Hourly Rates"/>
    <s v="Profit Cost"/>
    <s v="BSS"/>
    <s v="Y"/>
    <n v="50.4"/>
    <n v="10.08"/>
    <x v="13"/>
    <s v="VALIDATED"/>
    <n v="1"/>
    <s v="01.11.80.201.6100.0000"/>
    <n v="50.4"/>
    <s v="11"/>
    <s v="6100"/>
    <n v="-32425.63"/>
    <n v="50.4"/>
    <s v="DEBTOR"/>
    <n v="0"/>
    <n v="0"/>
    <n v="0"/>
    <n v="0"/>
    <n v="0"/>
  </r>
  <r>
    <n v="8733210"/>
    <s v="N"/>
    <n v="21403533"/>
    <s v="3000004746670021"/>
    <s v="CIVIL"/>
    <d v="2023-06-06T00:00:00"/>
    <d v="2023-07-20T19:22:20"/>
    <m/>
    <d v="2023-07-20T00:00:00"/>
    <n v="1878"/>
    <n v="1547"/>
    <s v="8733210"/>
    <s v="8733210"/>
    <m/>
    <m/>
    <n v="22629506"/>
    <m/>
    <m/>
    <m/>
    <s v="SOLFIN"/>
    <s v="SOLFIN"/>
    <s v="CCMS"/>
    <n v="21403533"/>
    <n v="4211.9"/>
    <m/>
    <s v="N"/>
    <n v="82"/>
    <d v="2023-07-20T19:22:42"/>
    <s v="Y"/>
    <s v="Preparation - other"/>
    <s v="Non Family Hourly Rates"/>
    <s v="Profit Cost"/>
    <s v="BSS"/>
    <s v="Y"/>
    <n v="12.6"/>
    <n v="2.52"/>
    <x v="13"/>
    <s v="VALIDATED"/>
    <n v="1"/>
    <s v="01.11.80.201.6100.0000"/>
    <n v="12.6"/>
    <s v="11"/>
    <s v="6100"/>
    <n v="-32425.63"/>
    <n v="12.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8"/>
    <d v="2023-07-10T19:01:45"/>
    <s v="Y"/>
    <s v="Attendance upon client"/>
    <s v="Care Remuneration Hourly Rates"/>
    <s v="Profit Cost"/>
    <s v="AGI 30"/>
    <s v="Y"/>
    <n v="57.45"/>
    <n v="11.49"/>
    <x v="2"/>
    <s v="VALIDATED"/>
    <n v="1"/>
    <s v="01.11.80.308.6100.0000"/>
    <n v="57.45"/>
    <s v="11"/>
    <s v="6100"/>
    <n v="-32425.63"/>
    <n v="57.4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
    <d v="2023-07-10T19:02:05"/>
    <s v="Y"/>
    <s v="Interpreter"/>
    <s v="Non Family Hourly Rates"/>
    <s v="Expert Disbursement"/>
    <s v="XXX"/>
    <s v="Y"/>
    <n v="25"/>
    <n v="5"/>
    <x v="2"/>
    <s v="VALIDATED"/>
    <n v="1"/>
    <s v="01.11.80.203.6300.0000"/>
    <n v="25"/>
    <s v="11"/>
    <s v="6300"/>
    <n v="-32425.63"/>
    <n v="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5"/>
    <d v="2023-07-10T19:02:05"/>
    <s v="Y"/>
    <s v="Attendance upon/with Counsel at Con"/>
    <s v="Non Family Hourly Rates"/>
    <s v="Profit Cost"/>
    <s v="LG"/>
    <s v="Y"/>
    <n v="6.66"/>
    <n v="0"/>
    <x v="2"/>
    <s v="VALIDATED"/>
    <n v="1"/>
    <s v="01.11.80.203.6100.0000"/>
    <n v="6.66"/>
    <s v="11"/>
    <s v="6100"/>
    <n v="-32425.63"/>
    <n v="6.6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7"/>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2"/>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2"/>
    <d v="2023-07-10T19:02:05"/>
    <s v="Y"/>
    <s v="Attendance upon other"/>
    <s v="Non Family Hourly Rates"/>
    <s v="Profit Cost"/>
    <s v="LG"/>
    <s v="Y"/>
    <n v="21.47"/>
    <n v="0"/>
    <x v="2"/>
    <s v="VALIDATED"/>
    <n v="1"/>
    <s v="01.11.80.203.6100.0000"/>
    <n v="21.47"/>
    <s v="11"/>
    <s v="6100"/>
    <n v="-32425.63"/>
    <n v="21.4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3"/>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0"/>
    <d v="2023-07-10T19:01:45"/>
    <s v="Y"/>
    <s v="Hearing Unit 2.31 - 5.00 Hours"/>
    <s v="Public Law Children"/>
    <s v="Advocacy"/>
    <s v="JBL"/>
    <s v="Y"/>
    <n v="476.92"/>
    <n v="95.38"/>
    <x v="2"/>
    <s v="VALIDATED"/>
    <n v="1"/>
    <s v="01.11.80.308.6100.0000"/>
    <n v="476.92"/>
    <s v="11"/>
    <s v="6100"/>
    <n v="-32425.63"/>
    <n v="476.92"/>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3"/>
    <d v="2023-07-06T19:21:25"/>
    <s v="Y"/>
    <s v="Preparation - other"/>
    <s v="Care Remuneration Hourly Rates"/>
    <s v="Profit Cost"/>
    <s v="NBS 25"/>
    <s v="Y"/>
    <n v="7.68"/>
    <n v="1.54"/>
    <x v="4"/>
    <s v="VALIDATED"/>
    <n v="1"/>
    <s v="01.11.80.308.6100.0000"/>
    <n v="7.68"/>
    <s v="11"/>
    <s v="6100"/>
    <n v="-32425.63"/>
    <n v="7.6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2"/>
    <d v="2023-07-05T19:02:06"/>
    <s v="Y"/>
    <s v="Preparation - other"/>
    <s v="VHCC"/>
    <s v="Profit Cost"/>
    <s v="GLE 60"/>
    <s v="Y"/>
    <n v="45.79"/>
    <n v="9.16"/>
    <x v="6"/>
    <s v="VALIDATED"/>
    <n v="1"/>
    <s v="01.11.80.203.6100.0000"/>
    <n v="45.79"/>
    <s v="11"/>
    <s v="6100"/>
    <n v="-32425.63"/>
    <n v="45.7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7"/>
    <d v="2023-07-05T19:02:09"/>
    <s v="Y"/>
    <s v="Travel to attend client"/>
    <s v="VHCC"/>
    <s v="Profit Cost"/>
    <s v="SHL"/>
    <s v="Y"/>
    <n v="59.86"/>
    <n v="11.97"/>
    <x v="6"/>
    <s v="VALIDATED"/>
    <n v="1"/>
    <s v="01.11.80.203.6100.0000"/>
    <n v="59.86"/>
    <s v="11"/>
    <s v="6100"/>
    <n v="-32425.63"/>
    <n v="59.86"/>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8"/>
    <d v="2023-07-05T19:02:09"/>
    <s v="Y"/>
    <s v="Attendance upon client"/>
    <s v="VHCC"/>
    <s v="Profit Cost"/>
    <s v="SHL 60"/>
    <s v="Y"/>
    <n v="148.82"/>
    <n v="29.76"/>
    <x v="6"/>
    <s v="VALIDATED"/>
    <n v="1"/>
    <s v="01.11.80.203.6100.0000"/>
    <n v="148.82"/>
    <s v="11"/>
    <s v="6100"/>
    <n v="-32425.63"/>
    <n v="148.8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0"/>
    <d v="2023-07-05T19:02:06"/>
    <s v="Y"/>
    <s v="Preparation - drafting statement"/>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4"/>
    <d v="2023-07-05T19:02:06"/>
    <s v="Y"/>
    <s v="Preparation - drafting instructions"/>
    <s v="VHCC"/>
    <s v="Profit Cost"/>
    <s v="SHL 60"/>
    <s v="Y"/>
    <n v="171.72"/>
    <n v="34.34"/>
    <x v="6"/>
    <s v="VALIDATED"/>
    <n v="1"/>
    <s v="01.11.80.203.6100.0000"/>
    <n v="171.72"/>
    <s v="11"/>
    <s v="6100"/>
    <n v="-32425.63"/>
    <n v="171.7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4"/>
    <d v="2023-07-05T19:02:06"/>
    <s v="Y"/>
    <s v="Preparation - other"/>
    <s v="VHCC"/>
    <s v="Profit Cost"/>
    <s v="GLE"/>
    <s v="Y"/>
    <n v="71.55"/>
    <n v="14.31"/>
    <x v="6"/>
    <s v="VALIDATED"/>
    <n v="1"/>
    <s v="01.11.80.203.6100.0000"/>
    <n v="71.55"/>
    <s v="11"/>
    <s v="6100"/>
    <n v="-32425.63"/>
    <n v="71.5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
    <d v="2023-07-05T19:02:06"/>
    <s v="Y"/>
    <s v="Attendance upon client"/>
    <s v="VHCC"/>
    <s v="Profit Cost"/>
    <s v="PFA"/>
    <s v="Y"/>
    <n v="143.1"/>
    <n v="28.62"/>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7"/>
    <d v="2023-07-05T19:02:06"/>
    <s v="Y"/>
    <s v="Attendance upon other"/>
    <s v="VHCC"/>
    <s v="Profit Cost"/>
    <s v="SHL"/>
    <s v="Y"/>
    <n v="57.24"/>
    <n v="11.45"/>
    <x v="6"/>
    <s v="VALIDATED"/>
    <n v="1"/>
    <s v="01.11.80.203.6100.0000"/>
    <n v="57.24"/>
    <s v="11"/>
    <s v="6100"/>
    <n v="-32425.63"/>
    <n v="57.2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9"/>
    <d v="2023-07-05T19:02:06"/>
    <s v="Y"/>
    <s v="Preparation - other"/>
    <s v="VHCC"/>
    <s v="Profit Cost"/>
    <s v="SHL 60"/>
    <s v="Y"/>
    <n v="11.45"/>
    <n v="2.29"/>
    <x v="6"/>
    <s v="VALIDATED"/>
    <n v="1"/>
    <s v="01.11.80.203.6100.0000"/>
    <n v="11.45"/>
    <s v="11"/>
    <s v="6100"/>
    <n v="-32425.63"/>
    <n v="11.4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7"/>
    <d v="2023-07-05T19:01:55"/>
    <s v="Y"/>
    <s v="Preparation - other"/>
    <s v="Non Family Hourly Rates"/>
    <s v="Profit Cost"/>
    <s v="GLE"/>
    <s v="Y"/>
    <n v="71.55"/>
    <n v="14.31"/>
    <x v="6"/>
    <s v="VALIDATED"/>
    <n v="1"/>
    <s v="01.11.80.203.6100.0000"/>
    <n v="71.55"/>
    <s v="11"/>
    <s v="6100"/>
    <n v="-32425.63"/>
    <n v="71.5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9"/>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7"/>
    <d v="2023-07-05T19:01:55"/>
    <s v="Y"/>
    <s v="Preparation - other"/>
    <s v="Non Family Hourly Rates"/>
    <s v="Profit Cost"/>
    <s v="HRL 50"/>
    <s v="Y"/>
    <n v="128.79"/>
    <n v="25.76"/>
    <x v="6"/>
    <s v="VALIDATED"/>
    <n v="1"/>
    <s v="01.11.80.203.6100.0000"/>
    <n v="128.79"/>
    <s v="11"/>
    <s v="6100"/>
    <n v="-32425.63"/>
    <n v="128.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5"/>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2"/>
    <d v="2023-07-05T19:01:55"/>
    <s v="Y"/>
    <s v="Preparation - drafting application"/>
    <s v="Non Family Hourly Rates"/>
    <s v="Profit Cost"/>
    <s v="GLE"/>
    <s v="Y"/>
    <n v="35.78"/>
    <n v="7.16"/>
    <x v="6"/>
    <s v="VALIDATED"/>
    <n v="1"/>
    <s v="01.11.80.203.6100.0000"/>
    <n v="35.78"/>
    <s v="11"/>
    <s v="6100"/>
    <n v="-32425.63"/>
    <n v="35.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2"/>
    <d v="2023-07-05T19:01:55"/>
    <s v="Y"/>
    <s v="Preparation - other"/>
    <s v="Non Family Hourly Rates"/>
    <s v="Profit Cost"/>
    <s v="HRL 50"/>
    <s v="Y"/>
    <n v="21.47"/>
    <n v="4.29"/>
    <x v="6"/>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
    <d v="2023-07-03T19:04:58"/>
    <s v="Y"/>
    <s v="Preparation - other"/>
    <s v="VHCC"/>
    <s v="Profit Cost"/>
    <s v="JML 65"/>
    <s v="Y"/>
    <n v="59.03"/>
    <n v="11.8"/>
    <x v="3"/>
    <s v="VALIDATED"/>
    <n v="1"/>
    <s v="01.11.80.203.6100.0000"/>
    <n v="59.03"/>
    <s v="11"/>
    <s v="6100"/>
    <n v="-32425.63"/>
    <n v="59.03"/>
    <s v="DEBTOR"/>
    <n v="0"/>
    <n v="0"/>
    <n v="0"/>
    <n v="0"/>
    <n v="0"/>
  </r>
  <r>
    <n v="61742173"/>
    <s v="N"/>
    <n v="21319086"/>
    <s v="3000015815100003"/>
    <s v="CIVIL"/>
    <d v="2023-06-23T00:00:00"/>
    <d v="2023-07-03T19:01:49"/>
    <m/>
    <d v="2023-07-03T00:00:00"/>
    <n v="1878"/>
    <n v="1547"/>
    <s v="61742173"/>
    <s v="61742173"/>
    <m/>
    <m/>
    <n v="22750850"/>
    <m/>
    <m/>
    <m/>
    <s v="SOLFIN"/>
    <s v="SOLFIN"/>
    <s v="CCMS"/>
    <n v="21319086"/>
    <n v="5246"/>
    <m/>
    <s v="N"/>
    <n v="21"/>
    <d v="2023-07-03T19:02:10"/>
    <s v="Y"/>
    <s v="Attendance upon client"/>
    <s v="Prescribed Hourly Rates"/>
    <s v="Profit Cost"/>
    <s v="MAE 15"/>
    <s v="Y"/>
    <n v="95.63"/>
    <n v="19.13"/>
    <x v="3"/>
    <s v="VALIDATED"/>
    <n v="1"/>
    <s v="01.11.80.305.6100.0000"/>
    <n v="95.63"/>
    <s v="11"/>
    <s v="6100"/>
    <n v="-32425.63"/>
    <n v="95.63"/>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3"/>
    <d v="2023-07-18T19:00:56"/>
    <s v="Y"/>
    <s v="Preparation - other"/>
    <s v="Non Family Hourly Rates"/>
    <s v="Profit Cost"/>
    <s v="MSK"/>
    <s v="Y"/>
    <n v="7.16"/>
    <n v="1.43"/>
    <x v="14"/>
    <s v="VALIDATED"/>
    <n v="1"/>
    <s v="01.11.80.203.6100.0000"/>
    <n v="7.16"/>
    <s v="11"/>
    <s v="6100"/>
    <n v="-32425.63"/>
    <n v="7.16"/>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9"/>
    <d v="2023-07-18T19:00:56"/>
    <s v="Y"/>
    <s v="Preparation - other"/>
    <s v="Non Family Hourly Rates"/>
    <s v="Profit Cost"/>
    <s v="MSK"/>
    <s v="Y"/>
    <n v="7.16"/>
    <n v="1.43"/>
    <x v="14"/>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8"/>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0"/>
    <d v="2023-07-10T19:01:45"/>
    <s v="N"/>
    <s v="Preparation - drafting statement"/>
    <s v="Care Remuneration Hourly Rates"/>
    <s v="Profit Cost"/>
    <s v="JBL 30"/>
    <s v="N"/>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2"/>
    <d v="2023-07-10T19:01:45"/>
    <s v="Y"/>
    <s v="Preparation - other"/>
    <s v="Care Remuneration Hourly Rates"/>
    <s v="Profit Cost"/>
    <s v="JBL 30"/>
    <s v="Y"/>
    <n v="1292.62"/>
    <n v="258.52"/>
    <x v="2"/>
    <s v="VALIDATED"/>
    <n v="1"/>
    <s v="01.11.80.308.6100.0000"/>
    <n v="1292.62"/>
    <s v="11"/>
    <s v="6100"/>
    <n v="-32425.63"/>
    <n v="1292.6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9"/>
    <d v="2023-07-10T19:01:45"/>
    <s v="Y"/>
    <s v="Preparation - drafting statement"/>
    <s v="Care Remuneration Hourly Rates"/>
    <s v="Profit Cost"/>
    <s v="JBL 30"/>
    <s v="Y"/>
    <n v="28.73"/>
    <n v="5.75"/>
    <x v="2"/>
    <s v="VALIDATED"/>
    <n v="1"/>
    <s v="01.11.80.308.6100.0000"/>
    <n v="28.73"/>
    <s v="11"/>
    <s v="6100"/>
    <n v="-32425.63"/>
    <n v="28.7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1"/>
    <d v="2023-07-10T19:02:05"/>
    <s v="Y"/>
    <s v="Attendance upon/with Counsel at Con"/>
    <s v="Non Family Hourly Rates"/>
    <s v="Profit Cost"/>
    <s v="LG"/>
    <s v="Y"/>
    <n v="9.99"/>
    <n v="0"/>
    <x v="2"/>
    <s v="VALIDATED"/>
    <n v="1"/>
    <s v="01.11.80.203.6100.0000"/>
    <n v="9.99"/>
    <s v="11"/>
    <s v="6100"/>
    <n v="-32425.63"/>
    <n v="9.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1"/>
    <d v="2023-07-10T19:02:05"/>
    <s v="Y"/>
    <s v="Attendance upon client"/>
    <s v="Non Family Hourly Rates"/>
    <s v="Profit Cost"/>
    <s v="LG"/>
    <s v="Y"/>
    <n v="128.79"/>
    <n v="0"/>
    <x v="2"/>
    <s v="VALIDATED"/>
    <n v="1"/>
    <s v="01.11.80.203.6100.0000"/>
    <n v="128.79"/>
    <s v="11"/>
    <s v="6100"/>
    <n v="-32425.63"/>
    <n v="128.79"/>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0"/>
    <d v="2023-07-06T19:21:25"/>
    <s v="Y"/>
    <s v="Preparation - other"/>
    <s v="Care Remuneration Hourly Rates"/>
    <s v="Profit Cost"/>
    <s v="NBS 25"/>
    <s v="Y"/>
    <n v="7.68"/>
    <n v="1.54"/>
    <x v="4"/>
    <s v="VALIDATED"/>
    <n v="1"/>
    <s v="01.11.80.308.6100.0000"/>
    <n v="7.68"/>
    <s v="11"/>
    <s v="6100"/>
    <n v="-32425.63"/>
    <n v="7.6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3"/>
    <d v="2023-07-05T19:01:55"/>
    <s v="Y"/>
    <s v="Waiting - other"/>
    <s v="Non Family Hourly Rates"/>
    <s v="Profit Cost"/>
    <s v="HRL"/>
    <s v="Y"/>
    <n v="14.97"/>
    <n v="2.99"/>
    <x v="6"/>
    <s v="VALIDATED"/>
    <n v="1"/>
    <s v="01.11.80.203.6100.0000"/>
    <n v="14.97"/>
    <s v="11"/>
    <s v="6100"/>
    <n v="-32425.63"/>
    <n v="14.9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
    <d v="2023-07-05T19:01:55"/>
    <s v="Y"/>
    <s v="Preparation - other"/>
    <s v="Non Family Hourly Rates"/>
    <s v="Profit Cost"/>
    <s v="HRL 50"/>
    <s v="Y"/>
    <n v="21.47"/>
    <n v="4.29"/>
    <x v="6"/>
    <s v="VALIDATED"/>
    <n v="1"/>
    <s v="01.11.80.203.6100.0000"/>
    <n v="21.47"/>
    <s v="11"/>
    <s v="6100"/>
    <n v="-32425.63"/>
    <n v="21.4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1"/>
    <d v="2023-07-06T19:21:25"/>
    <s v="Y"/>
    <s v="Preparation - other"/>
    <s v="Care Remuneration Hourly Rates"/>
    <s v="Profit Cost"/>
    <s v="NBS 25"/>
    <s v="Y"/>
    <n v="38.36"/>
    <n v="7.67"/>
    <x v="4"/>
    <s v="VALIDATED"/>
    <n v="1"/>
    <s v="01.11.80.308.6100.0000"/>
    <n v="38.36"/>
    <s v="11"/>
    <s v="6100"/>
    <n v="-32425.63"/>
    <n v="38.3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0"/>
    <d v="2023-07-05T19:02:06"/>
    <s v="Y"/>
    <s v="Attendance upon Counsel"/>
    <s v="VHCC"/>
    <s v="Profit Cost"/>
    <s v="SHL"/>
    <s v="Y"/>
    <n v="33.3"/>
    <n v="6.66"/>
    <x v="6"/>
    <s v="VALIDATED"/>
    <n v="1"/>
    <s v="01.11.80.203.6100.0000"/>
    <n v="33.3"/>
    <s v="11"/>
    <s v="6100"/>
    <n v="-32425.63"/>
    <n v="33.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9"/>
    <d v="2023-07-05T19:02:06"/>
    <s v="Y"/>
    <s v="Preparation - drafting application"/>
    <s v="VHCC"/>
    <s v="Profit Cost"/>
    <s v="GLE"/>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1"/>
    <d v="2023-07-05T19:02:06"/>
    <s v="Y"/>
    <s v="Preparation - drafting statement"/>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6"/>
    <d v="2023-07-05T19:02:06"/>
    <s v="Y"/>
    <s v="Preparation - other"/>
    <s v="VHCC"/>
    <s v="Profit Cost"/>
    <s v="SHL 60"/>
    <s v="Y"/>
    <n v="11.45"/>
    <n v="2.29"/>
    <x v="6"/>
    <s v="VALIDATED"/>
    <n v="1"/>
    <s v="01.11.80.203.6100.0000"/>
    <n v="11.45"/>
    <s v="11"/>
    <s v="6100"/>
    <n v="-32425.63"/>
    <n v="11.45"/>
    <s v="DEBTOR"/>
    <n v="0"/>
    <n v="0"/>
    <n v="0"/>
    <n v="0"/>
    <n v="0"/>
  </r>
  <r>
    <n v="59677260"/>
    <s v="N"/>
    <n v="21331257"/>
    <s v="3000014052440026"/>
    <s v="CIVIL"/>
    <d v="2023-06-30T00:00:00"/>
    <d v="2023-07-05T19:01:47"/>
    <m/>
    <d v="2023-07-05T00:00:00"/>
    <n v="1878"/>
    <n v="1547"/>
    <s v="59677260"/>
    <s v="59677260"/>
    <m/>
    <m/>
    <n v="22798826"/>
    <m/>
    <m/>
    <m/>
    <s v="SOLINT"/>
    <s v="SOLINT"/>
    <s v="CCMS"/>
    <n v="21331257"/>
    <n v="4736.2"/>
    <m/>
    <s v="N"/>
    <n v="50"/>
    <d v="2023-07-05T19:02:12"/>
    <s v="Y"/>
    <s v="Preparation - drafting bill/claim f"/>
    <s v="VHCC"/>
    <s v="Profit Cost"/>
    <s v="SHL"/>
    <s v="Y"/>
    <n v="35.78"/>
    <n v="7.16"/>
    <x v="6"/>
    <s v="VALIDATED"/>
    <n v="1"/>
    <s v="01.11.80.203.6100.0000"/>
    <n v="35.78"/>
    <s v="11"/>
    <s v="6100"/>
    <n v="-32425.63"/>
    <n v="35.7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2"/>
    <d v="2023-07-05T19:02:06"/>
    <s v="Y"/>
    <s v="Preparation - research"/>
    <s v="VHCC"/>
    <s v="Profit Cost"/>
    <s v="GLE 60"/>
    <s v="Y"/>
    <n v="91.58"/>
    <n v="18.32"/>
    <x v="6"/>
    <s v="VALIDATED"/>
    <n v="1"/>
    <s v="01.11.80.203.6100.0000"/>
    <n v="91.58"/>
    <s v="11"/>
    <s v="6100"/>
    <n v="-32425.63"/>
    <n v="91.5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1"/>
    <d v="2023-07-05T19:01:55"/>
    <s v="Y"/>
    <s v="Preparation - other"/>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8"/>
    <d v="2023-07-05T19:01:55"/>
    <s v="Y"/>
    <s v="Preparation - drafting statement"/>
    <s v="Non Family Hourly Rates"/>
    <s v="Profit Cost"/>
    <s v="HRL 50"/>
    <s v="Y"/>
    <n v="128.79"/>
    <n v="25.76"/>
    <x v="6"/>
    <s v="VALIDATED"/>
    <n v="1"/>
    <s v="01.11.80.203.6100.0000"/>
    <n v="128.79"/>
    <s v="11"/>
    <s v="6100"/>
    <n v="-32425.63"/>
    <n v="128.7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9"/>
    <d v="2023-07-03T19:04:58"/>
    <s v="Y"/>
    <s v="Preparation - drafting attendance n"/>
    <s v="VHCC"/>
    <s v="Profit Cost"/>
    <s v="JML"/>
    <s v="Y"/>
    <n v="28.62"/>
    <n v="5.72"/>
    <x v="3"/>
    <s v="VALIDATED"/>
    <n v="1"/>
    <s v="01.11.80.203.6100.0000"/>
    <n v="28.62"/>
    <s v="11"/>
    <s v="6100"/>
    <n v="-32425.63"/>
    <n v="28.6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7"/>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8"/>
    <d v="2023-07-03T19:04:58"/>
    <s v="Y"/>
    <s v="Preparation - other"/>
    <s v="VHCC"/>
    <s v="Profit Cost"/>
    <s v="JML"/>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9"/>
    <d v="2023-07-03T19:04:58"/>
    <s v="Y"/>
    <s v="Preparation - other"/>
    <s v="VHCC"/>
    <s v="Profit Cost"/>
    <s v="MJS"/>
    <s v="Y"/>
    <n v="14.31"/>
    <n v="2.86"/>
    <x v="3"/>
    <s v="VALIDATED"/>
    <n v="1"/>
    <s v="01.11.80.203.6100.0000"/>
    <n v="14.31"/>
    <s v="11"/>
    <s v="6100"/>
    <n v="-32425.63"/>
    <n v="14.3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30"/>
    <d v="2023-07-18T19:00:56"/>
    <s v="Y"/>
    <s v="Preparation - drafting bill/claim f"/>
    <s v="Non Family Hourly Rates"/>
    <s v="Profit Cost"/>
    <s v="JLA"/>
    <s v="Y"/>
    <n v="57.24"/>
    <n v="11.45"/>
    <x v="14"/>
    <s v="VALIDATED"/>
    <n v="1"/>
    <s v="01.11.80.203.6100.0000"/>
    <n v="57.24"/>
    <s v="11"/>
    <s v="6100"/>
    <n v="-32425.63"/>
    <n v="57.24"/>
    <s v="DEBTOR"/>
    <n v="0"/>
    <n v="0"/>
    <n v="0"/>
    <n v="0"/>
    <n v="0"/>
  </r>
  <r>
    <n v="8733210"/>
    <s v="N"/>
    <n v="21403533"/>
    <s v="3000004746670021"/>
    <s v="CIVIL"/>
    <d v="2023-06-06T00:00:00"/>
    <d v="2023-07-20T19:22:20"/>
    <m/>
    <d v="2023-07-20T00:00:00"/>
    <n v="1878"/>
    <n v="1547"/>
    <s v="8733210"/>
    <s v="8733210"/>
    <m/>
    <m/>
    <n v="22629506"/>
    <m/>
    <m/>
    <m/>
    <s v="SOLFIN"/>
    <s v="SOLFIN"/>
    <s v="CCMS"/>
    <n v="21403533"/>
    <n v="4211.9"/>
    <m/>
    <s v="N"/>
    <n v="46"/>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91"/>
    <d v="2023-07-20T19:22:42"/>
    <s v="Y"/>
    <s v="Preparation - other"/>
    <s v="Non Family Hourly Rates"/>
    <s v="Profit Cost"/>
    <s v="BSS"/>
    <s v="Y"/>
    <n v="50.4"/>
    <n v="10.08"/>
    <x v="13"/>
    <s v="VALIDATED"/>
    <n v="1"/>
    <s v="01.11.80.201.6100.0000"/>
    <n v="50.4"/>
    <s v="11"/>
    <s v="6100"/>
    <n v="-32425.63"/>
    <n v="50.4"/>
    <s v="DEBTOR"/>
    <n v="0"/>
    <n v="0"/>
    <n v="0"/>
    <n v="0"/>
    <n v="0"/>
  </r>
  <r>
    <n v="61742173"/>
    <s v="N"/>
    <n v="21319086"/>
    <s v="3000015815100003"/>
    <s v="CIVIL"/>
    <d v="2023-06-23T00:00:00"/>
    <d v="2023-07-03T19:01:49"/>
    <m/>
    <d v="2023-07-03T00:00:00"/>
    <n v="1878"/>
    <n v="1547"/>
    <s v="61742173"/>
    <s v="61742173"/>
    <m/>
    <m/>
    <n v="22750850"/>
    <m/>
    <m/>
    <m/>
    <s v="SOLFIN"/>
    <s v="SOLFIN"/>
    <s v="CCMS"/>
    <n v="21319086"/>
    <n v="5246"/>
    <m/>
    <s v="N"/>
    <n v="46"/>
    <d v="2023-07-03T19:02:10"/>
    <s v="Y"/>
    <s v="Attendance upon/with Counsel at Con"/>
    <s v="Prescribed Hourly Rates"/>
    <s v="Profit Cost"/>
    <s v="MAE 15"/>
    <s v="Y"/>
    <n v="37.26"/>
    <n v="7.45"/>
    <x v="3"/>
    <s v="VALIDATED"/>
    <n v="1"/>
    <s v="01.11.80.305.6100.0000"/>
    <n v="37.26"/>
    <s v="11"/>
    <s v="6100"/>
    <n v="-32425.63"/>
    <n v="37.2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0"/>
    <d v="2023-07-10T19:01:45"/>
    <s v="Y"/>
    <s v="Routine Letter Out"/>
    <s v="Care Remuneration Hourly Rates"/>
    <s v="Profit Cost"/>
    <s v="AGI"/>
    <s v="Y"/>
    <n v="869.92"/>
    <n v="173.98"/>
    <x v="2"/>
    <s v="VALIDATED"/>
    <n v="1"/>
    <s v="01.11.80.308.6100.0000"/>
    <n v="869.92"/>
    <s v="11"/>
    <s v="6100"/>
    <n v="-32425.63"/>
    <n v="869.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5"/>
    <d v="2023-07-10T19:01:45"/>
    <s v="Y"/>
    <s v="Preparation - drafting attendance n"/>
    <s v="Care Remuneration Hourly Rates"/>
    <s v="Profit Cost"/>
    <s v="AMA"/>
    <s v="Y"/>
    <n v="11.05"/>
    <n v="2.21"/>
    <x v="2"/>
    <s v="VALIDATED"/>
    <n v="1"/>
    <s v="01.11.80.308.6100.0000"/>
    <n v="11.05"/>
    <s v="11"/>
    <s v="6100"/>
    <n v="-32425.63"/>
    <n v="11.0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7"/>
    <d v="2023-07-10T19:01:45"/>
    <s v="Y"/>
    <s v="Attendance upon client"/>
    <s v="Care Remuneration Hourly Rates"/>
    <s v="Profit Cost"/>
    <s v="AMA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7"/>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1"/>
    <d v="2023-07-10T19:01:45"/>
    <s v="Y"/>
    <s v="Preparation - drafting statement"/>
    <s v="Care Remuneration Hourly Rates"/>
    <s v="Profit Cost"/>
    <s v="JBL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8"/>
    <d v="2023-07-10T19:02:05"/>
    <s v="Y"/>
    <s v="Preparation - drafting statement"/>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2"/>
    <d v="2023-07-10T19:02:05"/>
    <s v="Y"/>
    <s v="Attendance upon/with Counsel at Con"/>
    <s v="Non Family Hourly Rates"/>
    <s v="Profit Cost"/>
    <s v="LG"/>
    <s v="Y"/>
    <n v="6.66"/>
    <n v="0"/>
    <x v="2"/>
    <s v="VALIDATED"/>
    <n v="1"/>
    <s v="01.11.80.203.6100.0000"/>
    <n v="6.66"/>
    <s v="11"/>
    <s v="6100"/>
    <n v="-32425.63"/>
    <n v="6.66"/>
    <s v="DEBTOR"/>
    <n v="0"/>
    <n v="0"/>
    <n v="0"/>
    <n v="0"/>
    <n v="0"/>
  </r>
  <r>
    <n v="62505835"/>
    <s v="N"/>
    <n v="21349453"/>
    <s v="3000016462370001"/>
    <s v="CIVIL"/>
    <d v="2023-06-29T00:00:00"/>
    <d v="2023-07-10T19:01:40"/>
    <m/>
    <d v="2023-07-10T00:00:00"/>
    <n v="1878"/>
    <n v="1547"/>
    <s v="62505835"/>
    <s v="62505835"/>
    <m/>
    <m/>
    <n v="22788222"/>
    <m/>
    <m/>
    <m/>
    <s v="SOLFIN"/>
    <s v="SOLFIN"/>
    <s v="CCMS"/>
    <n v="21349453"/>
    <n v="1212.58"/>
    <m/>
    <s v="N"/>
    <n v="5"/>
    <d v="2023-07-10T19:01:50"/>
    <s v="Y"/>
    <s v="Preparation - drafting application"/>
    <s v="Care Remuneration Hourly Rates"/>
    <s v="Profit Cost"/>
    <s v="SIAN POPPLEWELL"/>
    <s v="Y"/>
    <n v="61.38"/>
    <n v="12.28"/>
    <x v="2"/>
    <s v="VALIDATED"/>
    <n v="1"/>
    <s v="01.11.80.308.6100.0000"/>
    <n v="61.38"/>
    <s v="11"/>
    <s v="6100"/>
    <n v="-32425.63"/>
    <n v="61.3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5"/>
    <d v="2023-07-05T19:02:09"/>
    <s v="Y"/>
    <s v="Preparation - other"/>
    <s v="VHCC"/>
    <s v="Profit Cost"/>
    <s v="GLE"/>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6"/>
    <d v="2023-07-05T19:02:06"/>
    <s v="Y"/>
    <s v="Preparation - other"/>
    <s v="VHCC"/>
    <s v="Profit Cost"/>
    <s v="SHL 60"/>
    <s v="Y"/>
    <n v="148.82"/>
    <n v="29.76"/>
    <x v="6"/>
    <s v="VALIDATED"/>
    <n v="1"/>
    <s v="01.11.80.203.6100.0000"/>
    <n v="148.82"/>
    <s v="11"/>
    <s v="6100"/>
    <n v="-32425.63"/>
    <n v="148.8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2"/>
    <d v="2023-07-05T19:02:06"/>
    <s v="Y"/>
    <s v="Preparation - drafting statement"/>
    <s v="VHCC"/>
    <s v="Profit Cost"/>
    <s v="GLE 60"/>
    <s v="Y"/>
    <n v="194.62"/>
    <n v="38.92"/>
    <x v="6"/>
    <s v="VALIDATED"/>
    <n v="1"/>
    <s v="01.11.80.203.6100.0000"/>
    <n v="194.62"/>
    <s v="11"/>
    <s v="6100"/>
    <n v="-32425.63"/>
    <n v="194.6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23"/>
    <d v="2023-07-05T19:02:06"/>
    <s v="N"/>
    <m/>
    <m/>
    <s v="Overall Adjustment"/>
    <m/>
    <s v="N"/>
    <n v="-0.22"/>
    <n v="-0.04"/>
    <x v="6"/>
    <s v="VALIDATED"/>
    <n v="1"/>
    <s v="01.11.80.203.6100.0000"/>
    <n v="-0.22"/>
    <s v="11"/>
    <s v="6100"/>
    <n v="-32425.63"/>
    <n v="-0.2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4"/>
    <d v="2023-07-05T19:01:55"/>
    <s v="Y"/>
    <s v="Preparation - other"/>
    <s v="Non Family Hourly Rates"/>
    <s v="Profit Cost"/>
    <s v="CBD"/>
    <s v="Y"/>
    <n v="78.70999999999999"/>
    <n v="15.74"/>
    <x v="6"/>
    <s v="VALIDATED"/>
    <n v="1"/>
    <s v="01.11.80.203.6100.0000"/>
    <n v="78.70999999999999"/>
    <s v="11"/>
    <s v="6100"/>
    <n v="-32425.63"/>
    <n v="78.709999999999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3"/>
    <d v="2023-07-05T19:01:55"/>
    <s v="Y"/>
    <s v="Preparation - drafting statement"/>
    <s v="Non Family Hourly Rates"/>
    <s v="Profit Cost"/>
    <s v="GLE"/>
    <s v="Y"/>
    <n v="35.78"/>
    <n v="7.16"/>
    <x v="6"/>
    <s v="VALIDATED"/>
    <n v="1"/>
    <s v="01.11.80.203.6100.0000"/>
    <n v="35.78"/>
    <s v="11"/>
    <s v="6100"/>
    <n v="-32425.63"/>
    <n v="35.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9"/>
    <d v="2023-07-05T19:01:55"/>
    <s v="Y"/>
    <s v="Preparation - drafting attendance n"/>
    <s v="Non Family Hourly Rates"/>
    <s v="Profit Cost"/>
    <s v="GLE"/>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1"/>
    <d v="2023-07-05T19:01:55"/>
    <s v="Y"/>
    <s v="Preparation - drafting statement"/>
    <s v="Non Family Hourly Rates"/>
    <s v="Profit Cost"/>
    <s v="HRL 50"/>
    <s v="Y"/>
    <n v="128.79"/>
    <n v="25.76"/>
    <x v="6"/>
    <s v="VALIDATED"/>
    <n v="1"/>
    <s v="01.11.80.203.6100.0000"/>
    <n v="128.79"/>
    <s v="11"/>
    <s v="6100"/>
    <n v="-32425.63"/>
    <n v="128.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0"/>
    <d v="2023-07-05T19:01:55"/>
    <s v="Y"/>
    <s v="Preparation - other"/>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1"/>
    <d v="2023-07-05T19:01:55"/>
    <s v="Y"/>
    <s v="Preparation - other"/>
    <s v="Non Family Hourly Rates"/>
    <s v="Profit Cost"/>
    <s v="HRL 50"/>
    <s v="Y"/>
    <n v="85.86"/>
    <n v="17.17"/>
    <x v="6"/>
    <s v="VALIDATED"/>
    <n v="1"/>
    <s v="01.11.80.203.6100.0000"/>
    <n v="85.86"/>
    <s v="11"/>
    <s v="6100"/>
    <n v="-32425.63"/>
    <n v="85.8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1"/>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0"/>
    <d v="2023-07-03T19:04:58"/>
    <s v="Y"/>
    <s v="Preparation - drafting bill/claim f"/>
    <s v="VHCC"/>
    <s v="Profit Cost"/>
    <s v="JML"/>
    <s v="Y"/>
    <n v="57.24"/>
    <n v="11.45"/>
    <x v="3"/>
    <s v="VALIDATED"/>
    <n v="1"/>
    <s v="01.11.80.203.6100.0000"/>
    <n v="57.24"/>
    <s v="11"/>
    <s v="6100"/>
    <n v="-32425.63"/>
    <n v="57.24"/>
    <s v="DEBTOR"/>
    <n v="0"/>
    <n v="0"/>
    <n v="0"/>
    <n v="0"/>
    <n v="0"/>
  </r>
  <r>
    <n v="8733210"/>
    <s v="N"/>
    <n v="21403533"/>
    <s v="3000004746670021"/>
    <s v="CIVIL"/>
    <d v="2023-06-06T00:00:00"/>
    <d v="2023-07-20T19:22:20"/>
    <m/>
    <d v="2023-07-20T00:00:00"/>
    <n v="1878"/>
    <n v="1547"/>
    <s v="8733210"/>
    <s v="8733210"/>
    <m/>
    <m/>
    <n v="22629506"/>
    <m/>
    <m/>
    <m/>
    <s v="SOLFIN"/>
    <s v="SOLFIN"/>
    <s v="CCMS"/>
    <n v="21403533"/>
    <n v="4211.9"/>
    <m/>
    <s v="N"/>
    <n v="78"/>
    <d v="2023-07-20T19:22:42"/>
    <s v="Y"/>
    <s v="Attendance upon/with Counsel at Con"/>
    <s v="Non Family Hourly Rates"/>
    <s v="Profit Cost"/>
    <s v="BSS"/>
    <s v="Y"/>
    <n v="5.85"/>
    <n v="1.17"/>
    <x v="13"/>
    <s v="VALIDATED"/>
    <n v="1"/>
    <s v="01.11.80.201.6100.0000"/>
    <n v="5.85"/>
    <s v="11"/>
    <s v="6100"/>
    <n v="-32425.63"/>
    <n v="5.85"/>
    <s v="DEBTOR"/>
    <n v="0"/>
    <n v="0"/>
    <n v="0"/>
    <n v="0"/>
    <n v="0"/>
  </r>
  <r>
    <n v="61742173"/>
    <s v="N"/>
    <n v="21319086"/>
    <s v="3000015815100003"/>
    <s v="CIVIL"/>
    <d v="2023-06-23T00:00:00"/>
    <d v="2023-07-03T19:01:49"/>
    <m/>
    <d v="2023-07-03T00:00:00"/>
    <n v="1878"/>
    <n v="1547"/>
    <s v="61742173"/>
    <s v="61742173"/>
    <m/>
    <m/>
    <n v="22750850"/>
    <m/>
    <m/>
    <m/>
    <s v="SOLFIN"/>
    <s v="SOLFIN"/>
    <s v="CCMS"/>
    <n v="21319086"/>
    <n v="5246"/>
    <m/>
    <s v="N"/>
    <n v="57"/>
    <d v="2023-07-03T19:02:10"/>
    <s v="Y"/>
    <s v="Attendance upon client"/>
    <s v="Prescribed Hourly Rates"/>
    <s v="Profit Cost"/>
    <s v="MAE 15"/>
    <s v="Y"/>
    <n v="20.49"/>
    <n v="4.1"/>
    <x v="3"/>
    <s v="VALIDATED"/>
    <n v="1"/>
    <s v="01.11.80.305.6100.0000"/>
    <n v="20.49"/>
    <s v="11"/>
    <s v="6100"/>
    <n v="-32425.63"/>
    <n v="20.4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5"/>
    <d v="2023-07-10T19:01:45"/>
    <s v="Y"/>
    <s v="Preparation - other"/>
    <s v="Care Remuneration Hourly Rates"/>
    <s v="Profit Cost"/>
    <s v="LD"/>
    <s v="Y"/>
    <n v="11.05"/>
    <n v="2.21"/>
    <x v="2"/>
    <s v="VALIDATED"/>
    <n v="1"/>
    <s v="01.11.80.308.6100.0000"/>
    <n v="11.05"/>
    <s v="11"/>
    <s v="6100"/>
    <n v="-32425.63"/>
    <n v="11.0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2"/>
    <d v="2023-07-10T19:02:05"/>
    <s v="Y"/>
    <s v="Preparation - drafting attendance n"/>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9"/>
    <d v="2023-07-10T19:02:05"/>
    <s v="Y"/>
    <s v="Preparation - drafting statement"/>
    <s v="Non Family Hourly Rates"/>
    <s v="Profit Cost"/>
    <s v="CB"/>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6"/>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7"/>
    <d v="2023-07-10T19:02:05"/>
    <s v="Y"/>
    <s v="Preparation - drafting statement"/>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
    <d v="2023-07-10T19:02:05"/>
    <s v="Y"/>
    <s v="Attendance upon client"/>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9"/>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0"/>
    <d v="2023-07-10T19:02:05"/>
    <s v="Y"/>
    <s v="Preparation - drafting attendance n"/>
    <s v="Non Family Hourly Rates"/>
    <s v="Profit Cost"/>
    <s v="LG"/>
    <s v="Y"/>
    <n v="7.16"/>
    <n v="0"/>
    <x v="2"/>
    <s v="VALIDATED"/>
    <n v="1"/>
    <s v="01.11.80.203.6100.0000"/>
    <n v="7.16"/>
    <s v="11"/>
    <s v="6100"/>
    <n v="-32425.63"/>
    <n v="7.16"/>
    <s v="DEBTOR"/>
    <n v="0"/>
    <n v="0"/>
    <n v="0"/>
    <n v="0"/>
    <n v="0"/>
  </r>
  <r>
    <n v="59677260"/>
    <s v="N"/>
    <n v="21331257"/>
    <s v="3000014052440026"/>
    <s v="CIVIL"/>
    <d v="2023-06-30T00:00:00"/>
    <d v="2023-07-05T19:01:47"/>
    <m/>
    <d v="2023-07-05T00:00:00"/>
    <n v="1878"/>
    <n v="1547"/>
    <s v="59677260"/>
    <s v="59677260"/>
    <m/>
    <m/>
    <n v="22798826"/>
    <m/>
    <m/>
    <m/>
    <s v="SOLINT"/>
    <s v="SOLINT"/>
    <s v="CCMS"/>
    <n v="21331257"/>
    <n v="4736.2"/>
    <m/>
    <s v="N"/>
    <n v="24"/>
    <d v="2023-07-05T19:02:12"/>
    <s v="Y"/>
    <s v="Waiting - other"/>
    <s v="VHCC"/>
    <s v="Profit Cost"/>
    <s v="SHL"/>
    <s v="Y"/>
    <n v="11.97"/>
    <n v="2.39"/>
    <x v="6"/>
    <s v="VALIDATED"/>
    <n v="1"/>
    <s v="01.11.80.203.6100.0000"/>
    <n v="11.97"/>
    <s v="11"/>
    <s v="6100"/>
    <n v="-32425.63"/>
    <n v="11.97"/>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8"/>
    <d v="2023-07-05T19:02:09"/>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2"/>
    <d v="2023-07-05T19:02:06"/>
    <s v="Y"/>
    <s v="Preparation - other"/>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5"/>
    <d v="2023-07-05T19:02:06"/>
    <s v="Y"/>
    <s v="Preparation - drafting statement"/>
    <s v="VHCC"/>
    <s v="Profit Cost"/>
    <s v="SHL 60"/>
    <s v="Y"/>
    <n v="68.69"/>
    <n v="13.74"/>
    <x v="6"/>
    <s v="VALIDATED"/>
    <n v="1"/>
    <s v="01.11.80.203.6100.0000"/>
    <n v="68.69"/>
    <s v="11"/>
    <s v="6100"/>
    <n v="-32425.63"/>
    <n v="68.6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6"/>
    <d v="2023-07-05T19:01:55"/>
    <s v="Y"/>
    <s v="Attendance upon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
    <d v="2023-07-05T19:01:55"/>
    <s v="Y"/>
    <s v="Preparation - other"/>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1"/>
    <d v="2023-07-05T19:01:55"/>
    <s v="Y"/>
    <s v="Report - Medical report"/>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6"/>
    <d v="2023-07-05T19:01:55"/>
    <s v="Y"/>
    <s v="Advocacy - In court behind Counsel"/>
    <s v="Non Family Hourly Rates"/>
    <s v="Advocacy"/>
    <s v="GLE"/>
    <s v="Y"/>
    <n v="6.66"/>
    <n v="1.33"/>
    <x v="6"/>
    <s v="VALIDATED"/>
    <n v="1"/>
    <s v="01.11.80.203.6100.0000"/>
    <n v="6.66"/>
    <s v="11"/>
    <s v="6100"/>
    <n v="-32425.63"/>
    <n v="6.6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5"/>
    <d v="2023-07-05T19:01:55"/>
    <s v="Y"/>
    <s v="Attendance upon other"/>
    <s v="Non Family Hourly Rates"/>
    <s v="Profit Cost"/>
    <s v="GLE"/>
    <s v="Y"/>
    <n v="50.09"/>
    <n v="10.02"/>
    <x v="6"/>
    <s v="VALIDATED"/>
    <n v="1"/>
    <s v="01.11.80.203.6100.0000"/>
    <n v="50.09"/>
    <s v="11"/>
    <s v="6100"/>
    <n v="-32425.63"/>
    <n v="50.0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4"/>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0"/>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6"/>
    <d v="2023-07-05T19:01:55"/>
    <s v="Y"/>
    <s v="Preparation - other"/>
    <s v="Non Family Hourly Rates"/>
    <s v="Profit Cost"/>
    <s v="HRL 50"/>
    <s v="Y"/>
    <n v="53.67"/>
    <n v="10.73"/>
    <x v="6"/>
    <s v="VALIDATED"/>
    <n v="1"/>
    <s v="01.11.80.203.6100.0000"/>
    <n v="53.67"/>
    <s v="11"/>
    <s v="6100"/>
    <n v="-32425.63"/>
    <n v="53.6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6"/>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7"/>
    <d v="2023-07-03T19:04:58"/>
    <s v="Y"/>
    <s v="Preparation - other"/>
    <s v="VHCC"/>
    <s v="Profit Cost"/>
    <s v="JML"/>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2"/>
    <d v="2023-07-03T19:04:58"/>
    <s v="Y"/>
    <s v="Attendance upon client"/>
    <s v="VHCC"/>
    <s v="Profit Cost"/>
    <s v="JML 65"/>
    <s v="Y"/>
    <n v="82.64"/>
    <n v="16.53"/>
    <x v="3"/>
    <s v="VALIDATED"/>
    <n v="1"/>
    <s v="01.11.80.203.6100.0000"/>
    <n v="82.64"/>
    <s v="11"/>
    <s v="6100"/>
    <n v="-32425.63"/>
    <n v="82.6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6"/>
    <d v="2023-07-03T19:04:58"/>
    <s v="Y"/>
    <s v="Preparation - other"/>
    <s v="VHCC"/>
    <s v="Profit Cost"/>
    <s v="JML"/>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7"/>
    <d v="2023-07-03T19:04:58"/>
    <s v="Y"/>
    <s v="Preparation - other"/>
    <s v="VHCC"/>
    <s v="Profit Cost"/>
    <s v="JML 65"/>
    <s v="Y"/>
    <n v="35.42"/>
    <n v="7.08"/>
    <x v="3"/>
    <s v="VALIDATED"/>
    <n v="1"/>
    <s v="01.11.80.203.6100.0000"/>
    <n v="35.42"/>
    <s v="11"/>
    <s v="6100"/>
    <n v="-32425.63"/>
    <n v="35.42"/>
    <s v="DEBTOR"/>
    <n v="0"/>
    <n v="0"/>
    <n v="0"/>
    <n v="0"/>
    <n v="0"/>
  </r>
  <r>
    <n v="62067679"/>
    <s v="N"/>
    <n v="21321757"/>
    <s v="3000016062940001"/>
    <s v="CIVIL"/>
    <d v="2023-06-29T00:00:00"/>
    <d v="2023-07-03T19:05:17"/>
    <m/>
    <d v="2023-07-03T00:00:00"/>
    <n v="1878"/>
    <n v="1547"/>
    <s v="62067679"/>
    <s v="62067679"/>
    <m/>
    <m/>
    <n v="22785448"/>
    <m/>
    <m/>
    <m/>
    <s v="SOLPOA"/>
    <s v="SOLPOA"/>
    <s v="CCMS"/>
    <n v="21321757"/>
    <n v="744.42"/>
    <m/>
    <s v="N"/>
    <n v="1"/>
    <d v="2023-07-03T19:05:20"/>
    <s v="N"/>
    <s v="Profit Cost"/>
    <s v="Profit Cost"/>
    <s v="Profit Cost"/>
    <s v="HPY"/>
    <s v="N"/>
    <n v="620.35"/>
    <n v="124.07"/>
    <x v="3"/>
    <s v="VALIDATED"/>
    <n v="1"/>
    <s v="01.11.80.307.2012.0000"/>
    <n v="620.35"/>
    <s v="11"/>
    <s v="2012"/>
    <n v="-32425.63"/>
    <n v="620.3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5"/>
    <d v="2023-07-03T19:04:58"/>
    <s v="Y"/>
    <s v="Preparation - other"/>
    <s v="VHCC"/>
    <s v="Profit Cost"/>
    <s v="JML 65"/>
    <s v="Y"/>
    <n v="47.22"/>
    <n v="9.44"/>
    <x v="3"/>
    <s v="VALIDATED"/>
    <n v="1"/>
    <s v="01.11.80.203.6100.0000"/>
    <n v="47.22"/>
    <s v="11"/>
    <s v="6100"/>
    <n v="-32425.63"/>
    <n v="47.22"/>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
    <d v="2023-07-03T19:04:58"/>
    <s v="Y"/>
    <s v="Preparation - drafting attendance n"/>
    <s v="VHCC"/>
    <s v="Profit Cost"/>
    <s v="JML"/>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8"/>
    <d v="2023-07-03T19:04:58"/>
    <s v="Y"/>
    <s v="Preparation - other"/>
    <s v="VHCC"/>
    <s v="Profit Cost"/>
    <s v="JML 65"/>
    <s v="Y"/>
    <n v="23.61"/>
    <n v="4.72"/>
    <x v="3"/>
    <s v="VALIDATED"/>
    <n v="1"/>
    <s v="01.11.80.203.6100.0000"/>
    <n v="23.61"/>
    <s v="11"/>
    <s v="6100"/>
    <n v="-32425.63"/>
    <n v="23.61"/>
    <s v="DEBTOR"/>
    <n v="0"/>
    <n v="0"/>
    <n v="0"/>
    <n v="0"/>
    <n v="0"/>
  </r>
  <r>
    <n v="8733210"/>
    <s v="N"/>
    <n v="21403533"/>
    <s v="3000004746670021"/>
    <s v="CIVIL"/>
    <d v="2023-06-06T00:00:00"/>
    <d v="2023-07-20T19:22:20"/>
    <m/>
    <d v="2023-07-20T00:00:00"/>
    <n v="1878"/>
    <n v="1547"/>
    <s v="8733210"/>
    <s v="8733210"/>
    <m/>
    <m/>
    <n v="22629506"/>
    <m/>
    <m/>
    <m/>
    <s v="SOLFIN"/>
    <s v="SOLFIN"/>
    <s v="CCMS"/>
    <n v="21403533"/>
    <n v="4211.9"/>
    <m/>
    <s v="N"/>
    <n v="73"/>
    <d v="2023-07-20T19:22:42"/>
    <s v="Y"/>
    <s v="Attendance upon other"/>
    <s v="Non Family Hourly Rates"/>
    <s v="Profit Cost"/>
    <s v="BSS"/>
    <s v="Y"/>
    <n v="18.9"/>
    <n v="3.78"/>
    <x v="13"/>
    <s v="VALIDATED"/>
    <n v="1"/>
    <s v="01.11.80.201.6100.0000"/>
    <n v="18.9"/>
    <s v="11"/>
    <s v="6100"/>
    <n v="-32425.63"/>
    <n v="18.9"/>
    <s v="DEBTOR"/>
    <n v="0"/>
    <n v="0"/>
    <n v="0"/>
    <n v="0"/>
    <n v="0"/>
  </r>
  <r>
    <n v="8733210"/>
    <s v="N"/>
    <n v="21403533"/>
    <s v="3000004746670021"/>
    <s v="CIVIL"/>
    <d v="2023-06-06T00:00:00"/>
    <d v="2023-07-20T19:22:20"/>
    <m/>
    <d v="2023-07-20T00:00:00"/>
    <n v="1878"/>
    <n v="1547"/>
    <s v="8733210"/>
    <s v="8733210"/>
    <m/>
    <m/>
    <n v="22629506"/>
    <m/>
    <m/>
    <m/>
    <s v="SOLFIN"/>
    <s v="SOLFIN"/>
    <s v="CCMS"/>
    <n v="21403533"/>
    <n v="4211.9"/>
    <m/>
    <s v="N"/>
    <n v="85"/>
    <d v="2023-07-20T19:22:42"/>
    <s v="Y"/>
    <s v="Preparation - other"/>
    <s v="Non Family Hourly Rates"/>
    <s v="Profit Cost"/>
    <s v="BSS"/>
    <s v="Y"/>
    <n v="12.6"/>
    <n v="2.52"/>
    <x v="13"/>
    <s v="VALIDATED"/>
    <n v="1"/>
    <s v="01.11.80.201.6100.0000"/>
    <n v="12.6"/>
    <s v="11"/>
    <s v="6100"/>
    <n v="-32425.63"/>
    <n v="12.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1"/>
    <d v="2023-07-03T19:04:58"/>
    <s v="Y"/>
    <s v="Attendance upon other"/>
    <s v="VHCC"/>
    <s v="Profit Cost"/>
    <s v="JML 65"/>
    <s v="Y"/>
    <n v="118.06"/>
    <n v="23.61"/>
    <x v="3"/>
    <s v="VALIDATED"/>
    <n v="1"/>
    <s v="01.11.80.203.6100.0000"/>
    <n v="118.06"/>
    <s v="11"/>
    <s v="6100"/>
    <n v="-32425.63"/>
    <n v="118.0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2"/>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9"/>
    <d v="2023-07-03T19:04:58"/>
    <s v="Y"/>
    <s v="Attendance upon other"/>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0"/>
    <d v="2023-07-03T19:04:58"/>
    <s v="Y"/>
    <s v="Preparation - drafting attendance n"/>
    <s v="VHCC"/>
    <s v="Profit Cost"/>
    <s v="JML"/>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2"/>
    <d v="2023-07-03T19:04:58"/>
    <s v="Y"/>
    <s v="Preparation - drafting bill/claim f"/>
    <s v="VHCC"/>
    <s v="Profit Cost"/>
    <s v="JML"/>
    <s v="Y"/>
    <n v="35.78"/>
    <n v="7.16"/>
    <x v="3"/>
    <s v="VALIDATED"/>
    <n v="1"/>
    <s v="01.11.80.203.6100.0000"/>
    <n v="35.78"/>
    <s v="11"/>
    <s v="6100"/>
    <n v="-32425.63"/>
    <n v="35.7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3"/>
    <d v="2023-07-03T19:04:58"/>
    <s v="Y"/>
    <s v="Attendance upon other"/>
    <s v="VHCC"/>
    <s v="Profit Cost"/>
    <s v="JML 65"/>
    <s v="Y"/>
    <n v="35.42"/>
    <n v="7.08"/>
    <x v="3"/>
    <s v="VALIDATED"/>
    <n v="1"/>
    <s v="01.11.80.203.6100.0000"/>
    <n v="35.42"/>
    <s v="11"/>
    <s v="6100"/>
    <n v="-32425.63"/>
    <n v="35.42"/>
    <s v="DEBTOR"/>
    <n v="0"/>
    <n v="0"/>
    <n v="0"/>
    <n v="0"/>
    <n v="0"/>
  </r>
  <r>
    <n v="61742173"/>
    <s v="N"/>
    <n v="21319086"/>
    <s v="3000015815100003"/>
    <s v="CIVIL"/>
    <d v="2023-06-23T00:00:00"/>
    <d v="2023-07-03T19:01:49"/>
    <m/>
    <d v="2023-07-03T00:00:00"/>
    <n v="1878"/>
    <n v="1547"/>
    <s v="61742173"/>
    <s v="61742173"/>
    <m/>
    <m/>
    <n v="22750850"/>
    <m/>
    <m/>
    <m/>
    <s v="SOLFIN"/>
    <s v="SOLFIN"/>
    <s v="CCMS"/>
    <n v="21319086"/>
    <n v="5246"/>
    <m/>
    <s v="N"/>
    <n v="13"/>
    <d v="2023-07-03T19:02:10"/>
    <s v="Y"/>
    <s v="Preparation - other"/>
    <s v="Prescribed Hourly Rates"/>
    <s v="Profit Cost"/>
    <s v="MAE 15"/>
    <s v="Y"/>
    <n v="27.32"/>
    <n v="5.46"/>
    <x v="3"/>
    <s v="VALIDATED"/>
    <n v="1"/>
    <s v="01.11.80.305.6100.0000"/>
    <n v="27.32"/>
    <s v="11"/>
    <s v="6100"/>
    <n v="-32425.63"/>
    <n v="27.3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8"/>
    <d v="2023-07-10T19:01:45"/>
    <s v="Y"/>
    <s v="Preparation - other"/>
    <s v="Care Remuneration Hourly Rates"/>
    <s v="Profit Cost"/>
    <s v="AGI 30"/>
    <s v="Y"/>
    <n v="35.91"/>
    <n v="7.18"/>
    <x v="2"/>
    <s v="VALIDATED"/>
    <n v="1"/>
    <s v="01.11.80.308.6100.0000"/>
    <n v="35.91"/>
    <s v="11"/>
    <s v="6100"/>
    <n v="-32425.63"/>
    <n v="35.9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5"/>
    <d v="2023-07-10T19:01:45"/>
    <s v="Y"/>
    <s v="Preparation - drafting instructions"/>
    <s v="Care Remuneration Hourly Rates"/>
    <s v="Profit Cost"/>
    <s v="JBL 30"/>
    <s v="Y"/>
    <n v="35.91"/>
    <n v="7.18"/>
    <x v="2"/>
    <s v="VALIDATED"/>
    <n v="1"/>
    <s v="01.11.80.308.6100.0000"/>
    <n v="35.91"/>
    <s v="11"/>
    <s v="6100"/>
    <n v="-32425.63"/>
    <n v="35.9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1"/>
    <d v="2023-07-10T19:01:45"/>
    <s v="Y"/>
    <s v="Preparation - other"/>
    <s v="Care Remuneration Hourly Rates"/>
    <s v="Profit Cost"/>
    <s v="JBL"/>
    <s v="Y"/>
    <n v="63.53"/>
    <n v="12.71"/>
    <x v="2"/>
    <s v="VALIDATED"/>
    <n v="1"/>
    <s v="01.11.80.308.6100.0000"/>
    <n v="63.53"/>
    <s v="11"/>
    <s v="6100"/>
    <n v="-32425.63"/>
    <n v="63.5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7"/>
    <d v="2023-07-10T19:02:05"/>
    <s v="Y"/>
    <s v="Attendance upon client"/>
    <s v="Non Family Hourly Rates"/>
    <s v="Profit Cost"/>
    <s v="LG"/>
    <s v="Y"/>
    <n v="193.19"/>
    <n v="0"/>
    <x v="2"/>
    <s v="VALIDATED"/>
    <n v="1"/>
    <s v="01.11.80.203.6100.0000"/>
    <n v="193.19"/>
    <s v="11"/>
    <s v="6100"/>
    <n v="-32425.63"/>
    <n v="193.1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6"/>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4"/>
    <d v="2023-07-10T19:02:05"/>
    <s v="Y"/>
    <s v="Attendance upon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9"/>
    <d v="2023-07-10T19:02:05"/>
    <s v="Y"/>
    <s v="Preparation - other"/>
    <s v="Non Family Hourly Rates"/>
    <s v="Profit Cost"/>
    <s v="CB"/>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1"/>
    <d v="2023-07-10T19:02:05"/>
    <s v="Y"/>
    <s v="Attendance upon other"/>
    <s v="Non Family Hourly Rates"/>
    <s v="Profit Cost"/>
    <s v="LG"/>
    <s v="Y"/>
    <n v="21.47"/>
    <n v="0"/>
    <x v="2"/>
    <s v="VALIDATED"/>
    <n v="1"/>
    <s v="01.11.80.203.6100.0000"/>
    <n v="21.47"/>
    <s v="11"/>
    <s v="6100"/>
    <n v="-32425.63"/>
    <n v="21.4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2"/>
    <d v="2023-07-06T19:21:25"/>
    <s v="Y"/>
    <s v="Preparation - other"/>
    <s v="Care Remuneration Hourly Rates"/>
    <s v="Profit Cost"/>
    <s v="NBS 25"/>
    <s v="Y"/>
    <n v="7.68"/>
    <n v="1.54"/>
    <x v="4"/>
    <s v="VALIDATED"/>
    <n v="1"/>
    <s v="01.11.80.308.6100.0000"/>
    <n v="7.68"/>
    <s v="11"/>
    <s v="6100"/>
    <n v="-32425.63"/>
    <n v="7.6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3"/>
    <d v="2023-07-06T19:21:25"/>
    <s v="Y"/>
    <s v="Routine Telephone Call"/>
    <s v="Care Remuneration Hourly Rates"/>
    <s v="Profit Cost"/>
    <s v="NBS"/>
    <s v="Y"/>
    <n v="12.73"/>
    <n v="2.55"/>
    <x v="4"/>
    <s v="VALIDATED"/>
    <n v="1"/>
    <s v="01.11.80.308.6100.0000"/>
    <n v="12.73"/>
    <s v="11"/>
    <s v="6100"/>
    <n v="-32425.63"/>
    <n v="12.7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8"/>
    <d v="2023-07-05T19:02:06"/>
    <s v="Y"/>
    <s v="Preparation - other"/>
    <s v="VHCC"/>
    <s v="Profit Cost"/>
    <s v="SHL 60"/>
    <s v="Y"/>
    <n v="22.9"/>
    <n v="4.58"/>
    <x v="6"/>
    <s v="VALIDATED"/>
    <n v="1"/>
    <s v="01.11.80.203.6100.0000"/>
    <n v="22.9"/>
    <s v="11"/>
    <s v="6100"/>
    <n v="-32425.63"/>
    <n v="22.9"/>
    <s v="DEBTOR"/>
    <n v="0"/>
    <n v="0"/>
    <n v="0"/>
    <n v="0"/>
    <n v="0"/>
  </r>
  <r>
    <n v="59677260"/>
    <s v="N"/>
    <n v="21331257"/>
    <s v="3000014052440026"/>
    <s v="CIVIL"/>
    <d v="2023-06-30T00:00:00"/>
    <d v="2023-07-05T19:01:47"/>
    <m/>
    <d v="2023-07-05T00:00:00"/>
    <n v="1878"/>
    <n v="1547"/>
    <s v="59677260"/>
    <s v="59677260"/>
    <m/>
    <m/>
    <n v="22798826"/>
    <m/>
    <m/>
    <m/>
    <s v="SOLINT"/>
    <s v="SOLINT"/>
    <s v="CCMS"/>
    <n v="21331257"/>
    <n v="4736.2"/>
    <m/>
    <s v="N"/>
    <n v="44"/>
    <d v="2023-07-05T19:02:12"/>
    <s v="Y"/>
    <s v="Preparation - drafting attendance n"/>
    <s v="VHCC"/>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6"/>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9"/>
    <d v="2023-07-05T19:01:55"/>
    <s v="Y"/>
    <s v="Preparation - other"/>
    <s v="Non Family Hourly Rates"/>
    <s v="Profit Cost"/>
    <s v="HRL 50"/>
    <s v="Y"/>
    <n v="193.19"/>
    <n v="38.64"/>
    <x v="6"/>
    <s v="VALIDATED"/>
    <n v="1"/>
    <s v="01.11.80.203.6100.0000"/>
    <n v="193.19"/>
    <s v="11"/>
    <s v="6100"/>
    <n v="-32425.63"/>
    <n v="193.1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6"/>
    <d v="2023-07-05T19:01:55"/>
    <s v="Y"/>
    <s v="Preparation - other"/>
    <s v="Non Family Hourly Rates"/>
    <s v="Profit Cost"/>
    <s v="CBD"/>
    <s v="Y"/>
    <n v="35.78"/>
    <n v="7.16"/>
    <x v="6"/>
    <s v="VALIDATED"/>
    <n v="1"/>
    <s v="01.11.80.203.6100.0000"/>
    <n v="35.78"/>
    <s v="11"/>
    <s v="6100"/>
    <n v="-32425.63"/>
    <n v="35.78"/>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6"/>
    <d v="2023-07-03T19:04:58"/>
    <s v="Y"/>
    <s v="Preparation - other"/>
    <s v="VHCC"/>
    <s v="Profit Cost"/>
    <s v="JML 65"/>
    <s v="Y"/>
    <n v="82.64"/>
    <n v="16.53"/>
    <x v="3"/>
    <s v="VALIDATED"/>
    <n v="1"/>
    <s v="01.11.80.203.6100.0000"/>
    <n v="82.64"/>
    <s v="11"/>
    <s v="6100"/>
    <n v="-32425.63"/>
    <n v="82.6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4"/>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6"/>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4"/>
    <d v="2023-07-03T19:04:58"/>
    <s v="Y"/>
    <s v="Preparation - drafting attendance n"/>
    <s v="VHCC"/>
    <s v="Profit Cost"/>
    <s v="LGR"/>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6"/>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7"/>
    <d v="2023-07-03T19:04:58"/>
    <s v="Y"/>
    <s v="Preparation - other"/>
    <s v="VHCC"/>
    <s v="Profit Cost"/>
    <s v="JML"/>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2"/>
    <d v="2023-07-03T19:04:58"/>
    <s v="Y"/>
    <s v="Item - Routine Telephone Call"/>
    <s v="VHCC"/>
    <s v="Profit Cost"/>
    <s v="JML"/>
    <s v="Y"/>
    <n v="153.34"/>
    <n v="30.67"/>
    <x v="3"/>
    <s v="VALIDATED"/>
    <n v="1"/>
    <s v="01.11.80.203.6100.0000"/>
    <n v="153.34"/>
    <s v="11"/>
    <s v="6100"/>
    <n v="-32425.63"/>
    <n v="153.3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5"/>
    <d v="2023-07-03T19:04:58"/>
    <s v="Y"/>
    <s v="Preparation - other"/>
    <s v="VHCC"/>
    <s v="Profit Cost"/>
    <s v="JML 65"/>
    <s v="Y"/>
    <n v="177.09"/>
    <n v="35.41"/>
    <x v="3"/>
    <s v="VALIDATED"/>
    <n v="1"/>
    <s v="01.11.80.203.6100.0000"/>
    <n v="177.09"/>
    <s v="11"/>
    <s v="6100"/>
    <n v="-32425.63"/>
    <n v="177.0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
    <d v="2023-07-03T19:04:58"/>
    <s v="Y"/>
    <s v="Attendance upon client"/>
    <s v="VHCC"/>
    <s v="Profit Cost"/>
    <s v="JML 65"/>
    <s v="Y"/>
    <n v="23.05"/>
    <n v="4.61"/>
    <x v="3"/>
    <s v="VALIDATED"/>
    <n v="1"/>
    <s v="01.11.80.203.6100.0000"/>
    <n v="23.05"/>
    <s v="11"/>
    <s v="6100"/>
    <n v="-32425.63"/>
    <n v="23.0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
    <d v="2023-07-03T19:04:58"/>
    <s v="Y"/>
    <s v="Preparation - other"/>
    <s v="VHCC"/>
    <s v="Profit Cost"/>
    <s v="JML"/>
    <s v="Y"/>
    <n v="7.16"/>
    <n v="1.43"/>
    <x v="3"/>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42"/>
    <d v="2023-07-20T19:22:42"/>
    <s v="Y"/>
    <s v="Preparation - other"/>
    <s v="Non Family Hourly Rates"/>
    <s v="Profit Cost"/>
    <s v="BSS"/>
    <s v="Y"/>
    <n v="6.3"/>
    <n v="1.26"/>
    <x v="13"/>
    <s v="VALIDATED"/>
    <n v="1"/>
    <s v="01.11.80.201.6100.0000"/>
    <n v="6.3"/>
    <s v="11"/>
    <s v="6100"/>
    <n v="-32425.63"/>
    <n v="6.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5"/>
    <d v="2023-07-10T19:02:05"/>
    <s v="Y"/>
    <s v="Preparation - other"/>
    <s v="Non Family Hourly Rates"/>
    <s v="Profit Cost"/>
    <s v="CB"/>
    <s v="Y"/>
    <n v="118.07"/>
    <n v="0"/>
    <x v="2"/>
    <s v="VALIDATED"/>
    <n v="1"/>
    <s v="01.11.80.203.6100.0000"/>
    <n v="118.07"/>
    <s v="11"/>
    <s v="6100"/>
    <n v="-32425.63"/>
    <n v="118.0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6"/>
    <d v="2023-07-10T19:02:05"/>
    <s v="Y"/>
    <s v="Attendance upon client"/>
    <s v="Non Family Hourly Rates"/>
    <s v="Profit Cost"/>
    <s v="LG"/>
    <s v="Y"/>
    <n v="225.39"/>
    <n v="0"/>
    <x v="2"/>
    <s v="VALIDATED"/>
    <n v="1"/>
    <s v="01.11.80.203.6100.0000"/>
    <n v="225.39"/>
    <s v="11"/>
    <s v="6100"/>
    <n v="-32425.63"/>
    <n v="225.3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9"/>
    <d v="2023-07-10T19:02:05"/>
    <s v="Y"/>
    <s v="Attendance upon client"/>
    <s v="Non Family Hourly Rates"/>
    <s v="Profit Cost"/>
    <s v="CB"/>
    <s v="Y"/>
    <n v="21.47"/>
    <n v="0"/>
    <x v="2"/>
    <s v="VALIDATED"/>
    <n v="1"/>
    <s v="01.11.80.203.6100.0000"/>
    <n v="21.47"/>
    <s v="11"/>
    <s v="6100"/>
    <n v="-32425.63"/>
    <n v="21.47"/>
    <s v="DEBTOR"/>
    <n v="0"/>
    <n v="0"/>
    <n v="0"/>
    <n v="0"/>
    <n v="0"/>
  </r>
  <r>
    <n v="59677260"/>
    <s v="N"/>
    <n v="21331198"/>
    <s v="3000014052440025"/>
    <s v="CIVIL"/>
    <d v="2023-06-30T00:00:00"/>
    <d v="2023-07-05T19:01:47"/>
    <m/>
    <d v="2023-07-05T00:00:00"/>
    <n v="1878"/>
    <n v="1547"/>
    <s v="59677260"/>
    <s v="59677260"/>
    <m/>
    <m/>
    <n v="22798388"/>
    <m/>
    <m/>
    <m/>
    <s v="SOLINT"/>
    <s v="SOLINT"/>
    <s v="CCMS"/>
    <n v="21331198"/>
    <n v="5452.01"/>
    <m/>
    <s v="N"/>
    <n v="7"/>
    <d v="2023-07-05T19:02:09"/>
    <s v="Y"/>
    <s v="Preparation - other"/>
    <s v="VHCC"/>
    <s v="Profit Cost"/>
    <s v="GLE 60"/>
    <s v="Y"/>
    <n v="45.79"/>
    <n v="9.16"/>
    <x v="6"/>
    <s v="VALIDATED"/>
    <n v="1"/>
    <s v="01.11.80.203.6100.0000"/>
    <n v="45.79"/>
    <s v="11"/>
    <s v="6100"/>
    <n v="-32425.63"/>
    <n v="45.7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02"/>
    <d v="2023-07-10T19:01:45"/>
    <s v="Y"/>
    <s v="Interim Hearing Court Bundle/Advoca"/>
    <s v="Public Law Children"/>
    <s v="Advocacy"/>
    <s v="JBL"/>
    <s v="Y"/>
    <n v="89.09999999999999"/>
    <n v="17.82"/>
    <x v="2"/>
    <s v="VALIDATED"/>
    <n v="1"/>
    <s v="01.11.80.308.6100.0000"/>
    <n v="89.09999999999999"/>
    <s v="11"/>
    <s v="6100"/>
    <n v="-32425.63"/>
    <n v="89.099999999999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
    <d v="2023-07-10T19:01:45"/>
    <s v="N"/>
    <s v="Preparation - drafting statement"/>
    <s v="Care Remuneration Hourly Rates"/>
    <s v="Profit Cost"/>
    <s v="JBL 30"/>
    <s v="N"/>
    <n v="57.45"/>
    <n v="11.49"/>
    <x v="2"/>
    <s v="VALIDATED"/>
    <n v="1"/>
    <s v="01.11.80.308.6100.0000"/>
    <n v="57.45"/>
    <s v="11"/>
    <s v="6100"/>
    <n v="-32425.63"/>
    <n v="57.45"/>
    <s v="DEBTOR"/>
    <n v="0"/>
    <n v="0"/>
    <n v="0"/>
    <n v="0"/>
    <n v="0"/>
  </r>
  <r>
    <n v="60685898"/>
    <s v="N"/>
    <n v="21349821"/>
    <s v="3000014935390001"/>
    <s v="CIVIL"/>
    <d v="2023-06-30T00:00:00"/>
    <d v="2023-07-10T19:01:40"/>
    <m/>
    <d v="2023-07-10T00:00:00"/>
    <n v="1878"/>
    <n v="1547"/>
    <s v="60685898"/>
    <s v="60685898"/>
    <m/>
    <m/>
    <n v="22795014"/>
    <m/>
    <m/>
    <m/>
    <s v="SOLFIN"/>
    <s v="SOLFIN"/>
    <s v="CCMS"/>
    <n v="21349821"/>
    <n v="0"/>
    <m/>
    <s v="N"/>
    <n v="1"/>
    <d v="2023-07-10T19:01:58"/>
    <s v="N"/>
    <s v="NIL BILL"/>
    <s v="Public Law Children"/>
    <s v="Profit Cost"/>
    <s v="MARY ANN EDWARDS"/>
    <s v="N"/>
    <n v="0"/>
    <n v="0"/>
    <x v="2"/>
    <s v="VALIDATED"/>
    <n v="1"/>
    <s v="01.11.80.308.6100.0000"/>
    <n v="0"/>
    <s v="11"/>
    <s v="6100"/>
    <n v="-32425.63"/>
    <n v="0"/>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6"/>
    <d v="2023-07-05T19:01:55"/>
    <s v="Y"/>
    <s v="Preparation - other"/>
    <s v="Non Family Hourly Rates"/>
    <s v="Profit Cost"/>
    <s v="HRL 50"/>
    <s v="Y"/>
    <n v="214.65"/>
    <n v="42.93"/>
    <x v="6"/>
    <s v="VALIDATED"/>
    <n v="1"/>
    <s v="01.11.80.203.6100.0000"/>
    <n v="214.65"/>
    <s v="11"/>
    <s v="6100"/>
    <n v="-32425.63"/>
    <n v="214.6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5"/>
    <d v="2023-07-05T19:02:06"/>
    <s v="Y"/>
    <s v="Preparation - other"/>
    <s v="VHCC"/>
    <s v="Profit Cost"/>
    <s v="PFA 60"/>
    <s v="Y"/>
    <n v="22.9"/>
    <n v="4.58"/>
    <x v="6"/>
    <s v="VALIDATED"/>
    <n v="1"/>
    <s v="01.11.80.203.6100.0000"/>
    <n v="22.9"/>
    <s v="11"/>
    <s v="6100"/>
    <n v="-32425.63"/>
    <n v="22.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9"/>
    <d v="2023-07-05T19:02:09"/>
    <s v="Y"/>
    <s v="Preparation - drafting attendance n"/>
    <s v="VHCC"/>
    <s v="Profit Cost"/>
    <s v="SHL"/>
    <s v="Y"/>
    <n v="128.79"/>
    <n v="25.76"/>
    <x v="6"/>
    <s v="VALIDATED"/>
    <n v="1"/>
    <s v="01.11.80.203.6100.0000"/>
    <n v="128.79"/>
    <s v="11"/>
    <s v="6100"/>
    <n v="-32425.63"/>
    <n v="128.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9"/>
    <d v="2023-07-05T19:02:06"/>
    <s v="Y"/>
    <s v="Preparation - other"/>
    <s v="VHCC"/>
    <s v="Profit Cost"/>
    <s v="SHL"/>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0"/>
    <d v="2023-07-05T19:02:06"/>
    <s v="Y"/>
    <s v="Attendance upon other"/>
    <s v="VHCC"/>
    <s v="Profit Cost"/>
    <s v="SHL"/>
    <s v="Y"/>
    <n v="71.55"/>
    <n v="14.31"/>
    <x v="6"/>
    <s v="VALIDATED"/>
    <n v="1"/>
    <s v="01.11.80.203.6100.0000"/>
    <n v="71.55"/>
    <s v="11"/>
    <s v="6100"/>
    <n v="-32425.63"/>
    <n v="71.55"/>
    <s v="DEBTOR"/>
    <n v="0"/>
    <n v="0"/>
    <n v="0"/>
    <n v="0"/>
    <n v="0"/>
  </r>
  <r>
    <n v="62126224"/>
    <s v="N"/>
    <n v="21319856"/>
    <s v="3000016143450001"/>
    <s v="CIVIL"/>
    <d v="2023-06-28T00:00:00"/>
    <d v="2023-07-03T19:04:24"/>
    <m/>
    <d v="2023-07-03T00:00:00"/>
    <n v="1878"/>
    <n v="1547"/>
    <s v="62126224"/>
    <s v="62126224"/>
    <m/>
    <m/>
    <n v="22775924"/>
    <m/>
    <m/>
    <m/>
    <s v="SOLPOA"/>
    <s v="SOLPOA"/>
    <s v="CCMS"/>
    <n v="21319856"/>
    <n v="7035.47"/>
    <m/>
    <s v="N"/>
    <n v="1"/>
    <d v="2023-07-03T19:04:28"/>
    <s v="N"/>
    <s v="Profit Cost"/>
    <s v="Profit Cost"/>
    <s v="Profit Cost"/>
    <s v="SHAUN LIVINGSTON"/>
    <s v="N"/>
    <n v="5862.89"/>
    <n v="1172.58"/>
    <x v="3"/>
    <s v="VALIDATED"/>
    <n v="1"/>
    <s v="01.11.80.203.2012.0000"/>
    <n v="5862.89"/>
    <s v="11"/>
    <s v="2012"/>
    <n v="-32425.63"/>
    <n v="5862.89"/>
    <s v="DEBTOR"/>
    <n v="0"/>
    <n v="0"/>
    <n v="0"/>
    <n v="0"/>
    <n v="0"/>
  </r>
  <r>
    <n v="60872476"/>
    <s v="N"/>
    <n v="21321235"/>
    <s v="3000015056780015"/>
    <s v="CIVIL"/>
    <d v="2023-06-29T00:00:00"/>
    <d v="2023-07-03T19:05:17"/>
    <m/>
    <d v="2023-07-03T00:00:00"/>
    <n v="1878"/>
    <n v="1547"/>
    <s v="60872476"/>
    <s v="60872476"/>
    <m/>
    <m/>
    <n v="22786532"/>
    <m/>
    <m/>
    <m/>
    <s v="SOLPOA"/>
    <s v="SOLPOA"/>
    <s v="CCMS"/>
    <n v="21321235"/>
    <n v="2078.2"/>
    <m/>
    <s v="N"/>
    <n v="1"/>
    <d v="2023-07-03T19:05:17"/>
    <s v="N"/>
    <s v="Profit Cost"/>
    <s v="Profit Cost"/>
    <s v="Profit Cost"/>
    <s v="MJS"/>
    <s v="N"/>
    <n v="1731.83"/>
    <n v="346.37"/>
    <x v="3"/>
    <s v="VALIDATED"/>
    <n v="1"/>
    <s v="01.11.80.203.2012.0000"/>
    <n v="1731.83"/>
    <s v="11"/>
    <s v="2012"/>
    <n v="-32425.63"/>
    <n v="1731.8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4"/>
    <d v="2023-07-03T19:04:58"/>
    <s v="Y"/>
    <s v="Preparation - other"/>
    <s v="VHCC"/>
    <s v="Profit Cost"/>
    <s v="JML"/>
    <s v="Y"/>
    <n v="42.93"/>
    <n v="8.59"/>
    <x v="3"/>
    <s v="VALIDATED"/>
    <n v="1"/>
    <s v="01.11.80.203.6100.0000"/>
    <n v="42.93"/>
    <s v="11"/>
    <s v="6100"/>
    <n v="-32425.63"/>
    <n v="42.9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0"/>
    <d v="2023-07-03T19:04:58"/>
    <s v="Y"/>
    <s v="Preparation - drafting statement"/>
    <s v="VHCC"/>
    <s v="Profit Cost"/>
    <s v="JML 65"/>
    <s v="Y"/>
    <n v="188.9"/>
    <n v="37.78"/>
    <x v="3"/>
    <s v="VALIDATED"/>
    <n v="1"/>
    <s v="01.11.80.203.6100.0000"/>
    <n v="188.9"/>
    <s v="11"/>
    <s v="6100"/>
    <n v="-32425.63"/>
    <n v="188.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9"/>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5"/>
    <d v="2023-07-03T19:04:58"/>
    <s v="Y"/>
    <s v="Preparation - other"/>
    <s v="VHCC"/>
    <s v="Profit Cost"/>
    <s v="JML 65"/>
    <s v="Y"/>
    <n v="188.9"/>
    <n v="37.78"/>
    <x v="3"/>
    <s v="VALIDATED"/>
    <n v="1"/>
    <s v="01.11.80.203.6100.0000"/>
    <n v="188.9"/>
    <s v="11"/>
    <s v="6100"/>
    <n v="-32425.63"/>
    <n v="188.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1"/>
    <d v="2023-07-03T19:04:58"/>
    <s v="Y"/>
    <s v="Attendance upon other"/>
    <s v="VHCC"/>
    <s v="Profit Cost"/>
    <s v="PFA"/>
    <s v="Y"/>
    <n v="100.17"/>
    <n v="20.03"/>
    <x v="3"/>
    <s v="VALIDATED"/>
    <n v="1"/>
    <s v="01.11.80.203.6100.0000"/>
    <n v="100.17"/>
    <s v="11"/>
    <s v="6100"/>
    <n v="-32425.63"/>
    <n v="100.1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9"/>
    <d v="2023-07-03T19:04:58"/>
    <s v="Y"/>
    <s v="Preparation - other"/>
    <s v="VHCC"/>
    <s v="Profit Cost"/>
    <s v="JML"/>
    <s v="Y"/>
    <n v="35.78"/>
    <n v="7.16"/>
    <x v="3"/>
    <s v="VALIDATED"/>
    <n v="1"/>
    <s v="01.11.80.203.6100.0000"/>
    <n v="35.78"/>
    <s v="11"/>
    <s v="6100"/>
    <n v="-32425.63"/>
    <n v="35.78"/>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5"/>
    <d v="2023-07-18T19:00:56"/>
    <s v="Y"/>
    <s v="Preparation - other"/>
    <s v="Non Family Hourly Rates"/>
    <s v="Profit Cost"/>
    <s v="MSK"/>
    <s v="Y"/>
    <n v="14.31"/>
    <n v="2.86"/>
    <x v="14"/>
    <s v="VALIDATED"/>
    <n v="1"/>
    <s v="01.11.80.203.6100.0000"/>
    <n v="14.31"/>
    <s v="11"/>
    <s v="6100"/>
    <n v="-32425.63"/>
    <n v="14.31"/>
    <s v="DEBTOR"/>
    <n v="0"/>
    <n v="0"/>
    <n v="0"/>
    <n v="0"/>
    <n v="0"/>
  </r>
  <r>
    <n v="8733210"/>
    <s v="N"/>
    <n v="21403533"/>
    <s v="3000004746670021"/>
    <s v="CIVIL"/>
    <d v="2023-06-06T00:00:00"/>
    <d v="2023-07-20T19:22:20"/>
    <m/>
    <d v="2023-07-20T00:00:00"/>
    <n v="1878"/>
    <n v="1547"/>
    <s v="8733210"/>
    <s v="8733210"/>
    <m/>
    <m/>
    <n v="22629506"/>
    <m/>
    <m/>
    <m/>
    <s v="SOLFIN"/>
    <s v="SOLFIN"/>
    <s v="CCMS"/>
    <n v="21403533"/>
    <n v="4211.9"/>
    <m/>
    <s v="N"/>
    <n v="69"/>
    <d v="2023-07-20T19:22:42"/>
    <s v="Y"/>
    <s v="Preparation - other"/>
    <s v="Non Family Hourly Rates"/>
    <s v="Profit Cost"/>
    <s v="BSS"/>
    <s v="Y"/>
    <n v="18.9"/>
    <n v="3.78"/>
    <x v="13"/>
    <s v="VALIDATED"/>
    <n v="1"/>
    <s v="01.11.80.201.6100.0000"/>
    <n v="18.9"/>
    <s v="11"/>
    <s v="6100"/>
    <n v="-32425.63"/>
    <n v="18.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9"/>
    <d v="2023-07-10T19:01:45"/>
    <s v="Y"/>
    <s v="Advocates Meeting"/>
    <s v="Public Law Children"/>
    <s v="Advocacy"/>
    <s v="JBL"/>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7"/>
    <d v="2023-07-10T19:01:45"/>
    <s v="Y"/>
    <s v="Preparation - other"/>
    <s v="Care Remuneration Hourly Rates"/>
    <s v="Profit Cost"/>
    <s v="AGI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4"/>
    <d v="2023-07-10T19:02:05"/>
    <s v="Y"/>
    <s v="Attendance upon client"/>
    <s v="Non Family Hourly Rates"/>
    <s v="Profit Cost"/>
    <s v="LG"/>
    <s v="Y"/>
    <n v="53.67"/>
    <n v="0"/>
    <x v="2"/>
    <s v="VALIDATED"/>
    <n v="1"/>
    <s v="01.11.80.203.6100.0000"/>
    <n v="53.67"/>
    <s v="11"/>
    <s v="6100"/>
    <n v="-32425.63"/>
    <n v="53.6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5"/>
    <d v="2023-07-05T19:02:06"/>
    <s v="Y"/>
    <s v="Preparation - other"/>
    <s v="VHCC"/>
    <s v="Profit Cost"/>
    <s v="SHL 60"/>
    <s v="Y"/>
    <n v="57.24"/>
    <n v="11.45"/>
    <x v="6"/>
    <s v="VALIDATED"/>
    <n v="1"/>
    <s v="01.11.80.203.6100.0000"/>
    <n v="57.24"/>
    <s v="11"/>
    <s v="6100"/>
    <n v="-32425.63"/>
    <n v="57.2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3"/>
    <d v="2023-07-05T19:02:06"/>
    <s v="Y"/>
    <s v="Preparation - other"/>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0"/>
    <d v="2023-07-05T19:02:06"/>
    <s v="Y"/>
    <s v="Preparation - other"/>
    <s v="VHCC"/>
    <s v="Profit Cost"/>
    <s v="GLE 60"/>
    <s v="Y"/>
    <n v="22.9"/>
    <n v="4.58"/>
    <x v="6"/>
    <s v="VALIDATED"/>
    <n v="1"/>
    <s v="01.11.80.203.6100.0000"/>
    <n v="22.9"/>
    <s v="11"/>
    <s v="6100"/>
    <n v="-32425.63"/>
    <n v="22.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0"/>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5"/>
    <d v="2023-07-05T19:01:55"/>
    <s v="Y"/>
    <s v="Preparation - other"/>
    <s v="Non Family Hourly Rates"/>
    <s v="Profit Cost"/>
    <s v="GLE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6"/>
    <d v="2023-07-05T19:01:55"/>
    <s v="Y"/>
    <s v="Preparation - other"/>
    <s v="Non Family Hourly Rates"/>
    <s v="Profit Cost"/>
    <s v="GLE"/>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2"/>
    <d v="2023-07-05T19:01:55"/>
    <s v="Y"/>
    <s v="Preparation - drafting instructions"/>
    <s v="Non Family Hourly Rates"/>
    <s v="Profit Cost"/>
    <s v="HRL 50"/>
    <s v="Y"/>
    <n v="161"/>
    <n v="32.2"/>
    <x v="6"/>
    <s v="VALIDATED"/>
    <n v="1"/>
    <s v="01.11.80.203.6100.0000"/>
    <n v="161"/>
    <s v="11"/>
    <s v="6100"/>
    <n v="-32425.63"/>
    <n v="1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5"/>
    <d v="2023-07-03T19:04:58"/>
    <s v="Y"/>
    <s v="Attendance upon court with counsel"/>
    <s v="VHCC"/>
    <s v="Profit Cost"/>
    <s v="JML"/>
    <s v="Y"/>
    <n v="23.31"/>
    <n v="4.66"/>
    <x v="3"/>
    <s v="VALIDATED"/>
    <n v="1"/>
    <s v="01.11.80.203.6100.0000"/>
    <n v="23.31"/>
    <s v="11"/>
    <s v="6100"/>
    <n v="-32425.63"/>
    <n v="23.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9"/>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7"/>
    <d v="2023-07-03T19:04:58"/>
    <s v="N"/>
    <m/>
    <m/>
    <s v="Overall Adjustment"/>
    <m/>
    <s v="N"/>
    <n v="-0.5600000000000001"/>
    <n v="-0.11"/>
    <x v="3"/>
    <s v="VALIDATED"/>
    <n v="1"/>
    <s v="01.11.80.203.6100.0000"/>
    <n v="-0.5600000000000001"/>
    <s v="11"/>
    <s v="6100"/>
    <n v="-32425.63"/>
    <n v="-0.560000000000000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0"/>
    <d v="2023-07-03T19:04:58"/>
    <s v="Y"/>
    <s v="Preparation - other"/>
    <s v="VHCC"/>
    <s v="Profit Cost"/>
    <s v="JML"/>
    <s v="Y"/>
    <n v="14.31"/>
    <n v="2.86"/>
    <x v="3"/>
    <s v="VALIDATED"/>
    <n v="1"/>
    <s v="01.11.80.203.6100.0000"/>
    <n v="14.31"/>
    <s v="11"/>
    <s v="6100"/>
    <n v="-32425.63"/>
    <n v="14.31"/>
    <s v="DEBTOR"/>
    <n v="0"/>
    <n v="0"/>
    <n v="0"/>
    <n v="0"/>
    <n v="0"/>
  </r>
  <r>
    <n v="61742173"/>
    <s v="N"/>
    <n v="21319086"/>
    <s v="3000015815100003"/>
    <s v="CIVIL"/>
    <d v="2023-06-23T00:00:00"/>
    <d v="2023-07-03T19:01:49"/>
    <m/>
    <d v="2023-07-03T00:00:00"/>
    <n v="1878"/>
    <n v="1547"/>
    <s v="61742173"/>
    <s v="61742173"/>
    <m/>
    <m/>
    <n v="22750850"/>
    <m/>
    <m/>
    <m/>
    <s v="SOLFIN"/>
    <s v="SOLFIN"/>
    <s v="CCMS"/>
    <n v="21319086"/>
    <n v="5246"/>
    <m/>
    <s v="N"/>
    <n v="55"/>
    <d v="2023-07-03T19:02:10"/>
    <s v="Y"/>
    <s v="Preparation - other"/>
    <s v="Prescribed Hourly Rates"/>
    <s v="Profit Cost"/>
    <s v="MAE 15"/>
    <s v="Y"/>
    <n v="13.66"/>
    <n v="2.73"/>
    <x v="3"/>
    <s v="VALIDATED"/>
    <n v="1"/>
    <s v="01.11.80.305.6100.0000"/>
    <n v="13.66"/>
    <s v="11"/>
    <s v="6100"/>
    <n v="-32425.63"/>
    <n v="13.66"/>
    <s v="DEBTOR"/>
    <n v="0"/>
    <n v="0"/>
    <n v="0"/>
    <n v="0"/>
    <n v="0"/>
  </r>
  <r>
    <n v="8733210"/>
    <s v="N"/>
    <n v="21403533"/>
    <s v="3000004746670021"/>
    <s v="CIVIL"/>
    <d v="2023-06-06T00:00:00"/>
    <d v="2023-07-20T19:22:20"/>
    <m/>
    <d v="2023-07-20T00:00:00"/>
    <n v="1878"/>
    <n v="1547"/>
    <s v="8733210"/>
    <s v="8733210"/>
    <m/>
    <m/>
    <n v="22629506"/>
    <m/>
    <m/>
    <m/>
    <s v="SOLFIN"/>
    <s v="SOLFIN"/>
    <s v="CCMS"/>
    <n v="21403533"/>
    <n v="4211.9"/>
    <m/>
    <s v="N"/>
    <n v="32"/>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34"/>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48"/>
    <d v="2023-07-20T19:22:42"/>
    <s v="Y"/>
    <s v="Preparation - other"/>
    <s v="Non Family Hourly Rates"/>
    <s v="Profit Cost"/>
    <s v="BSS"/>
    <s v="Y"/>
    <n v="6.3"/>
    <n v="1.26"/>
    <x v="13"/>
    <s v="VALIDATED"/>
    <n v="1"/>
    <s v="01.11.80.201.6100.0000"/>
    <n v="6.3"/>
    <s v="11"/>
    <s v="6100"/>
    <n v="-32425.63"/>
    <n v="6.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7"/>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8"/>
    <d v="2023-07-10T19:02:05"/>
    <s v="Y"/>
    <s v="Preparation - drafting statement"/>
    <s v="Non Family Hourly Rates"/>
    <s v="Profit Cost"/>
    <s v="CB"/>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5"/>
    <d v="2023-07-10T19:02:05"/>
    <s v="Y"/>
    <s v="Preparation - other"/>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1"/>
    <d v="2023-07-10T19:02:05"/>
    <s v="Y"/>
    <s v="Preparation - other"/>
    <s v="Non Family Hourly Rates"/>
    <s v="Profit Cost"/>
    <s v="CB"/>
    <s v="Y"/>
    <n v="10.74"/>
    <n v="0"/>
    <x v="2"/>
    <s v="VALIDATED"/>
    <n v="1"/>
    <s v="01.11.80.203.6100.0000"/>
    <n v="10.74"/>
    <s v="11"/>
    <s v="6100"/>
    <n v="-32425.63"/>
    <n v="10.7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4"/>
    <d v="2023-07-10T19:01:45"/>
    <s v="Y"/>
    <s v="Preparation - other"/>
    <s v="Care Remuneration Hourly Rates"/>
    <s v="Profit Cost"/>
    <s v="JBL 30"/>
    <s v="Y"/>
    <n v="107.72"/>
    <n v="21.54"/>
    <x v="2"/>
    <s v="VALIDATED"/>
    <n v="1"/>
    <s v="01.11.80.308.6100.0000"/>
    <n v="107.72"/>
    <s v="11"/>
    <s v="6100"/>
    <n v="-32425.63"/>
    <n v="107.7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2"/>
    <d v="2023-07-10T19:01:45"/>
    <s v="Y"/>
    <s v="Attendance upon client"/>
    <s v="Care Remuneration Hourly Rates"/>
    <s v="Profit Cost"/>
    <s v="AGI 30"/>
    <s v="Y"/>
    <n v="35.91"/>
    <n v="7.18"/>
    <x v="2"/>
    <s v="VALIDATED"/>
    <n v="1"/>
    <s v="01.11.80.308.6100.0000"/>
    <n v="35.91"/>
    <s v="11"/>
    <s v="6100"/>
    <n v="-32425.63"/>
    <n v="35.9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48"/>
    <d v="2023-07-10T19:01:45"/>
    <s v="Y"/>
    <s v="Preparation - other"/>
    <s v="Care Remuneration Hourly Rates"/>
    <s v="Profit Cost"/>
    <s v="JBL 30"/>
    <s v="Y"/>
    <n v="28.73"/>
    <n v="5.75"/>
    <x v="2"/>
    <s v="VALIDATED"/>
    <n v="1"/>
    <s v="01.11.80.308.6100.0000"/>
    <n v="28.73"/>
    <s v="11"/>
    <s v="6100"/>
    <n v="-32425.63"/>
    <n v="28.7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
    <d v="2023-07-10T19:02:05"/>
    <s v="Y"/>
    <s v="Interpreter"/>
    <s v="Non Family Hourly Rates"/>
    <s v="Expert Disbursement"/>
    <s v="XXX"/>
    <s v="Y"/>
    <n v="12.5"/>
    <n v="2.5"/>
    <x v="2"/>
    <s v="VALIDATED"/>
    <n v="1"/>
    <s v="01.11.80.203.6300.0000"/>
    <n v="12.5"/>
    <s v="11"/>
    <s v="6300"/>
    <n v="-32425.63"/>
    <n v="12.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
    <d v="2023-07-10T19:02:05"/>
    <s v="Y"/>
    <s v="Interpreter"/>
    <s v="Non Family Hourly Rates"/>
    <s v="Expert Disbursement"/>
    <s v="XXX"/>
    <s v="Y"/>
    <n v="57.91"/>
    <n v="11.58"/>
    <x v="2"/>
    <s v="VALIDATED"/>
    <n v="1"/>
    <s v="01.11.80.203.6300.0000"/>
    <n v="57.91"/>
    <s v="11"/>
    <s v="6300"/>
    <n v="-32425.63"/>
    <n v="57.91"/>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6"/>
    <d v="2023-07-06T19:21:25"/>
    <s v="Y"/>
    <s v="Preparation - other"/>
    <s v="Care Remuneration Hourly Rates"/>
    <s v="Profit Cost"/>
    <s v="NBS 25"/>
    <s v="Y"/>
    <n v="30.69"/>
    <n v="6.14"/>
    <x v="4"/>
    <s v="VALIDATED"/>
    <n v="1"/>
    <s v="01.11.80.308.6100.0000"/>
    <n v="30.69"/>
    <s v="11"/>
    <s v="6100"/>
    <n v="-32425.63"/>
    <n v="30.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9"/>
    <d v="2023-07-05T19:02:06"/>
    <s v="Y"/>
    <s v="Preparation - other"/>
    <s v="VHCC"/>
    <s v="Profit Cost"/>
    <s v="SHL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2"/>
    <d v="2023-07-05T19:02:06"/>
    <s v="Y"/>
    <s v="Attendance upon other"/>
    <s v="VHCC"/>
    <s v="Profit Cost"/>
    <s v="SHL 60"/>
    <s v="Y"/>
    <n v="228.96"/>
    <n v="45.79"/>
    <x v="6"/>
    <s v="VALIDATED"/>
    <n v="1"/>
    <s v="01.11.80.203.6100.0000"/>
    <n v="228.96"/>
    <s v="11"/>
    <s v="6100"/>
    <n v="-32425.63"/>
    <n v="228.9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
    <d v="2023-07-05T19:01:55"/>
    <s v="Y"/>
    <s v="Travel to attend client"/>
    <s v="Non Family Hourly Rates"/>
    <s v="Profit Cost"/>
    <s v="HRL 50"/>
    <s v="Y"/>
    <n v="89.79000000000001"/>
    <n v="17.96"/>
    <x v="6"/>
    <s v="VALIDATED"/>
    <n v="1"/>
    <s v="01.11.80.203.6100.0000"/>
    <n v="89.79000000000001"/>
    <s v="11"/>
    <s v="6100"/>
    <n v="-32425.63"/>
    <n v="89.79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3"/>
    <d v="2023-07-05T19:01:55"/>
    <s v="Y"/>
    <s v="Preparation - drafting attendance n"/>
    <s v="Non Family Hourly Rates"/>
    <s v="Profit Cost"/>
    <s v="HRL"/>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5"/>
    <d v="2023-07-05T19:01:55"/>
    <s v="Y"/>
    <s v="Preparation - drafting application"/>
    <s v="Non Family Hourly Rates"/>
    <s v="Profit Cost"/>
    <s v="HRL"/>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2"/>
    <d v="2023-07-05T19:01:55"/>
    <s v="Y"/>
    <s v="Attendance upon client"/>
    <s v="Non Family Hourly Rates"/>
    <s v="Profit Cost"/>
    <s v="HRL 50"/>
    <s v="Y"/>
    <n v="139.53"/>
    <n v="27.9"/>
    <x v="6"/>
    <s v="VALIDATED"/>
    <n v="1"/>
    <s v="01.11.80.203.6100.0000"/>
    <n v="139.53"/>
    <s v="11"/>
    <s v="6100"/>
    <n v="-32425.63"/>
    <n v="139.5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8"/>
    <d v="2023-07-05T19:01:55"/>
    <s v="Y"/>
    <s v="Preparation - drafting instructions"/>
    <s v="Non Family Hourly Rates"/>
    <s v="Profit Cost"/>
    <s v="HRL 50"/>
    <s v="Y"/>
    <n v="85.86"/>
    <n v="17.17"/>
    <x v="6"/>
    <s v="VALIDATED"/>
    <n v="1"/>
    <s v="01.11.80.203.6100.0000"/>
    <n v="85.86"/>
    <s v="11"/>
    <s v="6100"/>
    <n v="-32425.63"/>
    <n v="85.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9"/>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2"/>
    <d v="2023-07-05T19:01:55"/>
    <s v="Y"/>
    <s v="Preparation - other"/>
    <s v="Non Family Hourly Rates"/>
    <s v="Profit Cost"/>
    <s v="GLE"/>
    <s v="Y"/>
    <n v="35.78"/>
    <n v="7.16"/>
    <x v="6"/>
    <s v="VALIDATED"/>
    <n v="1"/>
    <s v="01.11.80.203.6100.0000"/>
    <n v="35.78"/>
    <s v="11"/>
    <s v="6100"/>
    <n v="-32425.63"/>
    <n v="35.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
    <d v="2023-07-05T19:01:55"/>
    <s v="Y"/>
    <s v="Preparation - other"/>
    <s v="Non Family Hourly Rates"/>
    <s v="Profit Cost"/>
    <s v="HRL 50"/>
    <s v="Y"/>
    <n v="21.47"/>
    <n v="4.29"/>
    <x v="6"/>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8"/>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0"/>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2"/>
    <d v="2023-07-03T19:04:58"/>
    <s v="Y"/>
    <s v="Preparation - drafting statement"/>
    <s v="VHCC"/>
    <s v="Profit Cost"/>
    <s v="JML 65"/>
    <s v="Y"/>
    <n v="70.84"/>
    <n v="14.17"/>
    <x v="3"/>
    <s v="VALIDATED"/>
    <n v="1"/>
    <s v="01.11.80.203.6100.0000"/>
    <n v="70.84"/>
    <s v="11"/>
    <s v="6100"/>
    <n v="-32425.63"/>
    <n v="70.8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9"/>
    <d v="2023-07-03T19:04:58"/>
    <s v="Y"/>
    <s v="Preparation - other"/>
    <s v="VHCC"/>
    <s v="Profit Cost"/>
    <s v="JML"/>
    <s v="Y"/>
    <n v="7.16"/>
    <n v="1.43"/>
    <x v="3"/>
    <s v="VALIDATED"/>
    <n v="1"/>
    <s v="01.11.80.203.6100.0000"/>
    <n v="7.16"/>
    <s v="11"/>
    <s v="6100"/>
    <n v="-32425.63"/>
    <n v="7.16"/>
    <s v="DEBTOR"/>
    <n v="0"/>
    <n v="0"/>
    <n v="0"/>
    <n v="0"/>
    <n v="0"/>
  </r>
  <r>
    <n v="59773071"/>
    <s v="N"/>
    <n v="21392646"/>
    <s v="3000014124260002"/>
    <s v="CIVIL"/>
    <d v="2023-06-14T00:00:00"/>
    <d v="2023-07-18T19:00:27"/>
    <m/>
    <d v="2023-07-18T00:00:00"/>
    <n v="1878"/>
    <n v="1547"/>
    <s v="59773071"/>
    <s v="59773071"/>
    <m/>
    <m/>
    <n v="22686976"/>
    <m/>
    <m/>
    <m/>
    <s v="SOLFIN"/>
    <s v="SOLFIN"/>
    <s v="CCMS"/>
    <n v="21392646"/>
    <n v="1220.15"/>
    <m/>
    <s v="N"/>
    <n v="34"/>
    <d v="2023-07-18T19:00:56"/>
    <s v="N"/>
    <m/>
    <m/>
    <s v="Overall Adjustment"/>
    <m/>
    <s v="N"/>
    <n v="-22.22"/>
    <n v="-4.44"/>
    <x v="14"/>
    <s v="VALIDATED"/>
    <n v="1"/>
    <s v="01.11.80.203.6100.0000"/>
    <n v="-22.22"/>
    <s v="11"/>
    <s v="6100"/>
    <n v="-32425.63"/>
    <n v="-22.22"/>
    <s v="DEBTOR"/>
    <n v="0"/>
    <n v="0"/>
    <n v="0"/>
    <n v="0"/>
    <n v="0"/>
  </r>
  <r>
    <n v="8733210"/>
    <s v="N"/>
    <n v="21403533"/>
    <s v="3000004746670021"/>
    <s v="CIVIL"/>
    <d v="2023-06-06T00:00:00"/>
    <d v="2023-07-20T19:22:20"/>
    <m/>
    <d v="2023-07-20T00:00:00"/>
    <n v="1878"/>
    <n v="1547"/>
    <s v="8733210"/>
    <s v="8733210"/>
    <m/>
    <m/>
    <n v="22629506"/>
    <m/>
    <m/>
    <m/>
    <s v="SOLFIN"/>
    <s v="SOLFIN"/>
    <s v="CCMS"/>
    <n v="21403533"/>
    <n v="4211.9"/>
    <m/>
    <s v="N"/>
    <n v="22"/>
    <d v="2023-07-20T19:22:42"/>
    <s v="Y"/>
    <s v="Preparation - drafting instructions"/>
    <s v="Non Family Hourly Rates"/>
    <s v="Profit Cost"/>
    <s v="TAY"/>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110"/>
    <d v="2023-07-20T19:22:42"/>
    <s v="Y"/>
    <s v="Preparation - drafting application"/>
    <s v="Non Family Hourly Rates"/>
    <s v="Profit Cost"/>
    <s v="JLA"/>
    <s v="Y"/>
    <n v="12.6"/>
    <n v="2.52"/>
    <x v="13"/>
    <s v="VALIDATED"/>
    <n v="1"/>
    <s v="01.11.80.201.6100.0000"/>
    <n v="12.6"/>
    <s v="11"/>
    <s v="6100"/>
    <n v="-32425.63"/>
    <n v="12.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8"/>
    <d v="2023-07-10T19:02:05"/>
    <s v="Y"/>
    <s v="Attendance upon/with Counsel at Con"/>
    <s v="Non Family Hourly Rates"/>
    <s v="Profit Cost"/>
    <s v="LG"/>
    <s v="Y"/>
    <n v="16.65"/>
    <n v="0"/>
    <x v="2"/>
    <s v="VALIDATED"/>
    <n v="1"/>
    <s v="01.11.80.203.6100.0000"/>
    <n v="16.65"/>
    <s v="11"/>
    <s v="6100"/>
    <n v="-32425.63"/>
    <n v="16.6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5"/>
    <d v="2023-07-10T19:02:05"/>
    <s v="Y"/>
    <s v="Preparation -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1"/>
    <d v="2023-07-10T19:02:05"/>
    <s v="Y"/>
    <s v="Preparation - drafting statement"/>
    <s v="Non Family Hourly Rates"/>
    <s v="Profit Cost"/>
    <s v="LG"/>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0"/>
    <d v="2023-07-10T19:02:05"/>
    <s v="Y"/>
    <s v="Preparation - other"/>
    <s v="Non Family Hourly Rates"/>
    <s v="Profit Cost"/>
    <s v="CB"/>
    <s v="Y"/>
    <n v="14.31"/>
    <n v="0"/>
    <x v="2"/>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3"/>
    <d v="2023-07-05T19:02:06"/>
    <s v="Y"/>
    <s v="Preparation - drafting statement"/>
    <s v="VHCC"/>
    <s v="Profit Cost"/>
    <s v="GLE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5"/>
    <d v="2023-07-05T19:02:06"/>
    <s v="Y"/>
    <s v="Preparation - drafting consent orde"/>
    <s v="VHCC"/>
    <s v="Profit Cost"/>
    <s v="SHL 60"/>
    <s v="Y"/>
    <n v="22.9"/>
    <n v="4.58"/>
    <x v="6"/>
    <s v="VALIDATED"/>
    <n v="1"/>
    <s v="01.11.80.203.6100.0000"/>
    <n v="22.9"/>
    <s v="11"/>
    <s v="6100"/>
    <n v="-32425.63"/>
    <n v="22.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6"/>
    <d v="2023-07-05T19:02:09"/>
    <s v="Y"/>
    <s v="Preparation - other"/>
    <s v="VHCC"/>
    <s v="Profit Cost"/>
    <s v="SHL 60"/>
    <s v="Y"/>
    <n v="11.45"/>
    <n v="2.29"/>
    <x v="6"/>
    <s v="VALIDATED"/>
    <n v="1"/>
    <s v="01.11.80.203.6100.0000"/>
    <n v="11.45"/>
    <s v="11"/>
    <s v="6100"/>
    <n v="-32425.63"/>
    <n v="11.4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4"/>
    <d v="2023-07-05T19:01:55"/>
    <s v="Y"/>
    <s v="Attendance upon other"/>
    <s v="Non Family Hourly Rates"/>
    <s v="Profit Cost"/>
    <s v="HRL 50"/>
    <s v="Y"/>
    <n v="75.14"/>
    <n v="15.03"/>
    <x v="6"/>
    <s v="VALIDATED"/>
    <n v="1"/>
    <s v="01.11.80.203.6100.0000"/>
    <n v="75.14"/>
    <s v="11"/>
    <s v="6100"/>
    <n v="-32425.63"/>
    <n v="75.14"/>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9"/>
    <d v="2023-07-06T19:21:25"/>
    <s v="Y"/>
    <s v="Preparation - other"/>
    <s v="Care Remuneration Hourly Rates"/>
    <s v="Profit Cost"/>
    <s v="NBS 25"/>
    <s v="Y"/>
    <n v="15.35"/>
    <n v="3.07"/>
    <x v="4"/>
    <s v="VALIDATED"/>
    <n v="1"/>
    <s v="01.11.80.308.6100.0000"/>
    <n v="15.35"/>
    <s v="11"/>
    <s v="6100"/>
    <n v="-32425.63"/>
    <n v="15.35"/>
    <s v="DEBTOR"/>
    <n v="0"/>
    <n v="0"/>
    <n v="0"/>
    <n v="0"/>
    <n v="0"/>
  </r>
  <r>
    <n v="61742173"/>
    <s v="N"/>
    <n v="21319086"/>
    <s v="3000015815100003"/>
    <s v="CIVIL"/>
    <d v="2023-06-23T00:00:00"/>
    <d v="2023-07-03T19:01:49"/>
    <m/>
    <d v="2023-07-03T00:00:00"/>
    <n v="1878"/>
    <n v="1547"/>
    <s v="61742173"/>
    <s v="61742173"/>
    <m/>
    <m/>
    <n v="22750850"/>
    <m/>
    <m/>
    <m/>
    <s v="SOLFIN"/>
    <s v="SOLFIN"/>
    <s v="CCMS"/>
    <n v="21319086"/>
    <n v="5246"/>
    <m/>
    <s v="N"/>
    <n v="17"/>
    <d v="2023-07-03T19:02:10"/>
    <s v="Y"/>
    <s v="Preparation - other"/>
    <s v="Prescribed Hourly Rates"/>
    <s v="Profit Cost"/>
    <s v="MAE 15"/>
    <s v="Y"/>
    <n v="6.83"/>
    <n v="1.37"/>
    <x v="3"/>
    <s v="VALIDATED"/>
    <n v="1"/>
    <s v="01.11.80.305.6100.0000"/>
    <n v="6.83"/>
    <s v="11"/>
    <s v="6100"/>
    <n v="-32425.63"/>
    <n v="6.8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3"/>
    <d v="2023-07-03T19:04:58"/>
    <s v="Y"/>
    <s v="Preparation - other"/>
    <s v="VHCC"/>
    <s v="Profit Cost"/>
    <s v="JML 65"/>
    <s v="Y"/>
    <n v="94.45"/>
    <n v="18.89"/>
    <x v="3"/>
    <s v="VALIDATED"/>
    <n v="1"/>
    <s v="01.11.80.203.6100.0000"/>
    <n v="94.45"/>
    <s v="11"/>
    <s v="6100"/>
    <n v="-32425.63"/>
    <n v="94.4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9"/>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9"/>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1"/>
    <d v="2023-07-03T19:04:58"/>
    <s v="Y"/>
    <s v="Waiting - other"/>
    <s v="VHCC"/>
    <s v="Profit Cost"/>
    <s v="MJS"/>
    <s v="Y"/>
    <n v="2.99"/>
    <n v="0.6"/>
    <x v="3"/>
    <s v="VALIDATED"/>
    <n v="1"/>
    <s v="01.11.80.203.6100.0000"/>
    <n v="2.99"/>
    <s v="11"/>
    <s v="6100"/>
    <n v="-32425.63"/>
    <n v="2.99"/>
    <s v="DEBTOR"/>
    <n v="0"/>
    <n v="0"/>
    <n v="0"/>
    <n v="0"/>
    <n v="0"/>
  </r>
  <r>
    <n v="8733210"/>
    <s v="N"/>
    <n v="21403533"/>
    <s v="3000004746670021"/>
    <s v="CIVIL"/>
    <d v="2023-06-06T00:00:00"/>
    <d v="2023-07-20T19:22:20"/>
    <m/>
    <d v="2023-07-20T00:00:00"/>
    <n v="1878"/>
    <n v="1547"/>
    <s v="8733210"/>
    <s v="8733210"/>
    <m/>
    <m/>
    <n v="22629506"/>
    <m/>
    <m/>
    <m/>
    <s v="SOLFIN"/>
    <s v="SOLFIN"/>
    <s v="CCMS"/>
    <n v="21403533"/>
    <n v="4211.9"/>
    <m/>
    <s v="N"/>
    <n v="113"/>
    <d v="2023-07-20T19:22:42"/>
    <s v="Y"/>
    <s v="Preparation - other"/>
    <s v="Non Family Hourly Rates"/>
    <s v="Profit Cost"/>
    <s v="GMT"/>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10"/>
    <d v="2023-07-20T19:22:42"/>
    <s v="N"/>
    <s v="Court Fee"/>
    <s v="Non Family Hourly Rates"/>
    <s v="Non Expert Disbursement"/>
    <s v="XXX"/>
    <s v="N"/>
    <n v="275"/>
    <n v="0"/>
    <x v="13"/>
    <s v="VALIDATED"/>
    <n v="1"/>
    <s v="01.11.80.201.6300.0000"/>
    <n v="275"/>
    <s v="11"/>
    <s v="6300"/>
    <n v="-32425.63"/>
    <n v="275"/>
    <s v="DEBTOR"/>
    <n v="0"/>
    <n v="0"/>
    <n v="0"/>
    <n v="0"/>
    <n v="0"/>
  </r>
  <r>
    <n v="8733210"/>
    <s v="N"/>
    <n v="21403533"/>
    <s v="3000004746670021"/>
    <s v="CIVIL"/>
    <d v="2023-06-06T00:00:00"/>
    <d v="2023-07-20T19:22:20"/>
    <m/>
    <d v="2023-07-20T00:00:00"/>
    <n v="1878"/>
    <n v="1547"/>
    <s v="8733210"/>
    <s v="8733210"/>
    <m/>
    <m/>
    <n v="22629506"/>
    <m/>
    <m/>
    <m/>
    <s v="SOLFIN"/>
    <s v="SOLFIN"/>
    <s v="CCMS"/>
    <n v="21403533"/>
    <n v="4211.9"/>
    <m/>
    <s v="N"/>
    <n v="47"/>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50"/>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89"/>
    <d v="2023-07-20T19:22:42"/>
    <s v="Y"/>
    <s v="Preparation - other"/>
    <s v="Non Family Hourly Rates"/>
    <s v="Profit Cost"/>
    <s v="BSS"/>
    <s v="Y"/>
    <n v="6.3"/>
    <n v="1.26"/>
    <x v="13"/>
    <s v="VALIDATED"/>
    <n v="1"/>
    <s v="01.11.80.201.6100.0000"/>
    <n v="6.3"/>
    <s v="11"/>
    <s v="6100"/>
    <n v="-32425.63"/>
    <n v="6.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0"/>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8"/>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1"/>
    <d v="2023-07-10T19:01:45"/>
    <s v="Y"/>
    <s v="Preparation - other"/>
    <s v="Care Remuneration Hourly Rates"/>
    <s v="Profit Cost"/>
    <s v="JBL 30"/>
    <s v="Y"/>
    <n v="1436.24"/>
    <n v="287.24"/>
    <x v="2"/>
    <s v="VALIDATED"/>
    <n v="1"/>
    <s v="01.11.80.308.6100.0000"/>
    <n v="1436.24"/>
    <s v="11"/>
    <s v="6100"/>
    <n v="-32425.63"/>
    <n v="1436.2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3"/>
    <d v="2023-07-10T19:01:45"/>
    <s v="Y"/>
    <s v="Preparation - drafting bill/claim f"/>
    <s v="Care Remuneration Hourly Rates"/>
    <s v="Profit Cost"/>
    <s v="LD"/>
    <s v="Y"/>
    <n v="1082.7"/>
    <n v="216.53"/>
    <x v="2"/>
    <s v="VALIDATED"/>
    <n v="1"/>
    <s v="01.11.80.308.6100.0000"/>
    <n v="1082.7"/>
    <s v="11"/>
    <s v="6100"/>
    <n v="-32425.63"/>
    <n v="1082.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
    <d v="2023-07-10T19:02:05"/>
    <s v="Y"/>
    <s v="Interpreter"/>
    <s v="Non Family Hourly Rates"/>
    <s v="Expert Disbursement"/>
    <s v="XXX"/>
    <s v="Y"/>
    <n v="14.58"/>
    <n v="2.92"/>
    <x v="2"/>
    <s v="VALIDATED"/>
    <n v="1"/>
    <s v="01.11.80.203.6300.0000"/>
    <n v="14.58"/>
    <s v="11"/>
    <s v="6300"/>
    <n v="-32425.63"/>
    <n v="14.5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0"/>
    <d v="2023-07-10T19:02:05"/>
    <s v="Y"/>
    <s v="Preparation - other"/>
    <s v="Non Family Hourly Rates"/>
    <s v="Profit Cost"/>
    <s v="LG"/>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1"/>
    <d v="2023-07-10T19:02:05"/>
    <s v="Y"/>
    <s v="Attendance upon client"/>
    <s v="Non Family Hourly Rates"/>
    <s v="Profit Cost"/>
    <s v="LG"/>
    <s v="Y"/>
    <n v="246.86"/>
    <n v="0"/>
    <x v="2"/>
    <s v="VALIDATED"/>
    <n v="1"/>
    <s v="01.11.80.203.6100.0000"/>
    <n v="246.86"/>
    <s v="11"/>
    <s v="6100"/>
    <n v="-32425.63"/>
    <n v="246.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2"/>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0"/>
    <d v="2023-07-05T19:01:55"/>
    <s v="Y"/>
    <s v="Preparation - other"/>
    <s v="Non Family Hourly Rates"/>
    <s v="Profit Cost"/>
    <s v="GLE"/>
    <s v="Y"/>
    <n v="28.62"/>
    <n v="5.72"/>
    <x v="6"/>
    <s v="VALIDATED"/>
    <n v="1"/>
    <s v="01.11.80.203.6100.0000"/>
    <n v="28.62"/>
    <s v="11"/>
    <s v="6100"/>
    <n v="-32425.63"/>
    <n v="28.6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5"/>
    <d v="2023-07-05T19:01:55"/>
    <s v="Y"/>
    <s v="Preparation - drafting statement"/>
    <s v="Non Family Hourly Rates"/>
    <s v="Profit Cost"/>
    <s v="HRL 50"/>
    <s v="Y"/>
    <n v="161"/>
    <n v="32.2"/>
    <x v="6"/>
    <s v="VALIDATED"/>
    <n v="1"/>
    <s v="01.11.80.203.6100.0000"/>
    <n v="161"/>
    <s v="11"/>
    <s v="6100"/>
    <n v="-32425.63"/>
    <n v="161"/>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9"/>
    <d v="2023-07-06T19:21:25"/>
    <s v="Y"/>
    <s v="Advocates Meeting"/>
    <s v="Other Public Law Children"/>
    <s v="Advocacy"/>
    <s v="NBS"/>
    <s v="Y"/>
    <n v="140.99"/>
    <n v="28.2"/>
    <x v="4"/>
    <s v="VALIDATED"/>
    <n v="1"/>
    <s v="01.11.80.308.6100.0000"/>
    <n v="140.99"/>
    <s v="11"/>
    <s v="6100"/>
    <n v="-32425.63"/>
    <n v="140.9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6"/>
    <d v="2023-07-05T19:02:06"/>
    <s v="Y"/>
    <s v="Waiting - other"/>
    <s v="VHCC"/>
    <s v="Profit Cost"/>
    <s v="SHL"/>
    <s v="Y"/>
    <n v="5.99"/>
    <n v="1.2"/>
    <x v="6"/>
    <s v="VALIDATED"/>
    <n v="1"/>
    <s v="01.11.80.203.6100.0000"/>
    <n v="5.99"/>
    <s v="11"/>
    <s v="6100"/>
    <n v="-32425.63"/>
    <n v="5.9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1"/>
    <d v="2023-07-05T19:02:06"/>
    <s v="Y"/>
    <s v="Preparation - drafting attendance n"/>
    <s v="VHCC"/>
    <s v="Profit Cost"/>
    <s v="SHL 60"/>
    <s v="Y"/>
    <n v="91.58"/>
    <n v="18.32"/>
    <x v="6"/>
    <s v="VALIDATED"/>
    <n v="1"/>
    <s v="01.11.80.203.6100.0000"/>
    <n v="91.58"/>
    <s v="11"/>
    <s v="6100"/>
    <n v="-32425.63"/>
    <n v="91.5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6"/>
    <d v="2023-07-05T19:02:06"/>
    <s v="Y"/>
    <s v="Preparation - drafting instructions"/>
    <s v="VHCC"/>
    <s v="Profit Cost"/>
    <s v="SHL 60"/>
    <s v="Y"/>
    <n v="297.65"/>
    <n v="59.53"/>
    <x v="6"/>
    <s v="VALIDATED"/>
    <n v="1"/>
    <s v="01.11.80.203.6100.0000"/>
    <n v="297.65"/>
    <s v="11"/>
    <s v="6100"/>
    <n v="-32425.63"/>
    <n v="297.65"/>
    <s v="DEBTOR"/>
    <n v="0"/>
    <n v="0"/>
    <n v="0"/>
    <n v="0"/>
    <n v="0"/>
  </r>
  <r>
    <n v="59677260"/>
    <s v="N"/>
    <n v="21331257"/>
    <s v="3000014052440026"/>
    <s v="CIVIL"/>
    <d v="2023-06-30T00:00:00"/>
    <d v="2023-07-05T19:01:47"/>
    <m/>
    <d v="2023-07-05T00:00:00"/>
    <n v="1878"/>
    <n v="1547"/>
    <s v="59677260"/>
    <s v="59677260"/>
    <m/>
    <m/>
    <n v="22798826"/>
    <m/>
    <m/>
    <m/>
    <s v="SOLINT"/>
    <s v="SOLINT"/>
    <s v="CCMS"/>
    <n v="21331257"/>
    <n v="4736.2"/>
    <m/>
    <s v="N"/>
    <n v="48"/>
    <d v="2023-07-05T19:02:12"/>
    <s v="Y"/>
    <s v="Preparation - other"/>
    <s v="VHCC"/>
    <s v="Profit Cost"/>
    <s v="NOR 60"/>
    <s v="Y"/>
    <n v="11.45"/>
    <n v="2.29"/>
    <x v="6"/>
    <s v="VALIDATED"/>
    <n v="1"/>
    <s v="01.11.80.203.6100.0000"/>
    <n v="11.45"/>
    <s v="11"/>
    <s v="6100"/>
    <n v="-32425.63"/>
    <n v="11.45"/>
    <s v="DEBTOR"/>
    <n v="0"/>
    <n v="0"/>
    <n v="0"/>
    <n v="0"/>
    <n v="0"/>
  </r>
  <r>
    <n v="59677260"/>
    <s v="N"/>
    <n v="21331257"/>
    <s v="3000014052440026"/>
    <s v="CIVIL"/>
    <d v="2023-06-30T00:00:00"/>
    <d v="2023-07-05T19:01:47"/>
    <m/>
    <d v="2023-07-05T00:00:00"/>
    <n v="1878"/>
    <n v="1547"/>
    <s v="59677260"/>
    <s v="59677260"/>
    <m/>
    <m/>
    <n v="22798826"/>
    <m/>
    <m/>
    <m/>
    <s v="SOLINT"/>
    <s v="SOLINT"/>
    <s v="CCMS"/>
    <n v="21331257"/>
    <n v="4736.2"/>
    <m/>
    <s v="N"/>
    <n v="15"/>
    <d v="2023-07-05T19:02:12"/>
    <s v="Y"/>
    <s v="Preparation - other"/>
    <s v="VHCC"/>
    <s v="Profit Cost"/>
    <s v="GLE"/>
    <s v="Y"/>
    <n v="14.31"/>
    <n v="2.86"/>
    <x v="6"/>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8"/>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3"/>
    <d v="2023-07-10T19:02:05"/>
    <s v="Y"/>
    <s v="Preparation - drafting attendance n"/>
    <s v="Non Family Hourly Rates"/>
    <s v="Profit Cost"/>
    <s v="LG"/>
    <s v="Y"/>
    <n v="7.16"/>
    <n v="0"/>
    <x v="2"/>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4"/>
    <d v="2023-07-10T19:01:45"/>
    <s v="Y"/>
    <s v="Preparation - drafting bill/claim f"/>
    <s v="Care Remuneration Hourly Rates"/>
    <s v="Profit Cost"/>
    <s v="AGI"/>
    <s v="Y"/>
    <n v="63.53"/>
    <n v="12.71"/>
    <x v="2"/>
    <s v="VALIDATED"/>
    <n v="1"/>
    <s v="01.11.80.308.6100.0000"/>
    <n v="63.53"/>
    <s v="11"/>
    <s v="6100"/>
    <n v="-32425.63"/>
    <n v="63.5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6"/>
    <d v="2023-07-10T19:01:45"/>
    <s v="Y"/>
    <s v="Hearing Unit 2.31 - 5.00 Hours"/>
    <s v="Public Law Children"/>
    <s v="Advocacy"/>
    <s v="JBL"/>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5"/>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2"/>
    <d v="2023-07-10T19:01:45"/>
    <s v="Y"/>
    <s v="Preparation - drafting attendance n"/>
    <s v="Care Remuneration Hourly Rates"/>
    <s v="Profit Cost"/>
    <s v="AMA"/>
    <s v="Y"/>
    <n v="11.05"/>
    <n v="2.21"/>
    <x v="2"/>
    <s v="VALIDATED"/>
    <n v="1"/>
    <s v="01.11.80.308.6100.0000"/>
    <n v="11.05"/>
    <s v="11"/>
    <s v="6100"/>
    <n v="-32425.63"/>
    <n v="11.0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6"/>
    <d v="2023-07-10T19:01:45"/>
    <s v="Y"/>
    <s v="Preparation - other"/>
    <s v="Care Remuneration Hourly Rates"/>
    <s v="Profit Cost"/>
    <s v="JBL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1"/>
    <d v="2023-07-10T19:02:05"/>
    <s v="Y"/>
    <s v="Preparation - other"/>
    <s v="Non Family Hourly Rates"/>
    <s v="Profit Cost"/>
    <s v="CB"/>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2"/>
    <d v="2023-07-10T19:02:05"/>
    <s v="Y"/>
    <s v="Preparation - other"/>
    <s v="Non Family Hourly Rates"/>
    <s v="Profit Cost"/>
    <s v="LG"/>
    <s v="Y"/>
    <n v="85.86"/>
    <n v="0"/>
    <x v="2"/>
    <s v="VALIDATED"/>
    <n v="1"/>
    <s v="01.11.80.203.6100.0000"/>
    <n v="85.86"/>
    <s v="11"/>
    <s v="6100"/>
    <n v="-32425.63"/>
    <n v="85.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3"/>
    <d v="2023-07-05T19:01:55"/>
    <s v="Y"/>
    <s v="Preparation - other"/>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6"/>
    <d v="2023-07-05T19:01:55"/>
    <s v="Y"/>
    <s v="Preparation - other"/>
    <s v="Non Family Hourly Rates"/>
    <s v="Profit Cost"/>
    <s v="HRL"/>
    <s v="Y"/>
    <n v="35.78"/>
    <n v="7.16"/>
    <x v="6"/>
    <s v="VALIDATED"/>
    <n v="1"/>
    <s v="01.11.80.203.6100.0000"/>
    <n v="35.78"/>
    <s v="11"/>
    <s v="6100"/>
    <n v="-32425.63"/>
    <n v="35.7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2"/>
    <d v="2023-07-05T19:02:06"/>
    <s v="Y"/>
    <s v="Preparation - other"/>
    <s v="VHCC"/>
    <s v="Profit Cost"/>
    <s v="SHL 60"/>
    <s v="Y"/>
    <n v="91.58"/>
    <n v="18.32"/>
    <x v="6"/>
    <s v="VALIDATED"/>
    <n v="1"/>
    <s v="01.11.80.203.6100.0000"/>
    <n v="91.58"/>
    <s v="11"/>
    <s v="6100"/>
    <n v="-32425.63"/>
    <n v="91.5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4"/>
    <d v="2023-07-05T19:02:09"/>
    <s v="Y"/>
    <s v="Preparation - other"/>
    <s v="VHCC"/>
    <s v="Profit Cost"/>
    <s v="GLE"/>
    <s v="Y"/>
    <n v="71.55"/>
    <n v="14.31"/>
    <x v="6"/>
    <s v="VALIDATED"/>
    <n v="1"/>
    <s v="01.11.80.203.6100.0000"/>
    <n v="71.55"/>
    <s v="11"/>
    <s v="6100"/>
    <n v="-32425.63"/>
    <n v="71.5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7"/>
    <d v="2023-07-05T19:02:06"/>
    <s v="Y"/>
    <s v="Preparation - other"/>
    <s v="VHCC"/>
    <s v="Profit Cost"/>
    <s v="SHL 60"/>
    <s v="Y"/>
    <n v="34.34"/>
    <n v="6.87"/>
    <x v="6"/>
    <s v="VALIDATED"/>
    <n v="1"/>
    <s v="01.11.80.203.6100.0000"/>
    <n v="34.34"/>
    <s v="11"/>
    <s v="6100"/>
    <n v="-32425.63"/>
    <n v="34.34"/>
    <s v="DEBTOR"/>
    <n v="0"/>
    <n v="0"/>
    <n v="0"/>
    <n v="0"/>
    <n v="0"/>
  </r>
  <r>
    <n v="59677260"/>
    <s v="N"/>
    <n v="21331257"/>
    <s v="3000014052440026"/>
    <s v="CIVIL"/>
    <d v="2023-06-30T00:00:00"/>
    <d v="2023-07-05T19:01:47"/>
    <m/>
    <d v="2023-07-05T00:00:00"/>
    <n v="1878"/>
    <n v="1547"/>
    <s v="59677260"/>
    <s v="59677260"/>
    <m/>
    <m/>
    <n v="22798826"/>
    <m/>
    <m/>
    <m/>
    <s v="SOLINT"/>
    <s v="SOLINT"/>
    <s v="CCMS"/>
    <n v="21331257"/>
    <n v="4736.2"/>
    <m/>
    <s v="N"/>
    <n v="7"/>
    <d v="2023-07-05T19:02:12"/>
    <s v="Y"/>
    <s v="Preparation - other"/>
    <s v="VHCC"/>
    <s v="Profit Cost"/>
    <s v="SHL"/>
    <s v="Y"/>
    <n v="7.16"/>
    <n v="1.43"/>
    <x v="6"/>
    <s v="VALIDATED"/>
    <n v="1"/>
    <s v="01.11.80.203.6100.0000"/>
    <n v="7.16"/>
    <s v="11"/>
    <s v="6100"/>
    <n v="-32425.63"/>
    <n v="7.16"/>
    <s v="DEBTOR"/>
    <n v="0"/>
    <n v="0"/>
    <n v="0"/>
    <n v="0"/>
    <n v="0"/>
  </r>
  <r>
    <n v="59677260"/>
    <s v="N"/>
    <n v="21331257"/>
    <s v="3000014052440026"/>
    <s v="CIVIL"/>
    <d v="2023-06-30T00:00:00"/>
    <d v="2023-07-05T19:01:47"/>
    <m/>
    <d v="2023-07-05T00:00:00"/>
    <n v="1878"/>
    <n v="1547"/>
    <s v="59677260"/>
    <s v="59677260"/>
    <m/>
    <m/>
    <n v="22798826"/>
    <m/>
    <m/>
    <m/>
    <s v="SOLINT"/>
    <s v="SOLINT"/>
    <s v="CCMS"/>
    <n v="21331257"/>
    <n v="4736.2"/>
    <m/>
    <s v="N"/>
    <n v="18"/>
    <d v="2023-07-05T19:02:12"/>
    <s v="Y"/>
    <s v="Preparation - other"/>
    <s v="VHCC"/>
    <s v="Profit Cost"/>
    <s v="GLE 60"/>
    <s v="Y"/>
    <n v="45.79"/>
    <n v="9.16"/>
    <x v="6"/>
    <s v="VALIDATED"/>
    <n v="1"/>
    <s v="01.11.80.203.6100.0000"/>
    <n v="45.79"/>
    <s v="11"/>
    <s v="6100"/>
    <n v="-32425.63"/>
    <n v="45.7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8"/>
    <d v="2023-07-03T19:04:58"/>
    <s v="Y"/>
    <s v="Waiting at court"/>
    <s v="VHCC"/>
    <s v="Profit Cost"/>
    <s v="MJS"/>
    <s v="Y"/>
    <n v="23.94"/>
    <n v="4.79"/>
    <x v="3"/>
    <s v="VALIDATED"/>
    <n v="1"/>
    <s v="01.11.80.203.6100.0000"/>
    <n v="23.94"/>
    <s v="11"/>
    <s v="6100"/>
    <n v="-32425.63"/>
    <n v="23.9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6"/>
    <d v="2023-07-03T19:04:58"/>
    <s v="Y"/>
    <s v="Psychiatrist"/>
    <s v="VHCC"/>
    <s v="Expert Disbursement"/>
    <s v="JML"/>
    <s v="Y"/>
    <n v="81"/>
    <n v="16.2"/>
    <x v="3"/>
    <s v="VALIDATED"/>
    <n v="1"/>
    <s v="01.11.80.203.6300.0000"/>
    <n v="81"/>
    <s v="11"/>
    <s v="6300"/>
    <n v="-32425.63"/>
    <n v="81"/>
    <s v="DEBTOR"/>
    <n v="0"/>
    <n v="0"/>
    <n v="0"/>
    <n v="0"/>
    <n v="0"/>
  </r>
  <r>
    <n v="61742173"/>
    <s v="N"/>
    <n v="21319086"/>
    <s v="3000015815100003"/>
    <s v="CIVIL"/>
    <d v="2023-06-23T00:00:00"/>
    <d v="2023-07-03T19:01:49"/>
    <m/>
    <d v="2023-07-03T00:00:00"/>
    <n v="1878"/>
    <n v="1547"/>
    <s v="61742173"/>
    <s v="61742173"/>
    <m/>
    <m/>
    <n v="22750850"/>
    <m/>
    <m/>
    <m/>
    <s v="SOLFIN"/>
    <s v="SOLFIN"/>
    <s v="CCMS"/>
    <n v="21319086"/>
    <n v="5246"/>
    <m/>
    <s v="N"/>
    <n v="14"/>
    <d v="2023-07-03T19:02:10"/>
    <s v="Y"/>
    <s v="Preparation - other"/>
    <s v="Prescribed Hourly Rates"/>
    <s v="Profit Cost"/>
    <s v="MAE 15"/>
    <s v="Y"/>
    <n v="6.83"/>
    <n v="1.37"/>
    <x v="3"/>
    <s v="VALIDATED"/>
    <n v="1"/>
    <s v="01.11.80.305.6100.0000"/>
    <n v="6.83"/>
    <s v="11"/>
    <s v="6100"/>
    <n v="-32425.63"/>
    <n v="6.83"/>
    <s v="DEBTOR"/>
    <n v="0"/>
    <n v="0"/>
    <n v="0"/>
    <n v="0"/>
    <n v="0"/>
  </r>
  <r>
    <n v="61742173"/>
    <s v="N"/>
    <n v="21319086"/>
    <s v="3000015815100003"/>
    <s v="CIVIL"/>
    <d v="2023-06-23T00:00:00"/>
    <d v="2023-07-03T19:01:49"/>
    <m/>
    <d v="2023-07-03T00:00:00"/>
    <n v="1878"/>
    <n v="1547"/>
    <s v="61742173"/>
    <s v="61742173"/>
    <m/>
    <m/>
    <n v="22750850"/>
    <m/>
    <m/>
    <m/>
    <s v="SOLFIN"/>
    <s v="SOLFIN"/>
    <s v="CCMS"/>
    <n v="21319086"/>
    <n v="5246"/>
    <m/>
    <s v="N"/>
    <n v="38"/>
    <d v="2023-07-03T19:02:10"/>
    <s v="Y"/>
    <s v="Preparation - other"/>
    <s v="Prescribed Hourly Rates"/>
    <s v="Profit Cost"/>
    <s v="MAE 15"/>
    <s v="Y"/>
    <n v="13.66"/>
    <n v="2.73"/>
    <x v="3"/>
    <s v="VALIDATED"/>
    <n v="1"/>
    <s v="01.11.80.305.6100.0000"/>
    <n v="13.66"/>
    <s v="11"/>
    <s v="6100"/>
    <n v="-32425.63"/>
    <n v="13.6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4"/>
    <d v="2023-07-03T19:04:58"/>
    <s v="Y"/>
    <s v="Preparation - other"/>
    <s v="VHCC"/>
    <s v="Profit Cost"/>
    <s v="JML 65"/>
    <s v="Y"/>
    <n v="23.61"/>
    <n v="4.72"/>
    <x v="3"/>
    <s v="VALIDATED"/>
    <n v="1"/>
    <s v="01.11.80.203.6100.0000"/>
    <n v="23.61"/>
    <s v="11"/>
    <s v="6100"/>
    <n v="-32425.63"/>
    <n v="23.61"/>
    <s v="DEBTOR"/>
    <n v="0"/>
    <n v="0"/>
    <n v="0"/>
    <n v="0"/>
    <n v="0"/>
  </r>
  <r>
    <n v="8733210"/>
    <s v="N"/>
    <n v="21403533"/>
    <s v="3000004746670021"/>
    <s v="CIVIL"/>
    <d v="2023-06-06T00:00:00"/>
    <d v="2023-07-20T19:22:20"/>
    <m/>
    <d v="2023-07-20T00:00:00"/>
    <n v="1878"/>
    <n v="1547"/>
    <s v="8733210"/>
    <s v="8733210"/>
    <m/>
    <m/>
    <n v="22629506"/>
    <m/>
    <m/>
    <m/>
    <s v="SOLFIN"/>
    <s v="SOLFIN"/>
    <s v="CCMS"/>
    <n v="21403533"/>
    <n v="4211.9"/>
    <m/>
    <s v="N"/>
    <n v="8"/>
    <d v="2023-07-20T19:22:42"/>
    <s v="N"/>
    <s v="Court Fee"/>
    <s v="Non Family Hourly Rates"/>
    <s v="Non Expert Disbursement"/>
    <s v="XXX"/>
    <s v="N"/>
    <n v="100"/>
    <n v="0"/>
    <x v="13"/>
    <s v="VALIDATED"/>
    <n v="1"/>
    <s v="01.11.80.201.6300.0000"/>
    <n v="100"/>
    <s v="11"/>
    <s v="6300"/>
    <n v="-32425.63"/>
    <n v="100"/>
    <s v="DEBTOR"/>
    <n v="0"/>
    <n v="0"/>
    <n v="0"/>
    <n v="0"/>
    <n v="0"/>
  </r>
  <r>
    <n v="8733210"/>
    <s v="N"/>
    <n v="21403533"/>
    <s v="3000004746670021"/>
    <s v="CIVIL"/>
    <d v="2023-06-06T00:00:00"/>
    <d v="2023-07-20T19:22:20"/>
    <m/>
    <d v="2023-07-20T00:00:00"/>
    <n v="1878"/>
    <n v="1547"/>
    <s v="8733210"/>
    <s v="8733210"/>
    <m/>
    <m/>
    <n v="22629506"/>
    <m/>
    <m/>
    <m/>
    <s v="SOLFIN"/>
    <s v="SOLFIN"/>
    <s v="CCMS"/>
    <n v="21403533"/>
    <n v="4211.9"/>
    <m/>
    <s v="N"/>
    <n v="38"/>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84"/>
    <d v="2023-07-20T19:22:42"/>
    <s v="Y"/>
    <s v="Preparation - other"/>
    <s v="Non Family Hourly Rates"/>
    <s v="Profit Cost"/>
    <s v="BSS"/>
    <s v="Y"/>
    <n v="18.9"/>
    <n v="3.78"/>
    <x v="13"/>
    <s v="VALIDATED"/>
    <n v="1"/>
    <s v="01.11.80.201.6100.0000"/>
    <n v="18.9"/>
    <s v="11"/>
    <s v="6100"/>
    <n v="-32425.63"/>
    <n v="18.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
    <d v="2023-07-10T19:02:05"/>
    <s v="Y"/>
    <s v="Preparation - other"/>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3"/>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9"/>
    <d v="2023-07-10T19:02:05"/>
    <s v="Y"/>
    <s v="Attendance upon client"/>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9"/>
    <d v="2023-07-10T19:02:05"/>
    <s v="Y"/>
    <s v="Preparation - other"/>
    <s v="Non Family Hourly Rates"/>
    <s v="Profit Cost"/>
    <s v="LG"/>
    <s v="Y"/>
    <n v="28.62"/>
    <n v="0"/>
    <x v="2"/>
    <s v="VALIDATED"/>
    <n v="1"/>
    <s v="01.11.80.203.6100.0000"/>
    <n v="28.62"/>
    <s v="11"/>
    <s v="6100"/>
    <n v="-32425.63"/>
    <n v="28.6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2"/>
    <d v="2023-07-10T19:01:45"/>
    <s v="Y"/>
    <s v="Preparation - other"/>
    <s v="Care Remuneration Hourly Rates"/>
    <s v="Profit Cost"/>
    <s v="AGI"/>
    <s v="Y"/>
    <n v="63.53"/>
    <n v="12.71"/>
    <x v="2"/>
    <s v="VALIDATED"/>
    <n v="1"/>
    <s v="01.11.80.308.6100.0000"/>
    <n v="63.53"/>
    <s v="11"/>
    <s v="6100"/>
    <n v="-32425.63"/>
    <n v="63.53"/>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1"/>
    <d v="2023-07-06T19:21:25"/>
    <s v="Y"/>
    <s v="Preparation - drafting statement"/>
    <s v="Care Remuneration Hourly Rates"/>
    <s v="Profit Cost"/>
    <s v="NBS 25"/>
    <s v="Y"/>
    <n v="38.36"/>
    <n v="7.67"/>
    <x v="4"/>
    <s v="VALIDATED"/>
    <n v="1"/>
    <s v="01.11.80.308.6100.0000"/>
    <n v="38.36"/>
    <s v="11"/>
    <s v="6100"/>
    <n v="-32425.63"/>
    <n v="38.3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5"/>
    <d v="2023-07-05T19:01:55"/>
    <s v="Y"/>
    <s v="Preparation - other"/>
    <s v="Non Family Hourly Rates"/>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1"/>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8"/>
    <d v="2023-07-05T19:01:55"/>
    <s v="Y"/>
    <s v="Preparation - other"/>
    <s v="Non Family Hourly Rates"/>
    <s v="Profit Cost"/>
    <s v="HRL 50"/>
    <s v="Y"/>
    <n v="85.86"/>
    <n v="17.17"/>
    <x v="6"/>
    <s v="VALIDATED"/>
    <n v="1"/>
    <s v="01.11.80.203.6100.0000"/>
    <n v="85.86"/>
    <s v="11"/>
    <s v="6100"/>
    <n v="-32425.63"/>
    <n v="85.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4"/>
    <d v="2023-07-05T19:01:55"/>
    <s v="Y"/>
    <s v="Preparation - other"/>
    <s v="Non Family Hourly Rates"/>
    <s v="Profit Cost"/>
    <s v="HRL 50"/>
    <s v="Y"/>
    <n v="42.93"/>
    <n v="8.59"/>
    <x v="6"/>
    <s v="VALIDATED"/>
    <n v="1"/>
    <s v="01.11.80.203.6100.0000"/>
    <n v="42.93"/>
    <s v="11"/>
    <s v="6100"/>
    <n v="-32425.63"/>
    <n v="42.9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2"/>
    <d v="2023-07-03T19:04:58"/>
    <s v="Y"/>
    <s v="Preparation - other"/>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3"/>
    <d v="2023-07-03T19:04:58"/>
    <s v="Y"/>
    <s v="Preparation - drafting instructions"/>
    <s v="VHCC"/>
    <s v="Profit Cost"/>
    <s v="JML 65"/>
    <s v="Y"/>
    <n v="59.03"/>
    <n v="11.8"/>
    <x v="3"/>
    <s v="VALIDATED"/>
    <n v="1"/>
    <s v="01.11.80.203.6100.0000"/>
    <n v="59.03"/>
    <s v="11"/>
    <s v="6100"/>
    <n v="-32425.63"/>
    <n v="59.03"/>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7"/>
    <d v="2023-07-18T19:00:56"/>
    <s v="N"/>
    <s v="Preparation - other"/>
    <s v="Non Family Hourly Rates"/>
    <s v="Profit Cost"/>
    <s v="MSK"/>
    <s v="N"/>
    <n v="0"/>
    <n v="0"/>
    <x v="14"/>
    <s v="VALIDATED"/>
    <n v="1"/>
    <s v="01.11.80.203.6100.0000"/>
    <n v="0"/>
    <s v="11"/>
    <s v="6100"/>
    <n v="-32425.63"/>
    <n v="0"/>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7"/>
    <d v="2023-07-10T19:01:45"/>
    <s v="Y"/>
    <s v="Preparation - other"/>
    <s v="Care Remuneration Hourly Rates"/>
    <s v="Profit Cost"/>
    <s v="JBL"/>
    <s v="Y"/>
    <n v="19.06"/>
    <n v="3.81"/>
    <x v="2"/>
    <s v="VALIDATED"/>
    <n v="1"/>
    <s v="01.11.80.308.6100.0000"/>
    <n v="19.06"/>
    <s v="11"/>
    <s v="6100"/>
    <n v="-32425.63"/>
    <n v="19.0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03"/>
    <d v="2023-07-10T19:01:45"/>
    <s v="N"/>
    <m/>
    <m/>
    <s v="Overall Adjustment"/>
    <m/>
    <s v="N"/>
    <n v="-1776.56"/>
    <n v="-355.26"/>
    <x v="2"/>
    <s v="VALIDATED"/>
    <n v="1"/>
    <s v="01.11.80.308.6100.0000"/>
    <n v="-1776.56"/>
    <s v="11"/>
    <s v="6100"/>
    <n v="-32425.63"/>
    <n v="-1776.5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7"/>
    <d v="2023-07-10T19:01:45"/>
    <s v="Y"/>
    <s v="Preparation - other"/>
    <s v="Care Remuneration Hourly Rates"/>
    <s v="Profit Cost"/>
    <s v="JBL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1"/>
    <d v="2023-07-10T19:02:05"/>
    <s v="Y"/>
    <s v="Preparation - other"/>
    <s v="Non Family Hourly Rates"/>
    <s v="Profit Cost"/>
    <s v="CB"/>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8"/>
    <d v="2023-07-10T19:02:05"/>
    <s v="Y"/>
    <s v="Preparation - drafting attendance n"/>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7"/>
    <d v="2023-07-10T19:02:05"/>
    <s v="Y"/>
    <s v="Attendance upon client"/>
    <s v="Non Family Hourly Rates"/>
    <s v="Profit Cost"/>
    <s v="LG"/>
    <s v="Y"/>
    <n v="85.86"/>
    <n v="0"/>
    <x v="2"/>
    <s v="VALIDATED"/>
    <n v="1"/>
    <s v="01.11.80.203.6100.0000"/>
    <n v="85.86"/>
    <s v="11"/>
    <s v="6100"/>
    <n v="-32425.63"/>
    <n v="85.8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7"/>
    <d v="2023-07-10T19:02:05"/>
    <s v="Y"/>
    <s v="Attendance upon other"/>
    <s v="Non Family Hourly Rates"/>
    <s v="Profit Cost"/>
    <s v="LG"/>
    <s v="Y"/>
    <n v="42.93"/>
    <n v="0"/>
    <x v="2"/>
    <s v="VALIDATED"/>
    <n v="1"/>
    <s v="01.11.80.203.6100.0000"/>
    <n v="42.93"/>
    <s v="11"/>
    <s v="6100"/>
    <n v="-32425.63"/>
    <n v="42.9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2"/>
    <d v="2023-07-05T19:02:06"/>
    <s v="Y"/>
    <s v="Preparation - other"/>
    <s v="VHCC"/>
    <s v="Profit Cost"/>
    <s v="SHL 60"/>
    <s v="Y"/>
    <n v="194.62"/>
    <n v="38.92"/>
    <x v="6"/>
    <s v="VALIDATED"/>
    <n v="1"/>
    <s v="01.11.80.203.6100.0000"/>
    <n v="194.62"/>
    <s v="11"/>
    <s v="6100"/>
    <n v="-32425.63"/>
    <n v="194.6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1"/>
    <d v="2023-07-05T19:02:06"/>
    <s v="Y"/>
    <s v="Preparation - other"/>
    <s v="VHCC"/>
    <s v="Profit Cost"/>
    <s v="SHL 60"/>
    <s v="Y"/>
    <n v="11.45"/>
    <n v="2.29"/>
    <x v="6"/>
    <s v="VALIDATED"/>
    <n v="1"/>
    <s v="01.11.80.203.6100.0000"/>
    <n v="11.45"/>
    <s v="11"/>
    <s v="6100"/>
    <n v="-32425.63"/>
    <n v="11.45"/>
    <s v="DEBTOR"/>
    <n v="0"/>
    <n v="0"/>
    <n v="0"/>
    <n v="0"/>
    <n v="0"/>
  </r>
  <r>
    <n v="59677260"/>
    <s v="N"/>
    <n v="21331257"/>
    <s v="3000014052440026"/>
    <s v="CIVIL"/>
    <d v="2023-06-30T00:00:00"/>
    <d v="2023-07-05T19:01:47"/>
    <m/>
    <d v="2023-07-05T00:00:00"/>
    <n v="1878"/>
    <n v="1547"/>
    <s v="59677260"/>
    <s v="59677260"/>
    <m/>
    <m/>
    <n v="22798826"/>
    <m/>
    <m/>
    <m/>
    <s v="SOLINT"/>
    <s v="SOLINT"/>
    <s v="CCMS"/>
    <n v="21331257"/>
    <n v="4736.2"/>
    <m/>
    <s v="N"/>
    <n v="27"/>
    <d v="2023-07-05T19:02:12"/>
    <s v="Y"/>
    <s v="Travel to attend client"/>
    <s v="VHCC"/>
    <s v="Profit Cost"/>
    <s v="GLE"/>
    <s v="Y"/>
    <n v="44.9"/>
    <n v="8.98"/>
    <x v="6"/>
    <s v="VALIDATED"/>
    <n v="1"/>
    <s v="01.11.80.203.6100.0000"/>
    <n v="44.9"/>
    <s v="11"/>
    <s v="6100"/>
    <n v="-32425.63"/>
    <n v="44.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2"/>
    <d v="2023-07-05T19:02:06"/>
    <s v="Y"/>
    <s v="Preparation - other"/>
    <s v="VHCC"/>
    <s v="Profit Cost"/>
    <s v="SHL"/>
    <s v="Y"/>
    <n v="35.78"/>
    <n v="7.16"/>
    <x v="6"/>
    <s v="VALIDATED"/>
    <n v="1"/>
    <s v="01.11.80.203.6100.0000"/>
    <n v="35.78"/>
    <s v="11"/>
    <s v="6100"/>
    <n v="-32425.63"/>
    <n v="35.78"/>
    <s v="DEBTOR"/>
    <n v="0"/>
    <n v="0"/>
    <n v="0"/>
    <n v="0"/>
    <n v="0"/>
  </r>
  <r>
    <n v="59677260"/>
    <s v="N"/>
    <n v="21331257"/>
    <s v="3000014052440026"/>
    <s v="CIVIL"/>
    <d v="2023-06-30T00:00:00"/>
    <d v="2023-07-05T19:01:47"/>
    <m/>
    <d v="2023-07-05T00:00:00"/>
    <n v="1878"/>
    <n v="1547"/>
    <s v="59677260"/>
    <s v="59677260"/>
    <m/>
    <m/>
    <n v="22798826"/>
    <m/>
    <m/>
    <m/>
    <s v="SOLINT"/>
    <s v="SOLINT"/>
    <s v="CCMS"/>
    <n v="21331257"/>
    <n v="4736.2"/>
    <m/>
    <s v="N"/>
    <n v="49"/>
    <d v="2023-07-05T19:02:12"/>
    <s v="Y"/>
    <s v="Preparation - drafting bill/claim f"/>
    <s v="VHCC"/>
    <s v="Profit Cost"/>
    <s v="LD"/>
    <s v="Y"/>
    <n v="200.34"/>
    <n v="40.07"/>
    <x v="6"/>
    <s v="VALIDATED"/>
    <n v="1"/>
    <s v="01.11.80.203.6100.0000"/>
    <n v="200.34"/>
    <s v="11"/>
    <s v="6100"/>
    <n v="-32425.63"/>
    <n v="200.3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9"/>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5"/>
    <d v="2023-07-05T19:01:55"/>
    <s v="Y"/>
    <s v="Preparation - other"/>
    <s v="Non Family Hourly Rates"/>
    <s v="Profit Cost"/>
    <s v="LD"/>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
    <d v="2023-07-05T19:01:55"/>
    <s v="Y"/>
    <s v="Preparation - drafting statement"/>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
    <d v="2023-07-05T19:01:55"/>
    <s v="Y"/>
    <s v="Preparation - other"/>
    <s v="Non Family Hourly Rates"/>
    <s v="Profit Cost"/>
    <s v="HRL"/>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7"/>
    <d v="2023-07-05T19:02:06"/>
    <s v="Y"/>
    <s v="Preparation - other"/>
    <s v="VHCC"/>
    <s v="Profit Cost"/>
    <s v="GLE"/>
    <s v="Y"/>
    <n v="14.31"/>
    <n v="2.86"/>
    <x v="6"/>
    <s v="VALIDATED"/>
    <n v="1"/>
    <s v="01.11.80.203.6100.0000"/>
    <n v="14.31"/>
    <s v="11"/>
    <s v="6100"/>
    <n v="-32425.63"/>
    <n v="14.3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0"/>
    <d v="2023-07-05T19:02:09"/>
    <s v="Y"/>
    <s v="Preparation - other"/>
    <s v="VHCC"/>
    <s v="Profit Cost"/>
    <s v="GLE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2"/>
    <d v="2023-07-05T19:02:06"/>
    <s v="Y"/>
    <s v="Preparation -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3"/>
    <d v="2023-07-05T19:02:06"/>
    <s v="Y"/>
    <s v="Attendance upon court with counsel"/>
    <s v="VHCC"/>
    <s v="Profit Cost"/>
    <s v="SHL"/>
    <s v="Y"/>
    <n v="43.29"/>
    <n v="8.66"/>
    <x v="6"/>
    <s v="VALIDATED"/>
    <n v="1"/>
    <s v="01.11.80.203.6100.0000"/>
    <n v="43.29"/>
    <s v="11"/>
    <s v="6100"/>
    <n v="-32425.63"/>
    <n v="43.2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4"/>
    <d v="2023-07-03T19:04:58"/>
    <s v="Y"/>
    <s v="Preparation - drafting statement"/>
    <s v="VHCC"/>
    <s v="Profit Cost"/>
    <s v="MJS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9"/>
    <d v="2023-07-03T19:04:58"/>
    <s v="Y"/>
    <s v="Attendance upon court with counsel"/>
    <s v="VHCC"/>
    <s v="Profit Cost"/>
    <s v="MJS"/>
    <s v="Y"/>
    <n v="29.97"/>
    <n v="5.99"/>
    <x v="3"/>
    <s v="VALIDATED"/>
    <n v="1"/>
    <s v="01.11.80.203.6100.0000"/>
    <n v="29.97"/>
    <s v="11"/>
    <s v="6100"/>
    <n v="-32425.63"/>
    <n v="29.9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7"/>
    <d v="2023-07-03T19:04:58"/>
    <s v="N"/>
    <m/>
    <m/>
    <s v="Overall Adjustment"/>
    <m/>
    <s v="N"/>
    <n v="-0.19"/>
    <n v="-0.04"/>
    <x v="3"/>
    <s v="VALIDATED"/>
    <n v="1"/>
    <s v="01.11.80.203.6100.0000"/>
    <n v="-0.19"/>
    <s v="11"/>
    <s v="6100"/>
    <n v="-32425.63"/>
    <n v="-0.1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5"/>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2"/>
    <d v="2023-07-03T19:04:58"/>
    <s v="Y"/>
    <s v="Preparation - other"/>
    <s v="VHCC"/>
    <s v="Profit Cost"/>
    <s v="JML"/>
    <s v="Y"/>
    <n v="35.78"/>
    <n v="7.16"/>
    <x v="3"/>
    <s v="VALIDATED"/>
    <n v="1"/>
    <s v="01.11.80.203.6100.0000"/>
    <n v="35.78"/>
    <s v="11"/>
    <s v="6100"/>
    <n v="-32425.63"/>
    <n v="35.7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7"/>
    <d v="2023-07-03T19:04:58"/>
    <s v="Y"/>
    <s v="Preparation - other"/>
    <s v="VHCC"/>
    <s v="Profit Cost"/>
    <s v="JML 65"/>
    <s v="Y"/>
    <n v="35.42"/>
    <n v="7.08"/>
    <x v="3"/>
    <s v="VALIDATED"/>
    <n v="1"/>
    <s v="01.11.80.203.6100.0000"/>
    <n v="35.42"/>
    <s v="11"/>
    <s v="6100"/>
    <n v="-32425.63"/>
    <n v="35.42"/>
    <s v="DEBTOR"/>
    <n v="0"/>
    <n v="0"/>
    <n v="0"/>
    <n v="0"/>
    <n v="0"/>
  </r>
  <r>
    <n v="61742173"/>
    <s v="N"/>
    <n v="21319086"/>
    <s v="3000015815100003"/>
    <s v="CIVIL"/>
    <d v="2023-06-23T00:00:00"/>
    <d v="2023-07-03T19:01:49"/>
    <m/>
    <d v="2023-07-03T00:00:00"/>
    <n v="1878"/>
    <n v="1547"/>
    <s v="61742173"/>
    <s v="61742173"/>
    <m/>
    <m/>
    <n v="22750850"/>
    <m/>
    <m/>
    <m/>
    <s v="SOLFIN"/>
    <s v="SOLFIN"/>
    <s v="CCMS"/>
    <n v="21319086"/>
    <n v="5246"/>
    <m/>
    <s v="N"/>
    <n v="19"/>
    <d v="2023-07-03T19:02:10"/>
    <s v="Y"/>
    <s v="Preparation - drafting instructions"/>
    <s v="Prescribed Hourly Rates"/>
    <s v="Profit Cost"/>
    <s v="HHS"/>
    <s v="Y"/>
    <n v="11.88"/>
    <n v="2.38"/>
    <x v="3"/>
    <s v="VALIDATED"/>
    <n v="1"/>
    <s v="01.11.80.305.6100.0000"/>
    <n v="11.88"/>
    <s v="11"/>
    <s v="6100"/>
    <n v="-32425.63"/>
    <n v="11.88"/>
    <s v="DEBTOR"/>
    <n v="0"/>
    <n v="0"/>
    <n v="0"/>
    <n v="0"/>
    <n v="0"/>
  </r>
  <r>
    <n v="61742173"/>
    <s v="N"/>
    <n v="21319086"/>
    <s v="3000015815100003"/>
    <s v="CIVIL"/>
    <d v="2023-06-23T00:00:00"/>
    <d v="2023-07-03T19:01:49"/>
    <m/>
    <d v="2023-07-03T00:00:00"/>
    <n v="1878"/>
    <n v="1547"/>
    <s v="61742173"/>
    <s v="61742173"/>
    <m/>
    <m/>
    <n v="22750850"/>
    <m/>
    <m/>
    <m/>
    <s v="SOLFIN"/>
    <s v="SOLFIN"/>
    <s v="CCMS"/>
    <n v="21319086"/>
    <n v="5246"/>
    <m/>
    <s v="N"/>
    <n v="29"/>
    <d v="2023-07-03T19:02:10"/>
    <s v="Y"/>
    <s v="Preparation - other"/>
    <s v="Prescribed Hourly Rates"/>
    <s v="Profit Cost"/>
    <s v="MAE 15"/>
    <s v="Y"/>
    <n v="27.32"/>
    <n v="5.46"/>
    <x v="3"/>
    <s v="VALIDATED"/>
    <n v="1"/>
    <s v="01.11.80.305.6100.0000"/>
    <n v="27.32"/>
    <s v="11"/>
    <s v="6100"/>
    <n v="-32425.63"/>
    <n v="27.32"/>
    <s v="DEBTOR"/>
    <n v="0"/>
    <n v="0"/>
    <n v="0"/>
    <n v="0"/>
    <n v="0"/>
  </r>
  <r>
    <n v="61742173"/>
    <s v="N"/>
    <n v="21319086"/>
    <s v="3000015815100003"/>
    <s v="CIVIL"/>
    <d v="2023-06-23T00:00:00"/>
    <d v="2023-07-03T19:01:49"/>
    <m/>
    <d v="2023-07-03T00:00:00"/>
    <n v="1878"/>
    <n v="1547"/>
    <s v="61742173"/>
    <s v="61742173"/>
    <m/>
    <m/>
    <n v="22750850"/>
    <m/>
    <m/>
    <m/>
    <s v="SOLFIN"/>
    <s v="SOLFIN"/>
    <s v="CCMS"/>
    <n v="21319086"/>
    <n v="5246"/>
    <m/>
    <s v="N"/>
    <n v="39"/>
    <d v="2023-07-03T19:02:10"/>
    <s v="Y"/>
    <s v="Preparation - other"/>
    <s v="Prescribed Hourly Rates"/>
    <s v="Profit Cost"/>
    <s v="MAE 15"/>
    <s v="Y"/>
    <n v="20.49"/>
    <n v="4.1"/>
    <x v="3"/>
    <s v="VALIDATED"/>
    <n v="1"/>
    <s v="01.11.80.305.6100.0000"/>
    <n v="20.49"/>
    <s v="11"/>
    <s v="6100"/>
    <n v="-32425.63"/>
    <n v="20.4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5"/>
    <d v="2023-07-03T19:04:58"/>
    <s v="Y"/>
    <s v="Preparation - drafting instructions"/>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5"/>
    <d v="2023-07-03T19:04:58"/>
    <s v="Y"/>
    <s v="Preparation - other"/>
    <s v="VHCC"/>
    <s v="Profit Cost"/>
    <s v="JML 65"/>
    <s v="Y"/>
    <n v="118.06"/>
    <n v="23.61"/>
    <x v="3"/>
    <s v="VALIDATED"/>
    <n v="1"/>
    <s v="01.11.80.203.6100.0000"/>
    <n v="118.06"/>
    <s v="11"/>
    <s v="6100"/>
    <n v="-32425.63"/>
    <n v="118.06"/>
    <s v="DEBTOR"/>
    <n v="0"/>
    <n v="0"/>
    <n v="0"/>
    <n v="0"/>
    <n v="0"/>
  </r>
  <r>
    <n v="8733210"/>
    <s v="N"/>
    <n v="21403533"/>
    <s v="3000004746670021"/>
    <s v="CIVIL"/>
    <d v="2023-06-06T00:00:00"/>
    <d v="2023-07-20T19:22:20"/>
    <m/>
    <d v="2023-07-20T00:00:00"/>
    <n v="1878"/>
    <n v="1547"/>
    <s v="8733210"/>
    <s v="8733210"/>
    <m/>
    <m/>
    <n v="22629506"/>
    <m/>
    <m/>
    <m/>
    <s v="SOLFIN"/>
    <s v="SOLFIN"/>
    <s v="CCMS"/>
    <n v="21403533"/>
    <n v="4211.9"/>
    <m/>
    <s v="N"/>
    <n v="15"/>
    <d v="2023-07-20T19:22:42"/>
    <s v="Y"/>
    <s v="Preparation - other"/>
    <s v="Non Family Hourly Rates"/>
    <s v="Profit Cost"/>
    <s v="ESL"/>
    <s v="Y"/>
    <n v="6.3"/>
    <n v="1.26"/>
    <x v="13"/>
    <s v="VALIDATED"/>
    <n v="1"/>
    <s v="01.11.80.201.6100.0000"/>
    <n v="6.3"/>
    <s v="11"/>
    <s v="6100"/>
    <n v="-32425.63"/>
    <n v="6.3"/>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5"/>
    <d v="2023-07-06T19:21:25"/>
    <s v="Y"/>
    <s v="Preparation - other"/>
    <s v="Care Remuneration Hourly Rates"/>
    <s v="Profit Cost"/>
    <s v="NBS 25"/>
    <s v="Y"/>
    <n v="30.69"/>
    <n v="6.14"/>
    <x v="4"/>
    <s v="VALIDATED"/>
    <n v="1"/>
    <s v="01.11.80.308.6100.0000"/>
    <n v="30.69"/>
    <s v="11"/>
    <s v="6100"/>
    <n v="-32425.63"/>
    <n v="30.69"/>
    <s v="DEBTOR"/>
    <n v="0"/>
    <n v="0"/>
    <n v="0"/>
    <n v="0"/>
    <n v="0"/>
  </r>
  <r>
    <n v="59677260"/>
    <s v="N"/>
    <n v="21331257"/>
    <s v="3000014052440026"/>
    <s v="CIVIL"/>
    <d v="2023-06-30T00:00:00"/>
    <d v="2023-07-05T19:01:47"/>
    <m/>
    <d v="2023-07-05T00:00:00"/>
    <n v="1878"/>
    <n v="1547"/>
    <s v="59677260"/>
    <s v="59677260"/>
    <m/>
    <m/>
    <n v="22798826"/>
    <m/>
    <m/>
    <m/>
    <s v="SOLINT"/>
    <s v="SOLINT"/>
    <s v="CCMS"/>
    <n v="21331257"/>
    <n v="4736.2"/>
    <m/>
    <s v="N"/>
    <n v="25"/>
    <d v="2023-07-05T19:02:12"/>
    <s v="Y"/>
    <s v="Travel to attend client"/>
    <s v="VHCC"/>
    <s v="Profit Cost"/>
    <s v="GLE"/>
    <s v="Y"/>
    <n v="62.85"/>
    <n v="12.57"/>
    <x v="6"/>
    <s v="VALIDATED"/>
    <n v="1"/>
    <s v="01.11.80.203.6100.0000"/>
    <n v="62.85"/>
    <s v="11"/>
    <s v="6100"/>
    <n v="-32425.63"/>
    <n v="62.8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4"/>
    <d v="2023-07-05T19:02:06"/>
    <s v="Y"/>
    <s v="Preparation - other"/>
    <s v="VHCC"/>
    <s v="Profit Cost"/>
    <s v="SHL 60"/>
    <s v="Y"/>
    <n v="80.14"/>
    <n v="16.03"/>
    <x v="6"/>
    <s v="VALIDATED"/>
    <n v="1"/>
    <s v="01.11.80.203.6100.0000"/>
    <n v="80.14"/>
    <s v="11"/>
    <s v="6100"/>
    <n v="-32425.63"/>
    <n v="80.1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2"/>
    <d v="2023-07-05T19:02:06"/>
    <s v="Y"/>
    <s v="Preparation - other"/>
    <s v="VHCC"/>
    <s v="Profit Cost"/>
    <s v="PFA"/>
    <s v="Y"/>
    <n v="28.62"/>
    <n v="5.72"/>
    <x v="6"/>
    <s v="VALIDATED"/>
    <n v="1"/>
    <s v="01.11.80.203.6100.0000"/>
    <n v="28.62"/>
    <s v="11"/>
    <s v="6100"/>
    <n v="-32425.63"/>
    <n v="28.6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6"/>
    <d v="2023-07-05T19:02:06"/>
    <s v="Y"/>
    <s v="Preparation - other"/>
    <s v="VHCC"/>
    <s v="Profit Cost"/>
    <s v="SHL 60"/>
    <s v="Y"/>
    <n v="34.34"/>
    <n v="6.87"/>
    <x v="6"/>
    <s v="VALIDATED"/>
    <n v="1"/>
    <s v="01.11.80.203.6100.0000"/>
    <n v="34.34"/>
    <s v="11"/>
    <s v="6100"/>
    <n v="-32425.63"/>
    <n v="34.34"/>
    <s v="DEBTOR"/>
    <n v="0"/>
    <n v="0"/>
    <n v="0"/>
    <n v="0"/>
    <n v="0"/>
  </r>
  <r>
    <n v="59677260"/>
    <s v="N"/>
    <n v="21331257"/>
    <s v="3000014052440026"/>
    <s v="CIVIL"/>
    <d v="2023-06-30T00:00:00"/>
    <d v="2023-07-05T19:01:47"/>
    <m/>
    <d v="2023-07-05T00:00:00"/>
    <n v="1878"/>
    <n v="1547"/>
    <s v="59677260"/>
    <s v="59677260"/>
    <m/>
    <m/>
    <n v="22798826"/>
    <m/>
    <m/>
    <m/>
    <s v="SOLINT"/>
    <s v="SOLINT"/>
    <s v="CCMS"/>
    <n v="21331257"/>
    <n v="4736.2"/>
    <m/>
    <s v="N"/>
    <n v="51"/>
    <d v="2023-07-05T19:02:12"/>
    <s v="Y"/>
    <s v="Preparation - other"/>
    <s v="VHCC"/>
    <s v="Profit Cost"/>
    <s v="LD"/>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7"/>
    <d v="2023-07-05T19:02:06"/>
    <s v="Y"/>
    <s v="Preparation - other"/>
    <s v="VHCC"/>
    <s v="Profit Cost"/>
    <s v="GLE"/>
    <s v="Y"/>
    <n v="300.51"/>
    <n v="60.1"/>
    <x v="6"/>
    <s v="VALIDATED"/>
    <n v="1"/>
    <s v="01.11.80.203.6100.0000"/>
    <n v="300.51"/>
    <s v="11"/>
    <s v="6100"/>
    <n v="-32425.63"/>
    <n v="300.5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7"/>
    <d v="2023-07-05T19:01:55"/>
    <s v="Y"/>
    <s v="Preparation - other"/>
    <s v="Non Family Hourly Rates"/>
    <s v="Profit Cost"/>
    <s v="HRL 50"/>
    <s v="Y"/>
    <n v="128.79"/>
    <n v="25.76"/>
    <x v="6"/>
    <s v="VALIDATED"/>
    <n v="1"/>
    <s v="01.11.80.203.6100.0000"/>
    <n v="128.79"/>
    <s v="11"/>
    <s v="6100"/>
    <n v="-32425.63"/>
    <n v="128.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
    <d v="2023-07-05T19:01:55"/>
    <s v="Y"/>
    <s v="Preparation - drafting statement"/>
    <s v="Non Family Hourly Rates"/>
    <s v="Profit Cost"/>
    <s v="HRL"/>
    <s v="Y"/>
    <n v="85.86"/>
    <n v="17.17"/>
    <x v="6"/>
    <s v="VALIDATED"/>
    <n v="1"/>
    <s v="01.11.80.203.6100.0000"/>
    <n v="85.86"/>
    <s v="11"/>
    <s v="6100"/>
    <n v="-32425.63"/>
    <n v="85.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3"/>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8"/>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7"/>
    <d v="2023-07-05T19:01:55"/>
    <s v="Y"/>
    <s v="Preparation - drafting application"/>
    <s v="Non Family Hourly Rates"/>
    <s v="Profit Cost"/>
    <s v="HRL"/>
    <s v="Y"/>
    <n v="21.47"/>
    <n v="4.29"/>
    <x v="6"/>
    <s v="VALIDATED"/>
    <n v="1"/>
    <s v="01.11.80.203.6100.0000"/>
    <n v="21.47"/>
    <s v="11"/>
    <s v="6100"/>
    <n v="-32425.63"/>
    <n v="21.4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5"/>
    <d v="2023-07-06T19:21:25"/>
    <s v="Y"/>
    <s v="Preparation - other"/>
    <s v="Care Remuneration Hourly Rates"/>
    <s v="Profit Cost"/>
    <s v="NBS 25"/>
    <s v="Y"/>
    <n v="15.35"/>
    <n v="3.07"/>
    <x v="4"/>
    <s v="VALIDATED"/>
    <n v="1"/>
    <s v="01.11.80.308.6100.0000"/>
    <n v="15.35"/>
    <s v="11"/>
    <s v="6100"/>
    <n v="-32425.63"/>
    <n v="15.35"/>
    <s v="DEBTOR"/>
    <n v="0"/>
    <n v="0"/>
    <n v="0"/>
    <n v="0"/>
    <n v="0"/>
  </r>
  <r>
    <n v="61742173"/>
    <s v="N"/>
    <n v="21319086"/>
    <s v="3000015815100003"/>
    <s v="CIVIL"/>
    <d v="2023-06-23T00:00:00"/>
    <d v="2023-07-03T19:01:49"/>
    <m/>
    <d v="2023-07-03T00:00:00"/>
    <n v="1878"/>
    <n v="1547"/>
    <s v="61742173"/>
    <s v="61742173"/>
    <m/>
    <m/>
    <n v="22750850"/>
    <m/>
    <m/>
    <m/>
    <s v="SOLFIN"/>
    <s v="SOLFIN"/>
    <s v="CCMS"/>
    <n v="21319086"/>
    <n v="5246"/>
    <m/>
    <s v="N"/>
    <n v="8"/>
    <d v="2023-07-03T19:02:10"/>
    <s v="Y"/>
    <s v="Preparation - other"/>
    <s v="Prescribed Hourly Rates"/>
    <s v="Profit Cost"/>
    <s v="HHS"/>
    <s v="Y"/>
    <n v="5.94"/>
    <n v="1.19"/>
    <x v="3"/>
    <s v="VALIDATED"/>
    <n v="1"/>
    <s v="01.11.80.305.6100.0000"/>
    <n v="5.94"/>
    <s v="11"/>
    <s v="6100"/>
    <n v="-32425.63"/>
    <n v="5.94"/>
    <s v="DEBTOR"/>
    <n v="0"/>
    <n v="0"/>
    <n v="0"/>
    <n v="0"/>
    <n v="0"/>
  </r>
  <r>
    <n v="61742173"/>
    <s v="N"/>
    <n v="21319086"/>
    <s v="3000015815100003"/>
    <s v="CIVIL"/>
    <d v="2023-06-23T00:00:00"/>
    <d v="2023-07-03T19:01:49"/>
    <m/>
    <d v="2023-07-03T00:00:00"/>
    <n v="1878"/>
    <n v="1547"/>
    <s v="61742173"/>
    <s v="61742173"/>
    <m/>
    <m/>
    <n v="22750850"/>
    <m/>
    <m/>
    <m/>
    <s v="SOLFIN"/>
    <s v="SOLFIN"/>
    <s v="CCMS"/>
    <n v="21319086"/>
    <n v="5246"/>
    <m/>
    <s v="N"/>
    <n v="42"/>
    <d v="2023-07-03T19:02:10"/>
    <s v="Y"/>
    <s v="Preparation - other"/>
    <s v="Prescribed Hourly Rates"/>
    <s v="Profit Cost"/>
    <s v="MAE 15"/>
    <s v="Y"/>
    <n v="13.66"/>
    <n v="2.73"/>
    <x v="3"/>
    <s v="VALIDATED"/>
    <n v="1"/>
    <s v="01.11.80.305.6100.0000"/>
    <n v="13.66"/>
    <s v="11"/>
    <s v="6100"/>
    <n v="-32425.63"/>
    <n v="13.6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7"/>
    <d v="2023-07-03T19:04:58"/>
    <s v="Y"/>
    <s v="Preparation - other"/>
    <s v="VHCC"/>
    <s v="Profit Cost"/>
    <s v="JML 65"/>
    <s v="Y"/>
    <n v="94.45"/>
    <n v="18.89"/>
    <x v="3"/>
    <s v="VALIDATED"/>
    <n v="1"/>
    <s v="01.11.80.203.6100.0000"/>
    <n v="94.45"/>
    <s v="11"/>
    <s v="6100"/>
    <n v="-32425.63"/>
    <n v="94.4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1"/>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2"/>
    <d v="2023-07-03T19:04:58"/>
    <s v="Y"/>
    <s v="Preparation - other"/>
    <s v="VHCC"/>
    <s v="Profit Cost"/>
    <s v="JML 65"/>
    <s v="Y"/>
    <n v="59.03"/>
    <n v="11.8"/>
    <x v="3"/>
    <s v="VALIDATED"/>
    <n v="1"/>
    <s v="01.11.80.203.6100.0000"/>
    <n v="59.03"/>
    <s v="11"/>
    <s v="6100"/>
    <n v="-32425.63"/>
    <n v="59.0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6"/>
    <d v="2023-07-10T19:02:05"/>
    <s v="Y"/>
    <s v="Preparation - other"/>
    <s v="Non Family Hourly Rates"/>
    <s v="Profit Cost"/>
    <s v="CB"/>
    <s v="Y"/>
    <n v="64.40000000000001"/>
    <n v="0"/>
    <x v="2"/>
    <s v="VALIDATED"/>
    <n v="1"/>
    <s v="01.11.80.203.6100.0000"/>
    <n v="64.40000000000001"/>
    <s v="11"/>
    <s v="6100"/>
    <n v="-32425.63"/>
    <n v="64.4000000000000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64"/>
    <d v="2023-07-10T19:02:05"/>
    <s v="Y"/>
    <s v="Preparation - drafting consent orde"/>
    <s v="Non Family Hourly Rates"/>
    <s v="Profit Cost"/>
    <s v="CB"/>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1"/>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0"/>
    <d v="2023-07-10T19:02:05"/>
    <s v="Y"/>
    <s v="Attendance upon other"/>
    <s v="Non Family Hourly Rates"/>
    <s v="Profit Cost"/>
    <s v="LG"/>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2"/>
    <d v="2023-07-10T19:02:05"/>
    <s v="Y"/>
    <s v="Preparation - drafting attendance n"/>
    <s v="Non Family Hourly Rates"/>
    <s v="Profit Cost"/>
    <s v="LG"/>
    <s v="Y"/>
    <n v="7.16"/>
    <n v="0"/>
    <x v="2"/>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6"/>
    <d v="2023-07-10T19:01:45"/>
    <s v="Y"/>
    <s v="Telecoms expert"/>
    <s v="Care Remuneration Hourly Rates"/>
    <s v="Expert Disbursement"/>
    <s v="AGI"/>
    <s v="Y"/>
    <n v="345.6"/>
    <n v="69.12"/>
    <x v="2"/>
    <s v="VALIDATED"/>
    <n v="1"/>
    <s v="01.11.80.308.6300.0000"/>
    <n v="345.6"/>
    <s v="11"/>
    <s v="6300"/>
    <n v="-32425.63"/>
    <n v="345.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9"/>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5"/>
    <d v="2023-07-10T19:01:45"/>
    <s v="Y"/>
    <s v="Preparation - other"/>
    <s v="Care Remuneration Hourly Rates"/>
    <s v="Profit Cost"/>
    <s v="AGI 30"/>
    <s v="Y"/>
    <n v="35.91"/>
    <n v="7.18"/>
    <x v="2"/>
    <s v="VALIDATED"/>
    <n v="1"/>
    <s v="01.11.80.308.6100.0000"/>
    <n v="35.91"/>
    <s v="11"/>
    <s v="6100"/>
    <n v="-32425.63"/>
    <n v="35.9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1"/>
    <d v="2023-07-10T19:01:45"/>
    <s v="N"/>
    <s v="Preparation - other"/>
    <s v="Care Remuneration Hourly Rates"/>
    <s v="Profit Cost"/>
    <s v="JBL 30"/>
    <s v="N"/>
    <n v="21.54"/>
    <n v="4.31"/>
    <x v="2"/>
    <s v="VALIDATED"/>
    <n v="1"/>
    <s v="01.11.80.308.6100.0000"/>
    <n v="21.54"/>
    <s v="11"/>
    <s v="6100"/>
    <n v="-32425.63"/>
    <n v="21.54"/>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
    <d v="2023-07-05T19:02:09"/>
    <s v="Y"/>
    <s v="Preparation - other"/>
    <s v="VHCC"/>
    <s v="Profit Cost"/>
    <s v="SHL 60"/>
    <s v="Y"/>
    <n v="91.58"/>
    <n v="18.32"/>
    <x v="6"/>
    <s v="VALIDATED"/>
    <n v="1"/>
    <s v="01.11.80.203.6100.0000"/>
    <n v="91.58"/>
    <s v="11"/>
    <s v="6100"/>
    <n v="-32425.63"/>
    <n v="91.5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5"/>
    <d v="2023-07-05T19:02:09"/>
    <s v="Y"/>
    <s v="Preparation - other"/>
    <s v="VHCC"/>
    <s v="Profit Cost"/>
    <s v="GLE 60"/>
    <s v="Y"/>
    <n v="228.96"/>
    <n v="45.79"/>
    <x v="6"/>
    <s v="VALIDATED"/>
    <n v="1"/>
    <s v="01.11.80.203.6100.0000"/>
    <n v="228.96"/>
    <s v="11"/>
    <s v="6100"/>
    <n v="-32425.63"/>
    <n v="228.9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2"/>
    <d v="2023-07-05T19:02:06"/>
    <s v="Y"/>
    <s v="Attendance upon Counsel"/>
    <s v="VHCC"/>
    <s v="Profit Cost"/>
    <s v="GLE"/>
    <s v="Y"/>
    <n v="19.98"/>
    <n v="4"/>
    <x v="6"/>
    <s v="VALIDATED"/>
    <n v="1"/>
    <s v="01.11.80.203.6100.0000"/>
    <n v="19.98"/>
    <s v="11"/>
    <s v="6100"/>
    <n v="-32425.63"/>
    <n v="19.9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4"/>
    <d v="2023-07-05T19:02:09"/>
    <s v="Y"/>
    <s v="Preparation - other"/>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12"/>
    <d v="2023-07-05T19:02:06"/>
    <s v="Y"/>
    <s v="Attendance upon client"/>
    <s v="VHCC"/>
    <s v="Profit Cost"/>
    <s v="SHL 60"/>
    <s v="Y"/>
    <n v="22.9"/>
    <n v="4.58"/>
    <x v="6"/>
    <s v="VALIDATED"/>
    <n v="1"/>
    <s v="01.11.80.203.6100.0000"/>
    <n v="22.9"/>
    <s v="11"/>
    <s v="6100"/>
    <n v="-32425.63"/>
    <n v="22.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0"/>
    <d v="2023-07-10T19:01:45"/>
    <s v="Y"/>
    <s v="Hearing Unit 2.31 - 5.00 Hours"/>
    <s v="Public Law Children"/>
    <s v="Advocacy"/>
    <s v="MWR"/>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7"/>
    <d v="2023-07-10T19:01:45"/>
    <s v="Y"/>
    <s v="Hearing Unit 2.31 - 5.00 Hours"/>
    <s v="Public Law Children"/>
    <s v="Advocacy"/>
    <s v="AGI"/>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9"/>
    <d v="2023-07-10T19:01:45"/>
    <s v="Y"/>
    <s v="Attendance upon client"/>
    <s v="Care Remuneration Hourly Rates"/>
    <s v="Profit Cost"/>
    <s v="AGI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
    <d v="2023-07-10T19:01:45"/>
    <s v="N"/>
    <s v="Preparation - other"/>
    <s v="Care Remuneration Hourly Rates"/>
    <s v="Profit Cost"/>
    <s v="JBL 30"/>
    <s v="N"/>
    <n v="71.81"/>
    <n v="14.36"/>
    <x v="2"/>
    <s v="VALIDATED"/>
    <n v="1"/>
    <s v="01.11.80.308.6100.0000"/>
    <n v="71.81"/>
    <s v="11"/>
    <s v="6100"/>
    <n v="-32425.63"/>
    <n v="71.8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
    <d v="2023-07-10T19:01:45"/>
    <s v="N"/>
    <s v="Preparation - other"/>
    <s v="Care Remuneration Hourly Rates"/>
    <s v="Profit Cost"/>
    <s v="JBL 30"/>
    <s v="N"/>
    <n v="861.74"/>
    <n v="172.34"/>
    <x v="2"/>
    <s v="VALIDATED"/>
    <n v="1"/>
    <s v="01.11.80.308.6100.0000"/>
    <n v="861.74"/>
    <s v="11"/>
    <s v="6100"/>
    <n v="-32425.63"/>
    <n v="861.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
    <d v="2023-07-10T19:02:05"/>
    <s v="Y"/>
    <s v="Interpreter"/>
    <s v="Non Family Hourly Rates"/>
    <s v="Expert Disbursement"/>
    <s v="XXX"/>
    <s v="Y"/>
    <n v="20.83"/>
    <n v="4.17"/>
    <x v="2"/>
    <s v="VALIDATED"/>
    <n v="1"/>
    <s v="01.11.80.203.6300.0000"/>
    <n v="20.83"/>
    <s v="11"/>
    <s v="6300"/>
    <n v="-32425.63"/>
    <n v="20.8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9"/>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83"/>
    <d v="2023-07-10T19:02:05"/>
    <s v="Y"/>
    <s v="Routine Telephone Call"/>
    <s v="Non Family Hourly Rates"/>
    <s v="Profit Cost"/>
    <s v="CB"/>
    <s v="Y"/>
    <n v="254.32"/>
    <n v="0"/>
    <x v="2"/>
    <s v="VALIDATED"/>
    <n v="1"/>
    <s v="01.11.80.203.6100.0000"/>
    <n v="254.32"/>
    <s v="11"/>
    <s v="6100"/>
    <n v="-32425.63"/>
    <n v="254.3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6"/>
    <d v="2023-07-10T19:02:05"/>
    <s v="Y"/>
    <s v="Preparation - other"/>
    <s v="Non Family Hourly Rates"/>
    <s v="Profit Cost"/>
    <s v="LG"/>
    <s v="Y"/>
    <n v="21.47"/>
    <n v="0"/>
    <x v="2"/>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0"/>
    <d v="2023-07-05T19:02:06"/>
    <s v="Y"/>
    <s v="Attendance upon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79"/>
    <d v="2023-07-05T19:02:06"/>
    <s v="Y"/>
    <s v="Preparation - other"/>
    <s v="VHCC"/>
    <s v="Profit Cost"/>
    <s v="GLE 60"/>
    <s v="Y"/>
    <n v="80.14"/>
    <n v="16.03"/>
    <x v="6"/>
    <s v="VALIDATED"/>
    <n v="1"/>
    <s v="01.11.80.203.6100.0000"/>
    <n v="80.14"/>
    <s v="11"/>
    <s v="6100"/>
    <n v="-32425.63"/>
    <n v="80.1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7"/>
    <d v="2023-07-05T19:02:06"/>
    <s v="Y"/>
    <s v="Attendance upon client"/>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
    <d v="2023-07-05T19:02:06"/>
    <s v="Y"/>
    <s v="Preparation - other"/>
    <s v="VHCC"/>
    <s v="Profit Cost"/>
    <s v="SHL"/>
    <s v="Y"/>
    <n v="7.16"/>
    <n v="1.43"/>
    <x v="6"/>
    <s v="VALIDATED"/>
    <n v="1"/>
    <s v="01.11.80.203.6100.0000"/>
    <n v="7.16"/>
    <s v="11"/>
    <s v="6100"/>
    <n v="-32425.63"/>
    <n v="7.16"/>
    <s v="DEBTOR"/>
    <n v="0"/>
    <n v="0"/>
    <n v="0"/>
    <n v="0"/>
    <n v="0"/>
  </r>
  <r>
    <n v="59677260"/>
    <s v="N"/>
    <n v="21331257"/>
    <s v="3000014052440026"/>
    <s v="CIVIL"/>
    <d v="2023-06-30T00:00:00"/>
    <d v="2023-07-05T19:01:47"/>
    <m/>
    <d v="2023-07-05T00:00:00"/>
    <n v="1878"/>
    <n v="1547"/>
    <s v="59677260"/>
    <s v="59677260"/>
    <m/>
    <m/>
    <n v="22798826"/>
    <m/>
    <m/>
    <m/>
    <s v="SOLINT"/>
    <s v="SOLINT"/>
    <s v="CCMS"/>
    <n v="21331257"/>
    <n v="4736.2"/>
    <m/>
    <s v="N"/>
    <n v="52"/>
    <d v="2023-07-05T19:02:12"/>
    <s v="Y"/>
    <s v="Item - Routine Telephone Call"/>
    <s v="VHCC"/>
    <s v="Profit Cost"/>
    <s v="GLE"/>
    <s v="Y"/>
    <n v="7.48"/>
    <n v="1.5"/>
    <x v="6"/>
    <s v="VALIDATED"/>
    <n v="1"/>
    <s v="01.11.80.203.6100.0000"/>
    <n v="7.48"/>
    <s v="11"/>
    <s v="6100"/>
    <n v="-32425.63"/>
    <n v="7.48"/>
    <s v="DEBTOR"/>
    <n v="0"/>
    <n v="0"/>
    <n v="0"/>
    <n v="0"/>
    <n v="0"/>
  </r>
  <r>
    <n v="59677260"/>
    <s v="N"/>
    <n v="21331257"/>
    <s v="3000014052440026"/>
    <s v="CIVIL"/>
    <d v="2023-06-30T00:00:00"/>
    <d v="2023-07-05T19:01:47"/>
    <m/>
    <d v="2023-07-05T00:00:00"/>
    <n v="1878"/>
    <n v="1547"/>
    <s v="59677260"/>
    <s v="59677260"/>
    <m/>
    <m/>
    <n v="22798826"/>
    <m/>
    <m/>
    <m/>
    <s v="SOLINT"/>
    <s v="SOLINT"/>
    <s v="CCMS"/>
    <n v="21331257"/>
    <n v="4736.2"/>
    <m/>
    <s v="N"/>
    <n v="5"/>
    <d v="2023-07-05T19:02:12"/>
    <s v="Y"/>
    <s v="Preparation - other"/>
    <s v="VHCC"/>
    <s v="Profit Cost"/>
    <s v="SHL 60"/>
    <s v="Y"/>
    <n v="11.45"/>
    <n v="2.29"/>
    <x v="6"/>
    <s v="VALIDATED"/>
    <n v="1"/>
    <s v="01.11.80.203.6100.0000"/>
    <n v="11.45"/>
    <s v="11"/>
    <s v="6100"/>
    <n v="-32425.63"/>
    <n v="11.4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4"/>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3"/>
    <d v="2023-07-05T19:01:55"/>
    <s v="Y"/>
    <s v="Preparation - drafting statement"/>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63"/>
    <d v="2023-07-05T19:01:55"/>
    <s v="Y"/>
    <s v="Waiting - other"/>
    <s v="Non Family Hourly Rates"/>
    <s v="Profit Cost"/>
    <s v="HRL"/>
    <s v="Y"/>
    <n v="8.98"/>
    <n v="1.8"/>
    <x v="6"/>
    <s v="VALIDATED"/>
    <n v="1"/>
    <s v="01.11.80.203.6100.0000"/>
    <n v="8.98"/>
    <s v="11"/>
    <s v="6100"/>
    <n v="-32425.63"/>
    <n v="8.9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8"/>
    <d v="2023-07-06T19:21:25"/>
    <s v="Y"/>
    <s v="Preparation - other"/>
    <s v="Care Remuneration Hourly Rates"/>
    <s v="Profit Cost"/>
    <s v="NBS 25"/>
    <s v="Y"/>
    <n v="7.68"/>
    <n v="1.54"/>
    <x v="4"/>
    <s v="VALIDATED"/>
    <n v="1"/>
    <s v="01.11.80.308.6100.0000"/>
    <n v="7.68"/>
    <s v="11"/>
    <s v="6100"/>
    <n v="-32425.63"/>
    <n v="7.6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5"/>
    <d v="2023-07-06T19:21:25"/>
    <s v="Y"/>
    <s v="Attendance upon client"/>
    <s v="Care Remuneration Hourly Rates"/>
    <s v="Profit Cost"/>
    <s v="NBS 25"/>
    <s v="Y"/>
    <n v="46.04"/>
    <n v="9.210000000000001"/>
    <x v="4"/>
    <s v="VALIDATED"/>
    <n v="1"/>
    <s v="01.11.80.308.6100.0000"/>
    <n v="46.04"/>
    <s v="11"/>
    <s v="6100"/>
    <n v="-32425.63"/>
    <n v="46.0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5"/>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4"/>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0"/>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0"/>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
    <d v="2023-07-03T19:04:58"/>
    <s v="N"/>
    <s v="Preparation - other"/>
    <s v="VHCC"/>
    <s v="Profit Cost"/>
    <s v="JML 65"/>
    <s v="N"/>
    <n v="0.19"/>
    <n v="0.04"/>
    <x v="3"/>
    <s v="VALIDATED"/>
    <n v="1"/>
    <s v="01.11.80.203.6100.0000"/>
    <n v="0.19"/>
    <s v="11"/>
    <s v="6100"/>
    <n v="-32425.63"/>
    <n v="0.1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7"/>
    <d v="2023-07-03T19:04:58"/>
    <s v="Y"/>
    <s v="Preparation - other"/>
    <s v="VHCC"/>
    <s v="Profit Cost"/>
    <s v="JML"/>
    <s v="Y"/>
    <n v="35.78"/>
    <n v="7.16"/>
    <x v="3"/>
    <s v="VALIDATED"/>
    <n v="1"/>
    <s v="01.11.80.203.6100.0000"/>
    <n v="35.78"/>
    <s v="11"/>
    <s v="6100"/>
    <n v="-32425.63"/>
    <n v="35.7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3"/>
    <d v="2023-07-03T19:04:58"/>
    <s v="Y"/>
    <s v="Item - Routine Outgoing letter"/>
    <s v="VHCC"/>
    <s v="Profit Cost"/>
    <s v="CBD"/>
    <s v="Y"/>
    <n v="2585.25"/>
    <n v="517.29"/>
    <x v="3"/>
    <s v="VALIDATED"/>
    <n v="1"/>
    <s v="01.11.80.203.6100.0000"/>
    <n v="2585.25"/>
    <s v="11"/>
    <s v="6100"/>
    <n v="-32425.63"/>
    <n v="2585.2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4"/>
    <d v="2023-07-03T19:04:58"/>
    <s v="Y"/>
    <s v="Preparation - other"/>
    <s v="VHCC"/>
    <s v="Profit Cost"/>
    <s v="JML 65"/>
    <s v="Y"/>
    <n v="23.61"/>
    <n v="4.72"/>
    <x v="3"/>
    <s v="VALIDATED"/>
    <n v="1"/>
    <s v="01.11.80.203.6100.0000"/>
    <n v="23.61"/>
    <s v="11"/>
    <s v="6100"/>
    <n v="-32425.63"/>
    <n v="23.61"/>
    <s v="DEBTOR"/>
    <n v="0"/>
    <n v="0"/>
    <n v="0"/>
    <n v="0"/>
    <n v="0"/>
  </r>
  <r>
    <n v="8733210"/>
    <s v="N"/>
    <n v="21403533"/>
    <s v="3000004746670021"/>
    <s v="CIVIL"/>
    <d v="2023-06-06T00:00:00"/>
    <d v="2023-07-20T19:22:20"/>
    <m/>
    <d v="2023-07-20T00:00:00"/>
    <n v="1878"/>
    <n v="1547"/>
    <s v="8733210"/>
    <s v="8733210"/>
    <m/>
    <m/>
    <n v="22629506"/>
    <m/>
    <m/>
    <m/>
    <s v="SOLFIN"/>
    <s v="SOLFIN"/>
    <s v="CCMS"/>
    <n v="21403533"/>
    <n v="4211.9"/>
    <m/>
    <s v="N"/>
    <n v="6"/>
    <d v="2023-07-20T19:22:42"/>
    <s v="N"/>
    <s v="Court Fee"/>
    <s v="Non Family Hourly Rates"/>
    <s v="Non Expert Disbursement"/>
    <s v="XXX"/>
    <s v="N"/>
    <n v="100"/>
    <n v="0"/>
    <x v="13"/>
    <s v="VALIDATED"/>
    <n v="1"/>
    <s v="01.11.80.201.6300.0000"/>
    <n v="100"/>
    <s v="11"/>
    <s v="6300"/>
    <n v="-32425.63"/>
    <n v="100"/>
    <s v="DEBTOR"/>
    <n v="0"/>
    <n v="0"/>
    <n v="0"/>
    <n v="0"/>
    <n v="0"/>
  </r>
  <r>
    <n v="8733210"/>
    <s v="N"/>
    <n v="21403533"/>
    <s v="3000004746670021"/>
    <s v="CIVIL"/>
    <d v="2023-06-06T00:00:00"/>
    <d v="2023-07-20T19:22:20"/>
    <m/>
    <d v="2023-07-20T00:00:00"/>
    <n v="1878"/>
    <n v="1547"/>
    <s v="8733210"/>
    <s v="8733210"/>
    <m/>
    <m/>
    <n v="22629506"/>
    <m/>
    <m/>
    <m/>
    <s v="SOLFIN"/>
    <s v="SOLFIN"/>
    <s v="CCMS"/>
    <n v="21403533"/>
    <n v="4211.9"/>
    <m/>
    <s v="N"/>
    <n v="7"/>
    <d v="2023-07-20T19:22:42"/>
    <s v="N"/>
    <s v="Court Fee"/>
    <s v="Non Family Hourly Rates"/>
    <s v="Non Expert Disbursement"/>
    <s v="XXX"/>
    <s v="N"/>
    <n v="100"/>
    <n v="0"/>
    <x v="13"/>
    <s v="VALIDATED"/>
    <n v="1"/>
    <s v="01.11.80.201.6300.0000"/>
    <n v="100"/>
    <s v="11"/>
    <s v="6300"/>
    <n v="-32425.63"/>
    <n v="100"/>
    <s v="DEBTOR"/>
    <n v="0"/>
    <n v="0"/>
    <n v="0"/>
    <n v="0"/>
    <n v="0"/>
  </r>
  <r>
    <n v="61742173"/>
    <s v="N"/>
    <n v="21319086"/>
    <s v="3000015815100003"/>
    <s v="CIVIL"/>
    <d v="2023-06-23T00:00:00"/>
    <d v="2023-07-03T19:01:49"/>
    <m/>
    <d v="2023-07-03T00:00:00"/>
    <n v="1878"/>
    <n v="1547"/>
    <s v="61742173"/>
    <s v="61742173"/>
    <m/>
    <m/>
    <n v="22750850"/>
    <m/>
    <m/>
    <m/>
    <s v="SOLFIN"/>
    <s v="SOLFIN"/>
    <s v="CCMS"/>
    <n v="21319086"/>
    <n v="5246"/>
    <m/>
    <s v="N"/>
    <n v="64"/>
    <d v="2023-07-03T19:02:10"/>
    <s v="Y"/>
    <s v="Preparation - other"/>
    <s v="Prescribed Hourly Rates"/>
    <s v="Profit Cost"/>
    <s v="MAE 15"/>
    <s v="Y"/>
    <n v="20.49"/>
    <n v="4.1"/>
    <x v="3"/>
    <s v="VALIDATED"/>
    <n v="1"/>
    <s v="01.11.80.305.6100.0000"/>
    <n v="20.49"/>
    <s v="11"/>
    <s v="6100"/>
    <n v="-32425.63"/>
    <n v="20.4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99"/>
    <d v="2023-07-10T19:02:05"/>
    <s v="Y"/>
    <s v="Attendance upon client"/>
    <s v="Non Family Hourly Rates"/>
    <s v="Profit Cost"/>
    <s v="LG"/>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4"/>
    <d v="2023-07-10T19:02:05"/>
    <s v="Y"/>
    <s v="Preparation - drafting statement"/>
    <s v="Non Family Hourly Rates"/>
    <s v="Profit Cost"/>
    <s v="LG"/>
    <s v="Y"/>
    <n v="236.12"/>
    <n v="0"/>
    <x v="2"/>
    <s v="VALIDATED"/>
    <n v="1"/>
    <s v="01.11.80.203.6100.0000"/>
    <n v="236.12"/>
    <s v="11"/>
    <s v="6100"/>
    <n v="-32425.63"/>
    <n v="236.1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2"/>
    <d v="2023-07-10T19:02:05"/>
    <s v="Y"/>
    <s v="Attendance upon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80"/>
    <d v="2023-07-10T19:02:05"/>
    <s v="Y"/>
    <s v="Preparation - other"/>
    <s v="Non Family Hourly Rates"/>
    <s v="Profit Cost"/>
    <s v="LG"/>
    <s v="Y"/>
    <n v="32.21"/>
    <n v="0"/>
    <x v="2"/>
    <s v="VALIDATED"/>
    <n v="1"/>
    <s v="01.11.80.203.6100.0000"/>
    <n v="32.21"/>
    <s v="11"/>
    <s v="6100"/>
    <n v="-32425.63"/>
    <n v="32.21"/>
    <s v="DEBTOR"/>
    <n v="0"/>
    <n v="0"/>
    <n v="0"/>
    <n v="0"/>
    <n v="0"/>
  </r>
  <r>
    <n v="62505835"/>
    <s v="N"/>
    <n v="21349453"/>
    <s v="3000016462370001"/>
    <s v="CIVIL"/>
    <d v="2023-06-29T00:00:00"/>
    <d v="2023-07-10T19:01:40"/>
    <m/>
    <d v="2023-07-10T00:00:00"/>
    <n v="1878"/>
    <n v="1547"/>
    <s v="62505835"/>
    <s v="62505835"/>
    <m/>
    <m/>
    <n v="22788222"/>
    <m/>
    <m/>
    <m/>
    <s v="SOLFIN"/>
    <s v="SOLFIN"/>
    <s v="CCMS"/>
    <n v="21349453"/>
    <n v="1212.58"/>
    <m/>
    <s v="N"/>
    <n v="7"/>
    <d v="2023-07-10T19:01:50"/>
    <s v="Y"/>
    <s v="Preparation - drafting pleadings"/>
    <s v="Care Remuneration Hourly Rates"/>
    <s v="Profit Cost"/>
    <s v="HPY"/>
    <s v="Y"/>
    <n v="25.77"/>
    <n v="5.15"/>
    <x v="2"/>
    <s v="VALIDATED"/>
    <n v="1"/>
    <s v="01.11.80.308.6100.0000"/>
    <n v="25.77"/>
    <s v="11"/>
    <s v="6100"/>
    <n v="-32425.63"/>
    <n v="25.7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6"/>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1"/>
    <d v="2023-07-03T19:04:58"/>
    <s v="Y"/>
    <s v="Preparation - other"/>
    <s v="VHCC"/>
    <s v="Profit Cost"/>
    <s v="JML 65"/>
    <s v="Y"/>
    <n v="661.14"/>
    <n v="132.22"/>
    <x v="3"/>
    <s v="VALIDATED"/>
    <n v="1"/>
    <s v="01.11.80.203.6100.0000"/>
    <n v="661.14"/>
    <s v="11"/>
    <s v="6100"/>
    <n v="-32425.63"/>
    <n v="661.1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5"/>
    <d v="2023-07-03T19:04:58"/>
    <s v="Y"/>
    <s v="Attendance upon other"/>
    <s v="VHCC"/>
    <s v="Profit Cost"/>
    <s v="MJS"/>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4"/>
    <d v="2023-07-03T19:04:58"/>
    <s v="Y"/>
    <s v="Item - Routine Telephone Call"/>
    <s v="VHCC"/>
    <s v="Profit Cost"/>
    <s v="JML"/>
    <s v="Y"/>
    <n v="44.88"/>
    <n v="8.970000000000001"/>
    <x v="3"/>
    <s v="VALIDATED"/>
    <n v="1"/>
    <s v="01.11.80.203.6100.0000"/>
    <n v="44.88"/>
    <s v="11"/>
    <s v="6100"/>
    <n v="-32425.63"/>
    <n v="44.88"/>
    <s v="DEBTOR"/>
    <n v="0"/>
    <n v="0"/>
    <n v="0"/>
    <n v="0"/>
    <n v="0"/>
  </r>
  <r>
    <n v="8733210"/>
    <s v="N"/>
    <n v="21403533"/>
    <s v="3000004746670021"/>
    <s v="CIVIL"/>
    <d v="2023-06-06T00:00:00"/>
    <d v="2023-07-20T19:22:20"/>
    <m/>
    <d v="2023-07-20T00:00:00"/>
    <n v="1878"/>
    <n v="1547"/>
    <s v="8733210"/>
    <s v="8733210"/>
    <m/>
    <m/>
    <n v="22629506"/>
    <m/>
    <m/>
    <m/>
    <s v="SOLFIN"/>
    <s v="SOLFIN"/>
    <s v="CCMS"/>
    <n v="21403533"/>
    <n v="4211.9"/>
    <m/>
    <s v="N"/>
    <n v="99"/>
    <d v="2023-07-20T19:22:42"/>
    <s v="Y"/>
    <s v="Waiting - other"/>
    <s v="Non Family Hourly Rates"/>
    <s v="Profit Cost"/>
    <s v="GMT"/>
    <s v="Y"/>
    <n v="5.26"/>
    <n v="1.05"/>
    <x v="13"/>
    <s v="VALIDATED"/>
    <n v="1"/>
    <s v="01.11.80.201.6100.0000"/>
    <n v="5.26"/>
    <s v="11"/>
    <s v="6100"/>
    <n v="-32425.63"/>
    <n v="5.26"/>
    <s v="DEBTOR"/>
    <n v="0"/>
    <n v="0"/>
    <n v="0"/>
    <n v="0"/>
    <n v="0"/>
  </r>
  <r>
    <n v="61742173"/>
    <s v="N"/>
    <n v="21319086"/>
    <s v="3000015815100003"/>
    <s v="CIVIL"/>
    <d v="2023-06-23T00:00:00"/>
    <d v="2023-07-03T19:01:49"/>
    <m/>
    <d v="2023-07-03T00:00:00"/>
    <n v="1878"/>
    <n v="1547"/>
    <s v="61742173"/>
    <s v="61742173"/>
    <m/>
    <m/>
    <n v="22750850"/>
    <m/>
    <m/>
    <m/>
    <s v="SOLFIN"/>
    <s v="SOLFIN"/>
    <s v="CCMS"/>
    <n v="21319086"/>
    <n v="5246"/>
    <m/>
    <s v="N"/>
    <n v="18"/>
    <d v="2023-07-03T19:02:10"/>
    <s v="Y"/>
    <s v="Preparation - other"/>
    <s v="Prescribed Hourly Rates"/>
    <s v="Profit Cost"/>
    <s v="MAE 15"/>
    <s v="Y"/>
    <n v="6.83"/>
    <n v="1.37"/>
    <x v="3"/>
    <s v="VALIDATED"/>
    <n v="1"/>
    <s v="01.11.80.305.6100.0000"/>
    <n v="6.83"/>
    <s v="11"/>
    <s v="6100"/>
    <n v="-32425.63"/>
    <n v="6.83"/>
    <s v="DEBTOR"/>
    <n v="0"/>
    <n v="0"/>
    <n v="0"/>
    <n v="0"/>
    <n v="0"/>
  </r>
  <r>
    <n v="61742173"/>
    <s v="N"/>
    <n v="21319086"/>
    <s v="3000015815100003"/>
    <s v="CIVIL"/>
    <d v="2023-06-23T00:00:00"/>
    <d v="2023-07-03T19:01:49"/>
    <m/>
    <d v="2023-07-03T00:00:00"/>
    <n v="1878"/>
    <n v="1547"/>
    <s v="61742173"/>
    <s v="61742173"/>
    <m/>
    <m/>
    <n v="22750850"/>
    <m/>
    <m/>
    <m/>
    <s v="SOLFIN"/>
    <s v="SOLFIN"/>
    <s v="CCMS"/>
    <n v="21319086"/>
    <n v="5246"/>
    <m/>
    <s v="N"/>
    <n v="30"/>
    <d v="2023-07-03T19:02:10"/>
    <s v="Y"/>
    <s v="Preparation - other"/>
    <s v="Prescribed Hourly Rates"/>
    <s v="Profit Cost"/>
    <s v="MAE 15"/>
    <s v="Y"/>
    <n v="13.66"/>
    <n v="2.73"/>
    <x v="3"/>
    <s v="VALIDATED"/>
    <n v="1"/>
    <s v="01.11.80.305.6100.0000"/>
    <n v="13.66"/>
    <s v="11"/>
    <s v="6100"/>
    <n v="-32425.63"/>
    <n v="13.66"/>
    <s v="DEBTOR"/>
    <n v="0"/>
    <n v="0"/>
    <n v="0"/>
    <n v="0"/>
    <n v="0"/>
  </r>
  <r>
    <n v="61742173"/>
    <s v="N"/>
    <n v="21319086"/>
    <s v="3000015815100003"/>
    <s v="CIVIL"/>
    <d v="2023-06-23T00:00:00"/>
    <d v="2023-07-03T19:01:49"/>
    <m/>
    <d v="2023-07-03T00:00:00"/>
    <n v="1878"/>
    <n v="1547"/>
    <s v="61742173"/>
    <s v="61742173"/>
    <m/>
    <m/>
    <n v="22750850"/>
    <m/>
    <m/>
    <m/>
    <s v="SOLFIN"/>
    <s v="SOLFIN"/>
    <s v="CCMS"/>
    <n v="21319086"/>
    <n v="5246"/>
    <m/>
    <s v="N"/>
    <n v="31"/>
    <d v="2023-07-03T19:02:10"/>
    <s v="Y"/>
    <s v="Preparation - drafting instructions"/>
    <s v="Prescribed Hourly Rates"/>
    <s v="Profit Cost"/>
    <s v="MAE 15"/>
    <s v="Y"/>
    <n v="61.48"/>
    <n v="12.3"/>
    <x v="3"/>
    <s v="VALIDATED"/>
    <n v="1"/>
    <s v="01.11.80.305.6100.0000"/>
    <n v="61.48"/>
    <s v="11"/>
    <s v="6100"/>
    <n v="-32425.63"/>
    <n v="61.48"/>
    <s v="DEBTOR"/>
    <n v="0"/>
    <n v="0"/>
    <n v="0"/>
    <n v="0"/>
    <n v="0"/>
  </r>
  <r>
    <n v="61742173"/>
    <s v="N"/>
    <n v="21319086"/>
    <s v="3000015815100003"/>
    <s v="CIVIL"/>
    <d v="2023-06-23T00:00:00"/>
    <d v="2023-07-03T19:01:49"/>
    <m/>
    <d v="2023-07-03T00:00:00"/>
    <n v="1878"/>
    <n v="1547"/>
    <s v="61742173"/>
    <s v="61742173"/>
    <m/>
    <m/>
    <n v="22750850"/>
    <m/>
    <m/>
    <m/>
    <s v="SOLFIN"/>
    <s v="SOLFIN"/>
    <s v="CCMS"/>
    <n v="21319086"/>
    <n v="5246"/>
    <m/>
    <s v="N"/>
    <n v="33"/>
    <d v="2023-07-03T19:02:10"/>
    <s v="Y"/>
    <s v="Preparation - drafting instructions"/>
    <s v="Prescribed Hourly Rates"/>
    <s v="Profit Cost"/>
    <s v="MAE 15"/>
    <s v="Y"/>
    <n v="20.49"/>
    <n v="4.1"/>
    <x v="3"/>
    <s v="VALIDATED"/>
    <n v="1"/>
    <s v="01.11.80.305.6100.0000"/>
    <n v="20.49"/>
    <s v="11"/>
    <s v="6100"/>
    <n v="-32425.63"/>
    <n v="20.49"/>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1"/>
    <d v="2023-07-18T19:00:56"/>
    <s v="Y"/>
    <s v="Preparation - other"/>
    <s v="Non Family Hourly Rates"/>
    <s v="Profit Cost"/>
    <s v="MSK"/>
    <s v="Y"/>
    <n v="7.16"/>
    <n v="1.43"/>
    <x v="14"/>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0"/>
    <d v="2023-07-10T19:01:45"/>
    <s v="Y"/>
    <s v="Preparation - other"/>
    <s v="Care Remuneration Hourly Rates"/>
    <s v="Profit Cost"/>
    <s v="JBL 30"/>
    <s v="Y"/>
    <n v="1436.24"/>
    <n v="287.24"/>
    <x v="2"/>
    <s v="VALIDATED"/>
    <n v="1"/>
    <s v="01.11.80.308.6100.0000"/>
    <n v="1436.24"/>
    <s v="11"/>
    <s v="6100"/>
    <n v="-32425.63"/>
    <n v="1436.2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84"/>
    <d v="2023-07-10T19:02:05"/>
    <s v="Y"/>
    <s v="Routine Letter Out"/>
    <s v="Non Family Hourly Rates"/>
    <s v="Profit Cost"/>
    <s v="CB"/>
    <s v="Y"/>
    <n v="1768.5"/>
    <n v="0"/>
    <x v="2"/>
    <s v="VALIDATED"/>
    <n v="1"/>
    <s v="01.11.80.203.6100.0000"/>
    <n v="1768.5"/>
    <s v="11"/>
    <s v="6100"/>
    <n v="-32425.63"/>
    <n v="1768.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3"/>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9"/>
    <d v="2023-07-10T19:02:05"/>
    <s v="Y"/>
    <s v="Attendance upon client"/>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3"/>
    <d v="2023-07-10T19:02:05"/>
    <s v="Y"/>
    <s v="Preparation - other"/>
    <s v="Non Family Hourly Rates"/>
    <s v="Profit Cost"/>
    <s v="CB"/>
    <s v="Y"/>
    <n v="21.47"/>
    <n v="0"/>
    <x v="2"/>
    <s v="VALIDATED"/>
    <n v="1"/>
    <s v="01.11.80.203.6100.0000"/>
    <n v="21.47"/>
    <s v="11"/>
    <s v="6100"/>
    <n v="-32425.63"/>
    <n v="21.4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6"/>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1"/>
    <d v="2023-07-10T19:01:45"/>
    <s v="Y"/>
    <s v="Preparation - other"/>
    <s v="Care Remuneration Hourly Rates"/>
    <s v="Profit Cost"/>
    <s v="JBL 30"/>
    <s v="Y"/>
    <n v="71.81"/>
    <n v="14.36"/>
    <x v="2"/>
    <s v="VALIDATED"/>
    <n v="1"/>
    <s v="01.11.80.308.6100.0000"/>
    <n v="71.81"/>
    <s v="11"/>
    <s v="6100"/>
    <n v="-32425.63"/>
    <n v="71.8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3"/>
    <d v="2023-07-10T19:01:45"/>
    <s v="Y"/>
    <s v="Hearing Unit 1.01 - 2.30 Hours"/>
    <s v="Public Law Children"/>
    <s v="Advocacy"/>
    <s v="JBL"/>
    <s v="Y"/>
    <n v="238.46"/>
    <n v="47.69"/>
    <x v="2"/>
    <s v="VALIDATED"/>
    <n v="1"/>
    <s v="01.11.80.308.6100.0000"/>
    <n v="238.46"/>
    <s v="11"/>
    <s v="6100"/>
    <n v="-32425.63"/>
    <n v="238.4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3"/>
    <d v="2023-07-10T19:01:45"/>
    <s v="Y"/>
    <s v="Preparation - drafting statement"/>
    <s v="Care Remuneration Hourly Rates"/>
    <s v="Profit Cost"/>
    <s v="AMA 30"/>
    <s v="Y"/>
    <n v="7.18"/>
    <n v="1.44"/>
    <x v="2"/>
    <s v="VALIDATED"/>
    <n v="1"/>
    <s v="01.11.80.308.6100.0000"/>
    <n v="7.18"/>
    <s v="11"/>
    <s v="6100"/>
    <n v="-32425.63"/>
    <n v="7.1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1"/>
    <d v="2023-07-10T19:01:45"/>
    <s v="Y"/>
    <s v="Preparation - other"/>
    <s v="Care Remuneration Hourly Rates"/>
    <s v="Profit Cost"/>
    <s v="AGI 30"/>
    <s v="Y"/>
    <n v="35.91"/>
    <n v="7.18"/>
    <x v="2"/>
    <s v="VALIDATED"/>
    <n v="1"/>
    <s v="01.11.80.308.6100.0000"/>
    <n v="35.91"/>
    <s v="11"/>
    <s v="6100"/>
    <n v="-32425.63"/>
    <n v="35.91"/>
    <s v="DEBTOR"/>
    <n v="0"/>
    <n v="0"/>
    <n v="0"/>
    <n v="0"/>
    <n v="0"/>
  </r>
  <r>
    <n v="59677260"/>
    <s v="N"/>
    <n v="21331257"/>
    <s v="3000014052440026"/>
    <s v="CIVIL"/>
    <d v="2023-06-30T00:00:00"/>
    <d v="2023-07-05T19:01:47"/>
    <m/>
    <d v="2023-07-05T00:00:00"/>
    <n v="1878"/>
    <n v="1547"/>
    <s v="59677260"/>
    <s v="59677260"/>
    <m/>
    <m/>
    <n v="22798826"/>
    <m/>
    <m/>
    <m/>
    <s v="SOLINT"/>
    <s v="SOLINT"/>
    <s v="CCMS"/>
    <n v="21331257"/>
    <n v="4736.2"/>
    <m/>
    <s v="N"/>
    <n v="32"/>
    <d v="2023-07-05T19:02:12"/>
    <s v="Y"/>
    <s v="Preparation - other"/>
    <s v="VHCC"/>
    <s v="Profit Cost"/>
    <s v="SHL"/>
    <s v="Y"/>
    <n v="42.93"/>
    <n v="8.59"/>
    <x v="6"/>
    <s v="VALIDATED"/>
    <n v="1"/>
    <s v="01.11.80.203.6100.0000"/>
    <n v="42.93"/>
    <s v="11"/>
    <s v="6100"/>
    <n v="-32425.63"/>
    <n v="42.9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5"/>
    <d v="2023-07-05T19:02:06"/>
    <s v="Y"/>
    <s v="Preparation - drafting bill/claim f"/>
    <s v="VHCC"/>
    <s v="Profit Cost"/>
    <s v="SHL"/>
    <s v="Y"/>
    <n v="71.55"/>
    <n v="14.31"/>
    <x v="6"/>
    <s v="VALIDATED"/>
    <n v="1"/>
    <s v="01.11.80.203.6100.0000"/>
    <n v="71.55"/>
    <s v="11"/>
    <s v="6100"/>
    <n v="-32425.63"/>
    <n v="71.5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
    <d v="2023-07-05T19:02:06"/>
    <s v="Y"/>
    <s v="Preparation - drafting application"/>
    <s v="VHCC"/>
    <s v="Profit Cost"/>
    <s v="SHL"/>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21"/>
    <d v="2023-07-05T19:02:06"/>
    <s v="Y"/>
    <s v="Occupational therapist"/>
    <s v="VHCC"/>
    <s v="Expert Disbursement"/>
    <s v="SHL"/>
    <s v="Y"/>
    <n v="355.4"/>
    <n v="71.08"/>
    <x v="6"/>
    <s v="VALIDATED"/>
    <n v="1"/>
    <s v="01.11.80.203.6300.0000"/>
    <n v="355.4"/>
    <s v="11"/>
    <s v="6300"/>
    <n v="-32425.63"/>
    <n v="355.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8"/>
    <d v="2023-07-05T19:02:06"/>
    <s v="Y"/>
    <s v="Preparation - other"/>
    <s v="VHCC"/>
    <s v="Profit Cost"/>
    <s v="SHL 60"/>
    <s v="Y"/>
    <n v="11.45"/>
    <n v="2.29"/>
    <x v="6"/>
    <s v="VALIDATED"/>
    <n v="1"/>
    <s v="01.11.80.203.6100.0000"/>
    <n v="11.45"/>
    <s v="11"/>
    <s v="6100"/>
    <n v="-32425.63"/>
    <n v="11.4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8"/>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5"/>
    <d v="2023-07-05T19:01:55"/>
    <s v="Y"/>
    <s v="Advocacy - In court behind Counsel"/>
    <s v="Non Family Hourly Rates"/>
    <s v="Advocacy"/>
    <s v="HRL"/>
    <s v="Y"/>
    <n v="26.64"/>
    <n v="5.33"/>
    <x v="6"/>
    <s v="VALIDATED"/>
    <n v="1"/>
    <s v="01.11.80.203.6100.0000"/>
    <n v="26.64"/>
    <s v="11"/>
    <s v="6100"/>
    <n v="-32425.63"/>
    <n v="26.6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4"/>
    <d v="2023-07-05T19:01:55"/>
    <s v="Y"/>
    <s v="Preparation - drafting instructions"/>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8"/>
    <d v="2023-07-05T19:01:55"/>
    <s v="Y"/>
    <s v="Preparation - other"/>
    <s v="Non Family Hourly Rates"/>
    <s v="Profit Cost"/>
    <s v="GLE"/>
    <s v="Y"/>
    <n v="71.55"/>
    <n v="14.31"/>
    <x v="6"/>
    <s v="VALIDATED"/>
    <n v="1"/>
    <s v="01.11.80.203.6100.0000"/>
    <n v="71.55"/>
    <s v="11"/>
    <s v="6100"/>
    <n v="-32425.63"/>
    <n v="71.5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4"/>
    <d v="2023-07-05T19:01:55"/>
    <s v="Y"/>
    <s v="Preparation - other"/>
    <s v="Non Family Hourly Rates"/>
    <s v="Profit Cost"/>
    <s v="CBD"/>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6"/>
    <d v="2023-07-05T19:01:55"/>
    <s v="Y"/>
    <s v="Preparation - other"/>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5"/>
    <d v="2023-07-05T19:01:55"/>
    <s v="Y"/>
    <s v="Preparation - other"/>
    <s v="Non Family Hourly Rates"/>
    <s v="Profit Cost"/>
    <s v="GLE"/>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8"/>
    <d v="2023-07-05T19:01:55"/>
    <s v="Y"/>
    <s v="Routine Letter Out"/>
    <s v="Non Family Hourly Rates"/>
    <s v="Profit Cost"/>
    <s v="CBD"/>
    <s v="Y"/>
    <n v="2146.5"/>
    <n v="429.45"/>
    <x v="6"/>
    <s v="VALIDATED"/>
    <n v="1"/>
    <s v="01.11.80.203.6100.0000"/>
    <n v="2146.5"/>
    <s v="11"/>
    <s v="6100"/>
    <n v="-32425.63"/>
    <n v="2146.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5"/>
    <d v="2023-07-05T19:01:55"/>
    <s v="Y"/>
    <s v="Attendance upon other"/>
    <s v="Non Family Hourly Rates"/>
    <s v="Profit Cost"/>
    <s v="HRL 50"/>
    <s v="Y"/>
    <n v="21.47"/>
    <n v="4.29"/>
    <x v="6"/>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2"/>
    <d v="2023-07-03T19:04:58"/>
    <s v="Y"/>
    <s v="Preparation - other"/>
    <s v="VHCC"/>
    <s v="Profit Cost"/>
    <s v="JML"/>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5"/>
    <d v="2023-07-03T19:04:58"/>
    <s v="Y"/>
    <s v="Preparation - drafting statement"/>
    <s v="VHCC"/>
    <s v="Profit Cost"/>
    <s v="MJS 65"/>
    <s v="Y"/>
    <n v="35.42"/>
    <n v="7.08"/>
    <x v="3"/>
    <s v="VALIDATED"/>
    <n v="1"/>
    <s v="01.11.80.203.6100.0000"/>
    <n v="35.42"/>
    <s v="11"/>
    <s v="6100"/>
    <n v="-32425.63"/>
    <n v="35.42"/>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8"/>
    <d v="2023-07-18T19:00:56"/>
    <s v="Y"/>
    <s v="Attendance upon client"/>
    <s v="Non Family Hourly Rates"/>
    <s v="Profit Cost"/>
    <s v="MSK 50"/>
    <s v="Y"/>
    <n v="21.47"/>
    <n v="4.29"/>
    <x v="14"/>
    <s v="VALIDATED"/>
    <n v="1"/>
    <s v="01.11.80.203.6100.0000"/>
    <n v="21.47"/>
    <s v="11"/>
    <s v="6100"/>
    <n v="-32425.63"/>
    <n v="21.47"/>
    <s v="DEBTOR"/>
    <n v="0"/>
    <n v="0"/>
    <n v="0"/>
    <n v="0"/>
    <n v="0"/>
  </r>
  <r>
    <n v="8733210"/>
    <s v="N"/>
    <n v="21403533"/>
    <s v="3000004746670021"/>
    <s v="CIVIL"/>
    <d v="2023-06-06T00:00:00"/>
    <d v="2023-07-20T19:22:20"/>
    <m/>
    <d v="2023-07-20T00:00:00"/>
    <n v="1878"/>
    <n v="1547"/>
    <s v="8733210"/>
    <s v="8733210"/>
    <m/>
    <m/>
    <n v="22629506"/>
    <m/>
    <m/>
    <m/>
    <s v="SOLFIN"/>
    <s v="SOLFIN"/>
    <s v="CCMS"/>
    <n v="21403533"/>
    <n v="4211.9"/>
    <m/>
    <s v="N"/>
    <n v="36"/>
    <d v="2023-07-20T19:22:42"/>
    <s v="Y"/>
    <s v="Preparation - other"/>
    <s v="Non Family Hourly Rates"/>
    <s v="Profit Cost"/>
    <s v="BSS"/>
    <s v="Y"/>
    <n v="12.6"/>
    <n v="2.52"/>
    <x v="13"/>
    <s v="VALIDATED"/>
    <n v="1"/>
    <s v="01.11.80.201.6100.0000"/>
    <n v="12.6"/>
    <s v="11"/>
    <s v="6100"/>
    <n v="-32425.63"/>
    <n v="12.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9"/>
    <d v="2023-07-05T19:02:06"/>
    <s v="Y"/>
    <s v="Preparation - other"/>
    <s v="VHCC"/>
    <s v="Profit Cost"/>
    <s v="SHL 60"/>
    <s v="Y"/>
    <n v="34.34"/>
    <n v="6.87"/>
    <x v="6"/>
    <s v="VALIDATED"/>
    <n v="1"/>
    <s v="01.11.80.203.6100.0000"/>
    <n v="34.34"/>
    <s v="11"/>
    <s v="6100"/>
    <n v="-32425.63"/>
    <n v="34.34"/>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7"/>
    <d v="2023-07-05T19:02:09"/>
    <s v="Y"/>
    <s v="Preparation - other"/>
    <s v="VHCC"/>
    <s v="Profit Cost"/>
    <s v="GLE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4"/>
    <d v="2023-07-05T19:02:06"/>
    <s v="Y"/>
    <s v="Preparation - drafting statement"/>
    <s v="VHCC"/>
    <s v="Profit Cost"/>
    <s v="SHL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8"/>
    <d v="2023-07-05T19:02:06"/>
    <s v="Y"/>
    <s v="Preparation - other"/>
    <s v="VHCC"/>
    <s v="Profit Cost"/>
    <s v="SHL 60"/>
    <s v="Y"/>
    <n v="91.58"/>
    <n v="18.32"/>
    <x v="6"/>
    <s v="VALIDATED"/>
    <n v="1"/>
    <s v="01.11.80.203.6100.0000"/>
    <n v="91.58"/>
    <s v="11"/>
    <s v="6100"/>
    <n v="-32425.63"/>
    <n v="91.5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8"/>
    <d v="2023-07-05T19:02:06"/>
    <s v="Y"/>
    <s v="Preparation - other"/>
    <s v="VHCC"/>
    <s v="Profit Cost"/>
    <s v="SHL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2"/>
    <d v="2023-07-05T19:02:06"/>
    <s v="Y"/>
    <s v="Preparation - other"/>
    <s v="VHCC"/>
    <s v="Profit Cost"/>
    <s v="SHL 60"/>
    <s v="Y"/>
    <n v="22.9"/>
    <n v="4.58"/>
    <x v="6"/>
    <s v="VALIDATED"/>
    <n v="1"/>
    <s v="01.11.80.203.6100.0000"/>
    <n v="22.9"/>
    <s v="11"/>
    <s v="6100"/>
    <n v="-32425.63"/>
    <n v="22.9"/>
    <s v="DEBTOR"/>
    <n v="0"/>
    <n v="0"/>
    <n v="0"/>
    <n v="0"/>
    <n v="0"/>
  </r>
  <r>
    <n v="59677260"/>
    <s v="N"/>
    <n v="21331257"/>
    <s v="3000014052440026"/>
    <s v="CIVIL"/>
    <d v="2023-06-30T00:00:00"/>
    <d v="2023-07-05T19:01:47"/>
    <m/>
    <d v="2023-07-05T00:00:00"/>
    <n v="1878"/>
    <n v="1547"/>
    <s v="59677260"/>
    <s v="59677260"/>
    <m/>
    <m/>
    <n v="22798826"/>
    <m/>
    <m/>
    <m/>
    <s v="SOLINT"/>
    <s v="SOLINT"/>
    <s v="CCMS"/>
    <n v="21331257"/>
    <n v="4736.2"/>
    <m/>
    <s v="N"/>
    <n v="11"/>
    <d v="2023-07-05T19:02:12"/>
    <s v="Y"/>
    <s v="Preparation - other"/>
    <s v="VHCC"/>
    <s v="Profit Cost"/>
    <s v="SHL 60"/>
    <s v="Y"/>
    <n v="34.34"/>
    <n v="6.87"/>
    <x v="6"/>
    <s v="VALIDATED"/>
    <n v="1"/>
    <s v="01.11.80.203.6100.0000"/>
    <n v="34.34"/>
    <s v="11"/>
    <s v="6100"/>
    <n v="-32425.63"/>
    <n v="34.3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7"/>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73"/>
    <d v="2023-07-05T19:01:55"/>
    <s v="Y"/>
    <s v="Preparation - drafting bill/claim f"/>
    <s v="Non Family Hourly Rates"/>
    <s v="Profit Cost"/>
    <s v="LD"/>
    <s v="Y"/>
    <n v="1137.65"/>
    <n v="227.52"/>
    <x v="6"/>
    <s v="VALIDATED"/>
    <n v="1"/>
    <s v="01.11.80.203.6100.0000"/>
    <n v="1137.65"/>
    <s v="11"/>
    <s v="6100"/>
    <n v="-32425.63"/>
    <n v="1137.6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2"/>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2"/>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7"/>
    <d v="2023-07-03T19:04:58"/>
    <s v="Y"/>
    <s v="Preparation - other"/>
    <s v="VHCC"/>
    <s v="Profit Cost"/>
    <s v="JML 65"/>
    <s v="Y"/>
    <n v="94.45"/>
    <n v="18.89"/>
    <x v="3"/>
    <s v="VALIDATED"/>
    <n v="1"/>
    <s v="01.11.80.203.6100.0000"/>
    <n v="94.45"/>
    <s v="11"/>
    <s v="6100"/>
    <n v="-32425.63"/>
    <n v="94.4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4"/>
    <d v="2023-07-03T19:04:58"/>
    <s v="Y"/>
    <s v="Preparation - other"/>
    <s v="VHCC"/>
    <s v="Profit Cost"/>
    <s v="JML"/>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8"/>
    <d v="2023-07-03T19:04:58"/>
    <s v="Y"/>
    <s v="Preparation - other"/>
    <s v="VHCC"/>
    <s v="Profit Cost"/>
    <s v="JML 65"/>
    <s v="Y"/>
    <n v="425.02"/>
    <n v="85"/>
    <x v="3"/>
    <s v="VALIDATED"/>
    <n v="1"/>
    <s v="01.11.80.203.6100.0000"/>
    <n v="425.02"/>
    <s v="11"/>
    <s v="6100"/>
    <n v="-32425.63"/>
    <n v="425.02"/>
    <s v="DEBTOR"/>
    <n v="0"/>
    <n v="0"/>
    <n v="0"/>
    <n v="0"/>
    <n v="0"/>
  </r>
  <r>
    <n v="8733210"/>
    <s v="N"/>
    <n v="21403533"/>
    <s v="3000004746670021"/>
    <s v="CIVIL"/>
    <d v="2023-06-06T00:00:00"/>
    <d v="2023-07-20T19:22:20"/>
    <m/>
    <d v="2023-07-20T00:00:00"/>
    <n v="1878"/>
    <n v="1547"/>
    <s v="8733210"/>
    <s v="8733210"/>
    <m/>
    <m/>
    <n v="22629506"/>
    <m/>
    <m/>
    <m/>
    <s v="SOLFIN"/>
    <s v="SOLFIN"/>
    <s v="CCMS"/>
    <n v="21403533"/>
    <n v="4211.9"/>
    <m/>
    <s v="N"/>
    <n v="27"/>
    <d v="2023-07-20T19:22:42"/>
    <s v="Y"/>
    <s v="Preparation - drafting bill/claim f"/>
    <s v="Non Family Hourly Rates"/>
    <s v="Profit Cost"/>
    <s v="BSS"/>
    <s v="Y"/>
    <n v="18.9"/>
    <n v="3.78"/>
    <x v="13"/>
    <s v="VALIDATED"/>
    <n v="1"/>
    <s v="01.11.80.201.6100.0000"/>
    <n v="18.9"/>
    <s v="11"/>
    <s v="6100"/>
    <n v="-32425.63"/>
    <n v="18.9"/>
    <s v="DEBTOR"/>
    <n v="0"/>
    <n v="0"/>
    <n v="0"/>
    <n v="0"/>
    <n v="0"/>
  </r>
  <r>
    <n v="8733210"/>
    <s v="N"/>
    <n v="21403533"/>
    <s v="3000004746670021"/>
    <s v="CIVIL"/>
    <d v="2023-06-06T00:00:00"/>
    <d v="2023-07-20T19:22:20"/>
    <m/>
    <d v="2023-07-20T00:00:00"/>
    <n v="1878"/>
    <n v="1547"/>
    <s v="8733210"/>
    <s v="8733210"/>
    <m/>
    <m/>
    <n v="22629506"/>
    <m/>
    <m/>
    <m/>
    <s v="SOLFIN"/>
    <s v="SOLFIN"/>
    <s v="CCMS"/>
    <n v="21403533"/>
    <n v="4211.9"/>
    <m/>
    <s v="N"/>
    <n v="115"/>
    <d v="2023-07-20T19:22:42"/>
    <s v="Y"/>
    <s v="Routine Letter Out"/>
    <s v="Non Family Hourly Rates"/>
    <s v="Profit Cost"/>
    <s v="BSS"/>
    <s v="Y"/>
    <n v="902.88"/>
    <n v="180.58"/>
    <x v="13"/>
    <s v="VALIDATED"/>
    <n v="1"/>
    <s v="01.11.80.201.6100.0000"/>
    <n v="902.88"/>
    <s v="11"/>
    <s v="6100"/>
    <n v="-32425.63"/>
    <n v="902.88"/>
    <s v="DEBTOR"/>
    <n v="0"/>
    <n v="0"/>
    <n v="0"/>
    <n v="0"/>
    <n v="0"/>
  </r>
  <r>
    <n v="8733210"/>
    <s v="N"/>
    <n v="21403533"/>
    <s v="3000004746670021"/>
    <s v="CIVIL"/>
    <d v="2023-06-06T00:00:00"/>
    <d v="2023-07-20T19:22:20"/>
    <m/>
    <d v="2023-07-20T00:00:00"/>
    <n v="1878"/>
    <n v="1547"/>
    <s v="8733210"/>
    <s v="8733210"/>
    <m/>
    <m/>
    <n v="22629506"/>
    <m/>
    <m/>
    <m/>
    <s v="SOLFIN"/>
    <s v="SOLFIN"/>
    <s v="CCMS"/>
    <n v="21403533"/>
    <n v="4211.9"/>
    <m/>
    <s v="N"/>
    <n v="90"/>
    <d v="2023-07-20T19:22:42"/>
    <s v="Y"/>
    <s v="Preparation - research"/>
    <s v="Non Family Hourly Rates"/>
    <s v="Profit Cost"/>
    <s v="BSS"/>
    <s v="Y"/>
    <n v="12.6"/>
    <n v="2.52"/>
    <x v="13"/>
    <s v="VALIDATED"/>
    <n v="1"/>
    <s v="01.11.80.201.6100.0000"/>
    <n v="12.6"/>
    <s v="11"/>
    <s v="6100"/>
    <n v="-32425.63"/>
    <n v="12.6"/>
    <s v="DEBTOR"/>
    <n v="0"/>
    <n v="0"/>
    <n v="0"/>
    <n v="0"/>
    <n v="0"/>
  </r>
  <r>
    <n v="61742173"/>
    <s v="N"/>
    <n v="21319086"/>
    <s v="3000015815100003"/>
    <s v="CIVIL"/>
    <d v="2023-06-23T00:00:00"/>
    <d v="2023-07-03T19:01:49"/>
    <m/>
    <d v="2023-07-03T00:00:00"/>
    <n v="1878"/>
    <n v="1547"/>
    <s v="61742173"/>
    <s v="61742173"/>
    <m/>
    <m/>
    <n v="22750850"/>
    <m/>
    <m/>
    <m/>
    <s v="SOLFIN"/>
    <s v="SOLFIN"/>
    <s v="CCMS"/>
    <n v="21319086"/>
    <n v="5246"/>
    <m/>
    <s v="N"/>
    <n v="52"/>
    <d v="2023-07-03T19:02:10"/>
    <s v="Y"/>
    <s v="Preparation - other"/>
    <s v="Prescribed Hourly Rates"/>
    <s v="Profit Cost"/>
    <s v="MAE 15"/>
    <s v="Y"/>
    <n v="20.49"/>
    <n v="4.1"/>
    <x v="3"/>
    <s v="VALIDATED"/>
    <n v="1"/>
    <s v="01.11.80.305.6100.0000"/>
    <n v="20.49"/>
    <s v="11"/>
    <s v="6100"/>
    <n v="-32425.63"/>
    <n v="20.49"/>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4"/>
    <d v="2023-07-18T19:00:56"/>
    <s v="Y"/>
    <s v="Preparation - other"/>
    <s v="Non Family Hourly Rates"/>
    <s v="Profit Cost"/>
    <s v="MSK"/>
    <s v="Y"/>
    <n v="14.31"/>
    <n v="2.86"/>
    <x v="14"/>
    <s v="VALIDATED"/>
    <n v="1"/>
    <s v="01.11.80.203.6100.0000"/>
    <n v="14.31"/>
    <s v="11"/>
    <s v="6100"/>
    <n v="-32425.63"/>
    <n v="14.3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26"/>
    <d v="2023-07-18T19:00:56"/>
    <s v="Y"/>
    <s v="Preparation - other"/>
    <s v="Non Family Hourly Rates"/>
    <s v="Profit Cost"/>
    <s v="MSK"/>
    <s v="Y"/>
    <n v="21.47"/>
    <n v="4.29"/>
    <x v="14"/>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5"/>
    <d v="2023-07-10T19:02:05"/>
    <s v="Y"/>
    <s v="Preparation - drafting statement"/>
    <s v="Non Family Hourly Rates"/>
    <s v="Profit Cost"/>
    <s v="CB"/>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2"/>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6"/>
    <d v="2023-07-10T19:02:05"/>
    <s v="Y"/>
    <s v="Preparation - drafting attendance n"/>
    <s v="Non Family Hourly Rates"/>
    <s v="Profit Cost"/>
    <s v="LG"/>
    <s v="Y"/>
    <n v="7.16"/>
    <n v="0"/>
    <x v="2"/>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5"/>
    <d v="2023-07-10T19:01:45"/>
    <s v="Y"/>
    <s v="Hearing Unit 2.31 - 5.00 Hours"/>
    <s v="Public Law Children"/>
    <s v="Advocacy"/>
    <s v="JBL"/>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9"/>
    <d v="2023-07-10T19:01:45"/>
    <s v="Y"/>
    <s v="Preparation - other"/>
    <s v="Care Remuneration Hourly Rates"/>
    <s v="Profit Cost"/>
    <s v="AMA 30"/>
    <s v="Y"/>
    <n v="43.08"/>
    <n v="8.619999999999999"/>
    <x v="2"/>
    <s v="VALIDATED"/>
    <n v="1"/>
    <s v="01.11.80.308.6100.0000"/>
    <n v="43.08"/>
    <s v="11"/>
    <s v="6100"/>
    <n v="-32425.63"/>
    <n v="43.0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
    <d v="2023-07-10T19:01:45"/>
    <s v="N"/>
    <s v="Preparation - drafting application"/>
    <s v="Care Remuneration Hourly Rates"/>
    <s v="Profit Cost"/>
    <s v="JBL"/>
    <s v="N"/>
    <n v="19.06"/>
    <n v="3.81"/>
    <x v="2"/>
    <s v="VALIDATED"/>
    <n v="1"/>
    <s v="01.11.80.308.6100.0000"/>
    <n v="19.06"/>
    <s v="11"/>
    <s v="6100"/>
    <n v="-32425.63"/>
    <n v="19.0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7"/>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3"/>
    <d v="2023-07-10T19:01:45"/>
    <s v="Y"/>
    <s v="Preparation - other"/>
    <s v="Care Remuneration Hourly Rates"/>
    <s v="Profit Cost"/>
    <s v="JBL 30"/>
    <s v="Y"/>
    <n v="21.54"/>
    <n v="4.31"/>
    <x v="2"/>
    <s v="VALIDATED"/>
    <n v="1"/>
    <s v="01.11.80.308.6100.0000"/>
    <n v="21.54"/>
    <s v="11"/>
    <s v="6100"/>
    <n v="-32425.63"/>
    <n v="21.54"/>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1"/>
    <d v="2023-07-06T19:21:25"/>
    <s v="Y"/>
    <s v="Preparation - other"/>
    <s v="Care Remuneration Hourly Rates"/>
    <s v="Profit Cost"/>
    <s v="NBS 25"/>
    <s v="Y"/>
    <n v="15.35"/>
    <n v="3.07"/>
    <x v="4"/>
    <s v="VALIDATED"/>
    <n v="1"/>
    <s v="01.11.80.308.6100.0000"/>
    <n v="15.35"/>
    <s v="11"/>
    <s v="6100"/>
    <n v="-32425.63"/>
    <n v="15.35"/>
    <s v="DEBTOR"/>
    <n v="0"/>
    <n v="0"/>
    <n v="0"/>
    <n v="0"/>
    <n v="0"/>
  </r>
  <r>
    <n v="59677260"/>
    <s v="N"/>
    <n v="21331257"/>
    <s v="3000014052440026"/>
    <s v="CIVIL"/>
    <d v="2023-06-30T00:00:00"/>
    <d v="2023-07-05T19:01:47"/>
    <m/>
    <d v="2023-07-05T00:00:00"/>
    <n v="1878"/>
    <n v="1547"/>
    <s v="59677260"/>
    <s v="59677260"/>
    <m/>
    <m/>
    <n v="22798826"/>
    <m/>
    <m/>
    <m/>
    <s v="SOLINT"/>
    <s v="SOLINT"/>
    <s v="CCMS"/>
    <n v="21331257"/>
    <n v="4736.2"/>
    <m/>
    <s v="N"/>
    <n v="29"/>
    <d v="2023-07-05T19:02:12"/>
    <s v="Y"/>
    <s v="Preparation - other"/>
    <s v="VHCC"/>
    <s v="Profit Cost"/>
    <s v="GLE"/>
    <s v="Y"/>
    <n v="372.06"/>
    <n v="74.41"/>
    <x v="6"/>
    <s v="VALIDATED"/>
    <n v="1"/>
    <s v="01.11.80.203.6100.0000"/>
    <n v="372.06"/>
    <s v="11"/>
    <s v="6100"/>
    <n v="-32425.63"/>
    <n v="372.06"/>
    <s v="DEBTOR"/>
    <n v="0"/>
    <n v="0"/>
    <n v="0"/>
    <n v="0"/>
    <n v="0"/>
  </r>
  <r>
    <n v="59677260"/>
    <s v="N"/>
    <n v="21331257"/>
    <s v="3000014052440026"/>
    <s v="CIVIL"/>
    <d v="2023-06-30T00:00:00"/>
    <d v="2023-07-05T19:01:47"/>
    <m/>
    <d v="2023-07-05T00:00:00"/>
    <n v="1878"/>
    <n v="1547"/>
    <s v="59677260"/>
    <s v="59677260"/>
    <m/>
    <m/>
    <n v="22798826"/>
    <m/>
    <m/>
    <m/>
    <s v="SOLINT"/>
    <s v="SOLINT"/>
    <s v="CCMS"/>
    <n v="21331257"/>
    <n v="4736.2"/>
    <m/>
    <s v="N"/>
    <n v="46"/>
    <d v="2023-07-05T19:02:12"/>
    <s v="Y"/>
    <s v="Preparation - other"/>
    <s v="VHCC"/>
    <s v="Profit Cost"/>
    <s v="GLE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
    <d v="2023-07-05T19:02:06"/>
    <s v="Y"/>
    <s v="Preparation - drafting attendance n"/>
    <s v="VHCC"/>
    <s v="Profit Cost"/>
    <s v="SHL"/>
    <s v="Y"/>
    <n v="35.78"/>
    <n v="7.16"/>
    <x v="6"/>
    <s v="VALIDATED"/>
    <n v="1"/>
    <s v="01.11.80.203.6100.0000"/>
    <n v="35.78"/>
    <s v="11"/>
    <s v="6100"/>
    <n v="-32425.63"/>
    <n v="35.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9"/>
    <d v="2023-07-05T19:01:55"/>
    <s v="Y"/>
    <s v="Preparation - other"/>
    <s v="Non Family Hourly Rates"/>
    <s v="Profit Cost"/>
    <s v="CBD"/>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56"/>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3"/>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7"/>
    <d v="2023-07-05T19:01:55"/>
    <s v="Y"/>
    <s v="Waiting - other"/>
    <s v="Non Family Hourly Rates"/>
    <s v="Profit Cost"/>
    <s v="HRL"/>
    <s v="Y"/>
    <n v="5.99"/>
    <n v="1.2"/>
    <x v="6"/>
    <s v="VALIDATED"/>
    <n v="1"/>
    <s v="01.11.80.203.6100.0000"/>
    <n v="5.99"/>
    <s v="11"/>
    <s v="6100"/>
    <n v="-32425.63"/>
    <n v="5.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9"/>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0"/>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5"/>
    <d v="2023-07-05T19:01:55"/>
    <s v="Y"/>
    <s v="Attendance upon other"/>
    <s v="Non Family Hourly Rates"/>
    <s v="Profit Cost"/>
    <s v="HRL"/>
    <s v="Y"/>
    <n v="14.31"/>
    <n v="2.86"/>
    <x v="6"/>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7"/>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1"/>
    <d v="2023-07-03T19:04:58"/>
    <s v="Y"/>
    <s v="Waiting - other"/>
    <s v="VHCC"/>
    <s v="Profit Cost"/>
    <s v="JML"/>
    <s v="Y"/>
    <n v="2.99"/>
    <n v="0.6"/>
    <x v="3"/>
    <s v="VALIDATED"/>
    <n v="1"/>
    <s v="01.11.80.203.6100.0000"/>
    <n v="2.99"/>
    <s v="11"/>
    <s v="6100"/>
    <n v="-32425.63"/>
    <n v="2.9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6"/>
    <d v="2023-07-03T19:04:58"/>
    <s v="Y"/>
    <s v="Preparation - drafting statement"/>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9"/>
    <d v="2023-07-03T19:04:58"/>
    <s v="Y"/>
    <s v="Preparation - other"/>
    <s v="VHCC"/>
    <s v="Profit Cost"/>
    <s v="EBK"/>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1"/>
    <d v="2023-07-03T19:04:58"/>
    <s v="Y"/>
    <s v="Preparation - other"/>
    <s v="VHCC"/>
    <s v="Profit Cost"/>
    <s v="JML 65"/>
    <s v="Y"/>
    <n v="11.81"/>
    <n v="2.36"/>
    <x v="3"/>
    <s v="VALIDATED"/>
    <n v="1"/>
    <s v="01.11.80.203.6100.0000"/>
    <n v="11.81"/>
    <s v="11"/>
    <s v="6100"/>
    <n v="-32425.63"/>
    <n v="11.8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2"/>
    <d v="2023-07-18T19:00:56"/>
    <s v="Y"/>
    <s v="Preparation - other"/>
    <s v="Non Family Hourly Rates"/>
    <s v="Profit Cost"/>
    <s v="MSK 50"/>
    <s v="Y"/>
    <n v="107.33"/>
    <n v="21.46"/>
    <x v="14"/>
    <s v="VALIDATED"/>
    <n v="1"/>
    <s v="01.11.80.203.6100.0000"/>
    <n v="107.33"/>
    <s v="11"/>
    <s v="6100"/>
    <n v="-32425.63"/>
    <n v="107.33"/>
    <s v="DEBTOR"/>
    <n v="0"/>
    <n v="0"/>
    <n v="0"/>
    <n v="0"/>
    <n v="0"/>
  </r>
  <r>
    <n v="8733210"/>
    <s v="N"/>
    <n v="21403533"/>
    <s v="3000004746670021"/>
    <s v="CIVIL"/>
    <d v="2023-06-06T00:00:00"/>
    <d v="2023-07-20T19:22:20"/>
    <m/>
    <d v="2023-07-20T00:00:00"/>
    <n v="1878"/>
    <n v="1547"/>
    <s v="8733210"/>
    <s v="8733210"/>
    <m/>
    <m/>
    <n v="22629506"/>
    <m/>
    <m/>
    <m/>
    <s v="SOLFIN"/>
    <s v="SOLFIN"/>
    <s v="CCMS"/>
    <n v="21403533"/>
    <n v="4211.9"/>
    <m/>
    <s v="N"/>
    <n v="16"/>
    <d v="2023-07-20T19:22:42"/>
    <s v="Y"/>
    <s v="Preparation - other"/>
    <s v="Non Family Hourly Rates"/>
    <s v="Profit Cost"/>
    <s v="ESL"/>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35"/>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54"/>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74"/>
    <d v="2023-07-20T19:22:42"/>
    <s v="Y"/>
    <s v="Preparation - drafting notice(s)"/>
    <s v="Non Family Hourly Rates"/>
    <s v="Profit Cost"/>
    <s v="BSS"/>
    <s v="Y"/>
    <n v="12.6"/>
    <n v="2.52"/>
    <x v="13"/>
    <s v="VALIDATED"/>
    <n v="1"/>
    <s v="01.11.80.201.6100.0000"/>
    <n v="12.6"/>
    <s v="11"/>
    <s v="6100"/>
    <n v="-32425.63"/>
    <n v="12.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
    <d v="2023-07-10T19:01:45"/>
    <s v="N"/>
    <s v="Preparation - drafting statement"/>
    <s v="Care Remuneration Hourly Rates"/>
    <s v="Profit Cost"/>
    <s v="JBL 30"/>
    <s v="N"/>
    <n v="28.73"/>
    <n v="5.75"/>
    <x v="2"/>
    <s v="VALIDATED"/>
    <n v="1"/>
    <s v="01.11.80.308.6100.0000"/>
    <n v="28.73"/>
    <s v="11"/>
    <s v="6100"/>
    <n v="-32425.63"/>
    <n v="28.7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6"/>
    <d v="2023-07-10T19:02:05"/>
    <s v="Y"/>
    <s v="Attendance upon/with Counsel at Con"/>
    <s v="Non Family Hourly Rates"/>
    <s v="Profit Cost"/>
    <s v="LG"/>
    <s v="Y"/>
    <n v="6.66"/>
    <n v="0"/>
    <x v="2"/>
    <s v="VALIDATED"/>
    <n v="1"/>
    <s v="01.11.80.203.6100.0000"/>
    <n v="6.66"/>
    <s v="11"/>
    <s v="6100"/>
    <n v="-32425.63"/>
    <n v="6.6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3"/>
    <d v="2023-07-10T19:02:05"/>
    <s v="Y"/>
    <s v="Preparation - drafting attendance n"/>
    <s v="Non Family Hourly Rates"/>
    <s v="Profit Cost"/>
    <s v="LG"/>
    <s v="Y"/>
    <n v="35.78"/>
    <n v="0"/>
    <x v="2"/>
    <s v="VALIDATED"/>
    <n v="1"/>
    <s v="01.11.80.203.6100.0000"/>
    <n v="35.78"/>
    <s v="11"/>
    <s v="6100"/>
    <n v="-32425.63"/>
    <n v="35.7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5"/>
    <d v="2023-07-10T19:02:05"/>
    <s v="Y"/>
    <s v="Attendance upon/with Counsel at Con"/>
    <s v="Non Family Hourly Rates"/>
    <s v="Profit Cost"/>
    <s v="LG"/>
    <s v="Y"/>
    <n v="6.66"/>
    <n v="0"/>
    <x v="2"/>
    <s v="VALIDATED"/>
    <n v="1"/>
    <s v="01.11.80.203.6100.0000"/>
    <n v="6.66"/>
    <s v="11"/>
    <s v="6100"/>
    <n v="-32425.63"/>
    <n v="6.6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2"/>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5"/>
    <d v="2023-07-10T19:02:05"/>
    <s v="Y"/>
    <s v="Attendance upon client"/>
    <s v="Non Family Hourly Rates"/>
    <s v="Profit Cost"/>
    <s v="LG"/>
    <s v="Y"/>
    <n v="32.21"/>
    <n v="0"/>
    <x v="2"/>
    <s v="VALIDATED"/>
    <n v="1"/>
    <s v="01.11.80.203.6100.0000"/>
    <n v="32.21"/>
    <s v="11"/>
    <s v="6100"/>
    <n v="-32425.63"/>
    <n v="32.2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4"/>
    <d v="2023-07-05T19:02:09"/>
    <s v="Y"/>
    <s v="Preparation - drafting bill/claim f"/>
    <s v="VHCC"/>
    <s v="Profit Cost"/>
    <s v="SHL"/>
    <s v="Y"/>
    <n v="35.78"/>
    <n v="7.16"/>
    <x v="6"/>
    <s v="VALIDATED"/>
    <n v="1"/>
    <s v="01.11.80.203.6100.0000"/>
    <n v="35.78"/>
    <s v="11"/>
    <s v="6100"/>
    <n v="-32425.63"/>
    <n v="35.7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
    <d v="2023-07-05T19:02:06"/>
    <s v="Y"/>
    <s v="Preparation - other"/>
    <s v="VHCC"/>
    <s v="Profit Cost"/>
    <s v="SHL"/>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3"/>
    <d v="2023-07-05T19:02:06"/>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2"/>
    <d v="2023-07-05T19:02:06"/>
    <s v="Y"/>
    <s v="Preparation - other"/>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8"/>
    <d v="2023-07-05T19:02:06"/>
    <s v="Y"/>
    <s v="Preparation - drafting statement"/>
    <s v="VHCC"/>
    <s v="Profit Cost"/>
    <s v="SHL 60"/>
    <s v="Y"/>
    <n v="45.79"/>
    <n v="9.16"/>
    <x v="6"/>
    <s v="VALIDATED"/>
    <n v="1"/>
    <s v="01.11.80.203.6100.0000"/>
    <n v="45.79"/>
    <s v="11"/>
    <s v="6100"/>
    <n v="-32425.63"/>
    <n v="45.7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0"/>
    <d v="2023-07-05T19:02:09"/>
    <s v="Y"/>
    <s v="Waiting at court"/>
    <s v="VHCC"/>
    <s v="Profit Cost"/>
    <s v="GLE"/>
    <s v="Y"/>
    <n v="8.98"/>
    <n v="1.8"/>
    <x v="6"/>
    <s v="VALIDATED"/>
    <n v="1"/>
    <s v="01.11.80.203.6100.0000"/>
    <n v="8.98"/>
    <s v="11"/>
    <s v="6100"/>
    <n v="-32425.63"/>
    <n v="8.98"/>
    <s v="DEBTOR"/>
    <n v="0"/>
    <n v="0"/>
    <n v="0"/>
    <n v="0"/>
    <n v="0"/>
  </r>
  <r>
    <n v="59677260"/>
    <s v="N"/>
    <n v="21331257"/>
    <s v="3000014052440026"/>
    <s v="CIVIL"/>
    <d v="2023-06-30T00:00:00"/>
    <d v="2023-07-05T19:01:47"/>
    <m/>
    <d v="2023-07-05T00:00:00"/>
    <n v="1878"/>
    <n v="1547"/>
    <s v="59677260"/>
    <s v="59677260"/>
    <m/>
    <m/>
    <n v="22798826"/>
    <m/>
    <m/>
    <m/>
    <s v="SOLINT"/>
    <s v="SOLINT"/>
    <s v="CCMS"/>
    <n v="21331257"/>
    <n v="4736.2"/>
    <m/>
    <s v="N"/>
    <n v="6"/>
    <d v="2023-07-05T19:02:12"/>
    <s v="Y"/>
    <s v="Preparation - other"/>
    <s v="VHCC"/>
    <s v="Profit Cost"/>
    <s v="GLE 60"/>
    <s v="Y"/>
    <n v="80.14"/>
    <n v="16.03"/>
    <x v="6"/>
    <s v="VALIDATED"/>
    <n v="1"/>
    <s v="01.11.80.203.6100.0000"/>
    <n v="80.14"/>
    <s v="11"/>
    <s v="6100"/>
    <n v="-32425.63"/>
    <n v="80.1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6"/>
    <d v="2023-07-05T19:02:06"/>
    <s v="Y"/>
    <s v="Preparation - other"/>
    <s v="VHCC"/>
    <s v="Profit Cost"/>
    <s v="SHL 60"/>
    <s v="Y"/>
    <n v="22.9"/>
    <n v="4.58"/>
    <x v="6"/>
    <s v="VALIDATED"/>
    <n v="1"/>
    <s v="01.11.80.203.6100.0000"/>
    <n v="22.9"/>
    <s v="11"/>
    <s v="6100"/>
    <n v="-32425.63"/>
    <n v="22.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6"/>
    <d v="2023-07-05T19:01:55"/>
    <s v="Y"/>
    <s v="Preparation - other"/>
    <s v="Non Family Hourly Rates"/>
    <s v="Profit Cost"/>
    <s v="HRL 50"/>
    <s v="Y"/>
    <n v="321.98"/>
    <n v="64.39"/>
    <x v="6"/>
    <s v="VALIDATED"/>
    <n v="1"/>
    <s v="01.11.80.203.6100.0000"/>
    <n v="321.98"/>
    <s v="11"/>
    <s v="6100"/>
    <n v="-32425.63"/>
    <n v="321.98"/>
    <s v="DEBTOR"/>
    <n v="0"/>
    <n v="0"/>
    <n v="0"/>
    <n v="0"/>
    <n v="0"/>
  </r>
  <r>
    <n v="61656041"/>
    <s v="N"/>
    <n v="21321991"/>
    <s v="3000015756030010"/>
    <s v="CIVIL"/>
    <d v="2023-06-29T00:00:00"/>
    <d v="2023-07-03T19:05:17"/>
    <m/>
    <d v="2023-07-03T00:00:00"/>
    <n v="1878"/>
    <n v="1547"/>
    <s v="61656041"/>
    <s v="61656041"/>
    <m/>
    <m/>
    <n v="22785994"/>
    <m/>
    <m/>
    <m/>
    <s v="SOLPOA"/>
    <s v="SOLPOA"/>
    <s v="CCMS"/>
    <n v="21321991"/>
    <n v="2005.75"/>
    <m/>
    <s v="N"/>
    <n v="1"/>
    <d v="2023-07-03T19:05:21"/>
    <s v="N"/>
    <s v="Solicitors Fixed Fee"/>
    <s v="Public Law Children"/>
    <s v="Profit Cost"/>
    <s v="HPY"/>
    <s v="N"/>
    <n v="1671.46"/>
    <n v="334.29"/>
    <x v="3"/>
    <s v="VALIDATED"/>
    <n v="1"/>
    <s v="01.11.80.308.2012.0000"/>
    <n v="1671.46"/>
    <s v="11"/>
    <s v="2012"/>
    <n v="-32425.63"/>
    <n v="1671.4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6"/>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4"/>
    <d v="2023-07-03T19:04:58"/>
    <s v="Y"/>
    <s v="Preparation - other"/>
    <s v="VHCC"/>
    <s v="Profit Cost"/>
    <s v="JML 65"/>
    <s v="Y"/>
    <n v="129.87"/>
    <n v="25.97"/>
    <x v="3"/>
    <s v="VALIDATED"/>
    <n v="1"/>
    <s v="01.11.80.203.6100.0000"/>
    <n v="129.87"/>
    <s v="11"/>
    <s v="6100"/>
    <n v="-32425.63"/>
    <n v="129.8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3"/>
    <d v="2023-07-03T19:04:58"/>
    <s v="Y"/>
    <s v="Preparation - other"/>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3"/>
    <d v="2023-07-03T19:04:58"/>
    <s v="Y"/>
    <s v="Preparation - other"/>
    <s v="VHCC"/>
    <s v="Profit Cost"/>
    <s v="JML"/>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
    <d v="2023-07-03T19:04:58"/>
    <s v="Y"/>
    <s v="Preparation - other"/>
    <s v="VHCC"/>
    <s v="Profit Cost"/>
    <s v="JML 65"/>
    <s v="Y"/>
    <n v="271.35"/>
    <n v="54.26"/>
    <x v="3"/>
    <s v="VALIDATED"/>
    <n v="1"/>
    <s v="01.11.80.203.6100.0000"/>
    <n v="271.35"/>
    <s v="11"/>
    <s v="6100"/>
    <n v="-32425.63"/>
    <n v="271.3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5"/>
    <d v="2023-07-03T19:04:58"/>
    <s v="Y"/>
    <s v="Preparation - other"/>
    <s v="VHCC"/>
    <s v="Profit Cost"/>
    <s v="JML"/>
    <s v="Y"/>
    <n v="14.31"/>
    <n v="2.86"/>
    <x v="3"/>
    <s v="VALIDATED"/>
    <n v="1"/>
    <s v="01.11.80.203.6100.0000"/>
    <n v="14.31"/>
    <s v="11"/>
    <s v="6100"/>
    <n v="-32425.63"/>
    <n v="14.3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3"/>
    <d v="2023-07-03T19:04:58"/>
    <s v="Y"/>
    <s v="Preparation - other"/>
    <s v="VHCC"/>
    <s v="Profit Cost"/>
    <s v="MJS 65"/>
    <s v="Y"/>
    <n v="11.81"/>
    <n v="2.36"/>
    <x v="3"/>
    <s v="VALIDATED"/>
    <n v="1"/>
    <s v="01.11.80.203.6100.0000"/>
    <n v="11.81"/>
    <s v="11"/>
    <s v="6100"/>
    <n v="-32425.63"/>
    <n v="11.8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5"/>
    <d v="2023-07-18T19:00:56"/>
    <s v="Y"/>
    <s v="Preparation - other"/>
    <s v="Non Family Hourly Rates"/>
    <s v="Profit Cost"/>
    <s v="MSK 50"/>
    <s v="Y"/>
    <n v="10.74"/>
    <n v="2.15"/>
    <x v="14"/>
    <s v="VALIDATED"/>
    <n v="1"/>
    <s v="01.11.80.203.6100.0000"/>
    <n v="10.74"/>
    <s v="11"/>
    <s v="6100"/>
    <n v="-32425.63"/>
    <n v="10.74"/>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9"/>
    <d v="2023-07-18T19:00:56"/>
    <s v="Y"/>
    <s v="Preparation - drafting attendance n"/>
    <s v="Non Family Hourly Rates"/>
    <s v="Profit Cost"/>
    <s v="MSK"/>
    <s v="Y"/>
    <n v="7.16"/>
    <n v="1.43"/>
    <x v="14"/>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5"/>
    <d v="2023-07-20T19:22:42"/>
    <s v="N"/>
    <s v="Court Fee"/>
    <s v="Non Family Hourly Rates"/>
    <s v="Non Expert Disbursement"/>
    <s v="XXX"/>
    <s v="N"/>
    <n v="100"/>
    <n v="0"/>
    <x v="13"/>
    <s v="VALIDATED"/>
    <n v="1"/>
    <s v="01.11.80.201.6300.0000"/>
    <n v="100"/>
    <s v="11"/>
    <s v="6300"/>
    <n v="-32425.63"/>
    <n v="100"/>
    <s v="DEBTOR"/>
    <n v="0"/>
    <n v="0"/>
    <n v="0"/>
    <n v="0"/>
    <n v="0"/>
  </r>
  <r>
    <n v="8733210"/>
    <s v="N"/>
    <n v="21403533"/>
    <s v="3000004746670021"/>
    <s v="CIVIL"/>
    <d v="2023-06-06T00:00:00"/>
    <d v="2023-07-20T19:22:20"/>
    <m/>
    <d v="2023-07-20T00:00:00"/>
    <n v="1878"/>
    <n v="1547"/>
    <s v="8733210"/>
    <s v="8733210"/>
    <m/>
    <m/>
    <n v="22629506"/>
    <m/>
    <m/>
    <m/>
    <s v="SOLFIN"/>
    <s v="SOLFIN"/>
    <s v="CCMS"/>
    <n v="21403533"/>
    <n v="4211.9"/>
    <m/>
    <s v="N"/>
    <n v="9"/>
    <d v="2023-07-20T19:22:42"/>
    <s v="N"/>
    <s v="Court Fee"/>
    <s v="Non Family Hourly Rates"/>
    <s v="Non Expert Disbursement"/>
    <s v="XXX"/>
    <s v="N"/>
    <n v="100"/>
    <n v="0"/>
    <x v="13"/>
    <s v="VALIDATED"/>
    <n v="1"/>
    <s v="01.11.80.201.6300.0000"/>
    <n v="100"/>
    <s v="11"/>
    <s v="6300"/>
    <n v="-32425.63"/>
    <n v="100"/>
    <s v="DEBTOR"/>
    <n v="0"/>
    <n v="0"/>
    <n v="0"/>
    <n v="0"/>
    <n v="0"/>
  </r>
  <r>
    <n v="8733210"/>
    <s v="N"/>
    <n v="21403533"/>
    <s v="3000004746670021"/>
    <s v="CIVIL"/>
    <d v="2023-06-06T00:00:00"/>
    <d v="2023-07-20T19:22:20"/>
    <m/>
    <d v="2023-07-20T00:00:00"/>
    <n v="1878"/>
    <n v="1547"/>
    <s v="8733210"/>
    <s v="8733210"/>
    <m/>
    <m/>
    <n v="22629506"/>
    <m/>
    <m/>
    <m/>
    <s v="SOLFIN"/>
    <s v="SOLFIN"/>
    <s v="CCMS"/>
    <n v="21403533"/>
    <n v="4211.9"/>
    <m/>
    <s v="N"/>
    <n v="61"/>
    <d v="2023-07-20T19:22:42"/>
    <s v="Y"/>
    <s v="Preparation - other"/>
    <s v="Non Family Hourly Rates"/>
    <s v="Profit Cost"/>
    <s v="BSS"/>
    <s v="Y"/>
    <n v="44.1"/>
    <n v="8.82"/>
    <x v="13"/>
    <s v="VALIDATED"/>
    <n v="1"/>
    <s v="01.11.80.201.6100.0000"/>
    <n v="44.1"/>
    <s v="11"/>
    <s v="6100"/>
    <n v="-32425.63"/>
    <n v="44.1"/>
    <s v="DEBTOR"/>
    <n v="0"/>
    <n v="0"/>
    <n v="0"/>
    <n v="0"/>
    <n v="0"/>
  </r>
  <r>
    <n v="8733210"/>
    <s v="N"/>
    <n v="21403533"/>
    <s v="3000004746670021"/>
    <s v="CIVIL"/>
    <d v="2023-06-06T00:00:00"/>
    <d v="2023-07-20T19:22:20"/>
    <m/>
    <d v="2023-07-20T00:00:00"/>
    <n v="1878"/>
    <n v="1547"/>
    <s v="8733210"/>
    <s v="8733210"/>
    <m/>
    <m/>
    <n v="22629506"/>
    <m/>
    <m/>
    <m/>
    <s v="SOLFIN"/>
    <s v="SOLFIN"/>
    <s v="CCMS"/>
    <n v="21403533"/>
    <n v="4211.9"/>
    <m/>
    <s v="N"/>
    <n v="93"/>
    <d v="2023-07-20T19:22:42"/>
    <s v="Y"/>
    <s v="Preparation - other"/>
    <s v="Non Family Hourly Rates"/>
    <s v="Profit Cost"/>
    <s v="BSS"/>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105"/>
    <d v="2023-07-20T19:22:42"/>
    <s v="Y"/>
    <s v="Preparation - other"/>
    <s v="Non Family Hourly Rates"/>
    <s v="Profit Cost"/>
    <s v="NAO"/>
    <s v="Y"/>
    <n v="12.6"/>
    <n v="2.52"/>
    <x v="13"/>
    <s v="VALIDATED"/>
    <n v="1"/>
    <s v="01.11.80.201.6100.0000"/>
    <n v="12.6"/>
    <s v="11"/>
    <s v="6100"/>
    <n v="-32425.63"/>
    <n v="12.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8"/>
    <d v="2023-07-10T19:02:05"/>
    <s v="Y"/>
    <s v="Preparation - other"/>
    <s v="Non Family Hourly Rates"/>
    <s v="Profit Cost"/>
    <s v="LG"/>
    <s v="Y"/>
    <n v="53.67"/>
    <n v="0"/>
    <x v="2"/>
    <s v="VALIDATED"/>
    <n v="1"/>
    <s v="01.11.80.203.6100.0000"/>
    <n v="53.67"/>
    <s v="11"/>
    <s v="6100"/>
    <n v="-32425.63"/>
    <n v="53.6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3"/>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4"/>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9"/>
    <d v="2023-07-10T19:01:45"/>
    <s v="Y"/>
    <s v="Advocates Meeting"/>
    <s v="Public Law Children"/>
    <s v="Advocacy"/>
    <s v="JBL"/>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7"/>
    <d v="2023-07-10T19:01:45"/>
    <s v="Y"/>
    <s v="Advocates Meeting"/>
    <s v="Public Law Children"/>
    <s v="Advocacy"/>
    <s v="JBL"/>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20"/>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6"/>
    <d v="2023-07-10T19:01:45"/>
    <s v="Y"/>
    <s v="Preparation - other"/>
    <s v="Care Remuneration Hourly Rates"/>
    <s v="Profit Cost"/>
    <s v="AGI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
    <d v="2023-07-10T19:02:05"/>
    <s v="Y"/>
    <s v="Interpreter"/>
    <s v="Non Family Hourly Rates"/>
    <s v="Expert Disbursement"/>
    <s v="XXX"/>
    <s v="Y"/>
    <n v="29.16"/>
    <n v="5.83"/>
    <x v="2"/>
    <s v="VALIDATED"/>
    <n v="1"/>
    <s v="01.11.80.203.6300.0000"/>
    <n v="29.16"/>
    <s v="11"/>
    <s v="6300"/>
    <n v="-32425.63"/>
    <n v="29.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
    <d v="2023-07-10T19:01:45"/>
    <s v="N"/>
    <s v="Preparation - other"/>
    <s v="Care Remuneration Hourly Rates"/>
    <s v="Profit Cost"/>
    <s v="JBL 30"/>
    <s v="N"/>
    <n v="71.81"/>
    <n v="14.36"/>
    <x v="2"/>
    <s v="VALIDATED"/>
    <n v="1"/>
    <s v="01.11.80.308.6100.0000"/>
    <n v="71.81"/>
    <s v="11"/>
    <s v="6100"/>
    <n v="-32425.63"/>
    <n v="71.8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5"/>
    <d v="2023-07-10T19:01:45"/>
    <s v="Y"/>
    <s v="Preparation - other"/>
    <s v="Care Remuneration Hourly Rates"/>
    <s v="Profit Cost"/>
    <s v="AMA"/>
    <s v="Y"/>
    <n v="33.14"/>
    <n v="6.63"/>
    <x v="2"/>
    <s v="VALIDATED"/>
    <n v="1"/>
    <s v="01.11.80.308.6100.0000"/>
    <n v="33.14"/>
    <s v="11"/>
    <s v="6100"/>
    <n v="-32425.63"/>
    <n v="33.1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3"/>
    <d v="2023-07-10T19:01:45"/>
    <s v="Y"/>
    <s v="Preparation - drafting attendance n"/>
    <s v="Care Remuneration Hourly Rates"/>
    <s v="Profit Cost"/>
    <s v="AGI"/>
    <s v="Y"/>
    <n v="6.35"/>
    <n v="1.27"/>
    <x v="2"/>
    <s v="VALIDATED"/>
    <n v="1"/>
    <s v="01.11.80.308.6100.0000"/>
    <n v="6.35"/>
    <s v="11"/>
    <s v="6100"/>
    <n v="-32425.63"/>
    <n v="6.35"/>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9"/>
    <d v="2023-07-06T19:21:25"/>
    <s v="Y"/>
    <s v="Preparation - drafting bill/claim f"/>
    <s v="Care Remuneration Hourly Rates"/>
    <s v="Profit Cost"/>
    <s v="LD"/>
    <s v="Y"/>
    <n v="153.45"/>
    <n v="30.69"/>
    <x v="4"/>
    <s v="VALIDATED"/>
    <n v="1"/>
    <s v="01.11.80.308.6100.0000"/>
    <n v="153.45"/>
    <s v="11"/>
    <s v="6100"/>
    <n v="-32425.63"/>
    <n v="153.45"/>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4"/>
    <d v="2023-07-05T19:02:09"/>
    <s v="Y"/>
    <s v="Preparation - drafting statement"/>
    <s v="VHCC"/>
    <s v="Profit Cost"/>
    <s v="GLE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8"/>
    <d v="2023-07-05T19:02:06"/>
    <s v="Y"/>
    <s v="Attendance upon other side"/>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
    <d v="2023-07-05T19:02:06"/>
    <s v="Y"/>
    <s v="Preparation - other"/>
    <s v="VHCC"/>
    <s v="Profit Cost"/>
    <s v="CBD 60"/>
    <s v="Y"/>
    <n v="103.03"/>
    <n v="20.61"/>
    <x v="6"/>
    <s v="VALIDATED"/>
    <n v="1"/>
    <s v="01.11.80.203.6100.0000"/>
    <n v="103.03"/>
    <s v="11"/>
    <s v="6100"/>
    <n v="-32425.63"/>
    <n v="103.0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05"/>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2"/>
    <d v="2023-07-05T19:01:55"/>
    <s v="Y"/>
    <s v="Attendance upon other"/>
    <s v="Non Family Hourly Rates"/>
    <s v="Profit Cost"/>
    <s v="HRL"/>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2"/>
    <d v="2023-07-05T19:01:55"/>
    <s v="Y"/>
    <s v="Preparation - drafting notice(s)"/>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7"/>
    <d v="2023-07-05T19:01:55"/>
    <s v="Y"/>
    <s v="Preparation - other"/>
    <s v="Non Family Hourly Rates"/>
    <s v="Profit Cost"/>
    <s v="HRL 50"/>
    <s v="Y"/>
    <n v="85.86"/>
    <n v="17.17"/>
    <x v="6"/>
    <s v="VALIDATED"/>
    <n v="1"/>
    <s v="01.11.80.203.6100.0000"/>
    <n v="85.86"/>
    <s v="11"/>
    <s v="6100"/>
    <n v="-32425.63"/>
    <n v="85.86"/>
    <s v="DEBTOR"/>
    <n v="0"/>
    <n v="0"/>
    <n v="0"/>
    <n v="0"/>
    <n v="0"/>
  </r>
  <r>
    <n v="62207718"/>
    <s v="N"/>
    <n v="21338458"/>
    <s v="3000016212270001"/>
    <s v="CIVIL"/>
    <d v="2023-06-28T00:00:00"/>
    <d v="2023-07-06T19:21:01"/>
    <m/>
    <d v="2023-07-06T00:00:00"/>
    <n v="1878"/>
    <n v="1547"/>
    <s v="62207718"/>
    <s v="62207718"/>
    <m/>
    <m/>
    <n v="22776014"/>
    <m/>
    <m/>
    <m/>
    <s v="SOLFIN"/>
    <s v="SOLFIN"/>
    <s v="CCMS"/>
    <n v="21338458"/>
    <n v="3530.54"/>
    <m/>
    <s v="N"/>
    <n v="9"/>
    <d v="2023-07-06T19:21:25"/>
    <s v="Y"/>
    <s v="Preparation - other"/>
    <s v="Care Remuneration Hourly Rates"/>
    <s v="Profit Cost"/>
    <s v="NBS 25"/>
    <s v="Y"/>
    <n v="15.35"/>
    <n v="3.07"/>
    <x v="4"/>
    <s v="VALIDATED"/>
    <n v="1"/>
    <s v="01.11.80.308.6100.0000"/>
    <n v="15.35"/>
    <s v="11"/>
    <s v="6100"/>
    <n v="-32425.63"/>
    <n v="15.35"/>
    <s v="DEBTOR"/>
    <n v="0"/>
    <n v="0"/>
    <n v="0"/>
    <n v="0"/>
    <n v="0"/>
  </r>
  <r>
    <n v="61742173"/>
    <s v="N"/>
    <n v="21319086"/>
    <s v="3000015815100003"/>
    <s v="CIVIL"/>
    <d v="2023-06-23T00:00:00"/>
    <d v="2023-07-03T19:01:49"/>
    <m/>
    <d v="2023-07-03T00:00:00"/>
    <n v="1878"/>
    <n v="1547"/>
    <s v="61742173"/>
    <s v="61742173"/>
    <m/>
    <m/>
    <n v="22750850"/>
    <m/>
    <m/>
    <m/>
    <s v="SOLFIN"/>
    <s v="SOLFIN"/>
    <s v="CCMS"/>
    <n v="21319086"/>
    <n v="5246"/>
    <m/>
    <s v="N"/>
    <n v="48"/>
    <d v="2023-07-03T19:02:10"/>
    <s v="Y"/>
    <s v="Preparation - other"/>
    <s v="Prescribed Hourly Rates"/>
    <s v="Profit Cost"/>
    <s v="MAE 15"/>
    <s v="Y"/>
    <n v="13.66"/>
    <n v="2.73"/>
    <x v="3"/>
    <s v="VALIDATED"/>
    <n v="1"/>
    <s v="01.11.80.305.6100.0000"/>
    <n v="13.66"/>
    <s v="11"/>
    <s v="6100"/>
    <n v="-32425.63"/>
    <n v="13.66"/>
    <s v="DEBTOR"/>
    <n v="0"/>
    <n v="0"/>
    <n v="0"/>
    <n v="0"/>
    <n v="0"/>
  </r>
  <r>
    <n v="61742173"/>
    <s v="N"/>
    <n v="21319086"/>
    <s v="3000015815100003"/>
    <s v="CIVIL"/>
    <d v="2023-06-23T00:00:00"/>
    <d v="2023-07-03T19:01:49"/>
    <m/>
    <d v="2023-07-03T00:00:00"/>
    <n v="1878"/>
    <n v="1547"/>
    <s v="61742173"/>
    <s v="61742173"/>
    <m/>
    <m/>
    <n v="22750850"/>
    <m/>
    <m/>
    <m/>
    <s v="SOLFIN"/>
    <s v="SOLFIN"/>
    <s v="CCMS"/>
    <n v="21319086"/>
    <n v="5246"/>
    <m/>
    <s v="N"/>
    <n v="51"/>
    <d v="2023-07-03T19:02:10"/>
    <s v="Y"/>
    <s v="Preparation - other"/>
    <s v="Prescribed Hourly Rates"/>
    <s v="Profit Cost"/>
    <s v="MAE 15"/>
    <s v="Y"/>
    <n v="6.83"/>
    <n v="1.37"/>
    <x v="3"/>
    <s v="VALIDATED"/>
    <n v="1"/>
    <s v="01.11.80.305.6100.0000"/>
    <n v="6.83"/>
    <s v="11"/>
    <s v="6100"/>
    <n v="-32425.63"/>
    <n v="6.83"/>
    <s v="DEBTOR"/>
    <n v="0"/>
    <n v="0"/>
    <n v="0"/>
    <n v="0"/>
    <n v="0"/>
  </r>
  <r>
    <n v="61742173"/>
    <s v="N"/>
    <n v="21319086"/>
    <s v="3000015815100003"/>
    <s v="CIVIL"/>
    <d v="2023-06-23T00:00:00"/>
    <d v="2023-07-03T19:01:49"/>
    <m/>
    <d v="2023-07-03T00:00:00"/>
    <n v="1878"/>
    <n v="1547"/>
    <s v="61742173"/>
    <s v="61742173"/>
    <m/>
    <m/>
    <n v="22750850"/>
    <m/>
    <m/>
    <m/>
    <s v="SOLFIN"/>
    <s v="SOLFIN"/>
    <s v="CCMS"/>
    <n v="21319086"/>
    <n v="5246"/>
    <m/>
    <s v="N"/>
    <n v="59"/>
    <d v="2023-07-03T19:02:10"/>
    <s v="Y"/>
    <s v="Preparation - other"/>
    <s v="Prescribed Hourly Rates"/>
    <s v="Profit Cost"/>
    <s v="MAE 15"/>
    <s v="Y"/>
    <n v="13.66"/>
    <n v="2.73"/>
    <x v="3"/>
    <s v="VALIDATED"/>
    <n v="1"/>
    <s v="01.11.80.305.6100.0000"/>
    <n v="13.66"/>
    <s v="11"/>
    <s v="6100"/>
    <n v="-32425.63"/>
    <n v="13.6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73"/>
    <d v="2023-07-03T19:04:58"/>
    <s v="Y"/>
    <s v="Attendance upon client"/>
    <s v="VHCC"/>
    <s v="Profit Cost"/>
    <s v="JML 65"/>
    <s v="Y"/>
    <n v="35.42"/>
    <n v="7.08"/>
    <x v="3"/>
    <s v="VALIDATED"/>
    <n v="1"/>
    <s v="01.11.80.203.6100.0000"/>
    <n v="35.42"/>
    <s v="11"/>
    <s v="6100"/>
    <n v="-32425.63"/>
    <n v="35.42"/>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7"/>
    <d v="2023-07-18T19:00:56"/>
    <s v="Y"/>
    <s v="Preparation - other"/>
    <s v="Non Family Hourly Rates"/>
    <s v="Profit Cost"/>
    <s v="MSK 50"/>
    <s v="Y"/>
    <n v="10.74"/>
    <n v="2.15"/>
    <x v="14"/>
    <s v="VALIDATED"/>
    <n v="1"/>
    <s v="01.11.80.203.6100.0000"/>
    <n v="10.74"/>
    <s v="11"/>
    <s v="6100"/>
    <n v="-32425.63"/>
    <n v="10.74"/>
    <s v="DEBTOR"/>
    <n v="0"/>
    <n v="0"/>
    <n v="0"/>
    <n v="0"/>
    <n v="0"/>
  </r>
  <r>
    <n v="8733210"/>
    <s v="N"/>
    <n v="21403533"/>
    <s v="3000004746670021"/>
    <s v="CIVIL"/>
    <d v="2023-06-06T00:00:00"/>
    <d v="2023-07-20T19:22:20"/>
    <m/>
    <d v="2023-07-20T00:00:00"/>
    <n v="1878"/>
    <n v="1547"/>
    <s v="8733210"/>
    <s v="8733210"/>
    <m/>
    <m/>
    <n v="22629506"/>
    <m/>
    <m/>
    <m/>
    <s v="SOLFIN"/>
    <s v="SOLFIN"/>
    <s v="CCMS"/>
    <n v="21403533"/>
    <n v="4211.9"/>
    <m/>
    <s v="N"/>
    <n v="13"/>
    <d v="2023-07-20T19:22:42"/>
    <s v="N"/>
    <s v="Psychiatrist"/>
    <s v="Non Family Hourly Rates"/>
    <s v="Expert Disbursement"/>
    <s v="XXX"/>
    <s v="N"/>
    <n v="288.79"/>
    <n v="57.76"/>
    <x v="13"/>
    <s v="VALIDATED"/>
    <n v="1"/>
    <s v="01.11.80.201.6300.0000"/>
    <n v="288.79"/>
    <s v="11"/>
    <s v="6300"/>
    <n v="-32425.63"/>
    <n v="288.79"/>
    <s v="DEBTOR"/>
    <n v="0"/>
    <n v="0"/>
    <n v="0"/>
    <n v="0"/>
    <n v="0"/>
  </r>
  <r>
    <n v="8733210"/>
    <s v="N"/>
    <n v="21403533"/>
    <s v="3000004746670021"/>
    <s v="CIVIL"/>
    <d v="2023-06-06T00:00:00"/>
    <d v="2023-07-20T19:22:20"/>
    <m/>
    <d v="2023-07-20T00:00:00"/>
    <n v="1878"/>
    <n v="1547"/>
    <s v="8733210"/>
    <s v="8733210"/>
    <m/>
    <m/>
    <n v="22629506"/>
    <m/>
    <m/>
    <m/>
    <s v="SOLFIN"/>
    <s v="SOLFIN"/>
    <s v="CCMS"/>
    <n v="21403533"/>
    <n v="4211.9"/>
    <m/>
    <s v="N"/>
    <n v="108"/>
    <d v="2023-07-20T19:22:42"/>
    <s v="Y"/>
    <s v="Preparation - other"/>
    <s v="Non Family Hourly Rates"/>
    <s v="Profit Cost"/>
    <s v="NAO"/>
    <s v="Y"/>
    <n v="12.6"/>
    <n v="2.52"/>
    <x v="13"/>
    <s v="VALIDATED"/>
    <n v="1"/>
    <s v="01.11.80.201.6100.0000"/>
    <n v="12.6"/>
    <s v="11"/>
    <s v="6100"/>
    <n v="-32425.63"/>
    <n v="12.6"/>
    <s v="DEBTOR"/>
    <n v="0"/>
    <n v="0"/>
    <n v="0"/>
    <n v="0"/>
    <n v="0"/>
  </r>
  <r>
    <n v="61742173"/>
    <s v="N"/>
    <n v="21319086"/>
    <s v="3000015815100003"/>
    <s v="CIVIL"/>
    <d v="2023-06-23T00:00:00"/>
    <d v="2023-07-03T19:01:49"/>
    <m/>
    <d v="2023-07-03T00:00:00"/>
    <n v="1878"/>
    <n v="1547"/>
    <s v="61742173"/>
    <s v="61742173"/>
    <m/>
    <m/>
    <n v="22750850"/>
    <m/>
    <m/>
    <m/>
    <s v="SOLFIN"/>
    <s v="SOLFIN"/>
    <s v="CCMS"/>
    <n v="21319086"/>
    <n v="5246"/>
    <m/>
    <s v="N"/>
    <n v="25"/>
    <d v="2023-07-03T19:02:10"/>
    <s v="Y"/>
    <s v="Preparation - drafting application"/>
    <s v="Prescribed Hourly Rates"/>
    <s v="Profit Cost"/>
    <s v="MAE 15"/>
    <s v="Y"/>
    <n v="34.16"/>
    <n v="6.83"/>
    <x v="3"/>
    <s v="VALIDATED"/>
    <n v="1"/>
    <s v="01.11.80.305.6100.0000"/>
    <n v="34.16"/>
    <s v="11"/>
    <s v="6100"/>
    <n v="-32425.63"/>
    <n v="34.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02"/>
    <d v="2023-07-10T19:01:45"/>
    <s v="Y"/>
    <s v="Preparation - other"/>
    <s v="Care Remuneration Hourly Rates"/>
    <s v="Profit Cost"/>
    <s v="AMA 30"/>
    <s v="Y"/>
    <n v="86.18000000000001"/>
    <n v="17.24"/>
    <x v="2"/>
    <s v="VALIDATED"/>
    <n v="1"/>
    <s v="01.11.80.308.6100.0000"/>
    <n v="86.18000000000001"/>
    <s v="11"/>
    <s v="6100"/>
    <n v="-32425.63"/>
    <n v="86.1800000000000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
    <d v="2023-07-10T19:01:45"/>
    <s v="N"/>
    <s v="Preparation - drafting statement"/>
    <s v="Care Remuneration Hourly Rates"/>
    <s v="Profit Cost"/>
    <s v="JBL 30"/>
    <s v="N"/>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41"/>
    <d v="2023-07-10T19:01:45"/>
    <s v="Y"/>
    <s v="Preparation - drafting notice(s)"/>
    <s v="Care Remuneration Hourly Rates"/>
    <s v="Profit Cost"/>
    <s v="AGI"/>
    <s v="Y"/>
    <n v="6.35"/>
    <n v="1.27"/>
    <x v="2"/>
    <s v="VALIDATED"/>
    <n v="1"/>
    <s v="01.11.80.308.6100.0000"/>
    <n v="6.35"/>
    <s v="11"/>
    <s v="6100"/>
    <n v="-32425.63"/>
    <n v="6.3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8"/>
    <d v="2023-07-10T19:02:05"/>
    <s v="Y"/>
    <s v="Preparation - drafting attendance n"/>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53"/>
    <d v="2023-07-10T19:02:05"/>
    <s v="Y"/>
    <s v="Preparation - drafting statement"/>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9"/>
    <d v="2023-07-10T19:02:05"/>
    <s v="Y"/>
    <s v="Preparation - drafting statement"/>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3"/>
    <d v="2023-07-10T19:02:05"/>
    <s v="Y"/>
    <s v="Attendance upon other"/>
    <s v="Non Family Hourly Rates"/>
    <s v="Profit Cost"/>
    <s v="LG"/>
    <s v="Y"/>
    <n v="21.47"/>
    <n v="0"/>
    <x v="2"/>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4"/>
    <d v="2023-07-05T19:02:06"/>
    <s v="Y"/>
    <s v="Preparation - other"/>
    <s v="VHCC"/>
    <s v="Profit Cost"/>
    <s v="GLE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3"/>
    <d v="2023-07-05T19:02:06"/>
    <s v="Y"/>
    <s v="Preparation - drafting consent orde"/>
    <s v="VHCC"/>
    <s v="Profit Cost"/>
    <s v="SHL"/>
    <s v="Y"/>
    <n v="14.31"/>
    <n v="2.86"/>
    <x v="6"/>
    <s v="VALIDATED"/>
    <n v="1"/>
    <s v="01.11.80.203.6100.0000"/>
    <n v="14.31"/>
    <s v="11"/>
    <s v="6100"/>
    <n v="-32425.63"/>
    <n v="14.3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0"/>
    <d v="2023-07-05T19:02:09"/>
    <s v="Y"/>
    <s v="Preparation - other"/>
    <s v="VHCC"/>
    <s v="Profit Cost"/>
    <s v="EBK"/>
    <s v="Y"/>
    <n v="128.79"/>
    <n v="25.76"/>
    <x v="6"/>
    <s v="VALIDATED"/>
    <n v="1"/>
    <s v="01.11.80.203.6100.0000"/>
    <n v="128.79"/>
    <s v="11"/>
    <s v="6100"/>
    <n v="-32425.63"/>
    <n v="128.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1"/>
    <d v="2023-07-05T19:02:06"/>
    <s v="Y"/>
    <s v="Preparation - drafting statement"/>
    <s v="VHCC"/>
    <s v="Profit Cost"/>
    <s v="GLE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5"/>
    <d v="2023-07-05T19:02:06"/>
    <s v="Y"/>
    <s v="Preparation - other"/>
    <s v="VHCC"/>
    <s v="Profit Cost"/>
    <s v="SHL"/>
    <s v="Y"/>
    <n v="42.93"/>
    <n v="8.59"/>
    <x v="6"/>
    <s v="VALIDATED"/>
    <n v="1"/>
    <s v="01.11.80.203.6100.0000"/>
    <n v="42.93"/>
    <s v="11"/>
    <s v="6100"/>
    <n v="-32425.63"/>
    <n v="42.93"/>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6"/>
    <d v="2023-07-05T19:02:09"/>
    <s v="Y"/>
    <s v="Preparation - other"/>
    <s v="VHCC"/>
    <s v="Profit Cost"/>
    <s v="SHL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8"/>
    <d v="2023-07-05T19:02:06"/>
    <s v="Y"/>
    <s v="Attendance upon Counsel"/>
    <s v="VHCC"/>
    <s v="Profit Cost"/>
    <s v="GLE"/>
    <s v="Y"/>
    <n v="39.96"/>
    <n v="7.99"/>
    <x v="6"/>
    <s v="VALIDATED"/>
    <n v="1"/>
    <s v="01.11.80.203.6100.0000"/>
    <n v="39.96"/>
    <s v="11"/>
    <s v="6100"/>
    <n v="-32425.63"/>
    <n v="39.9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4"/>
    <d v="2023-07-05T19:02:06"/>
    <s v="Y"/>
    <s v="Travel to attend client"/>
    <s v="VHCC"/>
    <s v="Profit Cost"/>
    <s v="GLE"/>
    <s v="Y"/>
    <n v="35.92"/>
    <n v="7.18"/>
    <x v="6"/>
    <s v="VALIDATED"/>
    <n v="1"/>
    <s v="01.11.80.203.6100.0000"/>
    <n v="35.92"/>
    <s v="11"/>
    <s v="6100"/>
    <n v="-32425.63"/>
    <n v="35.9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3"/>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5"/>
    <d v="2023-07-05T19:01:55"/>
    <s v="Y"/>
    <s v="Preparation - drafting statement"/>
    <s v="Non Family Hourly Rates"/>
    <s v="Profit Cost"/>
    <s v="HRL 50"/>
    <s v="Y"/>
    <n v="139.53"/>
    <n v="27.9"/>
    <x v="6"/>
    <s v="VALIDATED"/>
    <n v="1"/>
    <s v="01.11.80.203.6100.0000"/>
    <n v="139.53"/>
    <s v="11"/>
    <s v="6100"/>
    <n v="-32425.63"/>
    <n v="139.5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2"/>
    <d v="2023-07-05T19:01:55"/>
    <s v="Y"/>
    <s v="Preparation - other"/>
    <s v="Non Family Hourly Rates"/>
    <s v="Profit Cost"/>
    <s v="HRL 50"/>
    <s v="Y"/>
    <n v="10.74"/>
    <n v="2.15"/>
    <x v="6"/>
    <s v="VALIDATED"/>
    <n v="1"/>
    <s v="01.11.80.203.6100.0000"/>
    <n v="10.74"/>
    <s v="11"/>
    <s v="6100"/>
    <n v="-32425.63"/>
    <n v="10.74"/>
    <s v="DEBTOR"/>
    <n v="0"/>
    <n v="0"/>
    <n v="0"/>
    <n v="0"/>
    <n v="0"/>
  </r>
  <r>
    <n v="61742173"/>
    <s v="N"/>
    <n v="21319086"/>
    <s v="3000015815100003"/>
    <s v="CIVIL"/>
    <d v="2023-06-23T00:00:00"/>
    <d v="2023-07-03T19:01:49"/>
    <m/>
    <d v="2023-07-03T00:00:00"/>
    <n v="1878"/>
    <n v="1547"/>
    <s v="61742173"/>
    <s v="61742173"/>
    <m/>
    <m/>
    <n v="22750850"/>
    <m/>
    <m/>
    <m/>
    <s v="SOLFIN"/>
    <s v="SOLFIN"/>
    <s v="CCMS"/>
    <n v="21319086"/>
    <n v="5246"/>
    <m/>
    <s v="N"/>
    <n v="41"/>
    <d v="2023-07-03T19:02:10"/>
    <s v="Y"/>
    <s v="Preparation - other"/>
    <s v="Prescribed Hourly Rates"/>
    <s v="Profit Cost"/>
    <s v="MAE 15"/>
    <s v="Y"/>
    <n v="6.83"/>
    <n v="1.37"/>
    <x v="3"/>
    <s v="VALIDATED"/>
    <n v="1"/>
    <s v="01.11.80.305.6100.0000"/>
    <n v="6.83"/>
    <s v="11"/>
    <s v="6100"/>
    <n v="-32425.63"/>
    <n v="6.8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6"/>
    <d v="2023-07-03T19:04:58"/>
    <s v="Y"/>
    <s v="Preparation - other"/>
    <s v="VHCC"/>
    <s v="Profit Cost"/>
    <s v="JML 65"/>
    <s v="Y"/>
    <n v="129.87"/>
    <n v="25.97"/>
    <x v="3"/>
    <s v="VALIDATED"/>
    <n v="1"/>
    <s v="01.11.80.203.6100.0000"/>
    <n v="129.87"/>
    <s v="11"/>
    <s v="6100"/>
    <n v="-32425.63"/>
    <n v="129.8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7"/>
    <d v="2023-07-03T19:04:58"/>
    <s v="Y"/>
    <s v="Preparation - other"/>
    <s v="VHCC"/>
    <s v="Profit Cost"/>
    <s v="JML 65"/>
    <s v="Y"/>
    <n v="129.87"/>
    <n v="25.97"/>
    <x v="3"/>
    <s v="VALIDATED"/>
    <n v="1"/>
    <s v="01.11.80.203.6100.0000"/>
    <n v="129.87"/>
    <s v="11"/>
    <s v="6100"/>
    <n v="-32425.63"/>
    <n v="129.87"/>
    <s v="DEBTOR"/>
    <n v="0"/>
    <n v="0"/>
    <n v="0"/>
    <n v="0"/>
    <n v="0"/>
  </r>
  <r>
    <n v="7864698"/>
    <s v="N"/>
    <n v="21403301"/>
    <s v="3000004008170001"/>
    <s v="CIVIL"/>
    <d v="2023-06-28T00:00:00"/>
    <d v="2023-07-20T19:22:20"/>
    <m/>
    <d v="2023-07-20T00:00:00"/>
    <n v="1878"/>
    <n v="1547"/>
    <s v="7864698"/>
    <s v="7864698"/>
    <m/>
    <m/>
    <n v="22783120"/>
    <m/>
    <m/>
    <m/>
    <s v="SOLFIN"/>
    <s v="SOLFIN"/>
    <s v="CCMS"/>
    <n v="21403301"/>
    <n v="0"/>
    <m/>
    <s v="N"/>
    <n v="1"/>
    <d v="2023-07-20T19:22:34"/>
    <s v="N"/>
    <s v="NIL BILL"/>
    <s v="Public Law Children"/>
    <s v="Profit Cost"/>
    <s v="DPS"/>
    <s v="N"/>
    <n v="0"/>
    <n v="0"/>
    <x v="13"/>
    <s v="VALIDATED"/>
    <n v="1"/>
    <s v="01.11.80.308.6100.0000"/>
    <n v="0"/>
    <s v="11"/>
    <s v="6100"/>
    <n v="-32425.63"/>
    <n v="0"/>
    <s v="DEBTOR"/>
    <n v="0"/>
    <n v="0"/>
    <n v="0"/>
    <n v="0"/>
    <n v="0"/>
  </r>
  <r>
    <n v="8733210"/>
    <s v="N"/>
    <n v="21403533"/>
    <s v="3000004746670021"/>
    <s v="CIVIL"/>
    <d v="2023-06-06T00:00:00"/>
    <d v="2023-07-20T19:22:20"/>
    <m/>
    <d v="2023-07-20T00:00:00"/>
    <n v="1878"/>
    <n v="1547"/>
    <s v="8733210"/>
    <s v="8733210"/>
    <m/>
    <m/>
    <n v="22629506"/>
    <m/>
    <m/>
    <m/>
    <s v="SOLFIN"/>
    <s v="SOLFIN"/>
    <s v="CCMS"/>
    <n v="21403533"/>
    <n v="4211.9"/>
    <m/>
    <s v="N"/>
    <n v="80"/>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107"/>
    <d v="2023-07-20T19:22:42"/>
    <s v="Y"/>
    <s v="Preparation - other"/>
    <s v="Non Family Hourly Rates"/>
    <s v="Profit Cost"/>
    <s v="NAO"/>
    <s v="Y"/>
    <n v="189"/>
    <n v="37.8"/>
    <x v="13"/>
    <s v="VALIDATED"/>
    <n v="1"/>
    <s v="01.11.80.201.6100.0000"/>
    <n v="189"/>
    <s v="11"/>
    <s v="6100"/>
    <n v="-32425.63"/>
    <n v="189"/>
    <s v="DEBTOR"/>
    <n v="0"/>
    <n v="0"/>
    <n v="0"/>
    <n v="0"/>
    <n v="0"/>
  </r>
  <r>
    <n v="61742173"/>
    <s v="N"/>
    <n v="21319086"/>
    <s v="3000015815100003"/>
    <s v="CIVIL"/>
    <d v="2023-06-23T00:00:00"/>
    <d v="2023-07-03T19:01:49"/>
    <m/>
    <d v="2023-07-03T00:00:00"/>
    <n v="1878"/>
    <n v="1547"/>
    <s v="61742173"/>
    <s v="61742173"/>
    <m/>
    <m/>
    <n v="22750850"/>
    <m/>
    <m/>
    <m/>
    <s v="SOLFIN"/>
    <s v="SOLFIN"/>
    <s v="CCMS"/>
    <n v="21319086"/>
    <n v="5246"/>
    <m/>
    <s v="N"/>
    <n v="6"/>
    <d v="2023-07-03T19:02:10"/>
    <s v="Y"/>
    <s v="Preparation - drafting application"/>
    <s v="Prescribed Hourly Rates"/>
    <s v="Profit Cost"/>
    <s v="HHS"/>
    <s v="Y"/>
    <n v="59.4"/>
    <n v="11.88"/>
    <x v="3"/>
    <s v="VALIDATED"/>
    <n v="1"/>
    <s v="01.11.80.305.6100.0000"/>
    <n v="59.4"/>
    <s v="11"/>
    <s v="6100"/>
    <n v="-32425.63"/>
    <n v="59.4"/>
    <s v="DEBTOR"/>
    <n v="0"/>
    <n v="0"/>
    <n v="0"/>
    <n v="0"/>
    <n v="0"/>
  </r>
  <r>
    <n v="61742173"/>
    <s v="N"/>
    <n v="21319086"/>
    <s v="3000015815100003"/>
    <s v="CIVIL"/>
    <d v="2023-06-23T00:00:00"/>
    <d v="2023-07-03T19:01:49"/>
    <m/>
    <d v="2023-07-03T00:00:00"/>
    <n v="1878"/>
    <n v="1547"/>
    <s v="61742173"/>
    <s v="61742173"/>
    <m/>
    <m/>
    <n v="22750850"/>
    <m/>
    <m/>
    <m/>
    <s v="SOLFIN"/>
    <s v="SOLFIN"/>
    <s v="CCMS"/>
    <n v="21319086"/>
    <n v="5246"/>
    <m/>
    <s v="N"/>
    <n v="7"/>
    <d v="2023-07-03T19:02:10"/>
    <s v="Y"/>
    <s v="Preparation - other"/>
    <s v="Prescribed Hourly Rates"/>
    <s v="Profit Cost"/>
    <s v="MAE 15"/>
    <s v="Y"/>
    <n v="13.66"/>
    <n v="2.73"/>
    <x v="3"/>
    <s v="VALIDATED"/>
    <n v="1"/>
    <s v="01.11.80.305.6100.0000"/>
    <n v="13.66"/>
    <s v="11"/>
    <s v="6100"/>
    <n v="-32425.63"/>
    <n v="13.6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7"/>
    <d v="2023-07-10T19:01:45"/>
    <s v="Y"/>
    <s v="Preparation - other"/>
    <s v="Care Remuneration Hourly Rates"/>
    <s v="Profit Cost"/>
    <s v="AGI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
    <d v="2023-07-10T19:01:45"/>
    <s v="N"/>
    <s v="Preparation - other"/>
    <s v="Care Remuneration Hourly Rates"/>
    <s v="Profit Cost"/>
    <s v="JBL 30"/>
    <s v="N"/>
    <n v="43.08"/>
    <n v="8.619999999999999"/>
    <x v="2"/>
    <s v="VALIDATED"/>
    <n v="1"/>
    <s v="01.11.80.308.6100.0000"/>
    <n v="43.08"/>
    <s v="11"/>
    <s v="6100"/>
    <n v="-32425.63"/>
    <n v="43.0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8"/>
    <d v="2023-07-10T19:01:45"/>
    <s v="Y"/>
    <s v="Preparation - drafting statement"/>
    <s v="Care Remuneration Hourly Rates"/>
    <s v="Profit Cost"/>
    <s v="JBL 30"/>
    <s v="Y"/>
    <n v="57.45"/>
    <n v="11.49"/>
    <x v="2"/>
    <s v="VALIDATED"/>
    <n v="1"/>
    <s v="01.11.80.308.6100.0000"/>
    <n v="57.45"/>
    <s v="11"/>
    <s v="6100"/>
    <n v="-32425.63"/>
    <n v="57.4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0"/>
    <d v="2023-07-10T19:02:05"/>
    <s v="Y"/>
    <s v="Preparation - drafting attendance n"/>
    <s v="Non Family Hourly Rates"/>
    <s v="Profit Cost"/>
    <s v="LG"/>
    <s v="Y"/>
    <n v="28.62"/>
    <n v="0"/>
    <x v="2"/>
    <s v="VALIDATED"/>
    <n v="1"/>
    <s v="01.11.80.203.6100.0000"/>
    <n v="28.62"/>
    <s v="11"/>
    <s v="6100"/>
    <n v="-32425.63"/>
    <n v="28.6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3"/>
    <d v="2023-07-10T19:02:05"/>
    <s v="Y"/>
    <s v="Preparation - drafting statement"/>
    <s v="Non Family Hourly Rates"/>
    <s v="Profit Cost"/>
    <s v="CB"/>
    <s v="Y"/>
    <n v="28.62"/>
    <n v="0"/>
    <x v="2"/>
    <s v="VALIDATED"/>
    <n v="1"/>
    <s v="01.11.80.203.6100.0000"/>
    <n v="28.62"/>
    <s v="11"/>
    <s v="6100"/>
    <n v="-32425.63"/>
    <n v="28.62"/>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8"/>
    <d v="2023-07-05T19:02:09"/>
    <s v="Y"/>
    <s v="Occupational therapist"/>
    <s v="VHCC"/>
    <s v="Expert Disbursement"/>
    <s v="SHL"/>
    <s v="Y"/>
    <n v="108.8"/>
    <n v="21.76"/>
    <x v="6"/>
    <s v="VALIDATED"/>
    <n v="1"/>
    <s v="01.11.80.203.6300.0000"/>
    <n v="108.8"/>
    <s v="11"/>
    <s v="6300"/>
    <n v="-32425.63"/>
    <n v="108.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9"/>
    <d v="2023-07-05T19:02:09"/>
    <s v="Y"/>
    <s v="Preparation - other"/>
    <s v="VHCC"/>
    <s v="Profit Cost"/>
    <s v="EBK"/>
    <s v="Y"/>
    <n v="107.33"/>
    <n v="21.47"/>
    <x v="6"/>
    <s v="VALIDATED"/>
    <n v="1"/>
    <s v="01.11.80.203.6100.0000"/>
    <n v="107.33"/>
    <s v="11"/>
    <s v="6100"/>
    <n v="-32425.63"/>
    <n v="107.3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0"/>
    <d v="2023-07-05T19:02:06"/>
    <s v="Y"/>
    <s v="Attendance upon Counsel"/>
    <s v="VHCC"/>
    <s v="Profit Cost"/>
    <s v="GLE"/>
    <s v="Y"/>
    <n v="26.64"/>
    <n v="5.33"/>
    <x v="6"/>
    <s v="VALIDATED"/>
    <n v="1"/>
    <s v="01.11.80.203.6100.0000"/>
    <n v="26.64"/>
    <s v="11"/>
    <s v="6100"/>
    <n v="-32425.63"/>
    <n v="26.64"/>
    <s v="DEBTOR"/>
    <n v="0"/>
    <n v="0"/>
    <n v="0"/>
    <n v="0"/>
    <n v="0"/>
  </r>
  <r>
    <n v="59677260"/>
    <s v="N"/>
    <n v="21331257"/>
    <s v="3000014052440026"/>
    <s v="CIVIL"/>
    <d v="2023-06-30T00:00:00"/>
    <d v="2023-07-05T19:01:47"/>
    <m/>
    <d v="2023-07-05T00:00:00"/>
    <n v="1878"/>
    <n v="1547"/>
    <s v="59677260"/>
    <s v="59677260"/>
    <m/>
    <m/>
    <n v="22798826"/>
    <m/>
    <m/>
    <m/>
    <s v="SOLINT"/>
    <s v="SOLINT"/>
    <s v="CCMS"/>
    <n v="21331257"/>
    <n v="4736.2"/>
    <m/>
    <s v="N"/>
    <n v="12"/>
    <d v="2023-07-05T19:02:12"/>
    <s v="Y"/>
    <s v="Preparation - other"/>
    <s v="VHCC"/>
    <s v="Profit Cost"/>
    <s v="SH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
    <d v="2023-07-05T19:01:55"/>
    <s v="Y"/>
    <s v="Attendance upon client"/>
    <s v="Non Family Hourly Rates"/>
    <s v="Profit Cost"/>
    <s v="HRL 50"/>
    <s v="Y"/>
    <n v="182.46"/>
    <n v="36.49"/>
    <x v="6"/>
    <s v="VALIDATED"/>
    <n v="1"/>
    <s v="01.11.80.203.6100.0000"/>
    <n v="182.46"/>
    <s v="11"/>
    <s v="6100"/>
    <n v="-32425.63"/>
    <n v="182.4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7"/>
    <d v="2023-07-05T19:01:55"/>
    <s v="Y"/>
    <s v="Preparation - other"/>
    <s v="Non Family Hourly Rates"/>
    <s v="Profit Cost"/>
    <s v="GLE 50"/>
    <s v="Y"/>
    <n v="193.19"/>
    <n v="38.64"/>
    <x v="6"/>
    <s v="VALIDATED"/>
    <n v="1"/>
    <s v="01.11.80.203.6100.0000"/>
    <n v="193.19"/>
    <s v="11"/>
    <s v="6100"/>
    <n v="-32425.63"/>
    <n v="193.1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5"/>
    <d v="2023-07-05T19:01:55"/>
    <s v="Y"/>
    <s v="Preparation - other"/>
    <s v="Non Family Hourly Rates"/>
    <s v="Profit Cost"/>
    <s v="CBD"/>
    <s v="Y"/>
    <n v="14.31"/>
    <n v="2.86"/>
    <x v="6"/>
    <s v="VALIDATED"/>
    <n v="1"/>
    <s v="01.11.80.203.6100.0000"/>
    <n v="14.31"/>
    <s v="11"/>
    <s v="6100"/>
    <n v="-32425.63"/>
    <n v="14.31"/>
    <s v="DEBTOR"/>
    <n v="0"/>
    <n v="0"/>
    <n v="0"/>
    <n v="0"/>
    <n v="0"/>
  </r>
  <r>
    <n v="61484490"/>
    <s v="N"/>
    <n v="21321951"/>
    <s v="3000015610420003"/>
    <s v="CIVIL"/>
    <d v="2023-06-29T00:00:00"/>
    <d v="2023-07-03T19:05:17"/>
    <m/>
    <d v="2023-07-03T00:00:00"/>
    <n v="1878"/>
    <n v="1547"/>
    <s v="61484490"/>
    <s v="61484490"/>
    <m/>
    <m/>
    <n v="22785700"/>
    <m/>
    <m/>
    <m/>
    <s v="SOLPOA"/>
    <s v="SOLPOA"/>
    <s v="CCMS"/>
    <n v="21321951"/>
    <n v="2921.28"/>
    <m/>
    <s v="N"/>
    <n v="1"/>
    <d v="2023-07-03T19:05:21"/>
    <s v="N"/>
    <s v="Solicitors Fixed Fee"/>
    <s v="Public Law Children"/>
    <s v="Profit Cost"/>
    <s v="JNN"/>
    <s v="N"/>
    <n v="2434.4"/>
    <n v="486.88"/>
    <x v="3"/>
    <s v="VALIDATED"/>
    <n v="1"/>
    <s v="01.11.80.308.2012.0000"/>
    <n v="2434.4"/>
    <s v="11"/>
    <s v="2012"/>
    <n v="-32425.63"/>
    <n v="2434.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2"/>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6"/>
    <d v="2023-07-03T19:04:58"/>
    <s v="Y"/>
    <s v="Preparation - other"/>
    <s v="VHCC"/>
    <s v="Profit Cost"/>
    <s v="JML"/>
    <s v="Y"/>
    <n v="14.31"/>
    <n v="2.86"/>
    <x v="3"/>
    <s v="VALIDATED"/>
    <n v="1"/>
    <s v="01.11.80.203.6100.0000"/>
    <n v="14.31"/>
    <s v="11"/>
    <s v="6100"/>
    <n v="-32425.63"/>
    <n v="14.3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5"/>
    <d v="2023-07-10T19:01:45"/>
    <s v="Y"/>
    <s v="Preparation - other"/>
    <s v="Care Remuneration Hourly Rates"/>
    <s v="Profit Cost"/>
    <s v="JBL 30"/>
    <s v="Y"/>
    <n v="14.37"/>
    <n v="2.87"/>
    <x v="2"/>
    <s v="VALIDATED"/>
    <n v="1"/>
    <s v="01.11.80.308.6100.0000"/>
    <n v="14.37"/>
    <s v="11"/>
    <s v="6100"/>
    <n v="-32425.63"/>
    <n v="14.37"/>
    <s v="DEBTOR"/>
    <n v="0"/>
    <n v="0"/>
    <n v="0"/>
    <n v="0"/>
    <n v="0"/>
  </r>
  <r>
    <n v="60686011"/>
    <s v="N"/>
    <n v="21349823"/>
    <s v="3000014935460001"/>
    <s v="CIVIL"/>
    <d v="2023-06-30T00:00:00"/>
    <d v="2023-07-10T19:01:40"/>
    <m/>
    <d v="2023-07-10T00:00:00"/>
    <n v="1878"/>
    <n v="1547"/>
    <s v="60686011"/>
    <s v="60686011"/>
    <m/>
    <m/>
    <n v="22794968"/>
    <m/>
    <m/>
    <m/>
    <s v="SOLFIN"/>
    <s v="SOLFIN"/>
    <s v="CCMS"/>
    <n v="21349823"/>
    <n v="0"/>
    <m/>
    <s v="N"/>
    <n v="1"/>
    <d v="2023-07-10T19:01:58"/>
    <s v="N"/>
    <s v="NIL BILL"/>
    <s v="Public Law Children"/>
    <s v="Profit Cost"/>
    <s v="MARY ANN EDWARDS"/>
    <s v="N"/>
    <n v="0"/>
    <n v="0"/>
    <x v="2"/>
    <s v="VALIDATED"/>
    <n v="1"/>
    <s v="01.11.80.308.6100.0000"/>
    <n v="0"/>
    <s v="11"/>
    <s v="6100"/>
    <n v="-32425.63"/>
    <n v="0"/>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8"/>
    <d v="2023-07-10T19:02:05"/>
    <s v="Y"/>
    <s v="Attendance upon client"/>
    <s v="Non Family Hourly Rates"/>
    <s v="Profit Cost"/>
    <s v="LG"/>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1"/>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5"/>
    <d v="2023-07-10T19:02:05"/>
    <s v="Y"/>
    <s v="Preparation - drafting attendance n"/>
    <s v="Non Family Hourly Rates"/>
    <s v="Profit Cost"/>
    <s v="LG"/>
    <s v="Y"/>
    <n v="7.16"/>
    <n v="0"/>
    <x v="2"/>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3"/>
    <d v="2023-07-10T19:01:45"/>
    <s v="Y"/>
    <s v="Hearing Unit 2.31 - 5.00 Hours"/>
    <s v="Public Law Children"/>
    <s v="Advocacy"/>
    <s v="JBL"/>
    <s v="Y"/>
    <n v="476.92"/>
    <n v="95.38"/>
    <x v="2"/>
    <s v="VALIDATED"/>
    <n v="1"/>
    <s v="01.11.80.308.6100.0000"/>
    <n v="476.92"/>
    <s v="11"/>
    <s v="6100"/>
    <n v="-32425.63"/>
    <n v="476.92"/>
    <s v="DEBTOR"/>
    <n v="0"/>
    <n v="0"/>
    <n v="0"/>
    <n v="0"/>
    <n v="0"/>
  </r>
  <r>
    <n v="62505835"/>
    <s v="N"/>
    <n v="21349453"/>
    <s v="3000016462370001"/>
    <s v="CIVIL"/>
    <d v="2023-06-29T00:00:00"/>
    <d v="2023-07-10T19:01:40"/>
    <m/>
    <d v="2023-07-10T00:00:00"/>
    <n v="1878"/>
    <n v="1547"/>
    <s v="62505835"/>
    <s v="62505835"/>
    <m/>
    <m/>
    <n v="22788222"/>
    <m/>
    <m/>
    <m/>
    <s v="SOLFIN"/>
    <s v="SOLFIN"/>
    <s v="CCMS"/>
    <n v="21349453"/>
    <n v="1212.58"/>
    <m/>
    <s v="N"/>
    <n v="10"/>
    <d v="2023-07-10T19:01:50"/>
    <s v="Y"/>
    <s v="Preparation - other"/>
    <s v="Care Remuneration Hourly Rates"/>
    <s v="Profit Cost"/>
    <s v="HPY"/>
    <s v="Y"/>
    <n v="25.77"/>
    <n v="5.15"/>
    <x v="2"/>
    <s v="VALIDATED"/>
    <n v="1"/>
    <s v="01.11.80.308.6100.0000"/>
    <n v="25.77"/>
    <s v="11"/>
    <s v="6100"/>
    <n v="-32425.63"/>
    <n v="25.77"/>
    <s v="DEBTOR"/>
    <n v="0"/>
    <n v="0"/>
    <n v="0"/>
    <n v="0"/>
    <n v="0"/>
  </r>
  <r>
    <n v="62505835"/>
    <s v="N"/>
    <n v="21349453"/>
    <s v="3000016462370001"/>
    <s v="CIVIL"/>
    <d v="2023-06-29T00:00:00"/>
    <d v="2023-07-10T19:01:40"/>
    <m/>
    <d v="2023-07-10T00:00:00"/>
    <n v="1878"/>
    <n v="1547"/>
    <s v="62505835"/>
    <s v="62505835"/>
    <m/>
    <m/>
    <n v="22788222"/>
    <m/>
    <m/>
    <m/>
    <s v="SOLFIN"/>
    <s v="SOLFIN"/>
    <s v="CCMS"/>
    <n v="21349453"/>
    <n v="1212.58"/>
    <m/>
    <s v="N"/>
    <n v="6"/>
    <d v="2023-07-10T19:01:50"/>
    <s v="Y"/>
    <s v="Preparation - other"/>
    <s v="Care Remuneration Hourly Rates"/>
    <s v="Profit Cost"/>
    <s v="HPY"/>
    <s v="Y"/>
    <n v="206.23"/>
    <n v="41.25"/>
    <x v="2"/>
    <s v="VALIDATED"/>
    <n v="1"/>
    <s v="01.11.80.308.6100.0000"/>
    <n v="206.23"/>
    <s v="11"/>
    <s v="6100"/>
    <n v="-32425.63"/>
    <n v="206.2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94"/>
    <d v="2023-07-10T19:01:45"/>
    <s v="Y"/>
    <s v="Advocates Meeting"/>
    <s v="Public Law Children"/>
    <s v="Advocacy"/>
    <s v="JBL"/>
    <s v="Y"/>
    <n v="140.99"/>
    <n v="28.2"/>
    <x v="2"/>
    <s v="VALIDATED"/>
    <n v="1"/>
    <s v="01.11.80.308.6100.0000"/>
    <n v="140.99"/>
    <s v="11"/>
    <s v="6100"/>
    <n v="-32425.63"/>
    <n v="140.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32"/>
    <d v="2023-07-10T19:02:05"/>
    <s v="Y"/>
    <s v="Preparation - drafting statement"/>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0"/>
    <d v="2023-07-10T19:02:05"/>
    <s v="Y"/>
    <s v="Preparation - drafting statement"/>
    <s v="Non Family Hourly Rates"/>
    <s v="Profit Cost"/>
    <s v="CB"/>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4"/>
    <d v="2023-07-10T19:02:05"/>
    <s v="Y"/>
    <s v="Preparation - other"/>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5"/>
    <d v="2023-07-10T19:02:05"/>
    <s v="Y"/>
    <s v="Preparation - drafting attendance n"/>
    <s v="Non Family Hourly Rates"/>
    <s v="Profit Cost"/>
    <s v="LG"/>
    <s v="Y"/>
    <n v="7.16"/>
    <n v="0"/>
    <x v="2"/>
    <s v="VALIDATED"/>
    <n v="1"/>
    <s v="01.11.80.203.6100.0000"/>
    <n v="7.16"/>
    <s v="11"/>
    <s v="6100"/>
    <n v="-32425.63"/>
    <n v="7.16"/>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8"/>
    <d v="2023-07-05T19:02:09"/>
    <s v="Y"/>
    <s v="Preparation - other"/>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1"/>
    <d v="2023-07-05T19:02:06"/>
    <s v="Y"/>
    <s v="Preparation - other"/>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
    <d v="2023-07-05T19:02:06"/>
    <s v="Y"/>
    <s v="Attendance upon client"/>
    <s v="VHCC"/>
    <s v="Profit Cost"/>
    <s v="SHL 60"/>
    <s v="Y"/>
    <n v="228.96"/>
    <n v="45.79"/>
    <x v="6"/>
    <s v="VALIDATED"/>
    <n v="1"/>
    <s v="01.11.80.203.6100.0000"/>
    <n v="228.96"/>
    <s v="11"/>
    <s v="6100"/>
    <n v="-32425.63"/>
    <n v="228.9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
    <d v="2023-07-05T19:02:06"/>
    <s v="Y"/>
    <s v="Preparation - other"/>
    <s v="VHCC"/>
    <s v="Profit Cost"/>
    <s v="PFA 60"/>
    <s v="Y"/>
    <n v="80.14"/>
    <n v="16.03"/>
    <x v="6"/>
    <s v="VALIDATED"/>
    <n v="1"/>
    <s v="01.11.80.203.6100.0000"/>
    <n v="80.14"/>
    <s v="11"/>
    <s v="6100"/>
    <n v="-32425.63"/>
    <n v="80.1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2"/>
    <d v="2023-07-05T19:01:55"/>
    <s v="Y"/>
    <s v="Preparation - other"/>
    <s v="Non Family Hourly Rates"/>
    <s v="Profit Cost"/>
    <s v="GLE 50"/>
    <s v="Y"/>
    <n v="150.26"/>
    <n v="30.05"/>
    <x v="6"/>
    <s v="VALIDATED"/>
    <n v="1"/>
    <s v="01.11.80.203.6100.0000"/>
    <n v="150.26"/>
    <s v="11"/>
    <s v="6100"/>
    <n v="-32425.63"/>
    <n v="150.2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5"/>
    <d v="2023-07-05T19:01:55"/>
    <s v="Y"/>
    <s v="Preparation - other"/>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7"/>
    <d v="2023-07-05T19:01:55"/>
    <s v="Y"/>
    <s v="Preparation - other"/>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0"/>
    <d v="2023-07-05T19:01:55"/>
    <s v="Y"/>
    <s v="Preparation - other"/>
    <s v="Non Family Hourly Rates"/>
    <s v="Profit Cost"/>
    <s v="GLE 50"/>
    <s v="Y"/>
    <n v="246.86"/>
    <n v="49.37"/>
    <x v="6"/>
    <s v="VALIDATED"/>
    <n v="1"/>
    <s v="01.11.80.203.6100.0000"/>
    <n v="246.86"/>
    <s v="11"/>
    <s v="6100"/>
    <n v="-32425.63"/>
    <n v="246.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54"/>
    <d v="2023-07-05T19:01:55"/>
    <s v="Y"/>
    <s v="Preparation - other"/>
    <s v="Non Family Hourly Rates"/>
    <s v="Profit Cost"/>
    <s v="HRL 50"/>
    <s v="Y"/>
    <n v="53.67"/>
    <n v="10.73"/>
    <x v="6"/>
    <s v="VALIDATED"/>
    <n v="1"/>
    <s v="01.11.80.203.6100.0000"/>
    <n v="53.67"/>
    <s v="11"/>
    <s v="6100"/>
    <n v="-32425.63"/>
    <n v="53.6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76"/>
    <d v="2023-07-03T19:04:58"/>
    <s v="Y"/>
    <s v="Preparation - drafting instructions"/>
    <s v="VHCC"/>
    <s v="Profit Cost"/>
    <s v="JML 65"/>
    <s v="Y"/>
    <n v="94.45"/>
    <n v="18.89"/>
    <x v="3"/>
    <s v="VALIDATED"/>
    <n v="1"/>
    <s v="01.11.80.203.6100.0000"/>
    <n v="94.45"/>
    <s v="11"/>
    <s v="6100"/>
    <n v="-32425.63"/>
    <n v="94.4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2"/>
    <d v="2023-07-03T19:04:58"/>
    <s v="Y"/>
    <s v="Preparation - other"/>
    <s v="VHCC"/>
    <s v="Profit Cost"/>
    <s v="JML 65"/>
    <s v="Y"/>
    <n v="35.42"/>
    <n v="7.08"/>
    <x v="3"/>
    <s v="VALIDATED"/>
    <n v="1"/>
    <s v="01.11.80.203.6100.0000"/>
    <n v="35.42"/>
    <s v="11"/>
    <s v="6100"/>
    <n v="-32425.63"/>
    <n v="35.42"/>
    <s v="DEBTOR"/>
    <n v="0"/>
    <n v="0"/>
    <n v="0"/>
    <n v="0"/>
    <n v="0"/>
  </r>
  <r>
    <n v="8733210"/>
    <s v="N"/>
    <n v="21403533"/>
    <s v="3000004746670021"/>
    <s v="CIVIL"/>
    <d v="2023-06-06T00:00:00"/>
    <d v="2023-07-20T19:22:20"/>
    <m/>
    <d v="2023-07-20T00:00:00"/>
    <n v="1878"/>
    <n v="1547"/>
    <s v="8733210"/>
    <s v="8733210"/>
    <m/>
    <m/>
    <n v="22629506"/>
    <m/>
    <m/>
    <m/>
    <s v="SOLFIN"/>
    <s v="SOLFIN"/>
    <s v="CCMS"/>
    <n v="21403533"/>
    <n v="4211.9"/>
    <m/>
    <s v="N"/>
    <n v="29"/>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53"/>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76"/>
    <d v="2023-07-20T19:22:42"/>
    <s v="Y"/>
    <s v="Preparation - other"/>
    <s v="Non Family Hourly Rates"/>
    <s v="Profit Cost"/>
    <s v="BSS"/>
    <s v="Y"/>
    <n v="12.6"/>
    <n v="2.52"/>
    <x v="13"/>
    <s v="VALIDATED"/>
    <n v="1"/>
    <s v="01.11.80.201.6100.0000"/>
    <n v="12.6"/>
    <s v="11"/>
    <s v="6100"/>
    <n v="-32425.63"/>
    <n v="12.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7"/>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2"/>
    <d v="2023-07-10T19:02:05"/>
    <s v="Y"/>
    <s v="Attendance upon client"/>
    <s v="Non Family Hourly Rates"/>
    <s v="Profit Cost"/>
    <s v="LG"/>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8"/>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3"/>
    <d v="2023-07-10T19:02:05"/>
    <s v="Y"/>
    <s v="Preparation - other"/>
    <s v="Non Family Hourly Rates"/>
    <s v="Profit Cost"/>
    <s v="CB"/>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5"/>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8"/>
    <d v="2023-07-10T19:02:05"/>
    <s v="Y"/>
    <s v="Preparation - other"/>
    <s v="Non Family Hourly Rates"/>
    <s v="Profit Cost"/>
    <s v="CB"/>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2"/>
    <d v="2023-07-10T19:02:05"/>
    <s v="Y"/>
    <s v="Preparation - other"/>
    <s v="Non Family Hourly Rates"/>
    <s v="Profit Cost"/>
    <s v="LG"/>
    <s v="Y"/>
    <n v="32.21"/>
    <n v="0"/>
    <x v="2"/>
    <s v="VALIDATED"/>
    <n v="1"/>
    <s v="01.11.80.203.6100.0000"/>
    <n v="32.21"/>
    <s v="11"/>
    <s v="6100"/>
    <n v="-32425.63"/>
    <n v="32.2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4"/>
    <d v="2023-07-10T19:01:45"/>
    <s v="Y"/>
    <s v="Preparation - drafting application"/>
    <s v="Care Remuneration Hourly Rates"/>
    <s v="Profit Cost"/>
    <s v="AMA 30"/>
    <s v="Y"/>
    <n v="14.37"/>
    <n v="2.87"/>
    <x v="2"/>
    <s v="VALIDATED"/>
    <n v="1"/>
    <s v="01.11.80.308.6100.0000"/>
    <n v="14.37"/>
    <s v="11"/>
    <s v="6100"/>
    <n v="-32425.63"/>
    <n v="14.37"/>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1"/>
    <d v="2023-07-05T19:02:09"/>
    <s v="Y"/>
    <s v="Preparation - other"/>
    <s v="VHCC"/>
    <s v="Profit Cost"/>
    <s v="GLE 60"/>
    <s v="Y"/>
    <n v="68.69"/>
    <n v="13.74"/>
    <x v="6"/>
    <s v="VALIDATED"/>
    <n v="1"/>
    <s v="01.11.80.203.6100.0000"/>
    <n v="68.69"/>
    <s v="11"/>
    <s v="6100"/>
    <n v="-32425.63"/>
    <n v="68.6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5"/>
    <d v="2023-07-05T19:02:09"/>
    <s v="Y"/>
    <s v="Preparation - other"/>
    <s v="VHCC"/>
    <s v="Profit Cost"/>
    <s v="SHL 60"/>
    <s v="Y"/>
    <n v="114.48"/>
    <n v="22.9"/>
    <x v="6"/>
    <s v="VALIDATED"/>
    <n v="1"/>
    <s v="01.11.80.203.6100.0000"/>
    <n v="114.48"/>
    <s v="11"/>
    <s v="6100"/>
    <n v="-32425.63"/>
    <n v="114.4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7"/>
    <d v="2023-07-05T19:02:06"/>
    <s v="Y"/>
    <s v="Preparation - drafting instructions"/>
    <s v="VHCC"/>
    <s v="Profit Cost"/>
    <s v="SHL 60"/>
    <s v="Y"/>
    <n v="206.06"/>
    <n v="41.21"/>
    <x v="6"/>
    <s v="VALIDATED"/>
    <n v="1"/>
    <s v="01.11.80.203.6100.0000"/>
    <n v="206.06"/>
    <s v="11"/>
    <s v="6100"/>
    <n v="-32425.63"/>
    <n v="206.0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2"/>
    <d v="2023-07-05T19:02:06"/>
    <s v="Y"/>
    <s v="Preparation - drafting statement"/>
    <s v="VHCC"/>
    <s v="Profit Cost"/>
    <s v="SHL 60"/>
    <s v="Y"/>
    <n v="57.24"/>
    <n v="11.45"/>
    <x v="6"/>
    <s v="VALIDATED"/>
    <n v="1"/>
    <s v="01.11.80.203.6100.0000"/>
    <n v="57.24"/>
    <s v="11"/>
    <s v="6100"/>
    <n v="-32425.63"/>
    <n v="57.24"/>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5"/>
    <d v="2023-07-05T19:02:09"/>
    <s v="Y"/>
    <s v="Preparation - other"/>
    <s v="VHCC"/>
    <s v="Profit Cost"/>
    <s v="LD"/>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9"/>
    <d v="2023-07-05T19:02:06"/>
    <s v="Y"/>
    <s v="Preparation - other"/>
    <s v="VHCC"/>
    <s v="Profit Cost"/>
    <s v="SHL 60"/>
    <s v="Y"/>
    <n v="22.9"/>
    <n v="4.58"/>
    <x v="6"/>
    <s v="VALIDATED"/>
    <n v="1"/>
    <s v="01.11.80.203.6100.0000"/>
    <n v="22.9"/>
    <s v="11"/>
    <s v="6100"/>
    <n v="-32425.63"/>
    <n v="22.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5"/>
    <d v="2023-07-05T19:01:55"/>
    <s v="Y"/>
    <s v="Preparation - other"/>
    <s v="Non Family Hourly Rates"/>
    <s v="Profit Cost"/>
    <s v="HRL 50"/>
    <s v="Y"/>
    <n v="21.47"/>
    <n v="4.29"/>
    <x v="6"/>
    <s v="VALIDATED"/>
    <n v="1"/>
    <s v="01.11.80.203.6100.0000"/>
    <n v="21.47"/>
    <s v="11"/>
    <s v="6100"/>
    <n v="-32425.63"/>
    <n v="21.4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1"/>
    <d v="2023-07-06T19:21:25"/>
    <s v="Y"/>
    <s v="Preparation - other"/>
    <s v="Care Remuneration Hourly Rates"/>
    <s v="Profit Cost"/>
    <s v="LD"/>
    <s v="Y"/>
    <n v="12.28"/>
    <n v="2.46"/>
    <x v="4"/>
    <s v="VALIDATED"/>
    <n v="1"/>
    <s v="01.11.80.308.6100.0000"/>
    <n v="12.28"/>
    <s v="11"/>
    <s v="6100"/>
    <n v="-32425.63"/>
    <n v="12.2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9"/>
    <d v="2023-07-05T19:02:06"/>
    <s v="Y"/>
    <s v="Court Fee"/>
    <s v="VHCC"/>
    <s v="Non Expert Disbursement"/>
    <s v="SHL"/>
    <s v="Y"/>
    <n v="371"/>
    <n v="0"/>
    <x v="6"/>
    <s v="VALIDATED"/>
    <n v="1"/>
    <s v="01.11.80.203.6300.0000"/>
    <n v="371"/>
    <s v="11"/>
    <s v="6300"/>
    <n v="-32425.63"/>
    <n v="37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4"/>
    <d v="2023-07-05T19:02:06"/>
    <s v="Y"/>
    <s v="Preparation - other"/>
    <s v="VHCC"/>
    <s v="Profit Cost"/>
    <s v="SHL 60"/>
    <s v="Y"/>
    <n v="45.79"/>
    <n v="9.16"/>
    <x v="6"/>
    <s v="VALIDATED"/>
    <n v="1"/>
    <s v="01.11.80.203.6100.0000"/>
    <n v="45.79"/>
    <s v="11"/>
    <s v="6100"/>
    <n v="-32425.63"/>
    <n v="45.7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6"/>
    <d v="2023-07-05T19:02:06"/>
    <s v="Y"/>
    <s v="Travel to attend client"/>
    <s v="VHCC"/>
    <s v="Profit Cost"/>
    <s v="GLE"/>
    <s v="Y"/>
    <n v="38.91"/>
    <n v="7.78"/>
    <x v="6"/>
    <s v="VALIDATED"/>
    <n v="1"/>
    <s v="01.11.80.203.6100.0000"/>
    <n v="38.91"/>
    <s v="11"/>
    <s v="6100"/>
    <n v="-32425.63"/>
    <n v="38.9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9"/>
    <d v="2023-07-05T19:02:06"/>
    <s v="Y"/>
    <s v="Attendance upon other"/>
    <s v="VHCC"/>
    <s v="Profit Cost"/>
    <s v="SHL"/>
    <s v="Y"/>
    <n v="14.31"/>
    <n v="2.86"/>
    <x v="6"/>
    <s v="VALIDATED"/>
    <n v="1"/>
    <s v="01.11.80.203.6100.0000"/>
    <n v="14.31"/>
    <s v="11"/>
    <s v="6100"/>
    <n v="-32425.63"/>
    <n v="14.3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86"/>
    <d v="2023-07-05T19:02:06"/>
    <s v="Y"/>
    <s v="Attendance upon client"/>
    <s v="VHCC"/>
    <s v="Profit Cost"/>
    <s v="SHL 60"/>
    <s v="Y"/>
    <n v="80.14"/>
    <n v="16.03"/>
    <x v="6"/>
    <s v="VALIDATED"/>
    <n v="1"/>
    <s v="01.11.80.203.6100.0000"/>
    <n v="80.14"/>
    <s v="11"/>
    <s v="6100"/>
    <n v="-32425.63"/>
    <n v="80.1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1"/>
    <d v="2023-07-05T19:01:55"/>
    <s v="Y"/>
    <s v="Preparation - other"/>
    <s v="Non Family Hourly Rates"/>
    <s v="Profit Cost"/>
    <s v="HRL 50"/>
    <s v="Y"/>
    <n v="289.79"/>
    <n v="57.96"/>
    <x v="6"/>
    <s v="VALIDATED"/>
    <n v="1"/>
    <s v="01.11.80.203.6100.0000"/>
    <n v="289.79"/>
    <s v="11"/>
    <s v="6100"/>
    <n v="-32425.63"/>
    <n v="289.7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2"/>
    <d v="2023-07-05T19:01:55"/>
    <s v="Y"/>
    <s v="Preparation - other"/>
    <s v="Non Family Hourly Rates"/>
    <s v="Profit Cost"/>
    <s v="HRL 50"/>
    <s v="Y"/>
    <n v="64.40000000000001"/>
    <n v="12.88"/>
    <x v="6"/>
    <s v="VALIDATED"/>
    <n v="1"/>
    <s v="01.11.80.203.6100.0000"/>
    <n v="64.40000000000001"/>
    <s v="11"/>
    <s v="6100"/>
    <n v="-32425.63"/>
    <n v="64.400000000000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2"/>
    <d v="2023-07-05T19:01:55"/>
    <s v="Y"/>
    <s v="Preparation - other"/>
    <s v="Non Family Hourly Rates"/>
    <s v="Profit Cost"/>
    <s v="HRL 50"/>
    <s v="Y"/>
    <n v="107.33"/>
    <n v="21.47"/>
    <x v="6"/>
    <s v="VALIDATED"/>
    <n v="1"/>
    <s v="01.11.80.203.6100.0000"/>
    <n v="107.33"/>
    <s v="11"/>
    <s v="6100"/>
    <n v="-32425.63"/>
    <n v="107.3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26"/>
    <d v="2023-07-05T19:01:55"/>
    <s v="Y"/>
    <s v="Preparation - other"/>
    <s v="Non Family Hourly Rates"/>
    <s v="Profit Cost"/>
    <s v="HRL 50"/>
    <s v="Y"/>
    <n v="107.33"/>
    <n v="21.47"/>
    <x v="6"/>
    <s v="VALIDATED"/>
    <n v="1"/>
    <s v="01.11.80.203.6100.0000"/>
    <n v="107.33"/>
    <s v="11"/>
    <s v="6100"/>
    <n v="-32425.63"/>
    <n v="107.3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5"/>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4"/>
    <d v="2023-07-03T19:04:58"/>
    <s v="Y"/>
    <s v="Preparation - drafting instructions"/>
    <s v="VHCC"/>
    <s v="Profit Cost"/>
    <s v="JML 65"/>
    <s v="Y"/>
    <n v="129.87"/>
    <n v="25.97"/>
    <x v="3"/>
    <s v="VALIDATED"/>
    <n v="1"/>
    <s v="01.11.80.203.6100.0000"/>
    <n v="129.87"/>
    <s v="11"/>
    <s v="6100"/>
    <n v="-32425.63"/>
    <n v="129.8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
    <d v="2023-07-03T19:04:58"/>
    <s v="Y"/>
    <s v="Attendance upon client"/>
    <s v="VHCC"/>
    <s v="Profit Cost"/>
    <s v="JML 65"/>
    <s v="Y"/>
    <n v="106.25"/>
    <n v="21.25"/>
    <x v="3"/>
    <s v="VALIDATED"/>
    <n v="1"/>
    <s v="01.11.80.203.6100.0000"/>
    <n v="106.25"/>
    <s v="11"/>
    <s v="6100"/>
    <n v="-32425.63"/>
    <n v="106.2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74"/>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34"/>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
    <d v="2023-07-03T19:04:58"/>
    <s v="Y"/>
    <s v="Preparation - other"/>
    <s v="VHCC"/>
    <s v="Profit Cost"/>
    <s v="JML 65"/>
    <s v="Y"/>
    <n v="47.22"/>
    <n v="9.44"/>
    <x v="3"/>
    <s v="VALIDATED"/>
    <n v="1"/>
    <s v="01.11.80.203.6100.0000"/>
    <n v="47.22"/>
    <s v="11"/>
    <s v="6100"/>
    <n v="-32425.63"/>
    <n v="47.22"/>
    <s v="DEBTOR"/>
    <n v="0"/>
    <n v="0"/>
    <n v="0"/>
    <n v="0"/>
    <n v="0"/>
  </r>
  <r>
    <n v="59773071"/>
    <s v="N"/>
    <n v="21392646"/>
    <s v="3000014124260002"/>
    <s v="CIVIL"/>
    <d v="2023-06-14T00:00:00"/>
    <d v="2023-07-18T19:00:27"/>
    <m/>
    <d v="2023-07-18T00:00:00"/>
    <n v="1878"/>
    <n v="1547"/>
    <s v="59773071"/>
    <s v="59773071"/>
    <m/>
    <m/>
    <n v="22686976"/>
    <m/>
    <m/>
    <m/>
    <s v="SOLFIN"/>
    <s v="SOLFIN"/>
    <s v="CCMS"/>
    <n v="21392646"/>
    <n v="1220.15"/>
    <m/>
    <s v="N"/>
    <n v="8"/>
    <d v="2023-07-18T19:00:56"/>
    <s v="Y"/>
    <s v="Preparation - other"/>
    <s v="Non Family Hourly Rates"/>
    <s v="Profit Cost"/>
    <s v="MSK 50"/>
    <s v="Y"/>
    <n v="10.74"/>
    <n v="2.15"/>
    <x v="14"/>
    <s v="VALIDATED"/>
    <n v="1"/>
    <s v="01.11.80.203.6100.0000"/>
    <n v="10.74"/>
    <s v="11"/>
    <s v="6100"/>
    <n v="-32425.63"/>
    <n v="10.74"/>
    <s v="DEBTOR"/>
    <n v="0"/>
    <n v="0"/>
    <n v="0"/>
    <n v="0"/>
    <n v="0"/>
  </r>
  <r>
    <n v="8733210"/>
    <s v="N"/>
    <n v="21403533"/>
    <s v="3000004746670021"/>
    <s v="CIVIL"/>
    <d v="2023-06-06T00:00:00"/>
    <d v="2023-07-20T19:22:20"/>
    <m/>
    <d v="2023-07-20T00:00:00"/>
    <n v="1878"/>
    <n v="1547"/>
    <s v="8733210"/>
    <s v="8733210"/>
    <m/>
    <m/>
    <n v="22629506"/>
    <m/>
    <m/>
    <m/>
    <s v="SOLFIN"/>
    <s v="SOLFIN"/>
    <s v="CCMS"/>
    <n v="21403533"/>
    <n v="4211.9"/>
    <m/>
    <s v="N"/>
    <n v="94"/>
    <d v="2023-07-20T19:22:42"/>
    <s v="Y"/>
    <s v="Attendance upon other"/>
    <s v="Non Family Hourly Rates"/>
    <s v="Profit Cost"/>
    <s v="GMT"/>
    <s v="Y"/>
    <n v="18.9"/>
    <n v="3.78"/>
    <x v="13"/>
    <s v="VALIDATED"/>
    <n v="1"/>
    <s v="01.11.80.201.6100.0000"/>
    <n v="18.9"/>
    <s v="11"/>
    <s v="6100"/>
    <n v="-32425.63"/>
    <n v="18.9"/>
    <s v="DEBTOR"/>
    <n v="0"/>
    <n v="0"/>
    <n v="0"/>
    <n v="0"/>
    <n v="0"/>
  </r>
  <r>
    <n v="61742173"/>
    <s v="N"/>
    <n v="21319086"/>
    <s v="3000015815100003"/>
    <s v="CIVIL"/>
    <d v="2023-06-23T00:00:00"/>
    <d v="2023-07-03T19:01:49"/>
    <m/>
    <d v="2023-07-03T00:00:00"/>
    <n v="1878"/>
    <n v="1547"/>
    <s v="61742173"/>
    <s v="61742173"/>
    <m/>
    <m/>
    <n v="22750850"/>
    <m/>
    <m/>
    <m/>
    <s v="SOLFIN"/>
    <s v="SOLFIN"/>
    <s v="CCMS"/>
    <n v="21319086"/>
    <n v="5246"/>
    <m/>
    <s v="N"/>
    <n v="66"/>
    <d v="2023-07-03T19:02:10"/>
    <s v="Y"/>
    <s v="Routine Telephone Call"/>
    <s v="Prescribed Hourly Rates"/>
    <s v="Profit Cost"/>
    <s v="HHS"/>
    <s v="Y"/>
    <n v="10.8"/>
    <n v="2.16"/>
    <x v="3"/>
    <s v="VALIDATED"/>
    <n v="1"/>
    <s v="01.11.80.305.6100.0000"/>
    <n v="10.8"/>
    <s v="11"/>
    <s v="6100"/>
    <n v="-32425.63"/>
    <n v="10.8"/>
    <s v="DEBTOR"/>
    <n v="0"/>
    <n v="0"/>
    <n v="0"/>
    <n v="0"/>
    <n v="0"/>
  </r>
  <r>
    <n v="61742173"/>
    <s v="N"/>
    <n v="21319086"/>
    <s v="3000015815100003"/>
    <s v="CIVIL"/>
    <d v="2023-06-23T00:00:00"/>
    <d v="2023-07-03T19:01:49"/>
    <m/>
    <d v="2023-07-03T00:00:00"/>
    <n v="1878"/>
    <n v="1547"/>
    <s v="61742173"/>
    <s v="61742173"/>
    <m/>
    <m/>
    <n v="22750850"/>
    <m/>
    <m/>
    <m/>
    <s v="SOLFIN"/>
    <s v="SOLFIN"/>
    <s v="CCMS"/>
    <n v="21319086"/>
    <n v="5246"/>
    <m/>
    <s v="N"/>
    <n v="23"/>
    <d v="2023-07-03T19:02:10"/>
    <s v="Y"/>
    <s v="Travel to attend client"/>
    <s v="Prescribed Hourly Rates"/>
    <s v="Profit Cost"/>
    <s v="MAE 15"/>
    <s v="Y"/>
    <n v="49.68"/>
    <n v="9.94"/>
    <x v="3"/>
    <s v="VALIDATED"/>
    <n v="1"/>
    <s v="01.11.80.305.6100.0000"/>
    <n v="49.68"/>
    <s v="11"/>
    <s v="6100"/>
    <n v="-32425.63"/>
    <n v="49.68"/>
    <s v="DEBTOR"/>
    <n v="0"/>
    <n v="0"/>
    <n v="0"/>
    <n v="0"/>
    <n v="0"/>
  </r>
  <r>
    <n v="61742173"/>
    <s v="N"/>
    <n v="21319086"/>
    <s v="3000015815100003"/>
    <s v="CIVIL"/>
    <d v="2023-06-23T00:00:00"/>
    <d v="2023-07-03T19:01:49"/>
    <m/>
    <d v="2023-07-03T00:00:00"/>
    <n v="1878"/>
    <n v="1547"/>
    <s v="61742173"/>
    <s v="61742173"/>
    <m/>
    <m/>
    <n v="22750850"/>
    <m/>
    <m/>
    <m/>
    <s v="SOLFIN"/>
    <s v="SOLFIN"/>
    <s v="CCMS"/>
    <n v="21319086"/>
    <n v="5246"/>
    <m/>
    <s v="N"/>
    <n v="54"/>
    <d v="2023-07-03T19:02:10"/>
    <s v="Y"/>
    <s v="Preparation - other"/>
    <s v="Prescribed Hourly Rates"/>
    <s v="Profit Cost"/>
    <s v="HHS"/>
    <s v="Y"/>
    <n v="29.7"/>
    <n v="5.94"/>
    <x v="3"/>
    <s v="VALIDATED"/>
    <n v="1"/>
    <s v="01.11.80.305.6100.0000"/>
    <n v="29.7"/>
    <s v="11"/>
    <s v="6100"/>
    <n v="-32425.63"/>
    <n v="29.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00"/>
    <d v="2023-07-10T19:01:45"/>
    <s v="Y"/>
    <s v="Advocates Meeting"/>
    <s v="Public Law Children"/>
    <s v="Advocacy"/>
    <s v="AGI"/>
    <s v="Y"/>
    <n v="140.99"/>
    <n v="28.2"/>
    <x v="2"/>
    <s v="VALIDATED"/>
    <n v="1"/>
    <s v="01.11.80.308.6100.0000"/>
    <n v="140.99"/>
    <s v="11"/>
    <s v="6100"/>
    <n v="-32425.63"/>
    <n v="140.9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1"/>
    <d v="2023-07-10T19:01:45"/>
    <s v="Y"/>
    <s v="Preparation - other"/>
    <s v="Care Remuneration Hourly Rates"/>
    <s v="Profit Cost"/>
    <s v="AMA 30"/>
    <s v="Y"/>
    <n v="28.73"/>
    <n v="5.75"/>
    <x v="2"/>
    <s v="VALIDATED"/>
    <n v="1"/>
    <s v="01.11.80.308.6100.0000"/>
    <n v="28.73"/>
    <s v="11"/>
    <s v="6100"/>
    <n v="-32425.63"/>
    <n v="28.7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9"/>
    <d v="2023-07-10T19:02:05"/>
    <s v="Y"/>
    <s v="Preparation - drafting attendance n"/>
    <s v="Non Family Hourly Rates"/>
    <s v="Profit Cost"/>
    <s v="LG"/>
    <s v="Y"/>
    <n v="7.16"/>
    <n v="0"/>
    <x v="2"/>
    <s v="VALIDATED"/>
    <n v="1"/>
    <s v="01.11.80.203.6100.0000"/>
    <n v="7.16"/>
    <s v="11"/>
    <s v="6100"/>
    <n v="-32425.63"/>
    <n v="7.16"/>
    <s v="DEBTOR"/>
    <n v="0"/>
    <n v="0"/>
    <n v="0"/>
    <n v="0"/>
    <n v="0"/>
  </r>
  <r>
    <n v="62505835"/>
    <s v="N"/>
    <n v="21349453"/>
    <s v="3000016462370001"/>
    <s v="CIVIL"/>
    <d v="2023-06-29T00:00:00"/>
    <d v="2023-07-10T19:01:40"/>
    <m/>
    <d v="2023-07-10T00:00:00"/>
    <n v="1878"/>
    <n v="1547"/>
    <s v="62505835"/>
    <s v="62505835"/>
    <m/>
    <m/>
    <n v="22788222"/>
    <m/>
    <m/>
    <m/>
    <s v="SOLFIN"/>
    <s v="SOLFIN"/>
    <s v="CCMS"/>
    <n v="21349453"/>
    <n v="1212.58"/>
    <m/>
    <s v="N"/>
    <n v="2"/>
    <d v="2023-07-10T19:01:50"/>
    <s v="Y"/>
    <s v="Routine Letter Out"/>
    <s v="Care Remuneration Hourly Rates"/>
    <s v="Profit Cost"/>
    <s v="HPY"/>
    <s v="Y"/>
    <n v="82.66"/>
    <n v="16.53"/>
    <x v="2"/>
    <s v="VALIDATED"/>
    <n v="1"/>
    <s v="01.11.80.308.6100.0000"/>
    <n v="82.66"/>
    <s v="11"/>
    <s v="6100"/>
    <n v="-32425.63"/>
    <n v="82.6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43"/>
    <d v="2023-07-05T19:02:06"/>
    <s v="Y"/>
    <s v="Preparation -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0"/>
    <d v="2023-07-05T19:02:06"/>
    <s v="Y"/>
    <s v="Attendance upon other side"/>
    <s v="VHCC"/>
    <s v="Profit Cost"/>
    <s v="GLE 60"/>
    <s v="Y"/>
    <n v="22.9"/>
    <n v="4.58"/>
    <x v="6"/>
    <s v="VALIDATED"/>
    <n v="1"/>
    <s v="01.11.80.203.6100.0000"/>
    <n v="22.9"/>
    <s v="11"/>
    <s v="6100"/>
    <n v="-32425.63"/>
    <n v="22.9"/>
    <s v="DEBTOR"/>
    <n v="0"/>
    <n v="0"/>
    <n v="0"/>
    <n v="0"/>
    <n v="0"/>
  </r>
  <r>
    <n v="59677260"/>
    <s v="N"/>
    <n v="21331257"/>
    <s v="3000014052440026"/>
    <s v="CIVIL"/>
    <d v="2023-06-30T00:00:00"/>
    <d v="2023-07-05T19:01:47"/>
    <m/>
    <d v="2023-07-05T00:00:00"/>
    <n v="1878"/>
    <n v="1547"/>
    <s v="59677260"/>
    <s v="59677260"/>
    <m/>
    <m/>
    <n v="22798826"/>
    <m/>
    <m/>
    <m/>
    <s v="SOLINT"/>
    <s v="SOLINT"/>
    <s v="CCMS"/>
    <n v="21331257"/>
    <n v="4736.2"/>
    <m/>
    <s v="N"/>
    <n v="28"/>
    <d v="2023-07-05T19:02:12"/>
    <s v="Y"/>
    <s v="Preparation - drafting instructions"/>
    <s v="VHCC"/>
    <s v="Profit Cost"/>
    <s v="SHL 60"/>
    <s v="Y"/>
    <n v="286.2"/>
    <n v="57.24"/>
    <x v="6"/>
    <s v="VALIDATED"/>
    <n v="1"/>
    <s v="01.11.80.203.6100.0000"/>
    <n v="286.2"/>
    <s v="11"/>
    <s v="6100"/>
    <n v="-32425.63"/>
    <n v="286.2"/>
    <s v="DEBTOR"/>
    <n v="0"/>
    <n v="0"/>
    <n v="0"/>
    <n v="0"/>
    <n v="0"/>
  </r>
  <r>
    <n v="59677260"/>
    <s v="N"/>
    <n v="21331257"/>
    <s v="3000014052440026"/>
    <s v="CIVIL"/>
    <d v="2023-06-30T00:00:00"/>
    <d v="2023-07-05T19:01:47"/>
    <m/>
    <d v="2023-07-05T00:00:00"/>
    <n v="1878"/>
    <n v="1547"/>
    <s v="59677260"/>
    <s v="59677260"/>
    <m/>
    <m/>
    <n v="22798826"/>
    <m/>
    <m/>
    <m/>
    <s v="SOLINT"/>
    <s v="SOLINT"/>
    <s v="CCMS"/>
    <n v="21331257"/>
    <n v="4736.2"/>
    <m/>
    <s v="N"/>
    <n v="36"/>
    <d v="2023-07-05T19:02:12"/>
    <s v="Y"/>
    <s v="Preparation - other"/>
    <s v="VHCC"/>
    <s v="Profit Cost"/>
    <s v="SHL"/>
    <s v="Y"/>
    <n v="7.16"/>
    <n v="1.43"/>
    <x v="6"/>
    <s v="VALIDATED"/>
    <n v="1"/>
    <s v="01.11.80.203.6100.0000"/>
    <n v="7.16"/>
    <s v="11"/>
    <s v="6100"/>
    <n v="-32425.63"/>
    <n v="7.16"/>
    <s v="DEBTOR"/>
    <n v="0"/>
    <n v="0"/>
    <n v="0"/>
    <n v="0"/>
    <n v="0"/>
  </r>
  <r>
    <n v="59677260"/>
    <s v="N"/>
    <n v="21331257"/>
    <s v="3000014052440026"/>
    <s v="CIVIL"/>
    <d v="2023-06-30T00:00:00"/>
    <d v="2023-07-05T19:01:47"/>
    <m/>
    <d v="2023-07-05T00:00:00"/>
    <n v="1878"/>
    <n v="1547"/>
    <s v="59677260"/>
    <s v="59677260"/>
    <m/>
    <m/>
    <n v="22798826"/>
    <m/>
    <m/>
    <m/>
    <s v="SOLINT"/>
    <s v="SOLINT"/>
    <s v="CCMS"/>
    <n v="21331257"/>
    <n v="4736.2"/>
    <m/>
    <s v="N"/>
    <n v="40"/>
    <d v="2023-07-05T19:02:12"/>
    <s v="Y"/>
    <s v="Preparation - other"/>
    <s v="VHCC"/>
    <s v="Profit Cost"/>
    <s v="GLE 60"/>
    <s v="Y"/>
    <n v="34.34"/>
    <n v="6.87"/>
    <x v="6"/>
    <s v="VALIDATED"/>
    <n v="1"/>
    <s v="01.11.80.203.6100.0000"/>
    <n v="34.34"/>
    <s v="11"/>
    <s v="6100"/>
    <n v="-32425.63"/>
    <n v="34.34"/>
    <s v="DEBTOR"/>
    <n v="0"/>
    <n v="0"/>
    <n v="0"/>
    <n v="0"/>
    <n v="0"/>
  </r>
  <r>
    <n v="59677260"/>
    <s v="N"/>
    <n v="21331257"/>
    <s v="3000014052440026"/>
    <s v="CIVIL"/>
    <d v="2023-06-30T00:00:00"/>
    <d v="2023-07-05T19:01:47"/>
    <m/>
    <d v="2023-07-05T00:00:00"/>
    <n v="1878"/>
    <n v="1547"/>
    <s v="59677260"/>
    <s v="59677260"/>
    <m/>
    <m/>
    <n v="22798826"/>
    <m/>
    <m/>
    <m/>
    <s v="SOLINT"/>
    <s v="SOLINT"/>
    <s v="CCMS"/>
    <n v="21331257"/>
    <n v="4736.2"/>
    <m/>
    <s v="N"/>
    <n v="9"/>
    <d v="2023-07-05T19:02:12"/>
    <s v="Y"/>
    <s v="Attendance upon witness"/>
    <s v="VHCC"/>
    <s v="Profit Cost"/>
    <s v="GLE 60"/>
    <s v="Y"/>
    <n v="22.9"/>
    <n v="4.58"/>
    <x v="6"/>
    <s v="VALIDATED"/>
    <n v="1"/>
    <s v="01.11.80.203.6100.0000"/>
    <n v="22.9"/>
    <s v="11"/>
    <s v="6100"/>
    <n v="-32425.63"/>
    <n v="22.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3"/>
    <d v="2023-07-05T19:01:55"/>
    <s v="Y"/>
    <s v="Preparation - other"/>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5"/>
    <d v="2023-07-05T19:01:55"/>
    <s v="Y"/>
    <s v="Waiting - other"/>
    <s v="Non Family Hourly Rates"/>
    <s v="Profit Cost"/>
    <s v="HRL"/>
    <s v="Y"/>
    <n v="5.99"/>
    <n v="1.2"/>
    <x v="6"/>
    <s v="VALIDATED"/>
    <n v="1"/>
    <s v="01.11.80.203.6100.0000"/>
    <n v="5.99"/>
    <s v="11"/>
    <s v="6100"/>
    <n v="-32425.63"/>
    <n v="5.9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7"/>
    <d v="2023-07-05T19:01:55"/>
    <s v="Y"/>
    <s v="Preparation - other"/>
    <s v="Non Family Hourly Rates"/>
    <s v="Profit Cost"/>
    <s v="HRL"/>
    <s v="Y"/>
    <n v="7.16"/>
    <n v="1.43"/>
    <x v="6"/>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98"/>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1"/>
    <d v="2023-07-03T19:04:58"/>
    <s v="Y"/>
    <s v="Preparation - other"/>
    <s v="VHCC"/>
    <s v="Profit Cost"/>
    <s v="LD"/>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
    <d v="2023-07-03T19:04:58"/>
    <s v="Y"/>
    <s v="Preparation - drafting statement"/>
    <s v="VHCC"/>
    <s v="Profit Cost"/>
    <s v="JML 65"/>
    <s v="Y"/>
    <n v="94.45"/>
    <n v="18.89"/>
    <x v="3"/>
    <s v="VALIDATED"/>
    <n v="1"/>
    <s v="01.11.80.203.6100.0000"/>
    <n v="94.45"/>
    <s v="11"/>
    <s v="6100"/>
    <n v="-32425.63"/>
    <n v="94.4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
    <d v="2023-07-03T19:04:58"/>
    <s v="Y"/>
    <s v="Preparation - other"/>
    <s v="VHCC"/>
    <s v="Profit Cost"/>
    <s v="JML 65"/>
    <s v="Y"/>
    <n v="23.61"/>
    <n v="4.72"/>
    <x v="3"/>
    <s v="VALIDATED"/>
    <n v="1"/>
    <s v="01.11.80.203.6100.0000"/>
    <n v="23.61"/>
    <s v="11"/>
    <s v="6100"/>
    <n v="-32425.63"/>
    <n v="23.61"/>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
    <d v="2023-07-10T19:01:45"/>
    <s v="N"/>
    <s v="Preparation - drafting statement"/>
    <s v="Care Remuneration Hourly Rates"/>
    <s v="Profit Cost"/>
    <s v="JBL 30"/>
    <s v="N"/>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24"/>
    <d v="2023-07-10T19:01:45"/>
    <s v="Y"/>
    <s v="Preparation - other"/>
    <s v="Care Remuneration Hourly Rates"/>
    <s v="Profit Cost"/>
    <s v="JBL 30"/>
    <s v="Y"/>
    <n v="57.45"/>
    <n v="11.49"/>
    <x v="2"/>
    <s v="VALIDATED"/>
    <n v="1"/>
    <s v="01.11.80.308.6100.0000"/>
    <n v="57.45"/>
    <s v="11"/>
    <s v="6100"/>
    <n v="-32425.63"/>
    <n v="57.4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4"/>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0"/>
    <d v="2023-07-10T19:02:05"/>
    <s v="Y"/>
    <s v="Preparation - other"/>
    <s v="Non Family Hourly Rates"/>
    <s v="Profit Cost"/>
    <s v="CB"/>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3"/>
    <d v="2023-07-10T19:02:05"/>
    <s v="Y"/>
    <s v="Attendance upon client"/>
    <s v="Non Family Hourly Rates"/>
    <s v="Profit Cost"/>
    <s v="LG"/>
    <s v="Y"/>
    <n v="64.40000000000001"/>
    <n v="0"/>
    <x v="2"/>
    <s v="VALIDATED"/>
    <n v="1"/>
    <s v="01.11.80.203.6100.0000"/>
    <n v="64.40000000000001"/>
    <s v="11"/>
    <s v="6100"/>
    <n v="-32425.63"/>
    <n v="64.4000000000000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8"/>
    <d v="2023-07-10T19:02:05"/>
    <s v="Y"/>
    <s v="Attendance upon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4"/>
    <d v="2023-07-10T19:02:05"/>
    <s v="Y"/>
    <s v="Preparation - other"/>
    <s v="Non Family Hourly Rates"/>
    <s v="Profit Cost"/>
    <s v="CB"/>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1"/>
    <d v="2023-07-10T19:02:05"/>
    <s v="Y"/>
    <s v="Attendance upon/with Counsel at Con"/>
    <s v="Non Family Hourly Rates"/>
    <s v="Profit Cost"/>
    <s v="LG"/>
    <s v="Y"/>
    <n v="6.66"/>
    <n v="0"/>
    <x v="2"/>
    <s v="VALIDATED"/>
    <n v="1"/>
    <s v="01.11.80.203.6100.0000"/>
    <n v="6.66"/>
    <s v="11"/>
    <s v="6100"/>
    <n v="-32425.63"/>
    <n v="6.6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5"/>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77"/>
    <d v="2023-07-10T19:01:45"/>
    <s v="Y"/>
    <s v="Telecoms expert"/>
    <s v="Care Remuneration Hourly Rates"/>
    <s v="Expert Disbursement"/>
    <s v="AGI"/>
    <s v="Y"/>
    <n v="158"/>
    <n v="31.6"/>
    <x v="2"/>
    <s v="VALIDATED"/>
    <n v="1"/>
    <s v="01.11.80.308.6300.0000"/>
    <n v="158"/>
    <s v="11"/>
    <s v="6300"/>
    <n v="-32425.63"/>
    <n v="15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85"/>
    <d v="2023-07-10T19:01:45"/>
    <s v="Y"/>
    <s v="Preparation - other"/>
    <s v="Care Remuneration Hourly Rates"/>
    <s v="Profit Cost"/>
    <s v="AGI 30"/>
    <s v="Y"/>
    <n v="21.54"/>
    <n v="4.31"/>
    <x v="2"/>
    <s v="VALIDATED"/>
    <n v="1"/>
    <s v="01.11.80.308.6100.0000"/>
    <n v="21.54"/>
    <s v="11"/>
    <s v="6100"/>
    <n v="-32425.63"/>
    <n v="21.5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
    <d v="2023-07-05T19:02:06"/>
    <s v="Y"/>
    <s v="Preparation - drafting attendance n"/>
    <s v="VHCC"/>
    <s v="Profit Cost"/>
    <s v="SHL"/>
    <s v="Y"/>
    <n v="64.40000000000001"/>
    <n v="12.88"/>
    <x v="6"/>
    <s v="VALIDATED"/>
    <n v="1"/>
    <s v="01.11.80.203.6100.0000"/>
    <n v="64.40000000000001"/>
    <s v="11"/>
    <s v="6100"/>
    <n v="-32425.63"/>
    <n v="64.40000000000001"/>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
    <d v="2023-07-05T19:02:06"/>
    <s v="Y"/>
    <s v="Preparation - drafting statement"/>
    <s v="VHCC"/>
    <s v="Profit Cost"/>
    <s v="SHL 60"/>
    <s v="Y"/>
    <n v="274.75"/>
    <n v="54.95"/>
    <x v="6"/>
    <s v="VALIDATED"/>
    <n v="1"/>
    <s v="01.11.80.203.6100.0000"/>
    <n v="274.75"/>
    <s v="11"/>
    <s v="6100"/>
    <n v="-32425.63"/>
    <n v="274.7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5"/>
    <d v="2023-07-05T19:01:55"/>
    <s v="Y"/>
    <s v="Travel to attend client"/>
    <s v="Non Family Hourly Rates"/>
    <s v="Profit Cost"/>
    <s v="GLE"/>
    <s v="Y"/>
    <n v="86.8"/>
    <n v="17.36"/>
    <x v="6"/>
    <s v="VALIDATED"/>
    <n v="1"/>
    <s v="01.11.80.203.6100.0000"/>
    <n v="86.8"/>
    <s v="11"/>
    <s v="6100"/>
    <n v="-32425.63"/>
    <n v="86.8"/>
    <s v="DEBTOR"/>
    <n v="0"/>
    <n v="0"/>
    <n v="0"/>
    <n v="0"/>
    <n v="0"/>
  </r>
  <r>
    <n v="62207718"/>
    <s v="N"/>
    <n v="21338458"/>
    <s v="3000016212270001"/>
    <s v="CIVIL"/>
    <d v="2023-06-28T00:00:00"/>
    <d v="2023-07-06T19:21:01"/>
    <m/>
    <d v="2023-07-06T00:00:00"/>
    <n v="1878"/>
    <n v="1547"/>
    <s v="62207718"/>
    <s v="62207718"/>
    <m/>
    <m/>
    <n v="22776014"/>
    <m/>
    <m/>
    <m/>
    <s v="SOLFIN"/>
    <s v="SOLFIN"/>
    <s v="CCMS"/>
    <n v="21338458"/>
    <n v="3530.54"/>
    <m/>
    <s v="N"/>
    <n v="12"/>
    <d v="2023-07-06T19:21:25"/>
    <s v="Y"/>
    <s v="Preparation - other"/>
    <s v="Care Remuneration Hourly Rates"/>
    <s v="Profit Cost"/>
    <s v="NBS 25"/>
    <s v="Y"/>
    <n v="115.09"/>
    <n v="23.02"/>
    <x v="4"/>
    <s v="VALIDATED"/>
    <n v="1"/>
    <s v="01.11.80.308.6100.0000"/>
    <n v="115.09"/>
    <s v="11"/>
    <s v="6100"/>
    <n v="-32425.63"/>
    <n v="115.0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1"/>
    <d v="2023-07-03T19:04:58"/>
    <s v="Y"/>
    <s v="Preparation - drafting attendance n"/>
    <s v="VHCC"/>
    <s v="Profit Cost"/>
    <s v="JML"/>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0"/>
    <d v="2023-07-03T19:04:58"/>
    <s v="Y"/>
    <s v="Preparation - drafting attendance n"/>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6"/>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7"/>
    <d v="2023-07-03T19:04:58"/>
    <s v="Y"/>
    <s v="Attendance upon client"/>
    <s v="VHCC"/>
    <s v="Profit Cost"/>
    <s v="MJS 65"/>
    <s v="Y"/>
    <n v="141.67"/>
    <n v="28.33"/>
    <x v="3"/>
    <s v="VALIDATED"/>
    <n v="1"/>
    <s v="01.11.80.203.6100.0000"/>
    <n v="141.67"/>
    <s v="11"/>
    <s v="6100"/>
    <n v="-32425.63"/>
    <n v="141.67"/>
    <s v="DEBTOR"/>
    <n v="0"/>
    <n v="0"/>
    <n v="0"/>
    <n v="0"/>
    <n v="0"/>
  </r>
  <r>
    <n v="8733210"/>
    <s v="N"/>
    <n v="21403533"/>
    <s v="3000004746670021"/>
    <s v="CIVIL"/>
    <d v="2023-06-06T00:00:00"/>
    <d v="2023-07-20T19:22:20"/>
    <m/>
    <d v="2023-07-20T00:00:00"/>
    <n v="1878"/>
    <n v="1547"/>
    <s v="8733210"/>
    <s v="8733210"/>
    <m/>
    <m/>
    <n v="22629506"/>
    <m/>
    <m/>
    <m/>
    <s v="SOLFIN"/>
    <s v="SOLFIN"/>
    <s v="CCMS"/>
    <n v="21403533"/>
    <n v="4211.9"/>
    <m/>
    <s v="N"/>
    <n v="40"/>
    <d v="2023-07-20T19:22:42"/>
    <s v="Y"/>
    <s v="Preparation - other"/>
    <s v="Non Family Hourly Rates"/>
    <s v="Profit Cost"/>
    <s v="BSS"/>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53"/>
    <d v="2023-07-03T19:02:10"/>
    <s v="Y"/>
    <s v="Preparation - other"/>
    <s v="Prescribed Hourly Rates"/>
    <s v="Profit Cost"/>
    <s v="MAE 15"/>
    <s v="Y"/>
    <n v="6.83"/>
    <n v="1.37"/>
    <x v="3"/>
    <s v="VALIDATED"/>
    <n v="1"/>
    <s v="01.11.80.305.6100.0000"/>
    <n v="6.83"/>
    <s v="11"/>
    <s v="6100"/>
    <n v="-32425.63"/>
    <n v="6.83"/>
    <s v="DEBTOR"/>
    <n v="0"/>
    <n v="0"/>
    <n v="0"/>
    <n v="0"/>
    <n v="0"/>
  </r>
  <r>
    <n v="59773071"/>
    <s v="N"/>
    <n v="21392646"/>
    <s v="3000014124260002"/>
    <s v="CIVIL"/>
    <d v="2023-06-14T00:00:00"/>
    <d v="2023-07-18T19:00:27"/>
    <m/>
    <d v="2023-07-18T00:00:00"/>
    <n v="1878"/>
    <n v="1547"/>
    <s v="59773071"/>
    <s v="59773071"/>
    <m/>
    <m/>
    <n v="22686976"/>
    <m/>
    <m/>
    <m/>
    <s v="SOLFIN"/>
    <s v="SOLFIN"/>
    <s v="CCMS"/>
    <n v="21392646"/>
    <n v="1220.15"/>
    <m/>
    <s v="N"/>
    <n v="7"/>
    <d v="2023-07-18T19:00:56"/>
    <s v="Y"/>
    <s v="Preparation - drafting instructions"/>
    <s v="Non Family Hourly Rates"/>
    <s v="Profit Cost"/>
    <s v="MSK 50"/>
    <s v="Y"/>
    <n v="268.32"/>
    <n v="53.68"/>
    <x v="14"/>
    <s v="VALIDATED"/>
    <n v="1"/>
    <s v="01.11.80.203.6100.0000"/>
    <n v="268.32"/>
    <s v="11"/>
    <s v="6100"/>
    <n v="-32425.63"/>
    <n v="268.3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0"/>
    <d v="2023-07-10T19:02:05"/>
    <s v="Y"/>
    <s v="Interpreter"/>
    <s v="Non Family Hourly Rates"/>
    <s v="Expert Disbursement"/>
    <s v="XXX"/>
    <s v="Y"/>
    <n v="49.99"/>
    <n v="10"/>
    <x v="2"/>
    <s v="VALIDATED"/>
    <n v="1"/>
    <s v="01.11.80.203.6300.0000"/>
    <n v="49.99"/>
    <s v="11"/>
    <s v="6300"/>
    <n v="-32425.63"/>
    <n v="49.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60"/>
    <d v="2023-07-10T19:02:05"/>
    <s v="Y"/>
    <s v="Preparation - other"/>
    <s v="Non Family Hourly Rates"/>
    <s v="Profit Cost"/>
    <s v="CB"/>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7"/>
    <d v="2023-07-10T19:02:05"/>
    <s v="Y"/>
    <s v="Preparation - other"/>
    <s v="Non Family Hourly Rates"/>
    <s v="Profit Cost"/>
    <s v="CB"/>
    <s v="Y"/>
    <n v="42.93"/>
    <n v="0"/>
    <x v="2"/>
    <s v="VALIDATED"/>
    <n v="1"/>
    <s v="01.11.80.203.6100.0000"/>
    <n v="42.93"/>
    <s v="11"/>
    <s v="6100"/>
    <n v="-32425.63"/>
    <n v="42.9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2"/>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1"/>
    <d v="2023-07-10T19:01:45"/>
    <s v="Y"/>
    <s v="Preparation - drafting statement"/>
    <s v="Care Remuneration Hourly Rates"/>
    <s v="Profit Cost"/>
    <s v="AMA 30"/>
    <s v="Y"/>
    <n v="14.37"/>
    <n v="2.87"/>
    <x v="2"/>
    <s v="VALIDATED"/>
    <n v="1"/>
    <s v="01.11.80.308.6100.0000"/>
    <n v="14.37"/>
    <s v="11"/>
    <s v="6100"/>
    <n v="-32425.63"/>
    <n v="14.37"/>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8"/>
    <d v="2023-07-10T19:01:45"/>
    <s v="Y"/>
    <s v="Hearing Unit 2.31 - 5.00 Hours"/>
    <s v="Public Law Children"/>
    <s v="Advocacy"/>
    <s v="JBL"/>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9"/>
    <d v="2023-07-10T19:01:45"/>
    <s v="Y"/>
    <s v="Preparation - other"/>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1"/>
    <d v="2023-07-10T19:01:45"/>
    <s v="Y"/>
    <s v="Preparation - drafting statement"/>
    <s v="Care Remuneration Hourly Rates"/>
    <s v="Profit Cost"/>
    <s v="AGI 30"/>
    <s v="Y"/>
    <n v="14.37"/>
    <n v="2.87"/>
    <x v="2"/>
    <s v="VALIDATED"/>
    <n v="1"/>
    <s v="01.11.80.308.6100.0000"/>
    <n v="14.37"/>
    <s v="11"/>
    <s v="6100"/>
    <n v="-32425.63"/>
    <n v="14.3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8"/>
    <d v="2023-07-03T19:04:58"/>
    <s v="Y"/>
    <s v="Preparation - other"/>
    <s v="VHCC"/>
    <s v="Profit Cost"/>
    <s v="MJS"/>
    <s v="Y"/>
    <n v="21.47"/>
    <n v="4.29"/>
    <x v="3"/>
    <s v="VALIDATED"/>
    <n v="1"/>
    <s v="01.11.80.203.6100.0000"/>
    <n v="21.47"/>
    <s v="11"/>
    <s v="6100"/>
    <n v="-32425.63"/>
    <n v="21.47"/>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5"/>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4"/>
    <d v="2023-07-03T19:04:58"/>
    <s v="Y"/>
    <s v="Preparation - other"/>
    <s v="VHCC"/>
    <s v="Profit Cost"/>
    <s v="JML 65"/>
    <s v="Y"/>
    <n v="82.64"/>
    <n v="16.53"/>
    <x v="3"/>
    <s v="VALIDATED"/>
    <n v="1"/>
    <s v="01.11.80.203.6100.0000"/>
    <n v="82.64"/>
    <s v="11"/>
    <s v="6100"/>
    <n v="-32425.63"/>
    <n v="82.6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3"/>
    <d v="2023-07-03T19:04:58"/>
    <s v="Y"/>
    <s v="Preparation - other"/>
    <s v="VHCC"/>
    <s v="Profit Cost"/>
    <s v="LD"/>
    <s v="Y"/>
    <n v="21.47"/>
    <n v="4.29"/>
    <x v="3"/>
    <s v="VALIDATED"/>
    <n v="1"/>
    <s v="01.11.80.203.6100.0000"/>
    <n v="21.47"/>
    <s v="11"/>
    <s v="6100"/>
    <n v="-32425.63"/>
    <n v="21.47"/>
    <s v="DEBTOR"/>
    <n v="0"/>
    <n v="0"/>
    <n v="0"/>
    <n v="0"/>
    <n v="0"/>
  </r>
  <r>
    <n v="16166207"/>
    <s v="N"/>
    <n v="21321180"/>
    <s v="3000007747490020"/>
    <s v="CIVIL"/>
    <d v="2023-06-28T00:00:00"/>
    <d v="2023-07-03T19:04:52"/>
    <m/>
    <d v="2023-07-03T00:00:00"/>
    <n v="1878"/>
    <n v="1547"/>
    <s v="16166207"/>
    <s v="16166207"/>
    <m/>
    <m/>
    <n v="22782544"/>
    <m/>
    <m/>
    <m/>
    <s v="SOLINT"/>
    <s v="SOLINT"/>
    <s v="CCMS"/>
    <n v="21321180"/>
    <n v="6169.98"/>
    <m/>
    <s v="N"/>
    <n v="30"/>
    <d v="2023-07-03T19:04:58"/>
    <s v="Y"/>
    <s v="Preparation - other"/>
    <s v="VHCC"/>
    <s v="Profit Cost"/>
    <s v="JML 65"/>
    <s v="Y"/>
    <n v="11.81"/>
    <n v="2.36"/>
    <x v="3"/>
    <s v="VALIDATED"/>
    <n v="1"/>
    <s v="01.11.80.203.6100.0000"/>
    <n v="11.81"/>
    <s v="11"/>
    <s v="6100"/>
    <n v="-32425.63"/>
    <n v="11.81"/>
    <s v="DEBTOR"/>
    <n v="0"/>
    <n v="0"/>
    <n v="0"/>
    <n v="0"/>
    <n v="0"/>
  </r>
  <r>
    <n v="61742173"/>
    <s v="N"/>
    <n v="21319086"/>
    <s v="3000015815100003"/>
    <s v="CIVIL"/>
    <d v="2023-06-23T00:00:00"/>
    <d v="2023-07-03T19:01:49"/>
    <m/>
    <d v="2023-07-03T00:00:00"/>
    <n v="1878"/>
    <n v="1547"/>
    <s v="61742173"/>
    <s v="61742173"/>
    <m/>
    <m/>
    <n v="22750850"/>
    <m/>
    <m/>
    <m/>
    <s v="SOLFIN"/>
    <s v="SOLFIN"/>
    <s v="CCMS"/>
    <n v="21319086"/>
    <n v="5246"/>
    <m/>
    <s v="N"/>
    <n v="35"/>
    <d v="2023-07-03T19:02:10"/>
    <s v="Y"/>
    <s v="Travel to attend client"/>
    <s v="Prescribed Hourly Rates"/>
    <s v="Profit Cost"/>
    <s v="MAE 15"/>
    <s v="Y"/>
    <n v="49.68"/>
    <n v="9.94"/>
    <x v="3"/>
    <s v="VALIDATED"/>
    <n v="1"/>
    <s v="01.11.80.305.6100.0000"/>
    <n v="49.68"/>
    <s v="11"/>
    <s v="6100"/>
    <n v="-32425.63"/>
    <n v="49.68"/>
    <s v="DEBTOR"/>
    <n v="0"/>
    <n v="0"/>
    <n v="0"/>
    <n v="0"/>
    <n v="0"/>
  </r>
  <r>
    <n v="61742173"/>
    <s v="N"/>
    <n v="21319086"/>
    <s v="3000015815100003"/>
    <s v="CIVIL"/>
    <d v="2023-06-23T00:00:00"/>
    <d v="2023-07-03T19:01:49"/>
    <m/>
    <d v="2023-07-03T00:00:00"/>
    <n v="1878"/>
    <n v="1547"/>
    <s v="61742173"/>
    <s v="61742173"/>
    <m/>
    <m/>
    <n v="22750850"/>
    <m/>
    <m/>
    <m/>
    <s v="SOLFIN"/>
    <s v="SOLFIN"/>
    <s v="CCMS"/>
    <n v="21319086"/>
    <n v="5246"/>
    <m/>
    <s v="N"/>
    <n v="36"/>
    <d v="2023-07-03T19:02:10"/>
    <s v="Y"/>
    <s v="Preparation - other"/>
    <s v="Prescribed Hourly Rates"/>
    <s v="Profit Cost"/>
    <s v="MAE 15"/>
    <s v="Y"/>
    <n v="20.49"/>
    <n v="4.1"/>
    <x v="3"/>
    <s v="VALIDATED"/>
    <n v="1"/>
    <s v="01.11.80.305.6100.0000"/>
    <n v="20.49"/>
    <s v="11"/>
    <s v="6100"/>
    <n v="-32425.63"/>
    <n v="20.4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84"/>
    <d v="2023-07-10T19:01:45"/>
    <s v="Y"/>
    <s v="Hearing Unit 2.31 - 5.00 Hours"/>
    <s v="Public Law Children"/>
    <s v="Advocacy"/>
    <s v="JBL"/>
    <s v="Y"/>
    <n v="476.92"/>
    <n v="95.38"/>
    <x v="2"/>
    <s v="VALIDATED"/>
    <n v="1"/>
    <s v="01.11.80.308.6100.0000"/>
    <n v="476.92"/>
    <s v="11"/>
    <s v="6100"/>
    <n v="-32425.63"/>
    <n v="476.92"/>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6"/>
    <d v="2023-07-10T19:01:45"/>
    <s v="Y"/>
    <s v="Preparation - other"/>
    <s v="Care Remuneration Hourly Rates"/>
    <s v="Profit Cost"/>
    <s v="AGI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6"/>
    <d v="2023-07-10T19:02:05"/>
    <s v="Y"/>
    <s v="Preparation - other"/>
    <s v="Non Family Hourly Rates"/>
    <s v="Profit Cost"/>
    <s v="CB"/>
    <s v="Y"/>
    <n v="75.14"/>
    <n v="0"/>
    <x v="2"/>
    <s v="VALIDATED"/>
    <n v="1"/>
    <s v="01.11.80.203.6100.0000"/>
    <n v="75.14"/>
    <s v="11"/>
    <s v="6100"/>
    <n v="-32425.63"/>
    <n v="75.1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8"/>
    <d v="2023-07-10T19:02:05"/>
    <s v="Y"/>
    <s v="Attendance upon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2"/>
    <d v="2023-07-10T19:02:05"/>
    <s v="Y"/>
    <s v="Attendance upon other"/>
    <s v="Non Family Hourly Rates"/>
    <s v="Profit Cost"/>
    <s v="LG"/>
    <s v="Y"/>
    <n v="32.21"/>
    <n v="0"/>
    <x v="2"/>
    <s v="VALIDATED"/>
    <n v="1"/>
    <s v="01.11.80.203.6100.0000"/>
    <n v="32.21"/>
    <s v="11"/>
    <s v="6100"/>
    <n v="-32425.63"/>
    <n v="32.2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77"/>
    <d v="2023-07-10T19:02:05"/>
    <s v="Y"/>
    <s v="Attendance upon client"/>
    <s v="Non Family Hourly Rates"/>
    <s v="Profit Cost"/>
    <s v="LG"/>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5"/>
    <d v="2023-07-10T19:02:05"/>
    <s v="Y"/>
    <s v="Attendance upon/with Counsel at Con"/>
    <s v="Non Family Hourly Rates"/>
    <s v="Profit Cost"/>
    <s v="LG"/>
    <s v="Y"/>
    <n v="9.99"/>
    <n v="0"/>
    <x v="2"/>
    <s v="VALIDATED"/>
    <n v="1"/>
    <s v="01.11.80.203.6100.0000"/>
    <n v="9.99"/>
    <s v="11"/>
    <s v="6100"/>
    <n v="-32425.63"/>
    <n v="9.99"/>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8"/>
    <d v="2023-07-10T19:02:05"/>
    <s v="Y"/>
    <s v="Attendance upon client"/>
    <s v="Non Family Hourly Rates"/>
    <s v="Profit Cost"/>
    <s v="LG"/>
    <s v="Y"/>
    <n v="42.93"/>
    <n v="0"/>
    <x v="2"/>
    <s v="VALIDATED"/>
    <n v="1"/>
    <s v="01.11.80.203.6100.0000"/>
    <n v="42.93"/>
    <s v="11"/>
    <s v="6100"/>
    <n v="-32425.63"/>
    <n v="42.9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1"/>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7"/>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3"/>
    <d v="2023-07-10T19:02:05"/>
    <s v="Y"/>
    <s v="Preparation - drafting statement"/>
    <s v="Non Family Hourly Rates"/>
    <s v="Profit Cost"/>
    <s v="LG"/>
    <s v="Y"/>
    <n v="53.67"/>
    <n v="0"/>
    <x v="2"/>
    <s v="VALIDATED"/>
    <n v="1"/>
    <s v="01.11.80.203.6100.0000"/>
    <n v="53.67"/>
    <s v="11"/>
    <s v="6100"/>
    <n v="-32425.63"/>
    <n v="53.6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2"/>
    <d v="2023-07-06T19:21:25"/>
    <s v="Y"/>
    <s v="Preparation - other"/>
    <s v="Care Remuneration Hourly Rates"/>
    <s v="Profit Cost"/>
    <s v="NBS 25"/>
    <s v="Y"/>
    <n v="15.35"/>
    <n v="3.07"/>
    <x v="4"/>
    <s v="VALIDATED"/>
    <n v="1"/>
    <s v="01.11.80.308.6100.0000"/>
    <n v="15.35"/>
    <s v="11"/>
    <s v="6100"/>
    <n v="-32425.63"/>
    <n v="15.35"/>
    <s v="DEBTOR"/>
    <n v="0"/>
    <n v="0"/>
    <n v="0"/>
    <n v="0"/>
    <n v="0"/>
  </r>
  <r>
    <n v="59677260"/>
    <s v="N"/>
    <n v="21331257"/>
    <s v="3000014052440026"/>
    <s v="CIVIL"/>
    <d v="2023-06-30T00:00:00"/>
    <d v="2023-07-05T19:01:47"/>
    <m/>
    <d v="2023-07-05T00:00:00"/>
    <n v="1878"/>
    <n v="1547"/>
    <s v="59677260"/>
    <s v="59677260"/>
    <m/>
    <m/>
    <n v="22798826"/>
    <m/>
    <m/>
    <m/>
    <s v="SOLINT"/>
    <s v="SOLINT"/>
    <s v="CCMS"/>
    <n v="21331257"/>
    <n v="4736.2"/>
    <m/>
    <s v="N"/>
    <n v="21"/>
    <d v="2023-07-05T19:02:12"/>
    <s v="Y"/>
    <s v="Preparation - other"/>
    <s v="VHCC"/>
    <s v="Profit Cost"/>
    <s v="SHL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
    <d v="2023-07-05T19:02:06"/>
    <s v="Y"/>
    <s v="Preparation - other"/>
    <s v="VHCC"/>
    <s v="Profit Cost"/>
    <s v="SHL"/>
    <s v="Y"/>
    <n v="7.16"/>
    <n v="1.43"/>
    <x v="6"/>
    <s v="VALIDATED"/>
    <n v="1"/>
    <s v="01.11.80.203.6100.0000"/>
    <n v="7.16"/>
    <s v="11"/>
    <s v="6100"/>
    <n v="-32425.63"/>
    <n v="7.16"/>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2"/>
    <d v="2023-07-05T19:02:09"/>
    <s v="Y"/>
    <s v="Preparation - other"/>
    <s v="VHCC"/>
    <s v="Profit Cost"/>
    <s v="GLE"/>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5"/>
    <d v="2023-07-05T19:02:06"/>
    <s v="Y"/>
    <s v="Attendance upon Counsel"/>
    <s v="VHCC"/>
    <s v="Profit Cost"/>
    <s v="SHL"/>
    <s v="Y"/>
    <n v="36.63"/>
    <n v="7.33"/>
    <x v="6"/>
    <s v="VALIDATED"/>
    <n v="1"/>
    <s v="01.11.80.203.6100.0000"/>
    <n v="36.63"/>
    <s v="11"/>
    <s v="6100"/>
    <n v="-32425.63"/>
    <n v="36.63"/>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7"/>
    <d v="2023-07-05T19:02:09"/>
    <s v="Y"/>
    <s v="Preparation - other"/>
    <s v="VHCC"/>
    <s v="Profit Cost"/>
    <s v="LD"/>
    <s v="Y"/>
    <n v="321.98"/>
    <n v="64.40000000000001"/>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2"/>
    <d v="2023-07-05T19:01:55"/>
    <s v="Y"/>
    <s v="Preparation - other"/>
    <s v="Non Family Hourly Rates"/>
    <s v="Profit Cost"/>
    <s v="GLE"/>
    <s v="Y"/>
    <n v="7.16"/>
    <n v="1.43"/>
    <x v="6"/>
    <s v="VALIDATED"/>
    <n v="1"/>
    <s v="01.11.80.203.6100.0000"/>
    <n v="7.16"/>
    <s v="11"/>
    <s v="6100"/>
    <n v="-32425.63"/>
    <n v="7.1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1"/>
    <d v="2023-07-05T19:01:55"/>
    <s v="Y"/>
    <s v="Waiting - other"/>
    <s v="Non Family Hourly Rates"/>
    <s v="Profit Cost"/>
    <s v="HRL"/>
    <s v="Y"/>
    <n v="8.98"/>
    <n v="1.8"/>
    <x v="6"/>
    <s v="VALIDATED"/>
    <n v="1"/>
    <s v="01.11.80.203.6100.0000"/>
    <n v="8.98"/>
    <s v="11"/>
    <s v="6100"/>
    <n v="-32425.63"/>
    <n v="8.9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69"/>
    <d v="2023-07-03T19:04:58"/>
    <s v="Y"/>
    <s v="Preparation - other"/>
    <s v="VHCC"/>
    <s v="Profit Cost"/>
    <s v="JML"/>
    <s v="Y"/>
    <n v="7.16"/>
    <n v="1.43"/>
    <x v="3"/>
    <s v="VALIDATED"/>
    <n v="1"/>
    <s v="01.11.80.203.6100.0000"/>
    <n v="7.16"/>
    <s v="11"/>
    <s v="6100"/>
    <n v="-32425.63"/>
    <n v="7.16"/>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4"/>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4"/>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34"/>
    <d v="2023-07-03T19:04:58"/>
    <s v="Y"/>
    <s v="Court Fee"/>
    <s v="VHCC"/>
    <s v="Non Expert Disbursement"/>
    <s v="JML"/>
    <s v="Y"/>
    <n v="365"/>
    <n v="0"/>
    <x v="3"/>
    <s v="VALIDATED"/>
    <n v="1"/>
    <s v="01.11.80.203.6300.0000"/>
    <n v="365"/>
    <s v="11"/>
    <s v="6300"/>
    <n v="-32425.63"/>
    <n v="36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5"/>
    <d v="2023-07-03T19:04:58"/>
    <s v="Y"/>
    <s v="Item - Routine Outgoing letter"/>
    <s v="VHCC"/>
    <s v="Profit Cost"/>
    <s v="JML"/>
    <s v="Y"/>
    <n v="1215"/>
    <n v="243.09"/>
    <x v="3"/>
    <s v="VALIDATED"/>
    <n v="1"/>
    <s v="01.11.80.203.6100.0000"/>
    <n v="1215"/>
    <s v="11"/>
    <s v="6100"/>
    <n v="-32425.63"/>
    <n v="1215"/>
    <s v="DEBTOR"/>
    <n v="0"/>
    <n v="0"/>
    <n v="0"/>
    <n v="0"/>
    <n v="0"/>
  </r>
  <r>
    <n v="16166207"/>
    <s v="N"/>
    <n v="21321180"/>
    <s v="3000007747490020"/>
    <s v="CIVIL"/>
    <d v="2023-06-28T00:00:00"/>
    <d v="2023-07-03T19:04:52"/>
    <m/>
    <d v="2023-07-03T00:00:00"/>
    <n v="1878"/>
    <n v="1547"/>
    <s v="16166207"/>
    <s v="16166207"/>
    <m/>
    <m/>
    <n v="22782544"/>
    <m/>
    <m/>
    <m/>
    <s v="SOLINT"/>
    <s v="SOLINT"/>
    <s v="CCMS"/>
    <n v="21321180"/>
    <n v="6169.98"/>
    <m/>
    <s v="N"/>
    <n v="19"/>
    <d v="2023-07-03T19:04:58"/>
    <s v="Y"/>
    <s v="Preparation - drafting attendance n"/>
    <s v="VHCC"/>
    <s v="Profit Cost"/>
    <s v="JML"/>
    <s v="Y"/>
    <n v="14.31"/>
    <n v="2.86"/>
    <x v="3"/>
    <s v="VALIDATED"/>
    <n v="1"/>
    <s v="01.11.80.203.6100.0000"/>
    <n v="14.31"/>
    <s v="11"/>
    <s v="6100"/>
    <n v="-32425.63"/>
    <n v="14.31"/>
    <s v="DEBTOR"/>
    <n v="0"/>
    <n v="0"/>
    <n v="0"/>
    <n v="0"/>
    <n v="0"/>
  </r>
  <r>
    <n v="59773071"/>
    <s v="N"/>
    <n v="21392646"/>
    <s v="3000014124260002"/>
    <s v="CIVIL"/>
    <d v="2023-06-14T00:00:00"/>
    <d v="2023-07-18T19:00:27"/>
    <m/>
    <d v="2023-07-18T00:00:00"/>
    <n v="1878"/>
    <n v="1547"/>
    <s v="59773071"/>
    <s v="59773071"/>
    <m/>
    <m/>
    <n v="22686976"/>
    <m/>
    <m/>
    <m/>
    <s v="SOLFIN"/>
    <s v="SOLFIN"/>
    <s v="CCMS"/>
    <n v="21392646"/>
    <n v="1220.15"/>
    <m/>
    <s v="N"/>
    <n v="9"/>
    <d v="2023-07-18T19:00:56"/>
    <s v="Y"/>
    <s v="Preparation - other"/>
    <s v="Non Family Hourly Rates"/>
    <s v="Profit Cost"/>
    <s v="MSK 50"/>
    <s v="Y"/>
    <n v="21.47"/>
    <n v="4.29"/>
    <x v="14"/>
    <s v="VALIDATED"/>
    <n v="1"/>
    <s v="01.11.80.203.6100.0000"/>
    <n v="21.47"/>
    <s v="11"/>
    <s v="6100"/>
    <n v="-32425.63"/>
    <n v="21.47"/>
    <s v="DEBTOR"/>
    <n v="0"/>
    <n v="0"/>
    <n v="0"/>
    <n v="0"/>
    <n v="0"/>
  </r>
  <r>
    <n v="59773071"/>
    <s v="N"/>
    <n v="21392646"/>
    <s v="3000014124260002"/>
    <s v="CIVIL"/>
    <d v="2023-06-14T00:00:00"/>
    <d v="2023-07-18T19:00:27"/>
    <m/>
    <d v="2023-07-18T00:00:00"/>
    <n v="1878"/>
    <n v="1547"/>
    <s v="59773071"/>
    <s v="59773071"/>
    <m/>
    <m/>
    <n v="22686976"/>
    <m/>
    <m/>
    <m/>
    <s v="SOLFIN"/>
    <s v="SOLFIN"/>
    <s v="CCMS"/>
    <n v="21392646"/>
    <n v="1220.15"/>
    <m/>
    <s v="N"/>
    <n v="31"/>
    <d v="2023-07-18T19:00:56"/>
    <s v="Y"/>
    <s v="Preparation - other"/>
    <s v="Non Family Hourly Rates"/>
    <s v="Profit Cost"/>
    <s v="MSK"/>
    <s v="Y"/>
    <n v="14.31"/>
    <n v="2.86"/>
    <x v="14"/>
    <s v="VALIDATED"/>
    <n v="1"/>
    <s v="01.11.80.203.6100.0000"/>
    <n v="14.31"/>
    <s v="11"/>
    <s v="6100"/>
    <n v="-32425.63"/>
    <n v="14.31"/>
    <s v="DEBTOR"/>
    <n v="0"/>
    <n v="0"/>
    <n v="0"/>
    <n v="0"/>
    <n v="0"/>
  </r>
  <r>
    <n v="8733210"/>
    <s v="N"/>
    <n v="21403533"/>
    <s v="3000004746670021"/>
    <s v="CIVIL"/>
    <d v="2023-06-06T00:00:00"/>
    <d v="2023-07-20T19:22:20"/>
    <m/>
    <d v="2023-07-20T00:00:00"/>
    <n v="1878"/>
    <n v="1547"/>
    <s v="8733210"/>
    <s v="8733210"/>
    <m/>
    <m/>
    <n v="22629506"/>
    <m/>
    <m/>
    <m/>
    <s v="SOLFIN"/>
    <s v="SOLFIN"/>
    <s v="CCMS"/>
    <n v="21403533"/>
    <n v="4211.9"/>
    <m/>
    <s v="N"/>
    <n v="58"/>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106"/>
    <d v="2023-07-20T19:22:42"/>
    <s v="Y"/>
    <s v="Preparation - other"/>
    <s v="Non Family Hourly Rates"/>
    <s v="Profit Cost"/>
    <s v="NAO"/>
    <s v="Y"/>
    <n v="50.4"/>
    <n v="10.08"/>
    <x v="13"/>
    <s v="VALIDATED"/>
    <n v="1"/>
    <s v="01.11.80.201.6100.0000"/>
    <n v="50.4"/>
    <s v="11"/>
    <s v="6100"/>
    <n v="-32425.63"/>
    <n v="50.4"/>
    <s v="DEBTOR"/>
    <n v="0"/>
    <n v="0"/>
    <n v="0"/>
    <n v="0"/>
    <n v="0"/>
  </r>
  <r>
    <n v="61742173"/>
    <s v="N"/>
    <n v="21319086"/>
    <s v="3000015815100003"/>
    <s v="CIVIL"/>
    <d v="2023-06-23T00:00:00"/>
    <d v="2023-07-03T19:01:49"/>
    <m/>
    <d v="2023-07-03T00:00:00"/>
    <n v="1878"/>
    <n v="1547"/>
    <s v="61742173"/>
    <s v="61742173"/>
    <m/>
    <m/>
    <n v="22750850"/>
    <m/>
    <m/>
    <m/>
    <s v="SOLFIN"/>
    <s v="SOLFIN"/>
    <s v="CCMS"/>
    <n v="21319086"/>
    <n v="5246"/>
    <m/>
    <s v="N"/>
    <n v="11"/>
    <d v="2023-07-03T19:02:10"/>
    <s v="Y"/>
    <s v="Preparation - other"/>
    <s v="Prescribed Hourly Rates"/>
    <s v="Profit Cost"/>
    <s v="MAE 15"/>
    <s v="Y"/>
    <n v="396.2"/>
    <n v="79.23999999999999"/>
    <x v="3"/>
    <s v="VALIDATED"/>
    <n v="1"/>
    <s v="01.11.80.305.6100.0000"/>
    <n v="396.2"/>
    <s v="11"/>
    <s v="6100"/>
    <n v="-32425.63"/>
    <n v="396.2"/>
    <s v="DEBTOR"/>
    <n v="0"/>
    <n v="0"/>
    <n v="0"/>
    <n v="0"/>
    <n v="0"/>
  </r>
  <r>
    <n v="61742173"/>
    <s v="N"/>
    <n v="21319086"/>
    <s v="3000015815100003"/>
    <s v="CIVIL"/>
    <d v="2023-06-23T00:00:00"/>
    <d v="2023-07-03T19:01:49"/>
    <m/>
    <d v="2023-07-03T00:00:00"/>
    <n v="1878"/>
    <n v="1547"/>
    <s v="61742173"/>
    <s v="61742173"/>
    <m/>
    <m/>
    <n v="22750850"/>
    <m/>
    <m/>
    <m/>
    <s v="SOLFIN"/>
    <s v="SOLFIN"/>
    <s v="CCMS"/>
    <n v="21319086"/>
    <n v="5246"/>
    <m/>
    <s v="N"/>
    <n v="32"/>
    <d v="2023-07-03T19:02:10"/>
    <s v="Y"/>
    <s v="Preparation - other"/>
    <s v="Prescribed Hourly Rates"/>
    <s v="Profit Cost"/>
    <s v="MAE 15"/>
    <s v="Y"/>
    <n v="54.65"/>
    <n v="10.93"/>
    <x v="3"/>
    <s v="VALIDATED"/>
    <n v="1"/>
    <s v="01.11.80.305.6100.0000"/>
    <n v="54.65"/>
    <s v="11"/>
    <s v="6100"/>
    <n v="-32425.63"/>
    <n v="54.65"/>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3"/>
    <d v="2023-07-10T19:01:45"/>
    <s v="Y"/>
    <s v="Preparation - other"/>
    <s v="Care Remuneration Hourly Rates"/>
    <s v="Profit Cost"/>
    <s v="AGI 30"/>
    <s v="Y"/>
    <n v="14.37"/>
    <n v="2.87"/>
    <x v="2"/>
    <s v="VALIDATED"/>
    <n v="1"/>
    <s v="01.11.80.308.6100.0000"/>
    <n v="14.37"/>
    <s v="11"/>
    <s v="6100"/>
    <n v="-32425.63"/>
    <n v="14.3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8"/>
    <d v="2023-07-05T19:01:55"/>
    <s v="Y"/>
    <s v="Preparation - other"/>
    <s v="Non Family Hourly Rates"/>
    <s v="Profit Cost"/>
    <s v="GLE 50"/>
    <s v="Y"/>
    <n v="75.14"/>
    <n v="15.03"/>
    <x v="6"/>
    <s v="VALIDATED"/>
    <n v="1"/>
    <s v="01.11.80.203.6100.0000"/>
    <n v="75.14"/>
    <s v="11"/>
    <s v="6100"/>
    <n v="-32425.63"/>
    <n v="75.1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1"/>
    <d v="2023-07-05T19:01:55"/>
    <s v="Y"/>
    <s v="Advocacy - In court behind Counsel"/>
    <s v="Non Family Hourly Rates"/>
    <s v="Advocacy"/>
    <s v="HRL"/>
    <s v="Y"/>
    <n v="36.63"/>
    <n v="7.33"/>
    <x v="6"/>
    <s v="VALIDATED"/>
    <n v="1"/>
    <s v="01.11.80.203.6100.0000"/>
    <n v="36.63"/>
    <s v="11"/>
    <s v="6100"/>
    <n v="-32425.63"/>
    <n v="36.6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
    <d v="2023-07-05T19:01:55"/>
    <s v="Y"/>
    <s v="Preparation - other"/>
    <s v="Non Family Hourly Rates"/>
    <s v="Profit Cost"/>
    <s v="HRL 50"/>
    <s v="Y"/>
    <n v="107.33"/>
    <n v="21.47"/>
    <x v="6"/>
    <s v="VALIDATED"/>
    <n v="1"/>
    <s v="01.11.80.203.6100.0000"/>
    <n v="107.33"/>
    <s v="11"/>
    <s v="6100"/>
    <n v="-32425.63"/>
    <n v="107.3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4"/>
    <d v="2023-07-05T19:01:55"/>
    <s v="Y"/>
    <s v="Preparation - other"/>
    <s v="Non Family Hourly Rates"/>
    <s v="Profit Cost"/>
    <s v="GLE"/>
    <s v="Y"/>
    <n v="50.09"/>
    <n v="10.02"/>
    <x v="6"/>
    <s v="VALIDATED"/>
    <n v="1"/>
    <s v="01.11.80.203.6100.0000"/>
    <n v="50.09"/>
    <s v="11"/>
    <s v="6100"/>
    <n v="-32425.63"/>
    <n v="50.0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8"/>
    <d v="2023-07-05T19:01:55"/>
    <s v="Y"/>
    <s v="Preparation - drafting statement"/>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0"/>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1"/>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9"/>
    <d v="2023-07-05T19:01:55"/>
    <s v="Y"/>
    <s v="Preparation -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43"/>
    <d v="2023-07-05T19:01:55"/>
    <s v="Y"/>
    <s v="Preparation - other"/>
    <s v="Non Family Hourly Rates"/>
    <s v="Profit Cost"/>
    <s v="CBD"/>
    <s v="Y"/>
    <n v="21.47"/>
    <n v="4.29"/>
    <x v="6"/>
    <s v="VALIDATED"/>
    <n v="1"/>
    <s v="01.11.80.203.6100.0000"/>
    <n v="21.47"/>
    <s v="11"/>
    <s v="6100"/>
    <n v="-32425.63"/>
    <n v="21.47"/>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
    <d v="2023-07-06T19:21:25"/>
    <s v="Y"/>
    <s v="Preparation - other"/>
    <s v="Care Remuneration Hourly Rates"/>
    <s v="Profit Cost"/>
    <s v="NBS 25"/>
    <s v="Y"/>
    <n v="7.68"/>
    <n v="1.54"/>
    <x v="4"/>
    <s v="VALIDATED"/>
    <n v="1"/>
    <s v="01.11.80.308.6100.0000"/>
    <n v="7.68"/>
    <s v="11"/>
    <s v="6100"/>
    <n v="-32425.63"/>
    <n v="7.68"/>
    <s v="DEBTOR"/>
    <n v="0"/>
    <n v="0"/>
    <n v="0"/>
    <n v="0"/>
    <n v="0"/>
  </r>
  <r>
    <n v="16166207"/>
    <s v="N"/>
    <n v="21321180"/>
    <s v="3000007747490020"/>
    <s v="CIVIL"/>
    <d v="2023-06-28T00:00:00"/>
    <d v="2023-07-03T19:04:52"/>
    <m/>
    <d v="2023-07-03T00:00:00"/>
    <n v="1878"/>
    <n v="1547"/>
    <s v="16166207"/>
    <s v="16166207"/>
    <m/>
    <m/>
    <n v="22782544"/>
    <m/>
    <m/>
    <m/>
    <s v="SOLINT"/>
    <s v="SOLINT"/>
    <s v="CCMS"/>
    <n v="21321180"/>
    <n v="6169.98"/>
    <m/>
    <s v="N"/>
    <n v="43"/>
    <d v="2023-07-03T19:04:58"/>
    <s v="Y"/>
    <s v="Attendance upon other"/>
    <s v="VHCC"/>
    <s v="Profit Cost"/>
    <s v="JML"/>
    <s v="Y"/>
    <n v="28.62"/>
    <n v="5.72"/>
    <x v="3"/>
    <s v="VALIDATED"/>
    <n v="1"/>
    <s v="01.11.80.203.6100.0000"/>
    <n v="28.62"/>
    <s v="11"/>
    <s v="6100"/>
    <n v="-32425.63"/>
    <n v="28.6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3"/>
    <d v="2023-07-03T19:04:58"/>
    <s v="Y"/>
    <s v="Preparation - drafting attendance n"/>
    <s v="VHCC"/>
    <s v="Profit Cost"/>
    <s v="JML"/>
    <s v="Y"/>
    <n v="35.78"/>
    <n v="7.16"/>
    <x v="3"/>
    <s v="VALIDATED"/>
    <n v="1"/>
    <s v="01.11.80.203.6100.0000"/>
    <n v="35.78"/>
    <s v="11"/>
    <s v="6100"/>
    <n v="-32425.63"/>
    <n v="35.7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0"/>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69"/>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07"/>
    <d v="2023-07-03T19:04:58"/>
    <s v="Y"/>
    <s v="Preparation - other"/>
    <s v="VHCC"/>
    <s v="Profit Cost"/>
    <s v="JML 65"/>
    <s v="Y"/>
    <n v="23.61"/>
    <n v="4.72"/>
    <x v="3"/>
    <s v="VALIDATED"/>
    <n v="1"/>
    <s v="01.11.80.203.6100.0000"/>
    <n v="23.61"/>
    <s v="11"/>
    <s v="6100"/>
    <n v="-32425.63"/>
    <n v="23.6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2"/>
    <d v="2023-07-03T19:04:58"/>
    <s v="Y"/>
    <s v="Preparation - other"/>
    <s v="VHCC"/>
    <s v="Profit Cost"/>
    <s v="MJS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20"/>
    <d v="2023-07-03T19:04:58"/>
    <s v="Y"/>
    <s v="Preparation - other"/>
    <s v="VHCC"/>
    <s v="Profit Cost"/>
    <s v="JML 65"/>
    <s v="Y"/>
    <n v="247.93"/>
    <n v="49.58"/>
    <x v="3"/>
    <s v="VALIDATED"/>
    <n v="1"/>
    <s v="01.11.80.203.6100.0000"/>
    <n v="247.93"/>
    <s v="11"/>
    <s v="6100"/>
    <n v="-32425.63"/>
    <n v="247.93"/>
    <s v="DEBTOR"/>
    <n v="0"/>
    <n v="0"/>
    <n v="0"/>
    <n v="0"/>
    <n v="0"/>
  </r>
  <r>
    <n v="16166207"/>
    <s v="N"/>
    <n v="21321180"/>
    <s v="3000007747490020"/>
    <s v="CIVIL"/>
    <d v="2023-06-28T00:00:00"/>
    <d v="2023-07-03T19:04:52"/>
    <m/>
    <d v="2023-07-03T00:00:00"/>
    <n v="1878"/>
    <n v="1547"/>
    <s v="16166207"/>
    <s v="16166207"/>
    <m/>
    <m/>
    <n v="22782544"/>
    <m/>
    <m/>
    <m/>
    <s v="SOLINT"/>
    <s v="SOLINT"/>
    <s v="CCMS"/>
    <n v="21321180"/>
    <n v="6169.98"/>
    <m/>
    <s v="N"/>
    <n v="24"/>
    <d v="2023-07-03T19:04:58"/>
    <s v="Y"/>
    <s v="Preparation - drafting attendance n"/>
    <s v="VHCC"/>
    <s v="Profit Cost"/>
    <s v="JML"/>
    <s v="Y"/>
    <n v="7.16"/>
    <n v="1.43"/>
    <x v="3"/>
    <s v="VALIDATED"/>
    <n v="1"/>
    <s v="01.11.80.203.6100.0000"/>
    <n v="7.16"/>
    <s v="11"/>
    <s v="6100"/>
    <n v="-32425.63"/>
    <n v="7.16"/>
    <s v="DEBTOR"/>
    <n v="0"/>
    <n v="0"/>
    <n v="0"/>
    <n v="0"/>
    <n v="0"/>
  </r>
  <r>
    <n v="8733210"/>
    <s v="N"/>
    <n v="21403533"/>
    <s v="3000004746670021"/>
    <s v="CIVIL"/>
    <d v="2023-06-06T00:00:00"/>
    <d v="2023-07-20T19:22:20"/>
    <m/>
    <d v="2023-07-20T00:00:00"/>
    <n v="1878"/>
    <n v="1547"/>
    <s v="8733210"/>
    <s v="8733210"/>
    <m/>
    <m/>
    <n v="22629506"/>
    <m/>
    <m/>
    <m/>
    <s v="SOLFIN"/>
    <s v="SOLFIN"/>
    <s v="CCMS"/>
    <n v="21403533"/>
    <n v="4211.9"/>
    <m/>
    <s v="N"/>
    <n v="17"/>
    <d v="2023-07-20T19:22:42"/>
    <s v="Y"/>
    <s v="Preparation - other"/>
    <s v="Non Family Hourly Rates"/>
    <s v="Profit Cost"/>
    <s v="ESL"/>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52"/>
    <d v="2023-07-20T19:22:42"/>
    <s v="Y"/>
    <s v="Preparation - other"/>
    <s v="Non Family Hourly Rates"/>
    <s v="Profit Cost"/>
    <s v="BSS"/>
    <s v="Y"/>
    <n v="12.6"/>
    <n v="2.52"/>
    <x v="13"/>
    <s v="VALIDATED"/>
    <n v="1"/>
    <s v="01.11.80.201.6100.0000"/>
    <n v="12.6"/>
    <s v="11"/>
    <s v="6100"/>
    <n v="-32425.63"/>
    <n v="12.6"/>
    <s v="DEBTOR"/>
    <n v="0"/>
    <n v="0"/>
    <n v="0"/>
    <n v="0"/>
    <n v="0"/>
  </r>
  <r>
    <n v="8733210"/>
    <s v="N"/>
    <n v="21403533"/>
    <s v="3000004746670021"/>
    <s v="CIVIL"/>
    <d v="2023-06-06T00:00:00"/>
    <d v="2023-07-20T19:22:20"/>
    <m/>
    <d v="2023-07-20T00:00:00"/>
    <n v="1878"/>
    <n v="1547"/>
    <s v="8733210"/>
    <s v="8733210"/>
    <m/>
    <m/>
    <n v="22629506"/>
    <m/>
    <m/>
    <m/>
    <s v="SOLFIN"/>
    <s v="SOLFIN"/>
    <s v="CCMS"/>
    <n v="21403533"/>
    <n v="4211.9"/>
    <m/>
    <s v="N"/>
    <n v="65"/>
    <d v="2023-07-20T19:22:42"/>
    <s v="Y"/>
    <s v="Preparation - other"/>
    <s v="Non Family Hourly Rates"/>
    <s v="Profit Cost"/>
    <s v="BSS"/>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3"/>
    <d v="2023-07-03T19:02:10"/>
    <s v="Y"/>
    <s v="Solicitor Travel Mileage"/>
    <s v="Prescribed Hourly Rates"/>
    <s v="Non Expert Disbursement"/>
    <s v="MAE 15"/>
    <s v="Y"/>
    <n v="21.15"/>
    <n v="4.23"/>
    <x v="3"/>
    <s v="VALIDATED"/>
    <n v="1"/>
    <s v="01.11.80.305.6300.0000"/>
    <n v="21.15"/>
    <s v="11"/>
    <s v="6300"/>
    <n v="-32425.63"/>
    <n v="21.15"/>
    <s v="DEBTOR"/>
    <n v="0"/>
    <n v="0"/>
    <n v="0"/>
    <n v="0"/>
    <n v="0"/>
  </r>
  <r>
    <n v="61742173"/>
    <s v="N"/>
    <n v="21319086"/>
    <s v="3000015815100003"/>
    <s v="CIVIL"/>
    <d v="2023-06-23T00:00:00"/>
    <d v="2023-07-03T19:01:49"/>
    <m/>
    <d v="2023-07-03T00:00:00"/>
    <n v="1878"/>
    <n v="1547"/>
    <s v="61742173"/>
    <s v="61742173"/>
    <m/>
    <m/>
    <n v="22750850"/>
    <m/>
    <m/>
    <m/>
    <s v="SOLFIN"/>
    <s v="SOLFIN"/>
    <s v="CCMS"/>
    <n v="21319086"/>
    <n v="5246"/>
    <m/>
    <s v="N"/>
    <n v="44"/>
    <d v="2023-07-03T19:02:10"/>
    <s v="Y"/>
    <s v="Preparation - other"/>
    <s v="Prescribed Hourly Rates"/>
    <s v="Profit Cost"/>
    <s v="MAE 15"/>
    <s v="Y"/>
    <n v="20.49"/>
    <n v="4.1"/>
    <x v="3"/>
    <s v="VALIDATED"/>
    <n v="1"/>
    <s v="01.11.80.305.6100.0000"/>
    <n v="20.49"/>
    <s v="11"/>
    <s v="6100"/>
    <n v="-32425.63"/>
    <n v="20.4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79"/>
    <d v="2023-07-10T19:01:45"/>
    <s v="Y"/>
    <s v="Preparation - other"/>
    <s v="Care Remuneration Hourly Rates"/>
    <s v="Profit Cost"/>
    <s v="AGI 30"/>
    <s v="Y"/>
    <n v="14.37"/>
    <n v="2.87"/>
    <x v="2"/>
    <s v="VALIDATED"/>
    <n v="1"/>
    <s v="01.11.80.308.6100.0000"/>
    <n v="14.37"/>
    <s v="11"/>
    <s v="6100"/>
    <n v="-32425.63"/>
    <n v="14.3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41"/>
    <d v="2023-07-10T19:02:05"/>
    <s v="Y"/>
    <s v="Preparation - drafting pleadings"/>
    <s v="Non Family Hourly Rates"/>
    <s v="Profit Cost"/>
    <s v="CB"/>
    <s v="Y"/>
    <n v="64.40000000000001"/>
    <n v="0"/>
    <x v="2"/>
    <s v="VALIDATED"/>
    <n v="1"/>
    <s v="01.11.80.203.6100.0000"/>
    <n v="64.40000000000001"/>
    <s v="11"/>
    <s v="6100"/>
    <n v="-32425.63"/>
    <n v="64.4000000000000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7"/>
    <d v="2023-07-10T19:02:05"/>
    <s v="Y"/>
    <s v="Preparation - other"/>
    <s v="Non Family Hourly Rates"/>
    <s v="Profit Cost"/>
    <s v="LG"/>
    <s v="Y"/>
    <n v="14.31"/>
    <n v="0"/>
    <x v="2"/>
    <s v="VALIDATED"/>
    <n v="1"/>
    <s v="01.11.80.203.6100.0000"/>
    <n v="14.31"/>
    <s v="11"/>
    <s v="6100"/>
    <n v="-32425.63"/>
    <n v="14.3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3"/>
    <d v="2023-07-10T19:02:05"/>
    <s v="Y"/>
    <s v="Attendance upon/with Counsel at Con"/>
    <s v="Non Family Hourly Rates"/>
    <s v="Profit Cost"/>
    <s v="LG"/>
    <s v="Y"/>
    <n v="6.66"/>
    <n v="0"/>
    <x v="2"/>
    <s v="VALIDATED"/>
    <n v="1"/>
    <s v="01.11.80.203.6100.0000"/>
    <n v="6.66"/>
    <s v="11"/>
    <s v="6100"/>
    <n v="-32425.63"/>
    <n v="6.6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7"/>
    <d v="2023-07-10T19:02:05"/>
    <s v="Y"/>
    <s v="Preparation - drafting statement"/>
    <s v="Non Family Hourly Rates"/>
    <s v="Profit Cost"/>
    <s v="LG"/>
    <s v="Y"/>
    <n v="268.32"/>
    <n v="0"/>
    <x v="2"/>
    <s v="VALIDATED"/>
    <n v="1"/>
    <s v="01.11.80.203.6100.0000"/>
    <n v="268.32"/>
    <s v="11"/>
    <s v="6100"/>
    <n v="-32425.63"/>
    <n v="268.3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1"/>
    <d v="2023-07-10T19:02:05"/>
    <s v="Y"/>
    <s v="Preparation - drafting attendance n"/>
    <s v="Non Family Hourly Rates"/>
    <s v="Profit Cost"/>
    <s v="LG"/>
    <s v="Y"/>
    <n v="14.31"/>
    <n v="0"/>
    <x v="2"/>
    <s v="VALIDATED"/>
    <n v="1"/>
    <s v="01.11.80.203.6100.0000"/>
    <n v="14.31"/>
    <s v="11"/>
    <s v="6100"/>
    <n v="-32425.63"/>
    <n v="14.3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1"/>
    <d v="2023-07-05T19:02:09"/>
    <s v="Y"/>
    <s v="Attendance upon court with counsel"/>
    <s v="VHCC"/>
    <s v="Profit Cost"/>
    <s v="GLE"/>
    <s v="Y"/>
    <n v="79.92"/>
    <n v="15.98"/>
    <x v="6"/>
    <s v="VALIDATED"/>
    <n v="1"/>
    <s v="01.11.80.203.6100.0000"/>
    <n v="79.92"/>
    <s v="11"/>
    <s v="6100"/>
    <n v="-32425.63"/>
    <n v="79.9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6"/>
    <d v="2023-07-05T19:02:06"/>
    <s v="Y"/>
    <s v="Attendance upon Counsel"/>
    <s v="VHCC"/>
    <s v="Profit Cost"/>
    <s v="GLE"/>
    <s v="Y"/>
    <n v="36.63"/>
    <n v="7.33"/>
    <x v="6"/>
    <s v="VALIDATED"/>
    <n v="1"/>
    <s v="01.11.80.203.6100.0000"/>
    <n v="36.63"/>
    <s v="11"/>
    <s v="6100"/>
    <n v="-32425.63"/>
    <n v="36.63"/>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7"/>
    <d v="2023-07-05T19:02:06"/>
    <s v="Y"/>
    <s v="Preparation - other"/>
    <s v="VHCC"/>
    <s v="Profit Cost"/>
    <s v="SHL"/>
    <s v="Y"/>
    <n v="28.62"/>
    <n v="5.72"/>
    <x v="6"/>
    <s v="VALIDATED"/>
    <n v="1"/>
    <s v="01.11.80.203.6100.0000"/>
    <n v="28.62"/>
    <s v="11"/>
    <s v="6100"/>
    <n v="-32425.63"/>
    <n v="28.6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61"/>
    <d v="2023-07-05T19:02:06"/>
    <s v="Y"/>
    <s v="Preparation - other"/>
    <s v="VHCC"/>
    <s v="Profit Cost"/>
    <s v="GLE 60"/>
    <s v="Y"/>
    <n v="103.03"/>
    <n v="20.61"/>
    <x v="6"/>
    <s v="VALIDATED"/>
    <n v="1"/>
    <s v="01.11.80.203.6100.0000"/>
    <n v="103.03"/>
    <s v="11"/>
    <s v="6100"/>
    <n v="-32425.63"/>
    <n v="103.0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95"/>
    <d v="2023-07-05T19:01:55"/>
    <s v="Y"/>
    <s v="Preparation - other"/>
    <s v="Non Family Hourly Rates"/>
    <s v="Profit Cost"/>
    <s v="GLE 50"/>
    <s v="Y"/>
    <n v="236.12"/>
    <n v="47.22"/>
    <x v="6"/>
    <s v="VALIDATED"/>
    <n v="1"/>
    <s v="01.11.80.203.6100.0000"/>
    <n v="236.12"/>
    <s v="11"/>
    <s v="6100"/>
    <n v="-32425.63"/>
    <n v="236.1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9"/>
    <d v="2023-07-05T19:01:55"/>
    <s v="Y"/>
    <s v="Preparation - other"/>
    <s v="Non Family Hourly Rates"/>
    <s v="Profit Cost"/>
    <s v="HRL 50"/>
    <s v="Y"/>
    <n v="42.93"/>
    <n v="8.59"/>
    <x v="6"/>
    <s v="VALIDATED"/>
    <n v="1"/>
    <s v="01.11.80.203.6100.0000"/>
    <n v="42.93"/>
    <s v="11"/>
    <s v="6100"/>
    <n v="-32425.63"/>
    <n v="42.9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1"/>
    <d v="2023-07-03T19:04:58"/>
    <s v="Y"/>
    <s v="Attendance upon client"/>
    <s v="VHCC"/>
    <s v="Profit Cost"/>
    <s v="JML 65"/>
    <s v="Y"/>
    <n v="82.64"/>
    <n v="16.53"/>
    <x v="3"/>
    <s v="VALIDATED"/>
    <n v="1"/>
    <s v="01.11.80.203.6100.0000"/>
    <n v="82.64"/>
    <s v="11"/>
    <s v="6100"/>
    <n v="-32425.63"/>
    <n v="82.6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7"/>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6"/>
    <d v="2023-07-03T19:04:58"/>
    <s v="Y"/>
    <s v="Attendance upon other"/>
    <s v="VHCC"/>
    <s v="Profit Cost"/>
    <s v="JML 65"/>
    <s v="Y"/>
    <n v="47.22"/>
    <n v="9.44"/>
    <x v="3"/>
    <s v="VALIDATED"/>
    <n v="1"/>
    <s v="01.11.80.203.6100.0000"/>
    <n v="47.22"/>
    <s v="11"/>
    <s v="6100"/>
    <n v="-32425.63"/>
    <n v="47.2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62"/>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8"/>
    <d v="2023-07-03T19:04:58"/>
    <s v="Y"/>
    <s v="Preparation - other"/>
    <s v="VHCC"/>
    <s v="Profit Cost"/>
    <s v="JML 65"/>
    <s v="Y"/>
    <n v="35.42"/>
    <n v="7.08"/>
    <x v="3"/>
    <s v="VALIDATED"/>
    <n v="1"/>
    <s v="01.11.80.203.6100.0000"/>
    <n v="35.42"/>
    <s v="11"/>
    <s v="6100"/>
    <n v="-32425.63"/>
    <n v="35.4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8"/>
    <d v="2023-07-10T19:02:05"/>
    <s v="Y"/>
    <s v="Preparation - other"/>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
    <d v="2023-07-10T19:02:05"/>
    <s v="Y"/>
    <s v="Court Fee"/>
    <s v="Non Family Hourly Rates"/>
    <s v="Non Expert Disbursement"/>
    <s v="XXX"/>
    <s v="Y"/>
    <n v="275"/>
    <n v="0"/>
    <x v="2"/>
    <s v="VALIDATED"/>
    <n v="1"/>
    <s v="01.11.80.203.6300.0000"/>
    <n v="275"/>
    <s v="11"/>
    <s v="6300"/>
    <n v="-32425.63"/>
    <n v="27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74"/>
    <d v="2023-07-10T19:02:05"/>
    <s v="Y"/>
    <s v="Attendance upon/with Counsel at Con"/>
    <s v="Non Family Hourly Rates"/>
    <s v="Profit Cost"/>
    <s v="LG"/>
    <s v="Y"/>
    <n v="6.66"/>
    <n v="0"/>
    <x v="2"/>
    <s v="VALIDATED"/>
    <n v="1"/>
    <s v="01.11.80.203.6100.0000"/>
    <n v="6.66"/>
    <s v="11"/>
    <s v="6100"/>
    <n v="-32425.63"/>
    <n v="6.66"/>
    <s v="DEBTOR"/>
    <n v="0"/>
    <n v="0"/>
    <n v="0"/>
    <n v="0"/>
    <n v="0"/>
  </r>
  <r>
    <n v="59677260"/>
    <s v="N"/>
    <n v="21331198"/>
    <s v="3000014052440025"/>
    <s v="CIVIL"/>
    <d v="2023-06-30T00:00:00"/>
    <d v="2023-07-05T19:01:47"/>
    <m/>
    <d v="2023-07-05T00:00:00"/>
    <n v="1878"/>
    <n v="1547"/>
    <s v="59677260"/>
    <s v="59677260"/>
    <m/>
    <m/>
    <n v="22798388"/>
    <m/>
    <m/>
    <m/>
    <s v="SOLINT"/>
    <s v="SOLINT"/>
    <s v="CCMS"/>
    <n v="21331198"/>
    <n v="5452.01"/>
    <m/>
    <s v="N"/>
    <n v="1"/>
    <d v="2023-07-05T19:02:09"/>
    <s v="Y"/>
    <s v="Preparation - other"/>
    <s v="VHCC"/>
    <s v="Profit Cost"/>
    <s v="SHL 60"/>
    <s v="Y"/>
    <n v="114.48"/>
    <n v="22.9"/>
    <x v="6"/>
    <s v="VALIDATED"/>
    <n v="1"/>
    <s v="01.11.80.203.6100.0000"/>
    <n v="114.48"/>
    <s v="11"/>
    <s v="6100"/>
    <n v="-32425.63"/>
    <n v="114.4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80"/>
    <d v="2023-07-05T19:02:06"/>
    <s v="Y"/>
    <s v="Preparation - other"/>
    <s v="VHCC"/>
    <s v="Profit Cost"/>
    <s v="GLE 60"/>
    <s v="Y"/>
    <n v="22.9"/>
    <n v="4.58"/>
    <x v="6"/>
    <s v="VALIDATED"/>
    <n v="1"/>
    <s v="01.11.80.203.6100.0000"/>
    <n v="22.9"/>
    <s v="11"/>
    <s v="6100"/>
    <n v="-32425.63"/>
    <n v="22.9"/>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6"/>
    <d v="2023-07-05T19:02:09"/>
    <s v="Y"/>
    <s v="Preparation - other"/>
    <s v="VHCC"/>
    <s v="Profit Cost"/>
    <s v="SHL 60"/>
    <s v="Y"/>
    <n v="57.24"/>
    <n v="11.45"/>
    <x v="6"/>
    <s v="VALIDATED"/>
    <n v="1"/>
    <s v="01.11.80.203.6100.0000"/>
    <n v="57.24"/>
    <s v="11"/>
    <s v="6100"/>
    <n v="-32425.63"/>
    <n v="57.24"/>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9"/>
    <d v="2023-07-05T19:02:09"/>
    <s v="Y"/>
    <s v="Travel to court"/>
    <s v="VHCC"/>
    <s v="Profit Cost"/>
    <s v="GLE"/>
    <s v="Y"/>
    <n v="35.92"/>
    <n v="7.18"/>
    <x v="6"/>
    <s v="VALIDATED"/>
    <n v="1"/>
    <s v="01.11.80.203.6100.0000"/>
    <n v="35.92"/>
    <s v="11"/>
    <s v="6100"/>
    <n v="-32425.63"/>
    <n v="35.9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74"/>
    <d v="2023-07-05T19:02:06"/>
    <s v="Y"/>
    <s v="Preparation - other"/>
    <s v="VHCC"/>
    <s v="Profit Cost"/>
    <s v="SHL"/>
    <s v="Y"/>
    <n v="7.16"/>
    <n v="1.43"/>
    <x v="6"/>
    <s v="VALIDATED"/>
    <n v="1"/>
    <s v="01.11.80.203.6100.0000"/>
    <n v="7.16"/>
    <s v="11"/>
    <s v="6100"/>
    <n v="-32425.63"/>
    <n v="7.16"/>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20"/>
    <d v="2023-07-05T19:02:06"/>
    <s v="Y"/>
    <s v="Preparation - other"/>
    <s v="VHCC"/>
    <s v="Profit Cost"/>
    <s v="SHL"/>
    <s v="Y"/>
    <n v="50.09"/>
    <n v="10.02"/>
    <x v="6"/>
    <s v="VALIDATED"/>
    <n v="1"/>
    <s v="01.11.80.203.6100.0000"/>
    <n v="50.09"/>
    <s v="11"/>
    <s v="6100"/>
    <n v="-32425.63"/>
    <n v="50.0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2"/>
    <d v="2023-07-05T19:01:55"/>
    <s v="Y"/>
    <s v="Preparation - other"/>
    <s v="Non Family Hourly Rates"/>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6"/>
    <d v="2023-07-05T19:01:55"/>
    <s v="Y"/>
    <s v="Preparation - drafting statement"/>
    <s v="Non Family Hourly Rates"/>
    <s v="Profit Cost"/>
    <s v="HRL 50"/>
    <s v="Y"/>
    <n v="42.93"/>
    <n v="8.59"/>
    <x v="6"/>
    <s v="VALIDATED"/>
    <n v="1"/>
    <s v="01.11.80.203.6100.0000"/>
    <n v="42.93"/>
    <s v="11"/>
    <s v="6100"/>
    <n v="-32425.63"/>
    <n v="42.9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8"/>
    <d v="2023-07-05T19:01:55"/>
    <s v="Y"/>
    <s v="Attendance upon other"/>
    <s v="Non Family Hourly Rates"/>
    <s v="Profit Cost"/>
    <s v="GLE"/>
    <s v="Y"/>
    <n v="57.24"/>
    <n v="11.45"/>
    <x v="6"/>
    <s v="VALIDATED"/>
    <n v="1"/>
    <s v="01.11.80.203.6100.0000"/>
    <n v="57.24"/>
    <s v="11"/>
    <s v="6100"/>
    <n v="-32425.63"/>
    <n v="57.2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2"/>
    <d v="2023-07-05T19:01:55"/>
    <s v="Y"/>
    <s v="Preparation -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4"/>
    <d v="2023-07-05T19:01:55"/>
    <s v="Y"/>
    <s v="Preparation - other"/>
    <s v="Non Family Hourly Rates"/>
    <s v="Profit Cost"/>
    <s v="HRL"/>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83"/>
    <d v="2023-07-05T19:01:55"/>
    <s v="Y"/>
    <s v="Preparation - other"/>
    <s v="Non Family Hourly Rates"/>
    <s v="Profit Cost"/>
    <s v="HRL 50"/>
    <s v="Y"/>
    <n v="161"/>
    <n v="32.2"/>
    <x v="6"/>
    <s v="VALIDATED"/>
    <n v="1"/>
    <s v="01.11.80.203.6100.0000"/>
    <n v="161"/>
    <s v="11"/>
    <s v="6100"/>
    <n v="-32425.63"/>
    <n v="16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1"/>
    <d v="2023-07-05T19:01:55"/>
    <s v="Y"/>
    <s v="Travel to attend client"/>
    <s v="Non Family Hourly Rates"/>
    <s v="Profit Cost"/>
    <s v="HRL"/>
    <s v="Y"/>
    <n v="74.83"/>
    <n v="14.97"/>
    <x v="6"/>
    <s v="VALIDATED"/>
    <n v="1"/>
    <s v="01.11.80.203.6100.0000"/>
    <n v="74.83"/>
    <s v="11"/>
    <s v="6100"/>
    <n v="-32425.63"/>
    <n v="74.83"/>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59"/>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8"/>
    <d v="2023-07-05T19:01:55"/>
    <s v="Y"/>
    <s v="Preparation - drafting application"/>
    <s v="Non Family Hourly Rates"/>
    <s v="Profit Cost"/>
    <s v="CBD"/>
    <s v="Y"/>
    <n v="7.16"/>
    <n v="1.43"/>
    <x v="6"/>
    <s v="VALIDATED"/>
    <n v="1"/>
    <s v="01.11.80.203.6100.0000"/>
    <n v="7.16"/>
    <s v="11"/>
    <s v="6100"/>
    <n v="-32425.63"/>
    <n v="7.16"/>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7"/>
    <d v="2023-07-06T19:21:25"/>
    <s v="Y"/>
    <s v="Advocates Meeting"/>
    <s v="Other Public Law Children"/>
    <s v="Advocacy"/>
    <s v="NBS"/>
    <s v="Y"/>
    <n v="140.99"/>
    <n v="28.2"/>
    <x v="4"/>
    <s v="VALIDATED"/>
    <n v="1"/>
    <s v="01.11.80.308.6100.0000"/>
    <n v="140.99"/>
    <s v="11"/>
    <s v="6100"/>
    <n v="-32425.63"/>
    <n v="140.99"/>
    <s v="DEBTOR"/>
    <n v="0"/>
    <n v="0"/>
    <n v="0"/>
    <n v="0"/>
    <n v="0"/>
  </r>
  <r>
    <n v="16166207"/>
    <s v="N"/>
    <n v="21321180"/>
    <s v="3000007747490020"/>
    <s v="CIVIL"/>
    <d v="2023-06-28T00:00:00"/>
    <d v="2023-07-03T19:04:52"/>
    <m/>
    <d v="2023-07-03T00:00:00"/>
    <n v="1878"/>
    <n v="1547"/>
    <s v="16166207"/>
    <s v="16166207"/>
    <m/>
    <m/>
    <n v="22782544"/>
    <m/>
    <m/>
    <m/>
    <s v="SOLINT"/>
    <s v="SOLINT"/>
    <s v="CCMS"/>
    <n v="21321180"/>
    <n v="6169.98"/>
    <m/>
    <s v="N"/>
    <n v="51"/>
    <d v="2023-07-03T19:04:58"/>
    <s v="Y"/>
    <s v="Preparation - other"/>
    <s v="VHCC"/>
    <s v="Profit Cost"/>
    <s v="MJS"/>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10"/>
    <d v="2023-07-03T19:04:58"/>
    <s v="Y"/>
    <s v="Preparation - other"/>
    <s v="VHCC"/>
    <s v="Profit Cost"/>
    <s v="JML"/>
    <s v="Y"/>
    <n v="28.62"/>
    <n v="5.72"/>
    <x v="3"/>
    <s v="VALIDATED"/>
    <n v="1"/>
    <s v="01.11.80.203.6100.0000"/>
    <n v="28.62"/>
    <s v="11"/>
    <s v="6100"/>
    <n v="-32425.63"/>
    <n v="28.62"/>
    <s v="DEBTOR"/>
    <n v="0"/>
    <n v="0"/>
    <n v="0"/>
    <n v="0"/>
    <n v="0"/>
  </r>
  <r>
    <n v="61742173"/>
    <s v="N"/>
    <n v="21319086"/>
    <s v="3000015815100003"/>
    <s v="CIVIL"/>
    <d v="2023-06-23T00:00:00"/>
    <d v="2023-07-03T19:01:49"/>
    <m/>
    <d v="2023-07-03T00:00:00"/>
    <n v="1878"/>
    <n v="1547"/>
    <s v="61742173"/>
    <s v="61742173"/>
    <m/>
    <m/>
    <n v="22750850"/>
    <m/>
    <m/>
    <m/>
    <s v="SOLFIN"/>
    <s v="SOLFIN"/>
    <s v="CCMS"/>
    <n v="21319086"/>
    <n v="5246"/>
    <m/>
    <s v="N"/>
    <n v="5"/>
    <d v="2023-07-03T19:02:10"/>
    <s v="Y"/>
    <s v="Preparation - other"/>
    <s v="Prescribed Hourly Rates"/>
    <s v="Profit Cost"/>
    <s v="MAE 15"/>
    <s v="Y"/>
    <n v="34.16"/>
    <n v="6.83"/>
    <x v="3"/>
    <s v="VALIDATED"/>
    <n v="1"/>
    <s v="01.11.80.305.6100.0000"/>
    <n v="34.16"/>
    <s v="11"/>
    <s v="6100"/>
    <n v="-32425.63"/>
    <n v="34.16"/>
    <s v="DEBTOR"/>
    <n v="0"/>
    <n v="0"/>
    <n v="0"/>
    <n v="0"/>
    <n v="0"/>
  </r>
  <r>
    <n v="8733210"/>
    <s v="N"/>
    <n v="21403533"/>
    <s v="3000004746670021"/>
    <s v="CIVIL"/>
    <d v="2023-06-06T00:00:00"/>
    <d v="2023-07-20T19:22:20"/>
    <m/>
    <d v="2023-07-20T00:00:00"/>
    <n v="1878"/>
    <n v="1547"/>
    <s v="8733210"/>
    <s v="8733210"/>
    <m/>
    <m/>
    <n v="22629506"/>
    <m/>
    <m/>
    <m/>
    <s v="SOLFIN"/>
    <s v="SOLFIN"/>
    <s v="CCMS"/>
    <n v="21403533"/>
    <n v="4211.9"/>
    <m/>
    <s v="N"/>
    <n v="41"/>
    <d v="2023-07-20T19:22:42"/>
    <s v="Y"/>
    <s v="Preparation - other"/>
    <s v="Non Family Hourly Rates"/>
    <s v="Profit Cost"/>
    <s v="BSS"/>
    <s v="Y"/>
    <n v="6.3"/>
    <n v="1.26"/>
    <x v="13"/>
    <s v="VALIDATED"/>
    <n v="1"/>
    <s v="01.11.80.201.6100.0000"/>
    <n v="6.3"/>
    <s v="11"/>
    <s v="6100"/>
    <n v="-32425.63"/>
    <n v="6.3"/>
    <s v="DEBTOR"/>
    <n v="0"/>
    <n v="0"/>
    <n v="0"/>
    <n v="0"/>
    <n v="0"/>
  </r>
  <r>
    <n v="62505835"/>
    <s v="N"/>
    <n v="21349453"/>
    <s v="3000016462370001"/>
    <s v="CIVIL"/>
    <d v="2023-06-29T00:00:00"/>
    <d v="2023-07-10T19:01:40"/>
    <m/>
    <d v="2023-07-10T00:00:00"/>
    <n v="1878"/>
    <n v="1547"/>
    <s v="62505835"/>
    <s v="62505835"/>
    <m/>
    <m/>
    <n v="22788222"/>
    <m/>
    <m/>
    <m/>
    <s v="SOLFIN"/>
    <s v="SOLFIN"/>
    <s v="CCMS"/>
    <n v="21349453"/>
    <n v="1212.58"/>
    <m/>
    <s v="N"/>
    <n v="8"/>
    <d v="2023-07-10T19:01:50"/>
    <s v="Y"/>
    <s v="Preparation - other"/>
    <s v="Care Remuneration Hourly Rates"/>
    <s v="Profit Cost"/>
    <s v="HPY"/>
    <s v="Y"/>
    <n v="17.19"/>
    <n v="3.44"/>
    <x v="2"/>
    <s v="VALIDATED"/>
    <n v="1"/>
    <s v="01.11.80.308.6100.0000"/>
    <n v="17.19"/>
    <s v="11"/>
    <s v="6100"/>
    <n v="-32425.63"/>
    <n v="17.19"/>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64"/>
    <d v="2023-07-10T19:01:45"/>
    <s v="Y"/>
    <s v="Preparation - other"/>
    <s v="Care Remuneration Hourly Rates"/>
    <s v="Profit Cost"/>
    <s v="JBL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8"/>
    <d v="2023-07-10T19:02:05"/>
    <s v="Y"/>
    <s v="Preparation - drafting statement"/>
    <s v="Non Family Hourly Rates"/>
    <s v="Profit Cost"/>
    <s v="LG"/>
    <s v="Y"/>
    <n v="536.63"/>
    <n v="0"/>
    <x v="2"/>
    <s v="VALIDATED"/>
    <n v="1"/>
    <s v="01.11.80.203.6100.0000"/>
    <n v="536.63"/>
    <s v="11"/>
    <s v="6100"/>
    <n v="-32425.63"/>
    <n v="536.6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47"/>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63"/>
    <d v="2023-07-10T19:02:05"/>
    <s v="Y"/>
    <s v="Attendance upon client"/>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0"/>
    <d v="2023-07-10T19:02:05"/>
    <s v="Y"/>
    <s v="Preparation - drafting attendance n"/>
    <s v="Non Family Hourly Rates"/>
    <s v="Profit Cost"/>
    <s v="LG"/>
    <s v="Y"/>
    <n v="7.16"/>
    <n v="0"/>
    <x v="2"/>
    <s v="VALIDATED"/>
    <n v="1"/>
    <s v="01.11.80.203.6100.0000"/>
    <n v="7.16"/>
    <s v="11"/>
    <s v="6100"/>
    <n v="-32425.63"/>
    <n v="7.16"/>
    <s v="DEBTOR"/>
    <n v="0"/>
    <n v="0"/>
    <n v="0"/>
    <n v="0"/>
    <n v="0"/>
  </r>
  <r>
    <n v="62207718"/>
    <s v="N"/>
    <n v="21338458"/>
    <s v="3000016212270001"/>
    <s v="CIVIL"/>
    <d v="2023-06-28T00:00:00"/>
    <d v="2023-07-06T19:21:01"/>
    <m/>
    <d v="2023-07-06T00:00:00"/>
    <n v="1878"/>
    <n v="1547"/>
    <s v="62207718"/>
    <s v="62207718"/>
    <m/>
    <m/>
    <n v="22776014"/>
    <m/>
    <m/>
    <m/>
    <s v="SOLFIN"/>
    <s v="SOLFIN"/>
    <s v="CCMS"/>
    <n v="21338458"/>
    <n v="3530.54"/>
    <m/>
    <s v="N"/>
    <n v="42"/>
    <d v="2023-07-06T19:21:25"/>
    <s v="Y"/>
    <s v="Preparation - other"/>
    <s v="Care Remuneration Hourly Rates"/>
    <s v="Profit Cost"/>
    <s v="LD"/>
    <s v="Y"/>
    <n v="12.28"/>
    <n v="2.46"/>
    <x v="4"/>
    <s v="VALIDATED"/>
    <n v="1"/>
    <s v="01.11.80.308.6100.0000"/>
    <n v="12.28"/>
    <s v="11"/>
    <s v="6100"/>
    <n v="-32425.63"/>
    <n v="12.28"/>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6"/>
    <d v="2023-07-05T19:02:06"/>
    <s v="Y"/>
    <s v="Preparation - other"/>
    <s v="VHCC"/>
    <s v="Profit Cost"/>
    <s v="SHL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68"/>
    <d v="2023-07-05T19:02:06"/>
    <s v="Y"/>
    <s v="Preparation - other"/>
    <s v="VHCC"/>
    <s v="Profit Cost"/>
    <s v="SHL 60"/>
    <s v="Y"/>
    <n v="68.69"/>
    <n v="13.74"/>
    <x v="6"/>
    <s v="VALIDATED"/>
    <n v="1"/>
    <s v="01.11.80.203.6100.0000"/>
    <n v="68.69"/>
    <s v="11"/>
    <s v="6100"/>
    <n v="-32425.63"/>
    <n v="68.6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05"/>
    <d v="2023-07-05T19:02:06"/>
    <s v="Y"/>
    <s v="Attendance upon other side"/>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4"/>
    <d v="2023-07-05T19:02:06"/>
    <s v="Y"/>
    <s v="Preparation - drafting bill/claim f"/>
    <s v="VHCC"/>
    <s v="Profit Cost"/>
    <s v="LD"/>
    <s v="Y"/>
    <n v="829.98"/>
    <n v="166"/>
    <x v="6"/>
    <s v="VALIDATED"/>
    <n v="1"/>
    <s v="01.11.80.203.6100.0000"/>
    <n v="829.98"/>
    <s v="11"/>
    <s v="6100"/>
    <n v="-32425.63"/>
    <n v="829.9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
    <d v="2023-07-03T19:04:58"/>
    <s v="Y"/>
    <s v="Preparation - other"/>
    <s v="VHCC"/>
    <s v="Profit Cost"/>
    <s v="JML 65"/>
    <s v="Y"/>
    <n v="188.9"/>
    <n v="37.78"/>
    <x v="3"/>
    <s v="VALIDATED"/>
    <n v="1"/>
    <s v="01.11.80.203.6100.0000"/>
    <n v="188.9"/>
    <s v="11"/>
    <s v="6100"/>
    <n v="-32425.63"/>
    <n v="188.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
    <d v="2023-07-03T19:04:58"/>
    <s v="Y"/>
    <s v="Preparation - other"/>
    <s v="VHCC"/>
    <s v="Profit Cost"/>
    <s v="JML"/>
    <s v="Y"/>
    <n v="7.16"/>
    <n v="1.43"/>
    <x v="3"/>
    <s v="VALIDATED"/>
    <n v="1"/>
    <s v="01.11.80.203.6100.0000"/>
    <n v="7.16"/>
    <s v="11"/>
    <s v="6100"/>
    <n v="-32425.63"/>
    <n v="7.16"/>
    <s v="DEBTOR"/>
    <n v="0"/>
    <n v="0"/>
    <n v="0"/>
    <n v="0"/>
    <n v="0"/>
  </r>
  <r>
    <n v="59773071"/>
    <s v="N"/>
    <n v="21392646"/>
    <s v="3000014124260002"/>
    <s v="CIVIL"/>
    <d v="2023-06-14T00:00:00"/>
    <d v="2023-07-18T19:00:27"/>
    <m/>
    <d v="2023-07-18T00:00:00"/>
    <n v="1878"/>
    <n v="1547"/>
    <s v="59773071"/>
    <s v="59773071"/>
    <m/>
    <m/>
    <n v="22686976"/>
    <m/>
    <m/>
    <m/>
    <s v="SOLFIN"/>
    <s v="SOLFIN"/>
    <s v="CCMS"/>
    <n v="21392646"/>
    <n v="1220.15"/>
    <m/>
    <s v="N"/>
    <n v="16"/>
    <d v="2023-07-18T19:00:56"/>
    <s v="Y"/>
    <s v="Preparation - other"/>
    <s v="Non Family Hourly Rates"/>
    <s v="Profit Cost"/>
    <s v="MSK 50"/>
    <s v="Y"/>
    <n v="32.21"/>
    <n v="6.44"/>
    <x v="14"/>
    <s v="VALIDATED"/>
    <n v="1"/>
    <s v="01.11.80.203.6100.0000"/>
    <n v="32.21"/>
    <s v="11"/>
    <s v="6100"/>
    <n v="-32425.63"/>
    <n v="32.21"/>
    <s v="DEBTOR"/>
    <n v="0"/>
    <n v="0"/>
    <n v="0"/>
    <n v="0"/>
    <n v="0"/>
  </r>
  <r>
    <n v="8733210"/>
    <s v="N"/>
    <n v="21403533"/>
    <s v="3000004746670021"/>
    <s v="CIVIL"/>
    <d v="2023-06-06T00:00:00"/>
    <d v="2023-07-20T19:22:20"/>
    <m/>
    <d v="2023-07-20T00:00:00"/>
    <n v="1878"/>
    <n v="1547"/>
    <s v="8733210"/>
    <s v="8733210"/>
    <m/>
    <m/>
    <n v="22629506"/>
    <m/>
    <m/>
    <m/>
    <s v="SOLFIN"/>
    <s v="SOLFIN"/>
    <s v="CCMS"/>
    <n v="21403533"/>
    <n v="4211.9"/>
    <m/>
    <s v="N"/>
    <n v="92"/>
    <d v="2023-07-20T19:22:42"/>
    <s v="Y"/>
    <s v="Preparation - other"/>
    <s v="Non Family Hourly Rates"/>
    <s v="Profit Cost"/>
    <s v="BSS"/>
    <s v="Y"/>
    <n v="94.5"/>
    <n v="18.9"/>
    <x v="13"/>
    <s v="VALIDATED"/>
    <n v="1"/>
    <s v="01.11.80.201.6100.0000"/>
    <n v="94.5"/>
    <s v="11"/>
    <s v="6100"/>
    <n v="-32425.63"/>
    <n v="94.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51"/>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0"/>
    <d v="2023-07-10T19:02:05"/>
    <s v="Y"/>
    <s v="Preparation - drafting attendance n"/>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87"/>
    <d v="2023-07-10T19:02:05"/>
    <s v="Y"/>
    <s v="Preparation - other"/>
    <s v="Non Family Hourly Rates"/>
    <s v="Profit Cost"/>
    <s v="LG"/>
    <s v="Y"/>
    <n v="21.47"/>
    <n v="0"/>
    <x v="2"/>
    <s v="VALIDATED"/>
    <n v="1"/>
    <s v="01.11.80.203.6100.0000"/>
    <n v="21.47"/>
    <s v="11"/>
    <s v="6100"/>
    <n v="-32425.63"/>
    <n v="21.4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97"/>
    <d v="2023-07-10T19:02:05"/>
    <s v="Y"/>
    <s v="Attendance upon client"/>
    <s v="Non Family Hourly Rates"/>
    <s v="Profit Cost"/>
    <s v="LG"/>
    <s v="Y"/>
    <n v="150.26"/>
    <n v="0"/>
    <x v="2"/>
    <s v="VALIDATED"/>
    <n v="1"/>
    <s v="01.11.80.203.6100.0000"/>
    <n v="150.26"/>
    <s v="11"/>
    <s v="6100"/>
    <n v="-32425.63"/>
    <n v="150.2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97"/>
    <d v="2023-07-10T19:01:45"/>
    <s v="Y"/>
    <s v="Preparation - other"/>
    <s v="Care Remuneration Hourly Rates"/>
    <s v="Profit Cost"/>
    <s v="AMA 30"/>
    <s v="Y"/>
    <n v="7.18"/>
    <n v="1.44"/>
    <x v="2"/>
    <s v="VALIDATED"/>
    <n v="1"/>
    <s v="01.11.80.308.6100.0000"/>
    <n v="7.18"/>
    <s v="11"/>
    <s v="6100"/>
    <n v="-32425.63"/>
    <n v="7.18"/>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6"/>
    <d v="2023-07-10T19:01:45"/>
    <s v="Y"/>
    <s v="Preparation - other"/>
    <s v="Care Remuneration Hourly Rates"/>
    <s v="Profit Cost"/>
    <s v="JBL"/>
    <s v="Y"/>
    <n v="12.71"/>
    <n v="2.54"/>
    <x v="2"/>
    <s v="VALIDATED"/>
    <n v="1"/>
    <s v="01.11.80.308.6100.0000"/>
    <n v="12.71"/>
    <s v="11"/>
    <s v="6100"/>
    <n v="-32425.63"/>
    <n v="12.7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0"/>
    <d v="2023-07-10T19:02:05"/>
    <s v="Y"/>
    <s v="Interpreter"/>
    <s v="Non Family Hourly Rates"/>
    <s v="Expert Disbursement"/>
    <s v="XXX"/>
    <s v="Y"/>
    <n v="44.58"/>
    <n v="8.92"/>
    <x v="2"/>
    <s v="VALIDATED"/>
    <n v="1"/>
    <s v="01.11.80.203.6300.0000"/>
    <n v="44.58"/>
    <s v="11"/>
    <s v="6300"/>
    <n v="-32425.63"/>
    <n v="44.58"/>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21"/>
    <d v="2023-07-10T19:02:05"/>
    <s v="Y"/>
    <s v="Attendance upon client"/>
    <s v="Non Family Hourly Rates"/>
    <s v="Profit Cost"/>
    <s v="LG"/>
    <s v="Y"/>
    <n v="53.67"/>
    <n v="0"/>
    <x v="2"/>
    <s v="VALIDATED"/>
    <n v="1"/>
    <s v="01.11.80.203.6100.0000"/>
    <n v="53.67"/>
    <s v="11"/>
    <s v="6100"/>
    <n v="-32425.63"/>
    <n v="53.6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15"/>
    <d v="2023-07-10T19:02:05"/>
    <s v="Y"/>
    <s v="Preparation - other"/>
    <s v="Non Family Hourly Rates"/>
    <s v="Profit Cost"/>
    <s v="CB"/>
    <s v="Y"/>
    <n v="10.74"/>
    <n v="0"/>
    <x v="2"/>
    <s v="VALIDATED"/>
    <n v="1"/>
    <s v="01.11.80.203.6100.0000"/>
    <n v="10.74"/>
    <s v="11"/>
    <s v="6100"/>
    <n v="-32425.63"/>
    <n v="10.7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8"/>
    <d v="2023-07-05T19:01:55"/>
    <s v="Y"/>
    <s v="Preparation - other"/>
    <s v="Non Family Hourly Rates"/>
    <s v="Profit Cost"/>
    <s v="HRL 50"/>
    <s v="Y"/>
    <n v="32.21"/>
    <n v="6.44"/>
    <x v="6"/>
    <s v="VALIDATED"/>
    <n v="1"/>
    <s v="01.11.80.203.6100.0000"/>
    <n v="32.21"/>
    <s v="11"/>
    <s v="6100"/>
    <n v="-32425.63"/>
    <n v="32.2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8"/>
    <d v="2023-07-05T19:01:55"/>
    <s v="Y"/>
    <s v="Preparation - drafting statement"/>
    <s v="Non Family Hourly Rates"/>
    <s v="Profit Cost"/>
    <s v="HRL 50"/>
    <s v="Y"/>
    <n v="268.32"/>
    <n v="53.66"/>
    <x v="6"/>
    <s v="VALIDATED"/>
    <n v="1"/>
    <s v="01.11.80.203.6100.0000"/>
    <n v="268.32"/>
    <s v="11"/>
    <s v="6100"/>
    <n v="-32425.63"/>
    <n v="268.32"/>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10"/>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4"/>
    <d v="2023-07-05T19:01:55"/>
    <s v="Y"/>
    <s v="Preparation - other"/>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97"/>
    <d v="2023-07-05T19:01:55"/>
    <s v="Y"/>
    <s v="Waiting - other"/>
    <s v="Non Family Hourly Rates"/>
    <s v="Profit Cost"/>
    <s v="GLE"/>
    <s v="Y"/>
    <n v="23.94"/>
    <n v="4.79"/>
    <x v="6"/>
    <s v="VALIDATED"/>
    <n v="1"/>
    <s v="01.11.80.203.6100.0000"/>
    <n v="23.94"/>
    <s v="11"/>
    <s v="6100"/>
    <n v="-32425.63"/>
    <n v="23.94"/>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3"/>
    <d v="2023-07-05T19:01:55"/>
    <s v="Y"/>
    <s v="Preparation - drafting statement"/>
    <s v="Non Family Hourly Rates"/>
    <s v="Profit Cost"/>
    <s v="HRL"/>
    <s v="Y"/>
    <n v="35.78"/>
    <n v="7.16"/>
    <x v="6"/>
    <s v="VALIDATED"/>
    <n v="1"/>
    <s v="01.11.80.203.6100.0000"/>
    <n v="35.78"/>
    <s v="11"/>
    <s v="6100"/>
    <n v="-32425.63"/>
    <n v="35.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44"/>
    <d v="2023-07-05T19:01:55"/>
    <s v="Y"/>
    <s v="Preparation - drafting instructions"/>
    <s v="Non Family Hourly Rates"/>
    <s v="Profit Cost"/>
    <s v="HRL 50"/>
    <s v="Y"/>
    <n v="321.98"/>
    <n v="64.39"/>
    <x v="6"/>
    <s v="VALIDATED"/>
    <n v="1"/>
    <s v="01.11.80.203.6100.0000"/>
    <n v="321.98"/>
    <s v="11"/>
    <s v="6100"/>
    <n v="-32425.63"/>
    <n v="321.9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0"/>
    <d v="2023-07-05T19:01:55"/>
    <s v="Y"/>
    <s v="Preparation - other"/>
    <s v="Non Family Hourly Rates"/>
    <s v="Profit Cost"/>
    <s v="HRL 50"/>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20"/>
    <d v="2023-07-05T19:02:06"/>
    <s v="Y"/>
    <s v="Psychiatrist"/>
    <s v="VHCC"/>
    <s v="Expert Disbursement"/>
    <s v="SHL"/>
    <s v="Y"/>
    <n v="1197"/>
    <n v="0"/>
    <x v="6"/>
    <s v="VALIDATED"/>
    <n v="1"/>
    <s v="01.11.80.203.6300.0000"/>
    <n v="1197"/>
    <s v="11"/>
    <s v="6300"/>
    <n v="-32425.63"/>
    <n v="1197"/>
    <s v="DEBTOR"/>
    <n v="0"/>
    <n v="0"/>
    <n v="0"/>
    <n v="0"/>
    <n v="0"/>
  </r>
  <r>
    <n v="59677260"/>
    <s v="N"/>
    <n v="21331198"/>
    <s v="3000014052440025"/>
    <s v="CIVIL"/>
    <d v="2023-06-30T00:00:00"/>
    <d v="2023-07-05T19:01:47"/>
    <m/>
    <d v="2023-07-05T00:00:00"/>
    <n v="1878"/>
    <n v="1547"/>
    <s v="59677260"/>
    <s v="59677260"/>
    <m/>
    <m/>
    <n v="22798388"/>
    <m/>
    <m/>
    <m/>
    <s v="SOLINT"/>
    <s v="SOLINT"/>
    <s v="CCMS"/>
    <n v="21331198"/>
    <n v="5452.01"/>
    <m/>
    <s v="N"/>
    <n v="57"/>
    <d v="2023-07-05T19:02:09"/>
    <s v="Y"/>
    <s v="Item - Routine Outgoing letter"/>
    <s v="VHCC"/>
    <s v="Profit Cost"/>
    <s v="GLE"/>
    <s v="Y"/>
    <n v="459"/>
    <n v="91.79000000000001"/>
    <x v="6"/>
    <s v="VALIDATED"/>
    <n v="1"/>
    <s v="01.11.80.203.6100.0000"/>
    <n v="459"/>
    <s v="11"/>
    <s v="6100"/>
    <n v="-32425.63"/>
    <n v="45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1"/>
    <d v="2023-07-05T19:02:06"/>
    <s v="Y"/>
    <s v="Preparation - other"/>
    <s v="VHCC"/>
    <s v="Profit Cost"/>
    <s v="GLE"/>
    <s v="Y"/>
    <n v="293.36"/>
    <n v="58.67"/>
    <x v="6"/>
    <s v="VALIDATED"/>
    <n v="1"/>
    <s v="01.11.80.203.6100.0000"/>
    <n v="293.36"/>
    <s v="11"/>
    <s v="6100"/>
    <n v="-32425.63"/>
    <n v="293.36"/>
    <s v="DEBTOR"/>
    <n v="0"/>
    <n v="0"/>
    <n v="0"/>
    <n v="0"/>
    <n v="0"/>
  </r>
  <r>
    <n v="59677260"/>
    <s v="N"/>
    <n v="21331257"/>
    <s v="3000014052440026"/>
    <s v="CIVIL"/>
    <d v="2023-06-30T00:00:00"/>
    <d v="2023-07-05T19:01:47"/>
    <m/>
    <d v="2023-07-05T00:00:00"/>
    <n v="1878"/>
    <n v="1547"/>
    <s v="59677260"/>
    <s v="59677260"/>
    <m/>
    <m/>
    <n v="22798826"/>
    <m/>
    <m/>
    <m/>
    <s v="SOLINT"/>
    <s v="SOLINT"/>
    <s v="CCMS"/>
    <n v="21331257"/>
    <n v="4736.2"/>
    <m/>
    <s v="N"/>
    <n v="2"/>
    <d v="2023-07-05T19:02:12"/>
    <s v="Y"/>
    <s v="Preparation - other"/>
    <s v="VHCC"/>
    <s v="Profit Cost"/>
    <s v="GLE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35"/>
    <d v="2023-07-05T19:02:06"/>
    <s v="Y"/>
    <s v="Preparation - other"/>
    <s v="VHCC"/>
    <s v="Profit Cost"/>
    <s v="SHL"/>
    <s v="Y"/>
    <n v="64.40000000000001"/>
    <n v="12.88"/>
    <x v="6"/>
    <s v="VALIDATED"/>
    <n v="1"/>
    <s v="01.11.80.203.6100.0000"/>
    <n v="64.40000000000001"/>
    <s v="11"/>
    <s v="6100"/>
    <n v="-32425.63"/>
    <n v="64.4000000000000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49"/>
    <d v="2023-07-03T19:04:58"/>
    <s v="Y"/>
    <s v="Attendance upon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7"/>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2"/>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1"/>
    <d v="2023-07-03T19:04:58"/>
    <s v="Y"/>
    <s v="Preparation - drafting attendance n"/>
    <s v="VHCC"/>
    <s v="Profit Cost"/>
    <s v="JML"/>
    <s v="Y"/>
    <n v="21.47"/>
    <n v="4.29"/>
    <x v="3"/>
    <s v="VALIDATED"/>
    <n v="1"/>
    <s v="01.11.80.203.6100.0000"/>
    <n v="21.47"/>
    <s v="11"/>
    <s v="6100"/>
    <n v="-32425.63"/>
    <n v="21.47"/>
    <s v="DEBTOR"/>
    <n v="0"/>
    <n v="0"/>
    <n v="0"/>
    <n v="0"/>
    <n v="0"/>
  </r>
  <r>
    <n v="59773071"/>
    <s v="N"/>
    <n v="21392646"/>
    <s v="3000014124260002"/>
    <s v="CIVIL"/>
    <d v="2023-06-14T00:00:00"/>
    <d v="2023-07-18T19:00:27"/>
    <m/>
    <d v="2023-07-18T00:00:00"/>
    <n v="1878"/>
    <n v="1547"/>
    <s v="59773071"/>
    <s v="59773071"/>
    <m/>
    <m/>
    <n v="22686976"/>
    <m/>
    <m/>
    <m/>
    <s v="SOLFIN"/>
    <s v="SOLFIN"/>
    <s v="CCMS"/>
    <n v="21392646"/>
    <n v="1220.15"/>
    <m/>
    <s v="N"/>
    <n v="3"/>
    <d v="2023-07-18T19:00:56"/>
    <s v="N"/>
    <s v="Preparation - other"/>
    <s v="Non Family Hourly Rates"/>
    <s v="Profit Cost"/>
    <s v="MSK 50"/>
    <s v="N"/>
    <n v="15.06"/>
    <n v="3.01"/>
    <x v="14"/>
    <s v="VALIDATED"/>
    <n v="1"/>
    <s v="01.11.80.203.6100.0000"/>
    <n v="15.06"/>
    <s v="11"/>
    <s v="6100"/>
    <n v="-32425.63"/>
    <n v="15.0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33"/>
    <d v="2023-07-10T19:01:45"/>
    <s v="Y"/>
    <s v="Preparation - other"/>
    <s v="Care Remuneration Hourly Rates"/>
    <s v="Profit Cost"/>
    <s v="AGI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0"/>
    <d v="2023-07-10T19:01:45"/>
    <s v="Y"/>
    <s v="Preparation - other"/>
    <s v="Care Remuneration Hourly Rates"/>
    <s v="Profit Cost"/>
    <s v="AGI 30"/>
    <s v="Y"/>
    <n v="35.91"/>
    <n v="7.18"/>
    <x v="2"/>
    <s v="VALIDATED"/>
    <n v="1"/>
    <s v="01.11.80.308.6100.0000"/>
    <n v="35.91"/>
    <s v="11"/>
    <s v="6100"/>
    <n v="-32425.63"/>
    <n v="35.9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39"/>
    <d v="2023-07-10T19:02:05"/>
    <s v="Y"/>
    <s v="Preparation - drafting attendance n"/>
    <s v="Non Family Hourly Rates"/>
    <s v="Profit Cost"/>
    <s v="LG"/>
    <s v="Y"/>
    <n v="28.62"/>
    <n v="0"/>
    <x v="2"/>
    <s v="VALIDATED"/>
    <n v="1"/>
    <s v="01.11.80.203.6100.0000"/>
    <n v="28.62"/>
    <s v="11"/>
    <s v="6100"/>
    <n v="-32425.63"/>
    <n v="28.62"/>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55"/>
    <d v="2023-07-10T19:02:05"/>
    <s v="Y"/>
    <s v="Attendance upon client"/>
    <s v="Non Family Hourly Rates"/>
    <s v="Profit Cost"/>
    <s v="LG"/>
    <s v="Y"/>
    <n v="85.86"/>
    <n v="0"/>
    <x v="2"/>
    <s v="VALIDATED"/>
    <n v="1"/>
    <s v="01.11.80.203.6100.0000"/>
    <n v="85.86"/>
    <s v="11"/>
    <s v="6100"/>
    <n v="-32425.63"/>
    <n v="85.8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76"/>
    <d v="2023-07-10T19:02:05"/>
    <s v="Y"/>
    <s v="Preparation - other"/>
    <s v="Non Family Hourly Rates"/>
    <s v="Profit Cost"/>
    <s v="CB"/>
    <s v="Y"/>
    <n v="21.47"/>
    <n v="0"/>
    <x v="2"/>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5"/>
    <d v="2023-07-05T19:01:55"/>
    <s v="Y"/>
    <s v="Preparation - other"/>
    <s v="Non Family Hourly Rates"/>
    <s v="Profit Cost"/>
    <s v="HRL 50"/>
    <s v="Y"/>
    <n v="21.47"/>
    <n v="4.29"/>
    <x v="6"/>
    <s v="VALIDATED"/>
    <n v="1"/>
    <s v="01.11.80.203.6100.0000"/>
    <n v="21.47"/>
    <s v="11"/>
    <s v="6100"/>
    <n v="-32425.63"/>
    <n v="21.4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3"/>
    <d v="2023-07-05T19:01:55"/>
    <s v="Y"/>
    <s v="Attendance upon other"/>
    <s v="Non Family Hourly Rates"/>
    <s v="Profit Cost"/>
    <s v="GLE"/>
    <s v="Y"/>
    <n v="14.31"/>
    <n v="2.86"/>
    <x v="6"/>
    <s v="VALIDATED"/>
    <n v="1"/>
    <s v="01.11.80.203.6100.0000"/>
    <n v="14.31"/>
    <s v="11"/>
    <s v="6100"/>
    <n v="-32425.63"/>
    <n v="14.3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8"/>
    <d v="2023-07-05T19:01:55"/>
    <s v="Y"/>
    <s v="Preparation - other"/>
    <s v="Non Family Hourly Rates"/>
    <s v="Profit Cost"/>
    <s v="HRL 50"/>
    <s v="Y"/>
    <n v="42.93"/>
    <n v="8.59"/>
    <x v="6"/>
    <s v="VALIDATED"/>
    <n v="1"/>
    <s v="01.11.80.203.6100.0000"/>
    <n v="42.93"/>
    <s v="11"/>
    <s v="6100"/>
    <n v="-32425.63"/>
    <n v="42.93"/>
    <s v="DEBTOR"/>
    <n v="0"/>
    <n v="0"/>
    <n v="0"/>
    <n v="0"/>
    <n v="0"/>
  </r>
  <r>
    <n v="62207718"/>
    <s v="N"/>
    <n v="21338458"/>
    <s v="3000016212270001"/>
    <s v="CIVIL"/>
    <d v="2023-06-28T00:00:00"/>
    <d v="2023-07-06T19:21:01"/>
    <m/>
    <d v="2023-07-06T00:00:00"/>
    <n v="1878"/>
    <n v="1547"/>
    <s v="62207718"/>
    <s v="62207718"/>
    <m/>
    <m/>
    <n v="22776014"/>
    <m/>
    <m/>
    <m/>
    <s v="SOLFIN"/>
    <s v="SOLFIN"/>
    <s v="CCMS"/>
    <n v="21338458"/>
    <n v="3530.54"/>
    <m/>
    <s v="N"/>
    <n v="50"/>
    <d v="2023-07-06T19:21:25"/>
    <s v="Y"/>
    <s v="Final Hearing - 1 Day"/>
    <s v="Other Public Law Children"/>
    <s v="Advocacy"/>
    <s v="NBS"/>
    <s v="Y"/>
    <n v="638.4400000000001"/>
    <n v="127.66"/>
    <x v="4"/>
    <s v="VALIDATED"/>
    <n v="1"/>
    <s v="01.11.80.308.6100.0000"/>
    <n v="638.4400000000001"/>
    <s v="11"/>
    <s v="6100"/>
    <n v="-32425.63"/>
    <n v="638.440000000000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4"/>
    <d v="2023-07-05T19:02:09"/>
    <s v="Y"/>
    <s v="Preparation - other"/>
    <s v="VHCC"/>
    <s v="Profit Cost"/>
    <s v="GLE 60"/>
    <s v="Y"/>
    <n v="80.14"/>
    <n v="16.03"/>
    <x v="6"/>
    <s v="VALIDATED"/>
    <n v="1"/>
    <s v="01.11.80.203.6100.0000"/>
    <n v="80.14"/>
    <s v="11"/>
    <s v="6100"/>
    <n v="-32425.63"/>
    <n v="80.1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39"/>
    <d v="2023-07-05T19:02:06"/>
    <s v="Y"/>
    <s v="Preparation - other"/>
    <s v="VHCC"/>
    <s v="Profit Cost"/>
    <s v="SHL"/>
    <s v="Y"/>
    <n v="21.47"/>
    <n v="4.29"/>
    <x v="6"/>
    <s v="VALIDATED"/>
    <n v="1"/>
    <s v="01.11.80.203.6100.0000"/>
    <n v="21.47"/>
    <s v="11"/>
    <s v="6100"/>
    <n v="-32425.63"/>
    <n v="21.47"/>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94"/>
    <d v="2023-07-05T19:02:06"/>
    <s v="Y"/>
    <s v="Attendance upon court with counsel"/>
    <s v="VHCC"/>
    <s v="Profit Cost"/>
    <s v="GLE"/>
    <s v="Y"/>
    <n v="43.29"/>
    <n v="8.66"/>
    <x v="6"/>
    <s v="VALIDATED"/>
    <n v="1"/>
    <s v="01.11.80.203.6100.0000"/>
    <n v="43.29"/>
    <s v="11"/>
    <s v="6100"/>
    <n v="-32425.63"/>
    <n v="43.29"/>
    <s v="DEBTOR"/>
    <n v="0"/>
    <n v="0"/>
    <n v="0"/>
    <n v="0"/>
    <n v="0"/>
  </r>
  <r>
    <n v="59677260"/>
    <s v="N"/>
    <n v="21331257"/>
    <s v="3000014052440026"/>
    <s v="CIVIL"/>
    <d v="2023-06-30T00:00:00"/>
    <d v="2023-07-05T19:01:47"/>
    <m/>
    <d v="2023-07-05T00:00:00"/>
    <n v="1878"/>
    <n v="1547"/>
    <s v="59677260"/>
    <s v="59677260"/>
    <m/>
    <m/>
    <n v="22798826"/>
    <m/>
    <m/>
    <m/>
    <s v="SOLINT"/>
    <s v="SOLINT"/>
    <s v="CCMS"/>
    <n v="21331257"/>
    <n v="4736.2"/>
    <m/>
    <s v="N"/>
    <n v="30"/>
    <d v="2023-07-05T19:02:12"/>
    <s v="Y"/>
    <s v="Preparation - drafting attendance n"/>
    <s v="VHCC"/>
    <s v="Profit Cost"/>
    <s v="GLE 60"/>
    <s v="Y"/>
    <n v="148.82"/>
    <n v="29.76"/>
    <x v="6"/>
    <s v="VALIDATED"/>
    <n v="1"/>
    <s v="01.11.80.203.6100.0000"/>
    <n v="148.82"/>
    <s v="11"/>
    <s v="6100"/>
    <n v="-32425.63"/>
    <n v="148.8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
    <d v="2023-07-05T19:02:06"/>
    <s v="N"/>
    <s v="Preparation - drafting application"/>
    <s v="VHCC"/>
    <s v="Profit Cost"/>
    <s v="CBD"/>
    <s v="N"/>
    <n v="0.22"/>
    <n v="0.04"/>
    <x v="6"/>
    <s v="VALIDATED"/>
    <n v="1"/>
    <s v="01.11.80.203.6100.0000"/>
    <n v="0.22"/>
    <s v="11"/>
    <s v="6100"/>
    <n v="-32425.63"/>
    <n v="0.2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217"/>
    <d v="2023-07-05T19:02:06"/>
    <s v="Y"/>
    <s v="Item - Routine Telephone Call"/>
    <s v="VHCC"/>
    <s v="Profit Cost"/>
    <s v="GLE"/>
    <s v="Y"/>
    <n v="254.32"/>
    <n v="50.87"/>
    <x v="6"/>
    <s v="VALIDATED"/>
    <n v="1"/>
    <s v="01.11.80.203.6100.0000"/>
    <n v="254.32"/>
    <s v="11"/>
    <s v="6100"/>
    <n v="-32425.63"/>
    <n v="254.3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40"/>
    <d v="2023-07-05T19:02:06"/>
    <s v="Y"/>
    <s v="Preparation - drafting statement"/>
    <s v="VHCC"/>
    <s v="Profit Cost"/>
    <s v="SHL 60"/>
    <s v="Y"/>
    <n v="22.9"/>
    <n v="4.58"/>
    <x v="6"/>
    <s v="VALIDATED"/>
    <n v="1"/>
    <s v="01.11.80.203.6100.0000"/>
    <n v="22.9"/>
    <s v="11"/>
    <s v="6100"/>
    <n v="-32425.63"/>
    <n v="22.9"/>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72"/>
    <d v="2023-07-05T19:01:55"/>
    <s v="Y"/>
    <s v="Advocacy - In court behind Counsel"/>
    <s v="Non Family Hourly Rates"/>
    <s v="Advocacy"/>
    <s v="HRL"/>
    <s v="Y"/>
    <n v="33.3"/>
    <n v="6.66"/>
    <x v="6"/>
    <s v="VALIDATED"/>
    <n v="1"/>
    <s v="01.11.80.203.6100.0000"/>
    <n v="33.3"/>
    <s v="11"/>
    <s v="6100"/>
    <n v="-32425.63"/>
    <n v="33.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5"/>
    <d v="2023-07-03T19:04:58"/>
    <s v="Y"/>
    <s v="Attendance upon client"/>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5"/>
    <d v="2023-07-03T19:04:58"/>
    <s v="Y"/>
    <s v="Preparation - other"/>
    <s v="VHCC"/>
    <s v="Profit Cost"/>
    <s v="JML 65"/>
    <s v="Y"/>
    <n v="23.61"/>
    <n v="4.72"/>
    <x v="3"/>
    <s v="VALIDATED"/>
    <n v="1"/>
    <s v="01.11.80.203.6100.0000"/>
    <n v="23.61"/>
    <s v="11"/>
    <s v="6100"/>
    <n v="-32425.63"/>
    <n v="23.6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7"/>
    <d v="2023-07-03T19:04:58"/>
    <s v="Y"/>
    <s v="Preparation - other"/>
    <s v="VHCC"/>
    <s v="Profit Cost"/>
    <s v="JML 65"/>
    <s v="Y"/>
    <n v="47.22"/>
    <n v="9.44"/>
    <x v="3"/>
    <s v="VALIDATED"/>
    <n v="1"/>
    <s v="01.11.80.203.6100.0000"/>
    <n v="47.22"/>
    <s v="11"/>
    <s v="6100"/>
    <n v="-32425.63"/>
    <n v="47.2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82"/>
    <d v="2023-07-03T19:04:58"/>
    <s v="Y"/>
    <s v="Preparation - drafting attendance n"/>
    <s v="VHCC"/>
    <s v="Profit Cost"/>
    <s v="LGR"/>
    <s v="Y"/>
    <n v="7.16"/>
    <n v="1.43"/>
    <x v="3"/>
    <s v="VALIDATED"/>
    <n v="1"/>
    <s v="01.11.80.203.6100.0000"/>
    <n v="7.16"/>
    <s v="11"/>
    <s v="6100"/>
    <n v="-32425.63"/>
    <n v="7.16"/>
    <s v="DEBTOR"/>
    <n v="0"/>
    <n v="0"/>
    <n v="0"/>
    <n v="0"/>
    <n v="0"/>
  </r>
  <r>
    <n v="16166207"/>
    <s v="N"/>
    <n v="21321180"/>
    <s v="3000007747490020"/>
    <s v="CIVIL"/>
    <d v="2023-06-28T00:00:00"/>
    <d v="2023-07-03T19:04:52"/>
    <m/>
    <d v="2023-07-03T00:00:00"/>
    <n v="1878"/>
    <n v="1547"/>
    <s v="16166207"/>
    <s v="16166207"/>
    <m/>
    <m/>
    <n v="22782544"/>
    <m/>
    <m/>
    <m/>
    <s v="SOLINT"/>
    <s v="SOLINT"/>
    <s v="CCMS"/>
    <n v="21321180"/>
    <n v="6169.98"/>
    <m/>
    <s v="N"/>
    <n v="80"/>
    <d v="2023-07-03T19:04:58"/>
    <s v="Y"/>
    <s v="Preparation - other"/>
    <s v="VHCC"/>
    <s v="Profit Cost"/>
    <s v="JML 65"/>
    <s v="Y"/>
    <n v="11.81"/>
    <n v="2.36"/>
    <x v="3"/>
    <s v="VALIDATED"/>
    <n v="1"/>
    <s v="01.11.80.203.6100.0000"/>
    <n v="11.81"/>
    <s v="11"/>
    <s v="6100"/>
    <n v="-32425.63"/>
    <n v="11.81"/>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6"/>
    <d v="2023-07-03T19:04:58"/>
    <s v="Y"/>
    <s v="Solicitor Travel Expenses"/>
    <s v="VHCC"/>
    <s v="Non Expert Disbursement"/>
    <s v="JML"/>
    <s v="Y"/>
    <n v="26.3"/>
    <n v="5.26"/>
    <x v="3"/>
    <s v="VALIDATED"/>
    <n v="1"/>
    <s v="01.11.80.203.6300.0000"/>
    <n v="26.3"/>
    <s v="11"/>
    <s v="6300"/>
    <n v="-32425.63"/>
    <n v="26.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4"/>
    <d v="2023-07-03T19:04:58"/>
    <s v="Y"/>
    <s v="Preparation - drafting application"/>
    <s v="VHCC"/>
    <s v="Profit Cost"/>
    <s v="JML"/>
    <s v="Y"/>
    <n v="35.78"/>
    <n v="7.16"/>
    <x v="3"/>
    <s v="VALIDATED"/>
    <n v="1"/>
    <s v="01.11.80.203.6100.0000"/>
    <n v="35.78"/>
    <s v="11"/>
    <s v="6100"/>
    <n v="-32425.63"/>
    <n v="35.78"/>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
    <d v="2023-07-03T19:04:58"/>
    <s v="Y"/>
    <s v="Attendance upon other"/>
    <s v="VHCC"/>
    <s v="Profit Cost"/>
    <s v="JML 65"/>
    <s v="Y"/>
    <n v="23.61"/>
    <n v="4.72"/>
    <x v="3"/>
    <s v="VALIDATED"/>
    <n v="1"/>
    <s v="01.11.80.203.6100.0000"/>
    <n v="23.61"/>
    <s v="11"/>
    <s v="6100"/>
    <n v="-32425.63"/>
    <n v="23.61"/>
    <s v="DEBTOR"/>
    <n v="0"/>
    <n v="0"/>
    <n v="0"/>
    <n v="0"/>
    <n v="0"/>
  </r>
  <r>
    <n v="8733210"/>
    <s v="N"/>
    <n v="21403533"/>
    <s v="3000004746670021"/>
    <s v="CIVIL"/>
    <d v="2023-06-06T00:00:00"/>
    <d v="2023-07-20T19:22:20"/>
    <m/>
    <d v="2023-07-20T00:00:00"/>
    <n v="1878"/>
    <n v="1547"/>
    <s v="8733210"/>
    <s v="8733210"/>
    <m/>
    <m/>
    <n v="22629506"/>
    <m/>
    <m/>
    <m/>
    <s v="SOLFIN"/>
    <s v="SOLFIN"/>
    <s v="CCMS"/>
    <n v="21403533"/>
    <n v="4211.9"/>
    <m/>
    <s v="N"/>
    <n v="19"/>
    <d v="2023-07-20T19:22:42"/>
    <s v="Y"/>
    <s v="Preparation - drafting bill/claim f"/>
    <s v="Non Family Hourly Rates"/>
    <s v="Profit Cost"/>
    <s v="ESL"/>
    <s v="Y"/>
    <n v="12.6"/>
    <n v="2.52"/>
    <x v="13"/>
    <s v="VALIDATED"/>
    <n v="1"/>
    <s v="01.11.80.201.6100.0000"/>
    <n v="12.6"/>
    <s v="11"/>
    <s v="6100"/>
    <n v="-32425.63"/>
    <n v="12.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67"/>
    <d v="2023-07-10T19:01:45"/>
    <s v="Y"/>
    <s v="Preparation - other"/>
    <s v="Care Remuneration Hourly Rates"/>
    <s v="Profit Cost"/>
    <s v="LD"/>
    <s v="Y"/>
    <n v="16.57"/>
    <n v="3.31"/>
    <x v="2"/>
    <s v="VALIDATED"/>
    <n v="1"/>
    <s v="01.11.80.308.6100.0000"/>
    <n v="16.57"/>
    <s v="11"/>
    <s v="6100"/>
    <n v="-32425.63"/>
    <n v="16.5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81"/>
    <d v="2023-07-10T19:02:05"/>
    <s v="Y"/>
    <s v="Preparation - drafting bill/claim f"/>
    <s v="Non Family Hourly Rates"/>
    <s v="Profit Cost"/>
    <s v="TMC"/>
    <s v="Y"/>
    <n v="715.5"/>
    <n v="0"/>
    <x v="2"/>
    <s v="VALIDATED"/>
    <n v="1"/>
    <s v="01.11.80.203.6100.0000"/>
    <n v="715.5"/>
    <s v="11"/>
    <s v="6100"/>
    <n v="-32425.63"/>
    <n v="715.5"/>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27"/>
    <d v="2023-07-10T19:02:05"/>
    <s v="Y"/>
    <s v="Preparation - other"/>
    <s v="Non Family Hourly Rates"/>
    <s v="Profit Cost"/>
    <s v="CB"/>
    <s v="Y"/>
    <n v="53.67"/>
    <n v="0"/>
    <x v="2"/>
    <s v="VALIDATED"/>
    <n v="1"/>
    <s v="01.11.80.203.6100.0000"/>
    <n v="53.67"/>
    <s v="11"/>
    <s v="6100"/>
    <n v="-32425.63"/>
    <n v="53.67"/>
    <s v="DEBTOR"/>
    <n v="0"/>
    <n v="0"/>
    <n v="0"/>
    <n v="0"/>
    <n v="0"/>
  </r>
  <r>
    <n v="62505835"/>
    <s v="N"/>
    <n v="21349453"/>
    <s v="3000016462370001"/>
    <s v="CIVIL"/>
    <d v="2023-06-29T00:00:00"/>
    <d v="2023-07-10T19:01:40"/>
    <m/>
    <d v="2023-07-10T00:00:00"/>
    <n v="1878"/>
    <n v="1547"/>
    <s v="62505835"/>
    <s v="62505835"/>
    <m/>
    <m/>
    <n v="22788222"/>
    <m/>
    <m/>
    <m/>
    <s v="SOLFIN"/>
    <s v="SOLFIN"/>
    <s v="CCMS"/>
    <n v="21349453"/>
    <n v="1212.58"/>
    <m/>
    <s v="N"/>
    <n v="3"/>
    <d v="2023-07-10T19:01:50"/>
    <s v="Y"/>
    <s v="Preparation - drafting bill/claim f"/>
    <s v="Care Remuneration Hourly Rates"/>
    <s v="Profit Cost"/>
    <s v="CD"/>
    <s v="Y"/>
    <n v="18.41"/>
    <n v="3.68"/>
    <x v="2"/>
    <s v="VALIDATED"/>
    <n v="1"/>
    <s v="01.11.80.308.6100.0000"/>
    <n v="18.41"/>
    <s v="11"/>
    <s v="6100"/>
    <n v="-32425.63"/>
    <n v="18.41"/>
    <s v="DEBTOR"/>
    <n v="0"/>
    <n v="0"/>
    <n v="0"/>
    <n v="0"/>
    <n v="0"/>
  </r>
  <r>
    <n v="62207718"/>
    <s v="N"/>
    <n v="21338458"/>
    <s v="3000016212270001"/>
    <s v="CIVIL"/>
    <d v="2023-06-28T00:00:00"/>
    <d v="2023-07-06T19:21:01"/>
    <m/>
    <d v="2023-07-06T00:00:00"/>
    <n v="1878"/>
    <n v="1547"/>
    <s v="62207718"/>
    <s v="62207718"/>
    <m/>
    <m/>
    <n v="22776014"/>
    <m/>
    <m/>
    <m/>
    <s v="SOLFIN"/>
    <s v="SOLFIN"/>
    <s v="CCMS"/>
    <n v="21338458"/>
    <n v="3530.54"/>
    <m/>
    <s v="N"/>
    <n v="35"/>
    <d v="2023-07-06T19:21:25"/>
    <s v="Y"/>
    <s v="Attendance upon client"/>
    <s v="Care Remuneration Hourly Rates"/>
    <s v="Profit Cost"/>
    <s v="NBS 25"/>
    <s v="Y"/>
    <n v="23.01"/>
    <n v="4.6"/>
    <x v="4"/>
    <s v="VALIDATED"/>
    <n v="1"/>
    <s v="01.11.80.308.6100.0000"/>
    <n v="23.01"/>
    <s v="11"/>
    <s v="6100"/>
    <n v="-32425.63"/>
    <n v="23.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7"/>
    <d v="2023-07-05T19:01:55"/>
    <s v="Y"/>
    <s v="Preparation - drafting pleadings"/>
    <s v="Non Family Hourly Rates"/>
    <s v="Profit Cost"/>
    <s v="HRL 50"/>
    <s v="Y"/>
    <n v="182.46"/>
    <n v="36.49"/>
    <x v="6"/>
    <s v="VALIDATED"/>
    <n v="1"/>
    <s v="01.11.80.203.6100.0000"/>
    <n v="182.46"/>
    <s v="11"/>
    <s v="6100"/>
    <n v="-32425.63"/>
    <n v="182.4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6"/>
    <d v="2023-07-05T19:01:55"/>
    <s v="Y"/>
    <s v="Preparation - other"/>
    <s v="Non Family Hourly Rates"/>
    <s v="Profit Cost"/>
    <s v="HRL 50"/>
    <s v="Y"/>
    <n v="85.86"/>
    <n v="17.17"/>
    <x v="6"/>
    <s v="VALIDATED"/>
    <n v="1"/>
    <s v="01.11.80.203.6100.0000"/>
    <n v="85.86"/>
    <s v="11"/>
    <s v="6100"/>
    <n v="-32425.63"/>
    <n v="85.86"/>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30"/>
    <d v="2023-07-05T19:01:55"/>
    <s v="Y"/>
    <s v="Preparation - other"/>
    <s v="Non Family Hourly Rates"/>
    <s v="Profit Cost"/>
    <s v="HRL 50"/>
    <s v="Y"/>
    <n v="32.21"/>
    <n v="6.44"/>
    <x v="6"/>
    <s v="VALIDATED"/>
    <n v="1"/>
    <s v="01.11.80.203.6100.0000"/>
    <n v="32.21"/>
    <s v="11"/>
    <s v="6100"/>
    <n v="-32425.63"/>
    <n v="32.2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
    <d v="2023-07-05T19:02:09"/>
    <s v="Y"/>
    <s v="Preparation - other"/>
    <s v="VHCC"/>
    <s v="Profit Cost"/>
    <s v="SHL 60"/>
    <s v="Y"/>
    <n v="22.9"/>
    <n v="4.58"/>
    <x v="6"/>
    <s v="VALIDATED"/>
    <n v="1"/>
    <s v="01.11.80.203.6100.0000"/>
    <n v="22.9"/>
    <s v="11"/>
    <s v="6100"/>
    <n v="-32425.63"/>
    <n v="22.9"/>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97"/>
    <d v="2023-07-05T19:02:06"/>
    <s v="Y"/>
    <s v="Preparation - other"/>
    <s v="VHCC"/>
    <s v="Profit Cost"/>
    <s v="SHL"/>
    <s v="Y"/>
    <n v="14.31"/>
    <n v="2.86"/>
    <x v="6"/>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8"/>
    <d v="2023-07-03T19:04:58"/>
    <s v="Y"/>
    <s v="Attendance upon client"/>
    <s v="VHCC"/>
    <s v="Profit Cost"/>
    <s v="JML 65"/>
    <s v="Y"/>
    <n v="35.42"/>
    <n v="7.08"/>
    <x v="3"/>
    <s v="VALIDATED"/>
    <n v="1"/>
    <s v="01.11.80.203.6100.0000"/>
    <n v="35.42"/>
    <s v="11"/>
    <s v="6100"/>
    <n v="-32425.63"/>
    <n v="35.42"/>
    <s v="DEBTOR"/>
    <n v="0"/>
    <n v="0"/>
    <n v="0"/>
    <n v="0"/>
    <n v="0"/>
  </r>
  <r>
    <n v="61742173"/>
    <s v="N"/>
    <n v="21319086"/>
    <s v="3000015815100003"/>
    <s v="CIVIL"/>
    <d v="2023-06-23T00:00:00"/>
    <d v="2023-07-03T19:01:49"/>
    <m/>
    <d v="2023-07-03T00:00:00"/>
    <n v="1878"/>
    <n v="1547"/>
    <s v="61742173"/>
    <s v="61742173"/>
    <m/>
    <m/>
    <n v="22750850"/>
    <m/>
    <m/>
    <m/>
    <s v="SOLFIN"/>
    <s v="SOLFIN"/>
    <s v="CCMS"/>
    <n v="21319086"/>
    <n v="5246"/>
    <m/>
    <s v="N"/>
    <n v="9"/>
    <d v="2023-07-03T19:02:10"/>
    <s v="Y"/>
    <s v="Preparation - drafting notice(s)"/>
    <s v="Prescribed Hourly Rates"/>
    <s v="Profit Cost"/>
    <s v="HHS"/>
    <s v="Y"/>
    <n v="5.94"/>
    <n v="1.19"/>
    <x v="3"/>
    <s v="VALIDATED"/>
    <n v="1"/>
    <s v="01.11.80.305.6100.0000"/>
    <n v="5.94"/>
    <s v="11"/>
    <s v="6100"/>
    <n v="-32425.63"/>
    <n v="5.94"/>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57"/>
    <d v="2023-07-03T19:04:58"/>
    <s v="Y"/>
    <s v="Preparation - other"/>
    <s v="VHCC"/>
    <s v="Profit Cost"/>
    <s v="JML 65"/>
    <s v="Y"/>
    <n v="35.42"/>
    <n v="7.08"/>
    <x v="3"/>
    <s v="VALIDATED"/>
    <n v="1"/>
    <s v="01.11.80.203.6100.0000"/>
    <n v="35.42"/>
    <s v="11"/>
    <s v="6100"/>
    <n v="-32425.63"/>
    <n v="35.42"/>
    <s v="DEBTOR"/>
    <n v="0"/>
    <n v="0"/>
    <n v="0"/>
    <n v="0"/>
    <n v="0"/>
  </r>
  <r>
    <n v="16166207"/>
    <s v="N"/>
    <n v="21321178"/>
    <s v="3000007747490019"/>
    <s v="CIVIL"/>
    <d v="2023-06-28T00:00:00"/>
    <d v="2023-07-03T19:04:52"/>
    <m/>
    <d v="2023-07-03T00:00:00"/>
    <n v="1878"/>
    <n v="1547"/>
    <s v="16166207"/>
    <s v="16166207"/>
    <m/>
    <m/>
    <n v="22782596"/>
    <m/>
    <m/>
    <m/>
    <s v="SOLINT"/>
    <s v="SOLINT"/>
    <s v="CCMS"/>
    <n v="21321178"/>
    <n v="20367.6"/>
    <m/>
    <s v="N"/>
    <n v="35"/>
    <d v="2023-07-03T19:04:58"/>
    <s v="Y"/>
    <s v="Preparation - other"/>
    <s v="VHCC"/>
    <s v="Profit Cost"/>
    <s v="JML"/>
    <s v="Y"/>
    <n v="14.31"/>
    <n v="2.86"/>
    <x v="3"/>
    <s v="VALIDATED"/>
    <n v="1"/>
    <s v="01.11.80.203.6100.0000"/>
    <n v="14.31"/>
    <s v="11"/>
    <s v="6100"/>
    <n v="-32425.63"/>
    <n v="14.3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55"/>
    <d v="2023-07-03T19:04:58"/>
    <s v="Y"/>
    <s v="Preparation - drafting instructions"/>
    <s v="VHCC"/>
    <s v="Profit Cost"/>
    <s v="JML 65"/>
    <s v="Y"/>
    <n v="94.45"/>
    <n v="18.89"/>
    <x v="3"/>
    <s v="VALIDATED"/>
    <n v="1"/>
    <s v="01.11.80.203.6100.0000"/>
    <n v="94.45"/>
    <s v="11"/>
    <s v="6100"/>
    <n v="-32425.63"/>
    <n v="94.45"/>
    <s v="DEBTOR"/>
    <n v="0"/>
    <n v="0"/>
    <n v="0"/>
    <n v="0"/>
    <n v="0"/>
  </r>
  <r>
    <n v="16166207"/>
    <s v="N"/>
    <n v="21321178"/>
    <s v="3000007747490019"/>
    <s v="CIVIL"/>
    <d v="2023-06-28T00:00:00"/>
    <d v="2023-07-03T19:04:52"/>
    <m/>
    <d v="2023-07-03T00:00:00"/>
    <n v="1878"/>
    <n v="1547"/>
    <s v="16166207"/>
    <s v="16166207"/>
    <m/>
    <m/>
    <n v="22782596"/>
    <m/>
    <m/>
    <m/>
    <s v="SOLINT"/>
    <s v="SOLINT"/>
    <s v="CCMS"/>
    <n v="21321178"/>
    <n v="20367.6"/>
    <m/>
    <s v="N"/>
    <n v="191"/>
    <d v="2023-07-03T19:04:58"/>
    <s v="Y"/>
    <s v="Preparation - other"/>
    <s v="VHCC"/>
    <s v="Profit Cost"/>
    <s v="JML 65"/>
    <s v="Y"/>
    <n v="11.81"/>
    <n v="2.36"/>
    <x v="3"/>
    <s v="VALIDATED"/>
    <n v="1"/>
    <s v="01.11.80.203.6100.0000"/>
    <n v="11.81"/>
    <s v="11"/>
    <s v="6100"/>
    <n v="-32425.63"/>
    <n v="11.81"/>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05"/>
    <d v="2023-07-03T19:04:58"/>
    <s v="Y"/>
    <s v="Preparation - other"/>
    <s v="VHCC"/>
    <s v="Profit Cost"/>
    <s v="JML 65"/>
    <s v="Y"/>
    <n v="59.03"/>
    <n v="11.8"/>
    <x v="3"/>
    <s v="VALIDATED"/>
    <n v="1"/>
    <s v="01.11.80.203.6100.0000"/>
    <n v="59.03"/>
    <s v="11"/>
    <s v="6100"/>
    <n v="-32425.63"/>
    <n v="59.03"/>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16"/>
    <d v="2023-07-03T19:04:58"/>
    <s v="Y"/>
    <s v="Preparation - drafting statement"/>
    <s v="VHCC"/>
    <s v="Profit Cost"/>
    <s v="JML 65"/>
    <s v="Y"/>
    <n v="70.84"/>
    <n v="14.17"/>
    <x v="3"/>
    <s v="VALIDATED"/>
    <n v="1"/>
    <s v="01.11.80.203.6100.0000"/>
    <n v="70.84"/>
    <s v="11"/>
    <s v="6100"/>
    <n v="-32425.63"/>
    <n v="70.84"/>
    <s v="DEBTOR"/>
    <n v="0"/>
    <n v="0"/>
    <n v="0"/>
    <n v="0"/>
    <n v="0"/>
  </r>
  <r>
    <n v="16166207"/>
    <s v="N"/>
    <n v="21321180"/>
    <s v="3000007747490020"/>
    <s v="CIVIL"/>
    <d v="2023-06-28T00:00:00"/>
    <d v="2023-07-03T19:04:52"/>
    <m/>
    <d v="2023-07-03T00:00:00"/>
    <n v="1878"/>
    <n v="1547"/>
    <s v="16166207"/>
    <s v="16166207"/>
    <m/>
    <m/>
    <n v="22782544"/>
    <m/>
    <m/>
    <m/>
    <s v="SOLINT"/>
    <s v="SOLINT"/>
    <s v="CCMS"/>
    <n v="21321180"/>
    <n v="6169.98"/>
    <m/>
    <s v="N"/>
    <n v="90"/>
    <d v="2023-07-03T19:04:58"/>
    <s v="Y"/>
    <s v="Preparation - other"/>
    <s v="VHCC"/>
    <s v="Profit Cost"/>
    <s v="MJS 65"/>
    <s v="Y"/>
    <n v="11.81"/>
    <n v="2.36"/>
    <x v="3"/>
    <s v="VALIDATED"/>
    <n v="1"/>
    <s v="01.11.80.203.6100.0000"/>
    <n v="11.81"/>
    <s v="11"/>
    <s v="6100"/>
    <n v="-32425.63"/>
    <n v="11.81"/>
    <s v="DEBTOR"/>
    <n v="0"/>
    <n v="0"/>
    <n v="0"/>
    <n v="0"/>
    <n v="0"/>
  </r>
  <r>
    <n v="16166207"/>
    <s v="N"/>
    <n v="21324574"/>
    <s v="3000007747490006RC"/>
    <s v="CIVIL"/>
    <d v="2023-06-28T00:00:00"/>
    <d v="2023-07-03T19:42:50"/>
    <m/>
    <d v="2023-07-03T00:00:00"/>
    <n v="1878"/>
    <n v="1547"/>
    <s v="16166207"/>
    <s v="16166207"/>
    <m/>
    <m/>
    <m/>
    <m/>
    <m/>
    <m/>
    <s v="SOLRECOUP"/>
    <s v="SOLRECOUP"/>
    <s v="POARECOUP"/>
    <n v="21324574"/>
    <n v="-3178.49"/>
    <m/>
    <s v="Y"/>
    <n v="2"/>
    <d v="2023-07-03T19:42:52"/>
    <s v="N"/>
    <m/>
    <m/>
    <s v="Profit Cost"/>
    <m/>
    <s v="N"/>
    <n v="0"/>
    <n v="-529.75"/>
    <x v="3"/>
    <s v="VALIDATED"/>
    <n v="1"/>
    <s v="01.11.80.203.2013.0000"/>
    <n v="-529.75"/>
    <s v="11"/>
    <s v="2013"/>
    <n v="-32425.63"/>
    <n v="-529.75"/>
    <s v="DEBTOR"/>
    <n v="0"/>
    <n v="0"/>
    <n v="0"/>
    <n v="0"/>
    <n v="0"/>
  </r>
  <r>
    <n v="16166207"/>
    <s v="N"/>
    <n v="21324575"/>
    <s v="3000007747490005RC"/>
    <s v="CIVIL"/>
    <d v="2023-06-28T00:00:00"/>
    <d v="2023-07-03T19:42:50"/>
    <m/>
    <d v="2023-07-03T00:00:00"/>
    <n v="1878"/>
    <n v="1547"/>
    <s v="16166207"/>
    <s v="16166207"/>
    <m/>
    <m/>
    <m/>
    <m/>
    <m/>
    <m/>
    <s v="SOLRECOUP"/>
    <s v="SOLRECOUP"/>
    <s v="POARECOUP"/>
    <n v="21324575"/>
    <n v="-810"/>
    <m/>
    <s v="Y"/>
    <n v="1"/>
    <d v="2023-07-03T19:42:52"/>
    <s v="N"/>
    <m/>
    <m/>
    <s v="Expert Disbursement"/>
    <m/>
    <s v="N"/>
    <n v="-675"/>
    <n v="0"/>
    <x v="3"/>
    <s v="VALIDATED"/>
    <n v="1"/>
    <s v="01.11.80.203.2013.0000"/>
    <n v="-675"/>
    <s v="11"/>
    <s v="2013"/>
    <n v="-32425.63"/>
    <n v="-675"/>
    <s v="DEBTOR"/>
    <n v="0"/>
    <n v="0"/>
    <n v="0"/>
    <n v="0"/>
    <n v="0"/>
  </r>
  <r>
    <n v="16166207"/>
    <s v="N"/>
    <n v="21324575"/>
    <s v="3000007747490005RC"/>
    <s v="CIVIL"/>
    <d v="2023-06-28T00:00:00"/>
    <d v="2023-07-03T19:42:50"/>
    <m/>
    <d v="2023-07-03T00:00:00"/>
    <n v="1878"/>
    <n v="1547"/>
    <s v="16166207"/>
    <s v="16166207"/>
    <m/>
    <m/>
    <m/>
    <m/>
    <m/>
    <m/>
    <s v="SOLRECOUP"/>
    <s v="SOLRECOUP"/>
    <s v="POARECOUP"/>
    <n v="21324575"/>
    <n v="-810"/>
    <m/>
    <s v="Y"/>
    <n v="2"/>
    <d v="2023-07-03T19:42:52"/>
    <s v="N"/>
    <m/>
    <m/>
    <s v="Expert Disbursement"/>
    <m/>
    <s v="N"/>
    <n v="0"/>
    <n v="-135"/>
    <x v="3"/>
    <s v="VALIDATED"/>
    <n v="1"/>
    <s v="01.11.80.203.2013.0000"/>
    <n v="-135"/>
    <s v="11"/>
    <s v="2013"/>
    <n v="-32425.63"/>
    <n v="-135"/>
    <s v="DEBTOR"/>
    <n v="0"/>
    <n v="0"/>
    <n v="0"/>
    <n v="0"/>
    <n v="0"/>
  </r>
  <r>
    <n v="16166207"/>
    <s v="N"/>
    <n v="21324576"/>
    <s v="3000007747490016RC"/>
    <s v="CIVIL"/>
    <d v="2023-06-28T00:00:00"/>
    <d v="2023-07-03T19:42:50"/>
    <m/>
    <d v="2023-07-03T00:00:00"/>
    <n v="1878"/>
    <n v="1547"/>
    <s v="16166207"/>
    <s v="16166207"/>
    <m/>
    <m/>
    <m/>
    <m/>
    <m/>
    <m/>
    <s v="SOLRECOUP"/>
    <s v="SOLRECOUP"/>
    <s v="POARECOUP"/>
    <n v="21324576"/>
    <n v="-26.3"/>
    <m/>
    <s v="Y"/>
    <n v="1"/>
    <d v="2023-07-03T19:42:52"/>
    <s v="N"/>
    <m/>
    <m/>
    <s v="Non Expert Disbursement"/>
    <m/>
    <s v="N"/>
    <n v="-26.3"/>
    <n v="0"/>
    <x v="3"/>
    <s v="VALIDATED"/>
    <n v="1"/>
    <s v="01.11.80.203.2013.0000"/>
    <n v="-26.3"/>
    <s v="11"/>
    <s v="2013"/>
    <n v="-32425.63"/>
    <n v="-26.3"/>
    <s v="DEBTOR"/>
    <n v="0"/>
    <n v="0"/>
    <n v="0"/>
    <n v="0"/>
    <n v="0"/>
  </r>
  <r>
    <n v="8733210"/>
    <s v="N"/>
    <n v="21403533"/>
    <s v="3000004746670021"/>
    <s v="CIVIL"/>
    <d v="2023-06-06T00:00:00"/>
    <d v="2023-07-20T19:22:20"/>
    <m/>
    <d v="2023-07-20T00:00:00"/>
    <n v="1878"/>
    <n v="1547"/>
    <s v="8733210"/>
    <s v="8733210"/>
    <m/>
    <m/>
    <n v="22629506"/>
    <m/>
    <m/>
    <m/>
    <s v="SOLFIN"/>
    <s v="SOLFIN"/>
    <s v="CCMS"/>
    <n v="21403533"/>
    <n v="4211.9"/>
    <m/>
    <s v="N"/>
    <n v="3"/>
    <d v="2023-07-20T19:22:42"/>
    <s v="N"/>
    <s v="Court Fee"/>
    <s v="Non Family Hourly Rates"/>
    <s v="Non Expert Disbursement"/>
    <s v="XXX"/>
    <s v="N"/>
    <n v="100"/>
    <n v="0"/>
    <x v="13"/>
    <s v="VALIDATED"/>
    <n v="1"/>
    <s v="01.11.80.201.6300.0000"/>
    <n v="100"/>
    <s v="11"/>
    <s v="6300"/>
    <n v="-32425.63"/>
    <n v="100"/>
    <s v="DEBTOR"/>
    <n v="0"/>
    <n v="0"/>
    <n v="0"/>
    <n v="0"/>
    <n v="0"/>
  </r>
  <r>
    <n v="8733210"/>
    <s v="N"/>
    <n v="21403533"/>
    <s v="3000004746670021"/>
    <s v="CIVIL"/>
    <d v="2023-06-06T00:00:00"/>
    <d v="2023-07-20T19:22:20"/>
    <m/>
    <d v="2023-07-20T00:00:00"/>
    <n v="1878"/>
    <n v="1547"/>
    <s v="8733210"/>
    <s v="8733210"/>
    <m/>
    <m/>
    <n v="22629506"/>
    <m/>
    <m/>
    <m/>
    <s v="SOLFIN"/>
    <s v="SOLFIN"/>
    <s v="CCMS"/>
    <n v="21403533"/>
    <n v="4211.9"/>
    <m/>
    <s v="N"/>
    <n v="39"/>
    <d v="2023-07-20T19:22:42"/>
    <s v="Y"/>
    <s v="Preparation - other"/>
    <s v="Non Family Hourly Rates"/>
    <s v="Profit Cost"/>
    <s v="BSS"/>
    <s v="Y"/>
    <n v="6.3"/>
    <n v="1.26"/>
    <x v="13"/>
    <s v="VALIDATED"/>
    <n v="1"/>
    <s v="01.11.80.201.6100.0000"/>
    <n v="6.3"/>
    <s v="11"/>
    <s v="6100"/>
    <n v="-32425.63"/>
    <n v="6.3"/>
    <s v="DEBTOR"/>
    <n v="0"/>
    <n v="0"/>
    <n v="0"/>
    <n v="0"/>
    <n v="0"/>
  </r>
  <r>
    <n v="8733210"/>
    <s v="N"/>
    <n v="21403533"/>
    <s v="3000004746670021"/>
    <s v="CIVIL"/>
    <d v="2023-06-06T00:00:00"/>
    <d v="2023-07-20T19:22:20"/>
    <m/>
    <d v="2023-07-20T00:00:00"/>
    <n v="1878"/>
    <n v="1547"/>
    <s v="8733210"/>
    <s v="8733210"/>
    <m/>
    <m/>
    <n v="22629506"/>
    <m/>
    <m/>
    <m/>
    <s v="SOLFIN"/>
    <s v="SOLFIN"/>
    <s v="CCMS"/>
    <n v="21403533"/>
    <n v="4211.9"/>
    <m/>
    <s v="N"/>
    <n v="56"/>
    <d v="2023-07-20T19:22:42"/>
    <s v="Y"/>
    <s v="Preparation - other"/>
    <s v="Non Family Hourly Rates"/>
    <s v="Profit Cost"/>
    <s v="BSS"/>
    <s v="Y"/>
    <n v="6.3"/>
    <n v="1.26"/>
    <x v="13"/>
    <s v="VALIDATED"/>
    <n v="1"/>
    <s v="01.11.80.201.6100.0000"/>
    <n v="6.3"/>
    <s v="11"/>
    <s v="6100"/>
    <n v="-32425.63"/>
    <n v="6.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55"/>
    <d v="2023-07-10T19:01:45"/>
    <s v="Y"/>
    <s v="Preparation - drafting statement"/>
    <s v="Care Remuneration Hourly Rates"/>
    <s v="Profit Cost"/>
    <s v="JBL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6"/>
    <d v="2023-07-10T19:01:45"/>
    <s v="Y"/>
    <s v="Preparation - other"/>
    <s v="Care Remuneration Hourly Rates"/>
    <s v="Profit Cost"/>
    <s v="AGI 30"/>
    <s v="Y"/>
    <n v="21.54"/>
    <n v="4.31"/>
    <x v="2"/>
    <s v="VALIDATED"/>
    <n v="1"/>
    <s v="01.11.80.308.6100.0000"/>
    <n v="21.54"/>
    <s v="11"/>
    <s v="6100"/>
    <n v="-32425.63"/>
    <n v="21.54"/>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38"/>
    <d v="2023-07-10T19:01:45"/>
    <s v="Y"/>
    <s v="Preparation - other"/>
    <s v="Care Remuneration Hourly Rates"/>
    <s v="Profit Cost"/>
    <s v="JBL 30"/>
    <s v="Y"/>
    <n v="21.54"/>
    <n v="4.31"/>
    <x v="2"/>
    <s v="VALIDATED"/>
    <n v="1"/>
    <s v="01.11.80.308.6100.0000"/>
    <n v="21.54"/>
    <s v="11"/>
    <s v="6100"/>
    <n v="-32425.63"/>
    <n v="21.5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0"/>
    <d v="2023-07-10T19:02:05"/>
    <s v="Y"/>
    <s v="Attendance upon client"/>
    <s v="Non Family Hourly Rates"/>
    <s v="Profit Cost"/>
    <s v="LG"/>
    <s v="Y"/>
    <n v="118.07"/>
    <n v="0"/>
    <x v="2"/>
    <s v="VALIDATED"/>
    <n v="1"/>
    <s v="01.11.80.203.6100.0000"/>
    <n v="118.07"/>
    <s v="11"/>
    <s v="6100"/>
    <n v="-32425.63"/>
    <n v="118.07"/>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239"/>
    <d v="2023-07-10T19:02:05"/>
    <s v="Y"/>
    <s v="Preparation - drafting attendance n"/>
    <s v="Non Family Hourly Rates"/>
    <s v="Profit Cost"/>
    <s v="LG"/>
    <s v="Y"/>
    <n v="10.74"/>
    <n v="0"/>
    <x v="2"/>
    <s v="VALIDATED"/>
    <n v="1"/>
    <s v="01.11.80.203.6100.0000"/>
    <n v="10.74"/>
    <s v="11"/>
    <s v="6100"/>
    <n v="-32425.63"/>
    <n v="10.74"/>
    <s v="DEBTOR"/>
    <n v="0"/>
    <n v="0"/>
    <n v="0"/>
    <n v="0"/>
    <n v="0"/>
  </r>
  <r>
    <n v="62207718"/>
    <s v="N"/>
    <n v="21338458"/>
    <s v="3000016212270001"/>
    <s v="CIVIL"/>
    <d v="2023-06-28T00:00:00"/>
    <d v="2023-07-06T19:21:01"/>
    <m/>
    <d v="2023-07-06T00:00:00"/>
    <n v="1878"/>
    <n v="1547"/>
    <s v="62207718"/>
    <s v="62207718"/>
    <m/>
    <m/>
    <n v="22776014"/>
    <m/>
    <m/>
    <m/>
    <s v="SOLFIN"/>
    <s v="SOLFIN"/>
    <s v="CCMS"/>
    <n v="21338458"/>
    <n v="3530.54"/>
    <m/>
    <s v="N"/>
    <n v="27"/>
    <d v="2023-07-06T19:21:25"/>
    <s v="Y"/>
    <s v="Preparation - other"/>
    <s v="Care Remuneration Hourly Rates"/>
    <s v="Profit Cost"/>
    <s v="NBS 25"/>
    <s v="Y"/>
    <n v="23.01"/>
    <n v="4.6"/>
    <x v="4"/>
    <s v="VALIDATED"/>
    <n v="1"/>
    <s v="01.11.80.308.6100.0000"/>
    <n v="23.01"/>
    <s v="11"/>
    <s v="6100"/>
    <n v="-32425.63"/>
    <n v="23.01"/>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31"/>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4"/>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163"/>
    <d v="2023-07-05T19:01:55"/>
    <s v="Y"/>
    <s v="Preparation - other"/>
    <s v="Non Family Hourly Rates"/>
    <s v="Profit Cost"/>
    <s v="HRL 50"/>
    <s v="Y"/>
    <n v="42.93"/>
    <n v="8.59"/>
    <x v="6"/>
    <s v="VALIDATED"/>
    <n v="1"/>
    <s v="01.11.80.203.6100.0000"/>
    <n v="42.93"/>
    <s v="11"/>
    <s v="6100"/>
    <n v="-32425.63"/>
    <n v="42.93"/>
    <s v="DEBTOR"/>
    <n v="0"/>
    <n v="0"/>
    <n v="0"/>
    <n v="0"/>
    <n v="0"/>
  </r>
  <r>
    <n v="59677260"/>
    <s v="N"/>
    <n v="21331257"/>
    <s v="3000014052440026"/>
    <s v="CIVIL"/>
    <d v="2023-06-30T00:00:00"/>
    <d v="2023-07-05T19:01:47"/>
    <m/>
    <d v="2023-07-05T00:00:00"/>
    <n v="1878"/>
    <n v="1547"/>
    <s v="59677260"/>
    <s v="59677260"/>
    <m/>
    <m/>
    <n v="22798826"/>
    <m/>
    <m/>
    <m/>
    <s v="SOLINT"/>
    <s v="SOLINT"/>
    <s v="CCMS"/>
    <n v="21331257"/>
    <n v="4736.2"/>
    <m/>
    <s v="N"/>
    <n v="19"/>
    <d v="2023-07-05T19:02:12"/>
    <s v="Y"/>
    <s v="Preparation - other"/>
    <s v="VHCC"/>
    <s v="Profit Cost"/>
    <s v="SHL 60"/>
    <s v="Y"/>
    <n v="114.48"/>
    <n v="22.9"/>
    <x v="6"/>
    <s v="VALIDATED"/>
    <n v="1"/>
    <s v="01.11.80.203.6100.0000"/>
    <n v="114.48"/>
    <s v="11"/>
    <s v="6100"/>
    <n v="-32425.63"/>
    <n v="114.48"/>
    <s v="DEBTOR"/>
    <n v="0"/>
    <n v="0"/>
    <n v="0"/>
    <n v="0"/>
    <n v="0"/>
  </r>
  <r>
    <n v="59677260"/>
    <s v="N"/>
    <n v="21331198"/>
    <s v="3000014052440025"/>
    <s v="CIVIL"/>
    <d v="2023-06-30T00:00:00"/>
    <d v="2023-07-05T19:01:47"/>
    <m/>
    <d v="2023-07-05T00:00:00"/>
    <n v="1878"/>
    <n v="1547"/>
    <s v="59677260"/>
    <s v="59677260"/>
    <m/>
    <m/>
    <n v="22798388"/>
    <m/>
    <m/>
    <m/>
    <s v="SOLINT"/>
    <s v="SOLINT"/>
    <s v="CCMS"/>
    <n v="21331198"/>
    <n v="5452.01"/>
    <m/>
    <s v="N"/>
    <n v="37"/>
    <d v="2023-07-05T19:02:09"/>
    <s v="Y"/>
    <s v="Preparation - other"/>
    <s v="VHCC"/>
    <s v="Profit Cost"/>
    <s v="SHL 60"/>
    <s v="Y"/>
    <n v="34.34"/>
    <n v="6.87"/>
    <x v="6"/>
    <s v="VALIDATED"/>
    <n v="1"/>
    <s v="01.11.80.203.6100.0000"/>
    <n v="34.34"/>
    <s v="11"/>
    <s v="6100"/>
    <n v="-32425.63"/>
    <n v="34.34"/>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53"/>
    <d v="2023-07-05T19:02:06"/>
    <s v="Y"/>
    <s v="Preparation - other"/>
    <s v="VHCC"/>
    <s v="Profit Cost"/>
    <s v="PFA"/>
    <s v="Y"/>
    <n v="14.31"/>
    <n v="2.86"/>
    <x v="6"/>
    <s v="VALIDATED"/>
    <n v="1"/>
    <s v="01.11.80.203.6100.0000"/>
    <n v="14.31"/>
    <s v="11"/>
    <s v="6100"/>
    <n v="-32425.63"/>
    <n v="14.31"/>
    <s v="DEBTOR"/>
    <n v="0"/>
    <n v="0"/>
    <n v="0"/>
    <n v="0"/>
    <n v="0"/>
  </r>
  <r>
    <n v="59677260"/>
    <s v="N"/>
    <n v="21331198"/>
    <s v="3000014052440025"/>
    <s v="CIVIL"/>
    <d v="2023-06-30T00:00:00"/>
    <d v="2023-07-05T19:01:47"/>
    <m/>
    <d v="2023-07-05T00:00:00"/>
    <n v="1878"/>
    <n v="1547"/>
    <s v="59677260"/>
    <s v="59677260"/>
    <m/>
    <m/>
    <n v="22798388"/>
    <m/>
    <m/>
    <m/>
    <s v="SOLINT"/>
    <s v="SOLINT"/>
    <s v="CCMS"/>
    <n v="21331198"/>
    <n v="5452.01"/>
    <m/>
    <s v="N"/>
    <n v="25"/>
    <d v="2023-07-05T19:02:09"/>
    <s v="Y"/>
    <s v="Preparation - other"/>
    <s v="VHCC"/>
    <s v="Profit Cost"/>
    <s v="CBD 60"/>
    <s v="Y"/>
    <n v="11.45"/>
    <n v="2.29"/>
    <x v="6"/>
    <s v="VALIDATED"/>
    <n v="1"/>
    <s v="01.11.80.203.6100.0000"/>
    <n v="11.45"/>
    <s v="11"/>
    <s v="6100"/>
    <n v="-32425.63"/>
    <n v="11.45"/>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0"/>
    <d v="2023-07-05T19:02:06"/>
    <s v="Y"/>
    <s v="Travel to attend client"/>
    <s v="VHCC"/>
    <s v="Profit Cost"/>
    <s v="PFA"/>
    <s v="Y"/>
    <n v="32.92"/>
    <n v="6.58"/>
    <x v="6"/>
    <s v="VALIDATED"/>
    <n v="1"/>
    <s v="01.11.80.203.6100.0000"/>
    <n v="32.92"/>
    <s v="11"/>
    <s v="6100"/>
    <n v="-32425.63"/>
    <n v="32.92"/>
    <s v="DEBTOR"/>
    <n v="0"/>
    <n v="0"/>
    <n v="0"/>
    <n v="0"/>
    <n v="0"/>
  </r>
  <r>
    <n v="59677260"/>
    <s v="N"/>
    <n v="21331118"/>
    <s v="3000014052440024"/>
    <s v="CIVIL"/>
    <d v="2023-06-30T00:00:00"/>
    <d v="2023-07-05T19:01:47"/>
    <m/>
    <d v="2023-07-05T00:00:00"/>
    <n v="1878"/>
    <n v="1547"/>
    <s v="59677260"/>
    <s v="59677260"/>
    <m/>
    <m/>
    <n v="22798270"/>
    <m/>
    <m/>
    <m/>
    <s v="SOLINT"/>
    <s v="SOLINT"/>
    <s v="CCMS"/>
    <n v="21331118"/>
    <n v="21668.76"/>
    <m/>
    <s v="N"/>
    <n v="152"/>
    <d v="2023-07-05T19:02:06"/>
    <s v="Y"/>
    <s v="Preparation - drafting statement"/>
    <s v="VHCC"/>
    <s v="Profit Cost"/>
    <s v="SHL 60"/>
    <s v="Y"/>
    <n v="11.45"/>
    <n v="2.29"/>
    <x v="6"/>
    <s v="VALIDATED"/>
    <n v="1"/>
    <s v="01.11.80.203.6100.0000"/>
    <n v="11.45"/>
    <s v="11"/>
    <s v="6100"/>
    <n v="-32425.63"/>
    <n v="11.45"/>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73"/>
    <d v="2023-07-05T19:01:55"/>
    <s v="Y"/>
    <s v="Preparation - drafting attendance n"/>
    <s v="Non Family Hourly Rates"/>
    <s v="Profit Cost"/>
    <s v="HRL"/>
    <s v="Y"/>
    <n v="35.78"/>
    <n v="7.16"/>
    <x v="6"/>
    <s v="VALIDATED"/>
    <n v="1"/>
    <s v="01.11.80.203.6100.0000"/>
    <n v="35.78"/>
    <s v="11"/>
    <s v="6100"/>
    <n v="-32425.63"/>
    <n v="35.78"/>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29"/>
    <d v="2023-07-05T19:01:55"/>
    <s v="Y"/>
    <s v="Preparation - other"/>
    <s v="Non Family Hourly Rates"/>
    <s v="Profit Cost"/>
    <s v="HRL 50"/>
    <s v="Y"/>
    <n v="53.67"/>
    <n v="10.73"/>
    <x v="6"/>
    <s v="VALIDATED"/>
    <n v="1"/>
    <s v="01.11.80.203.6100.0000"/>
    <n v="53.67"/>
    <s v="11"/>
    <s v="6100"/>
    <n v="-32425.63"/>
    <n v="53.67"/>
    <s v="DEBTOR"/>
    <n v="0"/>
    <n v="0"/>
    <n v="0"/>
    <n v="0"/>
    <n v="0"/>
  </r>
  <r>
    <n v="59561969"/>
    <s v="N"/>
    <n v="21330903"/>
    <s v="3000013962360021"/>
    <s v="CIVIL"/>
    <d v="2023-06-19T00:00:00"/>
    <d v="2023-07-05T19:01:47"/>
    <m/>
    <d v="2023-07-05T00:00:00"/>
    <n v="1878"/>
    <n v="1547"/>
    <s v="59561969"/>
    <s v="59561969"/>
    <m/>
    <m/>
    <n v="22715564"/>
    <m/>
    <m/>
    <m/>
    <s v="SOLFIN"/>
    <s v="SOLFIN"/>
    <s v="CCMS"/>
    <n v="21330903"/>
    <n v="26764.49"/>
    <m/>
    <s v="N"/>
    <n v="230"/>
    <d v="2023-07-05T19:01:55"/>
    <s v="Y"/>
    <s v="Preparation - other"/>
    <s v="Non Family Hourly Rates"/>
    <s v="Profit Cost"/>
    <s v="HRL 50"/>
    <s v="Y"/>
    <n v="53.67"/>
    <n v="10.73"/>
    <x v="6"/>
    <s v="VALIDATED"/>
    <n v="1"/>
    <s v="01.11.80.203.6100.0000"/>
    <n v="53.67"/>
    <s v="11"/>
    <s v="6100"/>
    <n v="-32425.63"/>
    <n v="53.67"/>
    <s v="DEBTOR"/>
    <n v="0"/>
    <n v="0"/>
    <n v="0"/>
    <n v="0"/>
    <n v="0"/>
  </r>
  <r>
    <n v="8733210"/>
    <s v="N"/>
    <n v="21403533"/>
    <s v="3000004746670021"/>
    <s v="CIVIL"/>
    <d v="2023-06-06T00:00:00"/>
    <d v="2023-07-20T19:22:20"/>
    <m/>
    <d v="2023-07-20T00:00:00"/>
    <n v="1878"/>
    <n v="1547"/>
    <s v="8733210"/>
    <s v="8733210"/>
    <m/>
    <m/>
    <n v="22629506"/>
    <m/>
    <m/>
    <m/>
    <s v="SOLFIN"/>
    <s v="SOLFIN"/>
    <s v="CCMS"/>
    <n v="21403533"/>
    <n v="4211.9"/>
    <m/>
    <s v="N"/>
    <n v="37"/>
    <d v="2023-07-20T19:22:42"/>
    <s v="Y"/>
    <s v="Preparation - other"/>
    <s v="Non Family Hourly Rates"/>
    <s v="Profit Cost"/>
    <s v="BSS"/>
    <s v="Y"/>
    <n v="6.3"/>
    <n v="1.26"/>
    <x v="13"/>
    <s v="VALIDATED"/>
    <n v="1"/>
    <s v="01.11.80.201.6100.0000"/>
    <n v="6.3"/>
    <s v="11"/>
    <s v="6100"/>
    <n v="-32425.63"/>
    <n v="6.3"/>
    <s v="DEBTOR"/>
    <n v="0"/>
    <n v="0"/>
    <n v="0"/>
    <n v="0"/>
    <n v="0"/>
  </r>
  <r>
    <n v="61742173"/>
    <s v="N"/>
    <n v="21319086"/>
    <s v="3000015815100003"/>
    <s v="CIVIL"/>
    <d v="2023-06-23T00:00:00"/>
    <d v="2023-07-03T19:01:49"/>
    <m/>
    <d v="2023-07-03T00:00:00"/>
    <n v="1878"/>
    <n v="1547"/>
    <s v="61742173"/>
    <s v="61742173"/>
    <m/>
    <m/>
    <n v="22750850"/>
    <m/>
    <m/>
    <m/>
    <s v="SOLFIN"/>
    <s v="SOLFIN"/>
    <s v="CCMS"/>
    <n v="21319086"/>
    <n v="5246"/>
    <m/>
    <s v="N"/>
    <n v="60"/>
    <d v="2023-07-03T19:02:10"/>
    <s v="Y"/>
    <s v="Preparation - other"/>
    <s v="Prescribed Hourly Rates"/>
    <s v="Profit Cost"/>
    <s v="MAE 15"/>
    <s v="Y"/>
    <n v="20.49"/>
    <n v="4.1"/>
    <x v="3"/>
    <s v="VALIDATED"/>
    <n v="1"/>
    <s v="01.11.80.305.6100.0000"/>
    <n v="20.49"/>
    <s v="11"/>
    <s v="6100"/>
    <n v="-32425.63"/>
    <n v="20.49"/>
    <s v="DEBTOR"/>
    <n v="0"/>
    <n v="0"/>
    <n v="0"/>
    <n v="0"/>
    <n v="0"/>
  </r>
  <r>
    <n v="16166207"/>
    <s v="N"/>
    <n v="21321178"/>
    <s v="3000007747490019"/>
    <s v="CIVIL"/>
    <d v="2023-06-28T00:00:00"/>
    <d v="2023-07-03T19:04:52"/>
    <m/>
    <d v="2023-07-03T00:00:00"/>
    <n v="1878"/>
    <n v="1547"/>
    <s v="16166207"/>
    <s v="16166207"/>
    <m/>
    <m/>
    <n v="22782596"/>
    <m/>
    <m/>
    <m/>
    <s v="SOLINT"/>
    <s v="SOLINT"/>
    <s v="CCMS"/>
    <n v="21321178"/>
    <n v="20367.6"/>
    <m/>
    <s v="N"/>
    <n v="228"/>
    <d v="2023-07-03T19:04:58"/>
    <s v="Y"/>
    <s v="Preparation - other"/>
    <s v="VHCC"/>
    <s v="Profit Cost"/>
    <s v="JML"/>
    <s v="Y"/>
    <n v="7.16"/>
    <n v="1.43"/>
    <x v="3"/>
    <s v="VALIDATED"/>
    <n v="1"/>
    <s v="01.11.80.203.6100.0000"/>
    <n v="7.16"/>
    <s v="11"/>
    <s v="6100"/>
    <n v="-32425.63"/>
    <n v="7.16"/>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1"/>
    <d v="2023-07-10T19:01:45"/>
    <s v="N"/>
    <s v="Preparation - other"/>
    <s v="Care Remuneration Hourly Rates"/>
    <s v="Profit Cost"/>
    <s v="JBL 30"/>
    <s v="N"/>
    <n v="179.53"/>
    <n v="35.91"/>
    <x v="2"/>
    <s v="VALIDATED"/>
    <n v="1"/>
    <s v="01.11.80.308.6100.0000"/>
    <n v="179.53"/>
    <s v="11"/>
    <s v="6100"/>
    <n v="-32425.63"/>
    <n v="179.53"/>
    <s v="DEBTOR"/>
    <n v="0"/>
    <n v="0"/>
    <n v="0"/>
    <n v="0"/>
    <n v="0"/>
  </r>
  <r>
    <n v="14220045"/>
    <s v="N"/>
    <n v="21349296"/>
    <s v="3000007435800016"/>
    <s v="CIVIL"/>
    <d v="2023-06-27T00:00:00"/>
    <d v="2023-07-10T19:01:40"/>
    <m/>
    <d v="2023-07-10T00:00:00"/>
    <n v="1878"/>
    <n v="1547"/>
    <s v="14220045"/>
    <s v="14220045"/>
    <m/>
    <m/>
    <n v="22767240"/>
    <m/>
    <m/>
    <m/>
    <s v="SOLFIN"/>
    <s v="SOLFIN"/>
    <s v="CCMS"/>
    <n v="21349296"/>
    <n v="24604.38"/>
    <m/>
    <s v="N"/>
    <n v="153"/>
    <d v="2023-07-10T19:01:45"/>
    <s v="Y"/>
    <s v="Preparation - drafting statement"/>
    <s v="Care Remuneration Hourly Rates"/>
    <s v="Profit Cost"/>
    <s v="AGI 30"/>
    <s v="Y"/>
    <n v="35.91"/>
    <n v="7.18"/>
    <x v="2"/>
    <s v="VALIDATED"/>
    <n v="1"/>
    <s v="01.11.80.308.6100.0000"/>
    <n v="35.91"/>
    <s v="11"/>
    <s v="6100"/>
    <n v="-32425.63"/>
    <n v="35.91"/>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119"/>
    <d v="2023-07-10T19:02:05"/>
    <s v="Y"/>
    <s v="Preparation - drafting attendance n"/>
    <s v="Non Family Hourly Rates"/>
    <s v="Profit Cost"/>
    <s v="LG"/>
    <s v="Y"/>
    <n v="7.16"/>
    <n v="0"/>
    <x v="2"/>
    <s v="VALIDATED"/>
    <n v="1"/>
    <s v="01.11.80.203.6100.0000"/>
    <n v="7.16"/>
    <s v="11"/>
    <s v="6100"/>
    <n v="-32425.63"/>
    <n v="7.16"/>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5"/>
    <d v="2023-07-10T19:02:05"/>
    <s v="Y"/>
    <s v="Preparation - other"/>
    <s v="Non Family Hourly Rates"/>
    <s v="Profit Cost"/>
    <s v="LG"/>
    <s v="Y"/>
    <n v="10.74"/>
    <n v="0"/>
    <x v="2"/>
    <s v="VALIDATED"/>
    <n v="1"/>
    <s v="01.11.80.203.6100.0000"/>
    <n v="10.74"/>
    <s v="11"/>
    <s v="6100"/>
    <n v="-32425.63"/>
    <n v="10.74"/>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47"/>
    <d v="2023-07-10T19:02:05"/>
    <s v="Y"/>
    <s v="Attendance upon client"/>
    <s v="Non Family Hourly Rates"/>
    <s v="Profit Cost"/>
    <s v="LG"/>
    <s v="Y"/>
    <n v="107.33"/>
    <n v="0"/>
    <x v="2"/>
    <s v="VALIDATED"/>
    <n v="1"/>
    <s v="01.11.80.203.6100.0000"/>
    <n v="107.33"/>
    <s v="11"/>
    <s v="6100"/>
    <n v="-32425.63"/>
    <n v="107.33"/>
    <s v="DEBTOR"/>
    <n v="0"/>
    <n v="0"/>
    <n v="0"/>
    <n v="0"/>
    <n v="0"/>
  </r>
  <r>
    <n v="60867888"/>
    <s v="N"/>
    <n v="21349975"/>
    <s v="3000015088620030"/>
    <s v="CIVIL"/>
    <d v="2023-06-30T00:00:00"/>
    <d v="2023-07-10T19:01:40"/>
    <m/>
    <d v="2023-07-10T00:00:00"/>
    <n v="1878"/>
    <n v="1547"/>
    <s v="60867888"/>
    <s v="60867888"/>
    <m/>
    <m/>
    <n v="22795254"/>
    <m/>
    <m/>
    <m/>
    <s v="SOLFIN"/>
    <s v="SOLFIN"/>
    <s v="CCMS"/>
    <n v="21349975"/>
    <n v="14610.55"/>
    <m/>
    <s v="N"/>
    <n v="86"/>
    <d v="2023-07-10T19:02:05"/>
    <s v="Y"/>
    <s v="Preparation - drafting attendance n"/>
    <s v="Non Family Hourly Rates"/>
    <s v="Profit Cost"/>
    <s v="LG"/>
    <s v="Y"/>
    <n v="7.16"/>
    <n v="0"/>
    <x v="2"/>
    <s v="VALIDATED"/>
    <n v="1"/>
    <s v="01.11.80.203.6100.0000"/>
    <n v="7.16"/>
    <s v="11"/>
    <s v="6100"/>
    <n v="-32425.63"/>
    <n v="7.16"/>
    <s v="DEBTOR"/>
    <n v="0"/>
    <n v="0"/>
    <n v="0"/>
    <n v="0"/>
    <n v="0"/>
  </r>
  <r>
    <n v="16961951"/>
    <s v="N"/>
    <n v="21334072"/>
    <s v="3000007888380001RC"/>
    <s v="CIVIL"/>
    <d v="2023-06-28T00:00:00"/>
    <d v="2023-07-05T19:42:28"/>
    <m/>
    <d v="2023-07-05T00:00:00"/>
    <n v="1878"/>
    <n v="1547"/>
    <s v="16961951"/>
    <s v="16961951"/>
    <m/>
    <m/>
    <m/>
    <m/>
    <m/>
    <m/>
    <s v="SOLRECOUP"/>
    <s v="SOLRECOUP"/>
    <s v="POARECOUP"/>
    <n v="21334072"/>
    <n v="-155"/>
    <m/>
    <s v="Y"/>
    <n v="2"/>
    <d v="2023-07-05T19:42:30"/>
    <s v="N"/>
    <m/>
    <m/>
    <s v="Non Expert Disbursement"/>
    <m/>
    <s v="N"/>
    <n v="0"/>
    <n v="0"/>
    <x v="6"/>
    <s v="VALIDATED"/>
    <n v="1"/>
    <s v="01.11.80.000.0000.0000"/>
    <n v="0"/>
    <s v="11"/>
    <s v="0000"/>
    <n v="-32425.63"/>
    <n v="0"/>
    <s v="DEBTOR"/>
    <n v="0"/>
    <n v="0"/>
    <n v="0"/>
    <n v="0"/>
    <n v="0"/>
  </r>
  <r>
    <n v="16961951"/>
    <s v="N"/>
    <n v="21334073"/>
    <s v="3000007888380004RC"/>
    <s v="CIVIL"/>
    <d v="2023-06-28T00:00:00"/>
    <d v="2023-07-05T19:42:28"/>
    <m/>
    <d v="2023-07-05T00:00:00"/>
    <n v="1878"/>
    <n v="1547"/>
    <s v="16961951"/>
    <s v="16961951"/>
    <m/>
    <m/>
    <m/>
    <m/>
    <m/>
    <m/>
    <s v="SOLRECOUP"/>
    <s v="SOLRECOUP"/>
    <s v="POARECOUP"/>
    <n v="21334073"/>
    <n v="-155"/>
    <m/>
    <s v="Y"/>
    <n v="1"/>
    <d v="2023-07-05T19:42:30"/>
    <s v="N"/>
    <m/>
    <m/>
    <s v="Non Expert Disbursement"/>
    <m/>
    <s v="N"/>
    <n v="-155"/>
    <n v="0"/>
    <x v="6"/>
    <s v="VALIDATED"/>
    <n v="1"/>
    <s v="01.11.80.308.2013.0000"/>
    <n v="-155"/>
    <s v="11"/>
    <s v="2013"/>
    <n v="-32425.63"/>
    <n v="-155"/>
    <s v="DEBTOR"/>
    <n v="0"/>
    <n v="0"/>
    <n v="0"/>
    <n v="0"/>
    <n v="0"/>
  </r>
  <r>
    <n v="16961951"/>
    <s v="N"/>
    <n v="21334073"/>
    <s v="3000007888380004RC"/>
    <s v="CIVIL"/>
    <d v="2023-06-28T00:00:00"/>
    <d v="2023-07-05T19:42:28"/>
    <m/>
    <d v="2023-07-05T00:00:00"/>
    <n v="1878"/>
    <n v="1547"/>
    <s v="16961951"/>
    <s v="16961951"/>
    <m/>
    <m/>
    <m/>
    <m/>
    <m/>
    <m/>
    <s v="SOLRECOUP"/>
    <s v="SOLRECOUP"/>
    <s v="POARECOUP"/>
    <n v="21334073"/>
    <n v="-155"/>
    <m/>
    <s v="Y"/>
    <n v="2"/>
    <d v="2023-07-05T19:42:30"/>
    <s v="N"/>
    <m/>
    <m/>
    <s v="Non Expert Disbursement"/>
    <m/>
    <s v="N"/>
    <n v="0"/>
    <n v="0"/>
    <x v="6"/>
    <s v="VALIDATED"/>
    <n v="1"/>
    <s v="01.11.80.000.0000.0000"/>
    <n v="0"/>
    <s v="11"/>
    <s v="0000"/>
    <n v="-32425.63"/>
    <n v="0"/>
    <s v="DEBTOR"/>
    <n v="0"/>
    <n v="0"/>
    <n v="0"/>
    <n v="0"/>
    <n v="0"/>
  </r>
  <r>
    <n v="16961951"/>
    <s v="N"/>
    <n v="21334074"/>
    <s v="3000007888380006RC"/>
    <s v="CIVIL"/>
    <d v="2023-06-28T00:00:00"/>
    <d v="2023-07-05T19:42:28"/>
    <m/>
    <d v="2023-07-05T00:00:00"/>
    <n v="1878"/>
    <n v="1547"/>
    <s v="16961951"/>
    <s v="16961951"/>
    <m/>
    <m/>
    <m/>
    <m/>
    <m/>
    <m/>
    <s v="SOLRECOUP"/>
    <s v="SOLRECOUP"/>
    <s v="POARECOUP"/>
    <n v="21334074"/>
    <n v="-150"/>
    <m/>
    <s v="Y"/>
    <n v="1"/>
    <d v="2023-07-05T19:42:30"/>
    <s v="N"/>
    <m/>
    <m/>
    <s v="Expert Disbursement"/>
    <m/>
    <s v="N"/>
    <n v="-125"/>
    <n v="0"/>
    <x v="6"/>
    <s v="VALIDATED"/>
    <n v="1"/>
    <s v="01.11.80.308.2013.0000"/>
    <n v="-125"/>
    <s v="11"/>
    <s v="2013"/>
    <n v="-32425.63"/>
    <n v="-125"/>
    <s v="DEBTOR"/>
    <n v="0"/>
    <n v="0"/>
    <n v="0"/>
    <n v="0"/>
    <n v="0"/>
  </r>
  <r>
    <n v="16961951"/>
    <s v="N"/>
    <n v="21334074"/>
    <s v="3000007888380006RC"/>
    <s v="CIVIL"/>
    <d v="2023-06-28T00:00:00"/>
    <d v="2023-07-05T19:42:28"/>
    <m/>
    <d v="2023-07-05T00:00:00"/>
    <n v="1878"/>
    <n v="1547"/>
    <s v="16961951"/>
    <s v="16961951"/>
    <m/>
    <m/>
    <m/>
    <m/>
    <m/>
    <m/>
    <s v="SOLRECOUP"/>
    <s v="SOLRECOUP"/>
    <s v="POARECOUP"/>
    <n v="21334074"/>
    <n v="-150"/>
    <m/>
    <s v="Y"/>
    <n v="2"/>
    <d v="2023-07-05T19:42:30"/>
    <s v="N"/>
    <m/>
    <m/>
    <s v="Expert Disbursement"/>
    <m/>
    <s v="N"/>
    <n v="0"/>
    <n v="-25"/>
    <x v="6"/>
    <s v="VALIDATED"/>
    <n v="1"/>
    <s v="01.11.80.308.2013.0000"/>
    <n v="-25"/>
    <s v="11"/>
    <s v="2013"/>
    <n v="-32425.63"/>
    <n v="-25"/>
    <s v="DEBTOR"/>
    <n v="0"/>
    <n v="0"/>
    <n v="0"/>
    <n v="0"/>
    <n v="0"/>
  </r>
  <r>
    <n v="16961951"/>
    <s v="N"/>
    <n v="21334075"/>
    <s v="3000007888380008RC"/>
    <s v="CIVIL"/>
    <d v="2023-06-28T00:00:00"/>
    <d v="2023-07-05T19:42:28"/>
    <m/>
    <d v="2023-07-05T00:00:00"/>
    <n v="1878"/>
    <n v="1547"/>
    <s v="16961951"/>
    <s v="16961951"/>
    <m/>
    <m/>
    <m/>
    <m/>
    <m/>
    <m/>
    <s v="SOLRECOUP"/>
    <s v="SOLRECOUP"/>
    <s v="POARECOUP"/>
    <n v="21334075"/>
    <n v="-2728.63"/>
    <m/>
    <s v="Y"/>
    <n v="1"/>
    <d v="2023-07-05T19:42:30"/>
    <s v="N"/>
    <m/>
    <m/>
    <s v="Profit Cost"/>
    <m/>
    <s v="N"/>
    <n v="-2273.86"/>
    <n v="0"/>
    <x v="6"/>
    <s v="VALIDATED"/>
    <n v="1"/>
    <s v="01.11.80.308.2013.0000"/>
    <n v="-2273.86"/>
    <s v="11"/>
    <s v="2013"/>
    <n v="-32425.63"/>
    <n v="-2273.86"/>
    <s v="DEBTOR"/>
    <n v="0"/>
    <n v="0"/>
    <n v="0"/>
    <n v="0"/>
    <n v="0"/>
  </r>
  <r>
    <n v="16961951"/>
    <s v="N"/>
    <n v="21334075"/>
    <s v="3000007888380008RC"/>
    <s v="CIVIL"/>
    <d v="2023-06-28T00:00:00"/>
    <d v="2023-07-05T19:42:28"/>
    <m/>
    <d v="2023-07-05T00:00:00"/>
    <n v="1878"/>
    <n v="1547"/>
    <s v="16961951"/>
    <s v="16961951"/>
    <m/>
    <m/>
    <m/>
    <m/>
    <m/>
    <m/>
    <s v="SOLRECOUP"/>
    <s v="SOLRECOUP"/>
    <s v="POARECOUP"/>
    <n v="21334075"/>
    <n v="-2728.63"/>
    <m/>
    <s v="Y"/>
    <n v="2"/>
    <d v="2023-07-05T19:42:30"/>
    <s v="N"/>
    <m/>
    <m/>
    <s v="Profit Cost"/>
    <m/>
    <s v="N"/>
    <n v="0"/>
    <n v="-454.77"/>
    <x v="6"/>
    <s v="VALIDATED"/>
    <n v="1"/>
    <s v="01.11.80.308.2013.0000"/>
    <n v="-454.77"/>
    <s v="11"/>
    <s v="2013"/>
    <n v="-32425.63"/>
    <n v="-454.77"/>
    <s v="DEBTOR"/>
    <n v="0"/>
    <n v="0"/>
    <n v="0"/>
    <n v="0"/>
    <n v="0"/>
  </r>
  <r>
    <n v="16961951"/>
    <s v="N"/>
    <n v="21334076"/>
    <s v="3000007888380010RC"/>
    <s v="CIVIL"/>
    <d v="2023-06-28T00:00:00"/>
    <d v="2023-07-05T19:42:28"/>
    <m/>
    <d v="2023-07-05T00:00:00"/>
    <n v="1878"/>
    <n v="1547"/>
    <s v="16961951"/>
    <s v="16961951"/>
    <m/>
    <m/>
    <m/>
    <m/>
    <m/>
    <m/>
    <s v="SOLRECOUP"/>
    <s v="SOLRECOUP"/>
    <s v="POARECOUP"/>
    <n v="21334076"/>
    <n v="-920.66"/>
    <m/>
    <s v="Y"/>
    <n v="1"/>
    <d v="2023-07-05T19:42:30"/>
    <s v="N"/>
    <m/>
    <m/>
    <s v="Expert Disbursement"/>
    <m/>
    <s v="N"/>
    <n v="-920.66"/>
    <n v="0"/>
    <x v="6"/>
    <s v="VALIDATED"/>
    <n v="1"/>
    <s v="01.11.80.308.2013.0000"/>
    <n v="-920.66"/>
    <s v="11"/>
    <s v="2013"/>
    <n v="-32425.63"/>
    <n v="-920.66"/>
    <s v="DEBTOR"/>
    <n v="0"/>
    <n v="0"/>
    <n v="0"/>
    <n v="0"/>
    <n v="0"/>
  </r>
  <r>
    <n v="16961951"/>
    <s v="N"/>
    <n v="21334076"/>
    <s v="3000007888380010RC"/>
    <s v="CIVIL"/>
    <d v="2023-06-28T00:00:00"/>
    <d v="2023-07-05T19:42:28"/>
    <m/>
    <d v="2023-07-05T00:00:00"/>
    <n v="1878"/>
    <n v="1547"/>
    <s v="16961951"/>
    <s v="16961951"/>
    <m/>
    <m/>
    <m/>
    <m/>
    <m/>
    <m/>
    <s v="SOLRECOUP"/>
    <s v="SOLRECOUP"/>
    <s v="POARECOUP"/>
    <n v="21334076"/>
    <n v="-920.66"/>
    <m/>
    <s v="Y"/>
    <n v="2"/>
    <d v="2023-07-05T19:42:30"/>
    <s v="N"/>
    <m/>
    <m/>
    <s v="Expert Disbursement"/>
    <m/>
    <s v="N"/>
    <n v="0"/>
    <n v="0"/>
    <x v="6"/>
    <s v="VALIDATED"/>
    <n v="1"/>
    <s v="01.11.80.000.0000.0000"/>
    <n v="0"/>
    <s v="11"/>
    <s v="0000"/>
    <n v="-32425.63"/>
    <n v="0"/>
    <s v="DEBTOR"/>
    <n v="0"/>
    <n v="0"/>
    <n v="0"/>
    <n v="0"/>
    <n v="0"/>
  </r>
  <r>
    <n v="16961951"/>
    <s v="N"/>
    <n v="21334077"/>
    <s v="3000007888380003RC"/>
    <s v="CIVIL"/>
    <d v="2023-06-28T00:00:00"/>
    <d v="2023-07-05T19:42:28"/>
    <m/>
    <d v="2023-07-05T00:00:00"/>
    <n v="1878"/>
    <n v="1547"/>
    <s v="16961951"/>
    <s v="16961951"/>
    <m/>
    <m/>
    <m/>
    <m/>
    <m/>
    <m/>
    <s v="SOLRECOUP"/>
    <s v="SOLRECOUP"/>
    <s v="POARECOUP"/>
    <n v="21334077"/>
    <n v="-486"/>
    <m/>
    <s v="Y"/>
    <n v="1"/>
    <d v="2023-07-05T19:42:30"/>
    <s v="N"/>
    <m/>
    <m/>
    <s v="Expert Disbursement"/>
    <m/>
    <s v="N"/>
    <n v="-405"/>
    <n v="0"/>
    <x v="6"/>
    <s v="VALIDATED"/>
    <n v="1"/>
    <s v="01.11.80.308.2013.0000"/>
    <n v="-405"/>
    <s v="11"/>
    <s v="2013"/>
    <n v="-32425.63"/>
    <n v="-405"/>
    <s v="DEBTOR"/>
    <n v="0"/>
    <n v="0"/>
    <n v="0"/>
    <n v="0"/>
    <n v="0"/>
  </r>
  <r>
    <n v="16961951"/>
    <s v="N"/>
    <n v="21334077"/>
    <s v="3000007888380003RC"/>
    <s v="CIVIL"/>
    <d v="2023-06-28T00:00:00"/>
    <d v="2023-07-05T19:42:28"/>
    <m/>
    <d v="2023-07-05T00:00:00"/>
    <n v="1878"/>
    <n v="1547"/>
    <s v="16961951"/>
    <s v="16961951"/>
    <m/>
    <m/>
    <m/>
    <m/>
    <m/>
    <m/>
    <s v="SOLRECOUP"/>
    <s v="SOLRECOUP"/>
    <s v="POARECOUP"/>
    <n v="21334077"/>
    <n v="-486"/>
    <m/>
    <s v="Y"/>
    <n v="2"/>
    <d v="2023-07-05T19:42:30"/>
    <s v="N"/>
    <m/>
    <m/>
    <s v="Expert Disbursement"/>
    <m/>
    <s v="N"/>
    <n v="0"/>
    <n v="-81"/>
    <x v="6"/>
    <s v="VALIDATED"/>
    <n v="1"/>
    <s v="01.11.80.308.2013.0000"/>
    <n v="-81"/>
    <s v="11"/>
    <s v="2013"/>
    <n v="-32425.63"/>
    <n v="-81"/>
    <s v="DEBTOR"/>
    <n v="0"/>
    <n v="0"/>
    <n v="0"/>
    <n v="0"/>
    <n v="0"/>
  </r>
  <r>
    <n v="16961951"/>
    <s v="N"/>
    <n v="21334078"/>
    <s v="3000007888380013RC"/>
    <s v="CIVIL"/>
    <d v="2023-06-28T00:00:00"/>
    <d v="2023-07-05T19:42:28"/>
    <m/>
    <d v="2023-07-05T00:00:00"/>
    <n v="1878"/>
    <n v="1547"/>
    <s v="16961951"/>
    <s v="16961951"/>
    <m/>
    <m/>
    <m/>
    <m/>
    <m/>
    <m/>
    <s v="SOLRECOUP"/>
    <s v="SOLRECOUP"/>
    <s v="POARECOUP"/>
    <n v="21334078"/>
    <n v="-204.32"/>
    <m/>
    <s v="Y"/>
    <n v="1"/>
    <d v="2023-07-05T19:42:30"/>
    <s v="N"/>
    <m/>
    <m/>
    <s v="Expert Disbursement"/>
    <m/>
    <s v="N"/>
    <n v="-170.27"/>
    <n v="0"/>
    <x v="6"/>
    <s v="VALIDATED"/>
    <n v="1"/>
    <s v="01.11.80.308.2013.0000"/>
    <n v="-170.27"/>
    <s v="11"/>
    <s v="2013"/>
    <n v="-32425.63"/>
    <n v="-170.27"/>
    <s v="DEBTOR"/>
    <n v="0"/>
    <n v="0"/>
    <n v="0"/>
    <n v="0"/>
    <n v="0"/>
  </r>
  <r>
    <n v="16961951"/>
    <s v="N"/>
    <n v="21334078"/>
    <s v="3000007888380013RC"/>
    <s v="CIVIL"/>
    <d v="2023-06-28T00:00:00"/>
    <d v="2023-07-05T19:42:28"/>
    <m/>
    <d v="2023-07-05T00:00:00"/>
    <n v="1878"/>
    <n v="1547"/>
    <s v="16961951"/>
    <s v="16961951"/>
    <m/>
    <m/>
    <m/>
    <m/>
    <m/>
    <m/>
    <s v="SOLRECOUP"/>
    <s v="SOLRECOUP"/>
    <s v="POARECOUP"/>
    <n v="21334078"/>
    <n v="-204.32"/>
    <m/>
    <s v="Y"/>
    <n v="2"/>
    <d v="2023-07-05T19:42:30"/>
    <s v="N"/>
    <m/>
    <m/>
    <s v="Expert Disbursement"/>
    <m/>
    <s v="N"/>
    <n v="0"/>
    <n v="-34.05"/>
    <x v="6"/>
    <s v="VALIDATED"/>
    <n v="1"/>
    <s v="01.11.80.308.2013.0000"/>
    <n v="-34.05"/>
    <s v="11"/>
    <s v="2013"/>
    <n v="-32425.63"/>
    <n v="-34.05"/>
    <s v="DEBTOR"/>
    <n v="0"/>
    <n v="0"/>
    <n v="0"/>
    <n v="0"/>
    <n v="0"/>
  </r>
  <r>
    <n v="16961951"/>
    <s v="N"/>
    <n v="21334079"/>
    <s v="3000007888380011RC"/>
    <s v="CIVIL"/>
    <d v="2023-06-28T00:00:00"/>
    <d v="2023-07-05T19:42:28"/>
    <m/>
    <d v="2023-07-05T00:00:00"/>
    <n v="1878"/>
    <n v="1547"/>
    <s v="16961951"/>
    <s v="16961951"/>
    <m/>
    <m/>
    <m/>
    <m/>
    <m/>
    <m/>
    <s v="SOLRECOUP"/>
    <s v="SOLRECOUP"/>
    <s v="POARECOUP"/>
    <n v="21334079"/>
    <n v="-980.8"/>
    <m/>
    <s v="Y"/>
    <n v="1"/>
    <d v="2023-07-05T19:42:30"/>
    <s v="N"/>
    <m/>
    <m/>
    <s v="Profit Cost"/>
    <m/>
    <s v="N"/>
    <n v="-817.33"/>
    <n v="0"/>
    <x v="6"/>
    <s v="VALIDATED"/>
    <n v="1"/>
    <s v="01.11.80.308.2013.0000"/>
    <n v="-817.33"/>
    <s v="11"/>
    <s v="2013"/>
    <n v="-32425.63"/>
    <n v="-817.33"/>
    <s v="DEBTOR"/>
    <n v="0"/>
    <n v="0"/>
    <n v="0"/>
    <n v="0"/>
    <n v="0"/>
  </r>
  <r>
    <n v="16961951"/>
    <s v="N"/>
    <n v="21334079"/>
    <s v="3000007888380011RC"/>
    <s v="CIVIL"/>
    <d v="2023-06-28T00:00:00"/>
    <d v="2023-07-05T19:42:28"/>
    <m/>
    <d v="2023-07-05T00:00:00"/>
    <n v="1878"/>
    <n v="1547"/>
    <s v="16961951"/>
    <s v="16961951"/>
    <m/>
    <m/>
    <m/>
    <m/>
    <m/>
    <m/>
    <s v="SOLRECOUP"/>
    <s v="SOLRECOUP"/>
    <s v="POARECOUP"/>
    <n v="21334079"/>
    <n v="-980.8"/>
    <m/>
    <s v="Y"/>
    <n v="2"/>
    <d v="2023-07-05T19:42:30"/>
    <s v="N"/>
    <m/>
    <m/>
    <s v="Profit Cost"/>
    <m/>
    <s v="N"/>
    <n v="0"/>
    <n v="-163.47"/>
    <x v="6"/>
    <s v="VALIDATED"/>
    <n v="1"/>
    <s v="01.11.80.308.2013.0000"/>
    <n v="-163.47"/>
    <s v="11"/>
    <s v="2013"/>
    <n v="-32425.63"/>
    <n v="-163.47"/>
    <s v="DEBTOR"/>
    <n v="0"/>
    <n v="0"/>
    <n v="0"/>
    <n v="0"/>
    <n v="0"/>
  </r>
  <r>
    <n v="16961951"/>
    <s v="N"/>
    <n v="21334080"/>
    <s v="3000007888380012RC"/>
    <s v="CIVIL"/>
    <d v="2023-06-28T00:00:00"/>
    <d v="2023-07-05T19:42:28"/>
    <m/>
    <d v="2023-07-05T00:00:00"/>
    <n v="1878"/>
    <n v="1547"/>
    <s v="16961951"/>
    <s v="16961951"/>
    <m/>
    <m/>
    <m/>
    <m/>
    <m/>
    <m/>
    <s v="SOLRECOUP"/>
    <s v="SOLRECOUP"/>
    <s v="POARECOUP"/>
    <n v="21334080"/>
    <n v="-210.6"/>
    <m/>
    <s v="Y"/>
    <n v="1"/>
    <d v="2023-07-05T19:42:30"/>
    <s v="N"/>
    <m/>
    <m/>
    <s v="Expert Disbursement"/>
    <m/>
    <s v="N"/>
    <n v="-175.5"/>
    <n v="0"/>
    <x v="6"/>
    <s v="VALIDATED"/>
    <n v="1"/>
    <s v="01.11.80.308.2013.0000"/>
    <n v="-175.5"/>
    <s v="11"/>
    <s v="2013"/>
    <n v="-32425.63"/>
    <n v="-175.5"/>
    <s v="DEBTOR"/>
    <n v="0"/>
    <n v="0"/>
    <n v="0"/>
    <n v="0"/>
    <n v="0"/>
  </r>
  <r>
    <n v="16961951"/>
    <s v="N"/>
    <n v="21334080"/>
    <s v="3000007888380012RC"/>
    <s v="CIVIL"/>
    <d v="2023-06-28T00:00:00"/>
    <d v="2023-07-05T19:42:28"/>
    <m/>
    <d v="2023-07-05T00:00:00"/>
    <n v="1878"/>
    <n v="1547"/>
    <s v="16961951"/>
    <s v="16961951"/>
    <m/>
    <m/>
    <m/>
    <m/>
    <m/>
    <m/>
    <s v="SOLRECOUP"/>
    <s v="SOLRECOUP"/>
    <s v="POARECOUP"/>
    <n v="21334080"/>
    <n v="-210.6"/>
    <m/>
    <s v="Y"/>
    <n v="2"/>
    <d v="2023-07-05T19:42:30"/>
    <s v="N"/>
    <m/>
    <m/>
    <s v="Expert Disbursement"/>
    <m/>
    <s v="N"/>
    <n v="0"/>
    <n v="-35.1"/>
    <x v="6"/>
    <s v="VALIDATED"/>
    <n v="1"/>
    <s v="01.11.80.308.2013.0000"/>
    <n v="-35.1"/>
    <s v="11"/>
    <s v="2013"/>
    <n v="-32425.63"/>
    <n v="-35.1"/>
    <s v="DEBTOR"/>
    <n v="0"/>
    <n v="0"/>
    <n v="0"/>
    <n v="0"/>
    <n v="0"/>
  </r>
  <r>
    <n v="16961951"/>
    <s v="N"/>
    <n v="21334081"/>
    <s v="3000007888380014RC"/>
    <s v="CIVIL"/>
    <d v="2023-06-28T00:00:00"/>
    <d v="2023-07-05T19:42:28"/>
    <m/>
    <d v="2023-07-05T00:00:00"/>
    <n v="1878"/>
    <n v="1547"/>
    <s v="16961951"/>
    <s v="16961951"/>
    <m/>
    <m/>
    <m/>
    <m/>
    <m/>
    <m/>
    <s v="SOLRECOUP"/>
    <s v="SOLRECOUP"/>
    <s v="POARECOUP"/>
    <n v="21334081"/>
    <n v="-76.05"/>
    <m/>
    <s v="Y"/>
    <n v="1"/>
    <d v="2023-07-05T19:42:30"/>
    <s v="N"/>
    <m/>
    <m/>
    <s v="Expert Disbursement"/>
    <m/>
    <s v="N"/>
    <n v="-76.05"/>
    <n v="0"/>
    <x v="6"/>
    <s v="VALIDATED"/>
    <n v="1"/>
    <s v="01.11.80.308.2013.0000"/>
    <n v="-76.05"/>
    <s v="11"/>
    <s v="2013"/>
    <n v="-32425.63"/>
    <n v="-76.05"/>
    <s v="DEBTOR"/>
    <n v="0"/>
    <n v="0"/>
    <n v="0"/>
    <n v="0"/>
    <n v="0"/>
  </r>
  <r>
    <n v="16961951"/>
    <s v="N"/>
    <n v="21334081"/>
    <s v="3000007888380014RC"/>
    <s v="CIVIL"/>
    <d v="2023-06-28T00:00:00"/>
    <d v="2023-07-05T19:42:28"/>
    <m/>
    <d v="2023-07-05T00:00:00"/>
    <n v="1878"/>
    <n v="1547"/>
    <s v="16961951"/>
    <s v="16961951"/>
    <m/>
    <m/>
    <m/>
    <m/>
    <m/>
    <m/>
    <s v="SOLRECOUP"/>
    <s v="SOLRECOUP"/>
    <s v="POARECOUP"/>
    <n v="21334081"/>
    <n v="-76.05"/>
    <m/>
    <s v="Y"/>
    <n v="2"/>
    <d v="2023-07-05T19:42:30"/>
    <s v="N"/>
    <m/>
    <m/>
    <s v="Expert Disbursement"/>
    <m/>
    <s v="N"/>
    <n v="0"/>
    <n v="0"/>
    <x v="6"/>
    <s v="VALIDATED"/>
    <n v="1"/>
    <s v="01.11.80.000.0000.0000"/>
    <n v="0"/>
    <s v="11"/>
    <s v="0000"/>
    <n v="-32425.63"/>
    <n v="0"/>
    <s v="DEBTOR"/>
    <n v="0"/>
    <n v="0"/>
    <n v="0"/>
    <n v="0"/>
    <n v="0"/>
  </r>
  <r>
    <n v="59561969"/>
    <s v="N"/>
    <n v="21334082"/>
    <s v="3000013962360002RC"/>
    <s v="CIVIL"/>
    <d v="2023-06-19T00:00:00"/>
    <d v="2023-07-05T19:42:28"/>
    <m/>
    <d v="2023-07-05T00:00:00"/>
    <n v="1878"/>
    <n v="1547"/>
    <s v="59561969"/>
    <s v="59561969"/>
    <m/>
    <m/>
    <m/>
    <m/>
    <m/>
    <m/>
    <s v="SOLRECOUP"/>
    <s v="SOLRECOUP"/>
    <s v="POARECOUP"/>
    <n v="21334082"/>
    <n v="-2150.16"/>
    <m/>
    <s v="Y"/>
    <n v="1"/>
    <d v="2023-07-05T19:42:30"/>
    <s v="N"/>
    <m/>
    <m/>
    <s v="Profit Cost"/>
    <m/>
    <s v="N"/>
    <n v="-1791.8"/>
    <n v="0"/>
    <x v="6"/>
    <s v="VALIDATED"/>
    <n v="1"/>
    <s v="01.11.80.203.2013.0000"/>
    <n v="-1791.8"/>
    <s v="11"/>
    <s v="2013"/>
    <n v="-32425.63"/>
    <n v="-1791.8"/>
    <s v="DEBTOR"/>
    <n v="0"/>
    <n v="0"/>
    <n v="0"/>
    <n v="0"/>
    <n v="0"/>
  </r>
  <r>
    <n v="59561969"/>
    <s v="N"/>
    <n v="21334082"/>
    <s v="3000013962360002RC"/>
    <s v="CIVIL"/>
    <d v="2023-06-19T00:00:00"/>
    <d v="2023-07-05T19:42:28"/>
    <m/>
    <d v="2023-07-05T00:00:00"/>
    <n v="1878"/>
    <n v="1547"/>
    <s v="59561969"/>
    <s v="59561969"/>
    <m/>
    <m/>
    <m/>
    <m/>
    <m/>
    <m/>
    <s v="SOLRECOUP"/>
    <s v="SOLRECOUP"/>
    <s v="POARECOUP"/>
    <n v="21334082"/>
    <n v="-2150.16"/>
    <m/>
    <s v="Y"/>
    <n v="2"/>
    <d v="2023-07-05T19:42:30"/>
    <s v="N"/>
    <m/>
    <m/>
    <s v="Profit Cost"/>
    <m/>
    <s v="N"/>
    <n v="0"/>
    <n v="-358.36"/>
    <x v="6"/>
    <s v="VALIDATED"/>
    <n v="1"/>
    <s v="01.11.80.203.2013.0000"/>
    <n v="-358.36"/>
    <s v="11"/>
    <s v="2013"/>
    <n v="-32425.63"/>
    <n v="-358.36"/>
    <s v="DEBTOR"/>
    <n v="0"/>
    <n v="0"/>
    <n v="0"/>
    <n v="0"/>
    <n v="0"/>
  </r>
  <r>
    <n v="59561969"/>
    <s v="N"/>
    <n v="21334083"/>
    <s v="3000013962360011RC"/>
    <s v="CIVIL"/>
    <d v="2023-06-19T00:00:00"/>
    <d v="2023-07-05T19:42:28"/>
    <m/>
    <d v="2023-07-05T00:00:00"/>
    <n v="1878"/>
    <n v="1547"/>
    <s v="59561969"/>
    <s v="59561969"/>
    <m/>
    <m/>
    <m/>
    <m/>
    <m/>
    <m/>
    <s v="SOLRECOUP"/>
    <s v="SOLRECOUP"/>
    <s v="POARECOUP"/>
    <n v="21334083"/>
    <n v="-1627.73"/>
    <m/>
    <s v="Y"/>
    <n v="1"/>
    <d v="2023-07-05T19:42:30"/>
    <s v="N"/>
    <m/>
    <m/>
    <s v="Expert Disbursement"/>
    <m/>
    <s v="N"/>
    <n v="-1356.44"/>
    <n v="0"/>
    <x v="6"/>
    <s v="VALIDATED"/>
    <n v="1"/>
    <s v="01.11.80.203.2013.0000"/>
    <n v="-1356.44"/>
    <s v="11"/>
    <s v="2013"/>
    <n v="-32425.63"/>
    <n v="-1356.44"/>
    <s v="DEBTOR"/>
    <n v="0"/>
    <n v="0"/>
    <n v="0"/>
    <n v="0"/>
    <n v="0"/>
  </r>
  <r>
    <n v="59561969"/>
    <s v="N"/>
    <n v="21334083"/>
    <s v="3000013962360011RC"/>
    <s v="CIVIL"/>
    <d v="2023-06-19T00:00:00"/>
    <d v="2023-07-05T19:42:28"/>
    <m/>
    <d v="2023-07-05T00:00:00"/>
    <n v="1878"/>
    <n v="1547"/>
    <s v="59561969"/>
    <s v="59561969"/>
    <m/>
    <m/>
    <m/>
    <m/>
    <m/>
    <m/>
    <s v="SOLRECOUP"/>
    <s v="SOLRECOUP"/>
    <s v="POARECOUP"/>
    <n v="21334083"/>
    <n v="-1627.73"/>
    <m/>
    <s v="Y"/>
    <n v="2"/>
    <d v="2023-07-05T19:42:30"/>
    <s v="N"/>
    <m/>
    <m/>
    <s v="Expert Disbursement"/>
    <m/>
    <s v="N"/>
    <n v="0"/>
    <n v="-271.29"/>
    <x v="6"/>
    <s v="VALIDATED"/>
    <n v="1"/>
    <s v="01.11.80.203.2013.0000"/>
    <n v="-271.29"/>
    <s v="11"/>
    <s v="2013"/>
    <n v="-32425.63"/>
    <n v="-271.29"/>
    <s v="DEBTOR"/>
    <n v="0"/>
    <n v="0"/>
    <n v="0"/>
    <n v="0"/>
    <n v="0"/>
  </r>
  <r>
    <n v="16961951"/>
    <s v="N"/>
    <n v="21334084"/>
    <s v="3000007888380017RC"/>
    <s v="CIVIL"/>
    <d v="2023-06-28T00:00:00"/>
    <d v="2023-07-05T19:42:28"/>
    <m/>
    <d v="2023-07-05T00:00:00"/>
    <n v="1878"/>
    <n v="1547"/>
    <s v="16961951"/>
    <s v="16961951"/>
    <m/>
    <m/>
    <m/>
    <m/>
    <m/>
    <m/>
    <s v="SOLRECOUP"/>
    <s v="SOLRECOUP"/>
    <s v="POARECOUP"/>
    <n v="21334084"/>
    <n v="-155"/>
    <m/>
    <s v="Y"/>
    <n v="2"/>
    <d v="2023-07-05T19:42:30"/>
    <s v="N"/>
    <m/>
    <m/>
    <s v="Non Expert Disbursement"/>
    <m/>
    <s v="N"/>
    <n v="0"/>
    <n v="0"/>
    <x v="6"/>
    <s v="VALIDATED"/>
    <n v="1"/>
    <s v="01.11.80.000.0000.0000"/>
    <n v="0"/>
    <s v="11"/>
    <s v="0000"/>
    <n v="-32425.63"/>
    <n v="0"/>
    <s v="DEBTOR"/>
    <n v="0"/>
    <n v="0"/>
    <n v="0"/>
    <n v="0"/>
    <n v="0"/>
  </r>
  <r>
    <n v="16961951"/>
    <s v="N"/>
    <n v="21334084"/>
    <s v="3000007888380017RC"/>
    <s v="CIVIL"/>
    <d v="2023-06-28T00:00:00"/>
    <d v="2023-07-05T19:42:28"/>
    <m/>
    <d v="2023-07-05T00:00:00"/>
    <n v="1878"/>
    <n v="1547"/>
    <s v="16961951"/>
    <s v="16961951"/>
    <m/>
    <m/>
    <m/>
    <m/>
    <m/>
    <m/>
    <s v="SOLRECOUP"/>
    <s v="SOLRECOUP"/>
    <s v="POARECOUP"/>
    <n v="21334084"/>
    <n v="-155"/>
    <m/>
    <s v="Y"/>
    <n v="1"/>
    <d v="2023-07-05T19:42:30"/>
    <s v="N"/>
    <m/>
    <m/>
    <s v="Non Expert Disbursement"/>
    <m/>
    <s v="N"/>
    <n v="-155"/>
    <n v="0"/>
    <x v="6"/>
    <s v="VALIDATED"/>
    <n v="1"/>
    <s v="01.11.80.308.2013.0000"/>
    <n v="-155"/>
    <s v="11"/>
    <s v="2013"/>
    <n v="-32425.63"/>
    <n v="-155"/>
    <s v="DEBTOR"/>
    <n v="0"/>
    <n v="0"/>
    <n v="0"/>
    <n v="0"/>
    <n v="0"/>
  </r>
  <r>
    <n v="16961951"/>
    <s v="N"/>
    <n v="21334085"/>
    <s v="3000007888380015RC"/>
    <s v="CIVIL"/>
    <d v="2023-06-28T00:00:00"/>
    <d v="2023-07-05T19:42:28"/>
    <m/>
    <d v="2023-07-05T00:00:00"/>
    <n v="1878"/>
    <n v="1547"/>
    <s v="16961951"/>
    <s v="16961951"/>
    <m/>
    <m/>
    <m/>
    <m/>
    <m/>
    <m/>
    <s v="SOLRECOUP"/>
    <s v="SOLRECOUP"/>
    <s v="POARECOUP"/>
    <n v="21334085"/>
    <n v="-1987.82"/>
    <m/>
    <s v="Y"/>
    <n v="1"/>
    <d v="2023-07-05T19:42:30"/>
    <s v="N"/>
    <m/>
    <m/>
    <s v="Profit Cost"/>
    <m/>
    <s v="N"/>
    <n v="-1656.52"/>
    <n v="0"/>
    <x v="6"/>
    <s v="VALIDATED"/>
    <n v="1"/>
    <s v="01.11.80.308.2013.0000"/>
    <n v="-1656.52"/>
    <s v="11"/>
    <s v="2013"/>
    <n v="-32425.63"/>
    <n v="-1656.52"/>
    <s v="DEBTOR"/>
    <n v="0"/>
    <n v="0"/>
    <n v="0"/>
    <n v="0"/>
    <n v="0"/>
  </r>
  <r>
    <n v="16961951"/>
    <s v="N"/>
    <n v="21334085"/>
    <s v="3000007888380015RC"/>
    <s v="CIVIL"/>
    <d v="2023-06-28T00:00:00"/>
    <d v="2023-07-05T19:42:28"/>
    <m/>
    <d v="2023-07-05T00:00:00"/>
    <n v="1878"/>
    <n v="1547"/>
    <s v="16961951"/>
    <s v="16961951"/>
    <m/>
    <m/>
    <m/>
    <m/>
    <m/>
    <m/>
    <s v="SOLRECOUP"/>
    <s v="SOLRECOUP"/>
    <s v="POARECOUP"/>
    <n v="21334085"/>
    <n v="-1987.82"/>
    <m/>
    <s v="Y"/>
    <n v="2"/>
    <d v="2023-07-05T19:42:30"/>
    <s v="N"/>
    <m/>
    <m/>
    <s v="Profit Cost"/>
    <m/>
    <s v="N"/>
    <n v="0"/>
    <n v="-331.3"/>
    <x v="6"/>
    <s v="VALIDATED"/>
    <n v="1"/>
    <s v="01.11.80.308.2013.0000"/>
    <n v="-331.3"/>
    <s v="11"/>
    <s v="2013"/>
    <n v="-32425.63"/>
    <n v="-331.3"/>
    <s v="DEBTOR"/>
    <n v="0"/>
    <n v="0"/>
    <n v="0"/>
    <n v="0"/>
    <n v="0"/>
  </r>
  <r>
    <n v="59561969"/>
    <s v="N"/>
    <n v="21334086"/>
    <s v="3000013962360010RC"/>
    <s v="CIVIL"/>
    <d v="2023-06-19T00:00:00"/>
    <d v="2023-07-05T19:42:28"/>
    <m/>
    <d v="2023-07-05T00:00:00"/>
    <n v="1878"/>
    <n v="1547"/>
    <s v="59561969"/>
    <s v="59561969"/>
    <m/>
    <m/>
    <m/>
    <m/>
    <m/>
    <m/>
    <s v="SOLRECOUP"/>
    <s v="SOLRECOUP"/>
    <s v="POARECOUP"/>
    <n v="21334086"/>
    <n v="-2013.86"/>
    <m/>
    <s v="Y"/>
    <n v="1"/>
    <d v="2023-07-05T19:42:30"/>
    <s v="N"/>
    <m/>
    <m/>
    <s v="Expert Disbursement"/>
    <m/>
    <s v="N"/>
    <n v="-1678.22"/>
    <n v="0"/>
    <x v="6"/>
    <s v="VALIDATED"/>
    <n v="1"/>
    <s v="01.11.80.203.2013.0000"/>
    <n v="-1678.22"/>
    <s v="11"/>
    <s v="2013"/>
    <n v="-32425.63"/>
    <n v="-1678.22"/>
    <s v="DEBTOR"/>
    <n v="0"/>
    <n v="0"/>
    <n v="0"/>
    <n v="0"/>
    <n v="0"/>
  </r>
  <r>
    <n v="16166207"/>
    <s v="N"/>
    <n v="21324576"/>
    <s v="3000007747490016RC"/>
    <s v="CIVIL"/>
    <d v="2023-06-28T00:00:00"/>
    <d v="2023-07-03T19:42:50"/>
    <m/>
    <d v="2023-07-03T00:00:00"/>
    <n v="1878"/>
    <n v="1547"/>
    <s v="16166207"/>
    <s v="16166207"/>
    <m/>
    <m/>
    <m/>
    <m/>
    <m/>
    <m/>
    <s v="SOLRECOUP"/>
    <s v="SOLRECOUP"/>
    <s v="POARECOUP"/>
    <n v="21324576"/>
    <n v="-26.3"/>
    <m/>
    <s v="Y"/>
    <n v="2"/>
    <d v="2023-07-03T19:42:52"/>
    <s v="N"/>
    <m/>
    <m/>
    <s v="Non Expert Disbursement"/>
    <m/>
    <s v="N"/>
    <n v="0"/>
    <n v="0"/>
    <x v="3"/>
    <s v="VALIDATED"/>
    <n v="1"/>
    <s v="01.11.80.000.0000.0000"/>
    <n v="0"/>
    <s v="11"/>
    <s v="0000"/>
    <n v="-32425.63"/>
    <n v="0"/>
    <s v="DEBTOR"/>
    <n v="0"/>
    <n v="0"/>
    <n v="0"/>
    <n v="0"/>
    <n v="0"/>
  </r>
  <r>
    <n v="16166207"/>
    <s v="N"/>
    <n v="21324577"/>
    <s v="3000007747490007RC"/>
    <s v="CIVIL"/>
    <d v="2023-06-28T00:00:00"/>
    <d v="2023-07-03T19:42:50"/>
    <m/>
    <d v="2023-07-03T00:00:00"/>
    <n v="1878"/>
    <n v="1547"/>
    <s v="16166207"/>
    <s v="16166207"/>
    <m/>
    <m/>
    <m/>
    <m/>
    <m/>
    <m/>
    <s v="SOLRECOUP"/>
    <s v="SOLRECOUP"/>
    <s v="POARECOUP"/>
    <n v="21324577"/>
    <n v="-2780.47"/>
    <m/>
    <s v="Y"/>
    <n v="1"/>
    <d v="2023-07-03T19:42:52"/>
    <s v="N"/>
    <m/>
    <m/>
    <s v="Profit Cost"/>
    <m/>
    <s v="N"/>
    <n v="-2317.06"/>
    <n v="0"/>
    <x v="3"/>
    <s v="VALIDATED"/>
    <n v="1"/>
    <s v="01.11.80.203.2013.0000"/>
    <n v="-2317.06"/>
    <s v="11"/>
    <s v="2013"/>
    <n v="-32425.63"/>
    <n v="-2317.06"/>
    <s v="DEBTOR"/>
    <n v="0"/>
    <n v="0"/>
    <n v="0"/>
    <n v="0"/>
    <n v="0"/>
  </r>
  <r>
    <n v="16166207"/>
    <s v="N"/>
    <n v="21324577"/>
    <s v="3000007747490007RC"/>
    <s v="CIVIL"/>
    <d v="2023-06-28T00:00:00"/>
    <d v="2023-07-03T19:42:50"/>
    <m/>
    <d v="2023-07-03T00:00:00"/>
    <n v="1878"/>
    <n v="1547"/>
    <s v="16166207"/>
    <s v="16166207"/>
    <m/>
    <m/>
    <m/>
    <m/>
    <m/>
    <m/>
    <s v="SOLRECOUP"/>
    <s v="SOLRECOUP"/>
    <s v="POARECOUP"/>
    <n v="21324577"/>
    <n v="-2780.47"/>
    <m/>
    <s v="Y"/>
    <n v="2"/>
    <d v="2023-07-03T19:42:52"/>
    <s v="N"/>
    <m/>
    <m/>
    <s v="Profit Cost"/>
    <m/>
    <s v="N"/>
    <n v="0"/>
    <n v="-463.41"/>
    <x v="3"/>
    <s v="VALIDATED"/>
    <n v="1"/>
    <s v="01.11.80.203.2013.0000"/>
    <n v="-463.41"/>
    <s v="11"/>
    <s v="2013"/>
    <n v="-32425.63"/>
    <n v="-463.41"/>
    <s v="DEBTOR"/>
    <n v="0"/>
    <n v="0"/>
    <n v="0"/>
    <n v="0"/>
    <n v="0"/>
  </r>
  <r>
    <n v="61742173"/>
    <s v="N"/>
    <n v="21324578"/>
    <s v="3000015815100001RC"/>
    <s v="CIVIL"/>
    <d v="2023-06-23T00:00:00"/>
    <d v="2023-07-03T19:42:50"/>
    <m/>
    <d v="2023-07-03T00:00:00"/>
    <n v="1878"/>
    <n v="1547"/>
    <s v="61742173"/>
    <s v="61742173"/>
    <m/>
    <m/>
    <m/>
    <m/>
    <m/>
    <m/>
    <s v="SOLRECOUP"/>
    <s v="SOLRECOUP"/>
    <s v="POARECOUP"/>
    <n v="21324578"/>
    <n v="-3325.54"/>
    <m/>
    <s v="Y"/>
    <n v="1"/>
    <d v="2023-07-03T19:42:52"/>
    <s v="N"/>
    <m/>
    <m/>
    <s v="Profit Cost"/>
    <m/>
    <s v="N"/>
    <n v="-2771.28"/>
    <n v="0"/>
    <x v="3"/>
    <s v="VALIDATED"/>
    <n v="1"/>
    <s v="01.11.80.305.2013.0000"/>
    <n v="-2771.28"/>
    <s v="11"/>
    <s v="2013"/>
    <n v="-32425.63"/>
    <n v="-2771.28"/>
    <s v="DEBTOR"/>
    <n v="0"/>
    <n v="0"/>
    <n v="0"/>
    <n v="0"/>
    <n v="0"/>
  </r>
  <r>
    <n v="61742173"/>
    <s v="N"/>
    <n v="21324578"/>
    <s v="3000015815100001RC"/>
    <s v="CIVIL"/>
    <d v="2023-06-23T00:00:00"/>
    <d v="2023-07-03T19:42:50"/>
    <m/>
    <d v="2023-07-03T00:00:00"/>
    <n v="1878"/>
    <n v="1547"/>
    <s v="61742173"/>
    <s v="61742173"/>
    <m/>
    <m/>
    <m/>
    <m/>
    <m/>
    <m/>
    <s v="SOLRECOUP"/>
    <s v="SOLRECOUP"/>
    <s v="POARECOUP"/>
    <n v="21324578"/>
    <n v="-3325.54"/>
    <m/>
    <s v="Y"/>
    <n v="2"/>
    <d v="2023-07-03T19:42:52"/>
    <s v="N"/>
    <m/>
    <m/>
    <s v="Profit Cost"/>
    <m/>
    <s v="N"/>
    <n v="0"/>
    <n v="-554.26"/>
    <x v="3"/>
    <s v="VALIDATED"/>
    <n v="1"/>
    <s v="01.11.80.305.2013.0000"/>
    <n v="-554.26"/>
    <s v="11"/>
    <s v="2013"/>
    <n v="-32425.63"/>
    <n v="-554.26"/>
    <s v="DEBTOR"/>
    <n v="0"/>
    <n v="0"/>
    <n v="0"/>
    <n v="0"/>
    <n v="0"/>
  </r>
  <r>
    <n v="16166207"/>
    <s v="N"/>
    <n v="21324571"/>
    <s v="3000007747490010RC"/>
    <s v="CIVIL"/>
    <d v="2023-06-28T00:00:00"/>
    <d v="2023-07-03T19:42:50"/>
    <m/>
    <d v="2023-07-03T00:00:00"/>
    <n v="1878"/>
    <n v="1547"/>
    <s v="16166207"/>
    <s v="16166207"/>
    <m/>
    <m/>
    <m/>
    <m/>
    <m/>
    <m/>
    <s v="SOLRECOUP"/>
    <s v="SOLRECOUP"/>
    <s v="POARECOUP"/>
    <n v="21324571"/>
    <n v="-97.2"/>
    <m/>
    <s v="Y"/>
    <n v="1"/>
    <d v="2023-07-03T19:42:52"/>
    <s v="N"/>
    <m/>
    <m/>
    <s v="Expert Disbursement"/>
    <m/>
    <s v="N"/>
    <n v="-81"/>
    <n v="0"/>
    <x v="3"/>
    <s v="VALIDATED"/>
    <n v="1"/>
    <s v="01.11.80.203.2013.0000"/>
    <n v="-81"/>
    <s v="11"/>
    <s v="2013"/>
    <n v="-32425.63"/>
    <n v="-81"/>
    <s v="DEBTOR"/>
    <n v="0"/>
    <n v="0"/>
    <n v="0"/>
    <n v="0"/>
    <n v="0"/>
  </r>
  <r>
    <n v="16166207"/>
    <s v="N"/>
    <n v="21324571"/>
    <s v="3000007747490010RC"/>
    <s v="CIVIL"/>
    <d v="2023-06-28T00:00:00"/>
    <d v="2023-07-03T19:42:50"/>
    <m/>
    <d v="2023-07-03T00:00:00"/>
    <n v="1878"/>
    <n v="1547"/>
    <s v="16166207"/>
    <s v="16166207"/>
    <m/>
    <m/>
    <m/>
    <m/>
    <m/>
    <m/>
    <s v="SOLRECOUP"/>
    <s v="SOLRECOUP"/>
    <s v="POARECOUP"/>
    <n v="21324571"/>
    <n v="-97.2"/>
    <m/>
    <s v="Y"/>
    <n v="2"/>
    <d v="2023-07-03T19:42:52"/>
    <s v="N"/>
    <m/>
    <m/>
    <s v="Expert Disbursement"/>
    <m/>
    <s v="N"/>
    <n v="0"/>
    <n v="-16.2"/>
    <x v="3"/>
    <s v="VALIDATED"/>
    <n v="1"/>
    <s v="01.11.80.203.2013.0000"/>
    <n v="-16.2"/>
    <s v="11"/>
    <s v="2013"/>
    <n v="-32425.63"/>
    <n v="-16.2"/>
    <s v="DEBTOR"/>
    <n v="0"/>
    <n v="0"/>
    <n v="0"/>
    <n v="0"/>
    <n v="0"/>
  </r>
  <r>
    <n v="16166207"/>
    <s v="N"/>
    <n v="21324572"/>
    <s v="3000007747490004RC"/>
    <s v="CIVIL"/>
    <d v="2023-06-28T00:00:00"/>
    <d v="2023-07-03T19:42:50"/>
    <m/>
    <d v="2023-07-03T00:00:00"/>
    <n v="1878"/>
    <n v="1547"/>
    <s v="16166207"/>
    <s v="16166207"/>
    <m/>
    <m/>
    <m/>
    <m/>
    <m/>
    <m/>
    <s v="SOLRECOUP"/>
    <s v="SOLRECOUP"/>
    <s v="POARECOUP"/>
    <n v="21324572"/>
    <n v="-818.26"/>
    <m/>
    <s v="Y"/>
    <n v="1"/>
    <d v="2023-07-03T19:42:52"/>
    <s v="N"/>
    <m/>
    <m/>
    <s v="Profit Cost"/>
    <m/>
    <s v="N"/>
    <n v="-681.88"/>
    <n v="0"/>
    <x v="3"/>
    <s v="VALIDATED"/>
    <n v="1"/>
    <s v="01.11.80.203.2013.0000"/>
    <n v="-681.88"/>
    <s v="11"/>
    <s v="2013"/>
    <n v="-32425.63"/>
    <n v="-681.88"/>
    <s v="DEBTOR"/>
    <n v="0"/>
    <n v="0"/>
    <n v="0"/>
    <n v="0"/>
    <n v="0"/>
  </r>
  <r>
    <n v="16166207"/>
    <s v="N"/>
    <n v="21324572"/>
    <s v="3000007747490004RC"/>
    <s v="CIVIL"/>
    <d v="2023-06-28T00:00:00"/>
    <d v="2023-07-03T19:42:50"/>
    <m/>
    <d v="2023-07-03T00:00:00"/>
    <n v="1878"/>
    <n v="1547"/>
    <s v="16166207"/>
    <s v="16166207"/>
    <m/>
    <m/>
    <m/>
    <m/>
    <m/>
    <m/>
    <s v="SOLRECOUP"/>
    <s v="SOLRECOUP"/>
    <s v="POARECOUP"/>
    <n v="21324572"/>
    <n v="-818.26"/>
    <m/>
    <s v="Y"/>
    <n v="2"/>
    <d v="2023-07-03T19:42:52"/>
    <s v="N"/>
    <m/>
    <m/>
    <s v="Profit Cost"/>
    <m/>
    <s v="N"/>
    <n v="0"/>
    <n v="-136.38"/>
    <x v="3"/>
    <s v="VALIDATED"/>
    <n v="1"/>
    <s v="01.11.80.203.2013.0000"/>
    <n v="-136.38"/>
    <s v="11"/>
    <s v="2013"/>
    <n v="-32425.63"/>
    <n v="-136.38"/>
    <s v="DEBTOR"/>
    <n v="0"/>
    <n v="0"/>
    <n v="0"/>
    <n v="0"/>
    <n v="0"/>
  </r>
  <r>
    <n v="16166207"/>
    <s v="N"/>
    <n v="21324573"/>
    <s v="3000007747490003RC"/>
    <s v="CIVIL"/>
    <d v="2023-06-28T00:00:00"/>
    <d v="2023-07-03T19:42:50"/>
    <m/>
    <d v="2023-07-03T00:00:00"/>
    <n v="1878"/>
    <n v="1547"/>
    <s v="16166207"/>
    <s v="16166207"/>
    <m/>
    <m/>
    <m/>
    <m/>
    <m/>
    <m/>
    <s v="SOLRECOUP"/>
    <s v="SOLRECOUP"/>
    <s v="POARECOUP"/>
    <n v="21324573"/>
    <n v="-365"/>
    <m/>
    <s v="Y"/>
    <n v="1"/>
    <d v="2023-07-03T19:42:52"/>
    <s v="N"/>
    <m/>
    <m/>
    <s v="Non Expert Disbursement"/>
    <m/>
    <s v="N"/>
    <n v="-365"/>
    <n v="0"/>
    <x v="3"/>
    <s v="VALIDATED"/>
    <n v="1"/>
    <s v="01.11.80.203.2013.0000"/>
    <n v="-365"/>
    <s v="11"/>
    <s v="2013"/>
    <n v="-32425.63"/>
    <n v="-365"/>
    <s v="DEBTOR"/>
    <n v="0"/>
    <n v="0"/>
    <n v="0"/>
    <n v="0"/>
    <n v="0"/>
  </r>
  <r>
    <n v="16166207"/>
    <s v="N"/>
    <n v="21324573"/>
    <s v="3000007747490003RC"/>
    <s v="CIVIL"/>
    <d v="2023-06-28T00:00:00"/>
    <d v="2023-07-03T19:42:50"/>
    <m/>
    <d v="2023-07-03T00:00:00"/>
    <n v="1878"/>
    <n v="1547"/>
    <s v="16166207"/>
    <s v="16166207"/>
    <m/>
    <m/>
    <m/>
    <m/>
    <m/>
    <m/>
    <s v="SOLRECOUP"/>
    <s v="SOLRECOUP"/>
    <s v="POARECOUP"/>
    <n v="21324573"/>
    <n v="-365"/>
    <m/>
    <s v="Y"/>
    <n v="2"/>
    <d v="2023-07-03T19:42:52"/>
    <s v="N"/>
    <m/>
    <m/>
    <s v="Non Expert Disbursement"/>
    <m/>
    <s v="N"/>
    <n v="0"/>
    <n v="0"/>
    <x v="3"/>
    <s v="VALIDATED"/>
    <n v="1"/>
    <s v="01.11.80.000.0000.0000"/>
    <n v="0"/>
    <s v="11"/>
    <s v="0000"/>
    <n v="-32425.63"/>
    <n v="0"/>
    <s v="DEBTOR"/>
    <n v="0"/>
    <n v="0"/>
    <n v="0"/>
    <n v="0"/>
    <n v="0"/>
  </r>
  <r>
    <n v="16166207"/>
    <s v="N"/>
    <n v="21324574"/>
    <s v="3000007747490006RC"/>
    <s v="CIVIL"/>
    <d v="2023-06-28T00:00:00"/>
    <d v="2023-07-03T19:42:50"/>
    <m/>
    <d v="2023-07-03T00:00:00"/>
    <n v="1878"/>
    <n v="1547"/>
    <s v="16166207"/>
    <s v="16166207"/>
    <m/>
    <m/>
    <m/>
    <m/>
    <m/>
    <m/>
    <s v="SOLRECOUP"/>
    <s v="SOLRECOUP"/>
    <s v="POARECOUP"/>
    <n v="21324574"/>
    <n v="-3178.49"/>
    <m/>
    <s v="Y"/>
    <n v="1"/>
    <d v="2023-07-03T19:42:52"/>
    <s v="N"/>
    <m/>
    <m/>
    <s v="Profit Cost"/>
    <m/>
    <s v="N"/>
    <n v="-2648.74"/>
    <n v="0"/>
    <x v="3"/>
    <s v="VALIDATED"/>
    <n v="1"/>
    <s v="01.11.80.203.2013.0000"/>
    <n v="-2648.74"/>
    <s v="11"/>
    <s v="2013"/>
    <n v="-32425.63"/>
    <n v="-2648.74"/>
    <s v="DEBTOR"/>
    <n v="0"/>
    <n v="0"/>
    <n v="0"/>
    <n v="0"/>
    <n v="0"/>
  </r>
  <r>
    <n v="16961951"/>
    <s v="N"/>
    <n v="21334087"/>
    <s v="3000007888380018RC"/>
    <s v="CIVIL"/>
    <d v="2023-06-28T00:00:00"/>
    <d v="2023-07-05T19:42:28"/>
    <m/>
    <d v="2023-07-05T00:00:00"/>
    <n v="1878"/>
    <n v="1547"/>
    <s v="16961951"/>
    <s v="16961951"/>
    <m/>
    <m/>
    <m/>
    <m/>
    <m/>
    <m/>
    <s v="SOLRECOUP"/>
    <s v="SOLRECOUP"/>
    <s v="POARECOUP"/>
    <n v="21334087"/>
    <n v="-1363.46"/>
    <m/>
    <s v="Y"/>
    <n v="2"/>
    <d v="2023-07-05T19:42:30"/>
    <s v="N"/>
    <m/>
    <m/>
    <s v="Expert Disbursement"/>
    <m/>
    <s v="N"/>
    <n v="0"/>
    <n v="-227.24"/>
    <x v="6"/>
    <s v="VALIDATED"/>
    <n v="1"/>
    <s v="01.11.80.308.2013.0000"/>
    <n v="-227.24"/>
    <s v="11"/>
    <s v="2013"/>
    <n v="-32425.63"/>
    <n v="-227.24"/>
    <s v="DEBTOR"/>
    <n v="0"/>
    <n v="0"/>
    <n v="0"/>
    <n v="0"/>
    <n v="0"/>
  </r>
  <r>
    <n v="16961951"/>
    <s v="N"/>
    <n v="21334088"/>
    <s v="3000007888380019RC"/>
    <s v="CIVIL"/>
    <d v="2023-06-28T00:00:00"/>
    <d v="2023-07-05T19:42:28"/>
    <m/>
    <d v="2023-07-05T00:00:00"/>
    <n v="1878"/>
    <n v="1547"/>
    <s v="16961951"/>
    <s v="16961951"/>
    <m/>
    <m/>
    <m/>
    <m/>
    <m/>
    <m/>
    <s v="SOLRECOUP"/>
    <s v="SOLRECOUP"/>
    <s v="POARECOUP"/>
    <n v="21334088"/>
    <n v="-6780"/>
    <m/>
    <s v="Y"/>
    <n v="1"/>
    <d v="2023-07-05T19:42:30"/>
    <s v="N"/>
    <m/>
    <m/>
    <s v="Expert Disbursement"/>
    <m/>
    <s v="N"/>
    <n v="-5650"/>
    <n v="0"/>
    <x v="6"/>
    <s v="VALIDATED"/>
    <n v="1"/>
    <s v="01.11.80.308.2013.0000"/>
    <n v="-5650"/>
    <s v="11"/>
    <s v="2013"/>
    <n v="-32425.63"/>
    <n v="-5650"/>
    <s v="DEBTOR"/>
    <n v="0"/>
    <n v="0"/>
    <n v="0"/>
    <n v="0"/>
    <n v="0"/>
  </r>
  <r>
    <n v="16961951"/>
    <s v="N"/>
    <n v="21334088"/>
    <s v="3000007888380019RC"/>
    <s v="CIVIL"/>
    <d v="2023-06-28T00:00:00"/>
    <d v="2023-07-05T19:42:28"/>
    <m/>
    <d v="2023-07-05T00:00:00"/>
    <n v="1878"/>
    <n v="1547"/>
    <s v="16961951"/>
    <s v="16961951"/>
    <m/>
    <m/>
    <m/>
    <m/>
    <m/>
    <m/>
    <s v="SOLRECOUP"/>
    <s v="SOLRECOUP"/>
    <s v="POARECOUP"/>
    <n v="21334088"/>
    <n v="-6780"/>
    <m/>
    <s v="Y"/>
    <n v="2"/>
    <d v="2023-07-05T19:42:30"/>
    <s v="N"/>
    <m/>
    <m/>
    <s v="Expert Disbursement"/>
    <m/>
    <s v="N"/>
    <n v="0"/>
    <n v="-1130"/>
    <x v="6"/>
    <s v="VALIDATED"/>
    <n v="1"/>
    <s v="01.11.80.308.2013.0000"/>
    <n v="-1130"/>
    <s v="11"/>
    <s v="2013"/>
    <n v="-32425.63"/>
    <n v="-1130"/>
    <s v="DEBTOR"/>
    <n v="0"/>
    <n v="0"/>
    <n v="0"/>
    <n v="0"/>
    <n v="0"/>
  </r>
  <r>
    <n v="59561969"/>
    <s v="N"/>
    <n v="21334089"/>
    <s v="3000013962360005RC"/>
    <s v="CIVIL"/>
    <d v="2023-06-19T00:00:00"/>
    <d v="2023-07-05T19:42:28"/>
    <m/>
    <d v="2023-07-05T00:00:00"/>
    <n v="1878"/>
    <n v="1547"/>
    <s v="59561969"/>
    <s v="59561969"/>
    <m/>
    <m/>
    <m/>
    <m/>
    <m/>
    <m/>
    <s v="SOLRECOUP"/>
    <s v="SOLRECOUP"/>
    <s v="POARECOUP"/>
    <n v="21334089"/>
    <n v="-1588.57"/>
    <m/>
    <s v="Y"/>
    <n v="2"/>
    <d v="2023-07-05T19:42:30"/>
    <s v="N"/>
    <m/>
    <m/>
    <s v="Profit Cost"/>
    <m/>
    <s v="N"/>
    <n v="0"/>
    <n v="-264.76"/>
    <x v="6"/>
    <s v="VALIDATED"/>
    <n v="1"/>
    <s v="01.11.80.203.2013.0000"/>
    <n v="-264.76"/>
    <s v="11"/>
    <s v="2013"/>
    <n v="-32425.63"/>
    <n v="-264.76"/>
    <s v="DEBTOR"/>
    <n v="0"/>
    <n v="0"/>
    <n v="0"/>
    <n v="0"/>
    <n v="0"/>
  </r>
  <r>
    <n v="59561969"/>
    <s v="N"/>
    <n v="21334089"/>
    <s v="3000013962360005RC"/>
    <s v="CIVIL"/>
    <d v="2023-06-19T00:00:00"/>
    <d v="2023-07-05T19:42:28"/>
    <m/>
    <d v="2023-07-05T00:00:00"/>
    <n v="1878"/>
    <n v="1547"/>
    <s v="59561969"/>
    <s v="59561969"/>
    <m/>
    <m/>
    <m/>
    <m/>
    <m/>
    <m/>
    <s v="SOLRECOUP"/>
    <s v="SOLRECOUP"/>
    <s v="POARECOUP"/>
    <n v="21334089"/>
    <n v="-1588.57"/>
    <m/>
    <s v="Y"/>
    <n v="1"/>
    <d v="2023-07-05T19:42:30"/>
    <s v="N"/>
    <m/>
    <m/>
    <s v="Profit Cost"/>
    <m/>
    <s v="N"/>
    <n v="-1323.81"/>
    <n v="0"/>
    <x v="6"/>
    <s v="VALIDATED"/>
    <n v="1"/>
    <s v="01.11.80.203.2013.0000"/>
    <n v="-1323.81"/>
    <s v="11"/>
    <s v="2013"/>
    <n v="-32425.63"/>
    <n v="-1323.81"/>
    <s v="DEBTOR"/>
    <n v="0"/>
    <n v="0"/>
    <n v="0"/>
    <n v="0"/>
    <n v="0"/>
  </r>
  <r>
    <n v="16961951"/>
    <s v="N"/>
    <n v="21334090"/>
    <s v="3000007888380020RC"/>
    <s v="CIVIL"/>
    <d v="2023-06-28T00:00:00"/>
    <d v="2023-07-05T19:42:28"/>
    <m/>
    <d v="2023-07-05T00:00:00"/>
    <n v="1878"/>
    <n v="1547"/>
    <s v="16961951"/>
    <s v="16961951"/>
    <m/>
    <m/>
    <m/>
    <m/>
    <m/>
    <m/>
    <s v="SOLRECOUP"/>
    <s v="SOLRECOUP"/>
    <s v="POARECOUP"/>
    <n v="21334090"/>
    <n v="-2820"/>
    <m/>
    <s v="Y"/>
    <n v="2"/>
    <d v="2023-07-05T19:42:30"/>
    <s v="N"/>
    <m/>
    <m/>
    <s v="Expert Disbursement"/>
    <m/>
    <s v="N"/>
    <n v="0"/>
    <n v="-470"/>
    <x v="6"/>
    <s v="VALIDATED"/>
    <n v="1"/>
    <s v="01.11.80.308.2013.0000"/>
    <n v="-470"/>
    <s v="11"/>
    <s v="2013"/>
    <n v="-32425.63"/>
    <n v="-470"/>
    <s v="DEBTOR"/>
    <n v="0"/>
    <n v="0"/>
    <n v="0"/>
    <n v="0"/>
    <n v="0"/>
  </r>
  <r>
    <n v="16961951"/>
    <s v="N"/>
    <n v="21334090"/>
    <s v="3000007888380020RC"/>
    <s v="CIVIL"/>
    <d v="2023-06-28T00:00:00"/>
    <d v="2023-07-05T19:42:28"/>
    <m/>
    <d v="2023-07-05T00:00:00"/>
    <n v="1878"/>
    <n v="1547"/>
    <s v="16961951"/>
    <s v="16961951"/>
    <m/>
    <m/>
    <m/>
    <m/>
    <m/>
    <m/>
    <s v="SOLRECOUP"/>
    <s v="SOLRECOUP"/>
    <s v="POARECOUP"/>
    <n v="21334090"/>
    <n v="-2820"/>
    <m/>
    <s v="Y"/>
    <n v="1"/>
    <d v="2023-07-05T19:42:30"/>
    <s v="N"/>
    <m/>
    <m/>
    <s v="Expert Disbursement"/>
    <m/>
    <s v="N"/>
    <n v="-2350"/>
    <n v="0"/>
    <x v="6"/>
    <s v="VALIDATED"/>
    <n v="1"/>
    <s v="01.11.80.308.2013.0000"/>
    <n v="-2350"/>
    <s v="11"/>
    <s v="2013"/>
    <n v="-32425.63"/>
    <n v="-2350"/>
    <s v="DEBTOR"/>
    <n v="0"/>
    <n v="0"/>
    <n v="0"/>
    <n v="0"/>
    <n v="0"/>
  </r>
  <r>
    <n v="16961951"/>
    <s v="N"/>
    <n v="21334091"/>
    <s v="3000007888380023RC"/>
    <s v="CIVIL"/>
    <d v="2023-06-28T00:00:00"/>
    <d v="2023-07-05T19:42:28"/>
    <m/>
    <d v="2023-07-05T00:00:00"/>
    <n v="1878"/>
    <n v="1547"/>
    <s v="16961951"/>
    <s v="16961951"/>
    <m/>
    <m/>
    <m/>
    <m/>
    <m/>
    <m/>
    <s v="SOLRECOUP"/>
    <s v="SOLRECOUP"/>
    <s v="POARECOUP"/>
    <n v="21334091"/>
    <n v="-222.3"/>
    <m/>
    <s v="Y"/>
    <n v="1"/>
    <d v="2023-07-05T19:42:30"/>
    <s v="N"/>
    <m/>
    <m/>
    <s v="Expert Disbursement"/>
    <m/>
    <s v="N"/>
    <n v="-222.3"/>
    <n v="0"/>
    <x v="6"/>
    <s v="VALIDATED"/>
    <n v="1"/>
    <s v="01.11.80.308.2013.0000"/>
    <n v="-222.3"/>
    <s v="11"/>
    <s v="2013"/>
    <n v="-32425.63"/>
    <n v="-222.3"/>
    <s v="DEBTOR"/>
    <n v="0"/>
    <n v="0"/>
    <n v="0"/>
    <n v="0"/>
    <n v="0"/>
  </r>
  <r>
    <n v="16961951"/>
    <s v="N"/>
    <n v="21334091"/>
    <s v="3000007888380023RC"/>
    <s v="CIVIL"/>
    <d v="2023-06-28T00:00:00"/>
    <d v="2023-07-05T19:42:28"/>
    <m/>
    <d v="2023-07-05T00:00:00"/>
    <n v="1878"/>
    <n v="1547"/>
    <s v="16961951"/>
    <s v="16961951"/>
    <m/>
    <m/>
    <m/>
    <m/>
    <m/>
    <m/>
    <s v="SOLRECOUP"/>
    <s v="SOLRECOUP"/>
    <s v="POARECOUP"/>
    <n v="21334091"/>
    <n v="-222.3"/>
    <m/>
    <s v="Y"/>
    <n v="2"/>
    <d v="2023-07-05T19:42:30"/>
    <s v="N"/>
    <m/>
    <m/>
    <s v="Expert Disbursement"/>
    <m/>
    <s v="N"/>
    <n v="0"/>
    <n v="0"/>
    <x v="6"/>
    <s v="VALIDATED"/>
    <n v="1"/>
    <s v="01.11.80.000.0000.0000"/>
    <n v="0"/>
    <s v="11"/>
    <s v="0000"/>
    <n v="-32425.63"/>
    <n v="0"/>
    <s v="DEBTOR"/>
    <n v="0"/>
    <n v="0"/>
    <n v="0"/>
    <n v="0"/>
    <n v="0"/>
  </r>
  <r>
    <n v="16961951"/>
    <s v="N"/>
    <n v="21334092"/>
    <s v="3000007888380021RC"/>
    <s v="CIVIL"/>
    <d v="2023-06-28T00:00:00"/>
    <d v="2023-07-05T19:42:28"/>
    <m/>
    <d v="2023-07-05T00:00:00"/>
    <n v="1878"/>
    <n v="1547"/>
    <s v="16961951"/>
    <s v="16961951"/>
    <m/>
    <m/>
    <m/>
    <m/>
    <m/>
    <m/>
    <s v="SOLRECOUP"/>
    <s v="SOLRECOUP"/>
    <s v="POARECOUP"/>
    <n v="21334092"/>
    <n v="-93.59999999999999"/>
    <m/>
    <s v="Y"/>
    <n v="2"/>
    <d v="2023-07-05T19:42:30"/>
    <s v="N"/>
    <m/>
    <m/>
    <s v="Expert Disbursement"/>
    <m/>
    <s v="N"/>
    <n v="0"/>
    <n v="0"/>
    <x v="6"/>
    <s v="VALIDATED"/>
    <n v="1"/>
    <s v="01.11.80.000.0000.0000"/>
    <n v="0"/>
    <s v="11"/>
    <s v="0000"/>
    <n v="-32425.63"/>
    <n v="0"/>
    <s v="DEBTOR"/>
    <n v="0"/>
    <n v="0"/>
    <n v="0"/>
    <n v="0"/>
    <n v="0"/>
  </r>
  <r>
    <n v="16961951"/>
    <s v="N"/>
    <n v="21334092"/>
    <s v="3000007888380021RC"/>
    <s v="CIVIL"/>
    <d v="2023-06-28T00:00:00"/>
    <d v="2023-07-05T19:42:28"/>
    <m/>
    <d v="2023-07-05T00:00:00"/>
    <n v="1878"/>
    <n v="1547"/>
    <s v="16961951"/>
    <s v="16961951"/>
    <m/>
    <m/>
    <m/>
    <m/>
    <m/>
    <m/>
    <s v="SOLRECOUP"/>
    <s v="SOLRECOUP"/>
    <s v="POARECOUP"/>
    <n v="21334092"/>
    <n v="-93.59999999999999"/>
    <m/>
    <s v="Y"/>
    <n v="1"/>
    <d v="2023-07-05T19:42:30"/>
    <s v="N"/>
    <m/>
    <m/>
    <s v="Expert Disbursement"/>
    <m/>
    <s v="N"/>
    <n v="-93.59999999999999"/>
    <n v="0"/>
    <x v="6"/>
    <s v="VALIDATED"/>
    <n v="1"/>
    <s v="01.11.80.308.2013.0000"/>
    <n v="-93.59999999999999"/>
    <s v="11"/>
    <s v="2013"/>
    <n v="-32425.63"/>
    <n v="-93.59999999999999"/>
    <s v="DEBTOR"/>
    <n v="0"/>
    <n v="0"/>
    <n v="0"/>
    <n v="0"/>
    <n v="0"/>
  </r>
  <r>
    <n v="59561969"/>
    <s v="N"/>
    <n v="21334093"/>
    <s v="3000013962360008RC"/>
    <s v="CIVIL"/>
    <d v="2023-06-19T00:00:00"/>
    <d v="2023-07-05T19:42:28"/>
    <m/>
    <d v="2023-07-05T00:00:00"/>
    <n v="1878"/>
    <n v="1547"/>
    <s v="59561969"/>
    <s v="59561969"/>
    <m/>
    <m/>
    <m/>
    <m/>
    <m/>
    <m/>
    <s v="SOLRECOUP"/>
    <s v="SOLRECOUP"/>
    <s v="POARECOUP"/>
    <n v="21334093"/>
    <n v="-1395.41"/>
    <m/>
    <s v="Y"/>
    <n v="1"/>
    <d v="2023-07-05T19:42:30"/>
    <s v="N"/>
    <m/>
    <m/>
    <s v="Profit Cost"/>
    <m/>
    <s v="N"/>
    <n v="-1162.84"/>
    <n v="0"/>
    <x v="6"/>
    <s v="VALIDATED"/>
    <n v="1"/>
    <s v="01.11.80.203.2013.0000"/>
    <n v="-1162.84"/>
    <s v="11"/>
    <s v="2013"/>
    <n v="-32425.63"/>
    <n v="-1162.84"/>
    <s v="DEBTOR"/>
    <n v="0"/>
    <n v="0"/>
    <n v="0"/>
    <n v="0"/>
    <n v="0"/>
  </r>
  <r>
    <n v="59561969"/>
    <s v="N"/>
    <n v="21334093"/>
    <s v="3000013962360008RC"/>
    <s v="CIVIL"/>
    <d v="2023-06-19T00:00:00"/>
    <d v="2023-07-05T19:42:28"/>
    <m/>
    <d v="2023-07-05T00:00:00"/>
    <n v="1878"/>
    <n v="1547"/>
    <s v="59561969"/>
    <s v="59561969"/>
    <m/>
    <m/>
    <m/>
    <m/>
    <m/>
    <m/>
    <s v="SOLRECOUP"/>
    <s v="SOLRECOUP"/>
    <s v="POARECOUP"/>
    <n v="21334093"/>
    <n v="-1395.41"/>
    <m/>
    <s v="Y"/>
    <n v="2"/>
    <d v="2023-07-05T19:42:30"/>
    <s v="N"/>
    <m/>
    <m/>
    <s v="Profit Cost"/>
    <m/>
    <s v="N"/>
    <n v="0"/>
    <n v="-232.57"/>
    <x v="6"/>
    <s v="VALIDATED"/>
    <n v="1"/>
    <s v="01.11.80.203.2013.0000"/>
    <n v="-232.57"/>
    <s v="11"/>
    <s v="2013"/>
    <n v="-32425.63"/>
    <n v="-232.57"/>
    <s v="DEBTOR"/>
    <n v="0"/>
    <n v="0"/>
    <n v="0"/>
    <n v="0"/>
    <n v="0"/>
  </r>
  <r>
    <n v="59677260"/>
    <s v="N"/>
    <n v="21334094"/>
    <s v="3000014052440005RC"/>
    <s v="CIVIL"/>
    <d v="2023-06-30T00:00:00"/>
    <d v="2023-07-05T19:42:28"/>
    <m/>
    <d v="2023-07-05T00:00:00"/>
    <n v="1878"/>
    <n v="1547"/>
    <s v="59677260"/>
    <s v="59677260"/>
    <m/>
    <m/>
    <m/>
    <m/>
    <m/>
    <m/>
    <s v="SOLRECOUP"/>
    <s v="SOLRECOUP"/>
    <s v="POARECOUP"/>
    <n v="21334094"/>
    <n v="-1107.6"/>
    <m/>
    <s v="Y"/>
    <n v="2"/>
    <d v="2023-07-05T19:42:30"/>
    <s v="N"/>
    <m/>
    <m/>
    <s v="Profit Cost"/>
    <m/>
    <s v="N"/>
    <n v="0"/>
    <n v="-184.6"/>
    <x v="6"/>
    <s v="VALIDATED"/>
    <n v="1"/>
    <s v="01.11.80.203.2013.0000"/>
    <n v="-184.6"/>
    <s v="11"/>
    <s v="2013"/>
    <n v="-32425.63"/>
    <n v="-184.6"/>
    <s v="DEBTOR"/>
    <n v="0"/>
    <n v="0"/>
    <n v="0"/>
    <n v="0"/>
    <n v="0"/>
  </r>
  <r>
    <n v="59677260"/>
    <s v="N"/>
    <n v="21334094"/>
    <s v="3000014052440005RC"/>
    <s v="CIVIL"/>
    <d v="2023-06-30T00:00:00"/>
    <d v="2023-07-05T19:42:28"/>
    <m/>
    <d v="2023-07-05T00:00:00"/>
    <n v="1878"/>
    <n v="1547"/>
    <s v="59677260"/>
    <s v="59677260"/>
    <m/>
    <m/>
    <m/>
    <m/>
    <m/>
    <m/>
    <s v="SOLRECOUP"/>
    <s v="SOLRECOUP"/>
    <s v="POARECOUP"/>
    <n v="21334094"/>
    <n v="-1107.6"/>
    <m/>
    <s v="Y"/>
    <n v="1"/>
    <d v="2023-07-05T19:42:30"/>
    <s v="N"/>
    <m/>
    <m/>
    <s v="Profit Cost"/>
    <m/>
    <s v="N"/>
    <n v="-923"/>
    <n v="0"/>
    <x v="6"/>
    <s v="VALIDATED"/>
    <n v="1"/>
    <s v="01.11.80.203.2013.0000"/>
    <n v="-923"/>
    <s v="11"/>
    <s v="2013"/>
    <n v="-32425.63"/>
    <n v="-923"/>
    <s v="DEBTOR"/>
    <n v="0"/>
    <n v="0"/>
    <n v="0"/>
    <n v="0"/>
    <n v="0"/>
  </r>
  <r>
    <n v="59677260"/>
    <s v="N"/>
    <n v="21334095"/>
    <s v="3000014052440008RC"/>
    <s v="CIVIL"/>
    <d v="2023-06-30T00:00:00"/>
    <d v="2023-07-05T19:42:28"/>
    <m/>
    <d v="2023-07-05T00:00:00"/>
    <n v="1878"/>
    <n v="1547"/>
    <s v="59677260"/>
    <s v="59677260"/>
    <m/>
    <m/>
    <m/>
    <m/>
    <m/>
    <m/>
    <s v="SOLRECOUP"/>
    <s v="SOLRECOUP"/>
    <s v="POARECOUP"/>
    <n v="21334095"/>
    <n v="-2732.26"/>
    <m/>
    <s v="Y"/>
    <n v="1"/>
    <d v="2023-07-05T19:42:30"/>
    <s v="N"/>
    <m/>
    <m/>
    <s v="Expert Disbursement"/>
    <m/>
    <s v="N"/>
    <n v="-2276.88"/>
    <n v="0"/>
    <x v="6"/>
    <s v="VALIDATED"/>
    <n v="1"/>
    <s v="01.11.80.203.2013.0000"/>
    <n v="-2276.88"/>
    <s v="11"/>
    <s v="2013"/>
    <n v="-32425.63"/>
    <n v="-2276.88"/>
    <s v="DEBTOR"/>
    <n v="0"/>
    <n v="0"/>
    <n v="0"/>
    <n v="0"/>
    <n v="0"/>
  </r>
  <r>
    <n v="59677260"/>
    <s v="N"/>
    <n v="21334095"/>
    <s v="3000014052440008RC"/>
    <s v="CIVIL"/>
    <d v="2023-06-30T00:00:00"/>
    <d v="2023-07-05T19:42:28"/>
    <m/>
    <d v="2023-07-05T00:00:00"/>
    <n v="1878"/>
    <n v="1547"/>
    <s v="59677260"/>
    <s v="59677260"/>
    <m/>
    <m/>
    <m/>
    <m/>
    <m/>
    <m/>
    <s v="SOLRECOUP"/>
    <s v="SOLRECOUP"/>
    <s v="POARECOUP"/>
    <n v="21334095"/>
    <n v="-2732.26"/>
    <m/>
    <s v="Y"/>
    <n v="2"/>
    <d v="2023-07-05T19:42:30"/>
    <s v="N"/>
    <m/>
    <m/>
    <s v="Expert Disbursement"/>
    <m/>
    <s v="N"/>
    <n v="0"/>
    <n v="-455.38"/>
    <x v="6"/>
    <s v="VALIDATED"/>
    <n v="1"/>
    <s v="01.11.80.203.2013.0000"/>
    <n v="-455.38"/>
    <s v="11"/>
    <s v="2013"/>
    <n v="-32425.63"/>
    <n v="-455.38"/>
    <s v="DEBTOR"/>
    <n v="0"/>
    <n v="0"/>
    <n v="0"/>
    <n v="0"/>
    <n v="0"/>
  </r>
  <r>
    <n v="59677260"/>
    <s v="N"/>
    <n v="21334096"/>
    <s v="3000014052440013RC"/>
    <s v="CIVIL"/>
    <d v="2023-06-30T00:00:00"/>
    <d v="2023-07-05T19:42:28"/>
    <m/>
    <d v="2023-07-05T00:00:00"/>
    <n v="1878"/>
    <n v="1547"/>
    <s v="59677260"/>
    <s v="59677260"/>
    <m/>
    <m/>
    <m/>
    <m/>
    <m/>
    <m/>
    <s v="SOLRECOUP"/>
    <s v="SOLRECOUP"/>
    <s v="POARECOUP"/>
    <n v="21334096"/>
    <n v="-130.56"/>
    <m/>
    <s v="Y"/>
    <n v="2"/>
    <d v="2023-07-05T19:42:30"/>
    <s v="N"/>
    <m/>
    <m/>
    <s v="Expert Disbursement"/>
    <m/>
    <s v="N"/>
    <n v="0"/>
    <n v="-21.76"/>
    <x v="6"/>
    <s v="VALIDATED"/>
    <n v="1"/>
    <s v="01.11.80.203.2013.0000"/>
    <n v="-21.76"/>
    <s v="11"/>
    <s v="2013"/>
    <n v="-32425.63"/>
    <n v="-21.76"/>
    <s v="DEBTOR"/>
    <n v="0"/>
    <n v="0"/>
    <n v="0"/>
    <n v="0"/>
    <n v="0"/>
  </r>
  <r>
    <n v="59677260"/>
    <s v="N"/>
    <n v="21334096"/>
    <s v="3000014052440013RC"/>
    <s v="CIVIL"/>
    <d v="2023-06-30T00:00:00"/>
    <d v="2023-07-05T19:42:28"/>
    <m/>
    <d v="2023-07-05T00:00:00"/>
    <n v="1878"/>
    <n v="1547"/>
    <s v="59677260"/>
    <s v="59677260"/>
    <m/>
    <m/>
    <m/>
    <m/>
    <m/>
    <m/>
    <s v="SOLRECOUP"/>
    <s v="SOLRECOUP"/>
    <s v="POARECOUP"/>
    <n v="21334096"/>
    <n v="-130.56"/>
    <m/>
    <s v="Y"/>
    <n v="1"/>
    <d v="2023-07-05T19:42:30"/>
    <s v="N"/>
    <m/>
    <m/>
    <s v="Expert Disbursement"/>
    <m/>
    <s v="N"/>
    <n v="-108.8"/>
    <n v="0"/>
    <x v="6"/>
    <s v="VALIDATED"/>
    <n v="1"/>
    <s v="01.11.80.203.2013.0000"/>
    <n v="-108.8"/>
    <s v="11"/>
    <s v="2013"/>
    <n v="-32425.63"/>
    <n v="-108.8"/>
    <s v="DEBTOR"/>
    <n v="0"/>
    <n v="0"/>
    <n v="0"/>
    <n v="0"/>
    <n v="0"/>
  </r>
  <r>
    <n v="59561969"/>
    <s v="N"/>
    <n v="21334097"/>
    <s v="3000013962360009RC"/>
    <s v="CIVIL"/>
    <d v="2023-06-19T00:00:00"/>
    <d v="2023-07-05T19:42:28"/>
    <m/>
    <d v="2023-07-05T00:00:00"/>
    <n v="1878"/>
    <n v="1547"/>
    <s v="59561969"/>
    <s v="59561969"/>
    <m/>
    <m/>
    <m/>
    <m/>
    <m/>
    <m/>
    <s v="SOLRECOUP"/>
    <s v="SOLRECOUP"/>
    <s v="POARECOUP"/>
    <n v="21334097"/>
    <n v="-2569.6"/>
    <m/>
    <s v="Y"/>
    <n v="2"/>
    <d v="2023-07-05T19:42:30"/>
    <s v="N"/>
    <m/>
    <m/>
    <s v="Expert Disbursement"/>
    <m/>
    <s v="N"/>
    <n v="0"/>
    <n v="-428.27"/>
    <x v="6"/>
    <s v="VALIDATED"/>
    <n v="1"/>
    <s v="01.11.80.203.2013.0000"/>
    <n v="-428.27"/>
    <s v="11"/>
    <s v="2013"/>
    <n v="-32425.63"/>
    <n v="-428.27"/>
    <s v="DEBTOR"/>
    <n v="0"/>
    <n v="0"/>
    <n v="0"/>
    <n v="0"/>
    <n v="0"/>
  </r>
  <r>
    <n v="59561969"/>
    <s v="N"/>
    <n v="21334097"/>
    <s v="3000013962360009RC"/>
    <s v="CIVIL"/>
    <d v="2023-06-19T00:00:00"/>
    <d v="2023-07-05T19:42:28"/>
    <m/>
    <d v="2023-07-05T00:00:00"/>
    <n v="1878"/>
    <n v="1547"/>
    <s v="59561969"/>
    <s v="59561969"/>
    <m/>
    <m/>
    <m/>
    <m/>
    <m/>
    <m/>
    <s v="SOLRECOUP"/>
    <s v="SOLRECOUP"/>
    <s v="POARECOUP"/>
    <n v="21334097"/>
    <n v="-2569.6"/>
    <m/>
    <s v="Y"/>
    <n v="1"/>
    <d v="2023-07-05T19:42:30"/>
    <s v="N"/>
    <m/>
    <m/>
    <s v="Expert Disbursement"/>
    <m/>
    <s v="N"/>
    <n v="-2141.33"/>
    <n v="0"/>
    <x v="6"/>
    <s v="VALIDATED"/>
    <n v="1"/>
    <s v="01.11.80.203.2013.0000"/>
    <n v="-2141.33"/>
    <s v="11"/>
    <s v="2013"/>
    <n v="-32425.63"/>
    <n v="-2141.33"/>
    <s v="DEBTOR"/>
    <n v="0"/>
    <n v="0"/>
    <n v="0"/>
    <n v="0"/>
    <n v="0"/>
  </r>
  <r>
    <n v="16961951"/>
    <s v="N"/>
    <n v="21334098"/>
    <s v="3000007888380022RC"/>
    <s v="CIVIL"/>
    <d v="2023-06-28T00:00:00"/>
    <d v="2023-07-05T19:42:28"/>
    <m/>
    <d v="2023-07-05T00:00:00"/>
    <n v="1878"/>
    <n v="1547"/>
    <s v="16961951"/>
    <s v="16961951"/>
    <m/>
    <m/>
    <m/>
    <m/>
    <m/>
    <m/>
    <s v="SOLRECOUP"/>
    <s v="SOLRECOUP"/>
    <s v="POARECOUP"/>
    <n v="21334098"/>
    <n v="-1850.58"/>
    <m/>
    <s v="Y"/>
    <n v="1"/>
    <d v="2023-07-05T19:42:30"/>
    <s v="N"/>
    <m/>
    <m/>
    <s v="Profit Cost"/>
    <m/>
    <s v="N"/>
    <n v="-1542.15"/>
    <n v="0"/>
    <x v="6"/>
    <s v="VALIDATED"/>
    <n v="1"/>
    <s v="01.11.80.308.2013.0000"/>
    <n v="-1542.15"/>
    <s v="11"/>
    <s v="2013"/>
    <n v="-32425.63"/>
    <n v="-1542.15"/>
    <s v="DEBTOR"/>
    <n v="0"/>
    <n v="0"/>
    <n v="0"/>
    <n v="0"/>
    <n v="0"/>
  </r>
  <r>
    <n v="16961951"/>
    <s v="N"/>
    <n v="21334098"/>
    <s v="3000007888380022RC"/>
    <s v="CIVIL"/>
    <d v="2023-06-28T00:00:00"/>
    <d v="2023-07-05T19:42:28"/>
    <m/>
    <d v="2023-07-05T00:00:00"/>
    <n v="1878"/>
    <n v="1547"/>
    <s v="16961951"/>
    <s v="16961951"/>
    <m/>
    <m/>
    <m/>
    <m/>
    <m/>
    <m/>
    <s v="SOLRECOUP"/>
    <s v="SOLRECOUP"/>
    <s v="POARECOUP"/>
    <n v="21334098"/>
    <n v="-1850.58"/>
    <m/>
    <s v="Y"/>
    <n v="2"/>
    <d v="2023-07-05T19:42:30"/>
    <s v="N"/>
    <m/>
    <m/>
    <s v="Profit Cost"/>
    <m/>
    <s v="N"/>
    <n v="0"/>
    <n v="-308.43"/>
    <x v="6"/>
    <s v="VALIDATED"/>
    <n v="1"/>
    <s v="01.11.80.308.2013.0000"/>
    <n v="-308.43"/>
    <s v="11"/>
    <s v="2013"/>
    <n v="-32425.63"/>
    <n v="-308.43"/>
    <s v="DEBTOR"/>
    <n v="0"/>
    <n v="0"/>
    <n v="0"/>
    <n v="0"/>
    <n v="0"/>
  </r>
  <r>
    <n v="16961951"/>
    <s v="N"/>
    <n v="21334099"/>
    <s v="3000007888380025RC"/>
    <s v="CIVIL"/>
    <d v="2023-06-28T00:00:00"/>
    <d v="2023-07-05T19:42:28"/>
    <m/>
    <d v="2023-07-05T00:00:00"/>
    <n v="1878"/>
    <n v="1547"/>
    <s v="16961951"/>
    <s v="16961951"/>
    <m/>
    <m/>
    <m/>
    <m/>
    <m/>
    <m/>
    <s v="SOLRECOUP"/>
    <s v="SOLRECOUP"/>
    <s v="POARECOUP"/>
    <n v="21334099"/>
    <n v="-405"/>
    <m/>
    <s v="Y"/>
    <n v="2"/>
    <d v="2023-07-05T19:42:30"/>
    <s v="N"/>
    <m/>
    <m/>
    <s v="Expert Disbursement"/>
    <m/>
    <s v="N"/>
    <n v="0"/>
    <n v="0"/>
    <x v="6"/>
    <s v="VALIDATED"/>
    <n v="1"/>
    <s v="01.11.80.000.0000.0000"/>
    <n v="0"/>
    <s v="11"/>
    <s v="0000"/>
    <n v="-32425.63"/>
    <n v="0"/>
    <s v="DEBTOR"/>
    <n v="0"/>
    <n v="0"/>
    <n v="0"/>
    <n v="0"/>
    <n v="0"/>
  </r>
  <r>
    <n v="16961951"/>
    <s v="N"/>
    <n v="21334099"/>
    <s v="3000007888380025RC"/>
    <s v="CIVIL"/>
    <d v="2023-06-28T00:00:00"/>
    <d v="2023-07-05T19:42:28"/>
    <m/>
    <d v="2023-07-05T00:00:00"/>
    <n v="1878"/>
    <n v="1547"/>
    <s v="16961951"/>
    <s v="16961951"/>
    <m/>
    <m/>
    <m/>
    <m/>
    <m/>
    <m/>
    <s v="SOLRECOUP"/>
    <s v="SOLRECOUP"/>
    <s v="POARECOUP"/>
    <n v="21334099"/>
    <n v="-405"/>
    <m/>
    <s v="Y"/>
    <n v="1"/>
    <d v="2023-07-05T19:42:30"/>
    <s v="N"/>
    <m/>
    <m/>
    <s v="Expert Disbursement"/>
    <m/>
    <s v="N"/>
    <n v="-405"/>
    <n v="0"/>
    <x v="6"/>
    <s v="VALIDATED"/>
    <n v="1"/>
    <s v="01.11.80.308.2013.0000"/>
    <n v="-405"/>
    <s v="11"/>
    <s v="2013"/>
    <n v="-32425.63"/>
    <n v="-405"/>
    <s v="DEBTOR"/>
    <n v="0"/>
    <n v="0"/>
    <n v="0"/>
    <n v="0"/>
    <n v="0"/>
  </r>
  <r>
    <n v="59561969"/>
    <s v="N"/>
    <n v="21334100"/>
    <s v="3000013962360012RC"/>
    <s v="CIVIL"/>
    <d v="2023-06-19T00:00:00"/>
    <d v="2023-07-05T19:42:28"/>
    <m/>
    <d v="2023-07-05T00:00:00"/>
    <n v="1878"/>
    <n v="1547"/>
    <s v="59561969"/>
    <s v="59561969"/>
    <m/>
    <m/>
    <m/>
    <m/>
    <m/>
    <m/>
    <s v="SOLRECOUP"/>
    <s v="SOLRECOUP"/>
    <s v="POARECOUP"/>
    <n v="21334100"/>
    <n v="-3341.2"/>
    <m/>
    <s v="Y"/>
    <n v="1"/>
    <d v="2023-07-05T19:42:30"/>
    <s v="N"/>
    <m/>
    <m/>
    <s v="Expert Disbursement"/>
    <m/>
    <s v="N"/>
    <n v="-2784.33"/>
    <n v="0"/>
    <x v="6"/>
    <s v="VALIDATED"/>
    <n v="1"/>
    <s v="01.11.80.203.2013.0000"/>
    <n v="-2784.33"/>
    <s v="11"/>
    <s v="2013"/>
    <n v="-32425.63"/>
    <n v="-2784.33"/>
    <s v="DEBTOR"/>
    <n v="0"/>
    <n v="0"/>
    <n v="0"/>
    <n v="0"/>
    <n v="0"/>
  </r>
  <r>
    <n v="59561969"/>
    <s v="N"/>
    <n v="21334100"/>
    <s v="3000013962360012RC"/>
    <s v="CIVIL"/>
    <d v="2023-06-19T00:00:00"/>
    <d v="2023-07-05T19:42:28"/>
    <m/>
    <d v="2023-07-05T00:00:00"/>
    <n v="1878"/>
    <n v="1547"/>
    <s v="59561969"/>
    <s v="59561969"/>
    <m/>
    <m/>
    <m/>
    <m/>
    <m/>
    <m/>
    <s v="SOLRECOUP"/>
    <s v="SOLRECOUP"/>
    <s v="POARECOUP"/>
    <n v="21334100"/>
    <n v="-3341.2"/>
    <m/>
    <s v="Y"/>
    <n v="2"/>
    <d v="2023-07-05T19:42:30"/>
    <s v="N"/>
    <m/>
    <m/>
    <s v="Expert Disbursement"/>
    <m/>
    <s v="N"/>
    <n v="0"/>
    <n v="-556.87"/>
    <x v="6"/>
    <s v="VALIDATED"/>
    <n v="1"/>
    <s v="01.11.80.203.2013.0000"/>
    <n v="-556.87"/>
    <s v="11"/>
    <s v="2013"/>
    <n v="-32425.63"/>
    <n v="-556.87"/>
    <s v="DEBTOR"/>
    <n v="0"/>
    <n v="0"/>
    <n v="0"/>
    <n v="0"/>
    <n v="0"/>
  </r>
  <r>
    <n v="16961951"/>
    <s v="N"/>
    <n v="21334101"/>
    <s v="3000007888380026RC"/>
    <s v="CIVIL"/>
    <d v="2023-06-28T00:00:00"/>
    <d v="2023-07-05T19:42:28"/>
    <m/>
    <d v="2023-07-05T00:00:00"/>
    <n v="1878"/>
    <n v="1547"/>
    <s v="16961951"/>
    <s v="16961951"/>
    <m/>
    <m/>
    <m/>
    <m/>
    <m/>
    <m/>
    <s v="SOLRECOUP"/>
    <s v="SOLRECOUP"/>
    <s v="POARECOUP"/>
    <n v="21334101"/>
    <n v="-8424.08"/>
    <m/>
    <s v="Y"/>
    <n v="1"/>
    <d v="2023-07-05T19:42:30"/>
    <s v="N"/>
    <m/>
    <m/>
    <s v="Profit Cost"/>
    <m/>
    <s v="N"/>
    <n v="-7020.07"/>
    <n v="0"/>
    <x v="6"/>
    <s v="VALIDATED"/>
    <n v="1"/>
    <s v="01.11.80.308.2013.0000"/>
    <n v="-7020.07"/>
    <s v="11"/>
    <s v="2013"/>
    <n v="-32425.63"/>
    <n v="-7020.07"/>
    <s v="DEBTOR"/>
    <n v="0"/>
    <n v="0"/>
    <n v="0"/>
    <n v="0"/>
    <n v="0"/>
  </r>
  <r>
    <n v="16961951"/>
    <s v="N"/>
    <n v="21334101"/>
    <s v="3000007888380026RC"/>
    <s v="CIVIL"/>
    <d v="2023-06-28T00:00:00"/>
    <d v="2023-07-05T19:42:28"/>
    <m/>
    <d v="2023-07-05T00:00:00"/>
    <n v="1878"/>
    <n v="1547"/>
    <s v="16961951"/>
    <s v="16961951"/>
    <m/>
    <m/>
    <m/>
    <m/>
    <m/>
    <m/>
    <s v="SOLRECOUP"/>
    <s v="SOLRECOUP"/>
    <s v="POARECOUP"/>
    <n v="21334101"/>
    <n v="-8424.08"/>
    <m/>
    <s v="Y"/>
    <n v="2"/>
    <d v="2023-07-05T19:42:30"/>
    <s v="N"/>
    <m/>
    <m/>
    <s v="Profit Cost"/>
    <m/>
    <s v="N"/>
    <n v="0"/>
    <n v="-1404.01"/>
    <x v="6"/>
    <s v="VALIDATED"/>
    <n v="1"/>
    <s v="01.11.80.308.2013.0000"/>
    <n v="-1404.01"/>
    <s v="11"/>
    <s v="2013"/>
    <n v="-32425.63"/>
    <n v="-1404.01"/>
    <s v="DEBTOR"/>
    <n v="0"/>
    <n v="0"/>
    <n v="0"/>
    <n v="0"/>
    <n v="0"/>
  </r>
  <r>
    <n v="59677260"/>
    <s v="N"/>
    <n v="21334102"/>
    <s v="3000014052440017RC"/>
    <s v="CIVIL"/>
    <d v="2023-06-30T00:00:00"/>
    <d v="2023-07-05T19:42:28"/>
    <m/>
    <d v="2023-07-05T00:00:00"/>
    <n v="1878"/>
    <n v="1547"/>
    <s v="59677260"/>
    <s v="59677260"/>
    <m/>
    <m/>
    <m/>
    <m/>
    <m/>
    <m/>
    <s v="SOLRECOUP"/>
    <s v="SOLRECOUP"/>
    <s v="POARECOUP"/>
    <n v="21334102"/>
    <n v="-1189.15"/>
    <m/>
    <s v="Y"/>
    <n v="1"/>
    <d v="2023-07-05T19:42:30"/>
    <s v="N"/>
    <m/>
    <m/>
    <s v="Non Expert Disbursement"/>
    <m/>
    <s v="N"/>
    <n v="-990.96"/>
    <n v="0"/>
    <x v="6"/>
    <s v="VALIDATED"/>
    <n v="1"/>
    <s v="01.11.80.203.2013.0000"/>
    <n v="-990.96"/>
    <s v="11"/>
    <s v="2013"/>
    <n v="-32425.63"/>
    <n v="-990.96"/>
    <s v="DEBTOR"/>
    <n v="0"/>
    <n v="0"/>
    <n v="0"/>
    <n v="0"/>
    <n v="0"/>
  </r>
  <r>
    <n v="59677260"/>
    <s v="N"/>
    <n v="21334102"/>
    <s v="3000014052440017RC"/>
    <s v="CIVIL"/>
    <d v="2023-06-30T00:00:00"/>
    <d v="2023-07-05T19:42:28"/>
    <m/>
    <d v="2023-07-05T00:00:00"/>
    <n v="1878"/>
    <n v="1547"/>
    <s v="59677260"/>
    <s v="59677260"/>
    <m/>
    <m/>
    <m/>
    <m/>
    <m/>
    <m/>
    <s v="SOLRECOUP"/>
    <s v="SOLRECOUP"/>
    <s v="POARECOUP"/>
    <n v="21334102"/>
    <n v="-1189.15"/>
    <m/>
    <s v="Y"/>
    <n v="2"/>
    <d v="2023-07-05T19:42:30"/>
    <s v="N"/>
    <m/>
    <m/>
    <s v="Non Expert Disbursement"/>
    <m/>
    <s v="N"/>
    <n v="0"/>
    <n v="-198.19"/>
    <x v="6"/>
    <s v="VALIDATED"/>
    <n v="1"/>
    <s v="01.11.80.203.2013.0000"/>
    <n v="-198.19"/>
    <s v="11"/>
    <s v="2013"/>
    <n v="-32425.63"/>
    <n v="-198.19"/>
    <s v="DEBTOR"/>
    <n v="0"/>
    <n v="0"/>
    <n v="0"/>
    <n v="0"/>
    <n v="0"/>
  </r>
  <r>
    <n v="16961951"/>
    <s v="N"/>
    <n v="21334103"/>
    <s v="3000007888380024RC"/>
    <s v="CIVIL"/>
    <d v="2023-06-28T00:00:00"/>
    <d v="2023-07-05T19:42:28"/>
    <m/>
    <d v="2023-07-05T00:00:00"/>
    <n v="1878"/>
    <n v="1547"/>
    <s v="16961951"/>
    <s v="16961951"/>
    <m/>
    <m/>
    <m/>
    <m/>
    <m/>
    <m/>
    <s v="SOLRECOUP"/>
    <s v="SOLRECOUP"/>
    <s v="POARECOUP"/>
    <n v="21334103"/>
    <n v="-1891.98"/>
    <m/>
    <s v="Y"/>
    <n v="1"/>
    <d v="2023-07-05T19:42:30"/>
    <s v="N"/>
    <m/>
    <m/>
    <s v="Non Expert Disbursement"/>
    <m/>
    <s v="N"/>
    <n v="-1576.65"/>
    <n v="0"/>
    <x v="6"/>
    <s v="VALIDATED"/>
    <n v="1"/>
    <s v="01.11.80.308.2013.0000"/>
    <n v="-1576.65"/>
    <s v="11"/>
    <s v="2013"/>
    <n v="-32425.63"/>
    <n v="-1576.65"/>
    <s v="DEBTOR"/>
    <n v="0"/>
    <n v="0"/>
    <n v="0"/>
    <n v="0"/>
    <n v="0"/>
  </r>
  <r>
    <n v="16961951"/>
    <s v="N"/>
    <n v="21334103"/>
    <s v="3000007888380024RC"/>
    <s v="CIVIL"/>
    <d v="2023-06-28T00:00:00"/>
    <d v="2023-07-05T19:42:28"/>
    <m/>
    <d v="2023-07-05T00:00:00"/>
    <n v="1878"/>
    <n v="1547"/>
    <s v="16961951"/>
    <s v="16961951"/>
    <m/>
    <m/>
    <m/>
    <m/>
    <m/>
    <m/>
    <s v="SOLRECOUP"/>
    <s v="SOLRECOUP"/>
    <s v="POARECOUP"/>
    <n v="21334103"/>
    <n v="-1891.98"/>
    <m/>
    <s v="Y"/>
    <n v="2"/>
    <d v="2023-07-05T19:42:30"/>
    <s v="N"/>
    <m/>
    <m/>
    <s v="Non Expert Disbursement"/>
    <m/>
    <s v="N"/>
    <n v="0"/>
    <n v="-315.33"/>
    <x v="6"/>
    <s v="VALIDATED"/>
    <n v="1"/>
    <s v="01.11.80.308.2013.0000"/>
    <n v="-315.33"/>
    <s v="11"/>
    <s v="2013"/>
    <n v="-32425.63"/>
    <n v="-315.33"/>
    <s v="DEBTOR"/>
    <n v="0"/>
    <n v="0"/>
    <n v="0"/>
    <n v="0"/>
    <n v="0"/>
  </r>
  <r>
    <n v="59561969"/>
    <s v="N"/>
    <n v="21334104"/>
    <s v="3000013962360014RC"/>
    <s v="CIVIL"/>
    <d v="2023-06-19T00:00:00"/>
    <d v="2023-07-05T19:42:28"/>
    <m/>
    <d v="2023-07-05T00:00:00"/>
    <n v="1878"/>
    <n v="1547"/>
    <s v="59561969"/>
    <s v="59561969"/>
    <m/>
    <m/>
    <m/>
    <m/>
    <m/>
    <m/>
    <s v="SOLRECOUP"/>
    <s v="SOLRECOUP"/>
    <s v="POARECOUP"/>
    <n v="21334104"/>
    <n v="-2524"/>
    <m/>
    <s v="Y"/>
    <n v="1"/>
    <d v="2023-07-05T19:42:30"/>
    <s v="N"/>
    <m/>
    <m/>
    <s v="Expert Disbursement"/>
    <m/>
    <s v="N"/>
    <n v="-2103.33"/>
    <n v="0"/>
    <x v="6"/>
    <s v="VALIDATED"/>
    <n v="1"/>
    <s v="01.11.80.203.2013.0000"/>
    <n v="-2103.33"/>
    <s v="11"/>
    <s v="2013"/>
    <n v="-32425.63"/>
    <n v="-2103.33"/>
    <s v="DEBTOR"/>
    <n v="0"/>
    <n v="0"/>
    <n v="0"/>
    <n v="0"/>
    <n v="0"/>
  </r>
  <r>
    <n v="59561969"/>
    <s v="N"/>
    <n v="21334104"/>
    <s v="3000013962360014RC"/>
    <s v="CIVIL"/>
    <d v="2023-06-19T00:00:00"/>
    <d v="2023-07-05T19:42:28"/>
    <m/>
    <d v="2023-07-05T00:00:00"/>
    <n v="1878"/>
    <n v="1547"/>
    <s v="59561969"/>
    <s v="59561969"/>
    <m/>
    <m/>
    <m/>
    <m/>
    <m/>
    <m/>
    <s v="SOLRECOUP"/>
    <s v="SOLRECOUP"/>
    <s v="POARECOUP"/>
    <n v="21334104"/>
    <n v="-2524"/>
    <m/>
    <s v="Y"/>
    <n v="2"/>
    <d v="2023-07-05T19:42:30"/>
    <s v="N"/>
    <m/>
    <m/>
    <s v="Expert Disbursement"/>
    <m/>
    <s v="N"/>
    <n v="0"/>
    <n v="-420.67"/>
    <x v="6"/>
    <s v="VALIDATED"/>
    <n v="1"/>
    <s v="01.11.80.203.2013.0000"/>
    <n v="-420.67"/>
    <s v="11"/>
    <s v="2013"/>
    <n v="-32425.63"/>
    <n v="-420.67"/>
    <s v="DEBTOR"/>
    <n v="0"/>
    <n v="0"/>
    <n v="0"/>
    <n v="0"/>
    <n v="0"/>
  </r>
  <r>
    <n v="59677260"/>
    <s v="N"/>
    <n v="21334105"/>
    <s v="3000014052440020RC"/>
    <s v="CIVIL"/>
    <d v="2023-06-30T00:00:00"/>
    <d v="2023-07-05T19:42:28"/>
    <m/>
    <d v="2023-07-05T00:00:00"/>
    <n v="1878"/>
    <n v="1547"/>
    <s v="59677260"/>
    <s v="59677260"/>
    <m/>
    <m/>
    <m/>
    <m/>
    <m/>
    <m/>
    <s v="SOLRECOUP"/>
    <s v="SOLRECOUP"/>
    <s v="POARECOUP"/>
    <n v="21334105"/>
    <n v="-7282.49"/>
    <m/>
    <s v="Y"/>
    <n v="1"/>
    <d v="2023-07-05T19:42:30"/>
    <s v="N"/>
    <m/>
    <m/>
    <s v="Profit Cost"/>
    <m/>
    <s v="N"/>
    <n v="-6068.74"/>
    <n v="0"/>
    <x v="6"/>
    <s v="VALIDATED"/>
    <n v="1"/>
    <s v="01.11.80.203.2013.0000"/>
    <n v="-6068.74"/>
    <s v="11"/>
    <s v="2013"/>
    <n v="-32425.63"/>
    <n v="-6068.74"/>
    <s v="DEBTOR"/>
    <n v="0"/>
    <n v="0"/>
    <n v="0"/>
    <n v="0"/>
    <n v="0"/>
  </r>
  <r>
    <n v="59677260"/>
    <s v="N"/>
    <n v="21334105"/>
    <s v="3000014052440020RC"/>
    <s v="CIVIL"/>
    <d v="2023-06-30T00:00:00"/>
    <d v="2023-07-05T19:42:28"/>
    <m/>
    <d v="2023-07-05T00:00:00"/>
    <n v="1878"/>
    <n v="1547"/>
    <s v="59677260"/>
    <s v="59677260"/>
    <m/>
    <m/>
    <m/>
    <m/>
    <m/>
    <m/>
    <s v="SOLRECOUP"/>
    <s v="SOLRECOUP"/>
    <s v="POARECOUP"/>
    <n v="21334105"/>
    <n v="-7282.49"/>
    <m/>
    <s v="Y"/>
    <n v="2"/>
    <d v="2023-07-05T19:42:30"/>
    <s v="N"/>
    <m/>
    <m/>
    <s v="Profit Cost"/>
    <m/>
    <s v="N"/>
    <n v="0"/>
    <n v="-1213.75"/>
    <x v="6"/>
    <s v="VALIDATED"/>
    <n v="1"/>
    <s v="01.11.80.203.2013.0000"/>
    <n v="-1213.75"/>
    <s v="11"/>
    <s v="2013"/>
    <n v="-32425.63"/>
    <n v="-1213.75"/>
    <s v="DEBTOR"/>
    <n v="0"/>
    <n v="0"/>
    <n v="0"/>
    <n v="0"/>
    <n v="0"/>
  </r>
  <r>
    <n v="16961951"/>
    <s v="N"/>
    <n v="21334106"/>
    <s v="3000007888380028RC"/>
    <s v="CIVIL"/>
    <d v="2023-06-28T00:00:00"/>
    <d v="2023-07-05T19:42:28"/>
    <m/>
    <d v="2023-07-05T00:00:00"/>
    <n v="1878"/>
    <n v="1547"/>
    <s v="16961951"/>
    <s v="16961951"/>
    <m/>
    <m/>
    <m/>
    <m/>
    <m/>
    <m/>
    <s v="SOLRECOUP"/>
    <s v="SOLRECOUP"/>
    <s v="POARECOUP"/>
    <n v="21334106"/>
    <n v="-167"/>
    <m/>
    <s v="Y"/>
    <n v="1"/>
    <d v="2023-07-05T19:42:30"/>
    <s v="N"/>
    <m/>
    <m/>
    <s v="Non Expert Disbursement"/>
    <m/>
    <s v="N"/>
    <n v="-167"/>
    <n v="0"/>
    <x v="6"/>
    <s v="VALIDATED"/>
    <n v="1"/>
    <s v="01.11.80.308.2013.0000"/>
    <n v="-167"/>
    <s v="11"/>
    <s v="2013"/>
    <n v="-32425.63"/>
    <n v="-167"/>
    <s v="DEBTOR"/>
    <n v="0"/>
    <n v="0"/>
    <n v="0"/>
    <n v="0"/>
    <n v="0"/>
  </r>
  <r>
    <n v="16961951"/>
    <s v="N"/>
    <n v="21334106"/>
    <s v="3000007888380028RC"/>
    <s v="CIVIL"/>
    <d v="2023-06-28T00:00:00"/>
    <d v="2023-07-05T19:42:28"/>
    <m/>
    <d v="2023-07-05T00:00:00"/>
    <n v="1878"/>
    <n v="1547"/>
    <s v="16961951"/>
    <s v="16961951"/>
    <m/>
    <m/>
    <m/>
    <m/>
    <m/>
    <m/>
    <s v="SOLRECOUP"/>
    <s v="SOLRECOUP"/>
    <s v="POARECOUP"/>
    <n v="21334106"/>
    <n v="-167"/>
    <m/>
    <s v="Y"/>
    <n v="2"/>
    <d v="2023-07-05T19:42:30"/>
    <s v="N"/>
    <m/>
    <m/>
    <s v="Non Expert Disbursement"/>
    <m/>
    <s v="N"/>
    <n v="0"/>
    <n v="0"/>
    <x v="6"/>
    <s v="VALIDATED"/>
    <n v="1"/>
    <s v="01.11.80.000.0000.0000"/>
    <n v="0"/>
    <s v="11"/>
    <s v="0000"/>
    <n v="-32425.63"/>
    <n v="0"/>
    <s v="DEBTOR"/>
    <n v="0"/>
    <n v="0"/>
    <n v="0"/>
    <n v="0"/>
    <n v="0"/>
  </r>
  <r>
    <n v="59677260"/>
    <s v="N"/>
    <n v="21334107"/>
    <s v="3000014052440016RC"/>
    <s v="CIVIL"/>
    <d v="2023-06-30T00:00:00"/>
    <d v="2023-07-05T19:42:28"/>
    <m/>
    <d v="2023-07-05T00:00:00"/>
    <n v="1878"/>
    <n v="1547"/>
    <s v="59677260"/>
    <s v="59677260"/>
    <m/>
    <m/>
    <m/>
    <m/>
    <m/>
    <m/>
    <s v="SOLRECOUP"/>
    <s v="SOLRECOUP"/>
    <s v="POARECOUP"/>
    <n v="21334107"/>
    <n v="-7610.8"/>
    <m/>
    <s v="Y"/>
    <n v="1"/>
    <d v="2023-07-05T19:42:30"/>
    <s v="N"/>
    <m/>
    <m/>
    <s v="Expert Disbursement"/>
    <m/>
    <s v="N"/>
    <n v="-6342.33"/>
    <n v="0"/>
    <x v="6"/>
    <s v="VALIDATED"/>
    <n v="1"/>
    <s v="01.11.80.203.2013.0000"/>
    <n v="-6342.33"/>
    <s v="11"/>
    <s v="2013"/>
    <n v="-32425.63"/>
    <n v="-6342.33"/>
    <s v="DEBTOR"/>
    <n v="0"/>
    <n v="0"/>
    <n v="0"/>
    <n v="0"/>
    <n v="0"/>
  </r>
  <r>
    <n v="59677260"/>
    <s v="N"/>
    <n v="21334107"/>
    <s v="3000014052440016RC"/>
    <s v="CIVIL"/>
    <d v="2023-06-30T00:00:00"/>
    <d v="2023-07-05T19:42:28"/>
    <m/>
    <d v="2023-07-05T00:00:00"/>
    <n v="1878"/>
    <n v="1547"/>
    <s v="59677260"/>
    <s v="59677260"/>
    <m/>
    <m/>
    <m/>
    <m/>
    <m/>
    <m/>
    <s v="SOLRECOUP"/>
    <s v="SOLRECOUP"/>
    <s v="POARECOUP"/>
    <n v="21334107"/>
    <n v="-7610.8"/>
    <m/>
    <s v="Y"/>
    <n v="2"/>
    <d v="2023-07-05T19:42:30"/>
    <s v="N"/>
    <m/>
    <m/>
    <s v="Expert Disbursement"/>
    <m/>
    <s v="N"/>
    <n v="0"/>
    <n v="-1268.47"/>
    <x v="6"/>
    <s v="VALIDATED"/>
    <n v="1"/>
    <s v="01.11.80.203.2013.0000"/>
    <n v="-1268.47"/>
    <s v="11"/>
    <s v="2013"/>
    <n v="-32425.63"/>
    <n v="-1268.47"/>
    <s v="DEBTOR"/>
    <n v="0"/>
    <n v="0"/>
    <n v="0"/>
    <n v="0"/>
    <n v="0"/>
  </r>
  <r>
    <n v="59677260"/>
    <s v="N"/>
    <n v="21334108"/>
    <s v="3000014052440019RC"/>
    <s v="CIVIL"/>
    <d v="2023-06-30T00:00:00"/>
    <d v="2023-07-05T19:42:28"/>
    <m/>
    <d v="2023-07-05T00:00:00"/>
    <n v="1878"/>
    <n v="1547"/>
    <s v="59677260"/>
    <s v="59677260"/>
    <m/>
    <m/>
    <m/>
    <m/>
    <m/>
    <m/>
    <s v="SOLRECOUP"/>
    <s v="SOLRECOUP"/>
    <s v="POARECOUP"/>
    <n v="21334108"/>
    <n v="-371"/>
    <m/>
    <s v="Y"/>
    <n v="1"/>
    <d v="2023-07-05T19:42:30"/>
    <s v="N"/>
    <m/>
    <m/>
    <s v="Non Expert Disbursement"/>
    <m/>
    <s v="N"/>
    <n v="-371"/>
    <n v="0"/>
    <x v="6"/>
    <s v="VALIDATED"/>
    <n v="1"/>
    <s v="01.11.80.203.2013.0000"/>
    <n v="-371"/>
    <s v="11"/>
    <s v="2013"/>
    <n v="-32425.63"/>
    <n v="-371"/>
    <s v="DEBTOR"/>
    <n v="0"/>
    <n v="0"/>
    <n v="0"/>
    <n v="0"/>
    <n v="0"/>
  </r>
  <r>
    <n v="59677260"/>
    <s v="N"/>
    <n v="21334108"/>
    <s v="3000014052440019RC"/>
    <s v="CIVIL"/>
    <d v="2023-06-30T00:00:00"/>
    <d v="2023-07-05T19:42:28"/>
    <m/>
    <d v="2023-07-05T00:00:00"/>
    <n v="1878"/>
    <n v="1547"/>
    <s v="59677260"/>
    <s v="59677260"/>
    <m/>
    <m/>
    <m/>
    <m/>
    <m/>
    <m/>
    <s v="SOLRECOUP"/>
    <s v="SOLRECOUP"/>
    <s v="POARECOUP"/>
    <n v="21334108"/>
    <n v="-371"/>
    <m/>
    <s v="Y"/>
    <n v="2"/>
    <d v="2023-07-05T19:42:30"/>
    <s v="N"/>
    <m/>
    <m/>
    <s v="Non Expert Disbursement"/>
    <m/>
    <s v="N"/>
    <n v="0"/>
    <n v="0"/>
    <x v="6"/>
    <s v="VALIDATED"/>
    <n v="1"/>
    <s v="01.11.80.000.0000.0000"/>
    <n v="0"/>
    <s v="11"/>
    <s v="0000"/>
    <n v="-32425.63"/>
    <n v="0"/>
    <s v="DEBTOR"/>
    <n v="0"/>
    <n v="0"/>
    <n v="0"/>
    <n v="0"/>
    <n v="0"/>
  </r>
  <r>
    <n v="59677260"/>
    <s v="N"/>
    <n v="21334109"/>
    <s v="3000014052440021RC"/>
    <s v="CIVIL"/>
    <d v="2023-06-30T00:00:00"/>
    <d v="2023-07-05T19:42:28"/>
    <m/>
    <d v="2023-07-05T00:00:00"/>
    <n v="1878"/>
    <n v="1547"/>
    <s v="59677260"/>
    <s v="59677260"/>
    <m/>
    <m/>
    <m/>
    <m/>
    <m/>
    <m/>
    <s v="SOLRECOUP"/>
    <s v="SOLRECOUP"/>
    <s v="POARECOUP"/>
    <n v="21334109"/>
    <n v="-1905.68"/>
    <m/>
    <s v="Y"/>
    <n v="1"/>
    <d v="2023-07-05T19:42:30"/>
    <s v="N"/>
    <m/>
    <m/>
    <s v="Non Expert Disbursement"/>
    <m/>
    <s v="N"/>
    <n v="-1588.07"/>
    <n v="0"/>
    <x v="6"/>
    <s v="VALIDATED"/>
    <n v="1"/>
    <s v="01.11.80.203.2013.0000"/>
    <n v="-1588.07"/>
    <s v="11"/>
    <s v="2013"/>
    <n v="-32425.63"/>
    <n v="-1588.07"/>
    <s v="DEBTOR"/>
    <n v="0"/>
    <n v="0"/>
    <n v="0"/>
    <n v="0"/>
    <n v="0"/>
  </r>
  <r>
    <n v="59677260"/>
    <s v="N"/>
    <n v="21334109"/>
    <s v="3000014052440021RC"/>
    <s v="CIVIL"/>
    <d v="2023-06-30T00:00:00"/>
    <d v="2023-07-05T19:42:28"/>
    <m/>
    <d v="2023-07-05T00:00:00"/>
    <n v="1878"/>
    <n v="1547"/>
    <s v="59677260"/>
    <s v="59677260"/>
    <m/>
    <m/>
    <m/>
    <m/>
    <m/>
    <m/>
    <s v="SOLRECOUP"/>
    <s v="SOLRECOUP"/>
    <s v="POARECOUP"/>
    <n v="21334109"/>
    <n v="-1905.68"/>
    <m/>
    <s v="Y"/>
    <n v="2"/>
    <d v="2023-07-05T19:42:30"/>
    <s v="N"/>
    <m/>
    <m/>
    <s v="Non Expert Disbursement"/>
    <m/>
    <s v="N"/>
    <n v="0"/>
    <n v="-317.61"/>
    <x v="6"/>
    <s v="VALIDATED"/>
    <n v="1"/>
    <s v="01.11.80.203.2013.0000"/>
    <n v="-317.61"/>
    <s v="11"/>
    <s v="2013"/>
    <n v="-32425.63"/>
    <n v="-317.61"/>
    <s v="DEBTOR"/>
    <n v="0"/>
    <n v="0"/>
    <n v="0"/>
    <n v="0"/>
    <n v="0"/>
  </r>
  <r>
    <n v="59677260"/>
    <s v="N"/>
    <n v="21334110"/>
    <s v="3000014052440023RC"/>
    <s v="CIVIL"/>
    <d v="2023-06-30T00:00:00"/>
    <d v="2023-07-05T19:42:28"/>
    <m/>
    <d v="2023-07-05T00:00:00"/>
    <n v="1878"/>
    <n v="1547"/>
    <s v="59677260"/>
    <s v="59677260"/>
    <m/>
    <m/>
    <m/>
    <m/>
    <m/>
    <m/>
    <s v="SOLRECOUP"/>
    <s v="SOLRECOUP"/>
    <s v="POARECOUP"/>
    <n v="21334110"/>
    <n v="-1800"/>
    <m/>
    <s v="Y"/>
    <n v="1"/>
    <d v="2023-07-05T19:42:30"/>
    <s v="N"/>
    <m/>
    <m/>
    <s v="Expert Disbursement"/>
    <m/>
    <s v="N"/>
    <n v="-1500"/>
    <n v="0"/>
    <x v="6"/>
    <s v="VALIDATED"/>
    <n v="1"/>
    <s v="01.11.80.203.2013.0000"/>
    <n v="-1500"/>
    <s v="11"/>
    <s v="2013"/>
    <n v="-32425.63"/>
    <n v="-1500"/>
    <s v="DEBTOR"/>
    <n v="0"/>
    <n v="0"/>
    <n v="0"/>
    <n v="0"/>
    <n v="0"/>
  </r>
  <r>
    <n v="59677260"/>
    <s v="N"/>
    <n v="21334110"/>
    <s v="3000014052440023RC"/>
    <s v="CIVIL"/>
    <d v="2023-06-30T00:00:00"/>
    <d v="2023-07-05T19:42:28"/>
    <m/>
    <d v="2023-07-05T00:00:00"/>
    <n v="1878"/>
    <n v="1547"/>
    <s v="59677260"/>
    <s v="59677260"/>
    <m/>
    <m/>
    <m/>
    <m/>
    <m/>
    <m/>
    <s v="SOLRECOUP"/>
    <s v="SOLRECOUP"/>
    <s v="POARECOUP"/>
    <n v="21334110"/>
    <n v="-1800"/>
    <m/>
    <s v="Y"/>
    <n v="2"/>
    <d v="2023-07-05T19:42:30"/>
    <s v="N"/>
    <m/>
    <m/>
    <s v="Expert Disbursement"/>
    <m/>
    <s v="N"/>
    <n v="0"/>
    <n v="-300"/>
    <x v="6"/>
    <s v="VALIDATED"/>
    <n v="1"/>
    <s v="01.11.80.203.2013.0000"/>
    <n v="-300"/>
    <s v="11"/>
    <s v="2013"/>
    <n v="-32425.63"/>
    <n v="-300"/>
    <s v="DEBTOR"/>
    <n v="0"/>
    <n v="0"/>
    <n v="0"/>
    <n v="0"/>
    <n v="0"/>
  </r>
  <r>
    <n v="59561969"/>
    <s v="N"/>
    <n v="21334111"/>
    <s v="3000013962360017RC"/>
    <s v="CIVIL"/>
    <d v="2023-06-19T00:00:00"/>
    <d v="2023-07-05T19:42:28"/>
    <m/>
    <d v="2023-07-05T00:00:00"/>
    <n v="1878"/>
    <n v="1547"/>
    <s v="59561969"/>
    <s v="59561969"/>
    <m/>
    <m/>
    <m/>
    <m/>
    <m/>
    <m/>
    <s v="SOLRECOUP"/>
    <s v="SOLRECOUP"/>
    <s v="POARECOUP"/>
    <n v="21334111"/>
    <n v="-6000"/>
    <m/>
    <s v="Y"/>
    <n v="1"/>
    <d v="2023-07-05T19:42:30"/>
    <s v="N"/>
    <m/>
    <m/>
    <s v="Expert Disbursement"/>
    <m/>
    <s v="N"/>
    <n v="-5000"/>
    <n v="0"/>
    <x v="6"/>
    <s v="VALIDATED"/>
    <n v="1"/>
    <s v="01.11.80.203.2013.0000"/>
    <n v="-5000"/>
    <s v="11"/>
    <s v="2013"/>
    <n v="-32425.63"/>
    <n v="-5000"/>
    <s v="DEBTOR"/>
    <n v="0"/>
    <n v="0"/>
    <n v="0"/>
    <n v="0"/>
    <n v="0"/>
  </r>
  <r>
    <n v="59561969"/>
    <s v="N"/>
    <n v="21334111"/>
    <s v="3000013962360017RC"/>
    <s v="CIVIL"/>
    <d v="2023-06-19T00:00:00"/>
    <d v="2023-07-05T19:42:28"/>
    <m/>
    <d v="2023-07-05T00:00:00"/>
    <n v="1878"/>
    <n v="1547"/>
    <s v="59561969"/>
    <s v="59561969"/>
    <m/>
    <m/>
    <m/>
    <m/>
    <m/>
    <m/>
    <s v="SOLRECOUP"/>
    <s v="SOLRECOUP"/>
    <s v="POARECOUP"/>
    <n v="21334111"/>
    <n v="-6000"/>
    <m/>
    <s v="Y"/>
    <n v="2"/>
    <d v="2023-07-05T19:42:30"/>
    <s v="N"/>
    <m/>
    <m/>
    <s v="Expert Disbursement"/>
    <m/>
    <s v="N"/>
    <n v="0"/>
    <n v="-1000"/>
    <x v="6"/>
    <s v="VALIDATED"/>
    <n v="1"/>
    <s v="01.11.80.203.2013.0000"/>
    <n v="-1000"/>
    <s v="11"/>
    <s v="2013"/>
    <n v="-32425.63"/>
    <n v="-1000"/>
    <s v="DEBTOR"/>
    <n v="0"/>
    <n v="0"/>
    <n v="0"/>
    <n v="0"/>
    <n v="0"/>
  </r>
  <r>
    <n v="59561969"/>
    <s v="N"/>
    <n v="21334067"/>
    <s v="3000013962360006RC"/>
    <s v="CIVIL"/>
    <d v="2023-06-19T00:00:00"/>
    <d v="2023-07-05T19:42:28"/>
    <m/>
    <d v="2023-07-05T00:00:00"/>
    <n v="1878"/>
    <n v="1547"/>
    <s v="59561969"/>
    <s v="59561969"/>
    <m/>
    <m/>
    <m/>
    <m/>
    <m/>
    <m/>
    <s v="SOLRECOUP"/>
    <s v="SOLRECOUP"/>
    <s v="POARECOUP"/>
    <n v="21334067"/>
    <n v="-1283.34"/>
    <m/>
    <s v="Y"/>
    <n v="1"/>
    <d v="2023-07-05T19:42:30"/>
    <s v="N"/>
    <m/>
    <m/>
    <s v="Profit Cost"/>
    <m/>
    <s v="N"/>
    <n v="-1069.45"/>
    <n v="0"/>
    <x v="6"/>
    <s v="VALIDATED"/>
    <n v="1"/>
    <s v="01.11.80.203.2013.0000"/>
    <n v="-1069.45"/>
    <s v="11"/>
    <s v="2013"/>
    <n v="-32425.63"/>
    <n v="-1069.45"/>
    <s v="DEBTOR"/>
    <n v="0"/>
    <n v="0"/>
    <n v="0"/>
    <n v="0"/>
    <n v="0"/>
  </r>
  <r>
    <n v="59561969"/>
    <s v="N"/>
    <n v="21334067"/>
    <s v="3000013962360006RC"/>
    <s v="CIVIL"/>
    <d v="2023-06-19T00:00:00"/>
    <d v="2023-07-05T19:42:28"/>
    <m/>
    <d v="2023-07-05T00:00:00"/>
    <n v="1878"/>
    <n v="1547"/>
    <s v="59561969"/>
    <s v="59561969"/>
    <m/>
    <m/>
    <m/>
    <m/>
    <m/>
    <m/>
    <s v="SOLRECOUP"/>
    <s v="SOLRECOUP"/>
    <s v="POARECOUP"/>
    <n v="21334067"/>
    <n v="-1283.34"/>
    <m/>
    <s v="Y"/>
    <n v="2"/>
    <d v="2023-07-05T19:42:30"/>
    <s v="N"/>
    <m/>
    <m/>
    <s v="Profit Cost"/>
    <m/>
    <s v="N"/>
    <n v="0"/>
    <n v="-213.89"/>
    <x v="6"/>
    <s v="VALIDATED"/>
    <n v="1"/>
    <s v="01.11.80.203.2013.0000"/>
    <n v="-213.89"/>
    <s v="11"/>
    <s v="2013"/>
    <n v="-32425.63"/>
    <n v="-213.89"/>
    <s v="DEBTOR"/>
    <n v="0"/>
    <n v="0"/>
    <n v="0"/>
    <n v="0"/>
    <n v="0"/>
  </r>
  <r>
    <n v="16961951"/>
    <s v="N"/>
    <n v="21334068"/>
    <s v="3000007888380016RC"/>
    <s v="CIVIL"/>
    <d v="2023-06-28T00:00:00"/>
    <d v="2023-07-05T19:42:28"/>
    <m/>
    <d v="2023-07-05T00:00:00"/>
    <n v="1878"/>
    <n v="1547"/>
    <s v="16961951"/>
    <s v="16961951"/>
    <m/>
    <m/>
    <m/>
    <m/>
    <m/>
    <m/>
    <s v="SOLRECOUP"/>
    <s v="SOLRECOUP"/>
    <s v="POARECOUP"/>
    <n v="21334068"/>
    <n v="-50"/>
    <m/>
    <s v="Y"/>
    <n v="1"/>
    <d v="2023-07-05T19:42:30"/>
    <s v="N"/>
    <m/>
    <m/>
    <s v="Non Expert Disbursement"/>
    <m/>
    <s v="N"/>
    <n v="-50"/>
    <n v="0"/>
    <x v="6"/>
    <s v="VALIDATED"/>
    <n v="1"/>
    <s v="01.11.80.308.2013.0000"/>
    <n v="-50"/>
    <s v="11"/>
    <s v="2013"/>
    <n v="-32425.63"/>
    <n v="-50"/>
    <s v="DEBTOR"/>
    <n v="0"/>
    <n v="0"/>
    <n v="0"/>
    <n v="0"/>
    <n v="0"/>
  </r>
  <r>
    <n v="16961951"/>
    <s v="N"/>
    <n v="21334068"/>
    <s v="3000007888380016RC"/>
    <s v="CIVIL"/>
    <d v="2023-06-28T00:00:00"/>
    <d v="2023-07-05T19:42:28"/>
    <m/>
    <d v="2023-07-05T00:00:00"/>
    <n v="1878"/>
    <n v="1547"/>
    <s v="16961951"/>
    <s v="16961951"/>
    <m/>
    <m/>
    <m/>
    <m/>
    <m/>
    <m/>
    <s v="SOLRECOUP"/>
    <s v="SOLRECOUP"/>
    <s v="POARECOUP"/>
    <n v="21334068"/>
    <n v="-50"/>
    <m/>
    <s v="Y"/>
    <n v="2"/>
    <d v="2023-07-05T19:42:30"/>
    <s v="N"/>
    <m/>
    <m/>
    <s v="Non Expert Disbursement"/>
    <m/>
    <s v="N"/>
    <n v="0"/>
    <n v="0"/>
    <x v="6"/>
    <s v="VALIDATED"/>
    <n v="1"/>
    <s v="01.11.80.000.0000.0000"/>
    <n v="0"/>
    <s v="11"/>
    <s v="0000"/>
    <n v="-32425.63"/>
    <n v="0"/>
    <s v="DEBTOR"/>
    <n v="0"/>
    <n v="0"/>
    <n v="0"/>
    <n v="0"/>
    <n v="0"/>
  </r>
  <r>
    <n v="16961951"/>
    <s v="N"/>
    <n v="21334069"/>
    <s v="3000007888380005RC"/>
    <s v="CIVIL"/>
    <d v="2023-06-28T00:00:00"/>
    <d v="2023-07-05T19:42:28"/>
    <m/>
    <d v="2023-07-05T00:00:00"/>
    <n v="1878"/>
    <n v="1547"/>
    <s v="16961951"/>
    <s v="16961951"/>
    <m/>
    <m/>
    <m/>
    <m/>
    <m/>
    <m/>
    <s v="SOLRECOUP"/>
    <s v="SOLRECOUP"/>
    <s v="POARECOUP"/>
    <n v="21334069"/>
    <n v="-155"/>
    <m/>
    <s v="Y"/>
    <n v="1"/>
    <d v="2023-07-05T19:42:30"/>
    <s v="N"/>
    <m/>
    <m/>
    <s v="Non Expert Disbursement"/>
    <m/>
    <s v="N"/>
    <n v="-155"/>
    <n v="0"/>
    <x v="6"/>
    <s v="VALIDATED"/>
    <n v="1"/>
    <s v="01.11.80.308.2013.0000"/>
    <n v="-155"/>
    <s v="11"/>
    <s v="2013"/>
    <n v="-32425.63"/>
    <n v="-155"/>
    <s v="DEBTOR"/>
    <n v="0"/>
    <n v="0"/>
    <n v="0"/>
    <n v="0"/>
    <n v="0"/>
  </r>
  <r>
    <n v="16961951"/>
    <s v="N"/>
    <n v="21334069"/>
    <s v="3000007888380005RC"/>
    <s v="CIVIL"/>
    <d v="2023-06-28T00:00:00"/>
    <d v="2023-07-05T19:42:28"/>
    <m/>
    <d v="2023-07-05T00:00:00"/>
    <n v="1878"/>
    <n v="1547"/>
    <s v="16961951"/>
    <s v="16961951"/>
    <m/>
    <m/>
    <m/>
    <m/>
    <m/>
    <m/>
    <s v="SOLRECOUP"/>
    <s v="SOLRECOUP"/>
    <s v="POARECOUP"/>
    <n v="21334069"/>
    <n v="-155"/>
    <m/>
    <s v="Y"/>
    <n v="2"/>
    <d v="2023-07-05T19:42:30"/>
    <s v="N"/>
    <m/>
    <m/>
    <s v="Non Expert Disbursement"/>
    <m/>
    <s v="N"/>
    <n v="0"/>
    <n v="0"/>
    <x v="6"/>
    <s v="VALIDATED"/>
    <n v="1"/>
    <s v="01.11.80.000.0000.0000"/>
    <n v="0"/>
    <s v="11"/>
    <s v="0000"/>
    <n v="-32425.63"/>
    <n v="0"/>
    <s v="DEBTOR"/>
    <n v="0"/>
    <n v="0"/>
    <n v="0"/>
    <n v="0"/>
    <n v="0"/>
  </r>
  <r>
    <n v="16961951"/>
    <s v="N"/>
    <n v="21334070"/>
    <s v="3000007888380007RC"/>
    <s v="CIVIL"/>
    <d v="2023-06-28T00:00:00"/>
    <d v="2023-07-05T19:42:28"/>
    <m/>
    <d v="2023-07-05T00:00:00"/>
    <n v="1878"/>
    <n v="1547"/>
    <s v="16961951"/>
    <s v="16961951"/>
    <m/>
    <m/>
    <m/>
    <m/>
    <m/>
    <m/>
    <s v="SOLRECOUP"/>
    <s v="SOLRECOUP"/>
    <s v="POARECOUP"/>
    <n v="21334070"/>
    <n v="-162"/>
    <m/>
    <s v="Y"/>
    <n v="1"/>
    <d v="2023-07-05T19:42:30"/>
    <s v="N"/>
    <m/>
    <m/>
    <s v="Expert Disbursement"/>
    <m/>
    <s v="N"/>
    <n v="-135"/>
    <n v="0"/>
    <x v="6"/>
    <s v="VALIDATED"/>
    <n v="1"/>
    <s v="01.11.80.308.2013.0000"/>
    <n v="-135"/>
    <s v="11"/>
    <s v="2013"/>
    <n v="-32425.63"/>
    <n v="-135"/>
    <s v="DEBTOR"/>
    <n v="0"/>
    <n v="0"/>
    <n v="0"/>
    <n v="0"/>
    <n v="0"/>
  </r>
  <r>
    <n v="16961951"/>
    <s v="N"/>
    <n v="21334070"/>
    <s v="3000007888380007RC"/>
    <s v="CIVIL"/>
    <d v="2023-06-28T00:00:00"/>
    <d v="2023-07-05T19:42:28"/>
    <m/>
    <d v="2023-07-05T00:00:00"/>
    <n v="1878"/>
    <n v="1547"/>
    <s v="16961951"/>
    <s v="16961951"/>
    <m/>
    <m/>
    <m/>
    <m/>
    <m/>
    <m/>
    <s v="SOLRECOUP"/>
    <s v="SOLRECOUP"/>
    <s v="POARECOUP"/>
    <n v="21334070"/>
    <n v="-162"/>
    <m/>
    <s v="Y"/>
    <n v="2"/>
    <d v="2023-07-05T19:42:30"/>
    <s v="N"/>
    <m/>
    <m/>
    <s v="Expert Disbursement"/>
    <m/>
    <s v="N"/>
    <n v="0"/>
    <n v="-27"/>
    <x v="6"/>
    <s v="VALIDATED"/>
    <n v="1"/>
    <s v="01.11.80.308.2013.0000"/>
    <n v="-27"/>
    <s v="11"/>
    <s v="2013"/>
    <n v="-32425.63"/>
    <n v="-27"/>
    <s v="DEBTOR"/>
    <n v="0"/>
    <n v="0"/>
    <n v="0"/>
    <n v="0"/>
    <n v="0"/>
  </r>
  <r>
    <n v="16961951"/>
    <s v="N"/>
    <n v="21334071"/>
    <s v="3000007888380002RC"/>
    <s v="CIVIL"/>
    <d v="2023-06-28T00:00:00"/>
    <d v="2023-07-05T19:42:28"/>
    <m/>
    <d v="2023-07-05T00:00:00"/>
    <n v="1878"/>
    <n v="1547"/>
    <s v="16961951"/>
    <s v="16961951"/>
    <m/>
    <m/>
    <m/>
    <m/>
    <m/>
    <m/>
    <s v="SOLRECOUP"/>
    <s v="SOLRECOUP"/>
    <s v="POARECOUP"/>
    <n v="21334071"/>
    <n v="-2511.36"/>
    <m/>
    <s v="Y"/>
    <n v="1"/>
    <d v="2023-07-05T19:42:30"/>
    <s v="N"/>
    <m/>
    <m/>
    <s v="Profit Cost"/>
    <m/>
    <s v="N"/>
    <n v="-2092.8"/>
    <n v="0"/>
    <x v="6"/>
    <s v="VALIDATED"/>
    <n v="1"/>
    <s v="01.11.80.308.2013.0000"/>
    <n v="-2092.8"/>
    <s v="11"/>
    <s v="2013"/>
    <n v="-32425.63"/>
    <n v="-2092.8"/>
    <s v="DEBTOR"/>
    <n v="0"/>
    <n v="0"/>
    <n v="0"/>
    <n v="0"/>
    <n v="0"/>
  </r>
  <r>
    <n v="16961951"/>
    <s v="N"/>
    <n v="21334071"/>
    <s v="3000007888380002RC"/>
    <s v="CIVIL"/>
    <d v="2023-06-28T00:00:00"/>
    <d v="2023-07-05T19:42:28"/>
    <m/>
    <d v="2023-07-05T00:00:00"/>
    <n v="1878"/>
    <n v="1547"/>
    <s v="16961951"/>
    <s v="16961951"/>
    <m/>
    <m/>
    <m/>
    <m/>
    <m/>
    <m/>
    <s v="SOLRECOUP"/>
    <s v="SOLRECOUP"/>
    <s v="POARECOUP"/>
    <n v="21334071"/>
    <n v="-2511.36"/>
    <m/>
    <s v="Y"/>
    <n v="2"/>
    <d v="2023-07-05T19:42:30"/>
    <s v="N"/>
    <m/>
    <m/>
    <s v="Profit Cost"/>
    <m/>
    <s v="N"/>
    <n v="0"/>
    <n v="-418.56"/>
    <x v="6"/>
    <s v="VALIDATED"/>
    <n v="1"/>
    <s v="01.11.80.308.2013.0000"/>
    <n v="-418.56"/>
    <s v="11"/>
    <s v="2013"/>
    <n v="-32425.63"/>
    <n v="-418.56"/>
    <s v="DEBTOR"/>
    <n v="0"/>
    <n v="0"/>
    <n v="0"/>
    <n v="0"/>
    <n v="0"/>
  </r>
  <r>
    <n v="16961951"/>
    <s v="N"/>
    <n v="21334072"/>
    <s v="3000007888380001RC"/>
    <s v="CIVIL"/>
    <d v="2023-06-28T00:00:00"/>
    <d v="2023-07-05T19:42:28"/>
    <m/>
    <d v="2023-07-05T00:00:00"/>
    <n v="1878"/>
    <n v="1547"/>
    <s v="16961951"/>
    <s v="16961951"/>
    <m/>
    <m/>
    <m/>
    <m/>
    <m/>
    <m/>
    <s v="SOLRECOUP"/>
    <s v="SOLRECOUP"/>
    <s v="POARECOUP"/>
    <n v="21334072"/>
    <n v="-155"/>
    <m/>
    <s v="Y"/>
    <n v="1"/>
    <d v="2023-07-05T19:42:30"/>
    <s v="N"/>
    <m/>
    <m/>
    <s v="Non Expert Disbursement"/>
    <m/>
    <s v="N"/>
    <n v="-155"/>
    <n v="0"/>
    <x v="6"/>
    <s v="VALIDATED"/>
    <n v="1"/>
    <s v="01.11.80.308.2013.0000"/>
    <n v="-155"/>
    <s v="11"/>
    <s v="2013"/>
    <n v="-32425.63"/>
    <n v="-155"/>
    <s v="DEBTOR"/>
    <n v="0"/>
    <n v="0"/>
    <n v="0"/>
    <n v="0"/>
    <n v="0"/>
  </r>
  <r>
    <n v="60867888"/>
    <s v="N"/>
    <n v="21356939"/>
    <s v="3000015088620010RC"/>
    <s v="CIVIL"/>
    <d v="2023-06-30T00:00:00"/>
    <d v="2023-07-10T19:47:44"/>
    <m/>
    <d v="2023-07-10T00:00:00"/>
    <n v="1878"/>
    <n v="1547"/>
    <s v="60867888"/>
    <s v="60867888"/>
    <m/>
    <m/>
    <m/>
    <m/>
    <m/>
    <m/>
    <s v="SOLRECOUP"/>
    <s v="SOLRECOUP"/>
    <s v="POARECOUP"/>
    <n v="21356939"/>
    <n v="-17.5"/>
    <m/>
    <s v="Y"/>
    <n v="2"/>
    <d v="2023-07-10T19:47:46"/>
    <s v="N"/>
    <m/>
    <m/>
    <s v="Expert Disbursement"/>
    <m/>
    <s v="N"/>
    <n v="0"/>
    <n v="-2.92"/>
    <x v="2"/>
    <s v="VALIDATED"/>
    <n v="1"/>
    <s v="01.11.80.203.2013.0000"/>
    <n v="-2.92"/>
    <s v="11"/>
    <s v="2013"/>
    <n v="-32425.63"/>
    <n v="-2.92"/>
    <s v="DEBTOR"/>
    <n v="0"/>
    <n v="0"/>
    <n v="0"/>
    <n v="0"/>
    <n v="0"/>
  </r>
  <r>
    <n v="16166207"/>
    <s v="N"/>
    <n v="21346534"/>
    <s v="3000007747490013RC"/>
    <s v="CIVIL"/>
    <d v="2023-06-28T00:00:00"/>
    <d v="2023-07-07T19:34:21"/>
    <m/>
    <d v="2023-07-07T00:00:00"/>
    <n v="1878"/>
    <n v="1547"/>
    <s v="16166207"/>
    <s v="16166207"/>
    <m/>
    <m/>
    <m/>
    <m/>
    <m/>
    <m/>
    <s v="SOLRECOUP"/>
    <s v="SOLRECOUP"/>
    <s v="POARECOUP"/>
    <n v="21346534"/>
    <n v="-4776.26"/>
    <m/>
    <s v="Y"/>
    <n v="2"/>
    <d v="2023-07-07T19:34:23"/>
    <s v="N"/>
    <m/>
    <m/>
    <s v="Expert Disbursement"/>
    <m/>
    <s v="N"/>
    <n v="0"/>
    <n v="-796.04"/>
    <x v="9"/>
    <s v="VALIDATED"/>
    <n v="1"/>
    <s v="01.11.80.203.2013.0000"/>
    <n v="-796.04"/>
    <s v="11"/>
    <s v="2013"/>
    <n v="-32425.63"/>
    <n v="-796.04"/>
    <s v="DEBTOR"/>
    <n v="0"/>
    <n v="0"/>
    <n v="0"/>
    <n v="0"/>
    <n v="0"/>
  </r>
  <r>
    <n v="16166207"/>
    <s v="N"/>
    <n v="21346534"/>
    <s v="3000007747490013RC"/>
    <s v="CIVIL"/>
    <d v="2023-06-28T00:00:00"/>
    <d v="2023-07-07T19:34:21"/>
    <m/>
    <d v="2023-07-07T00:00:00"/>
    <n v="1878"/>
    <n v="1547"/>
    <s v="16166207"/>
    <s v="16166207"/>
    <m/>
    <m/>
    <m/>
    <m/>
    <m/>
    <m/>
    <s v="SOLRECOUP"/>
    <s v="SOLRECOUP"/>
    <s v="POARECOUP"/>
    <n v="21346534"/>
    <n v="-4776.26"/>
    <m/>
    <s v="Y"/>
    <n v="1"/>
    <d v="2023-07-07T19:34:23"/>
    <s v="N"/>
    <m/>
    <m/>
    <s v="Expert Disbursement"/>
    <m/>
    <s v="N"/>
    <n v="-3980.22"/>
    <n v="0"/>
    <x v="9"/>
    <s v="VALIDATED"/>
    <n v="1"/>
    <s v="01.11.80.203.2013.0000"/>
    <n v="-3980.22"/>
    <s v="11"/>
    <s v="2013"/>
    <n v="-32425.63"/>
    <n v="-3980.22"/>
    <s v="DEBTOR"/>
    <n v="0"/>
    <n v="0"/>
    <n v="0"/>
    <n v="0"/>
    <n v="0"/>
  </r>
  <r>
    <n v="16166207"/>
    <s v="N"/>
    <n v="21346535"/>
    <s v="3000007747490001RC"/>
    <s v="CIVIL"/>
    <d v="2023-06-28T00:00:00"/>
    <d v="2023-07-07T19:34:21"/>
    <m/>
    <d v="2023-07-07T00:00:00"/>
    <n v="1878"/>
    <n v="1547"/>
    <s v="16166207"/>
    <s v="16166207"/>
    <m/>
    <m/>
    <m/>
    <m/>
    <m/>
    <m/>
    <s v="SOLRECOUP"/>
    <s v="SOLRECOUP"/>
    <s v="POARECOUP"/>
    <n v="21346535"/>
    <n v="-803.26"/>
    <m/>
    <s v="Y"/>
    <n v="1"/>
    <d v="2023-07-07T19:34:23"/>
    <s v="N"/>
    <m/>
    <m/>
    <s v="Profit Cost"/>
    <m/>
    <s v="N"/>
    <n v="-669.38"/>
    <n v="0"/>
    <x v="9"/>
    <s v="VALIDATED"/>
    <n v="1"/>
    <s v="01.11.80.203.2013.0000"/>
    <n v="-669.38"/>
    <s v="11"/>
    <s v="2013"/>
    <n v="-32425.63"/>
    <n v="-669.38"/>
    <s v="DEBTOR"/>
    <n v="0"/>
    <n v="0"/>
    <n v="0"/>
    <n v="0"/>
    <n v="0"/>
  </r>
  <r>
    <n v="16166207"/>
    <s v="N"/>
    <n v="21346535"/>
    <s v="3000007747490001RC"/>
    <s v="CIVIL"/>
    <d v="2023-06-28T00:00:00"/>
    <d v="2023-07-07T19:34:21"/>
    <m/>
    <d v="2023-07-07T00:00:00"/>
    <n v="1878"/>
    <n v="1547"/>
    <s v="16166207"/>
    <s v="16166207"/>
    <m/>
    <m/>
    <m/>
    <m/>
    <m/>
    <m/>
    <s v="SOLRECOUP"/>
    <s v="SOLRECOUP"/>
    <s v="POARECOUP"/>
    <n v="21346535"/>
    <n v="-803.26"/>
    <m/>
    <s v="Y"/>
    <n v="2"/>
    <d v="2023-07-07T19:34:23"/>
    <s v="N"/>
    <m/>
    <m/>
    <s v="Profit Cost"/>
    <m/>
    <s v="N"/>
    <n v="0"/>
    <n v="-133.88"/>
    <x v="9"/>
    <s v="VALIDATED"/>
    <n v="1"/>
    <s v="01.11.80.203.2013.0000"/>
    <n v="-133.88"/>
    <s v="11"/>
    <s v="2013"/>
    <n v="-32425.63"/>
    <n v="-133.88"/>
    <s v="DEBTOR"/>
    <n v="0"/>
    <n v="0"/>
    <n v="0"/>
    <n v="0"/>
    <n v="0"/>
  </r>
  <r>
    <n v="16166207"/>
    <s v="N"/>
    <n v="21346536"/>
    <s v="3000007747490011RC"/>
    <s v="CIVIL"/>
    <d v="2023-06-28T00:00:00"/>
    <d v="2023-07-07T19:34:21"/>
    <m/>
    <d v="2023-07-07T00:00:00"/>
    <n v="1878"/>
    <n v="1547"/>
    <s v="16166207"/>
    <s v="16166207"/>
    <m/>
    <m/>
    <m/>
    <m/>
    <m/>
    <m/>
    <s v="SOLRECOUP"/>
    <s v="SOLRECOUP"/>
    <s v="POARECOUP"/>
    <n v="21346536"/>
    <n v="-2028.26"/>
    <m/>
    <s v="Y"/>
    <n v="2"/>
    <d v="2023-07-07T19:34:23"/>
    <s v="N"/>
    <m/>
    <m/>
    <s v="Expert Disbursement"/>
    <m/>
    <s v="N"/>
    <n v="0"/>
    <n v="-338.04"/>
    <x v="9"/>
    <s v="VALIDATED"/>
    <n v="1"/>
    <s v="01.11.80.203.2013.0000"/>
    <n v="-338.04"/>
    <s v="11"/>
    <s v="2013"/>
    <n v="-32425.63"/>
    <n v="-338.04"/>
    <s v="DEBTOR"/>
    <n v="0"/>
    <n v="0"/>
    <n v="0"/>
    <n v="0"/>
    <n v="0"/>
  </r>
  <r>
    <n v="16166207"/>
    <s v="N"/>
    <n v="21346536"/>
    <s v="3000007747490011RC"/>
    <s v="CIVIL"/>
    <d v="2023-06-28T00:00:00"/>
    <d v="2023-07-07T19:34:21"/>
    <m/>
    <d v="2023-07-07T00:00:00"/>
    <n v="1878"/>
    <n v="1547"/>
    <s v="16166207"/>
    <s v="16166207"/>
    <m/>
    <m/>
    <m/>
    <m/>
    <m/>
    <m/>
    <s v="SOLRECOUP"/>
    <s v="SOLRECOUP"/>
    <s v="POARECOUP"/>
    <n v="21346536"/>
    <n v="-2028.26"/>
    <m/>
    <s v="Y"/>
    <n v="1"/>
    <d v="2023-07-07T19:34:23"/>
    <s v="N"/>
    <m/>
    <m/>
    <s v="Expert Disbursement"/>
    <m/>
    <s v="N"/>
    <n v="-1690.22"/>
    <n v="0"/>
    <x v="9"/>
    <s v="VALIDATED"/>
    <n v="1"/>
    <s v="01.11.80.203.2013.0000"/>
    <n v="-1690.22"/>
    <s v="11"/>
    <s v="2013"/>
    <n v="-32425.63"/>
    <n v="-1690.22"/>
    <s v="DEBTOR"/>
    <n v="0"/>
    <n v="0"/>
    <n v="0"/>
    <n v="0"/>
    <n v="0"/>
  </r>
  <r>
    <n v="16166207"/>
    <s v="N"/>
    <n v="21346537"/>
    <s v="3000007747490012RC"/>
    <s v="CIVIL"/>
    <d v="2023-06-28T00:00:00"/>
    <d v="2023-07-07T19:34:21"/>
    <m/>
    <d v="2023-07-07T00:00:00"/>
    <n v="1878"/>
    <n v="1547"/>
    <s v="16166207"/>
    <s v="16166207"/>
    <m/>
    <m/>
    <m/>
    <m/>
    <m/>
    <m/>
    <s v="SOLRECOUP"/>
    <s v="SOLRECOUP"/>
    <s v="POARECOUP"/>
    <n v="21346537"/>
    <n v="-2147.59"/>
    <m/>
    <s v="Y"/>
    <n v="1"/>
    <d v="2023-07-07T19:34:23"/>
    <s v="N"/>
    <m/>
    <m/>
    <s v="Expert Disbursement"/>
    <m/>
    <s v="N"/>
    <n v="-1789.66"/>
    <n v="0"/>
    <x v="9"/>
    <s v="VALIDATED"/>
    <n v="1"/>
    <s v="01.11.80.203.2013.0000"/>
    <n v="-1789.66"/>
    <s v="11"/>
    <s v="2013"/>
    <n v="-32425.63"/>
    <n v="-1789.66"/>
    <s v="DEBTOR"/>
    <n v="0"/>
    <n v="0"/>
    <n v="0"/>
    <n v="0"/>
    <n v="0"/>
  </r>
  <r>
    <n v="16166207"/>
    <s v="N"/>
    <n v="21346537"/>
    <s v="3000007747490012RC"/>
    <s v="CIVIL"/>
    <d v="2023-06-28T00:00:00"/>
    <d v="2023-07-07T19:34:21"/>
    <m/>
    <d v="2023-07-07T00:00:00"/>
    <n v="1878"/>
    <n v="1547"/>
    <s v="16166207"/>
    <s v="16166207"/>
    <m/>
    <m/>
    <m/>
    <m/>
    <m/>
    <m/>
    <s v="SOLRECOUP"/>
    <s v="SOLRECOUP"/>
    <s v="POARECOUP"/>
    <n v="21346537"/>
    <n v="-2147.59"/>
    <m/>
    <s v="Y"/>
    <n v="2"/>
    <d v="2023-07-07T19:34:23"/>
    <s v="N"/>
    <m/>
    <m/>
    <s v="Expert Disbursement"/>
    <m/>
    <s v="N"/>
    <n v="0"/>
    <n v="-357.93"/>
    <x v="9"/>
    <s v="VALIDATED"/>
    <n v="1"/>
    <s v="01.11.80.203.2013.0000"/>
    <n v="-357.93"/>
    <s v="11"/>
    <s v="2013"/>
    <n v="-32425.63"/>
    <n v="-357.93"/>
    <s v="DEBTOR"/>
    <n v="0"/>
    <n v="0"/>
    <n v="0"/>
    <n v="0"/>
    <n v="0"/>
  </r>
  <r>
    <n v="16166207"/>
    <s v="N"/>
    <n v="21346538"/>
    <s v="3000007747490015RC"/>
    <s v="CIVIL"/>
    <d v="2023-06-28T00:00:00"/>
    <d v="2023-07-07T19:34:21"/>
    <m/>
    <d v="2023-07-07T00:00:00"/>
    <n v="1878"/>
    <n v="1547"/>
    <s v="16166207"/>
    <s v="16166207"/>
    <m/>
    <m/>
    <m/>
    <m/>
    <m/>
    <m/>
    <s v="SOLRECOUP"/>
    <s v="SOLRECOUP"/>
    <s v="POARECOUP"/>
    <n v="21346538"/>
    <n v="-2965.6"/>
    <m/>
    <s v="Y"/>
    <n v="1"/>
    <d v="2023-07-07T19:34:23"/>
    <s v="N"/>
    <m/>
    <m/>
    <s v="Expert Disbursement"/>
    <m/>
    <s v="N"/>
    <n v="-2471.33"/>
    <n v="0"/>
    <x v="9"/>
    <s v="VALIDATED"/>
    <n v="1"/>
    <s v="01.11.80.203.2013.0000"/>
    <n v="-2471.33"/>
    <s v="11"/>
    <s v="2013"/>
    <n v="-32425.63"/>
    <n v="-2471.33"/>
    <s v="DEBTOR"/>
    <n v="0"/>
    <n v="0"/>
    <n v="0"/>
    <n v="0"/>
    <n v="0"/>
  </r>
  <r>
    <n v="16166207"/>
    <s v="N"/>
    <n v="21346538"/>
    <s v="3000007747490015RC"/>
    <s v="CIVIL"/>
    <d v="2023-06-28T00:00:00"/>
    <d v="2023-07-07T19:34:21"/>
    <m/>
    <d v="2023-07-07T00:00:00"/>
    <n v="1878"/>
    <n v="1547"/>
    <s v="16166207"/>
    <s v="16166207"/>
    <m/>
    <m/>
    <m/>
    <m/>
    <m/>
    <m/>
    <s v="SOLRECOUP"/>
    <s v="SOLRECOUP"/>
    <s v="POARECOUP"/>
    <n v="21346538"/>
    <n v="-2965.6"/>
    <m/>
    <s v="Y"/>
    <n v="2"/>
    <d v="2023-07-07T19:34:23"/>
    <s v="N"/>
    <m/>
    <m/>
    <s v="Expert Disbursement"/>
    <m/>
    <s v="N"/>
    <n v="0"/>
    <n v="-494.27"/>
    <x v="9"/>
    <s v="VALIDATED"/>
    <n v="1"/>
    <s v="01.11.80.203.2013.0000"/>
    <n v="-494.27"/>
    <s v="11"/>
    <s v="2013"/>
    <n v="-32425.63"/>
    <n v="-494.27"/>
    <s v="DEBTOR"/>
    <n v="0"/>
    <n v="0"/>
    <n v="0"/>
    <n v="0"/>
    <n v="0"/>
  </r>
  <r>
    <n v="16166207"/>
    <s v="N"/>
    <n v="21346539"/>
    <s v="3000007747490017RC"/>
    <s v="CIVIL"/>
    <d v="2023-06-28T00:00:00"/>
    <d v="2023-07-07T19:34:21"/>
    <m/>
    <d v="2023-07-07T00:00:00"/>
    <n v="1878"/>
    <n v="1547"/>
    <s v="16166207"/>
    <s v="16166207"/>
    <m/>
    <m/>
    <m/>
    <m/>
    <m/>
    <m/>
    <s v="SOLRECOUP"/>
    <s v="SOLRECOUP"/>
    <s v="POARECOUP"/>
    <n v="21346539"/>
    <n v="-3857.2"/>
    <m/>
    <s v="Y"/>
    <n v="1"/>
    <d v="2023-07-07T19:34:23"/>
    <s v="N"/>
    <m/>
    <m/>
    <s v="Expert Disbursement"/>
    <m/>
    <s v="N"/>
    <n v="-3214.33"/>
    <n v="0"/>
    <x v="9"/>
    <s v="VALIDATED"/>
    <n v="1"/>
    <s v="01.11.80.203.2013.0000"/>
    <n v="-3214.33"/>
    <s v="11"/>
    <s v="2013"/>
    <n v="-32425.63"/>
    <n v="-3214.33"/>
    <s v="DEBTOR"/>
    <n v="0"/>
    <n v="0"/>
    <n v="0"/>
    <n v="0"/>
    <n v="0"/>
  </r>
  <r>
    <n v="16166207"/>
    <s v="N"/>
    <n v="21346539"/>
    <s v="3000007747490017RC"/>
    <s v="CIVIL"/>
    <d v="2023-06-28T00:00:00"/>
    <d v="2023-07-07T19:34:21"/>
    <m/>
    <d v="2023-07-07T00:00:00"/>
    <n v="1878"/>
    <n v="1547"/>
    <s v="16166207"/>
    <s v="16166207"/>
    <m/>
    <m/>
    <m/>
    <m/>
    <m/>
    <m/>
    <s v="SOLRECOUP"/>
    <s v="SOLRECOUP"/>
    <s v="POARECOUP"/>
    <n v="21346539"/>
    <n v="-3857.2"/>
    <m/>
    <s v="Y"/>
    <n v="2"/>
    <d v="2023-07-07T19:34:23"/>
    <s v="N"/>
    <m/>
    <m/>
    <s v="Expert Disbursement"/>
    <m/>
    <s v="N"/>
    <n v="0"/>
    <n v="-642.87"/>
    <x v="9"/>
    <s v="VALIDATED"/>
    <n v="1"/>
    <s v="01.11.80.203.2013.0000"/>
    <n v="-642.87"/>
    <s v="11"/>
    <s v="2013"/>
    <n v="-32425.63"/>
    <n v="-642.87"/>
    <s v="DEBTOR"/>
    <n v="0"/>
    <n v="0"/>
    <n v="0"/>
    <n v="0"/>
    <n v="0"/>
  </r>
  <r>
    <n v="16166207"/>
    <s v="N"/>
    <n v="21346540"/>
    <s v="3000007747490018RC"/>
    <s v="CIVIL"/>
    <d v="2023-06-28T00:00:00"/>
    <d v="2023-07-07T19:34:21"/>
    <m/>
    <d v="2023-07-07T00:00:00"/>
    <n v="1878"/>
    <n v="1547"/>
    <s v="16166207"/>
    <s v="16166207"/>
    <m/>
    <m/>
    <m/>
    <m/>
    <m/>
    <m/>
    <s v="SOLRECOUP"/>
    <s v="SOLRECOUP"/>
    <s v="POARECOUP"/>
    <n v="21346540"/>
    <n v="-8340"/>
    <m/>
    <s v="Y"/>
    <n v="1"/>
    <d v="2023-07-07T19:34:23"/>
    <s v="N"/>
    <m/>
    <m/>
    <s v="Expert Disbursement"/>
    <m/>
    <s v="N"/>
    <n v="-6950"/>
    <n v="0"/>
    <x v="9"/>
    <s v="VALIDATED"/>
    <n v="1"/>
    <s v="01.11.80.203.2013.0000"/>
    <n v="-6950"/>
    <s v="11"/>
    <s v="2013"/>
    <n v="-32425.63"/>
    <n v="-6950"/>
    <s v="DEBTOR"/>
    <n v="0"/>
    <n v="0"/>
    <n v="0"/>
    <n v="0"/>
    <n v="0"/>
  </r>
  <r>
    <n v="16166207"/>
    <s v="N"/>
    <n v="21346540"/>
    <s v="3000007747490018RC"/>
    <s v="CIVIL"/>
    <d v="2023-06-28T00:00:00"/>
    <d v="2023-07-07T19:34:21"/>
    <m/>
    <d v="2023-07-07T00:00:00"/>
    <n v="1878"/>
    <n v="1547"/>
    <s v="16166207"/>
    <s v="16166207"/>
    <m/>
    <m/>
    <m/>
    <m/>
    <m/>
    <m/>
    <s v="SOLRECOUP"/>
    <s v="SOLRECOUP"/>
    <s v="POARECOUP"/>
    <n v="21346540"/>
    <n v="-8340"/>
    <m/>
    <s v="Y"/>
    <n v="2"/>
    <d v="2023-07-07T19:34:23"/>
    <s v="N"/>
    <m/>
    <m/>
    <s v="Expert Disbursement"/>
    <m/>
    <s v="N"/>
    <n v="0"/>
    <n v="-1390"/>
    <x v="9"/>
    <s v="VALIDATED"/>
    <n v="1"/>
    <s v="01.11.80.203.2013.0000"/>
    <n v="-1390"/>
    <s v="11"/>
    <s v="2013"/>
    <n v="-32425.63"/>
    <n v="-1390"/>
    <s v="DEBTOR"/>
    <n v="0"/>
    <n v="0"/>
    <n v="0"/>
    <n v="0"/>
    <n v="0"/>
  </r>
  <r>
    <n v="59677260"/>
    <s v="N"/>
    <n v="21340128"/>
    <s v="3000014052440003RC"/>
    <s v="CIVIL"/>
    <d v="2023-06-30T00:00:00"/>
    <d v="2023-07-06T19:54:22"/>
    <m/>
    <d v="2023-07-06T00:00:00"/>
    <n v="1878"/>
    <n v="1547"/>
    <s v="59677260"/>
    <s v="59677260"/>
    <m/>
    <m/>
    <m/>
    <m/>
    <m/>
    <m/>
    <s v="SOLRECOUP"/>
    <s v="SOLRECOUP"/>
    <s v="POARECOUP"/>
    <n v="21340128"/>
    <n v="-1099.43"/>
    <m/>
    <s v="Y"/>
    <n v="1"/>
    <d v="2023-07-06T19:54:23"/>
    <s v="N"/>
    <m/>
    <m/>
    <s v="Profit Cost"/>
    <m/>
    <s v="N"/>
    <n v="-916.1900000000001"/>
    <n v="0"/>
    <x v="4"/>
    <s v="VALIDATED"/>
    <n v="1"/>
    <s v="01.11.80.203.2013.0000"/>
    <n v="-916.1900000000001"/>
    <s v="11"/>
    <s v="2013"/>
    <n v="-32425.63"/>
    <n v="-916.1900000000001"/>
    <s v="DEBTOR"/>
    <n v="0"/>
    <n v="0"/>
    <n v="0"/>
    <n v="0"/>
    <n v="0"/>
  </r>
  <r>
    <n v="59677260"/>
    <s v="N"/>
    <n v="21340128"/>
    <s v="3000014052440003RC"/>
    <s v="CIVIL"/>
    <d v="2023-06-30T00:00:00"/>
    <d v="2023-07-06T19:54:22"/>
    <m/>
    <d v="2023-07-06T00:00:00"/>
    <n v="1878"/>
    <n v="1547"/>
    <s v="59677260"/>
    <s v="59677260"/>
    <m/>
    <m/>
    <m/>
    <m/>
    <m/>
    <m/>
    <s v="SOLRECOUP"/>
    <s v="SOLRECOUP"/>
    <s v="POARECOUP"/>
    <n v="21340128"/>
    <n v="-1099.43"/>
    <m/>
    <s v="Y"/>
    <n v="2"/>
    <d v="2023-07-06T19:54:23"/>
    <s v="N"/>
    <m/>
    <m/>
    <s v="Profit Cost"/>
    <m/>
    <s v="N"/>
    <n v="0"/>
    <n v="-183.24"/>
    <x v="4"/>
    <s v="VALIDATED"/>
    <n v="1"/>
    <s v="01.11.80.203.2013.0000"/>
    <n v="-183.24"/>
    <s v="11"/>
    <s v="2013"/>
    <n v="-32425.63"/>
    <n v="-183.24"/>
    <s v="DEBTOR"/>
    <n v="0"/>
    <n v="0"/>
    <n v="0"/>
    <n v="0"/>
    <n v="0"/>
  </r>
  <r>
    <n v="59677260"/>
    <s v="N"/>
    <n v="21340129"/>
    <s v="3000014052440002RC"/>
    <s v="CIVIL"/>
    <d v="2023-06-30T00:00:00"/>
    <d v="2023-07-06T19:54:22"/>
    <m/>
    <d v="2023-07-06T00:00:00"/>
    <n v="1878"/>
    <n v="1547"/>
    <s v="59677260"/>
    <s v="59677260"/>
    <m/>
    <m/>
    <m/>
    <m/>
    <m/>
    <m/>
    <s v="SOLRECOUP"/>
    <s v="SOLRECOUP"/>
    <s v="POARECOUP"/>
    <n v="21340129"/>
    <n v="-1962.32"/>
    <m/>
    <s v="Y"/>
    <n v="1"/>
    <d v="2023-07-06T19:54:23"/>
    <s v="N"/>
    <m/>
    <m/>
    <s v="Profit Cost"/>
    <m/>
    <s v="N"/>
    <n v="-1635.27"/>
    <n v="0"/>
    <x v="4"/>
    <s v="VALIDATED"/>
    <n v="1"/>
    <s v="01.11.80.203.2013.0000"/>
    <n v="-1635.27"/>
    <s v="11"/>
    <s v="2013"/>
    <n v="-32425.63"/>
    <n v="-1635.27"/>
    <s v="DEBTOR"/>
    <n v="0"/>
    <n v="0"/>
    <n v="0"/>
    <n v="0"/>
    <n v="0"/>
  </r>
  <r>
    <n v="59677260"/>
    <s v="N"/>
    <n v="21340129"/>
    <s v="3000014052440002RC"/>
    <s v="CIVIL"/>
    <d v="2023-06-30T00:00:00"/>
    <d v="2023-07-06T19:54:22"/>
    <m/>
    <d v="2023-07-06T00:00:00"/>
    <n v="1878"/>
    <n v="1547"/>
    <s v="59677260"/>
    <s v="59677260"/>
    <m/>
    <m/>
    <m/>
    <m/>
    <m/>
    <m/>
    <s v="SOLRECOUP"/>
    <s v="SOLRECOUP"/>
    <s v="POARECOUP"/>
    <n v="21340129"/>
    <n v="-1962.32"/>
    <m/>
    <s v="Y"/>
    <n v="2"/>
    <d v="2023-07-06T19:54:23"/>
    <s v="N"/>
    <m/>
    <m/>
    <s v="Profit Cost"/>
    <m/>
    <s v="N"/>
    <n v="0"/>
    <n v="-327.05"/>
    <x v="4"/>
    <s v="VALIDATED"/>
    <n v="1"/>
    <s v="01.11.80.203.2013.0000"/>
    <n v="-327.05"/>
    <s v="11"/>
    <s v="2013"/>
    <n v="-32425.63"/>
    <n v="-327.05"/>
    <s v="DEBTOR"/>
    <n v="0"/>
    <n v="0"/>
    <n v="0"/>
    <n v="0"/>
    <n v="0"/>
  </r>
  <r>
    <n v="59677260"/>
    <s v="N"/>
    <n v="21340130"/>
    <s v="3000014052440010RC"/>
    <s v="CIVIL"/>
    <d v="2023-06-30T00:00:00"/>
    <d v="2023-07-06T19:54:22"/>
    <m/>
    <d v="2023-07-06T00:00:00"/>
    <n v="1878"/>
    <n v="1547"/>
    <s v="59677260"/>
    <s v="59677260"/>
    <m/>
    <m/>
    <m/>
    <m/>
    <m/>
    <m/>
    <s v="SOLRECOUP"/>
    <s v="SOLRECOUP"/>
    <s v="POARECOUP"/>
    <n v="21340130"/>
    <n v="-495"/>
    <m/>
    <s v="Y"/>
    <n v="1"/>
    <d v="2023-07-06T19:54:23"/>
    <s v="N"/>
    <m/>
    <m/>
    <s v="Expert Disbursement"/>
    <m/>
    <s v="N"/>
    <n v="-495"/>
    <n v="0"/>
    <x v="4"/>
    <s v="VALIDATED"/>
    <n v="1"/>
    <s v="01.11.80.203.2013.0000"/>
    <n v="-495"/>
    <s v="11"/>
    <s v="2013"/>
    <n v="-32425.63"/>
    <n v="-495"/>
    <s v="DEBTOR"/>
    <n v="0"/>
    <n v="0"/>
    <n v="0"/>
    <n v="0"/>
    <n v="0"/>
  </r>
  <r>
    <n v="59677260"/>
    <s v="N"/>
    <n v="21340130"/>
    <s v="3000014052440010RC"/>
    <s v="CIVIL"/>
    <d v="2023-06-30T00:00:00"/>
    <d v="2023-07-06T19:54:22"/>
    <m/>
    <d v="2023-07-06T00:00:00"/>
    <n v="1878"/>
    <n v="1547"/>
    <s v="59677260"/>
    <s v="59677260"/>
    <m/>
    <m/>
    <m/>
    <m/>
    <m/>
    <m/>
    <s v="SOLRECOUP"/>
    <s v="SOLRECOUP"/>
    <s v="POARECOUP"/>
    <n v="21340130"/>
    <n v="-495"/>
    <m/>
    <s v="Y"/>
    <n v="2"/>
    <d v="2023-07-06T19:54:23"/>
    <s v="N"/>
    <m/>
    <m/>
    <s v="Expert Disbursement"/>
    <m/>
    <s v="N"/>
    <n v="0"/>
    <n v="0"/>
    <x v="4"/>
    <s v="VALIDATED"/>
    <n v="1"/>
    <s v="01.11.80.000.0000.0000"/>
    <n v="0"/>
    <s v="11"/>
    <s v="0000"/>
    <n v="-32425.63"/>
    <n v="0"/>
    <s v="DEBTOR"/>
    <n v="0"/>
    <n v="0"/>
    <n v="0"/>
    <n v="0"/>
    <n v="0"/>
  </r>
  <r>
    <n v="59677260"/>
    <s v="N"/>
    <n v="21340131"/>
    <s v="3000014052440011RC"/>
    <s v="CIVIL"/>
    <d v="2023-06-30T00:00:00"/>
    <d v="2023-07-06T19:54:22"/>
    <m/>
    <d v="2023-07-06T00:00:00"/>
    <n v="1878"/>
    <n v="1547"/>
    <s v="59677260"/>
    <s v="59677260"/>
    <m/>
    <m/>
    <m/>
    <m/>
    <m/>
    <m/>
    <s v="SOLRECOUP"/>
    <s v="SOLRECOUP"/>
    <s v="POARECOUP"/>
    <n v="21340131"/>
    <n v="-426.48"/>
    <m/>
    <s v="Y"/>
    <n v="1"/>
    <d v="2023-07-06T19:54:23"/>
    <s v="N"/>
    <m/>
    <m/>
    <s v="Expert Disbursement"/>
    <m/>
    <s v="N"/>
    <n v="-355.4"/>
    <n v="0"/>
    <x v="4"/>
    <s v="VALIDATED"/>
    <n v="1"/>
    <s v="01.11.80.203.2013.0000"/>
    <n v="-355.4"/>
    <s v="11"/>
    <s v="2013"/>
    <n v="-32425.63"/>
    <n v="-355.4"/>
    <s v="DEBTOR"/>
    <n v="0"/>
    <n v="0"/>
    <n v="0"/>
    <n v="0"/>
    <n v="0"/>
  </r>
  <r>
    <n v="59677260"/>
    <s v="N"/>
    <n v="21340131"/>
    <s v="3000014052440011RC"/>
    <s v="CIVIL"/>
    <d v="2023-06-30T00:00:00"/>
    <d v="2023-07-06T19:54:22"/>
    <m/>
    <d v="2023-07-06T00:00:00"/>
    <n v="1878"/>
    <n v="1547"/>
    <s v="59677260"/>
    <s v="59677260"/>
    <m/>
    <m/>
    <m/>
    <m/>
    <m/>
    <m/>
    <s v="SOLRECOUP"/>
    <s v="SOLRECOUP"/>
    <s v="POARECOUP"/>
    <n v="21340131"/>
    <n v="-426.48"/>
    <m/>
    <s v="Y"/>
    <n v="2"/>
    <d v="2023-07-06T19:54:23"/>
    <s v="N"/>
    <m/>
    <m/>
    <s v="Expert Disbursement"/>
    <m/>
    <s v="N"/>
    <n v="0"/>
    <n v="-71.08"/>
    <x v="4"/>
    <s v="VALIDATED"/>
    <n v="1"/>
    <s v="01.11.80.203.2013.0000"/>
    <n v="-71.08"/>
    <s v="11"/>
    <s v="2013"/>
    <n v="-32425.63"/>
    <n v="-71.08"/>
    <s v="DEBTOR"/>
    <n v="0"/>
    <n v="0"/>
    <n v="0"/>
    <n v="0"/>
    <n v="0"/>
  </r>
  <r>
    <n v="59677260"/>
    <s v="N"/>
    <n v="21340132"/>
    <s v="3000014052440012RC"/>
    <s v="CIVIL"/>
    <d v="2023-06-30T00:00:00"/>
    <d v="2023-07-06T19:54:22"/>
    <m/>
    <d v="2023-07-06T00:00:00"/>
    <n v="1878"/>
    <n v="1547"/>
    <s v="59677260"/>
    <s v="59677260"/>
    <m/>
    <m/>
    <m/>
    <m/>
    <m/>
    <m/>
    <s v="SOLRECOUP"/>
    <s v="SOLRECOUP"/>
    <s v="POARECOUP"/>
    <n v="21340132"/>
    <n v="-3585.19"/>
    <m/>
    <s v="Y"/>
    <n v="1"/>
    <d v="2023-07-06T19:54:23"/>
    <s v="N"/>
    <m/>
    <m/>
    <s v="Expert Disbursement"/>
    <m/>
    <s v="N"/>
    <n v="-2987.66"/>
    <n v="0"/>
    <x v="4"/>
    <s v="VALIDATED"/>
    <n v="1"/>
    <s v="01.11.80.203.2013.0000"/>
    <n v="-2987.66"/>
    <s v="11"/>
    <s v="2013"/>
    <n v="-32425.63"/>
    <n v="-2987.66"/>
    <s v="DEBTOR"/>
    <n v="0"/>
    <n v="0"/>
    <n v="0"/>
    <n v="0"/>
    <n v="0"/>
  </r>
  <r>
    <n v="59677260"/>
    <s v="N"/>
    <n v="21340132"/>
    <s v="3000014052440012RC"/>
    <s v="CIVIL"/>
    <d v="2023-06-30T00:00:00"/>
    <d v="2023-07-06T19:54:22"/>
    <m/>
    <d v="2023-07-06T00:00:00"/>
    <n v="1878"/>
    <n v="1547"/>
    <s v="59677260"/>
    <s v="59677260"/>
    <m/>
    <m/>
    <m/>
    <m/>
    <m/>
    <m/>
    <s v="SOLRECOUP"/>
    <s v="SOLRECOUP"/>
    <s v="POARECOUP"/>
    <n v="21340132"/>
    <n v="-3585.19"/>
    <m/>
    <s v="Y"/>
    <n v="2"/>
    <d v="2023-07-06T19:54:23"/>
    <s v="N"/>
    <m/>
    <m/>
    <s v="Expert Disbursement"/>
    <m/>
    <s v="N"/>
    <n v="0"/>
    <n v="-597.53"/>
    <x v="4"/>
    <s v="VALIDATED"/>
    <n v="1"/>
    <s v="01.11.80.203.2013.0000"/>
    <n v="-597.53"/>
    <s v="11"/>
    <s v="2013"/>
    <n v="-32425.63"/>
    <n v="-597.53"/>
    <s v="DEBTOR"/>
    <n v="0"/>
    <n v="0"/>
    <n v="0"/>
    <n v="0"/>
    <n v="0"/>
  </r>
  <r>
    <n v="59677260"/>
    <s v="N"/>
    <n v="21340133"/>
    <s v="3000014052440006RC"/>
    <s v="CIVIL"/>
    <d v="2023-06-30T00:00:00"/>
    <d v="2023-07-06T19:54:22"/>
    <m/>
    <d v="2023-07-06T00:00:00"/>
    <n v="1878"/>
    <n v="1547"/>
    <s v="59677260"/>
    <s v="59677260"/>
    <m/>
    <m/>
    <m/>
    <m/>
    <m/>
    <m/>
    <s v="SOLRECOUP"/>
    <s v="SOLRECOUP"/>
    <s v="POARECOUP"/>
    <n v="21340133"/>
    <n v="-1197"/>
    <m/>
    <s v="Y"/>
    <n v="1"/>
    <d v="2023-07-06T19:54:23"/>
    <s v="N"/>
    <m/>
    <m/>
    <s v="Expert Disbursement"/>
    <m/>
    <s v="N"/>
    <n v="-1197"/>
    <n v="0"/>
    <x v="4"/>
    <s v="VALIDATED"/>
    <n v="1"/>
    <s v="01.11.80.203.2013.0000"/>
    <n v="-1197"/>
    <s v="11"/>
    <s v="2013"/>
    <n v="-32425.63"/>
    <n v="-1197"/>
    <s v="DEBTOR"/>
    <n v="0"/>
    <n v="0"/>
    <n v="0"/>
    <n v="0"/>
    <n v="0"/>
  </r>
  <r>
    <n v="59677260"/>
    <s v="N"/>
    <n v="21340133"/>
    <s v="3000014052440006RC"/>
    <s v="CIVIL"/>
    <d v="2023-06-30T00:00:00"/>
    <d v="2023-07-06T19:54:22"/>
    <m/>
    <d v="2023-07-06T00:00:00"/>
    <n v="1878"/>
    <n v="1547"/>
    <s v="59677260"/>
    <s v="59677260"/>
    <m/>
    <m/>
    <m/>
    <m/>
    <m/>
    <m/>
    <s v="SOLRECOUP"/>
    <s v="SOLRECOUP"/>
    <s v="POARECOUP"/>
    <n v="21340133"/>
    <n v="-1197"/>
    <m/>
    <s v="Y"/>
    <n v="2"/>
    <d v="2023-07-06T19:54:23"/>
    <s v="N"/>
    <m/>
    <m/>
    <s v="Expert Disbursement"/>
    <m/>
    <s v="N"/>
    <n v="0"/>
    <n v="0"/>
    <x v="4"/>
    <s v="VALIDATED"/>
    <n v="1"/>
    <s v="01.11.80.000.0000.0000"/>
    <n v="0"/>
    <s v="11"/>
    <s v="0000"/>
    <n v="-32425.63"/>
    <n v="0"/>
    <s v="DEBTOR"/>
    <n v="0"/>
    <n v="0"/>
    <n v="0"/>
    <n v="0"/>
    <n v="0"/>
  </r>
  <r>
    <n v="59677260"/>
    <s v="N"/>
    <n v="21340134"/>
    <s v="3000014052440007RC"/>
    <s v="CIVIL"/>
    <d v="2023-06-30T00:00:00"/>
    <d v="2023-07-06T19:54:22"/>
    <m/>
    <d v="2023-07-06T00:00:00"/>
    <n v="1878"/>
    <n v="1547"/>
    <s v="59677260"/>
    <s v="59677260"/>
    <m/>
    <m/>
    <m/>
    <m/>
    <m/>
    <m/>
    <s v="SOLRECOUP"/>
    <s v="SOLRECOUP"/>
    <s v="POARECOUP"/>
    <n v="21340134"/>
    <n v="-2468.9"/>
    <m/>
    <s v="Y"/>
    <n v="1"/>
    <d v="2023-07-06T19:54:23"/>
    <s v="N"/>
    <m/>
    <m/>
    <s v="Profit Cost"/>
    <m/>
    <s v="N"/>
    <n v="-2057.42"/>
    <n v="0"/>
    <x v="4"/>
    <s v="VALIDATED"/>
    <n v="1"/>
    <s v="01.11.80.203.2013.0000"/>
    <n v="-2057.42"/>
    <s v="11"/>
    <s v="2013"/>
    <n v="-32425.63"/>
    <n v="-2057.42"/>
    <s v="DEBTOR"/>
    <n v="0"/>
    <n v="0"/>
    <n v="0"/>
    <n v="0"/>
    <n v="0"/>
  </r>
  <r>
    <n v="59677260"/>
    <s v="N"/>
    <n v="21340134"/>
    <s v="3000014052440007RC"/>
    <s v="CIVIL"/>
    <d v="2023-06-30T00:00:00"/>
    <d v="2023-07-06T19:54:22"/>
    <m/>
    <d v="2023-07-06T00:00:00"/>
    <n v="1878"/>
    <n v="1547"/>
    <s v="59677260"/>
    <s v="59677260"/>
    <m/>
    <m/>
    <m/>
    <m/>
    <m/>
    <m/>
    <s v="SOLRECOUP"/>
    <s v="SOLRECOUP"/>
    <s v="POARECOUP"/>
    <n v="21340134"/>
    <n v="-2468.9"/>
    <m/>
    <s v="Y"/>
    <n v="2"/>
    <d v="2023-07-06T19:54:23"/>
    <s v="N"/>
    <m/>
    <m/>
    <s v="Profit Cost"/>
    <m/>
    <s v="N"/>
    <n v="0"/>
    <n v="-411.48"/>
    <x v="4"/>
    <s v="VALIDATED"/>
    <n v="1"/>
    <s v="01.11.80.203.2013.0000"/>
    <n v="-411.48"/>
    <s v="11"/>
    <s v="2013"/>
    <n v="-32425.63"/>
    <n v="-411.48"/>
    <s v="DEBTOR"/>
    <n v="0"/>
    <n v="0"/>
    <n v="0"/>
    <n v="0"/>
    <n v="0"/>
  </r>
  <r>
    <n v="59677260"/>
    <s v="N"/>
    <n v="21340135"/>
    <s v="3000014052440001RC"/>
    <s v="CIVIL"/>
    <d v="2023-06-30T00:00:00"/>
    <d v="2023-07-06T19:54:22"/>
    <m/>
    <d v="2023-07-06T00:00:00"/>
    <n v="1878"/>
    <n v="1547"/>
    <s v="59677260"/>
    <s v="59677260"/>
    <m/>
    <m/>
    <m/>
    <m/>
    <m/>
    <m/>
    <s v="SOLRECOUP"/>
    <s v="SOLRECOUP"/>
    <s v="POARECOUP"/>
    <n v="21340135"/>
    <n v="-371"/>
    <m/>
    <s v="Y"/>
    <n v="1"/>
    <d v="2023-07-06T19:54:23"/>
    <s v="N"/>
    <m/>
    <m/>
    <s v="Non Expert Disbursement"/>
    <m/>
    <s v="N"/>
    <n v="-371"/>
    <n v="0"/>
    <x v="4"/>
    <s v="VALIDATED"/>
    <n v="1"/>
    <s v="01.11.80.203.2013.0000"/>
    <n v="-371"/>
    <s v="11"/>
    <s v="2013"/>
    <n v="-32425.63"/>
    <n v="-371"/>
    <s v="DEBTOR"/>
    <n v="0"/>
    <n v="0"/>
    <n v="0"/>
    <n v="0"/>
    <n v="0"/>
  </r>
  <r>
    <n v="59677260"/>
    <s v="N"/>
    <n v="21340135"/>
    <s v="3000014052440001RC"/>
    <s v="CIVIL"/>
    <d v="2023-06-30T00:00:00"/>
    <d v="2023-07-06T19:54:22"/>
    <m/>
    <d v="2023-07-06T00:00:00"/>
    <n v="1878"/>
    <n v="1547"/>
    <s v="59677260"/>
    <s v="59677260"/>
    <m/>
    <m/>
    <m/>
    <m/>
    <m/>
    <m/>
    <s v="SOLRECOUP"/>
    <s v="SOLRECOUP"/>
    <s v="POARECOUP"/>
    <n v="21340135"/>
    <n v="-371"/>
    <m/>
    <s v="Y"/>
    <n v="2"/>
    <d v="2023-07-06T19:54:23"/>
    <s v="N"/>
    <m/>
    <m/>
    <s v="Non Expert Disbursement"/>
    <m/>
    <s v="N"/>
    <n v="0"/>
    <n v="0"/>
    <x v="4"/>
    <s v="VALIDATED"/>
    <n v="1"/>
    <s v="01.11.80.000.0000.0000"/>
    <n v="0"/>
    <s v="11"/>
    <s v="0000"/>
    <n v="-32425.63"/>
    <n v="0"/>
    <s v="DEBTOR"/>
    <n v="0"/>
    <n v="0"/>
    <n v="0"/>
    <n v="0"/>
    <n v="0"/>
  </r>
  <r>
    <n v="59677260"/>
    <s v="N"/>
    <n v="21340136"/>
    <s v="3000014052440014RC"/>
    <s v="CIVIL"/>
    <d v="2023-06-30T00:00:00"/>
    <d v="2023-07-06T19:54:22"/>
    <m/>
    <d v="2023-07-06T00:00:00"/>
    <n v="1878"/>
    <n v="1547"/>
    <s v="59677260"/>
    <s v="59677260"/>
    <m/>
    <m/>
    <m/>
    <m/>
    <m/>
    <m/>
    <s v="SOLRECOUP"/>
    <s v="SOLRECOUP"/>
    <s v="POARECOUP"/>
    <n v="21340136"/>
    <n v="-1710.17"/>
    <m/>
    <s v="Y"/>
    <n v="1"/>
    <d v="2023-07-06T19:54:23"/>
    <s v="N"/>
    <m/>
    <m/>
    <s v="Non Expert Disbursement"/>
    <m/>
    <s v="N"/>
    <n v="-1425.14"/>
    <n v="0"/>
    <x v="4"/>
    <s v="VALIDATED"/>
    <n v="1"/>
    <s v="01.11.80.203.2013.0000"/>
    <n v="-1425.14"/>
    <s v="11"/>
    <s v="2013"/>
    <n v="-32425.63"/>
    <n v="-1425.14"/>
    <s v="DEBTOR"/>
    <n v="0"/>
    <n v="0"/>
    <n v="0"/>
    <n v="0"/>
    <n v="0"/>
  </r>
  <r>
    <n v="59677260"/>
    <s v="N"/>
    <n v="21340136"/>
    <s v="3000014052440014RC"/>
    <s v="CIVIL"/>
    <d v="2023-06-30T00:00:00"/>
    <d v="2023-07-06T19:54:22"/>
    <m/>
    <d v="2023-07-06T00:00:00"/>
    <n v="1878"/>
    <n v="1547"/>
    <s v="59677260"/>
    <s v="59677260"/>
    <m/>
    <m/>
    <m/>
    <m/>
    <m/>
    <m/>
    <s v="SOLRECOUP"/>
    <s v="SOLRECOUP"/>
    <s v="POARECOUP"/>
    <n v="21340136"/>
    <n v="-1710.17"/>
    <m/>
    <s v="Y"/>
    <n v="2"/>
    <d v="2023-07-06T19:54:23"/>
    <s v="N"/>
    <m/>
    <m/>
    <s v="Non Expert Disbursement"/>
    <m/>
    <s v="N"/>
    <n v="0"/>
    <n v="-285.03"/>
    <x v="4"/>
    <s v="VALIDATED"/>
    <n v="1"/>
    <s v="01.11.80.203.2013.0000"/>
    <n v="-285.03"/>
    <s v="11"/>
    <s v="2013"/>
    <n v="-32425.63"/>
    <n v="-285.03"/>
    <s v="DEBTOR"/>
    <n v="0"/>
    <n v="0"/>
    <n v="0"/>
    <n v="0"/>
    <n v="0"/>
  </r>
  <r>
    <n v="59561969"/>
    <s v="N"/>
    <n v="21334086"/>
    <s v="3000013962360010RC"/>
    <s v="CIVIL"/>
    <d v="2023-06-19T00:00:00"/>
    <d v="2023-07-05T19:42:28"/>
    <m/>
    <d v="2023-07-05T00:00:00"/>
    <n v="1878"/>
    <n v="1547"/>
    <s v="59561969"/>
    <s v="59561969"/>
    <m/>
    <m/>
    <m/>
    <m/>
    <m/>
    <m/>
    <s v="SOLRECOUP"/>
    <s v="SOLRECOUP"/>
    <s v="POARECOUP"/>
    <n v="21334086"/>
    <n v="-2013.86"/>
    <m/>
    <s v="Y"/>
    <n v="2"/>
    <d v="2023-07-05T19:42:30"/>
    <s v="N"/>
    <m/>
    <m/>
    <s v="Expert Disbursement"/>
    <m/>
    <s v="N"/>
    <n v="0"/>
    <n v="-335.64"/>
    <x v="6"/>
    <s v="VALIDATED"/>
    <n v="1"/>
    <s v="01.11.80.203.2013.0000"/>
    <n v="-335.64"/>
    <s v="11"/>
    <s v="2013"/>
    <n v="-32425.63"/>
    <n v="-335.64"/>
    <s v="DEBTOR"/>
    <n v="0"/>
    <n v="0"/>
    <n v="0"/>
    <n v="0"/>
    <n v="0"/>
  </r>
  <r>
    <n v="16961951"/>
    <s v="N"/>
    <n v="21334087"/>
    <s v="3000007888380018RC"/>
    <s v="CIVIL"/>
    <d v="2023-06-28T00:00:00"/>
    <d v="2023-07-05T19:42:28"/>
    <m/>
    <d v="2023-07-05T00:00:00"/>
    <n v="1878"/>
    <n v="1547"/>
    <s v="16961951"/>
    <s v="16961951"/>
    <m/>
    <m/>
    <m/>
    <m/>
    <m/>
    <m/>
    <s v="SOLRECOUP"/>
    <s v="SOLRECOUP"/>
    <s v="POARECOUP"/>
    <n v="21334087"/>
    <n v="-1363.46"/>
    <m/>
    <s v="Y"/>
    <n v="1"/>
    <d v="2023-07-05T19:42:30"/>
    <s v="N"/>
    <m/>
    <m/>
    <s v="Expert Disbursement"/>
    <m/>
    <s v="N"/>
    <n v="-1136.22"/>
    <n v="0"/>
    <x v="6"/>
    <s v="VALIDATED"/>
    <n v="1"/>
    <s v="01.11.80.308.2013.0000"/>
    <n v="-1136.22"/>
    <s v="11"/>
    <s v="2013"/>
    <n v="-32425.63"/>
    <n v="-1136.22"/>
    <s v="DEBTOR"/>
    <n v="0"/>
    <n v="0"/>
    <n v="0"/>
    <n v="0"/>
    <n v="0"/>
  </r>
  <r>
    <n v="60867888"/>
    <s v="N"/>
    <n v="21356941"/>
    <s v="3000015088620014RC"/>
    <s v="CIVIL"/>
    <d v="2023-06-30T00:00:00"/>
    <d v="2023-07-10T19:47:44"/>
    <m/>
    <d v="2023-07-10T00:00:00"/>
    <n v="1878"/>
    <n v="1547"/>
    <s v="60867888"/>
    <s v="60867888"/>
    <m/>
    <m/>
    <m/>
    <m/>
    <m/>
    <m/>
    <s v="SOLRECOUP"/>
    <s v="SOLRECOUP"/>
    <s v="POARECOUP"/>
    <n v="21356941"/>
    <n v="-154"/>
    <m/>
    <s v="Y"/>
    <n v="2"/>
    <d v="2023-07-10T19:47:47"/>
    <s v="N"/>
    <m/>
    <m/>
    <s v="Non Expert Disbursement"/>
    <m/>
    <s v="N"/>
    <n v="0"/>
    <n v="0"/>
    <x v="2"/>
    <s v="VALIDATED"/>
    <n v="1"/>
    <s v="01.11.80.000.0000.0000"/>
    <n v="0"/>
    <s v="11"/>
    <s v="0000"/>
    <n v="-32425.63"/>
    <n v="0"/>
    <s v="DEBTOR"/>
    <n v="0"/>
    <n v="0"/>
    <n v="0"/>
    <n v="0"/>
    <n v="0"/>
  </r>
  <r>
    <n v="14220045"/>
    <s v="N"/>
    <n v="21356916"/>
    <s v="3000007435800005RC"/>
    <s v="CIVIL"/>
    <d v="2023-06-27T00:00:00"/>
    <d v="2023-07-10T19:47:44"/>
    <m/>
    <d v="2023-07-10T00:00:00"/>
    <n v="1878"/>
    <n v="1547"/>
    <s v="14220045"/>
    <s v="14220045"/>
    <m/>
    <m/>
    <m/>
    <m/>
    <m/>
    <m/>
    <s v="SOLRECOUP"/>
    <s v="SOLRECOUP"/>
    <s v="POARECOUP"/>
    <n v="21356916"/>
    <n v="-2169.56"/>
    <m/>
    <s v="Y"/>
    <n v="1"/>
    <d v="2023-07-10T19:47:46"/>
    <s v="N"/>
    <m/>
    <m/>
    <s v="Profit Cost"/>
    <m/>
    <s v="N"/>
    <n v="-1807.97"/>
    <n v="0"/>
    <x v="2"/>
    <s v="VALIDATED"/>
    <n v="1"/>
    <s v="01.11.80.308.2013.0000"/>
    <n v="-1807.97"/>
    <s v="11"/>
    <s v="2013"/>
    <n v="-32425.63"/>
    <n v="-1807.97"/>
    <s v="DEBTOR"/>
    <n v="0"/>
    <n v="0"/>
    <n v="0"/>
    <n v="0"/>
    <n v="0"/>
  </r>
  <r>
    <n v="14220045"/>
    <s v="N"/>
    <n v="21356916"/>
    <s v="3000007435800005RC"/>
    <s v="CIVIL"/>
    <d v="2023-06-27T00:00:00"/>
    <d v="2023-07-10T19:47:44"/>
    <m/>
    <d v="2023-07-10T00:00:00"/>
    <n v="1878"/>
    <n v="1547"/>
    <s v="14220045"/>
    <s v="14220045"/>
    <m/>
    <m/>
    <m/>
    <m/>
    <m/>
    <m/>
    <s v="SOLRECOUP"/>
    <s v="SOLRECOUP"/>
    <s v="POARECOUP"/>
    <n v="21356916"/>
    <n v="-2169.56"/>
    <m/>
    <s v="Y"/>
    <n v="2"/>
    <d v="2023-07-10T19:47:46"/>
    <s v="N"/>
    <m/>
    <m/>
    <s v="Profit Cost"/>
    <m/>
    <s v="N"/>
    <n v="0"/>
    <n v="-361.59"/>
    <x v="2"/>
    <s v="VALIDATED"/>
    <n v="1"/>
    <s v="01.11.80.308.2013.0000"/>
    <n v="-361.59"/>
    <s v="11"/>
    <s v="2013"/>
    <n v="-32425.63"/>
    <n v="-361.59"/>
    <s v="DEBTOR"/>
    <n v="0"/>
    <n v="0"/>
    <n v="0"/>
    <n v="0"/>
    <n v="0"/>
  </r>
  <r>
    <n v="14220045"/>
    <s v="N"/>
    <n v="21356917"/>
    <s v="3000007435800001RC"/>
    <s v="CIVIL"/>
    <d v="2023-06-27T00:00:00"/>
    <d v="2023-07-10T19:47:44"/>
    <m/>
    <d v="2023-07-10T00:00:00"/>
    <n v="1878"/>
    <n v="1547"/>
    <s v="14220045"/>
    <s v="14220045"/>
    <m/>
    <m/>
    <m/>
    <m/>
    <m/>
    <m/>
    <s v="SOLRECOUP"/>
    <s v="SOLRECOUP"/>
    <s v="POARECOUP"/>
    <n v="21356917"/>
    <n v="-242.18"/>
    <m/>
    <s v="Y"/>
    <n v="1"/>
    <d v="2023-07-10T19:47:46"/>
    <s v="N"/>
    <m/>
    <m/>
    <s v="Expert Disbursement"/>
    <m/>
    <s v="N"/>
    <n v="-201.82"/>
    <n v="0"/>
    <x v="2"/>
    <s v="VALIDATED"/>
    <n v="1"/>
    <s v="01.11.80.308.2013.0000"/>
    <n v="-201.82"/>
    <s v="11"/>
    <s v="2013"/>
    <n v="-32425.63"/>
    <n v="-201.82"/>
    <s v="DEBTOR"/>
    <n v="0"/>
    <n v="0"/>
    <n v="0"/>
    <n v="0"/>
    <n v="0"/>
  </r>
  <r>
    <n v="14220045"/>
    <s v="N"/>
    <n v="21356917"/>
    <s v="3000007435800001RC"/>
    <s v="CIVIL"/>
    <d v="2023-06-27T00:00:00"/>
    <d v="2023-07-10T19:47:44"/>
    <m/>
    <d v="2023-07-10T00:00:00"/>
    <n v="1878"/>
    <n v="1547"/>
    <s v="14220045"/>
    <s v="14220045"/>
    <m/>
    <m/>
    <m/>
    <m/>
    <m/>
    <m/>
    <s v="SOLRECOUP"/>
    <s v="SOLRECOUP"/>
    <s v="POARECOUP"/>
    <n v="21356917"/>
    <n v="-242.18"/>
    <m/>
    <s v="Y"/>
    <n v="2"/>
    <d v="2023-07-10T19:47:46"/>
    <s v="N"/>
    <m/>
    <m/>
    <s v="Expert Disbursement"/>
    <m/>
    <s v="N"/>
    <n v="0"/>
    <n v="-40.36"/>
    <x v="2"/>
    <s v="VALIDATED"/>
    <n v="1"/>
    <s v="01.11.80.308.2013.0000"/>
    <n v="-40.36"/>
    <s v="11"/>
    <s v="2013"/>
    <n v="-32425.63"/>
    <n v="-40.36"/>
    <s v="DEBTOR"/>
    <n v="0"/>
    <n v="0"/>
    <n v="0"/>
    <n v="0"/>
    <n v="0"/>
  </r>
  <r>
    <n v="14220045"/>
    <s v="N"/>
    <n v="21356918"/>
    <s v="3000007435800002RC"/>
    <s v="CIVIL"/>
    <d v="2023-06-27T00:00:00"/>
    <d v="2023-07-10T19:47:44"/>
    <m/>
    <d v="2023-07-10T00:00:00"/>
    <n v="1878"/>
    <n v="1547"/>
    <s v="14220045"/>
    <s v="14220045"/>
    <m/>
    <m/>
    <m/>
    <m/>
    <m/>
    <m/>
    <s v="SOLRECOUP"/>
    <s v="SOLRECOUP"/>
    <s v="POARECOUP"/>
    <n v="21356918"/>
    <n v="-3562.39"/>
    <m/>
    <s v="Y"/>
    <n v="2"/>
    <d v="2023-07-10T19:47:46"/>
    <s v="N"/>
    <m/>
    <m/>
    <s v="Profit Cost"/>
    <m/>
    <s v="N"/>
    <n v="0"/>
    <n v="-593.73"/>
    <x v="2"/>
    <s v="VALIDATED"/>
    <n v="1"/>
    <s v="01.11.80.308.2013.0000"/>
    <n v="-593.73"/>
    <s v="11"/>
    <s v="2013"/>
    <n v="-32425.63"/>
    <n v="-593.73"/>
    <s v="DEBTOR"/>
    <n v="0"/>
    <n v="0"/>
    <n v="0"/>
    <n v="0"/>
    <n v="0"/>
  </r>
  <r>
    <n v="14220045"/>
    <s v="N"/>
    <n v="21356918"/>
    <s v="3000007435800002RC"/>
    <s v="CIVIL"/>
    <d v="2023-06-27T00:00:00"/>
    <d v="2023-07-10T19:47:44"/>
    <m/>
    <d v="2023-07-10T00:00:00"/>
    <n v="1878"/>
    <n v="1547"/>
    <s v="14220045"/>
    <s v="14220045"/>
    <m/>
    <m/>
    <m/>
    <m/>
    <m/>
    <m/>
    <s v="SOLRECOUP"/>
    <s v="SOLRECOUP"/>
    <s v="POARECOUP"/>
    <n v="21356918"/>
    <n v="-3562.39"/>
    <m/>
    <s v="Y"/>
    <n v="1"/>
    <d v="2023-07-10T19:47:46"/>
    <s v="N"/>
    <m/>
    <m/>
    <s v="Profit Cost"/>
    <m/>
    <s v="N"/>
    <n v="-2968.66"/>
    <n v="0"/>
    <x v="2"/>
    <s v="VALIDATED"/>
    <n v="1"/>
    <s v="01.11.80.308.2013.0000"/>
    <n v="-2968.66"/>
    <s v="11"/>
    <s v="2013"/>
    <n v="-32425.63"/>
    <n v="-2968.66"/>
    <s v="DEBTOR"/>
    <n v="0"/>
    <n v="0"/>
    <n v="0"/>
    <n v="0"/>
    <n v="0"/>
  </r>
  <r>
    <n v="14220045"/>
    <s v="N"/>
    <n v="21356920"/>
    <s v="3000007435800003RC"/>
    <s v="CIVIL"/>
    <d v="2023-06-27T00:00:00"/>
    <d v="2023-07-10T19:47:44"/>
    <m/>
    <d v="2023-07-10T00:00:00"/>
    <n v="1878"/>
    <n v="1547"/>
    <s v="14220045"/>
    <s v="14220045"/>
    <m/>
    <m/>
    <m/>
    <m/>
    <m/>
    <m/>
    <s v="SOLRECOUP"/>
    <s v="SOLRECOUP"/>
    <s v="POARECOUP"/>
    <n v="21356920"/>
    <n v="-2231.38"/>
    <m/>
    <s v="Y"/>
    <n v="2"/>
    <d v="2023-07-10T19:47:46"/>
    <s v="N"/>
    <m/>
    <m/>
    <s v="Profit Cost"/>
    <m/>
    <s v="N"/>
    <n v="0"/>
    <n v="-371.9"/>
    <x v="2"/>
    <s v="VALIDATED"/>
    <n v="1"/>
    <s v="01.11.80.308.2013.0000"/>
    <n v="-371.9"/>
    <s v="11"/>
    <s v="2013"/>
    <n v="-32425.63"/>
    <n v="-371.9"/>
    <s v="DEBTOR"/>
    <n v="0"/>
    <n v="0"/>
    <n v="0"/>
    <n v="0"/>
    <n v="0"/>
  </r>
  <r>
    <n v="14220045"/>
    <s v="N"/>
    <n v="21356920"/>
    <s v="3000007435800003RC"/>
    <s v="CIVIL"/>
    <d v="2023-06-27T00:00:00"/>
    <d v="2023-07-10T19:47:44"/>
    <m/>
    <d v="2023-07-10T00:00:00"/>
    <n v="1878"/>
    <n v="1547"/>
    <s v="14220045"/>
    <s v="14220045"/>
    <m/>
    <m/>
    <m/>
    <m/>
    <m/>
    <m/>
    <s v="SOLRECOUP"/>
    <s v="SOLRECOUP"/>
    <s v="POARECOUP"/>
    <n v="21356920"/>
    <n v="-2231.38"/>
    <m/>
    <s v="Y"/>
    <n v="1"/>
    <d v="2023-07-10T19:47:46"/>
    <s v="N"/>
    <m/>
    <m/>
    <s v="Profit Cost"/>
    <m/>
    <s v="N"/>
    <n v="-1859.48"/>
    <n v="0"/>
    <x v="2"/>
    <s v="VALIDATED"/>
    <n v="1"/>
    <s v="01.11.80.308.2013.0000"/>
    <n v="-1859.48"/>
    <s v="11"/>
    <s v="2013"/>
    <n v="-32425.63"/>
    <n v="-1859.48"/>
    <s v="DEBTOR"/>
    <n v="0"/>
    <n v="0"/>
    <n v="0"/>
    <n v="0"/>
    <n v="0"/>
  </r>
  <r>
    <n v="60867888"/>
    <s v="N"/>
    <n v="21356921"/>
    <s v="3000015088620012RC"/>
    <s v="CIVIL"/>
    <d v="2023-06-30T00:00:00"/>
    <d v="2023-07-10T19:47:44"/>
    <m/>
    <d v="2023-07-10T00:00:00"/>
    <n v="1878"/>
    <n v="1547"/>
    <s v="60867888"/>
    <s v="60867888"/>
    <m/>
    <m/>
    <m/>
    <m/>
    <m/>
    <m/>
    <s v="SOLRECOUP"/>
    <s v="SOLRECOUP"/>
    <s v="POARECOUP"/>
    <n v="21356921"/>
    <n v="-53.5"/>
    <m/>
    <s v="Y"/>
    <n v="1"/>
    <d v="2023-07-10T19:47:46"/>
    <s v="N"/>
    <m/>
    <m/>
    <s v="Expert Disbursement"/>
    <m/>
    <s v="N"/>
    <n v="-44.58"/>
    <n v="0"/>
    <x v="2"/>
    <s v="VALIDATED"/>
    <n v="1"/>
    <s v="01.11.80.203.2013.0000"/>
    <n v="-44.58"/>
    <s v="11"/>
    <s v="2013"/>
    <n v="-32425.63"/>
    <n v="-44.58"/>
    <s v="DEBTOR"/>
    <n v="0"/>
    <n v="0"/>
    <n v="0"/>
    <n v="0"/>
    <n v="0"/>
  </r>
  <r>
    <n v="60867888"/>
    <s v="N"/>
    <n v="21356921"/>
    <s v="3000015088620012RC"/>
    <s v="CIVIL"/>
    <d v="2023-06-30T00:00:00"/>
    <d v="2023-07-10T19:47:44"/>
    <m/>
    <d v="2023-07-10T00:00:00"/>
    <n v="1878"/>
    <n v="1547"/>
    <s v="60867888"/>
    <s v="60867888"/>
    <m/>
    <m/>
    <m/>
    <m/>
    <m/>
    <m/>
    <s v="SOLRECOUP"/>
    <s v="SOLRECOUP"/>
    <s v="POARECOUP"/>
    <n v="21356921"/>
    <n v="-53.5"/>
    <m/>
    <s v="Y"/>
    <n v="2"/>
    <d v="2023-07-10T19:47:46"/>
    <s v="N"/>
    <m/>
    <m/>
    <s v="Expert Disbursement"/>
    <m/>
    <s v="N"/>
    <n v="0"/>
    <n v="-8.92"/>
    <x v="2"/>
    <s v="VALIDATED"/>
    <n v="1"/>
    <s v="01.11.80.203.2013.0000"/>
    <n v="-8.92"/>
    <s v="11"/>
    <s v="2013"/>
    <n v="-32425.63"/>
    <n v="-8.92"/>
    <s v="DEBTOR"/>
    <n v="0"/>
    <n v="0"/>
    <n v="0"/>
    <n v="0"/>
    <n v="0"/>
  </r>
  <r>
    <n v="60867888"/>
    <s v="N"/>
    <n v="21356923"/>
    <s v="3000015088620027RC"/>
    <s v="CIVIL"/>
    <d v="2023-06-30T00:00:00"/>
    <d v="2023-07-10T19:47:44"/>
    <m/>
    <d v="2023-07-10T00:00:00"/>
    <n v="1878"/>
    <n v="1547"/>
    <s v="60867888"/>
    <s v="60867888"/>
    <m/>
    <m/>
    <m/>
    <m/>
    <m/>
    <m/>
    <s v="SOLRECOUP"/>
    <s v="SOLRECOUP"/>
    <s v="POARECOUP"/>
    <n v="21356923"/>
    <n v="-30"/>
    <m/>
    <s v="Y"/>
    <n v="1"/>
    <d v="2023-07-10T19:47:46"/>
    <s v="N"/>
    <m/>
    <m/>
    <s v="Expert Disbursement"/>
    <m/>
    <s v="N"/>
    <n v="-25"/>
    <n v="0"/>
    <x v="2"/>
    <s v="VALIDATED"/>
    <n v="1"/>
    <s v="01.11.80.203.2013.0000"/>
    <n v="-25"/>
    <s v="11"/>
    <s v="2013"/>
    <n v="-32425.63"/>
    <n v="-25"/>
    <s v="DEBTOR"/>
    <n v="0"/>
    <n v="0"/>
    <n v="0"/>
    <n v="0"/>
    <n v="0"/>
  </r>
  <r>
    <n v="60867888"/>
    <s v="N"/>
    <n v="21356923"/>
    <s v="3000015088620027RC"/>
    <s v="CIVIL"/>
    <d v="2023-06-30T00:00:00"/>
    <d v="2023-07-10T19:47:44"/>
    <m/>
    <d v="2023-07-10T00:00:00"/>
    <n v="1878"/>
    <n v="1547"/>
    <s v="60867888"/>
    <s v="60867888"/>
    <m/>
    <m/>
    <m/>
    <m/>
    <m/>
    <m/>
    <s v="SOLRECOUP"/>
    <s v="SOLRECOUP"/>
    <s v="POARECOUP"/>
    <n v="21356923"/>
    <n v="-30"/>
    <m/>
    <s v="Y"/>
    <n v="2"/>
    <d v="2023-07-10T19:47:46"/>
    <s v="N"/>
    <m/>
    <m/>
    <s v="Expert Disbursement"/>
    <m/>
    <s v="N"/>
    <n v="0"/>
    <n v="-5"/>
    <x v="2"/>
    <s v="VALIDATED"/>
    <n v="1"/>
    <s v="01.11.80.203.2013.0000"/>
    <n v="-5"/>
    <s v="11"/>
    <s v="2013"/>
    <n v="-32425.63"/>
    <n v="-5"/>
    <s v="DEBTOR"/>
    <n v="0"/>
    <n v="0"/>
    <n v="0"/>
    <n v="0"/>
    <n v="0"/>
  </r>
  <r>
    <n v="60867888"/>
    <s v="N"/>
    <n v="21356924"/>
    <s v="3000015088620009RC"/>
    <s v="CIVIL"/>
    <d v="2023-06-30T00:00:00"/>
    <d v="2023-07-10T19:47:44"/>
    <m/>
    <d v="2023-07-10T00:00:00"/>
    <n v="1878"/>
    <n v="1547"/>
    <s v="60867888"/>
    <s v="60867888"/>
    <m/>
    <m/>
    <m/>
    <m/>
    <m/>
    <m/>
    <s v="SOLRECOUP"/>
    <s v="SOLRECOUP"/>
    <s v="POARECOUP"/>
    <n v="21356924"/>
    <n v="-59.99"/>
    <m/>
    <s v="Y"/>
    <n v="2"/>
    <d v="2023-07-10T19:47:46"/>
    <s v="N"/>
    <m/>
    <m/>
    <s v="Expert Disbursement"/>
    <m/>
    <s v="N"/>
    <n v="0"/>
    <n v="-10"/>
    <x v="2"/>
    <s v="VALIDATED"/>
    <n v="1"/>
    <s v="01.11.80.203.2013.0000"/>
    <n v="-10"/>
    <s v="11"/>
    <s v="2013"/>
    <n v="-32425.63"/>
    <n v="-10"/>
    <s v="DEBTOR"/>
    <n v="0"/>
    <n v="0"/>
    <n v="0"/>
    <n v="0"/>
    <n v="0"/>
  </r>
  <r>
    <n v="60867888"/>
    <s v="N"/>
    <n v="21356924"/>
    <s v="3000015088620009RC"/>
    <s v="CIVIL"/>
    <d v="2023-06-30T00:00:00"/>
    <d v="2023-07-10T19:47:44"/>
    <m/>
    <d v="2023-07-10T00:00:00"/>
    <n v="1878"/>
    <n v="1547"/>
    <s v="60867888"/>
    <s v="60867888"/>
    <m/>
    <m/>
    <m/>
    <m/>
    <m/>
    <m/>
    <s v="SOLRECOUP"/>
    <s v="SOLRECOUP"/>
    <s v="POARECOUP"/>
    <n v="21356924"/>
    <n v="-59.99"/>
    <m/>
    <s v="Y"/>
    <n v="1"/>
    <d v="2023-07-10T19:47:46"/>
    <s v="N"/>
    <m/>
    <m/>
    <s v="Expert Disbursement"/>
    <m/>
    <s v="N"/>
    <n v="-49.99"/>
    <n v="0"/>
    <x v="2"/>
    <s v="VALIDATED"/>
    <n v="1"/>
    <s v="01.11.80.203.2013.0000"/>
    <n v="-49.99"/>
    <s v="11"/>
    <s v="2013"/>
    <n v="-32425.63"/>
    <n v="-49.99"/>
    <s v="DEBTOR"/>
    <n v="0"/>
    <n v="0"/>
    <n v="0"/>
    <n v="0"/>
    <n v="0"/>
  </r>
  <r>
    <n v="60867888"/>
    <s v="N"/>
    <n v="21356925"/>
    <s v="3000015088620008RC"/>
    <s v="CIVIL"/>
    <d v="2023-06-30T00:00:00"/>
    <d v="2023-07-10T19:47:44"/>
    <m/>
    <d v="2023-07-10T00:00:00"/>
    <n v="1878"/>
    <n v="1547"/>
    <s v="60867888"/>
    <s v="60867888"/>
    <m/>
    <m/>
    <m/>
    <m/>
    <m/>
    <m/>
    <s v="SOLRECOUP"/>
    <s v="SOLRECOUP"/>
    <s v="POARECOUP"/>
    <n v="21356925"/>
    <n v="-69.48999999999999"/>
    <m/>
    <s v="Y"/>
    <n v="2"/>
    <d v="2023-07-10T19:47:46"/>
    <s v="N"/>
    <m/>
    <m/>
    <s v="Expert Disbursement"/>
    <m/>
    <s v="N"/>
    <n v="0"/>
    <n v="-11.58"/>
    <x v="2"/>
    <s v="VALIDATED"/>
    <n v="1"/>
    <s v="01.11.80.203.2013.0000"/>
    <n v="-11.58"/>
    <s v="11"/>
    <s v="2013"/>
    <n v="-32425.63"/>
    <n v="-11.58"/>
    <s v="DEBTOR"/>
    <n v="0"/>
    <n v="0"/>
    <n v="0"/>
    <n v="0"/>
    <n v="0"/>
  </r>
  <r>
    <n v="60867888"/>
    <s v="N"/>
    <n v="21356925"/>
    <s v="3000015088620008RC"/>
    <s v="CIVIL"/>
    <d v="2023-06-30T00:00:00"/>
    <d v="2023-07-10T19:47:44"/>
    <m/>
    <d v="2023-07-10T00:00:00"/>
    <n v="1878"/>
    <n v="1547"/>
    <s v="60867888"/>
    <s v="60867888"/>
    <m/>
    <m/>
    <m/>
    <m/>
    <m/>
    <m/>
    <s v="SOLRECOUP"/>
    <s v="SOLRECOUP"/>
    <s v="POARECOUP"/>
    <n v="21356925"/>
    <n v="-69.48999999999999"/>
    <m/>
    <s v="Y"/>
    <n v="1"/>
    <d v="2023-07-10T19:47:46"/>
    <s v="N"/>
    <m/>
    <m/>
    <s v="Expert Disbursement"/>
    <m/>
    <s v="N"/>
    <n v="-57.91"/>
    <n v="0"/>
    <x v="2"/>
    <s v="VALIDATED"/>
    <n v="1"/>
    <s v="01.11.80.203.2013.0000"/>
    <n v="-57.91"/>
    <s v="11"/>
    <s v="2013"/>
    <n v="-32425.63"/>
    <n v="-57.91"/>
    <s v="DEBTOR"/>
    <n v="0"/>
    <n v="0"/>
    <n v="0"/>
    <n v="0"/>
    <n v="0"/>
  </r>
  <r>
    <n v="14220045"/>
    <s v="N"/>
    <n v="21356927"/>
    <s v="3000007435800006RC"/>
    <s v="CIVIL"/>
    <d v="2023-06-27T00:00:00"/>
    <d v="2023-07-10T19:47:44"/>
    <m/>
    <d v="2023-07-10T00:00:00"/>
    <n v="1878"/>
    <n v="1547"/>
    <s v="14220045"/>
    <s v="14220045"/>
    <m/>
    <m/>
    <m/>
    <m/>
    <m/>
    <m/>
    <s v="SOLRECOUP"/>
    <s v="SOLRECOUP"/>
    <s v="POARECOUP"/>
    <n v="21356927"/>
    <n v="-1736.56"/>
    <m/>
    <s v="Y"/>
    <n v="2"/>
    <d v="2023-07-10T19:47:46"/>
    <s v="N"/>
    <m/>
    <m/>
    <s v="Profit Cost"/>
    <m/>
    <s v="N"/>
    <n v="0"/>
    <n v="-289.43"/>
    <x v="2"/>
    <s v="VALIDATED"/>
    <n v="1"/>
    <s v="01.11.80.308.2013.0000"/>
    <n v="-289.43"/>
    <s v="11"/>
    <s v="2013"/>
    <n v="-32425.63"/>
    <n v="-289.43"/>
    <s v="DEBTOR"/>
    <n v="0"/>
    <n v="0"/>
    <n v="0"/>
    <n v="0"/>
    <n v="0"/>
  </r>
  <r>
    <n v="14220045"/>
    <s v="N"/>
    <n v="21356927"/>
    <s v="3000007435800006RC"/>
    <s v="CIVIL"/>
    <d v="2023-06-27T00:00:00"/>
    <d v="2023-07-10T19:47:44"/>
    <m/>
    <d v="2023-07-10T00:00:00"/>
    <n v="1878"/>
    <n v="1547"/>
    <s v="14220045"/>
    <s v="14220045"/>
    <m/>
    <m/>
    <m/>
    <m/>
    <m/>
    <m/>
    <s v="SOLRECOUP"/>
    <s v="SOLRECOUP"/>
    <s v="POARECOUP"/>
    <n v="21356927"/>
    <n v="-1736.56"/>
    <m/>
    <s v="Y"/>
    <n v="1"/>
    <d v="2023-07-10T19:47:46"/>
    <s v="N"/>
    <m/>
    <m/>
    <s v="Profit Cost"/>
    <m/>
    <s v="N"/>
    <n v="-1447.13"/>
    <n v="0"/>
    <x v="2"/>
    <s v="VALIDATED"/>
    <n v="1"/>
    <s v="01.11.80.308.2013.0000"/>
    <n v="-1447.13"/>
    <s v="11"/>
    <s v="2013"/>
    <n v="-32425.63"/>
    <n v="-1447.13"/>
    <s v="DEBTOR"/>
    <n v="0"/>
    <n v="0"/>
    <n v="0"/>
    <n v="0"/>
    <n v="0"/>
  </r>
  <r>
    <n v="14220045"/>
    <s v="N"/>
    <n v="21356928"/>
    <s v="3000007435800007RC"/>
    <s v="CIVIL"/>
    <d v="2023-06-27T00:00:00"/>
    <d v="2023-07-10T19:47:44"/>
    <m/>
    <d v="2023-07-10T00:00:00"/>
    <n v="1878"/>
    <n v="1547"/>
    <s v="14220045"/>
    <s v="14220045"/>
    <m/>
    <m/>
    <m/>
    <m/>
    <m/>
    <m/>
    <s v="SOLRECOUP"/>
    <s v="SOLRECOUP"/>
    <s v="POARECOUP"/>
    <n v="21356928"/>
    <n v="-189.6"/>
    <m/>
    <s v="Y"/>
    <n v="2"/>
    <d v="2023-07-10T19:47:46"/>
    <s v="N"/>
    <m/>
    <m/>
    <s v="Expert Disbursement"/>
    <m/>
    <s v="N"/>
    <n v="0"/>
    <n v="-31.6"/>
    <x v="2"/>
    <s v="VALIDATED"/>
    <n v="1"/>
    <s v="01.11.80.308.2013.0000"/>
    <n v="-31.6"/>
    <s v="11"/>
    <s v="2013"/>
    <n v="-32425.63"/>
    <n v="-31.6"/>
    <s v="DEBTOR"/>
    <n v="0"/>
    <n v="0"/>
    <n v="0"/>
    <n v="0"/>
    <n v="0"/>
  </r>
  <r>
    <n v="14220045"/>
    <s v="N"/>
    <n v="21356928"/>
    <s v="3000007435800007RC"/>
    <s v="CIVIL"/>
    <d v="2023-06-27T00:00:00"/>
    <d v="2023-07-10T19:47:44"/>
    <m/>
    <d v="2023-07-10T00:00:00"/>
    <n v="1878"/>
    <n v="1547"/>
    <s v="14220045"/>
    <s v="14220045"/>
    <m/>
    <m/>
    <m/>
    <m/>
    <m/>
    <m/>
    <s v="SOLRECOUP"/>
    <s v="SOLRECOUP"/>
    <s v="POARECOUP"/>
    <n v="21356928"/>
    <n v="-189.6"/>
    <m/>
    <s v="Y"/>
    <n v="1"/>
    <d v="2023-07-10T19:47:46"/>
    <s v="N"/>
    <m/>
    <m/>
    <s v="Expert Disbursement"/>
    <m/>
    <s v="N"/>
    <n v="-158"/>
    <n v="0"/>
    <x v="2"/>
    <s v="VALIDATED"/>
    <n v="1"/>
    <s v="01.11.80.308.2013.0000"/>
    <n v="-158"/>
    <s v="11"/>
    <s v="2013"/>
    <n v="-32425.63"/>
    <n v="-158"/>
    <s v="DEBTOR"/>
    <n v="0"/>
    <n v="0"/>
    <n v="0"/>
    <n v="0"/>
    <n v="0"/>
  </r>
  <r>
    <n v="14220045"/>
    <s v="N"/>
    <n v="21356929"/>
    <s v="3000007435800008RC"/>
    <s v="CIVIL"/>
    <d v="2023-06-27T00:00:00"/>
    <d v="2023-07-10T19:47:44"/>
    <m/>
    <d v="2023-07-10T00:00:00"/>
    <n v="1878"/>
    <n v="1547"/>
    <s v="14220045"/>
    <s v="14220045"/>
    <m/>
    <m/>
    <m/>
    <m/>
    <m/>
    <m/>
    <s v="SOLRECOUP"/>
    <s v="SOLRECOUP"/>
    <s v="POARECOUP"/>
    <n v="21356929"/>
    <n v="-414.72"/>
    <m/>
    <s v="Y"/>
    <n v="2"/>
    <d v="2023-07-10T19:47:46"/>
    <s v="N"/>
    <m/>
    <m/>
    <s v="Expert Disbursement"/>
    <m/>
    <s v="N"/>
    <n v="0"/>
    <n v="-69.12"/>
    <x v="2"/>
    <s v="VALIDATED"/>
    <n v="1"/>
    <s v="01.11.80.308.2013.0000"/>
    <n v="-69.12"/>
    <s v="11"/>
    <s v="2013"/>
    <n v="-32425.63"/>
    <n v="-69.12"/>
    <s v="DEBTOR"/>
    <n v="0"/>
    <n v="0"/>
    <n v="0"/>
    <n v="0"/>
    <n v="0"/>
  </r>
  <r>
    <n v="14220045"/>
    <s v="N"/>
    <n v="21356929"/>
    <s v="3000007435800008RC"/>
    <s v="CIVIL"/>
    <d v="2023-06-27T00:00:00"/>
    <d v="2023-07-10T19:47:44"/>
    <m/>
    <d v="2023-07-10T00:00:00"/>
    <n v="1878"/>
    <n v="1547"/>
    <s v="14220045"/>
    <s v="14220045"/>
    <m/>
    <m/>
    <m/>
    <m/>
    <m/>
    <m/>
    <s v="SOLRECOUP"/>
    <s v="SOLRECOUP"/>
    <s v="POARECOUP"/>
    <n v="21356929"/>
    <n v="-414.72"/>
    <m/>
    <s v="Y"/>
    <n v="1"/>
    <d v="2023-07-10T19:47:46"/>
    <s v="N"/>
    <m/>
    <m/>
    <s v="Expert Disbursement"/>
    <m/>
    <s v="N"/>
    <n v="-345.6"/>
    <n v="0"/>
    <x v="2"/>
    <s v="VALIDATED"/>
    <n v="1"/>
    <s v="01.11.80.308.2013.0000"/>
    <n v="-345.6"/>
    <s v="11"/>
    <s v="2013"/>
    <n v="-32425.63"/>
    <n v="-345.6"/>
    <s v="DEBTOR"/>
    <n v="0"/>
    <n v="0"/>
    <n v="0"/>
    <n v="0"/>
    <n v="0"/>
  </r>
  <r>
    <n v="60867888"/>
    <s v="N"/>
    <n v="21356932"/>
    <s v="3000015088620006RC"/>
    <s v="CIVIL"/>
    <d v="2023-06-30T00:00:00"/>
    <d v="2023-07-10T19:47:44"/>
    <m/>
    <d v="2023-07-10T00:00:00"/>
    <n v="1878"/>
    <n v="1547"/>
    <s v="60867888"/>
    <s v="60867888"/>
    <m/>
    <m/>
    <m/>
    <m/>
    <m/>
    <m/>
    <s v="SOLRECOUP"/>
    <s v="SOLRECOUP"/>
    <s v="POARECOUP"/>
    <n v="21356932"/>
    <n v="-25"/>
    <m/>
    <s v="Y"/>
    <n v="2"/>
    <d v="2023-07-10T19:47:46"/>
    <s v="N"/>
    <m/>
    <m/>
    <s v="Expert Disbursement"/>
    <m/>
    <s v="N"/>
    <n v="0"/>
    <n v="-4.17"/>
    <x v="2"/>
    <s v="VALIDATED"/>
    <n v="1"/>
    <s v="01.11.80.203.2013.0000"/>
    <n v="-4.17"/>
    <s v="11"/>
    <s v="2013"/>
    <n v="-32425.63"/>
    <n v="-4.17"/>
    <s v="DEBTOR"/>
    <n v="0"/>
    <n v="0"/>
    <n v="0"/>
    <n v="0"/>
    <n v="0"/>
  </r>
  <r>
    <n v="60867888"/>
    <s v="N"/>
    <n v="21356932"/>
    <s v="3000015088620006RC"/>
    <s v="CIVIL"/>
    <d v="2023-06-30T00:00:00"/>
    <d v="2023-07-10T19:47:44"/>
    <m/>
    <d v="2023-07-10T00:00:00"/>
    <n v="1878"/>
    <n v="1547"/>
    <s v="60867888"/>
    <s v="60867888"/>
    <m/>
    <m/>
    <m/>
    <m/>
    <m/>
    <m/>
    <s v="SOLRECOUP"/>
    <s v="SOLRECOUP"/>
    <s v="POARECOUP"/>
    <n v="21356932"/>
    <n v="-25"/>
    <m/>
    <s v="Y"/>
    <n v="1"/>
    <d v="2023-07-10T19:47:46"/>
    <s v="N"/>
    <m/>
    <m/>
    <s v="Expert Disbursement"/>
    <m/>
    <s v="N"/>
    <n v="-20.83"/>
    <n v="0"/>
    <x v="2"/>
    <s v="VALIDATED"/>
    <n v="1"/>
    <s v="01.11.80.203.2013.0000"/>
    <n v="-20.83"/>
    <s v="11"/>
    <s v="2013"/>
    <n v="-32425.63"/>
    <n v="-20.83"/>
    <s v="DEBTOR"/>
    <n v="0"/>
    <n v="0"/>
    <n v="0"/>
    <n v="0"/>
    <n v="0"/>
  </r>
  <r>
    <n v="60867888"/>
    <s v="N"/>
    <n v="21356933"/>
    <s v="3000015088620007RC"/>
    <s v="CIVIL"/>
    <d v="2023-06-30T00:00:00"/>
    <d v="2023-07-10T19:47:44"/>
    <m/>
    <d v="2023-07-10T00:00:00"/>
    <n v="1878"/>
    <n v="1547"/>
    <s v="60867888"/>
    <s v="60867888"/>
    <m/>
    <m/>
    <m/>
    <m/>
    <m/>
    <m/>
    <s v="SOLRECOUP"/>
    <s v="SOLRECOUP"/>
    <s v="POARECOUP"/>
    <n v="21356933"/>
    <n v="-27"/>
    <m/>
    <s v="Y"/>
    <n v="1"/>
    <d v="2023-07-10T19:47:46"/>
    <s v="N"/>
    <m/>
    <m/>
    <s v="Expert Disbursement"/>
    <m/>
    <s v="N"/>
    <n v="-22.5"/>
    <n v="0"/>
    <x v="2"/>
    <s v="VALIDATED"/>
    <n v="1"/>
    <s v="01.11.80.203.2013.0000"/>
    <n v="-22.5"/>
    <s v="11"/>
    <s v="2013"/>
    <n v="-32425.63"/>
    <n v="-22.5"/>
    <s v="DEBTOR"/>
    <n v="0"/>
    <n v="0"/>
    <n v="0"/>
    <n v="0"/>
    <n v="0"/>
  </r>
  <r>
    <n v="60867888"/>
    <s v="N"/>
    <n v="21356933"/>
    <s v="3000015088620007RC"/>
    <s v="CIVIL"/>
    <d v="2023-06-30T00:00:00"/>
    <d v="2023-07-10T19:47:44"/>
    <m/>
    <d v="2023-07-10T00:00:00"/>
    <n v="1878"/>
    <n v="1547"/>
    <s v="60867888"/>
    <s v="60867888"/>
    <m/>
    <m/>
    <m/>
    <m/>
    <m/>
    <m/>
    <s v="SOLRECOUP"/>
    <s v="SOLRECOUP"/>
    <s v="POARECOUP"/>
    <n v="21356933"/>
    <n v="-27"/>
    <m/>
    <s v="Y"/>
    <n v="2"/>
    <d v="2023-07-10T19:47:46"/>
    <s v="N"/>
    <m/>
    <m/>
    <s v="Expert Disbursement"/>
    <m/>
    <s v="N"/>
    <n v="0"/>
    <n v="-4.5"/>
    <x v="2"/>
    <s v="VALIDATED"/>
    <n v="1"/>
    <s v="01.11.80.203.2013.0000"/>
    <n v="-4.5"/>
    <s v="11"/>
    <s v="2013"/>
    <n v="-32425.63"/>
    <n v="-4.5"/>
    <s v="DEBTOR"/>
    <n v="0"/>
    <n v="0"/>
    <n v="0"/>
    <n v="0"/>
    <n v="0"/>
  </r>
  <r>
    <n v="60867888"/>
    <s v="N"/>
    <n v="21356934"/>
    <s v="3000015088620011RC"/>
    <s v="CIVIL"/>
    <d v="2023-06-30T00:00:00"/>
    <d v="2023-07-10T19:47:44"/>
    <m/>
    <d v="2023-07-10T00:00:00"/>
    <n v="1878"/>
    <n v="1547"/>
    <s v="60867888"/>
    <s v="60867888"/>
    <m/>
    <m/>
    <m/>
    <m/>
    <m/>
    <m/>
    <s v="SOLRECOUP"/>
    <s v="SOLRECOUP"/>
    <s v="POARECOUP"/>
    <n v="21356934"/>
    <n v="-15"/>
    <m/>
    <s v="Y"/>
    <n v="1"/>
    <d v="2023-07-10T19:47:46"/>
    <s v="N"/>
    <m/>
    <m/>
    <s v="Expert Disbursement"/>
    <m/>
    <s v="N"/>
    <n v="-12.5"/>
    <n v="0"/>
    <x v="2"/>
    <s v="VALIDATED"/>
    <n v="1"/>
    <s v="01.11.80.203.2013.0000"/>
    <n v="-12.5"/>
    <s v="11"/>
    <s v="2013"/>
    <n v="-32425.63"/>
    <n v="-12.5"/>
    <s v="DEBTOR"/>
    <n v="0"/>
    <n v="0"/>
    <n v="0"/>
    <n v="0"/>
    <n v="0"/>
  </r>
  <r>
    <n v="60867888"/>
    <s v="N"/>
    <n v="21356934"/>
    <s v="3000015088620011RC"/>
    <s v="CIVIL"/>
    <d v="2023-06-30T00:00:00"/>
    <d v="2023-07-10T19:47:44"/>
    <m/>
    <d v="2023-07-10T00:00:00"/>
    <n v="1878"/>
    <n v="1547"/>
    <s v="60867888"/>
    <s v="60867888"/>
    <m/>
    <m/>
    <m/>
    <m/>
    <m/>
    <m/>
    <s v="SOLRECOUP"/>
    <s v="SOLRECOUP"/>
    <s v="POARECOUP"/>
    <n v="21356934"/>
    <n v="-15"/>
    <m/>
    <s v="Y"/>
    <n v="2"/>
    <d v="2023-07-10T19:47:46"/>
    <s v="N"/>
    <m/>
    <m/>
    <s v="Expert Disbursement"/>
    <m/>
    <s v="N"/>
    <n v="0"/>
    <n v="-2.5"/>
    <x v="2"/>
    <s v="VALIDATED"/>
    <n v="1"/>
    <s v="01.11.80.203.2013.0000"/>
    <n v="-2.5"/>
    <s v="11"/>
    <s v="2013"/>
    <n v="-32425.63"/>
    <n v="-2.5"/>
    <s v="DEBTOR"/>
    <n v="0"/>
    <n v="0"/>
    <n v="0"/>
    <n v="0"/>
    <n v="0"/>
  </r>
  <r>
    <n v="60867888"/>
    <s v="N"/>
    <n v="21356935"/>
    <s v="3000015088620026RC"/>
    <s v="CIVIL"/>
    <d v="2023-06-30T00:00:00"/>
    <d v="2023-07-10T19:47:44"/>
    <m/>
    <d v="2023-07-10T00:00:00"/>
    <n v="1878"/>
    <n v="1547"/>
    <s v="60867888"/>
    <s v="60867888"/>
    <m/>
    <m/>
    <m/>
    <m/>
    <m/>
    <m/>
    <s v="SOLRECOUP"/>
    <s v="SOLRECOUP"/>
    <s v="POARECOUP"/>
    <n v="21356935"/>
    <n v="-30"/>
    <m/>
    <s v="Y"/>
    <n v="1"/>
    <d v="2023-07-10T19:47:46"/>
    <s v="N"/>
    <m/>
    <m/>
    <s v="Expert Disbursement"/>
    <m/>
    <s v="N"/>
    <n v="-25"/>
    <n v="0"/>
    <x v="2"/>
    <s v="VALIDATED"/>
    <n v="1"/>
    <s v="01.11.80.203.2013.0000"/>
    <n v="-25"/>
    <s v="11"/>
    <s v="2013"/>
    <n v="-32425.63"/>
    <n v="-25"/>
    <s v="DEBTOR"/>
    <n v="0"/>
    <n v="0"/>
    <n v="0"/>
    <n v="0"/>
    <n v="0"/>
  </r>
  <r>
    <n v="60867888"/>
    <s v="N"/>
    <n v="21356935"/>
    <s v="3000015088620026RC"/>
    <s v="CIVIL"/>
    <d v="2023-06-30T00:00:00"/>
    <d v="2023-07-10T19:47:44"/>
    <m/>
    <d v="2023-07-10T00:00:00"/>
    <n v="1878"/>
    <n v="1547"/>
    <s v="60867888"/>
    <s v="60867888"/>
    <m/>
    <m/>
    <m/>
    <m/>
    <m/>
    <m/>
    <s v="SOLRECOUP"/>
    <s v="SOLRECOUP"/>
    <s v="POARECOUP"/>
    <n v="21356935"/>
    <n v="-30"/>
    <m/>
    <s v="Y"/>
    <n v="2"/>
    <d v="2023-07-10T19:47:46"/>
    <s v="N"/>
    <m/>
    <m/>
    <s v="Expert Disbursement"/>
    <m/>
    <s v="N"/>
    <n v="0"/>
    <n v="-5"/>
    <x v="2"/>
    <s v="VALIDATED"/>
    <n v="1"/>
    <s v="01.11.80.203.2013.0000"/>
    <n v="-5"/>
    <s v="11"/>
    <s v="2013"/>
    <n v="-32425.63"/>
    <n v="-5"/>
    <s v="DEBTOR"/>
    <n v="0"/>
    <n v="0"/>
    <n v="0"/>
    <n v="0"/>
    <n v="0"/>
  </r>
  <r>
    <n v="60867888"/>
    <s v="N"/>
    <n v="21356936"/>
    <s v="3000015088620025RC"/>
    <s v="CIVIL"/>
    <d v="2023-06-30T00:00:00"/>
    <d v="2023-07-10T19:47:44"/>
    <m/>
    <d v="2023-07-10T00:00:00"/>
    <n v="1878"/>
    <n v="1547"/>
    <s v="60867888"/>
    <s v="60867888"/>
    <m/>
    <m/>
    <m/>
    <m/>
    <m/>
    <m/>
    <s v="SOLRECOUP"/>
    <s v="SOLRECOUP"/>
    <s v="POARECOUP"/>
    <n v="21356936"/>
    <n v="-30"/>
    <m/>
    <s v="Y"/>
    <n v="1"/>
    <d v="2023-07-10T19:47:46"/>
    <s v="N"/>
    <m/>
    <m/>
    <s v="Expert Disbursement"/>
    <m/>
    <s v="N"/>
    <n v="-25"/>
    <n v="0"/>
    <x v="2"/>
    <s v="VALIDATED"/>
    <n v="1"/>
    <s v="01.11.80.203.2013.0000"/>
    <n v="-25"/>
    <s v="11"/>
    <s v="2013"/>
    <n v="-32425.63"/>
    <n v="-25"/>
    <s v="DEBTOR"/>
    <n v="0"/>
    <n v="0"/>
    <n v="0"/>
    <n v="0"/>
    <n v="0"/>
  </r>
  <r>
    <n v="60867888"/>
    <s v="N"/>
    <n v="21356936"/>
    <s v="3000015088620025RC"/>
    <s v="CIVIL"/>
    <d v="2023-06-30T00:00:00"/>
    <d v="2023-07-10T19:47:44"/>
    <m/>
    <d v="2023-07-10T00:00:00"/>
    <n v="1878"/>
    <n v="1547"/>
    <s v="60867888"/>
    <s v="60867888"/>
    <m/>
    <m/>
    <m/>
    <m/>
    <m/>
    <m/>
    <s v="SOLRECOUP"/>
    <s v="SOLRECOUP"/>
    <s v="POARECOUP"/>
    <n v="21356936"/>
    <n v="-30"/>
    <m/>
    <s v="Y"/>
    <n v="2"/>
    <d v="2023-07-10T19:47:46"/>
    <s v="N"/>
    <m/>
    <m/>
    <s v="Expert Disbursement"/>
    <m/>
    <s v="N"/>
    <n v="0"/>
    <n v="-5"/>
    <x v="2"/>
    <s v="VALIDATED"/>
    <n v="1"/>
    <s v="01.11.80.203.2013.0000"/>
    <n v="-5"/>
    <s v="11"/>
    <s v="2013"/>
    <n v="-32425.63"/>
    <n v="-5"/>
    <s v="DEBTOR"/>
    <n v="0"/>
    <n v="0"/>
    <n v="0"/>
    <n v="0"/>
    <n v="0"/>
  </r>
  <r>
    <n v="14220045"/>
    <s v="N"/>
    <n v="21356937"/>
    <s v="3000007435800009RC"/>
    <s v="CIVIL"/>
    <d v="2023-06-27T00:00:00"/>
    <d v="2023-07-10T19:47:44"/>
    <m/>
    <d v="2023-07-10T00:00:00"/>
    <n v="1878"/>
    <n v="1547"/>
    <s v="14220045"/>
    <s v="14220045"/>
    <m/>
    <m/>
    <m/>
    <m/>
    <m/>
    <m/>
    <s v="SOLRECOUP"/>
    <s v="SOLRECOUP"/>
    <s v="POARECOUP"/>
    <n v="21356937"/>
    <n v="-446.9"/>
    <m/>
    <s v="Y"/>
    <n v="2"/>
    <d v="2023-07-10T19:47:46"/>
    <s v="N"/>
    <m/>
    <m/>
    <s v="Expert Disbursement"/>
    <m/>
    <s v="N"/>
    <n v="0"/>
    <n v="-74.48"/>
    <x v="2"/>
    <s v="VALIDATED"/>
    <n v="1"/>
    <s v="01.11.80.308.2013.0000"/>
    <n v="-74.48"/>
    <s v="11"/>
    <s v="2013"/>
    <n v="-32425.63"/>
    <n v="-74.48"/>
    <s v="DEBTOR"/>
    <n v="0"/>
    <n v="0"/>
    <n v="0"/>
    <n v="0"/>
    <n v="0"/>
  </r>
  <r>
    <n v="14220045"/>
    <s v="N"/>
    <n v="21356937"/>
    <s v="3000007435800009RC"/>
    <s v="CIVIL"/>
    <d v="2023-06-27T00:00:00"/>
    <d v="2023-07-10T19:47:44"/>
    <m/>
    <d v="2023-07-10T00:00:00"/>
    <n v="1878"/>
    <n v="1547"/>
    <s v="14220045"/>
    <s v="14220045"/>
    <m/>
    <m/>
    <m/>
    <m/>
    <m/>
    <m/>
    <s v="SOLRECOUP"/>
    <s v="SOLRECOUP"/>
    <s v="POARECOUP"/>
    <n v="21356937"/>
    <n v="-446.9"/>
    <m/>
    <s v="Y"/>
    <n v="1"/>
    <d v="2023-07-10T19:47:46"/>
    <s v="N"/>
    <m/>
    <m/>
    <s v="Expert Disbursement"/>
    <m/>
    <s v="N"/>
    <n v="-372.42"/>
    <n v="0"/>
    <x v="2"/>
    <s v="VALIDATED"/>
    <n v="1"/>
    <s v="01.11.80.308.2013.0000"/>
    <n v="-372.42"/>
    <s v="11"/>
    <s v="2013"/>
    <n v="-32425.63"/>
    <n v="-372.42"/>
    <s v="DEBTOR"/>
    <n v="0"/>
    <n v="0"/>
    <n v="0"/>
    <n v="0"/>
    <n v="0"/>
  </r>
  <r>
    <n v="60867888"/>
    <s v="N"/>
    <n v="21356938"/>
    <s v="3000015088620005RC"/>
    <s v="CIVIL"/>
    <d v="2023-06-30T00:00:00"/>
    <d v="2023-07-10T19:47:44"/>
    <m/>
    <d v="2023-07-10T00:00:00"/>
    <n v="1878"/>
    <n v="1547"/>
    <s v="60867888"/>
    <s v="60867888"/>
    <m/>
    <m/>
    <m/>
    <m/>
    <m/>
    <m/>
    <s v="SOLRECOUP"/>
    <s v="SOLRECOUP"/>
    <s v="POARECOUP"/>
    <n v="21356938"/>
    <n v="-154"/>
    <m/>
    <s v="Y"/>
    <n v="2"/>
    <d v="2023-07-10T19:47:46"/>
    <s v="N"/>
    <m/>
    <m/>
    <s v="Non Expert Disbursement"/>
    <m/>
    <s v="N"/>
    <n v="0"/>
    <n v="0"/>
    <x v="2"/>
    <s v="VALIDATED"/>
    <n v="1"/>
    <s v="01.11.80.000.0000.0000"/>
    <n v="0"/>
    <s v="11"/>
    <s v="0000"/>
    <n v="-32425.63"/>
    <n v="0"/>
    <s v="DEBTOR"/>
    <n v="0"/>
    <n v="0"/>
    <n v="0"/>
    <n v="0"/>
    <n v="0"/>
  </r>
  <r>
    <n v="60867888"/>
    <s v="N"/>
    <n v="21356938"/>
    <s v="3000015088620005RC"/>
    <s v="CIVIL"/>
    <d v="2023-06-30T00:00:00"/>
    <d v="2023-07-10T19:47:44"/>
    <m/>
    <d v="2023-07-10T00:00:00"/>
    <n v="1878"/>
    <n v="1547"/>
    <s v="60867888"/>
    <s v="60867888"/>
    <m/>
    <m/>
    <m/>
    <m/>
    <m/>
    <m/>
    <s v="SOLRECOUP"/>
    <s v="SOLRECOUP"/>
    <s v="POARECOUP"/>
    <n v="21356938"/>
    <n v="-154"/>
    <m/>
    <s v="Y"/>
    <n v="1"/>
    <d v="2023-07-10T19:47:46"/>
    <s v="N"/>
    <m/>
    <m/>
    <s v="Non Expert Disbursement"/>
    <m/>
    <s v="N"/>
    <n v="-154"/>
    <n v="0"/>
    <x v="2"/>
    <s v="VALIDATED"/>
    <n v="1"/>
    <s v="01.11.80.203.2013.0000"/>
    <n v="-154"/>
    <s v="11"/>
    <s v="2013"/>
    <n v="-32425.63"/>
    <n v="-154"/>
    <s v="DEBTOR"/>
    <n v="0"/>
    <n v="0"/>
    <n v="0"/>
    <n v="0"/>
    <n v="0"/>
  </r>
  <r>
    <n v="14220045"/>
    <s v="N"/>
    <n v="21357251"/>
    <s v="3000007435800013RC"/>
    <s v="CIVIL"/>
    <d v="2023-06-27T00:00:00"/>
    <d v="2023-07-10T19:48:00"/>
    <m/>
    <d v="2023-07-10T00:00:00"/>
    <n v="1878"/>
    <n v="1547"/>
    <s v="14220045"/>
    <s v="14220045"/>
    <m/>
    <m/>
    <m/>
    <m/>
    <m/>
    <m/>
    <s v="SOLRECOUP"/>
    <s v="SOLRECOUP"/>
    <s v="POARECOUP"/>
    <n v="21357251"/>
    <n v="-6142.04"/>
    <m/>
    <s v="Y"/>
    <n v="2"/>
    <d v="2023-07-10T19:48:00"/>
    <s v="N"/>
    <m/>
    <m/>
    <s v="Profit Cost"/>
    <m/>
    <s v="N"/>
    <n v="0"/>
    <n v="-1023.67"/>
    <x v="2"/>
    <s v="VALIDATED"/>
    <n v="1"/>
    <s v="01.11.80.308.2013.0000"/>
    <n v="-1023.67"/>
    <s v="11"/>
    <s v="2013"/>
    <n v="-32425.63"/>
    <n v="-1023.67"/>
    <s v="DEBTOR"/>
    <n v="0"/>
    <n v="0"/>
    <n v="0"/>
    <n v="0"/>
    <n v="0"/>
  </r>
  <r>
    <n v="14220045"/>
    <s v="N"/>
    <n v="21357252"/>
    <s v="3000007435800014RC"/>
    <s v="CIVIL"/>
    <d v="2023-06-27T00:00:00"/>
    <d v="2023-07-10T19:48:00"/>
    <m/>
    <d v="2023-07-10T00:00:00"/>
    <n v="1878"/>
    <n v="1547"/>
    <s v="14220045"/>
    <s v="14220045"/>
    <m/>
    <m/>
    <m/>
    <m/>
    <m/>
    <m/>
    <s v="SOLRECOUP"/>
    <s v="SOLRECOUP"/>
    <s v="POARECOUP"/>
    <n v="21357252"/>
    <n v="-2400"/>
    <m/>
    <s v="Y"/>
    <n v="2"/>
    <d v="2023-07-10T19:48:00"/>
    <s v="N"/>
    <m/>
    <m/>
    <s v="Expert Disbursement"/>
    <m/>
    <s v="N"/>
    <n v="0"/>
    <n v="-400"/>
    <x v="2"/>
    <s v="VALIDATED"/>
    <n v="1"/>
    <s v="01.11.80.308.2013.0000"/>
    <n v="-400"/>
    <s v="11"/>
    <s v="2013"/>
    <n v="-32425.63"/>
    <n v="-400"/>
    <s v="DEBTOR"/>
    <n v="0"/>
    <n v="0"/>
    <n v="0"/>
    <n v="0"/>
    <n v="0"/>
  </r>
  <r>
    <n v="14220045"/>
    <s v="N"/>
    <n v="21357252"/>
    <s v="3000007435800014RC"/>
    <s v="CIVIL"/>
    <d v="2023-06-27T00:00:00"/>
    <d v="2023-07-10T19:48:00"/>
    <m/>
    <d v="2023-07-10T00:00:00"/>
    <n v="1878"/>
    <n v="1547"/>
    <s v="14220045"/>
    <s v="14220045"/>
    <m/>
    <m/>
    <m/>
    <m/>
    <m/>
    <m/>
    <s v="SOLRECOUP"/>
    <s v="SOLRECOUP"/>
    <s v="POARECOUP"/>
    <n v="21357252"/>
    <n v="-2400"/>
    <m/>
    <s v="Y"/>
    <n v="1"/>
    <d v="2023-07-10T19:48:00"/>
    <s v="N"/>
    <m/>
    <m/>
    <s v="Expert Disbursement"/>
    <m/>
    <s v="N"/>
    <n v="-2000"/>
    <n v="0"/>
    <x v="2"/>
    <s v="VALIDATED"/>
    <n v="1"/>
    <s v="01.11.80.308.2013.0000"/>
    <n v="-2000"/>
    <s v="11"/>
    <s v="2013"/>
    <n v="-32425.63"/>
    <n v="-2000"/>
    <s v="DEBTOR"/>
    <n v="0"/>
    <n v="0"/>
    <n v="0"/>
    <n v="0"/>
    <n v="0"/>
  </r>
  <r>
    <n v="60867888"/>
    <s v="N"/>
    <n v="21357253"/>
    <s v="3000015088620020RC"/>
    <s v="CIVIL"/>
    <d v="2023-06-30T00:00:00"/>
    <d v="2023-07-10T19:48:00"/>
    <m/>
    <d v="2023-07-10T00:00:00"/>
    <n v="1878"/>
    <n v="1547"/>
    <s v="60867888"/>
    <s v="60867888"/>
    <m/>
    <m/>
    <m/>
    <m/>
    <m/>
    <m/>
    <s v="SOLRECOUP"/>
    <s v="SOLRECOUP"/>
    <s v="POARECOUP"/>
    <n v="21357253"/>
    <n v="-3989.76"/>
    <m/>
    <s v="Y"/>
    <n v="2"/>
    <d v="2023-07-10T19:48:00"/>
    <s v="N"/>
    <m/>
    <m/>
    <s v="Profit Cost"/>
    <m/>
    <s v="N"/>
    <n v="0"/>
    <n v="-664.96"/>
    <x v="2"/>
    <s v="VALIDATED"/>
    <n v="1"/>
    <s v="01.11.80.203.2013.0000"/>
    <n v="-664.96"/>
    <s v="11"/>
    <s v="2013"/>
    <n v="-32425.63"/>
    <n v="-664.96"/>
    <s v="DEBTOR"/>
    <n v="0"/>
    <n v="0"/>
    <n v="0"/>
    <n v="0"/>
    <n v="0"/>
  </r>
  <r>
    <n v="60867888"/>
    <s v="N"/>
    <n v="21357253"/>
    <s v="3000015088620020RC"/>
    <s v="CIVIL"/>
    <d v="2023-06-30T00:00:00"/>
    <d v="2023-07-10T19:48:00"/>
    <m/>
    <d v="2023-07-10T00:00:00"/>
    <n v="1878"/>
    <n v="1547"/>
    <s v="60867888"/>
    <s v="60867888"/>
    <m/>
    <m/>
    <m/>
    <m/>
    <m/>
    <m/>
    <s v="SOLRECOUP"/>
    <s v="SOLRECOUP"/>
    <s v="POARECOUP"/>
    <n v="21357253"/>
    <n v="-3989.76"/>
    <m/>
    <s v="Y"/>
    <n v="1"/>
    <d v="2023-07-10T19:48:00"/>
    <s v="N"/>
    <m/>
    <m/>
    <s v="Profit Cost"/>
    <m/>
    <s v="N"/>
    <n v="-3324.8"/>
    <n v="0"/>
    <x v="2"/>
    <s v="VALIDATED"/>
    <n v="1"/>
    <s v="01.11.80.203.2013.0000"/>
    <n v="-3324.8"/>
    <s v="11"/>
    <s v="2013"/>
    <n v="-32425.63"/>
    <n v="-3324.8"/>
    <s v="DEBTOR"/>
    <n v="0"/>
    <n v="0"/>
    <n v="0"/>
    <n v="0"/>
    <n v="0"/>
  </r>
  <r>
    <n v="60867888"/>
    <s v="N"/>
    <n v="21357235"/>
    <s v="3000015088620024RC"/>
    <s v="CIVIL"/>
    <d v="2023-06-30T00:00:00"/>
    <d v="2023-07-10T19:48:00"/>
    <m/>
    <d v="2023-07-10T00:00:00"/>
    <n v="1878"/>
    <n v="1547"/>
    <s v="60867888"/>
    <s v="60867888"/>
    <m/>
    <m/>
    <m/>
    <m/>
    <m/>
    <m/>
    <s v="SOLRECOUP"/>
    <s v="SOLRECOUP"/>
    <s v="POARECOUP"/>
    <n v="21357235"/>
    <n v="-30"/>
    <m/>
    <s v="Y"/>
    <n v="2"/>
    <d v="2023-07-10T19:48:00"/>
    <s v="N"/>
    <m/>
    <m/>
    <s v="Expert Disbursement"/>
    <m/>
    <s v="N"/>
    <n v="0"/>
    <n v="-5"/>
    <x v="2"/>
    <s v="VALIDATED"/>
    <n v="1"/>
    <s v="01.11.80.203.2013.0000"/>
    <n v="-5"/>
    <s v="11"/>
    <s v="2013"/>
    <n v="-32425.63"/>
    <n v="-5"/>
    <s v="DEBTOR"/>
    <n v="0"/>
    <n v="0"/>
    <n v="0"/>
    <n v="0"/>
    <n v="0"/>
  </r>
  <r>
    <n v="60867888"/>
    <s v="N"/>
    <n v="21357235"/>
    <s v="3000015088620024RC"/>
    <s v="CIVIL"/>
    <d v="2023-06-30T00:00:00"/>
    <d v="2023-07-10T19:48:00"/>
    <m/>
    <d v="2023-07-10T00:00:00"/>
    <n v="1878"/>
    <n v="1547"/>
    <s v="60867888"/>
    <s v="60867888"/>
    <m/>
    <m/>
    <m/>
    <m/>
    <m/>
    <m/>
    <s v="SOLRECOUP"/>
    <s v="SOLRECOUP"/>
    <s v="POARECOUP"/>
    <n v="21357235"/>
    <n v="-30"/>
    <m/>
    <s v="Y"/>
    <n v="1"/>
    <d v="2023-07-10T19:48:00"/>
    <s v="N"/>
    <m/>
    <m/>
    <s v="Expert Disbursement"/>
    <m/>
    <s v="N"/>
    <n v="-25"/>
    <n v="0"/>
    <x v="2"/>
    <s v="VALIDATED"/>
    <n v="1"/>
    <s v="01.11.80.203.2013.0000"/>
    <n v="-25"/>
    <s v="11"/>
    <s v="2013"/>
    <n v="-32425.63"/>
    <n v="-25"/>
    <s v="DEBTOR"/>
    <n v="0"/>
    <n v="0"/>
    <n v="0"/>
    <n v="0"/>
    <n v="0"/>
  </r>
  <r>
    <n v="60867888"/>
    <s v="N"/>
    <n v="21357236"/>
    <s v="3000015088620023RC"/>
    <s v="CIVIL"/>
    <d v="2023-06-30T00:00:00"/>
    <d v="2023-07-10T19:48:00"/>
    <m/>
    <d v="2023-07-10T00:00:00"/>
    <n v="1878"/>
    <n v="1547"/>
    <s v="60867888"/>
    <s v="60867888"/>
    <m/>
    <m/>
    <m/>
    <m/>
    <m/>
    <m/>
    <s v="SOLRECOUP"/>
    <s v="SOLRECOUP"/>
    <s v="POARECOUP"/>
    <n v="21357236"/>
    <n v="-40.99"/>
    <m/>
    <s v="Y"/>
    <n v="2"/>
    <d v="2023-07-10T19:48:00"/>
    <s v="N"/>
    <m/>
    <m/>
    <s v="Expert Disbursement"/>
    <m/>
    <s v="N"/>
    <n v="0"/>
    <n v="-6.83"/>
    <x v="2"/>
    <s v="VALIDATED"/>
    <n v="1"/>
    <s v="01.11.80.203.2013.0000"/>
    <n v="-6.83"/>
    <s v="11"/>
    <s v="2013"/>
    <n v="-32425.63"/>
    <n v="-6.83"/>
    <s v="DEBTOR"/>
    <n v="0"/>
    <n v="0"/>
    <n v="0"/>
    <n v="0"/>
    <n v="0"/>
  </r>
  <r>
    <n v="60867888"/>
    <s v="N"/>
    <n v="21357236"/>
    <s v="3000015088620023RC"/>
    <s v="CIVIL"/>
    <d v="2023-06-30T00:00:00"/>
    <d v="2023-07-10T19:48:00"/>
    <m/>
    <d v="2023-07-10T00:00:00"/>
    <n v="1878"/>
    <n v="1547"/>
    <s v="60867888"/>
    <s v="60867888"/>
    <m/>
    <m/>
    <m/>
    <m/>
    <m/>
    <m/>
    <s v="SOLRECOUP"/>
    <s v="SOLRECOUP"/>
    <s v="POARECOUP"/>
    <n v="21357236"/>
    <n v="-40.99"/>
    <m/>
    <s v="Y"/>
    <n v="1"/>
    <d v="2023-07-10T19:48:00"/>
    <s v="N"/>
    <m/>
    <m/>
    <s v="Expert Disbursement"/>
    <m/>
    <s v="N"/>
    <n v="-34.16"/>
    <n v="0"/>
    <x v="2"/>
    <s v="VALIDATED"/>
    <n v="1"/>
    <s v="01.11.80.203.2013.0000"/>
    <n v="-34.16"/>
    <s v="11"/>
    <s v="2013"/>
    <n v="-32425.63"/>
    <n v="-34.16"/>
    <s v="DEBTOR"/>
    <n v="0"/>
    <n v="0"/>
    <n v="0"/>
    <n v="0"/>
    <n v="0"/>
  </r>
  <r>
    <n v="60867888"/>
    <s v="N"/>
    <n v="21357237"/>
    <s v="3000015088620021RC"/>
    <s v="CIVIL"/>
    <d v="2023-06-30T00:00:00"/>
    <d v="2023-07-10T19:48:00"/>
    <m/>
    <d v="2023-07-10T00:00:00"/>
    <n v="1878"/>
    <n v="1547"/>
    <s v="60867888"/>
    <s v="60867888"/>
    <m/>
    <m/>
    <m/>
    <m/>
    <m/>
    <m/>
    <s v="SOLRECOUP"/>
    <s v="SOLRECOUP"/>
    <s v="POARECOUP"/>
    <n v="21357237"/>
    <n v="-34.99"/>
    <m/>
    <s v="Y"/>
    <n v="2"/>
    <d v="2023-07-10T19:48:00"/>
    <s v="N"/>
    <m/>
    <m/>
    <s v="Expert Disbursement"/>
    <m/>
    <s v="N"/>
    <n v="0"/>
    <n v="-5.83"/>
    <x v="2"/>
    <s v="VALIDATED"/>
    <n v="1"/>
    <s v="01.11.80.203.2013.0000"/>
    <n v="-5.83"/>
    <s v="11"/>
    <s v="2013"/>
    <n v="-32425.63"/>
    <n v="-5.83"/>
    <s v="DEBTOR"/>
    <n v="0"/>
    <n v="0"/>
    <n v="0"/>
    <n v="0"/>
    <n v="0"/>
  </r>
  <r>
    <n v="60867888"/>
    <s v="N"/>
    <n v="21357237"/>
    <s v="3000015088620021RC"/>
    <s v="CIVIL"/>
    <d v="2023-06-30T00:00:00"/>
    <d v="2023-07-10T19:48:00"/>
    <m/>
    <d v="2023-07-10T00:00:00"/>
    <n v="1878"/>
    <n v="1547"/>
    <s v="60867888"/>
    <s v="60867888"/>
    <m/>
    <m/>
    <m/>
    <m/>
    <m/>
    <m/>
    <s v="SOLRECOUP"/>
    <s v="SOLRECOUP"/>
    <s v="POARECOUP"/>
    <n v="21357237"/>
    <n v="-34.99"/>
    <m/>
    <s v="Y"/>
    <n v="1"/>
    <d v="2023-07-10T19:48:00"/>
    <s v="N"/>
    <m/>
    <m/>
    <s v="Expert Disbursement"/>
    <m/>
    <s v="N"/>
    <n v="-29.16"/>
    <n v="0"/>
    <x v="2"/>
    <s v="VALIDATED"/>
    <n v="1"/>
    <s v="01.11.80.203.2013.0000"/>
    <n v="-29.16"/>
    <s v="11"/>
    <s v="2013"/>
    <n v="-32425.63"/>
    <n v="-29.16"/>
    <s v="DEBTOR"/>
    <n v="0"/>
    <n v="0"/>
    <n v="0"/>
    <n v="0"/>
    <n v="0"/>
  </r>
  <r>
    <n v="60867888"/>
    <s v="N"/>
    <n v="21357238"/>
    <s v="3000015088620022RC"/>
    <s v="CIVIL"/>
    <d v="2023-06-30T00:00:00"/>
    <d v="2023-07-10T19:48:00"/>
    <m/>
    <d v="2023-07-10T00:00:00"/>
    <n v="1878"/>
    <n v="1547"/>
    <s v="60867888"/>
    <s v="60867888"/>
    <m/>
    <m/>
    <m/>
    <m/>
    <m/>
    <m/>
    <s v="SOLRECOUP"/>
    <s v="SOLRECOUP"/>
    <s v="POARECOUP"/>
    <n v="21357238"/>
    <n v="-31.5"/>
    <m/>
    <s v="Y"/>
    <n v="2"/>
    <d v="2023-07-10T19:48:00"/>
    <s v="N"/>
    <m/>
    <m/>
    <s v="Expert Disbursement"/>
    <m/>
    <s v="N"/>
    <n v="0"/>
    <n v="-5.25"/>
    <x v="2"/>
    <s v="VALIDATED"/>
    <n v="1"/>
    <s v="01.11.80.203.2013.0000"/>
    <n v="-5.25"/>
    <s v="11"/>
    <s v="2013"/>
    <n v="-32425.63"/>
    <n v="-5.25"/>
    <s v="DEBTOR"/>
    <n v="0"/>
    <n v="0"/>
    <n v="0"/>
    <n v="0"/>
    <n v="0"/>
  </r>
  <r>
    <n v="60867888"/>
    <s v="N"/>
    <n v="21357238"/>
    <s v="3000015088620022RC"/>
    <s v="CIVIL"/>
    <d v="2023-06-30T00:00:00"/>
    <d v="2023-07-10T19:48:00"/>
    <m/>
    <d v="2023-07-10T00:00:00"/>
    <n v="1878"/>
    <n v="1547"/>
    <s v="60867888"/>
    <s v="60867888"/>
    <m/>
    <m/>
    <m/>
    <m/>
    <m/>
    <m/>
    <s v="SOLRECOUP"/>
    <s v="SOLRECOUP"/>
    <s v="POARECOUP"/>
    <n v="21357238"/>
    <n v="-31.5"/>
    <m/>
    <s v="Y"/>
    <n v="1"/>
    <d v="2023-07-10T19:48:00"/>
    <s v="N"/>
    <m/>
    <m/>
    <s v="Expert Disbursement"/>
    <m/>
    <s v="N"/>
    <n v="-26.25"/>
    <n v="0"/>
    <x v="2"/>
    <s v="VALIDATED"/>
    <n v="1"/>
    <s v="01.11.80.203.2013.0000"/>
    <n v="-26.25"/>
    <s v="11"/>
    <s v="2013"/>
    <n v="-32425.63"/>
    <n v="-26.25"/>
    <s v="DEBTOR"/>
    <n v="0"/>
    <n v="0"/>
    <n v="0"/>
    <n v="0"/>
    <n v="0"/>
  </r>
  <r>
    <n v="14220045"/>
    <s v="N"/>
    <n v="21357239"/>
    <s v="3000007435800015RC"/>
    <s v="CIVIL"/>
    <d v="2023-06-27T00:00:00"/>
    <d v="2023-07-10T19:48:00"/>
    <m/>
    <d v="2023-07-10T00:00:00"/>
    <n v="1878"/>
    <n v="1547"/>
    <s v="14220045"/>
    <s v="14220045"/>
    <m/>
    <m/>
    <m/>
    <m/>
    <m/>
    <m/>
    <s v="SOLRECOUP"/>
    <s v="SOLRECOUP"/>
    <s v="POARECOUP"/>
    <n v="21357239"/>
    <n v="-1800"/>
    <m/>
    <s v="Y"/>
    <n v="2"/>
    <d v="2023-07-10T19:48:00"/>
    <s v="N"/>
    <m/>
    <m/>
    <s v="Expert Disbursement"/>
    <m/>
    <s v="N"/>
    <n v="0"/>
    <n v="-300"/>
    <x v="2"/>
    <s v="VALIDATED"/>
    <n v="1"/>
    <s v="01.11.80.308.2013.0000"/>
    <n v="-300"/>
    <s v="11"/>
    <s v="2013"/>
    <n v="-32425.63"/>
    <n v="-300"/>
    <s v="DEBTOR"/>
    <n v="0"/>
    <n v="0"/>
    <n v="0"/>
    <n v="0"/>
    <n v="0"/>
  </r>
  <r>
    <n v="14220045"/>
    <s v="N"/>
    <n v="21357239"/>
    <s v="3000007435800015RC"/>
    <s v="CIVIL"/>
    <d v="2023-06-27T00:00:00"/>
    <d v="2023-07-10T19:48:00"/>
    <m/>
    <d v="2023-07-10T00:00:00"/>
    <n v="1878"/>
    <n v="1547"/>
    <s v="14220045"/>
    <s v="14220045"/>
    <m/>
    <m/>
    <m/>
    <m/>
    <m/>
    <m/>
    <s v="SOLRECOUP"/>
    <s v="SOLRECOUP"/>
    <s v="POARECOUP"/>
    <n v="21357239"/>
    <n v="-1800"/>
    <m/>
    <s v="Y"/>
    <n v="1"/>
    <d v="2023-07-10T19:48:00"/>
    <s v="N"/>
    <m/>
    <m/>
    <s v="Expert Disbursement"/>
    <m/>
    <s v="N"/>
    <n v="-1500"/>
    <n v="0"/>
    <x v="2"/>
    <s v="VALIDATED"/>
    <n v="1"/>
    <s v="01.11.80.308.2013.0000"/>
    <n v="-1500"/>
    <s v="11"/>
    <s v="2013"/>
    <n v="-32425.63"/>
    <n v="-1500"/>
    <s v="DEBTOR"/>
    <n v="0"/>
    <n v="0"/>
    <n v="0"/>
    <n v="0"/>
    <n v="0"/>
  </r>
  <r>
    <n v="60867888"/>
    <s v="N"/>
    <n v="21357240"/>
    <s v="3000015088620002RC"/>
    <s v="CIVIL"/>
    <d v="2023-06-30T00:00:00"/>
    <d v="2023-07-10T19:48:00"/>
    <m/>
    <d v="2023-07-10T00:00:00"/>
    <n v="1878"/>
    <n v="1547"/>
    <s v="60867888"/>
    <s v="60867888"/>
    <m/>
    <m/>
    <m/>
    <m/>
    <m/>
    <m/>
    <s v="SOLRECOUP"/>
    <s v="SOLRECOUP"/>
    <s v="POARECOUP"/>
    <n v="21357240"/>
    <n v="-15"/>
    <m/>
    <s v="Y"/>
    <n v="2"/>
    <d v="2023-07-10T19:48:00"/>
    <s v="N"/>
    <m/>
    <m/>
    <s v="Expert Disbursement"/>
    <m/>
    <s v="N"/>
    <n v="0"/>
    <n v="-2.5"/>
    <x v="2"/>
    <s v="VALIDATED"/>
    <n v="1"/>
    <s v="01.11.80.203.2013.0000"/>
    <n v="-2.5"/>
    <s v="11"/>
    <s v="2013"/>
    <n v="-32425.63"/>
    <n v="-2.5"/>
    <s v="DEBTOR"/>
    <n v="0"/>
    <n v="0"/>
    <n v="0"/>
    <n v="0"/>
    <n v="0"/>
  </r>
  <r>
    <n v="60867888"/>
    <s v="N"/>
    <n v="21357240"/>
    <s v="3000015088620002RC"/>
    <s v="CIVIL"/>
    <d v="2023-06-30T00:00:00"/>
    <d v="2023-07-10T19:48:00"/>
    <m/>
    <d v="2023-07-10T00:00:00"/>
    <n v="1878"/>
    <n v="1547"/>
    <s v="60867888"/>
    <s v="60867888"/>
    <m/>
    <m/>
    <m/>
    <m/>
    <m/>
    <m/>
    <s v="SOLRECOUP"/>
    <s v="SOLRECOUP"/>
    <s v="POARECOUP"/>
    <n v="21357240"/>
    <n v="-15"/>
    <m/>
    <s v="Y"/>
    <n v="1"/>
    <d v="2023-07-10T19:48:00"/>
    <s v="N"/>
    <m/>
    <m/>
    <s v="Expert Disbursement"/>
    <m/>
    <s v="N"/>
    <n v="-12.5"/>
    <n v="0"/>
    <x v="2"/>
    <s v="VALIDATED"/>
    <n v="1"/>
    <s v="01.11.80.203.2013.0000"/>
    <n v="-12.5"/>
    <s v="11"/>
    <s v="2013"/>
    <n v="-32425.63"/>
    <n v="-12.5"/>
    <s v="DEBTOR"/>
    <n v="0"/>
    <n v="0"/>
    <n v="0"/>
    <n v="0"/>
    <n v="0"/>
  </r>
  <r>
    <n v="60867888"/>
    <s v="N"/>
    <n v="21357241"/>
    <s v="3000015088620003RC"/>
    <s v="CIVIL"/>
    <d v="2023-06-30T00:00:00"/>
    <d v="2023-07-10T19:48:00"/>
    <m/>
    <d v="2023-07-10T00:00:00"/>
    <n v="1878"/>
    <n v="1547"/>
    <s v="60867888"/>
    <s v="60867888"/>
    <m/>
    <m/>
    <m/>
    <m/>
    <m/>
    <m/>
    <s v="SOLRECOUP"/>
    <s v="SOLRECOUP"/>
    <s v="POARECOUP"/>
    <n v="21357241"/>
    <n v="-17.5"/>
    <m/>
    <s v="Y"/>
    <n v="2"/>
    <d v="2023-07-10T19:48:00"/>
    <s v="N"/>
    <m/>
    <m/>
    <s v="Expert Disbursement"/>
    <m/>
    <s v="N"/>
    <n v="0"/>
    <n v="-2.92"/>
    <x v="2"/>
    <s v="VALIDATED"/>
    <n v="1"/>
    <s v="01.11.80.203.2013.0000"/>
    <n v="-2.92"/>
    <s v="11"/>
    <s v="2013"/>
    <n v="-32425.63"/>
    <n v="-2.92"/>
    <s v="DEBTOR"/>
    <n v="0"/>
    <n v="0"/>
    <n v="0"/>
    <n v="0"/>
    <n v="0"/>
  </r>
  <r>
    <n v="60867888"/>
    <s v="N"/>
    <n v="21357241"/>
    <s v="3000015088620003RC"/>
    <s v="CIVIL"/>
    <d v="2023-06-30T00:00:00"/>
    <d v="2023-07-10T19:48:00"/>
    <m/>
    <d v="2023-07-10T00:00:00"/>
    <n v="1878"/>
    <n v="1547"/>
    <s v="60867888"/>
    <s v="60867888"/>
    <m/>
    <m/>
    <m/>
    <m/>
    <m/>
    <m/>
    <s v="SOLRECOUP"/>
    <s v="SOLRECOUP"/>
    <s v="POARECOUP"/>
    <n v="21357241"/>
    <n v="-17.5"/>
    <m/>
    <s v="Y"/>
    <n v="1"/>
    <d v="2023-07-10T19:48:00"/>
    <s v="N"/>
    <m/>
    <m/>
    <s v="Expert Disbursement"/>
    <m/>
    <s v="N"/>
    <n v="-14.58"/>
    <n v="0"/>
    <x v="2"/>
    <s v="VALIDATED"/>
    <n v="1"/>
    <s v="01.11.80.203.2013.0000"/>
    <n v="-14.58"/>
    <s v="11"/>
    <s v="2013"/>
    <n v="-32425.63"/>
    <n v="-14.58"/>
    <s v="DEBTOR"/>
    <n v="0"/>
    <n v="0"/>
    <n v="0"/>
    <n v="0"/>
    <n v="0"/>
  </r>
  <r>
    <n v="60867888"/>
    <s v="N"/>
    <n v="21357242"/>
    <s v="3000015088620004RC"/>
    <s v="CIVIL"/>
    <d v="2023-06-30T00:00:00"/>
    <d v="2023-07-10T19:48:00"/>
    <m/>
    <d v="2023-07-10T00:00:00"/>
    <n v="1878"/>
    <n v="1547"/>
    <s v="60867888"/>
    <s v="60867888"/>
    <m/>
    <m/>
    <m/>
    <m/>
    <m/>
    <m/>
    <s v="SOLRECOUP"/>
    <s v="SOLRECOUP"/>
    <s v="POARECOUP"/>
    <n v="21357242"/>
    <n v="-59.99"/>
    <m/>
    <s v="Y"/>
    <n v="2"/>
    <d v="2023-07-10T19:48:00"/>
    <s v="N"/>
    <m/>
    <m/>
    <s v="Expert Disbursement"/>
    <m/>
    <s v="N"/>
    <n v="0"/>
    <n v="-10"/>
    <x v="2"/>
    <s v="VALIDATED"/>
    <n v="1"/>
    <s v="01.11.80.203.2013.0000"/>
    <n v="-10"/>
    <s v="11"/>
    <s v="2013"/>
    <n v="-32425.63"/>
    <n v="-10"/>
    <s v="DEBTOR"/>
    <n v="0"/>
    <n v="0"/>
    <n v="0"/>
    <n v="0"/>
    <n v="0"/>
  </r>
  <r>
    <n v="60867888"/>
    <s v="N"/>
    <n v="21357242"/>
    <s v="3000015088620004RC"/>
    <s v="CIVIL"/>
    <d v="2023-06-30T00:00:00"/>
    <d v="2023-07-10T19:48:00"/>
    <m/>
    <d v="2023-07-10T00:00:00"/>
    <n v="1878"/>
    <n v="1547"/>
    <s v="60867888"/>
    <s v="60867888"/>
    <m/>
    <m/>
    <m/>
    <m/>
    <m/>
    <m/>
    <s v="SOLRECOUP"/>
    <s v="SOLRECOUP"/>
    <s v="POARECOUP"/>
    <n v="21357242"/>
    <n v="-59.99"/>
    <m/>
    <s v="Y"/>
    <n v="1"/>
    <d v="2023-07-10T19:48:00"/>
    <s v="N"/>
    <m/>
    <m/>
    <s v="Expert Disbursement"/>
    <m/>
    <s v="N"/>
    <n v="-49.99"/>
    <n v="0"/>
    <x v="2"/>
    <s v="VALIDATED"/>
    <n v="1"/>
    <s v="01.11.80.203.2013.0000"/>
    <n v="-49.99"/>
    <s v="11"/>
    <s v="2013"/>
    <n v="-32425.63"/>
    <n v="-49.99"/>
    <s v="DEBTOR"/>
    <n v="0"/>
    <n v="0"/>
    <n v="0"/>
    <n v="0"/>
    <n v="0"/>
  </r>
  <r>
    <n v="60867888"/>
    <s v="N"/>
    <n v="21357243"/>
    <s v="3000015088620001RC"/>
    <s v="CIVIL"/>
    <d v="2023-06-30T00:00:00"/>
    <d v="2023-07-10T19:48:00"/>
    <m/>
    <d v="2023-07-10T00:00:00"/>
    <n v="1878"/>
    <n v="1547"/>
    <s v="60867888"/>
    <s v="60867888"/>
    <m/>
    <m/>
    <m/>
    <m/>
    <m/>
    <m/>
    <s v="SOLRECOUP"/>
    <s v="SOLRECOUP"/>
    <s v="POARECOUP"/>
    <n v="21357243"/>
    <n v="-52.49"/>
    <m/>
    <s v="Y"/>
    <n v="1"/>
    <d v="2023-07-10T19:48:00"/>
    <s v="N"/>
    <m/>
    <m/>
    <s v="Expert Disbursement"/>
    <m/>
    <s v="N"/>
    <n v="-43.74"/>
    <n v="0"/>
    <x v="2"/>
    <s v="VALIDATED"/>
    <n v="1"/>
    <s v="01.11.80.203.2013.0000"/>
    <n v="-43.74"/>
    <s v="11"/>
    <s v="2013"/>
    <n v="-32425.63"/>
    <n v="-43.74"/>
    <s v="DEBTOR"/>
    <n v="0"/>
    <n v="0"/>
    <n v="0"/>
    <n v="0"/>
    <n v="0"/>
  </r>
  <r>
    <n v="60867888"/>
    <s v="N"/>
    <n v="21357243"/>
    <s v="3000015088620001RC"/>
    <s v="CIVIL"/>
    <d v="2023-06-30T00:00:00"/>
    <d v="2023-07-10T19:48:00"/>
    <m/>
    <d v="2023-07-10T00:00:00"/>
    <n v="1878"/>
    <n v="1547"/>
    <s v="60867888"/>
    <s v="60867888"/>
    <m/>
    <m/>
    <m/>
    <m/>
    <m/>
    <m/>
    <s v="SOLRECOUP"/>
    <s v="SOLRECOUP"/>
    <s v="POARECOUP"/>
    <n v="21357243"/>
    <n v="-52.49"/>
    <m/>
    <s v="Y"/>
    <n v="2"/>
    <d v="2023-07-10T19:48:00"/>
    <s v="N"/>
    <m/>
    <m/>
    <s v="Expert Disbursement"/>
    <m/>
    <s v="N"/>
    <n v="0"/>
    <n v="-8.75"/>
    <x v="2"/>
    <s v="VALIDATED"/>
    <n v="1"/>
    <s v="01.11.80.203.2013.0000"/>
    <n v="-8.75"/>
    <s v="11"/>
    <s v="2013"/>
    <n v="-32425.63"/>
    <n v="-8.75"/>
    <s v="DEBTOR"/>
    <n v="0"/>
    <n v="0"/>
    <n v="0"/>
    <n v="0"/>
    <n v="0"/>
  </r>
  <r>
    <n v="60867888"/>
    <s v="N"/>
    <n v="21357244"/>
    <s v="3000015088620015RC"/>
    <s v="CIVIL"/>
    <d v="2023-06-30T00:00:00"/>
    <d v="2023-07-10T19:48:00"/>
    <m/>
    <d v="2023-07-10T00:00:00"/>
    <n v="1878"/>
    <n v="1547"/>
    <s v="60867888"/>
    <s v="60867888"/>
    <m/>
    <m/>
    <m/>
    <m/>
    <m/>
    <m/>
    <s v="SOLRECOUP"/>
    <s v="SOLRECOUP"/>
    <s v="POARECOUP"/>
    <n v="21357244"/>
    <n v="-275"/>
    <m/>
    <s v="Y"/>
    <n v="1"/>
    <d v="2023-07-10T19:48:00"/>
    <s v="N"/>
    <m/>
    <m/>
    <s v="Non Expert Disbursement"/>
    <m/>
    <s v="N"/>
    <n v="-275"/>
    <n v="0"/>
    <x v="2"/>
    <s v="VALIDATED"/>
    <n v="1"/>
    <s v="01.11.80.203.2013.0000"/>
    <n v="-275"/>
    <s v="11"/>
    <s v="2013"/>
    <n v="-32425.63"/>
    <n v="-275"/>
    <s v="DEBTOR"/>
    <n v="0"/>
    <n v="0"/>
    <n v="0"/>
    <n v="0"/>
    <n v="0"/>
  </r>
  <r>
    <n v="60867888"/>
    <s v="N"/>
    <n v="21357244"/>
    <s v="3000015088620015RC"/>
    <s v="CIVIL"/>
    <d v="2023-06-30T00:00:00"/>
    <d v="2023-07-10T19:48:00"/>
    <m/>
    <d v="2023-07-10T00:00:00"/>
    <n v="1878"/>
    <n v="1547"/>
    <s v="60867888"/>
    <s v="60867888"/>
    <m/>
    <m/>
    <m/>
    <m/>
    <m/>
    <m/>
    <s v="SOLRECOUP"/>
    <s v="SOLRECOUP"/>
    <s v="POARECOUP"/>
    <n v="21357244"/>
    <n v="-275"/>
    <m/>
    <s v="Y"/>
    <n v="2"/>
    <d v="2023-07-10T19:48:00"/>
    <s v="N"/>
    <m/>
    <m/>
    <s v="Non Expert Disbursement"/>
    <m/>
    <s v="N"/>
    <n v="0"/>
    <n v="0"/>
    <x v="2"/>
    <s v="VALIDATED"/>
    <n v="1"/>
    <s v="01.11.80.000.0000.0000"/>
    <n v="0"/>
    <s v="11"/>
    <s v="0000"/>
    <n v="-32425.63"/>
    <n v="0"/>
    <s v="DEBTOR"/>
    <n v="0"/>
    <n v="0"/>
    <n v="0"/>
    <n v="0"/>
    <n v="0"/>
  </r>
  <r>
    <n v="60867888"/>
    <s v="N"/>
    <n v="21357245"/>
    <s v="3000015088620016RC"/>
    <s v="CIVIL"/>
    <d v="2023-06-30T00:00:00"/>
    <d v="2023-07-10T19:48:00"/>
    <m/>
    <d v="2023-07-10T00:00:00"/>
    <n v="1878"/>
    <n v="1547"/>
    <s v="60867888"/>
    <s v="60867888"/>
    <m/>
    <m/>
    <m/>
    <m/>
    <m/>
    <m/>
    <s v="SOLRECOUP"/>
    <s v="SOLRECOUP"/>
    <s v="POARECOUP"/>
    <n v="21357245"/>
    <n v="-25"/>
    <m/>
    <s v="Y"/>
    <n v="1"/>
    <d v="2023-07-10T19:48:00"/>
    <s v="N"/>
    <m/>
    <m/>
    <s v="Expert Disbursement"/>
    <m/>
    <s v="N"/>
    <n v="-20.83"/>
    <n v="0"/>
    <x v="2"/>
    <s v="VALIDATED"/>
    <n v="1"/>
    <s v="01.11.80.203.2013.0000"/>
    <n v="-20.83"/>
    <s v="11"/>
    <s v="2013"/>
    <n v="-32425.63"/>
    <n v="-20.83"/>
    <s v="DEBTOR"/>
    <n v="0"/>
    <n v="0"/>
    <n v="0"/>
    <n v="0"/>
    <n v="0"/>
  </r>
  <r>
    <n v="60867888"/>
    <s v="N"/>
    <n v="21357245"/>
    <s v="3000015088620016RC"/>
    <s v="CIVIL"/>
    <d v="2023-06-30T00:00:00"/>
    <d v="2023-07-10T19:48:00"/>
    <m/>
    <d v="2023-07-10T00:00:00"/>
    <n v="1878"/>
    <n v="1547"/>
    <s v="60867888"/>
    <s v="60867888"/>
    <m/>
    <m/>
    <m/>
    <m/>
    <m/>
    <m/>
    <s v="SOLRECOUP"/>
    <s v="SOLRECOUP"/>
    <s v="POARECOUP"/>
    <n v="21357245"/>
    <n v="-25"/>
    <m/>
    <s v="Y"/>
    <n v="2"/>
    <d v="2023-07-10T19:48:00"/>
    <s v="N"/>
    <m/>
    <m/>
    <s v="Expert Disbursement"/>
    <m/>
    <s v="N"/>
    <n v="0"/>
    <n v="-4.17"/>
    <x v="2"/>
    <s v="VALIDATED"/>
    <n v="1"/>
    <s v="01.11.80.203.2013.0000"/>
    <n v="-4.17"/>
    <s v="11"/>
    <s v="2013"/>
    <n v="-32425.63"/>
    <n v="-4.17"/>
    <s v="DEBTOR"/>
    <n v="0"/>
    <n v="0"/>
    <n v="0"/>
    <n v="0"/>
    <n v="0"/>
  </r>
  <r>
    <n v="60867888"/>
    <s v="N"/>
    <n v="21357246"/>
    <s v="3000015088620017RC"/>
    <s v="CIVIL"/>
    <d v="2023-06-30T00:00:00"/>
    <d v="2023-07-10T19:48:00"/>
    <m/>
    <d v="2023-07-10T00:00:00"/>
    <n v="1878"/>
    <n v="1547"/>
    <s v="60867888"/>
    <s v="60867888"/>
    <m/>
    <m/>
    <m/>
    <m/>
    <m/>
    <m/>
    <s v="SOLRECOUP"/>
    <s v="SOLRECOUP"/>
    <s v="POARECOUP"/>
    <n v="21357246"/>
    <n v="-275"/>
    <m/>
    <s v="Y"/>
    <n v="1"/>
    <d v="2023-07-10T19:48:00"/>
    <s v="N"/>
    <m/>
    <m/>
    <s v="Expert Disbursement"/>
    <m/>
    <s v="N"/>
    <n v="-275"/>
    <n v="0"/>
    <x v="2"/>
    <s v="VALIDATED"/>
    <n v="1"/>
    <s v="01.11.80.203.2013.0000"/>
    <n v="-275"/>
    <s v="11"/>
    <s v="2013"/>
    <n v="-32425.63"/>
    <n v="-275"/>
    <s v="DEBTOR"/>
    <n v="0"/>
    <n v="0"/>
    <n v="0"/>
    <n v="0"/>
    <n v="0"/>
  </r>
  <r>
    <n v="60867888"/>
    <s v="N"/>
    <n v="21357246"/>
    <s v="3000015088620017RC"/>
    <s v="CIVIL"/>
    <d v="2023-06-30T00:00:00"/>
    <d v="2023-07-10T19:48:00"/>
    <m/>
    <d v="2023-07-10T00:00:00"/>
    <n v="1878"/>
    <n v="1547"/>
    <s v="60867888"/>
    <s v="60867888"/>
    <m/>
    <m/>
    <m/>
    <m/>
    <m/>
    <m/>
    <s v="SOLRECOUP"/>
    <s v="SOLRECOUP"/>
    <s v="POARECOUP"/>
    <n v="21357246"/>
    <n v="-275"/>
    <m/>
    <s v="Y"/>
    <n v="2"/>
    <d v="2023-07-10T19:48:00"/>
    <s v="N"/>
    <m/>
    <m/>
    <s v="Expert Disbursement"/>
    <m/>
    <s v="N"/>
    <n v="0"/>
    <n v="0"/>
    <x v="2"/>
    <s v="VALIDATED"/>
    <n v="1"/>
    <s v="01.11.80.000.0000.0000"/>
    <n v="0"/>
    <s v="11"/>
    <s v="0000"/>
    <n v="-32425.63"/>
    <n v="0"/>
    <s v="DEBTOR"/>
    <n v="0"/>
    <n v="0"/>
    <n v="0"/>
    <n v="0"/>
    <n v="0"/>
  </r>
  <r>
    <n v="60867888"/>
    <s v="N"/>
    <n v="21357247"/>
    <s v="3000015088620018RC"/>
    <s v="CIVIL"/>
    <d v="2023-06-30T00:00:00"/>
    <d v="2023-07-10T19:48:00"/>
    <m/>
    <d v="2023-07-10T00:00:00"/>
    <n v="1878"/>
    <n v="1547"/>
    <s v="60867888"/>
    <s v="60867888"/>
    <m/>
    <m/>
    <m/>
    <m/>
    <m/>
    <m/>
    <s v="SOLRECOUP"/>
    <s v="SOLRECOUP"/>
    <s v="POARECOUP"/>
    <n v="21357247"/>
    <n v="-15"/>
    <m/>
    <s v="Y"/>
    <n v="1"/>
    <d v="2023-07-10T19:48:00"/>
    <s v="N"/>
    <m/>
    <m/>
    <s v="Expert Disbursement"/>
    <m/>
    <s v="N"/>
    <n v="-12.5"/>
    <n v="0"/>
    <x v="2"/>
    <s v="VALIDATED"/>
    <n v="1"/>
    <s v="01.11.80.203.2013.0000"/>
    <n v="-12.5"/>
    <s v="11"/>
    <s v="2013"/>
    <n v="-32425.63"/>
    <n v="-12.5"/>
    <s v="DEBTOR"/>
    <n v="0"/>
    <n v="0"/>
    <n v="0"/>
    <n v="0"/>
    <n v="0"/>
  </r>
  <r>
    <n v="60867888"/>
    <s v="N"/>
    <n v="21357247"/>
    <s v="3000015088620018RC"/>
    <s v="CIVIL"/>
    <d v="2023-06-30T00:00:00"/>
    <d v="2023-07-10T19:48:00"/>
    <m/>
    <d v="2023-07-10T00:00:00"/>
    <n v="1878"/>
    <n v="1547"/>
    <s v="60867888"/>
    <s v="60867888"/>
    <m/>
    <m/>
    <m/>
    <m/>
    <m/>
    <m/>
    <s v="SOLRECOUP"/>
    <s v="SOLRECOUP"/>
    <s v="POARECOUP"/>
    <n v="21357247"/>
    <n v="-15"/>
    <m/>
    <s v="Y"/>
    <n v="2"/>
    <d v="2023-07-10T19:48:00"/>
    <s v="N"/>
    <m/>
    <m/>
    <s v="Expert Disbursement"/>
    <m/>
    <s v="N"/>
    <n v="0"/>
    <n v="-2.5"/>
    <x v="2"/>
    <s v="VALIDATED"/>
    <n v="1"/>
    <s v="01.11.80.203.2013.0000"/>
    <n v="-2.5"/>
    <s v="11"/>
    <s v="2013"/>
    <n v="-32425.63"/>
    <n v="-2.5"/>
    <s v="DEBTOR"/>
    <n v="0"/>
    <n v="0"/>
    <n v="0"/>
    <n v="0"/>
    <n v="0"/>
  </r>
  <r>
    <n v="60867888"/>
    <s v="N"/>
    <n v="21357248"/>
    <s v="3000015088620019RC"/>
    <s v="CIVIL"/>
    <d v="2023-06-30T00:00:00"/>
    <d v="2023-07-10T19:48:00"/>
    <m/>
    <d v="2023-07-10T00:00:00"/>
    <n v="1878"/>
    <n v="1547"/>
    <s v="60867888"/>
    <s v="60867888"/>
    <m/>
    <m/>
    <m/>
    <m/>
    <m/>
    <m/>
    <s v="SOLRECOUP"/>
    <s v="SOLRECOUP"/>
    <s v="POARECOUP"/>
    <n v="21357248"/>
    <n v="-9461.98"/>
    <m/>
    <s v="Y"/>
    <n v="1"/>
    <d v="2023-07-10T19:48:00"/>
    <s v="N"/>
    <m/>
    <m/>
    <s v="Profit Cost"/>
    <m/>
    <s v="N"/>
    <n v="-7884.98"/>
    <n v="0"/>
    <x v="2"/>
    <s v="VALIDATED"/>
    <n v="1"/>
    <s v="01.11.80.203.2013.0000"/>
    <n v="-7884.98"/>
    <s v="11"/>
    <s v="2013"/>
    <n v="-32425.63"/>
    <n v="-7884.98"/>
    <s v="DEBTOR"/>
    <n v="0"/>
    <n v="0"/>
    <n v="0"/>
    <n v="0"/>
    <n v="0"/>
  </r>
  <r>
    <n v="60867888"/>
    <s v="N"/>
    <n v="21357248"/>
    <s v="3000015088620019RC"/>
    <s v="CIVIL"/>
    <d v="2023-06-30T00:00:00"/>
    <d v="2023-07-10T19:48:00"/>
    <m/>
    <d v="2023-07-10T00:00:00"/>
    <n v="1878"/>
    <n v="1547"/>
    <s v="60867888"/>
    <s v="60867888"/>
    <m/>
    <m/>
    <m/>
    <m/>
    <m/>
    <m/>
    <s v="SOLRECOUP"/>
    <s v="SOLRECOUP"/>
    <s v="POARECOUP"/>
    <n v="21357248"/>
    <n v="-9461.98"/>
    <m/>
    <s v="Y"/>
    <n v="2"/>
    <d v="2023-07-10T19:48:00"/>
    <s v="N"/>
    <m/>
    <m/>
    <s v="Profit Cost"/>
    <m/>
    <s v="N"/>
    <n v="0"/>
    <n v="-1577"/>
    <x v="2"/>
    <s v="VALIDATED"/>
    <n v="1"/>
    <s v="01.11.80.203.2013.0000"/>
    <n v="-1577"/>
    <s v="11"/>
    <s v="2013"/>
    <n v="-32425.63"/>
    <n v="-1577"/>
    <s v="DEBTOR"/>
    <n v="0"/>
    <n v="0"/>
    <n v="0"/>
    <n v="0"/>
    <n v="0"/>
  </r>
  <r>
    <n v="14220045"/>
    <s v="N"/>
    <n v="21357249"/>
    <s v="3000007435800010RC"/>
    <s v="CIVIL"/>
    <d v="2023-06-27T00:00:00"/>
    <d v="2023-07-10T19:48:00"/>
    <m/>
    <d v="2023-07-10T00:00:00"/>
    <n v="1878"/>
    <n v="1547"/>
    <s v="14220045"/>
    <s v="14220045"/>
    <m/>
    <m/>
    <m/>
    <m/>
    <m/>
    <m/>
    <s v="SOLRECOUP"/>
    <s v="SOLRECOUP"/>
    <s v="POARECOUP"/>
    <n v="21357249"/>
    <n v="-1505.2"/>
    <m/>
    <s v="Y"/>
    <n v="1"/>
    <d v="2023-07-10T19:48:00"/>
    <s v="N"/>
    <m/>
    <m/>
    <s v="Expert Disbursement"/>
    <m/>
    <s v="N"/>
    <n v="-1254.33"/>
    <n v="0"/>
    <x v="2"/>
    <s v="VALIDATED"/>
    <n v="1"/>
    <s v="01.11.80.308.2013.0000"/>
    <n v="-1254.33"/>
    <s v="11"/>
    <s v="2013"/>
    <n v="-32425.63"/>
    <n v="-1254.33"/>
    <s v="DEBTOR"/>
    <n v="0"/>
    <n v="0"/>
    <n v="0"/>
    <n v="0"/>
    <n v="0"/>
  </r>
  <r>
    <n v="14220045"/>
    <s v="N"/>
    <n v="21357249"/>
    <s v="3000007435800010RC"/>
    <s v="CIVIL"/>
    <d v="2023-06-27T00:00:00"/>
    <d v="2023-07-10T19:48:00"/>
    <m/>
    <d v="2023-07-10T00:00:00"/>
    <n v="1878"/>
    <n v="1547"/>
    <s v="14220045"/>
    <s v="14220045"/>
    <m/>
    <m/>
    <m/>
    <m/>
    <m/>
    <m/>
    <s v="SOLRECOUP"/>
    <s v="SOLRECOUP"/>
    <s v="POARECOUP"/>
    <n v="21357249"/>
    <n v="-1505.2"/>
    <m/>
    <s v="Y"/>
    <n v="2"/>
    <d v="2023-07-10T19:48:00"/>
    <s v="N"/>
    <m/>
    <m/>
    <s v="Expert Disbursement"/>
    <m/>
    <s v="N"/>
    <n v="0"/>
    <n v="-250.87"/>
    <x v="2"/>
    <s v="VALIDATED"/>
    <n v="1"/>
    <s v="01.11.80.308.2013.0000"/>
    <n v="-250.87"/>
    <s v="11"/>
    <s v="2013"/>
    <n v="-32425.63"/>
    <n v="-250.87"/>
    <s v="DEBTOR"/>
    <n v="0"/>
    <n v="0"/>
    <n v="0"/>
    <n v="0"/>
    <n v="0"/>
  </r>
  <r>
    <n v="14220045"/>
    <s v="N"/>
    <n v="21357250"/>
    <s v="3000007435800012RC"/>
    <s v="CIVIL"/>
    <d v="2023-06-27T00:00:00"/>
    <d v="2023-07-10T19:48:00"/>
    <m/>
    <d v="2023-07-10T00:00:00"/>
    <n v="1878"/>
    <n v="1547"/>
    <s v="14220045"/>
    <s v="14220045"/>
    <m/>
    <m/>
    <m/>
    <m/>
    <m/>
    <m/>
    <s v="SOLRECOUP"/>
    <s v="SOLRECOUP"/>
    <s v="POARECOUP"/>
    <n v="21357250"/>
    <n v="-1638.13"/>
    <m/>
    <s v="Y"/>
    <n v="1"/>
    <d v="2023-07-10T19:48:00"/>
    <s v="N"/>
    <m/>
    <m/>
    <s v="Profit Cost"/>
    <m/>
    <s v="N"/>
    <n v="-1365.11"/>
    <n v="0"/>
    <x v="2"/>
    <s v="VALIDATED"/>
    <n v="1"/>
    <s v="01.11.80.308.2013.0000"/>
    <n v="-1365.11"/>
    <s v="11"/>
    <s v="2013"/>
    <n v="-32425.63"/>
    <n v="-1365.11"/>
    <s v="DEBTOR"/>
    <n v="0"/>
    <n v="0"/>
    <n v="0"/>
    <n v="0"/>
    <n v="0"/>
  </r>
  <r>
    <n v="14220045"/>
    <s v="N"/>
    <n v="21357250"/>
    <s v="3000007435800012RC"/>
    <s v="CIVIL"/>
    <d v="2023-06-27T00:00:00"/>
    <d v="2023-07-10T19:48:00"/>
    <m/>
    <d v="2023-07-10T00:00:00"/>
    <n v="1878"/>
    <n v="1547"/>
    <s v="14220045"/>
    <s v="14220045"/>
    <m/>
    <m/>
    <m/>
    <m/>
    <m/>
    <m/>
    <s v="SOLRECOUP"/>
    <s v="SOLRECOUP"/>
    <s v="POARECOUP"/>
    <n v="21357250"/>
    <n v="-1638.13"/>
    <m/>
    <s v="Y"/>
    <n v="2"/>
    <d v="2023-07-10T19:48:00"/>
    <s v="N"/>
    <m/>
    <m/>
    <s v="Profit Cost"/>
    <m/>
    <s v="N"/>
    <n v="0"/>
    <n v="-273.02"/>
    <x v="2"/>
    <s v="VALIDATED"/>
    <n v="1"/>
    <s v="01.11.80.308.2013.0000"/>
    <n v="-273.02"/>
    <s v="11"/>
    <s v="2013"/>
    <n v="-32425.63"/>
    <n v="-273.02"/>
    <s v="DEBTOR"/>
    <n v="0"/>
    <n v="0"/>
    <n v="0"/>
    <n v="0"/>
    <n v="0"/>
  </r>
  <r>
    <n v="14220045"/>
    <s v="N"/>
    <n v="21357251"/>
    <s v="3000007435800013RC"/>
    <s v="CIVIL"/>
    <d v="2023-06-27T00:00:00"/>
    <d v="2023-07-10T19:48:00"/>
    <m/>
    <d v="2023-07-10T00:00:00"/>
    <n v="1878"/>
    <n v="1547"/>
    <s v="14220045"/>
    <s v="14220045"/>
    <m/>
    <m/>
    <m/>
    <m/>
    <m/>
    <m/>
    <s v="SOLRECOUP"/>
    <s v="SOLRECOUP"/>
    <s v="POARECOUP"/>
    <n v="21357251"/>
    <n v="-6142.04"/>
    <m/>
    <s v="Y"/>
    <n v="1"/>
    <d v="2023-07-10T19:48:00"/>
    <s v="N"/>
    <m/>
    <m/>
    <s v="Profit Cost"/>
    <m/>
    <s v="N"/>
    <n v="-5118.37"/>
    <n v="0"/>
    <x v="2"/>
    <s v="VALIDATED"/>
    <n v="1"/>
    <s v="01.11.80.308.2013.0000"/>
    <n v="-5118.37"/>
    <s v="11"/>
    <s v="2013"/>
    <n v="-32425.63"/>
    <n v="-5118.37"/>
    <s v="DEBTOR"/>
    <n v="0"/>
    <n v="0"/>
    <n v="0"/>
    <n v="0"/>
    <n v="0"/>
  </r>
  <r>
    <n v="60867888"/>
    <s v="N"/>
    <n v="21356939"/>
    <s v="3000015088620010RC"/>
    <s v="CIVIL"/>
    <d v="2023-06-30T00:00:00"/>
    <d v="2023-07-10T19:47:44"/>
    <m/>
    <d v="2023-07-10T00:00:00"/>
    <n v="1878"/>
    <n v="1547"/>
    <s v="60867888"/>
    <s v="60867888"/>
    <m/>
    <m/>
    <m/>
    <m/>
    <m/>
    <m/>
    <s v="SOLRECOUP"/>
    <s v="SOLRECOUP"/>
    <s v="POARECOUP"/>
    <n v="21356939"/>
    <n v="-17.5"/>
    <m/>
    <s v="Y"/>
    <n v="1"/>
    <d v="2023-07-10T19:47:46"/>
    <s v="N"/>
    <m/>
    <m/>
    <s v="Expert Disbursement"/>
    <m/>
    <s v="N"/>
    <n v="-14.58"/>
    <n v="0"/>
    <x v="2"/>
    <s v="VALIDATED"/>
    <n v="1"/>
    <s v="01.11.80.203.2013.0000"/>
    <n v="-14.58"/>
    <s v="11"/>
    <s v="2013"/>
    <n v="-32425.63"/>
    <n v="-14.58"/>
    <s v="DEBTOR"/>
    <n v="0"/>
    <n v="0"/>
    <n v="0"/>
    <n v="0"/>
    <n v="0"/>
  </r>
  <r>
    <n v="60867888"/>
    <s v="N"/>
    <n v="21356940"/>
    <s v="3000015088620013RC"/>
    <s v="CIVIL"/>
    <d v="2023-06-30T00:00:00"/>
    <d v="2023-07-10T19:47:44"/>
    <m/>
    <d v="2023-07-10T00:00:00"/>
    <n v="1878"/>
    <n v="1547"/>
    <s v="60867888"/>
    <s v="60867888"/>
    <m/>
    <m/>
    <m/>
    <m/>
    <m/>
    <m/>
    <s v="SOLRECOUP"/>
    <s v="SOLRECOUP"/>
    <s v="POARECOUP"/>
    <n v="21356940"/>
    <n v="-30"/>
    <m/>
    <s v="Y"/>
    <n v="2"/>
    <d v="2023-07-10T19:47:46"/>
    <s v="N"/>
    <m/>
    <m/>
    <s v="Expert Disbursement"/>
    <m/>
    <s v="N"/>
    <n v="0"/>
    <n v="-5"/>
    <x v="2"/>
    <s v="VALIDATED"/>
    <n v="1"/>
    <s v="01.11.80.203.2013.0000"/>
    <n v="-5"/>
    <s v="11"/>
    <s v="2013"/>
    <n v="-32425.63"/>
    <n v="-5"/>
    <s v="DEBTOR"/>
    <n v="0"/>
    <n v="0"/>
    <n v="0"/>
    <n v="0"/>
    <n v="0"/>
  </r>
  <r>
    <n v="60867888"/>
    <s v="N"/>
    <n v="21356940"/>
    <s v="3000015088620013RC"/>
    <s v="CIVIL"/>
    <d v="2023-06-30T00:00:00"/>
    <d v="2023-07-10T19:47:44"/>
    <m/>
    <d v="2023-07-10T00:00:00"/>
    <n v="1878"/>
    <n v="1547"/>
    <s v="60867888"/>
    <s v="60867888"/>
    <m/>
    <m/>
    <m/>
    <m/>
    <m/>
    <m/>
    <s v="SOLRECOUP"/>
    <s v="SOLRECOUP"/>
    <s v="POARECOUP"/>
    <n v="21356940"/>
    <n v="-30"/>
    <m/>
    <s v="Y"/>
    <n v="1"/>
    <d v="2023-07-10T19:47:46"/>
    <s v="N"/>
    <m/>
    <m/>
    <s v="Expert Disbursement"/>
    <m/>
    <s v="N"/>
    <n v="-25"/>
    <n v="0"/>
    <x v="2"/>
    <s v="VALIDATED"/>
    <n v="1"/>
    <s v="01.11.80.203.2013.0000"/>
    <n v="-25"/>
    <s v="11"/>
    <s v="2013"/>
    <n v="-32425.63"/>
    <n v="-25"/>
    <s v="DEBTOR"/>
    <n v="0"/>
    <n v="0"/>
    <n v="0"/>
    <n v="0"/>
    <n v="0"/>
  </r>
  <r>
    <n v="60867888"/>
    <s v="N"/>
    <n v="21356941"/>
    <s v="3000015088620014RC"/>
    <s v="CIVIL"/>
    <d v="2023-06-30T00:00:00"/>
    <d v="2023-07-10T19:47:44"/>
    <m/>
    <d v="2023-07-10T00:00:00"/>
    <n v="1878"/>
    <n v="1547"/>
    <s v="60867888"/>
    <s v="60867888"/>
    <m/>
    <m/>
    <m/>
    <m/>
    <m/>
    <m/>
    <s v="SOLRECOUP"/>
    <s v="SOLRECOUP"/>
    <s v="POARECOUP"/>
    <n v="21356941"/>
    <n v="-154"/>
    <m/>
    <s v="Y"/>
    <n v="1"/>
    <d v="2023-07-10T19:47:47"/>
    <s v="N"/>
    <m/>
    <m/>
    <s v="Non Expert Disbursement"/>
    <m/>
    <s v="N"/>
    <n v="-154"/>
    <n v="0"/>
    <x v="2"/>
    <s v="VALIDATED"/>
    <n v="1"/>
    <s v="01.11.80.203.2013.0000"/>
    <n v="-154"/>
    <s v="11"/>
    <s v="2013"/>
    <n v="-32425.63"/>
    <n v="-154"/>
    <s v="DEBTOR"/>
    <n v="0"/>
    <n v="0"/>
    <n v="0"/>
    <n v="0"/>
    <n v="0"/>
  </r>
  <r>
    <n v="8733210"/>
    <s v="N"/>
    <n v="21405591"/>
    <s v="3000004746670009RC"/>
    <s v="CIVIL"/>
    <d v="2023-06-06T00:00:00"/>
    <d v="2023-07-20T19:48:02"/>
    <m/>
    <d v="2023-07-20T00:00:00"/>
    <n v="1878"/>
    <n v="1547"/>
    <s v="8733210"/>
    <s v="8733210"/>
    <m/>
    <m/>
    <m/>
    <m/>
    <m/>
    <m/>
    <s v="SOLRECOUP"/>
    <s v="SOLRECOUP"/>
    <s v="POARECOUP"/>
    <n v="21405591"/>
    <n v="-1400.81"/>
    <m/>
    <s v="Y"/>
    <n v="1"/>
    <d v="2023-07-20T19:48:05"/>
    <s v="N"/>
    <m/>
    <m/>
    <s v="Expert Disbursement"/>
    <m/>
    <s v="N"/>
    <n v="-1167.34"/>
    <n v="0"/>
    <x v="13"/>
    <s v="VALIDATED"/>
    <n v="1"/>
    <s v="01.11.80.201.2013.0000"/>
    <n v="-1167.34"/>
    <s v="11"/>
    <s v="2013"/>
    <n v="-32425.63"/>
    <n v="-1167.34"/>
    <s v="DEBTOR"/>
    <n v="0"/>
    <n v="0"/>
    <n v="0"/>
    <n v="0"/>
    <n v="0"/>
  </r>
  <r>
    <n v="8733210"/>
    <s v="N"/>
    <n v="21406075"/>
    <s v="3000004746670013RC"/>
    <s v="CIVIL"/>
    <d v="2023-06-06T00:00:00"/>
    <d v="2023-07-20T19:48:18"/>
    <m/>
    <d v="2023-07-20T00:00:00"/>
    <n v="1878"/>
    <n v="1547"/>
    <s v="8733210"/>
    <s v="8733210"/>
    <m/>
    <m/>
    <m/>
    <m/>
    <m/>
    <m/>
    <s v="SOLRECOUP"/>
    <s v="SOLRECOUP"/>
    <s v="POARECOUP"/>
    <n v="21406075"/>
    <n v="-100"/>
    <m/>
    <s v="Y"/>
    <n v="2"/>
    <d v="2023-07-20T19:48:19"/>
    <s v="N"/>
    <m/>
    <m/>
    <s v="Non Expert Disbursement"/>
    <m/>
    <s v="N"/>
    <n v="0"/>
    <n v="0"/>
    <x v="13"/>
    <s v="VALIDATED"/>
    <n v="1"/>
    <s v="01.11.80.000.0000.0000"/>
    <n v="0"/>
    <s v="11"/>
    <s v="0000"/>
    <n v="-32425.63"/>
    <n v="0"/>
    <s v="DEBTOR"/>
    <n v="0"/>
    <n v="0"/>
    <n v="0"/>
    <n v="0"/>
    <n v="0"/>
  </r>
  <r>
    <n v="8733210"/>
    <s v="N"/>
    <n v="21406075"/>
    <s v="3000004746670013RC"/>
    <s v="CIVIL"/>
    <d v="2023-06-06T00:00:00"/>
    <d v="2023-07-20T19:48:18"/>
    <m/>
    <d v="2023-07-20T00:00:00"/>
    <n v="1878"/>
    <n v="1547"/>
    <s v="8733210"/>
    <s v="8733210"/>
    <m/>
    <m/>
    <m/>
    <m/>
    <m/>
    <m/>
    <s v="SOLRECOUP"/>
    <s v="SOLRECOUP"/>
    <s v="POARECOUP"/>
    <n v="21406075"/>
    <n v="-100"/>
    <m/>
    <s v="Y"/>
    <n v="1"/>
    <d v="2023-07-20T19:48:19"/>
    <s v="N"/>
    <m/>
    <m/>
    <s v="Non Expert Disbursement"/>
    <m/>
    <s v="N"/>
    <n v="-100"/>
    <n v="0"/>
    <x v="13"/>
    <s v="VALIDATED"/>
    <n v="1"/>
    <s v="01.11.80.201.2013.0000"/>
    <n v="-100"/>
    <s v="11"/>
    <s v="2013"/>
    <n v="-32425.63"/>
    <n v="-100"/>
    <s v="DEBTOR"/>
    <n v="0"/>
    <n v="0"/>
    <n v="0"/>
    <n v="0"/>
    <n v="0"/>
  </r>
  <r>
    <n v="8733210"/>
    <s v="N"/>
    <n v="21406076"/>
    <s v="3000004746670011RC"/>
    <s v="CIVIL"/>
    <d v="2023-06-06T00:00:00"/>
    <d v="2023-07-20T19:48:18"/>
    <m/>
    <d v="2023-07-20T00:00:00"/>
    <n v="1878"/>
    <n v="1547"/>
    <s v="8733210"/>
    <s v="8733210"/>
    <m/>
    <m/>
    <m/>
    <m/>
    <m/>
    <m/>
    <s v="SOLRECOUP"/>
    <s v="SOLRECOUP"/>
    <s v="POARECOUP"/>
    <n v="21406076"/>
    <n v="-100"/>
    <m/>
    <s v="Y"/>
    <n v="1"/>
    <d v="2023-07-20T19:48:19"/>
    <s v="N"/>
    <m/>
    <m/>
    <s v="Non Expert Disbursement"/>
    <m/>
    <s v="N"/>
    <n v="-100"/>
    <n v="0"/>
    <x v="13"/>
    <s v="VALIDATED"/>
    <n v="1"/>
    <s v="01.11.80.201.2013.0000"/>
    <n v="-100"/>
    <s v="11"/>
    <s v="2013"/>
    <n v="-32425.63"/>
    <n v="-100"/>
    <s v="DEBTOR"/>
    <n v="0"/>
    <n v="0"/>
    <n v="0"/>
    <n v="0"/>
    <n v="0"/>
  </r>
  <r>
    <n v="8733210"/>
    <s v="N"/>
    <n v="21406076"/>
    <s v="3000004746670011RC"/>
    <s v="CIVIL"/>
    <d v="2023-06-06T00:00:00"/>
    <d v="2023-07-20T19:48:18"/>
    <m/>
    <d v="2023-07-20T00:00:00"/>
    <n v="1878"/>
    <n v="1547"/>
    <s v="8733210"/>
    <s v="8733210"/>
    <m/>
    <m/>
    <m/>
    <m/>
    <m/>
    <m/>
    <s v="SOLRECOUP"/>
    <s v="SOLRECOUP"/>
    <s v="POARECOUP"/>
    <n v="21406076"/>
    <n v="-100"/>
    <m/>
    <s v="Y"/>
    <n v="2"/>
    <d v="2023-07-20T19:48:19"/>
    <s v="N"/>
    <m/>
    <m/>
    <s v="Non Expert Disbursement"/>
    <m/>
    <s v="N"/>
    <n v="0"/>
    <n v="0"/>
    <x v="13"/>
    <s v="VALIDATED"/>
    <n v="1"/>
    <s v="01.11.80.000.0000.0000"/>
    <n v="0"/>
    <s v="11"/>
    <s v="0000"/>
    <n v="-32425.63"/>
    <n v="0"/>
    <s v="DEBTOR"/>
    <n v="0"/>
    <n v="0"/>
    <n v="0"/>
    <n v="0"/>
    <n v="0"/>
  </r>
  <r>
    <n v="8733210"/>
    <s v="N"/>
    <n v="21406077"/>
    <s v="3000004746670012RC"/>
    <s v="CIVIL"/>
    <d v="2023-06-06T00:00:00"/>
    <d v="2023-07-20T19:48:18"/>
    <m/>
    <d v="2023-07-20T00:00:00"/>
    <n v="1878"/>
    <n v="1547"/>
    <s v="8733210"/>
    <s v="8733210"/>
    <m/>
    <m/>
    <m/>
    <m/>
    <m/>
    <m/>
    <s v="SOLRECOUP"/>
    <s v="SOLRECOUP"/>
    <s v="POARECOUP"/>
    <n v="21406077"/>
    <n v="-100"/>
    <m/>
    <s v="Y"/>
    <n v="2"/>
    <d v="2023-07-20T19:48:19"/>
    <s v="N"/>
    <m/>
    <m/>
    <s v="Non Expert Disbursement"/>
    <m/>
    <s v="N"/>
    <n v="0"/>
    <n v="0"/>
    <x v="13"/>
    <s v="VALIDATED"/>
    <n v="1"/>
    <s v="01.11.80.000.0000.0000"/>
    <n v="0"/>
    <s v="11"/>
    <s v="0000"/>
    <n v="-32425.63"/>
    <n v="0"/>
    <s v="DEBTOR"/>
    <n v="0"/>
    <n v="0"/>
    <n v="0"/>
    <n v="0"/>
    <n v="0"/>
  </r>
  <r>
    <n v="8733210"/>
    <s v="N"/>
    <n v="21406077"/>
    <s v="3000004746670012RC"/>
    <s v="CIVIL"/>
    <d v="2023-06-06T00:00:00"/>
    <d v="2023-07-20T19:48:18"/>
    <m/>
    <d v="2023-07-20T00:00:00"/>
    <n v="1878"/>
    <n v="1547"/>
    <s v="8733210"/>
    <s v="8733210"/>
    <m/>
    <m/>
    <m/>
    <m/>
    <m/>
    <m/>
    <s v="SOLRECOUP"/>
    <s v="SOLRECOUP"/>
    <s v="POARECOUP"/>
    <n v="21406077"/>
    <n v="-100"/>
    <m/>
    <s v="Y"/>
    <n v="1"/>
    <d v="2023-07-20T19:48:19"/>
    <s v="N"/>
    <m/>
    <m/>
    <s v="Non Expert Disbursement"/>
    <m/>
    <s v="N"/>
    <n v="-100"/>
    <n v="0"/>
    <x v="13"/>
    <s v="VALIDATED"/>
    <n v="1"/>
    <s v="01.11.80.201.2013.0000"/>
    <n v="-100"/>
    <s v="11"/>
    <s v="2013"/>
    <n v="-32425.63"/>
    <n v="-100"/>
    <s v="DEBTOR"/>
    <n v="0"/>
    <n v="0"/>
    <n v="0"/>
    <n v="0"/>
    <n v="0"/>
  </r>
  <r>
    <n v="8733210"/>
    <s v="N"/>
    <n v="21406078"/>
    <s v="3000004746670014RC"/>
    <s v="CIVIL"/>
    <d v="2023-06-06T00:00:00"/>
    <d v="2023-07-20T19:48:18"/>
    <m/>
    <d v="2023-07-20T00:00:00"/>
    <n v="1878"/>
    <n v="1547"/>
    <s v="8733210"/>
    <s v="8733210"/>
    <m/>
    <m/>
    <m/>
    <m/>
    <m/>
    <m/>
    <s v="SOLRECOUP"/>
    <s v="SOLRECOUP"/>
    <s v="POARECOUP"/>
    <n v="21406078"/>
    <n v="-100"/>
    <m/>
    <s v="Y"/>
    <n v="2"/>
    <d v="2023-07-20T19:48:19"/>
    <s v="N"/>
    <m/>
    <m/>
    <s v="Non Expert Disbursement"/>
    <m/>
    <s v="N"/>
    <n v="0"/>
    <n v="0"/>
    <x v="13"/>
    <s v="VALIDATED"/>
    <n v="1"/>
    <s v="01.11.80.000.0000.0000"/>
    <n v="0"/>
    <s v="11"/>
    <s v="0000"/>
    <n v="-32425.63"/>
    <n v="0"/>
    <s v="DEBTOR"/>
    <n v="0"/>
    <n v="0"/>
    <n v="0"/>
    <n v="0"/>
    <n v="0"/>
  </r>
  <r>
    <n v="8733210"/>
    <s v="N"/>
    <n v="21406078"/>
    <s v="3000004746670014RC"/>
    <s v="CIVIL"/>
    <d v="2023-06-06T00:00:00"/>
    <d v="2023-07-20T19:48:18"/>
    <m/>
    <d v="2023-07-20T00:00:00"/>
    <n v="1878"/>
    <n v="1547"/>
    <s v="8733210"/>
    <s v="8733210"/>
    <m/>
    <m/>
    <m/>
    <m/>
    <m/>
    <m/>
    <s v="SOLRECOUP"/>
    <s v="SOLRECOUP"/>
    <s v="POARECOUP"/>
    <n v="21406078"/>
    <n v="-100"/>
    <m/>
    <s v="Y"/>
    <n v="1"/>
    <d v="2023-07-20T19:48:19"/>
    <s v="N"/>
    <m/>
    <m/>
    <s v="Non Expert Disbursement"/>
    <m/>
    <s v="N"/>
    <n v="-100"/>
    <n v="0"/>
    <x v="13"/>
    <s v="VALIDATED"/>
    <n v="1"/>
    <s v="01.11.80.201.2013.0000"/>
    <n v="-100"/>
    <s v="11"/>
    <s v="2013"/>
    <n v="-32425.63"/>
    <n v="-100"/>
    <s v="DEBTOR"/>
    <n v="0"/>
    <n v="0"/>
    <n v="0"/>
    <n v="0"/>
    <n v="0"/>
  </r>
  <r>
    <n v="8733210"/>
    <s v="N"/>
    <n v="21406079"/>
    <s v="3000004746670017RC"/>
    <s v="CIVIL"/>
    <d v="2023-06-06T00:00:00"/>
    <d v="2023-07-20T19:48:18"/>
    <m/>
    <d v="2023-07-20T00:00:00"/>
    <n v="1878"/>
    <n v="1547"/>
    <s v="8733210"/>
    <s v="8733210"/>
    <m/>
    <m/>
    <m/>
    <m/>
    <m/>
    <m/>
    <s v="SOLRECOUP"/>
    <s v="SOLRECOUP"/>
    <s v="POARECOUP"/>
    <n v="21406079"/>
    <n v="-275"/>
    <m/>
    <s v="Y"/>
    <n v="2"/>
    <d v="2023-07-20T19:48:19"/>
    <s v="N"/>
    <m/>
    <m/>
    <s v="Non Expert Disbursement"/>
    <m/>
    <s v="N"/>
    <n v="0"/>
    <n v="0"/>
    <x v="13"/>
    <s v="VALIDATED"/>
    <n v="1"/>
    <s v="01.11.80.000.0000.0000"/>
    <n v="0"/>
    <s v="11"/>
    <s v="0000"/>
    <n v="-32425.63"/>
    <n v="0"/>
    <s v="DEBTOR"/>
    <n v="0"/>
    <n v="0"/>
    <n v="0"/>
    <n v="0"/>
    <n v="0"/>
  </r>
  <r>
    <n v="8733210"/>
    <s v="N"/>
    <n v="21406079"/>
    <s v="3000004746670017RC"/>
    <s v="CIVIL"/>
    <d v="2023-06-06T00:00:00"/>
    <d v="2023-07-20T19:48:18"/>
    <m/>
    <d v="2023-07-20T00:00:00"/>
    <n v="1878"/>
    <n v="1547"/>
    <s v="8733210"/>
    <s v="8733210"/>
    <m/>
    <m/>
    <m/>
    <m/>
    <m/>
    <m/>
    <s v="SOLRECOUP"/>
    <s v="SOLRECOUP"/>
    <s v="POARECOUP"/>
    <n v="21406079"/>
    <n v="-275"/>
    <m/>
    <s v="Y"/>
    <n v="1"/>
    <d v="2023-07-20T19:48:19"/>
    <s v="N"/>
    <m/>
    <m/>
    <s v="Non Expert Disbursement"/>
    <m/>
    <s v="N"/>
    <n v="-275"/>
    <n v="0"/>
    <x v="13"/>
    <s v="VALIDATED"/>
    <n v="1"/>
    <s v="01.11.80.201.2013.0000"/>
    <n v="-275"/>
    <s v="11"/>
    <s v="2013"/>
    <n v="-32425.63"/>
    <n v="-275"/>
    <s v="DEBTOR"/>
    <n v="0"/>
    <n v="0"/>
    <n v="0"/>
    <n v="0"/>
    <n v="0"/>
  </r>
  <r>
    <n v="8733210"/>
    <s v="N"/>
    <n v="21406080"/>
    <s v="3000004746670018RC"/>
    <s v="CIVIL"/>
    <d v="2023-06-06T00:00:00"/>
    <d v="2023-07-20T19:48:18"/>
    <m/>
    <d v="2023-07-20T00:00:00"/>
    <n v="1878"/>
    <n v="1547"/>
    <s v="8733210"/>
    <s v="8733210"/>
    <m/>
    <m/>
    <m/>
    <m/>
    <m/>
    <m/>
    <s v="SOLRECOUP"/>
    <s v="SOLRECOUP"/>
    <s v="POARECOUP"/>
    <n v="21406080"/>
    <n v="-100"/>
    <m/>
    <s v="Y"/>
    <n v="2"/>
    <d v="2023-07-20T19:48:19"/>
    <s v="N"/>
    <m/>
    <m/>
    <s v="Non Expert Disbursement"/>
    <m/>
    <s v="N"/>
    <n v="0"/>
    <n v="0"/>
    <x v="13"/>
    <s v="VALIDATED"/>
    <n v="1"/>
    <s v="01.11.80.000.0000.0000"/>
    <n v="0"/>
    <s v="11"/>
    <s v="0000"/>
    <n v="-32425.63"/>
    <n v="0"/>
    <s v="DEBTOR"/>
    <n v="0"/>
    <n v="0"/>
    <n v="0"/>
    <n v="0"/>
    <n v="0"/>
  </r>
  <r>
    <n v="8733210"/>
    <s v="N"/>
    <n v="21406080"/>
    <s v="3000004746670018RC"/>
    <s v="CIVIL"/>
    <d v="2023-06-06T00:00:00"/>
    <d v="2023-07-20T19:48:18"/>
    <m/>
    <d v="2023-07-20T00:00:00"/>
    <n v="1878"/>
    <n v="1547"/>
    <s v="8733210"/>
    <s v="8733210"/>
    <m/>
    <m/>
    <m/>
    <m/>
    <m/>
    <m/>
    <s v="SOLRECOUP"/>
    <s v="SOLRECOUP"/>
    <s v="POARECOUP"/>
    <n v="21406080"/>
    <n v="-100"/>
    <m/>
    <s v="Y"/>
    <n v="1"/>
    <d v="2023-07-20T19:48:19"/>
    <s v="N"/>
    <m/>
    <m/>
    <s v="Non Expert Disbursement"/>
    <m/>
    <s v="N"/>
    <n v="-100"/>
    <n v="0"/>
    <x v="13"/>
    <s v="VALIDATED"/>
    <n v="1"/>
    <s v="01.11.80.201.2013.0000"/>
    <n v="-100"/>
    <s v="11"/>
    <s v="2013"/>
    <n v="-32425.63"/>
    <n v="-100"/>
    <s v="DEBTOR"/>
    <n v="0"/>
    <n v="0"/>
    <n v="0"/>
    <n v="0"/>
    <n v="0"/>
  </r>
  <r>
    <n v="8733210"/>
    <s v="N"/>
    <n v="21406081"/>
    <s v="3000004746670015RC"/>
    <s v="CIVIL"/>
    <d v="2023-06-06T00:00:00"/>
    <d v="2023-07-20T19:48:18"/>
    <m/>
    <d v="2023-07-20T00:00:00"/>
    <n v="1878"/>
    <n v="1547"/>
    <s v="8733210"/>
    <s v="8733210"/>
    <m/>
    <m/>
    <m/>
    <m/>
    <m/>
    <m/>
    <s v="SOLRECOUP"/>
    <s v="SOLRECOUP"/>
    <s v="POARECOUP"/>
    <n v="21406081"/>
    <n v="-100"/>
    <m/>
    <s v="Y"/>
    <n v="2"/>
    <d v="2023-07-20T19:48:19"/>
    <s v="N"/>
    <m/>
    <m/>
    <s v="Non Expert Disbursement"/>
    <m/>
    <s v="N"/>
    <n v="0"/>
    <n v="0"/>
    <x v="13"/>
    <s v="VALIDATED"/>
    <n v="1"/>
    <s v="01.11.80.000.0000.0000"/>
    <n v="0"/>
    <s v="11"/>
    <s v="0000"/>
    <n v="-32425.63"/>
    <n v="0"/>
    <s v="DEBTOR"/>
    <n v="0"/>
    <n v="0"/>
    <n v="0"/>
    <n v="0"/>
    <n v="0"/>
  </r>
  <r>
    <n v="8733210"/>
    <s v="N"/>
    <n v="21406081"/>
    <s v="3000004746670015RC"/>
    <s v="CIVIL"/>
    <d v="2023-06-06T00:00:00"/>
    <d v="2023-07-20T19:48:18"/>
    <m/>
    <d v="2023-07-20T00:00:00"/>
    <n v="1878"/>
    <n v="1547"/>
    <s v="8733210"/>
    <s v="8733210"/>
    <m/>
    <m/>
    <m/>
    <m/>
    <m/>
    <m/>
    <s v="SOLRECOUP"/>
    <s v="SOLRECOUP"/>
    <s v="POARECOUP"/>
    <n v="21406081"/>
    <n v="-100"/>
    <m/>
    <s v="Y"/>
    <n v="1"/>
    <d v="2023-07-20T19:48:19"/>
    <s v="N"/>
    <m/>
    <m/>
    <s v="Non Expert Disbursement"/>
    <m/>
    <s v="N"/>
    <n v="-100"/>
    <n v="0"/>
    <x v="13"/>
    <s v="VALIDATED"/>
    <n v="1"/>
    <s v="01.11.80.201.2013.0000"/>
    <n v="-100"/>
    <s v="11"/>
    <s v="2013"/>
    <n v="-32425.63"/>
    <n v="-100"/>
    <s v="DEBTOR"/>
    <n v="0"/>
    <n v="0"/>
    <n v="0"/>
    <n v="0"/>
    <n v="0"/>
  </r>
  <r>
    <n v="8733210"/>
    <s v="N"/>
    <n v="21406082"/>
    <s v="3000004746670016RC"/>
    <s v="CIVIL"/>
    <d v="2023-06-06T00:00:00"/>
    <d v="2023-07-20T19:48:18"/>
    <m/>
    <d v="2023-07-20T00:00:00"/>
    <n v="1878"/>
    <n v="1547"/>
    <s v="8733210"/>
    <s v="8733210"/>
    <m/>
    <m/>
    <m/>
    <m/>
    <m/>
    <m/>
    <s v="SOLRECOUP"/>
    <s v="SOLRECOUP"/>
    <s v="POARECOUP"/>
    <n v="21406082"/>
    <n v="-100"/>
    <m/>
    <s v="Y"/>
    <n v="2"/>
    <d v="2023-07-20T19:48:19"/>
    <s v="N"/>
    <m/>
    <m/>
    <s v="Non Expert Disbursement"/>
    <m/>
    <s v="N"/>
    <n v="0"/>
    <n v="0"/>
    <x v="13"/>
    <s v="VALIDATED"/>
    <n v="1"/>
    <s v="01.11.80.000.0000.0000"/>
    <n v="0"/>
    <s v="11"/>
    <s v="0000"/>
    <n v="-32425.63"/>
    <n v="0"/>
    <s v="DEBTOR"/>
    <n v="0"/>
    <n v="0"/>
    <n v="0"/>
    <n v="0"/>
    <n v="0"/>
  </r>
  <r>
    <n v="8733210"/>
    <s v="N"/>
    <n v="21406082"/>
    <s v="3000004746670016RC"/>
    <s v="CIVIL"/>
    <d v="2023-06-06T00:00:00"/>
    <d v="2023-07-20T19:48:18"/>
    <m/>
    <d v="2023-07-20T00:00:00"/>
    <n v="1878"/>
    <n v="1547"/>
    <s v="8733210"/>
    <s v="8733210"/>
    <m/>
    <m/>
    <m/>
    <m/>
    <m/>
    <m/>
    <s v="SOLRECOUP"/>
    <s v="SOLRECOUP"/>
    <s v="POARECOUP"/>
    <n v="21406082"/>
    <n v="-100"/>
    <m/>
    <s v="Y"/>
    <n v="1"/>
    <d v="2023-07-20T19:48:19"/>
    <s v="N"/>
    <m/>
    <m/>
    <s v="Non Expert Disbursement"/>
    <m/>
    <s v="N"/>
    <n v="-100"/>
    <n v="0"/>
    <x v="13"/>
    <s v="VALIDATED"/>
    <n v="1"/>
    <s v="01.11.80.201.2013.0000"/>
    <n v="-100"/>
    <s v="11"/>
    <s v="2013"/>
    <n v="-32425.63"/>
    <n v="-100"/>
    <s v="DEBTOR"/>
    <n v="0"/>
    <n v="0"/>
    <n v="0"/>
    <n v="0"/>
    <n v="0"/>
  </r>
  <r>
    <n v="8733210"/>
    <s v="N"/>
    <n v="21406083"/>
    <s v="3000004746670010RC"/>
    <s v="CIVIL"/>
    <d v="2023-06-06T00:00:00"/>
    <d v="2023-07-20T19:48:18"/>
    <m/>
    <d v="2023-07-20T00:00:00"/>
    <n v="1878"/>
    <n v="1547"/>
    <s v="8733210"/>
    <s v="8733210"/>
    <m/>
    <m/>
    <m/>
    <m/>
    <m/>
    <m/>
    <s v="SOLRECOUP"/>
    <s v="SOLRECOUP"/>
    <s v="POARECOUP"/>
    <n v="21406083"/>
    <n v="-1094.48"/>
    <m/>
    <s v="Y"/>
    <n v="1"/>
    <d v="2023-07-20T19:48:19"/>
    <s v="N"/>
    <m/>
    <m/>
    <s v="Profit Cost"/>
    <m/>
    <s v="N"/>
    <n v="-912.0700000000001"/>
    <n v="0"/>
    <x v="13"/>
    <s v="VALIDATED"/>
    <n v="1"/>
    <s v="01.11.80.201.2013.0000"/>
    <n v="-912.0700000000001"/>
    <s v="11"/>
    <s v="2013"/>
    <n v="-32425.63"/>
    <n v="-912.0700000000001"/>
    <s v="DEBTOR"/>
    <n v="0"/>
    <n v="0"/>
    <n v="0"/>
    <n v="0"/>
    <n v="0"/>
  </r>
  <r>
    <n v="8733210"/>
    <s v="N"/>
    <n v="21406083"/>
    <s v="3000004746670010RC"/>
    <s v="CIVIL"/>
    <d v="2023-06-06T00:00:00"/>
    <d v="2023-07-20T19:48:18"/>
    <m/>
    <d v="2023-07-20T00:00:00"/>
    <n v="1878"/>
    <n v="1547"/>
    <s v="8733210"/>
    <s v="8733210"/>
    <m/>
    <m/>
    <m/>
    <m/>
    <m/>
    <m/>
    <s v="SOLRECOUP"/>
    <s v="SOLRECOUP"/>
    <s v="POARECOUP"/>
    <n v="21406083"/>
    <n v="-1094.48"/>
    <m/>
    <s v="Y"/>
    <n v="2"/>
    <d v="2023-07-20T19:48:19"/>
    <s v="N"/>
    <m/>
    <m/>
    <s v="Profit Cost"/>
    <m/>
    <s v="N"/>
    <n v="0"/>
    <n v="-182.41"/>
    <x v="13"/>
    <s v="VALIDATED"/>
    <n v="1"/>
    <s v="01.11.80.201.2013.0000"/>
    <n v="-182.41"/>
    <s v="11"/>
    <s v="2013"/>
    <n v="-32425.63"/>
    <n v="-182.41"/>
    <s v="DEBTOR"/>
    <n v="0"/>
    <n v="0"/>
    <n v="0"/>
    <n v="0"/>
    <n v="0"/>
  </r>
  <r>
    <n v="8733210"/>
    <s v="N"/>
    <n v="21404926"/>
    <s v="3000004746670001RC"/>
    <s v="CIVIL"/>
    <d v="2023-06-06T00:00:00"/>
    <d v="2023-07-20T19:48:02"/>
    <m/>
    <d v="2023-07-20T00:00:00"/>
    <n v="1878"/>
    <n v="1547"/>
    <s v="8733210"/>
    <s v="8733210"/>
    <m/>
    <m/>
    <m/>
    <m/>
    <m/>
    <m/>
    <s v="SOLRECOUP"/>
    <s v="SOLRECOUP"/>
    <s v="POARECOUP"/>
    <n v="21404926"/>
    <n v="-255"/>
    <m/>
    <s v="Y"/>
    <n v="1"/>
    <d v="2023-07-20T19:48:02"/>
    <s v="N"/>
    <m/>
    <m/>
    <s v="Non Expert Disbursement"/>
    <m/>
    <s v="N"/>
    <n v="-255"/>
    <n v="0"/>
    <x v="13"/>
    <s v="VALIDATED"/>
    <n v="1"/>
    <s v="01.11.80.201.2013.0000"/>
    <n v="-255"/>
    <s v="11"/>
    <s v="2013"/>
    <n v="-32425.63"/>
    <n v="-255"/>
    <s v="DEBTOR"/>
    <n v="0"/>
    <n v="0"/>
    <n v="0"/>
    <n v="0"/>
    <n v="0"/>
  </r>
  <r>
    <n v="8733210"/>
    <s v="N"/>
    <n v="21404926"/>
    <s v="3000004746670001RC"/>
    <s v="CIVIL"/>
    <d v="2023-06-06T00:00:00"/>
    <d v="2023-07-20T19:48:02"/>
    <m/>
    <d v="2023-07-20T00:00:00"/>
    <n v="1878"/>
    <n v="1547"/>
    <s v="8733210"/>
    <s v="8733210"/>
    <m/>
    <m/>
    <m/>
    <m/>
    <m/>
    <m/>
    <s v="SOLRECOUP"/>
    <s v="SOLRECOUP"/>
    <s v="POARECOUP"/>
    <n v="21404926"/>
    <n v="-255"/>
    <m/>
    <s v="Y"/>
    <n v="2"/>
    <d v="2023-07-20T19:48:02"/>
    <s v="N"/>
    <m/>
    <m/>
    <s v="Non Expert Disbursement"/>
    <m/>
    <s v="N"/>
    <n v="0"/>
    <n v="0"/>
    <x v="13"/>
    <s v="VALIDATED"/>
    <n v="1"/>
    <s v="01.11.80.000.0000.0000"/>
    <n v="0"/>
    <s v="11"/>
    <s v="0000"/>
    <n v="-32425.63"/>
    <n v="0"/>
    <s v="DEBTOR"/>
    <n v="0"/>
    <n v="0"/>
    <n v="0"/>
    <n v="0"/>
    <n v="0"/>
  </r>
  <r>
    <n v="8733210"/>
    <s v="N"/>
    <n v="21404932"/>
    <s v="3000004746670002RC"/>
    <s v="CIVIL"/>
    <d v="2023-06-06T00:00:00"/>
    <d v="2023-07-20T19:48:02"/>
    <m/>
    <d v="2023-07-20T00:00:00"/>
    <n v="1878"/>
    <n v="1547"/>
    <s v="8733210"/>
    <s v="8733210"/>
    <m/>
    <m/>
    <m/>
    <m/>
    <m/>
    <m/>
    <s v="SOLRECOUP"/>
    <s v="SOLRECOUP"/>
    <s v="POARECOUP"/>
    <n v="21404932"/>
    <n v="-388.8"/>
    <m/>
    <s v="Y"/>
    <n v="1"/>
    <d v="2023-07-20T19:48:02"/>
    <s v="N"/>
    <m/>
    <m/>
    <s v="Expert Disbursement"/>
    <m/>
    <s v="N"/>
    <n v="-324"/>
    <n v="0"/>
    <x v="13"/>
    <s v="VALIDATED"/>
    <n v="1"/>
    <s v="01.11.80.201.2013.0000"/>
    <n v="-324"/>
    <s v="11"/>
    <s v="2013"/>
    <n v="-32425.63"/>
    <n v="-324"/>
    <s v="DEBTOR"/>
    <n v="0"/>
    <n v="0"/>
    <n v="0"/>
    <n v="0"/>
    <n v="0"/>
  </r>
  <r>
    <n v="8733210"/>
    <s v="N"/>
    <n v="21404932"/>
    <s v="3000004746670002RC"/>
    <s v="CIVIL"/>
    <d v="2023-06-06T00:00:00"/>
    <d v="2023-07-20T19:48:02"/>
    <m/>
    <d v="2023-07-20T00:00:00"/>
    <n v="1878"/>
    <n v="1547"/>
    <s v="8733210"/>
    <s v="8733210"/>
    <m/>
    <m/>
    <m/>
    <m/>
    <m/>
    <m/>
    <s v="SOLRECOUP"/>
    <s v="SOLRECOUP"/>
    <s v="POARECOUP"/>
    <n v="21404932"/>
    <n v="-388.8"/>
    <m/>
    <s v="Y"/>
    <n v="2"/>
    <d v="2023-07-20T19:48:02"/>
    <s v="N"/>
    <m/>
    <m/>
    <s v="Expert Disbursement"/>
    <m/>
    <s v="N"/>
    <n v="0"/>
    <n v="-64.8"/>
    <x v="13"/>
    <s v="VALIDATED"/>
    <n v="1"/>
    <s v="01.11.80.201.2013.0000"/>
    <n v="-64.8"/>
    <s v="11"/>
    <s v="2013"/>
    <n v="-32425.63"/>
    <n v="-64.8"/>
    <s v="DEBTOR"/>
    <n v="0"/>
    <n v="0"/>
    <n v="0"/>
    <n v="0"/>
    <n v="0"/>
  </r>
  <r>
    <n v="8733210"/>
    <s v="N"/>
    <n v="21404933"/>
    <s v="3000004746670003RC"/>
    <s v="CIVIL"/>
    <d v="2023-06-06T00:00:00"/>
    <d v="2023-07-20T19:48:02"/>
    <m/>
    <d v="2023-07-20T00:00:00"/>
    <n v="1878"/>
    <n v="1547"/>
    <s v="8733210"/>
    <s v="8733210"/>
    <m/>
    <m/>
    <m/>
    <m/>
    <m/>
    <m/>
    <s v="SOLRECOUP"/>
    <s v="SOLRECOUP"/>
    <s v="POARECOUP"/>
    <n v="21404933"/>
    <n v="-100"/>
    <m/>
    <s v="Y"/>
    <n v="1"/>
    <d v="2023-07-20T19:48:02"/>
    <s v="N"/>
    <m/>
    <m/>
    <s v="Non Expert Disbursement"/>
    <m/>
    <s v="N"/>
    <n v="-100"/>
    <n v="0"/>
    <x v="13"/>
    <s v="VALIDATED"/>
    <n v="1"/>
    <s v="01.11.80.201.2013.0000"/>
    <n v="-100"/>
    <s v="11"/>
    <s v="2013"/>
    <n v="-32425.63"/>
    <n v="-100"/>
    <s v="DEBTOR"/>
    <n v="0"/>
    <n v="0"/>
    <n v="0"/>
    <n v="0"/>
    <n v="0"/>
  </r>
  <r>
    <n v="8733210"/>
    <s v="N"/>
    <n v="21404933"/>
    <s v="3000004746670003RC"/>
    <s v="CIVIL"/>
    <d v="2023-06-06T00:00:00"/>
    <d v="2023-07-20T19:48:02"/>
    <m/>
    <d v="2023-07-20T00:00:00"/>
    <n v="1878"/>
    <n v="1547"/>
    <s v="8733210"/>
    <s v="8733210"/>
    <m/>
    <m/>
    <m/>
    <m/>
    <m/>
    <m/>
    <s v="SOLRECOUP"/>
    <s v="SOLRECOUP"/>
    <s v="POARECOUP"/>
    <n v="21404933"/>
    <n v="-100"/>
    <m/>
    <s v="Y"/>
    <n v="2"/>
    <d v="2023-07-20T19:48:02"/>
    <s v="N"/>
    <m/>
    <m/>
    <s v="Non Expert Disbursement"/>
    <m/>
    <s v="N"/>
    <n v="0"/>
    <n v="0"/>
    <x v="13"/>
    <s v="VALIDATED"/>
    <n v="1"/>
    <s v="01.11.80.000.0000.0000"/>
    <n v="0"/>
    <s v="11"/>
    <s v="0000"/>
    <n v="-32425.63"/>
    <n v="0"/>
    <s v="DEBTOR"/>
    <n v="0"/>
    <n v="0"/>
    <n v="0"/>
    <n v="0"/>
    <n v="0"/>
  </r>
  <r>
    <n v="8733210"/>
    <s v="N"/>
    <n v="21404934"/>
    <s v="3000004746670004RC"/>
    <s v="CIVIL"/>
    <d v="2023-06-06T00:00:00"/>
    <d v="2023-07-20T19:48:02"/>
    <m/>
    <d v="2023-07-20T00:00:00"/>
    <n v="1878"/>
    <n v="1547"/>
    <s v="8733210"/>
    <s v="8733210"/>
    <m/>
    <m/>
    <m/>
    <m/>
    <m/>
    <m/>
    <s v="SOLRECOUP"/>
    <s v="SOLRECOUP"/>
    <s v="POARECOUP"/>
    <n v="21404934"/>
    <n v="-100"/>
    <m/>
    <s v="Y"/>
    <n v="1"/>
    <d v="2023-07-20T19:48:02"/>
    <s v="N"/>
    <m/>
    <m/>
    <s v="Non Expert Disbursement"/>
    <m/>
    <s v="N"/>
    <n v="-100"/>
    <n v="0"/>
    <x v="13"/>
    <s v="VALIDATED"/>
    <n v="1"/>
    <s v="01.11.80.201.2013.0000"/>
    <n v="-100"/>
    <s v="11"/>
    <s v="2013"/>
    <n v="-32425.63"/>
    <n v="-100"/>
    <s v="DEBTOR"/>
    <n v="0"/>
    <n v="0"/>
    <n v="0"/>
    <n v="0"/>
    <n v="0"/>
  </r>
  <r>
    <n v="8733210"/>
    <s v="N"/>
    <n v="21404934"/>
    <s v="3000004746670004RC"/>
    <s v="CIVIL"/>
    <d v="2023-06-06T00:00:00"/>
    <d v="2023-07-20T19:48:02"/>
    <m/>
    <d v="2023-07-20T00:00:00"/>
    <n v="1878"/>
    <n v="1547"/>
    <s v="8733210"/>
    <s v="8733210"/>
    <m/>
    <m/>
    <m/>
    <m/>
    <m/>
    <m/>
    <s v="SOLRECOUP"/>
    <s v="SOLRECOUP"/>
    <s v="POARECOUP"/>
    <n v="21404934"/>
    <n v="-100"/>
    <m/>
    <s v="Y"/>
    <n v="2"/>
    <d v="2023-07-20T19:48:02"/>
    <s v="N"/>
    <m/>
    <m/>
    <s v="Non Expert Disbursement"/>
    <m/>
    <s v="N"/>
    <n v="0"/>
    <n v="0"/>
    <x v="13"/>
    <s v="VALIDATED"/>
    <n v="1"/>
    <s v="01.11.80.000.0000.0000"/>
    <n v="0"/>
    <s v="11"/>
    <s v="0000"/>
    <n v="-32425.63"/>
    <n v="0"/>
    <s v="DEBTOR"/>
    <n v="0"/>
    <n v="0"/>
    <n v="0"/>
    <n v="0"/>
    <n v="0"/>
  </r>
  <r>
    <n v="8733210"/>
    <s v="N"/>
    <n v="21404941"/>
    <s v="3000004746670005RC"/>
    <s v="CIVIL"/>
    <d v="2023-06-06T00:00:00"/>
    <d v="2023-07-20T19:48:02"/>
    <m/>
    <d v="2023-07-20T00:00:00"/>
    <n v="1878"/>
    <n v="1547"/>
    <s v="8733210"/>
    <s v="8733210"/>
    <m/>
    <m/>
    <m/>
    <m/>
    <m/>
    <m/>
    <s v="SOLRECOUP"/>
    <s v="SOLRECOUP"/>
    <s v="POARECOUP"/>
    <n v="21404941"/>
    <n v="-467.26"/>
    <m/>
    <s v="Y"/>
    <n v="2"/>
    <d v="2023-07-20T19:48:02"/>
    <s v="N"/>
    <m/>
    <m/>
    <s v="Profit Cost"/>
    <m/>
    <s v="N"/>
    <n v="0"/>
    <n v="-77.88"/>
    <x v="13"/>
    <s v="VALIDATED"/>
    <n v="1"/>
    <s v="01.11.80.201.2013.0000"/>
    <n v="-77.88"/>
    <s v="11"/>
    <s v="2013"/>
    <n v="-32425.63"/>
    <n v="-77.88"/>
    <s v="DEBTOR"/>
    <n v="0"/>
    <n v="0"/>
    <n v="0"/>
    <n v="0"/>
    <n v="0"/>
  </r>
  <r>
    <n v="8733210"/>
    <s v="N"/>
    <n v="21404941"/>
    <s v="3000004746670005RC"/>
    <s v="CIVIL"/>
    <d v="2023-06-06T00:00:00"/>
    <d v="2023-07-20T19:48:02"/>
    <m/>
    <d v="2023-07-20T00:00:00"/>
    <n v="1878"/>
    <n v="1547"/>
    <s v="8733210"/>
    <s v="8733210"/>
    <m/>
    <m/>
    <m/>
    <m/>
    <m/>
    <m/>
    <s v="SOLRECOUP"/>
    <s v="SOLRECOUP"/>
    <s v="POARECOUP"/>
    <n v="21404941"/>
    <n v="-467.26"/>
    <m/>
    <s v="Y"/>
    <n v="1"/>
    <d v="2023-07-20T19:48:02"/>
    <s v="N"/>
    <m/>
    <m/>
    <s v="Profit Cost"/>
    <m/>
    <s v="N"/>
    <n v="-389.38"/>
    <n v="0"/>
    <x v="13"/>
    <s v="VALIDATED"/>
    <n v="1"/>
    <s v="01.11.80.201.2013.0000"/>
    <n v="-389.38"/>
    <s v="11"/>
    <s v="2013"/>
    <n v="-32425.63"/>
    <n v="-389.38"/>
    <s v="DEBTOR"/>
    <n v="0"/>
    <n v="0"/>
    <n v="0"/>
    <n v="0"/>
    <n v="0"/>
  </r>
  <r>
    <n v="8733210"/>
    <s v="N"/>
    <n v="21405166"/>
    <s v="3000004746670007RC"/>
    <s v="CIVIL"/>
    <d v="2023-06-06T00:00:00"/>
    <d v="2023-07-20T19:48:02"/>
    <m/>
    <d v="2023-07-20T00:00:00"/>
    <n v="1878"/>
    <n v="1547"/>
    <s v="8733210"/>
    <s v="8733210"/>
    <m/>
    <m/>
    <m/>
    <m/>
    <m/>
    <m/>
    <s v="SOLRECOUP"/>
    <s v="SOLRECOUP"/>
    <s v="POARECOUP"/>
    <n v="21405166"/>
    <n v="-1009.36"/>
    <m/>
    <s v="Y"/>
    <n v="2"/>
    <d v="2023-07-20T19:48:03"/>
    <s v="N"/>
    <m/>
    <m/>
    <s v="Profit Cost"/>
    <m/>
    <s v="N"/>
    <n v="0"/>
    <n v="-168.23"/>
    <x v="13"/>
    <s v="VALIDATED"/>
    <n v="1"/>
    <s v="01.11.80.201.2013.0000"/>
    <n v="-168.23"/>
    <s v="11"/>
    <s v="2013"/>
    <n v="-32425.63"/>
    <n v="-168.23"/>
    <s v="DEBTOR"/>
    <n v="0"/>
    <n v="0"/>
    <n v="0"/>
    <n v="0"/>
    <n v="0"/>
  </r>
  <r>
    <n v="8733210"/>
    <s v="N"/>
    <n v="21405166"/>
    <s v="3000004746670007RC"/>
    <s v="CIVIL"/>
    <d v="2023-06-06T00:00:00"/>
    <d v="2023-07-20T19:48:02"/>
    <m/>
    <d v="2023-07-20T00:00:00"/>
    <n v="1878"/>
    <n v="1547"/>
    <s v="8733210"/>
    <s v="8733210"/>
    <m/>
    <m/>
    <m/>
    <m/>
    <m/>
    <m/>
    <s v="SOLRECOUP"/>
    <s v="SOLRECOUP"/>
    <s v="POARECOUP"/>
    <n v="21405166"/>
    <n v="-1009.36"/>
    <m/>
    <s v="Y"/>
    <n v="1"/>
    <d v="2023-07-20T19:48:03"/>
    <s v="N"/>
    <m/>
    <m/>
    <s v="Profit Cost"/>
    <m/>
    <s v="N"/>
    <n v="-841.13"/>
    <n v="0"/>
    <x v="13"/>
    <s v="VALIDATED"/>
    <n v="1"/>
    <s v="01.11.80.201.2013.0000"/>
    <n v="-841.13"/>
    <s v="11"/>
    <s v="2013"/>
    <n v="-32425.63"/>
    <n v="-841.13"/>
    <s v="DEBTOR"/>
    <n v="0"/>
    <n v="0"/>
    <n v="0"/>
    <n v="0"/>
    <n v="0"/>
  </r>
  <r>
    <n v="8733210"/>
    <s v="N"/>
    <n v="21405591"/>
    <s v="3000004746670009RC"/>
    <s v="CIVIL"/>
    <d v="2023-06-06T00:00:00"/>
    <d v="2023-07-20T19:48:02"/>
    <m/>
    <d v="2023-07-20T00:00:00"/>
    <n v="1878"/>
    <n v="1547"/>
    <s v="8733210"/>
    <s v="8733210"/>
    <m/>
    <m/>
    <m/>
    <m/>
    <m/>
    <m/>
    <s v="SOLRECOUP"/>
    <s v="SOLRECOUP"/>
    <s v="POARECOUP"/>
    <n v="21405591"/>
    <n v="-1400.81"/>
    <m/>
    <s v="Y"/>
    <n v="2"/>
    <d v="2023-07-20T19:48:05"/>
    <s v="N"/>
    <m/>
    <m/>
    <s v="Expert Disbursement"/>
    <m/>
    <s v="N"/>
    <n v="0"/>
    <n v="-233.47"/>
    <x v="13"/>
    <s v="VALIDATED"/>
    <n v="1"/>
    <s v="01.11.80.201.2013.0000"/>
    <n v="-233.47"/>
    <s v="11"/>
    <s v="2013"/>
    <n v="-32425.63"/>
    <n v="-233.47"/>
    <s v="DEBTOR"/>
    <n v="0"/>
    <n v="0"/>
    <n v="0"/>
    <n v="0"/>
    <n v="0"/>
  </r>
  <r>
    <n v="59773071"/>
    <s v="N"/>
    <n v="21393530"/>
    <s v="3000014124260001RC"/>
    <s v="CIVIL"/>
    <d v="2023-06-14T00:00:00"/>
    <d v="2023-07-18T19:33:39"/>
    <m/>
    <d v="2023-07-18T00:00:00"/>
    <n v="1878"/>
    <n v="1547"/>
    <s v="59773071"/>
    <s v="59773071"/>
    <m/>
    <m/>
    <m/>
    <m/>
    <m/>
    <m/>
    <s v="SOLRECOUP"/>
    <s v="SOLRECOUP"/>
    <s v="POARECOUP"/>
    <n v="21393530"/>
    <n v="-543.53"/>
    <m/>
    <s v="Y"/>
    <n v="1"/>
    <d v="2023-07-18T19:33:41"/>
    <s v="N"/>
    <m/>
    <m/>
    <s v="Profit Cost"/>
    <m/>
    <s v="N"/>
    <n v="-452.94"/>
    <n v="0"/>
    <x v="14"/>
    <s v="VALIDATED"/>
    <n v="1"/>
    <s v="01.11.80.203.2013.0000"/>
    <n v="-452.94"/>
    <s v="11"/>
    <s v="2013"/>
    <n v="-32425.63"/>
    <n v="-452.94"/>
    <s v="DEBTOR"/>
    <n v="0"/>
    <n v="0"/>
    <n v="0"/>
    <n v="0"/>
    <n v="0"/>
  </r>
  <r>
    <n v="59773071"/>
    <s v="N"/>
    <n v="21393530"/>
    <s v="3000014124260001RC"/>
    <s v="CIVIL"/>
    <d v="2023-06-14T00:00:00"/>
    <d v="2023-07-18T19:33:39"/>
    <m/>
    <d v="2023-07-18T00:00:00"/>
    <n v="1878"/>
    <n v="1547"/>
    <s v="59773071"/>
    <s v="59773071"/>
    <m/>
    <m/>
    <m/>
    <m/>
    <m/>
    <m/>
    <s v="SOLRECOUP"/>
    <s v="SOLRECOUP"/>
    <s v="POARECOUP"/>
    <n v="21393530"/>
    <n v="-543.53"/>
    <m/>
    <s v="Y"/>
    <n v="2"/>
    <d v="2023-07-18T19:33:41"/>
    <s v="N"/>
    <m/>
    <m/>
    <s v="Profit Cost"/>
    <m/>
    <s v="N"/>
    <n v="0"/>
    <n v="-90.59"/>
    <x v="14"/>
    <s v="VALIDATED"/>
    <n v="1"/>
    <s v="01.11.80.203.2013.0000"/>
    <n v="-90.59"/>
    <s v="11"/>
    <s v="2013"/>
    <n v="-32425.63"/>
    <n v="-90.59"/>
    <s v="DEBTOR"/>
    <n v="0"/>
    <n v="0"/>
    <n v="0"/>
    <n v="0"/>
    <n v="0"/>
  </r>
  <r>
    <n v="60110404"/>
    <s v="N"/>
    <n v="21318834"/>
    <s v="3000014440640012"/>
    <s v="CIVIL"/>
    <d v="2023-06-23T00:00:00"/>
    <d v="2023-07-03T19:01:49"/>
    <m/>
    <d v="2023-07-03T00:00:00"/>
    <n v="1896"/>
    <n v="1681"/>
    <s v="60110404"/>
    <s v="60110404"/>
    <m/>
    <m/>
    <n v="22753212"/>
    <m/>
    <m/>
    <m/>
    <s v="SOLINT"/>
    <s v="SOLINT"/>
    <s v="CCMS"/>
    <n v="21318834"/>
    <n v="0"/>
    <m/>
    <s v="N"/>
    <n v="1"/>
    <d v="2023-07-03T19:02:04"/>
    <s v="N"/>
    <s v="NIL BILL"/>
    <s v="Public Law Children"/>
    <s v="Profit Cost"/>
    <s v="James Sandiford"/>
    <s v="N"/>
    <n v="0"/>
    <n v="0"/>
    <x v="3"/>
    <s v="VALIDATED"/>
    <n v="1"/>
    <s v="01.11.80.308.6100.0000"/>
    <n v="0"/>
    <s v="11"/>
    <s v="6100"/>
    <n v="-13175.78"/>
    <n v="0"/>
    <s v="DEBTOR"/>
    <n v="0"/>
    <n v="0"/>
    <n v="0"/>
    <n v="0"/>
    <n v="0"/>
  </r>
  <r>
    <n v="61336627"/>
    <s v="N"/>
    <n v="21321427"/>
    <s v="3000015483560010"/>
    <s v="CIVIL"/>
    <d v="2023-06-29T00:00:00"/>
    <d v="2023-07-03T19:05:17"/>
    <m/>
    <d v="2023-07-03T00:00:00"/>
    <n v="1896"/>
    <n v="1681"/>
    <s v="61336627"/>
    <s v="61336627"/>
    <m/>
    <m/>
    <n v="22786140"/>
    <m/>
    <m/>
    <m/>
    <s v="SOLPOA"/>
    <s v="SOLPOA"/>
    <s v="CCMS"/>
    <n v="21321427"/>
    <n v="97.5"/>
    <m/>
    <s v="N"/>
    <n v="1"/>
    <d v="2023-07-03T19:05:18"/>
    <s v="N"/>
    <s v="Expert Cost"/>
    <s v="Expert Cost"/>
    <s v="Expert Disbursement"/>
    <s v="James Sandiford"/>
    <s v="N"/>
    <n v="81.25"/>
    <n v="16.25"/>
    <x v="3"/>
    <s v="VALIDATED"/>
    <n v="1"/>
    <s v="01.11.80.308.2012.0000"/>
    <n v="81.25"/>
    <s v="11"/>
    <s v="2012"/>
    <n v="-13175.78"/>
    <n v="81.25"/>
    <s v="DEBTOR"/>
    <n v="0"/>
    <n v="0"/>
    <n v="0"/>
    <n v="0"/>
    <n v="0"/>
  </r>
  <r>
    <n v="62113869"/>
    <s v="N"/>
    <n v="21344031"/>
    <s v="3000016138400003"/>
    <s v="CIVIL"/>
    <d v="2023-06-29T00:00:00"/>
    <d v="2023-07-07T19:03:00"/>
    <m/>
    <d v="2023-07-07T00:00:00"/>
    <n v="1896"/>
    <n v="1681"/>
    <s v="62113869"/>
    <s v="62113869"/>
    <m/>
    <m/>
    <n v="22786888"/>
    <m/>
    <m/>
    <m/>
    <s v="SOLINT"/>
    <s v="SOLINT"/>
    <s v="CCMS"/>
    <n v="21344031"/>
    <n v="0"/>
    <m/>
    <s v="N"/>
    <n v="1"/>
    <d v="2023-07-07T19:03:21"/>
    <s v="N"/>
    <s v="NIL BILL"/>
    <s v="Public Law Children"/>
    <s v="Profit Cost"/>
    <s v="Lucy Gledhill-Flynn"/>
    <s v="N"/>
    <n v="0"/>
    <n v="0"/>
    <x v="9"/>
    <s v="VALIDATED"/>
    <n v="1"/>
    <s v="01.11.80.308.6100.0000"/>
    <n v="0"/>
    <s v="11"/>
    <s v="6100"/>
    <n v="-13175.78"/>
    <n v="0"/>
    <s v="DEBTOR"/>
    <n v="0"/>
    <n v="0"/>
    <n v="0"/>
    <n v="0"/>
    <n v="0"/>
  </r>
  <r>
    <n v="62113869"/>
    <s v="N"/>
    <n v="21400060"/>
    <s v="3000016138400002RC"/>
    <s v="CIVIL"/>
    <d v="2023-06-29T00:00:00"/>
    <d v="2023-07-19T19:44:15"/>
    <m/>
    <d v="2023-07-19T00:00:00"/>
    <n v="1896"/>
    <n v="1681"/>
    <s v="62113869"/>
    <s v="62113869"/>
    <m/>
    <m/>
    <m/>
    <m/>
    <m/>
    <m/>
    <s v="SOLRECOUP"/>
    <s v="SOLRECOUP"/>
    <s v="POARECOUP"/>
    <n v="21400060"/>
    <n v="-2531.45"/>
    <m/>
    <s v="Y"/>
    <n v="1"/>
    <d v="2023-07-19T19:44:17"/>
    <s v="N"/>
    <m/>
    <m/>
    <s v="Profit Cost"/>
    <m/>
    <s v="N"/>
    <n v="-2109.54"/>
    <n v="0"/>
    <x v="5"/>
    <s v="VALIDATED"/>
    <n v="1"/>
    <s v="01.11.80.308.2013.0000"/>
    <n v="-2109.54"/>
    <s v="11"/>
    <s v="2013"/>
    <n v="-13175.78"/>
    <n v="-2109.54"/>
    <s v="DEBTOR"/>
    <n v="0"/>
    <n v="0"/>
    <n v="0"/>
    <n v="0"/>
    <n v="0"/>
  </r>
  <r>
    <n v="60110404"/>
    <s v="N"/>
    <n v="21324579"/>
    <s v="3000014440640011RC"/>
    <s v="CIVIL"/>
    <d v="2023-06-23T00:00:00"/>
    <d v="2023-07-03T19:42:50"/>
    <m/>
    <d v="2023-07-03T00:00:00"/>
    <n v="1896"/>
    <n v="1681"/>
    <s v="60110404"/>
    <s v="60110404"/>
    <m/>
    <m/>
    <m/>
    <m/>
    <m/>
    <m/>
    <s v="SOLRECOUP"/>
    <s v="SOLRECOUP"/>
    <s v="POARECOUP"/>
    <n v="21324579"/>
    <n v="-10725.58"/>
    <m/>
    <s v="Y"/>
    <n v="2"/>
    <d v="2023-07-03T19:42:52"/>
    <s v="N"/>
    <m/>
    <m/>
    <s v="Profit Cost"/>
    <m/>
    <s v="N"/>
    <n v="0"/>
    <n v="-1787.6"/>
    <x v="3"/>
    <s v="VALIDATED"/>
    <n v="1"/>
    <s v="01.11.80.308.2013.0000"/>
    <n v="-1787.6"/>
    <s v="11"/>
    <s v="2013"/>
    <n v="-13175.78"/>
    <n v="-1787.6"/>
    <s v="DEBTOR"/>
    <n v="0"/>
    <n v="0"/>
    <n v="0"/>
    <n v="0"/>
    <n v="0"/>
  </r>
  <r>
    <n v="62113869"/>
    <s v="N"/>
    <n v="21400060"/>
    <s v="3000016138400002RC"/>
    <s v="CIVIL"/>
    <d v="2023-06-29T00:00:00"/>
    <d v="2023-07-19T19:44:15"/>
    <m/>
    <d v="2023-07-19T00:00:00"/>
    <n v="1896"/>
    <n v="1681"/>
    <s v="62113869"/>
    <s v="62113869"/>
    <m/>
    <m/>
    <m/>
    <m/>
    <m/>
    <m/>
    <s v="SOLRECOUP"/>
    <s v="SOLRECOUP"/>
    <s v="POARECOUP"/>
    <n v="21400060"/>
    <n v="-2531.45"/>
    <m/>
    <s v="Y"/>
    <n v="2"/>
    <d v="2023-07-19T19:44:17"/>
    <s v="N"/>
    <m/>
    <m/>
    <s v="Profit Cost"/>
    <m/>
    <s v="N"/>
    <n v="0"/>
    <n v="-421.91"/>
    <x v="5"/>
    <s v="VALIDATED"/>
    <n v="1"/>
    <s v="01.11.80.308.2013.0000"/>
    <n v="-421.91"/>
    <s v="11"/>
    <s v="2013"/>
    <n v="-13175.78"/>
    <n v="-421.91"/>
    <s v="DEBTOR"/>
    <n v="0"/>
    <n v="0"/>
    <n v="0"/>
    <n v="0"/>
    <n v="0"/>
  </r>
  <r>
    <n v="60110404"/>
    <s v="N"/>
    <n v="21324579"/>
    <s v="3000014440640011RC"/>
    <s v="CIVIL"/>
    <d v="2023-06-23T00:00:00"/>
    <d v="2023-07-03T19:42:50"/>
    <m/>
    <d v="2023-07-03T00:00:00"/>
    <n v="1896"/>
    <n v="1681"/>
    <s v="60110404"/>
    <s v="60110404"/>
    <m/>
    <m/>
    <m/>
    <m/>
    <m/>
    <m/>
    <s v="SOLRECOUP"/>
    <s v="SOLRECOUP"/>
    <s v="POARECOUP"/>
    <n v="21324579"/>
    <n v="-10725.58"/>
    <m/>
    <s v="Y"/>
    <n v="1"/>
    <d v="2023-07-03T19:42:52"/>
    <s v="N"/>
    <m/>
    <m/>
    <s v="Profit Cost"/>
    <m/>
    <s v="N"/>
    <n v="-8937.98"/>
    <n v="0"/>
    <x v="3"/>
    <s v="VALIDATED"/>
    <n v="1"/>
    <s v="01.11.80.308.2013.0000"/>
    <n v="-8937.98"/>
    <s v="11"/>
    <s v="2013"/>
    <n v="-13175.78"/>
    <n v="-8937.98"/>
    <s v="DEBTOR"/>
    <n v="0"/>
    <n v="0"/>
    <n v="0"/>
    <n v="0"/>
    <n v="0"/>
  </r>
  <r>
    <n v="61143397"/>
    <s v="N"/>
    <n v="21331102"/>
    <s v="3000015328230012"/>
    <s v="CIVIL"/>
    <d v="2023-06-26T00:00:00"/>
    <d v="2023-07-05T19:01:47"/>
    <m/>
    <d v="2023-07-05T00:00:00"/>
    <n v="1913"/>
    <n v="203"/>
    <s v="61143397"/>
    <s v="61143397"/>
    <m/>
    <m/>
    <n v="22758148"/>
    <m/>
    <m/>
    <m/>
    <s v="SOLFIN"/>
    <s v="SOLFIN"/>
    <s v="CCMS"/>
    <n v="21331102"/>
    <n v="8296.01"/>
    <m/>
    <s v="N"/>
    <n v="10"/>
    <d v="2023-07-05T19:02:06"/>
    <s v="Y"/>
    <s v="Advocates Meeting"/>
    <s v="Public Law Children"/>
    <s v="Advocacy"/>
    <s v="J. McLaren"/>
    <s v="Y"/>
    <n v="140.99"/>
    <n v="28.2"/>
    <x v="6"/>
    <s v="VALIDATED"/>
    <n v="1"/>
    <s v="01.11.80.308.6100.0000"/>
    <n v="140.99"/>
    <s v="11"/>
    <s v="6100"/>
    <n v="918.49"/>
    <n v="140.99"/>
    <s v="CREDITOR"/>
    <n v="0"/>
    <n v="0"/>
    <n v="0"/>
    <n v="0"/>
    <n v="140.99"/>
  </r>
  <r>
    <n v="61143397"/>
    <s v="N"/>
    <n v="21331102"/>
    <s v="3000015328230012"/>
    <s v="CIVIL"/>
    <d v="2023-06-26T00:00:00"/>
    <d v="2023-07-05T19:01:47"/>
    <m/>
    <d v="2023-07-05T00:00:00"/>
    <n v="1913"/>
    <n v="203"/>
    <s v="61143397"/>
    <s v="61143397"/>
    <m/>
    <m/>
    <n v="22758148"/>
    <m/>
    <m/>
    <m/>
    <s v="SOLFIN"/>
    <s v="SOLFIN"/>
    <s v="CCMS"/>
    <n v="21331102"/>
    <n v="8296.01"/>
    <m/>
    <s v="N"/>
    <n v="12"/>
    <d v="2023-07-05T19:02:06"/>
    <s v="Y"/>
    <s v="Hearing Unit 2.31 - 5.00 Hours"/>
    <s v="Public Law Children"/>
    <s v="Advocacy"/>
    <s v="J. McLaren"/>
    <s v="Y"/>
    <n v="433.62"/>
    <n v="86.72"/>
    <x v="6"/>
    <s v="VALIDATED"/>
    <n v="1"/>
    <s v="01.11.80.308.6100.0000"/>
    <n v="433.62"/>
    <s v="11"/>
    <s v="6100"/>
    <n v="918.49"/>
    <n v="433.62"/>
    <s v="CREDITOR"/>
    <n v="0"/>
    <n v="0"/>
    <n v="0"/>
    <n v="0"/>
    <n v="433.62"/>
  </r>
  <r>
    <n v="61143397"/>
    <s v="N"/>
    <n v="21331102"/>
    <s v="3000015328230012"/>
    <s v="CIVIL"/>
    <d v="2023-06-26T00:00:00"/>
    <d v="2023-07-05T19:01:47"/>
    <m/>
    <d v="2023-07-05T00:00:00"/>
    <n v="1913"/>
    <n v="203"/>
    <s v="61143397"/>
    <s v="61143397"/>
    <m/>
    <m/>
    <n v="22758148"/>
    <m/>
    <m/>
    <m/>
    <s v="SOLFIN"/>
    <s v="SOLFIN"/>
    <s v="CCMS"/>
    <n v="21331102"/>
    <n v="8296.01"/>
    <m/>
    <s v="N"/>
    <n v="9"/>
    <d v="2023-07-05T19:02:06"/>
    <s v="Y"/>
    <s v="Hearing Unit 0.00 - 1.00 Hours"/>
    <s v="Public Law Children"/>
    <s v="Advocacy"/>
    <s v="J. McLaren"/>
    <s v="Y"/>
    <n v="95.40000000000001"/>
    <n v="19.08"/>
    <x v="6"/>
    <s v="VALIDATED"/>
    <n v="1"/>
    <s v="01.11.80.308.6100.0000"/>
    <n v="95.40000000000001"/>
    <s v="11"/>
    <s v="6100"/>
    <n v="918.49"/>
    <n v="95.40000000000001"/>
    <s v="CREDITOR"/>
    <n v="0"/>
    <n v="0"/>
    <n v="0"/>
    <n v="0"/>
    <n v="95.40000000000001"/>
  </r>
  <r>
    <n v="61143397"/>
    <s v="N"/>
    <n v="21331102"/>
    <s v="3000015328230012"/>
    <s v="CIVIL"/>
    <d v="2023-06-26T00:00:00"/>
    <d v="2023-07-05T19:01:47"/>
    <m/>
    <d v="2023-07-05T00:00:00"/>
    <n v="1913"/>
    <n v="203"/>
    <s v="61143397"/>
    <s v="61143397"/>
    <m/>
    <m/>
    <n v="22758148"/>
    <m/>
    <m/>
    <m/>
    <s v="SOLFIN"/>
    <s v="SOLFIN"/>
    <s v="CCMS"/>
    <n v="21331102"/>
    <n v="8296.01"/>
    <m/>
    <s v="N"/>
    <n v="5"/>
    <d v="2023-07-05T19:02:06"/>
    <s v="Y"/>
    <s v="Toxicologist"/>
    <s v="Public Law Children"/>
    <s v="Expert Disbursement"/>
    <s v="J. McLaren"/>
    <s v="Y"/>
    <n v="204.62"/>
    <n v="40.92"/>
    <x v="6"/>
    <s v="VALIDATED"/>
    <n v="1"/>
    <s v="01.11.80.308.6300.0000"/>
    <n v="204.62"/>
    <s v="11"/>
    <s v="6300"/>
    <n v="918.49"/>
    <n v="204.62"/>
    <s v="CREDITOR"/>
    <n v="0"/>
    <n v="0"/>
    <n v="0"/>
    <n v="0"/>
    <n v="204.62"/>
  </r>
  <r>
    <n v="61143397"/>
    <s v="N"/>
    <n v="21331102"/>
    <s v="3000015328230012"/>
    <s v="CIVIL"/>
    <d v="2023-06-26T00:00:00"/>
    <d v="2023-07-05T19:01:47"/>
    <m/>
    <d v="2023-07-05T00:00:00"/>
    <n v="1913"/>
    <n v="203"/>
    <s v="61143397"/>
    <s v="61143397"/>
    <m/>
    <m/>
    <n v="22758148"/>
    <m/>
    <m/>
    <m/>
    <s v="SOLFIN"/>
    <s v="SOLFIN"/>
    <s v="CCMS"/>
    <n v="21331102"/>
    <n v="8296.01"/>
    <m/>
    <s v="N"/>
    <n v="7"/>
    <d v="2023-07-05T19:02:06"/>
    <s v="Y"/>
    <s v="Toxicologist"/>
    <s v="Public Law Children"/>
    <s v="Expert Disbursement"/>
    <s v="J. McLaren"/>
    <s v="Y"/>
    <n v="1216.49"/>
    <n v="243.3"/>
    <x v="6"/>
    <s v="VALIDATED"/>
    <n v="1"/>
    <s v="01.11.80.308.6300.0000"/>
    <n v="1216.49"/>
    <s v="11"/>
    <s v="6300"/>
    <n v="918.49"/>
    <n v="1216.49"/>
    <s v="CREDITOR"/>
    <n v="0"/>
    <n v="0"/>
    <n v="0"/>
    <n v="0"/>
    <n v="1216.49"/>
  </r>
  <r>
    <n v="61143397"/>
    <s v="N"/>
    <n v="21331102"/>
    <s v="3000015328230012"/>
    <s v="CIVIL"/>
    <d v="2023-06-26T00:00:00"/>
    <d v="2023-07-05T19:01:47"/>
    <m/>
    <d v="2023-07-05T00:00:00"/>
    <n v="1913"/>
    <n v="203"/>
    <s v="61143397"/>
    <s v="61143397"/>
    <m/>
    <m/>
    <n v="22758148"/>
    <m/>
    <m/>
    <m/>
    <s v="SOLFIN"/>
    <s v="SOLFIN"/>
    <s v="CCMS"/>
    <n v="21331102"/>
    <n v="8296.01"/>
    <m/>
    <s v="N"/>
    <n v="3"/>
    <d v="2023-07-05T19:02:06"/>
    <s v="Y"/>
    <s v="Toxicologist"/>
    <s v="Public Law Children"/>
    <s v="Expert Disbursement"/>
    <s v="J. McLaren"/>
    <s v="Y"/>
    <n v="293.49"/>
    <n v="58.7"/>
    <x v="6"/>
    <s v="VALIDATED"/>
    <n v="1"/>
    <s v="01.11.80.308.6300.0000"/>
    <n v="293.49"/>
    <s v="11"/>
    <s v="6300"/>
    <n v="918.49"/>
    <n v="293.49"/>
    <s v="CREDITOR"/>
    <n v="0"/>
    <n v="0"/>
    <n v="0"/>
    <n v="0"/>
    <n v="293.49"/>
  </r>
  <r>
    <n v="61143397"/>
    <s v="N"/>
    <n v="21331102"/>
    <s v="3000015328230012"/>
    <s v="CIVIL"/>
    <d v="2023-06-26T00:00:00"/>
    <d v="2023-07-05T19:01:47"/>
    <m/>
    <d v="2023-07-05T00:00:00"/>
    <n v="1913"/>
    <n v="203"/>
    <s v="61143397"/>
    <s v="61143397"/>
    <m/>
    <m/>
    <n v="22758148"/>
    <m/>
    <m/>
    <m/>
    <s v="SOLFIN"/>
    <s v="SOLFIN"/>
    <s v="CCMS"/>
    <n v="21331102"/>
    <n v="8296.01"/>
    <m/>
    <s v="N"/>
    <n v="13"/>
    <d v="2023-07-05T19:02:06"/>
    <s v="Y"/>
    <s v="Solicitors Fixed Fee"/>
    <s v="Public Law Children"/>
    <s v="Profit Cost"/>
    <s v="J. McLaren"/>
    <s v="Y"/>
    <n v="1911"/>
    <n v="382.2"/>
    <x v="6"/>
    <s v="VALIDATED"/>
    <n v="1"/>
    <s v="01.11.80.308.6100.0000"/>
    <n v="1911"/>
    <s v="11"/>
    <s v="6100"/>
    <n v="918.49"/>
    <n v="1911"/>
    <s v="CREDITOR"/>
    <n v="0"/>
    <n v="0"/>
    <n v="0"/>
    <n v="0"/>
    <n v="1911"/>
  </r>
  <r>
    <n v="61143397"/>
    <s v="N"/>
    <n v="21331102"/>
    <s v="3000015328230012"/>
    <s v="CIVIL"/>
    <d v="2023-06-26T00:00:00"/>
    <d v="2023-07-05T19:01:47"/>
    <m/>
    <d v="2023-07-05T00:00:00"/>
    <n v="1913"/>
    <n v="203"/>
    <s v="61143397"/>
    <s v="61143397"/>
    <m/>
    <m/>
    <n v="22758148"/>
    <m/>
    <m/>
    <m/>
    <s v="SOLFIN"/>
    <s v="SOLFIN"/>
    <s v="CCMS"/>
    <n v="21331102"/>
    <n v="8296.01"/>
    <m/>
    <s v="N"/>
    <n v="6"/>
    <d v="2023-07-05T19:02:06"/>
    <s v="Y"/>
    <s v="Toxicologist"/>
    <s v="Public Law Children"/>
    <s v="Expert Disbursement"/>
    <s v="J. McLaren"/>
    <s v="Y"/>
    <n v="1392.62"/>
    <n v="278.52"/>
    <x v="6"/>
    <s v="VALIDATED"/>
    <n v="1"/>
    <s v="01.11.80.308.6300.0000"/>
    <n v="1392.62"/>
    <s v="11"/>
    <s v="6300"/>
    <n v="918.49"/>
    <n v="1392.62"/>
    <s v="CREDITOR"/>
    <n v="0"/>
    <n v="0"/>
    <n v="0"/>
    <n v="0"/>
    <n v="1392.62"/>
  </r>
  <r>
    <n v="61143397"/>
    <s v="N"/>
    <n v="21331102"/>
    <s v="3000015328230012"/>
    <s v="CIVIL"/>
    <d v="2023-06-26T00:00:00"/>
    <d v="2023-07-05T19:01:47"/>
    <m/>
    <d v="2023-07-05T00:00:00"/>
    <n v="1913"/>
    <n v="203"/>
    <s v="61143397"/>
    <s v="61143397"/>
    <m/>
    <m/>
    <n v="22758148"/>
    <m/>
    <m/>
    <m/>
    <s v="SOLFIN"/>
    <s v="SOLFIN"/>
    <s v="CCMS"/>
    <n v="21331102"/>
    <n v="8296.01"/>
    <m/>
    <s v="N"/>
    <n v="4"/>
    <d v="2023-07-05T19:02:06"/>
    <s v="Y"/>
    <s v="Paediatrician"/>
    <s v="Public Law Children"/>
    <s v="Expert Disbursement"/>
    <s v="J. McLaren"/>
    <s v="Y"/>
    <n v="108"/>
    <n v="0"/>
    <x v="6"/>
    <s v="VALIDATED"/>
    <n v="1"/>
    <s v="01.11.80.308.6300.0000"/>
    <n v="108"/>
    <s v="11"/>
    <s v="6300"/>
    <n v="918.49"/>
    <n v="108"/>
    <s v="CREDITOR"/>
    <n v="0"/>
    <n v="0"/>
    <n v="0"/>
    <n v="0"/>
    <n v="108"/>
  </r>
  <r>
    <n v="62239840"/>
    <s v="N"/>
    <n v="21349751"/>
    <s v="3000016241590001"/>
    <s v="CIVIL"/>
    <d v="2023-06-30T00:00:00"/>
    <d v="2023-07-10T19:01:40"/>
    <m/>
    <d v="2023-07-10T00:00:00"/>
    <n v="1913"/>
    <n v="203"/>
    <s v="62239840"/>
    <s v="62239840"/>
    <m/>
    <m/>
    <n v="22800726"/>
    <m/>
    <m/>
    <m/>
    <s v="SOLPOA"/>
    <s v="SOLPOA"/>
    <s v="CCMS"/>
    <n v="21349751"/>
    <n v="371.76"/>
    <m/>
    <s v="N"/>
    <n v="1"/>
    <d v="2023-07-10T19:01:56"/>
    <s v="N"/>
    <s v="Expert Cost"/>
    <s v="Expert Cost"/>
    <s v="Expert Disbursement"/>
    <s v="John McLaren"/>
    <s v="N"/>
    <n v="371.76"/>
    <n v="0"/>
    <x v="2"/>
    <s v="VALIDATED"/>
    <n v="1"/>
    <s v="01.11.80.308.2012.0000"/>
    <n v="371.76"/>
    <s v="11"/>
    <s v="2012"/>
    <n v="918.49"/>
    <n v="371.76"/>
    <s v="CREDITOR"/>
    <n v="371.76"/>
    <n v="0"/>
    <n v="0"/>
    <n v="0"/>
    <n v="0"/>
  </r>
  <r>
    <n v="61143397"/>
    <s v="N"/>
    <n v="21331102"/>
    <s v="3000015328230012"/>
    <s v="CIVIL"/>
    <d v="2023-06-26T00:00:00"/>
    <d v="2023-07-05T19:01:47"/>
    <m/>
    <d v="2023-07-05T00:00:00"/>
    <n v="1913"/>
    <n v="203"/>
    <s v="61143397"/>
    <s v="61143397"/>
    <m/>
    <m/>
    <n v="22758148"/>
    <m/>
    <m/>
    <m/>
    <s v="SOLFIN"/>
    <s v="SOLFIN"/>
    <s v="CCMS"/>
    <n v="21331102"/>
    <n v="8296.01"/>
    <m/>
    <s v="N"/>
    <n v="2"/>
    <d v="2023-07-05T19:02:06"/>
    <s v="Y"/>
    <s v="Toxicologist"/>
    <s v="Public Law Children"/>
    <s v="Expert Disbursement"/>
    <s v="J. McLaren"/>
    <s v="Y"/>
    <n v="275.7"/>
    <n v="55.14"/>
    <x v="6"/>
    <s v="VALIDATED"/>
    <n v="1"/>
    <s v="01.11.80.308.6300.0000"/>
    <n v="275.7"/>
    <s v="11"/>
    <s v="6300"/>
    <n v="918.49"/>
    <n v="275.7"/>
    <s v="CREDITOR"/>
    <n v="0"/>
    <n v="0"/>
    <n v="0"/>
    <n v="0"/>
    <n v="275.7"/>
  </r>
  <r>
    <n v="61143397"/>
    <s v="N"/>
    <n v="21331102"/>
    <s v="3000015328230012"/>
    <s v="CIVIL"/>
    <d v="2023-06-26T00:00:00"/>
    <d v="2023-07-05T19:01:47"/>
    <m/>
    <d v="2023-07-05T00:00:00"/>
    <n v="1913"/>
    <n v="203"/>
    <s v="61143397"/>
    <s v="61143397"/>
    <m/>
    <m/>
    <n v="22758148"/>
    <m/>
    <m/>
    <m/>
    <s v="SOLFIN"/>
    <s v="SOLFIN"/>
    <s v="CCMS"/>
    <n v="21331102"/>
    <n v="8296.01"/>
    <m/>
    <s v="N"/>
    <n v="11"/>
    <d v="2023-07-05T19:02:06"/>
    <s v="Y"/>
    <s v="Hearing Unit 2.31 - 5.00 Hours"/>
    <s v="Public Law Children"/>
    <s v="Advocacy"/>
    <s v="J. McLaren"/>
    <s v="Y"/>
    <n v="476.92"/>
    <n v="95.38"/>
    <x v="6"/>
    <s v="VALIDATED"/>
    <n v="1"/>
    <s v="01.11.80.308.6100.0000"/>
    <n v="476.92"/>
    <s v="11"/>
    <s v="6100"/>
    <n v="918.49"/>
    <n v="476.92"/>
    <s v="CREDITOR"/>
    <n v="0"/>
    <n v="0"/>
    <n v="0"/>
    <n v="0"/>
    <n v="476.92"/>
  </r>
  <r>
    <n v="61143397"/>
    <s v="N"/>
    <n v="21331102"/>
    <s v="3000015328230012"/>
    <s v="CIVIL"/>
    <d v="2023-06-26T00:00:00"/>
    <d v="2023-07-05T19:01:47"/>
    <m/>
    <d v="2023-07-05T00:00:00"/>
    <n v="1913"/>
    <n v="203"/>
    <s v="61143397"/>
    <s v="61143397"/>
    <m/>
    <m/>
    <n v="22758148"/>
    <m/>
    <m/>
    <m/>
    <s v="SOLFIN"/>
    <s v="SOLFIN"/>
    <s v="CCMS"/>
    <n v="21331102"/>
    <n v="8296.01"/>
    <m/>
    <s v="N"/>
    <n v="1"/>
    <d v="2023-07-05T19:02:06"/>
    <s v="Y"/>
    <s v="Paediatrician"/>
    <s v="Public Law Children"/>
    <s v="Expert Disbursement"/>
    <s v="J. McLaren"/>
    <s v="Y"/>
    <n v="54"/>
    <n v="0"/>
    <x v="6"/>
    <s v="VALIDATED"/>
    <n v="1"/>
    <s v="01.11.80.308.6300.0000"/>
    <n v="54"/>
    <s v="11"/>
    <s v="6300"/>
    <n v="918.49"/>
    <n v="54"/>
    <s v="CREDITOR"/>
    <n v="0"/>
    <n v="0"/>
    <n v="0"/>
    <n v="0"/>
    <n v="54"/>
  </r>
  <r>
    <n v="61143397"/>
    <s v="N"/>
    <n v="21331102"/>
    <s v="3000015328230012"/>
    <s v="CIVIL"/>
    <d v="2023-06-26T00:00:00"/>
    <d v="2023-07-05T19:01:47"/>
    <m/>
    <d v="2023-07-05T00:00:00"/>
    <n v="1913"/>
    <n v="203"/>
    <s v="61143397"/>
    <s v="61143397"/>
    <m/>
    <m/>
    <n v="22758148"/>
    <m/>
    <m/>
    <m/>
    <s v="SOLFIN"/>
    <s v="SOLFIN"/>
    <s v="CCMS"/>
    <n v="21331102"/>
    <n v="8296.01"/>
    <m/>
    <s v="N"/>
    <n v="8"/>
    <d v="2023-07-05T19:02:06"/>
    <s v="Y"/>
    <s v="Paediatrician"/>
    <s v="Public Law Children"/>
    <s v="Expert Disbursement"/>
    <s v="J. McLaren"/>
    <s v="Y"/>
    <n v="405"/>
    <n v="0"/>
    <x v="6"/>
    <s v="VALIDATED"/>
    <n v="1"/>
    <s v="01.11.80.308.6300.0000"/>
    <n v="405"/>
    <s v="11"/>
    <s v="6300"/>
    <n v="918.49"/>
    <n v="405"/>
    <s v="CREDITOR"/>
    <n v="0"/>
    <n v="0"/>
    <n v="0"/>
    <n v="0"/>
    <n v="405"/>
  </r>
  <r>
    <n v="61143397"/>
    <s v="N"/>
    <n v="21334112"/>
    <s v="3000015328230009RC"/>
    <s v="CIVIL"/>
    <d v="2023-06-26T00:00:00"/>
    <d v="2023-07-05T19:42:28"/>
    <m/>
    <d v="2023-07-05T00:00:00"/>
    <n v="1913"/>
    <n v="203"/>
    <s v="61143397"/>
    <s v="61143397"/>
    <m/>
    <m/>
    <m/>
    <m/>
    <m/>
    <m/>
    <s v="SOLRECOUP"/>
    <s v="SOLRECOUP"/>
    <s v="POARECOUP"/>
    <n v="21334112"/>
    <n v="-352.2"/>
    <m/>
    <s v="Y"/>
    <n v="1"/>
    <d v="2023-07-05T19:42:30"/>
    <s v="N"/>
    <m/>
    <m/>
    <s v="Expert Disbursement"/>
    <m/>
    <s v="N"/>
    <n v="-352.2"/>
    <n v="0"/>
    <x v="6"/>
    <s v="VALIDATED"/>
    <n v="1"/>
    <s v="01.11.80.308.2013.0000"/>
    <n v="-352.2"/>
    <s v="11"/>
    <s v="2013"/>
    <n v="918.49"/>
    <n v="-352.2"/>
    <s v="CREDITOR"/>
    <n v="0"/>
    <n v="0"/>
    <n v="-352.2"/>
    <n v="0"/>
    <n v="0"/>
  </r>
  <r>
    <n v="61143397"/>
    <s v="N"/>
    <n v="21334112"/>
    <s v="3000015328230009RC"/>
    <s v="CIVIL"/>
    <d v="2023-06-26T00:00:00"/>
    <d v="2023-07-05T19:42:28"/>
    <m/>
    <d v="2023-07-05T00:00:00"/>
    <n v="1913"/>
    <n v="203"/>
    <s v="61143397"/>
    <s v="61143397"/>
    <m/>
    <m/>
    <m/>
    <m/>
    <m/>
    <m/>
    <s v="SOLRECOUP"/>
    <s v="SOLRECOUP"/>
    <s v="POARECOUP"/>
    <n v="21334112"/>
    <n v="-352.2"/>
    <m/>
    <s v="Y"/>
    <n v="2"/>
    <d v="2023-07-05T19:42:30"/>
    <s v="N"/>
    <m/>
    <m/>
    <s v="Expert Disbursement"/>
    <m/>
    <s v="N"/>
    <n v="0"/>
    <n v="0"/>
    <x v="6"/>
    <s v="VALIDATED"/>
    <n v="1"/>
    <s v="01.11.80.000.0000.0000"/>
    <n v="0"/>
    <s v="11"/>
    <s v="0000"/>
    <n v="918.49"/>
    <n v="0"/>
    <s v="CREDITOR"/>
    <n v="0"/>
    <n v="0"/>
    <n v="0"/>
    <n v="0"/>
    <n v="0"/>
  </r>
  <r>
    <n v="61143397"/>
    <s v="N"/>
    <n v="21334113"/>
    <s v="3000015328230007RC"/>
    <s v="CIVIL"/>
    <d v="2023-06-26T00:00:00"/>
    <d v="2023-07-05T19:42:28"/>
    <m/>
    <d v="2023-07-05T00:00:00"/>
    <n v="1913"/>
    <n v="203"/>
    <s v="61143397"/>
    <s v="61143397"/>
    <m/>
    <m/>
    <m/>
    <m/>
    <m/>
    <m/>
    <s v="SOLRECOUP"/>
    <s v="SOLRECOUP"/>
    <s v="POARECOUP"/>
    <n v="21334113"/>
    <n v="-405"/>
    <m/>
    <s v="Y"/>
    <n v="1"/>
    <d v="2023-07-05T19:42:30"/>
    <s v="N"/>
    <m/>
    <m/>
    <s v="Expert Disbursement"/>
    <m/>
    <s v="N"/>
    <n v="-405"/>
    <n v="0"/>
    <x v="6"/>
    <s v="VALIDATED"/>
    <n v="1"/>
    <s v="01.11.80.308.2013.0000"/>
    <n v="-405"/>
    <s v="11"/>
    <s v="2013"/>
    <n v="918.49"/>
    <n v="-405"/>
    <s v="CREDITOR"/>
    <n v="0"/>
    <n v="0"/>
    <n v="-405"/>
    <n v="0"/>
    <n v="0"/>
  </r>
  <r>
    <n v="61143397"/>
    <s v="N"/>
    <n v="21334113"/>
    <s v="3000015328230007RC"/>
    <s v="CIVIL"/>
    <d v="2023-06-26T00:00:00"/>
    <d v="2023-07-05T19:42:28"/>
    <m/>
    <d v="2023-07-05T00:00:00"/>
    <n v="1913"/>
    <n v="203"/>
    <s v="61143397"/>
    <s v="61143397"/>
    <m/>
    <m/>
    <m/>
    <m/>
    <m/>
    <m/>
    <s v="SOLRECOUP"/>
    <s v="SOLRECOUP"/>
    <s v="POARECOUP"/>
    <n v="21334113"/>
    <n v="-405"/>
    <m/>
    <s v="Y"/>
    <n v="2"/>
    <d v="2023-07-05T19:42:30"/>
    <s v="N"/>
    <m/>
    <m/>
    <s v="Expert Disbursement"/>
    <m/>
    <s v="N"/>
    <n v="0"/>
    <n v="0"/>
    <x v="6"/>
    <s v="VALIDATED"/>
    <n v="1"/>
    <s v="01.11.80.000.0000.0000"/>
    <n v="0"/>
    <s v="11"/>
    <s v="0000"/>
    <n v="918.49"/>
    <n v="0"/>
    <s v="CREDITOR"/>
    <n v="0"/>
    <n v="0"/>
    <n v="0"/>
    <n v="0"/>
    <n v="0"/>
  </r>
  <r>
    <n v="61143397"/>
    <s v="N"/>
    <n v="21334114"/>
    <s v="3000015328230011RC"/>
    <s v="CIVIL"/>
    <d v="2023-06-26T00:00:00"/>
    <d v="2023-07-05T19:42:28"/>
    <m/>
    <d v="2023-07-05T00:00:00"/>
    <n v="1913"/>
    <n v="203"/>
    <s v="61143397"/>
    <s v="61143397"/>
    <m/>
    <m/>
    <m/>
    <m/>
    <m/>
    <m/>
    <s v="SOLRECOUP"/>
    <s v="SOLRECOUP"/>
    <s v="POARECOUP"/>
    <n v="21334114"/>
    <n v="-108"/>
    <m/>
    <s v="Y"/>
    <n v="1"/>
    <d v="2023-07-05T19:42:30"/>
    <s v="N"/>
    <m/>
    <m/>
    <s v="Expert Disbursement"/>
    <m/>
    <s v="N"/>
    <n v="-108"/>
    <n v="0"/>
    <x v="6"/>
    <s v="VALIDATED"/>
    <n v="1"/>
    <s v="01.11.80.308.2013.0000"/>
    <n v="-108"/>
    <s v="11"/>
    <s v="2013"/>
    <n v="918.49"/>
    <n v="-108"/>
    <s v="CREDITOR"/>
    <n v="0"/>
    <n v="0"/>
    <n v="-108"/>
    <n v="0"/>
    <n v="0"/>
  </r>
  <r>
    <n v="61143397"/>
    <s v="N"/>
    <n v="21334114"/>
    <s v="3000015328230011RC"/>
    <s v="CIVIL"/>
    <d v="2023-06-26T00:00:00"/>
    <d v="2023-07-05T19:42:28"/>
    <m/>
    <d v="2023-07-05T00:00:00"/>
    <n v="1913"/>
    <n v="203"/>
    <s v="61143397"/>
    <s v="61143397"/>
    <m/>
    <m/>
    <m/>
    <m/>
    <m/>
    <m/>
    <s v="SOLRECOUP"/>
    <s v="SOLRECOUP"/>
    <s v="POARECOUP"/>
    <n v="21334114"/>
    <n v="-108"/>
    <m/>
    <s v="Y"/>
    <n v="2"/>
    <d v="2023-07-05T19:42:30"/>
    <s v="N"/>
    <m/>
    <m/>
    <s v="Expert Disbursement"/>
    <m/>
    <s v="N"/>
    <n v="0"/>
    <n v="0"/>
    <x v="6"/>
    <s v="VALIDATED"/>
    <n v="1"/>
    <s v="01.11.80.000.0000.0000"/>
    <n v="0"/>
    <s v="11"/>
    <s v="0000"/>
    <n v="918.49"/>
    <n v="0"/>
    <s v="CREDITOR"/>
    <n v="0"/>
    <n v="0"/>
    <n v="0"/>
    <n v="0"/>
    <n v="0"/>
  </r>
  <r>
    <n v="61143397"/>
    <s v="N"/>
    <n v="21334115"/>
    <s v="3000015328230002RC"/>
    <s v="CIVIL"/>
    <d v="2023-06-26T00:00:00"/>
    <d v="2023-07-05T19:42:28"/>
    <m/>
    <d v="2023-07-05T00:00:00"/>
    <n v="1913"/>
    <n v="203"/>
    <s v="61143397"/>
    <s v="61143397"/>
    <m/>
    <m/>
    <m/>
    <m/>
    <m/>
    <m/>
    <s v="SOLRECOUP"/>
    <s v="SOLRECOUP"/>
    <s v="POARECOUP"/>
    <n v="21334115"/>
    <n v="-245.56"/>
    <m/>
    <s v="Y"/>
    <n v="1"/>
    <d v="2023-07-05T19:42:30"/>
    <s v="N"/>
    <m/>
    <m/>
    <s v="Expert Disbursement"/>
    <m/>
    <s v="N"/>
    <n v="-245.56"/>
    <n v="0"/>
    <x v="6"/>
    <s v="VALIDATED"/>
    <n v="1"/>
    <s v="01.11.80.308.2013.0000"/>
    <n v="-245.56"/>
    <s v="11"/>
    <s v="2013"/>
    <n v="918.49"/>
    <n v="-245.56"/>
    <s v="CREDITOR"/>
    <n v="0"/>
    <n v="0"/>
    <n v="-245.56"/>
    <n v="0"/>
    <n v="0"/>
  </r>
  <r>
    <n v="61143397"/>
    <s v="N"/>
    <n v="21334115"/>
    <s v="3000015328230002RC"/>
    <s v="CIVIL"/>
    <d v="2023-06-26T00:00:00"/>
    <d v="2023-07-05T19:42:28"/>
    <m/>
    <d v="2023-07-05T00:00:00"/>
    <n v="1913"/>
    <n v="203"/>
    <s v="61143397"/>
    <s v="61143397"/>
    <m/>
    <m/>
    <m/>
    <m/>
    <m/>
    <m/>
    <s v="SOLRECOUP"/>
    <s v="SOLRECOUP"/>
    <s v="POARECOUP"/>
    <n v="21334115"/>
    <n v="-245.56"/>
    <m/>
    <s v="Y"/>
    <n v="2"/>
    <d v="2023-07-05T19:42:30"/>
    <s v="N"/>
    <m/>
    <m/>
    <s v="Expert Disbursement"/>
    <m/>
    <s v="N"/>
    <n v="0"/>
    <n v="0"/>
    <x v="6"/>
    <s v="VALIDATED"/>
    <n v="1"/>
    <s v="01.11.80.000.0000.0000"/>
    <n v="0"/>
    <s v="11"/>
    <s v="0000"/>
    <n v="918.49"/>
    <n v="0"/>
    <s v="CREDITOR"/>
    <n v="0"/>
    <n v="0"/>
    <n v="0"/>
    <n v="0"/>
    <n v="0"/>
  </r>
  <r>
    <n v="61143397"/>
    <s v="N"/>
    <n v="21334116"/>
    <s v="3000015328230001RC"/>
    <s v="CIVIL"/>
    <d v="2023-06-26T00:00:00"/>
    <d v="2023-07-05T19:42:28"/>
    <m/>
    <d v="2023-07-05T00:00:00"/>
    <n v="1913"/>
    <n v="203"/>
    <s v="61143397"/>
    <s v="61143397"/>
    <m/>
    <m/>
    <m/>
    <m/>
    <m/>
    <m/>
    <s v="SOLRECOUP"/>
    <s v="SOLRECOUP"/>
    <s v="POARECOUP"/>
    <n v="21334116"/>
    <n v="-1671.16"/>
    <m/>
    <s v="Y"/>
    <n v="1"/>
    <d v="2023-07-05T19:42:30"/>
    <s v="N"/>
    <m/>
    <m/>
    <s v="Expert Disbursement"/>
    <m/>
    <s v="N"/>
    <n v="-1671.16"/>
    <n v="0"/>
    <x v="6"/>
    <s v="VALIDATED"/>
    <n v="1"/>
    <s v="01.11.80.308.2013.0000"/>
    <n v="-1671.16"/>
    <s v="11"/>
    <s v="2013"/>
    <n v="918.49"/>
    <n v="-1671.16"/>
    <s v="CREDITOR"/>
    <n v="0"/>
    <n v="0"/>
    <n v="-1671.16"/>
    <n v="0"/>
    <n v="0"/>
  </r>
  <r>
    <n v="61143397"/>
    <s v="N"/>
    <n v="21334116"/>
    <s v="3000015328230001RC"/>
    <s v="CIVIL"/>
    <d v="2023-06-26T00:00:00"/>
    <d v="2023-07-05T19:42:28"/>
    <m/>
    <d v="2023-07-05T00:00:00"/>
    <n v="1913"/>
    <n v="203"/>
    <s v="61143397"/>
    <s v="61143397"/>
    <m/>
    <m/>
    <m/>
    <m/>
    <m/>
    <m/>
    <s v="SOLRECOUP"/>
    <s v="SOLRECOUP"/>
    <s v="POARECOUP"/>
    <n v="21334116"/>
    <n v="-1671.16"/>
    <m/>
    <s v="Y"/>
    <n v="2"/>
    <d v="2023-07-05T19:42:30"/>
    <s v="N"/>
    <m/>
    <m/>
    <s v="Expert Disbursement"/>
    <m/>
    <s v="N"/>
    <n v="0"/>
    <n v="0"/>
    <x v="6"/>
    <s v="VALIDATED"/>
    <n v="1"/>
    <s v="01.11.80.000.0000.0000"/>
    <n v="0"/>
    <s v="11"/>
    <s v="0000"/>
    <n v="918.49"/>
    <n v="0"/>
    <s v="CREDITOR"/>
    <n v="0"/>
    <n v="0"/>
    <n v="0"/>
    <n v="0"/>
    <n v="0"/>
  </r>
  <r>
    <n v="61143397"/>
    <s v="N"/>
    <n v="21334117"/>
    <s v="3000015328230003RC"/>
    <s v="CIVIL"/>
    <d v="2023-06-26T00:00:00"/>
    <d v="2023-07-05T19:42:28"/>
    <m/>
    <d v="2023-07-05T00:00:00"/>
    <n v="1913"/>
    <n v="203"/>
    <s v="61143397"/>
    <s v="61143397"/>
    <m/>
    <m/>
    <m/>
    <m/>
    <m/>
    <m/>
    <s v="SOLRECOUP"/>
    <s v="SOLRECOUP"/>
    <s v="POARECOUP"/>
    <n v="21334117"/>
    <n v="-1459.8"/>
    <m/>
    <s v="Y"/>
    <n v="1"/>
    <d v="2023-07-05T19:42:30"/>
    <s v="N"/>
    <m/>
    <m/>
    <s v="Expert Disbursement"/>
    <m/>
    <s v="N"/>
    <n v="-1459.8"/>
    <n v="0"/>
    <x v="6"/>
    <s v="VALIDATED"/>
    <n v="1"/>
    <s v="01.11.80.308.2013.0000"/>
    <n v="-1459.8"/>
    <s v="11"/>
    <s v="2013"/>
    <n v="918.49"/>
    <n v="-1459.8"/>
    <s v="CREDITOR"/>
    <n v="0"/>
    <n v="0"/>
    <n v="-1459.8"/>
    <n v="0"/>
    <n v="0"/>
  </r>
  <r>
    <n v="61143397"/>
    <s v="N"/>
    <n v="21334117"/>
    <s v="3000015328230003RC"/>
    <s v="CIVIL"/>
    <d v="2023-06-26T00:00:00"/>
    <d v="2023-07-05T19:42:28"/>
    <m/>
    <d v="2023-07-05T00:00:00"/>
    <n v="1913"/>
    <n v="203"/>
    <s v="61143397"/>
    <s v="61143397"/>
    <m/>
    <m/>
    <m/>
    <m/>
    <m/>
    <m/>
    <s v="SOLRECOUP"/>
    <s v="SOLRECOUP"/>
    <s v="POARECOUP"/>
    <n v="21334117"/>
    <n v="-1459.8"/>
    <m/>
    <s v="Y"/>
    <n v="2"/>
    <d v="2023-07-05T19:42:30"/>
    <s v="N"/>
    <m/>
    <m/>
    <s v="Expert Disbursement"/>
    <m/>
    <s v="N"/>
    <n v="0"/>
    <n v="0"/>
    <x v="6"/>
    <s v="VALIDATED"/>
    <n v="1"/>
    <s v="01.11.80.000.0000.0000"/>
    <n v="0"/>
    <s v="11"/>
    <s v="0000"/>
    <n v="918.49"/>
    <n v="0"/>
    <s v="CREDITOR"/>
    <n v="0"/>
    <n v="0"/>
    <n v="0"/>
    <n v="0"/>
    <n v="0"/>
  </r>
  <r>
    <n v="61143397"/>
    <s v="N"/>
    <n v="21334118"/>
    <s v="3000015328230006RC"/>
    <s v="CIVIL"/>
    <d v="2023-06-26T00:00:00"/>
    <d v="2023-07-05T19:42:28"/>
    <m/>
    <d v="2023-07-05T00:00:00"/>
    <n v="1913"/>
    <n v="203"/>
    <s v="61143397"/>
    <s v="61143397"/>
    <m/>
    <m/>
    <m/>
    <m/>
    <m/>
    <m/>
    <s v="SOLRECOUP"/>
    <s v="SOLRECOUP"/>
    <s v="POARECOUP"/>
    <n v="21334118"/>
    <n v="-330.84"/>
    <m/>
    <s v="Y"/>
    <n v="1"/>
    <d v="2023-07-05T19:42:30"/>
    <s v="N"/>
    <m/>
    <m/>
    <s v="Expert Disbursement"/>
    <m/>
    <s v="N"/>
    <n v="-330.84"/>
    <n v="0"/>
    <x v="6"/>
    <s v="VALIDATED"/>
    <n v="1"/>
    <s v="01.11.80.308.2013.0000"/>
    <n v="-330.84"/>
    <s v="11"/>
    <s v="2013"/>
    <n v="918.49"/>
    <n v="-330.84"/>
    <s v="CREDITOR"/>
    <n v="0"/>
    <n v="0"/>
    <n v="-330.84"/>
    <n v="0"/>
    <n v="0"/>
  </r>
  <r>
    <n v="61143397"/>
    <s v="N"/>
    <n v="21334118"/>
    <s v="3000015328230006RC"/>
    <s v="CIVIL"/>
    <d v="2023-06-26T00:00:00"/>
    <d v="2023-07-05T19:42:28"/>
    <m/>
    <d v="2023-07-05T00:00:00"/>
    <n v="1913"/>
    <n v="203"/>
    <s v="61143397"/>
    <s v="61143397"/>
    <m/>
    <m/>
    <m/>
    <m/>
    <m/>
    <m/>
    <s v="SOLRECOUP"/>
    <s v="SOLRECOUP"/>
    <s v="POARECOUP"/>
    <n v="21334118"/>
    <n v="-330.84"/>
    <m/>
    <s v="Y"/>
    <n v="2"/>
    <d v="2023-07-05T19:42:30"/>
    <s v="N"/>
    <m/>
    <m/>
    <s v="Expert Disbursement"/>
    <m/>
    <s v="N"/>
    <n v="0"/>
    <n v="0"/>
    <x v="6"/>
    <s v="VALIDATED"/>
    <n v="1"/>
    <s v="01.11.80.000.0000.0000"/>
    <n v="0"/>
    <s v="11"/>
    <s v="0000"/>
    <n v="918.49"/>
    <n v="0"/>
    <s v="CREDITOR"/>
    <n v="0"/>
    <n v="0"/>
    <n v="0"/>
    <n v="0"/>
    <n v="0"/>
  </r>
  <r>
    <n v="61143397"/>
    <s v="N"/>
    <n v="21334119"/>
    <s v="3000015328230005RC"/>
    <s v="CIVIL"/>
    <d v="2023-06-26T00:00:00"/>
    <d v="2023-07-05T19:42:28"/>
    <m/>
    <d v="2023-07-05T00:00:00"/>
    <n v="1913"/>
    <n v="203"/>
    <s v="61143397"/>
    <s v="61143397"/>
    <m/>
    <m/>
    <m/>
    <m/>
    <m/>
    <m/>
    <s v="SOLRECOUP"/>
    <s v="SOLRECOUP"/>
    <s v="POARECOUP"/>
    <n v="21334119"/>
    <n v="-1834.56"/>
    <m/>
    <s v="Y"/>
    <n v="1"/>
    <d v="2023-07-05T19:42:30"/>
    <s v="N"/>
    <m/>
    <m/>
    <s v="Profit Cost"/>
    <m/>
    <s v="N"/>
    <n v="-1528.8"/>
    <n v="0"/>
    <x v="6"/>
    <s v="VALIDATED"/>
    <n v="1"/>
    <s v="01.11.80.308.2013.0000"/>
    <n v="-1528.8"/>
    <s v="11"/>
    <s v="2013"/>
    <n v="918.49"/>
    <n v="-1528.8"/>
    <s v="CREDITOR"/>
    <n v="0"/>
    <n v="0"/>
    <n v="-1528.8"/>
    <n v="-382.2"/>
    <n v="0"/>
  </r>
  <r>
    <n v="61143397"/>
    <s v="N"/>
    <n v="21334119"/>
    <s v="3000015328230005RC"/>
    <s v="CIVIL"/>
    <d v="2023-06-26T00:00:00"/>
    <d v="2023-07-05T19:42:28"/>
    <m/>
    <d v="2023-07-05T00:00:00"/>
    <n v="1913"/>
    <n v="203"/>
    <s v="61143397"/>
    <s v="61143397"/>
    <m/>
    <m/>
    <m/>
    <m/>
    <m/>
    <m/>
    <s v="SOLRECOUP"/>
    <s v="SOLRECOUP"/>
    <s v="POARECOUP"/>
    <n v="21334119"/>
    <n v="-1834.56"/>
    <m/>
    <s v="Y"/>
    <n v="2"/>
    <d v="2023-07-05T19:42:30"/>
    <s v="N"/>
    <m/>
    <m/>
    <s v="Profit Cost"/>
    <m/>
    <s v="N"/>
    <n v="0"/>
    <n v="-305.76"/>
    <x v="6"/>
    <s v="VALIDATED"/>
    <n v="1"/>
    <s v="01.11.80.308.2013.0000"/>
    <n v="-305.76"/>
    <s v="11"/>
    <s v="2013"/>
    <n v="918.49"/>
    <n v="-305.76"/>
    <s v="CREDITOR"/>
    <n v="0"/>
    <n v="0"/>
    <n v="-305.76"/>
    <n v="-76.44"/>
    <n v="0"/>
  </r>
  <r>
    <n v="61143397"/>
    <s v="N"/>
    <n v="21334120"/>
    <s v="3000015328230008RC"/>
    <s v="CIVIL"/>
    <d v="2023-06-26T00:00:00"/>
    <d v="2023-07-05T19:42:28"/>
    <m/>
    <d v="2023-07-05T00:00:00"/>
    <n v="1913"/>
    <n v="203"/>
    <s v="61143397"/>
    <s v="61143397"/>
    <m/>
    <m/>
    <m/>
    <m/>
    <m/>
    <m/>
    <s v="SOLRECOUP"/>
    <s v="SOLRECOUP"/>
    <s v="POARECOUP"/>
    <n v="21334120"/>
    <n v="-54"/>
    <m/>
    <s v="Y"/>
    <n v="1"/>
    <d v="2023-07-05T19:42:30"/>
    <s v="N"/>
    <m/>
    <m/>
    <s v="Expert Disbursement"/>
    <m/>
    <s v="N"/>
    <n v="-54"/>
    <n v="0"/>
    <x v="6"/>
    <s v="VALIDATED"/>
    <n v="1"/>
    <s v="01.11.80.308.2013.0000"/>
    <n v="-54"/>
    <s v="11"/>
    <s v="2013"/>
    <n v="918.49"/>
    <n v="-54"/>
    <s v="CREDITOR"/>
    <n v="0"/>
    <n v="0"/>
    <n v="-54"/>
    <n v="0"/>
    <n v="0"/>
  </r>
  <r>
    <n v="61143397"/>
    <s v="N"/>
    <n v="21334120"/>
    <s v="3000015328230008RC"/>
    <s v="CIVIL"/>
    <d v="2023-06-26T00:00:00"/>
    <d v="2023-07-05T19:42:28"/>
    <m/>
    <d v="2023-07-05T00:00:00"/>
    <n v="1913"/>
    <n v="203"/>
    <s v="61143397"/>
    <s v="61143397"/>
    <m/>
    <m/>
    <m/>
    <m/>
    <m/>
    <m/>
    <s v="SOLRECOUP"/>
    <s v="SOLRECOUP"/>
    <s v="POARECOUP"/>
    <n v="21334120"/>
    <n v="-54"/>
    <m/>
    <s v="Y"/>
    <n v="2"/>
    <d v="2023-07-05T19:42:30"/>
    <s v="N"/>
    <m/>
    <m/>
    <s v="Expert Disbursement"/>
    <m/>
    <s v="N"/>
    <n v="0"/>
    <n v="0"/>
    <x v="6"/>
    <s v="VALIDATED"/>
    <n v="1"/>
    <s v="01.11.80.000.0000.0000"/>
    <n v="0"/>
    <s v="11"/>
    <s v="0000"/>
    <n v="918.49"/>
    <n v="0"/>
    <s v="CREDITOR"/>
    <n v="0"/>
    <n v="0"/>
    <n v="0"/>
    <n v="0"/>
    <n v="0"/>
  </r>
  <r>
    <n v="43174564"/>
    <s v="N"/>
    <n v="21357254"/>
    <s v="3000011483170014RC"/>
    <s v="CIVIL"/>
    <d v="2023-06-26T00:00:00"/>
    <d v="2023-07-10T19:48:00"/>
    <m/>
    <d v="2023-07-10T00:00:00"/>
    <n v="1926"/>
    <n v="325"/>
    <s v="43174564"/>
    <s v="43174564"/>
    <m/>
    <m/>
    <m/>
    <m/>
    <m/>
    <m/>
    <s v="SOLRECOUP"/>
    <s v="SOLRECOUP"/>
    <s v="POARECOUP"/>
    <n v="21357254"/>
    <n v="-26.68"/>
    <m/>
    <s v="Y"/>
    <n v="1"/>
    <d v="2023-07-10T19:48:00"/>
    <s v="N"/>
    <m/>
    <m/>
    <s v="Non Expert Disbursement"/>
    <m/>
    <s v="N"/>
    <n v="-26.68"/>
    <n v="0"/>
    <x v="2"/>
    <s v="VALIDATED"/>
    <n v="1"/>
    <s v="01.11.80.308.2013.0000"/>
    <n v="-26.68"/>
    <s v="11"/>
    <s v="2013"/>
    <n v="2339.15"/>
    <n v="-26.68"/>
    <s v="CREDITOR"/>
    <n v="0"/>
    <n v="0"/>
    <n v="-26.68"/>
    <n v="0"/>
    <n v="0"/>
  </r>
  <r>
    <n v="43174564"/>
    <s v="N"/>
    <n v="21357255"/>
    <s v="3000011483170012RC"/>
    <s v="CIVIL"/>
    <d v="2023-06-26T00:00:00"/>
    <d v="2023-07-10T19:48:00"/>
    <m/>
    <d v="2023-07-10T00:00:00"/>
    <n v="1926"/>
    <n v="325"/>
    <s v="43174564"/>
    <s v="43174564"/>
    <m/>
    <m/>
    <m/>
    <m/>
    <m/>
    <m/>
    <s v="SOLRECOUP"/>
    <s v="SOLRECOUP"/>
    <s v="POARECOUP"/>
    <n v="21357255"/>
    <n v="-564.42"/>
    <m/>
    <s v="Y"/>
    <n v="2"/>
    <d v="2023-07-10T19:48:00"/>
    <s v="N"/>
    <m/>
    <m/>
    <s v="Expert Disbursement"/>
    <m/>
    <s v="N"/>
    <n v="0"/>
    <n v="-94.06999999999999"/>
    <x v="2"/>
    <s v="VALIDATED"/>
    <n v="1"/>
    <s v="01.11.80.308.2013.0000"/>
    <n v="-94.06999999999999"/>
    <s v="11"/>
    <s v="2013"/>
    <n v="2339.15"/>
    <n v="-94.06999999999999"/>
    <s v="CREDITOR"/>
    <n v="0"/>
    <n v="0"/>
    <n v="-94.06999999999999"/>
    <n v="0"/>
    <n v="0"/>
  </r>
  <r>
    <n v="43174564"/>
    <s v="N"/>
    <n v="21357255"/>
    <s v="3000011483170012RC"/>
    <s v="CIVIL"/>
    <d v="2023-06-26T00:00:00"/>
    <d v="2023-07-10T19:48:00"/>
    <m/>
    <d v="2023-07-10T00:00:00"/>
    <n v="1926"/>
    <n v="325"/>
    <s v="43174564"/>
    <s v="43174564"/>
    <m/>
    <m/>
    <m/>
    <m/>
    <m/>
    <m/>
    <s v="SOLRECOUP"/>
    <s v="SOLRECOUP"/>
    <s v="POARECOUP"/>
    <n v="21357255"/>
    <n v="-564.42"/>
    <m/>
    <s v="Y"/>
    <n v="1"/>
    <d v="2023-07-10T19:48:00"/>
    <s v="N"/>
    <m/>
    <m/>
    <s v="Expert Disbursement"/>
    <m/>
    <s v="N"/>
    <n v="-470.35"/>
    <n v="0"/>
    <x v="2"/>
    <s v="VALIDATED"/>
    <n v="1"/>
    <s v="01.11.80.308.2013.0000"/>
    <n v="-470.35"/>
    <s v="11"/>
    <s v="2013"/>
    <n v="2339.15"/>
    <n v="-470.35"/>
    <s v="CREDITOR"/>
    <n v="0"/>
    <n v="0"/>
    <n v="-470.35"/>
    <n v="0"/>
    <n v="0"/>
  </r>
  <r>
    <n v="42112544"/>
    <s v="N"/>
    <n v="21360563"/>
    <s v="3000010950190006"/>
    <s v="CIVIL"/>
    <d v="2023-06-29T00:00:00"/>
    <d v="2023-07-11T11:50:54"/>
    <m/>
    <d v="2023-07-11T00:00:00"/>
    <n v="1926"/>
    <n v="325"/>
    <s v="42112544"/>
    <s v="42112544"/>
    <m/>
    <m/>
    <n v="22790156"/>
    <m/>
    <m/>
    <m/>
    <s v="SOLFIN"/>
    <s v="SOLFIN"/>
    <s v="CCMS"/>
    <n v="21360563"/>
    <n v="2967.58"/>
    <m/>
    <s v="N"/>
    <n v="18"/>
    <d v="2023-07-11T11:51:10"/>
    <s v="Y"/>
    <s v="Preparation - other"/>
    <s v="Prescribed Hourly Rates"/>
    <s v="Profit Cost"/>
    <s v="MVG"/>
    <s v="Y"/>
    <n v="31.57"/>
    <n v="6.31"/>
    <x v="7"/>
    <s v="VALIDATED"/>
    <n v="1"/>
    <s v="01.11.80.303.6100.0000"/>
    <n v="31.57"/>
    <s v="11"/>
    <s v="6100"/>
    <n v="2339.15"/>
    <n v="31.57"/>
    <s v="CREDITOR"/>
    <n v="0"/>
    <n v="0"/>
    <n v="0"/>
    <n v="0"/>
    <n v="31.57"/>
  </r>
  <r>
    <n v="42112544"/>
    <s v="N"/>
    <n v="21360563"/>
    <s v="3000010950190006"/>
    <s v="CIVIL"/>
    <d v="2023-06-29T00:00:00"/>
    <d v="2023-07-11T11:50:54"/>
    <m/>
    <d v="2023-07-11T00:00:00"/>
    <n v="1926"/>
    <n v="325"/>
    <s v="42112544"/>
    <s v="42112544"/>
    <m/>
    <m/>
    <n v="22790156"/>
    <m/>
    <m/>
    <m/>
    <s v="SOLFIN"/>
    <s v="SOLFIN"/>
    <s v="CCMS"/>
    <n v="21360563"/>
    <n v="2967.58"/>
    <m/>
    <s v="N"/>
    <n v="9"/>
    <d v="2023-07-11T11:51:10"/>
    <s v="Y"/>
    <s v="Preparation - other"/>
    <s v="Prescribed Hourly Rates"/>
    <s v="Profit Cost"/>
    <s v="MVG"/>
    <s v="Y"/>
    <n v="5.49"/>
    <n v="1.1"/>
    <x v="7"/>
    <s v="VALIDATED"/>
    <n v="1"/>
    <s v="01.11.80.303.6100.0000"/>
    <n v="5.49"/>
    <s v="11"/>
    <s v="6100"/>
    <n v="2339.15"/>
    <n v="5.49"/>
    <s v="CREDITOR"/>
    <n v="0"/>
    <n v="0"/>
    <n v="0"/>
    <n v="0"/>
    <n v="5.49"/>
  </r>
  <r>
    <n v="42112544"/>
    <s v="N"/>
    <n v="21360563"/>
    <s v="3000010950190006"/>
    <s v="CIVIL"/>
    <d v="2023-06-29T00:00:00"/>
    <d v="2023-07-11T11:50:54"/>
    <m/>
    <d v="2023-07-11T00:00:00"/>
    <n v="1926"/>
    <n v="325"/>
    <s v="42112544"/>
    <s v="42112544"/>
    <m/>
    <m/>
    <n v="22790156"/>
    <m/>
    <m/>
    <m/>
    <s v="SOLFIN"/>
    <s v="SOLFIN"/>
    <s v="CCMS"/>
    <n v="21360563"/>
    <n v="2967.58"/>
    <m/>
    <s v="N"/>
    <n v="47"/>
    <d v="2023-07-11T11:51:10"/>
    <s v="Y"/>
    <s v="Preparation - other"/>
    <s v="Prescribed Hourly Rates"/>
    <s v="Profit Cost"/>
    <s v="MVG"/>
    <s v="Y"/>
    <n v="16.47"/>
    <n v="3.29"/>
    <x v="7"/>
    <s v="VALIDATED"/>
    <n v="1"/>
    <s v="01.11.80.303.6100.0000"/>
    <n v="16.47"/>
    <s v="11"/>
    <s v="6100"/>
    <n v="2339.15"/>
    <n v="16.47"/>
    <s v="CREDITOR"/>
    <n v="0"/>
    <n v="0"/>
    <n v="0"/>
    <n v="0"/>
    <n v="16.47"/>
  </r>
  <r>
    <n v="42112544"/>
    <s v="N"/>
    <n v="21360563"/>
    <s v="3000010950190006"/>
    <s v="CIVIL"/>
    <d v="2023-06-29T00:00:00"/>
    <d v="2023-07-11T11:50:54"/>
    <m/>
    <d v="2023-07-11T00:00:00"/>
    <n v="1926"/>
    <n v="325"/>
    <s v="42112544"/>
    <s v="42112544"/>
    <m/>
    <m/>
    <n v="22790156"/>
    <m/>
    <m/>
    <m/>
    <s v="SOLFIN"/>
    <s v="SOLFIN"/>
    <s v="CCMS"/>
    <n v="21360563"/>
    <n v="2967.58"/>
    <m/>
    <s v="N"/>
    <n v="17"/>
    <d v="2023-07-11T11:51:10"/>
    <s v="Y"/>
    <s v="Attendance upon client"/>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4"/>
    <d v="2023-07-11T11:51:10"/>
    <s v="Y"/>
    <s v="Preparation - other"/>
    <s v="Prescribed Hourly Rates"/>
    <s v="Profit Cost"/>
    <s v="MVG"/>
    <s v="Y"/>
    <n v="5.49"/>
    <n v="1.1"/>
    <x v="7"/>
    <s v="VALIDATED"/>
    <n v="1"/>
    <s v="01.11.80.303.6100.0000"/>
    <n v="5.49"/>
    <s v="11"/>
    <s v="6100"/>
    <n v="2339.15"/>
    <n v="5.49"/>
    <s v="CREDITOR"/>
    <n v="0"/>
    <n v="0"/>
    <n v="0"/>
    <n v="0"/>
    <n v="5.49"/>
  </r>
  <r>
    <n v="42112544"/>
    <s v="N"/>
    <n v="21360563"/>
    <s v="3000010950190006"/>
    <s v="CIVIL"/>
    <d v="2023-06-29T00:00:00"/>
    <d v="2023-07-11T11:50:54"/>
    <m/>
    <d v="2023-07-11T00:00:00"/>
    <n v="1926"/>
    <n v="325"/>
    <s v="42112544"/>
    <s v="42112544"/>
    <m/>
    <m/>
    <n v="22790156"/>
    <m/>
    <m/>
    <m/>
    <s v="SOLFIN"/>
    <s v="SOLFIN"/>
    <s v="CCMS"/>
    <n v="21360563"/>
    <n v="2967.58"/>
    <m/>
    <s v="N"/>
    <n v="32"/>
    <d v="2023-07-11T11:51:10"/>
    <s v="Y"/>
    <s v="Preparation - other"/>
    <s v="Prescribed Hourly Rates"/>
    <s v="Profit Cost"/>
    <s v="MVG"/>
    <s v="Y"/>
    <n v="37.88"/>
    <n v="7.58"/>
    <x v="7"/>
    <s v="VALIDATED"/>
    <n v="1"/>
    <s v="01.11.80.303.6100.0000"/>
    <n v="37.88"/>
    <s v="11"/>
    <s v="6100"/>
    <n v="2339.15"/>
    <n v="37.88"/>
    <s v="CREDITOR"/>
    <n v="0"/>
    <n v="0"/>
    <n v="0"/>
    <n v="0"/>
    <n v="37.88"/>
  </r>
  <r>
    <n v="42112544"/>
    <s v="N"/>
    <n v="21360563"/>
    <s v="3000010950190006"/>
    <s v="CIVIL"/>
    <d v="2023-06-29T00:00:00"/>
    <d v="2023-07-11T11:50:54"/>
    <m/>
    <d v="2023-07-11T00:00:00"/>
    <n v="1926"/>
    <n v="325"/>
    <s v="42112544"/>
    <s v="42112544"/>
    <m/>
    <m/>
    <n v="22790156"/>
    <m/>
    <m/>
    <m/>
    <s v="SOLFIN"/>
    <s v="SOLFIN"/>
    <s v="CCMS"/>
    <n v="21360563"/>
    <n v="2967.58"/>
    <m/>
    <s v="N"/>
    <n v="48"/>
    <d v="2023-07-11T11:51:10"/>
    <s v="Y"/>
    <s v="Preparation - other"/>
    <s v="Prescribed Hourly Rates"/>
    <s v="Profit Cost"/>
    <s v="MVG"/>
    <s v="Y"/>
    <n v="21.96"/>
    <n v="4.39"/>
    <x v="7"/>
    <s v="VALIDATED"/>
    <n v="1"/>
    <s v="01.11.80.303.6100.0000"/>
    <n v="21.96"/>
    <s v="11"/>
    <s v="6100"/>
    <n v="2339.15"/>
    <n v="21.96"/>
    <s v="CREDITOR"/>
    <n v="0"/>
    <n v="0"/>
    <n v="0"/>
    <n v="0"/>
    <n v="21.96"/>
  </r>
  <r>
    <n v="42112544"/>
    <s v="N"/>
    <n v="21360563"/>
    <s v="3000010950190006"/>
    <s v="CIVIL"/>
    <d v="2023-06-29T00:00:00"/>
    <d v="2023-07-11T11:50:54"/>
    <m/>
    <d v="2023-07-11T00:00:00"/>
    <n v="1926"/>
    <n v="325"/>
    <s v="42112544"/>
    <s v="42112544"/>
    <m/>
    <m/>
    <n v="22790156"/>
    <m/>
    <m/>
    <m/>
    <s v="SOLFIN"/>
    <s v="SOLFIN"/>
    <s v="CCMS"/>
    <n v="21360563"/>
    <n v="2967.58"/>
    <m/>
    <s v="N"/>
    <n v="40"/>
    <d v="2023-07-11T11:51:10"/>
    <s v="Y"/>
    <s v="Preparation - drafting consent orde"/>
    <s v="Prescribed Hourly Rates"/>
    <s v="Profit Cost"/>
    <s v="MVG"/>
    <s v="Y"/>
    <n v="12.63"/>
    <n v="2.53"/>
    <x v="7"/>
    <s v="VALIDATED"/>
    <n v="1"/>
    <s v="01.11.80.303.6100.0000"/>
    <n v="12.63"/>
    <s v="11"/>
    <s v="6100"/>
    <n v="2339.15"/>
    <n v="12.63"/>
    <s v="CREDITOR"/>
    <n v="0"/>
    <n v="0"/>
    <n v="0"/>
    <n v="0"/>
    <n v="12.63"/>
  </r>
  <r>
    <n v="43174564"/>
    <s v="N"/>
    <n v="21349883"/>
    <s v="3000011483170017"/>
    <s v="CIVIL"/>
    <d v="2023-06-26T00:00:00"/>
    <d v="2023-07-10T19:01:40"/>
    <m/>
    <d v="2023-07-10T00:00:00"/>
    <n v="1926"/>
    <n v="325"/>
    <s v="43174564"/>
    <s v="43174564"/>
    <m/>
    <m/>
    <n v="22765066"/>
    <m/>
    <m/>
    <m/>
    <s v="SOLFIN"/>
    <s v="SOLFIN"/>
    <s v="CCMS"/>
    <n v="21349883"/>
    <n v="1906.89"/>
    <m/>
    <s v="N"/>
    <n v="1"/>
    <d v="2023-07-10T19:02:01"/>
    <s v="Y"/>
    <s v="Solicitors Fixed Fee"/>
    <s v="Public Law Children"/>
    <s v="Profit Cost"/>
    <s v="XXX"/>
    <s v="Y"/>
    <n v="955.5"/>
    <n v="191.1"/>
    <x v="2"/>
    <s v="VALIDATED"/>
    <n v="1"/>
    <s v="01.11.80.308.6100.0000"/>
    <n v="955.5"/>
    <s v="11"/>
    <s v="6100"/>
    <n v="2339.15"/>
    <n v="955.5"/>
    <s v="CREDITOR"/>
    <n v="0"/>
    <n v="0"/>
    <n v="0"/>
    <n v="0"/>
    <n v="955.5"/>
  </r>
  <r>
    <n v="42112544"/>
    <s v="N"/>
    <n v="21360563"/>
    <s v="3000010950190006"/>
    <s v="CIVIL"/>
    <d v="2023-06-29T00:00:00"/>
    <d v="2023-07-11T11:50:54"/>
    <m/>
    <d v="2023-07-11T00:00:00"/>
    <n v="1926"/>
    <n v="325"/>
    <s v="42112544"/>
    <s v="42112544"/>
    <m/>
    <m/>
    <n v="22790156"/>
    <m/>
    <m/>
    <m/>
    <s v="SOLFIN"/>
    <s v="SOLFIN"/>
    <s v="CCMS"/>
    <n v="21360563"/>
    <n v="2967.58"/>
    <m/>
    <s v="N"/>
    <n v="11"/>
    <d v="2023-07-11T11:51:10"/>
    <s v="Y"/>
    <s v="Attendance upon client"/>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39"/>
    <d v="2023-07-11T11:51:10"/>
    <s v="Y"/>
    <s v="Preparation - other"/>
    <s v="Prescribed Hourly Rates"/>
    <s v="Profit Cost"/>
    <s v="MVG"/>
    <s v="Y"/>
    <n v="5.49"/>
    <n v="1.1"/>
    <x v="7"/>
    <s v="VALIDATED"/>
    <n v="1"/>
    <s v="01.11.80.303.6100.0000"/>
    <n v="5.49"/>
    <s v="11"/>
    <s v="6100"/>
    <n v="2339.15"/>
    <n v="5.49"/>
    <s v="CREDITOR"/>
    <n v="0"/>
    <n v="0"/>
    <n v="0"/>
    <n v="0"/>
    <n v="5.49"/>
  </r>
  <r>
    <n v="42112544"/>
    <s v="N"/>
    <n v="21360563"/>
    <s v="3000010950190006"/>
    <s v="CIVIL"/>
    <d v="2023-06-29T00:00:00"/>
    <d v="2023-07-11T11:50:54"/>
    <m/>
    <d v="2023-07-11T00:00:00"/>
    <n v="1926"/>
    <n v="325"/>
    <s v="42112544"/>
    <s v="42112544"/>
    <m/>
    <m/>
    <n v="22790156"/>
    <m/>
    <m/>
    <m/>
    <s v="SOLFIN"/>
    <s v="SOLFIN"/>
    <s v="CCMS"/>
    <n v="21360563"/>
    <n v="2967.58"/>
    <m/>
    <s v="N"/>
    <n v="1"/>
    <d v="2023-07-11T11:51:10"/>
    <s v="Y"/>
    <s v="Court Fee"/>
    <s v="Prescribed Hourly Rates"/>
    <s v="Non Expert Disbursement"/>
    <s v="MVG"/>
    <s v="Y"/>
    <n v="255"/>
    <n v="0"/>
    <x v="7"/>
    <s v="VALIDATED"/>
    <n v="1"/>
    <s v="01.11.80.303.6300.0000"/>
    <n v="255"/>
    <s v="11"/>
    <s v="6300"/>
    <n v="2339.15"/>
    <n v="255"/>
    <s v="CREDITOR"/>
    <n v="0"/>
    <n v="0"/>
    <n v="0"/>
    <n v="0"/>
    <n v="255"/>
  </r>
  <r>
    <n v="42112544"/>
    <s v="N"/>
    <n v="21360563"/>
    <s v="3000010950190006"/>
    <s v="CIVIL"/>
    <d v="2023-06-29T00:00:00"/>
    <d v="2023-07-11T11:50:54"/>
    <m/>
    <d v="2023-07-11T00:00:00"/>
    <n v="1926"/>
    <n v="325"/>
    <s v="42112544"/>
    <s v="42112544"/>
    <m/>
    <m/>
    <n v="22790156"/>
    <m/>
    <m/>
    <m/>
    <s v="SOLFIN"/>
    <s v="SOLFIN"/>
    <s v="CCMS"/>
    <n v="21360563"/>
    <n v="2967.58"/>
    <m/>
    <s v="N"/>
    <n v="25"/>
    <d v="2023-07-11T11:51:10"/>
    <s v="Y"/>
    <s v="Attendance upon client"/>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10"/>
    <d v="2023-07-11T11:51:10"/>
    <s v="Y"/>
    <s v="Preparation - other"/>
    <s v="Prescribed Hourly Rates"/>
    <s v="Profit Cost"/>
    <s v="MVG"/>
    <s v="Y"/>
    <n v="69.45"/>
    <n v="13.89"/>
    <x v="7"/>
    <s v="VALIDATED"/>
    <n v="1"/>
    <s v="01.11.80.303.6100.0000"/>
    <n v="69.45"/>
    <s v="11"/>
    <s v="6100"/>
    <n v="2339.15"/>
    <n v="69.45"/>
    <s v="CREDITOR"/>
    <n v="0"/>
    <n v="0"/>
    <n v="0"/>
    <n v="0"/>
    <n v="69.45"/>
  </r>
  <r>
    <n v="42112544"/>
    <s v="N"/>
    <n v="21360563"/>
    <s v="3000010950190006"/>
    <s v="CIVIL"/>
    <d v="2023-06-29T00:00:00"/>
    <d v="2023-07-11T11:50:54"/>
    <m/>
    <d v="2023-07-11T00:00:00"/>
    <n v="1926"/>
    <n v="325"/>
    <s v="42112544"/>
    <s v="42112544"/>
    <m/>
    <m/>
    <n v="22790156"/>
    <m/>
    <m/>
    <m/>
    <s v="SOLFIN"/>
    <s v="SOLFIN"/>
    <s v="CCMS"/>
    <n v="21360563"/>
    <n v="2967.58"/>
    <m/>
    <s v="N"/>
    <n v="31"/>
    <d v="2023-07-11T11:51:10"/>
    <s v="Y"/>
    <s v="Preparation - other"/>
    <s v="Prescribed Hourly Rates"/>
    <s v="Profit Cost"/>
    <s v="MVG"/>
    <s v="Y"/>
    <n v="6.31"/>
    <n v="1.26"/>
    <x v="7"/>
    <s v="VALIDATED"/>
    <n v="1"/>
    <s v="01.11.80.303.6100.0000"/>
    <n v="6.31"/>
    <s v="11"/>
    <s v="6100"/>
    <n v="2339.15"/>
    <n v="6.31"/>
    <s v="CREDITOR"/>
    <n v="0"/>
    <n v="0"/>
    <n v="0"/>
    <n v="0"/>
    <n v="6.31"/>
  </r>
  <r>
    <n v="42112544"/>
    <s v="N"/>
    <n v="21360563"/>
    <s v="3000010950190006"/>
    <s v="CIVIL"/>
    <d v="2023-06-29T00:00:00"/>
    <d v="2023-07-11T11:50:54"/>
    <m/>
    <d v="2023-07-11T00:00:00"/>
    <n v="1926"/>
    <n v="325"/>
    <s v="42112544"/>
    <s v="42112544"/>
    <m/>
    <m/>
    <n v="22790156"/>
    <m/>
    <m/>
    <m/>
    <s v="SOLFIN"/>
    <s v="SOLFIN"/>
    <s v="CCMS"/>
    <n v="21360563"/>
    <n v="2967.58"/>
    <m/>
    <s v="N"/>
    <n v="49"/>
    <d v="2023-07-11T11:51:10"/>
    <s v="Y"/>
    <s v="Routine Telephone Call"/>
    <s v="Prescribed Hourly Rates"/>
    <s v="Profit Cost"/>
    <s v="MVG"/>
    <s v="Y"/>
    <n v="118.8"/>
    <n v="23.76"/>
    <x v="7"/>
    <s v="VALIDATED"/>
    <n v="1"/>
    <s v="01.11.80.303.6100.0000"/>
    <n v="118.8"/>
    <s v="11"/>
    <s v="6100"/>
    <n v="2339.15"/>
    <n v="118.8"/>
    <s v="CREDITOR"/>
    <n v="0"/>
    <n v="0"/>
    <n v="0"/>
    <n v="0"/>
    <n v="118.8"/>
  </r>
  <r>
    <n v="42112544"/>
    <s v="N"/>
    <n v="21360563"/>
    <s v="3000010950190006"/>
    <s v="CIVIL"/>
    <d v="2023-06-29T00:00:00"/>
    <d v="2023-07-11T11:50:54"/>
    <m/>
    <d v="2023-07-11T00:00:00"/>
    <n v="1926"/>
    <n v="325"/>
    <s v="42112544"/>
    <s v="42112544"/>
    <m/>
    <m/>
    <n v="22790156"/>
    <m/>
    <m/>
    <m/>
    <s v="SOLFIN"/>
    <s v="SOLFIN"/>
    <s v="CCMS"/>
    <n v="21360563"/>
    <n v="2967.58"/>
    <m/>
    <s v="N"/>
    <n v="36"/>
    <d v="2023-07-11T11:51:10"/>
    <s v="Y"/>
    <s v="Preparation - drafting instructions"/>
    <s v="Prescribed Hourly Rates"/>
    <s v="Profit Cost"/>
    <s v="MVG"/>
    <s v="Y"/>
    <n v="25.25"/>
    <n v="5.05"/>
    <x v="7"/>
    <s v="VALIDATED"/>
    <n v="1"/>
    <s v="01.11.80.303.6100.0000"/>
    <n v="25.25"/>
    <s v="11"/>
    <s v="6100"/>
    <n v="2339.15"/>
    <n v="25.25"/>
    <s v="CREDITOR"/>
    <n v="0"/>
    <n v="0"/>
    <n v="0"/>
    <n v="0"/>
    <n v="25.25"/>
  </r>
  <r>
    <n v="42112544"/>
    <s v="N"/>
    <n v="21360563"/>
    <s v="3000010950190006"/>
    <s v="CIVIL"/>
    <d v="2023-06-29T00:00:00"/>
    <d v="2023-07-11T11:50:54"/>
    <m/>
    <d v="2023-07-11T00:00:00"/>
    <n v="1926"/>
    <n v="325"/>
    <s v="42112544"/>
    <s v="42112544"/>
    <m/>
    <m/>
    <n v="22790156"/>
    <m/>
    <m/>
    <m/>
    <s v="SOLFIN"/>
    <s v="SOLFIN"/>
    <s v="CCMS"/>
    <n v="21360563"/>
    <n v="2967.58"/>
    <m/>
    <s v="N"/>
    <n v="46"/>
    <d v="2023-07-11T11:51:10"/>
    <s v="Y"/>
    <s v="Preparation - drafting bill/claim f"/>
    <s v="Prescribed Hourly Rates"/>
    <s v="Profit Cost"/>
    <s v="JB"/>
    <s v="Y"/>
    <n v="137.25"/>
    <n v="27.45"/>
    <x v="7"/>
    <s v="VALIDATED"/>
    <n v="1"/>
    <s v="01.11.80.303.6100.0000"/>
    <n v="137.25"/>
    <s v="11"/>
    <s v="6100"/>
    <n v="2339.15"/>
    <n v="137.25"/>
    <s v="CREDITOR"/>
    <n v="0"/>
    <n v="0"/>
    <n v="0"/>
    <n v="0"/>
    <n v="137.25"/>
  </r>
  <r>
    <n v="42112544"/>
    <s v="N"/>
    <n v="21360563"/>
    <s v="3000010950190006"/>
    <s v="CIVIL"/>
    <d v="2023-06-29T00:00:00"/>
    <d v="2023-07-11T11:50:54"/>
    <m/>
    <d v="2023-07-11T00:00:00"/>
    <n v="1926"/>
    <n v="325"/>
    <s v="42112544"/>
    <s v="42112544"/>
    <m/>
    <m/>
    <n v="22790156"/>
    <m/>
    <m/>
    <m/>
    <s v="SOLFIN"/>
    <s v="SOLFIN"/>
    <s v="CCMS"/>
    <n v="21360563"/>
    <n v="2967.58"/>
    <m/>
    <s v="N"/>
    <n v="7"/>
    <d v="2023-07-11T11:51:10"/>
    <s v="Y"/>
    <s v="Preparation - drafting notice(s)"/>
    <s v="Prescribed Hourly Rates"/>
    <s v="Profit Cost"/>
    <s v="MVG"/>
    <s v="Y"/>
    <n v="5.49"/>
    <n v="1.1"/>
    <x v="7"/>
    <s v="VALIDATED"/>
    <n v="1"/>
    <s v="01.11.80.303.6100.0000"/>
    <n v="5.49"/>
    <s v="11"/>
    <s v="6100"/>
    <n v="2339.15"/>
    <n v="5.49"/>
    <s v="CREDITOR"/>
    <n v="0"/>
    <n v="0"/>
    <n v="0"/>
    <n v="0"/>
    <n v="5.49"/>
  </r>
  <r>
    <n v="42112544"/>
    <s v="N"/>
    <n v="21360563"/>
    <s v="3000010950190006"/>
    <s v="CIVIL"/>
    <d v="2023-06-29T00:00:00"/>
    <d v="2023-07-11T11:50:54"/>
    <m/>
    <d v="2023-07-11T00:00:00"/>
    <n v="1926"/>
    <n v="325"/>
    <s v="42112544"/>
    <s v="42112544"/>
    <m/>
    <m/>
    <n v="22790156"/>
    <m/>
    <m/>
    <m/>
    <s v="SOLFIN"/>
    <s v="SOLFIN"/>
    <s v="CCMS"/>
    <n v="21360563"/>
    <n v="2967.58"/>
    <m/>
    <s v="N"/>
    <n v="34"/>
    <d v="2023-07-11T11:51:10"/>
    <s v="Y"/>
    <s v="Preparation - other"/>
    <s v="Prescribed Hourly Rates"/>
    <s v="Profit Cost"/>
    <s v="MVG"/>
    <s v="Y"/>
    <n v="31.57"/>
    <n v="6.31"/>
    <x v="7"/>
    <s v="VALIDATED"/>
    <n v="1"/>
    <s v="01.11.80.303.6100.0000"/>
    <n v="31.57"/>
    <s v="11"/>
    <s v="6100"/>
    <n v="2339.15"/>
    <n v="31.57"/>
    <s v="CREDITOR"/>
    <n v="0"/>
    <n v="0"/>
    <n v="0"/>
    <n v="0"/>
    <n v="31.57"/>
  </r>
  <r>
    <n v="43174564"/>
    <s v="N"/>
    <n v="21349883"/>
    <s v="3000011483170017"/>
    <s v="CIVIL"/>
    <d v="2023-06-26T00:00:00"/>
    <d v="2023-07-10T19:01:40"/>
    <m/>
    <d v="2023-07-10T00:00:00"/>
    <n v="1926"/>
    <n v="325"/>
    <s v="43174564"/>
    <s v="43174564"/>
    <m/>
    <m/>
    <n v="22765066"/>
    <m/>
    <m/>
    <m/>
    <s v="SOLFIN"/>
    <s v="SOLFIN"/>
    <s v="CCMS"/>
    <n v="21349883"/>
    <n v="1906.89"/>
    <m/>
    <s v="N"/>
    <n v="2"/>
    <d v="2023-07-10T19:02:01"/>
    <s v="Y"/>
    <s v="Other"/>
    <s v="Public Law Children"/>
    <s v="Non Expert Disbursement"/>
    <s v="XXX"/>
    <s v="Y"/>
    <n v="22.23"/>
    <n v="4.45"/>
    <x v="2"/>
    <s v="VALIDATED"/>
    <n v="1"/>
    <s v="01.11.80.308.6300.0000"/>
    <n v="22.23"/>
    <s v="11"/>
    <s v="6300"/>
    <n v="2339.15"/>
    <n v="22.23"/>
    <s v="CREDITOR"/>
    <n v="0"/>
    <n v="0"/>
    <n v="0"/>
    <n v="0"/>
    <n v="22.23"/>
  </r>
  <r>
    <n v="60639820"/>
    <s v="N"/>
    <n v="21370463"/>
    <s v="3000014828110001"/>
    <s v="CIVIL"/>
    <d v="2023-06-04T00:00:00"/>
    <d v="2023-07-13T19:21:05"/>
    <m/>
    <d v="2023-07-13T00:00:00"/>
    <n v="1926"/>
    <n v="325"/>
    <s v="60639820"/>
    <s v="60639820"/>
    <m/>
    <m/>
    <n v="22611948"/>
    <m/>
    <m/>
    <m/>
    <s v="SOLFIN"/>
    <s v="SOLFIN"/>
    <s v="CCMS"/>
    <n v="21370463"/>
    <n v="0"/>
    <m/>
    <s v="N"/>
    <n v="1"/>
    <d v="2023-07-13T19:21:27"/>
    <s v="N"/>
    <s v="NIL BILL"/>
    <s v="Non Family Hourly Rates"/>
    <s v="Profit Cost"/>
    <s v="FCY"/>
    <s v="N"/>
    <n v="0"/>
    <n v="0"/>
    <x v="11"/>
    <s v="VALIDATED"/>
    <n v="1"/>
    <s v="01.11.80.208.6100.0000"/>
    <n v="0"/>
    <s v="11"/>
    <s v="6100"/>
    <n v="2339.15"/>
    <n v="0"/>
    <s v="CREDITOR"/>
    <n v="0"/>
    <n v="0"/>
    <n v="0"/>
    <n v="0"/>
    <n v="0"/>
  </r>
  <r>
    <n v="42112544"/>
    <s v="N"/>
    <n v="21360563"/>
    <s v="3000010950190006"/>
    <s v="CIVIL"/>
    <d v="2023-06-29T00:00:00"/>
    <d v="2023-07-11T11:50:54"/>
    <m/>
    <d v="2023-07-11T00:00:00"/>
    <n v="1926"/>
    <n v="325"/>
    <s v="42112544"/>
    <s v="42112544"/>
    <m/>
    <m/>
    <n v="22790156"/>
    <m/>
    <m/>
    <m/>
    <s v="SOLFIN"/>
    <s v="SOLFIN"/>
    <s v="CCMS"/>
    <n v="21360563"/>
    <n v="2967.58"/>
    <m/>
    <s v="N"/>
    <n v="16"/>
    <d v="2023-07-11T11:51:10"/>
    <s v="Y"/>
    <s v="Preparation - other"/>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21"/>
    <d v="2023-07-11T11:51:10"/>
    <s v="Y"/>
    <s v="Preparation - other"/>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6"/>
    <d v="2023-07-11T11:51:10"/>
    <s v="Y"/>
    <s v="Preparation - other"/>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27"/>
    <d v="2023-07-11T11:51:10"/>
    <s v="Y"/>
    <s v="Preparation - other"/>
    <s v="Prescribed Hourly Rates"/>
    <s v="Profit Cost"/>
    <s v="MVG"/>
    <s v="Y"/>
    <n v="75.76000000000001"/>
    <n v="15.15"/>
    <x v="7"/>
    <s v="VALIDATED"/>
    <n v="1"/>
    <s v="01.11.80.303.6100.0000"/>
    <n v="75.76000000000001"/>
    <s v="11"/>
    <s v="6100"/>
    <n v="2339.15"/>
    <n v="75.76000000000001"/>
    <s v="CREDITOR"/>
    <n v="0"/>
    <n v="0"/>
    <n v="0"/>
    <n v="0"/>
    <n v="75.76000000000001"/>
  </r>
  <r>
    <n v="42112544"/>
    <s v="N"/>
    <n v="21360563"/>
    <s v="3000010950190006"/>
    <s v="CIVIL"/>
    <d v="2023-06-29T00:00:00"/>
    <d v="2023-07-11T11:50:54"/>
    <m/>
    <d v="2023-07-11T00:00:00"/>
    <n v="1926"/>
    <n v="325"/>
    <s v="42112544"/>
    <s v="42112544"/>
    <m/>
    <m/>
    <n v="22790156"/>
    <m/>
    <m/>
    <m/>
    <s v="SOLFIN"/>
    <s v="SOLFIN"/>
    <s v="CCMS"/>
    <n v="21360563"/>
    <n v="2967.58"/>
    <m/>
    <s v="N"/>
    <n v="2"/>
    <d v="2023-07-11T11:51:10"/>
    <s v="Y"/>
    <s v="Hearing Unit 1.01 - 2.30 Hours"/>
    <s v="Private Law Finance"/>
    <s v="Advocacy"/>
    <s v="MVG"/>
    <s v="Y"/>
    <n v="157.95"/>
    <n v="31.59"/>
    <x v="7"/>
    <s v="VALIDATED"/>
    <n v="1"/>
    <s v="01.11.80.303.6100.0000"/>
    <n v="157.95"/>
    <s v="11"/>
    <s v="6100"/>
    <n v="2339.15"/>
    <n v="157.95"/>
    <s v="CREDITOR"/>
    <n v="0"/>
    <n v="0"/>
    <n v="0"/>
    <n v="0"/>
    <n v="157.95"/>
  </r>
  <r>
    <n v="42112544"/>
    <s v="N"/>
    <n v="21360563"/>
    <s v="3000010950190006"/>
    <s v="CIVIL"/>
    <d v="2023-06-29T00:00:00"/>
    <d v="2023-07-11T11:50:54"/>
    <m/>
    <d v="2023-07-11T00:00:00"/>
    <n v="1926"/>
    <n v="325"/>
    <s v="42112544"/>
    <s v="42112544"/>
    <m/>
    <m/>
    <n v="22790156"/>
    <m/>
    <m/>
    <m/>
    <s v="SOLFIN"/>
    <s v="SOLFIN"/>
    <s v="CCMS"/>
    <n v="21360563"/>
    <n v="2967.58"/>
    <m/>
    <s v="N"/>
    <n v="13"/>
    <d v="2023-07-11T11:51:10"/>
    <s v="Y"/>
    <s v="Preparation - other"/>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41"/>
    <d v="2023-07-11T11:51:10"/>
    <s v="Y"/>
    <s v="Preparation - other"/>
    <s v="Prescribed Hourly Rates"/>
    <s v="Profit Cost"/>
    <s v="MVG"/>
    <s v="Y"/>
    <n v="10.98"/>
    <n v="2.2"/>
    <x v="7"/>
    <s v="VALIDATED"/>
    <n v="1"/>
    <s v="01.11.80.303.6100.0000"/>
    <n v="10.98"/>
    <s v="11"/>
    <s v="6100"/>
    <n v="2339.15"/>
    <n v="10.98"/>
    <s v="CREDITOR"/>
    <n v="0"/>
    <n v="0"/>
    <n v="0"/>
    <n v="0"/>
    <n v="10.98"/>
  </r>
  <r>
    <n v="42112544"/>
    <s v="N"/>
    <n v="21360563"/>
    <s v="3000010950190006"/>
    <s v="CIVIL"/>
    <d v="2023-06-29T00:00:00"/>
    <d v="2023-07-11T11:50:54"/>
    <m/>
    <d v="2023-07-11T00:00:00"/>
    <n v="1926"/>
    <n v="325"/>
    <s v="42112544"/>
    <s v="42112544"/>
    <m/>
    <m/>
    <n v="22790156"/>
    <m/>
    <m/>
    <m/>
    <s v="SOLFIN"/>
    <s v="SOLFIN"/>
    <s v="CCMS"/>
    <n v="21360563"/>
    <n v="2967.58"/>
    <m/>
    <s v="N"/>
    <n v="29"/>
    <d v="2023-07-11T11:51:10"/>
    <s v="Y"/>
    <s v="Attendance upon client"/>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22"/>
    <d v="2023-07-11T11:51:10"/>
    <s v="Y"/>
    <s v="Preparation - other"/>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8"/>
    <d v="2023-07-11T11:51:10"/>
    <s v="Y"/>
    <s v="Preparation - other"/>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12"/>
    <d v="2023-07-11T11:51:10"/>
    <s v="Y"/>
    <s v="Attendance upon other side"/>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38"/>
    <d v="2023-07-11T11:51:10"/>
    <s v="Y"/>
    <s v="Attendance upon client"/>
    <s v="Prescribed Hourly Rates"/>
    <s v="Profit Cost"/>
    <s v="MVG"/>
    <s v="Y"/>
    <n v="12.63"/>
    <n v="2.53"/>
    <x v="7"/>
    <s v="VALIDATED"/>
    <n v="1"/>
    <s v="01.11.80.303.6100.0000"/>
    <n v="12.63"/>
    <s v="11"/>
    <s v="6100"/>
    <n v="2339.15"/>
    <n v="12.63"/>
    <s v="CREDITOR"/>
    <n v="0"/>
    <n v="0"/>
    <n v="0"/>
    <n v="0"/>
    <n v="12.63"/>
  </r>
  <r>
    <n v="42112544"/>
    <s v="N"/>
    <n v="21360563"/>
    <s v="3000010950190006"/>
    <s v="CIVIL"/>
    <d v="2023-06-29T00:00:00"/>
    <d v="2023-07-11T11:50:54"/>
    <m/>
    <d v="2023-07-11T00:00:00"/>
    <n v="1926"/>
    <n v="325"/>
    <s v="42112544"/>
    <s v="42112544"/>
    <m/>
    <m/>
    <n v="22790156"/>
    <m/>
    <m/>
    <m/>
    <s v="SOLFIN"/>
    <s v="SOLFIN"/>
    <s v="CCMS"/>
    <n v="21360563"/>
    <n v="2967.58"/>
    <m/>
    <s v="N"/>
    <n v="14"/>
    <d v="2023-07-11T11:51:10"/>
    <s v="Y"/>
    <s v="Preparation - drafting consent orde"/>
    <s v="Prescribed Hourly Rates"/>
    <s v="Profit Cost"/>
    <s v="MVG"/>
    <s v="Y"/>
    <n v="6.31"/>
    <n v="1.26"/>
    <x v="7"/>
    <s v="VALIDATED"/>
    <n v="1"/>
    <s v="01.11.80.303.6100.0000"/>
    <n v="6.31"/>
    <s v="11"/>
    <s v="6100"/>
    <n v="2339.15"/>
    <n v="6.31"/>
    <s v="CREDITOR"/>
    <n v="0"/>
    <n v="0"/>
    <n v="0"/>
    <n v="0"/>
    <n v="6.31"/>
  </r>
  <r>
    <n v="42112544"/>
    <s v="N"/>
    <n v="21360563"/>
    <s v="3000010950190006"/>
    <s v="CIVIL"/>
    <d v="2023-06-29T00:00:00"/>
    <d v="2023-07-11T11:50:54"/>
    <m/>
    <d v="2023-07-11T00:00:00"/>
    <n v="1926"/>
    <n v="325"/>
    <s v="42112544"/>
    <s v="42112544"/>
    <m/>
    <m/>
    <n v="22790156"/>
    <m/>
    <m/>
    <m/>
    <s v="SOLFIN"/>
    <s v="SOLFIN"/>
    <s v="CCMS"/>
    <n v="21360563"/>
    <n v="2967.58"/>
    <m/>
    <s v="N"/>
    <n v="42"/>
    <d v="2023-07-11T11:51:10"/>
    <s v="Y"/>
    <s v="Preparation - other"/>
    <s v="Prescribed Hourly Rates"/>
    <s v="Profit Cost"/>
    <s v="MVG"/>
    <s v="Y"/>
    <n v="10.98"/>
    <n v="2.2"/>
    <x v="7"/>
    <s v="VALIDATED"/>
    <n v="1"/>
    <s v="01.11.80.303.6100.0000"/>
    <n v="10.98"/>
    <s v="11"/>
    <s v="6100"/>
    <n v="2339.15"/>
    <n v="10.98"/>
    <s v="CREDITOR"/>
    <n v="0"/>
    <n v="0"/>
    <n v="0"/>
    <n v="0"/>
    <n v="10.98"/>
  </r>
  <r>
    <n v="42112544"/>
    <s v="N"/>
    <n v="21360563"/>
    <s v="3000010950190006"/>
    <s v="CIVIL"/>
    <d v="2023-06-29T00:00:00"/>
    <d v="2023-07-11T11:50:54"/>
    <m/>
    <d v="2023-07-11T00:00:00"/>
    <n v="1926"/>
    <n v="325"/>
    <s v="42112544"/>
    <s v="42112544"/>
    <m/>
    <m/>
    <n v="22790156"/>
    <m/>
    <m/>
    <m/>
    <s v="SOLFIN"/>
    <s v="SOLFIN"/>
    <s v="CCMS"/>
    <n v="21360563"/>
    <n v="2967.58"/>
    <m/>
    <s v="N"/>
    <n v="50"/>
    <d v="2023-07-11T11:51:10"/>
    <s v="Y"/>
    <s v="Routine Letter Out"/>
    <s v="Prescribed Hourly Rates"/>
    <s v="Profit Cost"/>
    <s v="MVG"/>
    <s v="Y"/>
    <n v="680.4"/>
    <n v="136.07"/>
    <x v="7"/>
    <s v="VALIDATED"/>
    <n v="1"/>
    <s v="01.11.80.303.6100.0000"/>
    <n v="680.4"/>
    <s v="11"/>
    <s v="6100"/>
    <n v="2339.15"/>
    <n v="680.4"/>
    <s v="CREDITOR"/>
    <n v="0"/>
    <n v="0"/>
    <n v="0"/>
    <n v="0"/>
    <n v="680.4"/>
  </r>
  <r>
    <n v="42112544"/>
    <s v="N"/>
    <n v="21360563"/>
    <s v="3000010950190006"/>
    <s v="CIVIL"/>
    <d v="2023-06-29T00:00:00"/>
    <d v="2023-07-11T11:50:54"/>
    <m/>
    <d v="2023-07-11T00:00:00"/>
    <n v="1926"/>
    <n v="325"/>
    <s v="42112544"/>
    <s v="42112544"/>
    <m/>
    <m/>
    <n v="22790156"/>
    <m/>
    <m/>
    <m/>
    <s v="SOLFIN"/>
    <s v="SOLFIN"/>
    <s v="CCMS"/>
    <n v="21360563"/>
    <n v="2967.58"/>
    <m/>
    <s v="N"/>
    <n v="20"/>
    <d v="2023-07-11T11:51:10"/>
    <s v="Y"/>
    <s v="Preparation - other"/>
    <s v="Prescribed Hourly Rates"/>
    <s v="Profit Cost"/>
    <s v="MVG"/>
    <s v="Y"/>
    <n v="6.31"/>
    <n v="1.26"/>
    <x v="7"/>
    <s v="VALIDATED"/>
    <n v="1"/>
    <s v="01.11.80.303.6100.0000"/>
    <n v="6.31"/>
    <s v="11"/>
    <s v="6100"/>
    <n v="2339.15"/>
    <n v="6.31"/>
    <s v="CREDITOR"/>
    <n v="0"/>
    <n v="0"/>
    <n v="0"/>
    <n v="0"/>
    <n v="6.31"/>
  </r>
  <r>
    <n v="60752382"/>
    <s v="N"/>
    <n v="21319607"/>
    <s v="3000014941430009"/>
    <s v="CIVIL"/>
    <d v="2023-06-27T00:00:00"/>
    <d v="2023-07-03T19:04:24"/>
    <m/>
    <d v="2023-07-03T00:00:00"/>
    <n v="1926"/>
    <n v="325"/>
    <s v="60752382"/>
    <s v="60752382"/>
    <m/>
    <m/>
    <n v="22772592"/>
    <m/>
    <m/>
    <m/>
    <s v="SOLPOA"/>
    <s v="SOLPOA"/>
    <s v="CCMS"/>
    <n v="21319607"/>
    <n v="1426.46"/>
    <m/>
    <s v="N"/>
    <n v="1"/>
    <d v="2023-07-03T19:04:26"/>
    <s v="N"/>
    <s v="Level 3 Fixed Fee"/>
    <s v="Private Law Children"/>
    <s v="Profit Cost"/>
    <s v="Marie Gorton"/>
    <s v="N"/>
    <n v="1188.72"/>
    <n v="237.74"/>
    <x v="3"/>
    <s v="VALIDATED"/>
    <n v="1"/>
    <s v="01.11.80.307.2012.0000"/>
    <n v="1188.72"/>
    <s v="11"/>
    <s v="2012"/>
    <n v="2339.15"/>
    <n v="1188.72"/>
    <s v="CREDITOR"/>
    <n v="1188.72"/>
    <n v="297.18"/>
    <n v="0"/>
    <n v="0"/>
    <n v="0"/>
  </r>
  <r>
    <n v="42112544"/>
    <s v="N"/>
    <n v="21360563"/>
    <s v="3000010950190006"/>
    <s v="CIVIL"/>
    <d v="2023-06-29T00:00:00"/>
    <d v="2023-07-11T11:50:54"/>
    <m/>
    <d v="2023-07-11T00:00:00"/>
    <n v="1926"/>
    <n v="325"/>
    <s v="42112544"/>
    <s v="42112544"/>
    <m/>
    <m/>
    <n v="22790156"/>
    <m/>
    <m/>
    <m/>
    <s v="SOLFIN"/>
    <s v="SOLFIN"/>
    <s v="CCMS"/>
    <n v="21360563"/>
    <n v="2967.58"/>
    <m/>
    <s v="N"/>
    <n v="30"/>
    <d v="2023-07-11T11:51:10"/>
    <s v="Y"/>
    <s v="Attendance upon other side"/>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51"/>
    <d v="2023-07-11T11:51:10"/>
    <s v="Y"/>
    <s v="Routine Letter In"/>
    <s v="Prescribed Hourly Rates"/>
    <s v="Profit Cost"/>
    <s v="MVG"/>
    <s v="Y"/>
    <n v="332.1"/>
    <n v="66.43000000000001"/>
    <x v="7"/>
    <s v="VALIDATED"/>
    <n v="1"/>
    <s v="01.11.80.303.6100.0000"/>
    <n v="332.1"/>
    <s v="11"/>
    <s v="6100"/>
    <n v="2339.15"/>
    <n v="332.1"/>
    <s v="CREDITOR"/>
    <n v="0"/>
    <n v="0"/>
    <n v="0"/>
    <n v="0"/>
    <n v="332.1"/>
  </r>
  <r>
    <n v="42112544"/>
    <s v="N"/>
    <n v="21360563"/>
    <s v="3000010950190006"/>
    <s v="CIVIL"/>
    <d v="2023-06-29T00:00:00"/>
    <d v="2023-07-11T11:50:54"/>
    <m/>
    <d v="2023-07-11T00:00:00"/>
    <n v="1926"/>
    <n v="325"/>
    <s v="42112544"/>
    <s v="42112544"/>
    <m/>
    <m/>
    <n v="22790156"/>
    <m/>
    <m/>
    <m/>
    <s v="SOLFIN"/>
    <s v="SOLFIN"/>
    <s v="CCMS"/>
    <n v="21360563"/>
    <n v="2967.58"/>
    <m/>
    <s v="N"/>
    <n v="28"/>
    <d v="2023-07-11T11:51:10"/>
    <s v="Y"/>
    <s v="Preparation - other"/>
    <s v="Prescribed Hourly Rates"/>
    <s v="Profit Cost"/>
    <s v="MVG"/>
    <s v="Y"/>
    <n v="25.25"/>
    <n v="5.05"/>
    <x v="7"/>
    <s v="VALIDATED"/>
    <n v="1"/>
    <s v="01.11.80.303.6100.0000"/>
    <n v="25.25"/>
    <s v="11"/>
    <s v="6100"/>
    <n v="2339.15"/>
    <n v="25.25"/>
    <s v="CREDITOR"/>
    <n v="0"/>
    <n v="0"/>
    <n v="0"/>
    <n v="0"/>
    <n v="25.25"/>
  </r>
  <r>
    <n v="42112544"/>
    <s v="N"/>
    <n v="21360563"/>
    <s v="3000010950190006"/>
    <s v="CIVIL"/>
    <d v="2023-06-29T00:00:00"/>
    <d v="2023-07-11T11:50:54"/>
    <m/>
    <d v="2023-07-11T00:00:00"/>
    <n v="1926"/>
    <n v="325"/>
    <s v="42112544"/>
    <s v="42112544"/>
    <m/>
    <m/>
    <n v="22790156"/>
    <m/>
    <m/>
    <m/>
    <s v="SOLFIN"/>
    <s v="SOLFIN"/>
    <s v="CCMS"/>
    <n v="21360563"/>
    <n v="2967.58"/>
    <m/>
    <s v="N"/>
    <n v="15"/>
    <d v="2023-07-11T11:51:10"/>
    <s v="Y"/>
    <s v="Preparation - other"/>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26"/>
    <d v="2023-07-11T11:51:10"/>
    <s v="Y"/>
    <s v="Preparation - drafting consent orde"/>
    <s v="Prescribed Hourly Rates"/>
    <s v="Profit Cost"/>
    <s v="MVG"/>
    <s v="Y"/>
    <n v="5.49"/>
    <n v="1.1"/>
    <x v="7"/>
    <s v="VALIDATED"/>
    <n v="1"/>
    <s v="01.11.80.303.6100.0000"/>
    <n v="5.49"/>
    <s v="11"/>
    <s v="6100"/>
    <n v="2339.15"/>
    <n v="5.49"/>
    <s v="CREDITOR"/>
    <n v="0"/>
    <n v="0"/>
    <n v="0"/>
    <n v="0"/>
    <n v="5.49"/>
  </r>
  <r>
    <n v="42112544"/>
    <s v="N"/>
    <n v="21360563"/>
    <s v="3000010950190006"/>
    <s v="CIVIL"/>
    <d v="2023-06-29T00:00:00"/>
    <d v="2023-07-11T11:50:54"/>
    <m/>
    <d v="2023-07-11T00:00:00"/>
    <n v="1926"/>
    <n v="325"/>
    <s v="42112544"/>
    <s v="42112544"/>
    <m/>
    <m/>
    <n v="22790156"/>
    <m/>
    <m/>
    <m/>
    <s v="SOLFIN"/>
    <s v="SOLFIN"/>
    <s v="CCMS"/>
    <n v="21360563"/>
    <n v="2967.58"/>
    <m/>
    <s v="N"/>
    <n v="33"/>
    <d v="2023-07-11T11:51:10"/>
    <s v="Y"/>
    <s v="Preparation - other"/>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3"/>
    <d v="2023-07-11T11:51:10"/>
    <s v="N"/>
    <s v="Level 3 Fixed Fee"/>
    <s v="Finance"/>
    <s v="Profit Cost"/>
    <s v="MVG"/>
    <s v="N"/>
    <n v="0"/>
    <n v="0"/>
    <x v="7"/>
    <s v="VALIDATED"/>
    <n v="1"/>
    <s v="01.11.80.303.6100.0000"/>
    <n v="0"/>
    <s v="11"/>
    <s v="6100"/>
    <n v="2339.15"/>
    <n v="0"/>
    <s v="CREDITOR"/>
    <n v="0"/>
    <n v="0"/>
    <n v="0"/>
    <n v="0"/>
    <n v="0"/>
  </r>
  <r>
    <n v="43174564"/>
    <s v="N"/>
    <n v="21349883"/>
    <s v="3000011483170017"/>
    <s v="CIVIL"/>
    <d v="2023-06-26T00:00:00"/>
    <d v="2023-07-10T19:01:40"/>
    <m/>
    <d v="2023-07-10T00:00:00"/>
    <n v="1926"/>
    <n v="325"/>
    <s v="43174564"/>
    <s v="43174564"/>
    <m/>
    <m/>
    <n v="22765066"/>
    <m/>
    <m/>
    <m/>
    <s v="SOLFIN"/>
    <s v="SOLFIN"/>
    <s v="CCMS"/>
    <n v="21349883"/>
    <n v="1906.89"/>
    <m/>
    <s v="N"/>
    <n v="4"/>
    <d v="2023-07-10T19:02:01"/>
    <s v="Y"/>
    <s v="Advocates Meeting"/>
    <s v="Public Law Children"/>
    <s v="Advocacy"/>
    <s v="LI"/>
    <s v="Y"/>
    <n v="140.99"/>
    <n v="28.2"/>
    <x v="2"/>
    <s v="VALIDATED"/>
    <n v="1"/>
    <s v="01.11.80.308.6100.0000"/>
    <n v="140.99"/>
    <s v="11"/>
    <s v="6100"/>
    <n v="2339.15"/>
    <n v="140.99"/>
    <s v="CREDITOR"/>
    <n v="0"/>
    <n v="0"/>
    <n v="0"/>
    <n v="0"/>
    <n v="140.99"/>
  </r>
  <r>
    <n v="42112544"/>
    <s v="N"/>
    <n v="21360563"/>
    <s v="3000010950190006"/>
    <s v="CIVIL"/>
    <d v="2023-06-29T00:00:00"/>
    <d v="2023-07-11T11:50:54"/>
    <m/>
    <d v="2023-07-11T00:00:00"/>
    <n v="1926"/>
    <n v="325"/>
    <s v="42112544"/>
    <s v="42112544"/>
    <m/>
    <m/>
    <n v="22790156"/>
    <m/>
    <m/>
    <m/>
    <s v="SOLFIN"/>
    <s v="SOLFIN"/>
    <s v="CCMS"/>
    <n v="21360563"/>
    <n v="2967.58"/>
    <m/>
    <s v="N"/>
    <n v="24"/>
    <d v="2023-07-11T11:51:10"/>
    <s v="Y"/>
    <s v="Preparation - other"/>
    <s v="Prescribed Hourly Rates"/>
    <s v="Profit Cost"/>
    <s v="MVG"/>
    <s v="Y"/>
    <n v="44.19"/>
    <n v="8.84"/>
    <x v="7"/>
    <s v="VALIDATED"/>
    <n v="1"/>
    <s v="01.11.80.303.6100.0000"/>
    <n v="44.19"/>
    <s v="11"/>
    <s v="6100"/>
    <n v="2339.15"/>
    <n v="44.19"/>
    <s v="CREDITOR"/>
    <n v="0"/>
    <n v="0"/>
    <n v="0"/>
    <n v="0"/>
    <n v="44.19"/>
  </r>
  <r>
    <n v="42112544"/>
    <s v="N"/>
    <n v="21360563"/>
    <s v="3000010950190006"/>
    <s v="CIVIL"/>
    <d v="2023-06-29T00:00:00"/>
    <d v="2023-07-11T11:50:54"/>
    <m/>
    <d v="2023-07-11T00:00:00"/>
    <n v="1926"/>
    <n v="325"/>
    <s v="42112544"/>
    <s v="42112544"/>
    <m/>
    <m/>
    <n v="22790156"/>
    <m/>
    <m/>
    <m/>
    <s v="SOLFIN"/>
    <s v="SOLFIN"/>
    <s v="CCMS"/>
    <n v="21360563"/>
    <n v="2967.58"/>
    <m/>
    <s v="N"/>
    <n v="44"/>
    <d v="2023-07-11T11:51:10"/>
    <s v="Y"/>
    <s v="Preparation - other"/>
    <s v="Prescribed Hourly Rates"/>
    <s v="Profit Cost"/>
    <s v="MVG"/>
    <s v="Y"/>
    <n v="10.98"/>
    <n v="2.2"/>
    <x v="7"/>
    <s v="VALIDATED"/>
    <n v="1"/>
    <s v="01.11.80.303.6100.0000"/>
    <n v="10.98"/>
    <s v="11"/>
    <s v="6100"/>
    <n v="2339.15"/>
    <n v="10.98"/>
    <s v="CREDITOR"/>
    <n v="0"/>
    <n v="0"/>
    <n v="0"/>
    <n v="0"/>
    <n v="10.98"/>
  </r>
  <r>
    <n v="42112544"/>
    <s v="N"/>
    <n v="21360563"/>
    <s v="3000010950190006"/>
    <s v="CIVIL"/>
    <d v="2023-06-29T00:00:00"/>
    <d v="2023-07-11T11:50:54"/>
    <m/>
    <d v="2023-07-11T00:00:00"/>
    <n v="1926"/>
    <n v="325"/>
    <s v="42112544"/>
    <s v="42112544"/>
    <m/>
    <m/>
    <n v="22790156"/>
    <m/>
    <m/>
    <m/>
    <s v="SOLFIN"/>
    <s v="SOLFIN"/>
    <s v="CCMS"/>
    <n v="21360563"/>
    <n v="2967.58"/>
    <m/>
    <s v="N"/>
    <n v="19"/>
    <d v="2023-07-11T11:51:10"/>
    <s v="Y"/>
    <s v="Preparation - drafting consent orde"/>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5"/>
    <d v="2023-07-11T11:51:10"/>
    <s v="Y"/>
    <s v="Preparation - other"/>
    <s v="Prescribed Hourly Rates"/>
    <s v="Profit Cost"/>
    <s v="MVG"/>
    <s v="Y"/>
    <n v="25.25"/>
    <n v="5.05"/>
    <x v="7"/>
    <s v="VALIDATED"/>
    <n v="1"/>
    <s v="01.11.80.303.6100.0000"/>
    <n v="25.25"/>
    <s v="11"/>
    <s v="6100"/>
    <n v="2339.15"/>
    <n v="25.25"/>
    <s v="CREDITOR"/>
    <n v="0"/>
    <n v="0"/>
    <n v="0"/>
    <n v="0"/>
    <n v="25.25"/>
  </r>
  <r>
    <n v="42112544"/>
    <s v="N"/>
    <n v="21360563"/>
    <s v="3000010950190006"/>
    <s v="CIVIL"/>
    <d v="2023-06-29T00:00:00"/>
    <d v="2023-07-11T11:50:54"/>
    <m/>
    <d v="2023-07-11T00:00:00"/>
    <n v="1926"/>
    <n v="325"/>
    <s v="42112544"/>
    <s v="42112544"/>
    <m/>
    <m/>
    <n v="22790156"/>
    <m/>
    <m/>
    <m/>
    <s v="SOLFIN"/>
    <s v="SOLFIN"/>
    <s v="CCMS"/>
    <n v="21360563"/>
    <n v="2967.58"/>
    <m/>
    <s v="N"/>
    <n v="23"/>
    <d v="2023-07-11T11:51:10"/>
    <s v="Y"/>
    <s v="Preparation - other"/>
    <s v="Prescribed Hourly Rates"/>
    <s v="Profit Cost"/>
    <s v="MVG"/>
    <s v="Y"/>
    <n v="6.31"/>
    <n v="1.26"/>
    <x v="7"/>
    <s v="VALIDATED"/>
    <n v="1"/>
    <s v="01.11.80.303.6100.0000"/>
    <n v="6.31"/>
    <s v="11"/>
    <s v="6100"/>
    <n v="2339.15"/>
    <n v="6.31"/>
    <s v="CREDITOR"/>
    <n v="0"/>
    <n v="0"/>
    <n v="0"/>
    <n v="0"/>
    <n v="6.31"/>
  </r>
  <r>
    <n v="42112544"/>
    <s v="N"/>
    <n v="21360563"/>
    <s v="3000010950190006"/>
    <s v="CIVIL"/>
    <d v="2023-06-29T00:00:00"/>
    <d v="2023-07-11T11:50:54"/>
    <m/>
    <d v="2023-07-11T00:00:00"/>
    <n v="1926"/>
    <n v="325"/>
    <s v="42112544"/>
    <s v="42112544"/>
    <m/>
    <m/>
    <n v="22790156"/>
    <m/>
    <m/>
    <m/>
    <s v="SOLFIN"/>
    <s v="SOLFIN"/>
    <s v="CCMS"/>
    <n v="21360563"/>
    <n v="2967.58"/>
    <m/>
    <s v="N"/>
    <n v="35"/>
    <d v="2023-07-11T11:51:10"/>
    <s v="Y"/>
    <s v="Preparation - other"/>
    <s v="Prescribed Hourly Rates"/>
    <s v="Profit Cost"/>
    <s v="MVG"/>
    <s v="Y"/>
    <n v="18.94"/>
    <n v="3.79"/>
    <x v="7"/>
    <s v="VALIDATED"/>
    <n v="1"/>
    <s v="01.11.80.303.6100.0000"/>
    <n v="18.94"/>
    <s v="11"/>
    <s v="6100"/>
    <n v="2339.15"/>
    <n v="18.94"/>
    <s v="CREDITOR"/>
    <n v="0"/>
    <n v="0"/>
    <n v="0"/>
    <n v="0"/>
    <n v="18.94"/>
  </r>
  <r>
    <n v="42112544"/>
    <s v="N"/>
    <n v="21360563"/>
    <s v="3000010950190006"/>
    <s v="CIVIL"/>
    <d v="2023-06-29T00:00:00"/>
    <d v="2023-07-11T11:50:54"/>
    <m/>
    <d v="2023-07-11T00:00:00"/>
    <n v="1926"/>
    <n v="325"/>
    <s v="42112544"/>
    <s v="42112544"/>
    <m/>
    <m/>
    <n v="22790156"/>
    <m/>
    <m/>
    <m/>
    <s v="SOLFIN"/>
    <s v="SOLFIN"/>
    <s v="CCMS"/>
    <n v="21360563"/>
    <n v="2967.58"/>
    <m/>
    <s v="N"/>
    <n v="45"/>
    <d v="2023-07-11T11:51:10"/>
    <s v="Y"/>
    <s v="Preparation - drafting notice(s)"/>
    <s v="Prescribed Hourly Rates"/>
    <s v="Profit Cost"/>
    <s v="MVG"/>
    <s v="Y"/>
    <n v="5.49"/>
    <n v="1.1"/>
    <x v="7"/>
    <s v="VALIDATED"/>
    <n v="1"/>
    <s v="01.11.80.303.6100.0000"/>
    <n v="5.49"/>
    <s v="11"/>
    <s v="6100"/>
    <n v="2339.15"/>
    <n v="5.49"/>
    <s v="CREDITOR"/>
    <n v="0"/>
    <n v="0"/>
    <n v="0"/>
    <n v="0"/>
    <n v="5.49"/>
  </r>
  <r>
    <n v="43174564"/>
    <s v="N"/>
    <n v="21349883"/>
    <s v="3000011483170017"/>
    <s v="CIVIL"/>
    <d v="2023-06-26T00:00:00"/>
    <d v="2023-07-10T19:01:40"/>
    <m/>
    <d v="2023-07-10T00:00:00"/>
    <n v="1926"/>
    <n v="325"/>
    <s v="43174564"/>
    <s v="43174564"/>
    <m/>
    <m/>
    <n v="22765066"/>
    <m/>
    <m/>
    <m/>
    <s v="SOLFIN"/>
    <s v="SOLFIN"/>
    <s v="CCMS"/>
    <n v="21349883"/>
    <n v="1906.89"/>
    <m/>
    <s v="N"/>
    <n v="3"/>
    <d v="2023-07-10T19:02:01"/>
    <s v="Y"/>
    <s v="Toxicologist"/>
    <s v="Public Law Children"/>
    <s v="Expert Disbursement"/>
    <s v="XXX"/>
    <s v="Y"/>
    <n v="470.35"/>
    <n v="94.06999999999999"/>
    <x v="2"/>
    <s v="VALIDATED"/>
    <n v="1"/>
    <s v="01.11.80.308.6300.0000"/>
    <n v="470.35"/>
    <s v="11"/>
    <s v="6300"/>
    <n v="2339.15"/>
    <n v="470.35"/>
    <s v="CREDITOR"/>
    <n v="0"/>
    <n v="0"/>
    <n v="0"/>
    <n v="0"/>
    <n v="470.35"/>
  </r>
  <r>
    <n v="42112544"/>
    <s v="N"/>
    <n v="21360563"/>
    <s v="3000010950190006"/>
    <s v="CIVIL"/>
    <d v="2023-06-29T00:00:00"/>
    <d v="2023-07-11T11:50:54"/>
    <m/>
    <d v="2023-07-11T00:00:00"/>
    <n v="1926"/>
    <n v="325"/>
    <s v="42112544"/>
    <s v="42112544"/>
    <m/>
    <m/>
    <n v="22790156"/>
    <m/>
    <m/>
    <m/>
    <s v="SOLFIN"/>
    <s v="SOLFIN"/>
    <s v="CCMS"/>
    <n v="21360563"/>
    <n v="2967.58"/>
    <m/>
    <s v="N"/>
    <n v="43"/>
    <d v="2023-07-11T11:51:10"/>
    <s v="Y"/>
    <s v="Preparation - other"/>
    <s v="Prescribed Hourly Rates"/>
    <s v="Profit Cost"/>
    <s v="MVG"/>
    <s v="Y"/>
    <n v="5.49"/>
    <n v="1.1"/>
    <x v="7"/>
    <s v="VALIDATED"/>
    <n v="1"/>
    <s v="01.11.80.303.6100.0000"/>
    <n v="5.49"/>
    <s v="11"/>
    <s v="6100"/>
    <n v="2339.15"/>
    <n v="5.49"/>
    <s v="CREDITOR"/>
    <n v="0"/>
    <n v="0"/>
    <n v="0"/>
    <n v="0"/>
    <n v="5.49"/>
  </r>
  <r>
    <n v="42112544"/>
    <s v="N"/>
    <n v="21360563"/>
    <s v="3000010950190006"/>
    <s v="CIVIL"/>
    <d v="2023-06-29T00:00:00"/>
    <d v="2023-07-11T11:50:54"/>
    <m/>
    <d v="2023-07-11T00:00:00"/>
    <n v="1926"/>
    <n v="325"/>
    <s v="42112544"/>
    <s v="42112544"/>
    <m/>
    <m/>
    <n v="22790156"/>
    <m/>
    <m/>
    <m/>
    <s v="SOLFIN"/>
    <s v="SOLFIN"/>
    <s v="CCMS"/>
    <n v="21360563"/>
    <n v="2967.58"/>
    <m/>
    <s v="N"/>
    <n v="37"/>
    <d v="2023-07-11T11:51:10"/>
    <s v="Y"/>
    <s v="Preparation - other"/>
    <s v="Prescribed Hourly Rates"/>
    <s v="Profit Cost"/>
    <s v="MVG"/>
    <s v="Y"/>
    <n v="54.9"/>
    <n v="10.98"/>
    <x v="7"/>
    <s v="VALIDATED"/>
    <n v="1"/>
    <s v="01.11.80.303.6100.0000"/>
    <n v="54.9"/>
    <s v="11"/>
    <s v="6100"/>
    <n v="2339.15"/>
    <n v="54.9"/>
    <s v="CREDITOR"/>
    <n v="0"/>
    <n v="0"/>
    <n v="0"/>
    <n v="0"/>
    <n v="54.9"/>
  </r>
  <r>
    <n v="42112544"/>
    <s v="N"/>
    <n v="21361674"/>
    <s v="3000010950190001RC"/>
    <s v="CIVIL"/>
    <d v="2023-06-29T00:00:00"/>
    <d v="2023-07-11T19:38:00"/>
    <m/>
    <d v="2023-07-11T00:00:00"/>
    <n v="1926"/>
    <n v="325"/>
    <s v="42112544"/>
    <s v="42112544"/>
    <m/>
    <m/>
    <m/>
    <m/>
    <m/>
    <m/>
    <s v="SOLRECOUP"/>
    <s v="SOLRECOUP"/>
    <s v="POARECOUP"/>
    <n v="21361674"/>
    <n v="-255"/>
    <m/>
    <s v="Y"/>
    <n v="1"/>
    <d v="2023-07-11T19:38:02"/>
    <s v="N"/>
    <m/>
    <m/>
    <s v="Non Expert Disbursement"/>
    <m/>
    <s v="N"/>
    <n v="-255"/>
    <n v="0"/>
    <x v="7"/>
    <s v="VALIDATED"/>
    <n v="1"/>
    <s v="01.11.80.303.2013.0000"/>
    <n v="-255"/>
    <s v="11"/>
    <s v="2013"/>
    <n v="2339.15"/>
    <n v="-255"/>
    <s v="CREDITOR"/>
    <n v="0"/>
    <n v="0"/>
    <n v="-255"/>
    <n v="0"/>
    <n v="0"/>
  </r>
  <r>
    <n v="42112544"/>
    <s v="N"/>
    <n v="21361674"/>
    <s v="3000010950190001RC"/>
    <s v="CIVIL"/>
    <d v="2023-06-29T00:00:00"/>
    <d v="2023-07-11T19:38:00"/>
    <m/>
    <d v="2023-07-11T00:00:00"/>
    <n v="1926"/>
    <n v="325"/>
    <s v="42112544"/>
    <s v="42112544"/>
    <m/>
    <m/>
    <m/>
    <m/>
    <m/>
    <m/>
    <s v="SOLRECOUP"/>
    <s v="SOLRECOUP"/>
    <s v="POARECOUP"/>
    <n v="21361674"/>
    <n v="-255"/>
    <m/>
    <s v="Y"/>
    <n v="2"/>
    <d v="2023-07-11T19:38:02"/>
    <s v="N"/>
    <m/>
    <m/>
    <s v="Non Expert Disbursement"/>
    <m/>
    <s v="N"/>
    <n v="0"/>
    <n v="0"/>
    <x v="7"/>
    <s v="VALIDATED"/>
    <n v="1"/>
    <s v="01.11.80.000.0000.0000"/>
    <n v="0"/>
    <s v="11"/>
    <s v="0000"/>
    <n v="2339.15"/>
    <n v="0"/>
    <s v="CREDITOR"/>
    <n v="0"/>
    <n v="0"/>
    <n v="0"/>
    <n v="0"/>
    <n v="0"/>
  </r>
  <r>
    <n v="42112544"/>
    <s v="N"/>
    <n v="21361675"/>
    <s v="3000010950190004RC"/>
    <s v="CIVIL"/>
    <d v="2023-06-29T00:00:00"/>
    <d v="2023-07-11T19:38:00"/>
    <m/>
    <d v="2023-07-11T00:00:00"/>
    <n v="1926"/>
    <n v="325"/>
    <s v="42112544"/>
    <s v="42112544"/>
    <m/>
    <m/>
    <m/>
    <m/>
    <m/>
    <m/>
    <s v="SOLRECOUP"/>
    <s v="SOLRECOUP"/>
    <s v="POARECOUP"/>
    <n v="21361675"/>
    <n v="-189.54"/>
    <m/>
    <s v="Y"/>
    <n v="1"/>
    <d v="2023-07-11T19:38:02"/>
    <s v="N"/>
    <m/>
    <m/>
    <s v="Non Expert Disbursement"/>
    <m/>
    <s v="N"/>
    <n v="-157.95"/>
    <n v="0"/>
    <x v="7"/>
    <s v="VALIDATED"/>
    <n v="1"/>
    <s v="01.11.80.303.2013.0000"/>
    <n v="-157.95"/>
    <s v="11"/>
    <s v="2013"/>
    <n v="2339.15"/>
    <n v="-157.95"/>
    <s v="CREDITOR"/>
    <n v="0"/>
    <n v="0"/>
    <n v="-157.95"/>
    <n v="0"/>
    <n v="0"/>
  </r>
  <r>
    <n v="42112544"/>
    <s v="N"/>
    <n v="21361675"/>
    <s v="3000010950190004RC"/>
    <s v="CIVIL"/>
    <d v="2023-06-29T00:00:00"/>
    <d v="2023-07-11T19:38:00"/>
    <m/>
    <d v="2023-07-11T00:00:00"/>
    <n v="1926"/>
    <n v="325"/>
    <s v="42112544"/>
    <s v="42112544"/>
    <m/>
    <m/>
    <m/>
    <m/>
    <m/>
    <m/>
    <s v="SOLRECOUP"/>
    <s v="SOLRECOUP"/>
    <s v="POARECOUP"/>
    <n v="21361675"/>
    <n v="-189.54"/>
    <m/>
    <s v="Y"/>
    <n v="2"/>
    <d v="2023-07-11T19:38:02"/>
    <s v="N"/>
    <m/>
    <m/>
    <s v="Non Expert Disbursement"/>
    <m/>
    <s v="N"/>
    <n v="0"/>
    <n v="-31.59"/>
    <x v="7"/>
    <s v="VALIDATED"/>
    <n v="1"/>
    <s v="01.11.80.303.2013.0000"/>
    <n v="-31.59"/>
    <s v="11"/>
    <s v="2013"/>
    <n v="2339.15"/>
    <n v="-31.59"/>
    <s v="CREDITOR"/>
    <n v="0"/>
    <n v="0"/>
    <n v="-31.59"/>
    <n v="0"/>
    <n v="0"/>
  </r>
  <r>
    <n v="42112544"/>
    <s v="N"/>
    <n v="21361676"/>
    <s v="3000010950190003RC"/>
    <s v="CIVIL"/>
    <d v="2023-06-29T00:00:00"/>
    <d v="2023-07-11T19:38:00"/>
    <m/>
    <d v="2023-07-11T00:00:00"/>
    <n v="1926"/>
    <n v="325"/>
    <s v="42112544"/>
    <s v="42112544"/>
    <m/>
    <m/>
    <m/>
    <m/>
    <m/>
    <m/>
    <s v="SOLRECOUP"/>
    <s v="SOLRECOUP"/>
    <s v="POARECOUP"/>
    <n v="21361676"/>
    <n v="-1918.43"/>
    <m/>
    <s v="Y"/>
    <n v="1"/>
    <d v="2023-07-11T19:38:02"/>
    <s v="N"/>
    <m/>
    <m/>
    <s v="Profit Cost"/>
    <m/>
    <s v="N"/>
    <n v="-1598.69"/>
    <n v="0"/>
    <x v="7"/>
    <s v="VALIDATED"/>
    <n v="1"/>
    <s v="01.11.80.303.2013.0000"/>
    <n v="-1598.69"/>
    <s v="11"/>
    <s v="2013"/>
    <n v="2339.15"/>
    <n v="-1598.69"/>
    <s v="CREDITOR"/>
    <n v="0"/>
    <n v="0"/>
    <n v="-1598.69"/>
    <n v="-399.6725"/>
    <n v="0"/>
  </r>
  <r>
    <n v="42112544"/>
    <s v="N"/>
    <n v="21361676"/>
    <s v="3000010950190003RC"/>
    <s v="CIVIL"/>
    <d v="2023-06-29T00:00:00"/>
    <d v="2023-07-11T19:38:00"/>
    <m/>
    <d v="2023-07-11T00:00:00"/>
    <n v="1926"/>
    <n v="325"/>
    <s v="42112544"/>
    <s v="42112544"/>
    <m/>
    <m/>
    <m/>
    <m/>
    <m/>
    <m/>
    <s v="SOLRECOUP"/>
    <s v="SOLRECOUP"/>
    <s v="POARECOUP"/>
    <n v="21361676"/>
    <n v="-1918.43"/>
    <m/>
    <s v="Y"/>
    <n v="2"/>
    <d v="2023-07-11T19:38:02"/>
    <s v="N"/>
    <m/>
    <m/>
    <s v="Profit Cost"/>
    <m/>
    <s v="N"/>
    <n v="0"/>
    <n v="-319.74"/>
    <x v="7"/>
    <s v="VALIDATED"/>
    <n v="1"/>
    <s v="01.11.80.303.2013.0000"/>
    <n v="-319.74"/>
    <s v="11"/>
    <s v="2013"/>
    <n v="2339.15"/>
    <n v="-319.74"/>
    <s v="CREDITOR"/>
    <n v="0"/>
    <n v="0"/>
    <n v="-319.74"/>
    <n v="-79.935"/>
    <n v="0"/>
  </r>
  <r>
    <n v="43174564"/>
    <s v="N"/>
    <n v="21357254"/>
    <s v="3000011483170014RC"/>
    <s v="CIVIL"/>
    <d v="2023-06-26T00:00:00"/>
    <d v="2023-07-10T19:48:00"/>
    <m/>
    <d v="2023-07-10T00:00:00"/>
    <n v="1926"/>
    <n v="325"/>
    <s v="43174564"/>
    <s v="43174564"/>
    <m/>
    <m/>
    <m/>
    <m/>
    <m/>
    <m/>
    <s v="SOLRECOUP"/>
    <s v="SOLRECOUP"/>
    <s v="POARECOUP"/>
    <n v="21357254"/>
    <n v="-26.68"/>
    <m/>
    <s v="Y"/>
    <n v="2"/>
    <d v="2023-07-10T19:48:00"/>
    <s v="N"/>
    <m/>
    <m/>
    <s v="Non Expert Disbursement"/>
    <m/>
    <s v="N"/>
    <n v="0"/>
    <n v="0"/>
    <x v="2"/>
    <s v="VALIDATED"/>
    <n v="1"/>
    <s v="01.11.80.000.0000.0000"/>
    <n v="0"/>
    <s v="11"/>
    <s v="0000"/>
    <n v="2339.15"/>
    <n v="0"/>
    <s v="CREDITOR"/>
    <n v="0"/>
    <n v="0"/>
    <n v="0"/>
    <n v="0"/>
    <n v="0"/>
  </r>
  <r>
    <n v="60163677"/>
    <s v="N"/>
    <n v="21371767"/>
    <s v="3000014486110004RC"/>
    <s v="CIVIL"/>
    <d v="2023-06-28T00:00:00"/>
    <d v="2023-07-13T19:53:16"/>
    <m/>
    <d v="2023-07-13T00:00:00"/>
    <n v="1928"/>
    <n v="337"/>
    <s v="60163677"/>
    <s v="60163677"/>
    <m/>
    <m/>
    <m/>
    <m/>
    <m/>
    <m/>
    <s v="SOLRECOUP"/>
    <s v="SOLRECOUP"/>
    <s v="POARECOUP"/>
    <n v="21371767"/>
    <n v="-69.12"/>
    <m/>
    <s v="Y"/>
    <n v="1"/>
    <d v="2023-07-13T19:53:17"/>
    <s v="N"/>
    <m/>
    <m/>
    <s v="Expert Disbursement"/>
    <m/>
    <s v="N"/>
    <n v="-57.6"/>
    <n v="0"/>
    <x v="11"/>
    <s v="VALIDATED"/>
    <n v="1"/>
    <s v="01.11.80.308.2013.0000"/>
    <n v="-57.6"/>
    <s v="11"/>
    <s v="2013"/>
    <n v="10688.34"/>
    <n v="-57.6"/>
    <s v="CREDITOR"/>
    <n v="0"/>
    <n v="0"/>
    <n v="-57.6"/>
    <n v="0"/>
    <n v="0"/>
  </r>
  <r>
    <n v="60163677"/>
    <s v="N"/>
    <n v="21371767"/>
    <s v="3000014486110004RC"/>
    <s v="CIVIL"/>
    <d v="2023-06-28T00:00:00"/>
    <d v="2023-07-13T19:53:16"/>
    <m/>
    <d v="2023-07-13T00:00:00"/>
    <n v="1928"/>
    <n v="337"/>
    <s v="60163677"/>
    <s v="60163677"/>
    <m/>
    <m/>
    <m/>
    <m/>
    <m/>
    <m/>
    <s v="SOLRECOUP"/>
    <s v="SOLRECOUP"/>
    <s v="POARECOUP"/>
    <n v="21371767"/>
    <n v="-69.12"/>
    <m/>
    <s v="Y"/>
    <n v="2"/>
    <d v="2023-07-13T19:53:17"/>
    <s v="N"/>
    <m/>
    <m/>
    <s v="Expert Disbursement"/>
    <m/>
    <s v="N"/>
    <n v="0"/>
    <n v="-11.52"/>
    <x v="11"/>
    <s v="VALIDATED"/>
    <n v="1"/>
    <s v="01.11.80.308.2013.0000"/>
    <n v="-11.52"/>
    <s v="11"/>
    <s v="2013"/>
    <n v="10688.34"/>
    <n v="-11.52"/>
    <s v="CREDITOR"/>
    <n v="0"/>
    <n v="0"/>
    <n v="-11.52"/>
    <n v="0"/>
    <n v="0"/>
  </r>
  <r>
    <n v="61304779"/>
    <s v="N"/>
    <n v="21361682"/>
    <s v="3000015462270002RC"/>
    <s v="CIVIL"/>
    <d v="2023-06-27T00:00:00"/>
    <d v="2023-07-11T19:38:00"/>
    <m/>
    <d v="2023-07-11T00:00:00"/>
    <n v="1928"/>
    <n v="337"/>
    <s v="61304779"/>
    <s v="61304779"/>
    <m/>
    <m/>
    <m/>
    <m/>
    <m/>
    <m/>
    <s v="SOLRECOUP"/>
    <s v="SOLRECOUP"/>
    <s v="POARECOUP"/>
    <n v="21361682"/>
    <n v="-305.1"/>
    <m/>
    <s v="Y"/>
    <n v="1"/>
    <d v="2023-07-11T19:38:02"/>
    <s v="N"/>
    <m/>
    <m/>
    <s v="Expert Disbursement"/>
    <m/>
    <s v="N"/>
    <n v="-254.25"/>
    <n v="0"/>
    <x v="7"/>
    <s v="VALIDATED"/>
    <n v="1"/>
    <s v="01.11.80.308.2013.0000"/>
    <n v="-254.25"/>
    <s v="11"/>
    <s v="2013"/>
    <n v="10688.34"/>
    <n v="-254.25"/>
    <s v="CREDITOR"/>
    <n v="0"/>
    <n v="0"/>
    <n v="-254.25"/>
    <n v="0"/>
    <n v="0"/>
  </r>
  <r>
    <n v="61304779"/>
    <s v="N"/>
    <n v="21361682"/>
    <s v="3000015462270002RC"/>
    <s v="CIVIL"/>
    <d v="2023-06-27T00:00:00"/>
    <d v="2023-07-11T19:38:00"/>
    <m/>
    <d v="2023-07-11T00:00:00"/>
    <n v="1928"/>
    <n v="337"/>
    <s v="61304779"/>
    <s v="61304779"/>
    <m/>
    <m/>
    <m/>
    <m/>
    <m/>
    <m/>
    <s v="SOLRECOUP"/>
    <s v="SOLRECOUP"/>
    <s v="POARECOUP"/>
    <n v="21361682"/>
    <n v="-305.1"/>
    <m/>
    <s v="Y"/>
    <n v="2"/>
    <d v="2023-07-11T19:38:02"/>
    <s v="N"/>
    <m/>
    <m/>
    <s v="Expert Disbursement"/>
    <m/>
    <s v="N"/>
    <n v="0"/>
    <n v="-50.85"/>
    <x v="7"/>
    <s v="VALIDATED"/>
    <n v="1"/>
    <s v="01.11.80.308.2013.0000"/>
    <n v="-50.85"/>
    <s v="11"/>
    <s v="2013"/>
    <n v="10688.34"/>
    <n v="-50.85"/>
    <s v="CREDITOR"/>
    <n v="0"/>
    <n v="0"/>
    <n v="-50.85"/>
    <n v="0"/>
    <n v="0"/>
  </r>
  <r>
    <n v="61304779"/>
    <s v="N"/>
    <n v="21361683"/>
    <s v="3000015462270010RC"/>
    <s v="CIVIL"/>
    <d v="2023-06-27T00:00:00"/>
    <d v="2023-07-11T19:38:00"/>
    <m/>
    <d v="2023-07-11T00:00:00"/>
    <n v="1928"/>
    <n v="337"/>
    <s v="61304779"/>
    <s v="61304779"/>
    <m/>
    <m/>
    <m/>
    <m/>
    <m/>
    <m/>
    <s v="SOLRECOUP"/>
    <s v="SOLRECOUP"/>
    <s v="POARECOUP"/>
    <n v="21361683"/>
    <n v="-95.22"/>
    <m/>
    <s v="Y"/>
    <n v="1"/>
    <d v="2023-07-11T19:38:02"/>
    <s v="N"/>
    <m/>
    <m/>
    <s v="Expert Disbursement"/>
    <m/>
    <s v="N"/>
    <n v="-79.34999999999999"/>
    <n v="0"/>
    <x v="7"/>
    <s v="VALIDATED"/>
    <n v="1"/>
    <s v="01.11.80.308.2013.0000"/>
    <n v="-79.34999999999999"/>
    <s v="11"/>
    <s v="2013"/>
    <n v="10688.34"/>
    <n v="-79.34999999999999"/>
    <s v="CREDITOR"/>
    <n v="0"/>
    <n v="0"/>
    <n v="-79.34999999999999"/>
    <n v="0"/>
    <n v="0"/>
  </r>
  <r>
    <n v="61304779"/>
    <s v="N"/>
    <n v="21361683"/>
    <s v="3000015462270010RC"/>
    <s v="CIVIL"/>
    <d v="2023-06-27T00:00:00"/>
    <d v="2023-07-11T19:38:00"/>
    <m/>
    <d v="2023-07-11T00:00:00"/>
    <n v="1928"/>
    <n v="337"/>
    <s v="61304779"/>
    <s v="61304779"/>
    <m/>
    <m/>
    <m/>
    <m/>
    <m/>
    <m/>
    <s v="SOLRECOUP"/>
    <s v="SOLRECOUP"/>
    <s v="POARECOUP"/>
    <n v="21361683"/>
    <n v="-95.22"/>
    <m/>
    <s v="Y"/>
    <n v="2"/>
    <d v="2023-07-11T19:38:02"/>
    <s v="N"/>
    <m/>
    <m/>
    <s v="Expert Disbursement"/>
    <m/>
    <s v="N"/>
    <n v="0"/>
    <n v="-15.87"/>
    <x v="7"/>
    <s v="VALIDATED"/>
    <n v="1"/>
    <s v="01.11.80.308.2013.0000"/>
    <n v="-15.87"/>
    <s v="11"/>
    <s v="2013"/>
    <n v="10688.34"/>
    <n v="-15.87"/>
    <s v="CREDITOR"/>
    <n v="0"/>
    <n v="0"/>
    <n v="-15.87"/>
    <n v="0"/>
    <n v="0"/>
  </r>
  <r>
    <n v="61304779"/>
    <s v="N"/>
    <n v="21361684"/>
    <s v="3000015462270005RC"/>
    <s v="CIVIL"/>
    <d v="2023-06-27T00:00:00"/>
    <d v="2023-07-11T19:38:00"/>
    <m/>
    <d v="2023-07-11T00:00:00"/>
    <n v="1928"/>
    <n v="337"/>
    <s v="61304779"/>
    <s v="61304779"/>
    <m/>
    <m/>
    <m/>
    <m/>
    <m/>
    <m/>
    <s v="SOLRECOUP"/>
    <s v="SOLRECOUP"/>
    <s v="POARECOUP"/>
    <n v="21361684"/>
    <n v="-108.91"/>
    <m/>
    <s v="Y"/>
    <n v="1"/>
    <d v="2023-07-11T19:38:02"/>
    <s v="N"/>
    <m/>
    <m/>
    <s v="Expert Disbursement"/>
    <m/>
    <s v="N"/>
    <n v="-90.76000000000001"/>
    <n v="0"/>
    <x v="7"/>
    <s v="VALIDATED"/>
    <n v="1"/>
    <s v="01.11.80.308.2013.0000"/>
    <n v="-90.76000000000001"/>
    <s v="11"/>
    <s v="2013"/>
    <n v="10688.34"/>
    <n v="-90.76000000000001"/>
    <s v="CREDITOR"/>
    <n v="0"/>
    <n v="0"/>
    <n v="-90.76000000000001"/>
    <n v="0"/>
    <n v="0"/>
  </r>
  <r>
    <n v="61304779"/>
    <s v="N"/>
    <n v="21361684"/>
    <s v="3000015462270005RC"/>
    <s v="CIVIL"/>
    <d v="2023-06-27T00:00:00"/>
    <d v="2023-07-11T19:38:00"/>
    <m/>
    <d v="2023-07-11T00:00:00"/>
    <n v="1928"/>
    <n v="337"/>
    <s v="61304779"/>
    <s v="61304779"/>
    <m/>
    <m/>
    <m/>
    <m/>
    <m/>
    <m/>
    <s v="SOLRECOUP"/>
    <s v="SOLRECOUP"/>
    <s v="POARECOUP"/>
    <n v="21361684"/>
    <n v="-108.91"/>
    <m/>
    <s v="Y"/>
    <n v="2"/>
    <d v="2023-07-11T19:38:02"/>
    <s v="N"/>
    <m/>
    <m/>
    <s v="Expert Disbursement"/>
    <m/>
    <s v="N"/>
    <n v="0"/>
    <n v="-18.15"/>
    <x v="7"/>
    <s v="VALIDATED"/>
    <n v="1"/>
    <s v="01.11.80.308.2013.0000"/>
    <n v="-18.15"/>
    <s v="11"/>
    <s v="2013"/>
    <n v="10688.34"/>
    <n v="-18.15"/>
    <s v="CREDITOR"/>
    <n v="0"/>
    <n v="0"/>
    <n v="-18.15"/>
    <n v="0"/>
    <n v="0"/>
  </r>
  <r>
    <n v="61304779"/>
    <s v="N"/>
    <n v="21361685"/>
    <s v="3000015462270009RC"/>
    <s v="CIVIL"/>
    <d v="2023-06-27T00:00:00"/>
    <d v="2023-07-11T19:38:00"/>
    <m/>
    <d v="2023-07-11T00:00:00"/>
    <n v="1928"/>
    <n v="337"/>
    <s v="61304779"/>
    <s v="61304779"/>
    <m/>
    <m/>
    <m/>
    <m/>
    <m/>
    <m/>
    <s v="SOLRECOUP"/>
    <s v="SOLRECOUP"/>
    <s v="POARECOUP"/>
    <n v="21361685"/>
    <n v="-222"/>
    <m/>
    <s v="Y"/>
    <n v="1"/>
    <d v="2023-07-11T19:38:02"/>
    <s v="N"/>
    <m/>
    <m/>
    <s v="Expert Disbursement"/>
    <m/>
    <s v="N"/>
    <n v="-185"/>
    <n v="0"/>
    <x v="7"/>
    <s v="VALIDATED"/>
    <n v="1"/>
    <s v="01.11.80.308.2013.0000"/>
    <n v="-185"/>
    <s v="11"/>
    <s v="2013"/>
    <n v="10688.34"/>
    <n v="-185"/>
    <s v="CREDITOR"/>
    <n v="0"/>
    <n v="0"/>
    <n v="-185"/>
    <n v="0"/>
    <n v="0"/>
  </r>
  <r>
    <n v="61304779"/>
    <s v="N"/>
    <n v="21361685"/>
    <s v="3000015462270009RC"/>
    <s v="CIVIL"/>
    <d v="2023-06-27T00:00:00"/>
    <d v="2023-07-11T19:38:00"/>
    <m/>
    <d v="2023-07-11T00:00:00"/>
    <n v="1928"/>
    <n v="337"/>
    <s v="61304779"/>
    <s v="61304779"/>
    <m/>
    <m/>
    <m/>
    <m/>
    <m/>
    <m/>
    <s v="SOLRECOUP"/>
    <s v="SOLRECOUP"/>
    <s v="POARECOUP"/>
    <n v="21361685"/>
    <n v="-222"/>
    <m/>
    <s v="Y"/>
    <n v="2"/>
    <d v="2023-07-11T19:38:02"/>
    <s v="N"/>
    <m/>
    <m/>
    <s v="Expert Disbursement"/>
    <m/>
    <s v="N"/>
    <n v="0"/>
    <n v="-37"/>
    <x v="7"/>
    <s v="VALIDATED"/>
    <n v="1"/>
    <s v="01.11.80.308.2013.0000"/>
    <n v="-37"/>
    <s v="11"/>
    <s v="2013"/>
    <n v="10688.34"/>
    <n v="-37"/>
    <s v="CREDITOR"/>
    <n v="0"/>
    <n v="0"/>
    <n v="-37"/>
    <n v="0"/>
    <n v="0"/>
  </r>
  <r>
    <n v="61304779"/>
    <s v="N"/>
    <n v="21361686"/>
    <s v="3000015462270004RC"/>
    <s v="CIVIL"/>
    <d v="2023-06-27T00:00:00"/>
    <d v="2023-07-11T19:38:00"/>
    <m/>
    <d v="2023-07-11T00:00:00"/>
    <n v="1928"/>
    <n v="337"/>
    <s v="61304779"/>
    <s v="61304779"/>
    <m/>
    <m/>
    <m/>
    <m/>
    <m/>
    <m/>
    <s v="SOLRECOUP"/>
    <s v="SOLRECOUP"/>
    <s v="POARECOUP"/>
    <n v="21361686"/>
    <n v="-323.4"/>
    <m/>
    <s v="Y"/>
    <n v="1"/>
    <d v="2023-07-11T19:38:02"/>
    <s v="N"/>
    <m/>
    <m/>
    <s v="Expert Disbursement"/>
    <m/>
    <s v="N"/>
    <n v="-269.5"/>
    <n v="0"/>
    <x v="7"/>
    <s v="VALIDATED"/>
    <n v="1"/>
    <s v="01.11.80.308.2013.0000"/>
    <n v="-269.5"/>
    <s v="11"/>
    <s v="2013"/>
    <n v="10688.34"/>
    <n v="-269.5"/>
    <s v="CREDITOR"/>
    <n v="0"/>
    <n v="0"/>
    <n v="-269.5"/>
    <n v="0"/>
    <n v="0"/>
  </r>
  <r>
    <n v="61304779"/>
    <s v="N"/>
    <n v="21361686"/>
    <s v="3000015462270004RC"/>
    <s v="CIVIL"/>
    <d v="2023-06-27T00:00:00"/>
    <d v="2023-07-11T19:38:00"/>
    <m/>
    <d v="2023-07-11T00:00:00"/>
    <n v="1928"/>
    <n v="337"/>
    <s v="61304779"/>
    <s v="61304779"/>
    <m/>
    <m/>
    <m/>
    <m/>
    <m/>
    <m/>
    <s v="SOLRECOUP"/>
    <s v="SOLRECOUP"/>
    <s v="POARECOUP"/>
    <n v="21361686"/>
    <n v="-323.4"/>
    <m/>
    <s v="Y"/>
    <n v="2"/>
    <d v="2023-07-11T19:38:02"/>
    <s v="N"/>
    <m/>
    <m/>
    <s v="Expert Disbursement"/>
    <m/>
    <s v="N"/>
    <n v="0"/>
    <n v="-53.9"/>
    <x v="7"/>
    <s v="VALIDATED"/>
    <n v="1"/>
    <s v="01.11.80.308.2013.0000"/>
    <n v="-53.9"/>
    <s v="11"/>
    <s v="2013"/>
    <n v="10688.34"/>
    <n v="-53.9"/>
    <s v="CREDITOR"/>
    <n v="0"/>
    <n v="0"/>
    <n v="-53.9"/>
    <n v="0"/>
    <n v="0"/>
  </r>
  <r>
    <n v="61304779"/>
    <s v="N"/>
    <n v="21361687"/>
    <s v="3000015462270008RC"/>
    <s v="CIVIL"/>
    <d v="2023-06-27T00:00:00"/>
    <d v="2023-07-11T19:38:00"/>
    <m/>
    <d v="2023-07-11T00:00:00"/>
    <n v="1928"/>
    <n v="337"/>
    <s v="61304779"/>
    <s v="61304779"/>
    <m/>
    <m/>
    <m/>
    <m/>
    <m/>
    <m/>
    <s v="SOLRECOUP"/>
    <s v="SOLRECOUP"/>
    <s v="POARECOUP"/>
    <n v="21361687"/>
    <n v="-39.9"/>
    <m/>
    <s v="Y"/>
    <n v="1"/>
    <d v="2023-07-11T19:38:02"/>
    <s v="N"/>
    <m/>
    <m/>
    <s v="Expert Disbursement"/>
    <m/>
    <s v="N"/>
    <n v="-33.25"/>
    <n v="0"/>
    <x v="7"/>
    <s v="VALIDATED"/>
    <n v="1"/>
    <s v="01.11.80.308.2013.0000"/>
    <n v="-33.25"/>
    <s v="11"/>
    <s v="2013"/>
    <n v="10688.34"/>
    <n v="-33.25"/>
    <s v="CREDITOR"/>
    <n v="0"/>
    <n v="0"/>
    <n v="-33.25"/>
    <n v="0"/>
    <n v="0"/>
  </r>
  <r>
    <n v="61304779"/>
    <s v="N"/>
    <n v="21361687"/>
    <s v="3000015462270008RC"/>
    <s v="CIVIL"/>
    <d v="2023-06-27T00:00:00"/>
    <d v="2023-07-11T19:38:00"/>
    <m/>
    <d v="2023-07-11T00:00:00"/>
    <n v="1928"/>
    <n v="337"/>
    <s v="61304779"/>
    <s v="61304779"/>
    <m/>
    <m/>
    <m/>
    <m/>
    <m/>
    <m/>
    <s v="SOLRECOUP"/>
    <s v="SOLRECOUP"/>
    <s v="POARECOUP"/>
    <n v="21361687"/>
    <n v="-39.9"/>
    <m/>
    <s v="Y"/>
    <n v="2"/>
    <d v="2023-07-11T19:38:02"/>
    <s v="N"/>
    <m/>
    <m/>
    <s v="Expert Disbursement"/>
    <m/>
    <s v="N"/>
    <n v="0"/>
    <n v="-6.65"/>
    <x v="7"/>
    <s v="VALIDATED"/>
    <n v="1"/>
    <s v="01.11.80.308.2013.0000"/>
    <n v="-6.65"/>
    <s v="11"/>
    <s v="2013"/>
    <n v="10688.34"/>
    <n v="-6.65"/>
    <s v="CREDITOR"/>
    <n v="0"/>
    <n v="0"/>
    <n v="-6.65"/>
    <n v="0"/>
    <n v="0"/>
  </r>
  <r>
    <n v="60163677"/>
    <s v="N"/>
    <n v="21370437"/>
    <s v="3000014486110008"/>
    <s v="CIVIL"/>
    <d v="2023-06-28T00:00:00"/>
    <d v="2023-07-13T19:21:05"/>
    <m/>
    <d v="2023-07-13T00:00:00"/>
    <n v="1928"/>
    <n v="337"/>
    <s v="60163677"/>
    <s v="60163677"/>
    <m/>
    <m/>
    <n v="22776778"/>
    <m/>
    <m/>
    <m/>
    <s v="SOLFIN"/>
    <s v="SOLFIN"/>
    <s v="CCMS"/>
    <n v="21370437"/>
    <n v="13142.08"/>
    <m/>
    <s v="N"/>
    <n v="29"/>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62"/>
    <d v="2023-07-13T19:21:26"/>
    <s v="Y"/>
    <s v="Preparation - research"/>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11"/>
    <d v="2023-07-13T19:21:26"/>
    <s v="Y"/>
    <s v="Telecoms expert"/>
    <s v="Care Remuneration Hourly Rates"/>
    <s v="Expert Disbursement"/>
    <s v="Catrin Parry"/>
    <s v="Y"/>
    <n v="57.6"/>
    <n v="11.52"/>
    <x v="11"/>
    <s v="VALIDATED"/>
    <n v="1"/>
    <s v="01.11.80.308.6300.0000"/>
    <n v="57.6"/>
    <s v="11"/>
    <s v="6300"/>
    <n v="10688.34"/>
    <n v="57.6"/>
    <s v="CREDITOR"/>
    <n v="0"/>
    <n v="0"/>
    <n v="0"/>
    <n v="0"/>
    <n v="57.6"/>
  </r>
  <r>
    <n v="61304779"/>
    <s v="N"/>
    <n v="21361032"/>
    <s v="3000015462270012"/>
    <s v="CIVIL"/>
    <d v="2023-06-27T00:00:00"/>
    <d v="2023-07-11T19:00:25"/>
    <m/>
    <d v="2023-07-11T00:00:00"/>
    <n v="1928"/>
    <n v="337"/>
    <s v="61304779"/>
    <s v="61304779"/>
    <m/>
    <m/>
    <n v="22767898"/>
    <m/>
    <m/>
    <m/>
    <s v="SOLFIN"/>
    <s v="SOLFIN"/>
    <s v="CCMS"/>
    <n v="21361032"/>
    <n v="3541.52"/>
    <m/>
    <s v="N"/>
    <n v="8"/>
    <d v="2023-07-11T19:00:43"/>
    <s v="Y"/>
    <s v="Solicitors Fixed Fee"/>
    <s v="Public Law Children"/>
    <s v="Profit Cost"/>
    <s v="Catrin Parry"/>
    <s v="Y"/>
    <n v="1911"/>
    <n v="382.2"/>
    <x v="7"/>
    <s v="VALIDATED"/>
    <n v="1"/>
    <s v="01.11.80.308.6100.0000"/>
    <n v="1911"/>
    <s v="11"/>
    <s v="6100"/>
    <n v="10688.34"/>
    <n v="1911"/>
    <s v="CREDITOR"/>
    <n v="0"/>
    <n v="0"/>
    <n v="0"/>
    <n v="0"/>
    <n v="1911"/>
  </r>
  <r>
    <n v="60163677"/>
    <s v="N"/>
    <n v="21370437"/>
    <s v="3000014486110008"/>
    <s v="CIVIL"/>
    <d v="2023-06-28T00:00:00"/>
    <d v="2023-07-13T19:21:05"/>
    <m/>
    <d v="2023-07-13T00:00:00"/>
    <n v="1928"/>
    <n v="337"/>
    <s v="60163677"/>
    <s v="60163677"/>
    <m/>
    <m/>
    <n v="22776778"/>
    <m/>
    <m/>
    <m/>
    <s v="SOLFIN"/>
    <s v="SOLFIN"/>
    <s v="CCMS"/>
    <n v="21370437"/>
    <n v="13142.08"/>
    <m/>
    <s v="N"/>
    <n v="87"/>
    <d v="2023-07-13T19:21:26"/>
    <s v="Y"/>
    <s v="Report - other expert's report"/>
    <s v="Care Remuneration Hourly Rates"/>
    <s v="Profit Cost"/>
    <s v="Catrin Parry"/>
    <s v="Y"/>
    <n v="36.27"/>
    <n v="7.25"/>
    <x v="11"/>
    <s v="VALIDATED"/>
    <n v="1"/>
    <s v="01.11.80.308.6100.0000"/>
    <n v="36.27"/>
    <s v="11"/>
    <s v="6100"/>
    <n v="10688.34"/>
    <n v="36.27"/>
    <s v="CREDITOR"/>
    <n v="0"/>
    <n v="0"/>
    <n v="0"/>
    <n v="0"/>
    <n v="36.27"/>
  </r>
  <r>
    <n v="60163677"/>
    <s v="N"/>
    <n v="21370437"/>
    <s v="3000014486110008"/>
    <s v="CIVIL"/>
    <d v="2023-06-28T00:00:00"/>
    <d v="2023-07-13T19:21:05"/>
    <m/>
    <d v="2023-07-13T00:00:00"/>
    <n v="1928"/>
    <n v="337"/>
    <s v="60163677"/>
    <s v="60163677"/>
    <m/>
    <m/>
    <n v="22776778"/>
    <m/>
    <m/>
    <m/>
    <s v="SOLFIN"/>
    <s v="SOLFIN"/>
    <s v="CCMS"/>
    <n v="21370437"/>
    <n v="13142.08"/>
    <m/>
    <s v="N"/>
    <n v="99"/>
    <d v="2023-07-13T19:21:26"/>
    <s v="Y"/>
    <s v="Advocates Meeting"/>
    <s v="Public Law Children"/>
    <s v="Advocacy"/>
    <s v="Gill Lacey"/>
    <s v="Y"/>
    <n v="140.99"/>
    <n v="28.2"/>
    <x v="11"/>
    <s v="VALIDATED"/>
    <n v="1"/>
    <s v="01.11.80.308.6100.0000"/>
    <n v="140.99"/>
    <s v="11"/>
    <s v="6100"/>
    <n v="10688.34"/>
    <n v="140.99"/>
    <s v="CREDITOR"/>
    <n v="0"/>
    <n v="0"/>
    <n v="0"/>
    <n v="0"/>
    <n v="140.99"/>
  </r>
  <r>
    <n v="60208358"/>
    <s v="N"/>
    <n v="21360933"/>
    <s v="3000014522910001"/>
    <s v="CIVIL"/>
    <d v="2023-06-30T00:00:00"/>
    <d v="2023-07-11T19:00:25"/>
    <m/>
    <d v="2023-07-11T00:00:00"/>
    <n v="1928"/>
    <n v="337"/>
    <s v="60208358"/>
    <s v="60208358"/>
    <m/>
    <m/>
    <n v="22794114"/>
    <m/>
    <m/>
    <m/>
    <s v="SOLFIN"/>
    <s v="SOLFIN"/>
    <s v="CCMS"/>
    <n v="21360933"/>
    <n v="0"/>
    <m/>
    <s v="N"/>
    <n v="1"/>
    <d v="2023-07-11T19:00:40"/>
    <s v="N"/>
    <s v="NIL BILL"/>
    <s v="Public Law Children"/>
    <s v="Profit Cost"/>
    <s v="Catrin Parry"/>
    <s v="N"/>
    <n v="0"/>
    <n v="0"/>
    <x v="7"/>
    <s v="VALIDATED"/>
    <n v="1"/>
    <s v="01.11.80.308.6100.0000"/>
    <n v="0"/>
    <s v="11"/>
    <s v="6100"/>
    <n v="10688.34"/>
    <n v="0"/>
    <s v="CREDITOR"/>
    <n v="0"/>
    <n v="0"/>
    <n v="0"/>
    <n v="0"/>
    <n v="0"/>
  </r>
  <r>
    <n v="60163376"/>
    <s v="N"/>
    <n v="21361056"/>
    <s v="3000014485470001"/>
    <s v="CIVIL"/>
    <d v="2023-06-28T00:00:00"/>
    <d v="2023-07-11T19:00:25"/>
    <m/>
    <d v="2023-07-11T00:00:00"/>
    <n v="1928"/>
    <n v="337"/>
    <s v="60163376"/>
    <s v="60163376"/>
    <m/>
    <m/>
    <n v="22777204"/>
    <m/>
    <m/>
    <m/>
    <s v="SOLFIN"/>
    <s v="SOLFIN"/>
    <s v="CCMS"/>
    <n v="21361056"/>
    <n v="0"/>
    <m/>
    <s v="N"/>
    <n v="1"/>
    <d v="2023-07-11T19:00:43"/>
    <s v="N"/>
    <s v="NIL BILL"/>
    <s v="Public Law Children"/>
    <s v="Profit Cost"/>
    <s v="Catrin Parry"/>
    <s v="N"/>
    <n v="0"/>
    <n v="0"/>
    <x v="7"/>
    <s v="VALIDATED"/>
    <n v="1"/>
    <s v="01.11.80.308.6100.0000"/>
    <n v="0"/>
    <s v="11"/>
    <s v="6100"/>
    <n v="10688.34"/>
    <n v="0"/>
    <s v="CREDITOR"/>
    <n v="0"/>
    <n v="0"/>
    <n v="0"/>
    <n v="0"/>
    <n v="0"/>
  </r>
  <r>
    <n v="60163677"/>
    <s v="N"/>
    <n v="21370437"/>
    <s v="3000014486110008"/>
    <s v="CIVIL"/>
    <d v="2023-06-28T00:00:00"/>
    <d v="2023-07-13T19:21:05"/>
    <m/>
    <d v="2023-07-13T00:00:00"/>
    <n v="1928"/>
    <n v="337"/>
    <s v="60163677"/>
    <s v="60163677"/>
    <m/>
    <m/>
    <n v="22776778"/>
    <m/>
    <m/>
    <m/>
    <s v="SOLFIN"/>
    <s v="SOLFIN"/>
    <s v="CCMS"/>
    <n v="21370437"/>
    <n v="13142.08"/>
    <m/>
    <s v="N"/>
    <n v="86"/>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39"/>
    <d v="2023-07-13T19:21:26"/>
    <s v="Y"/>
    <s v="Preparation - other"/>
    <s v="Care Remuneration Hourly Rates"/>
    <s v="Profit Cost"/>
    <s v="Catrin Parry"/>
    <s v="Y"/>
    <n v="18.14"/>
    <n v="3.63"/>
    <x v="11"/>
    <s v="VALIDATED"/>
    <n v="1"/>
    <s v="01.11.80.308.6100.0000"/>
    <n v="18.14"/>
    <s v="11"/>
    <s v="6100"/>
    <n v="10688.34"/>
    <n v="18.14"/>
    <s v="CREDITOR"/>
    <n v="0"/>
    <n v="0"/>
    <n v="0"/>
    <n v="0"/>
    <n v="18.14"/>
  </r>
  <r>
    <n v="60163677"/>
    <s v="N"/>
    <n v="21370437"/>
    <s v="3000014486110008"/>
    <s v="CIVIL"/>
    <d v="2023-06-28T00:00:00"/>
    <d v="2023-07-13T19:21:05"/>
    <m/>
    <d v="2023-07-13T00:00:00"/>
    <n v="1928"/>
    <n v="337"/>
    <s v="60163677"/>
    <s v="60163677"/>
    <m/>
    <m/>
    <n v="22776778"/>
    <m/>
    <m/>
    <m/>
    <s v="SOLFIN"/>
    <s v="SOLFIN"/>
    <s v="CCMS"/>
    <n v="21370437"/>
    <n v="13142.08"/>
    <m/>
    <s v="N"/>
    <n v="80"/>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56"/>
    <d v="2023-07-13T19:21:26"/>
    <s v="Y"/>
    <s v="Preparation - other"/>
    <s v="Care Remuneration Hourly Rates"/>
    <s v="Profit Cost"/>
    <s v="Catrin Parry"/>
    <s v="Y"/>
    <n v="60.46"/>
    <n v="12.09"/>
    <x v="11"/>
    <s v="VALIDATED"/>
    <n v="1"/>
    <s v="01.11.80.308.6100.0000"/>
    <n v="60.46"/>
    <s v="11"/>
    <s v="6100"/>
    <n v="10688.34"/>
    <n v="60.46"/>
    <s v="CREDITOR"/>
    <n v="0"/>
    <n v="0"/>
    <n v="0"/>
    <n v="0"/>
    <n v="60.46"/>
  </r>
  <r>
    <n v="60163677"/>
    <s v="N"/>
    <n v="21370437"/>
    <s v="3000014486110008"/>
    <s v="CIVIL"/>
    <d v="2023-06-28T00:00:00"/>
    <d v="2023-07-13T19:21:05"/>
    <m/>
    <d v="2023-07-13T00:00:00"/>
    <n v="1928"/>
    <n v="337"/>
    <s v="60163677"/>
    <s v="60163677"/>
    <m/>
    <m/>
    <n v="22776778"/>
    <m/>
    <m/>
    <m/>
    <s v="SOLFIN"/>
    <s v="SOLFIN"/>
    <s v="CCMS"/>
    <n v="21370437"/>
    <n v="13142.08"/>
    <m/>
    <s v="N"/>
    <n v="77"/>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65"/>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32"/>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54"/>
    <d v="2023-07-13T19:21:26"/>
    <s v="Y"/>
    <s v="Preparation - research"/>
    <s v="Care Remuneration Hourly Rates"/>
    <s v="Profit Cost"/>
    <s v="Catrin Parry"/>
    <s v="Y"/>
    <n v="120.91"/>
    <n v="24.18"/>
    <x v="11"/>
    <s v="VALIDATED"/>
    <n v="1"/>
    <s v="01.11.80.308.6100.0000"/>
    <n v="120.91"/>
    <s v="11"/>
    <s v="6100"/>
    <n v="10688.34"/>
    <n v="120.91"/>
    <s v="CREDITOR"/>
    <n v="0"/>
    <n v="0"/>
    <n v="0"/>
    <n v="0"/>
    <n v="120.91"/>
  </r>
  <r>
    <n v="60163677"/>
    <s v="N"/>
    <n v="21370437"/>
    <s v="3000014486110008"/>
    <s v="CIVIL"/>
    <d v="2023-06-28T00:00:00"/>
    <d v="2023-07-13T19:21:05"/>
    <m/>
    <d v="2023-07-13T00:00:00"/>
    <n v="1928"/>
    <n v="337"/>
    <s v="60163677"/>
    <s v="60163677"/>
    <m/>
    <m/>
    <n v="22776778"/>
    <m/>
    <m/>
    <m/>
    <s v="SOLFIN"/>
    <s v="SOLFIN"/>
    <s v="CCMS"/>
    <n v="21370437"/>
    <n v="13142.08"/>
    <m/>
    <s v="N"/>
    <n v="78"/>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68"/>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81"/>
    <d v="2023-07-13T19:21:26"/>
    <s v="Y"/>
    <s v="Preparation - research"/>
    <s v="Care Remuneration Hourly Rates"/>
    <s v="Profit Cost"/>
    <s v="Catrin Parry"/>
    <s v="Y"/>
    <n v="6.05"/>
    <n v="1.21"/>
    <x v="11"/>
    <s v="VALIDATED"/>
    <n v="1"/>
    <s v="01.11.80.308.6100.0000"/>
    <n v="6.05"/>
    <s v="11"/>
    <s v="6100"/>
    <n v="10688.34"/>
    <n v="6.05"/>
    <s v="CREDITOR"/>
    <n v="0"/>
    <n v="0"/>
    <n v="0"/>
    <n v="0"/>
    <n v="6.05"/>
  </r>
  <r>
    <n v="61304779"/>
    <s v="N"/>
    <n v="21361032"/>
    <s v="3000015462270012"/>
    <s v="CIVIL"/>
    <d v="2023-06-27T00:00:00"/>
    <d v="2023-07-11T19:00:25"/>
    <m/>
    <d v="2023-07-11T00:00:00"/>
    <n v="1928"/>
    <n v="337"/>
    <s v="61304779"/>
    <s v="61304779"/>
    <m/>
    <m/>
    <n v="22767898"/>
    <m/>
    <m/>
    <m/>
    <s v="SOLFIN"/>
    <s v="SOLFIN"/>
    <s v="CCMS"/>
    <n v="21361032"/>
    <n v="3541.52"/>
    <m/>
    <s v="N"/>
    <n v="1"/>
    <d v="2023-07-11T19:00:43"/>
    <s v="Y"/>
    <s v="Toxicologist"/>
    <s v="Public Law Children"/>
    <s v="Expert Disbursement"/>
    <s v="Catrin Parry"/>
    <s v="Y"/>
    <n v="185"/>
    <n v="37"/>
    <x v="7"/>
    <s v="VALIDATED"/>
    <n v="1"/>
    <s v="01.11.80.308.6300.0000"/>
    <n v="185"/>
    <s v="11"/>
    <s v="6300"/>
    <n v="10688.34"/>
    <n v="185"/>
    <s v="CREDITOR"/>
    <n v="0"/>
    <n v="0"/>
    <n v="0"/>
    <n v="0"/>
    <n v="185"/>
  </r>
  <r>
    <n v="60163677"/>
    <s v="N"/>
    <n v="21370437"/>
    <s v="3000014486110008"/>
    <s v="CIVIL"/>
    <d v="2023-06-28T00:00:00"/>
    <d v="2023-07-13T19:21:05"/>
    <m/>
    <d v="2023-07-13T00:00:00"/>
    <n v="1928"/>
    <n v="337"/>
    <s v="60163677"/>
    <s v="60163677"/>
    <m/>
    <m/>
    <n v="22776778"/>
    <m/>
    <m/>
    <m/>
    <s v="SOLFIN"/>
    <s v="SOLFIN"/>
    <s v="CCMS"/>
    <n v="21370437"/>
    <n v="13142.08"/>
    <m/>
    <s v="N"/>
    <n v="27"/>
    <d v="2023-07-13T19:21:26"/>
    <s v="Y"/>
    <s v="Preparation - research"/>
    <s v="Care Remuneration Hourly Rates"/>
    <s v="Profit Cost"/>
    <s v="Catrin Parry"/>
    <s v="Y"/>
    <n v="30.23"/>
    <n v="6.05"/>
    <x v="11"/>
    <s v="VALIDATED"/>
    <n v="1"/>
    <s v="01.11.80.308.6100.0000"/>
    <n v="30.23"/>
    <s v="11"/>
    <s v="6100"/>
    <n v="10688.34"/>
    <n v="30.23"/>
    <s v="CREDITOR"/>
    <n v="0"/>
    <n v="0"/>
    <n v="0"/>
    <n v="0"/>
    <n v="30.23"/>
  </r>
  <r>
    <n v="60163677"/>
    <s v="N"/>
    <n v="21370437"/>
    <s v="3000014486110008"/>
    <s v="CIVIL"/>
    <d v="2023-06-28T00:00:00"/>
    <d v="2023-07-13T19:21:05"/>
    <m/>
    <d v="2023-07-13T00:00:00"/>
    <n v="1928"/>
    <n v="337"/>
    <s v="60163677"/>
    <s v="60163677"/>
    <m/>
    <m/>
    <n v="22776778"/>
    <m/>
    <m/>
    <m/>
    <s v="SOLFIN"/>
    <s v="SOLFIN"/>
    <s v="CCMS"/>
    <n v="21370437"/>
    <n v="13142.08"/>
    <m/>
    <s v="N"/>
    <n v="83"/>
    <d v="2023-07-13T19:21:26"/>
    <s v="Y"/>
    <s v="Preparation - other"/>
    <s v="Care Remuneration Hourly Rates"/>
    <s v="Profit Cost"/>
    <s v="Catrin Parry"/>
    <s v="Y"/>
    <n v="6.05"/>
    <n v="1.21"/>
    <x v="11"/>
    <s v="VALIDATED"/>
    <n v="1"/>
    <s v="01.11.80.308.6100.0000"/>
    <n v="6.05"/>
    <s v="11"/>
    <s v="6100"/>
    <n v="10688.34"/>
    <n v="6.05"/>
    <s v="CREDITOR"/>
    <n v="0"/>
    <n v="0"/>
    <n v="0"/>
    <n v="0"/>
    <n v="6.05"/>
  </r>
  <r>
    <n v="61304779"/>
    <s v="N"/>
    <n v="21361032"/>
    <s v="3000015462270012"/>
    <s v="CIVIL"/>
    <d v="2023-06-27T00:00:00"/>
    <d v="2023-07-11T19:00:25"/>
    <m/>
    <d v="2023-07-11T00:00:00"/>
    <n v="1928"/>
    <n v="337"/>
    <s v="61304779"/>
    <s v="61304779"/>
    <m/>
    <m/>
    <n v="22767898"/>
    <m/>
    <m/>
    <m/>
    <s v="SOLFIN"/>
    <s v="SOLFIN"/>
    <s v="CCMS"/>
    <n v="21361032"/>
    <n v="3541.52"/>
    <m/>
    <s v="N"/>
    <n v="2"/>
    <d v="2023-07-11T19:00:43"/>
    <s v="Y"/>
    <s v="Toxicologist"/>
    <s v="Public Law Children"/>
    <s v="Expert Disbursement"/>
    <s v="Catrin Parry"/>
    <s v="Y"/>
    <n v="33.25"/>
    <n v="6.65"/>
    <x v="7"/>
    <s v="VALIDATED"/>
    <n v="1"/>
    <s v="01.11.80.308.6300.0000"/>
    <n v="33.25"/>
    <s v="11"/>
    <s v="6300"/>
    <n v="10688.34"/>
    <n v="33.25"/>
    <s v="CREDITOR"/>
    <n v="0"/>
    <n v="0"/>
    <n v="0"/>
    <n v="0"/>
    <n v="33.25"/>
  </r>
  <r>
    <n v="60163677"/>
    <s v="N"/>
    <n v="21370437"/>
    <s v="3000014486110008"/>
    <s v="CIVIL"/>
    <d v="2023-06-28T00:00:00"/>
    <d v="2023-07-13T19:21:05"/>
    <m/>
    <d v="2023-07-13T00:00:00"/>
    <n v="1928"/>
    <n v="337"/>
    <s v="60163677"/>
    <s v="60163677"/>
    <m/>
    <m/>
    <n v="22776778"/>
    <m/>
    <m/>
    <m/>
    <s v="SOLFIN"/>
    <s v="SOLFIN"/>
    <s v="CCMS"/>
    <n v="21370437"/>
    <n v="13142.08"/>
    <m/>
    <s v="N"/>
    <n v="93"/>
    <d v="2023-07-13T19:21:26"/>
    <s v="Y"/>
    <s v="Advocates Meeting"/>
    <s v="Public Law Children"/>
    <s v="Advocacy"/>
    <s v="Catrin Parry"/>
    <s v="Y"/>
    <n v="140.99"/>
    <n v="28.2"/>
    <x v="11"/>
    <s v="VALIDATED"/>
    <n v="1"/>
    <s v="01.11.80.308.6100.0000"/>
    <n v="140.99"/>
    <s v="11"/>
    <s v="6100"/>
    <n v="10688.34"/>
    <n v="140.99"/>
    <s v="CREDITOR"/>
    <n v="0"/>
    <n v="0"/>
    <n v="0"/>
    <n v="0"/>
    <n v="140.99"/>
  </r>
  <r>
    <n v="60163677"/>
    <s v="N"/>
    <n v="21370437"/>
    <s v="3000014486110008"/>
    <s v="CIVIL"/>
    <d v="2023-06-28T00:00:00"/>
    <d v="2023-07-13T19:21:05"/>
    <m/>
    <d v="2023-07-13T00:00:00"/>
    <n v="1928"/>
    <n v="337"/>
    <s v="60163677"/>
    <s v="60163677"/>
    <m/>
    <m/>
    <n v="22776778"/>
    <m/>
    <m/>
    <m/>
    <s v="SOLFIN"/>
    <s v="SOLFIN"/>
    <s v="CCMS"/>
    <n v="21370437"/>
    <n v="13142.08"/>
    <m/>
    <s v="N"/>
    <n v="72"/>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88"/>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38"/>
    <d v="2023-07-13T19:21:26"/>
    <s v="Y"/>
    <s v="Preparation - drafting bill/claim f"/>
    <s v="Care Remuneration Hourly Rates"/>
    <s v="Profit Cost"/>
    <s v="Catrin Parry"/>
    <s v="Y"/>
    <n v="210.28"/>
    <n v="42.06"/>
    <x v="11"/>
    <s v="VALIDATED"/>
    <n v="1"/>
    <s v="01.11.80.308.6100.0000"/>
    <n v="210.28"/>
    <s v="11"/>
    <s v="6100"/>
    <n v="10688.34"/>
    <n v="210.28"/>
    <s v="CREDITOR"/>
    <n v="0"/>
    <n v="0"/>
    <n v="0"/>
    <n v="0"/>
    <n v="210.28"/>
  </r>
  <r>
    <n v="60163677"/>
    <s v="N"/>
    <n v="21370437"/>
    <s v="3000014486110008"/>
    <s v="CIVIL"/>
    <d v="2023-06-28T00:00:00"/>
    <d v="2023-07-13T19:21:05"/>
    <m/>
    <d v="2023-07-13T00:00:00"/>
    <n v="1928"/>
    <n v="337"/>
    <s v="60163677"/>
    <s v="60163677"/>
    <m/>
    <m/>
    <n v="22776778"/>
    <m/>
    <m/>
    <m/>
    <s v="SOLFIN"/>
    <s v="SOLFIN"/>
    <s v="CCMS"/>
    <n v="21370437"/>
    <n v="13142.08"/>
    <m/>
    <s v="N"/>
    <n v="36"/>
    <d v="2023-07-13T19:21:26"/>
    <s v="Y"/>
    <s v="Preparation - other"/>
    <s v="Care Remuneration Hourly Rates"/>
    <s v="Profit Cost"/>
    <s v="Catrin Parry"/>
    <s v="Y"/>
    <n v="6.05"/>
    <n v="1.21"/>
    <x v="11"/>
    <s v="VALIDATED"/>
    <n v="1"/>
    <s v="01.11.80.308.6100.0000"/>
    <n v="6.05"/>
    <s v="11"/>
    <s v="6100"/>
    <n v="10688.34"/>
    <n v="6.05"/>
    <s v="CREDITOR"/>
    <n v="0"/>
    <n v="0"/>
    <n v="0"/>
    <n v="0"/>
    <n v="6.05"/>
  </r>
  <r>
    <n v="61304779"/>
    <s v="N"/>
    <n v="21361032"/>
    <s v="3000015462270012"/>
    <s v="CIVIL"/>
    <d v="2023-06-27T00:00:00"/>
    <d v="2023-07-11T19:00:25"/>
    <m/>
    <d v="2023-07-11T00:00:00"/>
    <n v="1928"/>
    <n v="337"/>
    <s v="61304779"/>
    <s v="61304779"/>
    <m/>
    <m/>
    <n v="22767898"/>
    <m/>
    <m/>
    <m/>
    <s v="SOLFIN"/>
    <s v="SOLFIN"/>
    <s v="CCMS"/>
    <n v="21361032"/>
    <n v="3541.52"/>
    <m/>
    <s v="N"/>
    <n v="4"/>
    <d v="2023-07-11T19:00:43"/>
    <s v="Y"/>
    <s v="Toxicologist"/>
    <s v="Public Law Children"/>
    <s v="Expert Disbursement"/>
    <s v="Catrin Parry"/>
    <s v="Y"/>
    <n v="269.5"/>
    <n v="53.9"/>
    <x v="7"/>
    <s v="VALIDATED"/>
    <n v="1"/>
    <s v="01.11.80.308.6300.0000"/>
    <n v="269.5"/>
    <s v="11"/>
    <s v="6300"/>
    <n v="10688.34"/>
    <n v="269.5"/>
    <s v="CREDITOR"/>
    <n v="0"/>
    <n v="0"/>
    <n v="0"/>
    <n v="0"/>
    <n v="269.5"/>
  </r>
  <r>
    <n v="60163677"/>
    <s v="N"/>
    <n v="21370437"/>
    <s v="3000014486110008"/>
    <s v="CIVIL"/>
    <d v="2023-06-28T00:00:00"/>
    <d v="2023-07-13T19:21:05"/>
    <m/>
    <d v="2023-07-13T00:00:00"/>
    <n v="1928"/>
    <n v="337"/>
    <s v="60163677"/>
    <s v="60163677"/>
    <m/>
    <m/>
    <n v="22776778"/>
    <m/>
    <m/>
    <m/>
    <s v="SOLFIN"/>
    <s v="SOLFIN"/>
    <s v="CCMS"/>
    <n v="21370437"/>
    <n v="13142.08"/>
    <m/>
    <s v="N"/>
    <n v="102"/>
    <d v="2023-07-13T19:21:26"/>
    <s v="Y"/>
    <s v="Hearing Unit 1.01 - 2.30 Hours"/>
    <s v="Public Law Children"/>
    <s v="Advocacy"/>
    <s v="Catrin Parry"/>
    <s v="Y"/>
    <n v="238.46"/>
    <n v="47.69"/>
    <x v="11"/>
    <s v="VALIDATED"/>
    <n v="1"/>
    <s v="01.11.80.308.6100.0000"/>
    <n v="238.46"/>
    <s v="11"/>
    <s v="6100"/>
    <n v="10688.34"/>
    <n v="238.46"/>
    <s v="CREDITOR"/>
    <n v="0"/>
    <n v="0"/>
    <n v="0"/>
    <n v="0"/>
    <n v="238.46"/>
  </r>
  <r>
    <n v="61901644"/>
    <s v="N"/>
    <n v="21321900"/>
    <s v="3000015959050004"/>
    <s v="CIVIL"/>
    <d v="2023-06-29T00:00:00"/>
    <d v="2023-07-03T19:05:17"/>
    <m/>
    <d v="2023-07-03T00:00:00"/>
    <n v="1928"/>
    <n v="337"/>
    <s v="61901644"/>
    <s v="61901644"/>
    <m/>
    <m/>
    <n v="22788192"/>
    <m/>
    <m/>
    <m/>
    <s v="SOLPOA"/>
    <s v="SOLPOA"/>
    <s v="CCMS"/>
    <n v="21321900"/>
    <n v="346.2"/>
    <m/>
    <s v="N"/>
    <n v="1"/>
    <d v="2023-07-03T19:05:21"/>
    <s v="N"/>
    <s v="Expert Cost"/>
    <s v="Expert Cost"/>
    <s v="Expert Disbursement"/>
    <s v="Catrin Parry"/>
    <s v="N"/>
    <n v="288.5"/>
    <n v="57.7"/>
    <x v="3"/>
    <s v="VALIDATED"/>
    <n v="1"/>
    <s v="01.11.80.308.2012.0000"/>
    <n v="288.5"/>
    <s v="11"/>
    <s v="2012"/>
    <n v="10688.34"/>
    <n v="288.5"/>
    <s v="CREDITOR"/>
    <n v="288.5"/>
    <n v="0"/>
    <n v="0"/>
    <n v="0"/>
    <n v="0"/>
  </r>
  <r>
    <n v="60163677"/>
    <s v="N"/>
    <n v="21370437"/>
    <s v="3000014486110008"/>
    <s v="CIVIL"/>
    <d v="2023-06-28T00:00:00"/>
    <d v="2023-07-13T19:21:05"/>
    <m/>
    <d v="2023-07-13T00:00:00"/>
    <n v="1928"/>
    <n v="337"/>
    <s v="60163677"/>
    <s v="60163677"/>
    <m/>
    <m/>
    <n v="22776778"/>
    <m/>
    <m/>
    <m/>
    <s v="SOLFIN"/>
    <s v="SOLFIN"/>
    <s v="CCMS"/>
    <n v="21370437"/>
    <n v="13142.08"/>
    <m/>
    <s v="N"/>
    <n v="42"/>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76"/>
    <d v="2023-07-13T19:21:26"/>
    <s v="Y"/>
    <s v="Preparation - research"/>
    <s v="Care Remuneration Hourly Rates"/>
    <s v="Profit Cost"/>
    <s v="Catrin Parry"/>
    <s v="Y"/>
    <n v="18.14"/>
    <n v="3.63"/>
    <x v="11"/>
    <s v="VALIDATED"/>
    <n v="1"/>
    <s v="01.11.80.308.6100.0000"/>
    <n v="18.14"/>
    <s v="11"/>
    <s v="6100"/>
    <n v="10688.34"/>
    <n v="18.14"/>
    <s v="CREDITOR"/>
    <n v="0"/>
    <n v="0"/>
    <n v="0"/>
    <n v="0"/>
    <n v="18.14"/>
  </r>
  <r>
    <n v="60163677"/>
    <s v="N"/>
    <n v="21370437"/>
    <s v="3000014486110008"/>
    <s v="CIVIL"/>
    <d v="2023-06-28T00:00:00"/>
    <d v="2023-07-13T19:21:05"/>
    <m/>
    <d v="2023-07-13T00:00:00"/>
    <n v="1928"/>
    <n v="337"/>
    <s v="60163677"/>
    <s v="60163677"/>
    <m/>
    <m/>
    <n v="22776778"/>
    <m/>
    <m/>
    <m/>
    <s v="SOLFIN"/>
    <s v="SOLFIN"/>
    <s v="CCMS"/>
    <n v="21370437"/>
    <n v="13142.08"/>
    <m/>
    <s v="N"/>
    <n v="1"/>
    <d v="2023-07-13T19:21:26"/>
    <s v="Y"/>
    <s v="Interim Hearing Court Bundle/Advoca"/>
    <s v="Public Law Children"/>
    <s v="Advocacy"/>
    <s v="Catrin Parry"/>
    <s v="Y"/>
    <n v="89.09999999999999"/>
    <n v="17.82"/>
    <x v="11"/>
    <s v="VALIDATED"/>
    <n v="1"/>
    <s v="01.11.80.308.6100.0000"/>
    <n v="89.09999999999999"/>
    <s v="11"/>
    <s v="6100"/>
    <n v="10688.34"/>
    <n v="89.09999999999999"/>
    <s v="CREDITOR"/>
    <n v="0"/>
    <n v="0"/>
    <n v="0"/>
    <n v="0"/>
    <n v="89.09999999999999"/>
  </r>
  <r>
    <n v="60163677"/>
    <s v="N"/>
    <n v="21370437"/>
    <s v="3000014486110008"/>
    <s v="CIVIL"/>
    <d v="2023-06-28T00:00:00"/>
    <d v="2023-07-13T19:21:05"/>
    <m/>
    <d v="2023-07-13T00:00:00"/>
    <n v="1928"/>
    <n v="337"/>
    <s v="60163677"/>
    <s v="60163677"/>
    <m/>
    <m/>
    <n v="22776778"/>
    <m/>
    <m/>
    <m/>
    <s v="SOLFIN"/>
    <s v="SOLFIN"/>
    <s v="CCMS"/>
    <n v="21370437"/>
    <n v="13142.08"/>
    <m/>
    <s v="N"/>
    <n v="8"/>
    <d v="2023-07-13T19:21:26"/>
    <s v="Y"/>
    <s v="Other"/>
    <s v="Care Remuneration Hourly Rates"/>
    <s v="Non Expert Disbursement"/>
    <s v="Catrin Parry"/>
    <s v="Y"/>
    <n v="17.7"/>
    <n v="3.54"/>
    <x v="11"/>
    <s v="VALIDATED"/>
    <n v="1"/>
    <s v="01.11.80.308.6300.0000"/>
    <n v="17.7"/>
    <s v="11"/>
    <s v="6300"/>
    <n v="10688.34"/>
    <n v="17.7"/>
    <s v="CREDITOR"/>
    <n v="0"/>
    <n v="0"/>
    <n v="0"/>
    <n v="0"/>
    <n v="17.7"/>
  </r>
  <r>
    <n v="60163677"/>
    <s v="N"/>
    <n v="21370437"/>
    <s v="3000014486110008"/>
    <s v="CIVIL"/>
    <d v="2023-06-28T00:00:00"/>
    <d v="2023-07-13T19:21:05"/>
    <m/>
    <d v="2023-07-13T00:00:00"/>
    <n v="1928"/>
    <n v="337"/>
    <s v="60163677"/>
    <s v="60163677"/>
    <m/>
    <m/>
    <n v="22776778"/>
    <m/>
    <m/>
    <m/>
    <s v="SOLFIN"/>
    <s v="SOLFIN"/>
    <s v="CCMS"/>
    <n v="21370437"/>
    <n v="13142.08"/>
    <m/>
    <s v="N"/>
    <n v="28"/>
    <d v="2023-07-13T19:21:26"/>
    <s v="Y"/>
    <s v="Preparation - research"/>
    <s v="Care Remuneration Hourly Rates"/>
    <s v="Profit Cost"/>
    <s v="Catrin Parry"/>
    <s v="Y"/>
    <n v="18.14"/>
    <n v="3.63"/>
    <x v="11"/>
    <s v="VALIDATED"/>
    <n v="1"/>
    <s v="01.11.80.308.6100.0000"/>
    <n v="18.14"/>
    <s v="11"/>
    <s v="6100"/>
    <n v="10688.34"/>
    <n v="18.14"/>
    <s v="CREDITOR"/>
    <n v="0"/>
    <n v="0"/>
    <n v="0"/>
    <n v="0"/>
    <n v="18.14"/>
  </r>
  <r>
    <n v="60163677"/>
    <s v="N"/>
    <n v="21370437"/>
    <s v="3000014486110008"/>
    <s v="CIVIL"/>
    <d v="2023-06-28T00:00:00"/>
    <d v="2023-07-13T19:21:05"/>
    <m/>
    <d v="2023-07-13T00:00:00"/>
    <n v="1928"/>
    <n v="337"/>
    <s v="60163677"/>
    <s v="60163677"/>
    <m/>
    <m/>
    <n v="22776778"/>
    <m/>
    <m/>
    <m/>
    <s v="SOLFIN"/>
    <s v="SOLFIN"/>
    <s v="CCMS"/>
    <n v="21370437"/>
    <n v="13142.08"/>
    <m/>
    <s v="N"/>
    <n v="59"/>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97"/>
    <d v="2023-07-13T19:21:26"/>
    <s v="Y"/>
    <s v="Hearing Unit 2.31 - 5.00 Hours"/>
    <s v="Public Law Children"/>
    <s v="Advocacy"/>
    <s v="Gill Lacey"/>
    <s v="Y"/>
    <n v="476.92"/>
    <n v="95.39"/>
    <x v="11"/>
    <s v="VALIDATED"/>
    <n v="1"/>
    <s v="01.11.80.308.6100.0000"/>
    <n v="476.92"/>
    <s v="11"/>
    <s v="6100"/>
    <n v="10688.34"/>
    <n v="476.92"/>
    <s v="CREDITOR"/>
    <n v="0"/>
    <n v="0"/>
    <n v="0"/>
    <n v="0"/>
    <n v="476.92"/>
  </r>
  <r>
    <n v="60163677"/>
    <s v="N"/>
    <n v="21370437"/>
    <s v="3000014486110008"/>
    <s v="CIVIL"/>
    <d v="2023-06-28T00:00:00"/>
    <d v="2023-07-13T19:21:05"/>
    <m/>
    <d v="2023-07-13T00:00:00"/>
    <n v="1928"/>
    <n v="337"/>
    <s v="60163677"/>
    <s v="60163677"/>
    <m/>
    <m/>
    <n v="22776778"/>
    <m/>
    <m/>
    <m/>
    <s v="SOLFIN"/>
    <s v="SOLFIN"/>
    <s v="CCMS"/>
    <n v="21370437"/>
    <n v="13142.08"/>
    <m/>
    <s v="N"/>
    <n v="50"/>
    <d v="2023-07-13T19:21:26"/>
    <s v="Y"/>
    <s v="Preparation - research"/>
    <s v="Care Remuneration Hourly Rates"/>
    <s v="Profit Cost"/>
    <s v="Catrin Parry"/>
    <s v="Y"/>
    <n v="90.69"/>
    <n v="18.14"/>
    <x v="11"/>
    <s v="VALIDATED"/>
    <n v="1"/>
    <s v="01.11.80.308.6100.0000"/>
    <n v="90.69"/>
    <s v="11"/>
    <s v="6100"/>
    <n v="10688.34"/>
    <n v="90.69"/>
    <s v="CREDITOR"/>
    <n v="0"/>
    <n v="0"/>
    <n v="0"/>
    <n v="0"/>
    <n v="90.69"/>
  </r>
  <r>
    <n v="60163677"/>
    <s v="N"/>
    <n v="21370437"/>
    <s v="3000014486110008"/>
    <s v="CIVIL"/>
    <d v="2023-06-28T00:00:00"/>
    <d v="2023-07-13T19:21:05"/>
    <m/>
    <d v="2023-07-13T00:00:00"/>
    <n v="1928"/>
    <n v="337"/>
    <s v="60163677"/>
    <s v="60163677"/>
    <m/>
    <m/>
    <n v="22776778"/>
    <m/>
    <m/>
    <m/>
    <s v="SOLFIN"/>
    <s v="SOLFIN"/>
    <s v="CCMS"/>
    <n v="21370437"/>
    <n v="13142.08"/>
    <m/>
    <s v="N"/>
    <n v="67"/>
    <d v="2023-07-13T19:21:26"/>
    <s v="Y"/>
    <s v="Report - Research"/>
    <s v="Care Remuneration Hourly Rates"/>
    <s v="Profit Cost"/>
    <s v="Catrin Parry"/>
    <s v="Y"/>
    <n v="30.23"/>
    <n v="6.05"/>
    <x v="11"/>
    <s v="VALIDATED"/>
    <n v="1"/>
    <s v="01.11.80.308.6100.0000"/>
    <n v="30.23"/>
    <s v="11"/>
    <s v="6100"/>
    <n v="10688.34"/>
    <n v="30.23"/>
    <s v="CREDITOR"/>
    <n v="0"/>
    <n v="0"/>
    <n v="0"/>
    <n v="0"/>
    <n v="30.23"/>
  </r>
  <r>
    <n v="60163677"/>
    <s v="N"/>
    <n v="21370437"/>
    <s v="3000014486110008"/>
    <s v="CIVIL"/>
    <d v="2023-06-28T00:00:00"/>
    <d v="2023-07-13T19:21:05"/>
    <m/>
    <d v="2023-07-13T00:00:00"/>
    <n v="1928"/>
    <n v="337"/>
    <s v="60163677"/>
    <s v="60163677"/>
    <m/>
    <m/>
    <n v="22776778"/>
    <m/>
    <m/>
    <m/>
    <s v="SOLFIN"/>
    <s v="SOLFIN"/>
    <s v="CCMS"/>
    <n v="21370437"/>
    <n v="13142.08"/>
    <m/>
    <s v="N"/>
    <n v="34"/>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69"/>
    <d v="2023-07-13T19:21:26"/>
    <s v="Y"/>
    <s v="Preparation - research"/>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84"/>
    <d v="2023-07-13T19:21:26"/>
    <s v="Y"/>
    <s v="Preparation - research"/>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92"/>
    <d v="2023-07-13T19:21:26"/>
    <s v="Y"/>
    <s v="Hearing Unit 2.31 - 5.00 Hours"/>
    <s v="Public Law Children"/>
    <s v="Advocacy"/>
    <s v="Catrin Parry"/>
    <s v="Y"/>
    <n v="476.92"/>
    <n v="95.39"/>
    <x v="11"/>
    <s v="VALIDATED"/>
    <n v="1"/>
    <s v="01.11.80.308.6100.0000"/>
    <n v="476.92"/>
    <s v="11"/>
    <s v="6100"/>
    <n v="10688.34"/>
    <n v="476.92"/>
    <s v="CREDITOR"/>
    <n v="0"/>
    <n v="0"/>
    <n v="0"/>
    <n v="0"/>
    <n v="476.92"/>
  </r>
  <r>
    <n v="60163677"/>
    <s v="N"/>
    <n v="21370437"/>
    <s v="3000014486110008"/>
    <s v="CIVIL"/>
    <d v="2023-06-28T00:00:00"/>
    <d v="2023-07-13T19:21:05"/>
    <m/>
    <d v="2023-07-13T00:00:00"/>
    <n v="1928"/>
    <n v="337"/>
    <s v="60163677"/>
    <s v="60163677"/>
    <m/>
    <m/>
    <n v="22776778"/>
    <m/>
    <m/>
    <m/>
    <s v="SOLFIN"/>
    <s v="SOLFIN"/>
    <s v="CCMS"/>
    <n v="21370437"/>
    <n v="13142.08"/>
    <m/>
    <s v="N"/>
    <n v="103"/>
    <d v="2023-07-13T19:21:26"/>
    <s v="Y"/>
    <s v="Advocates Meeting"/>
    <s v="Public Law Children"/>
    <s v="Advocacy"/>
    <s v="Catrin Parry"/>
    <s v="Y"/>
    <n v="140.99"/>
    <n v="28.2"/>
    <x v="11"/>
    <s v="VALIDATED"/>
    <n v="1"/>
    <s v="01.11.80.308.6100.0000"/>
    <n v="140.99"/>
    <s v="11"/>
    <s v="6100"/>
    <n v="10688.34"/>
    <n v="140.99"/>
    <s v="CREDITOR"/>
    <n v="0"/>
    <n v="0"/>
    <n v="0"/>
    <n v="0"/>
    <n v="140.99"/>
  </r>
  <r>
    <n v="60163677"/>
    <s v="N"/>
    <n v="21370437"/>
    <s v="3000014486110008"/>
    <s v="CIVIL"/>
    <d v="2023-06-28T00:00:00"/>
    <d v="2023-07-13T19:21:05"/>
    <m/>
    <d v="2023-07-13T00:00:00"/>
    <n v="1928"/>
    <n v="337"/>
    <s v="60163677"/>
    <s v="60163677"/>
    <m/>
    <m/>
    <n v="22776778"/>
    <m/>
    <m/>
    <m/>
    <s v="SOLFIN"/>
    <s v="SOLFIN"/>
    <s v="CCMS"/>
    <n v="21370437"/>
    <n v="13142.08"/>
    <m/>
    <s v="N"/>
    <n v="25"/>
    <d v="2023-07-13T19:21:26"/>
    <s v="Y"/>
    <s v="Report - other expert's report"/>
    <s v="Care Remuneration Hourly Rates"/>
    <s v="Profit Cost"/>
    <s v="Catrin Parry"/>
    <s v="Y"/>
    <n v="36.27"/>
    <n v="7.25"/>
    <x v="11"/>
    <s v="VALIDATED"/>
    <n v="1"/>
    <s v="01.11.80.308.6100.0000"/>
    <n v="36.27"/>
    <s v="11"/>
    <s v="6100"/>
    <n v="10688.34"/>
    <n v="36.27"/>
    <s v="CREDITOR"/>
    <n v="0"/>
    <n v="0"/>
    <n v="0"/>
    <n v="0"/>
    <n v="36.27"/>
  </r>
  <r>
    <n v="60163677"/>
    <s v="N"/>
    <n v="21370437"/>
    <s v="3000014486110008"/>
    <s v="CIVIL"/>
    <d v="2023-06-28T00:00:00"/>
    <d v="2023-07-13T19:21:05"/>
    <m/>
    <d v="2023-07-13T00:00:00"/>
    <n v="1928"/>
    <n v="337"/>
    <s v="60163677"/>
    <s v="60163677"/>
    <m/>
    <m/>
    <n v="22776778"/>
    <m/>
    <m/>
    <m/>
    <s v="SOLFIN"/>
    <s v="SOLFIN"/>
    <s v="CCMS"/>
    <n v="21370437"/>
    <n v="13142.08"/>
    <m/>
    <s v="N"/>
    <n v="75"/>
    <d v="2023-07-13T19:21:26"/>
    <s v="Y"/>
    <s v="Report - Medical report"/>
    <s v="Care Remuneration Hourly Rates"/>
    <s v="Profit Cost"/>
    <s v="Catrin Parry"/>
    <s v="Y"/>
    <n v="120.91"/>
    <n v="24.18"/>
    <x v="11"/>
    <s v="VALIDATED"/>
    <n v="1"/>
    <s v="01.11.80.308.6100.0000"/>
    <n v="120.91"/>
    <s v="11"/>
    <s v="6100"/>
    <n v="10688.34"/>
    <n v="120.91"/>
    <s v="CREDITOR"/>
    <n v="0"/>
    <n v="0"/>
    <n v="0"/>
    <n v="0"/>
    <n v="120.91"/>
  </r>
  <r>
    <n v="60163677"/>
    <s v="N"/>
    <n v="21370437"/>
    <s v="3000014486110008"/>
    <s v="CIVIL"/>
    <d v="2023-06-28T00:00:00"/>
    <d v="2023-07-13T19:21:05"/>
    <m/>
    <d v="2023-07-13T00:00:00"/>
    <n v="1928"/>
    <n v="337"/>
    <s v="60163677"/>
    <s v="60163677"/>
    <m/>
    <m/>
    <n v="22776778"/>
    <m/>
    <m/>
    <m/>
    <s v="SOLFIN"/>
    <s v="SOLFIN"/>
    <s v="CCMS"/>
    <n v="21370437"/>
    <n v="13142.08"/>
    <m/>
    <s v="N"/>
    <n v="5"/>
    <d v="2023-07-13T19:21:26"/>
    <s v="Y"/>
    <s v="Other"/>
    <s v="Care Remuneration Hourly Rates"/>
    <s v="Non Expert Disbursement"/>
    <s v="Catrin Parry"/>
    <s v="Y"/>
    <n v="8.85"/>
    <n v="1.77"/>
    <x v="11"/>
    <s v="VALIDATED"/>
    <n v="1"/>
    <s v="01.11.80.308.6300.0000"/>
    <n v="8.85"/>
    <s v="11"/>
    <s v="6300"/>
    <n v="10688.34"/>
    <n v="8.85"/>
    <s v="CREDITOR"/>
    <n v="0"/>
    <n v="0"/>
    <n v="0"/>
    <n v="0"/>
    <n v="8.85"/>
  </r>
  <r>
    <n v="60163677"/>
    <s v="N"/>
    <n v="21370437"/>
    <s v="3000014486110008"/>
    <s v="CIVIL"/>
    <d v="2023-06-28T00:00:00"/>
    <d v="2023-07-13T19:21:05"/>
    <m/>
    <d v="2023-07-13T00:00:00"/>
    <n v="1928"/>
    <n v="337"/>
    <s v="60163677"/>
    <s v="60163677"/>
    <m/>
    <m/>
    <n v="22776778"/>
    <m/>
    <m/>
    <m/>
    <s v="SOLFIN"/>
    <s v="SOLFIN"/>
    <s v="CCMS"/>
    <n v="21370437"/>
    <n v="13142.08"/>
    <m/>
    <s v="N"/>
    <n v="37"/>
    <d v="2023-07-13T19:21:26"/>
    <s v="Y"/>
    <s v="Preparation - research"/>
    <s v="Care Remuneration Hourly Rates"/>
    <s v="Profit Cost"/>
    <s v="Catrin Parry"/>
    <s v="Y"/>
    <n v="120.91"/>
    <n v="24.18"/>
    <x v="11"/>
    <s v="VALIDATED"/>
    <n v="1"/>
    <s v="01.11.80.308.6100.0000"/>
    <n v="120.91"/>
    <s v="11"/>
    <s v="6100"/>
    <n v="10688.34"/>
    <n v="120.91"/>
    <s v="CREDITOR"/>
    <n v="0"/>
    <n v="0"/>
    <n v="0"/>
    <n v="0"/>
    <n v="120.91"/>
  </r>
  <r>
    <n v="60163677"/>
    <s v="N"/>
    <n v="21370437"/>
    <s v="3000014486110008"/>
    <s v="CIVIL"/>
    <d v="2023-06-28T00:00:00"/>
    <d v="2023-07-13T19:21:05"/>
    <m/>
    <d v="2023-07-13T00:00:00"/>
    <n v="1928"/>
    <n v="337"/>
    <s v="60163677"/>
    <s v="60163677"/>
    <m/>
    <m/>
    <n v="22776778"/>
    <m/>
    <m/>
    <m/>
    <s v="SOLFIN"/>
    <s v="SOLFIN"/>
    <s v="CCMS"/>
    <n v="21370437"/>
    <n v="13142.08"/>
    <m/>
    <s v="N"/>
    <n v="51"/>
    <d v="2023-07-13T19:21:26"/>
    <s v="Y"/>
    <s v="Report - other expert's report"/>
    <s v="Care Remuneration Hourly Rates"/>
    <s v="Profit Cost"/>
    <s v="Catrin Parry"/>
    <s v="Y"/>
    <n v="24.18"/>
    <n v="4.84"/>
    <x v="11"/>
    <s v="VALIDATED"/>
    <n v="1"/>
    <s v="01.11.80.308.6100.0000"/>
    <n v="24.18"/>
    <s v="11"/>
    <s v="6100"/>
    <n v="10688.34"/>
    <n v="24.18"/>
    <s v="CREDITOR"/>
    <n v="0"/>
    <n v="0"/>
    <n v="0"/>
    <n v="0"/>
    <n v="24.18"/>
  </r>
  <r>
    <n v="60163677"/>
    <s v="N"/>
    <n v="21370437"/>
    <s v="3000014486110008"/>
    <s v="CIVIL"/>
    <d v="2023-06-28T00:00:00"/>
    <d v="2023-07-13T19:21:05"/>
    <m/>
    <d v="2023-07-13T00:00:00"/>
    <n v="1928"/>
    <n v="337"/>
    <s v="60163677"/>
    <s v="60163677"/>
    <m/>
    <m/>
    <n v="22776778"/>
    <m/>
    <m/>
    <m/>
    <s v="SOLFIN"/>
    <s v="SOLFIN"/>
    <s v="CCMS"/>
    <n v="21370437"/>
    <n v="13142.08"/>
    <m/>
    <s v="N"/>
    <n v="55"/>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79"/>
    <d v="2023-07-13T19:21:26"/>
    <s v="Y"/>
    <s v="Preparation - other"/>
    <s v="Care Remuneration Hourly Rates"/>
    <s v="Profit Cost"/>
    <s v="Catrin Parry"/>
    <s v="Y"/>
    <n v="6.05"/>
    <n v="1.21"/>
    <x v="11"/>
    <s v="VALIDATED"/>
    <n v="1"/>
    <s v="01.11.80.308.6100.0000"/>
    <n v="6.05"/>
    <s v="11"/>
    <s v="6100"/>
    <n v="10688.34"/>
    <n v="6.05"/>
    <s v="CREDITOR"/>
    <n v="0"/>
    <n v="0"/>
    <n v="0"/>
    <n v="0"/>
    <n v="6.05"/>
  </r>
  <r>
    <n v="61192627"/>
    <s v="N"/>
    <n v="21388388"/>
    <s v="3000015369920001RC"/>
    <s v="CIVIL"/>
    <d v="2023-06-27T00:00:00"/>
    <d v="2023-07-17T19:42:13"/>
    <m/>
    <d v="2023-07-17T00:00:00"/>
    <n v="1928"/>
    <n v="337"/>
    <s v="61192627"/>
    <s v="61192627"/>
    <m/>
    <m/>
    <m/>
    <m/>
    <m/>
    <m/>
    <s v="SOLRECOUP"/>
    <s v="SOLRECOUP"/>
    <s v="POARECOUP"/>
    <n v="21388388"/>
    <n v="-597.9"/>
    <m/>
    <s v="Y"/>
    <n v="1"/>
    <d v="2023-07-17T19:42:15"/>
    <s v="N"/>
    <m/>
    <m/>
    <s v="Expert Disbursement"/>
    <m/>
    <s v="N"/>
    <n v="-498.25"/>
    <n v="0"/>
    <x v="8"/>
    <s v="VALIDATED"/>
    <n v="1"/>
    <s v="01.11.80.308.2013.0000"/>
    <n v="-498.25"/>
    <s v="11"/>
    <s v="2013"/>
    <n v="10688.34"/>
    <n v="-498.25"/>
    <s v="CREDITOR"/>
    <n v="0"/>
    <n v="0"/>
    <n v="-498.25"/>
    <n v="0"/>
    <n v="0"/>
  </r>
  <r>
    <n v="61192627"/>
    <s v="N"/>
    <n v="21388388"/>
    <s v="3000015369920001RC"/>
    <s v="CIVIL"/>
    <d v="2023-06-27T00:00:00"/>
    <d v="2023-07-17T19:42:13"/>
    <m/>
    <d v="2023-07-17T00:00:00"/>
    <n v="1928"/>
    <n v="337"/>
    <s v="61192627"/>
    <s v="61192627"/>
    <m/>
    <m/>
    <m/>
    <m/>
    <m/>
    <m/>
    <s v="SOLRECOUP"/>
    <s v="SOLRECOUP"/>
    <s v="POARECOUP"/>
    <n v="21388388"/>
    <n v="-597.9"/>
    <m/>
    <s v="Y"/>
    <n v="2"/>
    <d v="2023-07-17T19:42:15"/>
    <s v="N"/>
    <m/>
    <m/>
    <s v="Expert Disbursement"/>
    <m/>
    <s v="N"/>
    <n v="0"/>
    <n v="-99.65000000000001"/>
    <x v="8"/>
    <s v="VALIDATED"/>
    <n v="1"/>
    <s v="01.11.80.308.2013.0000"/>
    <n v="-99.65000000000001"/>
    <s v="11"/>
    <s v="2013"/>
    <n v="10688.34"/>
    <n v="-99.65000000000001"/>
    <s v="CREDITOR"/>
    <n v="0"/>
    <n v="0"/>
    <n v="-99.65000000000001"/>
    <n v="0"/>
    <n v="0"/>
  </r>
  <r>
    <n v="61192627"/>
    <s v="N"/>
    <n v="21388389"/>
    <s v="3000015369920003RC"/>
    <s v="CIVIL"/>
    <d v="2023-06-27T00:00:00"/>
    <d v="2023-07-17T19:42:13"/>
    <m/>
    <d v="2023-07-17T00:00:00"/>
    <n v="1928"/>
    <n v="337"/>
    <s v="61192627"/>
    <s v="61192627"/>
    <m/>
    <m/>
    <m/>
    <m/>
    <m/>
    <m/>
    <s v="SOLRECOUP"/>
    <s v="SOLRECOUP"/>
    <s v="POARECOUP"/>
    <n v="21388389"/>
    <n v="-702"/>
    <m/>
    <s v="Y"/>
    <n v="2"/>
    <d v="2023-07-17T19:42:15"/>
    <s v="N"/>
    <m/>
    <m/>
    <s v="Expert Disbursement"/>
    <m/>
    <s v="N"/>
    <n v="0"/>
    <n v="-117"/>
    <x v="8"/>
    <s v="VALIDATED"/>
    <n v="1"/>
    <s v="01.11.80.308.2013.0000"/>
    <n v="-117"/>
    <s v="11"/>
    <s v="2013"/>
    <n v="10688.34"/>
    <n v="-117"/>
    <s v="CREDITOR"/>
    <n v="0"/>
    <n v="0"/>
    <n v="-117"/>
    <n v="0"/>
    <n v="0"/>
  </r>
  <r>
    <n v="61192627"/>
    <s v="N"/>
    <n v="21388389"/>
    <s v="3000015369920003RC"/>
    <s v="CIVIL"/>
    <d v="2023-06-27T00:00:00"/>
    <d v="2023-07-17T19:42:13"/>
    <m/>
    <d v="2023-07-17T00:00:00"/>
    <n v="1928"/>
    <n v="337"/>
    <s v="61192627"/>
    <s v="61192627"/>
    <m/>
    <m/>
    <m/>
    <m/>
    <m/>
    <m/>
    <s v="SOLRECOUP"/>
    <s v="SOLRECOUP"/>
    <s v="POARECOUP"/>
    <n v="21388389"/>
    <n v="-702"/>
    <m/>
    <s v="Y"/>
    <n v="1"/>
    <d v="2023-07-17T19:42:15"/>
    <s v="N"/>
    <m/>
    <m/>
    <s v="Expert Disbursement"/>
    <m/>
    <s v="N"/>
    <n v="-585"/>
    <n v="0"/>
    <x v="8"/>
    <s v="VALIDATED"/>
    <n v="1"/>
    <s v="01.11.80.308.2013.0000"/>
    <n v="-585"/>
    <s v="11"/>
    <s v="2013"/>
    <n v="10688.34"/>
    <n v="-585"/>
    <s v="CREDITOR"/>
    <n v="0"/>
    <n v="0"/>
    <n v="-585"/>
    <n v="0"/>
    <n v="0"/>
  </r>
  <r>
    <n v="61192627"/>
    <s v="N"/>
    <n v="21388390"/>
    <s v="3000015369920002RC"/>
    <s v="CIVIL"/>
    <d v="2023-06-27T00:00:00"/>
    <d v="2023-07-17T19:42:13"/>
    <m/>
    <d v="2023-07-17T00:00:00"/>
    <n v="1928"/>
    <n v="337"/>
    <s v="61192627"/>
    <s v="61192627"/>
    <m/>
    <m/>
    <m/>
    <m/>
    <m/>
    <m/>
    <s v="SOLRECOUP"/>
    <s v="SOLRECOUP"/>
    <s v="POARECOUP"/>
    <n v="21388390"/>
    <n v="-31.36"/>
    <m/>
    <s v="Y"/>
    <n v="2"/>
    <d v="2023-07-17T19:42:15"/>
    <s v="N"/>
    <m/>
    <m/>
    <s v="Expert Disbursement"/>
    <m/>
    <s v="N"/>
    <n v="0"/>
    <n v="-5.23"/>
    <x v="8"/>
    <s v="VALIDATED"/>
    <n v="1"/>
    <s v="01.11.80.308.2013.0000"/>
    <n v="-5.23"/>
    <s v="11"/>
    <s v="2013"/>
    <n v="10688.34"/>
    <n v="-5.23"/>
    <s v="CREDITOR"/>
    <n v="0"/>
    <n v="0"/>
    <n v="-5.23"/>
    <n v="0"/>
    <n v="0"/>
  </r>
  <r>
    <n v="61192627"/>
    <s v="N"/>
    <n v="21388390"/>
    <s v="3000015369920002RC"/>
    <s v="CIVIL"/>
    <d v="2023-06-27T00:00:00"/>
    <d v="2023-07-17T19:42:13"/>
    <m/>
    <d v="2023-07-17T00:00:00"/>
    <n v="1928"/>
    <n v="337"/>
    <s v="61192627"/>
    <s v="61192627"/>
    <m/>
    <m/>
    <m/>
    <m/>
    <m/>
    <m/>
    <s v="SOLRECOUP"/>
    <s v="SOLRECOUP"/>
    <s v="POARECOUP"/>
    <n v="21388390"/>
    <n v="-31.36"/>
    <m/>
    <s v="Y"/>
    <n v="1"/>
    <d v="2023-07-17T19:42:15"/>
    <s v="N"/>
    <m/>
    <m/>
    <s v="Expert Disbursement"/>
    <m/>
    <s v="N"/>
    <n v="-26.13"/>
    <n v="0"/>
    <x v="8"/>
    <s v="VALIDATED"/>
    <n v="1"/>
    <s v="01.11.80.308.2013.0000"/>
    <n v="-26.13"/>
    <s v="11"/>
    <s v="2013"/>
    <n v="10688.34"/>
    <n v="-26.13"/>
    <s v="CREDITOR"/>
    <n v="0"/>
    <n v="0"/>
    <n v="-26.13"/>
    <n v="0"/>
    <n v="0"/>
  </r>
  <r>
    <n v="60163677"/>
    <s v="N"/>
    <n v="21371764"/>
    <s v="3000014486110001RC"/>
    <s v="CIVIL"/>
    <d v="2023-06-28T00:00:00"/>
    <d v="2023-07-13T19:53:16"/>
    <m/>
    <d v="2023-07-13T00:00:00"/>
    <n v="1928"/>
    <n v="337"/>
    <s v="60163677"/>
    <s v="60163677"/>
    <m/>
    <m/>
    <m/>
    <m/>
    <m/>
    <m/>
    <s v="SOLRECOUP"/>
    <s v="SOLRECOUP"/>
    <s v="POARECOUP"/>
    <n v="21371764"/>
    <n v="-153.6"/>
    <m/>
    <s v="Y"/>
    <n v="2"/>
    <d v="2023-07-13T19:53:17"/>
    <s v="N"/>
    <m/>
    <m/>
    <s v="Expert Disbursement"/>
    <m/>
    <s v="N"/>
    <n v="0"/>
    <n v="-25.6"/>
    <x v="11"/>
    <s v="VALIDATED"/>
    <n v="1"/>
    <s v="01.11.80.308.2013.0000"/>
    <n v="-25.6"/>
    <s v="11"/>
    <s v="2013"/>
    <n v="10688.34"/>
    <n v="-25.6"/>
    <s v="CREDITOR"/>
    <n v="0"/>
    <n v="0"/>
    <n v="-25.6"/>
    <n v="0"/>
    <n v="0"/>
  </r>
  <r>
    <n v="60163677"/>
    <s v="N"/>
    <n v="21371764"/>
    <s v="3000014486110001RC"/>
    <s v="CIVIL"/>
    <d v="2023-06-28T00:00:00"/>
    <d v="2023-07-13T19:53:16"/>
    <m/>
    <d v="2023-07-13T00:00:00"/>
    <n v="1928"/>
    <n v="337"/>
    <s v="60163677"/>
    <s v="60163677"/>
    <m/>
    <m/>
    <m/>
    <m/>
    <m/>
    <m/>
    <s v="SOLRECOUP"/>
    <s v="SOLRECOUP"/>
    <s v="POARECOUP"/>
    <n v="21371764"/>
    <n v="-153.6"/>
    <m/>
    <s v="Y"/>
    <n v="1"/>
    <d v="2023-07-13T19:53:17"/>
    <s v="N"/>
    <m/>
    <m/>
    <s v="Expert Disbursement"/>
    <m/>
    <s v="N"/>
    <n v="-128"/>
    <n v="0"/>
    <x v="11"/>
    <s v="VALIDATED"/>
    <n v="1"/>
    <s v="01.11.80.308.2013.0000"/>
    <n v="-128"/>
    <s v="11"/>
    <s v="2013"/>
    <n v="10688.34"/>
    <n v="-128"/>
    <s v="CREDITOR"/>
    <n v="0"/>
    <n v="0"/>
    <n v="-128"/>
    <n v="0"/>
    <n v="0"/>
  </r>
  <r>
    <n v="60163677"/>
    <s v="N"/>
    <n v="21371765"/>
    <s v="3000014486110002RC"/>
    <s v="CIVIL"/>
    <d v="2023-06-28T00:00:00"/>
    <d v="2023-07-13T19:53:16"/>
    <m/>
    <d v="2023-07-13T00:00:00"/>
    <n v="1928"/>
    <n v="337"/>
    <s v="60163677"/>
    <s v="60163677"/>
    <m/>
    <m/>
    <m/>
    <m/>
    <m/>
    <m/>
    <s v="SOLRECOUP"/>
    <s v="SOLRECOUP"/>
    <s v="POARECOUP"/>
    <n v="21371765"/>
    <n v="-281.76"/>
    <m/>
    <s v="Y"/>
    <n v="2"/>
    <d v="2023-07-13T19:53:17"/>
    <s v="N"/>
    <m/>
    <m/>
    <s v="Expert Disbursement"/>
    <m/>
    <s v="N"/>
    <n v="0"/>
    <n v="-46.96"/>
    <x v="11"/>
    <s v="VALIDATED"/>
    <n v="1"/>
    <s v="01.11.80.308.2013.0000"/>
    <n v="-46.96"/>
    <s v="11"/>
    <s v="2013"/>
    <n v="10688.34"/>
    <n v="-46.96"/>
    <s v="CREDITOR"/>
    <n v="0"/>
    <n v="0"/>
    <n v="-46.96"/>
    <n v="0"/>
    <n v="0"/>
  </r>
  <r>
    <n v="60163677"/>
    <s v="N"/>
    <n v="21371765"/>
    <s v="3000014486110002RC"/>
    <s v="CIVIL"/>
    <d v="2023-06-28T00:00:00"/>
    <d v="2023-07-13T19:53:16"/>
    <m/>
    <d v="2023-07-13T00:00:00"/>
    <n v="1928"/>
    <n v="337"/>
    <s v="60163677"/>
    <s v="60163677"/>
    <m/>
    <m/>
    <m/>
    <m/>
    <m/>
    <m/>
    <s v="SOLRECOUP"/>
    <s v="SOLRECOUP"/>
    <s v="POARECOUP"/>
    <n v="21371765"/>
    <n v="-281.76"/>
    <m/>
    <s v="Y"/>
    <n v="1"/>
    <d v="2023-07-13T19:53:17"/>
    <s v="N"/>
    <m/>
    <m/>
    <s v="Expert Disbursement"/>
    <m/>
    <s v="N"/>
    <n v="-234.8"/>
    <n v="0"/>
    <x v="11"/>
    <s v="VALIDATED"/>
    <n v="1"/>
    <s v="01.11.80.308.2013.0000"/>
    <n v="-234.8"/>
    <s v="11"/>
    <s v="2013"/>
    <n v="10688.34"/>
    <n v="-234.8"/>
    <s v="CREDITOR"/>
    <n v="0"/>
    <n v="0"/>
    <n v="-234.8"/>
    <n v="0"/>
    <n v="0"/>
  </r>
  <r>
    <n v="60163677"/>
    <s v="N"/>
    <n v="21371766"/>
    <s v="3000014486110003RC"/>
    <s v="CIVIL"/>
    <d v="2023-06-28T00:00:00"/>
    <d v="2023-07-13T19:53:16"/>
    <m/>
    <d v="2023-07-13T00:00:00"/>
    <n v="1928"/>
    <n v="337"/>
    <s v="60163677"/>
    <s v="60163677"/>
    <m/>
    <m/>
    <m/>
    <m/>
    <m/>
    <m/>
    <s v="SOLRECOUP"/>
    <s v="SOLRECOUP"/>
    <s v="POARECOUP"/>
    <n v="21371766"/>
    <n v="-574.51"/>
    <m/>
    <s v="Y"/>
    <n v="1"/>
    <d v="2023-07-13T19:53:17"/>
    <s v="N"/>
    <m/>
    <m/>
    <s v="Expert Disbursement"/>
    <m/>
    <s v="N"/>
    <n v="-478.76"/>
    <n v="0"/>
    <x v="11"/>
    <s v="VALIDATED"/>
    <n v="1"/>
    <s v="01.11.80.308.2013.0000"/>
    <n v="-478.76"/>
    <s v="11"/>
    <s v="2013"/>
    <n v="10688.34"/>
    <n v="-478.76"/>
    <s v="CREDITOR"/>
    <n v="0"/>
    <n v="0"/>
    <n v="-478.76"/>
    <n v="0"/>
    <n v="0"/>
  </r>
  <r>
    <n v="60163677"/>
    <s v="N"/>
    <n v="21371766"/>
    <s v="3000014486110003RC"/>
    <s v="CIVIL"/>
    <d v="2023-06-28T00:00:00"/>
    <d v="2023-07-13T19:53:16"/>
    <m/>
    <d v="2023-07-13T00:00:00"/>
    <n v="1928"/>
    <n v="337"/>
    <s v="60163677"/>
    <s v="60163677"/>
    <m/>
    <m/>
    <m/>
    <m/>
    <m/>
    <m/>
    <s v="SOLRECOUP"/>
    <s v="SOLRECOUP"/>
    <s v="POARECOUP"/>
    <n v="21371766"/>
    <n v="-574.51"/>
    <m/>
    <s v="Y"/>
    <n v="2"/>
    <d v="2023-07-13T19:53:17"/>
    <s v="N"/>
    <m/>
    <m/>
    <s v="Expert Disbursement"/>
    <m/>
    <s v="N"/>
    <n v="0"/>
    <n v="-95.75"/>
    <x v="11"/>
    <s v="VALIDATED"/>
    <n v="1"/>
    <s v="01.11.80.308.2013.0000"/>
    <n v="-95.75"/>
    <s v="11"/>
    <s v="2013"/>
    <n v="10688.34"/>
    <n v="-95.75"/>
    <s v="CREDITOR"/>
    <n v="0"/>
    <n v="0"/>
    <n v="-95.75"/>
    <n v="0"/>
    <n v="0"/>
  </r>
  <r>
    <n v="60163677"/>
    <s v="N"/>
    <n v="21370437"/>
    <s v="3000014486110008"/>
    <s v="CIVIL"/>
    <d v="2023-06-28T00:00:00"/>
    <d v="2023-07-13T19:21:05"/>
    <m/>
    <d v="2023-07-13T00:00:00"/>
    <n v="1928"/>
    <n v="337"/>
    <s v="60163677"/>
    <s v="60163677"/>
    <m/>
    <m/>
    <n v="22776778"/>
    <m/>
    <m/>
    <m/>
    <s v="SOLFIN"/>
    <s v="SOLFIN"/>
    <s v="CCMS"/>
    <n v="21370437"/>
    <n v="13142.08"/>
    <m/>
    <s v="N"/>
    <n v="2"/>
    <d v="2023-07-13T19:21:26"/>
    <s v="Y"/>
    <s v="Solicitor Travel Expenses"/>
    <s v="Care Remuneration Hourly Rates"/>
    <s v="Non Expert Disbursement"/>
    <s v="Catrin Parry"/>
    <s v="Y"/>
    <n v="18"/>
    <n v="3.6"/>
    <x v="11"/>
    <s v="VALIDATED"/>
    <n v="1"/>
    <s v="01.11.80.308.6300.0000"/>
    <n v="18"/>
    <s v="11"/>
    <s v="6300"/>
    <n v="10688.34"/>
    <n v="18"/>
    <s v="CREDITOR"/>
    <n v="0"/>
    <n v="0"/>
    <n v="0"/>
    <n v="0"/>
    <n v="18"/>
  </r>
  <r>
    <n v="60163677"/>
    <s v="N"/>
    <n v="21370437"/>
    <s v="3000014486110008"/>
    <s v="CIVIL"/>
    <d v="2023-06-28T00:00:00"/>
    <d v="2023-07-13T19:21:05"/>
    <m/>
    <d v="2023-07-13T00:00:00"/>
    <n v="1928"/>
    <n v="337"/>
    <s v="60163677"/>
    <s v="60163677"/>
    <m/>
    <m/>
    <n v="22776778"/>
    <m/>
    <m/>
    <m/>
    <s v="SOLFIN"/>
    <s v="SOLFIN"/>
    <s v="CCMS"/>
    <n v="21370437"/>
    <n v="13142.08"/>
    <m/>
    <s v="N"/>
    <n v="43"/>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61"/>
    <d v="2023-07-13T19:21:26"/>
    <s v="Y"/>
    <s v="Report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17"/>
    <d v="2023-07-13T19:21:26"/>
    <s v="Y"/>
    <s v="Preparation - research"/>
    <s v="Care Remuneration Hourly Rates"/>
    <s v="Profit Cost"/>
    <s v="Catrin Parry"/>
    <s v="Y"/>
    <n v="24.18"/>
    <n v="4.84"/>
    <x v="11"/>
    <s v="VALIDATED"/>
    <n v="1"/>
    <s v="01.11.80.308.6100.0000"/>
    <n v="24.18"/>
    <s v="11"/>
    <s v="6100"/>
    <n v="10688.34"/>
    <n v="24.18"/>
    <s v="CREDITOR"/>
    <n v="0"/>
    <n v="0"/>
    <n v="0"/>
    <n v="0"/>
    <n v="24.18"/>
  </r>
  <r>
    <n v="60163677"/>
    <s v="N"/>
    <n v="21370437"/>
    <s v="3000014486110008"/>
    <s v="CIVIL"/>
    <d v="2023-06-28T00:00:00"/>
    <d v="2023-07-13T19:21:05"/>
    <m/>
    <d v="2023-07-13T00:00:00"/>
    <n v="1928"/>
    <n v="337"/>
    <s v="60163677"/>
    <s v="60163677"/>
    <m/>
    <m/>
    <n v="22776778"/>
    <m/>
    <m/>
    <m/>
    <s v="SOLFIN"/>
    <s v="SOLFIN"/>
    <s v="CCMS"/>
    <n v="21370437"/>
    <n v="13142.08"/>
    <m/>
    <s v="N"/>
    <n v="6"/>
    <d v="2023-07-13T19:21:26"/>
    <s v="Y"/>
    <s v="Solicitor Travel Expenses"/>
    <s v="Care Remuneration Hourly Rates"/>
    <s v="Non Expert Disbursement"/>
    <s v="Catrin Parry"/>
    <s v="Y"/>
    <n v="18"/>
    <n v="3.6"/>
    <x v="11"/>
    <s v="VALIDATED"/>
    <n v="1"/>
    <s v="01.11.80.308.6300.0000"/>
    <n v="18"/>
    <s v="11"/>
    <s v="6300"/>
    <n v="10688.34"/>
    <n v="18"/>
    <s v="CREDITOR"/>
    <n v="0"/>
    <n v="0"/>
    <n v="0"/>
    <n v="0"/>
    <n v="18"/>
  </r>
  <r>
    <n v="60163677"/>
    <s v="N"/>
    <n v="21370437"/>
    <s v="3000014486110008"/>
    <s v="CIVIL"/>
    <d v="2023-06-28T00:00:00"/>
    <d v="2023-07-13T19:21:05"/>
    <m/>
    <d v="2023-07-13T00:00:00"/>
    <n v="1928"/>
    <n v="337"/>
    <s v="60163677"/>
    <s v="60163677"/>
    <m/>
    <m/>
    <n v="22776778"/>
    <m/>
    <m/>
    <m/>
    <s v="SOLFIN"/>
    <s v="SOLFIN"/>
    <s v="CCMS"/>
    <n v="21370437"/>
    <n v="13142.08"/>
    <m/>
    <s v="N"/>
    <n v="9"/>
    <d v="2023-07-13T19:21:26"/>
    <s v="Y"/>
    <s v="Toxicologist"/>
    <s v="Care Remuneration Hourly Rates"/>
    <s v="Expert Disbursement"/>
    <s v="Catrin Parry"/>
    <s v="Y"/>
    <n v="234.8"/>
    <n v="46.96"/>
    <x v="11"/>
    <s v="VALIDATED"/>
    <n v="1"/>
    <s v="01.11.80.308.6300.0000"/>
    <n v="234.8"/>
    <s v="11"/>
    <s v="6300"/>
    <n v="10688.34"/>
    <n v="234.8"/>
    <s v="CREDITOR"/>
    <n v="0"/>
    <n v="0"/>
    <n v="0"/>
    <n v="0"/>
    <n v="234.8"/>
  </r>
  <r>
    <n v="60163677"/>
    <s v="N"/>
    <n v="21370437"/>
    <s v="3000014486110008"/>
    <s v="CIVIL"/>
    <d v="2023-06-28T00:00:00"/>
    <d v="2023-07-13T19:21:05"/>
    <m/>
    <d v="2023-07-13T00:00:00"/>
    <n v="1928"/>
    <n v="337"/>
    <s v="60163677"/>
    <s v="60163677"/>
    <m/>
    <m/>
    <n v="22776778"/>
    <m/>
    <m/>
    <m/>
    <s v="SOLFIN"/>
    <s v="SOLFIN"/>
    <s v="CCMS"/>
    <n v="21370437"/>
    <n v="13142.08"/>
    <m/>
    <s v="N"/>
    <n v="96"/>
    <d v="2023-07-13T19:21:26"/>
    <s v="Y"/>
    <s v="Hearing Unit 1.01 - 2.30 Hours"/>
    <s v="Public Law Children"/>
    <s v="Advocacy"/>
    <s v="Catrin Parry"/>
    <s v="Y"/>
    <n v="238.46"/>
    <n v="47.69"/>
    <x v="11"/>
    <s v="VALIDATED"/>
    <n v="1"/>
    <s v="01.11.80.308.6100.0000"/>
    <n v="238.46"/>
    <s v="11"/>
    <s v="6100"/>
    <n v="10688.34"/>
    <n v="238.46"/>
    <s v="CREDITOR"/>
    <n v="0"/>
    <n v="0"/>
    <n v="0"/>
    <n v="0"/>
    <n v="238.46"/>
  </r>
  <r>
    <n v="60163677"/>
    <s v="N"/>
    <n v="21370437"/>
    <s v="3000014486110008"/>
    <s v="CIVIL"/>
    <d v="2023-06-28T00:00:00"/>
    <d v="2023-07-13T19:21:05"/>
    <m/>
    <d v="2023-07-13T00:00:00"/>
    <n v="1928"/>
    <n v="337"/>
    <s v="60163677"/>
    <s v="60163677"/>
    <m/>
    <m/>
    <n v="22776778"/>
    <m/>
    <m/>
    <m/>
    <s v="SOLFIN"/>
    <s v="SOLFIN"/>
    <s v="CCMS"/>
    <n v="21370437"/>
    <n v="13142.08"/>
    <m/>
    <s v="N"/>
    <n v="7"/>
    <d v="2023-07-13T19:21:26"/>
    <s v="Y"/>
    <s v="Toxicologist"/>
    <s v="Care Remuneration Hourly Rates"/>
    <s v="Expert Disbursement"/>
    <s v="Catrin Parry"/>
    <s v="Y"/>
    <n v="128"/>
    <n v="25.6"/>
    <x v="11"/>
    <s v="VALIDATED"/>
    <n v="1"/>
    <s v="01.11.80.308.6300.0000"/>
    <n v="128"/>
    <s v="11"/>
    <s v="6300"/>
    <n v="10688.34"/>
    <n v="128"/>
    <s v="CREDITOR"/>
    <n v="0"/>
    <n v="0"/>
    <n v="0"/>
    <n v="0"/>
    <n v="128"/>
  </r>
  <r>
    <n v="60163677"/>
    <s v="N"/>
    <n v="21370437"/>
    <s v="3000014486110008"/>
    <s v="CIVIL"/>
    <d v="2023-06-28T00:00:00"/>
    <d v="2023-07-13T19:21:05"/>
    <m/>
    <d v="2023-07-13T00:00:00"/>
    <n v="1928"/>
    <n v="337"/>
    <s v="60163677"/>
    <s v="60163677"/>
    <m/>
    <m/>
    <n v="22776778"/>
    <m/>
    <m/>
    <m/>
    <s v="SOLFIN"/>
    <s v="SOLFIN"/>
    <s v="CCMS"/>
    <n v="21370437"/>
    <n v="13142.08"/>
    <m/>
    <s v="N"/>
    <n v="35"/>
    <d v="2023-07-13T19:21:26"/>
    <s v="Y"/>
    <s v="Preparation - research"/>
    <s v="Care Remuneration Hourly Rates"/>
    <s v="Profit Cost"/>
    <s v="Catrin Parry"/>
    <s v="Y"/>
    <n v="60.46"/>
    <n v="12.09"/>
    <x v="11"/>
    <s v="VALIDATED"/>
    <n v="1"/>
    <s v="01.11.80.308.6100.0000"/>
    <n v="60.46"/>
    <s v="11"/>
    <s v="6100"/>
    <n v="10688.34"/>
    <n v="60.46"/>
    <s v="CREDITOR"/>
    <n v="0"/>
    <n v="0"/>
    <n v="0"/>
    <n v="0"/>
    <n v="60.46"/>
  </r>
  <r>
    <n v="60163677"/>
    <s v="N"/>
    <n v="21370437"/>
    <s v="3000014486110008"/>
    <s v="CIVIL"/>
    <d v="2023-06-28T00:00:00"/>
    <d v="2023-07-13T19:21:05"/>
    <m/>
    <d v="2023-07-13T00:00:00"/>
    <n v="1928"/>
    <n v="337"/>
    <s v="60163677"/>
    <s v="60163677"/>
    <m/>
    <m/>
    <n v="22776778"/>
    <m/>
    <m/>
    <m/>
    <s v="SOLFIN"/>
    <s v="SOLFIN"/>
    <s v="CCMS"/>
    <n v="21370437"/>
    <n v="13142.08"/>
    <m/>
    <s v="N"/>
    <n v="22"/>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26"/>
    <d v="2023-07-13T19:21:26"/>
    <s v="Y"/>
    <s v="Preparation - research"/>
    <s v="Care Remuneration Hourly Rates"/>
    <s v="Profit Cost"/>
    <s v="Catrin Parry"/>
    <s v="Y"/>
    <n v="18.14"/>
    <n v="3.63"/>
    <x v="11"/>
    <s v="VALIDATED"/>
    <n v="1"/>
    <s v="01.11.80.308.6100.0000"/>
    <n v="18.14"/>
    <s v="11"/>
    <s v="6100"/>
    <n v="10688.34"/>
    <n v="18.14"/>
    <s v="CREDITOR"/>
    <n v="0"/>
    <n v="0"/>
    <n v="0"/>
    <n v="0"/>
    <n v="18.14"/>
  </r>
  <r>
    <n v="60163677"/>
    <s v="N"/>
    <n v="21370437"/>
    <s v="3000014486110008"/>
    <s v="CIVIL"/>
    <d v="2023-06-28T00:00:00"/>
    <d v="2023-07-13T19:21:05"/>
    <m/>
    <d v="2023-07-13T00:00:00"/>
    <n v="1928"/>
    <n v="337"/>
    <s v="60163677"/>
    <s v="60163677"/>
    <m/>
    <m/>
    <n v="22776778"/>
    <m/>
    <m/>
    <m/>
    <s v="SOLFIN"/>
    <s v="SOLFIN"/>
    <s v="CCMS"/>
    <n v="21370437"/>
    <n v="13142.08"/>
    <m/>
    <s v="N"/>
    <n v="57"/>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90"/>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33"/>
    <d v="2023-07-13T19:21:26"/>
    <s v="Y"/>
    <s v="Preparation - research"/>
    <s v="Care Remuneration Hourly Rates"/>
    <s v="Profit Cost"/>
    <s v="Catrin Parry"/>
    <s v="Y"/>
    <n v="36.27"/>
    <n v="7.25"/>
    <x v="11"/>
    <s v="VALIDATED"/>
    <n v="1"/>
    <s v="01.11.80.308.6100.0000"/>
    <n v="36.27"/>
    <s v="11"/>
    <s v="6100"/>
    <n v="10688.34"/>
    <n v="36.27"/>
    <s v="CREDITOR"/>
    <n v="0"/>
    <n v="0"/>
    <n v="0"/>
    <n v="0"/>
    <n v="36.27"/>
  </r>
  <r>
    <n v="60163677"/>
    <s v="N"/>
    <n v="21370437"/>
    <s v="3000014486110008"/>
    <s v="CIVIL"/>
    <d v="2023-06-28T00:00:00"/>
    <d v="2023-07-13T19:21:05"/>
    <m/>
    <d v="2023-07-13T00:00:00"/>
    <n v="1928"/>
    <n v="337"/>
    <s v="60163677"/>
    <s v="60163677"/>
    <m/>
    <m/>
    <n v="22776778"/>
    <m/>
    <m/>
    <m/>
    <s v="SOLFIN"/>
    <s v="SOLFIN"/>
    <s v="CCMS"/>
    <n v="21370437"/>
    <n v="13142.08"/>
    <m/>
    <s v="N"/>
    <n v="40"/>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53"/>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14"/>
    <d v="2023-07-13T19:21:26"/>
    <s v="Y"/>
    <s v="Routine Telephone Call"/>
    <s v="Care Remuneration Hourly Rates"/>
    <s v="Profit Cost"/>
    <s v="Catrin Parry"/>
    <s v="Y"/>
    <n v="21.22"/>
    <n v="4.24"/>
    <x v="11"/>
    <s v="VALIDATED"/>
    <n v="1"/>
    <s v="01.11.80.308.6100.0000"/>
    <n v="21.22"/>
    <s v="11"/>
    <s v="6100"/>
    <n v="10688.34"/>
    <n v="21.22"/>
    <s v="CREDITOR"/>
    <n v="0"/>
    <n v="0"/>
    <n v="0"/>
    <n v="0"/>
    <n v="21.22"/>
  </r>
  <r>
    <n v="61304779"/>
    <s v="N"/>
    <n v="21361032"/>
    <s v="3000015462270012"/>
    <s v="CIVIL"/>
    <d v="2023-06-27T00:00:00"/>
    <d v="2023-07-11T19:00:25"/>
    <m/>
    <d v="2023-07-11T00:00:00"/>
    <n v="1928"/>
    <n v="337"/>
    <s v="61304779"/>
    <s v="61304779"/>
    <m/>
    <m/>
    <n v="22767898"/>
    <m/>
    <m/>
    <m/>
    <s v="SOLFIN"/>
    <s v="SOLFIN"/>
    <s v="CCMS"/>
    <n v="21361032"/>
    <n v="3541.52"/>
    <m/>
    <s v="N"/>
    <n v="6"/>
    <d v="2023-07-11T19:00:43"/>
    <s v="Y"/>
    <s v="Toxicologist"/>
    <s v="Public Law Children"/>
    <s v="Expert Disbursement"/>
    <s v="Catrin Parry"/>
    <s v="Y"/>
    <n v="79.34999999999999"/>
    <n v="15.87"/>
    <x v="7"/>
    <s v="VALIDATED"/>
    <n v="1"/>
    <s v="01.11.80.308.6300.0000"/>
    <n v="79.34999999999999"/>
    <s v="11"/>
    <s v="6300"/>
    <n v="10688.34"/>
    <n v="79.34999999999999"/>
    <s v="CREDITOR"/>
    <n v="0"/>
    <n v="0"/>
    <n v="0"/>
    <n v="0"/>
    <n v="79.34999999999999"/>
  </r>
  <r>
    <n v="60163677"/>
    <s v="N"/>
    <n v="21370437"/>
    <s v="3000014486110008"/>
    <s v="CIVIL"/>
    <d v="2023-06-28T00:00:00"/>
    <d v="2023-07-13T19:21:05"/>
    <m/>
    <d v="2023-07-13T00:00:00"/>
    <n v="1928"/>
    <n v="337"/>
    <s v="60163677"/>
    <s v="60163677"/>
    <m/>
    <m/>
    <n v="22776778"/>
    <m/>
    <m/>
    <m/>
    <s v="SOLFIN"/>
    <s v="SOLFIN"/>
    <s v="CCMS"/>
    <n v="21370437"/>
    <n v="13142.08"/>
    <m/>
    <s v="N"/>
    <n v="105"/>
    <d v="2023-07-13T19:21:26"/>
    <s v="N"/>
    <s v="Solicitors Fixed Fee"/>
    <s v="Public Law Children"/>
    <s v="Profit Cost"/>
    <s v="Catrin Parry"/>
    <s v="N"/>
    <n v="0"/>
    <n v="0"/>
    <x v="11"/>
    <s v="VALIDATED"/>
    <n v="1"/>
    <s v="01.11.80.308.6100.0000"/>
    <n v="0"/>
    <s v="11"/>
    <s v="6100"/>
    <n v="10688.34"/>
    <n v="0"/>
    <s v="CREDITOR"/>
    <n v="0"/>
    <n v="0"/>
    <n v="0"/>
    <n v="0"/>
    <n v="0"/>
  </r>
  <r>
    <n v="60163677"/>
    <s v="N"/>
    <n v="21370437"/>
    <s v="3000014486110008"/>
    <s v="CIVIL"/>
    <d v="2023-06-28T00:00:00"/>
    <d v="2023-07-13T19:21:05"/>
    <m/>
    <d v="2023-07-13T00:00:00"/>
    <n v="1928"/>
    <n v="337"/>
    <s v="60163677"/>
    <s v="60163677"/>
    <m/>
    <m/>
    <n v="22776778"/>
    <m/>
    <m/>
    <m/>
    <s v="SOLFIN"/>
    <s v="SOLFIN"/>
    <s v="CCMS"/>
    <n v="21370437"/>
    <n v="13142.08"/>
    <m/>
    <s v="N"/>
    <n v="19"/>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13"/>
    <d v="2023-07-13T19:21:26"/>
    <s v="Y"/>
    <s v="Routine Letter Out"/>
    <s v="Care Remuneration Hourly Rates"/>
    <s v="Profit Cost"/>
    <s v="Catrin Parry"/>
    <s v="Y"/>
    <n v="2287.25"/>
    <n v="457.38"/>
    <x v="11"/>
    <s v="VALIDATED"/>
    <n v="1"/>
    <s v="01.11.80.308.6100.0000"/>
    <n v="2287.25"/>
    <s v="11"/>
    <s v="6100"/>
    <n v="10688.34"/>
    <n v="2287.25"/>
    <s v="CREDITOR"/>
    <n v="0"/>
    <n v="0"/>
    <n v="0"/>
    <n v="0"/>
    <n v="2287.25"/>
  </r>
  <r>
    <n v="60163677"/>
    <s v="N"/>
    <n v="21370437"/>
    <s v="3000014486110008"/>
    <s v="CIVIL"/>
    <d v="2023-06-28T00:00:00"/>
    <d v="2023-07-13T19:21:05"/>
    <m/>
    <d v="2023-07-13T00:00:00"/>
    <n v="1928"/>
    <n v="337"/>
    <s v="60163677"/>
    <s v="60163677"/>
    <m/>
    <m/>
    <n v="22776778"/>
    <m/>
    <m/>
    <m/>
    <s v="SOLFIN"/>
    <s v="SOLFIN"/>
    <s v="CCMS"/>
    <n v="21370437"/>
    <n v="13142.08"/>
    <m/>
    <s v="N"/>
    <n v="71"/>
    <d v="2023-07-13T19:21:26"/>
    <s v="Y"/>
    <s v="Preparation - research"/>
    <s v="Care Remuneration Hourly Rates"/>
    <s v="Profit Cost"/>
    <s v="Catrin Parry"/>
    <s v="Y"/>
    <n v="24.18"/>
    <n v="4.84"/>
    <x v="11"/>
    <s v="VALIDATED"/>
    <n v="1"/>
    <s v="01.11.80.308.6100.0000"/>
    <n v="24.18"/>
    <s v="11"/>
    <s v="6100"/>
    <n v="10688.34"/>
    <n v="24.18"/>
    <s v="CREDITOR"/>
    <n v="0"/>
    <n v="0"/>
    <n v="0"/>
    <n v="0"/>
    <n v="24.18"/>
  </r>
  <r>
    <n v="61304779"/>
    <s v="N"/>
    <n v="21361032"/>
    <s v="3000015462270012"/>
    <s v="CIVIL"/>
    <d v="2023-06-27T00:00:00"/>
    <d v="2023-07-11T19:00:25"/>
    <m/>
    <d v="2023-07-11T00:00:00"/>
    <n v="1928"/>
    <n v="337"/>
    <s v="61304779"/>
    <s v="61304779"/>
    <m/>
    <m/>
    <n v="22767898"/>
    <m/>
    <m/>
    <m/>
    <s v="SOLFIN"/>
    <s v="SOLFIN"/>
    <s v="CCMS"/>
    <n v="21361032"/>
    <n v="3541.52"/>
    <m/>
    <s v="N"/>
    <n v="3"/>
    <d v="2023-07-11T19:00:43"/>
    <s v="Y"/>
    <s v="Toxicologist"/>
    <s v="Public Law Children"/>
    <s v="Expert Disbursement"/>
    <s v="Catrin Parry"/>
    <s v="Y"/>
    <n v="254.25"/>
    <n v="50.85"/>
    <x v="7"/>
    <s v="VALIDATED"/>
    <n v="1"/>
    <s v="01.11.80.308.6300.0000"/>
    <n v="254.25"/>
    <s v="11"/>
    <s v="6300"/>
    <n v="10688.34"/>
    <n v="254.25"/>
    <s v="CREDITOR"/>
    <n v="0"/>
    <n v="0"/>
    <n v="0"/>
    <n v="0"/>
    <n v="254.25"/>
  </r>
  <r>
    <n v="60163677"/>
    <s v="N"/>
    <n v="21370437"/>
    <s v="3000014486110008"/>
    <s v="CIVIL"/>
    <d v="2023-06-28T00:00:00"/>
    <d v="2023-07-13T19:21:05"/>
    <m/>
    <d v="2023-07-13T00:00:00"/>
    <n v="1928"/>
    <n v="337"/>
    <s v="60163677"/>
    <s v="60163677"/>
    <m/>
    <m/>
    <n v="22776778"/>
    <m/>
    <m/>
    <m/>
    <s v="SOLFIN"/>
    <s v="SOLFIN"/>
    <s v="CCMS"/>
    <n v="21370437"/>
    <n v="13142.08"/>
    <m/>
    <s v="N"/>
    <n v="3"/>
    <d v="2023-07-13T19:21:26"/>
    <s v="Y"/>
    <s v="Other"/>
    <s v="Care Remuneration Hourly Rates"/>
    <s v="Non Expert Disbursement"/>
    <s v="Catrin Parry"/>
    <s v="Y"/>
    <n v="9.9"/>
    <n v="0"/>
    <x v="11"/>
    <s v="VALIDATED"/>
    <n v="1"/>
    <s v="01.11.80.308.6300.0000"/>
    <n v="9.9"/>
    <s v="11"/>
    <s v="6300"/>
    <n v="10688.34"/>
    <n v="9.9"/>
    <s v="CREDITOR"/>
    <n v="0"/>
    <n v="0"/>
    <n v="0"/>
    <n v="0"/>
    <n v="9.9"/>
  </r>
  <r>
    <n v="60163677"/>
    <s v="N"/>
    <n v="21370437"/>
    <s v="3000014486110008"/>
    <s v="CIVIL"/>
    <d v="2023-06-28T00:00:00"/>
    <d v="2023-07-13T19:21:05"/>
    <m/>
    <d v="2023-07-13T00:00:00"/>
    <n v="1928"/>
    <n v="337"/>
    <s v="60163677"/>
    <s v="60163677"/>
    <m/>
    <m/>
    <n v="22776778"/>
    <m/>
    <m/>
    <m/>
    <s v="SOLFIN"/>
    <s v="SOLFIN"/>
    <s v="CCMS"/>
    <n v="21370437"/>
    <n v="13142.08"/>
    <m/>
    <s v="N"/>
    <n v="74"/>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73"/>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21"/>
    <d v="2023-07-13T19:21:26"/>
    <s v="Y"/>
    <s v="Preparation - other"/>
    <s v="Care Remuneration Hourly Rates"/>
    <s v="Profit Cost"/>
    <s v="Catrin Parry"/>
    <s v="Y"/>
    <n v="24.18"/>
    <n v="4.84"/>
    <x v="11"/>
    <s v="VALIDATED"/>
    <n v="1"/>
    <s v="01.11.80.308.6100.0000"/>
    <n v="24.18"/>
    <s v="11"/>
    <s v="6100"/>
    <n v="10688.34"/>
    <n v="24.18"/>
    <s v="CREDITOR"/>
    <n v="0"/>
    <n v="0"/>
    <n v="0"/>
    <n v="0"/>
    <n v="24.18"/>
  </r>
  <r>
    <n v="60163677"/>
    <s v="N"/>
    <n v="21370437"/>
    <s v="3000014486110008"/>
    <s v="CIVIL"/>
    <d v="2023-06-28T00:00:00"/>
    <d v="2023-07-13T19:21:05"/>
    <m/>
    <d v="2023-07-13T00:00:00"/>
    <n v="1928"/>
    <n v="337"/>
    <s v="60163677"/>
    <s v="60163677"/>
    <m/>
    <m/>
    <n v="22776778"/>
    <m/>
    <m/>
    <m/>
    <s v="SOLFIN"/>
    <s v="SOLFIN"/>
    <s v="CCMS"/>
    <n v="21370437"/>
    <n v="13142.08"/>
    <m/>
    <s v="N"/>
    <n v="23"/>
    <d v="2023-07-13T19:21:26"/>
    <s v="Y"/>
    <s v="Preparation - research"/>
    <s v="Care Remuneration Hourly Rates"/>
    <s v="Profit Cost"/>
    <s v="Catrin Parry"/>
    <s v="Y"/>
    <n v="18.14"/>
    <n v="3.63"/>
    <x v="11"/>
    <s v="VALIDATED"/>
    <n v="1"/>
    <s v="01.11.80.308.6100.0000"/>
    <n v="18.14"/>
    <s v="11"/>
    <s v="6100"/>
    <n v="10688.34"/>
    <n v="18.14"/>
    <s v="CREDITOR"/>
    <n v="0"/>
    <n v="0"/>
    <n v="0"/>
    <n v="0"/>
    <n v="18.14"/>
  </r>
  <r>
    <n v="60163677"/>
    <s v="N"/>
    <n v="21370437"/>
    <s v="3000014486110008"/>
    <s v="CIVIL"/>
    <d v="2023-06-28T00:00:00"/>
    <d v="2023-07-13T19:21:05"/>
    <m/>
    <d v="2023-07-13T00:00:00"/>
    <n v="1928"/>
    <n v="337"/>
    <s v="60163677"/>
    <s v="60163677"/>
    <m/>
    <m/>
    <n v="22776778"/>
    <m/>
    <m/>
    <m/>
    <s v="SOLFIN"/>
    <s v="SOLFIN"/>
    <s v="CCMS"/>
    <n v="21370437"/>
    <n v="13142.08"/>
    <m/>
    <s v="N"/>
    <n v="63"/>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45"/>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46"/>
    <d v="2023-07-13T19:21:26"/>
    <s v="Y"/>
    <s v="Report - other expert's report"/>
    <s v="Care Remuneration Hourly Rates"/>
    <s v="Profit Cost"/>
    <s v="Catrin Parry"/>
    <s v="Y"/>
    <n v="72.54000000000001"/>
    <n v="14.51"/>
    <x v="11"/>
    <s v="VALIDATED"/>
    <n v="1"/>
    <s v="01.11.80.308.6100.0000"/>
    <n v="72.54000000000001"/>
    <s v="11"/>
    <s v="6100"/>
    <n v="10688.34"/>
    <n v="72.54000000000001"/>
    <s v="CREDITOR"/>
    <n v="0"/>
    <n v="0"/>
    <n v="0"/>
    <n v="0"/>
    <n v="72.54000000000001"/>
  </r>
  <r>
    <n v="60163677"/>
    <s v="N"/>
    <n v="21370437"/>
    <s v="3000014486110008"/>
    <s v="CIVIL"/>
    <d v="2023-06-28T00:00:00"/>
    <d v="2023-07-13T19:21:05"/>
    <m/>
    <d v="2023-07-13T00:00:00"/>
    <n v="1928"/>
    <n v="337"/>
    <s v="60163677"/>
    <s v="60163677"/>
    <m/>
    <m/>
    <n v="22776778"/>
    <m/>
    <m/>
    <m/>
    <s v="SOLFIN"/>
    <s v="SOLFIN"/>
    <s v="CCMS"/>
    <n v="21370437"/>
    <n v="13142.08"/>
    <m/>
    <s v="N"/>
    <n v="10"/>
    <d v="2023-07-13T19:21:26"/>
    <s v="Y"/>
    <s v="Telecoms expert"/>
    <s v="Care Remuneration Hourly Rates"/>
    <s v="Expert Disbursement"/>
    <s v="Catrin Parry"/>
    <s v="Y"/>
    <n v="478.76"/>
    <n v="95.75"/>
    <x v="11"/>
    <s v="VALIDATED"/>
    <n v="1"/>
    <s v="01.11.80.308.6300.0000"/>
    <n v="478.76"/>
    <s v="11"/>
    <s v="6300"/>
    <n v="10688.34"/>
    <n v="478.76"/>
    <s v="CREDITOR"/>
    <n v="0"/>
    <n v="0"/>
    <n v="0"/>
    <n v="0"/>
    <n v="478.76"/>
  </r>
  <r>
    <n v="60163677"/>
    <s v="N"/>
    <n v="21370437"/>
    <s v="3000014486110008"/>
    <s v="CIVIL"/>
    <d v="2023-06-28T00:00:00"/>
    <d v="2023-07-13T19:21:05"/>
    <m/>
    <d v="2023-07-13T00:00:00"/>
    <n v="1928"/>
    <n v="337"/>
    <s v="60163677"/>
    <s v="60163677"/>
    <m/>
    <m/>
    <n v="22776778"/>
    <m/>
    <m/>
    <m/>
    <s v="SOLFIN"/>
    <s v="SOLFIN"/>
    <s v="CCMS"/>
    <n v="21370437"/>
    <n v="13142.08"/>
    <m/>
    <s v="N"/>
    <n v="58"/>
    <d v="2023-07-13T19:21:26"/>
    <s v="Y"/>
    <s v="Preparation - research"/>
    <s v="Care Remuneration Hourly Rates"/>
    <s v="Profit Cost"/>
    <s v="Catrin Parry"/>
    <s v="Y"/>
    <n v="90.69"/>
    <n v="18.14"/>
    <x v="11"/>
    <s v="VALIDATED"/>
    <n v="1"/>
    <s v="01.11.80.308.6100.0000"/>
    <n v="90.69"/>
    <s v="11"/>
    <s v="6100"/>
    <n v="10688.34"/>
    <n v="90.69"/>
    <s v="CREDITOR"/>
    <n v="0"/>
    <n v="0"/>
    <n v="0"/>
    <n v="0"/>
    <n v="90.69"/>
  </r>
  <r>
    <n v="60163677"/>
    <s v="N"/>
    <n v="21370437"/>
    <s v="3000014486110008"/>
    <s v="CIVIL"/>
    <d v="2023-06-28T00:00:00"/>
    <d v="2023-07-13T19:21:05"/>
    <m/>
    <d v="2023-07-13T00:00:00"/>
    <n v="1928"/>
    <n v="337"/>
    <s v="60163677"/>
    <s v="60163677"/>
    <m/>
    <m/>
    <n v="22776778"/>
    <m/>
    <m/>
    <m/>
    <s v="SOLFIN"/>
    <s v="SOLFIN"/>
    <s v="CCMS"/>
    <n v="21370437"/>
    <n v="13142.08"/>
    <m/>
    <s v="N"/>
    <n v="101"/>
    <d v="2023-07-13T19:21:26"/>
    <s v="Y"/>
    <s v="Advocates Meeting"/>
    <s v="Public Law Children"/>
    <s v="Advocacy"/>
    <s v="Catrin Parry"/>
    <s v="Y"/>
    <n v="140.99"/>
    <n v="28.2"/>
    <x v="11"/>
    <s v="VALIDATED"/>
    <n v="1"/>
    <s v="01.11.80.308.6100.0000"/>
    <n v="140.99"/>
    <s v="11"/>
    <s v="6100"/>
    <n v="10688.34"/>
    <n v="140.99"/>
    <s v="CREDITOR"/>
    <n v="0"/>
    <n v="0"/>
    <n v="0"/>
    <n v="0"/>
    <n v="140.99"/>
  </r>
  <r>
    <n v="60163677"/>
    <s v="N"/>
    <n v="21370437"/>
    <s v="3000014486110008"/>
    <s v="CIVIL"/>
    <d v="2023-06-28T00:00:00"/>
    <d v="2023-07-13T19:21:05"/>
    <m/>
    <d v="2023-07-13T00:00:00"/>
    <n v="1928"/>
    <n v="337"/>
    <s v="60163677"/>
    <s v="60163677"/>
    <m/>
    <m/>
    <n v="22776778"/>
    <m/>
    <m/>
    <m/>
    <s v="SOLFIN"/>
    <s v="SOLFIN"/>
    <s v="CCMS"/>
    <n v="21370437"/>
    <n v="13142.08"/>
    <m/>
    <s v="N"/>
    <n v="49"/>
    <d v="2023-07-13T19:21:26"/>
    <s v="Y"/>
    <s v="Report - Research"/>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24"/>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91"/>
    <d v="2023-07-13T19:21:26"/>
    <s v="Y"/>
    <s v="Report - Medical report"/>
    <s v="Care Remuneration Hourly Rates"/>
    <s v="Profit Cost"/>
    <s v="Catrin Parry"/>
    <s v="Y"/>
    <n v="90.69"/>
    <n v="18.14"/>
    <x v="11"/>
    <s v="VALIDATED"/>
    <n v="1"/>
    <s v="01.11.80.308.6100.0000"/>
    <n v="90.69"/>
    <s v="11"/>
    <s v="6100"/>
    <n v="10688.34"/>
    <n v="90.69"/>
    <s v="CREDITOR"/>
    <n v="0"/>
    <n v="0"/>
    <n v="0"/>
    <n v="0"/>
    <n v="90.69"/>
  </r>
  <r>
    <n v="60163677"/>
    <s v="N"/>
    <n v="21370437"/>
    <s v="3000014486110008"/>
    <s v="CIVIL"/>
    <d v="2023-06-28T00:00:00"/>
    <d v="2023-07-13T19:21:05"/>
    <m/>
    <d v="2023-07-13T00:00:00"/>
    <n v="1928"/>
    <n v="337"/>
    <s v="60163677"/>
    <s v="60163677"/>
    <m/>
    <m/>
    <n v="22776778"/>
    <m/>
    <m/>
    <m/>
    <s v="SOLFIN"/>
    <s v="SOLFIN"/>
    <s v="CCMS"/>
    <n v="21370437"/>
    <n v="13142.08"/>
    <m/>
    <s v="N"/>
    <n v="98"/>
    <d v="2023-07-13T19:21:26"/>
    <s v="Y"/>
    <s v="Hearing Unit 2.31 - 5.00 Hours"/>
    <s v="Public Law Children"/>
    <s v="Advocacy"/>
    <s v="Catrin Parry"/>
    <s v="Y"/>
    <n v="476.92"/>
    <n v="95.39"/>
    <x v="11"/>
    <s v="VALIDATED"/>
    <n v="1"/>
    <s v="01.11.80.308.6100.0000"/>
    <n v="476.92"/>
    <s v="11"/>
    <s v="6100"/>
    <n v="10688.34"/>
    <n v="476.92"/>
    <s v="CREDITOR"/>
    <n v="0"/>
    <n v="0"/>
    <n v="0"/>
    <n v="0"/>
    <n v="476.92"/>
  </r>
  <r>
    <n v="60163677"/>
    <s v="N"/>
    <n v="21370437"/>
    <s v="3000014486110008"/>
    <s v="CIVIL"/>
    <d v="2023-06-28T00:00:00"/>
    <d v="2023-07-13T19:21:05"/>
    <m/>
    <d v="2023-07-13T00:00:00"/>
    <n v="1928"/>
    <n v="337"/>
    <s v="60163677"/>
    <s v="60163677"/>
    <m/>
    <m/>
    <n v="22776778"/>
    <m/>
    <m/>
    <m/>
    <s v="SOLFIN"/>
    <s v="SOLFIN"/>
    <s v="CCMS"/>
    <n v="21370437"/>
    <n v="13142.08"/>
    <m/>
    <s v="N"/>
    <n v="31"/>
    <d v="2023-07-13T19:21:26"/>
    <s v="Y"/>
    <s v="Report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18"/>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52"/>
    <d v="2023-07-13T19:21:26"/>
    <s v="Y"/>
    <s v="Report - other expert's report"/>
    <s v="Care Remuneration Hourly Rates"/>
    <s v="Profit Cost"/>
    <s v="Catrin Parry"/>
    <s v="Y"/>
    <n v="18.14"/>
    <n v="3.63"/>
    <x v="11"/>
    <s v="VALIDATED"/>
    <n v="1"/>
    <s v="01.11.80.308.6100.0000"/>
    <n v="18.14"/>
    <s v="11"/>
    <s v="6100"/>
    <n v="10688.34"/>
    <n v="18.14"/>
    <s v="CREDITOR"/>
    <n v="0"/>
    <n v="0"/>
    <n v="0"/>
    <n v="0"/>
    <n v="18.14"/>
  </r>
  <r>
    <n v="60163677"/>
    <s v="N"/>
    <n v="21370437"/>
    <s v="3000014486110008"/>
    <s v="CIVIL"/>
    <d v="2023-06-28T00:00:00"/>
    <d v="2023-07-13T19:21:05"/>
    <m/>
    <d v="2023-07-13T00:00:00"/>
    <n v="1928"/>
    <n v="337"/>
    <s v="60163677"/>
    <s v="60163677"/>
    <m/>
    <m/>
    <n v="22776778"/>
    <m/>
    <m/>
    <m/>
    <s v="SOLFIN"/>
    <s v="SOLFIN"/>
    <s v="CCMS"/>
    <n v="21370437"/>
    <n v="13142.08"/>
    <m/>
    <s v="N"/>
    <n v="82"/>
    <d v="2023-07-13T19:21:26"/>
    <s v="Y"/>
    <s v="Preparation - research"/>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95"/>
    <d v="2023-07-13T19:21:26"/>
    <s v="Y"/>
    <s v="Advocates Meeting"/>
    <s v="Public Law Children"/>
    <s v="Advocacy"/>
    <s v="Catrin Parry"/>
    <s v="Y"/>
    <n v="140.99"/>
    <n v="28.2"/>
    <x v="11"/>
    <s v="VALIDATED"/>
    <n v="1"/>
    <s v="01.11.80.308.6100.0000"/>
    <n v="140.99"/>
    <s v="11"/>
    <s v="6100"/>
    <n v="10688.34"/>
    <n v="140.99"/>
    <s v="CREDITOR"/>
    <n v="0"/>
    <n v="0"/>
    <n v="0"/>
    <n v="0"/>
    <n v="140.99"/>
  </r>
  <r>
    <n v="60163677"/>
    <s v="N"/>
    <n v="21370437"/>
    <s v="3000014486110008"/>
    <s v="CIVIL"/>
    <d v="2023-06-28T00:00:00"/>
    <d v="2023-07-13T19:21:05"/>
    <m/>
    <d v="2023-07-13T00:00:00"/>
    <n v="1928"/>
    <n v="337"/>
    <s v="60163677"/>
    <s v="60163677"/>
    <m/>
    <m/>
    <n v="22776778"/>
    <m/>
    <m/>
    <m/>
    <s v="SOLFIN"/>
    <s v="SOLFIN"/>
    <s v="CCMS"/>
    <n v="21370437"/>
    <n v="13142.08"/>
    <m/>
    <s v="N"/>
    <n v="20"/>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4"/>
    <d v="2023-07-13T19:21:26"/>
    <s v="Y"/>
    <s v="Solicitor Travel Expenses"/>
    <s v="Care Remuneration Hourly Rates"/>
    <s v="Non Expert Disbursement"/>
    <s v="Catrin Parry"/>
    <s v="Y"/>
    <n v="18"/>
    <n v="3.6"/>
    <x v="11"/>
    <s v="VALIDATED"/>
    <n v="1"/>
    <s v="01.11.80.308.6300.0000"/>
    <n v="18"/>
    <s v="11"/>
    <s v="6300"/>
    <n v="10688.34"/>
    <n v="18"/>
    <s v="CREDITOR"/>
    <n v="0"/>
    <n v="0"/>
    <n v="0"/>
    <n v="0"/>
    <n v="18"/>
  </r>
  <r>
    <n v="60163677"/>
    <s v="N"/>
    <n v="21370437"/>
    <s v="3000014486110008"/>
    <s v="CIVIL"/>
    <d v="2023-06-28T00:00:00"/>
    <d v="2023-07-13T19:21:05"/>
    <m/>
    <d v="2023-07-13T00:00:00"/>
    <n v="1928"/>
    <n v="337"/>
    <s v="60163677"/>
    <s v="60163677"/>
    <m/>
    <m/>
    <n v="22776778"/>
    <m/>
    <m/>
    <m/>
    <s v="SOLFIN"/>
    <s v="SOLFIN"/>
    <s v="CCMS"/>
    <n v="21370437"/>
    <n v="13142.08"/>
    <m/>
    <s v="N"/>
    <n v="89"/>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16"/>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104"/>
    <d v="2023-07-13T19:21:26"/>
    <s v="Y"/>
    <s v="Hearing Unit 2.31 - 5.00 Hours"/>
    <s v="Public Law Children"/>
    <s v="Advocacy"/>
    <s v="Catrin Parry"/>
    <s v="Y"/>
    <n v="476.92"/>
    <n v="95.39"/>
    <x v="11"/>
    <s v="VALIDATED"/>
    <n v="1"/>
    <s v="01.11.80.308.6100.0000"/>
    <n v="476.92"/>
    <s v="11"/>
    <s v="6100"/>
    <n v="10688.34"/>
    <n v="476.92"/>
    <s v="CREDITOR"/>
    <n v="0"/>
    <n v="0"/>
    <n v="0"/>
    <n v="0"/>
    <n v="476.92"/>
  </r>
  <r>
    <n v="60163677"/>
    <s v="N"/>
    <n v="21370437"/>
    <s v="3000014486110008"/>
    <s v="CIVIL"/>
    <d v="2023-06-28T00:00:00"/>
    <d v="2023-07-13T19:21:05"/>
    <m/>
    <d v="2023-07-13T00:00:00"/>
    <n v="1928"/>
    <n v="337"/>
    <s v="60163677"/>
    <s v="60163677"/>
    <m/>
    <m/>
    <n v="22776778"/>
    <m/>
    <m/>
    <m/>
    <s v="SOLFIN"/>
    <s v="SOLFIN"/>
    <s v="CCMS"/>
    <n v="21370437"/>
    <n v="13142.08"/>
    <m/>
    <s v="N"/>
    <n v="66"/>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70"/>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85"/>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47"/>
    <d v="2023-07-13T19:21:26"/>
    <s v="Y"/>
    <s v="Preparation - other"/>
    <s v="Care Remuneration Hourly Rates"/>
    <s v="Profit Cost"/>
    <s v="Catrin Parry"/>
    <s v="Y"/>
    <n v="6.05"/>
    <n v="1.21"/>
    <x v="11"/>
    <s v="VALIDATED"/>
    <n v="1"/>
    <s v="01.11.80.308.6100.0000"/>
    <n v="6.05"/>
    <s v="11"/>
    <s v="6100"/>
    <n v="10688.34"/>
    <n v="6.05"/>
    <s v="CREDITOR"/>
    <n v="0"/>
    <n v="0"/>
    <n v="0"/>
    <n v="0"/>
    <n v="6.05"/>
  </r>
  <r>
    <n v="61304779"/>
    <s v="N"/>
    <n v="21361032"/>
    <s v="3000015462270012"/>
    <s v="CIVIL"/>
    <d v="2023-06-27T00:00:00"/>
    <d v="2023-07-11T19:00:25"/>
    <m/>
    <d v="2023-07-11T00:00:00"/>
    <n v="1928"/>
    <n v="337"/>
    <s v="61304779"/>
    <s v="61304779"/>
    <m/>
    <m/>
    <n v="22767898"/>
    <m/>
    <m/>
    <m/>
    <s v="SOLFIN"/>
    <s v="SOLFIN"/>
    <s v="CCMS"/>
    <n v="21361032"/>
    <n v="3541.52"/>
    <m/>
    <s v="N"/>
    <n v="7"/>
    <d v="2023-07-11T19:00:43"/>
    <s v="Y"/>
    <s v="Advocates Meeting"/>
    <s v="Public Law Children"/>
    <s v="Advocacy"/>
    <s v="Lauren Soutar"/>
    <s v="Y"/>
    <n v="128.16"/>
    <n v="25.63"/>
    <x v="7"/>
    <s v="VALIDATED"/>
    <n v="1"/>
    <s v="01.11.80.308.6100.0000"/>
    <n v="128.16"/>
    <s v="11"/>
    <s v="6100"/>
    <n v="10688.34"/>
    <n v="128.16"/>
    <s v="CREDITOR"/>
    <n v="0"/>
    <n v="0"/>
    <n v="0"/>
    <n v="0"/>
    <n v="128.16"/>
  </r>
  <r>
    <n v="60163677"/>
    <s v="N"/>
    <n v="21370437"/>
    <s v="3000014486110008"/>
    <s v="CIVIL"/>
    <d v="2023-06-28T00:00:00"/>
    <d v="2023-07-13T19:21:05"/>
    <m/>
    <d v="2023-07-13T00:00:00"/>
    <n v="1928"/>
    <n v="337"/>
    <s v="60163677"/>
    <s v="60163677"/>
    <m/>
    <m/>
    <n v="22776778"/>
    <m/>
    <m/>
    <m/>
    <s v="SOLFIN"/>
    <s v="SOLFIN"/>
    <s v="CCMS"/>
    <n v="21370437"/>
    <n v="13142.08"/>
    <m/>
    <s v="N"/>
    <n v="94"/>
    <d v="2023-07-13T19:21:26"/>
    <s v="Y"/>
    <s v="Hearing Unit 2.31 - 5.00 Hours"/>
    <s v="Public Law Children"/>
    <s v="Advocacy"/>
    <s v="Catrin Parry"/>
    <s v="Y"/>
    <n v="476.92"/>
    <n v="95.39"/>
    <x v="11"/>
    <s v="VALIDATED"/>
    <n v="1"/>
    <s v="01.11.80.308.6100.0000"/>
    <n v="476.92"/>
    <s v="11"/>
    <s v="6100"/>
    <n v="10688.34"/>
    <n v="476.92"/>
    <s v="CREDITOR"/>
    <n v="0"/>
    <n v="0"/>
    <n v="0"/>
    <n v="0"/>
    <n v="476.92"/>
  </r>
  <r>
    <n v="60163677"/>
    <s v="N"/>
    <n v="21370437"/>
    <s v="3000014486110008"/>
    <s v="CIVIL"/>
    <d v="2023-06-28T00:00:00"/>
    <d v="2023-07-13T19:21:05"/>
    <m/>
    <d v="2023-07-13T00:00:00"/>
    <n v="1928"/>
    <n v="337"/>
    <s v="60163677"/>
    <s v="60163677"/>
    <m/>
    <m/>
    <n v="22776778"/>
    <m/>
    <m/>
    <m/>
    <s v="SOLFIN"/>
    <s v="SOLFIN"/>
    <s v="CCMS"/>
    <n v="21370437"/>
    <n v="13142.08"/>
    <m/>
    <s v="N"/>
    <n v="64"/>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12"/>
    <d v="2023-07-13T19:21:26"/>
    <s v="Y"/>
    <s v="Routine Letter In"/>
    <s v="Care Remuneration Hourly Rates"/>
    <s v="Profit Cost"/>
    <s v="Catrin Parry"/>
    <s v="Y"/>
    <n v="1667.96"/>
    <n v="333.6"/>
    <x v="11"/>
    <s v="VALIDATED"/>
    <n v="1"/>
    <s v="01.11.80.308.6100.0000"/>
    <n v="1667.96"/>
    <s v="11"/>
    <s v="6100"/>
    <n v="10688.34"/>
    <n v="1667.96"/>
    <s v="CREDITOR"/>
    <n v="0"/>
    <n v="0"/>
    <n v="0"/>
    <n v="0"/>
    <n v="1667.96"/>
  </r>
  <r>
    <n v="60163677"/>
    <s v="N"/>
    <n v="21370437"/>
    <s v="3000014486110008"/>
    <s v="CIVIL"/>
    <d v="2023-06-28T00:00:00"/>
    <d v="2023-07-13T19:21:05"/>
    <m/>
    <d v="2023-07-13T00:00:00"/>
    <n v="1928"/>
    <n v="337"/>
    <s v="60163677"/>
    <s v="60163677"/>
    <m/>
    <m/>
    <n v="22776778"/>
    <m/>
    <m/>
    <m/>
    <s v="SOLFIN"/>
    <s v="SOLFIN"/>
    <s v="CCMS"/>
    <n v="21370437"/>
    <n v="13142.08"/>
    <m/>
    <s v="N"/>
    <n v="30"/>
    <d v="2023-07-13T19:21:26"/>
    <s v="Y"/>
    <s v="Preparation - research"/>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48"/>
    <d v="2023-07-13T19:21:26"/>
    <s v="Y"/>
    <s v="Preparation - other"/>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100"/>
    <d v="2023-07-13T19:21:26"/>
    <s v="Y"/>
    <s v="Hearing Unit 2.31 - 5.00 Hours"/>
    <s v="Public Law Children"/>
    <s v="Advocacy"/>
    <s v="Gill Lacey"/>
    <s v="Y"/>
    <n v="476.92"/>
    <n v="95.39"/>
    <x v="11"/>
    <s v="VALIDATED"/>
    <n v="1"/>
    <s v="01.11.80.308.6100.0000"/>
    <n v="476.92"/>
    <s v="11"/>
    <s v="6100"/>
    <n v="10688.34"/>
    <n v="476.92"/>
    <s v="CREDITOR"/>
    <n v="0"/>
    <n v="0"/>
    <n v="0"/>
    <n v="0"/>
    <n v="476.92"/>
  </r>
  <r>
    <n v="60163677"/>
    <s v="N"/>
    <n v="21370437"/>
    <s v="3000014486110008"/>
    <s v="CIVIL"/>
    <d v="2023-06-28T00:00:00"/>
    <d v="2023-07-13T19:21:05"/>
    <m/>
    <d v="2023-07-13T00:00:00"/>
    <n v="1928"/>
    <n v="337"/>
    <s v="60163677"/>
    <s v="60163677"/>
    <m/>
    <m/>
    <n v="22776778"/>
    <m/>
    <m/>
    <m/>
    <s v="SOLFIN"/>
    <s v="SOLFIN"/>
    <s v="CCMS"/>
    <n v="21370437"/>
    <n v="13142.08"/>
    <m/>
    <s v="N"/>
    <n v="41"/>
    <d v="2023-07-13T19:21:26"/>
    <s v="Y"/>
    <s v="Preparation - research"/>
    <s v="Care Remuneration Hourly Rates"/>
    <s v="Profit Cost"/>
    <s v="Catrin Parry"/>
    <s v="Y"/>
    <n v="24.18"/>
    <n v="4.84"/>
    <x v="11"/>
    <s v="VALIDATED"/>
    <n v="1"/>
    <s v="01.11.80.308.6100.0000"/>
    <n v="24.18"/>
    <s v="11"/>
    <s v="6100"/>
    <n v="10688.34"/>
    <n v="24.18"/>
    <s v="CREDITOR"/>
    <n v="0"/>
    <n v="0"/>
    <n v="0"/>
    <n v="0"/>
    <n v="24.18"/>
  </r>
  <r>
    <n v="60163677"/>
    <s v="N"/>
    <n v="21370437"/>
    <s v="3000014486110008"/>
    <s v="CIVIL"/>
    <d v="2023-06-28T00:00:00"/>
    <d v="2023-07-13T19:21:05"/>
    <m/>
    <d v="2023-07-13T00:00:00"/>
    <n v="1928"/>
    <n v="337"/>
    <s v="60163677"/>
    <s v="60163677"/>
    <m/>
    <m/>
    <n v="22776778"/>
    <m/>
    <m/>
    <m/>
    <s v="SOLFIN"/>
    <s v="SOLFIN"/>
    <s v="CCMS"/>
    <n v="21370437"/>
    <n v="13142.08"/>
    <m/>
    <s v="N"/>
    <n v="44"/>
    <d v="2023-07-13T19:21:26"/>
    <s v="Y"/>
    <s v="Preparation - other"/>
    <s v="Care Remuneration Hourly Rates"/>
    <s v="Profit Cost"/>
    <s v="Catrin Parry"/>
    <s v="Y"/>
    <n v="12.09"/>
    <n v="2.42"/>
    <x v="11"/>
    <s v="VALIDATED"/>
    <n v="1"/>
    <s v="01.11.80.308.6100.0000"/>
    <n v="12.09"/>
    <s v="11"/>
    <s v="6100"/>
    <n v="10688.34"/>
    <n v="12.09"/>
    <s v="CREDITOR"/>
    <n v="0"/>
    <n v="0"/>
    <n v="0"/>
    <n v="0"/>
    <n v="12.09"/>
  </r>
  <r>
    <n v="60163677"/>
    <s v="N"/>
    <n v="21370437"/>
    <s v="3000014486110008"/>
    <s v="CIVIL"/>
    <d v="2023-06-28T00:00:00"/>
    <d v="2023-07-13T19:21:05"/>
    <m/>
    <d v="2023-07-13T00:00:00"/>
    <n v="1928"/>
    <n v="337"/>
    <s v="60163677"/>
    <s v="60163677"/>
    <m/>
    <m/>
    <n v="22776778"/>
    <m/>
    <m/>
    <m/>
    <s v="SOLFIN"/>
    <s v="SOLFIN"/>
    <s v="CCMS"/>
    <n v="21370437"/>
    <n v="13142.08"/>
    <m/>
    <s v="N"/>
    <n v="60"/>
    <d v="2023-07-13T19:21:26"/>
    <s v="Y"/>
    <s v="Preparation - drafting statement"/>
    <s v="Care Remuneration Hourly Rates"/>
    <s v="Profit Cost"/>
    <s v="Catrin Parry"/>
    <s v="Y"/>
    <n v="6.05"/>
    <n v="1.21"/>
    <x v="11"/>
    <s v="VALIDATED"/>
    <n v="1"/>
    <s v="01.11.80.308.6100.0000"/>
    <n v="6.05"/>
    <s v="11"/>
    <s v="6100"/>
    <n v="10688.34"/>
    <n v="6.05"/>
    <s v="CREDITOR"/>
    <n v="0"/>
    <n v="0"/>
    <n v="0"/>
    <n v="0"/>
    <n v="6.05"/>
  </r>
  <r>
    <n v="60163677"/>
    <s v="N"/>
    <n v="21370437"/>
    <s v="3000014486110008"/>
    <s v="CIVIL"/>
    <d v="2023-06-28T00:00:00"/>
    <d v="2023-07-13T19:21:05"/>
    <m/>
    <d v="2023-07-13T00:00:00"/>
    <n v="1928"/>
    <n v="337"/>
    <s v="60163677"/>
    <s v="60163677"/>
    <m/>
    <m/>
    <n v="22776778"/>
    <m/>
    <m/>
    <m/>
    <s v="SOLFIN"/>
    <s v="SOLFIN"/>
    <s v="CCMS"/>
    <n v="21370437"/>
    <n v="13142.08"/>
    <m/>
    <s v="N"/>
    <n v="15"/>
    <d v="2023-07-13T19:21:26"/>
    <s v="Y"/>
    <s v="Preparation - other"/>
    <s v="Care Remuneration Hourly Rates"/>
    <s v="Profit Cost"/>
    <s v="Catrin Parry"/>
    <s v="Y"/>
    <n v="6.05"/>
    <n v="1.21"/>
    <x v="11"/>
    <s v="VALIDATED"/>
    <n v="1"/>
    <s v="01.11.80.308.6100.0000"/>
    <n v="6.05"/>
    <s v="11"/>
    <s v="6100"/>
    <n v="10688.34"/>
    <n v="6.05"/>
    <s v="CREDITOR"/>
    <n v="0"/>
    <n v="0"/>
    <n v="0"/>
    <n v="0"/>
    <n v="6.05"/>
  </r>
  <r>
    <n v="61304779"/>
    <s v="N"/>
    <n v="21361032"/>
    <s v="3000015462270012"/>
    <s v="CIVIL"/>
    <d v="2023-06-27T00:00:00"/>
    <d v="2023-07-11T19:00:25"/>
    <m/>
    <d v="2023-07-11T00:00:00"/>
    <n v="1928"/>
    <n v="337"/>
    <s v="61304779"/>
    <s v="61304779"/>
    <m/>
    <m/>
    <n v="22767898"/>
    <m/>
    <m/>
    <m/>
    <s v="SOLFIN"/>
    <s v="SOLFIN"/>
    <s v="CCMS"/>
    <n v="21361032"/>
    <n v="3541.52"/>
    <m/>
    <s v="N"/>
    <n v="5"/>
    <d v="2023-07-11T19:00:43"/>
    <s v="Y"/>
    <s v="Toxicologist"/>
    <s v="Public Law Children"/>
    <s v="Expert Disbursement"/>
    <s v="Catrin Parry"/>
    <s v="Y"/>
    <n v="90.76000000000001"/>
    <n v="18.15"/>
    <x v="7"/>
    <s v="VALIDATED"/>
    <n v="1"/>
    <s v="01.11.80.308.6300.0000"/>
    <n v="90.76000000000001"/>
    <s v="11"/>
    <s v="6300"/>
    <n v="10688.34"/>
    <n v="90.76000000000001"/>
    <s v="CREDITOR"/>
    <n v="0"/>
    <n v="0"/>
    <n v="0"/>
    <n v="0"/>
    <n v="90.76000000000001"/>
  </r>
  <r>
    <n v="60302284"/>
    <s v="N"/>
    <n v="21349486"/>
    <s v="3000014605800008"/>
    <s v="CIVIL"/>
    <d v="2023-06-16T00:00:00"/>
    <d v="2023-07-10T19:01:40"/>
    <m/>
    <d v="2023-07-10T00:00:00"/>
    <n v="1935"/>
    <n v="403"/>
    <s v="60302284"/>
    <s v="60302284"/>
    <m/>
    <m/>
    <n v="22703564"/>
    <m/>
    <m/>
    <m/>
    <s v="SOLFIN"/>
    <s v="SOLFIN"/>
    <s v="CCMS"/>
    <n v="21349486"/>
    <n v="1869.9"/>
    <m/>
    <s v="N"/>
    <n v="2"/>
    <d v="2023-07-10T19:01:51"/>
    <s v="Y"/>
    <s v="Final Hearing Court Bundle/Advocate"/>
    <s v="Public Law Children"/>
    <s v="Advocacy"/>
    <s v="suzanne willey"/>
    <s v="Y"/>
    <n v="159.3"/>
    <n v="31.86"/>
    <x v="2"/>
    <s v="VALIDATED"/>
    <n v="1"/>
    <s v="01.11.80.308.6100.0000"/>
    <n v="159.3"/>
    <s v="11"/>
    <s v="6100"/>
    <n v="-10217.8"/>
    <n v="159.3"/>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8"/>
    <d v="2023-07-04T19:00:58"/>
    <s v="Y"/>
    <s v="Toxicologist"/>
    <s v="VHCC"/>
    <s v="Expert Disbursement"/>
    <s v="SW"/>
    <s v="Y"/>
    <n v="162"/>
    <n v="32.4"/>
    <x v="1"/>
    <s v="VALIDATED"/>
    <n v="1"/>
    <s v="01.11.80.307.6300.0000"/>
    <n v="162"/>
    <s v="11"/>
    <s v="6300"/>
    <n v="-10217.8"/>
    <n v="162"/>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9"/>
    <d v="2023-07-04T19:00:58"/>
    <s v="Y"/>
    <s v="Solicitor Travel Mileage"/>
    <s v="VHCC"/>
    <s v="Non Expert Disbursement"/>
    <s v="SW"/>
    <s v="Y"/>
    <n v="42.3"/>
    <n v="8.460000000000001"/>
    <x v="1"/>
    <s v="VALIDATED"/>
    <n v="1"/>
    <s v="01.11.80.307.6300.0000"/>
    <n v="42.3"/>
    <s v="11"/>
    <s v="6300"/>
    <n v="-10217.8"/>
    <n v="42.3"/>
    <s v="DEBTOR"/>
    <n v="0"/>
    <n v="0"/>
    <n v="0"/>
    <n v="0"/>
    <n v="0"/>
  </r>
  <r>
    <n v="56436394"/>
    <s v="N"/>
    <n v="21327927"/>
    <s v="3000013429940033"/>
    <s v="CIVIL"/>
    <d v="2023-06-28T00:00:00"/>
    <d v="2023-07-04T19:00:44"/>
    <m/>
    <d v="2023-07-04T00:00:00"/>
    <n v="1935"/>
    <n v="403"/>
    <s v="56436394"/>
    <s v="56436394"/>
    <m/>
    <m/>
    <n v="22781182"/>
    <m/>
    <m/>
    <m/>
    <s v="SOLINT"/>
    <s v="SOLINT"/>
    <s v="CCMS"/>
    <n v="21327927"/>
    <n v="29905.76"/>
    <m/>
    <s v="N"/>
    <n v="20"/>
    <d v="2023-07-04T19:00:58"/>
    <s v="Y"/>
    <s v="Toxicologist"/>
    <s v="VHCC"/>
    <s v="Expert Disbursement"/>
    <s v="SW"/>
    <s v="Y"/>
    <n v="1695"/>
    <n v="339"/>
    <x v="1"/>
    <s v="VALIDATED"/>
    <n v="1"/>
    <s v="01.11.80.307.6300.0000"/>
    <n v="1695"/>
    <s v="11"/>
    <s v="6300"/>
    <n v="-10217.8"/>
    <n v="1695"/>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7"/>
    <d v="2023-07-04T19:00:58"/>
    <s v="Y"/>
    <s v="Solicitor Travel Expenses"/>
    <s v="VHCC"/>
    <s v="Non Expert Disbursement"/>
    <s v="SW"/>
    <s v="Y"/>
    <n v="5"/>
    <n v="0"/>
    <x v="1"/>
    <s v="VALIDATED"/>
    <n v="1"/>
    <s v="01.11.80.307.6300.0000"/>
    <n v="5"/>
    <s v="11"/>
    <s v="6300"/>
    <n v="-10217.8"/>
    <n v="5"/>
    <s v="DEBTOR"/>
    <n v="0"/>
    <n v="0"/>
    <n v="0"/>
    <n v="0"/>
    <n v="0"/>
  </r>
  <r>
    <n v="56436394"/>
    <s v="N"/>
    <n v="21327927"/>
    <s v="3000013429940033"/>
    <s v="CIVIL"/>
    <d v="2023-06-28T00:00:00"/>
    <d v="2023-07-04T19:00:44"/>
    <m/>
    <d v="2023-07-04T00:00:00"/>
    <n v="1935"/>
    <n v="403"/>
    <s v="56436394"/>
    <s v="56436394"/>
    <m/>
    <m/>
    <n v="22781182"/>
    <m/>
    <m/>
    <m/>
    <s v="SOLINT"/>
    <s v="SOLINT"/>
    <s v="CCMS"/>
    <n v="21327927"/>
    <n v="29905.76"/>
    <m/>
    <s v="N"/>
    <n v="4"/>
    <d v="2023-07-04T19:00:58"/>
    <s v="Y"/>
    <s v="Profit Costs (Summary)"/>
    <s v="VHCC"/>
    <s v="Profit Cost"/>
    <s v="SW"/>
    <s v="Y"/>
    <n v="13339.2"/>
    <n v="2667.84"/>
    <x v="1"/>
    <s v="VALIDATED"/>
    <n v="1"/>
    <s v="01.11.80.307.6100.0000"/>
    <n v="13339.2"/>
    <s v="11"/>
    <s v="6100"/>
    <n v="-10217.8"/>
    <n v="13339.2"/>
    <s v="DEBTOR"/>
    <n v="0"/>
    <n v="0"/>
    <n v="0"/>
    <n v="0"/>
    <n v="0"/>
  </r>
  <r>
    <n v="61476976"/>
    <s v="N"/>
    <n v="21331065"/>
    <s v="3000015552180009"/>
    <s v="CIVIL"/>
    <d v="2023-06-09T00:00:00"/>
    <d v="2023-07-05T19:01:47"/>
    <m/>
    <d v="2023-07-05T00:00:00"/>
    <n v="1935"/>
    <n v="403"/>
    <s v="61476976"/>
    <s v="61476976"/>
    <m/>
    <m/>
    <n v="22655282"/>
    <m/>
    <m/>
    <m/>
    <s v="SOLFIN"/>
    <s v="SOLFIN"/>
    <s v="CCMS"/>
    <n v="21331065"/>
    <n v="4371.85"/>
    <m/>
    <s v="N"/>
    <n v="2"/>
    <d v="2023-07-05T19:02:04"/>
    <s v="Y"/>
    <s v="Court Fee"/>
    <s v="Public Law Children"/>
    <s v="Non Expert Disbursement"/>
    <s v="NH"/>
    <s v="Y"/>
    <n v="167"/>
    <n v="0"/>
    <x v="6"/>
    <s v="VALIDATED"/>
    <n v="1"/>
    <s v="01.11.80.305.6300.0000"/>
    <n v="167"/>
    <s v="11"/>
    <s v="6300"/>
    <n v="-10217.8"/>
    <n v="167"/>
    <s v="DEBTOR"/>
    <n v="0"/>
    <n v="0"/>
    <n v="0"/>
    <n v="0"/>
    <n v="0"/>
  </r>
  <r>
    <n v="61476976"/>
    <s v="N"/>
    <n v="21331065"/>
    <s v="3000015552180009"/>
    <s v="CIVIL"/>
    <d v="2023-06-09T00:00:00"/>
    <d v="2023-07-05T19:01:47"/>
    <m/>
    <d v="2023-07-05T00:00:00"/>
    <n v="1935"/>
    <n v="403"/>
    <s v="61476976"/>
    <s v="61476976"/>
    <m/>
    <m/>
    <n v="22655282"/>
    <m/>
    <m/>
    <m/>
    <s v="SOLFIN"/>
    <s v="SOLFIN"/>
    <s v="CCMS"/>
    <n v="21331065"/>
    <n v="4371.85"/>
    <m/>
    <s v="N"/>
    <n v="3"/>
    <d v="2023-07-05T19:02:04"/>
    <s v="Y"/>
    <s v="Court Fee"/>
    <s v="Public Law Children"/>
    <s v="Non Expert Disbursement"/>
    <s v="SW"/>
    <s v="Y"/>
    <n v="53"/>
    <n v="0"/>
    <x v="6"/>
    <s v="VALIDATED"/>
    <n v="1"/>
    <s v="01.11.80.305.6300.0000"/>
    <n v="53"/>
    <s v="11"/>
    <s v="6300"/>
    <n v="-10217.8"/>
    <n v="53"/>
    <s v="DEBTOR"/>
    <n v="0"/>
    <n v="0"/>
    <n v="0"/>
    <n v="0"/>
    <n v="0"/>
  </r>
  <r>
    <n v="61872698"/>
    <s v="N"/>
    <n v="21322320"/>
    <s v="3000015925140001"/>
    <s v="CIVIL"/>
    <d v="2023-06-29T00:00:00"/>
    <d v="2023-07-03T19:05:36"/>
    <m/>
    <d v="2023-07-03T00:00:00"/>
    <n v="1935"/>
    <n v="403"/>
    <s v="61872698"/>
    <s v="61872698"/>
    <m/>
    <m/>
    <n v="22792418"/>
    <m/>
    <m/>
    <m/>
    <s v="SOLPOA"/>
    <s v="SOLPOA"/>
    <s v="CCMS"/>
    <n v="21322320"/>
    <n v="338.88"/>
    <m/>
    <s v="N"/>
    <n v="1"/>
    <d v="2023-07-03T19:05:37"/>
    <s v="N"/>
    <s v="Level 3 Fixed Fee"/>
    <s v="Private Law Children"/>
    <s v="Profit Cost"/>
    <s v="sara wiliams"/>
    <s v="N"/>
    <n v="282.4"/>
    <n v="56.48"/>
    <x v="3"/>
    <s v="VALIDATED"/>
    <n v="1"/>
    <s v="01.11.80.307.2012.0000"/>
    <n v="282.4"/>
    <s v="11"/>
    <s v="2012"/>
    <n v="-10217.8"/>
    <n v="282.4"/>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0"/>
    <d v="2023-07-04T19:00:58"/>
    <s v="Y"/>
    <s v="Psychologist"/>
    <s v="VHCC"/>
    <s v="Expert Disbursement"/>
    <s v="SW"/>
    <s v="Y"/>
    <n v="2619.1"/>
    <n v="523.8200000000001"/>
    <x v="1"/>
    <s v="VALIDATED"/>
    <n v="1"/>
    <s v="01.11.80.307.6300.0000"/>
    <n v="2619.1"/>
    <s v="11"/>
    <s v="6300"/>
    <n v="-10217.8"/>
    <n v="2619.1"/>
    <s v="DEBTOR"/>
    <n v="0"/>
    <n v="0"/>
    <n v="0"/>
    <n v="0"/>
    <n v="0"/>
  </r>
  <r>
    <n v="10616095"/>
    <s v="N"/>
    <n v="21394778"/>
    <s v="3000006446560002"/>
    <s v="CIVIL"/>
    <d v="2020-09-29T00:00:00"/>
    <d v="2023-07-19T19:02:01"/>
    <m/>
    <d v="2023-07-19T00:00:00"/>
    <n v="1935"/>
    <n v="403"/>
    <s v="10616095"/>
    <s v="10616095"/>
    <m/>
    <m/>
    <n v="12971096"/>
    <m/>
    <m/>
    <m/>
    <s v="SOLPOA"/>
    <s v="SOLPOA"/>
    <s v="CCMS"/>
    <n v="21394778"/>
    <n v="324"/>
    <m/>
    <s v="N"/>
    <n v="1"/>
    <d v="2023-07-19T19:02:05"/>
    <s v="N"/>
    <s v="Expert Cost"/>
    <s v="Expert Cost"/>
    <s v="Expert Disbursement"/>
    <s v="Suzanne Willey"/>
    <s v="N"/>
    <n v="270"/>
    <n v="54"/>
    <x v="5"/>
    <s v="VALIDATED"/>
    <n v="1"/>
    <s v="01.11.80.308.2012.0000"/>
    <n v="270"/>
    <s v="11"/>
    <s v="2012"/>
    <n v="-10217.8"/>
    <n v="270"/>
    <s v="DEBTOR"/>
    <n v="0"/>
    <n v="0"/>
    <n v="0"/>
    <n v="0"/>
    <n v="0"/>
  </r>
  <r>
    <n v="60302284"/>
    <s v="N"/>
    <n v="21349486"/>
    <s v="3000014605800008"/>
    <s v="CIVIL"/>
    <d v="2023-06-16T00:00:00"/>
    <d v="2023-07-10T19:01:40"/>
    <m/>
    <d v="2023-07-10T00:00:00"/>
    <n v="1935"/>
    <n v="403"/>
    <s v="60302284"/>
    <s v="60302284"/>
    <m/>
    <m/>
    <n v="22703564"/>
    <m/>
    <m/>
    <m/>
    <s v="SOLFIN"/>
    <s v="SOLFIN"/>
    <s v="CCMS"/>
    <n v="21349486"/>
    <n v="1869.9"/>
    <m/>
    <s v="N"/>
    <n v="1"/>
    <d v="2023-07-10T19:01:51"/>
    <s v="Y"/>
    <s v="Exceptional Travel"/>
    <s v="Public Law Children"/>
    <s v="Advocacy"/>
    <s v="suzanne willey"/>
    <s v="Y"/>
    <n v="32.04"/>
    <n v="6.41"/>
    <x v="2"/>
    <s v="VALIDATED"/>
    <n v="1"/>
    <s v="01.11.80.308.6100.0000"/>
    <n v="32.04"/>
    <s v="11"/>
    <s v="6100"/>
    <n v="-10217.8"/>
    <n v="32.04"/>
    <s v="DEBTOR"/>
    <n v="0"/>
    <n v="0"/>
    <n v="0"/>
    <n v="0"/>
    <n v="0"/>
  </r>
  <r>
    <n v="61476976"/>
    <s v="N"/>
    <n v="21331065"/>
    <s v="3000015552180009"/>
    <s v="CIVIL"/>
    <d v="2023-06-09T00:00:00"/>
    <d v="2023-07-05T19:01:47"/>
    <m/>
    <d v="2023-07-05T00:00:00"/>
    <n v="1935"/>
    <n v="403"/>
    <s v="61476976"/>
    <s v="61476976"/>
    <m/>
    <m/>
    <n v="22655282"/>
    <m/>
    <m/>
    <m/>
    <s v="SOLFIN"/>
    <s v="SOLFIN"/>
    <s v="CCMS"/>
    <n v="21331065"/>
    <n v="4371.85"/>
    <m/>
    <s v="N"/>
    <n v="4"/>
    <d v="2023-07-05T19:02:04"/>
    <s v="Y"/>
    <s v="Profit Costs (Summary)"/>
    <s v="Public Law Children"/>
    <s v="Profit Cost"/>
    <s v="SW"/>
    <s v="Y"/>
    <n v="3320.71"/>
    <n v="664.14"/>
    <x v="6"/>
    <s v="VALIDATED"/>
    <n v="1"/>
    <s v="01.11.80.305.6100.0000"/>
    <n v="3320.71"/>
    <s v="11"/>
    <s v="6100"/>
    <n v="-10217.8"/>
    <n v="3320.71"/>
    <s v="DEBTOR"/>
    <n v="0"/>
    <n v="0"/>
    <n v="0"/>
    <n v="0"/>
    <n v="0"/>
  </r>
  <r>
    <n v="56436394"/>
    <s v="N"/>
    <n v="21327927"/>
    <s v="3000013429940033"/>
    <s v="CIVIL"/>
    <d v="2023-06-28T00:00:00"/>
    <d v="2023-07-04T19:00:44"/>
    <m/>
    <d v="2023-07-04T00:00:00"/>
    <n v="1935"/>
    <n v="403"/>
    <s v="56436394"/>
    <s v="56436394"/>
    <m/>
    <m/>
    <n v="22781182"/>
    <m/>
    <m/>
    <m/>
    <s v="SOLINT"/>
    <s v="SOLINT"/>
    <s v="CCMS"/>
    <n v="21327927"/>
    <n v="29905.76"/>
    <m/>
    <s v="N"/>
    <n v="3"/>
    <d v="2023-07-04T19:00:58"/>
    <s v="Y"/>
    <s v="Solicitor Travel Mileage"/>
    <s v="VHCC"/>
    <s v="Non Expert Disbursement"/>
    <s v="SW"/>
    <s v="Y"/>
    <n v="42.3"/>
    <n v="8.460000000000001"/>
    <x v="1"/>
    <s v="VALIDATED"/>
    <n v="1"/>
    <s v="01.11.80.307.6300.0000"/>
    <n v="42.3"/>
    <s v="11"/>
    <s v="6300"/>
    <n v="-10217.8"/>
    <n v="42.3"/>
    <s v="DEBTOR"/>
    <n v="0"/>
    <n v="0"/>
    <n v="0"/>
    <n v="0"/>
    <n v="0"/>
  </r>
  <r>
    <n v="62009915"/>
    <s v="N"/>
    <n v="21320061"/>
    <s v="3000016040920002"/>
    <s v="CIVIL"/>
    <d v="2023-06-28T00:00:00"/>
    <d v="2023-07-03T19:04:24"/>
    <m/>
    <d v="2023-07-03T00:00:00"/>
    <n v="1935"/>
    <n v="403"/>
    <s v="62009915"/>
    <s v="62009915"/>
    <m/>
    <m/>
    <n v="22777456"/>
    <m/>
    <m/>
    <m/>
    <s v="SOLPOA"/>
    <s v="SOLPOA"/>
    <s v="CCMS"/>
    <n v="21320061"/>
    <n v="243.42"/>
    <m/>
    <s v="N"/>
    <n v="1"/>
    <d v="2023-07-03T19:04:29"/>
    <s v="N"/>
    <s v="Expert Cost"/>
    <s v="Expert Cost"/>
    <s v="Expert Disbursement"/>
    <s v="SUZANNE WILLEY"/>
    <s v="N"/>
    <n v="243.42"/>
    <n v="0"/>
    <x v="3"/>
    <s v="VALIDATED"/>
    <n v="1"/>
    <s v="01.11.80.308.2012.0000"/>
    <n v="243.42"/>
    <s v="11"/>
    <s v="2012"/>
    <n v="-10217.8"/>
    <n v="243.42"/>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3"/>
    <d v="2023-07-04T19:00:58"/>
    <s v="Y"/>
    <s v="Police Records"/>
    <s v="VHCC"/>
    <s v="Non Expert Disbursement"/>
    <s v="SW"/>
    <s v="Y"/>
    <n v="37.4"/>
    <n v="0"/>
    <x v="1"/>
    <s v="VALIDATED"/>
    <n v="1"/>
    <s v="01.11.80.307.6300.0000"/>
    <n v="37.4"/>
    <s v="11"/>
    <s v="6300"/>
    <n v="-10217.8"/>
    <n v="37.4"/>
    <s v="DEBTOR"/>
    <n v="0"/>
    <n v="0"/>
    <n v="0"/>
    <n v="0"/>
    <n v="0"/>
  </r>
  <r>
    <n v="61476976"/>
    <s v="N"/>
    <n v="21331065"/>
    <s v="3000015552180009"/>
    <s v="CIVIL"/>
    <d v="2023-06-09T00:00:00"/>
    <d v="2023-07-05T19:01:47"/>
    <m/>
    <d v="2023-07-05T00:00:00"/>
    <n v="1935"/>
    <n v="403"/>
    <s v="61476976"/>
    <s v="61476976"/>
    <m/>
    <m/>
    <n v="22655282"/>
    <m/>
    <m/>
    <m/>
    <s v="SOLFIN"/>
    <s v="SOLFIN"/>
    <s v="CCMS"/>
    <n v="21331065"/>
    <n v="4371.85"/>
    <m/>
    <s v="N"/>
    <n v="1"/>
    <d v="2023-07-05T19:02:04"/>
    <s v="Y"/>
    <s v="Court Fee"/>
    <s v="Public Law Children"/>
    <s v="Non Expert Disbursement"/>
    <s v="SW"/>
    <s v="Y"/>
    <n v="167"/>
    <n v="0"/>
    <x v="6"/>
    <s v="VALIDATED"/>
    <n v="1"/>
    <s v="01.11.80.305.6300.0000"/>
    <n v="167"/>
    <s v="11"/>
    <s v="6300"/>
    <n v="-10217.8"/>
    <n v="167"/>
    <s v="DEBTOR"/>
    <n v="0"/>
    <n v="0"/>
    <n v="0"/>
    <n v="0"/>
    <n v="0"/>
  </r>
  <r>
    <n v="56436394"/>
    <s v="N"/>
    <n v="21327927"/>
    <s v="3000013429940033"/>
    <s v="CIVIL"/>
    <d v="2023-06-28T00:00:00"/>
    <d v="2023-07-04T19:00:44"/>
    <m/>
    <d v="2023-07-04T00:00:00"/>
    <n v="1935"/>
    <n v="403"/>
    <s v="56436394"/>
    <s v="56436394"/>
    <m/>
    <m/>
    <n v="22781182"/>
    <m/>
    <m/>
    <m/>
    <s v="SOLINT"/>
    <s v="SOLINT"/>
    <s v="CCMS"/>
    <n v="21327927"/>
    <n v="29905.76"/>
    <m/>
    <s v="N"/>
    <n v="7"/>
    <d v="2023-07-04T19:00:58"/>
    <s v="Y"/>
    <s v="Court Fee"/>
    <s v="VHCC"/>
    <s v="Non Expert Disbursement"/>
    <s v="SW"/>
    <s v="Y"/>
    <n v="167"/>
    <n v="0"/>
    <x v="1"/>
    <s v="VALIDATED"/>
    <n v="1"/>
    <s v="01.11.80.307.6300.0000"/>
    <n v="167"/>
    <s v="11"/>
    <s v="6300"/>
    <n v="-10217.8"/>
    <n v="167"/>
    <s v="DEBTOR"/>
    <n v="0"/>
    <n v="0"/>
    <n v="0"/>
    <n v="0"/>
    <n v="0"/>
  </r>
  <r>
    <n v="56436394"/>
    <s v="N"/>
    <n v="21327927"/>
    <s v="3000013429940033"/>
    <s v="CIVIL"/>
    <d v="2023-06-28T00:00:00"/>
    <d v="2023-07-04T19:00:44"/>
    <m/>
    <d v="2023-07-04T00:00:00"/>
    <n v="1935"/>
    <n v="403"/>
    <s v="56436394"/>
    <s v="56436394"/>
    <m/>
    <m/>
    <n v="22781182"/>
    <m/>
    <m/>
    <m/>
    <s v="SOLINT"/>
    <s v="SOLINT"/>
    <s v="CCMS"/>
    <n v="21327927"/>
    <n v="29905.76"/>
    <m/>
    <s v="N"/>
    <n v="21"/>
    <d v="2023-07-04T19:00:58"/>
    <s v="Y"/>
    <s v="Solicitor Travel Expenses"/>
    <s v="VHCC"/>
    <s v="Non Expert Disbursement"/>
    <s v="SW"/>
    <s v="Y"/>
    <n v="5"/>
    <n v="0"/>
    <x v="1"/>
    <s v="VALIDATED"/>
    <n v="1"/>
    <s v="01.11.80.307.6300.0000"/>
    <n v="5"/>
    <s v="11"/>
    <s v="6300"/>
    <n v="-10217.8"/>
    <n v="5"/>
    <s v="DEBTOR"/>
    <n v="0"/>
    <n v="0"/>
    <n v="0"/>
    <n v="0"/>
    <n v="0"/>
  </r>
  <r>
    <n v="56436394"/>
    <s v="N"/>
    <n v="21327927"/>
    <s v="3000013429940033"/>
    <s v="CIVIL"/>
    <d v="2023-06-28T00:00:00"/>
    <d v="2023-07-04T19:00:44"/>
    <m/>
    <d v="2023-07-04T00:00:00"/>
    <n v="1935"/>
    <n v="403"/>
    <s v="56436394"/>
    <s v="56436394"/>
    <m/>
    <m/>
    <n v="22781182"/>
    <m/>
    <m/>
    <m/>
    <s v="SOLINT"/>
    <s v="SOLINT"/>
    <s v="CCMS"/>
    <n v="21327927"/>
    <n v="29905.76"/>
    <m/>
    <s v="N"/>
    <n v="8"/>
    <d v="2023-07-04T19:00:58"/>
    <s v="Y"/>
    <s v="Court Fee"/>
    <s v="VHCC"/>
    <s v="Non Expert Disbursement"/>
    <s v="SW"/>
    <s v="Y"/>
    <n v="50"/>
    <n v="0"/>
    <x v="1"/>
    <s v="VALIDATED"/>
    <n v="1"/>
    <s v="01.11.80.307.6300.0000"/>
    <n v="50"/>
    <s v="11"/>
    <s v="6300"/>
    <n v="-10217.8"/>
    <n v="50"/>
    <s v="DEBTOR"/>
    <n v="0"/>
    <n v="0"/>
    <n v="0"/>
    <n v="0"/>
    <n v="0"/>
  </r>
  <r>
    <n v="56436394"/>
    <s v="N"/>
    <n v="21327927"/>
    <s v="3000013429940033"/>
    <s v="CIVIL"/>
    <d v="2023-06-28T00:00:00"/>
    <d v="2023-07-04T19:00:44"/>
    <m/>
    <d v="2023-07-04T00:00:00"/>
    <n v="1935"/>
    <n v="403"/>
    <s v="56436394"/>
    <s v="56436394"/>
    <m/>
    <m/>
    <n v="22781182"/>
    <m/>
    <m/>
    <m/>
    <s v="SOLINT"/>
    <s v="SOLINT"/>
    <s v="CCMS"/>
    <n v="21327927"/>
    <n v="29905.76"/>
    <m/>
    <s v="N"/>
    <n v="2"/>
    <d v="2023-07-04T19:00:58"/>
    <s v="Y"/>
    <s v="Solicitor Travel Expenses"/>
    <s v="VHCC"/>
    <s v="Non Expert Disbursement"/>
    <s v="SW"/>
    <s v="Y"/>
    <n v="5"/>
    <n v="0"/>
    <x v="1"/>
    <s v="VALIDATED"/>
    <n v="1"/>
    <s v="01.11.80.307.6300.0000"/>
    <n v="5"/>
    <s v="11"/>
    <s v="6300"/>
    <n v="-10217.8"/>
    <n v="5"/>
    <s v="DEBTOR"/>
    <n v="0"/>
    <n v="0"/>
    <n v="0"/>
    <n v="0"/>
    <n v="0"/>
  </r>
  <r>
    <n v="56436394"/>
    <s v="N"/>
    <n v="21327927"/>
    <s v="3000013429940033"/>
    <s v="CIVIL"/>
    <d v="2023-06-28T00:00:00"/>
    <d v="2023-07-04T19:00:44"/>
    <m/>
    <d v="2023-07-04T00:00:00"/>
    <n v="1935"/>
    <n v="403"/>
    <s v="56436394"/>
    <s v="56436394"/>
    <m/>
    <m/>
    <n v="22781182"/>
    <m/>
    <m/>
    <m/>
    <s v="SOLINT"/>
    <s v="SOLINT"/>
    <s v="CCMS"/>
    <n v="21327927"/>
    <n v="29905.76"/>
    <m/>
    <s v="N"/>
    <n v="9"/>
    <d v="2023-07-04T19:00:58"/>
    <s v="Y"/>
    <s v="Psychologist"/>
    <s v="VHCC"/>
    <s v="Expert Disbursement"/>
    <s v="SW"/>
    <s v="Y"/>
    <n v="2909.1"/>
    <n v="581.8200000000001"/>
    <x v="1"/>
    <s v="VALIDATED"/>
    <n v="1"/>
    <s v="01.11.80.307.6300.0000"/>
    <n v="2909.1"/>
    <s v="11"/>
    <s v="6300"/>
    <n v="-10217.8"/>
    <n v="2909.1"/>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6"/>
    <d v="2023-07-04T19:00:58"/>
    <s v="Y"/>
    <s v="Toxicologist"/>
    <s v="VHCC"/>
    <s v="Expert Disbursement"/>
    <s v="SW"/>
    <s v="Y"/>
    <n v="1259"/>
    <n v="251.8"/>
    <x v="1"/>
    <s v="VALIDATED"/>
    <n v="1"/>
    <s v="01.11.80.307.6300.0000"/>
    <n v="1259"/>
    <s v="11"/>
    <s v="6300"/>
    <n v="-10217.8"/>
    <n v="1259"/>
    <s v="DEBTOR"/>
    <n v="0"/>
    <n v="0"/>
    <n v="0"/>
    <n v="0"/>
    <n v="0"/>
  </r>
  <r>
    <n v="60302284"/>
    <s v="N"/>
    <n v="21349486"/>
    <s v="3000014605800008"/>
    <s v="CIVIL"/>
    <d v="2023-06-16T00:00:00"/>
    <d v="2023-07-10T19:01:40"/>
    <m/>
    <d v="2023-07-10T00:00:00"/>
    <n v="1935"/>
    <n v="403"/>
    <s v="60302284"/>
    <s v="60302284"/>
    <m/>
    <m/>
    <n v="22703564"/>
    <m/>
    <m/>
    <m/>
    <s v="SOLFIN"/>
    <s v="SOLFIN"/>
    <s v="CCMS"/>
    <n v="21349486"/>
    <n v="1869.9"/>
    <m/>
    <s v="N"/>
    <n v="5"/>
    <d v="2023-07-10T19:01:51"/>
    <s v="Y"/>
    <s v="Advocates Meeting"/>
    <s v="Public Law Children"/>
    <s v="Advocacy"/>
    <s v="suzanne willey"/>
    <s v="Y"/>
    <n v="128.16"/>
    <n v="25.63"/>
    <x v="2"/>
    <s v="VALIDATED"/>
    <n v="1"/>
    <s v="01.11.80.308.6100.0000"/>
    <n v="128.16"/>
    <s v="11"/>
    <s v="6100"/>
    <n v="-10217.8"/>
    <n v="128.16"/>
    <s v="DEBTOR"/>
    <n v="0"/>
    <n v="0"/>
    <n v="0"/>
    <n v="0"/>
    <n v="0"/>
  </r>
  <r>
    <n v="10616095"/>
    <s v="N"/>
    <n v="21394773"/>
    <s v="3000006446560001"/>
    <s v="CIVIL"/>
    <d v="2020-10-05T00:00:00"/>
    <d v="2023-07-19T19:02:01"/>
    <m/>
    <d v="2023-07-19T00:00:00"/>
    <n v="1935"/>
    <n v="403"/>
    <s v="10616095"/>
    <s v="10616095"/>
    <m/>
    <m/>
    <n v="13120648"/>
    <m/>
    <m/>
    <m/>
    <s v="SOLPOA"/>
    <s v="SOLPOA"/>
    <s v="CCMS"/>
    <n v="21394773"/>
    <n v="12.54"/>
    <m/>
    <s v="N"/>
    <n v="1"/>
    <d v="2023-07-19T19:02:05"/>
    <s v="N"/>
    <s v="Non Expert Disbursement"/>
    <s v="Non Expert Disbursement"/>
    <s v="Non Expert Disbursement"/>
    <s v="Suzanne Willey"/>
    <s v="N"/>
    <n v="10.45"/>
    <n v="2.09"/>
    <x v="5"/>
    <s v="VALIDATED"/>
    <n v="1"/>
    <s v="01.11.80.308.2012.0000"/>
    <n v="10.45"/>
    <s v="11"/>
    <s v="2012"/>
    <n v="-10217.8"/>
    <n v="10.45"/>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5"/>
    <d v="2023-07-04T19:00:58"/>
    <s v="Y"/>
    <s v="Court Fee"/>
    <s v="VHCC"/>
    <s v="Non Expert Disbursement"/>
    <s v="SW"/>
    <s v="Y"/>
    <n v="53"/>
    <n v="0"/>
    <x v="1"/>
    <s v="VALIDATED"/>
    <n v="1"/>
    <s v="01.11.80.307.6300.0000"/>
    <n v="53"/>
    <s v="11"/>
    <s v="6300"/>
    <n v="-10217.8"/>
    <n v="53"/>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4"/>
    <d v="2023-07-04T19:00:58"/>
    <s v="Y"/>
    <s v="Psychologist"/>
    <s v="VHCC"/>
    <s v="Expert Disbursement"/>
    <s v="SW"/>
    <s v="Y"/>
    <n v="2376.2"/>
    <n v="475.24"/>
    <x v="1"/>
    <s v="VALIDATED"/>
    <n v="1"/>
    <s v="01.11.80.307.6300.0000"/>
    <n v="2376.2"/>
    <s v="11"/>
    <s v="6300"/>
    <n v="-10217.8"/>
    <n v="2376.2"/>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
    <d v="2023-07-04T19:00:58"/>
    <s v="Y"/>
    <s v="Solicitor Travel Mileage"/>
    <s v="VHCC"/>
    <s v="Non Expert Disbursement"/>
    <s v="SW"/>
    <s v="Y"/>
    <n v="42.3"/>
    <n v="8.460000000000001"/>
    <x v="1"/>
    <s v="VALIDATED"/>
    <n v="1"/>
    <s v="01.11.80.307.6300.0000"/>
    <n v="42.3"/>
    <s v="11"/>
    <s v="6300"/>
    <n v="-10217.8"/>
    <n v="42.3"/>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2"/>
    <d v="2023-07-04T19:00:58"/>
    <s v="Y"/>
    <s v="Police Records"/>
    <s v="VHCC"/>
    <s v="Non Expert Disbursement"/>
    <s v="SW"/>
    <s v="Y"/>
    <n v="91.8"/>
    <n v="0"/>
    <x v="1"/>
    <s v="VALIDATED"/>
    <n v="1"/>
    <s v="01.11.80.307.6300.0000"/>
    <n v="91.8"/>
    <s v="11"/>
    <s v="6300"/>
    <n v="-10217.8"/>
    <n v="91.8"/>
    <s v="DEBTOR"/>
    <n v="0"/>
    <n v="0"/>
    <n v="0"/>
    <n v="0"/>
    <n v="0"/>
  </r>
  <r>
    <n v="56436394"/>
    <s v="N"/>
    <n v="21327927"/>
    <s v="3000013429940033"/>
    <s v="CIVIL"/>
    <d v="2023-06-28T00:00:00"/>
    <d v="2023-07-04T19:00:44"/>
    <m/>
    <d v="2023-07-04T00:00:00"/>
    <n v="1935"/>
    <n v="403"/>
    <s v="56436394"/>
    <s v="56436394"/>
    <m/>
    <m/>
    <n v="22781182"/>
    <m/>
    <m/>
    <m/>
    <s v="SOLINT"/>
    <s v="SOLINT"/>
    <s v="CCMS"/>
    <n v="21327927"/>
    <n v="29905.76"/>
    <m/>
    <s v="N"/>
    <n v="6"/>
    <d v="2023-07-04T19:00:58"/>
    <s v="Y"/>
    <s v="Court Fee"/>
    <s v="VHCC"/>
    <s v="Non Expert Disbursement"/>
    <s v="SW"/>
    <s v="Y"/>
    <n v="53"/>
    <n v="0"/>
    <x v="1"/>
    <s v="VALIDATED"/>
    <n v="1"/>
    <s v="01.11.80.307.6300.0000"/>
    <n v="53"/>
    <s v="11"/>
    <s v="6300"/>
    <n v="-10217.8"/>
    <n v="53"/>
    <s v="DEBTOR"/>
    <n v="0"/>
    <n v="0"/>
    <n v="0"/>
    <n v="0"/>
    <n v="0"/>
  </r>
  <r>
    <n v="56436394"/>
    <s v="N"/>
    <n v="21327927"/>
    <s v="3000013429940033"/>
    <s v="CIVIL"/>
    <d v="2023-06-28T00:00:00"/>
    <d v="2023-07-04T19:00:44"/>
    <m/>
    <d v="2023-07-04T00:00:00"/>
    <n v="1935"/>
    <n v="403"/>
    <s v="56436394"/>
    <s v="56436394"/>
    <m/>
    <m/>
    <n v="22781182"/>
    <m/>
    <m/>
    <m/>
    <s v="SOLINT"/>
    <s v="SOLINT"/>
    <s v="CCMS"/>
    <n v="21327927"/>
    <n v="29905.76"/>
    <m/>
    <s v="N"/>
    <n v="11"/>
    <d v="2023-07-04T19:00:58"/>
    <s v="Y"/>
    <s v="Solicitor Travel Mileage"/>
    <s v="VHCC"/>
    <s v="Non Expert Disbursement"/>
    <s v="SW"/>
    <s v="Y"/>
    <n v="42.3"/>
    <n v="8.460000000000001"/>
    <x v="1"/>
    <s v="VALIDATED"/>
    <n v="1"/>
    <s v="01.11.80.307.6300.0000"/>
    <n v="42.3"/>
    <s v="11"/>
    <s v="6300"/>
    <n v="-10217.8"/>
    <n v="42.3"/>
    <s v="DEBTOR"/>
    <n v="0"/>
    <n v="0"/>
    <n v="0"/>
    <n v="0"/>
    <n v="0"/>
  </r>
  <r>
    <n v="60302284"/>
    <s v="N"/>
    <n v="21349486"/>
    <s v="3000014605800008"/>
    <s v="CIVIL"/>
    <d v="2023-06-16T00:00:00"/>
    <d v="2023-07-10T19:01:40"/>
    <m/>
    <d v="2023-07-10T00:00:00"/>
    <n v="1935"/>
    <n v="403"/>
    <s v="60302284"/>
    <s v="60302284"/>
    <m/>
    <m/>
    <n v="22703564"/>
    <m/>
    <m/>
    <m/>
    <s v="SOLFIN"/>
    <s v="SOLFIN"/>
    <s v="CCMS"/>
    <n v="21349486"/>
    <n v="1869.9"/>
    <m/>
    <s v="N"/>
    <n v="6"/>
    <d v="2023-07-10T19:01:51"/>
    <s v="Y"/>
    <s v="Solicitors Fixed Fee"/>
    <s v="Public Law Children"/>
    <s v="Profit Cost"/>
    <s v="Suzanne willey"/>
    <s v="Y"/>
    <n v="719"/>
    <n v="143.8"/>
    <x v="2"/>
    <s v="VALIDATED"/>
    <n v="1"/>
    <s v="01.11.80.308.6100.0000"/>
    <n v="719"/>
    <s v="11"/>
    <s v="6100"/>
    <n v="-10217.8"/>
    <n v="719"/>
    <s v="DEBTOR"/>
    <n v="0"/>
    <n v="0"/>
    <n v="0"/>
    <n v="0"/>
    <n v="0"/>
  </r>
  <r>
    <n v="60302284"/>
    <s v="N"/>
    <n v="21349486"/>
    <s v="3000014605800008"/>
    <s v="CIVIL"/>
    <d v="2023-06-16T00:00:00"/>
    <d v="2023-07-10T19:01:40"/>
    <m/>
    <d v="2023-07-10T00:00:00"/>
    <n v="1935"/>
    <n v="403"/>
    <s v="60302284"/>
    <s v="60302284"/>
    <m/>
    <m/>
    <n v="22703564"/>
    <m/>
    <m/>
    <m/>
    <s v="SOLFIN"/>
    <s v="SOLFIN"/>
    <s v="CCMS"/>
    <n v="21349486"/>
    <n v="1869.9"/>
    <m/>
    <s v="N"/>
    <n v="3"/>
    <d v="2023-07-10T19:01:51"/>
    <s v="Y"/>
    <s v="Solicitor Travel Mileage"/>
    <s v="Public Law Children"/>
    <s v="Non Expert Disbursement"/>
    <s v="suzanne willey"/>
    <s v="Y"/>
    <n v="16.2"/>
    <n v="0"/>
    <x v="2"/>
    <s v="VALIDATED"/>
    <n v="1"/>
    <s v="01.11.80.308.6300.0000"/>
    <n v="16.2"/>
    <s v="11"/>
    <s v="6300"/>
    <n v="-10217.8"/>
    <n v="16.2"/>
    <s v="DEBTOR"/>
    <n v="0"/>
    <n v="0"/>
    <n v="0"/>
    <n v="0"/>
    <n v="0"/>
  </r>
  <r>
    <n v="60302284"/>
    <s v="N"/>
    <n v="21349486"/>
    <s v="3000014605800008"/>
    <s v="CIVIL"/>
    <d v="2023-06-16T00:00:00"/>
    <d v="2023-07-10T19:01:40"/>
    <m/>
    <d v="2023-07-10T00:00:00"/>
    <n v="1935"/>
    <n v="403"/>
    <s v="60302284"/>
    <s v="60302284"/>
    <m/>
    <m/>
    <n v="22703564"/>
    <m/>
    <m/>
    <m/>
    <s v="SOLFIN"/>
    <s v="SOLFIN"/>
    <s v="CCMS"/>
    <n v="21349486"/>
    <n v="1869.9"/>
    <m/>
    <s v="N"/>
    <n v="4"/>
    <d v="2023-07-10T19:01:51"/>
    <s v="Y"/>
    <s v="Final Hearing - 1 Day"/>
    <s v="Public Law Children"/>
    <s v="Advocacy"/>
    <s v="Suzanne willey"/>
    <s v="Y"/>
    <n v="506.25"/>
    <n v="101.25"/>
    <x v="2"/>
    <s v="VALIDATED"/>
    <n v="1"/>
    <s v="01.11.80.308.6100.0000"/>
    <n v="506.25"/>
    <s v="11"/>
    <s v="6100"/>
    <n v="-10217.8"/>
    <n v="506.25"/>
    <s v="DEBTOR"/>
    <n v="0"/>
    <n v="0"/>
    <n v="0"/>
    <n v="0"/>
    <n v="0"/>
  </r>
  <r>
    <n v="56436394"/>
    <s v="N"/>
    <n v="21327927"/>
    <s v="3000013429940033"/>
    <s v="CIVIL"/>
    <d v="2023-06-28T00:00:00"/>
    <d v="2023-07-04T19:00:44"/>
    <m/>
    <d v="2023-07-04T00:00:00"/>
    <n v="1935"/>
    <n v="403"/>
    <s v="56436394"/>
    <s v="56436394"/>
    <m/>
    <m/>
    <n v="22781182"/>
    <m/>
    <m/>
    <m/>
    <s v="SOLINT"/>
    <s v="SOLINT"/>
    <s v="CCMS"/>
    <n v="21327927"/>
    <n v="29905.76"/>
    <m/>
    <s v="N"/>
    <n v="5"/>
    <d v="2023-07-04T19:00:58"/>
    <s v="Y"/>
    <s v="Solicitor Travel Expenses"/>
    <s v="VHCC"/>
    <s v="Non Expert Disbursement"/>
    <s v="SW"/>
    <s v="Y"/>
    <n v="4"/>
    <n v="0"/>
    <x v="1"/>
    <s v="VALIDATED"/>
    <n v="1"/>
    <s v="01.11.80.307.6300.0000"/>
    <n v="4"/>
    <s v="11"/>
    <s v="6300"/>
    <n v="-10217.8"/>
    <n v="4"/>
    <s v="DEBTOR"/>
    <n v="0"/>
    <n v="0"/>
    <n v="0"/>
    <n v="0"/>
    <n v="0"/>
  </r>
  <r>
    <n v="56436394"/>
    <s v="N"/>
    <n v="21329611"/>
    <s v="3000013429940015RC"/>
    <s v="CIVIL"/>
    <d v="2023-06-28T00:00:00"/>
    <d v="2023-07-04T19:38:37"/>
    <m/>
    <d v="2023-07-04T00:00:00"/>
    <n v="1935"/>
    <n v="403"/>
    <s v="56436394"/>
    <s v="56436394"/>
    <m/>
    <m/>
    <m/>
    <m/>
    <m/>
    <m/>
    <s v="SOLRECOUP"/>
    <s v="SOLRECOUP"/>
    <s v="POARECOUP"/>
    <n v="21329611"/>
    <n v="-53"/>
    <m/>
    <s v="Y"/>
    <n v="1"/>
    <d v="2023-07-04T19:38:38"/>
    <s v="N"/>
    <m/>
    <m/>
    <s v="Non Expert Disbursement"/>
    <m/>
    <s v="N"/>
    <n v="-53"/>
    <n v="0"/>
    <x v="1"/>
    <s v="VALIDATED"/>
    <n v="1"/>
    <s v="01.11.80.307.2013.0000"/>
    <n v="-53"/>
    <s v="11"/>
    <s v="2013"/>
    <n v="-10217.8"/>
    <n v="-53"/>
    <s v="DEBTOR"/>
    <n v="0"/>
    <n v="0"/>
    <n v="0"/>
    <n v="0"/>
    <n v="0"/>
  </r>
  <r>
    <n v="56436394"/>
    <s v="N"/>
    <n v="21329612"/>
    <s v="3000013429940027RC"/>
    <s v="CIVIL"/>
    <d v="2023-06-28T00:00:00"/>
    <d v="2023-07-04T19:38:37"/>
    <m/>
    <d v="2023-07-04T00:00:00"/>
    <n v="1935"/>
    <n v="403"/>
    <s v="56436394"/>
    <s v="56436394"/>
    <m/>
    <m/>
    <m/>
    <m/>
    <m/>
    <m/>
    <s v="SOLRECOUP"/>
    <s v="SOLRECOUP"/>
    <s v="POARECOUP"/>
    <n v="21329612"/>
    <n v="-50.76"/>
    <m/>
    <s v="Y"/>
    <n v="2"/>
    <d v="2023-07-04T19:38:38"/>
    <s v="N"/>
    <m/>
    <m/>
    <s v="Non Expert Disbursement"/>
    <m/>
    <s v="N"/>
    <n v="0"/>
    <n v="-8.460000000000001"/>
    <x v="1"/>
    <s v="VALIDATED"/>
    <n v="1"/>
    <s v="01.11.80.307.2013.0000"/>
    <n v="-8.460000000000001"/>
    <s v="11"/>
    <s v="2013"/>
    <n v="-10217.8"/>
    <n v="-8.460000000000001"/>
    <s v="DEBTOR"/>
    <n v="0"/>
    <n v="0"/>
    <n v="0"/>
    <n v="0"/>
    <n v="0"/>
  </r>
  <r>
    <n v="56436394"/>
    <s v="N"/>
    <n v="21329612"/>
    <s v="3000013429940027RC"/>
    <s v="CIVIL"/>
    <d v="2023-06-28T00:00:00"/>
    <d v="2023-07-04T19:38:37"/>
    <m/>
    <d v="2023-07-04T00:00:00"/>
    <n v="1935"/>
    <n v="403"/>
    <s v="56436394"/>
    <s v="56436394"/>
    <m/>
    <m/>
    <m/>
    <m/>
    <m/>
    <m/>
    <s v="SOLRECOUP"/>
    <s v="SOLRECOUP"/>
    <s v="POARECOUP"/>
    <n v="21329612"/>
    <n v="-50.76"/>
    <m/>
    <s v="Y"/>
    <n v="1"/>
    <d v="2023-07-04T19:38:38"/>
    <s v="N"/>
    <m/>
    <m/>
    <s v="Non Expert Disbursement"/>
    <m/>
    <s v="N"/>
    <n v="-42.3"/>
    <n v="0"/>
    <x v="1"/>
    <s v="VALIDATED"/>
    <n v="1"/>
    <s v="01.11.80.307.2013.0000"/>
    <n v="-42.3"/>
    <s v="11"/>
    <s v="2013"/>
    <n v="-10217.8"/>
    <n v="-42.3"/>
    <s v="DEBTOR"/>
    <n v="0"/>
    <n v="0"/>
    <n v="0"/>
    <n v="0"/>
    <n v="0"/>
  </r>
  <r>
    <n v="56436394"/>
    <s v="N"/>
    <n v="21329613"/>
    <s v="3000013429940026RC"/>
    <s v="CIVIL"/>
    <d v="2023-06-28T00:00:00"/>
    <d v="2023-07-04T19:38:37"/>
    <m/>
    <d v="2023-07-04T00:00:00"/>
    <n v="1935"/>
    <n v="403"/>
    <s v="56436394"/>
    <s v="56436394"/>
    <m/>
    <m/>
    <m/>
    <m/>
    <m/>
    <m/>
    <s v="SOLRECOUP"/>
    <s v="SOLRECOUP"/>
    <s v="POARECOUP"/>
    <n v="21329613"/>
    <n v="-50.76"/>
    <m/>
    <s v="Y"/>
    <n v="2"/>
    <d v="2023-07-04T19:38:38"/>
    <s v="N"/>
    <m/>
    <m/>
    <s v="Non Expert Disbursement"/>
    <m/>
    <s v="N"/>
    <n v="0"/>
    <n v="-8.460000000000001"/>
    <x v="1"/>
    <s v="VALIDATED"/>
    <n v="1"/>
    <s v="01.11.80.307.2013.0000"/>
    <n v="-8.460000000000001"/>
    <s v="11"/>
    <s v="2013"/>
    <n v="-10217.8"/>
    <n v="-8.460000000000001"/>
    <s v="DEBTOR"/>
    <n v="0"/>
    <n v="0"/>
    <n v="0"/>
    <n v="0"/>
    <n v="0"/>
  </r>
  <r>
    <n v="56436394"/>
    <s v="N"/>
    <n v="21328894"/>
    <s v="3000013429940028RC"/>
    <s v="CIVIL"/>
    <d v="2023-06-28T00:00:00"/>
    <d v="2023-07-04T19:38:21"/>
    <m/>
    <d v="2023-07-04T00:00:00"/>
    <n v="1935"/>
    <n v="403"/>
    <s v="56436394"/>
    <s v="56436394"/>
    <m/>
    <m/>
    <m/>
    <m/>
    <m/>
    <m/>
    <s v="SOLRECOUP"/>
    <s v="SOLRECOUP"/>
    <s v="POARECOUP"/>
    <n v="21328894"/>
    <n v="-5"/>
    <m/>
    <s v="Y"/>
    <n v="1"/>
    <d v="2023-07-04T19:38:23"/>
    <s v="N"/>
    <m/>
    <m/>
    <s v="Non Expert Disbursement"/>
    <m/>
    <s v="N"/>
    <n v="-5"/>
    <n v="0"/>
    <x v="1"/>
    <s v="VALIDATED"/>
    <n v="1"/>
    <s v="01.11.80.307.2013.0000"/>
    <n v="-5"/>
    <s v="11"/>
    <s v="2013"/>
    <n v="-10217.8"/>
    <n v="-5"/>
    <s v="DEBTOR"/>
    <n v="0"/>
    <n v="0"/>
    <n v="0"/>
    <n v="0"/>
    <n v="0"/>
  </r>
  <r>
    <n v="56436394"/>
    <s v="N"/>
    <n v="21328894"/>
    <s v="3000013429940028RC"/>
    <s v="CIVIL"/>
    <d v="2023-06-28T00:00:00"/>
    <d v="2023-07-04T19:38:21"/>
    <m/>
    <d v="2023-07-04T00:00:00"/>
    <n v="1935"/>
    <n v="403"/>
    <s v="56436394"/>
    <s v="56436394"/>
    <m/>
    <m/>
    <m/>
    <m/>
    <m/>
    <m/>
    <s v="SOLRECOUP"/>
    <s v="SOLRECOUP"/>
    <s v="POARECOUP"/>
    <n v="21328894"/>
    <n v="-5"/>
    <m/>
    <s v="Y"/>
    <n v="2"/>
    <d v="2023-07-04T19:38:23"/>
    <s v="N"/>
    <m/>
    <m/>
    <s v="Non Expert Disbursement"/>
    <m/>
    <s v="N"/>
    <n v="0"/>
    <n v="0"/>
    <x v="1"/>
    <s v="VALIDATED"/>
    <n v="1"/>
    <s v="01.11.80.000.0000.0000"/>
    <n v="0"/>
    <s v="11"/>
    <s v="0000"/>
    <n v="-10217.8"/>
    <n v="0"/>
    <s v="DEBTOR"/>
    <n v="0"/>
    <n v="0"/>
    <n v="0"/>
    <n v="0"/>
    <n v="0"/>
  </r>
  <r>
    <n v="56436394"/>
    <s v="N"/>
    <n v="21328895"/>
    <s v="3000013429940021RC"/>
    <s v="CIVIL"/>
    <d v="2023-06-28T00:00:00"/>
    <d v="2023-07-04T19:38:21"/>
    <m/>
    <d v="2023-07-04T00:00:00"/>
    <n v="1935"/>
    <n v="403"/>
    <s v="56436394"/>
    <s v="56436394"/>
    <m/>
    <m/>
    <m/>
    <m/>
    <m/>
    <m/>
    <s v="SOLRECOUP"/>
    <s v="SOLRECOUP"/>
    <s v="POARECOUP"/>
    <n v="21328895"/>
    <n v="-50.76"/>
    <m/>
    <s v="Y"/>
    <n v="1"/>
    <d v="2023-07-04T19:38:23"/>
    <s v="N"/>
    <m/>
    <m/>
    <s v="Non Expert Disbursement"/>
    <m/>
    <s v="N"/>
    <n v="-42.3"/>
    <n v="0"/>
    <x v="1"/>
    <s v="VALIDATED"/>
    <n v="1"/>
    <s v="01.11.80.307.2013.0000"/>
    <n v="-42.3"/>
    <s v="11"/>
    <s v="2013"/>
    <n v="-10217.8"/>
    <n v="-42.3"/>
    <s v="DEBTOR"/>
    <n v="0"/>
    <n v="0"/>
    <n v="0"/>
    <n v="0"/>
    <n v="0"/>
  </r>
  <r>
    <n v="56436394"/>
    <s v="N"/>
    <n v="21328895"/>
    <s v="3000013429940021RC"/>
    <s v="CIVIL"/>
    <d v="2023-06-28T00:00:00"/>
    <d v="2023-07-04T19:38:21"/>
    <m/>
    <d v="2023-07-04T00:00:00"/>
    <n v="1935"/>
    <n v="403"/>
    <s v="56436394"/>
    <s v="56436394"/>
    <m/>
    <m/>
    <m/>
    <m/>
    <m/>
    <m/>
    <s v="SOLRECOUP"/>
    <s v="SOLRECOUP"/>
    <s v="POARECOUP"/>
    <n v="21328895"/>
    <n v="-50.76"/>
    <m/>
    <s v="Y"/>
    <n v="2"/>
    <d v="2023-07-04T19:38:23"/>
    <s v="N"/>
    <m/>
    <m/>
    <s v="Non Expert Disbursement"/>
    <m/>
    <s v="N"/>
    <n v="0"/>
    <n v="-8.460000000000001"/>
    <x v="1"/>
    <s v="VALIDATED"/>
    <n v="1"/>
    <s v="01.11.80.307.2013.0000"/>
    <n v="-8.460000000000001"/>
    <s v="11"/>
    <s v="2013"/>
    <n v="-10217.8"/>
    <n v="-8.460000000000001"/>
    <s v="DEBTOR"/>
    <n v="0"/>
    <n v="0"/>
    <n v="0"/>
    <n v="0"/>
    <n v="0"/>
  </r>
  <r>
    <n v="56436394"/>
    <s v="N"/>
    <n v="21328896"/>
    <s v="3000013429940030RC"/>
    <s v="CIVIL"/>
    <d v="2023-06-28T00:00:00"/>
    <d v="2023-07-04T19:38:21"/>
    <m/>
    <d v="2023-07-04T00:00:00"/>
    <n v="1935"/>
    <n v="403"/>
    <s v="56436394"/>
    <s v="56436394"/>
    <m/>
    <m/>
    <m/>
    <m/>
    <m/>
    <m/>
    <s v="SOLRECOUP"/>
    <s v="SOLRECOUP"/>
    <s v="POARECOUP"/>
    <n v="21328896"/>
    <n v="-4"/>
    <m/>
    <s v="Y"/>
    <n v="1"/>
    <d v="2023-07-04T19:38:23"/>
    <s v="N"/>
    <m/>
    <m/>
    <s v="Non Expert Disbursement"/>
    <m/>
    <s v="N"/>
    <n v="-4"/>
    <n v="0"/>
    <x v="1"/>
    <s v="VALIDATED"/>
    <n v="1"/>
    <s v="01.11.80.307.2013.0000"/>
    <n v="-4"/>
    <s v="11"/>
    <s v="2013"/>
    <n v="-10217.8"/>
    <n v="-4"/>
    <s v="DEBTOR"/>
    <n v="0"/>
    <n v="0"/>
    <n v="0"/>
    <n v="0"/>
    <n v="0"/>
  </r>
  <r>
    <n v="56436394"/>
    <s v="N"/>
    <n v="21328896"/>
    <s v="3000013429940030RC"/>
    <s v="CIVIL"/>
    <d v="2023-06-28T00:00:00"/>
    <d v="2023-07-04T19:38:21"/>
    <m/>
    <d v="2023-07-04T00:00:00"/>
    <n v="1935"/>
    <n v="403"/>
    <s v="56436394"/>
    <s v="56436394"/>
    <m/>
    <m/>
    <m/>
    <m/>
    <m/>
    <m/>
    <s v="SOLRECOUP"/>
    <s v="SOLRECOUP"/>
    <s v="POARECOUP"/>
    <n v="21328896"/>
    <n v="-4"/>
    <m/>
    <s v="Y"/>
    <n v="2"/>
    <d v="2023-07-04T19:38:23"/>
    <s v="N"/>
    <m/>
    <m/>
    <s v="Non Expert Disbursement"/>
    <m/>
    <s v="N"/>
    <n v="0"/>
    <n v="0"/>
    <x v="1"/>
    <s v="VALIDATED"/>
    <n v="1"/>
    <s v="01.11.80.000.0000.0000"/>
    <n v="0"/>
    <s v="11"/>
    <s v="0000"/>
    <n v="-10217.8"/>
    <n v="0"/>
    <s v="DEBTOR"/>
    <n v="0"/>
    <n v="0"/>
    <n v="0"/>
    <n v="0"/>
    <n v="0"/>
  </r>
  <r>
    <n v="56436394"/>
    <s v="N"/>
    <n v="21328897"/>
    <s v="3000013429940029RC"/>
    <s v="CIVIL"/>
    <d v="2023-06-28T00:00:00"/>
    <d v="2023-07-04T19:38:21"/>
    <m/>
    <d v="2023-07-04T00:00:00"/>
    <n v="1935"/>
    <n v="403"/>
    <s v="56436394"/>
    <s v="56436394"/>
    <m/>
    <m/>
    <m/>
    <m/>
    <m/>
    <m/>
    <s v="SOLRECOUP"/>
    <s v="SOLRECOUP"/>
    <s v="POARECOUP"/>
    <n v="21328897"/>
    <n v="-5"/>
    <m/>
    <s v="Y"/>
    <n v="1"/>
    <d v="2023-07-04T19:38:23"/>
    <s v="N"/>
    <m/>
    <m/>
    <s v="Non Expert Disbursement"/>
    <m/>
    <s v="N"/>
    <n v="-5"/>
    <n v="0"/>
    <x v="1"/>
    <s v="VALIDATED"/>
    <n v="1"/>
    <s v="01.11.80.307.2013.0000"/>
    <n v="-5"/>
    <s v="11"/>
    <s v="2013"/>
    <n v="-10217.8"/>
    <n v="-5"/>
    <s v="DEBTOR"/>
    <n v="0"/>
    <n v="0"/>
    <n v="0"/>
    <n v="0"/>
    <n v="0"/>
  </r>
  <r>
    <n v="56436394"/>
    <s v="N"/>
    <n v="21328897"/>
    <s v="3000013429940029RC"/>
    <s v="CIVIL"/>
    <d v="2023-06-28T00:00:00"/>
    <d v="2023-07-04T19:38:21"/>
    <m/>
    <d v="2023-07-04T00:00:00"/>
    <n v="1935"/>
    <n v="403"/>
    <s v="56436394"/>
    <s v="56436394"/>
    <m/>
    <m/>
    <m/>
    <m/>
    <m/>
    <m/>
    <s v="SOLRECOUP"/>
    <s v="SOLRECOUP"/>
    <s v="POARECOUP"/>
    <n v="21328897"/>
    <n v="-5"/>
    <m/>
    <s v="Y"/>
    <n v="2"/>
    <d v="2023-07-04T19:38:23"/>
    <s v="N"/>
    <m/>
    <m/>
    <s v="Non Expert Disbursement"/>
    <m/>
    <s v="N"/>
    <n v="0"/>
    <n v="0"/>
    <x v="1"/>
    <s v="VALIDATED"/>
    <n v="1"/>
    <s v="01.11.80.000.0000.0000"/>
    <n v="0"/>
    <s v="11"/>
    <s v="0000"/>
    <n v="-10217.8"/>
    <n v="0"/>
    <s v="DEBTOR"/>
    <n v="0"/>
    <n v="0"/>
    <n v="0"/>
    <n v="0"/>
    <n v="0"/>
  </r>
  <r>
    <n v="62210310"/>
    <s v="N"/>
    <n v="21319467"/>
    <s v="3000016216690004"/>
    <s v="CIVIL"/>
    <d v="2023-06-28T00:00:00"/>
    <d v="2023-07-03T19:04:24"/>
    <m/>
    <d v="2023-07-03T00:00:00"/>
    <n v="1935"/>
    <n v="403"/>
    <s v="62210310"/>
    <s v="62210310"/>
    <m/>
    <m/>
    <n v="22776518"/>
    <m/>
    <m/>
    <m/>
    <s v="SOLPOA"/>
    <s v="SOLPOA"/>
    <s v="CCMS"/>
    <n v="21319467"/>
    <n v="640.7"/>
    <m/>
    <s v="N"/>
    <n v="1"/>
    <d v="2023-07-03T19:04:26"/>
    <s v="N"/>
    <s v="Expert Cost"/>
    <s v="Expert Cost"/>
    <s v="Expert Disbursement"/>
    <s v="hannah forsyth"/>
    <s v="N"/>
    <n v="533.92"/>
    <n v="106.78"/>
    <x v="3"/>
    <s v="VALIDATED"/>
    <n v="1"/>
    <s v="01.11.80.308.2012.0000"/>
    <n v="533.92"/>
    <s v="11"/>
    <s v="2012"/>
    <n v="-10217.8"/>
    <n v="533.92"/>
    <s v="DEBTOR"/>
    <n v="0"/>
    <n v="0"/>
    <n v="0"/>
    <n v="0"/>
    <n v="0"/>
  </r>
  <r>
    <n v="56436394"/>
    <s v="N"/>
    <n v="21329613"/>
    <s v="3000013429940026RC"/>
    <s v="CIVIL"/>
    <d v="2023-06-28T00:00:00"/>
    <d v="2023-07-04T19:38:37"/>
    <m/>
    <d v="2023-07-04T00:00:00"/>
    <n v="1935"/>
    <n v="403"/>
    <s v="56436394"/>
    <s v="56436394"/>
    <m/>
    <m/>
    <m/>
    <m/>
    <m/>
    <m/>
    <s v="SOLRECOUP"/>
    <s v="SOLRECOUP"/>
    <s v="POARECOUP"/>
    <n v="21329613"/>
    <n v="-50.76"/>
    <m/>
    <s v="Y"/>
    <n v="1"/>
    <d v="2023-07-04T19:38:38"/>
    <s v="N"/>
    <m/>
    <m/>
    <s v="Non Expert Disbursement"/>
    <m/>
    <s v="N"/>
    <n v="-42.3"/>
    <n v="0"/>
    <x v="1"/>
    <s v="VALIDATED"/>
    <n v="1"/>
    <s v="01.11.80.307.2013.0000"/>
    <n v="-42.3"/>
    <s v="11"/>
    <s v="2013"/>
    <n v="-10217.8"/>
    <n v="-42.3"/>
    <s v="DEBTOR"/>
    <n v="0"/>
    <n v="0"/>
    <n v="0"/>
    <n v="0"/>
    <n v="0"/>
  </r>
  <r>
    <n v="56436394"/>
    <s v="N"/>
    <n v="21329614"/>
    <s v="3000013429940010RC"/>
    <s v="CIVIL"/>
    <d v="2023-06-28T00:00:00"/>
    <d v="2023-07-04T19:38:37"/>
    <m/>
    <d v="2023-07-04T00:00:00"/>
    <n v="1935"/>
    <n v="403"/>
    <s v="56436394"/>
    <s v="56436394"/>
    <m/>
    <m/>
    <m/>
    <m/>
    <m/>
    <m/>
    <s v="SOLRECOUP"/>
    <s v="SOLRECOUP"/>
    <s v="POARECOUP"/>
    <n v="21329614"/>
    <n v="-91.8"/>
    <m/>
    <s v="Y"/>
    <n v="2"/>
    <d v="2023-07-04T19:38:38"/>
    <s v="N"/>
    <m/>
    <m/>
    <s v="Non Expert Disbursement"/>
    <m/>
    <s v="N"/>
    <n v="0"/>
    <n v="0"/>
    <x v="1"/>
    <s v="VALIDATED"/>
    <n v="1"/>
    <s v="01.11.80.000.0000.0000"/>
    <n v="0"/>
    <s v="11"/>
    <s v="0000"/>
    <n v="-10217.8"/>
    <n v="0"/>
    <s v="DEBTOR"/>
    <n v="0"/>
    <n v="0"/>
    <n v="0"/>
    <n v="0"/>
    <n v="0"/>
  </r>
  <r>
    <n v="56436394"/>
    <s v="N"/>
    <n v="21329614"/>
    <s v="3000013429940010RC"/>
    <s v="CIVIL"/>
    <d v="2023-06-28T00:00:00"/>
    <d v="2023-07-04T19:38:37"/>
    <m/>
    <d v="2023-07-04T00:00:00"/>
    <n v="1935"/>
    <n v="403"/>
    <s v="56436394"/>
    <s v="56436394"/>
    <m/>
    <m/>
    <m/>
    <m/>
    <m/>
    <m/>
    <s v="SOLRECOUP"/>
    <s v="SOLRECOUP"/>
    <s v="POARECOUP"/>
    <n v="21329614"/>
    <n v="-91.8"/>
    <m/>
    <s v="Y"/>
    <n v="1"/>
    <d v="2023-07-04T19:38:38"/>
    <s v="N"/>
    <m/>
    <m/>
    <s v="Non Expert Disbursement"/>
    <m/>
    <s v="N"/>
    <n v="-91.8"/>
    <n v="0"/>
    <x v="1"/>
    <s v="VALIDATED"/>
    <n v="1"/>
    <s v="01.11.80.307.2013.0000"/>
    <n v="-91.8"/>
    <s v="11"/>
    <s v="2013"/>
    <n v="-10217.8"/>
    <n v="-91.8"/>
    <s v="DEBTOR"/>
    <n v="0"/>
    <n v="0"/>
    <n v="0"/>
    <n v="0"/>
    <n v="0"/>
  </r>
  <r>
    <n v="56436394"/>
    <s v="N"/>
    <n v="21329615"/>
    <s v="3000013429940020RC"/>
    <s v="CIVIL"/>
    <d v="2023-06-28T00:00:00"/>
    <d v="2023-07-04T19:38:37"/>
    <m/>
    <d v="2023-07-04T00:00:00"/>
    <n v="1935"/>
    <n v="403"/>
    <s v="56436394"/>
    <s v="56436394"/>
    <m/>
    <m/>
    <m/>
    <m/>
    <m/>
    <m/>
    <s v="SOLRECOUP"/>
    <s v="SOLRECOUP"/>
    <s v="POARECOUP"/>
    <n v="21329615"/>
    <n v="-561.6"/>
    <m/>
    <s v="Y"/>
    <n v="2"/>
    <d v="2023-07-04T19:38:38"/>
    <s v="N"/>
    <m/>
    <m/>
    <s v="Expert Disbursement"/>
    <m/>
    <s v="N"/>
    <n v="0"/>
    <n v="-93.59999999999999"/>
    <x v="1"/>
    <s v="VALIDATED"/>
    <n v="1"/>
    <s v="01.11.80.307.2013.0000"/>
    <n v="-93.59999999999999"/>
    <s v="11"/>
    <s v="2013"/>
    <n v="-10217.8"/>
    <n v="-93.59999999999999"/>
    <s v="DEBTOR"/>
    <n v="0"/>
    <n v="0"/>
    <n v="0"/>
    <n v="0"/>
    <n v="0"/>
  </r>
  <r>
    <n v="56436394"/>
    <s v="N"/>
    <n v="21329615"/>
    <s v="3000013429940020RC"/>
    <s v="CIVIL"/>
    <d v="2023-06-28T00:00:00"/>
    <d v="2023-07-04T19:38:37"/>
    <m/>
    <d v="2023-07-04T00:00:00"/>
    <n v="1935"/>
    <n v="403"/>
    <s v="56436394"/>
    <s v="56436394"/>
    <m/>
    <m/>
    <m/>
    <m/>
    <m/>
    <m/>
    <s v="SOLRECOUP"/>
    <s v="SOLRECOUP"/>
    <s v="POARECOUP"/>
    <n v="21329615"/>
    <n v="-561.6"/>
    <m/>
    <s v="Y"/>
    <n v="1"/>
    <d v="2023-07-04T19:38:38"/>
    <s v="N"/>
    <m/>
    <m/>
    <s v="Expert Disbursement"/>
    <m/>
    <s v="N"/>
    <n v="-468"/>
    <n v="0"/>
    <x v="1"/>
    <s v="VALIDATED"/>
    <n v="1"/>
    <s v="01.11.80.307.2013.0000"/>
    <n v="-468"/>
    <s v="11"/>
    <s v="2013"/>
    <n v="-10217.8"/>
    <n v="-468"/>
    <s v="DEBTOR"/>
    <n v="0"/>
    <n v="0"/>
    <n v="0"/>
    <n v="0"/>
    <n v="0"/>
  </r>
  <r>
    <n v="56436394"/>
    <s v="N"/>
    <n v="21329616"/>
    <s v="3000013429940025RC"/>
    <s v="CIVIL"/>
    <d v="2023-06-28T00:00:00"/>
    <d v="2023-07-04T19:38:37"/>
    <m/>
    <d v="2023-07-04T00:00:00"/>
    <n v="1935"/>
    <n v="403"/>
    <s v="56436394"/>
    <s v="56436394"/>
    <m/>
    <m/>
    <m/>
    <m/>
    <m/>
    <m/>
    <s v="SOLRECOUP"/>
    <s v="SOLRECOUP"/>
    <s v="POARECOUP"/>
    <n v="21329616"/>
    <n v="-50.76"/>
    <m/>
    <s v="Y"/>
    <n v="2"/>
    <d v="2023-07-04T19:38:38"/>
    <s v="N"/>
    <m/>
    <m/>
    <s v="Non Expert Disbursement"/>
    <m/>
    <s v="N"/>
    <n v="0"/>
    <n v="-8.460000000000001"/>
    <x v="1"/>
    <s v="VALIDATED"/>
    <n v="1"/>
    <s v="01.11.80.307.2013.0000"/>
    <n v="-8.460000000000001"/>
    <s v="11"/>
    <s v="2013"/>
    <n v="-10217.8"/>
    <n v="-8.460000000000001"/>
    <s v="DEBTOR"/>
    <n v="0"/>
    <n v="0"/>
    <n v="0"/>
    <n v="0"/>
    <n v="0"/>
  </r>
  <r>
    <n v="56436394"/>
    <s v="N"/>
    <n v="21329616"/>
    <s v="3000013429940025RC"/>
    <s v="CIVIL"/>
    <d v="2023-06-28T00:00:00"/>
    <d v="2023-07-04T19:38:37"/>
    <m/>
    <d v="2023-07-04T00:00:00"/>
    <n v="1935"/>
    <n v="403"/>
    <s v="56436394"/>
    <s v="56436394"/>
    <m/>
    <m/>
    <m/>
    <m/>
    <m/>
    <m/>
    <s v="SOLRECOUP"/>
    <s v="SOLRECOUP"/>
    <s v="POARECOUP"/>
    <n v="21329616"/>
    <n v="-50.76"/>
    <m/>
    <s v="Y"/>
    <n v="1"/>
    <d v="2023-07-04T19:38:38"/>
    <s v="N"/>
    <m/>
    <m/>
    <s v="Non Expert Disbursement"/>
    <m/>
    <s v="N"/>
    <n v="-42.3"/>
    <n v="0"/>
    <x v="1"/>
    <s v="VALIDATED"/>
    <n v="1"/>
    <s v="01.11.80.307.2013.0000"/>
    <n v="-42.3"/>
    <s v="11"/>
    <s v="2013"/>
    <n v="-10217.8"/>
    <n v="-42.3"/>
    <s v="DEBTOR"/>
    <n v="0"/>
    <n v="0"/>
    <n v="0"/>
    <n v="0"/>
    <n v="0"/>
  </r>
  <r>
    <n v="56436394"/>
    <s v="N"/>
    <n v="21329617"/>
    <s v="3000013429940018RC"/>
    <s v="CIVIL"/>
    <d v="2023-06-28T00:00:00"/>
    <d v="2023-07-04T19:38:37"/>
    <m/>
    <d v="2023-07-04T00:00:00"/>
    <n v="1935"/>
    <n v="403"/>
    <s v="56436394"/>
    <s v="56436394"/>
    <m/>
    <m/>
    <m/>
    <m/>
    <m/>
    <m/>
    <s v="SOLRECOUP"/>
    <s v="SOLRECOUP"/>
    <s v="POARECOUP"/>
    <n v="21329617"/>
    <n v="-1196.54"/>
    <m/>
    <s v="Y"/>
    <n v="2"/>
    <d v="2023-07-04T19:38:38"/>
    <s v="N"/>
    <m/>
    <m/>
    <s v="Profit Cost"/>
    <m/>
    <s v="N"/>
    <n v="0"/>
    <n v="-199.42"/>
    <x v="1"/>
    <s v="VALIDATED"/>
    <n v="1"/>
    <s v="01.11.80.307.2013.0000"/>
    <n v="-199.42"/>
    <s v="11"/>
    <s v="2013"/>
    <n v="-10217.8"/>
    <n v="-199.42"/>
    <s v="DEBTOR"/>
    <n v="0"/>
    <n v="0"/>
    <n v="0"/>
    <n v="0"/>
    <n v="0"/>
  </r>
  <r>
    <n v="56436394"/>
    <s v="N"/>
    <n v="21329617"/>
    <s v="3000013429940018RC"/>
    <s v="CIVIL"/>
    <d v="2023-06-28T00:00:00"/>
    <d v="2023-07-04T19:38:37"/>
    <m/>
    <d v="2023-07-04T00:00:00"/>
    <n v="1935"/>
    <n v="403"/>
    <s v="56436394"/>
    <s v="56436394"/>
    <m/>
    <m/>
    <m/>
    <m/>
    <m/>
    <m/>
    <s v="SOLRECOUP"/>
    <s v="SOLRECOUP"/>
    <s v="POARECOUP"/>
    <n v="21329617"/>
    <n v="-1196.54"/>
    <m/>
    <s v="Y"/>
    <n v="1"/>
    <d v="2023-07-04T19:38:38"/>
    <s v="N"/>
    <m/>
    <m/>
    <s v="Profit Cost"/>
    <m/>
    <s v="N"/>
    <n v="-997.12"/>
    <n v="0"/>
    <x v="1"/>
    <s v="VALIDATED"/>
    <n v="1"/>
    <s v="01.11.80.307.2013.0000"/>
    <n v="-997.12"/>
    <s v="11"/>
    <s v="2013"/>
    <n v="-10217.8"/>
    <n v="-997.12"/>
    <s v="DEBTOR"/>
    <n v="0"/>
    <n v="0"/>
    <n v="0"/>
    <n v="0"/>
    <n v="0"/>
  </r>
  <r>
    <n v="56436394"/>
    <s v="N"/>
    <n v="21329618"/>
    <s v="3000013429940019RC"/>
    <s v="CIVIL"/>
    <d v="2023-06-28T00:00:00"/>
    <d v="2023-07-04T19:38:37"/>
    <m/>
    <d v="2023-07-04T00:00:00"/>
    <n v="1935"/>
    <n v="403"/>
    <s v="56436394"/>
    <s v="56436394"/>
    <m/>
    <m/>
    <m/>
    <m/>
    <m/>
    <m/>
    <s v="SOLRECOUP"/>
    <s v="SOLRECOUP"/>
    <s v="POARECOUP"/>
    <n v="21329618"/>
    <n v="-3490.92"/>
    <m/>
    <s v="Y"/>
    <n v="2"/>
    <d v="2023-07-04T19:38:38"/>
    <s v="N"/>
    <m/>
    <m/>
    <s v="Expert Disbursement"/>
    <m/>
    <s v="N"/>
    <n v="0"/>
    <n v="-581.8200000000001"/>
    <x v="1"/>
    <s v="VALIDATED"/>
    <n v="1"/>
    <s v="01.11.80.307.2013.0000"/>
    <n v="-581.8200000000001"/>
    <s v="11"/>
    <s v="2013"/>
    <n v="-10217.8"/>
    <n v="-581.8200000000001"/>
    <s v="DEBTOR"/>
    <n v="0"/>
    <n v="0"/>
    <n v="0"/>
    <n v="0"/>
    <n v="0"/>
  </r>
  <r>
    <n v="56436394"/>
    <s v="N"/>
    <n v="21329618"/>
    <s v="3000013429940019RC"/>
    <s v="CIVIL"/>
    <d v="2023-06-28T00:00:00"/>
    <d v="2023-07-04T19:38:37"/>
    <m/>
    <d v="2023-07-04T00:00:00"/>
    <n v="1935"/>
    <n v="403"/>
    <s v="56436394"/>
    <s v="56436394"/>
    <m/>
    <m/>
    <m/>
    <m/>
    <m/>
    <m/>
    <s v="SOLRECOUP"/>
    <s v="SOLRECOUP"/>
    <s v="POARECOUP"/>
    <n v="21329618"/>
    <n v="-3490.92"/>
    <m/>
    <s v="Y"/>
    <n v="1"/>
    <d v="2023-07-04T19:38:38"/>
    <s v="N"/>
    <m/>
    <m/>
    <s v="Expert Disbursement"/>
    <m/>
    <s v="N"/>
    <n v="-2909.1"/>
    <n v="0"/>
    <x v="1"/>
    <s v="VALIDATED"/>
    <n v="1"/>
    <s v="01.11.80.307.2013.0000"/>
    <n v="-2909.1"/>
    <s v="11"/>
    <s v="2013"/>
    <n v="-10217.8"/>
    <n v="-2909.1"/>
    <s v="DEBTOR"/>
    <n v="0"/>
    <n v="0"/>
    <n v="0"/>
    <n v="0"/>
    <n v="0"/>
  </r>
  <r>
    <n v="56436394"/>
    <s v="N"/>
    <n v="21329619"/>
    <s v="3000013429940023RC"/>
    <s v="CIVIL"/>
    <d v="2023-06-28T00:00:00"/>
    <d v="2023-07-04T19:38:37"/>
    <m/>
    <d v="2023-07-04T00:00:00"/>
    <n v="1935"/>
    <n v="403"/>
    <s v="56436394"/>
    <s v="56436394"/>
    <m/>
    <m/>
    <m/>
    <m/>
    <m/>
    <m/>
    <s v="SOLRECOUP"/>
    <s v="SOLRECOUP"/>
    <s v="POARECOUP"/>
    <n v="21329619"/>
    <n v="-50.76"/>
    <m/>
    <s v="Y"/>
    <n v="1"/>
    <d v="2023-07-04T19:38:38"/>
    <s v="N"/>
    <m/>
    <m/>
    <s v="Non Expert Disbursement"/>
    <m/>
    <s v="N"/>
    <n v="-42.3"/>
    <n v="0"/>
    <x v="1"/>
    <s v="VALIDATED"/>
    <n v="1"/>
    <s v="01.11.80.307.2013.0000"/>
    <n v="-42.3"/>
    <s v="11"/>
    <s v="2013"/>
    <n v="-10217.8"/>
    <n v="-42.3"/>
    <s v="DEBTOR"/>
    <n v="0"/>
    <n v="0"/>
    <n v="0"/>
    <n v="0"/>
    <n v="0"/>
  </r>
  <r>
    <n v="56436394"/>
    <s v="N"/>
    <n v="21329619"/>
    <s v="3000013429940023RC"/>
    <s v="CIVIL"/>
    <d v="2023-06-28T00:00:00"/>
    <d v="2023-07-04T19:38:37"/>
    <m/>
    <d v="2023-07-04T00:00:00"/>
    <n v="1935"/>
    <n v="403"/>
    <s v="56436394"/>
    <s v="56436394"/>
    <m/>
    <m/>
    <m/>
    <m/>
    <m/>
    <m/>
    <s v="SOLRECOUP"/>
    <s v="SOLRECOUP"/>
    <s v="POARECOUP"/>
    <n v="21329619"/>
    <n v="-50.76"/>
    <m/>
    <s v="Y"/>
    <n v="2"/>
    <d v="2023-07-04T19:38:38"/>
    <s v="N"/>
    <m/>
    <m/>
    <s v="Non Expert Disbursement"/>
    <m/>
    <s v="N"/>
    <n v="0"/>
    <n v="-8.460000000000001"/>
    <x v="1"/>
    <s v="VALIDATED"/>
    <n v="1"/>
    <s v="01.11.80.307.2013.0000"/>
    <n v="-8.460000000000001"/>
    <s v="11"/>
    <s v="2013"/>
    <n v="-10217.8"/>
    <n v="-8.460000000000001"/>
    <s v="DEBTOR"/>
    <n v="0"/>
    <n v="0"/>
    <n v="0"/>
    <n v="0"/>
    <n v="0"/>
  </r>
  <r>
    <n v="56436394"/>
    <s v="N"/>
    <n v="21329620"/>
    <s v="3000013429940022RC"/>
    <s v="CIVIL"/>
    <d v="2023-06-28T00:00:00"/>
    <d v="2023-07-04T19:38:37"/>
    <m/>
    <d v="2023-07-04T00:00:00"/>
    <n v="1935"/>
    <n v="403"/>
    <s v="56436394"/>
    <s v="56436394"/>
    <m/>
    <m/>
    <m/>
    <m/>
    <m/>
    <m/>
    <s v="SOLRECOUP"/>
    <s v="SOLRECOUP"/>
    <s v="POARECOUP"/>
    <n v="21329620"/>
    <n v="-50.76"/>
    <m/>
    <s v="Y"/>
    <n v="1"/>
    <d v="2023-07-04T19:38:38"/>
    <s v="N"/>
    <m/>
    <m/>
    <s v="Non Expert Disbursement"/>
    <m/>
    <s v="N"/>
    <n v="-42.3"/>
    <n v="0"/>
    <x v="1"/>
    <s v="VALIDATED"/>
    <n v="1"/>
    <s v="01.11.80.307.2013.0000"/>
    <n v="-42.3"/>
    <s v="11"/>
    <s v="2013"/>
    <n v="-10217.8"/>
    <n v="-42.3"/>
    <s v="DEBTOR"/>
    <n v="0"/>
    <n v="0"/>
    <n v="0"/>
    <n v="0"/>
    <n v="0"/>
  </r>
  <r>
    <n v="56436394"/>
    <s v="N"/>
    <n v="21329620"/>
    <s v="3000013429940022RC"/>
    <s v="CIVIL"/>
    <d v="2023-06-28T00:00:00"/>
    <d v="2023-07-04T19:38:37"/>
    <m/>
    <d v="2023-07-04T00:00:00"/>
    <n v="1935"/>
    <n v="403"/>
    <s v="56436394"/>
    <s v="56436394"/>
    <m/>
    <m/>
    <m/>
    <m/>
    <m/>
    <m/>
    <s v="SOLRECOUP"/>
    <s v="SOLRECOUP"/>
    <s v="POARECOUP"/>
    <n v="21329620"/>
    <n v="-50.76"/>
    <m/>
    <s v="Y"/>
    <n v="2"/>
    <d v="2023-07-04T19:38:38"/>
    <s v="N"/>
    <m/>
    <m/>
    <s v="Non Expert Disbursement"/>
    <m/>
    <s v="N"/>
    <n v="0"/>
    <n v="-8.460000000000001"/>
    <x v="1"/>
    <s v="VALIDATED"/>
    <n v="1"/>
    <s v="01.11.80.307.2013.0000"/>
    <n v="-8.460000000000001"/>
    <s v="11"/>
    <s v="2013"/>
    <n v="-10217.8"/>
    <n v="-8.460000000000001"/>
    <s v="DEBTOR"/>
    <n v="0"/>
    <n v="0"/>
    <n v="0"/>
    <n v="0"/>
    <n v="0"/>
  </r>
  <r>
    <n v="56436394"/>
    <s v="N"/>
    <n v="21329621"/>
    <s v="3000013429940024RC"/>
    <s v="CIVIL"/>
    <d v="2023-06-28T00:00:00"/>
    <d v="2023-07-04T19:38:37"/>
    <m/>
    <d v="2023-07-04T00:00:00"/>
    <n v="1935"/>
    <n v="403"/>
    <s v="56436394"/>
    <s v="56436394"/>
    <m/>
    <m/>
    <m/>
    <m/>
    <m/>
    <m/>
    <s v="SOLRECOUP"/>
    <s v="SOLRECOUP"/>
    <s v="POARECOUP"/>
    <n v="21329621"/>
    <n v="-50.76"/>
    <m/>
    <s v="Y"/>
    <n v="1"/>
    <d v="2023-07-04T19:38:38"/>
    <s v="N"/>
    <m/>
    <m/>
    <s v="Non Expert Disbursement"/>
    <m/>
    <s v="N"/>
    <n v="-42.3"/>
    <n v="0"/>
    <x v="1"/>
    <s v="VALIDATED"/>
    <n v="1"/>
    <s v="01.11.80.307.2013.0000"/>
    <n v="-42.3"/>
    <s v="11"/>
    <s v="2013"/>
    <n v="-10217.8"/>
    <n v="-42.3"/>
    <s v="DEBTOR"/>
    <n v="0"/>
    <n v="0"/>
    <n v="0"/>
    <n v="0"/>
    <n v="0"/>
  </r>
  <r>
    <n v="56436394"/>
    <s v="N"/>
    <n v="21329621"/>
    <s v="3000013429940024RC"/>
    <s v="CIVIL"/>
    <d v="2023-06-28T00:00:00"/>
    <d v="2023-07-04T19:38:37"/>
    <m/>
    <d v="2023-07-04T00:00:00"/>
    <n v="1935"/>
    <n v="403"/>
    <s v="56436394"/>
    <s v="56436394"/>
    <m/>
    <m/>
    <m/>
    <m/>
    <m/>
    <m/>
    <s v="SOLRECOUP"/>
    <s v="SOLRECOUP"/>
    <s v="POARECOUP"/>
    <n v="21329621"/>
    <n v="-50.76"/>
    <m/>
    <s v="Y"/>
    <n v="2"/>
    <d v="2023-07-04T19:38:38"/>
    <s v="N"/>
    <m/>
    <m/>
    <s v="Non Expert Disbursement"/>
    <m/>
    <s v="N"/>
    <n v="0"/>
    <n v="-8.460000000000001"/>
    <x v="1"/>
    <s v="VALIDATED"/>
    <n v="1"/>
    <s v="01.11.80.307.2013.0000"/>
    <n v="-8.460000000000001"/>
    <s v="11"/>
    <s v="2013"/>
    <n v="-10217.8"/>
    <n v="-8.460000000000001"/>
    <s v="DEBTOR"/>
    <n v="0"/>
    <n v="0"/>
    <n v="0"/>
    <n v="0"/>
    <n v="0"/>
  </r>
  <r>
    <n v="56436394"/>
    <s v="N"/>
    <n v="21329597"/>
    <s v="3000013429940005RC"/>
    <s v="CIVIL"/>
    <d v="2023-06-28T00:00:00"/>
    <d v="2023-07-04T19:38:37"/>
    <m/>
    <d v="2023-07-04T00:00:00"/>
    <n v="1935"/>
    <n v="403"/>
    <s v="56436394"/>
    <s v="56436394"/>
    <m/>
    <m/>
    <m/>
    <m/>
    <m/>
    <m/>
    <s v="SOLRECOUP"/>
    <s v="SOLRECOUP"/>
    <s v="POARECOUP"/>
    <n v="21329597"/>
    <n v="-3041.52"/>
    <m/>
    <s v="Y"/>
    <n v="1"/>
    <d v="2023-07-04T19:38:38"/>
    <s v="N"/>
    <m/>
    <m/>
    <s v="Expert Disbursement"/>
    <m/>
    <s v="N"/>
    <n v="-2534.6"/>
    <n v="0"/>
    <x v="1"/>
    <s v="VALIDATED"/>
    <n v="1"/>
    <s v="01.11.80.307.2013.0000"/>
    <n v="-2534.6"/>
    <s v="11"/>
    <s v="2013"/>
    <n v="-10217.8"/>
    <n v="-2534.6"/>
    <s v="DEBTOR"/>
    <n v="0"/>
    <n v="0"/>
    <n v="0"/>
    <n v="0"/>
    <n v="0"/>
  </r>
  <r>
    <n v="56436394"/>
    <s v="N"/>
    <n v="21329597"/>
    <s v="3000013429940005RC"/>
    <s v="CIVIL"/>
    <d v="2023-06-28T00:00:00"/>
    <d v="2023-07-04T19:38:37"/>
    <m/>
    <d v="2023-07-04T00:00:00"/>
    <n v="1935"/>
    <n v="403"/>
    <s v="56436394"/>
    <s v="56436394"/>
    <m/>
    <m/>
    <m/>
    <m/>
    <m/>
    <m/>
    <s v="SOLRECOUP"/>
    <s v="SOLRECOUP"/>
    <s v="POARECOUP"/>
    <n v="21329597"/>
    <n v="-3041.52"/>
    <m/>
    <s v="Y"/>
    <n v="2"/>
    <d v="2023-07-04T19:38:38"/>
    <s v="N"/>
    <m/>
    <m/>
    <s v="Expert Disbursement"/>
    <m/>
    <s v="N"/>
    <n v="0"/>
    <n v="-506.92"/>
    <x v="1"/>
    <s v="VALIDATED"/>
    <n v="1"/>
    <s v="01.11.80.307.2013.0000"/>
    <n v="-506.92"/>
    <s v="11"/>
    <s v="2013"/>
    <n v="-10217.8"/>
    <n v="-506.92"/>
    <s v="DEBTOR"/>
    <n v="0"/>
    <n v="0"/>
    <n v="0"/>
    <n v="0"/>
    <n v="0"/>
  </r>
  <r>
    <n v="56436394"/>
    <s v="N"/>
    <n v="21329598"/>
    <s v="3000013429940017RC"/>
    <s v="CIVIL"/>
    <d v="2023-06-28T00:00:00"/>
    <d v="2023-07-04T19:38:37"/>
    <m/>
    <d v="2023-07-04T00:00:00"/>
    <n v="1935"/>
    <n v="403"/>
    <s v="56436394"/>
    <s v="56436394"/>
    <m/>
    <m/>
    <m/>
    <m/>
    <m/>
    <m/>
    <s v="SOLRECOUP"/>
    <s v="SOLRECOUP"/>
    <s v="POARECOUP"/>
    <n v="21329598"/>
    <n v="-1510.8"/>
    <m/>
    <s v="Y"/>
    <n v="2"/>
    <d v="2023-07-04T19:38:38"/>
    <s v="N"/>
    <m/>
    <m/>
    <s v="Expert Disbursement"/>
    <m/>
    <s v="N"/>
    <n v="0"/>
    <n v="-251.8"/>
    <x v="1"/>
    <s v="VALIDATED"/>
    <n v="1"/>
    <s v="01.11.80.307.2013.0000"/>
    <n v="-251.8"/>
    <s v="11"/>
    <s v="2013"/>
    <n v="-10217.8"/>
    <n v="-251.8"/>
    <s v="DEBTOR"/>
    <n v="0"/>
    <n v="0"/>
    <n v="0"/>
    <n v="0"/>
    <n v="0"/>
  </r>
  <r>
    <n v="56436394"/>
    <s v="N"/>
    <n v="21329598"/>
    <s v="3000013429940017RC"/>
    <s v="CIVIL"/>
    <d v="2023-06-28T00:00:00"/>
    <d v="2023-07-04T19:38:37"/>
    <m/>
    <d v="2023-07-04T00:00:00"/>
    <n v="1935"/>
    <n v="403"/>
    <s v="56436394"/>
    <s v="56436394"/>
    <m/>
    <m/>
    <m/>
    <m/>
    <m/>
    <m/>
    <s v="SOLRECOUP"/>
    <s v="SOLRECOUP"/>
    <s v="POARECOUP"/>
    <n v="21329598"/>
    <n v="-1510.8"/>
    <m/>
    <s v="Y"/>
    <n v="1"/>
    <d v="2023-07-04T19:38:38"/>
    <s v="N"/>
    <m/>
    <m/>
    <s v="Expert Disbursement"/>
    <m/>
    <s v="N"/>
    <n v="-1259"/>
    <n v="0"/>
    <x v="1"/>
    <s v="VALIDATED"/>
    <n v="1"/>
    <s v="01.11.80.307.2013.0000"/>
    <n v="-1259"/>
    <s v="11"/>
    <s v="2013"/>
    <n v="-10217.8"/>
    <n v="-1259"/>
    <s v="DEBTOR"/>
    <n v="0"/>
    <n v="0"/>
    <n v="0"/>
    <n v="0"/>
    <n v="0"/>
  </r>
  <r>
    <n v="56436394"/>
    <s v="N"/>
    <n v="21329599"/>
    <s v="3000013429940001RC"/>
    <s v="CIVIL"/>
    <d v="2023-06-28T00:00:00"/>
    <d v="2023-07-04T19:38:37"/>
    <m/>
    <d v="2023-07-04T00:00:00"/>
    <n v="1935"/>
    <n v="403"/>
    <s v="56436394"/>
    <s v="56436394"/>
    <m/>
    <m/>
    <m/>
    <m/>
    <m/>
    <m/>
    <s v="SOLRECOUP"/>
    <s v="SOLRECOUP"/>
    <s v="POARECOUP"/>
    <n v="21329599"/>
    <n v="-3142.92"/>
    <m/>
    <s v="Y"/>
    <n v="2"/>
    <d v="2023-07-04T19:38:38"/>
    <s v="N"/>
    <m/>
    <m/>
    <s v="Expert Disbursement"/>
    <m/>
    <s v="N"/>
    <n v="0"/>
    <n v="-523.8200000000001"/>
    <x v="1"/>
    <s v="VALIDATED"/>
    <n v="1"/>
    <s v="01.11.80.307.2013.0000"/>
    <n v="-523.8200000000001"/>
    <s v="11"/>
    <s v="2013"/>
    <n v="-10217.8"/>
    <n v="-523.8200000000001"/>
    <s v="DEBTOR"/>
    <n v="0"/>
    <n v="0"/>
    <n v="0"/>
    <n v="0"/>
    <n v="0"/>
  </r>
  <r>
    <n v="56436394"/>
    <s v="N"/>
    <n v="21329599"/>
    <s v="3000013429940001RC"/>
    <s v="CIVIL"/>
    <d v="2023-06-28T00:00:00"/>
    <d v="2023-07-04T19:38:37"/>
    <m/>
    <d v="2023-07-04T00:00:00"/>
    <n v="1935"/>
    <n v="403"/>
    <s v="56436394"/>
    <s v="56436394"/>
    <m/>
    <m/>
    <m/>
    <m/>
    <m/>
    <m/>
    <s v="SOLRECOUP"/>
    <s v="SOLRECOUP"/>
    <s v="POARECOUP"/>
    <n v="21329599"/>
    <n v="-3142.92"/>
    <m/>
    <s v="Y"/>
    <n v="1"/>
    <d v="2023-07-04T19:38:38"/>
    <s v="N"/>
    <m/>
    <m/>
    <s v="Expert Disbursement"/>
    <m/>
    <s v="N"/>
    <n v="-2619.1"/>
    <n v="0"/>
    <x v="1"/>
    <s v="VALIDATED"/>
    <n v="1"/>
    <s v="01.11.80.307.2013.0000"/>
    <n v="-2619.1"/>
    <s v="11"/>
    <s v="2013"/>
    <n v="-10217.8"/>
    <n v="-2619.1"/>
    <s v="DEBTOR"/>
    <n v="0"/>
    <n v="0"/>
    <n v="0"/>
    <n v="0"/>
    <n v="0"/>
  </r>
  <r>
    <n v="56436394"/>
    <s v="N"/>
    <n v="21329600"/>
    <s v="3000013429940003RC"/>
    <s v="CIVIL"/>
    <d v="2023-06-28T00:00:00"/>
    <d v="2023-07-04T19:38:37"/>
    <m/>
    <d v="2023-07-04T00:00:00"/>
    <n v="1935"/>
    <n v="403"/>
    <s v="56436394"/>
    <s v="56436394"/>
    <m/>
    <m/>
    <m/>
    <m/>
    <m/>
    <m/>
    <s v="SOLRECOUP"/>
    <s v="SOLRECOUP"/>
    <s v="POARECOUP"/>
    <n v="21329600"/>
    <n v="-2197.25"/>
    <m/>
    <s v="Y"/>
    <n v="1"/>
    <d v="2023-07-04T19:38:38"/>
    <s v="N"/>
    <m/>
    <m/>
    <s v="Profit Cost"/>
    <m/>
    <s v="N"/>
    <n v="-1831.04"/>
    <n v="0"/>
    <x v="1"/>
    <s v="VALIDATED"/>
    <n v="1"/>
    <s v="01.11.80.307.2013.0000"/>
    <n v="-1831.04"/>
    <s v="11"/>
    <s v="2013"/>
    <n v="-10217.8"/>
    <n v="-1831.04"/>
    <s v="DEBTOR"/>
    <n v="0"/>
    <n v="0"/>
    <n v="0"/>
    <n v="0"/>
    <n v="0"/>
  </r>
  <r>
    <n v="56436394"/>
    <s v="N"/>
    <n v="21329600"/>
    <s v="3000013429940003RC"/>
    <s v="CIVIL"/>
    <d v="2023-06-28T00:00:00"/>
    <d v="2023-07-04T19:38:37"/>
    <m/>
    <d v="2023-07-04T00:00:00"/>
    <n v="1935"/>
    <n v="403"/>
    <s v="56436394"/>
    <s v="56436394"/>
    <m/>
    <m/>
    <m/>
    <m/>
    <m/>
    <m/>
    <s v="SOLRECOUP"/>
    <s v="SOLRECOUP"/>
    <s v="POARECOUP"/>
    <n v="21329600"/>
    <n v="-2197.25"/>
    <m/>
    <s v="Y"/>
    <n v="2"/>
    <d v="2023-07-04T19:38:38"/>
    <s v="N"/>
    <m/>
    <m/>
    <s v="Profit Cost"/>
    <m/>
    <s v="N"/>
    <n v="0"/>
    <n v="-366.21"/>
    <x v="1"/>
    <s v="VALIDATED"/>
    <n v="1"/>
    <s v="01.11.80.307.2013.0000"/>
    <n v="-366.21"/>
    <s v="11"/>
    <s v="2013"/>
    <n v="-10217.8"/>
    <n v="-366.21"/>
    <s v="DEBTOR"/>
    <n v="0"/>
    <n v="0"/>
    <n v="0"/>
    <n v="0"/>
    <n v="0"/>
  </r>
  <r>
    <n v="56436394"/>
    <s v="N"/>
    <n v="21329601"/>
    <s v="3000013429940009RC"/>
    <s v="CIVIL"/>
    <d v="2023-06-28T00:00:00"/>
    <d v="2023-07-04T19:38:37"/>
    <m/>
    <d v="2023-07-04T00:00:00"/>
    <n v="1935"/>
    <n v="403"/>
    <s v="56436394"/>
    <s v="56436394"/>
    <m/>
    <m/>
    <m/>
    <m/>
    <m/>
    <m/>
    <s v="SOLRECOUP"/>
    <s v="SOLRECOUP"/>
    <s v="POARECOUP"/>
    <n v="21329601"/>
    <n v="-194.4"/>
    <m/>
    <s v="Y"/>
    <n v="2"/>
    <d v="2023-07-04T19:38:38"/>
    <s v="N"/>
    <m/>
    <m/>
    <s v="Expert Disbursement"/>
    <m/>
    <s v="N"/>
    <n v="0"/>
    <n v="-32.4"/>
    <x v="1"/>
    <s v="VALIDATED"/>
    <n v="1"/>
    <s v="01.11.80.307.2013.0000"/>
    <n v="-32.4"/>
    <s v="11"/>
    <s v="2013"/>
    <n v="-10217.8"/>
    <n v="-32.4"/>
    <s v="DEBTOR"/>
    <n v="0"/>
    <n v="0"/>
    <n v="0"/>
    <n v="0"/>
    <n v="0"/>
  </r>
  <r>
    <n v="56436394"/>
    <s v="N"/>
    <n v="21329601"/>
    <s v="3000013429940009RC"/>
    <s v="CIVIL"/>
    <d v="2023-06-28T00:00:00"/>
    <d v="2023-07-04T19:38:37"/>
    <m/>
    <d v="2023-07-04T00:00:00"/>
    <n v="1935"/>
    <n v="403"/>
    <s v="56436394"/>
    <s v="56436394"/>
    <m/>
    <m/>
    <m/>
    <m/>
    <m/>
    <m/>
    <s v="SOLRECOUP"/>
    <s v="SOLRECOUP"/>
    <s v="POARECOUP"/>
    <n v="21329601"/>
    <n v="-194.4"/>
    <m/>
    <s v="Y"/>
    <n v="1"/>
    <d v="2023-07-04T19:38:38"/>
    <s v="N"/>
    <m/>
    <m/>
    <s v="Expert Disbursement"/>
    <m/>
    <s v="N"/>
    <n v="-162"/>
    <n v="0"/>
    <x v="1"/>
    <s v="VALIDATED"/>
    <n v="1"/>
    <s v="01.11.80.307.2013.0000"/>
    <n v="-162"/>
    <s v="11"/>
    <s v="2013"/>
    <n v="-10217.8"/>
    <n v="-162"/>
    <s v="DEBTOR"/>
    <n v="0"/>
    <n v="0"/>
    <n v="0"/>
    <n v="0"/>
    <n v="0"/>
  </r>
  <r>
    <n v="56436394"/>
    <s v="N"/>
    <n v="21329602"/>
    <s v="3000013429940002RC"/>
    <s v="CIVIL"/>
    <d v="2023-06-28T00:00:00"/>
    <d v="2023-07-04T19:38:37"/>
    <m/>
    <d v="2023-07-04T00:00:00"/>
    <n v="1935"/>
    <n v="403"/>
    <s v="56436394"/>
    <s v="56436394"/>
    <m/>
    <m/>
    <m/>
    <m/>
    <m/>
    <m/>
    <s v="SOLRECOUP"/>
    <s v="SOLRECOUP"/>
    <s v="POARECOUP"/>
    <n v="21329602"/>
    <n v="-50"/>
    <m/>
    <s v="Y"/>
    <n v="2"/>
    <d v="2023-07-04T19:38:38"/>
    <s v="N"/>
    <m/>
    <m/>
    <s v="Non Expert Disbursement"/>
    <m/>
    <s v="N"/>
    <n v="0"/>
    <n v="0"/>
    <x v="1"/>
    <s v="VALIDATED"/>
    <n v="1"/>
    <s v="01.11.80.000.0000.0000"/>
    <n v="0"/>
    <s v="11"/>
    <s v="0000"/>
    <n v="-10217.8"/>
    <n v="0"/>
    <s v="DEBTOR"/>
    <n v="0"/>
    <n v="0"/>
    <n v="0"/>
    <n v="0"/>
    <n v="0"/>
  </r>
  <r>
    <n v="56436394"/>
    <s v="N"/>
    <n v="21329602"/>
    <s v="3000013429940002RC"/>
    <s v="CIVIL"/>
    <d v="2023-06-28T00:00:00"/>
    <d v="2023-07-04T19:38:37"/>
    <m/>
    <d v="2023-07-04T00:00:00"/>
    <n v="1935"/>
    <n v="403"/>
    <s v="56436394"/>
    <s v="56436394"/>
    <m/>
    <m/>
    <m/>
    <m/>
    <m/>
    <m/>
    <s v="SOLRECOUP"/>
    <s v="SOLRECOUP"/>
    <s v="POARECOUP"/>
    <n v="21329602"/>
    <n v="-50"/>
    <m/>
    <s v="Y"/>
    <n v="1"/>
    <d v="2023-07-04T19:38:38"/>
    <s v="N"/>
    <m/>
    <m/>
    <s v="Non Expert Disbursement"/>
    <m/>
    <s v="N"/>
    <n v="-50"/>
    <n v="0"/>
    <x v="1"/>
    <s v="VALIDATED"/>
    <n v="1"/>
    <s v="01.11.80.307.2013.0000"/>
    <n v="-50"/>
    <s v="11"/>
    <s v="2013"/>
    <n v="-10217.8"/>
    <n v="-50"/>
    <s v="DEBTOR"/>
    <n v="0"/>
    <n v="0"/>
    <n v="0"/>
    <n v="0"/>
    <n v="0"/>
  </r>
  <r>
    <n v="56436394"/>
    <s v="N"/>
    <n v="21329603"/>
    <s v="3000013429940007RC"/>
    <s v="CIVIL"/>
    <d v="2023-06-28T00:00:00"/>
    <d v="2023-07-04T19:38:37"/>
    <m/>
    <d v="2023-07-04T00:00:00"/>
    <n v="1935"/>
    <n v="403"/>
    <s v="56436394"/>
    <s v="56436394"/>
    <m/>
    <m/>
    <m/>
    <m/>
    <m/>
    <m/>
    <s v="SOLRECOUP"/>
    <s v="SOLRECOUP"/>
    <s v="POARECOUP"/>
    <n v="21329603"/>
    <n v="-2433.65"/>
    <m/>
    <s v="Y"/>
    <n v="2"/>
    <d v="2023-07-04T19:38:38"/>
    <s v="N"/>
    <m/>
    <m/>
    <s v="Profit Cost"/>
    <m/>
    <s v="N"/>
    <n v="0"/>
    <n v="-405.61"/>
    <x v="1"/>
    <s v="VALIDATED"/>
    <n v="1"/>
    <s v="01.11.80.307.2013.0000"/>
    <n v="-405.61"/>
    <s v="11"/>
    <s v="2013"/>
    <n v="-10217.8"/>
    <n v="-405.61"/>
    <s v="DEBTOR"/>
    <n v="0"/>
    <n v="0"/>
    <n v="0"/>
    <n v="0"/>
    <n v="0"/>
  </r>
  <r>
    <n v="56436394"/>
    <s v="N"/>
    <n v="21329603"/>
    <s v="3000013429940007RC"/>
    <s v="CIVIL"/>
    <d v="2023-06-28T00:00:00"/>
    <d v="2023-07-04T19:38:37"/>
    <m/>
    <d v="2023-07-04T00:00:00"/>
    <n v="1935"/>
    <n v="403"/>
    <s v="56436394"/>
    <s v="56436394"/>
    <m/>
    <m/>
    <m/>
    <m/>
    <m/>
    <m/>
    <s v="SOLRECOUP"/>
    <s v="SOLRECOUP"/>
    <s v="POARECOUP"/>
    <n v="21329603"/>
    <n v="-2433.65"/>
    <m/>
    <s v="Y"/>
    <n v="1"/>
    <d v="2023-07-04T19:38:38"/>
    <s v="N"/>
    <m/>
    <m/>
    <s v="Profit Cost"/>
    <m/>
    <s v="N"/>
    <n v="-2028.04"/>
    <n v="0"/>
    <x v="1"/>
    <s v="VALIDATED"/>
    <n v="1"/>
    <s v="01.11.80.307.2013.0000"/>
    <n v="-2028.04"/>
    <s v="11"/>
    <s v="2013"/>
    <n v="-10217.8"/>
    <n v="-2028.04"/>
    <s v="DEBTOR"/>
    <n v="0"/>
    <n v="0"/>
    <n v="0"/>
    <n v="0"/>
    <n v="0"/>
  </r>
  <r>
    <n v="56436394"/>
    <s v="N"/>
    <n v="21329604"/>
    <s v="3000013429940006RC"/>
    <s v="CIVIL"/>
    <d v="2023-06-28T00:00:00"/>
    <d v="2023-07-04T19:38:37"/>
    <m/>
    <d v="2023-07-04T00:00:00"/>
    <n v="1935"/>
    <n v="403"/>
    <s v="56436394"/>
    <s v="56436394"/>
    <m/>
    <m/>
    <m/>
    <m/>
    <m/>
    <m/>
    <s v="SOLRECOUP"/>
    <s v="SOLRECOUP"/>
    <s v="POARECOUP"/>
    <n v="21329604"/>
    <n v="-37.4"/>
    <m/>
    <s v="Y"/>
    <n v="2"/>
    <d v="2023-07-04T19:38:38"/>
    <s v="N"/>
    <m/>
    <m/>
    <s v="Non Expert Disbursement"/>
    <m/>
    <s v="N"/>
    <n v="0"/>
    <n v="0"/>
    <x v="1"/>
    <s v="VALIDATED"/>
    <n v="1"/>
    <s v="01.11.80.000.0000.0000"/>
    <n v="0"/>
    <s v="11"/>
    <s v="0000"/>
    <n v="-10217.8"/>
    <n v="0"/>
    <s v="DEBTOR"/>
    <n v="0"/>
    <n v="0"/>
    <n v="0"/>
    <n v="0"/>
    <n v="0"/>
  </r>
  <r>
    <n v="56436394"/>
    <s v="N"/>
    <n v="21329604"/>
    <s v="3000013429940006RC"/>
    <s v="CIVIL"/>
    <d v="2023-06-28T00:00:00"/>
    <d v="2023-07-04T19:38:37"/>
    <m/>
    <d v="2023-07-04T00:00:00"/>
    <n v="1935"/>
    <n v="403"/>
    <s v="56436394"/>
    <s v="56436394"/>
    <m/>
    <m/>
    <m/>
    <m/>
    <m/>
    <m/>
    <s v="SOLRECOUP"/>
    <s v="SOLRECOUP"/>
    <s v="POARECOUP"/>
    <n v="21329604"/>
    <n v="-37.4"/>
    <m/>
    <s v="Y"/>
    <n v="1"/>
    <d v="2023-07-04T19:38:38"/>
    <s v="N"/>
    <m/>
    <m/>
    <s v="Non Expert Disbursement"/>
    <m/>
    <s v="N"/>
    <n v="-37.4"/>
    <n v="0"/>
    <x v="1"/>
    <s v="VALIDATED"/>
    <n v="1"/>
    <s v="01.11.80.307.2013.0000"/>
    <n v="-37.4"/>
    <s v="11"/>
    <s v="2013"/>
    <n v="-10217.8"/>
    <n v="-37.4"/>
    <s v="DEBTOR"/>
    <n v="0"/>
    <n v="0"/>
    <n v="0"/>
    <n v="0"/>
    <n v="0"/>
  </r>
  <r>
    <n v="56436394"/>
    <s v="N"/>
    <n v="21329605"/>
    <s v="3000013429940008RC"/>
    <s v="CIVIL"/>
    <d v="2023-06-28T00:00:00"/>
    <d v="2023-07-04T19:38:37"/>
    <m/>
    <d v="2023-07-04T00:00:00"/>
    <n v="1935"/>
    <n v="403"/>
    <s v="56436394"/>
    <s v="56436394"/>
    <m/>
    <m/>
    <m/>
    <m/>
    <m/>
    <m/>
    <s v="SOLRECOUP"/>
    <s v="SOLRECOUP"/>
    <s v="POARECOUP"/>
    <n v="21329605"/>
    <n v="-167"/>
    <m/>
    <s v="Y"/>
    <n v="2"/>
    <d v="2023-07-04T19:38:38"/>
    <s v="N"/>
    <m/>
    <m/>
    <s v="Non Expert Disbursement"/>
    <m/>
    <s v="N"/>
    <n v="0"/>
    <n v="0"/>
    <x v="1"/>
    <s v="VALIDATED"/>
    <n v="1"/>
    <s v="01.11.80.000.0000.0000"/>
    <n v="0"/>
    <s v="11"/>
    <s v="0000"/>
    <n v="-10217.8"/>
    <n v="0"/>
    <s v="DEBTOR"/>
    <n v="0"/>
    <n v="0"/>
    <n v="0"/>
    <n v="0"/>
    <n v="0"/>
  </r>
  <r>
    <n v="56436394"/>
    <s v="N"/>
    <n v="21329605"/>
    <s v="3000013429940008RC"/>
    <s v="CIVIL"/>
    <d v="2023-06-28T00:00:00"/>
    <d v="2023-07-04T19:38:37"/>
    <m/>
    <d v="2023-07-04T00:00:00"/>
    <n v="1935"/>
    <n v="403"/>
    <s v="56436394"/>
    <s v="56436394"/>
    <m/>
    <m/>
    <m/>
    <m/>
    <m/>
    <m/>
    <s v="SOLRECOUP"/>
    <s v="SOLRECOUP"/>
    <s v="POARECOUP"/>
    <n v="21329605"/>
    <n v="-167"/>
    <m/>
    <s v="Y"/>
    <n v="1"/>
    <d v="2023-07-04T19:38:38"/>
    <s v="N"/>
    <m/>
    <m/>
    <s v="Non Expert Disbursement"/>
    <m/>
    <s v="N"/>
    <n v="-167"/>
    <n v="0"/>
    <x v="1"/>
    <s v="VALIDATED"/>
    <n v="1"/>
    <s v="01.11.80.307.2013.0000"/>
    <n v="-167"/>
    <s v="11"/>
    <s v="2013"/>
    <n v="-10217.8"/>
    <n v="-167"/>
    <s v="DEBTOR"/>
    <n v="0"/>
    <n v="0"/>
    <n v="0"/>
    <n v="0"/>
    <n v="0"/>
  </r>
  <r>
    <n v="56436394"/>
    <s v="N"/>
    <n v="21329606"/>
    <s v="3000013429940012RC"/>
    <s v="CIVIL"/>
    <d v="2023-06-28T00:00:00"/>
    <d v="2023-07-04T19:38:37"/>
    <m/>
    <d v="2023-07-04T00:00:00"/>
    <n v="1935"/>
    <n v="403"/>
    <s v="56436394"/>
    <s v="56436394"/>
    <m/>
    <m/>
    <m/>
    <m/>
    <m/>
    <m/>
    <s v="SOLRECOUP"/>
    <s v="SOLRECOUP"/>
    <s v="POARECOUP"/>
    <n v="21329606"/>
    <n v="-5"/>
    <m/>
    <s v="Y"/>
    <n v="2"/>
    <d v="2023-07-04T19:38:38"/>
    <s v="N"/>
    <m/>
    <m/>
    <s v="Non Expert Disbursement"/>
    <m/>
    <s v="N"/>
    <n v="0"/>
    <n v="0"/>
    <x v="1"/>
    <s v="VALIDATED"/>
    <n v="1"/>
    <s v="01.11.80.000.0000.0000"/>
    <n v="0"/>
    <s v="11"/>
    <s v="0000"/>
    <n v="-10217.8"/>
    <n v="0"/>
    <s v="DEBTOR"/>
    <n v="0"/>
    <n v="0"/>
    <n v="0"/>
    <n v="0"/>
    <n v="0"/>
  </r>
  <r>
    <n v="56436394"/>
    <s v="N"/>
    <n v="21329606"/>
    <s v="3000013429940012RC"/>
    <s v="CIVIL"/>
    <d v="2023-06-28T00:00:00"/>
    <d v="2023-07-04T19:38:37"/>
    <m/>
    <d v="2023-07-04T00:00:00"/>
    <n v="1935"/>
    <n v="403"/>
    <s v="56436394"/>
    <s v="56436394"/>
    <m/>
    <m/>
    <m/>
    <m/>
    <m/>
    <m/>
    <s v="SOLRECOUP"/>
    <s v="SOLRECOUP"/>
    <s v="POARECOUP"/>
    <n v="21329606"/>
    <n v="-5"/>
    <m/>
    <s v="Y"/>
    <n v="1"/>
    <d v="2023-07-04T19:38:38"/>
    <s v="N"/>
    <m/>
    <m/>
    <s v="Non Expert Disbursement"/>
    <m/>
    <s v="N"/>
    <n v="-5"/>
    <n v="0"/>
    <x v="1"/>
    <s v="VALIDATED"/>
    <n v="1"/>
    <s v="01.11.80.307.2013.0000"/>
    <n v="-5"/>
    <s v="11"/>
    <s v="2013"/>
    <n v="-10217.8"/>
    <n v="-5"/>
    <s v="DEBTOR"/>
    <n v="0"/>
    <n v="0"/>
    <n v="0"/>
    <n v="0"/>
    <n v="0"/>
  </r>
  <r>
    <n v="56436394"/>
    <s v="N"/>
    <n v="21329607"/>
    <s v="3000013429940013RC"/>
    <s v="CIVIL"/>
    <d v="2023-06-28T00:00:00"/>
    <d v="2023-07-04T19:38:37"/>
    <m/>
    <d v="2023-07-04T00:00:00"/>
    <n v="1935"/>
    <n v="403"/>
    <s v="56436394"/>
    <s v="56436394"/>
    <m/>
    <m/>
    <m/>
    <m/>
    <m/>
    <m/>
    <s v="SOLRECOUP"/>
    <s v="SOLRECOUP"/>
    <s v="POARECOUP"/>
    <n v="21329607"/>
    <n v="-5"/>
    <m/>
    <s v="Y"/>
    <n v="2"/>
    <d v="2023-07-04T19:38:38"/>
    <s v="N"/>
    <m/>
    <m/>
    <s v="Non Expert Disbursement"/>
    <m/>
    <s v="N"/>
    <n v="0"/>
    <n v="0"/>
    <x v="1"/>
    <s v="VALIDATED"/>
    <n v="1"/>
    <s v="01.11.80.000.0000.0000"/>
    <n v="0"/>
    <s v="11"/>
    <s v="0000"/>
    <n v="-10217.8"/>
    <n v="0"/>
    <s v="DEBTOR"/>
    <n v="0"/>
    <n v="0"/>
    <n v="0"/>
    <n v="0"/>
    <n v="0"/>
  </r>
  <r>
    <n v="56436394"/>
    <s v="N"/>
    <n v="21329607"/>
    <s v="3000013429940013RC"/>
    <s v="CIVIL"/>
    <d v="2023-06-28T00:00:00"/>
    <d v="2023-07-04T19:38:37"/>
    <m/>
    <d v="2023-07-04T00:00:00"/>
    <n v="1935"/>
    <n v="403"/>
    <s v="56436394"/>
    <s v="56436394"/>
    <m/>
    <m/>
    <m/>
    <m/>
    <m/>
    <m/>
    <s v="SOLRECOUP"/>
    <s v="SOLRECOUP"/>
    <s v="POARECOUP"/>
    <n v="21329607"/>
    <n v="-5"/>
    <m/>
    <s v="Y"/>
    <n v="1"/>
    <d v="2023-07-04T19:38:38"/>
    <s v="N"/>
    <m/>
    <m/>
    <s v="Non Expert Disbursement"/>
    <m/>
    <s v="N"/>
    <n v="-5"/>
    <n v="0"/>
    <x v="1"/>
    <s v="VALIDATED"/>
    <n v="1"/>
    <s v="01.11.80.307.2013.0000"/>
    <n v="-5"/>
    <s v="11"/>
    <s v="2013"/>
    <n v="-10217.8"/>
    <n v="-5"/>
    <s v="DEBTOR"/>
    <n v="0"/>
    <n v="0"/>
    <n v="0"/>
    <n v="0"/>
    <n v="0"/>
  </r>
  <r>
    <n v="56436394"/>
    <s v="N"/>
    <n v="21329608"/>
    <s v="3000013429940014RC"/>
    <s v="CIVIL"/>
    <d v="2023-06-28T00:00:00"/>
    <d v="2023-07-04T19:38:37"/>
    <m/>
    <d v="2023-07-04T00:00:00"/>
    <n v="1935"/>
    <n v="403"/>
    <s v="56436394"/>
    <s v="56436394"/>
    <m/>
    <m/>
    <m/>
    <m/>
    <m/>
    <m/>
    <s v="SOLRECOUP"/>
    <s v="SOLRECOUP"/>
    <s v="POARECOUP"/>
    <n v="21329608"/>
    <n v="-2264.09"/>
    <m/>
    <s v="Y"/>
    <n v="2"/>
    <d v="2023-07-04T19:38:38"/>
    <s v="N"/>
    <m/>
    <m/>
    <s v="Profit Cost"/>
    <m/>
    <s v="N"/>
    <n v="0"/>
    <n v="-377.35"/>
    <x v="1"/>
    <s v="VALIDATED"/>
    <n v="1"/>
    <s v="01.11.80.307.2013.0000"/>
    <n v="-377.35"/>
    <s v="11"/>
    <s v="2013"/>
    <n v="-10217.8"/>
    <n v="-377.35"/>
    <s v="DEBTOR"/>
    <n v="0"/>
    <n v="0"/>
    <n v="0"/>
    <n v="0"/>
    <n v="0"/>
  </r>
  <r>
    <n v="56436394"/>
    <s v="N"/>
    <n v="21329608"/>
    <s v="3000013429940014RC"/>
    <s v="CIVIL"/>
    <d v="2023-06-28T00:00:00"/>
    <d v="2023-07-04T19:38:37"/>
    <m/>
    <d v="2023-07-04T00:00:00"/>
    <n v="1935"/>
    <n v="403"/>
    <s v="56436394"/>
    <s v="56436394"/>
    <m/>
    <m/>
    <m/>
    <m/>
    <m/>
    <m/>
    <s v="SOLRECOUP"/>
    <s v="SOLRECOUP"/>
    <s v="POARECOUP"/>
    <n v="21329608"/>
    <n v="-2264.09"/>
    <m/>
    <s v="Y"/>
    <n v="1"/>
    <d v="2023-07-04T19:38:38"/>
    <s v="N"/>
    <m/>
    <m/>
    <s v="Profit Cost"/>
    <m/>
    <s v="N"/>
    <n v="-1886.74"/>
    <n v="0"/>
    <x v="1"/>
    <s v="VALIDATED"/>
    <n v="1"/>
    <s v="01.11.80.307.2013.0000"/>
    <n v="-1886.74"/>
    <s v="11"/>
    <s v="2013"/>
    <n v="-10217.8"/>
    <n v="-1886.74"/>
    <s v="DEBTOR"/>
    <n v="0"/>
    <n v="0"/>
    <n v="0"/>
    <n v="0"/>
    <n v="0"/>
  </r>
  <r>
    <n v="56436394"/>
    <s v="N"/>
    <n v="21329609"/>
    <s v="3000013429940016RC"/>
    <s v="CIVIL"/>
    <d v="2023-06-28T00:00:00"/>
    <d v="2023-07-04T19:38:37"/>
    <m/>
    <d v="2023-07-04T00:00:00"/>
    <n v="1935"/>
    <n v="403"/>
    <s v="56436394"/>
    <s v="56436394"/>
    <m/>
    <m/>
    <m/>
    <m/>
    <m/>
    <m/>
    <s v="SOLRECOUP"/>
    <s v="SOLRECOUP"/>
    <s v="POARECOUP"/>
    <n v="21329609"/>
    <n v="-53"/>
    <m/>
    <s v="Y"/>
    <n v="2"/>
    <d v="2023-07-04T19:38:38"/>
    <s v="N"/>
    <m/>
    <m/>
    <s v="Non Expert Disbursement"/>
    <m/>
    <s v="N"/>
    <n v="0"/>
    <n v="0"/>
    <x v="1"/>
    <s v="VALIDATED"/>
    <n v="1"/>
    <s v="01.11.80.000.0000.0000"/>
    <n v="0"/>
    <s v="11"/>
    <s v="0000"/>
    <n v="-10217.8"/>
    <n v="0"/>
    <s v="DEBTOR"/>
    <n v="0"/>
    <n v="0"/>
    <n v="0"/>
    <n v="0"/>
    <n v="0"/>
  </r>
  <r>
    <n v="56436394"/>
    <s v="N"/>
    <n v="21329609"/>
    <s v="3000013429940016RC"/>
    <s v="CIVIL"/>
    <d v="2023-06-28T00:00:00"/>
    <d v="2023-07-04T19:38:37"/>
    <m/>
    <d v="2023-07-04T00:00:00"/>
    <n v="1935"/>
    <n v="403"/>
    <s v="56436394"/>
    <s v="56436394"/>
    <m/>
    <m/>
    <m/>
    <m/>
    <m/>
    <m/>
    <s v="SOLRECOUP"/>
    <s v="SOLRECOUP"/>
    <s v="POARECOUP"/>
    <n v="21329609"/>
    <n v="-53"/>
    <m/>
    <s v="Y"/>
    <n v="1"/>
    <d v="2023-07-04T19:38:38"/>
    <s v="N"/>
    <m/>
    <m/>
    <s v="Non Expert Disbursement"/>
    <m/>
    <s v="N"/>
    <n v="-53"/>
    <n v="0"/>
    <x v="1"/>
    <s v="VALIDATED"/>
    <n v="1"/>
    <s v="01.11.80.307.2013.0000"/>
    <n v="-53"/>
    <s v="11"/>
    <s v="2013"/>
    <n v="-10217.8"/>
    <n v="-53"/>
    <s v="DEBTOR"/>
    <n v="0"/>
    <n v="0"/>
    <n v="0"/>
    <n v="0"/>
    <n v="0"/>
  </r>
  <r>
    <n v="56436394"/>
    <s v="N"/>
    <n v="21329610"/>
    <s v="3000013429940011RC"/>
    <s v="CIVIL"/>
    <d v="2023-06-28T00:00:00"/>
    <d v="2023-07-04T19:38:37"/>
    <m/>
    <d v="2023-07-04T00:00:00"/>
    <n v="1935"/>
    <n v="403"/>
    <s v="56436394"/>
    <s v="56436394"/>
    <m/>
    <m/>
    <m/>
    <m/>
    <m/>
    <m/>
    <s v="SOLRECOUP"/>
    <s v="SOLRECOUP"/>
    <s v="POARECOUP"/>
    <n v="21329610"/>
    <n v="-5"/>
    <m/>
    <s v="Y"/>
    <n v="2"/>
    <d v="2023-07-04T19:38:38"/>
    <s v="N"/>
    <m/>
    <m/>
    <s v="Non Expert Disbursement"/>
    <m/>
    <s v="N"/>
    <n v="0"/>
    <n v="0"/>
    <x v="1"/>
    <s v="VALIDATED"/>
    <n v="1"/>
    <s v="01.11.80.000.0000.0000"/>
    <n v="0"/>
    <s v="11"/>
    <s v="0000"/>
    <n v="-10217.8"/>
    <n v="0"/>
    <s v="DEBTOR"/>
    <n v="0"/>
    <n v="0"/>
    <n v="0"/>
    <n v="0"/>
    <n v="0"/>
  </r>
  <r>
    <n v="56436394"/>
    <s v="N"/>
    <n v="21329610"/>
    <s v="3000013429940011RC"/>
    <s v="CIVIL"/>
    <d v="2023-06-28T00:00:00"/>
    <d v="2023-07-04T19:38:37"/>
    <m/>
    <d v="2023-07-04T00:00:00"/>
    <n v="1935"/>
    <n v="403"/>
    <s v="56436394"/>
    <s v="56436394"/>
    <m/>
    <m/>
    <m/>
    <m/>
    <m/>
    <m/>
    <s v="SOLRECOUP"/>
    <s v="SOLRECOUP"/>
    <s v="POARECOUP"/>
    <n v="21329610"/>
    <n v="-5"/>
    <m/>
    <s v="Y"/>
    <n v="1"/>
    <d v="2023-07-04T19:38:38"/>
    <s v="N"/>
    <m/>
    <m/>
    <s v="Non Expert Disbursement"/>
    <m/>
    <s v="N"/>
    <n v="-5"/>
    <n v="0"/>
    <x v="1"/>
    <s v="VALIDATED"/>
    <n v="1"/>
    <s v="01.11.80.307.2013.0000"/>
    <n v="-5"/>
    <s v="11"/>
    <s v="2013"/>
    <n v="-10217.8"/>
    <n v="-5"/>
    <s v="DEBTOR"/>
    <n v="0"/>
    <n v="0"/>
    <n v="0"/>
    <n v="0"/>
    <n v="0"/>
  </r>
  <r>
    <n v="56436394"/>
    <s v="N"/>
    <n v="21329611"/>
    <s v="3000013429940015RC"/>
    <s v="CIVIL"/>
    <d v="2023-06-28T00:00:00"/>
    <d v="2023-07-04T19:38:37"/>
    <m/>
    <d v="2023-07-04T00:00:00"/>
    <n v="1935"/>
    <n v="403"/>
    <s v="56436394"/>
    <s v="56436394"/>
    <m/>
    <m/>
    <m/>
    <m/>
    <m/>
    <m/>
    <s v="SOLRECOUP"/>
    <s v="SOLRECOUP"/>
    <s v="POARECOUP"/>
    <n v="21329611"/>
    <n v="-53"/>
    <m/>
    <s v="Y"/>
    <n v="2"/>
    <d v="2023-07-04T19:38:38"/>
    <s v="N"/>
    <m/>
    <m/>
    <s v="Non Expert Disbursement"/>
    <m/>
    <s v="N"/>
    <n v="0"/>
    <n v="0"/>
    <x v="1"/>
    <s v="VALIDATED"/>
    <n v="1"/>
    <s v="01.11.80.000.0000.0000"/>
    <n v="0"/>
    <s v="11"/>
    <s v="0000"/>
    <n v="-10217.8"/>
    <n v="0"/>
    <s v="DEBTOR"/>
    <n v="0"/>
    <n v="0"/>
    <n v="0"/>
    <n v="0"/>
    <n v="0"/>
  </r>
  <r>
    <n v="56436394"/>
    <s v="N"/>
    <n v="21379019"/>
    <s v="3000013429940004RC"/>
    <s v="CIVIL"/>
    <d v="2023-06-28T00:00:00"/>
    <d v="2023-07-14T19:34:08"/>
    <m/>
    <d v="2023-07-14T00:00:00"/>
    <n v="1935"/>
    <n v="403"/>
    <s v="56436394"/>
    <s v="56436394"/>
    <m/>
    <m/>
    <m/>
    <m/>
    <m/>
    <m/>
    <s v="SOLRECOUP"/>
    <s v="SOLRECOUP"/>
    <s v="POARECOUP"/>
    <n v="21379019"/>
    <n v="-2034"/>
    <m/>
    <s v="Y"/>
    <n v="1"/>
    <d v="2023-07-14T19:34:08"/>
    <s v="N"/>
    <m/>
    <m/>
    <s v="Expert Disbursement"/>
    <m/>
    <s v="N"/>
    <n v="-1695"/>
    <n v="0"/>
    <x v="10"/>
    <s v="VALIDATED"/>
    <n v="1"/>
    <s v="01.11.80.307.2013.0000"/>
    <n v="-1695"/>
    <s v="11"/>
    <s v="2013"/>
    <n v="-10217.8"/>
    <n v="-1695"/>
    <s v="DEBTOR"/>
    <n v="0"/>
    <n v="0"/>
    <n v="0"/>
    <n v="0"/>
    <n v="0"/>
  </r>
  <r>
    <n v="56436394"/>
    <s v="N"/>
    <n v="21379019"/>
    <s v="3000013429940004RC"/>
    <s v="CIVIL"/>
    <d v="2023-06-28T00:00:00"/>
    <d v="2023-07-14T19:34:08"/>
    <m/>
    <d v="2023-07-14T00:00:00"/>
    <n v="1935"/>
    <n v="403"/>
    <s v="56436394"/>
    <s v="56436394"/>
    <m/>
    <m/>
    <m/>
    <m/>
    <m/>
    <m/>
    <s v="SOLRECOUP"/>
    <s v="SOLRECOUP"/>
    <s v="POARECOUP"/>
    <n v="21379019"/>
    <n v="-2034"/>
    <m/>
    <s v="Y"/>
    <n v="2"/>
    <d v="2023-07-14T19:34:08"/>
    <s v="N"/>
    <m/>
    <m/>
    <s v="Expert Disbursement"/>
    <m/>
    <s v="N"/>
    <n v="0"/>
    <n v="-339"/>
    <x v="10"/>
    <s v="VALIDATED"/>
    <n v="1"/>
    <s v="01.11.80.307.2013.0000"/>
    <n v="-339"/>
    <s v="11"/>
    <s v="2013"/>
    <n v="-10217.8"/>
    <n v="-339"/>
    <s v="DEBTOR"/>
    <n v="0"/>
    <n v="0"/>
    <n v="0"/>
    <n v="0"/>
    <n v="0"/>
  </r>
  <r>
    <n v="56436394"/>
    <s v="N"/>
    <n v="21379020"/>
    <s v="3000013429940031RC"/>
    <s v="CIVIL"/>
    <d v="2023-06-28T00:00:00"/>
    <d v="2023-07-14T19:34:08"/>
    <m/>
    <d v="2023-07-14T00:00:00"/>
    <n v="1935"/>
    <n v="403"/>
    <s v="56436394"/>
    <s v="56436394"/>
    <m/>
    <m/>
    <m/>
    <m/>
    <m/>
    <m/>
    <s v="SOLRECOUP"/>
    <s v="SOLRECOUP"/>
    <s v="POARECOUP"/>
    <n v="21379020"/>
    <n v="-11129.59"/>
    <m/>
    <s v="Y"/>
    <n v="1"/>
    <d v="2023-07-14T19:34:08"/>
    <s v="N"/>
    <m/>
    <m/>
    <s v="Profit Cost"/>
    <m/>
    <s v="N"/>
    <n v="-9274.66"/>
    <n v="0"/>
    <x v="10"/>
    <s v="VALIDATED"/>
    <n v="1"/>
    <s v="01.11.80.307.2013.0000"/>
    <n v="-9274.66"/>
    <s v="11"/>
    <s v="2013"/>
    <n v="-10217.8"/>
    <n v="-9274.66"/>
    <s v="DEBTOR"/>
    <n v="0"/>
    <n v="0"/>
    <n v="0"/>
    <n v="0"/>
    <n v="0"/>
  </r>
  <r>
    <n v="56436394"/>
    <s v="N"/>
    <n v="21379020"/>
    <s v="3000013429940031RC"/>
    <s v="CIVIL"/>
    <d v="2023-06-28T00:00:00"/>
    <d v="2023-07-14T19:34:08"/>
    <m/>
    <d v="2023-07-14T00:00:00"/>
    <n v="1935"/>
    <n v="403"/>
    <s v="56436394"/>
    <s v="56436394"/>
    <m/>
    <m/>
    <m/>
    <m/>
    <m/>
    <m/>
    <s v="SOLRECOUP"/>
    <s v="SOLRECOUP"/>
    <s v="POARECOUP"/>
    <n v="21379020"/>
    <n v="-11129.59"/>
    <m/>
    <s v="Y"/>
    <n v="2"/>
    <d v="2023-07-14T19:34:08"/>
    <s v="N"/>
    <m/>
    <m/>
    <s v="Profit Cost"/>
    <m/>
    <s v="N"/>
    <n v="0"/>
    <n v="-1854.93"/>
    <x v="10"/>
    <s v="VALIDATED"/>
    <n v="1"/>
    <s v="01.11.80.307.2013.0000"/>
    <n v="-1854.93"/>
    <s v="11"/>
    <s v="2013"/>
    <n v="-10217.8"/>
    <n v="-1854.93"/>
    <s v="DEBTOR"/>
    <n v="0"/>
    <n v="0"/>
    <n v="0"/>
    <n v="0"/>
    <n v="0"/>
  </r>
  <r>
    <n v="56436394"/>
    <s v="N"/>
    <n v="21379021"/>
    <s v="3000013429940032RC"/>
    <s v="CIVIL"/>
    <d v="2023-06-28T00:00:00"/>
    <d v="2023-07-14T19:34:08"/>
    <m/>
    <d v="2023-07-14T00:00:00"/>
    <n v="1935"/>
    <n v="403"/>
    <s v="56436394"/>
    <s v="56436394"/>
    <m/>
    <m/>
    <m/>
    <m/>
    <m/>
    <m/>
    <s v="SOLRECOUP"/>
    <s v="SOLRECOUP"/>
    <s v="POARECOUP"/>
    <n v="21379021"/>
    <n v="-3477.24"/>
    <m/>
    <s v="Y"/>
    <n v="2"/>
    <d v="2023-07-14T19:34:08"/>
    <s v="N"/>
    <m/>
    <m/>
    <s v="Profit Cost"/>
    <m/>
    <s v="N"/>
    <n v="0"/>
    <n v="-579.54"/>
    <x v="10"/>
    <s v="VALIDATED"/>
    <n v="1"/>
    <s v="01.11.80.307.2013.0000"/>
    <n v="-579.54"/>
    <s v="11"/>
    <s v="2013"/>
    <n v="-10217.8"/>
    <n v="-579.54"/>
    <s v="DEBTOR"/>
    <n v="0"/>
    <n v="0"/>
    <n v="0"/>
    <n v="0"/>
    <n v="0"/>
  </r>
  <r>
    <n v="56436394"/>
    <s v="N"/>
    <n v="21379021"/>
    <s v="3000013429940032RC"/>
    <s v="CIVIL"/>
    <d v="2023-06-28T00:00:00"/>
    <d v="2023-07-14T19:34:08"/>
    <m/>
    <d v="2023-07-14T00:00:00"/>
    <n v="1935"/>
    <n v="403"/>
    <s v="56436394"/>
    <s v="56436394"/>
    <m/>
    <m/>
    <m/>
    <m/>
    <m/>
    <m/>
    <s v="SOLRECOUP"/>
    <s v="SOLRECOUP"/>
    <s v="POARECOUP"/>
    <n v="21379021"/>
    <n v="-3477.24"/>
    <m/>
    <s v="Y"/>
    <n v="1"/>
    <d v="2023-07-14T19:34:08"/>
    <s v="N"/>
    <m/>
    <m/>
    <s v="Profit Cost"/>
    <m/>
    <s v="N"/>
    <n v="-2897.7"/>
    <n v="0"/>
    <x v="10"/>
    <s v="VALIDATED"/>
    <n v="1"/>
    <s v="01.11.80.307.2013.0000"/>
    <n v="-2897.7"/>
    <s v="11"/>
    <s v="2013"/>
    <n v="-10217.8"/>
    <n v="-2897.7"/>
    <s v="DEBTOR"/>
    <n v="0"/>
    <n v="0"/>
    <n v="0"/>
    <n v="0"/>
    <n v="0"/>
  </r>
  <r>
    <n v="60302284"/>
    <s v="N"/>
    <n v="21357256"/>
    <s v="3000014605800007RC"/>
    <s v="CIVIL"/>
    <d v="2023-06-16T00:00:00"/>
    <d v="2023-07-10T19:48:00"/>
    <m/>
    <d v="2023-07-10T00:00:00"/>
    <n v="1935"/>
    <n v="403"/>
    <s v="60302284"/>
    <s v="60302284"/>
    <m/>
    <m/>
    <m/>
    <m/>
    <m/>
    <m/>
    <s v="SOLRECOUP"/>
    <s v="SOLRECOUP"/>
    <s v="POARECOUP"/>
    <n v="21357256"/>
    <n v="-1482.96"/>
    <m/>
    <s v="Y"/>
    <n v="2"/>
    <d v="2023-07-10T19:48:00"/>
    <s v="N"/>
    <m/>
    <m/>
    <s v="Profit Cost"/>
    <m/>
    <s v="N"/>
    <n v="0"/>
    <n v="-247.16"/>
    <x v="2"/>
    <s v="VALIDATED"/>
    <n v="1"/>
    <s v="01.11.80.308.2013.0000"/>
    <n v="-247.16"/>
    <s v="11"/>
    <s v="2013"/>
    <n v="-10217.8"/>
    <n v="-247.16"/>
    <s v="DEBTOR"/>
    <n v="0"/>
    <n v="0"/>
    <n v="0"/>
    <n v="0"/>
    <n v="0"/>
  </r>
  <r>
    <n v="60302284"/>
    <s v="N"/>
    <n v="21357256"/>
    <s v="3000014605800007RC"/>
    <s v="CIVIL"/>
    <d v="2023-06-16T00:00:00"/>
    <d v="2023-07-10T19:48:00"/>
    <m/>
    <d v="2023-07-10T00:00:00"/>
    <n v="1935"/>
    <n v="403"/>
    <s v="60302284"/>
    <s v="60302284"/>
    <m/>
    <m/>
    <m/>
    <m/>
    <m/>
    <m/>
    <s v="SOLRECOUP"/>
    <s v="SOLRECOUP"/>
    <s v="POARECOUP"/>
    <n v="21357256"/>
    <n v="-1482.96"/>
    <m/>
    <s v="Y"/>
    <n v="1"/>
    <d v="2023-07-10T19:48:00"/>
    <s v="N"/>
    <m/>
    <m/>
    <s v="Profit Cost"/>
    <m/>
    <s v="N"/>
    <n v="-1235.8"/>
    <n v="0"/>
    <x v="2"/>
    <s v="VALIDATED"/>
    <n v="1"/>
    <s v="01.11.80.308.2013.0000"/>
    <n v="-1235.8"/>
    <s v="11"/>
    <s v="2013"/>
    <n v="-10217.8"/>
    <n v="-1235.8"/>
    <s v="DEBTOR"/>
    <n v="0"/>
    <n v="0"/>
    <n v="0"/>
    <n v="0"/>
    <n v="0"/>
  </r>
  <r>
    <n v="61476976"/>
    <s v="N"/>
    <n v="21334121"/>
    <s v="3000015552180006RC"/>
    <s v="CIVIL"/>
    <d v="2023-06-09T00:00:00"/>
    <d v="2023-07-05T19:42:28"/>
    <m/>
    <d v="2023-07-05T00:00:00"/>
    <n v="1935"/>
    <n v="403"/>
    <s v="61476976"/>
    <s v="61476976"/>
    <m/>
    <m/>
    <m/>
    <m/>
    <m/>
    <m/>
    <s v="SOLRECOUP"/>
    <s v="SOLRECOUP"/>
    <s v="POARECOUP"/>
    <n v="21334121"/>
    <n v="-167"/>
    <m/>
    <s v="Y"/>
    <n v="1"/>
    <d v="2023-07-05T19:42:30"/>
    <s v="N"/>
    <m/>
    <m/>
    <s v="Non Expert Disbursement"/>
    <m/>
    <s v="N"/>
    <n v="-167"/>
    <n v="0"/>
    <x v="6"/>
    <s v="VALIDATED"/>
    <n v="1"/>
    <s v="01.11.80.305.2013.0000"/>
    <n v="-167"/>
    <s v="11"/>
    <s v="2013"/>
    <n v="-10217.8"/>
    <n v="-167"/>
    <s v="DEBTOR"/>
    <n v="0"/>
    <n v="0"/>
    <n v="0"/>
    <n v="0"/>
    <n v="0"/>
  </r>
  <r>
    <n v="61476976"/>
    <s v="N"/>
    <n v="21334121"/>
    <s v="3000015552180006RC"/>
    <s v="CIVIL"/>
    <d v="2023-06-09T00:00:00"/>
    <d v="2023-07-05T19:42:28"/>
    <m/>
    <d v="2023-07-05T00:00:00"/>
    <n v="1935"/>
    <n v="403"/>
    <s v="61476976"/>
    <s v="61476976"/>
    <m/>
    <m/>
    <m/>
    <m/>
    <m/>
    <m/>
    <s v="SOLRECOUP"/>
    <s v="SOLRECOUP"/>
    <s v="POARECOUP"/>
    <n v="21334121"/>
    <n v="-167"/>
    <m/>
    <s v="Y"/>
    <n v="2"/>
    <d v="2023-07-05T19:42:30"/>
    <s v="N"/>
    <m/>
    <m/>
    <s v="Non Expert Disbursement"/>
    <m/>
    <s v="N"/>
    <n v="0"/>
    <n v="0"/>
    <x v="6"/>
    <s v="VALIDATED"/>
    <n v="1"/>
    <s v="01.11.80.000.0000.0000"/>
    <n v="0"/>
    <s v="11"/>
    <s v="0000"/>
    <n v="-10217.8"/>
    <n v="0"/>
    <s v="DEBTOR"/>
    <n v="0"/>
    <n v="0"/>
    <n v="0"/>
    <n v="0"/>
    <n v="0"/>
  </r>
  <r>
    <n v="61476976"/>
    <s v="N"/>
    <n v="21334122"/>
    <s v="3000015552180007RC"/>
    <s v="CIVIL"/>
    <d v="2023-06-09T00:00:00"/>
    <d v="2023-07-05T19:42:28"/>
    <m/>
    <d v="2023-07-05T00:00:00"/>
    <n v="1935"/>
    <n v="403"/>
    <s v="61476976"/>
    <s v="61476976"/>
    <m/>
    <m/>
    <m/>
    <m/>
    <m/>
    <m/>
    <s v="SOLRECOUP"/>
    <s v="SOLRECOUP"/>
    <s v="POARECOUP"/>
    <n v="21334122"/>
    <n v="-167"/>
    <m/>
    <s v="Y"/>
    <n v="1"/>
    <d v="2023-07-05T19:42:30"/>
    <s v="N"/>
    <m/>
    <m/>
    <s v="Non Expert Disbursement"/>
    <m/>
    <s v="N"/>
    <n v="-167"/>
    <n v="0"/>
    <x v="6"/>
    <s v="VALIDATED"/>
    <n v="1"/>
    <s v="01.11.80.305.2013.0000"/>
    <n v="-167"/>
    <s v="11"/>
    <s v="2013"/>
    <n v="-10217.8"/>
    <n v="-167"/>
    <s v="DEBTOR"/>
    <n v="0"/>
    <n v="0"/>
    <n v="0"/>
    <n v="0"/>
    <n v="0"/>
  </r>
  <r>
    <n v="61476976"/>
    <s v="N"/>
    <n v="21334122"/>
    <s v="3000015552180007RC"/>
    <s v="CIVIL"/>
    <d v="2023-06-09T00:00:00"/>
    <d v="2023-07-05T19:42:28"/>
    <m/>
    <d v="2023-07-05T00:00:00"/>
    <n v="1935"/>
    <n v="403"/>
    <s v="61476976"/>
    <s v="61476976"/>
    <m/>
    <m/>
    <m/>
    <m/>
    <m/>
    <m/>
    <s v="SOLRECOUP"/>
    <s v="SOLRECOUP"/>
    <s v="POARECOUP"/>
    <n v="21334122"/>
    <n v="-167"/>
    <m/>
    <s v="Y"/>
    <n v="2"/>
    <d v="2023-07-05T19:42:30"/>
    <s v="N"/>
    <m/>
    <m/>
    <s v="Non Expert Disbursement"/>
    <m/>
    <s v="N"/>
    <n v="0"/>
    <n v="0"/>
    <x v="6"/>
    <s v="VALIDATED"/>
    <n v="1"/>
    <s v="01.11.80.000.0000.0000"/>
    <n v="0"/>
    <s v="11"/>
    <s v="0000"/>
    <n v="-10217.8"/>
    <n v="0"/>
    <s v="DEBTOR"/>
    <n v="0"/>
    <n v="0"/>
    <n v="0"/>
    <n v="0"/>
    <n v="0"/>
  </r>
  <r>
    <n v="61476976"/>
    <s v="N"/>
    <n v="21334123"/>
    <s v="3000015552180008RC"/>
    <s v="CIVIL"/>
    <d v="2023-06-09T00:00:00"/>
    <d v="2023-07-05T19:42:28"/>
    <m/>
    <d v="2023-07-05T00:00:00"/>
    <n v="1935"/>
    <n v="403"/>
    <s v="61476976"/>
    <s v="61476976"/>
    <m/>
    <m/>
    <m/>
    <m/>
    <m/>
    <m/>
    <s v="SOLRECOUP"/>
    <s v="SOLRECOUP"/>
    <s v="POARECOUP"/>
    <n v="21334123"/>
    <n v="-53"/>
    <m/>
    <s v="Y"/>
    <n v="1"/>
    <d v="2023-07-05T19:42:30"/>
    <s v="N"/>
    <m/>
    <m/>
    <s v="Non Expert Disbursement"/>
    <m/>
    <s v="N"/>
    <n v="-53"/>
    <n v="0"/>
    <x v="6"/>
    <s v="VALIDATED"/>
    <n v="1"/>
    <s v="01.11.80.305.2013.0000"/>
    <n v="-53"/>
    <s v="11"/>
    <s v="2013"/>
    <n v="-10217.8"/>
    <n v="-53"/>
    <s v="DEBTOR"/>
    <n v="0"/>
    <n v="0"/>
    <n v="0"/>
    <n v="0"/>
    <n v="0"/>
  </r>
  <r>
    <n v="61476976"/>
    <s v="N"/>
    <n v="21334123"/>
    <s v="3000015552180008RC"/>
    <s v="CIVIL"/>
    <d v="2023-06-09T00:00:00"/>
    <d v="2023-07-05T19:42:28"/>
    <m/>
    <d v="2023-07-05T00:00:00"/>
    <n v="1935"/>
    <n v="403"/>
    <s v="61476976"/>
    <s v="61476976"/>
    <m/>
    <m/>
    <m/>
    <m/>
    <m/>
    <m/>
    <s v="SOLRECOUP"/>
    <s v="SOLRECOUP"/>
    <s v="POARECOUP"/>
    <n v="21334123"/>
    <n v="-53"/>
    <m/>
    <s v="Y"/>
    <n v="2"/>
    <d v="2023-07-05T19:42:30"/>
    <s v="N"/>
    <m/>
    <m/>
    <s v="Non Expert Disbursement"/>
    <m/>
    <s v="N"/>
    <n v="0"/>
    <n v="0"/>
    <x v="6"/>
    <s v="VALIDATED"/>
    <n v="1"/>
    <s v="01.11.80.000.0000.0000"/>
    <n v="0"/>
    <s v="11"/>
    <s v="0000"/>
    <n v="-10217.8"/>
    <n v="0"/>
    <s v="DEBTOR"/>
    <n v="0"/>
    <n v="0"/>
    <n v="0"/>
    <n v="0"/>
    <n v="0"/>
  </r>
  <r>
    <n v="61476976"/>
    <s v="N"/>
    <n v="21334124"/>
    <s v="3000015552180003RC"/>
    <s v="CIVIL"/>
    <d v="2023-06-09T00:00:00"/>
    <d v="2023-07-05T19:42:28"/>
    <m/>
    <d v="2023-07-05T00:00:00"/>
    <n v="1935"/>
    <n v="403"/>
    <s v="61476976"/>
    <s v="61476976"/>
    <m/>
    <m/>
    <m/>
    <m/>
    <m/>
    <m/>
    <s v="SOLRECOUP"/>
    <s v="SOLRECOUP"/>
    <s v="POARECOUP"/>
    <n v="21334124"/>
    <n v="-1462.9"/>
    <m/>
    <s v="Y"/>
    <n v="1"/>
    <d v="2023-07-05T19:42:30"/>
    <s v="N"/>
    <m/>
    <m/>
    <s v="Profit Cost"/>
    <m/>
    <s v="N"/>
    <n v="-1219.08"/>
    <n v="0"/>
    <x v="6"/>
    <s v="VALIDATED"/>
    <n v="1"/>
    <s v="01.11.80.305.2013.0000"/>
    <n v="-1219.08"/>
    <s v="11"/>
    <s v="2013"/>
    <n v="-10217.8"/>
    <n v="-1219.08"/>
    <s v="DEBTOR"/>
    <n v="0"/>
    <n v="0"/>
    <n v="0"/>
    <n v="0"/>
    <n v="0"/>
  </r>
  <r>
    <n v="61476976"/>
    <s v="N"/>
    <n v="21334124"/>
    <s v="3000015552180003RC"/>
    <s v="CIVIL"/>
    <d v="2023-06-09T00:00:00"/>
    <d v="2023-07-05T19:42:28"/>
    <m/>
    <d v="2023-07-05T00:00:00"/>
    <n v="1935"/>
    <n v="403"/>
    <s v="61476976"/>
    <s v="61476976"/>
    <m/>
    <m/>
    <m/>
    <m/>
    <m/>
    <m/>
    <s v="SOLRECOUP"/>
    <s v="SOLRECOUP"/>
    <s v="POARECOUP"/>
    <n v="21334124"/>
    <n v="-1462.9"/>
    <m/>
    <s v="Y"/>
    <n v="2"/>
    <d v="2023-07-05T19:42:30"/>
    <s v="N"/>
    <m/>
    <m/>
    <s v="Profit Cost"/>
    <m/>
    <s v="N"/>
    <n v="0"/>
    <n v="-243.82"/>
    <x v="6"/>
    <s v="VALIDATED"/>
    <n v="1"/>
    <s v="01.11.80.305.2013.0000"/>
    <n v="-243.82"/>
    <s v="11"/>
    <s v="2013"/>
    <n v="-10217.8"/>
    <n v="-243.82"/>
    <s v="DEBTOR"/>
    <n v="0"/>
    <n v="0"/>
    <n v="0"/>
    <n v="0"/>
    <n v="0"/>
  </r>
  <r>
    <n v="61476976"/>
    <s v="N"/>
    <n v="21334125"/>
    <s v="3000015552180005RC"/>
    <s v="CIVIL"/>
    <d v="2023-06-09T00:00:00"/>
    <d v="2023-07-05T19:42:28"/>
    <m/>
    <d v="2023-07-05T00:00:00"/>
    <n v="1935"/>
    <n v="403"/>
    <s v="61476976"/>
    <s v="61476976"/>
    <m/>
    <m/>
    <m/>
    <m/>
    <m/>
    <m/>
    <s v="SOLRECOUP"/>
    <s v="SOLRECOUP"/>
    <s v="POARECOUP"/>
    <n v="21334125"/>
    <n v="-982.75"/>
    <m/>
    <s v="Y"/>
    <n v="1"/>
    <d v="2023-07-05T19:42:30"/>
    <s v="N"/>
    <m/>
    <m/>
    <s v="Profit Cost"/>
    <m/>
    <s v="N"/>
    <n v="-818.96"/>
    <n v="0"/>
    <x v="6"/>
    <s v="VALIDATED"/>
    <n v="1"/>
    <s v="01.11.80.305.2013.0000"/>
    <n v="-818.96"/>
    <s v="11"/>
    <s v="2013"/>
    <n v="-10217.8"/>
    <n v="-818.96"/>
    <s v="DEBTOR"/>
    <n v="0"/>
    <n v="0"/>
    <n v="0"/>
    <n v="0"/>
    <n v="0"/>
  </r>
  <r>
    <n v="61476976"/>
    <s v="N"/>
    <n v="21334125"/>
    <s v="3000015552180005RC"/>
    <s v="CIVIL"/>
    <d v="2023-06-09T00:00:00"/>
    <d v="2023-07-05T19:42:28"/>
    <m/>
    <d v="2023-07-05T00:00:00"/>
    <n v="1935"/>
    <n v="403"/>
    <s v="61476976"/>
    <s v="61476976"/>
    <m/>
    <m/>
    <m/>
    <m/>
    <m/>
    <m/>
    <s v="SOLRECOUP"/>
    <s v="SOLRECOUP"/>
    <s v="POARECOUP"/>
    <n v="21334125"/>
    <n v="-982.75"/>
    <m/>
    <s v="Y"/>
    <n v="2"/>
    <d v="2023-07-05T19:42:30"/>
    <s v="N"/>
    <m/>
    <m/>
    <s v="Profit Cost"/>
    <m/>
    <s v="N"/>
    <n v="0"/>
    <n v="-163.79"/>
    <x v="6"/>
    <s v="VALIDATED"/>
    <n v="1"/>
    <s v="01.11.80.305.2013.0000"/>
    <n v="-163.79"/>
    <s v="11"/>
    <s v="2013"/>
    <n v="-10217.8"/>
    <n v="-163.79"/>
    <s v="DEBTOR"/>
    <n v="0"/>
    <n v="0"/>
    <n v="0"/>
    <n v="0"/>
    <n v="0"/>
  </r>
  <r>
    <n v="61865969"/>
    <s v="N"/>
    <n v="21320142"/>
    <s v="3000015929310005"/>
    <s v="CIVIL"/>
    <d v="2023-06-27T00:00:00"/>
    <d v="2023-07-03T19:04:24"/>
    <m/>
    <d v="2023-07-03T00:00:00"/>
    <n v="1938"/>
    <n v="425"/>
    <s v="61865969"/>
    <s v="61865969"/>
    <m/>
    <m/>
    <n v="22772806"/>
    <m/>
    <m/>
    <m/>
    <s v="SOLPOA"/>
    <s v="SOLPOA"/>
    <s v="CCMS"/>
    <n v="21320142"/>
    <n v="53.4"/>
    <m/>
    <s v="N"/>
    <n v="1"/>
    <d v="2023-07-03T19:04:29"/>
    <s v="N"/>
    <s v="Expert Cost"/>
    <s v="Expert Cost"/>
    <s v="Expert Disbursement"/>
    <s v="DN Eccles"/>
    <s v="N"/>
    <n v="44.5"/>
    <n v="8.9"/>
    <x v="3"/>
    <s v="VALIDATED"/>
    <n v="1"/>
    <s v="01.11.80.308.2012.0000"/>
    <n v="44.5"/>
    <s v="11"/>
    <s v="2012"/>
    <n v="1208.04"/>
    <n v="44.5"/>
    <s v="CREDITOR"/>
    <n v="44.5"/>
    <n v="0"/>
    <n v="0"/>
    <n v="0"/>
    <n v="0"/>
  </r>
  <r>
    <n v="60477091"/>
    <s v="N"/>
    <n v="21331002"/>
    <s v="3000014756670009"/>
    <s v="CIVIL"/>
    <d v="2023-06-27T00:00:00"/>
    <d v="2023-07-05T19:01:47"/>
    <m/>
    <d v="2023-07-05T00:00:00"/>
    <n v="1938"/>
    <n v="425"/>
    <s v="60477091"/>
    <s v="60477091"/>
    <m/>
    <m/>
    <n v="22767302"/>
    <m/>
    <m/>
    <m/>
    <s v="SOLFIN"/>
    <s v="SOLFIN"/>
    <s v="CCMS"/>
    <n v="21331002"/>
    <n v="7286.46"/>
    <m/>
    <s v="N"/>
    <n v="4"/>
    <d v="2023-07-05T19:02:01"/>
    <s v="Y"/>
    <s v="Toxicologist"/>
    <s v="Public Law Children"/>
    <s v="Expert Disbursement"/>
    <s v="XXX"/>
    <s v="Y"/>
    <n v="175.74"/>
    <n v="35.15"/>
    <x v="6"/>
    <s v="VALIDATED"/>
    <n v="1"/>
    <s v="01.11.80.308.6300.0000"/>
    <n v="175.74"/>
    <s v="11"/>
    <s v="6300"/>
    <n v="1208.04"/>
    <n v="175.74"/>
    <s v="CREDITOR"/>
    <n v="0"/>
    <n v="0"/>
    <n v="0"/>
    <n v="0"/>
    <n v="175.74"/>
  </r>
  <r>
    <n v="60477091"/>
    <s v="N"/>
    <n v="21331002"/>
    <s v="3000014756670009"/>
    <s v="CIVIL"/>
    <d v="2023-06-27T00:00:00"/>
    <d v="2023-07-05T19:01:47"/>
    <m/>
    <d v="2023-07-05T00:00:00"/>
    <n v="1938"/>
    <n v="425"/>
    <s v="60477091"/>
    <s v="60477091"/>
    <m/>
    <m/>
    <n v="22767302"/>
    <m/>
    <m/>
    <m/>
    <s v="SOLFIN"/>
    <s v="SOLFIN"/>
    <s v="CCMS"/>
    <n v="21331002"/>
    <n v="7286.46"/>
    <m/>
    <s v="N"/>
    <n v="7"/>
    <d v="2023-07-05T19:02:01"/>
    <s v="Y"/>
    <s v="Advocates Meeting"/>
    <s v="Public Law Children"/>
    <s v="Advocacy"/>
    <s v="FH"/>
    <s v="Y"/>
    <n v="140.99"/>
    <n v="28.2"/>
    <x v="6"/>
    <s v="VALIDATED"/>
    <n v="1"/>
    <s v="01.11.80.308.6100.0000"/>
    <n v="140.99"/>
    <s v="11"/>
    <s v="6100"/>
    <n v="1208.04"/>
    <n v="140.99"/>
    <s v="CREDITOR"/>
    <n v="0"/>
    <n v="0"/>
    <n v="0"/>
    <n v="0"/>
    <n v="140.99"/>
  </r>
  <r>
    <n v="60477091"/>
    <s v="N"/>
    <n v="21331002"/>
    <s v="3000014756670009"/>
    <s v="CIVIL"/>
    <d v="2023-06-27T00:00:00"/>
    <d v="2023-07-05T19:01:47"/>
    <m/>
    <d v="2023-07-05T00:00:00"/>
    <n v="1938"/>
    <n v="425"/>
    <s v="60477091"/>
    <s v="60477091"/>
    <m/>
    <m/>
    <n v="22767302"/>
    <m/>
    <m/>
    <m/>
    <s v="SOLFIN"/>
    <s v="SOLFIN"/>
    <s v="CCMS"/>
    <n v="21331002"/>
    <n v="7286.46"/>
    <m/>
    <s v="N"/>
    <n v="1"/>
    <d v="2023-07-05T19:02:01"/>
    <s v="Y"/>
    <s v="Solicitors Fixed Fee"/>
    <s v="Public Law Children"/>
    <s v="Profit Cost"/>
    <s v="XXX"/>
    <s v="Y"/>
    <n v="1911"/>
    <n v="382.2"/>
    <x v="6"/>
    <s v="VALIDATED"/>
    <n v="1"/>
    <s v="01.11.80.308.6100.0000"/>
    <n v="1911"/>
    <s v="11"/>
    <s v="6100"/>
    <n v="1208.04"/>
    <n v="1911"/>
    <s v="CREDITOR"/>
    <n v="0"/>
    <n v="0"/>
    <n v="0"/>
    <n v="0"/>
    <n v="1911"/>
  </r>
  <r>
    <n v="60477091"/>
    <s v="N"/>
    <n v="21331002"/>
    <s v="3000014756670009"/>
    <s v="CIVIL"/>
    <d v="2023-06-27T00:00:00"/>
    <d v="2023-07-05T19:01:47"/>
    <m/>
    <d v="2023-07-05T00:00:00"/>
    <n v="1938"/>
    <n v="425"/>
    <s v="60477091"/>
    <s v="60477091"/>
    <m/>
    <m/>
    <n v="22767302"/>
    <m/>
    <m/>
    <m/>
    <s v="SOLFIN"/>
    <s v="SOLFIN"/>
    <s v="CCMS"/>
    <n v="21331002"/>
    <n v="7286.46"/>
    <m/>
    <s v="N"/>
    <n v="12"/>
    <d v="2023-07-05T19:02:01"/>
    <s v="Y"/>
    <s v="Hearing Unit 1.01 - 2.30 Hours"/>
    <s v="Public Law Children"/>
    <s v="Advocacy"/>
    <s v="FH"/>
    <s v="Y"/>
    <n v="238.46"/>
    <n v="47.69"/>
    <x v="6"/>
    <s v="VALIDATED"/>
    <n v="1"/>
    <s v="01.11.80.308.6100.0000"/>
    <n v="238.46"/>
    <s v="11"/>
    <s v="6100"/>
    <n v="1208.04"/>
    <n v="238.46"/>
    <s v="CREDITOR"/>
    <n v="0"/>
    <n v="0"/>
    <n v="0"/>
    <n v="0"/>
    <n v="238.46"/>
  </r>
  <r>
    <n v="62056242"/>
    <s v="N"/>
    <n v="21349679"/>
    <s v="3000016090220005"/>
    <s v="CIVIL"/>
    <d v="2023-06-28T00:00:00"/>
    <d v="2023-07-10T19:01:40"/>
    <m/>
    <d v="2023-07-10T00:00:00"/>
    <n v="1938"/>
    <n v="425"/>
    <s v="62056242"/>
    <s v="62056242"/>
    <m/>
    <m/>
    <n v="22782442"/>
    <m/>
    <m/>
    <m/>
    <s v="SOLPOA"/>
    <s v="SOLPOA"/>
    <s v="CCMS"/>
    <n v="21349679"/>
    <n v="618.3"/>
    <m/>
    <s v="N"/>
    <n v="1"/>
    <d v="2023-07-10T19:01:55"/>
    <s v="N"/>
    <s v="Expert Cost"/>
    <s v="Expert Cost"/>
    <s v="Expert Disbursement"/>
    <s v="D N Eccles"/>
    <s v="N"/>
    <n v="515.25"/>
    <n v="103.05"/>
    <x v="2"/>
    <s v="VALIDATED"/>
    <n v="1"/>
    <s v="01.11.80.308.2012.0000"/>
    <n v="515.25"/>
    <s v="11"/>
    <s v="2012"/>
    <n v="1208.04"/>
    <n v="515.25"/>
    <s v="CREDITOR"/>
    <n v="515.25"/>
    <n v="0"/>
    <n v="0"/>
    <n v="0"/>
    <n v="0"/>
  </r>
  <r>
    <n v="60477091"/>
    <s v="N"/>
    <n v="21331002"/>
    <s v="3000014756670009"/>
    <s v="CIVIL"/>
    <d v="2023-06-27T00:00:00"/>
    <d v="2023-07-05T19:01:47"/>
    <m/>
    <d v="2023-07-05T00:00:00"/>
    <n v="1938"/>
    <n v="425"/>
    <s v="60477091"/>
    <s v="60477091"/>
    <m/>
    <m/>
    <n v="22767302"/>
    <m/>
    <m/>
    <m/>
    <s v="SOLFIN"/>
    <s v="SOLFIN"/>
    <s v="CCMS"/>
    <n v="21331002"/>
    <n v="7286.46"/>
    <m/>
    <s v="N"/>
    <n v="9"/>
    <d v="2023-07-05T19:02:01"/>
    <s v="Y"/>
    <s v="Advocates Meeting"/>
    <s v="Public Law Children"/>
    <s v="Advocacy"/>
    <s v="FH"/>
    <s v="Y"/>
    <n v="140.99"/>
    <n v="28.2"/>
    <x v="6"/>
    <s v="VALIDATED"/>
    <n v="1"/>
    <s v="01.11.80.308.6100.0000"/>
    <n v="140.99"/>
    <s v="11"/>
    <s v="6100"/>
    <n v="1208.04"/>
    <n v="140.99"/>
    <s v="CREDITOR"/>
    <n v="0"/>
    <n v="0"/>
    <n v="0"/>
    <n v="0"/>
    <n v="140.99"/>
  </r>
  <r>
    <n v="60628421"/>
    <s v="N"/>
    <n v="21331116"/>
    <s v="3000014767020003"/>
    <s v="CIVIL"/>
    <d v="2023-06-27T00:00:00"/>
    <d v="2023-07-05T19:01:47"/>
    <m/>
    <d v="2023-07-05T00:00:00"/>
    <n v="1938"/>
    <n v="425"/>
    <s v="60628421"/>
    <s v="60628421"/>
    <m/>
    <m/>
    <n v="22768126"/>
    <m/>
    <m/>
    <m/>
    <s v="SOLINT"/>
    <s v="SOLINT"/>
    <s v="CCMS"/>
    <n v="21331116"/>
    <n v="983.89"/>
    <m/>
    <s v="N"/>
    <n v="1"/>
    <d v="2023-07-05T19:02:06"/>
    <s v="Y"/>
    <s v="Solicitor Travel Expenses"/>
    <s v="Private Law Children"/>
    <s v="Non Expert Disbursement"/>
    <s v="FH"/>
    <s v="Y"/>
    <n v="15"/>
    <n v="3"/>
    <x v="6"/>
    <s v="VALIDATED"/>
    <n v="1"/>
    <s v="01.11.80.307.6300.0000"/>
    <n v="15"/>
    <s v="11"/>
    <s v="6300"/>
    <n v="1208.04"/>
    <n v="15"/>
    <s v="CREDITOR"/>
    <n v="0"/>
    <n v="0"/>
    <n v="0"/>
    <n v="0"/>
    <n v="15"/>
  </r>
  <r>
    <n v="60477091"/>
    <s v="N"/>
    <n v="21331002"/>
    <s v="3000014756670009"/>
    <s v="CIVIL"/>
    <d v="2023-06-27T00:00:00"/>
    <d v="2023-07-05T19:01:47"/>
    <m/>
    <d v="2023-07-05T00:00:00"/>
    <n v="1938"/>
    <n v="425"/>
    <s v="60477091"/>
    <s v="60477091"/>
    <m/>
    <m/>
    <n v="22767302"/>
    <m/>
    <m/>
    <m/>
    <s v="SOLFIN"/>
    <s v="SOLFIN"/>
    <s v="CCMS"/>
    <n v="21331002"/>
    <n v="7286.46"/>
    <m/>
    <s v="N"/>
    <n v="14"/>
    <d v="2023-07-05T19:02:01"/>
    <s v="Y"/>
    <s v="Advocates Meeting"/>
    <s v="Public Law Children"/>
    <s v="Advocacy"/>
    <s v="FH"/>
    <s v="Y"/>
    <n v="140.99"/>
    <n v="28.2"/>
    <x v="6"/>
    <s v="VALIDATED"/>
    <n v="1"/>
    <s v="01.11.80.308.6100.0000"/>
    <n v="140.99"/>
    <s v="11"/>
    <s v="6100"/>
    <n v="1208.04"/>
    <n v="140.99"/>
    <s v="CREDITOR"/>
    <n v="0"/>
    <n v="0"/>
    <n v="0"/>
    <n v="0"/>
    <n v="140.99"/>
  </r>
  <r>
    <n v="59517010"/>
    <s v="N"/>
    <n v="21331239"/>
    <s v="3000013928990006"/>
    <s v="CIVIL"/>
    <d v="2023-06-29T00:00:00"/>
    <d v="2023-07-05T19:01:47"/>
    <m/>
    <d v="2023-07-05T00:00:00"/>
    <n v="1938"/>
    <n v="425"/>
    <s v="59517010"/>
    <s v="59517010"/>
    <m/>
    <m/>
    <n v="22787578"/>
    <m/>
    <m/>
    <m/>
    <s v="SOLADJ"/>
    <s v="SOLADJ"/>
    <s v="CCMS"/>
    <n v="21331239"/>
    <n v="208.3"/>
    <m/>
    <s v="N"/>
    <n v="1"/>
    <d v="2023-07-05T19:02:11"/>
    <s v="Y"/>
    <s v="Toxicologist"/>
    <s v="Public Law Children"/>
    <s v="Expert Disbursement"/>
    <s v="DNE"/>
    <s v="Y"/>
    <n v="173.58"/>
    <n v="34.72"/>
    <x v="6"/>
    <s v="VALIDATED"/>
    <n v="1"/>
    <s v="01.11.80.308.6300.0000"/>
    <n v="173.58"/>
    <s v="11"/>
    <s v="6300"/>
    <n v="1208.04"/>
    <n v="173.58"/>
    <s v="CREDITOR"/>
    <n v="0"/>
    <n v="0"/>
    <n v="0"/>
    <n v="0"/>
    <n v="173.58"/>
  </r>
  <r>
    <n v="60477091"/>
    <s v="N"/>
    <n v="21331002"/>
    <s v="3000014756670009"/>
    <s v="CIVIL"/>
    <d v="2023-06-27T00:00:00"/>
    <d v="2023-07-05T19:01:47"/>
    <m/>
    <d v="2023-07-05T00:00:00"/>
    <n v="1938"/>
    <n v="425"/>
    <s v="60477091"/>
    <s v="60477091"/>
    <m/>
    <m/>
    <n v="22767302"/>
    <m/>
    <m/>
    <m/>
    <s v="SOLFIN"/>
    <s v="SOLFIN"/>
    <s v="CCMS"/>
    <n v="21331002"/>
    <n v="7286.46"/>
    <m/>
    <s v="N"/>
    <n v="13"/>
    <d v="2023-07-05T19:02:01"/>
    <s v="Y"/>
    <s v="Advocates Meeting"/>
    <s v="Public Law Children"/>
    <s v="Advocacy"/>
    <s v="FH"/>
    <s v="Y"/>
    <n v="140.99"/>
    <n v="28.2"/>
    <x v="6"/>
    <s v="VALIDATED"/>
    <n v="1"/>
    <s v="01.11.80.308.6100.0000"/>
    <n v="140.99"/>
    <s v="11"/>
    <s v="6100"/>
    <n v="1208.04"/>
    <n v="140.99"/>
    <s v="CREDITOR"/>
    <n v="0"/>
    <n v="0"/>
    <n v="0"/>
    <n v="0"/>
    <n v="140.99"/>
  </r>
  <r>
    <n v="60477091"/>
    <s v="N"/>
    <n v="21331002"/>
    <s v="3000014756670009"/>
    <s v="CIVIL"/>
    <d v="2023-06-27T00:00:00"/>
    <d v="2023-07-05T19:01:47"/>
    <m/>
    <d v="2023-07-05T00:00:00"/>
    <n v="1938"/>
    <n v="425"/>
    <s v="60477091"/>
    <s v="60477091"/>
    <m/>
    <m/>
    <n v="22767302"/>
    <m/>
    <m/>
    <m/>
    <s v="SOLFIN"/>
    <s v="SOLFIN"/>
    <s v="CCMS"/>
    <n v="21331002"/>
    <n v="7286.46"/>
    <m/>
    <s v="N"/>
    <n v="3"/>
    <d v="2023-07-05T19:02:01"/>
    <s v="Y"/>
    <s v="Child psychologist"/>
    <s v="Public Law Children"/>
    <s v="Expert Disbursement"/>
    <s v="XXX"/>
    <s v="Y"/>
    <n v="622.6"/>
    <n v="124.52"/>
    <x v="6"/>
    <s v="VALIDATED"/>
    <n v="1"/>
    <s v="01.11.80.308.6300.0000"/>
    <n v="622.6"/>
    <s v="11"/>
    <s v="6300"/>
    <n v="1208.04"/>
    <n v="622.6"/>
    <s v="CREDITOR"/>
    <n v="0"/>
    <n v="0"/>
    <n v="0"/>
    <n v="0"/>
    <n v="622.6"/>
  </r>
  <r>
    <n v="60477091"/>
    <s v="N"/>
    <n v="21331002"/>
    <s v="3000014756670009"/>
    <s v="CIVIL"/>
    <d v="2023-06-27T00:00:00"/>
    <d v="2023-07-05T19:01:47"/>
    <m/>
    <d v="2023-07-05T00:00:00"/>
    <n v="1938"/>
    <n v="425"/>
    <s v="60477091"/>
    <s v="60477091"/>
    <m/>
    <m/>
    <n v="22767302"/>
    <m/>
    <m/>
    <m/>
    <s v="SOLFIN"/>
    <s v="SOLFIN"/>
    <s v="CCMS"/>
    <n v="21331002"/>
    <n v="7286.46"/>
    <m/>
    <s v="N"/>
    <n v="5"/>
    <d v="2023-07-05T19:02:01"/>
    <s v="Y"/>
    <s v="Toxicologist"/>
    <s v="Public Law Children"/>
    <s v="Expert Disbursement"/>
    <s v="XXX"/>
    <s v="Y"/>
    <n v="336.13"/>
    <n v="67.23"/>
    <x v="6"/>
    <s v="VALIDATED"/>
    <n v="1"/>
    <s v="01.11.80.308.6300.0000"/>
    <n v="336.13"/>
    <s v="11"/>
    <s v="6300"/>
    <n v="1208.04"/>
    <n v="336.13"/>
    <s v="CREDITOR"/>
    <n v="0"/>
    <n v="0"/>
    <n v="0"/>
    <n v="0"/>
    <n v="336.13"/>
  </r>
  <r>
    <n v="60477091"/>
    <s v="N"/>
    <n v="21331002"/>
    <s v="3000014756670009"/>
    <s v="CIVIL"/>
    <d v="2023-06-27T00:00:00"/>
    <d v="2023-07-05T19:01:47"/>
    <m/>
    <d v="2023-07-05T00:00:00"/>
    <n v="1938"/>
    <n v="425"/>
    <s v="60477091"/>
    <s v="60477091"/>
    <m/>
    <m/>
    <n v="22767302"/>
    <m/>
    <m/>
    <m/>
    <s v="SOLFIN"/>
    <s v="SOLFIN"/>
    <s v="CCMS"/>
    <n v="21331002"/>
    <n v="7286.46"/>
    <m/>
    <s v="N"/>
    <n v="11"/>
    <d v="2023-07-05T19:02:01"/>
    <s v="Y"/>
    <s v="Hearing Unit 2.31 - 5.00 Hours"/>
    <s v="Public Law Children"/>
    <s v="Advocacy"/>
    <s v="FH"/>
    <s v="Y"/>
    <n v="476.92"/>
    <n v="95.38"/>
    <x v="6"/>
    <s v="VALIDATED"/>
    <n v="1"/>
    <s v="01.11.80.308.6100.0000"/>
    <n v="476.92"/>
    <s v="11"/>
    <s v="6100"/>
    <n v="1208.04"/>
    <n v="476.92"/>
    <s v="CREDITOR"/>
    <n v="0"/>
    <n v="0"/>
    <n v="0"/>
    <n v="0"/>
    <n v="476.92"/>
  </r>
  <r>
    <n v="60477091"/>
    <s v="N"/>
    <n v="21331002"/>
    <s v="3000014756670009"/>
    <s v="CIVIL"/>
    <d v="2023-06-27T00:00:00"/>
    <d v="2023-07-05T19:01:47"/>
    <m/>
    <d v="2023-07-05T00:00:00"/>
    <n v="1938"/>
    <n v="425"/>
    <s v="60477091"/>
    <s v="60477091"/>
    <m/>
    <m/>
    <n v="22767302"/>
    <m/>
    <m/>
    <m/>
    <s v="SOLFIN"/>
    <s v="SOLFIN"/>
    <s v="CCMS"/>
    <n v="21331002"/>
    <n v="7286.46"/>
    <m/>
    <s v="N"/>
    <n v="2"/>
    <d v="2023-07-05T19:02:01"/>
    <s v="Y"/>
    <s v="Toxicologist"/>
    <s v="Public Law Children"/>
    <s v="Expert Disbursement"/>
    <s v="XXX"/>
    <s v="Y"/>
    <n v="316.48"/>
    <n v="63.3"/>
    <x v="6"/>
    <s v="VALIDATED"/>
    <n v="1"/>
    <s v="01.11.80.308.6300.0000"/>
    <n v="316.48"/>
    <s v="11"/>
    <s v="6300"/>
    <n v="1208.04"/>
    <n v="316.48"/>
    <s v="CREDITOR"/>
    <n v="0"/>
    <n v="0"/>
    <n v="0"/>
    <n v="0"/>
    <n v="316.48"/>
  </r>
  <r>
    <n v="60477091"/>
    <s v="N"/>
    <n v="21331002"/>
    <s v="3000014756670009"/>
    <s v="CIVIL"/>
    <d v="2023-06-27T00:00:00"/>
    <d v="2023-07-05T19:01:47"/>
    <m/>
    <d v="2023-07-05T00:00:00"/>
    <n v="1938"/>
    <n v="425"/>
    <s v="60477091"/>
    <s v="60477091"/>
    <m/>
    <m/>
    <n v="22767302"/>
    <m/>
    <m/>
    <m/>
    <s v="SOLFIN"/>
    <s v="SOLFIN"/>
    <s v="CCMS"/>
    <n v="21331002"/>
    <n v="7286.46"/>
    <m/>
    <s v="N"/>
    <n v="6"/>
    <d v="2023-07-05T19:02:01"/>
    <s v="Y"/>
    <s v="Hearing Unit 2.31 - 5.00 Hours"/>
    <s v="Public Law Children"/>
    <s v="Advocacy"/>
    <s v="FH"/>
    <s v="Y"/>
    <n v="476.92"/>
    <n v="95.38"/>
    <x v="6"/>
    <s v="VALIDATED"/>
    <n v="1"/>
    <s v="01.11.80.308.6100.0000"/>
    <n v="476.92"/>
    <s v="11"/>
    <s v="6100"/>
    <n v="1208.04"/>
    <n v="476.92"/>
    <s v="CREDITOR"/>
    <n v="0"/>
    <n v="0"/>
    <n v="0"/>
    <n v="0"/>
    <n v="476.92"/>
  </r>
  <r>
    <n v="60628421"/>
    <s v="N"/>
    <n v="21331116"/>
    <s v="3000014767020003"/>
    <s v="CIVIL"/>
    <d v="2023-06-27T00:00:00"/>
    <d v="2023-07-05T19:01:47"/>
    <m/>
    <d v="2023-07-05T00:00:00"/>
    <n v="1938"/>
    <n v="425"/>
    <s v="60628421"/>
    <s v="60628421"/>
    <m/>
    <m/>
    <n v="22768126"/>
    <m/>
    <m/>
    <m/>
    <s v="SOLINT"/>
    <s v="SOLINT"/>
    <s v="CCMS"/>
    <n v="21331116"/>
    <n v="983.89"/>
    <m/>
    <s v="N"/>
    <n v="3"/>
    <d v="2023-07-05T19:02:06"/>
    <s v="Y"/>
    <s v="Hearing Unit 1.01 - 2.30 Hours"/>
    <s v="Private Law Children"/>
    <s v="Advocacy"/>
    <s v="FH"/>
    <s v="Y"/>
    <n v="156.74"/>
    <n v="31.35"/>
    <x v="6"/>
    <s v="VALIDATED"/>
    <n v="1"/>
    <s v="01.11.80.307.6100.0000"/>
    <n v="156.74"/>
    <s v="11"/>
    <s v="6100"/>
    <n v="1208.04"/>
    <n v="156.74"/>
    <s v="CREDITOR"/>
    <n v="0"/>
    <n v="0"/>
    <n v="0"/>
    <n v="0"/>
    <n v="156.74"/>
  </r>
  <r>
    <n v="60477091"/>
    <s v="N"/>
    <n v="21331002"/>
    <s v="3000014756670009"/>
    <s v="CIVIL"/>
    <d v="2023-06-27T00:00:00"/>
    <d v="2023-07-05T19:01:47"/>
    <m/>
    <d v="2023-07-05T00:00:00"/>
    <n v="1938"/>
    <n v="425"/>
    <s v="60477091"/>
    <s v="60477091"/>
    <m/>
    <m/>
    <n v="22767302"/>
    <m/>
    <m/>
    <m/>
    <s v="SOLFIN"/>
    <s v="SOLFIN"/>
    <s v="CCMS"/>
    <n v="21331002"/>
    <n v="7286.46"/>
    <m/>
    <s v="N"/>
    <n v="8"/>
    <d v="2023-07-05T19:02:01"/>
    <s v="Y"/>
    <s v="Hearing Unit 2.31 - 5.00 Hours"/>
    <s v="Public Law Children"/>
    <s v="Advocacy"/>
    <s v="FH"/>
    <s v="Y"/>
    <n v="476.92"/>
    <n v="95.38"/>
    <x v="6"/>
    <s v="VALIDATED"/>
    <n v="1"/>
    <s v="01.11.80.308.6100.0000"/>
    <n v="476.92"/>
    <s v="11"/>
    <s v="6100"/>
    <n v="1208.04"/>
    <n v="476.92"/>
    <s v="CREDITOR"/>
    <n v="0"/>
    <n v="0"/>
    <n v="0"/>
    <n v="0"/>
    <n v="476.92"/>
  </r>
  <r>
    <n v="60628421"/>
    <s v="N"/>
    <n v="21331116"/>
    <s v="3000014767020003"/>
    <s v="CIVIL"/>
    <d v="2023-06-27T00:00:00"/>
    <d v="2023-07-05T19:01:47"/>
    <m/>
    <d v="2023-07-05T00:00:00"/>
    <n v="1938"/>
    <n v="425"/>
    <s v="60628421"/>
    <s v="60628421"/>
    <m/>
    <m/>
    <n v="22768126"/>
    <m/>
    <m/>
    <m/>
    <s v="SOLINT"/>
    <s v="SOLINT"/>
    <s v="CCMS"/>
    <n v="21331116"/>
    <n v="983.89"/>
    <m/>
    <s v="N"/>
    <n v="2"/>
    <d v="2023-07-05T19:02:06"/>
    <s v="Y"/>
    <s v="Court Fee"/>
    <s v="Private Law Children"/>
    <s v="Non Expert Disbursement"/>
    <s v="XXX"/>
    <s v="Y"/>
    <n v="53"/>
    <n v="0"/>
    <x v="6"/>
    <s v="VALIDATED"/>
    <n v="1"/>
    <s v="01.11.80.307.6300.0000"/>
    <n v="53"/>
    <s v="11"/>
    <s v="6300"/>
    <n v="1208.04"/>
    <n v="53"/>
    <s v="CREDITOR"/>
    <n v="0"/>
    <n v="0"/>
    <n v="0"/>
    <n v="0"/>
    <n v="53"/>
  </r>
  <r>
    <n v="60628421"/>
    <s v="N"/>
    <n v="21331116"/>
    <s v="3000014767020003"/>
    <s v="CIVIL"/>
    <d v="2023-06-27T00:00:00"/>
    <d v="2023-07-05T19:01:47"/>
    <m/>
    <d v="2023-07-05T00:00:00"/>
    <n v="1938"/>
    <n v="425"/>
    <s v="60628421"/>
    <s v="60628421"/>
    <m/>
    <m/>
    <n v="22768126"/>
    <m/>
    <m/>
    <m/>
    <s v="SOLINT"/>
    <s v="SOLINT"/>
    <s v="CCMS"/>
    <n v="21331116"/>
    <n v="983.89"/>
    <m/>
    <s v="N"/>
    <n v="4"/>
    <d v="2023-07-05T19:02:06"/>
    <s v="Y"/>
    <s v="Level 3 &amp; Level 4 Fixed Fee"/>
    <s v="Private Law Children"/>
    <s v="Profit Cost"/>
    <s v="XXX"/>
    <s v="Y"/>
    <n v="604"/>
    <n v="120.8"/>
    <x v="6"/>
    <s v="VALIDATED"/>
    <n v="1"/>
    <s v="01.11.80.307.6100.0000"/>
    <n v="604"/>
    <s v="11"/>
    <s v="6100"/>
    <n v="1208.04"/>
    <n v="604"/>
    <s v="CREDITOR"/>
    <n v="0"/>
    <n v="0"/>
    <n v="0"/>
    <n v="0"/>
    <n v="604"/>
  </r>
  <r>
    <n v="60477091"/>
    <s v="N"/>
    <n v="21331002"/>
    <s v="3000014756670009"/>
    <s v="CIVIL"/>
    <d v="2023-06-27T00:00:00"/>
    <d v="2023-07-05T19:01:47"/>
    <m/>
    <d v="2023-07-05T00:00:00"/>
    <n v="1938"/>
    <n v="425"/>
    <s v="60477091"/>
    <s v="60477091"/>
    <m/>
    <m/>
    <n v="22767302"/>
    <m/>
    <m/>
    <m/>
    <s v="SOLFIN"/>
    <s v="SOLFIN"/>
    <s v="CCMS"/>
    <n v="21331002"/>
    <n v="7286.46"/>
    <m/>
    <s v="N"/>
    <n v="10"/>
    <d v="2023-07-05T19:02:01"/>
    <s v="Y"/>
    <s v="Hearing Unit 2.31 - 5.00 Hours"/>
    <s v="Public Law Children"/>
    <s v="Advocacy"/>
    <s v="FH"/>
    <s v="Y"/>
    <n v="476.92"/>
    <n v="95.38"/>
    <x v="6"/>
    <s v="VALIDATED"/>
    <n v="1"/>
    <s v="01.11.80.308.6100.0000"/>
    <n v="476.92"/>
    <s v="11"/>
    <s v="6100"/>
    <n v="1208.04"/>
    <n v="476.92"/>
    <s v="CREDITOR"/>
    <n v="0"/>
    <n v="0"/>
    <n v="0"/>
    <n v="0"/>
    <n v="476.92"/>
  </r>
  <r>
    <n v="60477091"/>
    <s v="N"/>
    <n v="21334128"/>
    <s v="3000014756670006RC"/>
    <s v="CIVIL"/>
    <d v="2023-06-27T00:00:00"/>
    <d v="2023-07-05T19:42:28"/>
    <m/>
    <d v="2023-07-05T00:00:00"/>
    <n v="1938"/>
    <n v="425"/>
    <s v="60477091"/>
    <s v="60477091"/>
    <m/>
    <m/>
    <m/>
    <m/>
    <m/>
    <m/>
    <s v="SOLRECOUP"/>
    <s v="SOLRECOUP"/>
    <s v="POARECOUP"/>
    <n v="21334128"/>
    <n v="-747.12"/>
    <m/>
    <s v="Y"/>
    <n v="2"/>
    <d v="2023-07-05T19:42:30"/>
    <s v="N"/>
    <m/>
    <m/>
    <s v="Expert Disbursement"/>
    <m/>
    <s v="N"/>
    <n v="0"/>
    <n v="-124.52"/>
    <x v="6"/>
    <s v="VALIDATED"/>
    <n v="1"/>
    <s v="01.11.80.308.2013.0000"/>
    <n v="-124.52"/>
    <s v="11"/>
    <s v="2013"/>
    <n v="1208.04"/>
    <n v="-124.52"/>
    <s v="CREDITOR"/>
    <n v="0"/>
    <n v="0"/>
    <n v="-124.52"/>
    <n v="0"/>
    <n v="0"/>
  </r>
  <r>
    <n v="60477091"/>
    <s v="N"/>
    <n v="21334129"/>
    <s v="3000014756670001RC"/>
    <s v="CIVIL"/>
    <d v="2023-06-27T00:00:00"/>
    <d v="2023-07-05T19:42:28"/>
    <m/>
    <d v="2023-07-05T00:00:00"/>
    <n v="1938"/>
    <n v="425"/>
    <s v="60477091"/>
    <s v="60477091"/>
    <m/>
    <m/>
    <m/>
    <m/>
    <m/>
    <m/>
    <s v="SOLRECOUP"/>
    <s v="SOLRECOUP"/>
    <s v="POARECOUP"/>
    <n v="21334129"/>
    <n v="-4665.13"/>
    <m/>
    <s v="Y"/>
    <n v="1"/>
    <d v="2023-07-05T19:42:30"/>
    <s v="N"/>
    <m/>
    <m/>
    <s v="Profit Cost"/>
    <m/>
    <s v="N"/>
    <n v="-3887.61"/>
    <n v="0"/>
    <x v="6"/>
    <s v="VALIDATED"/>
    <n v="1"/>
    <s v="01.11.80.308.2013.0000"/>
    <n v="-3887.61"/>
    <s v="11"/>
    <s v="2013"/>
    <n v="1208.04"/>
    <n v="-3887.61"/>
    <s v="CREDITOR"/>
    <n v="0"/>
    <n v="0"/>
    <n v="-3887.61"/>
    <n v="-971.9025"/>
    <n v="0"/>
  </r>
  <r>
    <n v="60477091"/>
    <s v="N"/>
    <n v="21334129"/>
    <s v="3000014756670001RC"/>
    <s v="CIVIL"/>
    <d v="2023-06-27T00:00:00"/>
    <d v="2023-07-05T19:42:28"/>
    <m/>
    <d v="2023-07-05T00:00:00"/>
    <n v="1938"/>
    <n v="425"/>
    <s v="60477091"/>
    <s v="60477091"/>
    <m/>
    <m/>
    <m/>
    <m/>
    <m/>
    <m/>
    <s v="SOLRECOUP"/>
    <s v="SOLRECOUP"/>
    <s v="POARECOUP"/>
    <n v="21334129"/>
    <n v="-4665.13"/>
    <m/>
    <s v="Y"/>
    <n v="2"/>
    <d v="2023-07-05T19:42:30"/>
    <s v="N"/>
    <m/>
    <m/>
    <s v="Profit Cost"/>
    <m/>
    <s v="N"/>
    <n v="0"/>
    <n v="-777.52"/>
    <x v="6"/>
    <s v="VALIDATED"/>
    <n v="1"/>
    <s v="01.11.80.308.2013.0000"/>
    <n v="-777.52"/>
    <s v="11"/>
    <s v="2013"/>
    <n v="1208.04"/>
    <n v="-777.52"/>
    <s v="CREDITOR"/>
    <n v="0"/>
    <n v="0"/>
    <n v="-777.52"/>
    <n v="-194.38"/>
    <n v="0"/>
  </r>
  <r>
    <n v="60477091"/>
    <s v="N"/>
    <n v="21334130"/>
    <s v="3000014756670003RC"/>
    <s v="CIVIL"/>
    <d v="2023-06-27T00:00:00"/>
    <d v="2023-07-05T19:42:28"/>
    <m/>
    <d v="2023-07-05T00:00:00"/>
    <n v="1938"/>
    <n v="425"/>
    <s v="60477091"/>
    <s v="60477091"/>
    <m/>
    <m/>
    <m/>
    <m/>
    <m/>
    <m/>
    <s v="SOLRECOUP"/>
    <s v="SOLRECOUP"/>
    <s v="POARECOUP"/>
    <n v="21334130"/>
    <n v="-403.36"/>
    <m/>
    <s v="Y"/>
    <n v="1"/>
    <d v="2023-07-05T19:42:30"/>
    <s v="N"/>
    <m/>
    <m/>
    <s v="Expert Disbursement"/>
    <m/>
    <s v="N"/>
    <n v="-336.13"/>
    <n v="0"/>
    <x v="6"/>
    <s v="VALIDATED"/>
    <n v="1"/>
    <s v="01.11.80.308.2013.0000"/>
    <n v="-336.13"/>
    <s v="11"/>
    <s v="2013"/>
    <n v="1208.04"/>
    <n v="-336.13"/>
    <s v="CREDITOR"/>
    <n v="0"/>
    <n v="0"/>
    <n v="-336.13"/>
    <n v="0"/>
    <n v="0"/>
  </r>
  <r>
    <n v="60477091"/>
    <s v="N"/>
    <n v="21334130"/>
    <s v="3000014756670003RC"/>
    <s v="CIVIL"/>
    <d v="2023-06-27T00:00:00"/>
    <d v="2023-07-05T19:42:28"/>
    <m/>
    <d v="2023-07-05T00:00:00"/>
    <n v="1938"/>
    <n v="425"/>
    <s v="60477091"/>
    <s v="60477091"/>
    <m/>
    <m/>
    <m/>
    <m/>
    <m/>
    <m/>
    <s v="SOLRECOUP"/>
    <s v="SOLRECOUP"/>
    <s v="POARECOUP"/>
    <n v="21334130"/>
    <n v="-403.36"/>
    <m/>
    <s v="Y"/>
    <n v="2"/>
    <d v="2023-07-05T19:42:30"/>
    <s v="N"/>
    <m/>
    <m/>
    <s v="Expert Disbursement"/>
    <m/>
    <s v="N"/>
    <n v="0"/>
    <n v="-67.23"/>
    <x v="6"/>
    <s v="VALIDATED"/>
    <n v="1"/>
    <s v="01.11.80.308.2013.0000"/>
    <n v="-67.23"/>
    <s v="11"/>
    <s v="2013"/>
    <n v="1208.04"/>
    <n v="-67.23"/>
    <s v="CREDITOR"/>
    <n v="0"/>
    <n v="0"/>
    <n v="-67.23"/>
    <n v="0"/>
    <n v="0"/>
  </r>
  <r>
    <n v="60477091"/>
    <s v="N"/>
    <n v="21334126"/>
    <s v="3000014756670007RC"/>
    <s v="CIVIL"/>
    <d v="2023-06-27T00:00:00"/>
    <d v="2023-07-05T19:42:28"/>
    <m/>
    <d v="2023-07-05T00:00:00"/>
    <n v="1938"/>
    <n v="425"/>
    <s v="60477091"/>
    <s v="60477091"/>
    <m/>
    <m/>
    <m/>
    <m/>
    <m/>
    <m/>
    <s v="SOLRECOUP"/>
    <s v="SOLRECOUP"/>
    <s v="POARECOUP"/>
    <n v="21334126"/>
    <n v="-399.58"/>
    <m/>
    <s v="Y"/>
    <n v="1"/>
    <d v="2023-07-05T19:42:30"/>
    <s v="N"/>
    <m/>
    <m/>
    <s v="Expert Disbursement"/>
    <m/>
    <s v="N"/>
    <n v="-332.98"/>
    <n v="0"/>
    <x v="6"/>
    <s v="VALIDATED"/>
    <n v="1"/>
    <s v="01.11.80.308.2013.0000"/>
    <n v="-332.98"/>
    <s v="11"/>
    <s v="2013"/>
    <n v="1208.04"/>
    <n v="-332.98"/>
    <s v="CREDITOR"/>
    <n v="0"/>
    <n v="0"/>
    <n v="-332.98"/>
    <n v="0"/>
    <n v="0"/>
  </r>
  <r>
    <n v="60477091"/>
    <s v="N"/>
    <n v="21334126"/>
    <s v="3000014756670007RC"/>
    <s v="CIVIL"/>
    <d v="2023-06-27T00:00:00"/>
    <d v="2023-07-05T19:42:28"/>
    <m/>
    <d v="2023-07-05T00:00:00"/>
    <n v="1938"/>
    <n v="425"/>
    <s v="60477091"/>
    <s v="60477091"/>
    <m/>
    <m/>
    <m/>
    <m/>
    <m/>
    <m/>
    <s v="SOLRECOUP"/>
    <s v="SOLRECOUP"/>
    <s v="POARECOUP"/>
    <n v="21334126"/>
    <n v="-399.58"/>
    <m/>
    <s v="Y"/>
    <n v="2"/>
    <d v="2023-07-05T19:42:30"/>
    <s v="N"/>
    <m/>
    <m/>
    <s v="Expert Disbursement"/>
    <m/>
    <s v="N"/>
    <n v="0"/>
    <n v="-66.59999999999999"/>
    <x v="6"/>
    <s v="VALIDATED"/>
    <n v="1"/>
    <s v="01.11.80.308.2013.0000"/>
    <n v="-66.59999999999999"/>
    <s v="11"/>
    <s v="2013"/>
    <n v="1208.04"/>
    <n v="-66.59999999999999"/>
    <s v="CREDITOR"/>
    <n v="0"/>
    <n v="0"/>
    <n v="-66.59999999999999"/>
    <n v="0"/>
    <n v="0"/>
  </r>
  <r>
    <n v="60477091"/>
    <s v="N"/>
    <n v="21334127"/>
    <s v="3000014756670008RC"/>
    <s v="CIVIL"/>
    <d v="2023-06-27T00:00:00"/>
    <d v="2023-07-05T19:42:28"/>
    <m/>
    <d v="2023-07-05T00:00:00"/>
    <n v="1938"/>
    <n v="425"/>
    <s v="60477091"/>
    <s v="60477091"/>
    <m/>
    <m/>
    <m/>
    <m/>
    <m/>
    <m/>
    <s v="SOLRECOUP"/>
    <s v="SOLRECOUP"/>
    <s v="POARECOUP"/>
    <n v="21334127"/>
    <n v="-210.89"/>
    <m/>
    <s v="Y"/>
    <n v="1"/>
    <d v="2023-07-05T19:42:30"/>
    <s v="N"/>
    <m/>
    <m/>
    <s v="Expert Disbursement"/>
    <m/>
    <s v="N"/>
    <n v="-175.74"/>
    <n v="0"/>
    <x v="6"/>
    <s v="VALIDATED"/>
    <n v="1"/>
    <s v="01.11.80.308.2013.0000"/>
    <n v="-175.74"/>
    <s v="11"/>
    <s v="2013"/>
    <n v="1208.04"/>
    <n v="-175.74"/>
    <s v="CREDITOR"/>
    <n v="0"/>
    <n v="0"/>
    <n v="-175.74"/>
    <n v="0"/>
    <n v="0"/>
  </r>
  <r>
    <n v="60477091"/>
    <s v="N"/>
    <n v="21334127"/>
    <s v="3000014756670008RC"/>
    <s v="CIVIL"/>
    <d v="2023-06-27T00:00:00"/>
    <d v="2023-07-05T19:42:28"/>
    <m/>
    <d v="2023-07-05T00:00:00"/>
    <n v="1938"/>
    <n v="425"/>
    <s v="60477091"/>
    <s v="60477091"/>
    <m/>
    <m/>
    <m/>
    <m/>
    <m/>
    <m/>
    <s v="SOLRECOUP"/>
    <s v="SOLRECOUP"/>
    <s v="POARECOUP"/>
    <n v="21334127"/>
    <n v="-210.89"/>
    <m/>
    <s v="Y"/>
    <n v="2"/>
    <d v="2023-07-05T19:42:30"/>
    <s v="N"/>
    <m/>
    <m/>
    <s v="Expert Disbursement"/>
    <m/>
    <s v="N"/>
    <n v="0"/>
    <n v="-35.15"/>
    <x v="6"/>
    <s v="VALIDATED"/>
    <n v="1"/>
    <s v="01.11.80.308.2013.0000"/>
    <n v="-35.15"/>
    <s v="11"/>
    <s v="2013"/>
    <n v="1208.04"/>
    <n v="-35.15"/>
    <s v="CREDITOR"/>
    <n v="0"/>
    <n v="0"/>
    <n v="-35.15"/>
    <n v="0"/>
    <n v="0"/>
  </r>
  <r>
    <n v="60477091"/>
    <s v="N"/>
    <n v="21334128"/>
    <s v="3000014756670006RC"/>
    <s v="CIVIL"/>
    <d v="2023-06-27T00:00:00"/>
    <d v="2023-07-05T19:42:28"/>
    <m/>
    <d v="2023-07-05T00:00:00"/>
    <n v="1938"/>
    <n v="425"/>
    <s v="60477091"/>
    <s v="60477091"/>
    <m/>
    <m/>
    <m/>
    <m/>
    <m/>
    <m/>
    <s v="SOLRECOUP"/>
    <s v="SOLRECOUP"/>
    <s v="POARECOUP"/>
    <n v="21334128"/>
    <n v="-747.12"/>
    <m/>
    <s v="Y"/>
    <n v="1"/>
    <d v="2023-07-05T19:42:30"/>
    <s v="N"/>
    <m/>
    <m/>
    <s v="Expert Disbursement"/>
    <m/>
    <s v="N"/>
    <n v="-622.6"/>
    <n v="0"/>
    <x v="6"/>
    <s v="VALIDATED"/>
    <n v="1"/>
    <s v="01.11.80.308.2013.0000"/>
    <n v="-622.6"/>
    <s v="11"/>
    <s v="2013"/>
    <n v="1208.04"/>
    <n v="-622.6"/>
    <s v="CREDITOR"/>
    <n v="0"/>
    <n v="0"/>
    <n v="-622.6"/>
    <n v="0"/>
    <n v="0"/>
  </r>
  <r>
    <n v="59858939"/>
    <s v="N"/>
    <n v="21327925"/>
    <s v="3000014219820005"/>
    <s v="CIVIL"/>
    <d v="2023-06-26T00:00:00"/>
    <d v="2023-07-04T19:00:44"/>
    <m/>
    <d v="2023-07-04T00:00:00"/>
    <n v="1947"/>
    <n v="481"/>
    <s v="59858939"/>
    <s v="59858939"/>
    <m/>
    <m/>
    <n v="22757776"/>
    <m/>
    <m/>
    <m/>
    <s v="SOLFIN"/>
    <s v="SOLFIN"/>
    <s v="CCMS"/>
    <n v="21327925"/>
    <n v="9808.389999999999"/>
    <m/>
    <s v="N"/>
    <n v="4"/>
    <d v="2023-07-04T19:00:58"/>
    <s v="Y"/>
    <s v="Solicitor Travel Mileage"/>
    <s v="Non Family Hourly Rates"/>
    <s v="Non Expert Disbursement"/>
    <s v="Rachel Eastham"/>
    <s v="Y"/>
    <n v="3.6"/>
    <n v="0.72"/>
    <x v="1"/>
    <s v="VALIDATED"/>
    <n v="1"/>
    <s v="01.11.80.209.6300.0000"/>
    <n v="3.6"/>
    <s v="11"/>
    <s v="6300"/>
    <n v="5440.51"/>
    <n v="3.6"/>
    <s v="CREDITOR"/>
    <n v="0"/>
    <n v="0"/>
    <n v="0"/>
    <n v="0"/>
    <n v="3.6"/>
  </r>
  <r>
    <n v="61337910"/>
    <s v="N"/>
    <n v="21327929"/>
    <s v="3000015460150003"/>
    <s v="CIVIL"/>
    <d v="2023-06-09T00:00:00"/>
    <d v="2023-07-04T19:00:44"/>
    <m/>
    <d v="2023-07-04T00:00:00"/>
    <n v="1947"/>
    <n v="481"/>
    <s v="61337910"/>
    <s v="61337910"/>
    <m/>
    <m/>
    <n v="22658598"/>
    <m/>
    <m/>
    <m/>
    <s v="SOLFIN"/>
    <s v="SOLFIN"/>
    <s v="CCMS"/>
    <n v="21327929"/>
    <n v="8781.469999999999"/>
    <m/>
    <s v="N"/>
    <n v="2"/>
    <d v="2023-07-04T19:00:59"/>
    <s v="Y"/>
    <s v="Solicitor Travel Mileage"/>
    <s v="Non Family Hourly Rates"/>
    <s v="Non Expert Disbursement"/>
    <s v="Rachel Eastham"/>
    <s v="Y"/>
    <n v="18"/>
    <n v="3.6"/>
    <x v="1"/>
    <s v="VALIDATED"/>
    <n v="1"/>
    <s v="01.11.80.209.6300.0000"/>
    <n v="18"/>
    <s v="11"/>
    <s v="6300"/>
    <n v="5440.51"/>
    <n v="18"/>
    <s v="CREDITOR"/>
    <n v="0"/>
    <n v="0"/>
    <n v="0"/>
    <n v="0"/>
    <n v="18"/>
  </r>
  <r>
    <n v="61337910"/>
    <s v="N"/>
    <n v="21327929"/>
    <s v="3000015460150003"/>
    <s v="CIVIL"/>
    <d v="2023-06-09T00:00:00"/>
    <d v="2023-07-04T19:00:44"/>
    <m/>
    <d v="2023-07-04T00:00:00"/>
    <n v="1947"/>
    <n v="481"/>
    <s v="61337910"/>
    <s v="61337910"/>
    <m/>
    <m/>
    <n v="22658598"/>
    <m/>
    <m/>
    <m/>
    <s v="SOLFIN"/>
    <s v="SOLFIN"/>
    <s v="CCMS"/>
    <n v="21327929"/>
    <n v="8781.469999999999"/>
    <m/>
    <s v="N"/>
    <n v="1"/>
    <d v="2023-07-04T19:00:59"/>
    <s v="Y"/>
    <s v="Profit Costs (Summary)"/>
    <s v="Non Family Hourly Rates"/>
    <s v="Profit Cost"/>
    <s v="Rachel Eastham"/>
    <s v="Y"/>
    <n v="7281.89"/>
    <n v="1456.38"/>
    <x v="1"/>
    <s v="VALIDATED"/>
    <n v="1"/>
    <s v="01.11.80.209.6100.0000"/>
    <n v="7281.89"/>
    <s v="11"/>
    <s v="6100"/>
    <n v="5440.51"/>
    <n v="7281.89"/>
    <s v="CREDITOR"/>
    <n v="0"/>
    <n v="0"/>
    <n v="0"/>
    <n v="0"/>
    <n v="7281.89"/>
  </r>
  <r>
    <n v="61337910"/>
    <s v="N"/>
    <n v="21327929"/>
    <s v="3000015460150003"/>
    <s v="CIVIL"/>
    <d v="2023-06-09T00:00:00"/>
    <d v="2023-07-04T19:00:44"/>
    <m/>
    <d v="2023-07-04T00:00:00"/>
    <n v="1947"/>
    <n v="481"/>
    <s v="61337910"/>
    <s v="61337910"/>
    <m/>
    <m/>
    <n v="22658598"/>
    <m/>
    <m/>
    <m/>
    <s v="SOLFIN"/>
    <s v="SOLFIN"/>
    <s v="CCMS"/>
    <n v="21327929"/>
    <n v="8781.469999999999"/>
    <m/>
    <s v="N"/>
    <n v="3"/>
    <d v="2023-07-04T19:00:59"/>
    <s v="Y"/>
    <s v="Solicitor Travel Mileage"/>
    <s v="Non Family Hourly Rates"/>
    <s v="Non Expert Disbursement"/>
    <s v="Rachel Eastham"/>
    <s v="Y"/>
    <n v="18"/>
    <n v="3.6"/>
    <x v="1"/>
    <s v="VALIDATED"/>
    <n v="1"/>
    <s v="01.11.80.209.6300.0000"/>
    <n v="18"/>
    <s v="11"/>
    <s v="6300"/>
    <n v="5440.51"/>
    <n v="18"/>
    <s v="CREDITOR"/>
    <n v="0"/>
    <n v="0"/>
    <n v="0"/>
    <n v="0"/>
    <n v="18"/>
  </r>
  <r>
    <n v="59858939"/>
    <s v="N"/>
    <n v="21327925"/>
    <s v="3000014219820005"/>
    <s v="CIVIL"/>
    <d v="2023-06-26T00:00:00"/>
    <d v="2023-07-04T19:00:44"/>
    <m/>
    <d v="2023-07-04T00:00:00"/>
    <n v="1947"/>
    <n v="481"/>
    <s v="59858939"/>
    <s v="59858939"/>
    <m/>
    <m/>
    <n v="22757776"/>
    <m/>
    <m/>
    <m/>
    <s v="SOLFIN"/>
    <s v="SOLFIN"/>
    <s v="CCMS"/>
    <n v="21327925"/>
    <n v="9808.389999999999"/>
    <m/>
    <s v="N"/>
    <n v="3"/>
    <d v="2023-07-04T19:00:58"/>
    <s v="Y"/>
    <s v="Court Fee"/>
    <s v="Non Family Hourly Rates"/>
    <s v="Non Expert Disbursement"/>
    <s v="Rachel Eastham"/>
    <s v="Y"/>
    <n v="371"/>
    <n v="0"/>
    <x v="1"/>
    <s v="VALIDATED"/>
    <n v="1"/>
    <s v="01.11.80.209.6300.0000"/>
    <n v="371"/>
    <s v="11"/>
    <s v="6300"/>
    <n v="5440.51"/>
    <n v="371"/>
    <s v="CREDITOR"/>
    <n v="0"/>
    <n v="0"/>
    <n v="0"/>
    <n v="0"/>
    <n v="371"/>
  </r>
  <r>
    <n v="59858939"/>
    <s v="N"/>
    <n v="21327925"/>
    <s v="3000014219820005"/>
    <s v="CIVIL"/>
    <d v="2023-06-26T00:00:00"/>
    <d v="2023-07-04T19:00:44"/>
    <m/>
    <d v="2023-07-04T00:00:00"/>
    <n v="1947"/>
    <n v="481"/>
    <s v="59858939"/>
    <s v="59858939"/>
    <m/>
    <m/>
    <n v="22757776"/>
    <m/>
    <m/>
    <m/>
    <s v="SOLFIN"/>
    <s v="SOLFIN"/>
    <s v="CCMS"/>
    <n v="21327925"/>
    <n v="9808.389999999999"/>
    <m/>
    <s v="N"/>
    <n v="2"/>
    <d v="2023-07-04T19:00:58"/>
    <s v="Y"/>
    <s v="Profit Costs (Summary)"/>
    <s v="Non Family Hourly Rates"/>
    <s v="Profit Cost"/>
    <s v="Rachel Eastham"/>
    <s v="Y"/>
    <n v="7853.69"/>
    <n v="1570.74"/>
    <x v="1"/>
    <s v="VALIDATED"/>
    <n v="1"/>
    <s v="01.11.80.209.6100.0000"/>
    <n v="7853.69"/>
    <s v="11"/>
    <s v="6100"/>
    <n v="5440.51"/>
    <n v="7853.69"/>
    <s v="CREDITOR"/>
    <n v="0"/>
    <n v="0"/>
    <n v="0"/>
    <n v="0"/>
    <n v="7853.69"/>
  </r>
  <r>
    <n v="59858939"/>
    <s v="N"/>
    <n v="21327925"/>
    <s v="3000014219820005"/>
    <s v="CIVIL"/>
    <d v="2023-06-26T00:00:00"/>
    <d v="2023-07-04T19:00:44"/>
    <m/>
    <d v="2023-07-04T00:00:00"/>
    <n v="1947"/>
    <n v="481"/>
    <s v="59858939"/>
    <s v="59858939"/>
    <m/>
    <m/>
    <n v="22757776"/>
    <m/>
    <m/>
    <m/>
    <s v="SOLFIN"/>
    <s v="SOLFIN"/>
    <s v="CCMS"/>
    <n v="21327925"/>
    <n v="9808.389999999999"/>
    <m/>
    <s v="N"/>
    <n v="1"/>
    <d v="2023-07-04T19:00:58"/>
    <s v="Y"/>
    <s v="Solicitor Travel Mileage"/>
    <s v="Non Family Hourly Rates"/>
    <s v="Non Expert Disbursement"/>
    <s v="Rachel Eastham"/>
    <s v="Y"/>
    <n v="3.6"/>
    <n v="0.72"/>
    <x v="1"/>
    <s v="VALIDATED"/>
    <n v="1"/>
    <s v="01.11.80.209.6300.0000"/>
    <n v="3.6"/>
    <s v="11"/>
    <s v="6300"/>
    <n v="5440.51"/>
    <n v="3.6"/>
    <s v="CREDITOR"/>
    <n v="0"/>
    <n v="0"/>
    <n v="0"/>
    <n v="0"/>
    <n v="3.6"/>
  </r>
  <r>
    <n v="59858939"/>
    <s v="N"/>
    <n v="21327925"/>
    <s v="3000014219820005"/>
    <s v="CIVIL"/>
    <d v="2023-06-26T00:00:00"/>
    <d v="2023-07-04T19:00:44"/>
    <m/>
    <d v="2023-07-04T00:00:00"/>
    <n v="1947"/>
    <n v="481"/>
    <s v="59858939"/>
    <s v="59858939"/>
    <m/>
    <m/>
    <n v="22757776"/>
    <m/>
    <m/>
    <m/>
    <s v="SOLFIN"/>
    <s v="SOLFIN"/>
    <s v="CCMS"/>
    <n v="21327925"/>
    <n v="9808.389999999999"/>
    <m/>
    <s v="N"/>
    <n v="5"/>
    <d v="2023-07-04T19:00:58"/>
    <s v="Y"/>
    <s v="Solicitor Travel Mileage"/>
    <s v="Non Family Hourly Rates"/>
    <s v="Non Expert Disbursement"/>
    <s v="Rachel Eastham"/>
    <s v="Y"/>
    <n v="3.6"/>
    <n v="0.72"/>
    <x v="1"/>
    <s v="VALIDATED"/>
    <n v="1"/>
    <s v="01.11.80.209.6300.0000"/>
    <n v="3.6"/>
    <s v="11"/>
    <s v="6300"/>
    <n v="5440.51"/>
    <n v="3.6"/>
    <s v="CREDITOR"/>
    <n v="0"/>
    <n v="0"/>
    <n v="0"/>
    <n v="0"/>
    <n v="3.6"/>
  </r>
  <r>
    <n v="59858939"/>
    <s v="N"/>
    <n v="21328898"/>
    <s v="3000014219820001RC"/>
    <s v="CIVIL"/>
    <d v="2023-06-26T00:00:00"/>
    <d v="2023-07-04T19:38:21"/>
    <m/>
    <d v="2023-07-04T00:00:00"/>
    <n v="1947"/>
    <n v="481"/>
    <s v="59858939"/>
    <s v="59858939"/>
    <m/>
    <m/>
    <m/>
    <m/>
    <m/>
    <m/>
    <s v="SOLRECOUP"/>
    <s v="SOLRECOUP"/>
    <s v="POARECOUP"/>
    <n v="21328898"/>
    <n v="-371"/>
    <m/>
    <s v="Y"/>
    <n v="1"/>
    <d v="2023-07-04T19:38:23"/>
    <s v="N"/>
    <m/>
    <m/>
    <s v="Non Expert Disbursement"/>
    <m/>
    <s v="N"/>
    <n v="-371"/>
    <n v="0"/>
    <x v="1"/>
    <s v="VALIDATED"/>
    <n v="1"/>
    <s v="01.11.80.209.2013.0000"/>
    <n v="-371"/>
    <s v="11"/>
    <s v="2013"/>
    <n v="5440.51"/>
    <n v="-371"/>
    <s v="CREDITOR"/>
    <n v="0"/>
    <n v="0"/>
    <n v="-371"/>
    <n v="0"/>
    <n v="0"/>
  </r>
  <r>
    <n v="59858939"/>
    <s v="N"/>
    <n v="21328898"/>
    <s v="3000014219820001RC"/>
    <s v="CIVIL"/>
    <d v="2023-06-26T00:00:00"/>
    <d v="2023-07-04T19:38:21"/>
    <m/>
    <d v="2023-07-04T00:00:00"/>
    <n v="1947"/>
    <n v="481"/>
    <s v="59858939"/>
    <s v="59858939"/>
    <m/>
    <m/>
    <m/>
    <m/>
    <m/>
    <m/>
    <s v="SOLRECOUP"/>
    <s v="SOLRECOUP"/>
    <s v="POARECOUP"/>
    <n v="21328898"/>
    <n v="-371"/>
    <m/>
    <s v="Y"/>
    <n v="2"/>
    <d v="2023-07-04T19:38:23"/>
    <s v="N"/>
    <m/>
    <m/>
    <s v="Non Expert Disbursement"/>
    <m/>
    <s v="N"/>
    <n v="0"/>
    <n v="0"/>
    <x v="1"/>
    <s v="VALIDATED"/>
    <n v="1"/>
    <s v="01.11.80.000.0000.0000"/>
    <n v="0"/>
    <s v="11"/>
    <s v="0000"/>
    <n v="5440.51"/>
    <n v="0"/>
    <s v="CREDITOR"/>
    <n v="0"/>
    <n v="0"/>
    <n v="0"/>
    <n v="0"/>
    <n v="0"/>
  </r>
  <r>
    <n v="61337910"/>
    <s v="N"/>
    <n v="21328899"/>
    <s v="3000015460150001RC"/>
    <s v="CIVIL"/>
    <d v="2023-06-09T00:00:00"/>
    <d v="2023-07-04T19:38:21"/>
    <m/>
    <d v="2023-07-04T00:00:00"/>
    <n v="1947"/>
    <n v="481"/>
    <s v="61337910"/>
    <s v="61337910"/>
    <m/>
    <m/>
    <m/>
    <m/>
    <m/>
    <m/>
    <s v="SOLRECOUP"/>
    <s v="SOLRECOUP"/>
    <s v="POARECOUP"/>
    <n v="21328899"/>
    <n v="-4817.8"/>
    <m/>
    <s v="Y"/>
    <n v="1"/>
    <d v="2023-07-04T19:38:23"/>
    <s v="N"/>
    <m/>
    <m/>
    <s v="Profit Cost"/>
    <m/>
    <s v="N"/>
    <n v="-4014.83"/>
    <n v="0"/>
    <x v="1"/>
    <s v="VALIDATED"/>
    <n v="1"/>
    <s v="01.11.80.209.2013.0000"/>
    <n v="-4014.83"/>
    <s v="11"/>
    <s v="2013"/>
    <n v="5440.51"/>
    <n v="-4014.83"/>
    <s v="CREDITOR"/>
    <n v="0"/>
    <n v="0"/>
    <n v="-4014.83"/>
    <n v="-1003.7075"/>
    <n v="0"/>
  </r>
  <r>
    <n v="61337910"/>
    <s v="N"/>
    <n v="21328899"/>
    <s v="3000015460150001RC"/>
    <s v="CIVIL"/>
    <d v="2023-06-09T00:00:00"/>
    <d v="2023-07-04T19:38:21"/>
    <m/>
    <d v="2023-07-04T00:00:00"/>
    <n v="1947"/>
    <n v="481"/>
    <s v="61337910"/>
    <s v="61337910"/>
    <m/>
    <m/>
    <m/>
    <m/>
    <m/>
    <m/>
    <s v="SOLRECOUP"/>
    <s v="SOLRECOUP"/>
    <s v="POARECOUP"/>
    <n v="21328899"/>
    <n v="-4817.8"/>
    <m/>
    <s v="Y"/>
    <n v="2"/>
    <d v="2023-07-04T19:38:23"/>
    <s v="N"/>
    <m/>
    <m/>
    <s v="Profit Cost"/>
    <m/>
    <s v="N"/>
    <n v="0"/>
    <n v="-802.97"/>
    <x v="1"/>
    <s v="VALIDATED"/>
    <n v="1"/>
    <s v="01.11.80.209.2013.0000"/>
    <n v="-802.97"/>
    <s v="11"/>
    <s v="2013"/>
    <n v="5440.51"/>
    <n v="-802.97"/>
    <s v="CREDITOR"/>
    <n v="0"/>
    <n v="0"/>
    <n v="-802.97"/>
    <n v="-200.7425"/>
    <n v="0"/>
  </r>
  <r>
    <n v="59858939"/>
    <s v="N"/>
    <n v="21328900"/>
    <s v="3000014219820003RC"/>
    <s v="CIVIL"/>
    <d v="2023-06-26T00:00:00"/>
    <d v="2023-07-04T19:38:21"/>
    <m/>
    <d v="2023-07-04T00:00:00"/>
    <n v="1947"/>
    <n v="481"/>
    <s v="59858939"/>
    <s v="59858939"/>
    <m/>
    <m/>
    <m/>
    <m/>
    <m/>
    <m/>
    <s v="SOLRECOUP"/>
    <s v="SOLRECOUP"/>
    <s v="POARECOUP"/>
    <n v="21328900"/>
    <n v="-4924.07"/>
    <m/>
    <s v="Y"/>
    <n v="1"/>
    <d v="2023-07-04T19:38:23"/>
    <s v="N"/>
    <m/>
    <m/>
    <s v="Profit Cost"/>
    <m/>
    <s v="N"/>
    <n v="-4103.39"/>
    <n v="0"/>
    <x v="1"/>
    <s v="VALIDATED"/>
    <n v="1"/>
    <s v="01.11.80.209.2013.0000"/>
    <n v="-4103.39"/>
    <s v="11"/>
    <s v="2013"/>
    <n v="5440.51"/>
    <n v="-4103.39"/>
    <s v="CREDITOR"/>
    <n v="0"/>
    <n v="0"/>
    <n v="-4103.39"/>
    <n v="-1025.8475"/>
    <n v="0"/>
  </r>
  <r>
    <n v="59858939"/>
    <s v="N"/>
    <n v="21328900"/>
    <s v="3000014219820003RC"/>
    <s v="CIVIL"/>
    <d v="2023-06-26T00:00:00"/>
    <d v="2023-07-04T19:38:21"/>
    <m/>
    <d v="2023-07-04T00:00:00"/>
    <n v="1947"/>
    <n v="481"/>
    <s v="59858939"/>
    <s v="59858939"/>
    <m/>
    <m/>
    <m/>
    <m/>
    <m/>
    <m/>
    <s v="SOLRECOUP"/>
    <s v="SOLRECOUP"/>
    <s v="POARECOUP"/>
    <n v="21328900"/>
    <n v="-4924.07"/>
    <m/>
    <s v="Y"/>
    <n v="2"/>
    <d v="2023-07-04T19:38:23"/>
    <s v="N"/>
    <m/>
    <m/>
    <s v="Profit Cost"/>
    <m/>
    <s v="N"/>
    <n v="0"/>
    <n v="-820.6799999999999"/>
    <x v="1"/>
    <s v="VALIDATED"/>
    <n v="1"/>
    <s v="01.11.80.209.2013.0000"/>
    <n v="-820.6799999999999"/>
    <s v="11"/>
    <s v="2013"/>
    <n v="5440.51"/>
    <n v="-820.6799999999999"/>
    <s v="CREDITOR"/>
    <n v="0"/>
    <n v="0"/>
    <n v="-820.6799999999999"/>
    <n v="-205.17"/>
    <n v="0"/>
  </r>
  <r>
    <n v="9457818"/>
    <s v="N"/>
    <n v="21324564"/>
    <s v="3000005414100006RC"/>
    <s v="CIVIL"/>
    <d v="2023-06-22T00:00:00"/>
    <d v="2023-07-03T19:42:50"/>
    <m/>
    <d v="2023-07-03T00:00:00"/>
    <n v="1982"/>
    <n v="14353"/>
    <s v="9457818"/>
    <s v="9457818"/>
    <m/>
    <m/>
    <m/>
    <m/>
    <m/>
    <m/>
    <s v="SOLRECOUP"/>
    <s v="SOLRECOUP"/>
    <s v="POARECOUP"/>
    <n v="21324564"/>
    <n v="-1274.69"/>
    <m/>
    <s v="Y"/>
    <n v="1"/>
    <d v="2023-07-03T19:42:52"/>
    <s v="N"/>
    <m/>
    <m/>
    <s v="Expert Disbursement"/>
    <m/>
    <s v="N"/>
    <n v="-1062.24"/>
    <n v="0"/>
    <x v="3"/>
    <s v="VALIDATED"/>
    <n v="1"/>
    <s v="01.11.80.308.2013.0000"/>
    <n v="-1062.24"/>
    <s v="11"/>
    <s v="2013"/>
    <n v="-235.34"/>
    <n v="-1062.24"/>
    <s v="DEBTOR"/>
    <n v="0"/>
    <n v="0"/>
    <n v="0"/>
    <n v="0"/>
    <n v="0"/>
  </r>
  <r>
    <n v="9457818"/>
    <s v="N"/>
    <n v="21324564"/>
    <s v="3000005414100006RC"/>
    <s v="CIVIL"/>
    <d v="2023-06-22T00:00:00"/>
    <d v="2023-07-03T19:42:50"/>
    <m/>
    <d v="2023-07-03T00:00:00"/>
    <n v="1982"/>
    <n v="14353"/>
    <s v="9457818"/>
    <s v="9457818"/>
    <m/>
    <m/>
    <m/>
    <m/>
    <m/>
    <m/>
    <s v="SOLRECOUP"/>
    <s v="SOLRECOUP"/>
    <s v="POARECOUP"/>
    <n v="21324564"/>
    <n v="-1274.69"/>
    <m/>
    <s v="Y"/>
    <n v="2"/>
    <d v="2023-07-03T19:42:52"/>
    <s v="N"/>
    <m/>
    <m/>
    <s v="Expert Disbursement"/>
    <m/>
    <s v="N"/>
    <n v="0"/>
    <n v="-212.45"/>
    <x v="3"/>
    <s v="VALIDATED"/>
    <n v="1"/>
    <s v="01.11.80.308.2013.0000"/>
    <n v="-212.45"/>
    <s v="11"/>
    <s v="2013"/>
    <n v="-235.34"/>
    <n v="-212.45"/>
    <s v="DEBTOR"/>
    <n v="0"/>
    <n v="0"/>
    <n v="0"/>
    <n v="0"/>
    <n v="0"/>
  </r>
  <r>
    <n v="9457818"/>
    <s v="N"/>
    <n v="21324565"/>
    <s v="3000005414100009RC"/>
    <s v="CIVIL"/>
    <d v="2023-06-22T00:00:00"/>
    <d v="2023-07-03T19:42:50"/>
    <m/>
    <d v="2023-07-03T00:00:00"/>
    <n v="1982"/>
    <n v="14353"/>
    <s v="9457818"/>
    <s v="9457818"/>
    <m/>
    <m/>
    <m/>
    <m/>
    <m/>
    <m/>
    <s v="SOLRECOUP"/>
    <s v="SOLRECOUP"/>
    <s v="POARECOUP"/>
    <n v="21324565"/>
    <n v="-96"/>
    <m/>
    <s v="Y"/>
    <n v="1"/>
    <d v="2023-07-03T19:42:52"/>
    <s v="N"/>
    <m/>
    <m/>
    <s v="Expert Disbursement"/>
    <m/>
    <s v="N"/>
    <n v="-80"/>
    <n v="0"/>
    <x v="3"/>
    <s v="VALIDATED"/>
    <n v="1"/>
    <s v="01.11.80.308.2013.0000"/>
    <n v="-80"/>
    <s v="11"/>
    <s v="2013"/>
    <n v="-235.34"/>
    <n v="-80"/>
    <s v="DEBTOR"/>
    <n v="0"/>
    <n v="0"/>
    <n v="0"/>
    <n v="0"/>
    <n v="0"/>
  </r>
  <r>
    <n v="9457818"/>
    <s v="N"/>
    <n v="21324565"/>
    <s v="3000005414100009RC"/>
    <s v="CIVIL"/>
    <d v="2023-06-22T00:00:00"/>
    <d v="2023-07-03T19:42:50"/>
    <m/>
    <d v="2023-07-03T00:00:00"/>
    <n v="1982"/>
    <n v="14353"/>
    <s v="9457818"/>
    <s v="9457818"/>
    <m/>
    <m/>
    <m/>
    <m/>
    <m/>
    <m/>
    <s v="SOLRECOUP"/>
    <s v="SOLRECOUP"/>
    <s v="POARECOUP"/>
    <n v="21324565"/>
    <n v="-96"/>
    <m/>
    <s v="Y"/>
    <n v="2"/>
    <d v="2023-07-03T19:42:52"/>
    <s v="N"/>
    <m/>
    <m/>
    <s v="Expert Disbursement"/>
    <m/>
    <s v="N"/>
    <n v="0"/>
    <n v="-16"/>
    <x v="3"/>
    <s v="VALIDATED"/>
    <n v="1"/>
    <s v="01.11.80.308.2013.0000"/>
    <n v="-16"/>
    <s v="11"/>
    <s v="2013"/>
    <n v="-235.34"/>
    <n v="-16"/>
    <s v="DEBTOR"/>
    <n v="0"/>
    <n v="0"/>
    <n v="0"/>
    <n v="0"/>
    <n v="0"/>
  </r>
  <r>
    <n v="9457818"/>
    <s v="N"/>
    <n v="21324566"/>
    <s v="3000005414100012RC"/>
    <s v="CIVIL"/>
    <d v="2023-06-22T00:00:00"/>
    <d v="2023-07-03T19:42:50"/>
    <m/>
    <d v="2023-07-03T00:00:00"/>
    <n v="1982"/>
    <n v="14353"/>
    <s v="9457818"/>
    <s v="9457818"/>
    <m/>
    <m/>
    <m/>
    <m/>
    <m/>
    <m/>
    <s v="SOLRECOUP"/>
    <s v="SOLRECOUP"/>
    <s v="POARECOUP"/>
    <n v="21324566"/>
    <n v="-227.35"/>
    <m/>
    <s v="Y"/>
    <n v="1"/>
    <d v="2023-07-03T19:42:52"/>
    <s v="N"/>
    <m/>
    <m/>
    <s v="Expert Disbursement"/>
    <m/>
    <s v="N"/>
    <n v="-189.46"/>
    <n v="0"/>
    <x v="3"/>
    <s v="VALIDATED"/>
    <n v="1"/>
    <s v="01.11.80.308.2013.0000"/>
    <n v="-189.46"/>
    <s v="11"/>
    <s v="2013"/>
    <n v="-235.34"/>
    <n v="-189.46"/>
    <s v="DEBTOR"/>
    <n v="0"/>
    <n v="0"/>
    <n v="0"/>
    <n v="0"/>
    <n v="0"/>
  </r>
  <r>
    <n v="9457818"/>
    <s v="N"/>
    <n v="21324566"/>
    <s v="3000005414100012RC"/>
    <s v="CIVIL"/>
    <d v="2023-06-22T00:00:00"/>
    <d v="2023-07-03T19:42:50"/>
    <m/>
    <d v="2023-07-03T00:00:00"/>
    <n v="1982"/>
    <n v="14353"/>
    <s v="9457818"/>
    <s v="9457818"/>
    <m/>
    <m/>
    <m/>
    <m/>
    <m/>
    <m/>
    <s v="SOLRECOUP"/>
    <s v="SOLRECOUP"/>
    <s v="POARECOUP"/>
    <n v="21324566"/>
    <n v="-227.35"/>
    <m/>
    <s v="Y"/>
    <n v="2"/>
    <d v="2023-07-03T19:42:52"/>
    <s v="N"/>
    <m/>
    <m/>
    <s v="Expert Disbursement"/>
    <m/>
    <s v="N"/>
    <n v="0"/>
    <n v="-37.89"/>
    <x v="3"/>
    <s v="VALIDATED"/>
    <n v="1"/>
    <s v="01.11.80.308.2013.0000"/>
    <n v="-37.89"/>
    <s v="11"/>
    <s v="2013"/>
    <n v="-235.34"/>
    <n v="-37.89"/>
    <s v="DEBTOR"/>
    <n v="0"/>
    <n v="0"/>
    <n v="0"/>
    <n v="0"/>
    <n v="0"/>
  </r>
  <r>
    <n v="9457818"/>
    <s v="N"/>
    <n v="21324567"/>
    <s v="3000005414100014RC"/>
    <s v="CIVIL"/>
    <d v="2023-06-22T00:00:00"/>
    <d v="2023-07-03T19:42:50"/>
    <m/>
    <d v="2023-07-03T00:00:00"/>
    <n v="1982"/>
    <n v="14353"/>
    <s v="9457818"/>
    <s v="9457818"/>
    <m/>
    <m/>
    <m/>
    <m/>
    <m/>
    <m/>
    <s v="SOLRECOUP"/>
    <s v="SOLRECOUP"/>
    <s v="POARECOUP"/>
    <n v="21324567"/>
    <n v="-215.1"/>
    <m/>
    <s v="Y"/>
    <n v="1"/>
    <d v="2023-07-03T19:42:52"/>
    <s v="N"/>
    <m/>
    <m/>
    <s v="Expert Disbursement"/>
    <m/>
    <s v="N"/>
    <n v="-179.25"/>
    <n v="0"/>
    <x v="3"/>
    <s v="VALIDATED"/>
    <n v="1"/>
    <s v="01.11.80.308.2013.0000"/>
    <n v="-179.25"/>
    <s v="11"/>
    <s v="2013"/>
    <n v="-235.34"/>
    <n v="-179.25"/>
    <s v="DEBTOR"/>
    <n v="0"/>
    <n v="0"/>
    <n v="0"/>
    <n v="0"/>
    <n v="0"/>
  </r>
  <r>
    <n v="9457818"/>
    <s v="N"/>
    <n v="21324567"/>
    <s v="3000005414100014RC"/>
    <s v="CIVIL"/>
    <d v="2023-06-22T00:00:00"/>
    <d v="2023-07-03T19:42:50"/>
    <m/>
    <d v="2023-07-03T00:00:00"/>
    <n v="1982"/>
    <n v="14353"/>
    <s v="9457818"/>
    <s v="9457818"/>
    <m/>
    <m/>
    <m/>
    <m/>
    <m/>
    <m/>
    <s v="SOLRECOUP"/>
    <s v="SOLRECOUP"/>
    <s v="POARECOUP"/>
    <n v="21324567"/>
    <n v="-215.1"/>
    <m/>
    <s v="Y"/>
    <n v="2"/>
    <d v="2023-07-03T19:42:52"/>
    <s v="N"/>
    <m/>
    <m/>
    <s v="Expert Disbursement"/>
    <m/>
    <s v="N"/>
    <n v="0"/>
    <n v="-35.85"/>
    <x v="3"/>
    <s v="VALIDATED"/>
    <n v="1"/>
    <s v="01.11.80.308.2013.0000"/>
    <n v="-35.85"/>
    <s v="11"/>
    <s v="2013"/>
    <n v="-235.34"/>
    <n v="-35.85"/>
    <s v="DEBTOR"/>
    <n v="0"/>
    <n v="0"/>
    <n v="0"/>
    <n v="0"/>
    <n v="0"/>
  </r>
  <r>
    <n v="9457818"/>
    <s v="N"/>
    <n v="21324568"/>
    <s v="3000005414100015RC"/>
    <s v="CIVIL"/>
    <d v="2023-06-22T00:00:00"/>
    <d v="2023-07-03T19:42:50"/>
    <m/>
    <d v="2023-07-03T00:00:00"/>
    <n v="1982"/>
    <n v="14353"/>
    <s v="9457818"/>
    <s v="9457818"/>
    <m/>
    <m/>
    <m/>
    <m/>
    <m/>
    <m/>
    <s v="SOLRECOUP"/>
    <s v="SOLRECOUP"/>
    <s v="POARECOUP"/>
    <n v="21324568"/>
    <n v="-215.1"/>
    <m/>
    <s v="Y"/>
    <n v="1"/>
    <d v="2023-07-03T19:42:52"/>
    <s v="N"/>
    <m/>
    <m/>
    <s v="Expert Disbursement"/>
    <m/>
    <s v="N"/>
    <n v="-179.25"/>
    <n v="0"/>
    <x v="3"/>
    <s v="VALIDATED"/>
    <n v="1"/>
    <s v="01.11.80.308.2013.0000"/>
    <n v="-179.25"/>
    <s v="11"/>
    <s v="2013"/>
    <n v="-235.34"/>
    <n v="-179.25"/>
    <s v="DEBTOR"/>
    <n v="0"/>
    <n v="0"/>
    <n v="0"/>
    <n v="0"/>
    <n v="0"/>
  </r>
  <r>
    <n v="9457818"/>
    <s v="N"/>
    <n v="21324568"/>
    <s v="3000005414100015RC"/>
    <s v="CIVIL"/>
    <d v="2023-06-22T00:00:00"/>
    <d v="2023-07-03T19:42:50"/>
    <m/>
    <d v="2023-07-03T00:00:00"/>
    <n v="1982"/>
    <n v="14353"/>
    <s v="9457818"/>
    <s v="9457818"/>
    <m/>
    <m/>
    <m/>
    <m/>
    <m/>
    <m/>
    <s v="SOLRECOUP"/>
    <s v="SOLRECOUP"/>
    <s v="POARECOUP"/>
    <n v="21324568"/>
    <n v="-215.1"/>
    <m/>
    <s v="Y"/>
    <n v="2"/>
    <d v="2023-07-03T19:42:52"/>
    <s v="N"/>
    <m/>
    <m/>
    <s v="Expert Disbursement"/>
    <m/>
    <s v="N"/>
    <n v="0"/>
    <n v="-35.85"/>
    <x v="3"/>
    <s v="VALIDATED"/>
    <n v="1"/>
    <s v="01.11.80.308.2013.0000"/>
    <n v="-35.85"/>
    <s v="11"/>
    <s v="2013"/>
    <n v="-235.34"/>
    <n v="-35.85"/>
    <s v="DEBTOR"/>
    <n v="0"/>
    <n v="0"/>
    <n v="0"/>
    <n v="0"/>
    <n v="0"/>
  </r>
  <r>
    <n v="9457818"/>
    <s v="N"/>
    <n v="21324569"/>
    <s v="3000005414100016RC"/>
    <s v="CIVIL"/>
    <d v="2023-06-22T00:00:00"/>
    <d v="2023-07-03T19:42:50"/>
    <m/>
    <d v="2023-07-03T00:00:00"/>
    <n v="1982"/>
    <n v="14353"/>
    <s v="9457818"/>
    <s v="9457818"/>
    <m/>
    <m/>
    <m/>
    <m/>
    <m/>
    <m/>
    <s v="SOLRECOUP"/>
    <s v="SOLRECOUP"/>
    <s v="POARECOUP"/>
    <n v="21324569"/>
    <n v="-227.35"/>
    <m/>
    <s v="Y"/>
    <n v="1"/>
    <d v="2023-07-03T19:42:52"/>
    <s v="N"/>
    <m/>
    <m/>
    <s v="Expert Disbursement"/>
    <m/>
    <s v="N"/>
    <n v="-189.46"/>
    <n v="0"/>
    <x v="3"/>
    <s v="VALIDATED"/>
    <n v="1"/>
    <s v="01.11.80.308.2013.0000"/>
    <n v="-189.46"/>
    <s v="11"/>
    <s v="2013"/>
    <n v="-235.34"/>
    <n v="-189.46"/>
    <s v="DEBTOR"/>
    <n v="0"/>
    <n v="0"/>
    <n v="0"/>
    <n v="0"/>
    <n v="0"/>
  </r>
  <r>
    <n v="9457818"/>
    <s v="N"/>
    <n v="21324569"/>
    <s v="3000005414100016RC"/>
    <s v="CIVIL"/>
    <d v="2023-06-22T00:00:00"/>
    <d v="2023-07-03T19:42:50"/>
    <m/>
    <d v="2023-07-03T00:00:00"/>
    <n v="1982"/>
    <n v="14353"/>
    <s v="9457818"/>
    <s v="9457818"/>
    <m/>
    <m/>
    <m/>
    <m/>
    <m/>
    <m/>
    <s v="SOLRECOUP"/>
    <s v="SOLRECOUP"/>
    <s v="POARECOUP"/>
    <n v="21324569"/>
    <n v="-227.35"/>
    <m/>
    <s v="Y"/>
    <n v="2"/>
    <d v="2023-07-03T19:42:52"/>
    <s v="N"/>
    <m/>
    <m/>
    <s v="Expert Disbursement"/>
    <m/>
    <s v="N"/>
    <n v="0"/>
    <n v="-37.89"/>
    <x v="3"/>
    <s v="VALIDATED"/>
    <n v="1"/>
    <s v="01.11.80.308.2013.0000"/>
    <n v="-37.89"/>
    <s v="11"/>
    <s v="2013"/>
    <n v="-235.34"/>
    <n v="-37.89"/>
    <s v="DEBTOR"/>
    <n v="0"/>
    <n v="0"/>
    <n v="0"/>
    <n v="0"/>
    <n v="0"/>
  </r>
  <r>
    <n v="9457818"/>
    <s v="N"/>
    <n v="21324570"/>
    <s v="3000005414100017RC"/>
    <s v="CIVIL"/>
    <d v="2023-06-22T00:00:00"/>
    <d v="2023-07-03T19:42:50"/>
    <m/>
    <d v="2023-07-03T00:00:00"/>
    <n v="1982"/>
    <n v="14353"/>
    <s v="9457818"/>
    <s v="9457818"/>
    <m/>
    <m/>
    <m/>
    <m/>
    <m/>
    <m/>
    <s v="SOLRECOUP"/>
    <s v="SOLRECOUP"/>
    <s v="POARECOUP"/>
    <n v="21324570"/>
    <n v="-2355.3"/>
    <m/>
    <s v="Y"/>
    <n v="1"/>
    <d v="2023-07-03T19:42:52"/>
    <s v="N"/>
    <m/>
    <m/>
    <s v="Profit Cost"/>
    <m/>
    <s v="N"/>
    <n v="-1962.75"/>
    <n v="0"/>
    <x v="3"/>
    <s v="VALIDATED"/>
    <n v="1"/>
    <s v="01.11.80.308.2013.0000"/>
    <n v="-1962.75"/>
    <s v="11"/>
    <s v="2013"/>
    <n v="-235.34"/>
    <n v="-1962.75"/>
    <s v="DEBTOR"/>
    <n v="0"/>
    <n v="0"/>
    <n v="0"/>
    <n v="0"/>
    <n v="0"/>
  </r>
  <r>
    <n v="9457818"/>
    <s v="N"/>
    <n v="21324570"/>
    <s v="3000005414100017RC"/>
    <s v="CIVIL"/>
    <d v="2023-06-22T00:00:00"/>
    <d v="2023-07-03T19:42:50"/>
    <m/>
    <d v="2023-07-03T00:00:00"/>
    <n v="1982"/>
    <n v="14353"/>
    <s v="9457818"/>
    <s v="9457818"/>
    <m/>
    <m/>
    <m/>
    <m/>
    <m/>
    <m/>
    <s v="SOLRECOUP"/>
    <s v="SOLRECOUP"/>
    <s v="POARECOUP"/>
    <n v="21324570"/>
    <n v="-2355.3"/>
    <m/>
    <s v="Y"/>
    <n v="2"/>
    <d v="2023-07-03T19:42:52"/>
    <s v="N"/>
    <m/>
    <m/>
    <s v="Profit Cost"/>
    <m/>
    <s v="N"/>
    <n v="0"/>
    <n v="-392.55"/>
    <x v="3"/>
    <s v="VALIDATED"/>
    <n v="1"/>
    <s v="01.11.80.308.2013.0000"/>
    <n v="-392.55"/>
    <s v="11"/>
    <s v="2013"/>
    <n v="-235.34"/>
    <n v="-392.55"/>
    <s v="DEBTOR"/>
    <n v="0"/>
    <n v="0"/>
    <n v="0"/>
    <n v="0"/>
    <n v="0"/>
  </r>
  <r>
    <n v="9851492"/>
    <s v="N"/>
    <n v="21349431"/>
    <s v="3000005763130003"/>
    <s v="CIVIL"/>
    <d v="2023-06-29T00:00:00"/>
    <d v="2023-07-10T19:01:40"/>
    <m/>
    <d v="2023-07-10T00:00:00"/>
    <n v="1982"/>
    <n v="14353"/>
    <s v="9851492"/>
    <s v="9851492"/>
    <m/>
    <m/>
    <n v="22788236"/>
    <m/>
    <m/>
    <m/>
    <s v="SOLFIN"/>
    <s v="SOLFIN"/>
    <s v="CCMS"/>
    <n v="21349431"/>
    <n v="1455.95"/>
    <m/>
    <s v="N"/>
    <n v="26"/>
    <d v="2023-07-10T19:01:50"/>
    <s v="Y"/>
    <s v="Preparation - drafting attendance n"/>
    <s v="Non Family Hourly Rates"/>
    <s v="Profit Cost"/>
    <s v="RG"/>
    <s v="Y"/>
    <n v="6.3"/>
    <n v="1.26"/>
    <x v="2"/>
    <s v="VALIDATED"/>
    <n v="1"/>
    <s v="01.11.80.208.6100.0000"/>
    <n v="6.3"/>
    <s v="11"/>
    <s v="6100"/>
    <n v="-235.34"/>
    <n v="6.3"/>
    <s v="DEBTOR"/>
    <n v="0"/>
    <n v="0"/>
    <n v="0"/>
    <n v="0"/>
    <n v="0"/>
  </r>
  <r>
    <n v="61873244"/>
    <s v="N"/>
    <n v="21350086"/>
    <s v="3000015935770001"/>
    <s v="CIVIL"/>
    <d v="2023-06-29T00:00:00"/>
    <d v="2023-07-10T19:01:40"/>
    <m/>
    <d v="2023-07-10T00:00:00"/>
    <n v="1982"/>
    <n v="14353"/>
    <s v="61873244"/>
    <s v="61873244"/>
    <m/>
    <m/>
    <n v="22788690"/>
    <m/>
    <m/>
    <m/>
    <s v="SOLFIN"/>
    <s v="SOLFIN"/>
    <s v="CCMS"/>
    <n v="21350086"/>
    <n v="421.11"/>
    <m/>
    <s v="N"/>
    <n v="5"/>
    <d v="2023-07-10T19:02:13"/>
    <s v="Y"/>
    <s v="Preparation - drafting bill/claim f"/>
    <s v="Non Family Hourly Rates"/>
    <s v="Profit Cost"/>
    <s v="OPA"/>
    <s v="Y"/>
    <n v="31.5"/>
    <n v="6.3"/>
    <x v="2"/>
    <s v="VALIDATED"/>
    <n v="1"/>
    <s v="01.11.80.208.6100.0000"/>
    <n v="31.5"/>
    <s v="11"/>
    <s v="6100"/>
    <n v="-235.34"/>
    <n v="31.5"/>
    <s v="DEBTOR"/>
    <n v="0"/>
    <n v="0"/>
    <n v="0"/>
    <n v="0"/>
    <n v="0"/>
  </r>
  <r>
    <n v="9851492"/>
    <s v="N"/>
    <n v="21349431"/>
    <s v="3000005763130003"/>
    <s v="CIVIL"/>
    <d v="2023-06-29T00:00:00"/>
    <d v="2023-07-10T19:01:40"/>
    <m/>
    <d v="2023-07-10T00:00:00"/>
    <n v="1982"/>
    <n v="14353"/>
    <s v="9851492"/>
    <s v="9851492"/>
    <m/>
    <m/>
    <n v="22788236"/>
    <m/>
    <m/>
    <m/>
    <s v="SOLFIN"/>
    <s v="SOLFIN"/>
    <s v="CCMS"/>
    <n v="21349431"/>
    <n v="1455.95"/>
    <m/>
    <s v="N"/>
    <n v="20"/>
    <d v="2023-07-10T19:01:50"/>
    <s v="Y"/>
    <s v="Preparation - other"/>
    <s v="Non Family Hourly Rates"/>
    <s v="Profit Cost"/>
    <s v="RG"/>
    <s v="Y"/>
    <n v="6.3"/>
    <n v="1.26"/>
    <x v="2"/>
    <s v="VALIDATED"/>
    <n v="1"/>
    <s v="01.11.80.208.6100.0000"/>
    <n v="6.3"/>
    <s v="11"/>
    <s v="6100"/>
    <n v="-235.34"/>
    <n v="6.3"/>
    <s v="DEBTOR"/>
    <n v="0"/>
    <n v="0"/>
    <n v="0"/>
    <n v="0"/>
    <n v="0"/>
  </r>
  <r>
    <n v="62008551"/>
    <s v="N"/>
    <n v="21350076"/>
    <s v="3000016049460001"/>
    <s v="CIVIL"/>
    <d v="2023-06-29T00:00:00"/>
    <d v="2023-07-10T19:01:40"/>
    <m/>
    <d v="2023-07-10T00:00:00"/>
    <n v="1982"/>
    <n v="14353"/>
    <s v="62008551"/>
    <s v="62008551"/>
    <m/>
    <m/>
    <n v="22788806"/>
    <m/>
    <m/>
    <m/>
    <s v="SOLFIN"/>
    <s v="SOLFIN"/>
    <s v="CCMS"/>
    <n v="21350076"/>
    <n v="780.62"/>
    <m/>
    <s v="N"/>
    <n v="8"/>
    <d v="2023-07-10T19:02:12"/>
    <s v="Y"/>
    <s v="Preparation - drafting instructions"/>
    <s v="Non Family Hourly Rates"/>
    <s v="Profit Cost"/>
    <s v="OPA"/>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3"/>
    <d v="2023-07-10T19:01:50"/>
    <s v="Y"/>
    <s v="Preparation - drafting application"/>
    <s v="Non Family Hourly Rates"/>
    <s v="Profit Cost"/>
    <s v="RG"/>
    <s v="Y"/>
    <n v="25.2"/>
    <n v="5.04"/>
    <x v="2"/>
    <s v="VALIDATED"/>
    <n v="1"/>
    <s v="01.11.80.208.6100.0000"/>
    <n v="25.2"/>
    <s v="11"/>
    <s v="6100"/>
    <n v="-235.34"/>
    <n v="25.2"/>
    <s v="DEBTOR"/>
    <n v="0"/>
    <n v="0"/>
    <n v="0"/>
    <n v="0"/>
    <n v="0"/>
  </r>
  <r>
    <n v="9457818"/>
    <s v="N"/>
    <n v="21318603"/>
    <s v="3000005414100018"/>
    <s v="CIVIL"/>
    <d v="2023-06-22T00:00:00"/>
    <d v="2023-07-03T19:01:49"/>
    <m/>
    <d v="2023-07-03T00:00:00"/>
    <n v="1982"/>
    <n v="14353"/>
    <s v="9457818"/>
    <s v="9457818"/>
    <m/>
    <m/>
    <n v="22747854"/>
    <m/>
    <m/>
    <m/>
    <s v="SOLFIN"/>
    <s v="SOLFIN"/>
    <s v="CCMS"/>
    <n v="21318603"/>
    <n v="5892.51"/>
    <m/>
    <s v="N"/>
    <n v="11"/>
    <d v="2023-07-03T19:02:00"/>
    <s v="Y"/>
    <s v="Advocates Meeting"/>
    <s v="Public Law Children"/>
    <s v="Advocacy"/>
    <s v="AB"/>
    <s v="Y"/>
    <n v="140.99"/>
    <n v="28.2"/>
    <x v="3"/>
    <s v="VALIDATED"/>
    <n v="1"/>
    <s v="01.11.80.308.6100.0000"/>
    <n v="140.99"/>
    <s v="11"/>
    <s v="6100"/>
    <n v="-235.34"/>
    <n v="140.99"/>
    <s v="DEBTOR"/>
    <n v="0"/>
    <n v="0"/>
    <n v="0"/>
    <n v="0"/>
    <n v="0"/>
  </r>
  <r>
    <n v="61873244"/>
    <s v="N"/>
    <n v="21350086"/>
    <s v="3000015935770001"/>
    <s v="CIVIL"/>
    <d v="2023-06-29T00:00:00"/>
    <d v="2023-07-10T19:01:40"/>
    <m/>
    <d v="2023-07-10T00:00:00"/>
    <n v="1982"/>
    <n v="14353"/>
    <s v="61873244"/>
    <s v="61873244"/>
    <m/>
    <m/>
    <n v="22788690"/>
    <m/>
    <m/>
    <m/>
    <s v="SOLFIN"/>
    <s v="SOLFIN"/>
    <s v="CCMS"/>
    <n v="21350086"/>
    <n v="421.11"/>
    <m/>
    <s v="N"/>
    <n v="4"/>
    <d v="2023-07-10T19:02:13"/>
    <s v="Y"/>
    <s v="Preparation - other"/>
    <s v="Non Family Hourly Rates"/>
    <s v="Profit Cost"/>
    <s v="OPA"/>
    <s v="Y"/>
    <n v="63"/>
    <n v="12.6"/>
    <x v="2"/>
    <s v="VALIDATED"/>
    <n v="1"/>
    <s v="01.11.80.208.6100.0000"/>
    <n v="63"/>
    <s v="11"/>
    <s v="6100"/>
    <n v="-235.34"/>
    <n v="63"/>
    <s v="DEBTOR"/>
    <n v="0"/>
    <n v="0"/>
    <n v="0"/>
    <n v="0"/>
    <n v="0"/>
  </r>
  <r>
    <n v="62008551"/>
    <s v="N"/>
    <n v="21350076"/>
    <s v="3000016049460001"/>
    <s v="CIVIL"/>
    <d v="2023-06-29T00:00:00"/>
    <d v="2023-07-10T19:01:40"/>
    <m/>
    <d v="2023-07-10T00:00:00"/>
    <n v="1982"/>
    <n v="14353"/>
    <s v="62008551"/>
    <s v="62008551"/>
    <m/>
    <m/>
    <n v="22788806"/>
    <m/>
    <m/>
    <m/>
    <s v="SOLFIN"/>
    <s v="SOLFIN"/>
    <s v="CCMS"/>
    <n v="21350076"/>
    <n v="780.62"/>
    <m/>
    <s v="N"/>
    <n v="2"/>
    <d v="2023-07-10T19:02:12"/>
    <s v="Y"/>
    <s v="Preparation - other"/>
    <s v="Non Family Hourly Rates"/>
    <s v="Profit Cost"/>
    <s v="OPA"/>
    <s v="Y"/>
    <n v="12.6"/>
    <n v="2.52"/>
    <x v="2"/>
    <s v="VALIDATED"/>
    <n v="1"/>
    <s v="01.11.80.208.6100.0000"/>
    <n v="12.6"/>
    <s v="11"/>
    <s v="6100"/>
    <n v="-235.34"/>
    <n v="12.6"/>
    <s v="DEBTOR"/>
    <n v="0"/>
    <n v="0"/>
    <n v="0"/>
    <n v="0"/>
    <n v="0"/>
  </r>
  <r>
    <n v="62008551"/>
    <s v="N"/>
    <n v="21350076"/>
    <s v="3000016049460001"/>
    <s v="CIVIL"/>
    <d v="2023-06-29T00:00:00"/>
    <d v="2023-07-10T19:01:40"/>
    <m/>
    <d v="2023-07-10T00:00:00"/>
    <n v="1982"/>
    <n v="14353"/>
    <s v="62008551"/>
    <s v="62008551"/>
    <m/>
    <m/>
    <n v="22788806"/>
    <m/>
    <m/>
    <m/>
    <s v="SOLFIN"/>
    <s v="SOLFIN"/>
    <s v="CCMS"/>
    <n v="21350076"/>
    <n v="780.62"/>
    <m/>
    <s v="N"/>
    <n v="6"/>
    <d v="2023-07-10T19:02:12"/>
    <s v="Y"/>
    <s v="Preparation - drafting bill/claim f"/>
    <s v="Non Family Hourly Rates"/>
    <s v="Profit Cost"/>
    <s v="OPA"/>
    <s v="Y"/>
    <n v="31.5"/>
    <n v="6.3"/>
    <x v="2"/>
    <s v="VALIDATED"/>
    <n v="1"/>
    <s v="01.11.80.208.6100.0000"/>
    <n v="31.5"/>
    <s v="11"/>
    <s v="6100"/>
    <n v="-235.34"/>
    <n v="31.5"/>
    <s v="DEBTOR"/>
    <n v="0"/>
    <n v="0"/>
    <n v="0"/>
    <n v="0"/>
    <n v="0"/>
  </r>
  <r>
    <n v="9851492"/>
    <s v="N"/>
    <n v="21349431"/>
    <s v="3000005763130003"/>
    <s v="CIVIL"/>
    <d v="2023-06-29T00:00:00"/>
    <d v="2023-07-10T19:01:40"/>
    <m/>
    <d v="2023-07-10T00:00:00"/>
    <n v="1982"/>
    <n v="14353"/>
    <s v="9851492"/>
    <s v="9851492"/>
    <m/>
    <m/>
    <n v="22788236"/>
    <m/>
    <m/>
    <m/>
    <s v="SOLFIN"/>
    <s v="SOLFIN"/>
    <s v="CCMS"/>
    <n v="21349431"/>
    <n v="1455.95"/>
    <m/>
    <s v="N"/>
    <n v="11"/>
    <d v="2023-07-10T19:01:50"/>
    <s v="Y"/>
    <s v="Preparation - drafting notice(s)"/>
    <s v="Non Family Hourly Rates"/>
    <s v="Profit Cost"/>
    <s v="RG"/>
    <s v="Y"/>
    <n v="12.6"/>
    <n v="2.52"/>
    <x v="2"/>
    <s v="VALIDATED"/>
    <n v="1"/>
    <s v="01.11.80.208.6100.0000"/>
    <n v="12.6"/>
    <s v="11"/>
    <s v="6100"/>
    <n v="-235.34"/>
    <n v="12.6"/>
    <s v="DEBTOR"/>
    <n v="0"/>
    <n v="0"/>
    <n v="0"/>
    <n v="0"/>
    <n v="0"/>
  </r>
  <r>
    <n v="9851492"/>
    <s v="N"/>
    <n v="21349431"/>
    <s v="3000005763130003"/>
    <s v="CIVIL"/>
    <d v="2023-06-29T00:00:00"/>
    <d v="2023-07-10T19:01:40"/>
    <m/>
    <d v="2023-07-10T00:00:00"/>
    <n v="1982"/>
    <n v="14353"/>
    <s v="9851492"/>
    <s v="9851492"/>
    <m/>
    <m/>
    <n v="22788236"/>
    <m/>
    <m/>
    <m/>
    <s v="SOLFIN"/>
    <s v="SOLFIN"/>
    <s v="CCMS"/>
    <n v="21349431"/>
    <n v="1455.95"/>
    <m/>
    <s v="N"/>
    <n v="30"/>
    <d v="2023-07-10T19:01:50"/>
    <s v="Y"/>
    <s v="Preparation - other"/>
    <s v="Non Family Hourly Rates"/>
    <s v="Profit Cost"/>
    <s v="RG"/>
    <s v="Y"/>
    <n v="6.3"/>
    <n v="1.26"/>
    <x v="2"/>
    <s v="VALIDATED"/>
    <n v="1"/>
    <s v="01.11.80.208.6100.0000"/>
    <n v="6.3"/>
    <s v="11"/>
    <s v="6100"/>
    <n v="-235.34"/>
    <n v="6.3"/>
    <s v="DEBTOR"/>
    <n v="0"/>
    <n v="0"/>
    <n v="0"/>
    <n v="0"/>
    <n v="0"/>
  </r>
  <r>
    <n v="9457818"/>
    <s v="N"/>
    <n v="21318603"/>
    <s v="3000005414100018"/>
    <s v="CIVIL"/>
    <d v="2023-06-22T00:00:00"/>
    <d v="2023-07-03T19:01:49"/>
    <m/>
    <d v="2023-07-03T00:00:00"/>
    <n v="1982"/>
    <n v="14353"/>
    <s v="9457818"/>
    <s v="9457818"/>
    <m/>
    <m/>
    <n v="22747854"/>
    <m/>
    <m/>
    <m/>
    <s v="SOLFIN"/>
    <s v="SOLFIN"/>
    <s v="CCMS"/>
    <n v="21318603"/>
    <n v="5892.51"/>
    <m/>
    <s v="N"/>
    <n v="8"/>
    <d v="2023-07-03T19:02:00"/>
    <s v="Y"/>
    <s v="Toxicologist"/>
    <s v="Public Law Children"/>
    <s v="Expert Disbursement"/>
    <s v="XXX"/>
    <s v="Y"/>
    <n v="80"/>
    <n v="16"/>
    <x v="3"/>
    <s v="VALIDATED"/>
    <n v="1"/>
    <s v="01.11.80.308.6300.0000"/>
    <n v="80"/>
    <s v="11"/>
    <s v="6300"/>
    <n v="-235.34"/>
    <n v="80"/>
    <s v="DEBTOR"/>
    <n v="0"/>
    <n v="0"/>
    <n v="0"/>
    <n v="0"/>
    <n v="0"/>
  </r>
  <r>
    <n v="9851492"/>
    <s v="N"/>
    <n v="21349431"/>
    <s v="3000005763130003"/>
    <s v="CIVIL"/>
    <d v="2023-06-29T00:00:00"/>
    <d v="2023-07-10T19:01:40"/>
    <m/>
    <d v="2023-07-10T00:00:00"/>
    <n v="1982"/>
    <n v="14353"/>
    <s v="9851492"/>
    <s v="9851492"/>
    <m/>
    <m/>
    <n v="22788236"/>
    <m/>
    <m/>
    <m/>
    <s v="SOLFIN"/>
    <s v="SOLFIN"/>
    <s v="CCMS"/>
    <n v="21349431"/>
    <n v="1455.95"/>
    <m/>
    <s v="N"/>
    <n v="23"/>
    <d v="2023-07-10T19:01:50"/>
    <s v="Y"/>
    <s v="Preparation - other"/>
    <s v="Non Family Hourly Rates"/>
    <s v="Profit Cost"/>
    <s v="RG"/>
    <s v="Y"/>
    <n v="12.6"/>
    <n v="2.52"/>
    <x v="2"/>
    <s v="VALIDATED"/>
    <n v="1"/>
    <s v="01.11.80.208.6100.0000"/>
    <n v="12.6"/>
    <s v="11"/>
    <s v="6100"/>
    <n v="-235.34"/>
    <n v="12.6"/>
    <s v="DEBTOR"/>
    <n v="0"/>
    <n v="0"/>
    <n v="0"/>
    <n v="0"/>
    <n v="0"/>
  </r>
  <r>
    <n v="9457818"/>
    <s v="N"/>
    <n v="21318603"/>
    <s v="3000005414100018"/>
    <s v="CIVIL"/>
    <d v="2023-06-22T00:00:00"/>
    <d v="2023-07-03T19:01:49"/>
    <m/>
    <d v="2023-07-03T00:00:00"/>
    <n v="1982"/>
    <n v="14353"/>
    <s v="9457818"/>
    <s v="9457818"/>
    <m/>
    <m/>
    <n v="22747854"/>
    <m/>
    <m/>
    <m/>
    <s v="SOLFIN"/>
    <s v="SOLFIN"/>
    <s v="CCMS"/>
    <n v="21318603"/>
    <n v="5892.51"/>
    <m/>
    <s v="N"/>
    <n v="2"/>
    <d v="2023-07-03T19:02:00"/>
    <s v="Y"/>
    <s v="Doctor (GP)"/>
    <s v="Public Law Children"/>
    <s v="Expert Disbursement"/>
    <s v="XXX"/>
    <s v="Y"/>
    <n v="72"/>
    <n v="0"/>
    <x v="3"/>
    <s v="VALIDATED"/>
    <n v="1"/>
    <s v="01.11.80.308.6300.0000"/>
    <n v="72"/>
    <s v="11"/>
    <s v="6300"/>
    <n v="-235.34"/>
    <n v="72"/>
    <s v="DEBTOR"/>
    <n v="0"/>
    <n v="0"/>
    <n v="0"/>
    <n v="0"/>
    <n v="0"/>
  </r>
  <r>
    <n v="9851492"/>
    <s v="N"/>
    <n v="21349431"/>
    <s v="3000005763130003"/>
    <s v="CIVIL"/>
    <d v="2023-06-29T00:00:00"/>
    <d v="2023-07-10T19:01:40"/>
    <m/>
    <d v="2023-07-10T00:00:00"/>
    <n v="1982"/>
    <n v="14353"/>
    <s v="9851492"/>
    <s v="9851492"/>
    <m/>
    <m/>
    <n v="22788236"/>
    <m/>
    <m/>
    <m/>
    <s v="SOLFIN"/>
    <s v="SOLFIN"/>
    <s v="CCMS"/>
    <n v="21349431"/>
    <n v="1455.95"/>
    <m/>
    <s v="N"/>
    <n v="31"/>
    <d v="2023-07-10T19:01:50"/>
    <s v="Y"/>
    <s v="Preparation - other"/>
    <s v="Non Family Hourly Rates"/>
    <s v="Profit Cost"/>
    <s v="RG"/>
    <s v="Y"/>
    <n v="12.6"/>
    <n v="2.52"/>
    <x v="2"/>
    <s v="VALIDATED"/>
    <n v="1"/>
    <s v="01.11.80.208.6100.0000"/>
    <n v="12.6"/>
    <s v="11"/>
    <s v="6100"/>
    <n v="-235.34"/>
    <n v="12.6"/>
    <s v="DEBTOR"/>
    <n v="0"/>
    <n v="0"/>
    <n v="0"/>
    <n v="0"/>
    <n v="0"/>
  </r>
  <r>
    <n v="9457818"/>
    <s v="N"/>
    <n v="21318603"/>
    <s v="3000005414100018"/>
    <s v="CIVIL"/>
    <d v="2023-06-22T00:00:00"/>
    <d v="2023-07-03T19:01:49"/>
    <m/>
    <d v="2023-07-03T00:00:00"/>
    <n v="1982"/>
    <n v="14353"/>
    <s v="9457818"/>
    <s v="9457818"/>
    <m/>
    <m/>
    <n v="22747854"/>
    <m/>
    <m/>
    <m/>
    <s v="SOLFIN"/>
    <s v="SOLFIN"/>
    <s v="CCMS"/>
    <n v="21318603"/>
    <n v="5892.51"/>
    <m/>
    <s v="N"/>
    <n v="6"/>
    <d v="2023-07-03T19:02:00"/>
    <s v="Y"/>
    <s v="Toxicologist"/>
    <s v="Public Law Children"/>
    <s v="Expert Disbursement"/>
    <s v="XXX"/>
    <s v="Y"/>
    <n v="220.5"/>
    <n v="44.1"/>
    <x v="3"/>
    <s v="VALIDATED"/>
    <n v="1"/>
    <s v="01.11.80.308.6300.0000"/>
    <n v="220.5"/>
    <s v="11"/>
    <s v="6300"/>
    <n v="-235.34"/>
    <n v="220.5"/>
    <s v="DEBTOR"/>
    <n v="0"/>
    <n v="0"/>
    <n v="0"/>
    <n v="0"/>
    <n v="0"/>
  </r>
  <r>
    <n v="9457818"/>
    <s v="N"/>
    <n v="21318603"/>
    <s v="3000005414100018"/>
    <s v="CIVIL"/>
    <d v="2023-06-22T00:00:00"/>
    <d v="2023-07-03T19:01:49"/>
    <m/>
    <d v="2023-07-03T00:00:00"/>
    <n v="1982"/>
    <n v="14353"/>
    <s v="9457818"/>
    <s v="9457818"/>
    <m/>
    <m/>
    <n v="22747854"/>
    <m/>
    <m/>
    <m/>
    <s v="SOLFIN"/>
    <s v="SOLFIN"/>
    <s v="CCMS"/>
    <n v="21318603"/>
    <n v="5892.51"/>
    <m/>
    <s v="N"/>
    <n v="4"/>
    <d v="2023-07-03T19:02:00"/>
    <s v="Y"/>
    <s v="Psychologist"/>
    <s v="Public Law Children"/>
    <s v="Expert Disbursement"/>
    <s v="XXX"/>
    <s v="Y"/>
    <n v="189.46"/>
    <n v="37.89"/>
    <x v="3"/>
    <s v="VALIDATED"/>
    <n v="1"/>
    <s v="01.11.80.308.6300.0000"/>
    <n v="189.46"/>
    <s v="11"/>
    <s v="6300"/>
    <n v="-235.34"/>
    <n v="189.46"/>
    <s v="DEBTOR"/>
    <n v="0"/>
    <n v="0"/>
    <n v="0"/>
    <n v="0"/>
    <n v="0"/>
  </r>
  <r>
    <n v="9851492"/>
    <s v="N"/>
    <n v="21349431"/>
    <s v="3000005763130003"/>
    <s v="CIVIL"/>
    <d v="2023-06-29T00:00:00"/>
    <d v="2023-07-10T19:01:40"/>
    <m/>
    <d v="2023-07-10T00:00:00"/>
    <n v="1982"/>
    <n v="14353"/>
    <s v="9851492"/>
    <s v="9851492"/>
    <m/>
    <m/>
    <n v="22788236"/>
    <m/>
    <m/>
    <m/>
    <s v="SOLFIN"/>
    <s v="SOLFIN"/>
    <s v="CCMS"/>
    <n v="21349431"/>
    <n v="1455.95"/>
    <m/>
    <s v="N"/>
    <n v="4"/>
    <d v="2023-07-10T19:01:50"/>
    <s v="Y"/>
    <s v="Preparation - other"/>
    <s v="Non Family Hourly Rates"/>
    <s v="Profit Cost"/>
    <s v="RG"/>
    <s v="Y"/>
    <n v="31.5"/>
    <n v="6.3"/>
    <x v="2"/>
    <s v="VALIDATED"/>
    <n v="1"/>
    <s v="01.11.80.208.6100.0000"/>
    <n v="31.5"/>
    <s v="11"/>
    <s v="6100"/>
    <n v="-235.34"/>
    <n v="31.5"/>
    <s v="DEBTOR"/>
    <n v="0"/>
    <n v="0"/>
    <n v="0"/>
    <n v="0"/>
    <n v="0"/>
  </r>
  <r>
    <n v="9851492"/>
    <s v="N"/>
    <n v="21349431"/>
    <s v="3000005763130003"/>
    <s v="CIVIL"/>
    <d v="2023-06-29T00:00:00"/>
    <d v="2023-07-10T19:01:40"/>
    <m/>
    <d v="2023-07-10T00:00:00"/>
    <n v="1982"/>
    <n v="14353"/>
    <s v="9851492"/>
    <s v="9851492"/>
    <m/>
    <m/>
    <n v="22788236"/>
    <m/>
    <m/>
    <m/>
    <s v="SOLFIN"/>
    <s v="SOLFIN"/>
    <s v="CCMS"/>
    <n v="21349431"/>
    <n v="1455.95"/>
    <m/>
    <s v="N"/>
    <n v="32"/>
    <d v="2023-07-10T19:01:50"/>
    <s v="Y"/>
    <s v="Preparation - drafting bill/claim f"/>
    <s v="Non Family Hourly Rates"/>
    <s v="Profit Cost"/>
    <s v="RG"/>
    <s v="Y"/>
    <n v="94.5"/>
    <n v="18.9"/>
    <x v="2"/>
    <s v="VALIDATED"/>
    <n v="1"/>
    <s v="01.11.80.208.6100.0000"/>
    <n v="94.5"/>
    <s v="11"/>
    <s v="6100"/>
    <n v="-235.34"/>
    <n v="94.5"/>
    <s v="DEBTOR"/>
    <n v="0"/>
    <n v="0"/>
    <n v="0"/>
    <n v="0"/>
    <n v="0"/>
  </r>
  <r>
    <n v="61873244"/>
    <s v="N"/>
    <n v="21350086"/>
    <s v="3000015935770001"/>
    <s v="CIVIL"/>
    <d v="2023-06-29T00:00:00"/>
    <d v="2023-07-10T19:01:40"/>
    <m/>
    <d v="2023-07-10T00:00:00"/>
    <n v="1982"/>
    <n v="14353"/>
    <s v="61873244"/>
    <s v="61873244"/>
    <m/>
    <m/>
    <n v="22788690"/>
    <m/>
    <m/>
    <m/>
    <s v="SOLFIN"/>
    <s v="SOLFIN"/>
    <s v="CCMS"/>
    <n v="21350086"/>
    <n v="421.11"/>
    <m/>
    <s v="N"/>
    <n v="6"/>
    <d v="2023-07-10T19:02:13"/>
    <s v="Y"/>
    <s v="Routine Telephone Call"/>
    <s v="Non Family Hourly Rates"/>
    <s v="Profit Cost"/>
    <s v="OPA"/>
    <s v="Y"/>
    <n v="6.58"/>
    <n v="1.32"/>
    <x v="2"/>
    <s v="VALIDATED"/>
    <n v="1"/>
    <s v="01.11.80.208.6100.0000"/>
    <n v="6.58"/>
    <s v="11"/>
    <s v="6100"/>
    <n v="-235.34"/>
    <n v="6.58"/>
    <s v="DEBTOR"/>
    <n v="0"/>
    <n v="0"/>
    <n v="0"/>
    <n v="0"/>
    <n v="0"/>
  </r>
  <r>
    <n v="9851492"/>
    <s v="N"/>
    <n v="21349431"/>
    <s v="3000005763130003"/>
    <s v="CIVIL"/>
    <d v="2023-06-29T00:00:00"/>
    <d v="2023-07-10T19:01:40"/>
    <m/>
    <d v="2023-07-10T00:00:00"/>
    <n v="1982"/>
    <n v="14353"/>
    <s v="9851492"/>
    <s v="9851492"/>
    <m/>
    <m/>
    <n v="22788236"/>
    <m/>
    <m/>
    <m/>
    <s v="SOLFIN"/>
    <s v="SOLFIN"/>
    <s v="CCMS"/>
    <n v="21349431"/>
    <n v="1455.95"/>
    <m/>
    <s v="N"/>
    <n v="18"/>
    <d v="2023-07-10T19:01:50"/>
    <s v="Y"/>
    <s v="Preparation - other"/>
    <s v="Non Family Hourly Rates"/>
    <s v="Profit Cost"/>
    <s v="RG"/>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34"/>
    <d v="2023-07-10T19:01:50"/>
    <s v="Y"/>
    <s v="Routine Telephone Call"/>
    <s v="Non Family Hourly Rates"/>
    <s v="Profit Cost"/>
    <s v="RG"/>
    <s v="Y"/>
    <n v="32.9"/>
    <n v="6.58"/>
    <x v="2"/>
    <s v="VALIDATED"/>
    <n v="1"/>
    <s v="01.11.80.208.6100.0000"/>
    <n v="32.9"/>
    <s v="11"/>
    <s v="6100"/>
    <n v="-235.34"/>
    <n v="32.9"/>
    <s v="DEBTOR"/>
    <n v="0"/>
    <n v="0"/>
    <n v="0"/>
    <n v="0"/>
    <n v="0"/>
  </r>
  <r>
    <n v="9851492"/>
    <s v="N"/>
    <n v="21349431"/>
    <s v="3000005763130003"/>
    <s v="CIVIL"/>
    <d v="2023-06-29T00:00:00"/>
    <d v="2023-07-10T19:01:40"/>
    <m/>
    <d v="2023-07-10T00:00:00"/>
    <n v="1982"/>
    <n v="14353"/>
    <s v="9851492"/>
    <s v="9851492"/>
    <m/>
    <m/>
    <n v="22788236"/>
    <m/>
    <m/>
    <m/>
    <s v="SOLFIN"/>
    <s v="SOLFIN"/>
    <s v="CCMS"/>
    <n v="21349431"/>
    <n v="1455.95"/>
    <m/>
    <s v="N"/>
    <n v="13"/>
    <d v="2023-07-10T19:01:50"/>
    <s v="Y"/>
    <s v="Attendance upon/with Counsel at Con"/>
    <s v="Non Family Hourly Rates"/>
    <s v="Profit Cost"/>
    <s v="RG"/>
    <s v="Y"/>
    <n v="8.779999999999999"/>
    <n v="1.76"/>
    <x v="2"/>
    <s v="VALIDATED"/>
    <n v="1"/>
    <s v="01.11.80.208.6100.0000"/>
    <n v="8.779999999999999"/>
    <s v="11"/>
    <s v="6100"/>
    <n v="-235.34"/>
    <n v="8.779999999999999"/>
    <s v="DEBTOR"/>
    <n v="0"/>
    <n v="0"/>
    <n v="0"/>
    <n v="0"/>
    <n v="0"/>
  </r>
  <r>
    <n v="9851492"/>
    <s v="N"/>
    <n v="21349431"/>
    <s v="3000005763130003"/>
    <s v="CIVIL"/>
    <d v="2023-06-29T00:00:00"/>
    <d v="2023-07-10T19:01:40"/>
    <m/>
    <d v="2023-07-10T00:00:00"/>
    <n v="1982"/>
    <n v="14353"/>
    <s v="9851492"/>
    <s v="9851492"/>
    <m/>
    <m/>
    <n v="22788236"/>
    <m/>
    <m/>
    <m/>
    <s v="SOLFIN"/>
    <s v="SOLFIN"/>
    <s v="CCMS"/>
    <n v="21349431"/>
    <n v="1455.95"/>
    <m/>
    <s v="N"/>
    <n v="33"/>
    <d v="2023-07-10T19:01:50"/>
    <s v="Y"/>
    <s v="Preparation - drafting bill/claim f"/>
    <s v="Non Family Hourly Rates"/>
    <s v="Profit Cost"/>
    <s v="TRS"/>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12"/>
    <d v="2023-07-10T19:01:50"/>
    <s v="Y"/>
    <s v="Preparation - drafting statement"/>
    <s v="Non Family Hourly Rates"/>
    <s v="Profit Cost"/>
    <s v="RG"/>
    <s v="Y"/>
    <n v="18.9"/>
    <n v="3.78"/>
    <x v="2"/>
    <s v="VALIDATED"/>
    <n v="1"/>
    <s v="01.11.80.208.6100.0000"/>
    <n v="18.9"/>
    <s v="11"/>
    <s v="6100"/>
    <n v="-235.34"/>
    <n v="18.9"/>
    <s v="DEBTOR"/>
    <n v="0"/>
    <n v="0"/>
    <n v="0"/>
    <n v="0"/>
    <n v="0"/>
  </r>
  <r>
    <n v="9851492"/>
    <s v="N"/>
    <n v="21349431"/>
    <s v="3000005763130003"/>
    <s v="CIVIL"/>
    <d v="2023-06-29T00:00:00"/>
    <d v="2023-07-10T19:01:40"/>
    <m/>
    <d v="2023-07-10T00:00:00"/>
    <n v="1982"/>
    <n v="14353"/>
    <s v="9851492"/>
    <s v="9851492"/>
    <m/>
    <m/>
    <n v="22788236"/>
    <m/>
    <m/>
    <m/>
    <s v="SOLFIN"/>
    <s v="SOLFIN"/>
    <s v="CCMS"/>
    <n v="21349431"/>
    <n v="1455.95"/>
    <m/>
    <s v="N"/>
    <n v="24"/>
    <d v="2023-07-10T19:01:50"/>
    <s v="Y"/>
    <s v="Preparation - other"/>
    <s v="Non Family Hourly Rates"/>
    <s v="Profit Cost"/>
    <s v="RG"/>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2"/>
    <d v="2023-07-10T19:01:50"/>
    <s v="Y"/>
    <s v="Preparation - drafting notice(s)"/>
    <s v="Non Family Hourly Rates"/>
    <s v="Profit Cost"/>
    <s v="RG"/>
    <s v="Y"/>
    <n v="6.3"/>
    <n v="1.26"/>
    <x v="2"/>
    <s v="VALIDATED"/>
    <n v="1"/>
    <s v="01.11.80.208.6100.0000"/>
    <n v="6.3"/>
    <s v="11"/>
    <s v="6100"/>
    <n v="-235.34"/>
    <n v="6.3"/>
    <s v="DEBTOR"/>
    <n v="0"/>
    <n v="0"/>
    <n v="0"/>
    <n v="0"/>
    <n v="0"/>
  </r>
  <r>
    <n v="62008551"/>
    <s v="N"/>
    <n v="21350076"/>
    <s v="3000016049460001"/>
    <s v="CIVIL"/>
    <d v="2023-06-29T00:00:00"/>
    <d v="2023-07-10T19:01:40"/>
    <m/>
    <d v="2023-07-10T00:00:00"/>
    <n v="1982"/>
    <n v="14353"/>
    <s v="62008551"/>
    <s v="62008551"/>
    <m/>
    <m/>
    <n v="22788806"/>
    <m/>
    <m/>
    <m/>
    <s v="SOLFIN"/>
    <s v="SOLFIN"/>
    <s v="CCMS"/>
    <n v="21350076"/>
    <n v="780.62"/>
    <m/>
    <s v="N"/>
    <n v="1"/>
    <d v="2023-07-10T19:02:12"/>
    <s v="Y"/>
    <s v="Preparation - other"/>
    <s v="Non Family Hourly Rates"/>
    <s v="Profit Cost"/>
    <s v="OPA"/>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22"/>
    <d v="2023-07-10T19:01:50"/>
    <s v="Y"/>
    <s v="Preparation - drafting attendance n"/>
    <s v="Non Family Hourly Rates"/>
    <s v="Profit Cost"/>
    <s v="RG"/>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6"/>
    <d v="2023-07-10T19:01:50"/>
    <s v="Y"/>
    <s v="Preparation - other"/>
    <s v="Non Family Hourly Rates"/>
    <s v="Profit Cost"/>
    <s v="RG"/>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28"/>
    <d v="2023-07-10T19:01:50"/>
    <s v="Y"/>
    <s v="Preparation - other"/>
    <s v="Non Family Hourly Rates"/>
    <s v="Profit Cost"/>
    <s v="RG"/>
    <s v="Y"/>
    <n v="6.3"/>
    <n v="1.26"/>
    <x v="2"/>
    <s v="VALIDATED"/>
    <n v="1"/>
    <s v="01.11.80.208.6100.0000"/>
    <n v="6.3"/>
    <s v="11"/>
    <s v="6100"/>
    <n v="-235.34"/>
    <n v="6.3"/>
    <s v="DEBTOR"/>
    <n v="0"/>
    <n v="0"/>
    <n v="0"/>
    <n v="0"/>
    <n v="0"/>
  </r>
  <r>
    <n v="9457818"/>
    <s v="N"/>
    <n v="21318603"/>
    <s v="3000005414100018"/>
    <s v="CIVIL"/>
    <d v="2023-06-22T00:00:00"/>
    <d v="2023-07-03T19:01:49"/>
    <m/>
    <d v="2023-07-03T00:00:00"/>
    <n v="1982"/>
    <n v="14353"/>
    <s v="9457818"/>
    <s v="9457818"/>
    <m/>
    <m/>
    <n v="22747854"/>
    <m/>
    <m/>
    <m/>
    <s v="SOLFIN"/>
    <s v="SOLFIN"/>
    <s v="CCMS"/>
    <n v="21318603"/>
    <n v="5892.51"/>
    <m/>
    <s v="N"/>
    <n v="1"/>
    <d v="2023-07-03T19:02:00"/>
    <s v="Y"/>
    <s v="Solicitors Fixed Fee"/>
    <s v="Public Law Children"/>
    <s v="Profit Cost"/>
    <s v="XXX"/>
    <s v="Y"/>
    <n v="2616"/>
    <n v="523.2"/>
    <x v="3"/>
    <s v="VALIDATED"/>
    <n v="1"/>
    <s v="01.11.80.308.6100.0000"/>
    <n v="2616"/>
    <s v="11"/>
    <s v="6100"/>
    <n v="-235.34"/>
    <n v="2616"/>
    <s v="DEBTOR"/>
    <n v="0"/>
    <n v="0"/>
    <n v="0"/>
    <n v="0"/>
    <n v="0"/>
  </r>
  <r>
    <n v="61873244"/>
    <s v="N"/>
    <n v="21350086"/>
    <s v="3000015935770001"/>
    <s v="CIVIL"/>
    <d v="2023-06-29T00:00:00"/>
    <d v="2023-07-10T19:01:40"/>
    <m/>
    <d v="2023-07-10T00:00:00"/>
    <n v="1982"/>
    <n v="14353"/>
    <s v="61873244"/>
    <s v="61873244"/>
    <m/>
    <m/>
    <n v="22788690"/>
    <m/>
    <m/>
    <m/>
    <s v="SOLFIN"/>
    <s v="SOLFIN"/>
    <s v="CCMS"/>
    <n v="21350086"/>
    <n v="421.11"/>
    <m/>
    <s v="N"/>
    <n v="2"/>
    <d v="2023-07-10T19:02:13"/>
    <s v="Y"/>
    <s v="Preparation - other"/>
    <s v="Non Family Hourly Rates"/>
    <s v="Profit Cost"/>
    <s v="OPA"/>
    <s v="Y"/>
    <n v="12.6"/>
    <n v="2.52"/>
    <x v="2"/>
    <s v="VALIDATED"/>
    <n v="1"/>
    <s v="01.11.80.208.6100.0000"/>
    <n v="12.6"/>
    <s v="11"/>
    <s v="6100"/>
    <n v="-235.34"/>
    <n v="12.6"/>
    <s v="DEBTOR"/>
    <n v="0"/>
    <n v="0"/>
    <n v="0"/>
    <n v="0"/>
    <n v="0"/>
  </r>
  <r>
    <n v="9851492"/>
    <s v="N"/>
    <n v="21349431"/>
    <s v="3000005763130003"/>
    <s v="CIVIL"/>
    <d v="2023-06-29T00:00:00"/>
    <d v="2023-07-10T19:01:40"/>
    <m/>
    <d v="2023-07-10T00:00:00"/>
    <n v="1982"/>
    <n v="14353"/>
    <s v="9851492"/>
    <s v="9851492"/>
    <m/>
    <m/>
    <n v="22788236"/>
    <m/>
    <m/>
    <m/>
    <s v="SOLFIN"/>
    <s v="SOLFIN"/>
    <s v="CCMS"/>
    <n v="21349431"/>
    <n v="1455.95"/>
    <m/>
    <s v="N"/>
    <n v="21"/>
    <d v="2023-07-10T19:01:50"/>
    <s v="Y"/>
    <s v="Attendance upon client"/>
    <s v="Non Family Hourly Rates"/>
    <s v="Profit Cost"/>
    <s v="RG"/>
    <s v="Y"/>
    <n v="31.5"/>
    <n v="6.3"/>
    <x v="2"/>
    <s v="VALIDATED"/>
    <n v="1"/>
    <s v="01.11.80.208.6100.0000"/>
    <n v="31.5"/>
    <s v="11"/>
    <s v="6100"/>
    <n v="-235.34"/>
    <n v="31.5"/>
    <s v="DEBTOR"/>
    <n v="0"/>
    <n v="0"/>
    <n v="0"/>
    <n v="0"/>
    <n v="0"/>
  </r>
  <r>
    <n v="9851492"/>
    <s v="N"/>
    <n v="21349431"/>
    <s v="3000005763130003"/>
    <s v="CIVIL"/>
    <d v="2023-06-29T00:00:00"/>
    <d v="2023-07-10T19:01:40"/>
    <m/>
    <d v="2023-07-10T00:00:00"/>
    <n v="1982"/>
    <n v="14353"/>
    <s v="9851492"/>
    <s v="9851492"/>
    <m/>
    <m/>
    <n v="22788236"/>
    <m/>
    <m/>
    <m/>
    <s v="SOLFIN"/>
    <s v="SOLFIN"/>
    <s v="CCMS"/>
    <n v="21349431"/>
    <n v="1455.95"/>
    <m/>
    <s v="N"/>
    <n v="29"/>
    <d v="2023-07-10T19:01:50"/>
    <s v="Y"/>
    <s v="Preparation - drafting consent orde"/>
    <s v="Non Family Hourly Rates"/>
    <s v="Profit Cost"/>
    <s v="RG"/>
    <s v="Y"/>
    <n v="12.6"/>
    <n v="2.52"/>
    <x v="2"/>
    <s v="VALIDATED"/>
    <n v="1"/>
    <s v="01.11.80.208.6100.0000"/>
    <n v="12.6"/>
    <s v="11"/>
    <s v="6100"/>
    <n v="-235.34"/>
    <n v="12.6"/>
    <s v="DEBTOR"/>
    <n v="0"/>
    <n v="0"/>
    <n v="0"/>
    <n v="0"/>
    <n v="0"/>
  </r>
  <r>
    <n v="9851492"/>
    <s v="N"/>
    <n v="21349431"/>
    <s v="3000005763130003"/>
    <s v="CIVIL"/>
    <d v="2023-06-29T00:00:00"/>
    <d v="2023-07-10T19:01:40"/>
    <m/>
    <d v="2023-07-10T00:00:00"/>
    <n v="1982"/>
    <n v="14353"/>
    <s v="9851492"/>
    <s v="9851492"/>
    <m/>
    <m/>
    <n v="22788236"/>
    <m/>
    <m/>
    <m/>
    <s v="SOLFIN"/>
    <s v="SOLFIN"/>
    <s v="CCMS"/>
    <n v="21349431"/>
    <n v="1455.95"/>
    <m/>
    <s v="N"/>
    <n v="19"/>
    <d v="2023-07-10T19:01:50"/>
    <s v="Y"/>
    <s v="Preparation - drafting statement"/>
    <s v="Non Family Hourly Rates"/>
    <s v="Profit Cost"/>
    <s v="RG"/>
    <s v="Y"/>
    <n v="25.2"/>
    <n v="5.04"/>
    <x v="2"/>
    <s v="VALIDATED"/>
    <n v="1"/>
    <s v="01.11.80.208.6100.0000"/>
    <n v="25.2"/>
    <s v="11"/>
    <s v="6100"/>
    <n v="-235.34"/>
    <n v="25.2"/>
    <s v="DEBTOR"/>
    <n v="0"/>
    <n v="0"/>
    <n v="0"/>
    <n v="0"/>
    <n v="0"/>
  </r>
  <r>
    <n v="61873244"/>
    <s v="N"/>
    <n v="21350086"/>
    <s v="3000015935770001"/>
    <s v="CIVIL"/>
    <d v="2023-06-29T00:00:00"/>
    <d v="2023-07-10T19:01:40"/>
    <m/>
    <d v="2023-07-10T00:00:00"/>
    <n v="1982"/>
    <n v="14353"/>
    <s v="61873244"/>
    <s v="61873244"/>
    <m/>
    <m/>
    <n v="22788690"/>
    <m/>
    <m/>
    <m/>
    <s v="SOLFIN"/>
    <s v="SOLFIN"/>
    <s v="CCMS"/>
    <n v="21350086"/>
    <n v="421.11"/>
    <m/>
    <s v="N"/>
    <n v="3"/>
    <d v="2023-07-10T19:02:13"/>
    <s v="Y"/>
    <s v="Attendance upon client"/>
    <s v="Non Family Hourly Rates"/>
    <s v="Profit Cost"/>
    <s v="OPA"/>
    <s v="Y"/>
    <n v="138.6"/>
    <n v="27.72"/>
    <x v="2"/>
    <s v="VALIDATED"/>
    <n v="1"/>
    <s v="01.11.80.208.6100.0000"/>
    <n v="138.6"/>
    <s v="11"/>
    <s v="6100"/>
    <n v="-235.34"/>
    <n v="138.6"/>
    <s v="DEBTOR"/>
    <n v="0"/>
    <n v="0"/>
    <n v="0"/>
    <n v="0"/>
    <n v="0"/>
  </r>
  <r>
    <n v="9851492"/>
    <s v="N"/>
    <n v="21349431"/>
    <s v="3000005763130003"/>
    <s v="CIVIL"/>
    <d v="2023-06-29T00:00:00"/>
    <d v="2023-07-10T19:01:40"/>
    <m/>
    <d v="2023-07-10T00:00:00"/>
    <n v="1982"/>
    <n v="14353"/>
    <s v="9851492"/>
    <s v="9851492"/>
    <m/>
    <m/>
    <n v="22788236"/>
    <m/>
    <m/>
    <m/>
    <s v="SOLFIN"/>
    <s v="SOLFIN"/>
    <s v="CCMS"/>
    <n v="21349431"/>
    <n v="1455.95"/>
    <m/>
    <s v="N"/>
    <n v="8"/>
    <d v="2023-07-10T19:01:50"/>
    <s v="Y"/>
    <s v="Attendance upon client"/>
    <s v="Non Family Hourly Rates"/>
    <s v="Profit Cost"/>
    <s v="RG"/>
    <s v="Y"/>
    <n v="31.5"/>
    <n v="6.3"/>
    <x v="2"/>
    <s v="VALIDATED"/>
    <n v="1"/>
    <s v="01.11.80.208.6100.0000"/>
    <n v="31.5"/>
    <s v="11"/>
    <s v="6100"/>
    <n v="-235.34"/>
    <n v="31.5"/>
    <s v="DEBTOR"/>
    <n v="0"/>
    <n v="0"/>
    <n v="0"/>
    <n v="0"/>
    <n v="0"/>
  </r>
  <r>
    <n v="9457818"/>
    <s v="N"/>
    <n v="21318603"/>
    <s v="3000005414100018"/>
    <s v="CIVIL"/>
    <d v="2023-06-22T00:00:00"/>
    <d v="2023-07-03T19:01:49"/>
    <m/>
    <d v="2023-07-03T00:00:00"/>
    <n v="1982"/>
    <n v="14353"/>
    <s v="9457818"/>
    <s v="9457818"/>
    <m/>
    <m/>
    <n v="22747854"/>
    <m/>
    <m/>
    <m/>
    <s v="SOLFIN"/>
    <s v="SOLFIN"/>
    <s v="CCMS"/>
    <n v="21318603"/>
    <n v="5892.51"/>
    <m/>
    <s v="N"/>
    <n v="10"/>
    <d v="2023-07-03T19:02:00"/>
    <s v="Y"/>
    <s v="Advocates Meeting"/>
    <s v="Public Law Children"/>
    <s v="Advocacy"/>
    <s v="AB"/>
    <s v="Y"/>
    <n v="140.99"/>
    <n v="28.2"/>
    <x v="3"/>
    <s v="VALIDATED"/>
    <n v="1"/>
    <s v="01.11.80.308.6100.0000"/>
    <n v="140.99"/>
    <s v="11"/>
    <s v="6100"/>
    <n v="-235.34"/>
    <n v="140.99"/>
    <s v="DEBTOR"/>
    <n v="0"/>
    <n v="0"/>
    <n v="0"/>
    <n v="0"/>
    <n v="0"/>
  </r>
  <r>
    <n v="9457818"/>
    <s v="N"/>
    <n v="21318603"/>
    <s v="3000005414100018"/>
    <s v="CIVIL"/>
    <d v="2023-06-22T00:00:00"/>
    <d v="2023-07-03T19:01:49"/>
    <m/>
    <d v="2023-07-03T00:00:00"/>
    <n v="1982"/>
    <n v="14353"/>
    <s v="9457818"/>
    <s v="9457818"/>
    <m/>
    <m/>
    <n v="22747854"/>
    <m/>
    <m/>
    <m/>
    <s v="SOLFIN"/>
    <s v="SOLFIN"/>
    <s v="CCMS"/>
    <n v="21318603"/>
    <n v="5892.51"/>
    <m/>
    <s v="N"/>
    <n v="3"/>
    <d v="2023-07-03T19:02:00"/>
    <s v="Y"/>
    <s v="Psychologist"/>
    <s v="Public Law Children"/>
    <s v="Expert Disbursement"/>
    <s v="XXX"/>
    <s v="Y"/>
    <n v="1062.24"/>
    <n v="212.45"/>
    <x v="3"/>
    <s v="VALIDATED"/>
    <n v="1"/>
    <s v="01.11.80.308.6300.0000"/>
    <n v="1062.24"/>
    <s v="11"/>
    <s v="6300"/>
    <n v="-235.34"/>
    <n v="1062.24"/>
    <s v="DEBTOR"/>
    <n v="0"/>
    <n v="0"/>
    <n v="0"/>
    <n v="0"/>
    <n v="0"/>
  </r>
  <r>
    <n v="9851492"/>
    <s v="N"/>
    <n v="21349431"/>
    <s v="3000005763130003"/>
    <s v="CIVIL"/>
    <d v="2023-06-29T00:00:00"/>
    <d v="2023-07-10T19:01:40"/>
    <m/>
    <d v="2023-07-10T00:00:00"/>
    <n v="1982"/>
    <n v="14353"/>
    <s v="9851492"/>
    <s v="9851492"/>
    <m/>
    <m/>
    <n v="22788236"/>
    <m/>
    <m/>
    <m/>
    <s v="SOLFIN"/>
    <s v="SOLFIN"/>
    <s v="CCMS"/>
    <n v="21349431"/>
    <n v="1455.95"/>
    <m/>
    <s v="N"/>
    <n v="35"/>
    <d v="2023-07-10T19:01:50"/>
    <s v="Y"/>
    <s v="Routine Letter Out"/>
    <s v="Non Family Hourly Rates"/>
    <s v="Profit Cost"/>
    <s v="RG"/>
    <s v="Y"/>
    <n v="374.22"/>
    <n v="74.84"/>
    <x v="2"/>
    <s v="VALIDATED"/>
    <n v="1"/>
    <s v="01.11.80.208.6100.0000"/>
    <n v="374.22"/>
    <s v="11"/>
    <s v="6100"/>
    <n v="-235.34"/>
    <n v="374.22"/>
    <s v="DEBTOR"/>
    <n v="0"/>
    <n v="0"/>
    <n v="0"/>
    <n v="0"/>
    <n v="0"/>
  </r>
  <r>
    <n v="9457818"/>
    <s v="N"/>
    <n v="21318603"/>
    <s v="3000005414100018"/>
    <s v="CIVIL"/>
    <d v="2023-06-22T00:00:00"/>
    <d v="2023-07-03T19:01:49"/>
    <m/>
    <d v="2023-07-03T00:00:00"/>
    <n v="1982"/>
    <n v="14353"/>
    <s v="9457818"/>
    <s v="9457818"/>
    <m/>
    <m/>
    <n v="22747854"/>
    <m/>
    <m/>
    <m/>
    <s v="SOLFIN"/>
    <s v="SOLFIN"/>
    <s v="CCMS"/>
    <n v="21318603"/>
    <n v="5892.51"/>
    <m/>
    <s v="N"/>
    <n v="5"/>
    <d v="2023-07-03T19:02:00"/>
    <s v="Y"/>
    <s v="Toxicologist"/>
    <s v="Public Law Children"/>
    <s v="Expert Disbursement"/>
    <s v="XXX"/>
    <s v="Y"/>
    <n v="80"/>
    <n v="16"/>
    <x v="3"/>
    <s v="VALIDATED"/>
    <n v="1"/>
    <s v="01.11.80.308.6300.0000"/>
    <n v="80"/>
    <s v="11"/>
    <s v="6300"/>
    <n v="-235.34"/>
    <n v="80"/>
    <s v="DEBTOR"/>
    <n v="0"/>
    <n v="0"/>
    <n v="0"/>
    <n v="0"/>
    <n v="0"/>
  </r>
  <r>
    <n v="62008551"/>
    <s v="N"/>
    <n v="21350076"/>
    <s v="3000016049460001"/>
    <s v="CIVIL"/>
    <d v="2023-06-29T00:00:00"/>
    <d v="2023-07-10T19:01:40"/>
    <m/>
    <d v="2023-07-10T00:00:00"/>
    <n v="1982"/>
    <n v="14353"/>
    <s v="62008551"/>
    <s v="62008551"/>
    <m/>
    <m/>
    <n v="22788806"/>
    <m/>
    <m/>
    <m/>
    <s v="SOLFIN"/>
    <s v="SOLFIN"/>
    <s v="CCMS"/>
    <n v="21350076"/>
    <n v="780.62"/>
    <m/>
    <s v="N"/>
    <n v="3"/>
    <d v="2023-07-10T19:02:12"/>
    <s v="Y"/>
    <s v="Attendance upon client"/>
    <s v="Non Family Hourly Rates"/>
    <s v="Profit Cost"/>
    <s v="OPA"/>
    <s v="Y"/>
    <n v="94.5"/>
    <n v="18.9"/>
    <x v="2"/>
    <s v="VALIDATED"/>
    <n v="1"/>
    <s v="01.11.80.208.6100.0000"/>
    <n v="94.5"/>
    <s v="11"/>
    <s v="6100"/>
    <n v="-235.34"/>
    <n v="94.5"/>
    <s v="DEBTOR"/>
    <n v="0"/>
    <n v="0"/>
    <n v="0"/>
    <n v="0"/>
    <n v="0"/>
  </r>
  <r>
    <n v="9851492"/>
    <s v="N"/>
    <n v="21349431"/>
    <s v="3000005763130003"/>
    <s v="CIVIL"/>
    <d v="2023-06-29T00:00:00"/>
    <d v="2023-07-10T19:01:40"/>
    <m/>
    <d v="2023-07-10T00:00:00"/>
    <n v="1982"/>
    <n v="14353"/>
    <s v="9851492"/>
    <s v="9851492"/>
    <m/>
    <m/>
    <n v="22788236"/>
    <m/>
    <m/>
    <m/>
    <s v="SOLFIN"/>
    <s v="SOLFIN"/>
    <s v="CCMS"/>
    <n v="21349431"/>
    <n v="1455.95"/>
    <m/>
    <s v="N"/>
    <n v="1"/>
    <d v="2023-07-10T19:01:50"/>
    <s v="Y"/>
    <s v="Court Fee"/>
    <s v="Non Family Hourly Rates"/>
    <s v="Non Expert Disbursement"/>
    <s v="XXX"/>
    <s v="Y"/>
    <n v="255"/>
    <n v="0"/>
    <x v="2"/>
    <s v="VALIDATED"/>
    <n v="1"/>
    <s v="01.11.80.208.6300.0000"/>
    <n v="255"/>
    <s v="11"/>
    <s v="6300"/>
    <n v="-235.34"/>
    <n v="255"/>
    <s v="DEBTOR"/>
    <n v="0"/>
    <n v="0"/>
    <n v="0"/>
    <n v="0"/>
    <n v="0"/>
  </r>
  <r>
    <n v="9851492"/>
    <s v="N"/>
    <n v="21349431"/>
    <s v="3000005763130003"/>
    <s v="CIVIL"/>
    <d v="2023-06-29T00:00:00"/>
    <d v="2023-07-10T19:01:40"/>
    <m/>
    <d v="2023-07-10T00:00:00"/>
    <n v="1982"/>
    <n v="14353"/>
    <s v="9851492"/>
    <s v="9851492"/>
    <m/>
    <m/>
    <n v="22788236"/>
    <m/>
    <m/>
    <m/>
    <s v="SOLFIN"/>
    <s v="SOLFIN"/>
    <s v="CCMS"/>
    <n v="21349431"/>
    <n v="1455.95"/>
    <m/>
    <s v="N"/>
    <n v="9"/>
    <d v="2023-07-10T19:01:50"/>
    <s v="Y"/>
    <s v="Preparation - drafting attendance n"/>
    <s v="Non Family Hourly Rates"/>
    <s v="Profit Cost"/>
    <s v="RG"/>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14"/>
    <d v="2023-07-10T19:01:50"/>
    <s v="Y"/>
    <s v="Travel to attend client"/>
    <s v="Non Family Hourly Rates"/>
    <s v="Profit Cost"/>
    <s v="RG"/>
    <s v="Y"/>
    <n v="36.79"/>
    <n v="7.36"/>
    <x v="2"/>
    <s v="VALIDATED"/>
    <n v="1"/>
    <s v="01.11.80.208.6100.0000"/>
    <n v="36.79"/>
    <s v="11"/>
    <s v="6100"/>
    <n v="-235.34"/>
    <n v="36.79"/>
    <s v="DEBTOR"/>
    <n v="0"/>
    <n v="0"/>
    <n v="0"/>
    <n v="0"/>
    <n v="0"/>
  </r>
  <r>
    <n v="61873244"/>
    <s v="N"/>
    <n v="21350086"/>
    <s v="3000015935770001"/>
    <s v="CIVIL"/>
    <d v="2023-06-29T00:00:00"/>
    <d v="2023-07-10T19:01:40"/>
    <m/>
    <d v="2023-07-10T00:00:00"/>
    <n v="1982"/>
    <n v="14353"/>
    <s v="61873244"/>
    <s v="61873244"/>
    <m/>
    <m/>
    <n v="22788690"/>
    <m/>
    <m/>
    <m/>
    <s v="SOLFIN"/>
    <s v="SOLFIN"/>
    <s v="CCMS"/>
    <n v="21350086"/>
    <n v="421.11"/>
    <m/>
    <s v="N"/>
    <n v="7"/>
    <d v="2023-07-10T19:02:13"/>
    <s v="Y"/>
    <s v="Routine Letter Out"/>
    <s v="Non Family Hourly Rates"/>
    <s v="Profit Cost"/>
    <s v="OPA"/>
    <s v="Y"/>
    <n v="35.64"/>
    <n v="7.13"/>
    <x v="2"/>
    <s v="VALIDATED"/>
    <n v="1"/>
    <s v="01.11.80.208.6100.0000"/>
    <n v="35.64"/>
    <s v="11"/>
    <s v="6100"/>
    <n v="-235.34"/>
    <n v="35.64"/>
    <s v="DEBTOR"/>
    <n v="0"/>
    <n v="0"/>
    <n v="0"/>
    <n v="0"/>
    <n v="0"/>
  </r>
  <r>
    <n v="9851492"/>
    <s v="N"/>
    <n v="21349431"/>
    <s v="3000005763130003"/>
    <s v="CIVIL"/>
    <d v="2023-06-29T00:00:00"/>
    <d v="2023-07-10T19:01:40"/>
    <m/>
    <d v="2023-07-10T00:00:00"/>
    <n v="1982"/>
    <n v="14353"/>
    <s v="9851492"/>
    <s v="9851492"/>
    <m/>
    <m/>
    <n v="22788236"/>
    <m/>
    <m/>
    <m/>
    <s v="SOLFIN"/>
    <s v="SOLFIN"/>
    <s v="CCMS"/>
    <n v="21349431"/>
    <n v="1455.95"/>
    <m/>
    <s v="N"/>
    <n v="5"/>
    <d v="2023-07-10T19:01:50"/>
    <s v="Y"/>
    <s v="Preparation - drafting application"/>
    <s v="Non Family Hourly Rates"/>
    <s v="Profit Cost"/>
    <s v="RG"/>
    <s v="Y"/>
    <n v="44.1"/>
    <n v="8.82"/>
    <x v="2"/>
    <s v="VALIDATED"/>
    <n v="1"/>
    <s v="01.11.80.208.6100.0000"/>
    <n v="44.1"/>
    <s v="11"/>
    <s v="6100"/>
    <n v="-235.34"/>
    <n v="44.1"/>
    <s v="DEBTOR"/>
    <n v="0"/>
    <n v="0"/>
    <n v="0"/>
    <n v="0"/>
    <n v="0"/>
  </r>
  <r>
    <n v="9851492"/>
    <s v="N"/>
    <n v="21349431"/>
    <s v="3000005763130003"/>
    <s v="CIVIL"/>
    <d v="2023-06-29T00:00:00"/>
    <d v="2023-07-10T19:01:40"/>
    <m/>
    <d v="2023-07-10T00:00:00"/>
    <n v="1982"/>
    <n v="14353"/>
    <s v="9851492"/>
    <s v="9851492"/>
    <m/>
    <m/>
    <n v="22788236"/>
    <m/>
    <m/>
    <m/>
    <s v="SOLFIN"/>
    <s v="SOLFIN"/>
    <s v="CCMS"/>
    <n v="21349431"/>
    <n v="1455.95"/>
    <m/>
    <s v="N"/>
    <n v="15"/>
    <d v="2023-07-10T19:01:50"/>
    <s v="Y"/>
    <s v="Preparation - other"/>
    <s v="Non Family Hourly Rates"/>
    <s v="Profit Cost"/>
    <s v="RG"/>
    <s v="Y"/>
    <n v="12.6"/>
    <n v="2.52"/>
    <x v="2"/>
    <s v="VALIDATED"/>
    <n v="1"/>
    <s v="01.11.80.208.6100.0000"/>
    <n v="12.6"/>
    <s v="11"/>
    <s v="6100"/>
    <n v="-235.34"/>
    <n v="12.6"/>
    <s v="DEBTOR"/>
    <n v="0"/>
    <n v="0"/>
    <n v="0"/>
    <n v="0"/>
    <n v="0"/>
  </r>
  <r>
    <n v="62008551"/>
    <s v="N"/>
    <n v="21350076"/>
    <s v="3000016049460001"/>
    <s v="CIVIL"/>
    <d v="2023-06-29T00:00:00"/>
    <d v="2023-07-10T19:01:40"/>
    <m/>
    <d v="2023-07-10T00:00:00"/>
    <n v="1982"/>
    <n v="14353"/>
    <s v="62008551"/>
    <s v="62008551"/>
    <m/>
    <m/>
    <n v="22788806"/>
    <m/>
    <m/>
    <m/>
    <s v="SOLFIN"/>
    <s v="SOLFIN"/>
    <s v="CCMS"/>
    <n v="21350076"/>
    <n v="780.62"/>
    <m/>
    <s v="N"/>
    <n v="7"/>
    <d v="2023-07-10T19:02:12"/>
    <s v="Y"/>
    <s v="Preparation - other"/>
    <s v="Non Family Hourly Rates"/>
    <s v="Profit Cost"/>
    <s v="OPA"/>
    <s v="Y"/>
    <n v="56.7"/>
    <n v="11.34"/>
    <x v="2"/>
    <s v="VALIDATED"/>
    <n v="1"/>
    <s v="01.11.80.208.6100.0000"/>
    <n v="56.7"/>
    <s v="11"/>
    <s v="6100"/>
    <n v="-235.34"/>
    <n v="56.7"/>
    <s v="DEBTOR"/>
    <n v="0"/>
    <n v="0"/>
    <n v="0"/>
    <n v="0"/>
    <n v="0"/>
  </r>
  <r>
    <n v="9457818"/>
    <s v="N"/>
    <n v="21318603"/>
    <s v="3000005414100018"/>
    <s v="CIVIL"/>
    <d v="2023-06-22T00:00:00"/>
    <d v="2023-07-03T19:01:49"/>
    <m/>
    <d v="2023-07-03T00:00:00"/>
    <n v="1982"/>
    <n v="14353"/>
    <s v="9457818"/>
    <s v="9457818"/>
    <m/>
    <m/>
    <n v="22747854"/>
    <m/>
    <m/>
    <m/>
    <s v="SOLFIN"/>
    <s v="SOLFIN"/>
    <s v="CCMS"/>
    <n v="21318603"/>
    <n v="5892.51"/>
    <m/>
    <s v="N"/>
    <n v="9"/>
    <d v="2023-07-03T19:02:00"/>
    <s v="Y"/>
    <s v="Advocates Meeting"/>
    <s v="Public Law Children"/>
    <s v="Advocacy"/>
    <s v="AB"/>
    <s v="Y"/>
    <n v="140.99"/>
    <n v="28.2"/>
    <x v="3"/>
    <s v="VALIDATED"/>
    <n v="1"/>
    <s v="01.11.80.308.6100.0000"/>
    <n v="140.99"/>
    <s v="11"/>
    <s v="6100"/>
    <n v="-235.34"/>
    <n v="140.99"/>
    <s v="DEBTOR"/>
    <n v="0"/>
    <n v="0"/>
    <n v="0"/>
    <n v="0"/>
    <n v="0"/>
  </r>
  <r>
    <n v="61873244"/>
    <s v="N"/>
    <n v="21350086"/>
    <s v="3000015935770001"/>
    <s v="CIVIL"/>
    <d v="2023-06-29T00:00:00"/>
    <d v="2023-07-10T19:01:40"/>
    <m/>
    <d v="2023-07-10T00:00:00"/>
    <n v="1982"/>
    <n v="14353"/>
    <s v="61873244"/>
    <s v="61873244"/>
    <m/>
    <m/>
    <n v="22788690"/>
    <m/>
    <m/>
    <m/>
    <s v="SOLFIN"/>
    <s v="SOLFIN"/>
    <s v="CCMS"/>
    <n v="21350086"/>
    <n v="421.11"/>
    <m/>
    <s v="N"/>
    <n v="1"/>
    <d v="2023-07-10T19:02:13"/>
    <s v="Y"/>
    <s v="Preparation - other"/>
    <s v="Non Family Hourly Rates"/>
    <s v="Profit Cost"/>
    <s v="OPA"/>
    <s v="Y"/>
    <n v="63"/>
    <n v="12.6"/>
    <x v="2"/>
    <s v="VALIDATED"/>
    <n v="1"/>
    <s v="01.11.80.208.6100.0000"/>
    <n v="63"/>
    <s v="11"/>
    <s v="6100"/>
    <n v="-235.34"/>
    <n v="63"/>
    <s v="DEBTOR"/>
    <n v="0"/>
    <n v="0"/>
    <n v="0"/>
    <n v="0"/>
    <n v="0"/>
  </r>
  <r>
    <n v="62008551"/>
    <s v="N"/>
    <n v="21350076"/>
    <s v="3000016049460001"/>
    <s v="CIVIL"/>
    <d v="2023-06-29T00:00:00"/>
    <d v="2023-07-10T19:01:40"/>
    <m/>
    <d v="2023-07-10T00:00:00"/>
    <n v="1982"/>
    <n v="14353"/>
    <s v="62008551"/>
    <s v="62008551"/>
    <m/>
    <m/>
    <n v="22788806"/>
    <m/>
    <m/>
    <m/>
    <s v="SOLFIN"/>
    <s v="SOLFIN"/>
    <s v="CCMS"/>
    <n v="21350076"/>
    <n v="780.62"/>
    <m/>
    <s v="N"/>
    <n v="4"/>
    <d v="2023-07-10T19:02:12"/>
    <s v="Y"/>
    <s v="Preparation - other"/>
    <s v="Non Family Hourly Rates"/>
    <s v="Profit Cost"/>
    <s v="OPA"/>
    <s v="Y"/>
    <n v="252"/>
    <n v="50.4"/>
    <x v="2"/>
    <s v="VALIDATED"/>
    <n v="1"/>
    <s v="01.11.80.208.6100.0000"/>
    <n v="252"/>
    <s v="11"/>
    <s v="6100"/>
    <n v="-235.34"/>
    <n v="252"/>
    <s v="DEBTOR"/>
    <n v="0"/>
    <n v="0"/>
    <n v="0"/>
    <n v="0"/>
    <n v="0"/>
  </r>
  <r>
    <n v="9851492"/>
    <s v="N"/>
    <n v="21349431"/>
    <s v="3000005763130003"/>
    <s v="CIVIL"/>
    <d v="2023-06-29T00:00:00"/>
    <d v="2023-07-10T19:01:40"/>
    <m/>
    <d v="2023-07-10T00:00:00"/>
    <n v="1982"/>
    <n v="14353"/>
    <s v="9851492"/>
    <s v="9851492"/>
    <m/>
    <m/>
    <n v="22788236"/>
    <m/>
    <m/>
    <m/>
    <s v="SOLFIN"/>
    <s v="SOLFIN"/>
    <s v="CCMS"/>
    <n v="21349431"/>
    <n v="1455.95"/>
    <m/>
    <s v="N"/>
    <n v="17"/>
    <d v="2023-07-10T19:01:50"/>
    <s v="Y"/>
    <s v="Preparation - other"/>
    <s v="Non Family Hourly Rates"/>
    <s v="Profit Cost"/>
    <s v="RG"/>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16"/>
    <d v="2023-07-10T19:01:50"/>
    <s v="Y"/>
    <s v="Attendance upon client"/>
    <s v="Non Family Hourly Rates"/>
    <s v="Profit Cost"/>
    <s v="RG"/>
    <s v="Y"/>
    <n v="18.9"/>
    <n v="3.78"/>
    <x v="2"/>
    <s v="VALIDATED"/>
    <n v="1"/>
    <s v="01.11.80.208.6100.0000"/>
    <n v="18.9"/>
    <s v="11"/>
    <s v="6100"/>
    <n v="-235.34"/>
    <n v="18.9"/>
    <s v="DEBTOR"/>
    <n v="0"/>
    <n v="0"/>
    <n v="0"/>
    <n v="0"/>
    <n v="0"/>
  </r>
  <r>
    <n v="9457818"/>
    <s v="N"/>
    <n v="21318603"/>
    <s v="3000005414100018"/>
    <s v="CIVIL"/>
    <d v="2023-06-22T00:00:00"/>
    <d v="2023-07-03T19:01:49"/>
    <m/>
    <d v="2023-07-03T00:00:00"/>
    <n v="1982"/>
    <n v="14353"/>
    <s v="9457818"/>
    <s v="9457818"/>
    <m/>
    <m/>
    <n v="22747854"/>
    <m/>
    <m/>
    <m/>
    <s v="SOLFIN"/>
    <s v="SOLFIN"/>
    <s v="CCMS"/>
    <n v="21318603"/>
    <n v="5892.51"/>
    <m/>
    <s v="N"/>
    <n v="7"/>
    <d v="2023-07-03T19:02:00"/>
    <s v="Y"/>
    <s v="Toxicologist"/>
    <s v="Public Law Children"/>
    <s v="Expert Disbursement"/>
    <s v="XXX"/>
    <s v="Y"/>
    <n v="179.25"/>
    <n v="35.85"/>
    <x v="3"/>
    <s v="VALIDATED"/>
    <n v="1"/>
    <s v="01.11.80.308.6300.0000"/>
    <n v="179.25"/>
    <s v="11"/>
    <s v="6300"/>
    <n v="-235.34"/>
    <n v="179.25"/>
    <s v="DEBTOR"/>
    <n v="0"/>
    <n v="0"/>
    <n v="0"/>
    <n v="0"/>
    <n v="0"/>
  </r>
  <r>
    <n v="9851492"/>
    <s v="N"/>
    <n v="21349431"/>
    <s v="3000005763130003"/>
    <s v="CIVIL"/>
    <d v="2023-06-29T00:00:00"/>
    <d v="2023-07-10T19:01:40"/>
    <m/>
    <d v="2023-07-10T00:00:00"/>
    <n v="1982"/>
    <n v="14353"/>
    <s v="9851492"/>
    <s v="9851492"/>
    <m/>
    <m/>
    <n v="22788236"/>
    <m/>
    <m/>
    <m/>
    <s v="SOLFIN"/>
    <s v="SOLFIN"/>
    <s v="CCMS"/>
    <n v="21349431"/>
    <n v="1455.95"/>
    <m/>
    <s v="N"/>
    <n v="25"/>
    <d v="2023-07-10T19:01:50"/>
    <s v="Y"/>
    <s v="Attendance upon client"/>
    <s v="Non Family Hourly Rates"/>
    <s v="Profit Cost"/>
    <s v="RG"/>
    <s v="Y"/>
    <n v="50.4"/>
    <n v="10.08"/>
    <x v="2"/>
    <s v="VALIDATED"/>
    <n v="1"/>
    <s v="01.11.80.208.6100.0000"/>
    <n v="50.4"/>
    <s v="11"/>
    <s v="6100"/>
    <n v="-235.34"/>
    <n v="50.4"/>
    <s v="DEBTOR"/>
    <n v="0"/>
    <n v="0"/>
    <n v="0"/>
    <n v="0"/>
    <n v="0"/>
  </r>
  <r>
    <n v="9851492"/>
    <s v="N"/>
    <n v="21349431"/>
    <s v="3000005763130003"/>
    <s v="CIVIL"/>
    <d v="2023-06-29T00:00:00"/>
    <d v="2023-07-10T19:01:40"/>
    <m/>
    <d v="2023-07-10T00:00:00"/>
    <n v="1982"/>
    <n v="14353"/>
    <s v="9851492"/>
    <s v="9851492"/>
    <m/>
    <m/>
    <n v="22788236"/>
    <m/>
    <m/>
    <m/>
    <s v="SOLFIN"/>
    <s v="SOLFIN"/>
    <s v="CCMS"/>
    <n v="21349431"/>
    <n v="1455.95"/>
    <m/>
    <s v="N"/>
    <n v="27"/>
    <d v="2023-07-10T19:01:50"/>
    <s v="Y"/>
    <s v="Preparation - drafting consent orde"/>
    <s v="Non Family Hourly Rates"/>
    <s v="Profit Cost"/>
    <s v="RG"/>
    <s v="Y"/>
    <n v="6.3"/>
    <n v="1.26"/>
    <x v="2"/>
    <s v="VALIDATED"/>
    <n v="1"/>
    <s v="01.11.80.208.6100.0000"/>
    <n v="6.3"/>
    <s v="11"/>
    <s v="6100"/>
    <n v="-235.34"/>
    <n v="6.3"/>
    <s v="DEBTOR"/>
    <n v="0"/>
    <n v="0"/>
    <n v="0"/>
    <n v="0"/>
    <n v="0"/>
  </r>
  <r>
    <n v="62008551"/>
    <s v="N"/>
    <n v="21350076"/>
    <s v="3000016049460001"/>
    <s v="CIVIL"/>
    <d v="2023-06-29T00:00:00"/>
    <d v="2023-07-10T19:01:40"/>
    <m/>
    <d v="2023-07-10T00:00:00"/>
    <n v="1982"/>
    <n v="14353"/>
    <s v="62008551"/>
    <s v="62008551"/>
    <m/>
    <m/>
    <n v="22788806"/>
    <m/>
    <m/>
    <m/>
    <s v="SOLFIN"/>
    <s v="SOLFIN"/>
    <s v="CCMS"/>
    <n v="21350076"/>
    <n v="780.62"/>
    <m/>
    <s v="N"/>
    <n v="5"/>
    <d v="2023-07-10T19:02:12"/>
    <s v="Y"/>
    <s v="Routine Letter Out"/>
    <s v="Non Family Hourly Rates"/>
    <s v="Profit Cost"/>
    <s v="OPA"/>
    <s v="Y"/>
    <n v="77.22"/>
    <n v="15.44"/>
    <x v="2"/>
    <s v="VALIDATED"/>
    <n v="1"/>
    <s v="01.11.80.208.6100.0000"/>
    <n v="77.22"/>
    <s v="11"/>
    <s v="6100"/>
    <n v="-235.34"/>
    <n v="77.22"/>
    <s v="DEBTOR"/>
    <n v="0"/>
    <n v="0"/>
    <n v="0"/>
    <n v="0"/>
    <n v="0"/>
  </r>
  <r>
    <n v="9851492"/>
    <s v="N"/>
    <n v="21349431"/>
    <s v="3000005763130003"/>
    <s v="CIVIL"/>
    <d v="2023-06-29T00:00:00"/>
    <d v="2023-07-10T19:01:40"/>
    <m/>
    <d v="2023-07-10T00:00:00"/>
    <n v="1982"/>
    <n v="14353"/>
    <s v="9851492"/>
    <s v="9851492"/>
    <m/>
    <m/>
    <n v="22788236"/>
    <m/>
    <m/>
    <m/>
    <s v="SOLFIN"/>
    <s v="SOLFIN"/>
    <s v="CCMS"/>
    <n v="21349431"/>
    <n v="1455.95"/>
    <m/>
    <s v="N"/>
    <n v="7"/>
    <d v="2023-07-10T19:01:50"/>
    <s v="Y"/>
    <s v="Preparation - drafting consent orde"/>
    <s v="Non Family Hourly Rates"/>
    <s v="Profit Cost"/>
    <s v="RG"/>
    <s v="Y"/>
    <n v="6.3"/>
    <n v="1.26"/>
    <x v="2"/>
    <s v="VALIDATED"/>
    <n v="1"/>
    <s v="01.11.80.208.6100.0000"/>
    <n v="6.3"/>
    <s v="11"/>
    <s v="6100"/>
    <n v="-235.34"/>
    <n v="6.3"/>
    <s v="DEBTOR"/>
    <n v="0"/>
    <n v="0"/>
    <n v="0"/>
    <n v="0"/>
    <n v="0"/>
  </r>
  <r>
    <n v="9851492"/>
    <s v="N"/>
    <n v="21349431"/>
    <s v="3000005763130003"/>
    <s v="CIVIL"/>
    <d v="2023-06-29T00:00:00"/>
    <d v="2023-07-10T19:01:40"/>
    <m/>
    <d v="2023-07-10T00:00:00"/>
    <n v="1982"/>
    <n v="14353"/>
    <s v="9851492"/>
    <s v="9851492"/>
    <m/>
    <m/>
    <n v="22788236"/>
    <m/>
    <m/>
    <m/>
    <s v="SOLFIN"/>
    <s v="SOLFIN"/>
    <s v="CCMS"/>
    <n v="21349431"/>
    <n v="1455.95"/>
    <m/>
    <s v="N"/>
    <n v="10"/>
    <d v="2023-07-10T19:01:50"/>
    <s v="Y"/>
    <s v="Preparation - drafting instructions"/>
    <s v="Non Family Hourly Rates"/>
    <s v="Profit Cost"/>
    <s v="RG"/>
    <s v="Y"/>
    <n v="25.2"/>
    <n v="5.04"/>
    <x v="2"/>
    <s v="VALIDATED"/>
    <n v="1"/>
    <s v="01.11.80.208.6100.0000"/>
    <n v="25.2"/>
    <s v="11"/>
    <s v="6100"/>
    <n v="-235.34"/>
    <n v="25.2"/>
    <s v="DEBTOR"/>
    <n v="0"/>
    <n v="0"/>
    <n v="0"/>
    <n v="0"/>
    <n v="0"/>
  </r>
  <r>
    <n v="9457818"/>
    <s v="N"/>
    <n v="21324560"/>
    <s v="3000005414100007RC"/>
    <s v="CIVIL"/>
    <d v="2023-06-22T00:00:00"/>
    <d v="2023-07-03T19:42:50"/>
    <m/>
    <d v="2023-07-03T00:00:00"/>
    <n v="1982"/>
    <n v="14353"/>
    <s v="9457818"/>
    <s v="9457818"/>
    <m/>
    <m/>
    <m/>
    <m/>
    <m/>
    <m/>
    <s v="SOLRECOUP"/>
    <s v="SOLRECOUP"/>
    <s v="POARECOUP"/>
    <n v="21324560"/>
    <n v="-2353.5"/>
    <m/>
    <s v="Y"/>
    <n v="1"/>
    <d v="2023-07-03T19:42:52"/>
    <s v="N"/>
    <m/>
    <m/>
    <s v="Profit Cost"/>
    <m/>
    <s v="N"/>
    <n v="-1961.25"/>
    <n v="0"/>
    <x v="3"/>
    <s v="VALIDATED"/>
    <n v="1"/>
    <s v="01.11.80.308.2013.0000"/>
    <n v="-1961.25"/>
    <s v="11"/>
    <s v="2013"/>
    <n v="-235.34"/>
    <n v="-1961.25"/>
    <s v="DEBTOR"/>
    <n v="0"/>
    <n v="0"/>
    <n v="0"/>
    <n v="0"/>
    <n v="0"/>
  </r>
  <r>
    <n v="9457818"/>
    <s v="N"/>
    <n v="21324560"/>
    <s v="3000005414100007RC"/>
    <s v="CIVIL"/>
    <d v="2023-06-22T00:00:00"/>
    <d v="2023-07-03T19:42:50"/>
    <m/>
    <d v="2023-07-03T00:00:00"/>
    <n v="1982"/>
    <n v="14353"/>
    <s v="9457818"/>
    <s v="9457818"/>
    <m/>
    <m/>
    <m/>
    <m/>
    <m/>
    <m/>
    <s v="SOLRECOUP"/>
    <s v="SOLRECOUP"/>
    <s v="POARECOUP"/>
    <n v="21324560"/>
    <n v="-2353.5"/>
    <m/>
    <s v="Y"/>
    <n v="2"/>
    <d v="2023-07-03T19:42:52"/>
    <s v="N"/>
    <m/>
    <m/>
    <s v="Profit Cost"/>
    <m/>
    <s v="N"/>
    <n v="0"/>
    <n v="-392.25"/>
    <x v="3"/>
    <s v="VALIDATED"/>
    <n v="1"/>
    <s v="01.11.80.308.2013.0000"/>
    <n v="-392.25"/>
    <s v="11"/>
    <s v="2013"/>
    <n v="-235.34"/>
    <n v="-392.25"/>
    <s v="DEBTOR"/>
    <n v="0"/>
    <n v="0"/>
    <n v="0"/>
    <n v="0"/>
    <n v="0"/>
  </r>
  <r>
    <n v="9457818"/>
    <s v="N"/>
    <n v="21324561"/>
    <s v="3000005414100001RC"/>
    <s v="CIVIL"/>
    <d v="2023-06-22T00:00:00"/>
    <d v="2023-07-03T19:42:50"/>
    <m/>
    <d v="2023-07-03T00:00:00"/>
    <n v="1982"/>
    <n v="14353"/>
    <s v="9457818"/>
    <s v="9457818"/>
    <m/>
    <m/>
    <m/>
    <m/>
    <m/>
    <m/>
    <s v="SOLRECOUP"/>
    <s v="SOLRECOUP"/>
    <s v="POARECOUP"/>
    <n v="21324561"/>
    <n v="-90"/>
    <m/>
    <s v="Y"/>
    <n v="1"/>
    <d v="2023-07-03T19:42:52"/>
    <s v="N"/>
    <m/>
    <m/>
    <s v="Expert Disbursement"/>
    <m/>
    <s v="N"/>
    <n v="-90"/>
    <n v="0"/>
    <x v="3"/>
    <s v="VALIDATED"/>
    <n v="1"/>
    <s v="01.11.80.308.2013.0000"/>
    <n v="-90"/>
    <s v="11"/>
    <s v="2013"/>
    <n v="-235.34"/>
    <n v="-90"/>
    <s v="DEBTOR"/>
    <n v="0"/>
    <n v="0"/>
    <n v="0"/>
    <n v="0"/>
    <n v="0"/>
  </r>
  <r>
    <n v="9457818"/>
    <s v="N"/>
    <n v="21324561"/>
    <s v="3000005414100001RC"/>
    <s v="CIVIL"/>
    <d v="2023-06-22T00:00:00"/>
    <d v="2023-07-03T19:42:50"/>
    <m/>
    <d v="2023-07-03T00:00:00"/>
    <n v="1982"/>
    <n v="14353"/>
    <s v="9457818"/>
    <s v="9457818"/>
    <m/>
    <m/>
    <m/>
    <m/>
    <m/>
    <m/>
    <s v="SOLRECOUP"/>
    <s v="SOLRECOUP"/>
    <s v="POARECOUP"/>
    <n v="21324561"/>
    <n v="-90"/>
    <m/>
    <s v="Y"/>
    <n v="2"/>
    <d v="2023-07-03T19:42:52"/>
    <s v="N"/>
    <m/>
    <m/>
    <s v="Expert Disbursement"/>
    <m/>
    <s v="N"/>
    <n v="0"/>
    <n v="0"/>
    <x v="3"/>
    <s v="VALIDATED"/>
    <n v="1"/>
    <s v="01.11.80.000.0000.0000"/>
    <n v="0"/>
    <s v="11"/>
    <s v="0000"/>
    <n v="-235.34"/>
    <n v="0"/>
    <s v="DEBTOR"/>
    <n v="0"/>
    <n v="0"/>
    <n v="0"/>
    <n v="0"/>
    <n v="0"/>
  </r>
  <r>
    <n v="9457818"/>
    <s v="N"/>
    <n v="21324562"/>
    <s v="3000005414100003RC"/>
    <s v="CIVIL"/>
    <d v="2023-06-22T00:00:00"/>
    <d v="2023-07-03T19:42:50"/>
    <m/>
    <d v="2023-07-03T00:00:00"/>
    <n v="1982"/>
    <n v="14353"/>
    <s v="9457818"/>
    <s v="9457818"/>
    <m/>
    <m/>
    <m/>
    <m/>
    <m/>
    <m/>
    <s v="SOLRECOUP"/>
    <s v="SOLRECOUP"/>
    <s v="POARECOUP"/>
    <n v="21324562"/>
    <n v="-264.6"/>
    <m/>
    <s v="Y"/>
    <n v="1"/>
    <d v="2023-07-03T19:42:52"/>
    <s v="N"/>
    <m/>
    <m/>
    <s v="Expert Disbursement"/>
    <m/>
    <s v="N"/>
    <n v="-220.5"/>
    <n v="0"/>
    <x v="3"/>
    <s v="VALIDATED"/>
    <n v="1"/>
    <s v="01.11.80.308.2013.0000"/>
    <n v="-220.5"/>
    <s v="11"/>
    <s v="2013"/>
    <n v="-235.34"/>
    <n v="-220.5"/>
    <s v="DEBTOR"/>
    <n v="0"/>
    <n v="0"/>
    <n v="0"/>
    <n v="0"/>
    <n v="0"/>
  </r>
  <r>
    <n v="9457818"/>
    <s v="N"/>
    <n v="21324562"/>
    <s v="3000005414100003RC"/>
    <s v="CIVIL"/>
    <d v="2023-06-22T00:00:00"/>
    <d v="2023-07-03T19:42:50"/>
    <m/>
    <d v="2023-07-03T00:00:00"/>
    <n v="1982"/>
    <n v="14353"/>
    <s v="9457818"/>
    <s v="9457818"/>
    <m/>
    <m/>
    <m/>
    <m/>
    <m/>
    <m/>
    <s v="SOLRECOUP"/>
    <s v="SOLRECOUP"/>
    <s v="POARECOUP"/>
    <n v="21324562"/>
    <n v="-264.6"/>
    <m/>
    <s v="Y"/>
    <n v="2"/>
    <d v="2023-07-03T19:42:52"/>
    <s v="N"/>
    <m/>
    <m/>
    <s v="Expert Disbursement"/>
    <m/>
    <s v="N"/>
    <n v="0"/>
    <n v="-44.1"/>
    <x v="3"/>
    <s v="VALIDATED"/>
    <n v="1"/>
    <s v="01.11.80.308.2013.0000"/>
    <n v="-44.1"/>
    <s v="11"/>
    <s v="2013"/>
    <n v="-235.34"/>
    <n v="-44.1"/>
    <s v="DEBTOR"/>
    <n v="0"/>
    <n v="0"/>
    <n v="0"/>
    <n v="0"/>
    <n v="0"/>
  </r>
  <r>
    <n v="9457818"/>
    <s v="N"/>
    <n v="21324563"/>
    <s v="3000005414100004RC"/>
    <s v="CIVIL"/>
    <d v="2023-06-22T00:00:00"/>
    <d v="2023-07-03T19:42:50"/>
    <m/>
    <d v="2023-07-03T00:00:00"/>
    <n v="1982"/>
    <n v="14353"/>
    <s v="9457818"/>
    <s v="9457818"/>
    <m/>
    <m/>
    <m/>
    <m/>
    <m/>
    <m/>
    <s v="SOLRECOUP"/>
    <s v="SOLRECOUP"/>
    <s v="POARECOUP"/>
    <n v="21324563"/>
    <n v="-96"/>
    <m/>
    <s v="Y"/>
    <n v="1"/>
    <d v="2023-07-03T19:42:52"/>
    <s v="N"/>
    <m/>
    <m/>
    <s v="Expert Disbursement"/>
    <m/>
    <s v="N"/>
    <n v="-80"/>
    <n v="0"/>
    <x v="3"/>
    <s v="VALIDATED"/>
    <n v="1"/>
    <s v="01.11.80.308.2013.0000"/>
    <n v="-80"/>
    <s v="11"/>
    <s v="2013"/>
    <n v="-235.34"/>
    <n v="-80"/>
    <s v="DEBTOR"/>
    <n v="0"/>
    <n v="0"/>
    <n v="0"/>
    <n v="0"/>
    <n v="0"/>
  </r>
  <r>
    <n v="9457818"/>
    <s v="N"/>
    <n v="21324563"/>
    <s v="3000005414100004RC"/>
    <s v="CIVIL"/>
    <d v="2023-06-22T00:00:00"/>
    <d v="2023-07-03T19:42:50"/>
    <m/>
    <d v="2023-07-03T00:00:00"/>
    <n v="1982"/>
    <n v="14353"/>
    <s v="9457818"/>
    <s v="9457818"/>
    <m/>
    <m/>
    <m/>
    <m/>
    <m/>
    <m/>
    <s v="SOLRECOUP"/>
    <s v="SOLRECOUP"/>
    <s v="POARECOUP"/>
    <n v="21324563"/>
    <n v="-96"/>
    <m/>
    <s v="Y"/>
    <n v="2"/>
    <d v="2023-07-03T19:42:52"/>
    <s v="N"/>
    <m/>
    <m/>
    <s v="Expert Disbursement"/>
    <m/>
    <s v="N"/>
    <n v="0"/>
    <n v="-16"/>
    <x v="3"/>
    <s v="VALIDATED"/>
    <n v="1"/>
    <s v="01.11.80.308.2013.0000"/>
    <n v="-16"/>
    <s v="11"/>
    <s v="2013"/>
    <n v="-235.34"/>
    <n v="-16"/>
    <s v="DEBTOR"/>
    <n v="0"/>
    <n v="0"/>
    <n v="0"/>
    <n v="0"/>
    <n v="0"/>
  </r>
  <r>
    <n v="60205196"/>
    <s v="N"/>
    <n v="21356875"/>
    <s v="3000014511920015RC"/>
    <s v="CIVIL"/>
    <d v="2023-06-27T00:00:00"/>
    <d v="2023-07-10T19:47:44"/>
    <m/>
    <d v="2023-07-10T00:00:00"/>
    <n v="2001"/>
    <n v="8025"/>
    <s v="60205196"/>
    <s v="60205196"/>
    <m/>
    <m/>
    <m/>
    <m/>
    <m/>
    <m/>
    <s v="SOLRECOUP"/>
    <s v="SOLRECOUP"/>
    <s v="POARECOUP"/>
    <n v="21356875"/>
    <n v="-38.88"/>
    <m/>
    <s v="Y"/>
    <n v="2"/>
    <d v="2023-07-10T19:47:46"/>
    <s v="N"/>
    <m/>
    <m/>
    <s v="Expert Disbursement"/>
    <m/>
    <s v="N"/>
    <n v="0"/>
    <n v="-6.48"/>
    <x v="2"/>
    <s v="VALIDATED"/>
    <n v="1"/>
    <s v="01.11.80.308.2013.0000"/>
    <n v="-6.48"/>
    <s v="11"/>
    <s v="2013"/>
    <n v="14387.73"/>
    <n v="-6.48"/>
    <s v="CREDITOR"/>
    <n v="0"/>
    <n v="0"/>
    <n v="-6.48"/>
    <n v="0"/>
    <n v="0"/>
  </r>
  <r>
    <n v="60205196"/>
    <s v="N"/>
    <n v="21356875"/>
    <s v="3000014511920015RC"/>
    <s v="CIVIL"/>
    <d v="2023-06-27T00:00:00"/>
    <d v="2023-07-10T19:47:44"/>
    <m/>
    <d v="2023-07-10T00:00:00"/>
    <n v="2001"/>
    <n v="8025"/>
    <s v="60205196"/>
    <s v="60205196"/>
    <m/>
    <m/>
    <m/>
    <m/>
    <m/>
    <m/>
    <s v="SOLRECOUP"/>
    <s v="SOLRECOUP"/>
    <s v="POARECOUP"/>
    <n v="21356875"/>
    <n v="-38.88"/>
    <m/>
    <s v="Y"/>
    <n v="1"/>
    <d v="2023-07-10T19:47:46"/>
    <s v="N"/>
    <m/>
    <m/>
    <s v="Expert Disbursement"/>
    <m/>
    <s v="N"/>
    <n v="-32.4"/>
    <n v="0"/>
    <x v="2"/>
    <s v="VALIDATED"/>
    <n v="1"/>
    <s v="01.11.80.308.2013.0000"/>
    <n v="-32.4"/>
    <s v="11"/>
    <s v="2013"/>
    <n v="14387.73"/>
    <n v="-32.4"/>
    <s v="CREDITOR"/>
    <n v="0"/>
    <n v="0"/>
    <n v="-32.4"/>
    <n v="0"/>
    <n v="0"/>
  </r>
  <r>
    <n v="60742219"/>
    <s v="N"/>
    <n v="21356876"/>
    <s v="3000014985080018RC"/>
    <s v="CIVIL"/>
    <d v="2023-06-29T00:00:00"/>
    <d v="2023-07-10T19:47:44"/>
    <m/>
    <d v="2023-07-10T00:00:00"/>
    <n v="2001"/>
    <n v="8025"/>
    <s v="60742219"/>
    <s v="60742219"/>
    <m/>
    <m/>
    <m/>
    <m/>
    <m/>
    <m/>
    <s v="SOLRECOUP"/>
    <s v="SOLRECOUP"/>
    <s v="POARECOUP"/>
    <n v="21356876"/>
    <n v="-480"/>
    <m/>
    <s v="Y"/>
    <n v="2"/>
    <d v="2023-07-10T19:47:46"/>
    <s v="N"/>
    <m/>
    <m/>
    <s v="Profit Cost"/>
    <m/>
    <s v="N"/>
    <n v="0"/>
    <n v="-80"/>
    <x v="2"/>
    <s v="VALIDATED"/>
    <n v="1"/>
    <s v="01.11.80.308.2013.0000"/>
    <n v="-80"/>
    <s v="11"/>
    <s v="2013"/>
    <n v="14387.73"/>
    <n v="-80"/>
    <s v="CREDITOR"/>
    <n v="0"/>
    <n v="0"/>
    <n v="-80"/>
    <n v="-20"/>
    <n v="0"/>
  </r>
  <r>
    <n v="60742219"/>
    <s v="N"/>
    <n v="21356876"/>
    <s v="3000014985080018RC"/>
    <s v="CIVIL"/>
    <d v="2023-06-29T00:00:00"/>
    <d v="2023-07-10T19:47:44"/>
    <m/>
    <d v="2023-07-10T00:00:00"/>
    <n v="2001"/>
    <n v="8025"/>
    <s v="60742219"/>
    <s v="60742219"/>
    <m/>
    <m/>
    <m/>
    <m/>
    <m/>
    <m/>
    <s v="SOLRECOUP"/>
    <s v="SOLRECOUP"/>
    <s v="POARECOUP"/>
    <n v="21356876"/>
    <n v="-480"/>
    <m/>
    <s v="Y"/>
    <n v="1"/>
    <d v="2023-07-10T19:47:46"/>
    <s v="N"/>
    <m/>
    <m/>
    <s v="Profit Cost"/>
    <m/>
    <s v="N"/>
    <n v="-400"/>
    <n v="0"/>
    <x v="2"/>
    <s v="VALIDATED"/>
    <n v="1"/>
    <s v="01.11.80.308.2013.0000"/>
    <n v="-400"/>
    <s v="11"/>
    <s v="2013"/>
    <n v="14387.73"/>
    <n v="-400"/>
    <s v="CREDITOR"/>
    <n v="0"/>
    <n v="0"/>
    <n v="-400"/>
    <n v="-100"/>
    <n v="0"/>
  </r>
  <r>
    <n v="60650441"/>
    <s v="N"/>
    <n v="21356877"/>
    <s v="3000014900700004RC"/>
    <s v="CIVIL"/>
    <d v="2023-06-28T00:00:00"/>
    <d v="2023-07-10T19:47:44"/>
    <m/>
    <d v="2023-07-10T00:00:00"/>
    <n v="2001"/>
    <n v="8025"/>
    <s v="60650441"/>
    <s v="60650441"/>
    <m/>
    <m/>
    <m/>
    <m/>
    <m/>
    <m/>
    <s v="SOLRECOUP"/>
    <s v="SOLRECOUP"/>
    <s v="POARECOUP"/>
    <n v="21356877"/>
    <n v="-1728"/>
    <m/>
    <s v="Y"/>
    <n v="2"/>
    <d v="2023-07-10T19:47:46"/>
    <s v="N"/>
    <m/>
    <m/>
    <s v="Profit Cost"/>
    <m/>
    <s v="N"/>
    <n v="0"/>
    <n v="-288"/>
    <x v="2"/>
    <s v="VALIDATED"/>
    <n v="1"/>
    <s v="01.11.80.307.2013.0000"/>
    <n v="-288"/>
    <s v="11"/>
    <s v="2013"/>
    <n v="14387.73"/>
    <n v="-288"/>
    <s v="CREDITOR"/>
    <n v="0"/>
    <n v="0"/>
    <n v="-288"/>
    <n v="-72"/>
    <n v="0"/>
  </r>
  <r>
    <n v="60650441"/>
    <s v="N"/>
    <n v="21356877"/>
    <s v="3000014900700004RC"/>
    <s v="CIVIL"/>
    <d v="2023-06-28T00:00:00"/>
    <d v="2023-07-10T19:47:44"/>
    <m/>
    <d v="2023-07-10T00:00:00"/>
    <n v="2001"/>
    <n v="8025"/>
    <s v="60650441"/>
    <s v="60650441"/>
    <m/>
    <m/>
    <m/>
    <m/>
    <m/>
    <m/>
    <s v="SOLRECOUP"/>
    <s v="SOLRECOUP"/>
    <s v="POARECOUP"/>
    <n v="21356877"/>
    <n v="-1728"/>
    <m/>
    <s v="Y"/>
    <n v="1"/>
    <d v="2023-07-10T19:47:46"/>
    <s v="N"/>
    <m/>
    <m/>
    <s v="Profit Cost"/>
    <m/>
    <s v="N"/>
    <n v="-1440"/>
    <n v="0"/>
    <x v="2"/>
    <s v="VALIDATED"/>
    <n v="1"/>
    <s v="01.11.80.307.2013.0000"/>
    <n v="-1440"/>
    <s v="11"/>
    <s v="2013"/>
    <n v="14387.73"/>
    <n v="-1440"/>
    <s v="CREDITOR"/>
    <n v="0"/>
    <n v="0"/>
    <n v="-1440"/>
    <n v="-360"/>
    <n v="0"/>
  </r>
  <r>
    <n v="60205196"/>
    <s v="N"/>
    <n v="21356878"/>
    <s v="3000014511920013RC"/>
    <s v="CIVIL"/>
    <d v="2023-06-27T00:00:00"/>
    <d v="2023-07-10T19:47:44"/>
    <m/>
    <d v="2023-07-10T00:00:00"/>
    <n v="2001"/>
    <n v="8025"/>
    <s v="60205196"/>
    <s v="60205196"/>
    <m/>
    <m/>
    <m/>
    <m/>
    <m/>
    <m/>
    <s v="SOLRECOUP"/>
    <s v="SOLRECOUP"/>
    <s v="POARECOUP"/>
    <n v="21356878"/>
    <n v="-132"/>
    <m/>
    <s v="Y"/>
    <n v="2"/>
    <d v="2023-07-10T19:47:46"/>
    <s v="N"/>
    <m/>
    <m/>
    <s v="Expert Disbursement"/>
    <m/>
    <s v="N"/>
    <n v="0"/>
    <n v="-22"/>
    <x v="2"/>
    <s v="VALIDATED"/>
    <n v="1"/>
    <s v="01.11.80.308.2013.0000"/>
    <n v="-22"/>
    <s v="11"/>
    <s v="2013"/>
    <n v="14387.73"/>
    <n v="-22"/>
    <s v="CREDITOR"/>
    <n v="0"/>
    <n v="0"/>
    <n v="-22"/>
    <n v="0"/>
    <n v="0"/>
  </r>
  <r>
    <n v="60205196"/>
    <s v="N"/>
    <n v="21356878"/>
    <s v="3000014511920013RC"/>
    <s v="CIVIL"/>
    <d v="2023-06-27T00:00:00"/>
    <d v="2023-07-10T19:47:44"/>
    <m/>
    <d v="2023-07-10T00:00:00"/>
    <n v="2001"/>
    <n v="8025"/>
    <s v="60205196"/>
    <s v="60205196"/>
    <m/>
    <m/>
    <m/>
    <m/>
    <m/>
    <m/>
    <s v="SOLRECOUP"/>
    <s v="SOLRECOUP"/>
    <s v="POARECOUP"/>
    <n v="21356878"/>
    <n v="-132"/>
    <m/>
    <s v="Y"/>
    <n v="1"/>
    <d v="2023-07-10T19:47:46"/>
    <s v="N"/>
    <m/>
    <m/>
    <s v="Expert Disbursement"/>
    <m/>
    <s v="N"/>
    <n v="-110"/>
    <n v="0"/>
    <x v="2"/>
    <s v="VALIDATED"/>
    <n v="1"/>
    <s v="01.11.80.308.2013.0000"/>
    <n v="-110"/>
    <s v="11"/>
    <s v="2013"/>
    <n v="14387.73"/>
    <n v="-110"/>
    <s v="CREDITOR"/>
    <n v="0"/>
    <n v="0"/>
    <n v="-110"/>
    <n v="0"/>
    <n v="0"/>
  </r>
  <r>
    <n v="60205196"/>
    <s v="N"/>
    <n v="21356879"/>
    <s v="3000014511920014RC"/>
    <s v="CIVIL"/>
    <d v="2023-06-27T00:00:00"/>
    <d v="2023-07-10T19:47:44"/>
    <m/>
    <d v="2023-07-10T00:00:00"/>
    <n v="2001"/>
    <n v="8025"/>
    <s v="60205196"/>
    <s v="60205196"/>
    <m/>
    <m/>
    <m/>
    <m/>
    <m/>
    <m/>
    <s v="SOLRECOUP"/>
    <s v="SOLRECOUP"/>
    <s v="POARECOUP"/>
    <n v="21356879"/>
    <n v="-52.92"/>
    <m/>
    <s v="Y"/>
    <n v="2"/>
    <d v="2023-07-10T19:47:46"/>
    <s v="N"/>
    <m/>
    <m/>
    <s v="Expert Disbursement"/>
    <m/>
    <s v="N"/>
    <n v="0"/>
    <n v="-8.82"/>
    <x v="2"/>
    <s v="VALIDATED"/>
    <n v="1"/>
    <s v="01.11.80.308.2013.0000"/>
    <n v="-8.82"/>
    <s v="11"/>
    <s v="2013"/>
    <n v="14387.73"/>
    <n v="-8.82"/>
    <s v="CREDITOR"/>
    <n v="0"/>
    <n v="0"/>
    <n v="-8.82"/>
    <n v="0"/>
    <n v="0"/>
  </r>
  <r>
    <n v="60205196"/>
    <s v="N"/>
    <n v="21356879"/>
    <s v="3000014511920014RC"/>
    <s v="CIVIL"/>
    <d v="2023-06-27T00:00:00"/>
    <d v="2023-07-10T19:47:44"/>
    <m/>
    <d v="2023-07-10T00:00:00"/>
    <n v="2001"/>
    <n v="8025"/>
    <s v="60205196"/>
    <s v="60205196"/>
    <m/>
    <m/>
    <m/>
    <m/>
    <m/>
    <m/>
    <s v="SOLRECOUP"/>
    <s v="SOLRECOUP"/>
    <s v="POARECOUP"/>
    <n v="21356879"/>
    <n v="-52.92"/>
    <m/>
    <s v="Y"/>
    <n v="1"/>
    <d v="2023-07-10T19:47:46"/>
    <s v="N"/>
    <m/>
    <m/>
    <s v="Expert Disbursement"/>
    <m/>
    <s v="N"/>
    <n v="-44.1"/>
    <n v="0"/>
    <x v="2"/>
    <s v="VALIDATED"/>
    <n v="1"/>
    <s v="01.11.80.308.2013.0000"/>
    <n v="-44.1"/>
    <s v="11"/>
    <s v="2013"/>
    <n v="14387.73"/>
    <n v="-44.1"/>
    <s v="CREDITOR"/>
    <n v="0"/>
    <n v="0"/>
    <n v="-44.1"/>
    <n v="0"/>
    <n v="0"/>
  </r>
  <r>
    <n v="60742219"/>
    <s v="N"/>
    <n v="21356880"/>
    <s v="3000014985080016RC"/>
    <s v="CIVIL"/>
    <d v="2023-06-29T00:00:00"/>
    <d v="2023-07-10T19:47:44"/>
    <m/>
    <d v="2023-07-10T00:00:00"/>
    <n v="2001"/>
    <n v="8025"/>
    <s v="60742219"/>
    <s v="60742219"/>
    <m/>
    <m/>
    <m/>
    <m/>
    <m/>
    <m/>
    <s v="SOLRECOUP"/>
    <s v="SOLRECOUP"/>
    <s v="POARECOUP"/>
    <n v="21356880"/>
    <n v="-75"/>
    <m/>
    <s v="Y"/>
    <n v="2"/>
    <d v="2023-07-10T19:47:46"/>
    <s v="N"/>
    <m/>
    <m/>
    <s v="Expert Disbursement"/>
    <m/>
    <s v="N"/>
    <n v="0"/>
    <n v="0"/>
    <x v="2"/>
    <s v="VALIDATED"/>
    <n v="1"/>
    <s v="01.11.80.000.0000.0000"/>
    <n v="0"/>
    <s v="11"/>
    <s v="0000"/>
    <n v="14387.73"/>
    <n v="0"/>
    <s v="CREDITOR"/>
    <n v="0"/>
    <n v="0"/>
    <n v="0"/>
    <n v="0"/>
    <n v="0"/>
  </r>
  <r>
    <n v="60742219"/>
    <s v="N"/>
    <n v="21356880"/>
    <s v="3000014985080016RC"/>
    <s v="CIVIL"/>
    <d v="2023-06-29T00:00:00"/>
    <d v="2023-07-10T19:47:44"/>
    <m/>
    <d v="2023-07-10T00:00:00"/>
    <n v="2001"/>
    <n v="8025"/>
    <s v="60742219"/>
    <s v="60742219"/>
    <m/>
    <m/>
    <m/>
    <m/>
    <m/>
    <m/>
    <s v="SOLRECOUP"/>
    <s v="SOLRECOUP"/>
    <s v="POARECOUP"/>
    <n v="21356880"/>
    <n v="-75"/>
    <m/>
    <s v="Y"/>
    <n v="1"/>
    <d v="2023-07-10T19:47:46"/>
    <s v="N"/>
    <m/>
    <m/>
    <s v="Expert Disbursement"/>
    <m/>
    <s v="N"/>
    <n v="-75"/>
    <n v="0"/>
    <x v="2"/>
    <s v="VALIDATED"/>
    <n v="1"/>
    <s v="01.11.80.308.2013.0000"/>
    <n v="-75"/>
    <s v="11"/>
    <s v="2013"/>
    <n v="14387.73"/>
    <n v="-75"/>
    <s v="CREDITOR"/>
    <n v="0"/>
    <n v="0"/>
    <n v="-75"/>
    <n v="0"/>
    <n v="0"/>
  </r>
  <r>
    <n v="60742219"/>
    <s v="N"/>
    <n v="21356881"/>
    <s v="3000014985080017RC"/>
    <s v="CIVIL"/>
    <d v="2023-06-29T00:00:00"/>
    <d v="2023-07-10T19:47:44"/>
    <m/>
    <d v="2023-07-10T00:00:00"/>
    <n v="2001"/>
    <n v="8025"/>
    <s v="60742219"/>
    <s v="60742219"/>
    <m/>
    <m/>
    <m/>
    <m/>
    <m/>
    <m/>
    <s v="SOLRECOUP"/>
    <s v="SOLRECOUP"/>
    <s v="POARECOUP"/>
    <n v="21356881"/>
    <n v="-98.28"/>
    <m/>
    <s v="Y"/>
    <n v="2"/>
    <d v="2023-07-10T19:47:46"/>
    <s v="N"/>
    <m/>
    <m/>
    <s v="Expert Disbursement"/>
    <m/>
    <s v="N"/>
    <n v="0"/>
    <n v="0"/>
    <x v="2"/>
    <s v="VALIDATED"/>
    <n v="1"/>
    <s v="01.11.80.000.0000.0000"/>
    <n v="0"/>
    <s v="11"/>
    <s v="0000"/>
    <n v="14387.73"/>
    <n v="0"/>
    <s v="CREDITOR"/>
    <n v="0"/>
    <n v="0"/>
    <n v="0"/>
    <n v="0"/>
    <n v="0"/>
  </r>
  <r>
    <n v="60742219"/>
    <s v="N"/>
    <n v="21356881"/>
    <s v="3000014985080017RC"/>
    <s v="CIVIL"/>
    <d v="2023-06-29T00:00:00"/>
    <d v="2023-07-10T19:47:44"/>
    <m/>
    <d v="2023-07-10T00:00:00"/>
    <n v="2001"/>
    <n v="8025"/>
    <s v="60742219"/>
    <s v="60742219"/>
    <m/>
    <m/>
    <m/>
    <m/>
    <m/>
    <m/>
    <s v="SOLRECOUP"/>
    <s v="SOLRECOUP"/>
    <s v="POARECOUP"/>
    <n v="21356881"/>
    <n v="-98.28"/>
    <m/>
    <s v="Y"/>
    <n v="1"/>
    <d v="2023-07-10T19:47:46"/>
    <s v="N"/>
    <m/>
    <m/>
    <s v="Expert Disbursement"/>
    <m/>
    <s v="N"/>
    <n v="-98.28"/>
    <n v="0"/>
    <x v="2"/>
    <s v="VALIDATED"/>
    <n v="1"/>
    <s v="01.11.80.308.2013.0000"/>
    <n v="-98.28"/>
    <s v="11"/>
    <s v="2013"/>
    <n v="14387.73"/>
    <n v="-98.28"/>
    <s v="CREDITOR"/>
    <n v="0"/>
    <n v="0"/>
    <n v="-98.28"/>
    <n v="0"/>
    <n v="0"/>
  </r>
  <r>
    <n v="60125579"/>
    <s v="N"/>
    <n v="21356882"/>
    <s v="3000014453780006RC"/>
    <s v="CIVIL"/>
    <d v="2023-06-27T00:00:00"/>
    <d v="2023-07-10T19:47:44"/>
    <m/>
    <d v="2023-07-10T00:00:00"/>
    <n v="2001"/>
    <n v="8025"/>
    <s v="60125579"/>
    <s v="60125579"/>
    <m/>
    <m/>
    <m/>
    <m/>
    <m/>
    <m/>
    <s v="SOLRECOUP"/>
    <s v="SOLRECOUP"/>
    <s v="POARECOUP"/>
    <n v="21356882"/>
    <n v="-1776"/>
    <m/>
    <s v="Y"/>
    <n v="2"/>
    <d v="2023-07-10T19:47:46"/>
    <s v="N"/>
    <m/>
    <m/>
    <s v="Profit Cost"/>
    <m/>
    <s v="N"/>
    <n v="0"/>
    <n v="-296"/>
    <x v="2"/>
    <s v="VALIDATED"/>
    <n v="1"/>
    <s v="01.11.80.308.2013.0000"/>
    <n v="-296"/>
    <s v="11"/>
    <s v="2013"/>
    <n v="14387.73"/>
    <n v="-296"/>
    <s v="CREDITOR"/>
    <n v="0"/>
    <n v="0"/>
    <n v="-296"/>
    <n v="-74"/>
    <n v="0"/>
  </r>
  <r>
    <n v="60125579"/>
    <s v="N"/>
    <n v="21356882"/>
    <s v="3000014453780006RC"/>
    <s v="CIVIL"/>
    <d v="2023-06-27T00:00:00"/>
    <d v="2023-07-10T19:47:44"/>
    <m/>
    <d v="2023-07-10T00:00:00"/>
    <n v="2001"/>
    <n v="8025"/>
    <s v="60125579"/>
    <s v="60125579"/>
    <m/>
    <m/>
    <m/>
    <m/>
    <m/>
    <m/>
    <s v="SOLRECOUP"/>
    <s v="SOLRECOUP"/>
    <s v="POARECOUP"/>
    <n v="21356882"/>
    <n v="-1776"/>
    <m/>
    <s v="Y"/>
    <n v="1"/>
    <d v="2023-07-10T19:47:46"/>
    <s v="N"/>
    <m/>
    <m/>
    <s v="Profit Cost"/>
    <m/>
    <s v="N"/>
    <n v="-1480"/>
    <n v="0"/>
    <x v="2"/>
    <s v="VALIDATED"/>
    <n v="1"/>
    <s v="01.11.80.308.2013.0000"/>
    <n v="-1480"/>
    <s v="11"/>
    <s v="2013"/>
    <n v="14387.73"/>
    <n v="-1480"/>
    <s v="CREDITOR"/>
    <n v="0"/>
    <n v="0"/>
    <n v="-1480"/>
    <n v="-370"/>
    <n v="0"/>
  </r>
  <r>
    <n v="60205196"/>
    <s v="N"/>
    <n v="21356883"/>
    <s v="3000014511920016RC"/>
    <s v="CIVIL"/>
    <d v="2023-06-27T00:00:00"/>
    <d v="2023-07-10T19:47:44"/>
    <m/>
    <d v="2023-07-10T00:00:00"/>
    <n v="2001"/>
    <n v="8025"/>
    <s v="60205196"/>
    <s v="60205196"/>
    <m/>
    <m/>
    <m/>
    <m/>
    <m/>
    <m/>
    <s v="SOLRECOUP"/>
    <s v="SOLRECOUP"/>
    <s v="POARECOUP"/>
    <n v="21356883"/>
    <n v="-672"/>
    <m/>
    <s v="Y"/>
    <n v="2"/>
    <d v="2023-07-10T19:47:46"/>
    <s v="N"/>
    <m/>
    <m/>
    <s v="Profit Cost"/>
    <m/>
    <s v="N"/>
    <n v="0"/>
    <n v="-112"/>
    <x v="2"/>
    <s v="VALIDATED"/>
    <n v="1"/>
    <s v="01.11.80.308.2013.0000"/>
    <n v="-112"/>
    <s v="11"/>
    <s v="2013"/>
    <n v="14387.73"/>
    <n v="-112"/>
    <s v="CREDITOR"/>
    <n v="0"/>
    <n v="0"/>
    <n v="-112"/>
    <n v="-28"/>
    <n v="0"/>
  </r>
  <r>
    <n v="60205196"/>
    <s v="N"/>
    <n v="21356883"/>
    <s v="3000014511920016RC"/>
    <s v="CIVIL"/>
    <d v="2023-06-27T00:00:00"/>
    <d v="2023-07-10T19:47:44"/>
    <m/>
    <d v="2023-07-10T00:00:00"/>
    <n v="2001"/>
    <n v="8025"/>
    <s v="60205196"/>
    <s v="60205196"/>
    <m/>
    <m/>
    <m/>
    <m/>
    <m/>
    <m/>
    <s v="SOLRECOUP"/>
    <s v="SOLRECOUP"/>
    <s v="POARECOUP"/>
    <n v="21356883"/>
    <n v="-672"/>
    <m/>
    <s v="Y"/>
    <n v="1"/>
    <d v="2023-07-10T19:47:46"/>
    <s v="N"/>
    <m/>
    <m/>
    <s v="Profit Cost"/>
    <m/>
    <s v="N"/>
    <n v="-560"/>
    <n v="0"/>
    <x v="2"/>
    <s v="VALIDATED"/>
    <n v="1"/>
    <s v="01.11.80.308.2013.0000"/>
    <n v="-560"/>
    <s v="11"/>
    <s v="2013"/>
    <n v="14387.73"/>
    <n v="-560"/>
    <s v="CREDITOR"/>
    <n v="0"/>
    <n v="0"/>
    <n v="-560"/>
    <n v="-140"/>
    <n v="0"/>
  </r>
  <r>
    <n v="60742219"/>
    <s v="N"/>
    <n v="21356884"/>
    <s v="3000014985080019RC"/>
    <s v="CIVIL"/>
    <d v="2023-06-29T00:00:00"/>
    <d v="2023-07-10T19:47:44"/>
    <m/>
    <d v="2023-07-10T00:00:00"/>
    <n v="2001"/>
    <n v="8025"/>
    <s v="60742219"/>
    <s v="60742219"/>
    <m/>
    <m/>
    <m/>
    <m/>
    <m/>
    <m/>
    <s v="SOLRECOUP"/>
    <s v="SOLRECOUP"/>
    <s v="POARECOUP"/>
    <n v="21356884"/>
    <n v="-168"/>
    <m/>
    <s v="Y"/>
    <n v="2"/>
    <d v="2023-07-10T19:47:46"/>
    <s v="N"/>
    <m/>
    <m/>
    <s v="Expert Disbursement"/>
    <m/>
    <s v="N"/>
    <n v="0"/>
    <n v="0"/>
    <x v="2"/>
    <s v="VALIDATED"/>
    <n v="1"/>
    <s v="01.11.80.000.0000.0000"/>
    <n v="0"/>
    <s v="11"/>
    <s v="0000"/>
    <n v="14387.73"/>
    <n v="0"/>
    <s v="CREDITOR"/>
    <n v="0"/>
    <n v="0"/>
    <n v="0"/>
    <n v="0"/>
    <n v="0"/>
  </r>
  <r>
    <n v="60742219"/>
    <s v="N"/>
    <n v="21356884"/>
    <s v="3000014985080019RC"/>
    <s v="CIVIL"/>
    <d v="2023-06-29T00:00:00"/>
    <d v="2023-07-10T19:47:44"/>
    <m/>
    <d v="2023-07-10T00:00:00"/>
    <n v="2001"/>
    <n v="8025"/>
    <s v="60742219"/>
    <s v="60742219"/>
    <m/>
    <m/>
    <m/>
    <m/>
    <m/>
    <m/>
    <s v="SOLRECOUP"/>
    <s v="SOLRECOUP"/>
    <s v="POARECOUP"/>
    <n v="21356884"/>
    <n v="-168"/>
    <m/>
    <s v="Y"/>
    <n v="1"/>
    <d v="2023-07-10T19:47:46"/>
    <s v="N"/>
    <m/>
    <m/>
    <s v="Expert Disbursement"/>
    <m/>
    <s v="N"/>
    <n v="-168"/>
    <n v="0"/>
    <x v="2"/>
    <s v="VALIDATED"/>
    <n v="1"/>
    <s v="01.11.80.308.2013.0000"/>
    <n v="-168"/>
    <s v="11"/>
    <s v="2013"/>
    <n v="14387.73"/>
    <n v="-168"/>
    <s v="CREDITOR"/>
    <n v="0"/>
    <n v="0"/>
    <n v="-168"/>
    <n v="0"/>
    <n v="0"/>
  </r>
  <r>
    <n v="61298351"/>
    <s v="N"/>
    <n v="21399945"/>
    <s v="3000015456490006RC"/>
    <s v="CIVIL"/>
    <d v="2023-06-27T00:00:00"/>
    <d v="2023-07-19T19:44:15"/>
    <m/>
    <d v="2023-07-19T00:00:00"/>
    <n v="2001"/>
    <n v="8025"/>
    <s v="61298351"/>
    <s v="61298351"/>
    <m/>
    <m/>
    <m/>
    <m/>
    <m/>
    <m/>
    <s v="SOLRECOUP"/>
    <s v="SOLRECOUP"/>
    <s v="POARECOUP"/>
    <n v="21399945"/>
    <n v="-2375.1"/>
    <m/>
    <s v="Y"/>
    <n v="2"/>
    <d v="2023-07-19T19:44:17"/>
    <s v="N"/>
    <m/>
    <m/>
    <s v="Expert Disbursement"/>
    <m/>
    <s v="N"/>
    <n v="0"/>
    <n v="-395.85"/>
    <x v="5"/>
    <s v="VALIDATED"/>
    <n v="1"/>
    <s v="01.11.80.308.2013.0000"/>
    <n v="-395.85"/>
    <s v="11"/>
    <s v="2013"/>
    <n v="14387.73"/>
    <n v="-395.85"/>
    <s v="CREDITOR"/>
    <n v="0"/>
    <n v="0"/>
    <n v="-395.85"/>
    <n v="0"/>
    <n v="0"/>
  </r>
  <r>
    <n v="61298351"/>
    <s v="N"/>
    <n v="21399945"/>
    <s v="3000015456490006RC"/>
    <s v="CIVIL"/>
    <d v="2023-06-27T00:00:00"/>
    <d v="2023-07-19T19:44:15"/>
    <m/>
    <d v="2023-07-19T00:00:00"/>
    <n v="2001"/>
    <n v="8025"/>
    <s v="61298351"/>
    <s v="61298351"/>
    <m/>
    <m/>
    <m/>
    <m/>
    <m/>
    <m/>
    <s v="SOLRECOUP"/>
    <s v="SOLRECOUP"/>
    <s v="POARECOUP"/>
    <n v="21399945"/>
    <n v="-2375.1"/>
    <m/>
    <s v="Y"/>
    <n v="1"/>
    <d v="2023-07-19T19:44:17"/>
    <s v="N"/>
    <m/>
    <m/>
    <s v="Expert Disbursement"/>
    <m/>
    <s v="N"/>
    <n v="-1979.25"/>
    <n v="0"/>
    <x v="5"/>
    <s v="VALIDATED"/>
    <n v="1"/>
    <s v="01.11.80.308.2013.0000"/>
    <n v="-1979.25"/>
    <s v="11"/>
    <s v="2013"/>
    <n v="14387.73"/>
    <n v="-1979.25"/>
    <s v="CREDITOR"/>
    <n v="0"/>
    <n v="0"/>
    <n v="-1979.25"/>
    <n v="0"/>
    <n v="0"/>
  </r>
  <r>
    <n v="61594514"/>
    <s v="N"/>
    <n v="21366520"/>
    <s v="3000015704010005RC"/>
    <s v="CIVIL"/>
    <d v="2023-06-28T00:00:00"/>
    <d v="2023-07-12T19:45:17"/>
    <m/>
    <d v="2023-07-12T00:00:00"/>
    <n v="2001"/>
    <n v="8025"/>
    <s v="61594514"/>
    <s v="61594514"/>
    <m/>
    <m/>
    <m/>
    <m/>
    <m/>
    <m/>
    <s v="SOLRECOUP"/>
    <s v="SOLRECOUP"/>
    <s v="POARECOUP"/>
    <n v="21366520"/>
    <n v="-190.8"/>
    <m/>
    <s v="Y"/>
    <n v="1"/>
    <d v="2023-07-12T19:45:18"/>
    <s v="N"/>
    <m/>
    <m/>
    <s v="Expert Disbursement"/>
    <m/>
    <s v="N"/>
    <n v="-159"/>
    <n v="0"/>
    <x v="0"/>
    <s v="VALIDATED"/>
    <n v="1"/>
    <s v="01.11.80.308.2013.0000"/>
    <n v="-159"/>
    <s v="11"/>
    <s v="2013"/>
    <n v="14387.73"/>
    <n v="-159"/>
    <s v="CREDITOR"/>
    <n v="0"/>
    <n v="0"/>
    <n v="-159"/>
    <n v="0"/>
    <n v="0"/>
  </r>
  <r>
    <n v="61594514"/>
    <s v="N"/>
    <n v="21366520"/>
    <s v="3000015704010005RC"/>
    <s v="CIVIL"/>
    <d v="2023-06-28T00:00:00"/>
    <d v="2023-07-12T19:45:17"/>
    <m/>
    <d v="2023-07-12T00:00:00"/>
    <n v="2001"/>
    <n v="8025"/>
    <s v="61594514"/>
    <s v="61594514"/>
    <m/>
    <m/>
    <m/>
    <m/>
    <m/>
    <m/>
    <s v="SOLRECOUP"/>
    <s v="SOLRECOUP"/>
    <s v="POARECOUP"/>
    <n v="21366520"/>
    <n v="-190.8"/>
    <m/>
    <s v="Y"/>
    <n v="2"/>
    <d v="2023-07-12T19:45:18"/>
    <s v="N"/>
    <m/>
    <m/>
    <s v="Expert Disbursement"/>
    <m/>
    <s v="N"/>
    <n v="0"/>
    <n v="-31.8"/>
    <x v="0"/>
    <s v="VALIDATED"/>
    <n v="1"/>
    <s v="01.11.80.308.2013.0000"/>
    <n v="-31.8"/>
    <s v="11"/>
    <s v="2013"/>
    <n v="14387.73"/>
    <n v="-31.8"/>
    <s v="CREDITOR"/>
    <n v="0"/>
    <n v="0"/>
    <n v="-31.8"/>
    <n v="0"/>
    <n v="0"/>
  </r>
  <r>
    <n v="59912784"/>
    <s v="N"/>
    <n v="21361641"/>
    <s v="3000014267870002RC"/>
    <s v="CIVIL"/>
    <d v="2023-06-30T00:00:00"/>
    <d v="2023-07-11T19:38:00"/>
    <m/>
    <d v="2023-07-11T00:00:00"/>
    <n v="2001"/>
    <n v="8025"/>
    <s v="59912784"/>
    <s v="59912784"/>
    <m/>
    <m/>
    <m/>
    <m/>
    <m/>
    <m/>
    <s v="SOLRECOUP"/>
    <s v="SOLRECOUP"/>
    <s v="POARECOUP"/>
    <n v="21361641"/>
    <n v="-53"/>
    <m/>
    <s v="Y"/>
    <n v="1"/>
    <d v="2023-07-11T19:38:02"/>
    <s v="N"/>
    <m/>
    <m/>
    <s v="Non Expert Disbursement"/>
    <m/>
    <s v="N"/>
    <n v="-53"/>
    <n v="0"/>
    <x v="7"/>
    <s v="VALIDATED"/>
    <n v="1"/>
    <s v="01.11.80.307.2013.0000"/>
    <n v="-53"/>
    <s v="11"/>
    <s v="2013"/>
    <n v="14387.73"/>
    <n v="-53"/>
    <s v="CREDITOR"/>
    <n v="0"/>
    <n v="0"/>
    <n v="-53"/>
    <n v="0"/>
    <n v="0"/>
  </r>
  <r>
    <n v="59912784"/>
    <s v="N"/>
    <n v="21361641"/>
    <s v="3000014267870002RC"/>
    <s v="CIVIL"/>
    <d v="2023-06-30T00:00:00"/>
    <d v="2023-07-11T19:38:00"/>
    <m/>
    <d v="2023-07-11T00:00:00"/>
    <n v="2001"/>
    <n v="8025"/>
    <s v="59912784"/>
    <s v="59912784"/>
    <m/>
    <m/>
    <m/>
    <m/>
    <m/>
    <m/>
    <s v="SOLRECOUP"/>
    <s v="SOLRECOUP"/>
    <s v="POARECOUP"/>
    <n v="21361641"/>
    <n v="-53"/>
    <m/>
    <s v="Y"/>
    <n v="2"/>
    <d v="2023-07-11T19:38:02"/>
    <s v="N"/>
    <m/>
    <m/>
    <s v="Non Expert Disbursement"/>
    <m/>
    <s v="N"/>
    <n v="0"/>
    <n v="0"/>
    <x v="7"/>
    <s v="VALIDATED"/>
    <n v="1"/>
    <s v="01.11.80.000.0000.0000"/>
    <n v="0"/>
    <s v="11"/>
    <s v="0000"/>
    <n v="14387.73"/>
    <n v="0"/>
    <s v="CREDITOR"/>
    <n v="0"/>
    <n v="0"/>
    <n v="0"/>
    <n v="0"/>
    <n v="0"/>
  </r>
  <r>
    <n v="59912784"/>
    <s v="N"/>
    <n v="21361643"/>
    <s v="3000014267870003RC"/>
    <s v="CIVIL"/>
    <d v="2023-06-30T00:00:00"/>
    <d v="2023-07-11T19:38:00"/>
    <m/>
    <d v="2023-07-11T00:00:00"/>
    <n v="2001"/>
    <n v="8025"/>
    <s v="59912784"/>
    <s v="59912784"/>
    <m/>
    <m/>
    <m/>
    <m/>
    <m/>
    <m/>
    <s v="SOLRECOUP"/>
    <s v="SOLRECOUP"/>
    <s v="POARECOUP"/>
    <n v="21361643"/>
    <n v="-1296"/>
    <m/>
    <s v="Y"/>
    <n v="1"/>
    <d v="2023-07-11T19:38:02"/>
    <s v="N"/>
    <m/>
    <m/>
    <s v="Profit Cost"/>
    <m/>
    <s v="N"/>
    <n v="-1080"/>
    <n v="0"/>
    <x v="7"/>
    <s v="VALIDATED"/>
    <n v="1"/>
    <s v="01.11.80.307.2013.0000"/>
    <n v="-1080"/>
    <s v="11"/>
    <s v="2013"/>
    <n v="14387.73"/>
    <n v="-1080"/>
    <s v="CREDITOR"/>
    <n v="0"/>
    <n v="0"/>
    <n v="-1080"/>
    <n v="-270"/>
    <n v="0"/>
  </r>
  <r>
    <n v="59912784"/>
    <s v="N"/>
    <n v="21361643"/>
    <s v="3000014267870003RC"/>
    <s v="CIVIL"/>
    <d v="2023-06-30T00:00:00"/>
    <d v="2023-07-11T19:38:00"/>
    <m/>
    <d v="2023-07-11T00:00:00"/>
    <n v="2001"/>
    <n v="8025"/>
    <s v="59912784"/>
    <s v="59912784"/>
    <m/>
    <m/>
    <m/>
    <m/>
    <m/>
    <m/>
    <s v="SOLRECOUP"/>
    <s v="SOLRECOUP"/>
    <s v="POARECOUP"/>
    <n v="21361643"/>
    <n v="-1296"/>
    <m/>
    <s v="Y"/>
    <n v="2"/>
    <d v="2023-07-11T19:38:02"/>
    <s v="N"/>
    <m/>
    <m/>
    <s v="Profit Cost"/>
    <m/>
    <s v="N"/>
    <n v="0"/>
    <n v="-216"/>
    <x v="7"/>
    <s v="VALIDATED"/>
    <n v="1"/>
    <s v="01.11.80.307.2013.0000"/>
    <n v="-216"/>
    <s v="11"/>
    <s v="2013"/>
    <n v="14387.73"/>
    <n v="-216"/>
    <s v="CREDITOR"/>
    <n v="0"/>
    <n v="0"/>
    <n v="-216"/>
    <n v="-54"/>
    <n v="0"/>
  </r>
  <r>
    <n v="60816284"/>
    <s v="N"/>
    <n v="21340111"/>
    <s v="3000015049370003RC"/>
    <s v="CIVIL"/>
    <d v="2023-06-27T00:00:00"/>
    <d v="2023-07-06T19:54:22"/>
    <m/>
    <d v="2023-07-06T00:00:00"/>
    <n v="2001"/>
    <n v="8025"/>
    <s v="60816284"/>
    <s v="60816284"/>
    <m/>
    <m/>
    <m/>
    <m/>
    <m/>
    <m/>
    <s v="SOLRECOUP"/>
    <s v="SOLRECOUP"/>
    <s v="POARECOUP"/>
    <n v="21340111"/>
    <n v="-311.4"/>
    <m/>
    <s v="Y"/>
    <n v="2"/>
    <d v="2023-07-06T19:54:23"/>
    <s v="N"/>
    <m/>
    <m/>
    <s v="Expert Disbursement"/>
    <m/>
    <s v="N"/>
    <n v="0"/>
    <n v="-51.9"/>
    <x v="4"/>
    <s v="VALIDATED"/>
    <n v="1"/>
    <s v="01.11.80.308.2013.0000"/>
    <n v="-51.9"/>
    <s v="11"/>
    <s v="2013"/>
    <n v="14387.73"/>
    <n v="-51.9"/>
    <s v="CREDITOR"/>
    <n v="0"/>
    <n v="0"/>
    <n v="-51.9"/>
    <n v="0"/>
    <n v="0"/>
  </r>
  <r>
    <n v="61366169"/>
    <s v="N"/>
    <n v="21340112"/>
    <s v="3000015513310005RC"/>
    <s v="CIVIL"/>
    <d v="2023-06-27T00:00:00"/>
    <d v="2023-07-06T19:54:22"/>
    <m/>
    <d v="2023-07-06T00:00:00"/>
    <n v="2001"/>
    <n v="8025"/>
    <s v="61366169"/>
    <s v="61366169"/>
    <m/>
    <m/>
    <m/>
    <m/>
    <m/>
    <m/>
    <s v="SOLRECOUP"/>
    <s v="SOLRECOUP"/>
    <s v="POARECOUP"/>
    <n v="21340112"/>
    <n v="-97.2"/>
    <m/>
    <s v="Y"/>
    <n v="1"/>
    <d v="2023-07-06T19:54:23"/>
    <s v="N"/>
    <m/>
    <m/>
    <s v="Expert Disbursement"/>
    <m/>
    <s v="N"/>
    <n v="-81"/>
    <n v="0"/>
    <x v="4"/>
    <s v="VALIDATED"/>
    <n v="1"/>
    <s v="01.11.80.308.2013.0000"/>
    <n v="-81"/>
    <s v="11"/>
    <s v="2013"/>
    <n v="14387.73"/>
    <n v="-81"/>
    <s v="CREDITOR"/>
    <n v="0"/>
    <n v="0"/>
    <n v="-81"/>
    <n v="0"/>
    <n v="0"/>
  </r>
  <r>
    <n v="61366169"/>
    <s v="N"/>
    <n v="21340112"/>
    <s v="3000015513310005RC"/>
    <s v="CIVIL"/>
    <d v="2023-06-27T00:00:00"/>
    <d v="2023-07-06T19:54:22"/>
    <m/>
    <d v="2023-07-06T00:00:00"/>
    <n v="2001"/>
    <n v="8025"/>
    <s v="61366169"/>
    <s v="61366169"/>
    <m/>
    <m/>
    <m/>
    <m/>
    <m/>
    <m/>
    <s v="SOLRECOUP"/>
    <s v="SOLRECOUP"/>
    <s v="POARECOUP"/>
    <n v="21340112"/>
    <n v="-97.2"/>
    <m/>
    <s v="Y"/>
    <n v="2"/>
    <d v="2023-07-06T19:54:23"/>
    <s v="N"/>
    <m/>
    <m/>
    <s v="Expert Disbursement"/>
    <m/>
    <s v="N"/>
    <n v="0"/>
    <n v="-16.2"/>
    <x v="4"/>
    <s v="VALIDATED"/>
    <n v="1"/>
    <s v="01.11.80.308.2013.0000"/>
    <n v="-16.2"/>
    <s v="11"/>
    <s v="2013"/>
    <n v="14387.73"/>
    <n v="-16.2"/>
    <s v="CREDITOR"/>
    <n v="0"/>
    <n v="0"/>
    <n v="-16.2"/>
    <n v="0"/>
    <n v="0"/>
  </r>
  <r>
    <n v="60816284"/>
    <s v="N"/>
    <n v="21340113"/>
    <s v="3000015049370006RC"/>
    <s v="CIVIL"/>
    <d v="2023-06-27T00:00:00"/>
    <d v="2023-07-06T19:54:22"/>
    <m/>
    <d v="2023-07-06T00:00:00"/>
    <n v="2001"/>
    <n v="8025"/>
    <s v="60816284"/>
    <s v="60816284"/>
    <m/>
    <m/>
    <m/>
    <m/>
    <m/>
    <m/>
    <s v="SOLRECOUP"/>
    <s v="SOLRECOUP"/>
    <s v="POARECOUP"/>
    <n v="21340113"/>
    <n v="-1307.52"/>
    <m/>
    <s v="Y"/>
    <n v="1"/>
    <d v="2023-07-06T19:54:23"/>
    <s v="N"/>
    <m/>
    <m/>
    <s v="Profit Cost"/>
    <m/>
    <s v="N"/>
    <n v="-1089.6"/>
    <n v="0"/>
    <x v="4"/>
    <s v="VALIDATED"/>
    <n v="1"/>
    <s v="01.11.80.308.2013.0000"/>
    <n v="-1089.6"/>
    <s v="11"/>
    <s v="2013"/>
    <n v="14387.73"/>
    <n v="-1089.6"/>
    <s v="CREDITOR"/>
    <n v="0"/>
    <n v="0"/>
    <n v="-1089.6"/>
    <n v="-272.4"/>
    <n v="0"/>
  </r>
  <r>
    <n v="60742219"/>
    <s v="N"/>
    <n v="21356846"/>
    <s v="3000014985080001RC"/>
    <s v="CIVIL"/>
    <d v="2023-06-29T00:00:00"/>
    <d v="2023-07-10T19:47:44"/>
    <m/>
    <d v="2023-07-10T00:00:00"/>
    <n v="2001"/>
    <n v="8025"/>
    <s v="60742219"/>
    <s v="60742219"/>
    <m/>
    <m/>
    <m/>
    <m/>
    <m/>
    <m/>
    <s v="SOLRECOUP"/>
    <s v="SOLRECOUP"/>
    <s v="POARECOUP"/>
    <n v="21356846"/>
    <n v="-955.7"/>
    <m/>
    <s v="Y"/>
    <n v="1"/>
    <d v="2023-07-10T19:47:46"/>
    <s v="N"/>
    <m/>
    <m/>
    <s v="Expert Disbursement"/>
    <m/>
    <s v="N"/>
    <n v="-955.7"/>
    <n v="0"/>
    <x v="2"/>
    <s v="VALIDATED"/>
    <n v="1"/>
    <s v="01.11.80.308.2013.0000"/>
    <n v="-955.7"/>
    <s v="11"/>
    <s v="2013"/>
    <n v="14387.73"/>
    <n v="-955.7"/>
    <s v="CREDITOR"/>
    <n v="0"/>
    <n v="0"/>
    <n v="-955.7"/>
    <n v="0"/>
    <n v="0"/>
  </r>
  <r>
    <n v="60742219"/>
    <s v="N"/>
    <n v="21356846"/>
    <s v="3000014985080001RC"/>
    <s v="CIVIL"/>
    <d v="2023-06-29T00:00:00"/>
    <d v="2023-07-10T19:47:44"/>
    <m/>
    <d v="2023-07-10T00:00:00"/>
    <n v="2001"/>
    <n v="8025"/>
    <s v="60742219"/>
    <s v="60742219"/>
    <m/>
    <m/>
    <m/>
    <m/>
    <m/>
    <m/>
    <s v="SOLRECOUP"/>
    <s v="SOLRECOUP"/>
    <s v="POARECOUP"/>
    <n v="21356846"/>
    <n v="-955.7"/>
    <m/>
    <s v="Y"/>
    <n v="2"/>
    <d v="2023-07-10T19:47:46"/>
    <s v="N"/>
    <m/>
    <m/>
    <s v="Expert Disbursement"/>
    <m/>
    <s v="N"/>
    <n v="0"/>
    <n v="0"/>
    <x v="2"/>
    <s v="VALIDATED"/>
    <n v="1"/>
    <s v="01.11.80.000.0000.0000"/>
    <n v="0"/>
    <s v="11"/>
    <s v="0000"/>
    <n v="14387.73"/>
    <n v="0"/>
    <s v="CREDITOR"/>
    <n v="0"/>
    <n v="0"/>
    <n v="0"/>
    <n v="0"/>
    <n v="0"/>
  </r>
  <r>
    <n v="60742219"/>
    <s v="N"/>
    <n v="21356847"/>
    <s v="3000014985080002RC"/>
    <s v="CIVIL"/>
    <d v="2023-06-29T00:00:00"/>
    <d v="2023-07-10T19:47:44"/>
    <m/>
    <d v="2023-07-10T00:00:00"/>
    <n v="2001"/>
    <n v="8025"/>
    <s v="60742219"/>
    <s v="60742219"/>
    <m/>
    <m/>
    <m/>
    <m/>
    <m/>
    <m/>
    <s v="SOLRECOUP"/>
    <s v="SOLRECOUP"/>
    <s v="POARECOUP"/>
    <n v="21356847"/>
    <n v="-75"/>
    <m/>
    <s v="Y"/>
    <n v="1"/>
    <d v="2023-07-10T19:47:46"/>
    <s v="N"/>
    <m/>
    <m/>
    <s v="Expert Disbursement"/>
    <m/>
    <s v="N"/>
    <n v="-75"/>
    <n v="0"/>
    <x v="2"/>
    <s v="VALIDATED"/>
    <n v="1"/>
    <s v="01.11.80.308.2013.0000"/>
    <n v="-75"/>
    <s v="11"/>
    <s v="2013"/>
    <n v="14387.73"/>
    <n v="-75"/>
    <s v="CREDITOR"/>
    <n v="0"/>
    <n v="0"/>
    <n v="-75"/>
    <n v="0"/>
    <n v="0"/>
  </r>
  <r>
    <n v="60742219"/>
    <s v="N"/>
    <n v="21356847"/>
    <s v="3000014985080002RC"/>
    <s v="CIVIL"/>
    <d v="2023-06-29T00:00:00"/>
    <d v="2023-07-10T19:47:44"/>
    <m/>
    <d v="2023-07-10T00:00:00"/>
    <n v="2001"/>
    <n v="8025"/>
    <s v="60742219"/>
    <s v="60742219"/>
    <m/>
    <m/>
    <m/>
    <m/>
    <m/>
    <m/>
    <s v="SOLRECOUP"/>
    <s v="SOLRECOUP"/>
    <s v="POARECOUP"/>
    <n v="21356847"/>
    <n v="-75"/>
    <m/>
    <s v="Y"/>
    <n v="2"/>
    <d v="2023-07-10T19:47:46"/>
    <s v="N"/>
    <m/>
    <m/>
    <s v="Expert Disbursement"/>
    <m/>
    <s v="N"/>
    <n v="0"/>
    <n v="0"/>
    <x v="2"/>
    <s v="VALIDATED"/>
    <n v="1"/>
    <s v="01.11.80.000.0000.0000"/>
    <n v="0"/>
    <s v="11"/>
    <s v="0000"/>
    <n v="14387.73"/>
    <n v="0"/>
    <s v="CREDITOR"/>
    <n v="0"/>
    <n v="0"/>
    <n v="0"/>
    <n v="0"/>
    <n v="0"/>
  </r>
  <r>
    <n v="60205196"/>
    <s v="N"/>
    <n v="21356848"/>
    <s v="3000014511920002RC"/>
    <s v="CIVIL"/>
    <d v="2023-06-27T00:00:00"/>
    <d v="2023-07-10T19:47:44"/>
    <m/>
    <d v="2023-07-10T00:00:00"/>
    <n v="2001"/>
    <n v="8025"/>
    <s v="60205196"/>
    <s v="60205196"/>
    <m/>
    <m/>
    <m/>
    <m/>
    <m/>
    <m/>
    <s v="SOLRECOUP"/>
    <s v="SOLRECOUP"/>
    <s v="POARECOUP"/>
    <n v="21356848"/>
    <n v="-2794.56"/>
    <m/>
    <s v="Y"/>
    <n v="1"/>
    <d v="2023-07-10T19:47:46"/>
    <s v="N"/>
    <m/>
    <m/>
    <s v="Profit Cost"/>
    <m/>
    <s v="N"/>
    <n v="-2328.8"/>
    <n v="0"/>
    <x v="2"/>
    <s v="VALIDATED"/>
    <n v="1"/>
    <s v="01.11.80.308.2013.0000"/>
    <n v="-2328.8"/>
    <s v="11"/>
    <s v="2013"/>
    <n v="14387.73"/>
    <n v="-2328.8"/>
    <s v="CREDITOR"/>
    <n v="0"/>
    <n v="0"/>
    <n v="-2328.8"/>
    <n v="-582.2"/>
    <n v="0"/>
  </r>
  <r>
    <n v="60205196"/>
    <s v="N"/>
    <n v="21356848"/>
    <s v="3000014511920002RC"/>
    <s v="CIVIL"/>
    <d v="2023-06-27T00:00:00"/>
    <d v="2023-07-10T19:47:44"/>
    <m/>
    <d v="2023-07-10T00:00:00"/>
    <n v="2001"/>
    <n v="8025"/>
    <s v="60205196"/>
    <s v="60205196"/>
    <m/>
    <m/>
    <m/>
    <m/>
    <m/>
    <m/>
    <s v="SOLRECOUP"/>
    <s v="SOLRECOUP"/>
    <s v="POARECOUP"/>
    <n v="21356848"/>
    <n v="-2794.56"/>
    <m/>
    <s v="Y"/>
    <n v="2"/>
    <d v="2023-07-10T19:47:46"/>
    <s v="N"/>
    <m/>
    <m/>
    <s v="Profit Cost"/>
    <m/>
    <s v="N"/>
    <n v="0"/>
    <n v="-465.76"/>
    <x v="2"/>
    <s v="VALIDATED"/>
    <n v="1"/>
    <s v="01.11.80.308.2013.0000"/>
    <n v="-465.76"/>
    <s v="11"/>
    <s v="2013"/>
    <n v="14387.73"/>
    <n v="-465.76"/>
    <s v="CREDITOR"/>
    <n v="0"/>
    <n v="0"/>
    <n v="-465.76"/>
    <n v="-116.44"/>
    <n v="0"/>
  </r>
  <r>
    <n v="60650441"/>
    <s v="N"/>
    <n v="21356849"/>
    <s v="3000014900700001RC"/>
    <s v="CIVIL"/>
    <d v="2023-06-28T00:00:00"/>
    <d v="2023-07-10T19:47:44"/>
    <m/>
    <d v="2023-07-10T00:00:00"/>
    <n v="2001"/>
    <n v="8025"/>
    <s v="60650441"/>
    <s v="60650441"/>
    <m/>
    <m/>
    <m/>
    <m/>
    <m/>
    <m/>
    <s v="SOLRECOUP"/>
    <s v="SOLRECOUP"/>
    <s v="POARECOUP"/>
    <n v="21356849"/>
    <n v="-59.12"/>
    <m/>
    <s v="Y"/>
    <n v="1"/>
    <d v="2023-07-10T19:47:46"/>
    <s v="N"/>
    <m/>
    <m/>
    <s v="Non Expert Disbursement"/>
    <m/>
    <s v="N"/>
    <n v="-59.12"/>
    <n v="0"/>
    <x v="2"/>
    <s v="VALIDATED"/>
    <n v="1"/>
    <s v="01.11.80.307.2013.0000"/>
    <n v="-59.12"/>
    <s v="11"/>
    <s v="2013"/>
    <n v="14387.73"/>
    <n v="-59.12"/>
    <s v="CREDITOR"/>
    <n v="0"/>
    <n v="0"/>
    <n v="-59.12"/>
    <n v="0"/>
    <n v="0"/>
  </r>
  <r>
    <n v="60650441"/>
    <s v="N"/>
    <n v="21356849"/>
    <s v="3000014900700001RC"/>
    <s v="CIVIL"/>
    <d v="2023-06-28T00:00:00"/>
    <d v="2023-07-10T19:47:44"/>
    <m/>
    <d v="2023-07-10T00:00:00"/>
    <n v="2001"/>
    <n v="8025"/>
    <s v="60650441"/>
    <s v="60650441"/>
    <m/>
    <m/>
    <m/>
    <m/>
    <m/>
    <m/>
    <s v="SOLRECOUP"/>
    <s v="SOLRECOUP"/>
    <s v="POARECOUP"/>
    <n v="21356849"/>
    <n v="-59.12"/>
    <m/>
    <s v="Y"/>
    <n v="2"/>
    <d v="2023-07-10T19:47:46"/>
    <s v="N"/>
    <m/>
    <m/>
    <s v="Non Expert Disbursement"/>
    <m/>
    <s v="N"/>
    <n v="0"/>
    <n v="0"/>
    <x v="2"/>
    <s v="VALIDATED"/>
    <n v="1"/>
    <s v="01.11.80.000.0000.0000"/>
    <n v="0"/>
    <s v="11"/>
    <s v="0000"/>
    <n v="14387.73"/>
    <n v="0"/>
    <s v="CREDITOR"/>
    <n v="0"/>
    <n v="0"/>
    <n v="0"/>
    <n v="0"/>
    <n v="0"/>
  </r>
  <r>
    <n v="60205196"/>
    <s v="N"/>
    <n v="21356850"/>
    <s v="3000014511920004RC"/>
    <s v="CIVIL"/>
    <d v="2023-06-27T00:00:00"/>
    <d v="2023-07-10T19:47:44"/>
    <m/>
    <d v="2023-07-10T00:00:00"/>
    <n v="2001"/>
    <n v="8025"/>
    <s v="60205196"/>
    <s v="60205196"/>
    <m/>
    <m/>
    <m/>
    <m/>
    <m/>
    <m/>
    <s v="SOLRECOUP"/>
    <s v="SOLRECOUP"/>
    <s v="POARECOUP"/>
    <n v="21356850"/>
    <n v="-960"/>
    <m/>
    <s v="Y"/>
    <n v="1"/>
    <d v="2023-07-10T19:47:46"/>
    <s v="N"/>
    <m/>
    <m/>
    <s v="Profit Cost"/>
    <m/>
    <s v="N"/>
    <n v="-800"/>
    <n v="0"/>
    <x v="2"/>
    <s v="VALIDATED"/>
    <n v="1"/>
    <s v="01.11.80.308.2013.0000"/>
    <n v="-800"/>
    <s v="11"/>
    <s v="2013"/>
    <n v="14387.73"/>
    <n v="-800"/>
    <s v="CREDITOR"/>
    <n v="0"/>
    <n v="0"/>
    <n v="-800"/>
    <n v="-200"/>
    <n v="0"/>
  </r>
  <r>
    <n v="60205196"/>
    <s v="N"/>
    <n v="21356850"/>
    <s v="3000014511920004RC"/>
    <s v="CIVIL"/>
    <d v="2023-06-27T00:00:00"/>
    <d v="2023-07-10T19:47:44"/>
    <m/>
    <d v="2023-07-10T00:00:00"/>
    <n v="2001"/>
    <n v="8025"/>
    <s v="60205196"/>
    <s v="60205196"/>
    <m/>
    <m/>
    <m/>
    <m/>
    <m/>
    <m/>
    <s v="SOLRECOUP"/>
    <s v="SOLRECOUP"/>
    <s v="POARECOUP"/>
    <n v="21356850"/>
    <n v="-960"/>
    <m/>
    <s v="Y"/>
    <n v="2"/>
    <d v="2023-07-10T19:47:46"/>
    <s v="N"/>
    <m/>
    <m/>
    <s v="Profit Cost"/>
    <m/>
    <s v="N"/>
    <n v="0"/>
    <n v="-160"/>
    <x v="2"/>
    <s v="VALIDATED"/>
    <n v="1"/>
    <s v="01.11.80.308.2013.0000"/>
    <n v="-160"/>
    <s v="11"/>
    <s v="2013"/>
    <n v="14387.73"/>
    <n v="-160"/>
    <s v="CREDITOR"/>
    <n v="0"/>
    <n v="0"/>
    <n v="-160"/>
    <n v="-40"/>
    <n v="0"/>
  </r>
  <r>
    <n v="60650441"/>
    <s v="N"/>
    <n v="21356851"/>
    <s v="3000014900700002RC"/>
    <s v="CIVIL"/>
    <d v="2023-06-28T00:00:00"/>
    <d v="2023-07-10T19:47:44"/>
    <m/>
    <d v="2023-07-10T00:00:00"/>
    <n v="2001"/>
    <n v="8025"/>
    <s v="60650441"/>
    <s v="60650441"/>
    <m/>
    <m/>
    <m/>
    <m/>
    <m/>
    <m/>
    <s v="SOLRECOUP"/>
    <s v="SOLRECOUP"/>
    <s v="POARECOUP"/>
    <n v="21356851"/>
    <n v="-57.36"/>
    <m/>
    <s v="Y"/>
    <n v="1"/>
    <d v="2023-07-10T19:47:46"/>
    <s v="N"/>
    <m/>
    <m/>
    <s v="Non Expert Disbursement"/>
    <m/>
    <s v="N"/>
    <n v="-57.36"/>
    <n v="0"/>
    <x v="2"/>
    <s v="VALIDATED"/>
    <n v="1"/>
    <s v="01.11.80.307.2013.0000"/>
    <n v="-57.36"/>
    <s v="11"/>
    <s v="2013"/>
    <n v="14387.73"/>
    <n v="-57.36"/>
    <s v="CREDITOR"/>
    <n v="0"/>
    <n v="0"/>
    <n v="-57.36"/>
    <n v="0"/>
    <n v="0"/>
  </r>
  <r>
    <n v="60650441"/>
    <s v="N"/>
    <n v="21356851"/>
    <s v="3000014900700002RC"/>
    <s v="CIVIL"/>
    <d v="2023-06-28T00:00:00"/>
    <d v="2023-07-10T19:47:44"/>
    <m/>
    <d v="2023-07-10T00:00:00"/>
    <n v="2001"/>
    <n v="8025"/>
    <s v="60650441"/>
    <s v="60650441"/>
    <m/>
    <m/>
    <m/>
    <m/>
    <m/>
    <m/>
    <s v="SOLRECOUP"/>
    <s v="SOLRECOUP"/>
    <s v="POARECOUP"/>
    <n v="21356851"/>
    <n v="-57.36"/>
    <m/>
    <s v="Y"/>
    <n v="2"/>
    <d v="2023-07-10T19:47:46"/>
    <s v="N"/>
    <m/>
    <m/>
    <s v="Non Expert Disbursement"/>
    <m/>
    <s v="N"/>
    <n v="0"/>
    <n v="0"/>
    <x v="2"/>
    <s v="VALIDATED"/>
    <n v="1"/>
    <s v="01.11.80.000.0000.0000"/>
    <n v="0"/>
    <s v="11"/>
    <s v="0000"/>
    <n v="14387.73"/>
    <n v="0"/>
    <s v="CREDITOR"/>
    <n v="0"/>
    <n v="0"/>
    <n v="0"/>
    <n v="0"/>
    <n v="0"/>
  </r>
  <r>
    <n v="60125579"/>
    <s v="N"/>
    <n v="21356852"/>
    <s v="3000014453780001RC"/>
    <s v="CIVIL"/>
    <d v="2023-06-27T00:00:00"/>
    <d v="2023-07-10T19:47:44"/>
    <m/>
    <d v="2023-07-10T00:00:00"/>
    <n v="2001"/>
    <n v="8025"/>
    <s v="60125579"/>
    <s v="60125579"/>
    <m/>
    <m/>
    <m/>
    <m/>
    <m/>
    <m/>
    <s v="SOLRECOUP"/>
    <s v="SOLRECOUP"/>
    <s v="POARECOUP"/>
    <n v="21356852"/>
    <n v="-2410.56"/>
    <m/>
    <s v="Y"/>
    <n v="1"/>
    <d v="2023-07-10T19:47:46"/>
    <s v="N"/>
    <m/>
    <m/>
    <s v="Profit Cost"/>
    <m/>
    <s v="N"/>
    <n v="-2008.8"/>
    <n v="0"/>
    <x v="2"/>
    <s v="VALIDATED"/>
    <n v="1"/>
    <s v="01.11.80.308.2013.0000"/>
    <n v="-2008.8"/>
    <s v="11"/>
    <s v="2013"/>
    <n v="14387.73"/>
    <n v="-2008.8"/>
    <s v="CREDITOR"/>
    <n v="0"/>
    <n v="0"/>
    <n v="-2008.8"/>
    <n v="-502.2"/>
    <n v="0"/>
  </r>
  <r>
    <n v="60125579"/>
    <s v="N"/>
    <n v="21356852"/>
    <s v="3000014453780001RC"/>
    <s v="CIVIL"/>
    <d v="2023-06-27T00:00:00"/>
    <d v="2023-07-10T19:47:44"/>
    <m/>
    <d v="2023-07-10T00:00:00"/>
    <n v="2001"/>
    <n v="8025"/>
    <s v="60125579"/>
    <s v="60125579"/>
    <m/>
    <m/>
    <m/>
    <m/>
    <m/>
    <m/>
    <s v="SOLRECOUP"/>
    <s v="SOLRECOUP"/>
    <s v="POARECOUP"/>
    <n v="21356852"/>
    <n v="-2410.56"/>
    <m/>
    <s v="Y"/>
    <n v="2"/>
    <d v="2023-07-10T19:47:46"/>
    <s v="N"/>
    <m/>
    <m/>
    <s v="Profit Cost"/>
    <m/>
    <s v="N"/>
    <n v="0"/>
    <n v="-401.76"/>
    <x v="2"/>
    <s v="VALIDATED"/>
    <n v="1"/>
    <s v="01.11.80.308.2013.0000"/>
    <n v="-401.76"/>
    <s v="11"/>
    <s v="2013"/>
    <n v="14387.73"/>
    <n v="-401.76"/>
    <s v="CREDITOR"/>
    <n v="0"/>
    <n v="0"/>
    <n v="-401.76"/>
    <n v="-100.44"/>
    <n v="0"/>
  </r>
  <r>
    <n v="60205196"/>
    <s v="N"/>
    <n v="21356853"/>
    <s v="3000014511920001RC"/>
    <s v="CIVIL"/>
    <d v="2023-06-27T00:00:00"/>
    <d v="2023-07-10T19:47:44"/>
    <m/>
    <d v="2023-07-10T00:00:00"/>
    <n v="2001"/>
    <n v="8025"/>
    <s v="60205196"/>
    <s v="60205196"/>
    <m/>
    <m/>
    <m/>
    <m/>
    <m/>
    <m/>
    <s v="SOLRECOUP"/>
    <s v="SOLRECOUP"/>
    <s v="POARECOUP"/>
    <n v="21356853"/>
    <n v="-459"/>
    <m/>
    <s v="Y"/>
    <n v="1"/>
    <d v="2023-07-10T19:47:46"/>
    <s v="N"/>
    <m/>
    <m/>
    <s v="Expert Disbursement"/>
    <m/>
    <s v="N"/>
    <n v="-459"/>
    <n v="0"/>
    <x v="2"/>
    <s v="VALIDATED"/>
    <n v="1"/>
    <s v="01.11.80.308.2013.0000"/>
    <n v="-459"/>
    <s v="11"/>
    <s v="2013"/>
    <n v="14387.73"/>
    <n v="-459"/>
    <s v="CREDITOR"/>
    <n v="0"/>
    <n v="0"/>
    <n v="-459"/>
    <n v="0"/>
    <n v="0"/>
  </r>
  <r>
    <n v="60205196"/>
    <s v="N"/>
    <n v="21356853"/>
    <s v="3000014511920001RC"/>
    <s v="CIVIL"/>
    <d v="2023-06-27T00:00:00"/>
    <d v="2023-07-10T19:47:44"/>
    <m/>
    <d v="2023-07-10T00:00:00"/>
    <n v="2001"/>
    <n v="8025"/>
    <s v="60205196"/>
    <s v="60205196"/>
    <m/>
    <m/>
    <m/>
    <m/>
    <m/>
    <m/>
    <s v="SOLRECOUP"/>
    <s v="SOLRECOUP"/>
    <s v="POARECOUP"/>
    <n v="21356853"/>
    <n v="-459"/>
    <m/>
    <s v="Y"/>
    <n v="2"/>
    <d v="2023-07-10T19:47:46"/>
    <s v="N"/>
    <m/>
    <m/>
    <s v="Expert Disbursement"/>
    <m/>
    <s v="N"/>
    <n v="0"/>
    <n v="0"/>
    <x v="2"/>
    <s v="VALIDATED"/>
    <n v="1"/>
    <s v="01.11.80.000.0000.0000"/>
    <n v="0"/>
    <s v="11"/>
    <s v="0000"/>
    <n v="14387.73"/>
    <n v="0"/>
    <s v="CREDITOR"/>
    <n v="0"/>
    <n v="0"/>
    <n v="0"/>
    <n v="0"/>
    <n v="0"/>
  </r>
  <r>
    <n v="60205196"/>
    <s v="N"/>
    <n v="21356854"/>
    <s v="3000014511920003RC"/>
    <s v="CIVIL"/>
    <d v="2023-06-27T00:00:00"/>
    <d v="2023-07-10T19:47:44"/>
    <m/>
    <d v="2023-07-10T00:00:00"/>
    <n v="2001"/>
    <n v="8025"/>
    <s v="60205196"/>
    <s v="60205196"/>
    <m/>
    <m/>
    <m/>
    <m/>
    <m/>
    <m/>
    <s v="SOLRECOUP"/>
    <s v="SOLRECOUP"/>
    <s v="POARECOUP"/>
    <n v="21356854"/>
    <n v="-810.96"/>
    <m/>
    <s v="Y"/>
    <n v="1"/>
    <d v="2023-07-10T19:47:46"/>
    <s v="N"/>
    <m/>
    <m/>
    <s v="Expert Disbursement"/>
    <m/>
    <s v="N"/>
    <n v="-675.8"/>
    <n v="0"/>
    <x v="2"/>
    <s v="VALIDATED"/>
    <n v="1"/>
    <s v="01.11.80.308.2013.0000"/>
    <n v="-675.8"/>
    <s v="11"/>
    <s v="2013"/>
    <n v="14387.73"/>
    <n v="-675.8"/>
    <s v="CREDITOR"/>
    <n v="0"/>
    <n v="0"/>
    <n v="-675.8"/>
    <n v="0"/>
    <n v="0"/>
  </r>
  <r>
    <n v="60205196"/>
    <s v="N"/>
    <n v="21356854"/>
    <s v="3000014511920003RC"/>
    <s v="CIVIL"/>
    <d v="2023-06-27T00:00:00"/>
    <d v="2023-07-10T19:47:44"/>
    <m/>
    <d v="2023-07-10T00:00:00"/>
    <n v="2001"/>
    <n v="8025"/>
    <s v="60205196"/>
    <s v="60205196"/>
    <m/>
    <m/>
    <m/>
    <m/>
    <m/>
    <m/>
    <s v="SOLRECOUP"/>
    <s v="SOLRECOUP"/>
    <s v="POARECOUP"/>
    <n v="21356854"/>
    <n v="-810.96"/>
    <m/>
    <s v="Y"/>
    <n v="2"/>
    <d v="2023-07-10T19:47:46"/>
    <s v="N"/>
    <m/>
    <m/>
    <s v="Expert Disbursement"/>
    <m/>
    <s v="N"/>
    <n v="0"/>
    <n v="-135.16"/>
    <x v="2"/>
    <s v="VALIDATED"/>
    <n v="1"/>
    <s v="01.11.80.308.2013.0000"/>
    <n v="-135.16"/>
    <s v="11"/>
    <s v="2013"/>
    <n v="14387.73"/>
    <n v="-135.16"/>
    <s v="CREDITOR"/>
    <n v="0"/>
    <n v="0"/>
    <n v="-135.16"/>
    <n v="0"/>
    <n v="0"/>
  </r>
  <r>
    <n v="60650441"/>
    <s v="N"/>
    <n v="21356855"/>
    <s v="3000014900700005RC"/>
    <s v="CIVIL"/>
    <d v="2023-06-28T00:00:00"/>
    <d v="2023-07-10T19:47:44"/>
    <m/>
    <d v="2023-07-10T00:00:00"/>
    <n v="2001"/>
    <n v="8025"/>
    <s v="60650441"/>
    <s v="60650441"/>
    <m/>
    <m/>
    <m/>
    <m/>
    <m/>
    <m/>
    <s v="SOLRECOUP"/>
    <s v="SOLRECOUP"/>
    <s v="POARECOUP"/>
    <n v="21356855"/>
    <n v="-496.8"/>
    <m/>
    <s v="Y"/>
    <n v="1"/>
    <d v="2023-07-10T19:47:46"/>
    <s v="N"/>
    <m/>
    <m/>
    <s v="Non Expert Disbursement"/>
    <m/>
    <s v="N"/>
    <n v="-496.8"/>
    <n v="0"/>
    <x v="2"/>
    <s v="VALIDATED"/>
    <n v="1"/>
    <s v="01.11.80.307.2013.0000"/>
    <n v="-496.8"/>
    <s v="11"/>
    <s v="2013"/>
    <n v="14387.73"/>
    <n v="-496.8"/>
    <s v="CREDITOR"/>
    <n v="0"/>
    <n v="0"/>
    <n v="-496.8"/>
    <n v="0"/>
    <n v="0"/>
  </r>
  <r>
    <n v="60650441"/>
    <s v="N"/>
    <n v="21356855"/>
    <s v="3000014900700005RC"/>
    <s v="CIVIL"/>
    <d v="2023-06-28T00:00:00"/>
    <d v="2023-07-10T19:47:44"/>
    <m/>
    <d v="2023-07-10T00:00:00"/>
    <n v="2001"/>
    <n v="8025"/>
    <s v="60650441"/>
    <s v="60650441"/>
    <m/>
    <m/>
    <m/>
    <m/>
    <m/>
    <m/>
    <s v="SOLRECOUP"/>
    <s v="SOLRECOUP"/>
    <s v="POARECOUP"/>
    <n v="21356855"/>
    <n v="-496.8"/>
    <m/>
    <s v="Y"/>
    <n v="2"/>
    <d v="2023-07-10T19:47:46"/>
    <s v="N"/>
    <m/>
    <m/>
    <s v="Non Expert Disbursement"/>
    <m/>
    <s v="N"/>
    <n v="0"/>
    <n v="0"/>
    <x v="2"/>
    <s v="VALIDATED"/>
    <n v="1"/>
    <s v="01.11.80.000.0000.0000"/>
    <n v="0"/>
    <s v="11"/>
    <s v="0000"/>
    <n v="14387.73"/>
    <n v="0"/>
    <s v="CREDITOR"/>
    <n v="0"/>
    <n v="0"/>
    <n v="0"/>
    <n v="0"/>
    <n v="0"/>
  </r>
  <r>
    <n v="60205196"/>
    <s v="N"/>
    <n v="21356856"/>
    <s v="3000014511920017RC"/>
    <s v="CIVIL"/>
    <d v="2023-06-27T00:00:00"/>
    <d v="2023-07-10T19:47:44"/>
    <m/>
    <d v="2023-07-10T00:00:00"/>
    <n v="2001"/>
    <n v="8025"/>
    <s v="60205196"/>
    <s v="60205196"/>
    <m/>
    <m/>
    <m/>
    <m/>
    <m/>
    <m/>
    <s v="SOLRECOUP"/>
    <s v="SOLRECOUP"/>
    <s v="POARECOUP"/>
    <n v="21356856"/>
    <n v="-486"/>
    <m/>
    <s v="Y"/>
    <n v="1"/>
    <d v="2023-07-10T19:47:46"/>
    <s v="N"/>
    <m/>
    <m/>
    <s v="Expert Disbursement"/>
    <m/>
    <s v="N"/>
    <n v="-405"/>
    <n v="0"/>
    <x v="2"/>
    <s v="VALIDATED"/>
    <n v="1"/>
    <s v="01.11.80.308.2013.0000"/>
    <n v="-405"/>
    <s v="11"/>
    <s v="2013"/>
    <n v="14387.73"/>
    <n v="-405"/>
    <s v="CREDITOR"/>
    <n v="0"/>
    <n v="0"/>
    <n v="-405"/>
    <n v="0"/>
    <n v="0"/>
  </r>
  <r>
    <n v="60205196"/>
    <s v="N"/>
    <n v="21356856"/>
    <s v="3000014511920017RC"/>
    <s v="CIVIL"/>
    <d v="2023-06-27T00:00:00"/>
    <d v="2023-07-10T19:47:44"/>
    <m/>
    <d v="2023-07-10T00:00:00"/>
    <n v="2001"/>
    <n v="8025"/>
    <s v="60205196"/>
    <s v="60205196"/>
    <m/>
    <m/>
    <m/>
    <m/>
    <m/>
    <m/>
    <s v="SOLRECOUP"/>
    <s v="SOLRECOUP"/>
    <s v="POARECOUP"/>
    <n v="21356856"/>
    <n v="-486"/>
    <m/>
    <s v="Y"/>
    <n v="2"/>
    <d v="2023-07-10T19:47:46"/>
    <s v="N"/>
    <m/>
    <m/>
    <s v="Expert Disbursement"/>
    <m/>
    <s v="N"/>
    <n v="0"/>
    <n v="-81"/>
    <x v="2"/>
    <s v="VALIDATED"/>
    <n v="1"/>
    <s v="01.11.80.308.2013.0000"/>
    <n v="-81"/>
    <s v="11"/>
    <s v="2013"/>
    <n v="14387.73"/>
    <n v="-81"/>
    <s v="CREDITOR"/>
    <n v="0"/>
    <n v="0"/>
    <n v="-81"/>
    <n v="0"/>
    <n v="0"/>
  </r>
  <r>
    <n v="60742219"/>
    <s v="N"/>
    <n v="21356857"/>
    <s v="3000014985080004RC"/>
    <s v="CIVIL"/>
    <d v="2023-06-29T00:00:00"/>
    <d v="2023-07-10T19:47:44"/>
    <m/>
    <d v="2023-07-10T00:00:00"/>
    <n v="2001"/>
    <n v="8025"/>
    <s v="60742219"/>
    <s v="60742219"/>
    <m/>
    <m/>
    <m/>
    <m/>
    <m/>
    <m/>
    <s v="SOLRECOUP"/>
    <s v="SOLRECOUP"/>
    <s v="POARECOUP"/>
    <n v="21356857"/>
    <n v="-1834.56"/>
    <m/>
    <s v="Y"/>
    <n v="1"/>
    <d v="2023-07-10T19:47:46"/>
    <s v="N"/>
    <m/>
    <m/>
    <s v="Profit Cost"/>
    <m/>
    <s v="N"/>
    <n v="-1528.8"/>
    <n v="0"/>
    <x v="2"/>
    <s v="VALIDATED"/>
    <n v="1"/>
    <s v="01.11.80.308.2013.0000"/>
    <n v="-1528.8"/>
    <s v="11"/>
    <s v="2013"/>
    <n v="14387.73"/>
    <n v="-1528.8"/>
    <s v="CREDITOR"/>
    <n v="0"/>
    <n v="0"/>
    <n v="-1528.8"/>
    <n v="-382.2"/>
    <n v="0"/>
  </r>
  <r>
    <n v="60742219"/>
    <s v="N"/>
    <n v="21356857"/>
    <s v="3000014985080004RC"/>
    <s v="CIVIL"/>
    <d v="2023-06-29T00:00:00"/>
    <d v="2023-07-10T19:47:44"/>
    <m/>
    <d v="2023-07-10T00:00:00"/>
    <n v="2001"/>
    <n v="8025"/>
    <s v="60742219"/>
    <s v="60742219"/>
    <m/>
    <m/>
    <m/>
    <m/>
    <m/>
    <m/>
    <s v="SOLRECOUP"/>
    <s v="SOLRECOUP"/>
    <s v="POARECOUP"/>
    <n v="21356857"/>
    <n v="-1834.56"/>
    <m/>
    <s v="Y"/>
    <n v="2"/>
    <d v="2023-07-10T19:47:46"/>
    <s v="N"/>
    <m/>
    <m/>
    <s v="Profit Cost"/>
    <m/>
    <s v="N"/>
    <n v="0"/>
    <n v="-305.76"/>
    <x v="2"/>
    <s v="VALIDATED"/>
    <n v="1"/>
    <s v="01.11.80.308.2013.0000"/>
    <n v="-305.76"/>
    <s v="11"/>
    <s v="2013"/>
    <n v="14387.73"/>
    <n v="-305.76"/>
    <s v="CREDITOR"/>
    <n v="0"/>
    <n v="0"/>
    <n v="-305.76"/>
    <n v="-76.44"/>
    <n v="0"/>
  </r>
  <r>
    <n v="60742219"/>
    <s v="N"/>
    <n v="21356858"/>
    <s v="3000014985080006RC"/>
    <s v="CIVIL"/>
    <d v="2023-06-29T00:00:00"/>
    <d v="2023-07-10T19:47:44"/>
    <m/>
    <d v="2023-07-10T00:00:00"/>
    <n v="2001"/>
    <n v="8025"/>
    <s v="60742219"/>
    <s v="60742219"/>
    <m/>
    <m/>
    <m/>
    <m/>
    <m/>
    <m/>
    <s v="SOLRECOUP"/>
    <s v="SOLRECOUP"/>
    <s v="POARECOUP"/>
    <n v="21356858"/>
    <n v="-50"/>
    <m/>
    <s v="Y"/>
    <n v="1"/>
    <d v="2023-07-10T19:47:46"/>
    <s v="N"/>
    <m/>
    <m/>
    <s v="Expert Disbursement"/>
    <m/>
    <s v="N"/>
    <n v="-50"/>
    <n v="0"/>
    <x v="2"/>
    <s v="VALIDATED"/>
    <n v="1"/>
    <s v="01.11.80.308.2013.0000"/>
    <n v="-50"/>
    <s v="11"/>
    <s v="2013"/>
    <n v="14387.73"/>
    <n v="-50"/>
    <s v="CREDITOR"/>
    <n v="0"/>
    <n v="0"/>
    <n v="-50"/>
    <n v="0"/>
    <n v="0"/>
  </r>
  <r>
    <n v="60742219"/>
    <s v="N"/>
    <n v="21356858"/>
    <s v="3000014985080006RC"/>
    <s v="CIVIL"/>
    <d v="2023-06-29T00:00:00"/>
    <d v="2023-07-10T19:47:44"/>
    <m/>
    <d v="2023-07-10T00:00:00"/>
    <n v="2001"/>
    <n v="8025"/>
    <s v="60742219"/>
    <s v="60742219"/>
    <m/>
    <m/>
    <m/>
    <m/>
    <m/>
    <m/>
    <s v="SOLRECOUP"/>
    <s v="SOLRECOUP"/>
    <s v="POARECOUP"/>
    <n v="21356858"/>
    <n v="-50"/>
    <m/>
    <s v="Y"/>
    <n v="2"/>
    <d v="2023-07-10T19:47:46"/>
    <s v="N"/>
    <m/>
    <m/>
    <s v="Expert Disbursement"/>
    <m/>
    <s v="N"/>
    <n v="0"/>
    <n v="0"/>
    <x v="2"/>
    <s v="VALIDATED"/>
    <n v="1"/>
    <s v="01.11.80.000.0000.0000"/>
    <n v="0"/>
    <s v="11"/>
    <s v="0000"/>
    <n v="14387.73"/>
    <n v="0"/>
    <s v="CREDITOR"/>
    <n v="0"/>
    <n v="0"/>
    <n v="0"/>
    <n v="0"/>
    <n v="0"/>
  </r>
  <r>
    <n v="60125579"/>
    <s v="N"/>
    <n v="21356859"/>
    <s v="3000014453780002RC"/>
    <s v="CIVIL"/>
    <d v="2023-06-27T00:00:00"/>
    <d v="2023-07-10T19:47:44"/>
    <m/>
    <d v="2023-07-10T00:00:00"/>
    <n v="2001"/>
    <n v="8025"/>
    <s v="60125579"/>
    <s v="60125579"/>
    <m/>
    <m/>
    <m/>
    <m/>
    <m/>
    <m/>
    <s v="SOLRECOUP"/>
    <s v="SOLRECOUP"/>
    <s v="POARECOUP"/>
    <n v="21356859"/>
    <n v="-624"/>
    <m/>
    <s v="Y"/>
    <n v="1"/>
    <d v="2023-07-10T19:47:46"/>
    <s v="N"/>
    <m/>
    <m/>
    <s v="Profit Cost"/>
    <m/>
    <s v="N"/>
    <n v="-520"/>
    <n v="0"/>
    <x v="2"/>
    <s v="VALIDATED"/>
    <n v="1"/>
    <s v="01.11.80.308.2013.0000"/>
    <n v="-520"/>
    <s v="11"/>
    <s v="2013"/>
    <n v="14387.73"/>
    <n v="-520"/>
    <s v="CREDITOR"/>
    <n v="0"/>
    <n v="0"/>
    <n v="-520"/>
    <n v="-130"/>
    <n v="0"/>
  </r>
  <r>
    <n v="60125579"/>
    <s v="N"/>
    <n v="21356859"/>
    <s v="3000014453780002RC"/>
    <s v="CIVIL"/>
    <d v="2023-06-27T00:00:00"/>
    <d v="2023-07-10T19:47:44"/>
    <m/>
    <d v="2023-07-10T00:00:00"/>
    <n v="2001"/>
    <n v="8025"/>
    <s v="60125579"/>
    <s v="60125579"/>
    <m/>
    <m/>
    <m/>
    <m/>
    <m/>
    <m/>
    <s v="SOLRECOUP"/>
    <s v="SOLRECOUP"/>
    <s v="POARECOUP"/>
    <n v="21356859"/>
    <n v="-624"/>
    <m/>
    <s v="Y"/>
    <n v="2"/>
    <d v="2023-07-10T19:47:46"/>
    <s v="N"/>
    <m/>
    <m/>
    <s v="Profit Cost"/>
    <m/>
    <s v="N"/>
    <n v="0"/>
    <n v="-104"/>
    <x v="2"/>
    <s v="VALIDATED"/>
    <n v="1"/>
    <s v="01.11.80.308.2013.0000"/>
    <n v="-104"/>
    <s v="11"/>
    <s v="2013"/>
    <n v="14387.73"/>
    <n v="-104"/>
    <s v="CREDITOR"/>
    <n v="0"/>
    <n v="0"/>
    <n v="-104"/>
    <n v="-26"/>
    <n v="0"/>
  </r>
  <r>
    <n v="60205196"/>
    <s v="N"/>
    <n v="21356860"/>
    <s v="3000014511920005RC"/>
    <s v="CIVIL"/>
    <d v="2023-06-27T00:00:00"/>
    <d v="2023-07-10T19:47:44"/>
    <m/>
    <d v="2023-07-10T00:00:00"/>
    <n v="2001"/>
    <n v="8025"/>
    <s v="60205196"/>
    <s v="60205196"/>
    <m/>
    <m/>
    <m/>
    <m/>
    <m/>
    <m/>
    <s v="SOLRECOUP"/>
    <s v="SOLRECOUP"/>
    <s v="POARECOUP"/>
    <n v="21356860"/>
    <n v="-486"/>
    <m/>
    <s v="Y"/>
    <n v="1"/>
    <d v="2023-07-10T19:47:46"/>
    <s v="N"/>
    <m/>
    <m/>
    <s v="Expert Disbursement"/>
    <m/>
    <s v="N"/>
    <n v="-405"/>
    <n v="0"/>
    <x v="2"/>
    <s v="VALIDATED"/>
    <n v="1"/>
    <s v="01.11.80.308.2013.0000"/>
    <n v="-405"/>
    <s v="11"/>
    <s v="2013"/>
    <n v="14387.73"/>
    <n v="-405"/>
    <s v="CREDITOR"/>
    <n v="0"/>
    <n v="0"/>
    <n v="-405"/>
    <n v="0"/>
    <n v="0"/>
  </r>
  <r>
    <n v="60205196"/>
    <s v="N"/>
    <n v="21356860"/>
    <s v="3000014511920005RC"/>
    <s v="CIVIL"/>
    <d v="2023-06-27T00:00:00"/>
    <d v="2023-07-10T19:47:44"/>
    <m/>
    <d v="2023-07-10T00:00:00"/>
    <n v="2001"/>
    <n v="8025"/>
    <s v="60205196"/>
    <s v="60205196"/>
    <m/>
    <m/>
    <m/>
    <m/>
    <m/>
    <m/>
    <s v="SOLRECOUP"/>
    <s v="SOLRECOUP"/>
    <s v="POARECOUP"/>
    <n v="21356860"/>
    <n v="-486"/>
    <m/>
    <s v="Y"/>
    <n v="2"/>
    <d v="2023-07-10T19:47:46"/>
    <s v="N"/>
    <m/>
    <m/>
    <s v="Expert Disbursement"/>
    <m/>
    <s v="N"/>
    <n v="0"/>
    <n v="-81"/>
    <x v="2"/>
    <s v="VALIDATED"/>
    <n v="1"/>
    <s v="01.11.80.308.2013.0000"/>
    <n v="-81"/>
    <s v="11"/>
    <s v="2013"/>
    <n v="14387.73"/>
    <n v="-81"/>
    <s v="CREDITOR"/>
    <n v="0"/>
    <n v="0"/>
    <n v="-81"/>
    <n v="0"/>
    <n v="0"/>
  </r>
  <r>
    <n v="60205196"/>
    <s v="N"/>
    <n v="21356861"/>
    <s v="3000014511920006RC"/>
    <s v="CIVIL"/>
    <d v="2023-06-27T00:00:00"/>
    <d v="2023-07-10T19:47:44"/>
    <m/>
    <d v="2023-07-10T00:00:00"/>
    <n v="2001"/>
    <n v="8025"/>
    <s v="60205196"/>
    <s v="60205196"/>
    <m/>
    <m/>
    <m/>
    <m/>
    <m/>
    <m/>
    <s v="SOLRECOUP"/>
    <s v="SOLRECOUP"/>
    <s v="POARECOUP"/>
    <n v="21356861"/>
    <n v="-129.6"/>
    <m/>
    <s v="Y"/>
    <n v="1"/>
    <d v="2023-07-10T19:47:46"/>
    <s v="N"/>
    <m/>
    <m/>
    <s v="Expert Disbursement"/>
    <m/>
    <s v="N"/>
    <n v="-108"/>
    <n v="0"/>
    <x v="2"/>
    <s v="VALIDATED"/>
    <n v="1"/>
    <s v="01.11.80.308.2013.0000"/>
    <n v="-108"/>
    <s v="11"/>
    <s v="2013"/>
    <n v="14387.73"/>
    <n v="-108"/>
    <s v="CREDITOR"/>
    <n v="0"/>
    <n v="0"/>
    <n v="-108"/>
    <n v="0"/>
    <n v="0"/>
  </r>
  <r>
    <n v="60205196"/>
    <s v="N"/>
    <n v="21356861"/>
    <s v="3000014511920006RC"/>
    <s v="CIVIL"/>
    <d v="2023-06-27T00:00:00"/>
    <d v="2023-07-10T19:47:44"/>
    <m/>
    <d v="2023-07-10T00:00:00"/>
    <n v="2001"/>
    <n v="8025"/>
    <s v="60205196"/>
    <s v="60205196"/>
    <m/>
    <m/>
    <m/>
    <m/>
    <m/>
    <m/>
    <s v="SOLRECOUP"/>
    <s v="SOLRECOUP"/>
    <s v="POARECOUP"/>
    <n v="21356861"/>
    <n v="-129.6"/>
    <m/>
    <s v="Y"/>
    <n v="2"/>
    <d v="2023-07-10T19:47:46"/>
    <s v="N"/>
    <m/>
    <m/>
    <s v="Expert Disbursement"/>
    <m/>
    <s v="N"/>
    <n v="0"/>
    <n v="-21.6"/>
    <x v="2"/>
    <s v="VALIDATED"/>
    <n v="1"/>
    <s v="01.11.80.308.2013.0000"/>
    <n v="-21.6"/>
    <s v="11"/>
    <s v="2013"/>
    <n v="14387.73"/>
    <n v="-21.6"/>
    <s v="CREDITOR"/>
    <n v="0"/>
    <n v="0"/>
    <n v="-21.6"/>
    <n v="0"/>
    <n v="0"/>
  </r>
  <r>
    <n v="60742219"/>
    <s v="N"/>
    <n v="21356862"/>
    <s v="3000014985080003RC"/>
    <s v="CIVIL"/>
    <d v="2023-06-29T00:00:00"/>
    <d v="2023-07-10T19:47:44"/>
    <m/>
    <d v="2023-07-10T00:00:00"/>
    <n v="2001"/>
    <n v="8025"/>
    <s v="60742219"/>
    <s v="60742219"/>
    <m/>
    <m/>
    <m/>
    <m/>
    <m/>
    <m/>
    <s v="SOLRECOUP"/>
    <s v="SOLRECOUP"/>
    <s v="POARECOUP"/>
    <n v="21356862"/>
    <n v="-56"/>
    <m/>
    <s v="Y"/>
    <n v="1"/>
    <d v="2023-07-10T19:47:46"/>
    <s v="N"/>
    <m/>
    <m/>
    <s v="Expert Disbursement"/>
    <m/>
    <s v="N"/>
    <n v="-56"/>
    <n v="0"/>
    <x v="2"/>
    <s v="VALIDATED"/>
    <n v="1"/>
    <s v="01.11.80.308.2013.0000"/>
    <n v="-56"/>
    <s v="11"/>
    <s v="2013"/>
    <n v="14387.73"/>
    <n v="-56"/>
    <s v="CREDITOR"/>
    <n v="0"/>
    <n v="0"/>
    <n v="-56"/>
    <n v="0"/>
    <n v="0"/>
  </r>
  <r>
    <n v="60742219"/>
    <s v="N"/>
    <n v="21356862"/>
    <s v="3000014985080003RC"/>
    <s v="CIVIL"/>
    <d v="2023-06-29T00:00:00"/>
    <d v="2023-07-10T19:47:44"/>
    <m/>
    <d v="2023-07-10T00:00:00"/>
    <n v="2001"/>
    <n v="8025"/>
    <s v="60742219"/>
    <s v="60742219"/>
    <m/>
    <m/>
    <m/>
    <m/>
    <m/>
    <m/>
    <s v="SOLRECOUP"/>
    <s v="SOLRECOUP"/>
    <s v="POARECOUP"/>
    <n v="21356862"/>
    <n v="-56"/>
    <m/>
    <s v="Y"/>
    <n v="2"/>
    <d v="2023-07-10T19:47:46"/>
    <s v="N"/>
    <m/>
    <m/>
    <s v="Expert Disbursement"/>
    <m/>
    <s v="N"/>
    <n v="0"/>
    <n v="0"/>
    <x v="2"/>
    <s v="VALIDATED"/>
    <n v="1"/>
    <s v="01.11.80.000.0000.0000"/>
    <n v="0"/>
    <s v="11"/>
    <s v="0000"/>
    <n v="14387.73"/>
    <n v="0"/>
    <s v="CREDITOR"/>
    <n v="0"/>
    <n v="0"/>
    <n v="0"/>
    <n v="0"/>
    <n v="0"/>
  </r>
  <r>
    <n v="60125579"/>
    <s v="N"/>
    <n v="21356863"/>
    <s v="3000014453780003RC"/>
    <s v="CIVIL"/>
    <d v="2023-06-27T00:00:00"/>
    <d v="2023-07-10T19:47:44"/>
    <m/>
    <d v="2023-07-10T00:00:00"/>
    <n v="2001"/>
    <n v="8025"/>
    <s v="60125579"/>
    <s v="60125579"/>
    <m/>
    <m/>
    <m/>
    <m/>
    <m/>
    <m/>
    <s v="SOLRECOUP"/>
    <s v="SOLRECOUP"/>
    <s v="POARECOUP"/>
    <n v="21356863"/>
    <n v="-1765.44"/>
    <m/>
    <s v="Y"/>
    <n v="1"/>
    <d v="2023-07-10T19:47:46"/>
    <s v="N"/>
    <m/>
    <m/>
    <s v="Profit Cost"/>
    <m/>
    <s v="N"/>
    <n v="-1471.2"/>
    <n v="0"/>
    <x v="2"/>
    <s v="VALIDATED"/>
    <n v="1"/>
    <s v="01.11.80.308.2013.0000"/>
    <n v="-1471.2"/>
    <s v="11"/>
    <s v="2013"/>
    <n v="14387.73"/>
    <n v="-1471.2"/>
    <s v="CREDITOR"/>
    <n v="0"/>
    <n v="0"/>
    <n v="-1471.2"/>
    <n v="-367.8"/>
    <n v="0"/>
  </r>
  <r>
    <n v="60125579"/>
    <s v="N"/>
    <n v="21356863"/>
    <s v="3000014453780003RC"/>
    <s v="CIVIL"/>
    <d v="2023-06-27T00:00:00"/>
    <d v="2023-07-10T19:47:44"/>
    <m/>
    <d v="2023-07-10T00:00:00"/>
    <n v="2001"/>
    <n v="8025"/>
    <s v="60125579"/>
    <s v="60125579"/>
    <m/>
    <m/>
    <m/>
    <m/>
    <m/>
    <m/>
    <s v="SOLRECOUP"/>
    <s v="SOLRECOUP"/>
    <s v="POARECOUP"/>
    <n v="21356863"/>
    <n v="-1765.44"/>
    <m/>
    <s v="Y"/>
    <n v="2"/>
    <d v="2023-07-10T19:47:46"/>
    <s v="N"/>
    <m/>
    <m/>
    <s v="Profit Cost"/>
    <m/>
    <s v="N"/>
    <n v="0"/>
    <n v="-294.24"/>
    <x v="2"/>
    <s v="VALIDATED"/>
    <n v="1"/>
    <s v="01.11.80.308.2013.0000"/>
    <n v="-294.24"/>
    <s v="11"/>
    <s v="2013"/>
    <n v="14387.73"/>
    <n v="-294.24"/>
    <s v="CREDITOR"/>
    <n v="0"/>
    <n v="0"/>
    <n v="-294.24"/>
    <n v="-73.56"/>
    <n v="0"/>
  </r>
  <r>
    <n v="60742219"/>
    <s v="N"/>
    <n v="21356864"/>
    <s v="3000014985080005RC"/>
    <s v="CIVIL"/>
    <d v="2023-06-29T00:00:00"/>
    <d v="2023-07-10T19:47:44"/>
    <m/>
    <d v="2023-07-10T00:00:00"/>
    <n v="2001"/>
    <n v="8025"/>
    <s v="60742219"/>
    <s v="60742219"/>
    <m/>
    <m/>
    <m/>
    <m/>
    <m/>
    <m/>
    <s v="SOLRECOUP"/>
    <s v="SOLRECOUP"/>
    <s v="POARECOUP"/>
    <n v="21356864"/>
    <n v="-24.26"/>
    <m/>
    <s v="Y"/>
    <n v="2"/>
    <d v="2023-07-10T19:47:46"/>
    <s v="N"/>
    <m/>
    <m/>
    <s v="Expert Disbursement"/>
    <m/>
    <s v="N"/>
    <n v="0"/>
    <n v="-4.04"/>
    <x v="2"/>
    <s v="VALIDATED"/>
    <n v="1"/>
    <s v="01.11.80.308.2013.0000"/>
    <n v="-4.04"/>
    <s v="11"/>
    <s v="2013"/>
    <n v="14387.73"/>
    <n v="-4.04"/>
    <s v="CREDITOR"/>
    <n v="0"/>
    <n v="0"/>
    <n v="-4.04"/>
    <n v="0"/>
    <n v="0"/>
  </r>
  <r>
    <n v="60742219"/>
    <s v="N"/>
    <n v="21356864"/>
    <s v="3000014985080005RC"/>
    <s v="CIVIL"/>
    <d v="2023-06-29T00:00:00"/>
    <d v="2023-07-10T19:47:44"/>
    <m/>
    <d v="2023-07-10T00:00:00"/>
    <n v="2001"/>
    <n v="8025"/>
    <s v="60742219"/>
    <s v="60742219"/>
    <m/>
    <m/>
    <m/>
    <m/>
    <m/>
    <m/>
    <s v="SOLRECOUP"/>
    <s v="SOLRECOUP"/>
    <s v="POARECOUP"/>
    <n v="21356864"/>
    <n v="-24.26"/>
    <m/>
    <s v="Y"/>
    <n v="1"/>
    <d v="2023-07-10T19:47:46"/>
    <s v="N"/>
    <m/>
    <m/>
    <s v="Expert Disbursement"/>
    <m/>
    <s v="N"/>
    <n v="-20.22"/>
    <n v="0"/>
    <x v="2"/>
    <s v="VALIDATED"/>
    <n v="1"/>
    <s v="01.11.80.308.2013.0000"/>
    <n v="-20.22"/>
    <s v="11"/>
    <s v="2013"/>
    <n v="14387.73"/>
    <n v="-20.22"/>
    <s v="CREDITOR"/>
    <n v="0"/>
    <n v="0"/>
    <n v="-20.22"/>
    <n v="0"/>
    <n v="0"/>
  </r>
  <r>
    <n v="60742219"/>
    <s v="N"/>
    <n v="21356865"/>
    <s v="3000014985080010RC"/>
    <s v="CIVIL"/>
    <d v="2023-06-29T00:00:00"/>
    <d v="2023-07-10T19:47:44"/>
    <m/>
    <d v="2023-07-10T00:00:00"/>
    <n v="2001"/>
    <n v="8025"/>
    <s v="60742219"/>
    <s v="60742219"/>
    <m/>
    <m/>
    <m/>
    <m/>
    <m/>
    <m/>
    <s v="SOLRECOUP"/>
    <s v="SOLRECOUP"/>
    <s v="POARECOUP"/>
    <n v="21356865"/>
    <n v="-120"/>
    <m/>
    <s v="Y"/>
    <n v="2"/>
    <d v="2023-07-10T19:47:46"/>
    <s v="N"/>
    <m/>
    <m/>
    <s v="Expert Disbursement"/>
    <m/>
    <s v="N"/>
    <n v="0"/>
    <n v="0"/>
    <x v="2"/>
    <s v="VALIDATED"/>
    <n v="1"/>
    <s v="01.11.80.000.0000.0000"/>
    <n v="0"/>
    <s v="11"/>
    <s v="0000"/>
    <n v="14387.73"/>
    <n v="0"/>
    <s v="CREDITOR"/>
    <n v="0"/>
    <n v="0"/>
    <n v="0"/>
    <n v="0"/>
    <n v="0"/>
  </r>
  <r>
    <n v="60742219"/>
    <s v="N"/>
    <n v="21356865"/>
    <s v="3000014985080010RC"/>
    <s v="CIVIL"/>
    <d v="2023-06-29T00:00:00"/>
    <d v="2023-07-10T19:47:44"/>
    <m/>
    <d v="2023-07-10T00:00:00"/>
    <n v="2001"/>
    <n v="8025"/>
    <s v="60742219"/>
    <s v="60742219"/>
    <m/>
    <m/>
    <m/>
    <m/>
    <m/>
    <m/>
    <s v="SOLRECOUP"/>
    <s v="SOLRECOUP"/>
    <s v="POARECOUP"/>
    <n v="21356865"/>
    <n v="-120"/>
    <m/>
    <s v="Y"/>
    <n v="1"/>
    <d v="2023-07-10T19:47:46"/>
    <s v="N"/>
    <m/>
    <m/>
    <s v="Expert Disbursement"/>
    <m/>
    <s v="N"/>
    <n v="-120"/>
    <n v="0"/>
    <x v="2"/>
    <s v="VALIDATED"/>
    <n v="1"/>
    <s v="01.11.80.308.2013.0000"/>
    <n v="-120"/>
    <s v="11"/>
    <s v="2013"/>
    <n v="14387.73"/>
    <n v="-120"/>
    <s v="CREDITOR"/>
    <n v="0"/>
    <n v="0"/>
    <n v="-120"/>
    <n v="0"/>
    <n v="0"/>
  </r>
  <r>
    <n v="60205196"/>
    <s v="N"/>
    <n v="21356866"/>
    <s v="3000014511920009RC"/>
    <s v="CIVIL"/>
    <d v="2023-06-27T00:00:00"/>
    <d v="2023-07-10T19:47:44"/>
    <m/>
    <d v="2023-07-10T00:00:00"/>
    <n v="2001"/>
    <n v="8025"/>
    <s v="60205196"/>
    <s v="60205196"/>
    <m/>
    <m/>
    <m/>
    <m/>
    <m/>
    <m/>
    <s v="SOLRECOUP"/>
    <s v="SOLRECOUP"/>
    <s v="POARECOUP"/>
    <n v="21356866"/>
    <n v="-466.56"/>
    <m/>
    <s v="Y"/>
    <n v="2"/>
    <d v="2023-07-10T19:47:46"/>
    <s v="N"/>
    <m/>
    <m/>
    <s v="Expert Disbursement"/>
    <m/>
    <s v="N"/>
    <n v="0"/>
    <n v="-77.76000000000001"/>
    <x v="2"/>
    <s v="VALIDATED"/>
    <n v="1"/>
    <s v="01.11.80.308.2013.0000"/>
    <n v="-77.76000000000001"/>
    <s v="11"/>
    <s v="2013"/>
    <n v="14387.73"/>
    <n v="-77.76000000000001"/>
    <s v="CREDITOR"/>
    <n v="0"/>
    <n v="0"/>
    <n v="-77.76000000000001"/>
    <n v="0"/>
    <n v="0"/>
  </r>
  <r>
    <n v="60205196"/>
    <s v="N"/>
    <n v="21356866"/>
    <s v="3000014511920009RC"/>
    <s v="CIVIL"/>
    <d v="2023-06-27T00:00:00"/>
    <d v="2023-07-10T19:47:44"/>
    <m/>
    <d v="2023-07-10T00:00:00"/>
    <n v="2001"/>
    <n v="8025"/>
    <s v="60205196"/>
    <s v="60205196"/>
    <m/>
    <m/>
    <m/>
    <m/>
    <m/>
    <m/>
    <s v="SOLRECOUP"/>
    <s v="SOLRECOUP"/>
    <s v="POARECOUP"/>
    <n v="21356866"/>
    <n v="-466.56"/>
    <m/>
    <s v="Y"/>
    <n v="1"/>
    <d v="2023-07-10T19:47:46"/>
    <s v="N"/>
    <m/>
    <m/>
    <s v="Expert Disbursement"/>
    <m/>
    <s v="N"/>
    <n v="-388.8"/>
    <n v="0"/>
    <x v="2"/>
    <s v="VALIDATED"/>
    <n v="1"/>
    <s v="01.11.80.308.2013.0000"/>
    <n v="-388.8"/>
    <s v="11"/>
    <s v="2013"/>
    <n v="14387.73"/>
    <n v="-388.8"/>
    <s v="CREDITOR"/>
    <n v="0"/>
    <n v="0"/>
    <n v="-388.8"/>
    <n v="0"/>
    <n v="0"/>
  </r>
  <r>
    <n v="60742219"/>
    <s v="N"/>
    <n v="21356867"/>
    <s v="3000014985080013RC"/>
    <s v="CIVIL"/>
    <d v="2023-06-29T00:00:00"/>
    <d v="2023-07-10T19:47:44"/>
    <m/>
    <d v="2023-07-10T00:00:00"/>
    <n v="2001"/>
    <n v="8025"/>
    <s v="60742219"/>
    <s v="60742219"/>
    <m/>
    <m/>
    <m/>
    <m/>
    <m/>
    <m/>
    <s v="SOLRECOUP"/>
    <s v="SOLRECOUP"/>
    <s v="POARECOUP"/>
    <n v="21356867"/>
    <n v="-220"/>
    <m/>
    <s v="Y"/>
    <n v="2"/>
    <d v="2023-07-10T19:47:46"/>
    <s v="N"/>
    <m/>
    <m/>
    <s v="Expert Disbursement"/>
    <m/>
    <s v="N"/>
    <n v="0"/>
    <n v="0"/>
    <x v="2"/>
    <s v="VALIDATED"/>
    <n v="1"/>
    <s v="01.11.80.000.0000.0000"/>
    <n v="0"/>
    <s v="11"/>
    <s v="0000"/>
    <n v="14387.73"/>
    <n v="0"/>
    <s v="CREDITOR"/>
    <n v="0"/>
    <n v="0"/>
    <n v="0"/>
    <n v="0"/>
    <n v="0"/>
  </r>
  <r>
    <n v="60742219"/>
    <s v="N"/>
    <n v="21356867"/>
    <s v="3000014985080013RC"/>
    <s v="CIVIL"/>
    <d v="2023-06-29T00:00:00"/>
    <d v="2023-07-10T19:47:44"/>
    <m/>
    <d v="2023-07-10T00:00:00"/>
    <n v="2001"/>
    <n v="8025"/>
    <s v="60742219"/>
    <s v="60742219"/>
    <m/>
    <m/>
    <m/>
    <m/>
    <m/>
    <m/>
    <s v="SOLRECOUP"/>
    <s v="SOLRECOUP"/>
    <s v="POARECOUP"/>
    <n v="21356867"/>
    <n v="-220"/>
    <m/>
    <s v="Y"/>
    <n v="1"/>
    <d v="2023-07-10T19:47:46"/>
    <s v="N"/>
    <m/>
    <m/>
    <s v="Expert Disbursement"/>
    <m/>
    <s v="N"/>
    <n v="-220"/>
    <n v="0"/>
    <x v="2"/>
    <s v="VALIDATED"/>
    <n v="1"/>
    <s v="01.11.80.308.2013.0000"/>
    <n v="-220"/>
    <s v="11"/>
    <s v="2013"/>
    <n v="14387.73"/>
    <n v="-220"/>
    <s v="CREDITOR"/>
    <n v="0"/>
    <n v="0"/>
    <n v="-220"/>
    <n v="0"/>
    <n v="0"/>
  </r>
  <r>
    <n v="60125579"/>
    <s v="N"/>
    <n v="21356868"/>
    <s v="3000014453780005RC"/>
    <s v="CIVIL"/>
    <d v="2023-06-27T00:00:00"/>
    <d v="2023-07-10T19:47:44"/>
    <m/>
    <d v="2023-07-10T00:00:00"/>
    <n v="2001"/>
    <n v="8025"/>
    <s v="60125579"/>
    <s v="60125579"/>
    <m/>
    <m/>
    <m/>
    <m/>
    <m/>
    <m/>
    <s v="SOLRECOUP"/>
    <s v="SOLRECOUP"/>
    <s v="POARECOUP"/>
    <n v="21356868"/>
    <n v="-1104"/>
    <m/>
    <s v="Y"/>
    <n v="2"/>
    <d v="2023-07-10T19:47:46"/>
    <s v="N"/>
    <m/>
    <m/>
    <s v="Profit Cost"/>
    <m/>
    <s v="N"/>
    <n v="0"/>
    <n v="-184"/>
    <x v="2"/>
    <s v="VALIDATED"/>
    <n v="1"/>
    <s v="01.11.80.308.2013.0000"/>
    <n v="-184"/>
    <s v="11"/>
    <s v="2013"/>
    <n v="14387.73"/>
    <n v="-184"/>
    <s v="CREDITOR"/>
    <n v="0"/>
    <n v="0"/>
    <n v="-184"/>
    <n v="-46"/>
    <n v="0"/>
  </r>
  <r>
    <n v="59912784"/>
    <s v="N"/>
    <n v="21361645"/>
    <s v="3000014267870001RC"/>
    <s v="CIVIL"/>
    <d v="2023-06-30T00:00:00"/>
    <d v="2023-07-11T19:38:00"/>
    <m/>
    <d v="2023-07-11T00:00:00"/>
    <n v="2001"/>
    <n v="8025"/>
    <s v="59912784"/>
    <s v="59912784"/>
    <m/>
    <m/>
    <m/>
    <m/>
    <m/>
    <m/>
    <s v="SOLRECOUP"/>
    <s v="SOLRECOUP"/>
    <s v="POARECOUP"/>
    <n v="21361645"/>
    <n v="-1104"/>
    <m/>
    <s v="Y"/>
    <n v="1"/>
    <d v="2023-07-11T19:38:02"/>
    <s v="N"/>
    <m/>
    <m/>
    <s v="Profit Cost"/>
    <m/>
    <s v="N"/>
    <n v="-920"/>
    <n v="0"/>
    <x v="7"/>
    <s v="VALIDATED"/>
    <n v="1"/>
    <s v="01.11.80.307.2013.0000"/>
    <n v="-920"/>
    <s v="11"/>
    <s v="2013"/>
    <n v="14387.73"/>
    <n v="-920"/>
    <s v="CREDITOR"/>
    <n v="0"/>
    <n v="0"/>
    <n v="-920"/>
    <n v="-230"/>
    <n v="0"/>
  </r>
  <r>
    <n v="59912784"/>
    <s v="N"/>
    <n v="21361645"/>
    <s v="3000014267870001RC"/>
    <s v="CIVIL"/>
    <d v="2023-06-30T00:00:00"/>
    <d v="2023-07-11T19:38:00"/>
    <m/>
    <d v="2023-07-11T00:00:00"/>
    <n v="2001"/>
    <n v="8025"/>
    <s v="59912784"/>
    <s v="59912784"/>
    <m/>
    <m/>
    <m/>
    <m/>
    <m/>
    <m/>
    <s v="SOLRECOUP"/>
    <s v="SOLRECOUP"/>
    <s v="POARECOUP"/>
    <n v="21361645"/>
    <n v="-1104"/>
    <m/>
    <s v="Y"/>
    <n v="2"/>
    <d v="2023-07-11T19:38:02"/>
    <s v="N"/>
    <m/>
    <m/>
    <s v="Profit Cost"/>
    <m/>
    <s v="N"/>
    <n v="0"/>
    <n v="-184"/>
    <x v="7"/>
    <s v="VALIDATED"/>
    <n v="1"/>
    <s v="01.11.80.307.2013.0000"/>
    <n v="-184"/>
    <s v="11"/>
    <s v="2013"/>
    <n v="14387.73"/>
    <n v="-184"/>
    <s v="CREDITOR"/>
    <n v="0"/>
    <n v="0"/>
    <n v="-184"/>
    <n v="-46"/>
    <n v="0"/>
  </r>
  <r>
    <n v="59912784"/>
    <s v="N"/>
    <n v="21361647"/>
    <s v="3000014267870004RC"/>
    <s v="CIVIL"/>
    <d v="2023-06-30T00:00:00"/>
    <d v="2023-07-11T19:38:00"/>
    <m/>
    <d v="2023-07-11T00:00:00"/>
    <n v="2001"/>
    <n v="8025"/>
    <s v="59912784"/>
    <s v="59912784"/>
    <m/>
    <m/>
    <m/>
    <m/>
    <m/>
    <m/>
    <s v="SOLRECOUP"/>
    <s v="SOLRECOUP"/>
    <s v="POARECOUP"/>
    <n v="21361647"/>
    <n v="-308"/>
    <m/>
    <s v="Y"/>
    <n v="1"/>
    <d v="2023-07-11T19:38:02"/>
    <s v="N"/>
    <m/>
    <m/>
    <s v="Non Expert Disbursement"/>
    <m/>
    <s v="N"/>
    <n v="-256.67"/>
    <n v="0"/>
    <x v="7"/>
    <s v="VALIDATED"/>
    <n v="1"/>
    <s v="01.11.80.307.2013.0000"/>
    <n v="-256.67"/>
    <s v="11"/>
    <s v="2013"/>
    <n v="14387.73"/>
    <n v="-256.67"/>
    <s v="CREDITOR"/>
    <n v="0"/>
    <n v="0"/>
    <n v="-256.67"/>
    <n v="0"/>
    <n v="0"/>
  </r>
  <r>
    <n v="59912784"/>
    <s v="N"/>
    <n v="21361647"/>
    <s v="3000014267870004RC"/>
    <s v="CIVIL"/>
    <d v="2023-06-30T00:00:00"/>
    <d v="2023-07-11T19:38:00"/>
    <m/>
    <d v="2023-07-11T00:00:00"/>
    <n v="2001"/>
    <n v="8025"/>
    <s v="59912784"/>
    <s v="59912784"/>
    <m/>
    <m/>
    <m/>
    <m/>
    <m/>
    <m/>
    <s v="SOLRECOUP"/>
    <s v="SOLRECOUP"/>
    <s v="POARECOUP"/>
    <n v="21361647"/>
    <n v="-308"/>
    <m/>
    <s v="Y"/>
    <n v="2"/>
    <d v="2023-07-11T19:38:02"/>
    <s v="N"/>
    <m/>
    <m/>
    <s v="Non Expert Disbursement"/>
    <m/>
    <s v="N"/>
    <n v="0"/>
    <n v="-51.33"/>
    <x v="7"/>
    <s v="VALIDATED"/>
    <n v="1"/>
    <s v="01.11.80.307.2013.0000"/>
    <n v="-51.33"/>
    <s v="11"/>
    <s v="2013"/>
    <n v="14387.73"/>
    <n v="-51.33"/>
    <s v="CREDITOR"/>
    <n v="0"/>
    <n v="0"/>
    <n v="-51.33"/>
    <n v="0"/>
    <n v="0"/>
  </r>
  <r>
    <n v="59912784"/>
    <s v="N"/>
    <n v="21361648"/>
    <s v="3000014267870005RC"/>
    <s v="CIVIL"/>
    <d v="2023-06-30T00:00:00"/>
    <d v="2023-07-11T19:38:00"/>
    <m/>
    <d v="2023-07-11T00:00:00"/>
    <n v="2001"/>
    <n v="8025"/>
    <s v="59912784"/>
    <s v="59912784"/>
    <m/>
    <m/>
    <m/>
    <m/>
    <m/>
    <m/>
    <s v="SOLRECOUP"/>
    <s v="SOLRECOUP"/>
    <s v="POARECOUP"/>
    <n v="21361648"/>
    <n v="-912"/>
    <m/>
    <s v="Y"/>
    <n v="1"/>
    <d v="2023-07-11T19:38:02"/>
    <s v="N"/>
    <m/>
    <m/>
    <s v="Profit Cost"/>
    <m/>
    <s v="N"/>
    <n v="-760"/>
    <n v="0"/>
    <x v="7"/>
    <s v="VALIDATED"/>
    <n v="1"/>
    <s v="01.11.80.307.2013.0000"/>
    <n v="-760"/>
    <s v="11"/>
    <s v="2013"/>
    <n v="14387.73"/>
    <n v="-760"/>
    <s v="CREDITOR"/>
    <n v="0"/>
    <n v="0"/>
    <n v="-760"/>
    <n v="-190"/>
    <n v="0"/>
  </r>
  <r>
    <n v="59912784"/>
    <s v="N"/>
    <n v="21361648"/>
    <s v="3000014267870005RC"/>
    <s v="CIVIL"/>
    <d v="2023-06-30T00:00:00"/>
    <d v="2023-07-11T19:38:00"/>
    <m/>
    <d v="2023-07-11T00:00:00"/>
    <n v="2001"/>
    <n v="8025"/>
    <s v="59912784"/>
    <s v="59912784"/>
    <m/>
    <m/>
    <m/>
    <m/>
    <m/>
    <m/>
    <s v="SOLRECOUP"/>
    <s v="SOLRECOUP"/>
    <s v="POARECOUP"/>
    <n v="21361648"/>
    <n v="-912"/>
    <m/>
    <s v="Y"/>
    <n v="2"/>
    <d v="2023-07-11T19:38:02"/>
    <s v="N"/>
    <m/>
    <m/>
    <s v="Profit Cost"/>
    <m/>
    <s v="N"/>
    <n v="0"/>
    <n v="-152"/>
    <x v="7"/>
    <s v="VALIDATED"/>
    <n v="1"/>
    <s v="01.11.80.307.2013.0000"/>
    <n v="-152"/>
    <s v="11"/>
    <s v="2013"/>
    <n v="14387.73"/>
    <n v="-152"/>
    <s v="CREDITOR"/>
    <n v="0"/>
    <n v="0"/>
    <n v="-152"/>
    <n v="-38"/>
    <n v="0"/>
  </r>
  <r>
    <n v="60205196"/>
    <s v="N"/>
    <n v="21356870"/>
    <s v="3000014511920007RC"/>
    <s v="CIVIL"/>
    <d v="2023-06-27T00:00:00"/>
    <d v="2023-07-10T19:47:44"/>
    <m/>
    <d v="2023-07-10T00:00:00"/>
    <n v="2001"/>
    <n v="8025"/>
    <s v="60205196"/>
    <s v="60205196"/>
    <m/>
    <m/>
    <m/>
    <m/>
    <m/>
    <m/>
    <s v="SOLRECOUP"/>
    <s v="SOLRECOUP"/>
    <s v="POARECOUP"/>
    <n v="21356870"/>
    <n v="-1573.44"/>
    <m/>
    <s v="Y"/>
    <n v="1"/>
    <d v="2023-07-10T19:47:46"/>
    <s v="N"/>
    <m/>
    <m/>
    <s v="Profit Cost"/>
    <m/>
    <s v="N"/>
    <n v="-1311.2"/>
    <n v="0"/>
    <x v="2"/>
    <s v="VALIDATED"/>
    <n v="1"/>
    <s v="01.11.80.308.2013.0000"/>
    <n v="-1311.2"/>
    <s v="11"/>
    <s v="2013"/>
    <n v="14387.73"/>
    <n v="-1311.2"/>
    <s v="CREDITOR"/>
    <n v="0"/>
    <n v="0"/>
    <n v="-1311.2"/>
    <n v="-327.8"/>
    <n v="0"/>
  </r>
  <r>
    <n v="60742219"/>
    <s v="N"/>
    <n v="21356871"/>
    <s v="3000014985080009RC"/>
    <s v="CIVIL"/>
    <d v="2023-06-29T00:00:00"/>
    <d v="2023-07-10T19:47:44"/>
    <m/>
    <d v="2023-07-10T00:00:00"/>
    <n v="2001"/>
    <n v="8025"/>
    <s v="60742219"/>
    <s v="60742219"/>
    <m/>
    <m/>
    <m/>
    <m/>
    <m/>
    <m/>
    <s v="SOLRECOUP"/>
    <s v="SOLRECOUP"/>
    <s v="POARECOUP"/>
    <n v="21356871"/>
    <n v="-323.7"/>
    <m/>
    <s v="Y"/>
    <n v="2"/>
    <d v="2023-07-10T19:47:46"/>
    <s v="N"/>
    <m/>
    <m/>
    <s v="Expert Disbursement"/>
    <m/>
    <s v="N"/>
    <n v="0"/>
    <n v="0"/>
    <x v="2"/>
    <s v="VALIDATED"/>
    <n v="1"/>
    <s v="01.11.80.000.0000.0000"/>
    <n v="0"/>
    <s v="11"/>
    <s v="0000"/>
    <n v="14387.73"/>
    <n v="0"/>
    <s v="CREDITOR"/>
    <n v="0"/>
    <n v="0"/>
    <n v="0"/>
    <n v="0"/>
    <n v="0"/>
  </r>
  <r>
    <n v="60742219"/>
    <s v="N"/>
    <n v="21356871"/>
    <s v="3000014985080009RC"/>
    <s v="CIVIL"/>
    <d v="2023-06-29T00:00:00"/>
    <d v="2023-07-10T19:47:44"/>
    <m/>
    <d v="2023-07-10T00:00:00"/>
    <n v="2001"/>
    <n v="8025"/>
    <s v="60742219"/>
    <s v="60742219"/>
    <m/>
    <m/>
    <m/>
    <m/>
    <m/>
    <m/>
    <s v="SOLRECOUP"/>
    <s v="SOLRECOUP"/>
    <s v="POARECOUP"/>
    <n v="21356871"/>
    <n v="-323.7"/>
    <m/>
    <s v="Y"/>
    <n v="1"/>
    <d v="2023-07-10T19:47:46"/>
    <s v="N"/>
    <m/>
    <m/>
    <s v="Expert Disbursement"/>
    <m/>
    <s v="N"/>
    <n v="-323.7"/>
    <n v="0"/>
    <x v="2"/>
    <s v="VALIDATED"/>
    <n v="1"/>
    <s v="01.11.80.308.2013.0000"/>
    <n v="-323.7"/>
    <s v="11"/>
    <s v="2013"/>
    <n v="14387.73"/>
    <n v="-323.7"/>
    <s v="CREDITOR"/>
    <n v="0"/>
    <n v="0"/>
    <n v="-323.7"/>
    <n v="0"/>
    <n v="0"/>
  </r>
  <r>
    <n v="60205196"/>
    <s v="N"/>
    <n v="21356872"/>
    <s v="3000014511920018RC"/>
    <s v="CIVIL"/>
    <d v="2023-06-27T00:00:00"/>
    <d v="2023-07-10T19:47:44"/>
    <m/>
    <d v="2023-07-10T00:00:00"/>
    <n v="2001"/>
    <n v="8025"/>
    <s v="60205196"/>
    <s v="60205196"/>
    <m/>
    <m/>
    <m/>
    <m/>
    <m/>
    <m/>
    <s v="SOLRECOUP"/>
    <s v="SOLRECOUP"/>
    <s v="POARECOUP"/>
    <n v="21356872"/>
    <n v="-720"/>
    <m/>
    <s v="Y"/>
    <n v="2"/>
    <d v="2023-07-10T19:47:46"/>
    <s v="N"/>
    <m/>
    <m/>
    <s v="Profit Cost"/>
    <m/>
    <s v="N"/>
    <n v="0"/>
    <n v="-120"/>
    <x v="2"/>
    <s v="VALIDATED"/>
    <n v="1"/>
    <s v="01.11.80.308.2013.0000"/>
    <n v="-120"/>
    <s v="11"/>
    <s v="2013"/>
    <n v="14387.73"/>
    <n v="-120"/>
    <s v="CREDITOR"/>
    <n v="0"/>
    <n v="0"/>
    <n v="-120"/>
    <n v="-30"/>
    <n v="0"/>
  </r>
  <r>
    <n v="60205196"/>
    <s v="N"/>
    <n v="21356872"/>
    <s v="3000014511920018RC"/>
    <s v="CIVIL"/>
    <d v="2023-06-27T00:00:00"/>
    <d v="2023-07-10T19:47:44"/>
    <m/>
    <d v="2023-07-10T00:00:00"/>
    <n v="2001"/>
    <n v="8025"/>
    <s v="60205196"/>
    <s v="60205196"/>
    <m/>
    <m/>
    <m/>
    <m/>
    <m/>
    <m/>
    <s v="SOLRECOUP"/>
    <s v="SOLRECOUP"/>
    <s v="POARECOUP"/>
    <n v="21356872"/>
    <n v="-720"/>
    <m/>
    <s v="Y"/>
    <n v="1"/>
    <d v="2023-07-10T19:47:46"/>
    <s v="N"/>
    <m/>
    <m/>
    <s v="Profit Cost"/>
    <m/>
    <s v="N"/>
    <n v="-600"/>
    <n v="0"/>
    <x v="2"/>
    <s v="VALIDATED"/>
    <n v="1"/>
    <s v="01.11.80.308.2013.0000"/>
    <n v="-600"/>
    <s v="11"/>
    <s v="2013"/>
    <n v="14387.73"/>
    <n v="-600"/>
    <s v="CREDITOR"/>
    <n v="0"/>
    <n v="0"/>
    <n v="-600"/>
    <n v="-150"/>
    <n v="0"/>
  </r>
  <r>
    <n v="60742219"/>
    <s v="N"/>
    <n v="21356873"/>
    <s v="3000014985080012RC"/>
    <s v="CIVIL"/>
    <d v="2023-06-29T00:00:00"/>
    <d v="2023-07-10T19:47:44"/>
    <m/>
    <d v="2023-07-10T00:00:00"/>
    <n v="2001"/>
    <n v="8025"/>
    <s v="60742219"/>
    <s v="60742219"/>
    <m/>
    <m/>
    <m/>
    <m/>
    <m/>
    <m/>
    <s v="SOLRECOUP"/>
    <s v="SOLRECOUP"/>
    <s v="POARECOUP"/>
    <n v="21356873"/>
    <n v="-75"/>
    <m/>
    <s v="Y"/>
    <n v="2"/>
    <d v="2023-07-10T19:47:46"/>
    <s v="N"/>
    <m/>
    <m/>
    <s v="Expert Disbursement"/>
    <m/>
    <s v="N"/>
    <n v="0"/>
    <n v="0"/>
    <x v="2"/>
    <s v="VALIDATED"/>
    <n v="1"/>
    <s v="01.11.80.000.0000.0000"/>
    <n v="0"/>
    <s v="11"/>
    <s v="0000"/>
    <n v="14387.73"/>
    <n v="0"/>
    <s v="CREDITOR"/>
    <n v="0"/>
    <n v="0"/>
    <n v="0"/>
    <n v="0"/>
    <n v="0"/>
  </r>
  <r>
    <n v="60742219"/>
    <s v="N"/>
    <n v="21356873"/>
    <s v="3000014985080012RC"/>
    <s v="CIVIL"/>
    <d v="2023-06-29T00:00:00"/>
    <d v="2023-07-10T19:47:44"/>
    <m/>
    <d v="2023-07-10T00:00:00"/>
    <n v="2001"/>
    <n v="8025"/>
    <s v="60742219"/>
    <s v="60742219"/>
    <m/>
    <m/>
    <m/>
    <m/>
    <m/>
    <m/>
    <s v="SOLRECOUP"/>
    <s v="SOLRECOUP"/>
    <s v="POARECOUP"/>
    <n v="21356873"/>
    <n v="-75"/>
    <m/>
    <s v="Y"/>
    <n v="1"/>
    <d v="2023-07-10T19:47:46"/>
    <s v="N"/>
    <m/>
    <m/>
    <s v="Expert Disbursement"/>
    <m/>
    <s v="N"/>
    <n v="-75"/>
    <n v="0"/>
    <x v="2"/>
    <s v="VALIDATED"/>
    <n v="1"/>
    <s v="01.11.80.308.2013.0000"/>
    <n v="-75"/>
    <s v="11"/>
    <s v="2013"/>
    <n v="14387.73"/>
    <n v="-75"/>
    <s v="CREDITOR"/>
    <n v="0"/>
    <n v="0"/>
    <n v="-75"/>
    <n v="0"/>
    <n v="0"/>
  </r>
  <r>
    <n v="60742219"/>
    <s v="N"/>
    <n v="21356874"/>
    <s v="3000014985080014RC"/>
    <s v="CIVIL"/>
    <d v="2023-06-29T00:00:00"/>
    <d v="2023-07-10T19:47:44"/>
    <m/>
    <d v="2023-07-10T00:00:00"/>
    <n v="2001"/>
    <n v="8025"/>
    <s v="60742219"/>
    <s v="60742219"/>
    <m/>
    <m/>
    <m/>
    <m/>
    <m/>
    <m/>
    <s v="SOLRECOUP"/>
    <s v="SOLRECOUP"/>
    <s v="POARECOUP"/>
    <n v="21356874"/>
    <n v="-75"/>
    <m/>
    <s v="Y"/>
    <n v="2"/>
    <d v="2023-07-10T19:47:46"/>
    <s v="N"/>
    <m/>
    <m/>
    <s v="Expert Disbursement"/>
    <m/>
    <s v="N"/>
    <n v="0"/>
    <n v="0"/>
    <x v="2"/>
    <s v="VALIDATED"/>
    <n v="1"/>
    <s v="01.11.80.000.0000.0000"/>
    <n v="0"/>
    <s v="11"/>
    <s v="0000"/>
    <n v="14387.73"/>
    <n v="0"/>
    <s v="CREDITOR"/>
    <n v="0"/>
    <n v="0"/>
    <n v="0"/>
    <n v="0"/>
    <n v="0"/>
  </r>
  <r>
    <n v="60742219"/>
    <s v="N"/>
    <n v="21356874"/>
    <s v="3000014985080014RC"/>
    <s v="CIVIL"/>
    <d v="2023-06-29T00:00:00"/>
    <d v="2023-07-10T19:47:44"/>
    <m/>
    <d v="2023-07-10T00:00:00"/>
    <n v="2001"/>
    <n v="8025"/>
    <s v="60742219"/>
    <s v="60742219"/>
    <m/>
    <m/>
    <m/>
    <m/>
    <m/>
    <m/>
    <s v="SOLRECOUP"/>
    <s v="SOLRECOUP"/>
    <s v="POARECOUP"/>
    <n v="21356874"/>
    <n v="-75"/>
    <m/>
    <s v="Y"/>
    <n v="1"/>
    <d v="2023-07-10T19:47:46"/>
    <s v="N"/>
    <m/>
    <m/>
    <s v="Expert Disbursement"/>
    <m/>
    <s v="N"/>
    <n v="-75"/>
    <n v="0"/>
    <x v="2"/>
    <s v="VALIDATED"/>
    <n v="1"/>
    <s v="01.11.80.308.2013.0000"/>
    <n v="-75"/>
    <s v="11"/>
    <s v="2013"/>
    <n v="14387.73"/>
    <n v="-75"/>
    <s v="CREDITOR"/>
    <n v="0"/>
    <n v="0"/>
    <n v="-75"/>
    <n v="0"/>
    <n v="0"/>
  </r>
  <r>
    <n v="61069071"/>
    <s v="N"/>
    <n v="21343991"/>
    <s v="3000015259830006"/>
    <s v="CIVIL"/>
    <d v="2023-06-28T00:00:00"/>
    <d v="2023-07-07T19:03:00"/>
    <m/>
    <d v="2023-07-07T00:00:00"/>
    <n v="2001"/>
    <n v="8025"/>
    <s v="61069071"/>
    <s v="61069071"/>
    <m/>
    <m/>
    <n v="22783130"/>
    <m/>
    <m/>
    <m/>
    <s v="SOLFIN"/>
    <s v="SOLFIN"/>
    <s v="CCMS"/>
    <n v="21343991"/>
    <n v="2622.78"/>
    <m/>
    <s v="N"/>
    <n v="15"/>
    <d v="2023-07-07T19:03:19"/>
    <s v="Y"/>
    <s v="Preparation - other"/>
    <s v="Prescribed Hourly Rates"/>
    <s v="Profit Cost"/>
    <s v="HM"/>
    <s v="Y"/>
    <n v="41.18"/>
    <n v="8.24"/>
    <x v="9"/>
    <s v="VALIDATED"/>
    <n v="1"/>
    <s v="01.11.80.307.6100.0000"/>
    <n v="41.18"/>
    <s v="11"/>
    <s v="6100"/>
    <n v="14387.73"/>
    <n v="41.18"/>
    <s v="CREDITOR"/>
    <n v="0"/>
    <n v="0"/>
    <n v="0"/>
    <n v="0"/>
    <n v="41.18"/>
  </r>
  <r>
    <n v="60650441"/>
    <s v="N"/>
    <n v="21349931"/>
    <s v="3000014900700006"/>
    <s v="CIVIL"/>
    <d v="2023-06-28T00:00:00"/>
    <d v="2023-07-10T19:01:40"/>
    <m/>
    <d v="2023-07-10T00:00:00"/>
    <n v="2001"/>
    <n v="8025"/>
    <s v="60650441"/>
    <s v="60650441"/>
    <m/>
    <m/>
    <n v="22782816"/>
    <m/>
    <m/>
    <m/>
    <s v="SOLFIN"/>
    <s v="SOLFIN"/>
    <s v="CCMS"/>
    <n v="21349931"/>
    <n v="6058.36"/>
    <m/>
    <s v="N"/>
    <n v="2"/>
    <d v="2023-07-10T19:02:04"/>
    <s v="Y"/>
    <s v="Exceptional Travel"/>
    <s v="Private Law Children"/>
    <s v="Advocacy"/>
    <s v="JP"/>
    <s v="Y"/>
    <n v="32.04"/>
    <n v="6.41"/>
    <x v="2"/>
    <s v="VALIDATED"/>
    <n v="1"/>
    <s v="01.11.80.307.6100.0000"/>
    <n v="32.04"/>
    <s v="11"/>
    <s v="6100"/>
    <n v="14387.73"/>
    <n v="32.04"/>
    <s v="CREDITOR"/>
    <n v="0"/>
    <n v="0"/>
    <n v="0"/>
    <n v="0"/>
    <n v="32.04"/>
  </r>
  <r>
    <n v="60205196"/>
    <s v="N"/>
    <n v="21350151"/>
    <s v="3000014511920019"/>
    <s v="CIVIL"/>
    <d v="2023-06-27T00:00:00"/>
    <d v="2023-07-10T19:01:40"/>
    <m/>
    <d v="2023-07-10T00:00:00"/>
    <n v="2001"/>
    <n v="8025"/>
    <s v="60205196"/>
    <s v="60205196"/>
    <m/>
    <m/>
    <n v="22772812"/>
    <m/>
    <m/>
    <m/>
    <s v="SOLFIN"/>
    <s v="SOLFIN"/>
    <s v="CCMS"/>
    <n v="21350151"/>
    <n v="11333.33"/>
    <m/>
    <s v="N"/>
    <n v="16"/>
    <d v="2023-07-10T19:02:15"/>
    <s v="Y"/>
    <s v="Advocates Meeting"/>
    <s v="Public Law Children"/>
    <s v="Advocacy"/>
    <s v="DW"/>
    <s v="Y"/>
    <n v="140.99"/>
    <n v="28.2"/>
    <x v="2"/>
    <s v="VALIDATED"/>
    <n v="1"/>
    <s v="01.11.80.308.6100.0000"/>
    <n v="140.99"/>
    <s v="11"/>
    <s v="6100"/>
    <n v="14387.73"/>
    <n v="140.99"/>
    <s v="CREDITOR"/>
    <n v="0"/>
    <n v="0"/>
    <n v="0"/>
    <n v="0"/>
    <n v="140.99"/>
  </r>
  <r>
    <n v="60742219"/>
    <s v="N"/>
    <n v="21349335"/>
    <s v="3000014985080020"/>
    <s v="CIVIL"/>
    <d v="2023-06-29T00:00:00"/>
    <d v="2023-07-10T19:01:40"/>
    <m/>
    <d v="2023-07-10T00:00:00"/>
    <n v="2001"/>
    <n v="8025"/>
    <s v="60742219"/>
    <s v="60742219"/>
    <m/>
    <m/>
    <n v="22789966"/>
    <m/>
    <m/>
    <m/>
    <s v="SOLFIN"/>
    <s v="SOLFIN"/>
    <s v="CCMS"/>
    <n v="21349335"/>
    <n v="5928.57"/>
    <m/>
    <s v="N"/>
    <n v="7"/>
    <d v="2023-07-10T19:01:47"/>
    <s v="Y"/>
    <s v="Expert - Other"/>
    <s v="Public Law Children"/>
    <s v="Expert Disbursement"/>
    <s v="HM"/>
    <s v="Y"/>
    <n v="78.8"/>
    <n v="0"/>
    <x v="2"/>
    <s v="VALIDATED"/>
    <n v="1"/>
    <s v="01.11.80.308.6300.0000"/>
    <n v="78.8"/>
    <s v="11"/>
    <s v="6300"/>
    <n v="14387.73"/>
    <n v="78.8"/>
    <s v="CREDITOR"/>
    <n v="0"/>
    <n v="0"/>
    <n v="0"/>
    <n v="0"/>
    <n v="78.8"/>
  </r>
  <r>
    <n v="61069071"/>
    <s v="N"/>
    <n v="21343991"/>
    <s v="3000015259830006"/>
    <s v="CIVIL"/>
    <d v="2023-06-28T00:00:00"/>
    <d v="2023-07-07T19:03:00"/>
    <m/>
    <d v="2023-07-07T00:00:00"/>
    <n v="2001"/>
    <n v="8025"/>
    <s v="61069071"/>
    <s v="61069071"/>
    <m/>
    <m/>
    <n v="22783130"/>
    <m/>
    <m/>
    <m/>
    <s v="SOLFIN"/>
    <s v="SOLFIN"/>
    <s v="CCMS"/>
    <n v="21343991"/>
    <n v="2622.78"/>
    <m/>
    <s v="N"/>
    <n v="3"/>
    <d v="2023-07-07T19:03:19"/>
    <s v="Y"/>
    <s v="Preparation - other"/>
    <s v="Prescribed Hourly Rates"/>
    <s v="Profit Cost"/>
    <s v="HM"/>
    <s v="Y"/>
    <n v="65.88"/>
    <n v="13.18"/>
    <x v="9"/>
    <s v="VALIDATED"/>
    <n v="1"/>
    <s v="01.11.80.307.6100.0000"/>
    <n v="65.88"/>
    <s v="11"/>
    <s v="6100"/>
    <n v="14387.73"/>
    <n v="65.88"/>
    <s v="CREDITOR"/>
    <n v="0"/>
    <n v="0"/>
    <n v="0"/>
    <n v="0"/>
    <n v="65.88"/>
  </r>
  <r>
    <n v="61366169"/>
    <s v="N"/>
    <n v="21338247"/>
    <s v="3000015513310007"/>
    <s v="CIVIL"/>
    <d v="2023-06-27T00:00:00"/>
    <d v="2023-07-06T19:21:01"/>
    <m/>
    <d v="2023-07-06T00:00:00"/>
    <n v="2001"/>
    <n v="8025"/>
    <s v="61366169"/>
    <s v="61366169"/>
    <m/>
    <m/>
    <n v="22773886"/>
    <m/>
    <m/>
    <m/>
    <s v="SOLFIN"/>
    <s v="SOLFIN"/>
    <s v="CCMS"/>
    <n v="21338247"/>
    <n v="4461.51"/>
    <m/>
    <s v="N"/>
    <n v="3"/>
    <d v="2023-07-06T19:21:14"/>
    <s v="Y"/>
    <s v="Hearing Unit 1.01 - 2.30 Hours"/>
    <s v="Public Law Children"/>
    <s v="Advocacy"/>
    <s v="HM"/>
    <s v="Y"/>
    <n v="238.46"/>
    <n v="47.69"/>
    <x v="4"/>
    <s v="VALIDATED"/>
    <n v="1"/>
    <s v="01.11.80.308.6100.0000"/>
    <n v="238.46"/>
    <s v="11"/>
    <s v="6100"/>
    <n v="14387.73"/>
    <n v="238.46"/>
    <s v="CREDITOR"/>
    <n v="0"/>
    <n v="0"/>
    <n v="0"/>
    <n v="0"/>
    <n v="238.46"/>
  </r>
  <r>
    <n v="60650441"/>
    <s v="N"/>
    <n v="21349931"/>
    <s v="3000014900700006"/>
    <s v="CIVIL"/>
    <d v="2023-06-28T00:00:00"/>
    <d v="2023-07-10T19:01:40"/>
    <m/>
    <d v="2023-07-10T00:00:00"/>
    <n v="2001"/>
    <n v="8025"/>
    <s v="60650441"/>
    <s v="60650441"/>
    <m/>
    <m/>
    <n v="22782816"/>
    <m/>
    <m/>
    <m/>
    <s v="SOLFIN"/>
    <s v="SOLFIN"/>
    <s v="CCMS"/>
    <n v="21349931"/>
    <n v="6058.36"/>
    <m/>
    <s v="N"/>
    <n v="14"/>
    <d v="2023-07-10T19:02:04"/>
    <s v="N"/>
    <s v="Level 3 Fixed Fee"/>
    <s v="Private Law Children"/>
    <s v="Profit Cost"/>
    <s v="LH"/>
    <s v="N"/>
    <n v="0"/>
    <n v="0"/>
    <x v="2"/>
    <s v="VALIDATED"/>
    <n v="1"/>
    <s v="01.11.80.307.6100.0000"/>
    <n v="0"/>
    <s v="11"/>
    <s v="6100"/>
    <n v="14387.73"/>
    <n v="0"/>
    <s v="CREDITOR"/>
    <n v="0"/>
    <n v="0"/>
    <n v="0"/>
    <n v="0"/>
    <n v="0"/>
  </r>
  <r>
    <n v="60650441"/>
    <s v="N"/>
    <n v="21349931"/>
    <s v="3000014900700006"/>
    <s v="CIVIL"/>
    <d v="2023-06-28T00:00:00"/>
    <d v="2023-07-10T19:01:40"/>
    <m/>
    <d v="2023-07-10T00:00:00"/>
    <n v="2001"/>
    <n v="8025"/>
    <s v="60650441"/>
    <s v="60650441"/>
    <m/>
    <m/>
    <n v="22782816"/>
    <m/>
    <m/>
    <m/>
    <s v="SOLFIN"/>
    <s v="SOLFIN"/>
    <s v="CCMS"/>
    <n v="21349931"/>
    <n v="6058.36"/>
    <m/>
    <s v="N"/>
    <n v="8"/>
    <d v="2023-07-10T19:02:04"/>
    <s v="Y"/>
    <s v="Hearing Unit 2.31 - 5.00 Hours"/>
    <s v="Private Law Children"/>
    <s v="Advocacy"/>
    <s v="JP"/>
    <s v="Y"/>
    <n v="344.8"/>
    <n v="68.95999999999999"/>
    <x v="2"/>
    <s v="VALIDATED"/>
    <n v="1"/>
    <s v="01.11.80.307.6100.0000"/>
    <n v="344.8"/>
    <s v="11"/>
    <s v="6100"/>
    <n v="14387.73"/>
    <n v="344.8"/>
    <s v="CREDITOR"/>
    <n v="0"/>
    <n v="0"/>
    <n v="0"/>
    <n v="0"/>
    <n v="344.8"/>
  </r>
  <r>
    <n v="60205196"/>
    <s v="N"/>
    <n v="21350151"/>
    <s v="3000014511920019"/>
    <s v="CIVIL"/>
    <d v="2023-06-27T00:00:00"/>
    <d v="2023-07-10T19:01:40"/>
    <m/>
    <d v="2023-07-10T00:00:00"/>
    <n v="2001"/>
    <n v="8025"/>
    <s v="60205196"/>
    <s v="60205196"/>
    <m/>
    <m/>
    <n v="22772812"/>
    <m/>
    <m/>
    <m/>
    <s v="SOLFIN"/>
    <s v="SOLFIN"/>
    <s v="CCMS"/>
    <n v="21350151"/>
    <n v="11333.33"/>
    <m/>
    <s v="N"/>
    <n v="7"/>
    <d v="2023-07-10T19:02:15"/>
    <s v="Y"/>
    <s v="Profit Costs (Summary)"/>
    <s v="Public Law Children"/>
    <s v="Profit Cost"/>
    <s v="DW"/>
    <s v="Y"/>
    <n v="4795.43"/>
    <n v="959.09"/>
    <x v="2"/>
    <s v="VALIDATED"/>
    <n v="1"/>
    <s v="01.11.80.308.6100.0000"/>
    <n v="4795.43"/>
    <s v="11"/>
    <s v="6100"/>
    <n v="14387.73"/>
    <n v="4795.43"/>
    <s v="CREDITOR"/>
    <n v="0"/>
    <n v="0"/>
    <n v="0"/>
    <n v="0"/>
    <n v="4795.43"/>
  </r>
  <r>
    <n v="60650911"/>
    <s v="N"/>
    <n v="21343246"/>
    <s v="3000014905280011"/>
    <s v="CIVIL"/>
    <d v="2023-06-28T00:00:00"/>
    <d v="2023-07-07T19:03:00"/>
    <m/>
    <d v="2023-07-07T00:00:00"/>
    <n v="2001"/>
    <n v="8025"/>
    <s v="60650911"/>
    <s v="60650911"/>
    <m/>
    <m/>
    <n v="22779324"/>
    <m/>
    <m/>
    <m/>
    <s v="SOLFIN"/>
    <s v="SOLFIN"/>
    <s v="CCMS"/>
    <n v="21343246"/>
    <n v="2175.21"/>
    <m/>
    <s v="N"/>
    <n v="3"/>
    <d v="2023-07-07T19:03:05"/>
    <s v="Y"/>
    <s v="Advocates Meeting"/>
    <s v="Public Law Children"/>
    <s v="Advocacy"/>
    <s v="HM"/>
    <s v="Y"/>
    <n v="140.99"/>
    <n v="28.2"/>
    <x v="9"/>
    <s v="VALIDATED"/>
    <n v="1"/>
    <s v="01.11.80.308.6100.0000"/>
    <n v="140.99"/>
    <s v="11"/>
    <s v="6100"/>
    <n v="14387.73"/>
    <n v="140.99"/>
    <s v="CREDITOR"/>
    <n v="0"/>
    <n v="0"/>
    <n v="0"/>
    <n v="0"/>
    <n v="140.99"/>
  </r>
  <r>
    <n v="60816284"/>
    <s v="N"/>
    <n v="21338459"/>
    <s v="3000015049370008"/>
    <s v="CIVIL"/>
    <d v="2023-06-27T00:00:00"/>
    <d v="2023-07-06T19:21:01"/>
    <m/>
    <d v="2023-07-06T00:00:00"/>
    <n v="2001"/>
    <n v="8025"/>
    <s v="60816284"/>
    <s v="60816284"/>
    <m/>
    <m/>
    <n v="22774066"/>
    <m/>
    <m/>
    <m/>
    <s v="SOLFIN"/>
    <s v="SOLFIN"/>
    <s v="CCMS"/>
    <n v="21338459"/>
    <n v="6853.17"/>
    <m/>
    <s v="N"/>
    <n v="2"/>
    <d v="2023-07-06T19:21:25"/>
    <s v="Y"/>
    <s v="Toxicologist"/>
    <s v="Public Law Children"/>
    <s v="Expert Disbursement"/>
    <s v="HM"/>
    <s v="Y"/>
    <n v="325.5"/>
    <n v="65.09999999999999"/>
    <x v="4"/>
    <s v="VALIDATED"/>
    <n v="1"/>
    <s v="01.11.80.308.6300.0000"/>
    <n v="325.5"/>
    <s v="11"/>
    <s v="6300"/>
    <n v="14387.73"/>
    <n v="325.5"/>
    <s v="CREDITOR"/>
    <n v="0"/>
    <n v="0"/>
    <n v="0"/>
    <n v="0"/>
    <n v="325.5"/>
  </r>
  <r>
    <n v="59912784"/>
    <s v="N"/>
    <n v="21360354"/>
    <s v="3000014267870006"/>
    <s v="CIVIL"/>
    <d v="2023-06-30T00:00:00"/>
    <d v="2023-07-11T11:50:54"/>
    <m/>
    <d v="2023-07-11T00:00:00"/>
    <n v="2001"/>
    <n v="8025"/>
    <s v="59912784"/>
    <s v="59912784"/>
    <m/>
    <m/>
    <n v="22800284"/>
    <m/>
    <m/>
    <m/>
    <s v="SOLFIN"/>
    <s v="SOLFIN"/>
    <s v="CCMS"/>
    <n v="21360354"/>
    <n v="5014.26"/>
    <m/>
    <s v="N"/>
    <n v="12"/>
    <d v="2023-07-11T11:51:03"/>
    <s v="Y"/>
    <s v="Hearing Unit 0.00 - 1.00 Hours"/>
    <s v="Private Law Children"/>
    <s v="Advocacy"/>
    <s v="CB"/>
    <s v="Y"/>
    <n v="68.94"/>
    <n v="13.79"/>
    <x v="7"/>
    <s v="VALIDATED"/>
    <n v="1"/>
    <s v="01.11.80.307.6100.0000"/>
    <n v="68.94"/>
    <s v="11"/>
    <s v="6100"/>
    <n v="14387.73"/>
    <n v="68.94"/>
    <s v="CREDITOR"/>
    <n v="0"/>
    <n v="0"/>
    <n v="0"/>
    <n v="0"/>
    <n v="68.94"/>
  </r>
  <r>
    <n v="60650441"/>
    <s v="N"/>
    <n v="21349931"/>
    <s v="3000014900700006"/>
    <s v="CIVIL"/>
    <d v="2023-06-28T00:00:00"/>
    <d v="2023-07-10T19:01:40"/>
    <m/>
    <d v="2023-07-10T00:00:00"/>
    <n v="2001"/>
    <n v="8025"/>
    <s v="60650441"/>
    <s v="60650441"/>
    <m/>
    <m/>
    <n v="22782816"/>
    <m/>
    <m/>
    <m/>
    <s v="SOLFIN"/>
    <s v="SOLFIN"/>
    <s v="CCMS"/>
    <n v="21349931"/>
    <n v="6058.36"/>
    <m/>
    <s v="N"/>
    <n v="10"/>
    <d v="2023-07-10T19:02:04"/>
    <s v="Y"/>
    <s v="Hearing Unit 2.31 - 5.00 Hours"/>
    <s v="Private Law Children"/>
    <s v="Advocacy"/>
    <s v="LH"/>
    <s v="Y"/>
    <n v="344.8"/>
    <n v="68.95999999999999"/>
    <x v="2"/>
    <s v="VALIDATED"/>
    <n v="1"/>
    <s v="01.11.80.307.6100.0000"/>
    <n v="344.8"/>
    <s v="11"/>
    <s v="6100"/>
    <n v="14387.73"/>
    <n v="344.8"/>
    <s v="CREDITOR"/>
    <n v="0"/>
    <n v="0"/>
    <n v="0"/>
    <n v="0"/>
    <n v="344.8"/>
  </r>
  <r>
    <n v="60125579"/>
    <s v="N"/>
    <n v="21350115"/>
    <s v="3000014453780007"/>
    <s v="CIVIL"/>
    <d v="2023-06-27T00:00:00"/>
    <d v="2023-07-10T19:01:40"/>
    <m/>
    <d v="2023-07-10T00:00:00"/>
    <n v="2001"/>
    <n v="8025"/>
    <s v="60125579"/>
    <s v="60125579"/>
    <m/>
    <m/>
    <n v="22772710"/>
    <m/>
    <m/>
    <m/>
    <s v="SOLFIN"/>
    <s v="SOLFIN"/>
    <s v="CCMS"/>
    <n v="21350115"/>
    <n v="9524.85"/>
    <m/>
    <s v="N"/>
    <n v="6"/>
    <d v="2023-07-10T19:02:14"/>
    <s v="Y"/>
    <s v="Advocates Meeting"/>
    <s v="Public Law Children"/>
    <s v="Advocacy"/>
    <s v="DW"/>
    <s v="Y"/>
    <n v="140.99"/>
    <n v="28.2"/>
    <x v="2"/>
    <s v="VALIDATED"/>
    <n v="1"/>
    <s v="01.11.80.308.6100.0000"/>
    <n v="140.99"/>
    <s v="11"/>
    <s v="6100"/>
    <n v="14387.73"/>
    <n v="140.99"/>
    <s v="CREDITOR"/>
    <n v="0"/>
    <n v="0"/>
    <n v="0"/>
    <n v="0"/>
    <n v="140.99"/>
  </r>
  <r>
    <n v="60816284"/>
    <s v="N"/>
    <n v="21338459"/>
    <s v="3000015049370008"/>
    <s v="CIVIL"/>
    <d v="2023-06-27T00:00:00"/>
    <d v="2023-07-06T19:21:01"/>
    <m/>
    <d v="2023-07-06T00:00:00"/>
    <n v="2001"/>
    <n v="8025"/>
    <s v="60816284"/>
    <s v="60816284"/>
    <m/>
    <m/>
    <n v="22774066"/>
    <m/>
    <m/>
    <m/>
    <s v="SOLFIN"/>
    <s v="SOLFIN"/>
    <s v="CCMS"/>
    <n v="21338459"/>
    <n v="6853.17"/>
    <m/>
    <s v="N"/>
    <n v="6"/>
    <d v="2023-07-06T19:21:25"/>
    <s v="Y"/>
    <s v="Advocates Meeting"/>
    <s v="Public Law Children"/>
    <s v="Advocacy"/>
    <s v="HM"/>
    <s v="Y"/>
    <n v="140.99"/>
    <n v="28.2"/>
    <x v="4"/>
    <s v="VALIDATED"/>
    <n v="1"/>
    <s v="01.11.80.308.6100.0000"/>
    <n v="140.99"/>
    <s v="11"/>
    <s v="6100"/>
    <n v="14387.73"/>
    <n v="140.99"/>
    <s v="CREDITOR"/>
    <n v="0"/>
    <n v="0"/>
    <n v="0"/>
    <n v="0"/>
    <n v="140.99"/>
  </r>
  <r>
    <n v="60742219"/>
    <s v="N"/>
    <n v="21349335"/>
    <s v="3000014985080020"/>
    <s v="CIVIL"/>
    <d v="2023-06-29T00:00:00"/>
    <d v="2023-07-10T19:01:40"/>
    <m/>
    <d v="2023-07-10T00:00:00"/>
    <n v="2001"/>
    <n v="8025"/>
    <s v="60742219"/>
    <s v="60742219"/>
    <m/>
    <m/>
    <n v="22789966"/>
    <m/>
    <m/>
    <m/>
    <s v="SOLFIN"/>
    <s v="SOLFIN"/>
    <s v="CCMS"/>
    <n v="21349335"/>
    <n v="5928.57"/>
    <m/>
    <s v="N"/>
    <n v="2"/>
    <d v="2023-07-10T19:01:47"/>
    <s v="Y"/>
    <s v="Other"/>
    <s v="Public Law Children"/>
    <s v="Non Expert Disbursement"/>
    <s v="HM"/>
    <s v="Y"/>
    <n v="20.22"/>
    <n v="4.04"/>
    <x v="2"/>
    <s v="VALIDATED"/>
    <n v="1"/>
    <s v="01.11.80.308.6300.0000"/>
    <n v="20.22"/>
    <s v="11"/>
    <s v="6300"/>
    <n v="14387.73"/>
    <n v="20.22"/>
    <s v="CREDITOR"/>
    <n v="0"/>
    <n v="0"/>
    <n v="0"/>
    <n v="0"/>
    <n v="20.22"/>
  </r>
  <r>
    <n v="61782434"/>
    <s v="N"/>
    <n v="21334062"/>
    <s v="3000015858760001RC"/>
    <s v="CIVIL"/>
    <d v="2023-06-28T00:00:00"/>
    <d v="2023-07-05T19:42:28"/>
    <m/>
    <d v="2023-07-05T00:00:00"/>
    <n v="2001"/>
    <n v="8025"/>
    <s v="61782434"/>
    <s v="61782434"/>
    <m/>
    <m/>
    <m/>
    <m/>
    <m/>
    <m/>
    <s v="SOLRECOUP"/>
    <s v="SOLRECOUP"/>
    <s v="POARECOUP"/>
    <n v="21334062"/>
    <n v="-121.92"/>
    <m/>
    <s v="Y"/>
    <n v="1"/>
    <d v="2023-07-05T19:42:30"/>
    <s v="N"/>
    <m/>
    <m/>
    <s v="Expert Disbursement"/>
    <m/>
    <s v="N"/>
    <n v="-101.6"/>
    <n v="0"/>
    <x v="6"/>
    <s v="VALIDATED"/>
    <n v="1"/>
    <s v="01.11.80.308.2013.0000"/>
    <n v="-101.6"/>
    <s v="11"/>
    <s v="2013"/>
    <n v="14387.73"/>
    <n v="-101.6"/>
    <s v="CREDITOR"/>
    <n v="0"/>
    <n v="0"/>
    <n v="-101.6"/>
    <n v="0"/>
    <n v="0"/>
  </r>
  <r>
    <n v="61782434"/>
    <s v="N"/>
    <n v="21334062"/>
    <s v="3000015858760001RC"/>
    <s v="CIVIL"/>
    <d v="2023-06-28T00:00:00"/>
    <d v="2023-07-05T19:42:28"/>
    <m/>
    <d v="2023-07-05T00:00:00"/>
    <n v="2001"/>
    <n v="8025"/>
    <s v="61782434"/>
    <s v="61782434"/>
    <m/>
    <m/>
    <m/>
    <m/>
    <m/>
    <m/>
    <s v="SOLRECOUP"/>
    <s v="SOLRECOUP"/>
    <s v="POARECOUP"/>
    <n v="21334062"/>
    <n v="-121.92"/>
    <m/>
    <s v="Y"/>
    <n v="2"/>
    <d v="2023-07-05T19:42:30"/>
    <s v="N"/>
    <m/>
    <m/>
    <s v="Expert Disbursement"/>
    <m/>
    <s v="N"/>
    <n v="0"/>
    <n v="-20.32"/>
    <x v="6"/>
    <s v="VALIDATED"/>
    <n v="1"/>
    <s v="01.11.80.308.2013.0000"/>
    <n v="-20.32"/>
    <s v="11"/>
    <s v="2013"/>
    <n v="14387.73"/>
    <n v="-20.32"/>
    <s v="CREDITOR"/>
    <n v="0"/>
    <n v="0"/>
    <n v="-20.32"/>
    <n v="0"/>
    <n v="0"/>
  </r>
  <r>
    <n v="61782434"/>
    <s v="N"/>
    <n v="21334063"/>
    <s v="3000015858760002RC"/>
    <s v="CIVIL"/>
    <d v="2023-06-28T00:00:00"/>
    <d v="2023-07-05T19:42:28"/>
    <m/>
    <d v="2023-07-05T00:00:00"/>
    <n v="2001"/>
    <n v="8025"/>
    <s v="61782434"/>
    <s v="61782434"/>
    <m/>
    <m/>
    <m/>
    <m/>
    <m/>
    <m/>
    <s v="SOLRECOUP"/>
    <s v="SOLRECOUP"/>
    <s v="POARECOUP"/>
    <n v="21334063"/>
    <n v="-2458.56"/>
    <m/>
    <s v="Y"/>
    <n v="1"/>
    <d v="2023-07-05T19:42:30"/>
    <s v="N"/>
    <m/>
    <m/>
    <s v="Profit Cost"/>
    <m/>
    <s v="N"/>
    <n v="-2048.8"/>
    <n v="0"/>
    <x v="6"/>
    <s v="VALIDATED"/>
    <n v="1"/>
    <s v="01.11.80.308.2013.0000"/>
    <n v="-2048.8"/>
    <s v="11"/>
    <s v="2013"/>
    <n v="14387.73"/>
    <n v="-2048.8"/>
    <s v="CREDITOR"/>
    <n v="0"/>
    <n v="0"/>
    <n v="-2048.8"/>
    <n v="-512.2"/>
    <n v="0"/>
  </r>
  <r>
    <n v="61782434"/>
    <s v="N"/>
    <n v="21334063"/>
    <s v="3000015858760002RC"/>
    <s v="CIVIL"/>
    <d v="2023-06-28T00:00:00"/>
    <d v="2023-07-05T19:42:28"/>
    <m/>
    <d v="2023-07-05T00:00:00"/>
    <n v="2001"/>
    <n v="8025"/>
    <s v="61782434"/>
    <s v="61782434"/>
    <m/>
    <m/>
    <m/>
    <m/>
    <m/>
    <m/>
    <s v="SOLRECOUP"/>
    <s v="SOLRECOUP"/>
    <s v="POARECOUP"/>
    <n v="21334063"/>
    <n v="-2458.56"/>
    <m/>
    <s v="Y"/>
    <n v="2"/>
    <d v="2023-07-05T19:42:30"/>
    <s v="N"/>
    <m/>
    <m/>
    <s v="Profit Cost"/>
    <m/>
    <s v="N"/>
    <n v="0"/>
    <n v="-409.76"/>
    <x v="6"/>
    <s v="VALIDATED"/>
    <n v="1"/>
    <s v="01.11.80.308.2013.0000"/>
    <n v="-409.76"/>
    <s v="11"/>
    <s v="2013"/>
    <n v="14387.73"/>
    <n v="-409.76"/>
    <s v="CREDITOR"/>
    <n v="0"/>
    <n v="0"/>
    <n v="-409.76"/>
    <n v="-102.44"/>
    <n v="0"/>
  </r>
  <r>
    <n v="61001485"/>
    <s v="N"/>
    <n v="21329571"/>
    <s v="3000015208370007RC"/>
    <s v="CIVIL"/>
    <d v="2023-06-23T00:00:00"/>
    <d v="2023-07-04T19:38:37"/>
    <m/>
    <d v="2023-07-04T00:00:00"/>
    <n v="2001"/>
    <n v="8025"/>
    <s v="61001485"/>
    <s v="61001485"/>
    <m/>
    <m/>
    <m/>
    <m/>
    <m/>
    <m/>
    <s v="SOLRECOUP"/>
    <s v="SOLRECOUP"/>
    <s v="POARECOUP"/>
    <n v="21329571"/>
    <n v="-720"/>
    <m/>
    <s v="Y"/>
    <n v="1"/>
    <d v="2023-07-04T19:38:38"/>
    <s v="N"/>
    <m/>
    <m/>
    <s v="Profit Cost"/>
    <m/>
    <s v="N"/>
    <n v="-600"/>
    <n v="0"/>
    <x v="1"/>
    <s v="VALIDATED"/>
    <n v="1"/>
    <s v="01.11.80.308.2013.0000"/>
    <n v="-600"/>
    <s v="11"/>
    <s v="2013"/>
    <n v="14387.73"/>
    <n v="-600"/>
    <s v="CREDITOR"/>
    <n v="0"/>
    <n v="0"/>
    <n v="-600"/>
    <n v="-150"/>
    <n v="0"/>
  </r>
  <r>
    <n v="61001485"/>
    <s v="N"/>
    <n v="21329571"/>
    <s v="3000015208370007RC"/>
    <s v="CIVIL"/>
    <d v="2023-06-23T00:00:00"/>
    <d v="2023-07-04T19:38:37"/>
    <m/>
    <d v="2023-07-04T00:00:00"/>
    <n v="2001"/>
    <n v="8025"/>
    <s v="61001485"/>
    <s v="61001485"/>
    <m/>
    <m/>
    <m/>
    <m/>
    <m/>
    <m/>
    <s v="SOLRECOUP"/>
    <s v="SOLRECOUP"/>
    <s v="POARECOUP"/>
    <n v="21329571"/>
    <n v="-720"/>
    <m/>
    <s v="Y"/>
    <n v="2"/>
    <d v="2023-07-04T19:38:38"/>
    <s v="N"/>
    <m/>
    <m/>
    <s v="Profit Cost"/>
    <m/>
    <s v="N"/>
    <n v="0"/>
    <n v="-120"/>
    <x v="1"/>
    <s v="VALIDATED"/>
    <n v="1"/>
    <s v="01.11.80.308.2013.0000"/>
    <n v="-120"/>
    <s v="11"/>
    <s v="2013"/>
    <n v="14387.73"/>
    <n v="-120"/>
    <s v="CREDITOR"/>
    <n v="0"/>
    <n v="0"/>
    <n v="-120"/>
    <n v="-30"/>
    <n v="0"/>
  </r>
  <r>
    <n v="61001485"/>
    <s v="N"/>
    <n v="21329572"/>
    <s v="3000015208370001RC"/>
    <s v="CIVIL"/>
    <d v="2023-06-23T00:00:00"/>
    <d v="2023-07-04T19:38:37"/>
    <m/>
    <d v="2023-07-04T00:00:00"/>
    <n v="2001"/>
    <n v="8025"/>
    <s v="61001485"/>
    <s v="61001485"/>
    <m/>
    <m/>
    <m/>
    <m/>
    <m/>
    <m/>
    <s v="SOLRECOUP"/>
    <s v="SOLRECOUP"/>
    <s v="POARECOUP"/>
    <n v="21329572"/>
    <n v="-267.84"/>
    <m/>
    <s v="Y"/>
    <n v="1"/>
    <d v="2023-07-04T19:38:38"/>
    <s v="N"/>
    <m/>
    <m/>
    <s v="Expert Disbursement"/>
    <m/>
    <s v="N"/>
    <n v="-223.2"/>
    <n v="0"/>
    <x v="1"/>
    <s v="VALIDATED"/>
    <n v="1"/>
    <s v="01.11.80.308.2013.0000"/>
    <n v="-223.2"/>
    <s v="11"/>
    <s v="2013"/>
    <n v="14387.73"/>
    <n v="-223.2"/>
    <s v="CREDITOR"/>
    <n v="0"/>
    <n v="0"/>
    <n v="-223.2"/>
    <n v="0"/>
    <n v="0"/>
  </r>
  <r>
    <n v="61001485"/>
    <s v="N"/>
    <n v="21329572"/>
    <s v="3000015208370001RC"/>
    <s v="CIVIL"/>
    <d v="2023-06-23T00:00:00"/>
    <d v="2023-07-04T19:38:37"/>
    <m/>
    <d v="2023-07-04T00:00:00"/>
    <n v="2001"/>
    <n v="8025"/>
    <s v="61001485"/>
    <s v="61001485"/>
    <m/>
    <m/>
    <m/>
    <m/>
    <m/>
    <m/>
    <s v="SOLRECOUP"/>
    <s v="SOLRECOUP"/>
    <s v="POARECOUP"/>
    <n v="21329572"/>
    <n v="-267.84"/>
    <m/>
    <s v="Y"/>
    <n v="2"/>
    <d v="2023-07-04T19:38:38"/>
    <s v="N"/>
    <m/>
    <m/>
    <s v="Expert Disbursement"/>
    <m/>
    <s v="N"/>
    <n v="0"/>
    <n v="-44.64"/>
    <x v="1"/>
    <s v="VALIDATED"/>
    <n v="1"/>
    <s v="01.11.80.308.2013.0000"/>
    <n v="-44.64"/>
    <s v="11"/>
    <s v="2013"/>
    <n v="14387.73"/>
    <n v="-44.64"/>
    <s v="CREDITOR"/>
    <n v="0"/>
    <n v="0"/>
    <n v="-44.64"/>
    <n v="0"/>
    <n v="0"/>
  </r>
  <r>
    <n v="61001485"/>
    <s v="N"/>
    <n v="21329573"/>
    <s v="3000015208370002RC"/>
    <s v="CIVIL"/>
    <d v="2023-06-23T00:00:00"/>
    <d v="2023-07-04T19:38:37"/>
    <m/>
    <d v="2023-07-04T00:00:00"/>
    <n v="2001"/>
    <n v="8025"/>
    <s v="61001485"/>
    <s v="61001485"/>
    <m/>
    <m/>
    <m/>
    <m/>
    <m/>
    <m/>
    <s v="SOLRECOUP"/>
    <s v="SOLRECOUP"/>
    <s v="POARECOUP"/>
    <n v="21329573"/>
    <n v="-286.2"/>
    <m/>
    <s v="Y"/>
    <n v="1"/>
    <d v="2023-07-04T19:38:38"/>
    <s v="N"/>
    <m/>
    <m/>
    <s v="Expert Disbursement"/>
    <m/>
    <s v="N"/>
    <n v="-238.5"/>
    <n v="0"/>
    <x v="1"/>
    <s v="VALIDATED"/>
    <n v="1"/>
    <s v="01.11.80.308.2013.0000"/>
    <n v="-238.5"/>
    <s v="11"/>
    <s v="2013"/>
    <n v="14387.73"/>
    <n v="-238.5"/>
    <s v="CREDITOR"/>
    <n v="0"/>
    <n v="0"/>
    <n v="-238.5"/>
    <n v="0"/>
    <n v="0"/>
  </r>
  <r>
    <n v="61001485"/>
    <s v="N"/>
    <n v="21329573"/>
    <s v="3000015208370002RC"/>
    <s v="CIVIL"/>
    <d v="2023-06-23T00:00:00"/>
    <d v="2023-07-04T19:38:37"/>
    <m/>
    <d v="2023-07-04T00:00:00"/>
    <n v="2001"/>
    <n v="8025"/>
    <s v="61001485"/>
    <s v="61001485"/>
    <m/>
    <m/>
    <m/>
    <m/>
    <m/>
    <m/>
    <s v="SOLRECOUP"/>
    <s v="SOLRECOUP"/>
    <s v="POARECOUP"/>
    <n v="21329573"/>
    <n v="-286.2"/>
    <m/>
    <s v="Y"/>
    <n v="2"/>
    <d v="2023-07-04T19:38:38"/>
    <s v="N"/>
    <m/>
    <m/>
    <s v="Expert Disbursement"/>
    <m/>
    <s v="N"/>
    <n v="0"/>
    <n v="-47.7"/>
    <x v="1"/>
    <s v="VALIDATED"/>
    <n v="1"/>
    <s v="01.11.80.308.2013.0000"/>
    <n v="-47.7"/>
    <s v="11"/>
    <s v="2013"/>
    <n v="14387.73"/>
    <n v="-47.7"/>
    <s v="CREDITOR"/>
    <n v="0"/>
    <n v="0"/>
    <n v="-47.7"/>
    <n v="0"/>
    <n v="0"/>
  </r>
  <r>
    <n v="61001485"/>
    <s v="N"/>
    <n v="21329574"/>
    <s v="3000015208370003RC"/>
    <s v="CIVIL"/>
    <d v="2023-06-23T00:00:00"/>
    <d v="2023-07-04T19:38:37"/>
    <m/>
    <d v="2023-07-04T00:00:00"/>
    <n v="2001"/>
    <n v="8025"/>
    <s v="61001485"/>
    <s v="61001485"/>
    <m/>
    <m/>
    <m/>
    <m/>
    <m/>
    <m/>
    <s v="SOLRECOUP"/>
    <s v="SOLRECOUP"/>
    <s v="POARECOUP"/>
    <n v="21329574"/>
    <n v="-3221.76"/>
    <m/>
    <s v="Y"/>
    <n v="2"/>
    <d v="2023-07-04T19:38:38"/>
    <s v="N"/>
    <m/>
    <m/>
    <s v="Profit Cost"/>
    <m/>
    <s v="N"/>
    <n v="0"/>
    <n v="-536.96"/>
    <x v="1"/>
    <s v="VALIDATED"/>
    <n v="1"/>
    <s v="01.11.80.308.2013.0000"/>
    <n v="-536.96"/>
    <s v="11"/>
    <s v="2013"/>
    <n v="14387.73"/>
    <n v="-536.96"/>
    <s v="CREDITOR"/>
    <n v="0"/>
    <n v="0"/>
    <n v="-536.96"/>
    <n v="-134.24"/>
    <n v="0"/>
  </r>
  <r>
    <n v="61001485"/>
    <s v="N"/>
    <n v="21329574"/>
    <s v="3000015208370003RC"/>
    <s v="CIVIL"/>
    <d v="2023-06-23T00:00:00"/>
    <d v="2023-07-04T19:38:37"/>
    <m/>
    <d v="2023-07-04T00:00:00"/>
    <n v="2001"/>
    <n v="8025"/>
    <s v="61001485"/>
    <s v="61001485"/>
    <m/>
    <m/>
    <m/>
    <m/>
    <m/>
    <m/>
    <s v="SOLRECOUP"/>
    <s v="SOLRECOUP"/>
    <s v="POARECOUP"/>
    <n v="21329574"/>
    <n v="-3221.76"/>
    <m/>
    <s v="Y"/>
    <n v="1"/>
    <d v="2023-07-04T19:38:38"/>
    <s v="N"/>
    <m/>
    <m/>
    <s v="Profit Cost"/>
    <m/>
    <s v="N"/>
    <n v="-2684.8"/>
    <n v="0"/>
    <x v="1"/>
    <s v="VALIDATED"/>
    <n v="1"/>
    <s v="01.11.80.308.2013.0000"/>
    <n v="-2684.8"/>
    <s v="11"/>
    <s v="2013"/>
    <n v="14387.73"/>
    <n v="-2684.8"/>
    <s v="CREDITOR"/>
    <n v="0"/>
    <n v="0"/>
    <n v="-2684.8"/>
    <n v="-671.2"/>
    <n v="0"/>
  </r>
  <r>
    <n v="61001485"/>
    <s v="N"/>
    <n v="21329575"/>
    <s v="3000015208370004RC"/>
    <s v="CIVIL"/>
    <d v="2023-06-23T00:00:00"/>
    <d v="2023-07-04T19:38:37"/>
    <m/>
    <d v="2023-07-04T00:00:00"/>
    <n v="2001"/>
    <n v="8025"/>
    <s v="61001485"/>
    <s v="61001485"/>
    <m/>
    <m/>
    <m/>
    <m/>
    <m/>
    <m/>
    <s v="SOLRECOUP"/>
    <s v="SOLRECOUP"/>
    <s v="POARECOUP"/>
    <n v="21329575"/>
    <n v="-214.66"/>
    <m/>
    <s v="Y"/>
    <n v="2"/>
    <d v="2023-07-04T19:38:38"/>
    <s v="N"/>
    <m/>
    <m/>
    <s v="Expert Disbursement"/>
    <m/>
    <s v="N"/>
    <n v="0"/>
    <n v="-35.78"/>
    <x v="1"/>
    <s v="VALIDATED"/>
    <n v="1"/>
    <s v="01.11.80.308.2013.0000"/>
    <n v="-35.78"/>
    <s v="11"/>
    <s v="2013"/>
    <n v="14387.73"/>
    <n v="-35.78"/>
    <s v="CREDITOR"/>
    <n v="0"/>
    <n v="0"/>
    <n v="-35.78"/>
    <n v="0"/>
    <n v="0"/>
  </r>
  <r>
    <n v="61001485"/>
    <s v="N"/>
    <n v="21329575"/>
    <s v="3000015208370004RC"/>
    <s v="CIVIL"/>
    <d v="2023-06-23T00:00:00"/>
    <d v="2023-07-04T19:38:37"/>
    <m/>
    <d v="2023-07-04T00:00:00"/>
    <n v="2001"/>
    <n v="8025"/>
    <s v="61001485"/>
    <s v="61001485"/>
    <m/>
    <m/>
    <m/>
    <m/>
    <m/>
    <m/>
    <s v="SOLRECOUP"/>
    <s v="SOLRECOUP"/>
    <s v="POARECOUP"/>
    <n v="21329575"/>
    <n v="-214.66"/>
    <m/>
    <s v="Y"/>
    <n v="1"/>
    <d v="2023-07-04T19:38:38"/>
    <s v="N"/>
    <m/>
    <m/>
    <s v="Expert Disbursement"/>
    <m/>
    <s v="N"/>
    <n v="-178.88"/>
    <n v="0"/>
    <x v="1"/>
    <s v="VALIDATED"/>
    <n v="1"/>
    <s v="01.11.80.308.2013.0000"/>
    <n v="-178.88"/>
    <s v="11"/>
    <s v="2013"/>
    <n v="14387.73"/>
    <n v="-178.88"/>
    <s v="CREDITOR"/>
    <n v="0"/>
    <n v="0"/>
    <n v="-178.88"/>
    <n v="0"/>
    <n v="0"/>
  </r>
  <r>
    <n v="61001485"/>
    <s v="N"/>
    <n v="21329576"/>
    <s v="3000015208370006RC"/>
    <s v="CIVIL"/>
    <d v="2023-06-23T00:00:00"/>
    <d v="2023-07-04T19:38:37"/>
    <m/>
    <d v="2023-07-04T00:00:00"/>
    <n v="2001"/>
    <n v="8025"/>
    <s v="61001485"/>
    <s v="61001485"/>
    <m/>
    <m/>
    <m/>
    <m/>
    <m/>
    <m/>
    <s v="SOLRECOUP"/>
    <s v="SOLRECOUP"/>
    <s v="POARECOUP"/>
    <n v="21329576"/>
    <n v="-2017.55"/>
    <m/>
    <s v="Y"/>
    <n v="2"/>
    <d v="2023-07-04T19:38:38"/>
    <s v="N"/>
    <m/>
    <m/>
    <s v="Expert Disbursement"/>
    <m/>
    <s v="N"/>
    <n v="0"/>
    <n v="0"/>
    <x v="1"/>
    <s v="VALIDATED"/>
    <n v="1"/>
    <s v="01.11.80.000.0000.0000"/>
    <n v="0"/>
    <s v="11"/>
    <s v="0000"/>
    <n v="14387.73"/>
    <n v="0"/>
    <s v="CREDITOR"/>
    <n v="0"/>
    <n v="0"/>
    <n v="0"/>
    <n v="0"/>
    <n v="0"/>
  </r>
  <r>
    <n v="61001485"/>
    <s v="N"/>
    <n v="21329576"/>
    <s v="3000015208370006RC"/>
    <s v="CIVIL"/>
    <d v="2023-06-23T00:00:00"/>
    <d v="2023-07-04T19:38:37"/>
    <m/>
    <d v="2023-07-04T00:00:00"/>
    <n v="2001"/>
    <n v="8025"/>
    <s v="61001485"/>
    <s v="61001485"/>
    <m/>
    <m/>
    <m/>
    <m/>
    <m/>
    <m/>
    <s v="SOLRECOUP"/>
    <s v="SOLRECOUP"/>
    <s v="POARECOUP"/>
    <n v="21329576"/>
    <n v="-2017.55"/>
    <m/>
    <s v="Y"/>
    <n v="1"/>
    <d v="2023-07-04T19:38:38"/>
    <s v="N"/>
    <m/>
    <m/>
    <s v="Expert Disbursement"/>
    <m/>
    <s v="N"/>
    <n v="-2017.55"/>
    <n v="0"/>
    <x v="1"/>
    <s v="VALIDATED"/>
    <n v="1"/>
    <s v="01.11.80.308.2013.0000"/>
    <n v="-2017.55"/>
    <s v="11"/>
    <s v="2013"/>
    <n v="14387.73"/>
    <n v="-2017.55"/>
    <s v="CREDITOR"/>
    <n v="0"/>
    <n v="0"/>
    <n v="-2017.55"/>
    <n v="0"/>
    <n v="0"/>
  </r>
  <r>
    <n v="61001485"/>
    <s v="N"/>
    <n v="21329577"/>
    <s v="3000015208370005RC"/>
    <s v="CIVIL"/>
    <d v="2023-06-23T00:00:00"/>
    <d v="2023-07-04T19:38:37"/>
    <m/>
    <d v="2023-07-04T00:00:00"/>
    <n v="2001"/>
    <n v="8025"/>
    <s v="61001485"/>
    <s v="61001485"/>
    <m/>
    <m/>
    <m/>
    <m/>
    <m/>
    <m/>
    <s v="SOLRECOUP"/>
    <s v="SOLRECOUP"/>
    <s v="POARECOUP"/>
    <n v="21329577"/>
    <n v="-768"/>
    <m/>
    <s v="Y"/>
    <n v="2"/>
    <d v="2023-07-04T19:38:38"/>
    <s v="N"/>
    <m/>
    <m/>
    <s v="Profit Cost"/>
    <m/>
    <s v="N"/>
    <n v="0"/>
    <n v="-128"/>
    <x v="1"/>
    <s v="VALIDATED"/>
    <n v="1"/>
    <s v="01.11.80.308.2013.0000"/>
    <n v="-128"/>
    <s v="11"/>
    <s v="2013"/>
    <n v="14387.73"/>
    <n v="-128"/>
    <s v="CREDITOR"/>
    <n v="0"/>
    <n v="0"/>
    <n v="-128"/>
    <n v="-32"/>
    <n v="0"/>
  </r>
  <r>
    <n v="61001485"/>
    <s v="N"/>
    <n v="21329577"/>
    <s v="3000015208370005RC"/>
    <s v="CIVIL"/>
    <d v="2023-06-23T00:00:00"/>
    <d v="2023-07-04T19:38:37"/>
    <m/>
    <d v="2023-07-04T00:00:00"/>
    <n v="2001"/>
    <n v="8025"/>
    <s v="61001485"/>
    <s v="61001485"/>
    <m/>
    <m/>
    <m/>
    <m/>
    <m/>
    <m/>
    <s v="SOLRECOUP"/>
    <s v="SOLRECOUP"/>
    <s v="POARECOUP"/>
    <n v="21329577"/>
    <n v="-768"/>
    <m/>
    <s v="Y"/>
    <n v="1"/>
    <d v="2023-07-04T19:38:38"/>
    <s v="N"/>
    <m/>
    <m/>
    <s v="Profit Cost"/>
    <m/>
    <s v="N"/>
    <n v="-640"/>
    <n v="0"/>
    <x v="1"/>
    <s v="VALIDATED"/>
    <n v="1"/>
    <s v="01.11.80.308.2013.0000"/>
    <n v="-640"/>
    <s v="11"/>
    <s v="2013"/>
    <n v="14387.73"/>
    <n v="-640"/>
    <s v="CREDITOR"/>
    <n v="0"/>
    <n v="0"/>
    <n v="-640"/>
    <n v="-160"/>
    <n v="0"/>
  </r>
  <r>
    <n v="60816284"/>
    <s v="N"/>
    <n v="21340113"/>
    <s v="3000015049370006RC"/>
    <s v="CIVIL"/>
    <d v="2023-06-27T00:00:00"/>
    <d v="2023-07-06T19:54:22"/>
    <m/>
    <d v="2023-07-06T00:00:00"/>
    <n v="2001"/>
    <n v="8025"/>
    <s v="60816284"/>
    <s v="60816284"/>
    <m/>
    <m/>
    <m/>
    <m/>
    <m/>
    <m/>
    <s v="SOLRECOUP"/>
    <s v="SOLRECOUP"/>
    <s v="POARECOUP"/>
    <n v="21340113"/>
    <n v="-1307.52"/>
    <m/>
    <s v="Y"/>
    <n v="2"/>
    <d v="2023-07-06T19:54:23"/>
    <s v="N"/>
    <m/>
    <m/>
    <s v="Profit Cost"/>
    <m/>
    <s v="N"/>
    <n v="0"/>
    <n v="-217.92"/>
    <x v="4"/>
    <s v="VALIDATED"/>
    <n v="1"/>
    <s v="01.11.80.308.2013.0000"/>
    <n v="-217.92"/>
    <s v="11"/>
    <s v="2013"/>
    <n v="14387.73"/>
    <n v="-217.92"/>
    <s v="CREDITOR"/>
    <n v="0"/>
    <n v="0"/>
    <n v="-217.92"/>
    <n v="-54.48"/>
    <n v="0"/>
  </r>
  <r>
    <n v="60816284"/>
    <s v="N"/>
    <n v="21340114"/>
    <s v="3000015049370007RC"/>
    <s v="CIVIL"/>
    <d v="2023-06-27T00:00:00"/>
    <d v="2023-07-06T19:54:22"/>
    <m/>
    <d v="2023-07-06T00:00:00"/>
    <n v="2001"/>
    <n v="8025"/>
    <s v="60816284"/>
    <s v="60816284"/>
    <m/>
    <m/>
    <m/>
    <m/>
    <m/>
    <m/>
    <s v="SOLRECOUP"/>
    <s v="SOLRECOUP"/>
    <s v="POARECOUP"/>
    <n v="21340114"/>
    <n v="-240"/>
    <m/>
    <s v="Y"/>
    <n v="1"/>
    <d v="2023-07-06T19:54:23"/>
    <s v="N"/>
    <m/>
    <m/>
    <s v="Profit Cost"/>
    <m/>
    <s v="N"/>
    <n v="-200"/>
    <n v="0"/>
    <x v="4"/>
    <s v="VALIDATED"/>
    <n v="1"/>
    <s v="01.11.80.308.2013.0000"/>
    <n v="-200"/>
    <s v="11"/>
    <s v="2013"/>
    <n v="14387.73"/>
    <n v="-200"/>
    <s v="CREDITOR"/>
    <n v="0"/>
    <n v="0"/>
    <n v="-200"/>
    <n v="-50"/>
    <n v="0"/>
  </r>
  <r>
    <n v="60125579"/>
    <s v="N"/>
    <n v="21356868"/>
    <s v="3000014453780005RC"/>
    <s v="CIVIL"/>
    <d v="2023-06-27T00:00:00"/>
    <d v="2023-07-10T19:47:44"/>
    <m/>
    <d v="2023-07-10T00:00:00"/>
    <n v="2001"/>
    <n v="8025"/>
    <s v="60125579"/>
    <s v="60125579"/>
    <m/>
    <m/>
    <m/>
    <m/>
    <m/>
    <m/>
    <s v="SOLRECOUP"/>
    <s v="SOLRECOUP"/>
    <s v="POARECOUP"/>
    <n v="21356868"/>
    <n v="-1104"/>
    <m/>
    <s v="Y"/>
    <n v="1"/>
    <d v="2023-07-10T19:47:46"/>
    <s v="N"/>
    <m/>
    <m/>
    <s v="Profit Cost"/>
    <m/>
    <s v="N"/>
    <n v="-920"/>
    <n v="0"/>
    <x v="2"/>
    <s v="VALIDATED"/>
    <n v="1"/>
    <s v="01.11.80.308.2013.0000"/>
    <n v="-920"/>
    <s v="11"/>
    <s v="2013"/>
    <n v="14387.73"/>
    <n v="-920"/>
    <s v="CREDITOR"/>
    <n v="0"/>
    <n v="0"/>
    <n v="-920"/>
    <n v="-230"/>
    <n v="0"/>
  </r>
  <r>
    <n v="60650441"/>
    <s v="N"/>
    <n v="21356869"/>
    <s v="3000014900700003RC"/>
    <s v="CIVIL"/>
    <d v="2023-06-28T00:00:00"/>
    <d v="2023-07-10T19:47:44"/>
    <m/>
    <d v="2023-07-10T00:00:00"/>
    <n v="2001"/>
    <n v="8025"/>
    <s v="60650441"/>
    <s v="60650441"/>
    <m/>
    <m/>
    <m/>
    <m/>
    <m/>
    <m/>
    <s v="SOLRECOUP"/>
    <s v="SOLRECOUP"/>
    <s v="POARECOUP"/>
    <n v="21356869"/>
    <n v="-2496"/>
    <m/>
    <s v="Y"/>
    <n v="2"/>
    <d v="2023-07-10T19:47:46"/>
    <s v="N"/>
    <m/>
    <m/>
    <s v="Profit Cost"/>
    <m/>
    <s v="N"/>
    <n v="0"/>
    <n v="-416"/>
    <x v="2"/>
    <s v="VALIDATED"/>
    <n v="1"/>
    <s v="01.11.80.307.2013.0000"/>
    <n v="-416"/>
    <s v="11"/>
    <s v="2013"/>
    <n v="14387.73"/>
    <n v="-416"/>
    <s v="CREDITOR"/>
    <n v="0"/>
    <n v="0"/>
    <n v="-416"/>
    <n v="-104"/>
    <n v="0"/>
  </r>
  <r>
    <n v="60650441"/>
    <s v="N"/>
    <n v="21356869"/>
    <s v="3000014900700003RC"/>
    <s v="CIVIL"/>
    <d v="2023-06-28T00:00:00"/>
    <d v="2023-07-10T19:47:44"/>
    <m/>
    <d v="2023-07-10T00:00:00"/>
    <n v="2001"/>
    <n v="8025"/>
    <s v="60650441"/>
    <s v="60650441"/>
    <m/>
    <m/>
    <m/>
    <m/>
    <m/>
    <m/>
    <s v="SOLRECOUP"/>
    <s v="SOLRECOUP"/>
    <s v="POARECOUP"/>
    <n v="21356869"/>
    <n v="-2496"/>
    <m/>
    <s v="Y"/>
    <n v="1"/>
    <d v="2023-07-10T19:47:46"/>
    <s v="N"/>
    <m/>
    <m/>
    <s v="Profit Cost"/>
    <m/>
    <s v="N"/>
    <n v="-2080"/>
    <n v="0"/>
    <x v="2"/>
    <s v="VALIDATED"/>
    <n v="1"/>
    <s v="01.11.80.307.2013.0000"/>
    <n v="-2080"/>
    <s v="11"/>
    <s v="2013"/>
    <n v="14387.73"/>
    <n v="-2080"/>
    <s v="CREDITOR"/>
    <n v="0"/>
    <n v="0"/>
    <n v="-2080"/>
    <n v="-520"/>
    <n v="0"/>
  </r>
  <r>
    <n v="60205196"/>
    <s v="N"/>
    <n v="21356870"/>
    <s v="3000014511920007RC"/>
    <s v="CIVIL"/>
    <d v="2023-06-27T00:00:00"/>
    <d v="2023-07-10T19:47:44"/>
    <m/>
    <d v="2023-07-10T00:00:00"/>
    <n v="2001"/>
    <n v="8025"/>
    <s v="60205196"/>
    <s v="60205196"/>
    <m/>
    <m/>
    <m/>
    <m/>
    <m/>
    <m/>
    <s v="SOLRECOUP"/>
    <s v="SOLRECOUP"/>
    <s v="POARECOUP"/>
    <n v="21356870"/>
    <n v="-1573.44"/>
    <m/>
    <s v="Y"/>
    <n v="2"/>
    <d v="2023-07-10T19:47:46"/>
    <s v="N"/>
    <m/>
    <m/>
    <s v="Profit Cost"/>
    <m/>
    <s v="N"/>
    <n v="0"/>
    <n v="-262.24"/>
    <x v="2"/>
    <s v="VALIDATED"/>
    <n v="1"/>
    <s v="01.11.80.308.2013.0000"/>
    <n v="-262.24"/>
    <s v="11"/>
    <s v="2013"/>
    <n v="14387.73"/>
    <n v="-262.24"/>
    <s v="CREDITOR"/>
    <n v="0"/>
    <n v="0"/>
    <n v="-262.24"/>
    <n v="-65.56"/>
    <n v="0"/>
  </r>
  <r>
    <n v="61069071"/>
    <s v="N"/>
    <n v="21346523"/>
    <s v="3000015259830001RC"/>
    <s v="CIVIL"/>
    <d v="2023-06-28T00:00:00"/>
    <d v="2023-07-07T19:34:21"/>
    <m/>
    <d v="2023-07-07T00:00:00"/>
    <n v="2001"/>
    <n v="8025"/>
    <s v="61069071"/>
    <s v="61069071"/>
    <m/>
    <m/>
    <m/>
    <m/>
    <m/>
    <m/>
    <s v="SOLRECOUP"/>
    <s v="SOLRECOUP"/>
    <s v="POARECOUP"/>
    <n v="21346523"/>
    <n v="-11"/>
    <m/>
    <s v="Y"/>
    <n v="2"/>
    <d v="2023-07-07T19:34:23"/>
    <s v="N"/>
    <m/>
    <m/>
    <s v="Non Expert Disbursement"/>
    <m/>
    <s v="N"/>
    <n v="0"/>
    <n v="0"/>
    <x v="9"/>
    <s v="VALIDATED"/>
    <n v="1"/>
    <s v="01.11.80.000.0000.0000"/>
    <n v="0"/>
    <s v="11"/>
    <s v="0000"/>
    <n v="14387.73"/>
    <n v="0"/>
    <s v="CREDITOR"/>
    <n v="0"/>
    <n v="0"/>
    <n v="0"/>
    <n v="0"/>
    <n v="0"/>
  </r>
  <r>
    <n v="61069071"/>
    <s v="N"/>
    <n v="21346524"/>
    <s v="3000015259830002RC"/>
    <s v="CIVIL"/>
    <d v="2023-06-28T00:00:00"/>
    <d v="2023-07-07T19:34:21"/>
    <m/>
    <d v="2023-07-07T00:00:00"/>
    <n v="2001"/>
    <n v="8025"/>
    <s v="61069071"/>
    <s v="61069071"/>
    <m/>
    <m/>
    <m/>
    <m/>
    <m/>
    <m/>
    <s v="SOLRECOUP"/>
    <s v="SOLRECOUP"/>
    <s v="POARECOUP"/>
    <n v="21346524"/>
    <n v="-11"/>
    <m/>
    <s v="Y"/>
    <n v="2"/>
    <d v="2023-07-07T19:34:23"/>
    <s v="N"/>
    <m/>
    <m/>
    <s v="Expert Disbursement"/>
    <m/>
    <s v="N"/>
    <n v="0"/>
    <n v="0"/>
    <x v="9"/>
    <s v="VALIDATED"/>
    <n v="1"/>
    <s v="01.11.80.000.0000.0000"/>
    <n v="0"/>
    <s v="11"/>
    <s v="0000"/>
    <n v="14387.73"/>
    <n v="0"/>
    <s v="CREDITOR"/>
    <n v="0"/>
    <n v="0"/>
    <n v="0"/>
    <n v="0"/>
    <n v="0"/>
  </r>
  <r>
    <n v="61069071"/>
    <s v="N"/>
    <n v="21346524"/>
    <s v="3000015259830002RC"/>
    <s v="CIVIL"/>
    <d v="2023-06-28T00:00:00"/>
    <d v="2023-07-07T19:34:21"/>
    <m/>
    <d v="2023-07-07T00:00:00"/>
    <n v="2001"/>
    <n v="8025"/>
    <s v="61069071"/>
    <s v="61069071"/>
    <m/>
    <m/>
    <m/>
    <m/>
    <m/>
    <m/>
    <s v="SOLRECOUP"/>
    <s v="SOLRECOUP"/>
    <s v="POARECOUP"/>
    <n v="21346524"/>
    <n v="-11"/>
    <m/>
    <s v="Y"/>
    <n v="1"/>
    <d v="2023-07-07T19:34:23"/>
    <s v="N"/>
    <m/>
    <m/>
    <s v="Expert Disbursement"/>
    <m/>
    <s v="N"/>
    <n v="-11"/>
    <n v="0"/>
    <x v="9"/>
    <s v="VALIDATED"/>
    <n v="1"/>
    <s v="01.11.80.307.2013.0000"/>
    <n v="-11"/>
    <s v="11"/>
    <s v="2013"/>
    <n v="14387.73"/>
    <n v="-11"/>
    <s v="CREDITOR"/>
    <n v="0"/>
    <n v="0"/>
    <n v="-11"/>
    <n v="0"/>
    <n v="0"/>
  </r>
  <r>
    <n v="61069071"/>
    <s v="N"/>
    <n v="21346525"/>
    <s v="3000015259830003RC"/>
    <s v="CIVIL"/>
    <d v="2023-06-28T00:00:00"/>
    <d v="2023-07-07T19:34:21"/>
    <m/>
    <d v="2023-07-07T00:00:00"/>
    <n v="2001"/>
    <n v="8025"/>
    <s v="61069071"/>
    <s v="61069071"/>
    <m/>
    <m/>
    <m/>
    <m/>
    <m/>
    <m/>
    <s v="SOLRECOUP"/>
    <s v="SOLRECOUP"/>
    <s v="POARECOUP"/>
    <n v="21346525"/>
    <n v="-14"/>
    <m/>
    <s v="Y"/>
    <n v="2"/>
    <d v="2023-07-07T19:34:23"/>
    <s v="N"/>
    <m/>
    <m/>
    <s v="Non Expert Disbursement"/>
    <m/>
    <s v="N"/>
    <n v="0"/>
    <n v="0"/>
    <x v="9"/>
    <s v="VALIDATED"/>
    <n v="1"/>
    <s v="01.11.80.000.0000.0000"/>
    <n v="0"/>
    <s v="11"/>
    <s v="0000"/>
    <n v="14387.73"/>
    <n v="0"/>
    <s v="CREDITOR"/>
    <n v="0"/>
    <n v="0"/>
    <n v="0"/>
    <n v="0"/>
    <n v="0"/>
  </r>
  <r>
    <n v="61069071"/>
    <s v="N"/>
    <n v="21346525"/>
    <s v="3000015259830003RC"/>
    <s v="CIVIL"/>
    <d v="2023-06-28T00:00:00"/>
    <d v="2023-07-07T19:34:21"/>
    <m/>
    <d v="2023-07-07T00:00:00"/>
    <n v="2001"/>
    <n v="8025"/>
    <s v="61069071"/>
    <s v="61069071"/>
    <m/>
    <m/>
    <m/>
    <m/>
    <m/>
    <m/>
    <s v="SOLRECOUP"/>
    <s v="SOLRECOUP"/>
    <s v="POARECOUP"/>
    <n v="21346525"/>
    <n v="-14"/>
    <m/>
    <s v="Y"/>
    <n v="1"/>
    <d v="2023-07-07T19:34:23"/>
    <s v="N"/>
    <m/>
    <m/>
    <s v="Non Expert Disbursement"/>
    <m/>
    <s v="N"/>
    <n v="-14"/>
    <n v="0"/>
    <x v="9"/>
    <s v="VALIDATED"/>
    <n v="1"/>
    <s v="01.11.80.307.2013.0000"/>
    <n v="-14"/>
    <s v="11"/>
    <s v="2013"/>
    <n v="14387.73"/>
    <n v="-14"/>
    <s v="CREDITOR"/>
    <n v="0"/>
    <n v="0"/>
    <n v="-14"/>
    <n v="0"/>
    <n v="0"/>
  </r>
  <r>
    <n v="61069071"/>
    <s v="N"/>
    <n v="21346526"/>
    <s v="3000015259830004RC"/>
    <s v="CIVIL"/>
    <d v="2023-06-28T00:00:00"/>
    <d v="2023-07-07T19:34:21"/>
    <m/>
    <d v="2023-07-07T00:00:00"/>
    <n v="2001"/>
    <n v="8025"/>
    <s v="61069071"/>
    <s v="61069071"/>
    <m/>
    <m/>
    <m/>
    <m/>
    <m/>
    <m/>
    <s v="SOLRECOUP"/>
    <s v="SOLRECOUP"/>
    <s v="POARECOUP"/>
    <n v="21346526"/>
    <n v="-960"/>
    <m/>
    <s v="Y"/>
    <n v="2"/>
    <d v="2023-07-07T19:34:23"/>
    <s v="N"/>
    <m/>
    <m/>
    <s v="Profit Cost"/>
    <m/>
    <s v="N"/>
    <n v="0"/>
    <n v="-160"/>
    <x v="9"/>
    <s v="VALIDATED"/>
    <n v="1"/>
    <s v="01.11.80.307.2013.0000"/>
    <n v="-160"/>
    <s v="11"/>
    <s v="2013"/>
    <n v="14387.73"/>
    <n v="-160"/>
    <s v="CREDITOR"/>
    <n v="0"/>
    <n v="0"/>
    <n v="-160"/>
    <n v="-40"/>
    <n v="0"/>
  </r>
  <r>
    <n v="61069071"/>
    <s v="N"/>
    <n v="21346526"/>
    <s v="3000015259830004RC"/>
    <s v="CIVIL"/>
    <d v="2023-06-28T00:00:00"/>
    <d v="2023-07-07T19:34:21"/>
    <m/>
    <d v="2023-07-07T00:00:00"/>
    <n v="2001"/>
    <n v="8025"/>
    <s v="61069071"/>
    <s v="61069071"/>
    <m/>
    <m/>
    <m/>
    <m/>
    <m/>
    <m/>
    <s v="SOLRECOUP"/>
    <s v="SOLRECOUP"/>
    <s v="POARECOUP"/>
    <n v="21346526"/>
    <n v="-960"/>
    <m/>
    <s v="Y"/>
    <n v="1"/>
    <d v="2023-07-07T19:34:23"/>
    <s v="N"/>
    <m/>
    <m/>
    <s v="Profit Cost"/>
    <m/>
    <s v="N"/>
    <n v="-800"/>
    <n v="0"/>
    <x v="9"/>
    <s v="VALIDATED"/>
    <n v="1"/>
    <s v="01.11.80.307.2013.0000"/>
    <n v="-800"/>
    <s v="11"/>
    <s v="2013"/>
    <n v="14387.73"/>
    <n v="-800"/>
    <s v="CREDITOR"/>
    <n v="0"/>
    <n v="0"/>
    <n v="-800"/>
    <n v="-200"/>
    <n v="0"/>
  </r>
  <r>
    <n v="60650911"/>
    <s v="N"/>
    <n v="21346527"/>
    <s v="3000014905280008RC"/>
    <s v="CIVIL"/>
    <d v="2023-06-28T00:00:00"/>
    <d v="2023-07-07T19:34:21"/>
    <m/>
    <d v="2023-07-07T00:00:00"/>
    <n v="2001"/>
    <n v="8025"/>
    <s v="60650911"/>
    <s v="60650911"/>
    <m/>
    <m/>
    <m/>
    <m/>
    <m/>
    <m/>
    <s v="SOLRECOUP"/>
    <s v="SOLRECOUP"/>
    <s v="POARECOUP"/>
    <n v="21346527"/>
    <n v="-877.1900000000001"/>
    <m/>
    <s v="Y"/>
    <n v="1"/>
    <d v="2023-07-07T19:34:23"/>
    <s v="N"/>
    <m/>
    <m/>
    <s v="Profit Cost"/>
    <m/>
    <s v="N"/>
    <n v="-730.99"/>
    <n v="0"/>
    <x v="9"/>
    <s v="VALIDATED"/>
    <n v="1"/>
    <s v="01.11.80.308.2013.0000"/>
    <n v="-730.99"/>
    <s v="11"/>
    <s v="2013"/>
    <n v="14387.73"/>
    <n v="-730.99"/>
    <s v="CREDITOR"/>
    <n v="0"/>
    <n v="0"/>
    <n v="-730.99"/>
    <n v="-182.7475"/>
    <n v="0"/>
  </r>
  <r>
    <n v="60650911"/>
    <s v="N"/>
    <n v="21346527"/>
    <s v="3000014905280008RC"/>
    <s v="CIVIL"/>
    <d v="2023-06-28T00:00:00"/>
    <d v="2023-07-07T19:34:21"/>
    <m/>
    <d v="2023-07-07T00:00:00"/>
    <n v="2001"/>
    <n v="8025"/>
    <s v="60650911"/>
    <s v="60650911"/>
    <m/>
    <m/>
    <m/>
    <m/>
    <m/>
    <m/>
    <s v="SOLRECOUP"/>
    <s v="SOLRECOUP"/>
    <s v="POARECOUP"/>
    <n v="21346527"/>
    <n v="-877.1900000000001"/>
    <m/>
    <s v="Y"/>
    <n v="2"/>
    <d v="2023-07-07T19:34:23"/>
    <s v="N"/>
    <m/>
    <m/>
    <s v="Profit Cost"/>
    <m/>
    <s v="N"/>
    <n v="0"/>
    <n v="-146.2"/>
    <x v="9"/>
    <s v="VALIDATED"/>
    <n v="1"/>
    <s v="01.11.80.308.2013.0000"/>
    <n v="-146.2"/>
    <s v="11"/>
    <s v="2013"/>
    <n v="14387.73"/>
    <n v="-146.2"/>
    <s v="CREDITOR"/>
    <n v="0"/>
    <n v="0"/>
    <n v="-146.2"/>
    <n v="-36.55"/>
    <n v="0"/>
  </r>
  <r>
    <n v="60650911"/>
    <s v="N"/>
    <n v="21346528"/>
    <s v="3000014905280010RC"/>
    <s v="CIVIL"/>
    <d v="2023-06-28T00:00:00"/>
    <d v="2023-07-07T19:34:21"/>
    <m/>
    <d v="2023-07-07T00:00:00"/>
    <n v="2001"/>
    <n v="8025"/>
    <s v="60650911"/>
    <s v="60650911"/>
    <m/>
    <m/>
    <m/>
    <m/>
    <m/>
    <m/>
    <s v="SOLRECOUP"/>
    <s v="SOLRECOUP"/>
    <s v="POARECOUP"/>
    <n v="21346528"/>
    <n v="-904.09"/>
    <m/>
    <s v="Y"/>
    <n v="1"/>
    <d v="2023-07-07T19:34:23"/>
    <s v="N"/>
    <m/>
    <m/>
    <s v="Profit Cost"/>
    <m/>
    <s v="N"/>
    <n v="-753.41"/>
    <n v="0"/>
    <x v="9"/>
    <s v="VALIDATED"/>
    <n v="1"/>
    <s v="01.11.80.308.2013.0000"/>
    <n v="-753.41"/>
    <s v="11"/>
    <s v="2013"/>
    <n v="14387.73"/>
    <n v="-753.41"/>
    <s v="CREDITOR"/>
    <n v="0"/>
    <n v="0"/>
    <n v="-753.41"/>
    <n v="-188.3525"/>
    <n v="0"/>
  </r>
  <r>
    <n v="60650911"/>
    <s v="N"/>
    <n v="21346528"/>
    <s v="3000014905280010RC"/>
    <s v="CIVIL"/>
    <d v="2023-06-28T00:00:00"/>
    <d v="2023-07-07T19:34:21"/>
    <m/>
    <d v="2023-07-07T00:00:00"/>
    <n v="2001"/>
    <n v="8025"/>
    <s v="60650911"/>
    <s v="60650911"/>
    <m/>
    <m/>
    <m/>
    <m/>
    <m/>
    <m/>
    <s v="SOLRECOUP"/>
    <s v="SOLRECOUP"/>
    <s v="POARECOUP"/>
    <n v="21346528"/>
    <n v="-904.09"/>
    <m/>
    <s v="Y"/>
    <n v="2"/>
    <d v="2023-07-07T19:34:23"/>
    <s v="N"/>
    <m/>
    <m/>
    <s v="Profit Cost"/>
    <m/>
    <s v="N"/>
    <n v="0"/>
    <n v="-150.68"/>
    <x v="9"/>
    <s v="VALIDATED"/>
    <n v="1"/>
    <s v="01.11.80.308.2013.0000"/>
    <n v="-150.68"/>
    <s v="11"/>
    <s v="2013"/>
    <n v="14387.73"/>
    <n v="-150.68"/>
    <s v="CREDITOR"/>
    <n v="0"/>
    <n v="0"/>
    <n v="-150.68"/>
    <n v="-37.67"/>
    <n v="0"/>
  </r>
  <r>
    <n v="61069071"/>
    <s v="N"/>
    <n v="21346523"/>
    <s v="3000015259830001RC"/>
    <s v="CIVIL"/>
    <d v="2023-06-28T00:00:00"/>
    <d v="2023-07-07T19:34:21"/>
    <m/>
    <d v="2023-07-07T00:00:00"/>
    <n v="2001"/>
    <n v="8025"/>
    <s v="61069071"/>
    <s v="61069071"/>
    <m/>
    <m/>
    <m/>
    <m/>
    <m/>
    <m/>
    <s v="SOLRECOUP"/>
    <s v="SOLRECOUP"/>
    <s v="POARECOUP"/>
    <n v="21346523"/>
    <n v="-11"/>
    <m/>
    <s v="Y"/>
    <n v="1"/>
    <d v="2023-07-07T19:34:23"/>
    <s v="N"/>
    <m/>
    <m/>
    <s v="Non Expert Disbursement"/>
    <m/>
    <s v="N"/>
    <n v="-11"/>
    <n v="0"/>
    <x v="9"/>
    <s v="VALIDATED"/>
    <n v="1"/>
    <s v="01.11.80.307.2013.0000"/>
    <n v="-11"/>
    <s v="11"/>
    <s v="2013"/>
    <n v="14387.73"/>
    <n v="-11"/>
    <s v="CREDITOR"/>
    <n v="0"/>
    <n v="0"/>
    <n v="-11"/>
    <n v="0"/>
    <n v="0"/>
  </r>
  <r>
    <n v="60816284"/>
    <s v="N"/>
    <n v="21340114"/>
    <s v="3000015049370007RC"/>
    <s v="CIVIL"/>
    <d v="2023-06-27T00:00:00"/>
    <d v="2023-07-06T19:54:22"/>
    <m/>
    <d v="2023-07-06T00:00:00"/>
    <n v="2001"/>
    <n v="8025"/>
    <s v="60816284"/>
    <s v="60816284"/>
    <m/>
    <m/>
    <m/>
    <m/>
    <m/>
    <m/>
    <s v="SOLRECOUP"/>
    <s v="SOLRECOUP"/>
    <s v="POARECOUP"/>
    <n v="21340114"/>
    <n v="-240"/>
    <m/>
    <s v="Y"/>
    <n v="2"/>
    <d v="2023-07-06T19:54:23"/>
    <s v="N"/>
    <m/>
    <m/>
    <s v="Profit Cost"/>
    <m/>
    <s v="N"/>
    <n v="0"/>
    <n v="-40"/>
    <x v="4"/>
    <s v="VALIDATED"/>
    <n v="1"/>
    <s v="01.11.80.308.2013.0000"/>
    <n v="-40"/>
    <s v="11"/>
    <s v="2013"/>
    <n v="14387.73"/>
    <n v="-40"/>
    <s v="CREDITOR"/>
    <n v="0"/>
    <n v="0"/>
    <n v="-40"/>
    <n v="-10"/>
    <n v="0"/>
  </r>
  <r>
    <n v="60816284"/>
    <s v="N"/>
    <n v="21340106"/>
    <s v="3000015049370001RC"/>
    <s v="CIVIL"/>
    <d v="2023-06-27T00:00:00"/>
    <d v="2023-07-06T19:54:22"/>
    <m/>
    <d v="2023-07-06T00:00:00"/>
    <n v="2001"/>
    <n v="8025"/>
    <s v="60816284"/>
    <s v="60816284"/>
    <m/>
    <m/>
    <m/>
    <m/>
    <m/>
    <m/>
    <s v="SOLRECOUP"/>
    <s v="SOLRECOUP"/>
    <s v="POARECOUP"/>
    <n v="21340106"/>
    <n v="-2532.48"/>
    <m/>
    <s v="Y"/>
    <n v="1"/>
    <d v="2023-07-06T19:54:23"/>
    <s v="N"/>
    <m/>
    <m/>
    <s v="Profit Cost"/>
    <m/>
    <s v="N"/>
    <n v="-2110.4"/>
    <n v="0"/>
    <x v="4"/>
    <s v="VALIDATED"/>
    <n v="1"/>
    <s v="01.11.80.308.2013.0000"/>
    <n v="-2110.4"/>
    <s v="11"/>
    <s v="2013"/>
    <n v="14387.73"/>
    <n v="-2110.4"/>
    <s v="CREDITOR"/>
    <n v="0"/>
    <n v="0"/>
    <n v="-2110.4"/>
    <n v="-527.6"/>
    <n v="0"/>
  </r>
  <r>
    <n v="60816284"/>
    <s v="N"/>
    <n v="21340106"/>
    <s v="3000015049370001RC"/>
    <s v="CIVIL"/>
    <d v="2023-06-27T00:00:00"/>
    <d v="2023-07-06T19:54:22"/>
    <m/>
    <d v="2023-07-06T00:00:00"/>
    <n v="2001"/>
    <n v="8025"/>
    <s v="60816284"/>
    <s v="60816284"/>
    <m/>
    <m/>
    <m/>
    <m/>
    <m/>
    <m/>
    <s v="SOLRECOUP"/>
    <s v="SOLRECOUP"/>
    <s v="POARECOUP"/>
    <n v="21340106"/>
    <n v="-2532.48"/>
    <m/>
    <s v="Y"/>
    <n v="2"/>
    <d v="2023-07-06T19:54:23"/>
    <s v="N"/>
    <m/>
    <m/>
    <s v="Profit Cost"/>
    <m/>
    <s v="N"/>
    <n v="0"/>
    <n v="-422.08"/>
    <x v="4"/>
    <s v="VALIDATED"/>
    <n v="1"/>
    <s v="01.11.80.308.2013.0000"/>
    <n v="-422.08"/>
    <s v="11"/>
    <s v="2013"/>
    <n v="14387.73"/>
    <n v="-422.08"/>
    <s v="CREDITOR"/>
    <n v="0"/>
    <n v="0"/>
    <n v="-422.08"/>
    <n v="-105.52"/>
    <n v="0"/>
  </r>
  <r>
    <n v="60816284"/>
    <s v="N"/>
    <n v="21340107"/>
    <s v="3000015049370002RC"/>
    <s v="CIVIL"/>
    <d v="2023-06-27T00:00:00"/>
    <d v="2023-07-06T19:54:22"/>
    <m/>
    <d v="2023-07-06T00:00:00"/>
    <n v="2001"/>
    <n v="8025"/>
    <s v="60816284"/>
    <s v="60816284"/>
    <m/>
    <m/>
    <m/>
    <m/>
    <m/>
    <m/>
    <s v="SOLRECOUP"/>
    <s v="SOLRECOUP"/>
    <s v="POARECOUP"/>
    <n v="21340107"/>
    <n v="-390.6"/>
    <m/>
    <s v="Y"/>
    <n v="1"/>
    <d v="2023-07-06T19:54:23"/>
    <s v="N"/>
    <m/>
    <m/>
    <s v="Expert Disbursement"/>
    <m/>
    <s v="N"/>
    <n v="-325.5"/>
    <n v="0"/>
    <x v="4"/>
    <s v="VALIDATED"/>
    <n v="1"/>
    <s v="01.11.80.308.2013.0000"/>
    <n v="-325.5"/>
    <s v="11"/>
    <s v="2013"/>
    <n v="14387.73"/>
    <n v="-325.5"/>
    <s v="CREDITOR"/>
    <n v="0"/>
    <n v="0"/>
    <n v="-325.5"/>
    <n v="0"/>
    <n v="0"/>
  </r>
  <r>
    <n v="60816284"/>
    <s v="N"/>
    <n v="21340107"/>
    <s v="3000015049370002RC"/>
    <s v="CIVIL"/>
    <d v="2023-06-27T00:00:00"/>
    <d v="2023-07-06T19:54:22"/>
    <m/>
    <d v="2023-07-06T00:00:00"/>
    <n v="2001"/>
    <n v="8025"/>
    <s v="60816284"/>
    <s v="60816284"/>
    <m/>
    <m/>
    <m/>
    <m/>
    <m/>
    <m/>
    <s v="SOLRECOUP"/>
    <s v="SOLRECOUP"/>
    <s v="POARECOUP"/>
    <n v="21340107"/>
    <n v="-390.6"/>
    <m/>
    <s v="Y"/>
    <n v="2"/>
    <d v="2023-07-06T19:54:23"/>
    <s v="N"/>
    <m/>
    <m/>
    <s v="Expert Disbursement"/>
    <m/>
    <s v="N"/>
    <n v="0"/>
    <n v="-65.09999999999999"/>
    <x v="4"/>
    <s v="VALIDATED"/>
    <n v="1"/>
    <s v="01.11.80.308.2013.0000"/>
    <n v="-65.09999999999999"/>
    <s v="11"/>
    <s v="2013"/>
    <n v="14387.73"/>
    <n v="-65.09999999999999"/>
    <s v="CREDITOR"/>
    <n v="0"/>
    <n v="0"/>
    <n v="-65.09999999999999"/>
    <n v="0"/>
    <n v="0"/>
  </r>
  <r>
    <n v="60816284"/>
    <s v="N"/>
    <n v="21340108"/>
    <s v="3000015049370004RC"/>
    <s v="CIVIL"/>
    <d v="2023-06-27T00:00:00"/>
    <d v="2023-07-06T19:54:22"/>
    <m/>
    <d v="2023-07-06T00:00:00"/>
    <n v="2001"/>
    <n v="8025"/>
    <s v="60816284"/>
    <s v="60816284"/>
    <m/>
    <m/>
    <m/>
    <m/>
    <m/>
    <m/>
    <s v="SOLRECOUP"/>
    <s v="SOLRECOUP"/>
    <s v="POARECOUP"/>
    <n v="21340108"/>
    <n v="-683.95"/>
    <m/>
    <s v="Y"/>
    <n v="1"/>
    <d v="2023-07-06T19:54:23"/>
    <s v="N"/>
    <m/>
    <m/>
    <s v="Expert Disbursement"/>
    <m/>
    <s v="N"/>
    <n v="-569.96"/>
    <n v="0"/>
    <x v="4"/>
    <s v="VALIDATED"/>
    <n v="1"/>
    <s v="01.11.80.308.2013.0000"/>
    <n v="-569.96"/>
    <s v="11"/>
    <s v="2013"/>
    <n v="14387.73"/>
    <n v="-569.96"/>
    <s v="CREDITOR"/>
    <n v="0"/>
    <n v="0"/>
    <n v="-569.96"/>
    <n v="0"/>
    <n v="0"/>
  </r>
  <r>
    <n v="60816284"/>
    <s v="N"/>
    <n v="21340108"/>
    <s v="3000015049370004RC"/>
    <s v="CIVIL"/>
    <d v="2023-06-27T00:00:00"/>
    <d v="2023-07-06T19:54:22"/>
    <m/>
    <d v="2023-07-06T00:00:00"/>
    <n v="2001"/>
    <n v="8025"/>
    <s v="60816284"/>
    <s v="60816284"/>
    <m/>
    <m/>
    <m/>
    <m/>
    <m/>
    <m/>
    <s v="SOLRECOUP"/>
    <s v="SOLRECOUP"/>
    <s v="POARECOUP"/>
    <n v="21340108"/>
    <n v="-683.95"/>
    <m/>
    <s v="Y"/>
    <n v="2"/>
    <d v="2023-07-06T19:54:23"/>
    <s v="N"/>
    <m/>
    <m/>
    <s v="Expert Disbursement"/>
    <m/>
    <s v="N"/>
    <n v="0"/>
    <n v="-113.99"/>
    <x v="4"/>
    <s v="VALIDATED"/>
    <n v="1"/>
    <s v="01.11.80.308.2013.0000"/>
    <n v="-113.99"/>
    <s v="11"/>
    <s v="2013"/>
    <n v="14387.73"/>
    <n v="-113.99"/>
    <s v="CREDITOR"/>
    <n v="0"/>
    <n v="0"/>
    <n v="-113.99"/>
    <n v="0"/>
    <n v="0"/>
  </r>
  <r>
    <n v="61366169"/>
    <s v="N"/>
    <n v="21340109"/>
    <s v="3000015513310006RC"/>
    <s v="CIVIL"/>
    <d v="2023-06-27T00:00:00"/>
    <d v="2023-07-06T19:54:22"/>
    <m/>
    <d v="2023-07-06T00:00:00"/>
    <n v="2001"/>
    <n v="8025"/>
    <s v="61366169"/>
    <s v="61366169"/>
    <m/>
    <m/>
    <m/>
    <m/>
    <m/>
    <m/>
    <s v="SOLRECOUP"/>
    <s v="SOLRECOUP"/>
    <s v="POARECOUP"/>
    <n v="21340109"/>
    <n v="-220.8"/>
    <m/>
    <s v="Y"/>
    <n v="1"/>
    <d v="2023-07-06T19:54:23"/>
    <s v="N"/>
    <m/>
    <m/>
    <s v="Profit Cost"/>
    <m/>
    <s v="N"/>
    <n v="-184"/>
    <n v="0"/>
    <x v="4"/>
    <s v="VALIDATED"/>
    <n v="1"/>
    <s v="01.11.80.308.2013.0000"/>
    <n v="-184"/>
    <s v="11"/>
    <s v="2013"/>
    <n v="14387.73"/>
    <n v="-184"/>
    <s v="CREDITOR"/>
    <n v="0"/>
    <n v="0"/>
    <n v="-184"/>
    <n v="-46"/>
    <n v="0"/>
  </r>
  <r>
    <n v="61366169"/>
    <s v="N"/>
    <n v="21340109"/>
    <s v="3000015513310006RC"/>
    <s v="CIVIL"/>
    <d v="2023-06-27T00:00:00"/>
    <d v="2023-07-06T19:54:22"/>
    <m/>
    <d v="2023-07-06T00:00:00"/>
    <n v="2001"/>
    <n v="8025"/>
    <s v="61366169"/>
    <s v="61366169"/>
    <m/>
    <m/>
    <m/>
    <m/>
    <m/>
    <m/>
    <s v="SOLRECOUP"/>
    <s v="SOLRECOUP"/>
    <s v="POARECOUP"/>
    <n v="21340109"/>
    <n v="-220.8"/>
    <m/>
    <s v="Y"/>
    <n v="2"/>
    <d v="2023-07-06T19:54:23"/>
    <s v="N"/>
    <m/>
    <m/>
    <s v="Profit Cost"/>
    <m/>
    <s v="N"/>
    <n v="0"/>
    <n v="-36.8"/>
    <x v="4"/>
    <s v="VALIDATED"/>
    <n v="1"/>
    <s v="01.11.80.308.2013.0000"/>
    <n v="-36.8"/>
    <s v="11"/>
    <s v="2013"/>
    <n v="14387.73"/>
    <n v="-36.8"/>
    <s v="CREDITOR"/>
    <n v="0"/>
    <n v="0"/>
    <n v="-36.8"/>
    <n v="-9.199999999999999"/>
    <n v="0"/>
  </r>
  <r>
    <n v="61366169"/>
    <s v="N"/>
    <n v="21340110"/>
    <s v="3000015513310003RC"/>
    <s v="CIVIL"/>
    <d v="2023-06-27T00:00:00"/>
    <d v="2023-07-06T19:54:22"/>
    <m/>
    <d v="2023-07-06T00:00:00"/>
    <n v="2001"/>
    <n v="8025"/>
    <s v="61366169"/>
    <s v="61366169"/>
    <m/>
    <m/>
    <m/>
    <m/>
    <m/>
    <m/>
    <s v="SOLRECOUP"/>
    <s v="SOLRECOUP"/>
    <s v="POARECOUP"/>
    <n v="21340110"/>
    <n v="-2227.2"/>
    <m/>
    <s v="Y"/>
    <n v="1"/>
    <d v="2023-07-06T19:54:23"/>
    <s v="N"/>
    <m/>
    <m/>
    <s v="Profit Cost"/>
    <m/>
    <s v="N"/>
    <n v="-1856"/>
    <n v="0"/>
    <x v="4"/>
    <s v="VALIDATED"/>
    <n v="1"/>
    <s v="01.11.80.308.2013.0000"/>
    <n v="-1856"/>
    <s v="11"/>
    <s v="2013"/>
    <n v="14387.73"/>
    <n v="-1856"/>
    <s v="CREDITOR"/>
    <n v="0"/>
    <n v="0"/>
    <n v="-1856"/>
    <n v="-464"/>
    <n v="0"/>
  </r>
  <r>
    <n v="61366169"/>
    <s v="N"/>
    <n v="21340110"/>
    <s v="3000015513310003RC"/>
    <s v="CIVIL"/>
    <d v="2023-06-27T00:00:00"/>
    <d v="2023-07-06T19:54:22"/>
    <m/>
    <d v="2023-07-06T00:00:00"/>
    <n v="2001"/>
    <n v="8025"/>
    <s v="61366169"/>
    <s v="61366169"/>
    <m/>
    <m/>
    <m/>
    <m/>
    <m/>
    <m/>
    <s v="SOLRECOUP"/>
    <s v="SOLRECOUP"/>
    <s v="POARECOUP"/>
    <n v="21340110"/>
    <n v="-2227.2"/>
    <m/>
    <s v="Y"/>
    <n v="2"/>
    <d v="2023-07-06T19:54:23"/>
    <s v="N"/>
    <m/>
    <m/>
    <s v="Profit Cost"/>
    <m/>
    <s v="N"/>
    <n v="0"/>
    <n v="-371.2"/>
    <x v="4"/>
    <s v="VALIDATED"/>
    <n v="1"/>
    <s v="01.11.80.308.2013.0000"/>
    <n v="-371.2"/>
    <s v="11"/>
    <s v="2013"/>
    <n v="14387.73"/>
    <n v="-371.2"/>
    <s v="CREDITOR"/>
    <n v="0"/>
    <n v="0"/>
    <n v="-371.2"/>
    <n v="-92.8"/>
    <n v="0"/>
  </r>
  <r>
    <n v="60816284"/>
    <s v="N"/>
    <n v="21340111"/>
    <s v="3000015049370003RC"/>
    <s v="CIVIL"/>
    <d v="2023-06-27T00:00:00"/>
    <d v="2023-07-06T19:54:22"/>
    <m/>
    <d v="2023-07-06T00:00:00"/>
    <n v="2001"/>
    <n v="8025"/>
    <s v="60816284"/>
    <s v="60816284"/>
    <m/>
    <m/>
    <m/>
    <m/>
    <m/>
    <m/>
    <s v="SOLRECOUP"/>
    <s v="SOLRECOUP"/>
    <s v="POARECOUP"/>
    <n v="21340111"/>
    <n v="-311.4"/>
    <m/>
    <s v="Y"/>
    <n v="1"/>
    <d v="2023-07-06T19:54:23"/>
    <s v="N"/>
    <m/>
    <m/>
    <s v="Expert Disbursement"/>
    <m/>
    <s v="N"/>
    <n v="-259.5"/>
    <n v="0"/>
    <x v="4"/>
    <s v="VALIDATED"/>
    <n v="1"/>
    <s v="01.11.80.308.2013.0000"/>
    <n v="-259.5"/>
    <s v="11"/>
    <s v="2013"/>
    <n v="14387.73"/>
    <n v="-259.5"/>
    <s v="CREDITOR"/>
    <n v="0"/>
    <n v="0"/>
    <n v="-259.5"/>
    <n v="0"/>
    <n v="0"/>
  </r>
  <r>
    <n v="60205196"/>
    <s v="N"/>
    <n v="21350151"/>
    <s v="3000014511920019"/>
    <s v="CIVIL"/>
    <d v="2023-06-27T00:00:00"/>
    <d v="2023-07-10T19:01:40"/>
    <m/>
    <d v="2023-07-10T00:00:00"/>
    <n v="2001"/>
    <n v="8025"/>
    <s v="60205196"/>
    <s v="60205196"/>
    <m/>
    <m/>
    <n v="22772812"/>
    <m/>
    <m/>
    <m/>
    <s v="SOLFIN"/>
    <s v="SOLFIN"/>
    <s v="CCMS"/>
    <n v="21350151"/>
    <n v="11333.33"/>
    <m/>
    <s v="N"/>
    <n v="5"/>
    <d v="2023-07-10T19:02:15"/>
    <s v="Y"/>
    <s v="Expert - Other"/>
    <s v="Public Law Children"/>
    <s v="Expert Disbursement"/>
    <s v="DW"/>
    <s v="Y"/>
    <n v="32.4"/>
    <n v="6.48"/>
    <x v="2"/>
    <s v="VALIDATED"/>
    <n v="1"/>
    <s v="01.11.80.308.6300.0000"/>
    <n v="32.4"/>
    <s v="11"/>
    <s v="6300"/>
    <n v="14387.73"/>
    <n v="32.4"/>
    <s v="CREDITOR"/>
    <n v="0"/>
    <n v="0"/>
    <n v="0"/>
    <n v="0"/>
    <n v="32.4"/>
  </r>
  <r>
    <n v="60742219"/>
    <s v="N"/>
    <n v="21349335"/>
    <s v="3000014985080020"/>
    <s v="CIVIL"/>
    <d v="2023-06-29T00:00:00"/>
    <d v="2023-07-10T19:01:40"/>
    <m/>
    <d v="2023-07-10T00:00:00"/>
    <n v="2001"/>
    <n v="8025"/>
    <s v="60742219"/>
    <s v="60742219"/>
    <m/>
    <m/>
    <n v="22789966"/>
    <m/>
    <m/>
    <m/>
    <s v="SOLFIN"/>
    <s v="SOLFIN"/>
    <s v="CCMS"/>
    <n v="21349335"/>
    <n v="5928.57"/>
    <m/>
    <s v="N"/>
    <n v="12"/>
    <d v="2023-07-10T19:01:47"/>
    <s v="Y"/>
    <s v="Expert - Other"/>
    <s v="Public Law Children"/>
    <s v="Expert Disbursement"/>
    <s v="HM"/>
    <s v="Y"/>
    <n v="57.4"/>
    <n v="0"/>
    <x v="2"/>
    <s v="VALIDATED"/>
    <n v="1"/>
    <s v="01.11.80.308.6300.0000"/>
    <n v="57.4"/>
    <s v="11"/>
    <s v="6300"/>
    <n v="14387.73"/>
    <n v="57.4"/>
    <s v="CREDITOR"/>
    <n v="0"/>
    <n v="0"/>
    <n v="0"/>
    <n v="0"/>
    <n v="57.4"/>
  </r>
  <r>
    <n v="61069071"/>
    <s v="N"/>
    <n v="21343991"/>
    <s v="3000015259830006"/>
    <s v="CIVIL"/>
    <d v="2023-06-28T00:00:00"/>
    <d v="2023-07-07T19:03:00"/>
    <m/>
    <d v="2023-07-07T00:00:00"/>
    <n v="2001"/>
    <n v="8025"/>
    <s v="61069071"/>
    <s v="61069071"/>
    <m/>
    <m/>
    <n v="22783130"/>
    <m/>
    <m/>
    <m/>
    <s v="SOLFIN"/>
    <s v="SOLFIN"/>
    <s v="CCMS"/>
    <n v="21343991"/>
    <n v="2622.78"/>
    <m/>
    <s v="N"/>
    <n v="12"/>
    <d v="2023-07-07T19:03:19"/>
    <s v="Y"/>
    <s v="Preparation - other"/>
    <s v="Prescribed Hourly Rates"/>
    <s v="Profit Cost"/>
    <s v="HM"/>
    <s v="Y"/>
    <n v="6.31"/>
    <n v="1.26"/>
    <x v="9"/>
    <s v="VALIDATED"/>
    <n v="1"/>
    <s v="01.11.80.307.6100.0000"/>
    <n v="6.31"/>
    <s v="11"/>
    <s v="6100"/>
    <n v="14387.73"/>
    <n v="6.31"/>
    <s v="CREDITOR"/>
    <n v="0"/>
    <n v="0"/>
    <n v="0"/>
    <n v="0"/>
    <n v="6.31"/>
  </r>
  <r>
    <n v="59912784"/>
    <s v="N"/>
    <n v="21360354"/>
    <s v="3000014267870006"/>
    <s v="CIVIL"/>
    <d v="2023-06-30T00:00:00"/>
    <d v="2023-07-11T11:50:54"/>
    <m/>
    <d v="2023-07-11T00:00:00"/>
    <n v="2001"/>
    <n v="8025"/>
    <s v="59912784"/>
    <s v="59912784"/>
    <m/>
    <m/>
    <n v="22800284"/>
    <m/>
    <m/>
    <m/>
    <s v="SOLFIN"/>
    <s v="SOLFIN"/>
    <s v="CCMS"/>
    <n v="21360354"/>
    <n v="5014.26"/>
    <m/>
    <s v="N"/>
    <n v="13"/>
    <d v="2023-07-11T11:51:03"/>
    <s v="Y"/>
    <s v="Hearing Unit 2.31 - 5.00 Hours"/>
    <s v="Private Law Children"/>
    <s v="Advocacy"/>
    <s v="CA"/>
    <s v="Y"/>
    <n v="344.8"/>
    <n v="68.95999999999999"/>
    <x v="7"/>
    <s v="VALIDATED"/>
    <n v="1"/>
    <s v="01.11.80.307.6100.0000"/>
    <n v="344.8"/>
    <s v="11"/>
    <s v="6100"/>
    <n v="14387.73"/>
    <n v="344.8"/>
    <s v="CREDITOR"/>
    <n v="0"/>
    <n v="0"/>
    <n v="0"/>
    <n v="0"/>
    <n v="344.8"/>
  </r>
  <r>
    <n v="60125579"/>
    <s v="N"/>
    <n v="21350115"/>
    <s v="3000014453780007"/>
    <s v="CIVIL"/>
    <d v="2023-06-27T00:00:00"/>
    <d v="2023-07-10T19:01:40"/>
    <m/>
    <d v="2023-07-10T00:00:00"/>
    <n v="2001"/>
    <n v="8025"/>
    <s v="60125579"/>
    <s v="60125579"/>
    <m/>
    <m/>
    <n v="22772710"/>
    <m/>
    <m/>
    <m/>
    <s v="SOLFIN"/>
    <s v="SOLFIN"/>
    <s v="CCMS"/>
    <n v="21350115"/>
    <n v="9524.85"/>
    <m/>
    <s v="N"/>
    <n v="5"/>
    <d v="2023-07-10T19:02:14"/>
    <s v="Y"/>
    <s v="Hearing Unit 1.01 - 2.30 Hours"/>
    <s v="Public Law Children"/>
    <s v="Advocacy"/>
    <s v="DW"/>
    <s v="Y"/>
    <n v="238.46"/>
    <n v="47.69"/>
    <x v="2"/>
    <s v="VALIDATED"/>
    <n v="1"/>
    <s v="01.11.80.308.6100.0000"/>
    <n v="238.46"/>
    <s v="11"/>
    <s v="6100"/>
    <n v="14387.73"/>
    <n v="238.46"/>
    <s v="CREDITOR"/>
    <n v="0"/>
    <n v="0"/>
    <n v="0"/>
    <n v="0"/>
    <n v="238.46"/>
  </r>
  <r>
    <n v="61782434"/>
    <s v="N"/>
    <n v="21330609"/>
    <s v="3000015858760003"/>
    <s v="CIVIL"/>
    <d v="2023-06-28T00:00:00"/>
    <d v="2023-07-05T19:01:47"/>
    <m/>
    <d v="2023-07-05T00:00:00"/>
    <n v="2001"/>
    <n v="8025"/>
    <s v="61782434"/>
    <s v="61782434"/>
    <m/>
    <m/>
    <n v="22779158"/>
    <m/>
    <m/>
    <m/>
    <s v="SOLFIN"/>
    <s v="SOLFIN"/>
    <s v="CCMS"/>
    <n v="21330609"/>
    <n v="3887.91"/>
    <m/>
    <s v="N"/>
    <n v="1"/>
    <d v="2023-07-05T19:01:51"/>
    <s v="Y"/>
    <s v="Final Hearing Court Bundle/Advocate"/>
    <s v="Public Law Children"/>
    <s v="Advocacy"/>
    <s v="HW"/>
    <s v="Y"/>
    <n v="159.3"/>
    <n v="31.86"/>
    <x v="6"/>
    <s v="VALIDATED"/>
    <n v="1"/>
    <s v="01.11.80.308.6100.0000"/>
    <n v="159.3"/>
    <s v="11"/>
    <s v="6100"/>
    <n v="14387.73"/>
    <n v="159.3"/>
    <s v="CREDITOR"/>
    <n v="0"/>
    <n v="0"/>
    <n v="0"/>
    <n v="0"/>
    <n v="159.3"/>
  </r>
  <r>
    <n v="60205196"/>
    <s v="N"/>
    <n v="21350151"/>
    <s v="3000014511920019"/>
    <s v="CIVIL"/>
    <d v="2023-06-27T00:00:00"/>
    <d v="2023-07-10T19:01:40"/>
    <m/>
    <d v="2023-07-10T00:00:00"/>
    <n v="2001"/>
    <n v="8025"/>
    <s v="60205196"/>
    <s v="60205196"/>
    <m/>
    <m/>
    <n v="22772812"/>
    <m/>
    <m/>
    <m/>
    <s v="SOLFIN"/>
    <s v="SOLFIN"/>
    <s v="CCMS"/>
    <n v="21350151"/>
    <n v="11333.33"/>
    <m/>
    <s v="N"/>
    <n v="11"/>
    <d v="2023-07-10T19:02:15"/>
    <s v="Y"/>
    <s v="Paediatrician"/>
    <s v="Public Law Children"/>
    <s v="Expert Disbursement"/>
    <s v="DW"/>
    <s v="Y"/>
    <n v="405"/>
    <n v="81"/>
    <x v="2"/>
    <s v="VALIDATED"/>
    <n v="1"/>
    <s v="01.11.80.308.6300.0000"/>
    <n v="405"/>
    <s v="11"/>
    <s v="6300"/>
    <n v="14387.73"/>
    <n v="405"/>
    <s v="CREDITOR"/>
    <n v="0"/>
    <n v="0"/>
    <n v="0"/>
    <n v="0"/>
    <n v="405"/>
  </r>
  <r>
    <n v="61069071"/>
    <s v="N"/>
    <n v="21343991"/>
    <s v="3000015259830006"/>
    <s v="CIVIL"/>
    <d v="2023-06-28T00:00:00"/>
    <d v="2023-07-07T19:03:00"/>
    <m/>
    <d v="2023-07-07T00:00:00"/>
    <n v="2001"/>
    <n v="8025"/>
    <s v="61069071"/>
    <s v="61069071"/>
    <m/>
    <m/>
    <n v="22783130"/>
    <m/>
    <m/>
    <m/>
    <s v="SOLFIN"/>
    <s v="SOLFIN"/>
    <s v="CCMS"/>
    <n v="21343991"/>
    <n v="2622.78"/>
    <m/>
    <s v="N"/>
    <n v="62"/>
    <d v="2023-07-07T19:03:19"/>
    <s v="Y"/>
    <s v="Preparation - other"/>
    <s v="Prescribed Hourly Rates"/>
    <s v="Profit Cost"/>
    <s v="HM"/>
    <s v="Y"/>
    <n v="41.18"/>
    <n v="8.24"/>
    <x v="9"/>
    <s v="VALIDATED"/>
    <n v="1"/>
    <s v="01.11.80.307.6100.0000"/>
    <n v="41.18"/>
    <s v="11"/>
    <s v="6100"/>
    <n v="14387.73"/>
    <n v="41.18"/>
    <s v="CREDITOR"/>
    <n v="0"/>
    <n v="0"/>
    <n v="0"/>
    <n v="0"/>
    <n v="41.18"/>
  </r>
  <r>
    <n v="61069071"/>
    <s v="N"/>
    <n v="21343991"/>
    <s v="3000015259830006"/>
    <s v="CIVIL"/>
    <d v="2023-06-28T00:00:00"/>
    <d v="2023-07-07T19:03:00"/>
    <m/>
    <d v="2023-07-07T00:00:00"/>
    <n v="2001"/>
    <n v="8025"/>
    <s v="61069071"/>
    <s v="61069071"/>
    <m/>
    <m/>
    <n v="22783130"/>
    <m/>
    <m/>
    <m/>
    <s v="SOLFIN"/>
    <s v="SOLFIN"/>
    <s v="CCMS"/>
    <n v="21343991"/>
    <n v="2622.78"/>
    <m/>
    <s v="N"/>
    <n v="4"/>
    <d v="2023-07-07T19:03:19"/>
    <s v="Y"/>
    <s v="Preparation - other"/>
    <s v="Prescribed Hourly Rates"/>
    <s v="Profit Cost"/>
    <s v="HM"/>
    <s v="Y"/>
    <n v="65.88"/>
    <n v="13.18"/>
    <x v="9"/>
    <s v="VALIDATED"/>
    <n v="1"/>
    <s v="01.11.80.307.6100.0000"/>
    <n v="65.88"/>
    <s v="11"/>
    <s v="6100"/>
    <n v="14387.73"/>
    <n v="65.88"/>
    <s v="CREDITOR"/>
    <n v="0"/>
    <n v="0"/>
    <n v="0"/>
    <n v="0"/>
    <n v="65.88"/>
  </r>
  <r>
    <n v="59912784"/>
    <s v="N"/>
    <n v="21360354"/>
    <s v="3000014267870006"/>
    <s v="CIVIL"/>
    <d v="2023-06-30T00:00:00"/>
    <d v="2023-07-11T11:50:54"/>
    <m/>
    <d v="2023-07-11T00:00:00"/>
    <n v="2001"/>
    <n v="8025"/>
    <s v="59912784"/>
    <s v="59912784"/>
    <m/>
    <m/>
    <n v="22800284"/>
    <m/>
    <m/>
    <m/>
    <s v="SOLFIN"/>
    <s v="SOLFIN"/>
    <s v="CCMS"/>
    <n v="21360354"/>
    <n v="5014.26"/>
    <m/>
    <s v="N"/>
    <n v="2"/>
    <d v="2023-07-11T11:51:03"/>
    <s v="Y"/>
    <s v="Exceptional Travel"/>
    <s v="Private Law Children"/>
    <s v="Advocacy"/>
    <s v="CA"/>
    <s v="Y"/>
    <n v="32.04"/>
    <n v="6.41"/>
    <x v="7"/>
    <s v="VALIDATED"/>
    <n v="1"/>
    <s v="01.11.80.307.6100.0000"/>
    <n v="32.04"/>
    <s v="11"/>
    <s v="6100"/>
    <n v="14387.73"/>
    <n v="32.04"/>
    <s v="CREDITOR"/>
    <n v="0"/>
    <n v="0"/>
    <n v="0"/>
    <n v="0"/>
    <n v="32.04"/>
  </r>
  <r>
    <n v="60742219"/>
    <s v="N"/>
    <n v="21349335"/>
    <s v="3000014985080020"/>
    <s v="CIVIL"/>
    <d v="2023-06-29T00:00:00"/>
    <d v="2023-07-10T19:01:40"/>
    <m/>
    <d v="2023-07-10T00:00:00"/>
    <n v="2001"/>
    <n v="8025"/>
    <s v="60742219"/>
    <s v="60742219"/>
    <m/>
    <m/>
    <n v="22789966"/>
    <m/>
    <m/>
    <m/>
    <s v="SOLFIN"/>
    <s v="SOLFIN"/>
    <s v="CCMS"/>
    <n v="21349335"/>
    <n v="5928.57"/>
    <m/>
    <s v="N"/>
    <n v="14"/>
    <d v="2023-07-10T19:01:47"/>
    <s v="Y"/>
    <s v="Expert - Other"/>
    <s v="Public Law Children"/>
    <s v="Expert Disbursement"/>
    <s v="HM"/>
    <s v="Y"/>
    <n v="136.7"/>
    <n v="0"/>
    <x v="2"/>
    <s v="VALIDATED"/>
    <n v="1"/>
    <s v="01.11.80.308.6300.0000"/>
    <n v="136.7"/>
    <s v="11"/>
    <s v="6300"/>
    <n v="14387.73"/>
    <n v="136.7"/>
    <s v="CREDITOR"/>
    <n v="0"/>
    <n v="0"/>
    <n v="0"/>
    <n v="0"/>
    <n v="136.7"/>
  </r>
  <r>
    <n v="60650441"/>
    <s v="N"/>
    <n v="21349931"/>
    <s v="3000014900700006"/>
    <s v="CIVIL"/>
    <d v="2023-06-28T00:00:00"/>
    <d v="2023-07-10T19:01:40"/>
    <m/>
    <d v="2023-07-10T00:00:00"/>
    <n v="2001"/>
    <n v="8025"/>
    <s v="60650441"/>
    <s v="60650441"/>
    <m/>
    <m/>
    <n v="22782816"/>
    <m/>
    <m/>
    <m/>
    <s v="SOLFIN"/>
    <s v="SOLFIN"/>
    <s v="CCMS"/>
    <n v="21349931"/>
    <n v="6058.36"/>
    <m/>
    <s v="N"/>
    <n v="13"/>
    <d v="2023-07-10T19:02:04"/>
    <s v="Y"/>
    <s v="Level 4 Fixed Fee"/>
    <s v="Domestic Abuse"/>
    <s v="Profit Cost"/>
    <s v="LH"/>
    <s v="Y"/>
    <n v="507"/>
    <n v="101.4"/>
    <x v="2"/>
    <s v="VALIDATED"/>
    <n v="1"/>
    <s v="01.11.80.307.6100.0000"/>
    <n v="507"/>
    <s v="11"/>
    <s v="6100"/>
    <n v="14387.73"/>
    <n v="507"/>
    <s v="CREDITOR"/>
    <n v="0"/>
    <n v="0"/>
    <n v="0"/>
    <n v="0"/>
    <n v="507"/>
  </r>
  <r>
    <n v="61069071"/>
    <s v="N"/>
    <n v="21343991"/>
    <s v="3000015259830006"/>
    <s v="CIVIL"/>
    <d v="2023-06-28T00:00:00"/>
    <d v="2023-07-07T19:03:00"/>
    <m/>
    <d v="2023-07-07T00:00:00"/>
    <n v="2001"/>
    <n v="8025"/>
    <s v="61069071"/>
    <s v="61069071"/>
    <m/>
    <m/>
    <n v="22783130"/>
    <m/>
    <m/>
    <m/>
    <s v="SOLFIN"/>
    <s v="SOLFIN"/>
    <s v="CCMS"/>
    <n v="21343991"/>
    <n v="2622.78"/>
    <m/>
    <s v="N"/>
    <n v="7"/>
    <d v="2023-07-07T19:03:19"/>
    <s v="Y"/>
    <s v="Preparation - other"/>
    <s v="Prescribed Hourly Rates"/>
    <s v="Profit Cost"/>
    <s v="HM"/>
    <s v="Y"/>
    <n v="12.63"/>
    <n v="2.53"/>
    <x v="9"/>
    <s v="VALIDATED"/>
    <n v="1"/>
    <s v="01.11.80.307.6100.0000"/>
    <n v="12.63"/>
    <s v="11"/>
    <s v="6100"/>
    <n v="14387.73"/>
    <n v="12.63"/>
    <s v="CREDITOR"/>
    <n v="0"/>
    <n v="0"/>
    <n v="0"/>
    <n v="0"/>
    <n v="12.63"/>
  </r>
  <r>
    <n v="61512225"/>
    <s v="N"/>
    <n v="21321068"/>
    <s v="3000015633830007"/>
    <s v="CIVIL"/>
    <d v="2023-06-28T00:00:00"/>
    <d v="2023-07-03T19:04:52"/>
    <m/>
    <d v="2023-07-03T00:00:00"/>
    <n v="2001"/>
    <n v="8025"/>
    <s v="61512225"/>
    <s v="61512225"/>
    <m/>
    <m/>
    <n v="22779502"/>
    <m/>
    <m/>
    <m/>
    <s v="SOLPOA"/>
    <s v="SOLPOA"/>
    <s v="CCMS"/>
    <n v="21321068"/>
    <n v="825.41"/>
    <m/>
    <s v="N"/>
    <n v="1"/>
    <d v="2023-07-03T19:04:57"/>
    <s v="N"/>
    <s v="Expert Cost"/>
    <s v="Expert Cost"/>
    <s v="Expert Disbursement"/>
    <s v="DW"/>
    <s v="N"/>
    <n v="687.84"/>
    <n v="137.57"/>
    <x v="3"/>
    <s v="VALIDATED"/>
    <n v="1"/>
    <s v="01.11.80.308.2012.0000"/>
    <n v="687.84"/>
    <s v="11"/>
    <s v="2012"/>
    <n v="14387.73"/>
    <n v="687.84"/>
    <s v="CREDITOR"/>
    <n v="687.84"/>
    <n v="0"/>
    <n v="0"/>
    <n v="0"/>
    <n v="0"/>
  </r>
  <r>
    <n v="60816284"/>
    <s v="N"/>
    <n v="21338459"/>
    <s v="3000015049370008"/>
    <s v="CIVIL"/>
    <d v="2023-06-27T00:00:00"/>
    <d v="2023-07-06T19:21:01"/>
    <m/>
    <d v="2023-07-06T00:00:00"/>
    <n v="2001"/>
    <n v="8025"/>
    <s v="60816284"/>
    <s v="60816284"/>
    <m/>
    <m/>
    <n v="22774066"/>
    <m/>
    <m/>
    <m/>
    <s v="SOLFIN"/>
    <s v="SOLFIN"/>
    <s v="CCMS"/>
    <n v="21338459"/>
    <n v="6853.17"/>
    <m/>
    <s v="N"/>
    <n v="3"/>
    <d v="2023-07-06T19:21:25"/>
    <s v="Y"/>
    <s v="Toxicologist"/>
    <s v="Public Law Children"/>
    <s v="Expert Disbursement"/>
    <s v="HM"/>
    <s v="Y"/>
    <n v="259.5"/>
    <n v="51.9"/>
    <x v="4"/>
    <s v="VALIDATED"/>
    <n v="1"/>
    <s v="01.11.80.308.6300.0000"/>
    <n v="259.5"/>
    <s v="11"/>
    <s v="6300"/>
    <n v="14387.73"/>
    <n v="259.5"/>
    <s v="CREDITOR"/>
    <n v="0"/>
    <n v="0"/>
    <n v="0"/>
    <n v="0"/>
    <n v="259.5"/>
  </r>
  <r>
    <n v="60283716"/>
    <s v="N"/>
    <n v="21319514"/>
    <s v="3000014589260010"/>
    <s v="CIVIL"/>
    <d v="2023-06-28T00:00:00"/>
    <d v="2023-07-03T19:04:24"/>
    <m/>
    <d v="2023-07-03T00:00:00"/>
    <n v="2001"/>
    <n v="8025"/>
    <s v="60283716"/>
    <s v="60283716"/>
    <m/>
    <m/>
    <n v="22777566"/>
    <m/>
    <m/>
    <m/>
    <s v="SOLPOA"/>
    <s v="SOLPOA"/>
    <s v="CCMS"/>
    <n v="21319514"/>
    <n v="3456"/>
    <m/>
    <s v="N"/>
    <n v="1"/>
    <d v="2023-07-03T19:04:26"/>
    <s v="N"/>
    <s v="Solicitors Fixed Fee"/>
    <s v="Public Law Children"/>
    <s v="Profit Cost"/>
    <s v="David Williams"/>
    <s v="N"/>
    <n v="2880"/>
    <n v="576"/>
    <x v="3"/>
    <s v="VALIDATED"/>
    <n v="1"/>
    <s v="01.11.80.308.2012.0000"/>
    <n v="2880"/>
    <s v="11"/>
    <s v="2012"/>
    <n v="14387.73"/>
    <n v="2880"/>
    <s v="CREDITOR"/>
    <n v="2880"/>
    <n v="720"/>
    <n v="0"/>
    <n v="0"/>
    <n v="0"/>
  </r>
  <r>
    <n v="61069071"/>
    <s v="N"/>
    <n v="21343991"/>
    <s v="3000015259830006"/>
    <s v="CIVIL"/>
    <d v="2023-06-28T00:00:00"/>
    <d v="2023-07-07T19:03:00"/>
    <m/>
    <d v="2023-07-07T00:00:00"/>
    <n v="2001"/>
    <n v="8025"/>
    <s v="61069071"/>
    <s v="61069071"/>
    <m/>
    <m/>
    <n v="22783130"/>
    <m/>
    <m/>
    <m/>
    <s v="SOLFIN"/>
    <s v="SOLFIN"/>
    <s v="CCMS"/>
    <n v="21343991"/>
    <n v="2622.78"/>
    <m/>
    <s v="N"/>
    <n v="45"/>
    <d v="2023-07-07T19:03:19"/>
    <s v="Y"/>
    <s v="Preparation - other"/>
    <s v="Prescribed Hourly Rates"/>
    <s v="Profit Cost"/>
    <s v="HM"/>
    <s v="Y"/>
    <n v="32.94"/>
    <n v="6.59"/>
    <x v="9"/>
    <s v="VALIDATED"/>
    <n v="1"/>
    <s v="01.11.80.307.6100.0000"/>
    <n v="32.94"/>
    <s v="11"/>
    <s v="6100"/>
    <n v="14387.73"/>
    <n v="32.94"/>
    <s v="CREDITOR"/>
    <n v="0"/>
    <n v="0"/>
    <n v="0"/>
    <n v="0"/>
    <n v="32.94"/>
  </r>
  <r>
    <n v="61069071"/>
    <s v="N"/>
    <n v="21343991"/>
    <s v="3000015259830006"/>
    <s v="CIVIL"/>
    <d v="2023-06-28T00:00:00"/>
    <d v="2023-07-07T19:03:00"/>
    <m/>
    <d v="2023-07-07T00:00:00"/>
    <n v="2001"/>
    <n v="8025"/>
    <s v="61069071"/>
    <s v="61069071"/>
    <m/>
    <m/>
    <n v="22783130"/>
    <m/>
    <m/>
    <m/>
    <s v="SOLFIN"/>
    <s v="SOLFIN"/>
    <s v="CCMS"/>
    <n v="21343991"/>
    <n v="2622.78"/>
    <m/>
    <s v="N"/>
    <n v="39"/>
    <d v="2023-07-07T19:03:19"/>
    <s v="Y"/>
    <s v="Preparation - other"/>
    <s v="Prescribed Hourly Rates"/>
    <s v="Profit Cost"/>
    <s v="HM"/>
    <s v="Y"/>
    <n v="6.31"/>
    <n v="1.26"/>
    <x v="9"/>
    <s v="VALIDATED"/>
    <n v="1"/>
    <s v="01.11.80.307.6100.0000"/>
    <n v="6.31"/>
    <s v="11"/>
    <s v="6100"/>
    <n v="14387.73"/>
    <n v="6.31"/>
    <s v="CREDITOR"/>
    <n v="0"/>
    <n v="0"/>
    <n v="0"/>
    <n v="0"/>
    <n v="6.31"/>
  </r>
  <r>
    <n v="60650911"/>
    <s v="N"/>
    <n v="21343246"/>
    <s v="3000014905280011"/>
    <s v="CIVIL"/>
    <d v="2023-06-28T00:00:00"/>
    <d v="2023-07-07T19:03:00"/>
    <m/>
    <d v="2023-07-07T00:00:00"/>
    <n v="2001"/>
    <n v="8025"/>
    <s v="60650911"/>
    <s v="60650911"/>
    <m/>
    <m/>
    <n v="22779324"/>
    <m/>
    <m/>
    <m/>
    <s v="SOLFIN"/>
    <s v="SOLFIN"/>
    <s v="CCMS"/>
    <n v="21343246"/>
    <n v="2175.21"/>
    <m/>
    <s v="N"/>
    <n v="4"/>
    <d v="2023-07-07T19:03:05"/>
    <s v="Y"/>
    <s v="Solicitors Fixed Fee"/>
    <s v="Public Law Children"/>
    <s v="Profit Cost"/>
    <s v="HM"/>
    <s v="Y"/>
    <n v="955.5"/>
    <n v="191.1"/>
    <x v="9"/>
    <s v="VALIDATED"/>
    <n v="1"/>
    <s v="01.11.80.308.6100.0000"/>
    <n v="955.5"/>
    <s v="11"/>
    <s v="6100"/>
    <n v="14387.73"/>
    <n v="955.5"/>
    <s v="CREDITOR"/>
    <n v="0"/>
    <n v="0"/>
    <n v="0"/>
    <n v="0"/>
    <n v="955.5"/>
  </r>
  <r>
    <n v="60650441"/>
    <s v="N"/>
    <n v="21349931"/>
    <s v="3000014900700006"/>
    <s v="CIVIL"/>
    <d v="2023-06-28T00:00:00"/>
    <d v="2023-07-10T19:01:40"/>
    <m/>
    <d v="2023-07-10T00:00:00"/>
    <n v="2001"/>
    <n v="8025"/>
    <s v="60650441"/>
    <s v="60650441"/>
    <m/>
    <m/>
    <n v="22782816"/>
    <m/>
    <m/>
    <m/>
    <s v="SOLFIN"/>
    <s v="SOLFIN"/>
    <s v="CCMS"/>
    <n v="21349931"/>
    <n v="6058.36"/>
    <m/>
    <s v="N"/>
    <n v="12"/>
    <d v="2023-07-10T19:02:04"/>
    <s v="Y"/>
    <s v="Hearing Unit 1.01 - 2.30 Hours"/>
    <s v="Private Law Children"/>
    <s v="Advocacy"/>
    <s v="CB"/>
    <s v="Y"/>
    <n v="172.4"/>
    <n v="34.48"/>
    <x v="2"/>
    <s v="VALIDATED"/>
    <n v="1"/>
    <s v="01.11.80.307.6100.0000"/>
    <n v="172.4"/>
    <s v="11"/>
    <s v="6100"/>
    <n v="14387.73"/>
    <n v="172.4"/>
    <s v="CREDITOR"/>
    <n v="0"/>
    <n v="0"/>
    <n v="0"/>
    <n v="0"/>
    <n v="172.4"/>
  </r>
  <r>
    <n v="60650441"/>
    <s v="N"/>
    <n v="21349931"/>
    <s v="3000014900700006"/>
    <s v="CIVIL"/>
    <d v="2023-06-28T00:00:00"/>
    <d v="2023-07-10T19:01:40"/>
    <m/>
    <d v="2023-07-10T00:00:00"/>
    <n v="2001"/>
    <n v="8025"/>
    <s v="60650441"/>
    <s v="60650441"/>
    <m/>
    <m/>
    <n v="22782816"/>
    <m/>
    <m/>
    <m/>
    <s v="SOLFIN"/>
    <s v="SOLFIN"/>
    <s v="CCMS"/>
    <n v="21349931"/>
    <n v="6058.36"/>
    <m/>
    <s v="N"/>
    <n v="9"/>
    <d v="2023-07-10T19:02:04"/>
    <s v="Y"/>
    <s v="Hearing Unit 0.00 - 1.00 Hours"/>
    <s v="Private Law Children"/>
    <s v="Advocacy"/>
    <s v="CB"/>
    <s v="Y"/>
    <n v="68.94"/>
    <n v="13.79"/>
    <x v="2"/>
    <s v="VALIDATED"/>
    <n v="1"/>
    <s v="01.11.80.307.6100.0000"/>
    <n v="68.94"/>
    <s v="11"/>
    <s v="6100"/>
    <n v="14387.73"/>
    <n v="68.94"/>
    <s v="CREDITOR"/>
    <n v="0"/>
    <n v="0"/>
    <n v="0"/>
    <n v="0"/>
    <n v="68.94"/>
  </r>
  <r>
    <n v="61069071"/>
    <s v="N"/>
    <n v="21343991"/>
    <s v="3000015259830006"/>
    <s v="CIVIL"/>
    <d v="2023-06-28T00:00:00"/>
    <d v="2023-07-07T19:03:00"/>
    <m/>
    <d v="2023-07-07T00:00:00"/>
    <n v="2001"/>
    <n v="8025"/>
    <s v="61069071"/>
    <s v="61069071"/>
    <m/>
    <m/>
    <n v="22783130"/>
    <m/>
    <m/>
    <m/>
    <s v="SOLFIN"/>
    <s v="SOLFIN"/>
    <s v="CCMS"/>
    <n v="21343991"/>
    <n v="2622.78"/>
    <m/>
    <s v="N"/>
    <n v="21"/>
    <d v="2023-07-07T19:03:19"/>
    <s v="Y"/>
    <s v="Attendance upon other"/>
    <s v="Prescribed Hourly Rates"/>
    <s v="Profit Cost"/>
    <s v="HM"/>
    <s v="Y"/>
    <n v="12.63"/>
    <n v="2.53"/>
    <x v="9"/>
    <s v="VALIDATED"/>
    <n v="1"/>
    <s v="01.11.80.307.6100.0000"/>
    <n v="12.63"/>
    <s v="11"/>
    <s v="6100"/>
    <n v="14387.73"/>
    <n v="12.63"/>
    <s v="CREDITOR"/>
    <n v="0"/>
    <n v="0"/>
    <n v="0"/>
    <n v="0"/>
    <n v="12.63"/>
  </r>
  <r>
    <n v="61069071"/>
    <s v="N"/>
    <n v="21343991"/>
    <s v="3000015259830006"/>
    <s v="CIVIL"/>
    <d v="2023-06-28T00:00:00"/>
    <d v="2023-07-07T19:03:00"/>
    <m/>
    <d v="2023-07-07T00:00:00"/>
    <n v="2001"/>
    <n v="8025"/>
    <s v="61069071"/>
    <s v="61069071"/>
    <m/>
    <m/>
    <n v="22783130"/>
    <m/>
    <m/>
    <m/>
    <s v="SOLFIN"/>
    <s v="SOLFIN"/>
    <s v="CCMS"/>
    <n v="21343991"/>
    <n v="2622.78"/>
    <m/>
    <s v="N"/>
    <n v="24"/>
    <d v="2023-07-07T19:03:19"/>
    <s v="Y"/>
    <s v="Preparation - other"/>
    <s v="Prescribed Hourly Rates"/>
    <s v="Profit Cost"/>
    <s v="HM"/>
    <s v="Y"/>
    <n v="16.47"/>
    <n v="3.29"/>
    <x v="9"/>
    <s v="VALIDATED"/>
    <n v="1"/>
    <s v="01.11.80.307.6100.0000"/>
    <n v="16.47"/>
    <s v="11"/>
    <s v="6100"/>
    <n v="14387.73"/>
    <n v="16.47"/>
    <s v="CREDITOR"/>
    <n v="0"/>
    <n v="0"/>
    <n v="0"/>
    <n v="0"/>
    <n v="16.47"/>
  </r>
  <r>
    <n v="60125579"/>
    <s v="N"/>
    <n v="21350115"/>
    <s v="3000014453780007"/>
    <s v="CIVIL"/>
    <d v="2023-06-27T00:00:00"/>
    <d v="2023-07-10T19:01:40"/>
    <m/>
    <d v="2023-07-10T00:00:00"/>
    <n v="2001"/>
    <n v="8025"/>
    <s v="60125579"/>
    <s v="60125579"/>
    <m/>
    <m/>
    <n v="22772710"/>
    <m/>
    <m/>
    <m/>
    <s v="SOLFIN"/>
    <s v="SOLFIN"/>
    <s v="CCMS"/>
    <n v="21350115"/>
    <n v="9524.85"/>
    <m/>
    <s v="N"/>
    <n v="3"/>
    <d v="2023-07-10T19:02:14"/>
    <s v="Y"/>
    <s v="Advocates Meeting"/>
    <s v="Public Law Children"/>
    <s v="Advocacy"/>
    <s v="DW"/>
    <s v="Y"/>
    <n v="140.99"/>
    <n v="28.2"/>
    <x v="2"/>
    <s v="VALIDATED"/>
    <n v="1"/>
    <s v="01.11.80.308.6100.0000"/>
    <n v="140.99"/>
    <s v="11"/>
    <s v="6100"/>
    <n v="14387.73"/>
    <n v="140.99"/>
    <s v="CREDITOR"/>
    <n v="0"/>
    <n v="0"/>
    <n v="0"/>
    <n v="0"/>
    <n v="140.99"/>
  </r>
  <r>
    <n v="60205196"/>
    <s v="N"/>
    <n v="21350151"/>
    <s v="3000014511920019"/>
    <s v="CIVIL"/>
    <d v="2023-06-27T00:00:00"/>
    <d v="2023-07-10T19:01:40"/>
    <m/>
    <d v="2023-07-10T00:00:00"/>
    <n v="2001"/>
    <n v="8025"/>
    <s v="60205196"/>
    <s v="60205196"/>
    <m/>
    <m/>
    <n v="22772812"/>
    <m/>
    <m/>
    <m/>
    <s v="SOLFIN"/>
    <s v="SOLFIN"/>
    <s v="CCMS"/>
    <n v="21350151"/>
    <n v="11333.33"/>
    <m/>
    <s v="N"/>
    <n v="1"/>
    <d v="2023-07-10T19:02:15"/>
    <s v="Y"/>
    <s v="Final Hearing Court Bundle/Advocate"/>
    <s v="Public Law Children"/>
    <s v="Advocacy"/>
    <s v="DW"/>
    <s v="Y"/>
    <n v="239.4"/>
    <n v="47.88"/>
    <x v="2"/>
    <s v="VALIDATED"/>
    <n v="1"/>
    <s v="01.11.80.308.6100.0000"/>
    <n v="239.4"/>
    <s v="11"/>
    <s v="6100"/>
    <n v="14387.73"/>
    <n v="239.4"/>
    <s v="CREDITOR"/>
    <n v="0"/>
    <n v="0"/>
    <n v="0"/>
    <n v="0"/>
    <n v="239.4"/>
  </r>
  <r>
    <n v="61594514"/>
    <s v="N"/>
    <n v="21363458"/>
    <s v="3000015704010006"/>
    <s v="CIVIL"/>
    <d v="2023-06-28T00:00:00"/>
    <d v="2023-07-12T19:01:49"/>
    <m/>
    <d v="2023-07-12T00:00:00"/>
    <n v="2001"/>
    <n v="8025"/>
    <s v="61594514"/>
    <s v="61594514"/>
    <m/>
    <m/>
    <n v="22780806"/>
    <m/>
    <m/>
    <m/>
    <s v="SOLINT"/>
    <s v="SOLINT"/>
    <s v="CCMS"/>
    <n v="21363458"/>
    <n v="0"/>
    <m/>
    <s v="N"/>
    <n v="1"/>
    <d v="2023-07-12T19:02:01"/>
    <s v="N"/>
    <s v="NIL BILL"/>
    <s v="Public Law Children"/>
    <s v="Profit Cost"/>
    <s v="0"/>
    <s v="N"/>
    <n v="0"/>
    <n v="0"/>
    <x v="0"/>
    <s v="VALIDATED"/>
    <n v="1"/>
    <s v="01.11.80.308.6100.0000"/>
    <n v="0"/>
    <s v="11"/>
    <s v="6100"/>
    <n v="14387.73"/>
    <n v="0"/>
    <s v="CREDITOR"/>
    <n v="0"/>
    <n v="0"/>
    <n v="0"/>
    <n v="0"/>
    <n v="0"/>
  </r>
  <r>
    <n v="60742219"/>
    <s v="N"/>
    <n v="21349335"/>
    <s v="3000014985080020"/>
    <s v="CIVIL"/>
    <d v="2023-06-29T00:00:00"/>
    <d v="2023-07-10T19:01:40"/>
    <m/>
    <d v="2023-07-10T00:00:00"/>
    <n v="2001"/>
    <n v="8025"/>
    <s v="60742219"/>
    <s v="60742219"/>
    <m/>
    <m/>
    <n v="22789966"/>
    <m/>
    <m/>
    <m/>
    <s v="SOLFIN"/>
    <s v="SOLFIN"/>
    <s v="CCMS"/>
    <n v="21349335"/>
    <n v="5928.57"/>
    <m/>
    <s v="N"/>
    <n v="18"/>
    <d v="2023-07-10T19:01:47"/>
    <s v="Y"/>
    <s v="Solicitors Fixed Fee"/>
    <s v="Public Law Children"/>
    <s v="Profit Cost"/>
    <s v="HM"/>
    <s v="Y"/>
    <n v="1911"/>
    <n v="382.2"/>
    <x v="2"/>
    <s v="VALIDATED"/>
    <n v="1"/>
    <s v="01.11.80.308.6100.0000"/>
    <n v="1911"/>
    <s v="11"/>
    <s v="6100"/>
    <n v="14387.73"/>
    <n v="1911"/>
    <s v="CREDITOR"/>
    <n v="0"/>
    <n v="0"/>
    <n v="0"/>
    <n v="0"/>
    <n v="1911"/>
  </r>
  <r>
    <n v="60205196"/>
    <s v="N"/>
    <n v="21350151"/>
    <s v="3000014511920019"/>
    <s v="CIVIL"/>
    <d v="2023-06-27T00:00:00"/>
    <d v="2023-07-10T19:01:40"/>
    <m/>
    <d v="2023-07-10T00:00:00"/>
    <n v="2001"/>
    <n v="8025"/>
    <s v="60205196"/>
    <s v="60205196"/>
    <m/>
    <m/>
    <n v="22772812"/>
    <m/>
    <m/>
    <m/>
    <s v="SOLFIN"/>
    <s v="SOLFIN"/>
    <s v="CCMS"/>
    <n v="21350151"/>
    <n v="11333.33"/>
    <m/>
    <s v="N"/>
    <n v="20"/>
    <d v="2023-07-10T19:02:15"/>
    <s v="N"/>
    <s v="Solicitors Fixed Fee"/>
    <s v="Public Law Children"/>
    <s v="Profit Cost"/>
    <s v="DW"/>
    <s v="N"/>
    <n v="0"/>
    <n v="0"/>
    <x v="2"/>
    <s v="VALIDATED"/>
    <n v="1"/>
    <s v="01.11.80.308.6100.0000"/>
    <n v="0"/>
    <s v="11"/>
    <s v="6100"/>
    <n v="14387.73"/>
    <n v="0"/>
    <s v="CREDITOR"/>
    <n v="0"/>
    <n v="0"/>
    <n v="0"/>
    <n v="0"/>
    <n v="0"/>
  </r>
  <r>
    <n v="61001766"/>
    <s v="N"/>
    <n v="21319051"/>
    <s v="3000015208590001"/>
    <s v="CIVIL"/>
    <d v="2023-06-23T00:00:00"/>
    <d v="2023-07-03T19:01:49"/>
    <m/>
    <d v="2023-07-03T00:00:00"/>
    <n v="2001"/>
    <n v="8025"/>
    <s v="61001766"/>
    <s v="61001766"/>
    <m/>
    <m/>
    <n v="22749652"/>
    <m/>
    <m/>
    <m/>
    <s v="SOLFIN"/>
    <s v="SOLFIN"/>
    <s v="CCMS"/>
    <n v="21319051"/>
    <n v="0"/>
    <m/>
    <s v="N"/>
    <n v="1"/>
    <d v="2023-07-03T19:02:09"/>
    <s v="N"/>
    <s v="NIL BILL"/>
    <s v="Public Law Children"/>
    <s v="Profit Cost"/>
    <s v="DW"/>
    <s v="N"/>
    <n v="0"/>
    <n v="0"/>
    <x v="3"/>
    <s v="VALIDATED"/>
    <n v="1"/>
    <s v="01.11.80.308.6100.0000"/>
    <n v="0"/>
    <s v="11"/>
    <s v="6100"/>
    <n v="14387.73"/>
    <n v="0"/>
    <s v="CREDITOR"/>
    <n v="0"/>
    <n v="0"/>
    <n v="0"/>
    <n v="0"/>
    <n v="0"/>
  </r>
  <r>
    <n v="60205196"/>
    <s v="N"/>
    <n v="21350151"/>
    <s v="3000014511920019"/>
    <s v="CIVIL"/>
    <d v="2023-06-27T00:00:00"/>
    <d v="2023-07-10T19:01:40"/>
    <m/>
    <d v="2023-07-10T00:00:00"/>
    <n v="2001"/>
    <n v="8025"/>
    <s v="60205196"/>
    <s v="60205196"/>
    <m/>
    <m/>
    <n v="22772812"/>
    <m/>
    <m/>
    <m/>
    <s v="SOLFIN"/>
    <s v="SOLFIN"/>
    <s v="CCMS"/>
    <n v="21350151"/>
    <n v="11333.33"/>
    <m/>
    <s v="N"/>
    <n v="4"/>
    <d v="2023-07-10T19:02:15"/>
    <s v="Y"/>
    <s v="Expert - Other"/>
    <s v="Public Law Children"/>
    <s v="Expert Disbursement"/>
    <s v="DW"/>
    <s v="Y"/>
    <n v="388.8"/>
    <n v="77.76000000000001"/>
    <x v="2"/>
    <s v="VALIDATED"/>
    <n v="1"/>
    <s v="01.11.80.308.6300.0000"/>
    <n v="388.8"/>
    <s v="11"/>
    <s v="6300"/>
    <n v="14387.73"/>
    <n v="388.8"/>
    <s v="CREDITOR"/>
    <n v="0"/>
    <n v="0"/>
    <n v="0"/>
    <n v="0"/>
    <n v="388.8"/>
  </r>
  <r>
    <n v="60125579"/>
    <s v="N"/>
    <n v="21350115"/>
    <s v="3000014453780007"/>
    <s v="CIVIL"/>
    <d v="2023-06-27T00:00:00"/>
    <d v="2023-07-10T19:01:40"/>
    <m/>
    <d v="2023-07-10T00:00:00"/>
    <n v="2001"/>
    <n v="8025"/>
    <s v="60125579"/>
    <s v="60125579"/>
    <m/>
    <m/>
    <n v="22772710"/>
    <m/>
    <m/>
    <m/>
    <s v="SOLFIN"/>
    <s v="SOLFIN"/>
    <s v="CCMS"/>
    <n v="21350115"/>
    <n v="9524.85"/>
    <m/>
    <s v="N"/>
    <n v="4"/>
    <d v="2023-07-10T19:02:14"/>
    <s v="Y"/>
    <s v="Hearing Unit 2.31 - 5.00 Hours"/>
    <s v="Public Law Children"/>
    <s v="Advocacy"/>
    <s v="DW"/>
    <s v="Y"/>
    <n v="476.92"/>
    <n v="95.38"/>
    <x v="2"/>
    <s v="VALIDATED"/>
    <n v="1"/>
    <s v="01.11.80.308.6100.0000"/>
    <n v="476.92"/>
    <s v="11"/>
    <s v="6100"/>
    <n v="14387.73"/>
    <n v="476.92"/>
    <s v="CREDITOR"/>
    <n v="0"/>
    <n v="0"/>
    <n v="0"/>
    <n v="0"/>
    <n v="476.92"/>
  </r>
  <r>
    <n v="60742219"/>
    <s v="N"/>
    <n v="21349335"/>
    <s v="3000014985080020"/>
    <s v="CIVIL"/>
    <d v="2023-06-29T00:00:00"/>
    <d v="2023-07-10T19:01:40"/>
    <m/>
    <d v="2023-07-10T00:00:00"/>
    <n v="2001"/>
    <n v="8025"/>
    <s v="60742219"/>
    <s v="60742219"/>
    <m/>
    <m/>
    <n v="22789966"/>
    <m/>
    <m/>
    <m/>
    <s v="SOLFIN"/>
    <s v="SOLFIN"/>
    <s v="CCMS"/>
    <n v="21349335"/>
    <n v="5928.57"/>
    <m/>
    <s v="N"/>
    <n v="10"/>
    <d v="2023-07-10T19:01:47"/>
    <s v="Y"/>
    <s v="Interpreter"/>
    <s v="Public Law Children"/>
    <s v="Expert Disbursement"/>
    <s v="HM"/>
    <s v="Y"/>
    <n v="50"/>
    <n v="0"/>
    <x v="2"/>
    <s v="VALIDATED"/>
    <n v="1"/>
    <s v="01.11.80.308.6300.0000"/>
    <n v="50"/>
    <s v="11"/>
    <s v="6300"/>
    <n v="14387.73"/>
    <n v="50"/>
    <s v="CREDITOR"/>
    <n v="0"/>
    <n v="0"/>
    <n v="0"/>
    <n v="0"/>
    <n v="50"/>
  </r>
  <r>
    <n v="60742219"/>
    <s v="N"/>
    <n v="21349335"/>
    <s v="3000014985080020"/>
    <s v="CIVIL"/>
    <d v="2023-06-29T00:00:00"/>
    <d v="2023-07-10T19:01:40"/>
    <m/>
    <d v="2023-07-10T00:00:00"/>
    <n v="2001"/>
    <n v="8025"/>
    <s v="60742219"/>
    <s v="60742219"/>
    <m/>
    <m/>
    <n v="22789966"/>
    <m/>
    <m/>
    <m/>
    <s v="SOLFIN"/>
    <s v="SOLFIN"/>
    <s v="CCMS"/>
    <n v="21349335"/>
    <n v="5928.57"/>
    <m/>
    <s v="N"/>
    <n v="11"/>
    <d v="2023-07-10T19:01:47"/>
    <s v="Y"/>
    <s v="Expert - Other"/>
    <s v="Public Law Children"/>
    <s v="Expert Disbursement"/>
    <s v="HM"/>
    <s v="Y"/>
    <n v="323.7"/>
    <n v="0"/>
    <x v="2"/>
    <s v="VALIDATED"/>
    <n v="1"/>
    <s v="01.11.80.308.6300.0000"/>
    <n v="323.7"/>
    <s v="11"/>
    <s v="6300"/>
    <n v="14387.73"/>
    <n v="323.7"/>
    <s v="CREDITOR"/>
    <n v="0"/>
    <n v="0"/>
    <n v="0"/>
    <n v="0"/>
    <n v="323.7"/>
  </r>
  <r>
    <n v="61069071"/>
    <s v="N"/>
    <n v="21343991"/>
    <s v="3000015259830006"/>
    <s v="CIVIL"/>
    <d v="2023-06-28T00:00:00"/>
    <d v="2023-07-07T19:03:00"/>
    <m/>
    <d v="2023-07-07T00:00:00"/>
    <n v="2001"/>
    <n v="8025"/>
    <s v="61069071"/>
    <s v="61069071"/>
    <m/>
    <m/>
    <n v="22783130"/>
    <m/>
    <m/>
    <m/>
    <s v="SOLFIN"/>
    <s v="SOLFIN"/>
    <s v="CCMS"/>
    <n v="21343991"/>
    <n v="2622.78"/>
    <m/>
    <s v="N"/>
    <n v="51"/>
    <d v="2023-07-07T19:03:19"/>
    <s v="Y"/>
    <s v="Preparation - other"/>
    <s v="Prescribed Hourly Rates"/>
    <s v="Profit Cost"/>
    <s v="HM"/>
    <s v="Y"/>
    <n v="123.53"/>
    <n v="24.71"/>
    <x v="9"/>
    <s v="VALIDATED"/>
    <n v="1"/>
    <s v="01.11.80.307.6100.0000"/>
    <n v="123.53"/>
    <s v="11"/>
    <s v="6100"/>
    <n v="14387.73"/>
    <n v="123.53"/>
    <s v="CREDITOR"/>
    <n v="0"/>
    <n v="0"/>
    <n v="0"/>
    <n v="0"/>
    <n v="123.53"/>
  </r>
  <r>
    <n v="61001644"/>
    <s v="N"/>
    <n v="21319054"/>
    <s v="3000015208460001"/>
    <s v="CIVIL"/>
    <d v="2023-06-23T00:00:00"/>
    <d v="2023-07-03T19:01:49"/>
    <m/>
    <d v="2023-07-03T00:00:00"/>
    <n v="2001"/>
    <n v="8025"/>
    <s v="61001644"/>
    <s v="61001644"/>
    <m/>
    <m/>
    <n v="22749614"/>
    <m/>
    <m/>
    <m/>
    <s v="SOLFIN"/>
    <s v="SOLFIN"/>
    <s v="CCMS"/>
    <n v="21319054"/>
    <n v="0"/>
    <m/>
    <s v="N"/>
    <n v="1"/>
    <d v="2023-07-03T19:02:09"/>
    <s v="N"/>
    <s v="NIL BILL"/>
    <s v="Public Law Children"/>
    <s v="Profit Cost"/>
    <s v="DW"/>
    <s v="N"/>
    <n v="0"/>
    <n v="0"/>
    <x v="3"/>
    <s v="VALIDATED"/>
    <n v="1"/>
    <s v="01.11.80.308.6100.0000"/>
    <n v="0"/>
    <s v="11"/>
    <s v="6100"/>
    <n v="14387.73"/>
    <n v="0"/>
    <s v="CREDITOR"/>
    <n v="0"/>
    <n v="0"/>
    <n v="0"/>
    <n v="0"/>
    <n v="0"/>
  </r>
  <r>
    <n v="62066789"/>
    <s v="N"/>
    <n v="21320925"/>
    <s v="3000016099400007"/>
    <s v="CIVIL"/>
    <d v="2023-06-28T00:00:00"/>
    <d v="2023-07-03T19:04:52"/>
    <m/>
    <d v="2023-07-03T00:00:00"/>
    <n v="2001"/>
    <n v="8025"/>
    <s v="62066789"/>
    <s v="62066789"/>
    <m/>
    <m/>
    <n v="22779602"/>
    <m/>
    <m/>
    <m/>
    <s v="SOLPOA"/>
    <s v="SOLPOA"/>
    <s v="CCMS"/>
    <n v="21320925"/>
    <n v="135.46"/>
    <m/>
    <s v="N"/>
    <n v="1"/>
    <d v="2023-07-03T19:04:57"/>
    <s v="N"/>
    <s v="Expert Cost"/>
    <s v="Expert Cost"/>
    <s v="Expert Disbursement"/>
    <s v="DW"/>
    <s v="N"/>
    <n v="112.88"/>
    <n v="22.58"/>
    <x v="3"/>
    <s v="VALIDATED"/>
    <n v="1"/>
    <s v="01.11.80.308.2012.0000"/>
    <n v="112.88"/>
    <s v="11"/>
    <s v="2012"/>
    <n v="14387.73"/>
    <n v="112.88"/>
    <s v="CREDITOR"/>
    <n v="112.88"/>
    <n v="0"/>
    <n v="0"/>
    <n v="0"/>
    <n v="0"/>
  </r>
  <r>
    <n v="59912784"/>
    <s v="N"/>
    <n v="21360354"/>
    <s v="3000014267870006"/>
    <s v="CIVIL"/>
    <d v="2023-06-30T00:00:00"/>
    <d v="2023-07-11T11:50:54"/>
    <m/>
    <d v="2023-07-11T00:00:00"/>
    <n v="2001"/>
    <n v="8025"/>
    <s v="59912784"/>
    <s v="59912784"/>
    <m/>
    <m/>
    <n v="22800284"/>
    <m/>
    <m/>
    <m/>
    <s v="SOLFIN"/>
    <s v="SOLFIN"/>
    <s v="CCMS"/>
    <n v="21360354"/>
    <n v="5014.26"/>
    <m/>
    <s v="N"/>
    <n v="9"/>
    <d v="2023-07-11T11:51:03"/>
    <s v="Y"/>
    <s v="Solicitor Travel Mileage"/>
    <s v="Private Law Children"/>
    <s v="Non Expert Disbursement"/>
    <s v="CA"/>
    <s v="Y"/>
    <n v="25.2"/>
    <n v="5.04"/>
    <x v="7"/>
    <s v="VALIDATED"/>
    <n v="1"/>
    <s v="01.11.80.307.6300.0000"/>
    <n v="25.2"/>
    <s v="11"/>
    <s v="6300"/>
    <n v="14387.73"/>
    <n v="25.2"/>
    <s v="CREDITOR"/>
    <n v="0"/>
    <n v="0"/>
    <n v="0"/>
    <n v="0"/>
    <n v="25.2"/>
  </r>
  <r>
    <n v="61069071"/>
    <s v="N"/>
    <n v="21343991"/>
    <s v="3000015259830006"/>
    <s v="CIVIL"/>
    <d v="2023-06-28T00:00:00"/>
    <d v="2023-07-07T19:03:00"/>
    <m/>
    <d v="2023-07-07T00:00:00"/>
    <n v="2001"/>
    <n v="8025"/>
    <s v="61069071"/>
    <s v="61069071"/>
    <m/>
    <m/>
    <n v="22783130"/>
    <m/>
    <m/>
    <m/>
    <s v="SOLFIN"/>
    <s v="SOLFIN"/>
    <s v="CCMS"/>
    <n v="21343991"/>
    <n v="2622.78"/>
    <m/>
    <s v="N"/>
    <n v="61"/>
    <d v="2023-07-07T19:03:19"/>
    <s v="Y"/>
    <s v="Preparation - other"/>
    <s v="Prescribed Hourly Rates"/>
    <s v="Profit Cost"/>
    <s v="HM"/>
    <s v="Y"/>
    <n v="24.71"/>
    <n v="4.94"/>
    <x v="9"/>
    <s v="VALIDATED"/>
    <n v="1"/>
    <s v="01.11.80.307.6100.0000"/>
    <n v="24.71"/>
    <s v="11"/>
    <s v="6100"/>
    <n v="14387.73"/>
    <n v="24.71"/>
    <s v="CREDITOR"/>
    <n v="0"/>
    <n v="0"/>
    <n v="0"/>
    <n v="0"/>
    <n v="24.71"/>
  </r>
  <r>
    <n v="61069071"/>
    <s v="N"/>
    <n v="21343991"/>
    <s v="3000015259830006"/>
    <s v="CIVIL"/>
    <d v="2023-06-28T00:00:00"/>
    <d v="2023-07-07T19:03:00"/>
    <m/>
    <d v="2023-07-07T00:00:00"/>
    <n v="2001"/>
    <n v="8025"/>
    <s v="61069071"/>
    <s v="61069071"/>
    <m/>
    <m/>
    <n v="22783130"/>
    <m/>
    <m/>
    <m/>
    <s v="SOLFIN"/>
    <s v="SOLFIN"/>
    <s v="CCMS"/>
    <n v="21343991"/>
    <n v="2622.78"/>
    <m/>
    <s v="N"/>
    <n v="23"/>
    <d v="2023-07-07T19:03:19"/>
    <s v="Y"/>
    <s v="Preparation - other"/>
    <s v="Prescribed Hourly Rates"/>
    <s v="Profit Cost"/>
    <s v="HM"/>
    <s v="Y"/>
    <n v="12.63"/>
    <n v="2.53"/>
    <x v="9"/>
    <s v="VALIDATED"/>
    <n v="1"/>
    <s v="01.11.80.307.6100.0000"/>
    <n v="12.63"/>
    <s v="11"/>
    <s v="6100"/>
    <n v="14387.73"/>
    <n v="12.63"/>
    <s v="CREDITOR"/>
    <n v="0"/>
    <n v="0"/>
    <n v="0"/>
    <n v="0"/>
    <n v="12.63"/>
  </r>
  <r>
    <n v="60205196"/>
    <s v="N"/>
    <n v="21350151"/>
    <s v="3000014511920019"/>
    <s v="CIVIL"/>
    <d v="2023-06-27T00:00:00"/>
    <d v="2023-07-10T19:01:40"/>
    <m/>
    <d v="2023-07-10T00:00:00"/>
    <n v="2001"/>
    <n v="8025"/>
    <s v="60205196"/>
    <s v="60205196"/>
    <m/>
    <m/>
    <n v="22772812"/>
    <m/>
    <m/>
    <m/>
    <s v="SOLFIN"/>
    <s v="SOLFIN"/>
    <s v="CCMS"/>
    <n v="21350151"/>
    <n v="11333.33"/>
    <m/>
    <s v="N"/>
    <n v="13"/>
    <d v="2023-07-10T19:02:15"/>
    <s v="Y"/>
    <s v="Advocates Meeting"/>
    <s v="Public Law Children"/>
    <s v="Advocacy"/>
    <s v="DW"/>
    <s v="Y"/>
    <n v="140.99"/>
    <n v="28.2"/>
    <x v="2"/>
    <s v="VALIDATED"/>
    <n v="1"/>
    <s v="01.11.80.308.6100.0000"/>
    <n v="140.99"/>
    <s v="11"/>
    <s v="6100"/>
    <n v="14387.73"/>
    <n v="140.99"/>
    <s v="CREDITOR"/>
    <n v="0"/>
    <n v="0"/>
    <n v="0"/>
    <n v="0"/>
    <n v="140.99"/>
  </r>
  <r>
    <n v="60650441"/>
    <s v="N"/>
    <n v="21349931"/>
    <s v="3000014900700006"/>
    <s v="CIVIL"/>
    <d v="2023-06-28T00:00:00"/>
    <d v="2023-07-10T19:01:40"/>
    <m/>
    <d v="2023-07-10T00:00:00"/>
    <n v="2001"/>
    <n v="8025"/>
    <s v="60650441"/>
    <s v="60650441"/>
    <m/>
    <m/>
    <n v="22782816"/>
    <m/>
    <m/>
    <m/>
    <s v="SOLFIN"/>
    <s v="SOLFIN"/>
    <s v="CCMS"/>
    <n v="21349931"/>
    <n v="6058.36"/>
    <m/>
    <s v="N"/>
    <n v="5"/>
    <d v="2023-07-10T19:02:04"/>
    <s v="Y"/>
    <s v="Police Records"/>
    <s v="Private Law Children"/>
    <s v="Non Expert Disbursement"/>
    <s v="LH"/>
    <s v="Y"/>
    <n v="496.8"/>
    <n v="0"/>
    <x v="2"/>
    <s v="VALIDATED"/>
    <n v="1"/>
    <s v="01.11.80.307.6300.0000"/>
    <n v="496.8"/>
    <s v="11"/>
    <s v="6300"/>
    <n v="14387.73"/>
    <n v="496.8"/>
    <s v="CREDITOR"/>
    <n v="0"/>
    <n v="0"/>
    <n v="0"/>
    <n v="0"/>
    <n v="496.8"/>
  </r>
  <r>
    <n v="61069071"/>
    <s v="N"/>
    <n v="21343991"/>
    <s v="3000015259830006"/>
    <s v="CIVIL"/>
    <d v="2023-06-28T00:00:00"/>
    <d v="2023-07-07T19:03:00"/>
    <m/>
    <d v="2023-07-07T00:00:00"/>
    <n v="2001"/>
    <n v="8025"/>
    <s v="61069071"/>
    <s v="61069071"/>
    <m/>
    <m/>
    <n v="22783130"/>
    <m/>
    <m/>
    <m/>
    <s v="SOLFIN"/>
    <s v="SOLFIN"/>
    <s v="CCMS"/>
    <n v="21343991"/>
    <n v="2622.78"/>
    <m/>
    <s v="N"/>
    <n v="52"/>
    <d v="2023-07-07T19:03:19"/>
    <s v="Y"/>
    <s v="Preparation - drafting bill/claim f"/>
    <s v="Prescribed Hourly Rates"/>
    <s v="Profit Cost"/>
    <s v="CE"/>
    <s v="Y"/>
    <n v="164.7"/>
    <n v="32.94"/>
    <x v="9"/>
    <s v="VALIDATED"/>
    <n v="1"/>
    <s v="01.11.80.307.6100.0000"/>
    <n v="164.7"/>
    <s v="11"/>
    <s v="6100"/>
    <n v="14387.73"/>
    <n v="164.7"/>
    <s v="CREDITOR"/>
    <n v="0"/>
    <n v="0"/>
    <n v="0"/>
    <n v="0"/>
    <n v="164.7"/>
  </r>
  <r>
    <n v="61069071"/>
    <s v="N"/>
    <n v="21343991"/>
    <s v="3000015259830006"/>
    <s v="CIVIL"/>
    <d v="2023-06-28T00:00:00"/>
    <d v="2023-07-07T19:03:00"/>
    <m/>
    <d v="2023-07-07T00:00:00"/>
    <n v="2001"/>
    <n v="8025"/>
    <s v="61069071"/>
    <s v="61069071"/>
    <m/>
    <m/>
    <n v="22783130"/>
    <m/>
    <m/>
    <m/>
    <s v="SOLFIN"/>
    <s v="SOLFIN"/>
    <s v="CCMS"/>
    <n v="21343991"/>
    <n v="2622.78"/>
    <m/>
    <s v="N"/>
    <n v="6"/>
    <d v="2023-07-07T19:03:19"/>
    <s v="Y"/>
    <s v="Preparation - other"/>
    <s v="Prescribed Hourly Rates"/>
    <s v="Profit Cost"/>
    <s v="HM"/>
    <s v="Y"/>
    <n v="32.94"/>
    <n v="6.59"/>
    <x v="9"/>
    <s v="VALIDATED"/>
    <n v="1"/>
    <s v="01.11.80.307.6100.0000"/>
    <n v="32.94"/>
    <s v="11"/>
    <s v="6100"/>
    <n v="14387.73"/>
    <n v="32.94"/>
    <s v="CREDITOR"/>
    <n v="0"/>
    <n v="0"/>
    <n v="0"/>
    <n v="0"/>
    <n v="32.94"/>
  </r>
  <r>
    <n v="61069071"/>
    <s v="N"/>
    <n v="21343991"/>
    <s v="3000015259830006"/>
    <s v="CIVIL"/>
    <d v="2023-06-28T00:00:00"/>
    <d v="2023-07-07T19:03:00"/>
    <m/>
    <d v="2023-07-07T00:00:00"/>
    <n v="2001"/>
    <n v="8025"/>
    <s v="61069071"/>
    <s v="61069071"/>
    <m/>
    <m/>
    <n v="22783130"/>
    <m/>
    <m/>
    <m/>
    <s v="SOLFIN"/>
    <s v="SOLFIN"/>
    <s v="CCMS"/>
    <n v="21343991"/>
    <n v="2622.78"/>
    <m/>
    <s v="N"/>
    <n v="41"/>
    <d v="2023-07-07T19:03:19"/>
    <s v="Y"/>
    <s v="Routine Letter In"/>
    <s v="Prescribed Hourly Rates"/>
    <s v="Profit Cost"/>
    <s v="HM"/>
    <s v="Y"/>
    <n v="189.41"/>
    <n v="37.88"/>
    <x v="9"/>
    <s v="VALIDATED"/>
    <n v="1"/>
    <s v="01.11.80.307.6100.0000"/>
    <n v="189.41"/>
    <s v="11"/>
    <s v="6100"/>
    <n v="14387.73"/>
    <n v="189.41"/>
    <s v="CREDITOR"/>
    <n v="0"/>
    <n v="0"/>
    <n v="0"/>
    <n v="0"/>
    <n v="189.41"/>
  </r>
  <r>
    <n v="61069071"/>
    <s v="N"/>
    <n v="21343991"/>
    <s v="3000015259830006"/>
    <s v="CIVIL"/>
    <d v="2023-06-28T00:00:00"/>
    <d v="2023-07-07T19:03:00"/>
    <m/>
    <d v="2023-07-07T00:00:00"/>
    <n v="2001"/>
    <n v="8025"/>
    <s v="61069071"/>
    <s v="61069071"/>
    <m/>
    <m/>
    <n v="22783130"/>
    <m/>
    <m/>
    <m/>
    <s v="SOLFIN"/>
    <s v="SOLFIN"/>
    <s v="CCMS"/>
    <n v="21343991"/>
    <n v="2622.78"/>
    <m/>
    <s v="N"/>
    <n v="33"/>
    <d v="2023-07-07T19:03:19"/>
    <s v="Y"/>
    <s v="Preparation - other"/>
    <s v="Prescribed Hourly Rates"/>
    <s v="Profit Cost"/>
    <s v="HM"/>
    <s v="Y"/>
    <n v="8.24"/>
    <n v="1.65"/>
    <x v="9"/>
    <s v="VALIDATED"/>
    <n v="1"/>
    <s v="01.11.80.307.6100.0000"/>
    <n v="8.24"/>
    <s v="11"/>
    <s v="6100"/>
    <n v="14387.73"/>
    <n v="8.24"/>
    <s v="CREDITOR"/>
    <n v="0"/>
    <n v="0"/>
    <n v="0"/>
    <n v="0"/>
    <n v="8.24"/>
  </r>
  <r>
    <n v="61001485"/>
    <s v="N"/>
    <n v="21327785"/>
    <s v="3000015208370008"/>
    <s v="CIVIL"/>
    <d v="2023-06-23T00:00:00"/>
    <d v="2023-07-04T19:00:44"/>
    <m/>
    <d v="2023-07-04T00:00:00"/>
    <n v="2001"/>
    <n v="8025"/>
    <s v="61001485"/>
    <s v="61001485"/>
    <m/>
    <m/>
    <n v="22748910"/>
    <m/>
    <m/>
    <m/>
    <s v="SOLFIN"/>
    <s v="SOLFIN"/>
    <s v="CCMS"/>
    <n v="21327785"/>
    <n v="8400.68"/>
    <m/>
    <s v="N"/>
    <n v="15"/>
    <d v="2023-07-04T19:00:54"/>
    <s v="Y"/>
    <s v="Hearing Unit 2.31 - 5.00 Hours"/>
    <s v="Public Law Children"/>
    <s v="Advocacy"/>
    <s v="DW"/>
    <s v="Y"/>
    <n v="476.92"/>
    <n v="95.38"/>
    <x v="1"/>
    <s v="VALIDATED"/>
    <n v="1"/>
    <s v="01.11.80.308.6100.0000"/>
    <n v="476.92"/>
    <s v="11"/>
    <s v="6100"/>
    <n v="14387.73"/>
    <n v="476.92"/>
    <s v="CREDITOR"/>
    <n v="0"/>
    <n v="0"/>
    <n v="0"/>
    <n v="0"/>
    <n v="476.92"/>
  </r>
  <r>
    <n v="61660206"/>
    <s v="N"/>
    <n v="21318899"/>
    <s v="3000015759810003"/>
    <s v="CIVIL"/>
    <d v="2023-06-13T00:00:00"/>
    <d v="2023-07-03T19:01:49"/>
    <m/>
    <d v="2023-07-03T00:00:00"/>
    <n v="2001"/>
    <n v="8025"/>
    <s v="61660206"/>
    <s v="61660206"/>
    <m/>
    <m/>
    <n v="22682130"/>
    <m/>
    <m/>
    <m/>
    <s v="SOLPOA"/>
    <s v="SOLPOA"/>
    <s v="CCMS"/>
    <n v="21318899"/>
    <n v="167"/>
    <m/>
    <s v="N"/>
    <n v="1"/>
    <d v="2023-07-03T19:02:05"/>
    <s v="N"/>
    <s v="Non Expert Disbursement - Private L"/>
    <s v="Non Expert Disbursement - Priv"/>
    <s v="Non Expert Disbursement"/>
    <s v="Charlotte Barker"/>
    <s v="N"/>
    <n v="167"/>
    <n v="0"/>
    <x v="3"/>
    <s v="VALIDATED"/>
    <n v="1"/>
    <s v="01.11.80.307.2012.0000"/>
    <n v="167"/>
    <s v="11"/>
    <s v="2012"/>
    <n v="14387.73"/>
    <n v="167"/>
    <s v="CREDITOR"/>
    <n v="167"/>
    <n v="0"/>
    <n v="0"/>
    <n v="0"/>
    <n v="0"/>
  </r>
  <r>
    <n v="62131141"/>
    <s v="N"/>
    <n v="21323320"/>
    <s v="3000016153280001"/>
    <s v="CIVIL"/>
    <d v="2023-06-30T00:00:00"/>
    <d v="2023-07-03T19:05:56"/>
    <m/>
    <d v="2023-07-03T00:00:00"/>
    <n v="2001"/>
    <n v="8025"/>
    <s v="62131141"/>
    <s v="62131141"/>
    <m/>
    <m/>
    <n v="22798114"/>
    <m/>
    <m/>
    <m/>
    <s v="SOLPOA"/>
    <s v="SOLPOA"/>
    <s v="CCMS"/>
    <n v="21323320"/>
    <n v="3108.48"/>
    <m/>
    <s v="N"/>
    <n v="1"/>
    <d v="2023-07-03T19:05:56"/>
    <s v="N"/>
    <s v="Solicitors Fixed Fee"/>
    <s v="Public Law Children"/>
    <s v="Profit Cost"/>
    <s v="David Williams"/>
    <s v="N"/>
    <n v="2590.4"/>
    <n v="518.08"/>
    <x v="3"/>
    <s v="VALIDATED"/>
    <n v="1"/>
    <s v="01.11.80.308.2012.0000"/>
    <n v="2590.4"/>
    <s v="11"/>
    <s v="2012"/>
    <n v="14387.73"/>
    <n v="2590.4"/>
    <s v="CREDITOR"/>
    <n v="2590.4"/>
    <n v="647.6"/>
    <n v="0"/>
    <n v="0"/>
    <n v="0"/>
  </r>
  <r>
    <n v="61069071"/>
    <s v="N"/>
    <n v="21343991"/>
    <s v="3000015259830006"/>
    <s v="CIVIL"/>
    <d v="2023-06-28T00:00:00"/>
    <d v="2023-07-07T19:03:00"/>
    <m/>
    <d v="2023-07-07T00:00:00"/>
    <n v="2001"/>
    <n v="8025"/>
    <s v="61069071"/>
    <s v="61069071"/>
    <m/>
    <m/>
    <n v="22783130"/>
    <m/>
    <m/>
    <m/>
    <s v="SOLFIN"/>
    <s v="SOLFIN"/>
    <s v="CCMS"/>
    <n v="21343991"/>
    <n v="2622.78"/>
    <m/>
    <s v="N"/>
    <n v="53"/>
    <d v="2023-07-07T19:03:19"/>
    <s v="Y"/>
    <s v="Travel to court"/>
    <s v="Prescribed Hourly Rates"/>
    <s v="Profit Cost"/>
    <s v="HM"/>
    <s v="Y"/>
    <n v="12.83"/>
    <n v="2.57"/>
    <x v="9"/>
    <s v="VALIDATED"/>
    <n v="1"/>
    <s v="01.11.80.307.6100.0000"/>
    <n v="12.83"/>
    <s v="11"/>
    <s v="6100"/>
    <n v="14387.73"/>
    <n v="12.83"/>
    <s v="CREDITOR"/>
    <n v="0"/>
    <n v="0"/>
    <n v="0"/>
    <n v="0"/>
    <n v="12.83"/>
  </r>
  <r>
    <n v="61595069"/>
    <s v="N"/>
    <n v="21338176"/>
    <s v="3000015704490008"/>
    <s v="CIVIL"/>
    <d v="2023-06-30T00:00:00"/>
    <d v="2023-07-06T19:21:01"/>
    <m/>
    <d v="2023-07-06T00:00:00"/>
    <n v="2001"/>
    <n v="8025"/>
    <s v="61595069"/>
    <s v="61595069"/>
    <m/>
    <m/>
    <n v="22799324"/>
    <m/>
    <m/>
    <m/>
    <s v="SOLPOA"/>
    <s v="SOLPOA"/>
    <s v="CCMS"/>
    <n v="21338176"/>
    <n v="29.7"/>
    <m/>
    <s v="N"/>
    <n v="1"/>
    <d v="2023-07-06T19:21:12"/>
    <s v="N"/>
    <s v="Expert Cost"/>
    <s v="Expert Cost"/>
    <s v="Expert Disbursement"/>
    <s v="Hannah Wilson"/>
    <s v="N"/>
    <n v="24.75"/>
    <n v="4.95"/>
    <x v="4"/>
    <s v="VALIDATED"/>
    <n v="1"/>
    <s v="01.11.80.308.2012.0000"/>
    <n v="24.75"/>
    <s v="11"/>
    <s v="2012"/>
    <n v="14387.73"/>
    <n v="24.75"/>
    <s v="CREDITOR"/>
    <n v="24.75"/>
    <n v="0"/>
    <n v="0"/>
    <n v="0"/>
    <n v="0"/>
  </r>
  <r>
    <n v="60816284"/>
    <s v="N"/>
    <n v="21338459"/>
    <s v="3000015049370008"/>
    <s v="CIVIL"/>
    <d v="2023-06-27T00:00:00"/>
    <d v="2023-07-06T19:21:01"/>
    <m/>
    <d v="2023-07-06T00:00:00"/>
    <n v="2001"/>
    <n v="8025"/>
    <s v="60816284"/>
    <s v="60816284"/>
    <m/>
    <m/>
    <n v="22774066"/>
    <m/>
    <m/>
    <m/>
    <s v="SOLFIN"/>
    <s v="SOLFIN"/>
    <s v="CCMS"/>
    <n v="21338459"/>
    <n v="6853.17"/>
    <m/>
    <s v="N"/>
    <n v="9"/>
    <d v="2023-07-06T19:21:25"/>
    <s v="N"/>
    <s v="Solicitors Fixed Fee"/>
    <s v="Public Law Children"/>
    <s v="Profit Cost"/>
    <s v="HM"/>
    <s v="N"/>
    <n v="0"/>
    <n v="0"/>
    <x v="4"/>
    <s v="VALIDATED"/>
    <n v="1"/>
    <s v="01.11.80.308.6100.0000"/>
    <n v="0"/>
    <s v="11"/>
    <s v="6100"/>
    <n v="14387.73"/>
    <n v="0"/>
    <s v="CREDITOR"/>
    <n v="0"/>
    <n v="0"/>
    <n v="0"/>
    <n v="0"/>
    <n v="0"/>
  </r>
  <r>
    <n v="60125579"/>
    <s v="N"/>
    <n v="21350115"/>
    <s v="3000014453780007"/>
    <s v="CIVIL"/>
    <d v="2023-06-27T00:00:00"/>
    <d v="2023-07-10T19:01:40"/>
    <m/>
    <d v="2023-07-10T00:00:00"/>
    <n v="2001"/>
    <n v="8025"/>
    <s v="60125579"/>
    <s v="60125579"/>
    <m/>
    <m/>
    <n v="22772710"/>
    <m/>
    <m/>
    <m/>
    <s v="SOLFIN"/>
    <s v="SOLFIN"/>
    <s v="CCMS"/>
    <n v="21350115"/>
    <n v="9524.85"/>
    <m/>
    <s v="N"/>
    <n v="9"/>
    <d v="2023-07-10T19:02:14"/>
    <s v="N"/>
    <s v="Solicitors Fixed Fee"/>
    <s v="Public Law Children"/>
    <s v="Profit Cost"/>
    <s v="DW"/>
    <s v="N"/>
    <n v="0"/>
    <n v="0"/>
    <x v="2"/>
    <s v="VALIDATED"/>
    <n v="1"/>
    <s v="01.11.80.308.6100.0000"/>
    <n v="0"/>
    <s v="11"/>
    <s v="6100"/>
    <n v="14387.73"/>
    <n v="0"/>
    <s v="CREDITOR"/>
    <n v="0"/>
    <n v="0"/>
    <n v="0"/>
    <n v="0"/>
    <n v="0"/>
  </r>
  <r>
    <n v="61366169"/>
    <s v="N"/>
    <n v="21338247"/>
    <s v="3000015513310007"/>
    <s v="CIVIL"/>
    <d v="2023-06-27T00:00:00"/>
    <d v="2023-07-06T19:21:01"/>
    <m/>
    <d v="2023-07-06T00:00:00"/>
    <n v="2001"/>
    <n v="8025"/>
    <s v="61366169"/>
    <s v="61366169"/>
    <m/>
    <m/>
    <n v="22773886"/>
    <m/>
    <m/>
    <m/>
    <s v="SOLFIN"/>
    <s v="SOLFIN"/>
    <s v="CCMS"/>
    <n v="21338247"/>
    <n v="4461.51"/>
    <m/>
    <s v="N"/>
    <n v="5"/>
    <d v="2023-07-06T19:21:14"/>
    <s v="Y"/>
    <s v="Advocates Meeting"/>
    <s v="Public Law Children"/>
    <s v="Advocacy"/>
    <s v="HM"/>
    <s v="Y"/>
    <n v="140.99"/>
    <n v="28.2"/>
    <x v="4"/>
    <s v="VALIDATED"/>
    <n v="1"/>
    <s v="01.11.80.308.6100.0000"/>
    <n v="140.99"/>
    <s v="11"/>
    <s v="6100"/>
    <n v="14387.73"/>
    <n v="140.99"/>
    <s v="CREDITOR"/>
    <n v="0"/>
    <n v="0"/>
    <n v="0"/>
    <n v="0"/>
    <n v="140.99"/>
  </r>
  <r>
    <n v="61001485"/>
    <s v="N"/>
    <n v="21327785"/>
    <s v="3000015208370008"/>
    <s v="CIVIL"/>
    <d v="2023-06-23T00:00:00"/>
    <d v="2023-07-04T19:00:44"/>
    <m/>
    <d v="2023-07-04T00:00:00"/>
    <n v="2001"/>
    <n v="8025"/>
    <s v="61001485"/>
    <s v="61001485"/>
    <m/>
    <m/>
    <n v="22748910"/>
    <m/>
    <m/>
    <m/>
    <s v="SOLFIN"/>
    <s v="SOLFIN"/>
    <s v="CCMS"/>
    <n v="21327785"/>
    <n v="8400.68"/>
    <m/>
    <s v="N"/>
    <n v="5"/>
    <d v="2023-07-04T19:00:54"/>
    <s v="N"/>
    <s v="Solicitor Travel Mileage"/>
    <s v="Public Law Children"/>
    <s v="Non Expert Disbursement"/>
    <s v="DW"/>
    <s v="N"/>
    <n v="0"/>
    <n v="0"/>
    <x v="1"/>
    <s v="VALIDATED"/>
    <n v="1"/>
    <s v="01.11.80.308.6300.0000"/>
    <n v="0"/>
    <s v="11"/>
    <s v="6300"/>
    <n v="14387.73"/>
    <n v="0"/>
    <s v="CREDITOR"/>
    <n v="0"/>
    <n v="0"/>
    <n v="0"/>
    <n v="0"/>
    <n v="0"/>
  </r>
  <r>
    <n v="59912784"/>
    <s v="N"/>
    <n v="21360354"/>
    <s v="3000014267870006"/>
    <s v="CIVIL"/>
    <d v="2023-06-30T00:00:00"/>
    <d v="2023-07-11T11:50:54"/>
    <m/>
    <d v="2023-07-11T00:00:00"/>
    <n v="2001"/>
    <n v="8025"/>
    <s v="59912784"/>
    <s v="59912784"/>
    <m/>
    <m/>
    <n v="22800284"/>
    <m/>
    <m/>
    <m/>
    <s v="SOLFIN"/>
    <s v="SOLFIN"/>
    <s v="CCMS"/>
    <n v="21360354"/>
    <n v="5014.26"/>
    <m/>
    <s v="N"/>
    <n v="4"/>
    <d v="2023-07-11T11:51:03"/>
    <s v="Y"/>
    <s v="Toxicologist"/>
    <s v="Private Law Children"/>
    <s v="Expert Disbursement"/>
    <s v="CA"/>
    <s v="Y"/>
    <n v="256.67"/>
    <n v="51.33"/>
    <x v="7"/>
    <s v="VALIDATED"/>
    <n v="1"/>
    <s v="01.11.80.307.6300.0000"/>
    <n v="256.67"/>
    <s v="11"/>
    <s v="6300"/>
    <n v="14387.73"/>
    <n v="256.67"/>
    <s v="CREDITOR"/>
    <n v="0"/>
    <n v="0"/>
    <n v="0"/>
    <n v="0"/>
    <n v="256.67"/>
  </r>
  <r>
    <n v="61069071"/>
    <s v="N"/>
    <n v="21343991"/>
    <s v="3000015259830006"/>
    <s v="CIVIL"/>
    <d v="2023-06-28T00:00:00"/>
    <d v="2023-07-07T19:03:00"/>
    <m/>
    <d v="2023-07-07T00:00:00"/>
    <n v="2001"/>
    <n v="8025"/>
    <s v="61069071"/>
    <s v="61069071"/>
    <m/>
    <m/>
    <n v="22783130"/>
    <m/>
    <m/>
    <m/>
    <s v="SOLFIN"/>
    <s v="SOLFIN"/>
    <s v="CCMS"/>
    <n v="21343991"/>
    <n v="2622.78"/>
    <m/>
    <s v="N"/>
    <n v="9"/>
    <d v="2023-07-07T19:03:19"/>
    <s v="Y"/>
    <s v="Preparation - other"/>
    <s v="Prescribed Hourly Rates"/>
    <s v="Profit Cost"/>
    <s v="HM"/>
    <s v="Y"/>
    <n v="16.47"/>
    <n v="3.29"/>
    <x v="9"/>
    <s v="VALIDATED"/>
    <n v="1"/>
    <s v="01.11.80.307.6100.0000"/>
    <n v="16.47"/>
    <s v="11"/>
    <s v="6100"/>
    <n v="14387.73"/>
    <n v="16.47"/>
    <s v="CREDITOR"/>
    <n v="0"/>
    <n v="0"/>
    <n v="0"/>
    <n v="0"/>
    <n v="16.47"/>
  </r>
  <r>
    <n v="59912784"/>
    <s v="N"/>
    <n v="21360354"/>
    <s v="3000014267870006"/>
    <s v="CIVIL"/>
    <d v="2023-06-30T00:00:00"/>
    <d v="2023-07-11T11:50:54"/>
    <m/>
    <d v="2023-07-11T00:00:00"/>
    <n v="2001"/>
    <n v="8025"/>
    <s v="59912784"/>
    <s v="59912784"/>
    <m/>
    <m/>
    <n v="22800284"/>
    <m/>
    <m/>
    <m/>
    <s v="SOLFIN"/>
    <s v="SOLFIN"/>
    <s v="CCMS"/>
    <n v="21360354"/>
    <n v="5014.26"/>
    <m/>
    <s v="N"/>
    <n v="11"/>
    <d v="2023-07-11T11:51:03"/>
    <s v="Y"/>
    <s v="Hearing Unit 1.01 - 2.30 Hours"/>
    <s v="Private Law Children"/>
    <s v="Advocacy"/>
    <s v="CA"/>
    <s v="Y"/>
    <n v="172.4"/>
    <n v="34.48"/>
    <x v="7"/>
    <s v="VALIDATED"/>
    <n v="1"/>
    <s v="01.11.80.307.6100.0000"/>
    <n v="172.4"/>
    <s v="11"/>
    <s v="6100"/>
    <n v="14387.73"/>
    <n v="172.4"/>
    <s v="CREDITOR"/>
    <n v="0"/>
    <n v="0"/>
    <n v="0"/>
    <n v="0"/>
    <n v="172.4"/>
  </r>
  <r>
    <n v="59912784"/>
    <s v="N"/>
    <n v="21360354"/>
    <s v="3000014267870006"/>
    <s v="CIVIL"/>
    <d v="2023-06-30T00:00:00"/>
    <d v="2023-07-11T11:50:54"/>
    <m/>
    <d v="2023-07-11T00:00:00"/>
    <n v="2001"/>
    <n v="8025"/>
    <s v="59912784"/>
    <s v="59912784"/>
    <m/>
    <m/>
    <n v="22800284"/>
    <m/>
    <m/>
    <m/>
    <s v="SOLFIN"/>
    <s v="SOLFIN"/>
    <s v="CCMS"/>
    <n v="21360354"/>
    <n v="5014.26"/>
    <m/>
    <s v="N"/>
    <n v="1"/>
    <d v="2023-07-11T11:51:03"/>
    <s v="Y"/>
    <s v="Exceptional Travel"/>
    <s v="Private Law Children"/>
    <s v="Advocacy"/>
    <s v="CB"/>
    <s v="Y"/>
    <n v="32.04"/>
    <n v="6.41"/>
    <x v="7"/>
    <s v="VALIDATED"/>
    <n v="1"/>
    <s v="01.11.80.307.6100.0000"/>
    <n v="32.04"/>
    <s v="11"/>
    <s v="6100"/>
    <n v="14387.73"/>
    <n v="32.04"/>
    <s v="CREDITOR"/>
    <n v="0"/>
    <n v="0"/>
    <n v="0"/>
    <n v="0"/>
    <n v="32.04"/>
  </r>
  <r>
    <n v="60125579"/>
    <s v="N"/>
    <n v="21350115"/>
    <s v="3000014453780007"/>
    <s v="CIVIL"/>
    <d v="2023-06-27T00:00:00"/>
    <d v="2023-07-10T19:01:40"/>
    <m/>
    <d v="2023-07-10T00:00:00"/>
    <n v="2001"/>
    <n v="8025"/>
    <s v="60125579"/>
    <s v="60125579"/>
    <m/>
    <m/>
    <n v="22772710"/>
    <m/>
    <m/>
    <m/>
    <s v="SOLFIN"/>
    <s v="SOLFIN"/>
    <s v="CCMS"/>
    <n v="21350115"/>
    <n v="9524.85"/>
    <m/>
    <s v="N"/>
    <n v="8"/>
    <d v="2023-07-10T19:02:14"/>
    <s v="Y"/>
    <s v="Hearing Unit 2.31 - 5.00 Hours"/>
    <s v="Public Law Children"/>
    <s v="Advocacy"/>
    <s v="HW"/>
    <s v="Y"/>
    <n v="476.92"/>
    <n v="95.38"/>
    <x v="2"/>
    <s v="VALIDATED"/>
    <n v="1"/>
    <s v="01.11.80.308.6100.0000"/>
    <n v="476.92"/>
    <s v="11"/>
    <s v="6100"/>
    <n v="14387.73"/>
    <n v="476.92"/>
    <s v="CREDITOR"/>
    <n v="0"/>
    <n v="0"/>
    <n v="0"/>
    <n v="0"/>
    <n v="476.92"/>
  </r>
  <r>
    <n v="61069071"/>
    <s v="N"/>
    <n v="21343991"/>
    <s v="3000015259830006"/>
    <s v="CIVIL"/>
    <d v="2023-06-28T00:00:00"/>
    <d v="2023-07-07T19:03:00"/>
    <m/>
    <d v="2023-07-07T00:00:00"/>
    <n v="2001"/>
    <n v="8025"/>
    <s v="61069071"/>
    <s v="61069071"/>
    <m/>
    <m/>
    <n v="22783130"/>
    <m/>
    <m/>
    <m/>
    <s v="SOLFIN"/>
    <s v="SOLFIN"/>
    <s v="CCMS"/>
    <n v="21343991"/>
    <n v="2622.78"/>
    <m/>
    <s v="N"/>
    <n v="28"/>
    <d v="2023-07-07T19:03:19"/>
    <s v="Y"/>
    <s v="Preparation - other"/>
    <s v="Prescribed Hourly Rates"/>
    <s v="Profit Cost"/>
    <s v="HM"/>
    <s v="Y"/>
    <n v="8.24"/>
    <n v="1.65"/>
    <x v="9"/>
    <s v="VALIDATED"/>
    <n v="1"/>
    <s v="01.11.80.307.6100.0000"/>
    <n v="8.24"/>
    <s v="11"/>
    <s v="6100"/>
    <n v="14387.73"/>
    <n v="8.24"/>
    <s v="CREDITOR"/>
    <n v="0"/>
    <n v="0"/>
    <n v="0"/>
    <n v="0"/>
    <n v="8.24"/>
  </r>
  <r>
    <n v="61782434"/>
    <s v="N"/>
    <n v="21330609"/>
    <s v="3000015858760003"/>
    <s v="CIVIL"/>
    <d v="2023-06-28T00:00:00"/>
    <d v="2023-07-05T19:01:47"/>
    <m/>
    <d v="2023-07-05T00:00:00"/>
    <n v="2001"/>
    <n v="8025"/>
    <s v="61782434"/>
    <s v="61782434"/>
    <m/>
    <m/>
    <n v="22779158"/>
    <m/>
    <m/>
    <m/>
    <s v="SOLFIN"/>
    <s v="SOLFIN"/>
    <s v="CCMS"/>
    <n v="21330609"/>
    <n v="3887.91"/>
    <m/>
    <s v="N"/>
    <n v="6"/>
    <d v="2023-07-05T19:01:51"/>
    <s v="Y"/>
    <s v="Solicitors Fixed Fee"/>
    <s v="Public Law Children"/>
    <s v="Profit Cost"/>
    <s v="HW"/>
    <s v="Y"/>
    <n v="1911"/>
    <n v="382.2"/>
    <x v="6"/>
    <s v="VALIDATED"/>
    <n v="1"/>
    <s v="01.11.80.308.6100.0000"/>
    <n v="1911"/>
    <s v="11"/>
    <s v="6100"/>
    <n v="14387.73"/>
    <n v="1911"/>
    <s v="CREDITOR"/>
    <n v="0"/>
    <n v="0"/>
    <n v="0"/>
    <n v="0"/>
    <n v="1911"/>
  </r>
  <r>
    <n v="60205196"/>
    <s v="N"/>
    <n v="21350151"/>
    <s v="3000014511920019"/>
    <s v="CIVIL"/>
    <d v="2023-06-27T00:00:00"/>
    <d v="2023-07-10T19:01:40"/>
    <m/>
    <d v="2023-07-10T00:00:00"/>
    <n v="2001"/>
    <n v="8025"/>
    <s v="60205196"/>
    <s v="60205196"/>
    <m/>
    <m/>
    <n v="22772812"/>
    <m/>
    <m/>
    <m/>
    <s v="SOLFIN"/>
    <s v="SOLFIN"/>
    <s v="CCMS"/>
    <n v="21350151"/>
    <n v="11333.33"/>
    <m/>
    <s v="N"/>
    <n v="2"/>
    <d v="2023-07-10T19:02:15"/>
    <s v="Y"/>
    <s v="Paediatrician"/>
    <s v="Public Law Children"/>
    <s v="Expert Disbursement"/>
    <s v="DW"/>
    <s v="Y"/>
    <n v="108"/>
    <n v="21.6"/>
    <x v="2"/>
    <s v="VALIDATED"/>
    <n v="1"/>
    <s v="01.11.80.308.6300.0000"/>
    <n v="108"/>
    <s v="11"/>
    <s v="6300"/>
    <n v="14387.73"/>
    <n v="108"/>
    <s v="CREDITOR"/>
    <n v="0"/>
    <n v="0"/>
    <n v="0"/>
    <n v="0"/>
    <n v="108"/>
  </r>
  <r>
    <n v="60650441"/>
    <s v="N"/>
    <n v="21349931"/>
    <s v="3000014900700006"/>
    <s v="CIVIL"/>
    <d v="2023-06-28T00:00:00"/>
    <d v="2023-07-10T19:01:40"/>
    <m/>
    <d v="2023-07-10T00:00:00"/>
    <n v="2001"/>
    <n v="8025"/>
    <s v="60650441"/>
    <s v="60650441"/>
    <m/>
    <m/>
    <n v="22782816"/>
    <m/>
    <m/>
    <m/>
    <s v="SOLFIN"/>
    <s v="SOLFIN"/>
    <s v="CCMS"/>
    <n v="21349931"/>
    <n v="6058.36"/>
    <m/>
    <s v="N"/>
    <n v="3"/>
    <d v="2023-07-10T19:02:04"/>
    <s v="Y"/>
    <s v="Profit Costs (Summary)"/>
    <s v="Private Law Children"/>
    <s v="Profit Cost"/>
    <s v="LH"/>
    <s v="Y"/>
    <n v="2637.13"/>
    <n v="527.4299999999999"/>
    <x v="2"/>
    <s v="VALIDATED"/>
    <n v="1"/>
    <s v="01.11.80.307.6100.0000"/>
    <n v="2637.13"/>
    <s v="11"/>
    <s v="6100"/>
    <n v="14387.73"/>
    <n v="2637.13"/>
    <s v="CREDITOR"/>
    <n v="0"/>
    <n v="0"/>
    <n v="0"/>
    <n v="0"/>
    <n v="2637.13"/>
  </r>
  <r>
    <n v="61069071"/>
    <s v="N"/>
    <n v="21343991"/>
    <s v="3000015259830006"/>
    <s v="CIVIL"/>
    <d v="2023-06-28T00:00:00"/>
    <d v="2023-07-07T19:03:00"/>
    <m/>
    <d v="2023-07-07T00:00:00"/>
    <n v="2001"/>
    <n v="8025"/>
    <s v="61069071"/>
    <s v="61069071"/>
    <m/>
    <m/>
    <n v="22783130"/>
    <m/>
    <m/>
    <m/>
    <s v="SOLFIN"/>
    <s v="SOLFIN"/>
    <s v="CCMS"/>
    <n v="21343991"/>
    <n v="2622.78"/>
    <m/>
    <s v="N"/>
    <n v="13"/>
    <d v="2023-07-07T19:03:19"/>
    <s v="Y"/>
    <s v="Preparation - other"/>
    <s v="Prescribed Hourly Rates"/>
    <s v="Profit Cost"/>
    <s v="HM"/>
    <s v="Y"/>
    <n v="6.31"/>
    <n v="1.26"/>
    <x v="9"/>
    <s v="VALIDATED"/>
    <n v="1"/>
    <s v="01.11.80.307.6100.0000"/>
    <n v="6.31"/>
    <s v="11"/>
    <s v="6100"/>
    <n v="14387.73"/>
    <n v="6.31"/>
    <s v="CREDITOR"/>
    <n v="0"/>
    <n v="0"/>
    <n v="0"/>
    <n v="0"/>
    <n v="6.31"/>
  </r>
  <r>
    <n v="61001485"/>
    <s v="N"/>
    <n v="21327785"/>
    <s v="3000015208370008"/>
    <s v="CIVIL"/>
    <d v="2023-06-23T00:00:00"/>
    <d v="2023-07-04T19:00:44"/>
    <m/>
    <d v="2023-07-04T00:00:00"/>
    <n v="2001"/>
    <n v="8025"/>
    <s v="61001485"/>
    <s v="61001485"/>
    <m/>
    <m/>
    <n v="22748910"/>
    <m/>
    <m/>
    <m/>
    <s v="SOLFIN"/>
    <s v="SOLFIN"/>
    <s v="CCMS"/>
    <n v="21327785"/>
    <n v="8400.68"/>
    <m/>
    <s v="N"/>
    <n v="11"/>
    <d v="2023-07-04T19:00:54"/>
    <s v="Y"/>
    <s v="Advocates Meeting"/>
    <s v="Public Law Children"/>
    <s v="Advocacy"/>
    <s v="DW"/>
    <s v="Y"/>
    <n v="140.99"/>
    <n v="28.2"/>
    <x v="1"/>
    <s v="VALIDATED"/>
    <n v="1"/>
    <s v="01.11.80.308.6100.0000"/>
    <n v="140.99"/>
    <s v="11"/>
    <s v="6100"/>
    <n v="14387.73"/>
    <n v="140.99"/>
    <s v="CREDITOR"/>
    <n v="0"/>
    <n v="0"/>
    <n v="0"/>
    <n v="0"/>
    <n v="140.99"/>
  </r>
  <r>
    <n v="61001485"/>
    <s v="N"/>
    <n v="21327785"/>
    <s v="3000015208370008"/>
    <s v="CIVIL"/>
    <d v="2023-06-23T00:00:00"/>
    <d v="2023-07-04T19:00:44"/>
    <m/>
    <d v="2023-07-04T00:00:00"/>
    <n v="2001"/>
    <n v="8025"/>
    <s v="61001485"/>
    <s v="61001485"/>
    <m/>
    <m/>
    <n v="22748910"/>
    <m/>
    <m/>
    <m/>
    <s v="SOLFIN"/>
    <s v="SOLFIN"/>
    <s v="CCMS"/>
    <n v="21327785"/>
    <n v="8400.68"/>
    <m/>
    <s v="N"/>
    <n v="8"/>
    <d v="2023-07-04T19:00:54"/>
    <s v="Y"/>
    <s v="DNA - test of sample"/>
    <s v="Public Law Children"/>
    <s v="Expert Disbursement"/>
    <s v="DW"/>
    <s v="Y"/>
    <n v="238.5"/>
    <n v="47.7"/>
    <x v="1"/>
    <s v="VALIDATED"/>
    <n v="1"/>
    <s v="01.11.80.308.6300.0000"/>
    <n v="238.5"/>
    <s v="11"/>
    <s v="6300"/>
    <n v="14387.73"/>
    <n v="238.5"/>
    <s v="CREDITOR"/>
    <n v="0"/>
    <n v="0"/>
    <n v="0"/>
    <n v="0"/>
    <n v="238.5"/>
  </r>
  <r>
    <n v="59912784"/>
    <s v="N"/>
    <n v="21360354"/>
    <s v="3000014267870006"/>
    <s v="CIVIL"/>
    <d v="2023-06-30T00:00:00"/>
    <d v="2023-07-11T11:50:54"/>
    <m/>
    <d v="2023-07-11T00:00:00"/>
    <n v="2001"/>
    <n v="8025"/>
    <s v="59912784"/>
    <s v="59912784"/>
    <m/>
    <m/>
    <n v="22800284"/>
    <m/>
    <m/>
    <m/>
    <s v="SOLFIN"/>
    <s v="SOLFIN"/>
    <s v="CCMS"/>
    <n v="21360354"/>
    <n v="5014.26"/>
    <m/>
    <s v="N"/>
    <n v="14"/>
    <d v="2023-07-11T11:51:03"/>
    <s v="N"/>
    <s v="Level 3 Fixed Fee"/>
    <s v="Private Law Children"/>
    <s v="Profit Cost"/>
    <s v="CA"/>
    <s v="N"/>
    <n v="0"/>
    <n v="0"/>
    <x v="7"/>
    <s v="VALIDATED"/>
    <n v="1"/>
    <s v="01.11.80.307.6100.0000"/>
    <n v="0"/>
    <s v="11"/>
    <s v="6100"/>
    <n v="14387.73"/>
    <n v="0"/>
    <s v="CREDITOR"/>
    <n v="0"/>
    <n v="0"/>
    <n v="0"/>
    <n v="0"/>
    <n v="0"/>
  </r>
  <r>
    <n v="61069071"/>
    <s v="N"/>
    <n v="21343991"/>
    <s v="3000015259830006"/>
    <s v="CIVIL"/>
    <d v="2023-06-28T00:00:00"/>
    <d v="2023-07-07T19:03:00"/>
    <m/>
    <d v="2023-07-07T00:00:00"/>
    <n v="2001"/>
    <n v="8025"/>
    <s v="61069071"/>
    <s v="61069071"/>
    <m/>
    <m/>
    <n v="22783130"/>
    <m/>
    <m/>
    <m/>
    <s v="SOLFIN"/>
    <s v="SOLFIN"/>
    <s v="CCMS"/>
    <n v="21343991"/>
    <n v="2622.78"/>
    <m/>
    <s v="N"/>
    <n v="19"/>
    <d v="2023-07-07T19:03:19"/>
    <s v="Y"/>
    <s v="Attendance upon client"/>
    <s v="Prescribed Hourly Rates"/>
    <s v="Profit Cost"/>
    <s v="HM"/>
    <s v="Y"/>
    <n v="24.71"/>
    <n v="4.94"/>
    <x v="9"/>
    <s v="VALIDATED"/>
    <n v="1"/>
    <s v="01.11.80.307.6100.0000"/>
    <n v="24.71"/>
    <s v="11"/>
    <s v="6100"/>
    <n v="14387.73"/>
    <n v="24.71"/>
    <s v="CREDITOR"/>
    <n v="0"/>
    <n v="0"/>
    <n v="0"/>
    <n v="0"/>
    <n v="24.71"/>
  </r>
  <r>
    <n v="60650911"/>
    <s v="N"/>
    <n v="21343246"/>
    <s v="3000014905280011"/>
    <s v="CIVIL"/>
    <d v="2023-06-28T00:00:00"/>
    <d v="2023-07-07T19:03:00"/>
    <m/>
    <d v="2023-07-07T00:00:00"/>
    <n v="2001"/>
    <n v="8025"/>
    <s v="60650911"/>
    <s v="60650911"/>
    <m/>
    <m/>
    <n v="22779324"/>
    <m/>
    <m/>
    <m/>
    <s v="SOLFIN"/>
    <s v="SOLFIN"/>
    <s v="CCMS"/>
    <n v="21343246"/>
    <n v="2175.21"/>
    <m/>
    <s v="N"/>
    <n v="1"/>
    <d v="2023-07-07T19:03:05"/>
    <s v="Y"/>
    <s v="Final Hearing Court Bundle/Advocate"/>
    <s v="Public Law Children"/>
    <s v="Advocacy"/>
    <s v="HM"/>
    <s v="Y"/>
    <n v="159.3"/>
    <n v="31.86"/>
    <x v="9"/>
    <s v="VALIDATED"/>
    <n v="1"/>
    <s v="01.11.80.308.6100.0000"/>
    <n v="159.3"/>
    <s v="11"/>
    <s v="6100"/>
    <n v="14387.73"/>
    <n v="159.3"/>
    <s v="CREDITOR"/>
    <n v="0"/>
    <n v="0"/>
    <n v="0"/>
    <n v="0"/>
    <n v="159.3"/>
  </r>
  <r>
    <n v="61782434"/>
    <s v="N"/>
    <n v="21330609"/>
    <s v="3000015858760003"/>
    <s v="CIVIL"/>
    <d v="2023-06-28T00:00:00"/>
    <d v="2023-07-05T19:01:47"/>
    <m/>
    <d v="2023-07-05T00:00:00"/>
    <n v="2001"/>
    <n v="8025"/>
    <s v="61782434"/>
    <s v="61782434"/>
    <m/>
    <m/>
    <n v="22779158"/>
    <m/>
    <m/>
    <m/>
    <s v="SOLFIN"/>
    <s v="SOLFIN"/>
    <s v="CCMS"/>
    <n v="21330609"/>
    <n v="3887.91"/>
    <m/>
    <s v="N"/>
    <n v="2"/>
    <d v="2023-07-05T19:01:51"/>
    <s v="Y"/>
    <s v="Toxicologist"/>
    <s v="Public Law Children"/>
    <s v="Expert Disbursement"/>
    <s v="HW"/>
    <s v="Y"/>
    <n v="101.6"/>
    <n v="20.32"/>
    <x v="6"/>
    <s v="VALIDATED"/>
    <n v="1"/>
    <s v="01.11.80.308.6300.0000"/>
    <n v="101.6"/>
    <s v="11"/>
    <s v="6300"/>
    <n v="14387.73"/>
    <n v="101.6"/>
    <s v="CREDITOR"/>
    <n v="0"/>
    <n v="0"/>
    <n v="0"/>
    <n v="0"/>
    <n v="101.6"/>
  </r>
  <r>
    <n v="61001710"/>
    <s v="N"/>
    <n v="21318973"/>
    <s v="3000015208530001"/>
    <s v="CIVIL"/>
    <d v="2023-06-23T00:00:00"/>
    <d v="2023-07-03T19:01:49"/>
    <m/>
    <d v="2023-07-03T00:00:00"/>
    <n v="2001"/>
    <n v="8025"/>
    <s v="61001710"/>
    <s v="61001710"/>
    <m/>
    <m/>
    <n v="22749642"/>
    <m/>
    <m/>
    <m/>
    <s v="SOLFIN"/>
    <s v="SOLFIN"/>
    <s v="CCMS"/>
    <n v="21318973"/>
    <n v="0"/>
    <m/>
    <s v="N"/>
    <n v="1"/>
    <d v="2023-07-03T19:02:05"/>
    <s v="N"/>
    <s v="NIL BILL"/>
    <s v="Public Law Children"/>
    <s v="Profit Cost"/>
    <s v="DW"/>
    <s v="N"/>
    <n v="0"/>
    <n v="0"/>
    <x v="3"/>
    <s v="VALIDATED"/>
    <n v="1"/>
    <s v="01.11.80.308.6100.0000"/>
    <n v="0"/>
    <s v="11"/>
    <s v="6100"/>
    <n v="14387.73"/>
    <n v="0"/>
    <s v="CREDITOR"/>
    <n v="0"/>
    <n v="0"/>
    <n v="0"/>
    <n v="0"/>
    <n v="0"/>
  </r>
  <r>
    <n v="60742219"/>
    <s v="N"/>
    <n v="21349335"/>
    <s v="3000014985080020"/>
    <s v="CIVIL"/>
    <d v="2023-06-29T00:00:00"/>
    <d v="2023-07-10T19:01:40"/>
    <m/>
    <d v="2023-07-10T00:00:00"/>
    <n v="2001"/>
    <n v="8025"/>
    <s v="60742219"/>
    <s v="60742219"/>
    <m/>
    <m/>
    <n v="22789966"/>
    <m/>
    <m/>
    <m/>
    <s v="SOLFIN"/>
    <s v="SOLFIN"/>
    <s v="CCMS"/>
    <n v="21349335"/>
    <n v="5928.57"/>
    <m/>
    <s v="N"/>
    <n v="1"/>
    <d v="2023-07-10T19:01:47"/>
    <s v="Y"/>
    <s v="Final Hearing Court Bundle/Advocate"/>
    <s v="Public Law Children"/>
    <s v="Advocacy"/>
    <s v="HM"/>
    <s v="Y"/>
    <n v="159.3"/>
    <n v="31.86"/>
    <x v="2"/>
    <s v="VALIDATED"/>
    <n v="1"/>
    <s v="01.11.80.308.6100.0000"/>
    <n v="159.3"/>
    <s v="11"/>
    <s v="6100"/>
    <n v="14387.73"/>
    <n v="159.3"/>
    <s v="CREDITOR"/>
    <n v="0"/>
    <n v="0"/>
    <n v="0"/>
    <n v="0"/>
    <n v="159.3"/>
  </r>
  <r>
    <n v="60205196"/>
    <s v="N"/>
    <n v="21350151"/>
    <s v="3000014511920019"/>
    <s v="CIVIL"/>
    <d v="2023-06-27T00:00:00"/>
    <d v="2023-07-10T19:01:40"/>
    <m/>
    <d v="2023-07-10T00:00:00"/>
    <n v="2001"/>
    <n v="8025"/>
    <s v="60205196"/>
    <s v="60205196"/>
    <m/>
    <m/>
    <n v="22772812"/>
    <m/>
    <m/>
    <m/>
    <s v="SOLFIN"/>
    <s v="SOLFIN"/>
    <s v="CCMS"/>
    <n v="21350151"/>
    <n v="11333.33"/>
    <m/>
    <s v="N"/>
    <n v="17"/>
    <d v="2023-07-10T19:02:15"/>
    <s v="Y"/>
    <s v="Advocates Meeting"/>
    <s v="Public Law Children"/>
    <s v="Advocacy"/>
    <s v="DW"/>
    <s v="Y"/>
    <n v="140.99"/>
    <n v="28.2"/>
    <x v="2"/>
    <s v="VALIDATED"/>
    <n v="1"/>
    <s v="01.11.80.308.6100.0000"/>
    <n v="140.99"/>
    <s v="11"/>
    <s v="6100"/>
    <n v="14387.73"/>
    <n v="140.99"/>
    <s v="CREDITOR"/>
    <n v="0"/>
    <n v="0"/>
    <n v="0"/>
    <n v="0"/>
    <n v="140.99"/>
  </r>
  <r>
    <n v="60742219"/>
    <s v="N"/>
    <n v="21349335"/>
    <s v="3000014985080020"/>
    <s v="CIVIL"/>
    <d v="2023-06-29T00:00:00"/>
    <d v="2023-07-10T19:01:40"/>
    <m/>
    <d v="2023-07-10T00:00:00"/>
    <n v="2001"/>
    <n v="8025"/>
    <s v="60742219"/>
    <s v="60742219"/>
    <m/>
    <m/>
    <n v="22789966"/>
    <m/>
    <m/>
    <m/>
    <s v="SOLFIN"/>
    <s v="SOLFIN"/>
    <s v="CCMS"/>
    <n v="21349335"/>
    <n v="5928.57"/>
    <m/>
    <s v="N"/>
    <n v="8"/>
    <d v="2023-07-10T19:01:47"/>
    <s v="Y"/>
    <s v="Interpreter"/>
    <s v="Public Law Children"/>
    <s v="Expert Disbursement"/>
    <s v="HM"/>
    <s v="Y"/>
    <n v="56"/>
    <n v="0"/>
    <x v="2"/>
    <s v="VALIDATED"/>
    <n v="1"/>
    <s v="01.11.80.308.6300.0000"/>
    <n v="56"/>
    <s v="11"/>
    <s v="6300"/>
    <n v="14387.73"/>
    <n v="56"/>
    <s v="CREDITOR"/>
    <n v="0"/>
    <n v="0"/>
    <n v="0"/>
    <n v="0"/>
    <n v="56"/>
  </r>
  <r>
    <n v="61069071"/>
    <s v="N"/>
    <n v="21343991"/>
    <s v="3000015259830006"/>
    <s v="CIVIL"/>
    <d v="2023-06-28T00:00:00"/>
    <d v="2023-07-07T19:03:00"/>
    <m/>
    <d v="2023-07-07T00:00:00"/>
    <n v="2001"/>
    <n v="8025"/>
    <s v="61069071"/>
    <s v="61069071"/>
    <m/>
    <m/>
    <n v="22783130"/>
    <m/>
    <m/>
    <m/>
    <s v="SOLFIN"/>
    <s v="SOLFIN"/>
    <s v="CCMS"/>
    <n v="21343991"/>
    <n v="2622.78"/>
    <m/>
    <s v="N"/>
    <n v="14"/>
    <d v="2023-07-07T19:03:19"/>
    <s v="Y"/>
    <s v="Preparation - other"/>
    <s v="Prescribed Hourly Rates"/>
    <s v="Profit Cost"/>
    <s v="HM"/>
    <s v="Y"/>
    <n v="8.24"/>
    <n v="1.65"/>
    <x v="9"/>
    <s v="VALIDATED"/>
    <n v="1"/>
    <s v="01.11.80.307.6100.0000"/>
    <n v="8.24"/>
    <s v="11"/>
    <s v="6100"/>
    <n v="14387.73"/>
    <n v="8.24"/>
    <s v="CREDITOR"/>
    <n v="0"/>
    <n v="0"/>
    <n v="0"/>
    <n v="0"/>
    <n v="8.24"/>
  </r>
  <r>
    <n v="61069071"/>
    <s v="N"/>
    <n v="21343991"/>
    <s v="3000015259830006"/>
    <s v="CIVIL"/>
    <d v="2023-06-28T00:00:00"/>
    <d v="2023-07-07T19:03:00"/>
    <m/>
    <d v="2023-07-07T00:00:00"/>
    <n v="2001"/>
    <n v="8025"/>
    <s v="61069071"/>
    <s v="61069071"/>
    <m/>
    <m/>
    <n v="22783130"/>
    <m/>
    <m/>
    <m/>
    <s v="SOLFIN"/>
    <s v="SOLFIN"/>
    <s v="CCMS"/>
    <n v="21343991"/>
    <n v="2622.78"/>
    <m/>
    <s v="N"/>
    <n v="26"/>
    <d v="2023-07-07T19:03:19"/>
    <s v="Y"/>
    <s v="Preparation - other"/>
    <s v="Prescribed Hourly Rates"/>
    <s v="Profit Cost"/>
    <s v="HM"/>
    <s v="Y"/>
    <n v="8.24"/>
    <n v="1.65"/>
    <x v="9"/>
    <s v="VALIDATED"/>
    <n v="1"/>
    <s v="01.11.80.307.6100.0000"/>
    <n v="8.24"/>
    <s v="11"/>
    <s v="6100"/>
    <n v="14387.73"/>
    <n v="8.24"/>
    <s v="CREDITOR"/>
    <n v="0"/>
    <n v="0"/>
    <n v="0"/>
    <n v="0"/>
    <n v="8.24"/>
  </r>
  <r>
    <n v="60816284"/>
    <s v="N"/>
    <n v="21338459"/>
    <s v="3000015049370008"/>
    <s v="CIVIL"/>
    <d v="2023-06-27T00:00:00"/>
    <d v="2023-07-06T19:21:01"/>
    <m/>
    <d v="2023-07-06T00:00:00"/>
    <n v="2001"/>
    <n v="8025"/>
    <s v="60816284"/>
    <s v="60816284"/>
    <m/>
    <m/>
    <n v="22774066"/>
    <m/>
    <m/>
    <m/>
    <s v="SOLFIN"/>
    <s v="SOLFIN"/>
    <s v="CCMS"/>
    <n v="21338459"/>
    <n v="6853.17"/>
    <m/>
    <s v="N"/>
    <n v="8"/>
    <d v="2023-07-06T19:21:25"/>
    <s v="Y"/>
    <s v="Hearing Unit 2.31 - 5.00 Hours"/>
    <s v="Public Law Children"/>
    <s v="Advocacy"/>
    <s v="HM"/>
    <s v="Y"/>
    <n v="476.92"/>
    <n v="95.38"/>
    <x v="4"/>
    <s v="VALIDATED"/>
    <n v="1"/>
    <s v="01.11.80.308.6100.0000"/>
    <n v="476.92"/>
    <s v="11"/>
    <s v="6100"/>
    <n v="14387.73"/>
    <n v="476.92"/>
    <s v="CREDITOR"/>
    <n v="0"/>
    <n v="0"/>
    <n v="0"/>
    <n v="0"/>
    <n v="476.92"/>
  </r>
  <r>
    <n v="59912784"/>
    <s v="N"/>
    <n v="21360354"/>
    <s v="3000014267870006"/>
    <s v="CIVIL"/>
    <d v="2023-06-30T00:00:00"/>
    <d v="2023-07-11T11:50:54"/>
    <m/>
    <d v="2023-07-11T00:00:00"/>
    <n v="2001"/>
    <n v="8025"/>
    <s v="59912784"/>
    <s v="59912784"/>
    <m/>
    <m/>
    <n v="22800284"/>
    <m/>
    <m/>
    <m/>
    <s v="SOLFIN"/>
    <s v="SOLFIN"/>
    <s v="CCMS"/>
    <n v="21360354"/>
    <n v="5014.26"/>
    <m/>
    <s v="N"/>
    <n v="7"/>
    <d v="2023-07-11T11:51:03"/>
    <s v="Y"/>
    <s v="Court Fee"/>
    <s v="Private Law Children"/>
    <s v="Non Expert Disbursement"/>
    <s v="CA"/>
    <s v="Y"/>
    <n v="53"/>
    <n v="0"/>
    <x v="7"/>
    <s v="VALIDATED"/>
    <n v="1"/>
    <s v="01.11.80.307.6300.0000"/>
    <n v="53"/>
    <s v="11"/>
    <s v="6300"/>
    <n v="14387.73"/>
    <n v="53"/>
    <s v="CREDITOR"/>
    <n v="0"/>
    <n v="0"/>
    <n v="0"/>
    <n v="0"/>
    <n v="53"/>
  </r>
  <r>
    <n v="60205196"/>
    <s v="N"/>
    <n v="21350151"/>
    <s v="3000014511920019"/>
    <s v="CIVIL"/>
    <d v="2023-06-27T00:00:00"/>
    <d v="2023-07-10T19:01:40"/>
    <m/>
    <d v="2023-07-10T00:00:00"/>
    <n v="2001"/>
    <n v="8025"/>
    <s v="60205196"/>
    <s v="60205196"/>
    <m/>
    <m/>
    <n v="22772812"/>
    <m/>
    <m/>
    <m/>
    <s v="SOLFIN"/>
    <s v="SOLFIN"/>
    <s v="CCMS"/>
    <n v="21350151"/>
    <n v="11333.33"/>
    <m/>
    <s v="N"/>
    <n v="14"/>
    <d v="2023-07-10T19:02:15"/>
    <s v="Y"/>
    <s v="Advocates Meeting"/>
    <s v="Public Law Children"/>
    <s v="Advocacy"/>
    <s v="DW"/>
    <s v="Y"/>
    <n v="140.99"/>
    <n v="28.2"/>
    <x v="2"/>
    <s v="VALIDATED"/>
    <n v="1"/>
    <s v="01.11.80.308.6100.0000"/>
    <n v="140.99"/>
    <s v="11"/>
    <s v="6100"/>
    <n v="14387.73"/>
    <n v="140.99"/>
    <s v="CREDITOR"/>
    <n v="0"/>
    <n v="0"/>
    <n v="0"/>
    <n v="0"/>
    <n v="140.99"/>
  </r>
  <r>
    <n v="59912784"/>
    <s v="N"/>
    <n v="21360354"/>
    <s v="3000014267870006"/>
    <s v="CIVIL"/>
    <d v="2023-06-30T00:00:00"/>
    <d v="2023-07-11T11:50:54"/>
    <m/>
    <d v="2023-07-11T00:00:00"/>
    <n v="2001"/>
    <n v="8025"/>
    <s v="59912784"/>
    <s v="59912784"/>
    <m/>
    <m/>
    <n v="22800284"/>
    <m/>
    <m/>
    <m/>
    <s v="SOLFIN"/>
    <s v="SOLFIN"/>
    <s v="CCMS"/>
    <n v="21360354"/>
    <n v="5014.26"/>
    <m/>
    <s v="N"/>
    <n v="6"/>
    <d v="2023-07-11T11:51:03"/>
    <s v="Y"/>
    <s v="Solicitor Travel Mileage"/>
    <s v="Private Law Children"/>
    <s v="Non Expert Disbursement"/>
    <s v="CA"/>
    <s v="Y"/>
    <n v="25.2"/>
    <n v="5.04"/>
    <x v="7"/>
    <s v="VALIDATED"/>
    <n v="1"/>
    <s v="01.11.80.307.6300.0000"/>
    <n v="25.2"/>
    <s v="11"/>
    <s v="6300"/>
    <n v="14387.73"/>
    <n v="25.2"/>
    <s v="CREDITOR"/>
    <n v="0"/>
    <n v="0"/>
    <n v="0"/>
    <n v="0"/>
    <n v="25.2"/>
  </r>
  <r>
    <n v="60650911"/>
    <s v="N"/>
    <n v="21343246"/>
    <s v="3000014905280011"/>
    <s v="CIVIL"/>
    <d v="2023-06-28T00:00:00"/>
    <d v="2023-07-07T19:03:00"/>
    <m/>
    <d v="2023-07-07T00:00:00"/>
    <n v="2001"/>
    <n v="8025"/>
    <s v="60650911"/>
    <s v="60650911"/>
    <m/>
    <m/>
    <n v="22779324"/>
    <m/>
    <m/>
    <m/>
    <s v="SOLFIN"/>
    <s v="SOLFIN"/>
    <s v="CCMS"/>
    <n v="21343246"/>
    <n v="2175.21"/>
    <m/>
    <s v="N"/>
    <n v="2"/>
    <d v="2023-07-07T19:03:05"/>
    <s v="Y"/>
    <s v="Final Hearing - 1 Day"/>
    <s v="Public Law Children"/>
    <s v="Advocacy"/>
    <s v="HM"/>
    <s v="Y"/>
    <n v="556.88"/>
    <n v="111.38"/>
    <x v="9"/>
    <s v="VALIDATED"/>
    <n v="1"/>
    <s v="01.11.80.308.6100.0000"/>
    <n v="556.88"/>
    <s v="11"/>
    <s v="6100"/>
    <n v="14387.73"/>
    <n v="556.88"/>
    <s v="CREDITOR"/>
    <n v="0"/>
    <n v="0"/>
    <n v="0"/>
    <n v="0"/>
    <n v="556.88"/>
  </r>
  <r>
    <n v="61069071"/>
    <s v="N"/>
    <n v="21343991"/>
    <s v="3000015259830006"/>
    <s v="CIVIL"/>
    <d v="2023-06-28T00:00:00"/>
    <d v="2023-07-07T19:03:00"/>
    <m/>
    <d v="2023-07-07T00:00:00"/>
    <n v="2001"/>
    <n v="8025"/>
    <s v="61069071"/>
    <s v="61069071"/>
    <m/>
    <m/>
    <n v="22783130"/>
    <m/>
    <m/>
    <m/>
    <s v="SOLFIN"/>
    <s v="SOLFIN"/>
    <s v="CCMS"/>
    <n v="21343991"/>
    <n v="2622.78"/>
    <m/>
    <s v="N"/>
    <n v="65"/>
    <d v="2023-07-07T19:03:19"/>
    <s v="Y"/>
    <s v="Court Fee"/>
    <s v="Prescribed Hourly Rates"/>
    <s v="Non Expert Disbursement"/>
    <s v="HM"/>
    <s v="Y"/>
    <n v="14"/>
    <n v="0"/>
    <x v="9"/>
    <s v="VALIDATED"/>
    <n v="1"/>
    <s v="01.11.80.307.6300.0000"/>
    <n v="14"/>
    <s v="11"/>
    <s v="6300"/>
    <n v="14387.73"/>
    <n v="14"/>
    <s v="CREDITOR"/>
    <n v="0"/>
    <n v="0"/>
    <n v="0"/>
    <n v="0"/>
    <n v="14"/>
  </r>
  <r>
    <n v="61069071"/>
    <s v="N"/>
    <n v="21343991"/>
    <s v="3000015259830006"/>
    <s v="CIVIL"/>
    <d v="2023-06-28T00:00:00"/>
    <d v="2023-07-07T19:03:00"/>
    <m/>
    <d v="2023-07-07T00:00:00"/>
    <n v="2001"/>
    <n v="8025"/>
    <s v="61069071"/>
    <s v="61069071"/>
    <m/>
    <m/>
    <n v="22783130"/>
    <m/>
    <m/>
    <m/>
    <s v="SOLFIN"/>
    <s v="SOLFIN"/>
    <s v="CCMS"/>
    <n v="21343991"/>
    <n v="2622.78"/>
    <m/>
    <s v="N"/>
    <n v="5"/>
    <d v="2023-07-07T19:03:19"/>
    <s v="Y"/>
    <s v="Preparation - other"/>
    <s v="Prescribed Hourly Rates"/>
    <s v="Profit Cost"/>
    <s v="HM"/>
    <s v="Y"/>
    <n v="6.31"/>
    <n v="1.26"/>
    <x v="9"/>
    <s v="VALIDATED"/>
    <n v="1"/>
    <s v="01.11.80.307.6100.0000"/>
    <n v="6.31"/>
    <s v="11"/>
    <s v="6100"/>
    <n v="14387.73"/>
    <n v="6.31"/>
    <s v="CREDITOR"/>
    <n v="0"/>
    <n v="0"/>
    <n v="0"/>
    <n v="0"/>
    <n v="6.31"/>
  </r>
  <r>
    <n v="61069071"/>
    <s v="N"/>
    <n v="21343991"/>
    <s v="3000015259830006"/>
    <s v="CIVIL"/>
    <d v="2023-06-28T00:00:00"/>
    <d v="2023-07-07T19:03:00"/>
    <m/>
    <d v="2023-07-07T00:00:00"/>
    <n v="2001"/>
    <n v="8025"/>
    <s v="61069071"/>
    <s v="61069071"/>
    <m/>
    <m/>
    <n v="22783130"/>
    <m/>
    <m/>
    <m/>
    <s v="SOLFIN"/>
    <s v="SOLFIN"/>
    <s v="CCMS"/>
    <n v="21343991"/>
    <n v="2622.78"/>
    <m/>
    <s v="N"/>
    <n v="17"/>
    <d v="2023-07-07T19:03:19"/>
    <s v="Y"/>
    <s v="Preparation - other"/>
    <s v="Prescribed Hourly Rates"/>
    <s v="Profit Cost"/>
    <s v="HM"/>
    <s v="Y"/>
    <n v="41.18"/>
    <n v="8.24"/>
    <x v="9"/>
    <s v="VALIDATED"/>
    <n v="1"/>
    <s v="01.11.80.307.6100.0000"/>
    <n v="41.18"/>
    <s v="11"/>
    <s v="6100"/>
    <n v="14387.73"/>
    <n v="41.18"/>
    <s v="CREDITOR"/>
    <n v="0"/>
    <n v="0"/>
    <n v="0"/>
    <n v="0"/>
    <n v="41.18"/>
  </r>
  <r>
    <n v="59912784"/>
    <s v="N"/>
    <n v="21360354"/>
    <s v="3000014267870006"/>
    <s v="CIVIL"/>
    <d v="2023-06-30T00:00:00"/>
    <d v="2023-07-11T11:50:54"/>
    <m/>
    <d v="2023-07-11T00:00:00"/>
    <n v="2001"/>
    <n v="8025"/>
    <s v="59912784"/>
    <s v="59912784"/>
    <m/>
    <m/>
    <n v="22800284"/>
    <m/>
    <m/>
    <m/>
    <s v="SOLFIN"/>
    <s v="SOLFIN"/>
    <s v="CCMS"/>
    <n v="21360354"/>
    <n v="5014.26"/>
    <m/>
    <s v="N"/>
    <n v="10"/>
    <d v="2023-07-11T11:51:03"/>
    <s v="Y"/>
    <s v="Hearing Unit 1.01 - 2.30 Hours"/>
    <s v="Private Law Children"/>
    <s v="Advocacy"/>
    <s v="CB"/>
    <s v="Y"/>
    <n v="172.4"/>
    <n v="34.48"/>
    <x v="7"/>
    <s v="VALIDATED"/>
    <n v="1"/>
    <s v="01.11.80.307.6100.0000"/>
    <n v="172.4"/>
    <s v="11"/>
    <s v="6100"/>
    <n v="14387.73"/>
    <n v="172.4"/>
    <s v="CREDITOR"/>
    <n v="0"/>
    <n v="0"/>
    <n v="0"/>
    <n v="0"/>
    <n v="172.4"/>
  </r>
  <r>
    <n v="61069071"/>
    <s v="N"/>
    <n v="21343991"/>
    <s v="3000015259830006"/>
    <s v="CIVIL"/>
    <d v="2023-06-28T00:00:00"/>
    <d v="2023-07-07T19:03:00"/>
    <m/>
    <d v="2023-07-07T00:00:00"/>
    <n v="2001"/>
    <n v="8025"/>
    <s v="61069071"/>
    <s v="61069071"/>
    <m/>
    <m/>
    <n v="22783130"/>
    <m/>
    <m/>
    <m/>
    <s v="SOLFIN"/>
    <s v="SOLFIN"/>
    <s v="CCMS"/>
    <n v="21343991"/>
    <n v="2622.78"/>
    <m/>
    <s v="N"/>
    <n v="48"/>
    <d v="2023-07-07T19:03:19"/>
    <s v="Y"/>
    <s v="Routine Telephone Call"/>
    <s v="Prescribed Hourly Rates"/>
    <s v="Profit Cost"/>
    <s v="CHB"/>
    <s v="Y"/>
    <n v="16.2"/>
    <n v="3.24"/>
    <x v="9"/>
    <s v="VALIDATED"/>
    <n v="1"/>
    <s v="01.11.80.307.6100.0000"/>
    <n v="16.2"/>
    <s v="11"/>
    <s v="6100"/>
    <n v="14387.73"/>
    <n v="16.2"/>
    <s v="CREDITOR"/>
    <n v="0"/>
    <n v="0"/>
    <n v="0"/>
    <n v="0"/>
    <n v="16.2"/>
  </r>
  <r>
    <n v="60742219"/>
    <s v="N"/>
    <n v="21349335"/>
    <s v="3000014985080020"/>
    <s v="CIVIL"/>
    <d v="2023-06-29T00:00:00"/>
    <d v="2023-07-10T19:01:40"/>
    <m/>
    <d v="2023-07-10T00:00:00"/>
    <n v="2001"/>
    <n v="8025"/>
    <s v="60742219"/>
    <s v="60742219"/>
    <m/>
    <m/>
    <n v="22789966"/>
    <m/>
    <m/>
    <m/>
    <s v="SOLFIN"/>
    <s v="SOLFIN"/>
    <s v="CCMS"/>
    <n v="21349335"/>
    <n v="5928.57"/>
    <m/>
    <s v="N"/>
    <n v="9"/>
    <d v="2023-07-10T19:01:47"/>
    <s v="Y"/>
    <s v="Expert - Other"/>
    <s v="Public Law Children"/>
    <s v="Expert Disbursement"/>
    <s v="HM"/>
    <s v="Y"/>
    <n v="51.9"/>
    <n v="0"/>
    <x v="2"/>
    <s v="VALIDATED"/>
    <n v="1"/>
    <s v="01.11.80.308.6300.0000"/>
    <n v="51.9"/>
    <s v="11"/>
    <s v="6300"/>
    <n v="14387.73"/>
    <n v="51.9"/>
    <s v="CREDITOR"/>
    <n v="0"/>
    <n v="0"/>
    <n v="0"/>
    <n v="0"/>
    <n v="51.9"/>
  </r>
  <r>
    <n v="61069071"/>
    <s v="N"/>
    <n v="21343991"/>
    <s v="3000015259830006"/>
    <s v="CIVIL"/>
    <d v="2023-06-28T00:00:00"/>
    <d v="2023-07-07T19:03:00"/>
    <m/>
    <d v="2023-07-07T00:00:00"/>
    <n v="2001"/>
    <n v="8025"/>
    <s v="61069071"/>
    <s v="61069071"/>
    <m/>
    <m/>
    <n v="22783130"/>
    <m/>
    <m/>
    <m/>
    <s v="SOLFIN"/>
    <s v="SOLFIN"/>
    <s v="CCMS"/>
    <n v="21343991"/>
    <n v="2622.78"/>
    <m/>
    <s v="N"/>
    <n v="57"/>
    <d v="2023-07-07T19:03:19"/>
    <s v="Y"/>
    <s v="Preparation - other"/>
    <s v="Prescribed Hourly Rates"/>
    <s v="Profit Cost"/>
    <s v="HM"/>
    <s v="Y"/>
    <n v="12.63"/>
    <n v="2.53"/>
    <x v="9"/>
    <s v="VALIDATED"/>
    <n v="1"/>
    <s v="01.11.80.307.6100.0000"/>
    <n v="12.63"/>
    <s v="11"/>
    <s v="6100"/>
    <n v="14387.73"/>
    <n v="12.63"/>
    <s v="CREDITOR"/>
    <n v="0"/>
    <n v="0"/>
    <n v="0"/>
    <n v="0"/>
    <n v="12.63"/>
  </r>
  <r>
    <n v="61069071"/>
    <s v="N"/>
    <n v="21343991"/>
    <s v="3000015259830006"/>
    <s v="CIVIL"/>
    <d v="2023-06-28T00:00:00"/>
    <d v="2023-07-07T19:03:00"/>
    <m/>
    <d v="2023-07-07T00:00:00"/>
    <n v="2001"/>
    <n v="8025"/>
    <s v="61069071"/>
    <s v="61069071"/>
    <m/>
    <m/>
    <n v="22783130"/>
    <m/>
    <m/>
    <m/>
    <s v="SOLFIN"/>
    <s v="SOLFIN"/>
    <s v="CCMS"/>
    <n v="21343991"/>
    <n v="2622.78"/>
    <m/>
    <s v="N"/>
    <n v="31"/>
    <d v="2023-07-07T19:03:19"/>
    <s v="Y"/>
    <s v="Attendance upon client"/>
    <s v="Prescribed Hourly Rates"/>
    <s v="Profit Cost"/>
    <s v="HM"/>
    <s v="Y"/>
    <n v="41.18"/>
    <n v="8.24"/>
    <x v="9"/>
    <s v="VALIDATED"/>
    <n v="1"/>
    <s v="01.11.80.307.6100.0000"/>
    <n v="41.18"/>
    <s v="11"/>
    <s v="6100"/>
    <n v="14387.73"/>
    <n v="41.18"/>
    <s v="CREDITOR"/>
    <n v="0"/>
    <n v="0"/>
    <n v="0"/>
    <n v="0"/>
    <n v="41.18"/>
  </r>
  <r>
    <n v="61782434"/>
    <s v="N"/>
    <n v="21330609"/>
    <s v="3000015858760003"/>
    <s v="CIVIL"/>
    <d v="2023-06-28T00:00:00"/>
    <d v="2023-07-05T19:01:47"/>
    <m/>
    <d v="2023-07-05T00:00:00"/>
    <n v="2001"/>
    <n v="8025"/>
    <s v="61782434"/>
    <s v="61782434"/>
    <m/>
    <m/>
    <n v="22779158"/>
    <m/>
    <m/>
    <m/>
    <s v="SOLFIN"/>
    <s v="SOLFIN"/>
    <s v="CCMS"/>
    <n v="21330609"/>
    <n v="3887.91"/>
    <m/>
    <s v="N"/>
    <n v="3"/>
    <d v="2023-07-05T19:01:51"/>
    <s v="Y"/>
    <s v="Final Hearing - 1 Day"/>
    <s v="Public Law Children"/>
    <s v="Advocacy"/>
    <s v="HW"/>
    <s v="Y"/>
    <n v="506.25"/>
    <n v="101.25"/>
    <x v="6"/>
    <s v="VALIDATED"/>
    <n v="1"/>
    <s v="01.11.80.308.6100.0000"/>
    <n v="506.25"/>
    <s v="11"/>
    <s v="6100"/>
    <n v="14387.73"/>
    <n v="506.25"/>
    <s v="CREDITOR"/>
    <n v="0"/>
    <n v="0"/>
    <n v="0"/>
    <n v="0"/>
    <n v="506.25"/>
  </r>
  <r>
    <n v="61782434"/>
    <s v="N"/>
    <n v="21330609"/>
    <s v="3000015858760003"/>
    <s v="CIVIL"/>
    <d v="2023-06-28T00:00:00"/>
    <d v="2023-07-05T19:01:47"/>
    <m/>
    <d v="2023-07-05T00:00:00"/>
    <n v="2001"/>
    <n v="8025"/>
    <s v="61782434"/>
    <s v="61782434"/>
    <m/>
    <m/>
    <n v="22779158"/>
    <m/>
    <m/>
    <m/>
    <s v="SOLFIN"/>
    <s v="SOLFIN"/>
    <s v="CCMS"/>
    <n v="21330609"/>
    <n v="3887.91"/>
    <m/>
    <s v="N"/>
    <n v="5"/>
    <d v="2023-07-05T19:01:51"/>
    <s v="Y"/>
    <s v="Advocates Meeting"/>
    <s v="Public Law Children"/>
    <s v="Advocacy"/>
    <s v="HW"/>
    <s v="Y"/>
    <n v="128.16"/>
    <n v="25.63"/>
    <x v="6"/>
    <s v="VALIDATED"/>
    <n v="1"/>
    <s v="01.11.80.308.6100.0000"/>
    <n v="128.16"/>
    <s v="11"/>
    <s v="6100"/>
    <n v="14387.73"/>
    <n v="128.16"/>
    <s v="CREDITOR"/>
    <n v="0"/>
    <n v="0"/>
    <n v="0"/>
    <n v="0"/>
    <n v="128.16"/>
  </r>
  <r>
    <n v="61069071"/>
    <s v="N"/>
    <n v="21343991"/>
    <s v="3000015259830006"/>
    <s v="CIVIL"/>
    <d v="2023-06-28T00:00:00"/>
    <d v="2023-07-07T19:03:00"/>
    <m/>
    <d v="2023-07-07T00:00:00"/>
    <n v="2001"/>
    <n v="8025"/>
    <s v="61069071"/>
    <s v="61069071"/>
    <m/>
    <m/>
    <n v="22783130"/>
    <m/>
    <m/>
    <m/>
    <s v="SOLFIN"/>
    <s v="SOLFIN"/>
    <s v="CCMS"/>
    <n v="21343991"/>
    <n v="2622.78"/>
    <m/>
    <s v="N"/>
    <n v="10"/>
    <d v="2023-07-07T19:03:19"/>
    <s v="Y"/>
    <s v="Preparation - other"/>
    <s v="Prescribed Hourly Rates"/>
    <s v="Profit Cost"/>
    <s v="HM"/>
    <s v="Y"/>
    <n v="18.94"/>
    <n v="3.79"/>
    <x v="9"/>
    <s v="VALIDATED"/>
    <n v="1"/>
    <s v="01.11.80.307.6100.0000"/>
    <n v="18.94"/>
    <s v="11"/>
    <s v="6100"/>
    <n v="14387.73"/>
    <n v="18.94"/>
    <s v="CREDITOR"/>
    <n v="0"/>
    <n v="0"/>
    <n v="0"/>
    <n v="0"/>
    <n v="18.94"/>
  </r>
  <r>
    <n v="61001485"/>
    <s v="N"/>
    <n v="21327785"/>
    <s v="3000015208370008"/>
    <s v="CIVIL"/>
    <d v="2023-06-23T00:00:00"/>
    <d v="2023-07-04T19:00:44"/>
    <m/>
    <d v="2023-07-04T00:00:00"/>
    <n v="2001"/>
    <n v="8025"/>
    <s v="61001485"/>
    <s v="61001485"/>
    <m/>
    <m/>
    <n v="22748910"/>
    <m/>
    <m/>
    <m/>
    <s v="SOLFIN"/>
    <s v="SOLFIN"/>
    <s v="CCMS"/>
    <n v="21327785"/>
    <n v="8400.68"/>
    <m/>
    <s v="N"/>
    <n v="12"/>
    <d v="2023-07-04T19:00:54"/>
    <s v="Y"/>
    <s v="Advocates Meeting"/>
    <s v="Public Law Children"/>
    <s v="Advocacy"/>
    <s v="DW"/>
    <s v="Y"/>
    <n v="140.99"/>
    <n v="28.2"/>
    <x v="1"/>
    <s v="VALIDATED"/>
    <n v="1"/>
    <s v="01.11.80.308.6100.0000"/>
    <n v="140.99"/>
    <s v="11"/>
    <s v="6100"/>
    <n v="14387.73"/>
    <n v="140.99"/>
    <s v="CREDITOR"/>
    <n v="0"/>
    <n v="0"/>
    <n v="0"/>
    <n v="0"/>
    <n v="140.99"/>
  </r>
  <r>
    <n v="61001485"/>
    <s v="N"/>
    <n v="21327785"/>
    <s v="3000015208370008"/>
    <s v="CIVIL"/>
    <d v="2023-06-23T00:00:00"/>
    <d v="2023-07-04T19:00:44"/>
    <m/>
    <d v="2023-07-04T00:00:00"/>
    <n v="2001"/>
    <n v="8025"/>
    <s v="61001485"/>
    <s v="61001485"/>
    <m/>
    <m/>
    <n v="22748910"/>
    <m/>
    <m/>
    <m/>
    <s v="SOLFIN"/>
    <s v="SOLFIN"/>
    <s v="CCMS"/>
    <n v="21327785"/>
    <n v="8400.68"/>
    <m/>
    <s v="N"/>
    <n v="2"/>
    <d v="2023-07-04T19:00:54"/>
    <s v="Y"/>
    <s v="Toxicologist"/>
    <s v="Public Law Children"/>
    <s v="Expert Disbursement"/>
    <s v="DW"/>
    <s v="Y"/>
    <n v="223.2"/>
    <n v="44.64"/>
    <x v="1"/>
    <s v="VALIDATED"/>
    <n v="1"/>
    <s v="01.11.80.308.6300.0000"/>
    <n v="223.2"/>
    <s v="11"/>
    <s v="6300"/>
    <n v="14387.73"/>
    <n v="223.2"/>
    <s v="CREDITOR"/>
    <n v="0"/>
    <n v="0"/>
    <n v="0"/>
    <n v="0"/>
    <n v="223.2"/>
  </r>
  <r>
    <n v="61426238"/>
    <s v="N"/>
    <n v="21320477"/>
    <s v="3000015563250007"/>
    <s v="CIVIL"/>
    <d v="2023-06-28T00:00:00"/>
    <d v="2023-07-03T19:04:52"/>
    <m/>
    <d v="2023-07-03T00:00:00"/>
    <n v="2001"/>
    <n v="8025"/>
    <s v="61426238"/>
    <s v="61426238"/>
    <m/>
    <m/>
    <n v="22779746"/>
    <m/>
    <m/>
    <m/>
    <s v="SOLPOA"/>
    <s v="SOLPOA"/>
    <s v="CCMS"/>
    <n v="21320477"/>
    <n v="2407.6"/>
    <m/>
    <s v="N"/>
    <n v="1"/>
    <d v="2023-07-03T19:04:54"/>
    <s v="N"/>
    <s v="Expert Cost"/>
    <s v="Expert Cost"/>
    <s v="Expert Disbursement"/>
    <s v="DW"/>
    <s v="N"/>
    <n v="2006.33"/>
    <n v="401.27"/>
    <x v="3"/>
    <s v="VALIDATED"/>
    <n v="1"/>
    <s v="01.11.80.308.2012.0000"/>
    <n v="2006.33"/>
    <s v="11"/>
    <s v="2012"/>
    <n v="14387.73"/>
    <n v="2006.33"/>
    <s v="CREDITOR"/>
    <n v="2006.33"/>
    <n v="0"/>
    <n v="0"/>
    <n v="0"/>
    <n v="0"/>
  </r>
  <r>
    <n v="61069071"/>
    <s v="N"/>
    <n v="21343991"/>
    <s v="3000015259830006"/>
    <s v="CIVIL"/>
    <d v="2023-06-28T00:00:00"/>
    <d v="2023-07-07T19:03:00"/>
    <m/>
    <d v="2023-07-07T00:00:00"/>
    <n v="2001"/>
    <n v="8025"/>
    <s v="61069071"/>
    <s v="61069071"/>
    <m/>
    <m/>
    <n v="22783130"/>
    <m/>
    <m/>
    <m/>
    <s v="SOLFIN"/>
    <s v="SOLFIN"/>
    <s v="CCMS"/>
    <n v="21343991"/>
    <n v="2622.78"/>
    <m/>
    <s v="N"/>
    <n v="55"/>
    <d v="2023-07-07T19:03:19"/>
    <s v="Y"/>
    <s v="Preparation - other"/>
    <s v="Prescribed Hourly Rates"/>
    <s v="Profit Cost"/>
    <s v="HM"/>
    <s v="Y"/>
    <n v="16.47"/>
    <n v="3.29"/>
    <x v="9"/>
    <s v="VALIDATED"/>
    <n v="1"/>
    <s v="01.11.80.307.6100.0000"/>
    <n v="16.47"/>
    <s v="11"/>
    <s v="6100"/>
    <n v="14387.73"/>
    <n v="16.47"/>
    <s v="CREDITOR"/>
    <n v="0"/>
    <n v="0"/>
    <n v="0"/>
    <n v="0"/>
    <n v="16.47"/>
  </r>
  <r>
    <n v="61069071"/>
    <s v="N"/>
    <n v="21343991"/>
    <s v="3000015259830006"/>
    <s v="CIVIL"/>
    <d v="2023-06-28T00:00:00"/>
    <d v="2023-07-07T19:03:00"/>
    <m/>
    <d v="2023-07-07T00:00:00"/>
    <n v="2001"/>
    <n v="8025"/>
    <s v="61069071"/>
    <s v="61069071"/>
    <m/>
    <m/>
    <n v="22783130"/>
    <m/>
    <m/>
    <m/>
    <s v="SOLFIN"/>
    <s v="SOLFIN"/>
    <s v="CCMS"/>
    <n v="21343991"/>
    <n v="2622.78"/>
    <m/>
    <s v="N"/>
    <n v="11"/>
    <d v="2023-07-07T19:03:19"/>
    <s v="Y"/>
    <s v="Preparation - other"/>
    <s v="Prescribed Hourly Rates"/>
    <s v="Profit Cost"/>
    <s v="HM"/>
    <s v="Y"/>
    <n v="6.31"/>
    <n v="1.26"/>
    <x v="9"/>
    <s v="VALIDATED"/>
    <n v="1"/>
    <s v="01.11.80.307.6100.0000"/>
    <n v="6.31"/>
    <s v="11"/>
    <s v="6100"/>
    <n v="14387.73"/>
    <n v="6.31"/>
    <s v="CREDITOR"/>
    <n v="0"/>
    <n v="0"/>
    <n v="0"/>
    <n v="0"/>
    <n v="6.31"/>
  </r>
  <r>
    <n v="61069071"/>
    <s v="N"/>
    <n v="21343991"/>
    <s v="3000015259830006"/>
    <s v="CIVIL"/>
    <d v="2023-06-28T00:00:00"/>
    <d v="2023-07-07T19:03:00"/>
    <m/>
    <d v="2023-07-07T00:00:00"/>
    <n v="2001"/>
    <n v="8025"/>
    <s v="61069071"/>
    <s v="61069071"/>
    <m/>
    <m/>
    <n v="22783130"/>
    <m/>
    <m/>
    <m/>
    <s v="SOLFIN"/>
    <s v="SOLFIN"/>
    <s v="CCMS"/>
    <n v="21343991"/>
    <n v="2622.78"/>
    <m/>
    <s v="N"/>
    <n v="35"/>
    <d v="2023-07-07T19:03:19"/>
    <s v="Y"/>
    <s v="Preparation - other"/>
    <s v="Prescribed Hourly Rates"/>
    <s v="Profit Cost"/>
    <s v="HM"/>
    <s v="Y"/>
    <n v="61.77"/>
    <n v="12.35"/>
    <x v="9"/>
    <s v="VALIDATED"/>
    <n v="1"/>
    <s v="01.11.80.307.6100.0000"/>
    <n v="61.77"/>
    <s v="11"/>
    <s v="6100"/>
    <n v="14387.73"/>
    <n v="61.77"/>
    <s v="CREDITOR"/>
    <n v="0"/>
    <n v="0"/>
    <n v="0"/>
    <n v="0"/>
    <n v="61.77"/>
  </r>
  <r>
    <n v="61001485"/>
    <s v="N"/>
    <n v="21327785"/>
    <s v="3000015208370008"/>
    <s v="CIVIL"/>
    <d v="2023-06-23T00:00:00"/>
    <d v="2023-07-04T19:00:44"/>
    <m/>
    <d v="2023-07-04T00:00:00"/>
    <n v="2001"/>
    <n v="8025"/>
    <s v="61001485"/>
    <s v="61001485"/>
    <m/>
    <m/>
    <n v="22748910"/>
    <m/>
    <m/>
    <m/>
    <s v="SOLFIN"/>
    <s v="SOLFIN"/>
    <s v="CCMS"/>
    <n v="21327785"/>
    <n v="8400.68"/>
    <m/>
    <s v="N"/>
    <n v="17"/>
    <d v="2023-07-04T19:00:54"/>
    <s v="Y"/>
    <s v="Solicitors Fixed Fee"/>
    <s v="Public Law Children"/>
    <s v="Profit Cost"/>
    <s v="DW"/>
    <s v="Y"/>
    <n v="2156"/>
    <n v="431.2"/>
    <x v="1"/>
    <s v="VALIDATED"/>
    <n v="1"/>
    <s v="01.11.80.308.6100.0000"/>
    <n v="2156"/>
    <s v="11"/>
    <s v="6100"/>
    <n v="14387.73"/>
    <n v="2156"/>
    <s v="CREDITOR"/>
    <n v="0"/>
    <n v="0"/>
    <n v="0"/>
    <n v="0"/>
    <n v="2156"/>
  </r>
  <r>
    <n v="61001485"/>
    <s v="N"/>
    <n v="21327785"/>
    <s v="3000015208370008"/>
    <s v="CIVIL"/>
    <d v="2023-06-23T00:00:00"/>
    <d v="2023-07-04T19:00:44"/>
    <m/>
    <d v="2023-07-04T00:00:00"/>
    <n v="2001"/>
    <n v="8025"/>
    <s v="61001485"/>
    <s v="61001485"/>
    <m/>
    <m/>
    <n v="22748910"/>
    <m/>
    <m/>
    <m/>
    <s v="SOLFIN"/>
    <s v="SOLFIN"/>
    <s v="CCMS"/>
    <n v="21327785"/>
    <n v="8400.68"/>
    <m/>
    <s v="N"/>
    <n v="9"/>
    <d v="2023-07-04T19:00:54"/>
    <s v="Y"/>
    <s v="Final Hearing - 1 Day"/>
    <s v="Public Law Children"/>
    <s v="Advocacy"/>
    <s v="DW"/>
    <s v="Y"/>
    <n v="556.88"/>
    <n v="111.38"/>
    <x v="1"/>
    <s v="VALIDATED"/>
    <n v="1"/>
    <s v="01.11.80.308.6100.0000"/>
    <n v="556.88"/>
    <s v="11"/>
    <s v="6100"/>
    <n v="14387.73"/>
    <n v="556.88"/>
    <s v="CREDITOR"/>
    <n v="0"/>
    <n v="0"/>
    <n v="0"/>
    <n v="0"/>
    <n v="556.88"/>
  </r>
  <r>
    <n v="61298351"/>
    <s v="N"/>
    <n v="21320112"/>
    <s v="3000015456490012"/>
    <s v="CIVIL"/>
    <d v="2023-06-28T00:00:00"/>
    <d v="2023-07-03T19:04:24"/>
    <m/>
    <d v="2023-07-03T00:00:00"/>
    <n v="2001"/>
    <n v="8025"/>
    <s v="61298351"/>
    <s v="61298351"/>
    <m/>
    <m/>
    <n v="22776946"/>
    <m/>
    <m/>
    <m/>
    <s v="SOLPOA"/>
    <s v="SOLPOA"/>
    <s v="CCMS"/>
    <n v="21320112"/>
    <n v="156.76"/>
    <m/>
    <s v="N"/>
    <n v="1"/>
    <d v="2023-07-03T19:04:29"/>
    <s v="N"/>
    <s v="Expert Cost"/>
    <s v="Expert Cost"/>
    <s v="Expert Disbursement"/>
    <s v="HW"/>
    <s v="N"/>
    <n v="130.63"/>
    <n v="26.13"/>
    <x v="3"/>
    <s v="VALIDATED"/>
    <n v="1"/>
    <s v="01.11.80.308.2012.0000"/>
    <n v="130.63"/>
    <s v="11"/>
    <s v="2012"/>
    <n v="14387.73"/>
    <n v="130.63"/>
    <s v="CREDITOR"/>
    <n v="130.63"/>
    <n v="0"/>
    <n v="0"/>
    <n v="0"/>
    <n v="0"/>
  </r>
  <r>
    <n v="60205196"/>
    <s v="N"/>
    <n v="21350151"/>
    <s v="3000014511920019"/>
    <s v="CIVIL"/>
    <d v="2023-06-27T00:00:00"/>
    <d v="2023-07-10T19:01:40"/>
    <m/>
    <d v="2023-07-10T00:00:00"/>
    <n v="2001"/>
    <n v="8025"/>
    <s v="60205196"/>
    <s v="60205196"/>
    <m/>
    <m/>
    <n v="22772812"/>
    <m/>
    <m/>
    <m/>
    <s v="SOLFIN"/>
    <s v="SOLFIN"/>
    <s v="CCMS"/>
    <n v="21350151"/>
    <n v="11333.33"/>
    <m/>
    <s v="N"/>
    <n v="12"/>
    <d v="2023-07-10T19:02:15"/>
    <s v="Y"/>
    <s v="Final Hearing - 1 Day"/>
    <s v="Public Law Children"/>
    <s v="Advocacy"/>
    <s v="DW"/>
    <s v="Y"/>
    <n v="556.88"/>
    <n v="111.38"/>
    <x v="2"/>
    <s v="VALIDATED"/>
    <n v="1"/>
    <s v="01.11.80.308.6100.0000"/>
    <n v="556.88"/>
    <s v="11"/>
    <s v="6100"/>
    <n v="14387.73"/>
    <n v="556.88"/>
    <s v="CREDITOR"/>
    <n v="0"/>
    <n v="0"/>
    <n v="0"/>
    <n v="0"/>
    <n v="556.88"/>
  </r>
  <r>
    <n v="61069071"/>
    <s v="N"/>
    <n v="21343991"/>
    <s v="3000015259830006"/>
    <s v="CIVIL"/>
    <d v="2023-06-28T00:00:00"/>
    <d v="2023-07-07T19:03:00"/>
    <m/>
    <d v="2023-07-07T00:00:00"/>
    <n v="2001"/>
    <n v="8025"/>
    <s v="61069071"/>
    <s v="61069071"/>
    <m/>
    <m/>
    <n v="22783130"/>
    <m/>
    <m/>
    <m/>
    <s v="SOLFIN"/>
    <s v="SOLFIN"/>
    <s v="CCMS"/>
    <n v="21343991"/>
    <n v="2622.78"/>
    <m/>
    <s v="N"/>
    <n v="54"/>
    <d v="2023-07-07T19:03:19"/>
    <s v="Y"/>
    <s v="Preparation - other"/>
    <s v="Prescribed Hourly Rates"/>
    <s v="Profit Cost"/>
    <s v="HM"/>
    <s v="Y"/>
    <n v="8.24"/>
    <n v="1.65"/>
    <x v="9"/>
    <s v="VALIDATED"/>
    <n v="1"/>
    <s v="01.11.80.307.6100.0000"/>
    <n v="8.24"/>
    <s v="11"/>
    <s v="6100"/>
    <n v="14387.73"/>
    <n v="8.24"/>
    <s v="CREDITOR"/>
    <n v="0"/>
    <n v="0"/>
    <n v="0"/>
    <n v="0"/>
    <n v="8.24"/>
  </r>
  <r>
    <n v="61069071"/>
    <s v="N"/>
    <n v="21343991"/>
    <s v="3000015259830006"/>
    <s v="CIVIL"/>
    <d v="2023-06-28T00:00:00"/>
    <d v="2023-07-07T19:03:00"/>
    <m/>
    <d v="2023-07-07T00:00:00"/>
    <n v="2001"/>
    <n v="8025"/>
    <s v="61069071"/>
    <s v="61069071"/>
    <m/>
    <m/>
    <n v="22783130"/>
    <m/>
    <m/>
    <m/>
    <s v="SOLFIN"/>
    <s v="SOLFIN"/>
    <s v="CCMS"/>
    <n v="21343991"/>
    <n v="2622.78"/>
    <m/>
    <s v="N"/>
    <n v="34"/>
    <d v="2023-07-07T19:03:19"/>
    <s v="Y"/>
    <s v="Preparation - other"/>
    <s v="Prescribed Hourly Rates"/>
    <s v="Profit Cost"/>
    <s v="HM"/>
    <s v="Y"/>
    <n v="41.18"/>
    <n v="8.24"/>
    <x v="9"/>
    <s v="VALIDATED"/>
    <n v="1"/>
    <s v="01.11.80.307.6100.0000"/>
    <n v="41.18"/>
    <s v="11"/>
    <s v="6100"/>
    <n v="14387.73"/>
    <n v="41.18"/>
    <s v="CREDITOR"/>
    <n v="0"/>
    <n v="0"/>
    <n v="0"/>
    <n v="0"/>
    <n v="41.18"/>
  </r>
  <r>
    <n v="60742219"/>
    <s v="N"/>
    <n v="21349335"/>
    <s v="3000014985080020"/>
    <s v="CIVIL"/>
    <d v="2023-06-29T00:00:00"/>
    <d v="2023-07-10T19:01:40"/>
    <m/>
    <d v="2023-07-10T00:00:00"/>
    <n v="2001"/>
    <n v="8025"/>
    <s v="60742219"/>
    <s v="60742219"/>
    <m/>
    <m/>
    <n v="22789966"/>
    <m/>
    <m/>
    <m/>
    <s v="SOLFIN"/>
    <s v="SOLFIN"/>
    <s v="CCMS"/>
    <n v="21349335"/>
    <n v="5928.57"/>
    <m/>
    <s v="N"/>
    <n v="5"/>
    <d v="2023-07-10T19:01:47"/>
    <s v="Y"/>
    <s v="Interpreter"/>
    <s v="Public Law Children"/>
    <s v="Expert Disbursement"/>
    <s v="HM"/>
    <s v="Y"/>
    <n v="75"/>
    <n v="0"/>
    <x v="2"/>
    <s v="VALIDATED"/>
    <n v="1"/>
    <s v="01.11.80.308.6300.0000"/>
    <n v="75"/>
    <s v="11"/>
    <s v="6300"/>
    <n v="14387.73"/>
    <n v="75"/>
    <s v="CREDITOR"/>
    <n v="0"/>
    <n v="0"/>
    <n v="0"/>
    <n v="0"/>
    <n v="75"/>
  </r>
  <r>
    <n v="61069071"/>
    <s v="N"/>
    <n v="21343991"/>
    <s v="3000015259830006"/>
    <s v="CIVIL"/>
    <d v="2023-06-28T00:00:00"/>
    <d v="2023-07-07T19:03:00"/>
    <m/>
    <d v="2023-07-07T00:00:00"/>
    <n v="2001"/>
    <n v="8025"/>
    <s v="61069071"/>
    <s v="61069071"/>
    <m/>
    <m/>
    <n v="22783130"/>
    <m/>
    <m/>
    <m/>
    <s v="SOLFIN"/>
    <s v="SOLFIN"/>
    <s v="CCMS"/>
    <n v="21343991"/>
    <n v="2622.78"/>
    <m/>
    <s v="N"/>
    <n v="44"/>
    <d v="2023-07-07T19:03:19"/>
    <s v="Y"/>
    <s v="Preparation - other"/>
    <s v="Prescribed Hourly Rates"/>
    <s v="Profit Cost"/>
    <s v="HM"/>
    <s v="Y"/>
    <n v="16.47"/>
    <n v="3.29"/>
    <x v="9"/>
    <s v="VALIDATED"/>
    <n v="1"/>
    <s v="01.11.80.307.6100.0000"/>
    <n v="16.47"/>
    <s v="11"/>
    <s v="6100"/>
    <n v="14387.73"/>
    <n v="16.47"/>
    <s v="CREDITOR"/>
    <n v="0"/>
    <n v="0"/>
    <n v="0"/>
    <n v="0"/>
    <n v="16.47"/>
  </r>
  <r>
    <n v="60816284"/>
    <s v="N"/>
    <n v="21338459"/>
    <s v="3000015049370008"/>
    <s v="CIVIL"/>
    <d v="2023-06-27T00:00:00"/>
    <d v="2023-07-06T19:21:01"/>
    <m/>
    <d v="2023-07-06T00:00:00"/>
    <n v="2001"/>
    <n v="8025"/>
    <s v="60816284"/>
    <s v="60816284"/>
    <m/>
    <m/>
    <n v="22774066"/>
    <m/>
    <m/>
    <m/>
    <s v="SOLFIN"/>
    <s v="SOLFIN"/>
    <s v="CCMS"/>
    <n v="21338459"/>
    <n v="6853.17"/>
    <m/>
    <s v="N"/>
    <n v="1"/>
    <d v="2023-07-06T19:21:25"/>
    <s v="Y"/>
    <s v="Profit Costs (Summary)"/>
    <s v="Public Law Children"/>
    <s v="Profit Cost"/>
    <s v="HM"/>
    <s v="Y"/>
    <n v="3558.66"/>
    <n v="711.73"/>
    <x v="4"/>
    <s v="VALIDATED"/>
    <n v="1"/>
    <s v="01.11.80.308.6100.0000"/>
    <n v="3558.66"/>
    <s v="11"/>
    <s v="6100"/>
    <n v="14387.73"/>
    <n v="3558.66"/>
    <s v="CREDITOR"/>
    <n v="0"/>
    <n v="0"/>
    <n v="0"/>
    <n v="0"/>
    <n v="3558.66"/>
  </r>
  <r>
    <n v="61499700"/>
    <s v="N"/>
    <n v="21323276"/>
    <s v="3000015623030007"/>
    <s v="CIVIL"/>
    <d v="2023-06-30T00:00:00"/>
    <d v="2023-07-03T19:05:56"/>
    <m/>
    <d v="2023-07-03T00:00:00"/>
    <n v="2001"/>
    <n v="8025"/>
    <s v="61499700"/>
    <s v="61499700"/>
    <m/>
    <m/>
    <n v="22795066"/>
    <m/>
    <m/>
    <m/>
    <s v="SOLPOA"/>
    <s v="SOLPOA"/>
    <s v="CCMS"/>
    <n v="21323276"/>
    <n v="1104"/>
    <m/>
    <s v="N"/>
    <n v="1"/>
    <d v="2023-07-03T19:05:56"/>
    <s v="N"/>
    <s v="Solicitors Fixed Fee"/>
    <s v="Public Law Children"/>
    <s v="Profit Cost"/>
    <s v="David Williams"/>
    <s v="N"/>
    <n v="920"/>
    <n v="184"/>
    <x v="3"/>
    <s v="VALIDATED"/>
    <n v="1"/>
    <s v="01.11.80.308.2012.0000"/>
    <n v="920"/>
    <s v="11"/>
    <s v="2012"/>
    <n v="14387.73"/>
    <n v="920"/>
    <s v="CREDITOR"/>
    <n v="920"/>
    <n v="230"/>
    <n v="0"/>
    <n v="0"/>
    <n v="0"/>
  </r>
  <r>
    <n v="61069071"/>
    <s v="N"/>
    <n v="21343991"/>
    <s v="3000015259830006"/>
    <s v="CIVIL"/>
    <d v="2023-06-28T00:00:00"/>
    <d v="2023-07-07T19:03:00"/>
    <m/>
    <d v="2023-07-07T00:00:00"/>
    <n v="2001"/>
    <n v="8025"/>
    <s v="61069071"/>
    <s v="61069071"/>
    <m/>
    <m/>
    <n v="22783130"/>
    <m/>
    <m/>
    <m/>
    <s v="SOLFIN"/>
    <s v="SOLFIN"/>
    <s v="CCMS"/>
    <n v="21343991"/>
    <n v="2622.78"/>
    <m/>
    <s v="N"/>
    <n v="64"/>
    <d v="2023-07-07T19:03:19"/>
    <s v="Y"/>
    <s v="Court Fee"/>
    <s v="Prescribed Hourly Rates"/>
    <s v="Non Expert Disbursement"/>
    <s v="HM"/>
    <s v="Y"/>
    <n v="11"/>
    <n v="0"/>
    <x v="9"/>
    <s v="VALIDATED"/>
    <n v="1"/>
    <s v="01.11.80.307.6300.0000"/>
    <n v="11"/>
    <s v="11"/>
    <s v="6300"/>
    <n v="14387.73"/>
    <n v="11"/>
    <s v="CREDITOR"/>
    <n v="0"/>
    <n v="0"/>
    <n v="0"/>
    <n v="0"/>
    <n v="11"/>
  </r>
  <r>
    <n v="61069071"/>
    <s v="N"/>
    <n v="21343991"/>
    <s v="3000015259830006"/>
    <s v="CIVIL"/>
    <d v="2023-06-28T00:00:00"/>
    <d v="2023-07-07T19:03:00"/>
    <m/>
    <d v="2023-07-07T00:00:00"/>
    <n v="2001"/>
    <n v="8025"/>
    <s v="61069071"/>
    <s v="61069071"/>
    <m/>
    <m/>
    <n v="22783130"/>
    <m/>
    <m/>
    <m/>
    <s v="SOLFIN"/>
    <s v="SOLFIN"/>
    <s v="CCMS"/>
    <n v="21343991"/>
    <n v="2622.78"/>
    <m/>
    <s v="N"/>
    <n v="25"/>
    <d v="2023-07-07T19:03:19"/>
    <s v="Y"/>
    <s v="Preparation - other"/>
    <s v="Prescribed Hourly Rates"/>
    <s v="Profit Cost"/>
    <s v="HM"/>
    <s v="Y"/>
    <n v="41.18"/>
    <n v="8.24"/>
    <x v="9"/>
    <s v="VALIDATED"/>
    <n v="1"/>
    <s v="01.11.80.307.6100.0000"/>
    <n v="41.18"/>
    <s v="11"/>
    <s v="6100"/>
    <n v="14387.73"/>
    <n v="41.18"/>
    <s v="CREDITOR"/>
    <n v="0"/>
    <n v="0"/>
    <n v="0"/>
    <n v="0"/>
    <n v="41.18"/>
  </r>
  <r>
    <n v="60742219"/>
    <s v="N"/>
    <n v="21349335"/>
    <s v="3000014985080020"/>
    <s v="CIVIL"/>
    <d v="2023-06-29T00:00:00"/>
    <d v="2023-07-10T19:01:40"/>
    <m/>
    <d v="2023-07-10T00:00:00"/>
    <n v="2001"/>
    <n v="8025"/>
    <s v="60742219"/>
    <s v="60742219"/>
    <m/>
    <m/>
    <n v="22789966"/>
    <m/>
    <m/>
    <m/>
    <s v="SOLFIN"/>
    <s v="SOLFIN"/>
    <s v="CCMS"/>
    <n v="21349335"/>
    <n v="5928.57"/>
    <m/>
    <s v="N"/>
    <n v="15"/>
    <d v="2023-07-10T19:01:47"/>
    <s v="Y"/>
    <s v="Final Hearing - 1 Day"/>
    <s v="Public Law Children"/>
    <s v="Advocacy"/>
    <s v="HM"/>
    <s v="Y"/>
    <n v="556.88"/>
    <n v="111.38"/>
    <x v="2"/>
    <s v="VALIDATED"/>
    <n v="1"/>
    <s v="01.11.80.308.6100.0000"/>
    <n v="556.88"/>
    <s v="11"/>
    <s v="6100"/>
    <n v="14387.73"/>
    <n v="556.88"/>
    <s v="CREDITOR"/>
    <n v="0"/>
    <n v="0"/>
    <n v="0"/>
    <n v="0"/>
    <n v="556.88"/>
  </r>
  <r>
    <n v="61069071"/>
    <s v="N"/>
    <n v="21343991"/>
    <s v="3000015259830006"/>
    <s v="CIVIL"/>
    <d v="2023-06-28T00:00:00"/>
    <d v="2023-07-07T19:03:00"/>
    <m/>
    <d v="2023-07-07T00:00:00"/>
    <n v="2001"/>
    <n v="8025"/>
    <s v="61069071"/>
    <s v="61069071"/>
    <m/>
    <m/>
    <n v="22783130"/>
    <m/>
    <m/>
    <m/>
    <s v="SOLFIN"/>
    <s v="SOLFIN"/>
    <s v="CCMS"/>
    <n v="21343991"/>
    <n v="2622.78"/>
    <m/>
    <s v="N"/>
    <n v="30"/>
    <d v="2023-07-07T19:03:19"/>
    <s v="Y"/>
    <s v="Preparation - other"/>
    <s v="Prescribed Hourly Rates"/>
    <s v="Profit Cost"/>
    <s v="HM"/>
    <s v="Y"/>
    <n v="16.47"/>
    <n v="3.29"/>
    <x v="9"/>
    <s v="VALIDATED"/>
    <n v="1"/>
    <s v="01.11.80.307.6100.0000"/>
    <n v="16.47"/>
    <s v="11"/>
    <s v="6100"/>
    <n v="14387.73"/>
    <n v="16.47"/>
    <s v="CREDITOR"/>
    <n v="0"/>
    <n v="0"/>
    <n v="0"/>
    <n v="0"/>
    <n v="16.47"/>
  </r>
  <r>
    <n v="60816284"/>
    <s v="N"/>
    <n v="21338459"/>
    <s v="3000015049370008"/>
    <s v="CIVIL"/>
    <d v="2023-06-27T00:00:00"/>
    <d v="2023-07-06T19:21:01"/>
    <m/>
    <d v="2023-07-06T00:00:00"/>
    <n v="2001"/>
    <n v="8025"/>
    <s v="60816284"/>
    <s v="60816284"/>
    <m/>
    <m/>
    <n v="22774066"/>
    <m/>
    <m/>
    <m/>
    <s v="SOLFIN"/>
    <s v="SOLFIN"/>
    <s v="CCMS"/>
    <n v="21338459"/>
    <n v="6853.17"/>
    <m/>
    <s v="N"/>
    <n v="5"/>
    <d v="2023-07-06T19:21:25"/>
    <s v="Y"/>
    <s v="Hearing Unit 1.01 - 2.30 Hours"/>
    <s v="Public Law Children"/>
    <s v="Advocacy"/>
    <s v="HM"/>
    <s v="Y"/>
    <n v="238.46"/>
    <n v="47.69"/>
    <x v="4"/>
    <s v="VALIDATED"/>
    <n v="1"/>
    <s v="01.11.80.308.6100.0000"/>
    <n v="238.46"/>
    <s v="11"/>
    <s v="6100"/>
    <n v="14387.73"/>
    <n v="238.46"/>
    <s v="CREDITOR"/>
    <n v="0"/>
    <n v="0"/>
    <n v="0"/>
    <n v="0"/>
    <n v="238.46"/>
  </r>
  <r>
    <n v="59912784"/>
    <s v="N"/>
    <n v="21360354"/>
    <s v="3000014267870006"/>
    <s v="CIVIL"/>
    <d v="2023-06-30T00:00:00"/>
    <d v="2023-07-11T11:50:54"/>
    <m/>
    <d v="2023-07-11T00:00:00"/>
    <n v="2001"/>
    <n v="8025"/>
    <s v="59912784"/>
    <s v="59912784"/>
    <m/>
    <m/>
    <n v="22800284"/>
    <m/>
    <m/>
    <m/>
    <s v="SOLFIN"/>
    <s v="SOLFIN"/>
    <s v="CCMS"/>
    <n v="21360354"/>
    <n v="5014.26"/>
    <m/>
    <s v="N"/>
    <n v="3"/>
    <d v="2023-07-11T11:51:03"/>
    <s v="Y"/>
    <s v="Exceptional Travel"/>
    <s v="Private Law Children"/>
    <s v="Advocacy"/>
    <s v="CB"/>
    <s v="Y"/>
    <n v="32.04"/>
    <n v="6.41"/>
    <x v="7"/>
    <s v="VALIDATED"/>
    <n v="1"/>
    <s v="01.11.80.307.6100.0000"/>
    <n v="32.04"/>
    <s v="11"/>
    <s v="6100"/>
    <n v="14387.73"/>
    <n v="32.04"/>
    <s v="CREDITOR"/>
    <n v="0"/>
    <n v="0"/>
    <n v="0"/>
    <n v="0"/>
    <n v="32.04"/>
  </r>
  <r>
    <n v="60650441"/>
    <s v="N"/>
    <n v="21349931"/>
    <s v="3000014900700006"/>
    <s v="CIVIL"/>
    <d v="2023-06-28T00:00:00"/>
    <d v="2023-07-10T19:01:40"/>
    <m/>
    <d v="2023-07-10T00:00:00"/>
    <n v="2001"/>
    <n v="8025"/>
    <s v="60650441"/>
    <s v="60650441"/>
    <m/>
    <m/>
    <n v="22782816"/>
    <m/>
    <m/>
    <m/>
    <s v="SOLFIN"/>
    <s v="SOLFIN"/>
    <s v="CCMS"/>
    <n v="21349931"/>
    <n v="6058.36"/>
    <m/>
    <s v="N"/>
    <n v="1"/>
    <d v="2023-07-10T19:02:04"/>
    <s v="Y"/>
    <s v="Interim Hearing Court Bundle/Advoca"/>
    <s v="Private Law Children"/>
    <s v="Advocacy"/>
    <s v="LH"/>
    <s v="Y"/>
    <n v="59.4"/>
    <n v="11.88"/>
    <x v="2"/>
    <s v="VALIDATED"/>
    <n v="1"/>
    <s v="01.11.80.307.6100.0000"/>
    <n v="59.4"/>
    <s v="11"/>
    <s v="6100"/>
    <n v="14387.73"/>
    <n v="59.4"/>
    <s v="CREDITOR"/>
    <n v="0"/>
    <n v="0"/>
    <n v="0"/>
    <n v="0"/>
    <n v="59.4"/>
  </r>
  <r>
    <n v="60742219"/>
    <s v="N"/>
    <n v="21349335"/>
    <s v="3000014985080020"/>
    <s v="CIVIL"/>
    <d v="2023-06-29T00:00:00"/>
    <d v="2023-07-10T19:01:40"/>
    <m/>
    <d v="2023-07-10T00:00:00"/>
    <n v="2001"/>
    <n v="8025"/>
    <s v="60742219"/>
    <s v="60742219"/>
    <m/>
    <m/>
    <n v="22789966"/>
    <m/>
    <m/>
    <m/>
    <s v="SOLFIN"/>
    <s v="SOLFIN"/>
    <s v="CCMS"/>
    <n v="21349335"/>
    <n v="5928.57"/>
    <m/>
    <s v="N"/>
    <n v="16"/>
    <d v="2023-07-10T19:01:47"/>
    <s v="Y"/>
    <s v="Advocates Meeting"/>
    <s v="Public Law Children"/>
    <s v="Advocacy"/>
    <s v="HM"/>
    <s v="Y"/>
    <n v="140.99"/>
    <n v="28.2"/>
    <x v="2"/>
    <s v="VALIDATED"/>
    <n v="1"/>
    <s v="01.11.80.308.6100.0000"/>
    <n v="140.99"/>
    <s v="11"/>
    <s v="6100"/>
    <n v="14387.73"/>
    <n v="140.99"/>
    <s v="CREDITOR"/>
    <n v="0"/>
    <n v="0"/>
    <n v="0"/>
    <n v="0"/>
    <n v="140.99"/>
  </r>
  <r>
    <n v="61366169"/>
    <s v="N"/>
    <n v="21338247"/>
    <s v="3000015513310007"/>
    <s v="CIVIL"/>
    <d v="2023-06-27T00:00:00"/>
    <d v="2023-07-06T19:21:01"/>
    <m/>
    <d v="2023-07-06T00:00:00"/>
    <n v="2001"/>
    <n v="8025"/>
    <s v="61366169"/>
    <s v="61366169"/>
    <m/>
    <m/>
    <n v="22773886"/>
    <m/>
    <m/>
    <m/>
    <s v="SOLFIN"/>
    <s v="SOLFIN"/>
    <s v="CCMS"/>
    <n v="21338247"/>
    <n v="4461.51"/>
    <m/>
    <s v="N"/>
    <n v="1"/>
    <d v="2023-07-06T19:21:14"/>
    <s v="Y"/>
    <s v="Psychiatrist"/>
    <s v="Public Law Children"/>
    <s v="Expert Disbursement"/>
    <s v="HM"/>
    <s v="Y"/>
    <n v="81"/>
    <n v="16.2"/>
    <x v="4"/>
    <s v="VALIDATED"/>
    <n v="1"/>
    <s v="01.11.80.308.6300.0000"/>
    <n v="81"/>
    <s v="11"/>
    <s v="6300"/>
    <n v="14387.73"/>
    <n v="81"/>
    <s v="CREDITOR"/>
    <n v="0"/>
    <n v="0"/>
    <n v="0"/>
    <n v="0"/>
    <n v="81"/>
  </r>
  <r>
    <n v="60205196"/>
    <s v="N"/>
    <n v="21350151"/>
    <s v="3000014511920019"/>
    <s v="CIVIL"/>
    <d v="2023-06-27T00:00:00"/>
    <d v="2023-07-10T19:01:40"/>
    <m/>
    <d v="2023-07-10T00:00:00"/>
    <n v="2001"/>
    <n v="8025"/>
    <s v="60205196"/>
    <s v="60205196"/>
    <m/>
    <m/>
    <n v="22772812"/>
    <m/>
    <m/>
    <m/>
    <s v="SOLFIN"/>
    <s v="SOLFIN"/>
    <s v="CCMS"/>
    <n v="21350151"/>
    <n v="11333.33"/>
    <m/>
    <s v="N"/>
    <n v="18"/>
    <d v="2023-07-10T19:02:15"/>
    <s v="Y"/>
    <s v="Advocates Meeting"/>
    <s v="Public Law Children"/>
    <s v="Advocacy"/>
    <s v="DW"/>
    <s v="Y"/>
    <n v="140.99"/>
    <n v="28.2"/>
    <x v="2"/>
    <s v="VALIDATED"/>
    <n v="1"/>
    <s v="01.11.80.308.6100.0000"/>
    <n v="140.99"/>
    <s v="11"/>
    <s v="6100"/>
    <n v="14387.73"/>
    <n v="140.99"/>
    <s v="CREDITOR"/>
    <n v="0"/>
    <n v="0"/>
    <n v="0"/>
    <n v="0"/>
    <n v="140.99"/>
  </r>
  <r>
    <n v="60205196"/>
    <s v="N"/>
    <n v="21350151"/>
    <s v="3000014511920019"/>
    <s v="CIVIL"/>
    <d v="2023-06-27T00:00:00"/>
    <d v="2023-07-10T19:01:40"/>
    <m/>
    <d v="2023-07-10T00:00:00"/>
    <n v="2001"/>
    <n v="8025"/>
    <s v="60205196"/>
    <s v="60205196"/>
    <m/>
    <m/>
    <n v="22772812"/>
    <m/>
    <m/>
    <m/>
    <s v="SOLFIN"/>
    <s v="SOLFIN"/>
    <s v="CCMS"/>
    <n v="21350151"/>
    <n v="11333.33"/>
    <m/>
    <s v="N"/>
    <n v="3"/>
    <d v="2023-07-10T19:02:15"/>
    <s v="Y"/>
    <s v="Expert - Other"/>
    <s v="Public Law Children"/>
    <s v="Expert Disbursement"/>
    <s v="DW"/>
    <s v="Y"/>
    <n v="110"/>
    <n v="22"/>
    <x v="2"/>
    <s v="VALIDATED"/>
    <n v="1"/>
    <s v="01.11.80.308.6300.0000"/>
    <n v="110"/>
    <s v="11"/>
    <s v="6300"/>
    <n v="14387.73"/>
    <n v="110"/>
    <s v="CREDITOR"/>
    <n v="0"/>
    <n v="0"/>
    <n v="0"/>
    <n v="0"/>
    <n v="110"/>
  </r>
  <r>
    <n v="60650441"/>
    <s v="N"/>
    <n v="21349931"/>
    <s v="3000014900700006"/>
    <s v="CIVIL"/>
    <d v="2023-06-28T00:00:00"/>
    <d v="2023-07-10T19:01:40"/>
    <m/>
    <d v="2023-07-10T00:00:00"/>
    <n v="2001"/>
    <n v="8025"/>
    <s v="60650441"/>
    <s v="60650441"/>
    <m/>
    <m/>
    <n v="22782816"/>
    <m/>
    <m/>
    <m/>
    <s v="SOLFIN"/>
    <s v="SOLFIN"/>
    <s v="CCMS"/>
    <n v="21349931"/>
    <n v="6058.36"/>
    <m/>
    <s v="N"/>
    <n v="7"/>
    <d v="2023-07-10T19:02:04"/>
    <s v="Y"/>
    <s v="Process server"/>
    <s v="Domestic Abuse"/>
    <s v="Expert Disbursement"/>
    <s v="LH"/>
    <s v="Y"/>
    <n v="59.12"/>
    <n v="0"/>
    <x v="2"/>
    <s v="VALIDATED"/>
    <n v="1"/>
    <s v="01.11.80.307.6300.0000"/>
    <n v="59.12"/>
    <s v="11"/>
    <s v="6300"/>
    <n v="14387.73"/>
    <n v="59.12"/>
    <s v="CREDITOR"/>
    <n v="0"/>
    <n v="0"/>
    <n v="0"/>
    <n v="0"/>
    <n v="59.12"/>
  </r>
  <r>
    <n v="61069071"/>
    <s v="N"/>
    <n v="21343991"/>
    <s v="3000015259830006"/>
    <s v="CIVIL"/>
    <d v="2023-06-28T00:00:00"/>
    <d v="2023-07-07T19:03:00"/>
    <m/>
    <d v="2023-07-07T00:00:00"/>
    <n v="2001"/>
    <n v="8025"/>
    <s v="61069071"/>
    <s v="61069071"/>
    <m/>
    <m/>
    <n v="22783130"/>
    <m/>
    <m/>
    <m/>
    <s v="SOLFIN"/>
    <s v="SOLFIN"/>
    <s v="CCMS"/>
    <n v="21343991"/>
    <n v="2622.78"/>
    <m/>
    <s v="N"/>
    <n v="49"/>
    <d v="2023-07-07T19:03:19"/>
    <s v="Y"/>
    <s v="Preparation - other"/>
    <s v="Prescribed Hourly Rates"/>
    <s v="Profit Cost"/>
    <s v="HM"/>
    <s v="Y"/>
    <n v="31.57"/>
    <n v="6.31"/>
    <x v="9"/>
    <s v="VALIDATED"/>
    <n v="1"/>
    <s v="01.11.80.307.6100.0000"/>
    <n v="31.57"/>
    <s v="11"/>
    <s v="6100"/>
    <n v="14387.73"/>
    <n v="31.57"/>
    <s v="CREDITOR"/>
    <n v="0"/>
    <n v="0"/>
    <n v="0"/>
    <n v="0"/>
    <n v="31.57"/>
  </r>
  <r>
    <n v="61069071"/>
    <s v="N"/>
    <n v="21343991"/>
    <s v="3000015259830006"/>
    <s v="CIVIL"/>
    <d v="2023-06-28T00:00:00"/>
    <d v="2023-07-07T19:03:00"/>
    <m/>
    <d v="2023-07-07T00:00:00"/>
    <n v="2001"/>
    <n v="8025"/>
    <s v="61069071"/>
    <s v="61069071"/>
    <m/>
    <m/>
    <n v="22783130"/>
    <m/>
    <m/>
    <m/>
    <s v="SOLFIN"/>
    <s v="SOLFIN"/>
    <s v="CCMS"/>
    <n v="21343991"/>
    <n v="2622.78"/>
    <m/>
    <s v="N"/>
    <n v="32"/>
    <d v="2023-07-07T19:03:19"/>
    <s v="Y"/>
    <s v="Preparation - other"/>
    <s v="Prescribed Hourly Rates"/>
    <s v="Profit Cost"/>
    <s v="CHB"/>
    <s v="Y"/>
    <n v="5.49"/>
    <n v="1.1"/>
    <x v="9"/>
    <s v="VALIDATED"/>
    <n v="1"/>
    <s v="01.11.80.307.6100.0000"/>
    <n v="5.49"/>
    <s v="11"/>
    <s v="6100"/>
    <n v="14387.73"/>
    <n v="5.49"/>
    <s v="CREDITOR"/>
    <n v="0"/>
    <n v="0"/>
    <n v="0"/>
    <n v="0"/>
    <n v="5.49"/>
  </r>
  <r>
    <n v="61069071"/>
    <s v="N"/>
    <n v="21343991"/>
    <s v="3000015259830006"/>
    <s v="CIVIL"/>
    <d v="2023-06-28T00:00:00"/>
    <d v="2023-07-07T19:03:00"/>
    <m/>
    <d v="2023-07-07T00:00:00"/>
    <n v="2001"/>
    <n v="8025"/>
    <s v="61069071"/>
    <s v="61069071"/>
    <m/>
    <m/>
    <n v="22783130"/>
    <m/>
    <m/>
    <m/>
    <s v="SOLFIN"/>
    <s v="SOLFIN"/>
    <s v="CCMS"/>
    <n v="21343991"/>
    <n v="2622.78"/>
    <m/>
    <s v="N"/>
    <n v="50"/>
    <d v="2023-07-07T19:03:19"/>
    <s v="Y"/>
    <s v="Routine Telephone Call"/>
    <s v="Prescribed Hourly Rates"/>
    <s v="Profit Cost"/>
    <s v="HM"/>
    <s v="Y"/>
    <n v="24.84"/>
    <n v="4.97"/>
    <x v="9"/>
    <s v="VALIDATED"/>
    <n v="1"/>
    <s v="01.11.80.307.6100.0000"/>
    <n v="24.84"/>
    <s v="11"/>
    <s v="6100"/>
    <n v="14387.73"/>
    <n v="24.84"/>
    <s v="CREDITOR"/>
    <n v="0"/>
    <n v="0"/>
    <n v="0"/>
    <n v="0"/>
    <n v="24.84"/>
  </r>
  <r>
    <n v="61069071"/>
    <s v="N"/>
    <n v="21343991"/>
    <s v="3000015259830006"/>
    <s v="CIVIL"/>
    <d v="2023-06-28T00:00:00"/>
    <d v="2023-07-07T19:03:00"/>
    <m/>
    <d v="2023-07-07T00:00:00"/>
    <n v="2001"/>
    <n v="8025"/>
    <s v="61069071"/>
    <s v="61069071"/>
    <m/>
    <m/>
    <n v="22783130"/>
    <m/>
    <m/>
    <m/>
    <s v="SOLFIN"/>
    <s v="SOLFIN"/>
    <s v="CCMS"/>
    <n v="21343991"/>
    <n v="2622.78"/>
    <m/>
    <s v="N"/>
    <n v="8"/>
    <d v="2023-07-07T19:03:19"/>
    <s v="Y"/>
    <s v="Preparation - other"/>
    <s v="Prescribed Hourly Rates"/>
    <s v="Profit Cost"/>
    <s v="HM"/>
    <s v="Y"/>
    <n v="41.18"/>
    <n v="8.24"/>
    <x v="9"/>
    <s v="VALIDATED"/>
    <n v="1"/>
    <s v="01.11.80.307.6100.0000"/>
    <n v="41.18"/>
    <s v="11"/>
    <s v="6100"/>
    <n v="14387.73"/>
    <n v="41.18"/>
    <s v="CREDITOR"/>
    <n v="0"/>
    <n v="0"/>
    <n v="0"/>
    <n v="0"/>
    <n v="41.18"/>
  </r>
  <r>
    <n v="61069071"/>
    <s v="N"/>
    <n v="21343991"/>
    <s v="3000015259830006"/>
    <s v="CIVIL"/>
    <d v="2023-06-28T00:00:00"/>
    <d v="2023-07-07T19:03:00"/>
    <m/>
    <d v="2023-07-07T00:00:00"/>
    <n v="2001"/>
    <n v="8025"/>
    <s v="61069071"/>
    <s v="61069071"/>
    <m/>
    <m/>
    <n v="22783130"/>
    <m/>
    <m/>
    <m/>
    <s v="SOLFIN"/>
    <s v="SOLFIN"/>
    <s v="CCMS"/>
    <n v="21343991"/>
    <n v="2622.78"/>
    <m/>
    <s v="N"/>
    <n v="37"/>
    <d v="2023-07-07T19:03:19"/>
    <s v="Y"/>
    <s v="Preparation - other"/>
    <s v="Prescribed Hourly Rates"/>
    <s v="Profit Cost"/>
    <s v="HM"/>
    <s v="Y"/>
    <n v="82.34999999999999"/>
    <n v="16.47"/>
    <x v="9"/>
    <s v="VALIDATED"/>
    <n v="1"/>
    <s v="01.11.80.307.6100.0000"/>
    <n v="82.34999999999999"/>
    <s v="11"/>
    <s v="6100"/>
    <n v="14387.73"/>
    <n v="82.34999999999999"/>
    <s v="CREDITOR"/>
    <n v="0"/>
    <n v="0"/>
    <n v="0"/>
    <n v="0"/>
    <n v="82.34999999999999"/>
  </r>
  <r>
    <n v="61782434"/>
    <s v="N"/>
    <n v="21330609"/>
    <s v="3000015858760003"/>
    <s v="CIVIL"/>
    <d v="2023-06-28T00:00:00"/>
    <d v="2023-07-05T19:01:47"/>
    <m/>
    <d v="2023-07-05T00:00:00"/>
    <n v="2001"/>
    <n v="8025"/>
    <s v="61782434"/>
    <s v="61782434"/>
    <m/>
    <m/>
    <n v="22779158"/>
    <m/>
    <m/>
    <m/>
    <s v="SOLFIN"/>
    <s v="SOLFIN"/>
    <s v="CCMS"/>
    <n v="21330609"/>
    <n v="3887.91"/>
    <m/>
    <s v="N"/>
    <n v="4"/>
    <d v="2023-07-05T19:01:51"/>
    <s v="Y"/>
    <s v="Hearing Unit 2.31 - 5.00 Hours"/>
    <s v="Public Law Children"/>
    <s v="Advocacy"/>
    <s v="HW"/>
    <s v="Y"/>
    <n v="433.62"/>
    <n v="86.72"/>
    <x v="6"/>
    <s v="VALIDATED"/>
    <n v="1"/>
    <s v="01.11.80.308.6100.0000"/>
    <n v="433.62"/>
    <s v="11"/>
    <s v="6100"/>
    <n v="14387.73"/>
    <n v="433.62"/>
    <s v="CREDITOR"/>
    <n v="0"/>
    <n v="0"/>
    <n v="0"/>
    <n v="0"/>
    <n v="433.62"/>
  </r>
  <r>
    <n v="61001485"/>
    <s v="N"/>
    <n v="21327785"/>
    <s v="3000015208370008"/>
    <s v="CIVIL"/>
    <d v="2023-06-23T00:00:00"/>
    <d v="2023-07-04T19:00:44"/>
    <m/>
    <d v="2023-07-04T00:00:00"/>
    <n v="2001"/>
    <n v="8025"/>
    <s v="61001485"/>
    <s v="61001485"/>
    <m/>
    <m/>
    <n v="22748910"/>
    <m/>
    <m/>
    <m/>
    <s v="SOLFIN"/>
    <s v="SOLFIN"/>
    <s v="CCMS"/>
    <n v="21327785"/>
    <n v="8400.68"/>
    <m/>
    <s v="N"/>
    <n v="10"/>
    <d v="2023-07-04T19:00:54"/>
    <s v="Y"/>
    <s v="Hearing Unit 2.31 - 5.00 Hours"/>
    <s v="Public Law Children"/>
    <s v="Advocacy"/>
    <s v="DW"/>
    <s v="Y"/>
    <n v="476.92"/>
    <n v="95.38"/>
    <x v="1"/>
    <s v="VALIDATED"/>
    <n v="1"/>
    <s v="01.11.80.308.6100.0000"/>
    <n v="476.92"/>
    <s v="11"/>
    <s v="6100"/>
    <n v="14387.73"/>
    <n v="476.92"/>
    <s v="CREDITOR"/>
    <n v="0"/>
    <n v="0"/>
    <n v="0"/>
    <n v="0"/>
    <n v="476.92"/>
  </r>
  <r>
    <n v="62030679"/>
    <s v="N"/>
    <n v="21319876"/>
    <s v="3000016068790004"/>
    <s v="CIVIL"/>
    <d v="2023-06-28T00:00:00"/>
    <d v="2023-07-03T19:04:24"/>
    <m/>
    <d v="2023-07-03T00:00:00"/>
    <n v="2001"/>
    <n v="8025"/>
    <s v="62030679"/>
    <s v="62030679"/>
    <m/>
    <m/>
    <n v="22777868"/>
    <m/>
    <m/>
    <m/>
    <s v="SOLPOA"/>
    <s v="SOLPOA"/>
    <s v="CCMS"/>
    <n v="21319876"/>
    <n v="503.33"/>
    <m/>
    <s v="N"/>
    <n v="1"/>
    <d v="2023-07-03T19:04:28"/>
    <s v="N"/>
    <s v="Expert Cost"/>
    <s v="Expert Cost"/>
    <s v="Expert Disbursement"/>
    <s v="HW"/>
    <s v="N"/>
    <n v="419.44"/>
    <n v="83.89"/>
    <x v="3"/>
    <s v="VALIDATED"/>
    <n v="1"/>
    <s v="01.11.80.308.2012.0000"/>
    <n v="419.44"/>
    <s v="11"/>
    <s v="2012"/>
    <n v="14387.73"/>
    <n v="419.44"/>
    <s v="CREDITOR"/>
    <n v="419.44"/>
    <n v="0"/>
    <n v="0"/>
    <n v="0"/>
    <n v="0"/>
  </r>
  <r>
    <n v="61001485"/>
    <s v="N"/>
    <n v="21327785"/>
    <s v="3000015208370008"/>
    <s v="CIVIL"/>
    <d v="2023-06-23T00:00:00"/>
    <d v="2023-07-04T19:00:44"/>
    <m/>
    <d v="2023-07-04T00:00:00"/>
    <n v="2001"/>
    <n v="8025"/>
    <s v="61001485"/>
    <s v="61001485"/>
    <m/>
    <m/>
    <n v="22748910"/>
    <m/>
    <m/>
    <m/>
    <s v="SOLFIN"/>
    <s v="SOLFIN"/>
    <s v="CCMS"/>
    <n v="21327785"/>
    <n v="8400.68"/>
    <m/>
    <s v="N"/>
    <n v="3"/>
    <d v="2023-07-04T19:00:54"/>
    <s v="Y"/>
    <s v="Child psychologist"/>
    <s v="Public Law Children"/>
    <s v="Expert Disbursement"/>
    <s v="DW"/>
    <s v="Y"/>
    <n v="2017.55"/>
    <n v="0"/>
    <x v="1"/>
    <s v="VALIDATED"/>
    <n v="1"/>
    <s v="01.11.80.308.6300.0000"/>
    <n v="2017.55"/>
    <s v="11"/>
    <s v="6300"/>
    <n v="14387.73"/>
    <n v="2017.55"/>
    <s v="CREDITOR"/>
    <n v="0"/>
    <n v="0"/>
    <n v="0"/>
    <n v="0"/>
    <n v="2017.55"/>
  </r>
  <r>
    <n v="60205196"/>
    <s v="N"/>
    <n v="21350151"/>
    <s v="3000014511920019"/>
    <s v="CIVIL"/>
    <d v="2023-06-27T00:00:00"/>
    <d v="2023-07-10T19:01:40"/>
    <m/>
    <d v="2023-07-10T00:00:00"/>
    <n v="2001"/>
    <n v="8025"/>
    <s v="60205196"/>
    <s v="60205196"/>
    <m/>
    <m/>
    <n v="22772812"/>
    <m/>
    <m/>
    <m/>
    <s v="SOLFIN"/>
    <s v="SOLFIN"/>
    <s v="CCMS"/>
    <n v="21350151"/>
    <n v="11333.33"/>
    <m/>
    <s v="N"/>
    <n v="19"/>
    <d v="2023-07-10T19:02:15"/>
    <s v="Y"/>
    <s v="Hearing Unit 1.01 - 2.30 Hours"/>
    <s v="Public Law Children"/>
    <s v="Advocacy"/>
    <s v="HW"/>
    <s v="Y"/>
    <n v="298.08"/>
    <n v="59.62"/>
    <x v="2"/>
    <s v="VALIDATED"/>
    <n v="1"/>
    <s v="01.11.80.308.6100.0000"/>
    <n v="298.08"/>
    <s v="11"/>
    <s v="6100"/>
    <n v="14387.73"/>
    <n v="298.08"/>
    <s v="CREDITOR"/>
    <n v="0"/>
    <n v="0"/>
    <n v="0"/>
    <n v="0"/>
    <n v="298.08"/>
  </r>
  <r>
    <n v="60742219"/>
    <s v="N"/>
    <n v="21349335"/>
    <s v="3000014985080020"/>
    <s v="CIVIL"/>
    <d v="2023-06-29T00:00:00"/>
    <d v="2023-07-10T19:01:40"/>
    <m/>
    <d v="2023-07-10T00:00:00"/>
    <n v="2001"/>
    <n v="8025"/>
    <s v="60742219"/>
    <s v="60742219"/>
    <m/>
    <m/>
    <n v="22789966"/>
    <m/>
    <m/>
    <m/>
    <s v="SOLFIN"/>
    <s v="SOLFIN"/>
    <s v="CCMS"/>
    <n v="21349335"/>
    <n v="5928.57"/>
    <m/>
    <s v="N"/>
    <n v="4"/>
    <d v="2023-07-10T19:01:47"/>
    <s v="Y"/>
    <s v="Interpreter"/>
    <s v="Public Law Children"/>
    <s v="Expert Disbursement"/>
    <s v="HM"/>
    <s v="Y"/>
    <n v="75"/>
    <n v="0"/>
    <x v="2"/>
    <s v="VALIDATED"/>
    <n v="1"/>
    <s v="01.11.80.308.6300.0000"/>
    <n v="75"/>
    <s v="11"/>
    <s v="6300"/>
    <n v="14387.73"/>
    <n v="75"/>
    <s v="CREDITOR"/>
    <n v="0"/>
    <n v="0"/>
    <n v="0"/>
    <n v="0"/>
    <n v="75"/>
  </r>
  <r>
    <n v="60742219"/>
    <s v="N"/>
    <n v="21349335"/>
    <s v="3000014985080020"/>
    <s v="CIVIL"/>
    <d v="2023-06-29T00:00:00"/>
    <d v="2023-07-10T19:01:40"/>
    <m/>
    <d v="2023-07-10T00:00:00"/>
    <n v="2001"/>
    <n v="8025"/>
    <s v="60742219"/>
    <s v="60742219"/>
    <m/>
    <m/>
    <n v="22789966"/>
    <m/>
    <m/>
    <m/>
    <s v="SOLFIN"/>
    <s v="SOLFIN"/>
    <s v="CCMS"/>
    <n v="21349335"/>
    <n v="5928.57"/>
    <m/>
    <s v="N"/>
    <n v="3"/>
    <d v="2023-07-10T19:01:47"/>
    <s v="Y"/>
    <s v="Interpreter"/>
    <s v="Public Law Children"/>
    <s v="Expert Disbursement"/>
    <s v="HM"/>
    <s v="Y"/>
    <n v="75"/>
    <n v="0"/>
    <x v="2"/>
    <s v="VALIDATED"/>
    <n v="1"/>
    <s v="01.11.80.308.6300.0000"/>
    <n v="75"/>
    <s v="11"/>
    <s v="6300"/>
    <n v="14387.73"/>
    <n v="75"/>
    <s v="CREDITOR"/>
    <n v="0"/>
    <n v="0"/>
    <n v="0"/>
    <n v="0"/>
    <n v="75"/>
  </r>
  <r>
    <n v="61366169"/>
    <s v="N"/>
    <n v="21338247"/>
    <s v="3000015513310007"/>
    <s v="CIVIL"/>
    <d v="2023-06-27T00:00:00"/>
    <d v="2023-07-06T19:21:01"/>
    <m/>
    <d v="2023-07-06T00:00:00"/>
    <n v="2001"/>
    <n v="8025"/>
    <s v="61366169"/>
    <s v="61366169"/>
    <m/>
    <m/>
    <n v="22773886"/>
    <m/>
    <m/>
    <m/>
    <s v="SOLFIN"/>
    <s v="SOLFIN"/>
    <s v="CCMS"/>
    <n v="21338247"/>
    <n v="4461.51"/>
    <m/>
    <s v="N"/>
    <n v="9"/>
    <d v="2023-07-06T19:21:14"/>
    <s v="Y"/>
    <s v="Advocates Meeting"/>
    <s v="Public Law Children"/>
    <s v="Advocacy"/>
    <s v="HM"/>
    <s v="Y"/>
    <n v="128.16"/>
    <n v="25.63"/>
    <x v="4"/>
    <s v="VALIDATED"/>
    <n v="1"/>
    <s v="01.11.80.308.6100.0000"/>
    <n v="128.16"/>
    <s v="11"/>
    <s v="6100"/>
    <n v="14387.73"/>
    <n v="128.16"/>
    <s v="CREDITOR"/>
    <n v="0"/>
    <n v="0"/>
    <n v="0"/>
    <n v="0"/>
    <n v="128.16"/>
  </r>
  <r>
    <n v="61001485"/>
    <s v="N"/>
    <n v="21327785"/>
    <s v="3000015208370008"/>
    <s v="CIVIL"/>
    <d v="2023-06-23T00:00:00"/>
    <d v="2023-07-04T19:00:44"/>
    <m/>
    <d v="2023-07-04T00:00:00"/>
    <n v="2001"/>
    <n v="8025"/>
    <s v="61001485"/>
    <s v="61001485"/>
    <m/>
    <m/>
    <n v="22748910"/>
    <m/>
    <m/>
    <m/>
    <s v="SOLFIN"/>
    <s v="SOLFIN"/>
    <s v="CCMS"/>
    <n v="21327785"/>
    <n v="8400.68"/>
    <m/>
    <s v="N"/>
    <n v="16"/>
    <d v="2023-07-04T19:00:54"/>
    <s v="Y"/>
    <s v="Advocates Meeting"/>
    <s v="Public Law Children"/>
    <s v="Advocacy"/>
    <s v="DW"/>
    <s v="Y"/>
    <n v="140.99"/>
    <n v="28.2"/>
    <x v="1"/>
    <s v="VALIDATED"/>
    <n v="1"/>
    <s v="01.11.80.308.6100.0000"/>
    <n v="140.99"/>
    <s v="11"/>
    <s v="6100"/>
    <n v="14387.73"/>
    <n v="140.99"/>
    <s v="CREDITOR"/>
    <n v="0"/>
    <n v="0"/>
    <n v="0"/>
    <n v="0"/>
    <n v="140.99"/>
  </r>
  <r>
    <n v="61903537"/>
    <s v="N"/>
    <n v="21320535"/>
    <s v="3000015960220011"/>
    <s v="CIVIL"/>
    <d v="2023-06-28T00:00:00"/>
    <d v="2023-07-03T19:04:52"/>
    <m/>
    <d v="2023-07-03T00:00:00"/>
    <n v="2001"/>
    <n v="8025"/>
    <s v="61903537"/>
    <s v="61903537"/>
    <m/>
    <m/>
    <n v="22780044"/>
    <m/>
    <m/>
    <m/>
    <s v="SOLPOA"/>
    <s v="SOLPOA"/>
    <s v="CCMS"/>
    <n v="21320535"/>
    <n v="205.96"/>
    <m/>
    <s v="N"/>
    <n v="1"/>
    <d v="2023-07-03T19:04:54"/>
    <s v="N"/>
    <s v="Expert Cost"/>
    <s v="Expert Cost"/>
    <s v="Expert Disbursement"/>
    <s v="DW"/>
    <s v="N"/>
    <n v="205.96"/>
    <n v="0"/>
    <x v="3"/>
    <s v="VALIDATED"/>
    <n v="1"/>
    <s v="01.11.80.308.2012.0000"/>
    <n v="205.96"/>
    <s v="11"/>
    <s v="2012"/>
    <n v="14387.73"/>
    <n v="205.96"/>
    <s v="CREDITOR"/>
    <n v="205.96"/>
    <n v="0"/>
    <n v="0"/>
    <n v="0"/>
    <n v="0"/>
  </r>
  <r>
    <n v="61247561"/>
    <s v="N"/>
    <n v="21319562"/>
    <s v="3000015414880025"/>
    <s v="CIVIL"/>
    <d v="2023-06-28T00:00:00"/>
    <d v="2023-07-03T19:04:24"/>
    <m/>
    <d v="2023-07-03T00:00:00"/>
    <n v="2001"/>
    <n v="8025"/>
    <s v="61247561"/>
    <s v="61247561"/>
    <m/>
    <m/>
    <n v="22777774"/>
    <m/>
    <m/>
    <m/>
    <s v="SOLPOA"/>
    <s v="SOLPOA"/>
    <s v="CCMS"/>
    <n v="21319562"/>
    <n v="51.84"/>
    <m/>
    <s v="N"/>
    <n v="1"/>
    <d v="2023-07-03T19:04:26"/>
    <s v="N"/>
    <s v="Expert Cost"/>
    <s v="Expert Cost"/>
    <s v="Expert Disbursement"/>
    <s v="HW"/>
    <s v="N"/>
    <n v="43.2"/>
    <n v="8.640000000000001"/>
    <x v="3"/>
    <s v="VALIDATED"/>
    <n v="1"/>
    <s v="01.11.80.308.2012.0000"/>
    <n v="43.2"/>
    <s v="11"/>
    <s v="2012"/>
    <n v="14387.73"/>
    <n v="43.2"/>
    <s v="CREDITOR"/>
    <n v="43.2"/>
    <n v="0"/>
    <n v="0"/>
    <n v="0"/>
    <n v="0"/>
  </r>
  <r>
    <n v="61069071"/>
    <s v="N"/>
    <n v="21343991"/>
    <s v="3000015259830006"/>
    <s v="CIVIL"/>
    <d v="2023-06-28T00:00:00"/>
    <d v="2023-07-07T19:03:00"/>
    <m/>
    <d v="2023-07-07T00:00:00"/>
    <n v="2001"/>
    <n v="8025"/>
    <s v="61069071"/>
    <s v="61069071"/>
    <m/>
    <m/>
    <n v="22783130"/>
    <m/>
    <m/>
    <m/>
    <s v="SOLFIN"/>
    <s v="SOLFIN"/>
    <s v="CCMS"/>
    <n v="21343991"/>
    <n v="2622.78"/>
    <m/>
    <s v="N"/>
    <n v="40"/>
    <d v="2023-07-07T19:03:19"/>
    <s v="Y"/>
    <s v="Routine Letter In"/>
    <s v="Prescribed Hourly Rates"/>
    <s v="Profit Cost"/>
    <s v="CHB"/>
    <s v="Y"/>
    <n v="10.8"/>
    <n v="2.16"/>
    <x v="9"/>
    <s v="VALIDATED"/>
    <n v="1"/>
    <s v="01.11.80.307.6100.0000"/>
    <n v="10.8"/>
    <s v="11"/>
    <s v="6100"/>
    <n v="14387.73"/>
    <n v="10.8"/>
    <s v="CREDITOR"/>
    <n v="0"/>
    <n v="0"/>
    <n v="0"/>
    <n v="0"/>
    <n v="10.8"/>
  </r>
  <r>
    <n v="60205196"/>
    <s v="N"/>
    <n v="21350151"/>
    <s v="3000014511920019"/>
    <s v="CIVIL"/>
    <d v="2023-06-27T00:00:00"/>
    <d v="2023-07-10T19:01:40"/>
    <m/>
    <d v="2023-07-10T00:00:00"/>
    <n v="2001"/>
    <n v="8025"/>
    <s v="60205196"/>
    <s v="60205196"/>
    <m/>
    <m/>
    <n v="22772812"/>
    <m/>
    <m/>
    <m/>
    <s v="SOLFIN"/>
    <s v="SOLFIN"/>
    <s v="CCMS"/>
    <n v="21350151"/>
    <n v="11333.33"/>
    <m/>
    <s v="N"/>
    <n v="8"/>
    <d v="2023-07-10T19:02:15"/>
    <s v="Y"/>
    <s v="Independent Social Worker"/>
    <s v="Public Law Children"/>
    <s v="Expert Disbursement"/>
    <s v="DW"/>
    <s v="Y"/>
    <n v="44.1"/>
    <n v="8.82"/>
    <x v="2"/>
    <s v="VALIDATED"/>
    <n v="1"/>
    <s v="01.11.80.308.6300.0000"/>
    <n v="44.1"/>
    <s v="11"/>
    <s v="6300"/>
    <n v="14387.73"/>
    <n v="44.1"/>
    <s v="CREDITOR"/>
    <n v="0"/>
    <n v="0"/>
    <n v="0"/>
    <n v="0"/>
    <n v="44.1"/>
  </r>
  <r>
    <n v="62250850"/>
    <s v="N"/>
    <n v="21337919"/>
    <s v="3000016250930001"/>
    <s v="CIVIL"/>
    <d v="2023-06-29T00:00:00"/>
    <d v="2023-07-06T19:21:01"/>
    <m/>
    <d v="2023-07-06T00:00:00"/>
    <n v="2001"/>
    <n v="8025"/>
    <s v="62250850"/>
    <s v="62250850"/>
    <m/>
    <m/>
    <n v="22792092"/>
    <m/>
    <m/>
    <m/>
    <s v="SOLPOA"/>
    <s v="SOLPOA"/>
    <s v="CCMS"/>
    <n v="21337919"/>
    <n v="980.45"/>
    <m/>
    <s v="N"/>
    <n v="1"/>
    <d v="2023-07-06T19:21:10"/>
    <s v="N"/>
    <s v="Expert Cost"/>
    <s v="Expert Cost"/>
    <s v="Expert Disbursement"/>
    <s v="DW"/>
    <s v="N"/>
    <n v="817.04"/>
    <n v="163.41"/>
    <x v="4"/>
    <s v="VALIDATED"/>
    <n v="1"/>
    <s v="01.11.80.308.2012.0000"/>
    <n v="817.04"/>
    <s v="11"/>
    <s v="2012"/>
    <n v="14387.73"/>
    <n v="817.04"/>
    <s v="CREDITOR"/>
    <n v="817.04"/>
    <n v="0"/>
    <n v="0"/>
    <n v="0"/>
    <n v="0"/>
  </r>
  <r>
    <n v="62298487"/>
    <s v="N"/>
    <n v="21319769"/>
    <s v="3000016290200001"/>
    <s v="CIVIL"/>
    <d v="2023-06-28T00:00:00"/>
    <d v="2023-07-03T19:04:24"/>
    <m/>
    <d v="2023-07-03T00:00:00"/>
    <n v="2001"/>
    <n v="8025"/>
    <s v="62298487"/>
    <s v="62298487"/>
    <m/>
    <m/>
    <n v="22778036"/>
    <m/>
    <m/>
    <m/>
    <s v="SOLPOA"/>
    <s v="SOLPOA"/>
    <s v="CCMS"/>
    <n v="21319769"/>
    <n v="232"/>
    <m/>
    <s v="N"/>
    <n v="1"/>
    <d v="2023-07-03T19:04:27"/>
    <s v="N"/>
    <s v="Non Expert Disbursement - Private L"/>
    <s v="Non Expert Disbursement - Priv"/>
    <s v="Non Expert Disbursement"/>
    <s v="JP"/>
    <s v="N"/>
    <n v="232"/>
    <n v="0"/>
    <x v="3"/>
    <s v="VALIDATED"/>
    <n v="1"/>
    <s v="01.11.80.307.2012.0000"/>
    <n v="232"/>
    <s v="11"/>
    <s v="2012"/>
    <n v="14387.73"/>
    <n v="232"/>
    <s v="CREDITOR"/>
    <n v="232"/>
    <n v="0"/>
    <n v="0"/>
    <n v="0"/>
    <n v="0"/>
  </r>
  <r>
    <n v="61001807"/>
    <s v="N"/>
    <n v="21319066"/>
    <s v="3000015208620001"/>
    <s v="CIVIL"/>
    <d v="2023-06-23T00:00:00"/>
    <d v="2023-07-03T19:01:49"/>
    <m/>
    <d v="2023-07-03T00:00:00"/>
    <n v="2001"/>
    <n v="8025"/>
    <s v="61001807"/>
    <s v="61001807"/>
    <m/>
    <m/>
    <n v="22749662"/>
    <m/>
    <m/>
    <m/>
    <s v="SOLFIN"/>
    <s v="SOLFIN"/>
    <s v="CCMS"/>
    <n v="21319066"/>
    <n v="0"/>
    <m/>
    <s v="N"/>
    <n v="1"/>
    <d v="2023-07-03T19:02:10"/>
    <s v="N"/>
    <s v="NIL BILL"/>
    <s v="Public Law Children"/>
    <s v="Profit Cost"/>
    <s v="DW"/>
    <s v="N"/>
    <n v="0"/>
    <n v="0"/>
    <x v="3"/>
    <s v="VALIDATED"/>
    <n v="1"/>
    <s v="01.11.80.308.6100.0000"/>
    <n v="0"/>
    <s v="11"/>
    <s v="6100"/>
    <n v="14387.73"/>
    <n v="0"/>
    <s v="CREDITOR"/>
    <n v="0"/>
    <n v="0"/>
    <n v="0"/>
    <n v="0"/>
    <n v="0"/>
  </r>
  <r>
    <n v="60742219"/>
    <s v="N"/>
    <n v="21349335"/>
    <s v="3000014985080020"/>
    <s v="CIVIL"/>
    <d v="2023-06-29T00:00:00"/>
    <d v="2023-07-10T19:01:40"/>
    <m/>
    <d v="2023-07-10T00:00:00"/>
    <n v="2001"/>
    <n v="8025"/>
    <s v="60742219"/>
    <s v="60742219"/>
    <m/>
    <m/>
    <n v="22789966"/>
    <m/>
    <m/>
    <m/>
    <s v="SOLFIN"/>
    <s v="SOLFIN"/>
    <s v="CCMS"/>
    <n v="21349335"/>
    <n v="5928.57"/>
    <m/>
    <s v="N"/>
    <n v="13"/>
    <d v="2023-07-10T19:01:47"/>
    <s v="Y"/>
    <s v="Interpreter"/>
    <s v="Public Law Children"/>
    <s v="Expert Disbursement"/>
    <s v="HM"/>
    <s v="Y"/>
    <n v="75"/>
    <n v="0"/>
    <x v="2"/>
    <s v="VALIDATED"/>
    <n v="1"/>
    <s v="01.11.80.308.6300.0000"/>
    <n v="75"/>
    <s v="11"/>
    <s v="6300"/>
    <n v="14387.73"/>
    <n v="75"/>
    <s v="CREDITOR"/>
    <n v="0"/>
    <n v="0"/>
    <n v="0"/>
    <n v="0"/>
    <n v="75"/>
  </r>
  <r>
    <n v="61069071"/>
    <s v="N"/>
    <n v="21343991"/>
    <s v="3000015259830006"/>
    <s v="CIVIL"/>
    <d v="2023-06-28T00:00:00"/>
    <d v="2023-07-07T19:03:00"/>
    <m/>
    <d v="2023-07-07T00:00:00"/>
    <n v="2001"/>
    <n v="8025"/>
    <s v="61069071"/>
    <s v="61069071"/>
    <m/>
    <m/>
    <n v="22783130"/>
    <m/>
    <m/>
    <m/>
    <s v="SOLFIN"/>
    <s v="SOLFIN"/>
    <s v="CCMS"/>
    <n v="21343991"/>
    <n v="2622.78"/>
    <m/>
    <s v="N"/>
    <n v="22"/>
    <d v="2023-07-07T19:03:19"/>
    <s v="Y"/>
    <s v="Attendance upon client"/>
    <s v="Prescribed Hourly Rates"/>
    <s v="Profit Cost"/>
    <s v="HM"/>
    <s v="Y"/>
    <n v="32.94"/>
    <n v="6.59"/>
    <x v="9"/>
    <s v="VALIDATED"/>
    <n v="1"/>
    <s v="01.11.80.307.6100.0000"/>
    <n v="32.94"/>
    <s v="11"/>
    <s v="6100"/>
    <n v="14387.73"/>
    <n v="32.94"/>
    <s v="CREDITOR"/>
    <n v="0"/>
    <n v="0"/>
    <n v="0"/>
    <n v="0"/>
    <n v="32.94"/>
  </r>
  <r>
    <n v="61001485"/>
    <s v="N"/>
    <n v="21327785"/>
    <s v="3000015208370008"/>
    <s v="CIVIL"/>
    <d v="2023-06-23T00:00:00"/>
    <d v="2023-07-04T19:00:44"/>
    <m/>
    <d v="2023-07-04T00:00:00"/>
    <n v="2001"/>
    <n v="8025"/>
    <s v="61001485"/>
    <s v="61001485"/>
    <m/>
    <m/>
    <n v="22748910"/>
    <m/>
    <m/>
    <m/>
    <s v="SOLFIN"/>
    <s v="SOLFIN"/>
    <s v="CCMS"/>
    <n v="21327785"/>
    <n v="8400.68"/>
    <m/>
    <s v="N"/>
    <n v="14"/>
    <d v="2023-07-04T19:00:54"/>
    <s v="Y"/>
    <s v="Advocates Meeting"/>
    <s v="Public Law Children"/>
    <s v="Advocacy"/>
    <s v="DW"/>
    <s v="Y"/>
    <n v="140.99"/>
    <n v="28.2"/>
    <x v="1"/>
    <s v="VALIDATED"/>
    <n v="1"/>
    <s v="01.11.80.308.6100.0000"/>
    <n v="140.99"/>
    <s v="11"/>
    <s v="6100"/>
    <n v="14387.73"/>
    <n v="140.99"/>
    <s v="CREDITOR"/>
    <n v="0"/>
    <n v="0"/>
    <n v="0"/>
    <n v="0"/>
    <n v="140.99"/>
  </r>
  <r>
    <n v="61366169"/>
    <s v="N"/>
    <n v="21338247"/>
    <s v="3000015513310007"/>
    <s v="CIVIL"/>
    <d v="2023-06-27T00:00:00"/>
    <d v="2023-07-06T19:21:01"/>
    <m/>
    <d v="2023-07-06T00:00:00"/>
    <n v="2001"/>
    <n v="8025"/>
    <s v="61366169"/>
    <s v="61366169"/>
    <m/>
    <m/>
    <n v="22773886"/>
    <m/>
    <m/>
    <m/>
    <s v="SOLFIN"/>
    <s v="SOLFIN"/>
    <s v="CCMS"/>
    <n v="21338247"/>
    <n v="4461.51"/>
    <m/>
    <s v="N"/>
    <n v="7"/>
    <d v="2023-07-06T19:21:14"/>
    <s v="Y"/>
    <s v="Advocates Meeting"/>
    <s v="Public Law Children"/>
    <s v="Advocacy"/>
    <s v="HM"/>
    <s v="Y"/>
    <n v="140.99"/>
    <n v="28.2"/>
    <x v="4"/>
    <s v="VALIDATED"/>
    <n v="1"/>
    <s v="01.11.80.308.6100.0000"/>
    <n v="140.99"/>
    <s v="11"/>
    <s v="6100"/>
    <n v="14387.73"/>
    <n v="140.99"/>
    <s v="CREDITOR"/>
    <n v="0"/>
    <n v="0"/>
    <n v="0"/>
    <n v="0"/>
    <n v="140.99"/>
  </r>
  <r>
    <n v="60125579"/>
    <s v="N"/>
    <n v="21350115"/>
    <s v="3000014453780007"/>
    <s v="CIVIL"/>
    <d v="2023-06-27T00:00:00"/>
    <d v="2023-07-10T19:01:40"/>
    <m/>
    <d v="2023-07-10T00:00:00"/>
    <n v="2001"/>
    <n v="8025"/>
    <s v="60125579"/>
    <s v="60125579"/>
    <m/>
    <m/>
    <n v="22772710"/>
    <m/>
    <m/>
    <m/>
    <s v="SOLFIN"/>
    <s v="SOLFIN"/>
    <s v="CCMS"/>
    <n v="21350115"/>
    <n v="9524.85"/>
    <m/>
    <s v="N"/>
    <n v="7"/>
    <d v="2023-07-10T19:02:14"/>
    <s v="Y"/>
    <s v="Hearing Unit 2.31 - 5.00 Hours"/>
    <s v="Public Law Children"/>
    <s v="Advocacy"/>
    <s v="DW"/>
    <s v="Y"/>
    <n v="476.92"/>
    <n v="95.38"/>
    <x v="2"/>
    <s v="VALIDATED"/>
    <n v="1"/>
    <s v="01.11.80.308.6100.0000"/>
    <n v="476.92"/>
    <s v="11"/>
    <s v="6100"/>
    <n v="14387.73"/>
    <n v="476.92"/>
    <s v="CREDITOR"/>
    <n v="0"/>
    <n v="0"/>
    <n v="0"/>
    <n v="0"/>
    <n v="476.92"/>
  </r>
  <r>
    <n v="61069071"/>
    <s v="N"/>
    <n v="21343991"/>
    <s v="3000015259830006"/>
    <s v="CIVIL"/>
    <d v="2023-06-28T00:00:00"/>
    <d v="2023-07-07T19:03:00"/>
    <m/>
    <d v="2023-07-07T00:00:00"/>
    <n v="2001"/>
    <n v="8025"/>
    <s v="61069071"/>
    <s v="61069071"/>
    <m/>
    <m/>
    <n v="22783130"/>
    <m/>
    <m/>
    <m/>
    <s v="SOLFIN"/>
    <s v="SOLFIN"/>
    <s v="CCMS"/>
    <n v="21343991"/>
    <n v="2622.78"/>
    <m/>
    <s v="N"/>
    <n v="38"/>
    <d v="2023-07-07T19:03:19"/>
    <s v="Y"/>
    <s v="Attendance upon other"/>
    <s v="Prescribed Hourly Rates"/>
    <s v="Profit Cost"/>
    <s v="HM"/>
    <s v="Y"/>
    <n v="12.63"/>
    <n v="2.53"/>
    <x v="9"/>
    <s v="VALIDATED"/>
    <n v="1"/>
    <s v="01.11.80.307.6100.0000"/>
    <n v="12.63"/>
    <s v="11"/>
    <s v="6100"/>
    <n v="14387.73"/>
    <n v="12.63"/>
    <s v="CREDITOR"/>
    <n v="0"/>
    <n v="0"/>
    <n v="0"/>
    <n v="0"/>
    <n v="12.63"/>
  </r>
  <r>
    <n v="61069071"/>
    <s v="N"/>
    <n v="21343991"/>
    <s v="3000015259830006"/>
    <s v="CIVIL"/>
    <d v="2023-06-28T00:00:00"/>
    <d v="2023-07-07T19:03:00"/>
    <m/>
    <d v="2023-07-07T00:00:00"/>
    <n v="2001"/>
    <n v="8025"/>
    <s v="61069071"/>
    <s v="61069071"/>
    <m/>
    <m/>
    <n v="22783130"/>
    <m/>
    <m/>
    <m/>
    <s v="SOLFIN"/>
    <s v="SOLFIN"/>
    <s v="CCMS"/>
    <n v="21343991"/>
    <n v="2622.78"/>
    <m/>
    <s v="N"/>
    <n v="43"/>
    <d v="2023-07-07T19:03:19"/>
    <s v="Y"/>
    <s v="Preparation - other"/>
    <s v="Prescribed Hourly Rates"/>
    <s v="Profit Cost"/>
    <s v="HM"/>
    <s v="Y"/>
    <n v="16.47"/>
    <n v="3.29"/>
    <x v="9"/>
    <s v="VALIDATED"/>
    <n v="1"/>
    <s v="01.11.80.307.6100.0000"/>
    <n v="16.47"/>
    <s v="11"/>
    <s v="6100"/>
    <n v="14387.73"/>
    <n v="16.47"/>
    <s v="CREDITOR"/>
    <n v="0"/>
    <n v="0"/>
    <n v="0"/>
    <n v="0"/>
    <n v="16.47"/>
  </r>
  <r>
    <n v="60125579"/>
    <s v="N"/>
    <n v="21350115"/>
    <s v="3000014453780007"/>
    <s v="CIVIL"/>
    <d v="2023-06-27T00:00:00"/>
    <d v="2023-07-10T19:01:40"/>
    <m/>
    <d v="2023-07-10T00:00:00"/>
    <n v="2001"/>
    <n v="8025"/>
    <s v="60125579"/>
    <s v="60125579"/>
    <m/>
    <m/>
    <n v="22772710"/>
    <m/>
    <m/>
    <m/>
    <s v="SOLFIN"/>
    <s v="SOLFIN"/>
    <s v="CCMS"/>
    <n v="21350115"/>
    <n v="9524.85"/>
    <m/>
    <s v="N"/>
    <n v="1"/>
    <d v="2023-07-10T19:02:14"/>
    <s v="Y"/>
    <s v="Profit Costs (Summary)"/>
    <s v="Public Law Children"/>
    <s v="Profit Cost"/>
    <s v="DW"/>
    <s v="Y"/>
    <n v="5429.3"/>
    <n v="1085.86"/>
    <x v="2"/>
    <s v="VALIDATED"/>
    <n v="1"/>
    <s v="01.11.80.308.6100.0000"/>
    <n v="5429.3"/>
    <s v="11"/>
    <s v="6100"/>
    <n v="14387.73"/>
    <n v="5429.3"/>
    <s v="CREDITOR"/>
    <n v="0"/>
    <n v="0"/>
    <n v="0"/>
    <n v="0"/>
    <n v="5429.3"/>
  </r>
  <r>
    <n v="60650441"/>
    <s v="N"/>
    <n v="21349931"/>
    <s v="3000014900700006"/>
    <s v="CIVIL"/>
    <d v="2023-06-28T00:00:00"/>
    <d v="2023-07-10T19:01:40"/>
    <m/>
    <d v="2023-07-10T00:00:00"/>
    <n v="2001"/>
    <n v="8025"/>
    <s v="60650441"/>
    <s v="60650441"/>
    <m/>
    <m/>
    <n v="22782816"/>
    <m/>
    <m/>
    <m/>
    <s v="SOLFIN"/>
    <s v="SOLFIN"/>
    <s v="CCMS"/>
    <n v="21349931"/>
    <n v="6058.36"/>
    <m/>
    <s v="N"/>
    <n v="4"/>
    <d v="2023-07-10T19:02:04"/>
    <s v="Y"/>
    <s v="Solicitor Travel Mileage"/>
    <s v="Private Law Children"/>
    <s v="Non Expert Disbursement"/>
    <s v="JP"/>
    <s v="Y"/>
    <n v="31.5"/>
    <n v="0"/>
    <x v="2"/>
    <s v="VALIDATED"/>
    <n v="1"/>
    <s v="01.11.80.307.6300.0000"/>
    <n v="31.5"/>
    <s v="11"/>
    <s v="6300"/>
    <n v="14387.73"/>
    <n v="31.5"/>
    <s v="CREDITOR"/>
    <n v="0"/>
    <n v="0"/>
    <n v="0"/>
    <n v="0"/>
    <n v="31.5"/>
  </r>
  <r>
    <n v="61069071"/>
    <s v="N"/>
    <n v="21343991"/>
    <s v="3000015259830006"/>
    <s v="CIVIL"/>
    <d v="2023-06-28T00:00:00"/>
    <d v="2023-07-07T19:03:00"/>
    <m/>
    <d v="2023-07-07T00:00:00"/>
    <n v="2001"/>
    <n v="8025"/>
    <s v="61069071"/>
    <s v="61069071"/>
    <m/>
    <m/>
    <n v="22783130"/>
    <m/>
    <m/>
    <m/>
    <s v="SOLFIN"/>
    <s v="SOLFIN"/>
    <s v="CCMS"/>
    <n v="21343991"/>
    <n v="2622.78"/>
    <m/>
    <s v="N"/>
    <n v="59"/>
    <d v="2023-07-07T19:03:19"/>
    <s v="Y"/>
    <s v="Preparation - other"/>
    <s v="Prescribed Hourly Rates"/>
    <s v="Profit Cost"/>
    <s v="HM"/>
    <s v="Y"/>
    <n v="16.47"/>
    <n v="3.29"/>
    <x v="9"/>
    <s v="VALIDATED"/>
    <n v="1"/>
    <s v="01.11.80.307.6100.0000"/>
    <n v="16.47"/>
    <s v="11"/>
    <s v="6100"/>
    <n v="14387.73"/>
    <n v="16.47"/>
    <s v="CREDITOR"/>
    <n v="0"/>
    <n v="0"/>
    <n v="0"/>
    <n v="0"/>
    <n v="16.47"/>
  </r>
  <r>
    <n v="61069071"/>
    <s v="N"/>
    <n v="21343991"/>
    <s v="3000015259830006"/>
    <s v="CIVIL"/>
    <d v="2023-06-28T00:00:00"/>
    <d v="2023-07-07T19:03:00"/>
    <m/>
    <d v="2023-07-07T00:00:00"/>
    <n v="2001"/>
    <n v="8025"/>
    <s v="61069071"/>
    <s v="61069071"/>
    <m/>
    <m/>
    <n v="22783130"/>
    <m/>
    <m/>
    <m/>
    <s v="SOLFIN"/>
    <s v="SOLFIN"/>
    <s v="CCMS"/>
    <n v="21343991"/>
    <n v="2622.78"/>
    <m/>
    <s v="N"/>
    <n v="1"/>
    <d v="2023-07-07T19:03:19"/>
    <s v="Y"/>
    <s v="Preparation - other"/>
    <s v="Prescribed Hourly Rates"/>
    <s v="Profit Cost"/>
    <s v="HM"/>
    <s v="Y"/>
    <n v="41.18"/>
    <n v="8.24"/>
    <x v="9"/>
    <s v="VALIDATED"/>
    <n v="1"/>
    <s v="01.11.80.307.6100.0000"/>
    <n v="41.18"/>
    <s v="11"/>
    <s v="6100"/>
    <n v="14387.73"/>
    <n v="41.18"/>
    <s v="CREDITOR"/>
    <n v="0"/>
    <n v="0"/>
    <n v="0"/>
    <n v="0"/>
    <n v="41.18"/>
  </r>
  <r>
    <n v="61366169"/>
    <s v="N"/>
    <n v="21338247"/>
    <s v="3000015513310007"/>
    <s v="CIVIL"/>
    <d v="2023-06-27T00:00:00"/>
    <d v="2023-07-06T19:21:01"/>
    <m/>
    <d v="2023-07-06T00:00:00"/>
    <n v="2001"/>
    <n v="8025"/>
    <s v="61366169"/>
    <s v="61366169"/>
    <m/>
    <m/>
    <n v="22773886"/>
    <m/>
    <m/>
    <m/>
    <s v="SOLFIN"/>
    <s v="SOLFIN"/>
    <s v="CCMS"/>
    <n v="21338247"/>
    <n v="4461.51"/>
    <m/>
    <s v="N"/>
    <n v="10"/>
    <d v="2023-07-06T19:21:14"/>
    <s v="Y"/>
    <s v="Solicitors Fixed Fee"/>
    <s v="Public Law Children"/>
    <s v="Profit Cost"/>
    <s v="HM"/>
    <s v="Y"/>
    <n v="1911"/>
    <n v="382.2"/>
    <x v="4"/>
    <s v="VALIDATED"/>
    <n v="1"/>
    <s v="01.11.80.308.6100.0000"/>
    <n v="1911"/>
    <s v="11"/>
    <s v="6100"/>
    <n v="14387.73"/>
    <n v="1911"/>
    <s v="CREDITOR"/>
    <n v="0"/>
    <n v="0"/>
    <n v="0"/>
    <n v="0"/>
    <n v="1911"/>
  </r>
  <r>
    <n v="59912784"/>
    <s v="N"/>
    <n v="21360354"/>
    <s v="3000014267870006"/>
    <s v="CIVIL"/>
    <d v="2023-06-30T00:00:00"/>
    <d v="2023-07-11T11:50:54"/>
    <m/>
    <d v="2023-07-11T00:00:00"/>
    <n v="2001"/>
    <n v="8025"/>
    <s v="59912784"/>
    <s v="59912784"/>
    <m/>
    <m/>
    <n v="22800284"/>
    <m/>
    <m/>
    <m/>
    <s v="SOLFIN"/>
    <s v="SOLFIN"/>
    <s v="CCMS"/>
    <n v="21360354"/>
    <n v="5014.26"/>
    <m/>
    <s v="N"/>
    <n v="5"/>
    <d v="2023-07-11T11:51:03"/>
    <s v="Y"/>
    <s v="Profit Costs (Summary)"/>
    <s v="Private Law Children"/>
    <s v="Profit Cost"/>
    <s v="CA"/>
    <s v="Y"/>
    <n v="2440.45"/>
    <n v="488.09"/>
    <x v="7"/>
    <s v="VALIDATED"/>
    <n v="1"/>
    <s v="01.11.80.307.6100.0000"/>
    <n v="2440.45"/>
    <s v="11"/>
    <s v="6100"/>
    <n v="14387.73"/>
    <n v="2440.45"/>
    <s v="CREDITOR"/>
    <n v="0"/>
    <n v="0"/>
    <n v="0"/>
    <n v="0"/>
    <n v="2440.45"/>
  </r>
  <r>
    <n v="60742219"/>
    <s v="N"/>
    <n v="21349335"/>
    <s v="3000014985080020"/>
    <s v="CIVIL"/>
    <d v="2023-06-29T00:00:00"/>
    <d v="2023-07-10T19:01:40"/>
    <m/>
    <d v="2023-07-10T00:00:00"/>
    <n v="2001"/>
    <n v="8025"/>
    <s v="60742219"/>
    <s v="60742219"/>
    <m/>
    <m/>
    <n v="22789966"/>
    <m/>
    <m/>
    <m/>
    <s v="SOLFIN"/>
    <s v="SOLFIN"/>
    <s v="CCMS"/>
    <n v="21349335"/>
    <n v="5928.57"/>
    <m/>
    <s v="N"/>
    <n v="17"/>
    <d v="2023-07-10T19:01:47"/>
    <s v="Y"/>
    <s v="Hearing Unit 2.31 - 5.00 Hours"/>
    <s v="Public Law Children"/>
    <s v="Advocacy"/>
    <s v="HM"/>
    <s v="Y"/>
    <n v="476.92"/>
    <n v="95.38"/>
    <x v="2"/>
    <s v="VALIDATED"/>
    <n v="1"/>
    <s v="01.11.80.308.6100.0000"/>
    <n v="476.92"/>
    <s v="11"/>
    <s v="6100"/>
    <n v="14387.73"/>
    <n v="476.92"/>
    <s v="CREDITOR"/>
    <n v="0"/>
    <n v="0"/>
    <n v="0"/>
    <n v="0"/>
    <n v="476.92"/>
  </r>
  <r>
    <n v="61069071"/>
    <s v="N"/>
    <n v="21343991"/>
    <s v="3000015259830006"/>
    <s v="CIVIL"/>
    <d v="2023-06-28T00:00:00"/>
    <d v="2023-07-07T19:03:00"/>
    <m/>
    <d v="2023-07-07T00:00:00"/>
    <n v="2001"/>
    <n v="8025"/>
    <s v="61069071"/>
    <s v="61069071"/>
    <m/>
    <m/>
    <n v="22783130"/>
    <m/>
    <m/>
    <m/>
    <s v="SOLFIN"/>
    <s v="SOLFIN"/>
    <s v="CCMS"/>
    <n v="21343991"/>
    <n v="2622.78"/>
    <m/>
    <s v="N"/>
    <n v="46"/>
    <d v="2023-07-07T19:03:19"/>
    <s v="Y"/>
    <s v="Routine Letter Out"/>
    <s v="Prescribed Hourly Rates"/>
    <s v="Profit Cost"/>
    <s v="HM"/>
    <s v="Y"/>
    <n v="310.5"/>
    <n v="62.1"/>
    <x v="9"/>
    <s v="VALIDATED"/>
    <n v="1"/>
    <s v="01.11.80.307.6100.0000"/>
    <n v="310.5"/>
    <s v="11"/>
    <s v="6100"/>
    <n v="14387.73"/>
    <n v="310.5"/>
    <s v="CREDITOR"/>
    <n v="0"/>
    <n v="0"/>
    <n v="0"/>
    <n v="0"/>
    <n v="310.5"/>
  </r>
  <r>
    <n v="61069071"/>
    <s v="N"/>
    <n v="21343991"/>
    <s v="3000015259830006"/>
    <s v="CIVIL"/>
    <d v="2023-06-28T00:00:00"/>
    <d v="2023-07-07T19:03:00"/>
    <m/>
    <d v="2023-07-07T00:00:00"/>
    <n v="2001"/>
    <n v="8025"/>
    <s v="61069071"/>
    <s v="61069071"/>
    <m/>
    <m/>
    <n v="22783130"/>
    <m/>
    <m/>
    <m/>
    <s v="SOLFIN"/>
    <s v="SOLFIN"/>
    <s v="CCMS"/>
    <n v="21343991"/>
    <n v="2622.78"/>
    <m/>
    <s v="N"/>
    <n v="47"/>
    <d v="2023-07-07T19:03:19"/>
    <s v="Y"/>
    <s v="Preparation - other"/>
    <s v="Prescribed Hourly Rates"/>
    <s v="Profit Cost"/>
    <s v="HM"/>
    <s v="Y"/>
    <n v="12.63"/>
    <n v="2.53"/>
    <x v="9"/>
    <s v="VALIDATED"/>
    <n v="1"/>
    <s v="01.11.80.307.6100.0000"/>
    <n v="12.63"/>
    <s v="11"/>
    <s v="6100"/>
    <n v="14387.73"/>
    <n v="12.63"/>
    <s v="CREDITOR"/>
    <n v="0"/>
    <n v="0"/>
    <n v="0"/>
    <n v="0"/>
    <n v="12.63"/>
  </r>
  <r>
    <n v="61069071"/>
    <s v="N"/>
    <n v="21343991"/>
    <s v="3000015259830006"/>
    <s v="CIVIL"/>
    <d v="2023-06-28T00:00:00"/>
    <d v="2023-07-07T19:03:00"/>
    <m/>
    <d v="2023-07-07T00:00:00"/>
    <n v="2001"/>
    <n v="8025"/>
    <s v="61069071"/>
    <s v="61069071"/>
    <m/>
    <m/>
    <n v="22783130"/>
    <m/>
    <m/>
    <m/>
    <s v="SOLFIN"/>
    <s v="SOLFIN"/>
    <s v="CCMS"/>
    <n v="21343991"/>
    <n v="2622.78"/>
    <m/>
    <s v="N"/>
    <n v="18"/>
    <d v="2023-07-07T19:03:19"/>
    <s v="Y"/>
    <s v="Attendance upon other"/>
    <s v="Prescribed Hourly Rates"/>
    <s v="Profit Cost"/>
    <s v="HM"/>
    <s v="Y"/>
    <n v="18.94"/>
    <n v="3.79"/>
    <x v="9"/>
    <s v="VALIDATED"/>
    <n v="1"/>
    <s v="01.11.80.307.6100.0000"/>
    <n v="18.94"/>
    <s v="11"/>
    <s v="6100"/>
    <n v="14387.73"/>
    <n v="18.94"/>
    <s v="CREDITOR"/>
    <n v="0"/>
    <n v="0"/>
    <n v="0"/>
    <n v="0"/>
    <n v="18.94"/>
  </r>
  <r>
    <n v="60816284"/>
    <s v="N"/>
    <n v="21338459"/>
    <s v="3000015049370008"/>
    <s v="CIVIL"/>
    <d v="2023-06-27T00:00:00"/>
    <d v="2023-07-06T19:21:01"/>
    <m/>
    <d v="2023-07-06T00:00:00"/>
    <n v="2001"/>
    <n v="8025"/>
    <s v="60816284"/>
    <s v="60816284"/>
    <m/>
    <m/>
    <n v="22774066"/>
    <m/>
    <m/>
    <m/>
    <s v="SOLFIN"/>
    <s v="SOLFIN"/>
    <s v="CCMS"/>
    <n v="21338459"/>
    <n v="6853.17"/>
    <m/>
    <s v="N"/>
    <n v="7"/>
    <d v="2023-07-06T19:21:25"/>
    <s v="Y"/>
    <s v="Advocates Meeting"/>
    <s v="Public Law Children"/>
    <s v="Advocacy"/>
    <s v="HM"/>
    <s v="Y"/>
    <n v="140.99"/>
    <n v="28.2"/>
    <x v="4"/>
    <s v="VALIDATED"/>
    <n v="1"/>
    <s v="01.11.80.308.6100.0000"/>
    <n v="140.99"/>
    <s v="11"/>
    <s v="6100"/>
    <n v="14387.73"/>
    <n v="140.99"/>
    <s v="CREDITOR"/>
    <n v="0"/>
    <n v="0"/>
    <n v="0"/>
    <n v="0"/>
    <n v="140.99"/>
  </r>
  <r>
    <n v="61001485"/>
    <s v="N"/>
    <n v="21327785"/>
    <s v="3000015208370008"/>
    <s v="CIVIL"/>
    <d v="2023-06-23T00:00:00"/>
    <d v="2023-07-04T19:00:44"/>
    <m/>
    <d v="2023-07-04T00:00:00"/>
    <n v="2001"/>
    <n v="8025"/>
    <s v="61001485"/>
    <s v="61001485"/>
    <m/>
    <m/>
    <n v="22748910"/>
    <m/>
    <m/>
    <m/>
    <s v="SOLFIN"/>
    <s v="SOLFIN"/>
    <s v="CCMS"/>
    <n v="21327785"/>
    <n v="8400.68"/>
    <m/>
    <s v="N"/>
    <n v="7"/>
    <d v="2023-07-04T19:00:54"/>
    <s v="N"/>
    <s v="Solicitor Travel Mileage"/>
    <s v="Public Law Children"/>
    <s v="Non Expert Disbursement"/>
    <s v="DW"/>
    <s v="N"/>
    <n v="0"/>
    <n v="0"/>
    <x v="1"/>
    <s v="VALIDATED"/>
    <n v="1"/>
    <s v="01.11.80.308.6300.0000"/>
    <n v="0"/>
    <s v="11"/>
    <s v="6300"/>
    <n v="14387.73"/>
    <n v="0"/>
    <s v="CREDITOR"/>
    <n v="0"/>
    <n v="0"/>
    <n v="0"/>
    <n v="0"/>
    <n v="0"/>
  </r>
  <r>
    <n v="59912784"/>
    <s v="N"/>
    <n v="21360354"/>
    <s v="3000014267870006"/>
    <s v="CIVIL"/>
    <d v="2023-06-30T00:00:00"/>
    <d v="2023-07-11T11:50:54"/>
    <m/>
    <d v="2023-07-11T00:00:00"/>
    <n v="2001"/>
    <n v="8025"/>
    <s v="59912784"/>
    <s v="59912784"/>
    <m/>
    <m/>
    <n v="22800284"/>
    <m/>
    <m/>
    <m/>
    <s v="SOLFIN"/>
    <s v="SOLFIN"/>
    <s v="CCMS"/>
    <n v="21360354"/>
    <n v="5014.26"/>
    <m/>
    <s v="N"/>
    <n v="15"/>
    <d v="2023-07-11T11:51:03"/>
    <s v="Y"/>
    <s v="Level 4 Fixed Fee"/>
    <s v="Domestic Abuse"/>
    <s v="Profit Cost"/>
    <s v="CA"/>
    <s v="Y"/>
    <n v="507"/>
    <n v="101.4"/>
    <x v="7"/>
    <s v="VALIDATED"/>
    <n v="1"/>
    <s v="01.11.80.307.6100.0000"/>
    <n v="507"/>
    <s v="11"/>
    <s v="6100"/>
    <n v="14387.73"/>
    <n v="507"/>
    <s v="CREDITOR"/>
    <n v="0"/>
    <n v="0"/>
    <n v="0"/>
    <n v="0"/>
    <n v="507"/>
  </r>
  <r>
    <n v="61069071"/>
    <s v="N"/>
    <n v="21343991"/>
    <s v="3000015259830006"/>
    <s v="CIVIL"/>
    <d v="2023-06-28T00:00:00"/>
    <d v="2023-07-07T19:03:00"/>
    <m/>
    <d v="2023-07-07T00:00:00"/>
    <n v="2001"/>
    <n v="8025"/>
    <s v="61069071"/>
    <s v="61069071"/>
    <m/>
    <m/>
    <n v="22783130"/>
    <m/>
    <m/>
    <m/>
    <s v="SOLFIN"/>
    <s v="SOLFIN"/>
    <s v="CCMS"/>
    <n v="21343991"/>
    <n v="2622.78"/>
    <m/>
    <s v="N"/>
    <n v="2"/>
    <d v="2023-07-07T19:03:19"/>
    <s v="Y"/>
    <s v="Preparation - other"/>
    <s v="Prescribed Hourly Rates"/>
    <s v="Profit Cost"/>
    <s v="HM"/>
    <s v="Y"/>
    <n v="24.71"/>
    <n v="4.94"/>
    <x v="9"/>
    <s v="VALIDATED"/>
    <n v="1"/>
    <s v="01.11.80.307.6100.0000"/>
    <n v="24.71"/>
    <s v="11"/>
    <s v="6100"/>
    <n v="14387.73"/>
    <n v="24.71"/>
    <s v="CREDITOR"/>
    <n v="0"/>
    <n v="0"/>
    <n v="0"/>
    <n v="0"/>
    <n v="24.71"/>
  </r>
  <r>
    <n v="60742219"/>
    <s v="N"/>
    <n v="21349335"/>
    <s v="3000014985080020"/>
    <s v="CIVIL"/>
    <d v="2023-06-29T00:00:00"/>
    <d v="2023-07-10T19:01:40"/>
    <m/>
    <d v="2023-07-10T00:00:00"/>
    <n v="2001"/>
    <n v="8025"/>
    <s v="60742219"/>
    <s v="60742219"/>
    <m/>
    <m/>
    <n v="22789966"/>
    <m/>
    <m/>
    <m/>
    <s v="SOLFIN"/>
    <s v="SOLFIN"/>
    <s v="CCMS"/>
    <n v="21349335"/>
    <n v="5928.57"/>
    <m/>
    <s v="N"/>
    <n v="6"/>
    <d v="2023-07-10T19:01:47"/>
    <s v="Y"/>
    <s v="Expert - Other"/>
    <s v="Public Law Children"/>
    <s v="Expert Disbursement"/>
    <s v="HM"/>
    <s v="Y"/>
    <n v="955.7"/>
    <n v="0"/>
    <x v="2"/>
    <s v="VALIDATED"/>
    <n v="1"/>
    <s v="01.11.80.308.6300.0000"/>
    <n v="955.7"/>
    <s v="11"/>
    <s v="6300"/>
    <n v="14387.73"/>
    <n v="955.7"/>
    <s v="CREDITOR"/>
    <n v="0"/>
    <n v="0"/>
    <n v="0"/>
    <n v="0"/>
    <n v="955.7"/>
  </r>
  <r>
    <n v="60650441"/>
    <s v="N"/>
    <n v="21349931"/>
    <s v="3000014900700006"/>
    <s v="CIVIL"/>
    <d v="2023-06-28T00:00:00"/>
    <d v="2023-07-10T19:01:40"/>
    <m/>
    <d v="2023-07-10T00:00:00"/>
    <n v="2001"/>
    <n v="8025"/>
    <s v="60650441"/>
    <s v="60650441"/>
    <m/>
    <m/>
    <n v="22782816"/>
    <m/>
    <m/>
    <m/>
    <s v="SOLFIN"/>
    <s v="SOLFIN"/>
    <s v="CCMS"/>
    <n v="21349931"/>
    <n v="6058.36"/>
    <m/>
    <s v="N"/>
    <n v="6"/>
    <d v="2023-07-10T19:02:04"/>
    <s v="Y"/>
    <s v="Process server"/>
    <s v="Domestic Abuse"/>
    <s v="Expert Disbursement"/>
    <s v="LH"/>
    <s v="Y"/>
    <n v="57.36"/>
    <n v="0"/>
    <x v="2"/>
    <s v="VALIDATED"/>
    <n v="1"/>
    <s v="01.11.80.307.6300.0000"/>
    <n v="57.36"/>
    <s v="11"/>
    <s v="6300"/>
    <n v="14387.73"/>
    <n v="57.36"/>
    <s v="CREDITOR"/>
    <n v="0"/>
    <n v="0"/>
    <n v="0"/>
    <n v="0"/>
    <n v="57.36"/>
  </r>
  <r>
    <n v="60205196"/>
    <s v="N"/>
    <n v="21350151"/>
    <s v="3000014511920019"/>
    <s v="CIVIL"/>
    <d v="2023-06-27T00:00:00"/>
    <d v="2023-07-10T19:01:40"/>
    <m/>
    <d v="2023-07-10T00:00:00"/>
    <n v="2001"/>
    <n v="8025"/>
    <s v="60205196"/>
    <s v="60205196"/>
    <m/>
    <m/>
    <n v="22772812"/>
    <m/>
    <m/>
    <m/>
    <s v="SOLFIN"/>
    <s v="SOLFIN"/>
    <s v="CCMS"/>
    <n v="21350151"/>
    <n v="11333.33"/>
    <m/>
    <s v="N"/>
    <n v="9"/>
    <d v="2023-07-10T19:02:15"/>
    <s v="Y"/>
    <s v="Expert - Other"/>
    <s v="Public Law Children"/>
    <s v="Expert Disbursement"/>
    <s v="DW"/>
    <s v="Y"/>
    <n v="459"/>
    <n v="0"/>
    <x v="2"/>
    <s v="VALIDATED"/>
    <n v="1"/>
    <s v="01.11.80.308.6300.0000"/>
    <n v="459"/>
    <s v="11"/>
    <s v="6300"/>
    <n v="14387.73"/>
    <n v="459"/>
    <s v="CREDITOR"/>
    <n v="0"/>
    <n v="0"/>
    <n v="0"/>
    <n v="0"/>
    <n v="459"/>
  </r>
  <r>
    <n v="61366169"/>
    <s v="N"/>
    <n v="21338247"/>
    <s v="3000015513310007"/>
    <s v="CIVIL"/>
    <d v="2023-06-27T00:00:00"/>
    <d v="2023-07-06T19:21:01"/>
    <m/>
    <d v="2023-07-06T00:00:00"/>
    <n v="2001"/>
    <n v="8025"/>
    <s v="61366169"/>
    <s v="61366169"/>
    <m/>
    <m/>
    <n v="22773886"/>
    <m/>
    <m/>
    <m/>
    <s v="SOLFIN"/>
    <s v="SOLFIN"/>
    <s v="CCMS"/>
    <n v="21338247"/>
    <n v="4461.51"/>
    <m/>
    <s v="N"/>
    <n v="8"/>
    <d v="2023-07-06T19:21:14"/>
    <s v="Y"/>
    <s v="Hearing Unit 1.01 - 2.30 Hours"/>
    <s v="Public Law Children"/>
    <s v="Advocacy"/>
    <s v="HM"/>
    <s v="Y"/>
    <n v="238.46"/>
    <n v="47.69"/>
    <x v="4"/>
    <s v="VALIDATED"/>
    <n v="1"/>
    <s v="01.11.80.308.6100.0000"/>
    <n v="238.46"/>
    <s v="11"/>
    <s v="6100"/>
    <n v="14387.73"/>
    <n v="238.46"/>
    <s v="CREDITOR"/>
    <n v="0"/>
    <n v="0"/>
    <n v="0"/>
    <n v="0"/>
    <n v="238.46"/>
  </r>
  <r>
    <n v="61001485"/>
    <s v="N"/>
    <n v="21327785"/>
    <s v="3000015208370008"/>
    <s v="CIVIL"/>
    <d v="2023-06-23T00:00:00"/>
    <d v="2023-07-04T19:00:44"/>
    <m/>
    <d v="2023-07-04T00:00:00"/>
    <n v="2001"/>
    <n v="8025"/>
    <s v="61001485"/>
    <s v="61001485"/>
    <m/>
    <m/>
    <n v="22748910"/>
    <m/>
    <m/>
    <m/>
    <s v="SOLFIN"/>
    <s v="SOLFIN"/>
    <s v="CCMS"/>
    <n v="21327785"/>
    <n v="8400.68"/>
    <m/>
    <s v="N"/>
    <n v="6"/>
    <d v="2023-07-04T19:00:54"/>
    <s v="Y"/>
    <s v="Solicitor Travel Mileage"/>
    <s v="Public Law Children"/>
    <s v="Non Expert Disbursement"/>
    <s v="DW"/>
    <s v="Y"/>
    <n v="60.3"/>
    <n v="0"/>
    <x v="1"/>
    <s v="VALIDATED"/>
    <n v="1"/>
    <s v="01.11.80.308.6300.0000"/>
    <n v="60.3"/>
    <s v="11"/>
    <s v="6300"/>
    <n v="14387.73"/>
    <n v="60.3"/>
    <s v="CREDITOR"/>
    <n v="0"/>
    <n v="0"/>
    <n v="0"/>
    <n v="0"/>
    <n v="60.3"/>
  </r>
  <r>
    <n v="60650441"/>
    <s v="N"/>
    <n v="21349931"/>
    <s v="3000014900700006"/>
    <s v="CIVIL"/>
    <d v="2023-06-28T00:00:00"/>
    <d v="2023-07-10T19:01:40"/>
    <m/>
    <d v="2023-07-10T00:00:00"/>
    <n v="2001"/>
    <n v="8025"/>
    <s v="60650441"/>
    <s v="60650441"/>
    <m/>
    <m/>
    <n v="22782816"/>
    <m/>
    <m/>
    <m/>
    <s v="SOLFIN"/>
    <s v="SOLFIN"/>
    <s v="CCMS"/>
    <n v="21349931"/>
    <n v="6058.36"/>
    <m/>
    <s v="N"/>
    <n v="11"/>
    <d v="2023-07-10T19:02:04"/>
    <s v="Y"/>
    <s v="Hearing Unit 2.31 - 5.00 Hours"/>
    <s v="Private Law Children"/>
    <s v="Advocacy"/>
    <s v="LH"/>
    <s v="Y"/>
    <n v="344.8"/>
    <n v="68.95999999999999"/>
    <x v="2"/>
    <s v="VALIDATED"/>
    <n v="1"/>
    <s v="01.11.80.307.6100.0000"/>
    <n v="344.8"/>
    <s v="11"/>
    <s v="6100"/>
    <n v="14387.73"/>
    <n v="344.8"/>
    <s v="CREDITOR"/>
    <n v="0"/>
    <n v="0"/>
    <n v="0"/>
    <n v="0"/>
    <n v="344.8"/>
  </r>
  <r>
    <n v="60205196"/>
    <s v="N"/>
    <n v="21350151"/>
    <s v="3000014511920019"/>
    <s v="CIVIL"/>
    <d v="2023-06-27T00:00:00"/>
    <d v="2023-07-10T19:01:40"/>
    <m/>
    <d v="2023-07-10T00:00:00"/>
    <n v="2001"/>
    <n v="8025"/>
    <s v="60205196"/>
    <s v="60205196"/>
    <m/>
    <m/>
    <n v="22772812"/>
    <m/>
    <m/>
    <m/>
    <s v="SOLFIN"/>
    <s v="SOLFIN"/>
    <s v="CCMS"/>
    <n v="21350151"/>
    <n v="11333.33"/>
    <m/>
    <s v="N"/>
    <n v="10"/>
    <d v="2023-07-10T19:02:15"/>
    <s v="Y"/>
    <s v="Cell telephone site analysis"/>
    <s v="Public Law Children"/>
    <s v="Expert Disbursement"/>
    <s v="DW"/>
    <s v="Y"/>
    <n v="675.8"/>
    <n v="135.16"/>
    <x v="2"/>
    <s v="VALIDATED"/>
    <n v="1"/>
    <s v="01.11.80.308.6300.0000"/>
    <n v="675.8"/>
    <s v="11"/>
    <s v="6300"/>
    <n v="14387.73"/>
    <n v="675.8"/>
    <s v="CREDITOR"/>
    <n v="0"/>
    <n v="0"/>
    <n v="0"/>
    <n v="0"/>
    <n v="675.8"/>
  </r>
  <r>
    <n v="61001485"/>
    <s v="N"/>
    <n v="21327785"/>
    <s v="3000015208370008"/>
    <s v="CIVIL"/>
    <d v="2023-06-23T00:00:00"/>
    <d v="2023-07-04T19:00:44"/>
    <m/>
    <d v="2023-07-04T00:00:00"/>
    <n v="2001"/>
    <n v="8025"/>
    <s v="61001485"/>
    <s v="61001485"/>
    <m/>
    <m/>
    <n v="22748910"/>
    <m/>
    <m/>
    <m/>
    <s v="SOLFIN"/>
    <s v="SOLFIN"/>
    <s v="CCMS"/>
    <n v="21327785"/>
    <n v="8400.68"/>
    <m/>
    <s v="N"/>
    <n v="13"/>
    <d v="2023-07-04T19:00:54"/>
    <s v="Y"/>
    <s v="Hearing Unit 1.01 - 2.30 Hours"/>
    <s v="Public Law Children"/>
    <s v="Advocacy"/>
    <s v="DW"/>
    <s v="Y"/>
    <n v="238.46"/>
    <n v="47.69"/>
    <x v="1"/>
    <s v="VALIDATED"/>
    <n v="1"/>
    <s v="01.11.80.308.6100.0000"/>
    <n v="238.46"/>
    <s v="11"/>
    <s v="6100"/>
    <n v="14387.73"/>
    <n v="238.46"/>
    <s v="CREDITOR"/>
    <n v="0"/>
    <n v="0"/>
    <n v="0"/>
    <n v="0"/>
    <n v="238.46"/>
  </r>
  <r>
    <n v="61069071"/>
    <s v="N"/>
    <n v="21343991"/>
    <s v="3000015259830006"/>
    <s v="CIVIL"/>
    <d v="2023-06-28T00:00:00"/>
    <d v="2023-07-07T19:03:00"/>
    <m/>
    <d v="2023-07-07T00:00:00"/>
    <n v="2001"/>
    <n v="8025"/>
    <s v="61069071"/>
    <s v="61069071"/>
    <m/>
    <m/>
    <n v="22783130"/>
    <m/>
    <m/>
    <m/>
    <s v="SOLFIN"/>
    <s v="SOLFIN"/>
    <s v="CCMS"/>
    <n v="21343991"/>
    <n v="2622.78"/>
    <m/>
    <s v="N"/>
    <n v="58"/>
    <d v="2023-07-07T19:03:19"/>
    <s v="Y"/>
    <s v="Preparation - research"/>
    <s v="Prescribed Hourly Rates"/>
    <s v="Profit Cost"/>
    <s v="HM"/>
    <s v="Y"/>
    <n v="8.24"/>
    <n v="1.65"/>
    <x v="9"/>
    <s v="VALIDATED"/>
    <n v="1"/>
    <s v="01.11.80.307.6100.0000"/>
    <n v="8.24"/>
    <s v="11"/>
    <s v="6100"/>
    <n v="14387.73"/>
    <n v="8.24"/>
    <s v="CREDITOR"/>
    <n v="0"/>
    <n v="0"/>
    <n v="0"/>
    <n v="0"/>
    <n v="8.24"/>
  </r>
  <r>
    <n v="61247561"/>
    <s v="N"/>
    <n v="21319655"/>
    <s v="3000015414880026"/>
    <s v="CIVIL"/>
    <d v="2023-06-28T00:00:00"/>
    <d v="2023-07-03T19:04:24"/>
    <m/>
    <d v="2023-07-03T00:00:00"/>
    <n v="2001"/>
    <n v="8025"/>
    <s v="61247561"/>
    <s v="61247561"/>
    <m/>
    <m/>
    <n v="22777744"/>
    <m/>
    <m/>
    <m/>
    <s v="SOLPOA"/>
    <s v="SOLPOA"/>
    <s v="CCMS"/>
    <n v="21319655"/>
    <n v="567"/>
    <m/>
    <s v="N"/>
    <n v="1"/>
    <d v="2023-07-03T19:04:27"/>
    <s v="N"/>
    <s v="Expert Cost"/>
    <s v="Expert Cost"/>
    <s v="Expert Disbursement"/>
    <s v="HW"/>
    <s v="N"/>
    <n v="472.5"/>
    <n v="94.5"/>
    <x v="3"/>
    <s v="VALIDATED"/>
    <n v="1"/>
    <s v="01.11.80.308.2012.0000"/>
    <n v="472.5"/>
    <s v="11"/>
    <s v="2012"/>
    <n v="14387.73"/>
    <n v="472.5"/>
    <s v="CREDITOR"/>
    <n v="472.5"/>
    <n v="0"/>
    <n v="0"/>
    <n v="0"/>
    <n v="0"/>
  </r>
  <r>
    <n v="60205196"/>
    <s v="N"/>
    <n v="21350151"/>
    <s v="3000014511920019"/>
    <s v="CIVIL"/>
    <d v="2023-06-27T00:00:00"/>
    <d v="2023-07-10T19:01:40"/>
    <m/>
    <d v="2023-07-10T00:00:00"/>
    <n v="2001"/>
    <n v="8025"/>
    <s v="60205196"/>
    <s v="60205196"/>
    <m/>
    <m/>
    <n v="22772812"/>
    <m/>
    <m/>
    <m/>
    <s v="SOLFIN"/>
    <s v="SOLFIN"/>
    <s v="CCMS"/>
    <n v="21350151"/>
    <n v="11333.33"/>
    <m/>
    <s v="N"/>
    <n v="6"/>
    <d v="2023-07-10T19:02:15"/>
    <s v="Y"/>
    <s v="Paediatrician"/>
    <s v="Public Law Children"/>
    <s v="Expert Disbursement"/>
    <s v="DW"/>
    <s v="Y"/>
    <n v="405"/>
    <n v="81"/>
    <x v="2"/>
    <s v="VALIDATED"/>
    <n v="1"/>
    <s v="01.11.80.308.6300.0000"/>
    <n v="405"/>
    <s v="11"/>
    <s v="6300"/>
    <n v="14387.73"/>
    <n v="405"/>
    <s v="CREDITOR"/>
    <n v="0"/>
    <n v="0"/>
    <n v="0"/>
    <n v="0"/>
    <n v="405"/>
  </r>
  <r>
    <n v="61069071"/>
    <s v="N"/>
    <n v="21343991"/>
    <s v="3000015259830006"/>
    <s v="CIVIL"/>
    <d v="2023-06-28T00:00:00"/>
    <d v="2023-07-07T19:03:00"/>
    <m/>
    <d v="2023-07-07T00:00:00"/>
    <n v="2001"/>
    <n v="8025"/>
    <s v="61069071"/>
    <s v="61069071"/>
    <m/>
    <m/>
    <n v="22783130"/>
    <m/>
    <m/>
    <m/>
    <s v="SOLFIN"/>
    <s v="SOLFIN"/>
    <s v="CCMS"/>
    <n v="21343991"/>
    <n v="2622.78"/>
    <m/>
    <s v="N"/>
    <n v="63"/>
    <d v="2023-07-07T19:03:19"/>
    <s v="Y"/>
    <s v="Court Fee"/>
    <s v="Prescribed Hourly Rates"/>
    <s v="Non Expert Disbursement"/>
    <s v="HM"/>
    <s v="Y"/>
    <n v="11"/>
    <n v="0"/>
    <x v="9"/>
    <s v="VALIDATED"/>
    <n v="1"/>
    <s v="01.11.80.307.6300.0000"/>
    <n v="11"/>
    <s v="11"/>
    <s v="6300"/>
    <n v="14387.73"/>
    <n v="11"/>
    <s v="CREDITOR"/>
    <n v="0"/>
    <n v="0"/>
    <n v="0"/>
    <n v="0"/>
    <n v="11"/>
  </r>
  <r>
    <n v="61069071"/>
    <s v="N"/>
    <n v="21343991"/>
    <s v="3000015259830006"/>
    <s v="CIVIL"/>
    <d v="2023-06-28T00:00:00"/>
    <d v="2023-07-07T19:03:00"/>
    <m/>
    <d v="2023-07-07T00:00:00"/>
    <n v="2001"/>
    <n v="8025"/>
    <s v="61069071"/>
    <s v="61069071"/>
    <m/>
    <m/>
    <n v="22783130"/>
    <m/>
    <m/>
    <m/>
    <s v="SOLFIN"/>
    <s v="SOLFIN"/>
    <s v="CCMS"/>
    <n v="21343991"/>
    <n v="2622.78"/>
    <m/>
    <s v="N"/>
    <n v="27"/>
    <d v="2023-07-07T19:03:19"/>
    <s v="Y"/>
    <s v="Attendance upon client"/>
    <s v="Prescribed Hourly Rates"/>
    <s v="Profit Cost"/>
    <s v="HM"/>
    <s v="Y"/>
    <n v="16.47"/>
    <n v="3.29"/>
    <x v="9"/>
    <s v="VALIDATED"/>
    <n v="1"/>
    <s v="01.11.80.307.6100.0000"/>
    <n v="16.47"/>
    <s v="11"/>
    <s v="6100"/>
    <n v="14387.73"/>
    <n v="16.47"/>
    <s v="CREDITOR"/>
    <n v="0"/>
    <n v="0"/>
    <n v="0"/>
    <n v="0"/>
    <n v="16.47"/>
  </r>
  <r>
    <n v="61366169"/>
    <s v="N"/>
    <n v="21338247"/>
    <s v="3000015513310007"/>
    <s v="CIVIL"/>
    <d v="2023-06-27T00:00:00"/>
    <d v="2023-07-06T19:21:01"/>
    <m/>
    <d v="2023-07-06T00:00:00"/>
    <n v="2001"/>
    <n v="8025"/>
    <s v="61366169"/>
    <s v="61366169"/>
    <m/>
    <m/>
    <n v="22773886"/>
    <m/>
    <m/>
    <m/>
    <s v="SOLFIN"/>
    <s v="SOLFIN"/>
    <s v="CCMS"/>
    <n v="21338247"/>
    <n v="4461.51"/>
    <m/>
    <s v="N"/>
    <n v="2"/>
    <d v="2023-07-06T19:21:14"/>
    <s v="Y"/>
    <s v="Advocates Meeting"/>
    <s v="Public Law Children"/>
    <s v="Advocacy"/>
    <s v="HM"/>
    <s v="Y"/>
    <n v="140.99"/>
    <n v="28.2"/>
    <x v="4"/>
    <s v="VALIDATED"/>
    <n v="1"/>
    <s v="01.11.80.308.6100.0000"/>
    <n v="140.99"/>
    <s v="11"/>
    <s v="6100"/>
    <n v="14387.73"/>
    <n v="140.99"/>
    <s v="CREDITOR"/>
    <n v="0"/>
    <n v="0"/>
    <n v="0"/>
    <n v="0"/>
    <n v="140.99"/>
  </r>
  <r>
    <n v="59912784"/>
    <s v="N"/>
    <n v="21360354"/>
    <s v="3000014267870006"/>
    <s v="CIVIL"/>
    <d v="2023-06-30T00:00:00"/>
    <d v="2023-07-11T11:50:54"/>
    <m/>
    <d v="2023-07-11T00:00:00"/>
    <n v="2001"/>
    <n v="8025"/>
    <s v="59912784"/>
    <s v="59912784"/>
    <m/>
    <m/>
    <n v="22800284"/>
    <m/>
    <m/>
    <m/>
    <s v="SOLFIN"/>
    <s v="SOLFIN"/>
    <s v="CCMS"/>
    <n v="21360354"/>
    <n v="5014.26"/>
    <m/>
    <s v="N"/>
    <n v="8"/>
    <d v="2023-07-11T11:51:03"/>
    <s v="Y"/>
    <s v="Solicitor Travel Mileage"/>
    <s v="Private Law Children"/>
    <s v="Non Expert Disbursement"/>
    <s v="CA"/>
    <s v="Y"/>
    <n v="25.2"/>
    <n v="5.04"/>
    <x v="7"/>
    <s v="VALIDATED"/>
    <n v="1"/>
    <s v="01.11.80.307.6300.0000"/>
    <n v="25.2"/>
    <s v="11"/>
    <s v="6300"/>
    <n v="14387.73"/>
    <n v="25.2"/>
    <s v="CREDITOR"/>
    <n v="0"/>
    <n v="0"/>
    <n v="0"/>
    <n v="0"/>
    <n v="25.2"/>
  </r>
  <r>
    <n v="61069071"/>
    <s v="N"/>
    <n v="21343991"/>
    <s v="3000015259830006"/>
    <s v="CIVIL"/>
    <d v="2023-06-28T00:00:00"/>
    <d v="2023-07-07T19:03:00"/>
    <m/>
    <d v="2023-07-07T00:00:00"/>
    <n v="2001"/>
    <n v="8025"/>
    <s v="61069071"/>
    <s v="61069071"/>
    <m/>
    <m/>
    <n v="22783130"/>
    <m/>
    <m/>
    <m/>
    <s v="SOLFIN"/>
    <s v="SOLFIN"/>
    <s v="CCMS"/>
    <n v="21343991"/>
    <n v="2622.78"/>
    <m/>
    <s v="N"/>
    <n v="60"/>
    <d v="2023-07-07T19:03:19"/>
    <s v="Y"/>
    <s v="Preparation - other"/>
    <s v="Prescribed Hourly Rates"/>
    <s v="Profit Cost"/>
    <s v="HM"/>
    <s v="Y"/>
    <n v="16.47"/>
    <n v="3.29"/>
    <x v="9"/>
    <s v="VALIDATED"/>
    <n v="1"/>
    <s v="01.11.80.307.6100.0000"/>
    <n v="16.47"/>
    <s v="11"/>
    <s v="6100"/>
    <n v="14387.73"/>
    <n v="16.47"/>
    <s v="CREDITOR"/>
    <n v="0"/>
    <n v="0"/>
    <n v="0"/>
    <n v="0"/>
    <n v="16.47"/>
  </r>
  <r>
    <n v="61001485"/>
    <s v="N"/>
    <n v="21327785"/>
    <s v="3000015208370008"/>
    <s v="CIVIL"/>
    <d v="2023-06-23T00:00:00"/>
    <d v="2023-07-04T19:00:44"/>
    <m/>
    <d v="2023-07-04T00:00:00"/>
    <n v="2001"/>
    <n v="8025"/>
    <s v="61001485"/>
    <s v="61001485"/>
    <m/>
    <m/>
    <n v="22748910"/>
    <m/>
    <m/>
    <m/>
    <s v="SOLFIN"/>
    <s v="SOLFIN"/>
    <s v="CCMS"/>
    <n v="21327785"/>
    <n v="8400.68"/>
    <m/>
    <s v="N"/>
    <n v="1"/>
    <d v="2023-07-04T19:00:54"/>
    <s v="Y"/>
    <s v="Final Hearing Court Bundle/Advocate"/>
    <s v="Public Law Children"/>
    <s v="Advocacy"/>
    <s v="DW"/>
    <s v="Y"/>
    <n v="159.3"/>
    <n v="31.86"/>
    <x v="1"/>
    <s v="VALIDATED"/>
    <n v="1"/>
    <s v="01.11.80.308.6100.0000"/>
    <n v="159.3"/>
    <s v="11"/>
    <s v="6100"/>
    <n v="14387.73"/>
    <n v="159.3"/>
    <s v="CREDITOR"/>
    <n v="0"/>
    <n v="0"/>
    <n v="0"/>
    <n v="0"/>
    <n v="159.3"/>
  </r>
  <r>
    <n v="61377758"/>
    <s v="N"/>
    <n v="21382059"/>
    <s v="3000015523050007"/>
    <s v="CIVIL"/>
    <d v="2023-06-29T00:00:00"/>
    <d v="2023-07-17T19:01:46"/>
    <m/>
    <d v="2023-07-17T00:00:00"/>
    <n v="2001"/>
    <n v="8025"/>
    <s v="61377758"/>
    <s v="61377758"/>
    <m/>
    <m/>
    <n v="22791890"/>
    <m/>
    <m/>
    <m/>
    <s v="SOLPOA"/>
    <s v="SOLPOA"/>
    <s v="CCMS"/>
    <n v="21382059"/>
    <n v="736.8"/>
    <m/>
    <s v="N"/>
    <n v="1"/>
    <d v="2023-07-17T19:02:00"/>
    <s v="N"/>
    <s v="Expert Cost"/>
    <s v="Expert Cost"/>
    <s v="Expert Disbursement"/>
    <s v="Lisa Hewitt"/>
    <s v="N"/>
    <n v="614"/>
    <n v="122.8"/>
    <x v="8"/>
    <s v="VALIDATED"/>
    <n v="1"/>
    <s v="01.11.80.308.2012.0000"/>
    <n v="614"/>
    <s v="11"/>
    <s v="2012"/>
    <n v="14387.73"/>
    <n v="614"/>
    <s v="CREDITOR"/>
    <n v="614"/>
    <n v="0"/>
    <n v="0"/>
    <n v="0"/>
    <n v="0"/>
  </r>
  <r>
    <n v="61069071"/>
    <s v="N"/>
    <n v="21343991"/>
    <s v="3000015259830006"/>
    <s v="CIVIL"/>
    <d v="2023-06-28T00:00:00"/>
    <d v="2023-07-07T19:03:00"/>
    <m/>
    <d v="2023-07-07T00:00:00"/>
    <n v="2001"/>
    <n v="8025"/>
    <s v="61069071"/>
    <s v="61069071"/>
    <m/>
    <m/>
    <n v="22783130"/>
    <m/>
    <m/>
    <m/>
    <s v="SOLFIN"/>
    <s v="SOLFIN"/>
    <s v="CCMS"/>
    <n v="21343991"/>
    <n v="2622.78"/>
    <m/>
    <s v="N"/>
    <n v="20"/>
    <d v="2023-07-07T19:03:19"/>
    <s v="Y"/>
    <s v="Preparation - other"/>
    <s v="Prescribed Hourly Rates"/>
    <s v="Profit Cost"/>
    <s v="HM"/>
    <s v="Y"/>
    <n v="8.24"/>
    <n v="1.65"/>
    <x v="9"/>
    <s v="VALIDATED"/>
    <n v="1"/>
    <s v="01.11.80.307.6100.0000"/>
    <n v="8.24"/>
    <s v="11"/>
    <s v="6100"/>
    <n v="14387.73"/>
    <n v="8.24"/>
    <s v="CREDITOR"/>
    <n v="0"/>
    <n v="0"/>
    <n v="0"/>
    <n v="0"/>
    <n v="8.24"/>
  </r>
  <r>
    <n v="61366169"/>
    <s v="N"/>
    <n v="21338247"/>
    <s v="3000015513310007"/>
    <s v="CIVIL"/>
    <d v="2023-06-27T00:00:00"/>
    <d v="2023-07-06T19:21:01"/>
    <m/>
    <d v="2023-07-06T00:00:00"/>
    <n v="2001"/>
    <n v="8025"/>
    <s v="61366169"/>
    <s v="61366169"/>
    <m/>
    <m/>
    <n v="22773886"/>
    <m/>
    <m/>
    <m/>
    <s v="SOLFIN"/>
    <s v="SOLFIN"/>
    <s v="CCMS"/>
    <n v="21338247"/>
    <n v="4461.51"/>
    <m/>
    <s v="N"/>
    <n v="6"/>
    <d v="2023-07-06T19:21:14"/>
    <s v="Y"/>
    <s v="Advocates Meeting"/>
    <s v="Public Law Children"/>
    <s v="Advocacy"/>
    <s v="HM"/>
    <s v="Y"/>
    <n v="140.99"/>
    <n v="28.2"/>
    <x v="4"/>
    <s v="VALIDATED"/>
    <n v="1"/>
    <s v="01.11.80.308.6100.0000"/>
    <n v="140.99"/>
    <s v="11"/>
    <s v="6100"/>
    <n v="14387.73"/>
    <n v="140.99"/>
    <s v="CREDITOR"/>
    <n v="0"/>
    <n v="0"/>
    <n v="0"/>
    <n v="0"/>
    <n v="140.99"/>
  </r>
  <r>
    <n v="60125579"/>
    <s v="N"/>
    <n v="21350115"/>
    <s v="3000014453780007"/>
    <s v="CIVIL"/>
    <d v="2023-06-27T00:00:00"/>
    <d v="2023-07-10T19:01:40"/>
    <m/>
    <d v="2023-07-10T00:00:00"/>
    <n v="2001"/>
    <n v="8025"/>
    <s v="60125579"/>
    <s v="60125579"/>
    <m/>
    <m/>
    <n v="22772710"/>
    <m/>
    <m/>
    <m/>
    <s v="SOLFIN"/>
    <s v="SOLFIN"/>
    <s v="CCMS"/>
    <n v="21350115"/>
    <n v="9524.85"/>
    <m/>
    <s v="N"/>
    <n v="2"/>
    <d v="2023-07-10T19:02:14"/>
    <s v="Y"/>
    <s v="Final Hearing - 1 Day"/>
    <s v="Public Law Children"/>
    <s v="Advocacy"/>
    <s v="DW"/>
    <s v="Y"/>
    <n v="556.88"/>
    <n v="111.38"/>
    <x v="2"/>
    <s v="VALIDATED"/>
    <n v="1"/>
    <s v="01.11.80.308.6100.0000"/>
    <n v="556.88"/>
    <s v="11"/>
    <s v="6100"/>
    <n v="14387.73"/>
    <n v="556.88"/>
    <s v="CREDITOR"/>
    <n v="0"/>
    <n v="0"/>
    <n v="0"/>
    <n v="0"/>
    <n v="556.88"/>
  </r>
  <r>
    <n v="61069071"/>
    <s v="N"/>
    <n v="21343991"/>
    <s v="3000015259830006"/>
    <s v="CIVIL"/>
    <d v="2023-06-28T00:00:00"/>
    <d v="2023-07-07T19:03:00"/>
    <m/>
    <d v="2023-07-07T00:00:00"/>
    <n v="2001"/>
    <n v="8025"/>
    <s v="61069071"/>
    <s v="61069071"/>
    <m/>
    <m/>
    <n v="22783130"/>
    <m/>
    <m/>
    <m/>
    <s v="SOLFIN"/>
    <s v="SOLFIN"/>
    <s v="CCMS"/>
    <n v="21343991"/>
    <n v="2622.78"/>
    <m/>
    <s v="N"/>
    <n v="29"/>
    <d v="2023-07-07T19:03:19"/>
    <s v="Y"/>
    <s v="Preparation - other"/>
    <s v="Prescribed Hourly Rates"/>
    <s v="Profit Cost"/>
    <s v="HM"/>
    <s v="Y"/>
    <n v="16.47"/>
    <n v="3.29"/>
    <x v="9"/>
    <s v="VALIDATED"/>
    <n v="1"/>
    <s v="01.11.80.307.6100.0000"/>
    <n v="16.47"/>
    <s v="11"/>
    <s v="6100"/>
    <n v="14387.73"/>
    <n v="16.47"/>
    <s v="CREDITOR"/>
    <n v="0"/>
    <n v="0"/>
    <n v="0"/>
    <n v="0"/>
    <n v="16.47"/>
  </r>
  <r>
    <n v="61069071"/>
    <s v="N"/>
    <n v="21343991"/>
    <s v="3000015259830006"/>
    <s v="CIVIL"/>
    <d v="2023-06-28T00:00:00"/>
    <d v="2023-07-07T19:03:00"/>
    <m/>
    <d v="2023-07-07T00:00:00"/>
    <n v="2001"/>
    <n v="8025"/>
    <s v="61069071"/>
    <s v="61069071"/>
    <m/>
    <m/>
    <n v="22783130"/>
    <m/>
    <m/>
    <m/>
    <s v="SOLFIN"/>
    <s v="SOLFIN"/>
    <s v="CCMS"/>
    <n v="21343991"/>
    <n v="2622.78"/>
    <m/>
    <s v="N"/>
    <n v="36"/>
    <d v="2023-07-07T19:03:19"/>
    <s v="Y"/>
    <s v="Advocacy - Other Hearing"/>
    <s v="Prescribed Hourly Rates"/>
    <s v="Advocacy"/>
    <s v="HM"/>
    <s v="Y"/>
    <n v="49.62"/>
    <n v="9.92"/>
    <x v="9"/>
    <s v="VALIDATED"/>
    <n v="1"/>
    <s v="01.11.80.307.6100.0000"/>
    <n v="49.62"/>
    <s v="11"/>
    <s v="6100"/>
    <n v="14387.73"/>
    <n v="49.62"/>
    <s v="CREDITOR"/>
    <n v="0"/>
    <n v="0"/>
    <n v="0"/>
    <n v="0"/>
    <n v="49.62"/>
  </r>
  <r>
    <n v="60816284"/>
    <s v="N"/>
    <n v="21338459"/>
    <s v="3000015049370008"/>
    <s v="CIVIL"/>
    <d v="2023-06-27T00:00:00"/>
    <d v="2023-07-06T19:21:01"/>
    <m/>
    <d v="2023-07-06T00:00:00"/>
    <n v="2001"/>
    <n v="8025"/>
    <s v="60816284"/>
    <s v="60816284"/>
    <m/>
    <m/>
    <n v="22774066"/>
    <m/>
    <m/>
    <m/>
    <s v="SOLFIN"/>
    <s v="SOLFIN"/>
    <s v="CCMS"/>
    <n v="21338459"/>
    <n v="6853.17"/>
    <m/>
    <s v="N"/>
    <n v="4"/>
    <d v="2023-07-06T19:21:25"/>
    <s v="Y"/>
    <s v="Psychiatrist"/>
    <s v="Public Law Children"/>
    <s v="Expert Disbursement"/>
    <s v="HM"/>
    <s v="Y"/>
    <n v="569.96"/>
    <n v="113.99"/>
    <x v="4"/>
    <s v="VALIDATED"/>
    <n v="1"/>
    <s v="01.11.80.308.6300.0000"/>
    <n v="569.96"/>
    <s v="11"/>
    <s v="6300"/>
    <n v="14387.73"/>
    <n v="569.96"/>
    <s v="CREDITOR"/>
    <n v="0"/>
    <n v="0"/>
    <n v="0"/>
    <n v="0"/>
    <n v="569.96"/>
  </r>
  <r>
    <n v="61001485"/>
    <s v="N"/>
    <n v="21327785"/>
    <s v="3000015208370008"/>
    <s v="CIVIL"/>
    <d v="2023-06-23T00:00:00"/>
    <d v="2023-07-04T19:00:44"/>
    <m/>
    <d v="2023-07-04T00:00:00"/>
    <n v="2001"/>
    <n v="8025"/>
    <s v="61001485"/>
    <s v="61001485"/>
    <m/>
    <m/>
    <n v="22748910"/>
    <m/>
    <m/>
    <m/>
    <s v="SOLFIN"/>
    <s v="SOLFIN"/>
    <s v="CCMS"/>
    <n v="21327785"/>
    <n v="8400.68"/>
    <m/>
    <s v="N"/>
    <n v="4"/>
    <d v="2023-07-04T19:00:54"/>
    <s v="Y"/>
    <s v="Toxicologist"/>
    <s v="Public Law Children"/>
    <s v="Expert Disbursement"/>
    <s v="DW"/>
    <s v="Y"/>
    <n v="178.88"/>
    <n v="35.78"/>
    <x v="1"/>
    <s v="VALIDATED"/>
    <n v="1"/>
    <s v="01.11.80.308.6300.0000"/>
    <n v="178.88"/>
    <s v="11"/>
    <s v="6300"/>
    <n v="14387.73"/>
    <n v="178.88"/>
    <s v="CREDITOR"/>
    <n v="0"/>
    <n v="0"/>
    <n v="0"/>
    <n v="0"/>
    <n v="178.88"/>
  </r>
  <r>
    <n v="60205196"/>
    <s v="N"/>
    <n v="21350151"/>
    <s v="3000014511920019"/>
    <s v="CIVIL"/>
    <d v="2023-06-27T00:00:00"/>
    <d v="2023-07-10T19:01:40"/>
    <m/>
    <d v="2023-07-10T00:00:00"/>
    <n v="2001"/>
    <n v="8025"/>
    <s v="60205196"/>
    <s v="60205196"/>
    <m/>
    <m/>
    <n v="22772812"/>
    <m/>
    <m/>
    <m/>
    <s v="SOLFIN"/>
    <s v="SOLFIN"/>
    <s v="CCMS"/>
    <n v="21350151"/>
    <n v="11333.33"/>
    <m/>
    <s v="N"/>
    <n v="15"/>
    <d v="2023-07-10T19:02:15"/>
    <s v="Y"/>
    <s v="Hearing Unit 1.01 - 2.30 Hours"/>
    <s v="Public Law Children"/>
    <s v="Advocacy"/>
    <s v="DW"/>
    <s v="Y"/>
    <n v="298.08"/>
    <n v="59.62"/>
    <x v="2"/>
    <s v="VALIDATED"/>
    <n v="1"/>
    <s v="01.11.80.308.6100.0000"/>
    <n v="298.08"/>
    <s v="11"/>
    <s v="6100"/>
    <n v="14387.73"/>
    <n v="298.08"/>
    <s v="CREDITOR"/>
    <n v="0"/>
    <n v="0"/>
    <n v="0"/>
    <n v="0"/>
    <n v="298.08"/>
  </r>
  <r>
    <n v="61069071"/>
    <s v="N"/>
    <n v="21343991"/>
    <s v="3000015259830006"/>
    <s v="CIVIL"/>
    <d v="2023-06-28T00:00:00"/>
    <d v="2023-07-07T19:03:00"/>
    <m/>
    <d v="2023-07-07T00:00:00"/>
    <n v="2001"/>
    <n v="8025"/>
    <s v="61069071"/>
    <s v="61069071"/>
    <m/>
    <m/>
    <n v="22783130"/>
    <m/>
    <m/>
    <m/>
    <s v="SOLFIN"/>
    <s v="SOLFIN"/>
    <s v="CCMS"/>
    <n v="21343991"/>
    <n v="2622.78"/>
    <m/>
    <s v="N"/>
    <n v="56"/>
    <d v="2023-07-07T19:03:19"/>
    <s v="Y"/>
    <s v="Preparation - other"/>
    <s v="Prescribed Hourly Rates"/>
    <s v="Profit Cost"/>
    <s v="HM"/>
    <s v="Y"/>
    <n v="6.31"/>
    <n v="1.26"/>
    <x v="9"/>
    <s v="VALIDATED"/>
    <n v="1"/>
    <s v="01.11.80.307.6100.0000"/>
    <n v="6.31"/>
    <s v="11"/>
    <s v="6100"/>
    <n v="14387.73"/>
    <n v="6.31"/>
    <s v="CREDITOR"/>
    <n v="0"/>
    <n v="0"/>
    <n v="0"/>
    <n v="0"/>
    <n v="6.31"/>
  </r>
  <r>
    <n v="61069071"/>
    <s v="N"/>
    <n v="21343991"/>
    <s v="3000015259830006"/>
    <s v="CIVIL"/>
    <d v="2023-06-28T00:00:00"/>
    <d v="2023-07-07T19:03:00"/>
    <m/>
    <d v="2023-07-07T00:00:00"/>
    <n v="2001"/>
    <n v="8025"/>
    <s v="61069071"/>
    <s v="61069071"/>
    <m/>
    <m/>
    <n v="22783130"/>
    <m/>
    <m/>
    <m/>
    <s v="SOLFIN"/>
    <s v="SOLFIN"/>
    <s v="CCMS"/>
    <n v="21343991"/>
    <n v="2622.78"/>
    <m/>
    <s v="N"/>
    <n v="16"/>
    <d v="2023-07-07T19:03:19"/>
    <s v="Y"/>
    <s v="Preparation - other"/>
    <s v="Prescribed Hourly Rates"/>
    <s v="Profit Cost"/>
    <s v="HM"/>
    <s v="Y"/>
    <n v="31.57"/>
    <n v="6.31"/>
    <x v="9"/>
    <s v="VALIDATED"/>
    <n v="1"/>
    <s v="01.11.80.307.6100.0000"/>
    <n v="31.57"/>
    <s v="11"/>
    <s v="6100"/>
    <n v="14387.73"/>
    <n v="31.57"/>
    <s v="CREDITOR"/>
    <n v="0"/>
    <n v="0"/>
    <n v="0"/>
    <n v="0"/>
    <n v="31.57"/>
  </r>
  <r>
    <n v="61069071"/>
    <s v="N"/>
    <n v="21343991"/>
    <s v="3000015259830006"/>
    <s v="CIVIL"/>
    <d v="2023-06-28T00:00:00"/>
    <d v="2023-07-07T19:03:00"/>
    <m/>
    <d v="2023-07-07T00:00:00"/>
    <n v="2001"/>
    <n v="8025"/>
    <s v="61069071"/>
    <s v="61069071"/>
    <m/>
    <m/>
    <n v="22783130"/>
    <m/>
    <m/>
    <m/>
    <s v="SOLFIN"/>
    <s v="SOLFIN"/>
    <s v="CCMS"/>
    <n v="21343991"/>
    <n v="2622.78"/>
    <m/>
    <s v="N"/>
    <n v="42"/>
    <d v="2023-07-07T19:03:19"/>
    <s v="Y"/>
    <s v="Routine Letter Out"/>
    <s v="Prescribed Hourly Rates"/>
    <s v="Profit Cost"/>
    <s v="CHB"/>
    <s v="Y"/>
    <n v="32.4"/>
    <n v="6.48"/>
    <x v="9"/>
    <s v="VALIDATED"/>
    <n v="1"/>
    <s v="01.11.80.307.6100.0000"/>
    <n v="32.4"/>
    <s v="11"/>
    <s v="6100"/>
    <n v="14387.73"/>
    <n v="32.4"/>
    <s v="CREDITOR"/>
    <n v="0"/>
    <n v="0"/>
    <n v="0"/>
    <n v="0"/>
    <n v="32.4"/>
  </r>
  <r>
    <n v="61366169"/>
    <s v="N"/>
    <n v="21338247"/>
    <s v="3000015513310007"/>
    <s v="CIVIL"/>
    <d v="2023-06-27T00:00:00"/>
    <d v="2023-07-06T19:21:01"/>
    <m/>
    <d v="2023-07-06T00:00:00"/>
    <n v="2001"/>
    <n v="8025"/>
    <s v="61366169"/>
    <s v="61366169"/>
    <m/>
    <m/>
    <n v="22773886"/>
    <m/>
    <m/>
    <m/>
    <s v="SOLFIN"/>
    <s v="SOLFIN"/>
    <s v="CCMS"/>
    <n v="21338247"/>
    <n v="4461.51"/>
    <m/>
    <s v="N"/>
    <n v="4"/>
    <d v="2023-07-06T19:21:14"/>
    <s v="Y"/>
    <s v="Final Hearing - 1 Day"/>
    <s v="Public Law Children"/>
    <s v="Advocacy"/>
    <s v="HM"/>
    <s v="Y"/>
    <n v="556.88"/>
    <n v="111.38"/>
    <x v="4"/>
    <s v="VALIDATED"/>
    <n v="1"/>
    <s v="01.11.80.308.6100.0000"/>
    <n v="556.88"/>
    <s v="11"/>
    <s v="6100"/>
    <n v="14387.73"/>
    <n v="556.88"/>
    <s v="CREDITOR"/>
    <n v="0"/>
    <n v="0"/>
    <n v="0"/>
    <n v="0"/>
    <n v="556.88"/>
  </r>
  <r>
    <n v="62390655"/>
    <s v="N"/>
    <n v="21320755"/>
    <s v="3000016367140003"/>
    <s v="CIVIL"/>
    <d v="2023-06-28T00:00:00"/>
    <d v="2023-07-03T19:04:52"/>
    <m/>
    <d v="2023-07-03T00:00:00"/>
    <n v="2002"/>
    <n v="14447"/>
    <s v="62390655"/>
    <s v="62390655"/>
    <m/>
    <m/>
    <n v="22778896"/>
    <m/>
    <m/>
    <m/>
    <s v="SOLPOA"/>
    <s v="SOLPOA"/>
    <s v="CCMS"/>
    <n v="21320755"/>
    <n v="87.2"/>
    <m/>
    <s v="N"/>
    <n v="1"/>
    <d v="2023-07-03T19:04:56"/>
    <s v="N"/>
    <s v="Non Expert Disbursement - Domestic "/>
    <s v="Non Expert Disbursement - Dome"/>
    <s v="Non Expert Disbursement"/>
    <s v="FHA"/>
    <s v="N"/>
    <n v="87.2"/>
    <n v="0"/>
    <x v="3"/>
    <s v="VALIDATED"/>
    <n v="1"/>
    <s v="01.11.80.307.2012.0000"/>
    <n v="87.2"/>
    <s v="11"/>
    <s v="2012"/>
    <n v="11099.38"/>
    <n v="87.2"/>
    <s v="CREDITOR"/>
    <n v="87.2"/>
    <n v="0"/>
    <n v="0"/>
    <n v="0"/>
    <n v="0"/>
  </r>
  <r>
    <n v="56242567"/>
    <s v="N"/>
    <n v="21343963"/>
    <s v="3000013348520008"/>
    <s v="CIVIL"/>
    <d v="2023-06-27T00:00:00"/>
    <d v="2023-07-07T19:03:00"/>
    <m/>
    <d v="2023-07-07T00:00:00"/>
    <n v="2002"/>
    <n v="14447"/>
    <s v="56242567"/>
    <s v="56242567"/>
    <m/>
    <m/>
    <n v="22773262"/>
    <m/>
    <m/>
    <m/>
    <s v="SOLFIN"/>
    <s v="SOLFIN"/>
    <s v="CCMS"/>
    <n v="21343963"/>
    <n v="5409.2"/>
    <m/>
    <s v="N"/>
    <n v="2"/>
    <d v="2023-07-07T19:03:18"/>
    <s v="Y"/>
    <s v="Toxicologist"/>
    <s v="Public Law Children"/>
    <s v="Expert Disbursement"/>
    <s v="JB"/>
    <s v="Y"/>
    <n v="188.75"/>
    <n v="37.75"/>
    <x v="9"/>
    <s v="VALIDATED"/>
    <n v="1"/>
    <s v="01.11.80.308.6300.0000"/>
    <n v="188.75"/>
    <s v="11"/>
    <s v="6300"/>
    <n v="11099.38"/>
    <n v="188.75"/>
    <s v="CREDITOR"/>
    <n v="0"/>
    <n v="0"/>
    <n v="0"/>
    <n v="0"/>
    <n v="188.75"/>
  </r>
  <r>
    <n v="40182202"/>
    <s v="N"/>
    <n v="21328109"/>
    <s v="3000010797840006"/>
    <s v="CIVIL"/>
    <d v="2023-06-23T00:00:00"/>
    <d v="2023-07-04T19:00:44"/>
    <m/>
    <d v="2023-07-04T00:00:00"/>
    <n v="2002"/>
    <n v="14447"/>
    <s v="40182202"/>
    <s v="40182202"/>
    <m/>
    <m/>
    <n v="22755060"/>
    <m/>
    <m/>
    <m/>
    <s v="SOLFIN"/>
    <s v="SOLFIN"/>
    <s v="CCMS"/>
    <n v="21328109"/>
    <n v="9969.59"/>
    <m/>
    <s v="N"/>
    <n v="20"/>
    <d v="2023-07-04T19:01:04"/>
    <s v="Y"/>
    <s v="Preparation - other"/>
    <s v="Non Family Hourly Rates"/>
    <s v="Profit Cost"/>
    <s v="JB"/>
    <s v="Y"/>
    <n v="263.25"/>
    <n v="52.66"/>
    <x v="1"/>
    <s v="VALIDATED"/>
    <n v="1"/>
    <s v="01.11.80.209.6100.0000"/>
    <n v="263.25"/>
    <s v="11"/>
    <s v="6100"/>
    <n v="11099.38"/>
    <n v="263.25"/>
    <s v="CREDITOR"/>
    <n v="0"/>
    <n v="0"/>
    <n v="0"/>
    <n v="0"/>
    <n v="263.25"/>
  </r>
  <r>
    <n v="62117738"/>
    <s v="N"/>
    <n v="21321766"/>
    <s v="3000016141700002"/>
    <s v="CIVIL"/>
    <d v="2023-06-29T00:00:00"/>
    <d v="2023-07-03T19:05:17"/>
    <m/>
    <d v="2023-07-03T00:00:00"/>
    <n v="2002"/>
    <n v="14447"/>
    <s v="62117738"/>
    <s v="62117738"/>
    <m/>
    <m/>
    <n v="22785302"/>
    <m/>
    <m/>
    <m/>
    <s v="SOLPOA"/>
    <s v="SOLPOA"/>
    <s v="CCMS"/>
    <n v="21321766"/>
    <n v="2063.48"/>
    <m/>
    <s v="N"/>
    <n v="1"/>
    <d v="2023-07-03T19:05:20"/>
    <s v="N"/>
    <s v="Solicitors Fixed Fee"/>
    <s v="Public Law Children"/>
    <s v="Profit Cost"/>
    <s v="Lindsay Gibson"/>
    <s v="N"/>
    <n v="1719.57"/>
    <n v="343.91"/>
    <x v="3"/>
    <s v="VALIDATED"/>
    <n v="1"/>
    <s v="01.11.80.308.2012.0000"/>
    <n v="1719.57"/>
    <s v="11"/>
    <s v="2012"/>
    <n v="11099.38"/>
    <n v="1719.57"/>
    <s v="CREDITOR"/>
    <n v="1719.57"/>
    <n v="429.8925"/>
    <n v="0"/>
    <n v="0"/>
    <n v="0"/>
  </r>
  <r>
    <n v="40182202"/>
    <s v="N"/>
    <n v="21328109"/>
    <s v="3000010797840006"/>
    <s v="CIVIL"/>
    <d v="2023-06-23T00:00:00"/>
    <d v="2023-07-04T19:00:44"/>
    <m/>
    <d v="2023-07-04T00:00:00"/>
    <n v="2002"/>
    <n v="14447"/>
    <s v="40182202"/>
    <s v="40182202"/>
    <m/>
    <m/>
    <n v="22755060"/>
    <m/>
    <m/>
    <m/>
    <s v="SOLFIN"/>
    <s v="SOLFIN"/>
    <s v="CCMS"/>
    <n v="21328109"/>
    <n v="9969.59"/>
    <m/>
    <s v="N"/>
    <n v="67"/>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50"/>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78"/>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126"/>
    <d v="2023-07-04T19:01:04"/>
    <s v="Y"/>
    <s v="Preparation - other"/>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60"/>
    <d v="2023-07-04T19:01:04"/>
    <s v="Y"/>
    <s v="Preparation - other"/>
    <s v="Non Family Hourly Rates"/>
    <s v="Profit Cost"/>
    <s v="JB"/>
    <s v="Y"/>
    <n v="17.55"/>
    <n v="3.51"/>
    <x v="1"/>
    <s v="VALIDATED"/>
    <n v="1"/>
    <s v="01.11.80.209.6100.0000"/>
    <n v="17.55"/>
    <s v="11"/>
    <s v="6100"/>
    <n v="11099.38"/>
    <n v="17.55"/>
    <s v="CREDITOR"/>
    <n v="0"/>
    <n v="0"/>
    <n v="0"/>
    <n v="0"/>
    <n v="17.55"/>
  </r>
  <r>
    <n v="62453333"/>
    <s v="N"/>
    <n v="21321026"/>
    <s v="3000016418420001"/>
    <s v="CIVIL"/>
    <d v="2023-06-28T00:00:00"/>
    <d v="2023-07-03T19:04:52"/>
    <m/>
    <d v="2023-07-03T00:00:00"/>
    <n v="2002"/>
    <n v="14447"/>
    <s v="62453333"/>
    <s v="62453333"/>
    <m/>
    <m/>
    <n v="22779380"/>
    <m/>
    <m/>
    <m/>
    <s v="SOLPOA"/>
    <s v="SOLPOA"/>
    <s v="CCMS"/>
    <n v="21321026"/>
    <n v="232"/>
    <m/>
    <s v="N"/>
    <n v="1"/>
    <d v="2023-07-03T19:04:57"/>
    <s v="N"/>
    <s v="Non Expert Disbursement - Private L"/>
    <s v="Non Expert Disbursement - Priv"/>
    <s v="Non Expert Disbursement"/>
    <s v="FHA"/>
    <s v="N"/>
    <n v="232"/>
    <n v="0"/>
    <x v="3"/>
    <s v="VALIDATED"/>
    <n v="1"/>
    <s v="01.11.80.307.2012.0000"/>
    <n v="232"/>
    <s v="11"/>
    <s v="2012"/>
    <n v="11099.38"/>
    <n v="232"/>
    <s v="CREDITOR"/>
    <n v="232"/>
    <n v="0"/>
    <n v="0"/>
    <n v="0"/>
    <n v="0"/>
  </r>
  <r>
    <n v="62408762"/>
    <s v="N"/>
    <n v="21321074"/>
    <s v="3000016381990003"/>
    <s v="CIVIL"/>
    <d v="2023-06-28T00:00:00"/>
    <d v="2023-07-03T19:04:52"/>
    <m/>
    <d v="2023-07-03T00:00:00"/>
    <n v="2002"/>
    <n v="14447"/>
    <s v="62408762"/>
    <s v="62408762"/>
    <m/>
    <m/>
    <n v="22779616"/>
    <m/>
    <m/>
    <m/>
    <s v="SOLPOA"/>
    <s v="SOLPOA"/>
    <s v="CCMS"/>
    <n v="21321074"/>
    <n v="232"/>
    <m/>
    <s v="N"/>
    <n v="1"/>
    <d v="2023-07-03T19:04:57"/>
    <s v="N"/>
    <s v="Non Expert Disbursement - Private L"/>
    <s v="Non Expert Disbursement - Priv"/>
    <s v="Non Expert Disbursement"/>
    <s v="FHA"/>
    <s v="N"/>
    <n v="232"/>
    <n v="0"/>
    <x v="3"/>
    <s v="VALIDATED"/>
    <n v="1"/>
    <s v="01.11.80.302.2012.0000"/>
    <n v="232"/>
    <s v="11"/>
    <s v="2012"/>
    <n v="11099.38"/>
    <n v="232"/>
    <s v="CREDITOR"/>
    <n v="232"/>
    <n v="0"/>
    <n v="0"/>
    <n v="0"/>
    <n v="0"/>
  </r>
  <r>
    <n v="40182202"/>
    <s v="N"/>
    <n v="21328109"/>
    <s v="3000010797840006"/>
    <s v="CIVIL"/>
    <d v="2023-06-23T00:00:00"/>
    <d v="2023-07-04T19:00:44"/>
    <m/>
    <d v="2023-07-04T00:00:00"/>
    <n v="2002"/>
    <n v="14447"/>
    <s v="40182202"/>
    <s v="40182202"/>
    <m/>
    <m/>
    <n v="22755060"/>
    <m/>
    <m/>
    <m/>
    <s v="SOLFIN"/>
    <s v="SOLFIN"/>
    <s v="CCMS"/>
    <n v="21328109"/>
    <n v="9969.59"/>
    <m/>
    <s v="N"/>
    <n v="34"/>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42"/>
    <d v="2023-07-04T19:01:04"/>
    <s v="Y"/>
    <s v="Preparation - other"/>
    <s v="Non Family Hourly Rates"/>
    <s v="Profit Cost"/>
    <s v="JB"/>
    <s v="Y"/>
    <n v="87.75"/>
    <n v="17.55"/>
    <x v="1"/>
    <s v="VALIDATED"/>
    <n v="1"/>
    <s v="01.11.80.209.6100.0000"/>
    <n v="87.75"/>
    <s v="11"/>
    <s v="6100"/>
    <n v="11099.38"/>
    <n v="87.75"/>
    <s v="CREDITOR"/>
    <n v="0"/>
    <n v="0"/>
    <n v="0"/>
    <n v="0"/>
    <n v="87.75"/>
  </r>
  <r>
    <n v="40182202"/>
    <s v="N"/>
    <n v="21328109"/>
    <s v="3000010797840006"/>
    <s v="CIVIL"/>
    <d v="2023-06-23T00:00:00"/>
    <d v="2023-07-04T19:00:44"/>
    <m/>
    <d v="2023-07-04T00:00:00"/>
    <n v="2002"/>
    <n v="14447"/>
    <s v="40182202"/>
    <s v="40182202"/>
    <m/>
    <m/>
    <n v="22755060"/>
    <m/>
    <m/>
    <m/>
    <s v="SOLFIN"/>
    <s v="SOLFIN"/>
    <s v="CCMS"/>
    <n v="21328109"/>
    <n v="9969.59"/>
    <m/>
    <s v="N"/>
    <n v="108"/>
    <d v="2023-07-04T19:01:04"/>
    <s v="Y"/>
    <s v="Attendance upon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116"/>
    <d v="2023-07-04T19:01:04"/>
    <s v="Y"/>
    <s v="Attendance upon client"/>
    <s v="Non Family Hourly Rates"/>
    <s v="Profit Cost"/>
    <s v="JB"/>
    <s v="Y"/>
    <n v="61.43"/>
    <n v="12.29"/>
    <x v="1"/>
    <s v="VALIDATED"/>
    <n v="1"/>
    <s v="01.11.80.209.6100.0000"/>
    <n v="61.43"/>
    <s v="11"/>
    <s v="6100"/>
    <n v="11099.38"/>
    <n v="61.43"/>
    <s v="CREDITOR"/>
    <n v="0"/>
    <n v="0"/>
    <n v="0"/>
    <n v="0"/>
    <n v="61.43"/>
  </r>
  <r>
    <n v="40182202"/>
    <s v="N"/>
    <n v="21328109"/>
    <s v="3000010797840006"/>
    <s v="CIVIL"/>
    <d v="2023-06-23T00:00:00"/>
    <d v="2023-07-04T19:00:44"/>
    <m/>
    <d v="2023-07-04T00:00:00"/>
    <n v="2002"/>
    <n v="14447"/>
    <s v="40182202"/>
    <s v="40182202"/>
    <m/>
    <m/>
    <n v="22755060"/>
    <m/>
    <m/>
    <m/>
    <s v="SOLFIN"/>
    <s v="SOLFIN"/>
    <s v="CCMS"/>
    <n v="21328109"/>
    <n v="9969.59"/>
    <m/>
    <s v="N"/>
    <n v="122"/>
    <d v="2023-07-04T19:01:04"/>
    <s v="Y"/>
    <s v="Preparation - drafting bill/claim f"/>
    <s v="Non Family Hourly Rates"/>
    <s v="Profit Cost"/>
    <s v="CD"/>
    <s v="Y"/>
    <n v="405"/>
    <n v="81.01000000000001"/>
    <x v="1"/>
    <s v="VALIDATED"/>
    <n v="1"/>
    <s v="01.11.80.209.6100.0000"/>
    <n v="405"/>
    <s v="11"/>
    <s v="6100"/>
    <n v="11099.38"/>
    <n v="405"/>
    <s v="CREDITOR"/>
    <n v="0"/>
    <n v="0"/>
    <n v="0"/>
    <n v="0"/>
    <n v="405"/>
  </r>
  <r>
    <n v="56242567"/>
    <s v="N"/>
    <n v="21343963"/>
    <s v="3000013348520008"/>
    <s v="CIVIL"/>
    <d v="2023-06-27T00:00:00"/>
    <d v="2023-07-07T19:03:00"/>
    <m/>
    <d v="2023-07-07T00:00:00"/>
    <n v="2002"/>
    <n v="14447"/>
    <s v="56242567"/>
    <s v="56242567"/>
    <m/>
    <m/>
    <n v="22773262"/>
    <m/>
    <m/>
    <m/>
    <s v="SOLFIN"/>
    <s v="SOLFIN"/>
    <s v="CCMS"/>
    <n v="21343963"/>
    <n v="5409.2"/>
    <m/>
    <s v="N"/>
    <n v="10"/>
    <d v="2023-07-07T19:03:18"/>
    <s v="Y"/>
    <s v="Advocates Meeting"/>
    <s v="Public Law Children"/>
    <s v="Advocacy"/>
    <s v="JB"/>
    <s v="Y"/>
    <n v="140.99"/>
    <n v="28.2"/>
    <x v="9"/>
    <s v="VALIDATED"/>
    <n v="1"/>
    <s v="01.11.80.308.6100.0000"/>
    <n v="140.99"/>
    <s v="11"/>
    <s v="6100"/>
    <n v="11099.38"/>
    <n v="140.99"/>
    <s v="CREDITOR"/>
    <n v="0"/>
    <n v="0"/>
    <n v="0"/>
    <n v="0"/>
    <n v="140.99"/>
  </r>
  <r>
    <n v="40182202"/>
    <s v="N"/>
    <n v="21328109"/>
    <s v="3000010797840006"/>
    <s v="CIVIL"/>
    <d v="2023-06-23T00:00:00"/>
    <d v="2023-07-04T19:00:44"/>
    <m/>
    <d v="2023-07-04T00:00:00"/>
    <n v="2002"/>
    <n v="14447"/>
    <s v="40182202"/>
    <s v="40182202"/>
    <m/>
    <m/>
    <n v="22755060"/>
    <m/>
    <m/>
    <m/>
    <s v="SOLFIN"/>
    <s v="SOLFIN"/>
    <s v="CCMS"/>
    <n v="21328109"/>
    <n v="9969.59"/>
    <m/>
    <s v="N"/>
    <n v="84"/>
    <d v="2023-07-04T19:01:04"/>
    <s v="Y"/>
    <s v="Preparation - other"/>
    <s v="Non Family Hourly Rates"/>
    <s v="Profit Cost"/>
    <s v="AN"/>
    <s v="Y"/>
    <n v="43.88"/>
    <n v="8.779999999999999"/>
    <x v="1"/>
    <s v="VALIDATED"/>
    <n v="1"/>
    <s v="01.11.80.209.6100.0000"/>
    <n v="43.88"/>
    <s v="11"/>
    <s v="6100"/>
    <n v="11099.38"/>
    <n v="43.88"/>
    <s v="CREDITOR"/>
    <n v="0"/>
    <n v="0"/>
    <n v="0"/>
    <n v="0"/>
    <n v="43.88"/>
  </r>
  <r>
    <n v="40182202"/>
    <s v="N"/>
    <n v="21328109"/>
    <s v="3000010797840006"/>
    <s v="CIVIL"/>
    <d v="2023-06-23T00:00:00"/>
    <d v="2023-07-04T19:00:44"/>
    <m/>
    <d v="2023-07-04T00:00:00"/>
    <n v="2002"/>
    <n v="14447"/>
    <s v="40182202"/>
    <s v="40182202"/>
    <m/>
    <m/>
    <n v="22755060"/>
    <m/>
    <m/>
    <m/>
    <s v="SOLFIN"/>
    <s v="SOLFIN"/>
    <s v="CCMS"/>
    <n v="21328109"/>
    <n v="9969.59"/>
    <m/>
    <s v="N"/>
    <n v="22"/>
    <d v="2023-07-04T19:01:04"/>
    <s v="Y"/>
    <s v="Waiting at court"/>
    <s v="Non Family Hourly Rates"/>
    <s v="Profit Cost"/>
    <s v="JB"/>
    <s v="Y"/>
    <n v="68.84"/>
    <n v="13.77"/>
    <x v="1"/>
    <s v="VALIDATED"/>
    <n v="1"/>
    <s v="01.11.80.209.6100.0000"/>
    <n v="68.84"/>
    <s v="11"/>
    <s v="6100"/>
    <n v="11099.38"/>
    <n v="68.84"/>
    <s v="CREDITOR"/>
    <n v="0"/>
    <n v="0"/>
    <n v="0"/>
    <n v="0"/>
    <n v="68.84"/>
  </r>
  <r>
    <n v="40182202"/>
    <s v="N"/>
    <n v="21328109"/>
    <s v="3000010797840006"/>
    <s v="CIVIL"/>
    <d v="2023-06-23T00:00:00"/>
    <d v="2023-07-04T19:00:44"/>
    <m/>
    <d v="2023-07-04T00:00:00"/>
    <n v="2002"/>
    <n v="14447"/>
    <s v="40182202"/>
    <s v="40182202"/>
    <m/>
    <m/>
    <n v="22755060"/>
    <m/>
    <m/>
    <m/>
    <s v="SOLFIN"/>
    <s v="SOLFIN"/>
    <s v="CCMS"/>
    <n v="21328109"/>
    <n v="9969.59"/>
    <m/>
    <s v="N"/>
    <n v="99"/>
    <d v="2023-07-04T19:01:04"/>
    <s v="Y"/>
    <s v="Attendance upon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5"/>
    <d v="2023-07-04T19:01:04"/>
    <s v="Y"/>
    <s v="Solicitor Travel Mileage"/>
    <s v="Non Family Hourly Rates"/>
    <s v="Non Expert Disbursement"/>
    <s v="JEB"/>
    <s v="Y"/>
    <n v="4.5"/>
    <n v="0.9"/>
    <x v="1"/>
    <s v="VALIDATED"/>
    <n v="1"/>
    <s v="01.11.80.209.6300.0000"/>
    <n v="4.5"/>
    <s v="11"/>
    <s v="6300"/>
    <n v="11099.38"/>
    <n v="4.5"/>
    <s v="CREDITOR"/>
    <n v="0"/>
    <n v="0"/>
    <n v="0"/>
    <n v="0"/>
    <n v="4.5"/>
  </r>
  <r>
    <n v="40182202"/>
    <s v="N"/>
    <n v="21328109"/>
    <s v="3000010797840006"/>
    <s v="CIVIL"/>
    <d v="2023-06-23T00:00:00"/>
    <d v="2023-07-04T19:00:44"/>
    <m/>
    <d v="2023-07-04T00:00:00"/>
    <n v="2002"/>
    <n v="14447"/>
    <s v="40182202"/>
    <s v="40182202"/>
    <m/>
    <m/>
    <n v="22755060"/>
    <m/>
    <m/>
    <m/>
    <s v="SOLFIN"/>
    <s v="SOLFIN"/>
    <s v="CCMS"/>
    <n v="21328109"/>
    <n v="9969.59"/>
    <m/>
    <s v="N"/>
    <n v="109"/>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118"/>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89"/>
    <d v="2023-07-04T19:01:04"/>
    <s v="Y"/>
    <s v="Preparation - other"/>
    <s v="Non Family Hourly Rates"/>
    <s v="Profit Cost"/>
    <s v="JB"/>
    <s v="Y"/>
    <n v="70.2"/>
    <n v="14.04"/>
    <x v="1"/>
    <s v="VALIDATED"/>
    <n v="1"/>
    <s v="01.11.80.209.6100.0000"/>
    <n v="70.2"/>
    <s v="11"/>
    <s v="6100"/>
    <n v="11099.38"/>
    <n v="70.2"/>
    <s v="CREDITOR"/>
    <n v="0"/>
    <n v="0"/>
    <n v="0"/>
    <n v="0"/>
    <n v="70.2"/>
  </r>
  <r>
    <n v="40182202"/>
    <s v="N"/>
    <n v="21328109"/>
    <s v="3000010797840006"/>
    <s v="CIVIL"/>
    <d v="2023-06-23T00:00:00"/>
    <d v="2023-07-04T19:00:44"/>
    <m/>
    <d v="2023-07-04T00:00:00"/>
    <n v="2002"/>
    <n v="14447"/>
    <s v="40182202"/>
    <s v="40182202"/>
    <m/>
    <m/>
    <n v="22755060"/>
    <m/>
    <m/>
    <m/>
    <s v="SOLFIN"/>
    <s v="SOLFIN"/>
    <s v="CCMS"/>
    <n v="21328109"/>
    <n v="9969.59"/>
    <m/>
    <s v="N"/>
    <n v="7"/>
    <d v="2023-07-04T19:01:04"/>
    <s v="Y"/>
    <s v="Solicitor Travel Mileage"/>
    <s v="Non Family Hourly Rates"/>
    <s v="Non Expert Disbursement"/>
    <s v="JEB"/>
    <s v="Y"/>
    <n v="3.15"/>
    <n v="0.63"/>
    <x v="1"/>
    <s v="VALIDATED"/>
    <n v="1"/>
    <s v="01.11.80.209.6300.0000"/>
    <n v="3.15"/>
    <s v="11"/>
    <s v="6300"/>
    <n v="11099.38"/>
    <n v="3.15"/>
    <s v="CREDITOR"/>
    <n v="0"/>
    <n v="0"/>
    <n v="0"/>
    <n v="0"/>
    <n v="3.15"/>
  </r>
  <r>
    <n v="40182202"/>
    <s v="N"/>
    <n v="21328109"/>
    <s v="3000010797840006"/>
    <s v="CIVIL"/>
    <d v="2023-06-23T00:00:00"/>
    <d v="2023-07-04T19:00:44"/>
    <m/>
    <d v="2023-07-04T00:00:00"/>
    <n v="2002"/>
    <n v="14447"/>
    <s v="40182202"/>
    <s v="40182202"/>
    <m/>
    <m/>
    <n v="22755060"/>
    <m/>
    <m/>
    <m/>
    <s v="SOLFIN"/>
    <s v="SOLFIN"/>
    <s v="CCMS"/>
    <n v="21328109"/>
    <n v="9969.59"/>
    <m/>
    <s v="N"/>
    <n v="46"/>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75"/>
    <d v="2023-07-04T19:01:04"/>
    <s v="Y"/>
    <s v="Preparation - other"/>
    <s v="Non Family Hourly Rates"/>
    <s v="Profit Cost"/>
    <s v="JB"/>
    <s v="Y"/>
    <n v="52.65"/>
    <n v="10.53"/>
    <x v="1"/>
    <s v="VALIDATED"/>
    <n v="1"/>
    <s v="01.11.80.209.6100.0000"/>
    <n v="52.65"/>
    <s v="11"/>
    <s v="6100"/>
    <n v="11099.38"/>
    <n v="52.65"/>
    <s v="CREDITOR"/>
    <n v="0"/>
    <n v="0"/>
    <n v="0"/>
    <n v="0"/>
    <n v="52.65"/>
  </r>
  <r>
    <n v="40182202"/>
    <s v="N"/>
    <n v="21328109"/>
    <s v="3000010797840006"/>
    <s v="CIVIL"/>
    <d v="2023-06-23T00:00:00"/>
    <d v="2023-07-04T19:00:44"/>
    <m/>
    <d v="2023-07-04T00:00:00"/>
    <n v="2002"/>
    <n v="14447"/>
    <s v="40182202"/>
    <s v="40182202"/>
    <m/>
    <m/>
    <n v="22755060"/>
    <m/>
    <m/>
    <m/>
    <s v="SOLFIN"/>
    <s v="SOLFIN"/>
    <s v="CCMS"/>
    <n v="21328109"/>
    <n v="9969.59"/>
    <m/>
    <s v="N"/>
    <n v="77"/>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4"/>
    <d v="2023-07-04T19:01:04"/>
    <s v="Y"/>
    <s v="Solicitor Travel Mileage"/>
    <s v="Non Family Hourly Rates"/>
    <s v="Non Expert Disbursement"/>
    <s v="JEB"/>
    <s v="Y"/>
    <n v="4.5"/>
    <n v="0.9"/>
    <x v="1"/>
    <s v="VALIDATED"/>
    <n v="1"/>
    <s v="01.11.80.209.6300.0000"/>
    <n v="4.5"/>
    <s v="11"/>
    <s v="6300"/>
    <n v="11099.38"/>
    <n v="4.5"/>
    <s v="CREDITOR"/>
    <n v="0"/>
    <n v="0"/>
    <n v="0"/>
    <n v="0"/>
    <n v="4.5"/>
  </r>
  <r>
    <n v="40182202"/>
    <s v="N"/>
    <n v="21328109"/>
    <s v="3000010797840006"/>
    <s v="CIVIL"/>
    <d v="2023-06-23T00:00:00"/>
    <d v="2023-07-04T19:00:44"/>
    <m/>
    <d v="2023-07-04T00:00:00"/>
    <n v="2002"/>
    <n v="14447"/>
    <s v="40182202"/>
    <s v="40182202"/>
    <m/>
    <m/>
    <n v="22755060"/>
    <m/>
    <m/>
    <m/>
    <s v="SOLFIN"/>
    <s v="SOLFIN"/>
    <s v="CCMS"/>
    <n v="21328109"/>
    <n v="9969.59"/>
    <m/>
    <s v="N"/>
    <n v="16"/>
    <d v="2023-07-04T19:01:04"/>
    <s v="Y"/>
    <s v="Preparation - other"/>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112"/>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80"/>
    <d v="2023-07-04T19:01:04"/>
    <s v="Y"/>
    <s v="Preparation - drafting application"/>
    <s v="Non Family Hourly Rates"/>
    <s v="Profit Cost"/>
    <s v="RH"/>
    <s v="Y"/>
    <n v="33.75"/>
    <n v="6.75"/>
    <x v="1"/>
    <s v="VALIDATED"/>
    <n v="1"/>
    <s v="01.11.80.209.6100.0000"/>
    <n v="33.75"/>
    <s v="11"/>
    <s v="6100"/>
    <n v="11099.38"/>
    <n v="33.75"/>
    <s v="CREDITOR"/>
    <n v="0"/>
    <n v="0"/>
    <n v="0"/>
    <n v="0"/>
    <n v="33.75"/>
  </r>
  <r>
    <n v="40182202"/>
    <s v="N"/>
    <n v="21328109"/>
    <s v="3000010797840006"/>
    <s v="CIVIL"/>
    <d v="2023-06-23T00:00:00"/>
    <d v="2023-07-04T19:00:44"/>
    <m/>
    <d v="2023-07-04T00:00:00"/>
    <n v="2002"/>
    <n v="14447"/>
    <s v="40182202"/>
    <s v="40182202"/>
    <m/>
    <m/>
    <n v="22755060"/>
    <m/>
    <m/>
    <m/>
    <s v="SOLFIN"/>
    <s v="SOLFIN"/>
    <s v="CCMS"/>
    <n v="21328109"/>
    <n v="9969.59"/>
    <m/>
    <s v="N"/>
    <n v="95"/>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92"/>
    <d v="2023-07-04T19:01:04"/>
    <s v="Y"/>
    <s v="Travel to attend client"/>
    <s v="Non Family Hourly Rates"/>
    <s v="Profit Cost"/>
    <s v="JB"/>
    <s v="Y"/>
    <n v="8.98"/>
    <n v="1.8"/>
    <x v="1"/>
    <s v="VALIDATED"/>
    <n v="1"/>
    <s v="01.11.80.209.6100.0000"/>
    <n v="8.98"/>
    <s v="11"/>
    <s v="6100"/>
    <n v="11099.38"/>
    <n v="8.98"/>
    <s v="CREDITOR"/>
    <n v="0"/>
    <n v="0"/>
    <n v="0"/>
    <n v="0"/>
    <n v="8.98"/>
  </r>
  <r>
    <n v="40182202"/>
    <s v="N"/>
    <n v="21328109"/>
    <s v="3000010797840006"/>
    <s v="CIVIL"/>
    <d v="2023-06-23T00:00:00"/>
    <d v="2023-07-04T19:00:44"/>
    <m/>
    <d v="2023-07-04T00:00:00"/>
    <n v="2002"/>
    <n v="14447"/>
    <s v="40182202"/>
    <s v="40182202"/>
    <m/>
    <m/>
    <n v="22755060"/>
    <m/>
    <m/>
    <m/>
    <s v="SOLFIN"/>
    <s v="SOLFIN"/>
    <s v="CCMS"/>
    <n v="21328109"/>
    <n v="9969.59"/>
    <m/>
    <s v="N"/>
    <n v="43"/>
    <d v="2023-07-04T19:01:04"/>
    <s v="Y"/>
    <s v="Preparation - other"/>
    <s v="Non Family Hourly Rates"/>
    <s v="Profit Cost"/>
    <s v="JB"/>
    <s v="Y"/>
    <n v="70.2"/>
    <n v="14.04"/>
    <x v="1"/>
    <s v="VALIDATED"/>
    <n v="1"/>
    <s v="01.11.80.209.6100.0000"/>
    <n v="70.2"/>
    <s v="11"/>
    <s v="6100"/>
    <n v="11099.38"/>
    <n v="70.2"/>
    <s v="CREDITOR"/>
    <n v="0"/>
    <n v="0"/>
    <n v="0"/>
    <n v="0"/>
    <n v="70.2"/>
  </r>
  <r>
    <n v="61727758"/>
    <s v="N"/>
    <n v="21329581"/>
    <s v="3000015814260004RC"/>
    <s v="CIVIL"/>
    <d v="2023-06-27T00:00:00"/>
    <d v="2023-07-04T19:38:37"/>
    <m/>
    <d v="2023-07-04T00:00:00"/>
    <n v="2002"/>
    <n v="14447"/>
    <s v="61727758"/>
    <s v="61727758"/>
    <m/>
    <m/>
    <m/>
    <m/>
    <m/>
    <m/>
    <s v="SOLRECOUP"/>
    <s v="SOLRECOUP"/>
    <s v="POARECOUP"/>
    <n v="21329581"/>
    <n v="-244.8"/>
    <m/>
    <s v="Y"/>
    <n v="1"/>
    <d v="2023-07-04T19:38:38"/>
    <s v="N"/>
    <m/>
    <m/>
    <s v="Expert Disbursement"/>
    <m/>
    <s v="N"/>
    <n v="-204"/>
    <n v="0"/>
    <x v="1"/>
    <s v="VALIDATED"/>
    <n v="1"/>
    <s v="01.11.80.308.2013.0000"/>
    <n v="-204"/>
    <s v="11"/>
    <s v="2013"/>
    <n v="11099.38"/>
    <n v="-204"/>
    <s v="CREDITOR"/>
    <n v="0"/>
    <n v="0"/>
    <n v="-204"/>
    <n v="0"/>
    <n v="0"/>
  </r>
  <r>
    <n v="61727758"/>
    <s v="N"/>
    <n v="21329582"/>
    <s v="3000015814260005RC"/>
    <s v="CIVIL"/>
    <d v="2023-06-27T00:00:00"/>
    <d v="2023-07-04T19:38:37"/>
    <m/>
    <d v="2023-07-04T00:00:00"/>
    <n v="2002"/>
    <n v="14447"/>
    <s v="61727758"/>
    <s v="61727758"/>
    <m/>
    <m/>
    <m/>
    <m/>
    <m/>
    <m/>
    <s v="SOLRECOUP"/>
    <s v="SOLRECOUP"/>
    <s v="POARECOUP"/>
    <n v="21329582"/>
    <n v="-109.5"/>
    <m/>
    <s v="Y"/>
    <n v="2"/>
    <d v="2023-07-04T19:38:38"/>
    <s v="N"/>
    <m/>
    <m/>
    <s v="Expert Disbursement"/>
    <m/>
    <s v="N"/>
    <n v="0"/>
    <n v="-18.25"/>
    <x v="1"/>
    <s v="VALIDATED"/>
    <n v="1"/>
    <s v="01.11.80.308.2013.0000"/>
    <n v="-18.25"/>
    <s v="11"/>
    <s v="2013"/>
    <n v="11099.38"/>
    <n v="-18.25"/>
    <s v="CREDITOR"/>
    <n v="0"/>
    <n v="0"/>
    <n v="-18.25"/>
    <n v="0"/>
    <n v="0"/>
  </r>
  <r>
    <n v="61727758"/>
    <s v="N"/>
    <n v="21329582"/>
    <s v="3000015814260005RC"/>
    <s v="CIVIL"/>
    <d v="2023-06-27T00:00:00"/>
    <d v="2023-07-04T19:38:37"/>
    <m/>
    <d v="2023-07-04T00:00:00"/>
    <n v="2002"/>
    <n v="14447"/>
    <s v="61727758"/>
    <s v="61727758"/>
    <m/>
    <m/>
    <m/>
    <m/>
    <m/>
    <m/>
    <s v="SOLRECOUP"/>
    <s v="SOLRECOUP"/>
    <s v="POARECOUP"/>
    <n v="21329582"/>
    <n v="-109.5"/>
    <m/>
    <s v="Y"/>
    <n v="1"/>
    <d v="2023-07-04T19:38:38"/>
    <s v="N"/>
    <m/>
    <m/>
    <s v="Expert Disbursement"/>
    <m/>
    <s v="N"/>
    <n v="-91.25"/>
    <n v="0"/>
    <x v="1"/>
    <s v="VALIDATED"/>
    <n v="1"/>
    <s v="01.11.80.308.2013.0000"/>
    <n v="-91.25"/>
    <s v="11"/>
    <s v="2013"/>
    <n v="11099.38"/>
    <n v="-91.25"/>
    <s v="CREDITOR"/>
    <n v="0"/>
    <n v="0"/>
    <n v="-91.25"/>
    <n v="0"/>
    <n v="0"/>
  </r>
  <r>
    <n v="61727758"/>
    <s v="N"/>
    <n v="21329583"/>
    <s v="3000015814260001RC"/>
    <s v="CIVIL"/>
    <d v="2023-06-27T00:00:00"/>
    <d v="2023-07-04T19:38:37"/>
    <m/>
    <d v="2023-07-04T00:00:00"/>
    <n v="2002"/>
    <n v="14447"/>
    <s v="61727758"/>
    <s v="61727758"/>
    <m/>
    <m/>
    <m/>
    <m/>
    <m/>
    <m/>
    <s v="SOLRECOUP"/>
    <s v="SOLRECOUP"/>
    <s v="POARECOUP"/>
    <n v="21329583"/>
    <n v="-244.8"/>
    <m/>
    <s v="Y"/>
    <n v="1"/>
    <d v="2023-07-04T19:38:38"/>
    <s v="N"/>
    <m/>
    <m/>
    <s v="Expert Disbursement"/>
    <m/>
    <s v="N"/>
    <n v="-204"/>
    <n v="0"/>
    <x v="1"/>
    <s v="VALIDATED"/>
    <n v="1"/>
    <s v="01.11.80.308.2013.0000"/>
    <n v="-204"/>
    <s v="11"/>
    <s v="2013"/>
    <n v="11099.38"/>
    <n v="-204"/>
    <s v="CREDITOR"/>
    <n v="0"/>
    <n v="0"/>
    <n v="-204"/>
    <n v="0"/>
    <n v="0"/>
  </r>
  <r>
    <n v="61727758"/>
    <s v="N"/>
    <n v="21329583"/>
    <s v="3000015814260001RC"/>
    <s v="CIVIL"/>
    <d v="2023-06-27T00:00:00"/>
    <d v="2023-07-04T19:38:37"/>
    <m/>
    <d v="2023-07-04T00:00:00"/>
    <n v="2002"/>
    <n v="14447"/>
    <s v="61727758"/>
    <s v="61727758"/>
    <m/>
    <m/>
    <m/>
    <m/>
    <m/>
    <m/>
    <s v="SOLRECOUP"/>
    <s v="SOLRECOUP"/>
    <s v="POARECOUP"/>
    <n v="21329583"/>
    <n v="-244.8"/>
    <m/>
    <s v="Y"/>
    <n v="2"/>
    <d v="2023-07-04T19:38:38"/>
    <s v="N"/>
    <m/>
    <m/>
    <s v="Expert Disbursement"/>
    <m/>
    <s v="N"/>
    <n v="0"/>
    <n v="-40.8"/>
    <x v="1"/>
    <s v="VALIDATED"/>
    <n v="1"/>
    <s v="01.11.80.308.2013.0000"/>
    <n v="-40.8"/>
    <s v="11"/>
    <s v="2013"/>
    <n v="11099.38"/>
    <n v="-40.8"/>
    <s v="CREDITOR"/>
    <n v="0"/>
    <n v="0"/>
    <n v="-40.8"/>
    <n v="0"/>
    <n v="0"/>
  </r>
  <r>
    <n v="61727758"/>
    <s v="N"/>
    <n v="21329584"/>
    <s v="3000015814260002RC"/>
    <s v="CIVIL"/>
    <d v="2023-06-27T00:00:00"/>
    <d v="2023-07-04T19:38:37"/>
    <m/>
    <d v="2023-07-04T00:00:00"/>
    <n v="2002"/>
    <n v="14447"/>
    <s v="61727758"/>
    <s v="61727758"/>
    <m/>
    <m/>
    <m/>
    <m/>
    <m/>
    <m/>
    <s v="SOLRECOUP"/>
    <s v="SOLRECOUP"/>
    <s v="POARECOUP"/>
    <n v="21329584"/>
    <n v="-2885.59"/>
    <m/>
    <s v="Y"/>
    <n v="1"/>
    <d v="2023-07-04T19:38:38"/>
    <s v="N"/>
    <m/>
    <m/>
    <s v="Profit Cost"/>
    <m/>
    <s v="N"/>
    <n v="-2404.66"/>
    <n v="0"/>
    <x v="1"/>
    <s v="VALIDATED"/>
    <n v="1"/>
    <s v="01.11.80.308.2013.0000"/>
    <n v="-2404.66"/>
    <s v="11"/>
    <s v="2013"/>
    <n v="11099.38"/>
    <n v="-2404.66"/>
    <s v="CREDITOR"/>
    <n v="0"/>
    <n v="0"/>
    <n v="-2404.66"/>
    <n v="-601.165"/>
    <n v="0"/>
  </r>
  <r>
    <n v="61727758"/>
    <s v="N"/>
    <n v="21329584"/>
    <s v="3000015814260002RC"/>
    <s v="CIVIL"/>
    <d v="2023-06-27T00:00:00"/>
    <d v="2023-07-04T19:38:37"/>
    <m/>
    <d v="2023-07-04T00:00:00"/>
    <n v="2002"/>
    <n v="14447"/>
    <s v="61727758"/>
    <s v="61727758"/>
    <m/>
    <m/>
    <m/>
    <m/>
    <m/>
    <m/>
    <s v="SOLRECOUP"/>
    <s v="SOLRECOUP"/>
    <s v="POARECOUP"/>
    <n v="21329584"/>
    <n v="-2885.59"/>
    <m/>
    <s v="Y"/>
    <n v="2"/>
    <d v="2023-07-04T19:38:38"/>
    <s v="N"/>
    <m/>
    <m/>
    <s v="Profit Cost"/>
    <m/>
    <s v="N"/>
    <n v="0"/>
    <n v="-480.93"/>
    <x v="1"/>
    <s v="VALIDATED"/>
    <n v="1"/>
    <s v="01.11.80.308.2013.0000"/>
    <n v="-480.93"/>
    <s v="11"/>
    <s v="2013"/>
    <n v="11099.38"/>
    <n v="-480.93"/>
    <s v="CREDITOR"/>
    <n v="0"/>
    <n v="0"/>
    <n v="-480.93"/>
    <n v="-120.2325"/>
    <n v="0"/>
  </r>
  <r>
    <n v="61727758"/>
    <s v="N"/>
    <n v="21329585"/>
    <s v="3000015814260003RC"/>
    <s v="CIVIL"/>
    <d v="2023-06-27T00:00:00"/>
    <d v="2023-07-04T19:38:37"/>
    <m/>
    <d v="2023-07-04T00:00:00"/>
    <n v="2002"/>
    <n v="14447"/>
    <s v="61727758"/>
    <s v="61727758"/>
    <m/>
    <m/>
    <m/>
    <m/>
    <m/>
    <m/>
    <s v="SOLRECOUP"/>
    <s v="SOLRECOUP"/>
    <s v="POARECOUP"/>
    <n v="21329585"/>
    <n v="-459.65"/>
    <m/>
    <s v="Y"/>
    <n v="2"/>
    <d v="2023-07-04T19:38:38"/>
    <s v="N"/>
    <m/>
    <m/>
    <s v="Expert Disbursement"/>
    <m/>
    <s v="N"/>
    <n v="0"/>
    <n v="-76.61"/>
    <x v="1"/>
    <s v="VALIDATED"/>
    <n v="1"/>
    <s v="01.11.80.308.2013.0000"/>
    <n v="-76.61"/>
    <s v="11"/>
    <s v="2013"/>
    <n v="11099.38"/>
    <n v="-76.61"/>
    <s v="CREDITOR"/>
    <n v="0"/>
    <n v="0"/>
    <n v="-76.61"/>
    <n v="0"/>
    <n v="0"/>
  </r>
  <r>
    <n v="61727758"/>
    <s v="N"/>
    <n v="21329585"/>
    <s v="3000015814260003RC"/>
    <s v="CIVIL"/>
    <d v="2023-06-27T00:00:00"/>
    <d v="2023-07-04T19:38:37"/>
    <m/>
    <d v="2023-07-04T00:00:00"/>
    <n v="2002"/>
    <n v="14447"/>
    <s v="61727758"/>
    <s v="61727758"/>
    <m/>
    <m/>
    <m/>
    <m/>
    <m/>
    <m/>
    <s v="SOLRECOUP"/>
    <s v="SOLRECOUP"/>
    <s v="POARECOUP"/>
    <n v="21329585"/>
    <n v="-459.65"/>
    <m/>
    <s v="Y"/>
    <n v="1"/>
    <d v="2023-07-04T19:38:38"/>
    <s v="N"/>
    <m/>
    <m/>
    <s v="Expert Disbursement"/>
    <m/>
    <s v="N"/>
    <n v="-383.04"/>
    <n v="0"/>
    <x v="1"/>
    <s v="VALIDATED"/>
    <n v="1"/>
    <s v="01.11.80.308.2013.0000"/>
    <n v="-383.04"/>
    <s v="11"/>
    <s v="2013"/>
    <n v="11099.38"/>
    <n v="-383.04"/>
    <s v="CREDITOR"/>
    <n v="0"/>
    <n v="0"/>
    <n v="-383.04"/>
    <n v="0"/>
    <n v="0"/>
  </r>
  <r>
    <n v="40182202"/>
    <s v="N"/>
    <n v="21329578"/>
    <s v="3000010797840002RC"/>
    <s v="CIVIL"/>
    <d v="2023-06-23T00:00:00"/>
    <d v="2023-07-04T19:38:37"/>
    <m/>
    <d v="2023-07-04T00:00:00"/>
    <n v="2002"/>
    <n v="14447"/>
    <s v="40182202"/>
    <s v="40182202"/>
    <m/>
    <m/>
    <m/>
    <m/>
    <m/>
    <m/>
    <s v="SOLRECOUP"/>
    <s v="SOLRECOUP"/>
    <s v="POARECOUP"/>
    <n v="21329578"/>
    <n v="-1184.17"/>
    <m/>
    <s v="Y"/>
    <n v="2"/>
    <d v="2023-07-04T19:38:38"/>
    <s v="N"/>
    <m/>
    <m/>
    <s v="Profit Cost"/>
    <m/>
    <s v="N"/>
    <n v="0"/>
    <n v="-197.36"/>
    <x v="1"/>
    <s v="VALIDATED"/>
    <n v="1"/>
    <s v="01.11.80.209.2013.0000"/>
    <n v="-197.36"/>
    <s v="11"/>
    <s v="2013"/>
    <n v="11099.38"/>
    <n v="-197.36"/>
    <s v="CREDITOR"/>
    <n v="0"/>
    <n v="0"/>
    <n v="-197.36"/>
    <n v="-49.34"/>
    <n v="0"/>
  </r>
  <r>
    <n v="40182202"/>
    <s v="N"/>
    <n v="21329578"/>
    <s v="3000010797840002RC"/>
    <s v="CIVIL"/>
    <d v="2023-06-23T00:00:00"/>
    <d v="2023-07-04T19:38:37"/>
    <m/>
    <d v="2023-07-04T00:00:00"/>
    <n v="2002"/>
    <n v="14447"/>
    <s v="40182202"/>
    <s v="40182202"/>
    <m/>
    <m/>
    <m/>
    <m/>
    <m/>
    <m/>
    <s v="SOLRECOUP"/>
    <s v="SOLRECOUP"/>
    <s v="POARECOUP"/>
    <n v="21329578"/>
    <n v="-1184.17"/>
    <m/>
    <s v="Y"/>
    <n v="1"/>
    <d v="2023-07-04T19:38:38"/>
    <s v="N"/>
    <m/>
    <m/>
    <s v="Profit Cost"/>
    <m/>
    <s v="N"/>
    <n v="-986.8099999999999"/>
    <n v="0"/>
    <x v="1"/>
    <s v="VALIDATED"/>
    <n v="1"/>
    <s v="01.11.80.209.2013.0000"/>
    <n v="-986.8099999999999"/>
    <s v="11"/>
    <s v="2013"/>
    <n v="11099.38"/>
    <n v="-986.8099999999999"/>
    <s v="CREDITOR"/>
    <n v="0"/>
    <n v="0"/>
    <n v="-986.8099999999999"/>
    <n v="-246.7025"/>
    <n v="0"/>
  </r>
  <r>
    <n v="40182202"/>
    <s v="N"/>
    <n v="21329579"/>
    <s v="3000010797840001RC"/>
    <s v="CIVIL"/>
    <d v="2023-06-23T00:00:00"/>
    <d v="2023-07-04T19:38:37"/>
    <m/>
    <d v="2023-07-04T00:00:00"/>
    <n v="2002"/>
    <n v="14447"/>
    <s v="40182202"/>
    <s v="40182202"/>
    <m/>
    <m/>
    <m/>
    <m/>
    <m/>
    <m/>
    <s v="SOLRECOUP"/>
    <s v="SOLRECOUP"/>
    <s v="POARECOUP"/>
    <n v="21329579"/>
    <n v="-895.97"/>
    <m/>
    <s v="Y"/>
    <n v="2"/>
    <d v="2023-07-04T19:38:38"/>
    <s v="N"/>
    <m/>
    <m/>
    <s v="Profit Cost"/>
    <m/>
    <s v="N"/>
    <n v="0"/>
    <n v="-149.33"/>
    <x v="1"/>
    <s v="VALIDATED"/>
    <n v="1"/>
    <s v="01.11.80.209.2013.0000"/>
    <n v="-149.33"/>
    <s v="11"/>
    <s v="2013"/>
    <n v="11099.38"/>
    <n v="-149.33"/>
    <s v="CREDITOR"/>
    <n v="0"/>
    <n v="0"/>
    <n v="-149.33"/>
    <n v="-37.3325"/>
    <n v="0"/>
  </r>
  <r>
    <n v="40182202"/>
    <s v="N"/>
    <n v="21329579"/>
    <s v="3000010797840001RC"/>
    <s v="CIVIL"/>
    <d v="2023-06-23T00:00:00"/>
    <d v="2023-07-04T19:38:37"/>
    <m/>
    <d v="2023-07-04T00:00:00"/>
    <n v="2002"/>
    <n v="14447"/>
    <s v="40182202"/>
    <s v="40182202"/>
    <m/>
    <m/>
    <m/>
    <m/>
    <m/>
    <m/>
    <s v="SOLRECOUP"/>
    <s v="SOLRECOUP"/>
    <s v="POARECOUP"/>
    <n v="21329579"/>
    <n v="-895.97"/>
    <m/>
    <s v="Y"/>
    <n v="1"/>
    <d v="2023-07-04T19:38:38"/>
    <s v="N"/>
    <m/>
    <m/>
    <s v="Profit Cost"/>
    <m/>
    <s v="N"/>
    <n v="-746.64"/>
    <n v="0"/>
    <x v="1"/>
    <s v="VALIDATED"/>
    <n v="1"/>
    <s v="01.11.80.209.2013.0000"/>
    <n v="-746.64"/>
    <s v="11"/>
    <s v="2013"/>
    <n v="11099.38"/>
    <n v="-746.64"/>
    <s v="CREDITOR"/>
    <n v="0"/>
    <n v="0"/>
    <n v="-746.64"/>
    <n v="-186.66"/>
    <n v="0"/>
  </r>
  <r>
    <n v="40182202"/>
    <s v="N"/>
    <n v="21329580"/>
    <s v="3000010797840003RC"/>
    <s v="CIVIL"/>
    <d v="2023-06-23T00:00:00"/>
    <d v="2023-07-04T19:38:37"/>
    <m/>
    <d v="2023-07-04T00:00:00"/>
    <n v="2002"/>
    <n v="14447"/>
    <s v="40182202"/>
    <s v="40182202"/>
    <m/>
    <m/>
    <m/>
    <m/>
    <m/>
    <m/>
    <s v="SOLRECOUP"/>
    <s v="SOLRECOUP"/>
    <s v="POARECOUP"/>
    <n v="21329580"/>
    <n v="-1159.1"/>
    <m/>
    <s v="Y"/>
    <n v="2"/>
    <d v="2023-07-04T19:38:38"/>
    <s v="N"/>
    <m/>
    <m/>
    <s v="Expert Disbursement"/>
    <m/>
    <s v="N"/>
    <n v="0"/>
    <n v="0"/>
    <x v="1"/>
    <s v="VALIDATED"/>
    <n v="1"/>
    <s v="01.11.80.000.0000.0000"/>
    <n v="0"/>
    <s v="11"/>
    <s v="0000"/>
    <n v="11099.38"/>
    <n v="0"/>
    <s v="CREDITOR"/>
    <n v="0"/>
    <n v="0"/>
    <n v="0"/>
    <n v="0"/>
    <n v="0"/>
  </r>
  <r>
    <n v="40182202"/>
    <s v="N"/>
    <n v="21329580"/>
    <s v="3000010797840003RC"/>
    <s v="CIVIL"/>
    <d v="2023-06-23T00:00:00"/>
    <d v="2023-07-04T19:38:37"/>
    <m/>
    <d v="2023-07-04T00:00:00"/>
    <n v="2002"/>
    <n v="14447"/>
    <s v="40182202"/>
    <s v="40182202"/>
    <m/>
    <m/>
    <m/>
    <m/>
    <m/>
    <m/>
    <s v="SOLRECOUP"/>
    <s v="SOLRECOUP"/>
    <s v="POARECOUP"/>
    <n v="21329580"/>
    <n v="-1159.1"/>
    <m/>
    <s v="Y"/>
    <n v="1"/>
    <d v="2023-07-04T19:38:38"/>
    <s v="N"/>
    <m/>
    <m/>
    <s v="Expert Disbursement"/>
    <m/>
    <s v="N"/>
    <n v="-1159.1"/>
    <n v="0"/>
    <x v="1"/>
    <s v="VALIDATED"/>
    <n v="1"/>
    <s v="01.11.80.209.2013.0000"/>
    <n v="-1159.1"/>
    <s v="11"/>
    <s v="2013"/>
    <n v="11099.38"/>
    <n v="-1159.1"/>
    <s v="CREDITOR"/>
    <n v="0"/>
    <n v="0"/>
    <n v="-1159.1"/>
    <n v="0"/>
    <n v="0"/>
  </r>
  <r>
    <n v="61727758"/>
    <s v="N"/>
    <n v="21329581"/>
    <s v="3000015814260004RC"/>
    <s v="CIVIL"/>
    <d v="2023-06-27T00:00:00"/>
    <d v="2023-07-04T19:38:37"/>
    <m/>
    <d v="2023-07-04T00:00:00"/>
    <n v="2002"/>
    <n v="14447"/>
    <s v="61727758"/>
    <s v="61727758"/>
    <m/>
    <m/>
    <m/>
    <m/>
    <m/>
    <m/>
    <s v="SOLRECOUP"/>
    <s v="SOLRECOUP"/>
    <s v="POARECOUP"/>
    <n v="21329581"/>
    <n v="-244.8"/>
    <m/>
    <s v="Y"/>
    <n v="2"/>
    <d v="2023-07-04T19:38:38"/>
    <s v="N"/>
    <m/>
    <m/>
    <s v="Expert Disbursement"/>
    <m/>
    <s v="N"/>
    <n v="0"/>
    <n v="-40.8"/>
    <x v="1"/>
    <s v="VALIDATED"/>
    <n v="1"/>
    <s v="01.11.80.308.2013.0000"/>
    <n v="-40.8"/>
    <s v="11"/>
    <s v="2013"/>
    <n v="11099.38"/>
    <n v="-40.8"/>
    <s v="CREDITOR"/>
    <n v="0"/>
    <n v="0"/>
    <n v="-40.8"/>
    <n v="0"/>
    <n v="0"/>
  </r>
  <r>
    <n v="56242567"/>
    <s v="N"/>
    <n v="21346529"/>
    <s v="3000013348520001RC"/>
    <s v="CIVIL"/>
    <d v="2023-06-27T00:00:00"/>
    <d v="2023-07-07T19:34:21"/>
    <m/>
    <d v="2023-07-07T00:00:00"/>
    <n v="2002"/>
    <n v="14447"/>
    <s v="56242567"/>
    <s v="56242567"/>
    <m/>
    <m/>
    <m/>
    <m/>
    <m/>
    <m/>
    <s v="SOLRECOUP"/>
    <s v="SOLRECOUP"/>
    <s v="POARECOUP"/>
    <n v="21346529"/>
    <n v="-226.5"/>
    <m/>
    <s v="Y"/>
    <n v="1"/>
    <d v="2023-07-07T19:34:23"/>
    <s v="N"/>
    <m/>
    <m/>
    <s v="Expert Disbursement"/>
    <m/>
    <s v="N"/>
    <n v="-188.75"/>
    <n v="0"/>
    <x v="9"/>
    <s v="VALIDATED"/>
    <n v="1"/>
    <s v="01.11.80.308.2013.0000"/>
    <n v="-188.75"/>
    <s v="11"/>
    <s v="2013"/>
    <n v="11099.38"/>
    <n v="-188.75"/>
    <s v="CREDITOR"/>
    <n v="0"/>
    <n v="0"/>
    <n v="-188.75"/>
    <n v="0"/>
    <n v="0"/>
  </r>
  <r>
    <n v="56242567"/>
    <s v="N"/>
    <n v="21346529"/>
    <s v="3000013348520001RC"/>
    <s v="CIVIL"/>
    <d v="2023-06-27T00:00:00"/>
    <d v="2023-07-07T19:34:21"/>
    <m/>
    <d v="2023-07-07T00:00:00"/>
    <n v="2002"/>
    <n v="14447"/>
    <s v="56242567"/>
    <s v="56242567"/>
    <m/>
    <m/>
    <m/>
    <m/>
    <m/>
    <m/>
    <s v="SOLRECOUP"/>
    <s v="SOLRECOUP"/>
    <s v="POARECOUP"/>
    <n v="21346529"/>
    <n v="-226.5"/>
    <m/>
    <s v="Y"/>
    <n v="2"/>
    <d v="2023-07-07T19:34:23"/>
    <s v="N"/>
    <m/>
    <m/>
    <s v="Expert Disbursement"/>
    <m/>
    <s v="N"/>
    <n v="0"/>
    <n v="-37.75"/>
    <x v="9"/>
    <s v="VALIDATED"/>
    <n v="1"/>
    <s v="01.11.80.308.2013.0000"/>
    <n v="-37.75"/>
    <s v="11"/>
    <s v="2013"/>
    <n v="11099.38"/>
    <n v="-37.75"/>
    <s v="CREDITOR"/>
    <n v="0"/>
    <n v="0"/>
    <n v="-37.75"/>
    <n v="0"/>
    <n v="0"/>
  </r>
  <r>
    <n v="56242567"/>
    <s v="N"/>
    <n v="21346530"/>
    <s v="3000013348520003RC"/>
    <s v="CIVIL"/>
    <d v="2023-06-27T00:00:00"/>
    <d v="2023-07-07T19:34:21"/>
    <m/>
    <d v="2023-07-07T00:00:00"/>
    <n v="2002"/>
    <n v="14447"/>
    <s v="56242567"/>
    <s v="56242567"/>
    <m/>
    <m/>
    <m/>
    <m/>
    <m/>
    <m/>
    <s v="SOLRECOUP"/>
    <s v="SOLRECOUP"/>
    <s v="POARECOUP"/>
    <n v="21346530"/>
    <n v="-67"/>
    <m/>
    <s v="Y"/>
    <n v="2"/>
    <d v="2023-07-07T19:34:23"/>
    <s v="N"/>
    <m/>
    <m/>
    <s v="Expert Disbursement"/>
    <m/>
    <s v="N"/>
    <n v="0"/>
    <n v="0"/>
    <x v="9"/>
    <s v="VALIDATED"/>
    <n v="1"/>
    <s v="01.11.80.000.0000.0000"/>
    <n v="0"/>
    <s v="11"/>
    <s v="0000"/>
    <n v="11099.38"/>
    <n v="0"/>
    <s v="CREDITOR"/>
    <n v="0"/>
    <n v="0"/>
    <n v="0"/>
    <n v="0"/>
    <n v="0"/>
  </r>
  <r>
    <n v="56242567"/>
    <s v="N"/>
    <n v="21346530"/>
    <s v="3000013348520003RC"/>
    <s v="CIVIL"/>
    <d v="2023-06-27T00:00:00"/>
    <d v="2023-07-07T19:34:21"/>
    <m/>
    <d v="2023-07-07T00:00:00"/>
    <n v="2002"/>
    <n v="14447"/>
    <s v="56242567"/>
    <s v="56242567"/>
    <m/>
    <m/>
    <m/>
    <m/>
    <m/>
    <m/>
    <s v="SOLRECOUP"/>
    <s v="SOLRECOUP"/>
    <s v="POARECOUP"/>
    <n v="21346530"/>
    <n v="-67"/>
    <m/>
    <s v="Y"/>
    <n v="1"/>
    <d v="2023-07-07T19:34:23"/>
    <s v="N"/>
    <m/>
    <m/>
    <s v="Expert Disbursement"/>
    <m/>
    <s v="N"/>
    <n v="-67"/>
    <n v="0"/>
    <x v="9"/>
    <s v="VALIDATED"/>
    <n v="1"/>
    <s v="01.11.80.308.2013.0000"/>
    <n v="-67"/>
    <s v="11"/>
    <s v="2013"/>
    <n v="11099.38"/>
    <n v="-67"/>
    <s v="CREDITOR"/>
    <n v="0"/>
    <n v="0"/>
    <n v="-67"/>
    <n v="0"/>
    <n v="0"/>
  </r>
  <r>
    <n v="56242567"/>
    <s v="N"/>
    <n v="21346531"/>
    <s v="3000013348520004RC"/>
    <s v="CIVIL"/>
    <d v="2023-06-27T00:00:00"/>
    <d v="2023-07-07T19:34:21"/>
    <m/>
    <d v="2023-07-07T00:00:00"/>
    <n v="2002"/>
    <n v="14447"/>
    <s v="56242567"/>
    <s v="56242567"/>
    <m/>
    <m/>
    <m/>
    <m/>
    <m/>
    <m/>
    <s v="SOLRECOUP"/>
    <s v="SOLRECOUP"/>
    <s v="POARECOUP"/>
    <n v="21346531"/>
    <n v="-2792.03"/>
    <m/>
    <s v="Y"/>
    <n v="2"/>
    <d v="2023-07-07T19:34:23"/>
    <s v="N"/>
    <m/>
    <m/>
    <s v="Profit Cost"/>
    <m/>
    <s v="N"/>
    <n v="0"/>
    <n v="-465.34"/>
    <x v="9"/>
    <s v="VALIDATED"/>
    <n v="1"/>
    <s v="01.11.80.308.2013.0000"/>
    <n v="-465.34"/>
    <s v="11"/>
    <s v="2013"/>
    <n v="11099.38"/>
    <n v="-465.34"/>
    <s v="CREDITOR"/>
    <n v="0"/>
    <n v="0"/>
    <n v="-465.34"/>
    <n v="-116.335"/>
    <n v="0"/>
  </r>
  <r>
    <n v="56242567"/>
    <s v="N"/>
    <n v="21346531"/>
    <s v="3000013348520004RC"/>
    <s v="CIVIL"/>
    <d v="2023-06-27T00:00:00"/>
    <d v="2023-07-07T19:34:21"/>
    <m/>
    <d v="2023-07-07T00:00:00"/>
    <n v="2002"/>
    <n v="14447"/>
    <s v="56242567"/>
    <s v="56242567"/>
    <m/>
    <m/>
    <m/>
    <m/>
    <m/>
    <m/>
    <s v="SOLRECOUP"/>
    <s v="SOLRECOUP"/>
    <s v="POARECOUP"/>
    <n v="21346531"/>
    <n v="-2792.03"/>
    <m/>
    <s v="Y"/>
    <n v="1"/>
    <d v="2023-07-07T19:34:23"/>
    <s v="N"/>
    <m/>
    <m/>
    <s v="Profit Cost"/>
    <m/>
    <s v="N"/>
    <n v="-2326.69"/>
    <n v="0"/>
    <x v="9"/>
    <s v="VALIDATED"/>
    <n v="1"/>
    <s v="01.11.80.308.2013.0000"/>
    <n v="-2326.69"/>
    <s v="11"/>
    <s v="2013"/>
    <n v="11099.38"/>
    <n v="-2326.69"/>
    <s v="CREDITOR"/>
    <n v="0"/>
    <n v="0"/>
    <n v="-2326.69"/>
    <n v="-581.6725"/>
    <n v="0"/>
  </r>
  <r>
    <n v="56242567"/>
    <s v="N"/>
    <n v="21346532"/>
    <s v="3000013348520005RC"/>
    <s v="CIVIL"/>
    <d v="2023-06-27T00:00:00"/>
    <d v="2023-07-07T19:34:21"/>
    <m/>
    <d v="2023-07-07T00:00:00"/>
    <n v="2002"/>
    <n v="14447"/>
    <s v="56242567"/>
    <s v="56242567"/>
    <m/>
    <m/>
    <m/>
    <m/>
    <m/>
    <m/>
    <s v="SOLRECOUP"/>
    <s v="SOLRECOUP"/>
    <s v="POARECOUP"/>
    <n v="21346532"/>
    <n v="-226.5"/>
    <m/>
    <s v="Y"/>
    <n v="1"/>
    <d v="2023-07-07T19:34:23"/>
    <s v="N"/>
    <m/>
    <m/>
    <s v="Expert Disbursement"/>
    <m/>
    <s v="N"/>
    <n v="-188.75"/>
    <n v="0"/>
    <x v="9"/>
    <s v="VALIDATED"/>
    <n v="1"/>
    <s v="01.11.80.308.2013.0000"/>
    <n v="-188.75"/>
    <s v="11"/>
    <s v="2013"/>
    <n v="11099.38"/>
    <n v="-188.75"/>
    <s v="CREDITOR"/>
    <n v="0"/>
    <n v="0"/>
    <n v="-188.75"/>
    <n v="0"/>
    <n v="0"/>
  </r>
  <r>
    <n v="56242567"/>
    <s v="N"/>
    <n v="21346532"/>
    <s v="3000013348520005RC"/>
    <s v="CIVIL"/>
    <d v="2023-06-27T00:00:00"/>
    <d v="2023-07-07T19:34:21"/>
    <m/>
    <d v="2023-07-07T00:00:00"/>
    <n v="2002"/>
    <n v="14447"/>
    <s v="56242567"/>
    <s v="56242567"/>
    <m/>
    <m/>
    <m/>
    <m/>
    <m/>
    <m/>
    <s v="SOLRECOUP"/>
    <s v="SOLRECOUP"/>
    <s v="POARECOUP"/>
    <n v="21346532"/>
    <n v="-226.5"/>
    <m/>
    <s v="Y"/>
    <n v="2"/>
    <d v="2023-07-07T19:34:23"/>
    <s v="N"/>
    <m/>
    <m/>
    <s v="Expert Disbursement"/>
    <m/>
    <s v="N"/>
    <n v="0"/>
    <n v="-37.75"/>
    <x v="9"/>
    <s v="VALIDATED"/>
    <n v="1"/>
    <s v="01.11.80.308.2013.0000"/>
    <n v="-37.75"/>
    <s v="11"/>
    <s v="2013"/>
    <n v="11099.38"/>
    <n v="-37.75"/>
    <s v="CREDITOR"/>
    <n v="0"/>
    <n v="0"/>
    <n v="-37.75"/>
    <n v="0"/>
    <n v="0"/>
  </r>
  <r>
    <n v="12325488"/>
    <s v="N"/>
    <n v="21340115"/>
    <s v="3000007167600001RC"/>
    <s v="CIVIL"/>
    <d v="2023-06-23T00:00:00"/>
    <d v="2023-07-06T19:54:22"/>
    <m/>
    <d v="2023-07-06T00:00:00"/>
    <n v="2002"/>
    <n v="14447"/>
    <s v="12325488"/>
    <s v="12325488"/>
    <m/>
    <m/>
    <m/>
    <m/>
    <m/>
    <m/>
    <s v="SOLRECOUP"/>
    <s v="SOLRECOUP"/>
    <s v="POARECOUP"/>
    <n v="21340115"/>
    <n v="-74"/>
    <m/>
    <s v="Y"/>
    <n v="1"/>
    <d v="2023-07-06T19:54:23"/>
    <s v="N"/>
    <m/>
    <m/>
    <s v="Expert Disbursement"/>
    <m/>
    <s v="N"/>
    <n v="-74"/>
    <n v="0"/>
    <x v="4"/>
    <s v="VALIDATED"/>
    <n v="1"/>
    <s v="01.11.80.307.2013.0000"/>
    <n v="-74"/>
    <s v="11"/>
    <s v="2013"/>
    <n v="11099.38"/>
    <n v="-74"/>
    <s v="CREDITOR"/>
    <n v="0"/>
    <n v="0"/>
    <n v="-74"/>
    <n v="0"/>
    <n v="0"/>
  </r>
  <r>
    <n v="12325488"/>
    <s v="N"/>
    <n v="21340115"/>
    <s v="3000007167600001RC"/>
    <s v="CIVIL"/>
    <d v="2023-06-23T00:00:00"/>
    <d v="2023-07-06T19:54:22"/>
    <m/>
    <d v="2023-07-06T00:00:00"/>
    <n v="2002"/>
    <n v="14447"/>
    <s v="12325488"/>
    <s v="12325488"/>
    <m/>
    <m/>
    <m/>
    <m/>
    <m/>
    <m/>
    <s v="SOLRECOUP"/>
    <s v="SOLRECOUP"/>
    <s v="POARECOUP"/>
    <n v="21340115"/>
    <n v="-74"/>
    <m/>
    <s v="Y"/>
    <n v="2"/>
    <d v="2023-07-06T19:54:23"/>
    <s v="N"/>
    <m/>
    <m/>
    <s v="Expert Disbursement"/>
    <m/>
    <s v="N"/>
    <n v="0"/>
    <n v="0"/>
    <x v="4"/>
    <s v="VALIDATED"/>
    <n v="1"/>
    <s v="01.11.80.000.0000.0000"/>
    <n v="0"/>
    <s v="11"/>
    <s v="0000"/>
    <n v="11099.38"/>
    <n v="0"/>
    <s v="CREDITOR"/>
    <n v="0"/>
    <n v="0"/>
    <n v="0"/>
    <n v="0"/>
    <n v="0"/>
  </r>
  <r>
    <n v="56242567"/>
    <s v="N"/>
    <n v="21343963"/>
    <s v="3000013348520008"/>
    <s v="CIVIL"/>
    <d v="2023-06-27T00:00:00"/>
    <d v="2023-07-07T19:03:00"/>
    <m/>
    <d v="2023-07-07T00:00:00"/>
    <n v="2002"/>
    <n v="14447"/>
    <s v="56242567"/>
    <s v="56242567"/>
    <m/>
    <m/>
    <n v="22773262"/>
    <m/>
    <m/>
    <m/>
    <s v="SOLFIN"/>
    <s v="SOLFIN"/>
    <s v="CCMS"/>
    <n v="21343963"/>
    <n v="5409.2"/>
    <m/>
    <s v="N"/>
    <n v="1"/>
    <d v="2023-07-07T19:03:18"/>
    <s v="Y"/>
    <s v="Solicitors Fixed Fee"/>
    <s v="Public Law Children"/>
    <s v="Profit Cost"/>
    <s v="JB"/>
    <s v="Y"/>
    <n v="1911"/>
    <n v="382.2"/>
    <x v="9"/>
    <s v="VALIDATED"/>
    <n v="1"/>
    <s v="01.11.80.308.6100.0000"/>
    <n v="1911"/>
    <s v="11"/>
    <s v="6100"/>
    <n v="11099.38"/>
    <n v="1911"/>
    <s v="CREDITOR"/>
    <n v="0"/>
    <n v="0"/>
    <n v="0"/>
    <n v="0"/>
    <n v="1911"/>
  </r>
  <r>
    <n v="40182202"/>
    <s v="N"/>
    <n v="21328109"/>
    <s v="3000010797840006"/>
    <s v="CIVIL"/>
    <d v="2023-06-23T00:00:00"/>
    <d v="2023-07-04T19:00:44"/>
    <m/>
    <d v="2023-07-04T00:00:00"/>
    <n v="2002"/>
    <n v="14447"/>
    <s v="40182202"/>
    <s v="40182202"/>
    <m/>
    <m/>
    <n v="22755060"/>
    <m/>
    <m/>
    <m/>
    <s v="SOLFIN"/>
    <s v="SOLFIN"/>
    <s v="CCMS"/>
    <n v="21328109"/>
    <n v="9969.59"/>
    <m/>
    <s v="N"/>
    <n v="9"/>
    <d v="2023-07-04T19:01:04"/>
    <s v="Y"/>
    <s v="Solicitor Travel Mileage"/>
    <s v="Non Family Hourly Rates"/>
    <s v="Non Expert Disbursement"/>
    <s v="JEB"/>
    <s v="Y"/>
    <n v="7.2"/>
    <n v="1.44"/>
    <x v="1"/>
    <s v="VALIDATED"/>
    <n v="1"/>
    <s v="01.11.80.209.6300.0000"/>
    <n v="7.2"/>
    <s v="11"/>
    <s v="6300"/>
    <n v="11099.38"/>
    <n v="7.2"/>
    <s v="CREDITOR"/>
    <n v="0"/>
    <n v="0"/>
    <n v="0"/>
    <n v="0"/>
    <n v="7.2"/>
  </r>
  <r>
    <n v="40182202"/>
    <s v="N"/>
    <n v="21328109"/>
    <s v="3000010797840006"/>
    <s v="CIVIL"/>
    <d v="2023-06-23T00:00:00"/>
    <d v="2023-07-04T19:00:44"/>
    <m/>
    <d v="2023-07-04T00:00:00"/>
    <n v="2002"/>
    <n v="14447"/>
    <s v="40182202"/>
    <s v="40182202"/>
    <m/>
    <m/>
    <n v="22755060"/>
    <m/>
    <m/>
    <m/>
    <s v="SOLFIN"/>
    <s v="SOLFIN"/>
    <s v="CCMS"/>
    <n v="21328109"/>
    <n v="9969.59"/>
    <m/>
    <s v="N"/>
    <n v="25"/>
    <d v="2023-07-04T19:01:04"/>
    <s v="Y"/>
    <s v="Attendance upon other"/>
    <s v="Non Family Hourly Rates"/>
    <s v="Profit Cost"/>
    <s v="JB"/>
    <s v="Y"/>
    <n v="52.65"/>
    <n v="10.53"/>
    <x v="1"/>
    <s v="VALIDATED"/>
    <n v="1"/>
    <s v="01.11.80.209.6100.0000"/>
    <n v="52.65"/>
    <s v="11"/>
    <s v="6100"/>
    <n v="11099.38"/>
    <n v="52.65"/>
    <s v="CREDITOR"/>
    <n v="0"/>
    <n v="0"/>
    <n v="0"/>
    <n v="0"/>
    <n v="52.65"/>
  </r>
  <r>
    <n v="40182202"/>
    <s v="N"/>
    <n v="21328109"/>
    <s v="3000010797840006"/>
    <s v="CIVIL"/>
    <d v="2023-06-23T00:00:00"/>
    <d v="2023-07-04T19:00:44"/>
    <m/>
    <d v="2023-07-04T00:00:00"/>
    <n v="2002"/>
    <n v="14447"/>
    <s v="40182202"/>
    <s v="40182202"/>
    <m/>
    <m/>
    <n v="22755060"/>
    <m/>
    <m/>
    <m/>
    <s v="SOLFIN"/>
    <s v="SOLFIN"/>
    <s v="CCMS"/>
    <n v="21328109"/>
    <n v="9969.59"/>
    <m/>
    <s v="N"/>
    <n v="103"/>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56242567"/>
    <s v="N"/>
    <n v="21343963"/>
    <s v="3000013348520008"/>
    <s v="CIVIL"/>
    <d v="2023-06-27T00:00:00"/>
    <d v="2023-07-07T19:03:00"/>
    <m/>
    <d v="2023-07-07T00:00:00"/>
    <n v="2002"/>
    <n v="14447"/>
    <s v="56242567"/>
    <s v="56242567"/>
    <m/>
    <m/>
    <n v="22773262"/>
    <m/>
    <m/>
    <m/>
    <s v="SOLFIN"/>
    <s v="SOLFIN"/>
    <s v="CCMS"/>
    <n v="21343963"/>
    <n v="5409.2"/>
    <m/>
    <s v="N"/>
    <n v="11"/>
    <d v="2023-07-07T19:03:18"/>
    <s v="Y"/>
    <s v="Hearing Unit 1.01 - 2.30 Hours"/>
    <s v="Public Law Children"/>
    <s v="Advocacy"/>
    <s v="JB"/>
    <s v="Y"/>
    <n v="238.46"/>
    <n v="47.69"/>
    <x v="9"/>
    <s v="VALIDATED"/>
    <n v="1"/>
    <s v="01.11.80.308.6100.0000"/>
    <n v="238.46"/>
    <s v="11"/>
    <s v="6100"/>
    <n v="11099.38"/>
    <n v="238.46"/>
    <s v="CREDITOR"/>
    <n v="0"/>
    <n v="0"/>
    <n v="0"/>
    <n v="0"/>
    <n v="238.46"/>
  </r>
  <r>
    <n v="40182202"/>
    <s v="N"/>
    <n v="21328109"/>
    <s v="3000010797840006"/>
    <s v="CIVIL"/>
    <d v="2023-06-23T00:00:00"/>
    <d v="2023-07-04T19:00:44"/>
    <m/>
    <d v="2023-07-04T00:00:00"/>
    <n v="2002"/>
    <n v="14447"/>
    <s v="40182202"/>
    <s v="40182202"/>
    <m/>
    <m/>
    <n v="22755060"/>
    <m/>
    <m/>
    <m/>
    <s v="SOLFIN"/>
    <s v="SOLFIN"/>
    <s v="CCMS"/>
    <n v="21328109"/>
    <n v="9969.59"/>
    <m/>
    <s v="N"/>
    <n v="105"/>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120"/>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127"/>
    <d v="2023-07-04T19:01:04"/>
    <s v="Y"/>
    <s v="Preparation - drafting notice(s)"/>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73"/>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61727758"/>
    <s v="N"/>
    <n v="21328275"/>
    <s v="3000015814260006"/>
    <s v="CIVIL"/>
    <d v="2023-06-27T00:00:00"/>
    <d v="2023-07-04T19:00:44"/>
    <m/>
    <d v="2023-07-04T00:00:00"/>
    <n v="2002"/>
    <n v="14447"/>
    <s v="61727758"/>
    <s v="61727758"/>
    <m/>
    <m/>
    <n v="22773066"/>
    <m/>
    <m/>
    <m/>
    <s v="SOLFIN"/>
    <s v="SOLFIN"/>
    <s v="CCMS"/>
    <n v="21328275"/>
    <n v="6397.05"/>
    <m/>
    <s v="N"/>
    <n v="7"/>
    <d v="2023-07-04T19:01:11"/>
    <s v="Y"/>
    <s v="Hearing Unit 2.31 - 5.00 Hours"/>
    <s v="Public Law Children"/>
    <s v="Advocacy"/>
    <s v="LG"/>
    <s v="Y"/>
    <n v="476.92"/>
    <n v="95.38"/>
    <x v="1"/>
    <s v="VALIDATED"/>
    <n v="1"/>
    <s v="01.11.80.308.6100.0000"/>
    <n v="476.92"/>
    <s v="11"/>
    <s v="6100"/>
    <n v="11099.38"/>
    <n v="476.92"/>
    <s v="CREDITOR"/>
    <n v="0"/>
    <n v="0"/>
    <n v="0"/>
    <n v="0"/>
    <n v="476.92"/>
  </r>
  <r>
    <n v="61727758"/>
    <s v="N"/>
    <n v="21328275"/>
    <s v="3000015814260006"/>
    <s v="CIVIL"/>
    <d v="2023-06-27T00:00:00"/>
    <d v="2023-07-04T19:00:44"/>
    <m/>
    <d v="2023-07-04T00:00:00"/>
    <n v="2002"/>
    <n v="14447"/>
    <s v="61727758"/>
    <s v="61727758"/>
    <m/>
    <m/>
    <n v="22773066"/>
    <m/>
    <m/>
    <m/>
    <s v="SOLFIN"/>
    <s v="SOLFIN"/>
    <s v="CCMS"/>
    <n v="21328275"/>
    <n v="6397.05"/>
    <m/>
    <s v="N"/>
    <n v="1"/>
    <d v="2023-07-04T19:01:11"/>
    <s v="Y"/>
    <s v="Solicitors Fixed Fee"/>
    <s v="Public Law Children"/>
    <s v="Profit Cost"/>
    <s v="JB"/>
    <s v="Y"/>
    <n v="1911"/>
    <n v="382.2"/>
    <x v="1"/>
    <s v="VALIDATED"/>
    <n v="1"/>
    <s v="01.11.80.308.6100.0000"/>
    <n v="1911"/>
    <s v="11"/>
    <s v="6100"/>
    <n v="11099.38"/>
    <n v="1911"/>
    <s v="CREDITOR"/>
    <n v="0"/>
    <n v="0"/>
    <n v="0"/>
    <n v="0"/>
    <n v="1911"/>
  </r>
  <r>
    <n v="40182202"/>
    <s v="N"/>
    <n v="21328109"/>
    <s v="3000010797840006"/>
    <s v="CIVIL"/>
    <d v="2023-06-23T00:00:00"/>
    <d v="2023-07-04T19:00:44"/>
    <m/>
    <d v="2023-07-04T00:00:00"/>
    <n v="2002"/>
    <n v="14447"/>
    <s v="40182202"/>
    <s v="40182202"/>
    <m/>
    <m/>
    <n v="22755060"/>
    <m/>
    <m/>
    <m/>
    <s v="SOLFIN"/>
    <s v="SOLFIN"/>
    <s v="CCMS"/>
    <n v="21328109"/>
    <n v="9969.59"/>
    <m/>
    <s v="N"/>
    <n v="3"/>
    <d v="2023-07-04T19:01:04"/>
    <s v="Y"/>
    <s v="Solicitor Travel Expenses"/>
    <s v="Non Family Hourly Rates"/>
    <s v="Non Expert Disbursement"/>
    <s v="JEB"/>
    <s v="Y"/>
    <n v="4.5"/>
    <n v="0.9"/>
    <x v="1"/>
    <s v="VALIDATED"/>
    <n v="1"/>
    <s v="01.11.80.209.6300.0000"/>
    <n v="4.5"/>
    <s v="11"/>
    <s v="6300"/>
    <n v="11099.38"/>
    <n v="4.5"/>
    <s v="CREDITOR"/>
    <n v="0"/>
    <n v="0"/>
    <n v="0"/>
    <n v="0"/>
    <n v="4.5"/>
  </r>
  <r>
    <n v="40182202"/>
    <s v="N"/>
    <n v="21328109"/>
    <s v="3000010797840006"/>
    <s v="CIVIL"/>
    <d v="2023-06-23T00:00:00"/>
    <d v="2023-07-04T19:00:44"/>
    <m/>
    <d v="2023-07-04T00:00:00"/>
    <n v="2002"/>
    <n v="14447"/>
    <s v="40182202"/>
    <s v="40182202"/>
    <m/>
    <m/>
    <n v="22755060"/>
    <m/>
    <m/>
    <m/>
    <s v="SOLFIN"/>
    <s v="SOLFIN"/>
    <s v="CCMS"/>
    <n v="21328109"/>
    <n v="9969.59"/>
    <m/>
    <s v="N"/>
    <n v="17"/>
    <d v="2023-07-04T19:01:04"/>
    <s v="Y"/>
    <s v="Attendance upon client"/>
    <s v="Non Family Hourly Rates"/>
    <s v="Profit Cost"/>
    <s v="JB"/>
    <s v="Y"/>
    <n v="70.2"/>
    <n v="14.04"/>
    <x v="1"/>
    <s v="VALIDATED"/>
    <n v="1"/>
    <s v="01.11.80.209.6100.0000"/>
    <n v="70.2"/>
    <s v="11"/>
    <s v="6100"/>
    <n v="11099.38"/>
    <n v="70.2"/>
    <s v="CREDITOR"/>
    <n v="0"/>
    <n v="0"/>
    <n v="0"/>
    <n v="0"/>
    <n v="70.2"/>
  </r>
  <r>
    <n v="62390655"/>
    <s v="N"/>
    <n v="21320558"/>
    <s v="3000016367140002"/>
    <s v="CIVIL"/>
    <d v="2023-06-28T00:00:00"/>
    <d v="2023-07-03T19:04:52"/>
    <m/>
    <d v="2023-07-03T00:00:00"/>
    <n v="2002"/>
    <n v="14447"/>
    <s v="62390655"/>
    <s v="62390655"/>
    <m/>
    <m/>
    <n v="22779194"/>
    <m/>
    <m/>
    <m/>
    <s v="SOLPOA"/>
    <s v="SOLPOA"/>
    <s v="CCMS"/>
    <n v="21320558"/>
    <n v="232"/>
    <m/>
    <s v="N"/>
    <n v="1"/>
    <d v="2023-07-03T19:04:55"/>
    <s v="N"/>
    <s v="Non Expert Disbursement - Private L"/>
    <s v="Non Expert Disbursement - Priv"/>
    <s v="Non Expert Disbursement"/>
    <s v="FHA"/>
    <s v="N"/>
    <n v="232"/>
    <n v="0"/>
    <x v="3"/>
    <s v="VALIDATED"/>
    <n v="1"/>
    <s v="01.11.80.307.2012.0000"/>
    <n v="232"/>
    <s v="11"/>
    <s v="2012"/>
    <n v="11099.38"/>
    <n v="232"/>
    <s v="CREDITOR"/>
    <n v="232"/>
    <n v="0"/>
    <n v="0"/>
    <n v="0"/>
    <n v="0"/>
  </r>
  <r>
    <n v="40182202"/>
    <s v="N"/>
    <n v="21328109"/>
    <s v="3000010797840006"/>
    <s v="CIVIL"/>
    <d v="2023-06-23T00:00:00"/>
    <d v="2023-07-04T19:00:44"/>
    <m/>
    <d v="2023-07-04T00:00:00"/>
    <n v="2002"/>
    <n v="14447"/>
    <s v="40182202"/>
    <s v="40182202"/>
    <m/>
    <m/>
    <n v="22755060"/>
    <m/>
    <m/>
    <m/>
    <s v="SOLFIN"/>
    <s v="SOLFIN"/>
    <s v="CCMS"/>
    <n v="21328109"/>
    <n v="9969.59"/>
    <m/>
    <s v="N"/>
    <n v="114"/>
    <d v="2023-07-04T19:01:04"/>
    <s v="Y"/>
    <s v="Preparation - drafting consent orde"/>
    <s v="Non Family Hourly Rates"/>
    <s v="Profit Cost"/>
    <s v="JB"/>
    <s v="Y"/>
    <n v="61.43"/>
    <n v="12.29"/>
    <x v="1"/>
    <s v="VALIDATED"/>
    <n v="1"/>
    <s v="01.11.80.209.6100.0000"/>
    <n v="61.43"/>
    <s v="11"/>
    <s v="6100"/>
    <n v="11099.38"/>
    <n v="61.43"/>
    <s v="CREDITOR"/>
    <n v="0"/>
    <n v="0"/>
    <n v="0"/>
    <n v="0"/>
    <n v="61.43"/>
  </r>
  <r>
    <n v="40182202"/>
    <s v="N"/>
    <n v="21328109"/>
    <s v="3000010797840006"/>
    <s v="CIVIL"/>
    <d v="2023-06-23T00:00:00"/>
    <d v="2023-07-04T19:00:44"/>
    <m/>
    <d v="2023-07-04T00:00:00"/>
    <n v="2002"/>
    <n v="14447"/>
    <s v="40182202"/>
    <s v="40182202"/>
    <m/>
    <m/>
    <n v="22755060"/>
    <m/>
    <m/>
    <m/>
    <s v="SOLFIN"/>
    <s v="SOLFIN"/>
    <s v="CCMS"/>
    <n v="21328109"/>
    <n v="9969.59"/>
    <m/>
    <s v="N"/>
    <n v="55"/>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97"/>
    <d v="2023-07-04T19:01:04"/>
    <s v="Y"/>
    <s v="Attendance upon client"/>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48"/>
    <d v="2023-07-04T19:01:04"/>
    <s v="Y"/>
    <s v="Preparation - drafting consent orde"/>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59"/>
    <d v="2023-07-04T19:01:04"/>
    <s v="Y"/>
    <s v="Preparation - other"/>
    <s v="Non Family Hourly Rates"/>
    <s v="Profit Cost"/>
    <s v="JB"/>
    <s v="Y"/>
    <n v="35.1"/>
    <n v="7.02"/>
    <x v="1"/>
    <s v="VALIDATED"/>
    <n v="1"/>
    <s v="01.11.80.209.6100.0000"/>
    <n v="35.1"/>
    <s v="11"/>
    <s v="6100"/>
    <n v="11099.38"/>
    <n v="35.1"/>
    <s v="CREDITOR"/>
    <n v="0"/>
    <n v="0"/>
    <n v="0"/>
    <n v="0"/>
    <n v="35.1"/>
  </r>
  <r>
    <n v="40182202"/>
    <s v="N"/>
    <n v="21328109"/>
    <s v="3000010797840006"/>
    <s v="CIVIL"/>
    <d v="2023-06-23T00:00:00"/>
    <d v="2023-07-04T19:00:44"/>
    <m/>
    <d v="2023-07-04T00:00:00"/>
    <n v="2002"/>
    <n v="14447"/>
    <s v="40182202"/>
    <s v="40182202"/>
    <m/>
    <m/>
    <n v="22755060"/>
    <m/>
    <m/>
    <m/>
    <s v="SOLFIN"/>
    <s v="SOLFIN"/>
    <s v="CCMS"/>
    <n v="21328109"/>
    <n v="9969.59"/>
    <m/>
    <s v="N"/>
    <n v="94"/>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83"/>
    <d v="2023-07-04T19:01:04"/>
    <s v="Y"/>
    <s v="Preparation - other"/>
    <s v="Non Family Hourly Rates"/>
    <s v="Profit Cost"/>
    <s v="RH"/>
    <s v="Y"/>
    <n v="13.5"/>
    <n v="2.7"/>
    <x v="1"/>
    <s v="VALIDATED"/>
    <n v="1"/>
    <s v="01.11.80.209.6100.0000"/>
    <n v="13.5"/>
    <s v="11"/>
    <s v="6100"/>
    <n v="11099.38"/>
    <n v="13.5"/>
    <s v="CREDITOR"/>
    <n v="0"/>
    <n v="0"/>
    <n v="0"/>
    <n v="0"/>
    <n v="13.5"/>
  </r>
  <r>
    <n v="40182202"/>
    <s v="N"/>
    <n v="21328109"/>
    <s v="3000010797840006"/>
    <s v="CIVIL"/>
    <d v="2023-06-23T00:00:00"/>
    <d v="2023-07-04T19:00:44"/>
    <m/>
    <d v="2023-07-04T00:00:00"/>
    <n v="2002"/>
    <n v="14447"/>
    <s v="40182202"/>
    <s v="40182202"/>
    <m/>
    <m/>
    <n v="22755060"/>
    <m/>
    <m/>
    <m/>
    <s v="SOLFIN"/>
    <s v="SOLFIN"/>
    <s v="CCMS"/>
    <n v="21328109"/>
    <n v="9969.59"/>
    <m/>
    <s v="N"/>
    <n v="115"/>
    <d v="2023-07-04T19:01:04"/>
    <s v="Y"/>
    <s v="Travel to attend client"/>
    <s v="Non Family Hourly Rates"/>
    <s v="Profit Cost"/>
    <s v="JB"/>
    <s v="Y"/>
    <n v="17.96"/>
    <n v="3.59"/>
    <x v="1"/>
    <s v="VALIDATED"/>
    <n v="1"/>
    <s v="01.11.80.209.6100.0000"/>
    <n v="17.96"/>
    <s v="11"/>
    <s v="6100"/>
    <n v="11099.38"/>
    <n v="17.96"/>
    <s v="CREDITOR"/>
    <n v="0"/>
    <n v="0"/>
    <n v="0"/>
    <n v="0"/>
    <n v="17.96"/>
  </r>
  <r>
    <n v="40182202"/>
    <s v="N"/>
    <n v="21328109"/>
    <s v="3000010797840006"/>
    <s v="CIVIL"/>
    <d v="2023-06-23T00:00:00"/>
    <d v="2023-07-04T19:00:44"/>
    <m/>
    <d v="2023-07-04T00:00:00"/>
    <n v="2002"/>
    <n v="14447"/>
    <s v="40182202"/>
    <s v="40182202"/>
    <m/>
    <m/>
    <n v="22755060"/>
    <m/>
    <m/>
    <m/>
    <s v="SOLFIN"/>
    <s v="SOLFIN"/>
    <s v="CCMS"/>
    <n v="21328109"/>
    <n v="9969.59"/>
    <m/>
    <s v="N"/>
    <n v="125"/>
    <d v="2023-07-04T19:01:04"/>
    <s v="Y"/>
    <s v="Preparation - other"/>
    <s v="Non Family Hourly Rates"/>
    <s v="Profit Cost"/>
    <s v="JB"/>
    <s v="Y"/>
    <n v="13.5"/>
    <n v="2.7"/>
    <x v="1"/>
    <s v="VALIDATED"/>
    <n v="1"/>
    <s v="01.11.80.209.6100.0000"/>
    <n v="13.5"/>
    <s v="11"/>
    <s v="6100"/>
    <n v="11099.38"/>
    <n v="13.5"/>
    <s v="CREDITOR"/>
    <n v="0"/>
    <n v="0"/>
    <n v="0"/>
    <n v="0"/>
    <n v="13.5"/>
  </r>
  <r>
    <n v="61727758"/>
    <s v="N"/>
    <n v="21328275"/>
    <s v="3000015814260006"/>
    <s v="CIVIL"/>
    <d v="2023-06-27T00:00:00"/>
    <d v="2023-07-04T19:00:44"/>
    <m/>
    <d v="2023-07-04T00:00:00"/>
    <n v="2002"/>
    <n v="14447"/>
    <s v="61727758"/>
    <s v="61727758"/>
    <m/>
    <m/>
    <n v="22773066"/>
    <m/>
    <m/>
    <m/>
    <s v="SOLFIN"/>
    <s v="SOLFIN"/>
    <s v="CCMS"/>
    <n v="21328275"/>
    <n v="6397.05"/>
    <m/>
    <s v="N"/>
    <n v="13"/>
    <d v="2023-07-04T19:01:11"/>
    <s v="Y"/>
    <s v="Final Hearing Court Bundle/Advocate"/>
    <s v="Public Law Children"/>
    <s v="Advocacy"/>
    <s v="JB"/>
    <s v="Y"/>
    <n v="159.3"/>
    <n v="31.86"/>
    <x v="1"/>
    <s v="VALIDATED"/>
    <n v="1"/>
    <s v="01.11.80.308.6100.0000"/>
    <n v="159.3"/>
    <s v="11"/>
    <s v="6100"/>
    <n v="11099.38"/>
    <n v="159.3"/>
    <s v="CREDITOR"/>
    <n v="0"/>
    <n v="0"/>
    <n v="0"/>
    <n v="0"/>
    <n v="159.3"/>
  </r>
  <r>
    <n v="40182202"/>
    <s v="N"/>
    <n v="21328109"/>
    <s v="3000010797840006"/>
    <s v="CIVIL"/>
    <d v="2023-06-23T00:00:00"/>
    <d v="2023-07-04T19:00:44"/>
    <m/>
    <d v="2023-07-04T00:00:00"/>
    <n v="2002"/>
    <n v="14447"/>
    <s v="40182202"/>
    <s v="40182202"/>
    <m/>
    <m/>
    <n v="22755060"/>
    <m/>
    <m/>
    <m/>
    <s v="SOLFIN"/>
    <s v="SOLFIN"/>
    <s v="CCMS"/>
    <n v="21328109"/>
    <n v="9969.59"/>
    <m/>
    <s v="N"/>
    <n v="129"/>
    <d v="2023-07-04T19:01:04"/>
    <s v="Y"/>
    <s v="Routine Letter Out"/>
    <s v="Non Family Hourly Rates"/>
    <s v="Profit Cost"/>
    <s v="JB"/>
    <s v="Y"/>
    <n v="3280.5"/>
    <n v="656.08"/>
    <x v="1"/>
    <s v="VALIDATED"/>
    <n v="1"/>
    <s v="01.11.80.209.6100.0000"/>
    <n v="3280.5"/>
    <s v="11"/>
    <s v="6100"/>
    <n v="11099.38"/>
    <n v="3280.5"/>
    <s v="CREDITOR"/>
    <n v="0"/>
    <n v="0"/>
    <n v="0"/>
    <n v="0"/>
    <n v="3280.5"/>
  </r>
  <r>
    <n v="40182202"/>
    <s v="N"/>
    <n v="21328109"/>
    <s v="3000010797840006"/>
    <s v="CIVIL"/>
    <d v="2023-06-23T00:00:00"/>
    <d v="2023-07-04T19:00:44"/>
    <m/>
    <d v="2023-07-04T00:00:00"/>
    <n v="2002"/>
    <n v="14447"/>
    <s v="40182202"/>
    <s v="40182202"/>
    <m/>
    <m/>
    <n v="22755060"/>
    <m/>
    <m/>
    <m/>
    <s v="SOLFIN"/>
    <s v="SOLFIN"/>
    <s v="CCMS"/>
    <n v="21328109"/>
    <n v="9969.59"/>
    <m/>
    <s v="N"/>
    <n v="68"/>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110"/>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79"/>
    <d v="2023-07-04T19:01:04"/>
    <s v="Y"/>
    <s v="Report - Medical report"/>
    <s v="Non Family Hourly Rates"/>
    <s v="Profit Cost"/>
    <s v="JB"/>
    <s v="Y"/>
    <n v="35.1"/>
    <n v="7.02"/>
    <x v="1"/>
    <s v="VALIDATED"/>
    <n v="1"/>
    <s v="01.11.80.209.6100.0000"/>
    <n v="35.1"/>
    <s v="11"/>
    <s v="6100"/>
    <n v="11099.38"/>
    <n v="35.1"/>
    <s v="CREDITOR"/>
    <n v="0"/>
    <n v="0"/>
    <n v="0"/>
    <n v="0"/>
    <n v="35.1"/>
  </r>
  <r>
    <n v="40182202"/>
    <s v="N"/>
    <n v="21328109"/>
    <s v="3000010797840006"/>
    <s v="CIVIL"/>
    <d v="2023-06-23T00:00:00"/>
    <d v="2023-07-04T19:00:44"/>
    <m/>
    <d v="2023-07-04T00:00:00"/>
    <n v="2002"/>
    <n v="14447"/>
    <s v="40182202"/>
    <s v="40182202"/>
    <m/>
    <m/>
    <n v="22755060"/>
    <m/>
    <m/>
    <m/>
    <s v="SOLFIN"/>
    <s v="SOLFIN"/>
    <s v="CCMS"/>
    <n v="21328109"/>
    <n v="9969.59"/>
    <m/>
    <s v="N"/>
    <n v="82"/>
    <d v="2023-07-04T19:01:04"/>
    <s v="Y"/>
    <s v="Attendance upon client"/>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58"/>
    <d v="2023-07-04T19:01:04"/>
    <s v="Y"/>
    <s v="Preparation - other"/>
    <s v="Non Family Hourly Rates"/>
    <s v="Profit Cost"/>
    <s v="JB"/>
    <s v="Y"/>
    <n v="70.2"/>
    <n v="14.04"/>
    <x v="1"/>
    <s v="VALIDATED"/>
    <n v="1"/>
    <s v="01.11.80.209.6100.0000"/>
    <n v="70.2"/>
    <s v="11"/>
    <s v="6100"/>
    <n v="11099.38"/>
    <n v="70.2"/>
    <s v="CREDITOR"/>
    <n v="0"/>
    <n v="0"/>
    <n v="0"/>
    <n v="0"/>
    <n v="70.2"/>
  </r>
  <r>
    <n v="61727758"/>
    <s v="N"/>
    <n v="21328275"/>
    <s v="3000015814260006"/>
    <s v="CIVIL"/>
    <d v="2023-06-27T00:00:00"/>
    <d v="2023-07-04T19:00:44"/>
    <m/>
    <d v="2023-07-04T00:00:00"/>
    <n v="2002"/>
    <n v="14447"/>
    <s v="61727758"/>
    <s v="61727758"/>
    <m/>
    <m/>
    <n v="22773066"/>
    <m/>
    <m/>
    <m/>
    <s v="SOLFIN"/>
    <s v="SOLFIN"/>
    <s v="CCMS"/>
    <n v="21328275"/>
    <n v="6397.05"/>
    <m/>
    <s v="N"/>
    <n v="11"/>
    <d v="2023-07-04T19:01:11"/>
    <s v="Y"/>
    <s v="Advocates Meeting"/>
    <s v="Public Law Children"/>
    <s v="Advocacy"/>
    <s v="JB"/>
    <s v="Y"/>
    <n v="140.99"/>
    <n v="28.2"/>
    <x v="1"/>
    <s v="VALIDATED"/>
    <n v="1"/>
    <s v="01.11.80.308.6100.0000"/>
    <n v="140.99"/>
    <s v="11"/>
    <s v="6100"/>
    <n v="11099.38"/>
    <n v="140.99"/>
    <s v="CREDITOR"/>
    <n v="0"/>
    <n v="0"/>
    <n v="0"/>
    <n v="0"/>
    <n v="140.99"/>
  </r>
  <r>
    <n v="62408762"/>
    <s v="N"/>
    <n v="21320951"/>
    <s v="3000016381990001"/>
    <s v="CIVIL"/>
    <d v="2023-06-28T00:00:00"/>
    <d v="2023-07-03T19:04:52"/>
    <m/>
    <d v="2023-07-03T00:00:00"/>
    <n v="2002"/>
    <n v="14447"/>
    <s v="62408762"/>
    <s v="62408762"/>
    <m/>
    <m/>
    <n v="22779560"/>
    <m/>
    <m/>
    <m/>
    <s v="SOLPOA"/>
    <s v="SOLPOA"/>
    <s v="CCMS"/>
    <n v="21320951"/>
    <n v="167"/>
    <m/>
    <s v="N"/>
    <n v="1"/>
    <d v="2023-07-03T19:04:57"/>
    <s v="N"/>
    <s v="Non Expert Disbursement - Private L"/>
    <s v="Non Expert Disbursement - Priv"/>
    <s v="Non Expert Disbursement"/>
    <s v="FHA"/>
    <s v="N"/>
    <n v="167"/>
    <n v="0"/>
    <x v="3"/>
    <s v="VALIDATED"/>
    <n v="1"/>
    <s v="01.11.80.302.2012.0000"/>
    <n v="167"/>
    <s v="11"/>
    <s v="2012"/>
    <n v="11099.38"/>
    <n v="167"/>
    <s v="CREDITOR"/>
    <n v="167"/>
    <n v="0"/>
    <n v="0"/>
    <n v="0"/>
    <n v="0"/>
  </r>
  <r>
    <n v="40182202"/>
    <s v="N"/>
    <n v="21328109"/>
    <s v="3000010797840006"/>
    <s v="CIVIL"/>
    <d v="2023-06-23T00:00:00"/>
    <d v="2023-07-04T19:00:44"/>
    <m/>
    <d v="2023-07-04T00:00:00"/>
    <n v="2002"/>
    <n v="14447"/>
    <s v="40182202"/>
    <s v="40182202"/>
    <m/>
    <m/>
    <n v="22755060"/>
    <m/>
    <m/>
    <m/>
    <s v="SOLFIN"/>
    <s v="SOLFIN"/>
    <s v="CCMS"/>
    <n v="21328109"/>
    <n v="9969.59"/>
    <m/>
    <s v="N"/>
    <n v="26"/>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51"/>
    <d v="2023-07-04T19:01:04"/>
    <s v="Y"/>
    <s v="Attendance upon client"/>
    <s v="Non Family Hourly Rates"/>
    <s v="Profit Cost"/>
    <s v="JB"/>
    <s v="Y"/>
    <n v="43.88"/>
    <n v="8.779999999999999"/>
    <x v="1"/>
    <s v="VALIDATED"/>
    <n v="1"/>
    <s v="01.11.80.209.6100.0000"/>
    <n v="43.88"/>
    <s v="11"/>
    <s v="6100"/>
    <n v="11099.38"/>
    <n v="43.88"/>
    <s v="CREDITOR"/>
    <n v="0"/>
    <n v="0"/>
    <n v="0"/>
    <n v="0"/>
    <n v="43.88"/>
  </r>
  <r>
    <n v="40182202"/>
    <s v="N"/>
    <n v="21328109"/>
    <s v="3000010797840006"/>
    <s v="CIVIL"/>
    <d v="2023-06-23T00:00:00"/>
    <d v="2023-07-04T19:00:44"/>
    <m/>
    <d v="2023-07-04T00:00:00"/>
    <n v="2002"/>
    <n v="14447"/>
    <s v="40182202"/>
    <s v="40182202"/>
    <m/>
    <m/>
    <n v="22755060"/>
    <m/>
    <m/>
    <m/>
    <s v="SOLFIN"/>
    <s v="SOLFIN"/>
    <s v="CCMS"/>
    <n v="21328109"/>
    <n v="9969.59"/>
    <m/>
    <s v="N"/>
    <n v="65"/>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27"/>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54"/>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100"/>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41"/>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87"/>
    <d v="2023-07-04T19:01:04"/>
    <s v="Y"/>
    <s v="Attendance upon client"/>
    <s v="Non Family Hourly Rates"/>
    <s v="Profit Cost"/>
    <s v="JB"/>
    <s v="Y"/>
    <n v="87.75"/>
    <n v="17.55"/>
    <x v="1"/>
    <s v="VALIDATED"/>
    <n v="1"/>
    <s v="01.11.80.209.6100.0000"/>
    <n v="87.75"/>
    <s v="11"/>
    <s v="6100"/>
    <n v="11099.38"/>
    <n v="87.75"/>
    <s v="CREDITOR"/>
    <n v="0"/>
    <n v="0"/>
    <n v="0"/>
    <n v="0"/>
    <n v="87.75"/>
  </r>
  <r>
    <n v="40182202"/>
    <s v="N"/>
    <n v="21328109"/>
    <s v="3000010797840006"/>
    <s v="CIVIL"/>
    <d v="2023-06-23T00:00:00"/>
    <d v="2023-07-04T19:00:44"/>
    <m/>
    <d v="2023-07-04T00:00:00"/>
    <n v="2002"/>
    <n v="14447"/>
    <s v="40182202"/>
    <s v="40182202"/>
    <m/>
    <m/>
    <n v="22755060"/>
    <m/>
    <m/>
    <m/>
    <s v="SOLFIN"/>
    <s v="SOLFIN"/>
    <s v="CCMS"/>
    <n v="21328109"/>
    <n v="9969.59"/>
    <m/>
    <s v="N"/>
    <n v="23"/>
    <d v="2023-07-04T19:01:04"/>
    <s v="Y"/>
    <s v="Preparation - drafting consent orde"/>
    <s v="Non Family Hourly Rates"/>
    <s v="Profit Cost"/>
    <s v="JB"/>
    <s v="Y"/>
    <n v="35.1"/>
    <n v="7.02"/>
    <x v="1"/>
    <s v="VALIDATED"/>
    <n v="1"/>
    <s v="01.11.80.209.6100.0000"/>
    <n v="35.1"/>
    <s v="11"/>
    <s v="6100"/>
    <n v="11099.38"/>
    <n v="35.1"/>
    <s v="CREDITOR"/>
    <n v="0"/>
    <n v="0"/>
    <n v="0"/>
    <n v="0"/>
    <n v="35.1"/>
  </r>
  <r>
    <n v="56242567"/>
    <s v="N"/>
    <n v="21343963"/>
    <s v="3000013348520008"/>
    <s v="CIVIL"/>
    <d v="2023-06-27T00:00:00"/>
    <d v="2023-07-07T19:03:00"/>
    <m/>
    <d v="2023-07-07T00:00:00"/>
    <n v="2002"/>
    <n v="14447"/>
    <s v="56242567"/>
    <s v="56242567"/>
    <m/>
    <m/>
    <n v="22773262"/>
    <m/>
    <m/>
    <m/>
    <s v="SOLFIN"/>
    <s v="SOLFIN"/>
    <s v="CCMS"/>
    <n v="21343963"/>
    <n v="5409.2"/>
    <m/>
    <s v="N"/>
    <n v="7"/>
    <d v="2023-07-07T19:03:18"/>
    <s v="Y"/>
    <s v="Advocates Meeting"/>
    <s v="Public Law Children"/>
    <s v="Advocacy"/>
    <s v="JB"/>
    <s v="Y"/>
    <n v="140.99"/>
    <n v="28.2"/>
    <x v="9"/>
    <s v="VALIDATED"/>
    <n v="1"/>
    <s v="01.11.80.308.6100.0000"/>
    <n v="140.99"/>
    <s v="11"/>
    <s v="6100"/>
    <n v="11099.38"/>
    <n v="140.99"/>
    <s v="CREDITOR"/>
    <n v="0"/>
    <n v="0"/>
    <n v="0"/>
    <n v="0"/>
    <n v="140.99"/>
  </r>
  <r>
    <n v="61727758"/>
    <s v="N"/>
    <n v="21328275"/>
    <s v="3000015814260006"/>
    <s v="CIVIL"/>
    <d v="2023-06-27T00:00:00"/>
    <d v="2023-07-04T19:00:44"/>
    <m/>
    <d v="2023-07-04T00:00:00"/>
    <n v="2002"/>
    <n v="14447"/>
    <s v="61727758"/>
    <s v="61727758"/>
    <m/>
    <m/>
    <n v="22773066"/>
    <m/>
    <m/>
    <m/>
    <s v="SOLFIN"/>
    <s v="SOLFIN"/>
    <s v="CCMS"/>
    <n v="21328275"/>
    <n v="6397.05"/>
    <m/>
    <s v="N"/>
    <n v="8"/>
    <d v="2023-07-04T19:01:11"/>
    <s v="Y"/>
    <s v="Advocates Meeting"/>
    <s v="Public Law Children"/>
    <s v="Advocacy"/>
    <s v="JB"/>
    <s v="Y"/>
    <n v="140.99"/>
    <n v="28.2"/>
    <x v="1"/>
    <s v="VALIDATED"/>
    <n v="1"/>
    <s v="01.11.80.308.6100.0000"/>
    <n v="140.99"/>
    <s v="11"/>
    <s v="6100"/>
    <n v="11099.38"/>
    <n v="140.99"/>
    <s v="CREDITOR"/>
    <n v="0"/>
    <n v="0"/>
    <n v="0"/>
    <n v="0"/>
    <n v="140.99"/>
  </r>
  <r>
    <n v="40182202"/>
    <s v="N"/>
    <n v="21328109"/>
    <s v="3000010797840006"/>
    <s v="CIVIL"/>
    <d v="2023-06-23T00:00:00"/>
    <d v="2023-07-04T19:00:44"/>
    <m/>
    <d v="2023-07-04T00:00:00"/>
    <n v="2002"/>
    <n v="14447"/>
    <s v="40182202"/>
    <s v="40182202"/>
    <m/>
    <m/>
    <n v="22755060"/>
    <m/>
    <m/>
    <m/>
    <s v="SOLFIN"/>
    <s v="SOLFIN"/>
    <s v="CCMS"/>
    <n v="21328109"/>
    <n v="9969.59"/>
    <m/>
    <s v="N"/>
    <n v="85"/>
    <d v="2023-07-04T19:01:04"/>
    <s v="Y"/>
    <s v="Travel to attend client"/>
    <s v="Non Family Hourly Rates"/>
    <s v="Profit Cost"/>
    <s v="JB"/>
    <s v="Y"/>
    <n v="14.97"/>
    <n v="2.99"/>
    <x v="1"/>
    <s v="VALIDATED"/>
    <n v="1"/>
    <s v="01.11.80.209.6100.0000"/>
    <n v="14.97"/>
    <s v="11"/>
    <s v="6100"/>
    <n v="11099.38"/>
    <n v="14.97"/>
    <s v="CREDITOR"/>
    <n v="0"/>
    <n v="0"/>
    <n v="0"/>
    <n v="0"/>
    <n v="14.97"/>
  </r>
  <r>
    <n v="40182202"/>
    <s v="N"/>
    <n v="21328109"/>
    <s v="3000010797840006"/>
    <s v="CIVIL"/>
    <d v="2023-06-23T00:00:00"/>
    <d v="2023-07-04T19:00:44"/>
    <m/>
    <d v="2023-07-04T00:00:00"/>
    <n v="2002"/>
    <n v="14447"/>
    <s v="40182202"/>
    <s v="40182202"/>
    <m/>
    <m/>
    <n v="22755060"/>
    <m/>
    <m/>
    <m/>
    <s v="SOLFIN"/>
    <s v="SOLFIN"/>
    <s v="CCMS"/>
    <n v="21328109"/>
    <n v="9969.59"/>
    <m/>
    <s v="N"/>
    <n v="98"/>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81"/>
    <d v="2023-07-04T19:01:04"/>
    <s v="Y"/>
    <s v="Attendance upon client"/>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24"/>
    <d v="2023-07-04T19:01:04"/>
    <s v="Y"/>
    <s v="Preparation - drafting consent orde"/>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38"/>
    <d v="2023-07-04T19:01:04"/>
    <s v="Y"/>
    <s v="Preparation - drafting application"/>
    <s v="Non Family Hourly Rates"/>
    <s v="Profit Cost"/>
    <s v="JB"/>
    <s v="Y"/>
    <n v="40.5"/>
    <n v="8.1"/>
    <x v="1"/>
    <s v="VALIDATED"/>
    <n v="1"/>
    <s v="01.11.80.209.6100.0000"/>
    <n v="40.5"/>
    <s v="11"/>
    <s v="6100"/>
    <n v="11099.38"/>
    <n v="40.5"/>
    <s v="CREDITOR"/>
    <n v="0"/>
    <n v="0"/>
    <n v="0"/>
    <n v="0"/>
    <n v="40.5"/>
  </r>
  <r>
    <n v="40182202"/>
    <s v="N"/>
    <n v="21328109"/>
    <s v="3000010797840006"/>
    <s v="CIVIL"/>
    <d v="2023-06-23T00:00:00"/>
    <d v="2023-07-04T19:00:44"/>
    <m/>
    <d v="2023-07-04T00:00:00"/>
    <n v="2002"/>
    <n v="14447"/>
    <s v="40182202"/>
    <s v="40182202"/>
    <m/>
    <m/>
    <n v="22755060"/>
    <m/>
    <m/>
    <m/>
    <s v="SOLFIN"/>
    <s v="SOLFIN"/>
    <s v="CCMS"/>
    <n v="21328109"/>
    <n v="9969.59"/>
    <m/>
    <s v="N"/>
    <n v="53"/>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88"/>
    <d v="2023-07-04T19:01:04"/>
    <s v="Y"/>
    <s v="Preparation - other"/>
    <s v="Non Family Hourly Rates"/>
    <s v="Profit Cost"/>
    <s v="JB"/>
    <s v="Y"/>
    <n v="35.1"/>
    <n v="7.02"/>
    <x v="1"/>
    <s v="VALIDATED"/>
    <n v="1"/>
    <s v="01.11.80.209.6100.0000"/>
    <n v="35.1"/>
    <s v="11"/>
    <s v="6100"/>
    <n v="11099.38"/>
    <n v="35.1"/>
    <s v="CREDITOR"/>
    <n v="0"/>
    <n v="0"/>
    <n v="0"/>
    <n v="0"/>
    <n v="35.1"/>
  </r>
  <r>
    <n v="40182202"/>
    <s v="N"/>
    <n v="21328109"/>
    <s v="3000010797840006"/>
    <s v="CIVIL"/>
    <d v="2023-06-23T00:00:00"/>
    <d v="2023-07-04T19:00:44"/>
    <m/>
    <d v="2023-07-04T00:00:00"/>
    <n v="2002"/>
    <n v="14447"/>
    <s v="40182202"/>
    <s v="40182202"/>
    <m/>
    <m/>
    <n v="22755060"/>
    <m/>
    <m/>
    <m/>
    <s v="SOLFIN"/>
    <s v="SOLFIN"/>
    <s v="CCMS"/>
    <n v="21328109"/>
    <n v="9969.59"/>
    <m/>
    <s v="N"/>
    <n v="113"/>
    <d v="2023-07-04T19:01:04"/>
    <s v="Y"/>
    <s v="Preparation - other"/>
    <s v="Non Family Hourly Rates"/>
    <s v="Profit Cost"/>
    <s v="JB"/>
    <s v="Y"/>
    <n v="26.33"/>
    <n v="5.27"/>
    <x v="1"/>
    <s v="VALIDATED"/>
    <n v="1"/>
    <s v="01.11.80.209.6100.0000"/>
    <n v="26.33"/>
    <s v="11"/>
    <s v="6100"/>
    <n v="11099.38"/>
    <n v="26.33"/>
    <s v="CREDITOR"/>
    <n v="0"/>
    <n v="0"/>
    <n v="0"/>
    <n v="0"/>
    <n v="26.33"/>
  </r>
  <r>
    <n v="61727758"/>
    <s v="N"/>
    <n v="21328275"/>
    <s v="3000015814260006"/>
    <s v="CIVIL"/>
    <d v="2023-06-27T00:00:00"/>
    <d v="2023-07-04T19:00:44"/>
    <m/>
    <d v="2023-07-04T00:00:00"/>
    <n v="2002"/>
    <n v="14447"/>
    <s v="61727758"/>
    <s v="61727758"/>
    <m/>
    <m/>
    <n v="22773066"/>
    <m/>
    <m/>
    <m/>
    <s v="SOLFIN"/>
    <s v="SOLFIN"/>
    <s v="CCMS"/>
    <n v="21328275"/>
    <n v="6397.05"/>
    <m/>
    <s v="N"/>
    <n v="4"/>
    <d v="2023-07-04T19:01:11"/>
    <s v="Y"/>
    <s v="Toxicologist"/>
    <s v="Public Law Children"/>
    <s v="Expert Disbursement"/>
    <s v="JB"/>
    <s v="Y"/>
    <n v="204"/>
    <n v="40.8"/>
    <x v="1"/>
    <s v="VALIDATED"/>
    <n v="1"/>
    <s v="01.11.80.308.6300.0000"/>
    <n v="204"/>
    <s v="11"/>
    <s v="6300"/>
    <n v="11099.38"/>
    <n v="204"/>
    <s v="CREDITOR"/>
    <n v="0"/>
    <n v="0"/>
    <n v="0"/>
    <n v="0"/>
    <n v="204"/>
  </r>
  <r>
    <n v="40182202"/>
    <s v="N"/>
    <n v="21328109"/>
    <s v="3000010797840006"/>
    <s v="CIVIL"/>
    <d v="2023-06-23T00:00:00"/>
    <d v="2023-07-04T19:00:44"/>
    <m/>
    <d v="2023-07-04T00:00:00"/>
    <n v="2002"/>
    <n v="14447"/>
    <s v="40182202"/>
    <s v="40182202"/>
    <m/>
    <m/>
    <n v="22755060"/>
    <m/>
    <m/>
    <m/>
    <s v="SOLFIN"/>
    <s v="SOLFIN"/>
    <s v="CCMS"/>
    <n v="21328109"/>
    <n v="9969.59"/>
    <m/>
    <s v="N"/>
    <n v="69"/>
    <d v="2023-07-04T19:01:04"/>
    <s v="Y"/>
    <s v="Preparation - other"/>
    <s v="Non Family Hourly Rates"/>
    <s v="Profit Cost"/>
    <s v="JB"/>
    <s v="Y"/>
    <n v="43.88"/>
    <n v="8.779999999999999"/>
    <x v="1"/>
    <s v="VALIDATED"/>
    <n v="1"/>
    <s v="01.11.80.209.6100.0000"/>
    <n v="43.88"/>
    <s v="11"/>
    <s v="6100"/>
    <n v="11099.38"/>
    <n v="43.88"/>
    <s v="CREDITOR"/>
    <n v="0"/>
    <n v="0"/>
    <n v="0"/>
    <n v="0"/>
    <n v="43.88"/>
  </r>
  <r>
    <n v="56242567"/>
    <s v="N"/>
    <n v="21343963"/>
    <s v="3000013348520008"/>
    <s v="CIVIL"/>
    <d v="2023-06-27T00:00:00"/>
    <d v="2023-07-07T19:03:00"/>
    <m/>
    <d v="2023-07-07T00:00:00"/>
    <n v="2002"/>
    <n v="14447"/>
    <s v="56242567"/>
    <s v="56242567"/>
    <m/>
    <m/>
    <n v="22773262"/>
    <m/>
    <m/>
    <m/>
    <s v="SOLFIN"/>
    <s v="SOLFIN"/>
    <s v="CCMS"/>
    <n v="21343963"/>
    <n v="5409.2"/>
    <m/>
    <s v="N"/>
    <n v="9"/>
    <d v="2023-07-07T19:03:18"/>
    <s v="Y"/>
    <s v="Hearing Unit 2.31 - 5.00 Hours"/>
    <s v="Public Law Children"/>
    <s v="Advocacy"/>
    <s v="AS"/>
    <s v="Y"/>
    <n v="476.92"/>
    <n v="95.38"/>
    <x v="9"/>
    <s v="VALIDATED"/>
    <n v="1"/>
    <s v="01.11.80.308.6100.0000"/>
    <n v="476.92"/>
    <s v="11"/>
    <s v="6100"/>
    <n v="11099.38"/>
    <n v="476.92"/>
    <s v="CREDITOR"/>
    <n v="0"/>
    <n v="0"/>
    <n v="0"/>
    <n v="0"/>
    <n v="476.92"/>
  </r>
  <r>
    <n v="61727758"/>
    <s v="N"/>
    <n v="21328275"/>
    <s v="3000015814260006"/>
    <s v="CIVIL"/>
    <d v="2023-06-27T00:00:00"/>
    <d v="2023-07-04T19:00:44"/>
    <m/>
    <d v="2023-07-04T00:00:00"/>
    <n v="2002"/>
    <n v="14447"/>
    <s v="61727758"/>
    <s v="61727758"/>
    <m/>
    <m/>
    <n v="22773066"/>
    <m/>
    <m/>
    <m/>
    <s v="SOLFIN"/>
    <s v="SOLFIN"/>
    <s v="CCMS"/>
    <n v="21328275"/>
    <n v="6397.05"/>
    <m/>
    <s v="N"/>
    <n v="6"/>
    <d v="2023-07-04T19:01:11"/>
    <s v="Y"/>
    <s v="Toxicologist"/>
    <s v="Public Law Children"/>
    <s v="Expert Disbursement"/>
    <s v="JB"/>
    <s v="Y"/>
    <n v="60.75"/>
    <n v="12.15"/>
    <x v="1"/>
    <s v="VALIDATED"/>
    <n v="1"/>
    <s v="01.11.80.308.6300.0000"/>
    <n v="60.75"/>
    <s v="11"/>
    <s v="6300"/>
    <n v="11099.38"/>
    <n v="60.75"/>
    <s v="CREDITOR"/>
    <n v="0"/>
    <n v="0"/>
    <n v="0"/>
    <n v="0"/>
    <n v="60.75"/>
  </r>
  <r>
    <n v="40182202"/>
    <s v="N"/>
    <n v="21328109"/>
    <s v="3000010797840006"/>
    <s v="CIVIL"/>
    <d v="2023-06-23T00:00:00"/>
    <d v="2023-07-04T19:00:44"/>
    <m/>
    <d v="2023-07-04T00:00:00"/>
    <n v="2002"/>
    <n v="14447"/>
    <s v="40182202"/>
    <s v="40182202"/>
    <m/>
    <m/>
    <n v="22755060"/>
    <m/>
    <m/>
    <m/>
    <s v="SOLFIN"/>
    <s v="SOLFIN"/>
    <s v="CCMS"/>
    <n v="21328109"/>
    <n v="9969.59"/>
    <m/>
    <s v="N"/>
    <n v="29"/>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61"/>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61727758"/>
    <s v="N"/>
    <n v="21328275"/>
    <s v="3000015814260006"/>
    <s v="CIVIL"/>
    <d v="2023-06-27T00:00:00"/>
    <d v="2023-07-04T19:00:44"/>
    <m/>
    <d v="2023-07-04T00:00:00"/>
    <n v="2002"/>
    <n v="14447"/>
    <s v="61727758"/>
    <s v="61727758"/>
    <m/>
    <m/>
    <n v="22773066"/>
    <m/>
    <m/>
    <m/>
    <s v="SOLFIN"/>
    <s v="SOLFIN"/>
    <s v="CCMS"/>
    <n v="21328275"/>
    <n v="6397.05"/>
    <m/>
    <s v="N"/>
    <n v="12"/>
    <d v="2023-07-04T19:01:11"/>
    <s v="Y"/>
    <s v="Final Hearing - 1 Day"/>
    <s v="Public Law Children"/>
    <s v="Advocacy"/>
    <s v="JB"/>
    <s v="Y"/>
    <n v="556.88"/>
    <n v="111.38"/>
    <x v="1"/>
    <s v="VALIDATED"/>
    <n v="1"/>
    <s v="01.11.80.308.6100.0000"/>
    <n v="556.88"/>
    <s v="11"/>
    <s v="6100"/>
    <n v="11099.38"/>
    <n v="556.88"/>
    <s v="CREDITOR"/>
    <n v="0"/>
    <n v="0"/>
    <n v="0"/>
    <n v="0"/>
    <n v="556.88"/>
  </r>
  <r>
    <n v="40182202"/>
    <s v="N"/>
    <n v="21328109"/>
    <s v="3000010797840006"/>
    <s v="CIVIL"/>
    <d v="2023-06-23T00:00:00"/>
    <d v="2023-07-04T19:00:44"/>
    <m/>
    <d v="2023-07-04T00:00:00"/>
    <n v="2002"/>
    <n v="14447"/>
    <s v="40182202"/>
    <s v="40182202"/>
    <m/>
    <m/>
    <n v="22755060"/>
    <m/>
    <m/>
    <m/>
    <s v="SOLFIN"/>
    <s v="SOLFIN"/>
    <s v="CCMS"/>
    <n v="21328109"/>
    <n v="9969.59"/>
    <m/>
    <s v="N"/>
    <n v="121"/>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56242567"/>
    <s v="N"/>
    <n v="21343963"/>
    <s v="3000013348520008"/>
    <s v="CIVIL"/>
    <d v="2023-06-27T00:00:00"/>
    <d v="2023-07-07T19:03:00"/>
    <m/>
    <d v="2023-07-07T00:00:00"/>
    <n v="2002"/>
    <n v="14447"/>
    <s v="56242567"/>
    <s v="56242567"/>
    <m/>
    <m/>
    <n v="22773262"/>
    <m/>
    <m/>
    <m/>
    <s v="SOLFIN"/>
    <s v="SOLFIN"/>
    <s v="CCMS"/>
    <n v="21343963"/>
    <n v="5409.2"/>
    <m/>
    <s v="N"/>
    <n v="4"/>
    <d v="2023-07-07T19:03:18"/>
    <s v="Y"/>
    <s v="Psychologist"/>
    <s v="Public Law Children"/>
    <s v="Expert Disbursement"/>
    <s v="JB"/>
    <s v="Y"/>
    <n v="603.9"/>
    <n v="120.78"/>
    <x v="9"/>
    <s v="VALIDATED"/>
    <n v="1"/>
    <s v="01.11.80.308.6300.0000"/>
    <n v="603.9"/>
    <s v="11"/>
    <s v="6300"/>
    <n v="11099.38"/>
    <n v="603.9"/>
    <s v="CREDITOR"/>
    <n v="0"/>
    <n v="0"/>
    <n v="0"/>
    <n v="0"/>
    <n v="603.9"/>
  </r>
  <r>
    <n v="40182202"/>
    <s v="N"/>
    <n v="21328109"/>
    <s v="3000010797840006"/>
    <s v="CIVIL"/>
    <d v="2023-06-23T00:00:00"/>
    <d v="2023-07-04T19:00:44"/>
    <m/>
    <d v="2023-07-04T00:00:00"/>
    <n v="2002"/>
    <n v="14447"/>
    <s v="40182202"/>
    <s v="40182202"/>
    <m/>
    <m/>
    <n v="22755060"/>
    <m/>
    <m/>
    <m/>
    <s v="SOLFIN"/>
    <s v="SOLFIN"/>
    <s v="CCMS"/>
    <n v="21328109"/>
    <n v="9969.59"/>
    <m/>
    <s v="N"/>
    <n v="8"/>
    <d v="2023-07-04T19:01:04"/>
    <s v="Y"/>
    <s v="Solicitor Travel Mileage"/>
    <s v="Non Family Hourly Rates"/>
    <s v="Non Expert Disbursement"/>
    <s v="JEB"/>
    <s v="Y"/>
    <n v="1.8"/>
    <n v="0.36"/>
    <x v="1"/>
    <s v="VALIDATED"/>
    <n v="1"/>
    <s v="01.11.80.209.6300.0000"/>
    <n v="1.8"/>
    <s v="11"/>
    <s v="6300"/>
    <n v="11099.38"/>
    <n v="1.8"/>
    <s v="CREDITOR"/>
    <n v="0"/>
    <n v="0"/>
    <n v="0"/>
    <n v="0"/>
    <n v="1.8"/>
  </r>
  <r>
    <n v="40182202"/>
    <s v="N"/>
    <n v="21328109"/>
    <s v="3000010797840006"/>
    <s v="CIVIL"/>
    <d v="2023-06-23T00:00:00"/>
    <d v="2023-07-04T19:00:44"/>
    <m/>
    <d v="2023-07-04T00:00:00"/>
    <n v="2002"/>
    <n v="14447"/>
    <s v="40182202"/>
    <s v="40182202"/>
    <m/>
    <m/>
    <n v="22755060"/>
    <m/>
    <m/>
    <m/>
    <s v="SOLFIN"/>
    <s v="SOLFIN"/>
    <s v="CCMS"/>
    <n v="21328109"/>
    <n v="9969.59"/>
    <m/>
    <s v="N"/>
    <n v="15"/>
    <d v="2023-07-04T19:01:04"/>
    <s v="Y"/>
    <s v="Preparation - other"/>
    <s v="Non Family Hourly Rates"/>
    <s v="Profit Cost"/>
    <s v="JB"/>
    <s v="Y"/>
    <n v="35.1"/>
    <n v="7.02"/>
    <x v="1"/>
    <s v="VALIDATED"/>
    <n v="1"/>
    <s v="01.11.80.209.6100.0000"/>
    <n v="35.1"/>
    <s v="11"/>
    <s v="6100"/>
    <n v="11099.38"/>
    <n v="35.1"/>
    <s v="CREDITOR"/>
    <n v="0"/>
    <n v="0"/>
    <n v="0"/>
    <n v="0"/>
    <n v="35.1"/>
  </r>
  <r>
    <n v="40182202"/>
    <s v="N"/>
    <n v="21328109"/>
    <s v="3000010797840006"/>
    <s v="CIVIL"/>
    <d v="2023-06-23T00:00:00"/>
    <d v="2023-07-04T19:00:44"/>
    <m/>
    <d v="2023-07-04T00:00:00"/>
    <n v="2002"/>
    <n v="14447"/>
    <s v="40182202"/>
    <s v="40182202"/>
    <m/>
    <m/>
    <n v="22755060"/>
    <m/>
    <m/>
    <m/>
    <s v="SOLFIN"/>
    <s v="SOLFIN"/>
    <s v="CCMS"/>
    <n v="21328109"/>
    <n v="9969.59"/>
    <m/>
    <s v="N"/>
    <n v="117"/>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101"/>
    <d v="2023-07-04T19:01:04"/>
    <s v="Y"/>
    <s v="Preparation - drafting attendance n"/>
    <s v="Non Family Hourly Rates"/>
    <s v="Profit Cost"/>
    <s v="JB"/>
    <s v="Y"/>
    <n v="13.5"/>
    <n v="2.7"/>
    <x v="1"/>
    <s v="VALIDATED"/>
    <n v="1"/>
    <s v="01.11.80.209.6100.0000"/>
    <n v="13.5"/>
    <s v="11"/>
    <s v="6100"/>
    <n v="11099.38"/>
    <n v="13.5"/>
    <s v="CREDITOR"/>
    <n v="0"/>
    <n v="0"/>
    <n v="0"/>
    <n v="0"/>
    <n v="13.5"/>
  </r>
  <r>
    <n v="40182202"/>
    <s v="N"/>
    <n v="21328109"/>
    <s v="3000010797840006"/>
    <s v="CIVIL"/>
    <d v="2023-06-23T00:00:00"/>
    <d v="2023-07-04T19:00:44"/>
    <m/>
    <d v="2023-07-04T00:00:00"/>
    <n v="2002"/>
    <n v="14447"/>
    <s v="40182202"/>
    <s v="40182202"/>
    <m/>
    <m/>
    <n v="22755060"/>
    <m/>
    <m/>
    <m/>
    <s v="SOLFIN"/>
    <s v="SOLFIN"/>
    <s v="CCMS"/>
    <n v="21328109"/>
    <n v="9969.59"/>
    <m/>
    <s v="N"/>
    <n v="56"/>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119"/>
    <d v="2023-07-04T19:01:04"/>
    <s v="Y"/>
    <s v="Attendance upon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107"/>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21"/>
    <d v="2023-07-04T19:01:04"/>
    <s v="Y"/>
    <s v="Advocacy - Directions Hearing"/>
    <s v="Non Family Hourly Rates"/>
    <s v="Advocacy"/>
    <s v="JB"/>
    <s v="Y"/>
    <n v="35.1"/>
    <n v="7.02"/>
    <x v="1"/>
    <s v="VALIDATED"/>
    <n v="1"/>
    <s v="01.11.80.209.6100.0000"/>
    <n v="35.1"/>
    <s v="11"/>
    <s v="6100"/>
    <n v="11099.38"/>
    <n v="35.1"/>
    <s v="CREDITOR"/>
    <n v="0"/>
    <n v="0"/>
    <n v="0"/>
    <n v="0"/>
    <n v="35.1"/>
  </r>
  <r>
    <n v="40182202"/>
    <s v="N"/>
    <n v="21328109"/>
    <s v="3000010797840006"/>
    <s v="CIVIL"/>
    <d v="2023-06-23T00:00:00"/>
    <d v="2023-07-04T19:00:44"/>
    <m/>
    <d v="2023-07-04T00:00:00"/>
    <n v="2002"/>
    <n v="14447"/>
    <s v="40182202"/>
    <s v="40182202"/>
    <m/>
    <m/>
    <n v="22755060"/>
    <m/>
    <m/>
    <m/>
    <s v="SOLFIN"/>
    <s v="SOLFIN"/>
    <s v="CCMS"/>
    <n v="21328109"/>
    <n v="9969.59"/>
    <m/>
    <s v="N"/>
    <n v="47"/>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18"/>
    <d v="2023-07-04T19:01:04"/>
    <s v="Y"/>
    <s v="Travel to attend client"/>
    <s v="Non Family Hourly Rates"/>
    <s v="Profit Cost"/>
    <s v="JB"/>
    <s v="Y"/>
    <n v="11.97"/>
    <n v="2.39"/>
    <x v="1"/>
    <s v="VALIDATED"/>
    <n v="1"/>
    <s v="01.11.80.209.6100.0000"/>
    <n v="11.97"/>
    <s v="11"/>
    <s v="6100"/>
    <n v="11099.38"/>
    <n v="11.97"/>
    <s v="CREDITOR"/>
    <n v="0"/>
    <n v="0"/>
    <n v="0"/>
    <n v="0"/>
    <n v="11.97"/>
  </r>
  <r>
    <n v="40182202"/>
    <s v="N"/>
    <n v="21328109"/>
    <s v="3000010797840006"/>
    <s v="CIVIL"/>
    <d v="2023-06-23T00:00:00"/>
    <d v="2023-07-04T19:00:44"/>
    <m/>
    <d v="2023-07-04T00:00:00"/>
    <n v="2002"/>
    <n v="14447"/>
    <s v="40182202"/>
    <s v="40182202"/>
    <m/>
    <m/>
    <n v="22755060"/>
    <m/>
    <m/>
    <m/>
    <s v="SOLFIN"/>
    <s v="SOLFIN"/>
    <s v="CCMS"/>
    <n v="21328109"/>
    <n v="9969.59"/>
    <m/>
    <s v="N"/>
    <n v="45"/>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128"/>
    <d v="2023-07-04T19:01:04"/>
    <s v="Y"/>
    <s v="Routine Telephone Call"/>
    <s v="Non Family Hourly Rates"/>
    <s v="Profit Cost"/>
    <s v="JB"/>
    <s v="Y"/>
    <n v="48.62"/>
    <n v="9.720000000000001"/>
    <x v="1"/>
    <s v="VALIDATED"/>
    <n v="1"/>
    <s v="01.11.80.209.6100.0000"/>
    <n v="48.62"/>
    <s v="11"/>
    <s v="6100"/>
    <n v="11099.38"/>
    <n v="48.62"/>
    <s v="CREDITOR"/>
    <n v="0"/>
    <n v="0"/>
    <n v="0"/>
    <n v="0"/>
    <n v="48.62"/>
  </r>
  <r>
    <n v="40182202"/>
    <s v="N"/>
    <n v="21328109"/>
    <s v="3000010797840006"/>
    <s v="CIVIL"/>
    <d v="2023-06-23T00:00:00"/>
    <d v="2023-07-04T19:00:44"/>
    <m/>
    <d v="2023-07-04T00:00:00"/>
    <n v="2002"/>
    <n v="14447"/>
    <s v="40182202"/>
    <s v="40182202"/>
    <m/>
    <m/>
    <n v="22755060"/>
    <m/>
    <m/>
    <m/>
    <s v="SOLFIN"/>
    <s v="SOLFIN"/>
    <s v="CCMS"/>
    <n v="21328109"/>
    <n v="9969.59"/>
    <m/>
    <s v="N"/>
    <n v="33"/>
    <d v="2023-07-04T19:01:04"/>
    <s v="Y"/>
    <s v="Report - Medical report"/>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104"/>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62"/>
    <d v="2023-07-04T19:01:04"/>
    <s v="Y"/>
    <s v="Preparation - drafting consent orde"/>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76"/>
    <d v="2023-07-04T19:01:04"/>
    <s v="Y"/>
    <s v="Attendance upon/with Counsel at Con"/>
    <s v="Non Family Hourly Rates"/>
    <s v="Profit Cost"/>
    <s v="JB"/>
    <s v="Y"/>
    <n v="17.32"/>
    <n v="3.46"/>
    <x v="1"/>
    <s v="VALIDATED"/>
    <n v="1"/>
    <s v="01.11.80.209.6100.0000"/>
    <n v="17.32"/>
    <s v="11"/>
    <s v="6100"/>
    <n v="11099.38"/>
    <n v="17.32"/>
    <s v="CREDITOR"/>
    <n v="0"/>
    <n v="0"/>
    <n v="0"/>
    <n v="0"/>
    <n v="17.32"/>
  </r>
  <r>
    <n v="62216700"/>
    <s v="N"/>
    <n v="21349349"/>
    <s v="3000016221930004"/>
    <s v="CIVIL"/>
    <d v="2023-06-07T00:00:00"/>
    <d v="2023-07-10T19:01:40"/>
    <m/>
    <d v="2023-07-10T00:00:00"/>
    <n v="2002"/>
    <n v="14447"/>
    <s v="62216700"/>
    <s v="62216700"/>
    <m/>
    <m/>
    <n v="22636732"/>
    <m/>
    <m/>
    <m/>
    <s v="SOLPOA"/>
    <s v="SOLPOA"/>
    <s v="CCMS"/>
    <n v="21349349"/>
    <n v="33"/>
    <m/>
    <s v="N"/>
    <n v="1"/>
    <d v="2023-07-10T19:01:47"/>
    <s v="N"/>
    <s v="Expert Cost"/>
    <s v="Expert Cost"/>
    <s v="Expert Disbursement"/>
    <s v="Lindsay Gibson"/>
    <s v="N"/>
    <n v="27.5"/>
    <n v="5.5"/>
    <x v="2"/>
    <s v="VALIDATED"/>
    <n v="1"/>
    <s v="01.11.80.308.2012.0000"/>
    <n v="27.5"/>
    <s v="11"/>
    <s v="2012"/>
    <n v="11099.38"/>
    <n v="27.5"/>
    <s v="CREDITOR"/>
    <n v="27.5"/>
    <n v="0"/>
    <n v="0"/>
    <n v="0"/>
    <n v="0"/>
  </r>
  <r>
    <n v="40182202"/>
    <s v="N"/>
    <n v="21328109"/>
    <s v="3000010797840006"/>
    <s v="CIVIL"/>
    <d v="2023-06-23T00:00:00"/>
    <d v="2023-07-04T19:00:44"/>
    <m/>
    <d v="2023-07-04T00:00:00"/>
    <n v="2002"/>
    <n v="14447"/>
    <s v="40182202"/>
    <s v="40182202"/>
    <m/>
    <m/>
    <n v="22755060"/>
    <m/>
    <m/>
    <m/>
    <s v="SOLFIN"/>
    <s v="SOLFIN"/>
    <s v="CCMS"/>
    <n v="21328109"/>
    <n v="9969.59"/>
    <m/>
    <s v="N"/>
    <n v="124"/>
    <d v="2023-07-04T19:01:04"/>
    <s v="Y"/>
    <s v="Preparation - other"/>
    <s v="Non Family Hourly Rates"/>
    <s v="Profit Cost"/>
    <s v="JB"/>
    <s v="Y"/>
    <n v="27"/>
    <n v="5.4"/>
    <x v="1"/>
    <s v="VALIDATED"/>
    <n v="1"/>
    <s v="01.11.80.209.6100.0000"/>
    <n v="27"/>
    <s v="11"/>
    <s v="6100"/>
    <n v="11099.38"/>
    <n v="27"/>
    <s v="CREDITOR"/>
    <n v="0"/>
    <n v="0"/>
    <n v="0"/>
    <n v="0"/>
    <n v="27"/>
  </r>
  <r>
    <n v="40182202"/>
    <s v="N"/>
    <n v="21328109"/>
    <s v="3000010797840006"/>
    <s v="CIVIL"/>
    <d v="2023-06-23T00:00:00"/>
    <d v="2023-07-04T19:00:44"/>
    <m/>
    <d v="2023-07-04T00:00:00"/>
    <n v="2002"/>
    <n v="14447"/>
    <s v="40182202"/>
    <s v="40182202"/>
    <m/>
    <m/>
    <n v="22755060"/>
    <m/>
    <m/>
    <m/>
    <s v="SOLFIN"/>
    <s v="SOLFIN"/>
    <s v="CCMS"/>
    <n v="21328109"/>
    <n v="9969.59"/>
    <m/>
    <s v="N"/>
    <n v="72"/>
    <d v="2023-07-04T19:01:04"/>
    <s v="Y"/>
    <s v="Attendance upon client"/>
    <s v="Non Family Hourly Rates"/>
    <s v="Profit Cost"/>
    <s v="JB"/>
    <s v="Y"/>
    <n v="52.65"/>
    <n v="10.53"/>
    <x v="1"/>
    <s v="VALIDATED"/>
    <n v="1"/>
    <s v="01.11.80.209.6100.0000"/>
    <n v="52.65"/>
    <s v="11"/>
    <s v="6100"/>
    <n v="11099.38"/>
    <n v="52.65"/>
    <s v="CREDITOR"/>
    <n v="0"/>
    <n v="0"/>
    <n v="0"/>
    <n v="0"/>
    <n v="52.65"/>
  </r>
  <r>
    <n v="40182202"/>
    <s v="N"/>
    <n v="21328109"/>
    <s v="3000010797840006"/>
    <s v="CIVIL"/>
    <d v="2023-06-23T00:00:00"/>
    <d v="2023-07-04T19:00:44"/>
    <m/>
    <d v="2023-07-04T00:00:00"/>
    <n v="2002"/>
    <n v="14447"/>
    <s v="40182202"/>
    <s v="40182202"/>
    <m/>
    <m/>
    <n v="22755060"/>
    <m/>
    <m/>
    <m/>
    <s v="SOLFIN"/>
    <s v="SOLFIN"/>
    <s v="CCMS"/>
    <n v="21328109"/>
    <n v="9969.59"/>
    <m/>
    <s v="N"/>
    <n v="2"/>
    <d v="2023-07-04T19:01:04"/>
    <s v="Y"/>
    <s v="Solicitor Travel Mileage"/>
    <s v="Non Family Hourly Rates"/>
    <s v="Non Expert Disbursement"/>
    <s v="JEB"/>
    <s v="Y"/>
    <n v="4.5"/>
    <n v="0.9"/>
    <x v="1"/>
    <s v="VALIDATED"/>
    <n v="1"/>
    <s v="01.11.80.209.6300.0000"/>
    <n v="4.5"/>
    <s v="11"/>
    <s v="6300"/>
    <n v="11099.38"/>
    <n v="4.5"/>
    <s v="CREDITOR"/>
    <n v="0"/>
    <n v="0"/>
    <n v="0"/>
    <n v="0"/>
    <n v="4.5"/>
  </r>
  <r>
    <n v="40182202"/>
    <s v="N"/>
    <n v="21328109"/>
    <s v="3000010797840006"/>
    <s v="CIVIL"/>
    <d v="2023-06-23T00:00:00"/>
    <d v="2023-07-04T19:00:44"/>
    <m/>
    <d v="2023-07-04T00:00:00"/>
    <n v="2002"/>
    <n v="14447"/>
    <s v="40182202"/>
    <s v="40182202"/>
    <m/>
    <m/>
    <n v="22755060"/>
    <m/>
    <m/>
    <m/>
    <s v="SOLFIN"/>
    <s v="SOLFIN"/>
    <s v="CCMS"/>
    <n v="21328109"/>
    <n v="9969.59"/>
    <m/>
    <s v="N"/>
    <n v="11"/>
    <d v="2023-07-04T19:01:04"/>
    <s v="Y"/>
    <s v="Psychiatrist"/>
    <s v="Non Family Hourly Rates"/>
    <s v="Expert Disbursement"/>
    <s v="JEB"/>
    <s v="Y"/>
    <n v="1159.1"/>
    <n v="0"/>
    <x v="1"/>
    <s v="VALIDATED"/>
    <n v="1"/>
    <s v="01.11.80.209.6300.0000"/>
    <n v="1159.1"/>
    <s v="11"/>
    <s v="6300"/>
    <n v="11099.38"/>
    <n v="1159.1"/>
    <s v="CREDITOR"/>
    <n v="0"/>
    <n v="0"/>
    <n v="0"/>
    <n v="0"/>
    <n v="1159.1"/>
  </r>
  <r>
    <n v="40182202"/>
    <s v="N"/>
    <n v="21328109"/>
    <s v="3000010797840006"/>
    <s v="CIVIL"/>
    <d v="2023-06-23T00:00:00"/>
    <d v="2023-07-04T19:00:44"/>
    <m/>
    <d v="2023-07-04T00:00:00"/>
    <n v="2002"/>
    <n v="14447"/>
    <s v="40182202"/>
    <s v="40182202"/>
    <m/>
    <m/>
    <n v="22755060"/>
    <m/>
    <m/>
    <m/>
    <s v="SOLFIN"/>
    <s v="SOLFIN"/>
    <s v="CCMS"/>
    <n v="21328109"/>
    <n v="9969.59"/>
    <m/>
    <s v="N"/>
    <n v="93"/>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12"/>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64"/>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70"/>
    <d v="2023-07-04T19:01:04"/>
    <s v="Y"/>
    <s v="Travel to attend client"/>
    <s v="Non Family Hourly Rates"/>
    <s v="Profit Cost"/>
    <s v="JB"/>
    <s v="Y"/>
    <n v="14.97"/>
    <n v="2.99"/>
    <x v="1"/>
    <s v="VALIDATED"/>
    <n v="1"/>
    <s v="01.11.80.209.6100.0000"/>
    <n v="14.97"/>
    <s v="11"/>
    <s v="6100"/>
    <n v="11099.38"/>
    <n v="14.97"/>
    <s v="CREDITOR"/>
    <n v="0"/>
    <n v="0"/>
    <n v="0"/>
    <n v="0"/>
    <n v="14.97"/>
  </r>
  <r>
    <n v="40182202"/>
    <s v="N"/>
    <n v="21328109"/>
    <s v="3000010797840006"/>
    <s v="CIVIL"/>
    <d v="2023-06-23T00:00:00"/>
    <d v="2023-07-04T19:00:44"/>
    <m/>
    <d v="2023-07-04T00:00:00"/>
    <n v="2002"/>
    <n v="14447"/>
    <s v="40182202"/>
    <s v="40182202"/>
    <m/>
    <m/>
    <n v="22755060"/>
    <m/>
    <m/>
    <m/>
    <s v="SOLFIN"/>
    <s v="SOLFIN"/>
    <s v="CCMS"/>
    <n v="21328109"/>
    <n v="9969.59"/>
    <m/>
    <s v="N"/>
    <n v="91"/>
    <d v="2023-07-04T19:01:04"/>
    <s v="Y"/>
    <s v="Attendance upon client"/>
    <s v="Non Family Hourly Rates"/>
    <s v="Profit Cost"/>
    <s v="JB"/>
    <s v="Y"/>
    <n v="43.88"/>
    <n v="8.779999999999999"/>
    <x v="1"/>
    <s v="VALIDATED"/>
    <n v="1"/>
    <s v="01.11.80.209.6100.0000"/>
    <n v="43.88"/>
    <s v="11"/>
    <s v="6100"/>
    <n v="11099.38"/>
    <n v="43.88"/>
    <s v="CREDITOR"/>
    <n v="0"/>
    <n v="0"/>
    <n v="0"/>
    <n v="0"/>
    <n v="43.88"/>
  </r>
  <r>
    <n v="40182202"/>
    <s v="N"/>
    <n v="21328109"/>
    <s v="3000010797840006"/>
    <s v="CIVIL"/>
    <d v="2023-06-23T00:00:00"/>
    <d v="2023-07-04T19:00:44"/>
    <m/>
    <d v="2023-07-04T00:00:00"/>
    <n v="2002"/>
    <n v="14447"/>
    <s v="40182202"/>
    <s v="40182202"/>
    <m/>
    <m/>
    <n v="22755060"/>
    <m/>
    <m/>
    <m/>
    <s v="SOLFIN"/>
    <s v="SOLFIN"/>
    <s v="CCMS"/>
    <n v="21328109"/>
    <n v="9969.59"/>
    <m/>
    <s v="N"/>
    <n v="6"/>
    <d v="2023-07-04T19:01:04"/>
    <s v="Y"/>
    <s v="Solicitor Travel Mileage"/>
    <s v="Non Family Hourly Rates"/>
    <s v="Non Expert Disbursement"/>
    <s v="JEB"/>
    <s v="Y"/>
    <n v="3.15"/>
    <n v="0.63"/>
    <x v="1"/>
    <s v="VALIDATED"/>
    <n v="1"/>
    <s v="01.11.80.209.6300.0000"/>
    <n v="3.15"/>
    <s v="11"/>
    <s v="6300"/>
    <n v="11099.38"/>
    <n v="3.15"/>
    <s v="CREDITOR"/>
    <n v="0"/>
    <n v="0"/>
    <n v="0"/>
    <n v="0"/>
    <n v="3.15"/>
  </r>
  <r>
    <n v="40182202"/>
    <s v="N"/>
    <n v="21328109"/>
    <s v="3000010797840006"/>
    <s v="CIVIL"/>
    <d v="2023-06-23T00:00:00"/>
    <d v="2023-07-04T19:00:44"/>
    <m/>
    <d v="2023-07-04T00:00:00"/>
    <n v="2002"/>
    <n v="14447"/>
    <s v="40182202"/>
    <s v="40182202"/>
    <m/>
    <m/>
    <n v="22755060"/>
    <m/>
    <m/>
    <m/>
    <s v="SOLFIN"/>
    <s v="SOLFIN"/>
    <s v="CCMS"/>
    <n v="21328109"/>
    <n v="9969.59"/>
    <m/>
    <s v="N"/>
    <n v="52"/>
    <d v="2023-07-04T19:01:04"/>
    <s v="Y"/>
    <s v="Travel to attend client"/>
    <s v="Non Family Hourly Rates"/>
    <s v="Profit Cost"/>
    <s v="JB"/>
    <s v="Y"/>
    <n v="11.97"/>
    <n v="2.39"/>
    <x v="1"/>
    <s v="VALIDATED"/>
    <n v="1"/>
    <s v="01.11.80.209.6100.0000"/>
    <n v="11.97"/>
    <s v="11"/>
    <s v="6100"/>
    <n v="11099.38"/>
    <n v="11.97"/>
    <s v="CREDITOR"/>
    <n v="0"/>
    <n v="0"/>
    <n v="0"/>
    <n v="0"/>
    <n v="11.97"/>
  </r>
  <r>
    <n v="40182202"/>
    <s v="N"/>
    <n v="21328109"/>
    <s v="3000010797840006"/>
    <s v="CIVIL"/>
    <d v="2023-06-23T00:00:00"/>
    <d v="2023-07-04T19:00:44"/>
    <m/>
    <d v="2023-07-04T00:00:00"/>
    <n v="2002"/>
    <n v="14447"/>
    <s v="40182202"/>
    <s v="40182202"/>
    <m/>
    <m/>
    <n v="22755060"/>
    <m/>
    <m/>
    <m/>
    <s v="SOLFIN"/>
    <s v="SOLFIN"/>
    <s v="CCMS"/>
    <n v="21328109"/>
    <n v="9969.59"/>
    <m/>
    <s v="N"/>
    <n v="1"/>
    <d v="2023-07-04T19:01:04"/>
    <s v="Y"/>
    <s v="Court Fee"/>
    <s v="Non Family Hourly Rates"/>
    <s v="Non Expert Disbursement"/>
    <s v="JEB"/>
    <s v="Y"/>
    <n v="365"/>
    <n v="0"/>
    <x v="1"/>
    <s v="VALIDATED"/>
    <n v="1"/>
    <s v="01.11.80.209.6300.0000"/>
    <n v="365"/>
    <s v="11"/>
    <s v="6300"/>
    <n v="11099.38"/>
    <n v="365"/>
    <s v="CREDITOR"/>
    <n v="0"/>
    <n v="0"/>
    <n v="0"/>
    <n v="0"/>
    <n v="365"/>
  </r>
  <r>
    <n v="61727758"/>
    <s v="N"/>
    <n v="21328275"/>
    <s v="3000015814260006"/>
    <s v="CIVIL"/>
    <d v="2023-06-27T00:00:00"/>
    <d v="2023-07-04T19:00:44"/>
    <m/>
    <d v="2023-07-04T00:00:00"/>
    <n v="2002"/>
    <n v="14447"/>
    <s v="61727758"/>
    <s v="61727758"/>
    <m/>
    <m/>
    <n v="22773066"/>
    <m/>
    <m/>
    <m/>
    <s v="SOLFIN"/>
    <s v="SOLFIN"/>
    <s v="CCMS"/>
    <n v="21328275"/>
    <n v="6397.05"/>
    <m/>
    <s v="N"/>
    <n v="3"/>
    <d v="2023-07-04T19:01:11"/>
    <s v="Y"/>
    <s v="Toxicologist"/>
    <s v="Public Law Children"/>
    <s v="Expert Disbursement"/>
    <s v="JB"/>
    <s v="Y"/>
    <n v="204"/>
    <n v="40.8"/>
    <x v="1"/>
    <s v="VALIDATED"/>
    <n v="1"/>
    <s v="01.11.80.308.6300.0000"/>
    <n v="204"/>
    <s v="11"/>
    <s v="6300"/>
    <n v="11099.38"/>
    <n v="204"/>
    <s v="CREDITOR"/>
    <n v="0"/>
    <n v="0"/>
    <n v="0"/>
    <n v="0"/>
    <n v="204"/>
  </r>
  <r>
    <n v="56242567"/>
    <s v="N"/>
    <n v="21343963"/>
    <s v="3000013348520008"/>
    <s v="CIVIL"/>
    <d v="2023-06-27T00:00:00"/>
    <d v="2023-07-07T19:03:00"/>
    <m/>
    <d v="2023-07-07T00:00:00"/>
    <n v="2002"/>
    <n v="14447"/>
    <s v="56242567"/>
    <s v="56242567"/>
    <m/>
    <m/>
    <n v="22773262"/>
    <m/>
    <m/>
    <m/>
    <s v="SOLFIN"/>
    <s v="SOLFIN"/>
    <s v="CCMS"/>
    <n v="21343963"/>
    <n v="5409.2"/>
    <m/>
    <s v="N"/>
    <n v="5"/>
    <d v="2023-07-07T19:03:18"/>
    <s v="Y"/>
    <s v="Advocates Meeting"/>
    <s v="Public Law Children"/>
    <s v="Advocacy"/>
    <s v="JB"/>
    <s v="Y"/>
    <n v="140.99"/>
    <n v="28.2"/>
    <x v="9"/>
    <s v="VALIDATED"/>
    <n v="1"/>
    <s v="01.11.80.308.6100.0000"/>
    <n v="140.99"/>
    <s v="11"/>
    <s v="6100"/>
    <n v="11099.38"/>
    <n v="140.99"/>
    <s v="CREDITOR"/>
    <n v="0"/>
    <n v="0"/>
    <n v="0"/>
    <n v="0"/>
    <n v="140.99"/>
  </r>
  <r>
    <n v="40182202"/>
    <s v="N"/>
    <n v="21328109"/>
    <s v="3000010797840006"/>
    <s v="CIVIL"/>
    <d v="2023-06-23T00:00:00"/>
    <d v="2023-07-04T19:00:44"/>
    <m/>
    <d v="2023-07-04T00:00:00"/>
    <n v="2002"/>
    <n v="14447"/>
    <s v="40182202"/>
    <s v="40182202"/>
    <m/>
    <m/>
    <n v="22755060"/>
    <m/>
    <m/>
    <m/>
    <s v="SOLFIN"/>
    <s v="SOLFIN"/>
    <s v="CCMS"/>
    <n v="21328109"/>
    <n v="9969.59"/>
    <m/>
    <s v="N"/>
    <n v="66"/>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71"/>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19"/>
    <d v="2023-07-04T19:01:04"/>
    <s v="Y"/>
    <s v="Preparation - other"/>
    <s v="Non Family Hourly Rates"/>
    <s v="Profit Cost"/>
    <s v="JB"/>
    <s v="Y"/>
    <n v="17.55"/>
    <n v="3.51"/>
    <x v="1"/>
    <s v="VALIDATED"/>
    <n v="1"/>
    <s v="01.11.80.209.6100.0000"/>
    <n v="17.55"/>
    <s v="11"/>
    <s v="6100"/>
    <n v="11099.38"/>
    <n v="17.55"/>
    <s v="CREDITOR"/>
    <n v="0"/>
    <n v="0"/>
    <n v="0"/>
    <n v="0"/>
    <n v="17.55"/>
  </r>
  <r>
    <n v="40182202"/>
    <s v="N"/>
    <n v="21328109"/>
    <s v="3000010797840006"/>
    <s v="CIVIL"/>
    <d v="2023-06-23T00:00:00"/>
    <d v="2023-07-04T19:00:44"/>
    <m/>
    <d v="2023-07-04T00:00:00"/>
    <n v="2002"/>
    <n v="14447"/>
    <s v="40182202"/>
    <s v="40182202"/>
    <m/>
    <m/>
    <n v="22755060"/>
    <m/>
    <m/>
    <m/>
    <s v="SOLFIN"/>
    <s v="SOLFIN"/>
    <s v="CCMS"/>
    <n v="21328109"/>
    <n v="9969.59"/>
    <m/>
    <s v="N"/>
    <n v="10"/>
    <d v="2023-07-04T19:01:04"/>
    <s v="Y"/>
    <s v="Solicitor Travel Mileage"/>
    <s v="Non Family Hourly Rates"/>
    <s v="Non Expert Disbursement"/>
    <s v="JEB"/>
    <s v="Y"/>
    <n v="4.05"/>
    <n v="0.8100000000000001"/>
    <x v="1"/>
    <s v="VALIDATED"/>
    <n v="1"/>
    <s v="01.11.80.209.6300.0000"/>
    <n v="4.05"/>
    <s v="11"/>
    <s v="6300"/>
    <n v="11099.38"/>
    <n v="4.05"/>
    <s v="CREDITOR"/>
    <n v="0"/>
    <n v="0"/>
    <n v="0"/>
    <n v="0"/>
    <n v="4.05"/>
  </r>
  <r>
    <n v="40182202"/>
    <s v="N"/>
    <n v="21328109"/>
    <s v="3000010797840006"/>
    <s v="CIVIL"/>
    <d v="2023-06-23T00:00:00"/>
    <d v="2023-07-04T19:00:44"/>
    <m/>
    <d v="2023-07-04T00:00:00"/>
    <n v="2002"/>
    <n v="14447"/>
    <s v="40182202"/>
    <s v="40182202"/>
    <m/>
    <m/>
    <n v="22755060"/>
    <m/>
    <m/>
    <m/>
    <s v="SOLFIN"/>
    <s v="SOLFIN"/>
    <s v="CCMS"/>
    <n v="21328109"/>
    <n v="9969.59"/>
    <m/>
    <s v="N"/>
    <n v="28"/>
    <d v="2023-07-04T19:01:04"/>
    <s v="Y"/>
    <s v="Attendance upon client"/>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111"/>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61727758"/>
    <s v="N"/>
    <n v="21328275"/>
    <s v="3000015814260006"/>
    <s v="CIVIL"/>
    <d v="2023-06-27T00:00:00"/>
    <d v="2023-07-04T19:00:44"/>
    <m/>
    <d v="2023-07-04T00:00:00"/>
    <n v="2002"/>
    <n v="14447"/>
    <s v="61727758"/>
    <s v="61727758"/>
    <m/>
    <m/>
    <n v="22773066"/>
    <m/>
    <m/>
    <m/>
    <s v="SOLFIN"/>
    <s v="SOLFIN"/>
    <s v="CCMS"/>
    <n v="21328275"/>
    <n v="6397.05"/>
    <m/>
    <s v="N"/>
    <n v="10"/>
    <d v="2023-07-04T19:01:11"/>
    <s v="Y"/>
    <s v="Hearing Unit 2.31 - 5.00 Hours"/>
    <s v="Public Law Children"/>
    <s v="Advocacy"/>
    <s v="JB"/>
    <s v="Y"/>
    <n v="476.92"/>
    <n v="95.38"/>
    <x v="1"/>
    <s v="VALIDATED"/>
    <n v="1"/>
    <s v="01.11.80.308.6100.0000"/>
    <n v="476.92"/>
    <s v="11"/>
    <s v="6100"/>
    <n v="11099.38"/>
    <n v="476.92"/>
    <s v="CREDITOR"/>
    <n v="0"/>
    <n v="0"/>
    <n v="0"/>
    <n v="0"/>
    <n v="476.92"/>
  </r>
  <r>
    <n v="40182202"/>
    <s v="N"/>
    <n v="21328109"/>
    <s v="3000010797840006"/>
    <s v="CIVIL"/>
    <d v="2023-06-23T00:00:00"/>
    <d v="2023-07-04T19:00:44"/>
    <m/>
    <d v="2023-07-04T00:00:00"/>
    <n v="2002"/>
    <n v="14447"/>
    <s v="40182202"/>
    <s v="40182202"/>
    <m/>
    <m/>
    <n v="22755060"/>
    <m/>
    <m/>
    <m/>
    <s v="SOLFIN"/>
    <s v="SOLFIN"/>
    <s v="CCMS"/>
    <n v="21328109"/>
    <n v="9969.59"/>
    <m/>
    <s v="N"/>
    <n v="14"/>
    <d v="2023-07-04T19:01:04"/>
    <s v="Y"/>
    <s v="Attendance upon client"/>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32"/>
    <d v="2023-07-04T19:01:04"/>
    <s v="Y"/>
    <s v="Attendance upon client"/>
    <s v="Non Family Hourly Rates"/>
    <s v="Profit Cost"/>
    <s v="JB"/>
    <s v="Y"/>
    <n v="105.3"/>
    <n v="21.06"/>
    <x v="1"/>
    <s v="VALIDATED"/>
    <n v="1"/>
    <s v="01.11.80.209.6100.0000"/>
    <n v="105.3"/>
    <s v="11"/>
    <s v="6100"/>
    <n v="11099.38"/>
    <n v="105.3"/>
    <s v="CREDITOR"/>
    <n v="0"/>
    <n v="0"/>
    <n v="0"/>
    <n v="0"/>
    <n v="105.3"/>
  </r>
  <r>
    <n v="40182202"/>
    <s v="N"/>
    <n v="21328109"/>
    <s v="3000010797840006"/>
    <s v="CIVIL"/>
    <d v="2023-06-23T00:00:00"/>
    <d v="2023-07-04T19:00:44"/>
    <m/>
    <d v="2023-07-04T00:00:00"/>
    <n v="2002"/>
    <n v="14447"/>
    <s v="40182202"/>
    <s v="40182202"/>
    <m/>
    <m/>
    <n v="22755060"/>
    <m/>
    <m/>
    <m/>
    <s v="SOLFIN"/>
    <s v="SOLFIN"/>
    <s v="CCMS"/>
    <n v="21328109"/>
    <n v="9969.59"/>
    <m/>
    <s v="N"/>
    <n v="37"/>
    <d v="2023-07-04T19:01:04"/>
    <s v="Y"/>
    <s v="Attendance upon client"/>
    <s v="Non Family Hourly Rates"/>
    <s v="Profit Cost"/>
    <s v="JB"/>
    <s v="Y"/>
    <n v="17.55"/>
    <n v="3.51"/>
    <x v="1"/>
    <s v="VALIDATED"/>
    <n v="1"/>
    <s v="01.11.80.209.6100.0000"/>
    <n v="17.55"/>
    <s v="11"/>
    <s v="6100"/>
    <n v="11099.38"/>
    <n v="17.55"/>
    <s v="CREDITOR"/>
    <n v="0"/>
    <n v="0"/>
    <n v="0"/>
    <n v="0"/>
    <n v="17.55"/>
  </r>
  <r>
    <n v="61727758"/>
    <s v="N"/>
    <n v="21328275"/>
    <s v="3000015814260006"/>
    <s v="CIVIL"/>
    <d v="2023-06-27T00:00:00"/>
    <d v="2023-07-04T19:00:44"/>
    <m/>
    <d v="2023-07-04T00:00:00"/>
    <n v="2002"/>
    <n v="14447"/>
    <s v="61727758"/>
    <s v="61727758"/>
    <m/>
    <m/>
    <n v="22773066"/>
    <m/>
    <m/>
    <m/>
    <s v="SOLFIN"/>
    <s v="SOLFIN"/>
    <s v="CCMS"/>
    <n v="21328275"/>
    <n v="6397.05"/>
    <m/>
    <s v="N"/>
    <n v="9"/>
    <d v="2023-07-04T19:01:11"/>
    <s v="Y"/>
    <s v="Hearing Unit 2.31 - 5.00 Hours"/>
    <s v="Public Law Children"/>
    <s v="Advocacy"/>
    <s v="JB"/>
    <s v="Y"/>
    <n v="476.92"/>
    <n v="95.38"/>
    <x v="1"/>
    <s v="VALIDATED"/>
    <n v="1"/>
    <s v="01.11.80.308.6100.0000"/>
    <n v="476.92"/>
    <s v="11"/>
    <s v="6100"/>
    <n v="11099.38"/>
    <n v="476.92"/>
    <s v="CREDITOR"/>
    <n v="0"/>
    <n v="0"/>
    <n v="0"/>
    <n v="0"/>
    <n v="476.92"/>
  </r>
  <r>
    <n v="40182202"/>
    <s v="N"/>
    <n v="21328109"/>
    <s v="3000010797840006"/>
    <s v="CIVIL"/>
    <d v="2023-06-23T00:00:00"/>
    <d v="2023-07-04T19:00:44"/>
    <m/>
    <d v="2023-07-04T00:00:00"/>
    <n v="2002"/>
    <n v="14447"/>
    <s v="40182202"/>
    <s v="40182202"/>
    <m/>
    <m/>
    <n v="22755060"/>
    <m/>
    <m/>
    <m/>
    <s v="SOLFIN"/>
    <s v="SOLFIN"/>
    <s v="CCMS"/>
    <n v="21328109"/>
    <n v="9969.59"/>
    <m/>
    <s v="N"/>
    <n v="96"/>
    <d v="2023-07-04T19:01:04"/>
    <s v="Y"/>
    <s v="Preparation - drafting attendance n"/>
    <s v="Non Family Hourly Rates"/>
    <s v="Profit Cost"/>
    <s v="JB"/>
    <s v="Y"/>
    <n v="6.75"/>
    <n v="1.35"/>
    <x v="1"/>
    <s v="VALIDATED"/>
    <n v="1"/>
    <s v="01.11.80.209.6100.0000"/>
    <n v="6.75"/>
    <s v="11"/>
    <s v="6100"/>
    <n v="11099.38"/>
    <n v="6.75"/>
    <s v="CREDITOR"/>
    <n v="0"/>
    <n v="0"/>
    <n v="0"/>
    <n v="0"/>
    <n v="6.75"/>
  </r>
  <r>
    <n v="40182202"/>
    <s v="N"/>
    <n v="21328109"/>
    <s v="3000010797840006"/>
    <s v="CIVIL"/>
    <d v="2023-06-23T00:00:00"/>
    <d v="2023-07-04T19:00:44"/>
    <m/>
    <d v="2023-07-04T00:00:00"/>
    <n v="2002"/>
    <n v="14447"/>
    <s v="40182202"/>
    <s v="40182202"/>
    <m/>
    <m/>
    <n v="22755060"/>
    <m/>
    <m/>
    <m/>
    <s v="SOLFIN"/>
    <s v="SOLFIN"/>
    <s v="CCMS"/>
    <n v="21328109"/>
    <n v="9969.59"/>
    <m/>
    <s v="N"/>
    <n v="31"/>
    <d v="2023-07-04T19:01:04"/>
    <s v="Y"/>
    <s v="Travel to court"/>
    <s v="Non Family Hourly Rates"/>
    <s v="Profit Cost"/>
    <s v="JB"/>
    <s v="Y"/>
    <n v="11.97"/>
    <n v="2.39"/>
    <x v="1"/>
    <s v="VALIDATED"/>
    <n v="1"/>
    <s v="01.11.80.209.6100.0000"/>
    <n v="11.97"/>
    <s v="11"/>
    <s v="6100"/>
    <n v="11099.38"/>
    <n v="11.97"/>
    <s v="CREDITOR"/>
    <n v="0"/>
    <n v="0"/>
    <n v="0"/>
    <n v="0"/>
    <n v="11.97"/>
  </r>
  <r>
    <n v="40182202"/>
    <s v="N"/>
    <n v="21328109"/>
    <s v="3000010797840006"/>
    <s v="CIVIL"/>
    <d v="2023-06-23T00:00:00"/>
    <d v="2023-07-04T19:00:44"/>
    <m/>
    <d v="2023-07-04T00:00:00"/>
    <n v="2002"/>
    <n v="14447"/>
    <s v="40182202"/>
    <s v="40182202"/>
    <m/>
    <m/>
    <n v="22755060"/>
    <m/>
    <m/>
    <m/>
    <s v="SOLFIN"/>
    <s v="SOLFIN"/>
    <s v="CCMS"/>
    <n v="21328109"/>
    <n v="9969.59"/>
    <m/>
    <s v="N"/>
    <n v="39"/>
    <d v="2023-07-04T19:01:04"/>
    <s v="Y"/>
    <s v="Travel to attend client"/>
    <s v="Non Family Hourly Rates"/>
    <s v="Profit Cost"/>
    <s v="JB"/>
    <s v="Y"/>
    <n v="11.97"/>
    <n v="2.39"/>
    <x v="1"/>
    <s v="VALIDATED"/>
    <n v="1"/>
    <s v="01.11.80.209.6100.0000"/>
    <n v="11.97"/>
    <s v="11"/>
    <s v="6100"/>
    <n v="11099.38"/>
    <n v="11.97"/>
    <s v="CREDITOR"/>
    <n v="0"/>
    <n v="0"/>
    <n v="0"/>
    <n v="0"/>
    <n v="11.97"/>
  </r>
  <r>
    <n v="61727758"/>
    <s v="N"/>
    <n v="21328275"/>
    <s v="3000015814260006"/>
    <s v="CIVIL"/>
    <d v="2023-06-27T00:00:00"/>
    <d v="2023-07-04T19:00:44"/>
    <m/>
    <d v="2023-07-04T00:00:00"/>
    <n v="2002"/>
    <n v="14447"/>
    <s v="61727758"/>
    <s v="61727758"/>
    <m/>
    <m/>
    <n v="22773066"/>
    <m/>
    <m/>
    <m/>
    <s v="SOLFIN"/>
    <s v="SOLFIN"/>
    <s v="CCMS"/>
    <n v="21328275"/>
    <n v="6397.05"/>
    <m/>
    <s v="N"/>
    <n v="5"/>
    <d v="2023-07-04T19:01:11"/>
    <s v="Y"/>
    <s v="Toxicologist"/>
    <s v="Public Law Children"/>
    <s v="Expert Disbursement"/>
    <s v="JB"/>
    <s v="Y"/>
    <n v="383.04"/>
    <n v="76.61"/>
    <x v="1"/>
    <s v="VALIDATED"/>
    <n v="1"/>
    <s v="01.11.80.308.6300.0000"/>
    <n v="383.04"/>
    <s v="11"/>
    <s v="6300"/>
    <n v="11099.38"/>
    <n v="383.04"/>
    <s v="CREDITOR"/>
    <n v="0"/>
    <n v="0"/>
    <n v="0"/>
    <n v="0"/>
    <n v="383.04"/>
  </r>
  <r>
    <n v="40182202"/>
    <s v="N"/>
    <n v="21328109"/>
    <s v="3000010797840006"/>
    <s v="CIVIL"/>
    <d v="2023-06-23T00:00:00"/>
    <d v="2023-07-04T19:00:44"/>
    <m/>
    <d v="2023-07-04T00:00:00"/>
    <n v="2002"/>
    <n v="14447"/>
    <s v="40182202"/>
    <s v="40182202"/>
    <m/>
    <m/>
    <n v="22755060"/>
    <m/>
    <m/>
    <m/>
    <s v="SOLFIN"/>
    <s v="SOLFIN"/>
    <s v="CCMS"/>
    <n v="21328109"/>
    <n v="9969.59"/>
    <m/>
    <s v="N"/>
    <n v="90"/>
    <d v="2023-07-04T19:01:04"/>
    <s v="Y"/>
    <s v="Preparation - drafting consent orde"/>
    <s v="Non Family Hourly Rates"/>
    <s v="Profit Cost"/>
    <s v="JB"/>
    <s v="Y"/>
    <n v="35.1"/>
    <n v="7.02"/>
    <x v="1"/>
    <s v="VALIDATED"/>
    <n v="1"/>
    <s v="01.11.80.209.6100.0000"/>
    <n v="35.1"/>
    <s v="11"/>
    <s v="6100"/>
    <n v="11099.38"/>
    <n v="35.1"/>
    <s v="CREDITOR"/>
    <n v="0"/>
    <n v="0"/>
    <n v="0"/>
    <n v="0"/>
    <n v="35.1"/>
  </r>
  <r>
    <n v="40182202"/>
    <s v="N"/>
    <n v="21328109"/>
    <s v="3000010797840006"/>
    <s v="CIVIL"/>
    <d v="2023-06-23T00:00:00"/>
    <d v="2023-07-04T19:00:44"/>
    <m/>
    <d v="2023-07-04T00:00:00"/>
    <n v="2002"/>
    <n v="14447"/>
    <s v="40182202"/>
    <s v="40182202"/>
    <m/>
    <m/>
    <n v="22755060"/>
    <m/>
    <m/>
    <m/>
    <s v="SOLFIN"/>
    <s v="SOLFIN"/>
    <s v="CCMS"/>
    <n v="21328109"/>
    <n v="9969.59"/>
    <m/>
    <s v="N"/>
    <n v="106"/>
    <d v="2023-07-04T19:01:04"/>
    <s v="Y"/>
    <s v="Preparation - other"/>
    <s v="Non Family Hourly Rates"/>
    <s v="Profit Cost"/>
    <s v="JB"/>
    <s v="Y"/>
    <n v="122.85"/>
    <n v="24.57"/>
    <x v="1"/>
    <s v="VALIDATED"/>
    <n v="1"/>
    <s v="01.11.80.209.6100.0000"/>
    <n v="122.85"/>
    <s v="11"/>
    <s v="6100"/>
    <n v="11099.38"/>
    <n v="122.85"/>
    <s v="CREDITOR"/>
    <n v="0"/>
    <n v="0"/>
    <n v="0"/>
    <n v="0"/>
    <n v="122.85"/>
  </r>
  <r>
    <n v="40182202"/>
    <s v="N"/>
    <n v="21328109"/>
    <s v="3000010797840006"/>
    <s v="CIVIL"/>
    <d v="2023-06-23T00:00:00"/>
    <d v="2023-07-04T19:00:44"/>
    <m/>
    <d v="2023-07-04T00:00:00"/>
    <n v="2002"/>
    <n v="14447"/>
    <s v="40182202"/>
    <s v="40182202"/>
    <m/>
    <m/>
    <n v="22755060"/>
    <m/>
    <m/>
    <m/>
    <s v="SOLFIN"/>
    <s v="SOLFIN"/>
    <s v="CCMS"/>
    <n v="21328109"/>
    <n v="9969.59"/>
    <m/>
    <s v="N"/>
    <n v="123"/>
    <d v="2023-07-04T19:01:04"/>
    <s v="Y"/>
    <s v="Preparation - other"/>
    <s v="Non Family Hourly Rates"/>
    <s v="Profit Cost"/>
    <s v="JB"/>
    <s v="Y"/>
    <n v="13.5"/>
    <n v="2.7"/>
    <x v="1"/>
    <s v="VALIDATED"/>
    <n v="1"/>
    <s v="01.11.80.209.6100.0000"/>
    <n v="13.5"/>
    <s v="11"/>
    <s v="6100"/>
    <n v="11099.38"/>
    <n v="13.5"/>
    <s v="CREDITOR"/>
    <n v="0"/>
    <n v="0"/>
    <n v="0"/>
    <n v="0"/>
    <n v="13.5"/>
  </r>
  <r>
    <n v="61173068"/>
    <s v="N"/>
    <n v="21323404"/>
    <s v="3000015353830026"/>
    <s v="CIVIL"/>
    <d v="2023-06-30T00:00:00"/>
    <d v="2023-07-03T19:05:56"/>
    <m/>
    <d v="2023-07-03T00:00:00"/>
    <n v="2002"/>
    <n v="14447"/>
    <s v="61173068"/>
    <s v="61173068"/>
    <m/>
    <m/>
    <n v="22794516"/>
    <m/>
    <m/>
    <m/>
    <s v="SOLPOA"/>
    <s v="SOLPOA"/>
    <s v="CCMS"/>
    <n v="21323404"/>
    <n v="357.9"/>
    <m/>
    <s v="N"/>
    <n v="1"/>
    <d v="2023-07-03T19:05:57"/>
    <s v="N"/>
    <s v="Expert Cost - Private Law Children"/>
    <s v="Expert Cost - Private Law Chil"/>
    <s v="Expert Disbursement"/>
    <s v="FHA"/>
    <s v="N"/>
    <n v="298.25"/>
    <n v="59.65"/>
    <x v="3"/>
    <s v="VALIDATED"/>
    <n v="1"/>
    <s v="01.11.80.307.2012.0000"/>
    <n v="298.25"/>
    <s v="11"/>
    <s v="2012"/>
    <n v="11099.38"/>
    <n v="298.25"/>
    <s v="CREDITOR"/>
    <n v="298.25"/>
    <n v="0"/>
    <n v="0"/>
    <n v="0"/>
    <n v="0"/>
  </r>
  <r>
    <n v="40182202"/>
    <s v="N"/>
    <n v="21328109"/>
    <s v="3000010797840006"/>
    <s v="CIVIL"/>
    <d v="2023-06-23T00:00:00"/>
    <d v="2023-07-04T19:00:44"/>
    <m/>
    <d v="2023-07-04T00:00:00"/>
    <n v="2002"/>
    <n v="14447"/>
    <s v="40182202"/>
    <s v="40182202"/>
    <m/>
    <m/>
    <n v="22755060"/>
    <m/>
    <m/>
    <m/>
    <s v="SOLFIN"/>
    <s v="SOLFIN"/>
    <s v="CCMS"/>
    <n v="21328109"/>
    <n v="9969.59"/>
    <m/>
    <s v="N"/>
    <n v="35"/>
    <d v="2023-07-04T19:01:04"/>
    <s v="Y"/>
    <s v="Attendance upon/with Counsel at Con"/>
    <s v="Non Family Hourly Rates"/>
    <s v="Profit Cost"/>
    <s v="JB"/>
    <s v="Y"/>
    <n v="8.66"/>
    <n v="1.73"/>
    <x v="1"/>
    <s v="VALIDATED"/>
    <n v="1"/>
    <s v="01.11.80.209.6100.0000"/>
    <n v="8.66"/>
    <s v="11"/>
    <s v="6100"/>
    <n v="11099.38"/>
    <n v="8.66"/>
    <s v="CREDITOR"/>
    <n v="0"/>
    <n v="0"/>
    <n v="0"/>
    <n v="0"/>
    <n v="8.66"/>
  </r>
  <r>
    <n v="40182202"/>
    <s v="N"/>
    <n v="21328109"/>
    <s v="3000010797840006"/>
    <s v="CIVIL"/>
    <d v="2023-06-23T00:00:00"/>
    <d v="2023-07-04T19:00:44"/>
    <m/>
    <d v="2023-07-04T00:00:00"/>
    <n v="2002"/>
    <n v="14447"/>
    <s v="40182202"/>
    <s v="40182202"/>
    <m/>
    <m/>
    <n v="22755060"/>
    <m/>
    <m/>
    <m/>
    <s v="SOLFIN"/>
    <s v="SOLFIN"/>
    <s v="CCMS"/>
    <n v="21328109"/>
    <n v="9969.59"/>
    <m/>
    <s v="N"/>
    <n v="102"/>
    <d v="2023-07-04T19:01:04"/>
    <s v="Y"/>
    <s v="Attendance upon client"/>
    <s v="Non Family Hourly Rates"/>
    <s v="Profit Cost"/>
    <s v="JB"/>
    <s v="Y"/>
    <n v="78.98"/>
    <n v="15.8"/>
    <x v="1"/>
    <s v="VALIDATED"/>
    <n v="1"/>
    <s v="01.11.80.209.6100.0000"/>
    <n v="78.98"/>
    <s v="11"/>
    <s v="6100"/>
    <n v="11099.38"/>
    <n v="78.98"/>
    <s v="CREDITOR"/>
    <n v="0"/>
    <n v="0"/>
    <n v="0"/>
    <n v="0"/>
    <n v="78.98"/>
  </r>
  <r>
    <n v="40182202"/>
    <s v="N"/>
    <n v="21328109"/>
    <s v="3000010797840006"/>
    <s v="CIVIL"/>
    <d v="2023-06-23T00:00:00"/>
    <d v="2023-07-04T19:00:44"/>
    <m/>
    <d v="2023-07-04T00:00:00"/>
    <n v="2002"/>
    <n v="14447"/>
    <s v="40182202"/>
    <s v="40182202"/>
    <m/>
    <m/>
    <n v="22755060"/>
    <m/>
    <m/>
    <m/>
    <s v="SOLFIN"/>
    <s v="SOLFIN"/>
    <s v="CCMS"/>
    <n v="21328109"/>
    <n v="9969.59"/>
    <m/>
    <s v="N"/>
    <n v="57"/>
    <d v="2023-07-04T19:01:04"/>
    <s v="Y"/>
    <s v="Preparation - other"/>
    <s v="Non Family Hourly Rates"/>
    <s v="Profit Cost"/>
    <s v="JB"/>
    <s v="Y"/>
    <n v="17.55"/>
    <n v="3.51"/>
    <x v="1"/>
    <s v="VALIDATED"/>
    <n v="1"/>
    <s v="01.11.80.209.6100.0000"/>
    <n v="17.55"/>
    <s v="11"/>
    <s v="6100"/>
    <n v="11099.38"/>
    <n v="17.55"/>
    <s v="CREDITOR"/>
    <n v="0"/>
    <n v="0"/>
    <n v="0"/>
    <n v="0"/>
    <n v="17.55"/>
  </r>
  <r>
    <n v="56242567"/>
    <s v="N"/>
    <n v="21343963"/>
    <s v="3000013348520008"/>
    <s v="CIVIL"/>
    <d v="2023-06-27T00:00:00"/>
    <d v="2023-07-07T19:03:00"/>
    <m/>
    <d v="2023-07-07T00:00:00"/>
    <n v="2002"/>
    <n v="14447"/>
    <s v="56242567"/>
    <s v="56242567"/>
    <m/>
    <m/>
    <n v="22773262"/>
    <m/>
    <m/>
    <m/>
    <s v="SOLFIN"/>
    <s v="SOLFIN"/>
    <s v="CCMS"/>
    <n v="21343963"/>
    <n v="5409.2"/>
    <m/>
    <s v="N"/>
    <n v="6"/>
    <d v="2023-07-07T19:03:18"/>
    <s v="Y"/>
    <s v="Hearing Unit 1.01 - 2.30 Hours"/>
    <s v="Public Law Children"/>
    <s v="Advocacy"/>
    <s v="JB"/>
    <s v="Y"/>
    <n v="238.46"/>
    <n v="47.69"/>
    <x v="9"/>
    <s v="VALIDATED"/>
    <n v="1"/>
    <s v="01.11.80.308.6100.0000"/>
    <n v="238.46"/>
    <s v="11"/>
    <s v="6100"/>
    <n v="11099.38"/>
    <n v="238.46"/>
    <s v="CREDITOR"/>
    <n v="0"/>
    <n v="0"/>
    <n v="0"/>
    <n v="0"/>
    <n v="238.46"/>
  </r>
  <r>
    <n v="40182202"/>
    <s v="N"/>
    <n v="21328109"/>
    <s v="3000010797840006"/>
    <s v="CIVIL"/>
    <d v="2023-06-23T00:00:00"/>
    <d v="2023-07-04T19:00:44"/>
    <m/>
    <d v="2023-07-04T00:00:00"/>
    <n v="2002"/>
    <n v="14447"/>
    <s v="40182202"/>
    <s v="40182202"/>
    <m/>
    <m/>
    <n v="22755060"/>
    <m/>
    <m/>
    <m/>
    <s v="SOLFIN"/>
    <s v="SOLFIN"/>
    <s v="CCMS"/>
    <n v="21328109"/>
    <n v="9969.59"/>
    <m/>
    <s v="N"/>
    <n v="86"/>
    <d v="2023-07-04T19:01:04"/>
    <s v="Y"/>
    <s v="Preparation - drafting attendance n"/>
    <s v="Non Family Hourly Rates"/>
    <s v="Profit Cost"/>
    <s v="JB"/>
    <s v="Y"/>
    <n v="13.5"/>
    <n v="2.7"/>
    <x v="1"/>
    <s v="VALIDATED"/>
    <n v="1"/>
    <s v="01.11.80.209.6100.0000"/>
    <n v="13.5"/>
    <s v="11"/>
    <s v="6100"/>
    <n v="11099.38"/>
    <n v="13.5"/>
    <s v="CREDITOR"/>
    <n v="0"/>
    <n v="0"/>
    <n v="0"/>
    <n v="0"/>
    <n v="13.5"/>
  </r>
  <r>
    <n v="62408762"/>
    <s v="N"/>
    <n v="21321017"/>
    <s v="3000016381990002"/>
    <s v="CIVIL"/>
    <d v="2023-06-28T00:00:00"/>
    <d v="2023-07-03T19:04:52"/>
    <m/>
    <d v="2023-07-03T00:00:00"/>
    <n v="2002"/>
    <n v="14447"/>
    <s v="62408762"/>
    <s v="62408762"/>
    <m/>
    <m/>
    <n v="22779530"/>
    <m/>
    <m/>
    <m/>
    <s v="SOLPOA"/>
    <s v="SOLPOA"/>
    <s v="CCMS"/>
    <n v="21321017"/>
    <n v="78.2"/>
    <m/>
    <s v="N"/>
    <n v="1"/>
    <d v="2023-07-03T19:04:57"/>
    <s v="N"/>
    <s v="Non Expert Disbursement - Private L"/>
    <s v="Non Expert Disbursement - Priv"/>
    <s v="Non Expert Disbursement"/>
    <s v="FHA"/>
    <s v="N"/>
    <n v="78.2"/>
    <n v="0"/>
    <x v="3"/>
    <s v="VALIDATED"/>
    <n v="1"/>
    <s v="01.11.80.302.2012.0000"/>
    <n v="78.2"/>
    <s v="11"/>
    <s v="2012"/>
    <n v="11099.38"/>
    <n v="78.2"/>
    <s v="CREDITOR"/>
    <n v="78.2"/>
    <n v="0"/>
    <n v="0"/>
    <n v="0"/>
    <n v="0"/>
  </r>
  <r>
    <n v="62390655"/>
    <s v="N"/>
    <n v="21320267"/>
    <s v="3000016367140001"/>
    <s v="CIVIL"/>
    <d v="2023-06-28T00:00:00"/>
    <d v="2023-07-03T19:04:52"/>
    <m/>
    <d v="2023-07-03T00:00:00"/>
    <n v="2002"/>
    <n v="14447"/>
    <s v="62390655"/>
    <s v="62390655"/>
    <m/>
    <m/>
    <n v="22779130"/>
    <m/>
    <m/>
    <m/>
    <s v="SOLPOA"/>
    <s v="SOLPOA"/>
    <s v="CCMS"/>
    <n v="21320267"/>
    <n v="167"/>
    <m/>
    <s v="N"/>
    <n v="1"/>
    <d v="2023-07-03T19:04:53"/>
    <s v="N"/>
    <s v="Non Expert Disbursement - Private L"/>
    <s v="Non Expert Disbursement - Priv"/>
    <s v="Non Expert Disbursement"/>
    <s v="FHA"/>
    <s v="N"/>
    <n v="167"/>
    <n v="0"/>
    <x v="3"/>
    <s v="VALIDATED"/>
    <n v="1"/>
    <s v="01.11.80.307.2012.0000"/>
    <n v="167"/>
    <s v="11"/>
    <s v="2012"/>
    <n v="11099.38"/>
    <n v="167"/>
    <s v="CREDITOR"/>
    <n v="167"/>
    <n v="0"/>
    <n v="0"/>
    <n v="0"/>
    <n v="0"/>
  </r>
  <r>
    <n v="56242567"/>
    <s v="N"/>
    <n v="21343963"/>
    <s v="3000013348520008"/>
    <s v="CIVIL"/>
    <d v="2023-06-27T00:00:00"/>
    <d v="2023-07-07T19:03:00"/>
    <m/>
    <d v="2023-07-07T00:00:00"/>
    <n v="2002"/>
    <n v="14447"/>
    <s v="56242567"/>
    <s v="56242567"/>
    <m/>
    <m/>
    <n v="22773262"/>
    <m/>
    <m/>
    <m/>
    <s v="SOLFIN"/>
    <s v="SOLFIN"/>
    <s v="CCMS"/>
    <n v="21343963"/>
    <n v="5409.2"/>
    <m/>
    <s v="N"/>
    <n v="3"/>
    <d v="2023-07-07T19:03:18"/>
    <s v="Y"/>
    <s v="Toxicologist"/>
    <s v="Public Law Children"/>
    <s v="Expert Disbursement"/>
    <s v="JB"/>
    <s v="Y"/>
    <n v="188.75"/>
    <n v="37.75"/>
    <x v="9"/>
    <s v="VALIDATED"/>
    <n v="1"/>
    <s v="01.11.80.308.6300.0000"/>
    <n v="188.75"/>
    <s v="11"/>
    <s v="6300"/>
    <n v="11099.38"/>
    <n v="188.75"/>
    <s v="CREDITOR"/>
    <n v="0"/>
    <n v="0"/>
    <n v="0"/>
    <n v="0"/>
    <n v="188.75"/>
  </r>
  <r>
    <n v="40182202"/>
    <s v="N"/>
    <n v="21328109"/>
    <s v="3000010797840006"/>
    <s v="CIVIL"/>
    <d v="2023-06-23T00:00:00"/>
    <d v="2023-07-04T19:00:44"/>
    <m/>
    <d v="2023-07-04T00:00:00"/>
    <n v="2002"/>
    <n v="14447"/>
    <s v="40182202"/>
    <s v="40182202"/>
    <m/>
    <m/>
    <n v="22755060"/>
    <m/>
    <m/>
    <m/>
    <s v="SOLFIN"/>
    <s v="SOLFIN"/>
    <s v="CCMS"/>
    <n v="21328109"/>
    <n v="9969.59"/>
    <m/>
    <s v="N"/>
    <n v="13"/>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30"/>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40"/>
    <d v="2023-07-04T19:01:04"/>
    <s v="Y"/>
    <s v="Preparation - drafting instructions"/>
    <s v="Non Family Hourly Rates"/>
    <s v="Profit Cost"/>
    <s v="JB"/>
    <s v="Y"/>
    <n v="96.53"/>
    <n v="19.31"/>
    <x v="1"/>
    <s v="VALIDATED"/>
    <n v="1"/>
    <s v="01.11.80.209.6100.0000"/>
    <n v="96.53"/>
    <s v="11"/>
    <s v="6100"/>
    <n v="11099.38"/>
    <n v="96.53"/>
    <s v="CREDITOR"/>
    <n v="0"/>
    <n v="0"/>
    <n v="0"/>
    <n v="0"/>
    <n v="96.53"/>
  </r>
  <r>
    <n v="40182202"/>
    <s v="N"/>
    <n v="21328109"/>
    <s v="3000010797840006"/>
    <s v="CIVIL"/>
    <d v="2023-06-23T00:00:00"/>
    <d v="2023-07-04T19:00:44"/>
    <m/>
    <d v="2023-07-04T00:00:00"/>
    <n v="2002"/>
    <n v="14447"/>
    <s v="40182202"/>
    <s v="40182202"/>
    <m/>
    <m/>
    <n v="22755060"/>
    <m/>
    <m/>
    <m/>
    <s v="SOLFIN"/>
    <s v="SOLFIN"/>
    <s v="CCMS"/>
    <n v="21328109"/>
    <n v="9969.59"/>
    <m/>
    <s v="N"/>
    <n v="49"/>
    <d v="2023-07-04T19:01:04"/>
    <s v="Y"/>
    <s v="Preparation - other"/>
    <s v="Non Family Hourly Rates"/>
    <s v="Profit Cost"/>
    <s v="JB"/>
    <s v="Y"/>
    <n v="8.779999999999999"/>
    <n v="1.76"/>
    <x v="1"/>
    <s v="VALIDATED"/>
    <n v="1"/>
    <s v="01.11.80.209.6100.0000"/>
    <n v="8.779999999999999"/>
    <s v="11"/>
    <s v="6100"/>
    <n v="11099.38"/>
    <n v="8.779999999999999"/>
    <s v="CREDITOR"/>
    <n v="0"/>
    <n v="0"/>
    <n v="0"/>
    <n v="0"/>
    <n v="8.779999999999999"/>
  </r>
  <r>
    <n v="40182202"/>
    <s v="N"/>
    <n v="21328109"/>
    <s v="3000010797840006"/>
    <s v="CIVIL"/>
    <d v="2023-06-23T00:00:00"/>
    <d v="2023-07-04T19:00:44"/>
    <m/>
    <d v="2023-07-04T00:00:00"/>
    <n v="2002"/>
    <n v="14447"/>
    <s v="40182202"/>
    <s v="40182202"/>
    <m/>
    <m/>
    <n v="22755060"/>
    <m/>
    <m/>
    <m/>
    <s v="SOLFIN"/>
    <s v="SOLFIN"/>
    <s v="CCMS"/>
    <n v="21328109"/>
    <n v="9969.59"/>
    <m/>
    <s v="N"/>
    <n v="74"/>
    <d v="2023-07-04T19:01:04"/>
    <s v="Y"/>
    <s v="Preparation - other"/>
    <s v="Non Family Hourly Rates"/>
    <s v="Profit Cost"/>
    <s v="JB"/>
    <s v="Y"/>
    <n v="61.43"/>
    <n v="12.29"/>
    <x v="1"/>
    <s v="VALIDATED"/>
    <n v="1"/>
    <s v="01.11.80.209.6100.0000"/>
    <n v="61.43"/>
    <s v="11"/>
    <s v="6100"/>
    <n v="11099.38"/>
    <n v="61.43"/>
    <s v="CREDITOR"/>
    <n v="0"/>
    <n v="0"/>
    <n v="0"/>
    <n v="0"/>
    <n v="61.43"/>
  </r>
  <r>
    <n v="40182202"/>
    <s v="N"/>
    <n v="21328109"/>
    <s v="3000010797840006"/>
    <s v="CIVIL"/>
    <d v="2023-06-23T00:00:00"/>
    <d v="2023-07-04T19:00:44"/>
    <m/>
    <d v="2023-07-04T00:00:00"/>
    <n v="2002"/>
    <n v="14447"/>
    <s v="40182202"/>
    <s v="40182202"/>
    <m/>
    <m/>
    <n v="22755060"/>
    <m/>
    <m/>
    <m/>
    <s v="SOLFIN"/>
    <s v="SOLFIN"/>
    <s v="CCMS"/>
    <n v="21328109"/>
    <n v="9969.59"/>
    <m/>
    <s v="N"/>
    <n v="36"/>
    <d v="2023-07-04T19:01:04"/>
    <s v="Y"/>
    <s v="Preparation - drafting attendance n"/>
    <s v="Non Family Hourly Rates"/>
    <s v="Profit Cost"/>
    <s v="JB"/>
    <s v="Y"/>
    <n v="6.75"/>
    <n v="1.35"/>
    <x v="1"/>
    <s v="VALIDATED"/>
    <n v="1"/>
    <s v="01.11.80.209.6100.0000"/>
    <n v="6.75"/>
    <s v="11"/>
    <s v="6100"/>
    <n v="11099.38"/>
    <n v="6.75"/>
    <s v="CREDITOR"/>
    <n v="0"/>
    <n v="0"/>
    <n v="0"/>
    <n v="0"/>
    <n v="6.75"/>
  </r>
  <r>
    <n v="61727758"/>
    <s v="N"/>
    <n v="21328275"/>
    <s v="3000015814260006"/>
    <s v="CIVIL"/>
    <d v="2023-06-27T00:00:00"/>
    <d v="2023-07-04T19:00:44"/>
    <m/>
    <d v="2023-07-04T00:00:00"/>
    <n v="2002"/>
    <n v="14447"/>
    <s v="61727758"/>
    <s v="61727758"/>
    <m/>
    <m/>
    <n v="22773066"/>
    <m/>
    <m/>
    <m/>
    <s v="SOLFIN"/>
    <s v="SOLFIN"/>
    <s v="CCMS"/>
    <n v="21328275"/>
    <n v="6397.05"/>
    <m/>
    <s v="N"/>
    <n v="2"/>
    <d v="2023-07-04T19:01:11"/>
    <s v="Y"/>
    <s v="Court Fee"/>
    <s v="Public Law Children"/>
    <s v="Non Expert Disbursement"/>
    <s v="JB"/>
    <s v="Y"/>
    <n v="167"/>
    <n v="0"/>
    <x v="1"/>
    <s v="VALIDATED"/>
    <n v="1"/>
    <s v="01.11.80.308.6300.0000"/>
    <n v="167"/>
    <s v="11"/>
    <s v="6300"/>
    <n v="11099.38"/>
    <n v="167"/>
    <s v="CREDITOR"/>
    <n v="0"/>
    <n v="0"/>
    <n v="0"/>
    <n v="0"/>
    <n v="167"/>
  </r>
  <r>
    <n v="56242567"/>
    <s v="N"/>
    <n v="21343963"/>
    <s v="3000013348520008"/>
    <s v="CIVIL"/>
    <d v="2023-06-27T00:00:00"/>
    <d v="2023-07-07T19:03:00"/>
    <m/>
    <d v="2023-07-07T00:00:00"/>
    <n v="2002"/>
    <n v="14447"/>
    <s v="56242567"/>
    <s v="56242567"/>
    <m/>
    <m/>
    <n v="22773262"/>
    <m/>
    <m/>
    <m/>
    <s v="SOLFIN"/>
    <s v="SOLFIN"/>
    <s v="CCMS"/>
    <n v="21343963"/>
    <n v="5409.2"/>
    <m/>
    <s v="N"/>
    <n v="8"/>
    <d v="2023-07-07T19:03:18"/>
    <s v="Y"/>
    <s v="Hearing Unit 1.01 - 2.30 Hours"/>
    <s v="Public Law Children"/>
    <s v="Advocacy"/>
    <s v="JB"/>
    <s v="Y"/>
    <n v="238.46"/>
    <n v="47.69"/>
    <x v="9"/>
    <s v="VALIDATED"/>
    <n v="1"/>
    <s v="01.11.80.308.6100.0000"/>
    <n v="238.46"/>
    <s v="11"/>
    <s v="6100"/>
    <n v="11099.38"/>
    <n v="238.46"/>
    <s v="CREDITOR"/>
    <n v="0"/>
    <n v="0"/>
    <n v="0"/>
    <n v="0"/>
    <n v="238.46"/>
  </r>
  <r>
    <n v="40182202"/>
    <s v="N"/>
    <n v="21328109"/>
    <s v="3000010797840006"/>
    <s v="CIVIL"/>
    <d v="2023-06-23T00:00:00"/>
    <d v="2023-07-04T19:00:44"/>
    <m/>
    <d v="2023-07-04T00:00:00"/>
    <n v="2002"/>
    <n v="14447"/>
    <s v="40182202"/>
    <s v="40182202"/>
    <m/>
    <m/>
    <n v="22755060"/>
    <m/>
    <m/>
    <m/>
    <s v="SOLFIN"/>
    <s v="SOLFIN"/>
    <s v="CCMS"/>
    <n v="21328109"/>
    <n v="9969.59"/>
    <m/>
    <s v="N"/>
    <n v="44"/>
    <d v="2023-07-04T19:01:04"/>
    <s v="Y"/>
    <s v="Preparation - other"/>
    <s v="Non Family Hourly Rates"/>
    <s v="Profit Cost"/>
    <s v="JB"/>
    <s v="Y"/>
    <n v="26.33"/>
    <n v="5.27"/>
    <x v="1"/>
    <s v="VALIDATED"/>
    <n v="1"/>
    <s v="01.11.80.209.6100.0000"/>
    <n v="26.33"/>
    <s v="11"/>
    <s v="6100"/>
    <n v="11099.38"/>
    <n v="26.33"/>
    <s v="CREDITOR"/>
    <n v="0"/>
    <n v="0"/>
    <n v="0"/>
    <n v="0"/>
    <n v="26.33"/>
  </r>
  <r>
    <n v="40182202"/>
    <s v="N"/>
    <n v="21328109"/>
    <s v="3000010797840006"/>
    <s v="CIVIL"/>
    <d v="2023-06-23T00:00:00"/>
    <d v="2023-07-04T19:00:44"/>
    <m/>
    <d v="2023-07-04T00:00:00"/>
    <n v="2002"/>
    <n v="14447"/>
    <s v="40182202"/>
    <s v="40182202"/>
    <m/>
    <m/>
    <n v="22755060"/>
    <m/>
    <m/>
    <m/>
    <s v="SOLFIN"/>
    <s v="SOLFIN"/>
    <s v="CCMS"/>
    <n v="21328109"/>
    <n v="9969.59"/>
    <m/>
    <s v="N"/>
    <n v="63"/>
    <d v="2023-07-04T19:01:04"/>
    <s v="Y"/>
    <s v="Preparation - other"/>
    <s v="Non Family Hourly Rates"/>
    <s v="Profit Cost"/>
    <s v="JB"/>
    <s v="Y"/>
    <n v="17.55"/>
    <n v="3.51"/>
    <x v="1"/>
    <s v="VALIDATED"/>
    <n v="1"/>
    <s v="01.11.80.209.6100.0000"/>
    <n v="17.55"/>
    <s v="11"/>
    <s v="6100"/>
    <n v="11099.38"/>
    <n v="17.55"/>
    <s v="CREDITOR"/>
    <n v="0"/>
    <n v="0"/>
    <n v="0"/>
    <n v="0"/>
    <n v="17.55"/>
  </r>
  <r>
    <n v="57733596"/>
    <s v="N"/>
    <n v="21350156"/>
    <s v="3000013632850007"/>
    <s v="CIVIL"/>
    <d v="2023-06-30T00:00:00"/>
    <d v="2023-07-10T19:01:40"/>
    <m/>
    <d v="2023-07-10T00:00:00"/>
    <n v="2003"/>
    <n v="14447"/>
    <s v="57733596"/>
    <s v="57733596"/>
    <m/>
    <m/>
    <n v="22794578"/>
    <m/>
    <m/>
    <m/>
    <s v="SOLFIN"/>
    <s v="SOLFIN"/>
    <s v="CCMS"/>
    <n v="21350156"/>
    <n v="4981.38"/>
    <m/>
    <s v="N"/>
    <n v="3"/>
    <d v="2023-07-10T19:02:16"/>
    <s v="Y"/>
    <s v="Toxicologist"/>
    <s v="Public Law Children"/>
    <s v="Expert Disbursement"/>
    <s v="SF"/>
    <s v="Y"/>
    <n v="459"/>
    <n v="91.8"/>
    <x v="2"/>
    <s v="VALIDATED"/>
    <n v="1"/>
    <s v="01.11.80.308.6300.0000"/>
    <n v="459"/>
    <s v="11"/>
    <s v="6300"/>
    <n v="654.52"/>
    <n v="459"/>
    <s v="CREDITOR"/>
    <n v="0"/>
    <n v="0"/>
    <n v="0"/>
    <n v="0"/>
    <n v="459"/>
  </r>
  <r>
    <n v="57733596"/>
    <s v="N"/>
    <n v="21350156"/>
    <s v="3000013632850007"/>
    <s v="CIVIL"/>
    <d v="2023-06-30T00:00:00"/>
    <d v="2023-07-10T19:01:40"/>
    <m/>
    <d v="2023-07-10T00:00:00"/>
    <n v="2003"/>
    <n v="14447"/>
    <s v="57733596"/>
    <s v="57733596"/>
    <m/>
    <m/>
    <n v="22794578"/>
    <m/>
    <m/>
    <m/>
    <s v="SOLFIN"/>
    <s v="SOLFIN"/>
    <s v="CCMS"/>
    <n v="21350156"/>
    <n v="4981.38"/>
    <m/>
    <s v="N"/>
    <n v="4"/>
    <d v="2023-07-10T19:02:16"/>
    <s v="Y"/>
    <s v="Advocates Meeting"/>
    <s v="Public Law Children"/>
    <s v="Advocacy"/>
    <s v="AS"/>
    <s v="Y"/>
    <n v="140.99"/>
    <n v="28.2"/>
    <x v="2"/>
    <s v="VALIDATED"/>
    <n v="1"/>
    <s v="01.11.80.308.6100.0000"/>
    <n v="140.99"/>
    <s v="11"/>
    <s v="6100"/>
    <n v="654.52"/>
    <n v="140.99"/>
    <s v="CREDITOR"/>
    <n v="0"/>
    <n v="0"/>
    <n v="0"/>
    <n v="0"/>
    <n v="140.99"/>
  </r>
  <r>
    <n v="57733596"/>
    <s v="N"/>
    <n v="21350156"/>
    <s v="3000013632850007"/>
    <s v="CIVIL"/>
    <d v="2023-06-30T00:00:00"/>
    <d v="2023-07-10T19:01:40"/>
    <m/>
    <d v="2023-07-10T00:00:00"/>
    <n v="2003"/>
    <n v="14447"/>
    <s v="57733596"/>
    <s v="57733596"/>
    <m/>
    <m/>
    <n v="22794578"/>
    <m/>
    <m/>
    <m/>
    <s v="SOLFIN"/>
    <s v="SOLFIN"/>
    <s v="CCMS"/>
    <n v="21350156"/>
    <n v="4981.38"/>
    <m/>
    <s v="N"/>
    <n v="1"/>
    <d v="2023-07-10T19:02:16"/>
    <s v="Y"/>
    <s v="Solicitors Fixed Fee"/>
    <s v="Public Law Children"/>
    <s v="Profit Cost"/>
    <s v="SF"/>
    <s v="Y"/>
    <n v="1911"/>
    <n v="382.2"/>
    <x v="2"/>
    <s v="VALIDATED"/>
    <n v="1"/>
    <s v="01.11.80.308.6100.0000"/>
    <n v="1911"/>
    <s v="11"/>
    <s v="6100"/>
    <n v="654.52"/>
    <n v="1911"/>
    <s v="CREDITOR"/>
    <n v="0"/>
    <n v="0"/>
    <n v="0"/>
    <n v="0"/>
    <n v="1911"/>
  </r>
  <r>
    <n v="57733596"/>
    <s v="N"/>
    <n v="21350156"/>
    <s v="3000013632850007"/>
    <s v="CIVIL"/>
    <d v="2023-06-30T00:00:00"/>
    <d v="2023-07-10T19:01:40"/>
    <m/>
    <d v="2023-07-10T00:00:00"/>
    <n v="2003"/>
    <n v="14447"/>
    <s v="57733596"/>
    <s v="57733596"/>
    <m/>
    <m/>
    <n v="22794578"/>
    <m/>
    <m/>
    <m/>
    <s v="SOLFIN"/>
    <s v="SOLFIN"/>
    <s v="CCMS"/>
    <n v="21350156"/>
    <n v="4981.38"/>
    <m/>
    <s v="N"/>
    <n v="6"/>
    <d v="2023-07-10T19:02:16"/>
    <s v="Y"/>
    <s v="Advocates Meeting"/>
    <s v="Public Law Children"/>
    <s v="Advocacy"/>
    <s v="LG"/>
    <s v="Y"/>
    <n v="140.99"/>
    <n v="28.2"/>
    <x v="2"/>
    <s v="VALIDATED"/>
    <n v="1"/>
    <s v="01.11.80.308.6100.0000"/>
    <n v="140.99"/>
    <s v="11"/>
    <s v="6100"/>
    <n v="654.52"/>
    <n v="140.99"/>
    <s v="CREDITOR"/>
    <n v="0"/>
    <n v="0"/>
    <n v="0"/>
    <n v="0"/>
    <n v="140.99"/>
  </r>
  <r>
    <n v="57733596"/>
    <s v="N"/>
    <n v="21350156"/>
    <s v="3000013632850007"/>
    <s v="CIVIL"/>
    <d v="2023-06-30T00:00:00"/>
    <d v="2023-07-10T19:01:40"/>
    <m/>
    <d v="2023-07-10T00:00:00"/>
    <n v="2003"/>
    <n v="14447"/>
    <s v="57733596"/>
    <s v="57733596"/>
    <m/>
    <m/>
    <n v="22794578"/>
    <m/>
    <m/>
    <m/>
    <s v="SOLFIN"/>
    <s v="SOLFIN"/>
    <s v="CCMS"/>
    <n v="21350156"/>
    <n v="4981.38"/>
    <m/>
    <s v="N"/>
    <n v="2"/>
    <d v="2023-07-10T19:02:16"/>
    <s v="Y"/>
    <s v="Toxicologist"/>
    <s v="Public Law Children"/>
    <s v="Expert Disbursement"/>
    <s v="SF"/>
    <s v="Y"/>
    <n v="246.67"/>
    <n v="49.33"/>
    <x v="2"/>
    <s v="VALIDATED"/>
    <n v="1"/>
    <s v="01.11.80.308.6300.0000"/>
    <n v="246.67"/>
    <s v="11"/>
    <s v="6300"/>
    <n v="654.52"/>
    <n v="246.67"/>
    <s v="CREDITOR"/>
    <n v="0"/>
    <n v="0"/>
    <n v="0"/>
    <n v="0"/>
    <n v="246.67"/>
  </r>
  <r>
    <n v="57733596"/>
    <s v="N"/>
    <n v="21350156"/>
    <s v="3000013632850007"/>
    <s v="CIVIL"/>
    <d v="2023-06-30T00:00:00"/>
    <d v="2023-07-10T19:01:40"/>
    <m/>
    <d v="2023-07-10T00:00:00"/>
    <n v="2003"/>
    <n v="14447"/>
    <s v="57733596"/>
    <s v="57733596"/>
    <m/>
    <m/>
    <n v="22794578"/>
    <m/>
    <m/>
    <m/>
    <s v="SOLFIN"/>
    <s v="SOLFIN"/>
    <s v="CCMS"/>
    <n v="21350156"/>
    <n v="4981.38"/>
    <m/>
    <s v="N"/>
    <n v="5"/>
    <d v="2023-07-10T19:02:16"/>
    <s v="Y"/>
    <s v="Hearing Unit 1.01 - 2.30 Hours"/>
    <s v="Public Law Children"/>
    <s v="Advocacy"/>
    <s v="AS"/>
    <s v="Y"/>
    <n v="238.46"/>
    <n v="47.69"/>
    <x v="2"/>
    <s v="VALIDATED"/>
    <n v="1"/>
    <s v="01.11.80.308.6100.0000"/>
    <n v="238.46"/>
    <s v="11"/>
    <s v="6100"/>
    <n v="654.52"/>
    <n v="238.46"/>
    <s v="CREDITOR"/>
    <n v="0"/>
    <n v="0"/>
    <n v="0"/>
    <n v="0"/>
    <n v="238.46"/>
  </r>
  <r>
    <n v="57733596"/>
    <s v="N"/>
    <n v="21350156"/>
    <s v="3000013632850007"/>
    <s v="CIVIL"/>
    <d v="2023-06-30T00:00:00"/>
    <d v="2023-07-10T19:01:40"/>
    <m/>
    <d v="2023-07-10T00:00:00"/>
    <n v="2003"/>
    <n v="14447"/>
    <s v="57733596"/>
    <s v="57733596"/>
    <m/>
    <m/>
    <n v="22794578"/>
    <m/>
    <m/>
    <m/>
    <s v="SOLFIN"/>
    <s v="SOLFIN"/>
    <s v="CCMS"/>
    <n v="21350156"/>
    <n v="4981.38"/>
    <m/>
    <s v="N"/>
    <n v="9"/>
    <d v="2023-07-10T19:02:16"/>
    <s v="Y"/>
    <s v="Interim Hearing Court Bundle/Advoca"/>
    <s v="Public Law Children"/>
    <s v="Advocacy"/>
    <s v="LG"/>
    <s v="Y"/>
    <n v="59.4"/>
    <n v="11.88"/>
    <x v="2"/>
    <s v="VALIDATED"/>
    <n v="1"/>
    <s v="01.11.80.308.6100.0000"/>
    <n v="59.4"/>
    <s v="11"/>
    <s v="6100"/>
    <n v="654.52"/>
    <n v="59.4"/>
    <s v="CREDITOR"/>
    <n v="0"/>
    <n v="0"/>
    <n v="0"/>
    <n v="0"/>
    <n v="59.4"/>
  </r>
  <r>
    <n v="57733596"/>
    <s v="N"/>
    <n v="21350156"/>
    <s v="3000013632850007"/>
    <s v="CIVIL"/>
    <d v="2023-06-30T00:00:00"/>
    <d v="2023-07-10T19:01:40"/>
    <m/>
    <d v="2023-07-10T00:00:00"/>
    <n v="2003"/>
    <n v="14447"/>
    <s v="57733596"/>
    <s v="57733596"/>
    <m/>
    <m/>
    <n v="22794578"/>
    <m/>
    <m/>
    <m/>
    <s v="SOLFIN"/>
    <s v="SOLFIN"/>
    <s v="CCMS"/>
    <n v="21350156"/>
    <n v="4981.38"/>
    <m/>
    <s v="N"/>
    <n v="7"/>
    <d v="2023-07-10T19:02:16"/>
    <s v="Y"/>
    <s v="Hearing Unit 1.01 - 2.30 Hours"/>
    <s v="Public Law Children"/>
    <s v="Advocacy"/>
    <s v="LG"/>
    <s v="Y"/>
    <n v="238.46"/>
    <n v="47.69"/>
    <x v="2"/>
    <s v="VALIDATED"/>
    <n v="1"/>
    <s v="01.11.80.308.6100.0000"/>
    <n v="238.46"/>
    <s v="11"/>
    <s v="6100"/>
    <n v="654.52"/>
    <n v="238.46"/>
    <s v="CREDITOR"/>
    <n v="0"/>
    <n v="0"/>
    <n v="0"/>
    <n v="0"/>
    <n v="238.46"/>
  </r>
  <r>
    <n v="57733596"/>
    <s v="N"/>
    <n v="21350156"/>
    <s v="3000013632850007"/>
    <s v="CIVIL"/>
    <d v="2023-06-30T00:00:00"/>
    <d v="2023-07-10T19:01:40"/>
    <m/>
    <d v="2023-07-10T00:00:00"/>
    <n v="2003"/>
    <n v="14447"/>
    <s v="57733596"/>
    <s v="57733596"/>
    <m/>
    <m/>
    <n v="22794578"/>
    <m/>
    <m/>
    <m/>
    <s v="SOLFIN"/>
    <s v="SOLFIN"/>
    <s v="CCMS"/>
    <n v="21350156"/>
    <n v="4981.38"/>
    <m/>
    <s v="N"/>
    <n v="8"/>
    <d v="2023-07-10T19:02:16"/>
    <s v="Y"/>
    <s v="Final Hearing - 1 Day"/>
    <s v="Public Law Children"/>
    <s v="Advocacy"/>
    <s v="LG"/>
    <s v="Y"/>
    <n v="556.88"/>
    <n v="111.38"/>
    <x v="2"/>
    <s v="VALIDATED"/>
    <n v="1"/>
    <s v="01.11.80.308.6100.0000"/>
    <n v="556.88"/>
    <s v="11"/>
    <s v="6100"/>
    <n v="654.52"/>
    <n v="556.88"/>
    <s v="CREDITOR"/>
    <n v="0"/>
    <n v="0"/>
    <n v="0"/>
    <n v="0"/>
    <n v="556.88"/>
  </r>
  <r>
    <n v="57733596"/>
    <s v="N"/>
    <n v="21350156"/>
    <s v="3000013632850007"/>
    <s v="CIVIL"/>
    <d v="2023-06-30T00:00:00"/>
    <d v="2023-07-10T19:01:40"/>
    <m/>
    <d v="2023-07-10T00:00:00"/>
    <n v="2003"/>
    <n v="14447"/>
    <s v="57733596"/>
    <s v="57733596"/>
    <m/>
    <m/>
    <n v="22794578"/>
    <m/>
    <m/>
    <m/>
    <s v="SOLFIN"/>
    <s v="SOLFIN"/>
    <s v="CCMS"/>
    <n v="21350156"/>
    <n v="4981.38"/>
    <m/>
    <s v="N"/>
    <n v="10"/>
    <d v="2023-07-10T19:02:16"/>
    <s v="Y"/>
    <s v="Final Hearing Court Bundle/Advocate"/>
    <s v="Public Law Children"/>
    <s v="Advocacy"/>
    <s v="LG"/>
    <s v="Y"/>
    <n v="159.3"/>
    <n v="31.86"/>
    <x v="2"/>
    <s v="VALIDATED"/>
    <n v="1"/>
    <s v="01.11.80.308.6100.0000"/>
    <n v="159.3"/>
    <s v="11"/>
    <s v="6100"/>
    <n v="654.52"/>
    <n v="159.3"/>
    <s v="CREDITOR"/>
    <n v="0"/>
    <n v="0"/>
    <n v="0"/>
    <n v="0"/>
    <n v="159.3"/>
  </r>
  <r>
    <n v="57733596"/>
    <s v="N"/>
    <n v="21356885"/>
    <s v="3000013632850002RC"/>
    <s v="CIVIL"/>
    <d v="2023-06-30T00:00:00"/>
    <d v="2023-07-10T19:47:44"/>
    <m/>
    <d v="2023-07-10T00:00:00"/>
    <n v="2003"/>
    <n v="14447"/>
    <s v="57733596"/>
    <s v="57733596"/>
    <m/>
    <m/>
    <m/>
    <m/>
    <m/>
    <m/>
    <s v="SOLRECOUP"/>
    <s v="SOLRECOUP"/>
    <s v="POARECOUP"/>
    <n v="21356885"/>
    <n v="-155"/>
    <m/>
    <s v="Y"/>
    <n v="2"/>
    <d v="2023-07-10T19:47:46"/>
    <s v="N"/>
    <m/>
    <m/>
    <s v="Non Expert Disbursement"/>
    <m/>
    <s v="N"/>
    <n v="0"/>
    <n v="0"/>
    <x v="2"/>
    <s v="VALIDATED"/>
    <n v="1"/>
    <s v="01.11.80.000.0000.0000"/>
    <n v="0"/>
    <s v="11"/>
    <s v="0000"/>
    <n v="654.52"/>
    <n v="0"/>
    <s v="CREDITOR"/>
    <n v="0"/>
    <n v="0"/>
    <n v="0"/>
    <n v="0"/>
    <n v="0"/>
  </r>
  <r>
    <n v="57733596"/>
    <s v="N"/>
    <n v="21356885"/>
    <s v="3000013632850002RC"/>
    <s v="CIVIL"/>
    <d v="2023-06-30T00:00:00"/>
    <d v="2023-07-10T19:47:44"/>
    <m/>
    <d v="2023-07-10T00:00:00"/>
    <n v="2003"/>
    <n v="14447"/>
    <s v="57733596"/>
    <s v="57733596"/>
    <m/>
    <m/>
    <m/>
    <m/>
    <m/>
    <m/>
    <s v="SOLRECOUP"/>
    <s v="SOLRECOUP"/>
    <s v="POARECOUP"/>
    <n v="21356885"/>
    <n v="-155"/>
    <m/>
    <s v="Y"/>
    <n v="1"/>
    <d v="2023-07-10T19:47:46"/>
    <s v="N"/>
    <m/>
    <m/>
    <s v="Non Expert Disbursement"/>
    <m/>
    <s v="N"/>
    <n v="-155"/>
    <n v="0"/>
    <x v="2"/>
    <s v="VALIDATED"/>
    <n v="1"/>
    <s v="01.11.80.308.2013.0000"/>
    <n v="-155"/>
    <s v="11"/>
    <s v="2013"/>
    <n v="654.52"/>
    <n v="-155"/>
    <s v="CREDITOR"/>
    <n v="0"/>
    <n v="0"/>
    <n v="-155"/>
    <n v="0"/>
    <n v="0"/>
  </r>
  <r>
    <n v="57733596"/>
    <s v="N"/>
    <n v="21356886"/>
    <s v="3000013632850005RC"/>
    <s v="CIVIL"/>
    <d v="2023-06-30T00:00:00"/>
    <d v="2023-07-10T19:47:44"/>
    <m/>
    <d v="2023-07-10T00:00:00"/>
    <n v="2003"/>
    <n v="14447"/>
    <s v="57733596"/>
    <s v="57733596"/>
    <m/>
    <m/>
    <m/>
    <m/>
    <m/>
    <m/>
    <s v="SOLRECOUP"/>
    <s v="SOLRECOUP"/>
    <s v="POARECOUP"/>
    <n v="21356886"/>
    <n v="-2198.83"/>
    <m/>
    <s v="Y"/>
    <n v="2"/>
    <d v="2023-07-10T19:47:46"/>
    <s v="N"/>
    <m/>
    <m/>
    <s v="Profit Cost"/>
    <m/>
    <s v="N"/>
    <n v="0"/>
    <n v="-366.47"/>
    <x v="2"/>
    <s v="VALIDATED"/>
    <n v="1"/>
    <s v="01.11.80.308.2013.0000"/>
    <n v="-366.47"/>
    <s v="11"/>
    <s v="2013"/>
    <n v="654.52"/>
    <n v="-366.47"/>
    <s v="CREDITOR"/>
    <n v="0"/>
    <n v="0"/>
    <n v="-366.47"/>
    <n v="-91.61750000000001"/>
    <n v="0"/>
  </r>
  <r>
    <n v="57733596"/>
    <s v="N"/>
    <n v="21356886"/>
    <s v="3000013632850005RC"/>
    <s v="CIVIL"/>
    <d v="2023-06-30T00:00:00"/>
    <d v="2023-07-10T19:47:44"/>
    <m/>
    <d v="2023-07-10T00:00:00"/>
    <n v="2003"/>
    <n v="14447"/>
    <s v="57733596"/>
    <s v="57733596"/>
    <m/>
    <m/>
    <m/>
    <m/>
    <m/>
    <m/>
    <s v="SOLRECOUP"/>
    <s v="SOLRECOUP"/>
    <s v="POARECOUP"/>
    <n v="21356886"/>
    <n v="-2198.83"/>
    <m/>
    <s v="Y"/>
    <n v="1"/>
    <d v="2023-07-10T19:47:46"/>
    <s v="N"/>
    <m/>
    <m/>
    <s v="Profit Cost"/>
    <m/>
    <s v="N"/>
    <n v="-1832.36"/>
    <n v="0"/>
    <x v="2"/>
    <s v="VALIDATED"/>
    <n v="1"/>
    <s v="01.11.80.308.2013.0000"/>
    <n v="-1832.36"/>
    <s v="11"/>
    <s v="2013"/>
    <n v="654.52"/>
    <n v="-1832.36"/>
    <s v="CREDITOR"/>
    <n v="0"/>
    <n v="0"/>
    <n v="-1832.36"/>
    <n v="-458.09"/>
    <n v="0"/>
  </r>
  <r>
    <n v="57733596"/>
    <s v="N"/>
    <n v="21356887"/>
    <s v="3000013632850003RC"/>
    <s v="CIVIL"/>
    <d v="2023-06-30T00:00:00"/>
    <d v="2023-07-10T19:47:44"/>
    <m/>
    <d v="2023-07-10T00:00:00"/>
    <n v="2003"/>
    <n v="14447"/>
    <s v="57733596"/>
    <s v="57733596"/>
    <m/>
    <m/>
    <m/>
    <m/>
    <m/>
    <m/>
    <s v="SOLRECOUP"/>
    <s v="SOLRECOUP"/>
    <s v="POARECOUP"/>
    <n v="21356887"/>
    <n v="-296"/>
    <m/>
    <s v="Y"/>
    <n v="2"/>
    <d v="2023-07-10T19:47:46"/>
    <s v="N"/>
    <m/>
    <m/>
    <s v="Non Expert Disbursement"/>
    <m/>
    <s v="N"/>
    <n v="0"/>
    <n v="-49.33"/>
    <x v="2"/>
    <s v="VALIDATED"/>
    <n v="1"/>
    <s v="01.11.80.308.2013.0000"/>
    <n v="-49.33"/>
    <s v="11"/>
    <s v="2013"/>
    <n v="654.52"/>
    <n v="-49.33"/>
    <s v="CREDITOR"/>
    <n v="0"/>
    <n v="0"/>
    <n v="-49.33"/>
    <n v="0"/>
    <n v="0"/>
  </r>
  <r>
    <n v="57733596"/>
    <s v="N"/>
    <n v="21356887"/>
    <s v="3000013632850003RC"/>
    <s v="CIVIL"/>
    <d v="2023-06-30T00:00:00"/>
    <d v="2023-07-10T19:47:44"/>
    <m/>
    <d v="2023-07-10T00:00:00"/>
    <n v="2003"/>
    <n v="14447"/>
    <s v="57733596"/>
    <s v="57733596"/>
    <m/>
    <m/>
    <m/>
    <m/>
    <m/>
    <m/>
    <s v="SOLRECOUP"/>
    <s v="SOLRECOUP"/>
    <s v="POARECOUP"/>
    <n v="21356887"/>
    <n v="-296"/>
    <m/>
    <s v="Y"/>
    <n v="1"/>
    <d v="2023-07-10T19:47:46"/>
    <s v="N"/>
    <m/>
    <m/>
    <s v="Non Expert Disbursement"/>
    <m/>
    <s v="N"/>
    <n v="-246.67"/>
    <n v="0"/>
    <x v="2"/>
    <s v="VALIDATED"/>
    <n v="1"/>
    <s v="01.11.80.308.2013.0000"/>
    <n v="-246.67"/>
    <s v="11"/>
    <s v="2013"/>
    <n v="654.52"/>
    <n v="-246.67"/>
    <s v="CREDITOR"/>
    <n v="0"/>
    <n v="0"/>
    <n v="-246.67"/>
    <n v="0"/>
    <n v="0"/>
  </r>
  <r>
    <n v="57733596"/>
    <s v="N"/>
    <n v="21356888"/>
    <s v="3000013632850004RC"/>
    <s v="CIVIL"/>
    <d v="2023-06-30T00:00:00"/>
    <d v="2023-07-10T19:47:44"/>
    <m/>
    <d v="2023-07-10T00:00:00"/>
    <n v="2003"/>
    <n v="14447"/>
    <s v="57733596"/>
    <s v="57733596"/>
    <m/>
    <m/>
    <m/>
    <m/>
    <m/>
    <m/>
    <s v="SOLRECOUP"/>
    <s v="SOLRECOUP"/>
    <s v="POARECOUP"/>
    <n v="21356888"/>
    <n v="-296"/>
    <m/>
    <s v="Y"/>
    <n v="2"/>
    <d v="2023-07-10T19:47:46"/>
    <s v="N"/>
    <m/>
    <m/>
    <s v="Non Expert Disbursement"/>
    <m/>
    <s v="N"/>
    <n v="0"/>
    <n v="-49.33"/>
    <x v="2"/>
    <s v="VALIDATED"/>
    <n v="1"/>
    <s v="01.11.80.308.2013.0000"/>
    <n v="-49.33"/>
    <s v="11"/>
    <s v="2013"/>
    <n v="654.52"/>
    <n v="-49.33"/>
    <s v="CREDITOR"/>
    <n v="0"/>
    <n v="0"/>
    <n v="-49.33"/>
    <n v="0"/>
    <n v="0"/>
  </r>
  <r>
    <n v="57733596"/>
    <s v="N"/>
    <n v="21356888"/>
    <s v="3000013632850004RC"/>
    <s v="CIVIL"/>
    <d v="2023-06-30T00:00:00"/>
    <d v="2023-07-10T19:47:44"/>
    <m/>
    <d v="2023-07-10T00:00:00"/>
    <n v="2003"/>
    <n v="14447"/>
    <s v="57733596"/>
    <s v="57733596"/>
    <m/>
    <m/>
    <m/>
    <m/>
    <m/>
    <m/>
    <s v="SOLRECOUP"/>
    <s v="SOLRECOUP"/>
    <s v="POARECOUP"/>
    <n v="21356888"/>
    <n v="-296"/>
    <m/>
    <s v="Y"/>
    <n v="1"/>
    <d v="2023-07-10T19:47:46"/>
    <s v="N"/>
    <m/>
    <m/>
    <s v="Non Expert Disbursement"/>
    <m/>
    <s v="N"/>
    <n v="-246.67"/>
    <n v="0"/>
    <x v="2"/>
    <s v="VALIDATED"/>
    <n v="1"/>
    <s v="01.11.80.308.2013.0000"/>
    <n v="-246.67"/>
    <s v="11"/>
    <s v="2013"/>
    <n v="654.52"/>
    <n v="-246.67"/>
    <s v="CREDITOR"/>
    <n v="0"/>
    <n v="0"/>
    <n v="-246.67"/>
    <n v="0"/>
    <n v="0"/>
  </r>
  <r>
    <n v="57733596"/>
    <s v="N"/>
    <n v="21356889"/>
    <s v="3000013632850006RC"/>
    <s v="CIVIL"/>
    <d v="2023-06-30T00:00:00"/>
    <d v="2023-07-10T19:47:44"/>
    <m/>
    <d v="2023-07-10T00:00:00"/>
    <n v="2003"/>
    <n v="14447"/>
    <s v="57733596"/>
    <s v="57733596"/>
    <m/>
    <m/>
    <m/>
    <m/>
    <m/>
    <m/>
    <s v="SOLRECOUP"/>
    <s v="SOLRECOUP"/>
    <s v="POARECOUP"/>
    <n v="21356889"/>
    <n v="-550.8"/>
    <m/>
    <s v="Y"/>
    <n v="2"/>
    <d v="2023-07-10T19:47:46"/>
    <s v="N"/>
    <m/>
    <m/>
    <s v="Expert Disbursement"/>
    <m/>
    <s v="N"/>
    <n v="0"/>
    <n v="-91.8"/>
    <x v="2"/>
    <s v="VALIDATED"/>
    <n v="1"/>
    <s v="01.11.80.308.2013.0000"/>
    <n v="-91.8"/>
    <s v="11"/>
    <s v="2013"/>
    <n v="654.52"/>
    <n v="-91.8"/>
    <s v="CREDITOR"/>
    <n v="0"/>
    <n v="0"/>
    <n v="-91.8"/>
    <n v="0"/>
    <n v="0"/>
  </r>
  <r>
    <n v="57733596"/>
    <s v="N"/>
    <n v="21356889"/>
    <s v="3000013632850006RC"/>
    <s v="CIVIL"/>
    <d v="2023-06-30T00:00:00"/>
    <d v="2023-07-10T19:47:44"/>
    <m/>
    <d v="2023-07-10T00:00:00"/>
    <n v="2003"/>
    <n v="14447"/>
    <s v="57733596"/>
    <s v="57733596"/>
    <m/>
    <m/>
    <m/>
    <m/>
    <m/>
    <m/>
    <s v="SOLRECOUP"/>
    <s v="SOLRECOUP"/>
    <s v="POARECOUP"/>
    <n v="21356889"/>
    <n v="-550.8"/>
    <m/>
    <s v="Y"/>
    <n v="1"/>
    <d v="2023-07-10T19:47:46"/>
    <s v="N"/>
    <m/>
    <m/>
    <s v="Expert Disbursement"/>
    <m/>
    <s v="N"/>
    <n v="-459"/>
    <n v="0"/>
    <x v="2"/>
    <s v="VALIDATED"/>
    <n v="1"/>
    <s v="01.11.80.308.2013.0000"/>
    <n v="-459"/>
    <s v="11"/>
    <s v="2013"/>
    <n v="654.52"/>
    <n v="-459"/>
    <s v="CREDITOR"/>
    <n v="0"/>
    <n v="0"/>
    <n v="-459"/>
    <n v="0"/>
    <n v="0"/>
  </r>
  <r>
    <n v="61976312"/>
    <s v="N"/>
    <n v="21331047"/>
    <s v="3000016002470003"/>
    <s v="CIVIL"/>
    <d v="2023-06-27T00:00:00"/>
    <d v="2023-07-05T19:01:47"/>
    <m/>
    <d v="2023-07-05T00:00:00"/>
    <n v="2004"/>
    <n v="14447"/>
    <s v="61976312"/>
    <s v="61976312"/>
    <m/>
    <m/>
    <n v="22768144"/>
    <m/>
    <m/>
    <m/>
    <s v="SOLFIN"/>
    <s v="SOLFIN"/>
    <s v="CCMS"/>
    <n v="21331047"/>
    <n v="2783.52"/>
    <m/>
    <s v="N"/>
    <n v="9"/>
    <d v="2023-07-05T19:02:03"/>
    <s v="Y"/>
    <s v="Hearing Unit 5.01 - 7.30 Hours"/>
    <s v="Public Law Children"/>
    <s v="Advocacy"/>
    <s v="SS"/>
    <s v="Y"/>
    <n v="715.38"/>
    <n v="143.08"/>
    <x v="6"/>
    <s v="VALIDATED"/>
    <n v="1"/>
    <s v="01.11.80.305.6100.0000"/>
    <n v="715.38"/>
    <s v="11"/>
    <s v="6100"/>
    <n v="2734.3"/>
    <n v="715.38"/>
    <s v="CREDITOR"/>
    <n v="0"/>
    <n v="0"/>
    <n v="0"/>
    <n v="0"/>
    <n v="715.38"/>
  </r>
  <r>
    <n v="61976312"/>
    <s v="N"/>
    <n v="21331047"/>
    <s v="3000016002470003"/>
    <s v="CIVIL"/>
    <d v="2023-06-27T00:00:00"/>
    <d v="2023-07-05T19:01:47"/>
    <m/>
    <d v="2023-07-05T00:00:00"/>
    <n v="2004"/>
    <n v="14447"/>
    <s v="61976312"/>
    <s v="61976312"/>
    <m/>
    <m/>
    <n v="22768144"/>
    <m/>
    <m/>
    <m/>
    <s v="SOLFIN"/>
    <s v="SOLFIN"/>
    <s v="CCMS"/>
    <n v="21331047"/>
    <n v="2783.52"/>
    <m/>
    <s v="N"/>
    <n v="11"/>
    <d v="2023-07-05T19:02:03"/>
    <s v="Y"/>
    <s v="Interim Hearing Court Bundle/Advoca"/>
    <s v="Public Law Children"/>
    <s v="Advocacy"/>
    <s v="SS"/>
    <s v="Y"/>
    <n v="59.4"/>
    <n v="11.88"/>
    <x v="6"/>
    <s v="VALIDATED"/>
    <n v="1"/>
    <s v="01.11.80.305.6100.0000"/>
    <n v="59.4"/>
    <s v="11"/>
    <s v="6100"/>
    <n v="2734.3"/>
    <n v="59.4"/>
    <s v="CREDITOR"/>
    <n v="0"/>
    <n v="0"/>
    <n v="0"/>
    <n v="0"/>
    <n v="59.4"/>
  </r>
  <r>
    <n v="61976312"/>
    <s v="N"/>
    <n v="21331047"/>
    <s v="3000016002470003"/>
    <s v="CIVIL"/>
    <d v="2023-06-27T00:00:00"/>
    <d v="2023-07-05T19:01:47"/>
    <m/>
    <d v="2023-07-05T00:00:00"/>
    <n v="2004"/>
    <n v="14447"/>
    <s v="61976312"/>
    <s v="61976312"/>
    <m/>
    <m/>
    <n v="22768144"/>
    <m/>
    <m/>
    <m/>
    <s v="SOLFIN"/>
    <s v="SOLFIN"/>
    <s v="CCMS"/>
    <n v="21331047"/>
    <n v="2783.52"/>
    <m/>
    <s v="N"/>
    <n v="6"/>
    <d v="2023-07-05T19:02:03"/>
    <s v="Y"/>
    <s v="Solicitor Travel Expenses"/>
    <s v="Public Law Children"/>
    <s v="Non Expert Disbursement"/>
    <s v="SS"/>
    <s v="Y"/>
    <n v="3.8"/>
    <n v="0.76"/>
    <x v="6"/>
    <s v="VALIDATED"/>
    <n v="1"/>
    <s v="01.11.80.305.6300.0000"/>
    <n v="3.8"/>
    <s v="11"/>
    <s v="6300"/>
    <n v="2734.3"/>
    <n v="3.8"/>
    <s v="CREDITOR"/>
    <n v="0"/>
    <n v="0"/>
    <n v="0"/>
    <n v="0"/>
    <n v="3.8"/>
  </r>
  <r>
    <n v="61899657"/>
    <s v="N"/>
    <n v="21349734"/>
    <s v="3000015956440003"/>
    <s v="CIVIL"/>
    <d v="2023-06-30T00:00:00"/>
    <d v="2023-07-10T19:01:40"/>
    <m/>
    <d v="2023-07-10T00:00:00"/>
    <n v="2004"/>
    <n v="14447"/>
    <s v="61899657"/>
    <s v="61899657"/>
    <m/>
    <m/>
    <n v="22795742"/>
    <m/>
    <m/>
    <m/>
    <s v="SOLPOA"/>
    <s v="SOLPOA"/>
    <s v="CCMS"/>
    <n v="21349734"/>
    <n v="208.8"/>
    <m/>
    <s v="N"/>
    <n v="1"/>
    <d v="2023-07-10T19:01:56"/>
    <s v="N"/>
    <s v="Non Expert Disbursement"/>
    <s v="Non Expert Disbursement"/>
    <s v="Non Expert Disbursement"/>
    <s v="Kirsty Nelson"/>
    <s v="N"/>
    <n v="174"/>
    <n v="34.8"/>
    <x v="2"/>
    <s v="VALIDATED"/>
    <n v="1"/>
    <s v="01.11.80.308.2012.0000"/>
    <n v="174"/>
    <s v="11"/>
    <s v="2012"/>
    <n v="2734.3"/>
    <n v="174"/>
    <s v="CREDITOR"/>
    <n v="174"/>
    <n v="0"/>
    <n v="0"/>
    <n v="0"/>
    <n v="0"/>
  </r>
  <r>
    <n v="61976312"/>
    <s v="N"/>
    <n v="21331047"/>
    <s v="3000016002470003"/>
    <s v="CIVIL"/>
    <d v="2023-06-27T00:00:00"/>
    <d v="2023-07-05T19:01:47"/>
    <m/>
    <d v="2023-07-05T00:00:00"/>
    <n v="2004"/>
    <n v="14447"/>
    <s v="61976312"/>
    <s v="61976312"/>
    <m/>
    <m/>
    <n v="22768144"/>
    <m/>
    <m/>
    <m/>
    <s v="SOLFIN"/>
    <s v="SOLFIN"/>
    <s v="CCMS"/>
    <n v="21331047"/>
    <n v="2783.52"/>
    <m/>
    <s v="N"/>
    <n v="10"/>
    <d v="2023-07-05T19:02:03"/>
    <s v="Y"/>
    <s v="Hearing Unit 2.31 - 5.00 Hours"/>
    <s v="Public Law Children"/>
    <s v="Advocacy"/>
    <s v="SS"/>
    <s v="Y"/>
    <n v="476.92"/>
    <n v="95.38"/>
    <x v="6"/>
    <s v="VALIDATED"/>
    <n v="1"/>
    <s v="01.11.80.305.6100.0000"/>
    <n v="476.92"/>
    <s v="11"/>
    <s v="6100"/>
    <n v="2734.3"/>
    <n v="476.92"/>
    <s v="CREDITOR"/>
    <n v="0"/>
    <n v="0"/>
    <n v="0"/>
    <n v="0"/>
    <n v="476.92"/>
  </r>
  <r>
    <n v="61979072"/>
    <s v="N"/>
    <n v="21322236"/>
    <s v="3000016024980008"/>
    <s v="CIVIL"/>
    <d v="2023-06-29T00:00:00"/>
    <d v="2023-07-03T19:05:36"/>
    <m/>
    <d v="2023-07-03T00:00:00"/>
    <n v="2004"/>
    <n v="14447"/>
    <s v="61979072"/>
    <s v="61979072"/>
    <m/>
    <m/>
    <n v="22789862"/>
    <m/>
    <m/>
    <m/>
    <s v="SOLPOA"/>
    <s v="SOLPOA"/>
    <s v="CCMS"/>
    <n v="21322236"/>
    <n v="12"/>
    <m/>
    <s v="N"/>
    <n v="1"/>
    <d v="2023-07-03T19:05:36"/>
    <s v="N"/>
    <s v="Non Expert Disbursement"/>
    <s v="Non Expert Disbursement"/>
    <s v="Non Expert Disbursement"/>
    <s v="Kirsty Nelson"/>
    <s v="N"/>
    <n v="10"/>
    <n v="2"/>
    <x v="3"/>
    <s v="VALIDATED"/>
    <n v="1"/>
    <s v="01.11.80.308.2012.0000"/>
    <n v="10"/>
    <s v="11"/>
    <s v="2012"/>
    <n v="2734.3"/>
    <n v="10"/>
    <s v="CREDITOR"/>
    <n v="10"/>
    <n v="0"/>
    <n v="0"/>
    <n v="0"/>
    <n v="0"/>
  </r>
  <r>
    <n v="61976312"/>
    <s v="N"/>
    <n v="21331047"/>
    <s v="3000016002470003"/>
    <s v="CIVIL"/>
    <d v="2023-06-27T00:00:00"/>
    <d v="2023-07-05T19:01:47"/>
    <m/>
    <d v="2023-07-05T00:00:00"/>
    <n v="2004"/>
    <n v="14447"/>
    <s v="61976312"/>
    <s v="61976312"/>
    <m/>
    <m/>
    <n v="22768144"/>
    <m/>
    <m/>
    <m/>
    <s v="SOLFIN"/>
    <s v="SOLFIN"/>
    <s v="CCMS"/>
    <n v="21331047"/>
    <n v="2783.52"/>
    <m/>
    <s v="N"/>
    <n v="8"/>
    <d v="2023-07-05T19:02:03"/>
    <s v="Y"/>
    <s v="Advocates Meeting"/>
    <s v="Public Law Children"/>
    <s v="Advocacy"/>
    <s v="SSM"/>
    <s v="Y"/>
    <n v="140.99"/>
    <n v="28.2"/>
    <x v="6"/>
    <s v="VALIDATED"/>
    <n v="1"/>
    <s v="01.11.80.305.6100.0000"/>
    <n v="140.99"/>
    <s v="11"/>
    <s v="6100"/>
    <n v="2734.3"/>
    <n v="140.99"/>
    <s v="CREDITOR"/>
    <n v="0"/>
    <n v="0"/>
    <n v="0"/>
    <n v="0"/>
    <n v="140.99"/>
  </r>
  <r>
    <n v="61976312"/>
    <s v="N"/>
    <n v="21331047"/>
    <s v="3000016002470003"/>
    <s v="CIVIL"/>
    <d v="2023-06-27T00:00:00"/>
    <d v="2023-07-05T19:01:47"/>
    <m/>
    <d v="2023-07-05T00:00:00"/>
    <n v="2004"/>
    <n v="14447"/>
    <s v="61976312"/>
    <s v="61976312"/>
    <m/>
    <m/>
    <n v="22768144"/>
    <m/>
    <m/>
    <m/>
    <s v="SOLFIN"/>
    <s v="SOLFIN"/>
    <s v="CCMS"/>
    <n v="21331047"/>
    <n v="2783.52"/>
    <m/>
    <s v="N"/>
    <n v="4"/>
    <d v="2023-07-05T19:02:03"/>
    <s v="Y"/>
    <s v="Solicitor Travel Expenses"/>
    <s v="Public Law Children"/>
    <s v="Non Expert Disbursement"/>
    <s v="SS"/>
    <s v="Y"/>
    <n v="3.8"/>
    <n v="0.76"/>
    <x v="6"/>
    <s v="VALIDATED"/>
    <n v="1"/>
    <s v="01.11.80.305.6300.0000"/>
    <n v="3.8"/>
    <s v="11"/>
    <s v="6300"/>
    <n v="2734.3"/>
    <n v="3.8"/>
    <s v="CREDITOR"/>
    <n v="0"/>
    <n v="0"/>
    <n v="0"/>
    <n v="0"/>
    <n v="3.8"/>
  </r>
  <r>
    <n v="61976312"/>
    <s v="N"/>
    <n v="21331047"/>
    <s v="3000016002470003"/>
    <s v="CIVIL"/>
    <d v="2023-06-27T00:00:00"/>
    <d v="2023-07-05T19:01:47"/>
    <m/>
    <d v="2023-07-05T00:00:00"/>
    <n v="2004"/>
    <n v="14447"/>
    <s v="61976312"/>
    <s v="61976312"/>
    <m/>
    <m/>
    <n v="22768144"/>
    <m/>
    <m/>
    <m/>
    <s v="SOLFIN"/>
    <s v="SOLFIN"/>
    <s v="CCMS"/>
    <n v="21331047"/>
    <n v="2783.52"/>
    <m/>
    <s v="N"/>
    <n v="2"/>
    <d v="2023-07-05T19:02:03"/>
    <s v="Y"/>
    <s v="Court Fee"/>
    <s v="Public Law Children"/>
    <s v="Non Expert Disbursement"/>
    <s v="SSM"/>
    <s v="Y"/>
    <n v="53"/>
    <n v="0"/>
    <x v="6"/>
    <s v="VALIDATED"/>
    <n v="1"/>
    <s v="01.11.80.305.6300.0000"/>
    <n v="53"/>
    <s v="11"/>
    <s v="6300"/>
    <n v="2734.3"/>
    <n v="53"/>
    <s v="CREDITOR"/>
    <n v="0"/>
    <n v="0"/>
    <n v="0"/>
    <n v="0"/>
    <n v="53"/>
  </r>
  <r>
    <n v="61976312"/>
    <s v="N"/>
    <n v="21331047"/>
    <s v="3000016002470003"/>
    <s v="CIVIL"/>
    <d v="2023-06-27T00:00:00"/>
    <d v="2023-07-05T19:01:47"/>
    <m/>
    <d v="2023-07-05T00:00:00"/>
    <n v="2004"/>
    <n v="14447"/>
    <s v="61976312"/>
    <s v="61976312"/>
    <m/>
    <m/>
    <n v="22768144"/>
    <m/>
    <m/>
    <m/>
    <s v="SOLFIN"/>
    <s v="SOLFIN"/>
    <s v="CCMS"/>
    <n v="21331047"/>
    <n v="2783.52"/>
    <m/>
    <s v="N"/>
    <n v="7"/>
    <d v="2023-07-05T19:02:03"/>
    <s v="Y"/>
    <s v="Expert - Other"/>
    <s v="Public Law Children"/>
    <s v="Expert Disbursement"/>
    <s v="SSM"/>
    <s v="Y"/>
    <n v="127.44"/>
    <n v="25.49"/>
    <x v="6"/>
    <s v="VALIDATED"/>
    <n v="1"/>
    <s v="01.11.80.305.6300.0000"/>
    <n v="127.44"/>
    <s v="11"/>
    <s v="6300"/>
    <n v="2734.3"/>
    <n v="127.44"/>
    <s v="CREDITOR"/>
    <n v="0"/>
    <n v="0"/>
    <n v="0"/>
    <n v="0"/>
    <n v="127.44"/>
  </r>
  <r>
    <n v="62175011"/>
    <s v="N"/>
    <n v="21320745"/>
    <s v="3000016187400003"/>
    <s v="CIVIL"/>
    <d v="2023-06-28T00:00:00"/>
    <d v="2023-07-03T19:04:52"/>
    <m/>
    <d v="2023-07-03T00:00:00"/>
    <n v="2004"/>
    <n v="14447"/>
    <s v="62175011"/>
    <s v="62175011"/>
    <m/>
    <m/>
    <n v="22778616"/>
    <m/>
    <m/>
    <m/>
    <s v="SOLPOA"/>
    <s v="SOLPOA"/>
    <s v="CCMS"/>
    <n v="21320745"/>
    <n v="449.76"/>
    <m/>
    <s v="N"/>
    <n v="1"/>
    <d v="2023-07-03T19:04:56"/>
    <s v="N"/>
    <s v="Expert Cost"/>
    <s v="Expert Cost"/>
    <s v="Expert Disbursement"/>
    <s v="Kirsty Nelson"/>
    <s v="N"/>
    <n v="374.8"/>
    <n v="74.95999999999999"/>
    <x v="3"/>
    <s v="VALIDATED"/>
    <n v="1"/>
    <s v="01.11.80.308.2012.0000"/>
    <n v="374.8"/>
    <s v="11"/>
    <s v="2012"/>
    <n v="2734.3"/>
    <n v="374.8"/>
    <s v="CREDITOR"/>
    <n v="374.8"/>
    <n v="0"/>
    <n v="0"/>
    <n v="0"/>
    <n v="0"/>
  </r>
  <r>
    <n v="61976312"/>
    <s v="N"/>
    <n v="21331047"/>
    <s v="3000016002470003"/>
    <s v="CIVIL"/>
    <d v="2023-06-27T00:00:00"/>
    <d v="2023-07-05T19:01:47"/>
    <m/>
    <d v="2023-07-05T00:00:00"/>
    <n v="2004"/>
    <n v="14447"/>
    <s v="61976312"/>
    <s v="61976312"/>
    <m/>
    <m/>
    <n v="22768144"/>
    <m/>
    <m/>
    <m/>
    <s v="SOLFIN"/>
    <s v="SOLFIN"/>
    <s v="CCMS"/>
    <n v="21331047"/>
    <n v="2783.52"/>
    <m/>
    <s v="N"/>
    <n v="1"/>
    <d v="2023-07-05T19:02:03"/>
    <s v="Y"/>
    <s v="Solicitors Fixed Fee"/>
    <s v="Public Law Children"/>
    <s v="Profit Cost"/>
    <s v="SSM"/>
    <s v="Y"/>
    <n v="718"/>
    <n v="143.6"/>
    <x v="6"/>
    <s v="VALIDATED"/>
    <n v="1"/>
    <s v="01.11.80.305.6100.0000"/>
    <n v="718"/>
    <s v="11"/>
    <s v="6100"/>
    <n v="2734.3"/>
    <n v="718"/>
    <s v="CREDITOR"/>
    <n v="0"/>
    <n v="0"/>
    <n v="0"/>
    <n v="0"/>
    <n v="718"/>
  </r>
  <r>
    <n v="61976312"/>
    <s v="N"/>
    <n v="21331047"/>
    <s v="3000016002470003"/>
    <s v="CIVIL"/>
    <d v="2023-06-27T00:00:00"/>
    <d v="2023-07-05T19:01:47"/>
    <m/>
    <d v="2023-07-05T00:00:00"/>
    <n v="2004"/>
    <n v="14447"/>
    <s v="61976312"/>
    <s v="61976312"/>
    <m/>
    <m/>
    <n v="22768144"/>
    <m/>
    <m/>
    <m/>
    <s v="SOLFIN"/>
    <s v="SOLFIN"/>
    <s v="CCMS"/>
    <n v="21331047"/>
    <n v="2783.52"/>
    <m/>
    <s v="N"/>
    <n v="5"/>
    <d v="2023-07-05T19:02:03"/>
    <s v="Y"/>
    <s v="Solicitor Travel Mileage"/>
    <s v="Public Law Children"/>
    <s v="Non Expert Disbursement"/>
    <s v="SS"/>
    <s v="Y"/>
    <n v="14.85"/>
    <n v="2.97"/>
    <x v="6"/>
    <s v="VALIDATED"/>
    <n v="1"/>
    <s v="01.11.80.305.6300.0000"/>
    <n v="14.85"/>
    <s v="11"/>
    <s v="6300"/>
    <n v="2734.3"/>
    <n v="14.85"/>
    <s v="CREDITOR"/>
    <n v="0"/>
    <n v="0"/>
    <n v="0"/>
    <n v="0"/>
    <n v="14.85"/>
  </r>
  <r>
    <n v="61976312"/>
    <s v="N"/>
    <n v="21331047"/>
    <s v="3000016002470003"/>
    <s v="CIVIL"/>
    <d v="2023-06-27T00:00:00"/>
    <d v="2023-07-05T19:01:47"/>
    <m/>
    <d v="2023-07-05T00:00:00"/>
    <n v="2004"/>
    <n v="14447"/>
    <s v="61976312"/>
    <s v="61976312"/>
    <m/>
    <m/>
    <n v="22768144"/>
    <m/>
    <m/>
    <m/>
    <s v="SOLFIN"/>
    <s v="SOLFIN"/>
    <s v="CCMS"/>
    <n v="21331047"/>
    <n v="2783.52"/>
    <m/>
    <s v="N"/>
    <n v="3"/>
    <d v="2023-07-05T19:02:03"/>
    <s v="Y"/>
    <s v="Solicitor Travel Mileage"/>
    <s v="Public Law Children"/>
    <s v="Non Expert Disbursement"/>
    <s v="SS"/>
    <s v="Y"/>
    <n v="14.85"/>
    <n v="2.97"/>
    <x v="6"/>
    <s v="VALIDATED"/>
    <n v="1"/>
    <s v="01.11.80.305.6300.0000"/>
    <n v="14.85"/>
    <s v="11"/>
    <s v="6300"/>
    <n v="2734.3"/>
    <n v="14.85"/>
    <s v="CREDITOR"/>
    <n v="0"/>
    <n v="0"/>
    <n v="0"/>
    <n v="0"/>
    <n v="14.85"/>
  </r>
  <r>
    <n v="61976312"/>
    <s v="N"/>
    <n v="21334064"/>
    <s v="3000016002470002RC"/>
    <s v="CIVIL"/>
    <d v="2023-06-27T00:00:00"/>
    <d v="2023-07-05T19:42:28"/>
    <m/>
    <d v="2023-07-05T00:00:00"/>
    <n v="2004"/>
    <n v="14447"/>
    <s v="61976312"/>
    <s v="61976312"/>
    <m/>
    <m/>
    <m/>
    <m/>
    <m/>
    <m/>
    <s v="SOLRECOUP"/>
    <s v="SOLRECOUP"/>
    <s v="POARECOUP"/>
    <n v="21334064"/>
    <n v="-152.93"/>
    <m/>
    <s v="Y"/>
    <n v="1"/>
    <d v="2023-07-05T19:42:30"/>
    <s v="N"/>
    <m/>
    <m/>
    <s v="Non Expert Disbursement"/>
    <m/>
    <s v="N"/>
    <n v="-127.44"/>
    <n v="0"/>
    <x v="6"/>
    <s v="VALIDATED"/>
    <n v="1"/>
    <s v="01.11.80.305.2013.0000"/>
    <n v="-127.44"/>
    <s v="11"/>
    <s v="2013"/>
    <n v="2734.3"/>
    <n v="-127.44"/>
    <s v="CREDITOR"/>
    <n v="0"/>
    <n v="0"/>
    <n v="-127.44"/>
    <n v="0"/>
    <n v="0"/>
  </r>
  <r>
    <n v="61976312"/>
    <s v="N"/>
    <n v="21334064"/>
    <s v="3000016002470002RC"/>
    <s v="CIVIL"/>
    <d v="2023-06-27T00:00:00"/>
    <d v="2023-07-05T19:42:28"/>
    <m/>
    <d v="2023-07-05T00:00:00"/>
    <n v="2004"/>
    <n v="14447"/>
    <s v="61976312"/>
    <s v="61976312"/>
    <m/>
    <m/>
    <m/>
    <m/>
    <m/>
    <m/>
    <s v="SOLRECOUP"/>
    <s v="SOLRECOUP"/>
    <s v="POARECOUP"/>
    <n v="21334064"/>
    <n v="-152.93"/>
    <m/>
    <s v="Y"/>
    <n v="2"/>
    <d v="2023-07-05T19:42:30"/>
    <s v="N"/>
    <m/>
    <m/>
    <s v="Non Expert Disbursement"/>
    <m/>
    <s v="N"/>
    <n v="0"/>
    <n v="-25.49"/>
    <x v="6"/>
    <s v="VALIDATED"/>
    <n v="1"/>
    <s v="01.11.80.305.2013.0000"/>
    <n v="-25.49"/>
    <s v="11"/>
    <s v="2013"/>
    <n v="2734.3"/>
    <n v="-25.49"/>
    <s v="CREDITOR"/>
    <n v="0"/>
    <n v="0"/>
    <n v="-25.49"/>
    <n v="0"/>
    <n v="0"/>
  </r>
  <r>
    <n v="56181018"/>
    <s v="N"/>
    <n v="21350004"/>
    <s v="3000013329270007"/>
    <s v="CIVIL"/>
    <d v="2023-06-21T00:00:00"/>
    <d v="2023-07-10T19:01:40"/>
    <m/>
    <d v="2023-07-10T00:00:00"/>
    <n v="2005"/>
    <n v="8036"/>
    <s v="56181018"/>
    <s v="56181018"/>
    <m/>
    <m/>
    <n v="22734268"/>
    <m/>
    <m/>
    <m/>
    <s v="SOLFIN"/>
    <s v="SOLFIN"/>
    <s v="CCMS"/>
    <n v="21350004"/>
    <n v="6593.58"/>
    <m/>
    <s v="N"/>
    <n v="11"/>
    <d v="2023-07-10T19:02:09"/>
    <s v="Y"/>
    <s v="Hearing Unit 2.31 - 5.00 Hours"/>
    <s v="Public Law Children"/>
    <s v="Advocacy"/>
    <s v="kp"/>
    <s v="Y"/>
    <n v="596.15"/>
    <n v="119.23"/>
    <x v="2"/>
    <s v="VALIDATED"/>
    <n v="1"/>
    <s v="01.11.80.308.6100.0000"/>
    <n v="596.15"/>
    <s v="11"/>
    <s v="6100"/>
    <n v="4691.72"/>
    <n v="596.15"/>
    <s v="CREDITOR"/>
    <n v="0"/>
    <n v="0"/>
    <n v="0"/>
    <n v="0"/>
    <n v="596.15"/>
  </r>
  <r>
    <n v="56181018"/>
    <s v="N"/>
    <n v="21350004"/>
    <s v="3000013329270007"/>
    <s v="CIVIL"/>
    <d v="2023-06-21T00:00:00"/>
    <d v="2023-07-10T19:01:40"/>
    <m/>
    <d v="2023-07-10T00:00:00"/>
    <n v="2005"/>
    <n v="8036"/>
    <s v="56181018"/>
    <s v="56181018"/>
    <m/>
    <m/>
    <n v="22734268"/>
    <m/>
    <m/>
    <m/>
    <s v="SOLFIN"/>
    <s v="SOLFIN"/>
    <s v="CCMS"/>
    <n v="21350004"/>
    <n v="6593.58"/>
    <m/>
    <s v="N"/>
    <n v="5"/>
    <d v="2023-07-10T19:02:09"/>
    <s v="Y"/>
    <s v="Independent Social Worker"/>
    <s v="Public Law Children"/>
    <s v="Expert Disbursement"/>
    <s v="KP"/>
    <s v="Y"/>
    <n v="497.6"/>
    <n v="0"/>
    <x v="2"/>
    <s v="VALIDATED"/>
    <n v="1"/>
    <s v="01.11.80.308.6300.0000"/>
    <n v="497.6"/>
    <s v="11"/>
    <s v="6300"/>
    <n v="4691.72"/>
    <n v="497.6"/>
    <s v="CREDITOR"/>
    <n v="0"/>
    <n v="0"/>
    <n v="0"/>
    <n v="0"/>
    <n v="497.6"/>
  </r>
  <r>
    <n v="56181018"/>
    <s v="N"/>
    <n v="21350004"/>
    <s v="3000013329270007"/>
    <s v="CIVIL"/>
    <d v="2023-06-21T00:00:00"/>
    <d v="2023-07-10T19:01:40"/>
    <m/>
    <d v="2023-07-10T00:00:00"/>
    <n v="2005"/>
    <n v="8036"/>
    <s v="56181018"/>
    <s v="56181018"/>
    <m/>
    <m/>
    <n v="22734268"/>
    <m/>
    <m/>
    <m/>
    <s v="SOLFIN"/>
    <s v="SOLFIN"/>
    <s v="CCMS"/>
    <n v="21350004"/>
    <n v="6593.58"/>
    <m/>
    <s v="N"/>
    <n v="3"/>
    <d v="2023-07-10T19:02:09"/>
    <s v="Y"/>
    <s v="Solicitor Travel Expenses"/>
    <s v="Public Law Children"/>
    <s v="Non Expert Disbursement"/>
    <s v="KP"/>
    <s v="Y"/>
    <n v="4.8"/>
    <n v="0.96"/>
    <x v="2"/>
    <s v="VALIDATED"/>
    <n v="1"/>
    <s v="01.11.80.308.6300.0000"/>
    <n v="4.8"/>
    <s v="11"/>
    <s v="6300"/>
    <n v="4691.72"/>
    <n v="4.8"/>
    <s v="CREDITOR"/>
    <n v="0"/>
    <n v="0"/>
    <n v="0"/>
    <n v="0"/>
    <n v="4.8"/>
  </r>
  <r>
    <n v="56181018"/>
    <s v="N"/>
    <n v="21350004"/>
    <s v="3000013329270007"/>
    <s v="CIVIL"/>
    <d v="2023-06-21T00:00:00"/>
    <d v="2023-07-10T19:01:40"/>
    <m/>
    <d v="2023-07-10T00:00:00"/>
    <n v="2005"/>
    <n v="8036"/>
    <s v="56181018"/>
    <s v="56181018"/>
    <m/>
    <m/>
    <n v="22734268"/>
    <m/>
    <m/>
    <m/>
    <s v="SOLFIN"/>
    <s v="SOLFIN"/>
    <s v="CCMS"/>
    <n v="21350004"/>
    <n v="6593.58"/>
    <m/>
    <s v="N"/>
    <n v="4"/>
    <d v="2023-07-10T19:02:09"/>
    <s v="Y"/>
    <s v="Psychologist"/>
    <s v="Public Law Children"/>
    <s v="Expert Disbursement"/>
    <s v="KP"/>
    <s v="Y"/>
    <n v="279.38"/>
    <n v="55.88"/>
    <x v="2"/>
    <s v="VALIDATED"/>
    <n v="1"/>
    <s v="01.11.80.308.6300.0000"/>
    <n v="279.38"/>
    <s v="11"/>
    <s v="6300"/>
    <n v="4691.72"/>
    <n v="279.38"/>
    <s v="CREDITOR"/>
    <n v="0"/>
    <n v="0"/>
    <n v="0"/>
    <n v="0"/>
    <n v="279.38"/>
  </r>
  <r>
    <n v="56181018"/>
    <s v="N"/>
    <n v="21350004"/>
    <s v="3000013329270007"/>
    <s v="CIVIL"/>
    <d v="2023-06-21T00:00:00"/>
    <d v="2023-07-10T19:01:40"/>
    <m/>
    <d v="2023-07-10T00:00:00"/>
    <n v="2005"/>
    <n v="8036"/>
    <s v="56181018"/>
    <s v="56181018"/>
    <m/>
    <m/>
    <n v="22734268"/>
    <m/>
    <m/>
    <m/>
    <s v="SOLFIN"/>
    <s v="SOLFIN"/>
    <s v="CCMS"/>
    <n v="21350004"/>
    <n v="6593.58"/>
    <m/>
    <s v="N"/>
    <n v="2"/>
    <d v="2023-07-10T19:02:09"/>
    <s v="Y"/>
    <s v="Solicitor Travel Mileage"/>
    <s v="Public Law Children"/>
    <s v="Non Expert Disbursement"/>
    <s v="KP"/>
    <s v="Y"/>
    <n v="16.2"/>
    <n v="3.24"/>
    <x v="2"/>
    <s v="VALIDATED"/>
    <n v="1"/>
    <s v="01.11.80.308.6300.0000"/>
    <n v="16.2"/>
    <s v="11"/>
    <s v="6300"/>
    <n v="4691.72"/>
    <n v="16.2"/>
    <s v="CREDITOR"/>
    <n v="0"/>
    <n v="0"/>
    <n v="0"/>
    <n v="0"/>
    <n v="16.2"/>
  </r>
  <r>
    <n v="56181018"/>
    <s v="N"/>
    <n v="21350004"/>
    <s v="3000013329270007"/>
    <s v="CIVIL"/>
    <d v="2023-06-21T00:00:00"/>
    <d v="2023-07-10T19:01:40"/>
    <m/>
    <d v="2023-07-10T00:00:00"/>
    <n v="2005"/>
    <n v="8036"/>
    <s v="56181018"/>
    <s v="56181018"/>
    <m/>
    <m/>
    <n v="22734268"/>
    <m/>
    <m/>
    <m/>
    <s v="SOLFIN"/>
    <s v="SOLFIN"/>
    <s v="CCMS"/>
    <n v="21350004"/>
    <n v="6593.58"/>
    <m/>
    <s v="N"/>
    <n v="7"/>
    <d v="2023-07-10T19:02:09"/>
    <s v="Y"/>
    <s v="Advocates Meeting"/>
    <s v="Public Law Children"/>
    <s v="Advocacy"/>
    <s v="KP"/>
    <s v="Y"/>
    <n v="140.99"/>
    <n v="28.2"/>
    <x v="2"/>
    <s v="VALIDATED"/>
    <n v="1"/>
    <s v="01.11.80.308.6100.0000"/>
    <n v="140.99"/>
    <s v="11"/>
    <s v="6100"/>
    <n v="4691.72"/>
    <n v="140.99"/>
    <s v="CREDITOR"/>
    <n v="0"/>
    <n v="0"/>
    <n v="0"/>
    <n v="0"/>
    <n v="140.99"/>
  </r>
  <r>
    <n v="61954952"/>
    <s v="N"/>
    <n v="21319978"/>
    <s v="3000016001040004"/>
    <s v="CIVIL"/>
    <d v="2023-06-28T00:00:00"/>
    <d v="2023-07-03T19:04:24"/>
    <m/>
    <d v="2023-07-03T00:00:00"/>
    <n v="2005"/>
    <n v="8036"/>
    <s v="61954952"/>
    <s v="61954952"/>
    <m/>
    <m/>
    <n v="22775532"/>
    <m/>
    <m/>
    <m/>
    <s v="SOLPOA"/>
    <s v="SOLPOA"/>
    <s v="CCMS"/>
    <n v="21319978"/>
    <n v="202.8"/>
    <m/>
    <s v="N"/>
    <n v="1"/>
    <d v="2023-07-03T19:04:28"/>
    <s v="N"/>
    <s v="Expert Cost"/>
    <s v="Expert Cost"/>
    <s v="Expert Disbursement"/>
    <s v="KYLE PATTERSON"/>
    <s v="N"/>
    <n v="169"/>
    <n v="33.8"/>
    <x v="3"/>
    <s v="VALIDATED"/>
    <n v="1"/>
    <s v="01.11.80.308.2012.0000"/>
    <n v="169"/>
    <s v="11"/>
    <s v="2012"/>
    <n v="4691.72"/>
    <n v="169"/>
    <s v="CREDITOR"/>
    <n v="169"/>
    <n v="0"/>
    <n v="0"/>
    <n v="0"/>
    <n v="0"/>
  </r>
  <r>
    <n v="56181018"/>
    <s v="N"/>
    <n v="21350004"/>
    <s v="3000013329270007"/>
    <s v="CIVIL"/>
    <d v="2023-06-21T00:00:00"/>
    <d v="2023-07-10T19:01:40"/>
    <m/>
    <d v="2023-07-10T00:00:00"/>
    <n v="2005"/>
    <n v="8036"/>
    <s v="56181018"/>
    <s v="56181018"/>
    <m/>
    <m/>
    <n v="22734268"/>
    <m/>
    <m/>
    <m/>
    <s v="SOLFIN"/>
    <s v="SOLFIN"/>
    <s v="CCMS"/>
    <n v="21350004"/>
    <n v="6593.58"/>
    <m/>
    <s v="N"/>
    <n v="10"/>
    <d v="2023-07-10T19:02:09"/>
    <s v="Y"/>
    <s v="Hearing Unit 2.31 - 5.00 Hours"/>
    <s v="Public Law Children"/>
    <s v="Advocacy"/>
    <s v="KP"/>
    <s v="Y"/>
    <n v="476.92"/>
    <n v="95.38"/>
    <x v="2"/>
    <s v="VALIDATED"/>
    <n v="1"/>
    <s v="01.11.80.308.6100.0000"/>
    <n v="476.92"/>
    <s v="11"/>
    <s v="6100"/>
    <n v="4691.72"/>
    <n v="476.92"/>
    <s v="CREDITOR"/>
    <n v="0"/>
    <n v="0"/>
    <n v="0"/>
    <n v="0"/>
    <n v="476.92"/>
  </r>
  <r>
    <n v="56181018"/>
    <s v="N"/>
    <n v="21350004"/>
    <s v="3000013329270007"/>
    <s v="CIVIL"/>
    <d v="2023-06-21T00:00:00"/>
    <d v="2023-07-10T19:01:40"/>
    <m/>
    <d v="2023-07-10T00:00:00"/>
    <n v="2005"/>
    <n v="8036"/>
    <s v="56181018"/>
    <s v="56181018"/>
    <m/>
    <m/>
    <n v="22734268"/>
    <m/>
    <m/>
    <m/>
    <s v="SOLFIN"/>
    <s v="SOLFIN"/>
    <s v="CCMS"/>
    <n v="21350004"/>
    <n v="6593.58"/>
    <m/>
    <s v="N"/>
    <n v="12"/>
    <d v="2023-07-10T19:02:09"/>
    <s v="Y"/>
    <s v="Advocates Meeting"/>
    <s v="Public Law Children"/>
    <s v="Advocacy"/>
    <s v="KP"/>
    <s v="Y"/>
    <n v="140.99"/>
    <n v="28.2"/>
    <x v="2"/>
    <s v="VALIDATED"/>
    <n v="1"/>
    <s v="01.11.80.308.6100.0000"/>
    <n v="140.99"/>
    <s v="11"/>
    <s v="6100"/>
    <n v="4691.72"/>
    <n v="140.99"/>
    <s v="CREDITOR"/>
    <n v="0"/>
    <n v="0"/>
    <n v="0"/>
    <n v="0"/>
    <n v="140.99"/>
  </r>
  <r>
    <n v="56181018"/>
    <s v="N"/>
    <n v="21350004"/>
    <s v="3000013329270007"/>
    <s v="CIVIL"/>
    <d v="2023-06-21T00:00:00"/>
    <d v="2023-07-10T19:01:40"/>
    <m/>
    <d v="2023-07-10T00:00:00"/>
    <n v="2005"/>
    <n v="8036"/>
    <s v="56181018"/>
    <s v="56181018"/>
    <m/>
    <m/>
    <n v="22734268"/>
    <m/>
    <m/>
    <m/>
    <s v="SOLFIN"/>
    <s v="SOLFIN"/>
    <s v="CCMS"/>
    <n v="21350004"/>
    <n v="6593.58"/>
    <m/>
    <s v="N"/>
    <n v="6"/>
    <d v="2023-07-10T19:02:09"/>
    <s v="Y"/>
    <s v="Advocates Meeting"/>
    <s v="Public Law Children"/>
    <s v="Advocacy"/>
    <s v="KP"/>
    <s v="Y"/>
    <n v="140.99"/>
    <n v="28.2"/>
    <x v="2"/>
    <s v="VALIDATED"/>
    <n v="1"/>
    <s v="01.11.80.308.6100.0000"/>
    <n v="140.99"/>
    <s v="11"/>
    <s v="6100"/>
    <n v="4691.72"/>
    <n v="140.99"/>
    <s v="CREDITOR"/>
    <n v="0"/>
    <n v="0"/>
    <n v="0"/>
    <n v="0"/>
    <n v="140.99"/>
  </r>
  <r>
    <n v="56181018"/>
    <s v="N"/>
    <n v="21350004"/>
    <s v="3000013329270007"/>
    <s v="CIVIL"/>
    <d v="2023-06-21T00:00:00"/>
    <d v="2023-07-10T19:01:40"/>
    <m/>
    <d v="2023-07-10T00:00:00"/>
    <n v="2005"/>
    <n v="8036"/>
    <s v="56181018"/>
    <s v="56181018"/>
    <m/>
    <m/>
    <n v="22734268"/>
    <m/>
    <m/>
    <m/>
    <s v="SOLFIN"/>
    <s v="SOLFIN"/>
    <s v="CCMS"/>
    <n v="21350004"/>
    <n v="6593.58"/>
    <m/>
    <s v="N"/>
    <n v="14"/>
    <d v="2023-07-10T19:02:09"/>
    <s v="Y"/>
    <s v="Solicitors Fixed Fee"/>
    <s v="Public Law Children"/>
    <s v="Profit Cost"/>
    <s v="KP"/>
    <s v="Y"/>
    <n v="1911"/>
    <n v="382.2"/>
    <x v="2"/>
    <s v="VALIDATED"/>
    <n v="1"/>
    <s v="01.11.80.308.6100.0000"/>
    <n v="1911"/>
    <s v="11"/>
    <s v="6100"/>
    <n v="4691.72"/>
    <n v="1911"/>
    <s v="CREDITOR"/>
    <n v="0"/>
    <n v="0"/>
    <n v="0"/>
    <n v="0"/>
    <n v="1911"/>
  </r>
  <r>
    <n v="56181018"/>
    <s v="N"/>
    <n v="21350004"/>
    <s v="3000013329270007"/>
    <s v="CIVIL"/>
    <d v="2023-06-21T00:00:00"/>
    <d v="2023-07-10T19:01:40"/>
    <m/>
    <d v="2023-07-10T00:00:00"/>
    <n v="2005"/>
    <n v="8036"/>
    <s v="56181018"/>
    <s v="56181018"/>
    <m/>
    <m/>
    <n v="22734268"/>
    <m/>
    <m/>
    <m/>
    <s v="SOLFIN"/>
    <s v="SOLFIN"/>
    <s v="CCMS"/>
    <n v="21350004"/>
    <n v="6593.58"/>
    <m/>
    <s v="N"/>
    <n v="13"/>
    <d v="2023-07-10T19:02:09"/>
    <s v="Y"/>
    <s v="Advocates Meeting"/>
    <s v="Public Law Children"/>
    <s v="Advocacy"/>
    <s v="KP"/>
    <s v="Y"/>
    <n v="140.99"/>
    <n v="28.2"/>
    <x v="2"/>
    <s v="VALIDATED"/>
    <n v="1"/>
    <s v="01.11.80.308.6100.0000"/>
    <n v="140.99"/>
    <s v="11"/>
    <s v="6100"/>
    <n v="4691.72"/>
    <n v="140.99"/>
    <s v="CREDITOR"/>
    <n v="0"/>
    <n v="0"/>
    <n v="0"/>
    <n v="0"/>
    <n v="140.99"/>
  </r>
  <r>
    <n v="56181018"/>
    <s v="N"/>
    <n v="21350004"/>
    <s v="3000013329270007"/>
    <s v="CIVIL"/>
    <d v="2023-06-21T00:00:00"/>
    <d v="2023-07-10T19:01:40"/>
    <m/>
    <d v="2023-07-10T00:00:00"/>
    <n v="2005"/>
    <n v="8036"/>
    <s v="56181018"/>
    <s v="56181018"/>
    <m/>
    <m/>
    <n v="22734268"/>
    <m/>
    <m/>
    <m/>
    <s v="SOLFIN"/>
    <s v="SOLFIN"/>
    <s v="CCMS"/>
    <n v="21350004"/>
    <n v="6593.58"/>
    <m/>
    <s v="N"/>
    <n v="8"/>
    <d v="2023-07-10T19:02:09"/>
    <s v="Y"/>
    <s v="Hearing Unit 2.31 - 5.00 Hours"/>
    <s v="Public Law Children"/>
    <s v="Advocacy"/>
    <s v="KP"/>
    <s v="Y"/>
    <n v="596.15"/>
    <n v="119.23"/>
    <x v="2"/>
    <s v="VALIDATED"/>
    <n v="1"/>
    <s v="01.11.80.308.6100.0000"/>
    <n v="596.15"/>
    <s v="11"/>
    <s v="6100"/>
    <n v="4691.72"/>
    <n v="596.15"/>
    <s v="CREDITOR"/>
    <n v="0"/>
    <n v="0"/>
    <n v="0"/>
    <n v="0"/>
    <n v="596.15"/>
  </r>
  <r>
    <n v="56181018"/>
    <s v="N"/>
    <n v="21350004"/>
    <s v="3000013329270007"/>
    <s v="CIVIL"/>
    <d v="2023-06-21T00:00:00"/>
    <d v="2023-07-10T19:01:40"/>
    <m/>
    <d v="2023-07-10T00:00:00"/>
    <n v="2005"/>
    <n v="8036"/>
    <s v="56181018"/>
    <s v="56181018"/>
    <m/>
    <m/>
    <n v="22734268"/>
    <m/>
    <m/>
    <m/>
    <s v="SOLFIN"/>
    <s v="SOLFIN"/>
    <s v="CCMS"/>
    <n v="21350004"/>
    <n v="6593.58"/>
    <m/>
    <s v="N"/>
    <n v="9"/>
    <d v="2023-07-10T19:02:09"/>
    <s v="Y"/>
    <s v="Hearing Unit 2.31 - 5.00 Hours"/>
    <s v="Public Law Children"/>
    <s v="Advocacy"/>
    <s v="KP"/>
    <s v="Y"/>
    <n v="476.92"/>
    <n v="95.38"/>
    <x v="2"/>
    <s v="VALIDATED"/>
    <n v="1"/>
    <s v="01.11.80.308.6100.0000"/>
    <n v="476.92"/>
    <s v="11"/>
    <s v="6100"/>
    <n v="4691.72"/>
    <n v="476.92"/>
    <s v="CREDITOR"/>
    <n v="0"/>
    <n v="0"/>
    <n v="0"/>
    <n v="0"/>
    <n v="476.92"/>
  </r>
  <r>
    <n v="56181018"/>
    <s v="N"/>
    <n v="21350004"/>
    <s v="3000013329270007"/>
    <s v="CIVIL"/>
    <d v="2023-06-21T00:00:00"/>
    <d v="2023-07-10T19:01:40"/>
    <m/>
    <d v="2023-07-10T00:00:00"/>
    <n v="2005"/>
    <n v="8036"/>
    <s v="56181018"/>
    <s v="56181018"/>
    <m/>
    <m/>
    <n v="22734268"/>
    <m/>
    <m/>
    <m/>
    <s v="SOLFIN"/>
    <s v="SOLFIN"/>
    <s v="CCMS"/>
    <n v="21350004"/>
    <n v="6593.58"/>
    <m/>
    <s v="N"/>
    <n v="1"/>
    <d v="2023-07-10T19:02:09"/>
    <s v="Y"/>
    <s v="Toxicologist"/>
    <s v="Public Law Children"/>
    <s v="Expert Disbursement"/>
    <s v="kp"/>
    <s v="Y"/>
    <n v="158.5"/>
    <n v="31.7"/>
    <x v="2"/>
    <s v="VALIDATED"/>
    <n v="1"/>
    <s v="01.11.80.308.6300.0000"/>
    <n v="158.5"/>
    <s v="11"/>
    <s v="6300"/>
    <n v="4691.72"/>
    <n v="158.5"/>
    <s v="CREDITOR"/>
    <n v="0"/>
    <n v="0"/>
    <n v="0"/>
    <n v="0"/>
    <n v="158.5"/>
  </r>
  <r>
    <n v="56181018"/>
    <s v="N"/>
    <n v="21356890"/>
    <s v="3000013329270001RC"/>
    <s v="CIVIL"/>
    <d v="2023-06-21T00:00:00"/>
    <d v="2023-07-10T19:47:44"/>
    <m/>
    <d v="2023-07-10T00:00:00"/>
    <n v="2005"/>
    <n v="8036"/>
    <s v="56181018"/>
    <s v="56181018"/>
    <m/>
    <m/>
    <m/>
    <m/>
    <m/>
    <m/>
    <s v="SOLRECOUP"/>
    <s v="SOLRECOUP"/>
    <s v="POARECOUP"/>
    <n v="21356890"/>
    <n v="-335.26"/>
    <m/>
    <s v="Y"/>
    <n v="2"/>
    <d v="2023-07-10T19:47:46"/>
    <s v="N"/>
    <m/>
    <m/>
    <s v="Expert Disbursement"/>
    <m/>
    <s v="N"/>
    <n v="0"/>
    <n v="-55.88"/>
    <x v="2"/>
    <s v="VALIDATED"/>
    <n v="1"/>
    <s v="01.11.80.308.2013.0000"/>
    <n v="-55.88"/>
    <s v="11"/>
    <s v="2013"/>
    <n v="4691.72"/>
    <n v="-55.88"/>
    <s v="CREDITOR"/>
    <n v="0"/>
    <n v="0"/>
    <n v="-55.88"/>
    <n v="0"/>
    <n v="0"/>
  </r>
  <r>
    <n v="56181018"/>
    <s v="N"/>
    <n v="21356891"/>
    <s v="3000013329270002RC"/>
    <s v="CIVIL"/>
    <d v="2023-06-21T00:00:00"/>
    <d v="2023-07-10T19:47:44"/>
    <m/>
    <d v="2023-07-10T00:00:00"/>
    <n v="2005"/>
    <n v="8036"/>
    <s v="56181018"/>
    <s v="56181018"/>
    <m/>
    <m/>
    <m/>
    <m/>
    <m/>
    <m/>
    <s v="SOLRECOUP"/>
    <s v="SOLRECOUP"/>
    <s v="POARECOUP"/>
    <n v="21356891"/>
    <n v="-222"/>
    <m/>
    <s v="Y"/>
    <n v="1"/>
    <d v="2023-07-10T19:47:46"/>
    <s v="N"/>
    <m/>
    <m/>
    <s v="Expert Disbursement"/>
    <m/>
    <s v="N"/>
    <n v="-185"/>
    <n v="0"/>
    <x v="2"/>
    <s v="VALIDATED"/>
    <n v="1"/>
    <s v="01.11.80.308.2013.0000"/>
    <n v="-185"/>
    <s v="11"/>
    <s v="2013"/>
    <n v="4691.72"/>
    <n v="-185"/>
    <s v="CREDITOR"/>
    <n v="0"/>
    <n v="0"/>
    <n v="-185"/>
    <n v="0"/>
    <n v="0"/>
  </r>
  <r>
    <n v="56181018"/>
    <s v="N"/>
    <n v="21356891"/>
    <s v="3000013329270002RC"/>
    <s v="CIVIL"/>
    <d v="2023-06-21T00:00:00"/>
    <d v="2023-07-10T19:47:44"/>
    <m/>
    <d v="2023-07-10T00:00:00"/>
    <n v="2005"/>
    <n v="8036"/>
    <s v="56181018"/>
    <s v="56181018"/>
    <m/>
    <m/>
    <m/>
    <m/>
    <m/>
    <m/>
    <s v="SOLRECOUP"/>
    <s v="SOLRECOUP"/>
    <s v="POARECOUP"/>
    <n v="21356891"/>
    <n v="-222"/>
    <m/>
    <s v="Y"/>
    <n v="2"/>
    <d v="2023-07-10T19:47:46"/>
    <s v="N"/>
    <m/>
    <m/>
    <s v="Expert Disbursement"/>
    <m/>
    <s v="N"/>
    <n v="0"/>
    <n v="-37"/>
    <x v="2"/>
    <s v="VALIDATED"/>
    <n v="1"/>
    <s v="01.11.80.308.2013.0000"/>
    <n v="-37"/>
    <s v="11"/>
    <s v="2013"/>
    <n v="4691.72"/>
    <n v="-37"/>
    <s v="CREDITOR"/>
    <n v="0"/>
    <n v="0"/>
    <n v="-37"/>
    <n v="0"/>
    <n v="0"/>
  </r>
  <r>
    <n v="56181018"/>
    <s v="N"/>
    <n v="21356892"/>
    <s v="3000013329270006RC"/>
    <s v="CIVIL"/>
    <d v="2023-06-21T00:00:00"/>
    <d v="2023-07-10T19:47:44"/>
    <m/>
    <d v="2023-07-10T00:00:00"/>
    <n v="2005"/>
    <n v="8036"/>
    <s v="56181018"/>
    <s v="56181018"/>
    <m/>
    <m/>
    <m/>
    <m/>
    <m/>
    <m/>
    <s v="SOLRECOUP"/>
    <s v="SOLRECOUP"/>
    <s v="POARECOUP"/>
    <n v="21356892"/>
    <n v="-497.6"/>
    <m/>
    <s v="Y"/>
    <n v="1"/>
    <d v="2023-07-10T19:47:46"/>
    <s v="N"/>
    <m/>
    <m/>
    <s v="Expert Disbursement"/>
    <m/>
    <s v="N"/>
    <n v="-497.6"/>
    <n v="0"/>
    <x v="2"/>
    <s v="VALIDATED"/>
    <n v="1"/>
    <s v="01.11.80.308.2013.0000"/>
    <n v="-497.6"/>
    <s v="11"/>
    <s v="2013"/>
    <n v="4691.72"/>
    <n v="-497.6"/>
    <s v="CREDITOR"/>
    <n v="0"/>
    <n v="0"/>
    <n v="-497.6"/>
    <n v="0"/>
    <n v="0"/>
  </r>
  <r>
    <n v="56181018"/>
    <s v="N"/>
    <n v="21356892"/>
    <s v="3000013329270006RC"/>
    <s v="CIVIL"/>
    <d v="2023-06-21T00:00:00"/>
    <d v="2023-07-10T19:47:44"/>
    <m/>
    <d v="2023-07-10T00:00:00"/>
    <n v="2005"/>
    <n v="8036"/>
    <s v="56181018"/>
    <s v="56181018"/>
    <m/>
    <m/>
    <m/>
    <m/>
    <m/>
    <m/>
    <s v="SOLRECOUP"/>
    <s v="SOLRECOUP"/>
    <s v="POARECOUP"/>
    <n v="21356892"/>
    <n v="-497.6"/>
    <m/>
    <s v="Y"/>
    <n v="2"/>
    <d v="2023-07-10T19:47:46"/>
    <s v="N"/>
    <m/>
    <m/>
    <s v="Expert Disbursement"/>
    <m/>
    <s v="N"/>
    <n v="0"/>
    <n v="0"/>
    <x v="2"/>
    <s v="VALIDATED"/>
    <n v="1"/>
    <s v="01.11.80.000.0000.0000"/>
    <n v="0"/>
    <s v="11"/>
    <s v="0000"/>
    <n v="4691.72"/>
    <n v="0"/>
    <s v="CREDITOR"/>
    <n v="0"/>
    <n v="0"/>
    <n v="0"/>
    <n v="0"/>
    <n v="0"/>
  </r>
  <r>
    <n v="56181018"/>
    <s v="N"/>
    <n v="21356890"/>
    <s v="3000013329270001RC"/>
    <s v="CIVIL"/>
    <d v="2023-06-21T00:00:00"/>
    <d v="2023-07-10T19:47:44"/>
    <m/>
    <d v="2023-07-10T00:00:00"/>
    <n v="2005"/>
    <n v="8036"/>
    <s v="56181018"/>
    <s v="56181018"/>
    <m/>
    <m/>
    <m/>
    <m/>
    <m/>
    <m/>
    <s v="SOLRECOUP"/>
    <s v="SOLRECOUP"/>
    <s v="POARECOUP"/>
    <n v="21356890"/>
    <n v="-335.26"/>
    <m/>
    <s v="Y"/>
    <n v="1"/>
    <d v="2023-07-10T19:47:46"/>
    <s v="N"/>
    <m/>
    <m/>
    <s v="Expert Disbursement"/>
    <m/>
    <s v="N"/>
    <n v="-279.38"/>
    <n v="0"/>
    <x v="2"/>
    <s v="VALIDATED"/>
    <n v="1"/>
    <s v="01.11.80.308.2013.0000"/>
    <n v="-279.38"/>
    <s v="11"/>
    <s v="2013"/>
    <n v="4691.72"/>
    <n v="-279.38"/>
    <s v="CREDITOR"/>
    <n v="0"/>
    <n v="0"/>
    <n v="-279.38"/>
    <n v="0"/>
    <n v="0"/>
  </r>
  <r>
    <n v="60930884"/>
    <s v="N"/>
    <n v="21350062"/>
    <s v="3000015148690013"/>
    <s v="CIVIL"/>
    <d v="2023-06-28T00:00:00"/>
    <d v="2023-07-10T19:01:40"/>
    <m/>
    <d v="2023-07-10T00:00:00"/>
    <n v="2006"/>
    <n v="8047"/>
    <s v="60930884"/>
    <s v="60930884"/>
    <m/>
    <m/>
    <n v="22777444"/>
    <m/>
    <m/>
    <m/>
    <s v="SOLFIN"/>
    <s v="SOLFIN"/>
    <s v="CCMS"/>
    <n v="21350062"/>
    <n v="15077.57"/>
    <m/>
    <s v="N"/>
    <n v="5"/>
    <d v="2023-07-10T19:02:12"/>
    <s v="Y"/>
    <s v="Paediatrician"/>
    <s v="Public Law Children"/>
    <s v="Expert Disbursement"/>
    <s v="Sophia Yau-Rosher"/>
    <s v="Y"/>
    <n v="2269"/>
    <n v="453.8"/>
    <x v="2"/>
    <s v="VALIDATED"/>
    <n v="1"/>
    <s v="01.11.80.308.6300.0000"/>
    <n v="2269"/>
    <s v="11"/>
    <s v="6300"/>
    <n v="16645.98"/>
    <n v="2269"/>
    <s v="CREDITOR"/>
    <n v="0"/>
    <n v="0"/>
    <n v="0"/>
    <n v="0"/>
    <n v="2269"/>
  </r>
  <r>
    <n v="61770389"/>
    <s v="N"/>
    <n v="21338556"/>
    <s v="3000015848300002"/>
    <s v="CIVIL"/>
    <d v="2023-06-30T00:00:00"/>
    <d v="2023-07-06T19:21:01"/>
    <m/>
    <d v="2023-07-06T00:00:00"/>
    <n v="2006"/>
    <n v="8047"/>
    <s v="61770389"/>
    <s v="61770389"/>
    <m/>
    <m/>
    <n v="22796224"/>
    <m/>
    <m/>
    <m/>
    <s v="SOLFIN"/>
    <s v="SOLFIN"/>
    <s v="CCMS"/>
    <n v="21338556"/>
    <n v="4182.27"/>
    <m/>
    <s v="N"/>
    <n v="6"/>
    <d v="2023-07-06T19:21:28"/>
    <s v="Y"/>
    <s v="Final Hearing - 1 Day"/>
    <s v="Public Law Children"/>
    <s v="Advocacy"/>
    <s v="CT"/>
    <s v="Y"/>
    <n v="556.88"/>
    <n v="111.38"/>
    <x v="4"/>
    <s v="VALIDATED"/>
    <n v="1"/>
    <s v="01.11.80.308.6100.0000"/>
    <n v="556.88"/>
    <s v="11"/>
    <s v="6100"/>
    <n v="16645.98"/>
    <n v="556.88"/>
    <s v="CREDITOR"/>
    <n v="0"/>
    <n v="0"/>
    <n v="0"/>
    <n v="0"/>
    <n v="556.88"/>
  </r>
  <r>
    <n v="61432222"/>
    <s v="N"/>
    <n v="21349758"/>
    <s v="3000015567280004"/>
    <s v="CIVIL"/>
    <d v="2023-06-30T00:00:00"/>
    <d v="2023-07-10T19:01:40"/>
    <m/>
    <d v="2023-07-10T00:00:00"/>
    <n v="2006"/>
    <n v="8047"/>
    <s v="61432222"/>
    <s v="61432222"/>
    <m/>
    <m/>
    <n v="22795270"/>
    <m/>
    <m/>
    <m/>
    <s v="SOLFIN"/>
    <s v="SOLFIN"/>
    <s v="CCMS"/>
    <n v="21349758"/>
    <n v="2917.73"/>
    <m/>
    <s v="N"/>
    <n v="1"/>
    <d v="2023-07-10T19:01:56"/>
    <s v="Y"/>
    <s v="Solicitors Fixed Fee"/>
    <s v="Public Law Children"/>
    <s v="Profit Cost"/>
    <s v="OO"/>
    <s v="Y"/>
    <n v="1911"/>
    <n v="382.2"/>
    <x v="2"/>
    <s v="VALIDATED"/>
    <n v="1"/>
    <s v="01.11.80.308.6100.0000"/>
    <n v="1911"/>
    <s v="11"/>
    <s v="6100"/>
    <n v="16645.98"/>
    <n v="1911"/>
    <s v="CREDITOR"/>
    <n v="0"/>
    <n v="0"/>
    <n v="0"/>
    <n v="0"/>
    <n v="1911"/>
  </r>
  <r>
    <n v="60930884"/>
    <s v="N"/>
    <n v="21350062"/>
    <s v="3000015148690013"/>
    <s v="CIVIL"/>
    <d v="2023-06-28T00:00:00"/>
    <d v="2023-07-10T19:01:40"/>
    <m/>
    <d v="2023-07-10T00:00:00"/>
    <n v="2006"/>
    <n v="8047"/>
    <s v="60930884"/>
    <s v="60930884"/>
    <m/>
    <m/>
    <n v="22777444"/>
    <m/>
    <m/>
    <m/>
    <s v="SOLFIN"/>
    <s v="SOLFIN"/>
    <s v="CCMS"/>
    <n v="21350062"/>
    <n v="15077.57"/>
    <m/>
    <s v="N"/>
    <n v="3"/>
    <d v="2023-07-10T19:02:12"/>
    <s v="Y"/>
    <s v="GP (records report)"/>
    <s v="Public Law Children"/>
    <s v="Expert Disbursement"/>
    <s v="Sophia Yau-Rosher"/>
    <s v="Y"/>
    <n v="44"/>
    <n v="0"/>
    <x v="2"/>
    <s v="VALIDATED"/>
    <n v="1"/>
    <s v="01.11.80.308.6300.0000"/>
    <n v="44"/>
    <s v="11"/>
    <s v="6300"/>
    <n v="16645.98"/>
    <n v="44"/>
    <s v="CREDITOR"/>
    <n v="0"/>
    <n v="0"/>
    <n v="0"/>
    <n v="0"/>
    <n v="44"/>
  </r>
  <r>
    <n v="62389711"/>
    <s v="N"/>
    <n v="21321761"/>
    <s v="3000016366470001"/>
    <s v="CIVIL"/>
    <d v="2023-06-29T00:00:00"/>
    <d v="2023-07-03T19:05:17"/>
    <m/>
    <d v="2023-07-03T00:00:00"/>
    <n v="2006"/>
    <n v="8047"/>
    <s v="62389711"/>
    <s v="62389711"/>
    <m/>
    <m/>
    <n v="22787714"/>
    <m/>
    <m/>
    <m/>
    <s v="SOLPOA"/>
    <s v="SOLPOA"/>
    <s v="CCMS"/>
    <n v="21321761"/>
    <n v="806.4"/>
    <m/>
    <s v="N"/>
    <n v="1"/>
    <d v="2023-07-03T19:05:20"/>
    <s v="N"/>
    <s v="Expert Cost"/>
    <s v="Expert Cost"/>
    <s v="Expert Disbursement"/>
    <s v="Charlotte Talbot"/>
    <s v="N"/>
    <n v="672"/>
    <n v="134.4"/>
    <x v="3"/>
    <s v="VALIDATED"/>
    <n v="1"/>
    <s v="01.11.80.308.2012.0000"/>
    <n v="672"/>
    <s v="11"/>
    <s v="2012"/>
    <n v="16645.98"/>
    <n v="672"/>
    <s v="CREDITOR"/>
    <n v="672"/>
    <n v="0"/>
    <n v="0"/>
    <n v="0"/>
    <n v="0"/>
  </r>
  <r>
    <n v="60930884"/>
    <s v="N"/>
    <n v="21350062"/>
    <s v="3000015148690013"/>
    <s v="CIVIL"/>
    <d v="2023-06-28T00:00:00"/>
    <d v="2023-07-10T19:01:40"/>
    <m/>
    <d v="2023-07-10T00:00:00"/>
    <n v="2006"/>
    <n v="8047"/>
    <s v="60930884"/>
    <s v="60930884"/>
    <m/>
    <m/>
    <n v="22777444"/>
    <m/>
    <m/>
    <m/>
    <s v="SOLFIN"/>
    <s v="SOLFIN"/>
    <s v="CCMS"/>
    <n v="21350062"/>
    <n v="15077.57"/>
    <m/>
    <s v="N"/>
    <n v="4"/>
    <d v="2023-07-10T19:02:12"/>
    <s v="Y"/>
    <s v="Radiologist"/>
    <s v="Public Law Children"/>
    <s v="Expert Disbursement"/>
    <s v="Sophia Yau-Rosher"/>
    <s v="Y"/>
    <n v="270"/>
    <n v="0"/>
    <x v="2"/>
    <s v="VALIDATED"/>
    <n v="1"/>
    <s v="01.11.80.308.6300.0000"/>
    <n v="270"/>
    <s v="11"/>
    <s v="6300"/>
    <n v="16645.98"/>
    <n v="270"/>
    <s v="CREDITOR"/>
    <n v="0"/>
    <n v="0"/>
    <n v="0"/>
    <n v="0"/>
    <n v="270"/>
  </r>
  <r>
    <n v="62306179"/>
    <s v="N"/>
    <n v="21369799"/>
    <s v="3000016297260006"/>
    <s v="CIVIL"/>
    <d v="2023-06-27T00:00:00"/>
    <d v="2023-07-13T19:21:05"/>
    <m/>
    <d v="2023-07-13T00:00:00"/>
    <n v="2006"/>
    <n v="8047"/>
    <s v="62306179"/>
    <s v="62306179"/>
    <m/>
    <m/>
    <n v="22766488"/>
    <m/>
    <m/>
    <m/>
    <s v="SOLPOA"/>
    <s v="SOLPOA"/>
    <s v="CCMS"/>
    <n v="21369799"/>
    <n v="600"/>
    <m/>
    <s v="N"/>
    <n v="1"/>
    <d v="2023-07-13T19:21:11"/>
    <s v="N"/>
    <s v="Non Expert Disbursement"/>
    <s v="Non Expert Disbursement"/>
    <s v="Non Expert Disbursement"/>
    <s v="syr"/>
    <s v="N"/>
    <n v="500"/>
    <n v="100"/>
    <x v="11"/>
    <s v="VALIDATED"/>
    <n v="1"/>
    <s v="01.11.80.308.2012.0000"/>
    <n v="500"/>
    <s v="11"/>
    <s v="2012"/>
    <n v="16645.98"/>
    <n v="500"/>
    <s v="CREDITOR"/>
    <n v="500"/>
    <n v="0"/>
    <n v="0"/>
    <n v="0"/>
    <n v="0"/>
  </r>
  <r>
    <n v="61770389"/>
    <s v="N"/>
    <n v="21338556"/>
    <s v="3000015848300002"/>
    <s v="CIVIL"/>
    <d v="2023-06-30T00:00:00"/>
    <d v="2023-07-06T19:21:01"/>
    <m/>
    <d v="2023-07-06T00:00:00"/>
    <n v="2006"/>
    <n v="8047"/>
    <s v="61770389"/>
    <s v="61770389"/>
    <m/>
    <m/>
    <n v="22796224"/>
    <m/>
    <m/>
    <m/>
    <s v="SOLFIN"/>
    <s v="SOLFIN"/>
    <s v="CCMS"/>
    <n v="21338556"/>
    <n v="4182.27"/>
    <m/>
    <s v="N"/>
    <n v="1"/>
    <d v="2023-07-06T19:21:28"/>
    <s v="Y"/>
    <s v="Solicitors Fixed Fee"/>
    <s v="Public Law Children"/>
    <s v="Profit Cost"/>
    <s v="CT"/>
    <s v="Y"/>
    <n v="1911"/>
    <n v="382.2"/>
    <x v="4"/>
    <s v="VALIDATED"/>
    <n v="1"/>
    <s v="01.11.80.308.6100.0000"/>
    <n v="1911"/>
    <s v="11"/>
    <s v="6100"/>
    <n v="16645.98"/>
    <n v="1911"/>
    <s v="CREDITOR"/>
    <n v="0"/>
    <n v="0"/>
    <n v="0"/>
    <n v="0"/>
    <n v="1911"/>
  </r>
  <r>
    <n v="60930884"/>
    <s v="N"/>
    <n v="21350062"/>
    <s v="3000015148690013"/>
    <s v="CIVIL"/>
    <d v="2023-06-28T00:00:00"/>
    <d v="2023-07-10T19:01:40"/>
    <m/>
    <d v="2023-07-10T00:00:00"/>
    <n v="2006"/>
    <n v="8047"/>
    <s v="60930884"/>
    <s v="60930884"/>
    <m/>
    <m/>
    <n v="22777444"/>
    <m/>
    <m/>
    <m/>
    <s v="SOLFIN"/>
    <s v="SOLFIN"/>
    <s v="CCMS"/>
    <n v="21350062"/>
    <n v="15077.57"/>
    <m/>
    <s v="N"/>
    <n v="1"/>
    <d v="2023-07-10T19:02:12"/>
    <s v="Y"/>
    <s v="Other"/>
    <s v="Public Law Children"/>
    <s v="Non Expert Disbursement"/>
    <s v="Sophia Yau-Rosher"/>
    <s v="Y"/>
    <n v="106.48"/>
    <n v="21.3"/>
    <x v="2"/>
    <s v="VALIDATED"/>
    <n v="1"/>
    <s v="01.11.80.308.6300.0000"/>
    <n v="106.48"/>
    <s v="11"/>
    <s v="6300"/>
    <n v="16645.98"/>
    <n v="106.48"/>
    <s v="CREDITOR"/>
    <n v="0"/>
    <n v="0"/>
    <n v="0"/>
    <n v="0"/>
    <n v="106.48"/>
  </r>
  <r>
    <n v="61770389"/>
    <s v="N"/>
    <n v="21338556"/>
    <s v="3000015848300002"/>
    <s v="CIVIL"/>
    <d v="2023-06-30T00:00:00"/>
    <d v="2023-07-06T19:21:01"/>
    <m/>
    <d v="2023-07-06T00:00:00"/>
    <n v="2006"/>
    <n v="8047"/>
    <s v="61770389"/>
    <s v="61770389"/>
    <m/>
    <m/>
    <n v="22796224"/>
    <m/>
    <m/>
    <m/>
    <s v="SOLFIN"/>
    <s v="SOLFIN"/>
    <s v="CCMS"/>
    <n v="21338556"/>
    <n v="4182.27"/>
    <m/>
    <s v="N"/>
    <n v="2"/>
    <d v="2023-07-06T19:21:28"/>
    <s v="Y"/>
    <s v="Other"/>
    <s v="Public Law Children"/>
    <s v="Non Expert Disbursement"/>
    <s v="CT"/>
    <s v="Y"/>
    <n v="19.04"/>
    <n v="3.81"/>
    <x v="4"/>
    <s v="VALIDATED"/>
    <n v="1"/>
    <s v="01.11.80.308.6300.0000"/>
    <n v="19.04"/>
    <s v="11"/>
    <s v="6300"/>
    <n v="16645.98"/>
    <n v="19.04"/>
    <s v="CREDITOR"/>
    <n v="0"/>
    <n v="0"/>
    <n v="0"/>
    <n v="0"/>
    <n v="19.04"/>
  </r>
  <r>
    <n v="61432222"/>
    <s v="N"/>
    <n v="21349758"/>
    <s v="3000015567280004"/>
    <s v="CIVIL"/>
    <d v="2023-06-30T00:00:00"/>
    <d v="2023-07-10T19:01:40"/>
    <m/>
    <d v="2023-07-10T00:00:00"/>
    <n v="2006"/>
    <n v="8047"/>
    <s v="61432222"/>
    <s v="61432222"/>
    <m/>
    <m/>
    <n v="22795270"/>
    <m/>
    <m/>
    <m/>
    <s v="SOLFIN"/>
    <s v="SOLFIN"/>
    <s v="CCMS"/>
    <n v="21349758"/>
    <n v="2917.73"/>
    <m/>
    <s v="N"/>
    <n v="4"/>
    <d v="2023-07-10T19:01:56"/>
    <s v="Y"/>
    <s v="Advocates Meeting"/>
    <s v="Public Law Children"/>
    <s v="Advocacy"/>
    <s v="OO"/>
    <s v="Y"/>
    <n v="140.99"/>
    <n v="28.2"/>
    <x v="2"/>
    <s v="VALIDATED"/>
    <n v="1"/>
    <s v="01.11.80.308.6100.0000"/>
    <n v="140.99"/>
    <s v="11"/>
    <s v="6100"/>
    <n v="16645.98"/>
    <n v="140.99"/>
    <s v="CREDITOR"/>
    <n v="0"/>
    <n v="0"/>
    <n v="0"/>
    <n v="0"/>
    <n v="140.99"/>
  </r>
  <r>
    <n v="61770389"/>
    <s v="N"/>
    <n v="21338556"/>
    <s v="3000015848300002"/>
    <s v="CIVIL"/>
    <d v="2023-06-30T00:00:00"/>
    <d v="2023-07-06T19:21:01"/>
    <m/>
    <d v="2023-07-06T00:00:00"/>
    <n v="2006"/>
    <n v="8047"/>
    <s v="61770389"/>
    <s v="61770389"/>
    <m/>
    <m/>
    <n v="22796224"/>
    <m/>
    <m/>
    <m/>
    <s v="SOLFIN"/>
    <s v="SOLFIN"/>
    <s v="CCMS"/>
    <n v="21338556"/>
    <n v="4182.27"/>
    <m/>
    <s v="N"/>
    <n v="4"/>
    <d v="2023-07-06T19:21:28"/>
    <s v="Y"/>
    <s v="Hearing Unit 2.31 - 5.00 Hours"/>
    <s v="Public Law Children"/>
    <s v="Advocacy"/>
    <s v="CT"/>
    <s v="Y"/>
    <n v="476.92"/>
    <n v="95.38"/>
    <x v="4"/>
    <s v="VALIDATED"/>
    <n v="1"/>
    <s v="01.11.80.308.6100.0000"/>
    <n v="476.92"/>
    <s v="11"/>
    <s v="6100"/>
    <n v="16645.98"/>
    <n v="476.92"/>
    <s v="CREDITOR"/>
    <n v="0"/>
    <n v="0"/>
    <n v="0"/>
    <n v="0"/>
    <n v="476.92"/>
  </r>
  <r>
    <n v="60930884"/>
    <s v="N"/>
    <n v="21350062"/>
    <s v="3000015148690013"/>
    <s v="CIVIL"/>
    <d v="2023-06-28T00:00:00"/>
    <d v="2023-07-10T19:01:40"/>
    <m/>
    <d v="2023-07-10T00:00:00"/>
    <n v="2006"/>
    <n v="8047"/>
    <s v="60930884"/>
    <s v="60930884"/>
    <m/>
    <m/>
    <n v="22777444"/>
    <m/>
    <m/>
    <m/>
    <s v="SOLFIN"/>
    <s v="SOLFIN"/>
    <s v="CCMS"/>
    <n v="21350062"/>
    <n v="15077.57"/>
    <m/>
    <s v="N"/>
    <n v="8"/>
    <d v="2023-07-10T19:02:12"/>
    <s v="Y"/>
    <s v="Hearing Unit 2.31 - 5.00 Hours"/>
    <s v="Public Law Children"/>
    <s v="Advocacy"/>
    <s v="Derek Pack"/>
    <s v="Y"/>
    <n v="596.15"/>
    <n v="119.23"/>
    <x v="2"/>
    <s v="VALIDATED"/>
    <n v="1"/>
    <s v="01.11.80.308.6100.0000"/>
    <n v="596.15"/>
    <s v="11"/>
    <s v="6100"/>
    <n v="16645.98"/>
    <n v="596.15"/>
    <s v="CREDITOR"/>
    <n v="0"/>
    <n v="0"/>
    <n v="0"/>
    <n v="0"/>
    <n v="596.15"/>
  </r>
  <r>
    <n v="61770389"/>
    <s v="N"/>
    <n v="21338556"/>
    <s v="3000015848300002"/>
    <s v="CIVIL"/>
    <d v="2023-06-30T00:00:00"/>
    <d v="2023-07-06T19:21:01"/>
    <m/>
    <d v="2023-07-06T00:00:00"/>
    <n v="2006"/>
    <n v="8047"/>
    <s v="61770389"/>
    <s v="61770389"/>
    <m/>
    <m/>
    <n v="22796224"/>
    <m/>
    <m/>
    <m/>
    <s v="SOLFIN"/>
    <s v="SOLFIN"/>
    <s v="CCMS"/>
    <n v="21338556"/>
    <n v="4182.27"/>
    <m/>
    <s v="N"/>
    <n v="3"/>
    <d v="2023-07-06T19:21:28"/>
    <s v="Y"/>
    <s v="Advocates Meeting"/>
    <s v="Public Law Children"/>
    <s v="Advocacy"/>
    <s v="CT"/>
    <s v="Y"/>
    <n v="140.99"/>
    <n v="28.2"/>
    <x v="4"/>
    <s v="VALIDATED"/>
    <n v="1"/>
    <s v="01.11.80.308.6100.0000"/>
    <n v="140.99"/>
    <s v="11"/>
    <s v="6100"/>
    <n v="16645.98"/>
    <n v="140.99"/>
    <s v="CREDITOR"/>
    <n v="0"/>
    <n v="0"/>
    <n v="0"/>
    <n v="0"/>
    <n v="140.99"/>
  </r>
  <r>
    <n v="61432222"/>
    <s v="N"/>
    <n v="21349758"/>
    <s v="3000015567280004"/>
    <s v="CIVIL"/>
    <d v="2023-06-30T00:00:00"/>
    <d v="2023-07-10T19:01:40"/>
    <m/>
    <d v="2023-07-10T00:00:00"/>
    <n v="2006"/>
    <n v="8047"/>
    <s v="61432222"/>
    <s v="61432222"/>
    <m/>
    <m/>
    <n v="22795270"/>
    <m/>
    <m/>
    <m/>
    <s v="SOLFIN"/>
    <s v="SOLFIN"/>
    <s v="CCMS"/>
    <n v="21349758"/>
    <n v="2917.73"/>
    <m/>
    <s v="N"/>
    <n v="3"/>
    <d v="2023-07-10T19:01:56"/>
    <s v="Y"/>
    <s v="Advocates Meeting"/>
    <s v="Public Law Children"/>
    <s v="Advocacy"/>
    <s v="OO"/>
    <s v="Y"/>
    <n v="140.99"/>
    <n v="28.2"/>
    <x v="2"/>
    <s v="VALIDATED"/>
    <n v="1"/>
    <s v="01.11.80.308.6100.0000"/>
    <n v="140.99"/>
    <s v="11"/>
    <s v="6100"/>
    <n v="16645.98"/>
    <n v="140.99"/>
    <s v="CREDITOR"/>
    <n v="0"/>
    <n v="0"/>
    <n v="0"/>
    <n v="0"/>
    <n v="140.99"/>
  </r>
  <r>
    <n v="61432222"/>
    <s v="N"/>
    <n v="21349758"/>
    <s v="3000015567280004"/>
    <s v="CIVIL"/>
    <d v="2023-06-30T00:00:00"/>
    <d v="2023-07-10T19:01:40"/>
    <m/>
    <d v="2023-07-10T00:00:00"/>
    <n v="2006"/>
    <n v="8047"/>
    <s v="61432222"/>
    <s v="61432222"/>
    <m/>
    <m/>
    <n v="22795270"/>
    <m/>
    <m/>
    <m/>
    <s v="SOLFIN"/>
    <s v="SOLFIN"/>
    <s v="CCMS"/>
    <n v="21349758"/>
    <n v="2917.73"/>
    <m/>
    <s v="N"/>
    <n v="2"/>
    <d v="2023-07-10T19:01:56"/>
    <s v="Y"/>
    <s v="Hearing Unit 1.01 - 2.30 Hours"/>
    <s v="Public Law Children"/>
    <s v="Advocacy"/>
    <s v="DP"/>
    <s v="Y"/>
    <n v="238.46"/>
    <n v="47.69"/>
    <x v="2"/>
    <s v="VALIDATED"/>
    <n v="1"/>
    <s v="01.11.80.308.6100.0000"/>
    <n v="238.46"/>
    <s v="11"/>
    <s v="6100"/>
    <n v="16645.98"/>
    <n v="238.46"/>
    <s v="CREDITOR"/>
    <n v="0"/>
    <n v="0"/>
    <n v="0"/>
    <n v="0"/>
    <n v="238.46"/>
  </r>
  <r>
    <n v="60930884"/>
    <s v="N"/>
    <n v="21350062"/>
    <s v="3000015148690013"/>
    <s v="CIVIL"/>
    <d v="2023-06-28T00:00:00"/>
    <d v="2023-07-10T19:01:40"/>
    <m/>
    <d v="2023-07-10T00:00:00"/>
    <n v="2006"/>
    <n v="8047"/>
    <s v="60930884"/>
    <s v="60930884"/>
    <m/>
    <m/>
    <n v="22777444"/>
    <m/>
    <m/>
    <m/>
    <s v="SOLFIN"/>
    <s v="SOLFIN"/>
    <s v="CCMS"/>
    <n v="21350062"/>
    <n v="15077.57"/>
    <m/>
    <s v="N"/>
    <n v="7"/>
    <d v="2023-07-10T19:02:12"/>
    <s v="Y"/>
    <s v="Advocates Meeting"/>
    <s v="Public Law Children"/>
    <s v="Advocacy"/>
    <s v="Sophia Yau-Rosher"/>
    <s v="Y"/>
    <n v="140.99"/>
    <n v="28.2"/>
    <x v="2"/>
    <s v="VALIDATED"/>
    <n v="1"/>
    <s v="01.11.80.308.6100.0000"/>
    <n v="140.99"/>
    <s v="11"/>
    <s v="6100"/>
    <n v="16645.98"/>
    <n v="140.99"/>
    <s v="CREDITOR"/>
    <n v="0"/>
    <n v="0"/>
    <n v="0"/>
    <n v="0"/>
    <n v="140.99"/>
  </r>
  <r>
    <n v="60930884"/>
    <s v="N"/>
    <n v="21350062"/>
    <s v="3000015148690013"/>
    <s v="CIVIL"/>
    <d v="2023-06-28T00:00:00"/>
    <d v="2023-07-10T19:01:40"/>
    <m/>
    <d v="2023-07-10T00:00:00"/>
    <n v="2006"/>
    <n v="8047"/>
    <s v="60930884"/>
    <s v="60930884"/>
    <m/>
    <m/>
    <n v="22777444"/>
    <m/>
    <m/>
    <m/>
    <s v="SOLFIN"/>
    <s v="SOLFIN"/>
    <s v="CCMS"/>
    <n v="21350062"/>
    <n v="15077.57"/>
    <m/>
    <s v="N"/>
    <n v="2"/>
    <d v="2023-07-10T19:02:12"/>
    <s v="Y"/>
    <s v="Profit Costs (Summary)"/>
    <s v="Public Law Children"/>
    <s v="Profit Cost"/>
    <s v="Sophia Yau-Rosher"/>
    <s v="Y"/>
    <n v="9049.360000000001"/>
    <n v="1809.87"/>
    <x v="2"/>
    <s v="VALIDATED"/>
    <n v="1"/>
    <s v="01.11.80.308.6100.0000"/>
    <n v="9049.360000000001"/>
    <s v="11"/>
    <s v="6100"/>
    <n v="16645.98"/>
    <n v="9049.360000000001"/>
    <s v="CREDITOR"/>
    <n v="0"/>
    <n v="0"/>
    <n v="0"/>
    <n v="0"/>
    <n v="9049.360000000001"/>
  </r>
  <r>
    <n v="61770389"/>
    <s v="N"/>
    <n v="21338556"/>
    <s v="3000015848300002"/>
    <s v="CIVIL"/>
    <d v="2023-06-30T00:00:00"/>
    <d v="2023-07-06T19:21:01"/>
    <m/>
    <d v="2023-07-06T00:00:00"/>
    <n v="2006"/>
    <n v="8047"/>
    <s v="61770389"/>
    <s v="61770389"/>
    <m/>
    <m/>
    <n v="22796224"/>
    <m/>
    <m/>
    <m/>
    <s v="SOLFIN"/>
    <s v="SOLFIN"/>
    <s v="CCMS"/>
    <n v="21338556"/>
    <n v="4182.27"/>
    <m/>
    <s v="N"/>
    <n v="7"/>
    <d v="2023-07-06T19:21:28"/>
    <s v="Y"/>
    <s v="Final Hearing Court Bundle/Advocate"/>
    <s v="Public Law Children"/>
    <s v="Advocacy"/>
    <s v="CT"/>
    <s v="Y"/>
    <n v="239.4"/>
    <n v="47.88"/>
    <x v="4"/>
    <s v="VALIDATED"/>
    <n v="1"/>
    <s v="01.11.80.308.6100.0000"/>
    <n v="239.4"/>
    <s v="11"/>
    <s v="6100"/>
    <n v="16645.98"/>
    <n v="239.4"/>
    <s v="CREDITOR"/>
    <n v="0"/>
    <n v="0"/>
    <n v="0"/>
    <n v="0"/>
    <n v="239.4"/>
  </r>
  <r>
    <n v="60930884"/>
    <s v="N"/>
    <n v="21350062"/>
    <s v="3000015148690013"/>
    <s v="CIVIL"/>
    <d v="2023-06-28T00:00:00"/>
    <d v="2023-07-10T19:01:40"/>
    <m/>
    <d v="2023-07-10T00:00:00"/>
    <n v="2006"/>
    <n v="8047"/>
    <s v="60930884"/>
    <s v="60930884"/>
    <m/>
    <m/>
    <n v="22777444"/>
    <m/>
    <m/>
    <m/>
    <s v="SOLFIN"/>
    <s v="SOLFIN"/>
    <s v="CCMS"/>
    <n v="21350062"/>
    <n v="15077.57"/>
    <m/>
    <s v="N"/>
    <n v="6"/>
    <d v="2023-07-10T19:02:12"/>
    <s v="Y"/>
    <s v="Advocates Meeting"/>
    <s v="Public Law Children"/>
    <s v="Advocacy"/>
    <s v="Sophia Yau-Rosher"/>
    <s v="Y"/>
    <n v="140.99"/>
    <n v="28.2"/>
    <x v="2"/>
    <s v="VALIDATED"/>
    <n v="1"/>
    <s v="01.11.80.308.6100.0000"/>
    <n v="140.99"/>
    <s v="11"/>
    <s v="6100"/>
    <n v="16645.98"/>
    <n v="140.99"/>
    <s v="CREDITOR"/>
    <n v="0"/>
    <n v="0"/>
    <n v="0"/>
    <n v="0"/>
    <n v="140.99"/>
  </r>
  <r>
    <n v="61770389"/>
    <s v="N"/>
    <n v="21338556"/>
    <s v="3000015848300002"/>
    <s v="CIVIL"/>
    <d v="2023-06-30T00:00:00"/>
    <d v="2023-07-06T19:21:01"/>
    <m/>
    <d v="2023-07-06T00:00:00"/>
    <n v="2006"/>
    <n v="8047"/>
    <s v="61770389"/>
    <s v="61770389"/>
    <m/>
    <m/>
    <n v="22796224"/>
    <m/>
    <m/>
    <m/>
    <s v="SOLFIN"/>
    <s v="SOLFIN"/>
    <s v="CCMS"/>
    <n v="21338556"/>
    <n v="4182.27"/>
    <m/>
    <s v="N"/>
    <n v="5"/>
    <d v="2023-07-06T19:21:28"/>
    <s v="Y"/>
    <s v="Advocates Meeting"/>
    <s v="Public Law Children"/>
    <s v="Advocacy"/>
    <s v="CT"/>
    <s v="Y"/>
    <n v="140.99"/>
    <n v="28.2"/>
    <x v="4"/>
    <s v="VALIDATED"/>
    <n v="1"/>
    <s v="01.11.80.308.6100.0000"/>
    <n v="140.99"/>
    <s v="11"/>
    <s v="6100"/>
    <n v="16645.98"/>
    <n v="140.99"/>
    <s v="CREDITOR"/>
    <n v="0"/>
    <n v="0"/>
    <n v="0"/>
    <n v="0"/>
    <n v="140.99"/>
  </r>
  <r>
    <n v="61770389"/>
    <s v="N"/>
    <n v="21340116"/>
    <s v="3000015848300001RC"/>
    <s v="CIVIL"/>
    <d v="2023-06-30T00:00:00"/>
    <d v="2023-07-06T19:54:22"/>
    <m/>
    <d v="2023-07-06T00:00:00"/>
    <n v="2006"/>
    <n v="8047"/>
    <s v="61770389"/>
    <s v="61770389"/>
    <m/>
    <m/>
    <m/>
    <m/>
    <m/>
    <m/>
    <s v="SOLRECOUP"/>
    <s v="SOLRECOUP"/>
    <s v="POARECOUP"/>
    <n v="21340116"/>
    <n v="-22.85"/>
    <m/>
    <s v="Y"/>
    <n v="1"/>
    <d v="2023-07-06T19:54:23"/>
    <s v="N"/>
    <m/>
    <m/>
    <s v="Expert Disbursement"/>
    <m/>
    <s v="N"/>
    <n v="-19.04"/>
    <n v="0"/>
    <x v="4"/>
    <s v="VALIDATED"/>
    <n v="1"/>
    <s v="01.11.80.308.2013.0000"/>
    <n v="-19.04"/>
    <s v="11"/>
    <s v="2013"/>
    <n v="16645.98"/>
    <n v="-19.04"/>
    <s v="CREDITOR"/>
    <n v="0"/>
    <n v="0"/>
    <n v="-19.04"/>
    <n v="0"/>
    <n v="0"/>
  </r>
  <r>
    <n v="61770389"/>
    <s v="N"/>
    <n v="21340116"/>
    <s v="3000015848300001RC"/>
    <s v="CIVIL"/>
    <d v="2023-06-30T00:00:00"/>
    <d v="2023-07-06T19:54:22"/>
    <m/>
    <d v="2023-07-06T00:00:00"/>
    <n v="2006"/>
    <n v="8047"/>
    <s v="61770389"/>
    <s v="61770389"/>
    <m/>
    <m/>
    <m/>
    <m/>
    <m/>
    <m/>
    <s v="SOLRECOUP"/>
    <s v="SOLRECOUP"/>
    <s v="POARECOUP"/>
    <n v="21340116"/>
    <n v="-22.85"/>
    <m/>
    <s v="Y"/>
    <n v="2"/>
    <d v="2023-07-06T19:54:23"/>
    <s v="N"/>
    <m/>
    <m/>
    <s v="Expert Disbursement"/>
    <m/>
    <s v="N"/>
    <n v="0"/>
    <n v="-3.81"/>
    <x v="4"/>
    <s v="VALIDATED"/>
    <n v="1"/>
    <s v="01.11.80.308.2013.0000"/>
    <n v="-3.81"/>
    <s v="11"/>
    <s v="2013"/>
    <n v="16645.98"/>
    <n v="-3.81"/>
    <s v="CREDITOR"/>
    <n v="0"/>
    <n v="0"/>
    <n v="-3.81"/>
    <n v="0"/>
    <n v="0"/>
  </r>
  <r>
    <n v="60930884"/>
    <s v="N"/>
    <n v="21356893"/>
    <s v="3000015148690001RC"/>
    <s v="CIVIL"/>
    <d v="2023-06-28T00:00:00"/>
    <d v="2023-07-10T19:47:44"/>
    <m/>
    <d v="2023-07-10T00:00:00"/>
    <n v="2006"/>
    <n v="8047"/>
    <s v="60930884"/>
    <s v="60930884"/>
    <m/>
    <m/>
    <m/>
    <m/>
    <m/>
    <m/>
    <s v="SOLRECOUP"/>
    <s v="SOLRECOUP"/>
    <s v="POARECOUP"/>
    <n v="21356893"/>
    <n v="-270"/>
    <m/>
    <s v="Y"/>
    <n v="1"/>
    <d v="2023-07-10T19:47:46"/>
    <s v="N"/>
    <m/>
    <m/>
    <s v="Expert Disbursement"/>
    <m/>
    <s v="N"/>
    <n v="-270"/>
    <n v="0"/>
    <x v="2"/>
    <s v="VALIDATED"/>
    <n v="1"/>
    <s v="01.11.80.308.2013.0000"/>
    <n v="-270"/>
    <s v="11"/>
    <s v="2013"/>
    <n v="16645.98"/>
    <n v="-270"/>
    <s v="CREDITOR"/>
    <n v="0"/>
    <n v="0"/>
    <n v="-270"/>
    <n v="0"/>
    <n v="0"/>
  </r>
  <r>
    <n v="60930884"/>
    <s v="N"/>
    <n v="21356893"/>
    <s v="3000015148690001RC"/>
    <s v="CIVIL"/>
    <d v="2023-06-28T00:00:00"/>
    <d v="2023-07-10T19:47:44"/>
    <m/>
    <d v="2023-07-10T00:00:00"/>
    <n v="2006"/>
    <n v="8047"/>
    <s v="60930884"/>
    <s v="60930884"/>
    <m/>
    <m/>
    <m/>
    <m/>
    <m/>
    <m/>
    <s v="SOLRECOUP"/>
    <s v="SOLRECOUP"/>
    <s v="POARECOUP"/>
    <n v="21356893"/>
    <n v="-270"/>
    <m/>
    <s v="Y"/>
    <n v="2"/>
    <d v="2023-07-10T19:47:46"/>
    <s v="N"/>
    <m/>
    <m/>
    <s v="Expert Disbursement"/>
    <m/>
    <s v="N"/>
    <n v="0"/>
    <n v="0"/>
    <x v="2"/>
    <s v="VALIDATED"/>
    <n v="1"/>
    <s v="01.11.80.000.0000.0000"/>
    <n v="0"/>
    <s v="11"/>
    <s v="0000"/>
    <n v="16645.98"/>
    <n v="0"/>
    <s v="CREDITOR"/>
    <n v="0"/>
    <n v="0"/>
    <n v="0"/>
    <n v="0"/>
    <n v="0"/>
  </r>
  <r>
    <n v="60930884"/>
    <s v="N"/>
    <n v="21356894"/>
    <s v="3000015148690002RC"/>
    <s v="CIVIL"/>
    <d v="2023-06-28T00:00:00"/>
    <d v="2023-07-10T19:47:44"/>
    <m/>
    <d v="2023-07-10T00:00:00"/>
    <n v="2006"/>
    <n v="8047"/>
    <s v="60930884"/>
    <s v="60930884"/>
    <m/>
    <m/>
    <m/>
    <m/>
    <m/>
    <m/>
    <s v="SOLRECOUP"/>
    <s v="SOLRECOUP"/>
    <s v="POARECOUP"/>
    <n v="21356894"/>
    <n v="-540"/>
    <m/>
    <s v="Y"/>
    <n v="1"/>
    <d v="2023-07-10T19:47:46"/>
    <s v="N"/>
    <m/>
    <m/>
    <s v="Non Expert Disbursement"/>
    <m/>
    <s v="N"/>
    <n v="-450"/>
    <n v="0"/>
    <x v="2"/>
    <s v="VALIDATED"/>
    <n v="1"/>
    <s v="01.11.80.308.2013.0000"/>
    <n v="-450"/>
    <s v="11"/>
    <s v="2013"/>
    <n v="16645.98"/>
    <n v="-450"/>
    <s v="CREDITOR"/>
    <n v="0"/>
    <n v="0"/>
    <n v="-450"/>
    <n v="0"/>
    <n v="0"/>
  </r>
  <r>
    <n v="60930884"/>
    <s v="N"/>
    <n v="21356894"/>
    <s v="3000015148690002RC"/>
    <s v="CIVIL"/>
    <d v="2023-06-28T00:00:00"/>
    <d v="2023-07-10T19:47:44"/>
    <m/>
    <d v="2023-07-10T00:00:00"/>
    <n v="2006"/>
    <n v="8047"/>
    <s v="60930884"/>
    <s v="60930884"/>
    <m/>
    <m/>
    <m/>
    <m/>
    <m/>
    <m/>
    <s v="SOLRECOUP"/>
    <s v="SOLRECOUP"/>
    <s v="POARECOUP"/>
    <n v="21356894"/>
    <n v="-540"/>
    <m/>
    <s v="Y"/>
    <n v="2"/>
    <d v="2023-07-10T19:47:46"/>
    <s v="N"/>
    <m/>
    <m/>
    <s v="Non Expert Disbursement"/>
    <m/>
    <s v="N"/>
    <n v="0"/>
    <n v="-90"/>
    <x v="2"/>
    <s v="VALIDATED"/>
    <n v="1"/>
    <s v="01.11.80.308.2013.0000"/>
    <n v="-90"/>
    <s v="11"/>
    <s v="2013"/>
    <n v="16645.98"/>
    <n v="-90"/>
    <s v="CREDITOR"/>
    <n v="0"/>
    <n v="0"/>
    <n v="-90"/>
    <n v="0"/>
    <n v="0"/>
  </r>
  <r>
    <n v="60930884"/>
    <s v="N"/>
    <n v="21356895"/>
    <s v="3000015148690004RC"/>
    <s v="CIVIL"/>
    <d v="2023-06-28T00:00:00"/>
    <d v="2023-07-10T19:47:44"/>
    <m/>
    <d v="2023-07-10T00:00:00"/>
    <n v="2006"/>
    <n v="8047"/>
    <s v="60930884"/>
    <s v="60930884"/>
    <m/>
    <m/>
    <m/>
    <m/>
    <m/>
    <m/>
    <s v="SOLRECOUP"/>
    <s v="SOLRECOUP"/>
    <s v="POARECOUP"/>
    <n v="21356895"/>
    <n v="-270"/>
    <m/>
    <s v="Y"/>
    <n v="1"/>
    <d v="2023-07-10T19:47:46"/>
    <s v="N"/>
    <m/>
    <m/>
    <s v="Non Expert Disbursement"/>
    <m/>
    <s v="N"/>
    <n v="-225"/>
    <n v="0"/>
    <x v="2"/>
    <s v="VALIDATED"/>
    <n v="1"/>
    <s v="01.11.80.308.2013.0000"/>
    <n v="-225"/>
    <s v="11"/>
    <s v="2013"/>
    <n v="16645.98"/>
    <n v="-225"/>
    <s v="CREDITOR"/>
    <n v="0"/>
    <n v="0"/>
    <n v="-225"/>
    <n v="0"/>
    <n v="0"/>
  </r>
  <r>
    <n v="60930884"/>
    <s v="N"/>
    <n v="21356895"/>
    <s v="3000015148690004RC"/>
    <s v="CIVIL"/>
    <d v="2023-06-28T00:00:00"/>
    <d v="2023-07-10T19:47:44"/>
    <m/>
    <d v="2023-07-10T00:00:00"/>
    <n v="2006"/>
    <n v="8047"/>
    <s v="60930884"/>
    <s v="60930884"/>
    <m/>
    <m/>
    <m/>
    <m/>
    <m/>
    <m/>
    <s v="SOLRECOUP"/>
    <s v="SOLRECOUP"/>
    <s v="POARECOUP"/>
    <n v="21356895"/>
    <n v="-270"/>
    <m/>
    <s v="Y"/>
    <n v="2"/>
    <d v="2023-07-10T19:47:46"/>
    <s v="N"/>
    <m/>
    <m/>
    <s v="Non Expert Disbursement"/>
    <m/>
    <s v="N"/>
    <n v="0"/>
    <n v="-45"/>
    <x v="2"/>
    <s v="VALIDATED"/>
    <n v="1"/>
    <s v="01.11.80.308.2013.0000"/>
    <n v="-45"/>
    <s v="11"/>
    <s v="2013"/>
    <n v="16645.98"/>
    <n v="-45"/>
    <s v="CREDITOR"/>
    <n v="0"/>
    <n v="0"/>
    <n v="-45"/>
    <n v="0"/>
    <n v="0"/>
  </r>
  <r>
    <n v="60930884"/>
    <s v="N"/>
    <n v="21356896"/>
    <s v="3000015148690005RC"/>
    <s v="CIVIL"/>
    <d v="2023-06-28T00:00:00"/>
    <d v="2023-07-10T19:47:44"/>
    <m/>
    <d v="2023-07-10T00:00:00"/>
    <n v="2006"/>
    <n v="8047"/>
    <s v="60930884"/>
    <s v="60930884"/>
    <m/>
    <m/>
    <m/>
    <m/>
    <m/>
    <m/>
    <s v="SOLRECOUP"/>
    <s v="SOLRECOUP"/>
    <s v="POARECOUP"/>
    <n v="21356896"/>
    <n v="-216"/>
    <m/>
    <s v="Y"/>
    <n v="1"/>
    <d v="2023-07-10T19:47:46"/>
    <s v="N"/>
    <m/>
    <m/>
    <s v="Non Expert Disbursement"/>
    <m/>
    <s v="N"/>
    <n v="-180"/>
    <n v="0"/>
    <x v="2"/>
    <s v="VALIDATED"/>
    <n v="1"/>
    <s v="01.11.80.308.2013.0000"/>
    <n v="-180"/>
    <s v="11"/>
    <s v="2013"/>
    <n v="16645.98"/>
    <n v="-180"/>
    <s v="CREDITOR"/>
    <n v="0"/>
    <n v="0"/>
    <n v="-180"/>
    <n v="0"/>
    <n v="0"/>
  </r>
  <r>
    <n v="60930884"/>
    <s v="N"/>
    <n v="21356896"/>
    <s v="3000015148690005RC"/>
    <s v="CIVIL"/>
    <d v="2023-06-28T00:00:00"/>
    <d v="2023-07-10T19:47:44"/>
    <m/>
    <d v="2023-07-10T00:00:00"/>
    <n v="2006"/>
    <n v="8047"/>
    <s v="60930884"/>
    <s v="60930884"/>
    <m/>
    <m/>
    <m/>
    <m/>
    <m/>
    <m/>
    <s v="SOLRECOUP"/>
    <s v="SOLRECOUP"/>
    <s v="POARECOUP"/>
    <n v="21356896"/>
    <n v="-216"/>
    <m/>
    <s v="Y"/>
    <n v="2"/>
    <d v="2023-07-10T19:47:46"/>
    <s v="N"/>
    <m/>
    <m/>
    <s v="Non Expert Disbursement"/>
    <m/>
    <s v="N"/>
    <n v="0"/>
    <n v="-36"/>
    <x v="2"/>
    <s v="VALIDATED"/>
    <n v="1"/>
    <s v="01.11.80.308.2013.0000"/>
    <n v="-36"/>
    <s v="11"/>
    <s v="2013"/>
    <n v="16645.98"/>
    <n v="-36"/>
    <s v="CREDITOR"/>
    <n v="0"/>
    <n v="0"/>
    <n v="-36"/>
    <n v="0"/>
    <n v="0"/>
  </r>
  <r>
    <n v="60930884"/>
    <s v="N"/>
    <n v="21356897"/>
    <s v="3000015148690008RC"/>
    <s v="CIVIL"/>
    <d v="2023-06-28T00:00:00"/>
    <d v="2023-07-10T19:47:44"/>
    <m/>
    <d v="2023-07-10T00:00:00"/>
    <n v="2006"/>
    <n v="8047"/>
    <s v="60930884"/>
    <s v="60930884"/>
    <m/>
    <m/>
    <m/>
    <m/>
    <m/>
    <m/>
    <s v="SOLRECOUP"/>
    <s v="SOLRECOUP"/>
    <s v="POARECOUP"/>
    <n v="21356897"/>
    <n v="-1632"/>
    <m/>
    <s v="Y"/>
    <n v="1"/>
    <d v="2023-07-10T19:47:46"/>
    <s v="N"/>
    <m/>
    <m/>
    <s v="Expert Disbursement"/>
    <m/>
    <s v="N"/>
    <n v="-1360"/>
    <n v="0"/>
    <x v="2"/>
    <s v="VALIDATED"/>
    <n v="1"/>
    <s v="01.11.80.308.2013.0000"/>
    <n v="-1360"/>
    <s v="11"/>
    <s v="2013"/>
    <n v="16645.98"/>
    <n v="-1360"/>
    <s v="CREDITOR"/>
    <n v="0"/>
    <n v="0"/>
    <n v="-1360"/>
    <n v="0"/>
    <n v="0"/>
  </r>
  <r>
    <n v="60930884"/>
    <s v="N"/>
    <n v="21356897"/>
    <s v="3000015148690008RC"/>
    <s v="CIVIL"/>
    <d v="2023-06-28T00:00:00"/>
    <d v="2023-07-10T19:47:44"/>
    <m/>
    <d v="2023-07-10T00:00:00"/>
    <n v="2006"/>
    <n v="8047"/>
    <s v="60930884"/>
    <s v="60930884"/>
    <m/>
    <m/>
    <m/>
    <m/>
    <m/>
    <m/>
    <s v="SOLRECOUP"/>
    <s v="SOLRECOUP"/>
    <s v="POARECOUP"/>
    <n v="21356897"/>
    <n v="-1632"/>
    <m/>
    <s v="Y"/>
    <n v="2"/>
    <d v="2023-07-10T19:47:46"/>
    <s v="N"/>
    <m/>
    <m/>
    <s v="Expert Disbursement"/>
    <m/>
    <s v="N"/>
    <n v="0"/>
    <n v="-272"/>
    <x v="2"/>
    <s v="VALIDATED"/>
    <n v="1"/>
    <s v="01.11.80.308.2013.0000"/>
    <n v="-272"/>
    <s v="11"/>
    <s v="2013"/>
    <n v="16645.98"/>
    <n v="-272"/>
    <s v="CREDITOR"/>
    <n v="0"/>
    <n v="0"/>
    <n v="-272"/>
    <n v="0"/>
    <n v="0"/>
  </r>
  <r>
    <n v="60930884"/>
    <s v="N"/>
    <n v="21356898"/>
    <s v="3000015148690006RC"/>
    <s v="CIVIL"/>
    <d v="2023-06-28T00:00:00"/>
    <d v="2023-07-10T19:47:44"/>
    <m/>
    <d v="2023-07-10T00:00:00"/>
    <n v="2006"/>
    <n v="8047"/>
    <s v="60930884"/>
    <s v="60930884"/>
    <m/>
    <m/>
    <m/>
    <m/>
    <m/>
    <m/>
    <s v="SOLRECOUP"/>
    <s v="SOLRECOUP"/>
    <s v="POARECOUP"/>
    <n v="21356898"/>
    <n v="-64.8"/>
    <m/>
    <s v="Y"/>
    <n v="1"/>
    <d v="2023-07-10T19:47:46"/>
    <s v="N"/>
    <m/>
    <m/>
    <s v="Non Expert Disbursement"/>
    <m/>
    <s v="N"/>
    <n v="-54"/>
    <n v="0"/>
    <x v="2"/>
    <s v="VALIDATED"/>
    <n v="1"/>
    <s v="01.11.80.308.2013.0000"/>
    <n v="-54"/>
    <s v="11"/>
    <s v="2013"/>
    <n v="16645.98"/>
    <n v="-54"/>
    <s v="CREDITOR"/>
    <n v="0"/>
    <n v="0"/>
    <n v="-54"/>
    <n v="0"/>
    <n v="0"/>
  </r>
  <r>
    <n v="60930884"/>
    <s v="N"/>
    <n v="21356898"/>
    <s v="3000015148690006RC"/>
    <s v="CIVIL"/>
    <d v="2023-06-28T00:00:00"/>
    <d v="2023-07-10T19:47:44"/>
    <m/>
    <d v="2023-07-10T00:00:00"/>
    <n v="2006"/>
    <n v="8047"/>
    <s v="60930884"/>
    <s v="60930884"/>
    <m/>
    <m/>
    <m/>
    <m/>
    <m/>
    <m/>
    <s v="SOLRECOUP"/>
    <s v="SOLRECOUP"/>
    <s v="POARECOUP"/>
    <n v="21356898"/>
    <n v="-64.8"/>
    <m/>
    <s v="Y"/>
    <n v="2"/>
    <d v="2023-07-10T19:47:46"/>
    <s v="N"/>
    <m/>
    <m/>
    <s v="Non Expert Disbursement"/>
    <m/>
    <s v="N"/>
    <n v="0"/>
    <n v="-10.8"/>
    <x v="2"/>
    <s v="VALIDATED"/>
    <n v="1"/>
    <s v="01.11.80.308.2013.0000"/>
    <n v="-10.8"/>
    <s v="11"/>
    <s v="2013"/>
    <n v="16645.98"/>
    <n v="-10.8"/>
    <s v="CREDITOR"/>
    <n v="0"/>
    <n v="0"/>
    <n v="-10.8"/>
    <n v="0"/>
    <n v="0"/>
  </r>
  <r>
    <n v="60930884"/>
    <s v="N"/>
    <n v="21356899"/>
    <s v="3000015148690007RC"/>
    <s v="CIVIL"/>
    <d v="2023-06-28T00:00:00"/>
    <d v="2023-07-10T19:47:44"/>
    <m/>
    <d v="2023-07-10T00:00:00"/>
    <n v="2006"/>
    <n v="8047"/>
    <s v="60930884"/>
    <s v="60930884"/>
    <m/>
    <m/>
    <m/>
    <m/>
    <m/>
    <m/>
    <s v="SOLRECOUP"/>
    <s v="SOLRECOUP"/>
    <s v="POARECOUP"/>
    <n v="21356899"/>
    <n v="-44"/>
    <m/>
    <s v="Y"/>
    <n v="1"/>
    <d v="2023-07-10T19:47:46"/>
    <s v="N"/>
    <m/>
    <m/>
    <s v="Non Expert Disbursement"/>
    <m/>
    <s v="N"/>
    <n v="-44"/>
    <n v="0"/>
    <x v="2"/>
    <s v="VALIDATED"/>
    <n v="1"/>
    <s v="01.11.80.308.2013.0000"/>
    <n v="-44"/>
    <s v="11"/>
    <s v="2013"/>
    <n v="16645.98"/>
    <n v="-44"/>
    <s v="CREDITOR"/>
    <n v="0"/>
    <n v="0"/>
    <n v="-44"/>
    <n v="0"/>
    <n v="0"/>
  </r>
  <r>
    <n v="60930884"/>
    <s v="N"/>
    <n v="21356899"/>
    <s v="3000015148690007RC"/>
    <s v="CIVIL"/>
    <d v="2023-06-28T00:00:00"/>
    <d v="2023-07-10T19:47:44"/>
    <m/>
    <d v="2023-07-10T00:00:00"/>
    <n v="2006"/>
    <n v="8047"/>
    <s v="60930884"/>
    <s v="60930884"/>
    <m/>
    <m/>
    <m/>
    <m/>
    <m/>
    <m/>
    <s v="SOLRECOUP"/>
    <s v="SOLRECOUP"/>
    <s v="POARECOUP"/>
    <n v="21356899"/>
    <n v="-44"/>
    <m/>
    <s v="Y"/>
    <n v="2"/>
    <d v="2023-07-10T19:47:46"/>
    <s v="N"/>
    <m/>
    <m/>
    <s v="Non Expert Disbursement"/>
    <m/>
    <s v="N"/>
    <n v="0"/>
    <n v="0"/>
    <x v="2"/>
    <s v="VALIDATED"/>
    <n v="1"/>
    <s v="01.11.80.000.0000.0000"/>
    <n v="0"/>
    <s v="11"/>
    <s v="0000"/>
    <n v="16645.98"/>
    <n v="0"/>
    <s v="CREDITOR"/>
    <n v="0"/>
    <n v="0"/>
    <n v="0"/>
    <n v="0"/>
    <n v="0"/>
  </r>
  <r>
    <n v="60696829"/>
    <s v="N"/>
    <n v="21319752"/>
    <s v="3000014944200008"/>
    <s v="CIVIL"/>
    <d v="2023-06-27T00:00:00"/>
    <d v="2023-07-03T19:04:24"/>
    <m/>
    <d v="2023-07-03T00:00:00"/>
    <n v="2012"/>
    <n v="8091"/>
    <s v="60696829"/>
    <s v="60696829"/>
    <m/>
    <m/>
    <n v="22774280"/>
    <m/>
    <m/>
    <m/>
    <s v="SOLPOA"/>
    <s v="SOLPOA"/>
    <s v="CCMS"/>
    <n v="21319752"/>
    <n v="4223.64"/>
    <m/>
    <s v="N"/>
    <n v="1"/>
    <d v="2023-07-03T19:04:27"/>
    <s v="N"/>
    <s v="Solicitors Fixed Fee"/>
    <s v="Public Law Children"/>
    <s v="Profit Cost"/>
    <s v="Keith Turnbull"/>
    <s v="N"/>
    <n v="3519.7"/>
    <n v="703.9400000000001"/>
    <x v="3"/>
    <s v="VALIDATED"/>
    <n v="1"/>
    <s v="01.11.80.308.2012.0000"/>
    <n v="3519.7"/>
    <s v="11"/>
    <s v="2012"/>
    <n v="4492.78"/>
    <n v="3519.7"/>
    <s v="CREDITOR"/>
    <n v="3519.7"/>
    <n v="879.925"/>
    <n v="0"/>
    <n v="0"/>
    <n v="0"/>
  </r>
  <r>
    <n v="60493397"/>
    <s v="N"/>
    <n v="21321132"/>
    <s v="3000014769450003"/>
    <s v="CIVIL"/>
    <d v="2023-06-28T00:00:00"/>
    <d v="2023-07-03T19:04:52"/>
    <m/>
    <d v="2023-07-03T00:00:00"/>
    <n v="2012"/>
    <n v="8091"/>
    <s v="60493397"/>
    <s v="60493397"/>
    <m/>
    <m/>
    <n v="22779472"/>
    <m/>
    <m/>
    <m/>
    <s v="SOLPOA"/>
    <s v="SOLPOA"/>
    <s v="CCMS"/>
    <n v="21321132"/>
    <n v="1167.7"/>
    <m/>
    <s v="N"/>
    <n v="1"/>
    <d v="2023-07-03T19:04:58"/>
    <s v="N"/>
    <s v="Level 3 &amp; Level 4 Fixed Fee"/>
    <s v="Private Law Children"/>
    <s v="Profit Cost"/>
    <s v="Keith Turnbull"/>
    <s v="N"/>
    <n v="973.08"/>
    <n v="194.62"/>
    <x v="3"/>
    <s v="VALIDATED"/>
    <n v="1"/>
    <s v="01.11.80.307.2012.0000"/>
    <n v="973.08"/>
    <s v="11"/>
    <s v="2012"/>
    <n v="4492.78"/>
    <n v="973.08"/>
    <s v="CREDITOR"/>
    <n v="973.08"/>
    <n v="243.27"/>
    <n v="0"/>
    <n v="0"/>
    <n v="0"/>
  </r>
  <r>
    <n v="62255686"/>
    <s v="N"/>
    <n v="21322164"/>
    <s v="3000016254990004"/>
    <s v="CIVIL"/>
    <d v="2023-06-29T00:00:00"/>
    <d v="2023-07-03T19:05:17"/>
    <m/>
    <d v="2023-07-03T00:00:00"/>
    <n v="2019"/>
    <n v="8147"/>
    <s v="62255686"/>
    <s v="62255686"/>
    <m/>
    <m/>
    <n v="22785564"/>
    <m/>
    <m/>
    <m/>
    <s v="SOLPOA"/>
    <s v="SOLPOA"/>
    <s v="CCMS"/>
    <n v="21322164"/>
    <n v="158.92"/>
    <m/>
    <s v="N"/>
    <n v="1"/>
    <d v="2023-07-03T19:05:22"/>
    <s v="N"/>
    <s v="Expert Cost"/>
    <s v="Expert Cost"/>
    <s v="Expert Disbursement"/>
    <s v="jaf"/>
    <s v="N"/>
    <n v="132.43"/>
    <n v="26.49"/>
    <x v="3"/>
    <s v="VALIDATED"/>
    <n v="1"/>
    <s v="01.11.80.308.2012.0000"/>
    <n v="132.43"/>
    <s v="11"/>
    <s v="2012"/>
    <n v="132.43"/>
    <n v="132.43"/>
    <s v="CREDITOR"/>
    <n v="132.43"/>
    <n v="0"/>
    <n v="0"/>
    <n v="0"/>
    <n v="0"/>
  </r>
  <r>
    <n v="62031391"/>
    <s v="N"/>
    <n v="21318382"/>
    <s v="3000016069620005"/>
    <s v="CIVIL"/>
    <d v="2023-06-23T00:00:00"/>
    <d v="2023-07-03T19:01:49"/>
    <m/>
    <d v="2023-07-03T00:00:00"/>
    <n v="2020"/>
    <n v="8158"/>
    <s v="62031391"/>
    <s v="62031391"/>
    <m/>
    <m/>
    <n v="22751562"/>
    <m/>
    <m/>
    <m/>
    <s v="SOLINT"/>
    <s v="SOLINT"/>
    <s v="CCMS"/>
    <n v="21318382"/>
    <n v="5407.11"/>
    <m/>
    <s v="N"/>
    <n v="8"/>
    <d v="2023-07-03T19:01:54"/>
    <s v="Y"/>
    <s v="Advocates Meeting"/>
    <s v="Public Law Children"/>
    <s v="Advocacy"/>
    <s v="L LITTLE"/>
    <s v="Y"/>
    <n v="140.99"/>
    <n v="28.2"/>
    <x v="3"/>
    <s v="VALIDATED"/>
    <n v="1"/>
    <s v="01.11.80.308.6100.0000"/>
    <n v="140.99"/>
    <s v="11"/>
    <s v="6100"/>
    <n v="3381.46"/>
    <n v="140.99"/>
    <s v="CREDITOR"/>
    <n v="0"/>
    <n v="0"/>
    <n v="0"/>
    <n v="0"/>
    <n v="140.99"/>
  </r>
  <r>
    <n v="62031391"/>
    <s v="N"/>
    <n v="21318382"/>
    <s v="3000016069620005"/>
    <s v="CIVIL"/>
    <d v="2023-06-23T00:00:00"/>
    <d v="2023-07-03T19:01:49"/>
    <m/>
    <d v="2023-07-03T00:00:00"/>
    <n v="2020"/>
    <n v="8158"/>
    <s v="62031391"/>
    <s v="62031391"/>
    <m/>
    <m/>
    <n v="22751562"/>
    <m/>
    <m/>
    <m/>
    <s v="SOLINT"/>
    <s v="SOLINT"/>
    <s v="CCMS"/>
    <n v="21318382"/>
    <n v="5407.11"/>
    <m/>
    <s v="N"/>
    <n v="3"/>
    <d v="2023-07-03T19:01:54"/>
    <s v="Y"/>
    <s v="Toxicologist"/>
    <s v="Public Law Children"/>
    <s v="Expert Disbursement"/>
    <s v="L LITTLE"/>
    <s v="Y"/>
    <n v="345.72"/>
    <n v="69.14"/>
    <x v="3"/>
    <s v="VALIDATED"/>
    <n v="1"/>
    <s v="01.11.80.308.6300.0000"/>
    <n v="345.72"/>
    <s v="11"/>
    <s v="6300"/>
    <n v="3381.46"/>
    <n v="345.72"/>
    <s v="CREDITOR"/>
    <n v="0"/>
    <n v="0"/>
    <n v="0"/>
    <n v="0"/>
    <n v="345.72"/>
  </r>
  <r>
    <n v="62031391"/>
    <s v="N"/>
    <n v="21318382"/>
    <s v="3000016069620005"/>
    <s v="CIVIL"/>
    <d v="2023-06-23T00:00:00"/>
    <d v="2023-07-03T19:01:49"/>
    <m/>
    <d v="2023-07-03T00:00:00"/>
    <n v="2020"/>
    <n v="8158"/>
    <s v="62031391"/>
    <s v="62031391"/>
    <m/>
    <m/>
    <n v="22751562"/>
    <m/>
    <m/>
    <m/>
    <s v="SOLINT"/>
    <s v="SOLINT"/>
    <s v="CCMS"/>
    <n v="21318382"/>
    <n v="5407.11"/>
    <m/>
    <s v="N"/>
    <n v="6"/>
    <d v="2023-07-03T19:01:54"/>
    <s v="Y"/>
    <s v="Hearing Unit 2.31 - 5.00 Hours"/>
    <s v="Public Law Children"/>
    <s v="Advocacy"/>
    <s v="L LITTLE"/>
    <s v="Y"/>
    <n v="476.92"/>
    <n v="95.38"/>
    <x v="3"/>
    <s v="VALIDATED"/>
    <n v="1"/>
    <s v="01.11.80.308.6100.0000"/>
    <n v="476.92"/>
    <s v="11"/>
    <s v="6100"/>
    <n v="3381.46"/>
    <n v="476.92"/>
    <s v="CREDITOR"/>
    <n v="0"/>
    <n v="0"/>
    <n v="0"/>
    <n v="0"/>
    <n v="476.92"/>
  </r>
  <r>
    <n v="62031391"/>
    <s v="N"/>
    <n v="21318382"/>
    <s v="3000016069620005"/>
    <s v="CIVIL"/>
    <d v="2023-06-23T00:00:00"/>
    <d v="2023-07-03T19:01:49"/>
    <m/>
    <d v="2023-07-03T00:00:00"/>
    <n v="2020"/>
    <n v="8158"/>
    <s v="62031391"/>
    <s v="62031391"/>
    <m/>
    <m/>
    <n v="22751562"/>
    <m/>
    <m/>
    <m/>
    <s v="SOLINT"/>
    <s v="SOLINT"/>
    <s v="CCMS"/>
    <n v="21318382"/>
    <n v="5407.11"/>
    <m/>
    <s v="N"/>
    <n v="2"/>
    <d v="2023-07-03T19:01:54"/>
    <s v="Y"/>
    <s v="Toxicologist"/>
    <s v="Public Law Children"/>
    <s v="Expert Disbursement"/>
    <s v="L LITTLE"/>
    <s v="Y"/>
    <n v="205.35"/>
    <n v="41.07"/>
    <x v="3"/>
    <s v="VALIDATED"/>
    <n v="1"/>
    <s v="01.11.80.308.6300.0000"/>
    <n v="205.35"/>
    <s v="11"/>
    <s v="6300"/>
    <n v="3381.46"/>
    <n v="205.35"/>
    <s v="CREDITOR"/>
    <n v="0"/>
    <n v="0"/>
    <n v="0"/>
    <n v="0"/>
    <n v="205.35"/>
  </r>
  <r>
    <n v="62031391"/>
    <s v="N"/>
    <n v="21318382"/>
    <s v="3000016069620005"/>
    <s v="CIVIL"/>
    <d v="2023-06-23T00:00:00"/>
    <d v="2023-07-03T19:01:49"/>
    <m/>
    <d v="2023-07-03T00:00:00"/>
    <n v="2020"/>
    <n v="8158"/>
    <s v="62031391"/>
    <s v="62031391"/>
    <m/>
    <m/>
    <n v="22751562"/>
    <m/>
    <m/>
    <m/>
    <s v="SOLINT"/>
    <s v="SOLINT"/>
    <s v="CCMS"/>
    <n v="21318382"/>
    <n v="5407.11"/>
    <m/>
    <s v="N"/>
    <n v="1"/>
    <d v="2023-07-03T19:01:54"/>
    <s v="Y"/>
    <s v="Toxicologist"/>
    <s v="Public Law Children"/>
    <s v="Expert Disbursement"/>
    <s v="L LITTLE"/>
    <s v="Y"/>
    <n v="157"/>
    <n v="31.4"/>
    <x v="3"/>
    <s v="VALIDATED"/>
    <n v="1"/>
    <s v="01.11.80.308.6300.0000"/>
    <n v="157"/>
    <s v="11"/>
    <s v="6300"/>
    <n v="3381.46"/>
    <n v="157"/>
    <s v="CREDITOR"/>
    <n v="0"/>
    <n v="0"/>
    <n v="0"/>
    <n v="0"/>
    <n v="157"/>
  </r>
  <r>
    <n v="62031391"/>
    <s v="N"/>
    <n v="21318382"/>
    <s v="3000016069620005"/>
    <s v="CIVIL"/>
    <d v="2023-06-23T00:00:00"/>
    <d v="2023-07-03T19:01:49"/>
    <m/>
    <d v="2023-07-03T00:00:00"/>
    <n v="2020"/>
    <n v="8158"/>
    <s v="62031391"/>
    <s v="62031391"/>
    <m/>
    <m/>
    <n v="22751562"/>
    <m/>
    <m/>
    <m/>
    <s v="SOLINT"/>
    <s v="SOLINT"/>
    <s v="CCMS"/>
    <n v="21318382"/>
    <n v="5407.11"/>
    <m/>
    <s v="N"/>
    <n v="5"/>
    <d v="2023-07-03T19:01:54"/>
    <s v="Y"/>
    <s v="Hearing Unit 2.31 - 5.00 Hours"/>
    <s v="Public Law Children"/>
    <s v="Advocacy"/>
    <s v="A LYNCH"/>
    <s v="Y"/>
    <n v="476.92"/>
    <n v="95.38"/>
    <x v="3"/>
    <s v="VALIDATED"/>
    <n v="1"/>
    <s v="01.11.80.308.6100.0000"/>
    <n v="476.92"/>
    <s v="11"/>
    <s v="6100"/>
    <n v="3381.46"/>
    <n v="476.92"/>
    <s v="CREDITOR"/>
    <n v="0"/>
    <n v="0"/>
    <n v="0"/>
    <n v="0"/>
    <n v="476.92"/>
  </r>
  <r>
    <n v="62031391"/>
    <s v="N"/>
    <n v="21318382"/>
    <s v="3000016069620005"/>
    <s v="CIVIL"/>
    <d v="2023-06-23T00:00:00"/>
    <d v="2023-07-03T19:01:49"/>
    <m/>
    <d v="2023-07-03T00:00:00"/>
    <n v="2020"/>
    <n v="8158"/>
    <s v="62031391"/>
    <s v="62031391"/>
    <m/>
    <m/>
    <n v="22751562"/>
    <m/>
    <m/>
    <m/>
    <s v="SOLINT"/>
    <s v="SOLINT"/>
    <s v="CCMS"/>
    <n v="21318382"/>
    <n v="5407.11"/>
    <m/>
    <s v="N"/>
    <n v="7"/>
    <d v="2023-07-03T19:01:54"/>
    <s v="Y"/>
    <s v="Advocates Meeting"/>
    <s v="Public Law Children"/>
    <s v="Advocacy"/>
    <s v="L LITTLE"/>
    <s v="Y"/>
    <n v="140.99"/>
    <n v="28.2"/>
    <x v="3"/>
    <s v="VALIDATED"/>
    <n v="1"/>
    <s v="01.11.80.308.6100.0000"/>
    <n v="140.99"/>
    <s v="11"/>
    <s v="6100"/>
    <n v="3381.46"/>
    <n v="140.99"/>
    <s v="CREDITOR"/>
    <n v="0"/>
    <n v="0"/>
    <n v="0"/>
    <n v="0"/>
    <n v="140.99"/>
  </r>
  <r>
    <n v="62031391"/>
    <s v="N"/>
    <n v="21318382"/>
    <s v="3000016069620005"/>
    <s v="CIVIL"/>
    <d v="2023-06-23T00:00:00"/>
    <d v="2023-07-03T19:01:49"/>
    <m/>
    <d v="2023-07-03T00:00:00"/>
    <n v="2020"/>
    <n v="8158"/>
    <s v="62031391"/>
    <s v="62031391"/>
    <m/>
    <m/>
    <n v="22751562"/>
    <m/>
    <m/>
    <m/>
    <s v="SOLINT"/>
    <s v="SOLINT"/>
    <s v="CCMS"/>
    <n v="21318382"/>
    <n v="5407.11"/>
    <m/>
    <s v="N"/>
    <n v="4"/>
    <d v="2023-07-03T19:01:54"/>
    <s v="Y"/>
    <s v="Toxicologist"/>
    <s v="Public Law Children"/>
    <s v="Expert Disbursement"/>
    <s v="L LITTLE"/>
    <s v="Y"/>
    <n v="414.24"/>
    <n v="82.84999999999999"/>
    <x v="3"/>
    <s v="VALIDATED"/>
    <n v="1"/>
    <s v="01.11.80.308.6300.0000"/>
    <n v="414.24"/>
    <s v="11"/>
    <s v="6300"/>
    <n v="3381.46"/>
    <n v="414.24"/>
    <s v="CREDITOR"/>
    <n v="0"/>
    <n v="0"/>
    <n v="0"/>
    <n v="0"/>
    <n v="414.24"/>
  </r>
  <r>
    <n v="62031391"/>
    <s v="N"/>
    <n v="21318382"/>
    <s v="3000016069620005"/>
    <s v="CIVIL"/>
    <d v="2023-06-23T00:00:00"/>
    <d v="2023-07-03T19:01:49"/>
    <m/>
    <d v="2023-07-03T00:00:00"/>
    <n v="2020"/>
    <n v="8158"/>
    <s v="62031391"/>
    <s v="62031391"/>
    <m/>
    <m/>
    <n v="22751562"/>
    <m/>
    <m/>
    <m/>
    <s v="SOLINT"/>
    <s v="SOLINT"/>
    <s v="CCMS"/>
    <n v="21318382"/>
    <n v="5407.11"/>
    <m/>
    <s v="N"/>
    <n v="9"/>
    <d v="2023-07-03T19:01:54"/>
    <s v="Y"/>
    <s v="Hearing Unit 2.31 - 5.00 Hours"/>
    <s v="Public Law Children"/>
    <s v="Advocacy"/>
    <s v="L LITTLE"/>
    <s v="Y"/>
    <n v="476.92"/>
    <n v="95.38"/>
    <x v="3"/>
    <s v="VALIDATED"/>
    <n v="1"/>
    <s v="01.11.80.308.6100.0000"/>
    <n v="476.92"/>
    <s v="11"/>
    <s v="6100"/>
    <n v="3381.46"/>
    <n v="476.92"/>
    <s v="CREDITOR"/>
    <n v="0"/>
    <n v="0"/>
    <n v="0"/>
    <n v="0"/>
    <n v="476.92"/>
  </r>
  <r>
    <n v="62031391"/>
    <s v="N"/>
    <n v="21318382"/>
    <s v="3000016069620005"/>
    <s v="CIVIL"/>
    <d v="2023-06-23T00:00:00"/>
    <d v="2023-07-03T19:01:49"/>
    <m/>
    <d v="2023-07-03T00:00:00"/>
    <n v="2020"/>
    <n v="8158"/>
    <s v="62031391"/>
    <s v="62031391"/>
    <m/>
    <m/>
    <n v="22751562"/>
    <m/>
    <m/>
    <m/>
    <s v="SOLINT"/>
    <s v="SOLINT"/>
    <s v="CCMS"/>
    <n v="21318382"/>
    <n v="5407.11"/>
    <m/>
    <s v="N"/>
    <n v="10"/>
    <d v="2023-07-03T19:01:54"/>
    <s v="Y"/>
    <s v="Hearing Unit 5.01 - 7.30 Hours"/>
    <s v="Public Law Children"/>
    <s v="Advocacy"/>
    <s v="L LITTLE"/>
    <s v="Y"/>
    <n v="715.38"/>
    <n v="143.08"/>
    <x v="3"/>
    <s v="VALIDATED"/>
    <n v="1"/>
    <s v="01.11.80.308.6100.0000"/>
    <n v="715.38"/>
    <s v="11"/>
    <s v="6100"/>
    <n v="3381.46"/>
    <n v="715.38"/>
    <s v="CREDITOR"/>
    <n v="0"/>
    <n v="0"/>
    <n v="0"/>
    <n v="0"/>
    <n v="715.38"/>
  </r>
  <r>
    <n v="62031391"/>
    <s v="N"/>
    <n v="21318382"/>
    <s v="3000016069620005"/>
    <s v="CIVIL"/>
    <d v="2023-06-23T00:00:00"/>
    <d v="2023-07-03T19:01:49"/>
    <m/>
    <d v="2023-07-03T00:00:00"/>
    <n v="2020"/>
    <n v="8158"/>
    <s v="62031391"/>
    <s v="62031391"/>
    <m/>
    <m/>
    <n v="22751562"/>
    <m/>
    <m/>
    <m/>
    <s v="SOLINT"/>
    <s v="SOLINT"/>
    <s v="CCMS"/>
    <n v="21318382"/>
    <n v="5407.11"/>
    <m/>
    <s v="N"/>
    <n v="11"/>
    <d v="2023-07-03T19:01:54"/>
    <s v="Y"/>
    <s v="Solicitors Fixed Fee"/>
    <s v="Public Law Children"/>
    <s v="Profit Cost"/>
    <s v="L LITTLE"/>
    <s v="Y"/>
    <n v="955.5"/>
    <n v="191.1"/>
    <x v="3"/>
    <s v="VALIDATED"/>
    <n v="1"/>
    <s v="01.11.80.308.6100.0000"/>
    <n v="955.5"/>
    <s v="11"/>
    <s v="6100"/>
    <n v="3381.46"/>
    <n v="955.5"/>
    <s v="CREDITOR"/>
    <n v="0"/>
    <n v="0"/>
    <n v="0"/>
    <n v="0"/>
    <n v="955.5"/>
  </r>
  <r>
    <n v="61214573"/>
    <s v="N"/>
    <n v="21318735"/>
    <s v="3000015386230005"/>
    <s v="CIVIL"/>
    <d v="2023-06-22T00:00:00"/>
    <d v="2023-07-03T19:01:49"/>
    <m/>
    <d v="2023-07-03T00:00:00"/>
    <n v="2020"/>
    <n v="8158"/>
    <s v="61214573"/>
    <s v="61214573"/>
    <m/>
    <m/>
    <n v="22746396"/>
    <m/>
    <m/>
    <m/>
    <s v="SOLPOA"/>
    <s v="SOLPOA"/>
    <s v="CCMS"/>
    <n v="21318735"/>
    <n v="266.76"/>
    <m/>
    <s v="N"/>
    <n v="1"/>
    <d v="2023-07-03T19:02:02"/>
    <s v="N"/>
    <s v="Non Expert Disbursement"/>
    <s v="Non Expert Disbursement"/>
    <s v="Non Expert Disbursement"/>
    <s v="Jacky Grainger"/>
    <s v="N"/>
    <n v="222.3"/>
    <n v="44.46"/>
    <x v="3"/>
    <s v="VALIDATED"/>
    <n v="1"/>
    <s v="01.11.80.308.2012.0000"/>
    <n v="222.3"/>
    <s v="11"/>
    <s v="2012"/>
    <n v="3381.46"/>
    <n v="222.3"/>
    <s v="CREDITOR"/>
    <n v="222.3"/>
    <n v="0"/>
    <n v="0"/>
    <n v="0"/>
    <n v="0"/>
  </r>
  <r>
    <n v="62031391"/>
    <s v="N"/>
    <n v="21324602"/>
    <s v="3000016069620001RC"/>
    <s v="CIVIL"/>
    <d v="2023-06-23T00:00:00"/>
    <d v="2023-07-03T19:42:50"/>
    <m/>
    <d v="2023-07-03T00:00:00"/>
    <n v="2020"/>
    <n v="8158"/>
    <s v="62031391"/>
    <s v="62031391"/>
    <m/>
    <m/>
    <m/>
    <m/>
    <m/>
    <m/>
    <s v="SOLRECOUP"/>
    <s v="SOLRECOUP"/>
    <s v="POARECOUP"/>
    <n v="21324602"/>
    <n v="-246.42"/>
    <m/>
    <s v="Y"/>
    <n v="2"/>
    <d v="2023-07-03T19:42:52"/>
    <s v="N"/>
    <m/>
    <m/>
    <s v="Expert Disbursement"/>
    <m/>
    <s v="N"/>
    <n v="0"/>
    <n v="-41.07"/>
    <x v="3"/>
    <s v="VALIDATED"/>
    <n v="1"/>
    <s v="01.11.80.308.2013.0000"/>
    <n v="-41.07"/>
    <s v="11"/>
    <s v="2013"/>
    <n v="3381.46"/>
    <n v="-41.07"/>
    <s v="CREDITOR"/>
    <n v="0"/>
    <n v="0"/>
    <n v="-41.07"/>
    <n v="0"/>
    <n v="0"/>
  </r>
  <r>
    <n v="62031391"/>
    <s v="N"/>
    <n v="21324602"/>
    <s v="3000016069620001RC"/>
    <s v="CIVIL"/>
    <d v="2023-06-23T00:00:00"/>
    <d v="2023-07-03T19:42:50"/>
    <m/>
    <d v="2023-07-03T00:00:00"/>
    <n v="2020"/>
    <n v="8158"/>
    <s v="62031391"/>
    <s v="62031391"/>
    <m/>
    <m/>
    <m/>
    <m/>
    <m/>
    <m/>
    <s v="SOLRECOUP"/>
    <s v="SOLRECOUP"/>
    <s v="POARECOUP"/>
    <n v="21324602"/>
    <n v="-246.42"/>
    <m/>
    <s v="Y"/>
    <n v="1"/>
    <d v="2023-07-03T19:42:52"/>
    <s v="N"/>
    <m/>
    <m/>
    <s v="Expert Disbursement"/>
    <m/>
    <s v="N"/>
    <n v="-205.35"/>
    <n v="0"/>
    <x v="3"/>
    <s v="VALIDATED"/>
    <n v="1"/>
    <s v="01.11.80.308.2013.0000"/>
    <n v="-205.35"/>
    <s v="11"/>
    <s v="2013"/>
    <n v="3381.46"/>
    <n v="-205.35"/>
    <s v="CREDITOR"/>
    <n v="0"/>
    <n v="0"/>
    <n v="-205.35"/>
    <n v="0"/>
    <n v="0"/>
  </r>
  <r>
    <n v="62031391"/>
    <s v="N"/>
    <n v="21324603"/>
    <s v="3000016069620003RC"/>
    <s v="CIVIL"/>
    <d v="2023-06-23T00:00:00"/>
    <d v="2023-07-03T19:42:50"/>
    <m/>
    <d v="2023-07-03T00:00:00"/>
    <n v="2020"/>
    <n v="8158"/>
    <s v="62031391"/>
    <s v="62031391"/>
    <m/>
    <m/>
    <m/>
    <m/>
    <m/>
    <m/>
    <s v="SOLRECOUP"/>
    <s v="SOLRECOUP"/>
    <s v="POARECOUP"/>
    <n v="21324603"/>
    <n v="-414.86"/>
    <m/>
    <s v="Y"/>
    <n v="2"/>
    <d v="2023-07-03T19:42:52"/>
    <s v="N"/>
    <m/>
    <m/>
    <s v="Expert Disbursement"/>
    <m/>
    <s v="N"/>
    <n v="0"/>
    <n v="-69.14"/>
    <x v="3"/>
    <s v="VALIDATED"/>
    <n v="1"/>
    <s v="01.11.80.308.2013.0000"/>
    <n v="-69.14"/>
    <s v="11"/>
    <s v="2013"/>
    <n v="3381.46"/>
    <n v="-69.14"/>
    <s v="CREDITOR"/>
    <n v="0"/>
    <n v="0"/>
    <n v="-69.14"/>
    <n v="0"/>
    <n v="0"/>
  </r>
  <r>
    <n v="62031391"/>
    <s v="N"/>
    <n v="21324603"/>
    <s v="3000016069620003RC"/>
    <s v="CIVIL"/>
    <d v="2023-06-23T00:00:00"/>
    <d v="2023-07-03T19:42:50"/>
    <m/>
    <d v="2023-07-03T00:00:00"/>
    <n v="2020"/>
    <n v="8158"/>
    <s v="62031391"/>
    <s v="62031391"/>
    <m/>
    <m/>
    <m/>
    <m/>
    <m/>
    <m/>
    <s v="SOLRECOUP"/>
    <s v="SOLRECOUP"/>
    <s v="POARECOUP"/>
    <n v="21324603"/>
    <n v="-414.86"/>
    <m/>
    <s v="Y"/>
    <n v="1"/>
    <d v="2023-07-03T19:42:52"/>
    <s v="N"/>
    <m/>
    <m/>
    <s v="Expert Disbursement"/>
    <m/>
    <s v="N"/>
    <n v="-345.72"/>
    <n v="0"/>
    <x v="3"/>
    <s v="VALIDATED"/>
    <n v="1"/>
    <s v="01.11.80.308.2013.0000"/>
    <n v="-345.72"/>
    <s v="11"/>
    <s v="2013"/>
    <n v="3381.46"/>
    <n v="-345.72"/>
    <s v="CREDITOR"/>
    <n v="0"/>
    <n v="0"/>
    <n v="-345.72"/>
    <n v="0"/>
    <n v="0"/>
  </r>
  <r>
    <n v="62031391"/>
    <s v="N"/>
    <n v="21324604"/>
    <s v="3000016069620004RC"/>
    <s v="CIVIL"/>
    <d v="2023-06-23T00:00:00"/>
    <d v="2023-07-03T19:42:50"/>
    <m/>
    <d v="2023-07-03T00:00:00"/>
    <n v="2020"/>
    <n v="8158"/>
    <s v="62031391"/>
    <s v="62031391"/>
    <m/>
    <m/>
    <m/>
    <m/>
    <m/>
    <m/>
    <s v="SOLRECOUP"/>
    <s v="SOLRECOUP"/>
    <s v="POARECOUP"/>
    <n v="21324604"/>
    <n v="-497.09"/>
    <m/>
    <s v="Y"/>
    <n v="2"/>
    <d v="2023-07-03T19:42:52"/>
    <s v="N"/>
    <m/>
    <m/>
    <s v="Expert Disbursement"/>
    <m/>
    <s v="N"/>
    <n v="0"/>
    <n v="-82.84999999999999"/>
    <x v="3"/>
    <s v="VALIDATED"/>
    <n v="1"/>
    <s v="01.11.80.308.2013.0000"/>
    <n v="-82.84999999999999"/>
    <s v="11"/>
    <s v="2013"/>
    <n v="3381.46"/>
    <n v="-82.84999999999999"/>
    <s v="CREDITOR"/>
    <n v="0"/>
    <n v="0"/>
    <n v="-82.84999999999999"/>
    <n v="0"/>
    <n v="0"/>
  </r>
  <r>
    <n v="62031391"/>
    <s v="N"/>
    <n v="21324604"/>
    <s v="3000016069620004RC"/>
    <s v="CIVIL"/>
    <d v="2023-06-23T00:00:00"/>
    <d v="2023-07-03T19:42:50"/>
    <m/>
    <d v="2023-07-03T00:00:00"/>
    <n v="2020"/>
    <n v="8158"/>
    <s v="62031391"/>
    <s v="62031391"/>
    <m/>
    <m/>
    <m/>
    <m/>
    <m/>
    <m/>
    <s v="SOLRECOUP"/>
    <s v="SOLRECOUP"/>
    <s v="POARECOUP"/>
    <n v="21324604"/>
    <n v="-497.09"/>
    <m/>
    <s v="Y"/>
    <n v="1"/>
    <d v="2023-07-03T19:42:52"/>
    <s v="N"/>
    <m/>
    <m/>
    <s v="Expert Disbursement"/>
    <m/>
    <s v="N"/>
    <n v="-414.24"/>
    <n v="0"/>
    <x v="3"/>
    <s v="VALIDATED"/>
    <n v="1"/>
    <s v="01.11.80.308.2013.0000"/>
    <n v="-414.24"/>
    <s v="11"/>
    <s v="2013"/>
    <n v="3381.46"/>
    <n v="-414.24"/>
    <s v="CREDITOR"/>
    <n v="0"/>
    <n v="0"/>
    <n v="-414.24"/>
    <n v="0"/>
    <n v="0"/>
  </r>
  <r>
    <n v="62031391"/>
    <s v="N"/>
    <n v="21324605"/>
    <s v="3000016069620002RC"/>
    <s v="CIVIL"/>
    <d v="2023-06-23T00:00:00"/>
    <d v="2023-07-03T19:42:50"/>
    <m/>
    <d v="2023-07-03T00:00:00"/>
    <n v="2020"/>
    <n v="8158"/>
    <s v="62031391"/>
    <s v="62031391"/>
    <m/>
    <m/>
    <m/>
    <m/>
    <m/>
    <m/>
    <s v="SOLRECOUP"/>
    <s v="SOLRECOUP"/>
    <s v="POARECOUP"/>
    <n v="21324605"/>
    <n v="-188.4"/>
    <m/>
    <s v="Y"/>
    <n v="2"/>
    <d v="2023-07-03T19:42:52"/>
    <s v="N"/>
    <m/>
    <m/>
    <s v="Expert Disbursement"/>
    <m/>
    <s v="N"/>
    <n v="0"/>
    <n v="-31.4"/>
    <x v="3"/>
    <s v="VALIDATED"/>
    <n v="1"/>
    <s v="01.11.80.308.2013.0000"/>
    <n v="-31.4"/>
    <s v="11"/>
    <s v="2013"/>
    <n v="3381.46"/>
    <n v="-31.4"/>
    <s v="CREDITOR"/>
    <n v="0"/>
    <n v="0"/>
    <n v="-31.4"/>
    <n v="0"/>
    <n v="0"/>
  </r>
  <r>
    <n v="62031391"/>
    <s v="N"/>
    <n v="21324605"/>
    <s v="3000016069620002RC"/>
    <s v="CIVIL"/>
    <d v="2023-06-23T00:00:00"/>
    <d v="2023-07-03T19:42:50"/>
    <m/>
    <d v="2023-07-03T00:00:00"/>
    <n v="2020"/>
    <n v="8158"/>
    <s v="62031391"/>
    <s v="62031391"/>
    <m/>
    <m/>
    <m/>
    <m/>
    <m/>
    <m/>
    <s v="SOLRECOUP"/>
    <s v="SOLRECOUP"/>
    <s v="POARECOUP"/>
    <n v="21324605"/>
    <n v="-188.4"/>
    <m/>
    <s v="Y"/>
    <n v="1"/>
    <d v="2023-07-03T19:42:52"/>
    <s v="N"/>
    <m/>
    <m/>
    <s v="Expert Disbursement"/>
    <m/>
    <s v="N"/>
    <n v="-157"/>
    <n v="0"/>
    <x v="3"/>
    <s v="VALIDATED"/>
    <n v="1"/>
    <s v="01.11.80.308.2013.0000"/>
    <n v="-157"/>
    <s v="11"/>
    <s v="2013"/>
    <n v="3381.46"/>
    <n v="-157"/>
    <s v="CREDITOR"/>
    <n v="0"/>
    <n v="0"/>
    <n v="-157"/>
    <n v="0"/>
    <n v="0"/>
  </r>
  <r>
    <n v="21023770"/>
    <s v="N"/>
    <n v="21330689"/>
    <s v="3000008507410022"/>
    <s v="CIVIL"/>
    <d v="2023-06-29T00:00:00"/>
    <d v="2023-07-05T19:01:47"/>
    <m/>
    <d v="2023-07-05T00:00:00"/>
    <n v="2024"/>
    <n v="1248"/>
    <s v="21023770"/>
    <s v="21023770"/>
    <m/>
    <m/>
    <n v="22790290"/>
    <m/>
    <m/>
    <m/>
    <s v="SOLINT"/>
    <s v="SOLINT"/>
    <s v="CCMS"/>
    <n v="21330689"/>
    <n v="22300.73"/>
    <m/>
    <s v="N"/>
    <n v="32"/>
    <d v="2023-07-05T19:01:52"/>
    <s v="Y"/>
    <s v="Preparation - other"/>
    <s v="VHCC"/>
    <s v="Profit Cost"/>
    <s v="KBE"/>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06"/>
    <d v="2023-07-05T19:01:52"/>
    <s v="Y"/>
    <s v="Preparation - other"/>
    <s v="VHCC"/>
    <s v="Profit Cost"/>
    <s v="BM-25"/>
    <s v="Y"/>
    <n v="22.28"/>
    <n v="4.46"/>
    <x v="6"/>
    <s v="VALIDATED"/>
    <n v="1"/>
    <s v="01.11.80.302.6100.0000"/>
    <n v="22.28"/>
    <s v="11"/>
    <s v="6100"/>
    <n v="21904.93"/>
    <n v="22.28"/>
    <s v="CREDITOR"/>
    <n v="0"/>
    <n v="0"/>
    <n v="0"/>
    <n v="0"/>
    <n v="22.28"/>
  </r>
  <r>
    <n v="21023770"/>
    <s v="N"/>
    <n v="21330720"/>
    <s v="3000008507410023"/>
    <s v="CIVIL"/>
    <d v="2023-06-29T00:00:00"/>
    <d v="2023-07-05T19:01:47"/>
    <m/>
    <d v="2023-07-05T00:00:00"/>
    <n v="2024"/>
    <n v="1248"/>
    <s v="21023770"/>
    <s v="21023770"/>
    <m/>
    <m/>
    <n v="22790312"/>
    <m/>
    <m/>
    <m/>
    <s v="SOLINT"/>
    <s v="SOLINT"/>
    <s v="CCMS"/>
    <n v="21330720"/>
    <n v="2175.89"/>
    <m/>
    <s v="N"/>
    <n v="16"/>
    <d v="2023-07-05T19:01:53"/>
    <s v="Y"/>
    <s v="Attendance upon client"/>
    <s v="VHCC"/>
    <s v="Profit Cost"/>
    <s v="EW-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48"/>
    <d v="2023-07-05T19:01:52"/>
    <s v="Y"/>
    <s v="Preparation - drafting attendance n"/>
    <s v="VHCC"/>
    <s v="Profit Cost"/>
    <s v="JS-P"/>
    <s v="Y"/>
    <n v="13.66"/>
    <n v="2.73"/>
    <x v="6"/>
    <s v="VALIDATED"/>
    <n v="1"/>
    <s v="01.11.80.302.6100.0000"/>
    <n v="13.66"/>
    <s v="11"/>
    <s v="6100"/>
    <n v="21904.93"/>
    <n v="13.66"/>
    <s v="CREDITOR"/>
    <n v="0"/>
    <n v="0"/>
    <n v="0"/>
    <n v="0"/>
    <n v="13.66"/>
  </r>
  <r>
    <n v="21023770"/>
    <s v="N"/>
    <n v="21330689"/>
    <s v="3000008507410022"/>
    <s v="CIVIL"/>
    <d v="2023-06-29T00:00:00"/>
    <d v="2023-07-05T19:01:47"/>
    <m/>
    <d v="2023-07-05T00:00:00"/>
    <n v="2024"/>
    <n v="1248"/>
    <s v="21023770"/>
    <s v="21023770"/>
    <m/>
    <m/>
    <n v="22790290"/>
    <m/>
    <m/>
    <m/>
    <s v="SOLINT"/>
    <s v="SOLINT"/>
    <s v="CCMS"/>
    <n v="21330689"/>
    <n v="22300.73"/>
    <m/>
    <s v="N"/>
    <n v="260"/>
    <d v="2023-07-05T19:01:52"/>
    <s v="Y"/>
    <s v="Preparation - other"/>
    <s v="VHCC"/>
    <s v="Profit Cost"/>
    <s v="BM-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46"/>
    <d v="2023-07-05T19:01:53"/>
    <s v="Y"/>
    <s v="Preparation - drafting bill/claim f"/>
    <s v="VHCC"/>
    <s v="Profit Cost"/>
    <s v="CD"/>
    <s v="Y"/>
    <n v="142.56"/>
    <n v="28.52"/>
    <x v="6"/>
    <s v="VALIDATED"/>
    <n v="1"/>
    <s v="01.11.80.302.6100.0000"/>
    <n v="142.56"/>
    <s v="11"/>
    <s v="6100"/>
    <n v="21904.93"/>
    <n v="142.56"/>
    <s v="CREDITOR"/>
    <n v="0"/>
    <n v="0"/>
    <n v="0"/>
    <n v="0"/>
    <n v="142.56"/>
  </r>
  <r>
    <n v="21023770"/>
    <s v="N"/>
    <n v="21330689"/>
    <s v="3000008507410022"/>
    <s v="CIVIL"/>
    <d v="2023-06-29T00:00:00"/>
    <d v="2023-07-05T19:01:47"/>
    <m/>
    <d v="2023-07-05T00:00:00"/>
    <n v="2024"/>
    <n v="1248"/>
    <s v="21023770"/>
    <s v="21023770"/>
    <m/>
    <m/>
    <n v="22790290"/>
    <m/>
    <m/>
    <m/>
    <s v="SOLINT"/>
    <s v="SOLINT"/>
    <s v="CCMS"/>
    <n v="21330689"/>
    <n v="22300.73"/>
    <m/>
    <s v="N"/>
    <n v="194"/>
    <d v="2023-07-05T19:01:52"/>
    <s v="Y"/>
    <s v="Attendance upon other"/>
    <s v="VHCC"/>
    <s v="Profit Cost"/>
    <s v="BM-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51"/>
    <d v="2023-07-05T19:01:53"/>
    <s v="Y"/>
    <s v="Item - Routine Outgoing letter"/>
    <s v="VHCC"/>
    <s v="Profit Cost"/>
    <s v="EW"/>
    <s v="Y"/>
    <n v="324"/>
    <n v="64.79000000000001"/>
    <x v="6"/>
    <s v="VALIDATED"/>
    <n v="1"/>
    <s v="01.11.80.302.6100.0000"/>
    <n v="324"/>
    <s v="11"/>
    <s v="6100"/>
    <n v="21904.93"/>
    <n v="324"/>
    <s v="CREDITOR"/>
    <n v="0"/>
    <n v="0"/>
    <n v="0"/>
    <n v="0"/>
    <n v="324"/>
  </r>
  <r>
    <n v="21023770"/>
    <s v="N"/>
    <n v="21330720"/>
    <s v="3000008507410023"/>
    <s v="CIVIL"/>
    <d v="2023-06-29T00:00:00"/>
    <d v="2023-07-05T19:01:47"/>
    <m/>
    <d v="2023-07-05T00:00:00"/>
    <n v="2024"/>
    <n v="1248"/>
    <s v="21023770"/>
    <s v="21023770"/>
    <m/>
    <m/>
    <n v="22790312"/>
    <m/>
    <m/>
    <m/>
    <s v="SOLINT"/>
    <s v="SOLINT"/>
    <s v="CCMS"/>
    <n v="21330720"/>
    <n v="2175.89"/>
    <m/>
    <s v="N"/>
    <n v="33"/>
    <d v="2023-07-05T19:01:53"/>
    <s v="Y"/>
    <s v="Report - Welfare report"/>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28"/>
    <d v="2023-07-05T19:01:52"/>
    <s v="Y"/>
    <s v="Preparation - other"/>
    <s v="VHCC"/>
    <s v="Profit Cost"/>
    <s v="NK-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00"/>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78"/>
    <d v="2023-07-05T19:01:52"/>
    <s v="Y"/>
    <s v="Preparation - other"/>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71"/>
    <d v="2023-07-05T19:01:52"/>
    <s v="Y"/>
    <s v="Preparation - drafting statement"/>
    <s v="VHCC"/>
    <s v="Profit Cost"/>
    <s v="BM-25"/>
    <s v="Y"/>
    <n v="29.7"/>
    <n v="5.94"/>
    <x v="6"/>
    <s v="VALIDATED"/>
    <n v="1"/>
    <s v="01.11.80.302.6100.0000"/>
    <n v="29.7"/>
    <s v="11"/>
    <s v="6100"/>
    <n v="21904.93"/>
    <n v="29.7"/>
    <s v="CREDITOR"/>
    <n v="0"/>
    <n v="0"/>
    <n v="0"/>
    <n v="0"/>
    <n v="29.7"/>
  </r>
  <r>
    <n v="60616722"/>
    <s v="N"/>
    <n v="21360256"/>
    <s v="3000014869950015"/>
    <s v="CIVIL"/>
    <d v="2023-06-29T00:00:00"/>
    <d v="2023-07-11T11:50:54"/>
    <m/>
    <d v="2023-07-11T00:00:00"/>
    <n v="2024"/>
    <n v="1248"/>
    <s v="60616722"/>
    <s v="60616722"/>
    <m/>
    <m/>
    <n v="22789672"/>
    <m/>
    <m/>
    <m/>
    <s v="SOLFIN"/>
    <s v="SOLFIN"/>
    <s v="CCMS"/>
    <n v="21360256"/>
    <n v="13584.79"/>
    <m/>
    <s v="N"/>
    <n v="8"/>
    <d v="2023-07-11T11:50:59"/>
    <s v="Y"/>
    <s v="Advocates Meeting"/>
    <s v="Public Law Children"/>
    <s v="Advocacy"/>
    <s v="OC"/>
    <s v="Y"/>
    <n v="140.99"/>
    <n v="28.2"/>
    <x v="7"/>
    <s v="VALIDATED"/>
    <n v="1"/>
    <s v="01.11.80.308.6100.0000"/>
    <n v="140.99"/>
    <s v="11"/>
    <s v="6100"/>
    <n v="21904.93"/>
    <n v="140.99"/>
    <s v="CREDITOR"/>
    <n v="0"/>
    <n v="0"/>
    <n v="0"/>
    <n v="0"/>
    <n v="140.99"/>
  </r>
  <r>
    <n v="21023770"/>
    <s v="N"/>
    <n v="21330689"/>
    <s v="3000008507410022"/>
    <s v="CIVIL"/>
    <d v="2023-06-29T00:00:00"/>
    <d v="2023-07-05T19:01:47"/>
    <m/>
    <d v="2023-07-05T00:00:00"/>
    <n v="2024"/>
    <n v="1248"/>
    <s v="21023770"/>
    <s v="21023770"/>
    <m/>
    <m/>
    <n v="22790290"/>
    <m/>
    <m/>
    <m/>
    <s v="SOLINT"/>
    <s v="SOLINT"/>
    <s v="CCMS"/>
    <n v="21330689"/>
    <n v="22300.73"/>
    <m/>
    <s v="N"/>
    <n v="37"/>
    <d v="2023-07-05T19:01:52"/>
    <s v="Y"/>
    <s v="Attendance upon client"/>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35"/>
    <d v="2023-07-05T19:01:52"/>
    <s v="Y"/>
    <s v="Preparation - other"/>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65"/>
    <d v="2023-07-05T19:01:52"/>
    <s v="Y"/>
    <s v="Preparation - other"/>
    <s v="VHCC"/>
    <s v="Profit Cost"/>
    <s v="NK"/>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52"/>
    <d v="2023-07-05T19:01:52"/>
    <s v="Y"/>
    <s v="Attendance upon client"/>
    <s v="VHCC"/>
    <s v="Profit Cost"/>
    <s v="OD-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07"/>
    <d v="2023-07-05T19:01:52"/>
    <s v="Y"/>
    <s v="Preparation - drafting statement"/>
    <s v="VHCC"/>
    <s v="Profit Cost"/>
    <s v="BM-25"/>
    <s v="Y"/>
    <n v="66.83"/>
    <n v="13.37"/>
    <x v="6"/>
    <s v="VALIDATED"/>
    <n v="1"/>
    <s v="01.11.80.302.6100.0000"/>
    <n v="66.83"/>
    <s v="11"/>
    <s v="6100"/>
    <n v="21904.93"/>
    <n v="66.83"/>
    <s v="CREDITOR"/>
    <n v="0"/>
    <n v="0"/>
    <n v="0"/>
    <n v="0"/>
    <n v="66.83"/>
  </r>
  <r>
    <n v="21023770"/>
    <s v="N"/>
    <n v="21330689"/>
    <s v="3000008507410022"/>
    <s v="CIVIL"/>
    <d v="2023-06-29T00:00:00"/>
    <d v="2023-07-05T19:01:47"/>
    <m/>
    <d v="2023-07-05T00:00:00"/>
    <n v="2024"/>
    <n v="1248"/>
    <s v="21023770"/>
    <s v="21023770"/>
    <m/>
    <m/>
    <n v="22790290"/>
    <m/>
    <m/>
    <m/>
    <s v="SOLINT"/>
    <s v="SOLINT"/>
    <s v="CCMS"/>
    <n v="21330689"/>
    <n v="22300.73"/>
    <m/>
    <s v="N"/>
    <n v="45"/>
    <d v="2023-07-05T19:01:52"/>
    <s v="Y"/>
    <s v="Attendance upon other side"/>
    <s v="VHCC"/>
    <s v="Profit Cost"/>
    <s v="OD-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99"/>
    <d v="2023-07-05T19:01:52"/>
    <s v="Y"/>
    <s v="Preparation - other"/>
    <s v="VHCC"/>
    <s v="Profit Cost"/>
    <s v="BM"/>
    <s v="Y"/>
    <n v="100.98"/>
    <n v="20.2"/>
    <x v="6"/>
    <s v="VALIDATED"/>
    <n v="1"/>
    <s v="01.11.80.302.6100.0000"/>
    <n v="100.98"/>
    <s v="11"/>
    <s v="6100"/>
    <n v="21904.93"/>
    <n v="100.98"/>
    <s v="CREDITOR"/>
    <n v="0"/>
    <n v="0"/>
    <n v="0"/>
    <n v="0"/>
    <n v="100.98"/>
  </r>
  <r>
    <n v="21023770"/>
    <s v="N"/>
    <n v="21330689"/>
    <s v="3000008507410022"/>
    <s v="CIVIL"/>
    <d v="2023-06-29T00:00:00"/>
    <d v="2023-07-05T19:01:47"/>
    <m/>
    <d v="2023-07-05T00:00:00"/>
    <n v="2024"/>
    <n v="1248"/>
    <s v="21023770"/>
    <s v="21023770"/>
    <m/>
    <m/>
    <n v="22790290"/>
    <m/>
    <m/>
    <m/>
    <s v="SOLINT"/>
    <s v="SOLINT"/>
    <s v="CCMS"/>
    <n v="21330689"/>
    <n v="22300.73"/>
    <m/>
    <s v="N"/>
    <n v="256"/>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274"/>
    <d v="2023-07-05T19:01:52"/>
    <s v="Y"/>
    <s v="Attendance upon court"/>
    <s v="VHCC"/>
    <s v="Profit Cost"/>
    <s v="BM-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9"/>
    <d v="2023-07-05T19:01:52"/>
    <s v="Y"/>
    <s v="Preparation - drafting statement"/>
    <s v="VHCC"/>
    <s v="Profit Cost"/>
    <s v="KBE"/>
    <s v="Y"/>
    <n v="41.58"/>
    <n v="8.32"/>
    <x v="6"/>
    <s v="VALIDATED"/>
    <n v="1"/>
    <s v="01.11.80.302.6100.0000"/>
    <n v="41.58"/>
    <s v="11"/>
    <s v="6100"/>
    <n v="21904.93"/>
    <n v="41.58"/>
    <s v="CREDITOR"/>
    <n v="0"/>
    <n v="0"/>
    <n v="0"/>
    <n v="0"/>
    <n v="41.58"/>
  </r>
  <r>
    <n v="21023770"/>
    <s v="N"/>
    <n v="21330689"/>
    <s v="3000008507410022"/>
    <s v="CIVIL"/>
    <d v="2023-06-29T00:00:00"/>
    <d v="2023-07-05T19:01:47"/>
    <m/>
    <d v="2023-07-05T00:00:00"/>
    <n v="2024"/>
    <n v="1248"/>
    <s v="21023770"/>
    <s v="21023770"/>
    <m/>
    <m/>
    <n v="22790290"/>
    <m/>
    <m/>
    <m/>
    <s v="SOLINT"/>
    <s v="SOLINT"/>
    <s v="CCMS"/>
    <n v="21330689"/>
    <n v="22300.73"/>
    <m/>
    <s v="N"/>
    <n v="293"/>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303"/>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51"/>
    <d v="2023-07-05T19:01:52"/>
    <s v="Y"/>
    <s v="Preparation - other"/>
    <s v="VHCC"/>
    <s v="Profit Cost"/>
    <s v="OD"/>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82"/>
    <d v="2023-07-05T19:01:52"/>
    <s v="Y"/>
    <s v="Attendance upon client"/>
    <s v="VHCC"/>
    <s v="Profit Cost"/>
    <s v="BM-25"/>
    <s v="Y"/>
    <n v="51.98"/>
    <n v="10.4"/>
    <x v="6"/>
    <s v="VALIDATED"/>
    <n v="1"/>
    <s v="01.11.80.302.6100.0000"/>
    <n v="51.98"/>
    <s v="11"/>
    <s v="6100"/>
    <n v="21904.93"/>
    <n v="51.98"/>
    <s v="CREDITOR"/>
    <n v="0"/>
    <n v="0"/>
    <n v="0"/>
    <n v="0"/>
    <n v="51.98"/>
  </r>
  <r>
    <n v="21023770"/>
    <s v="N"/>
    <n v="21330689"/>
    <s v="3000008507410022"/>
    <s v="CIVIL"/>
    <d v="2023-06-29T00:00:00"/>
    <d v="2023-07-05T19:01:47"/>
    <m/>
    <d v="2023-07-05T00:00:00"/>
    <n v="2024"/>
    <n v="1248"/>
    <s v="21023770"/>
    <s v="21023770"/>
    <m/>
    <m/>
    <n v="22790290"/>
    <m/>
    <m/>
    <m/>
    <s v="SOLINT"/>
    <s v="SOLINT"/>
    <s v="CCMS"/>
    <n v="21330689"/>
    <n v="22300.73"/>
    <m/>
    <s v="N"/>
    <n v="71"/>
    <d v="2023-07-05T19:01:52"/>
    <s v="Y"/>
    <s v="Preparation - drafting statement"/>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44"/>
    <d v="2023-07-05T19:01:52"/>
    <s v="Y"/>
    <s v="Preparation - other"/>
    <s v="VHCC"/>
    <s v="Profit Cost"/>
    <s v="OD"/>
    <s v="Y"/>
    <n v="83.16"/>
    <n v="16.63"/>
    <x v="6"/>
    <s v="VALIDATED"/>
    <n v="1"/>
    <s v="01.11.80.302.6100.0000"/>
    <n v="83.16"/>
    <s v="11"/>
    <s v="6100"/>
    <n v="21904.93"/>
    <n v="83.16"/>
    <s v="CREDITOR"/>
    <n v="0"/>
    <n v="0"/>
    <n v="0"/>
    <n v="0"/>
    <n v="83.16"/>
  </r>
  <r>
    <n v="21023770"/>
    <s v="N"/>
    <n v="21330689"/>
    <s v="3000008507410022"/>
    <s v="CIVIL"/>
    <d v="2023-06-29T00:00:00"/>
    <d v="2023-07-05T19:01:47"/>
    <m/>
    <d v="2023-07-05T00:00:00"/>
    <n v="2024"/>
    <n v="1248"/>
    <s v="21023770"/>
    <s v="21023770"/>
    <m/>
    <m/>
    <n v="22790290"/>
    <m/>
    <m/>
    <m/>
    <s v="SOLINT"/>
    <s v="SOLINT"/>
    <s v="CCMS"/>
    <n v="21330689"/>
    <n v="22300.73"/>
    <m/>
    <s v="N"/>
    <n v="220"/>
    <d v="2023-07-05T19:01:52"/>
    <s v="Y"/>
    <s v="Attendance upon Counsel"/>
    <s v="VHCC"/>
    <s v="Profit Cost"/>
    <s v="BM"/>
    <s v="Y"/>
    <n v="19.44"/>
    <n v="3.89"/>
    <x v="6"/>
    <s v="VALIDATED"/>
    <n v="1"/>
    <s v="01.11.80.302.6100.0000"/>
    <n v="19.44"/>
    <s v="11"/>
    <s v="6100"/>
    <n v="21904.93"/>
    <n v="19.44"/>
    <s v="CREDITOR"/>
    <n v="0"/>
    <n v="0"/>
    <n v="0"/>
    <n v="0"/>
    <n v="19.44"/>
  </r>
  <r>
    <n v="21023770"/>
    <s v="N"/>
    <n v="21330689"/>
    <s v="3000008507410022"/>
    <s v="CIVIL"/>
    <d v="2023-06-29T00:00:00"/>
    <d v="2023-07-05T19:01:47"/>
    <m/>
    <d v="2023-07-05T00:00:00"/>
    <n v="2024"/>
    <n v="1248"/>
    <s v="21023770"/>
    <s v="21023770"/>
    <m/>
    <m/>
    <n v="22790290"/>
    <m/>
    <m/>
    <m/>
    <s v="SOLINT"/>
    <s v="SOLINT"/>
    <s v="CCMS"/>
    <n v="21330689"/>
    <n v="22300.73"/>
    <m/>
    <s v="N"/>
    <n v="336"/>
    <d v="2023-07-05T19:01:52"/>
    <s v="Y"/>
    <s v="Item - Routine Telephone Call"/>
    <s v="VHCC"/>
    <s v="Profit Cost"/>
    <s v="JS-P"/>
    <s v="Y"/>
    <n v="24.84"/>
    <n v="4.97"/>
    <x v="6"/>
    <s v="VALIDATED"/>
    <n v="1"/>
    <s v="01.11.80.302.6100.0000"/>
    <n v="24.84"/>
    <s v="11"/>
    <s v="6100"/>
    <n v="21904.93"/>
    <n v="24.84"/>
    <s v="CREDITOR"/>
    <n v="0"/>
    <n v="0"/>
    <n v="0"/>
    <n v="0"/>
    <n v="24.84"/>
  </r>
  <r>
    <n v="21023770"/>
    <s v="N"/>
    <n v="21330689"/>
    <s v="3000008507410022"/>
    <s v="CIVIL"/>
    <d v="2023-06-29T00:00:00"/>
    <d v="2023-07-05T19:01:47"/>
    <m/>
    <d v="2023-07-05T00:00:00"/>
    <n v="2024"/>
    <n v="1248"/>
    <s v="21023770"/>
    <s v="21023770"/>
    <m/>
    <m/>
    <n v="22790290"/>
    <m/>
    <m/>
    <m/>
    <s v="SOLINT"/>
    <s v="SOLINT"/>
    <s v="CCMS"/>
    <n v="21330689"/>
    <n v="22300.73"/>
    <m/>
    <s v="N"/>
    <n v="114"/>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59"/>
    <d v="2023-07-05T19:01:52"/>
    <s v="Y"/>
    <s v="Preparation - other"/>
    <s v="VHCC"/>
    <s v="Profit Cost"/>
    <s v="NK-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55"/>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81"/>
    <d v="2023-07-05T19:01:52"/>
    <s v="Y"/>
    <s v="Attendance upon client"/>
    <s v="VHCC"/>
    <s v="Profit Cost"/>
    <s v="BM-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89"/>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61"/>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65"/>
    <d v="2023-07-05T19:01:52"/>
    <s v="Y"/>
    <s v="Preparation - other"/>
    <s v="VHCC"/>
    <s v="Profit Cost"/>
    <s v="BM-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341"/>
    <d v="2023-07-05T19:01:52"/>
    <s v="Y"/>
    <s v="Item - Routine Incoming letter"/>
    <s v="VHCC"/>
    <s v="Profit Cost"/>
    <s v="BM"/>
    <s v="Y"/>
    <n v="2184.3"/>
    <n v="436.92"/>
    <x v="6"/>
    <s v="VALIDATED"/>
    <n v="1"/>
    <s v="01.11.80.302.6100.0000"/>
    <n v="2184.3"/>
    <s v="11"/>
    <s v="6100"/>
    <n v="21904.93"/>
    <n v="2184.3"/>
    <s v="CREDITOR"/>
    <n v="0"/>
    <n v="0"/>
    <n v="0"/>
    <n v="0"/>
    <n v="2184.3"/>
  </r>
  <r>
    <n v="21023770"/>
    <s v="N"/>
    <n v="21330689"/>
    <s v="3000008507410022"/>
    <s v="CIVIL"/>
    <d v="2023-06-29T00:00:00"/>
    <d v="2023-07-05T19:01:47"/>
    <m/>
    <d v="2023-07-05T00:00:00"/>
    <n v="2024"/>
    <n v="1248"/>
    <s v="21023770"/>
    <s v="21023770"/>
    <m/>
    <m/>
    <n v="22790290"/>
    <m/>
    <m/>
    <m/>
    <s v="SOLINT"/>
    <s v="SOLINT"/>
    <s v="CCMS"/>
    <n v="21330689"/>
    <n v="22300.73"/>
    <m/>
    <s v="N"/>
    <n v="103"/>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50"/>
    <d v="2023-07-05T19:01:52"/>
    <s v="Y"/>
    <s v="Report - Welfare report"/>
    <s v="VHCC"/>
    <s v="Profit Cost"/>
    <s v="BM-25"/>
    <s v="Y"/>
    <n v="66.83"/>
    <n v="13.37"/>
    <x v="6"/>
    <s v="VALIDATED"/>
    <n v="1"/>
    <s v="01.11.80.302.6100.0000"/>
    <n v="66.83"/>
    <s v="11"/>
    <s v="6100"/>
    <n v="21904.93"/>
    <n v="66.83"/>
    <s v="CREDITOR"/>
    <n v="0"/>
    <n v="0"/>
    <n v="0"/>
    <n v="0"/>
    <n v="66.83"/>
  </r>
  <r>
    <n v="21023770"/>
    <s v="N"/>
    <n v="21330689"/>
    <s v="3000008507410022"/>
    <s v="CIVIL"/>
    <d v="2023-06-29T00:00:00"/>
    <d v="2023-07-05T19:01:47"/>
    <m/>
    <d v="2023-07-05T00:00:00"/>
    <n v="2024"/>
    <n v="1248"/>
    <s v="21023770"/>
    <s v="21023770"/>
    <m/>
    <m/>
    <n v="22790290"/>
    <m/>
    <m/>
    <m/>
    <s v="SOLINT"/>
    <s v="SOLINT"/>
    <s v="CCMS"/>
    <n v="21330689"/>
    <n v="22300.73"/>
    <m/>
    <s v="N"/>
    <n v="261"/>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7"/>
    <d v="2023-07-05T19:01:52"/>
    <s v="Y"/>
    <s v="Preparation - other"/>
    <s v="VHCC"/>
    <s v="Profit Cost"/>
    <s v="KBE-25"/>
    <s v="Y"/>
    <n v="66.83"/>
    <n v="13.37"/>
    <x v="6"/>
    <s v="VALIDATED"/>
    <n v="1"/>
    <s v="01.11.80.302.6100.0000"/>
    <n v="66.83"/>
    <s v="11"/>
    <s v="6100"/>
    <n v="21904.93"/>
    <n v="66.83"/>
    <s v="CREDITOR"/>
    <n v="0"/>
    <n v="0"/>
    <n v="0"/>
    <n v="0"/>
    <n v="66.83"/>
  </r>
  <r>
    <n v="21023770"/>
    <s v="N"/>
    <n v="21330689"/>
    <s v="3000008507410022"/>
    <s v="CIVIL"/>
    <d v="2023-06-29T00:00:00"/>
    <d v="2023-07-05T19:01:47"/>
    <m/>
    <d v="2023-07-05T00:00:00"/>
    <n v="2024"/>
    <n v="1248"/>
    <s v="21023770"/>
    <s v="21023770"/>
    <m/>
    <m/>
    <n v="22790290"/>
    <m/>
    <m/>
    <m/>
    <s v="SOLINT"/>
    <s v="SOLINT"/>
    <s v="CCMS"/>
    <n v="21330689"/>
    <n v="22300.73"/>
    <m/>
    <s v="N"/>
    <n v="142"/>
    <d v="2023-07-05T19:01:52"/>
    <s v="Y"/>
    <s v="Attendance upon Counsel"/>
    <s v="VHCC"/>
    <s v="Profit Cost"/>
    <s v="BM"/>
    <s v="Y"/>
    <n v="16.2"/>
    <n v="3.24"/>
    <x v="6"/>
    <s v="VALIDATED"/>
    <n v="1"/>
    <s v="01.11.80.302.6100.0000"/>
    <n v="16.2"/>
    <s v="11"/>
    <s v="6100"/>
    <n v="21904.93"/>
    <n v="16.2"/>
    <s v="CREDITOR"/>
    <n v="0"/>
    <n v="0"/>
    <n v="0"/>
    <n v="0"/>
    <n v="16.2"/>
  </r>
  <r>
    <n v="21023770"/>
    <s v="N"/>
    <n v="21330689"/>
    <s v="3000008507410022"/>
    <s v="CIVIL"/>
    <d v="2023-06-29T00:00:00"/>
    <d v="2023-07-05T19:01:47"/>
    <m/>
    <d v="2023-07-05T00:00:00"/>
    <n v="2024"/>
    <n v="1248"/>
    <s v="21023770"/>
    <s v="21023770"/>
    <m/>
    <m/>
    <n v="22790290"/>
    <m/>
    <m/>
    <m/>
    <s v="SOLINT"/>
    <s v="SOLINT"/>
    <s v="CCMS"/>
    <n v="21330689"/>
    <n v="22300.73"/>
    <m/>
    <s v="N"/>
    <n v="31"/>
    <d v="2023-07-05T19:01:52"/>
    <s v="Y"/>
    <s v="Attendance upon client"/>
    <s v="VHCC"/>
    <s v="Profit Cost"/>
    <s v="KBE-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24"/>
    <d v="2023-07-05T19:01:53"/>
    <s v="Y"/>
    <s v="Preparation - other"/>
    <s v="VHCC"/>
    <s v="Profit Cost"/>
    <s v="JS-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26"/>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9"/>
    <d v="2023-07-05T19:01:52"/>
    <s v="Y"/>
    <s v="Preparation - other"/>
    <s v="VHCC"/>
    <s v="Profit Cost"/>
    <s v="KBE"/>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315"/>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94"/>
    <d v="2023-07-05T19:01:52"/>
    <s v="Y"/>
    <s v="Preparation - drafting statement"/>
    <s v="VHCC"/>
    <s v="Profit Cost"/>
    <s v="BM-25"/>
    <s v="Y"/>
    <n v="44.55"/>
    <n v="8.91"/>
    <x v="6"/>
    <s v="VALIDATED"/>
    <n v="1"/>
    <s v="01.11.80.302.6100.0000"/>
    <n v="44.55"/>
    <s v="11"/>
    <s v="6100"/>
    <n v="21904.93"/>
    <n v="44.55"/>
    <s v="CREDITOR"/>
    <n v="0"/>
    <n v="0"/>
    <n v="0"/>
    <n v="0"/>
    <n v="44.55"/>
  </r>
  <r>
    <n v="60111297"/>
    <s v="N"/>
    <n v="21382564"/>
    <s v="3000014438350006"/>
    <s v="CIVIL"/>
    <d v="2023-06-09T00:00:00"/>
    <d v="2023-07-17T19:01:46"/>
    <m/>
    <d v="2023-07-17T00:00:00"/>
    <n v="2024"/>
    <n v="1248"/>
    <s v="60111297"/>
    <s v="60111297"/>
    <m/>
    <m/>
    <n v="22661122"/>
    <m/>
    <m/>
    <m/>
    <s v="SOLFIN"/>
    <s v="SOLFIN"/>
    <s v="CCMS"/>
    <n v="21382564"/>
    <n v="8480.219999999999"/>
    <m/>
    <s v="N"/>
    <n v="5"/>
    <d v="2023-07-17T19:02:16"/>
    <s v="Y"/>
    <s v="Hearing Unit 0.00 - 1.00 Hours"/>
    <s v="Domestic Abuse"/>
    <s v="Advocacy"/>
    <s v="BM"/>
    <s v="Y"/>
    <n v="81.5"/>
    <n v="16.3"/>
    <x v="8"/>
    <s v="VALIDATED"/>
    <n v="1"/>
    <s v="01.11.80.302.6100.0000"/>
    <n v="81.5"/>
    <s v="11"/>
    <s v="6100"/>
    <n v="21904.93"/>
    <n v="81.5"/>
    <s v="CREDITOR"/>
    <n v="0"/>
    <n v="0"/>
    <n v="0"/>
    <n v="0"/>
    <n v="81.5"/>
  </r>
  <r>
    <n v="60111297"/>
    <s v="N"/>
    <n v="21382564"/>
    <s v="3000014438350006"/>
    <s v="CIVIL"/>
    <d v="2023-06-09T00:00:00"/>
    <d v="2023-07-17T19:01:46"/>
    <m/>
    <d v="2023-07-17T00:00:00"/>
    <n v="2024"/>
    <n v="1248"/>
    <s v="60111297"/>
    <s v="60111297"/>
    <m/>
    <m/>
    <n v="22661122"/>
    <m/>
    <m/>
    <m/>
    <s v="SOLFIN"/>
    <s v="SOLFIN"/>
    <s v="CCMS"/>
    <n v="21382564"/>
    <n v="8480.219999999999"/>
    <m/>
    <s v="N"/>
    <n v="3"/>
    <d v="2023-07-17T19:02:16"/>
    <s v="Y"/>
    <s v="Hearing Unit 1.01 - 2.30 Hours"/>
    <s v="Domestic Abuse"/>
    <s v="Advocacy"/>
    <s v="OD"/>
    <s v="Y"/>
    <n v="203.76"/>
    <n v="40.75"/>
    <x v="8"/>
    <s v="VALIDATED"/>
    <n v="1"/>
    <s v="01.11.80.302.6100.0000"/>
    <n v="203.76"/>
    <s v="11"/>
    <s v="6100"/>
    <n v="21904.93"/>
    <n v="203.76"/>
    <s v="CREDITOR"/>
    <n v="0"/>
    <n v="0"/>
    <n v="0"/>
    <n v="0"/>
    <n v="203.76"/>
  </r>
  <r>
    <n v="21023770"/>
    <s v="N"/>
    <n v="21330689"/>
    <s v="3000008507410022"/>
    <s v="CIVIL"/>
    <d v="2023-06-29T00:00:00"/>
    <d v="2023-07-05T19:01:47"/>
    <m/>
    <d v="2023-07-05T00:00:00"/>
    <n v="2024"/>
    <n v="1248"/>
    <s v="21023770"/>
    <s v="21023770"/>
    <m/>
    <m/>
    <n v="22790290"/>
    <m/>
    <m/>
    <m/>
    <s v="SOLINT"/>
    <s v="SOLINT"/>
    <s v="CCMS"/>
    <n v="21330689"/>
    <n v="22300.73"/>
    <m/>
    <s v="N"/>
    <n v="35"/>
    <d v="2023-07-05T19:01:52"/>
    <s v="Y"/>
    <s v="Preparation - other"/>
    <s v="VHCC"/>
    <s v="Profit Cost"/>
    <s v="KBE-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18"/>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21"/>
    <d v="2023-07-05T19:01:52"/>
    <s v="Y"/>
    <s v="Attendance upon court with counsel"/>
    <s v="VHCC"/>
    <s v="Profit Cost"/>
    <s v="BM"/>
    <s v="Y"/>
    <n v="25.92"/>
    <n v="5.18"/>
    <x v="6"/>
    <s v="VALIDATED"/>
    <n v="1"/>
    <s v="01.11.80.302.6100.0000"/>
    <n v="25.92"/>
    <s v="11"/>
    <s v="6100"/>
    <n v="21904.93"/>
    <n v="25.92"/>
    <s v="CREDITOR"/>
    <n v="0"/>
    <n v="0"/>
    <n v="0"/>
    <n v="0"/>
    <n v="25.92"/>
  </r>
  <r>
    <n v="21023770"/>
    <s v="N"/>
    <n v="21330689"/>
    <s v="3000008507410022"/>
    <s v="CIVIL"/>
    <d v="2023-06-29T00:00:00"/>
    <d v="2023-07-05T19:01:47"/>
    <m/>
    <d v="2023-07-05T00:00:00"/>
    <n v="2024"/>
    <n v="1248"/>
    <s v="21023770"/>
    <s v="21023770"/>
    <m/>
    <m/>
    <n v="22790290"/>
    <m/>
    <m/>
    <m/>
    <s v="SOLINT"/>
    <s v="SOLINT"/>
    <s v="CCMS"/>
    <n v="21330689"/>
    <n v="22300.73"/>
    <m/>
    <s v="N"/>
    <n v="266"/>
    <d v="2023-07-05T19:01:52"/>
    <s v="Y"/>
    <s v="Attendance upon Counsel"/>
    <s v="VHCC"/>
    <s v="Profit Cost"/>
    <s v="BM"/>
    <s v="Y"/>
    <n v="97.2"/>
    <n v="19.44"/>
    <x v="6"/>
    <s v="VALIDATED"/>
    <n v="1"/>
    <s v="01.11.80.302.6100.0000"/>
    <n v="97.2"/>
    <s v="11"/>
    <s v="6100"/>
    <n v="21904.93"/>
    <n v="97.2"/>
    <s v="CREDITOR"/>
    <n v="0"/>
    <n v="0"/>
    <n v="0"/>
    <n v="0"/>
    <n v="97.2"/>
  </r>
  <r>
    <n v="21023770"/>
    <s v="N"/>
    <n v="21330720"/>
    <s v="3000008507410023"/>
    <s v="CIVIL"/>
    <d v="2023-06-29T00:00:00"/>
    <d v="2023-07-05T19:01:47"/>
    <m/>
    <d v="2023-07-05T00:00:00"/>
    <n v="2024"/>
    <n v="1248"/>
    <s v="21023770"/>
    <s v="21023770"/>
    <m/>
    <m/>
    <n v="22790312"/>
    <m/>
    <m/>
    <m/>
    <s v="SOLINT"/>
    <s v="SOLINT"/>
    <s v="CCMS"/>
    <n v="21330720"/>
    <n v="2175.89"/>
    <m/>
    <s v="N"/>
    <n v="44"/>
    <d v="2023-07-05T19:01:53"/>
    <s v="Y"/>
    <s v="Travel to court"/>
    <s v="VHCC"/>
    <s v="Profit Cost"/>
    <s v="EW"/>
    <s v="Y"/>
    <n v="20.16"/>
    <n v="4.03"/>
    <x v="6"/>
    <s v="VALIDATED"/>
    <n v="1"/>
    <s v="01.11.80.302.6100.0000"/>
    <n v="20.16"/>
    <s v="11"/>
    <s v="6100"/>
    <n v="21904.93"/>
    <n v="20.16"/>
    <s v="CREDITOR"/>
    <n v="0"/>
    <n v="0"/>
    <n v="0"/>
    <n v="0"/>
    <n v="20.16"/>
  </r>
  <r>
    <n v="62062469"/>
    <s v="N"/>
    <n v="21323955"/>
    <s v="3000016095050001"/>
    <s v="CIVIL"/>
    <d v="2023-06-30T00:00:00"/>
    <d v="2023-07-03T19:05:56"/>
    <m/>
    <d v="2023-07-03T00:00:00"/>
    <n v="2024"/>
    <n v="1248"/>
    <s v="62062469"/>
    <s v="62062469"/>
    <m/>
    <m/>
    <n v="22795618"/>
    <m/>
    <m/>
    <m/>
    <s v="SOLPOA"/>
    <s v="SOLPOA"/>
    <s v="CCMS"/>
    <n v="21323955"/>
    <n v="2160"/>
    <m/>
    <s v="N"/>
    <n v="1"/>
    <d v="2023-07-03T19:05:59"/>
    <s v="N"/>
    <s v="Profit Cost"/>
    <s v="Profit Cost"/>
    <s v="Profit Cost"/>
    <s v="Arfan Bhatti"/>
    <s v="N"/>
    <n v="1800"/>
    <n v="360"/>
    <x v="3"/>
    <s v="VALIDATED"/>
    <n v="1"/>
    <s v="01.11.80.210.2012.0000"/>
    <n v="1800"/>
    <s v="11"/>
    <s v="2012"/>
    <n v="21904.93"/>
    <n v="1800"/>
    <s v="CREDITOR"/>
    <n v="1800"/>
    <n v="450"/>
    <n v="0"/>
    <n v="0"/>
    <n v="0"/>
  </r>
  <r>
    <n v="21023770"/>
    <s v="N"/>
    <n v="21330689"/>
    <s v="3000008507410022"/>
    <s v="CIVIL"/>
    <d v="2023-06-29T00:00:00"/>
    <d v="2023-07-05T19:01:47"/>
    <m/>
    <d v="2023-07-05T00:00:00"/>
    <n v="2024"/>
    <n v="1248"/>
    <s v="21023770"/>
    <s v="21023770"/>
    <m/>
    <m/>
    <n v="22790290"/>
    <m/>
    <m/>
    <m/>
    <s v="SOLINT"/>
    <s v="SOLINT"/>
    <s v="CCMS"/>
    <n v="21330689"/>
    <n v="22300.73"/>
    <m/>
    <s v="N"/>
    <n v="195"/>
    <d v="2023-07-05T19:01:52"/>
    <s v="Y"/>
    <s v="Attendance upon client"/>
    <s v="VHCC"/>
    <s v="Profit Cost"/>
    <s v="BM-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52"/>
    <d v="2023-07-05T19:01:53"/>
    <s v="Y"/>
    <s v="Item - Routine Incoming letter"/>
    <s v="VHCC"/>
    <s v="Profit Cost"/>
    <s v="JS-P"/>
    <s v="Y"/>
    <n v="3.1"/>
    <n v="0.62"/>
    <x v="6"/>
    <s v="VALIDATED"/>
    <n v="1"/>
    <s v="01.11.80.302.6100.0000"/>
    <n v="3.1"/>
    <s v="11"/>
    <s v="6100"/>
    <n v="21904.93"/>
    <n v="3.1"/>
    <s v="CREDITOR"/>
    <n v="0"/>
    <n v="0"/>
    <n v="0"/>
    <n v="0"/>
    <n v="3.1"/>
  </r>
  <r>
    <n v="21023770"/>
    <s v="N"/>
    <n v="21330720"/>
    <s v="3000008507410023"/>
    <s v="CIVIL"/>
    <d v="2023-06-29T00:00:00"/>
    <d v="2023-07-05T19:01:47"/>
    <m/>
    <d v="2023-07-05T00:00:00"/>
    <n v="2024"/>
    <n v="1248"/>
    <s v="21023770"/>
    <s v="21023770"/>
    <m/>
    <m/>
    <n v="22790312"/>
    <m/>
    <m/>
    <m/>
    <s v="SOLINT"/>
    <s v="SOLINT"/>
    <s v="CCMS"/>
    <n v="21330720"/>
    <n v="2175.89"/>
    <m/>
    <s v="N"/>
    <n v="53"/>
    <d v="2023-07-05T19:01:53"/>
    <s v="Y"/>
    <s v="Item - Routine Incoming letter"/>
    <s v="VHCC"/>
    <s v="Profit Cost"/>
    <s v="EW"/>
    <s v="Y"/>
    <n v="86.40000000000001"/>
    <n v="17.28"/>
    <x v="6"/>
    <s v="VALIDATED"/>
    <n v="1"/>
    <s v="01.11.80.302.6100.0000"/>
    <n v="86.40000000000001"/>
    <s v="11"/>
    <s v="6100"/>
    <n v="21904.93"/>
    <n v="86.40000000000001"/>
    <s v="CREDITOR"/>
    <n v="0"/>
    <n v="0"/>
    <n v="0"/>
    <n v="0"/>
    <n v="86.40000000000001"/>
  </r>
  <r>
    <n v="21023770"/>
    <s v="N"/>
    <n v="21330720"/>
    <s v="3000008507410023"/>
    <s v="CIVIL"/>
    <d v="2023-06-29T00:00:00"/>
    <d v="2023-07-05T19:01:47"/>
    <m/>
    <d v="2023-07-05T00:00:00"/>
    <n v="2024"/>
    <n v="1248"/>
    <s v="21023770"/>
    <s v="21023770"/>
    <m/>
    <m/>
    <n v="22790312"/>
    <m/>
    <m/>
    <m/>
    <s v="SOLINT"/>
    <s v="SOLINT"/>
    <s v="CCMS"/>
    <n v="21330720"/>
    <n v="2175.89"/>
    <m/>
    <s v="N"/>
    <n v="8"/>
    <d v="2023-07-05T19:01:53"/>
    <s v="Y"/>
    <s v="Attendance upon other side"/>
    <s v="VHCC"/>
    <s v="Profit Cost"/>
    <s v="EW-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324"/>
    <d v="2023-07-05T19:01:52"/>
    <s v="Y"/>
    <s v="Attendance upon client"/>
    <s v="VHCC"/>
    <s v="Profit Cost"/>
    <s v="BM-25"/>
    <s v="Y"/>
    <n v="22.28"/>
    <n v="4.46"/>
    <x v="6"/>
    <s v="VALIDATED"/>
    <n v="1"/>
    <s v="01.11.80.302.6100.0000"/>
    <n v="22.28"/>
    <s v="11"/>
    <s v="6100"/>
    <n v="21904.93"/>
    <n v="22.28"/>
    <s v="CREDITOR"/>
    <n v="0"/>
    <n v="0"/>
    <n v="0"/>
    <n v="0"/>
    <n v="22.28"/>
  </r>
  <r>
    <n v="21023770"/>
    <s v="N"/>
    <n v="21330720"/>
    <s v="3000008507410023"/>
    <s v="CIVIL"/>
    <d v="2023-06-29T00:00:00"/>
    <d v="2023-07-05T19:01:47"/>
    <m/>
    <d v="2023-07-05T00:00:00"/>
    <n v="2024"/>
    <n v="1248"/>
    <s v="21023770"/>
    <s v="21023770"/>
    <m/>
    <m/>
    <n v="22790312"/>
    <m/>
    <m/>
    <m/>
    <s v="SOLINT"/>
    <s v="SOLINT"/>
    <s v="CCMS"/>
    <n v="21330720"/>
    <n v="2175.89"/>
    <m/>
    <s v="N"/>
    <n v="19"/>
    <d v="2023-07-05T19:01:53"/>
    <s v="Y"/>
    <s v="Preparation - other"/>
    <s v="VHCC"/>
    <s v="Profit Cost"/>
    <s v="JS-25"/>
    <s v="Y"/>
    <n v="44.55"/>
    <n v="8.91"/>
    <x v="6"/>
    <s v="VALIDATED"/>
    <n v="1"/>
    <s v="01.11.80.302.6100.0000"/>
    <n v="44.55"/>
    <s v="11"/>
    <s v="6100"/>
    <n v="21904.93"/>
    <n v="44.55"/>
    <s v="CREDITOR"/>
    <n v="0"/>
    <n v="0"/>
    <n v="0"/>
    <n v="0"/>
    <n v="44.55"/>
  </r>
  <r>
    <n v="21023770"/>
    <s v="N"/>
    <n v="21330720"/>
    <s v="3000008507410023"/>
    <s v="CIVIL"/>
    <d v="2023-06-29T00:00:00"/>
    <d v="2023-07-05T19:01:47"/>
    <m/>
    <d v="2023-07-05T00:00:00"/>
    <n v="2024"/>
    <n v="1248"/>
    <s v="21023770"/>
    <s v="21023770"/>
    <m/>
    <m/>
    <n v="22790312"/>
    <m/>
    <m/>
    <m/>
    <s v="SOLINT"/>
    <s v="SOLINT"/>
    <s v="CCMS"/>
    <n v="21330720"/>
    <n v="2175.89"/>
    <m/>
    <s v="N"/>
    <n v="49"/>
    <d v="2023-07-05T19:01:53"/>
    <s v="Y"/>
    <s v="Item - Routine Telephone Call"/>
    <s v="VHCC"/>
    <s v="Profit Cost"/>
    <s v="EW"/>
    <s v="Y"/>
    <n v="37.8"/>
    <n v="7.56"/>
    <x v="6"/>
    <s v="VALIDATED"/>
    <n v="1"/>
    <s v="01.11.80.302.6100.0000"/>
    <n v="37.8"/>
    <s v="11"/>
    <s v="6100"/>
    <n v="21904.93"/>
    <n v="37.8"/>
    <s v="CREDITOR"/>
    <n v="0"/>
    <n v="0"/>
    <n v="0"/>
    <n v="0"/>
    <n v="37.8"/>
  </r>
  <r>
    <n v="21023770"/>
    <s v="N"/>
    <n v="21330689"/>
    <s v="3000008507410022"/>
    <s v="CIVIL"/>
    <d v="2023-06-29T00:00:00"/>
    <d v="2023-07-05T19:01:47"/>
    <m/>
    <d v="2023-07-05T00:00:00"/>
    <n v="2024"/>
    <n v="1248"/>
    <s v="21023770"/>
    <s v="21023770"/>
    <m/>
    <m/>
    <n v="22790290"/>
    <m/>
    <m/>
    <m/>
    <s v="SOLINT"/>
    <s v="SOLINT"/>
    <s v="CCMS"/>
    <n v="21330689"/>
    <n v="22300.73"/>
    <m/>
    <s v="N"/>
    <n v="329"/>
    <d v="2023-07-05T19:01:52"/>
    <s v="Y"/>
    <s v="Preparation - drafting application"/>
    <s v="VHCC"/>
    <s v="Profit Cost"/>
    <s v="EW"/>
    <s v="Y"/>
    <n v="17.82"/>
    <n v="3.56"/>
    <x v="6"/>
    <s v="VALIDATED"/>
    <n v="1"/>
    <s v="01.11.80.302.6100.0000"/>
    <n v="17.82"/>
    <s v="11"/>
    <s v="6100"/>
    <n v="21904.93"/>
    <n v="17.82"/>
    <s v="CREDITOR"/>
    <n v="0"/>
    <n v="0"/>
    <n v="0"/>
    <n v="0"/>
    <n v="17.82"/>
  </r>
  <r>
    <n v="21023770"/>
    <s v="N"/>
    <n v="21330720"/>
    <s v="3000008507410023"/>
    <s v="CIVIL"/>
    <d v="2023-06-29T00:00:00"/>
    <d v="2023-07-05T19:01:47"/>
    <m/>
    <d v="2023-07-05T00:00:00"/>
    <n v="2024"/>
    <n v="1248"/>
    <s v="21023770"/>
    <s v="21023770"/>
    <m/>
    <m/>
    <n v="22790312"/>
    <m/>
    <m/>
    <m/>
    <s v="SOLINT"/>
    <s v="SOLINT"/>
    <s v="CCMS"/>
    <n v="21330720"/>
    <n v="2175.89"/>
    <m/>
    <s v="N"/>
    <n v="21"/>
    <d v="2023-07-05T19:01:53"/>
    <s v="Y"/>
    <s v="Preparation - other"/>
    <s v="VHCC"/>
    <s v="Profit Cost"/>
    <s v="EW-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10"/>
    <d v="2023-07-05T19:01:52"/>
    <s v="Y"/>
    <s v="Preparation - other"/>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11"/>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304"/>
    <d v="2023-07-05T19:01:52"/>
    <s v="Y"/>
    <s v="Preparation - drafting instructions"/>
    <s v="VHCC"/>
    <s v="Profit Cost"/>
    <s v="BM-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3"/>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83"/>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14"/>
    <d v="2023-07-05T19:01:52"/>
    <s v="Y"/>
    <s v="Attendance upon Counsel"/>
    <s v="VHCC"/>
    <s v="Profit Cost"/>
    <s v="BM"/>
    <s v="Y"/>
    <n v="6.48"/>
    <n v="1.3"/>
    <x v="6"/>
    <s v="VALIDATED"/>
    <n v="1"/>
    <s v="01.11.80.302.6100.0000"/>
    <n v="6.48"/>
    <s v="11"/>
    <s v="6100"/>
    <n v="21904.93"/>
    <n v="6.48"/>
    <s v="CREDITOR"/>
    <n v="0"/>
    <n v="0"/>
    <n v="0"/>
    <n v="0"/>
    <n v="6.48"/>
  </r>
  <r>
    <n v="21023770"/>
    <s v="N"/>
    <n v="21330689"/>
    <s v="3000008507410022"/>
    <s v="CIVIL"/>
    <d v="2023-06-29T00:00:00"/>
    <d v="2023-07-05T19:01:47"/>
    <m/>
    <d v="2023-07-05T00:00:00"/>
    <n v="2024"/>
    <n v="1248"/>
    <s v="21023770"/>
    <s v="21023770"/>
    <m/>
    <m/>
    <n v="22790290"/>
    <m/>
    <m/>
    <m/>
    <s v="SOLINT"/>
    <s v="SOLINT"/>
    <s v="CCMS"/>
    <n v="21330689"/>
    <n v="22300.73"/>
    <m/>
    <s v="N"/>
    <n v="60"/>
    <d v="2023-07-05T19:01:52"/>
    <s v="Y"/>
    <s v="Preparation - other"/>
    <s v="VHCC"/>
    <s v="Profit Cost"/>
    <s v="OD-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30"/>
    <d v="2023-07-05T19:01:53"/>
    <s v="Y"/>
    <s v="Preparation - other"/>
    <s v="VHCC"/>
    <s v="Profit Cost"/>
    <s v="EW-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33"/>
    <d v="2023-07-05T19:01:52"/>
    <s v="Y"/>
    <s v="Attendance upon client"/>
    <s v="VHCC"/>
    <s v="Profit Cost"/>
    <s v="BM-25"/>
    <s v="Y"/>
    <n v="74.25"/>
    <n v="14.85"/>
    <x v="6"/>
    <s v="VALIDATED"/>
    <n v="1"/>
    <s v="01.11.80.302.6100.0000"/>
    <n v="74.25"/>
    <s v="11"/>
    <s v="6100"/>
    <n v="21904.93"/>
    <n v="74.25"/>
    <s v="CREDITOR"/>
    <n v="0"/>
    <n v="0"/>
    <n v="0"/>
    <n v="0"/>
    <n v="74.25"/>
  </r>
  <r>
    <n v="21023770"/>
    <s v="N"/>
    <n v="21330689"/>
    <s v="3000008507410022"/>
    <s v="CIVIL"/>
    <d v="2023-06-29T00:00:00"/>
    <d v="2023-07-05T19:01:47"/>
    <m/>
    <d v="2023-07-05T00:00:00"/>
    <n v="2024"/>
    <n v="1248"/>
    <s v="21023770"/>
    <s v="21023770"/>
    <m/>
    <m/>
    <n v="22790290"/>
    <m/>
    <m/>
    <m/>
    <s v="SOLINT"/>
    <s v="SOLINT"/>
    <s v="CCMS"/>
    <n v="21330689"/>
    <n v="22300.73"/>
    <m/>
    <s v="N"/>
    <n v="154"/>
    <d v="2023-07-05T19:01:52"/>
    <s v="Y"/>
    <s v="Preparation - other"/>
    <s v="VHCC"/>
    <s v="Profit Cost"/>
    <s v="BM-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297"/>
    <d v="2023-07-05T19:01:52"/>
    <s v="Y"/>
    <s v="Preparation - other"/>
    <s v="VHCC"/>
    <s v="Profit Cost"/>
    <s v="BM-25"/>
    <s v="Y"/>
    <n v="7.43"/>
    <n v="1.49"/>
    <x v="6"/>
    <s v="VALIDATED"/>
    <n v="1"/>
    <s v="01.11.80.302.6100.0000"/>
    <n v="7.43"/>
    <s v="11"/>
    <s v="6100"/>
    <n v="21904.93"/>
    <n v="7.43"/>
    <s v="CREDITOR"/>
    <n v="0"/>
    <n v="0"/>
    <n v="0"/>
    <n v="0"/>
    <n v="7.43"/>
  </r>
  <r>
    <n v="61914092"/>
    <s v="N"/>
    <n v="21323933"/>
    <s v="3000015963020002"/>
    <s v="CIVIL"/>
    <d v="2023-06-30T00:00:00"/>
    <d v="2023-07-03T19:05:56"/>
    <m/>
    <d v="2023-07-03T00:00:00"/>
    <n v="2024"/>
    <n v="1248"/>
    <s v="61914092"/>
    <s v="61914092"/>
    <m/>
    <m/>
    <n v="22796576"/>
    <m/>
    <m/>
    <m/>
    <s v="SOLPOA"/>
    <s v="SOLPOA"/>
    <s v="CCMS"/>
    <n v="21323933"/>
    <n v="672.0599999999999"/>
    <m/>
    <s v="N"/>
    <n v="1"/>
    <d v="2023-07-03T19:05:59"/>
    <s v="N"/>
    <s v="Profit Cost"/>
    <s v="Profit Cost"/>
    <s v="Profit Cost"/>
    <s v="Avikar Singh"/>
    <s v="N"/>
    <n v="560.05"/>
    <n v="112.01"/>
    <x v="3"/>
    <s v="VALIDATED"/>
    <n v="1"/>
    <s v="01.11.80.208.2012.0000"/>
    <n v="560.05"/>
    <s v="11"/>
    <s v="2012"/>
    <n v="21904.93"/>
    <n v="560.05"/>
    <s v="CREDITOR"/>
    <n v="560.05"/>
    <n v="140.0125"/>
    <n v="0"/>
    <n v="0"/>
    <n v="0"/>
  </r>
  <r>
    <n v="60616722"/>
    <s v="N"/>
    <n v="21360256"/>
    <s v="3000014869950015"/>
    <s v="CIVIL"/>
    <d v="2023-06-29T00:00:00"/>
    <d v="2023-07-11T11:50:54"/>
    <m/>
    <d v="2023-07-11T00:00:00"/>
    <n v="2024"/>
    <n v="1248"/>
    <s v="60616722"/>
    <s v="60616722"/>
    <m/>
    <m/>
    <n v="22789672"/>
    <m/>
    <m/>
    <m/>
    <s v="SOLFIN"/>
    <s v="SOLFIN"/>
    <s v="CCMS"/>
    <n v="21360256"/>
    <n v="13584.79"/>
    <m/>
    <s v="N"/>
    <n v="3"/>
    <d v="2023-07-11T11:50:59"/>
    <s v="Y"/>
    <s v="Profit Costs (Summary)"/>
    <s v="Care Remuneration Hourly Rates"/>
    <s v="Profit Cost"/>
    <s v="OC"/>
    <s v="Y"/>
    <n v="1169.72"/>
    <n v="233.94"/>
    <x v="7"/>
    <s v="VALIDATED"/>
    <n v="1"/>
    <s v="01.11.80.308.6100.0000"/>
    <n v="1169.72"/>
    <s v="11"/>
    <s v="6100"/>
    <n v="21904.93"/>
    <n v="1169.72"/>
    <s v="CREDITOR"/>
    <n v="0"/>
    <n v="0"/>
    <n v="0"/>
    <n v="0"/>
    <n v="1169.72"/>
  </r>
  <r>
    <n v="60616722"/>
    <s v="N"/>
    <n v="21360256"/>
    <s v="3000014869950015"/>
    <s v="CIVIL"/>
    <d v="2023-06-29T00:00:00"/>
    <d v="2023-07-11T11:50:54"/>
    <m/>
    <d v="2023-07-11T00:00:00"/>
    <n v="2024"/>
    <n v="1248"/>
    <s v="60616722"/>
    <s v="60616722"/>
    <m/>
    <m/>
    <n v="22789672"/>
    <m/>
    <m/>
    <m/>
    <s v="SOLFIN"/>
    <s v="SOLFIN"/>
    <s v="CCMS"/>
    <n v="21360256"/>
    <n v="13584.79"/>
    <m/>
    <s v="N"/>
    <n v="7"/>
    <d v="2023-07-11T11:50:59"/>
    <s v="Y"/>
    <s v="Advocates Meeting"/>
    <s v="Public Law Children"/>
    <s v="Advocacy"/>
    <s v="OC"/>
    <s v="Y"/>
    <n v="140.99"/>
    <n v="28.2"/>
    <x v="7"/>
    <s v="VALIDATED"/>
    <n v="1"/>
    <s v="01.11.80.308.6100.0000"/>
    <n v="140.99"/>
    <s v="11"/>
    <s v="6100"/>
    <n v="21904.93"/>
    <n v="140.99"/>
    <s v="CREDITOR"/>
    <n v="0"/>
    <n v="0"/>
    <n v="0"/>
    <n v="0"/>
    <n v="140.99"/>
  </r>
  <r>
    <n v="21023770"/>
    <s v="N"/>
    <n v="21330689"/>
    <s v="3000008507410022"/>
    <s v="CIVIL"/>
    <d v="2023-06-29T00:00:00"/>
    <d v="2023-07-05T19:01:47"/>
    <m/>
    <d v="2023-07-05T00:00:00"/>
    <n v="2024"/>
    <n v="1248"/>
    <s v="21023770"/>
    <s v="21023770"/>
    <m/>
    <m/>
    <n v="22790290"/>
    <m/>
    <m/>
    <m/>
    <s v="SOLINT"/>
    <s v="SOLINT"/>
    <s v="CCMS"/>
    <n v="21330689"/>
    <n v="22300.73"/>
    <m/>
    <s v="N"/>
    <n v="184"/>
    <d v="2023-07-05T19:01:52"/>
    <s v="Y"/>
    <s v="Preparation - other"/>
    <s v="VHCC"/>
    <s v="Profit Cost"/>
    <s v="BM-25"/>
    <s v="Y"/>
    <n v="22.28"/>
    <n v="4.46"/>
    <x v="6"/>
    <s v="VALIDATED"/>
    <n v="1"/>
    <s v="01.11.80.302.6100.0000"/>
    <n v="22.28"/>
    <s v="11"/>
    <s v="6100"/>
    <n v="21904.93"/>
    <n v="22.28"/>
    <s v="CREDITOR"/>
    <n v="0"/>
    <n v="0"/>
    <n v="0"/>
    <n v="0"/>
    <n v="22.28"/>
  </r>
  <r>
    <n v="21023770"/>
    <s v="N"/>
    <n v="21330720"/>
    <s v="3000008507410023"/>
    <s v="CIVIL"/>
    <d v="2023-06-29T00:00:00"/>
    <d v="2023-07-05T19:01:47"/>
    <m/>
    <d v="2023-07-05T00:00:00"/>
    <n v="2024"/>
    <n v="1248"/>
    <s v="21023770"/>
    <s v="21023770"/>
    <m/>
    <m/>
    <n v="22790312"/>
    <m/>
    <m/>
    <m/>
    <s v="SOLINT"/>
    <s v="SOLINT"/>
    <s v="CCMS"/>
    <n v="21330720"/>
    <n v="2175.89"/>
    <m/>
    <s v="N"/>
    <n v="29"/>
    <d v="2023-07-05T19:01:53"/>
    <s v="Y"/>
    <s v="Preparation - drafting attendance n"/>
    <s v="VHCC"/>
    <s v="Profit Cost"/>
    <s v="EW"/>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41"/>
    <d v="2023-07-05T19:01:52"/>
    <s v="Y"/>
    <s v="Attendance upon client"/>
    <s v="VHCC"/>
    <s v="Profit Cost"/>
    <s v="KBE-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35"/>
    <d v="2023-07-05T19:01:52"/>
    <s v="Y"/>
    <s v="Preparation - other"/>
    <s v="VHCC"/>
    <s v="Profit Cost"/>
    <s v="BM"/>
    <s v="Y"/>
    <n v="5.94"/>
    <n v="1.19"/>
    <x v="6"/>
    <s v="VALIDATED"/>
    <n v="1"/>
    <s v="01.11.80.302.6100.0000"/>
    <n v="5.94"/>
    <s v="11"/>
    <s v="6100"/>
    <n v="21904.93"/>
    <n v="5.94"/>
    <s v="CREDITOR"/>
    <n v="0"/>
    <n v="0"/>
    <n v="0"/>
    <n v="0"/>
    <n v="5.94"/>
  </r>
  <r>
    <n v="60616722"/>
    <s v="N"/>
    <n v="21360256"/>
    <s v="3000014869950015"/>
    <s v="CIVIL"/>
    <d v="2023-06-29T00:00:00"/>
    <d v="2023-07-11T11:50:54"/>
    <m/>
    <d v="2023-07-11T00:00:00"/>
    <n v="2024"/>
    <n v="1248"/>
    <s v="60616722"/>
    <s v="60616722"/>
    <m/>
    <m/>
    <n v="22789672"/>
    <m/>
    <m/>
    <m/>
    <s v="SOLFIN"/>
    <s v="SOLFIN"/>
    <s v="CCMS"/>
    <n v="21360256"/>
    <n v="13584.79"/>
    <m/>
    <s v="N"/>
    <n v="10"/>
    <d v="2023-07-11T11:50:59"/>
    <s v="Y"/>
    <s v="Advocates Meeting"/>
    <s v="Public Law Children"/>
    <s v="Advocacy"/>
    <s v="OC"/>
    <s v="Y"/>
    <n v="140.99"/>
    <n v="28.2"/>
    <x v="7"/>
    <s v="VALIDATED"/>
    <n v="1"/>
    <s v="01.11.80.308.6100.0000"/>
    <n v="140.99"/>
    <s v="11"/>
    <s v="6100"/>
    <n v="21904.93"/>
    <n v="140.99"/>
    <s v="CREDITOR"/>
    <n v="0"/>
    <n v="0"/>
    <n v="0"/>
    <n v="0"/>
    <n v="140.99"/>
  </r>
  <r>
    <n v="21023770"/>
    <s v="N"/>
    <n v="21330689"/>
    <s v="3000008507410022"/>
    <s v="CIVIL"/>
    <d v="2023-06-29T00:00:00"/>
    <d v="2023-07-05T19:01:47"/>
    <m/>
    <d v="2023-07-05T00:00:00"/>
    <n v="2024"/>
    <n v="1248"/>
    <s v="21023770"/>
    <s v="21023770"/>
    <m/>
    <m/>
    <n v="22790290"/>
    <m/>
    <m/>
    <m/>
    <s v="SOLINT"/>
    <s v="SOLINT"/>
    <s v="CCMS"/>
    <n v="21330689"/>
    <n v="22300.73"/>
    <m/>
    <s v="N"/>
    <n v="254"/>
    <d v="2023-07-05T19:01:52"/>
    <s v="Y"/>
    <s v="Preparation - drafting instructions"/>
    <s v="VHCC"/>
    <s v="Profit Cost"/>
    <s v="BM"/>
    <s v="Y"/>
    <n v="41.58"/>
    <n v="8.32"/>
    <x v="6"/>
    <s v="VALIDATED"/>
    <n v="1"/>
    <s v="01.11.80.302.6100.0000"/>
    <n v="41.58"/>
    <s v="11"/>
    <s v="6100"/>
    <n v="21904.93"/>
    <n v="41.58"/>
    <s v="CREDITOR"/>
    <n v="0"/>
    <n v="0"/>
    <n v="0"/>
    <n v="0"/>
    <n v="41.58"/>
  </r>
  <r>
    <n v="21023770"/>
    <s v="N"/>
    <n v="21330689"/>
    <s v="3000008507410022"/>
    <s v="CIVIL"/>
    <d v="2023-06-29T00:00:00"/>
    <d v="2023-07-05T19:01:47"/>
    <m/>
    <d v="2023-07-05T00:00:00"/>
    <n v="2024"/>
    <n v="1248"/>
    <s v="21023770"/>
    <s v="21023770"/>
    <m/>
    <m/>
    <n v="22790290"/>
    <m/>
    <m/>
    <m/>
    <s v="SOLINT"/>
    <s v="SOLINT"/>
    <s v="CCMS"/>
    <n v="21330689"/>
    <n v="22300.73"/>
    <m/>
    <s v="N"/>
    <n v="262"/>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6"/>
    <d v="2023-07-05T19:01:52"/>
    <s v="Y"/>
    <s v="Attendance upon other"/>
    <s v="VHCC"/>
    <s v="Profit Cost"/>
    <s v="KBE"/>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277"/>
    <d v="2023-07-05T19:01:52"/>
    <s v="Y"/>
    <s v="Preparation - other"/>
    <s v="VHCC"/>
    <s v="Profit Cost"/>
    <s v="BM"/>
    <s v="Y"/>
    <n v="5.94"/>
    <n v="1.19"/>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36"/>
    <d v="2023-07-05T19:01:53"/>
    <s v="Y"/>
    <s v="Preparation - other"/>
    <s v="VHCC"/>
    <s v="Profit Cost"/>
    <s v="EW"/>
    <s v="Y"/>
    <n v="23.76"/>
    <n v="4.75"/>
    <x v="6"/>
    <s v="VALIDATED"/>
    <n v="1"/>
    <s v="01.11.80.302.6100.0000"/>
    <n v="23.76"/>
    <s v="11"/>
    <s v="6100"/>
    <n v="21904.93"/>
    <n v="23.76"/>
    <s v="CREDITOR"/>
    <n v="0"/>
    <n v="0"/>
    <n v="0"/>
    <n v="0"/>
    <n v="23.76"/>
  </r>
  <r>
    <n v="21023770"/>
    <s v="N"/>
    <n v="21330720"/>
    <s v="3000008507410023"/>
    <s v="CIVIL"/>
    <d v="2023-06-29T00:00:00"/>
    <d v="2023-07-05T19:01:47"/>
    <m/>
    <d v="2023-07-05T00:00:00"/>
    <n v="2024"/>
    <n v="1248"/>
    <s v="21023770"/>
    <s v="21023770"/>
    <m/>
    <m/>
    <n v="22790312"/>
    <m/>
    <m/>
    <m/>
    <s v="SOLINT"/>
    <s v="SOLINT"/>
    <s v="CCMS"/>
    <n v="21330720"/>
    <n v="2175.89"/>
    <m/>
    <s v="N"/>
    <n v="31"/>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30"/>
    <d v="2023-07-05T19:01:52"/>
    <s v="Y"/>
    <s v="Preparation - other"/>
    <s v="VHCC"/>
    <s v="Profit Cost"/>
    <s v="EW"/>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42"/>
    <d v="2023-07-05T19:01:52"/>
    <s v="Y"/>
    <s v="Preparation - other"/>
    <s v="VHCC"/>
    <s v="Profit Cost"/>
    <s v="BM"/>
    <s v="Y"/>
    <n v="11.88"/>
    <n v="2.38"/>
    <x v="6"/>
    <s v="VALIDATED"/>
    <n v="1"/>
    <s v="01.11.80.302.6100.0000"/>
    <n v="11.88"/>
    <s v="11"/>
    <s v="6100"/>
    <n v="21904.93"/>
    <n v="11.88"/>
    <s v="CREDITOR"/>
    <n v="0"/>
    <n v="0"/>
    <n v="0"/>
    <n v="0"/>
    <n v="11.88"/>
  </r>
  <r>
    <n v="60616722"/>
    <s v="N"/>
    <n v="21360256"/>
    <s v="3000014869950015"/>
    <s v="CIVIL"/>
    <d v="2023-06-29T00:00:00"/>
    <d v="2023-07-11T11:50:54"/>
    <m/>
    <d v="2023-07-11T00:00:00"/>
    <n v="2024"/>
    <n v="1248"/>
    <s v="60616722"/>
    <s v="60616722"/>
    <m/>
    <m/>
    <n v="22789672"/>
    <m/>
    <m/>
    <m/>
    <s v="SOLFIN"/>
    <s v="SOLFIN"/>
    <s v="CCMS"/>
    <n v="21360256"/>
    <n v="13584.79"/>
    <m/>
    <s v="N"/>
    <n v="4"/>
    <d v="2023-07-11T11:50:59"/>
    <s v="Y"/>
    <s v="Disbursements (Summary)"/>
    <s v="Care Remuneration Hourly Rates"/>
    <s v="Non Expert Disbursement"/>
    <s v="OC"/>
    <s v="Y"/>
    <n v="230.7"/>
    <n v="0"/>
    <x v="7"/>
    <s v="VALIDATED"/>
    <n v="1"/>
    <s v="01.11.80.308.6300.0000"/>
    <n v="230.7"/>
    <s v="11"/>
    <s v="6300"/>
    <n v="21904.93"/>
    <n v="230.7"/>
    <s v="CREDITOR"/>
    <n v="0"/>
    <n v="0"/>
    <n v="0"/>
    <n v="0"/>
    <n v="230.7"/>
  </r>
  <r>
    <n v="21023770"/>
    <s v="N"/>
    <n v="21330689"/>
    <s v="3000008507410022"/>
    <s v="CIVIL"/>
    <d v="2023-06-29T00:00:00"/>
    <d v="2023-07-05T19:01:47"/>
    <m/>
    <d v="2023-07-05T00:00:00"/>
    <n v="2024"/>
    <n v="1248"/>
    <s v="21023770"/>
    <s v="21023770"/>
    <m/>
    <m/>
    <n v="22790290"/>
    <m/>
    <m/>
    <m/>
    <s v="SOLINT"/>
    <s v="SOLINT"/>
    <s v="CCMS"/>
    <n v="21330689"/>
    <n v="22300.73"/>
    <m/>
    <s v="N"/>
    <n v="249"/>
    <d v="2023-07-05T19:01:52"/>
    <s v="Y"/>
    <s v="Preparation - drafting instructions"/>
    <s v="VHCC"/>
    <s v="Profit Cost"/>
    <s v="BM-25"/>
    <s v="Y"/>
    <n v="96.53"/>
    <n v="19.31"/>
    <x v="6"/>
    <s v="VALIDATED"/>
    <n v="1"/>
    <s v="01.11.80.302.6100.0000"/>
    <n v="96.53"/>
    <s v="11"/>
    <s v="6100"/>
    <n v="21904.93"/>
    <n v="96.53"/>
    <s v="CREDITOR"/>
    <n v="0"/>
    <n v="0"/>
    <n v="0"/>
    <n v="0"/>
    <n v="96.53"/>
  </r>
  <r>
    <n v="21023770"/>
    <s v="N"/>
    <n v="21330689"/>
    <s v="3000008507410022"/>
    <s v="CIVIL"/>
    <d v="2023-06-29T00:00:00"/>
    <d v="2023-07-05T19:01:47"/>
    <m/>
    <d v="2023-07-05T00:00:00"/>
    <n v="2024"/>
    <n v="1248"/>
    <s v="21023770"/>
    <s v="21023770"/>
    <m/>
    <m/>
    <n v="22790290"/>
    <m/>
    <m/>
    <m/>
    <s v="SOLINT"/>
    <s v="SOLINT"/>
    <s v="CCMS"/>
    <n v="21330689"/>
    <n v="22300.73"/>
    <m/>
    <s v="N"/>
    <n v="2"/>
    <d v="2023-07-05T19:01:52"/>
    <s v="N"/>
    <s v="Preparation - other"/>
    <s v="VHCC"/>
    <s v="Profit Cost"/>
    <s v="KBE-25"/>
    <s v="N"/>
    <n v="0.48"/>
    <n v="0.1"/>
    <x v="6"/>
    <s v="VALIDATED"/>
    <n v="1"/>
    <s v="01.11.80.302.6100.0000"/>
    <n v="0.48"/>
    <s v="11"/>
    <s v="6100"/>
    <n v="21904.93"/>
    <n v="0.48"/>
    <s v="CREDITOR"/>
    <n v="0"/>
    <n v="0"/>
    <n v="0"/>
    <n v="0"/>
    <n v="0.48"/>
  </r>
  <r>
    <n v="21023770"/>
    <s v="N"/>
    <n v="21330689"/>
    <s v="3000008507410022"/>
    <s v="CIVIL"/>
    <d v="2023-06-29T00:00:00"/>
    <d v="2023-07-05T19:01:47"/>
    <m/>
    <d v="2023-07-05T00:00:00"/>
    <n v="2024"/>
    <n v="1248"/>
    <s v="21023770"/>
    <s v="21023770"/>
    <m/>
    <m/>
    <n v="22790290"/>
    <m/>
    <m/>
    <m/>
    <s v="SOLINT"/>
    <s v="SOLINT"/>
    <s v="CCMS"/>
    <n v="21330689"/>
    <n v="22300.73"/>
    <m/>
    <s v="N"/>
    <n v="8"/>
    <d v="2023-07-05T19:01:52"/>
    <s v="Y"/>
    <s v="Attendance upon court"/>
    <s v="VHCC"/>
    <s v="Profit Cost"/>
    <s v="KBE-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14"/>
    <d v="2023-07-05T19:01:52"/>
    <s v="Y"/>
    <s v="Attendance upon client"/>
    <s v="VHCC"/>
    <s v="Profit Cost"/>
    <s v="KBE-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319"/>
    <d v="2023-07-05T19:01:52"/>
    <s v="Y"/>
    <s v="Preparation - other"/>
    <s v="VHCC"/>
    <s v="Profit Cost"/>
    <s v="BM-25"/>
    <s v="Y"/>
    <n v="7.43"/>
    <n v="1.49"/>
    <x v="6"/>
    <s v="VALIDATED"/>
    <n v="1"/>
    <s v="01.11.80.302.6100.0000"/>
    <n v="7.43"/>
    <s v="11"/>
    <s v="6100"/>
    <n v="21904.93"/>
    <n v="7.43"/>
    <s v="CREDITOR"/>
    <n v="0"/>
    <n v="0"/>
    <n v="0"/>
    <n v="0"/>
    <n v="7.43"/>
  </r>
  <r>
    <n v="21023770"/>
    <s v="N"/>
    <n v="21330720"/>
    <s v="3000008507410023"/>
    <s v="CIVIL"/>
    <d v="2023-06-29T00:00:00"/>
    <d v="2023-07-05T19:01:47"/>
    <m/>
    <d v="2023-07-05T00:00:00"/>
    <n v="2024"/>
    <n v="1248"/>
    <s v="21023770"/>
    <s v="21023770"/>
    <m/>
    <m/>
    <n v="22790312"/>
    <m/>
    <m/>
    <m/>
    <s v="SOLINT"/>
    <s v="SOLINT"/>
    <s v="CCMS"/>
    <n v="21330720"/>
    <n v="2175.89"/>
    <m/>
    <s v="N"/>
    <n v="10"/>
    <d v="2023-07-05T19:01:53"/>
    <s v="Y"/>
    <s v="Preparation - drafting attendance n"/>
    <s v="VHCC"/>
    <s v="Profit Cost"/>
    <s v="EW"/>
    <s v="Y"/>
    <n v="5.94"/>
    <n v="1.19"/>
    <x v="6"/>
    <s v="VALIDATED"/>
    <n v="1"/>
    <s v="01.11.80.302.6100.0000"/>
    <n v="5.94"/>
    <s v="11"/>
    <s v="6100"/>
    <n v="21904.93"/>
    <n v="5.94"/>
    <s v="CREDITOR"/>
    <n v="0"/>
    <n v="0"/>
    <n v="0"/>
    <n v="0"/>
    <n v="5.94"/>
  </r>
  <r>
    <n v="60616722"/>
    <s v="N"/>
    <n v="21360256"/>
    <s v="3000014869950015"/>
    <s v="CIVIL"/>
    <d v="2023-06-29T00:00:00"/>
    <d v="2023-07-11T11:50:54"/>
    <m/>
    <d v="2023-07-11T00:00:00"/>
    <n v="2024"/>
    <n v="1248"/>
    <s v="60616722"/>
    <s v="60616722"/>
    <m/>
    <m/>
    <n v="22789672"/>
    <m/>
    <m/>
    <m/>
    <s v="SOLFIN"/>
    <s v="SOLFIN"/>
    <s v="CCMS"/>
    <n v="21360256"/>
    <n v="13584.79"/>
    <m/>
    <s v="N"/>
    <n v="13"/>
    <d v="2023-07-11T11:50:59"/>
    <s v="Y"/>
    <s v="Hearing Unit 2.31 - 5.00 Hours"/>
    <s v="Public Law Children"/>
    <s v="Advocacy"/>
    <s v="OC"/>
    <s v="Y"/>
    <n v="476.92"/>
    <n v="95.38"/>
    <x v="7"/>
    <s v="VALIDATED"/>
    <n v="1"/>
    <s v="01.11.80.308.6100.0000"/>
    <n v="476.92"/>
    <s v="11"/>
    <s v="6100"/>
    <n v="21904.93"/>
    <n v="476.92"/>
    <s v="CREDITOR"/>
    <n v="0"/>
    <n v="0"/>
    <n v="0"/>
    <n v="0"/>
    <n v="476.92"/>
  </r>
  <r>
    <n v="21023770"/>
    <s v="N"/>
    <n v="21330720"/>
    <s v="3000008507410023"/>
    <s v="CIVIL"/>
    <d v="2023-06-29T00:00:00"/>
    <d v="2023-07-05T19:01:47"/>
    <m/>
    <d v="2023-07-05T00:00:00"/>
    <n v="2024"/>
    <n v="1248"/>
    <s v="21023770"/>
    <s v="21023770"/>
    <m/>
    <m/>
    <n v="22790312"/>
    <m/>
    <m/>
    <m/>
    <s v="SOLINT"/>
    <s v="SOLINT"/>
    <s v="CCMS"/>
    <n v="21330720"/>
    <n v="2175.89"/>
    <m/>
    <s v="N"/>
    <n v="6"/>
    <d v="2023-07-05T19:01:53"/>
    <s v="Y"/>
    <s v="Preparation - other"/>
    <s v="VHCC"/>
    <s v="Profit Cost"/>
    <s v="EW-25"/>
    <s v="Y"/>
    <n v="29.7"/>
    <n v="5.94"/>
    <x v="6"/>
    <s v="VALIDATED"/>
    <n v="1"/>
    <s v="01.11.80.302.6100.0000"/>
    <n v="29.7"/>
    <s v="11"/>
    <s v="6100"/>
    <n v="21904.93"/>
    <n v="29.7"/>
    <s v="CREDITOR"/>
    <n v="0"/>
    <n v="0"/>
    <n v="0"/>
    <n v="0"/>
    <n v="29.7"/>
  </r>
  <r>
    <n v="21023770"/>
    <s v="N"/>
    <n v="21330720"/>
    <s v="3000008507410023"/>
    <s v="CIVIL"/>
    <d v="2023-06-29T00:00:00"/>
    <d v="2023-07-05T19:01:47"/>
    <m/>
    <d v="2023-07-05T00:00:00"/>
    <n v="2024"/>
    <n v="1248"/>
    <s v="21023770"/>
    <s v="21023770"/>
    <m/>
    <m/>
    <n v="22790312"/>
    <m/>
    <m/>
    <m/>
    <s v="SOLINT"/>
    <s v="SOLINT"/>
    <s v="CCMS"/>
    <n v="21330720"/>
    <n v="2175.89"/>
    <m/>
    <s v="N"/>
    <n v="26"/>
    <d v="2023-07-05T19:01:53"/>
    <s v="Y"/>
    <s v="Preparation - drafting attendance n"/>
    <s v="VHCC"/>
    <s v="Profit Cost"/>
    <s v="EW"/>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79"/>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80"/>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78"/>
    <d v="2023-07-05T19:01:52"/>
    <s v="Y"/>
    <s v="Attendance upon client"/>
    <s v="VHCC"/>
    <s v="Profit Cost"/>
    <s v="BM-25"/>
    <s v="Y"/>
    <n v="51.98"/>
    <n v="10.4"/>
    <x v="6"/>
    <s v="VALIDATED"/>
    <n v="1"/>
    <s v="01.11.80.302.6100.0000"/>
    <n v="51.98"/>
    <s v="11"/>
    <s v="6100"/>
    <n v="21904.93"/>
    <n v="51.98"/>
    <s v="CREDITOR"/>
    <n v="0"/>
    <n v="0"/>
    <n v="0"/>
    <n v="0"/>
    <n v="51.98"/>
  </r>
  <r>
    <n v="60616722"/>
    <s v="N"/>
    <n v="21360256"/>
    <s v="3000014869950015"/>
    <s v="CIVIL"/>
    <d v="2023-06-29T00:00:00"/>
    <d v="2023-07-11T11:50:54"/>
    <m/>
    <d v="2023-07-11T00:00:00"/>
    <n v="2024"/>
    <n v="1248"/>
    <s v="60616722"/>
    <s v="60616722"/>
    <m/>
    <m/>
    <n v="22789672"/>
    <m/>
    <m/>
    <m/>
    <s v="SOLFIN"/>
    <s v="SOLFIN"/>
    <s v="CCMS"/>
    <n v="21360256"/>
    <n v="13584.79"/>
    <m/>
    <s v="N"/>
    <n v="12"/>
    <d v="2023-07-11T11:50:59"/>
    <s v="Y"/>
    <s v="Advocates Meeting"/>
    <s v="Public Law Children"/>
    <s v="Advocacy"/>
    <s v="OC"/>
    <s v="Y"/>
    <n v="140.99"/>
    <n v="28.2"/>
    <x v="7"/>
    <s v="VALIDATED"/>
    <n v="1"/>
    <s v="01.11.80.308.6100.0000"/>
    <n v="140.99"/>
    <s v="11"/>
    <s v="6100"/>
    <n v="21904.93"/>
    <n v="140.99"/>
    <s v="CREDITOR"/>
    <n v="0"/>
    <n v="0"/>
    <n v="0"/>
    <n v="0"/>
    <n v="140.99"/>
  </r>
  <r>
    <n v="21023770"/>
    <s v="N"/>
    <n v="21330720"/>
    <s v="3000008507410023"/>
    <s v="CIVIL"/>
    <d v="2023-06-29T00:00:00"/>
    <d v="2023-07-05T19:01:47"/>
    <m/>
    <d v="2023-07-05T00:00:00"/>
    <n v="2024"/>
    <n v="1248"/>
    <s v="21023770"/>
    <s v="21023770"/>
    <m/>
    <m/>
    <n v="22790312"/>
    <m/>
    <m/>
    <m/>
    <s v="SOLINT"/>
    <s v="SOLINT"/>
    <s v="CCMS"/>
    <n v="21330720"/>
    <n v="2175.89"/>
    <m/>
    <s v="N"/>
    <n v="12"/>
    <d v="2023-07-05T19:01:53"/>
    <s v="Y"/>
    <s v="Preparation - other"/>
    <s v="VHCC"/>
    <s v="Profit Cost"/>
    <s v="EW-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237"/>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20"/>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77"/>
    <d v="2023-07-05T19:01:52"/>
    <s v="Y"/>
    <s v="Preparation - other"/>
    <s v="VHCC"/>
    <s v="Profit Cost"/>
    <s v="NK-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323"/>
    <d v="2023-07-05T19:01:52"/>
    <s v="Y"/>
    <s v="Preparation - drafting attendance n"/>
    <s v="VHCC"/>
    <s v="Profit Cost"/>
    <s v="BM"/>
    <s v="Y"/>
    <n v="5.94"/>
    <n v="1.19"/>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14"/>
    <d v="2023-07-05T19:01:53"/>
    <s v="Y"/>
    <s v="Preparation - other"/>
    <s v="VHCC"/>
    <s v="Profit Cost"/>
    <s v="EW-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331"/>
    <d v="2023-07-05T19:01:52"/>
    <s v="Y"/>
    <s v="Attendance upon other"/>
    <s v="VHCC"/>
    <s v="Profit Cost"/>
    <s v="EW"/>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89"/>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70"/>
    <d v="2023-07-05T19:01:52"/>
    <s v="Y"/>
    <s v="Attendance upon client"/>
    <s v="VHCC"/>
    <s v="Profit Cost"/>
    <s v="BM-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82"/>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12"/>
    <d v="2023-07-05T19:01:52"/>
    <s v="Y"/>
    <s v="Attendance upon Counsel"/>
    <s v="VHCC"/>
    <s v="Profit Cost"/>
    <s v="BM-25"/>
    <s v="Y"/>
    <n v="19.44"/>
    <n v="3.89"/>
    <x v="6"/>
    <s v="VALIDATED"/>
    <n v="1"/>
    <s v="01.11.80.302.6100.0000"/>
    <n v="19.44"/>
    <s v="11"/>
    <s v="6100"/>
    <n v="21904.93"/>
    <n v="19.44"/>
    <s v="CREDITOR"/>
    <n v="0"/>
    <n v="0"/>
    <n v="0"/>
    <n v="0"/>
    <n v="19.44"/>
  </r>
  <r>
    <n v="21023770"/>
    <s v="N"/>
    <n v="21330689"/>
    <s v="3000008507410022"/>
    <s v="CIVIL"/>
    <d v="2023-06-29T00:00:00"/>
    <d v="2023-07-05T19:01:47"/>
    <m/>
    <d v="2023-07-05T00:00:00"/>
    <n v="2024"/>
    <n v="1248"/>
    <s v="21023770"/>
    <s v="21023770"/>
    <m/>
    <m/>
    <n v="22790290"/>
    <m/>
    <m/>
    <m/>
    <s v="SOLINT"/>
    <s v="SOLINT"/>
    <s v="CCMS"/>
    <n v="21330689"/>
    <n v="22300.73"/>
    <m/>
    <s v="N"/>
    <n v="240"/>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55"/>
    <d v="2023-07-05T19:01:52"/>
    <s v="Y"/>
    <s v="Preparation - other"/>
    <s v="VHCC"/>
    <s v="Profit Cost"/>
    <s v="BM"/>
    <s v="Y"/>
    <n v="23.76"/>
    <n v="4.75"/>
    <x v="6"/>
    <s v="VALIDATED"/>
    <n v="1"/>
    <s v="01.11.80.302.6100.0000"/>
    <n v="23.76"/>
    <s v="11"/>
    <s v="6100"/>
    <n v="21904.93"/>
    <n v="23.76"/>
    <s v="CREDITOR"/>
    <n v="0"/>
    <n v="0"/>
    <n v="0"/>
    <n v="0"/>
    <n v="23.76"/>
  </r>
  <r>
    <n v="21023770"/>
    <s v="N"/>
    <n v="21330689"/>
    <s v="3000008507410022"/>
    <s v="CIVIL"/>
    <d v="2023-06-29T00:00:00"/>
    <d v="2023-07-05T19:01:47"/>
    <m/>
    <d v="2023-07-05T00:00:00"/>
    <n v="2024"/>
    <n v="1248"/>
    <s v="21023770"/>
    <s v="21023770"/>
    <m/>
    <m/>
    <n v="22790290"/>
    <m/>
    <m/>
    <m/>
    <s v="SOLINT"/>
    <s v="SOLINT"/>
    <s v="CCMS"/>
    <n v="21330689"/>
    <n v="22300.73"/>
    <m/>
    <s v="N"/>
    <n v="20"/>
    <d v="2023-07-05T19:01:52"/>
    <s v="Y"/>
    <s v="Attendance upon client"/>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32"/>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81"/>
    <d v="2023-07-05T19:01:52"/>
    <s v="Y"/>
    <s v="Preparation - other"/>
    <s v="VHCC"/>
    <s v="Profit Cost"/>
    <s v="NK"/>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334"/>
    <d v="2023-07-05T19:01:52"/>
    <s v="Y"/>
    <s v="Preparation - drafting bill/claim f"/>
    <s v="VHCC"/>
    <s v="Profit Cost"/>
    <s v="CD"/>
    <s v="Y"/>
    <n v="1384.02"/>
    <n v="276.85"/>
    <x v="6"/>
    <s v="VALIDATED"/>
    <n v="1"/>
    <s v="01.11.80.302.6100.0000"/>
    <n v="1384.02"/>
    <s v="11"/>
    <s v="6100"/>
    <n v="21904.93"/>
    <n v="1384.02"/>
    <s v="CREDITOR"/>
    <n v="0"/>
    <n v="0"/>
    <n v="0"/>
    <n v="0"/>
    <n v="1384.02"/>
  </r>
  <r>
    <n v="21023770"/>
    <s v="N"/>
    <n v="21330689"/>
    <s v="3000008507410022"/>
    <s v="CIVIL"/>
    <d v="2023-06-29T00:00:00"/>
    <d v="2023-07-05T19:01:47"/>
    <m/>
    <d v="2023-07-05T00:00:00"/>
    <n v="2024"/>
    <n v="1248"/>
    <s v="21023770"/>
    <s v="21023770"/>
    <m/>
    <m/>
    <n v="22790290"/>
    <m/>
    <m/>
    <m/>
    <s v="SOLINT"/>
    <s v="SOLINT"/>
    <s v="CCMS"/>
    <n v="21330689"/>
    <n v="22300.73"/>
    <m/>
    <s v="N"/>
    <n v="339"/>
    <d v="2023-07-05T19:01:52"/>
    <s v="Y"/>
    <s v="Item - Routine Outgoing letter"/>
    <s v="VHCC"/>
    <s v="Profit Cost"/>
    <s v="KBE"/>
    <s v="Y"/>
    <n v="4795.2"/>
    <n v="958.9"/>
    <x v="6"/>
    <s v="VALIDATED"/>
    <n v="1"/>
    <s v="01.11.80.302.6100.0000"/>
    <n v="4795.2"/>
    <s v="11"/>
    <s v="6100"/>
    <n v="21904.93"/>
    <n v="4795.2"/>
    <s v="CREDITOR"/>
    <n v="0"/>
    <n v="0"/>
    <n v="0"/>
    <n v="0"/>
    <n v="4795.2"/>
  </r>
  <r>
    <n v="21023770"/>
    <s v="N"/>
    <n v="21330689"/>
    <s v="3000008507410022"/>
    <s v="CIVIL"/>
    <d v="2023-06-29T00:00:00"/>
    <d v="2023-07-05T19:01:47"/>
    <m/>
    <d v="2023-07-05T00:00:00"/>
    <n v="2024"/>
    <n v="1248"/>
    <s v="21023770"/>
    <s v="21023770"/>
    <m/>
    <m/>
    <n v="22790290"/>
    <m/>
    <m/>
    <m/>
    <s v="SOLINT"/>
    <s v="SOLINT"/>
    <s v="CCMS"/>
    <n v="21330689"/>
    <n v="22300.73"/>
    <m/>
    <s v="N"/>
    <n v="108"/>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08"/>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82"/>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73"/>
    <d v="2023-07-05T19:01:52"/>
    <s v="Y"/>
    <s v="Preparation - other"/>
    <s v="VHCC"/>
    <s v="Profit Cost"/>
    <s v="BM-25"/>
    <s v="Y"/>
    <n v="59.4"/>
    <n v="11.88"/>
    <x v="6"/>
    <s v="VALIDATED"/>
    <n v="1"/>
    <s v="01.11.80.302.6100.0000"/>
    <n v="59.4"/>
    <s v="11"/>
    <s v="6100"/>
    <n v="21904.93"/>
    <n v="59.4"/>
    <s v="CREDITOR"/>
    <n v="0"/>
    <n v="0"/>
    <n v="0"/>
    <n v="0"/>
    <n v="59.4"/>
  </r>
  <r>
    <n v="61707711"/>
    <s v="N"/>
    <n v="21324036"/>
    <s v="3000015721470009"/>
    <s v="CIVIL"/>
    <d v="2023-06-30T00:00:00"/>
    <d v="2023-07-03T19:05:56"/>
    <m/>
    <d v="2023-07-03T00:00:00"/>
    <n v="2024"/>
    <n v="1248"/>
    <s v="61707711"/>
    <s v="61707711"/>
    <m/>
    <m/>
    <n v="22799250"/>
    <m/>
    <m/>
    <m/>
    <s v="SOLPOA"/>
    <s v="SOLPOA"/>
    <s v="CCMS"/>
    <n v="21324036"/>
    <n v="40.8"/>
    <m/>
    <s v="N"/>
    <n v="1"/>
    <d v="2023-07-03T19:06:00"/>
    <s v="N"/>
    <s v="Expert Cost"/>
    <s v="Expert Cost"/>
    <s v="Expert Disbursement"/>
    <s v="Atkinson Lewis"/>
    <s v="N"/>
    <n v="34"/>
    <n v="6.8"/>
    <x v="3"/>
    <s v="VALIDATED"/>
    <n v="1"/>
    <s v="01.11.80.305.2012.0000"/>
    <n v="34"/>
    <s v="11"/>
    <s v="2012"/>
    <n v="21904.93"/>
    <n v="34"/>
    <s v="CREDITOR"/>
    <n v="34"/>
    <n v="0"/>
    <n v="0"/>
    <n v="0"/>
    <n v="0"/>
  </r>
  <r>
    <n v="21023770"/>
    <s v="N"/>
    <n v="21330720"/>
    <s v="3000008507410023"/>
    <s v="CIVIL"/>
    <d v="2023-06-29T00:00:00"/>
    <d v="2023-07-05T19:01:47"/>
    <m/>
    <d v="2023-07-05T00:00:00"/>
    <n v="2024"/>
    <n v="1248"/>
    <s v="21023770"/>
    <s v="21023770"/>
    <m/>
    <m/>
    <n v="22790312"/>
    <m/>
    <m/>
    <m/>
    <s v="SOLINT"/>
    <s v="SOLINT"/>
    <s v="CCMS"/>
    <n v="21330720"/>
    <n v="2175.89"/>
    <m/>
    <s v="N"/>
    <n v="47"/>
    <d v="2023-07-05T19:01:53"/>
    <s v="Y"/>
    <s v="Preparation - drafting bill/claim f"/>
    <s v="VHCC"/>
    <s v="Profit Cost"/>
    <s v="JS-P"/>
    <s v="Y"/>
    <n v="20.49"/>
    <n v="4.1"/>
    <x v="6"/>
    <s v="VALIDATED"/>
    <n v="1"/>
    <s v="01.11.80.302.6100.0000"/>
    <n v="20.49"/>
    <s v="11"/>
    <s v="6100"/>
    <n v="21904.93"/>
    <n v="20.49"/>
    <s v="CREDITOR"/>
    <n v="0"/>
    <n v="0"/>
    <n v="0"/>
    <n v="0"/>
    <n v="20.49"/>
  </r>
  <r>
    <n v="21023770"/>
    <s v="N"/>
    <n v="21330689"/>
    <s v="3000008507410022"/>
    <s v="CIVIL"/>
    <d v="2023-06-29T00:00:00"/>
    <d v="2023-07-05T19:01:47"/>
    <m/>
    <d v="2023-07-05T00:00:00"/>
    <n v="2024"/>
    <n v="1248"/>
    <s v="21023770"/>
    <s v="21023770"/>
    <m/>
    <m/>
    <n v="22790290"/>
    <m/>
    <m/>
    <m/>
    <s v="SOLINT"/>
    <s v="SOLINT"/>
    <s v="CCMS"/>
    <n v="21330689"/>
    <n v="22300.73"/>
    <m/>
    <s v="N"/>
    <n v="54"/>
    <d v="2023-07-05T19:01:52"/>
    <s v="Y"/>
    <s v="Preparation - other"/>
    <s v="VHCC"/>
    <s v="Profit Cost"/>
    <s v="OD-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80"/>
    <d v="2023-07-05T19:01:52"/>
    <s v="Y"/>
    <s v="Preparation - other"/>
    <s v="VHCC"/>
    <s v="Profit Cost"/>
    <s v="NK"/>
    <s v="Y"/>
    <n v="35.64"/>
    <n v="7.13"/>
    <x v="6"/>
    <s v="VALIDATED"/>
    <n v="1"/>
    <s v="01.11.80.302.6100.0000"/>
    <n v="35.64"/>
    <s v="11"/>
    <s v="6100"/>
    <n v="21904.93"/>
    <n v="35.64"/>
    <s v="CREDITOR"/>
    <n v="0"/>
    <n v="0"/>
    <n v="0"/>
    <n v="0"/>
    <n v="35.64"/>
  </r>
  <r>
    <n v="21023770"/>
    <s v="N"/>
    <n v="21330720"/>
    <s v="3000008507410023"/>
    <s v="CIVIL"/>
    <d v="2023-06-29T00:00:00"/>
    <d v="2023-07-05T19:01:47"/>
    <m/>
    <d v="2023-07-05T00:00:00"/>
    <n v="2024"/>
    <n v="1248"/>
    <s v="21023770"/>
    <s v="21023770"/>
    <m/>
    <m/>
    <n v="22790312"/>
    <m/>
    <m/>
    <m/>
    <s v="SOLINT"/>
    <s v="SOLINT"/>
    <s v="CCMS"/>
    <n v="21330720"/>
    <n v="2175.89"/>
    <m/>
    <s v="N"/>
    <n v="35"/>
    <d v="2023-07-05T19:01:53"/>
    <s v="Y"/>
    <s v="Preparation - other"/>
    <s v="VHCC"/>
    <s v="Profit Cost"/>
    <s v="EW"/>
    <s v="Y"/>
    <n v="59.4"/>
    <n v="11.88"/>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97"/>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81"/>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46"/>
    <d v="2023-07-05T19:01:52"/>
    <s v="N"/>
    <m/>
    <m/>
    <s v="Overall Adjustment"/>
    <m/>
    <s v="N"/>
    <n v="-0.48"/>
    <n v="-0.1"/>
    <x v="6"/>
    <s v="VALIDATED"/>
    <n v="1"/>
    <s v="01.11.80.302.6100.0000"/>
    <n v="-0.48"/>
    <s v="11"/>
    <s v="6100"/>
    <n v="21904.93"/>
    <n v="-0.48"/>
    <s v="CREDITOR"/>
    <n v="0"/>
    <n v="0"/>
    <n v="0"/>
    <n v="0"/>
    <n v="-0.48"/>
  </r>
  <r>
    <n v="21023770"/>
    <s v="N"/>
    <n v="21330689"/>
    <s v="3000008507410022"/>
    <s v="CIVIL"/>
    <d v="2023-06-29T00:00:00"/>
    <d v="2023-07-05T19:01:47"/>
    <m/>
    <d v="2023-07-05T00:00:00"/>
    <n v="2024"/>
    <n v="1248"/>
    <s v="21023770"/>
    <s v="21023770"/>
    <m/>
    <m/>
    <n v="22790290"/>
    <m/>
    <m/>
    <m/>
    <s v="SOLINT"/>
    <s v="SOLINT"/>
    <s v="CCMS"/>
    <n v="21330689"/>
    <n v="22300.73"/>
    <m/>
    <s v="N"/>
    <n v="5"/>
    <d v="2023-07-05T19:01:52"/>
    <s v="Y"/>
    <s v="Preparation - drafting application"/>
    <s v="VHCC"/>
    <s v="Profit Cost"/>
    <s v="KBE-25"/>
    <s v="Y"/>
    <n v="185.63"/>
    <n v="37.13"/>
    <x v="6"/>
    <s v="VALIDATED"/>
    <n v="1"/>
    <s v="01.11.80.302.6100.0000"/>
    <n v="185.63"/>
    <s v="11"/>
    <s v="6100"/>
    <n v="21904.93"/>
    <n v="185.63"/>
    <s v="CREDITOR"/>
    <n v="0"/>
    <n v="0"/>
    <n v="0"/>
    <n v="0"/>
    <n v="185.63"/>
  </r>
  <r>
    <n v="21023770"/>
    <s v="N"/>
    <n v="21330689"/>
    <s v="3000008507410022"/>
    <s v="CIVIL"/>
    <d v="2023-06-29T00:00:00"/>
    <d v="2023-07-05T19:01:47"/>
    <m/>
    <d v="2023-07-05T00:00:00"/>
    <n v="2024"/>
    <n v="1248"/>
    <s v="21023770"/>
    <s v="21023770"/>
    <m/>
    <m/>
    <n v="22790290"/>
    <m/>
    <m/>
    <m/>
    <s v="SOLINT"/>
    <s v="SOLINT"/>
    <s v="CCMS"/>
    <n v="21330689"/>
    <n v="22300.73"/>
    <m/>
    <s v="N"/>
    <n v="275"/>
    <d v="2023-07-05T19:01:52"/>
    <s v="Y"/>
    <s v="Attendance upon Counsel"/>
    <s v="VHCC"/>
    <s v="Profit Cost"/>
    <s v="BM"/>
    <s v="Y"/>
    <n v="48.6"/>
    <n v="9.720000000000001"/>
    <x v="6"/>
    <s v="VALIDATED"/>
    <n v="1"/>
    <s v="01.11.80.302.6100.0000"/>
    <n v="48.6"/>
    <s v="11"/>
    <s v="6100"/>
    <n v="21904.93"/>
    <n v="48.6"/>
    <s v="CREDITOR"/>
    <n v="0"/>
    <n v="0"/>
    <n v="0"/>
    <n v="0"/>
    <n v="48.6"/>
  </r>
  <r>
    <n v="21023770"/>
    <s v="N"/>
    <n v="21330689"/>
    <s v="3000008507410022"/>
    <s v="CIVIL"/>
    <d v="2023-06-29T00:00:00"/>
    <d v="2023-07-05T19:01:47"/>
    <m/>
    <d v="2023-07-05T00:00:00"/>
    <n v="2024"/>
    <n v="1248"/>
    <s v="21023770"/>
    <s v="21023770"/>
    <m/>
    <m/>
    <n v="22790290"/>
    <m/>
    <m/>
    <m/>
    <s v="SOLINT"/>
    <s v="SOLINT"/>
    <s v="CCMS"/>
    <n v="21330689"/>
    <n v="22300.73"/>
    <m/>
    <s v="N"/>
    <n v="306"/>
    <d v="2023-07-05T19:01:52"/>
    <s v="Y"/>
    <s v="Preparation - other"/>
    <s v="VHCC"/>
    <s v="Profit Cost"/>
    <s v="BM"/>
    <s v="Y"/>
    <n v="23.76"/>
    <n v="4.75"/>
    <x v="6"/>
    <s v="VALIDATED"/>
    <n v="1"/>
    <s v="01.11.80.302.6100.0000"/>
    <n v="23.76"/>
    <s v="11"/>
    <s v="6100"/>
    <n v="21904.93"/>
    <n v="23.76"/>
    <s v="CREDITOR"/>
    <n v="0"/>
    <n v="0"/>
    <n v="0"/>
    <n v="0"/>
    <n v="23.76"/>
  </r>
  <r>
    <n v="21023770"/>
    <s v="N"/>
    <n v="21330689"/>
    <s v="3000008507410022"/>
    <s v="CIVIL"/>
    <d v="2023-06-29T00:00:00"/>
    <d v="2023-07-05T19:01:47"/>
    <m/>
    <d v="2023-07-05T00:00:00"/>
    <n v="2024"/>
    <n v="1248"/>
    <s v="21023770"/>
    <s v="21023770"/>
    <m/>
    <m/>
    <n v="22790290"/>
    <m/>
    <m/>
    <m/>
    <s v="SOLINT"/>
    <s v="SOLINT"/>
    <s v="CCMS"/>
    <n v="21330689"/>
    <n v="22300.73"/>
    <m/>
    <s v="N"/>
    <n v="164"/>
    <d v="2023-07-05T19:01:52"/>
    <s v="Y"/>
    <s v="Preparation - other"/>
    <s v="VHCC"/>
    <s v="Profit Cost"/>
    <s v="NK"/>
    <s v="Y"/>
    <n v="11.88"/>
    <n v="2.38"/>
    <x v="6"/>
    <s v="VALIDATED"/>
    <n v="1"/>
    <s v="01.11.80.302.6100.0000"/>
    <n v="11.88"/>
    <s v="11"/>
    <s v="6100"/>
    <n v="21904.93"/>
    <n v="11.88"/>
    <s v="CREDITOR"/>
    <n v="0"/>
    <n v="0"/>
    <n v="0"/>
    <n v="0"/>
    <n v="11.88"/>
  </r>
  <r>
    <n v="60111297"/>
    <s v="N"/>
    <n v="21382564"/>
    <s v="3000014438350006"/>
    <s v="CIVIL"/>
    <d v="2023-06-09T00:00:00"/>
    <d v="2023-07-17T19:01:46"/>
    <m/>
    <d v="2023-07-17T00:00:00"/>
    <n v="2024"/>
    <n v="1248"/>
    <s v="60111297"/>
    <s v="60111297"/>
    <m/>
    <m/>
    <n v="22661122"/>
    <m/>
    <m/>
    <m/>
    <s v="SOLFIN"/>
    <s v="SOLFIN"/>
    <s v="CCMS"/>
    <n v="21382564"/>
    <n v="8480.219999999999"/>
    <m/>
    <s v="N"/>
    <n v="2"/>
    <d v="2023-07-17T19:02:16"/>
    <s v="Y"/>
    <s v="Profit Costs (Summary)"/>
    <s v="Prescribed Hourly Rates"/>
    <s v="Profit Cost"/>
    <s v="BM"/>
    <s v="Y"/>
    <n v="1083.16"/>
    <n v="216.63"/>
    <x v="8"/>
    <s v="VALIDATED"/>
    <n v="1"/>
    <s v="01.11.80.302.6100.0000"/>
    <n v="1083.16"/>
    <s v="11"/>
    <s v="6100"/>
    <n v="21904.93"/>
    <n v="1083.16"/>
    <s v="CREDITOR"/>
    <n v="0"/>
    <n v="0"/>
    <n v="0"/>
    <n v="0"/>
    <n v="1083.16"/>
  </r>
  <r>
    <n v="21023770"/>
    <s v="N"/>
    <n v="21330689"/>
    <s v="3000008507410022"/>
    <s v="CIVIL"/>
    <d v="2023-06-29T00:00:00"/>
    <d v="2023-07-05T19:01:47"/>
    <m/>
    <d v="2023-07-05T00:00:00"/>
    <n v="2024"/>
    <n v="1248"/>
    <s v="21023770"/>
    <s v="21023770"/>
    <m/>
    <m/>
    <n v="22790290"/>
    <m/>
    <m/>
    <m/>
    <s v="SOLINT"/>
    <s v="SOLINT"/>
    <s v="CCMS"/>
    <n v="21330689"/>
    <n v="22300.73"/>
    <m/>
    <s v="N"/>
    <n v="325"/>
    <d v="2023-07-05T19:01:52"/>
    <s v="Y"/>
    <s v="Preparation - drafting attendance n"/>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17"/>
    <d v="2023-07-05T19:01:52"/>
    <s v="Y"/>
    <s v="Preparation - other"/>
    <s v="VHCC"/>
    <s v="Profit Cost"/>
    <s v="BM"/>
    <s v="Y"/>
    <n v="11.88"/>
    <n v="2.38"/>
    <x v="6"/>
    <s v="VALIDATED"/>
    <n v="1"/>
    <s v="01.11.80.302.6100.0000"/>
    <n v="11.88"/>
    <s v="11"/>
    <s v="6100"/>
    <n v="21904.93"/>
    <n v="11.88"/>
    <s v="CREDITOR"/>
    <n v="0"/>
    <n v="0"/>
    <n v="0"/>
    <n v="0"/>
    <n v="11.88"/>
  </r>
  <r>
    <n v="21023770"/>
    <s v="N"/>
    <n v="21330720"/>
    <s v="3000008507410023"/>
    <s v="CIVIL"/>
    <d v="2023-06-29T00:00:00"/>
    <d v="2023-07-05T19:01:47"/>
    <m/>
    <d v="2023-07-05T00:00:00"/>
    <n v="2024"/>
    <n v="1248"/>
    <s v="21023770"/>
    <s v="21023770"/>
    <m/>
    <m/>
    <n v="22790312"/>
    <m/>
    <m/>
    <m/>
    <s v="SOLINT"/>
    <s v="SOLINT"/>
    <s v="CCMS"/>
    <n v="21330720"/>
    <n v="2175.89"/>
    <m/>
    <s v="N"/>
    <n v="22"/>
    <d v="2023-07-05T19:01:53"/>
    <s v="Y"/>
    <s v="Preparation - other"/>
    <s v="VHCC"/>
    <s v="Profit Cost"/>
    <s v="EW-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87"/>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241"/>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44"/>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3"/>
    <d v="2023-07-05T19:01:52"/>
    <s v="Y"/>
    <s v="Attendance upon client"/>
    <s v="VHCC"/>
    <s v="Profit Cost"/>
    <s v="KBE-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4"/>
    <d v="2023-07-05T19:01:52"/>
    <s v="Y"/>
    <s v="Preparation - other"/>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10"/>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62"/>
    <d v="2023-07-05T19:01:52"/>
    <s v="Y"/>
    <s v="Preparation - other"/>
    <s v="VHCC"/>
    <s v="Profit Cost"/>
    <s v="NK"/>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342"/>
    <d v="2023-07-05T19:01:52"/>
    <s v="Y"/>
    <s v="Court Fee"/>
    <s v="VHCC"/>
    <s v="Non Expert Disbursement"/>
    <s v="JS"/>
    <s v="Y"/>
    <n v="155"/>
    <n v="0"/>
    <x v="6"/>
    <s v="VALIDATED"/>
    <n v="1"/>
    <s v="01.11.80.302.6300.0000"/>
    <n v="155"/>
    <s v="11"/>
    <s v="6300"/>
    <n v="21904.93"/>
    <n v="155"/>
    <s v="CREDITOR"/>
    <n v="0"/>
    <n v="0"/>
    <n v="0"/>
    <n v="0"/>
    <n v="155"/>
  </r>
  <r>
    <n v="21023770"/>
    <s v="N"/>
    <n v="21330689"/>
    <s v="3000008507410022"/>
    <s v="CIVIL"/>
    <d v="2023-06-29T00:00:00"/>
    <d v="2023-07-05T19:01:47"/>
    <m/>
    <d v="2023-07-05T00:00:00"/>
    <n v="2024"/>
    <n v="1248"/>
    <s v="21023770"/>
    <s v="21023770"/>
    <m/>
    <m/>
    <n v="22790290"/>
    <m/>
    <m/>
    <m/>
    <s v="SOLINT"/>
    <s v="SOLINT"/>
    <s v="CCMS"/>
    <n v="21330689"/>
    <n v="22300.73"/>
    <m/>
    <s v="N"/>
    <n v="183"/>
    <d v="2023-07-05T19:01:52"/>
    <s v="Y"/>
    <s v="Preparation - drafting statement"/>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204"/>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94"/>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11"/>
    <d v="2023-07-05T19:01:52"/>
    <s v="Y"/>
    <s v="Attendance upon court with counsel"/>
    <s v="VHCC"/>
    <s v="Profit Cost"/>
    <s v="BM"/>
    <s v="Y"/>
    <n v="19.44"/>
    <n v="3.89"/>
    <x v="6"/>
    <s v="VALIDATED"/>
    <n v="1"/>
    <s v="01.11.80.302.6100.0000"/>
    <n v="19.44"/>
    <s v="11"/>
    <s v="6100"/>
    <n v="21904.93"/>
    <n v="19.44"/>
    <s v="CREDITOR"/>
    <n v="0"/>
    <n v="0"/>
    <n v="0"/>
    <n v="0"/>
    <n v="19.44"/>
  </r>
  <r>
    <n v="21023770"/>
    <s v="N"/>
    <n v="21330689"/>
    <s v="3000008507410022"/>
    <s v="CIVIL"/>
    <d v="2023-06-29T00:00:00"/>
    <d v="2023-07-05T19:01:47"/>
    <m/>
    <d v="2023-07-05T00:00:00"/>
    <n v="2024"/>
    <n v="1248"/>
    <s v="21023770"/>
    <s v="21023770"/>
    <m/>
    <m/>
    <n v="22790290"/>
    <m/>
    <m/>
    <m/>
    <s v="SOLINT"/>
    <s v="SOLINT"/>
    <s v="CCMS"/>
    <n v="21330689"/>
    <n v="22300.73"/>
    <m/>
    <s v="N"/>
    <n v="273"/>
    <d v="2023-07-05T19:01:52"/>
    <s v="Y"/>
    <s v="Attendance upon Counsel"/>
    <s v="VHCC"/>
    <s v="Profit Cost"/>
    <s v="BM"/>
    <s v="Y"/>
    <n v="6.48"/>
    <n v="1.3"/>
    <x v="6"/>
    <s v="VALIDATED"/>
    <n v="1"/>
    <s v="01.11.80.302.6100.0000"/>
    <n v="6.48"/>
    <s v="11"/>
    <s v="6100"/>
    <n v="21904.93"/>
    <n v="6.48"/>
    <s v="CREDITOR"/>
    <n v="0"/>
    <n v="0"/>
    <n v="0"/>
    <n v="0"/>
    <n v="6.48"/>
  </r>
  <r>
    <n v="21023770"/>
    <s v="N"/>
    <n v="21330689"/>
    <s v="3000008507410022"/>
    <s v="CIVIL"/>
    <d v="2023-06-29T00:00:00"/>
    <d v="2023-07-05T19:01:47"/>
    <m/>
    <d v="2023-07-05T00:00:00"/>
    <n v="2024"/>
    <n v="1248"/>
    <s v="21023770"/>
    <s v="21023770"/>
    <m/>
    <m/>
    <n v="22790290"/>
    <m/>
    <m/>
    <m/>
    <s v="SOLINT"/>
    <s v="SOLINT"/>
    <s v="CCMS"/>
    <n v="21330689"/>
    <n v="22300.73"/>
    <m/>
    <s v="N"/>
    <n v="316"/>
    <d v="2023-07-05T19:01:52"/>
    <s v="Y"/>
    <s v="Preparation - drafting attendance n"/>
    <s v="VHCC"/>
    <s v="Profit Cost"/>
    <s v="BM"/>
    <s v="Y"/>
    <n v="5.94"/>
    <n v="1.19"/>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39"/>
    <d v="2023-07-05T19:01:53"/>
    <s v="Y"/>
    <s v="Preparation - other"/>
    <s v="VHCC"/>
    <s v="Profit Cost"/>
    <s v="EW-25"/>
    <s v="Y"/>
    <n v="14.85"/>
    <n v="2.97"/>
    <x v="6"/>
    <s v="VALIDATED"/>
    <n v="1"/>
    <s v="01.11.80.302.6100.0000"/>
    <n v="14.85"/>
    <s v="11"/>
    <s v="6100"/>
    <n v="21904.93"/>
    <n v="14.85"/>
    <s v="CREDITOR"/>
    <n v="0"/>
    <n v="0"/>
    <n v="0"/>
    <n v="0"/>
    <n v="14.85"/>
  </r>
  <r>
    <n v="60616722"/>
    <s v="N"/>
    <n v="21360256"/>
    <s v="3000014869950015"/>
    <s v="CIVIL"/>
    <d v="2023-06-29T00:00:00"/>
    <d v="2023-07-11T11:50:54"/>
    <m/>
    <d v="2023-07-11T00:00:00"/>
    <n v="2024"/>
    <n v="1248"/>
    <s v="60616722"/>
    <s v="60616722"/>
    <m/>
    <m/>
    <n v="22789672"/>
    <m/>
    <m/>
    <m/>
    <s v="SOLFIN"/>
    <s v="SOLFIN"/>
    <s v="CCMS"/>
    <n v="21360256"/>
    <n v="13584.79"/>
    <m/>
    <s v="N"/>
    <n v="14"/>
    <d v="2023-07-11T11:50:59"/>
    <s v="Y"/>
    <s v="Advocates Meeting"/>
    <s v="Public Law Children"/>
    <s v="Advocacy"/>
    <s v="OC"/>
    <s v="Y"/>
    <n v="140.99"/>
    <n v="28.2"/>
    <x v="7"/>
    <s v="VALIDATED"/>
    <n v="1"/>
    <s v="01.11.80.308.6100.0000"/>
    <n v="140.99"/>
    <s v="11"/>
    <s v="6100"/>
    <n v="21904.93"/>
    <n v="140.99"/>
    <s v="CREDITOR"/>
    <n v="0"/>
    <n v="0"/>
    <n v="0"/>
    <n v="0"/>
    <n v="140.99"/>
  </r>
  <r>
    <n v="21023770"/>
    <s v="N"/>
    <n v="21330689"/>
    <s v="3000008507410022"/>
    <s v="CIVIL"/>
    <d v="2023-06-29T00:00:00"/>
    <d v="2023-07-05T19:01:47"/>
    <m/>
    <d v="2023-07-05T00:00:00"/>
    <n v="2024"/>
    <n v="1248"/>
    <s v="21023770"/>
    <s v="21023770"/>
    <m/>
    <m/>
    <n v="22790290"/>
    <m/>
    <m/>
    <m/>
    <s v="SOLINT"/>
    <s v="SOLINT"/>
    <s v="CCMS"/>
    <n v="21330689"/>
    <n v="22300.73"/>
    <m/>
    <s v="N"/>
    <n v="190"/>
    <d v="2023-07-05T19:01:52"/>
    <s v="Y"/>
    <s v="Preparation - other"/>
    <s v="VHCC"/>
    <s v="Profit Cost"/>
    <s v="BM-25"/>
    <s v="Y"/>
    <n v="51.98"/>
    <n v="10.4"/>
    <x v="6"/>
    <s v="VALIDATED"/>
    <n v="1"/>
    <s v="01.11.80.302.6100.0000"/>
    <n v="51.98"/>
    <s v="11"/>
    <s v="6100"/>
    <n v="21904.93"/>
    <n v="51.98"/>
    <s v="CREDITOR"/>
    <n v="0"/>
    <n v="0"/>
    <n v="0"/>
    <n v="0"/>
    <n v="51.98"/>
  </r>
  <r>
    <n v="21023770"/>
    <s v="N"/>
    <n v="21330689"/>
    <s v="3000008507410022"/>
    <s v="CIVIL"/>
    <d v="2023-06-29T00:00:00"/>
    <d v="2023-07-05T19:01:47"/>
    <m/>
    <d v="2023-07-05T00:00:00"/>
    <n v="2024"/>
    <n v="1248"/>
    <s v="21023770"/>
    <s v="21023770"/>
    <m/>
    <m/>
    <n v="22790290"/>
    <m/>
    <m/>
    <m/>
    <s v="SOLINT"/>
    <s v="SOLINT"/>
    <s v="CCMS"/>
    <n v="21330689"/>
    <n v="22300.73"/>
    <m/>
    <s v="N"/>
    <n v="216"/>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
    <d v="2023-07-05T19:01:52"/>
    <s v="Y"/>
    <s v="Preparation - other"/>
    <s v="VHCC"/>
    <s v="Profit Cost"/>
    <s v="KBE-25"/>
    <s v="Y"/>
    <n v="14.37"/>
    <n v="2.87"/>
    <x v="6"/>
    <s v="VALIDATED"/>
    <n v="1"/>
    <s v="01.11.80.302.6100.0000"/>
    <n v="14.37"/>
    <s v="11"/>
    <s v="6100"/>
    <n v="21904.93"/>
    <n v="14.37"/>
    <s v="CREDITOR"/>
    <n v="0"/>
    <n v="0"/>
    <n v="0"/>
    <n v="0"/>
    <n v="14.37"/>
  </r>
  <r>
    <n v="21023770"/>
    <s v="N"/>
    <n v="21330689"/>
    <s v="3000008507410022"/>
    <s v="CIVIL"/>
    <d v="2023-06-29T00:00:00"/>
    <d v="2023-07-05T19:01:47"/>
    <m/>
    <d v="2023-07-05T00:00:00"/>
    <n v="2024"/>
    <n v="1248"/>
    <s v="21023770"/>
    <s v="21023770"/>
    <m/>
    <m/>
    <n v="22790290"/>
    <m/>
    <m/>
    <m/>
    <s v="SOLINT"/>
    <s v="SOLINT"/>
    <s v="CCMS"/>
    <n v="21330689"/>
    <n v="22300.73"/>
    <m/>
    <s v="N"/>
    <n v="50"/>
    <d v="2023-07-05T19:01:52"/>
    <s v="Y"/>
    <s v="Attendance upon client"/>
    <s v="VHCC"/>
    <s v="Profit Cost"/>
    <s v="OD-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56"/>
    <d v="2023-07-05T19:01:52"/>
    <s v="Y"/>
    <s v="Preparation - other"/>
    <s v="VHCC"/>
    <s v="Profit Cost"/>
    <s v="OD-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200"/>
    <d v="2023-07-05T19:01:52"/>
    <s v="Y"/>
    <s v="Preparation - other"/>
    <s v="VHCC"/>
    <s v="Profit Cost"/>
    <s v="BM-25"/>
    <s v="Y"/>
    <n v="29.7"/>
    <n v="5.94"/>
    <x v="6"/>
    <s v="VALIDATED"/>
    <n v="1"/>
    <s v="01.11.80.302.6100.0000"/>
    <n v="29.7"/>
    <s v="11"/>
    <s v="6100"/>
    <n v="21904.93"/>
    <n v="29.7"/>
    <s v="CREDITOR"/>
    <n v="0"/>
    <n v="0"/>
    <n v="0"/>
    <n v="0"/>
    <n v="29.7"/>
  </r>
  <r>
    <n v="21023770"/>
    <s v="N"/>
    <n v="21330720"/>
    <s v="3000008507410023"/>
    <s v="CIVIL"/>
    <d v="2023-06-29T00:00:00"/>
    <d v="2023-07-05T19:01:47"/>
    <m/>
    <d v="2023-07-05T00:00:00"/>
    <n v="2024"/>
    <n v="1248"/>
    <s v="21023770"/>
    <s v="21023770"/>
    <m/>
    <m/>
    <n v="22790312"/>
    <m/>
    <m/>
    <m/>
    <s v="SOLINT"/>
    <s v="SOLINT"/>
    <s v="CCMS"/>
    <n v="21330720"/>
    <n v="2175.89"/>
    <m/>
    <s v="N"/>
    <n v="1"/>
    <d v="2023-07-05T19:01:53"/>
    <s v="Y"/>
    <s v="Preparation - other"/>
    <s v="VHCC"/>
    <s v="Profit Cost"/>
    <s v="AF-25"/>
    <s v="Y"/>
    <n v="44.5"/>
    <n v="8.9"/>
    <x v="6"/>
    <s v="VALIDATED"/>
    <n v="1"/>
    <s v="01.11.80.302.6100.0000"/>
    <n v="44.5"/>
    <s v="11"/>
    <s v="6100"/>
    <n v="21904.93"/>
    <n v="44.5"/>
    <s v="CREDITOR"/>
    <n v="0"/>
    <n v="0"/>
    <n v="0"/>
    <n v="0"/>
    <n v="44.5"/>
  </r>
  <r>
    <n v="21023770"/>
    <s v="N"/>
    <n v="21330689"/>
    <s v="3000008507410022"/>
    <s v="CIVIL"/>
    <d v="2023-06-29T00:00:00"/>
    <d v="2023-07-05T19:01:47"/>
    <m/>
    <d v="2023-07-05T00:00:00"/>
    <n v="2024"/>
    <n v="1248"/>
    <s v="21023770"/>
    <s v="21023770"/>
    <m/>
    <m/>
    <n v="22790290"/>
    <m/>
    <m/>
    <m/>
    <s v="SOLINT"/>
    <s v="SOLINT"/>
    <s v="CCMS"/>
    <n v="21330689"/>
    <n v="22300.73"/>
    <m/>
    <s v="N"/>
    <n v="327"/>
    <d v="2023-07-05T19:01:52"/>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22"/>
    <d v="2023-07-05T19:01:52"/>
    <s v="Y"/>
    <s v="Attendance upon Counsel"/>
    <s v="VHCC"/>
    <s v="Profit Cost"/>
    <s v="BM"/>
    <s v="Y"/>
    <n v="16.2"/>
    <n v="3.24"/>
    <x v="6"/>
    <s v="VALIDATED"/>
    <n v="1"/>
    <s v="01.11.80.302.6100.0000"/>
    <n v="16.2"/>
    <s v="11"/>
    <s v="6100"/>
    <n v="21904.93"/>
    <n v="16.2"/>
    <s v="CREDITOR"/>
    <n v="0"/>
    <n v="0"/>
    <n v="0"/>
    <n v="0"/>
    <n v="16.2"/>
  </r>
  <r>
    <n v="21023770"/>
    <s v="N"/>
    <n v="21330689"/>
    <s v="3000008507410022"/>
    <s v="CIVIL"/>
    <d v="2023-06-29T00:00:00"/>
    <d v="2023-07-05T19:01:47"/>
    <m/>
    <d v="2023-07-05T00:00:00"/>
    <n v="2024"/>
    <n v="1248"/>
    <s v="21023770"/>
    <s v="21023770"/>
    <m/>
    <m/>
    <n v="22790290"/>
    <m/>
    <m/>
    <m/>
    <s v="SOLINT"/>
    <s v="SOLINT"/>
    <s v="CCMS"/>
    <n v="21330689"/>
    <n v="22300.73"/>
    <m/>
    <s v="N"/>
    <n v="167"/>
    <d v="2023-07-05T19:01:52"/>
    <s v="Y"/>
    <s v="Preparation - other"/>
    <s v="VHCC"/>
    <s v="Profit Cost"/>
    <s v="NK"/>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95"/>
    <d v="2023-07-05T19:01:52"/>
    <s v="Y"/>
    <s v="Preparation - drafting statement"/>
    <s v="VHCC"/>
    <s v="Profit Cost"/>
    <s v="BM-25"/>
    <s v="Y"/>
    <n v="29.7"/>
    <n v="5.94"/>
    <x v="6"/>
    <s v="VALIDATED"/>
    <n v="1"/>
    <s v="01.11.80.302.6100.0000"/>
    <n v="29.7"/>
    <s v="11"/>
    <s v="6100"/>
    <n v="21904.93"/>
    <n v="29.7"/>
    <s v="CREDITOR"/>
    <n v="0"/>
    <n v="0"/>
    <n v="0"/>
    <n v="0"/>
    <n v="29.7"/>
  </r>
  <r>
    <n v="21023770"/>
    <s v="N"/>
    <n v="21330720"/>
    <s v="3000008507410023"/>
    <s v="CIVIL"/>
    <d v="2023-06-29T00:00:00"/>
    <d v="2023-07-05T19:01:47"/>
    <m/>
    <d v="2023-07-05T00:00:00"/>
    <n v="2024"/>
    <n v="1248"/>
    <s v="21023770"/>
    <s v="21023770"/>
    <m/>
    <m/>
    <n v="22790312"/>
    <m/>
    <m/>
    <m/>
    <s v="SOLINT"/>
    <s v="SOLINT"/>
    <s v="CCMS"/>
    <n v="21330720"/>
    <n v="2175.89"/>
    <m/>
    <s v="N"/>
    <n v="41"/>
    <d v="2023-07-05T19:01:53"/>
    <s v="Y"/>
    <s v="Preparation - other"/>
    <s v="VHCC"/>
    <s v="Profit Cost"/>
    <s v="EW-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72"/>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15"/>
    <d v="2023-07-05T19:01:52"/>
    <s v="Y"/>
    <s v="Preparation - other"/>
    <s v="VHCC"/>
    <s v="Profit Cost"/>
    <s v="BM"/>
    <s v="Y"/>
    <n v="5.94"/>
    <n v="1.19"/>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37"/>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92"/>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76"/>
    <d v="2023-07-05T19:01:52"/>
    <s v="Y"/>
    <s v="Preparation - drafting notice(s)"/>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38"/>
    <d v="2023-07-05T19:01:52"/>
    <s v="Y"/>
    <s v="Attendance upon client"/>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32"/>
    <d v="2023-07-05T19:01:52"/>
    <s v="Y"/>
    <s v="Preparation - other"/>
    <s v="VHCC"/>
    <s v="Profit Cost"/>
    <s v="EW"/>
    <s v="Y"/>
    <n v="23.76"/>
    <n v="4.75"/>
    <x v="6"/>
    <s v="VALIDATED"/>
    <n v="1"/>
    <s v="01.11.80.302.6100.0000"/>
    <n v="23.76"/>
    <s v="11"/>
    <s v="6100"/>
    <n v="21904.93"/>
    <n v="23.76"/>
    <s v="CREDITOR"/>
    <n v="0"/>
    <n v="0"/>
    <n v="0"/>
    <n v="0"/>
    <n v="23.76"/>
  </r>
  <r>
    <n v="21023770"/>
    <s v="N"/>
    <n v="21330689"/>
    <s v="3000008507410022"/>
    <s v="CIVIL"/>
    <d v="2023-06-29T00:00:00"/>
    <d v="2023-07-05T19:01:47"/>
    <m/>
    <d v="2023-07-05T00:00:00"/>
    <n v="2024"/>
    <n v="1248"/>
    <s v="21023770"/>
    <s v="21023770"/>
    <m/>
    <m/>
    <n v="22790290"/>
    <m/>
    <m/>
    <m/>
    <s v="SOLINT"/>
    <s v="SOLINT"/>
    <s v="CCMS"/>
    <n v="21330689"/>
    <n v="22300.73"/>
    <m/>
    <s v="N"/>
    <n v="333"/>
    <d v="2023-07-05T19:01:52"/>
    <s v="Y"/>
    <s v="Attendance upon other"/>
    <s v="VHCC"/>
    <s v="Profit Cost"/>
    <s v="EW"/>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150"/>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23"/>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300"/>
    <d v="2023-07-05T19:01:52"/>
    <s v="Y"/>
    <s v="Preparation - other"/>
    <s v="VHCC"/>
    <s v="Profit Cost"/>
    <s v="NK-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69"/>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91"/>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05"/>
    <d v="2023-07-05T19:01:52"/>
    <s v="Y"/>
    <s v="Preparation - drafting pleadings"/>
    <s v="VHCC"/>
    <s v="Profit Cost"/>
    <s v="BM-25"/>
    <s v="Y"/>
    <n v="111.38"/>
    <n v="22.28"/>
    <x v="6"/>
    <s v="VALIDATED"/>
    <n v="1"/>
    <s v="01.11.80.302.6100.0000"/>
    <n v="111.38"/>
    <s v="11"/>
    <s v="6100"/>
    <n v="21904.93"/>
    <n v="111.38"/>
    <s v="CREDITOR"/>
    <n v="0"/>
    <n v="0"/>
    <n v="0"/>
    <n v="0"/>
    <n v="111.38"/>
  </r>
  <r>
    <n v="21023770"/>
    <s v="N"/>
    <n v="21330689"/>
    <s v="3000008507410022"/>
    <s v="CIVIL"/>
    <d v="2023-06-29T00:00:00"/>
    <d v="2023-07-05T19:01:47"/>
    <m/>
    <d v="2023-07-05T00:00:00"/>
    <n v="2024"/>
    <n v="1248"/>
    <s v="21023770"/>
    <s v="21023770"/>
    <m/>
    <m/>
    <n v="22790290"/>
    <m/>
    <m/>
    <m/>
    <s v="SOLINT"/>
    <s v="SOLINT"/>
    <s v="CCMS"/>
    <n v="21330689"/>
    <n v="22300.73"/>
    <m/>
    <s v="N"/>
    <n v="59"/>
    <d v="2023-07-05T19:01:52"/>
    <s v="Y"/>
    <s v="Preparation - other"/>
    <s v="VHCC"/>
    <s v="Profit Cost"/>
    <s v="OD-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50"/>
    <d v="2023-07-05T19:01:53"/>
    <s v="Y"/>
    <s v="Item - Routine Outgoing letter"/>
    <s v="VHCC"/>
    <s v="Profit Cost"/>
    <s v="JS-P"/>
    <s v="Y"/>
    <n v="12.42"/>
    <n v="2.48"/>
    <x v="6"/>
    <s v="VALIDATED"/>
    <n v="1"/>
    <s v="01.11.80.302.6100.0000"/>
    <n v="12.42"/>
    <s v="11"/>
    <s v="6100"/>
    <n v="21904.93"/>
    <n v="12.42"/>
    <s v="CREDITOR"/>
    <n v="0"/>
    <n v="0"/>
    <n v="0"/>
    <n v="0"/>
    <n v="12.42"/>
  </r>
  <r>
    <n v="21023770"/>
    <s v="N"/>
    <n v="21330689"/>
    <s v="3000008507410022"/>
    <s v="CIVIL"/>
    <d v="2023-06-29T00:00:00"/>
    <d v="2023-07-05T19:01:47"/>
    <m/>
    <d v="2023-07-05T00:00:00"/>
    <n v="2024"/>
    <n v="1248"/>
    <s v="21023770"/>
    <s v="21023770"/>
    <m/>
    <m/>
    <n v="22790290"/>
    <m/>
    <m/>
    <m/>
    <s v="SOLINT"/>
    <s v="SOLINT"/>
    <s v="CCMS"/>
    <n v="21330689"/>
    <n v="22300.73"/>
    <m/>
    <s v="N"/>
    <n v="67"/>
    <d v="2023-07-05T19:01:52"/>
    <s v="Y"/>
    <s v="Preparation - drafting application"/>
    <s v="VHCC"/>
    <s v="Profit Cost"/>
    <s v="BM"/>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39"/>
    <d v="2023-07-05T19:01:52"/>
    <s v="Y"/>
    <s v="Preparation - other"/>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42"/>
    <d v="2023-07-05T19:01:52"/>
    <s v="Y"/>
    <s v="Attendance upon client"/>
    <s v="VHCC"/>
    <s v="Profit Cost"/>
    <s v="KBE-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239"/>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19"/>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26"/>
    <d v="2023-07-05T19:01:52"/>
    <s v="Y"/>
    <s v="Preparation - drafting statement"/>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31"/>
    <d v="2023-07-05T19:01:52"/>
    <s v="Y"/>
    <s v="Preparation - other"/>
    <s v="VHCC"/>
    <s v="Profit Cost"/>
    <s v="BM-25"/>
    <s v="Y"/>
    <n v="59.4"/>
    <n v="11.88"/>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5"/>
    <d v="2023-07-05T19:01:52"/>
    <s v="Y"/>
    <s v="Preparation - drafting application"/>
    <s v="VHCC"/>
    <s v="Profit Cost"/>
    <s v="KBE"/>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27"/>
    <d v="2023-07-05T19:01:52"/>
    <s v="Y"/>
    <s v="Preparation - other"/>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05"/>
    <d v="2023-07-05T19:01:52"/>
    <s v="Y"/>
    <s v="Preparation - other"/>
    <s v="VHCC"/>
    <s v="Profit Cost"/>
    <s v="BM"/>
    <s v="Y"/>
    <n v="59.4"/>
    <n v="11.88"/>
    <x v="6"/>
    <s v="VALIDATED"/>
    <n v="1"/>
    <s v="01.11.80.302.6100.0000"/>
    <n v="59.4"/>
    <s v="11"/>
    <s v="6100"/>
    <n v="21904.93"/>
    <n v="59.4"/>
    <s v="CREDITOR"/>
    <n v="0"/>
    <n v="0"/>
    <n v="0"/>
    <n v="0"/>
    <n v="59.4"/>
  </r>
  <r>
    <n v="21023770"/>
    <s v="N"/>
    <n v="21323931"/>
    <s v="3000008507410021"/>
    <s v="CIVIL"/>
    <d v="2023-06-30T00:00:00"/>
    <d v="2023-07-03T19:05:56"/>
    <m/>
    <d v="2023-07-03T00:00:00"/>
    <n v="2024"/>
    <n v="1248"/>
    <s v="21023770"/>
    <s v="21023770"/>
    <m/>
    <m/>
    <n v="22798068"/>
    <m/>
    <m/>
    <m/>
    <s v="SOLPOA"/>
    <s v="SOLPOA"/>
    <s v="CCMS"/>
    <n v="21323931"/>
    <n v="198"/>
    <m/>
    <s v="N"/>
    <n v="1"/>
    <d v="2023-07-03T19:05:59"/>
    <s v="N"/>
    <s v="Expert Cost"/>
    <s v="Expert Cost"/>
    <s v="Expert Disbursement"/>
    <s v="Phoenix Consultancy Ltd"/>
    <s v="N"/>
    <n v="165"/>
    <n v="33"/>
    <x v="3"/>
    <s v="VALIDATED"/>
    <n v="1"/>
    <s v="01.11.80.302.2012.0000"/>
    <n v="165"/>
    <s v="11"/>
    <s v="2012"/>
    <n v="21904.93"/>
    <n v="165"/>
    <s v="CREDITOR"/>
    <n v="165"/>
    <n v="0"/>
    <n v="0"/>
    <n v="0"/>
    <n v="0"/>
  </r>
  <r>
    <n v="21023770"/>
    <s v="N"/>
    <n v="21330689"/>
    <s v="3000008507410022"/>
    <s v="CIVIL"/>
    <d v="2023-06-29T00:00:00"/>
    <d v="2023-07-05T19:01:47"/>
    <m/>
    <d v="2023-07-05T00:00:00"/>
    <n v="2024"/>
    <n v="1248"/>
    <s v="21023770"/>
    <s v="21023770"/>
    <m/>
    <m/>
    <n v="22790290"/>
    <m/>
    <m/>
    <m/>
    <s v="SOLINT"/>
    <s v="SOLINT"/>
    <s v="CCMS"/>
    <n v="21330689"/>
    <n v="22300.73"/>
    <m/>
    <s v="N"/>
    <n v="92"/>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340"/>
    <d v="2023-07-05T19:01:52"/>
    <s v="Y"/>
    <s v="Item - Routine Incoming letter"/>
    <s v="VHCC"/>
    <s v="Profit Cost"/>
    <s v="JS-P"/>
    <s v="Y"/>
    <n v="12.4"/>
    <n v="2.48"/>
    <x v="6"/>
    <s v="VALIDATED"/>
    <n v="1"/>
    <s v="01.11.80.302.6100.0000"/>
    <n v="12.4"/>
    <s v="11"/>
    <s v="6100"/>
    <n v="21904.93"/>
    <n v="12.4"/>
    <s v="CREDITOR"/>
    <n v="0"/>
    <n v="0"/>
    <n v="0"/>
    <n v="0"/>
    <n v="12.4"/>
  </r>
  <r>
    <n v="21023770"/>
    <s v="N"/>
    <n v="21330689"/>
    <s v="3000008507410022"/>
    <s v="CIVIL"/>
    <d v="2023-06-29T00:00:00"/>
    <d v="2023-07-05T19:01:47"/>
    <m/>
    <d v="2023-07-05T00:00:00"/>
    <n v="2024"/>
    <n v="1248"/>
    <s v="21023770"/>
    <s v="21023770"/>
    <m/>
    <m/>
    <n v="22790290"/>
    <m/>
    <m/>
    <m/>
    <s v="SOLINT"/>
    <s v="SOLINT"/>
    <s v="CCMS"/>
    <n v="21330689"/>
    <n v="22300.73"/>
    <m/>
    <s v="N"/>
    <n v="102"/>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38"/>
    <d v="2023-07-05T19:01:52"/>
    <s v="Y"/>
    <s v="Preparation - drafting attendance n"/>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47"/>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8"/>
    <d v="2023-07-05T19:01:52"/>
    <s v="Y"/>
    <s v="Preparation - other"/>
    <s v="VHCC"/>
    <s v="Profit Cost"/>
    <s v="KBE"/>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47"/>
    <d v="2023-07-05T19:01:52"/>
    <s v="Y"/>
    <s v="Preparation - other"/>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302"/>
    <d v="2023-07-05T19:01:52"/>
    <s v="Y"/>
    <s v="Preparation - other"/>
    <s v="VHCC"/>
    <s v="Profit Cost"/>
    <s v="BM-25"/>
    <s v="Y"/>
    <n v="29.7"/>
    <n v="5.94"/>
    <x v="6"/>
    <s v="VALIDATED"/>
    <n v="1"/>
    <s v="01.11.80.302.6100.0000"/>
    <n v="29.7"/>
    <s v="11"/>
    <s v="6100"/>
    <n v="21904.93"/>
    <n v="29.7"/>
    <s v="CREDITOR"/>
    <n v="0"/>
    <n v="0"/>
    <n v="0"/>
    <n v="0"/>
    <n v="29.7"/>
  </r>
  <r>
    <n v="21023770"/>
    <s v="N"/>
    <n v="21330720"/>
    <s v="3000008507410023"/>
    <s v="CIVIL"/>
    <d v="2023-06-29T00:00:00"/>
    <d v="2023-07-05T19:01:47"/>
    <m/>
    <d v="2023-07-05T00:00:00"/>
    <n v="2024"/>
    <n v="1248"/>
    <s v="21023770"/>
    <s v="21023770"/>
    <m/>
    <m/>
    <n v="22790312"/>
    <m/>
    <m/>
    <m/>
    <s v="SOLINT"/>
    <s v="SOLINT"/>
    <s v="CCMS"/>
    <n v="21330720"/>
    <n v="2175.89"/>
    <m/>
    <s v="N"/>
    <n v="43"/>
    <d v="2023-07-05T19:01:53"/>
    <s v="Y"/>
    <s v="Attendance upon court with counsel"/>
    <s v="VHCC"/>
    <s v="Profit Cost"/>
    <s v="EW"/>
    <s v="Y"/>
    <n v="145.8"/>
    <n v="29.16"/>
    <x v="6"/>
    <s v="VALIDATED"/>
    <n v="1"/>
    <s v="01.11.80.302.6100.0000"/>
    <n v="145.8"/>
    <s v="11"/>
    <s v="6100"/>
    <n v="21904.93"/>
    <n v="145.8"/>
    <s v="CREDITOR"/>
    <n v="0"/>
    <n v="0"/>
    <n v="0"/>
    <n v="0"/>
    <n v="145.8"/>
  </r>
  <r>
    <n v="21023770"/>
    <s v="N"/>
    <n v="21330720"/>
    <s v="3000008507410023"/>
    <s v="CIVIL"/>
    <d v="2023-06-29T00:00:00"/>
    <d v="2023-07-05T19:01:47"/>
    <m/>
    <d v="2023-07-05T00:00:00"/>
    <n v="2024"/>
    <n v="1248"/>
    <s v="21023770"/>
    <s v="21023770"/>
    <m/>
    <m/>
    <n v="22790312"/>
    <m/>
    <m/>
    <m/>
    <s v="SOLINT"/>
    <s v="SOLINT"/>
    <s v="CCMS"/>
    <n v="21330720"/>
    <n v="2175.89"/>
    <m/>
    <s v="N"/>
    <n v="45"/>
    <d v="2023-07-05T19:01:53"/>
    <s v="Y"/>
    <s v="Preparation - drafting attendance n"/>
    <s v="VHCC"/>
    <s v="Profit Cost"/>
    <s v="EW"/>
    <s v="Y"/>
    <n v="59.4"/>
    <n v="11.88"/>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23"/>
    <d v="2023-07-05T19:01:53"/>
    <s v="Y"/>
    <s v="Preparation - other"/>
    <s v="VHCC"/>
    <s v="Profit Cost"/>
    <s v="EW-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23"/>
    <d v="2023-07-05T19:01:52"/>
    <s v="Y"/>
    <s v="Attendance upon other"/>
    <s v="VHCC"/>
    <s v="Profit Cost"/>
    <s v="KBE-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60"/>
    <d v="2023-07-05T19:01:52"/>
    <s v="Y"/>
    <s v="Preparation - drafting statement"/>
    <s v="VHCC"/>
    <s v="Profit Cost"/>
    <s v="NK-25"/>
    <s v="Y"/>
    <n v="59.4"/>
    <n v="11.88"/>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99"/>
    <d v="2023-07-05T19:01:52"/>
    <s v="Y"/>
    <s v="Preparation - other"/>
    <s v="VHCC"/>
    <s v="Profit Cost"/>
    <s v="BM"/>
    <s v="Y"/>
    <n v="5.94"/>
    <n v="1.19"/>
    <x v="6"/>
    <s v="VALIDATED"/>
    <n v="1"/>
    <s v="01.11.80.302.6100.0000"/>
    <n v="5.94"/>
    <s v="11"/>
    <s v="6100"/>
    <n v="21904.93"/>
    <n v="5.94"/>
    <s v="CREDITOR"/>
    <n v="0"/>
    <n v="0"/>
    <n v="0"/>
    <n v="0"/>
    <n v="5.94"/>
  </r>
  <r>
    <n v="60111297"/>
    <s v="N"/>
    <n v="21382564"/>
    <s v="3000014438350006"/>
    <s v="CIVIL"/>
    <d v="2023-06-09T00:00:00"/>
    <d v="2023-07-17T19:01:46"/>
    <m/>
    <d v="2023-07-17T00:00:00"/>
    <n v="2024"/>
    <n v="1248"/>
    <s v="60111297"/>
    <s v="60111297"/>
    <m/>
    <m/>
    <n v="22661122"/>
    <m/>
    <m/>
    <m/>
    <s v="SOLFIN"/>
    <s v="SOLFIN"/>
    <s v="CCMS"/>
    <n v="21382564"/>
    <n v="8480.219999999999"/>
    <m/>
    <s v="N"/>
    <n v="1"/>
    <d v="2023-07-17T19:02:16"/>
    <s v="Y"/>
    <s v="Profit Costs (Summary)"/>
    <s v="Prescribed Hourly Rates"/>
    <s v="Profit Cost"/>
    <s v="BM"/>
    <s v="Y"/>
    <n v="5290.92"/>
    <n v="1058.18"/>
    <x v="8"/>
    <s v="VALIDATED"/>
    <n v="1"/>
    <s v="01.11.80.302.6100.0000"/>
    <n v="5290.92"/>
    <s v="11"/>
    <s v="6100"/>
    <n v="21904.93"/>
    <n v="5290.92"/>
    <s v="CREDITOR"/>
    <n v="0"/>
    <n v="0"/>
    <n v="0"/>
    <n v="0"/>
    <n v="5290.92"/>
  </r>
  <r>
    <n v="21023770"/>
    <s v="N"/>
    <n v="21330689"/>
    <s v="3000008507410022"/>
    <s v="CIVIL"/>
    <d v="2023-06-29T00:00:00"/>
    <d v="2023-07-05T19:01:47"/>
    <m/>
    <d v="2023-07-05T00:00:00"/>
    <n v="2024"/>
    <n v="1248"/>
    <s v="21023770"/>
    <s v="21023770"/>
    <m/>
    <m/>
    <n v="22790290"/>
    <m/>
    <m/>
    <m/>
    <s v="SOLINT"/>
    <s v="SOLINT"/>
    <s v="CCMS"/>
    <n v="21330689"/>
    <n v="22300.73"/>
    <m/>
    <s v="N"/>
    <n v="63"/>
    <d v="2023-07-05T19:01:52"/>
    <s v="Y"/>
    <s v="Preparation - other"/>
    <s v="VHCC"/>
    <s v="Profit Cost"/>
    <s v="BM-25"/>
    <s v="Y"/>
    <n v="51.98"/>
    <n v="10.4"/>
    <x v="6"/>
    <s v="VALIDATED"/>
    <n v="1"/>
    <s v="01.11.80.302.6100.0000"/>
    <n v="51.98"/>
    <s v="11"/>
    <s v="6100"/>
    <n v="21904.93"/>
    <n v="51.98"/>
    <s v="CREDITOR"/>
    <n v="0"/>
    <n v="0"/>
    <n v="0"/>
    <n v="0"/>
    <n v="51.98"/>
  </r>
  <r>
    <n v="21023770"/>
    <s v="N"/>
    <n v="21330720"/>
    <s v="3000008507410023"/>
    <s v="CIVIL"/>
    <d v="2023-06-29T00:00:00"/>
    <d v="2023-07-05T19:01:47"/>
    <m/>
    <d v="2023-07-05T00:00:00"/>
    <n v="2024"/>
    <n v="1248"/>
    <s v="21023770"/>
    <s v="21023770"/>
    <m/>
    <m/>
    <n v="22790312"/>
    <m/>
    <m/>
    <m/>
    <s v="SOLINT"/>
    <s v="SOLINT"/>
    <s v="CCMS"/>
    <n v="21330720"/>
    <n v="2175.89"/>
    <m/>
    <s v="N"/>
    <n v="7"/>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57"/>
    <d v="2023-07-05T19:01:52"/>
    <s v="Y"/>
    <s v="Attendance upon other"/>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68"/>
    <d v="2023-07-05T19:01:52"/>
    <s v="Y"/>
    <s v="Preparation - other"/>
    <s v="VHCC"/>
    <s v="Profit Cost"/>
    <s v="BM"/>
    <s v="Y"/>
    <n v="11.88"/>
    <n v="2.38"/>
    <x v="6"/>
    <s v="VALIDATED"/>
    <n v="1"/>
    <s v="01.11.80.302.6100.0000"/>
    <n v="11.88"/>
    <s v="11"/>
    <s v="6100"/>
    <n v="21904.93"/>
    <n v="11.88"/>
    <s v="CREDITOR"/>
    <n v="0"/>
    <n v="0"/>
    <n v="0"/>
    <n v="0"/>
    <n v="11.88"/>
  </r>
  <r>
    <n v="59432968"/>
    <s v="N"/>
    <n v="21323632"/>
    <s v="3000013848680013"/>
    <s v="CIVIL"/>
    <d v="2023-06-30T00:00:00"/>
    <d v="2023-07-03T19:05:56"/>
    <m/>
    <d v="2023-07-03T00:00:00"/>
    <n v="2024"/>
    <n v="1248"/>
    <s v="59432968"/>
    <s v="59432968"/>
    <m/>
    <m/>
    <n v="22797896"/>
    <m/>
    <m/>
    <m/>
    <s v="SOLPOA"/>
    <s v="SOLPOA"/>
    <s v="CCMS"/>
    <n v="21323632"/>
    <n v="10406.12"/>
    <m/>
    <s v="N"/>
    <n v="1"/>
    <d v="2023-07-03T19:05:58"/>
    <s v="N"/>
    <s v="Profit Cost"/>
    <s v="Profit Cost"/>
    <s v="Profit Cost"/>
    <s v="Santosh Kumar"/>
    <s v="N"/>
    <n v="8671.77"/>
    <n v="1734.35"/>
    <x v="3"/>
    <s v="VALIDATED"/>
    <n v="1"/>
    <s v="01.11.80.305.2012.0000"/>
    <n v="8671.77"/>
    <s v="11"/>
    <s v="2012"/>
    <n v="21904.93"/>
    <n v="8671.77"/>
    <s v="CREDITOR"/>
    <n v="8671.77"/>
    <n v="2167.9425"/>
    <n v="0"/>
    <n v="0"/>
    <n v="0"/>
  </r>
  <r>
    <n v="21023770"/>
    <s v="N"/>
    <n v="21330689"/>
    <s v="3000008507410022"/>
    <s v="CIVIL"/>
    <d v="2023-06-29T00:00:00"/>
    <d v="2023-07-05T19:01:47"/>
    <m/>
    <d v="2023-07-05T00:00:00"/>
    <n v="2024"/>
    <n v="1248"/>
    <s v="21023770"/>
    <s v="21023770"/>
    <m/>
    <m/>
    <n v="22790290"/>
    <m/>
    <m/>
    <m/>
    <s v="SOLINT"/>
    <s v="SOLINT"/>
    <s v="CCMS"/>
    <n v="21330689"/>
    <n v="22300.73"/>
    <m/>
    <s v="N"/>
    <n v="314"/>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66"/>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75"/>
    <d v="2023-07-05T19:01:52"/>
    <s v="Y"/>
    <s v="Preparation - drafting application"/>
    <s v="VHCC"/>
    <s v="Profit Cost"/>
    <s v="BM-25"/>
    <s v="Y"/>
    <n v="133.65"/>
    <n v="26.73"/>
    <x v="6"/>
    <s v="VALIDATED"/>
    <n v="1"/>
    <s v="01.11.80.302.6100.0000"/>
    <n v="133.65"/>
    <s v="11"/>
    <s v="6100"/>
    <n v="21904.93"/>
    <n v="133.65"/>
    <s v="CREDITOR"/>
    <n v="0"/>
    <n v="0"/>
    <n v="0"/>
    <n v="0"/>
    <n v="133.65"/>
  </r>
  <r>
    <n v="21023770"/>
    <s v="N"/>
    <n v="21330689"/>
    <s v="3000008507410022"/>
    <s v="CIVIL"/>
    <d v="2023-06-29T00:00:00"/>
    <d v="2023-07-05T19:01:47"/>
    <m/>
    <d v="2023-07-05T00:00:00"/>
    <n v="2024"/>
    <n v="1248"/>
    <s v="21023770"/>
    <s v="21023770"/>
    <m/>
    <m/>
    <n v="22790290"/>
    <m/>
    <m/>
    <m/>
    <s v="SOLINT"/>
    <s v="SOLINT"/>
    <s v="CCMS"/>
    <n v="21330689"/>
    <n v="22300.73"/>
    <m/>
    <s v="N"/>
    <n v="34"/>
    <d v="2023-07-05T19:01:52"/>
    <s v="Y"/>
    <s v="Preparation - drafting statement"/>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12"/>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4"/>
    <d v="2023-07-05T19:01:52"/>
    <s v="Y"/>
    <s v="Attendance upon client"/>
    <s v="VHCC"/>
    <s v="Profit Cost"/>
    <s v="KBE-25"/>
    <s v="Y"/>
    <n v="89.09999999999999"/>
    <n v="17.82"/>
    <x v="6"/>
    <s v="VALIDATED"/>
    <n v="1"/>
    <s v="01.11.80.302.6100.0000"/>
    <n v="89.09999999999999"/>
    <s v="11"/>
    <s v="6100"/>
    <n v="21904.93"/>
    <n v="89.09999999999999"/>
    <s v="CREDITOR"/>
    <n v="0"/>
    <n v="0"/>
    <n v="0"/>
    <n v="0"/>
    <n v="89.09999999999999"/>
  </r>
  <r>
    <n v="21023770"/>
    <s v="N"/>
    <n v="21330689"/>
    <s v="3000008507410022"/>
    <s v="CIVIL"/>
    <d v="2023-06-29T00:00:00"/>
    <d v="2023-07-05T19:01:47"/>
    <m/>
    <d v="2023-07-05T00:00:00"/>
    <n v="2024"/>
    <n v="1248"/>
    <s v="21023770"/>
    <s v="21023770"/>
    <m/>
    <m/>
    <n v="22790290"/>
    <m/>
    <m/>
    <m/>
    <s v="SOLINT"/>
    <s v="SOLINT"/>
    <s v="CCMS"/>
    <n v="21330689"/>
    <n v="22300.73"/>
    <m/>
    <s v="N"/>
    <n v="137"/>
    <d v="2023-07-05T19:01:52"/>
    <s v="Y"/>
    <s v="Preparation - drafting application"/>
    <s v="VHCC"/>
    <s v="Profit Cost"/>
    <s v="BM"/>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141"/>
    <d v="2023-07-05T19:01:52"/>
    <s v="Y"/>
    <s v="Attendance upon court with counsel"/>
    <s v="VHCC"/>
    <s v="Profit Cost"/>
    <s v="BM"/>
    <s v="Y"/>
    <n v="22.68"/>
    <n v="4.54"/>
    <x v="6"/>
    <s v="VALIDATED"/>
    <n v="1"/>
    <s v="01.11.80.302.6100.0000"/>
    <n v="22.68"/>
    <s v="11"/>
    <s v="6100"/>
    <n v="21904.93"/>
    <n v="22.68"/>
    <s v="CREDITOR"/>
    <n v="0"/>
    <n v="0"/>
    <n v="0"/>
    <n v="0"/>
    <n v="22.68"/>
  </r>
  <r>
    <n v="21023770"/>
    <s v="N"/>
    <n v="21330720"/>
    <s v="3000008507410023"/>
    <s v="CIVIL"/>
    <d v="2023-06-29T00:00:00"/>
    <d v="2023-07-05T19:01:47"/>
    <m/>
    <d v="2023-07-05T00:00:00"/>
    <n v="2024"/>
    <n v="1248"/>
    <s v="21023770"/>
    <s v="21023770"/>
    <m/>
    <m/>
    <n v="22790312"/>
    <m/>
    <m/>
    <m/>
    <s v="SOLINT"/>
    <s v="SOLINT"/>
    <s v="CCMS"/>
    <n v="21330720"/>
    <n v="2175.89"/>
    <m/>
    <s v="N"/>
    <n v="4"/>
    <d v="2023-07-05T19:01:53"/>
    <s v="Y"/>
    <s v="Preparation - other"/>
    <s v="VHCC"/>
    <s v="Profit Cost"/>
    <s v="EW-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85"/>
    <d v="2023-07-05T19:01:52"/>
    <s v="Y"/>
    <s v="Preparation - drafting statem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9"/>
    <d v="2023-07-05T19:01:52"/>
    <s v="Y"/>
    <s v="Preparation - drafting statement"/>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64"/>
    <d v="2023-07-05T19:01:52"/>
    <s v="Y"/>
    <s v="Preparation - other"/>
    <s v="VHCC"/>
    <s v="Profit Cost"/>
    <s v="BM-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86"/>
    <d v="2023-07-05T19:01:52"/>
    <s v="Y"/>
    <s v="Attendance upon Counsel"/>
    <s v="VHCC"/>
    <s v="Profit Cost"/>
    <s v="BM"/>
    <s v="Y"/>
    <n v="9.720000000000001"/>
    <n v="1.94"/>
    <x v="6"/>
    <s v="VALIDATED"/>
    <n v="1"/>
    <s v="01.11.80.302.6100.0000"/>
    <n v="9.720000000000001"/>
    <s v="11"/>
    <s v="6100"/>
    <n v="21904.93"/>
    <n v="9.720000000000001"/>
    <s v="CREDITOR"/>
    <n v="0"/>
    <n v="0"/>
    <n v="0"/>
    <n v="0"/>
    <n v="9.720000000000001"/>
  </r>
  <r>
    <n v="60616722"/>
    <s v="N"/>
    <n v="21360256"/>
    <s v="3000014869950015"/>
    <s v="CIVIL"/>
    <d v="2023-06-29T00:00:00"/>
    <d v="2023-07-11T11:50:54"/>
    <m/>
    <d v="2023-07-11T00:00:00"/>
    <n v="2024"/>
    <n v="1248"/>
    <s v="60616722"/>
    <s v="60616722"/>
    <m/>
    <m/>
    <n v="22789672"/>
    <m/>
    <m/>
    <m/>
    <s v="SOLFIN"/>
    <s v="SOLFIN"/>
    <s v="CCMS"/>
    <n v="21360256"/>
    <n v="13584.79"/>
    <m/>
    <s v="N"/>
    <n v="11"/>
    <d v="2023-07-11T11:50:59"/>
    <s v="Y"/>
    <s v="Hearing Unit 2.31 - 5.00 Hours"/>
    <s v="Public Law Children"/>
    <s v="Advocacy"/>
    <s v="OC"/>
    <s v="Y"/>
    <n v="476.92"/>
    <n v="95.38"/>
    <x v="7"/>
    <s v="VALIDATED"/>
    <n v="1"/>
    <s v="01.11.80.308.6100.0000"/>
    <n v="476.92"/>
    <s v="11"/>
    <s v="6100"/>
    <n v="21904.93"/>
    <n v="476.92"/>
    <s v="CREDITOR"/>
    <n v="0"/>
    <n v="0"/>
    <n v="0"/>
    <n v="0"/>
    <n v="476.92"/>
  </r>
  <r>
    <n v="21023770"/>
    <s v="N"/>
    <n v="21330689"/>
    <s v="3000008507410022"/>
    <s v="CIVIL"/>
    <d v="2023-06-29T00:00:00"/>
    <d v="2023-07-05T19:01:47"/>
    <m/>
    <d v="2023-07-05T00:00:00"/>
    <n v="2024"/>
    <n v="1248"/>
    <s v="21023770"/>
    <s v="21023770"/>
    <m/>
    <m/>
    <n v="22790290"/>
    <m/>
    <m/>
    <m/>
    <s v="SOLINT"/>
    <s v="SOLINT"/>
    <s v="CCMS"/>
    <n v="21330689"/>
    <n v="22300.73"/>
    <m/>
    <s v="N"/>
    <n v="196"/>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40"/>
    <d v="2023-07-05T19:01:52"/>
    <s v="Y"/>
    <s v="Preparation - other"/>
    <s v="VHCC"/>
    <s v="Profit Cost"/>
    <s v="KBE-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233"/>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40"/>
    <d v="2023-07-05T19:01:52"/>
    <s v="Y"/>
    <s v="Attendance upon Counsel"/>
    <s v="VHCC"/>
    <s v="Profit Cost"/>
    <s v="BM"/>
    <s v="Y"/>
    <n v="29.16"/>
    <n v="5.83"/>
    <x v="6"/>
    <s v="VALIDATED"/>
    <n v="1"/>
    <s v="01.11.80.302.6100.0000"/>
    <n v="29.16"/>
    <s v="11"/>
    <s v="6100"/>
    <n v="21904.93"/>
    <n v="29.16"/>
    <s v="CREDITOR"/>
    <n v="0"/>
    <n v="0"/>
    <n v="0"/>
    <n v="0"/>
    <n v="29.16"/>
  </r>
  <r>
    <n v="21023770"/>
    <s v="N"/>
    <n v="21330689"/>
    <s v="3000008507410022"/>
    <s v="CIVIL"/>
    <d v="2023-06-29T00:00:00"/>
    <d v="2023-07-05T19:01:47"/>
    <m/>
    <d v="2023-07-05T00:00:00"/>
    <n v="2024"/>
    <n v="1248"/>
    <s v="21023770"/>
    <s v="21023770"/>
    <m/>
    <m/>
    <n v="22790290"/>
    <m/>
    <m/>
    <m/>
    <s v="SOLINT"/>
    <s v="SOLINT"/>
    <s v="CCMS"/>
    <n v="21330689"/>
    <n v="22300.73"/>
    <m/>
    <s v="N"/>
    <n v="163"/>
    <d v="2023-07-05T19:01:52"/>
    <s v="Y"/>
    <s v="Preparation - other"/>
    <s v="VHCC"/>
    <s v="Profit Cost"/>
    <s v="NK"/>
    <s v="Y"/>
    <n v="5.94"/>
    <n v="1.19"/>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42"/>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69"/>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71"/>
    <d v="2023-07-05T19:01:52"/>
    <s v="Y"/>
    <s v="Attendance upon Counsel"/>
    <s v="VHCC"/>
    <s v="Profit Cost"/>
    <s v="BM"/>
    <s v="Y"/>
    <n v="32.4"/>
    <n v="6.48"/>
    <x v="6"/>
    <s v="VALIDATED"/>
    <n v="1"/>
    <s v="01.11.80.302.6100.0000"/>
    <n v="32.4"/>
    <s v="11"/>
    <s v="6100"/>
    <n v="21904.93"/>
    <n v="32.4"/>
    <s v="CREDITOR"/>
    <n v="0"/>
    <n v="0"/>
    <n v="0"/>
    <n v="0"/>
    <n v="32.4"/>
  </r>
  <r>
    <n v="21023770"/>
    <s v="N"/>
    <n v="21330689"/>
    <s v="3000008507410022"/>
    <s v="CIVIL"/>
    <d v="2023-06-29T00:00:00"/>
    <d v="2023-07-05T19:01:47"/>
    <m/>
    <d v="2023-07-05T00:00:00"/>
    <n v="2024"/>
    <n v="1248"/>
    <s v="21023770"/>
    <s v="21023770"/>
    <m/>
    <m/>
    <n v="22790290"/>
    <m/>
    <m/>
    <m/>
    <s v="SOLINT"/>
    <s v="SOLINT"/>
    <s v="CCMS"/>
    <n v="21330689"/>
    <n v="22300.73"/>
    <m/>
    <s v="N"/>
    <n v="175"/>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93"/>
    <d v="2023-07-05T19:01:52"/>
    <s v="Y"/>
    <s v="Attendance upon client"/>
    <s v="VHCC"/>
    <s v="Profit Cost"/>
    <s v="BM-25"/>
    <s v="Y"/>
    <n v="103.95"/>
    <n v="20.79"/>
    <x v="6"/>
    <s v="VALIDATED"/>
    <n v="1"/>
    <s v="01.11.80.302.6100.0000"/>
    <n v="103.95"/>
    <s v="11"/>
    <s v="6100"/>
    <n v="21904.93"/>
    <n v="103.95"/>
    <s v="CREDITOR"/>
    <n v="0"/>
    <n v="0"/>
    <n v="0"/>
    <n v="0"/>
    <n v="103.95"/>
  </r>
  <r>
    <n v="21023770"/>
    <s v="N"/>
    <n v="21330689"/>
    <s v="3000008507410022"/>
    <s v="CIVIL"/>
    <d v="2023-06-29T00:00:00"/>
    <d v="2023-07-05T19:01:47"/>
    <m/>
    <d v="2023-07-05T00:00:00"/>
    <n v="2024"/>
    <n v="1248"/>
    <s v="21023770"/>
    <s v="21023770"/>
    <m/>
    <m/>
    <n v="22790290"/>
    <m/>
    <m/>
    <m/>
    <s v="SOLINT"/>
    <s v="SOLINT"/>
    <s v="CCMS"/>
    <n v="21330689"/>
    <n v="22300.73"/>
    <m/>
    <s v="N"/>
    <n v="202"/>
    <d v="2023-07-05T19:01:52"/>
    <s v="Y"/>
    <s v="Preparation - other"/>
    <s v="VHCC"/>
    <s v="Profit Cost"/>
    <s v="BM-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28"/>
    <d v="2023-07-05T19:01:53"/>
    <s v="Y"/>
    <s v="Attendance upon other"/>
    <s v="VHCC"/>
    <s v="Profit Cost"/>
    <s v="EW"/>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43"/>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06"/>
    <d v="2023-07-05T19:01:52"/>
    <s v="Y"/>
    <s v="Preparation - drafting pleadings"/>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29"/>
    <d v="2023-07-05T19:01:52"/>
    <s v="Y"/>
    <s v="Preparation - drafting statement"/>
    <s v="VHCC"/>
    <s v="Profit Cost"/>
    <s v="BM-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2"/>
    <d v="2023-07-05T19:01:52"/>
    <s v="Y"/>
    <s v="Preparation - other"/>
    <s v="VHCC"/>
    <s v="Profit Cost"/>
    <s v="KBE-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68"/>
    <d v="2023-07-05T19:01:52"/>
    <s v="Y"/>
    <s v="Preparation - other"/>
    <s v="VHCC"/>
    <s v="Profit Cost"/>
    <s v="JS-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37"/>
    <d v="2023-07-05T19:01:52"/>
    <s v="Y"/>
    <s v="Item - Routine Telephone Call"/>
    <s v="VHCC"/>
    <s v="Profit Cost"/>
    <s v="KBE"/>
    <s v="Y"/>
    <n v="464.4"/>
    <n v="92.89"/>
    <x v="6"/>
    <s v="VALIDATED"/>
    <n v="1"/>
    <s v="01.11.80.302.6100.0000"/>
    <n v="464.4"/>
    <s v="11"/>
    <s v="6100"/>
    <n v="21904.93"/>
    <n v="464.4"/>
    <s v="CREDITOR"/>
    <n v="0"/>
    <n v="0"/>
    <n v="0"/>
    <n v="0"/>
    <n v="464.4"/>
  </r>
  <r>
    <n v="21023770"/>
    <s v="N"/>
    <n v="21330689"/>
    <s v="3000008507410022"/>
    <s v="CIVIL"/>
    <d v="2023-06-29T00:00:00"/>
    <d v="2023-07-05T19:01:47"/>
    <m/>
    <d v="2023-07-05T00:00:00"/>
    <n v="2024"/>
    <n v="1248"/>
    <s v="21023770"/>
    <s v="21023770"/>
    <m/>
    <m/>
    <n v="22790290"/>
    <m/>
    <m/>
    <m/>
    <s v="SOLINT"/>
    <s v="SOLINT"/>
    <s v="CCMS"/>
    <n v="21330689"/>
    <n v="22300.73"/>
    <m/>
    <s v="N"/>
    <n v="101"/>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344"/>
    <d v="2023-07-05T19:01:52"/>
    <s v="Y"/>
    <s v="Expert - Other"/>
    <s v="VHCC"/>
    <s v="Expert Disbursement"/>
    <s v="JS"/>
    <s v="Y"/>
    <n v="60"/>
    <n v="12"/>
    <x v="6"/>
    <s v="VALIDATED"/>
    <n v="1"/>
    <s v="01.11.80.302.6300.0000"/>
    <n v="60"/>
    <s v="11"/>
    <s v="6300"/>
    <n v="21904.93"/>
    <n v="60"/>
    <s v="CREDITOR"/>
    <n v="0"/>
    <n v="0"/>
    <n v="0"/>
    <n v="0"/>
    <n v="60"/>
  </r>
  <r>
    <n v="21023770"/>
    <s v="N"/>
    <n v="21330689"/>
    <s v="3000008507410022"/>
    <s v="CIVIL"/>
    <d v="2023-06-29T00:00:00"/>
    <d v="2023-07-05T19:01:47"/>
    <m/>
    <d v="2023-07-05T00:00:00"/>
    <n v="2024"/>
    <n v="1248"/>
    <s v="21023770"/>
    <s v="21023770"/>
    <m/>
    <m/>
    <n v="22790290"/>
    <m/>
    <m/>
    <m/>
    <s v="SOLINT"/>
    <s v="SOLINT"/>
    <s v="CCMS"/>
    <n v="21330689"/>
    <n v="22300.73"/>
    <m/>
    <s v="N"/>
    <n v="109"/>
    <d v="2023-07-05T19:01:52"/>
    <s v="Y"/>
    <s v="Attendance upon Counsel"/>
    <s v="VHCC"/>
    <s v="Profit Cost"/>
    <s v="BM"/>
    <s v="Y"/>
    <n v="6.48"/>
    <n v="1.3"/>
    <x v="6"/>
    <s v="VALIDATED"/>
    <n v="1"/>
    <s v="01.11.80.302.6100.0000"/>
    <n v="6.48"/>
    <s v="11"/>
    <s v="6100"/>
    <n v="21904.93"/>
    <n v="6.48"/>
    <s v="CREDITOR"/>
    <n v="0"/>
    <n v="0"/>
    <n v="0"/>
    <n v="0"/>
    <n v="6.48"/>
  </r>
  <r>
    <n v="21023770"/>
    <s v="N"/>
    <n v="21330689"/>
    <s v="3000008507410022"/>
    <s v="CIVIL"/>
    <d v="2023-06-29T00:00:00"/>
    <d v="2023-07-05T19:01:47"/>
    <m/>
    <d v="2023-07-05T00:00:00"/>
    <n v="2024"/>
    <n v="1248"/>
    <s v="21023770"/>
    <s v="21023770"/>
    <m/>
    <m/>
    <n v="22790290"/>
    <m/>
    <m/>
    <m/>
    <s v="SOLINT"/>
    <s v="SOLINT"/>
    <s v="CCMS"/>
    <n v="21330689"/>
    <n v="22300.73"/>
    <m/>
    <s v="N"/>
    <n v="116"/>
    <d v="2023-07-05T19:01:52"/>
    <s v="Y"/>
    <s v="Preparation - other"/>
    <s v="VHCC"/>
    <s v="Profit Cost"/>
    <s v="BM-25"/>
    <s v="Y"/>
    <n v="59.4"/>
    <n v="11.88"/>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51"/>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30"/>
    <d v="2023-07-05T19:01:52"/>
    <s v="Y"/>
    <s v="Preparation - other"/>
    <s v="VHCC"/>
    <s v="Profit Cost"/>
    <s v="BM-25"/>
    <s v="Y"/>
    <n v="37.13"/>
    <n v="7.43"/>
    <x v="6"/>
    <s v="VALIDATED"/>
    <n v="1"/>
    <s v="01.11.80.302.6100.0000"/>
    <n v="37.13"/>
    <s v="11"/>
    <s v="6100"/>
    <n v="21904.93"/>
    <n v="37.13"/>
    <s v="CREDITOR"/>
    <n v="0"/>
    <n v="0"/>
    <n v="0"/>
    <n v="0"/>
    <n v="37.13"/>
  </r>
  <r>
    <n v="62021301"/>
    <s v="N"/>
    <n v="21323926"/>
    <s v="3000016060990005"/>
    <s v="CIVIL"/>
    <d v="2023-06-30T00:00:00"/>
    <d v="2023-07-03T19:05:56"/>
    <m/>
    <d v="2023-07-03T00:00:00"/>
    <n v="2024"/>
    <n v="1248"/>
    <s v="62021301"/>
    <s v="62021301"/>
    <m/>
    <m/>
    <n v="22799390"/>
    <m/>
    <m/>
    <m/>
    <s v="SOLPOA"/>
    <s v="SOLPOA"/>
    <s v="CCMS"/>
    <n v="21323926"/>
    <n v="384.52"/>
    <m/>
    <s v="N"/>
    <n v="1"/>
    <d v="2023-07-03T19:05:59"/>
    <s v="N"/>
    <s v="Expert Cost"/>
    <s v="Expert Cost"/>
    <s v="Expert Disbursement"/>
    <s v="Carter Brown  The Expert Service Limited"/>
    <s v="N"/>
    <n v="320.43"/>
    <n v="64.09"/>
    <x v="3"/>
    <s v="VALIDATED"/>
    <n v="1"/>
    <s v="01.11.80.308.2012.0000"/>
    <n v="320.43"/>
    <s v="11"/>
    <s v="2012"/>
    <n v="21904.93"/>
    <n v="320.43"/>
    <s v="CREDITOR"/>
    <n v="320.43"/>
    <n v="0"/>
    <n v="0"/>
    <n v="0"/>
    <n v="0"/>
  </r>
  <r>
    <n v="21023770"/>
    <s v="N"/>
    <n v="21330720"/>
    <s v="3000008507410023"/>
    <s v="CIVIL"/>
    <d v="2023-06-29T00:00:00"/>
    <d v="2023-07-05T19:01:47"/>
    <m/>
    <d v="2023-07-05T00:00:00"/>
    <n v="2024"/>
    <n v="1248"/>
    <s v="21023770"/>
    <s v="21023770"/>
    <m/>
    <m/>
    <n v="22790312"/>
    <m/>
    <m/>
    <m/>
    <s v="SOLINT"/>
    <s v="SOLINT"/>
    <s v="CCMS"/>
    <n v="21330720"/>
    <n v="2175.89"/>
    <m/>
    <s v="N"/>
    <n v="5"/>
    <d v="2023-07-05T19:01:53"/>
    <s v="Y"/>
    <s v="Preparation - other"/>
    <s v="VHCC"/>
    <s v="Profit Cost"/>
    <s v="EW-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95"/>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7"/>
    <d v="2023-07-05T19:01:52"/>
    <s v="Y"/>
    <s v="Preparation - drafting statement"/>
    <s v="VHCC"/>
    <s v="Profit Cost"/>
    <s v="KBE-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265"/>
    <d v="2023-07-05T19:01:52"/>
    <s v="Y"/>
    <s v="Attendance upon client"/>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6"/>
    <d v="2023-07-05T19:01:52"/>
    <s v="Y"/>
    <s v="Preparation - other"/>
    <s v="VHCC"/>
    <s v="Profit Cost"/>
    <s v="KBE-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309"/>
    <d v="2023-07-05T19:01:52"/>
    <s v="Y"/>
    <s v="Preparation - drafting attendance n"/>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48"/>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18"/>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326"/>
    <d v="2023-07-05T19:01:52"/>
    <s v="Y"/>
    <s v="Preparation - drafting application"/>
    <s v="VHCC"/>
    <s v="Profit Cost"/>
    <s v="EW"/>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328"/>
    <d v="2023-07-05T19:01:52"/>
    <s v="Y"/>
    <s v="Attendance upon other"/>
    <s v="VHCC"/>
    <s v="Profit Cost"/>
    <s v="EW"/>
    <s v="Y"/>
    <n v="23.76"/>
    <n v="4.75"/>
    <x v="6"/>
    <s v="VALIDATED"/>
    <n v="1"/>
    <s v="01.11.80.302.6100.0000"/>
    <n v="23.76"/>
    <s v="11"/>
    <s v="6100"/>
    <n v="21904.93"/>
    <n v="23.76"/>
    <s v="CREDITOR"/>
    <n v="0"/>
    <n v="0"/>
    <n v="0"/>
    <n v="0"/>
    <n v="23.76"/>
  </r>
  <r>
    <n v="21023770"/>
    <s v="N"/>
    <n v="21330689"/>
    <s v="3000008507410022"/>
    <s v="CIVIL"/>
    <d v="2023-06-29T00:00:00"/>
    <d v="2023-07-05T19:01:47"/>
    <m/>
    <d v="2023-07-05T00:00:00"/>
    <n v="2024"/>
    <n v="1248"/>
    <s v="21023770"/>
    <s v="21023770"/>
    <m/>
    <m/>
    <n v="22790290"/>
    <m/>
    <m/>
    <m/>
    <s v="SOLINT"/>
    <s v="SOLINT"/>
    <s v="CCMS"/>
    <n v="21330689"/>
    <n v="22300.73"/>
    <m/>
    <s v="N"/>
    <n v="263"/>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53"/>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56"/>
    <d v="2023-07-05T19:01:52"/>
    <s v="Y"/>
    <s v="Preparation - other"/>
    <s v="VHCC"/>
    <s v="Profit Cost"/>
    <s v="BM-25"/>
    <s v="Y"/>
    <n v="141.08"/>
    <n v="28.22"/>
    <x v="6"/>
    <s v="VALIDATED"/>
    <n v="1"/>
    <s v="01.11.80.302.6100.0000"/>
    <n v="141.08"/>
    <s v="11"/>
    <s v="6100"/>
    <n v="21904.93"/>
    <n v="141.08"/>
    <s v="CREDITOR"/>
    <n v="0"/>
    <n v="0"/>
    <n v="0"/>
    <n v="0"/>
    <n v="141.08"/>
  </r>
  <r>
    <n v="60616722"/>
    <s v="N"/>
    <n v="21360256"/>
    <s v="3000014869950015"/>
    <s v="CIVIL"/>
    <d v="2023-06-29T00:00:00"/>
    <d v="2023-07-11T11:50:54"/>
    <m/>
    <d v="2023-07-11T00:00:00"/>
    <n v="2024"/>
    <n v="1248"/>
    <s v="60616722"/>
    <s v="60616722"/>
    <m/>
    <m/>
    <n v="22789672"/>
    <m/>
    <m/>
    <m/>
    <s v="SOLFIN"/>
    <s v="SOLFIN"/>
    <s v="CCMS"/>
    <n v="21360256"/>
    <n v="13584.79"/>
    <m/>
    <s v="N"/>
    <n v="2"/>
    <d v="2023-07-11T11:50:59"/>
    <s v="Y"/>
    <s v="Profit Costs (Summary)"/>
    <s v="Care Remuneration Hourly Rates"/>
    <s v="Profit Cost"/>
    <s v="OC"/>
    <s v="Y"/>
    <n v="6299.97"/>
    <n v="1259.99"/>
    <x v="7"/>
    <s v="VALIDATED"/>
    <n v="1"/>
    <s v="01.11.80.308.6100.0000"/>
    <n v="6299.97"/>
    <s v="11"/>
    <s v="6100"/>
    <n v="21904.93"/>
    <n v="6299.97"/>
    <s v="CREDITOR"/>
    <n v="0"/>
    <n v="0"/>
    <n v="0"/>
    <n v="0"/>
    <n v="6299.97"/>
  </r>
  <r>
    <n v="21023770"/>
    <s v="N"/>
    <n v="21330689"/>
    <s v="3000008507410022"/>
    <s v="CIVIL"/>
    <d v="2023-06-29T00:00:00"/>
    <d v="2023-07-05T19:01:47"/>
    <m/>
    <d v="2023-07-05T00:00:00"/>
    <n v="2024"/>
    <n v="1248"/>
    <s v="21023770"/>
    <s v="21023770"/>
    <m/>
    <m/>
    <n v="22790290"/>
    <m/>
    <m/>
    <m/>
    <s v="SOLINT"/>
    <s v="SOLINT"/>
    <s v="CCMS"/>
    <n v="21330689"/>
    <n v="22300.73"/>
    <m/>
    <s v="N"/>
    <n v="117"/>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53"/>
    <d v="2023-07-05T19:01:52"/>
    <s v="Y"/>
    <s v="Preparation - drafting instructions"/>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72"/>
    <d v="2023-07-05T19:01:52"/>
    <s v="Y"/>
    <s v="Attendance upon client"/>
    <s v="VHCC"/>
    <s v="Profit Cost"/>
    <s v="BM-25"/>
    <s v="Y"/>
    <n v="111.38"/>
    <n v="22.28"/>
    <x v="6"/>
    <s v="VALIDATED"/>
    <n v="1"/>
    <s v="01.11.80.302.6100.0000"/>
    <n v="111.38"/>
    <s v="11"/>
    <s v="6100"/>
    <n v="21904.93"/>
    <n v="111.38"/>
    <s v="CREDITOR"/>
    <n v="0"/>
    <n v="0"/>
    <n v="0"/>
    <n v="0"/>
    <n v="111.38"/>
  </r>
  <r>
    <n v="21023770"/>
    <s v="N"/>
    <n v="21330689"/>
    <s v="3000008507410022"/>
    <s v="CIVIL"/>
    <d v="2023-06-29T00:00:00"/>
    <d v="2023-07-05T19:01:47"/>
    <m/>
    <d v="2023-07-05T00:00:00"/>
    <n v="2024"/>
    <n v="1248"/>
    <s v="21023770"/>
    <s v="21023770"/>
    <m/>
    <m/>
    <n v="22790290"/>
    <m/>
    <m/>
    <m/>
    <s v="SOLINT"/>
    <s v="SOLINT"/>
    <s v="CCMS"/>
    <n v="21330689"/>
    <n v="22300.73"/>
    <m/>
    <s v="N"/>
    <n v="186"/>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11"/>
    <d v="2023-07-05T19:01:52"/>
    <s v="Y"/>
    <s v="Preparation - other"/>
    <s v="VHCC"/>
    <s v="Profit Cost"/>
    <s v="BM"/>
    <s v="Y"/>
    <n v="77.22"/>
    <n v="15.45"/>
    <x v="6"/>
    <s v="VALIDATED"/>
    <n v="1"/>
    <s v="01.11.80.302.6100.0000"/>
    <n v="77.22"/>
    <s v="11"/>
    <s v="6100"/>
    <n v="21904.93"/>
    <n v="77.22"/>
    <s v="CREDITOR"/>
    <n v="0"/>
    <n v="0"/>
    <n v="0"/>
    <n v="0"/>
    <n v="77.22"/>
  </r>
  <r>
    <n v="21023770"/>
    <s v="N"/>
    <n v="21330689"/>
    <s v="3000008507410022"/>
    <s v="CIVIL"/>
    <d v="2023-06-29T00:00:00"/>
    <d v="2023-07-05T19:01:47"/>
    <m/>
    <d v="2023-07-05T00:00:00"/>
    <n v="2024"/>
    <n v="1248"/>
    <s v="21023770"/>
    <s v="21023770"/>
    <m/>
    <m/>
    <n v="22790290"/>
    <m/>
    <m/>
    <m/>
    <s v="SOLINT"/>
    <s v="SOLINT"/>
    <s v="CCMS"/>
    <n v="21330689"/>
    <n v="22300.73"/>
    <m/>
    <s v="N"/>
    <n v="215"/>
    <d v="2023-07-05T19:01:52"/>
    <s v="Y"/>
    <s v="Attendance upon Counsel"/>
    <s v="VHCC"/>
    <s v="Profit Cost"/>
    <s v="BM"/>
    <s v="Y"/>
    <n v="45.36"/>
    <n v="9.07"/>
    <x v="6"/>
    <s v="VALIDATED"/>
    <n v="1"/>
    <s v="01.11.80.302.6100.0000"/>
    <n v="45.36"/>
    <s v="11"/>
    <s v="6100"/>
    <n v="21904.93"/>
    <n v="45.36"/>
    <s v="CREDITOR"/>
    <n v="0"/>
    <n v="0"/>
    <n v="0"/>
    <n v="0"/>
    <n v="45.36"/>
  </r>
  <r>
    <n v="21023770"/>
    <s v="N"/>
    <n v="21330689"/>
    <s v="3000008507410022"/>
    <s v="CIVIL"/>
    <d v="2023-06-29T00:00:00"/>
    <d v="2023-07-05T19:01:47"/>
    <m/>
    <d v="2023-07-05T00:00:00"/>
    <n v="2024"/>
    <n v="1248"/>
    <s v="21023770"/>
    <s v="21023770"/>
    <m/>
    <m/>
    <n v="22790290"/>
    <m/>
    <m/>
    <m/>
    <s v="SOLINT"/>
    <s v="SOLINT"/>
    <s v="CCMS"/>
    <n v="21330689"/>
    <n v="22300.73"/>
    <m/>
    <s v="N"/>
    <n v="236"/>
    <d v="2023-07-05T19:01:52"/>
    <s v="Y"/>
    <s v="Attendance upon Counsel"/>
    <s v="VHCC"/>
    <s v="Profit Cost"/>
    <s v="BM"/>
    <s v="Y"/>
    <n v="6.48"/>
    <n v="1.3"/>
    <x v="6"/>
    <s v="VALIDATED"/>
    <n v="1"/>
    <s v="01.11.80.302.6100.0000"/>
    <n v="6.48"/>
    <s v="11"/>
    <s v="6100"/>
    <n v="21904.93"/>
    <n v="6.48"/>
    <s v="CREDITOR"/>
    <n v="0"/>
    <n v="0"/>
    <n v="0"/>
    <n v="0"/>
    <n v="6.48"/>
  </r>
  <r>
    <n v="21023770"/>
    <s v="N"/>
    <n v="21330689"/>
    <s v="3000008507410022"/>
    <s v="CIVIL"/>
    <d v="2023-06-29T00:00:00"/>
    <d v="2023-07-05T19:01:47"/>
    <m/>
    <d v="2023-07-05T00:00:00"/>
    <n v="2024"/>
    <n v="1248"/>
    <s v="21023770"/>
    <s v="21023770"/>
    <m/>
    <m/>
    <n v="22790290"/>
    <m/>
    <m/>
    <m/>
    <s v="SOLINT"/>
    <s v="SOLINT"/>
    <s v="CCMS"/>
    <n v="21330689"/>
    <n v="22300.73"/>
    <m/>
    <s v="N"/>
    <n v="272"/>
    <d v="2023-07-05T19:01:52"/>
    <s v="Y"/>
    <s v="Attendance upon court with counsel"/>
    <s v="VHCC"/>
    <s v="Profit Cost"/>
    <s v="BM"/>
    <s v="Y"/>
    <n v="194.4"/>
    <n v="38.89"/>
    <x v="6"/>
    <s v="VALIDATED"/>
    <n v="1"/>
    <s v="01.11.80.302.6100.0000"/>
    <n v="194.4"/>
    <s v="11"/>
    <s v="6100"/>
    <n v="21904.93"/>
    <n v="194.4"/>
    <s v="CREDITOR"/>
    <n v="0"/>
    <n v="0"/>
    <n v="0"/>
    <n v="0"/>
    <n v="194.4"/>
  </r>
  <r>
    <n v="21023770"/>
    <s v="N"/>
    <n v="21330689"/>
    <s v="3000008507410022"/>
    <s v="CIVIL"/>
    <d v="2023-06-29T00:00:00"/>
    <d v="2023-07-05T19:01:47"/>
    <m/>
    <d v="2023-07-05T00:00:00"/>
    <n v="2024"/>
    <n v="1248"/>
    <s v="21023770"/>
    <s v="21023770"/>
    <m/>
    <m/>
    <n v="22790290"/>
    <m/>
    <m/>
    <m/>
    <s v="SOLINT"/>
    <s v="SOLINT"/>
    <s v="CCMS"/>
    <n v="21330689"/>
    <n v="22300.73"/>
    <m/>
    <s v="N"/>
    <n v="61"/>
    <d v="2023-07-05T19:01:52"/>
    <s v="Y"/>
    <s v="Preparation - other"/>
    <s v="VHCC"/>
    <s v="Profit Cost"/>
    <s v="OD-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10"/>
    <d v="2023-07-05T19:01:52"/>
    <s v="Y"/>
    <s v="Preparation - drafting instructions"/>
    <s v="VHCC"/>
    <s v="Profit Cost"/>
    <s v="BM-25"/>
    <s v="Y"/>
    <n v="37.13"/>
    <n v="7.43"/>
    <x v="6"/>
    <s v="VALIDATED"/>
    <n v="1"/>
    <s v="01.11.80.302.6100.0000"/>
    <n v="37.13"/>
    <s v="11"/>
    <s v="6100"/>
    <n v="21904.93"/>
    <n v="37.13"/>
    <s v="CREDITOR"/>
    <n v="0"/>
    <n v="0"/>
    <n v="0"/>
    <n v="0"/>
    <n v="37.13"/>
  </r>
  <r>
    <n v="21023770"/>
    <s v="N"/>
    <n v="21330720"/>
    <s v="3000008507410023"/>
    <s v="CIVIL"/>
    <d v="2023-06-29T00:00:00"/>
    <d v="2023-07-05T19:01:47"/>
    <m/>
    <d v="2023-07-05T00:00:00"/>
    <n v="2024"/>
    <n v="1248"/>
    <s v="21023770"/>
    <s v="21023770"/>
    <m/>
    <m/>
    <n v="22790312"/>
    <m/>
    <m/>
    <m/>
    <s v="SOLINT"/>
    <s v="SOLINT"/>
    <s v="CCMS"/>
    <n v="21330720"/>
    <n v="2175.89"/>
    <m/>
    <s v="N"/>
    <n v="25"/>
    <d v="2023-07-05T19:01:53"/>
    <s v="Y"/>
    <s v="Attendance upon client"/>
    <s v="VHCC"/>
    <s v="Profit Cost"/>
    <s v="EW-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93"/>
    <d v="2023-07-05T19:01:52"/>
    <s v="Y"/>
    <s v="Attendance upon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36"/>
    <d v="2023-07-05T19:01:52"/>
    <s v="Y"/>
    <s v="Preparation - drafting instructions"/>
    <s v="VHCC"/>
    <s v="Profit Cost"/>
    <s v="BM-25"/>
    <s v="Y"/>
    <n v="126.23"/>
    <n v="25.25"/>
    <x v="6"/>
    <s v="VALIDATED"/>
    <n v="1"/>
    <s v="01.11.80.302.6100.0000"/>
    <n v="126.23"/>
    <s v="11"/>
    <s v="6100"/>
    <n v="21904.93"/>
    <n v="126.23"/>
    <s v="CREDITOR"/>
    <n v="0"/>
    <n v="0"/>
    <n v="0"/>
    <n v="0"/>
    <n v="126.23"/>
  </r>
  <r>
    <n v="21023770"/>
    <s v="N"/>
    <n v="21330689"/>
    <s v="3000008507410022"/>
    <s v="CIVIL"/>
    <d v="2023-06-29T00:00:00"/>
    <d v="2023-07-05T19:01:47"/>
    <m/>
    <d v="2023-07-05T00:00:00"/>
    <n v="2024"/>
    <n v="1248"/>
    <s v="21023770"/>
    <s v="21023770"/>
    <m/>
    <m/>
    <n v="22790290"/>
    <m/>
    <m/>
    <m/>
    <s v="SOLINT"/>
    <s v="SOLINT"/>
    <s v="CCMS"/>
    <n v="21330689"/>
    <n v="22300.73"/>
    <m/>
    <s v="N"/>
    <n v="152"/>
    <d v="2023-07-05T19:01:52"/>
    <s v="Y"/>
    <s v="Preparation - other"/>
    <s v="VHCC"/>
    <s v="Profit Cost"/>
    <s v="BM"/>
    <s v="Y"/>
    <n v="17.82"/>
    <n v="3.56"/>
    <x v="6"/>
    <s v="VALIDATED"/>
    <n v="1"/>
    <s v="01.11.80.302.6100.0000"/>
    <n v="17.82"/>
    <s v="11"/>
    <s v="6100"/>
    <n v="21904.93"/>
    <n v="17.82"/>
    <s v="CREDITOR"/>
    <n v="0"/>
    <n v="0"/>
    <n v="0"/>
    <n v="0"/>
    <n v="17.82"/>
  </r>
  <r>
    <n v="21023770"/>
    <s v="N"/>
    <n v="21330720"/>
    <s v="3000008507410023"/>
    <s v="CIVIL"/>
    <d v="2023-06-29T00:00:00"/>
    <d v="2023-07-05T19:01:47"/>
    <m/>
    <d v="2023-07-05T00:00:00"/>
    <n v="2024"/>
    <n v="1248"/>
    <s v="21023770"/>
    <s v="21023770"/>
    <m/>
    <m/>
    <n v="22790312"/>
    <m/>
    <m/>
    <m/>
    <s v="SOLINT"/>
    <s v="SOLINT"/>
    <s v="CCMS"/>
    <n v="21330720"/>
    <n v="2175.89"/>
    <m/>
    <s v="N"/>
    <n v="40"/>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62"/>
    <d v="2023-07-05T19:01:52"/>
    <s v="Y"/>
    <s v="Attendance upon other"/>
    <s v="VHCC"/>
    <s v="Profit Cost"/>
    <s v="OD-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32"/>
    <d v="2023-07-05T19:01:53"/>
    <s v="Y"/>
    <s v="Preparation - drafting instructions"/>
    <s v="VHCC"/>
    <s v="Profit Cost"/>
    <s v="EW-25"/>
    <s v="Y"/>
    <n v="74.25"/>
    <n v="14.85"/>
    <x v="6"/>
    <s v="VALIDATED"/>
    <n v="1"/>
    <s v="01.11.80.302.6100.0000"/>
    <n v="74.25"/>
    <s v="11"/>
    <s v="6100"/>
    <n v="21904.93"/>
    <n v="74.25"/>
    <s v="CREDITOR"/>
    <n v="0"/>
    <n v="0"/>
    <n v="0"/>
    <n v="0"/>
    <n v="74.25"/>
  </r>
  <r>
    <n v="21023770"/>
    <s v="N"/>
    <n v="21330689"/>
    <s v="3000008507410022"/>
    <s v="CIVIL"/>
    <d v="2023-06-29T00:00:00"/>
    <d v="2023-07-05T19:01:47"/>
    <m/>
    <d v="2023-07-05T00:00:00"/>
    <n v="2024"/>
    <n v="1248"/>
    <s v="21023770"/>
    <s v="21023770"/>
    <m/>
    <m/>
    <n v="22790290"/>
    <m/>
    <m/>
    <m/>
    <s v="SOLINT"/>
    <s v="SOLINT"/>
    <s v="CCMS"/>
    <n v="21330689"/>
    <n v="22300.73"/>
    <m/>
    <s v="N"/>
    <n v="219"/>
    <d v="2023-07-05T19:01:52"/>
    <s v="Y"/>
    <s v="Preparation - drafting statement"/>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88"/>
    <d v="2023-07-05T19:01:52"/>
    <s v="Y"/>
    <s v="Preparation - other"/>
    <s v="VHCC"/>
    <s v="Profit Cost"/>
    <s v="BM-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27"/>
    <d v="2023-07-05T19:01:53"/>
    <s v="Y"/>
    <s v="Report - Welfare report"/>
    <s v="VHCC"/>
    <s v="Profit Cost"/>
    <s v="EW-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232"/>
    <d v="2023-07-05T19:01:52"/>
    <s v="Y"/>
    <s v="Preparation - drafting statement"/>
    <s v="VHCC"/>
    <s v="Profit Cost"/>
    <s v="NK-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07"/>
    <d v="2023-07-05T19:01:52"/>
    <s v="Y"/>
    <s v="Preparation - other"/>
    <s v="VHCC"/>
    <s v="Profit Cost"/>
    <s v="BM"/>
    <s v="Y"/>
    <n v="23.76"/>
    <n v="4.75"/>
    <x v="6"/>
    <s v="VALIDATED"/>
    <n v="1"/>
    <s v="01.11.80.302.6100.0000"/>
    <n v="23.76"/>
    <s v="11"/>
    <s v="6100"/>
    <n v="21904.93"/>
    <n v="23.76"/>
    <s v="CREDITOR"/>
    <n v="0"/>
    <n v="0"/>
    <n v="0"/>
    <n v="0"/>
    <n v="23.76"/>
  </r>
  <r>
    <n v="21023770"/>
    <s v="N"/>
    <n v="21330689"/>
    <s v="3000008507410022"/>
    <s v="CIVIL"/>
    <d v="2023-06-29T00:00:00"/>
    <d v="2023-07-05T19:01:47"/>
    <m/>
    <d v="2023-07-05T00:00:00"/>
    <n v="2024"/>
    <n v="1248"/>
    <s v="21023770"/>
    <s v="21023770"/>
    <m/>
    <m/>
    <n v="22790290"/>
    <m/>
    <m/>
    <m/>
    <s v="SOLINT"/>
    <s v="SOLINT"/>
    <s v="CCMS"/>
    <n v="21330689"/>
    <n v="22300.73"/>
    <m/>
    <s v="N"/>
    <n v="246"/>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39"/>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51"/>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83"/>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87"/>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79"/>
    <d v="2023-07-05T19:01:52"/>
    <s v="Y"/>
    <s v="Preparation - drafting statement"/>
    <s v="VHCC"/>
    <s v="Profit Cost"/>
    <s v="BM-25"/>
    <s v="Y"/>
    <n v="59.4"/>
    <n v="11.88"/>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58"/>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5"/>
    <d v="2023-07-05T19:01:52"/>
    <s v="Y"/>
    <s v="Preparation - other"/>
    <s v="VHCC"/>
    <s v="Profit Cost"/>
    <s v="KBE-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268"/>
    <d v="2023-07-05T19:01:52"/>
    <s v="Y"/>
    <s v="Attendance upon Counsel"/>
    <s v="VHCC"/>
    <s v="Profit Cost"/>
    <s v="BM"/>
    <s v="Y"/>
    <n v="6.48"/>
    <n v="1.3"/>
    <x v="6"/>
    <s v="VALIDATED"/>
    <n v="1"/>
    <s v="01.11.80.302.6100.0000"/>
    <n v="6.48"/>
    <s v="11"/>
    <s v="6100"/>
    <n v="21904.93"/>
    <n v="6.48"/>
    <s v="CREDITOR"/>
    <n v="0"/>
    <n v="0"/>
    <n v="0"/>
    <n v="0"/>
    <n v="6.48"/>
  </r>
  <r>
    <n v="21023770"/>
    <s v="N"/>
    <n v="21330689"/>
    <s v="3000008507410022"/>
    <s v="CIVIL"/>
    <d v="2023-06-29T00:00:00"/>
    <d v="2023-07-05T19:01:47"/>
    <m/>
    <d v="2023-07-05T00:00:00"/>
    <n v="2024"/>
    <n v="1248"/>
    <s v="21023770"/>
    <s v="21023770"/>
    <m/>
    <m/>
    <n v="22790290"/>
    <m/>
    <m/>
    <m/>
    <s v="SOLINT"/>
    <s v="SOLINT"/>
    <s v="CCMS"/>
    <n v="21330689"/>
    <n v="22300.73"/>
    <m/>
    <s v="N"/>
    <n v="146"/>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01"/>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208"/>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55"/>
    <d v="2023-07-05T19:01:52"/>
    <s v="Y"/>
    <s v="Attendance upon client"/>
    <s v="VHCC"/>
    <s v="Profit Cost"/>
    <s v="OD-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88"/>
    <d v="2023-07-05T19:01:52"/>
    <s v="Y"/>
    <s v="Preparation - other"/>
    <s v="VHCC"/>
    <s v="Profit Cost"/>
    <s v="NK"/>
    <s v="Y"/>
    <n v="11.88"/>
    <n v="2.38"/>
    <x v="6"/>
    <s v="VALIDATED"/>
    <n v="1"/>
    <s v="01.11.80.302.6100.0000"/>
    <n v="11.88"/>
    <s v="11"/>
    <s v="6100"/>
    <n v="21904.93"/>
    <n v="11.88"/>
    <s v="CREDITOR"/>
    <n v="0"/>
    <n v="0"/>
    <n v="0"/>
    <n v="0"/>
    <n v="11.88"/>
  </r>
  <r>
    <n v="21023770"/>
    <s v="N"/>
    <n v="21330720"/>
    <s v="3000008507410023"/>
    <s v="CIVIL"/>
    <d v="2023-06-29T00:00:00"/>
    <d v="2023-07-05T19:01:47"/>
    <m/>
    <d v="2023-07-05T00:00:00"/>
    <n v="2024"/>
    <n v="1248"/>
    <s v="21023770"/>
    <s v="21023770"/>
    <m/>
    <m/>
    <n v="22790312"/>
    <m/>
    <m/>
    <m/>
    <s v="SOLINT"/>
    <s v="SOLINT"/>
    <s v="CCMS"/>
    <n v="21330720"/>
    <n v="2175.89"/>
    <m/>
    <s v="N"/>
    <n v="34"/>
    <d v="2023-07-05T19:01:53"/>
    <s v="Y"/>
    <s v="Preparation - other"/>
    <s v="VHCC"/>
    <s v="Profit Cost"/>
    <s v="EW-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77"/>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230"/>
    <d v="2023-07-05T19:01:52"/>
    <s v="Y"/>
    <s v="Attendance upon Counsel"/>
    <s v="VHCC"/>
    <s v="Profit Cost"/>
    <s v="NK"/>
    <s v="Y"/>
    <n v="16.2"/>
    <n v="3.24"/>
    <x v="6"/>
    <s v="VALIDATED"/>
    <n v="1"/>
    <s v="01.11.80.302.6100.0000"/>
    <n v="16.2"/>
    <s v="11"/>
    <s v="6100"/>
    <n v="21904.93"/>
    <n v="16.2"/>
    <s v="CREDITOR"/>
    <n v="0"/>
    <n v="0"/>
    <n v="0"/>
    <n v="0"/>
    <n v="16.2"/>
  </r>
  <r>
    <n v="21023770"/>
    <s v="N"/>
    <n v="21330689"/>
    <s v="3000008507410022"/>
    <s v="CIVIL"/>
    <d v="2023-06-29T00:00:00"/>
    <d v="2023-07-05T19:01:47"/>
    <m/>
    <d v="2023-07-05T00:00:00"/>
    <n v="2024"/>
    <n v="1248"/>
    <s v="21023770"/>
    <s v="21023770"/>
    <m/>
    <m/>
    <n v="22790290"/>
    <m/>
    <m/>
    <m/>
    <s v="SOLINT"/>
    <s v="SOLINT"/>
    <s v="CCMS"/>
    <n v="21330689"/>
    <n v="22300.73"/>
    <m/>
    <s v="N"/>
    <n v="248"/>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6"/>
    <d v="2023-07-05T19:01:52"/>
    <s v="Y"/>
    <s v="Preparation - drafting application"/>
    <s v="VHCC"/>
    <s v="Profit Cost"/>
    <s v="KBE"/>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87"/>
    <d v="2023-07-05T19:01:52"/>
    <s v="Y"/>
    <s v="Preparation - other"/>
    <s v="VHCC"/>
    <s v="Profit Cost"/>
    <s v="NK"/>
    <s v="Y"/>
    <n v="11.88"/>
    <n v="2.38"/>
    <x v="6"/>
    <s v="VALIDATED"/>
    <n v="1"/>
    <s v="01.11.80.302.6100.0000"/>
    <n v="11.88"/>
    <s v="11"/>
    <s v="6100"/>
    <n v="21904.93"/>
    <n v="11.88"/>
    <s v="CREDITOR"/>
    <n v="0"/>
    <n v="0"/>
    <n v="0"/>
    <n v="0"/>
    <n v="11.88"/>
  </r>
  <r>
    <n v="21023770"/>
    <s v="N"/>
    <n v="21330720"/>
    <s v="3000008507410023"/>
    <s v="CIVIL"/>
    <d v="2023-06-29T00:00:00"/>
    <d v="2023-07-05T19:01:47"/>
    <m/>
    <d v="2023-07-05T00:00:00"/>
    <n v="2024"/>
    <n v="1248"/>
    <s v="21023770"/>
    <s v="21023770"/>
    <m/>
    <m/>
    <n v="22790312"/>
    <m/>
    <m/>
    <m/>
    <s v="SOLINT"/>
    <s v="SOLINT"/>
    <s v="CCMS"/>
    <n v="21330720"/>
    <n v="2175.89"/>
    <m/>
    <s v="N"/>
    <n v="54"/>
    <d v="2023-07-05T19:01:53"/>
    <s v="N"/>
    <m/>
    <m/>
    <s v="Overall Adjustment"/>
    <m/>
    <s v="N"/>
    <n v="-0.05"/>
    <n v="-0.01"/>
    <x v="6"/>
    <s v="VALIDATED"/>
    <n v="1"/>
    <s v="01.11.80.302.6100.0000"/>
    <n v="-0.05"/>
    <s v="11"/>
    <s v="6100"/>
    <n v="21904.93"/>
    <n v="-0.05"/>
    <s v="CREDITOR"/>
    <n v="0"/>
    <n v="0"/>
    <n v="0"/>
    <n v="0"/>
    <n v="-0.05"/>
  </r>
  <r>
    <n v="21023770"/>
    <s v="N"/>
    <n v="21330689"/>
    <s v="3000008507410022"/>
    <s v="CIVIL"/>
    <d v="2023-06-29T00:00:00"/>
    <d v="2023-07-05T19:01:47"/>
    <m/>
    <d v="2023-07-05T00:00:00"/>
    <n v="2024"/>
    <n v="1248"/>
    <s v="21023770"/>
    <s v="21023770"/>
    <m/>
    <m/>
    <n v="22790290"/>
    <m/>
    <m/>
    <m/>
    <s v="SOLINT"/>
    <s v="SOLINT"/>
    <s v="CCMS"/>
    <n v="21330689"/>
    <n v="22300.73"/>
    <m/>
    <s v="N"/>
    <n v="36"/>
    <d v="2023-07-05T19:01:52"/>
    <s v="Y"/>
    <s v="Preparation - drafting statement"/>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90"/>
    <d v="2023-07-05T19:01:52"/>
    <s v="Y"/>
    <s v="Attendance upon client"/>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96"/>
    <d v="2023-07-05T19:01:52"/>
    <s v="Y"/>
    <s v="Preparation - drafting instructions"/>
    <s v="VHCC"/>
    <s v="Profit Cost"/>
    <s v="BM-25"/>
    <s v="Y"/>
    <n v="81.68000000000001"/>
    <n v="16.34"/>
    <x v="6"/>
    <s v="VALIDATED"/>
    <n v="1"/>
    <s v="01.11.80.302.6100.0000"/>
    <n v="81.68000000000001"/>
    <s v="11"/>
    <s v="6100"/>
    <n v="21904.93"/>
    <n v="81.68000000000001"/>
    <s v="CREDITOR"/>
    <n v="0"/>
    <n v="0"/>
    <n v="0"/>
    <n v="0"/>
    <n v="81.68000000000001"/>
  </r>
  <r>
    <n v="21023770"/>
    <s v="N"/>
    <n v="21330689"/>
    <s v="3000008507410022"/>
    <s v="CIVIL"/>
    <d v="2023-06-29T00:00:00"/>
    <d v="2023-07-05T19:01:47"/>
    <m/>
    <d v="2023-07-05T00:00:00"/>
    <n v="2024"/>
    <n v="1248"/>
    <s v="21023770"/>
    <s v="21023770"/>
    <m/>
    <m/>
    <n v="22790290"/>
    <m/>
    <m/>
    <m/>
    <s v="SOLINT"/>
    <s v="SOLINT"/>
    <s v="CCMS"/>
    <n v="21330689"/>
    <n v="22300.73"/>
    <m/>
    <s v="N"/>
    <n v="113"/>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28"/>
    <d v="2023-07-05T19:01:52"/>
    <s v="Y"/>
    <s v="Preparation - other"/>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276"/>
    <d v="2023-07-05T19:01:52"/>
    <s v="Y"/>
    <s v="Attendance upon court with counsel"/>
    <s v="VHCC"/>
    <s v="Profit Cost"/>
    <s v="BM"/>
    <s v="Y"/>
    <n v="113.4"/>
    <n v="22.68"/>
    <x v="6"/>
    <s v="VALIDATED"/>
    <n v="1"/>
    <s v="01.11.80.302.6100.0000"/>
    <n v="113.4"/>
    <s v="11"/>
    <s v="6100"/>
    <n v="21904.93"/>
    <n v="113.4"/>
    <s v="CREDITOR"/>
    <n v="0"/>
    <n v="0"/>
    <n v="0"/>
    <n v="0"/>
    <n v="113.4"/>
  </r>
  <r>
    <n v="21023770"/>
    <s v="N"/>
    <n v="21330689"/>
    <s v="3000008507410022"/>
    <s v="CIVIL"/>
    <d v="2023-06-29T00:00:00"/>
    <d v="2023-07-05T19:01:47"/>
    <m/>
    <d v="2023-07-05T00:00:00"/>
    <n v="2024"/>
    <n v="1248"/>
    <s v="21023770"/>
    <s v="21023770"/>
    <m/>
    <m/>
    <n v="22790290"/>
    <m/>
    <m/>
    <m/>
    <s v="SOLINT"/>
    <s v="SOLINT"/>
    <s v="CCMS"/>
    <n v="21330689"/>
    <n v="22300.73"/>
    <m/>
    <s v="N"/>
    <n v="176"/>
    <d v="2023-07-05T19:01:52"/>
    <s v="Y"/>
    <s v="Preparation - other"/>
    <s v="VHCC"/>
    <s v="Profit Cost"/>
    <s v="NK"/>
    <s v="Y"/>
    <n v="41.58"/>
    <n v="8.32"/>
    <x v="6"/>
    <s v="VALIDATED"/>
    <n v="1"/>
    <s v="01.11.80.302.6100.0000"/>
    <n v="41.58"/>
    <s v="11"/>
    <s v="6100"/>
    <n v="21904.93"/>
    <n v="41.58"/>
    <s v="CREDITOR"/>
    <n v="0"/>
    <n v="0"/>
    <n v="0"/>
    <n v="0"/>
    <n v="41.58"/>
  </r>
  <r>
    <n v="21023770"/>
    <s v="N"/>
    <n v="21330689"/>
    <s v="3000008507410022"/>
    <s v="CIVIL"/>
    <d v="2023-06-29T00:00:00"/>
    <d v="2023-07-05T19:01:47"/>
    <m/>
    <d v="2023-07-05T00:00:00"/>
    <n v="2024"/>
    <n v="1248"/>
    <s v="21023770"/>
    <s v="21023770"/>
    <m/>
    <m/>
    <n v="22790290"/>
    <m/>
    <m/>
    <m/>
    <s v="SOLINT"/>
    <s v="SOLINT"/>
    <s v="CCMS"/>
    <n v="21330689"/>
    <n v="22300.73"/>
    <m/>
    <s v="N"/>
    <n v="199"/>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74"/>
    <d v="2023-07-05T19:01:52"/>
    <s v="Y"/>
    <s v="Preparation - drafting attendance n"/>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80"/>
    <d v="2023-07-05T19:01:52"/>
    <s v="Y"/>
    <s v="Preparation - other"/>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46"/>
    <d v="2023-07-05T19:01:52"/>
    <s v="Y"/>
    <s v="Preparation - other"/>
    <s v="VHCC"/>
    <s v="Profit Cost"/>
    <s v="JS-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24"/>
    <d v="2023-07-05T19:01:52"/>
    <s v="Y"/>
    <s v="Preparation - drafting statement"/>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38"/>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290"/>
    <d v="2023-07-05T19:01:52"/>
    <s v="Y"/>
    <s v="Preparation - other"/>
    <s v="VHCC"/>
    <s v="Profit Cost"/>
    <s v="BM-25"/>
    <s v="Y"/>
    <n v="22.28"/>
    <n v="4.46"/>
    <x v="6"/>
    <s v="VALIDATED"/>
    <n v="1"/>
    <s v="01.11.80.302.6100.0000"/>
    <n v="22.28"/>
    <s v="11"/>
    <s v="6100"/>
    <n v="21904.93"/>
    <n v="22.28"/>
    <s v="CREDITOR"/>
    <n v="0"/>
    <n v="0"/>
    <n v="0"/>
    <n v="0"/>
    <n v="22.28"/>
  </r>
  <r>
    <n v="60111297"/>
    <s v="N"/>
    <n v="21382564"/>
    <s v="3000014438350006"/>
    <s v="CIVIL"/>
    <d v="2023-06-09T00:00:00"/>
    <d v="2023-07-17T19:01:46"/>
    <m/>
    <d v="2023-07-17T00:00:00"/>
    <n v="2024"/>
    <n v="1248"/>
    <s v="60111297"/>
    <s v="60111297"/>
    <m/>
    <m/>
    <n v="22661122"/>
    <m/>
    <m/>
    <m/>
    <s v="SOLFIN"/>
    <s v="SOLFIN"/>
    <s v="CCMS"/>
    <n v="21382564"/>
    <n v="8480.219999999999"/>
    <m/>
    <s v="N"/>
    <n v="6"/>
    <d v="2023-07-17T19:02:16"/>
    <s v="N"/>
    <s v="Level 4 Fixed Fee"/>
    <s v="Domestic Abuse"/>
    <s v="Profit Cost"/>
    <s v="BM"/>
    <s v="N"/>
    <n v="0"/>
    <n v="0"/>
    <x v="8"/>
    <s v="VALIDATED"/>
    <n v="1"/>
    <s v="01.11.80.302.6100.0000"/>
    <n v="0"/>
    <s v="11"/>
    <s v="6100"/>
    <n v="21904.93"/>
    <n v="0"/>
    <s v="CREDITOR"/>
    <n v="0"/>
    <n v="0"/>
    <n v="0"/>
    <n v="0"/>
    <n v="0"/>
  </r>
  <r>
    <n v="21023770"/>
    <s v="N"/>
    <n v="21330689"/>
    <s v="3000008507410022"/>
    <s v="CIVIL"/>
    <d v="2023-06-29T00:00:00"/>
    <d v="2023-07-05T19:01:47"/>
    <m/>
    <d v="2023-07-05T00:00:00"/>
    <n v="2024"/>
    <n v="1248"/>
    <s v="21023770"/>
    <s v="21023770"/>
    <m/>
    <m/>
    <n v="22790290"/>
    <m/>
    <m/>
    <m/>
    <s v="SOLINT"/>
    <s v="SOLINT"/>
    <s v="CCMS"/>
    <n v="21330689"/>
    <n v="22300.73"/>
    <m/>
    <s v="N"/>
    <n v="285"/>
    <d v="2023-07-05T19:01:52"/>
    <s v="Y"/>
    <s v="Preparation - other"/>
    <s v="VHCC"/>
    <s v="Profit Cost"/>
    <s v="BM-25"/>
    <s v="Y"/>
    <n v="74.25"/>
    <n v="14.85"/>
    <x v="6"/>
    <s v="VALIDATED"/>
    <n v="1"/>
    <s v="01.11.80.302.6100.0000"/>
    <n v="74.25"/>
    <s v="11"/>
    <s v="6100"/>
    <n v="21904.93"/>
    <n v="74.25"/>
    <s v="CREDITOR"/>
    <n v="0"/>
    <n v="0"/>
    <n v="0"/>
    <n v="0"/>
    <n v="74.25"/>
  </r>
  <r>
    <n v="21023770"/>
    <s v="N"/>
    <n v="21330689"/>
    <s v="3000008507410022"/>
    <s v="CIVIL"/>
    <d v="2023-06-29T00:00:00"/>
    <d v="2023-07-05T19:01:47"/>
    <m/>
    <d v="2023-07-05T00:00:00"/>
    <n v="2024"/>
    <n v="1248"/>
    <s v="21023770"/>
    <s v="21023770"/>
    <m/>
    <m/>
    <n v="22790290"/>
    <m/>
    <m/>
    <m/>
    <s v="SOLINT"/>
    <s v="SOLINT"/>
    <s v="CCMS"/>
    <n v="21330689"/>
    <n v="22300.73"/>
    <m/>
    <s v="N"/>
    <n v="166"/>
    <d v="2023-07-05T19:01:52"/>
    <s v="Y"/>
    <s v="Preparation - other"/>
    <s v="VHCC"/>
    <s v="Profit Cost"/>
    <s v="NK"/>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70"/>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45"/>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18"/>
    <d v="2023-07-05T19:01:52"/>
    <s v="Y"/>
    <s v="Attendance upon client"/>
    <s v="VHCC"/>
    <s v="Profit Cost"/>
    <s v="BM-25"/>
    <s v="Y"/>
    <n v="51.98"/>
    <n v="10.4"/>
    <x v="6"/>
    <s v="VALIDATED"/>
    <n v="1"/>
    <s v="01.11.80.302.6100.0000"/>
    <n v="51.98"/>
    <s v="11"/>
    <s v="6100"/>
    <n v="21904.93"/>
    <n v="51.98"/>
    <s v="CREDITOR"/>
    <n v="0"/>
    <n v="0"/>
    <n v="0"/>
    <n v="0"/>
    <n v="51.98"/>
  </r>
  <r>
    <n v="21023770"/>
    <s v="N"/>
    <n v="21330689"/>
    <s v="3000008507410022"/>
    <s v="CIVIL"/>
    <d v="2023-06-29T00:00:00"/>
    <d v="2023-07-05T19:01:47"/>
    <m/>
    <d v="2023-07-05T00:00:00"/>
    <n v="2024"/>
    <n v="1248"/>
    <s v="21023770"/>
    <s v="21023770"/>
    <m/>
    <m/>
    <n v="22790290"/>
    <m/>
    <m/>
    <m/>
    <s v="SOLINT"/>
    <s v="SOLINT"/>
    <s v="CCMS"/>
    <n v="21330689"/>
    <n v="22300.73"/>
    <m/>
    <s v="N"/>
    <n v="127"/>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70"/>
    <d v="2023-07-05T19:01:52"/>
    <s v="Y"/>
    <s v="Attendance upon client"/>
    <s v="VHCC"/>
    <s v="Profit Cost"/>
    <s v="BM-25"/>
    <s v="Y"/>
    <n v="37.13"/>
    <n v="7.43"/>
    <x v="6"/>
    <s v="VALIDATED"/>
    <n v="1"/>
    <s v="01.11.80.302.6100.0000"/>
    <n v="37.13"/>
    <s v="11"/>
    <s v="6100"/>
    <n v="21904.93"/>
    <n v="37.13"/>
    <s v="CREDITOR"/>
    <n v="0"/>
    <n v="0"/>
    <n v="0"/>
    <n v="0"/>
    <n v="37.13"/>
  </r>
  <r>
    <n v="62121849"/>
    <s v="N"/>
    <n v="21324115"/>
    <s v="3000016145060003"/>
    <s v="CIVIL"/>
    <d v="2023-06-30T00:00:00"/>
    <d v="2023-07-03T19:05:56"/>
    <m/>
    <d v="2023-07-03T00:00:00"/>
    <n v="2024"/>
    <n v="1248"/>
    <s v="62121849"/>
    <s v="62121849"/>
    <m/>
    <m/>
    <n v="22795488"/>
    <m/>
    <m/>
    <m/>
    <s v="SOLPOA"/>
    <s v="SOLPOA"/>
    <s v="CCMS"/>
    <n v="21324115"/>
    <n v="863.04"/>
    <m/>
    <s v="N"/>
    <n v="1"/>
    <d v="2023-07-03T19:06:00"/>
    <s v="N"/>
    <s v="Profit Cost"/>
    <s v="Profit Cost"/>
    <s v="Profit Cost"/>
    <s v="Alison Denham"/>
    <s v="N"/>
    <n v="719.2"/>
    <n v="143.84"/>
    <x v="3"/>
    <s v="VALIDATED"/>
    <n v="1"/>
    <s v="01.11.80.208.2012.0000"/>
    <n v="719.2"/>
    <s v="11"/>
    <s v="2012"/>
    <n v="21904.93"/>
    <n v="719.2"/>
    <s v="CREDITOR"/>
    <n v="719.2"/>
    <n v="179.8"/>
    <n v="0"/>
    <n v="0"/>
    <n v="0"/>
  </r>
  <r>
    <n v="21023770"/>
    <s v="N"/>
    <n v="21330689"/>
    <s v="3000008507410022"/>
    <s v="CIVIL"/>
    <d v="2023-06-29T00:00:00"/>
    <d v="2023-07-05T19:01:47"/>
    <m/>
    <d v="2023-07-05T00:00:00"/>
    <n v="2024"/>
    <n v="1248"/>
    <s v="21023770"/>
    <s v="21023770"/>
    <m/>
    <m/>
    <n v="22790290"/>
    <m/>
    <m/>
    <m/>
    <s v="SOLINT"/>
    <s v="SOLINT"/>
    <s v="CCMS"/>
    <n v="21330689"/>
    <n v="22300.73"/>
    <m/>
    <s v="N"/>
    <n v="301"/>
    <d v="2023-07-05T19:01:52"/>
    <s v="Y"/>
    <s v="Preparation - other"/>
    <s v="VHCC"/>
    <s v="Profit Cost"/>
    <s v="NK-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22"/>
    <d v="2023-07-05T19:01:52"/>
    <s v="Y"/>
    <s v="Preparation - drafting statement"/>
    <s v="VHCC"/>
    <s v="Profit Cost"/>
    <s v="BM-25"/>
    <s v="Y"/>
    <n v="96.53"/>
    <n v="19.31"/>
    <x v="6"/>
    <s v="VALIDATED"/>
    <n v="1"/>
    <s v="01.11.80.302.6100.0000"/>
    <n v="96.53"/>
    <s v="11"/>
    <s v="6100"/>
    <n v="21904.93"/>
    <n v="96.53"/>
    <s v="CREDITOR"/>
    <n v="0"/>
    <n v="0"/>
    <n v="0"/>
    <n v="0"/>
    <n v="96.53"/>
  </r>
  <r>
    <n v="21023770"/>
    <s v="N"/>
    <n v="21330689"/>
    <s v="3000008507410022"/>
    <s v="CIVIL"/>
    <d v="2023-06-29T00:00:00"/>
    <d v="2023-07-05T19:01:47"/>
    <m/>
    <d v="2023-07-05T00:00:00"/>
    <n v="2024"/>
    <n v="1248"/>
    <s v="21023770"/>
    <s v="21023770"/>
    <m/>
    <m/>
    <n v="22790290"/>
    <m/>
    <m/>
    <m/>
    <s v="SOLINT"/>
    <s v="SOLINT"/>
    <s v="CCMS"/>
    <n v="21330689"/>
    <n v="22300.73"/>
    <m/>
    <s v="N"/>
    <n v="257"/>
    <d v="2023-07-05T19:01:52"/>
    <s v="Y"/>
    <s v="Preparation - other"/>
    <s v="VHCC"/>
    <s v="Profit Cost"/>
    <s v="BM-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10"/>
    <d v="2023-07-05T19:01:52"/>
    <s v="Y"/>
    <s v="Attendance upon Counsel"/>
    <s v="VHCC"/>
    <s v="Profit Cost"/>
    <s v="BM"/>
    <s v="Y"/>
    <n v="25.92"/>
    <n v="5.18"/>
    <x v="6"/>
    <s v="VALIDATED"/>
    <n v="1"/>
    <s v="01.11.80.302.6100.0000"/>
    <n v="25.92"/>
    <s v="11"/>
    <s v="6100"/>
    <n v="21904.93"/>
    <n v="25.92"/>
    <s v="CREDITOR"/>
    <n v="0"/>
    <n v="0"/>
    <n v="0"/>
    <n v="0"/>
    <n v="25.92"/>
  </r>
  <r>
    <n v="60616722"/>
    <s v="N"/>
    <n v="21360256"/>
    <s v="3000014869950015"/>
    <s v="CIVIL"/>
    <d v="2023-06-29T00:00:00"/>
    <d v="2023-07-11T11:50:54"/>
    <m/>
    <d v="2023-07-11T00:00:00"/>
    <n v="2024"/>
    <n v="1248"/>
    <s v="60616722"/>
    <s v="60616722"/>
    <m/>
    <m/>
    <n v="22789672"/>
    <m/>
    <m/>
    <m/>
    <s v="SOLFIN"/>
    <s v="SOLFIN"/>
    <s v="CCMS"/>
    <n v="21360256"/>
    <n v="13584.79"/>
    <m/>
    <s v="N"/>
    <n v="9"/>
    <d v="2023-07-11T11:50:59"/>
    <s v="Y"/>
    <s v="Hearing Unit 2.31 - 5.00 Hours"/>
    <s v="Public Law Children"/>
    <s v="Advocacy"/>
    <s v="OC"/>
    <s v="Y"/>
    <n v="476.92"/>
    <n v="95.38"/>
    <x v="7"/>
    <s v="VALIDATED"/>
    <n v="1"/>
    <s v="01.11.80.308.6100.0000"/>
    <n v="476.92"/>
    <s v="11"/>
    <s v="6100"/>
    <n v="21904.93"/>
    <n v="476.92"/>
    <s v="CREDITOR"/>
    <n v="0"/>
    <n v="0"/>
    <n v="0"/>
    <n v="0"/>
    <n v="476.92"/>
  </r>
  <r>
    <n v="21023770"/>
    <s v="N"/>
    <n v="21330689"/>
    <s v="3000008507410022"/>
    <s v="CIVIL"/>
    <d v="2023-06-29T00:00:00"/>
    <d v="2023-07-05T19:01:47"/>
    <m/>
    <d v="2023-07-05T00:00:00"/>
    <n v="2024"/>
    <n v="1248"/>
    <s v="21023770"/>
    <s v="21023770"/>
    <m/>
    <m/>
    <n v="22790290"/>
    <m/>
    <m/>
    <m/>
    <s v="SOLINT"/>
    <s v="SOLINT"/>
    <s v="CCMS"/>
    <n v="21330689"/>
    <n v="22300.73"/>
    <m/>
    <s v="N"/>
    <n v="49"/>
    <d v="2023-07-05T19:01:52"/>
    <s v="Y"/>
    <s v="Preparation - other"/>
    <s v="VHCC"/>
    <s v="Profit Cost"/>
    <s v="OD-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343"/>
    <d v="2023-07-05T19:01:52"/>
    <s v="Y"/>
    <s v="Police Records"/>
    <s v="VHCC"/>
    <s v="Non Expert Disbursement"/>
    <s v="JS"/>
    <s v="Y"/>
    <n v="252.64"/>
    <n v="0"/>
    <x v="6"/>
    <s v="VALIDATED"/>
    <n v="1"/>
    <s v="01.11.80.302.6300.0000"/>
    <n v="252.64"/>
    <s v="11"/>
    <s v="6300"/>
    <n v="21904.93"/>
    <n v="252.64"/>
    <s v="CREDITOR"/>
    <n v="0"/>
    <n v="0"/>
    <n v="0"/>
    <n v="0"/>
    <n v="252.64"/>
  </r>
  <r>
    <n v="21023770"/>
    <s v="N"/>
    <n v="21330689"/>
    <s v="3000008507410022"/>
    <s v="CIVIL"/>
    <d v="2023-06-29T00:00:00"/>
    <d v="2023-07-05T19:01:47"/>
    <m/>
    <d v="2023-07-05T00:00:00"/>
    <n v="2024"/>
    <n v="1248"/>
    <s v="21023770"/>
    <s v="21023770"/>
    <m/>
    <m/>
    <n v="22790290"/>
    <m/>
    <m/>
    <m/>
    <s v="SOLINT"/>
    <s v="SOLINT"/>
    <s v="CCMS"/>
    <n v="21330689"/>
    <n v="22300.73"/>
    <m/>
    <s v="N"/>
    <n v="191"/>
    <d v="2023-07-05T19:01:52"/>
    <s v="Y"/>
    <s v="Preparation - other"/>
    <s v="VHCC"/>
    <s v="Profit Cost"/>
    <s v="BM-25"/>
    <s v="Y"/>
    <n v="59.4"/>
    <n v="11.88"/>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13"/>
    <d v="2023-07-05T19:01:53"/>
    <s v="Y"/>
    <s v="Preparation - other"/>
    <s v="VHCC"/>
    <s v="Profit Cost"/>
    <s v="EW-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223"/>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98"/>
    <d v="2023-07-05T19:01:52"/>
    <s v="Y"/>
    <s v="Preparation - drafting instructions"/>
    <s v="VHCC"/>
    <s v="Profit Cost"/>
    <s v="BM-25"/>
    <s v="Y"/>
    <n v="51.98"/>
    <n v="10.4"/>
    <x v="6"/>
    <s v="VALIDATED"/>
    <n v="1"/>
    <s v="01.11.80.302.6100.0000"/>
    <n v="51.98"/>
    <s v="11"/>
    <s v="6100"/>
    <n v="21904.93"/>
    <n v="51.98"/>
    <s v="CREDITOR"/>
    <n v="0"/>
    <n v="0"/>
    <n v="0"/>
    <n v="0"/>
    <n v="51.98"/>
  </r>
  <r>
    <n v="21023770"/>
    <s v="N"/>
    <n v="21330689"/>
    <s v="3000008507410022"/>
    <s v="CIVIL"/>
    <d v="2023-06-29T00:00:00"/>
    <d v="2023-07-05T19:01:47"/>
    <m/>
    <d v="2023-07-05T00:00:00"/>
    <n v="2024"/>
    <n v="1248"/>
    <s v="21023770"/>
    <s v="21023770"/>
    <m/>
    <m/>
    <n v="22790290"/>
    <m/>
    <m/>
    <m/>
    <s v="SOLINT"/>
    <s v="SOLINT"/>
    <s v="CCMS"/>
    <n v="21330689"/>
    <n v="22300.73"/>
    <m/>
    <s v="N"/>
    <n v="30"/>
    <d v="2023-07-05T19:01:52"/>
    <s v="Y"/>
    <s v="Preparation - drafting statement"/>
    <s v="VHCC"/>
    <s v="Profit Cost"/>
    <s v="KBE"/>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145"/>
    <d v="2023-07-05T19:01:52"/>
    <s v="Y"/>
    <s v="Preparation - drafting attendance n"/>
    <s v="VHCC"/>
    <s v="Profit Cost"/>
    <s v="BM"/>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291"/>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13"/>
    <d v="2023-07-05T19:01:52"/>
    <s v="Y"/>
    <s v="Report - Medical report"/>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29"/>
    <d v="2023-07-05T19:01:52"/>
    <s v="Y"/>
    <s v="Preparation - other"/>
    <s v="VHCC"/>
    <s v="Profit Cost"/>
    <s v="BM-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17"/>
    <d v="2023-07-05T19:01:53"/>
    <s v="Y"/>
    <s v="Preparation - drafting attendance n"/>
    <s v="VHCC"/>
    <s v="Profit Cost"/>
    <s v="EW"/>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47"/>
    <d v="2023-07-05T19:01:52"/>
    <s v="Y"/>
    <s v="Attendance upon client"/>
    <s v="VHCC"/>
    <s v="Profit Cost"/>
    <s v="JS-25"/>
    <s v="Y"/>
    <n v="44.55"/>
    <n v="8.91"/>
    <x v="6"/>
    <s v="VALIDATED"/>
    <n v="1"/>
    <s v="01.11.80.302.6100.0000"/>
    <n v="44.55"/>
    <s v="11"/>
    <s v="6100"/>
    <n v="21904.93"/>
    <n v="44.55"/>
    <s v="CREDITOR"/>
    <n v="0"/>
    <n v="0"/>
    <n v="0"/>
    <n v="0"/>
    <n v="44.55"/>
  </r>
  <r>
    <n v="21023770"/>
    <s v="N"/>
    <n v="21330689"/>
    <s v="3000008507410022"/>
    <s v="CIVIL"/>
    <d v="2023-06-29T00:00:00"/>
    <d v="2023-07-05T19:01:47"/>
    <m/>
    <d v="2023-07-05T00:00:00"/>
    <n v="2024"/>
    <n v="1248"/>
    <s v="21023770"/>
    <s v="21023770"/>
    <m/>
    <m/>
    <n v="22790290"/>
    <m/>
    <m/>
    <m/>
    <s v="SOLINT"/>
    <s v="SOLINT"/>
    <s v="CCMS"/>
    <n v="21330689"/>
    <n v="22300.73"/>
    <m/>
    <s v="N"/>
    <n v="86"/>
    <d v="2023-07-05T19:01:52"/>
    <s v="Y"/>
    <s v="Preparation - other"/>
    <s v="VHCC"/>
    <s v="Profit Cost"/>
    <s v="BM-25"/>
    <s v="Y"/>
    <n v="7.43"/>
    <n v="1.49"/>
    <x v="6"/>
    <s v="VALIDATED"/>
    <n v="1"/>
    <s v="01.11.80.302.6100.0000"/>
    <n v="7.43"/>
    <s v="11"/>
    <s v="6100"/>
    <n v="21904.93"/>
    <n v="7.43"/>
    <s v="CREDITOR"/>
    <n v="0"/>
    <n v="0"/>
    <n v="0"/>
    <n v="0"/>
    <n v="7.43"/>
  </r>
  <r>
    <n v="21023770"/>
    <s v="N"/>
    <n v="21330720"/>
    <s v="3000008507410023"/>
    <s v="CIVIL"/>
    <d v="2023-06-29T00:00:00"/>
    <d v="2023-07-05T19:01:47"/>
    <m/>
    <d v="2023-07-05T00:00:00"/>
    <n v="2024"/>
    <n v="1248"/>
    <s v="21023770"/>
    <s v="21023770"/>
    <m/>
    <m/>
    <n v="22790312"/>
    <m/>
    <m/>
    <m/>
    <s v="SOLINT"/>
    <s v="SOLINT"/>
    <s v="CCMS"/>
    <n v="21330720"/>
    <n v="2175.89"/>
    <m/>
    <s v="N"/>
    <n v="20"/>
    <d v="2023-07-05T19:01:53"/>
    <s v="Y"/>
    <s v="Preparation - other"/>
    <s v="VHCC"/>
    <s v="Profit Cost"/>
    <s v="EW-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07"/>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69"/>
    <d v="2023-07-05T19:01:52"/>
    <s v="Y"/>
    <s v="Preparation - other"/>
    <s v="VHCC"/>
    <s v="Profit Cost"/>
    <s v="BM-25"/>
    <s v="Y"/>
    <n v="7.43"/>
    <n v="1.49"/>
    <x v="6"/>
    <s v="VALIDATED"/>
    <n v="1"/>
    <s v="01.11.80.302.6100.0000"/>
    <n v="7.43"/>
    <s v="11"/>
    <s v="6100"/>
    <n v="21904.93"/>
    <n v="7.43"/>
    <s v="CREDITOR"/>
    <n v="0"/>
    <n v="0"/>
    <n v="0"/>
    <n v="0"/>
    <n v="7.43"/>
  </r>
  <r>
    <n v="21023770"/>
    <s v="N"/>
    <n v="21330720"/>
    <s v="3000008507410023"/>
    <s v="CIVIL"/>
    <d v="2023-06-29T00:00:00"/>
    <d v="2023-07-05T19:01:47"/>
    <m/>
    <d v="2023-07-05T00:00:00"/>
    <n v="2024"/>
    <n v="1248"/>
    <s v="21023770"/>
    <s v="21023770"/>
    <m/>
    <m/>
    <n v="22790312"/>
    <m/>
    <m/>
    <m/>
    <s v="SOLINT"/>
    <s v="SOLINT"/>
    <s v="CCMS"/>
    <n v="21330720"/>
    <n v="2175.89"/>
    <m/>
    <s v="N"/>
    <n v="48"/>
    <d v="2023-07-05T19:01:53"/>
    <s v="Y"/>
    <s v="Item - Routine Telephone Call"/>
    <s v="VHCC"/>
    <s v="Profit Cost"/>
    <s v="JS-P"/>
    <s v="Y"/>
    <n v="6.21"/>
    <n v="1.24"/>
    <x v="6"/>
    <s v="VALIDATED"/>
    <n v="1"/>
    <s v="01.11.80.302.6100.0000"/>
    <n v="6.21"/>
    <s v="11"/>
    <s v="6100"/>
    <n v="21904.93"/>
    <n v="6.21"/>
    <s v="CREDITOR"/>
    <n v="0"/>
    <n v="0"/>
    <n v="0"/>
    <n v="0"/>
    <n v="6.21"/>
  </r>
  <r>
    <n v="21023770"/>
    <s v="N"/>
    <n v="21330689"/>
    <s v="3000008507410022"/>
    <s v="CIVIL"/>
    <d v="2023-06-29T00:00:00"/>
    <d v="2023-07-05T19:01:47"/>
    <m/>
    <d v="2023-07-05T00:00:00"/>
    <n v="2024"/>
    <n v="1248"/>
    <s v="21023770"/>
    <s v="21023770"/>
    <m/>
    <m/>
    <n v="22790290"/>
    <m/>
    <m/>
    <m/>
    <s v="SOLINT"/>
    <s v="SOLINT"/>
    <s v="CCMS"/>
    <n v="21330689"/>
    <n v="22300.73"/>
    <m/>
    <s v="N"/>
    <n v="321"/>
    <d v="2023-07-05T19:01:52"/>
    <s v="Y"/>
    <s v="Preparation - drafting attendance n"/>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33"/>
    <d v="2023-07-05T19:01:52"/>
    <s v="Y"/>
    <s v="Preparation - drafting application"/>
    <s v="VHCC"/>
    <s v="Profit Cost"/>
    <s v="KBE-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27"/>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04"/>
    <d v="2023-07-05T19:01:52"/>
    <s v="Y"/>
    <s v="Preparation - other"/>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143"/>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49"/>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12"/>
    <d v="2023-07-05T19:01:52"/>
    <s v="Y"/>
    <s v="Preparation - other"/>
    <s v="VHCC"/>
    <s v="Profit Cost"/>
    <s v="BM-25"/>
    <s v="Y"/>
    <n v="14.85"/>
    <n v="2.97"/>
    <x v="6"/>
    <s v="VALIDATED"/>
    <n v="1"/>
    <s v="01.11.80.302.6100.0000"/>
    <n v="14.85"/>
    <s v="11"/>
    <s v="6100"/>
    <n v="21904.93"/>
    <n v="14.85"/>
    <s v="CREDITOR"/>
    <n v="0"/>
    <n v="0"/>
    <n v="0"/>
    <n v="0"/>
    <n v="14.85"/>
  </r>
  <r>
    <n v="60616722"/>
    <s v="N"/>
    <n v="21360256"/>
    <s v="3000014869950015"/>
    <s v="CIVIL"/>
    <d v="2023-06-29T00:00:00"/>
    <d v="2023-07-11T11:50:54"/>
    <m/>
    <d v="2023-07-11T00:00:00"/>
    <n v="2024"/>
    <n v="1248"/>
    <s v="60616722"/>
    <s v="60616722"/>
    <m/>
    <m/>
    <n v="22789672"/>
    <m/>
    <m/>
    <m/>
    <s v="SOLFIN"/>
    <s v="SOLFIN"/>
    <s v="CCMS"/>
    <n v="21360256"/>
    <n v="13584.79"/>
    <m/>
    <s v="N"/>
    <n v="15"/>
    <d v="2023-07-11T11:50:59"/>
    <s v="Y"/>
    <s v="Interim Hearing Court Bundle/Advoca"/>
    <s v="Public Law Children"/>
    <s v="Advocacy"/>
    <s v="OC"/>
    <s v="Y"/>
    <n v="89.09999999999999"/>
    <n v="17.82"/>
    <x v="7"/>
    <s v="VALIDATED"/>
    <n v="1"/>
    <s v="01.11.80.308.6100.0000"/>
    <n v="89.09999999999999"/>
    <s v="11"/>
    <s v="6100"/>
    <n v="21904.93"/>
    <n v="89.09999999999999"/>
    <s v="CREDITOR"/>
    <n v="0"/>
    <n v="0"/>
    <n v="0"/>
    <n v="0"/>
    <n v="89.09999999999999"/>
  </r>
  <r>
    <n v="60616722"/>
    <s v="N"/>
    <n v="21360256"/>
    <s v="3000014869950015"/>
    <s v="CIVIL"/>
    <d v="2023-06-29T00:00:00"/>
    <d v="2023-07-11T11:50:54"/>
    <m/>
    <d v="2023-07-11T00:00:00"/>
    <n v="2024"/>
    <n v="1248"/>
    <s v="60616722"/>
    <s v="60616722"/>
    <m/>
    <m/>
    <n v="22789672"/>
    <m/>
    <m/>
    <m/>
    <s v="SOLFIN"/>
    <s v="SOLFIN"/>
    <s v="CCMS"/>
    <n v="21360256"/>
    <n v="13584.79"/>
    <m/>
    <s v="N"/>
    <n v="6"/>
    <d v="2023-07-11T11:50:59"/>
    <s v="Y"/>
    <s v="Hearing Unit 2.31 - 5.00 Hours"/>
    <s v="Public Law Children"/>
    <s v="Advocacy"/>
    <s v="OC"/>
    <s v="Y"/>
    <n v="476.92"/>
    <n v="95.38"/>
    <x v="7"/>
    <s v="VALIDATED"/>
    <n v="1"/>
    <s v="01.11.80.308.6100.0000"/>
    <n v="476.92"/>
    <s v="11"/>
    <s v="6100"/>
    <n v="21904.93"/>
    <n v="476.92"/>
    <s v="CREDITOR"/>
    <n v="0"/>
    <n v="0"/>
    <n v="0"/>
    <n v="0"/>
    <n v="476.92"/>
  </r>
  <r>
    <n v="21023770"/>
    <s v="N"/>
    <n v="21330689"/>
    <s v="3000008507410022"/>
    <s v="CIVIL"/>
    <d v="2023-06-29T00:00:00"/>
    <d v="2023-07-05T19:01:47"/>
    <m/>
    <d v="2023-07-05T00:00:00"/>
    <n v="2024"/>
    <n v="1248"/>
    <s v="21023770"/>
    <s v="21023770"/>
    <m/>
    <m/>
    <n v="22790290"/>
    <m/>
    <m/>
    <m/>
    <s v="SOLINT"/>
    <s v="SOLINT"/>
    <s v="CCMS"/>
    <n v="21330689"/>
    <n v="22300.73"/>
    <m/>
    <s v="N"/>
    <n v="79"/>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1"/>
    <d v="2023-07-05T19:01:52"/>
    <s v="Y"/>
    <s v="Preparation - other"/>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03"/>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78"/>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84"/>
    <d v="2023-07-05T19:01:52"/>
    <s v="Y"/>
    <s v="Preparation - drafting statement"/>
    <s v="VHCC"/>
    <s v="Profit Cost"/>
    <s v="BM-25"/>
    <s v="Y"/>
    <n v="74.25"/>
    <n v="14.85"/>
    <x v="6"/>
    <s v="VALIDATED"/>
    <n v="1"/>
    <s v="01.11.80.302.6100.0000"/>
    <n v="74.25"/>
    <s v="11"/>
    <s v="6100"/>
    <n v="21904.93"/>
    <n v="74.25"/>
    <s v="CREDITOR"/>
    <n v="0"/>
    <n v="0"/>
    <n v="0"/>
    <n v="0"/>
    <n v="74.25"/>
  </r>
  <r>
    <n v="21023770"/>
    <s v="N"/>
    <n v="21330689"/>
    <s v="3000008507410022"/>
    <s v="CIVIL"/>
    <d v="2023-06-29T00:00:00"/>
    <d v="2023-07-05T19:01:47"/>
    <m/>
    <d v="2023-07-05T00:00:00"/>
    <n v="2024"/>
    <n v="1248"/>
    <s v="21023770"/>
    <s v="21023770"/>
    <m/>
    <m/>
    <n v="22790290"/>
    <m/>
    <m/>
    <m/>
    <s v="SOLINT"/>
    <s v="SOLINT"/>
    <s v="CCMS"/>
    <n v="21330689"/>
    <n v="22300.73"/>
    <m/>
    <s v="N"/>
    <n v="218"/>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338"/>
    <d v="2023-07-05T19:01:52"/>
    <s v="Y"/>
    <s v="Item - Routine Outgoing letter"/>
    <s v="VHCC"/>
    <s v="Profit Cost"/>
    <s v="JS-P"/>
    <s v="Y"/>
    <n v="31.05"/>
    <n v="6.21"/>
    <x v="6"/>
    <s v="VALIDATED"/>
    <n v="1"/>
    <s v="01.11.80.302.6100.0000"/>
    <n v="31.05"/>
    <s v="11"/>
    <s v="6100"/>
    <n v="21904.93"/>
    <n v="31.05"/>
    <s v="CREDITOR"/>
    <n v="0"/>
    <n v="0"/>
    <n v="0"/>
    <n v="0"/>
    <n v="31.05"/>
  </r>
  <r>
    <n v="21023770"/>
    <s v="N"/>
    <n v="21330689"/>
    <s v="3000008507410022"/>
    <s v="CIVIL"/>
    <d v="2023-06-29T00:00:00"/>
    <d v="2023-07-05T19:01:47"/>
    <m/>
    <d v="2023-07-05T00:00:00"/>
    <n v="2024"/>
    <n v="1248"/>
    <s v="21023770"/>
    <s v="21023770"/>
    <m/>
    <m/>
    <n v="22790290"/>
    <m/>
    <m/>
    <m/>
    <s v="SOLINT"/>
    <s v="SOLINT"/>
    <s v="CCMS"/>
    <n v="21330689"/>
    <n v="22300.73"/>
    <m/>
    <s v="N"/>
    <n v="134"/>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58"/>
    <d v="2023-07-05T19:01:52"/>
    <s v="Y"/>
    <s v="Preparation - drafting attendance n"/>
    <s v="VHCC"/>
    <s v="Profit Cost"/>
    <s v="BM"/>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292"/>
    <d v="2023-07-05T19:01:52"/>
    <s v="Y"/>
    <s v="Attendance upon client"/>
    <s v="VHCC"/>
    <s v="Profit Cost"/>
    <s v="BM-25"/>
    <s v="Y"/>
    <n v="133.65"/>
    <n v="26.73"/>
    <x v="6"/>
    <s v="VALIDATED"/>
    <n v="1"/>
    <s v="01.11.80.302.6100.0000"/>
    <n v="133.65"/>
    <s v="11"/>
    <s v="6100"/>
    <n v="21904.93"/>
    <n v="133.65"/>
    <s v="CREDITOR"/>
    <n v="0"/>
    <n v="0"/>
    <n v="0"/>
    <n v="0"/>
    <n v="133.65"/>
  </r>
  <r>
    <n v="21023770"/>
    <s v="N"/>
    <n v="21330689"/>
    <s v="3000008507410022"/>
    <s v="CIVIL"/>
    <d v="2023-06-29T00:00:00"/>
    <d v="2023-07-05T19:01:47"/>
    <m/>
    <d v="2023-07-05T00:00:00"/>
    <n v="2024"/>
    <n v="1248"/>
    <s v="21023770"/>
    <s v="21023770"/>
    <m/>
    <m/>
    <n v="22790290"/>
    <m/>
    <m/>
    <m/>
    <s v="SOLINT"/>
    <s v="SOLINT"/>
    <s v="CCMS"/>
    <n v="21330689"/>
    <n v="22300.73"/>
    <m/>
    <s v="N"/>
    <n v="53"/>
    <d v="2023-07-05T19:01:52"/>
    <s v="Y"/>
    <s v="Preparation - other"/>
    <s v="VHCC"/>
    <s v="Profit Cost"/>
    <s v="OD-25"/>
    <s v="Y"/>
    <n v="14.85"/>
    <n v="2.97"/>
    <x v="6"/>
    <s v="VALIDATED"/>
    <n v="1"/>
    <s v="01.11.80.302.6100.0000"/>
    <n v="14.85"/>
    <s v="11"/>
    <s v="6100"/>
    <n v="21904.93"/>
    <n v="14.85"/>
    <s v="CREDITOR"/>
    <n v="0"/>
    <n v="0"/>
    <n v="0"/>
    <n v="0"/>
    <n v="14.85"/>
  </r>
  <r>
    <n v="60616722"/>
    <s v="N"/>
    <n v="21360256"/>
    <s v="3000014869950015"/>
    <s v="CIVIL"/>
    <d v="2023-06-29T00:00:00"/>
    <d v="2023-07-11T11:50:54"/>
    <m/>
    <d v="2023-07-11T00:00:00"/>
    <n v="2024"/>
    <n v="1248"/>
    <s v="60616722"/>
    <s v="60616722"/>
    <m/>
    <m/>
    <n v="22789672"/>
    <m/>
    <m/>
    <m/>
    <s v="SOLFIN"/>
    <s v="SOLFIN"/>
    <s v="CCMS"/>
    <n v="21360256"/>
    <n v="13584.79"/>
    <m/>
    <s v="N"/>
    <n v="5"/>
    <d v="2023-07-11T11:50:59"/>
    <s v="Y"/>
    <s v="Disbursements (Summary)"/>
    <s v="Care Remuneration Hourly Rates"/>
    <s v="Non Expert Disbursement"/>
    <s v="OC"/>
    <s v="Y"/>
    <n v="957"/>
    <n v="191.4"/>
    <x v="7"/>
    <s v="VALIDATED"/>
    <n v="1"/>
    <s v="01.11.80.308.6300.0000"/>
    <n v="957"/>
    <s v="11"/>
    <s v="6300"/>
    <n v="21904.93"/>
    <n v="957"/>
    <s v="CREDITOR"/>
    <n v="0"/>
    <n v="0"/>
    <n v="0"/>
    <n v="0"/>
    <n v="957"/>
  </r>
  <r>
    <n v="21023770"/>
    <s v="N"/>
    <n v="21330689"/>
    <s v="3000008507410022"/>
    <s v="CIVIL"/>
    <d v="2023-06-29T00:00:00"/>
    <d v="2023-07-05T19:01:47"/>
    <m/>
    <d v="2023-07-05T00:00:00"/>
    <n v="2024"/>
    <n v="1248"/>
    <s v="21023770"/>
    <s v="21023770"/>
    <m/>
    <m/>
    <n v="22790290"/>
    <m/>
    <m/>
    <m/>
    <s v="SOLINT"/>
    <s v="SOLINT"/>
    <s v="CCMS"/>
    <n v="21330689"/>
    <n v="22300.73"/>
    <m/>
    <s v="N"/>
    <n v="231"/>
    <d v="2023-07-05T19:01:52"/>
    <s v="Y"/>
    <s v="Attendance upon client"/>
    <s v="VHCC"/>
    <s v="Profit Cost"/>
    <s v="BM-25"/>
    <s v="Y"/>
    <n v="74.25"/>
    <n v="14.85"/>
    <x v="6"/>
    <s v="VALIDATED"/>
    <n v="1"/>
    <s v="01.11.80.302.6100.0000"/>
    <n v="74.25"/>
    <s v="11"/>
    <s v="6100"/>
    <n v="21904.93"/>
    <n v="74.25"/>
    <s v="CREDITOR"/>
    <n v="0"/>
    <n v="0"/>
    <n v="0"/>
    <n v="0"/>
    <n v="74.25"/>
  </r>
  <r>
    <n v="21023770"/>
    <s v="N"/>
    <n v="21330689"/>
    <s v="3000008507410022"/>
    <s v="CIVIL"/>
    <d v="2023-06-29T00:00:00"/>
    <d v="2023-07-05T19:01:47"/>
    <m/>
    <d v="2023-07-05T00:00:00"/>
    <n v="2024"/>
    <n v="1248"/>
    <s v="21023770"/>
    <s v="21023770"/>
    <m/>
    <m/>
    <n v="22790290"/>
    <m/>
    <m/>
    <m/>
    <s v="SOLINT"/>
    <s v="SOLINT"/>
    <s v="CCMS"/>
    <n v="21330689"/>
    <n v="22300.73"/>
    <m/>
    <s v="N"/>
    <n v="159"/>
    <d v="2023-07-05T19:01:52"/>
    <s v="Y"/>
    <s v="Preparation - other"/>
    <s v="VHCC"/>
    <s v="Profit Cost"/>
    <s v="BM-25"/>
    <s v="Y"/>
    <n v="155.93"/>
    <n v="31.19"/>
    <x v="6"/>
    <s v="VALIDATED"/>
    <n v="1"/>
    <s v="01.11.80.302.6100.0000"/>
    <n v="155.93"/>
    <s v="11"/>
    <s v="6100"/>
    <n v="21904.93"/>
    <n v="155.93"/>
    <s v="CREDITOR"/>
    <n v="0"/>
    <n v="0"/>
    <n v="0"/>
    <n v="0"/>
    <n v="155.93"/>
  </r>
  <r>
    <n v="21023770"/>
    <s v="N"/>
    <n v="21330689"/>
    <s v="3000008507410022"/>
    <s v="CIVIL"/>
    <d v="2023-06-29T00:00:00"/>
    <d v="2023-07-05T19:01:47"/>
    <m/>
    <d v="2023-07-05T00:00:00"/>
    <n v="2024"/>
    <n v="1248"/>
    <s v="21023770"/>
    <s v="21023770"/>
    <m/>
    <m/>
    <n v="22790290"/>
    <m/>
    <m/>
    <m/>
    <s v="SOLINT"/>
    <s v="SOLINT"/>
    <s v="CCMS"/>
    <n v="21330689"/>
    <n v="22300.73"/>
    <m/>
    <s v="N"/>
    <n v="58"/>
    <d v="2023-07-05T19:01:52"/>
    <s v="Y"/>
    <s v="Attendance upon client"/>
    <s v="VHCC"/>
    <s v="Profit Cost"/>
    <s v="OD-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189"/>
    <d v="2023-07-05T19:01:52"/>
    <s v="Y"/>
    <s v="Preparation - other"/>
    <s v="VHCC"/>
    <s v="Profit Cost"/>
    <s v="NK"/>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73"/>
    <d v="2023-07-05T19:01:52"/>
    <s v="Y"/>
    <s v="Attendance upon client"/>
    <s v="VHCC"/>
    <s v="Profit Cost"/>
    <s v="BM-25"/>
    <s v="Y"/>
    <n v="89.09999999999999"/>
    <n v="17.82"/>
    <x v="6"/>
    <s v="VALIDATED"/>
    <n v="1"/>
    <s v="01.11.80.302.6100.0000"/>
    <n v="89.09999999999999"/>
    <s v="11"/>
    <s v="6100"/>
    <n v="21904.93"/>
    <n v="89.09999999999999"/>
    <s v="CREDITOR"/>
    <n v="0"/>
    <n v="0"/>
    <n v="0"/>
    <n v="0"/>
    <n v="89.09999999999999"/>
  </r>
  <r>
    <n v="21023770"/>
    <s v="N"/>
    <n v="21330689"/>
    <s v="3000008507410022"/>
    <s v="CIVIL"/>
    <d v="2023-06-29T00:00:00"/>
    <d v="2023-07-05T19:01:47"/>
    <m/>
    <d v="2023-07-05T00:00:00"/>
    <n v="2024"/>
    <n v="1248"/>
    <s v="21023770"/>
    <s v="21023770"/>
    <m/>
    <m/>
    <n v="22790290"/>
    <m/>
    <m/>
    <m/>
    <s v="SOLINT"/>
    <s v="SOLINT"/>
    <s v="CCMS"/>
    <n v="21330689"/>
    <n v="22300.73"/>
    <m/>
    <s v="N"/>
    <n v="205"/>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64"/>
    <d v="2023-07-05T19:01:52"/>
    <s v="Y"/>
    <s v="Preparation - other"/>
    <s v="VHCC"/>
    <s v="Profit Cost"/>
    <s v="BM"/>
    <s v="Y"/>
    <n v="11.88"/>
    <n v="2.38"/>
    <x v="6"/>
    <s v="VALIDATED"/>
    <n v="1"/>
    <s v="01.11.80.302.6100.0000"/>
    <n v="11.88"/>
    <s v="11"/>
    <s v="6100"/>
    <n v="21904.93"/>
    <n v="11.88"/>
    <s v="CREDITOR"/>
    <n v="0"/>
    <n v="0"/>
    <n v="0"/>
    <n v="0"/>
    <n v="11.88"/>
  </r>
  <r>
    <n v="21023770"/>
    <s v="N"/>
    <n v="21330720"/>
    <s v="3000008507410023"/>
    <s v="CIVIL"/>
    <d v="2023-06-29T00:00:00"/>
    <d v="2023-07-05T19:01:47"/>
    <m/>
    <d v="2023-07-05T00:00:00"/>
    <n v="2024"/>
    <n v="1248"/>
    <s v="21023770"/>
    <s v="21023770"/>
    <m/>
    <m/>
    <n v="22790312"/>
    <m/>
    <m/>
    <m/>
    <s v="SOLINT"/>
    <s v="SOLINT"/>
    <s v="CCMS"/>
    <n v="21330720"/>
    <n v="2175.89"/>
    <m/>
    <s v="N"/>
    <n v="2"/>
    <d v="2023-07-05T19:01:53"/>
    <s v="N"/>
    <s v="Preparation - other"/>
    <s v="VHCC"/>
    <s v="Profit Cost"/>
    <s v="AF-25"/>
    <s v="N"/>
    <n v="0.05"/>
    <n v="0.01"/>
    <x v="6"/>
    <s v="VALIDATED"/>
    <n v="1"/>
    <s v="01.11.80.302.6100.0000"/>
    <n v="0.05"/>
    <s v="11"/>
    <s v="6100"/>
    <n v="21904.93"/>
    <n v="0.05"/>
    <s v="CREDITOR"/>
    <n v="0"/>
    <n v="0"/>
    <n v="0"/>
    <n v="0"/>
    <n v="0.05"/>
  </r>
  <r>
    <n v="21023770"/>
    <s v="N"/>
    <n v="21330689"/>
    <s v="3000008507410022"/>
    <s v="CIVIL"/>
    <d v="2023-06-29T00:00:00"/>
    <d v="2023-07-05T19:01:47"/>
    <m/>
    <d v="2023-07-05T00:00:00"/>
    <n v="2024"/>
    <n v="1248"/>
    <s v="21023770"/>
    <s v="21023770"/>
    <m/>
    <m/>
    <n v="22790290"/>
    <m/>
    <m/>
    <m/>
    <s v="SOLINT"/>
    <s v="SOLINT"/>
    <s v="CCMS"/>
    <n v="21330689"/>
    <n v="22300.73"/>
    <m/>
    <s v="N"/>
    <n v="224"/>
    <d v="2023-07-05T19:01:52"/>
    <s v="Y"/>
    <s v="Preparation - other"/>
    <s v="VHCC"/>
    <s v="Profit Cost"/>
    <s v="NK-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313"/>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320"/>
    <d v="2023-07-05T19:01:52"/>
    <s v="Y"/>
    <s v="Attendance upon client"/>
    <s v="VHCC"/>
    <s v="Profit Cost"/>
    <s v="BM-25"/>
    <s v="Y"/>
    <n v="22.28"/>
    <n v="4.46"/>
    <x v="6"/>
    <s v="VALIDATED"/>
    <n v="1"/>
    <s v="01.11.80.302.6100.0000"/>
    <n v="22.28"/>
    <s v="11"/>
    <s v="6100"/>
    <n v="21904.93"/>
    <n v="22.28"/>
    <s v="CREDITOR"/>
    <n v="0"/>
    <n v="0"/>
    <n v="0"/>
    <n v="0"/>
    <n v="22.28"/>
  </r>
  <r>
    <n v="62279666"/>
    <s v="N"/>
    <n v="21323656"/>
    <s v="3000016274560001"/>
    <s v="CIVIL"/>
    <d v="2023-06-30T00:00:00"/>
    <d v="2023-07-03T19:05:56"/>
    <m/>
    <d v="2023-07-03T00:00:00"/>
    <n v="2024"/>
    <n v="1248"/>
    <s v="62279666"/>
    <s v="62279666"/>
    <m/>
    <m/>
    <n v="22799450"/>
    <m/>
    <m/>
    <m/>
    <s v="SOLPOA"/>
    <s v="SOLPOA"/>
    <s v="CCMS"/>
    <n v="21323656"/>
    <n v="201.6"/>
    <m/>
    <s v="N"/>
    <n v="1"/>
    <d v="2023-07-03T19:05:58"/>
    <s v="N"/>
    <s v="Expert Cost"/>
    <s v="Expert Cost"/>
    <s v="Expert Disbursement"/>
    <s v="Oracle Translation Ltd"/>
    <s v="N"/>
    <n v="168"/>
    <n v="33.6"/>
    <x v="3"/>
    <s v="VALIDATED"/>
    <n v="1"/>
    <s v="01.11.80.305.2012.0000"/>
    <n v="168"/>
    <s v="11"/>
    <s v="2012"/>
    <n v="21904.93"/>
    <n v="168"/>
    <s v="CREDITOR"/>
    <n v="168"/>
    <n v="0"/>
    <n v="0"/>
    <n v="0"/>
    <n v="0"/>
  </r>
  <r>
    <n v="21023770"/>
    <s v="N"/>
    <n v="21330689"/>
    <s v="3000008507410022"/>
    <s v="CIVIL"/>
    <d v="2023-06-29T00:00:00"/>
    <d v="2023-07-05T19:01:47"/>
    <m/>
    <d v="2023-07-05T00:00:00"/>
    <n v="2024"/>
    <n v="1248"/>
    <s v="21023770"/>
    <s v="21023770"/>
    <m/>
    <m/>
    <n v="22790290"/>
    <m/>
    <m/>
    <m/>
    <s v="SOLINT"/>
    <s v="SOLINT"/>
    <s v="CCMS"/>
    <n v="21330689"/>
    <n v="22300.73"/>
    <m/>
    <s v="N"/>
    <n v="121"/>
    <d v="2023-07-05T19:01:52"/>
    <s v="Y"/>
    <s v="Preparation - other"/>
    <s v="VHCC"/>
    <s v="Profit Cost"/>
    <s v="BM-25"/>
    <s v="Y"/>
    <n v="37.13"/>
    <n v="7.43"/>
    <x v="6"/>
    <s v="VALIDATED"/>
    <n v="1"/>
    <s v="01.11.80.302.6100.0000"/>
    <n v="37.13"/>
    <s v="11"/>
    <s v="6100"/>
    <n v="21904.93"/>
    <n v="37.13"/>
    <s v="CREDITOR"/>
    <n v="0"/>
    <n v="0"/>
    <n v="0"/>
    <n v="0"/>
    <n v="37.13"/>
  </r>
  <r>
    <n v="21023770"/>
    <s v="N"/>
    <n v="21330689"/>
    <s v="3000008507410022"/>
    <s v="CIVIL"/>
    <d v="2023-06-29T00:00:00"/>
    <d v="2023-07-05T19:01:47"/>
    <m/>
    <d v="2023-07-05T00:00:00"/>
    <n v="2024"/>
    <n v="1248"/>
    <s v="21023770"/>
    <s v="21023770"/>
    <m/>
    <m/>
    <n v="22790290"/>
    <m/>
    <m/>
    <m/>
    <s v="SOLINT"/>
    <s v="SOLINT"/>
    <s v="CCMS"/>
    <n v="21330689"/>
    <n v="22300.73"/>
    <m/>
    <s v="N"/>
    <n v="11"/>
    <d v="2023-07-05T19:01:52"/>
    <s v="Y"/>
    <s v="Preparation - drafting statement"/>
    <s v="VHCC"/>
    <s v="Profit Cost"/>
    <s v="KBE-25"/>
    <s v="Y"/>
    <n v="51.98"/>
    <n v="10.4"/>
    <x v="6"/>
    <s v="VALIDATED"/>
    <n v="1"/>
    <s v="01.11.80.302.6100.0000"/>
    <n v="51.98"/>
    <s v="11"/>
    <s v="6100"/>
    <n v="21904.93"/>
    <n v="51.98"/>
    <s v="CREDITOR"/>
    <n v="0"/>
    <n v="0"/>
    <n v="0"/>
    <n v="0"/>
    <n v="51.98"/>
  </r>
  <r>
    <n v="21023770"/>
    <s v="N"/>
    <n v="21330689"/>
    <s v="3000008507410022"/>
    <s v="CIVIL"/>
    <d v="2023-06-29T00:00:00"/>
    <d v="2023-07-05T19:01:47"/>
    <m/>
    <d v="2023-07-05T00:00:00"/>
    <n v="2024"/>
    <n v="1248"/>
    <s v="21023770"/>
    <s v="21023770"/>
    <m/>
    <m/>
    <n v="22790290"/>
    <m/>
    <m/>
    <m/>
    <s v="SOLINT"/>
    <s v="SOLINT"/>
    <s v="CCMS"/>
    <n v="21330689"/>
    <n v="22300.73"/>
    <m/>
    <s v="N"/>
    <n v="12"/>
    <d v="2023-07-05T19:01:52"/>
    <s v="Y"/>
    <s v="Preparation - other"/>
    <s v="VHCC"/>
    <s v="Profit Cost"/>
    <s v="KBE-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13"/>
    <d v="2023-07-05T19:01:52"/>
    <s v="Y"/>
    <s v="Attendance upon court"/>
    <s v="VHCC"/>
    <s v="Profit Cost"/>
    <s v="KBE-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25"/>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144"/>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174"/>
    <d v="2023-07-05T19:01:52"/>
    <s v="Y"/>
    <s v="Preparation - other"/>
    <s v="VHCC"/>
    <s v="Profit Cost"/>
    <s v="NK"/>
    <s v="Y"/>
    <n v="11.88"/>
    <n v="2.38"/>
    <x v="6"/>
    <s v="VALIDATED"/>
    <n v="1"/>
    <s v="01.11.80.302.6100.0000"/>
    <n v="11.88"/>
    <s v="11"/>
    <s v="6100"/>
    <n v="21904.93"/>
    <n v="11.88"/>
    <s v="CREDITOR"/>
    <n v="0"/>
    <n v="0"/>
    <n v="0"/>
    <n v="0"/>
    <n v="11.88"/>
  </r>
  <r>
    <n v="21023770"/>
    <s v="N"/>
    <n v="21330689"/>
    <s v="3000008507410022"/>
    <s v="CIVIL"/>
    <d v="2023-06-29T00:00:00"/>
    <d v="2023-07-05T19:01:47"/>
    <m/>
    <d v="2023-07-05T00:00:00"/>
    <n v="2024"/>
    <n v="1248"/>
    <s v="21023770"/>
    <s v="21023770"/>
    <m/>
    <m/>
    <n v="22790290"/>
    <m/>
    <m/>
    <m/>
    <s v="SOLINT"/>
    <s v="SOLINT"/>
    <s v="CCMS"/>
    <n v="21330689"/>
    <n v="22300.73"/>
    <m/>
    <s v="N"/>
    <n v="57"/>
    <d v="2023-07-05T19:01:52"/>
    <s v="Y"/>
    <s v="Preparation - other"/>
    <s v="VHCC"/>
    <s v="Profit Cost"/>
    <s v="OD-25"/>
    <s v="Y"/>
    <n v="14.85"/>
    <n v="2.97"/>
    <x v="6"/>
    <s v="VALIDATED"/>
    <n v="1"/>
    <s v="01.11.80.302.6100.0000"/>
    <n v="14.85"/>
    <s v="11"/>
    <s v="6100"/>
    <n v="21904.93"/>
    <n v="14.85"/>
    <s v="CREDITOR"/>
    <n v="0"/>
    <n v="0"/>
    <n v="0"/>
    <n v="0"/>
    <n v="14.85"/>
  </r>
  <r>
    <n v="21023770"/>
    <s v="N"/>
    <n v="21330720"/>
    <s v="3000008507410023"/>
    <s v="CIVIL"/>
    <d v="2023-06-29T00:00:00"/>
    <d v="2023-07-05T19:01:47"/>
    <m/>
    <d v="2023-07-05T00:00:00"/>
    <n v="2024"/>
    <n v="1248"/>
    <s v="21023770"/>
    <s v="21023770"/>
    <m/>
    <m/>
    <n v="22790312"/>
    <m/>
    <m/>
    <m/>
    <s v="SOLINT"/>
    <s v="SOLINT"/>
    <s v="CCMS"/>
    <n v="21330720"/>
    <n v="2175.89"/>
    <m/>
    <s v="N"/>
    <n v="9"/>
    <d v="2023-07-05T19:01:53"/>
    <s v="Y"/>
    <s v="Attendance upon other side"/>
    <s v="VHCC"/>
    <s v="Profit Cost"/>
    <s v="EW-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322"/>
    <d v="2023-07-05T19:01:52"/>
    <s v="Y"/>
    <s v="Attendance upon client"/>
    <s v="VHCC"/>
    <s v="Profit Cost"/>
    <s v="BM-25"/>
    <s v="Y"/>
    <n v="22.28"/>
    <n v="4.46"/>
    <x v="6"/>
    <s v="VALIDATED"/>
    <n v="1"/>
    <s v="01.11.80.302.6100.0000"/>
    <n v="22.28"/>
    <s v="11"/>
    <s v="6100"/>
    <n v="21904.93"/>
    <n v="22.28"/>
    <s v="CREDITOR"/>
    <n v="0"/>
    <n v="0"/>
    <n v="0"/>
    <n v="0"/>
    <n v="22.28"/>
  </r>
  <r>
    <n v="21023770"/>
    <s v="N"/>
    <n v="21330720"/>
    <s v="3000008507410023"/>
    <s v="CIVIL"/>
    <d v="2023-06-29T00:00:00"/>
    <d v="2023-07-05T19:01:47"/>
    <m/>
    <d v="2023-07-05T00:00:00"/>
    <n v="2024"/>
    <n v="1248"/>
    <s v="21023770"/>
    <s v="21023770"/>
    <m/>
    <m/>
    <n v="22790312"/>
    <m/>
    <m/>
    <m/>
    <s v="SOLINT"/>
    <s v="SOLINT"/>
    <s v="CCMS"/>
    <n v="21330720"/>
    <n v="2175.89"/>
    <m/>
    <s v="N"/>
    <n v="11"/>
    <d v="2023-07-05T19:01:53"/>
    <s v="Y"/>
    <s v="Attendance upon other side"/>
    <s v="VHCC"/>
    <s v="Profit Cost"/>
    <s v="EW"/>
    <s v="Y"/>
    <n v="5.94"/>
    <n v="1.19"/>
    <x v="6"/>
    <s v="VALIDATED"/>
    <n v="1"/>
    <s v="01.11.80.302.6100.0000"/>
    <n v="5.94"/>
    <s v="11"/>
    <s v="6100"/>
    <n v="21904.93"/>
    <n v="5.94"/>
    <s v="CREDITOR"/>
    <n v="0"/>
    <n v="0"/>
    <n v="0"/>
    <n v="0"/>
    <n v="5.94"/>
  </r>
  <r>
    <n v="21023770"/>
    <s v="N"/>
    <n v="21330720"/>
    <s v="3000008507410023"/>
    <s v="CIVIL"/>
    <d v="2023-06-29T00:00:00"/>
    <d v="2023-07-05T19:01:47"/>
    <m/>
    <d v="2023-07-05T00:00:00"/>
    <n v="2024"/>
    <n v="1248"/>
    <s v="21023770"/>
    <s v="21023770"/>
    <m/>
    <m/>
    <n v="22790312"/>
    <m/>
    <m/>
    <m/>
    <s v="SOLINT"/>
    <s v="SOLINT"/>
    <s v="CCMS"/>
    <n v="21330720"/>
    <n v="2175.89"/>
    <m/>
    <s v="N"/>
    <n v="15"/>
    <d v="2023-07-05T19:01:53"/>
    <s v="Y"/>
    <s v="Preparation - other"/>
    <s v="VHCC"/>
    <s v="Profit Cost"/>
    <s v="EW"/>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185"/>
    <d v="2023-07-05T19:01:52"/>
    <s v="Y"/>
    <s v="Preparation - other"/>
    <s v="VHCC"/>
    <s v="Profit Cost"/>
    <s v="BM-25"/>
    <s v="Y"/>
    <n v="37.13"/>
    <n v="7.43"/>
    <x v="6"/>
    <s v="VALIDATED"/>
    <n v="1"/>
    <s v="01.11.80.302.6100.0000"/>
    <n v="37.13"/>
    <s v="11"/>
    <s v="6100"/>
    <n v="21904.93"/>
    <n v="37.13"/>
    <s v="CREDITOR"/>
    <n v="0"/>
    <n v="0"/>
    <n v="0"/>
    <n v="0"/>
    <n v="37.13"/>
  </r>
  <r>
    <n v="60111297"/>
    <s v="N"/>
    <n v="21382564"/>
    <s v="3000014438350006"/>
    <s v="CIVIL"/>
    <d v="2023-06-09T00:00:00"/>
    <d v="2023-07-17T19:01:46"/>
    <m/>
    <d v="2023-07-17T00:00:00"/>
    <n v="2024"/>
    <n v="1248"/>
    <s v="60111297"/>
    <s v="60111297"/>
    <m/>
    <m/>
    <n v="22661122"/>
    <m/>
    <m/>
    <m/>
    <s v="SOLFIN"/>
    <s v="SOLFIN"/>
    <s v="CCMS"/>
    <n v="21382564"/>
    <n v="8480.219999999999"/>
    <m/>
    <s v="N"/>
    <n v="4"/>
    <d v="2023-07-17T19:02:16"/>
    <s v="Y"/>
    <s v="Hearing Unit 2.31 - 5.00 Hours"/>
    <s v="Domestic Abuse"/>
    <s v="Advocacy"/>
    <s v="OD"/>
    <s v="Y"/>
    <n v="407.52"/>
    <n v="81.5"/>
    <x v="8"/>
    <s v="VALIDATED"/>
    <n v="1"/>
    <s v="01.11.80.302.6100.0000"/>
    <n v="407.52"/>
    <s v="11"/>
    <s v="6100"/>
    <n v="21904.93"/>
    <n v="407.52"/>
    <s v="CREDITOR"/>
    <n v="0"/>
    <n v="0"/>
    <n v="0"/>
    <n v="0"/>
    <n v="407.52"/>
  </r>
  <r>
    <n v="60616722"/>
    <s v="N"/>
    <n v="21360256"/>
    <s v="3000014869950015"/>
    <s v="CIVIL"/>
    <d v="2023-06-29T00:00:00"/>
    <d v="2023-07-11T11:50:54"/>
    <m/>
    <d v="2023-07-11T00:00:00"/>
    <n v="2024"/>
    <n v="1248"/>
    <s v="60616722"/>
    <s v="60616722"/>
    <m/>
    <m/>
    <n v="22789672"/>
    <m/>
    <m/>
    <m/>
    <s v="SOLFIN"/>
    <s v="SOLFIN"/>
    <s v="CCMS"/>
    <n v="21360256"/>
    <n v="13584.79"/>
    <m/>
    <s v="N"/>
    <n v="1"/>
    <d v="2023-07-11T11:50:59"/>
    <s v="N"/>
    <s v="Solicitors Fixed Fee"/>
    <s v="Public Law Children"/>
    <s v="Profit Cost"/>
    <s v="OC"/>
    <s v="N"/>
    <n v="0"/>
    <n v="0"/>
    <x v="7"/>
    <s v="VALIDATED"/>
    <n v="1"/>
    <s v="01.11.80.308.6100.0000"/>
    <n v="0"/>
    <s v="11"/>
    <s v="6100"/>
    <n v="21904.93"/>
    <n v="0"/>
    <s v="CREDITOR"/>
    <n v="0"/>
    <n v="0"/>
    <n v="0"/>
    <n v="0"/>
    <n v="0"/>
  </r>
  <r>
    <n v="21023770"/>
    <s v="N"/>
    <n v="21330689"/>
    <s v="3000008507410022"/>
    <s v="CIVIL"/>
    <d v="2023-06-29T00:00:00"/>
    <d v="2023-07-05T19:01:47"/>
    <m/>
    <d v="2023-07-05T00:00:00"/>
    <n v="2024"/>
    <n v="1248"/>
    <s v="21023770"/>
    <s v="21023770"/>
    <m/>
    <m/>
    <n v="22790290"/>
    <m/>
    <m/>
    <m/>
    <s v="SOLINT"/>
    <s v="SOLINT"/>
    <s v="CCMS"/>
    <n v="21330689"/>
    <n v="22300.73"/>
    <m/>
    <s v="N"/>
    <n v="198"/>
    <d v="2023-07-05T19:01:52"/>
    <s v="Y"/>
    <s v="Preparation - drafting instructions"/>
    <s v="VHCC"/>
    <s v="Profit Cost"/>
    <s v="BM-25"/>
    <s v="Y"/>
    <n v="59.4"/>
    <n v="11.88"/>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43"/>
    <d v="2023-07-05T19:01:52"/>
    <s v="Y"/>
    <s v="Attendance upon client"/>
    <s v="VHCC"/>
    <s v="Profit Cost"/>
    <s v="KBE-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335"/>
    <d v="2023-07-05T19:01:52"/>
    <s v="Y"/>
    <s v="Preparation - drafting bill/claim f"/>
    <s v="VHCC"/>
    <s v="Profit Cost"/>
    <s v="JS-P"/>
    <s v="Y"/>
    <n v="34.16"/>
    <n v="6.83"/>
    <x v="6"/>
    <s v="VALIDATED"/>
    <n v="1"/>
    <s v="01.11.80.302.6100.0000"/>
    <n v="34.16"/>
    <s v="11"/>
    <s v="6100"/>
    <n v="21904.93"/>
    <n v="34.16"/>
    <s v="CREDITOR"/>
    <n v="0"/>
    <n v="0"/>
    <n v="0"/>
    <n v="0"/>
    <n v="34.16"/>
  </r>
  <r>
    <n v="21023770"/>
    <s v="N"/>
    <n v="21330689"/>
    <s v="3000008507410022"/>
    <s v="CIVIL"/>
    <d v="2023-06-29T00:00:00"/>
    <d v="2023-07-05T19:01:47"/>
    <m/>
    <d v="2023-07-05T00:00:00"/>
    <n v="2024"/>
    <n v="1248"/>
    <s v="21023770"/>
    <s v="21023770"/>
    <m/>
    <m/>
    <n v="22790290"/>
    <m/>
    <m/>
    <m/>
    <s v="SOLINT"/>
    <s v="SOLINT"/>
    <s v="CCMS"/>
    <n v="21330689"/>
    <n v="22300.73"/>
    <m/>
    <s v="N"/>
    <n v="209"/>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25"/>
    <d v="2023-07-05T19:01:52"/>
    <s v="Y"/>
    <s v="Preparation - other"/>
    <s v="VHCC"/>
    <s v="Profit Cost"/>
    <s v="BM-25"/>
    <s v="Y"/>
    <n v="14.85"/>
    <n v="2.97"/>
    <x v="6"/>
    <s v="VALIDATED"/>
    <n v="1"/>
    <s v="01.11.80.302.6100.0000"/>
    <n v="14.85"/>
    <s v="11"/>
    <s v="6100"/>
    <n v="21904.93"/>
    <n v="14.85"/>
    <s v="CREDITOR"/>
    <n v="0"/>
    <n v="0"/>
    <n v="0"/>
    <n v="0"/>
    <n v="14.85"/>
  </r>
  <r>
    <n v="21023770"/>
    <s v="N"/>
    <n v="21330689"/>
    <s v="3000008507410022"/>
    <s v="CIVIL"/>
    <d v="2023-06-29T00:00:00"/>
    <d v="2023-07-05T19:01:47"/>
    <m/>
    <d v="2023-07-05T00:00:00"/>
    <n v="2024"/>
    <n v="1248"/>
    <s v="21023770"/>
    <s v="21023770"/>
    <m/>
    <m/>
    <n v="22790290"/>
    <m/>
    <m/>
    <m/>
    <s v="SOLINT"/>
    <s v="SOLINT"/>
    <s v="CCMS"/>
    <n v="21330689"/>
    <n v="22300.73"/>
    <m/>
    <s v="N"/>
    <n v="252"/>
    <d v="2023-07-05T19:01:52"/>
    <s v="Y"/>
    <s v="Preparation - drafting instructions"/>
    <s v="VHCC"/>
    <s v="Profit Cost"/>
    <s v="BM-25"/>
    <s v="Y"/>
    <n v="29.7"/>
    <n v="5.94"/>
    <x v="6"/>
    <s v="VALIDATED"/>
    <n v="1"/>
    <s v="01.11.80.302.6100.0000"/>
    <n v="29.7"/>
    <s v="11"/>
    <s v="6100"/>
    <n v="21904.93"/>
    <n v="29.7"/>
    <s v="CREDITOR"/>
    <n v="0"/>
    <n v="0"/>
    <n v="0"/>
    <n v="0"/>
    <n v="29.7"/>
  </r>
  <r>
    <n v="21023770"/>
    <s v="N"/>
    <n v="21330689"/>
    <s v="3000008507410022"/>
    <s v="CIVIL"/>
    <d v="2023-06-29T00:00:00"/>
    <d v="2023-07-05T19:01:47"/>
    <m/>
    <d v="2023-07-05T00:00:00"/>
    <n v="2024"/>
    <n v="1248"/>
    <s v="21023770"/>
    <s v="21023770"/>
    <m/>
    <m/>
    <n v="22790290"/>
    <m/>
    <m/>
    <m/>
    <s v="SOLINT"/>
    <s v="SOLINT"/>
    <s v="CCMS"/>
    <n v="21330689"/>
    <n v="22300.73"/>
    <m/>
    <s v="N"/>
    <n v="267"/>
    <d v="2023-07-05T19:01:52"/>
    <s v="Y"/>
    <s v="Attendance upon court with counsel"/>
    <s v="VHCC"/>
    <s v="Profit Cost"/>
    <s v="BM"/>
    <s v="Y"/>
    <n v="145.8"/>
    <n v="29.16"/>
    <x v="6"/>
    <s v="VALIDATED"/>
    <n v="1"/>
    <s v="01.11.80.302.6100.0000"/>
    <n v="145.8"/>
    <s v="11"/>
    <s v="6100"/>
    <n v="21904.93"/>
    <n v="145.8"/>
    <s v="CREDITOR"/>
    <n v="0"/>
    <n v="0"/>
    <n v="0"/>
    <n v="0"/>
    <n v="145.8"/>
  </r>
  <r>
    <n v="21023770"/>
    <s v="N"/>
    <n v="21330689"/>
    <s v="3000008507410022"/>
    <s v="CIVIL"/>
    <d v="2023-06-29T00:00:00"/>
    <d v="2023-07-05T19:01:47"/>
    <m/>
    <d v="2023-07-05T00:00:00"/>
    <n v="2024"/>
    <n v="1248"/>
    <s v="21023770"/>
    <s v="21023770"/>
    <m/>
    <m/>
    <n v="22790290"/>
    <m/>
    <m/>
    <m/>
    <s v="SOLINT"/>
    <s v="SOLINT"/>
    <s v="CCMS"/>
    <n v="21330689"/>
    <n v="22300.73"/>
    <m/>
    <s v="N"/>
    <n v="284"/>
    <d v="2023-07-05T19:01:52"/>
    <s v="Y"/>
    <s v="Preparation - drafting attendance n"/>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288"/>
    <d v="2023-07-05T19:01:52"/>
    <s v="Y"/>
    <s v="Attendance upon Counsel"/>
    <s v="VHCC"/>
    <s v="Profit Cost"/>
    <s v="BM"/>
    <s v="Y"/>
    <n v="9.720000000000001"/>
    <n v="1.94"/>
    <x v="6"/>
    <s v="VALIDATED"/>
    <n v="1"/>
    <s v="01.11.80.302.6100.0000"/>
    <n v="9.720000000000001"/>
    <s v="11"/>
    <s v="6100"/>
    <n v="21904.93"/>
    <n v="9.720000000000001"/>
    <s v="CREDITOR"/>
    <n v="0"/>
    <n v="0"/>
    <n v="0"/>
    <n v="0"/>
    <n v="9.720000000000001"/>
  </r>
  <r>
    <n v="21023770"/>
    <s v="N"/>
    <n v="21330689"/>
    <s v="3000008507410022"/>
    <s v="CIVIL"/>
    <d v="2023-06-29T00:00:00"/>
    <d v="2023-07-05T19:01:47"/>
    <m/>
    <d v="2023-07-05T00:00:00"/>
    <n v="2024"/>
    <n v="1248"/>
    <s v="21023770"/>
    <s v="21023770"/>
    <m/>
    <m/>
    <n v="22790290"/>
    <m/>
    <m/>
    <m/>
    <s v="SOLINT"/>
    <s v="SOLINT"/>
    <s v="CCMS"/>
    <n v="21330689"/>
    <n v="22300.73"/>
    <m/>
    <s v="N"/>
    <n v="97"/>
    <d v="2023-07-05T19:01:52"/>
    <s v="Y"/>
    <s v="Preparation - drafting instructions"/>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34"/>
    <d v="2023-07-05T19:01:52"/>
    <s v="Y"/>
    <s v="Preparation - other"/>
    <s v="VHCC"/>
    <s v="Profit Cost"/>
    <s v="BM"/>
    <s v="Y"/>
    <n v="5.94"/>
    <n v="1.19"/>
    <x v="6"/>
    <s v="VALIDATED"/>
    <n v="1"/>
    <s v="01.11.80.302.6100.0000"/>
    <n v="5.94"/>
    <s v="11"/>
    <s v="6100"/>
    <n v="21904.93"/>
    <n v="5.94"/>
    <s v="CREDITOR"/>
    <n v="0"/>
    <n v="0"/>
    <n v="0"/>
    <n v="0"/>
    <n v="5.94"/>
  </r>
  <r>
    <n v="21023770"/>
    <s v="N"/>
    <n v="21330689"/>
    <s v="3000008507410022"/>
    <s v="CIVIL"/>
    <d v="2023-06-29T00:00:00"/>
    <d v="2023-07-05T19:01:47"/>
    <m/>
    <d v="2023-07-05T00:00:00"/>
    <n v="2024"/>
    <n v="1248"/>
    <s v="21023770"/>
    <s v="21023770"/>
    <m/>
    <m/>
    <n v="22790290"/>
    <m/>
    <m/>
    <m/>
    <s v="SOLINT"/>
    <s v="SOLINT"/>
    <s v="CCMS"/>
    <n v="21330689"/>
    <n v="22300.73"/>
    <m/>
    <s v="N"/>
    <n v="345"/>
    <d v="2023-07-05T19:01:52"/>
    <s v="Y"/>
    <s v="Expert - Other"/>
    <s v="VHCC"/>
    <s v="Expert Disbursement"/>
    <s v="JS"/>
    <s v="Y"/>
    <n v="48"/>
    <n v="9.6"/>
    <x v="6"/>
    <s v="VALIDATED"/>
    <n v="1"/>
    <s v="01.11.80.302.6300.0000"/>
    <n v="48"/>
    <s v="11"/>
    <s v="6300"/>
    <n v="21904.93"/>
    <n v="48"/>
    <s v="CREDITOR"/>
    <n v="0"/>
    <n v="0"/>
    <n v="0"/>
    <n v="0"/>
    <n v="48"/>
  </r>
  <r>
    <n v="21023770"/>
    <s v="N"/>
    <n v="21330689"/>
    <s v="3000008507410022"/>
    <s v="CIVIL"/>
    <d v="2023-06-29T00:00:00"/>
    <d v="2023-07-05T19:01:47"/>
    <m/>
    <d v="2023-07-05T00:00:00"/>
    <n v="2024"/>
    <n v="1248"/>
    <s v="21023770"/>
    <s v="21023770"/>
    <m/>
    <m/>
    <n v="22790290"/>
    <m/>
    <m/>
    <m/>
    <s v="SOLINT"/>
    <s v="SOLINT"/>
    <s v="CCMS"/>
    <n v="21330689"/>
    <n v="22300.73"/>
    <m/>
    <s v="N"/>
    <n v="18"/>
    <d v="2023-07-05T19:01:52"/>
    <s v="Y"/>
    <s v="Attendance upon client"/>
    <s v="VHCC"/>
    <s v="Profit Cost"/>
    <s v="KBE-25"/>
    <s v="Y"/>
    <n v="22.28"/>
    <n v="4.46"/>
    <x v="6"/>
    <s v="VALIDATED"/>
    <n v="1"/>
    <s v="01.11.80.302.6100.0000"/>
    <n v="22.28"/>
    <s v="11"/>
    <s v="6100"/>
    <n v="21904.93"/>
    <n v="22.28"/>
    <s v="CREDITOR"/>
    <n v="0"/>
    <n v="0"/>
    <n v="0"/>
    <n v="0"/>
    <n v="22.28"/>
  </r>
  <r>
    <n v="21023770"/>
    <s v="N"/>
    <n v="21330689"/>
    <s v="3000008507410022"/>
    <s v="CIVIL"/>
    <d v="2023-06-29T00:00:00"/>
    <d v="2023-07-05T19:01:47"/>
    <m/>
    <d v="2023-07-05T00:00:00"/>
    <n v="2024"/>
    <n v="1248"/>
    <s v="21023770"/>
    <s v="21023770"/>
    <m/>
    <m/>
    <n v="22790290"/>
    <m/>
    <m/>
    <m/>
    <s v="SOLINT"/>
    <s v="SOLINT"/>
    <s v="CCMS"/>
    <n v="21330689"/>
    <n v="22300.73"/>
    <m/>
    <s v="N"/>
    <n v="317"/>
    <d v="2023-07-05T19:01:52"/>
    <s v="Y"/>
    <s v="Preparation - other"/>
    <s v="VHCC"/>
    <s v="Profit Cost"/>
    <s v="BM"/>
    <s v="Y"/>
    <n v="17.82"/>
    <n v="3.56"/>
    <x v="6"/>
    <s v="VALIDATED"/>
    <n v="1"/>
    <s v="01.11.80.302.6100.0000"/>
    <n v="17.82"/>
    <s v="11"/>
    <s v="6100"/>
    <n v="21904.93"/>
    <n v="17.82"/>
    <s v="CREDITOR"/>
    <n v="0"/>
    <n v="0"/>
    <n v="0"/>
    <n v="0"/>
    <n v="17.82"/>
  </r>
  <r>
    <n v="21023770"/>
    <s v="N"/>
    <n v="21330689"/>
    <s v="3000008507410022"/>
    <s v="CIVIL"/>
    <d v="2023-06-29T00:00:00"/>
    <d v="2023-07-05T19:01:47"/>
    <m/>
    <d v="2023-07-05T00:00:00"/>
    <n v="2024"/>
    <n v="1248"/>
    <s v="21023770"/>
    <s v="21023770"/>
    <m/>
    <m/>
    <n v="22790290"/>
    <m/>
    <m/>
    <m/>
    <s v="SOLINT"/>
    <s v="SOLINT"/>
    <s v="CCMS"/>
    <n v="21330689"/>
    <n v="22300.73"/>
    <m/>
    <s v="N"/>
    <n v="296"/>
    <d v="2023-07-05T19:01:52"/>
    <s v="Y"/>
    <s v="Preparation - other"/>
    <s v="VHCC"/>
    <s v="Profit Cost"/>
    <s v="BM-25"/>
    <s v="Y"/>
    <n v="7.43"/>
    <n v="1.49"/>
    <x v="6"/>
    <s v="VALIDATED"/>
    <n v="1"/>
    <s v="01.11.80.302.6100.0000"/>
    <n v="7.43"/>
    <s v="11"/>
    <s v="6100"/>
    <n v="21904.93"/>
    <n v="7.43"/>
    <s v="CREDITOR"/>
    <n v="0"/>
    <n v="0"/>
    <n v="0"/>
    <n v="0"/>
    <n v="7.43"/>
  </r>
  <r>
    <n v="21023770"/>
    <s v="N"/>
    <n v="21330689"/>
    <s v="3000008507410022"/>
    <s v="CIVIL"/>
    <d v="2023-06-29T00:00:00"/>
    <d v="2023-07-05T19:01:47"/>
    <m/>
    <d v="2023-07-05T00:00:00"/>
    <n v="2024"/>
    <n v="1248"/>
    <s v="21023770"/>
    <s v="21023770"/>
    <m/>
    <m/>
    <n v="22790290"/>
    <m/>
    <m/>
    <m/>
    <s v="SOLINT"/>
    <s v="SOLINT"/>
    <s v="CCMS"/>
    <n v="21330689"/>
    <n v="22300.73"/>
    <m/>
    <s v="N"/>
    <n v="298"/>
    <d v="2023-07-05T19:01:52"/>
    <s v="Y"/>
    <s v="Preparation - other"/>
    <s v="VHCC"/>
    <s v="Profit Cost"/>
    <s v="BM"/>
    <s v="Y"/>
    <n v="29.7"/>
    <n v="5.94"/>
    <x v="6"/>
    <s v="VALIDATED"/>
    <n v="1"/>
    <s v="01.11.80.302.6100.0000"/>
    <n v="29.7"/>
    <s v="11"/>
    <s v="6100"/>
    <n v="21904.93"/>
    <n v="29.7"/>
    <s v="CREDITOR"/>
    <n v="0"/>
    <n v="0"/>
    <n v="0"/>
    <n v="0"/>
    <n v="29.7"/>
  </r>
  <r>
    <n v="21023770"/>
    <s v="N"/>
    <n v="21330720"/>
    <s v="3000008507410023"/>
    <s v="CIVIL"/>
    <d v="2023-06-29T00:00:00"/>
    <d v="2023-07-05T19:01:47"/>
    <m/>
    <d v="2023-07-05T00:00:00"/>
    <n v="2024"/>
    <n v="1248"/>
    <s v="21023770"/>
    <s v="21023770"/>
    <m/>
    <m/>
    <n v="22790312"/>
    <m/>
    <m/>
    <m/>
    <s v="SOLINT"/>
    <s v="SOLINT"/>
    <s v="CCMS"/>
    <n v="21330720"/>
    <n v="2175.89"/>
    <m/>
    <s v="N"/>
    <n v="38"/>
    <d v="2023-07-05T19:01:53"/>
    <s v="Y"/>
    <s v="Preparation - other"/>
    <s v="VHCC"/>
    <s v="Profit Cost"/>
    <s v="EW-25"/>
    <s v="Y"/>
    <n v="29.7"/>
    <n v="5.94"/>
    <x v="6"/>
    <s v="VALIDATED"/>
    <n v="1"/>
    <s v="01.11.80.302.6100.0000"/>
    <n v="29.7"/>
    <s v="11"/>
    <s v="6100"/>
    <n v="21904.93"/>
    <n v="29.7"/>
    <s v="CREDITOR"/>
    <n v="0"/>
    <n v="0"/>
    <n v="0"/>
    <n v="0"/>
    <n v="29.7"/>
  </r>
  <r>
    <n v="21023770"/>
    <s v="N"/>
    <n v="21334177"/>
    <s v="3000008507410003RC"/>
    <s v="CIVIL"/>
    <d v="2023-06-29T00:00:00"/>
    <d v="2023-07-05T19:42:28"/>
    <m/>
    <d v="2023-07-05T00:00:00"/>
    <n v="2024"/>
    <n v="1248"/>
    <s v="21023770"/>
    <s v="21023770"/>
    <m/>
    <m/>
    <m/>
    <m/>
    <m/>
    <m/>
    <s v="SOLRECOUP"/>
    <s v="SOLRECOUP"/>
    <s v="POARECOUP"/>
    <n v="21334177"/>
    <n v="-307.19"/>
    <m/>
    <s v="Y"/>
    <n v="1"/>
    <d v="2023-07-05T19:42:30"/>
    <s v="N"/>
    <m/>
    <m/>
    <s v="Profit Cost"/>
    <m/>
    <s v="N"/>
    <n v="-255.99"/>
    <n v="0"/>
    <x v="6"/>
    <s v="VALIDATED"/>
    <n v="1"/>
    <s v="01.11.80.302.2013.0000"/>
    <n v="-255.99"/>
    <s v="11"/>
    <s v="2013"/>
    <n v="21904.93"/>
    <n v="-255.99"/>
    <s v="CREDITOR"/>
    <n v="0"/>
    <n v="0"/>
    <n v="-255.99"/>
    <n v="-63.9975"/>
    <n v="0"/>
  </r>
  <r>
    <n v="21023770"/>
    <s v="N"/>
    <n v="21334178"/>
    <s v="3000008507410014RC"/>
    <s v="CIVIL"/>
    <d v="2023-06-29T00:00:00"/>
    <d v="2023-07-05T19:42:28"/>
    <m/>
    <d v="2023-07-05T00:00:00"/>
    <n v="2024"/>
    <n v="1248"/>
    <s v="21023770"/>
    <s v="21023770"/>
    <m/>
    <m/>
    <m/>
    <m/>
    <m/>
    <m/>
    <s v="SOLRECOUP"/>
    <s v="SOLRECOUP"/>
    <s v="POARECOUP"/>
    <n v="21334178"/>
    <n v="-57.6"/>
    <m/>
    <s v="Y"/>
    <n v="2"/>
    <d v="2023-07-05T19:42:30"/>
    <s v="N"/>
    <m/>
    <m/>
    <s v="Expert Disbursement"/>
    <m/>
    <s v="N"/>
    <n v="0"/>
    <n v="0"/>
    <x v="6"/>
    <s v="VALIDATED"/>
    <n v="1"/>
    <s v="01.11.80.000.0000.0000"/>
    <n v="0"/>
    <s v="11"/>
    <s v="0000"/>
    <n v="21904.93"/>
    <n v="0"/>
    <s v="CREDITOR"/>
    <n v="0"/>
    <n v="0"/>
    <n v="0"/>
    <n v="0"/>
    <n v="0"/>
  </r>
  <r>
    <n v="21023770"/>
    <s v="N"/>
    <n v="21334178"/>
    <s v="3000008507410014RC"/>
    <s v="CIVIL"/>
    <d v="2023-06-29T00:00:00"/>
    <d v="2023-07-05T19:42:28"/>
    <m/>
    <d v="2023-07-05T00:00:00"/>
    <n v="2024"/>
    <n v="1248"/>
    <s v="21023770"/>
    <s v="21023770"/>
    <m/>
    <m/>
    <m/>
    <m/>
    <m/>
    <m/>
    <s v="SOLRECOUP"/>
    <s v="SOLRECOUP"/>
    <s v="POARECOUP"/>
    <n v="21334178"/>
    <n v="-57.6"/>
    <m/>
    <s v="Y"/>
    <n v="1"/>
    <d v="2023-07-05T19:42:30"/>
    <s v="N"/>
    <m/>
    <m/>
    <s v="Expert Disbursement"/>
    <m/>
    <s v="N"/>
    <n v="-57.6"/>
    <n v="0"/>
    <x v="6"/>
    <s v="VALIDATED"/>
    <n v="1"/>
    <s v="01.11.80.302.2013.0000"/>
    <n v="-57.6"/>
    <s v="11"/>
    <s v="2013"/>
    <n v="21904.93"/>
    <n v="-57.6"/>
    <s v="CREDITOR"/>
    <n v="0"/>
    <n v="0"/>
    <n v="-57.6"/>
    <n v="0"/>
    <n v="0"/>
  </r>
  <r>
    <n v="21023770"/>
    <s v="N"/>
    <n v="21334179"/>
    <s v="3000008507410013RC"/>
    <s v="CIVIL"/>
    <d v="2023-06-29T00:00:00"/>
    <d v="2023-07-05T19:42:28"/>
    <m/>
    <d v="2023-07-05T00:00:00"/>
    <n v="2024"/>
    <n v="1248"/>
    <s v="21023770"/>
    <s v="21023770"/>
    <m/>
    <m/>
    <m/>
    <m/>
    <m/>
    <m/>
    <s v="SOLRECOUP"/>
    <s v="SOLRECOUP"/>
    <s v="POARECOUP"/>
    <n v="21334179"/>
    <n v="-2788.46"/>
    <m/>
    <s v="Y"/>
    <n v="1"/>
    <d v="2023-07-05T19:42:30"/>
    <s v="N"/>
    <m/>
    <m/>
    <s v="Profit Cost"/>
    <m/>
    <s v="N"/>
    <n v="-2323.72"/>
    <n v="0"/>
    <x v="6"/>
    <s v="VALIDATED"/>
    <n v="1"/>
    <s v="01.11.80.302.2013.0000"/>
    <n v="-2323.72"/>
    <s v="11"/>
    <s v="2013"/>
    <n v="21904.93"/>
    <n v="-2323.72"/>
    <s v="CREDITOR"/>
    <n v="0"/>
    <n v="0"/>
    <n v="-2323.72"/>
    <n v="-580.9299999999999"/>
    <n v="0"/>
  </r>
  <r>
    <n v="21023770"/>
    <s v="N"/>
    <n v="21334179"/>
    <s v="3000008507410013RC"/>
    <s v="CIVIL"/>
    <d v="2023-06-29T00:00:00"/>
    <d v="2023-07-05T19:42:28"/>
    <m/>
    <d v="2023-07-05T00:00:00"/>
    <n v="2024"/>
    <n v="1248"/>
    <s v="21023770"/>
    <s v="21023770"/>
    <m/>
    <m/>
    <m/>
    <m/>
    <m/>
    <m/>
    <s v="SOLRECOUP"/>
    <s v="SOLRECOUP"/>
    <s v="POARECOUP"/>
    <n v="21334179"/>
    <n v="-2788.46"/>
    <m/>
    <s v="Y"/>
    <n v="2"/>
    <d v="2023-07-05T19:42:30"/>
    <s v="N"/>
    <m/>
    <m/>
    <s v="Profit Cost"/>
    <m/>
    <s v="N"/>
    <n v="0"/>
    <n v="-464.74"/>
    <x v="6"/>
    <s v="VALIDATED"/>
    <n v="1"/>
    <s v="01.11.80.302.2013.0000"/>
    <n v="-464.74"/>
    <s v="11"/>
    <s v="2013"/>
    <n v="21904.93"/>
    <n v="-464.74"/>
    <s v="CREDITOR"/>
    <n v="0"/>
    <n v="0"/>
    <n v="-464.74"/>
    <n v="-116.185"/>
    <n v="0"/>
  </r>
  <r>
    <n v="21023770"/>
    <s v="N"/>
    <n v="21334180"/>
    <s v="3000008507410009RC"/>
    <s v="CIVIL"/>
    <d v="2023-06-29T00:00:00"/>
    <d v="2023-07-05T19:42:28"/>
    <m/>
    <d v="2023-07-05T00:00:00"/>
    <n v="2024"/>
    <n v="1248"/>
    <s v="21023770"/>
    <s v="21023770"/>
    <m/>
    <m/>
    <m/>
    <m/>
    <m/>
    <m/>
    <s v="SOLRECOUP"/>
    <s v="SOLRECOUP"/>
    <s v="POARECOUP"/>
    <n v="21334180"/>
    <n v="-1327.1"/>
    <m/>
    <s v="Y"/>
    <n v="1"/>
    <d v="2023-07-05T19:42:30"/>
    <s v="N"/>
    <m/>
    <m/>
    <s v="Profit Cost"/>
    <m/>
    <s v="N"/>
    <n v="-1105.92"/>
    <n v="0"/>
    <x v="6"/>
    <s v="VALIDATED"/>
    <n v="1"/>
    <s v="01.11.80.302.2013.0000"/>
    <n v="-1105.92"/>
    <s v="11"/>
    <s v="2013"/>
    <n v="21904.93"/>
    <n v="-1105.92"/>
    <s v="CREDITOR"/>
    <n v="0"/>
    <n v="0"/>
    <n v="-1105.92"/>
    <n v="-276.48"/>
    <n v="0"/>
  </r>
  <r>
    <n v="21023770"/>
    <s v="N"/>
    <n v="21334180"/>
    <s v="3000008507410009RC"/>
    <s v="CIVIL"/>
    <d v="2023-06-29T00:00:00"/>
    <d v="2023-07-05T19:42:28"/>
    <m/>
    <d v="2023-07-05T00:00:00"/>
    <n v="2024"/>
    <n v="1248"/>
    <s v="21023770"/>
    <s v="21023770"/>
    <m/>
    <m/>
    <m/>
    <m/>
    <m/>
    <m/>
    <s v="SOLRECOUP"/>
    <s v="SOLRECOUP"/>
    <s v="POARECOUP"/>
    <n v="21334180"/>
    <n v="-1327.1"/>
    <m/>
    <s v="Y"/>
    <n v="2"/>
    <d v="2023-07-05T19:42:30"/>
    <s v="N"/>
    <m/>
    <m/>
    <s v="Profit Cost"/>
    <m/>
    <s v="N"/>
    <n v="0"/>
    <n v="-221.18"/>
    <x v="6"/>
    <s v="VALIDATED"/>
    <n v="1"/>
    <s v="01.11.80.302.2013.0000"/>
    <n v="-221.18"/>
    <s v="11"/>
    <s v="2013"/>
    <n v="21904.93"/>
    <n v="-221.18"/>
    <s v="CREDITOR"/>
    <n v="0"/>
    <n v="0"/>
    <n v="-221.18"/>
    <n v="-55.295"/>
    <n v="0"/>
  </r>
  <r>
    <n v="21023770"/>
    <s v="N"/>
    <n v="21334181"/>
    <s v="3000008507410008RC"/>
    <s v="CIVIL"/>
    <d v="2023-06-29T00:00:00"/>
    <d v="2023-07-05T19:42:28"/>
    <m/>
    <d v="2023-07-05T00:00:00"/>
    <n v="2024"/>
    <n v="1248"/>
    <s v="21023770"/>
    <s v="21023770"/>
    <m/>
    <m/>
    <m/>
    <m/>
    <m/>
    <m/>
    <s v="SOLRECOUP"/>
    <s v="SOLRECOUP"/>
    <s v="POARECOUP"/>
    <n v="21334181"/>
    <n v="-252.64"/>
    <m/>
    <s v="Y"/>
    <n v="2"/>
    <d v="2023-07-05T19:42:30"/>
    <s v="N"/>
    <m/>
    <m/>
    <s v="Expert Disbursement"/>
    <m/>
    <s v="N"/>
    <n v="0"/>
    <n v="0"/>
    <x v="6"/>
    <s v="VALIDATED"/>
    <n v="1"/>
    <s v="01.11.80.000.0000.0000"/>
    <n v="0"/>
    <s v="11"/>
    <s v="0000"/>
    <n v="21904.93"/>
    <n v="0"/>
    <s v="CREDITOR"/>
    <n v="0"/>
    <n v="0"/>
    <n v="0"/>
    <n v="0"/>
    <n v="0"/>
  </r>
  <r>
    <n v="21023770"/>
    <s v="N"/>
    <n v="21334181"/>
    <s v="3000008507410008RC"/>
    <s v="CIVIL"/>
    <d v="2023-06-29T00:00:00"/>
    <d v="2023-07-05T19:42:28"/>
    <m/>
    <d v="2023-07-05T00:00:00"/>
    <n v="2024"/>
    <n v="1248"/>
    <s v="21023770"/>
    <s v="21023770"/>
    <m/>
    <m/>
    <m/>
    <m/>
    <m/>
    <m/>
    <s v="SOLRECOUP"/>
    <s v="SOLRECOUP"/>
    <s v="POARECOUP"/>
    <n v="21334181"/>
    <n v="-252.64"/>
    <m/>
    <s v="Y"/>
    <n v="1"/>
    <d v="2023-07-05T19:42:30"/>
    <s v="N"/>
    <m/>
    <m/>
    <s v="Expert Disbursement"/>
    <m/>
    <s v="N"/>
    <n v="-252.64"/>
    <n v="0"/>
    <x v="6"/>
    <s v="VALIDATED"/>
    <n v="1"/>
    <s v="01.11.80.302.2013.0000"/>
    <n v="-252.64"/>
    <s v="11"/>
    <s v="2013"/>
    <n v="21904.93"/>
    <n v="-252.64"/>
    <s v="CREDITOR"/>
    <n v="0"/>
    <n v="0"/>
    <n v="-252.64"/>
    <n v="0"/>
    <n v="0"/>
  </r>
  <r>
    <n v="21023770"/>
    <s v="N"/>
    <n v="21334182"/>
    <s v="3000008507410021RC"/>
    <s v="CIVIL"/>
    <d v="2023-06-29T00:00:00"/>
    <d v="2023-07-05T19:42:28"/>
    <m/>
    <d v="2023-07-05T00:00:00"/>
    <n v="2024"/>
    <n v="1248"/>
    <s v="21023770"/>
    <s v="21023770"/>
    <m/>
    <m/>
    <m/>
    <m/>
    <m/>
    <m/>
    <s v="SOLRECOUP"/>
    <s v="SOLRECOUP"/>
    <s v="POARECOUP"/>
    <n v="21334182"/>
    <n v="-198"/>
    <m/>
    <s v="Y"/>
    <n v="1"/>
    <d v="2023-07-05T19:42:30"/>
    <s v="N"/>
    <m/>
    <m/>
    <s v="Expert Disbursement"/>
    <m/>
    <s v="N"/>
    <n v="-165"/>
    <n v="0"/>
    <x v="6"/>
    <s v="VALIDATED"/>
    <n v="1"/>
    <s v="01.11.80.302.2013.0000"/>
    <n v="-165"/>
    <s v="11"/>
    <s v="2013"/>
    <n v="21904.93"/>
    <n v="-165"/>
    <s v="CREDITOR"/>
    <n v="0"/>
    <n v="0"/>
    <n v="-165"/>
    <n v="0"/>
    <n v="0"/>
  </r>
  <r>
    <n v="21023770"/>
    <s v="N"/>
    <n v="21334182"/>
    <s v="3000008507410021RC"/>
    <s v="CIVIL"/>
    <d v="2023-06-29T00:00:00"/>
    <d v="2023-07-05T19:42:28"/>
    <m/>
    <d v="2023-07-05T00:00:00"/>
    <n v="2024"/>
    <n v="1248"/>
    <s v="21023770"/>
    <s v="21023770"/>
    <m/>
    <m/>
    <m/>
    <m/>
    <m/>
    <m/>
    <s v="SOLRECOUP"/>
    <s v="SOLRECOUP"/>
    <s v="POARECOUP"/>
    <n v="21334182"/>
    <n v="-198"/>
    <m/>
    <s v="Y"/>
    <n v="2"/>
    <d v="2023-07-05T19:42:30"/>
    <s v="N"/>
    <m/>
    <m/>
    <s v="Expert Disbursement"/>
    <m/>
    <s v="N"/>
    <n v="0"/>
    <n v="-33"/>
    <x v="6"/>
    <s v="VALIDATED"/>
    <n v="1"/>
    <s v="01.11.80.302.2013.0000"/>
    <n v="-33"/>
    <s v="11"/>
    <s v="2013"/>
    <n v="21904.93"/>
    <n v="-33"/>
    <s v="CREDITOR"/>
    <n v="0"/>
    <n v="0"/>
    <n v="-33"/>
    <n v="0"/>
    <n v="0"/>
  </r>
  <r>
    <n v="21023770"/>
    <s v="N"/>
    <n v="21334183"/>
    <s v="3000008507410010RC"/>
    <s v="CIVIL"/>
    <d v="2023-06-29T00:00:00"/>
    <d v="2023-07-05T19:42:28"/>
    <m/>
    <d v="2023-07-05T00:00:00"/>
    <n v="2024"/>
    <n v="1248"/>
    <s v="21023770"/>
    <s v="21023770"/>
    <m/>
    <m/>
    <m/>
    <m/>
    <m/>
    <m/>
    <s v="SOLRECOUP"/>
    <s v="SOLRECOUP"/>
    <s v="POARECOUP"/>
    <n v="21334183"/>
    <n v="-12"/>
    <m/>
    <s v="Y"/>
    <n v="1"/>
    <d v="2023-07-05T19:42:30"/>
    <s v="N"/>
    <m/>
    <m/>
    <s v="Expert Disbursement"/>
    <m/>
    <s v="N"/>
    <n v="-10"/>
    <n v="0"/>
    <x v="6"/>
    <s v="VALIDATED"/>
    <n v="1"/>
    <s v="01.11.80.302.2013.0000"/>
    <n v="-10"/>
    <s v="11"/>
    <s v="2013"/>
    <n v="21904.93"/>
    <n v="-10"/>
    <s v="CREDITOR"/>
    <n v="0"/>
    <n v="0"/>
    <n v="-10"/>
    <n v="0"/>
    <n v="0"/>
  </r>
  <r>
    <n v="21023770"/>
    <s v="N"/>
    <n v="21334183"/>
    <s v="3000008507410010RC"/>
    <s v="CIVIL"/>
    <d v="2023-06-29T00:00:00"/>
    <d v="2023-07-05T19:42:28"/>
    <m/>
    <d v="2023-07-05T00:00:00"/>
    <n v="2024"/>
    <n v="1248"/>
    <s v="21023770"/>
    <s v="21023770"/>
    <m/>
    <m/>
    <m/>
    <m/>
    <m/>
    <m/>
    <s v="SOLRECOUP"/>
    <s v="SOLRECOUP"/>
    <s v="POARECOUP"/>
    <n v="21334183"/>
    <n v="-12"/>
    <m/>
    <s v="Y"/>
    <n v="2"/>
    <d v="2023-07-05T19:42:30"/>
    <s v="N"/>
    <m/>
    <m/>
    <s v="Expert Disbursement"/>
    <m/>
    <s v="N"/>
    <n v="0"/>
    <n v="-2"/>
    <x v="6"/>
    <s v="VALIDATED"/>
    <n v="1"/>
    <s v="01.11.80.302.2013.0000"/>
    <n v="-2"/>
    <s v="11"/>
    <s v="2013"/>
    <n v="21904.93"/>
    <n v="-2"/>
    <s v="CREDITOR"/>
    <n v="0"/>
    <n v="0"/>
    <n v="-2"/>
    <n v="0"/>
    <n v="0"/>
  </r>
  <r>
    <n v="21023770"/>
    <s v="N"/>
    <n v="21334184"/>
    <s v="3000008507410011RC"/>
    <s v="CIVIL"/>
    <d v="2023-06-29T00:00:00"/>
    <d v="2023-07-05T19:42:28"/>
    <m/>
    <d v="2023-07-05T00:00:00"/>
    <n v="2024"/>
    <n v="1248"/>
    <s v="21023770"/>
    <s v="21023770"/>
    <m/>
    <m/>
    <m/>
    <m/>
    <m/>
    <m/>
    <s v="SOLRECOUP"/>
    <s v="SOLRECOUP"/>
    <s v="POARECOUP"/>
    <n v="21334184"/>
    <n v="-60"/>
    <m/>
    <s v="Y"/>
    <n v="1"/>
    <d v="2023-07-05T19:42:30"/>
    <s v="N"/>
    <m/>
    <m/>
    <s v="Expert Disbursement"/>
    <m/>
    <s v="N"/>
    <n v="-50"/>
    <n v="0"/>
    <x v="6"/>
    <s v="VALIDATED"/>
    <n v="1"/>
    <s v="01.11.80.302.2013.0000"/>
    <n v="-50"/>
    <s v="11"/>
    <s v="2013"/>
    <n v="21904.93"/>
    <n v="-50"/>
    <s v="CREDITOR"/>
    <n v="0"/>
    <n v="0"/>
    <n v="-50"/>
    <n v="0"/>
    <n v="0"/>
  </r>
  <r>
    <n v="21023770"/>
    <s v="N"/>
    <n v="21334184"/>
    <s v="3000008507410011RC"/>
    <s v="CIVIL"/>
    <d v="2023-06-29T00:00:00"/>
    <d v="2023-07-05T19:42:28"/>
    <m/>
    <d v="2023-07-05T00:00:00"/>
    <n v="2024"/>
    <n v="1248"/>
    <s v="21023770"/>
    <s v="21023770"/>
    <m/>
    <m/>
    <m/>
    <m/>
    <m/>
    <m/>
    <s v="SOLRECOUP"/>
    <s v="SOLRECOUP"/>
    <s v="POARECOUP"/>
    <n v="21334184"/>
    <n v="-60"/>
    <m/>
    <s v="Y"/>
    <n v="2"/>
    <d v="2023-07-05T19:42:30"/>
    <s v="N"/>
    <m/>
    <m/>
    <s v="Expert Disbursement"/>
    <m/>
    <s v="N"/>
    <n v="0"/>
    <n v="-10"/>
    <x v="6"/>
    <s v="VALIDATED"/>
    <n v="1"/>
    <s v="01.11.80.302.2013.0000"/>
    <n v="-10"/>
    <s v="11"/>
    <s v="2013"/>
    <n v="21904.93"/>
    <n v="-10"/>
    <s v="CREDITOR"/>
    <n v="0"/>
    <n v="0"/>
    <n v="-10"/>
    <n v="0"/>
    <n v="0"/>
  </r>
  <r>
    <n v="21023770"/>
    <s v="N"/>
    <n v="21334185"/>
    <s v="3000008507410016RC"/>
    <s v="CIVIL"/>
    <d v="2023-06-29T00:00:00"/>
    <d v="2023-07-05T19:42:28"/>
    <m/>
    <d v="2023-07-05T00:00:00"/>
    <n v="2024"/>
    <n v="1248"/>
    <s v="21023770"/>
    <s v="21023770"/>
    <m/>
    <m/>
    <m/>
    <m/>
    <m/>
    <m/>
    <s v="SOLRECOUP"/>
    <s v="SOLRECOUP"/>
    <s v="POARECOUP"/>
    <n v="21334185"/>
    <n v="-3136.32"/>
    <m/>
    <s v="Y"/>
    <n v="1"/>
    <d v="2023-07-05T19:42:30"/>
    <s v="N"/>
    <m/>
    <m/>
    <s v="Profit Cost"/>
    <m/>
    <s v="N"/>
    <n v="-2613.6"/>
    <n v="0"/>
    <x v="6"/>
    <s v="VALIDATED"/>
    <n v="1"/>
    <s v="01.11.80.302.2013.0000"/>
    <n v="-2613.6"/>
    <s v="11"/>
    <s v="2013"/>
    <n v="21904.93"/>
    <n v="-2613.6"/>
    <s v="CREDITOR"/>
    <n v="0"/>
    <n v="0"/>
    <n v="-2613.6"/>
    <n v="-653.4"/>
    <n v="0"/>
  </r>
  <r>
    <n v="21023770"/>
    <s v="N"/>
    <n v="21334185"/>
    <s v="3000008507410016RC"/>
    <s v="CIVIL"/>
    <d v="2023-06-29T00:00:00"/>
    <d v="2023-07-05T19:42:28"/>
    <m/>
    <d v="2023-07-05T00:00:00"/>
    <n v="2024"/>
    <n v="1248"/>
    <s v="21023770"/>
    <s v="21023770"/>
    <m/>
    <m/>
    <m/>
    <m/>
    <m/>
    <m/>
    <s v="SOLRECOUP"/>
    <s v="SOLRECOUP"/>
    <s v="POARECOUP"/>
    <n v="21334185"/>
    <n v="-3136.32"/>
    <m/>
    <s v="Y"/>
    <n v="2"/>
    <d v="2023-07-05T19:42:30"/>
    <s v="N"/>
    <m/>
    <m/>
    <s v="Profit Cost"/>
    <m/>
    <s v="N"/>
    <n v="0"/>
    <n v="-522.72"/>
    <x v="6"/>
    <s v="VALIDATED"/>
    <n v="1"/>
    <s v="01.11.80.302.2013.0000"/>
    <n v="-522.72"/>
    <s v="11"/>
    <s v="2013"/>
    <n v="21904.93"/>
    <n v="-522.72"/>
    <s v="CREDITOR"/>
    <n v="0"/>
    <n v="0"/>
    <n v="-522.72"/>
    <n v="-130.68"/>
    <n v="0"/>
  </r>
  <r>
    <n v="21023770"/>
    <s v="N"/>
    <n v="21334186"/>
    <s v="3000008507410018RC"/>
    <s v="CIVIL"/>
    <d v="2023-06-29T00:00:00"/>
    <d v="2023-07-05T19:42:28"/>
    <m/>
    <d v="2023-07-05T00:00:00"/>
    <n v="2024"/>
    <n v="1248"/>
    <s v="21023770"/>
    <s v="21023770"/>
    <m/>
    <m/>
    <m/>
    <m/>
    <m/>
    <m/>
    <s v="SOLRECOUP"/>
    <s v="SOLRECOUP"/>
    <s v="POARECOUP"/>
    <n v="21334186"/>
    <n v="-4363.03"/>
    <m/>
    <s v="Y"/>
    <n v="2"/>
    <d v="2023-07-05T19:42:30"/>
    <s v="N"/>
    <m/>
    <m/>
    <s v="Profit Cost"/>
    <m/>
    <s v="N"/>
    <n v="0"/>
    <n v="-727.17"/>
    <x v="6"/>
    <s v="VALIDATED"/>
    <n v="1"/>
    <s v="01.11.80.302.2013.0000"/>
    <n v="-727.17"/>
    <s v="11"/>
    <s v="2013"/>
    <n v="21904.93"/>
    <n v="-727.17"/>
    <s v="CREDITOR"/>
    <n v="0"/>
    <n v="0"/>
    <n v="-727.17"/>
    <n v="-181.7925"/>
    <n v="0"/>
  </r>
  <r>
    <n v="21023770"/>
    <s v="N"/>
    <n v="21334186"/>
    <s v="3000008507410018RC"/>
    <s v="CIVIL"/>
    <d v="2023-06-29T00:00:00"/>
    <d v="2023-07-05T19:42:28"/>
    <m/>
    <d v="2023-07-05T00:00:00"/>
    <n v="2024"/>
    <n v="1248"/>
    <s v="21023770"/>
    <s v="21023770"/>
    <m/>
    <m/>
    <m/>
    <m/>
    <m/>
    <m/>
    <s v="SOLRECOUP"/>
    <s v="SOLRECOUP"/>
    <s v="POARECOUP"/>
    <n v="21334186"/>
    <n v="-4363.03"/>
    <m/>
    <s v="Y"/>
    <n v="1"/>
    <d v="2023-07-05T19:42:30"/>
    <s v="N"/>
    <m/>
    <m/>
    <s v="Profit Cost"/>
    <m/>
    <s v="N"/>
    <n v="-3635.86"/>
    <n v="0"/>
    <x v="6"/>
    <s v="VALIDATED"/>
    <n v="1"/>
    <s v="01.11.80.302.2013.0000"/>
    <n v="-3635.86"/>
    <s v="11"/>
    <s v="2013"/>
    <n v="21904.93"/>
    <n v="-3635.86"/>
    <s v="CREDITOR"/>
    <n v="0"/>
    <n v="0"/>
    <n v="-3635.86"/>
    <n v="-908.965"/>
    <n v="0"/>
  </r>
  <r>
    <n v="21023770"/>
    <s v="N"/>
    <n v="21334187"/>
    <s v="3000008507410020RC"/>
    <s v="CIVIL"/>
    <d v="2023-06-29T00:00:00"/>
    <d v="2023-07-05T19:42:28"/>
    <m/>
    <d v="2023-07-05T00:00:00"/>
    <n v="2024"/>
    <n v="1248"/>
    <s v="21023770"/>
    <s v="21023770"/>
    <m/>
    <m/>
    <m/>
    <m/>
    <m/>
    <m/>
    <s v="SOLRECOUP"/>
    <s v="SOLRECOUP"/>
    <s v="POARECOUP"/>
    <n v="21334187"/>
    <n v="-1373.41"/>
    <m/>
    <s v="Y"/>
    <n v="1"/>
    <d v="2023-07-05T19:42:30"/>
    <s v="N"/>
    <m/>
    <m/>
    <s v="Profit Cost"/>
    <m/>
    <s v="N"/>
    <n v="-1144.51"/>
    <n v="0"/>
    <x v="6"/>
    <s v="VALIDATED"/>
    <n v="1"/>
    <s v="01.11.80.302.2013.0000"/>
    <n v="-1144.51"/>
    <s v="11"/>
    <s v="2013"/>
    <n v="21904.93"/>
    <n v="-1144.51"/>
    <s v="CREDITOR"/>
    <n v="0"/>
    <n v="0"/>
    <n v="-1144.51"/>
    <n v="-286.1275"/>
    <n v="0"/>
  </r>
  <r>
    <n v="21023770"/>
    <s v="N"/>
    <n v="21334187"/>
    <s v="3000008507410020RC"/>
    <s v="CIVIL"/>
    <d v="2023-06-29T00:00:00"/>
    <d v="2023-07-05T19:42:28"/>
    <m/>
    <d v="2023-07-05T00:00:00"/>
    <n v="2024"/>
    <n v="1248"/>
    <s v="21023770"/>
    <s v="21023770"/>
    <m/>
    <m/>
    <m/>
    <m/>
    <m/>
    <m/>
    <s v="SOLRECOUP"/>
    <s v="SOLRECOUP"/>
    <s v="POARECOUP"/>
    <n v="21334187"/>
    <n v="-1373.41"/>
    <m/>
    <s v="Y"/>
    <n v="2"/>
    <d v="2023-07-05T19:42:30"/>
    <s v="N"/>
    <m/>
    <m/>
    <s v="Profit Cost"/>
    <m/>
    <s v="N"/>
    <n v="0"/>
    <n v="-228.9"/>
    <x v="6"/>
    <s v="VALIDATED"/>
    <n v="1"/>
    <s v="01.11.80.302.2013.0000"/>
    <n v="-228.9"/>
    <s v="11"/>
    <s v="2013"/>
    <n v="21904.93"/>
    <n v="-228.9"/>
    <s v="CREDITOR"/>
    <n v="0"/>
    <n v="0"/>
    <n v="-228.9"/>
    <n v="-57.225"/>
    <n v="0"/>
  </r>
  <r>
    <n v="21023770"/>
    <s v="N"/>
    <n v="21334177"/>
    <s v="3000008507410003RC"/>
    <s v="CIVIL"/>
    <d v="2023-06-29T00:00:00"/>
    <d v="2023-07-05T19:42:28"/>
    <m/>
    <d v="2023-07-05T00:00:00"/>
    <n v="2024"/>
    <n v="1248"/>
    <s v="21023770"/>
    <s v="21023770"/>
    <m/>
    <m/>
    <m/>
    <m/>
    <m/>
    <m/>
    <s v="SOLRECOUP"/>
    <s v="SOLRECOUP"/>
    <s v="POARECOUP"/>
    <n v="21334177"/>
    <n v="-307.19"/>
    <m/>
    <s v="Y"/>
    <n v="2"/>
    <d v="2023-07-05T19:42:30"/>
    <s v="N"/>
    <m/>
    <m/>
    <s v="Profit Cost"/>
    <m/>
    <s v="N"/>
    <n v="0"/>
    <n v="-51.2"/>
    <x v="6"/>
    <s v="VALIDATED"/>
    <n v="1"/>
    <s v="01.11.80.302.2013.0000"/>
    <n v="-51.2"/>
    <s v="11"/>
    <s v="2013"/>
    <n v="21904.93"/>
    <n v="-51.2"/>
    <s v="CREDITOR"/>
    <n v="0"/>
    <n v="0"/>
    <n v="-51.2"/>
    <n v="-12.8"/>
    <n v="0"/>
  </r>
  <r>
    <n v="60111297"/>
    <s v="N"/>
    <n v="21388402"/>
    <s v="3000014438350003RC"/>
    <s v="CIVIL"/>
    <d v="2023-06-09T00:00:00"/>
    <d v="2023-07-17T19:42:13"/>
    <m/>
    <d v="2023-07-17T00:00:00"/>
    <n v="2024"/>
    <n v="1248"/>
    <s v="60111297"/>
    <s v="60111297"/>
    <m/>
    <m/>
    <m/>
    <m/>
    <m/>
    <m/>
    <s v="SOLRECOUP"/>
    <s v="SOLRECOUP"/>
    <s v="POARECOUP"/>
    <n v="21388402"/>
    <n v="-551.58"/>
    <m/>
    <s v="Y"/>
    <n v="2"/>
    <d v="2023-07-17T19:42:15"/>
    <s v="N"/>
    <m/>
    <m/>
    <s v="Profit Cost"/>
    <m/>
    <s v="N"/>
    <n v="0"/>
    <n v="-91.93000000000001"/>
    <x v="8"/>
    <s v="VALIDATED"/>
    <n v="1"/>
    <s v="01.11.80.302.2013.0000"/>
    <n v="-91.93000000000001"/>
    <s v="11"/>
    <s v="2013"/>
    <n v="21904.93"/>
    <n v="-91.93000000000001"/>
    <s v="CREDITOR"/>
    <n v="0"/>
    <n v="0"/>
    <n v="-91.93000000000001"/>
    <n v="-22.9825"/>
    <n v="0"/>
  </r>
  <r>
    <n v="60111297"/>
    <s v="N"/>
    <n v="21388402"/>
    <s v="3000014438350003RC"/>
    <s v="CIVIL"/>
    <d v="2023-06-09T00:00:00"/>
    <d v="2023-07-17T19:42:13"/>
    <m/>
    <d v="2023-07-17T00:00:00"/>
    <n v="2024"/>
    <n v="1248"/>
    <s v="60111297"/>
    <s v="60111297"/>
    <m/>
    <m/>
    <m/>
    <m/>
    <m/>
    <m/>
    <s v="SOLRECOUP"/>
    <s v="SOLRECOUP"/>
    <s v="POARECOUP"/>
    <n v="21388402"/>
    <n v="-551.58"/>
    <m/>
    <s v="Y"/>
    <n v="1"/>
    <d v="2023-07-17T19:42:15"/>
    <s v="N"/>
    <m/>
    <m/>
    <s v="Profit Cost"/>
    <m/>
    <s v="N"/>
    <n v="-459.65"/>
    <n v="0"/>
    <x v="8"/>
    <s v="VALIDATED"/>
    <n v="1"/>
    <s v="01.11.80.302.2013.0000"/>
    <n v="-459.65"/>
    <s v="11"/>
    <s v="2013"/>
    <n v="21904.93"/>
    <n v="-459.65"/>
    <s v="CREDITOR"/>
    <n v="0"/>
    <n v="0"/>
    <n v="-459.65"/>
    <n v="-114.9125"/>
    <n v="0"/>
  </r>
  <r>
    <n v="60111297"/>
    <s v="N"/>
    <n v="21388403"/>
    <s v="3000014438350004RC"/>
    <s v="CIVIL"/>
    <d v="2023-06-09T00:00:00"/>
    <d v="2023-07-17T19:42:13"/>
    <m/>
    <d v="2023-07-17T00:00:00"/>
    <n v="2024"/>
    <n v="1248"/>
    <s v="60111297"/>
    <s v="60111297"/>
    <m/>
    <m/>
    <m/>
    <m/>
    <m/>
    <m/>
    <s v="SOLRECOUP"/>
    <s v="SOLRECOUP"/>
    <s v="POARECOUP"/>
    <n v="21388403"/>
    <n v="-531.36"/>
    <m/>
    <s v="Y"/>
    <n v="2"/>
    <d v="2023-07-17T19:42:15"/>
    <s v="N"/>
    <m/>
    <m/>
    <s v="Profit Cost"/>
    <m/>
    <s v="N"/>
    <n v="0"/>
    <n v="-88.56"/>
    <x v="8"/>
    <s v="VALIDATED"/>
    <n v="1"/>
    <s v="01.11.80.302.2013.0000"/>
    <n v="-88.56"/>
    <s v="11"/>
    <s v="2013"/>
    <n v="21904.93"/>
    <n v="-88.56"/>
    <s v="CREDITOR"/>
    <n v="0"/>
    <n v="0"/>
    <n v="-88.56"/>
    <n v="-22.14"/>
    <n v="0"/>
  </r>
  <r>
    <n v="60111297"/>
    <s v="N"/>
    <n v="21388403"/>
    <s v="3000014438350004RC"/>
    <s v="CIVIL"/>
    <d v="2023-06-09T00:00:00"/>
    <d v="2023-07-17T19:42:13"/>
    <m/>
    <d v="2023-07-17T00:00:00"/>
    <n v="2024"/>
    <n v="1248"/>
    <s v="60111297"/>
    <s v="60111297"/>
    <m/>
    <m/>
    <m/>
    <m/>
    <m/>
    <m/>
    <s v="SOLRECOUP"/>
    <s v="SOLRECOUP"/>
    <s v="POARECOUP"/>
    <n v="21388403"/>
    <n v="-531.36"/>
    <m/>
    <s v="Y"/>
    <n v="1"/>
    <d v="2023-07-17T19:42:15"/>
    <s v="N"/>
    <m/>
    <m/>
    <s v="Profit Cost"/>
    <m/>
    <s v="N"/>
    <n v="-442.8"/>
    <n v="0"/>
    <x v="8"/>
    <s v="VALIDATED"/>
    <n v="1"/>
    <s v="01.11.80.302.2013.0000"/>
    <n v="-442.8"/>
    <s v="11"/>
    <s v="2013"/>
    <n v="21904.93"/>
    <n v="-442.8"/>
    <s v="CREDITOR"/>
    <n v="0"/>
    <n v="0"/>
    <n v="-442.8"/>
    <n v="-110.7"/>
    <n v="0"/>
  </r>
  <r>
    <n v="60111297"/>
    <s v="N"/>
    <n v="21388404"/>
    <s v="3000014438350001RC"/>
    <s v="CIVIL"/>
    <d v="2023-06-09T00:00:00"/>
    <d v="2023-07-17T19:42:13"/>
    <m/>
    <d v="2023-07-17T00:00:00"/>
    <n v="2024"/>
    <n v="1248"/>
    <s v="60111297"/>
    <s v="60111297"/>
    <m/>
    <m/>
    <m/>
    <m/>
    <m/>
    <m/>
    <s v="SOLRECOUP"/>
    <s v="SOLRECOUP"/>
    <s v="POARECOUP"/>
    <n v="21388404"/>
    <n v="-489.02"/>
    <m/>
    <s v="Y"/>
    <n v="2"/>
    <d v="2023-07-17T19:42:15"/>
    <s v="N"/>
    <m/>
    <m/>
    <s v="Non Expert Disbursement"/>
    <m/>
    <s v="N"/>
    <n v="0"/>
    <n v="-81.5"/>
    <x v="8"/>
    <s v="VALIDATED"/>
    <n v="1"/>
    <s v="01.11.80.302.2013.0000"/>
    <n v="-81.5"/>
    <s v="11"/>
    <s v="2013"/>
    <n v="21904.93"/>
    <n v="-81.5"/>
    <s v="CREDITOR"/>
    <n v="0"/>
    <n v="0"/>
    <n v="-81.5"/>
    <n v="0"/>
    <n v="0"/>
  </r>
  <r>
    <n v="60111297"/>
    <s v="N"/>
    <n v="21388404"/>
    <s v="3000014438350001RC"/>
    <s v="CIVIL"/>
    <d v="2023-06-09T00:00:00"/>
    <d v="2023-07-17T19:42:13"/>
    <m/>
    <d v="2023-07-17T00:00:00"/>
    <n v="2024"/>
    <n v="1248"/>
    <s v="60111297"/>
    <s v="60111297"/>
    <m/>
    <m/>
    <m/>
    <m/>
    <m/>
    <m/>
    <s v="SOLRECOUP"/>
    <s v="SOLRECOUP"/>
    <s v="POARECOUP"/>
    <n v="21388404"/>
    <n v="-489.02"/>
    <m/>
    <s v="Y"/>
    <n v="1"/>
    <d v="2023-07-17T19:42:15"/>
    <s v="N"/>
    <m/>
    <m/>
    <s v="Non Expert Disbursement"/>
    <m/>
    <s v="N"/>
    <n v="-407.52"/>
    <n v="0"/>
    <x v="8"/>
    <s v="VALIDATED"/>
    <n v="1"/>
    <s v="01.11.80.302.2013.0000"/>
    <n v="-407.52"/>
    <s v="11"/>
    <s v="2013"/>
    <n v="21904.93"/>
    <n v="-407.52"/>
    <s v="CREDITOR"/>
    <n v="0"/>
    <n v="0"/>
    <n v="-407.52"/>
    <n v="0"/>
    <n v="0"/>
  </r>
  <r>
    <n v="60111297"/>
    <s v="N"/>
    <n v="21388405"/>
    <s v="3000014438350002RC"/>
    <s v="CIVIL"/>
    <d v="2023-06-09T00:00:00"/>
    <d v="2023-07-17T19:42:13"/>
    <m/>
    <d v="2023-07-17T00:00:00"/>
    <n v="2024"/>
    <n v="1248"/>
    <s v="60111297"/>
    <s v="60111297"/>
    <m/>
    <m/>
    <m/>
    <m/>
    <m/>
    <m/>
    <s v="SOLRECOUP"/>
    <s v="SOLRECOUP"/>
    <s v="POARECOUP"/>
    <n v="21388405"/>
    <n v="-3635.02"/>
    <m/>
    <s v="Y"/>
    <n v="2"/>
    <d v="2023-07-17T19:42:15"/>
    <s v="N"/>
    <m/>
    <m/>
    <s v="Profit Cost"/>
    <m/>
    <s v="N"/>
    <n v="0"/>
    <n v="-605.84"/>
    <x v="8"/>
    <s v="VALIDATED"/>
    <n v="1"/>
    <s v="01.11.80.302.2013.0000"/>
    <n v="-605.84"/>
    <s v="11"/>
    <s v="2013"/>
    <n v="21904.93"/>
    <n v="-605.84"/>
    <s v="CREDITOR"/>
    <n v="0"/>
    <n v="0"/>
    <n v="-605.84"/>
    <n v="-151.46"/>
    <n v="0"/>
  </r>
  <r>
    <n v="60111297"/>
    <s v="N"/>
    <n v="21388405"/>
    <s v="3000014438350002RC"/>
    <s v="CIVIL"/>
    <d v="2023-06-09T00:00:00"/>
    <d v="2023-07-17T19:42:13"/>
    <m/>
    <d v="2023-07-17T00:00:00"/>
    <n v="2024"/>
    <n v="1248"/>
    <s v="60111297"/>
    <s v="60111297"/>
    <m/>
    <m/>
    <m/>
    <m/>
    <m/>
    <m/>
    <s v="SOLRECOUP"/>
    <s v="SOLRECOUP"/>
    <s v="POARECOUP"/>
    <n v="21388405"/>
    <n v="-3635.02"/>
    <m/>
    <s v="Y"/>
    <n v="1"/>
    <d v="2023-07-17T19:42:15"/>
    <s v="N"/>
    <m/>
    <m/>
    <s v="Profit Cost"/>
    <m/>
    <s v="N"/>
    <n v="-3029.18"/>
    <n v="0"/>
    <x v="8"/>
    <s v="VALIDATED"/>
    <n v="1"/>
    <s v="01.11.80.302.2013.0000"/>
    <n v="-3029.18"/>
    <s v="11"/>
    <s v="2013"/>
    <n v="21904.93"/>
    <n v="-3029.18"/>
    <s v="CREDITOR"/>
    <n v="0"/>
    <n v="0"/>
    <n v="-3029.18"/>
    <n v="-757.295"/>
    <n v="0"/>
  </r>
  <r>
    <n v="60111297"/>
    <s v="N"/>
    <n v="21388406"/>
    <s v="3000014438350005RC"/>
    <s v="CIVIL"/>
    <d v="2023-06-09T00:00:00"/>
    <d v="2023-07-17T19:42:13"/>
    <m/>
    <d v="2023-07-17T00:00:00"/>
    <n v="2024"/>
    <n v="1248"/>
    <s v="60111297"/>
    <s v="60111297"/>
    <m/>
    <m/>
    <m/>
    <m/>
    <m/>
    <m/>
    <s v="SOLRECOUP"/>
    <s v="SOLRECOUP"/>
    <s v="POARECOUP"/>
    <n v="21388406"/>
    <n v="-255.58"/>
    <m/>
    <s v="Y"/>
    <n v="2"/>
    <d v="2023-07-17T19:42:15"/>
    <s v="N"/>
    <m/>
    <m/>
    <s v="Profit Cost"/>
    <m/>
    <s v="N"/>
    <n v="0"/>
    <n v="-42.6"/>
    <x v="8"/>
    <s v="VALIDATED"/>
    <n v="1"/>
    <s v="01.11.80.302.2013.0000"/>
    <n v="-42.6"/>
    <s v="11"/>
    <s v="2013"/>
    <n v="21904.93"/>
    <n v="-42.6"/>
    <s v="CREDITOR"/>
    <n v="0"/>
    <n v="0"/>
    <n v="-42.6"/>
    <n v="-10.65"/>
    <n v="0"/>
  </r>
  <r>
    <n v="60111297"/>
    <s v="N"/>
    <n v="21388406"/>
    <s v="3000014438350005RC"/>
    <s v="CIVIL"/>
    <d v="2023-06-09T00:00:00"/>
    <d v="2023-07-17T19:42:13"/>
    <m/>
    <d v="2023-07-17T00:00:00"/>
    <n v="2024"/>
    <n v="1248"/>
    <s v="60111297"/>
    <s v="60111297"/>
    <m/>
    <m/>
    <m/>
    <m/>
    <m/>
    <m/>
    <s v="SOLRECOUP"/>
    <s v="SOLRECOUP"/>
    <s v="POARECOUP"/>
    <n v="21388406"/>
    <n v="-255.58"/>
    <m/>
    <s v="Y"/>
    <n v="1"/>
    <d v="2023-07-17T19:42:15"/>
    <s v="N"/>
    <m/>
    <m/>
    <s v="Profit Cost"/>
    <m/>
    <s v="N"/>
    <n v="-212.98"/>
    <n v="0"/>
    <x v="8"/>
    <s v="VALIDATED"/>
    <n v="1"/>
    <s v="01.11.80.302.2013.0000"/>
    <n v="-212.98"/>
    <s v="11"/>
    <s v="2013"/>
    <n v="21904.93"/>
    <n v="-212.98"/>
    <s v="CREDITOR"/>
    <n v="0"/>
    <n v="0"/>
    <n v="-212.98"/>
    <n v="-53.245"/>
    <n v="0"/>
  </r>
  <r>
    <n v="60616722"/>
    <s v="N"/>
    <n v="21361689"/>
    <s v="3000014869950001RC"/>
    <s v="CIVIL"/>
    <d v="2023-06-29T00:00:00"/>
    <d v="2023-07-11T19:38:00"/>
    <m/>
    <d v="2023-07-11T00:00:00"/>
    <n v="2024"/>
    <n v="1248"/>
    <s v="60616722"/>
    <s v="60616722"/>
    <m/>
    <m/>
    <m/>
    <m/>
    <m/>
    <m/>
    <s v="SOLRECOUP"/>
    <s v="SOLRECOUP"/>
    <s v="POARECOUP"/>
    <n v="21361689"/>
    <n v="-572.29"/>
    <m/>
    <s v="Y"/>
    <n v="1"/>
    <d v="2023-07-11T19:38:02"/>
    <s v="N"/>
    <m/>
    <m/>
    <s v="Non Expert Disbursement"/>
    <m/>
    <s v="N"/>
    <n v="-476.91"/>
    <n v="0"/>
    <x v="7"/>
    <s v="VALIDATED"/>
    <n v="1"/>
    <s v="01.11.80.308.2013.0000"/>
    <n v="-476.91"/>
    <s v="11"/>
    <s v="2013"/>
    <n v="21904.93"/>
    <n v="-476.91"/>
    <s v="CREDITOR"/>
    <n v="0"/>
    <n v="0"/>
    <n v="-476.91"/>
    <n v="0"/>
    <n v="0"/>
  </r>
  <r>
    <n v="60616722"/>
    <s v="N"/>
    <n v="21361689"/>
    <s v="3000014869950001RC"/>
    <s v="CIVIL"/>
    <d v="2023-06-29T00:00:00"/>
    <d v="2023-07-11T19:38:00"/>
    <m/>
    <d v="2023-07-11T00:00:00"/>
    <n v="2024"/>
    <n v="1248"/>
    <s v="60616722"/>
    <s v="60616722"/>
    <m/>
    <m/>
    <m/>
    <m/>
    <m/>
    <m/>
    <s v="SOLRECOUP"/>
    <s v="SOLRECOUP"/>
    <s v="POARECOUP"/>
    <n v="21361689"/>
    <n v="-572.29"/>
    <m/>
    <s v="Y"/>
    <n v="2"/>
    <d v="2023-07-11T19:38:02"/>
    <s v="N"/>
    <m/>
    <m/>
    <s v="Non Expert Disbursement"/>
    <m/>
    <s v="N"/>
    <n v="0"/>
    <n v="-95.38"/>
    <x v="7"/>
    <s v="VALIDATED"/>
    <n v="1"/>
    <s v="01.11.80.308.2013.0000"/>
    <n v="-95.38"/>
    <s v="11"/>
    <s v="2013"/>
    <n v="21904.93"/>
    <n v="-95.38"/>
    <s v="CREDITOR"/>
    <n v="0"/>
    <n v="0"/>
    <n v="-95.38"/>
    <n v="0"/>
    <n v="0"/>
  </r>
  <r>
    <n v="60616722"/>
    <s v="N"/>
    <n v="21361690"/>
    <s v="3000014869950002RC"/>
    <s v="CIVIL"/>
    <d v="2023-06-29T00:00:00"/>
    <d v="2023-07-11T19:38:00"/>
    <m/>
    <d v="2023-07-11T00:00:00"/>
    <n v="2024"/>
    <n v="1248"/>
    <s v="60616722"/>
    <s v="60616722"/>
    <m/>
    <m/>
    <m/>
    <m/>
    <m/>
    <m/>
    <s v="SOLRECOUP"/>
    <s v="SOLRECOUP"/>
    <s v="POARECOUP"/>
    <n v="21361690"/>
    <n v="-2499.72"/>
    <m/>
    <s v="Y"/>
    <n v="1"/>
    <d v="2023-07-11T19:38:02"/>
    <s v="N"/>
    <m/>
    <m/>
    <s v="Profit Cost"/>
    <m/>
    <s v="N"/>
    <n v="-2083.1"/>
    <n v="0"/>
    <x v="7"/>
    <s v="VALIDATED"/>
    <n v="1"/>
    <s v="01.11.80.308.2013.0000"/>
    <n v="-2083.1"/>
    <s v="11"/>
    <s v="2013"/>
    <n v="21904.93"/>
    <n v="-2083.1"/>
    <s v="CREDITOR"/>
    <n v="0"/>
    <n v="0"/>
    <n v="-2083.1"/>
    <n v="-520.775"/>
    <n v="0"/>
  </r>
  <r>
    <n v="60616722"/>
    <s v="N"/>
    <n v="21361690"/>
    <s v="3000014869950002RC"/>
    <s v="CIVIL"/>
    <d v="2023-06-29T00:00:00"/>
    <d v="2023-07-11T19:38:00"/>
    <m/>
    <d v="2023-07-11T00:00:00"/>
    <n v="2024"/>
    <n v="1248"/>
    <s v="60616722"/>
    <s v="60616722"/>
    <m/>
    <m/>
    <m/>
    <m/>
    <m/>
    <m/>
    <s v="SOLRECOUP"/>
    <s v="SOLRECOUP"/>
    <s v="POARECOUP"/>
    <n v="21361690"/>
    <n v="-2499.72"/>
    <m/>
    <s v="Y"/>
    <n v="2"/>
    <d v="2023-07-11T19:38:02"/>
    <s v="N"/>
    <m/>
    <m/>
    <s v="Profit Cost"/>
    <m/>
    <s v="N"/>
    <n v="0"/>
    <n v="-416.62"/>
    <x v="7"/>
    <s v="VALIDATED"/>
    <n v="1"/>
    <s v="01.11.80.308.2013.0000"/>
    <n v="-416.62"/>
    <s v="11"/>
    <s v="2013"/>
    <n v="21904.93"/>
    <n v="-416.62"/>
    <s v="CREDITOR"/>
    <n v="0"/>
    <n v="0"/>
    <n v="-416.62"/>
    <n v="-104.155"/>
    <n v="0"/>
  </r>
  <r>
    <n v="60616722"/>
    <s v="N"/>
    <n v="21361691"/>
    <s v="3000014869950003RC"/>
    <s v="CIVIL"/>
    <d v="2023-06-29T00:00:00"/>
    <d v="2023-07-11T19:38:00"/>
    <m/>
    <d v="2023-07-11T00:00:00"/>
    <n v="2024"/>
    <n v="1248"/>
    <s v="60616722"/>
    <s v="60616722"/>
    <m/>
    <m/>
    <m/>
    <m/>
    <m/>
    <m/>
    <s v="SOLRECOUP"/>
    <s v="SOLRECOUP"/>
    <s v="POARECOUP"/>
    <n v="21361691"/>
    <n v="-117.6"/>
    <m/>
    <s v="Y"/>
    <n v="1"/>
    <d v="2023-07-11T19:38:02"/>
    <s v="N"/>
    <m/>
    <m/>
    <s v="Expert Disbursement"/>
    <m/>
    <s v="N"/>
    <n v="-98"/>
    <n v="0"/>
    <x v="7"/>
    <s v="VALIDATED"/>
    <n v="1"/>
    <s v="01.11.80.308.2013.0000"/>
    <n v="-98"/>
    <s v="11"/>
    <s v="2013"/>
    <n v="21904.93"/>
    <n v="-98"/>
    <s v="CREDITOR"/>
    <n v="0"/>
    <n v="0"/>
    <n v="-98"/>
    <n v="0"/>
    <n v="0"/>
  </r>
  <r>
    <n v="60616722"/>
    <s v="N"/>
    <n v="21361691"/>
    <s v="3000014869950003RC"/>
    <s v="CIVIL"/>
    <d v="2023-06-29T00:00:00"/>
    <d v="2023-07-11T19:38:00"/>
    <m/>
    <d v="2023-07-11T00:00:00"/>
    <n v="2024"/>
    <n v="1248"/>
    <s v="60616722"/>
    <s v="60616722"/>
    <m/>
    <m/>
    <m/>
    <m/>
    <m/>
    <m/>
    <s v="SOLRECOUP"/>
    <s v="SOLRECOUP"/>
    <s v="POARECOUP"/>
    <n v="21361691"/>
    <n v="-117.6"/>
    <m/>
    <s v="Y"/>
    <n v="2"/>
    <d v="2023-07-11T19:38:02"/>
    <s v="N"/>
    <m/>
    <m/>
    <s v="Expert Disbursement"/>
    <m/>
    <s v="N"/>
    <n v="0"/>
    <n v="-19.6"/>
    <x v="7"/>
    <s v="VALIDATED"/>
    <n v="1"/>
    <s v="01.11.80.308.2013.0000"/>
    <n v="-19.6"/>
    <s v="11"/>
    <s v="2013"/>
    <n v="21904.93"/>
    <n v="-19.6"/>
    <s v="CREDITOR"/>
    <n v="0"/>
    <n v="0"/>
    <n v="-19.6"/>
    <n v="0"/>
    <n v="0"/>
  </r>
  <r>
    <n v="60616722"/>
    <s v="N"/>
    <n v="21361692"/>
    <s v="3000014869950005RC"/>
    <s v="CIVIL"/>
    <d v="2023-06-29T00:00:00"/>
    <d v="2023-07-11T19:38:00"/>
    <m/>
    <d v="2023-07-11T00:00:00"/>
    <n v="2024"/>
    <n v="1248"/>
    <s v="60616722"/>
    <s v="60616722"/>
    <m/>
    <m/>
    <m/>
    <m/>
    <m/>
    <m/>
    <s v="SOLRECOUP"/>
    <s v="SOLRECOUP"/>
    <s v="POARECOUP"/>
    <n v="21361692"/>
    <n v="-750"/>
    <m/>
    <s v="Y"/>
    <n v="1"/>
    <d v="2023-07-11T19:38:02"/>
    <s v="N"/>
    <m/>
    <m/>
    <s v="Expert Disbursement"/>
    <m/>
    <s v="N"/>
    <n v="-625"/>
    <n v="0"/>
    <x v="7"/>
    <s v="VALIDATED"/>
    <n v="1"/>
    <s v="01.11.80.308.2013.0000"/>
    <n v="-625"/>
    <s v="11"/>
    <s v="2013"/>
    <n v="21904.93"/>
    <n v="-625"/>
    <s v="CREDITOR"/>
    <n v="0"/>
    <n v="0"/>
    <n v="-625"/>
    <n v="0"/>
    <n v="0"/>
  </r>
  <r>
    <n v="60616722"/>
    <s v="N"/>
    <n v="21361692"/>
    <s v="3000014869950005RC"/>
    <s v="CIVIL"/>
    <d v="2023-06-29T00:00:00"/>
    <d v="2023-07-11T19:38:00"/>
    <m/>
    <d v="2023-07-11T00:00:00"/>
    <n v="2024"/>
    <n v="1248"/>
    <s v="60616722"/>
    <s v="60616722"/>
    <m/>
    <m/>
    <m/>
    <m/>
    <m/>
    <m/>
    <s v="SOLRECOUP"/>
    <s v="SOLRECOUP"/>
    <s v="POARECOUP"/>
    <n v="21361692"/>
    <n v="-750"/>
    <m/>
    <s v="Y"/>
    <n v="2"/>
    <d v="2023-07-11T19:38:02"/>
    <s v="N"/>
    <m/>
    <m/>
    <s v="Expert Disbursement"/>
    <m/>
    <s v="N"/>
    <n v="0"/>
    <n v="-125"/>
    <x v="7"/>
    <s v="VALIDATED"/>
    <n v="1"/>
    <s v="01.11.80.308.2013.0000"/>
    <n v="-125"/>
    <s v="11"/>
    <s v="2013"/>
    <n v="21904.93"/>
    <n v="-125"/>
    <s v="CREDITOR"/>
    <n v="0"/>
    <n v="0"/>
    <n v="-125"/>
    <n v="0"/>
    <n v="0"/>
  </r>
  <r>
    <n v="60616722"/>
    <s v="N"/>
    <n v="21361693"/>
    <s v="3000014869950007RC"/>
    <s v="CIVIL"/>
    <d v="2023-06-29T00:00:00"/>
    <d v="2023-07-11T19:38:00"/>
    <m/>
    <d v="2023-07-11T00:00:00"/>
    <n v="2024"/>
    <n v="1248"/>
    <s v="60616722"/>
    <s v="60616722"/>
    <m/>
    <m/>
    <m/>
    <m/>
    <m/>
    <m/>
    <s v="SOLRECOUP"/>
    <s v="SOLRECOUP"/>
    <s v="POARECOUP"/>
    <n v="21361693"/>
    <n v="-643.5700000000001"/>
    <m/>
    <s v="Y"/>
    <n v="1"/>
    <d v="2023-07-11T19:38:02"/>
    <s v="N"/>
    <m/>
    <m/>
    <s v="Non Expert Disbursement"/>
    <m/>
    <s v="N"/>
    <n v="-536.3099999999999"/>
    <n v="0"/>
    <x v="7"/>
    <s v="VALIDATED"/>
    <n v="1"/>
    <s v="01.11.80.308.2013.0000"/>
    <n v="-536.3099999999999"/>
    <s v="11"/>
    <s v="2013"/>
    <n v="21904.93"/>
    <n v="-536.3099999999999"/>
    <s v="CREDITOR"/>
    <n v="0"/>
    <n v="0"/>
    <n v="-536.3099999999999"/>
    <n v="0"/>
    <n v="0"/>
  </r>
  <r>
    <n v="60616722"/>
    <s v="N"/>
    <n v="21361693"/>
    <s v="3000014869950007RC"/>
    <s v="CIVIL"/>
    <d v="2023-06-29T00:00:00"/>
    <d v="2023-07-11T19:38:00"/>
    <m/>
    <d v="2023-07-11T00:00:00"/>
    <n v="2024"/>
    <n v="1248"/>
    <s v="60616722"/>
    <s v="60616722"/>
    <m/>
    <m/>
    <m/>
    <m/>
    <m/>
    <m/>
    <s v="SOLRECOUP"/>
    <s v="SOLRECOUP"/>
    <s v="POARECOUP"/>
    <n v="21361693"/>
    <n v="-643.5700000000001"/>
    <m/>
    <s v="Y"/>
    <n v="2"/>
    <d v="2023-07-11T19:38:02"/>
    <s v="N"/>
    <m/>
    <m/>
    <s v="Non Expert Disbursement"/>
    <m/>
    <s v="N"/>
    <n v="0"/>
    <n v="-107.26"/>
    <x v="7"/>
    <s v="VALIDATED"/>
    <n v="1"/>
    <s v="01.11.80.308.2013.0000"/>
    <n v="-107.26"/>
    <s v="11"/>
    <s v="2013"/>
    <n v="21904.93"/>
    <n v="-107.26"/>
    <s v="CREDITOR"/>
    <n v="0"/>
    <n v="0"/>
    <n v="-107.26"/>
    <n v="0"/>
    <n v="0"/>
  </r>
  <r>
    <n v="60616722"/>
    <s v="N"/>
    <n v="21361694"/>
    <s v="3000014869950008RC"/>
    <s v="CIVIL"/>
    <d v="2023-06-29T00:00:00"/>
    <d v="2023-07-11T19:38:00"/>
    <m/>
    <d v="2023-07-11T00:00:00"/>
    <n v="2024"/>
    <n v="1248"/>
    <s v="60616722"/>
    <s v="60616722"/>
    <m/>
    <m/>
    <m/>
    <m/>
    <m/>
    <m/>
    <s v="SOLRECOUP"/>
    <s v="SOLRECOUP"/>
    <s v="POARECOUP"/>
    <n v="21361694"/>
    <n v="-140.4"/>
    <m/>
    <s v="Y"/>
    <n v="1"/>
    <d v="2023-07-11T19:38:02"/>
    <s v="N"/>
    <m/>
    <m/>
    <s v="Expert Disbursement"/>
    <m/>
    <s v="N"/>
    <n v="-117"/>
    <n v="0"/>
    <x v="7"/>
    <s v="VALIDATED"/>
    <n v="1"/>
    <s v="01.11.80.308.2013.0000"/>
    <n v="-117"/>
    <s v="11"/>
    <s v="2013"/>
    <n v="21904.93"/>
    <n v="-117"/>
    <s v="CREDITOR"/>
    <n v="0"/>
    <n v="0"/>
    <n v="-117"/>
    <n v="0"/>
    <n v="0"/>
  </r>
  <r>
    <n v="60616722"/>
    <s v="N"/>
    <n v="21361694"/>
    <s v="3000014869950008RC"/>
    <s v="CIVIL"/>
    <d v="2023-06-29T00:00:00"/>
    <d v="2023-07-11T19:38:00"/>
    <m/>
    <d v="2023-07-11T00:00:00"/>
    <n v="2024"/>
    <n v="1248"/>
    <s v="60616722"/>
    <s v="60616722"/>
    <m/>
    <m/>
    <m/>
    <m/>
    <m/>
    <m/>
    <s v="SOLRECOUP"/>
    <s v="SOLRECOUP"/>
    <s v="POARECOUP"/>
    <n v="21361694"/>
    <n v="-140.4"/>
    <m/>
    <s v="Y"/>
    <n v="2"/>
    <d v="2023-07-11T19:38:02"/>
    <s v="N"/>
    <m/>
    <m/>
    <s v="Expert Disbursement"/>
    <m/>
    <s v="N"/>
    <n v="0"/>
    <n v="-23.4"/>
    <x v="7"/>
    <s v="VALIDATED"/>
    <n v="1"/>
    <s v="01.11.80.308.2013.0000"/>
    <n v="-23.4"/>
    <s v="11"/>
    <s v="2013"/>
    <n v="21904.93"/>
    <n v="-23.4"/>
    <s v="CREDITOR"/>
    <n v="0"/>
    <n v="0"/>
    <n v="-23.4"/>
    <n v="0"/>
    <n v="0"/>
  </r>
  <r>
    <n v="60616722"/>
    <s v="N"/>
    <n v="21361695"/>
    <s v="3000014869950010RC"/>
    <s v="CIVIL"/>
    <d v="2023-06-29T00:00:00"/>
    <d v="2023-07-11T19:38:00"/>
    <m/>
    <d v="2023-07-11T00:00:00"/>
    <n v="2024"/>
    <n v="1248"/>
    <s v="60616722"/>
    <s v="60616722"/>
    <m/>
    <m/>
    <m/>
    <m/>
    <m/>
    <m/>
    <s v="SOLRECOUP"/>
    <s v="SOLRECOUP"/>
    <s v="POARECOUP"/>
    <n v="21361695"/>
    <n v="-140.4"/>
    <m/>
    <s v="Y"/>
    <n v="1"/>
    <d v="2023-07-11T19:38:02"/>
    <s v="N"/>
    <m/>
    <m/>
    <s v="Expert Disbursement"/>
    <m/>
    <s v="N"/>
    <n v="-117"/>
    <n v="0"/>
    <x v="7"/>
    <s v="VALIDATED"/>
    <n v="1"/>
    <s v="01.11.80.308.2013.0000"/>
    <n v="-117"/>
    <s v="11"/>
    <s v="2013"/>
    <n v="21904.93"/>
    <n v="-117"/>
    <s v="CREDITOR"/>
    <n v="0"/>
    <n v="0"/>
    <n v="-117"/>
    <n v="0"/>
    <n v="0"/>
  </r>
  <r>
    <n v="60616722"/>
    <s v="N"/>
    <n v="21361695"/>
    <s v="3000014869950010RC"/>
    <s v="CIVIL"/>
    <d v="2023-06-29T00:00:00"/>
    <d v="2023-07-11T19:38:00"/>
    <m/>
    <d v="2023-07-11T00:00:00"/>
    <n v="2024"/>
    <n v="1248"/>
    <s v="60616722"/>
    <s v="60616722"/>
    <m/>
    <m/>
    <m/>
    <m/>
    <m/>
    <m/>
    <s v="SOLRECOUP"/>
    <s v="SOLRECOUP"/>
    <s v="POARECOUP"/>
    <n v="21361695"/>
    <n v="-140.4"/>
    <m/>
    <s v="Y"/>
    <n v="2"/>
    <d v="2023-07-11T19:38:02"/>
    <s v="N"/>
    <m/>
    <m/>
    <s v="Expert Disbursement"/>
    <m/>
    <s v="N"/>
    <n v="0"/>
    <n v="-23.4"/>
    <x v="7"/>
    <s v="VALIDATED"/>
    <n v="1"/>
    <s v="01.11.80.308.2013.0000"/>
    <n v="-23.4"/>
    <s v="11"/>
    <s v="2013"/>
    <n v="21904.93"/>
    <n v="-23.4"/>
    <s v="CREDITOR"/>
    <n v="0"/>
    <n v="0"/>
    <n v="-23.4"/>
    <n v="0"/>
    <n v="0"/>
  </r>
  <r>
    <n v="60616722"/>
    <s v="N"/>
    <n v="21361696"/>
    <s v="3000014869950004RC"/>
    <s v="CIVIL"/>
    <d v="2023-06-29T00:00:00"/>
    <d v="2023-07-11T19:38:00"/>
    <m/>
    <d v="2023-07-11T00:00:00"/>
    <n v="2024"/>
    <n v="1248"/>
    <s v="60616722"/>
    <s v="60616722"/>
    <m/>
    <m/>
    <m/>
    <m/>
    <m/>
    <m/>
    <s v="SOLRECOUP"/>
    <s v="SOLRECOUP"/>
    <s v="POARECOUP"/>
    <n v="21361696"/>
    <n v="-342.67"/>
    <m/>
    <s v="Y"/>
    <n v="1"/>
    <d v="2023-07-11T19:38:02"/>
    <s v="N"/>
    <m/>
    <m/>
    <s v="Profit Cost"/>
    <m/>
    <s v="N"/>
    <n v="-285.56"/>
    <n v="0"/>
    <x v="7"/>
    <s v="VALIDATED"/>
    <n v="1"/>
    <s v="01.11.80.308.2013.0000"/>
    <n v="-285.56"/>
    <s v="11"/>
    <s v="2013"/>
    <n v="21904.93"/>
    <n v="-285.56"/>
    <s v="CREDITOR"/>
    <n v="0"/>
    <n v="0"/>
    <n v="-285.56"/>
    <n v="-71.39"/>
    <n v="0"/>
  </r>
  <r>
    <n v="60616722"/>
    <s v="N"/>
    <n v="21361696"/>
    <s v="3000014869950004RC"/>
    <s v="CIVIL"/>
    <d v="2023-06-29T00:00:00"/>
    <d v="2023-07-11T19:38:00"/>
    <m/>
    <d v="2023-07-11T00:00:00"/>
    <n v="2024"/>
    <n v="1248"/>
    <s v="60616722"/>
    <s v="60616722"/>
    <m/>
    <m/>
    <m/>
    <m/>
    <m/>
    <m/>
    <s v="SOLRECOUP"/>
    <s v="SOLRECOUP"/>
    <s v="POARECOUP"/>
    <n v="21361696"/>
    <n v="-342.67"/>
    <m/>
    <s v="Y"/>
    <n v="2"/>
    <d v="2023-07-11T19:38:02"/>
    <s v="N"/>
    <m/>
    <m/>
    <s v="Profit Cost"/>
    <m/>
    <s v="N"/>
    <n v="0"/>
    <n v="-57.11"/>
    <x v="7"/>
    <s v="VALIDATED"/>
    <n v="1"/>
    <s v="01.11.80.308.2013.0000"/>
    <n v="-57.11"/>
    <s v="11"/>
    <s v="2013"/>
    <n v="21904.93"/>
    <n v="-57.11"/>
    <s v="CREDITOR"/>
    <n v="0"/>
    <n v="0"/>
    <n v="-57.11"/>
    <n v="-14.2775"/>
    <n v="0"/>
  </r>
  <r>
    <n v="60616722"/>
    <s v="N"/>
    <n v="21361697"/>
    <s v="3000014869950009RC"/>
    <s v="CIVIL"/>
    <d v="2023-06-29T00:00:00"/>
    <d v="2023-07-11T19:38:00"/>
    <m/>
    <d v="2023-07-11T00:00:00"/>
    <n v="2024"/>
    <n v="1248"/>
    <s v="60616722"/>
    <s v="60616722"/>
    <m/>
    <m/>
    <m/>
    <m/>
    <m/>
    <m/>
    <s v="SOLRECOUP"/>
    <s v="SOLRECOUP"/>
    <s v="POARECOUP"/>
    <n v="21361697"/>
    <n v="-167"/>
    <m/>
    <s v="Y"/>
    <n v="1"/>
    <d v="2023-07-11T19:38:02"/>
    <s v="N"/>
    <m/>
    <m/>
    <s v="Non Expert Disbursement"/>
    <m/>
    <s v="N"/>
    <n v="-167"/>
    <n v="0"/>
    <x v="7"/>
    <s v="VALIDATED"/>
    <n v="1"/>
    <s v="01.11.80.308.2013.0000"/>
    <n v="-167"/>
    <s v="11"/>
    <s v="2013"/>
    <n v="21904.93"/>
    <n v="-167"/>
    <s v="CREDITOR"/>
    <n v="0"/>
    <n v="0"/>
    <n v="-167"/>
    <n v="0"/>
    <n v="0"/>
  </r>
  <r>
    <n v="60616722"/>
    <s v="N"/>
    <n v="21361697"/>
    <s v="3000014869950009RC"/>
    <s v="CIVIL"/>
    <d v="2023-06-29T00:00:00"/>
    <d v="2023-07-11T19:38:00"/>
    <m/>
    <d v="2023-07-11T00:00:00"/>
    <n v="2024"/>
    <n v="1248"/>
    <s v="60616722"/>
    <s v="60616722"/>
    <m/>
    <m/>
    <m/>
    <m/>
    <m/>
    <m/>
    <s v="SOLRECOUP"/>
    <s v="SOLRECOUP"/>
    <s v="POARECOUP"/>
    <n v="21361697"/>
    <n v="-167"/>
    <m/>
    <s v="Y"/>
    <n v="2"/>
    <d v="2023-07-11T19:38:02"/>
    <s v="N"/>
    <m/>
    <m/>
    <s v="Non Expert Disbursement"/>
    <m/>
    <s v="N"/>
    <n v="0"/>
    <n v="0"/>
    <x v="7"/>
    <s v="VALIDATED"/>
    <n v="1"/>
    <s v="01.11.80.000.0000.0000"/>
    <n v="0"/>
    <s v="11"/>
    <s v="0000"/>
    <n v="21904.93"/>
    <n v="0"/>
    <s v="CREDITOR"/>
    <n v="0"/>
    <n v="0"/>
    <n v="0"/>
    <n v="0"/>
    <n v="0"/>
  </r>
  <r>
    <n v="60616722"/>
    <s v="N"/>
    <n v="21361698"/>
    <s v="3000014869950006RC"/>
    <s v="CIVIL"/>
    <d v="2023-06-29T00:00:00"/>
    <d v="2023-07-11T19:38:00"/>
    <m/>
    <d v="2023-07-11T00:00:00"/>
    <n v="2024"/>
    <n v="1248"/>
    <s v="60616722"/>
    <s v="60616722"/>
    <m/>
    <m/>
    <m/>
    <m/>
    <m/>
    <m/>
    <s v="SOLRECOUP"/>
    <s v="SOLRECOUP"/>
    <s v="POARECOUP"/>
    <n v="21361698"/>
    <n v="-1183.79"/>
    <m/>
    <s v="Y"/>
    <n v="1"/>
    <d v="2023-07-11T19:38:02"/>
    <s v="N"/>
    <m/>
    <m/>
    <s v="Profit Cost"/>
    <m/>
    <s v="N"/>
    <n v="-986.49"/>
    <n v="0"/>
    <x v="7"/>
    <s v="VALIDATED"/>
    <n v="1"/>
    <s v="01.11.80.308.2013.0000"/>
    <n v="-986.49"/>
    <s v="11"/>
    <s v="2013"/>
    <n v="21904.93"/>
    <n v="-986.49"/>
    <s v="CREDITOR"/>
    <n v="0"/>
    <n v="0"/>
    <n v="-986.49"/>
    <n v="-246.6225"/>
    <n v="0"/>
  </r>
  <r>
    <n v="60616722"/>
    <s v="N"/>
    <n v="21361698"/>
    <s v="3000014869950006RC"/>
    <s v="CIVIL"/>
    <d v="2023-06-29T00:00:00"/>
    <d v="2023-07-11T19:38:00"/>
    <m/>
    <d v="2023-07-11T00:00:00"/>
    <n v="2024"/>
    <n v="1248"/>
    <s v="60616722"/>
    <s v="60616722"/>
    <m/>
    <m/>
    <m/>
    <m/>
    <m/>
    <m/>
    <s v="SOLRECOUP"/>
    <s v="SOLRECOUP"/>
    <s v="POARECOUP"/>
    <n v="21361698"/>
    <n v="-1183.79"/>
    <m/>
    <s v="Y"/>
    <n v="2"/>
    <d v="2023-07-11T19:38:02"/>
    <s v="N"/>
    <m/>
    <m/>
    <s v="Profit Cost"/>
    <m/>
    <s v="N"/>
    <n v="0"/>
    <n v="-197.3"/>
    <x v="7"/>
    <s v="VALIDATED"/>
    <n v="1"/>
    <s v="01.11.80.308.2013.0000"/>
    <n v="-197.3"/>
    <s v="11"/>
    <s v="2013"/>
    <n v="21904.93"/>
    <n v="-197.3"/>
    <s v="CREDITOR"/>
    <n v="0"/>
    <n v="0"/>
    <n v="-197.3"/>
    <n v="-49.325"/>
    <n v="0"/>
  </r>
  <r>
    <n v="60616722"/>
    <s v="N"/>
    <n v="21361699"/>
    <s v="3000014869950012RC"/>
    <s v="CIVIL"/>
    <d v="2023-06-29T00:00:00"/>
    <d v="2023-07-11T19:38:00"/>
    <m/>
    <d v="2023-07-11T00:00:00"/>
    <n v="2024"/>
    <n v="1248"/>
    <s v="60616722"/>
    <s v="60616722"/>
    <m/>
    <m/>
    <m/>
    <m/>
    <m/>
    <m/>
    <s v="SOLRECOUP"/>
    <s v="SOLRECOUP"/>
    <s v="POARECOUP"/>
    <n v="21361699"/>
    <n v="-679.21"/>
    <m/>
    <s v="Y"/>
    <n v="1"/>
    <d v="2023-07-11T19:38:02"/>
    <s v="N"/>
    <m/>
    <m/>
    <s v="Non Expert Disbursement"/>
    <m/>
    <s v="N"/>
    <n v="-566.01"/>
    <n v="0"/>
    <x v="7"/>
    <s v="VALIDATED"/>
    <n v="1"/>
    <s v="01.11.80.308.2013.0000"/>
    <n v="-566.01"/>
    <s v="11"/>
    <s v="2013"/>
    <n v="21904.93"/>
    <n v="-566.01"/>
    <s v="CREDITOR"/>
    <n v="0"/>
    <n v="0"/>
    <n v="-566.01"/>
    <n v="0"/>
    <n v="0"/>
  </r>
  <r>
    <n v="60616722"/>
    <s v="N"/>
    <n v="21361699"/>
    <s v="3000014869950012RC"/>
    <s v="CIVIL"/>
    <d v="2023-06-29T00:00:00"/>
    <d v="2023-07-11T19:38:00"/>
    <m/>
    <d v="2023-07-11T00:00:00"/>
    <n v="2024"/>
    <n v="1248"/>
    <s v="60616722"/>
    <s v="60616722"/>
    <m/>
    <m/>
    <m/>
    <m/>
    <m/>
    <m/>
    <s v="SOLRECOUP"/>
    <s v="SOLRECOUP"/>
    <s v="POARECOUP"/>
    <n v="21361699"/>
    <n v="-679.21"/>
    <m/>
    <s v="Y"/>
    <n v="2"/>
    <d v="2023-07-11T19:38:02"/>
    <s v="N"/>
    <m/>
    <m/>
    <s v="Non Expert Disbursement"/>
    <m/>
    <s v="N"/>
    <n v="0"/>
    <n v="-113.2"/>
    <x v="7"/>
    <s v="VALIDATED"/>
    <n v="1"/>
    <s v="01.11.80.308.2013.0000"/>
    <n v="-113.2"/>
    <s v="11"/>
    <s v="2013"/>
    <n v="21904.93"/>
    <n v="-113.2"/>
    <s v="CREDITOR"/>
    <n v="0"/>
    <n v="0"/>
    <n v="-113.2"/>
    <n v="0"/>
    <n v="0"/>
  </r>
  <r>
    <n v="60616722"/>
    <s v="N"/>
    <n v="21361700"/>
    <s v="3000014869950011RC"/>
    <s v="CIVIL"/>
    <d v="2023-06-29T00:00:00"/>
    <d v="2023-07-11T19:38:00"/>
    <m/>
    <d v="2023-07-11T00:00:00"/>
    <n v="2024"/>
    <n v="1248"/>
    <s v="60616722"/>
    <s v="60616722"/>
    <m/>
    <m/>
    <m/>
    <m/>
    <m/>
    <m/>
    <s v="SOLRECOUP"/>
    <s v="SOLRECOUP"/>
    <s v="POARECOUP"/>
    <n v="21361700"/>
    <n v="-2849.17"/>
    <m/>
    <s v="Y"/>
    <n v="2"/>
    <d v="2023-07-11T19:38:02"/>
    <s v="N"/>
    <m/>
    <m/>
    <s v="Profit Cost"/>
    <m/>
    <s v="N"/>
    <n v="0"/>
    <n v="-474.86"/>
    <x v="7"/>
    <s v="VALIDATED"/>
    <n v="1"/>
    <s v="01.11.80.308.2013.0000"/>
    <n v="-474.86"/>
    <s v="11"/>
    <s v="2013"/>
    <n v="21904.93"/>
    <n v="-474.86"/>
    <s v="CREDITOR"/>
    <n v="0"/>
    <n v="0"/>
    <n v="-474.86"/>
    <n v="-118.715"/>
    <n v="0"/>
  </r>
  <r>
    <n v="60616722"/>
    <s v="N"/>
    <n v="21361700"/>
    <s v="3000014869950011RC"/>
    <s v="CIVIL"/>
    <d v="2023-06-29T00:00:00"/>
    <d v="2023-07-11T19:38:00"/>
    <m/>
    <d v="2023-07-11T00:00:00"/>
    <n v="2024"/>
    <n v="1248"/>
    <s v="60616722"/>
    <s v="60616722"/>
    <m/>
    <m/>
    <m/>
    <m/>
    <m/>
    <m/>
    <s v="SOLRECOUP"/>
    <s v="SOLRECOUP"/>
    <s v="POARECOUP"/>
    <n v="21361700"/>
    <n v="-2849.17"/>
    <m/>
    <s v="Y"/>
    <n v="1"/>
    <d v="2023-07-11T19:38:02"/>
    <s v="N"/>
    <m/>
    <m/>
    <s v="Profit Cost"/>
    <m/>
    <s v="N"/>
    <n v="-2374.31"/>
    <n v="0"/>
    <x v="7"/>
    <s v="VALIDATED"/>
    <n v="1"/>
    <s v="01.11.80.308.2013.0000"/>
    <n v="-2374.31"/>
    <s v="11"/>
    <s v="2013"/>
    <n v="21904.93"/>
    <n v="-2374.31"/>
    <s v="CREDITOR"/>
    <n v="0"/>
    <n v="0"/>
    <n v="-2374.31"/>
    <n v="-593.5775"/>
    <n v="0"/>
  </r>
  <r>
    <n v="61766586"/>
    <s v="N"/>
    <n v="21322325"/>
    <s v="3000015844210003"/>
    <s v="CIVIL"/>
    <d v="2023-06-29T00:00:00"/>
    <d v="2023-07-03T19:05:36"/>
    <m/>
    <d v="2023-07-03T00:00:00"/>
    <n v="2027"/>
    <n v="7836"/>
    <s v="61766586"/>
    <s v="61766586"/>
    <m/>
    <m/>
    <n v="22791940"/>
    <m/>
    <m/>
    <m/>
    <s v="SOLPOA"/>
    <s v="SOLPOA"/>
    <s v="CCMS"/>
    <n v="21322325"/>
    <n v="324.76"/>
    <m/>
    <s v="N"/>
    <n v="1"/>
    <d v="2023-07-03T19:05:37"/>
    <s v="N"/>
    <s v="Expert Cost"/>
    <s v="Expert Cost"/>
    <s v="Expert Disbursement"/>
    <s v="GP"/>
    <s v="N"/>
    <n v="270.63"/>
    <n v="54.13"/>
    <x v="3"/>
    <s v="VALIDATED"/>
    <n v="1"/>
    <s v="01.11.80.308.2012.0000"/>
    <n v="270.63"/>
    <s v="11"/>
    <s v="2012"/>
    <n v="270.63"/>
    <n v="270.63"/>
    <s v="CREDITOR"/>
    <n v="270.63"/>
    <n v="0"/>
    <n v="0"/>
    <n v="0"/>
    <n v="0"/>
  </r>
  <r>
    <n v="61821172"/>
    <s v="N"/>
    <n v="21338350"/>
    <s v="3000015891850002"/>
    <s v="CIVIL"/>
    <d v="2023-06-28T00:00:00"/>
    <d v="2023-07-06T19:21:01"/>
    <m/>
    <d v="2023-07-06T00:00:00"/>
    <n v="2031"/>
    <n v="7869"/>
    <s v="61821172"/>
    <s v="61821172"/>
    <m/>
    <m/>
    <n v="22776008"/>
    <m/>
    <m/>
    <m/>
    <s v="SOLFIN"/>
    <s v="SOLFIN"/>
    <s v="CCMS"/>
    <n v="21338350"/>
    <n v="2812.67"/>
    <m/>
    <s v="N"/>
    <n v="5"/>
    <d v="2023-07-06T19:21:21"/>
    <s v="Y"/>
    <s v="Advocates Meeting"/>
    <s v="Public Law Children"/>
    <s v="Advocacy"/>
    <s v="HLS"/>
    <s v="Y"/>
    <n v="140.99"/>
    <n v="28.2"/>
    <x v="4"/>
    <s v="VALIDATED"/>
    <n v="1"/>
    <s v="01.11.80.308.6100.0000"/>
    <n v="140.99"/>
    <s v="11"/>
    <s v="6100"/>
    <n v="11217.25"/>
    <n v="140.99"/>
    <s v="CREDITOR"/>
    <n v="0"/>
    <n v="0"/>
    <n v="0"/>
    <n v="0"/>
    <n v="140.99"/>
  </r>
  <r>
    <n v="61608960"/>
    <s v="N"/>
    <n v="21318963"/>
    <s v="3000015715970003"/>
    <s v="CIVIL"/>
    <d v="2023-06-23T00:00:00"/>
    <d v="2023-07-03T19:01:49"/>
    <m/>
    <d v="2023-07-03T00:00:00"/>
    <n v="2031"/>
    <n v="7869"/>
    <s v="61608960"/>
    <s v="61608960"/>
    <m/>
    <m/>
    <n v="22753192"/>
    <m/>
    <m/>
    <m/>
    <s v="SOLFIN"/>
    <s v="SOLFIN"/>
    <s v="CCMS"/>
    <n v="21318963"/>
    <n v="6104.1"/>
    <m/>
    <s v="N"/>
    <n v="3"/>
    <d v="2023-07-03T19:02:05"/>
    <s v="Y"/>
    <s v="Solicitor Travel Mileage"/>
    <s v="Public Law Children"/>
    <s v="Non Expert Disbursement"/>
    <s v="HLS"/>
    <s v="Y"/>
    <n v="21.6"/>
    <n v="4.32"/>
    <x v="3"/>
    <s v="VALIDATED"/>
    <n v="1"/>
    <s v="01.11.80.308.6300.0000"/>
    <n v="21.6"/>
    <s v="11"/>
    <s v="6300"/>
    <n v="11217.25"/>
    <n v="21.6"/>
    <s v="CREDITOR"/>
    <n v="0"/>
    <n v="0"/>
    <n v="0"/>
    <n v="0"/>
    <n v="21.6"/>
  </r>
  <r>
    <n v="61608960"/>
    <s v="N"/>
    <n v="21318963"/>
    <s v="3000015715970003"/>
    <s v="CIVIL"/>
    <d v="2023-06-23T00:00:00"/>
    <d v="2023-07-03T19:01:49"/>
    <m/>
    <d v="2023-07-03T00:00:00"/>
    <n v="2031"/>
    <n v="7869"/>
    <s v="61608960"/>
    <s v="61608960"/>
    <m/>
    <m/>
    <n v="22753192"/>
    <m/>
    <m/>
    <m/>
    <s v="SOLFIN"/>
    <s v="SOLFIN"/>
    <s v="CCMS"/>
    <n v="21318963"/>
    <n v="6104.1"/>
    <m/>
    <s v="N"/>
    <n v="9"/>
    <d v="2023-07-03T19:02:05"/>
    <s v="Y"/>
    <s v="Toxicologist"/>
    <s v="Public Law Children"/>
    <s v="Expert Disbursement"/>
    <s v="HLS"/>
    <s v="Y"/>
    <n v="332"/>
    <n v="66.40000000000001"/>
    <x v="3"/>
    <s v="VALIDATED"/>
    <n v="1"/>
    <s v="01.11.80.308.6300.0000"/>
    <n v="332"/>
    <s v="11"/>
    <s v="6300"/>
    <n v="11217.25"/>
    <n v="332"/>
    <s v="CREDITOR"/>
    <n v="0"/>
    <n v="0"/>
    <n v="0"/>
    <n v="0"/>
    <n v="332"/>
  </r>
  <r>
    <n v="61608960"/>
    <s v="N"/>
    <n v="21318963"/>
    <s v="3000015715970003"/>
    <s v="CIVIL"/>
    <d v="2023-06-23T00:00:00"/>
    <d v="2023-07-03T19:01:49"/>
    <m/>
    <d v="2023-07-03T00:00:00"/>
    <n v="2031"/>
    <n v="7869"/>
    <s v="61608960"/>
    <s v="61608960"/>
    <m/>
    <m/>
    <n v="22753192"/>
    <m/>
    <m/>
    <m/>
    <s v="SOLFIN"/>
    <s v="SOLFIN"/>
    <s v="CCMS"/>
    <n v="21318963"/>
    <n v="6104.1"/>
    <m/>
    <s v="N"/>
    <n v="13"/>
    <d v="2023-07-03T19:02:05"/>
    <s v="Y"/>
    <s v="Final Hearing - 1 Day"/>
    <s v="Public Law Children"/>
    <s v="Advocacy"/>
    <s v="HLS"/>
    <s v="Y"/>
    <n v="556.88"/>
    <n v="111.38"/>
    <x v="3"/>
    <s v="VALIDATED"/>
    <n v="1"/>
    <s v="01.11.80.308.6100.0000"/>
    <n v="556.88"/>
    <s v="11"/>
    <s v="6100"/>
    <n v="11217.25"/>
    <n v="556.88"/>
    <s v="CREDITOR"/>
    <n v="0"/>
    <n v="0"/>
    <n v="0"/>
    <n v="0"/>
    <n v="556.88"/>
  </r>
  <r>
    <n v="61608960"/>
    <s v="N"/>
    <n v="21318963"/>
    <s v="3000015715970003"/>
    <s v="CIVIL"/>
    <d v="2023-06-23T00:00:00"/>
    <d v="2023-07-03T19:01:49"/>
    <m/>
    <d v="2023-07-03T00:00:00"/>
    <n v="2031"/>
    <n v="7869"/>
    <s v="61608960"/>
    <s v="61608960"/>
    <m/>
    <m/>
    <n v="22753192"/>
    <m/>
    <m/>
    <m/>
    <s v="SOLFIN"/>
    <s v="SOLFIN"/>
    <s v="CCMS"/>
    <n v="21318963"/>
    <n v="6104.1"/>
    <m/>
    <s v="N"/>
    <n v="6"/>
    <d v="2023-07-03T19:02:05"/>
    <s v="Y"/>
    <s v="Solicitor Travel Expenses"/>
    <s v="Public Law Children"/>
    <s v="Non Expert Disbursement"/>
    <s v="HLS"/>
    <s v="Y"/>
    <n v="3.1"/>
    <n v="0"/>
    <x v="3"/>
    <s v="VALIDATED"/>
    <n v="1"/>
    <s v="01.11.80.308.6300.0000"/>
    <n v="3.1"/>
    <s v="11"/>
    <s v="6300"/>
    <n v="11217.25"/>
    <n v="3.1"/>
    <s v="CREDITOR"/>
    <n v="0"/>
    <n v="0"/>
    <n v="0"/>
    <n v="0"/>
    <n v="3.1"/>
  </r>
  <r>
    <n v="61608960"/>
    <s v="N"/>
    <n v="21318963"/>
    <s v="3000015715970003"/>
    <s v="CIVIL"/>
    <d v="2023-06-23T00:00:00"/>
    <d v="2023-07-03T19:01:49"/>
    <m/>
    <d v="2023-07-03T00:00:00"/>
    <n v="2031"/>
    <n v="7869"/>
    <s v="61608960"/>
    <s v="61608960"/>
    <m/>
    <m/>
    <n v="22753192"/>
    <m/>
    <m/>
    <m/>
    <s v="SOLFIN"/>
    <s v="SOLFIN"/>
    <s v="CCMS"/>
    <n v="21318963"/>
    <n v="6104.1"/>
    <m/>
    <s v="N"/>
    <n v="12"/>
    <d v="2023-07-03T19:02:05"/>
    <s v="Y"/>
    <s v="Hearing Unit 2.31 - 5.00 Hours"/>
    <s v="Public Law Children"/>
    <s v="Advocacy"/>
    <s v="HLS"/>
    <s v="Y"/>
    <n v="476.92"/>
    <n v="95.38"/>
    <x v="3"/>
    <s v="VALIDATED"/>
    <n v="1"/>
    <s v="01.11.80.308.6100.0000"/>
    <n v="476.92"/>
    <s v="11"/>
    <s v="6100"/>
    <n v="11217.25"/>
    <n v="476.92"/>
    <s v="CREDITOR"/>
    <n v="0"/>
    <n v="0"/>
    <n v="0"/>
    <n v="0"/>
    <n v="476.92"/>
  </r>
  <r>
    <n v="61821172"/>
    <s v="N"/>
    <n v="21338350"/>
    <s v="3000015891850002"/>
    <s v="CIVIL"/>
    <d v="2023-06-28T00:00:00"/>
    <d v="2023-07-06T19:21:01"/>
    <m/>
    <d v="2023-07-06T00:00:00"/>
    <n v="2031"/>
    <n v="7869"/>
    <s v="61821172"/>
    <s v="61821172"/>
    <m/>
    <m/>
    <n v="22776008"/>
    <m/>
    <m/>
    <m/>
    <s v="SOLFIN"/>
    <s v="SOLFIN"/>
    <s v="CCMS"/>
    <n v="21338350"/>
    <n v="2812.67"/>
    <m/>
    <s v="N"/>
    <n v="2"/>
    <d v="2023-07-06T19:21:21"/>
    <s v="Y"/>
    <s v="Advocates Meeting"/>
    <s v="Public Law Children"/>
    <s v="Advocacy"/>
    <s v="HLS"/>
    <s v="Y"/>
    <n v="140.99"/>
    <n v="28.2"/>
    <x v="4"/>
    <s v="VALIDATED"/>
    <n v="1"/>
    <s v="01.11.80.308.6100.0000"/>
    <n v="140.99"/>
    <s v="11"/>
    <s v="6100"/>
    <n v="11217.25"/>
    <n v="140.99"/>
    <s v="CREDITOR"/>
    <n v="0"/>
    <n v="0"/>
    <n v="0"/>
    <n v="0"/>
    <n v="140.99"/>
  </r>
  <r>
    <n v="61821172"/>
    <s v="N"/>
    <n v="21338350"/>
    <s v="3000015891850002"/>
    <s v="CIVIL"/>
    <d v="2023-06-28T00:00:00"/>
    <d v="2023-07-06T19:21:01"/>
    <m/>
    <d v="2023-07-06T00:00:00"/>
    <n v="2031"/>
    <n v="7869"/>
    <s v="61821172"/>
    <s v="61821172"/>
    <m/>
    <m/>
    <n v="22776008"/>
    <m/>
    <m/>
    <m/>
    <s v="SOLFIN"/>
    <s v="SOLFIN"/>
    <s v="CCMS"/>
    <n v="21338350"/>
    <n v="2812.67"/>
    <m/>
    <s v="N"/>
    <n v="6"/>
    <d v="2023-07-06T19:21:21"/>
    <s v="Y"/>
    <s v="Solicitors Fixed Fee"/>
    <s v="Public Law Children"/>
    <s v="Profit Cost"/>
    <s v="HLS"/>
    <s v="Y"/>
    <n v="1438"/>
    <n v="287.6"/>
    <x v="4"/>
    <s v="VALIDATED"/>
    <n v="1"/>
    <s v="01.11.80.308.6100.0000"/>
    <n v="1438"/>
    <s v="11"/>
    <s v="6100"/>
    <n v="11217.25"/>
    <n v="1438"/>
    <s v="CREDITOR"/>
    <n v="0"/>
    <n v="0"/>
    <n v="0"/>
    <n v="0"/>
    <n v="1438"/>
  </r>
  <r>
    <n v="62043209"/>
    <s v="N"/>
    <n v="21322117"/>
    <s v="3000016079400004"/>
    <s v="CIVIL"/>
    <d v="2023-06-29T00:00:00"/>
    <d v="2023-07-03T19:05:17"/>
    <m/>
    <d v="2023-07-03T00:00:00"/>
    <n v="2031"/>
    <n v="7869"/>
    <s v="62043209"/>
    <s v="62043209"/>
    <m/>
    <m/>
    <n v="22788680"/>
    <m/>
    <m/>
    <m/>
    <s v="SOLPOA"/>
    <s v="SOLPOA"/>
    <s v="CCMS"/>
    <n v="21322117"/>
    <n v="1051.26"/>
    <m/>
    <s v="N"/>
    <n v="1"/>
    <d v="2023-07-03T19:05:22"/>
    <s v="N"/>
    <s v="Expert Cost"/>
    <s v="Expert Cost"/>
    <s v="Expert Disbursement"/>
    <s v="Helen Simmons"/>
    <s v="N"/>
    <n v="876.05"/>
    <n v="175.21"/>
    <x v="3"/>
    <s v="VALIDATED"/>
    <n v="1"/>
    <s v="01.11.80.308.2012.0000"/>
    <n v="876.05"/>
    <s v="11"/>
    <s v="2012"/>
    <n v="11217.25"/>
    <n v="876.05"/>
    <s v="CREDITOR"/>
    <n v="876.05"/>
    <n v="0"/>
    <n v="0"/>
    <n v="0"/>
    <n v="0"/>
  </r>
  <r>
    <n v="61608960"/>
    <s v="N"/>
    <n v="21318963"/>
    <s v="3000015715970003"/>
    <s v="CIVIL"/>
    <d v="2023-06-23T00:00:00"/>
    <d v="2023-07-03T19:01:49"/>
    <m/>
    <d v="2023-07-03T00:00:00"/>
    <n v="2031"/>
    <n v="7869"/>
    <s v="61608960"/>
    <s v="61608960"/>
    <m/>
    <m/>
    <n v="22753192"/>
    <m/>
    <m/>
    <m/>
    <s v="SOLFIN"/>
    <s v="SOLFIN"/>
    <s v="CCMS"/>
    <n v="21318963"/>
    <n v="6104.1"/>
    <m/>
    <s v="N"/>
    <n v="15"/>
    <d v="2023-07-03T19:02:05"/>
    <s v="Y"/>
    <s v="Advocates Meeting"/>
    <s v="Public Law Children"/>
    <s v="Advocacy"/>
    <s v="HLS"/>
    <s v="Y"/>
    <n v="140.99"/>
    <n v="28.2"/>
    <x v="3"/>
    <s v="VALIDATED"/>
    <n v="1"/>
    <s v="01.11.80.308.6100.0000"/>
    <n v="140.99"/>
    <s v="11"/>
    <s v="6100"/>
    <n v="11217.25"/>
    <n v="140.99"/>
    <s v="CREDITOR"/>
    <n v="0"/>
    <n v="0"/>
    <n v="0"/>
    <n v="0"/>
    <n v="140.99"/>
  </r>
  <r>
    <n v="61608960"/>
    <s v="N"/>
    <n v="21318963"/>
    <s v="3000015715970003"/>
    <s v="CIVIL"/>
    <d v="2023-06-23T00:00:00"/>
    <d v="2023-07-03T19:01:49"/>
    <m/>
    <d v="2023-07-03T00:00:00"/>
    <n v="2031"/>
    <n v="7869"/>
    <s v="61608960"/>
    <s v="61608960"/>
    <m/>
    <m/>
    <n v="22753192"/>
    <m/>
    <m/>
    <m/>
    <s v="SOLFIN"/>
    <s v="SOLFIN"/>
    <s v="CCMS"/>
    <n v="21318963"/>
    <n v="6104.1"/>
    <m/>
    <s v="N"/>
    <n v="10"/>
    <d v="2023-07-03T19:02:05"/>
    <s v="Y"/>
    <s v="Toxicologist"/>
    <s v="Public Law Children"/>
    <s v="Expert Disbursement"/>
    <s v="HLS"/>
    <s v="Y"/>
    <n v="275.75"/>
    <n v="55.15"/>
    <x v="3"/>
    <s v="VALIDATED"/>
    <n v="1"/>
    <s v="01.11.80.308.6300.0000"/>
    <n v="275.75"/>
    <s v="11"/>
    <s v="6300"/>
    <n v="11217.25"/>
    <n v="275.75"/>
    <s v="CREDITOR"/>
    <n v="0"/>
    <n v="0"/>
    <n v="0"/>
    <n v="0"/>
    <n v="275.75"/>
  </r>
  <r>
    <n v="61821172"/>
    <s v="N"/>
    <n v="21338350"/>
    <s v="3000015891850002"/>
    <s v="CIVIL"/>
    <d v="2023-06-28T00:00:00"/>
    <d v="2023-07-06T19:21:01"/>
    <m/>
    <d v="2023-07-06T00:00:00"/>
    <n v="2031"/>
    <n v="7869"/>
    <s v="61821172"/>
    <s v="61821172"/>
    <m/>
    <m/>
    <n v="22776008"/>
    <m/>
    <m/>
    <m/>
    <s v="SOLFIN"/>
    <s v="SOLFIN"/>
    <s v="CCMS"/>
    <n v="21338350"/>
    <n v="2812.67"/>
    <m/>
    <s v="N"/>
    <n v="3"/>
    <d v="2023-07-06T19:21:21"/>
    <s v="Y"/>
    <s v="Hearing Unit 2.31 - 5.00 Hours"/>
    <s v="Public Law Children"/>
    <s v="Advocacy"/>
    <s v="MH"/>
    <s v="Y"/>
    <n v="476.92"/>
    <n v="95.38"/>
    <x v="4"/>
    <s v="VALIDATED"/>
    <n v="1"/>
    <s v="01.11.80.308.6100.0000"/>
    <n v="476.92"/>
    <s v="11"/>
    <s v="6100"/>
    <n v="11217.25"/>
    <n v="476.92"/>
    <s v="CREDITOR"/>
    <n v="0"/>
    <n v="0"/>
    <n v="0"/>
    <n v="0"/>
    <n v="476.92"/>
  </r>
  <r>
    <n v="61418421"/>
    <s v="N"/>
    <n v="21327548"/>
    <s v="3000015557220001"/>
    <s v="CIVIL"/>
    <d v="2023-06-28T00:00:00"/>
    <d v="2023-07-04T19:00:44"/>
    <m/>
    <d v="2023-07-04T00:00:00"/>
    <n v="2031"/>
    <n v="7869"/>
    <s v="61418421"/>
    <s v="61418421"/>
    <m/>
    <m/>
    <n v="22775944"/>
    <m/>
    <m/>
    <m/>
    <s v="SOLFIN"/>
    <s v="SOLFIN"/>
    <s v="CCMS"/>
    <n v="21327548"/>
    <n v="4363.77"/>
    <m/>
    <s v="N"/>
    <n v="5"/>
    <d v="2023-07-04T19:00:50"/>
    <s v="Y"/>
    <s v="Final Hearing - 1 Day"/>
    <s v="Public Law Children"/>
    <s v="Advocacy"/>
    <s v="Helen Simmons"/>
    <s v="Y"/>
    <n v="506.25"/>
    <n v="101.25"/>
    <x v="1"/>
    <s v="VALIDATED"/>
    <n v="1"/>
    <s v="01.11.80.308.6100.0000"/>
    <n v="506.25"/>
    <s v="11"/>
    <s v="6100"/>
    <n v="11217.25"/>
    <n v="506.25"/>
    <s v="CREDITOR"/>
    <n v="0"/>
    <n v="0"/>
    <n v="0"/>
    <n v="0"/>
    <n v="506.25"/>
  </r>
  <r>
    <n v="61608960"/>
    <s v="N"/>
    <n v="21318963"/>
    <s v="3000015715970003"/>
    <s v="CIVIL"/>
    <d v="2023-06-23T00:00:00"/>
    <d v="2023-07-03T19:01:49"/>
    <m/>
    <d v="2023-07-03T00:00:00"/>
    <n v="2031"/>
    <n v="7869"/>
    <s v="61608960"/>
    <s v="61608960"/>
    <m/>
    <m/>
    <n v="22753192"/>
    <m/>
    <m/>
    <m/>
    <s v="SOLFIN"/>
    <s v="SOLFIN"/>
    <s v="CCMS"/>
    <n v="21318963"/>
    <n v="6104.1"/>
    <m/>
    <s v="N"/>
    <n v="2"/>
    <d v="2023-07-03T19:02:05"/>
    <s v="Y"/>
    <s v="Interim Hearing Court Bundle/Advoca"/>
    <s v="Public Law Children"/>
    <s v="Advocacy"/>
    <s v="HLS"/>
    <s v="Y"/>
    <n v="59.4"/>
    <n v="11.88"/>
    <x v="3"/>
    <s v="VALIDATED"/>
    <n v="1"/>
    <s v="01.11.80.308.6100.0000"/>
    <n v="59.4"/>
    <s v="11"/>
    <s v="6100"/>
    <n v="11217.25"/>
    <n v="59.4"/>
    <s v="CREDITOR"/>
    <n v="0"/>
    <n v="0"/>
    <n v="0"/>
    <n v="0"/>
    <n v="59.4"/>
  </r>
  <r>
    <n v="61418421"/>
    <s v="N"/>
    <n v="21327548"/>
    <s v="3000015557220001"/>
    <s v="CIVIL"/>
    <d v="2023-06-28T00:00:00"/>
    <d v="2023-07-04T19:00:44"/>
    <m/>
    <d v="2023-07-04T00:00:00"/>
    <n v="2031"/>
    <n v="7869"/>
    <s v="61418421"/>
    <s v="61418421"/>
    <m/>
    <m/>
    <n v="22775944"/>
    <m/>
    <m/>
    <m/>
    <s v="SOLFIN"/>
    <s v="SOLFIN"/>
    <s v="CCMS"/>
    <n v="21327548"/>
    <n v="4363.77"/>
    <m/>
    <s v="N"/>
    <n v="4"/>
    <d v="2023-07-04T19:00:50"/>
    <s v="Y"/>
    <s v="Advocates Meeting"/>
    <s v="Public Law Children"/>
    <s v="Advocacy"/>
    <s v="Helen Simmons"/>
    <s v="Y"/>
    <n v="128.16"/>
    <n v="25.63"/>
    <x v="1"/>
    <s v="VALIDATED"/>
    <n v="1"/>
    <s v="01.11.80.308.6100.0000"/>
    <n v="128.16"/>
    <s v="11"/>
    <s v="6100"/>
    <n v="11217.25"/>
    <n v="128.16"/>
    <s v="CREDITOR"/>
    <n v="0"/>
    <n v="0"/>
    <n v="0"/>
    <n v="0"/>
    <n v="128.16"/>
  </r>
  <r>
    <n v="61608960"/>
    <s v="N"/>
    <n v="21318963"/>
    <s v="3000015715970003"/>
    <s v="CIVIL"/>
    <d v="2023-06-23T00:00:00"/>
    <d v="2023-07-03T19:01:49"/>
    <m/>
    <d v="2023-07-03T00:00:00"/>
    <n v="2031"/>
    <n v="7869"/>
    <s v="61608960"/>
    <s v="61608960"/>
    <m/>
    <m/>
    <n v="22753192"/>
    <m/>
    <m/>
    <m/>
    <s v="SOLFIN"/>
    <s v="SOLFIN"/>
    <s v="CCMS"/>
    <n v="21318963"/>
    <n v="6104.1"/>
    <m/>
    <s v="N"/>
    <n v="8"/>
    <d v="2023-07-03T19:02:05"/>
    <s v="Y"/>
    <s v="Solicitor Travel Expenses"/>
    <s v="Public Law Children"/>
    <s v="Non Expert Disbursement"/>
    <s v="HLS"/>
    <s v="Y"/>
    <n v="3.8"/>
    <n v="0"/>
    <x v="3"/>
    <s v="VALIDATED"/>
    <n v="1"/>
    <s v="01.11.80.308.6300.0000"/>
    <n v="3.8"/>
    <s v="11"/>
    <s v="6300"/>
    <n v="11217.25"/>
    <n v="3.8"/>
    <s v="CREDITOR"/>
    <n v="0"/>
    <n v="0"/>
    <n v="0"/>
    <n v="0"/>
    <n v="3.8"/>
  </r>
  <r>
    <n v="61418421"/>
    <s v="N"/>
    <n v="21327548"/>
    <s v="3000015557220001"/>
    <s v="CIVIL"/>
    <d v="2023-06-28T00:00:00"/>
    <d v="2023-07-04T19:00:44"/>
    <m/>
    <d v="2023-07-04T00:00:00"/>
    <n v="2031"/>
    <n v="7869"/>
    <s v="61418421"/>
    <s v="61418421"/>
    <m/>
    <m/>
    <n v="22775944"/>
    <m/>
    <m/>
    <m/>
    <s v="SOLFIN"/>
    <s v="SOLFIN"/>
    <s v="CCMS"/>
    <n v="21327548"/>
    <n v="4363.77"/>
    <m/>
    <s v="N"/>
    <n v="3"/>
    <d v="2023-07-04T19:00:50"/>
    <s v="Y"/>
    <s v="Hearing Unit 1.01 - 2.30 Hours"/>
    <s v="Public Law Children"/>
    <s v="Advocacy"/>
    <s v="Helen Simmons"/>
    <s v="Y"/>
    <n v="216.81"/>
    <n v="43.36"/>
    <x v="1"/>
    <s v="VALIDATED"/>
    <n v="1"/>
    <s v="01.11.80.308.6100.0000"/>
    <n v="216.81"/>
    <s v="11"/>
    <s v="6100"/>
    <n v="11217.25"/>
    <n v="216.81"/>
    <s v="CREDITOR"/>
    <n v="0"/>
    <n v="0"/>
    <n v="0"/>
    <n v="0"/>
    <n v="216.81"/>
  </r>
  <r>
    <n v="61608960"/>
    <s v="N"/>
    <n v="21318963"/>
    <s v="3000015715970003"/>
    <s v="CIVIL"/>
    <d v="2023-06-23T00:00:00"/>
    <d v="2023-07-03T19:01:49"/>
    <m/>
    <d v="2023-07-03T00:00:00"/>
    <n v="2031"/>
    <n v="7869"/>
    <s v="61608960"/>
    <s v="61608960"/>
    <m/>
    <m/>
    <n v="22753192"/>
    <m/>
    <m/>
    <m/>
    <s v="SOLFIN"/>
    <s v="SOLFIN"/>
    <s v="CCMS"/>
    <n v="21318963"/>
    <n v="6104.1"/>
    <m/>
    <s v="N"/>
    <n v="1"/>
    <d v="2023-07-03T19:02:05"/>
    <s v="Y"/>
    <s v="Final Hearing Court Bundle/Advocate"/>
    <s v="Public Law Children"/>
    <s v="Advocacy"/>
    <s v="HLS"/>
    <s v="Y"/>
    <n v="159.3"/>
    <n v="31.86"/>
    <x v="3"/>
    <s v="VALIDATED"/>
    <n v="1"/>
    <s v="01.11.80.308.6100.0000"/>
    <n v="159.3"/>
    <s v="11"/>
    <s v="6100"/>
    <n v="11217.25"/>
    <n v="159.3"/>
    <s v="CREDITOR"/>
    <n v="0"/>
    <n v="0"/>
    <n v="0"/>
    <n v="0"/>
    <n v="159.3"/>
  </r>
  <r>
    <n v="61418421"/>
    <s v="N"/>
    <n v="21327548"/>
    <s v="3000015557220001"/>
    <s v="CIVIL"/>
    <d v="2023-06-28T00:00:00"/>
    <d v="2023-07-04T19:00:44"/>
    <m/>
    <d v="2023-07-04T00:00:00"/>
    <n v="2031"/>
    <n v="7869"/>
    <s v="61418421"/>
    <s v="61418421"/>
    <m/>
    <m/>
    <n v="22775944"/>
    <m/>
    <m/>
    <m/>
    <s v="SOLFIN"/>
    <s v="SOLFIN"/>
    <s v="CCMS"/>
    <n v="21327548"/>
    <n v="4363.77"/>
    <m/>
    <s v="N"/>
    <n v="2"/>
    <d v="2023-07-04T19:00:50"/>
    <s v="Y"/>
    <s v="Solicitor Travel Expenses"/>
    <s v="Public Law Children"/>
    <s v="Non Expert Disbursement"/>
    <s v="Helen Simmons"/>
    <s v="Y"/>
    <n v="3.1"/>
    <n v="0"/>
    <x v="1"/>
    <s v="VALIDATED"/>
    <n v="1"/>
    <s v="01.11.80.308.6300.0000"/>
    <n v="3.1"/>
    <s v="11"/>
    <s v="6300"/>
    <n v="11217.25"/>
    <n v="3.1"/>
    <s v="CREDITOR"/>
    <n v="0"/>
    <n v="0"/>
    <n v="0"/>
    <n v="0"/>
    <n v="3.1"/>
  </r>
  <r>
    <n v="61418421"/>
    <s v="N"/>
    <n v="21327548"/>
    <s v="3000015557220001"/>
    <s v="CIVIL"/>
    <d v="2023-06-28T00:00:00"/>
    <d v="2023-07-04T19:00:44"/>
    <m/>
    <d v="2023-07-04T00:00:00"/>
    <n v="2031"/>
    <n v="7869"/>
    <s v="61418421"/>
    <s v="61418421"/>
    <m/>
    <m/>
    <n v="22775944"/>
    <m/>
    <m/>
    <m/>
    <s v="SOLFIN"/>
    <s v="SOLFIN"/>
    <s v="CCMS"/>
    <n v="21327548"/>
    <n v="4363.77"/>
    <m/>
    <s v="N"/>
    <n v="8"/>
    <d v="2023-07-04T19:00:50"/>
    <s v="Y"/>
    <s v="Solicitors Fixed Fee"/>
    <s v="Public Law Children"/>
    <s v="Profit Cost"/>
    <s v="Helen Simmons"/>
    <s v="Y"/>
    <n v="2156"/>
    <n v="431.2"/>
    <x v="1"/>
    <s v="VALIDATED"/>
    <n v="1"/>
    <s v="01.11.80.308.6100.0000"/>
    <n v="2156"/>
    <s v="11"/>
    <s v="6100"/>
    <n v="11217.25"/>
    <n v="2156"/>
    <s v="CREDITOR"/>
    <n v="0"/>
    <n v="0"/>
    <n v="0"/>
    <n v="0"/>
    <n v="2156"/>
  </r>
  <r>
    <n v="61821172"/>
    <s v="N"/>
    <n v="21338350"/>
    <s v="3000015891850002"/>
    <s v="CIVIL"/>
    <d v="2023-06-28T00:00:00"/>
    <d v="2023-07-06T19:21:01"/>
    <m/>
    <d v="2023-07-06T00:00:00"/>
    <n v="2031"/>
    <n v="7869"/>
    <s v="61821172"/>
    <s v="61821172"/>
    <m/>
    <m/>
    <n v="22776008"/>
    <m/>
    <m/>
    <m/>
    <s v="SOLFIN"/>
    <s v="SOLFIN"/>
    <s v="CCMS"/>
    <n v="21338350"/>
    <n v="2812.67"/>
    <m/>
    <s v="N"/>
    <n v="1"/>
    <d v="2023-07-06T19:21:21"/>
    <s v="Y"/>
    <s v="Solicitor Travel Expenses"/>
    <s v="Public Law Children"/>
    <s v="Non Expert Disbursement"/>
    <s v="MH"/>
    <s v="Y"/>
    <n v="7.2"/>
    <n v="0"/>
    <x v="4"/>
    <s v="VALIDATED"/>
    <n v="1"/>
    <s v="01.11.80.308.6300.0000"/>
    <n v="7.2"/>
    <s v="11"/>
    <s v="6300"/>
    <n v="11217.25"/>
    <n v="7.2"/>
    <s v="CREDITOR"/>
    <n v="0"/>
    <n v="0"/>
    <n v="0"/>
    <n v="0"/>
    <n v="7.2"/>
  </r>
  <r>
    <n v="61821172"/>
    <s v="N"/>
    <n v="21338350"/>
    <s v="3000015891850002"/>
    <s v="CIVIL"/>
    <d v="2023-06-28T00:00:00"/>
    <d v="2023-07-06T19:21:01"/>
    <m/>
    <d v="2023-07-06T00:00:00"/>
    <n v="2031"/>
    <n v="7869"/>
    <s v="61821172"/>
    <s v="61821172"/>
    <m/>
    <m/>
    <n v="22776008"/>
    <m/>
    <m/>
    <m/>
    <s v="SOLFIN"/>
    <s v="SOLFIN"/>
    <s v="CCMS"/>
    <n v="21338350"/>
    <n v="2812.67"/>
    <m/>
    <s v="N"/>
    <n v="4"/>
    <d v="2023-07-06T19:21:21"/>
    <s v="Y"/>
    <s v="Advocates Meeting"/>
    <s v="Public Law Children"/>
    <s v="Advocacy"/>
    <s v="HLS"/>
    <s v="Y"/>
    <n v="140.99"/>
    <n v="28.2"/>
    <x v="4"/>
    <s v="VALIDATED"/>
    <n v="1"/>
    <s v="01.11.80.308.6100.0000"/>
    <n v="140.99"/>
    <s v="11"/>
    <s v="6100"/>
    <n v="11217.25"/>
    <n v="140.99"/>
    <s v="CREDITOR"/>
    <n v="0"/>
    <n v="0"/>
    <n v="0"/>
    <n v="0"/>
    <n v="140.99"/>
  </r>
  <r>
    <n v="61418421"/>
    <s v="N"/>
    <n v="21327548"/>
    <s v="3000015557220001"/>
    <s v="CIVIL"/>
    <d v="2023-06-28T00:00:00"/>
    <d v="2023-07-04T19:00:44"/>
    <m/>
    <d v="2023-07-04T00:00:00"/>
    <n v="2031"/>
    <n v="7869"/>
    <s v="61418421"/>
    <s v="61418421"/>
    <m/>
    <m/>
    <n v="22775944"/>
    <m/>
    <m/>
    <m/>
    <s v="SOLFIN"/>
    <s v="SOLFIN"/>
    <s v="CCMS"/>
    <n v="21327548"/>
    <n v="4363.77"/>
    <m/>
    <s v="N"/>
    <n v="7"/>
    <d v="2023-07-04T19:00:50"/>
    <s v="Y"/>
    <s v="Hearing Unit 2.31 - 5.00 Hours"/>
    <s v="Public Law Children"/>
    <s v="Advocacy"/>
    <s v="Megan Hamilton"/>
    <s v="Y"/>
    <n v="476.92"/>
    <n v="95.38"/>
    <x v="1"/>
    <s v="VALIDATED"/>
    <n v="1"/>
    <s v="01.11.80.308.6100.0000"/>
    <n v="476.92"/>
    <s v="11"/>
    <s v="6100"/>
    <n v="11217.25"/>
    <n v="476.92"/>
    <s v="CREDITOR"/>
    <n v="0"/>
    <n v="0"/>
    <n v="0"/>
    <n v="0"/>
    <n v="476.92"/>
  </r>
  <r>
    <n v="61608960"/>
    <s v="N"/>
    <n v="21318963"/>
    <s v="3000015715970003"/>
    <s v="CIVIL"/>
    <d v="2023-06-23T00:00:00"/>
    <d v="2023-07-03T19:01:49"/>
    <m/>
    <d v="2023-07-03T00:00:00"/>
    <n v="2031"/>
    <n v="7869"/>
    <s v="61608960"/>
    <s v="61608960"/>
    <m/>
    <m/>
    <n v="22753192"/>
    <m/>
    <m/>
    <m/>
    <s v="SOLFIN"/>
    <s v="SOLFIN"/>
    <s v="CCMS"/>
    <n v="21318963"/>
    <n v="6104.1"/>
    <m/>
    <s v="N"/>
    <n v="4"/>
    <d v="2023-07-03T19:02:05"/>
    <s v="Y"/>
    <s v="Solicitor Travel Expenses"/>
    <s v="Public Law Children"/>
    <s v="Non Expert Disbursement"/>
    <s v="HLS"/>
    <s v="Y"/>
    <n v="3.1"/>
    <n v="0"/>
    <x v="3"/>
    <s v="VALIDATED"/>
    <n v="1"/>
    <s v="01.11.80.308.6300.0000"/>
    <n v="3.1"/>
    <s v="11"/>
    <s v="6300"/>
    <n v="11217.25"/>
    <n v="3.1"/>
    <s v="CREDITOR"/>
    <n v="0"/>
    <n v="0"/>
    <n v="0"/>
    <n v="0"/>
    <n v="3.1"/>
  </r>
  <r>
    <n v="61608960"/>
    <s v="N"/>
    <n v="21318963"/>
    <s v="3000015715970003"/>
    <s v="CIVIL"/>
    <d v="2023-06-23T00:00:00"/>
    <d v="2023-07-03T19:01:49"/>
    <m/>
    <d v="2023-07-03T00:00:00"/>
    <n v="2031"/>
    <n v="7869"/>
    <s v="61608960"/>
    <s v="61608960"/>
    <m/>
    <m/>
    <n v="22753192"/>
    <m/>
    <m/>
    <m/>
    <s v="SOLFIN"/>
    <s v="SOLFIN"/>
    <s v="CCMS"/>
    <n v="21318963"/>
    <n v="6104.1"/>
    <m/>
    <s v="N"/>
    <n v="7"/>
    <d v="2023-07-03T19:02:05"/>
    <s v="Y"/>
    <s v="Solicitor Travel Mileage"/>
    <s v="Public Law Children"/>
    <s v="Non Expert Disbursement"/>
    <s v="HLS"/>
    <s v="Y"/>
    <n v="21.6"/>
    <n v="4.32"/>
    <x v="3"/>
    <s v="VALIDATED"/>
    <n v="1"/>
    <s v="01.11.80.308.6300.0000"/>
    <n v="21.6"/>
    <s v="11"/>
    <s v="6300"/>
    <n v="11217.25"/>
    <n v="21.6"/>
    <s v="CREDITOR"/>
    <n v="0"/>
    <n v="0"/>
    <n v="0"/>
    <n v="0"/>
    <n v="21.6"/>
  </r>
  <r>
    <n v="61418475"/>
    <s v="N"/>
    <n v="21327649"/>
    <s v="3000015557330001"/>
    <s v="CIVIL"/>
    <d v="2023-06-28T00:00:00"/>
    <d v="2023-07-04T19:00:44"/>
    <m/>
    <d v="2023-07-04T00:00:00"/>
    <n v="2031"/>
    <n v="7869"/>
    <s v="61418475"/>
    <s v="61418475"/>
    <m/>
    <m/>
    <n v="22775946"/>
    <m/>
    <m/>
    <m/>
    <s v="SOLFIN"/>
    <s v="SOLFIN"/>
    <s v="CCMS"/>
    <n v="21327649"/>
    <n v="0"/>
    <m/>
    <s v="N"/>
    <n v="1"/>
    <d v="2023-07-04T19:00:51"/>
    <s v="N"/>
    <s v="NIL BILL"/>
    <s v="Public Law Children"/>
    <s v="Profit Cost"/>
    <s v="Helen Simmons"/>
    <s v="N"/>
    <n v="0"/>
    <n v="0"/>
    <x v="1"/>
    <s v="VALIDATED"/>
    <n v="1"/>
    <s v="01.11.80.308.6100.0000"/>
    <n v="0"/>
    <s v="11"/>
    <s v="6100"/>
    <n v="11217.25"/>
    <n v="0"/>
    <s v="CREDITOR"/>
    <n v="0"/>
    <n v="0"/>
    <n v="0"/>
    <n v="0"/>
    <n v="0"/>
  </r>
  <r>
    <n v="61608960"/>
    <s v="N"/>
    <n v="21318963"/>
    <s v="3000015715970003"/>
    <s v="CIVIL"/>
    <d v="2023-06-23T00:00:00"/>
    <d v="2023-07-03T19:01:49"/>
    <m/>
    <d v="2023-07-03T00:00:00"/>
    <n v="2031"/>
    <n v="7869"/>
    <s v="61608960"/>
    <s v="61608960"/>
    <m/>
    <m/>
    <n v="22753192"/>
    <m/>
    <m/>
    <m/>
    <s v="SOLFIN"/>
    <s v="SOLFIN"/>
    <s v="CCMS"/>
    <n v="21318963"/>
    <n v="6104.1"/>
    <m/>
    <s v="N"/>
    <n v="11"/>
    <d v="2023-07-03T19:02:05"/>
    <s v="Y"/>
    <s v="Advocates Meeting"/>
    <s v="Public Law Children"/>
    <s v="Advocacy"/>
    <s v="HLS"/>
    <s v="Y"/>
    <n v="140.99"/>
    <n v="28.2"/>
    <x v="3"/>
    <s v="VALIDATED"/>
    <n v="1"/>
    <s v="01.11.80.308.6100.0000"/>
    <n v="140.99"/>
    <s v="11"/>
    <s v="6100"/>
    <n v="11217.25"/>
    <n v="140.99"/>
    <s v="CREDITOR"/>
    <n v="0"/>
    <n v="0"/>
    <n v="0"/>
    <n v="0"/>
    <n v="140.99"/>
  </r>
  <r>
    <n v="61608960"/>
    <s v="N"/>
    <n v="21318963"/>
    <s v="3000015715970003"/>
    <s v="CIVIL"/>
    <d v="2023-06-23T00:00:00"/>
    <d v="2023-07-03T19:01:49"/>
    <m/>
    <d v="2023-07-03T00:00:00"/>
    <n v="2031"/>
    <n v="7869"/>
    <s v="61608960"/>
    <s v="61608960"/>
    <m/>
    <m/>
    <n v="22753192"/>
    <m/>
    <m/>
    <m/>
    <s v="SOLFIN"/>
    <s v="SOLFIN"/>
    <s v="CCMS"/>
    <n v="21318963"/>
    <n v="6104.1"/>
    <m/>
    <s v="N"/>
    <n v="14"/>
    <d v="2023-07-03T19:02:05"/>
    <s v="Y"/>
    <s v="Hearing Unit 5.01 - 7.30 Hours"/>
    <s v="Public Law Children"/>
    <s v="Advocacy"/>
    <s v="HLS"/>
    <s v="Y"/>
    <n v="715.38"/>
    <n v="143.08"/>
    <x v="3"/>
    <s v="VALIDATED"/>
    <n v="1"/>
    <s v="01.11.80.308.6100.0000"/>
    <n v="715.38"/>
    <s v="11"/>
    <s v="6100"/>
    <n v="11217.25"/>
    <n v="715.38"/>
    <s v="CREDITOR"/>
    <n v="0"/>
    <n v="0"/>
    <n v="0"/>
    <n v="0"/>
    <n v="715.38"/>
  </r>
  <r>
    <n v="61609068"/>
    <s v="N"/>
    <n v="21318957"/>
    <s v="3000015716140001"/>
    <s v="CIVIL"/>
    <d v="2023-06-23T00:00:00"/>
    <d v="2023-07-03T19:01:49"/>
    <m/>
    <d v="2023-07-03T00:00:00"/>
    <n v="2031"/>
    <n v="7869"/>
    <s v="61609068"/>
    <s v="61609068"/>
    <m/>
    <m/>
    <n v="22753200"/>
    <m/>
    <m/>
    <m/>
    <s v="SOLFIN"/>
    <s v="SOLFIN"/>
    <s v="CCMS"/>
    <n v="21318957"/>
    <n v="0"/>
    <m/>
    <s v="N"/>
    <n v="1"/>
    <d v="2023-07-03T19:02:05"/>
    <s v="N"/>
    <s v="NIL BILL"/>
    <s v="Public Law Children"/>
    <s v="Profit Cost"/>
    <s v="HLS"/>
    <s v="N"/>
    <n v="0"/>
    <n v="0"/>
    <x v="3"/>
    <s v="VALIDATED"/>
    <n v="1"/>
    <s v="01.11.80.308.6100.0000"/>
    <n v="0"/>
    <s v="11"/>
    <s v="6100"/>
    <n v="11217.25"/>
    <n v="0"/>
    <s v="CREDITOR"/>
    <n v="0"/>
    <n v="0"/>
    <n v="0"/>
    <n v="0"/>
    <n v="0"/>
  </r>
  <r>
    <n v="61608960"/>
    <s v="N"/>
    <n v="21318963"/>
    <s v="3000015715970003"/>
    <s v="CIVIL"/>
    <d v="2023-06-23T00:00:00"/>
    <d v="2023-07-03T19:01:49"/>
    <m/>
    <d v="2023-07-03T00:00:00"/>
    <n v="2031"/>
    <n v="7869"/>
    <s v="61608960"/>
    <s v="61608960"/>
    <m/>
    <m/>
    <n v="22753192"/>
    <m/>
    <m/>
    <m/>
    <s v="SOLFIN"/>
    <s v="SOLFIN"/>
    <s v="CCMS"/>
    <n v="21318963"/>
    <n v="6104.1"/>
    <m/>
    <s v="N"/>
    <n v="5"/>
    <d v="2023-07-03T19:02:05"/>
    <s v="Y"/>
    <s v="Solicitor Travel Mileage"/>
    <s v="Public Law Children"/>
    <s v="Non Expert Disbursement"/>
    <s v="HLS"/>
    <s v="Y"/>
    <n v="21.6"/>
    <n v="4.32"/>
    <x v="3"/>
    <s v="VALIDATED"/>
    <n v="1"/>
    <s v="01.11.80.308.6300.0000"/>
    <n v="21.6"/>
    <s v="11"/>
    <s v="6300"/>
    <n v="11217.25"/>
    <n v="21.6"/>
    <s v="CREDITOR"/>
    <n v="0"/>
    <n v="0"/>
    <n v="0"/>
    <n v="0"/>
    <n v="21.6"/>
  </r>
  <r>
    <n v="61418421"/>
    <s v="N"/>
    <n v="21327548"/>
    <s v="3000015557220001"/>
    <s v="CIVIL"/>
    <d v="2023-06-28T00:00:00"/>
    <d v="2023-07-04T19:00:44"/>
    <m/>
    <d v="2023-07-04T00:00:00"/>
    <n v="2031"/>
    <n v="7869"/>
    <s v="61418421"/>
    <s v="61418421"/>
    <m/>
    <m/>
    <n v="22775944"/>
    <m/>
    <m/>
    <m/>
    <s v="SOLFIN"/>
    <s v="SOLFIN"/>
    <s v="CCMS"/>
    <n v="21327548"/>
    <n v="4363.77"/>
    <m/>
    <s v="N"/>
    <n v="1"/>
    <d v="2023-07-04T19:00:50"/>
    <s v="Y"/>
    <s v="Solicitor Travel Mileage"/>
    <s v="Public Law Children"/>
    <s v="Non Expert Disbursement"/>
    <s v="Helen Simmons"/>
    <s v="Y"/>
    <n v="21.6"/>
    <n v="4.32"/>
    <x v="1"/>
    <s v="VALIDATED"/>
    <n v="1"/>
    <s v="01.11.80.308.6300.0000"/>
    <n v="21.6"/>
    <s v="11"/>
    <s v="6300"/>
    <n v="11217.25"/>
    <n v="21.6"/>
    <s v="CREDITOR"/>
    <n v="0"/>
    <n v="0"/>
    <n v="0"/>
    <n v="0"/>
    <n v="21.6"/>
  </r>
  <r>
    <n v="61418421"/>
    <s v="N"/>
    <n v="21327548"/>
    <s v="3000015557220001"/>
    <s v="CIVIL"/>
    <d v="2023-06-28T00:00:00"/>
    <d v="2023-07-04T19:00:44"/>
    <m/>
    <d v="2023-07-04T00:00:00"/>
    <n v="2031"/>
    <n v="7869"/>
    <s v="61418421"/>
    <s v="61418421"/>
    <m/>
    <m/>
    <n v="22775944"/>
    <m/>
    <m/>
    <m/>
    <s v="SOLFIN"/>
    <s v="SOLFIN"/>
    <s v="CCMS"/>
    <n v="21327548"/>
    <n v="4363.77"/>
    <m/>
    <s v="N"/>
    <n v="6"/>
    <d v="2023-07-04T19:00:50"/>
    <s v="Y"/>
    <s v="Advocates Meeting"/>
    <s v="Public Law Children"/>
    <s v="Advocacy"/>
    <s v="Helen Simmons"/>
    <s v="Y"/>
    <n v="128.16"/>
    <n v="25.63"/>
    <x v="1"/>
    <s v="VALIDATED"/>
    <n v="1"/>
    <s v="01.11.80.308.6100.0000"/>
    <n v="128.16"/>
    <s v="11"/>
    <s v="6100"/>
    <n v="11217.25"/>
    <n v="128.16"/>
    <s v="CREDITOR"/>
    <n v="0"/>
    <n v="0"/>
    <n v="0"/>
    <n v="0"/>
    <n v="128.16"/>
  </r>
  <r>
    <n v="61608960"/>
    <s v="N"/>
    <n v="21318963"/>
    <s v="3000015715970003"/>
    <s v="CIVIL"/>
    <d v="2023-06-23T00:00:00"/>
    <d v="2023-07-03T19:01:49"/>
    <m/>
    <d v="2023-07-03T00:00:00"/>
    <n v="2031"/>
    <n v="7869"/>
    <s v="61608960"/>
    <s v="61608960"/>
    <m/>
    <m/>
    <n v="22753192"/>
    <m/>
    <m/>
    <m/>
    <s v="SOLFIN"/>
    <s v="SOLFIN"/>
    <s v="CCMS"/>
    <n v="21318963"/>
    <n v="6104.1"/>
    <m/>
    <s v="N"/>
    <n v="16"/>
    <d v="2023-07-03T19:02:05"/>
    <s v="Y"/>
    <s v="Solicitors Fixed Fee"/>
    <s v="Public Law Children"/>
    <s v="Profit Cost"/>
    <s v="HLS"/>
    <s v="Y"/>
    <n v="2156"/>
    <n v="431.2"/>
    <x v="3"/>
    <s v="VALIDATED"/>
    <n v="1"/>
    <s v="01.11.80.308.6100.0000"/>
    <n v="2156"/>
    <s v="11"/>
    <s v="6100"/>
    <n v="11217.25"/>
    <n v="2156"/>
    <s v="CREDITOR"/>
    <n v="0"/>
    <n v="0"/>
    <n v="0"/>
    <n v="0"/>
    <n v="2156"/>
  </r>
  <r>
    <n v="61608960"/>
    <s v="N"/>
    <n v="21324606"/>
    <s v="3000015715970001RC"/>
    <s v="CIVIL"/>
    <d v="2023-06-23T00:00:00"/>
    <d v="2023-07-03T19:42:50"/>
    <m/>
    <d v="2023-07-03T00:00:00"/>
    <n v="2031"/>
    <n v="7869"/>
    <s v="61608960"/>
    <s v="61608960"/>
    <m/>
    <m/>
    <m/>
    <m/>
    <m/>
    <m/>
    <s v="SOLRECOUP"/>
    <s v="SOLRECOUP"/>
    <s v="POARECOUP"/>
    <n v="21324606"/>
    <n v="-398.4"/>
    <m/>
    <s v="Y"/>
    <n v="1"/>
    <d v="2023-07-03T19:42:52"/>
    <s v="N"/>
    <m/>
    <m/>
    <s v="Expert Disbursement"/>
    <m/>
    <s v="N"/>
    <n v="-332"/>
    <n v="0"/>
    <x v="3"/>
    <s v="VALIDATED"/>
    <n v="1"/>
    <s v="01.11.80.308.2013.0000"/>
    <n v="-332"/>
    <s v="11"/>
    <s v="2013"/>
    <n v="11217.25"/>
    <n v="-332"/>
    <s v="CREDITOR"/>
    <n v="0"/>
    <n v="0"/>
    <n v="-332"/>
    <n v="0"/>
    <n v="0"/>
  </r>
  <r>
    <n v="61608960"/>
    <s v="N"/>
    <n v="21324606"/>
    <s v="3000015715970001RC"/>
    <s v="CIVIL"/>
    <d v="2023-06-23T00:00:00"/>
    <d v="2023-07-03T19:42:50"/>
    <m/>
    <d v="2023-07-03T00:00:00"/>
    <n v="2031"/>
    <n v="7869"/>
    <s v="61608960"/>
    <s v="61608960"/>
    <m/>
    <m/>
    <m/>
    <m/>
    <m/>
    <m/>
    <s v="SOLRECOUP"/>
    <s v="SOLRECOUP"/>
    <s v="POARECOUP"/>
    <n v="21324606"/>
    <n v="-398.4"/>
    <m/>
    <s v="Y"/>
    <n v="2"/>
    <d v="2023-07-03T19:42:52"/>
    <s v="N"/>
    <m/>
    <m/>
    <s v="Expert Disbursement"/>
    <m/>
    <s v="N"/>
    <n v="0"/>
    <n v="-66.40000000000001"/>
    <x v="3"/>
    <s v="VALIDATED"/>
    <n v="1"/>
    <s v="01.11.80.308.2013.0000"/>
    <n v="-66.40000000000001"/>
    <s v="11"/>
    <s v="2013"/>
    <n v="11217.25"/>
    <n v="-66.40000000000001"/>
    <s v="CREDITOR"/>
    <n v="0"/>
    <n v="0"/>
    <n v="-66.40000000000001"/>
    <n v="0"/>
    <n v="0"/>
  </r>
  <r>
    <n v="61608960"/>
    <s v="N"/>
    <n v="21324607"/>
    <s v="3000015715970002RC"/>
    <s v="CIVIL"/>
    <d v="2023-06-23T00:00:00"/>
    <d v="2023-07-03T19:42:50"/>
    <m/>
    <d v="2023-07-03T00:00:00"/>
    <n v="2031"/>
    <n v="7869"/>
    <s v="61608960"/>
    <s v="61608960"/>
    <m/>
    <m/>
    <m/>
    <m/>
    <m/>
    <m/>
    <s v="SOLRECOUP"/>
    <s v="SOLRECOUP"/>
    <s v="POARECOUP"/>
    <n v="21324607"/>
    <n v="-330.9"/>
    <m/>
    <s v="Y"/>
    <n v="1"/>
    <d v="2023-07-03T19:42:52"/>
    <s v="N"/>
    <m/>
    <m/>
    <s v="Expert Disbursement"/>
    <m/>
    <s v="N"/>
    <n v="-275.75"/>
    <n v="0"/>
    <x v="3"/>
    <s v="VALIDATED"/>
    <n v="1"/>
    <s v="01.11.80.308.2013.0000"/>
    <n v="-275.75"/>
    <s v="11"/>
    <s v="2013"/>
    <n v="11217.25"/>
    <n v="-275.75"/>
    <s v="CREDITOR"/>
    <n v="0"/>
    <n v="0"/>
    <n v="-275.75"/>
    <n v="0"/>
    <n v="0"/>
  </r>
  <r>
    <n v="61608960"/>
    <s v="N"/>
    <n v="21324607"/>
    <s v="3000015715970002RC"/>
    <s v="CIVIL"/>
    <d v="2023-06-23T00:00:00"/>
    <d v="2023-07-03T19:42:50"/>
    <m/>
    <d v="2023-07-03T00:00:00"/>
    <n v="2031"/>
    <n v="7869"/>
    <s v="61608960"/>
    <s v="61608960"/>
    <m/>
    <m/>
    <m/>
    <m/>
    <m/>
    <m/>
    <s v="SOLRECOUP"/>
    <s v="SOLRECOUP"/>
    <s v="POARECOUP"/>
    <n v="21324607"/>
    <n v="-330.9"/>
    <m/>
    <s v="Y"/>
    <n v="2"/>
    <d v="2023-07-03T19:42:52"/>
    <s v="N"/>
    <m/>
    <m/>
    <s v="Expert Disbursement"/>
    <m/>
    <s v="N"/>
    <n v="0"/>
    <n v="-55.15"/>
    <x v="3"/>
    <s v="VALIDATED"/>
    <n v="1"/>
    <s v="01.11.80.308.2013.0000"/>
    <n v="-55.15"/>
    <s v="11"/>
    <s v="2013"/>
    <n v="11217.25"/>
    <n v="-55.15"/>
    <s v="CREDITOR"/>
    <n v="0"/>
    <n v="0"/>
    <n v="-55.15"/>
    <n v="0"/>
    <n v="0"/>
  </r>
  <r>
    <n v="61694174"/>
    <s v="N"/>
    <n v="21350161"/>
    <s v="3000015787810004"/>
    <s v="CIVIL"/>
    <d v="2023-06-30T00:00:00"/>
    <d v="2023-07-10T19:01:40"/>
    <m/>
    <d v="2023-07-10T00:00:00"/>
    <n v="2032"/>
    <n v="7869"/>
    <s v="61694174"/>
    <s v="61694174"/>
    <m/>
    <m/>
    <n v="22800650"/>
    <m/>
    <m/>
    <m/>
    <s v="SOLFIN"/>
    <s v="SOLFIN"/>
    <s v="CCMS"/>
    <n v="21350161"/>
    <n v="6426.99"/>
    <m/>
    <s v="N"/>
    <n v="10"/>
    <d v="2023-07-10T19:02:16"/>
    <s v="Y"/>
    <s v="Hearing Unit 2.31 - 5.00 Hours"/>
    <s v="Public Law Children"/>
    <s v="Advocacy"/>
    <s v="Samantha Herman"/>
    <s v="Y"/>
    <n v="476.92"/>
    <n v="95.38"/>
    <x v="2"/>
    <s v="VALIDATED"/>
    <n v="1"/>
    <s v="01.11.80.308.6100.0000"/>
    <n v="476.92"/>
    <s v="11"/>
    <s v="6100"/>
    <n v="13656.85"/>
    <n v="476.92"/>
    <s v="CREDITOR"/>
    <n v="0"/>
    <n v="0"/>
    <n v="0"/>
    <n v="0"/>
    <n v="476.92"/>
  </r>
  <r>
    <n v="61694174"/>
    <s v="N"/>
    <n v="21350161"/>
    <s v="3000015787810004"/>
    <s v="CIVIL"/>
    <d v="2023-06-30T00:00:00"/>
    <d v="2023-07-10T19:01:40"/>
    <m/>
    <d v="2023-07-10T00:00:00"/>
    <n v="2032"/>
    <n v="7869"/>
    <s v="61694174"/>
    <s v="61694174"/>
    <m/>
    <m/>
    <n v="22800650"/>
    <m/>
    <m/>
    <m/>
    <s v="SOLFIN"/>
    <s v="SOLFIN"/>
    <s v="CCMS"/>
    <n v="21350161"/>
    <n v="6426.99"/>
    <m/>
    <s v="N"/>
    <n v="4"/>
    <d v="2023-07-10T19:02:16"/>
    <s v="Y"/>
    <s v="Solicitor Travel Expenses"/>
    <s v="Public Law Children"/>
    <s v="Non Expert Disbursement"/>
    <s v="Samantha Herman"/>
    <s v="Y"/>
    <n v="3.8"/>
    <n v="0"/>
    <x v="2"/>
    <s v="VALIDATED"/>
    <n v="1"/>
    <s v="01.11.80.308.6300.0000"/>
    <n v="3.8"/>
    <s v="11"/>
    <s v="6300"/>
    <n v="13656.85"/>
    <n v="3.8"/>
    <s v="CREDITOR"/>
    <n v="0"/>
    <n v="0"/>
    <n v="0"/>
    <n v="0"/>
    <n v="3.8"/>
  </r>
  <r>
    <n v="61694174"/>
    <s v="N"/>
    <n v="21350161"/>
    <s v="3000015787810004"/>
    <s v="CIVIL"/>
    <d v="2023-06-30T00:00:00"/>
    <d v="2023-07-10T19:01:40"/>
    <m/>
    <d v="2023-07-10T00:00:00"/>
    <n v="2032"/>
    <n v="7869"/>
    <s v="61694174"/>
    <s v="61694174"/>
    <m/>
    <m/>
    <n v="22800650"/>
    <m/>
    <m/>
    <m/>
    <s v="SOLFIN"/>
    <s v="SOLFIN"/>
    <s v="CCMS"/>
    <n v="21350161"/>
    <n v="6426.99"/>
    <m/>
    <s v="N"/>
    <n v="2"/>
    <d v="2023-07-10T19:02:16"/>
    <s v="Y"/>
    <s v="Toxicologist"/>
    <s v="Public Law Children"/>
    <s v="Expert Disbursement"/>
    <s v="Samantha Herman"/>
    <s v="Y"/>
    <n v="255.28"/>
    <n v="51.06"/>
    <x v="2"/>
    <s v="VALIDATED"/>
    <n v="1"/>
    <s v="01.11.80.308.6300.0000"/>
    <n v="255.28"/>
    <s v="11"/>
    <s v="6300"/>
    <n v="13656.85"/>
    <n v="255.28"/>
    <s v="CREDITOR"/>
    <n v="0"/>
    <n v="0"/>
    <n v="0"/>
    <n v="0"/>
    <n v="255.28"/>
  </r>
  <r>
    <n v="61694174"/>
    <s v="N"/>
    <n v="21350161"/>
    <s v="3000015787810004"/>
    <s v="CIVIL"/>
    <d v="2023-06-30T00:00:00"/>
    <d v="2023-07-10T19:01:40"/>
    <m/>
    <d v="2023-07-10T00:00:00"/>
    <n v="2032"/>
    <n v="7869"/>
    <s v="61694174"/>
    <s v="61694174"/>
    <m/>
    <m/>
    <n v="22800650"/>
    <m/>
    <m/>
    <m/>
    <s v="SOLFIN"/>
    <s v="SOLFIN"/>
    <s v="CCMS"/>
    <n v="21350161"/>
    <n v="6426.99"/>
    <m/>
    <s v="N"/>
    <n v="9"/>
    <d v="2023-07-10T19:02:16"/>
    <s v="Y"/>
    <s v="Advocates Meeting"/>
    <s v="Public Law Children"/>
    <s v="Advocacy"/>
    <s v="Molly Burrows-Egan"/>
    <s v="Y"/>
    <n v="140.99"/>
    <n v="28.2"/>
    <x v="2"/>
    <s v="VALIDATED"/>
    <n v="1"/>
    <s v="01.11.80.308.6100.0000"/>
    <n v="140.99"/>
    <s v="11"/>
    <s v="6100"/>
    <n v="13656.85"/>
    <n v="140.99"/>
    <s v="CREDITOR"/>
    <n v="0"/>
    <n v="0"/>
    <n v="0"/>
    <n v="0"/>
    <n v="140.99"/>
  </r>
  <r>
    <n v="61694174"/>
    <s v="N"/>
    <n v="21350161"/>
    <s v="3000015787810004"/>
    <s v="CIVIL"/>
    <d v="2023-06-30T00:00:00"/>
    <d v="2023-07-10T19:01:40"/>
    <m/>
    <d v="2023-07-10T00:00:00"/>
    <n v="2032"/>
    <n v="7869"/>
    <s v="61694174"/>
    <s v="61694174"/>
    <m/>
    <m/>
    <n v="22800650"/>
    <m/>
    <m/>
    <m/>
    <s v="SOLFIN"/>
    <s v="SOLFIN"/>
    <s v="CCMS"/>
    <n v="21350161"/>
    <n v="6426.99"/>
    <m/>
    <s v="N"/>
    <n v="6"/>
    <d v="2023-07-10T19:02:16"/>
    <s v="Y"/>
    <s v="Solicitor Travel Expenses"/>
    <s v="Public Law Children"/>
    <s v="Non Expert Disbursement"/>
    <s v="Samantha Herman"/>
    <s v="Y"/>
    <n v="3.8"/>
    <n v="0"/>
    <x v="2"/>
    <s v="VALIDATED"/>
    <n v="1"/>
    <s v="01.11.80.308.6300.0000"/>
    <n v="3.8"/>
    <s v="11"/>
    <s v="6300"/>
    <n v="13656.85"/>
    <n v="3.8"/>
    <s v="CREDITOR"/>
    <n v="0"/>
    <n v="0"/>
    <n v="0"/>
    <n v="0"/>
    <n v="3.8"/>
  </r>
  <r>
    <n v="61694174"/>
    <s v="N"/>
    <n v="21350161"/>
    <s v="3000015787810004"/>
    <s v="CIVIL"/>
    <d v="2023-06-30T00:00:00"/>
    <d v="2023-07-10T19:01:40"/>
    <m/>
    <d v="2023-07-10T00:00:00"/>
    <n v="2032"/>
    <n v="7869"/>
    <s v="61694174"/>
    <s v="61694174"/>
    <m/>
    <m/>
    <n v="22800650"/>
    <m/>
    <m/>
    <m/>
    <s v="SOLFIN"/>
    <s v="SOLFIN"/>
    <s v="CCMS"/>
    <n v="21350161"/>
    <n v="6426.99"/>
    <m/>
    <s v="N"/>
    <n v="13"/>
    <d v="2023-07-10T19:02:16"/>
    <s v="Y"/>
    <s v="Advocates Meeting"/>
    <s v="Public Law Children"/>
    <s v="Advocacy"/>
    <s v="Samantha Herman"/>
    <s v="Y"/>
    <n v="140.99"/>
    <n v="28.2"/>
    <x v="2"/>
    <s v="VALIDATED"/>
    <n v="1"/>
    <s v="01.11.80.308.6100.0000"/>
    <n v="140.99"/>
    <s v="11"/>
    <s v="6100"/>
    <n v="13656.85"/>
    <n v="140.99"/>
    <s v="CREDITOR"/>
    <n v="0"/>
    <n v="0"/>
    <n v="0"/>
    <n v="0"/>
    <n v="140.99"/>
  </r>
  <r>
    <n v="61694174"/>
    <s v="N"/>
    <n v="21350161"/>
    <s v="3000015787810004"/>
    <s v="CIVIL"/>
    <d v="2023-06-30T00:00:00"/>
    <d v="2023-07-10T19:01:40"/>
    <m/>
    <d v="2023-07-10T00:00:00"/>
    <n v="2032"/>
    <n v="7869"/>
    <s v="61694174"/>
    <s v="61694174"/>
    <m/>
    <m/>
    <n v="22800650"/>
    <m/>
    <m/>
    <m/>
    <s v="SOLFIN"/>
    <s v="SOLFIN"/>
    <s v="CCMS"/>
    <n v="21350161"/>
    <n v="6426.99"/>
    <m/>
    <s v="N"/>
    <n v="12"/>
    <d v="2023-07-10T19:02:16"/>
    <s v="Y"/>
    <s v="Hearing Unit 2.31 - 5.00 Hours"/>
    <s v="Public Law Children"/>
    <s v="Advocacy"/>
    <s v="Samantha Herman"/>
    <s v="Y"/>
    <n v="476.92"/>
    <n v="95.38"/>
    <x v="2"/>
    <s v="VALIDATED"/>
    <n v="1"/>
    <s v="01.11.80.308.6100.0000"/>
    <n v="476.92"/>
    <s v="11"/>
    <s v="6100"/>
    <n v="13656.85"/>
    <n v="476.92"/>
    <s v="CREDITOR"/>
    <n v="0"/>
    <n v="0"/>
    <n v="0"/>
    <n v="0"/>
    <n v="476.92"/>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7841" dataOnRows="0" dataCaption="Values" showError="0" showMissing="1" updatedVersion="3" minRefreshableVersion="3" asteriskTotals="0" showItems="1" editData="0" disableFieldList="0" showCalcMbrs="0"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3"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C21" firstHeaderRow="1" firstDataRow="2" firstDataCol="1"/>
  <pivotFields count="5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numFmtId="14" outline="1" subtotalTop="1" dragToRow="1" dragToCol="1" dragToPage="1" dragToData="1" dragOff="1" showAll="0" topAutoShow="1" itemPageCount="10" sortType="ascending" defaultSubtotal="1">
      <items count="91">
        <item t="data" sd="1" m="1" x="32"/>
        <item t="data" sd="1" m="1" x="64"/>
        <item t="data" sd="1" m="1" x="22"/>
        <item t="data" sd="1" m="1" x="55"/>
        <item t="data" sd="1" m="1" x="84"/>
        <item t="data" sd="1" m="1" x="42"/>
        <item t="data" sd="1" m="1" x="74"/>
        <item t="data" sd="1" m="1" x="29"/>
        <item t="data" sd="1" m="1" x="60"/>
        <item t="data" sd="1" m="1" x="18"/>
        <item t="data" sd="1" m="1" x="51"/>
        <item t="data" sd="1" m="1" x="39"/>
        <item t="data" sd="1" m="1" x="71"/>
        <item t="data" sd="1" m="1" x="63"/>
        <item t="data" sd="1" m="1" x="21"/>
        <item t="data" sd="1" m="1" x="54"/>
        <item t="data" sd="1" m="1" x="83"/>
        <item t="data" sd="1" m="1" x="72"/>
        <item t="data" sd="1" m="1" x="27"/>
        <item t="data" sd="1" m="1" x="59"/>
        <item t="data" sd="1" m="1" x="16"/>
        <item t="data" sd="1" m="1" x="48"/>
        <item t="data" sd="1" m="1" x="80"/>
        <item t="data" sd="1" m="1" x="36"/>
        <item t="data" sd="1" m="1" x="68"/>
        <item t="data" sd="1" m="1" x="25"/>
        <item t="data" sd="1" m="1" x="57"/>
        <item t="data" sd="1" m="1" x="87"/>
        <item t="data" sd="1" m="1" x="46"/>
        <item t="data" sd="1" m="1" x="77"/>
        <item t="data" sd="1" m="1" x="33"/>
        <item t="data" sd="1" m="1" x="65"/>
        <item t="data" sd="1" m="1" x="23"/>
        <item t="data" sd="1" m="1" x="49"/>
        <item t="data" sd="1" m="1" x="37"/>
        <item t="data" sd="1" m="1" x="69"/>
        <item t="data" sd="1" m="1" x="26"/>
        <item t="data" sd="1" m="1" x="58"/>
        <item t="data" sd="1" m="1" x="88"/>
        <item t="data" sd="1" m="1" x="78"/>
        <item t="data" sd="1" m="1" x="34"/>
        <item t="data" sd="1" m="1" x="66"/>
        <item t="data" sd="1" m="1" x="24"/>
        <item t="data" sd="1" m="1" x="56"/>
        <item t="data" sd="1" m="1" x="85"/>
        <item t="data" sd="1" m="1" x="44"/>
        <item t="data" sd="1" m="1" x="31"/>
        <item t="data" sd="1" m="1" x="62"/>
        <item t="data" sd="1" m="1" x="20"/>
        <item t="data" sd="1" m="1" x="53"/>
        <item t="data" sd="1" m="1" x="82"/>
        <item t="data" sd="1" m="1" x="43"/>
        <item t="data" sd="1" m="1" x="75"/>
        <item t="data" sd="1" m="1" x="30"/>
        <item t="data" sd="1" m="1" x="61"/>
        <item t="data" sd="1" m="1" x="19"/>
        <item t="data" sd="1" m="1" x="52"/>
        <item t="data" sd="1" m="1" x="40"/>
        <item t="data" sd="1" m="1" x="41"/>
        <item t="data" sd="1" m="1" x="73"/>
        <item t="data" sd="1" m="1" x="28"/>
        <item t="data" sd="1" m="1" x="17"/>
        <item t="data" sd="1" m="1" x="50"/>
        <item t="data" sd="1" m="1" x="81"/>
        <item t="data" sd="1" m="1" x="38"/>
        <item t="data" sd="1" m="1" x="70"/>
        <item t="data" sd="1" m="1" x="89"/>
        <item t="data" sd="1" m="1" x="47"/>
        <item t="data" sd="1" m="1" x="79"/>
        <item t="data" sd="1" m="1" x="35"/>
        <item t="data" sd="1" m="1" x="67"/>
        <item t="data" sd="1" m="1" x="86"/>
        <item t="data" sd="1" m="1" x="45"/>
        <item t="data" sd="1" m="1" x="76"/>
        <item t="data" sd="1" x="15"/>
        <item t="data" sd="1" x="3"/>
        <item t="data" sd="1" x="1"/>
        <item t="data" sd="1" x="6"/>
        <item t="data" sd="1" x="4"/>
        <item t="data" sd="1" x="9"/>
        <item t="data" sd="1" x="2"/>
        <item t="data" sd="1" x="7"/>
        <item t="data" sd="1" x="0"/>
        <item t="data" sd="1" x="11"/>
        <item t="data" sd="1" x="10"/>
        <item t="data" sd="1" x="8"/>
        <item t="data" sd="1" x="14"/>
        <item t="data" sd="1" x="5"/>
        <item t="data" sd="1" x="13"/>
        <item t="data" sd="1" x="1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36"/>
  </rowFields>
  <rowItems count="17">
    <i t="data" r="0" i="0">
      <x v="74"/>
    </i>
    <i t="data" r="0" i="0">
      <x v="75"/>
    </i>
    <i t="data" r="0" i="0">
      <x v="76"/>
    </i>
    <i t="data" r="0" i="0">
      <x v="77"/>
    </i>
    <i t="data" r="0" i="0">
      <x v="78"/>
    </i>
    <i t="data" r="0" i="0">
      <x v="79"/>
    </i>
    <i t="data" r="0" i="0">
      <x v="80"/>
    </i>
    <i t="data" r="0" i="0">
      <x v="81"/>
    </i>
    <i t="data" r="0" i="0">
      <x v="82"/>
    </i>
    <i t="data" r="0" i="0">
      <x v="83"/>
    </i>
    <i t="data" r="0" i="0">
      <x v="84"/>
    </i>
    <i t="data" r="0" i="0">
      <x v="85"/>
    </i>
    <i t="data" r="0" i="0">
      <x v="86"/>
    </i>
    <i t="data" r="0" i="0">
      <x v="87"/>
    </i>
    <i t="data" r="0" i="0">
      <x v="88"/>
    </i>
    <i t="data" r="0" i="0">
      <x v="89"/>
    </i>
    <i t="grand" r="0" i="0">
      <x v="0"/>
    </i>
  </rowItems>
  <colFields count="1">
    <field x="-2"/>
  </colFields>
  <colItems count="2">
    <i t="data" r="0" i="0">
      <x v="0"/>
    </i>
    <i t="data" r="0" i="1">
      <x v="1"/>
    </i>
  </colItems>
  <dataFields count="2">
    <dataField name="Count of INVOICE_ID" fld="2" subtotal="count" showDataAs="normal" baseField="0" baseItem="0"/>
    <dataField name="Sum of AMOUNT" fld="44" subtotal="sum" showDataAs="normal" baseField="0" baseItem="0"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3.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codeName="Sheet1">
    <outlinePr summaryBelow="1" summaryRight="1"/>
    <pageSetUpPr fitToPage="1"/>
  </sheetPr>
  <dimension ref="A1:H26"/>
  <sheetViews>
    <sheetView tabSelected="1" zoomScaleNormal="100" workbookViewId="0">
      <selection activeCell="A2" sqref="A2"/>
    </sheetView>
  </sheetViews>
  <sheetFormatPr baseColWidth="8" defaultRowHeight="12.75"/>
  <cols>
    <col width="28.28515625" customWidth="1" min="1" max="1"/>
    <col width="20.7109375" customWidth="1" min="2" max="4"/>
    <col width="20.7109375" customWidth="1" style="1" min="5" max="5"/>
    <col width="20.7109375" customWidth="1" min="6" max="6"/>
    <col width="18.42578125" bestFit="1" customWidth="1" min="7" max="7"/>
    <col width="25.28515625" customWidth="1" min="8" max="8"/>
  </cols>
  <sheetData>
    <row r="1">
      <c r="A1" s="2" t="n"/>
      <c r="B1" s="2" t="n"/>
      <c r="C1" s="2" t="n"/>
      <c r="D1" s="40" t="inlineStr">
        <is>
          <t>Max invoice date:</t>
        </is>
      </c>
      <c r="E1" s="41">
        <f>MAX('CCMS DATA'!F:F)</f>
        <v/>
      </c>
      <c r="F1" s="2" t="n"/>
    </row>
    <row r="2">
      <c r="A2" s="2" t="n"/>
      <c r="B2" s="16" t="n"/>
      <c r="C2" s="2" t="n"/>
      <c r="D2" s="40" t="inlineStr">
        <is>
          <t>Min GL Date:</t>
        </is>
      </c>
      <c r="E2" s="41">
        <f>MIN('CCMS DATA'!AJ:AJ)</f>
        <v/>
      </c>
      <c r="F2" s="2" t="n"/>
    </row>
    <row r="3">
      <c r="A3" s="2" t="n"/>
      <c r="B3" s="16" t="n"/>
      <c r="C3" s="2" t="n"/>
      <c r="D3" s="40" t="inlineStr">
        <is>
          <t>Max GL Date:</t>
        </is>
      </c>
      <c r="E3" s="41">
        <f>MAX('CCMS DATA'!AJ:AJ)</f>
        <v/>
      </c>
      <c r="F3" s="2" t="n"/>
    </row>
    <row r="4" ht="13.5" customHeight="1" thickBot="1">
      <c r="A4" s="3" t="n"/>
      <c r="B4" s="3" t="n"/>
      <c r="C4" s="3" t="n"/>
      <c r="D4" s="3" t="n"/>
      <c r="E4" s="4" t="n"/>
      <c r="F4" s="3" t="n"/>
    </row>
    <row r="5">
      <c r="G5" s="36" t="n"/>
    </row>
    <row r="7">
      <c r="A7" s="5" t="inlineStr">
        <is>
          <t>Total late processed</t>
        </is>
      </c>
      <c r="B7" s="12">
        <f>ROUND(SUM('CCMS DATA'!AR:AR),2)</f>
        <v/>
      </c>
    </row>
    <row r="9" ht="23.25" customFormat="1" customHeight="1" s="11" thickBot="1">
      <c r="A9" s="9" t="inlineStr">
        <is>
          <t>SCHEME</t>
        </is>
      </c>
      <c r="B9" s="10" t="inlineStr">
        <is>
          <t>Total payable to supplier = ZERO</t>
        </is>
      </c>
      <c r="C9" s="10" t="inlineStr">
        <is>
          <t>Supplier Held</t>
        </is>
      </c>
      <c r="D9" s="10" t="inlineStr">
        <is>
          <t>Creditors</t>
        </is>
      </c>
      <c r="E9" s="10" t="inlineStr">
        <is>
          <t>Debtors</t>
        </is>
      </c>
      <c r="F9" s="24" t="inlineStr">
        <is>
          <t>TOTAL</t>
        </is>
      </c>
    </row>
    <row r="10" ht="13.5" customHeight="1">
      <c r="A10" s="48" t="inlineStr">
        <is>
          <t>CIVIL REP</t>
        </is>
      </c>
      <c r="B10" s="49">
        <f>SUM('By Code'!E:E)</f>
        <v/>
      </c>
      <c r="C10" s="49">
        <f>SUM('By Code'!F:F)</f>
        <v/>
      </c>
      <c r="D10" s="49">
        <f>SUM('By Code'!G:G)</f>
        <v/>
      </c>
      <c r="E10" s="49">
        <f>SUM('By Code'!H:H)</f>
        <v/>
      </c>
      <c r="F10" s="50">
        <f>SUM(B10:E10)</f>
        <v/>
      </c>
    </row>
    <row r="11" ht="13.5" customHeight="1">
      <c r="A11" s="7" t="n"/>
      <c r="B11" s="49" t="n"/>
      <c r="C11" s="49" t="n"/>
      <c r="D11" s="49" t="n"/>
      <c r="E11" s="49" t="n"/>
      <c r="F11" s="50" t="n"/>
    </row>
    <row r="12" ht="13.5" customHeight="1">
      <c r="A12" s="51" t="inlineStr">
        <is>
          <t>Total</t>
        </is>
      </c>
      <c r="B12" s="52">
        <f>SUM(B10:B11)</f>
        <v/>
      </c>
      <c r="C12" s="52">
        <f>SUM(C10:C11)</f>
        <v/>
      </c>
      <c r="D12" s="52">
        <f>SUM(D10:D11)</f>
        <v/>
      </c>
      <c r="E12" s="52">
        <f>SUM(E10:E11)</f>
        <v/>
      </c>
      <c r="F12" s="53">
        <f>ROUND(SUM(F10:F11),2)</f>
        <v/>
      </c>
    </row>
    <row r="13">
      <c r="B13" s="54" t="n"/>
      <c r="C13" s="54" t="n"/>
      <c r="D13" s="54" t="n"/>
      <c r="E13" s="54" t="n"/>
      <c r="F13" s="54" t="n"/>
    </row>
    <row r="14" ht="13.5" customHeight="1">
      <c r="A14" s="55" t="inlineStr">
        <is>
          <t>Creditor POA adjustments</t>
        </is>
      </c>
      <c r="B14" s="56">
        <f>ROUND(SUM('CCMS DATA'!AT:AX),1)</f>
        <v/>
      </c>
      <c r="C14" s="57">
        <f>ROUND(D19+H19,1)</f>
        <v/>
      </c>
      <c r="D14" s="54" t="n"/>
      <c r="E14" s="54" t="n"/>
      <c r="F14" s="54" t="n"/>
    </row>
    <row r="15">
      <c r="B15" s="54" t="n"/>
      <c r="C15" s="54" t="n"/>
      <c r="D15" s="54" t="n"/>
      <c r="E15" s="54" t="n"/>
      <c r="F15" s="54" t="n"/>
    </row>
    <row r="16" ht="34.5" customHeight="1" thickBot="1">
      <c r="A16" s="9" t="inlineStr">
        <is>
          <t>SCHEME</t>
        </is>
      </c>
      <c r="B16" s="10" t="inlineStr">
        <is>
          <t>Creditor POA's</t>
        </is>
      </c>
      <c r="C16" s="10" t="inlineStr">
        <is>
          <t>Creditor Non DISB POA adjustment</t>
        </is>
      </c>
      <c r="D16" s="24" t="inlineStr">
        <is>
          <t>Creditor POA value</t>
        </is>
      </c>
      <c r="E16" s="10" t="inlineStr">
        <is>
          <t>Creditor Recouped POA's</t>
        </is>
      </c>
      <c r="F16" s="10" t="inlineStr">
        <is>
          <t>Creditor Non DISB Recouped POA adjustment</t>
        </is>
      </c>
      <c r="G16" s="10" t="inlineStr">
        <is>
          <t>Creditor CIVILBILLS and GRADBILLS</t>
        </is>
      </c>
      <c r="H16" s="24" t="inlineStr">
        <is>
          <t>Creditor Bill Value</t>
        </is>
      </c>
    </row>
    <row r="17" ht="13.5" customHeight="1">
      <c r="A17" s="48" t="inlineStr">
        <is>
          <t>CIVIL REP</t>
        </is>
      </c>
      <c r="B17" s="49">
        <f>SUM('By Code'!J:J)</f>
        <v/>
      </c>
      <c r="C17" s="49">
        <f>SUM('By Code'!K:K)</f>
        <v/>
      </c>
      <c r="D17" s="58">
        <f>B17+C17</f>
        <v/>
      </c>
      <c r="E17" s="49">
        <f>SUM('By Code'!L:L)</f>
        <v/>
      </c>
      <c r="F17" s="49">
        <f>SUM('By Code'!M:M)</f>
        <v/>
      </c>
      <c r="G17" s="49">
        <f>SUM('By Code'!N:N)</f>
        <v/>
      </c>
      <c r="H17" s="59">
        <f>E17+F17+G17</f>
        <v/>
      </c>
    </row>
    <row r="18" ht="13.5" customHeight="1">
      <c r="A18" s="7" t="n"/>
      <c r="B18" s="54" t="n"/>
      <c r="C18" s="54" t="n"/>
      <c r="D18" s="60" t="n"/>
      <c r="E18" s="54" t="n"/>
      <c r="F18" s="54" t="n"/>
      <c r="G18" s="54" t="n"/>
      <c r="H18" s="27" t="n"/>
    </row>
    <row r="19" ht="13.5" customHeight="1">
      <c r="A19" s="51" t="inlineStr">
        <is>
          <t>Total</t>
        </is>
      </c>
      <c r="B19" s="52">
        <f>SUM(B17:B18)</f>
        <v/>
      </c>
      <c r="C19" s="52">
        <f>SUM(C17:C18)</f>
        <v/>
      </c>
      <c r="D19" s="61">
        <f>SUM(D17:D18)</f>
        <v/>
      </c>
      <c r="E19" s="52">
        <f>SUM(E17:E18)</f>
        <v/>
      </c>
      <c r="F19" s="52">
        <f>SUM(F17:F18)</f>
        <v/>
      </c>
      <c r="G19" s="52">
        <f>ROUND(SUM(G17:G18),2)</f>
        <v/>
      </c>
      <c r="H19" s="53">
        <f>ROUND(SUM(H17:H18),2)</f>
        <v/>
      </c>
    </row>
    <row r="21">
      <c r="A21" s="5" t="inlineStr">
        <is>
          <t>PURPOSE:</t>
        </is>
      </c>
    </row>
    <row r="23">
      <c r="A23" s="13" t="inlineStr">
        <is>
          <t>This report is used to generate the value of civil representation creditors at the end of the month, which were posted into CCMS After the period end and were dated prior to the period end.</t>
        </is>
      </c>
    </row>
    <row r="24">
      <c r="A24" s="45" t="n"/>
      <c r="B24" s="13" t="n"/>
    </row>
    <row r="25">
      <c r="A25" s="45" t="n"/>
      <c r="B25" s="13" t="n"/>
    </row>
    <row r="26">
      <c r="A26" s="13" t="n"/>
      <c r="B26" s="13" t="n"/>
    </row>
  </sheetData>
  <conditionalFormatting sqref="B14">
    <cfRule type="expression" priority="1" dxfId="1">
      <formula>$B$14=$C$14</formula>
    </cfRule>
  </conditionalFormatting>
  <conditionalFormatting sqref="B7">
    <cfRule type="cellIs" priority="4" operator="notEqual" dxfId="0" stopIfTrue="1">
      <formula>$F$12</formula>
    </cfRule>
  </conditionalFormatting>
  <pageMargins left="0.37" right="0.2362204724409449" top="0.984251968503937" bottom="0.984251968503937" header="0.5118110236220472" footer="0.5118110236220472"/>
  <pageSetup orientation="landscape" paperSize="9" scale="80" horizontalDpi="4294967292"/>
</worksheet>
</file>

<file path=xl/worksheets/sheet2.xml><?xml version="1.0" encoding="utf-8"?>
<worksheet xmlns="http://schemas.openxmlformats.org/spreadsheetml/2006/main">
  <sheetPr codeName="Sheet2">
    <outlinePr summaryBelow="1" summaryRight="1"/>
    <pageSetUpPr/>
  </sheetPr>
  <dimension ref="A4:N26"/>
  <sheetViews>
    <sheetView workbookViewId="0">
      <selection activeCell="L26" sqref="L26"/>
    </sheetView>
  </sheetViews>
  <sheetFormatPr baseColWidth="8" defaultRowHeight="12.75"/>
  <cols>
    <col width="13.7109375" bestFit="1" customWidth="1" min="1" max="1"/>
    <col width="8" customWidth="1" min="2" max="2"/>
    <col width="13.42578125" bestFit="1" customWidth="1" min="3" max="3"/>
    <col width="12.5703125" customWidth="1" min="5" max="6"/>
    <col width="15" bestFit="1" customWidth="1" min="7" max="7"/>
    <col width="14.5703125" bestFit="1" customWidth="1" min="8" max="8"/>
    <col width="12.5703125" customWidth="1" min="9" max="9"/>
    <col width="13.42578125" bestFit="1" customWidth="1" min="10" max="10"/>
    <col width="12.42578125" bestFit="1" customWidth="1" min="11" max="11"/>
    <col width="16.28515625" bestFit="1" customWidth="1" min="12" max="12"/>
    <col width="14" bestFit="1" customWidth="1" min="13" max="13"/>
    <col width="14.42578125" bestFit="1" customWidth="1" min="14" max="14"/>
  </cols>
  <sheetData>
    <row r="4" ht="45.75" customHeight="1" thickBot="1">
      <c r="A4" s="31" t="inlineStr">
        <is>
          <t>SEG2</t>
        </is>
      </c>
      <c r="B4" s="31" t="inlineStr">
        <is>
          <t>SEG5</t>
        </is>
      </c>
      <c r="C4" s="5" t="inlineStr">
        <is>
          <t>DESCRIPTION</t>
        </is>
      </c>
      <c r="E4" s="62" t="inlineStr">
        <is>
          <t>Total payable to supplier = ZERO</t>
        </is>
      </c>
      <c r="F4" s="62" t="inlineStr">
        <is>
          <t>Supplier Held</t>
        </is>
      </c>
      <c r="G4" s="62" t="inlineStr">
        <is>
          <t>Creditors</t>
        </is>
      </c>
      <c r="H4" s="62" t="inlineStr">
        <is>
          <t>Debtors</t>
        </is>
      </c>
      <c r="I4" s="63" t="n"/>
      <c r="J4" s="17" t="inlineStr">
        <is>
          <t>Creditor POA</t>
        </is>
      </c>
      <c r="K4" s="17" t="inlineStr">
        <is>
          <t>Creditor Non DISB POA adjustment</t>
        </is>
      </c>
      <c r="L4" s="17" t="inlineStr">
        <is>
          <t>Creditor Rec POA</t>
        </is>
      </c>
      <c r="M4" s="33" t="inlineStr">
        <is>
          <t>Creditor Non Disb POA adj</t>
        </is>
      </c>
      <c r="N4" s="17" t="inlineStr">
        <is>
          <t>Creditor CIVILBILLS and GRADBILLS</t>
        </is>
      </c>
    </row>
    <row r="5">
      <c r="A5" t="n">
        <v>11</v>
      </c>
      <c r="B5" t="n">
        <v>0</v>
      </c>
      <c r="E5" s="32">
        <f>SUMIFS('CCMS DATA'!$AR:$AR,'CCMS DATA'!$AO:$AO,$A5,'CCMS DATA'!$AP:$AP,$B5,'CCMS DATA'!$AS:$AS,"ZERO")</f>
        <v/>
      </c>
      <c r="F5" s="32">
        <f>SUMIFS('CCMS DATA'!$AR:$AR,'CCMS DATA'!$AO:$AO,$A5,'CCMS DATA'!$AP:$AP,$B5,'CCMS DATA'!$AS:$AS,"HELD")</f>
        <v/>
      </c>
      <c r="G5" s="32">
        <f>SUMIFS('CCMS DATA'!$AR:$AR,'CCMS DATA'!$AO:$AO,$A5,'CCMS DATA'!$AP:$AP,$B5,'CCMS DATA'!$AS:$AS,"CREDITOR")</f>
        <v/>
      </c>
      <c r="H5" s="32">
        <f>SUMIFS('CCMS DATA'!$AR:$AR,'CCMS DATA'!$AO:$AO,$A5,'CCMS DATA'!$AP:$AP,$B5,'CCMS DATA'!$AS:$AS,"DEBTOR")</f>
        <v/>
      </c>
      <c r="J5" s="54">
        <f>SUMIFS('CCMS DATA'!AT:AT,'CCMS DATA'!$AO:$AO,$A5,'CCMS DATA'!$AP:$AP,$B5)</f>
        <v/>
      </c>
      <c r="K5" s="54">
        <f>SUMIFS('CCMS DATA'!AU:AU,'CCMS DATA'!$AO:$AO,$A5,'CCMS DATA'!$AP:$AP,$B5)</f>
        <v/>
      </c>
      <c r="L5" s="54">
        <f>SUMIFS('CCMS DATA'!AV:AV,'CCMS DATA'!$AO:$AO,$A5,'CCMS DATA'!$AP:$AP,$B5)</f>
        <v/>
      </c>
      <c r="M5" s="54">
        <f>SUMIFS('CCMS DATA'!AW:AW,'CCMS DATA'!$AO:$AO,$A5,'CCMS DATA'!$AP:$AP,$B5)</f>
        <v/>
      </c>
      <c r="N5" s="54">
        <f>SUMIFS('CCMS DATA'!AX:AX,'CCMS DATA'!$AO:$AO,$A5,'CCMS DATA'!$AP:$AP,$B5)</f>
        <v/>
      </c>
    </row>
    <row r="6">
      <c r="A6" t="n">
        <v>11</v>
      </c>
      <c r="B6" t="n">
        <v>2011</v>
      </c>
      <c r="E6" s="32">
        <f>SUMIFS('CCMS DATA'!$AR:$AR,'CCMS DATA'!$AO:$AO,$A6,'CCMS DATA'!$AP:$AP,$B6,'CCMS DATA'!$AS:$AS,"ZERO")</f>
        <v/>
      </c>
      <c r="F6" s="32">
        <f>SUMIFS('CCMS DATA'!$AR:$AR,'CCMS DATA'!$AO:$AO,$A6,'CCMS DATA'!$AP:$AP,$B6,'CCMS DATA'!$AS:$AS,"HELD")</f>
        <v/>
      </c>
      <c r="G6" s="32">
        <f>SUMIFS('CCMS DATA'!$AR:$AR,'CCMS DATA'!$AO:$AO,$A6,'CCMS DATA'!$AP:$AP,$B6,'CCMS DATA'!$AS:$AS,"CREDITOR")</f>
        <v/>
      </c>
      <c r="H6" s="32">
        <f>SUMIFS('CCMS DATA'!$AR:$AR,'CCMS DATA'!$AO:$AO,$A6,'CCMS DATA'!$AP:$AP,$B6,'CCMS DATA'!$AS:$AS,"DEBTOR")</f>
        <v/>
      </c>
      <c r="J6" s="54">
        <f>SUMIFS('CCMS DATA'!AT:AT,'CCMS DATA'!$AO:$AO,$A6,'CCMS DATA'!$AP:$AP,$B6)</f>
        <v/>
      </c>
      <c r="K6" s="54">
        <f>SUMIFS('CCMS DATA'!AU:AU,'CCMS DATA'!$AO:$AO,$A6,'CCMS DATA'!$AP:$AP,$B6)</f>
        <v/>
      </c>
      <c r="L6" s="54">
        <f>SUMIFS('CCMS DATA'!AV:AV,'CCMS DATA'!$AO:$AO,$A6,'CCMS DATA'!$AP:$AP,$B6)</f>
        <v/>
      </c>
      <c r="M6" s="54">
        <f>SUMIFS('CCMS DATA'!AW:AW,'CCMS DATA'!$AO:$AO,$A6,'CCMS DATA'!$AP:$AP,$B6)</f>
        <v/>
      </c>
      <c r="N6" s="54">
        <f>SUMIFS('CCMS DATA'!AX:AX,'CCMS DATA'!$AO:$AO,$A6,'CCMS DATA'!$AP:$AP,$B6)</f>
        <v/>
      </c>
    </row>
    <row r="7">
      <c r="A7" t="n">
        <v>11</v>
      </c>
      <c r="B7" t="n">
        <v>2012</v>
      </c>
      <c r="E7" s="32">
        <f>SUMIFS('CCMS DATA'!$AR:$AR,'CCMS DATA'!$AO:$AO,$A7,'CCMS DATA'!$AP:$AP,$B7,'CCMS DATA'!$AS:$AS,"ZERO")</f>
        <v/>
      </c>
      <c r="F7" s="32">
        <f>SUMIFS('CCMS DATA'!$AR:$AR,'CCMS DATA'!$AO:$AO,$A7,'CCMS DATA'!$AP:$AP,$B7,'CCMS DATA'!$AS:$AS,"HELD")</f>
        <v/>
      </c>
      <c r="G7" s="32">
        <f>SUMIFS('CCMS DATA'!$AR:$AR,'CCMS DATA'!$AO:$AO,$A7,'CCMS DATA'!$AP:$AP,$B7,'CCMS DATA'!$AS:$AS,"CREDITOR")</f>
        <v/>
      </c>
      <c r="H7" s="32">
        <f>SUMIFS('CCMS DATA'!$AR:$AR,'CCMS DATA'!$AO:$AO,$A7,'CCMS DATA'!$AP:$AP,$B7,'CCMS DATA'!$AS:$AS,"DEBTOR")</f>
        <v/>
      </c>
      <c r="J7" s="54">
        <f>SUMIFS('CCMS DATA'!AT:AT,'CCMS DATA'!$AO:$AO,$A7,'CCMS DATA'!$AP:$AP,$B7)</f>
        <v/>
      </c>
      <c r="K7" s="54">
        <f>SUMIFS('CCMS DATA'!AU:AU,'CCMS DATA'!$AO:$AO,$A7,'CCMS DATA'!$AP:$AP,$B7)</f>
        <v/>
      </c>
      <c r="L7" s="54">
        <f>SUMIFS('CCMS DATA'!AV:AV,'CCMS DATA'!$AO:$AO,$A7,'CCMS DATA'!$AP:$AP,$B7)</f>
        <v/>
      </c>
      <c r="M7" s="54">
        <f>SUMIFS('CCMS DATA'!AW:AW,'CCMS DATA'!$AO:$AO,$A7,'CCMS DATA'!$AP:$AP,$B7)</f>
        <v/>
      </c>
      <c r="N7" s="54">
        <f>SUMIFS('CCMS DATA'!AX:AX,'CCMS DATA'!$AO:$AO,$A7,'CCMS DATA'!$AP:$AP,$B7)</f>
        <v/>
      </c>
    </row>
    <row r="8">
      <c r="A8" t="n">
        <v>11</v>
      </c>
      <c r="B8" t="n">
        <v>2013</v>
      </c>
      <c r="E8" s="32">
        <f>SUMIFS('CCMS DATA'!$AR:$AR,'CCMS DATA'!$AO:$AO,$A8,'CCMS DATA'!$AP:$AP,$B8,'CCMS DATA'!$AS:$AS,"ZERO")</f>
        <v/>
      </c>
      <c r="F8" s="32">
        <f>SUMIFS('CCMS DATA'!$AR:$AR,'CCMS DATA'!$AO:$AO,$A8,'CCMS DATA'!$AP:$AP,$B8,'CCMS DATA'!$AS:$AS,"HELD")</f>
        <v/>
      </c>
      <c r="G8" s="32">
        <f>SUMIFS('CCMS DATA'!$AR:$AR,'CCMS DATA'!$AO:$AO,$A8,'CCMS DATA'!$AP:$AP,$B8,'CCMS DATA'!$AS:$AS,"CREDITOR")</f>
        <v/>
      </c>
      <c r="H8" s="32">
        <f>SUMIFS('CCMS DATA'!$AR:$AR,'CCMS DATA'!$AO:$AO,$A8,'CCMS DATA'!$AP:$AP,$B8,'CCMS DATA'!$AS:$AS,"DEBTOR")</f>
        <v/>
      </c>
      <c r="J8" s="54">
        <f>SUMIFS('CCMS DATA'!AT:AT,'CCMS DATA'!$AO:$AO,$A8,'CCMS DATA'!$AP:$AP,$B8)</f>
        <v/>
      </c>
      <c r="K8" s="54">
        <f>SUMIFS('CCMS DATA'!AU:AU,'CCMS DATA'!$AO:$AO,$A8,'CCMS DATA'!$AP:$AP,$B8)</f>
        <v/>
      </c>
      <c r="L8" s="54">
        <f>SUMIFS('CCMS DATA'!AV:AV,'CCMS DATA'!$AO:$AO,$A8,'CCMS DATA'!$AP:$AP,$B8)</f>
        <v/>
      </c>
      <c r="M8" s="54">
        <f>SUMIFS('CCMS DATA'!AW:AW,'CCMS DATA'!$AO:$AO,$A8,'CCMS DATA'!$AP:$AP,$B8)</f>
        <v/>
      </c>
      <c r="N8" s="54">
        <f>SUMIFS('CCMS DATA'!AX:AX,'CCMS DATA'!$AO:$AO,$A8,'CCMS DATA'!$AP:$AP,$B8)</f>
        <v/>
      </c>
    </row>
    <row r="9">
      <c r="A9" t="n">
        <v>11</v>
      </c>
      <c r="B9" t="n">
        <v>6100</v>
      </c>
      <c r="E9" s="32">
        <f>SUMIFS('CCMS DATA'!$AR:$AR,'CCMS DATA'!$AO:$AO,$A9,'CCMS DATA'!$AP:$AP,$B9,'CCMS DATA'!$AS:$AS,"ZERO")</f>
        <v/>
      </c>
      <c r="F9" s="32">
        <f>SUMIFS('CCMS DATA'!$AR:$AR,'CCMS DATA'!$AO:$AO,$A9,'CCMS DATA'!$AP:$AP,$B9,'CCMS DATA'!$AS:$AS,"HELD")</f>
        <v/>
      </c>
      <c r="G9" s="32">
        <f>SUMIFS('CCMS DATA'!$AR:$AR,'CCMS DATA'!$AO:$AO,$A9,'CCMS DATA'!$AP:$AP,$B9,'CCMS DATA'!$AS:$AS,"CREDITOR")</f>
        <v/>
      </c>
      <c r="H9" s="32">
        <f>SUMIFS('CCMS DATA'!$AR:$AR,'CCMS DATA'!$AO:$AO,$A9,'CCMS DATA'!$AP:$AP,$B9,'CCMS DATA'!$AS:$AS,"DEBTOR")</f>
        <v/>
      </c>
      <c r="J9" s="54">
        <f>SUMIFS('CCMS DATA'!AT:AT,'CCMS DATA'!$AO:$AO,$A9,'CCMS DATA'!$AP:$AP,$B9)</f>
        <v/>
      </c>
      <c r="K9" s="54">
        <f>SUMIFS('CCMS DATA'!AU:AU,'CCMS DATA'!$AO:$AO,$A9,'CCMS DATA'!$AP:$AP,$B9)</f>
        <v/>
      </c>
      <c r="L9" s="54">
        <f>SUMIFS('CCMS DATA'!AV:AV,'CCMS DATA'!$AO:$AO,$A9,'CCMS DATA'!$AP:$AP,$B9)</f>
        <v/>
      </c>
      <c r="M9" s="54">
        <f>SUMIFS('CCMS DATA'!AW:AW,'CCMS DATA'!$AO:$AO,$A9,'CCMS DATA'!$AP:$AP,$B9)</f>
        <v/>
      </c>
      <c r="N9" s="54">
        <f>SUMIFS('CCMS DATA'!AX:AX,'CCMS DATA'!$AO:$AO,$A9,'CCMS DATA'!$AP:$AP,$B9)</f>
        <v/>
      </c>
    </row>
    <row r="10">
      <c r="A10" t="n">
        <v>11</v>
      </c>
      <c r="B10" t="n">
        <v>6200</v>
      </c>
      <c r="E10" s="32">
        <f>SUMIFS('CCMS DATA'!$AR:$AR,'CCMS DATA'!$AO:$AO,$A10,'CCMS DATA'!$AP:$AP,$B10,'CCMS DATA'!$AS:$AS,"ZERO")</f>
        <v/>
      </c>
      <c r="F10" s="32">
        <f>SUMIFS('CCMS DATA'!$AR:$AR,'CCMS DATA'!$AO:$AO,$A10,'CCMS DATA'!$AP:$AP,$B10,'CCMS DATA'!$AS:$AS,"HELD")</f>
        <v/>
      </c>
      <c r="G10" s="32">
        <f>SUMIFS('CCMS DATA'!$AR:$AR,'CCMS DATA'!$AO:$AO,$A10,'CCMS DATA'!$AP:$AP,$B10,'CCMS DATA'!$AS:$AS,"CREDITOR")</f>
        <v/>
      </c>
      <c r="H10" s="32">
        <f>SUMIFS('CCMS DATA'!$AR:$AR,'CCMS DATA'!$AO:$AO,$A10,'CCMS DATA'!$AP:$AP,$B10,'CCMS DATA'!$AS:$AS,"DEBTOR")</f>
        <v/>
      </c>
      <c r="J10" s="54">
        <f>SUMIFS('CCMS DATA'!AT:AT,'CCMS DATA'!$AO:$AO,$A10,'CCMS DATA'!$AP:$AP,$B10)</f>
        <v/>
      </c>
      <c r="K10" s="54">
        <f>SUMIFS('CCMS DATA'!AU:AU,'CCMS DATA'!$AO:$AO,$A10,'CCMS DATA'!$AP:$AP,$B10)</f>
        <v/>
      </c>
      <c r="L10" s="54">
        <f>SUMIFS('CCMS DATA'!AV:AV,'CCMS DATA'!$AO:$AO,$A10,'CCMS DATA'!$AP:$AP,$B10)</f>
        <v/>
      </c>
      <c r="M10" s="54">
        <f>SUMIFS('CCMS DATA'!AW:AW,'CCMS DATA'!$AO:$AO,$A10,'CCMS DATA'!$AP:$AP,$B10)</f>
        <v/>
      </c>
      <c r="N10" s="54">
        <f>SUMIFS('CCMS DATA'!AX:AX,'CCMS DATA'!$AO:$AO,$A10,'CCMS DATA'!$AP:$AP,$B10)</f>
        <v/>
      </c>
    </row>
    <row r="11">
      <c r="A11" t="n">
        <v>11</v>
      </c>
      <c r="B11" t="n">
        <v>6300</v>
      </c>
      <c r="E11" s="32">
        <f>SUMIFS('CCMS DATA'!$AR:$AR,'CCMS DATA'!$AO:$AO,$A11,'CCMS DATA'!$AP:$AP,$B11,'CCMS DATA'!$AS:$AS,"ZERO")</f>
        <v/>
      </c>
      <c r="F11" s="32">
        <f>SUMIFS('CCMS DATA'!$AR:$AR,'CCMS DATA'!$AO:$AO,$A11,'CCMS DATA'!$AP:$AP,$B11,'CCMS DATA'!$AS:$AS,"HELD")</f>
        <v/>
      </c>
      <c r="G11" s="32">
        <f>SUMIFS('CCMS DATA'!$AR:$AR,'CCMS DATA'!$AO:$AO,$A11,'CCMS DATA'!$AP:$AP,$B11,'CCMS DATA'!$AS:$AS,"CREDITOR")</f>
        <v/>
      </c>
      <c r="H11" s="32">
        <f>SUMIFS('CCMS DATA'!$AR:$AR,'CCMS DATA'!$AO:$AO,$A11,'CCMS DATA'!$AP:$AP,$B11,'CCMS DATA'!$AS:$AS,"DEBTOR")</f>
        <v/>
      </c>
      <c r="J11" s="54">
        <f>SUMIFS('CCMS DATA'!AT:AT,'CCMS DATA'!$AO:$AO,$A11,'CCMS DATA'!$AP:$AP,$B11)</f>
        <v/>
      </c>
      <c r="K11" s="54">
        <f>SUMIFS('CCMS DATA'!AU:AU,'CCMS DATA'!$AO:$AO,$A11,'CCMS DATA'!$AP:$AP,$B11)</f>
        <v/>
      </c>
      <c r="L11" s="54">
        <f>SUMIFS('CCMS DATA'!AV:AV,'CCMS DATA'!$AO:$AO,$A11,'CCMS DATA'!$AP:$AP,$B11)</f>
        <v/>
      </c>
      <c r="M11" s="54">
        <f>SUMIFS('CCMS DATA'!AW:AW,'CCMS DATA'!$AO:$AO,$A11,'CCMS DATA'!$AP:$AP,$B11)</f>
        <v/>
      </c>
      <c r="N11" s="54">
        <f>SUMIFS('CCMS DATA'!AX:AX,'CCMS DATA'!$AO:$AO,$A11,'CCMS DATA'!$AP:$AP,$B11)</f>
        <v/>
      </c>
    </row>
    <row r="12">
      <c r="A12" t="n">
        <v>11</v>
      </c>
      <c r="B12" t="n">
        <v>6420</v>
      </c>
      <c r="E12" s="32">
        <f>SUMIFS('CCMS DATA'!$AR:$AR,'CCMS DATA'!$AO:$AO,$A12,'CCMS DATA'!$AP:$AP,$B12,'CCMS DATA'!$AS:$AS,"ZERO")</f>
        <v/>
      </c>
      <c r="F12" s="32">
        <f>SUMIFS('CCMS DATA'!$AR:$AR,'CCMS DATA'!$AO:$AO,$A12,'CCMS DATA'!$AP:$AP,$B12,'CCMS DATA'!$AS:$AS,"HELD")</f>
        <v/>
      </c>
      <c r="G12" s="32">
        <f>SUMIFS('CCMS DATA'!$AR:$AR,'CCMS DATA'!$AO:$AO,$A12,'CCMS DATA'!$AP:$AP,$B12,'CCMS DATA'!$AS:$AS,"CREDITOR")</f>
        <v/>
      </c>
      <c r="H12" s="32">
        <f>SUMIFS('CCMS DATA'!$AR:$AR,'CCMS DATA'!$AO:$AO,$A12,'CCMS DATA'!$AP:$AP,$B12,'CCMS DATA'!$AS:$AS,"DEBTOR")</f>
        <v/>
      </c>
      <c r="J12" s="54">
        <f>SUMIFS('CCMS DATA'!AT:AT,'CCMS DATA'!$AO:$AO,$A12,'CCMS DATA'!$AP:$AP,$B12)</f>
        <v/>
      </c>
      <c r="K12" s="54">
        <f>SUMIFS('CCMS DATA'!AU:AU,'CCMS DATA'!$AO:$AO,$A12,'CCMS DATA'!$AP:$AP,$B12)</f>
        <v/>
      </c>
      <c r="L12" s="54">
        <f>SUMIFS('CCMS DATA'!AV:AV,'CCMS DATA'!$AO:$AO,$A12,'CCMS DATA'!$AP:$AP,$B12)</f>
        <v/>
      </c>
      <c r="M12" s="54">
        <f>SUMIFS('CCMS DATA'!AW:AW,'CCMS DATA'!$AO:$AO,$A12,'CCMS DATA'!$AP:$AP,$B12)</f>
        <v/>
      </c>
      <c r="N12" s="54">
        <f>SUMIFS('CCMS DATA'!AX:AX,'CCMS DATA'!$AO:$AO,$A12,'CCMS DATA'!$AP:$AP,$B12)</f>
        <v/>
      </c>
    </row>
    <row r="13">
      <c r="A13" s="38" t="n">
        <v>11</v>
      </c>
      <c r="B13" s="38" t="inlineStr">
        <is>
          <t>6132</t>
        </is>
      </c>
      <c r="E13" s="32">
        <f>SUMIFS('CCMS DATA'!$AR:$AR,'CCMS DATA'!$AO:$AO,$A13,'CCMS DATA'!$AP:$AP,$B13,'CCMS DATA'!$AS:$AS,"ZERO")</f>
        <v/>
      </c>
      <c r="F13" s="32">
        <f>SUMIFS('CCMS DATA'!$AR:$AR,'CCMS DATA'!$AO:$AO,$A13,'CCMS DATA'!$AP:$AP,$B13,'CCMS DATA'!$AS:$AS,"HELD")</f>
        <v/>
      </c>
      <c r="G13" s="32">
        <f>SUMIFS('CCMS DATA'!$AR:$AR,'CCMS DATA'!$AO:$AO,$A13,'CCMS DATA'!$AP:$AP,$B13,'CCMS DATA'!$AS:$AS,"CREDITOR")</f>
        <v/>
      </c>
      <c r="H13" s="32">
        <f>SUMIFS('CCMS DATA'!$AR:$AR,'CCMS DATA'!$AO:$AO,$A13,'CCMS DATA'!$AP:$AP,$B13,'CCMS DATA'!$AS:$AS,"DEBTOR")</f>
        <v/>
      </c>
      <c r="J13" s="54">
        <f>SUMIFS('CCMS DATA'!AT:AT,'CCMS DATA'!$AO:$AO,$A13,'CCMS DATA'!$AP:$AP,$B13)</f>
        <v/>
      </c>
      <c r="K13" s="54">
        <f>SUMIFS('CCMS DATA'!AU:AU,'CCMS DATA'!$AO:$AO,$A13,'CCMS DATA'!$AP:$AP,$B13)</f>
        <v/>
      </c>
      <c r="L13" s="54">
        <f>SUMIFS('CCMS DATA'!AV:AV,'CCMS DATA'!$AO:$AO,$A13,'CCMS DATA'!$AP:$AP,$B13)</f>
        <v/>
      </c>
      <c r="M13" s="54">
        <f>SUMIFS('CCMS DATA'!AW:AW,'CCMS DATA'!$AO:$AO,$A13,'CCMS DATA'!$AP:$AP,$B13)</f>
        <v/>
      </c>
      <c r="N13" s="54">
        <f>SUMIFS('CCMS DATA'!AX:AX,'CCMS DATA'!$AO:$AO,$A13,'CCMS DATA'!$AP:$AP,$B13)</f>
        <v/>
      </c>
    </row>
    <row r="18">
      <c r="B18" s="37" t="n"/>
    </row>
    <row r="19">
      <c r="B19" s="37" t="n"/>
    </row>
    <row r="20">
      <c r="B20" s="37" t="n"/>
    </row>
    <row r="21">
      <c r="B21" s="37" t="n"/>
    </row>
    <row r="22">
      <c r="B22" s="37" t="n"/>
    </row>
    <row r="23">
      <c r="B23" s="37" t="n"/>
    </row>
    <row r="24">
      <c r="B24" s="37" t="n"/>
    </row>
    <row r="25">
      <c r="B25" s="37" t="n"/>
    </row>
    <row r="26">
      <c r="B26" s="37" t="n"/>
    </row>
  </sheetData>
  <pageMargins left="0.7" right="0.7" top="0.75" bottom="0.75" header="0.3" footer="0.3"/>
</worksheet>
</file>

<file path=xl/worksheets/sheet3.xml><?xml version="1.0" encoding="utf-8"?>
<worksheet xmlns="http://schemas.openxmlformats.org/spreadsheetml/2006/main">
  <sheetPr codeName="Sheet5">
    <outlinePr summaryBelow="1" summaryRight="1"/>
    <pageSetUpPr/>
  </sheetPr>
  <dimension ref="A3:E21"/>
  <sheetViews>
    <sheetView workbookViewId="0">
      <selection activeCell="A19" sqref="A19"/>
    </sheetView>
  </sheetViews>
  <sheetFormatPr baseColWidth="8" defaultRowHeight="12.75"/>
  <cols>
    <col width="13.85546875" customWidth="1" min="1" max="1"/>
    <col width="19.85546875" bestFit="1" customWidth="1" min="2" max="2"/>
    <col width="16.140625" bestFit="1" customWidth="1" min="3" max="3"/>
    <col width="10.140625" bestFit="1" customWidth="1" min="5" max="5"/>
    <col width="14" bestFit="1" customWidth="1" style="32" min="7" max="7"/>
  </cols>
  <sheetData>
    <row r="3">
      <c r="B3" s="34" t="inlineStr">
        <is>
          <t>Values</t>
        </is>
      </c>
    </row>
    <row r="4">
      <c r="A4" s="34" t="inlineStr">
        <is>
          <t>Row Labels</t>
        </is>
      </c>
      <c r="B4" t="inlineStr">
        <is>
          <t>Count of INVOICE_ID</t>
        </is>
      </c>
      <c r="C4" t="inlineStr">
        <is>
          <t>Sum of AMOUNT</t>
        </is>
      </c>
    </row>
    <row r="5">
      <c r="A5" s="35" t="n">
        <v>45108</v>
      </c>
      <c r="B5" t="n">
        <v>5</v>
      </c>
      <c r="C5" s="54" t="n">
        <v>420</v>
      </c>
      <c r="E5" s="35" t="n">
        <v>42491</v>
      </c>
    </row>
    <row r="6">
      <c r="A6" s="35" t="n">
        <v>45110</v>
      </c>
      <c r="B6" t="n">
        <v>4574</v>
      </c>
      <c r="C6" s="54" t="n">
        <v>916761.6900000031</v>
      </c>
      <c r="E6" s="35" t="n">
        <v>42492</v>
      </c>
    </row>
    <row r="7">
      <c r="A7" s="35" t="n">
        <v>45111</v>
      </c>
      <c r="B7" t="n">
        <v>3354</v>
      </c>
      <c r="C7" s="54" t="n">
        <v>369202.7099999979</v>
      </c>
      <c r="E7" s="35" t="n">
        <v>42493</v>
      </c>
    </row>
    <row r="8">
      <c r="A8" s="35" t="n">
        <v>45112</v>
      </c>
      <c r="B8" t="n">
        <v>3957</v>
      </c>
      <c r="C8" s="54" t="n">
        <v>234735.2200000002</v>
      </c>
      <c r="E8" s="35" t="n">
        <v>42494</v>
      </c>
    </row>
    <row r="9">
      <c r="A9" s="35" t="n">
        <v>45113</v>
      </c>
      <c r="B9" t="n">
        <v>3234</v>
      </c>
      <c r="C9" s="54" t="n">
        <v>246282.4900000005</v>
      </c>
      <c r="E9" s="35" t="n">
        <v>42495</v>
      </c>
    </row>
    <row r="10">
      <c r="A10" s="35" t="n">
        <v>45114</v>
      </c>
      <c r="B10" t="n">
        <v>2140</v>
      </c>
      <c r="C10" s="54" t="n">
        <v>135159.7399999998</v>
      </c>
      <c r="E10" s="35" t="n">
        <v>42496</v>
      </c>
    </row>
    <row r="11">
      <c r="A11" s="35" t="n">
        <v>45117</v>
      </c>
      <c r="B11" t="n">
        <v>6265</v>
      </c>
      <c r="C11" s="54" t="n">
        <v>323709.4199999953</v>
      </c>
      <c r="E11" s="35" t="n">
        <v>42497</v>
      </c>
    </row>
    <row r="12">
      <c r="A12" s="35" t="n">
        <v>45118</v>
      </c>
      <c r="B12" t="n">
        <v>2082</v>
      </c>
      <c r="C12" s="54" t="n">
        <v>141648.9100000005</v>
      </c>
      <c r="E12" s="35" t="n">
        <v>42498</v>
      </c>
    </row>
    <row r="13">
      <c r="A13" s="35" t="n">
        <v>45119</v>
      </c>
      <c r="B13" t="n">
        <v>389</v>
      </c>
      <c r="C13" s="54" t="n">
        <v>15816.62999999998</v>
      </c>
      <c r="E13" s="35" t="n">
        <v>42499</v>
      </c>
    </row>
    <row r="14">
      <c r="A14" s="35" t="n">
        <v>45120</v>
      </c>
      <c r="B14" t="n">
        <v>636</v>
      </c>
      <c r="C14" s="54" t="n">
        <v>34663.68999999995</v>
      </c>
      <c r="E14" s="35" t="n">
        <v>42500</v>
      </c>
    </row>
    <row r="15">
      <c r="A15" s="35" t="n">
        <v>45121</v>
      </c>
      <c r="B15" t="n">
        <v>73</v>
      </c>
      <c r="C15" s="54" t="n">
        <v>-19744.87</v>
      </c>
      <c r="E15" s="35" t="n">
        <v>42501</v>
      </c>
    </row>
    <row r="16">
      <c r="A16" s="35" t="n">
        <v>45124</v>
      </c>
      <c r="B16" t="n">
        <v>325</v>
      </c>
      <c r="C16" s="54" t="n">
        <v>-11538.07999999999</v>
      </c>
      <c r="E16" s="35" t="n">
        <v>42502</v>
      </c>
    </row>
    <row r="17">
      <c r="A17" s="35" t="n">
        <v>45125</v>
      </c>
      <c r="B17" t="n">
        <v>268</v>
      </c>
      <c r="C17" s="54" t="n">
        <v>24065.06999999998</v>
      </c>
      <c r="E17" s="35" t="n">
        <v>42503</v>
      </c>
    </row>
    <row r="18">
      <c r="A18" s="35" t="n">
        <v>45126</v>
      </c>
      <c r="B18" t="n">
        <v>371</v>
      </c>
      <c r="C18" s="54" t="n">
        <v>-33985.73999999996</v>
      </c>
      <c r="E18" s="35" t="n">
        <v>42504</v>
      </c>
    </row>
    <row r="19">
      <c r="A19" s="35" t="n">
        <v>45127</v>
      </c>
      <c r="B19" t="n">
        <v>186</v>
      </c>
      <c r="C19" s="54" t="n">
        <v>4371.949999999998</v>
      </c>
    </row>
    <row r="20">
      <c r="A20" s="35" t="n">
        <v>45128</v>
      </c>
      <c r="B20" t="n">
        <v>406</v>
      </c>
      <c r="C20" s="54" t="n">
        <v>1453.599999999969</v>
      </c>
    </row>
    <row r="21">
      <c r="A21" s="35" t="inlineStr">
        <is>
          <t>Grand Total</t>
        </is>
      </c>
      <c r="B21" t="n">
        <v>28265</v>
      </c>
      <c r="C21" s="54" t="n">
        <v>2383022.429999941</v>
      </c>
    </row>
  </sheetData>
  <pageMargins left="0.7" right="0.7" top="0.75" bottom="0.75" header="0.3" footer="0.3"/>
</worksheet>
</file>

<file path=xl/worksheets/sheet4.xml><?xml version="1.0" encoding="utf-8"?>
<worksheet xmlns="http://schemas.openxmlformats.org/spreadsheetml/2006/main">
  <sheetPr codeName="Sheet3">
    <outlinePr summaryBelow="1" summaryRight="1"/>
    <pageSetUpPr/>
  </sheetPr>
  <dimension ref="A1:AX1"/>
  <sheetViews>
    <sheetView topLeftCell="H1" workbookViewId="0">
      <selection activeCell="A1" sqref="A1"/>
    </sheetView>
  </sheetViews>
  <sheetFormatPr baseColWidth="8" defaultRowHeight="12.75"/>
  <cols>
    <col width="16.140625" bestFit="1" customWidth="1" min="1" max="1"/>
    <col width="10.7109375" bestFit="1" customWidth="1" min="2" max="2"/>
    <col width="11.42578125" bestFit="1" customWidth="1" min="3" max="3"/>
    <col width="20.7109375" bestFit="1" customWidth="1" min="4" max="4"/>
    <col width="28" bestFit="1" customWidth="1" min="5" max="5"/>
    <col width="14.5703125" bestFit="1" customWidth="1" min="6" max="6"/>
    <col width="24.42578125" bestFit="1" customWidth="1" min="7" max="7"/>
    <col width="25" bestFit="1" customWidth="1" min="8" max="8"/>
    <col width="18.28515625" bestFit="1" customWidth="1" min="9" max="9"/>
    <col width="25.85546875" bestFit="1" customWidth="1" min="10" max="10"/>
    <col width="20.42578125" bestFit="1" customWidth="1" min="11" max="11"/>
    <col width="14.85546875" bestFit="1" customWidth="1" min="12" max="12"/>
    <col width="27.28515625" bestFit="1" customWidth="1" min="13" max="13"/>
    <col width="31.5703125" bestFit="1" customWidth="1" min="14" max="14"/>
    <col width="32.85546875" bestFit="1" customWidth="1" min="15" max="15"/>
    <col width="12.42578125" bestFit="1" customWidth="1" min="16" max="16"/>
    <col width="21.5703125" bestFit="1" customWidth="1" min="17" max="17"/>
    <col width="8.7109375" bestFit="1" customWidth="1" min="18" max="18"/>
    <col width="26.7109375" bestFit="1" customWidth="1" min="19" max="19"/>
    <col width="25.140625" bestFit="1" customWidth="1" min="20" max="20"/>
    <col width="18.42578125" bestFit="1" customWidth="1" min="21" max="21"/>
    <col width="21.85546875" bestFit="1" customWidth="1" min="22" max="22"/>
    <col width="17.85546875" bestFit="1" customWidth="1" min="23" max="23"/>
    <col width="20.140625" bestFit="1" customWidth="1" min="24" max="24"/>
    <col width="20.85546875" bestFit="1" customWidth="1" min="25" max="25"/>
    <col width="14.140625" bestFit="1" customWidth="1" min="26" max="26"/>
    <col width="20.85546875" bestFit="1" customWidth="1" min="27" max="27"/>
    <col width="13.140625" bestFit="1" customWidth="1" min="28" max="28"/>
    <col width="34.5703125" bestFit="1" customWidth="1" min="29" max="29"/>
    <col width="29.42578125" bestFit="1" customWidth="1" min="30" max="30"/>
    <col width="22.7109375" bestFit="1" customWidth="1" min="31" max="31"/>
    <col width="50.85546875" bestFit="1" customWidth="1" min="32" max="32"/>
    <col width="20.140625" bestFit="1" customWidth="1" min="33" max="33"/>
    <col width="9.7109375" bestFit="1" customWidth="1" min="34" max="34"/>
    <col width="9.85546875" bestFit="1" customWidth="1" min="35" max="35"/>
    <col width="23.140625" bestFit="1" customWidth="1" min="36" max="36"/>
    <col width="27.85546875" bestFit="1" customWidth="1" min="37" max="37"/>
    <col width="17.85546875" bestFit="1" customWidth="1" min="38" max="38"/>
    <col width="21.140625" bestFit="1" customWidth="1" min="39" max="39"/>
    <col width="18" bestFit="1" customWidth="1" min="40" max="40"/>
    <col width="11" bestFit="1" customWidth="1" min="41" max="42"/>
    <col width="15" bestFit="1" customWidth="1" min="43" max="43"/>
    <col width="9.5703125" bestFit="1" customWidth="1" min="44" max="44"/>
    <col width="10.42578125" bestFit="1" customWidth="1" min="45" max="45"/>
    <col width="11.42578125" bestFit="1" customWidth="1" min="46" max="46"/>
    <col width="27" bestFit="1" customWidth="1" min="47" max="47"/>
    <col width="16.28515625" bestFit="1" customWidth="1" min="48" max="48"/>
    <col width="31.85546875" bestFit="1" customWidth="1" min="49" max="49"/>
    <col width="12.85546875" bestFit="1" customWidth="1" min="50" max="50"/>
  </cols>
  <sheetData>
    <row r="1" customFormat="1" s="5">
      <c r="A1" s="5" t="inlineStr">
        <is>
          <t>CASE_PARTY_ID</t>
        </is>
      </c>
      <c r="B1" s="5" t="inlineStr">
        <is>
          <t>MIGRATED</t>
        </is>
      </c>
      <c r="C1" s="5" t="inlineStr">
        <is>
          <t>INVOICE_ID</t>
        </is>
      </c>
      <c r="D1" s="5" t="inlineStr">
        <is>
          <t>INVOICE_NUM</t>
        </is>
      </c>
      <c r="E1" s="5" t="inlineStr">
        <is>
          <t>PAY_GROUP_LOOKUP_CODE</t>
        </is>
      </c>
      <c r="F1" s="5" t="inlineStr">
        <is>
          <t>INVOICE_DATE</t>
        </is>
      </c>
      <c r="G1" s="5" t="inlineStr">
        <is>
          <t>INVOICE_CREATED_DATE</t>
        </is>
      </c>
      <c r="H1" s="5" t="inlineStr">
        <is>
          <t>INVOICE_RECEIVED_DATE</t>
        </is>
      </c>
      <c r="I1" s="5" t="inlineStr">
        <is>
          <t>INVOICE_GL_DATE</t>
        </is>
      </c>
      <c r="J1" s="5" t="inlineStr">
        <is>
          <t>INVOICE_VENDOR_SITE_ID</t>
        </is>
      </c>
      <c r="K1" s="5" t="inlineStr">
        <is>
          <t>INVOICE_VENDOR_ID</t>
        </is>
      </c>
      <c r="L1" s="5" t="inlineStr">
        <is>
          <t>INV_CASE_REF</t>
        </is>
      </c>
      <c r="M1" s="5" t="inlineStr">
        <is>
          <t>CASE_REFERENCE_NUMBER</t>
        </is>
      </c>
      <c r="N1" s="5" t="inlineStr">
        <is>
          <t>CIS_CASE_REFERENCE_NUMBER</t>
        </is>
      </c>
      <c r="O1" s="5" t="inlineStr">
        <is>
          <t>PROVIDER_CASE_REFERENCE_NO</t>
        </is>
      </c>
      <c r="P1" s="5" t="inlineStr">
        <is>
          <t>INCIDENT_ID</t>
        </is>
      </c>
      <c r="Q1" s="5" t="inlineStr">
        <is>
          <t>REQUESTED_AMOUNT</t>
        </is>
      </c>
      <c r="R1" s="5" t="inlineStr">
        <is>
          <t>SOURCE</t>
        </is>
      </c>
      <c r="S1" s="5" t="inlineStr">
        <is>
          <t>ORIGINAL_DOC_CATEGORY</t>
        </is>
      </c>
      <c r="T1" s="5" t="inlineStr">
        <is>
          <t>INVOICE_DOC_CATEGORY</t>
        </is>
      </c>
      <c r="U1" s="5" t="inlineStr">
        <is>
          <t>INVOICE_SOURCE</t>
        </is>
      </c>
      <c r="V1" s="5" t="inlineStr">
        <is>
          <t>ORIGINAL_INVOICE_ID</t>
        </is>
      </c>
      <c r="W1" s="5" t="inlineStr">
        <is>
          <t>INVOICE_AMOUNT</t>
        </is>
      </c>
      <c r="X1" s="5" t="inlineStr">
        <is>
          <t>PREPAY_INVOICE_ID</t>
        </is>
      </c>
      <c r="Y1" s="5" t="inlineStr">
        <is>
          <t>RECOUPED_PRE_PAY</t>
        </is>
      </c>
      <c r="Z1" s="5" t="inlineStr">
        <is>
          <t>LINE_NUMBER</t>
        </is>
      </c>
      <c r="AA1" s="5" t="inlineStr">
        <is>
          <t>LINE_CREATED_DATE</t>
        </is>
      </c>
      <c r="AB1" s="5" t="inlineStr">
        <is>
          <t>AGAINST_PO</t>
        </is>
      </c>
      <c r="AC1" s="5" t="inlineStr">
        <is>
          <t>SERIAL_NUMBER</t>
        </is>
      </c>
      <c r="AD1" s="5" t="inlineStr">
        <is>
          <t>MANUFACTURER</t>
        </is>
      </c>
      <c r="AE1" s="5" t="inlineStr">
        <is>
          <t>MODEL_NUMBER</t>
        </is>
      </c>
      <c r="AF1" s="5" t="inlineStr">
        <is>
          <t>LINE_FEE_EARNER</t>
        </is>
      </c>
      <c r="AG1" s="5" t="inlineStr">
        <is>
          <t>LINE_RECOVERABLE</t>
        </is>
      </c>
      <c r="AH1" s="5" t="inlineStr">
        <is>
          <t>LINE_NET</t>
        </is>
      </c>
      <c r="AI1" s="5" t="inlineStr">
        <is>
          <t>LINE_VAT</t>
        </is>
      </c>
      <c r="AJ1" s="5" t="inlineStr">
        <is>
          <t>GL_ACCOUNTING_DATE</t>
        </is>
      </c>
      <c r="AK1" s="5" t="inlineStr">
        <is>
          <t>GL_MATCH_STATUS</t>
        </is>
      </c>
      <c r="AL1" s="5" t="inlineStr">
        <is>
          <t>GL_LINE_NUMBER</t>
        </is>
      </c>
      <c r="AM1" s="5" t="inlineStr">
        <is>
          <t>GL_CODE_COMBO</t>
        </is>
      </c>
      <c r="AN1" s="5" t="inlineStr">
        <is>
          <t>GL_LINE_AMOUNT</t>
        </is>
      </c>
      <c r="AO1" s="5" t="inlineStr">
        <is>
          <t>SEGMENT2</t>
        </is>
      </c>
      <c r="AP1" s="5" t="inlineStr">
        <is>
          <t>SEGMENT5</t>
        </is>
      </c>
      <c r="AQ1" s="5" t="inlineStr">
        <is>
          <t>TOTAL_OFFICE</t>
        </is>
      </c>
      <c r="AR1" s="5" t="inlineStr">
        <is>
          <t>AMOUNT</t>
        </is>
      </c>
      <c r="AS1" s="5" t="inlineStr">
        <is>
          <t>CREDITOR</t>
        </is>
      </c>
      <c r="AT1" s="5" t="inlineStr">
        <is>
          <t>CCMS_POA</t>
        </is>
      </c>
      <c r="AU1" s="5" t="inlineStr">
        <is>
          <t>CCMS_NON_DISB_POA_ADJ</t>
        </is>
      </c>
      <c r="AV1" s="5" t="inlineStr">
        <is>
          <t>CCMS_REC_POA</t>
        </is>
      </c>
      <c r="AW1" s="5" t="inlineStr">
        <is>
          <t>CCMS_NON_DISB_REC_POA_ADJ</t>
        </is>
      </c>
      <c r="AX1" s="5" t="inlineStr">
        <is>
          <t>CCMS_BILLS</t>
        </is>
      </c>
    </row>
  </sheetData>
  <pageMargins left="0.7" right="0.7" top="0.75" bottom="0.75" header="0.3" footer="0.3"/>
</worksheet>
</file>

<file path=xl/worksheets/sheet5.xml><?xml version="1.0" encoding="utf-8"?>
<worksheet xmlns="http://schemas.openxmlformats.org/spreadsheetml/2006/main">
  <sheetPr codeName="Sheet6">
    <outlinePr summaryBelow="1" summaryRight="1"/>
    <pageSetUpPr/>
  </sheetPr>
  <dimension ref="A1:D2"/>
  <sheetViews>
    <sheetView workbookViewId="0">
      <selection activeCell="D20" sqref="D20:D21"/>
    </sheetView>
  </sheetViews>
  <sheetFormatPr baseColWidth="8" defaultColWidth="9.140625" defaultRowHeight="15"/>
  <cols>
    <col width="36.85546875" bestFit="1" customWidth="1" style="43" min="1" max="1"/>
    <col width="113.7109375" bestFit="1" customWidth="1" style="43" min="2" max="2"/>
    <col width="56.5703125" bestFit="1" customWidth="1" style="43" min="3" max="3"/>
    <col width="13.7109375" bestFit="1" customWidth="1" style="43" min="4" max="4"/>
    <col width="9.140625" customWidth="1" style="43" min="5" max="16384"/>
  </cols>
  <sheetData>
    <row r="1">
      <c r="A1" s="42" t="inlineStr">
        <is>
          <t>Target sheet name</t>
        </is>
      </c>
      <c r="B1" s="42" t="inlineStr">
        <is>
          <t>Source folder</t>
        </is>
      </c>
      <c r="C1" s="42" t="inlineStr">
        <is>
          <t>Source file name</t>
        </is>
      </c>
      <c r="D1" s="42" t="inlineStr">
        <is>
          <t>Sheet number</t>
        </is>
      </c>
    </row>
    <row r="2">
      <c r="A2" s="43" t="inlineStr">
        <is>
          <t>CCMS DATA</t>
        </is>
      </c>
      <c r="B2" s="43" t="inlineStr">
        <is>
          <t>https://justiceuk.sharepoint.com/:x:/r/sites/FinanceSysReference/Shared%20Documents/General/UsingTextFilesExample/</t>
        </is>
      </c>
      <c r="C2" s="43" t="inlineStr">
        <is>
          <t>V_LATE_PROCESSED_CCMS_CIVIL_REP_DATA_DATA_VIEW.csv</t>
        </is>
      </c>
      <c r="D2" s="43" t="n">
        <v>1</v>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mora-w</dc:creator>
  <dcterms:created xsi:type="dcterms:W3CDTF">2003-02-03T14:06:07Z</dcterms:created>
  <dcterms:modified xsi:type="dcterms:W3CDTF">2025-06-10T16:02:18Z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0x01010050B3361E0499424DBCAEEF99972D696F</vt:lpwstr>
  </property>
  <property name="MediaServiceImageTags" fmtid="{D5CDD505-2E9C-101B-9397-08002B2CF9AE}" pid="3">
    <vt:lpwstr/>
  </property>
</Properties>
</file>